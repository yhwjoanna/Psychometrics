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說明" sheetId="1" state="visible" r:id="rId1"/>
    <sheet xmlns:r="http://schemas.openxmlformats.org/officeDocument/2006/relationships" name="設定" sheetId="2" state="visible" r:id="rId2"/>
    <sheet xmlns:r="http://schemas.openxmlformats.org/officeDocument/2006/relationships" name="原始資料" sheetId="3" state="visible" r:id="rId3"/>
    <sheet xmlns:r="http://schemas.openxmlformats.org/officeDocument/2006/relationships" name="連續計數" sheetId="4" state="visible" r:id="rId4"/>
    <sheet xmlns:r="http://schemas.openxmlformats.org/officeDocument/2006/relationships" name="判定" sheetId="5" state="visible" r:id="rId5"/>
    <sheet xmlns:r="http://schemas.openxmlformats.org/officeDocument/2006/relationships" name="統計" sheetId="6" state="visible" r:id="rId6"/>
    <sheet xmlns:r="http://schemas.openxmlformats.org/officeDocument/2006/relationships" name="有效樣本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7A2033"/>
      <sz val="16"/>
    </font>
    <font>
      <name val="Microsoft JhengHei"/>
      <color rgb="005F6E84"/>
      <sz val="10"/>
    </font>
    <font>
      <name val="Microsoft JhengHei"/>
      <b val="1"/>
      <color rgb="001C2F52"/>
      <sz val="13"/>
    </font>
    <font>
      <name val="Microsoft JhengHei"/>
      <sz val="11"/>
    </font>
    <font>
      <name val="Microsoft JhengHei"/>
      <b val="1"/>
      <color rgb="00FFFFFF"/>
      <sz val="11"/>
    </font>
    <font>
      <name val="Microsoft JhengHei"/>
      <b val="1"/>
      <color rgb="001C2F52"/>
      <sz val="11"/>
    </font>
    <font>
      <name val="Microsoft JhengHei"/>
      <color theme="1"/>
      <sz val="11"/>
    </font>
  </fonts>
  <fills count="5">
    <fill>
      <patternFill/>
    </fill>
    <fill>
      <patternFill patternType="gray125"/>
    </fill>
    <fill>
      <patternFill patternType="solid">
        <fgColor rgb="001C2F52"/>
      </patternFill>
    </fill>
    <fill>
      <patternFill patternType="solid">
        <fgColor rgb="00FFF4C2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7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7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3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4" fillId="0" borderId="1" pivotButton="0" quotePrefix="0" xfId="0"/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3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期中團體作業　草率作答篩檢範本</t>
        </is>
      </c>
    </row>
    <row r="2">
      <c r="B2" s="2" t="inlineStr">
        <is>
          <t>員工意向調查 HRM922　2026 Fall　國立中山大學人力資源管理研究所　王豫萱</t>
        </is>
      </c>
    </row>
    <row r="5">
      <c r="B5" s="3" t="inlineStr">
        <is>
          <t>使用前</t>
        </is>
      </c>
    </row>
    <row r="6">
      <c r="B6" s="4" t="inlineStr">
        <is>
          <t>剔除標準要在收資料之前寫好（Topic 04），不要看了資料再調整門檻；本範本只負責依照寫好的標準計算</t>
        </is>
      </c>
    </row>
    <row r="8">
      <c r="B8" s="3" t="inlineStr">
        <is>
          <t>操作步驟</t>
        </is>
      </c>
    </row>
    <row r="9">
      <c r="B9" s="4" t="inlineStr">
        <is>
          <t>1　設定：填題數、檢核題正確答案、最短作答秒數、連續相同門檻（黃色格）；不使用的標準留空，該項就不判定</t>
        </is>
      </c>
    </row>
    <row r="10">
      <c r="B10" s="4" t="inlineStr">
        <is>
          <t>2　原始資料：從 A1 貼上。A 欄編號、B 欄作答秒數、C 欄檢核題，D 欄起依序是題目；第 1 列為欄位名稱，最多 60 題、500 人</t>
        </is>
      </c>
    </row>
    <row r="11">
      <c r="B11" s="4" t="inlineStr">
        <is>
          <t>3　判定：自動標示每一位填答者符合哪幾條標準；開放題經兩位組員複核為 AI 代答者，在「人工剔除」欄填「是」</t>
        </is>
      </c>
    </row>
    <row r="12">
      <c r="B12" s="4" t="inlineStr">
        <is>
          <t>4　統計：依企劃書 4.4 的格式列出各標準剔除人數與有效樣本，可以直接抄進企劃書</t>
        </is>
      </c>
    </row>
    <row r="13">
      <c r="B13" s="4" t="inlineStr">
        <is>
          <t>5　有效樣本：自動列出保留的填答者，只含編號與題目。選取有內容的範圍 → 複製 → 新活頁簿「貼上值」→ 另存為 CSV UTF-8（逗號分隔），交給 JASP 或項目分析範本</t>
        </is>
      </c>
    </row>
    <row r="14">
      <c r="B14" s="4" t="inlineStr">
        <is>
          <t>6　有效樣本不做反向計分：分析前依投影片步驟把反向題改為（量尺點數＋1）－原始分數，或貼進項目分析範本，在「反向題設定」標示</t>
        </is>
      </c>
    </row>
    <row r="16">
      <c r="B16" s="3" t="inlineStr">
        <is>
          <t>計算方式</t>
        </is>
      </c>
    </row>
    <row r="17">
      <c r="B17" s="4" t="inlineStr">
        <is>
          <t>檢核題答錯：C 欄不等於設定的正確答案（未作答也算答錯）</t>
        </is>
      </c>
    </row>
    <row r="18">
      <c r="B18" s="4" t="inlineStr">
        <is>
          <t>作答過快：B 欄作答秒數低於設定值。課堂示範以平均每題 2 秒為準，15 題即 30 秒</t>
        </is>
      </c>
    </row>
    <row r="19">
      <c r="B19" s="4" t="inlineStr">
        <is>
          <t>直線作答：題目中連續選同一個選項的最長題數，達到門檻即剔除；計算過程在「連續計數」工作表</t>
        </is>
      </c>
    </row>
    <row r="20">
      <c r="B20" s="4" t="inlineStr">
        <is>
          <t>統計表的「依序剔除」：依表列順序套用，已被前一項剔除者不重複計算，與企劃書 4.4 範例相同</t>
        </is>
      </c>
    </row>
    <row r="22">
      <c r="B22" s="3" t="inlineStr">
        <is>
          <t>對答案</t>
        </is>
      </c>
    </row>
    <row r="23">
      <c r="B23" s="4" t="inlineStr">
        <is>
          <t>把課堂練習資料「期中作業_玻璃心預試練習資料.csv」貼進原始資料，設定維持 15、5、30、10，應得到檢核題 4、過快 4、直線 5，剔除 13 人、有效樣本 172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70" customWidth="1" min="3" max="3"/>
  </cols>
  <sheetData>
    <row r="1">
      <c r="A1" s="5" t="inlineStr">
        <is>
          <t>篩檢設定</t>
        </is>
      </c>
      <c r="B1" s="6" t="n"/>
      <c r="C1" s="6" t="n"/>
    </row>
    <row r="2">
      <c r="A2" s="7" t="inlineStr">
        <is>
          <t>項目</t>
        </is>
      </c>
      <c r="B2" s="7" t="inlineStr">
        <is>
          <t>設定值</t>
        </is>
      </c>
      <c r="C2" s="7" t="inlineStr">
        <is>
          <t>說明</t>
        </is>
      </c>
    </row>
    <row r="3">
      <c r="A3" s="8" t="inlineStr">
        <is>
          <t>題數</t>
        </is>
      </c>
      <c r="B3" s="9" t="n">
        <v>15</v>
      </c>
      <c r="C3" s="10" t="inlineStr">
        <is>
          <t>題目欄數（D 欄起），1 到 60</t>
        </is>
      </c>
    </row>
    <row r="4">
      <c r="A4" s="8" t="inlineStr">
        <is>
          <t>檢核題正確答案</t>
        </is>
      </c>
      <c r="B4" s="9" t="n">
        <v>5</v>
      </c>
      <c r="C4" s="10" t="inlineStr">
        <is>
          <t>例如「本題請選同意」填 5；沒有檢核題時留空</t>
        </is>
      </c>
    </row>
    <row r="5">
      <c r="A5" s="8" t="inlineStr">
        <is>
          <t>最短作答秒數</t>
        </is>
      </c>
      <c r="B5" s="9" t="n">
        <v>30</v>
      </c>
      <c r="C5" s="10" t="inlineStr">
        <is>
          <t>低於此秒數剔除；建議題數 × 2 秒。沒有作答時間時留空</t>
        </is>
      </c>
    </row>
    <row r="6">
      <c r="A6" s="8" t="inlineStr">
        <is>
          <t>連續相同門檻</t>
        </is>
      </c>
      <c r="B6" s="9" t="n">
        <v>10</v>
      </c>
      <c r="C6" s="10" t="inlineStr">
        <is>
          <t>連續選同一個選項達此題數即剔除；建議約為題數的三分之二。不使用時留空</t>
        </is>
      </c>
    </row>
    <row r="7">
      <c r="A7" s="6" t="n"/>
      <c r="B7" s="6" t="n"/>
      <c r="C7" s="6" t="n"/>
    </row>
    <row r="8">
      <c r="A8" s="8" t="inlineStr">
        <is>
          <t>預試最低人數</t>
        </is>
      </c>
      <c r="B8" s="11">
        <f>IF(B3="","",MAX(B3*5,100))</f>
        <v/>
      </c>
      <c r="C8" s="10" t="inlineStr">
        <is>
          <t>題數 × 5，且不低於 100 人（自動計算）</t>
        </is>
      </c>
    </row>
  </sheetData>
  <dataValidations count="1">
    <dataValidation sqref="B3" showDropDown="0" showInputMessage="0" showErrorMessage="1" allowBlank="0" errorTitle="題數" error="請填 1 到 60 的整數" type="whole" operator="between">
      <formula1>1</formula1>
      <formula2>60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</cols>
  <sheetData>
    <row r="1">
      <c r="A1" s="7" t="inlineStr">
        <is>
          <t>編號</t>
        </is>
      </c>
      <c r="B1" s="7" t="inlineStr">
        <is>
          <t>作答秒數</t>
        </is>
      </c>
      <c r="C1" s="7" t="inlineStr">
        <is>
          <t>檢核題</t>
        </is>
      </c>
      <c r="D1" s="7" t="inlineStr">
        <is>
          <t>題1</t>
        </is>
      </c>
      <c r="E1" s="7" t="inlineStr">
        <is>
          <t>題2</t>
        </is>
      </c>
      <c r="F1" s="7" t="inlineStr">
        <is>
          <t>題3</t>
        </is>
      </c>
      <c r="G1" s="7" t="inlineStr">
        <is>
          <t>題4</t>
        </is>
      </c>
      <c r="H1" s="7" t="inlineStr">
        <is>
          <t>題5</t>
        </is>
      </c>
      <c r="I1" s="7" t="inlineStr">
        <is>
          <t>題6</t>
        </is>
      </c>
      <c r="J1" s="7" t="inlineStr">
        <is>
          <t>題7</t>
        </is>
      </c>
      <c r="K1" s="7" t="inlineStr">
        <is>
          <t>題8</t>
        </is>
      </c>
      <c r="L1" s="7" t="inlineStr">
        <is>
          <t>題9</t>
        </is>
      </c>
      <c r="M1" s="7" t="inlineStr">
        <is>
          <t>題10</t>
        </is>
      </c>
      <c r="N1" s="7" t="inlineStr">
        <is>
          <t>題11</t>
        </is>
      </c>
      <c r="O1" s="7" t="inlineStr">
        <is>
          <t>題12</t>
        </is>
      </c>
      <c r="P1" s="7" t="inlineStr">
        <is>
          <t>題13</t>
        </is>
      </c>
      <c r="Q1" s="7" t="inlineStr">
        <is>
          <t>題14</t>
        </is>
      </c>
      <c r="R1" s="7" t="inlineStr">
        <is>
          <t>題15</t>
        </is>
      </c>
      <c r="S1" s="7" t="inlineStr">
        <is>
          <t>題16</t>
        </is>
      </c>
      <c r="T1" s="7" t="inlineStr">
        <is>
          <t>題17</t>
        </is>
      </c>
      <c r="U1" s="7" t="inlineStr">
        <is>
          <t>題18</t>
        </is>
      </c>
      <c r="V1" s="7" t="inlineStr">
        <is>
          <t>題19</t>
        </is>
      </c>
      <c r="W1" s="7" t="inlineStr">
        <is>
          <t>題20</t>
        </is>
      </c>
      <c r="X1" s="7" t="inlineStr">
        <is>
          <t>題21</t>
        </is>
      </c>
      <c r="Y1" s="7" t="inlineStr">
        <is>
          <t>題22</t>
        </is>
      </c>
      <c r="Z1" s="7" t="inlineStr">
        <is>
          <t>題23</t>
        </is>
      </c>
      <c r="AA1" s="7" t="inlineStr">
        <is>
          <t>題24</t>
        </is>
      </c>
      <c r="AB1" s="7" t="inlineStr">
        <is>
          <t>題25</t>
        </is>
      </c>
      <c r="AC1" s="7" t="inlineStr">
        <is>
          <t>題26</t>
        </is>
      </c>
      <c r="AD1" s="7" t="inlineStr">
        <is>
          <t>題27</t>
        </is>
      </c>
      <c r="AE1" s="7" t="inlineStr">
        <is>
          <t>題28</t>
        </is>
      </c>
      <c r="AF1" s="7" t="inlineStr">
        <is>
          <t>題29</t>
        </is>
      </c>
      <c r="AG1" s="7" t="inlineStr">
        <is>
          <t>題30</t>
        </is>
      </c>
      <c r="AH1" s="7" t="inlineStr">
        <is>
          <t>題31</t>
        </is>
      </c>
      <c r="AI1" s="7" t="inlineStr">
        <is>
          <t>題32</t>
        </is>
      </c>
      <c r="AJ1" s="7" t="inlineStr">
        <is>
          <t>題33</t>
        </is>
      </c>
      <c r="AK1" s="7" t="inlineStr">
        <is>
          <t>題34</t>
        </is>
      </c>
      <c r="AL1" s="7" t="inlineStr">
        <is>
          <t>題35</t>
        </is>
      </c>
      <c r="AM1" s="7" t="inlineStr">
        <is>
          <t>題36</t>
        </is>
      </c>
      <c r="AN1" s="7" t="inlineStr">
        <is>
          <t>題37</t>
        </is>
      </c>
      <c r="AO1" s="7" t="inlineStr">
        <is>
          <t>題38</t>
        </is>
      </c>
      <c r="AP1" s="7" t="inlineStr">
        <is>
          <t>題39</t>
        </is>
      </c>
      <c r="AQ1" s="7" t="inlineStr">
        <is>
          <t>題40</t>
        </is>
      </c>
      <c r="AR1" s="7" t="inlineStr">
        <is>
          <t>題41</t>
        </is>
      </c>
      <c r="AS1" s="7" t="inlineStr">
        <is>
          <t>題42</t>
        </is>
      </c>
      <c r="AT1" s="7" t="inlineStr">
        <is>
          <t>題43</t>
        </is>
      </c>
      <c r="AU1" s="7" t="inlineStr">
        <is>
          <t>題44</t>
        </is>
      </c>
      <c r="AV1" s="7" t="inlineStr">
        <is>
          <t>題45</t>
        </is>
      </c>
      <c r="AW1" s="7" t="inlineStr">
        <is>
          <t>題46</t>
        </is>
      </c>
      <c r="AX1" s="7" t="inlineStr">
        <is>
          <t>題47</t>
        </is>
      </c>
      <c r="AY1" s="7" t="inlineStr">
        <is>
          <t>題48</t>
        </is>
      </c>
      <c r="AZ1" s="7" t="inlineStr">
        <is>
          <t>題49</t>
        </is>
      </c>
      <c r="BA1" s="7" t="inlineStr">
        <is>
          <t>題50</t>
        </is>
      </c>
      <c r="BB1" s="7" t="inlineStr">
        <is>
          <t>題51</t>
        </is>
      </c>
      <c r="BC1" s="7" t="inlineStr">
        <is>
          <t>題52</t>
        </is>
      </c>
      <c r="BD1" s="7" t="inlineStr">
        <is>
          <t>題53</t>
        </is>
      </c>
      <c r="BE1" s="7" t="inlineStr">
        <is>
          <t>題54</t>
        </is>
      </c>
      <c r="BF1" s="7" t="inlineStr">
        <is>
          <t>題55</t>
        </is>
      </c>
      <c r="BG1" s="7" t="inlineStr">
        <is>
          <t>題56</t>
        </is>
      </c>
      <c r="BH1" s="7" t="inlineStr">
        <is>
          <t>題57</t>
        </is>
      </c>
      <c r="BI1" s="7" t="inlineStr">
        <is>
          <t>題58</t>
        </is>
      </c>
      <c r="BJ1" s="7" t="inlineStr">
        <is>
          <t>題59</t>
        </is>
      </c>
      <c r="BK1" s="7" t="inlineStr">
        <is>
          <t>題60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7" t="inlineStr">
        <is>
          <t>編號</t>
        </is>
      </c>
      <c r="B1" s="7" t="inlineStr">
        <is>
          <t>連1</t>
        </is>
      </c>
      <c r="C1" s="7" t="inlineStr">
        <is>
          <t>連2</t>
        </is>
      </c>
      <c r="D1" s="7" t="inlineStr">
        <is>
          <t>連3</t>
        </is>
      </c>
      <c r="E1" s="7" t="inlineStr">
        <is>
          <t>連4</t>
        </is>
      </c>
      <c r="F1" s="7" t="inlineStr">
        <is>
          <t>連5</t>
        </is>
      </c>
      <c r="G1" s="7" t="inlineStr">
        <is>
          <t>連6</t>
        </is>
      </c>
      <c r="H1" s="7" t="inlineStr">
        <is>
          <t>連7</t>
        </is>
      </c>
      <c r="I1" s="7" t="inlineStr">
        <is>
          <t>連8</t>
        </is>
      </c>
      <c r="J1" s="7" t="inlineStr">
        <is>
          <t>連9</t>
        </is>
      </c>
      <c r="K1" s="7" t="inlineStr">
        <is>
          <t>連10</t>
        </is>
      </c>
      <c r="L1" s="7" t="inlineStr">
        <is>
          <t>連11</t>
        </is>
      </c>
      <c r="M1" s="7" t="inlineStr">
        <is>
          <t>連12</t>
        </is>
      </c>
      <c r="N1" s="7" t="inlineStr">
        <is>
          <t>連13</t>
        </is>
      </c>
      <c r="O1" s="7" t="inlineStr">
        <is>
          <t>連14</t>
        </is>
      </c>
      <c r="P1" s="7" t="inlineStr">
        <is>
          <t>連15</t>
        </is>
      </c>
      <c r="Q1" s="7" t="inlineStr">
        <is>
          <t>連16</t>
        </is>
      </c>
      <c r="R1" s="7" t="inlineStr">
        <is>
          <t>連17</t>
        </is>
      </c>
      <c r="S1" s="7" t="inlineStr">
        <is>
          <t>連18</t>
        </is>
      </c>
      <c r="T1" s="7" t="inlineStr">
        <is>
          <t>連19</t>
        </is>
      </c>
      <c r="U1" s="7" t="inlineStr">
        <is>
          <t>連20</t>
        </is>
      </c>
      <c r="V1" s="7" t="inlineStr">
        <is>
          <t>連21</t>
        </is>
      </c>
      <c r="W1" s="7" t="inlineStr">
        <is>
          <t>連22</t>
        </is>
      </c>
      <c r="X1" s="7" t="inlineStr">
        <is>
          <t>連23</t>
        </is>
      </c>
      <c r="Y1" s="7" t="inlineStr">
        <is>
          <t>連24</t>
        </is>
      </c>
      <c r="Z1" s="7" t="inlineStr">
        <is>
          <t>連25</t>
        </is>
      </c>
      <c r="AA1" s="7" t="inlineStr">
        <is>
          <t>連26</t>
        </is>
      </c>
      <c r="AB1" s="7" t="inlineStr">
        <is>
          <t>連27</t>
        </is>
      </c>
      <c r="AC1" s="7" t="inlineStr">
        <is>
          <t>連28</t>
        </is>
      </c>
      <c r="AD1" s="7" t="inlineStr">
        <is>
          <t>連29</t>
        </is>
      </c>
      <c r="AE1" s="7" t="inlineStr">
        <is>
          <t>連30</t>
        </is>
      </c>
      <c r="AF1" s="7" t="inlineStr">
        <is>
          <t>連31</t>
        </is>
      </c>
      <c r="AG1" s="7" t="inlineStr">
        <is>
          <t>連32</t>
        </is>
      </c>
      <c r="AH1" s="7" t="inlineStr">
        <is>
          <t>連33</t>
        </is>
      </c>
      <c r="AI1" s="7" t="inlineStr">
        <is>
          <t>連34</t>
        </is>
      </c>
      <c r="AJ1" s="7" t="inlineStr">
        <is>
          <t>連35</t>
        </is>
      </c>
      <c r="AK1" s="7" t="inlineStr">
        <is>
          <t>連36</t>
        </is>
      </c>
      <c r="AL1" s="7" t="inlineStr">
        <is>
          <t>連37</t>
        </is>
      </c>
      <c r="AM1" s="7" t="inlineStr">
        <is>
          <t>連38</t>
        </is>
      </c>
      <c r="AN1" s="7" t="inlineStr">
        <is>
          <t>連39</t>
        </is>
      </c>
      <c r="AO1" s="7" t="inlineStr">
        <is>
          <t>連40</t>
        </is>
      </c>
      <c r="AP1" s="7" t="inlineStr">
        <is>
          <t>連41</t>
        </is>
      </c>
      <c r="AQ1" s="7" t="inlineStr">
        <is>
          <t>連42</t>
        </is>
      </c>
      <c r="AR1" s="7" t="inlineStr">
        <is>
          <t>連43</t>
        </is>
      </c>
      <c r="AS1" s="7" t="inlineStr">
        <is>
          <t>連44</t>
        </is>
      </c>
      <c r="AT1" s="7" t="inlineStr">
        <is>
          <t>連45</t>
        </is>
      </c>
      <c r="AU1" s="7" t="inlineStr">
        <is>
          <t>連46</t>
        </is>
      </c>
      <c r="AV1" s="7" t="inlineStr">
        <is>
          <t>連47</t>
        </is>
      </c>
      <c r="AW1" s="7" t="inlineStr">
        <is>
          <t>連48</t>
        </is>
      </c>
      <c r="AX1" s="7" t="inlineStr">
        <is>
          <t>連49</t>
        </is>
      </c>
      <c r="AY1" s="7" t="inlineStr">
        <is>
          <t>連50</t>
        </is>
      </c>
      <c r="AZ1" s="7" t="inlineStr">
        <is>
          <t>連51</t>
        </is>
      </c>
      <c r="BA1" s="7" t="inlineStr">
        <is>
          <t>連52</t>
        </is>
      </c>
      <c r="BB1" s="7" t="inlineStr">
        <is>
          <t>連53</t>
        </is>
      </c>
      <c r="BC1" s="7" t="inlineStr">
        <is>
          <t>連54</t>
        </is>
      </c>
      <c r="BD1" s="7" t="inlineStr">
        <is>
          <t>連55</t>
        </is>
      </c>
      <c r="BE1" s="7" t="inlineStr">
        <is>
          <t>連56</t>
        </is>
      </c>
      <c r="BF1" s="7" t="inlineStr">
        <is>
          <t>連57</t>
        </is>
      </c>
      <c r="BG1" s="7" t="inlineStr">
        <is>
          <t>連58</t>
        </is>
      </c>
      <c r="BH1" s="7" t="inlineStr">
        <is>
          <t>連59</t>
        </is>
      </c>
      <c r="BI1" s="7" t="inlineStr">
        <is>
          <t>連60</t>
        </is>
      </c>
    </row>
    <row r="2">
      <c r="A2" s="6">
        <f>IF(原始資料!$A2="","",原始資料!$A2)</f>
        <v/>
      </c>
      <c r="B2" s="6">
        <f>IF(OR(原始資料!$A2="",1&gt;設定!$B$3,原始資料!D2=""),"",1)</f>
        <v/>
      </c>
      <c r="C2" s="6">
        <f>IF(OR(原始資料!$A2="",2&gt;設定!$B$3,原始資料!E2=""),"",IF(AND(原始資料!D2&lt;&gt;"",原始資料!E2=原始資料!D2),N(B2)+1,1))</f>
        <v/>
      </c>
      <c r="D2" s="6">
        <f>IF(OR(原始資料!$A2="",3&gt;設定!$B$3,原始資料!F2=""),"",IF(AND(原始資料!E2&lt;&gt;"",原始資料!F2=原始資料!E2),N(C2)+1,1))</f>
        <v/>
      </c>
      <c r="E2" s="6">
        <f>IF(OR(原始資料!$A2="",4&gt;設定!$B$3,原始資料!G2=""),"",IF(AND(原始資料!F2&lt;&gt;"",原始資料!G2=原始資料!F2),N(D2)+1,1))</f>
        <v/>
      </c>
      <c r="F2" s="6">
        <f>IF(OR(原始資料!$A2="",5&gt;設定!$B$3,原始資料!H2=""),"",IF(AND(原始資料!G2&lt;&gt;"",原始資料!H2=原始資料!G2),N(E2)+1,1))</f>
        <v/>
      </c>
      <c r="G2" s="6">
        <f>IF(OR(原始資料!$A2="",6&gt;設定!$B$3,原始資料!I2=""),"",IF(AND(原始資料!H2&lt;&gt;"",原始資料!I2=原始資料!H2),N(F2)+1,1))</f>
        <v/>
      </c>
      <c r="H2" s="6">
        <f>IF(OR(原始資料!$A2="",7&gt;設定!$B$3,原始資料!J2=""),"",IF(AND(原始資料!I2&lt;&gt;"",原始資料!J2=原始資料!I2),N(G2)+1,1))</f>
        <v/>
      </c>
      <c r="I2" s="6">
        <f>IF(OR(原始資料!$A2="",8&gt;設定!$B$3,原始資料!K2=""),"",IF(AND(原始資料!J2&lt;&gt;"",原始資料!K2=原始資料!J2),N(H2)+1,1))</f>
        <v/>
      </c>
      <c r="J2" s="6">
        <f>IF(OR(原始資料!$A2="",9&gt;設定!$B$3,原始資料!L2=""),"",IF(AND(原始資料!K2&lt;&gt;"",原始資料!L2=原始資料!K2),N(I2)+1,1))</f>
        <v/>
      </c>
      <c r="K2" s="6">
        <f>IF(OR(原始資料!$A2="",10&gt;設定!$B$3,原始資料!M2=""),"",IF(AND(原始資料!L2&lt;&gt;"",原始資料!M2=原始資料!L2),N(J2)+1,1))</f>
        <v/>
      </c>
      <c r="L2" s="6">
        <f>IF(OR(原始資料!$A2="",11&gt;設定!$B$3,原始資料!N2=""),"",IF(AND(原始資料!M2&lt;&gt;"",原始資料!N2=原始資料!M2),N(K2)+1,1))</f>
        <v/>
      </c>
      <c r="M2" s="6">
        <f>IF(OR(原始資料!$A2="",12&gt;設定!$B$3,原始資料!O2=""),"",IF(AND(原始資料!N2&lt;&gt;"",原始資料!O2=原始資料!N2),N(L2)+1,1))</f>
        <v/>
      </c>
      <c r="N2" s="6">
        <f>IF(OR(原始資料!$A2="",13&gt;設定!$B$3,原始資料!P2=""),"",IF(AND(原始資料!O2&lt;&gt;"",原始資料!P2=原始資料!O2),N(M2)+1,1))</f>
        <v/>
      </c>
      <c r="O2" s="6">
        <f>IF(OR(原始資料!$A2="",14&gt;設定!$B$3,原始資料!Q2=""),"",IF(AND(原始資料!P2&lt;&gt;"",原始資料!Q2=原始資料!P2),N(N2)+1,1))</f>
        <v/>
      </c>
      <c r="P2" s="6">
        <f>IF(OR(原始資料!$A2="",15&gt;設定!$B$3,原始資料!R2=""),"",IF(AND(原始資料!Q2&lt;&gt;"",原始資料!R2=原始資料!Q2),N(O2)+1,1))</f>
        <v/>
      </c>
      <c r="Q2" s="6">
        <f>IF(OR(原始資料!$A2="",16&gt;設定!$B$3,原始資料!S2=""),"",IF(AND(原始資料!R2&lt;&gt;"",原始資料!S2=原始資料!R2),N(P2)+1,1))</f>
        <v/>
      </c>
      <c r="R2" s="6">
        <f>IF(OR(原始資料!$A2="",17&gt;設定!$B$3,原始資料!T2=""),"",IF(AND(原始資料!S2&lt;&gt;"",原始資料!T2=原始資料!S2),N(Q2)+1,1))</f>
        <v/>
      </c>
      <c r="S2" s="6">
        <f>IF(OR(原始資料!$A2="",18&gt;設定!$B$3,原始資料!U2=""),"",IF(AND(原始資料!T2&lt;&gt;"",原始資料!U2=原始資料!T2),N(R2)+1,1))</f>
        <v/>
      </c>
      <c r="T2" s="6">
        <f>IF(OR(原始資料!$A2="",19&gt;設定!$B$3,原始資料!V2=""),"",IF(AND(原始資料!U2&lt;&gt;"",原始資料!V2=原始資料!U2),N(S2)+1,1))</f>
        <v/>
      </c>
      <c r="U2" s="6">
        <f>IF(OR(原始資料!$A2="",20&gt;設定!$B$3,原始資料!W2=""),"",IF(AND(原始資料!V2&lt;&gt;"",原始資料!W2=原始資料!V2),N(T2)+1,1))</f>
        <v/>
      </c>
      <c r="V2" s="6">
        <f>IF(OR(原始資料!$A2="",21&gt;設定!$B$3,原始資料!X2=""),"",IF(AND(原始資料!W2&lt;&gt;"",原始資料!X2=原始資料!W2),N(U2)+1,1))</f>
        <v/>
      </c>
      <c r="W2" s="6">
        <f>IF(OR(原始資料!$A2="",22&gt;設定!$B$3,原始資料!Y2=""),"",IF(AND(原始資料!X2&lt;&gt;"",原始資料!Y2=原始資料!X2),N(V2)+1,1))</f>
        <v/>
      </c>
      <c r="X2" s="6">
        <f>IF(OR(原始資料!$A2="",23&gt;設定!$B$3,原始資料!Z2=""),"",IF(AND(原始資料!Y2&lt;&gt;"",原始資料!Z2=原始資料!Y2),N(W2)+1,1))</f>
        <v/>
      </c>
      <c r="Y2" s="6">
        <f>IF(OR(原始資料!$A2="",24&gt;設定!$B$3,原始資料!AA2=""),"",IF(AND(原始資料!Z2&lt;&gt;"",原始資料!AA2=原始資料!Z2),N(X2)+1,1))</f>
        <v/>
      </c>
      <c r="Z2" s="6">
        <f>IF(OR(原始資料!$A2="",25&gt;設定!$B$3,原始資料!AB2=""),"",IF(AND(原始資料!AA2&lt;&gt;"",原始資料!AB2=原始資料!AA2),N(Y2)+1,1))</f>
        <v/>
      </c>
      <c r="AA2" s="6">
        <f>IF(OR(原始資料!$A2="",26&gt;設定!$B$3,原始資料!AC2=""),"",IF(AND(原始資料!AB2&lt;&gt;"",原始資料!AC2=原始資料!AB2),N(Z2)+1,1))</f>
        <v/>
      </c>
      <c r="AB2" s="6">
        <f>IF(OR(原始資料!$A2="",27&gt;設定!$B$3,原始資料!AD2=""),"",IF(AND(原始資料!AC2&lt;&gt;"",原始資料!AD2=原始資料!AC2),N(AA2)+1,1))</f>
        <v/>
      </c>
      <c r="AC2" s="6">
        <f>IF(OR(原始資料!$A2="",28&gt;設定!$B$3,原始資料!AE2=""),"",IF(AND(原始資料!AD2&lt;&gt;"",原始資料!AE2=原始資料!AD2),N(AB2)+1,1))</f>
        <v/>
      </c>
      <c r="AD2" s="6">
        <f>IF(OR(原始資料!$A2="",29&gt;設定!$B$3,原始資料!AF2=""),"",IF(AND(原始資料!AE2&lt;&gt;"",原始資料!AF2=原始資料!AE2),N(AC2)+1,1))</f>
        <v/>
      </c>
      <c r="AE2" s="6">
        <f>IF(OR(原始資料!$A2="",30&gt;設定!$B$3,原始資料!AG2=""),"",IF(AND(原始資料!AF2&lt;&gt;"",原始資料!AG2=原始資料!AF2),N(AD2)+1,1))</f>
        <v/>
      </c>
      <c r="AF2" s="6">
        <f>IF(OR(原始資料!$A2="",31&gt;設定!$B$3,原始資料!AH2=""),"",IF(AND(原始資料!AG2&lt;&gt;"",原始資料!AH2=原始資料!AG2),N(AE2)+1,1))</f>
        <v/>
      </c>
      <c r="AG2" s="6">
        <f>IF(OR(原始資料!$A2="",32&gt;設定!$B$3,原始資料!AI2=""),"",IF(AND(原始資料!AH2&lt;&gt;"",原始資料!AI2=原始資料!AH2),N(AF2)+1,1))</f>
        <v/>
      </c>
      <c r="AH2" s="6">
        <f>IF(OR(原始資料!$A2="",33&gt;設定!$B$3,原始資料!AJ2=""),"",IF(AND(原始資料!AI2&lt;&gt;"",原始資料!AJ2=原始資料!AI2),N(AG2)+1,1))</f>
        <v/>
      </c>
      <c r="AI2" s="6">
        <f>IF(OR(原始資料!$A2="",34&gt;設定!$B$3,原始資料!AK2=""),"",IF(AND(原始資料!AJ2&lt;&gt;"",原始資料!AK2=原始資料!AJ2),N(AH2)+1,1))</f>
        <v/>
      </c>
      <c r="AJ2" s="6">
        <f>IF(OR(原始資料!$A2="",35&gt;設定!$B$3,原始資料!AL2=""),"",IF(AND(原始資料!AK2&lt;&gt;"",原始資料!AL2=原始資料!AK2),N(AI2)+1,1))</f>
        <v/>
      </c>
      <c r="AK2" s="6">
        <f>IF(OR(原始資料!$A2="",36&gt;設定!$B$3,原始資料!AM2=""),"",IF(AND(原始資料!AL2&lt;&gt;"",原始資料!AM2=原始資料!AL2),N(AJ2)+1,1))</f>
        <v/>
      </c>
      <c r="AL2" s="6">
        <f>IF(OR(原始資料!$A2="",37&gt;設定!$B$3,原始資料!AN2=""),"",IF(AND(原始資料!AM2&lt;&gt;"",原始資料!AN2=原始資料!AM2),N(AK2)+1,1))</f>
        <v/>
      </c>
      <c r="AM2" s="6">
        <f>IF(OR(原始資料!$A2="",38&gt;設定!$B$3,原始資料!AO2=""),"",IF(AND(原始資料!AN2&lt;&gt;"",原始資料!AO2=原始資料!AN2),N(AL2)+1,1))</f>
        <v/>
      </c>
      <c r="AN2" s="6">
        <f>IF(OR(原始資料!$A2="",39&gt;設定!$B$3,原始資料!AP2=""),"",IF(AND(原始資料!AO2&lt;&gt;"",原始資料!AP2=原始資料!AO2),N(AM2)+1,1))</f>
        <v/>
      </c>
      <c r="AO2" s="6">
        <f>IF(OR(原始資料!$A2="",40&gt;設定!$B$3,原始資料!AQ2=""),"",IF(AND(原始資料!AP2&lt;&gt;"",原始資料!AQ2=原始資料!AP2),N(AN2)+1,1))</f>
        <v/>
      </c>
      <c r="AP2" s="6">
        <f>IF(OR(原始資料!$A2="",41&gt;設定!$B$3,原始資料!AR2=""),"",IF(AND(原始資料!AQ2&lt;&gt;"",原始資料!AR2=原始資料!AQ2),N(AO2)+1,1))</f>
        <v/>
      </c>
      <c r="AQ2" s="6">
        <f>IF(OR(原始資料!$A2="",42&gt;設定!$B$3,原始資料!AS2=""),"",IF(AND(原始資料!AR2&lt;&gt;"",原始資料!AS2=原始資料!AR2),N(AP2)+1,1))</f>
        <v/>
      </c>
      <c r="AR2" s="6">
        <f>IF(OR(原始資料!$A2="",43&gt;設定!$B$3,原始資料!AT2=""),"",IF(AND(原始資料!AS2&lt;&gt;"",原始資料!AT2=原始資料!AS2),N(AQ2)+1,1))</f>
        <v/>
      </c>
      <c r="AS2" s="6">
        <f>IF(OR(原始資料!$A2="",44&gt;設定!$B$3,原始資料!AU2=""),"",IF(AND(原始資料!AT2&lt;&gt;"",原始資料!AU2=原始資料!AT2),N(AR2)+1,1))</f>
        <v/>
      </c>
      <c r="AT2" s="6">
        <f>IF(OR(原始資料!$A2="",45&gt;設定!$B$3,原始資料!AV2=""),"",IF(AND(原始資料!AU2&lt;&gt;"",原始資料!AV2=原始資料!AU2),N(AS2)+1,1))</f>
        <v/>
      </c>
      <c r="AU2" s="6">
        <f>IF(OR(原始資料!$A2="",46&gt;設定!$B$3,原始資料!AW2=""),"",IF(AND(原始資料!AV2&lt;&gt;"",原始資料!AW2=原始資料!AV2),N(AT2)+1,1))</f>
        <v/>
      </c>
      <c r="AV2" s="6">
        <f>IF(OR(原始資料!$A2="",47&gt;設定!$B$3,原始資料!AX2=""),"",IF(AND(原始資料!AW2&lt;&gt;"",原始資料!AX2=原始資料!AW2),N(AU2)+1,1))</f>
        <v/>
      </c>
      <c r="AW2" s="6">
        <f>IF(OR(原始資料!$A2="",48&gt;設定!$B$3,原始資料!AY2=""),"",IF(AND(原始資料!AX2&lt;&gt;"",原始資料!AY2=原始資料!AX2),N(AV2)+1,1))</f>
        <v/>
      </c>
      <c r="AX2" s="6">
        <f>IF(OR(原始資料!$A2="",49&gt;設定!$B$3,原始資料!AZ2=""),"",IF(AND(原始資料!AY2&lt;&gt;"",原始資料!AZ2=原始資料!AY2),N(AW2)+1,1))</f>
        <v/>
      </c>
      <c r="AY2" s="6">
        <f>IF(OR(原始資料!$A2="",50&gt;設定!$B$3,原始資料!BA2=""),"",IF(AND(原始資料!AZ2&lt;&gt;"",原始資料!BA2=原始資料!AZ2),N(AX2)+1,1))</f>
        <v/>
      </c>
      <c r="AZ2" s="6">
        <f>IF(OR(原始資料!$A2="",51&gt;設定!$B$3,原始資料!BB2=""),"",IF(AND(原始資料!BA2&lt;&gt;"",原始資料!BB2=原始資料!BA2),N(AY2)+1,1))</f>
        <v/>
      </c>
      <c r="BA2" s="6">
        <f>IF(OR(原始資料!$A2="",52&gt;設定!$B$3,原始資料!BC2=""),"",IF(AND(原始資料!BB2&lt;&gt;"",原始資料!BC2=原始資料!BB2),N(AZ2)+1,1))</f>
        <v/>
      </c>
      <c r="BB2" s="6">
        <f>IF(OR(原始資料!$A2="",53&gt;設定!$B$3,原始資料!BD2=""),"",IF(AND(原始資料!BC2&lt;&gt;"",原始資料!BD2=原始資料!BC2),N(BA2)+1,1))</f>
        <v/>
      </c>
      <c r="BC2" s="6">
        <f>IF(OR(原始資料!$A2="",54&gt;設定!$B$3,原始資料!BE2=""),"",IF(AND(原始資料!BD2&lt;&gt;"",原始資料!BE2=原始資料!BD2),N(BB2)+1,1))</f>
        <v/>
      </c>
      <c r="BD2" s="6">
        <f>IF(OR(原始資料!$A2="",55&gt;設定!$B$3,原始資料!BF2=""),"",IF(AND(原始資料!BE2&lt;&gt;"",原始資料!BF2=原始資料!BE2),N(BC2)+1,1))</f>
        <v/>
      </c>
      <c r="BE2" s="6">
        <f>IF(OR(原始資料!$A2="",56&gt;設定!$B$3,原始資料!BG2=""),"",IF(AND(原始資料!BF2&lt;&gt;"",原始資料!BG2=原始資料!BF2),N(BD2)+1,1))</f>
        <v/>
      </c>
      <c r="BF2" s="6">
        <f>IF(OR(原始資料!$A2="",57&gt;設定!$B$3,原始資料!BH2=""),"",IF(AND(原始資料!BG2&lt;&gt;"",原始資料!BH2=原始資料!BG2),N(BE2)+1,1))</f>
        <v/>
      </c>
      <c r="BG2" s="6">
        <f>IF(OR(原始資料!$A2="",58&gt;設定!$B$3,原始資料!BI2=""),"",IF(AND(原始資料!BH2&lt;&gt;"",原始資料!BI2=原始資料!BH2),N(BF2)+1,1))</f>
        <v/>
      </c>
      <c r="BH2" s="6">
        <f>IF(OR(原始資料!$A2="",59&gt;設定!$B$3,原始資料!BJ2=""),"",IF(AND(原始資料!BI2&lt;&gt;"",原始資料!BJ2=原始資料!BI2),N(BG2)+1,1))</f>
        <v/>
      </c>
      <c r="BI2" s="6">
        <f>IF(OR(原始資料!$A2="",60&gt;設定!$B$3,原始資料!BK2=""),"",IF(AND(原始資料!BJ2&lt;&gt;"",原始資料!BK2=原始資料!BJ2),N(BH2)+1,1))</f>
        <v/>
      </c>
    </row>
    <row r="3">
      <c r="A3" s="6">
        <f>IF(原始資料!$A3="","",原始資料!$A3)</f>
        <v/>
      </c>
      <c r="B3" s="6">
        <f>IF(OR(原始資料!$A3="",1&gt;設定!$B$3,原始資料!D3=""),"",1)</f>
        <v/>
      </c>
      <c r="C3" s="6">
        <f>IF(OR(原始資料!$A3="",2&gt;設定!$B$3,原始資料!E3=""),"",IF(AND(原始資料!D3&lt;&gt;"",原始資料!E3=原始資料!D3),N(B3)+1,1))</f>
        <v/>
      </c>
      <c r="D3" s="6">
        <f>IF(OR(原始資料!$A3="",3&gt;設定!$B$3,原始資料!F3=""),"",IF(AND(原始資料!E3&lt;&gt;"",原始資料!F3=原始資料!E3),N(C3)+1,1))</f>
        <v/>
      </c>
      <c r="E3" s="6">
        <f>IF(OR(原始資料!$A3="",4&gt;設定!$B$3,原始資料!G3=""),"",IF(AND(原始資料!F3&lt;&gt;"",原始資料!G3=原始資料!F3),N(D3)+1,1))</f>
        <v/>
      </c>
      <c r="F3" s="6">
        <f>IF(OR(原始資料!$A3="",5&gt;設定!$B$3,原始資料!H3=""),"",IF(AND(原始資料!G3&lt;&gt;"",原始資料!H3=原始資料!G3),N(E3)+1,1))</f>
        <v/>
      </c>
      <c r="G3" s="6">
        <f>IF(OR(原始資料!$A3="",6&gt;設定!$B$3,原始資料!I3=""),"",IF(AND(原始資料!H3&lt;&gt;"",原始資料!I3=原始資料!H3),N(F3)+1,1))</f>
        <v/>
      </c>
      <c r="H3" s="6">
        <f>IF(OR(原始資料!$A3="",7&gt;設定!$B$3,原始資料!J3=""),"",IF(AND(原始資料!I3&lt;&gt;"",原始資料!J3=原始資料!I3),N(G3)+1,1))</f>
        <v/>
      </c>
      <c r="I3" s="6">
        <f>IF(OR(原始資料!$A3="",8&gt;設定!$B$3,原始資料!K3=""),"",IF(AND(原始資料!J3&lt;&gt;"",原始資料!K3=原始資料!J3),N(H3)+1,1))</f>
        <v/>
      </c>
      <c r="J3" s="6">
        <f>IF(OR(原始資料!$A3="",9&gt;設定!$B$3,原始資料!L3=""),"",IF(AND(原始資料!K3&lt;&gt;"",原始資料!L3=原始資料!K3),N(I3)+1,1))</f>
        <v/>
      </c>
      <c r="K3" s="6">
        <f>IF(OR(原始資料!$A3="",10&gt;設定!$B$3,原始資料!M3=""),"",IF(AND(原始資料!L3&lt;&gt;"",原始資料!M3=原始資料!L3),N(J3)+1,1))</f>
        <v/>
      </c>
      <c r="L3" s="6">
        <f>IF(OR(原始資料!$A3="",11&gt;設定!$B$3,原始資料!N3=""),"",IF(AND(原始資料!M3&lt;&gt;"",原始資料!N3=原始資料!M3),N(K3)+1,1))</f>
        <v/>
      </c>
      <c r="M3" s="6">
        <f>IF(OR(原始資料!$A3="",12&gt;設定!$B$3,原始資料!O3=""),"",IF(AND(原始資料!N3&lt;&gt;"",原始資料!O3=原始資料!N3),N(L3)+1,1))</f>
        <v/>
      </c>
      <c r="N3" s="6">
        <f>IF(OR(原始資料!$A3="",13&gt;設定!$B$3,原始資料!P3=""),"",IF(AND(原始資料!O3&lt;&gt;"",原始資料!P3=原始資料!O3),N(M3)+1,1))</f>
        <v/>
      </c>
      <c r="O3" s="6">
        <f>IF(OR(原始資料!$A3="",14&gt;設定!$B$3,原始資料!Q3=""),"",IF(AND(原始資料!P3&lt;&gt;"",原始資料!Q3=原始資料!P3),N(N3)+1,1))</f>
        <v/>
      </c>
      <c r="P3" s="6">
        <f>IF(OR(原始資料!$A3="",15&gt;設定!$B$3,原始資料!R3=""),"",IF(AND(原始資料!Q3&lt;&gt;"",原始資料!R3=原始資料!Q3),N(O3)+1,1))</f>
        <v/>
      </c>
      <c r="Q3" s="6">
        <f>IF(OR(原始資料!$A3="",16&gt;設定!$B$3,原始資料!S3=""),"",IF(AND(原始資料!R3&lt;&gt;"",原始資料!S3=原始資料!R3),N(P3)+1,1))</f>
        <v/>
      </c>
      <c r="R3" s="6">
        <f>IF(OR(原始資料!$A3="",17&gt;設定!$B$3,原始資料!T3=""),"",IF(AND(原始資料!S3&lt;&gt;"",原始資料!T3=原始資料!S3),N(Q3)+1,1))</f>
        <v/>
      </c>
      <c r="S3" s="6">
        <f>IF(OR(原始資料!$A3="",18&gt;設定!$B$3,原始資料!U3=""),"",IF(AND(原始資料!T3&lt;&gt;"",原始資料!U3=原始資料!T3),N(R3)+1,1))</f>
        <v/>
      </c>
      <c r="T3" s="6">
        <f>IF(OR(原始資料!$A3="",19&gt;設定!$B$3,原始資料!V3=""),"",IF(AND(原始資料!U3&lt;&gt;"",原始資料!V3=原始資料!U3),N(S3)+1,1))</f>
        <v/>
      </c>
      <c r="U3" s="6">
        <f>IF(OR(原始資料!$A3="",20&gt;設定!$B$3,原始資料!W3=""),"",IF(AND(原始資料!V3&lt;&gt;"",原始資料!W3=原始資料!V3),N(T3)+1,1))</f>
        <v/>
      </c>
      <c r="V3" s="6">
        <f>IF(OR(原始資料!$A3="",21&gt;設定!$B$3,原始資料!X3=""),"",IF(AND(原始資料!W3&lt;&gt;"",原始資料!X3=原始資料!W3),N(U3)+1,1))</f>
        <v/>
      </c>
      <c r="W3" s="6">
        <f>IF(OR(原始資料!$A3="",22&gt;設定!$B$3,原始資料!Y3=""),"",IF(AND(原始資料!X3&lt;&gt;"",原始資料!Y3=原始資料!X3),N(V3)+1,1))</f>
        <v/>
      </c>
      <c r="X3" s="6">
        <f>IF(OR(原始資料!$A3="",23&gt;設定!$B$3,原始資料!Z3=""),"",IF(AND(原始資料!Y3&lt;&gt;"",原始資料!Z3=原始資料!Y3),N(W3)+1,1))</f>
        <v/>
      </c>
      <c r="Y3" s="6">
        <f>IF(OR(原始資料!$A3="",24&gt;設定!$B$3,原始資料!AA3=""),"",IF(AND(原始資料!Z3&lt;&gt;"",原始資料!AA3=原始資料!Z3),N(X3)+1,1))</f>
        <v/>
      </c>
      <c r="Z3" s="6">
        <f>IF(OR(原始資料!$A3="",25&gt;設定!$B$3,原始資料!AB3=""),"",IF(AND(原始資料!AA3&lt;&gt;"",原始資料!AB3=原始資料!AA3),N(Y3)+1,1))</f>
        <v/>
      </c>
      <c r="AA3" s="6">
        <f>IF(OR(原始資料!$A3="",26&gt;設定!$B$3,原始資料!AC3=""),"",IF(AND(原始資料!AB3&lt;&gt;"",原始資料!AC3=原始資料!AB3),N(Z3)+1,1))</f>
        <v/>
      </c>
      <c r="AB3" s="6">
        <f>IF(OR(原始資料!$A3="",27&gt;設定!$B$3,原始資料!AD3=""),"",IF(AND(原始資料!AC3&lt;&gt;"",原始資料!AD3=原始資料!AC3),N(AA3)+1,1))</f>
        <v/>
      </c>
      <c r="AC3" s="6">
        <f>IF(OR(原始資料!$A3="",28&gt;設定!$B$3,原始資料!AE3=""),"",IF(AND(原始資料!AD3&lt;&gt;"",原始資料!AE3=原始資料!AD3),N(AB3)+1,1))</f>
        <v/>
      </c>
      <c r="AD3" s="6">
        <f>IF(OR(原始資料!$A3="",29&gt;設定!$B$3,原始資料!AF3=""),"",IF(AND(原始資料!AE3&lt;&gt;"",原始資料!AF3=原始資料!AE3),N(AC3)+1,1))</f>
        <v/>
      </c>
      <c r="AE3" s="6">
        <f>IF(OR(原始資料!$A3="",30&gt;設定!$B$3,原始資料!AG3=""),"",IF(AND(原始資料!AF3&lt;&gt;"",原始資料!AG3=原始資料!AF3),N(AD3)+1,1))</f>
        <v/>
      </c>
      <c r="AF3" s="6">
        <f>IF(OR(原始資料!$A3="",31&gt;設定!$B$3,原始資料!AH3=""),"",IF(AND(原始資料!AG3&lt;&gt;"",原始資料!AH3=原始資料!AG3),N(AE3)+1,1))</f>
        <v/>
      </c>
      <c r="AG3" s="6">
        <f>IF(OR(原始資料!$A3="",32&gt;設定!$B$3,原始資料!AI3=""),"",IF(AND(原始資料!AH3&lt;&gt;"",原始資料!AI3=原始資料!AH3),N(AF3)+1,1))</f>
        <v/>
      </c>
      <c r="AH3" s="6">
        <f>IF(OR(原始資料!$A3="",33&gt;設定!$B$3,原始資料!AJ3=""),"",IF(AND(原始資料!AI3&lt;&gt;"",原始資料!AJ3=原始資料!AI3),N(AG3)+1,1))</f>
        <v/>
      </c>
      <c r="AI3" s="6">
        <f>IF(OR(原始資料!$A3="",34&gt;設定!$B$3,原始資料!AK3=""),"",IF(AND(原始資料!AJ3&lt;&gt;"",原始資料!AK3=原始資料!AJ3),N(AH3)+1,1))</f>
        <v/>
      </c>
      <c r="AJ3" s="6">
        <f>IF(OR(原始資料!$A3="",35&gt;設定!$B$3,原始資料!AL3=""),"",IF(AND(原始資料!AK3&lt;&gt;"",原始資料!AL3=原始資料!AK3),N(AI3)+1,1))</f>
        <v/>
      </c>
      <c r="AK3" s="6">
        <f>IF(OR(原始資料!$A3="",36&gt;設定!$B$3,原始資料!AM3=""),"",IF(AND(原始資料!AL3&lt;&gt;"",原始資料!AM3=原始資料!AL3),N(AJ3)+1,1))</f>
        <v/>
      </c>
      <c r="AL3" s="6">
        <f>IF(OR(原始資料!$A3="",37&gt;設定!$B$3,原始資料!AN3=""),"",IF(AND(原始資料!AM3&lt;&gt;"",原始資料!AN3=原始資料!AM3),N(AK3)+1,1))</f>
        <v/>
      </c>
      <c r="AM3" s="6">
        <f>IF(OR(原始資料!$A3="",38&gt;設定!$B$3,原始資料!AO3=""),"",IF(AND(原始資料!AN3&lt;&gt;"",原始資料!AO3=原始資料!AN3),N(AL3)+1,1))</f>
        <v/>
      </c>
      <c r="AN3" s="6">
        <f>IF(OR(原始資料!$A3="",39&gt;設定!$B$3,原始資料!AP3=""),"",IF(AND(原始資料!AO3&lt;&gt;"",原始資料!AP3=原始資料!AO3),N(AM3)+1,1))</f>
        <v/>
      </c>
      <c r="AO3" s="6">
        <f>IF(OR(原始資料!$A3="",40&gt;設定!$B$3,原始資料!AQ3=""),"",IF(AND(原始資料!AP3&lt;&gt;"",原始資料!AQ3=原始資料!AP3),N(AN3)+1,1))</f>
        <v/>
      </c>
      <c r="AP3" s="6">
        <f>IF(OR(原始資料!$A3="",41&gt;設定!$B$3,原始資料!AR3=""),"",IF(AND(原始資料!AQ3&lt;&gt;"",原始資料!AR3=原始資料!AQ3),N(AO3)+1,1))</f>
        <v/>
      </c>
      <c r="AQ3" s="6">
        <f>IF(OR(原始資料!$A3="",42&gt;設定!$B$3,原始資料!AS3=""),"",IF(AND(原始資料!AR3&lt;&gt;"",原始資料!AS3=原始資料!AR3),N(AP3)+1,1))</f>
        <v/>
      </c>
      <c r="AR3" s="6">
        <f>IF(OR(原始資料!$A3="",43&gt;設定!$B$3,原始資料!AT3=""),"",IF(AND(原始資料!AS3&lt;&gt;"",原始資料!AT3=原始資料!AS3),N(AQ3)+1,1))</f>
        <v/>
      </c>
      <c r="AS3" s="6">
        <f>IF(OR(原始資料!$A3="",44&gt;設定!$B$3,原始資料!AU3=""),"",IF(AND(原始資料!AT3&lt;&gt;"",原始資料!AU3=原始資料!AT3),N(AR3)+1,1))</f>
        <v/>
      </c>
      <c r="AT3" s="6">
        <f>IF(OR(原始資料!$A3="",45&gt;設定!$B$3,原始資料!AV3=""),"",IF(AND(原始資料!AU3&lt;&gt;"",原始資料!AV3=原始資料!AU3),N(AS3)+1,1))</f>
        <v/>
      </c>
      <c r="AU3" s="6">
        <f>IF(OR(原始資料!$A3="",46&gt;設定!$B$3,原始資料!AW3=""),"",IF(AND(原始資料!AV3&lt;&gt;"",原始資料!AW3=原始資料!AV3),N(AT3)+1,1))</f>
        <v/>
      </c>
      <c r="AV3" s="6">
        <f>IF(OR(原始資料!$A3="",47&gt;設定!$B$3,原始資料!AX3=""),"",IF(AND(原始資料!AW3&lt;&gt;"",原始資料!AX3=原始資料!AW3),N(AU3)+1,1))</f>
        <v/>
      </c>
      <c r="AW3" s="6">
        <f>IF(OR(原始資料!$A3="",48&gt;設定!$B$3,原始資料!AY3=""),"",IF(AND(原始資料!AX3&lt;&gt;"",原始資料!AY3=原始資料!AX3),N(AV3)+1,1))</f>
        <v/>
      </c>
      <c r="AX3" s="6">
        <f>IF(OR(原始資料!$A3="",49&gt;設定!$B$3,原始資料!AZ3=""),"",IF(AND(原始資料!AY3&lt;&gt;"",原始資料!AZ3=原始資料!AY3),N(AW3)+1,1))</f>
        <v/>
      </c>
      <c r="AY3" s="6">
        <f>IF(OR(原始資料!$A3="",50&gt;設定!$B$3,原始資料!BA3=""),"",IF(AND(原始資料!AZ3&lt;&gt;"",原始資料!BA3=原始資料!AZ3),N(AX3)+1,1))</f>
        <v/>
      </c>
      <c r="AZ3" s="6">
        <f>IF(OR(原始資料!$A3="",51&gt;設定!$B$3,原始資料!BB3=""),"",IF(AND(原始資料!BA3&lt;&gt;"",原始資料!BB3=原始資料!BA3),N(AY3)+1,1))</f>
        <v/>
      </c>
      <c r="BA3" s="6">
        <f>IF(OR(原始資料!$A3="",52&gt;設定!$B$3,原始資料!BC3=""),"",IF(AND(原始資料!BB3&lt;&gt;"",原始資料!BC3=原始資料!BB3),N(AZ3)+1,1))</f>
        <v/>
      </c>
      <c r="BB3" s="6">
        <f>IF(OR(原始資料!$A3="",53&gt;設定!$B$3,原始資料!BD3=""),"",IF(AND(原始資料!BC3&lt;&gt;"",原始資料!BD3=原始資料!BC3),N(BA3)+1,1))</f>
        <v/>
      </c>
      <c r="BC3" s="6">
        <f>IF(OR(原始資料!$A3="",54&gt;設定!$B$3,原始資料!BE3=""),"",IF(AND(原始資料!BD3&lt;&gt;"",原始資料!BE3=原始資料!BD3),N(BB3)+1,1))</f>
        <v/>
      </c>
      <c r="BD3" s="6">
        <f>IF(OR(原始資料!$A3="",55&gt;設定!$B$3,原始資料!BF3=""),"",IF(AND(原始資料!BE3&lt;&gt;"",原始資料!BF3=原始資料!BE3),N(BC3)+1,1))</f>
        <v/>
      </c>
      <c r="BE3" s="6">
        <f>IF(OR(原始資料!$A3="",56&gt;設定!$B$3,原始資料!BG3=""),"",IF(AND(原始資料!BF3&lt;&gt;"",原始資料!BG3=原始資料!BF3),N(BD3)+1,1))</f>
        <v/>
      </c>
      <c r="BF3" s="6">
        <f>IF(OR(原始資料!$A3="",57&gt;設定!$B$3,原始資料!BH3=""),"",IF(AND(原始資料!BG3&lt;&gt;"",原始資料!BH3=原始資料!BG3),N(BE3)+1,1))</f>
        <v/>
      </c>
      <c r="BG3" s="6">
        <f>IF(OR(原始資料!$A3="",58&gt;設定!$B$3,原始資料!BI3=""),"",IF(AND(原始資料!BH3&lt;&gt;"",原始資料!BI3=原始資料!BH3),N(BF3)+1,1))</f>
        <v/>
      </c>
      <c r="BH3" s="6">
        <f>IF(OR(原始資料!$A3="",59&gt;設定!$B$3,原始資料!BJ3=""),"",IF(AND(原始資料!BI3&lt;&gt;"",原始資料!BJ3=原始資料!BI3),N(BG3)+1,1))</f>
        <v/>
      </c>
      <c r="BI3" s="6">
        <f>IF(OR(原始資料!$A3="",60&gt;設定!$B$3,原始資料!BK3=""),"",IF(AND(原始資料!BJ3&lt;&gt;"",原始資料!BK3=原始資料!BJ3),N(BH3)+1,1))</f>
        <v/>
      </c>
    </row>
    <row r="4">
      <c r="A4" s="6">
        <f>IF(原始資料!$A4="","",原始資料!$A4)</f>
        <v/>
      </c>
      <c r="B4" s="6">
        <f>IF(OR(原始資料!$A4="",1&gt;設定!$B$3,原始資料!D4=""),"",1)</f>
        <v/>
      </c>
      <c r="C4" s="6">
        <f>IF(OR(原始資料!$A4="",2&gt;設定!$B$3,原始資料!E4=""),"",IF(AND(原始資料!D4&lt;&gt;"",原始資料!E4=原始資料!D4),N(B4)+1,1))</f>
        <v/>
      </c>
      <c r="D4" s="6">
        <f>IF(OR(原始資料!$A4="",3&gt;設定!$B$3,原始資料!F4=""),"",IF(AND(原始資料!E4&lt;&gt;"",原始資料!F4=原始資料!E4),N(C4)+1,1))</f>
        <v/>
      </c>
      <c r="E4" s="6">
        <f>IF(OR(原始資料!$A4="",4&gt;設定!$B$3,原始資料!G4=""),"",IF(AND(原始資料!F4&lt;&gt;"",原始資料!G4=原始資料!F4),N(D4)+1,1))</f>
        <v/>
      </c>
      <c r="F4" s="6">
        <f>IF(OR(原始資料!$A4="",5&gt;設定!$B$3,原始資料!H4=""),"",IF(AND(原始資料!G4&lt;&gt;"",原始資料!H4=原始資料!G4),N(E4)+1,1))</f>
        <v/>
      </c>
      <c r="G4" s="6">
        <f>IF(OR(原始資料!$A4="",6&gt;設定!$B$3,原始資料!I4=""),"",IF(AND(原始資料!H4&lt;&gt;"",原始資料!I4=原始資料!H4),N(F4)+1,1))</f>
        <v/>
      </c>
      <c r="H4" s="6">
        <f>IF(OR(原始資料!$A4="",7&gt;設定!$B$3,原始資料!J4=""),"",IF(AND(原始資料!I4&lt;&gt;"",原始資料!J4=原始資料!I4),N(G4)+1,1))</f>
        <v/>
      </c>
      <c r="I4" s="6">
        <f>IF(OR(原始資料!$A4="",8&gt;設定!$B$3,原始資料!K4=""),"",IF(AND(原始資料!J4&lt;&gt;"",原始資料!K4=原始資料!J4),N(H4)+1,1))</f>
        <v/>
      </c>
      <c r="J4" s="6">
        <f>IF(OR(原始資料!$A4="",9&gt;設定!$B$3,原始資料!L4=""),"",IF(AND(原始資料!K4&lt;&gt;"",原始資料!L4=原始資料!K4),N(I4)+1,1))</f>
        <v/>
      </c>
      <c r="K4" s="6">
        <f>IF(OR(原始資料!$A4="",10&gt;設定!$B$3,原始資料!M4=""),"",IF(AND(原始資料!L4&lt;&gt;"",原始資料!M4=原始資料!L4),N(J4)+1,1))</f>
        <v/>
      </c>
      <c r="L4" s="6">
        <f>IF(OR(原始資料!$A4="",11&gt;設定!$B$3,原始資料!N4=""),"",IF(AND(原始資料!M4&lt;&gt;"",原始資料!N4=原始資料!M4),N(K4)+1,1))</f>
        <v/>
      </c>
      <c r="M4" s="6">
        <f>IF(OR(原始資料!$A4="",12&gt;設定!$B$3,原始資料!O4=""),"",IF(AND(原始資料!N4&lt;&gt;"",原始資料!O4=原始資料!N4),N(L4)+1,1))</f>
        <v/>
      </c>
      <c r="N4" s="6">
        <f>IF(OR(原始資料!$A4="",13&gt;設定!$B$3,原始資料!P4=""),"",IF(AND(原始資料!O4&lt;&gt;"",原始資料!P4=原始資料!O4),N(M4)+1,1))</f>
        <v/>
      </c>
      <c r="O4" s="6">
        <f>IF(OR(原始資料!$A4="",14&gt;設定!$B$3,原始資料!Q4=""),"",IF(AND(原始資料!P4&lt;&gt;"",原始資料!Q4=原始資料!P4),N(N4)+1,1))</f>
        <v/>
      </c>
      <c r="P4" s="6">
        <f>IF(OR(原始資料!$A4="",15&gt;設定!$B$3,原始資料!R4=""),"",IF(AND(原始資料!Q4&lt;&gt;"",原始資料!R4=原始資料!Q4),N(O4)+1,1))</f>
        <v/>
      </c>
      <c r="Q4" s="6">
        <f>IF(OR(原始資料!$A4="",16&gt;設定!$B$3,原始資料!S4=""),"",IF(AND(原始資料!R4&lt;&gt;"",原始資料!S4=原始資料!R4),N(P4)+1,1))</f>
        <v/>
      </c>
      <c r="R4" s="6">
        <f>IF(OR(原始資料!$A4="",17&gt;設定!$B$3,原始資料!T4=""),"",IF(AND(原始資料!S4&lt;&gt;"",原始資料!T4=原始資料!S4),N(Q4)+1,1))</f>
        <v/>
      </c>
      <c r="S4" s="6">
        <f>IF(OR(原始資料!$A4="",18&gt;設定!$B$3,原始資料!U4=""),"",IF(AND(原始資料!T4&lt;&gt;"",原始資料!U4=原始資料!T4),N(R4)+1,1))</f>
        <v/>
      </c>
      <c r="T4" s="6">
        <f>IF(OR(原始資料!$A4="",19&gt;設定!$B$3,原始資料!V4=""),"",IF(AND(原始資料!U4&lt;&gt;"",原始資料!V4=原始資料!U4),N(S4)+1,1))</f>
        <v/>
      </c>
      <c r="U4" s="6">
        <f>IF(OR(原始資料!$A4="",20&gt;設定!$B$3,原始資料!W4=""),"",IF(AND(原始資料!V4&lt;&gt;"",原始資料!W4=原始資料!V4),N(T4)+1,1))</f>
        <v/>
      </c>
      <c r="V4" s="6">
        <f>IF(OR(原始資料!$A4="",21&gt;設定!$B$3,原始資料!X4=""),"",IF(AND(原始資料!W4&lt;&gt;"",原始資料!X4=原始資料!W4),N(U4)+1,1))</f>
        <v/>
      </c>
      <c r="W4" s="6">
        <f>IF(OR(原始資料!$A4="",22&gt;設定!$B$3,原始資料!Y4=""),"",IF(AND(原始資料!X4&lt;&gt;"",原始資料!Y4=原始資料!X4),N(V4)+1,1))</f>
        <v/>
      </c>
      <c r="X4" s="6">
        <f>IF(OR(原始資料!$A4="",23&gt;設定!$B$3,原始資料!Z4=""),"",IF(AND(原始資料!Y4&lt;&gt;"",原始資料!Z4=原始資料!Y4),N(W4)+1,1))</f>
        <v/>
      </c>
      <c r="Y4" s="6">
        <f>IF(OR(原始資料!$A4="",24&gt;設定!$B$3,原始資料!AA4=""),"",IF(AND(原始資料!Z4&lt;&gt;"",原始資料!AA4=原始資料!Z4),N(X4)+1,1))</f>
        <v/>
      </c>
      <c r="Z4" s="6">
        <f>IF(OR(原始資料!$A4="",25&gt;設定!$B$3,原始資料!AB4=""),"",IF(AND(原始資料!AA4&lt;&gt;"",原始資料!AB4=原始資料!AA4),N(Y4)+1,1))</f>
        <v/>
      </c>
      <c r="AA4" s="6">
        <f>IF(OR(原始資料!$A4="",26&gt;設定!$B$3,原始資料!AC4=""),"",IF(AND(原始資料!AB4&lt;&gt;"",原始資料!AC4=原始資料!AB4),N(Z4)+1,1))</f>
        <v/>
      </c>
      <c r="AB4" s="6">
        <f>IF(OR(原始資料!$A4="",27&gt;設定!$B$3,原始資料!AD4=""),"",IF(AND(原始資料!AC4&lt;&gt;"",原始資料!AD4=原始資料!AC4),N(AA4)+1,1))</f>
        <v/>
      </c>
      <c r="AC4" s="6">
        <f>IF(OR(原始資料!$A4="",28&gt;設定!$B$3,原始資料!AE4=""),"",IF(AND(原始資料!AD4&lt;&gt;"",原始資料!AE4=原始資料!AD4),N(AB4)+1,1))</f>
        <v/>
      </c>
      <c r="AD4" s="6">
        <f>IF(OR(原始資料!$A4="",29&gt;設定!$B$3,原始資料!AF4=""),"",IF(AND(原始資料!AE4&lt;&gt;"",原始資料!AF4=原始資料!AE4),N(AC4)+1,1))</f>
        <v/>
      </c>
      <c r="AE4" s="6">
        <f>IF(OR(原始資料!$A4="",30&gt;設定!$B$3,原始資料!AG4=""),"",IF(AND(原始資料!AF4&lt;&gt;"",原始資料!AG4=原始資料!AF4),N(AD4)+1,1))</f>
        <v/>
      </c>
      <c r="AF4" s="6">
        <f>IF(OR(原始資料!$A4="",31&gt;設定!$B$3,原始資料!AH4=""),"",IF(AND(原始資料!AG4&lt;&gt;"",原始資料!AH4=原始資料!AG4),N(AE4)+1,1))</f>
        <v/>
      </c>
      <c r="AG4" s="6">
        <f>IF(OR(原始資料!$A4="",32&gt;設定!$B$3,原始資料!AI4=""),"",IF(AND(原始資料!AH4&lt;&gt;"",原始資料!AI4=原始資料!AH4),N(AF4)+1,1))</f>
        <v/>
      </c>
      <c r="AH4" s="6">
        <f>IF(OR(原始資料!$A4="",33&gt;設定!$B$3,原始資料!AJ4=""),"",IF(AND(原始資料!AI4&lt;&gt;"",原始資料!AJ4=原始資料!AI4),N(AG4)+1,1))</f>
        <v/>
      </c>
      <c r="AI4" s="6">
        <f>IF(OR(原始資料!$A4="",34&gt;設定!$B$3,原始資料!AK4=""),"",IF(AND(原始資料!AJ4&lt;&gt;"",原始資料!AK4=原始資料!AJ4),N(AH4)+1,1))</f>
        <v/>
      </c>
      <c r="AJ4" s="6">
        <f>IF(OR(原始資料!$A4="",35&gt;設定!$B$3,原始資料!AL4=""),"",IF(AND(原始資料!AK4&lt;&gt;"",原始資料!AL4=原始資料!AK4),N(AI4)+1,1))</f>
        <v/>
      </c>
      <c r="AK4" s="6">
        <f>IF(OR(原始資料!$A4="",36&gt;設定!$B$3,原始資料!AM4=""),"",IF(AND(原始資料!AL4&lt;&gt;"",原始資料!AM4=原始資料!AL4),N(AJ4)+1,1))</f>
        <v/>
      </c>
      <c r="AL4" s="6">
        <f>IF(OR(原始資料!$A4="",37&gt;設定!$B$3,原始資料!AN4=""),"",IF(AND(原始資料!AM4&lt;&gt;"",原始資料!AN4=原始資料!AM4),N(AK4)+1,1))</f>
        <v/>
      </c>
      <c r="AM4" s="6">
        <f>IF(OR(原始資料!$A4="",38&gt;設定!$B$3,原始資料!AO4=""),"",IF(AND(原始資料!AN4&lt;&gt;"",原始資料!AO4=原始資料!AN4),N(AL4)+1,1))</f>
        <v/>
      </c>
      <c r="AN4" s="6">
        <f>IF(OR(原始資料!$A4="",39&gt;設定!$B$3,原始資料!AP4=""),"",IF(AND(原始資料!AO4&lt;&gt;"",原始資料!AP4=原始資料!AO4),N(AM4)+1,1))</f>
        <v/>
      </c>
      <c r="AO4" s="6">
        <f>IF(OR(原始資料!$A4="",40&gt;設定!$B$3,原始資料!AQ4=""),"",IF(AND(原始資料!AP4&lt;&gt;"",原始資料!AQ4=原始資料!AP4),N(AN4)+1,1))</f>
        <v/>
      </c>
      <c r="AP4" s="6">
        <f>IF(OR(原始資料!$A4="",41&gt;設定!$B$3,原始資料!AR4=""),"",IF(AND(原始資料!AQ4&lt;&gt;"",原始資料!AR4=原始資料!AQ4),N(AO4)+1,1))</f>
        <v/>
      </c>
      <c r="AQ4" s="6">
        <f>IF(OR(原始資料!$A4="",42&gt;設定!$B$3,原始資料!AS4=""),"",IF(AND(原始資料!AR4&lt;&gt;"",原始資料!AS4=原始資料!AR4),N(AP4)+1,1))</f>
        <v/>
      </c>
      <c r="AR4" s="6">
        <f>IF(OR(原始資料!$A4="",43&gt;設定!$B$3,原始資料!AT4=""),"",IF(AND(原始資料!AS4&lt;&gt;"",原始資料!AT4=原始資料!AS4),N(AQ4)+1,1))</f>
        <v/>
      </c>
      <c r="AS4" s="6">
        <f>IF(OR(原始資料!$A4="",44&gt;設定!$B$3,原始資料!AU4=""),"",IF(AND(原始資料!AT4&lt;&gt;"",原始資料!AU4=原始資料!AT4),N(AR4)+1,1))</f>
        <v/>
      </c>
      <c r="AT4" s="6">
        <f>IF(OR(原始資料!$A4="",45&gt;設定!$B$3,原始資料!AV4=""),"",IF(AND(原始資料!AU4&lt;&gt;"",原始資料!AV4=原始資料!AU4),N(AS4)+1,1))</f>
        <v/>
      </c>
      <c r="AU4" s="6">
        <f>IF(OR(原始資料!$A4="",46&gt;設定!$B$3,原始資料!AW4=""),"",IF(AND(原始資料!AV4&lt;&gt;"",原始資料!AW4=原始資料!AV4),N(AT4)+1,1))</f>
        <v/>
      </c>
      <c r="AV4" s="6">
        <f>IF(OR(原始資料!$A4="",47&gt;設定!$B$3,原始資料!AX4=""),"",IF(AND(原始資料!AW4&lt;&gt;"",原始資料!AX4=原始資料!AW4),N(AU4)+1,1))</f>
        <v/>
      </c>
      <c r="AW4" s="6">
        <f>IF(OR(原始資料!$A4="",48&gt;設定!$B$3,原始資料!AY4=""),"",IF(AND(原始資料!AX4&lt;&gt;"",原始資料!AY4=原始資料!AX4),N(AV4)+1,1))</f>
        <v/>
      </c>
      <c r="AX4" s="6">
        <f>IF(OR(原始資料!$A4="",49&gt;設定!$B$3,原始資料!AZ4=""),"",IF(AND(原始資料!AY4&lt;&gt;"",原始資料!AZ4=原始資料!AY4),N(AW4)+1,1))</f>
        <v/>
      </c>
      <c r="AY4" s="6">
        <f>IF(OR(原始資料!$A4="",50&gt;設定!$B$3,原始資料!BA4=""),"",IF(AND(原始資料!AZ4&lt;&gt;"",原始資料!BA4=原始資料!AZ4),N(AX4)+1,1))</f>
        <v/>
      </c>
      <c r="AZ4" s="6">
        <f>IF(OR(原始資料!$A4="",51&gt;設定!$B$3,原始資料!BB4=""),"",IF(AND(原始資料!BA4&lt;&gt;"",原始資料!BB4=原始資料!BA4),N(AY4)+1,1))</f>
        <v/>
      </c>
      <c r="BA4" s="6">
        <f>IF(OR(原始資料!$A4="",52&gt;設定!$B$3,原始資料!BC4=""),"",IF(AND(原始資料!BB4&lt;&gt;"",原始資料!BC4=原始資料!BB4),N(AZ4)+1,1))</f>
        <v/>
      </c>
      <c r="BB4" s="6">
        <f>IF(OR(原始資料!$A4="",53&gt;設定!$B$3,原始資料!BD4=""),"",IF(AND(原始資料!BC4&lt;&gt;"",原始資料!BD4=原始資料!BC4),N(BA4)+1,1))</f>
        <v/>
      </c>
      <c r="BC4" s="6">
        <f>IF(OR(原始資料!$A4="",54&gt;設定!$B$3,原始資料!BE4=""),"",IF(AND(原始資料!BD4&lt;&gt;"",原始資料!BE4=原始資料!BD4),N(BB4)+1,1))</f>
        <v/>
      </c>
      <c r="BD4" s="6">
        <f>IF(OR(原始資料!$A4="",55&gt;設定!$B$3,原始資料!BF4=""),"",IF(AND(原始資料!BE4&lt;&gt;"",原始資料!BF4=原始資料!BE4),N(BC4)+1,1))</f>
        <v/>
      </c>
      <c r="BE4" s="6">
        <f>IF(OR(原始資料!$A4="",56&gt;設定!$B$3,原始資料!BG4=""),"",IF(AND(原始資料!BF4&lt;&gt;"",原始資料!BG4=原始資料!BF4),N(BD4)+1,1))</f>
        <v/>
      </c>
      <c r="BF4" s="6">
        <f>IF(OR(原始資料!$A4="",57&gt;設定!$B$3,原始資料!BH4=""),"",IF(AND(原始資料!BG4&lt;&gt;"",原始資料!BH4=原始資料!BG4),N(BE4)+1,1))</f>
        <v/>
      </c>
      <c r="BG4" s="6">
        <f>IF(OR(原始資料!$A4="",58&gt;設定!$B$3,原始資料!BI4=""),"",IF(AND(原始資料!BH4&lt;&gt;"",原始資料!BI4=原始資料!BH4),N(BF4)+1,1))</f>
        <v/>
      </c>
      <c r="BH4" s="6">
        <f>IF(OR(原始資料!$A4="",59&gt;設定!$B$3,原始資料!BJ4=""),"",IF(AND(原始資料!BI4&lt;&gt;"",原始資料!BJ4=原始資料!BI4),N(BG4)+1,1))</f>
        <v/>
      </c>
      <c r="BI4" s="6">
        <f>IF(OR(原始資料!$A4="",60&gt;設定!$B$3,原始資料!BK4=""),"",IF(AND(原始資料!BJ4&lt;&gt;"",原始資料!BK4=原始資料!BJ4),N(BH4)+1,1))</f>
        <v/>
      </c>
    </row>
    <row r="5">
      <c r="A5" s="6">
        <f>IF(原始資料!$A5="","",原始資料!$A5)</f>
        <v/>
      </c>
      <c r="B5" s="6">
        <f>IF(OR(原始資料!$A5="",1&gt;設定!$B$3,原始資料!D5=""),"",1)</f>
        <v/>
      </c>
      <c r="C5" s="6">
        <f>IF(OR(原始資料!$A5="",2&gt;設定!$B$3,原始資料!E5=""),"",IF(AND(原始資料!D5&lt;&gt;"",原始資料!E5=原始資料!D5),N(B5)+1,1))</f>
        <v/>
      </c>
      <c r="D5" s="6">
        <f>IF(OR(原始資料!$A5="",3&gt;設定!$B$3,原始資料!F5=""),"",IF(AND(原始資料!E5&lt;&gt;"",原始資料!F5=原始資料!E5),N(C5)+1,1))</f>
        <v/>
      </c>
      <c r="E5" s="6">
        <f>IF(OR(原始資料!$A5="",4&gt;設定!$B$3,原始資料!G5=""),"",IF(AND(原始資料!F5&lt;&gt;"",原始資料!G5=原始資料!F5),N(D5)+1,1))</f>
        <v/>
      </c>
      <c r="F5" s="6">
        <f>IF(OR(原始資料!$A5="",5&gt;設定!$B$3,原始資料!H5=""),"",IF(AND(原始資料!G5&lt;&gt;"",原始資料!H5=原始資料!G5),N(E5)+1,1))</f>
        <v/>
      </c>
      <c r="G5" s="6">
        <f>IF(OR(原始資料!$A5="",6&gt;設定!$B$3,原始資料!I5=""),"",IF(AND(原始資料!H5&lt;&gt;"",原始資料!I5=原始資料!H5),N(F5)+1,1))</f>
        <v/>
      </c>
      <c r="H5" s="6">
        <f>IF(OR(原始資料!$A5="",7&gt;設定!$B$3,原始資料!J5=""),"",IF(AND(原始資料!I5&lt;&gt;"",原始資料!J5=原始資料!I5),N(G5)+1,1))</f>
        <v/>
      </c>
      <c r="I5" s="6">
        <f>IF(OR(原始資料!$A5="",8&gt;設定!$B$3,原始資料!K5=""),"",IF(AND(原始資料!J5&lt;&gt;"",原始資料!K5=原始資料!J5),N(H5)+1,1))</f>
        <v/>
      </c>
      <c r="J5" s="6">
        <f>IF(OR(原始資料!$A5="",9&gt;設定!$B$3,原始資料!L5=""),"",IF(AND(原始資料!K5&lt;&gt;"",原始資料!L5=原始資料!K5),N(I5)+1,1))</f>
        <v/>
      </c>
      <c r="K5" s="6">
        <f>IF(OR(原始資料!$A5="",10&gt;設定!$B$3,原始資料!M5=""),"",IF(AND(原始資料!L5&lt;&gt;"",原始資料!M5=原始資料!L5),N(J5)+1,1))</f>
        <v/>
      </c>
      <c r="L5" s="6">
        <f>IF(OR(原始資料!$A5="",11&gt;設定!$B$3,原始資料!N5=""),"",IF(AND(原始資料!M5&lt;&gt;"",原始資料!N5=原始資料!M5),N(K5)+1,1))</f>
        <v/>
      </c>
      <c r="M5" s="6">
        <f>IF(OR(原始資料!$A5="",12&gt;設定!$B$3,原始資料!O5=""),"",IF(AND(原始資料!N5&lt;&gt;"",原始資料!O5=原始資料!N5),N(L5)+1,1))</f>
        <v/>
      </c>
      <c r="N5" s="6">
        <f>IF(OR(原始資料!$A5="",13&gt;設定!$B$3,原始資料!P5=""),"",IF(AND(原始資料!O5&lt;&gt;"",原始資料!P5=原始資料!O5),N(M5)+1,1))</f>
        <v/>
      </c>
      <c r="O5" s="6">
        <f>IF(OR(原始資料!$A5="",14&gt;設定!$B$3,原始資料!Q5=""),"",IF(AND(原始資料!P5&lt;&gt;"",原始資料!Q5=原始資料!P5),N(N5)+1,1))</f>
        <v/>
      </c>
      <c r="P5" s="6">
        <f>IF(OR(原始資料!$A5="",15&gt;設定!$B$3,原始資料!R5=""),"",IF(AND(原始資料!Q5&lt;&gt;"",原始資料!R5=原始資料!Q5),N(O5)+1,1))</f>
        <v/>
      </c>
      <c r="Q5" s="6">
        <f>IF(OR(原始資料!$A5="",16&gt;設定!$B$3,原始資料!S5=""),"",IF(AND(原始資料!R5&lt;&gt;"",原始資料!S5=原始資料!R5),N(P5)+1,1))</f>
        <v/>
      </c>
      <c r="R5" s="6">
        <f>IF(OR(原始資料!$A5="",17&gt;設定!$B$3,原始資料!T5=""),"",IF(AND(原始資料!S5&lt;&gt;"",原始資料!T5=原始資料!S5),N(Q5)+1,1))</f>
        <v/>
      </c>
      <c r="S5" s="6">
        <f>IF(OR(原始資料!$A5="",18&gt;設定!$B$3,原始資料!U5=""),"",IF(AND(原始資料!T5&lt;&gt;"",原始資料!U5=原始資料!T5),N(R5)+1,1))</f>
        <v/>
      </c>
      <c r="T5" s="6">
        <f>IF(OR(原始資料!$A5="",19&gt;設定!$B$3,原始資料!V5=""),"",IF(AND(原始資料!U5&lt;&gt;"",原始資料!V5=原始資料!U5),N(S5)+1,1))</f>
        <v/>
      </c>
      <c r="U5" s="6">
        <f>IF(OR(原始資料!$A5="",20&gt;設定!$B$3,原始資料!W5=""),"",IF(AND(原始資料!V5&lt;&gt;"",原始資料!W5=原始資料!V5),N(T5)+1,1))</f>
        <v/>
      </c>
      <c r="V5" s="6">
        <f>IF(OR(原始資料!$A5="",21&gt;設定!$B$3,原始資料!X5=""),"",IF(AND(原始資料!W5&lt;&gt;"",原始資料!X5=原始資料!W5),N(U5)+1,1))</f>
        <v/>
      </c>
      <c r="W5" s="6">
        <f>IF(OR(原始資料!$A5="",22&gt;設定!$B$3,原始資料!Y5=""),"",IF(AND(原始資料!X5&lt;&gt;"",原始資料!Y5=原始資料!X5),N(V5)+1,1))</f>
        <v/>
      </c>
      <c r="X5" s="6">
        <f>IF(OR(原始資料!$A5="",23&gt;設定!$B$3,原始資料!Z5=""),"",IF(AND(原始資料!Y5&lt;&gt;"",原始資料!Z5=原始資料!Y5),N(W5)+1,1))</f>
        <v/>
      </c>
      <c r="Y5" s="6">
        <f>IF(OR(原始資料!$A5="",24&gt;設定!$B$3,原始資料!AA5=""),"",IF(AND(原始資料!Z5&lt;&gt;"",原始資料!AA5=原始資料!Z5),N(X5)+1,1))</f>
        <v/>
      </c>
      <c r="Z5" s="6">
        <f>IF(OR(原始資料!$A5="",25&gt;設定!$B$3,原始資料!AB5=""),"",IF(AND(原始資料!AA5&lt;&gt;"",原始資料!AB5=原始資料!AA5),N(Y5)+1,1))</f>
        <v/>
      </c>
      <c r="AA5" s="6">
        <f>IF(OR(原始資料!$A5="",26&gt;設定!$B$3,原始資料!AC5=""),"",IF(AND(原始資料!AB5&lt;&gt;"",原始資料!AC5=原始資料!AB5),N(Z5)+1,1))</f>
        <v/>
      </c>
      <c r="AB5" s="6">
        <f>IF(OR(原始資料!$A5="",27&gt;設定!$B$3,原始資料!AD5=""),"",IF(AND(原始資料!AC5&lt;&gt;"",原始資料!AD5=原始資料!AC5),N(AA5)+1,1))</f>
        <v/>
      </c>
      <c r="AC5" s="6">
        <f>IF(OR(原始資料!$A5="",28&gt;設定!$B$3,原始資料!AE5=""),"",IF(AND(原始資料!AD5&lt;&gt;"",原始資料!AE5=原始資料!AD5),N(AB5)+1,1))</f>
        <v/>
      </c>
      <c r="AD5" s="6">
        <f>IF(OR(原始資料!$A5="",29&gt;設定!$B$3,原始資料!AF5=""),"",IF(AND(原始資料!AE5&lt;&gt;"",原始資料!AF5=原始資料!AE5),N(AC5)+1,1))</f>
        <v/>
      </c>
      <c r="AE5" s="6">
        <f>IF(OR(原始資料!$A5="",30&gt;設定!$B$3,原始資料!AG5=""),"",IF(AND(原始資料!AF5&lt;&gt;"",原始資料!AG5=原始資料!AF5),N(AD5)+1,1))</f>
        <v/>
      </c>
      <c r="AF5" s="6">
        <f>IF(OR(原始資料!$A5="",31&gt;設定!$B$3,原始資料!AH5=""),"",IF(AND(原始資料!AG5&lt;&gt;"",原始資料!AH5=原始資料!AG5),N(AE5)+1,1))</f>
        <v/>
      </c>
      <c r="AG5" s="6">
        <f>IF(OR(原始資料!$A5="",32&gt;設定!$B$3,原始資料!AI5=""),"",IF(AND(原始資料!AH5&lt;&gt;"",原始資料!AI5=原始資料!AH5),N(AF5)+1,1))</f>
        <v/>
      </c>
      <c r="AH5" s="6">
        <f>IF(OR(原始資料!$A5="",33&gt;設定!$B$3,原始資料!AJ5=""),"",IF(AND(原始資料!AI5&lt;&gt;"",原始資料!AJ5=原始資料!AI5),N(AG5)+1,1))</f>
        <v/>
      </c>
      <c r="AI5" s="6">
        <f>IF(OR(原始資料!$A5="",34&gt;設定!$B$3,原始資料!AK5=""),"",IF(AND(原始資料!AJ5&lt;&gt;"",原始資料!AK5=原始資料!AJ5),N(AH5)+1,1))</f>
        <v/>
      </c>
      <c r="AJ5" s="6">
        <f>IF(OR(原始資料!$A5="",35&gt;設定!$B$3,原始資料!AL5=""),"",IF(AND(原始資料!AK5&lt;&gt;"",原始資料!AL5=原始資料!AK5),N(AI5)+1,1))</f>
        <v/>
      </c>
      <c r="AK5" s="6">
        <f>IF(OR(原始資料!$A5="",36&gt;設定!$B$3,原始資料!AM5=""),"",IF(AND(原始資料!AL5&lt;&gt;"",原始資料!AM5=原始資料!AL5),N(AJ5)+1,1))</f>
        <v/>
      </c>
      <c r="AL5" s="6">
        <f>IF(OR(原始資料!$A5="",37&gt;設定!$B$3,原始資料!AN5=""),"",IF(AND(原始資料!AM5&lt;&gt;"",原始資料!AN5=原始資料!AM5),N(AK5)+1,1))</f>
        <v/>
      </c>
      <c r="AM5" s="6">
        <f>IF(OR(原始資料!$A5="",38&gt;設定!$B$3,原始資料!AO5=""),"",IF(AND(原始資料!AN5&lt;&gt;"",原始資料!AO5=原始資料!AN5),N(AL5)+1,1))</f>
        <v/>
      </c>
      <c r="AN5" s="6">
        <f>IF(OR(原始資料!$A5="",39&gt;設定!$B$3,原始資料!AP5=""),"",IF(AND(原始資料!AO5&lt;&gt;"",原始資料!AP5=原始資料!AO5),N(AM5)+1,1))</f>
        <v/>
      </c>
      <c r="AO5" s="6">
        <f>IF(OR(原始資料!$A5="",40&gt;設定!$B$3,原始資料!AQ5=""),"",IF(AND(原始資料!AP5&lt;&gt;"",原始資料!AQ5=原始資料!AP5),N(AN5)+1,1))</f>
        <v/>
      </c>
      <c r="AP5" s="6">
        <f>IF(OR(原始資料!$A5="",41&gt;設定!$B$3,原始資料!AR5=""),"",IF(AND(原始資料!AQ5&lt;&gt;"",原始資料!AR5=原始資料!AQ5),N(AO5)+1,1))</f>
        <v/>
      </c>
      <c r="AQ5" s="6">
        <f>IF(OR(原始資料!$A5="",42&gt;設定!$B$3,原始資料!AS5=""),"",IF(AND(原始資料!AR5&lt;&gt;"",原始資料!AS5=原始資料!AR5),N(AP5)+1,1))</f>
        <v/>
      </c>
      <c r="AR5" s="6">
        <f>IF(OR(原始資料!$A5="",43&gt;設定!$B$3,原始資料!AT5=""),"",IF(AND(原始資料!AS5&lt;&gt;"",原始資料!AT5=原始資料!AS5),N(AQ5)+1,1))</f>
        <v/>
      </c>
      <c r="AS5" s="6">
        <f>IF(OR(原始資料!$A5="",44&gt;設定!$B$3,原始資料!AU5=""),"",IF(AND(原始資料!AT5&lt;&gt;"",原始資料!AU5=原始資料!AT5),N(AR5)+1,1))</f>
        <v/>
      </c>
      <c r="AT5" s="6">
        <f>IF(OR(原始資料!$A5="",45&gt;設定!$B$3,原始資料!AV5=""),"",IF(AND(原始資料!AU5&lt;&gt;"",原始資料!AV5=原始資料!AU5),N(AS5)+1,1))</f>
        <v/>
      </c>
      <c r="AU5" s="6">
        <f>IF(OR(原始資料!$A5="",46&gt;設定!$B$3,原始資料!AW5=""),"",IF(AND(原始資料!AV5&lt;&gt;"",原始資料!AW5=原始資料!AV5),N(AT5)+1,1))</f>
        <v/>
      </c>
      <c r="AV5" s="6">
        <f>IF(OR(原始資料!$A5="",47&gt;設定!$B$3,原始資料!AX5=""),"",IF(AND(原始資料!AW5&lt;&gt;"",原始資料!AX5=原始資料!AW5),N(AU5)+1,1))</f>
        <v/>
      </c>
      <c r="AW5" s="6">
        <f>IF(OR(原始資料!$A5="",48&gt;設定!$B$3,原始資料!AY5=""),"",IF(AND(原始資料!AX5&lt;&gt;"",原始資料!AY5=原始資料!AX5),N(AV5)+1,1))</f>
        <v/>
      </c>
      <c r="AX5" s="6">
        <f>IF(OR(原始資料!$A5="",49&gt;設定!$B$3,原始資料!AZ5=""),"",IF(AND(原始資料!AY5&lt;&gt;"",原始資料!AZ5=原始資料!AY5),N(AW5)+1,1))</f>
        <v/>
      </c>
      <c r="AY5" s="6">
        <f>IF(OR(原始資料!$A5="",50&gt;設定!$B$3,原始資料!BA5=""),"",IF(AND(原始資料!AZ5&lt;&gt;"",原始資料!BA5=原始資料!AZ5),N(AX5)+1,1))</f>
        <v/>
      </c>
      <c r="AZ5" s="6">
        <f>IF(OR(原始資料!$A5="",51&gt;設定!$B$3,原始資料!BB5=""),"",IF(AND(原始資料!BA5&lt;&gt;"",原始資料!BB5=原始資料!BA5),N(AY5)+1,1))</f>
        <v/>
      </c>
      <c r="BA5" s="6">
        <f>IF(OR(原始資料!$A5="",52&gt;設定!$B$3,原始資料!BC5=""),"",IF(AND(原始資料!BB5&lt;&gt;"",原始資料!BC5=原始資料!BB5),N(AZ5)+1,1))</f>
        <v/>
      </c>
      <c r="BB5" s="6">
        <f>IF(OR(原始資料!$A5="",53&gt;設定!$B$3,原始資料!BD5=""),"",IF(AND(原始資料!BC5&lt;&gt;"",原始資料!BD5=原始資料!BC5),N(BA5)+1,1))</f>
        <v/>
      </c>
      <c r="BC5" s="6">
        <f>IF(OR(原始資料!$A5="",54&gt;設定!$B$3,原始資料!BE5=""),"",IF(AND(原始資料!BD5&lt;&gt;"",原始資料!BE5=原始資料!BD5),N(BB5)+1,1))</f>
        <v/>
      </c>
      <c r="BD5" s="6">
        <f>IF(OR(原始資料!$A5="",55&gt;設定!$B$3,原始資料!BF5=""),"",IF(AND(原始資料!BE5&lt;&gt;"",原始資料!BF5=原始資料!BE5),N(BC5)+1,1))</f>
        <v/>
      </c>
      <c r="BE5" s="6">
        <f>IF(OR(原始資料!$A5="",56&gt;設定!$B$3,原始資料!BG5=""),"",IF(AND(原始資料!BF5&lt;&gt;"",原始資料!BG5=原始資料!BF5),N(BD5)+1,1))</f>
        <v/>
      </c>
      <c r="BF5" s="6">
        <f>IF(OR(原始資料!$A5="",57&gt;設定!$B$3,原始資料!BH5=""),"",IF(AND(原始資料!BG5&lt;&gt;"",原始資料!BH5=原始資料!BG5),N(BE5)+1,1))</f>
        <v/>
      </c>
      <c r="BG5" s="6">
        <f>IF(OR(原始資料!$A5="",58&gt;設定!$B$3,原始資料!BI5=""),"",IF(AND(原始資料!BH5&lt;&gt;"",原始資料!BI5=原始資料!BH5),N(BF5)+1,1))</f>
        <v/>
      </c>
      <c r="BH5" s="6">
        <f>IF(OR(原始資料!$A5="",59&gt;設定!$B$3,原始資料!BJ5=""),"",IF(AND(原始資料!BI5&lt;&gt;"",原始資料!BJ5=原始資料!BI5),N(BG5)+1,1))</f>
        <v/>
      </c>
      <c r="BI5" s="6">
        <f>IF(OR(原始資料!$A5="",60&gt;設定!$B$3,原始資料!BK5=""),"",IF(AND(原始資料!BJ5&lt;&gt;"",原始資料!BK5=原始資料!BJ5),N(BH5)+1,1))</f>
        <v/>
      </c>
    </row>
    <row r="6">
      <c r="A6" s="6">
        <f>IF(原始資料!$A6="","",原始資料!$A6)</f>
        <v/>
      </c>
      <c r="B6" s="6">
        <f>IF(OR(原始資料!$A6="",1&gt;設定!$B$3,原始資料!D6=""),"",1)</f>
        <v/>
      </c>
      <c r="C6" s="6">
        <f>IF(OR(原始資料!$A6="",2&gt;設定!$B$3,原始資料!E6=""),"",IF(AND(原始資料!D6&lt;&gt;"",原始資料!E6=原始資料!D6),N(B6)+1,1))</f>
        <v/>
      </c>
      <c r="D6" s="6">
        <f>IF(OR(原始資料!$A6="",3&gt;設定!$B$3,原始資料!F6=""),"",IF(AND(原始資料!E6&lt;&gt;"",原始資料!F6=原始資料!E6),N(C6)+1,1))</f>
        <v/>
      </c>
      <c r="E6" s="6">
        <f>IF(OR(原始資料!$A6="",4&gt;設定!$B$3,原始資料!G6=""),"",IF(AND(原始資料!F6&lt;&gt;"",原始資料!G6=原始資料!F6),N(D6)+1,1))</f>
        <v/>
      </c>
      <c r="F6" s="6">
        <f>IF(OR(原始資料!$A6="",5&gt;設定!$B$3,原始資料!H6=""),"",IF(AND(原始資料!G6&lt;&gt;"",原始資料!H6=原始資料!G6),N(E6)+1,1))</f>
        <v/>
      </c>
      <c r="G6" s="6">
        <f>IF(OR(原始資料!$A6="",6&gt;設定!$B$3,原始資料!I6=""),"",IF(AND(原始資料!H6&lt;&gt;"",原始資料!I6=原始資料!H6),N(F6)+1,1))</f>
        <v/>
      </c>
      <c r="H6" s="6">
        <f>IF(OR(原始資料!$A6="",7&gt;設定!$B$3,原始資料!J6=""),"",IF(AND(原始資料!I6&lt;&gt;"",原始資料!J6=原始資料!I6),N(G6)+1,1))</f>
        <v/>
      </c>
      <c r="I6" s="6">
        <f>IF(OR(原始資料!$A6="",8&gt;設定!$B$3,原始資料!K6=""),"",IF(AND(原始資料!J6&lt;&gt;"",原始資料!K6=原始資料!J6),N(H6)+1,1))</f>
        <v/>
      </c>
      <c r="J6" s="6">
        <f>IF(OR(原始資料!$A6="",9&gt;設定!$B$3,原始資料!L6=""),"",IF(AND(原始資料!K6&lt;&gt;"",原始資料!L6=原始資料!K6),N(I6)+1,1))</f>
        <v/>
      </c>
      <c r="K6" s="6">
        <f>IF(OR(原始資料!$A6="",10&gt;設定!$B$3,原始資料!M6=""),"",IF(AND(原始資料!L6&lt;&gt;"",原始資料!M6=原始資料!L6),N(J6)+1,1))</f>
        <v/>
      </c>
      <c r="L6" s="6">
        <f>IF(OR(原始資料!$A6="",11&gt;設定!$B$3,原始資料!N6=""),"",IF(AND(原始資料!M6&lt;&gt;"",原始資料!N6=原始資料!M6),N(K6)+1,1))</f>
        <v/>
      </c>
      <c r="M6" s="6">
        <f>IF(OR(原始資料!$A6="",12&gt;設定!$B$3,原始資料!O6=""),"",IF(AND(原始資料!N6&lt;&gt;"",原始資料!O6=原始資料!N6),N(L6)+1,1))</f>
        <v/>
      </c>
      <c r="N6" s="6">
        <f>IF(OR(原始資料!$A6="",13&gt;設定!$B$3,原始資料!P6=""),"",IF(AND(原始資料!O6&lt;&gt;"",原始資料!P6=原始資料!O6),N(M6)+1,1))</f>
        <v/>
      </c>
      <c r="O6" s="6">
        <f>IF(OR(原始資料!$A6="",14&gt;設定!$B$3,原始資料!Q6=""),"",IF(AND(原始資料!P6&lt;&gt;"",原始資料!Q6=原始資料!P6),N(N6)+1,1))</f>
        <v/>
      </c>
      <c r="P6" s="6">
        <f>IF(OR(原始資料!$A6="",15&gt;設定!$B$3,原始資料!R6=""),"",IF(AND(原始資料!Q6&lt;&gt;"",原始資料!R6=原始資料!Q6),N(O6)+1,1))</f>
        <v/>
      </c>
      <c r="Q6" s="6">
        <f>IF(OR(原始資料!$A6="",16&gt;設定!$B$3,原始資料!S6=""),"",IF(AND(原始資料!R6&lt;&gt;"",原始資料!S6=原始資料!R6),N(P6)+1,1))</f>
        <v/>
      </c>
      <c r="R6" s="6">
        <f>IF(OR(原始資料!$A6="",17&gt;設定!$B$3,原始資料!T6=""),"",IF(AND(原始資料!S6&lt;&gt;"",原始資料!T6=原始資料!S6),N(Q6)+1,1))</f>
        <v/>
      </c>
      <c r="S6" s="6">
        <f>IF(OR(原始資料!$A6="",18&gt;設定!$B$3,原始資料!U6=""),"",IF(AND(原始資料!T6&lt;&gt;"",原始資料!U6=原始資料!T6),N(R6)+1,1))</f>
        <v/>
      </c>
      <c r="T6" s="6">
        <f>IF(OR(原始資料!$A6="",19&gt;設定!$B$3,原始資料!V6=""),"",IF(AND(原始資料!U6&lt;&gt;"",原始資料!V6=原始資料!U6),N(S6)+1,1))</f>
        <v/>
      </c>
      <c r="U6" s="6">
        <f>IF(OR(原始資料!$A6="",20&gt;設定!$B$3,原始資料!W6=""),"",IF(AND(原始資料!V6&lt;&gt;"",原始資料!W6=原始資料!V6),N(T6)+1,1))</f>
        <v/>
      </c>
      <c r="V6" s="6">
        <f>IF(OR(原始資料!$A6="",21&gt;設定!$B$3,原始資料!X6=""),"",IF(AND(原始資料!W6&lt;&gt;"",原始資料!X6=原始資料!W6),N(U6)+1,1))</f>
        <v/>
      </c>
      <c r="W6" s="6">
        <f>IF(OR(原始資料!$A6="",22&gt;設定!$B$3,原始資料!Y6=""),"",IF(AND(原始資料!X6&lt;&gt;"",原始資料!Y6=原始資料!X6),N(V6)+1,1))</f>
        <v/>
      </c>
      <c r="X6" s="6">
        <f>IF(OR(原始資料!$A6="",23&gt;設定!$B$3,原始資料!Z6=""),"",IF(AND(原始資料!Y6&lt;&gt;"",原始資料!Z6=原始資料!Y6),N(W6)+1,1))</f>
        <v/>
      </c>
      <c r="Y6" s="6">
        <f>IF(OR(原始資料!$A6="",24&gt;設定!$B$3,原始資料!AA6=""),"",IF(AND(原始資料!Z6&lt;&gt;"",原始資料!AA6=原始資料!Z6),N(X6)+1,1))</f>
        <v/>
      </c>
      <c r="Z6" s="6">
        <f>IF(OR(原始資料!$A6="",25&gt;設定!$B$3,原始資料!AB6=""),"",IF(AND(原始資料!AA6&lt;&gt;"",原始資料!AB6=原始資料!AA6),N(Y6)+1,1))</f>
        <v/>
      </c>
      <c r="AA6" s="6">
        <f>IF(OR(原始資料!$A6="",26&gt;設定!$B$3,原始資料!AC6=""),"",IF(AND(原始資料!AB6&lt;&gt;"",原始資料!AC6=原始資料!AB6),N(Z6)+1,1))</f>
        <v/>
      </c>
      <c r="AB6" s="6">
        <f>IF(OR(原始資料!$A6="",27&gt;設定!$B$3,原始資料!AD6=""),"",IF(AND(原始資料!AC6&lt;&gt;"",原始資料!AD6=原始資料!AC6),N(AA6)+1,1))</f>
        <v/>
      </c>
      <c r="AC6" s="6">
        <f>IF(OR(原始資料!$A6="",28&gt;設定!$B$3,原始資料!AE6=""),"",IF(AND(原始資料!AD6&lt;&gt;"",原始資料!AE6=原始資料!AD6),N(AB6)+1,1))</f>
        <v/>
      </c>
      <c r="AD6" s="6">
        <f>IF(OR(原始資料!$A6="",29&gt;設定!$B$3,原始資料!AF6=""),"",IF(AND(原始資料!AE6&lt;&gt;"",原始資料!AF6=原始資料!AE6),N(AC6)+1,1))</f>
        <v/>
      </c>
      <c r="AE6" s="6">
        <f>IF(OR(原始資料!$A6="",30&gt;設定!$B$3,原始資料!AG6=""),"",IF(AND(原始資料!AF6&lt;&gt;"",原始資料!AG6=原始資料!AF6),N(AD6)+1,1))</f>
        <v/>
      </c>
      <c r="AF6" s="6">
        <f>IF(OR(原始資料!$A6="",31&gt;設定!$B$3,原始資料!AH6=""),"",IF(AND(原始資料!AG6&lt;&gt;"",原始資料!AH6=原始資料!AG6),N(AE6)+1,1))</f>
        <v/>
      </c>
      <c r="AG6" s="6">
        <f>IF(OR(原始資料!$A6="",32&gt;設定!$B$3,原始資料!AI6=""),"",IF(AND(原始資料!AH6&lt;&gt;"",原始資料!AI6=原始資料!AH6),N(AF6)+1,1))</f>
        <v/>
      </c>
      <c r="AH6" s="6">
        <f>IF(OR(原始資料!$A6="",33&gt;設定!$B$3,原始資料!AJ6=""),"",IF(AND(原始資料!AI6&lt;&gt;"",原始資料!AJ6=原始資料!AI6),N(AG6)+1,1))</f>
        <v/>
      </c>
      <c r="AI6" s="6">
        <f>IF(OR(原始資料!$A6="",34&gt;設定!$B$3,原始資料!AK6=""),"",IF(AND(原始資料!AJ6&lt;&gt;"",原始資料!AK6=原始資料!AJ6),N(AH6)+1,1))</f>
        <v/>
      </c>
      <c r="AJ6" s="6">
        <f>IF(OR(原始資料!$A6="",35&gt;設定!$B$3,原始資料!AL6=""),"",IF(AND(原始資料!AK6&lt;&gt;"",原始資料!AL6=原始資料!AK6),N(AI6)+1,1))</f>
        <v/>
      </c>
      <c r="AK6" s="6">
        <f>IF(OR(原始資料!$A6="",36&gt;設定!$B$3,原始資料!AM6=""),"",IF(AND(原始資料!AL6&lt;&gt;"",原始資料!AM6=原始資料!AL6),N(AJ6)+1,1))</f>
        <v/>
      </c>
      <c r="AL6" s="6">
        <f>IF(OR(原始資料!$A6="",37&gt;設定!$B$3,原始資料!AN6=""),"",IF(AND(原始資料!AM6&lt;&gt;"",原始資料!AN6=原始資料!AM6),N(AK6)+1,1))</f>
        <v/>
      </c>
      <c r="AM6" s="6">
        <f>IF(OR(原始資料!$A6="",38&gt;設定!$B$3,原始資料!AO6=""),"",IF(AND(原始資料!AN6&lt;&gt;"",原始資料!AO6=原始資料!AN6),N(AL6)+1,1))</f>
        <v/>
      </c>
      <c r="AN6" s="6">
        <f>IF(OR(原始資料!$A6="",39&gt;設定!$B$3,原始資料!AP6=""),"",IF(AND(原始資料!AO6&lt;&gt;"",原始資料!AP6=原始資料!AO6),N(AM6)+1,1))</f>
        <v/>
      </c>
      <c r="AO6" s="6">
        <f>IF(OR(原始資料!$A6="",40&gt;設定!$B$3,原始資料!AQ6=""),"",IF(AND(原始資料!AP6&lt;&gt;"",原始資料!AQ6=原始資料!AP6),N(AN6)+1,1))</f>
        <v/>
      </c>
      <c r="AP6" s="6">
        <f>IF(OR(原始資料!$A6="",41&gt;設定!$B$3,原始資料!AR6=""),"",IF(AND(原始資料!AQ6&lt;&gt;"",原始資料!AR6=原始資料!AQ6),N(AO6)+1,1))</f>
        <v/>
      </c>
      <c r="AQ6" s="6">
        <f>IF(OR(原始資料!$A6="",42&gt;設定!$B$3,原始資料!AS6=""),"",IF(AND(原始資料!AR6&lt;&gt;"",原始資料!AS6=原始資料!AR6),N(AP6)+1,1))</f>
        <v/>
      </c>
      <c r="AR6" s="6">
        <f>IF(OR(原始資料!$A6="",43&gt;設定!$B$3,原始資料!AT6=""),"",IF(AND(原始資料!AS6&lt;&gt;"",原始資料!AT6=原始資料!AS6),N(AQ6)+1,1))</f>
        <v/>
      </c>
      <c r="AS6" s="6">
        <f>IF(OR(原始資料!$A6="",44&gt;設定!$B$3,原始資料!AU6=""),"",IF(AND(原始資料!AT6&lt;&gt;"",原始資料!AU6=原始資料!AT6),N(AR6)+1,1))</f>
        <v/>
      </c>
      <c r="AT6" s="6">
        <f>IF(OR(原始資料!$A6="",45&gt;設定!$B$3,原始資料!AV6=""),"",IF(AND(原始資料!AU6&lt;&gt;"",原始資料!AV6=原始資料!AU6),N(AS6)+1,1))</f>
        <v/>
      </c>
      <c r="AU6" s="6">
        <f>IF(OR(原始資料!$A6="",46&gt;設定!$B$3,原始資料!AW6=""),"",IF(AND(原始資料!AV6&lt;&gt;"",原始資料!AW6=原始資料!AV6),N(AT6)+1,1))</f>
        <v/>
      </c>
      <c r="AV6" s="6">
        <f>IF(OR(原始資料!$A6="",47&gt;設定!$B$3,原始資料!AX6=""),"",IF(AND(原始資料!AW6&lt;&gt;"",原始資料!AX6=原始資料!AW6),N(AU6)+1,1))</f>
        <v/>
      </c>
      <c r="AW6" s="6">
        <f>IF(OR(原始資料!$A6="",48&gt;設定!$B$3,原始資料!AY6=""),"",IF(AND(原始資料!AX6&lt;&gt;"",原始資料!AY6=原始資料!AX6),N(AV6)+1,1))</f>
        <v/>
      </c>
      <c r="AX6" s="6">
        <f>IF(OR(原始資料!$A6="",49&gt;設定!$B$3,原始資料!AZ6=""),"",IF(AND(原始資料!AY6&lt;&gt;"",原始資料!AZ6=原始資料!AY6),N(AW6)+1,1))</f>
        <v/>
      </c>
      <c r="AY6" s="6">
        <f>IF(OR(原始資料!$A6="",50&gt;設定!$B$3,原始資料!BA6=""),"",IF(AND(原始資料!AZ6&lt;&gt;"",原始資料!BA6=原始資料!AZ6),N(AX6)+1,1))</f>
        <v/>
      </c>
      <c r="AZ6" s="6">
        <f>IF(OR(原始資料!$A6="",51&gt;設定!$B$3,原始資料!BB6=""),"",IF(AND(原始資料!BA6&lt;&gt;"",原始資料!BB6=原始資料!BA6),N(AY6)+1,1))</f>
        <v/>
      </c>
      <c r="BA6" s="6">
        <f>IF(OR(原始資料!$A6="",52&gt;設定!$B$3,原始資料!BC6=""),"",IF(AND(原始資料!BB6&lt;&gt;"",原始資料!BC6=原始資料!BB6),N(AZ6)+1,1))</f>
        <v/>
      </c>
      <c r="BB6" s="6">
        <f>IF(OR(原始資料!$A6="",53&gt;設定!$B$3,原始資料!BD6=""),"",IF(AND(原始資料!BC6&lt;&gt;"",原始資料!BD6=原始資料!BC6),N(BA6)+1,1))</f>
        <v/>
      </c>
      <c r="BC6" s="6">
        <f>IF(OR(原始資料!$A6="",54&gt;設定!$B$3,原始資料!BE6=""),"",IF(AND(原始資料!BD6&lt;&gt;"",原始資料!BE6=原始資料!BD6),N(BB6)+1,1))</f>
        <v/>
      </c>
      <c r="BD6" s="6">
        <f>IF(OR(原始資料!$A6="",55&gt;設定!$B$3,原始資料!BF6=""),"",IF(AND(原始資料!BE6&lt;&gt;"",原始資料!BF6=原始資料!BE6),N(BC6)+1,1))</f>
        <v/>
      </c>
      <c r="BE6" s="6">
        <f>IF(OR(原始資料!$A6="",56&gt;設定!$B$3,原始資料!BG6=""),"",IF(AND(原始資料!BF6&lt;&gt;"",原始資料!BG6=原始資料!BF6),N(BD6)+1,1))</f>
        <v/>
      </c>
      <c r="BF6" s="6">
        <f>IF(OR(原始資料!$A6="",57&gt;設定!$B$3,原始資料!BH6=""),"",IF(AND(原始資料!BG6&lt;&gt;"",原始資料!BH6=原始資料!BG6),N(BE6)+1,1))</f>
        <v/>
      </c>
      <c r="BG6" s="6">
        <f>IF(OR(原始資料!$A6="",58&gt;設定!$B$3,原始資料!BI6=""),"",IF(AND(原始資料!BH6&lt;&gt;"",原始資料!BI6=原始資料!BH6),N(BF6)+1,1))</f>
        <v/>
      </c>
      <c r="BH6" s="6">
        <f>IF(OR(原始資料!$A6="",59&gt;設定!$B$3,原始資料!BJ6=""),"",IF(AND(原始資料!BI6&lt;&gt;"",原始資料!BJ6=原始資料!BI6),N(BG6)+1,1))</f>
        <v/>
      </c>
      <c r="BI6" s="6">
        <f>IF(OR(原始資料!$A6="",60&gt;設定!$B$3,原始資料!BK6=""),"",IF(AND(原始資料!BJ6&lt;&gt;"",原始資料!BK6=原始資料!BJ6),N(BH6)+1,1))</f>
        <v/>
      </c>
    </row>
    <row r="7">
      <c r="A7" s="6">
        <f>IF(原始資料!$A7="","",原始資料!$A7)</f>
        <v/>
      </c>
      <c r="B7" s="6">
        <f>IF(OR(原始資料!$A7="",1&gt;設定!$B$3,原始資料!D7=""),"",1)</f>
        <v/>
      </c>
      <c r="C7" s="6">
        <f>IF(OR(原始資料!$A7="",2&gt;設定!$B$3,原始資料!E7=""),"",IF(AND(原始資料!D7&lt;&gt;"",原始資料!E7=原始資料!D7),N(B7)+1,1))</f>
        <v/>
      </c>
      <c r="D7" s="6">
        <f>IF(OR(原始資料!$A7="",3&gt;設定!$B$3,原始資料!F7=""),"",IF(AND(原始資料!E7&lt;&gt;"",原始資料!F7=原始資料!E7),N(C7)+1,1))</f>
        <v/>
      </c>
      <c r="E7" s="6">
        <f>IF(OR(原始資料!$A7="",4&gt;設定!$B$3,原始資料!G7=""),"",IF(AND(原始資料!F7&lt;&gt;"",原始資料!G7=原始資料!F7),N(D7)+1,1))</f>
        <v/>
      </c>
      <c r="F7" s="6">
        <f>IF(OR(原始資料!$A7="",5&gt;設定!$B$3,原始資料!H7=""),"",IF(AND(原始資料!G7&lt;&gt;"",原始資料!H7=原始資料!G7),N(E7)+1,1))</f>
        <v/>
      </c>
      <c r="G7" s="6">
        <f>IF(OR(原始資料!$A7="",6&gt;設定!$B$3,原始資料!I7=""),"",IF(AND(原始資料!H7&lt;&gt;"",原始資料!I7=原始資料!H7),N(F7)+1,1))</f>
        <v/>
      </c>
      <c r="H7" s="6">
        <f>IF(OR(原始資料!$A7="",7&gt;設定!$B$3,原始資料!J7=""),"",IF(AND(原始資料!I7&lt;&gt;"",原始資料!J7=原始資料!I7),N(G7)+1,1))</f>
        <v/>
      </c>
      <c r="I7" s="6">
        <f>IF(OR(原始資料!$A7="",8&gt;設定!$B$3,原始資料!K7=""),"",IF(AND(原始資料!J7&lt;&gt;"",原始資料!K7=原始資料!J7),N(H7)+1,1))</f>
        <v/>
      </c>
      <c r="J7" s="6">
        <f>IF(OR(原始資料!$A7="",9&gt;設定!$B$3,原始資料!L7=""),"",IF(AND(原始資料!K7&lt;&gt;"",原始資料!L7=原始資料!K7),N(I7)+1,1))</f>
        <v/>
      </c>
      <c r="K7" s="6">
        <f>IF(OR(原始資料!$A7="",10&gt;設定!$B$3,原始資料!M7=""),"",IF(AND(原始資料!L7&lt;&gt;"",原始資料!M7=原始資料!L7),N(J7)+1,1))</f>
        <v/>
      </c>
      <c r="L7" s="6">
        <f>IF(OR(原始資料!$A7="",11&gt;設定!$B$3,原始資料!N7=""),"",IF(AND(原始資料!M7&lt;&gt;"",原始資料!N7=原始資料!M7),N(K7)+1,1))</f>
        <v/>
      </c>
      <c r="M7" s="6">
        <f>IF(OR(原始資料!$A7="",12&gt;設定!$B$3,原始資料!O7=""),"",IF(AND(原始資料!N7&lt;&gt;"",原始資料!O7=原始資料!N7),N(L7)+1,1))</f>
        <v/>
      </c>
      <c r="N7" s="6">
        <f>IF(OR(原始資料!$A7="",13&gt;設定!$B$3,原始資料!P7=""),"",IF(AND(原始資料!O7&lt;&gt;"",原始資料!P7=原始資料!O7),N(M7)+1,1))</f>
        <v/>
      </c>
      <c r="O7" s="6">
        <f>IF(OR(原始資料!$A7="",14&gt;設定!$B$3,原始資料!Q7=""),"",IF(AND(原始資料!P7&lt;&gt;"",原始資料!Q7=原始資料!P7),N(N7)+1,1))</f>
        <v/>
      </c>
      <c r="P7" s="6">
        <f>IF(OR(原始資料!$A7="",15&gt;設定!$B$3,原始資料!R7=""),"",IF(AND(原始資料!Q7&lt;&gt;"",原始資料!R7=原始資料!Q7),N(O7)+1,1))</f>
        <v/>
      </c>
      <c r="Q7" s="6">
        <f>IF(OR(原始資料!$A7="",16&gt;設定!$B$3,原始資料!S7=""),"",IF(AND(原始資料!R7&lt;&gt;"",原始資料!S7=原始資料!R7),N(P7)+1,1))</f>
        <v/>
      </c>
      <c r="R7" s="6">
        <f>IF(OR(原始資料!$A7="",17&gt;設定!$B$3,原始資料!T7=""),"",IF(AND(原始資料!S7&lt;&gt;"",原始資料!T7=原始資料!S7),N(Q7)+1,1))</f>
        <v/>
      </c>
      <c r="S7" s="6">
        <f>IF(OR(原始資料!$A7="",18&gt;設定!$B$3,原始資料!U7=""),"",IF(AND(原始資料!T7&lt;&gt;"",原始資料!U7=原始資料!T7),N(R7)+1,1))</f>
        <v/>
      </c>
      <c r="T7" s="6">
        <f>IF(OR(原始資料!$A7="",19&gt;設定!$B$3,原始資料!V7=""),"",IF(AND(原始資料!U7&lt;&gt;"",原始資料!V7=原始資料!U7),N(S7)+1,1))</f>
        <v/>
      </c>
      <c r="U7" s="6">
        <f>IF(OR(原始資料!$A7="",20&gt;設定!$B$3,原始資料!W7=""),"",IF(AND(原始資料!V7&lt;&gt;"",原始資料!W7=原始資料!V7),N(T7)+1,1))</f>
        <v/>
      </c>
      <c r="V7" s="6">
        <f>IF(OR(原始資料!$A7="",21&gt;設定!$B$3,原始資料!X7=""),"",IF(AND(原始資料!W7&lt;&gt;"",原始資料!X7=原始資料!W7),N(U7)+1,1))</f>
        <v/>
      </c>
      <c r="W7" s="6">
        <f>IF(OR(原始資料!$A7="",22&gt;設定!$B$3,原始資料!Y7=""),"",IF(AND(原始資料!X7&lt;&gt;"",原始資料!Y7=原始資料!X7),N(V7)+1,1))</f>
        <v/>
      </c>
      <c r="X7" s="6">
        <f>IF(OR(原始資料!$A7="",23&gt;設定!$B$3,原始資料!Z7=""),"",IF(AND(原始資料!Y7&lt;&gt;"",原始資料!Z7=原始資料!Y7),N(W7)+1,1))</f>
        <v/>
      </c>
      <c r="Y7" s="6">
        <f>IF(OR(原始資料!$A7="",24&gt;設定!$B$3,原始資料!AA7=""),"",IF(AND(原始資料!Z7&lt;&gt;"",原始資料!AA7=原始資料!Z7),N(X7)+1,1))</f>
        <v/>
      </c>
      <c r="Z7" s="6">
        <f>IF(OR(原始資料!$A7="",25&gt;設定!$B$3,原始資料!AB7=""),"",IF(AND(原始資料!AA7&lt;&gt;"",原始資料!AB7=原始資料!AA7),N(Y7)+1,1))</f>
        <v/>
      </c>
      <c r="AA7" s="6">
        <f>IF(OR(原始資料!$A7="",26&gt;設定!$B$3,原始資料!AC7=""),"",IF(AND(原始資料!AB7&lt;&gt;"",原始資料!AC7=原始資料!AB7),N(Z7)+1,1))</f>
        <v/>
      </c>
      <c r="AB7" s="6">
        <f>IF(OR(原始資料!$A7="",27&gt;設定!$B$3,原始資料!AD7=""),"",IF(AND(原始資料!AC7&lt;&gt;"",原始資料!AD7=原始資料!AC7),N(AA7)+1,1))</f>
        <v/>
      </c>
      <c r="AC7" s="6">
        <f>IF(OR(原始資料!$A7="",28&gt;設定!$B$3,原始資料!AE7=""),"",IF(AND(原始資料!AD7&lt;&gt;"",原始資料!AE7=原始資料!AD7),N(AB7)+1,1))</f>
        <v/>
      </c>
      <c r="AD7" s="6">
        <f>IF(OR(原始資料!$A7="",29&gt;設定!$B$3,原始資料!AF7=""),"",IF(AND(原始資料!AE7&lt;&gt;"",原始資料!AF7=原始資料!AE7),N(AC7)+1,1))</f>
        <v/>
      </c>
      <c r="AE7" s="6">
        <f>IF(OR(原始資料!$A7="",30&gt;設定!$B$3,原始資料!AG7=""),"",IF(AND(原始資料!AF7&lt;&gt;"",原始資料!AG7=原始資料!AF7),N(AD7)+1,1))</f>
        <v/>
      </c>
      <c r="AF7" s="6">
        <f>IF(OR(原始資料!$A7="",31&gt;設定!$B$3,原始資料!AH7=""),"",IF(AND(原始資料!AG7&lt;&gt;"",原始資料!AH7=原始資料!AG7),N(AE7)+1,1))</f>
        <v/>
      </c>
      <c r="AG7" s="6">
        <f>IF(OR(原始資料!$A7="",32&gt;設定!$B$3,原始資料!AI7=""),"",IF(AND(原始資料!AH7&lt;&gt;"",原始資料!AI7=原始資料!AH7),N(AF7)+1,1))</f>
        <v/>
      </c>
      <c r="AH7" s="6">
        <f>IF(OR(原始資料!$A7="",33&gt;設定!$B$3,原始資料!AJ7=""),"",IF(AND(原始資料!AI7&lt;&gt;"",原始資料!AJ7=原始資料!AI7),N(AG7)+1,1))</f>
        <v/>
      </c>
      <c r="AI7" s="6">
        <f>IF(OR(原始資料!$A7="",34&gt;設定!$B$3,原始資料!AK7=""),"",IF(AND(原始資料!AJ7&lt;&gt;"",原始資料!AK7=原始資料!AJ7),N(AH7)+1,1))</f>
        <v/>
      </c>
      <c r="AJ7" s="6">
        <f>IF(OR(原始資料!$A7="",35&gt;設定!$B$3,原始資料!AL7=""),"",IF(AND(原始資料!AK7&lt;&gt;"",原始資料!AL7=原始資料!AK7),N(AI7)+1,1))</f>
        <v/>
      </c>
      <c r="AK7" s="6">
        <f>IF(OR(原始資料!$A7="",36&gt;設定!$B$3,原始資料!AM7=""),"",IF(AND(原始資料!AL7&lt;&gt;"",原始資料!AM7=原始資料!AL7),N(AJ7)+1,1))</f>
        <v/>
      </c>
      <c r="AL7" s="6">
        <f>IF(OR(原始資料!$A7="",37&gt;設定!$B$3,原始資料!AN7=""),"",IF(AND(原始資料!AM7&lt;&gt;"",原始資料!AN7=原始資料!AM7),N(AK7)+1,1))</f>
        <v/>
      </c>
      <c r="AM7" s="6">
        <f>IF(OR(原始資料!$A7="",38&gt;設定!$B$3,原始資料!AO7=""),"",IF(AND(原始資料!AN7&lt;&gt;"",原始資料!AO7=原始資料!AN7),N(AL7)+1,1))</f>
        <v/>
      </c>
      <c r="AN7" s="6">
        <f>IF(OR(原始資料!$A7="",39&gt;設定!$B$3,原始資料!AP7=""),"",IF(AND(原始資料!AO7&lt;&gt;"",原始資料!AP7=原始資料!AO7),N(AM7)+1,1))</f>
        <v/>
      </c>
      <c r="AO7" s="6">
        <f>IF(OR(原始資料!$A7="",40&gt;設定!$B$3,原始資料!AQ7=""),"",IF(AND(原始資料!AP7&lt;&gt;"",原始資料!AQ7=原始資料!AP7),N(AN7)+1,1))</f>
        <v/>
      </c>
      <c r="AP7" s="6">
        <f>IF(OR(原始資料!$A7="",41&gt;設定!$B$3,原始資料!AR7=""),"",IF(AND(原始資料!AQ7&lt;&gt;"",原始資料!AR7=原始資料!AQ7),N(AO7)+1,1))</f>
        <v/>
      </c>
      <c r="AQ7" s="6">
        <f>IF(OR(原始資料!$A7="",42&gt;設定!$B$3,原始資料!AS7=""),"",IF(AND(原始資料!AR7&lt;&gt;"",原始資料!AS7=原始資料!AR7),N(AP7)+1,1))</f>
        <v/>
      </c>
      <c r="AR7" s="6">
        <f>IF(OR(原始資料!$A7="",43&gt;設定!$B$3,原始資料!AT7=""),"",IF(AND(原始資料!AS7&lt;&gt;"",原始資料!AT7=原始資料!AS7),N(AQ7)+1,1))</f>
        <v/>
      </c>
      <c r="AS7" s="6">
        <f>IF(OR(原始資料!$A7="",44&gt;設定!$B$3,原始資料!AU7=""),"",IF(AND(原始資料!AT7&lt;&gt;"",原始資料!AU7=原始資料!AT7),N(AR7)+1,1))</f>
        <v/>
      </c>
      <c r="AT7" s="6">
        <f>IF(OR(原始資料!$A7="",45&gt;設定!$B$3,原始資料!AV7=""),"",IF(AND(原始資料!AU7&lt;&gt;"",原始資料!AV7=原始資料!AU7),N(AS7)+1,1))</f>
        <v/>
      </c>
      <c r="AU7" s="6">
        <f>IF(OR(原始資料!$A7="",46&gt;設定!$B$3,原始資料!AW7=""),"",IF(AND(原始資料!AV7&lt;&gt;"",原始資料!AW7=原始資料!AV7),N(AT7)+1,1))</f>
        <v/>
      </c>
      <c r="AV7" s="6">
        <f>IF(OR(原始資料!$A7="",47&gt;設定!$B$3,原始資料!AX7=""),"",IF(AND(原始資料!AW7&lt;&gt;"",原始資料!AX7=原始資料!AW7),N(AU7)+1,1))</f>
        <v/>
      </c>
      <c r="AW7" s="6">
        <f>IF(OR(原始資料!$A7="",48&gt;設定!$B$3,原始資料!AY7=""),"",IF(AND(原始資料!AX7&lt;&gt;"",原始資料!AY7=原始資料!AX7),N(AV7)+1,1))</f>
        <v/>
      </c>
      <c r="AX7" s="6">
        <f>IF(OR(原始資料!$A7="",49&gt;設定!$B$3,原始資料!AZ7=""),"",IF(AND(原始資料!AY7&lt;&gt;"",原始資料!AZ7=原始資料!AY7),N(AW7)+1,1))</f>
        <v/>
      </c>
      <c r="AY7" s="6">
        <f>IF(OR(原始資料!$A7="",50&gt;設定!$B$3,原始資料!BA7=""),"",IF(AND(原始資料!AZ7&lt;&gt;"",原始資料!BA7=原始資料!AZ7),N(AX7)+1,1))</f>
        <v/>
      </c>
      <c r="AZ7" s="6">
        <f>IF(OR(原始資料!$A7="",51&gt;設定!$B$3,原始資料!BB7=""),"",IF(AND(原始資料!BA7&lt;&gt;"",原始資料!BB7=原始資料!BA7),N(AY7)+1,1))</f>
        <v/>
      </c>
      <c r="BA7" s="6">
        <f>IF(OR(原始資料!$A7="",52&gt;設定!$B$3,原始資料!BC7=""),"",IF(AND(原始資料!BB7&lt;&gt;"",原始資料!BC7=原始資料!BB7),N(AZ7)+1,1))</f>
        <v/>
      </c>
      <c r="BB7" s="6">
        <f>IF(OR(原始資料!$A7="",53&gt;設定!$B$3,原始資料!BD7=""),"",IF(AND(原始資料!BC7&lt;&gt;"",原始資料!BD7=原始資料!BC7),N(BA7)+1,1))</f>
        <v/>
      </c>
      <c r="BC7" s="6">
        <f>IF(OR(原始資料!$A7="",54&gt;設定!$B$3,原始資料!BE7=""),"",IF(AND(原始資料!BD7&lt;&gt;"",原始資料!BE7=原始資料!BD7),N(BB7)+1,1))</f>
        <v/>
      </c>
      <c r="BD7" s="6">
        <f>IF(OR(原始資料!$A7="",55&gt;設定!$B$3,原始資料!BF7=""),"",IF(AND(原始資料!BE7&lt;&gt;"",原始資料!BF7=原始資料!BE7),N(BC7)+1,1))</f>
        <v/>
      </c>
      <c r="BE7" s="6">
        <f>IF(OR(原始資料!$A7="",56&gt;設定!$B$3,原始資料!BG7=""),"",IF(AND(原始資料!BF7&lt;&gt;"",原始資料!BG7=原始資料!BF7),N(BD7)+1,1))</f>
        <v/>
      </c>
      <c r="BF7" s="6">
        <f>IF(OR(原始資料!$A7="",57&gt;設定!$B$3,原始資料!BH7=""),"",IF(AND(原始資料!BG7&lt;&gt;"",原始資料!BH7=原始資料!BG7),N(BE7)+1,1))</f>
        <v/>
      </c>
      <c r="BG7" s="6">
        <f>IF(OR(原始資料!$A7="",58&gt;設定!$B$3,原始資料!BI7=""),"",IF(AND(原始資料!BH7&lt;&gt;"",原始資料!BI7=原始資料!BH7),N(BF7)+1,1))</f>
        <v/>
      </c>
      <c r="BH7" s="6">
        <f>IF(OR(原始資料!$A7="",59&gt;設定!$B$3,原始資料!BJ7=""),"",IF(AND(原始資料!BI7&lt;&gt;"",原始資料!BJ7=原始資料!BI7),N(BG7)+1,1))</f>
        <v/>
      </c>
      <c r="BI7" s="6">
        <f>IF(OR(原始資料!$A7="",60&gt;設定!$B$3,原始資料!BK7=""),"",IF(AND(原始資料!BJ7&lt;&gt;"",原始資料!BK7=原始資料!BJ7),N(BH7)+1,1))</f>
        <v/>
      </c>
    </row>
    <row r="8">
      <c r="A8" s="6">
        <f>IF(原始資料!$A8="","",原始資料!$A8)</f>
        <v/>
      </c>
      <c r="B8" s="6">
        <f>IF(OR(原始資料!$A8="",1&gt;設定!$B$3,原始資料!D8=""),"",1)</f>
        <v/>
      </c>
      <c r="C8" s="6">
        <f>IF(OR(原始資料!$A8="",2&gt;設定!$B$3,原始資料!E8=""),"",IF(AND(原始資料!D8&lt;&gt;"",原始資料!E8=原始資料!D8),N(B8)+1,1))</f>
        <v/>
      </c>
      <c r="D8" s="6">
        <f>IF(OR(原始資料!$A8="",3&gt;設定!$B$3,原始資料!F8=""),"",IF(AND(原始資料!E8&lt;&gt;"",原始資料!F8=原始資料!E8),N(C8)+1,1))</f>
        <v/>
      </c>
      <c r="E8" s="6">
        <f>IF(OR(原始資料!$A8="",4&gt;設定!$B$3,原始資料!G8=""),"",IF(AND(原始資料!F8&lt;&gt;"",原始資料!G8=原始資料!F8),N(D8)+1,1))</f>
        <v/>
      </c>
      <c r="F8" s="6">
        <f>IF(OR(原始資料!$A8="",5&gt;設定!$B$3,原始資料!H8=""),"",IF(AND(原始資料!G8&lt;&gt;"",原始資料!H8=原始資料!G8),N(E8)+1,1))</f>
        <v/>
      </c>
      <c r="G8" s="6">
        <f>IF(OR(原始資料!$A8="",6&gt;設定!$B$3,原始資料!I8=""),"",IF(AND(原始資料!H8&lt;&gt;"",原始資料!I8=原始資料!H8),N(F8)+1,1))</f>
        <v/>
      </c>
      <c r="H8" s="6">
        <f>IF(OR(原始資料!$A8="",7&gt;設定!$B$3,原始資料!J8=""),"",IF(AND(原始資料!I8&lt;&gt;"",原始資料!J8=原始資料!I8),N(G8)+1,1))</f>
        <v/>
      </c>
      <c r="I8" s="6">
        <f>IF(OR(原始資料!$A8="",8&gt;設定!$B$3,原始資料!K8=""),"",IF(AND(原始資料!J8&lt;&gt;"",原始資料!K8=原始資料!J8),N(H8)+1,1))</f>
        <v/>
      </c>
      <c r="J8" s="6">
        <f>IF(OR(原始資料!$A8="",9&gt;設定!$B$3,原始資料!L8=""),"",IF(AND(原始資料!K8&lt;&gt;"",原始資料!L8=原始資料!K8),N(I8)+1,1))</f>
        <v/>
      </c>
      <c r="K8" s="6">
        <f>IF(OR(原始資料!$A8="",10&gt;設定!$B$3,原始資料!M8=""),"",IF(AND(原始資料!L8&lt;&gt;"",原始資料!M8=原始資料!L8),N(J8)+1,1))</f>
        <v/>
      </c>
      <c r="L8" s="6">
        <f>IF(OR(原始資料!$A8="",11&gt;設定!$B$3,原始資料!N8=""),"",IF(AND(原始資料!M8&lt;&gt;"",原始資料!N8=原始資料!M8),N(K8)+1,1))</f>
        <v/>
      </c>
      <c r="M8" s="6">
        <f>IF(OR(原始資料!$A8="",12&gt;設定!$B$3,原始資料!O8=""),"",IF(AND(原始資料!N8&lt;&gt;"",原始資料!O8=原始資料!N8),N(L8)+1,1))</f>
        <v/>
      </c>
      <c r="N8" s="6">
        <f>IF(OR(原始資料!$A8="",13&gt;設定!$B$3,原始資料!P8=""),"",IF(AND(原始資料!O8&lt;&gt;"",原始資料!P8=原始資料!O8),N(M8)+1,1))</f>
        <v/>
      </c>
      <c r="O8" s="6">
        <f>IF(OR(原始資料!$A8="",14&gt;設定!$B$3,原始資料!Q8=""),"",IF(AND(原始資料!P8&lt;&gt;"",原始資料!Q8=原始資料!P8),N(N8)+1,1))</f>
        <v/>
      </c>
      <c r="P8" s="6">
        <f>IF(OR(原始資料!$A8="",15&gt;設定!$B$3,原始資料!R8=""),"",IF(AND(原始資料!Q8&lt;&gt;"",原始資料!R8=原始資料!Q8),N(O8)+1,1))</f>
        <v/>
      </c>
      <c r="Q8" s="6">
        <f>IF(OR(原始資料!$A8="",16&gt;設定!$B$3,原始資料!S8=""),"",IF(AND(原始資料!R8&lt;&gt;"",原始資料!S8=原始資料!R8),N(P8)+1,1))</f>
        <v/>
      </c>
      <c r="R8" s="6">
        <f>IF(OR(原始資料!$A8="",17&gt;設定!$B$3,原始資料!T8=""),"",IF(AND(原始資料!S8&lt;&gt;"",原始資料!T8=原始資料!S8),N(Q8)+1,1))</f>
        <v/>
      </c>
      <c r="S8" s="6">
        <f>IF(OR(原始資料!$A8="",18&gt;設定!$B$3,原始資料!U8=""),"",IF(AND(原始資料!T8&lt;&gt;"",原始資料!U8=原始資料!T8),N(R8)+1,1))</f>
        <v/>
      </c>
      <c r="T8" s="6">
        <f>IF(OR(原始資料!$A8="",19&gt;設定!$B$3,原始資料!V8=""),"",IF(AND(原始資料!U8&lt;&gt;"",原始資料!V8=原始資料!U8),N(S8)+1,1))</f>
        <v/>
      </c>
      <c r="U8" s="6">
        <f>IF(OR(原始資料!$A8="",20&gt;設定!$B$3,原始資料!W8=""),"",IF(AND(原始資料!V8&lt;&gt;"",原始資料!W8=原始資料!V8),N(T8)+1,1))</f>
        <v/>
      </c>
      <c r="V8" s="6">
        <f>IF(OR(原始資料!$A8="",21&gt;設定!$B$3,原始資料!X8=""),"",IF(AND(原始資料!W8&lt;&gt;"",原始資料!X8=原始資料!W8),N(U8)+1,1))</f>
        <v/>
      </c>
      <c r="W8" s="6">
        <f>IF(OR(原始資料!$A8="",22&gt;設定!$B$3,原始資料!Y8=""),"",IF(AND(原始資料!X8&lt;&gt;"",原始資料!Y8=原始資料!X8),N(V8)+1,1))</f>
        <v/>
      </c>
      <c r="X8" s="6">
        <f>IF(OR(原始資料!$A8="",23&gt;設定!$B$3,原始資料!Z8=""),"",IF(AND(原始資料!Y8&lt;&gt;"",原始資料!Z8=原始資料!Y8),N(W8)+1,1))</f>
        <v/>
      </c>
      <c r="Y8" s="6">
        <f>IF(OR(原始資料!$A8="",24&gt;設定!$B$3,原始資料!AA8=""),"",IF(AND(原始資料!Z8&lt;&gt;"",原始資料!AA8=原始資料!Z8),N(X8)+1,1))</f>
        <v/>
      </c>
      <c r="Z8" s="6">
        <f>IF(OR(原始資料!$A8="",25&gt;設定!$B$3,原始資料!AB8=""),"",IF(AND(原始資料!AA8&lt;&gt;"",原始資料!AB8=原始資料!AA8),N(Y8)+1,1))</f>
        <v/>
      </c>
      <c r="AA8" s="6">
        <f>IF(OR(原始資料!$A8="",26&gt;設定!$B$3,原始資料!AC8=""),"",IF(AND(原始資料!AB8&lt;&gt;"",原始資料!AC8=原始資料!AB8),N(Z8)+1,1))</f>
        <v/>
      </c>
      <c r="AB8" s="6">
        <f>IF(OR(原始資料!$A8="",27&gt;設定!$B$3,原始資料!AD8=""),"",IF(AND(原始資料!AC8&lt;&gt;"",原始資料!AD8=原始資料!AC8),N(AA8)+1,1))</f>
        <v/>
      </c>
      <c r="AC8" s="6">
        <f>IF(OR(原始資料!$A8="",28&gt;設定!$B$3,原始資料!AE8=""),"",IF(AND(原始資料!AD8&lt;&gt;"",原始資料!AE8=原始資料!AD8),N(AB8)+1,1))</f>
        <v/>
      </c>
      <c r="AD8" s="6">
        <f>IF(OR(原始資料!$A8="",29&gt;設定!$B$3,原始資料!AF8=""),"",IF(AND(原始資料!AE8&lt;&gt;"",原始資料!AF8=原始資料!AE8),N(AC8)+1,1))</f>
        <v/>
      </c>
      <c r="AE8" s="6">
        <f>IF(OR(原始資料!$A8="",30&gt;設定!$B$3,原始資料!AG8=""),"",IF(AND(原始資料!AF8&lt;&gt;"",原始資料!AG8=原始資料!AF8),N(AD8)+1,1))</f>
        <v/>
      </c>
      <c r="AF8" s="6">
        <f>IF(OR(原始資料!$A8="",31&gt;設定!$B$3,原始資料!AH8=""),"",IF(AND(原始資料!AG8&lt;&gt;"",原始資料!AH8=原始資料!AG8),N(AE8)+1,1))</f>
        <v/>
      </c>
      <c r="AG8" s="6">
        <f>IF(OR(原始資料!$A8="",32&gt;設定!$B$3,原始資料!AI8=""),"",IF(AND(原始資料!AH8&lt;&gt;"",原始資料!AI8=原始資料!AH8),N(AF8)+1,1))</f>
        <v/>
      </c>
      <c r="AH8" s="6">
        <f>IF(OR(原始資料!$A8="",33&gt;設定!$B$3,原始資料!AJ8=""),"",IF(AND(原始資料!AI8&lt;&gt;"",原始資料!AJ8=原始資料!AI8),N(AG8)+1,1))</f>
        <v/>
      </c>
      <c r="AI8" s="6">
        <f>IF(OR(原始資料!$A8="",34&gt;設定!$B$3,原始資料!AK8=""),"",IF(AND(原始資料!AJ8&lt;&gt;"",原始資料!AK8=原始資料!AJ8),N(AH8)+1,1))</f>
        <v/>
      </c>
      <c r="AJ8" s="6">
        <f>IF(OR(原始資料!$A8="",35&gt;設定!$B$3,原始資料!AL8=""),"",IF(AND(原始資料!AK8&lt;&gt;"",原始資料!AL8=原始資料!AK8),N(AI8)+1,1))</f>
        <v/>
      </c>
      <c r="AK8" s="6">
        <f>IF(OR(原始資料!$A8="",36&gt;設定!$B$3,原始資料!AM8=""),"",IF(AND(原始資料!AL8&lt;&gt;"",原始資料!AM8=原始資料!AL8),N(AJ8)+1,1))</f>
        <v/>
      </c>
      <c r="AL8" s="6">
        <f>IF(OR(原始資料!$A8="",37&gt;設定!$B$3,原始資料!AN8=""),"",IF(AND(原始資料!AM8&lt;&gt;"",原始資料!AN8=原始資料!AM8),N(AK8)+1,1))</f>
        <v/>
      </c>
      <c r="AM8" s="6">
        <f>IF(OR(原始資料!$A8="",38&gt;設定!$B$3,原始資料!AO8=""),"",IF(AND(原始資料!AN8&lt;&gt;"",原始資料!AO8=原始資料!AN8),N(AL8)+1,1))</f>
        <v/>
      </c>
      <c r="AN8" s="6">
        <f>IF(OR(原始資料!$A8="",39&gt;設定!$B$3,原始資料!AP8=""),"",IF(AND(原始資料!AO8&lt;&gt;"",原始資料!AP8=原始資料!AO8),N(AM8)+1,1))</f>
        <v/>
      </c>
      <c r="AO8" s="6">
        <f>IF(OR(原始資料!$A8="",40&gt;設定!$B$3,原始資料!AQ8=""),"",IF(AND(原始資料!AP8&lt;&gt;"",原始資料!AQ8=原始資料!AP8),N(AN8)+1,1))</f>
        <v/>
      </c>
      <c r="AP8" s="6">
        <f>IF(OR(原始資料!$A8="",41&gt;設定!$B$3,原始資料!AR8=""),"",IF(AND(原始資料!AQ8&lt;&gt;"",原始資料!AR8=原始資料!AQ8),N(AO8)+1,1))</f>
        <v/>
      </c>
      <c r="AQ8" s="6">
        <f>IF(OR(原始資料!$A8="",42&gt;設定!$B$3,原始資料!AS8=""),"",IF(AND(原始資料!AR8&lt;&gt;"",原始資料!AS8=原始資料!AR8),N(AP8)+1,1))</f>
        <v/>
      </c>
      <c r="AR8" s="6">
        <f>IF(OR(原始資料!$A8="",43&gt;設定!$B$3,原始資料!AT8=""),"",IF(AND(原始資料!AS8&lt;&gt;"",原始資料!AT8=原始資料!AS8),N(AQ8)+1,1))</f>
        <v/>
      </c>
      <c r="AS8" s="6">
        <f>IF(OR(原始資料!$A8="",44&gt;設定!$B$3,原始資料!AU8=""),"",IF(AND(原始資料!AT8&lt;&gt;"",原始資料!AU8=原始資料!AT8),N(AR8)+1,1))</f>
        <v/>
      </c>
      <c r="AT8" s="6">
        <f>IF(OR(原始資料!$A8="",45&gt;設定!$B$3,原始資料!AV8=""),"",IF(AND(原始資料!AU8&lt;&gt;"",原始資料!AV8=原始資料!AU8),N(AS8)+1,1))</f>
        <v/>
      </c>
      <c r="AU8" s="6">
        <f>IF(OR(原始資料!$A8="",46&gt;設定!$B$3,原始資料!AW8=""),"",IF(AND(原始資料!AV8&lt;&gt;"",原始資料!AW8=原始資料!AV8),N(AT8)+1,1))</f>
        <v/>
      </c>
      <c r="AV8" s="6">
        <f>IF(OR(原始資料!$A8="",47&gt;設定!$B$3,原始資料!AX8=""),"",IF(AND(原始資料!AW8&lt;&gt;"",原始資料!AX8=原始資料!AW8),N(AU8)+1,1))</f>
        <v/>
      </c>
      <c r="AW8" s="6">
        <f>IF(OR(原始資料!$A8="",48&gt;設定!$B$3,原始資料!AY8=""),"",IF(AND(原始資料!AX8&lt;&gt;"",原始資料!AY8=原始資料!AX8),N(AV8)+1,1))</f>
        <v/>
      </c>
      <c r="AX8" s="6">
        <f>IF(OR(原始資料!$A8="",49&gt;設定!$B$3,原始資料!AZ8=""),"",IF(AND(原始資料!AY8&lt;&gt;"",原始資料!AZ8=原始資料!AY8),N(AW8)+1,1))</f>
        <v/>
      </c>
      <c r="AY8" s="6">
        <f>IF(OR(原始資料!$A8="",50&gt;設定!$B$3,原始資料!BA8=""),"",IF(AND(原始資料!AZ8&lt;&gt;"",原始資料!BA8=原始資料!AZ8),N(AX8)+1,1))</f>
        <v/>
      </c>
      <c r="AZ8" s="6">
        <f>IF(OR(原始資料!$A8="",51&gt;設定!$B$3,原始資料!BB8=""),"",IF(AND(原始資料!BA8&lt;&gt;"",原始資料!BB8=原始資料!BA8),N(AY8)+1,1))</f>
        <v/>
      </c>
      <c r="BA8" s="6">
        <f>IF(OR(原始資料!$A8="",52&gt;設定!$B$3,原始資料!BC8=""),"",IF(AND(原始資料!BB8&lt;&gt;"",原始資料!BC8=原始資料!BB8),N(AZ8)+1,1))</f>
        <v/>
      </c>
      <c r="BB8" s="6">
        <f>IF(OR(原始資料!$A8="",53&gt;設定!$B$3,原始資料!BD8=""),"",IF(AND(原始資料!BC8&lt;&gt;"",原始資料!BD8=原始資料!BC8),N(BA8)+1,1))</f>
        <v/>
      </c>
      <c r="BC8" s="6">
        <f>IF(OR(原始資料!$A8="",54&gt;設定!$B$3,原始資料!BE8=""),"",IF(AND(原始資料!BD8&lt;&gt;"",原始資料!BE8=原始資料!BD8),N(BB8)+1,1))</f>
        <v/>
      </c>
      <c r="BD8" s="6">
        <f>IF(OR(原始資料!$A8="",55&gt;設定!$B$3,原始資料!BF8=""),"",IF(AND(原始資料!BE8&lt;&gt;"",原始資料!BF8=原始資料!BE8),N(BC8)+1,1))</f>
        <v/>
      </c>
      <c r="BE8" s="6">
        <f>IF(OR(原始資料!$A8="",56&gt;設定!$B$3,原始資料!BG8=""),"",IF(AND(原始資料!BF8&lt;&gt;"",原始資料!BG8=原始資料!BF8),N(BD8)+1,1))</f>
        <v/>
      </c>
      <c r="BF8" s="6">
        <f>IF(OR(原始資料!$A8="",57&gt;設定!$B$3,原始資料!BH8=""),"",IF(AND(原始資料!BG8&lt;&gt;"",原始資料!BH8=原始資料!BG8),N(BE8)+1,1))</f>
        <v/>
      </c>
      <c r="BG8" s="6">
        <f>IF(OR(原始資料!$A8="",58&gt;設定!$B$3,原始資料!BI8=""),"",IF(AND(原始資料!BH8&lt;&gt;"",原始資料!BI8=原始資料!BH8),N(BF8)+1,1))</f>
        <v/>
      </c>
      <c r="BH8" s="6">
        <f>IF(OR(原始資料!$A8="",59&gt;設定!$B$3,原始資料!BJ8=""),"",IF(AND(原始資料!BI8&lt;&gt;"",原始資料!BJ8=原始資料!BI8),N(BG8)+1,1))</f>
        <v/>
      </c>
      <c r="BI8" s="6">
        <f>IF(OR(原始資料!$A8="",60&gt;設定!$B$3,原始資料!BK8=""),"",IF(AND(原始資料!BJ8&lt;&gt;"",原始資料!BK8=原始資料!BJ8),N(BH8)+1,1))</f>
        <v/>
      </c>
    </row>
    <row r="9">
      <c r="A9" s="6">
        <f>IF(原始資料!$A9="","",原始資料!$A9)</f>
        <v/>
      </c>
      <c r="B9" s="6">
        <f>IF(OR(原始資料!$A9="",1&gt;設定!$B$3,原始資料!D9=""),"",1)</f>
        <v/>
      </c>
      <c r="C9" s="6">
        <f>IF(OR(原始資料!$A9="",2&gt;設定!$B$3,原始資料!E9=""),"",IF(AND(原始資料!D9&lt;&gt;"",原始資料!E9=原始資料!D9),N(B9)+1,1))</f>
        <v/>
      </c>
      <c r="D9" s="6">
        <f>IF(OR(原始資料!$A9="",3&gt;設定!$B$3,原始資料!F9=""),"",IF(AND(原始資料!E9&lt;&gt;"",原始資料!F9=原始資料!E9),N(C9)+1,1))</f>
        <v/>
      </c>
      <c r="E9" s="6">
        <f>IF(OR(原始資料!$A9="",4&gt;設定!$B$3,原始資料!G9=""),"",IF(AND(原始資料!F9&lt;&gt;"",原始資料!G9=原始資料!F9),N(D9)+1,1))</f>
        <v/>
      </c>
      <c r="F9" s="6">
        <f>IF(OR(原始資料!$A9="",5&gt;設定!$B$3,原始資料!H9=""),"",IF(AND(原始資料!G9&lt;&gt;"",原始資料!H9=原始資料!G9),N(E9)+1,1))</f>
        <v/>
      </c>
      <c r="G9" s="6">
        <f>IF(OR(原始資料!$A9="",6&gt;設定!$B$3,原始資料!I9=""),"",IF(AND(原始資料!H9&lt;&gt;"",原始資料!I9=原始資料!H9),N(F9)+1,1))</f>
        <v/>
      </c>
      <c r="H9" s="6">
        <f>IF(OR(原始資料!$A9="",7&gt;設定!$B$3,原始資料!J9=""),"",IF(AND(原始資料!I9&lt;&gt;"",原始資料!J9=原始資料!I9),N(G9)+1,1))</f>
        <v/>
      </c>
      <c r="I9" s="6">
        <f>IF(OR(原始資料!$A9="",8&gt;設定!$B$3,原始資料!K9=""),"",IF(AND(原始資料!J9&lt;&gt;"",原始資料!K9=原始資料!J9),N(H9)+1,1))</f>
        <v/>
      </c>
      <c r="J9" s="6">
        <f>IF(OR(原始資料!$A9="",9&gt;設定!$B$3,原始資料!L9=""),"",IF(AND(原始資料!K9&lt;&gt;"",原始資料!L9=原始資料!K9),N(I9)+1,1))</f>
        <v/>
      </c>
      <c r="K9" s="6">
        <f>IF(OR(原始資料!$A9="",10&gt;設定!$B$3,原始資料!M9=""),"",IF(AND(原始資料!L9&lt;&gt;"",原始資料!M9=原始資料!L9),N(J9)+1,1))</f>
        <v/>
      </c>
      <c r="L9" s="6">
        <f>IF(OR(原始資料!$A9="",11&gt;設定!$B$3,原始資料!N9=""),"",IF(AND(原始資料!M9&lt;&gt;"",原始資料!N9=原始資料!M9),N(K9)+1,1))</f>
        <v/>
      </c>
      <c r="M9" s="6">
        <f>IF(OR(原始資料!$A9="",12&gt;設定!$B$3,原始資料!O9=""),"",IF(AND(原始資料!N9&lt;&gt;"",原始資料!O9=原始資料!N9),N(L9)+1,1))</f>
        <v/>
      </c>
      <c r="N9" s="6">
        <f>IF(OR(原始資料!$A9="",13&gt;設定!$B$3,原始資料!P9=""),"",IF(AND(原始資料!O9&lt;&gt;"",原始資料!P9=原始資料!O9),N(M9)+1,1))</f>
        <v/>
      </c>
      <c r="O9" s="6">
        <f>IF(OR(原始資料!$A9="",14&gt;設定!$B$3,原始資料!Q9=""),"",IF(AND(原始資料!P9&lt;&gt;"",原始資料!Q9=原始資料!P9),N(N9)+1,1))</f>
        <v/>
      </c>
      <c r="P9" s="6">
        <f>IF(OR(原始資料!$A9="",15&gt;設定!$B$3,原始資料!R9=""),"",IF(AND(原始資料!Q9&lt;&gt;"",原始資料!R9=原始資料!Q9),N(O9)+1,1))</f>
        <v/>
      </c>
      <c r="Q9" s="6">
        <f>IF(OR(原始資料!$A9="",16&gt;設定!$B$3,原始資料!S9=""),"",IF(AND(原始資料!R9&lt;&gt;"",原始資料!S9=原始資料!R9),N(P9)+1,1))</f>
        <v/>
      </c>
      <c r="R9" s="6">
        <f>IF(OR(原始資料!$A9="",17&gt;設定!$B$3,原始資料!T9=""),"",IF(AND(原始資料!S9&lt;&gt;"",原始資料!T9=原始資料!S9),N(Q9)+1,1))</f>
        <v/>
      </c>
      <c r="S9" s="6">
        <f>IF(OR(原始資料!$A9="",18&gt;設定!$B$3,原始資料!U9=""),"",IF(AND(原始資料!T9&lt;&gt;"",原始資料!U9=原始資料!T9),N(R9)+1,1))</f>
        <v/>
      </c>
      <c r="T9" s="6">
        <f>IF(OR(原始資料!$A9="",19&gt;設定!$B$3,原始資料!V9=""),"",IF(AND(原始資料!U9&lt;&gt;"",原始資料!V9=原始資料!U9),N(S9)+1,1))</f>
        <v/>
      </c>
      <c r="U9" s="6">
        <f>IF(OR(原始資料!$A9="",20&gt;設定!$B$3,原始資料!W9=""),"",IF(AND(原始資料!V9&lt;&gt;"",原始資料!W9=原始資料!V9),N(T9)+1,1))</f>
        <v/>
      </c>
      <c r="V9" s="6">
        <f>IF(OR(原始資料!$A9="",21&gt;設定!$B$3,原始資料!X9=""),"",IF(AND(原始資料!W9&lt;&gt;"",原始資料!X9=原始資料!W9),N(U9)+1,1))</f>
        <v/>
      </c>
      <c r="W9" s="6">
        <f>IF(OR(原始資料!$A9="",22&gt;設定!$B$3,原始資料!Y9=""),"",IF(AND(原始資料!X9&lt;&gt;"",原始資料!Y9=原始資料!X9),N(V9)+1,1))</f>
        <v/>
      </c>
      <c r="X9" s="6">
        <f>IF(OR(原始資料!$A9="",23&gt;設定!$B$3,原始資料!Z9=""),"",IF(AND(原始資料!Y9&lt;&gt;"",原始資料!Z9=原始資料!Y9),N(W9)+1,1))</f>
        <v/>
      </c>
      <c r="Y9" s="6">
        <f>IF(OR(原始資料!$A9="",24&gt;設定!$B$3,原始資料!AA9=""),"",IF(AND(原始資料!Z9&lt;&gt;"",原始資料!AA9=原始資料!Z9),N(X9)+1,1))</f>
        <v/>
      </c>
      <c r="Z9" s="6">
        <f>IF(OR(原始資料!$A9="",25&gt;設定!$B$3,原始資料!AB9=""),"",IF(AND(原始資料!AA9&lt;&gt;"",原始資料!AB9=原始資料!AA9),N(Y9)+1,1))</f>
        <v/>
      </c>
      <c r="AA9" s="6">
        <f>IF(OR(原始資料!$A9="",26&gt;設定!$B$3,原始資料!AC9=""),"",IF(AND(原始資料!AB9&lt;&gt;"",原始資料!AC9=原始資料!AB9),N(Z9)+1,1))</f>
        <v/>
      </c>
      <c r="AB9" s="6">
        <f>IF(OR(原始資料!$A9="",27&gt;設定!$B$3,原始資料!AD9=""),"",IF(AND(原始資料!AC9&lt;&gt;"",原始資料!AD9=原始資料!AC9),N(AA9)+1,1))</f>
        <v/>
      </c>
      <c r="AC9" s="6">
        <f>IF(OR(原始資料!$A9="",28&gt;設定!$B$3,原始資料!AE9=""),"",IF(AND(原始資料!AD9&lt;&gt;"",原始資料!AE9=原始資料!AD9),N(AB9)+1,1))</f>
        <v/>
      </c>
      <c r="AD9" s="6">
        <f>IF(OR(原始資料!$A9="",29&gt;設定!$B$3,原始資料!AF9=""),"",IF(AND(原始資料!AE9&lt;&gt;"",原始資料!AF9=原始資料!AE9),N(AC9)+1,1))</f>
        <v/>
      </c>
      <c r="AE9" s="6">
        <f>IF(OR(原始資料!$A9="",30&gt;設定!$B$3,原始資料!AG9=""),"",IF(AND(原始資料!AF9&lt;&gt;"",原始資料!AG9=原始資料!AF9),N(AD9)+1,1))</f>
        <v/>
      </c>
      <c r="AF9" s="6">
        <f>IF(OR(原始資料!$A9="",31&gt;設定!$B$3,原始資料!AH9=""),"",IF(AND(原始資料!AG9&lt;&gt;"",原始資料!AH9=原始資料!AG9),N(AE9)+1,1))</f>
        <v/>
      </c>
      <c r="AG9" s="6">
        <f>IF(OR(原始資料!$A9="",32&gt;設定!$B$3,原始資料!AI9=""),"",IF(AND(原始資料!AH9&lt;&gt;"",原始資料!AI9=原始資料!AH9),N(AF9)+1,1))</f>
        <v/>
      </c>
      <c r="AH9" s="6">
        <f>IF(OR(原始資料!$A9="",33&gt;設定!$B$3,原始資料!AJ9=""),"",IF(AND(原始資料!AI9&lt;&gt;"",原始資料!AJ9=原始資料!AI9),N(AG9)+1,1))</f>
        <v/>
      </c>
      <c r="AI9" s="6">
        <f>IF(OR(原始資料!$A9="",34&gt;設定!$B$3,原始資料!AK9=""),"",IF(AND(原始資料!AJ9&lt;&gt;"",原始資料!AK9=原始資料!AJ9),N(AH9)+1,1))</f>
        <v/>
      </c>
      <c r="AJ9" s="6">
        <f>IF(OR(原始資料!$A9="",35&gt;設定!$B$3,原始資料!AL9=""),"",IF(AND(原始資料!AK9&lt;&gt;"",原始資料!AL9=原始資料!AK9),N(AI9)+1,1))</f>
        <v/>
      </c>
      <c r="AK9" s="6">
        <f>IF(OR(原始資料!$A9="",36&gt;設定!$B$3,原始資料!AM9=""),"",IF(AND(原始資料!AL9&lt;&gt;"",原始資料!AM9=原始資料!AL9),N(AJ9)+1,1))</f>
        <v/>
      </c>
      <c r="AL9" s="6">
        <f>IF(OR(原始資料!$A9="",37&gt;設定!$B$3,原始資料!AN9=""),"",IF(AND(原始資料!AM9&lt;&gt;"",原始資料!AN9=原始資料!AM9),N(AK9)+1,1))</f>
        <v/>
      </c>
      <c r="AM9" s="6">
        <f>IF(OR(原始資料!$A9="",38&gt;設定!$B$3,原始資料!AO9=""),"",IF(AND(原始資料!AN9&lt;&gt;"",原始資料!AO9=原始資料!AN9),N(AL9)+1,1))</f>
        <v/>
      </c>
      <c r="AN9" s="6">
        <f>IF(OR(原始資料!$A9="",39&gt;設定!$B$3,原始資料!AP9=""),"",IF(AND(原始資料!AO9&lt;&gt;"",原始資料!AP9=原始資料!AO9),N(AM9)+1,1))</f>
        <v/>
      </c>
      <c r="AO9" s="6">
        <f>IF(OR(原始資料!$A9="",40&gt;設定!$B$3,原始資料!AQ9=""),"",IF(AND(原始資料!AP9&lt;&gt;"",原始資料!AQ9=原始資料!AP9),N(AN9)+1,1))</f>
        <v/>
      </c>
      <c r="AP9" s="6">
        <f>IF(OR(原始資料!$A9="",41&gt;設定!$B$3,原始資料!AR9=""),"",IF(AND(原始資料!AQ9&lt;&gt;"",原始資料!AR9=原始資料!AQ9),N(AO9)+1,1))</f>
        <v/>
      </c>
      <c r="AQ9" s="6">
        <f>IF(OR(原始資料!$A9="",42&gt;設定!$B$3,原始資料!AS9=""),"",IF(AND(原始資料!AR9&lt;&gt;"",原始資料!AS9=原始資料!AR9),N(AP9)+1,1))</f>
        <v/>
      </c>
      <c r="AR9" s="6">
        <f>IF(OR(原始資料!$A9="",43&gt;設定!$B$3,原始資料!AT9=""),"",IF(AND(原始資料!AS9&lt;&gt;"",原始資料!AT9=原始資料!AS9),N(AQ9)+1,1))</f>
        <v/>
      </c>
      <c r="AS9" s="6">
        <f>IF(OR(原始資料!$A9="",44&gt;設定!$B$3,原始資料!AU9=""),"",IF(AND(原始資料!AT9&lt;&gt;"",原始資料!AU9=原始資料!AT9),N(AR9)+1,1))</f>
        <v/>
      </c>
      <c r="AT9" s="6">
        <f>IF(OR(原始資料!$A9="",45&gt;設定!$B$3,原始資料!AV9=""),"",IF(AND(原始資料!AU9&lt;&gt;"",原始資料!AV9=原始資料!AU9),N(AS9)+1,1))</f>
        <v/>
      </c>
      <c r="AU9" s="6">
        <f>IF(OR(原始資料!$A9="",46&gt;設定!$B$3,原始資料!AW9=""),"",IF(AND(原始資料!AV9&lt;&gt;"",原始資料!AW9=原始資料!AV9),N(AT9)+1,1))</f>
        <v/>
      </c>
      <c r="AV9" s="6">
        <f>IF(OR(原始資料!$A9="",47&gt;設定!$B$3,原始資料!AX9=""),"",IF(AND(原始資料!AW9&lt;&gt;"",原始資料!AX9=原始資料!AW9),N(AU9)+1,1))</f>
        <v/>
      </c>
      <c r="AW9" s="6">
        <f>IF(OR(原始資料!$A9="",48&gt;設定!$B$3,原始資料!AY9=""),"",IF(AND(原始資料!AX9&lt;&gt;"",原始資料!AY9=原始資料!AX9),N(AV9)+1,1))</f>
        <v/>
      </c>
      <c r="AX9" s="6">
        <f>IF(OR(原始資料!$A9="",49&gt;設定!$B$3,原始資料!AZ9=""),"",IF(AND(原始資料!AY9&lt;&gt;"",原始資料!AZ9=原始資料!AY9),N(AW9)+1,1))</f>
        <v/>
      </c>
      <c r="AY9" s="6">
        <f>IF(OR(原始資料!$A9="",50&gt;設定!$B$3,原始資料!BA9=""),"",IF(AND(原始資料!AZ9&lt;&gt;"",原始資料!BA9=原始資料!AZ9),N(AX9)+1,1))</f>
        <v/>
      </c>
      <c r="AZ9" s="6">
        <f>IF(OR(原始資料!$A9="",51&gt;設定!$B$3,原始資料!BB9=""),"",IF(AND(原始資料!BA9&lt;&gt;"",原始資料!BB9=原始資料!BA9),N(AY9)+1,1))</f>
        <v/>
      </c>
      <c r="BA9" s="6">
        <f>IF(OR(原始資料!$A9="",52&gt;設定!$B$3,原始資料!BC9=""),"",IF(AND(原始資料!BB9&lt;&gt;"",原始資料!BC9=原始資料!BB9),N(AZ9)+1,1))</f>
        <v/>
      </c>
      <c r="BB9" s="6">
        <f>IF(OR(原始資料!$A9="",53&gt;設定!$B$3,原始資料!BD9=""),"",IF(AND(原始資料!BC9&lt;&gt;"",原始資料!BD9=原始資料!BC9),N(BA9)+1,1))</f>
        <v/>
      </c>
      <c r="BC9" s="6">
        <f>IF(OR(原始資料!$A9="",54&gt;設定!$B$3,原始資料!BE9=""),"",IF(AND(原始資料!BD9&lt;&gt;"",原始資料!BE9=原始資料!BD9),N(BB9)+1,1))</f>
        <v/>
      </c>
      <c r="BD9" s="6">
        <f>IF(OR(原始資料!$A9="",55&gt;設定!$B$3,原始資料!BF9=""),"",IF(AND(原始資料!BE9&lt;&gt;"",原始資料!BF9=原始資料!BE9),N(BC9)+1,1))</f>
        <v/>
      </c>
      <c r="BE9" s="6">
        <f>IF(OR(原始資料!$A9="",56&gt;設定!$B$3,原始資料!BG9=""),"",IF(AND(原始資料!BF9&lt;&gt;"",原始資料!BG9=原始資料!BF9),N(BD9)+1,1))</f>
        <v/>
      </c>
      <c r="BF9" s="6">
        <f>IF(OR(原始資料!$A9="",57&gt;設定!$B$3,原始資料!BH9=""),"",IF(AND(原始資料!BG9&lt;&gt;"",原始資料!BH9=原始資料!BG9),N(BE9)+1,1))</f>
        <v/>
      </c>
      <c r="BG9" s="6">
        <f>IF(OR(原始資料!$A9="",58&gt;設定!$B$3,原始資料!BI9=""),"",IF(AND(原始資料!BH9&lt;&gt;"",原始資料!BI9=原始資料!BH9),N(BF9)+1,1))</f>
        <v/>
      </c>
      <c r="BH9" s="6">
        <f>IF(OR(原始資料!$A9="",59&gt;設定!$B$3,原始資料!BJ9=""),"",IF(AND(原始資料!BI9&lt;&gt;"",原始資料!BJ9=原始資料!BI9),N(BG9)+1,1))</f>
        <v/>
      </c>
      <c r="BI9" s="6">
        <f>IF(OR(原始資料!$A9="",60&gt;設定!$B$3,原始資料!BK9=""),"",IF(AND(原始資料!BJ9&lt;&gt;"",原始資料!BK9=原始資料!BJ9),N(BH9)+1,1))</f>
        <v/>
      </c>
    </row>
    <row r="10">
      <c r="A10" s="6">
        <f>IF(原始資料!$A10="","",原始資料!$A10)</f>
        <v/>
      </c>
      <c r="B10" s="6">
        <f>IF(OR(原始資料!$A10="",1&gt;設定!$B$3,原始資料!D10=""),"",1)</f>
        <v/>
      </c>
      <c r="C10" s="6">
        <f>IF(OR(原始資料!$A10="",2&gt;設定!$B$3,原始資料!E10=""),"",IF(AND(原始資料!D10&lt;&gt;"",原始資料!E10=原始資料!D10),N(B10)+1,1))</f>
        <v/>
      </c>
      <c r="D10" s="6">
        <f>IF(OR(原始資料!$A10="",3&gt;設定!$B$3,原始資料!F10=""),"",IF(AND(原始資料!E10&lt;&gt;"",原始資料!F10=原始資料!E10),N(C10)+1,1))</f>
        <v/>
      </c>
      <c r="E10" s="6">
        <f>IF(OR(原始資料!$A10="",4&gt;設定!$B$3,原始資料!G10=""),"",IF(AND(原始資料!F10&lt;&gt;"",原始資料!G10=原始資料!F10),N(D10)+1,1))</f>
        <v/>
      </c>
      <c r="F10" s="6">
        <f>IF(OR(原始資料!$A10="",5&gt;設定!$B$3,原始資料!H10=""),"",IF(AND(原始資料!G10&lt;&gt;"",原始資料!H10=原始資料!G10),N(E10)+1,1))</f>
        <v/>
      </c>
      <c r="G10" s="6">
        <f>IF(OR(原始資料!$A10="",6&gt;設定!$B$3,原始資料!I10=""),"",IF(AND(原始資料!H10&lt;&gt;"",原始資料!I10=原始資料!H10),N(F10)+1,1))</f>
        <v/>
      </c>
      <c r="H10" s="6">
        <f>IF(OR(原始資料!$A10="",7&gt;設定!$B$3,原始資料!J10=""),"",IF(AND(原始資料!I10&lt;&gt;"",原始資料!J10=原始資料!I10),N(G10)+1,1))</f>
        <v/>
      </c>
      <c r="I10" s="6">
        <f>IF(OR(原始資料!$A10="",8&gt;設定!$B$3,原始資料!K10=""),"",IF(AND(原始資料!J10&lt;&gt;"",原始資料!K10=原始資料!J10),N(H10)+1,1))</f>
        <v/>
      </c>
      <c r="J10" s="6">
        <f>IF(OR(原始資料!$A10="",9&gt;設定!$B$3,原始資料!L10=""),"",IF(AND(原始資料!K10&lt;&gt;"",原始資料!L10=原始資料!K10),N(I10)+1,1))</f>
        <v/>
      </c>
      <c r="K10" s="6">
        <f>IF(OR(原始資料!$A10="",10&gt;設定!$B$3,原始資料!M10=""),"",IF(AND(原始資料!L10&lt;&gt;"",原始資料!M10=原始資料!L10),N(J10)+1,1))</f>
        <v/>
      </c>
      <c r="L10" s="6">
        <f>IF(OR(原始資料!$A10="",11&gt;設定!$B$3,原始資料!N10=""),"",IF(AND(原始資料!M10&lt;&gt;"",原始資料!N10=原始資料!M10),N(K10)+1,1))</f>
        <v/>
      </c>
      <c r="M10" s="6">
        <f>IF(OR(原始資料!$A10="",12&gt;設定!$B$3,原始資料!O10=""),"",IF(AND(原始資料!N10&lt;&gt;"",原始資料!O10=原始資料!N10),N(L10)+1,1))</f>
        <v/>
      </c>
      <c r="N10" s="6">
        <f>IF(OR(原始資料!$A10="",13&gt;設定!$B$3,原始資料!P10=""),"",IF(AND(原始資料!O10&lt;&gt;"",原始資料!P10=原始資料!O10),N(M10)+1,1))</f>
        <v/>
      </c>
      <c r="O10" s="6">
        <f>IF(OR(原始資料!$A10="",14&gt;設定!$B$3,原始資料!Q10=""),"",IF(AND(原始資料!P10&lt;&gt;"",原始資料!Q10=原始資料!P10),N(N10)+1,1))</f>
        <v/>
      </c>
      <c r="P10" s="6">
        <f>IF(OR(原始資料!$A10="",15&gt;設定!$B$3,原始資料!R10=""),"",IF(AND(原始資料!Q10&lt;&gt;"",原始資料!R10=原始資料!Q10),N(O10)+1,1))</f>
        <v/>
      </c>
      <c r="Q10" s="6">
        <f>IF(OR(原始資料!$A10="",16&gt;設定!$B$3,原始資料!S10=""),"",IF(AND(原始資料!R10&lt;&gt;"",原始資料!S10=原始資料!R10),N(P10)+1,1))</f>
        <v/>
      </c>
      <c r="R10" s="6">
        <f>IF(OR(原始資料!$A10="",17&gt;設定!$B$3,原始資料!T10=""),"",IF(AND(原始資料!S10&lt;&gt;"",原始資料!T10=原始資料!S10),N(Q10)+1,1))</f>
        <v/>
      </c>
      <c r="S10" s="6">
        <f>IF(OR(原始資料!$A10="",18&gt;設定!$B$3,原始資料!U10=""),"",IF(AND(原始資料!T10&lt;&gt;"",原始資料!U10=原始資料!T10),N(R10)+1,1))</f>
        <v/>
      </c>
      <c r="T10" s="6">
        <f>IF(OR(原始資料!$A10="",19&gt;設定!$B$3,原始資料!V10=""),"",IF(AND(原始資料!U10&lt;&gt;"",原始資料!V10=原始資料!U10),N(S10)+1,1))</f>
        <v/>
      </c>
      <c r="U10" s="6">
        <f>IF(OR(原始資料!$A10="",20&gt;設定!$B$3,原始資料!W10=""),"",IF(AND(原始資料!V10&lt;&gt;"",原始資料!W10=原始資料!V10),N(T10)+1,1))</f>
        <v/>
      </c>
      <c r="V10" s="6">
        <f>IF(OR(原始資料!$A10="",21&gt;設定!$B$3,原始資料!X10=""),"",IF(AND(原始資料!W10&lt;&gt;"",原始資料!X10=原始資料!W10),N(U10)+1,1))</f>
        <v/>
      </c>
      <c r="W10" s="6">
        <f>IF(OR(原始資料!$A10="",22&gt;設定!$B$3,原始資料!Y10=""),"",IF(AND(原始資料!X10&lt;&gt;"",原始資料!Y10=原始資料!X10),N(V10)+1,1))</f>
        <v/>
      </c>
      <c r="X10" s="6">
        <f>IF(OR(原始資料!$A10="",23&gt;設定!$B$3,原始資料!Z10=""),"",IF(AND(原始資料!Y10&lt;&gt;"",原始資料!Z10=原始資料!Y10),N(W10)+1,1))</f>
        <v/>
      </c>
      <c r="Y10" s="6">
        <f>IF(OR(原始資料!$A10="",24&gt;設定!$B$3,原始資料!AA10=""),"",IF(AND(原始資料!Z10&lt;&gt;"",原始資料!AA10=原始資料!Z10),N(X10)+1,1))</f>
        <v/>
      </c>
      <c r="Z10" s="6">
        <f>IF(OR(原始資料!$A10="",25&gt;設定!$B$3,原始資料!AB10=""),"",IF(AND(原始資料!AA10&lt;&gt;"",原始資料!AB10=原始資料!AA10),N(Y10)+1,1))</f>
        <v/>
      </c>
      <c r="AA10" s="6">
        <f>IF(OR(原始資料!$A10="",26&gt;設定!$B$3,原始資料!AC10=""),"",IF(AND(原始資料!AB10&lt;&gt;"",原始資料!AC10=原始資料!AB10),N(Z10)+1,1))</f>
        <v/>
      </c>
      <c r="AB10" s="6">
        <f>IF(OR(原始資料!$A10="",27&gt;設定!$B$3,原始資料!AD10=""),"",IF(AND(原始資料!AC10&lt;&gt;"",原始資料!AD10=原始資料!AC10),N(AA10)+1,1))</f>
        <v/>
      </c>
      <c r="AC10" s="6">
        <f>IF(OR(原始資料!$A10="",28&gt;設定!$B$3,原始資料!AE10=""),"",IF(AND(原始資料!AD10&lt;&gt;"",原始資料!AE10=原始資料!AD10),N(AB10)+1,1))</f>
        <v/>
      </c>
      <c r="AD10" s="6">
        <f>IF(OR(原始資料!$A10="",29&gt;設定!$B$3,原始資料!AF10=""),"",IF(AND(原始資料!AE10&lt;&gt;"",原始資料!AF10=原始資料!AE10),N(AC10)+1,1))</f>
        <v/>
      </c>
      <c r="AE10" s="6">
        <f>IF(OR(原始資料!$A10="",30&gt;設定!$B$3,原始資料!AG10=""),"",IF(AND(原始資料!AF10&lt;&gt;"",原始資料!AG10=原始資料!AF10),N(AD10)+1,1))</f>
        <v/>
      </c>
      <c r="AF10" s="6">
        <f>IF(OR(原始資料!$A10="",31&gt;設定!$B$3,原始資料!AH10=""),"",IF(AND(原始資料!AG10&lt;&gt;"",原始資料!AH10=原始資料!AG10),N(AE10)+1,1))</f>
        <v/>
      </c>
      <c r="AG10" s="6">
        <f>IF(OR(原始資料!$A10="",32&gt;設定!$B$3,原始資料!AI10=""),"",IF(AND(原始資料!AH10&lt;&gt;"",原始資料!AI10=原始資料!AH10),N(AF10)+1,1))</f>
        <v/>
      </c>
      <c r="AH10" s="6">
        <f>IF(OR(原始資料!$A10="",33&gt;設定!$B$3,原始資料!AJ10=""),"",IF(AND(原始資料!AI10&lt;&gt;"",原始資料!AJ10=原始資料!AI10),N(AG10)+1,1))</f>
        <v/>
      </c>
      <c r="AI10" s="6">
        <f>IF(OR(原始資料!$A10="",34&gt;設定!$B$3,原始資料!AK10=""),"",IF(AND(原始資料!AJ10&lt;&gt;"",原始資料!AK10=原始資料!AJ10),N(AH10)+1,1))</f>
        <v/>
      </c>
      <c r="AJ10" s="6">
        <f>IF(OR(原始資料!$A10="",35&gt;設定!$B$3,原始資料!AL10=""),"",IF(AND(原始資料!AK10&lt;&gt;"",原始資料!AL10=原始資料!AK10),N(AI10)+1,1))</f>
        <v/>
      </c>
      <c r="AK10" s="6">
        <f>IF(OR(原始資料!$A10="",36&gt;設定!$B$3,原始資料!AM10=""),"",IF(AND(原始資料!AL10&lt;&gt;"",原始資料!AM10=原始資料!AL10),N(AJ10)+1,1))</f>
        <v/>
      </c>
      <c r="AL10" s="6">
        <f>IF(OR(原始資料!$A10="",37&gt;設定!$B$3,原始資料!AN10=""),"",IF(AND(原始資料!AM10&lt;&gt;"",原始資料!AN10=原始資料!AM10),N(AK10)+1,1))</f>
        <v/>
      </c>
      <c r="AM10" s="6">
        <f>IF(OR(原始資料!$A10="",38&gt;設定!$B$3,原始資料!AO10=""),"",IF(AND(原始資料!AN10&lt;&gt;"",原始資料!AO10=原始資料!AN10),N(AL10)+1,1))</f>
        <v/>
      </c>
      <c r="AN10" s="6">
        <f>IF(OR(原始資料!$A10="",39&gt;設定!$B$3,原始資料!AP10=""),"",IF(AND(原始資料!AO10&lt;&gt;"",原始資料!AP10=原始資料!AO10),N(AM10)+1,1))</f>
        <v/>
      </c>
      <c r="AO10" s="6">
        <f>IF(OR(原始資料!$A10="",40&gt;設定!$B$3,原始資料!AQ10=""),"",IF(AND(原始資料!AP10&lt;&gt;"",原始資料!AQ10=原始資料!AP10),N(AN10)+1,1))</f>
        <v/>
      </c>
      <c r="AP10" s="6">
        <f>IF(OR(原始資料!$A10="",41&gt;設定!$B$3,原始資料!AR10=""),"",IF(AND(原始資料!AQ10&lt;&gt;"",原始資料!AR10=原始資料!AQ10),N(AO10)+1,1))</f>
        <v/>
      </c>
      <c r="AQ10" s="6">
        <f>IF(OR(原始資料!$A10="",42&gt;設定!$B$3,原始資料!AS10=""),"",IF(AND(原始資料!AR10&lt;&gt;"",原始資料!AS10=原始資料!AR10),N(AP10)+1,1))</f>
        <v/>
      </c>
      <c r="AR10" s="6">
        <f>IF(OR(原始資料!$A10="",43&gt;設定!$B$3,原始資料!AT10=""),"",IF(AND(原始資料!AS10&lt;&gt;"",原始資料!AT10=原始資料!AS10),N(AQ10)+1,1))</f>
        <v/>
      </c>
      <c r="AS10" s="6">
        <f>IF(OR(原始資料!$A10="",44&gt;設定!$B$3,原始資料!AU10=""),"",IF(AND(原始資料!AT10&lt;&gt;"",原始資料!AU10=原始資料!AT10),N(AR10)+1,1))</f>
        <v/>
      </c>
      <c r="AT10" s="6">
        <f>IF(OR(原始資料!$A10="",45&gt;設定!$B$3,原始資料!AV10=""),"",IF(AND(原始資料!AU10&lt;&gt;"",原始資料!AV10=原始資料!AU10),N(AS10)+1,1))</f>
        <v/>
      </c>
      <c r="AU10" s="6">
        <f>IF(OR(原始資料!$A10="",46&gt;設定!$B$3,原始資料!AW10=""),"",IF(AND(原始資料!AV10&lt;&gt;"",原始資料!AW10=原始資料!AV10),N(AT10)+1,1))</f>
        <v/>
      </c>
      <c r="AV10" s="6">
        <f>IF(OR(原始資料!$A10="",47&gt;設定!$B$3,原始資料!AX10=""),"",IF(AND(原始資料!AW10&lt;&gt;"",原始資料!AX10=原始資料!AW10),N(AU10)+1,1))</f>
        <v/>
      </c>
      <c r="AW10" s="6">
        <f>IF(OR(原始資料!$A10="",48&gt;設定!$B$3,原始資料!AY10=""),"",IF(AND(原始資料!AX10&lt;&gt;"",原始資料!AY10=原始資料!AX10),N(AV10)+1,1))</f>
        <v/>
      </c>
      <c r="AX10" s="6">
        <f>IF(OR(原始資料!$A10="",49&gt;設定!$B$3,原始資料!AZ10=""),"",IF(AND(原始資料!AY10&lt;&gt;"",原始資料!AZ10=原始資料!AY10),N(AW10)+1,1))</f>
        <v/>
      </c>
      <c r="AY10" s="6">
        <f>IF(OR(原始資料!$A10="",50&gt;設定!$B$3,原始資料!BA10=""),"",IF(AND(原始資料!AZ10&lt;&gt;"",原始資料!BA10=原始資料!AZ10),N(AX10)+1,1))</f>
        <v/>
      </c>
      <c r="AZ10" s="6">
        <f>IF(OR(原始資料!$A10="",51&gt;設定!$B$3,原始資料!BB10=""),"",IF(AND(原始資料!BA10&lt;&gt;"",原始資料!BB10=原始資料!BA10),N(AY10)+1,1))</f>
        <v/>
      </c>
      <c r="BA10" s="6">
        <f>IF(OR(原始資料!$A10="",52&gt;設定!$B$3,原始資料!BC10=""),"",IF(AND(原始資料!BB10&lt;&gt;"",原始資料!BC10=原始資料!BB10),N(AZ10)+1,1))</f>
        <v/>
      </c>
      <c r="BB10" s="6">
        <f>IF(OR(原始資料!$A10="",53&gt;設定!$B$3,原始資料!BD10=""),"",IF(AND(原始資料!BC10&lt;&gt;"",原始資料!BD10=原始資料!BC10),N(BA10)+1,1))</f>
        <v/>
      </c>
      <c r="BC10" s="6">
        <f>IF(OR(原始資料!$A10="",54&gt;設定!$B$3,原始資料!BE10=""),"",IF(AND(原始資料!BD10&lt;&gt;"",原始資料!BE10=原始資料!BD10),N(BB10)+1,1))</f>
        <v/>
      </c>
      <c r="BD10" s="6">
        <f>IF(OR(原始資料!$A10="",55&gt;設定!$B$3,原始資料!BF10=""),"",IF(AND(原始資料!BE10&lt;&gt;"",原始資料!BF10=原始資料!BE10),N(BC10)+1,1))</f>
        <v/>
      </c>
      <c r="BE10" s="6">
        <f>IF(OR(原始資料!$A10="",56&gt;設定!$B$3,原始資料!BG10=""),"",IF(AND(原始資料!BF10&lt;&gt;"",原始資料!BG10=原始資料!BF10),N(BD10)+1,1))</f>
        <v/>
      </c>
      <c r="BF10" s="6">
        <f>IF(OR(原始資料!$A10="",57&gt;設定!$B$3,原始資料!BH10=""),"",IF(AND(原始資料!BG10&lt;&gt;"",原始資料!BH10=原始資料!BG10),N(BE10)+1,1))</f>
        <v/>
      </c>
      <c r="BG10" s="6">
        <f>IF(OR(原始資料!$A10="",58&gt;設定!$B$3,原始資料!BI10=""),"",IF(AND(原始資料!BH10&lt;&gt;"",原始資料!BI10=原始資料!BH10),N(BF10)+1,1))</f>
        <v/>
      </c>
      <c r="BH10" s="6">
        <f>IF(OR(原始資料!$A10="",59&gt;設定!$B$3,原始資料!BJ10=""),"",IF(AND(原始資料!BI10&lt;&gt;"",原始資料!BJ10=原始資料!BI10),N(BG10)+1,1))</f>
        <v/>
      </c>
      <c r="BI10" s="6">
        <f>IF(OR(原始資料!$A10="",60&gt;設定!$B$3,原始資料!BK10=""),"",IF(AND(原始資料!BJ10&lt;&gt;"",原始資料!BK10=原始資料!BJ10),N(BH10)+1,1))</f>
        <v/>
      </c>
    </row>
    <row r="11">
      <c r="A11" s="6">
        <f>IF(原始資料!$A11="","",原始資料!$A11)</f>
        <v/>
      </c>
      <c r="B11" s="6">
        <f>IF(OR(原始資料!$A11="",1&gt;設定!$B$3,原始資料!D11=""),"",1)</f>
        <v/>
      </c>
      <c r="C11" s="6">
        <f>IF(OR(原始資料!$A11="",2&gt;設定!$B$3,原始資料!E11=""),"",IF(AND(原始資料!D11&lt;&gt;"",原始資料!E11=原始資料!D11),N(B11)+1,1))</f>
        <v/>
      </c>
      <c r="D11" s="6">
        <f>IF(OR(原始資料!$A11="",3&gt;設定!$B$3,原始資料!F11=""),"",IF(AND(原始資料!E11&lt;&gt;"",原始資料!F11=原始資料!E11),N(C11)+1,1))</f>
        <v/>
      </c>
      <c r="E11" s="6">
        <f>IF(OR(原始資料!$A11="",4&gt;設定!$B$3,原始資料!G11=""),"",IF(AND(原始資料!F11&lt;&gt;"",原始資料!G11=原始資料!F11),N(D11)+1,1))</f>
        <v/>
      </c>
      <c r="F11" s="6">
        <f>IF(OR(原始資料!$A11="",5&gt;設定!$B$3,原始資料!H11=""),"",IF(AND(原始資料!G11&lt;&gt;"",原始資料!H11=原始資料!G11),N(E11)+1,1))</f>
        <v/>
      </c>
      <c r="G11" s="6">
        <f>IF(OR(原始資料!$A11="",6&gt;設定!$B$3,原始資料!I11=""),"",IF(AND(原始資料!H11&lt;&gt;"",原始資料!I11=原始資料!H11),N(F11)+1,1))</f>
        <v/>
      </c>
      <c r="H11" s="6">
        <f>IF(OR(原始資料!$A11="",7&gt;設定!$B$3,原始資料!J11=""),"",IF(AND(原始資料!I11&lt;&gt;"",原始資料!J11=原始資料!I11),N(G11)+1,1))</f>
        <v/>
      </c>
      <c r="I11" s="6">
        <f>IF(OR(原始資料!$A11="",8&gt;設定!$B$3,原始資料!K11=""),"",IF(AND(原始資料!J11&lt;&gt;"",原始資料!K11=原始資料!J11),N(H11)+1,1))</f>
        <v/>
      </c>
      <c r="J11" s="6">
        <f>IF(OR(原始資料!$A11="",9&gt;設定!$B$3,原始資料!L11=""),"",IF(AND(原始資料!K11&lt;&gt;"",原始資料!L11=原始資料!K11),N(I11)+1,1))</f>
        <v/>
      </c>
      <c r="K11" s="6">
        <f>IF(OR(原始資料!$A11="",10&gt;設定!$B$3,原始資料!M11=""),"",IF(AND(原始資料!L11&lt;&gt;"",原始資料!M11=原始資料!L11),N(J11)+1,1))</f>
        <v/>
      </c>
      <c r="L11" s="6">
        <f>IF(OR(原始資料!$A11="",11&gt;設定!$B$3,原始資料!N11=""),"",IF(AND(原始資料!M11&lt;&gt;"",原始資料!N11=原始資料!M11),N(K11)+1,1))</f>
        <v/>
      </c>
      <c r="M11" s="6">
        <f>IF(OR(原始資料!$A11="",12&gt;設定!$B$3,原始資料!O11=""),"",IF(AND(原始資料!N11&lt;&gt;"",原始資料!O11=原始資料!N11),N(L11)+1,1))</f>
        <v/>
      </c>
      <c r="N11" s="6">
        <f>IF(OR(原始資料!$A11="",13&gt;設定!$B$3,原始資料!P11=""),"",IF(AND(原始資料!O11&lt;&gt;"",原始資料!P11=原始資料!O11),N(M11)+1,1))</f>
        <v/>
      </c>
      <c r="O11" s="6">
        <f>IF(OR(原始資料!$A11="",14&gt;設定!$B$3,原始資料!Q11=""),"",IF(AND(原始資料!P11&lt;&gt;"",原始資料!Q11=原始資料!P11),N(N11)+1,1))</f>
        <v/>
      </c>
      <c r="P11" s="6">
        <f>IF(OR(原始資料!$A11="",15&gt;設定!$B$3,原始資料!R11=""),"",IF(AND(原始資料!Q11&lt;&gt;"",原始資料!R11=原始資料!Q11),N(O11)+1,1))</f>
        <v/>
      </c>
      <c r="Q11" s="6">
        <f>IF(OR(原始資料!$A11="",16&gt;設定!$B$3,原始資料!S11=""),"",IF(AND(原始資料!R11&lt;&gt;"",原始資料!S11=原始資料!R11),N(P11)+1,1))</f>
        <v/>
      </c>
      <c r="R11" s="6">
        <f>IF(OR(原始資料!$A11="",17&gt;設定!$B$3,原始資料!T11=""),"",IF(AND(原始資料!S11&lt;&gt;"",原始資料!T11=原始資料!S11),N(Q11)+1,1))</f>
        <v/>
      </c>
      <c r="S11" s="6">
        <f>IF(OR(原始資料!$A11="",18&gt;設定!$B$3,原始資料!U11=""),"",IF(AND(原始資料!T11&lt;&gt;"",原始資料!U11=原始資料!T11),N(R11)+1,1))</f>
        <v/>
      </c>
      <c r="T11" s="6">
        <f>IF(OR(原始資料!$A11="",19&gt;設定!$B$3,原始資料!V11=""),"",IF(AND(原始資料!U11&lt;&gt;"",原始資料!V11=原始資料!U11),N(S11)+1,1))</f>
        <v/>
      </c>
      <c r="U11" s="6">
        <f>IF(OR(原始資料!$A11="",20&gt;設定!$B$3,原始資料!W11=""),"",IF(AND(原始資料!V11&lt;&gt;"",原始資料!W11=原始資料!V11),N(T11)+1,1))</f>
        <v/>
      </c>
      <c r="V11" s="6">
        <f>IF(OR(原始資料!$A11="",21&gt;設定!$B$3,原始資料!X11=""),"",IF(AND(原始資料!W11&lt;&gt;"",原始資料!X11=原始資料!W11),N(U11)+1,1))</f>
        <v/>
      </c>
      <c r="W11" s="6">
        <f>IF(OR(原始資料!$A11="",22&gt;設定!$B$3,原始資料!Y11=""),"",IF(AND(原始資料!X11&lt;&gt;"",原始資料!Y11=原始資料!X11),N(V11)+1,1))</f>
        <v/>
      </c>
      <c r="X11" s="6">
        <f>IF(OR(原始資料!$A11="",23&gt;設定!$B$3,原始資料!Z11=""),"",IF(AND(原始資料!Y11&lt;&gt;"",原始資料!Z11=原始資料!Y11),N(W11)+1,1))</f>
        <v/>
      </c>
      <c r="Y11" s="6">
        <f>IF(OR(原始資料!$A11="",24&gt;設定!$B$3,原始資料!AA11=""),"",IF(AND(原始資料!Z11&lt;&gt;"",原始資料!AA11=原始資料!Z11),N(X11)+1,1))</f>
        <v/>
      </c>
      <c r="Z11" s="6">
        <f>IF(OR(原始資料!$A11="",25&gt;設定!$B$3,原始資料!AB11=""),"",IF(AND(原始資料!AA11&lt;&gt;"",原始資料!AB11=原始資料!AA11),N(Y11)+1,1))</f>
        <v/>
      </c>
      <c r="AA11" s="6">
        <f>IF(OR(原始資料!$A11="",26&gt;設定!$B$3,原始資料!AC11=""),"",IF(AND(原始資料!AB11&lt;&gt;"",原始資料!AC11=原始資料!AB11),N(Z11)+1,1))</f>
        <v/>
      </c>
      <c r="AB11" s="6">
        <f>IF(OR(原始資料!$A11="",27&gt;設定!$B$3,原始資料!AD11=""),"",IF(AND(原始資料!AC11&lt;&gt;"",原始資料!AD11=原始資料!AC11),N(AA11)+1,1))</f>
        <v/>
      </c>
      <c r="AC11" s="6">
        <f>IF(OR(原始資料!$A11="",28&gt;設定!$B$3,原始資料!AE11=""),"",IF(AND(原始資料!AD11&lt;&gt;"",原始資料!AE11=原始資料!AD11),N(AB11)+1,1))</f>
        <v/>
      </c>
      <c r="AD11" s="6">
        <f>IF(OR(原始資料!$A11="",29&gt;設定!$B$3,原始資料!AF11=""),"",IF(AND(原始資料!AE11&lt;&gt;"",原始資料!AF11=原始資料!AE11),N(AC11)+1,1))</f>
        <v/>
      </c>
      <c r="AE11" s="6">
        <f>IF(OR(原始資料!$A11="",30&gt;設定!$B$3,原始資料!AG11=""),"",IF(AND(原始資料!AF11&lt;&gt;"",原始資料!AG11=原始資料!AF11),N(AD11)+1,1))</f>
        <v/>
      </c>
      <c r="AF11" s="6">
        <f>IF(OR(原始資料!$A11="",31&gt;設定!$B$3,原始資料!AH11=""),"",IF(AND(原始資料!AG11&lt;&gt;"",原始資料!AH11=原始資料!AG11),N(AE11)+1,1))</f>
        <v/>
      </c>
      <c r="AG11" s="6">
        <f>IF(OR(原始資料!$A11="",32&gt;設定!$B$3,原始資料!AI11=""),"",IF(AND(原始資料!AH11&lt;&gt;"",原始資料!AI11=原始資料!AH11),N(AF11)+1,1))</f>
        <v/>
      </c>
      <c r="AH11" s="6">
        <f>IF(OR(原始資料!$A11="",33&gt;設定!$B$3,原始資料!AJ11=""),"",IF(AND(原始資料!AI11&lt;&gt;"",原始資料!AJ11=原始資料!AI11),N(AG11)+1,1))</f>
        <v/>
      </c>
      <c r="AI11" s="6">
        <f>IF(OR(原始資料!$A11="",34&gt;設定!$B$3,原始資料!AK11=""),"",IF(AND(原始資料!AJ11&lt;&gt;"",原始資料!AK11=原始資料!AJ11),N(AH11)+1,1))</f>
        <v/>
      </c>
      <c r="AJ11" s="6">
        <f>IF(OR(原始資料!$A11="",35&gt;設定!$B$3,原始資料!AL11=""),"",IF(AND(原始資料!AK11&lt;&gt;"",原始資料!AL11=原始資料!AK11),N(AI11)+1,1))</f>
        <v/>
      </c>
      <c r="AK11" s="6">
        <f>IF(OR(原始資料!$A11="",36&gt;設定!$B$3,原始資料!AM11=""),"",IF(AND(原始資料!AL11&lt;&gt;"",原始資料!AM11=原始資料!AL11),N(AJ11)+1,1))</f>
        <v/>
      </c>
      <c r="AL11" s="6">
        <f>IF(OR(原始資料!$A11="",37&gt;設定!$B$3,原始資料!AN11=""),"",IF(AND(原始資料!AM11&lt;&gt;"",原始資料!AN11=原始資料!AM11),N(AK11)+1,1))</f>
        <v/>
      </c>
      <c r="AM11" s="6">
        <f>IF(OR(原始資料!$A11="",38&gt;設定!$B$3,原始資料!AO11=""),"",IF(AND(原始資料!AN11&lt;&gt;"",原始資料!AO11=原始資料!AN11),N(AL11)+1,1))</f>
        <v/>
      </c>
      <c r="AN11" s="6">
        <f>IF(OR(原始資料!$A11="",39&gt;設定!$B$3,原始資料!AP11=""),"",IF(AND(原始資料!AO11&lt;&gt;"",原始資料!AP11=原始資料!AO11),N(AM11)+1,1))</f>
        <v/>
      </c>
      <c r="AO11" s="6">
        <f>IF(OR(原始資料!$A11="",40&gt;設定!$B$3,原始資料!AQ11=""),"",IF(AND(原始資料!AP11&lt;&gt;"",原始資料!AQ11=原始資料!AP11),N(AN11)+1,1))</f>
        <v/>
      </c>
      <c r="AP11" s="6">
        <f>IF(OR(原始資料!$A11="",41&gt;設定!$B$3,原始資料!AR11=""),"",IF(AND(原始資料!AQ11&lt;&gt;"",原始資料!AR11=原始資料!AQ11),N(AO11)+1,1))</f>
        <v/>
      </c>
      <c r="AQ11" s="6">
        <f>IF(OR(原始資料!$A11="",42&gt;設定!$B$3,原始資料!AS11=""),"",IF(AND(原始資料!AR11&lt;&gt;"",原始資料!AS11=原始資料!AR11),N(AP11)+1,1))</f>
        <v/>
      </c>
      <c r="AR11" s="6">
        <f>IF(OR(原始資料!$A11="",43&gt;設定!$B$3,原始資料!AT11=""),"",IF(AND(原始資料!AS11&lt;&gt;"",原始資料!AT11=原始資料!AS11),N(AQ11)+1,1))</f>
        <v/>
      </c>
      <c r="AS11" s="6">
        <f>IF(OR(原始資料!$A11="",44&gt;設定!$B$3,原始資料!AU11=""),"",IF(AND(原始資料!AT11&lt;&gt;"",原始資料!AU11=原始資料!AT11),N(AR11)+1,1))</f>
        <v/>
      </c>
      <c r="AT11" s="6">
        <f>IF(OR(原始資料!$A11="",45&gt;設定!$B$3,原始資料!AV11=""),"",IF(AND(原始資料!AU11&lt;&gt;"",原始資料!AV11=原始資料!AU11),N(AS11)+1,1))</f>
        <v/>
      </c>
      <c r="AU11" s="6">
        <f>IF(OR(原始資料!$A11="",46&gt;設定!$B$3,原始資料!AW11=""),"",IF(AND(原始資料!AV11&lt;&gt;"",原始資料!AW11=原始資料!AV11),N(AT11)+1,1))</f>
        <v/>
      </c>
      <c r="AV11" s="6">
        <f>IF(OR(原始資料!$A11="",47&gt;設定!$B$3,原始資料!AX11=""),"",IF(AND(原始資料!AW11&lt;&gt;"",原始資料!AX11=原始資料!AW11),N(AU11)+1,1))</f>
        <v/>
      </c>
      <c r="AW11" s="6">
        <f>IF(OR(原始資料!$A11="",48&gt;設定!$B$3,原始資料!AY11=""),"",IF(AND(原始資料!AX11&lt;&gt;"",原始資料!AY11=原始資料!AX11),N(AV11)+1,1))</f>
        <v/>
      </c>
      <c r="AX11" s="6">
        <f>IF(OR(原始資料!$A11="",49&gt;設定!$B$3,原始資料!AZ11=""),"",IF(AND(原始資料!AY11&lt;&gt;"",原始資料!AZ11=原始資料!AY11),N(AW11)+1,1))</f>
        <v/>
      </c>
      <c r="AY11" s="6">
        <f>IF(OR(原始資料!$A11="",50&gt;設定!$B$3,原始資料!BA11=""),"",IF(AND(原始資料!AZ11&lt;&gt;"",原始資料!BA11=原始資料!AZ11),N(AX11)+1,1))</f>
        <v/>
      </c>
      <c r="AZ11" s="6">
        <f>IF(OR(原始資料!$A11="",51&gt;設定!$B$3,原始資料!BB11=""),"",IF(AND(原始資料!BA11&lt;&gt;"",原始資料!BB11=原始資料!BA11),N(AY11)+1,1))</f>
        <v/>
      </c>
      <c r="BA11" s="6">
        <f>IF(OR(原始資料!$A11="",52&gt;設定!$B$3,原始資料!BC11=""),"",IF(AND(原始資料!BB11&lt;&gt;"",原始資料!BC11=原始資料!BB11),N(AZ11)+1,1))</f>
        <v/>
      </c>
      <c r="BB11" s="6">
        <f>IF(OR(原始資料!$A11="",53&gt;設定!$B$3,原始資料!BD11=""),"",IF(AND(原始資料!BC11&lt;&gt;"",原始資料!BD11=原始資料!BC11),N(BA11)+1,1))</f>
        <v/>
      </c>
      <c r="BC11" s="6">
        <f>IF(OR(原始資料!$A11="",54&gt;設定!$B$3,原始資料!BE11=""),"",IF(AND(原始資料!BD11&lt;&gt;"",原始資料!BE11=原始資料!BD11),N(BB11)+1,1))</f>
        <v/>
      </c>
      <c r="BD11" s="6">
        <f>IF(OR(原始資料!$A11="",55&gt;設定!$B$3,原始資料!BF11=""),"",IF(AND(原始資料!BE11&lt;&gt;"",原始資料!BF11=原始資料!BE11),N(BC11)+1,1))</f>
        <v/>
      </c>
      <c r="BE11" s="6">
        <f>IF(OR(原始資料!$A11="",56&gt;設定!$B$3,原始資料!BG11=""),"",IF(AND(原始資料!BF11&lt;&gt;"",原始資料!BG11=原始資料!BF11),N(BD11)+1,1))</f>
        <v/>
      </c>
      <c r="BF11" s="6">
        <f>IF(OR(原始資料!$A11="",57&gt;設定!$B$3,原始資料!BH11=""),"",IF(AND(原始資料!BG11&lt;&gt;"",原始資料!BH11=原始資料!BG11),N(BE11)+1,1))</f>
        <v/>
      </c>
      <c r="BG11" s="6">
        <f>IF(OR(原始資料!$A11="",58&gt;設定!$B$3,原始資料!BI11=""),"",IF(AND(原始資料!BH11&lt;&gt;"",原始資料!BI11=原始資料!BH11),N(BF11)+1,1))</f>
        <v/>
      </c>
      <c r="BH11" s="6">
        <f>IF(OR(原始資料!$A11="",59&gt;設定!$B$3,原始資料!BJ11=""),"",IF(AND(原始資料!BI11&lt;&gt;"",原始資料!BJ11=原始資料!BI11),N(BG11)+1,1))</f>
        <v/>
      </c>
      <c r="BI11" s="6">
        <f>IF(OR(原始資料!$A11="",60&gt;設定!$B$3,原始資料!BK11=""),"",IF(AND(原始資料!BJ11&lt;&gt;"",原始資料!BK11=原始資料!BJ11),N(BH11)+1,1))</f>
        <v/>
      </c>
    </row>
    <row r="12">
      <c r="A12" s="6">
        <f>IF(原始資料!$A12="","",原始資料!$A12)</f>
        <v/>
      </c>
      <c r="B12" s="6">
        <f>IF(OR(原始資料!$A12="",1&gt;設定!$B$3,原始資料!D12=""),"",1)</f>
        <v/>
      </c>
      <c r="C12" s="6">
        <f>IF(OR(原始資料!$A12="",2&gt;設定!$B$3,原始資料!E12=""),"",IF(AND(原始資料!D12&lt;&gt;"",原始資料!E12=原始資料!D12),N(B12)+1,1))</f>
        <v/>
      </c>
      <c r="D12" s="6">
        <f>IF(OR(原始資料!$A12="",3&gt;設定!$B$3,原始資料!F12=""),"",IF(AND(原始資料!E12&lt;&gt;"",原始資料!F12=原始資料!E12),N(C12)+1,1))</f>
        <v/>
      </c>
      <c r="E12" s="6">
        <f>IF(OR(原始資料!$A12="",4&gt;設定!$B$3,原始資料!G12=""),"",IF(AND(原始資料!F12&lt;&gt;"",原始資料!G12=原始資料!F12),N(D12)+1,1))</f>
        <v/>
      </c>
      <c r="F12" s="6">
        <f>IF(OR(原始資料!$A12="",5&gt;設定!$B$3,原始資料!H12=""),"",IF(AND(原始資料!G12&lt;&gt;"",原始資料!H12=原始資料!G12),N(E12)+1,1))</f>
        <v/>
      </c>
      <c r="G12" s="6">
        <f>IF(OR(原始資料!$A12="",6&gt;設定!$B$3,原始資料!I12=""),"",IF(AND(原始資料!H12&lt;&gt;"",原始資料!I12=原始資料!H12),N(F12)+1,1))</f>
        <v/>
      </c>
      <c r="H12" s="6">
        <f>IF(OR(原始資料!$A12="",7&gt;設定!$B$3,原始資料!J12=""),"",IF(AND(原始資料!I12&lt;&gt;"",原始資料!J12=原始資料!I12),N(G12)+1,1))</f>
        <v/>
      </c>
      <c r="I12" s="6">
        <f>IF(OR(原始資料!$A12="",8&gt;設定!$B$3,原始資料!K12=""),"",IF(AND(原始資料!J12&lt;&gt;"",原始資料!K12=原始資料!J12),N(H12)+1,1))</f>
        <v/>
      </c>
      <c r="J12" s="6">
        <f>IF(OR(原始資料!$A12="",9&gt;設定!$B$3,原始資料!L12=""),"",IF(AND(原始資料!K12&lt;&gt;"",原始資料!L12=原始資料!K12),N(I12)+1,1))</f>
        <v/>
      </c>
      <c r="K12" s="6">
        <f>IF(OR(原始資料!$A12="",10&gt;設定!$B$3,原始資料!M12=""),"",IF(AND(原始資料!L12&lt;&gt;"",原始資料!M12=原始資料!L12),N(J12)+1,1))</f>
        <v/>
      </c>
      <c r="L12" s="6">
        <f>IF(OR(原始資料!$A12="",11&gt;設定!$B$3,原始資料!N12=""),"",IF(AND(原始資料!M12&lt;&gt;"",原始資料!N12=原始資料!M12),N(K12)+1,1))</f>
        <v/>
      </c>
      <c r="M12" s="6">
        <f>IF(OR(原始資料!$A12="",12&gt;設定!$B$3,原始資料!O12=""),"",IF(AND(原始資料!N12&lt;&gt;"",原始資料!O12=原始資料!N12),N(L12)+1,1))</f>
        <v/>
      </c>
      <c r="N12" s="6">
        <f>IF(OR(原始資料!$A12="",13&gt;設定!$B$3,原始資料!P12=""),"",IF(AND(原始資料!O12&lt;&gt;"",原始資料!P12=原始資料!O12),N(M12)+1,1))</f>
        <v/>
      </c>
      <c r="O12" s="6">
        <f>IF(OR(原始資料!$A12="",14&gt;設定!$B$3,原始資料!Q12=""),"",IF(AND(原始資料!P12&lt;&gt;"",原始資料!Q12=原始資料!P12),N(N12)+1,1))</f>
        <v/>
      </c>
      <c r="P12" s="6">
        <f>IF(OR(原始資料!$A12="",15&gt;設定!$B$3,原始資料!R12=""),"",IF(AND(原始資料!Q12&lt;&gt;"",原始資料!R12=原始資料!Q12),N(O12)+1,1))</f>
        <v/>
      </c>
      <c r="Q12" s="6">
        <f>IF(OR(原始資料!$A12="",16&gt;設定!$B$3,原始資料!S12=""),"",IF(AND(原始資料!R12&lt;&gt;"",原始資料!S12=原始資料!R12),N(P12)+1,1))</f>
        <v/>
      </c>
      <c r="R12" s="6">
        <f>IF(OR(原始資料!$A12="",17&gt;設定!$B$3,原始資料!T12=""),"",IF(AND(原始資料!S12&lt;&gt;"",原始資料!T12=原始資料!S12),N(Q12)+1,1))</f>
        <v/>
      </c>
      <c r="S12" s="6">
        <f>IF(OR(原始資料!$A12="",18&gt;設定!$B$3,原始資料!U12=""),"",IF(AND(原始資料!T12&lt;&gt;"",原始資料!U12=原始資料!T12),N(R12)+1,1))</f>
        <v/>
      </c>
      <c r="T12" s="6">
        <f>IF(OR(原始資料!$A12="",19&gt;設定!$B$3,原始資料!V12=""),"",IF(AND(原始資料!U12&lt;&gt;"",原始資料!V12=原始資料!U12),N(S12)+1,1))</f>
        <v/>
      </c>
      <c r="U12" s="6">
        <f>IF(OR(原始資料!$A12="",20&gt;設定!$B$3,原始資料!W12=""),"",IF(AND(原始資料!V12&lt;&gt;"",原始資料!W12=原始資料!V12),N(T12)+1,1))</f>
        <v/>
      </c>
      <c r="V12" s="6">
        <f>IF(OR(原始資料!$A12="",21&gt;設定!$B$3,原始資料!X12=""),"",IF(AND(原始資料!W12&lt;&gt;"",原始資料!X12=原始資料!W12),N(U12)+1,1))</f>
        <v/>
      </c>
      <c r="W12" s="6">
        <f>IF(OR(原始資料!$A12="",22&gt;設定!$B$3,原始資料!Y12=""),"",IF(AND(原始資料!X12&lt;&gt;"",原始資料!Y12=原始資料!X12),N(V12)+1,1))</f>
        <v/>
      </c>
      <c r="X12" s="6">
        <f>IF(OR(原始資料!$A12="",23&gt;設定!$B$3,原始資料!Z12=""),"",IF(AND(原始資料!Y12&lt;&gt;"",原始資料!Z12=原始資料!Y12),N(W12)+1,1))</f>
        <v/>
      </c>
      <c r="Y12" s="6">
        <f>IF(OR(原始資料!$A12="",24&gt;設定!$B$3,原始資料!AA12=""),"",IF(AND(原始資料!Z12&lt;&gt;"",原始資料!AA12=原始資料!Z12),N(X12)+1,1))</f>
        <v/>
      </c>
      <c r="Z12" s="6">
        <f>IF(OR(原始資料!$A12="",25&gt;設定!$B$3,原始資料!AB12=""),"",IF(AND(原始資料!AA12&lt;&gt;"",原始資料!AB12=原始資料!AA12),N(Y12)+1,1))</f>
        <v/>
      </c>
      <c r="AA12" s="6">
        <f>IF(OR(原始資料!$A12="",26&gt;設定!$B$3,原始資料!AC12=""),"",IF(AND(原始資料!AB12&lt;&gt;"",原始資料!AC12=原始資料!AB12),N(Z12)+1,1))</f>
        <v/>
      </c>
      <c r="AB12" s="6">
        <f>IF(OR(原始資料!$A12="",27&gt;設定!$B$3,原始資料!AD12=""),"",IF(AND(原始資料!AC12&lt;&gt;"",原始資料!AD12=原始資料!AC12),N(AA12)+1,1))</f>
        <v/>
      </c>
      <c r="AC12" s="6">
        <f>IF(OR(原始資料!$A12="",28&gt;設定!$B$3,原始資料!AE12=""),"",IF(AND(原始資料!AD12&lt;&gt;"",原始資料!AE12=原始資料!AD12),N(AB12)+1,1))</f>
        <v/>
      </c>
      <c r="AD12" s="6">
        <f>IF(OR(原始資料!$A12="",29&gt;設定!$B$3,原始資料!AF12=""),"",IF(AND(原始資料!AE12&lt;&gt;"",原始資料!AF12=原始資料!AE12),N(AC12)+1,1))</f>
        <v/>
      </c>
      <c r="AE12" s="6">
        <f>IF(OR(原始資料!$A12="",30&gt;設定!$B$3,原始資料!AG12=""),"",IF(AND(原始資料!AF12&lt;&gt;"",原始資料!AG12=原始資料!AF12),N(AD12)+1,1))</f>
        <v/>
      </c>
      <c r="AF12" s="6">
        <f>IF(OR(原始資料!$A12="",31&gt;設定!$B$3,原始資料!AH12=""),"",IF(AND(原始資料!AG12&lt;&gt;"",原始資料!AH12=原始資料!AG12),N(AE12)+1,1))</f>
        <v/>
      </c>
      <c r="AG12" s="6">
        <f>IF(OR(原始資料!$A12="",32&gt;設定!$B$3,原始資料!AI12=""),"",IF(AND(原始資料!AH12&lt;&gt;"",原始資料!AI12=原始資料!AH12),N(AF12)+1,1))</f>
        <v/>
      </c>
      <c r="AH12" s="6">
        <f>IF(OR(原始資料!$A12="",33&gt;設定!$B$3,原始資料!AJ12=""),"",IF(AND(原始資料!AI12&lt;&gt;"",原始資料!AJ12=原始資料!AI12),N(AG12)+1,1))</f>
        <v/>
      </c>
      <c r="AI12" s="6">
        <f>IF(OR(原始資料!$A12="",34&gt;設定!$B$3,原始資料!AK12=""),"",IF(AND(原始資料!AJ12&lt;&gt;"",原始資料!AK12=原始資料!AJ12),N(AH12)+1,1))</f>
        <v/>
      </c>
      <c r="AJ12" s="6">
        <f>IF(OR(原始資料!$A12="",35&gt;設定!$B$3,原始資料!AL12=""),"",IF(AND(原始資料!AK12&lt;&gt;"",原始資料!AL12=原始資料!AK12),N(AI12)+1,1))</f>
        <v/>
      </c>
      <c r="AK12" s="6">
        <f>IF(OR(原始資料!$A12="",36&gt;設定!$B$3,原始資料!AM12=""),"",IF(AND(原始資料!AL12&lt;&gt;"",原始資料!AM12=原始資料!AL12),N(AJ12)+1,1))</f>
        <v/>
      </c>
      <c r="AL12" s="6">
        <f>IF(OR(原始資料!$A12="",37&gt;設定!$B$3,原始資料!AN12=""),"",IF(AND(原始資料!AM12&lt;&gt;"",原始資料!AN12=原始資料!AM12),N(AK12)+1,1))</f>
        <v/>
      </c>
      <c r="AM12" s="6">
        <f>IF(OR(原始資料!$A12="",38&gt;設定!$B$3,原始資料!AO12=""),"",IF(AND(原始資料!AN12&lt;&gt;"",原始資料!AO12=原始資料!AN12),N(AL12)+1,1))</f>
        <v/>
      </c>
      <c r="AN12" s="6">
        <f>IF(OR(原始資料!$A12="",39&gt;設定!$B$3,原始資料!AP12=""),"",IF(AND(原始資料!AO12&lt;&gt;"",原始資料!AP12=原始資料!AO12),N(AM12)+1,1))</f>
        <v/>
      </c>
      <c r="AO12" s="6">
        <f>IF(OR(原始資料!$A12="",40&gt;設定!$B$3,原始資料!AQ12=""),"",IF(AND(原始資料!AP12&lt;&gt;"",原始資料!AQ12=原始資料!AP12),N(AN12)+1,1))</f>
        <v/>
      </c>
      <c r="AP12" s="6">
        <f>IF(OR(原始資料!$A12="",41&gt;設定!$B$3,原始資料!AR12=""),"",IF(AND(原始資料!AQ12&lt;&gt;"",原始資料!AR12=原始資料!AQ12),N(AO12)+1,1))</f>
        <v/>
      </c>
      <c r="AQ12" s="6">
        <f>IF(OR(原始資料!$A12="",42&gt;設定!$B$3,原始資料!AS12=""),"",IF(AND(原始資料!AR12&lt;&gt;"",原始資料!AS12=原始資料!AR12),N(AP12)+1,1))</f>
        <v/>
      </c>
      <c r="AR12" s="6">
        <f>IF(OR(原始資料!$A12="",43&gt;設定!$B$3,原始資料!AT12=""),"",IF(AND(原始資料!AS12&lt;&gt;"",原始資料!AT12=原始資料!AS12),N(AQ12)+1,1))</f>
        <v/>
      </c>
      <c r="AS12" s="6">
        <f>IF(OR(原始資料!$A12="",44&gt;設定!$B$3,原始資料!AU12=""),"",IF(AND(原始資料!AT12&lt;&gt;"",原始資料!AU12=原始資料!AT12),N(AR12)+1,1))</f>
        <v/>
      </c>
      <c r="AT12" s="6">
        <f>IF(OR(原始資料!$A12="",45&gt;設定!$B$3,原始資料!AV12=""),"",IF(AND(原始資料!AU12&lt;&gt;"",原始資料!AV12=原始資料!AU12),N(AS12)+1,1))</f>
        <v/>
      </c>
      <c r="AU12" s="6">
        <f>IF(OR(原始資料!$A12="",46&gt;設定!$B$3,原始資料!AW12=""),"",IF(AND(原始資料!AV12&lt;&gt;"",原始資料!AW12=原始資料!AV12),N(AT12)+1,1))</f>
        <v/>
      </c>
      <c r="AV12" s="6">
        <f>IF(OR(原始資料!$A12="",47&gt;設定!$B$3,原始資料!AX12=""),"",IF(AND(原始資料!AW12&lt;&gt;"",原始資料!AX12=原始資料!AW12),N(AU12)+1,1))</f>
        <v/>
      </c>
      <c r="AW12" s="6">
        <f>IF(OR(原始資料!$A12="",48&gt;設定!$B$3,原始資料!AY12=""),"",IF(AND(原始資料!AX12&lt;&gt;"",原始資料!AY12=原始資料!AX12),N(AV12)+1,1))</f>
        <v/>
      </c>
      <c r="AX12" s="6">
        <f>IF(OR(原始資料!$A12="",49&gt;設定!$B$3,原始資料!AZ12=""),"",IF(AND(原始資料!AY12&lt;&gt;"",原始資料!AZ12=原始資料!AY12),N(AW12)+1,1))</f>
        <v/>
      </c>
      <c r="AY12" s="6">
        <f>IF(OR(原始資料!$A12="",50&gt;設定!$B$3,原始資料!BA12=""),"",IF(AND(原始資料!AZ12&lt;&gt;"",原始資料!BA12=原始資料!AZ12),N(AX12)+1,1))</f>
        <v/>
      </c>
      <c r="AZ12" s="6">
        <f>IF(OR(原始資料!$A12="",51&gt;設定!$B$3,原始資料!BB12=""),"",IF(AND(原始資料!BA12&lt;&gt;"",原始資料!BB12=原始資料!BA12),N(AY12)+1,1))</f>
        <v/>
      </c>
      <c r="BA12" s="6">
        <f>IF(OR(原始資料!$A12="",52&gt;設定!$B$3,原始資料!BC12=""),"",IF(AND(原始資料!BB12&lt;&gt;"",原始資料!BC12=原始資料!BB12),N(AZ12)+1,1))</f>
        <v/>
      </c>
      <c r="BB12" s="6">
        <f>IF(OR(原始資料!$A12="",53&gt;設定!$B$3,原始資料!BD12=""),"",IF(AND(原始資料!BC12&lt;&gt;"",原始資料!BD12=原始資料!BC12),N(BA12)+1,1))</f>
        <v/>
      </c>
      <c r="BC12" s="6">
        <f>IF(OR(原始資料!$A12="",54&gt;設定!$B$3,原始資料!BE12=""),"",IF(AND(原始資料!BD12&lt;&gt;"",原始資料!BE12=原始資料!BD12),N(BB12)+1,1))</f>
        <v/>
      </c>
      <c r="BD12" s="6">
        <f>IF(OR(原始資料!$A12="",55&gt;設定!$B$3,原始資料!BF12=""),"",IF(AND(原始資料!BE12&lt;&gt;"",原始資料!BF12=原始資料!BE12),N(BC12)+1,1))</f>
        <v/>
      </c>
      <c r="BE12" s="6">
        <f>IF(OR(原始資料!$A12="",56&gt;設定!$B$3,原始資料!BG12=""),"",IF(AND(原始資料!BF12&lt;&gt;"",原始資料!BG12=原始資料!BF12),N(BD12)+1,1))</f>
        <v/>
      </c>
      <c r="BF12" s="6">
        <f>IF(OR(原始資料!$A12="",57&gt;設定!$B$3,原始資料!BH12=""),"",IF(AND(原始資料!BG12&lt;&gt;"",原始資料!BH12=原始資料!BG12),N(BE12)+1,1))</f>
        <v/>
      </c>
      <c r="BG12" s="6">
        <f>IF(OR(原始資料!$A12="",58&gt;設定!$B$3,原始資料!BI12=""),"",IF(AND(原始資料!BH12&lt;&gt;"",原始資料!BI12=原始資料!BH12),N(BF12)+1,1))</f>
        <v/>
      </c>
      <c r="BH12" s="6">
        <f>IF(OR(原始資料!$A12="",59&gt;設定!$B$3,原始資料!BJ12=""),"",IF(AND(原始資料!BI12&lt;&gt;"",原始資料!BJ12=原始資料!BI12),N(BG12)+1,1))</f>
        <v/>
      </c>
      <c r="BI12" s="6">
        <f>IF(OR(原始資料!$A12="",60&gt;設定!$B$3,原始資料!BK12=""),"",IF(AND(原始資料!BJ12&lt;&gt;"",原始資料!BK12=原始資料!BJ12),N(BH12)+1,1))</f>
        <v/>
      </c>
    </row>
    <row r="13">
      <c r="A13" s="6">
        <f>IF(原始資料!$A13="","",原始資料!$A13)</f>
        <v/>
      </c>
      <c r="B13" s="6">
        <f>IF(OR(原始資料!$A13="",1&gt;設定!$B$3,原始資料!D13=""),"",1)</f>
        <v/>
      </c>
      <c r="C13" s="6">
        <f>IF(OR(原始資料!$A13="",2&gt;設定!$B$3,原始資料!E13=""),"",IF(AND(原始資料!D13&lt;&gt;"",原始資料!E13=原始資料!D13),N(B13)+1,1))</f>
        <v/>
      </c>
      <c r="D13" s="6">
        <f>IF(OR(原始資料!$A13="",3&gt;設定!$B$3,原始資料!F13=""),"",IF(AND(原始資料!E13&lt;&gt;"",原始資料!F13=原始資料!E13),N(C13)+1,1))</f>
        <v/>
      </c>
      <c r="E13" s="6">
        <f>IF(OR(原始資料!$A13="",4&gt;設定!$B$3,原始資料!G13=""),"",IF(AND(原始資料!F13&lt;&gt;"",原始資料!G13=原始資料!F13),N(D13)+1,1))</f>
        <v/>
      </c>
      <c r="F13" s="6">
        <f>IF(OR(原始資料!$A13="",5&gt;設定!$B$3,原始資料!H13=""),"",IF(AND(原始資料!G13&lt;&gt;"",原始資料!H13=原始資料!G13),N(E13)+1,1))</f>
        <v/>
      </c>
      <c r="G13" s="6">
        <f>IF(OR(原始資料!$A13="",6&gt;設定!$B$3,原始資料!I13=""),"",IF(AND(原始資料!H13&lt;&gt;"",原始資料!I13=原始資料!H13),N(F13)+1,1))</f>
        <v/>
      </c>
      <c r="H13" s="6">
        <f>IF(OR(原始資料!$A13="",7&gt;設定!$B$3,原始資料!J13=""),"",IF(AND(原始資料!I13&lt;&gt;"",原始資料!J13=原始資料!I13),N(G13)+1,1))</f>
        <v/>
      </c>
      <c r="I13" s="6">
        <f>IF(OR(原始資料!$A13="",8&gt;設定!$B$3,原始資料!K13=""),"",IF(AND(原始資料!J13&lt;&gt;"",原始資料!K13=原始資料!J13),N(H13)+1,1))</f>
        <v/>
      </c>
      <c r="J13" s="6">
        <f>IF(OR(原始資料!$A13="",9&gt;設定!$B$3,原始資料!L13=""),"",IF(AND(原始資料!K13&lt;&gt;"",原始資料!L13=原始資料!K13),N(I13)+1,1))</f>
        <v/>
      </c>
      <c r="K13" s="6">
        <f>IF(OR(原始資料!$A13="",10&gt;設定!$B$3,原始資料!M13=""),"",IF(AND(原始資料!L13&lt;&gt;"",原始資料!M13=原始資料!L13),N(J13)+1,1))</f>
        <v/>
      </c>
      <c r="L13" s="6">
        <f>IF(OR(原始資料!$A13="",11&gt;設定!$B$3,原始資料!N13=""),"",IF(AND(原始資料!M13&lt;&gt;"",原始資料!N13=原始資料!M13),N(K13)+1,1))</f>
        <v/>
      </c>
      <c r="M13" s="6">
        <f>IF(OR(原始資料!$A13="",12&gt;設定!$B$3,原始資料!O13=""),"",IF(AND(原始資料!N13&lt;&gt;"",原始資料!O13=原始資料!N13),N(L13)+1,1))</f>
        <v/>
      </c>
      <c r="N13" s="6">
        <f>IF(OR(原始資料!$A13="",13&gt;設定!$B$3,原始資料!P13=""),"",IF(AND(原始資料!O13&lt;&gt;"",原始資料!P13=原始資料!O13),N(M13)+1,1))</f>
        <v/>
      </c>
      <c r="O13" s="6">
        <f>IF(OR(原始資料!$A13="",14&gt;設定!$B$3,原始資料!Q13=""),"",IF(AND(原始資料!P13&lt;&gt;"",原始資料!Q13=原始資料!P13),N(N13)+1,1))</f>
        <v/>
      </c>
      <c r="P13" s="6">
        <f>IF(OR(原始資料!$A13="",15&gt;設定!$B$3,原始資料!R13=""),"",IF(AND(原始資料!Q13&lt;&gt;"",原始資料!R13=原始資料!Q13),N(O13)+1,1))</f>
        <v/>
      </c>
      <c r="Q13" s="6">
        <f>IF(OR(原始資料!$A13="",16&gt;設定!$B$3,原始資料!S13=""),"",IF(AND(原始資料!R13&lt;&gt;"",原始資料!S13=原始資料!R13),N(P13)+1,1))</f>
        <v/>
      </c>
      <c r="R13" s="6">
        <f>IF(OR(原始資料!$A13="",17&gt;設定!$B$3,原始資料!T13=""),"",IF(AND(原始資料!S13&lt;&gt;"",原始資料!T13=原始資料!S13),N(Q13)+1,1))</f>
        <v/>
      </c>
      <c r="S13" s="6">
        <f>IF(OR(原始資料!$A13="",18&gt;設定!$B$3,原始資料!U13=""),"",IF(AND(原始資料!T13&lt;&gt;"",原始資料!U13=原始資料!T13),N(R13)+1,1))</f>
        <v/>
      </c>
      <c r="T13" s="6">
        <f>IF(OR(原始資料!$A13="",19&gt;設定!$B$3,原始資料!V13=""),"",IF(AND(原始資料!U13&lt;&gt;"",原始資料!V13=原始資料!U13),N(S13)+1,1))</f>
        <v/>
      </c>
      <c r="U13" s="6">
        <f>IF(OR(原始資料!$A13="",20&gt;設定!$B$3,原始資料!W13=""),"",IF(AND(原始資料!V13&lt;&gt;"",原始資料!W13=原始資料!V13),N(T13)+1,1))</f>
        <v/>
      </c>
      <c r="V13" s="6">
        <f>IF(OR(原始資料!$A13="",21&gt;設定!$B$3,原始資料!X13=""),"",IF(AND(原始資料!W13&lt;&gt;"",原始資料!X13=原始資料!W13),N(U13)+1,1))</f>
        <v/>
      </c>
      <c r="W13" s="6">
        <f>IF(OR(原始資料!$A13="",22&gt;設定!$B$3,原始資料!Y13=""),"",IF(AND(原始資料!X13&lt;&gt;"",原始資料!Y13=原始資料!X13),N(V13)+1,1))</f>
        <v/>
      </c>
      <c r="X13" s="6">
        <f>IF(OR(原始資料!$A13="",23&gt;設定!$B$3,原始資料!Z13=""),"",IF(AND(原始資料!Y13&lt;&gt;"",原始資料!Z13=原始資料!Y13),N(W13)+1,1))</f>
        <v/>
      </c>
      <c r="Y13" s="6">
        <f>IF(OR(原始資料!$A13="",24&gt;設定!$B$3,原始資料!AA13=""),"",IF(AND(原始資料!Z13&lt;&gt;"",原始資料!AA13=原始資料!Z13),N(X13)+1,1))</f>
        <v/>
      </c>
      <c r="Z13" s="6">
        <f>IF(OR(原始資料!$A13="",25&gt;設定!$B$3,原始資料!AB13=""),"",IF(AND(原始資料!AA13&lt;&gt;"",原始資料!AB13=原始資料!AA13),N(Y13)+1,1))</f>
        <v/>
      </c>
      <c r="AA13" s="6">
        <f>IF(OR(原始資料!$A13="",26&gt;設定!$B$3,原始資料!AC13=""),"",IF(AND(原始資料!AB13&lt;&gt;"",原始資料!AC13=原始資料!AB13),N(Z13)+1,1))</f>
        <v/>
      </c>
      <c r="AB13" s="6">
        <f>IF(OR(原始資料!$A13="",27&gt;設定!$B$3,原始資料!AD13=""),"",IF(AND(原始資料!AC13&lt;&gt;"",原始資料!AD13=原始資料!AC13),N(AA13)+1,1))</f>
        <v/>
      </c>
      <c r="AC13" s="6">
        <f>IF(OR(原始資料!$A13="",28&gt;設定!$B$3,原始資料!AE13=""),"",IF(AND(原始資料!AD13&lt;&gt;"",原始資料!AE13=原始資料!AD13),N(AB13)+1,1))</f>
        <v/>
      </c>
      <c r="AD13" s="6">
        <f>IF(OR(原始資料!$A13="",29&gt;設定!$B$3,原始資料!AF13=""),"",IF(AND(原始資料!AE13&lt;&gt;"",原始資料!AF13=原始資料!AE13),N(AC13)+1,1))</f>
        <v/>
      </c>
      <c r="AE13" s="6">
        <f>IF(OR(原始資料!$A13="",30&gt;設定!$B$3,原始資料!AG13=""),"",IF(AND(原始資料!AF13&lt;&gt;"",原始資料!AG13=原始資料!AF13),N(AD13)+1,1))</f>
        <v/>
      </c>
      <c r="AF13" s="6">
        <f>IF(OR(原始資料!$A13="",31&gt;設定!$B$3,原始資料!AH13=""),"",IF(AND(原始資料!AG13&lt;&gt;"",原始資料!AH13=原始資料!AG13),N(AE13)+1,1))</f>
        <v/>
      </c>
      <c r="AG13" s="6">
        <f>IF(OR(原始資料!$A13="",32&gt;設定!$B$3,原始資料!AI13=""),"",IF(AND(原始資料!AH13&lt;&gt;"",原始資料!AI13=原始資料!AH13),N(AF13)+1,1))</f>
        <v/>
      </c>
      <c r="AH13" s="6">
        <f>IF(OR(原始資料!$A13="",33&gt;設定!$B$3,原始資料!AJ13=""),"",IF(AND(原始資料!AI13&lt;&gt;"",原始資料!AJ13=原始資料!AI13),N(AG13)+1,1))</f>
        <v/>
      </c>
      <c r="AI13" s="6">
        <f>IF(OR(原始資料!$A13="",34&gt;設定!$B$3,原始資料!AK13=""),"",IF(AND(原始資料!AJ13&lt;&gt;"",原始資料!AK13=原始資料!AJ13),N(AH13)+1,1))</f>
        <v/>
      </c>
      <c r="AJ13" s="6">
        <f>IF(OR(原始資料!$A13="",35&gt;設定!$B$3,原始資料!AL13=""),"",IF(AND(原始資料!AK13&lt;&gt;"",原始資料!AL13=原始資料!AK13),N(AI13)+1,1))</f>
        <v/>
      </c>
      <c r="AK13" s="6">
        <f>IF(OR(原始資料!$A13="",36&gt;設定!$B$3,原始資料!AM13=""),"",IF(AND(原始資料!AL13&lt;&gt;"",原始資料!AM13=原始資料!AL13),N(AJ13)+1,1))</f>
        <v/>
      </c>
      <c r="AL13" s="6">
        <f>IF(OR(原始資料!$A13="",37&gt;設定!$B$3,原始資料!AN13=""),"",IF(AND(原始資料!AM13&lt;&gt;"",原始資料!AN13=原始資料!AM13),N(AK13)+1,1))</f>
        <v/>
      </c>
      <c r="AM13" s="6">
        <f>IF(OR(原始資料!$A13="",38&gt;設定!$B$3,原始資料!AO13=""),"",IF(AND(原始資料!AN13&lt;&gt;"",原始資料!AO13=原始資料!AN13),N(AL13)+1,1))</f>
        <v/>
      </c>
      <c r="AN13" s="6">
        <f>IF(OR(原始資料!$A13="",39&gt;設定!$B$3,原始資料!AP13=""),"",IF(AND(原始資料!AO13&lt;&gt;"",原始資料!AP13=原始資料!AO13),N(AM13)+1,1))</f>
        <v/>
      </c>
      <c r="AO13" s="6">
        <f>IF(OR(原始資料!$A13="",40&gt;設定!$B$3,原始資料!AQ13=""),"",IF(AND(原始資料!AP13&lt;&gt;"",原始資料!AQ13=原始資料!AP13),N(AN13)+1,1))</f>
        <v/>
      </c>
      <c r="AP13" s="6">
        <f>IF(OR(原始資料!$A13="",41&gt;設定!$B$3,原始資料!AR13=""),"",IF(AND(原始資料!AQ13&lt;&gt;"",原始資料!AR13=原始資料!AQ13),N(AO13)+1,1))</f>
        <v/>
      </c>
      <c r="AQ13" s="6">
        <f>IF(OR(原始資料!$A13="",42&gt;設定!$B$3,原始資料!AS13=""),"",IF(AND(原始資料!AR13&lt;&gt;"",原始資料!AS13=原始資料!AR13),N(AP13)+1,1))</f>
        <v/>
      </c>
      <c r="AR13" s="6">
        <f>IF(OR(原始資料!$A13="",43&gt;設定!$B$3,原始資料!AT13=""),"",IF(AND(原始資料!AS13&lt;&gt;"",原始資料!AT13=原始資料!AS13),N(AQ13)+1,1))</f>
        <v/>
      </c>
      <c r="AS13" s="6">
        <f>IF(OR(原始資料!$A13="",44&gt;設定!$B$3,原始資料!AU13=""),"",IF(AND(原始資料!AT13&lt;&gt;"",原始資料!AU13=原始資料!AT13),N(AR13)+1,1))</f>
        <v/>
      </c>
      <c r="AT13" s="6">
        <f>IF(OR(原始資料!$A13="",45&gt;設定!$B$3,原始資料!AV13=""),"",IF(AND(原始資料!AU13&lt;&gt;"",原始資料!AV13=原始資料!AU13),N(AS13)+1,1))</f>
        <v/>
      </c>
      <c r="AU13" s="6">
        <f>IF(OR(原始資料!$A13="",46&gt;設定!$B$3,原始資料!AW13=""),"",IF(AND(原始資料!AV13&lt;&gt;"",原始資料!AW13=原始資料!AV13),N(AT13)+1,1))</f>
        <v/>
      </c>
      <c r="AV13" s="6">
        <f>IF(OR(原始資料!$A13="",47&gt;設定!$B$3,原始資料!AX13=""),"",IF(AND(原始資料!AW13&lt;&gt;"",原始資料!AX13=原始資料!AW13),N(AU13)+1,1))</f>
        <v/>
      </c>
      <c r="AW13" s="6">
        <f>IF(OR(原始資料!$A13="",48&gt;設定!$B$3,原始資料!AY13=""),"",IF(AND(原始資料!AX13&lt;&gt;"",原始資料!AY13=原始資料!AX13),N(AV13)+1,1))</f>
        <v/>
      </c>
      <c r="AX13" s="6">
        <f>IF(OR(原始資料!$A13="",49&gt;設定!$B$3,原始資料!AZ13=""),"",IF(AND(原始資料!AY13&lt;&gt;"",原始資料!AZ13=原始資料!AY13),N(AW13)+1,1))</f>
        <v/>
      </c>
      <c r="AY13" s="6">
        <f>IF(OR(原始資料!$A13="",50&gt;設定!$B$3,原始資料!BA13=""),"",IF(AND(原始資料!AZ13&lt;&gt;"",原始資料!BA13=原始資料!AZ13),N(AX13)+1,1))</f>
        <v/>
      </c>
      <c r="AZ13" s="6">
        <f>IF(OR(原始資料!$A13="",51&gt;設定!$B$3,原始資料!BB13=""),"",IF(AND(原始資料!BA13&lt;&gt;"",原始資料!BB13=原始資料!BA13),N(AY13)+1,1))</f>
        <v/>
      </c>
      <c r="BA13" s="6">
        <f>IF(OR(原始資料!$A13="",52&gt;設定!$B$3,原始資料!BC13=""),"",IF(AND(原始資料!BB13&lt;&gt;"",原始資料!BC13=原始資料!BB13),N(AZ13)+1,1))</f>
        <v/>
      </c>
      <c r="BB13" s="6">
        <f>IF(OR(原始資料!$A13="",53&gt;設定!$B$3,原始資料!BD13=""),"",IF(AND(原始資料!BC13&lt;&gt;"",原始資料!BD13=原始資料!BC13),N(BA13)+1,1))</f>
        <v/>
      </c>
      <c r="BC13" s="6">
        <f>IF(OR(原始資料!$A13="",54&gt;設定!$B$3,原始資料!BE13=""),"",IF(AND(原始資料!BD13&lt;&gt;"",原始資料!BE13=原始資料!BD13),N(BB13)+1,1))</f>
        <v/>
      </c>
      <c r="BD13" s="6">
        <f>IF(OR(原始資料!$A13="",55&gt;設定!$B$3,原始資料!BF13=""),"",IF(AND(原始資料!BE13&lt;&gt;"",原始資料!BF13=原始資料!BE13),N(BC13)+1,1))</f>
        <v/>
      </c>
      <c r="BE13" s="6">
        <f>IF(OR(原始資料!$A13="",56&gt;設定!$B$3,原始資料!BG13=""),"",IF(AND(原始資料!BF13&lt;&gt;"",原始資料!BG13=原始資料!BF13),N(BD13)+1,1))</f>
        <v/>
      </c>
      <c r="BF13" s="6">
        <f>IF(OR(原始資料!$A13="",57&gt;設定!$B$3,原始資料!BH13=""),"",IF(AND(原始資料!BG13&lt;&gt;"",原始資料!BH13=原始資料!BG13),N(BE13)+1,1))</f>
        <v/>
      </c>
      <c r="BG13" s="6">
        <f>IF(OR(原始資料!$A13="",58&gt;設定!$B$3,原始資料!BI13=""),"",IF(AND(原始資料!BH13&lt;&gt;"",原始資料!BI13=原始資料!BH13),N(BF13)+1,1))</f>
        <v/>
      </c>
      <c r="BH13" s="6">
        <f>IF(OR(原始資料!$A13="",59&gt;設定!$B$3,原始資料!BJ13=""),"",IF(AND(原始資料!BI13&lt;&gt;"",原始資料!BJ13=原始資料!BI13),N(BG13)+1,1))</f>
        <v/>
      </c>
      <c r="BI13" s="6">
        <f>IF(OR(原始資料!$A13="",60&gt;設定!$B$3,原始資料!BK13=""),"",IF(AND(原始資料!BJ13&lt;&gt;"",原始資料!BK13=原始資料!BJ13),N(BH13)+1,1))</f>
        <v/>
      </c>
    </row>
    <row r="14">
      <c r="A14" s="6">
        <f>IF(原始資料!$A14="","",原始資料!$A14)</f>
        <v/>
      </c>
      <c r="B14" s="6">
        <f>IF(OR(原始資料!$A14="",1&gt;設定!$B$3,原始資料!D14=""),"",1)</f>
        <v/>
      </c>
      <c r="C14" s="6">
        <f>IF(OR(原始資料!$A14="",2&gt;設定!$B$3,原始資料!E14=""),"",IF(AND(原始資料!D14&lt;&gt;"",原始資料!E14=原始資料!D14),N(B14)+1,1))</f>
        <v/>
      </c>
      <c r="D14" s="6">
        <f>IF(OR(原始資料!$A14="",3&gt;設定!$B$3,原始資料!F14=""),"",IF(AND(原始資料!E14&lt;&gt;"",原始資料!F14=原始資料!E14),N(C14)+1,1))</f>
        <v/>
      </c>
      <c r="E14" s="6">
        <f>IF(OR(原始資料!$A14="",4&gt;設定!$B$3,原始資料!G14=""),"",IF(AND(原始資料!F14&lt;&gt;"",原始資料!G14=原始資料!F14),N(D14)+1,1))</f>
        <v/>
      </c>
      <c r="F14" s="6">
        <f>IF(OR(原始資料!$A14="",5&gt;設定!$B$3,原始資料!H14=""),"",IF(AND(原始資料!G14&lt;&gt;"",原始資料!H14=原始資料!G14),N(E14)+1,1))</f>
        <v/>
      </c>
      <c r="G14" s="6">
        <f>IF(OR(原始資料!$A14="",6&gt;設定!$B$3,原始資料!I14=""),"",IF(AND(原始資料!H14&lt;&gt;"",原始資料!I14=原始資料!H14),N(F14)+1,1))</f>
        <v/>
      </c>
      <c r="H14" s="6">
        <f>IF(OR(原始資料!$A14="",7&gt;設定!$B$3,原始資料!J14=""),"",IF(AND(原始資料!I14&lt;&gt;"",原始資料!J14=原始資料!I14),N(G14)+1,1))</f>
        <v/>
      </c>
      <c r="I14" s="6">
        <f>IF(OR(原始資料!$A14="",8&gt;設定!$B$3,原始資料!K14=""),"",IF(AND(原始資料!J14&lt;&gt;"",原始資料!K14=原始資料!J14),N(H14)+1,1))</f>
        <v/>
      </c>
      <c r="J14" s="6">
        <f>IF(OR(原始資料!$A14="",9&gt;設定!$B$3,原始資料!L14=""),"",IF(AND(原始資料!K14&lt;&gt;"",原始資料!L14=原始資料!K14),N(I14)+1,1))</f>
        <v/>
      </c>
      <c r="K14" s="6">
        <f>IF(OR(原始資料!$A14="",10&gt;設定!$B$3,原始資料!M14=""),"",IF(AND(原始資料!L14&lt;&gt;"",原始資料!M14=原始資料!L14),N(J14)+1,1))</f>
        <v/>
      </c>
      <c r="L14" s="6">
        <f>IF(OR(原始資料!$A14="",11&gt;設定!$B$3,原始資料!N14=""),"",IF(AND(原始資料!M14&lt;&gt;"",原始資料!N14=原始資料!M14),N(K14)+1,1))</f>
        <v/>
      </c>
      <c r="M14" s="6">
        <f>IF(OR(原始資料!$A14="",12&gt;設定!$B$3,原始資料!O14=""),"",IF(AND(原始資料!N14&lt;&gt;"",原始資料!O14=原始資料!N14),N(L14)+1,1))</f>
        <v/>
      </c>
      <c r="N14" s="6">
        <f>IF(OR(原始資料!$A14="",13&gt;設定!$B$3,原始資料!P14=""),"",IF(AND(原始資料!O14&lt;&gt;"",原始資料!P14=原始資料!O14),N(M14)+1,1))</f>
        <v/>
      </c>
      <c r="O14" s="6">
        <f>IF(OR(原始資料!$A14="",14&gt;設定!$B$3,原始資料!Q14=""),"",IF(AND(原始資料!P14&lt;&gt;"",原始資料!Q14=原始資料!P14),N(N14)+1,1))</f>
        <v/>
      </c>
      <c r="P14" s="6">
        <f>IF(OR(原始資料!$A14="",15&gt;設定!$B$3,原始資料!R14=""),"",IF(AND(原始資料!Q14&lt;&gt;"",原始資料!R14=原始資料!Q14),N(O14)+1,1))</f>
        <v/>
      </c>
      <c r="Q14" s="6">
        <f>IF(OR(原始資料!$A14="",16&gt;設定!$B$3,原始資料!S14=""),"",IF(AND(原始資料!R14&lt;&gt;"",原始資料!S14=原始資料!R14),N(P14)+1,1))</f>
        <v/>
      </c>
      <c r="R14" s="6">
        <f>IF(OR(原始資料!$A14="",17&gt;設定!$B$3,原始資料!T14=""),"",IF(AND(原始資料!S14&lt;&gt;"",原始資料!T14=原始資料!S14),N(Q14)+1,1))</f>
        <v/>
      </c>
      <c r="S14" s="6">
        <f>IF(OR(原始資料!$A14="",18&gt;設定!$B$3,原始資料!U14=""),"",IF(AND(原始資料!T14&lt;&gt;"",原始資料!U14=原始資料!T14),N(R14)+1,1))</f>
        <v/>
      </c>
      <c r="T14" s="6">
        <f>IF(OR(原始資料!$A14="",19&gt;設定!$B$3,原始資料!V14=""),"",IF(AND(原始資料!U14&lt;&gt;"",原始資料!V14=原始資料!U14),N(S14)+1,1))</f>
        <v/>
      </c>
      <c r="U14" s="6">
        <f>IF(OR(原始資料!$A14="",20&gt;設定!$B$3,原始資料!W14=""),"",IF(AND(原始資料!V14&lt;&gt;"",原始資料!W14=原始資料!V14),N(T14)+1,1))</f>
        <v/>
      </c>
      <c r="V14" s="6">
        <f>IF(OR(原始資料!$A14="",21&gt;設定!$B$3,原始資料!X14=""),"",IF(AND(原始資料!W14&lt;&gt;"",原始資料!X14=原始資料!W14),N(U14)+1,1))</f>
        <v/>
      </c>
      <c r="W14" s="6">
        <f>IF(OR(原始資料!$A14="",22&gt;設定!$B$3,原始資料!Y14=""),"",IF(AND(原始資料!X14&lt;&gt;"",原始資料!Y14=原始資料!X14),N(V14)+1,1))</f>
        <v/>
      </c>
      <c r="X14" s="6">
        <f>IF(OR(原始資料!$A14="",23&gt;設定!$B$3,原始資料!Z14=""),"",IF(AND(原始資料!Y14&lt;&gt;"",原始資料!Z14=原始資料!Y14),N(W14)+1,1))</f>
        <v/>
      </c>
      <c r="Y14" s="6">
        <f>IF(OR(原始資料!$A14="",24&gt;設定!$B$3,原始資料!AA14=""),"",IF(AND(原始資料!Z14&lt;&gt;"",原始資料!AA14=原始資料!Z14),N(X14)+1,1))</f>
        <v/>
      </c>
      <c r="Z14" s="6">
        <f>IF(OR(原始資料!$A14="",25&gt;設定!$B$3,原始資料!AB14=""),"",IF(AND(原始資料!AA14&lt;&gt;"",原始資料!AB14=原始資料!AA14),N(Y14)+1,1))</f>
        <v/>
      </c>
      <c r="AA14" s="6">
        <f>IF(OR(原始資料!$A14="",26&gt;設定!$B$3,原始資料!AC14=""),"",IF(AND(原始資料!AB14&lt;&gt;"",原始資料!AC14=原始資料!AB14),N(Z14)+1,1))</f>
        <v/>
      </c>
      <c r="AB14" s="6">
        <f>IF(OR(原始資料!$A14="",27&gt;設定!$B$3,原始資料!AD14=""),"",IF(AND(原始資料!AC14&lt;&gt;"",原始資料!AD14=原始資料!AC14),N(AA14)+1,1))</f>
        <v/>
      </c>
      <c r="AC14" s="6">
        <f>IF(OR(原始資料!$A14="",28&gt;設定!$B$3,原始資料!AE14=""),"",IF(AND(原始資料!AD14&lt;&gt;"",原始資料!AE14=原始資料!AD14),N(AB14)+1,1))</f>
        <v/>
      </c>
      <c r="AD14" s="6">
        <f>IF(OR(原始資料!$A14="",29&gt;設定!$B$3,原始資料!AF14=""),"",IF(AND(原始資料!AE14&lt;&gt;"",原始資料!AF14=原始資料!AE14),N(AC14)+1,1))</f>
        <v/>
      </c>
      <c r="AE14" s="6">
        <f>IF(OR(原始資料!$A14="",30&gt;設定!$B$3,原始資料!AG14=""),"",IF(AND(原始資料!AF14&lt;&gt;"",原始資料!AG14=原始資料!AF14),N(AD14)+1,1))</f>
        <v/>
      </c>
      <c r="AF14" s="6">
        <f>IF(OR(原始資料!$A14="",31&gt;設定!$B$3,原始資料!AH14=""),"",IF(AND(原始資料!AG14&lt;&gt;"",原始資料!AH14=原始資料!AG14),N(AE14)+1,1))</f>
        <v/>
      </c>
      <c r="AG14" s="6">
        <f>IF(OR(原始資料!$A14="",32&gt;設定!$B$3,原始資料!AI14=""),"",IF(AND(原始資料!AH14&lt;&gt;"",原始資料!AI14=原始資料!AH14),N(AF14)+1,1))</f>
        <v/>
      </c>
      <c r="AH14" s="6">
        <f>IF(OR(原始資料!$A14="",33&gt;設定!$B$3,原始資料!AJ14=""),"",IF(AND(原始資料!AI14&lt;&gt;"",原始資料!AJ14=原始資料!AI14),N(AG14)+1,1))</f>
        <v/>
      </c>
      <c r="AI14" s="6">
        <f>IF(OR(原始資料!$A14="",34&gt;設定!$B$3,原始資料!AK14=""),"",IF(AND(原始資料!AJ14&lt;&gt;"",原始資料!AK14=原始資料!AJ14),N(AH14)+1,1))</f>
        <v/>
      </c>
      <c r="AJ14" s="6">
        <f>IF(OR(原始資料!$A14="",35&gt;設定!$B$3,原始資料!AL14=""),"",IF(AND(原始資料!AK14&lt;&gt;"",原始資料!AL14=原始資料!AK14),N(AI14)+1,1))</f>
        <v/>
      </c>
      <c r="AK14" s="6">
        <f>IF(OR(原始資料!$A14="",36&gt;設定!$B$3,原始資料!AM14=""),"",IF(AND(原始資料!AL14&lt;&gt;"",原始資料!AM14=原始資料!AL14),N(AJ14)+1,1))</f>
        <v/>
      </c>
      <c r="AL14" s="6">
        <f>IF(OR(原始資料!$A14="",37&gt;設定!$B$3,原始資料!AN14=""),"",IF(AND(原始資料!AM14&lt;&gt;"",原始資料!AN14=原始資料!AM14),N(AK14)+1,1))</f>
        <v/>
      </c>
      <c r="AM14" s="6">
        <f>IF(OR(原始資料!$A14="",38&gt;設定!$B$3,原始資料!AO14=""),"",IF(AND(原始資料!AN14&lt;&gt;"",原始資料!AO14=原始資料!AN14),N(AL14)+1,1))</f>
        <v/>
      </c>
      <c r="AN14" s="6">
        <f>IF(OR(原始資料!$A14="",39&gt;設定!$B$3,原始資料!AP14=""),"",IF(AND(原始資料!AO14&lt;&gt;"",原始資料!AP14=原始資料!AO14),N(AM14)+1,1))</f>
        <v/>
      </c>
      <c r="AO14" s="6">
        <f>IF(OR(原始資料!$A14="",40&gt;設定!$B$3,原始資料!AQ14=""),"",IF(AND(原始資料!AP14&lt;&gt;"",原始資料!AQ14=原始資料!AP14),N(AN14)+1,1))</f>
        <v/>
      </c>
      <c r="AP14" s="6">
        <f>IF(OR(原始資料!$A14="",41&gt;設定!$B$3,原始資料!AR14=""),"",IF(AND(原始資料!AQ14&lt;&gt;"",原始資料!AR14=原始資料!AQ14),N(AO14)+1,1))</f>
        <v/>
      </c>
      <c r="AQ14" s="6">
        <f>IF(OR(原始資料!$A14="",42&gt;設定!$B$3,原始資料!AS14=""),"",IF(AND(原始資料!AR14&lt;&gt;"",原始資料!AS14=原始資料!AR14),N(AP14)+1,1))</f>
        <v/>
      </c>
      <c r="AR14" s="6">
        <f>IF(OR(原始資料!$A14="",43&gt;設定!$B$3,原始資料!AT14=""),"",IF(AND(原始資料!AS14&lt;&gt;"",原始資料!AT14=原始資料!AS14),N(AQ14)+1,1))</f>
        <v/>
      </c>
      <c r="AS14" s="6">
        <f>IF(OR(原始資料!$A14="",44&gt;設定!$B$3,原始資料!AU14=""),"",IF(AND(原始資料!AT14&lt;&gt;"",原始資料!AU14=原始資料!AT14),N(AR14)+1,1))</f>
        <v/>
      </c>
      <c r="AT14" s="6">
        <f>IF(OR(原始資料!$A14="",45&gt;設定!$B$3,原始資料!AV14=""),"",IF(AND(原始資料!AU14&lt;&gt;"",原始資料!AV14=原始資料!AU14),N(AS14)+1,1))</f>
        <v/>
      </c>
      <c r="AU14" s="6">
        <f>IF(OR(原始資料!$A14="",46&gt;設定!$B$3,原始資料!AW14=""),"",IF(AND(原始資料!AV14&lt;&gt;"",原始資料!AW14=原始資料!AV14),N(AT14)+1,1))</f>
        <v/>
      </c>
      <c r="AV14" s="6">
        <f>IF(OR(原始資料!$A14="",47&gt;設定!$B$3,原始資料!AX14=""),"",IF(AND(原始資料!AW14&lt;&gt;"",原始資料!AX14=原始資料!AW14),N(AU14)+1,1))</f>
        <v/>
      </c>
      <c r="AW14" s="6">
        <f>IF(OR(原始資料!$A14="",48&gt;設定!$B$3,原始資料!AY14=""),"",IF(AND(原始資料!AX14&lt;&gt;"",原始資料!AY14=原始資料!AX14),N(AV14)+1,1))</f>
        <v/>
      </c>
      <c r="AX14" s="6">
        <f>IF(OR(原始資料!$A14="",49&gt;設定!$B$3,原始資料!AZ14=""),"",IF(AND(原始資料!AY14&lt;&gt;"",原始資料!AZ14=原始資料!AY14),N(AW14)+1,1))</f>
        <v/>
      </c>
      <c r="AY14" s="6">
        <f>IF(OR(原始資料!$A14="",50&gt;設定!$B$3,原始資料!BA14=""),"",IF(AND(原始資料!AZ14&lt;&gt;"",原始資料!BA14=原始資料!AZ14),N(AX14)+1,1))</f>
        <v/>
      </c>
      <c r="AZ14" s="6">
        <f>IF(OR(原始資料!$A14="",51&gt;設定!$B$3,原始資料!BB14=""),"",IF(AND(原始資料!BA14&lt;&gt;"",原始資料!BB14=原始資料!BA14),N(AY14)+1,1))</f>
        <v/>
      </c>
      <c r="BA14" s="6">
        <f>IF(OR(原始資料!$A14="",52&gt;設定!$B$3,原始資料!BC14=""),"",IF(AND(原始資料!BB14&lt;&gt;"",原始資料!BC14=原始資料!BB14),N(AZ14)+1,1))</f>
        <v/>
      </c>
      <c r="BB14" s="6">
        <f>IF(OR(原始資料!$A14="",53&gt;設定!$B$3,原始資料!BD14=""),"",IF(AND(原始資料!BC14&lt;&gt;"",原始資料!BD14=原始資料!BC14),N(BA14)+1,1))</f>
        <v/>
      </c>
      <c r="BC14" s="6">
        <f>IF(OR(原始資料!$A14="",54&gt;設定!$B$3,原始資料!BE14=""),"",IF(AND(原始資料!BD14&lt;&gt;"",原始資料!BE14=原始資料!BD14),N(BB14)+1,1))</f>
        <v/>
      </c>
      <c r="BD14" s="6">
        <f>IF(OR(原始資料!$A14="",55&gt;設定!$B$3,原始資料!BF14=""),"",IF(AND(原始資料!BE14&lt;&gt;"",原始資料!BF14=原始資料!BE14),N(BC14)+1,1))</f>
        <v/>
      </c>
      <c r="BE14" s="6">
        <f>IF(OR(原始資料!$A14="",56&gt;設定!$B$3,原始資料!BG14=""),"",IF(AND(原始資料!BF14&lt;&gt;"",原始資料!BG14=原始資料!BF14),N(BD14)+1,1))</f>
        <v/>
      </c>
      <c r="BF14" s="6">
        <f>IF(OR(原始資料!$A14="",57&gt;設定!$B$3,原始資料!BH14=""),"",IF(AND(原始資料!BG14&lt;&gt;"",原始資料!BH14=原始資料!BG14),N(BE14)+1,1))</f>
        <v/>
      </c>
      <c r="BG14" s="6">
        <f>IF(OR(原始資料!$A14="",58&gt;設定!$B$3,原始資料!BI14=""),"",IF(AND(原始資料!BH14&lt;&gt;"",原始資料!BI14=原始資料!BH14),N(BF14)+1,1))</f>
        <v/>
      </c>
      <c r="BH14" s="6">
        <f>IF(OR(原始資料!$A14="",59&gt;設定!$B$3,原始資料!BJ14=""),"",IF(AND(原始資料!BI14&lt;&gt;"",原始資料!BJ14=原始資料!BI14),N(BG14)+1,1))</f>
        <v/>
      </c>
      <c r="BI14" s="6">
        <f>IF(OR(原始資料!$A14="",60&gt;設定!$B$3,原始資料!BK14=""),"",IF(AND(原始資料!BJ14&lt;&gt;"",原始資料!BK14=原始資料!BJ14),N(BH14)+1,1))</f>
        <v/>
      </c>
    </row>
    <row r="15">
      <c r="A15" s="6">
        <f>IF(原始資料!$A15="","",原始資料!$A15)</f>
        <v/>
      </c>
      <c r="B15" s="6">
        <f>IF(OR(原始資料!$A15="",1&gt;設定!$B$3,原始資料!D15=""),"",1)</f>
        <v/>
      </c>
      <c r="C15" s="6">
        <f>IF(OR(原始資料!$A15="",2&gt;設定!$B$3,原始資料!E15=""),"",IF(AND(原始資料!D15&lt;&gt;"",原始資料!E15=原始資料!D15),N(B15)+1,1))</f>
        <v/>
      </c>
      <c r="D15" s="6">
        <f>IF(OR(原始資料!$A15="",3&gt;設定!$B$3,原始資料!F15=""),"",IF(AND(原始資料!E15&lt;&gt;"",原始資料!F15=原始資料!E15),N(C15)+1,1))</f>
        <v/>
      </c>
      <c r="E15" s="6">
        <f>IF(OR(原始資料!$A15="",4&gt;設定!$B$3,原始資料!G15=""),"",IF(AND(原始資料!F15&lt;&gt;"",原始資料!G15=原始資料!F15),N(D15)+1,1))</f>
        <v/>
      </c>
      <c r="F15" s="6">
        <f>IF(OR(原始資料!$A15="",5&gt;設定!$B$3,原始資料!H15=""),"",IF(AND(原始資料!G15&lt;&gt;"",原始資料!H15=原始資料!G15),N(E15)+1,1))</f>
        <v/>
      </c>
      <c r="G15" s="6">
        <f>IF(OR(原始資料!$A15="",6&gt;設定!$B$3,原始資料!I15=""),"",IF(AND(原始資料!H15&lt;&gt;"",原始資料!I15=原始資料!H15),N(F15)+1,1))</f>
        <v/>
      </c>
      <c r="H15" s="6">
        <f>IF(OR(原始資料!$A15="",7&gt;設定!$B$3,原始資料!J15=""),"",IF(AND(原始資料!I15&lt;&gt;"",原始資料!J15=原始資料!I15),N(G15)+1,1))</f>
        <v/>
      </c>
      <c r="I15" s="6">
        <f>IF(OR(原始資料!$A15="",8&gt;設定!$B$3,原始資料!K15=""),"",IF(AND(原始資料!J15&lt;&gt;"",原始資料!K15=原始資料!J15),N(H15)+1,1))</f>
        <v/>
      </c>
      <c r="J15" s="6">
        <f>IF(OR(原始資料!$A15="",9&gt;設定!$B$3,原始資料!L15=""),"",IF(AND(原始資料!K15&lt;&gt;"",原始資料!L15=原始資料!K15),N(I15)+1,1))</f>
        <v/>
      </c>
      <c r="K15" s="6">
        <f>IF(OR(原始資料!$A15="",10&gt;設定!$B$3,原始資料!M15=""),"",IF(AND(原始資料!L15&lt;&gt;"",原始資料!M15=原始資料!L15),N(J15)+1,1))</f>
        <v/>
      </c>
      <c r="L15" s="6">
        <f>IF(OR(原始資料!$A15="",11&gt;設定!$B$3,原始資料!N15=""),"",IF(AND(原始資料!M15&lt;&gt;"",原始資料!N15=原始資料!M15),N(K15)+1,1))</f>
        <v/>
      </c>
      <c r="M15" s="6">
        <f>IF(OR(原始資料!$A15="",12&gt;設定!$B$3,原始資料!O15=""),"",IF(AND(原始資料!N15&lt;&gt;"",原始資料!O15=原始資料!N15),N(L15)+1,1))</f>
        <v/>
      </c>
      <c r="N15" s="6">
        <f>IF(OR(原始資料!$A15="",13&gt;設定!$B$3,原始資料!P15=""),"",IF(AND(原始資料!O15&lt;&gt;"",原始資料!P15=原始資料!O15),N(M15)+1,1))</f>
        <v/>
      </c>
      <c r="O15" s="6">
        <f>IF(OR(原始資料!$A15="",14&gt;設定!$B$3,原始資料!Q15=""),"",IF(AND(原始資料!P15&lt;&gt;"",原始資料!Q15=原始資料!P15),N(N15)+1,1))</f>
        <v/>
      </c>
      <c r="P15" s="6">
        <f>IF(OR(原始資料!$A15="",15&gt;設定!$B$3,原始資料!R15=""),"",IF(AND(原始資料!Q15&lt;&gt;"",原始資料!R15=原始資料!Q15),N(O15)+1,1))</f>
        <v/>
      </c>
      <c r="Q15" s="6">
        <f>IF(OR(原始資料!$A15="",16&gt;設定!$B$3,原始資料!S15=""),"",IF(AND(原始資料!R15&lt;&gt;"",原始資料!S15=原始資料!R15),N(P15)+1,1))</f>
        <v/>
      </c>
      <c r="R15" s="6">
        <f>IF(OR(原始資料!$A15="",17&gt;設定!$B$3,原始資料!T15=""),"",IF(AND(原始資料!S15&lt;&gt;"",原始資料!T15=原始資料!S15),N(Q15)+1,1))</f>
        <v/>
      </c>
      <c r="S15" s="6">
        <f>IF(OR(原始資料!$A15="",18&gt;設定!$B$3,原始資料!U15=""),"",IF(AND(原始資料!T15&lt;&gt;"",原始資料!U15=原始資料!T15),N(R15)+1,1))</f>
        <v/>
      </c>
      <c r="T15" s="6">
        <f>IF(OR(原始資料!$A15="",19&gt;設定!$B$3,原始資料!V15=""),"",IF(AND(原始資料!U15&lt;&gt;"",原始資料!V15=原始資料!U15),N(S15)+1,1))</f>
        <v/>
      </c>
      <c r="U15" s="6">
        <f>IF(OR(原始資料!$A15="",20&gt;設定!$B$3,原始資料!W15=""),"",IF(AND(原始資料!V15&lt;&gt;"",原始資料!W15=原始資料!V15),N(T15)+1,1))</f>
        <v/>
      </c>
      <c r="V15" s="6">
        <f>IF(OR(原始資料!$A15="",21&gt;設定!$B$3,原始資料!X15=""),"",IF(AND(原始資料!W15&lt;&gt;"",原始資料!X15=原始資料!W15),N(U15)+1,1))</f>
        <v/>
      </c>
      <c r="W15" s="6">
        <f>IF(OR(原始資料!$A15="",22&gt;設定!$B$3,原始資料!Y15=""),"",IF(AND(原始資料!X15&lt;&gt;"",原始資料!Y15=原始資料!X15),N(V15)+1,1))</f>
        <v/>
      </c>
      <c r="X15" s="6">
        <f>IF(OR(原始資料!$A15="",23&gt;設定!$B$3,原始資料!Z15=""),"",IF(AND(原始資料!Y15&lt;&gt;"",原始資料!Z15=原始資料!Y15),N(W15)+1,1))</f>
        <v/>
      </c>
      <c r="Y15" s="6">
        <f>IF(OR(原始資料!$A15="",24&gt;設定!$B$3,原始資料!AA15=""),"",IF(AND(原始資料!Z15&lt;&gt;"",原始資料!AA15=原始資料!Z15),N(X15)+1,1))</f>
        <v/>
      </c>
      <c r="Z15" s="6">
        <f>IF(OR(原始資料!$A15="",25&gt;設定!$B$3,原始資料!AB15=""),"",IF(AND(原始資料!AA15&lt;&gt;"",原始資料!AB15=原始資料!AA15),N(Y15)+1,1))</f>
        <v/>
      </c>
      <c r="AA15" s="6">
        <f>IF(OR(原始資料!$A15="",26&gt;設定!$B$3,原始資料!AC15=""),"",IF(AND(原始資料!AB15&lt;&gt;"",原始資料!AC15=原始資料!AB15),N(Z15)+1,1))</f>
        <v/>
      </c>
      <c r="AB15" s="6">
        <f>IF(OR(原始資料!$A15="",27&gt;設定!$B$3,原始資料!AD15=""),"",IF(AND(原始資料!AC15&lt;&gt;"",原始資料!AD15=原始資料!AC15),N(AA15)+1,1))</f>
        <v/>
      </c>
      <c r="AC15" s="6">
        <f>IF(OR(原始資料!$A15="",28&gt;設定!$B$3,原始資料!AE15=""),"",IF(AND(原始資料!AD15&lt;&gt;"",原始資料!AE15=原始資料!AD15),N(AB15)+1,1))</f>
        <v/>
      </c>
      <c r="AD15" s="6">
        <f>IF(OR(原始資料!$A15="",29&gt;設定!$B$3,原始資料!AF15=""),"",IF(AND(原始資料!AE15&lt;&gt;"",原始資料!AF15=原始資料!AE15),N(AC15)+1,1))</f>
        <v/>
      </c>
      <c r="AE15" s="6">
        <f>IF(OR(原始資料!$A15="",30&gt;設定!$B$3,原始資料!AG15=""),"",IF(AND(原始資料!AF15&lt;&gt;"",原始資料!AG15=原始資料!AF15),N(AD15)+1,1))</f>
        <v/>
      </c>
      <c r="AF15" s="6">
        <f>IF(OR(原始資料!$A15="",31&gt;設定!$B$3,原始資料!AH15=""),"",IF(AND(原始資料!AG15&lt;&gt;"",原始資料!AH15=原始資料!AG15),N(AE15)+1,1))</f>
        <v/>
      </c>
      <c r="AG15" s="6">
        <f>IF(OR(原始資料!$A15="",32&gt;設定!$B$3,原始資料!AI15=""),"",IF(AND(原始資料!AH15&lt;&gt;"",原始資料!AI15=原始資料!AH15),N(AF15)+1,1))</f>
        <v/>
      </c>
      <c r="AH15" s="6">
        <f>IF(OR(原始資料!$A15="",33&gt;設定!$B$3,原始資料!AJ15=""),"",IF(AND(原始資料!AI15&lt;&gt;"",原始資料!AJ15=原始資料!AI15),N(AG15)+1,1))</f>
        <v/>
      </c>
      <c r="AI15" s="6">
        <f>IF(OR(原始資料!$A15="",34&gt;設定!$B$3,原始資料!AK15=""),"",IF(AND(原始資料!AJ15&lt;&gt;"",原始資料!AK15=原始資料!AJ15),N(AH15)+1,1))</f>
        <v/>
      </c>
      <c r="AJ15" s="6">
        <f>IF(OR(原始資料!$A15="",35&gt;設定!$B$3,原始資料!AL15=""),"",IF(AND(原始資料!AK15&lt;&gt;"",原始資料!AL15=原始資料!AK15),N(AI15)+1,1))</f>
        <v/>
      </c>
      <c r="AK15" s="6">
        <f>IF(OR(原始資料!$A15="",36&gt;設定!$B$3,原始資料!AM15=""),"",IF(AND(原始資料!AL15&lt;&gt;"",原始資料!AM15=原始資料!AL15),N(AJ15)+1,1))</f>
        <v/>
      </c>
      <c r="AL15" s="6">
        <f>IF(OR(原始資料!$A15="",37&gt;設定!$B$3,原始資料!AN15=""),"",IF(AND(原始資料!AM15&lt;&gt;"",原始資料!AN15=原始資料!AM15),N(AK15)+1,1))</f>
        <v/>
      </c>
      <c r="AM15" s="6">
        <f>IF(OR(原始資料!$A15="",38&gt;設定!$B$3,原始資料!AO15=""),"",IF(AND(原始資料!AN15&lt;&gt;"",原始資料!AO15=原始資料!AN15),N(AL15)+1,1))</f>
        <v/>
      </c>
      <c r="AN15" s="6">
        <f>IF(OR(原始資料!$A15="",39&gt;設定!$B$3,原始資料!AP15=""),"",IF(AND(原始資料!AO15&lt;&gt;"",原始資料!AP15=原始資料!AO15),N(AM15)+1,1))</f>
        <v/>
      </c>
      <c r="AO15" s="6">
        <f>IF(OR(原始資料!$A15="",40&gt;設定!$B$3,原始資料!AQ15=""),"",IF(AND(原始資料!AP15&lt;&gt;"",原始資料!AQ15=原始資料!AP15),N(AN15)+1,1))</f>
        <v/>
      </c>
      <c r="AP15" s="6">
        <f>IF(OR(原始資料!$A15="",41&gt;設定!$B$3,原始資料!AR15=""),"",IF(AND(原始資料!AQ15&lt;&gt;"",原始資料!AR15=原始資料!AQ15),N(AO15)+1,1))</f>
        <v/>
      </c>
      <c r="AQ15" s="6">
        <f>IF(OR(原始資料!$A15="",42&gt;設定!$B$3,原始資料!AS15=""),"",IF(AND(原始資料!AR15&lt;&gt;"",原始資料!AS15=原始資料!AR15),N(AP15)+1,1))</f>
        <v/>
      </c>
      <c r="AR15" s="6">
        <f>IF(OR(原始資料!$A15="",43&gt;設定!$B$3,原始資料!AT15=""),"",IF(AND(原始資料!AS15&lt;&gt;"",原始資料!AT15=原始資料!AS15),N(AQ15)+1,1))</f>
        <v/>
      </c>
      <c r="AS15" s="6">
        <f>IF(OR(原始資料!$A15="",44&gt;設定!$B$3,原始資料!AU15=""),"",IF(AND(原始資料!AT15&lt;&gt;"",原始資料!AU15=原始資料!AT15),N(AR15)+1,1))</f>
        <v/>
      </c>
      <c r="AT15" s="6">
        <f>IF(OR(原始資料!$A15="",45&gt;設定!$B$3,原始資料!AV15=""),"",IF(AND(原始資料!AU15&lt;&gt;"",原始資料!AV15=原始資料!AU15),N(AS15)+1,1))</f>
        <v/>
      </c>
      <c r="AU15" s="6">
        <f>IF(OR(原始資料!$A15="",46&gt;設定!$B$3,原始資料!AW15=""),"",IF(AND(原始資料!AV15&lt;&gt;"",原始資料!AW15=原始資料!AV15),N(AT15)+1,1))</f>
        <v/>
      </c>
      <c r="AV15" s="6">
        <f>IF(OR(原始資料!$A15="",47&gt;設定!$B$3,原始資料!AX15=""),"",IF(AND(原始資料!AW15&lt;&gt;"",原始資料!AX15=原始資料!AW15),N(AU15)+1,1))</f>
        <v/>
      </c>
      <c r="AW15" s="6">
        <f>IF(OR(原始資料!$A15="",48&gt;設定!$B$3,原始資料!AY15=""),"",IF(AND(原始資料!AX15&lt;&gt;"",原始資料!AY15=原始資料!AX15),N(AV15)+1,1))</f>
        <v/>
      </c>
      <c r="AX15" s="6">
        <f>IF(OR(原始資料!$A15="",49&gt;設定!$B$3,原始資料!AZ15=""),"",IF(AND(原始資料!AY15&lt;&gt;"",原始資料!AZ15=原始資料!AY15),N(AW15)+1,1))</f>
        <v/>
      </c>
      <c r="AY15" s="6">
        <f>IF(OR(原始資料!$A15="",50&gt;設定!$B$3,原始資料!BA15=""),"",IF(AND(原始資料!AZ15&lt;&gt;"",原始資料!BA15=原始資料!AZ15),N(AX15)+1,1))</f>
        <v/>
      </c>
      <c r="AZ15" s="6">
        <f>IF(OR(原始資料!$A15="",51&gt;設定!$B$3,原始資料!BB15=""),"",IF(AND(原始資料!BA15&lt;&gt;"",原始資料!BB15=原始資料!BA15),N(AY15)+1,1))</f>
        <v/>
      </c>
      <c r="BA15" s="6">
        <f>IF(OR(原始資料!$A15="",52&gt;設定!$B$3,原始資料!BC15=""),"",IF(AND(原始資料!BB15&lt;&gt;"",原始資料!BC15=原始資料!BB15),N(AZ15)+1,1))</f>
        <v/>
      </c>
      <c r="BB15" s="6">
        <f>IF(OR(原始資料!$A15="",53&gt;設定!$B$3,原始資料!BD15=""),"",IF(AND(原始資料!BC15&lt;&gt;"",原始資料!BD15=原始資料!BC15),N(BA15)+1,1))</f>
        <v/>
      </c>
      <c r="BC15" s="6">
        <f>IF(OR(原始資料!$A15="",54&gt;設定!$B$3,原始資料!BE15=""),"",IF(AND(原始資料!BD15&lt;&gt;"",原始資料!BE15=原始資料!BD15),N(BB15)+1,1))</f>
        <v/>
      </c>
      <c r="BD15" s="6">
        <f>IF(OR(原始資料!$A15="",55&gt;設定!$B$3,原始資料!BF15=""),"",IF(AND(原始資料!BE15&lt;&gt;"",原始資料!BF15=原始資料!BE15),N(BC15)+1,1))</f>
        <v/>
      </c>
      <c r="BE15" s="6">
        <f>IF(OR(原始資料!$A15="",56&gt;設定!$B$3,原始資料!BG15=""),"",IF(AND(原始資料!BF15&lt;&gt;"",原始資料!BG15=原始資料!BF15),N(BD15)+1,1))</f>
        <v/>
      </c>
      <c r="BF15" s="6">
        <f>IF(OR(原始資料!$A15="",57&gt;設定!$B$3,原始資料!BH15=""),"",IF(AND(原始資料!BG15&lt;&gt;"",原始資料!BH15=原始資料!BG15),N(BE15)+1,1))</f>
        <v/>
      </c>
      <c r="BG15" s="6">
        <f>IF(OR(原始資料!$A15="",58&gt;設定!$B$3,原始資料!BI15=""),"",IF(AND(原始資料!BH15&lt;&gt;"",原始資料!BI15=原始資料!BH15),N(BF15)+1,1))</f>
        <v/>
      </c>
      <c r="BH15" s="6">
        <f>IF(OR(原始資料!$A15="",59&gt;設定!$B$3,原始資料!BJ15=""),"",IF(AND(原始資料!BI15&lt;&gt;"",原始資料!BJ15=原始資料!BI15),N(BG15)+1,1))</f>
        <v/>
      </c>
      <c r="BI15" s="6">
        <f>IF(OR(原始資料!$A15="",60&gt;設定!$B$3,原始資料!BK15=""),"",IF(AND(原始資料!BJ15&lt;&gt;"",原始資料!BK15=原始資料!BJ15),N(BH15)+1,1))</f>
        <v/>
      </c>
    </row>
    <row r="16">
      <c r="A16" s="6">
        <f>IF(原始資料!$A16="","",原始資料!$A16)</f>
        <v/>
      </c>
      <c r="B16" s="6">
        <f>IF(OR(原始資料!$A16="",1&gt;設定!$B$3,原始資料!D16=""),"",1)</f>
        <v/>
      </c>
      <c r="C16" s="6">
        <f>IF(OR(原始資料!$A16="",2&gt;設定!$B$3,原始資料!E16=""),"",IF(AND(原始資料!D16&lt;&gt;"",原始資料!E16=原始資料!D16),N(B16)+1,1))</f>
        <v/>
      </c>
      <c r="D16" s="6">
        <f>IF(OR(原始資料!$A16="",3&gt;設定!$B$3,原始資料!F16=""),"",IF(AND(原始資料!E16&lt;&gt;"",原始資料!F16=原始資料!E16),N(C16)+1,1))</f>
        <v/>
      </c>
      <c r="E16" s="6">
        <f>IF(OR(原始資料!$A16="",4&gt;設定!$B$3,原始資料!G16=""),"",IF(AND(原始資料!F16&lt;&gt;"",原始資料!G16=原始資料!F16),N(D16)+1,1))</f>
        <v/>
      </c>
      <c r="F16" s="6">
        <f>IF(OR(原始資料!$A16="",5&gt;設定!$B$3,原始資料!H16=""),"",IF(AND(原始資料!G16&lt;&gt;"",原始資料!H16=原始資料!G16),N(E16)+1,1))</f>
        <v/>
      </c>
      <c r="G16" s="6">
        <f>IF(OR(原始資料!$A16="",6&gt;設定!$B$3,原始資料!I16=""),"",IF(AND(原始資料!H16&lt;&gt;"",原始資料!I16=原始資料!H16),N(F16)+1,1))</f>
        <v/>
      </c>
      <c r="H16" s="6">
        <f>IF(OR(原始資料!$A16="",7&gt;設定!$B$3,原始資料!J16=""),"",IF(AND(原始資料!I16&lt;&gt;"",原始資料!J16=原始資料!I16),N(G16)+1,1))</f>
        <v/>
      </c>
      <c r="I16" s="6">
        <f>IF(OR(原始資料!$A16="",8&gt;設定!$B$3,原始資料!K16=""),"",IF(AND(原始資料!J16&lt;&gt;"",原始資料!K16=原始資料!J16),N(H16)+1,1))</f>
        <v/>
      </c>
      <c r="J16" s="6">
        <f>IF(OR(原始資料!$A16="",9&gt;設定!$B$3,原始資料!L16=""),"",IF(AND(原始資料!K16&lt;&gt;"",原始資料!L16=原始資料!K16),N(I16)+1,1))</f>
        <v/>
      </c>
      <c r="K16" s="6">
        <f>IF(OR(原始資料!$A16="",10&gt;設定!$B$3,原始資料!M16=""),"",IF(AND(原始資料!L16&lt;&gt;"",原始資料!M16=原始資料!L16),N(J16)+1,1))</f>
        <v/>
      </c>
      <c r="L16" s="6">
        <f>IF(OR(原始資料!$A16="",11&gt;設定!$B$3,原始資料!N16=""),"",IF(AND(原始資料!M16&lt;&gt;"",原始資料!N16=原始資料!M16),N(K16)+1,1))</f>
        <v/>
      </c>
      <c r="M16" s="6">
        <f>IF(OR(原始資料!$A16="",12&gt;設定!$B$3,原始資料!O16=""),"",IF(AND(原始資料!N16&lt;&gt;"",原始資料!O16=原始資料!N16),N(L16)+1,1))</f>
        <v/>
      </c>
      <c r="N16" s="6">
        <f>IF(OR(原始資料!$A16="",13&gt;設定!$B$3,原始資料!P16=""),"",IF(AND(原始資料!O16&lt;&gt;"",原始資料!P16=原始資料!O16),N(M16)+1,1))</f>
        <v/>
      </c>
      <c r="O16" s="6">
        <f>IF(OR(原始資料!$A16="",14&gt;設定!$B$3,原始資料!Q16=""),"",IF(AND(原始資料!P16&lt;&gt;"",原始資料!Q16=原始資料!P16),N(N16)+1,1))</f>
        <v/>
      </c>
      <c r="P16" s="6">
        <f>IF(OR(原始資料!$A16="",15&gt;設定!$B$3,原始資料!R16=""),"",IF(AND(原始資料!Q16&lt;&gt;"",原始資料!R16=原始資料!Q16),N(O16)+1,1))</f>
        <v/>
      </c>
      <c r="Q16" s="6">
        <f>IF(OR(原始資料!$A16="",16&gt;設定!$B$3,原始資料!S16=""),"",IF(AND(原始資料!R16&lt;&gt;"",原始資料!S16=原始資料!R16),N(P16)+1,1))</f>
        <v/>
      </c>
      <c r="R16" s="6">
        <f>IF(OR(原始資料!$A16="",17&gt;設定!$B$3,原始資料!T16=""),"",IF(AND(原始資料!S16&lt;&gt;"",原始資料!T16=原始資料!S16),N(Q16)+1,1))</f>
        <v/>
      </c>
      <c r="S16" s="6">
        <f>IF(OR(原始資料!$A16="",18&gt;設定!$B$3,原始資料!U16=""),"",IF(AND(原始資料!T16&lt;&gt;"",原始資料!U16=原始資料!T16),N(R16)+1,1))</f>
        <v/>
      </c>
      <c r="T16" s="6">
        <f>IF(OR(原始資料!$A16="",19&gt;設定!$B$3,原始資料!V16=""),"",IF(AND(原始資料!U16&lt;&gt;"",原始資料!V16=原始資料!U16),N(S16)+1,1))</f>
        <v/>
      </c>
      <c r="U16" s="6">
        <f>IF(OR(原始資料!$A16="",20&gt;設定!$B$3,原始資料!W16=""),"",IF(AND(原始資料!V16&lt;&gt;"",原始資料!W16=原始資料!V16),N(T16)+1,1))</f>
        <v/>
      </c>
      <c r="V16" s="6">
        <f>IF(OR(原始資料!$A16="",21&gt;設定!$B$3,原始資料!X16=""),"",IF(AND(原始資料!W16&lt;&gt;"",原始資料!X16=原始資料!W16),N(U16)+1,1))</f>
        <v/>
      </c>
      <c r="W16" s="6">
        <f>IF(OR(原始資料!$A16="",22&gt;設定!$B$3,原始資料!Y16=""),"",IF(AND(原始資料!X16&lt;&gt;"",原始資料!Y16=原始資料!X16),N(V16)+1,1))</f>
        <v/>
      </c>
      <c r="X16" s="6">
        <f>IF(OR(原始資料!$A16="",23&gt;設定!$B$3,原始資料!Z16=""),"",IF(AND(原始資料!Y16&lt;&gt;"",原始資料!Z16=原始資料!Y16),N(W16)+1,1))</f>
        <v/>
      </c>
      <c r="Y16" s="6">
        <f>IF(OR(原始資料!$A16="",24&gt;設定!$B$3,原始資料!AA16=""),"",IF(AND(原始資料!Z16&lt;&gt;"",原始資料!AA16=原始資料!Z16),N(X16)+1,1))</f>
        <v/>
      </c>
      <c r="Z16" s="6">
        <f>IF(OR(原始資料!$A16="",25&gt;設定!$B$3,原始資料!AB16=""),"",IF(AND(原始資料!AA16&lt;&gt;"",原始資料!AB16=原始資料!AA16),N(Y16)+1,1))</f>
        <v/>
      </c>
      <c r="AA16" s="6">
        <f>IF(OR(原始資料!$A16="",26&gt;設定!$B$3,原始資料!AC16=""),"",IF(AND(原始資料!AB16&lt;&gt;"",原始資料!AC16=原始資料!AB16),N(Z16)+1,1))</f>
        <v/>
      </c>
      <c r="AB16" s="6">
        <f>IF(OR(原始資料!$A16="",27&gt;設定!$B$3,原始資料!AD16=""),"",IF(AND(原始資料!AC16&lt;&gt;"",原始資料!AD16=原始資料!AC16),N(AA16)+1,1))</f>
        <v/>
      </c>
      <c r="AC16" s="6">
        <f>IF(OR(原始資料!$A16="",28&gt;設定!$B$3,原始資料!AE16=""),"",IF(AND(原始資料!AD16&lt;&gt;"",原始資料!AE16=原始資料!AD16),N(AB16)+1,1))</f>
        <v/>
      </c>
      <c r="AD16" s="6">
        <f>IF(OR(原始資料!$A16="",29&gt;設定!$B$3,原始資料!AF16=""),"",IF(AND(原始資料!AE16&lt;&gt;"",原始資料!AF16=原始資料!AE16),N(AC16)+1,1))</f>
        <v/>
      </c>
      <c r="AE16" s="6">
        <f>IF(OR(原始資料!$A16="",30&gt;設定!$B$3,原始資料!AG16=""),"",IF(AND(原始資料!AF16&lt;&gt;"",原始資料!AG16=原始資料!AF16),N(AD16)+1,1))</f>
        <v/>
      </c>
      <c r="AF16" s="6">
        <f>IF(OR(原始資料!$A16="",31&gt;設定!$B$3,原始資料!AH16=""),"",IF(AND(原始資料!AG16&lt;&gt;"",原始資料!AH16=原始資料!AG16),N(AE16)+1,1))</f>
        <v/>
      </c>
      <c r="AG16" s="6">
        <f>IF(OR(原始資料!$A16="",32&gt;設定!$B$3,原始資料!AI16=""),"",IF(AND(原始資料!AH16&lt;&gt;"",原始資料!AI16=原始資料!AH16),N(AF16)+1,1))</f>
        <v/>
      </c>
      <c r="AH16" s="6">
        <f>IF(OR(原始資料!$A16="",33&gt;設定!$B$3,原始資料!AJ16=""),"",IF(AND(原始資料!AI16&lt;&gt;"",原始資料!AJ16=原始資料!AI16),N(AG16)+1,1))</f>
        <v/>
      </c>
      <c r="AI16" s="6">
        <f>IF(OR(原始資料!$A16="",34&gt;設定!$B$3,原始資料!AK16=""),"",IF(AND(原始資料!AJ16&lt;&gt;"",原始資料!AK16=原始資料!AJ16),N(AH16)+1,1))</f>
        <v/>
      </c>
      <c r="AJ16" s="6">
        <f>IF(OR(原始資料!$A16="",35&gt;設定!$B$3,原始資料!AL16=""),"",IF(AND(原始資料!AK16&lt;&gt;"",原始資料!AL16=原始資料!AK16),N(AI16)+1,1))</f>
        <v/>
      </c>
      <c r="AK16" s="6">
        <f>IF(OR(原始資料!$A16="",36&gt;設定!$B$3,原始資料!AM16=""),"",IF(AND(原始資料!AL16&lt;&gt;"",原始資料!AM16=原始資料!AL16),N(AJ16)+1,1))</f>
        <v/>
      </c>
      <c r="AL16" s="6">
        <f>IF(OR(原始資料!$A16="",37&gt;設定!$B$3,原始資料!AN16=""),"",IF(AND(原始資料!AM16&lt;&gt;"",原始資料!AN16=原始資料!AM16),N(AK16)+1,1))</f>
        <v/>
      </c>
      <c r="AM16" s="6">
        <f>IF(OR(原始資料!$A16="",38&gt;設定!$B$3,原始資料!AO16=""),"",IF(AND(原始資料!AN16&lt;&gt;"",原始資料!AO16=原始資料!AN16),N(AL16)+1,1))</f>
        <v/>
      </c>
      <c r="AN16" s="6">
        <f>IF(OR(原始資料!$A16="",39&gt;設定!$B$3,原始資料!AP16=""),"",IF(AND(原始資料!AO16&lt;&gt;"",原始資料!AP16=原始資料!AO16),N(AM16)+1,1))</f>
        <v/>
      </c>
      <c r="AO16" s="6">
        <f>IF(OR(原始資料!$A16="",40&gt;設定!$B$3,原始資料!AQ16=""),"",IF(AND(原始資料!AP16&lt;&gt;"",原始資料!AQ16=原始資料!AP16),N(AN16)+1,1))</f>
        <v/>
      </c>
      <c r="AP16" s="6">
        <f>IF(OR(原始資料!$A16="",41&gt;設定!$B$3,原始資料!AR16=""),"",IF(AND(原始資料!AQ16&lt;&gt;"",原始資料!AR16=原始資料!AQ16),N(AO16)+1,1))</f>
        <v/>
      </c>
      <c r="AQ16" s="6">
        <f>IF(OR(原始資料!$A16="",42&gt;設定!$B$3,原始資料!AS16=""),"",IF(AND(原始資料!AR16&lt;&gt;"",原始資料!AS16=原始資料!AR16),N(AP16)+1,1))</f>
        <v/>
      </c>
      <c r="AR16" s="6">
        <f>IF(OR(原始資料!$A16="",43&gt;設定!$B$3,原始資料!AT16=""),"",IF(AND(原始資料!AS16&lt;&gt;"",原始資料!AT16=原始資料!AS16),N(AQ16)+1,1))</f>
        <v/>
      </c>
      <c r="AS16" s="6">
        <f>IF(OR(原始資料!$A16="",44&gt;設定!$B$3,原始資料!AU16=""),"",IF(AND(原始資料!AT16&lt;&gt;"",原始資料!AU16=原始資料!AT16),N(AR16)+1,1))</f>
        <v/>
      </c>
      <c r="AT16" s="6">
        <f>IF(OR(原始資料!$A16="",45&gt;設定!$B$3,原始資料!AV16=""),"",IF(AND(原始資料!AU16&lt;&gt;"",原始資料!AV16=原始資料!AU16),N(AS16)+1,1))</f>
        <v/>
      </c>
      <c r="AU16" s="6">
        <f>IF(OR(原始資料!$A16="",46&gt;設定!$B$3,原始資料!AW16=""),"",IF(AND(原始資料!AV16&lt;&gt;"",原始資料!AW16=原始資料!AV16),N(AT16)+1,1))</f>
        <v/>
      </c>
      <c r="AV16" s="6">
        <f>IF(OR(原始資料!$A16="",47&gt;設定!$B$3,原始資料!AX16=""),"",IF(AND(原始資料!AW16&lt;&gt;"",原始資料!AX16=原始資料!AW16),N(AU16)+1,1))</f>
        <v/>
      </c>
      <c r="AW16" s="6">
        <f>IF(OR(原始資料!$A16="",48&gt;設定!$B$3,原始資料!AY16=""),"",IF(AND(原始資料!AX16&lt;&gt;"",原始資料!AY16=原始資料!AX16),N(AV16)+1,1))</f>
        <v/>
      </c>
      <c r="AX16" s="6">
        <f>IF(OR(原始資料!$A16="",49&gt;設定!$B$3,原始資料!AZ16=""),"",IF(AND(原始資料!AY16&lt;&gt;"",原始資料!AZ16=原始資料!AY16),N(AW16)+1,1))</f>
        <v/>
      </c>
      <c r="AY16" s="6">
        <f>IF(OR(原始資料!$A16="",50&gt;設定!$B$3,原始資料!BA16=""),"",IF(AND(原始資料!AZ16&lt;&gt;"",原始資料!BA16=原始資料!AZ16),N(AX16)+1,1))</f>
        <v/>
      </c>
      <c r="AZ16" s="6">
        <f>IF(OR(原始資料!$A16="",51&gt;設定!$B$3,原始資料!BB16=""),"",IF(AND(原始資料!BA16&lt;&gt;"",原始資料!BB16=原始資料!BA16),N(AY16)+1,1))</f>
        <v/>
      </c>
      <c r="BA16" s="6">
        <f>IF(OR(原始資料!$A16="",52&gt;設定!$B$3,原始資料!BC16=""),"",IF(AND(原始資料!BB16&lt;&gt;"",原始資料!BC16=原始資料!BB16),N(AZ16)+1,1))</f>
        <v/>
      </c>
      <c r="BB16" s="6">
        <f>IF(OR(原始資料!$A16="",53&gt;設定!$B$3,原始資料!BD16=""),"",IF(AND(原始資料!BC16&lt;&gt;"",原始資料!BD16=原始資料!BC16),N(BA16)+1,1))</f>
        <v/>
      </c>
      <c r="BC16" s="6">
        <f>IF(OR(原始資料!$A16="",54&gt;設定!$B$3,原始資料!BE16=""),"",IF(AND(原始資料!BD16&lt;&gt;"",原始資料!BE16=原始資料!BD16),N(BB16)+1,1))</f>
        <v/>
      </c>
      <c r="BD16" s="6">
        <f>IF(OR(原始資料!$A16="",55&gt;設定!$B$3,原始資料!BF16=""),"",IF(AND(原始資料!BE16&lt;&gt;"",原始資料!BF16=原始資料!BE16),N(BC16)+1,1))</f>
        <v/>
      </c>
      <c r="BE16" s="6">
        <f>IF(OR(原始資料!$A16="",56&gt;設定!$B$3,原始資料!BG16=""),"",IF(AND(原始資料!BF16&lt;&gt;"",原始資料!BG16=原始資料!BF16),N(BD16)+1,1))</f>
        <v/>
      </c>
      <c r="BF16" s="6">
        <f>IF(OR(原始資料!$A16="",57&gt;設定!$B$3,原始資料!BH16=""),"",IF(AND(原始資料!BG16&lt;&gt;"",原始資料!BH16=原始資料!BG16),N(BE16)+1,1))</f>
        <v/>
      </c>
      <c r="BG16" s="6">
        <f>IF(OR(原始資料!$A16="",58&gt;設定!$B$3,原始資料!BI16=""),"",IF(AND(原始資料!BH16&lt;&gt;"",原始資料!BI16=原始資料!BH16),N(BF16)+1,1))</f>
        <v/>
      </c>
      <c r="BH16" s="6">
        <f>IF(OR(原始資料!$A16="",59&gt;設定!$B$3,原始資料!BJ16=""),"",IF(AND(原始資料!BI16&lt;&gt;"",原始資料!BJ16=原始資料!BI16),N(BG16)+1,1))</f>
        <v/>
      </c>
      <c r="BI16" s="6">
        <f>IF(OR(原始資料!$A16="",60&gt;設定!$B$3,原始資料!BK16=""),"",IF(AND(原始資料!BJ16&lt;&gt;"",原始資料!BK16=原始資料!BJ16),N(BH16)+1,1))</f>
        <v/>
      </c>
    </row>
    <row r="17">
      <c r="A17" s="6">
        <f>IF(原始資料!$A17="","",原始資料!$A17)</f>
        <v/>
      </c>
      <c r="B17" s="6">
        <f>IF(OR(原始資料!$A17="",1&gt;設定!$B$3,原始資料!D17=""),"",1)</f>
        <v/>
      </c>
      <c r="C17" s="6">
        <f>IF(OR(原始資料!$A17="",2&gt;設定!$B$3,原始資料!E17=""),"",IF(AND(原始資料!D17&lt;&gt;"",原始資料!E17=原始資料!D17),N(B17)+1,1))</f>
        <v/>
      </c>
      <c r="D17" s="6">
        <f>IF(OR(原始資料!$A17="",3&gt;設定!$B$3,原始資料!F17=""),"",IF(AND(原始資料!E17&lt;&gt;"",原始資料!F17=原始資料!E17),N(C17)+1,1))</f>
        <v/>
      </c>
      <c r="E17" s="6">
        <f>IF(OR(原始資料!$A17="",4&gt;設定!$B$3,原始資料!G17=""),"",IF(AND(原始資料!F17&lt;&gt;"",原始資料!G17=原始資料!F17),N(D17)+1,1))</f>
        <v/>
      </c>
      <c r="F17" s="6">
        <f>IF(OR(原始資料!$A17="",5&gt;設定!$B$3,原始資料!H17=""),"",IF(AND(原始資料!G17&lt;&gt;"",原始資料!H17=原始資料!G17),N(E17)+1,1))</f>
        <v/>
      </c>
      <c r="G17" s="6">
        <f>IF(OR(原始資料!$A17="",6&gt;設定!$B$3,原始資料!I17=""),"",IF(AND(原始資料!H17&lt;&gt;"",原始資料!I17=原始資料!H17),N(F17)+1,1))</f>
        <v/>
      </c>
      <c r="H17" s="6">
        <f>IF(OR(原始資料!$A17="",7&gt;設定!$B$3,原始資料!J17=""),"",IF(AND(原始資料!I17&lt;&gt;"",原始資料!J17=原始資料!I17),N(G17)+1,1))</f>
        <v/>
      </c>
      <c r="I17" s="6">
        <f>IF(OR(原始資料!$A17="",8&gt;設定!$B$3,原始資料!K17=""),"",IF(AND(原始資料!J17&lt;&gt;"",原始資料!K17=原始資料!J17),N(H17)+1,1))</f>
        <v/>
      </c>
      <c r="J17" s="6">
        <f>IF(OR(原始資料!$A17="",9&gt;設定!$B$3,原始資料!L17=""),"",IF(AND(原始資料!K17&lt;&gt;"",原始資料!L17=原始資料!K17),N(I17)+1,1))</f>
        <v/>
      </c>
      <c r="K17" s="6">
        <f>IF(OR(原始資料!$A17="",10&gt;設定!$B$3,原始資料!M17=""),"",IF(AND(原始資料!L17&lt;&gt;"",原始資料!M17=原始資料!L17),N(J17)+1,1))</f>
        <v/>
      </c>
      <c r="L17" s="6">
        <f>IF(OR(原始資料!$A17="",11&gt;設定!$B$3,原始資料!N17=""),"",IF(AND(原始資料!M17&lt;&gt;"",原始資料!N17=原始資料!M17),N(K17)+1,1))</f>
        <v/>
      </c>
      <c r="M17" s="6">
        <f>IF(OR(原始資料!$A17="",12&gt;設定!$B$3,原始資料!O17=""),"",IF(AND(原始資料!N17&lt;&gt;"",原始資料!O17=原始資料!N17),N(L17)+1,1))</f>
        <v/>
      </c>
      <c r="N17" s="6">
        <f>IF(OR(原始資料!$A17="",13&gt;設定!$B$3,原始資料!P17=""),"",IF(AND(原始資料!O17&lt;&gt;"",原始資料!P17=原始資料!O17),N(M17)+1,1))</f>
        <v/>
      </c>
      <c r="O17" s="6">
        <f>IF(OR(原始資料!$A17="",14&gt;設定!$B$3,原始資料!Q17=""),"",IF(AND(原始資料!P17&lt;&gt;"",原始資料!Q17=原始資料!P17),N(N17)+1,1))</f>
        <v/>
      </c>
      <c r="P17" s="6">
        <f>IF(OR(原始資料!$A17="",15&gt;設定!$B$3,原始資料!R17=""),"",IF(AND(原始資料!Q17&lt;&gt;"",原始資料!R17=原始資料!Q17),N(O17)+1,1))</f>
        <v/>
      </c>
      <c r="Q17" s="6">
        <f>IF(OR(原始資料!$A17="",16&gt;設定!$B$3,原始資料!S17=""),"",IF(AND(原始資料!R17&lt;&gt;"",原始資料!S17=原始資料!R17),N(P17)+1,1))</f>
        <v/>
      </c>
      <c r="R17" s="6">
        <f>IF(OR(原始資料!$A17="",17&gt;設定!$B$3,原始資料!T17=""),"",IF(AND(原始資料!S17&lt;&gt;"",原始資料!T17=原始資料!S17),N(Q17)+1,1))</f>
        <v/>
      </c>
      <c r="S17" s="6">
        <f>IF(OR(原始資料!$A17="",18&gt;設定!$B$3,原始資料!U17=""),"",IF(AND(原始資料!T17&lt;&gt;"",原始資料!U17=原始資料!T17),N(R17)+1,1))</f>
        <v/>
      </c>
      <c r="T17" s="6">
        <f>IF(OR(原始資料!$A17="",19&gt;設定!$B$3,原始資料!V17=""),"",IF(AND(原始資料!U17&lt;&gt;"",原始資料!V17=原始資料!U17),N(S17)+1,1))</f>
        <v/>
      </c>
      <c r="U17" s="6">
        <f>IF(OR(原始資料!$A17="",20&gt;設定!$B$3,原始資料!W17=""),"",IF(AND(原始資料!V17&lt;&gt;"",原始資料!W17=原始資料!V17),N(T17)+1,1))</f>
        <v/>
      </c>
      <c r="V17" s="6">
        <f>IF(OR(原始資料!$A17="",21&gt;設定!$B$3,原始資料!X17=""),"",IF(AND(原始資料!W17&lt;&gt;"",原始資料!X17=原始資料!W17),N(U17)+1,1))</f>
        <v/>
      </c>
      <c r="W17" s="6">
        <f>IF(OR(原始資料!$A17="",22&gt;設定!$B$3,原始資料!Y17=""),"",IF(AND(原始資料!X17&lt;&gt;"",原始資料!Y17=原始資料!X17),N(V17)+1,1))</f>
        <v/>
      </c>
      <c r="X17" s="6">
        <f>IF(OR(原始資料!$A17="",23&gt;設定!$B$3,原始資料!Z17=""),"",IF(AND(原始資料!Y17&lt;&gt;"",原始資料!Z17=原始資料!Y17),N(W17)+1,1))</f>
        <v/>
      </c>
      <c r="Y17" s="6">
        <f>IF(OR(原始資料!$A17="",24&gt;設定!$B$3,原始資料!AA17=""),"",IF(AND(原始資料!Z17&lt;&gt;"",原始資料!AA17=原始資料!Z17),N(X17)+1,1))</f>
        <v/>
      </c>
      <c r="Z17" s="6">
        <f>IF(OR(原始資料!$A17="",25&gt;設定!$B$3,原始資料!AB17=""),"",IF(AND(原始資料!AA17&lt;&gt;"",原始資料!AB17=原始資料!AA17),N(Y17)+1,1))</f>
        <v/>
      </c>
      <c r="AA17" s="6">
        <f>IF(OR(原始資料!$A17="",26&gt;設定!$B$3,原始資料!AC17=""),"",IF(AND(原始資料!AB17&lt;&gt;"",原始資料!AC17=原始資料!AB17),N(Z17)+1,1))</f>
        <v/>
      </c>
      <c r="AB17" s="6">
        <f>IF(OR(原始資料!$A17="",27&gt;設定!$B$3,原始資料!AD17=""),"",IF(AND(原始資料!AC17&lt;&gt;"",原始資料!AD17=原始資料!AC17),N(AA17)+1,1))</f>
        <v/>
      </c>
      <c r="AC17" s="6">
        <f>IF(OR(原始資料!$A17="",28&gt;設定!$B$3,原始資料!AE17=""),"",IF(AND(原始資料!AD17&lt;&gt;"",原始資料!AE17=原始資料!AD17),N(AB17)+1,1))</f>
        <v/>
      </c>
      <c r="AD17" s="6">
        <f>IF(OR(原始資料!$A17="",29&gt;設定!$B$3,原始資料!AF17=""),"",IF(AND(原始資料!AE17&lt;&gt;"",原始資料!AF17=原始資料!AE17),N(AC17)+1,1))</f>
        <v/>
      </c>
      <c r="AE17" s="6">
        <f>IF(OR(原始資料!$A17="",30&gt;設定!$B$3,原始資料!AG17=""),"",IF(AND(原始資料!AF17&lt;&gt;"",原始資料!AG17=原始資料!AF17),N(AD17)+1,1))</f>
        <v/>
      </c>
      <c r="AF17" s="6">
        <f>IF(OR(原始資料!$A17="",31&gt;設定!$B$3,原始資料!AH17=""),"",IF(AND(原始資料!AG17&lt;&gt;"",原始資料!AH17=原始資料!AG17),N(AE17)+1,1))</f>
        <v/>
      </c>
      <c r="AG17" s="6">
        <f>IF(OR(原始資料!$A17="",32&gt;設定!$B$3,原始資料!AI17=""),"",IF(AND(原始資料!AH17&lt;&gt;"",原始資料!AI17=原始資料!AH17),N(AF17)+1,1))</f>
        <v/>
      </c>
      <c r="AH17" s="6">
        <f>IF(OR(原始資料!$A17="",33&gt;設定!$B$3,原始資料!AJ17=""),"",IF(AND(原始資料!AI17&lt;&gt;"",原始資料!AJ17=原始資料!AI17),N(AG17)+1,1))</f>
        <v/>
      </c>
      <c r="AI17" s="6">
        <f>IF(OR(原始資料!$A17="",34&gt;設定!$B$3,原始資料!AK17=""),"",IF(AND(原始資料!AJ17&lt;&gt;"",原始資料!AK17=原始資料!AJ17),N(AH17)+1,1))</f>
        <v/>
      </c>
      <c r="AJ17" s="6">
        <f>IF(OR(原始資料!$A17="",35&gt;設定!$B$3,原始資料!AL17=""),"",IF(AND(原始資料!AK17&lt;&gt;"",原始資料!AL17=原始資料!AK17),N(AI17)+1,1))</f>
        <v/>
      </c>
      <c r="AK17" s="6">
        <f>IF(OR(原始資料!$A17="",36&gt;設定!$B$3,原始資料!AM17=""),"",IF(AND(原始資料!AL17&lt;&gt;"",原始資料!AM17=原始資料!AL17),N(AJ17)+1,1))</f>
        <v/>
      </c>
      <c r="AL17" s="6">
        <f>IF(OR(原始資料!$A17="",37&gt;設定!$B$3,原始資料!AN17=""),"",IF(AND(原始資料!AM17&lt;&gt;"",原始資料!AN17=原始資料!AM17),N(AK17)+1,1))</f>
        <v/>
      </c>
      <c r="AM17" s="6">
        <f>IF(OR(原始資料!$A17="",38&gt;設定!$B$3,原始資料!AO17=""),"",IF(AND(原始資料!AN17&lt;&gt;"",原始資料!AO17=原始資料!AN17),N(AL17)+1,1))</f>
        <v/>
      </c>
      <c r="AN17" s="6">
        <f>IF(OR(原始資料!$A17="",39&gt;設定!$B$3,原始資料!AP17=""),"",IF(AND(原始資料!AO17&lt;&gt;"",原始資料!AP17=原始資料!AO17),N(AM17)+1,1))</f>
        <v/>
      </c>
      <c r="AO17" s="6">
        <f>IF(OR(原始資料!$A17="",40&gt;設定!$B$3,原始資料!AQ17=""),"",IF(AND(原始資料!AP17&lt;&gt;"",原始資料!AQ17=原始資料!AP17),N(AN17)+1,1))</f>
        <v/>
      </c>
      <c r="AP17" s="6">
        <f>IF(OR(原始資料!$A17="",41&gt;設定!$B$3,原始資料!AR17=""),"",IF(AND(原始資料!AQ17&lt;&gt;"",原始資料!AR17=原始資料!AQ17),N(AO17)+1,1))</f>
        <v/>
      </c>
      <c r="AQ17" s="6">
        <f>IF(OR(原始資料!$A17="",42&gt;設定!$B$3,原始資料!AS17=""),"",IF(AND(原始資料!AR17&lt;&gt;"",原始資料!AS17=原始資料!AR17),N(AP17)+1,1))</f>
        <v/>
      </c>
      <c r="AR17" s="6">
        <f>IF(OR(原始資料!$A17="",43&gt;設定!$B$3,原始資料!AT17=""),"",IF(AND(原始資料!AS17&lt;&gt;"",原始資料!AT17=原始資料!AS17),N(AQ17)+1,1))</f>
        <v/>
      </c>
      <c r="AS17" s="6">
        <f>IF(OR(原始資料!$A17="",44&gt;設定!$B$3,原始資料!AU17=""),"",IF(AND(原始資料!AT17&lt;&gt;"",原始資料!AU17=原始資料!AT17),N(AR17)+1,1))</f>
        <v/>
      </c>
      <c r="AT17" s="6">
        <f>IF(OR(原始資料!$A17="",45&gt;設定!$B$3,原始資料!AV17=""),"",IF(AND(原始資料!AU17&lt;&gt;"",原始資料!AV17=原始資料!AU17),N(AS17)+1,1))</f>
        <v/>
      </c>
      <c r="AU17" s="6">
        <f>IF(OR(原始資料!$A17="",46&gt;設定!$B$3,原始資料!AW17=""),"",IF(AND(原始資料!AV17&lt;&gt;"",原始資料!AW17=原始資料!AV17),N(AT17)+1,1))</f>
        <v/>
      </c>
      <c r="AV17" s="6">
        <f>IF(OR(原始資料!$A17="",47&gt;設定!$B$3,原始資料!AX17=""),"",IF(AND(原始資料!AW17&lt;&gt;"",原始資料!AX17=原始資料!AW17),N(AU17)+1,1))</f>
        <v/>
      </c>
      <c r="AW17" s="6">
        <f>IF(OR(原始資料!$A17="",48&gt;設定!$B$3,原始資料!AY17=""),"",IF(AND(原始資料!AX17&lt;&gt;"",原始資料!AY17=原始資料!AX17),N(AV17)+1,1))</f>
        <v/>
      </c>
      <c r="AX17" s="6">
        <f>IF(OR(原始資料!$A17="",49&gt;設定!$B$3,原始資料!AZ17=""),"",IF(AND(原始資料!AY17&lt;&gt;"",原始資料!AZ17=原始資料!AY17),N(AW17)+1,1))</f>
        <v/>
      </c>
      <c r="AY17" s="6">
        <f>IF(OR(原始資料!$A17="",50&gt;設定!$B$3,原始資料!BA17=""),"",IF(AND(原始資料!AZ17&lt;&gt;"",原始資料!BA17=原始資料!AZ17),N(AX17)+1,1))</f>
        <v/>
      </c>
      <c r="AZ17" s="6">
        <f>IF(OR(原始資料!$A17="",51&gt;設定!$B$3,原始資料!BB17=""),"",IF(AND(原始資料!BA17&lt;&gt;"",原始資料!BB17=原始資料!BA17),N(AY17)+1,1))</f>
        <v/>
      </c>
      <c r="BA17" s="6">
        <f>IF(OR(原始資料!$A17="",52&gt;設定!$B$3,原始資料!BC17=""),"",IF(AND(原始資料!BB17&lt;&gt;"",原始資料!BC17=原始資料!BB17),N(AZ17)+1,1))</f>
        <v/>
      </c>
      <c r="BB17" s="6">
        <f>IF(OR(原始資料!$A17="",53&gt;設定!$B$3,原始資料!BD17=""),"",IF(AND(原始資料!BC17&lt;&gt;"",原始資料!BD17=原始資料!BC17),N(BA17)+1,1))</f>
        <v/>
      </c>
      <c r="BC17" s="6">
        <f>IF(OR(原始資料!$A17="",54&gt;設定!$B$3,原始資料!BE17=""),"",IF(AND(原始資料!BD17&lt;&gt;"",原始資料!BE17=原始資料!BD17),N(BB17)+1,1))</f>
        <v/>
      </c>
      <c r="BD17" s="6">
        <f>IF(OR(原始資料!$A17="",55&gt;設定!$B$3,原始資料!BF17=""),"",IF(AND(原始資料!BE17&lt;&gt;"",原始資料!BF17=原始資料!BE17),N(BC17)+1,1))</f>
        <v/>
      </c>
      <c r="BE17" s="6">
        <f>IF(OR(原始資料!$A17="",56&gt;設定!$B$3,原始資料!BG17=""),"",IF(AND(原始資料!BF17&lt;&gt;"",原始資料!BG17=原始資料!BF17),N(BD17)+1,1))</f>
        <v/>
      </c>
      <c r="BF17" s="6">
        <f>IF(OR(原始資料!$A17="",57&gt;設定!$B$3,原始資料!BH17=""),"",IF(AND(原始資料!BG17&lt;&gt;"",原始資料!BH17=原始資料!BG17),N(BE17)+1,1))</f>
        <v/>
      </c>
      <c r="BG17" s="6">
        <f>IF(OR(原始資料!$A17="",58&gt;設定!$B$3,原始資料!BI17=""),"",IF(AND(原始資料!BH17&lt;&gt;"",原始資料!BI17=原始資料!BH17),N(BF17)+1,1))</f>
        <v/>
      </c>
      <c r="BH17" s="6">
        <f>IF(OR(原始資料!$A17="",59&gt;設定!$B$3,原始資料!BJ17=""),"",IF(AND(原始資料!BI17&lt;&gt;"",原始資料!BJ17=原始資料!BI17),N(BG17)+1,1))</f>
        <v/>
      </c>
      <c r="BI17" s="6">
        <f>IF(OR(原始資料!$A17="",60&gt;設定!$B$3,原始資料!BK17=""),"",IF(AND(原始資料!BJ17&lt;&gt;"",原始資料!BK17=原始資料!BJ17),N(BH17)+1,1))</f>
        <v/>
      </c>
    </row>
    <row r="18">
      <c r="A18" s="6">
        <f>IF(原始資料!$A18="","",原始資料!$A18)</f>
        <v/>
      </c>
      <c r="B18" s="6">
        <f>IF(OR(原始資料!$A18="",1&gt;設定!$B$3,原始資料!D18=""),"",1)</f>
        <v/>
      </c>
      <c r="C18" s="6">
        <f>IF(OR(原始資料!$A18="",2&gt;設定!$B$3,原始資料!E18=""),"",IF(AND(原始資料!D18&lt;&gt;"",原始資料!E18=原始資料!D18),N(B18)+1,1))</f>
        <v/>
      </c>
      <c r="D18" s="6">
        <f>IF(OR(原始資料!$A18="",3&gt;設定!$B$3,原始資料!F18=""),"",IF(AND(原始資料!E18&lt;&gt;"",原始資料!F18=原始資料!E18),N(C18)+1,1))</f>
        <v/>
      </c>
      <c r="E18" s="6">
        <f>IF(OR(原始資料!$A18="",4&gt;設定!$B$3,原始資料!G18=""),"",IF(AND(原始資料!F18&lt;&gt;"",原始資料!G18=原始資料!F18),N(D18)+1,1))</f>
        <v/>
      </c>
      <c r="F18" s="6">
        <f>IF(OR(原始資料!$A18="",5&gt;設定!$B$3,原始資料!H18=""),"",IF(AND(原始資料!G18&lt;&gt;"",原始資料!H18=原始資料!G18),N(E18)+1,1))</f>
        <v/>
      </c>
      <c r="G18" s="6">
        <f>IF(OR(原始資料!$A18="",6&gt;設定!$B$3,原始資料!I18=""),"",IF(AND(原始資料!H18&lt;&gt;"",原始資料!I18=原始資料!H18),N(F18)+1,1))</f>
        <v/>
      </c>
      <c r="H18" s="6">
        <f>IF(OR(原始資料!$A18="",7&gt;設定!$B$3,原始資料!J18=""),"",IF(AND(原始資料!I18&lt;&gt;"",原始資料!J18=原始資料!I18),N(G18)+1,1))</f>
        <v/>
      </c>
      <c r="I18" s="6">
        <f>IF(OR(原始資料!$A18="",8&gt;設定!$B$3,原始資料!K18=""),"",IF(AND(原始資料!J18&lt;&gt;"",原始資料!K18=原始資料!J18),N(H18)+1,1))</f>
        <v/>
      </c>
      <c r="J18" s="6">
        <f>IF(OR(原始資料!$A18="",9&gt;設定!$B$3,原始資料!L18=""),"",IF(AND(原始資料!K18&lt;&gt;"",原始資料!L18=原始資料!K18),N(I18)+1,1))</f>
        <v/>
      </c>
      <c r="K18" s="6">
        <f>IF(OR(原始資料!$A18="",10&gt;設定!$B$3,原始資料!M18=""),"",IF(AND(原始資料!L18&lt;&gt;"",原始資料!M18=原始資料!L18),N(J18)+1,1))</f>
        <v/>
      </c>
      <c r="L18" s="6">
        <f>IF(OR(原始資料!$A18="",11&gt;設定!$B$3,原始資料!N18=""),"",IF(AND(原始資料!M18&lt;&gt;"",原始資料!N18=原始資料!M18),N(K18)+1,1))</f>
        <v/>
      </c>
      <c r="M18" s="6">
        <f>IF(OR(原始資料!$A18="",12&gt;設定!$B$3,原始資料!O18=""),"",IF(AND(原始資料!N18&lt;&gt;"",原始資料!O18=原始資料!N18),N(L18)+1,1))</f>
        <v/>
      </c>
      <c r="N18" s="6">
        <f>IF(OR(原始資料!$A18="",13&gt;設定!$B$3,原始資料!P18=""),"",IF(AND(原始資料!O18&lt;&gt;"",原始資料!P18=原始資料!O18),N(M18)+1,1))</f>
        <v/>
      </c>
      <c r="O18" s="6">
        <f>IF(OR(原始資料!$A18="",14&gt;設定!$B$3,原始資料!Q18=""),"",IF(AND(原始資料!P18&lt;&gt;"",原始資料!Q18=原始資料!P18),N(N18)+1,1))</f>
        <v/>
      </c>
      <c r="P18" s="6">
        <f>IF(OR(原始資料!$A18="",15&gt;設定!$B$3,原始資料!R18=""),"",IF(AND(原始資料!Q18&lt;&gt;"",原始資料!R18=原始資料!Q18),N(O18)+1,1))</f>
        <v/>
      </c>
      <c r="Q18" s="6">
        <f>IF(OR(原始資料!$A18="",16&gt;設定!$B$3,原始資料!S18=""),"",IF(AND(原始資料!R18&lt;&gt;"",原始資料!S18=原始資料!R18),N(P18)+1,1))</f>
        <v/>
      </c>
      <c r="R18" s="6">
        <f>IF(OR(原始資料!$A18="",17&gt;設定!$B$3,原始資料!T18=""),"",IF(AND(原始資料!S18&lt;&gt;"",原始資料!T18=原始資料!S18),N(Q18)+1,1))</f>
        <v/>
      </c>
      <c r="S18" s="6">
        <f>IF(OR(原始資料!$A18="",18&gt;設定!$B$3,原始資料!U18=""),"",IF(AND(原始資料!T18&lt;&gt;"",原始資料!U18=原始資料!T18),N(R18)+1,1))</f>
        <v/>
      </c>
      <c r="T18" s="6">
        <f>IF(OR(原始資料!$A18="",19&gt;設定!$B$3,原始資料!V18=""),"",IF(AND(原始資料!U18&lt;&gt;"",原始資料!V18=原始資料!U18),N(S18)+1,1))</f>
        <v/>
      </c>
      <c r="U18" s="6">
        <f>IF(OR(原始資料!$A18="",20&gt;設定!$B$3,原始資料!W18=""),"",IF(AND(原始資料!V18&lt;&gt;"",原始資料!W18=原始資料!V18),N(T18)+1,1))</f>
        <v/>
      </c>
      <c r="V18" s="6">
        <f>IF(OR(原始資料!$A18="",21&gt;設定!$B$3,原始資料!X18=""),"",IF(AND(原始資料!W18&lt;&gt;"",原始資料!X18=原始資料!W18),N(U18)+1,1))</f>
        <v/>
      </c>
      <c r="W18" s="6">
        <f>IF(OR(原始資料!$A18="",22&gt;設定!$B$3,原始資料!Y18=""),"",IF(AND(原始資料!X18&lt;&gt;"",原始資料!Y18=原始資料!X18),N(V18)+1,1))</f>
        <v/>
      </c>
      <c r="X18" s="6">
        <f>IF(OR(原始資料!$A18="",23&gt;設定!$B$3,原始資料!Z18=""),"",IF(AND(原始資料!Y18&lt;&gt;"",原始資料!Z18=原始資料!Y18),N(W18)+1,1))</f>
        <v/>
      </c>
      <c r="Y18" s="6">
        <f>IF(OR(原始資料!$A18="",24&gt;設定!$B$3,原始資料!AA18=""),"",IF(AND(原始資料!Z18&lt;&gt;"",原始資料!AA18=原始資料!Z18),N(X18)+1,1))</f>
        <v/>
      </c>
      <c r="Z18" s="6">
        <f>IF(OR(原始資料!$A18="",25&gt;設定!$B$3,原始資料!AB18=""),"",IF(AND(原始資料!AA18&lt;&gt;"",原始資料!AB18=原始資料!AA18),N(Y18)+1,1))</f>
        <v/>
      </c>
      <c r="AA18" s="6">
        <f>IF(OR(原始資料!$A18="",26&gt;設定!$B$3,原始資料!AC18=""),"",IF(AND(原始資料!AB18&lt;&gt;"",原始資料!AC18=原始資料!AB18),N(Z18)+1,1))</f>
        <v/>
      </c>
      <c r="AB18" s="6">
        <f>IF(OR(原始資料!$A18="",27&gt;設定!$B$3,原始資料!AD18=""),"",IF(AND(原始資料!AC18&lt;&gt;"",原始資料!AD18=原始資料!AC18),N(AA18)+1,1))</f>
        <v/>
      </c>
      <c r="AC18" s="6">
        <f>IF(OR(原始資料!$A18="",28&gt;設定!$B$3,原始資料!AE18=""),"",IF(AND(原始資料!AD18&lt;&gt;"",原始資料!AE18=原始資料!AD18),N(AB18)+1,1))</f>
        <v/>
      </c>
      <c r="AD18" s="6">
        <f>IF(OR(原始資料!$A18="",29&gt;設定!$B$3,原始資料!AF18=""),"",IF(AND(原始資料!AE18&lt;&gt;"",原始資料!AF18=原始資料!AE18),N(AC18)+1,1))</f>
        <v/>
      </c>
      <c r="AE18" s="6">
        <f>IF(OR(原始資料!$A18="",30&gt;設定!$B$3,原始資料!AG18=""),"",IF(AND(原始資料!AF18&lt;&gt;"",原始資料!AG18=原始資料!AF18),N(AD18)+1,1))</f>
        <v/>
      </c>
      <c r="AF18" s="6">
        <f>IF(OR(原始資料!$A18="",31&gt;設定!$B$3,原始資料!AH18=""),"",IF(AND(原始資料!AG18&lt;&gt;"",原始資料!AH18=原始資料!AG18),N(AE18)+1,1))</f>
        <v/>
      </c>
      <c r="AG18" s="6">
        <f>IF(OR(原始資料!$A18="",32&gt;設定!$B$3,原始資料!AI18=""),"",IF(AND(原始資料!AH18&lt;&gt;"",原始資料!AI18=原始資料!AH18),N(AF18)+1,1))</f>
        <v/>
      </c>
      <c r="AH18" s="6">
        <f>IF(OR(原始資料!$A18="",33&gt;設定!$B$3,原始資料!AJ18=""),"",IF(AND(原始資料!AI18&lt;&gt;"",原始資料!AJ18=原始資料!AI18),N(AG18)+1,1))</f>
        <v/>
      </c>
      <c r="AI18" s="6">
        <f>IF(OR(原始資料!$A18="",34&gt;設定!$B$3,原始資料!AK18=""),"",IF(AND(原始資料!AJ18&lt;&gt;"",原始資料!AK18=原始資料!AJ18),N(AH18)+1,1))</f>
        <v/>
      </c>
      <c r="AJ18" s="6">
        <f>IF(OR(原始資料!$A18="",35&gt;設定!$B$3,原始資料!AL18=""),"",IF(AND(原始資料!AK18&lt;&gt;"",原始資料!AL18=原始資料!AK18),N(AI18)+1,1))</f>
        <v/>
      </c>
      <c r="AK18" s="6">
        <f>IF(OR(原始資料!$A18="",36&gt;設定!$B$3,原始資料!AM18=""),"",IF(AND(原始資料!AL18&lt;&gt;"",原始資料!AM18=原始資料!AL18),N(AJ18)+1,1))</f>
        <v/>
      </c>
      <c r="AL18" s="6">
        <f>IF(OR(原始資料!$A18="",37&gt;設定!$B$3,原始資料!AN18=""),"",IF(AND(原始資料!AM18&lt;&gt;"",原始資料!AN18=原始資料!AM18),N(AK18)+1,1))</f>
        <v/>
      </c>
      <c r="AM18" s="6">
        <f>IF(OR(原始資料!$A18="",38&gt;設定!$B$3,原始資料!AO18=""),"",IF(AND(原始資料!AN18&lt;&gt;"",原始資料!AO18=原始資料!AN18),N(AL18)+1,1))</f>
        <v/>
      </c>
      <c r="AN18" s="6">
        <f>IF(OR(原始資料!$A18="",39&gt;設定!$B$3,原始資料!AP18=""),"",IF(AND(原始資料!AO18&lt;&gt;"",原始資料!AP18=原始資料!AO18),N(AM18)+1,1))</f>
        <v/>
      </c>
      <c r="AO18" s="6">
        <f>IF(OR(原始資料!$A18="",40&gt;設定!$B$3,原始資料!AQ18=""),"",IF(AND(原始資料!AP18&lt;&gt;"",原始資料!AQ18=原始資料!AP18),N(AN18)+1,1))</f>
        <v/>
      </c>
      <c r="AP18" s="6">
        <f>IF(OR(原始資料!$A18="",41&gt;設定!$B$3,原始資料!AR18=""),"",IF(AND(原始資料!AQ18&lt;&gt;"",原始資料!AR18=原始資料!AQ18),N(AO18)+1,1))</f>
        <v/>
      </c>
      <c r="AQ18" s="6">
        <f>IF(OR(原始資料!$A18="",42&gt;設定!$B$3,原始資料!AS18=""),"",IF(AND(原始資料!AR18&lt;&gt;"",原始資料!AS18=原始資料!AR18),N(AP18)+1,1))</f>
        <v/>
      </c>
      <c r="AR18" s="6">
        <f>IF(OR(原始資料!$A18="",43&gt;設定!$B$3,原始資料!AT18=""),"",IF(AND(原始資料!AS18&lt;&gt;"",原始資料!AT18=原始資料!AS18),N(AQ18)+1,1))</f>
        <v/>
      </c>
      <c r="AS18" s="6">
        <f>IF(OR(原始資料!$A18="",44&gt;設定!$B$3,原始資料!AU18=""),"",IF(AND(原始資料!AT18&lt;&gt;"",原始資料!AU18=原始資料!AT18),N(AR18)+1,1))</f>
        <v/>
      </c>
      <c r="AT18" s="6">
        <f>IF(OR(原始資料!$A18="",45&gt;設定!$B$3,原始資料!AV18=""),"",IF(AND(原始資料!AU18&lt;&gt;"",原始資料!AV18=原始資料!AU18),N(AS18)+1,1))</f>
        <v/>
      </c>
      <c r="AU18" s="6">
        <f>IF(OR(原始資料!$A18="",46&gt;設定!$B$3,原始資料!AW18=""),"",IF(AND(原始資料!AV18&lt;&gt;"",原始資料!AW18=原始資料!AV18),N(AT18)+1,1))</f>
        <v/>
      </c>
      <c r="AV18" s="6">
        <f>IF(OR(原始資料!$A18="",47&gt;設定!$B$3,原始資料!AX18=""),"",IF(AND(原始資料!AW18&lt;&gt;"",原始資料!AX18=原始資料!AW18),N(AU18)+1,1))</f>
        <v/>
      </c>
      <c r="AW18" s="6">
        <f>IF(OR(原始資料!$A18="",48&gt;設定!$B$3,原始資料!AY18=""),"",IF(AND(原始資料!AX18&lt;&gt;"",原始資料!AY18=原始資料!AX18),N(AV18)+1,1))</f>
        <v/>
      </c>
      <c r="AX18" s="6">
        <f>IF(OR(原始資料!$A18="",49&gt;設定!$B$3,原始資料!AZ18=""),"",IF(AND(原始資料!AY18&lt;&gt;"",原始資料!AZ18=原始資料!AY18),N(AW18)+1,1))</f>
        <v/>
      </c>
      <c r="AY18" s="6">
        <f>IF(OR(原始資料!$A18="",50&gt;設定!$B$3,原始資料!BA18=""),"",IF(AND(原始資料!AZ18&lt;&gt;"",原始資料!BA18=原始資料!AZ18),N(AX18)+1,1))</f>
        <v/>
      </c>
      <c r="AZ18" s="6">
        <f>IF(OR(原始資料!$A18="",51&gt;設定!$B$3,原始資料!BB18=""),"",IF(AND(原始資料!BA18&lt;&gt;"",原始資料!BB18=原始資料!BA18),N(AY18)+1,1))</f>
        <v/>
      </c>
      <c r="BA18" s="6">
        <f>IF(OR(原始資料!$A18="",52&gt;設定!$B$3,原始資料!BC18=""),"",IF(AND(原始資料!BB18&lt;&gt;"",原始資料!BC18=原始資料!BB18),N(AZ18)+1,1))</f>
        <v/>
      </c>
      <c r="BB18" s="6">
        <f>IF(OR(原始資料!$A18="",53&gt;設定!$B$3,原始資料!BD18=""),"",IF(AND(原始資料!BC18&lt;&gt;"",原始資料!BD18=原始資料!BC18),N(BA18)+1,1))</f>
        <v/>
      </c>
      <c r="BC18" s="6">
        <f>IF(OR(原始資料!$A18="",54&gt;設定!$B$3,原始資料!BE18=""),"",IF(AND(原始資料!BD18&lt;&gt;"",原始資料!BE18=原始資料!BD18),N(BB18)+1,1))</f>
        <v/>
      </c>
      <c r="BD18" s="6">
        <f>IF(OR(原始資料!$A18="",55&gt;設定!$B$3,原始資料!BF18=""),"",IF(AND(原始資料!BE18&lt;&gt;"",原始資料!BF18=原始資料!BE18),N(BC18)+1,1))</f>
        <v/>
      </c>
      <c r="BE18" s="6">
        <f>IF(OR(原始資料!$A18="",56&gt;設定!$B$3,原始資料!BG18=""),"",IF(AND(原始資料!BF18&lt;&gt;"",原始資料!BG18=原始資料!BF18),N(BD18)+1,1))</f>
        <v/>
      </c>
      <c r="BF18" s="6">
        <f>IF(OR(原始資料!$A18="",57&gt;設定!$B$3,原始資料!BH18=""),"",IF(AND(原始資料!BG18&lt;&gt;"",原始資料!BH18=原始資料!BG18),N(BE18)+1,1))</f>
        <v/>
      </c>
      <c r="BG18" s="6">
        <f>IF(OR(原始資料!$A18="",58&gt;設定!$B$3,原始資料!BI18=""),"",IF(AND(原始資料!BH18&lt;&gt;"",原始資料!BI18=原始資料!BH18),N(BF18)+1,1))</f>
        <v/>
      </c>
      <c r="BH18" s="6">
        <f>IF(OR(原始資料!$A18="",59&gt;設定!$B$3,原始資料!BJ18=""),"",IF(AND(原始資料!BI18&lt;&gt;"",原始資料!BJ18=原始資料!BI18),N(BG18)+1,1))</f>
        <v/>
      </c>
      <c r="BI18" s="6">
        <f>IF(OR(原始資料!$A18="",60&gt;設定!$B$3,原始資料!BK18=""),"",IF(AND(原始資料!BJ18&lt;&gt;"",原始資料!BK18=原始資料!BJ18),N(BH18)+1,1))</f>
        <v/>
      </c>
    </row>
    <row r="19">
      <c r="A19" s="6">
        <f>IF(原始資料!$A19="","",原始資料!$A19)</f>
        <v/>
      </c>
      <c r="B19" s="6">
        <f>IF(OR(原始資料!$A19="",1&gt;設定!$B$3,原始資料!D19=""),"",1)</f>
        <v/>
      </c>
      <c r="C19" s="6">
        <f>IF(OR(原始資料!$A19="",2&gt;設定!$B$3,原始資料!E19=""),"",IF(AND(原始資料!D19&lt;&gt;"",原始資料!E19=原始資料!D19),N(B19)+1,1))</f>
        <v/>
      </c>
      <c r="D19" s="6">
        <f>IF(OR(原始資料!$A19="",3&gt;設定!$B$3,原始資料!F19=""),"",IF(AND(原始資料!E19&lt;&gt;"",原始資料!F19=原始資料!E19),N(C19)+1,1))</f>
        <v/>
      </c>
      <c r="E19" s="6">
        <f>IF(OR(原始資料!$A19="",4&gt;設定!$B$3,原始資料!G19=""),"",IF(AND(原始資料!F19&lt;&gt;"",原始資料!G19=原始資料!F19),N(D19)+1,1))</f>
        <v/>
      </c>
      <c r="F19" s="6">
        <f>IF(OR(原始資料!$A19="",5&gt;設定!$B$3,原始資料!H19=""),"",IF(AND(原始資料!G19&lt;&gt;"",原始資料!H19=原始資料!G19),N(E19)+1,1))</f>
        <v/>
      </c>
      <c r="G19" s="6">
        <f>IF(OR(原始資料!$A19="",6&gt;設定!$B$3,原始資料!I19=""),"",IF(AND(原始資料!H19&lt;&gt;"",原始資料!I19=原始資料!H19),N(F19)+1,1))</f>
        <v/>
      </c>
      <c r="H19" s="6">
        <f>IF(OR(原始資料!$A19="",7&gt;設定!$B$3,原始資料!J19=""),"",IF(AND(原始資料!I19&lt;&gt;"",原始資料!J19=原始資料!I19),N(G19)+1,1))</f>
        <v/>
      </c>
      <c r="I19" s="6">
        <f>IF(OR(原始資料!$A19="",8&gt;設定!$B$3,原始資料!K19=""),"",IF(AND(原始資料!J19&lt;&gt;"",原始資料!K19=原始資料!J19),N(H19)+1,1))</f>
        <v/>
      </c>
      <c r="J19" s="6">
        <f>IF(OR(原始資料!$A19="",9&gt;設定!$B$3,原始資料!L19=""),"",IF(AND(原始資料!K19&lt;&gt;"",原始資料!L19=原始資料!K19),N(I19)+1,1))</f>
        <v/>
      </c>
      <c r="K19" s="6">
        <f>IF(OR(原始資料!$A19="",10&gt;設定!$B$3,原始資料!M19=""),"",IF(AND(原始資料!L19&lt;&gt;"",原始資料!M19=原始資料!L19),N(J19)+1,1))</f>
        <v/>
      </c>
      <c r="L19" s="6">
        <f>IF(OR(原始資料!$A19="",11&gt;設定!$B$3,原始資料!N19=""),"",IF(AND(原始資料!M19&lt;&gt;"",原始資料!N19=原始資料!M19),N(K19)+1,1))</f>
        <v/>
      </c>
      <c r="M19" s="6">
        <f>IF(OR(原始資料!$A19="",12&gt;設定!$B$3,原始資料!O19=""),"",IF(AND(原始資料!N19&lt;&gt;"",原始資料!O19=原始資料!N19),N(L19)+1,1))</f>
        <v/>
      </c>
      <c r="N19" s="6">
        <f>IF(OR(原始資料!$A19="",13&gt;設定!$B$3,原始資料!P19=""),"",IF(AND(原始資料!O19&lt;&gt;"",原始資料!P19=原始資料!O19),N(M19)+1,1))</f>
        <v/>
      </c>
      <c r="O19" s="6">
        <f>IF(OR(原始資料!$A19="",14&gt;設定!$B$3,原始資料!Q19=""),"",IF(AND(原始資料!P19&lt;&gt;"",原始資料!Q19=原始資料!P19),N(N19)+1,1))</f>
        <v/>
      </c>
      <c r="P19" s="6">
        <f>IF(OR(原始資料!$A19="",15&gt;設定!$B$3,原始資料!R19=""),"",IF(AND(原始資料!Q19&lt;&gt;"",原始資料!R19=原始資料!Q19),N(O19)+1,1))</f>
        <v/>
      </c>
      <c r="Q19" s="6">
        <f>IF(OR(原始資料!$A19="",16&gt;設定!$B$3,原始資料!S19=""),"",IF(AND(原始資料!R19&lt;&gt;"",原始資料!S19=原始資料!R19),N(P19)+1,1))</f>
        <v/>
      </c>
      <c r="R19" s="6">
        <f>IF(OR(原始資料!$A19="",17&gt;設定!$B$3,原始資料!T19=""),"",IF(AND(原始資料!S19&lt;&gt;"",原始資料!T19=原始資料!S19),N(Q19)+1,1))</f>
        <v/>
      </c>
      <c r="S19" s="6">
        <f>IF(OR(原始資料!$A19="",18&gt;設定!$B$3,原始資料!U19=""),"",IF(AND(原始資料!T19&lt;&gt;"",原始資料!U19=原始資料!T19),N(R19)+1,1))</f>
        <v/>
      </c>
      <c r="T19" s="6">
        <f>IF(OR(原始資料!$A19="",19&gt;設定!$B$3,原始資料!V19=""),"",IF(AND(原始資料!U19&lt;&gt;"",原始資料!V19=原始資料!U19),N(S19)+1,1))</f>
        <v/>
      </c>
      <c r="U19" s="6">
        <f>IF(OR(原始資料!$A19="",20&gt;設定!$B$3,原始資料!W19=""),"",IF(AND(原始資料!V19&lt;&gt;"",原始資料!W19=原始資料!V19),N(T19)+1,1))</f>
        <v/>
      </c>
      <c r="V19" s="6">
        <f>IF(OR(原始資料!$A19="",21&gt;設定!$B$3,原始資料!X19=""),"",IF(AND(原始資料!W19&lt;&gt;"",原始資料!X19=原始資料!W19),N(U19)+1,1))</f>
        <v/>
      </c>
      <c r="W19" s="6">
        <f>IF(OR(原始資料!$A19="",22&gt;設定!$B$3,原始資料!Y19=""),"",IF(AND(原始資料!X19&lt;&gt;"",原始資料!Y19=原始資料!X19),N(V19)+1,1))</f>
        <v/>
      </c>
      <c r="X19" s="6">
        <f>IF(OR(原始資料!$A19="",23&gt;設定!$B$3,原始資料!Z19=""),"",IF(AND(原始資料!Y19&lt;&gt;"",原始資料!Z19=原始資料!Y19),N(W19)+1,1))</f>
        <v/>
      </c>
      <c r="Y19" s="6">
        <f>IF(OR(原始資料!$A19="",24&gt;設定!$B$3,原始資料!AA19=""),"",IF(AND(原始資料!Z19&lt;&gt;"",原始資料!AA19=原始資料!Z19),N(X19)+1,1))</f>
        <v/>
      </c>
      <c r="Z19" s="6">
        <f>IF(OR(原始資料!$A19="",25&gt;設定!$B$3,原始資料!AB19=""),"",IF(AND(原始資料!AA19&lt;&gt;"",原始資料!AB19=原始資料!AA19),N(Y19)+1,1))</f>
        <v/>
      </c>
      <c r="AA19" s="6">
        <f>IF(OR(原始資料!$A19="",26&gt;設定!$B$3,原始資料!AC19=""),"",IF(AND(原始資料!AB19&lt;&gt;"",原始資料!AC19=原始資料!AB19),N(Z19)+1,1))</f>
        <v/>
      </c>
      <c r="AB19" s="6">
        <f>IF(OR(原始資料!$A19="",27&gt;設定!$B$3,原始資料!AD19=""),"",IF(AND(原始資料!AC19&lt;&gt;"",原始資料!AD19=原始資料!AC19),N(AA19)+1,1))</f>
        <v/>
      </c>
      <c r="AC19" s="6">
        <f>IF(OR(原始資料!$A19="",28&gt;設定!$B$3,原始資料!AE19=""),"",IF(AND(原始資料!AD19&lt;&gt;"",原始資料!AE19=原始資料!AD19),N(AB19)+1,1))</f>
        <v/>
      </c>
      <c r="AD19" s="6">
        <f>IF(OR(原始資料!$A19="",29&gt;設定!$B$3,原始資料!AF19=""),"",IF(AND(原始資料!AE19&lt;&gt;"",原始資料!AF19=原始資料!AE19),N(AC19)+1,1))</f>
        <v/>
      </c>
      <c r="AE19" s="6">
        <f>IF(OR(原始資料!$A19="",30&gt;設定!$B$3,原始資料!AG19=""),"",IF(AND(原始資料!AF19&lt;&gt;"",原始資料!AG19=原始資料!AF19),N(AD19)+1,1))</f>
        <v/>
      </c>
      <c r="AF19" s="6">
        <f>IF(OR(原始資料!$A19="",31&gt;設定!$B$3,原始資料!AH19=""),"",IF(AND(原始資料!AG19&lt;&gt;"",原始資料!AH19=原始資料!AG19),N(AE19)+1,1))</f>
        <v/>
      </c>
      <c r="AG19" s="6">
        <f>IF(OR(原始資料!$A19="",32&gt;設定!$B$3,原始資料!AI19=""),"",IF(AND(原始資料!AH19&lt;&gt;"",原始資料!AI19=原始資料!AH19),N(AF19)+1,1))</f>
        <v/>
      </c>
      <c r="AH19" s="6">
        <f>IF(OR(原始資料!$A19="",33&gt;設定!$B$3,原始資料!AJ19=""),"",IF(AND(原始資料!AI19&lt;&gt;"",原始資料!AJ19=原始資料!AI19),N(AG19)+1,1))</f>
        <v/>
      </c>
      <c r="AI19" s="6">
        <f>IF(OR(原始資料!$A19="",34&gt;設定!$B$3,原始資料!AK19=""),"",IF(AND(原始資料!AJ19&lt;&gt;"",原始資料!AK19=原始資料!AJ19),N(AH19)+1,1))</f>
        <v/>
      </c>
      <c r="AJ19" s="6">
        <f>IF(OR(原始資料!$A19="",35&gt;設定!$B$3,原始資料!AL19=""),"",IF(AND(原始資料!AK19&lt;&gt;"",原始資料!AL19=原始資料!AK19),N(AI19)+1,1))</f>
        <v/>
      </c>
      <c r="AK19" s="6">
        <f>IF(OR(原始資料!$A19="",36&gt;設定!$B$3,原始資料!AM19=""),"",IF(AND(原始資料!AL19&lt;&gt;"",原始資料!AM19=原始資料!AL19),N(AJ19)+1,1))</f>
        <v/>
      </c>
      <c r="AL19" s="6">
        <f>IF(OR(原始資料!$A19="",37&gt;設定!$B$3,原始資料!AN19=""),"",IF(AND(原始資料!AM19&lt;&gt;"",原始資料!AN19=原始資料!AM19),N(AK19)+1,1))</f>
        <v/>
      </c>
      <c r="AM19" s="6">
        <f>IF(OR(原始資料!$A19="",38&gt;設定!$B$3,原始資料!AO19=""),"",IF(AND(原始資料!AN19&lt;&gt;"",原始資料!AO19=原始資料!AN19),N(AL19)+1,1))</f>
        <v/>
      </c>
      <c r="AN19" s="6">
        <f>IF(OR(原始資料!$A19="",39&gt;設定!$B$3,原始資料!AP19=""),"",IF(AND(原始資料!AO19&lt;&gt;"",原始資料!AP19=原始資料!AO19),N(AM19)+1,1))</f>
        <v/>
      </c>
      <c r="AO19" s="6">
        <f>IF(OR(原始資料!$A19="",40&gt;設定!$B$3,原始資料!AQ19=""),"",IF(AND(原始資料!AP19&lt;&gt;"",原始資料!AQ19=原始資料!AP19),N(AN19)+1,1))</f>
        <v/>
      </c>
      <c r="AP19" s="6">
        <f>IF(OR(原始資料!$A19="",41&gt;設定!$B$3,原始資料!AR19=""),"",IF(AND(原始資料!AQ19&lt;&gt;"",原始資料!AR19=原始資料!AQ19),N(AO19)+1,1))</f>
        <v/>
      </c>
      <c r="AQ19" s="6">
        <f>IF(OR(原始資料!$A19="",42&gt;設定!$B$3,原始資料!AS19=""),"",IF(AND(原始資料!AR19&lt;&gt;"",原始資料!AS19=原始資料!AR19),N(AP19)+1,1))</f>
        <v/>
      </c>
      <c r="AR19" s="6">
        <f>IF(OR(原始資料!$A19="",43&gt;設定!$B$3,原始資料!AT19=""),"",IF(AND(原始資料!AS19&lt;&gt;"",原始資料!AT19=原始資料!AS19),N(AQ19)+1,1))</f>
        <v/>
      </c>
      <c r="AS19" s="6">
        <f>IF(OR(原始資料!$A19="",44&gt;設定!$B$3,原始資料!AU19=""),"",IF(AND(原始資料!AT19&lt;&gt;"",原始資料!AU19=原始資料!AT19),N(AR19)+1,1))</f>
        <v/>
      </c>
      <c r="AT19" s="6">
        <f>IF(OR(原始資料!$A19="",45&gt;設定!$B$3,原始資料!AV19=""),"",IF(AND(原始資料!AU19&lt;&gt;"",原始資料!AV19=原始資料!AU19),N(AS19)+1,1))</f>
        <v/>
      </c>
      <c r="AU19" s="6">
        <f>IF(OR(原始資料!$A19="",46&gt;設定!$B$3,原始資料!AW19=""),"",IF(AND(原始資料!AV19&lt;&gt;"",原始資料!AW19=原始資料!AV19),N(AT19)+1,1))</f>
        <v/>
      </c>
      <c r="AV19" s="6">
        <f>IF(OR(原始資料!$A19="",47&gt;設定!$B$3,原始資料!AX19=""),"",IF(AND(原始資料!AW19&lt;&gt;"",原始資料!AX19=原始資料!AW19),N(AU19)+1,1))</f>
        <v/>
      </c>
      <c r="AW19" s="6">
        <f>IF(OR(原始資料!$A19="",48&gt;設定!$B$3,原始資料!AY19=""),"",IF(AND(原始資料!AX19&lt;&gt;"",原始資料!AY19=原始資料!AX19),N(AV19)+1,1))</f>
        <v/>
      </c>
      <c r="AX19" s="6">
        <f>IF(OR(原始資料!$A19="",49&gt;設定!$B$3,原始資料!AZ19=""),"",IF(AND(原始資料!AY19&lt;&gt;"",原始資料!AZ19=原始資料!AY19),N(AW19)+1,1))</f>
        <v/>
      </c>
      <c r="AY19" s="6">
        <f>IF(OR(原始資料!$A19="",50&gt;設定!$B$3,原始資料!BA19=""),"",IF(AND(原始資料!AZ19&lt;&gt;"",原始資料!BA19=原始資料!AZ19),N(AX19)+1,1))</f>
        <v/>
      </c>
      <c r="AZ19" s="6">
        <f>IF(OR(原始資料!$A19="",51&gt;設定!$B$3,原始資料!BB19=""),"",IF(AND(原始資料!BA19&lt;&gt;"",原始資料!BB19=原始資料!BA19),N(AY19)+1,1))</f>
        <v/>
      </c>
      <c r="BA19" s="6">
        <f>IF(OR(原始資料!$A19="",52&gt;設定!$B$3,原始資料!BC19=""),"",IF(AND(原始資料!BB19&lt;&gt;"",原始資料!BC19=原始資料!BB19),N(AZ19)+1,1))</f>
        <v/>
      </c>
      <c r="BB19" s="6">
        <f>IF(OR(原始資料!$A19="",53&gt;設定!$B$3,原始資料!BD19=""),"",IF(AND(原始資料!BC19&lt;&gt;"",原始資料!BD19=原始資料!BC19),N(BA19)+1,1))</f>
        <v/>
      </c>
      <c r="BC19" s="6">
        <f>IF(OR(原始資料!$A19="",54&gt;設定!$B$3,原始資料!BE19=""),"",IF(AND(原始資料!BD19&lt;&gt;"",原始資料!BE19=原始資料!BD19),N(BB19)+1,1))</f>
        <v/>
      </c>
      <c r="BD19" s="6">
        <f>IF(OR(原始資料!$A19="",55&gt;設定!$B$3,原始資料!BF19=""),"",IF(AND(原始資料!BE19&lt;&gt;"",原始資料!BF19=原始資料!BE19),N(BC19)+1,1))</f>
        <v/>
      </c>
      <c r="BE19" s="6">
        <f>IF(OR(原始資料!$A19="",56&gt;設定!$B$3,原始資料!BG19=""),"",IF(AND(原始資料!BF19&lt;&gt;"",原始資料!BG19=原始資料!BF19),N(BD19)+1,1))</f>
        <v/>
      </c>
      <c r="BF19" s="6">
        <f>IF(OR(原始資料!$A19="",57&gt;設定!$B$3,原始資料!BH19=""),"",IF(AND(原始資料!BG19&lt;&gt;"",原始資料!BH19=原始資料!BG19),N(BE19)+1,1))</f>
        <v/>
      </c>
      <c r="BG19" s="6">
        <f>IF(OR(原始資料!$A19="",58&gt;設定!$B$3,原始資料!BI19=""),"",IF(AND(原始資料!BH19&lt;&gt;"",原始資料!BI19=原始資料!BH19),N(BF19)+1,1))</f>
        <v/>
      </c>
      <c r="BH19" s="6">
        <f>IF(OR(原始資料!$A19="",59&gt;設定!$B$3,原始資料!BJ19=""),"",IF(AND(原始資料!BI19&lt;&gt;"",原始資料!BJ19=原始資料!BI19),N(BG19)+1,1))</f>
        <v/>
      </c>
      <c r="BI19" s="6">
        <f>IF(OR(原始資料!$A19="",60&gt;設定!$B$3,原始資料!BK19=""),"",IF(AND(原始資料!BJ19&lt;&gt;"",原始資料!BK19=原始資料!BJ19),N(BH19)+1,1))</f>
        <v/>
      </c>
    </row>
    <row r="20">
      <c r="A20" s="6">
        <f>IF(原始資料!$A20="","",原始資料!$A20)</f>
        <v/>
      </c>
      <c r="B20" s="6">
        <f>IF(OR(原始資料!$A20="",1&gt;設定!$B$3,原始資料!D20=""),"",1)</f>
        <v/>
      </c>
      <c r="C20" s="6">
        <f>IF(OR(原始資料!$A20="",2&gt;設定!$B$3,原始資料!E20=""),"",IF(AND(原始資料!D20&lt;&gt;"",原始資料!E20=原始資料!D20),N(B20)+1,1))</f>
        <v/>
      </c>
      <c r="D20" s="6">
        <f>IF(OR(原始資料!$A20="",3&gt;設定!$B$3,原始資料!F20=""),"",IF(AND(原始資料!E20&lt;&gt;"",原始資料!F20=原始資料!E20),N(C20)+1,1))</f>
        <v/>
      </c>
      <c r="E20" s="6">
        <f>IF(OR(原始資料!$A20="",4&gt;設定!$B$3,原始資料!G20=""),"",IF(AND(原始資料!F20&lt;&gt;"",原始資料!G20=原始資料!F20),N(D20)+1,1))</f>
        <v/>
      </c>
      <c r="F20" s="6">
        <f>IF(OR(原始資料!$A20="",5&gt;設定!$B$3,原始資料!H20=""),"",IF(AND(原始資料!G20&lt;&gt;"",原始資料!H20=原始資料!G20),N(E20)+1,1))</f>
        <v/>
      </c>
      <c r="G20" s="6">
        <f>IF(OR(原始資料!$A20="",6&gt;設定!$B$3,原始資料!I20=""),"",IF(AND(原始資料!H20&lt;&gt;"",原始資料!I20=原始資料!H20),N(F20)+1,1))</f>
        <v/>
      </c>
      <c r="H20" s="6">
        <f>IF(OR(原始資料!$A20="",7&gt;設定!$B$3,原始資料!J20=""),"",IF(AND(原始資料!I20&lt;&gt;"",原始資料!J20=原始資料!I20),N(G20)+1,1))</f>
        <v/>
      </c>
      <c r="I20" s="6">
        <f>IF(OR(原始資料!$A20="",8&gt;設定!$B$3,原始資料!K20=""),"",IF(AND(原始資料!J20&lt;&gt;"",原始資料!K20=原始資料!J20),N(H20)+1,1))</f>
        <v/>
      </c>
      <c r="J20" s="6">
        <f>IF(OR(原始資料!$A20="",9&gt;設定!$B$3,原始資料!L20=""),"",IF(AND(原始資料!K20&lt;&gt;"",原始資料!L20=原始資料!K20),N(I20)+1,1))</f>
        <v/>
      </c>
      <c r="K20" s="6">
        <f>IF(OR(原始資料!$A20="",10&gt;設定!$B$3,原始資料!M20=""),"",IF(AND(原始資料!L20&lt;&gt;"",原始資料!M20=原始資料!L20),N(J20)+1,1))</f>
        <v/>
      </c>
      <c r="L20" s="6">
        <f>IF(OR(原始資料!$A20="",11&gt;設定!$B$3,原始資料!N20=""),"",IF(AND(原始資料!M20&lt;&gt;"",原始資料!N20=原始資料!M20),N(K20)+1,1))</f>
        <v/>
      </c>
      <c r="M20" s="6">
        <f>IF(OR(原始資料!$A20="",12&gt;設定!$B$3,原始資料!O20=""),"",IF(AND(原始資料!N20&lt;&gt;"",原始資料!O20=原始資料!N20),N(L20)+1,1))</f>
        <v/>
      </c>
      <c r="N20" s="6">
        <f>IF(OR(原始資料!$A20="",13&gt;設定!$B$3,原始資料!P20=""),"",IF(AND(原始資料!O20&lt;&gt;"",原始資料!P20=原始資料!O20),N(M20)+1,1))</f>
        <v/>
      </c>
      <c r="O20" s="6">
        <f>IF(OR(原始資料!$A20="",14&gt;設定!$B$3,原始資料!Q20=""),"",IF(AND(原始資料!P20&lt;&gt;"",原始資料!Q20=原始資料!P20),N(N20)+1,1))</f>
        <v/>
      </c>
      <c r="P20" s="6">
        <f>IF(OR(原始資料!$A20="",15&gt;設定!$B$3,原始資料!R20=""),"",IF(AND(原始資料!Q20&lt;&gt;"",原始資料!R20=原始資料!Q20),N(O20)+1,1))</f>
        <v/>
      </c>
      <c r="Q20" s="6">
        <f>IF(OR(原始資料!$A20="",16&gt;設定!$B$3,原始資料!S20=""),"",IF(AND(原始資料!R20&lt;&gt;"",原始資料!S20=原始資料!R20),N(P20)+1,1))</f>
        <v/>
      </c>
      <c r="R20" s="6">
        <f>IF(OR(原始資料!$A20="",17&gt;設定!$B$3,原始資料!T20=""),"",IF(AND(原始資料!S20&lt;&gt;"",原始資料!T20=原始資料!S20),N(Q20)+1,1))</f>
        <v/>
      </c>
      <c r="S20" s="6">
        <f>IF(OR(原始資料!$A20="",18&gt;設定!$B$3,原始資料!U20=""),"",IF(AND(原始資料!T20&lt;&gt;"",原始資料!U20=原始資料!T20),N(R20)+1,1))</f>
        <v/>
      </c>
      <c r="T20" s="6">
        <f>IF(OR(原始資料!$A20="",19&gt;設定!$B$3,原始資料!V20=""),"",IF(AND(原始資料!U20&lt;&gt;"",原始資料!V20=原始資料!U20),N(S20)+1,1))</f>
        <v/>
      </c>
      <c r="U20" s="6">
        <f>IF(OR(原始資料!$A20="",20&gt;設定!$B$3,原始資料!W20=""),"",IF(AND(原始資料!V20&lt;&gt;"",原始資料!W20=原始資料!V20),N(T20)+1,1))</f>
        <v/>
      </c>
      <c r="V20" s="6">
        <f>IF(OR(原始資料!$A20="",21&gt;設定!$B$3,原始資料!X20=""),"",IF(AND(原始資料!W20&lt;&gt;"",原始資料!X20=原始資料!W20),N(U20)+1,1))</f>
        <v/>
      </c>
      <c r="W20" s="6">
        <f>IF(OR(原始資料!$A20="",22&gt;設定!$B$3,原始資料!Y20=""),"",IF(AND(原始資料!X20&lt;&gt;"",原始資料!Y20=原始資料!X20),N(V20)+1,1))</f>
        <v/>
      </c>
      <c r="X20" s="6">
        <f>IF(OR(原始資料!$A20="",23&gt;設定!$B$3,原始資料!Z20=""),"",IF(AND(原始資料!Y20&lt;&gt;"",原始資料!Z20=原始資料!Y20),N(W20)+1,1))</f>
        <v/>
      </c>
      <c r="Y20" s="6">
        <f>IF(OR(原始資料!$A20="",24&gt;設定!$B$3,原始資料!AA20=""),"",IF(AND(原始資料!Z20&lt;&gt;"",原始資料!AA20=原始資料!Z20),N(X20)+1,1))</f>
        <v/>
      </c>
      <c r="Z20" s="6">
        <f>IF(OR(原始資料!$A20="",25&gt;設定!$B$3,原始資料!AB20=""),"",IF(AND(原始資料!AA20&lt;&gt;"",原始資料!AB20=原始資料!AA20),N(Y20)+1,1))</f>
        <v/>
      </c>
      <c r="AA20" s="6">
        <f>IF(OR(原始資料!$A20="",26&gt;設定!$B$3,原始資料!AC20=""),"",IF(AND(原始資料!AB20&lt;&gt;"",原始資料!AC20=原始資料!AB20),N(Z20)+1,1))</f>
        <v/>
      </c>
      <c r="AB20" s="6">
        <f>IF(OR(原始資料!$A20="",27&gt;設定!$B$3,原始資料!AD20=""),"",IF(AND(原始資料!AC20&lt;&gt;"",原始資料!AD20=原始資料!AC20),N(AA20)+1,1))</f>
        <v/>
      </c>
      <c r="AC20" s="6">
        <f>IF(OR(原始資料!$A20="",28&gt;設定!$B$3,原始資料!AE20=""),"",IF(AND(原始資料!AD20&lt;&gt;"",原始資料!AE20=原始資料!AD20),N(AB20)+1,1))</f>
        <v/>
      </c>
      <c r="AD20" s="6">
        <f>IF(OR(原始資料!$A20="",29&gt;設定!$B$3,原始資料!AF20=""),"",IF(AND(原始資料!AE20&lt;&gt;"",原始資料!AF20=原始資料!AE20),N(AC20)+1,1))</f>
        <v/>
      </c>
      <c r="AE20" s="6">
        <f>IF(OR(原始資料!$A20="",30&gt;設定!$B$3,原始資料!AG20=""),"",IF(AND(原始資料!AF20&lt;&gt;"",原始資料!AG20=原始資料!AF20),N(AD20)+1,1))</f>
        <v/>
      </c>
      <c r="AF20" s="6">
        <f>IF(OR(原始資料!$A20="",31&gt;設定!$B$3,原始資料!AH20=""),"",IF(AND(原始資料!AG20&lt;&gt;"",原始資料!AH20=原始資料!AG20),N(AE20)+1,1))</f>
        <v/>
      </c>
      <c r="AG20" s="6">
        <f>IF(OR(原始資料!$A20="",32&gt;設定!$B$3,原始資料!AI20=""),"",IF(AND(原始資料!AH20&lt;&gt;"",原始資料!AI20=原始資料!AH20),N(AF20)+1,1))</f>
        <v/>
      </c>
      <c r="AH20" s="6">
        <f>IF(OR(原始資料!$A20="",33&gt;設定!$B$3,原始資料!AJ20=""),"",IF(AND(原始資料!AI20&lt;&gt;"",原始資料!AJ20=原始資料!AI20),N(AG20)+1,1))</f>
        <v/>
      </c>
      <c r="AI20" s="6">
        <f>IF(OR(原始資料!$A20="",34&gt;設定!$B$3,原始資料!AK20=""),"",IF(AND(原始資料!AJ20&lt;&gt;"",原始資料!AK20=原始資料!AJ20),N(AH20)+1,1))</f>
        <v/>
      </c>
      <c r="AJ20" s="6">
        <f>IF(OR(原始資料!$A20="",35&gt;設定!$B$3,原始資料!AL20=""),"",IF(AND(原始資料!AK20&lt;&gt;"",原始資料!AL20=原始資料!AK20),N(AI20)+1,1))</f>
        <v/>
      </c>
      <c r="AK20" s="6">
        <f>IF(OR(原始資料!$A20="",36&gt;設定!$B$3,原始資料!AM20=""),"",IF(AND(原始資料!AL20&lt;&gt;"",原始資料!AM20=原始資料!AL20),N(AJ20)+1,1))</f>
        <v/>
      </c>
      <c r="AL20" s="6">
        <f>IF(OR(原始資料!$A20="",37&gt;設定!$B$3,原始資料!AN20=""),"",IF(AND(原始資料!AM20&lt;&gt;"",原始資料!AN20=原始資料!AM20),N(AK20)+1,1))</f>
        <v/>
      </c>
      <c r="AM20" s="6">
        <f>IF(OR(原始資料!$A20="",38&gt;設定!$B$3,原始資料!AO20=""),"",IF(AND(原始資料!AN20&lt;&gt;"",原始資料!AO20=原始資料!AN20),N(AL20)+1,1))</f>
        <v/>
      </c>
      <c r="AN20" s="6">
        <f>IF(OR(原始資料!$A20="",39&gt;設定!$B$3,原始資料!AP20=""),"",IF(AND(原始資料!AO20&lt;&gt;"",原始資料!AP20=原始資料!AO20),N(AM20)+1,1))</f>
        <v/>
      </c>
      <c r="AO20" s="6">
        <f>IF(OR(原始資料!$A20="",40&gt;設定!$B$3,原始資料!AQ20=""),"",IF(AND(原始資料!AP20&lt;&gt;"",原始資料!AQ20=原始資料!AP20),N(AN20)+1,1))</f>
        <v/>
      </c>
      <c r="AP20" s="6">
        <f>IF(OR(原始資料!$A20="",41&gt;設定!$B$3,原始資料!AR20=""),"",IF(AND(原始資料!AQ20&lt;&gt;"",原始資料!AR20=原始資料!AQ20),N(AO20)+1,1))</f>
        <v/>
      </c>
      <c r="AQ20" s="6">
        <f>IF(OR(原始資料!$A20="",42&gt;設定!$B$3,原始資料!AS20=""),"",IF(AND(原始資料!AR20&lt;&gt;"",原始資料!AS20=原始資料!AR20),N(AP20)+1,1))</f>
        <v/>
      </c>
      <c r="AR20" s="6">
        <f>IF(OR(原始資料!$A20="",43&gt;設定!$B$3,原始資料!AT20=""),"",IF(AND(原始資料!AS20&lt;&gt;"",原始資料!AT20=原始資料!AS20),N(AQ20)+1,1))</f>
        <v/>
      </c>
      <c r="AS20" s="6">
        <f>IF(OR(原始資料!$A20="",44&gt;設定!$B$3,原始資料!AU20=""),"",IF(AND(原始資料!AT20&lt;&gt;"",原始資料!AU20=原始資料!AT20),N(AR20)+1,1))</f>
        <v/>
      </c>
      <c r="AT20" s="6">
        <f>IF(OR(原始資料!$A20="",45&gt;設定!$B$3,原始資料!AV20=""),"",IF(AND(原始資料!AU20&lt;&gt;"",原始資料!AV20=原始資料!AU20),N(AS20)+1,1))</f>
        <v/>
      </c>
      <c r="AU20" s="6">
        <f>IF(OR(原始資料!$A20="",46&gt;設定!$B$3,原始資料!AW20=""),"",IF(AND(原始資料!AV20&lt;&gt;"",原始資料!AW20=原始資料!AV20),N(AT20)+1,1))</f>
        <v/>
      </c>
      <c r="AV20" s="6">
        <f>IF(OR(原始資料!$A20="",47&gt;設定!$B$3,原始資料!AX20=""),"",IF(AND(原始資料!AW20&lt;&gt;"",原始資料!AX20=原始資料!AW20),N(AU20)+1,1))</f>
        <v/>
      </c>
      <c r="AW20" s="6">
        <f>IF(OR(原始資料!$A20="",48&gt;設定!$B$3,原始資料!AY20=""),"",IF(AND(原始資料!AX20&lt;&gt;"",原始資料!AY20=原始資料!AX20),N(AV20)+1,1))</f>
        <v/>
      </c>
      <c r="AX20" s="6">
        <f>IF(OR(原始資料!$A20="",49&gt;設定!$B$3,原始資料!AZ20=""),"",IF(AND(原始資料!AY20&lt;&gt;"",原始資料!AZ20=原始資料!AY20),N(AW20)+1,1))</f>
        <v/>
      </c>
      <c r="AY20" s="6">
        <f>IF(OR(原始資料!$A20="",50&gt;設定!$B$3,原始資料!BA20=""),"",IF(AND(原始資料!AZ20&lt;&gt;"",原始資料!BA20=原始資料!AZ20),N(AX20)+1,1))</f>
        <v/>
      </c>
      <c r="AZ20" s="6">
        <f>IF(OR(原始資料!$A20="",51&gt;設定!$B$3,原始資料!BB20=""),"",IF(AND(原始資料!BA20&lt;&gt;"",原始資料!BB20=原始資料!BA20),N(AY20)+1,1))</f>
        <v/>
      </c>
      <c r="BA20" s="6">
        <f>IF(OR(原始資料!$A20="",52&gt;設定!$B$3,原始資料!BC20=""),"",IF(AND(原始資料!BB20&lt;&gt;"",原始資料!BC20=原始資料!BB20),N(AZ20)+1,1))</f>
        <v/>
      </c>
      <c r="BB20" s="6">
        <f>IF(OR(原始資料!$A20="",53&gt;設定!$B$3,原始資料!BD20=""),"",IF(AND(原始資料!BC20&lt;&gt;"",原始資料!BD20=原始資料!BC20),N(BA20)+1,1))</f>
        <v/>
      </c>
      <c r="BC20" s="6">
        <f>IF(OR(原始資料!$A20="",54&gt;設定!$B$3,原始資料!BE20=""),"",IF(AND(原始資料!BD20&lt;&gt;"",原始資料!BE20=原始資料!BD20),N(BB20)+1,1))</f>
        <v/>
      </c>
      <c r="BD20" s="6">
        <f>IF(OR(原始資料!$A20="",55&gt;設定!$B$3,原始資料!BF20=""),"",IF(AND(原始資料!BE20&lt;&gt;"",原始資料!BF20=原始資料!BE20),N(BC20)+1,1))</f>
        <v/>
      </c>
      <c r="BE20" s="6">
        <f>IF(OR(原始資料!$A20="",56&gt;設定!$B$3,原始資料!BG20=""),"",IF(AND(原始資料!BF20&lt;&gt;"",原始資料!BG20=原始資料!BF20),N(BD20)+1,1))</f>
        <v/>
      </c>
      <c r="BF20" s="6">
        <f>IF(OR(原始資料!$A20="",57&gt;設定!$B$3,原始資料!BH20=""),"",IF(AND(原始資料!BG20&lt;&gt;"",原始資料!BH20=原始資料!BG20),N(BE20)+1,1))</f>
        <v/>
      </c>
      <c r="BG20" s="6">
        <f>IF(OR(原始資料!$A20="",58&gt;設定!$B$3,原始資料!BI20=""),"",IF(AND(原始資料!BH20&lt;&gt;"",原始資料!BI20=原始資料!BH20),N(BF20)+1,1))</f>
        <v/>
      </c>
      <c r="BH20" s="6">
        <f>IF(OR(原始資料!$A20="",59&gt;設定!$B$3,原始資料!BJ20=""),"",IF(AND(原始資料!BI20&lt;&gt;"",原始資料!BJ20=原始資料!BI20),N(BG20)+1,1))</f>
        <v/>
      </c>
      <c r="BI20" s="6">
        <f>IF(OR(原始資料!$A20="",60&gt;設定!$B$3,原始資料!BK20=""),"",IF(AND(原始資料!BJ20&lt;&gt;"",原始資料!BK20=原始資料!BJ20),N(BH20)+1,1))</f>
        <v/>
      </c>
    </row>
    <row r="21">
      <c r="A21" s="6">
        <f>IF(原始資料!$A21="","",原始資料!$A21)</f>
        <v/>
      </c>
      <c r="B21" s="6">
        <f>IF(OR(原始資料!$A21="",1&gt;設定!$B$3,原始資料!D21=""),"",1)</f>
        <v/>
      </c>
      <c r="C21" s="6">
        <f>IF(OR(原始資料!$A21="",2&gt;設定!$B$3,原始資料!E21=""),"",IF(AND(原始資料!D21&lt;&gt;"",原始資料!E21=原始資料!D21),N(B21)+1,1))</f>
        <v/>
      </c>
      <c r="D21" s="6">
        <f>IF(OR(原始資料!$A21="",3&gt;設定!$B$3,原始資料!F21=""),"",IF(AND(原始資料!E21&lt;&gt;"",原始資料!F21=原始資料!E21),N(C21)+1,1))</f>
        <v/>
      </c>
      <c r="E21" s="6">
        <f>IF(OR(原始資料!$A21="",4&gt;設定!$B$3,原始資料!G21=""),"",IF(AND(原始資料!F21&lt;&gt;"",原始資料!G21=原始資料!F21),N(D21)+1,1))</f>
        <v/>
      </c>
      <c r="F21" s="6">
        <f>IF(OR(原始資料!$A21="",5&gt;設定!$B$3,原始資料!H21=""),"",IF(AND(原始資料!G21&lt;&gt;"",原始資料!H21=原始資料!G21),N(E21)+1,1))</f>
        <v/>
      </c>
      <c r="G21" s="6">
        <f>IF(OR(原始資料!$A21="",6&gt;設定!$B$3,原始資料!I21=""),"",IF(AND(原始資料!H21&lt;&gt;"",原始資料!I21=原始資料!H21),N(F21)+1,1))</f>
        <v/>
      </c>
      <c r="H21" s="6">
        <f>IF(OR(原始資料!$A21="",7&gt;設定!$B$3,原始資料!J21=""),"",IF(AND(原始資料!I21&lt;&gt;"",原始資料!J21=原始資料!I21),N(G21)+1,1))</f>
        <v/>
      </c>
      <c r="I21" s="6">
        <f>IF(OR(原始資料!$A21="",8&gt;設定!$B$3,原始資料!K21=""),"",IF(AND(原始資料!J21&lt;&gt;"",原始資料!K21=原始資料!J21),N(H21)+1,1))</f>
        <v/>
      </c>
      <c r="J21" s="6">
        <f>IF(OR(原始資料!$A21="",9&gt;設定!$B$3,原始資料!L21=""),"",IF(AND(原始資料!K21&lt;&gt;"",原始資料!L21=原始資料!K21),N(I21)+1,1))</f>
        <v/>
      </c>
      <c r="K21" s="6">
        <f>IF(OR(原始資料!$A21="",10&gt;設定!$B$3,原始資料!M21=""),"",IF(AND(原始資料!L21&lt;&gt;"",原始資料!M21=原始資料!L21),N(J21)+1,1))</f>
        <v/>
      </c>
      <c r="L21" s="6">
        <f>IF(OR(原始資料!$A21="",11&gt;設定!$B$3,原始資料!N21=""),"",IF(AND(原始資料!M21&lt;&gt;"",原始資料!N21=原始資料!M21),N(K21)+1,1))</f>
        <v/>
      </c>
      <c r="M21" s="6">
        <f>IF(OR(原始資料!$A21="",12&gt;設定!$B$3,原始資料!O21=""),"",IF(AND(原始資料!N21&lt;&gt;"",原始資料!O21=原始資料!N21),N(L21)+1,1))</f>
        <v/>
      </c>
      <c r="N21" s="6">
        <f>IF(OR(原始資料!$A21="",13&gt;設定!$B$3,原始資料!P21=""),"",IF(AND(原始資料!O21&lt;&gt;"",原始資料!P21=原始資料!O21),N(M21)+1,1))</f>
        <v/>
      </c>
      <c r="O21" s="6">
        <f>IF(OR(原始資料!$A21="",14&gt;設定!$B$3,原始資料!Q21=""),"",IF(AND(原始資料!P21&lt;&gt;"",原始資料!Q21=原始資料!P21),N(N21)+1,1))</f>
        <v/>
      </c>
      <c r="P21" s="6">
        <f>IF(OR(原始資料!$A21="",15&gt;設定!$B$3,原始資料!R21=""),"",IF(AND(原始資料!Q21&lt;&gt;"",原始資料!R21=原始資料!Q21),N(O21)+1,1))</f>
        <v/>
      </c>
      <c r="Q21" s="6">
        <f>IF(OR(原始資料!$A21="",16&gt;設定!$B$3,原始資料!S21=""),"",IF(AND(原始資料!R21&lt;&gt;"",原始資料!S21=原始資料!R21),N(P21)+1,1))</f>
        <v/>
      </c>
      <c r="R21" s="6">
        <f>IF(OR(原始資料!$A21="",17&gt;設定!$B$3,原始資料!T21=""),"",IF(AND(原始資料!S21&lt;&gt;"",原始資料!T21=原始資料!S21),N(Q21)+1,1))</f>
        <v/>
      </c>
      <c r="S21" s="6">
        <f>IF(OR(原始資料!$A21="",18&gt;設定!$B$3,原始資料!U21=""),"",IF(AND(原始資料!T21&lt;&gt;"",原始資料!U21=原始資料!T21),N(R21)+1,1))</f>
        <v/>
      </c>
      <c r="T21" s="6">
        <f>IF(OR(原始資料!$A21="",19&gt;設定!$B$3,原始資料!V21=""),"",IF(AND(原始資料!U21&lt;&gt;"",原始資料!V21=原始資料!U21),N(S21)+1,1))</f>
        <v/>
      </c>
      <c r="U21" s="6">
        <f>IF(OR(原始資料!$A21="",20&gt;設定!$B$3,原始資料!W21=""),"",IF(AND(原始資料!V21&lt;&gt;"",原始資料!W21=原始資料!V21),N(T21)+1,1))</f>
        <v/>
      </c>
      <c r="V21" s="6">
        <f>IF(OR(原始資料!$A21="",21&gt;設定!$B$3,原始資料!X21=""),"",IF(AND(原始資料!W21&lt;&gt;"",原始資料!X21=原始資料!W21),N(U21)+1,1))</f>
        <v/>
      </c>
      <c r="W21" s="6">
        <f>IF(OR(原始資料!$A21="",22&gt;設定!$B$3,原始資料!Y21=""),"",IF(AND(原始資料!X21&lt;&gt;"",原始資料!Y21=原始資料!X21),N(V21)+1,1))</f>
        <v/>
      </c>
      <c r="X21" s="6">
        <f>IF(OR(原始資料!$A21="",23&gt;設定!$B$3,原始資料!Z21=""),"",IF(AND(原始資料!Y21&lt;&gt;"",原始資料!Z21=原始資料!Y21),N(W21)+1,1))</f>
        <v/>
      </c>
      <c r="Y21" s="6">
        <f>IF(OR(原始資料!$A21="",24&gt;設定!$B$3,原始資料!AA21=""),"",IF(AND(原始資料!Z21&lt;&gt;"",原始資料!AA21=原始資料!Z21),N(X21)+1,1))</f>
        <v/>
      </c>
      <c r="Z21" s="6">
        <f>IF(OR(原始資料!$A21="",25&gt;設定!$B$3,原始資料!AB21=""),"",IF(AND(原始資料!AA21&lt;&gt;"",原始資料!AB21=原始資料!AA21),N(Y21)+1,1))</f>
        <v/>
      </c>
      <c r="AA21" s="6">
        <f>IF(OR(原始資料!$A21="",26&gt;設定!$B$3,原始資料!AC21=""),"",IF(AND(原始資料!AB21&lt;&gt;"",原始資料!AC21=原始資料!AB21),N(Z21)+1,1))</f>
        <v/>
      </c>
      <c r="AB21" s="6">
        <f>IF(OR(原始資料!$A21="",27&gt;設定!$B$3,原始資料!AD21=""),"",IF(AND(原始資料!AC21&lt;&gt;"",原始資料!AD21=原始資料!AC21),N(AA21)+1,1))</f>
        <v/>
      </c>
      <c r="AC21" s="6">
        <f>IF(OR(原始資料!$A21="",28&gt;設定!$B$3,原始資料!AE21=""),"",IF(AND(原始資料!AD21&lt;&gt;"",原始資料!AE21=原始資料!AD21),N(AB21)+1,1))</f>
        <v/>
      </c>
      <c r="AD21" s="6">
        <f>IF(OR(原始資料!$A21="",29&gt;設定!$B$3,原始資料!AF21=""),"",IF(AND(原始資料!AE21&lt;&gt;"",原始資料!AF21=原始資料!AE21),N(AC21)+1,1))</f>
        <v/>
      </c>
      <c r="AE21" s="6">
        <f>IF(OR(原始資料!$A21="",30&gt;設定!$B$3,原始資料!AG21=""),"",IF(AND(原始資料!AF21&lt;&gt;"",原始資料!AG21=原始資料!AF21),N(AD21)+1,1))</f>
        <v/>
      </c>
      <c r="AF21" s="6">
        <f>IF(OR(原始資料!$A21="",31&gt;設定!$B$3,原始資料!AH21=""),"",IF(AND(原始資料!AG21&lt;&gt;"",原始資料!AH21=原始資料!AG21),N(AE21)+1,1))</f>
        <v/>
      </c>
      <c r="AG21" s="6">
        <f>IF(OR(原始資料!$A21="",32&gt;設定!$B$3,原始資料!AI21=""),"",IF(AND(原始資料!AH21&lt;&gt;"",原始資料!AI21=原始資料!AH21),N(AF21)+1,1))</f>
        <v/>
      </c>
      <c r="AH21" s="6">
        <f>IF(OR(原始資料!$A21="",33&gt;設定!$B$3,原始資料!AJ21=""),"",IF(AND(原始資料!AI21&lt;&gt;"",原始資料!AJ21=原始資料!AI21),N(AG21)+1,1))</f>
        <v/>
      </c>
      <c r="AI21" s="6">
        <f>IF(OR(原始資料!$A21="",34&gt;設定!$B$3,原始資料!AK21=""),"",IF(AND(原始資料!AJ21&lt;&gt;"",原始資料!AK21=原始資料!AJ21),N(AH21)+1,1))</f>
        <v/>
      </c>
      <c r="AJ21" s="6">
        <f>IF(OR(原始資料!$A21="",35&gt;設定!$B$3,原始資料!AL21=""),"",IF(AND(原始資料!AK21&lt;&gt;"",原始資料!AL21=原始資料!AK21),N(AI21)+1,1))</f>
        <v/>
      </c>
      <c r="AK21" s="6">
        <f>IF(OR(原始資料!$A21="",36&gt;設定!$B$3,原始資料!AM21=""),"",IF(AND(原始資料!AL21&lt;&gt;"",原始資料!AM21=原始資料!AL21),N(AJ21)+1,1))</f>
        <v/>
      </c>
      <c r="AL21" s="6">
        <f>IF(OR(原始資料!$A21="",37&gt;設定!$B$3,原始資料!AN21=""),"",IF(AND(原始資料!AM21&lt;&gt;"",原始資料!AN21=原始資料!AM21),N(AK21)+1,1))</f>
        <v/>
      </c>
      <c r="AM21" s="6">
        <f>IF(OR(原始資料!$A21="",38&gt;設定!$B$3,原始資料!AO21=""),"",IF(AND(原始資料!AN21&lt;&gt;"",原始資料!AO21=原始資料!AN21),N(AL21)+1,1))</f>
        <v/>
      </c>
      <c r="AN21" s="6">
        <f>IF(OR(原始資料!$A21="",39&gt;設定!$B$3,原始資料!AP21=""),"",IF(AND(原始資料!AO21&lt;&gt;"",原始資料!AP21=原始資料!AO21),N(AM21)+1,1))</f>
        <v/>
      </c>
      <c r="AO21" s="6">
        <f>IF(OR(原始資料!$A21="",40&gt;設定!$B$3,原始資料!AQ21=""),"",IF(AND(原始資料!AP21&lt;&gt;"",原始資料!AQ21=原始資料!AP21),N(AN21)+1,1))</f>
        <v/>
      </c>
      <c r="AP21" s="6">
        <f>IF(OR(原始資料!$A21="",41&gt;設定!$B$3,原始資料!AR21=""),"",IF(AND(原始資料!AQ21&lt;&gt;"",原始資料!AR21=原始資料!AQ21),N(AO21)+1,1))</f>
        <v/>
      </c>
      <c r="AQ21" s="6">
        <f>IF(OR(原始資料!$A21="",42&gt;設定!$B$3,原始資料!AS21=""),"",IF(AND(原始資料!AR21&lt;&gt;"",原始資料!AS21=原始資料!AR21),N(AP21)+1,1))</f>
        <v/>
      </c>
      <c r="AR21" s="6">
        <f>IF(OR(原始資料!$A21="",43&gt;設定!$B$3,原始資料!AT21=""),"",IF(AND(原始資料!AS21&lt;&gt;"",原始資料!AT21=原始資料!AS21),N(AQ21)+1,1))</f>
        <v/>
      </c>
      <c r="AS21" s="6">
        <f>IF(OR(原始資料!$A21="",44&gt;設定!$B$3,原始資料!AU21=""),"",IF(AND(原始資料!AT21&lt;&gt;"",原始資料!AU21=原始資料!AT21),N(AR21)+1,1))</f>
        <v/>
      </c>
      <c r="AT21" s="6">
        <f>IF(OR(原始資料!$A21="",45&gt;設定!$B$3,原始資料!AV21=""),"",IF(AND(原始資料!AU21&lt;&gt;"",原始資料!AV21=原始資料!AU21),N(AS21)+1,1))</f>
        <v/>
      </c>
      <c r="AU21" s="6">
        <f>IF(OR(原始資料!$A21="",46&gt;設定!$B$3,原始資料!AW21=""),"",IF(AND(原始資料!AV21&lt;&gt;"",原始資料!AW21=原始資料!AV21),N(AT21)+1,1))</f>
        <v/>
      </c>
      <c r="AV21" s="6">
        <f>IF(OR(原始資料!$A21="",47&gt;設定!$B$3,原始資料!AX21=""),"",IF(AND(原始資料!AW21&lt;&gt;"",原始資料!AX21=原始資料!AW21),N(AU21)+1,1))</f>
        <v/>
      </c>
      <c r="AW21" s="6">
        <f>IF(OR(原始資料!$A21="",48&gt;設定!$B$3,原始資料!AY21=""),"",IF(AND(原始資料!AX21&lt;&gt;"",原始資料!AY21=原始資料!AX21),N(AV21)+1,1))</f>
        <v/>
      </c>
      <c r="AX21" s="6">
        <f>IF(OR(原始資料!$A21="",49&gt;設定!$B$3,原始資料!AZ21=""),"",IF(AND(原始資料!AY21&lt;&gt;"",原始資料!AZ21=原始資料!AY21),N(AW21)+1,1))</f>
        <v/>
      </c>
      <c r="AY21" s="6">
        <f>IF(OR(原始資料!$A21="",50&gt;設定!$B$3,原始資料!BA21=""),"",IF(AND(原始資料!AZ21&lt;&gt;"",原始資料!BA21=原始資料!AZ21),N(AX21)+1,1))</f>
        <v/>
      </c>
      <c r="AZ21" s="6">
        <f>IF(OR(原始資料!$A21="",51&gt;設定!$B$3,原始資料!BB21=""),"",IF(AND(原始資料!BA21&lt;&gt;"",原始資料!BB21=原始資料!BA21),N(AY21)+1,1))</f>
        <v/>
      </c>
      <c r="BA21" s="6">
        <f>IF(OR(原始資料!$A21="",52&gt;設定!$B$3,原始資料!BC21=""),"",IF(AND(原始資料!BB21&lt;&gt;"",原始資料!BC21=原始資料!BB21),N(AZ21)+1,1))</f>
        <v/>
      </c>
      <c r="BB21" s="6">
        <f>IF(OR(原始資料!$A21="",53&gt;設定!$B$3,原始資料!BD21=""),"",IF(AND(原始資料!BC21&lt;&gt;"",原始資料!BD21=原始資料!BC21),N(BA21)+1,1))</f>
        <v/>
      </c>
      <c r="BC21" s="6">
        <f>IF(OR(原始資料!$A21="",54&gt;設定!$B$3,原始資料!BE21=""),"",IF(AND(原始資料!BD21&lt;&gt;"",原始資料!BE21=原始資料!BD21),N(BB21)+1,1))</f>
        <v/>
      </c>
      <c r="BD21" s="6">
        <f>IF(OR(原始資料!$A21="",55&gt;設定!$B$3,原始資料!BF21=""),"",IF(AND(原始資料!BE21&lt;&gt;"",原始資料!BF21=原始資料!BE21),N(BC21)+1,1))</f>
        <v/>
      </c>
      <c r="BE21" s="6">
        <f>IF(OR(原始資料!$A21="",56&gt;設定!$B$3,原始資料!BG21=""),"",IF(AND(原始資料!BF21&lt;&gt;"",原始資料!BG21=原始資料!BF21),N(BD21)+1,1))</f>
        <v/>
      </c>
      <c r="BF21" s="6">
        <f>IF(OR(原始資料!$A21="",57&gt;設定!$B$3,原始資料!BH21=""),"",IF(AND(原始資料!BG21&lt;&gt;"",原始資料!BH21=原始資料!BG21),N(BE21)+1,1))</f>
        <v/>
      </c>
      <c r="BG21" s="6">
        <f>IF(OR(原始資料!$A21="",58&gt;設定!$B$3,原始資料!BI21=""),"",IF(AND(原始資料!BH21&lt;&gt;"",原始資料!BI21=原始資料!BH21),N(BF21)+1,1))</f>
        <v/>
      </c>
      <c r="BH21" s="6">
        <f>IF(OR(原始資料!$A21="",59&gt;設定!$B$3,原始資料!BJ21=""),"",IF(AND(原始資料!BI21&lt;&gt;"",原始資料!BJ21=原始資料!BI21),N(BG21)+1,1))</f>
        <v/>
      </c>
      <c r="BI21" s="6">
        <f>IF(OR(原始資料!$A21="",60&gt;設定!$B$3,原始資料!BK21=""),"",IF(AND(原始資料!BJ21&lt;&gt;"",原始資料!BK21=原始資料!BJ21),N(BH21)+1,1))</f>
        <v/>
      </c>
    </row>
    <row r="22">
      <c r="A22" s="6">
        <f>IF(原始資料!$A22="","",原始資料!$A22)</f>
        <v/>
      </c>
      <c r="B22" s="6">
        <f>IF(OR(原始資料!$A22="",1&gt;設定!$B$3,原始資料!D22=""),"",1)</f>
        <v/>
      </c>
      <c r="C22" s="6">
        <f>IF(OR(原始資料!$A22="",2&gt;設定!$B$3,原始資料!E22=""),"",IF(AND(原始資料!D22&lt;&gt;"",原始資料!E22=原始資料!D22),N(B22)+1,1))</f>
        <v/>
      </c>
      <c r="D22" s="6">
        <f>IF(OR(原始資料!$A22="",3&gt;設定!$B$3,原始資料!F22=""),"",IF(AND(原始資料!E22&lt;&gt;"",原始資料!F22=原始資料!E22),N(C22)+1,1))</f>
        <v/>
      </c>
      <c r="E22" s="6">
        <f>IF(OR(原始資料!$A22="",4&gt;設定!$B$3,原始資料!G22=""),"",IF(AND(原始資料!F22&lt;&gt;"",原始資料!G22=原始資料!F22),N(D22)+1,1))</f>
        <v/>
      </c>
      <c r="F22" s="6">
        <f>IF(OR(原始資料!$A22="",5&gt;設定!$B$3,原始資料!H22=""),"",IF(AND(原始資料!G22&lt;&gt;"",原始資料!H22=原始資料!G22),N(E22)+1,1))</f>
        <v/>
      </c>
      <c r="G22" s="6">
        <f>IF(OR(原始資料!$A22="",6&gt;設定!$B$3,原始資料!I22=""),"",IF(AND(原始資料!H22&lt;&gt;"",原始資料!I22=原始資料!H22),N(F22)+1,1))</f>
        <v/>
      </c>
      <c r="H22" s="6">
        <f>IF(OR(原始資料!$A22="",7&gt;設定!$B$3,原始資料!J22=""),"",IF(AND(原始資料!I22&lt;&gt;"",原始資料!J22=原始資料!I22),N(G22)+1,1))</f>
        <v/>
      </c>
      <c r="I22" s="6">
        <f>IF(OR(原始資料!$A22="",8&gt;設定!$B$3,原始資料!K22=""),"",IF(AND(原始資料!J22&lt;&gt;"",原始資料!K22=原始資料!J22),N(H22)+1,1))</f>
        <v/>
      </c>
      <c r="J22" s="6">
        <f>IF(OR(原始資料!$A22="",9&gt;設定!$B$3,原始資料!L22=""),"",IF(AND(原始資料!K22&lt;&gt;"",原始資料!L22=原始資料!K22),N(I22)+1,1))</f>
        <v/>
      </c>
      <c r="K22" s="6">
        <f>IF(OR(原始資料!$A22="",10&gt;設定!$B$3,原始資料!M22=""),"",IF(AND(原始資料!L22&lt;&gt;"",原始資料!M22=原始資料!L22),N(J22)+1,1))</f>
        <v/>
      </c>
      <c r="L22" s="6">
        <f>IF(OR(原始資料!$A22="",11&gt;設定!$B$3,原始資料!N22=""),"",IF(AND(原始資料!M22&lt;&gt;"",原始資料!N22=原始資料!M22),N(K22)+1,1))</f>
        <v/>
      </c>
      <c r="M22" s="6">
        <f>IF(OR(原始資料!$A22="",12&gt;設定!$B$3,原始資料!O22=""),"",IF(AND(原始資料!N22&lt;&gt;"",原始資料!O22=原始資料!N22),N(L22)+1,1))</f>
        <v/>
      </c>
      <c r="N22" s="6">
        <f>IF(OR(原始資料!$A22="",13&gt;設定!$B$3,原始資料!P22=""),"",IF(AND(原始資料!O22&lt;&gt;"",原始資料!P22=原始資料!O22),N(M22)+1,1))</f>
        <v/>
      </c>
      <c r="O22" s="6">
        <f>IF(OR(原始資料!$A22="",14&gt;設定!$B$3,原始資料!Q22=""),"",IF(AND(原始資料!P22&lt;&gt;"",原始資料!Q22=原始資料!P22),N(N22)+1,1))</f>
        <v/>
      </c>
      <c r="P22" s="6">
        <f>IF(OR(原始資料!$A22="",15&gt;設定!$B$3,原始資料!R22=""),"",IF(AND(原始資料!Q22&lt;&gt;"",原始資料!R22=原始資料!Q22),N(O22)+1,1))</f>
        <v/>
      </c>
      <c r="Q22" s="6">
        <f>IF(OR(原始資料!$A22="",16&gt;設定!$B$3,原始資料!S22=""),"",IF(AND(原始資料!R22&lt;&gt;"",原始資料!S22=原始資料!R22),N(P22)+1,1))</f>
        <v/>
      </c>
      <c r="R22" s="6">
        <f>IF(OR(原始資料!$A22="",17&gt;設定!$B$3,原始資料!T22=""),"",IF(AND(原始資料!S22&lt;&gt;"",原始資料!T22=原始資料!S22),N(Q22)+1,1))</f>
        <v/>
      </c>
      <c r="S22" s="6">
        <f>IF(OR(原始資料!$A22="",18&gt;設定!$B$3,原始資料!U22=""),"",IF(AND(原始資料!T22&lt;&gt;"",原始資料!U22=原始資料!T22),N(R22)+1,1))</f>
        <v/>
      </c>
      <c r="T22" s="6">
        <f>IF(OR(原始資料!$A22="",19&gt;設定!$B$3,原始資料!V22=""),"",IF(AND(原始資料!U22&lt;&gt;"",原始資料!V22=原始資料!U22),N(S22)+1,1))</f>
        <v/>
      </c>
      <c r="U22" s="6">
        <f>IF(OR(原始資料!$A22="",20&gt;設定!$B$3,原始資料!W22=""),"",IF(AND(原始資料!V22&lt;&gt;"",原始資料!W22=原始資料!V22),N(T22)+1,1))</f>
        <v/>
      </c>
      <c r="V22" s="6">
        <f>IF(OR(原始資料!$A22="",21&gt;設定!$B$3,原始資料!X22=""),"",IF(AND(原始資料!W22&lt;&gt;"",原始資料!X22=原始資料!W22),N(U22)+1,1))</f>
        <v/>
      </c>
      <c r="W22" s="6">
        <f>IF(OR(原始資料!$A22="",22&gt;設定!$B$3,原始資料!Y22=""),"",IF(AND(原始資料!X22&lt;&gt;"",原始資料!Y22=原始資料!X22),N(V22)+1,1))</f>
        <v/>
      </c>
      <c r="X22" s="6">
        <f>IF(OR(原始資料!$A22="",23&gt;設定!$B$3,原始資料!Z22=""),"",IF(AND(原始資料!Y22&lt;&gt;"",原始資料!Z22=原始資料!Y22),N(W22)+1,1))</f>
        <v/>
      </c>
      <c r="Y22" s="6">
        <f>IF(OR(原始資料!$A22="",24&gt;設定!$B$3,原始資料!AA22=""),"",IF(AND(原始資料!Z22&lt;&gt;"",原始資料!AA22=原始資料!Z22),N(X22)+1,1))</f>
        <v/>
      </c>
      <c r="Z22" s="6">
        <f>IF(OR(原始資料!$A22="",25&gt;設定!$B$3,原始資料!AB22=""),"",IF(AND(原始資料!AA22&lt;&gt;"",原始資料!AB22=原始資料!AA22),N(Y22)+1,1))</f>
        <v/>
      </c>
      <c r="AA22" s="6">
        <f>IF(OR(原始資料!$A22="",26&gt;設定!$B$3,原始資料!AC22=""),"",IF(AND(原始資料!AB22&lt;&gt;"",原始資料!AC22=原始資料!AB22),N(Z22)+1,1))</f>
        <v/>
      </c>
      <c r="AB22" s="6">
        <f>IF(OR(原始資料!$A22="",27&gt;設定!$B$3,原始資料!AD22=""),"",IF(AND(原始資料!AC22&lt;&gt;"",原始資料!AD22=原始資料!AC22),N(AA22)+1,1))</f>
        <v/>
      </c>
      <c r="AC22" s="6">
        <f>IF(OR(原始資料!$A22="",28&gt;設定!$B$3,原始資料!AE22=""),"",IF(AND(原始資料!AD22&lt;&gt;"",原始資料!AE22=原始資料!AD22),N(AB22)+1,1))</f>
        <v/>
      </c>
      <c r="AD22" s="6">
        <f>IF(OR(原始資料!$A22="",29&gt;設定!$B$3,原始資料!AF22=""),"",IF(AND(原始資料!AE22&lt;&gt;"",原始資料!AF22=原始資料!AE22),N(AC22)+1,1))</f>
        <v/>
      </c>
      <c r="AE22" s="6">
        <f>IF(OR(原始資料!$A22="",30&gt;設定!$B$3,原始資料!AG22=""),"",IF(AND(原始資料!AF22&lt;&gt;"",原始資料!AG22=原始資料!AF22),N(AD22)+1,1))</f>
        <v/>
      </c>
      <c r="AF22" s="6">
        <f>IF(OR(原始資料!$A22="",31&gt;設定!$B$3,原始資料!AH22=""),"",IF(AND(原始資料!AG22&lt;&gt;"",原始資料!AH22=原始資料!AG22),N(AE22)+1,1))</f>
        <v/>
      </c>
      <c r="AG22" s="6">
        <f>IF(OR(原始資料!$A22="",32&gt;設定!$B$3,原始資料!AI22=""),"",IF(AND(原始資料!AH22&lt;&gt;"",原始資料!AI22=原始資料!AH22),N(AF22)+1,1))</f>
        <v/>
      </c>
      <c r="AH22" s="6">
        <f>IF(OR(原始資料!$A22="",33&gt;設定!$B$3,原始資料!AJ22=""),"",IF(AND(原始資料!AI22&lt;&gt;"",原始資料!AJ22=原始資料!AI22),N(AG22)+1,1))</f>
        <v/>
      </c>
      <c r="AI22" s="6">
        <f>IF(OR(原始資料!$A22="",34&gt;設定!$B$3,原始資料!AK22=""),"",IF(AND(原始資料!AJ22&lt;&gt;"",原始資料!AK22=原始資料!AJ22),N(AH22)+1,1))</f>
        <v/>
      </c>
      <c r="AJ22" s="6">
        <f>IF(OR(原始資料!$A22="",35&gt;設定!$B$3,原始資料!AL22=""),"",IF(AND(原始資料!AK22&lt;&gt;"",原始資料!AL22=原始資料!AK22),N(AI22)+1,1))</f>
        <v/>
      </c>
      <c r="AK22" s="6">
        <f>IF(OR(原始資料!$A22="",36&gt;設定!$B$3,原始資料!AM22=""),"",IF(AND(原始資料!AL22&lt;&gt;"",原始資料!AM22=原始資料!AL22),N(AJ22)+1,1))</f>
        <v/>
      </c>
      <c r="AL22" s="6">
        <f>IF(OR(原始資料!$A22="",37&gt;設定!$B$3,原始資料!AN22=""),"",IF(AND(原始資料!AM22&lt;&gt;"",原始資料!AN22=原始資料!AM22),N(AK22)+1,1))</f>
        <v/>
      </c>
      <c r="AM22" s="6">
        <f>IF(OR(原始資料!$A22="",38&gt;設定!$B$3,原始資料!AO22=""),"",IF(AND(原始資料!AN22&lt;&gt;"",原始資料!AO22=原始資料!AN22),N(AL22)+1,1))</f>
        <v/>
      </c>
      <c r="AN22" s="6">
        <f>IF(OR(原始資料!$A22="",39&gt;設定!$B$3,原始資料!AP22=""),"",IF(AND(原始資料!AO22&lt;&gt;"",原始資料!AP22=原始資料!AO22),N(AM22)+1,1))</f>
        <v/>
      </c>
      <c r="AO22" s="6">
        <f>IF(OR(原始資料!$A22="",40&gt;設定!$B$3,原始資料!AQ22=""),"",IF(AND(原始資料!AP22&lt;&gt;"",原始資料!AQ22=原始資料!AP22),N(AN22)+1,1))</f>
        <v/>
      </c>
      <c r="AP22" s="6">
        <f>IF(OR(原始資料!$A22="",41&gt;設定!$B$3,原始資料!AR22=""),"",IF(AND(原始資料!AQ22&lt;&gt;"",原始資料!AR22=原始資料!AQ22),N(AO22)+1,1))</f>
        <v/>
      </c>
      <c r="AQ22" s="6">
        <f>IF(OR(原始資料!$A22="",42&gt;設定!$B$3,原始資料!AS22=""),"",IF(AND(原始資料!AR22&lt;&gt;"",原始資料!AS22=原始資料!AR22),N(AP22)+1,1))</f>
        <v/>
      </c>
      <c r="AR22" s="6">
        <f>IF(OR(原始資料!$A22="",43&gt;設定!$B$3,原始資料!AT22=""),"",IF(AND(原始資料!AS22&lt;&gt;"",原始資料!AT22=原始資料!AS22),N(AQ22)+1,1))</f>
        <v/>
      </c>
      <c r="AS22" s="6">
        <f>IF(OR(原始資料!$A22="",44&gt;設定!$B$3,原始資料!AU22=""),"",IF(AND(原始資料!AT22&lt;&gt;"",原始資料!AU22=原始資料!AT22),N(AR22)+1,1))</f>
        <v/>
      </c>
      <c r="AT22" s="6">
        <f>IF(OR(原始資料!$A22="",45&gt;設定!$B$3,原始資料!AV22=""),"",IF(AND(原始資料!AU22&lt;&gt;"",原始資料!AV22=原始資料!AU22),N(AS22)+1,1))</f>
        <v/>
      </c>
      <c r="AU22" s="6">
        <f>IF(OR(原始資料!$A22="",46&gt;設定!$B$3,原始資料!AW22=""),"",IF(AND(原始資料!AV22&lt;&gt;"",原始資料!AW22=原始資料!AV22),N(AT22)+1,1))</f>
        <v/>
      </c>
      <c r="AV22" s="6">
        <f>IF(OR(原始資料!$A22="",47&gt;設定!$B$3,原始資料!AX22=""),"",IF(AND(原始資料!AW22&lt;&gt;"",原始資料!AX22=原始資料!AW22),N(AU22)+1,1))</f>
        <v/>
      </c>
      <c r="AW22" s="6">
        <f>IF(OR(原始資料!$A22="",48&gt;設定!$B$3,原始資料!AY22=""),"",IF(AND(原始資料!AX22&lt;&gt;"",原始資料!AY22=原始資料!AX22),N(AV22)+1,1))</f>
        <v/>
      </c>
      <c r="AX22" s="6">
        <f>IF(OR(原始資料!$A22="",49&gt;設定!$B$3,原始資料!AZ22=""),"",IF(AND(原始資料!AY22&lt;&gt;"",原始資料!AZ22=原始資料!AY22),N(AW22)+1,1))</f>
        <v/>
      </c>
      <c r="AY22" s="6">
        <f>IF(OR(原始資料!$A22="",50&gt;設定!$B$3,原始資料!BA22=""),"",IF(AND(原始資料!AZ22&lt;&gt;"",原始資料!BA22=原始資料!AZ22),N(AX22)+1,1))</f>
        <v/>
      </c>
      <c r="AZ22" s="6">
        <f>IF(OR(原始資料!$A22="",51&gt;設定!$B$3,原始資料!BB22=""),"",IF(AND(原始資料!BA22&lt;&gt;"",原始資料!BB22=原始資料!BA22),N(AY22)+1,1))</f>
        <v/>
      </c>
      <c r="BA22" s="6">
        <f>IF(OR(原始資料!$A22="",52&gt;設定!$B$3,原始資料!BC22=""),"",IF(AND(原始資料!BB22&lt;&gt;"",原始資料!BC22=原始資料!BB22),N(AZ22)+1,1))</f>
        <v/>
      </c>
      <c r="BB22" s="6">
        <f>IF(OR(原始資料!$A22="",53&gt;設定!$B$3,原始資料!BD22=""),"",IF(AND(原始資料!BC22&lt;&gt;"",原始資料!BD22=原始資料!BC22),N(BA22)+1,1))</f>
        <v/>
      </c>
      <c r="BC22" s="6">
        <f>IF(OR(原始資料!$A22="",54&gt;設定!$B$3,原始資料!BE22=""),"",IF(AND(原始資料!BD22&lt;&gt;"",原始資料!BE22=原始資料!BD22),N(BB22)+1,1))</f>
        <v/>
      </c>
      <c r="BD22" s="6">
        <f>IF(OR(原始資料!$A22="",55&gt;設定!$B$3,原始資料!BF22=""),"",IF(AND(原始資料!BE22&lt;&gt;"",原始資料!BF22=原始資料!BE22),N(BC22)+1,1))</f>
        <v/>
      </c>
      <c r="BE22" s="6">
        <f>IF(OR(原始資料!$A22="",56&gt;設定!$B$3,原始資料!BG22=""),"",IF(AND(原始資料!BF22&lt;&gt;"",原始資料!BG22=原始資料!BF22),N(BD22)+1,1))</f>
        <v/>
      </c>
      <c r="BF22" s="6">
        <f>IF(OR(原始資料!$A22="",57&gt;設定!$B$3,原始資料!BH22=""),"",IF(AND(原始資料!BG22&lt;&gt;"",原始資料!BH22=原始資料!BG22),N(BE22)+1,1))</f>
        <v/>
      </c>
      <c r="BG22" s="6">
        <f>IF(OR(原始資料!$A22="",58&gt;設定!$B$3,原始資料!BI22=""),"",IF(AND(原始資料!BH22&lt;&gt;"",原始資料!BI22=原始資料!BH22),N(BF22)+1,1))</f>
        <v/>
      </c>
      <c r="BH22" s="6">
        <f>IF(OR(原始資料!$A22="",59&gt;設定!$B$3,原始資料!BJ22=""),"",IF(AND(原始資料!BI22&lt;&gt;"",原始資料!BJ22=原始資料!BI22),N(BG22)+1,1))</f>
        <v/>
      </c>
      <c r="BI22" s="6">
        <f>IF(OR(原始資料!$A22="",60&gt;設定!$B$3,原始資料!BK22=""),"",IF(AND(原始資料!BJ22&lt;&gt;"",原始資料!BK22=原始資料!BJ22),N(BH22)+1,1))</f>
        <v/>
      </c>
    </row>
    <row r="23">
      <c r="A23" s="6">
        <f>IF(原始資料!$A23="","",原始資料!$A23)</f>
        <v/>
      </c>
      <c r="B23" s="6">
        <f>IF(OR(原始資料!$A23="",1&gt;設定!$B$3,原始資料!D23=""),"",1)</f>
        <v/>
      </c>
      <c r="C23" s="6">
        <f>IF(OR(原始資料!$A23="",2&gt;設定!$B$3,原始資料!E23=""),"",IF(AND(原始資料!D23&lt;&gt;"",原始資料!E23=原始資料!D23),N(B23)+1,1))</f>
        <v/>
      </c>
      <c r="D23" s="6">
        <f>IF(OR(原始資料!$A23="",3&gt;設定!$B$3,原始資料!F23=""),"",IF(AND(原始資料!E23&lt;&gt;"",原始資料!F23=原始資料!E23),N(C23)+1,1))</f>
        <v/>
      </c>
      <c r="E23" s="6">
        <f>IF(OR(原始資料!$A23="",4&gt;設定!$B$3,原始資料!G23=""),"",IF(AND(原始資料!F23&lt;&gt;"",原始資料!G23=原始資料!F23),N(D23)+1,1))</f>
        <v/>
      </c>
      <c r="F23" s="6">
        <f>IF(OR(原始資料!$A23="",5&gt;設定!$B$3,原始資料!H23=""),"",IF(AND(原始資料!G23&lt;&gt;"",原始資料!H23=原始資料!G23),N(E23)+1,1))</f>
        <v/>
      </c>
      <c r="G23" s="6">
        <f>IF(OR(原始資料!$A23="",6&gt;設定!$B$3,原始資料!I23=""),"",IF(AND(原始資料!H23&lt;&gt;"",原始資料!I23=原始資料!H23),N(F23)+1,1))</f>
        <v/>
      </c>
      <c r="H23" s="6">
        <f>IF(OR(原始資料!$A23="",7&gt;設定!$B$3,原始資料!J23=""),"",IF(AND(原始資料!I23&lt;&gt;"",原始資料!J23=原始資料!I23),N(G23)+1,1))</f>
        <v/>
      </c>
      <c r="I23" s="6">
        <f>IF(OR(原始資料!$A23="",8&gt;設定!$B$3,原始資料!K23=""),"",IF(AND(原始資料!J23&lt;&gt;"",原始資料!K23=原始資料!J23),N(H23)+1,1))</f>
        <v/>
      </c>
      <c r="J23" s="6">
        <f>IF(OR(原始資料!$A23="",9&gt;設定!$B$3,原始資料!L23=""),"",IF(AND(原始資料!K23&lt;&gt;"",原始資料!L23=原始資料!K23),N(I23)+1,1))</f>
        <v/>
      </c>
      <c r="K23" s="6">
        <f>IF(OR(原始資料!$A23="",10&gt;設定!$B$3,原始資料!M23=""),"",IF(AND(原始資料!L23&lt;&gt;"",原始資料!M23=原始資料!L23),N(J23)+1,1))</f>
        <v/>
      </c>
      <c r="L23" s="6">
        <f>IF(OR(原始資料!$A23="",11&gt;設定!$B$3,原始資料!N23=""),"",IF(AND(原始資料!M23&lt;&gt;"",原始資料!N23=原始資料!M23),N(K23)+1,1))</f>
        <v/>
      </c>
      <c r="M23" s="6">
        <f>IF(OR(原始資料!$A23="",12&gt;設定!$B$3,原始資料!O23=""),"",IF(AND(原始資料!N23&lt;&gt;"",原始資料!O23=原始資料!N23),N(L23)+1,1))</f>
        <v/>
      </c>
      <c r="N23" s="6">
        <f>IF(OR(原始資料!$A23="",13&gt;設定!$B$3,原始資料!P23=""),"",IF(AND(原始資料!O23&lt;&gt;"",原始資料!P23=原始資料!O23),N(M23)+1,1))</f>
        <v/>
      </c>
      <c r="O23" s="6">
        <f>IF(OR(原始資料!$A23="",14&gt;設定!$B$3,原始資料!Q23=""),"",IF(AND(原始資料!P23&lt;&gt;"",原始資料!Q23=原始資料!P23),N(N23)+1,1))</f>
        <v/>
      </c>
      <c r="P23" s="6">
        <f>IF(OR(原始資料!$A23="",15&gt;設定!$B$3,原始資料!R23=""),"",IF(AND(原始資料!Q23&lt;&gt;"",原始資料!R23=原始資料!Q23),N(O23)+1,1))</f>
        <v/>
      </c>
      <c r="Q23" s="6">
        <f>IF(OR(原始資料!$A23="",16&gt;設定!$B$3,原始資料!S23=""),"",IF(AND(原始資料!R23&lt;&gt;"",原始資料!S23=原始資料!R23),N(P23)+1,1))</f>
        <v/>
      </c>
      <c r="R23" s="6">
        <f>IF(OR(原始資料!$A23="",17&gt;設定!$B$3,原始資料!T23=""),"",IF(AND(原始資料!S23&lt;&gt;"",原始資料!T23=原始資料!S23),N(Q23)+1,1))</f>
        <v/>
      </c>
      <c r="S23" s="6">
        <f>IF(OR(原始資料!$A23="",18&gt;設定!$B$3,原始資料!U23=""),"",IF(AND(原始資料!T23&lt;&gt;"",原始資料!U23=原始資料!T23),N(R23)+1,1))</f>
        <v/>
      </c>
      <c r="T23" s="6">
        <f>IF(OR(原始資料!$A23="",19&gt;設定!$B$3,原始資料!V23=""),"",IF(AND(原始資料!U23&lt;&gt;"",原始資料!V23=原始資料!U23),N(S23)+1,1))</f>
        <v/>
      </c>
      <c r="U23" s="6">
        <f>IF(OR(原始資料!$A23="",20&gt;設定!$B$3,原始資料!W23=""),"",IF(AND(原始資料!V23&lt;&gt;"",原始資料!W23=原始資料!V23),N(T23)+1,1))</f>
        <v/>
      </c>
      <c r="V23" s="6">
        <f>IF(OR(原始資料!$A23="",21&gt;設定!$B$3,原始資料!X23=""),"",IF(AND(原始資料!W23&lt;&gt;"",原始資料!X23=原始資料!W23),N(U23)+1,1))</f>
        <v/>
      </c>
      <c r="W23" s="6">
        <f>IF(OR(原始資料!$A23="",22&gt;設定!$B$3,原始資料!Y23=""),"",IF(AND(原始資料!X23&lt;&gt;"",原始資料!Y23=原始資料!X23),N(V23)+1,1))</f>
        <v/>
      </c>
      <c r="X23" s="6">
        <f>IF(OR(原始資料!$A23="",23&gt;設定!$B$3,原始資料!Z23=""),"",IF(AND(原始資料!Y23&lt;&gt;"",原始資料!Z23=原始資料!Y23),N(W23)+1,1))</f>
        <v/>
      </c>
      <c r="Y23" s="6">
        <f>IF(OR(原始資料!$A23="",24&gt;設定!$B$3,原始資料!AA23=""),"",IF(AND(原始資料!Z23&lt;&gt;"",原始資料!AA23=原始資料!Z23),N(X23)+1,1))</f>
        <v/>
      </c>
      <c r="Z23" s="6">
        <f>IF(OR(原始資料!$A23="",25&gt;設定!$B$3,原始資料!AB23=""),"",IF(AND(原始資料!AA23&lt;&gt;"",原始資料!AB23=原始資料!AA23),N(Y23)+1,1))</f>
        <v/>
      </c>
      <c r="AA23" s="6">
        <f>IF(OR(原始資料!$A23="",26&gt;設定!$B$3,原始資料!AC23=""),"",IF(AND(原始資料!AB23&lt;&gt;"",原始資料!AC23=原始資料!AB23),N(Z23)+1,1))</f>
        <v/>
      </c>
      <c r="AB23" s="6">
        <f>IF(OR(原始資料!$A23="",27&gt;設定!$B$3,原始資料!AD23=""),"",IF(AND(原始資料!AC23&lt;&gt;"",原始資料!AD23=原始資料!AC23),N(AA23)+1,1))</f>
        <v/>
      </c>
      <c r="AC23" s="6">
        <f>IF(OR(原始資料!$A23="",28&gt;設定!$B$3,原始資料!AE23=""),"",IF(AND(原始資料!AD23&lt;&gt;"",原始資料!AE23=原始資料!AD23),N(AB23)+1,1))</f>
        <v/>
      </c>
      <c r="AD23" s="6">
        <f>IF(OR(原始資料!$A23="",29&gt;設定!$B$3,原始資料!AF23=""),"",IF(AND(原始資料!AE23&lt;&gt;"",原始資料!AF23=原始資料!AE23),N(AC23)+1,1))</f>
        <v/>
      </c>
      <c r="AE23" s="6">
        <f>IF(OR(原始資料!$A23="",30&gt;設定!$B$3,原始資料!AG23=""),"",IF(AND(原始資料!AF23&lt;&gt;"",原始資料!AG23=原始資料!AF23),N(AD23)+1,1))</f>
        <v/>
      </c>
      <c r="AF23" s="6">
        <f>IF(OR(原始資料!$A23="",31&gt;設定!$B$3,原始資料!AH23=""),"",IF(AND(原始資料!AG23&lt;&gt;"",原始資料!AH23=原始資料!AG23),N(AE23)+1,1))</f>
        <v/>
      </c>
      <c r="AG23" s="6">
        <f>IF(OR(原始資料!$A23="",32&gt;設定!$B$3,原始資料!AI23=""),"",IF(AND(原始資料!AH23&lt;&gt;"",原始資料!AI23=原始資料!AH23),N(AF23)+1,1))</f>
        <v/>
      </c>
      <c r="AH23" s="6">
        <f>IF(OR(原始資料!$A23="",33&gt;設定!$B$3,原始資料!AJ23=""),"",IF(AND(原始資料!AI23&lt;&gt;"",原始資料!AJ23=原始資料!AI23),N(AG23)+1,1))</f>
        <v/>
      </c>
      <c r="AI23" s="6">
        <f>IF(OR(原始資料!$A23="",34&gt;設定!$B$3,原始資料!AK23=""),"",IF(AND(原始資料!AJ23&lt;&gt;"",原始資料!AK23=原始資料!AJ23),N(AH23)+1,1))</f>
        <v/>
      </c>
      <c r="AJ23" s="6">
        <f>IF(OR(原始資料!$A23="",35&gt;設定!$B$3,原始資料!AL23=""),"",IF(AND(原始資料!AK23&lt;&gt;"",原始資料!AL23=原始資料!AK23),N(AI23)+1,1))</f>
        <v/>
      </c>
      <c r="AK23" s="6">
        <f>IF(OR(原始資料!$A23="",36&gt;設定!$B$3,原始資料!AM23=""),"",IF(AND(原始資料!AL23&lt;&gt;"",原始資料!AM23=原始資料!AL23),N(AJ23)+1,1))</f>
        <v/>
      </c>
      <c r="AL23" s="6">
        <f>IF(OR(原始資料!$A23="",37&gt;設定!$B$3,原始資料!AN23=""),"",IF(AND(原始資料!AM23&lt;&gt;"",原始資料!AN23=原始資料!AM23),N(AK23)+1,1))</f>
        <v/>
      </c>
      <c r="AM23" s="6">
        <f>IF(OR(原始資料!$A23="",38&gt;設定!$B$3,原始資料!AO23=""),"",IF(AND(原始資料!AN23&lt;&gt;"",原始資料!AO23=原始資料!AN23),N(AL23)+1,1))</f>
        <v/>
      </c>
      <c r="AN23" s="6">
        <f>IF(OR(原始資料!$A23="",39&gt;設定!$B$3,原始資料!AP23=""),"",IF(AND(原始資料!AO23&lt;&gt;"",原始資料!AP23=原始資料!AO23),N(AM23)+1,1))</f>
        <v/>
      </c>
      <c r="AO23" s="6">
        <f>IF(OR(原始資料!$A23="",40&gt;設定!$B$3,原始資料!AQ23=""),"",IF(AND(原始資料!AP23&lt;&gt;"",原始資料!AQ23=原始資料!AP23),N(AN23)+1,1))</f>
        <v/>
      </c>
      <c r="AP23" s="6">
        <f>IF(OR(原始資料!$A23="",41&gt;設定!$B$3,原始資料!AR23=""),"",IF(AND(原始資料!AQ23&lt;&gt;"",原始資料!AR23=原始資料!AQ23),N(AO23)+1,1))</f>
        <v/>
      </c>
      <c r="AQ23" s="6">
        <f>IF(OR(原始資料!$A23="",42&gt;設定!$B$3,原始資料!AS23=""),"",IF(AND(原始資料!AR23&lt;&gt;"",原始資料!AS23=原始資料!AR23),N(AP23)+1,1))</f>
        <v/>
      </c>
      <c r="AR23" s="6">
        <f>IF(OR(原始資料!$A23="",43&gt;設定!$B$3,原始資料!AT23=""),"",IF(AND(原始資料!AS23&lt;&gt;"",原始資料!AT23=原始資料!AS23),N(AQ23)+1,1))</f>
        <v/>
      </c>
      <c r="AS23" s="6">
        <f>IF(OR(原始資料!$A23="",44&gt;設定!$B$3,原始資料!AU23=""),"",IF(AND(原始資料!AT23&lt;&gt;"",原始資料!AU23=原始資料!AT23),N(AR23)+1,1))</f>
        <v/>
      </c>
      <c r="AT23" s="6">
        <f>IF(OR(原始資料!$A23="",45&gt;設定!$B$3,原始資料!AV23=""),"",IF(AND(原始資料!AU23&lt;&gt;"",原始資料!AV23=原始資料!AU23),N(AS23)+1,1))</f>
        <v/>
      </c>
      <c r="AU23" s="6">
        <f>IF(OR(原始資料!$A23="",46&gt;設定!$B$3,原始資料!AW23=""),"",IF(AND(原始資料!AV23&lt;&gt;"",原始資料!AW23=原始資料!AV23),N(AT23)+1,1))</f>
        <v/>
      </c>
      <c r="AV23" s="6">
        <f>IF(OR(原始資料!$A23="",47&gt;設定!$B$3,原始資料!AX23=""),"",IF(AND(原始資料!AW23&lt;&gt;"",原始資料!AX23=原始資料!AW23),N(AU23)+1,1))</f>
        <v/>
      </c>
      <c r="AW23" s="6">
        <f>IF(OR(原始資料!$A23="",48&gt;設定!$B$3,原始資料!AY23=""),"",IF(AND(原始資料!AX23&lt;&gt;"",原始資料!AY23=原始資料!AX23),N(AV23)+1,1))</f>
        <v/>
      </c>
      <c r="AX23" s="6">
        <f>IF(OR(原始資料!$A23="",49&gt;設定!$B$3,原始資料!AZ23=""),"",IF(AND(原始資料!AY23&lt;&gt;"",原始資料!AZ23=原始資料!AY23),N(AW23)+1,1))</f>
        <v/>
      </c>
      <c r="AY23" s="6">
        <f>IF(OR(原始資料!$A23="",50&gt;設定!$B$3,原始資料!BA23=""),"",IF(AND(原始資料!AZ23&lt;&gt;"",原始資料!BA23=原始資料!AZ23),N(AX23)+1,1))</f>
        <v/>
      </c>
      <c r="AZ23" s="6">
        <f>IF(OR(原始資料!$A23="",51&gt;設定!$B$3,原始資料!BB23=""),"",IF(AND(原始資料!BA23&lt;&gt;"",原始資料!BB23=原始資料!BA23),N(AY23)+1,1))</f>
        <v/>
      </c>
      <c r="BA23" s="6">
        <f>IF(OR(原始資料!$A23="",52&gt;設定!$B$3,原始資料!BC23=""),"",IF(AND(原始資料!BB23&lt;&gt;"",原始資料!BC23=原始資料!BB23),N(AZ23)+1,1))</f>
        <v/>
      </c>
      <c r="BB23" s="6">
        <f>IF(OR(原始資料!$A23="",53&gt;設定!$B$3,原始資料!BD23=""),"",IF(AND(原始資料!BC23&lt;&gt;"",原始資料!BD23=原始資料!BC23),N(BA23)+1,1))</f>
        <v/>
      </c>
      <c r="BC23" s="6">
        <f>IF(OR(原始資料!$A23="",54&gt;設定!$B$3,原始資料!BE23=""),"",IF(AND(原始資料!BD23&lt;&gt;"",原始資料!BE23=原始資料!BD23),N(BB23)+1,1))</f>
        <v/>
      </c>
      <c r="BD23" s="6">
        <f>IF(OR(原始資料!$A23="",55&gt;設定!$B$3,原始資料!BF23=""),"",IF(AND(原始資料!BE23&lt;&gt;"",原始資料!BF23=原始資料!BE23),N(BC23)+1,1))</f>
        <v/>
      </c>
      <c r="BE23" s="6">
        <f>IF(OR(原始資料!$A23="",56&gt;設定!$B$3,原始資料!BG23=""),"",IF(AND(原始資料!BF23&lt;&gt;"",原始資料!BG23=原始資料!BF23),N(BD23)+1,1))</f>
        <v/>
      </c>
      <c r="BF23" s="6">
        <f>IF(OR(原始資料!$A23="",57&gt;設定!$B$3,原始資料!BH23=""),"",IF(AND(原始資料!BG23&lt;&gt;"",原始資料!BH23=原始資料!BG23),N(BE23)+1,1))</f>
        <v/>
      </c>
      <c r="BG23" s="6">
        <f>IF(OR(原始資料!$A23="",58&gt;設定!$B$3,原始資料!BI23=""),"",IF(AND(原始資料!BH23&lt;&gt;"",原始資料!BI23=原始資料!BH23),N(BF23)+1,1))</f>
        <v/>
      </c>
      <c r="BH23" s="6">
        <f>IF(OR(原始資料!$A23="",59&gt;設定!$B$3,原始資料!BJ23=""),"",IF(AND(原始資料!BI23&lt;&gt;"",原始資料!BJ23=原始資料!BI23),N(BG23)+1,1))</f>
        <v/>
      </c>
      <c r="BI23" s="6">
        <f>IF(OR(原始資料!$A23="",60&gt;設定!$B$3,原始資料!BK23=""),"",IF(AND(原始資料!BJ23&lt;&gt;"",原始資料!BK23=原始資料!BJ23),N(BH23)+1,1))</f>
        <v/>
      </c>
    </row>
    <row r="24">
      <c r="A24" s="6">
        <f>IF(原始資料!$A24="","",原始資料!$A24)</f>
        <v/>
      </c>
      <c r="B24" s="6">
        <f>IF(OR(原始資料!$A24="",1&gt;設定!$B$3,原始資料!D24=""),"",1)</f>
        <v/>
      </c>
      <c r="C24" s="6">
        <f>IF(OR(原始資料!$A24="",2&gt;設定!$B$3,原始資料!E24=""),"",IF(AND(原始資料!D24&lt;&gt;"",原始資料!E24=原始資料!D24),N(B24)+1,1))</f>
        <v/>
      </c>
      <c r="D24" s="6">
        <f>IF(OR(原始資料!$A24="",3&gt;設定!$B$3,原始資料!F24=""),"",IF(AND(原始資料!E24&lt;&gt;"",原始資料!F24=原始資料!E24),N(C24)+1,1))</f>
        <v/>
      </c>
      <c r="E24" s="6">
        <f>IF(OR(原始資料!$A24="",4&gt;設定!$B$3,原始資料!G24=""),"",IF(AND(原始資料!F24&lt;&gt;"",原始資料!G24=原始資料!F24),N(D24)+1,1))</f>
        <v/>
      </c>
      <c r="F24" s="6">
        <f>IF(OR(原始資料!$A24="",5&gt;設定!$B$3,原始資料!H24=""),"",IF(AND(原始資料!G24&lt;&gt;"",原始資料!H24=原始資料!G24),N(E24)+1,1))</f>
        <v/>
      </c>
      <c r="G24" s="6">
        <f>IF(OR(原始資料!$A24="",6&gt;設定!$B$3,原始資料!I24=""),"",IF(AND(原始資料!H24&lt;&gt;"",原始資料!I24=原始資料!H24),N(F24)+1,1))</f>
        <v/>
      </c>
      <c r="H24" s="6">
        <f>IF(OR(原始資料!$A24="",7&gt;設定!$B$3,原始資料!J24=""),"",IF(AND(原始資料!I24&lt;&gt;"",原始資料!J24=原始資料!I24),N(G24)+1,1))</f>
        <v/>
      </c>
      <c r="I24" s="6">
        <f>IF(OR(原始資料!$A24="",8&gt;設定!$B$3,原始資料!K24=""),"",IF(AND(原始資料!J24&lt;&gt;"",原始資料!K24=原始資料!J24),N(H24)+1,1))</f>
        <v/>
      </c>
      <c r="J24" s="6">
        <f>IF(OR(原始資料!$A24="",9&gt;設定!$B$3,原始資料!L24=""),"",IF(AND(原始資料!K24&lt;&gt;"",原始資料!L24=原始資料!K24),N(I24)+1,1))</f>
        <v/>
      </c>
      <c r="K24" s="6">
        <f>IF(OR(原始資料!$A24="",10&gt;設定!$B$3,原始資料!M24=""),"",IF(AND(原始資料!L24&lt;&gt;"",原始資料!M24=原始資料!L24),N(J24)+1,1))</f>
        <v/>
      </c>
      <c r="L24" s="6">
        <f>IF(OR(原始資料!$A24="",11&gt;設定!$B$3,原始資料!N24=""),"",IF(AND(原始資料!M24&lt;&gt;"",原始資料!N24=原始資料!M24),N(K24)+1,1))</f>
        <v/>
      </c>
      <c r="M24" s="6">
        <f>IF(OR(原始資料!$A24="",12&gt;設定!$B$3,原始資料!O24=""),"",IF(AND(原始資料!N24&lt;&gt;"",原始資料!O24=原始資料!N24),N(L24)+1,1))</f>
        <v/>
      </c>
      <c r="N24" s="6">
        <f>IF(OR(原始資料!$A24="",13&gt;設定!$B$3,原始資料!P24=""),"",IF(AND(原始資料!O24&lt;&gt;"",原始資料!P24=原始資料!O24),N(M24)+1,1))</f>
        <v/>
      </c>
      <c r="O24" s="6">
        <f>IF(OR(原始資料!$A24="",14&gt;設定!$B$3,原始資料!Q24=""),"",IF(AND(原始資料!P24&lt;&gt;"",原始資料!Q24=原始資料!P24),N(N24)+1,1))</f>
        <v/>
      </c>
      <c r="P24" s="6">
        <f>IF(OR(原始資料!$A24="",15&gt;設定!$B$3,原始資料!R24=""),"",IF(AND(原始資料!Q24&lt;&gt;"",原始資料!R24=原始資料!Q24),N(O24)+1,1))</f>
        <v/>
      </c>
      <c r="Q24" s="6">
        <f>IF(OR(原始資料!$A24="",16&gt;設定!$B$3,原始資料!S24=""),"",IF(AND(原始資料!R24&lt;&gt;"",原始資料!S24=原始資料!R24),N(P24)+1,1))</f>
        <v/>
      </c>
      <c r="R24" s="6">
        <f>IF(OR(原始資料!$A24="",17&gt;設定!$B$3,原始資料!T24=""),"",IF(AND(原始資料!S24&lt;&gt;"",原始資料!T24=原始資料!S24),N(Q24)+1,1))</f>
        <v/>
      </c>
      <c r="S24" s="6">
        <f>IF(OR(原始資料!$A24="",18&gt;設定!$B$3,原始資料!U24=""),"",IF(AND(原始資料!T24&lt;&gt;"",原始資料!U24=原始資料!T24),N(R24)+1,1))</f>
        <v/>
      </c>
      <c r="T24" s="6">
        <f>IF(OR(原始資料!$A24="",19&gt;設定!$B$3,原始資料!V24=""),"",IF(AND(原始資料!U24&lt;&gt;"",原始資料!V24=原始資料!U24),N(S24)+1,1))</f>
        <v/>
      </c>
      <c r="U24" s="6">
        <f>IF(OR(原始資料!$A24="",20&gt;設定!$B$3,原始資料!W24=""),"",IF(AND(原始資料!V24&lt;&gt;"",原始資料!W24=原始資料!V24),N(T24)+1,1))</f>
        <v/>
      </c>
      <c r="V24" s="6">
        <f>IF(OR(原始資料!$A24="",21&gt;設定!$B$3,原始資料!X24=""),"",IF(AND(原始資料!W24&lt;&gt;"",原始資料!X24=原始資料!W24),N(U24)+1,1))</f>
        <v/>
      </c>
      <c r="W24" s="6">
        <f>IF(OR(原始資料!$A24="",22&gt;設定!$B$3,原始資料!Y24=""),"",IF(AND(原始資料!X24&lt;&gt;"",原始資料!Y24=原始資料!X24),N(V24)+1,1))</f>
        <v/>
      </c>
      <c r="X24" s="6">
        <f>IF(OR(原始資料!$A24="",23&gt;設定!$B$3,原始資料!Z24=""),"",IF(AND(原始資料!Y24&lt;&gt;"",原始資料!Z24=原始資料!Y24),N(W24)+1,1))</f>
        <v/>
      </c>
      <c r="Y24" s="6">
        <f>IF(OR(原始資料!$A24="",24&gt;設定!$B$3,原始資料!AA24=""),"",IF(AND(原始資料!Z24&lt;&gt;"",原始資料!AA24=原始資料!Z24),N(X24)+1,1))</f>
        <v/>
      </c>
      <c r="Z24" s="6">
        <f>IF(OR(原始資料!$A24="",25&gt;設定!$B$3,原始資料!AB24=""),"",IF(AND(原始資料!AA24&lt;&gt;"",原始資料!AB24=原始資料!AA24),N(Y24)+1,1))</f>
        <v/>
      </c>
      <c r="AA24" s="6">
        <f>IF(OR(原始資料!$A24="",26&gt;設定!$B$3,原始資料!AC24=""),"",IF(AND(原始資料!AB24&lt;&gt;"",原始資料!AC24=原始資料!AB24),N(Z24)+1,1))</f>
        <v/>
      </c>
      <c r="AB24" s="6">
        <f>IF(OR(原始資料!$A24="",27&gt;設定!$B$3,原始資料!AD24=""),"",IF(AND(原始資料!AC24&lt;&gt;"",原始資料!AD24=原始資料!AC24),N(AA24)+1,1))</f>
        <v/>
      </c>
      <c r="AC24" s="6">
        <f>IF(OR(原始資料!$A24="",28&gt;設定!$B$3,原始資料!AE24=""),"",IF(AND(原始資料!AD24&lt;&gt;"",原始資料!AE24=原始資料!AD24),N(AB24)+1,1))</f>
        <v/>
      </c>
      <c r="AD24" s="6">
        <f>IF(OR(原始資料!$A24="",29&gt;設定!$B$3,原始資料!AF24=""),"",IF(AND(原始資料!AE24&lt;&gt;"",原始資料!AF24=原始資料!AE24),N(AC24)+1,1))</f>
        <v/>
      </c>
      <c r="AE24" s="6">
        <f>IF(OR(原始資料!$A24="",30&gt;設定!$B$3,原始資料!AG24=""),"",IF(AND(原始資料!AF24&lt;&gt;"",原始資料!AG24=原始資料!AF24),N(AD24)+1,1))</f>
        <v/>
      </c>
      <c r="AF24" s="6">
        <f>IF(OR(原始資料!$A24="",31&gt;設定!$B$3,原始資料!AH24=""),"",IF(AND(原始資料!AG24&lt;&gt;"",原始資料!AH24=原始資料!AG24),N(AE24)+1,1))</f>
        <v/>
      </c>
      <c r="AG24" s="6">
        <f>IF(OR(原始資料!$A24="",32&gt;設定!$B$3,原始資料!AI24=""),"",IF(AND(原始資料!AH24&lt;&gt;"",原始資料!AI24=原始資料!AH24),N(AF24)+1,1))</f>
        <v/>
      </c>
      <c r="AH24" s="6">
        <f>IF(OR(原始資料!$A24="",33&gt;設定!$B$3,原始資料!AJ24=""),"",IF(AND(原始資料!AI24&lt;&gt;"",原始資料!AJ24=原始資料!AI24),N(AG24)+1,1))</f>
        <v/>
      </c>
      <c r="AI24" s="6">
        <f>IF(OR(原始資料!$A24="",34&gt;設定!$B$3,原始資料!AK24=""),"",IF(AND(原始資料!AJ24&lt;&gt;"",原始資料!AK24=原始資料!AJ24),N(AH24)+1,1))</f>
        <v/>
      </c>
      <c r="AJ24" s="6">
        <f>IF(OR(原始資料!$A24="",35&gt;設定!$B$3,原始資料!AL24=""),"",IF(AND(原始資料!AK24&lt;&gt;"",原始資料!AL24=原始資料!AK24),N(AI24)+1,1))</f>
        <v/>
      </c>
      <c r="AK24" s="6">
        <f>IF(OR(原始資料!$A24="",36&gt;設定!$B$3,原始資料!AM24=""),"",IF(AND(原始資料!AL24&lt;&gt;"",原始資料!AM24=原始資料!AL24),N(AJ24)+1,1))</f>
        <v/>
      </c>
      <c r="AL24" s="6">
        <f>IF(OR(原始資料!$A24="",37&gt;設定!$B$3,原始資料!AN24=""),"",IF(AND(原始資料!AM24&lt;&gt;"",原始資料!AN24=原始資料!AM24),N(AK24)+1,1))</f>
        <v/>
      </c>
      <c r="AM24" s="6">
        <f>IF(OR(原始資料!$A24="",38&gt;設定!$B$3,原始資料!AO24=""),"",IF(AND(原始資料!AN24&lt;&gt;"",原始資料!AO24=原始資料!AN24),N(AL24)+1,1))</f>
        <v/>
      </c>
      <c r="AN24" s="6">
        <f>IF(OR(原始資料!$A24="",39&gt;設定!$B$3,原始資料!AP24=""),"",IF(AND(原始資料!AO24&lt;&gt;"",原始資料!AP24=原始資料!AO24),N(AM24)+1,1))</f>
        <v/>
      </c>
      <c r="AO24" s="6">
        <f>IF(OR(原始資料!$A24="",40&gt;設定!$B$3,原始資料!AQ24=""),"",IF(AND(原始資料!AP24&lt;&gt;"",原始資料!AQ24=原始資料!AP24),N(AN24)+1,1))</f>
        <v/>
      </c>
      <c r="AP24" s="6">
        <f>IF(OR(原始資料!$A24="",41&gt;設定!$B$3,原始資料!AR24=""),"",IF(AND(原始資料!AQ24&lt;&gt;"",原始資料!AR24=原始資料!AQ24),N(AO24)+1,1))</f>
        <v/>
      </c>
      <c r="AQ24" s="6">
        <f>IF(OR(原始資料!$A24="",42&gt;設定!$B$3,原始資料!AS24=""),"",IF(AND(原始資料!AR24&lt;&gt;"",原始資料!AS24=原始資料!AR24),N(AP24)+1,1))</f>
        <v/>
      </c>
      <c r="AR24" s="6">
        <f>IF(OR(原始資料!$A24="",43&gt;設定!$B$3,原始資料!AT24=""),"",IF(AND(原始資料!AS24&lt;&gt;"",原始資料!AT24=原始資料!AS24),N(AQ24)+1,1))</f>
        <v/>
      </c>
      <c r="AS24" s="6">
        <f>IF(OR(原始資料!$A24="",44&gt;設定!$B$3,原始資料!AU24=""),"",IF(AND(原始資料!AT24&lt;&gt;"",原始資料!AU24=原始資料!AT24),N(AR24)+1,1))</f>
        <v/>
      </c>
      <c r="AT24" s="6">
        <f>IF(OR(原始資料!$A24="",45&gt;設定!$B$3,原始資料!AV24=""),"",IF(AND(原始資料!AU24&lt;&gt;"",原始資料!AV24=原始資料!AU24),N(AS24)+1,1))</f>
        <v/>
      </c>
      <c r="AU24" s="6">
        <f>IF(OR(原始資料!$A24="",46&gt;設定!$B$3,原始資料!AW24=""),"",IF(AND(原始資料!AV24&lt;&gt;"",原始資料!AW24=原始資料!AV24),N(AT24)+1,1))</f>
        <v/>
      </c>
      <c r="AV24" s="6">
        <f>IF(OR(原始資料!$A24="",47&gt;設定!$B$3,原始資料!AX24=""),"",IF(AND(原始資料!AW24&lt;&gt;"",原始資料!AX24=原始資料!AW24),N(AU24)+1,1))</f>
        <v/>
      </c>
      <c r="AW24" s="6">
        <f>IF(OR(原始資料!$A24="",48&gt;設定!$B$3,原始資料!AY24=""),"",IF(AND(原始資料!AX24&lt;&gt;"",原始資料!AY24=原始資料!AX24),N(AV24)+1,1))</f>
        <v/>
      </c>
      <c r="AX24" s="6">
        <f>IF(OR(原始資料!$A24="",49&gt;設定!$B$3,原始資料!AZ24=""),"",IF(AND(原始資料!AY24&lt;&gt;"",原始資料!AZ24=原始資料!AY24),N(AW24)+1,1))</f>
        <v/>
      </c>
      <c r="AY24" s="6">
        <f>IF(OR(原始資料!$A24="",50&gt;設定!$B$3,原始資料!BA24=""),"",IF(AND(原始資料!AZ24&lt;&gt;"",原始資料!BA24=原始資料!AZ24),N(AX24)+1,1))</f>
        <v/>
      </c>
      <c r="AZ24" s="6">
        <f>IF(OR(原始資料!$A24="",51&gt;設定!$B$3,原始資料!BB24=""),"",IF(AND(原始資料!BA24&lt;&gt;"",原始資料!BB24=原始資料!BA24),N(AY24)+1,1))</f>
        <v/>
      </c>
      <c r="BA24" s="6">
        <f>IF(OR(原始資料!$A24="",52&gt;設定!$B$3,原始資料!BC24=""),"",IF(AND(原始資料!BB24&lt;&gt;"",原始資料!BC24=原始資料!BB24),N(AZ24)+1,1))</f>
        <v/>
      </c>
      <c r="BB24" s="6">
        <f>IF(OR(原始資料!$A24="",53&gt;設定!$B$3,原始資料!BD24=""),"",IF(AND(原始資料!BC24&lt;&gt;"",原始資料!BD24=原始資料!BC24),N(BA24)+1,1))</f>
        <v/>
      </c>
      <c r="BC24" s="6">
        <f>IF(OR(原始資料!$A24="",54&gt;設定!$B$3,原始資料!BE24=""),"",IF(AND(原始資料!BD24&lt;&gt;"",原始資料!BE24=原始資料!BD24),N(BB24)+1,1))</f>
        <v/>
      </c>
      <c r="BD24" s="6">
        <f>IF(OR(原始資料!$A24="",55&gt;設定!$B$3,原始資料!BF24=""),"",IF(AND(原始資料!BE24&lt;&gt;"",原始資料!BF24=原始資料!BE24),N(BC24)+1,1))</f>
        <v/>
      </c>
      <c r="BE24" s="6">
        <f>IF(OR(原始資料!$A24="",56&gt;設定!$B$3,原始資料!BG24=""),"",IF(AND(原始資料!BF24&lt;&gt;"",原始資料!BG24=原始資料!BF24),N(BD24)+1,1))</f>
        <v/>
      </c>
      <c r="BF24" s="6">
        <f>IF(OR(原始資料!$A24="",57&gt;設定!$B$3,原始資料!BH24=""),"",IF(AND(原始資料!BG24&lt;&gt;"",原始資料!BH24=原始資料!BG24),N(BE24)+1,1))</f>
        <v/>
      </c>
      <c r="BG24" s="6">
        <f>IF(OR(原始資料!$A24="",58&gt;設定!$B$3,原始資料!BI24=""),"",IF(AND(原始資料!BH24&lt;&gt;"",原始資料!BI24=原始資料!BH24),N(BF24)+1,1))</f>
        <v/>
      </c>
      <c r="BH24" s="6">
        <f>IF(OR(原始資料!$A24="",59&gt;設定!$B$3,原始資料!BJ24=""),"",IF(AND(原始資料!BI24&lt;&gt;"",原始資料!BJ24=原始資料!BI24),N(BG24)+1,1))</f>
        <v/>
      </c>
      <c r="BI24" s="6">
        <f>IF(OR(原始資料!$A24="",60&gt;設定!$B$3,原始資料!BK24=""),"",IF(AND(原始資料!BJ24&lt;&gt;"",原始資料!BK24=原始資料!BJ24),N(BH24)+1,1))</f>
        <v/>
      </c>
    </row>
    <row r="25">
      <c r="A25" s="6">
        <f>IF(原始資料!$A25="","",原始資料!$A25)</f>
        <v/>
      </c>
      <c r="B25" s="6">
        <f>IF(OR(原始資料!$A25="",1&gt;設定!$B$3,原始資料!D25=""),"",1)</f>
        <v/>
      </c>
      <c r="C25" s="6">
        <f>IF(OR(原始資料!$A25="",2&gt;設定!$B$3,原始資料!E25=""),"",IF(AND(原始資料!D25&lt;&gt;"",原始資料!E25=原始資料!D25),N(B25)+1,1))</f>
        <v/>
      </c>
      <c r="D25" s="6">
        <f>IF(OR(原始資料!$A25="",3&gt;設定!$B$3,原始資料!F25=""),"",IF(AND(原始資料!E25&lt;&gt;"",原始資料!F25=原始資料!E25),N(C25)+1,1))</f>
        <v/>
      </c>
      <c r="E25" s="6">
        <f>IF(OR(原始資料!$A25="",4&gt;設定!$B$3,原始資料!G25=""),"",IF(AND(原始資料!F25&lt;&gt;"",原始資料!G25=原始資料!F25),N(D25)+1,1))</f>
        <v/>
      </c>
      <c r="F25" s="6">
        <f>IF(OR(原始資料!$A25="",5&gt;設定!$B$3,原始資料!H25=""),"",IF(AND(原始資料!G25&lt;&gt;"",原始資料!H25=原始資料!G25),N(E25)+1,1))</f>
        <v/>
      </c>
      <c r="G25" s="6">
        <f>IF(OR(原始資料!$A25="",6&gt;設定!$B$3,原始資料!I25=""),"",IF(AND(原始資料!H25&lt;&gt;"",原始資料!I25=原始資料!H25),N(F25)+1,1))</f>
        <v/>
      </c>
      <c r="H25" s="6">
        <f>IF(OR(原始資料!$A25="",7&gt;設定!$B$3,原始資料!J25=""),"",IF(AND(原始資料!I25&lt;&gt;"",原始資料!J25=原始資料!I25),N(G25)+1,1))</f>
        <v/>
      </c>
      <c r="I25" s="6">
        <f>IF(OR(原始資料!$A25="",8&gt;設定!$B$3,原始資料!K25=""),"",IF(AND(原始資料!J25&lt;&gt;"",原始資料!K25=原始資料!J25),N(H25)+1,1))</f>
        <v/>
      </c>
      <c r="J25" s="6">
        <f>IF(OR(原始資料!$A25="",9&gt;設定!$B$3,原始資料!L25=""),"",IF(AND(原始資料!K25&lt;&gt;"",原始資料!L25=原始資料!K25),N(I25)+1,1))</f>
        <v/>
      </c>
      <c r="K25" s="6">
        <f>IF(OR(原始資料!$A25="",10&gt;設定!$B$3,原始資料!M25=""),"",IF(AND(原始資料!L25&lt;&gt;"",原始資料!M25=原始資料!L25),N(J25)+1,1))</f>
        <v/>
      </c>
      <c r="L25" s="6">
        <f>IF(OR(原始資料!$A25="",11&gt;設定!$B$3,原始資料!N25=""),"",IF(AND(原始資料!M25&lt;&gt;"",原始資料!N25=原始資料!M25),N(K25)+1,1))</f>
        <v/>
      </c>
      <c r="M25" s="6">
        <f>IF(OR(原始資料!$A25="",12&gt;設定!$B$3,原始資料!O25=""),"",IF(AND(原始資料!N25&lt;&gt;"",原始資料!O25=原始資料!N25),N(L25)+1,1))</f>
        <v/>
      </c>
      <c r="N25" s="6">
        <f>IF(OR(原始資料!$A25="",13&gt;設定!$B$3,原始資料!P25=""),"",IF(AND(原始資料!O25&lt;&gt;"",原始資料!P25=原始資料!O25),N(M25)+1,1))</f>
        <v/>
      </c>
      <c r="O25" s="6">
        <f>IF(OR(原始資料!$A25="",14&gt;設定!$B$3,原始資料!Q25=""),"",IF(AND(原始資料!P25&lt;&gt;"",原始資料!Q25=原始資料!P25),N(N25)+1,1))</f>
        <v/>
      </c>
      <c r="P25" s="6">
        <f>IF(OR(原始資料!$A25="",15&gt;設定!$B$3,原始資料!R25=""),"",IF(AND(原始資料!Q25&lt;&gt;"",原始資料!R25=原始資料!Q25),N(O25)+1,1))</f>
        <v/>
      </c>
      <c r="Q25" s="6">
        <f>IF(OR(原始資料!$A25="",16&gt;設定!$B$3,原始資料!S25=""),"",IF(AND(原始資料!R25&lt;&gt;"",原始資料!S25=原始資料!R25),N(P25)+1,1))</f>
        <v/>
      </c>
      <c r="R25" s="6">
        <f>IF(OR(原始資料!$A25="",17&gt;設定!$B$3,原始資料!T25=""),"",IF(AND(原始資料!S25&lt;&gt;"",原始資料!T25=原始資料!S25),N(Q25)+1,1))</f>
        <v/>
      </c>
      <c r="S25" s="6">
        <f>IF(OR(原始資料!$A25="",18&gt;設定!$B$3,原始資料!U25=""),"",IF(AND(原始資料!T25&lt;&gt;"",原始資料!U25=原始資料!T25),N(R25)+1,1))</f>
        <v/>
      </c>
      <c r="T25" s="6">
        <f>IF(OR(原始資料!$A25="",19&gt;設定!$B$3,原始資料!V25=""),"",IF(AND(原始資料!U25&lt;&gt;"",原始資料!V25=原始資料!U25),N(S25)+1,1))</f>
        <v/>
      </c>
      <c r="U25" s="6">
        <f>IF(OR(原始資料!$A25="",20&gt;設定!$B$3,原始資料!W25=""),"",IF(AND(原始資料!V25&lt;&gt;"",原始資料!W25=原始資料!V25),N(T25)+1,1))</f>
        <v/>
      </c>
      <c r="V25" s="6">
        <f>IF(OR(原始資料!$A25="",21&gt;設定!$B$3,原始資料!X25=""),"",IF(AND(原始資料!W25&lt;&gt;"",原始資料!X25=原始資料!W25),N(U25)+1,1))</f>
        <v/>
      </c>
      <c r="W25" s="6">
        <f>IF(OR(原始資料!$A25="",22&gt;設定!$B$3,原始資料!Y25=""),"",IF(AND(原始資料!X25&lt;&gt;"",原始資料!Y25=原始資料!X25),N(V25)+1,1))</f>
        <v/>
      </c>
      <c r="X25" s="6">
        <f>IF(OR(原始資料!$A25="",23&gt;設定!$B$3,原始資料!Z25=""),"",IF(AND(原始資料!Y25&lt;&gt;"",原始資料!Z25=原始資料!Y25),N(W25)+1,1))</f>
        <v/>
      </c>
      <c r="Y25" s="6">
        <f>IF(OR(原始資料!$A25="",24&gt;設定!$B$3,原始資料!AA25=""),"",IF(AND(原始資料!Z25&lt;&gt;"",原始資料!AA25=原始資料!Z25),N(X25)+1,1))</f>
        <v/>
      </c>
      <c r="Z25" s="6">
        <f>IF(OR(原始資料!$A25="",25&gt;設定!$B$3,原始資料!AB25=""),"",IF(AND(原始資料!AA25&lt;&gt;"",原始資料!AB25=原始資料!AA25),N(Y25)+1,1))</f>
        <v/>
      </c>
      <c r="AA25" s="6">
        <f>IF(OR(原始資料!$A25="",26&gt;設定!$B$3,原始資料!AC25=""),"",IF(AND(原始資料!AB25&lt;&gt;"",原始資料!AC25=原始資料!AB25),N(Z25)+1,1))</f>
        <v/>
      </c>
      <c r="AB25" s="6">
        <f>IF(OR(原始資料!$A25="",27&gt;設定!$B$3,原始資料!AD25=""),"",IF(AND(原始資料!AC25&lt;&gt;"",原始資料!AD25=原始資料!AC25),N(AA25)+1,1))</f>
        <v/>
      </c>
      <c r="AC25" s="6">
        <f>IF(OR(原始資料!$A25="",28&gt;設定!$B$3,原始資料!AE25=""),"",IF(AND(原始資料!AD25&lt;&gt;"",原始資料!AE25=原始資料!AD25),N(AB25)+1,1))</f>
        <v/>
      </c>
      <c r="AD25" s="6">
        <f>IF(OR(原始資料!$A25="",29&gt;設定!$B$3,原始資料!AF25=""),"",IF(AND(原始資料!AE25&lt;&gt;"",原始資料!AF25=原始資料!AE25),N(AC25)+1,1))</f>
        <v/>
      </c>
      <c r="AE25" s="6">
        <f>IF(OR(原始資料!$A25="",30&gt;設定!$B$3,原始資料!AG25=""),"",IF(AND(原始資料!AF25&lt;&gt;"",原始資料!AG25=原始資料!AF25),N(AD25)+1,1))</f>
        <v/>
      </c>
      <c r="AF25" s="6">
        <f>IF(OR(原始資料!$A25="",31&gt;設定!$B$3,原始資料!AH25=""),"",IF(AND(原始資料!AG25&lt;&gt;"",原始資料!AH25=原始資料!AG25),N(AE25)+1,1))</f>
        <v/>
      </c>
      <c r="AG25" s="6">
        <f>IF(OR(原始資料!$A25="",32&gt;設定!$B$3,原始資料!AI25=""),"",IF(AND(原始資料!AH25&lt;&gt;"",原始資料!AI25=原始資料!AH25),N(AF25)+1,1))</f>
        <v/>
      </c>
      <c r="AH25" s="6">
        <f>IF(OR(原始資料!$A25="",33&gt;設定!$B$3,原始資料!AJ25=""),"",IF(AND(原始資料!AI25&lt;&gt;"",原始資料!AJ25=原始資料!AI25),N(AG25)+1,1))</f>
        <v/>
      </c>
      <c r="AI25" s="6">
        <f>IF(OR(原始資料!$A25="",34&gt;設定!$B$3,原始資料!AK25=""),"",IF(AND(原始資料!AJ25&lt;&gt;"",原始資料!AK25=原始資料!AJ25),N(AH25)+1,1))</f>
        <v/>
      </c>
      <c r="AJ25" s="6">
        <f>IF(OR(原始資料!$A25="",35&gt;設定!$B$3,原始資料!AL25=""),"",IF(AND(原始資料!AK25&lt;&gt;"",原始資料!AL25=原始資料!AK25),N(AI25)+1,1))</f>
        <v/>
      </c>
      <c r="AK25" s="6">
        <f>IF(OR(原始資料!$A25="",36&gt;設定!$B$3,原始資料!AM25=""),"",IF(AND(原始資料!AL25&lt;&gt;"",原始資料!AM25=原始資料!AL25),N(AJ25)+1,1))</f>
        <v/>
      </c>
      <c r="AL25" s="6">
        <f>IF(OR(原始資料!$A25="",37&gt;設定!$B$3,原始資料!AN25=""),"",IF(AND(原始資料!AM25&lt;&gt;"",原始資料!AN25=原始資料!AM25),N(AK25)+1,1))</f>
        <v/>
      </c>
      <c r="AM25" s="6">
        <f>IF(OR(原始資料!$A25="",38&gt;設定!$B$3,原始資料!AO25=""),"",IF(AND(原始資料!AN25&lt;&gt;"",原始資料!AO25=原始資料!AN25),N(AL25)+1,1))</f>
        <v/>
      </c>
      <c r="AN25" s="6">
        <f>IF(OR(原始資料!$A25="",39&gt;設定!$B$3,原始資料!AP25=""),"",IF(AND(原始資料!AO25&lt;&gt;"",原始資料!AP25=原始資料!AO25),N(AM25)+1,1))</f>
        <v/>
      </c>
      <c r="AO25" s="6">
        <f>IF(OR(原始資料!$A25="",40&gt;設定!$B$3,原始資料!AQ25=""),"",IF(AND(原始資料!AP25&lt;&gt;"",原始資料!AQ25=原始資料!AP25),N(AN25)+1,1))</f>
        <v/>
      </c>
      <c r="AP25" s="6">
        <f>IF(OR(原始資料!$A25="",41&gt;設定!$B$3,原始資料!AR25=""),"",IF(AND(原始資料!AQ25&lt;&gt;"",原始資料!AR25=原始資料!AQ25),N(AO25)+1,1))</f>
        <v/>
      </c>
      <c r="AQ25" s="6">
        <f>IF(OR(原始資料!$A25="",42&gt;設定!$B$3,原始資料!AS25=""),"",IF(AND(原始資料!AR25&lt;&gt;"",原始資料!AS25=原始資料!AR25),N(AP25)+1,1))</f>
        <v/>
      </c>
      <c r="AR25" s="6">
        <f>IF(OR(原始資料!$A25="",43&gt;設定!$B$3,原始資料!AT25=""),"",IF(AND(原始資料!AS25&lt;&gt;"",原始資料!AT25=原始資料!AS25),N(AQ25)+1,1))</f>
        <v/>
      </c>
      <c r="AS25" s="6">
        <f>IF(OR(原始資料!$A25="",44&gt;設定!$B$3,原始資料!AU25=""),"",IF(AND(原始資料!AT25&lt;&gt;"",原始資料!AU25=原始資料!AT25),N(AR25)+1,1))</f>
        <v/>
      </c>
      <c r="AT25" s="6">
        <f>IF(OR(原始資料!$A25="",45&gt;設定!$B$3,原始資料!AV25=""),"",IF(AND(原始資料!AU25&lt;&gt;"",原始資料!AV25=原始資料!AU25),N(AS25)+1,1))</f>
        <v/>
      </c>
      <c r="AU25" s="6">
        <f>IF(OR(原始資料!$A25="",46&gt;設定!$B$3,原始資料!AW25=""),"",IF(AND(原始資料!AV25&lt;&gt;"",原始資料!AW25=原始資料!AV25),N(AT25)+1,1))</f>
        <v/>
      </c>
      <c r="AV25" s="6">
        <f>IF(OR(原始資料!$A25="",47&gt;設定!$B$3,原始資料!AX25=""),"",IF(AND(原始資料!AW25&lt;&gt;"",原始資料!AX25=原始資料!AW25),N(AU25)+1,1))</f>
        <v/>
      </c>
      <c r="AW25" s="6">
        <f>IF(OR(原始資料!$A25="",48&gt;設定!$B$3,原始資料!AY25=""),"",IF(AND(原始資料!AX25&lt;&gt;"",原始資料!AY25=原始資料!AX25),N(AV25)+1,1))</f>
        <v/>
      </c>
      <c r="AX25" s="6">
        <f>IF(OR(原始資料!$A25="",49&gt;設定!$B$3,原始資料!AZ25=""),"",IF(AND(原始資料!AY25&lt;&gt;"",原始資料!AZ25=原始資料!AY25),N(AW25)+1,1))</f>
        <v/>
      </c>
      <c r="AY25" s="6">
        <f>IF(OR(原始資料!$A25="",50&gt;設定!$B$3,原始資料!BA25=""),"",IF(AND(原始資料!AZ25&lt;&gt;"",原始資料!BA25=原始資料!AZ25),N(AX25)+1,1))</f>
        <v/>
      </c>
      <c r="AZ25" s="6">
        <f>IF(OR(原始資料!$A25="",51&gt;設定!$B$3,原始資料!BB25=""),"",IF(AND(原始資料!BA25&lt;&gt;"",原始資料!BB25=原始資料!BA25),N(AY25)+1,1))</f>
        <v/>
      </c>
      <c r="BA25" s="6">
        <f>IF(OR(原始資料!$A25="",52&gt;設定!$B$3,原始資料!BC25=""),"",IF(AND(原始資料!BB25&lt;&gt;"",原始資料!BC25=原始資料!BB25),N(AZ25)+1,1))</f>
        <v/>
      </c>
      <c r="BB25" s="6">
        <f>IF(OR(原始資料!$A25="",53&gt;設定!$B$3,原始資料!BD25=""),"",IF(AND(原始資料!BC25&lt;&gt;"",原始資料!BD25=原始資料!BC25),N(BA25)+1,1))</f>
        <v/>
      </c>
      <c r="BC25" s="6">
        <f>IF(OR(原始資料!$A25="",54&gt;設定!$B$3,原始資料!BE25=""),"",IF(AND(原始資料!BD25&lt;&gt;"",原始資料!BE25=原始資料!BD25),N(BB25)+1,1))</f>
        <v/>
      </c>
      <c r="BD25" s="6">
        <f>IF(OR(原始資料!$A25="",55&gt;設定!$B$3,原始資料!BF25=""),"",IF(AND(原始資料!BE25&lt;&gt;"",原始資料!BF25=原始資料!BE25),N(BC25)+1,1))</f>
        <v/>
      </c>
      <c r="BE25" s="6">
        <f>IF(OR(原始資料!$A25="",56&gt;設定!$B$3,原始資料!BG25=""),"",IF(AND(原始資料!BF25&lt;&gt;"",原始資料!BG25=原始資料!BF25),N(BD25)+1,1))</f>
        <v/>
      </c>
      <c r="BF25" s="6">
        <f>IF(OR(原始資料!$A25="",57&gt;設定!$B$3,原始資料!BH25=""),"",IF(AND(原始資料!BG25&lt;&gt;"",原始資料!BH25=原始資料!BG25),N(BE25)+1,1))</f>
        <v/>
      </c>
      <c r="BG25" s="6">
        <f>IF(OR(原始資料!$A25="",58&gt;設定!$B$3,原始資料!BI25=""),"",IF(AND(原始資料!BH25&lt;&gt;"",原始資料!BI25=原始資料!BH25),N(BF25)+1,1))</f>
        <v/>
      </c>
      <c r="BH25" s="6">
        <f>IF(OR(原始資料!$A25="",59&gt;設定!$B$3,原始資料!BJ25=""),"",IF(AND(原始資料!BI25&lt;&gt;"",原始資料!BJ25=原始資料!BI25),N(BG25)+1,1))</f>
        <v/>
      </c>
      <c r="BI25" s="6">
        <f>IF(OR(原始資料!$A25="",60&gt;設定!$B$3,原始資料!BK25=""),"",IF(AND(原始資料!BJ25&lt;&gt;"",原始資料!BK25=原始資料!BJ25),N(BH25)+1,1))</f>
        <v/>
      </c>
    </row>
    <row r="26">
      <c r="A26" s="6">
        <f>IF(原始資料!$A26="","",原始資料!$A26)</f>
        <v/>
      </c>
      <c r="B26" s="6">
        <f>IF(OR(原始資料!$A26="",1&gt;設定!$B$3,原始資料!D26=""),"",1)</f>
        <v/>
      </c>
      <c r="C26" s="6">
        <f>IF(OR(原始資料!$A26="",2&gt;設定!$B$3,原始資料!E26=""),"",IF(AND(原始資料!D26&lt;&gt;"",原始資料!E26=原始資料!D26),N(B26)+1,1))</f>
        <v/>
      </c>
      <c r="D26" s="6">
        <f>IF(OR(原始資料!$A26="",3&gt;設定!$B$3,原始資料!F26=""),"",IF(AND(原始資料!E26&lt;&gt;"",原始資料!F26=原始資料!E26),N(C26)+1,1))</f>
        <v/>
      </c>
      <c r="E26" s="6">
        <f>IF(OR(原始資料!$A26="",4&gt;設定!$B$3,原始資料!G26=""),"",IF(AND(原始資料!F26&lt;&gt;"",原始資料!G26=原始資料!F26),N(D26)+1,1))</f>
        <v/>
      </c>
      <c r="F26" s="6">
        <f>IF(OR(原始資料!$A26="",5&gt;設定!$B$3,原始資料!H26=""),"",IF(AND(原始資料!G26&lt;&gt;"",原始資料!H26=原始資料!G26),N(E26)+1,1))</f>
        <v/>
      </c>
      <c r="G26" s="6">
        <f>IF(OR(原始資料!$A26="",6&gt;設定!$B$3,原始資料!I26=""),"",IF(AND(原始資料!H26&lt;&gt;"",原始資料!I26=原始資料!H26),N(F26)+1,1))</f>
        <v/>
      </c>
      <c r="H26" s="6">
        <f>IF(OR(原始資料!$A26="",7&gt;設定!$B$3,原始資料!J26=""),"",IF(AND(原始資料!I26&lt;&gt;"",原始資料!J26=原始資料!I26),N(G26)+1,1))</f>
        <v/>
      </c>
      <c r="I26" s="6">
        <f>IF(OR(原始資料!$A26="",8&gt;設定!$B$3,原始資料!K26=""),"",IF(AND(原始資料!J26&lt;&gt;"",原始資料!K26=原始資料!J26),N(H26)+1,1))</f>
        <v/>
      </c>
      <c r="J26" s="6">
        <f>IF(OR(原始資料!$A26="",9&gt;設定!$B$3,原始資料!L26=""),"",IF(AND(原始資料!K26&lt;&gt;"",原始資料!L26=原始資料!K26),N(I26)+1,1))</f>
        <v/>
      </c>
      <c r="K26" s="6">
        <f>IF(OR(原始資料!$A26="",10&gt;設定!$B$3,原始資料!M26=""),"",IF(AND(原始資料!L26&lt;&gt;"",原始資料!M26=原始資料!L26),N(J26)+1,1))</f>
        <v/>
      </c>
      <c r="L26" s="6">
        <f>IF(OR(原始資料!$A26="",11&gt;設定!$B$3,原始資料!N26=""),"",IF(AND(原始資料!M26&lt;&gt;"",原始資料!N26=原始資料!M26),N(K26)+1,1))</f>
        <v/>
      </c>
      <c r="M26" s="6">
        <f>IF(OR(原始資料!$A26="",12&gt;設定!$B$3,原始資料!O26=""),"",IF(AND(原始資料!N26&lt;&gt;"",原始資料!O26=原始資料!N26),N(L26)+1,1))</f>
        <v/>
      </c>
      <c r="N26" s="6">
        <f>IF(OR(原始資料!$A26="",13&gt;設定!$B$3,原始資料!P26=""),"",IF(AND(原始資料!O26&lt;&gt;"",原始資料!P26=原始資料!O26),N(M26)+1,1))</f>
        <v/>
      </c>
      <c r="O26" s="6">
        <f>IF(OR(原始資料!$A26="",14&gt;設定!$B$3,原始資料!Q26=""),"",IF(AND(原始資料!P26&lt;&gt;"",原始資料!Q26=原始資料!P26),N(N26)+1,1))</f>
        <v/>
      </c>
      <c r="P26" s="6">
        <f>IF(OR(原始資料!$A26="",15&gt;設定!$B$3,原始資料!R26=""),"",IF(AND(原始資料!Q26&lt;&gt;"",原始資料!R26=原始資料!Q26),N(O26)+1,1))</f>
        <v/>
      </c>
      <c r="Q26" s="6">
        <f>IF(OR(原始資料!$A26="",16&gt;設定!$B$3,原始資料!S26=""),"",IF(AND(原始資料!R26&lt;&gt;"",原始資料!S26=原始資料!R26),N(P26)+1,1))</f>
        <v/>
      </c>
      <c r="R26" s="6">
        <f>IF(OR(原始資料!$A26="",17&gt;設定!$B$3,原始資料!T26=""),"",IF(AND(原始資料!S26&lt;&gt;"",原始資料!T26=原始資料!S26),N(Q26)+1,1))</f>
        <v/>
      </c>
      <c r="S26" s="6">
        <f>IF(OR(原始資料!$A26="",18&gt;設定!$B$3,原始資料!U26=""),"",IF(AND(原始資料!T26&lt;&gt;"",原始資料!U26=原始資料!T26),N(R26)+1,1))</f>
        <v/>
      </c>
      <c r="T26" s="6">
        <f>IF(OR(原始資料!$A26="",19&gt;設定!$B$3,原始資料!V26=""),"",IF(AND(原始資料!U26&lt;&gt;"",原始資料!V26=原始資料!U26),N(S26)+1,1))</f>
        <v/>
      </c>
      <c r="U26" s="6">
        <f>IF(OR(原始資料!$A26="",20&gt;設定!$B$3,原始資料!W26=""),"",IF(AND(原始資料!V26&lt;&gt;"",原始資料!W26=原始資料!V26),N(T26)+1,1))</f>
        <v/>
      </c>
      <c r="V26" s="6">
        <f>IF(OR(原始資料!$A26="",21&gt;設定!$B$3,原始資料!X26=""),"",IF(AND(原始資料!W26&lt;&gt;"",原始資料!X26=原始資料!W26),N(U26)+1,1))</f>
        <v/>
      </c>
      <c r="W26" s="6">
        <f>IF(OR(原始資料!$A26="",22&gt;設定!$B$3,原始資料!Y26=""),"",IF(AND(原始資料!X26&lt;&gt;"",原始資料!Y26=原始資料!X26),N(V26)+1,1))</f>
        <v/>
      </c>
      <c r="X26" s="6">
        <f>IF(OR(原始資料!$A26="",23&gt;設定!$B$3,原始資料!Z26=""),"",IF(AND(原始資料!Y26&lt;&gt;"",原始資料!Z26=原始資料!Y26),N(W26)+1,1))</f>
        <v/>
      </c>
      <c r="Y26" s="6">
        <f>IF(OR(原始資料!$A26="",24&gt;設定!$B$3,原始資料!AA26=""),"",IF(AND(原始資料!Z26&lt;&gt;"",原始資料!AA26=原始資料!Z26),N(X26)+1,1))</f>
        <v/>
      </c>
      <c r="Z26" s="6">
        <f>IF(OR(原始資料!$A26="",25&gt;設定!$B$3,原始資料!AB26=""),"",IF(AND(原始資料!AA26&lt;&gt;"",原始資料!AB26=原始資料!AA26),N(Y26)+1,1))</f>
        <v/>
      </c>
      <c r="AA26" s="6">
        <f>IF(OR(原始資料!$A26="",26&gt;設定!$B$3,原始資料!AC26=""),"",IF(AND(原始資料!AB26&lt;&gt;"",原始資料!AC26=原始資料!AB26),N(Z26)+1,1))</f>
        <v/>
      </c>
      <c r="AB26" s="6">
        <f>IF(OR(原始資料!$A26="",27&gt;設定!$B$3,原始資料!AD26=""),"",IF(AND(原始資料!AC26&lt;&gt;"",原始資料!AD26=原始資料!AC26),N(AA26)+1,1))</f>
        <v/>
      </c>
      <c r="AC26" s="6">
        <f>IF(OR(原始資料!$A26="",28&gt;設定!$B$3,原始資料!AE26=""),"",IF(AND(原始資料!AD26&lt;&gt;"",原始資料!AE26=原始資料!AD26),N(AB26)+1,1))</f>
        <v/>
      </c>
      <c r="AD26" s="6">
        <f>IF(OR(原始資料!$A26="",29&gt;設定!$B$3,原始資料!AF26=""),"",IF(AND(原始資料!AE26&lt;&gt;"",原始資料!AF26=原始資料!AE26),N(AC26)+1,1))</f>
        <v/>
      </c>
      <c r="AE26" s="6">
        <f>IF(OR(原始資料!$A26="",30&gt;設定!$B$3,原始資料!AG26=""),"",IF(AND(原始資料!AF26&lt;&gt;"",原始資料!AG26=原始資料!AF26),N(AD26)+1,1))</f>
        <v/>
      </c>
      <c r="AF26" s="6">
        <f>IF(OR(原始資料!$A26="",31&gt;設定!$B$3,原始資料!AH26=""),"",IF(AND(原始資料!AG26&lt;&gt;"",原始資料!AH26=原始資料!AG26),N(AE26)+1,1))</f>
        <v/>
      </c>
      <c r="AG26" s="6">
        <f>IF(OR(原始資料!$A26="",32&gt;設定!$B$3,原始資料!AI26=""),"",IF(AND(原始資料!AH26&lt;&gt;"",原始資料!AI26=原始資料!AH26),N(AF26)+1,1))</f>
        <v/>
      </c>
      <c r="AH26" s="6">
        <f>IF(OR(原始資料!$A26="",33&gt;設定!$B$3,原始資料!AJ26=""),"",IF(AND(原始資料!AI26&lt;&gt;"",原始資料!AJ26=原始資料!AI26),N(AG26)+1,1))</f>
        <v/>
      </c>
      <c r="AI26" s="6">
        <f>IF(OR(原始資料!$A26="",34&gt;設定!$B$3,原始資料!AK26=""),"",IF(AND(原始資料!AJ26&lt;&gt;"",原始資料!AK26=原始資料!AJ26),N(AH26)+1,1))</f>
        <v/>
      </c>
      <c r="AJ26" s="6">
        <f>IF(OR(原始資料!$A26="",35&gt;設定!$B$3,原始資料!AL26=""),"",IF(AND(原始資料!AK26&lt;&gt;"",原始資料!AL26=原始資料!AK26),N(AI26)+1,1))</f>
        <v/>
      </c>
      <c r="AK26" s="6">
        <f>IF(OR(原始資料!$A26="",36&gt;設定!$B$3,原始資料!AM26=""),"",IF(AND(原始資料!AL26&lt;&gt;"",原始資料!AM26=原始資料!AL26),N(AJ26)+1,1))</f>
        <v/>
      </c>
      <c r="AL26" s="6">
        <f>IF(OR(原始資料!$A26="",37&gt;設定!$B$3,原始資料!AN26=""),"",IF(AND(原始資料!AM26&lt;&gt;"",原始資料!AN26=原始資料!AM26),N(AK26)+1,1))</f>
        <v/>
      </c>
      <c r="AM26" s="6">
        <f>IF(OR(原始資料!$A26="",38&gt;設定!$B$3,原始資料!AO26=""),"",IF(AND(原始資料!AN26&lt;&gt;"",原始資料!AO26=原始資料!AN26),N(AL26)+1,1))</f>
        <v/>
      </c>
      <c r="AN26" s="6">
        <f>IF(OR(原始資料!$A26="",39&gt;設定!$B$3,原始資料!AP26=""),"",IF(AND(原始資料!AO26&lt;&gt;"",原始資料!AP26=原始資料!AO26),N(AM26)+1,1))</f>
        <v/>
      </c>
      <c r="AO26" s="6">
        <f>IF(OR(原始資料!$A26="",40&gt;設定!$B$3,原始資料!AQ26=""),"",IF(AND(原始資料!AP26&lt;&gt;"",原始資料!AQ26=原始資料!AP26),N(AN26)+1,1))</f>
        <v/>
      </c>
      <c r="AP26" s="6">
        <f>IF(OR(原始資料!$A26="",41&gt;設定!$B$3,原始資料!AR26=""),"",IF(AND(原始資料!AQ26&lt;&gt;"",原始資料!AR26=原始資料!AQ26),N(AO26)+1,1))</f>
        <v/>
      </c>
      <c r="AQ26" s="6">
        <f>IF(OR(原始資料!$A26="",42&gt;設定!$B$3,原始資料!AS26=""),"",IF(AND(原始資料!AR26&lt;&gt;"",原始資料!AS26=原始資料!AR26),N(AP26)+1,1))</f>
        <v/>
      </c>
      <c r="AR26" s="6">
        <f>IF(OR(原始資料!$A26="",43&gt;設定!$B$3,原始資料!AT26=""),"",IF(AND(原始資料!AS26&lt;&gt;"",原始資料!AT26=原始資料!AS26),N(AQ26)+1,1))</f>
        <v/>
      </c>
      <c r="AS26" s="6">
        <f>IF(OR(原始資料!$A26="",44&gt;設定!$B$3,原始資料!AU26=""),"",IF(AND(原始資料!AT26&lt;&gt;"",原始資料!AU26=原始資料!AT26),N(AR26)+1,1))</f>
        <v/>
      </c>
      <c r="AT26" s="6">
        <f>IF(OR(原始資料!$A26="",45&gt;設定!$B$3,原始資料!AV26=""),"",IF(AND(原始資料!AU26&lt;&gt;"",原始資料!AV26=原始資料!AU26),N(AS26)+1,1))</f>
        <v/>
      </c>
      <c r="AU26" s="6">
        <f>IF(OR(原始資料!$A26="",46&gt;設定!$B$3,原始資料!AW26=""),"",IF(AND(原始資料!AV26&lt;&gt;"",原始資料!AW26=原始資料!AV26),N(AT26)+1,1))</f>
        <v/>
      </c>
      <c r="AV26" s="6">
        <f>IF(OR(原始資料!$A26="",47&gt;設定!$B$3,原始資料!AX26=""),"",IF(AND(原始資料!AW26&lt;&gt;"",原始資料!AX26=原始資料!AW26),N(AU26)+1,1))</f>
        <v/>
      </c>
      <c r="AW26" s="6">
        <f>IF(OR(原始資料!$A26="",48&gt;設定!$B$3,原始資料!AY26=""),"",IF(AND(原始資料!AX26&lt;&gt;"",原始資料!AY26=原始資料!AX26),N(AV26)+1,1))</f>
        <v/>
      </c>
      <c r="AX26" s="6">
        <f>IF(OR(原始資料!$A26="",49&gt;設定!$B$3,原始資料!AZ26=""),"",IF(AND(原始資料!AY26&lt;&gt;"",原始資料!AZ26=原始資料!AY26),N(AW26)+1,1))</f>
        <v/>
      </c>
      <c r="AY26" s="6">
        <f>IF(OR(原始資料!$A26="",50&gt;設定!$B$3,原始資料!BA26=""),"",IF(AND(原始資料!AZ26&lt;&gt;"",原始資料!BA26=原始資料!AZ26),N(AX26)+1,1))</f>
        <v/>
      </c>
      <c r="AZ26" s="6">
        <f>IF(OR(原始資料!$A26="",51&gt;設定!$B$3,原始資料!BB26=""),"",IF(AND(原始資料!BA26&lt;&gt;"",原始資料!BB26=原始資料!BA26),N(AY26)+1,1))</f>
        <v/>
      </c>
      <c r="BA26" s="6">
        <f>IF(OR(原始資料!$A26="",52&gt;設定!$B$3,原始資料!BC26=""),"",IF(AND(原始資料!BB26&lt;&gt;"",原始資料!BC26=原始資料!BB26),N(AZ26)+1,1))</f>
        <v/>
      </c>
      <c r="BB26" s="6">
        <f>IF(OR(原始資料!$A26="",53&gt;設定!$B$3,原始資料!BD26=""),"",IF(AND(原始資料!BC26&lt;&gt;"",原始資料!BD26=原始資料!BC26),N(BA26)+1,1))</f>
        <v/>
      </c>
      <c r="BC26" s="6">
        <f>IF(OR(原始資料!$A26="",54&gt;設定!$B$3,原始資料!BE26=""),"",IF(AND(原始資料!BD26&lt;&gt;"",原始資料!BE26=原始資料!BD26),N(BB26)+1,1))</f>
        <v/>
      </c>
      <c r="BD26" s="6">
        <f>IF(OR(原始資料!$A26="",55&gt;設定!$B$3,原始資料!BF26=""),"",IF(AND(原始資料!BE26&lt;&gt;"",原始資料!BF26=原始資料!BE26),N(BC26)+1,1))</f>
        <v/>
      </c>
      <c r="BE26" s="6">
        <f>IF(OR(原始資料!$A26="",56&gt;設定!$B$3,原始資料!BG26=""),"",IF(AND(原始資料!BF26&lt;&gt;"",原始資料!BG26=原始資料!BF26),N(BD26)+1,1))</f>
        <v/>
      </c>
      <c r="BF26" s="6">
        <f>IF(OR(原始資料!$A26="",57&gt;設定!$B$3,原始資料!BH26=""),"",IF(AND(原始資料!BG26&lt;&gt;"",原始資料!BH26=原始資料!BG26),N(BE26)+1,1))</f>
        <v/>
      </c>
      <c r="BG26" s="6">
        <f>IF(OR(原始資料!$A26="",58&gt;設定!$B$3,原始資料!BI26=""),"",IF(AND(原始資料!BH26&lt;&gt;"",原始資料!BI26=原始資料!BH26),N(BF26)+1,1))</f>
        <v/>
      </c>
      <c r="BH26" s="6">
        <f>IF(OR(原始資料!$A26="",59&gt;設定!$B$3,原始資料!BJ26=""),"",IF(AND(原始資料!BI26&lt;&gt;"",原始資料!BJ26=原始資料!BI26),N(BG26)+1,1))</f>
        <v/>
      </c>
      <c r="BI26" s="6">
        <f>IF(OR(原始資料!$A26="",60&gt;設定!$B$3,原始資料!BK26=""),"",IF(AND(原始資料!BJ26&lt;&gt;"",原始資料!BK26=原始資料!BJ26),N(BH26)+1,1))</f>
        <v/>
      </c>
    </row>
    <row r="27">
      <c r="A27" s="6">
        <f>IF(原始資料!$A27="","",原始資料!$A27)</f>
        <v/>
      </c>
      <c r="B27" s="6">
        <f>IF(OR(原始資料!$A27="",1&gt;設定!$B$3,原始資料!D27=""),"",1)</f>
        <v/>
      </c>
      <c r="C27" s="6">
        <f>IF(OR(原始資料!$A27="",2&gt;設定!$B$3,原始資料!E27=""),"",IF(AND(原始資料!D27&lt;&gt;"",原始資料!E27=原始資料!D27),N(B27)+1,1))</f>
        <v/>
      </c>
      <c r="D27" s="6">
        <f>IF(OR(原始資料!$A27="",3&gt;設定!$B$3,原始資料!F27=""),"",IF(AND(原始資料!E27&lt;&gt;"",原始資料!F27=原始資料!E27),N(C27)+1,1))</f>
        <v/>
      </c>
      <c r="E27" s="6">
        <f>IF(OR(原始資料!$A27="",4&gt;設定!$B$3,原始資料!G27=""),"",IF(AND(原始資料!F27&lt;&gt;"",原始資料!G27=原始資料!F27),N(D27)+1,1))</f>
        <v/>
      </c>
      <c r="F27" s="6">
        <f>IF(OR(原始資料!$A27="",5&gt;設定!$B$3,原始資料!H27=""),"",IF(AND(原始資料!G27&lt;&gt;"",原始資料!H27=原始資料!G27),N(E27)+1,1))</f>
        <v/>
      </c>
      <c r="G27" s="6">
        <f>IF(OR(原始資料!$A27="",6&gt;設定!$B$3,原始資料!I27=""),"",IF(AND(原始資料!H27&lt;&gt;"",原始資料!I27=原始資料!H27),N(F27)+1,1))</f>
        <v/>
      </c>
      <c r="H27" s="6">
        <f>IF(OR(原始資料!$A27="",7&gt;設定!$B$3,原始資料!J27=""),"",IF(AND(原始資料!I27&lt;&gt;"",原始資料!J27=原始資料!I27),N(G27)+1,1))</f>
        <v/>
      </c>
      <c r="I27" s="6">
        <f>IF(OR(原始資料!$A27="",8&gt;設定!$B$3,原始資料!K27=""),"",IF(AND(原始資料!J27&lt;&gt;"",原始資料!K27=原始資料!J27),N(H27)+1,1))</f>
        <v/>
      </c>
      <c r="J27" s="6">
        <f>IF(OR(原始資料!$A27="",9&gt;設定!$B$3,原始資料!L27=""),"",IF(AND(原始資料!K27&lt;&gt;"",原始資料!L27=原始資料!K27),N(I27)+1,1))</f>
        <v/>
      </c>
      <c r="K27" s="6">
        <f>IF(OR(原始資料!$A27="",10&gt;設定!$B$3,原始資料!M27=""),"",IF(AND(原始資料!L27&lt;&gt;"",原始資料!M27=原始資料!L27),N(J27)+1,1))</f>
        <v/>
      </c>
      <c r="L27" s="6">
        <f>IF(OR(原始資料!$A27="",11&gt;設定!$B$3,原始資料!N27=""),"",IF(AND(原始資料!M27&lt;&gt;"",原始資料!N27=原始資料!M27),N(K27)+1,1))</f>
        <v/>
      </c>
      <c r="M27" s="6">
        <f>IF(OR(原始資料!$A27="",12&gt;設定!$B$3,原始資料!O27=""),"",IF(AND(原始資料!N27&lt;&gt;"",原始資料!O27=原始資料!N27),N(L27)+1,1))</f>
        <v/>
      </c>
      <c r="N27" s="6">
        <f>IF(OR(原始資料!$A27="",13&gt;設定!$B$3,原始資料!P27=""),"",IF(AND(原始資料!O27&lt;&gt;"",原始資料!P27=原始資料!O27),N(M27)+1,1))</f>
        <v/>
      </c>
      <c r="O27" s="6">
        <f>IF(OR(原始資料!$A27="",14&gt;設定!$B$3,原始資料!Q27=""),"",IF(AND(原始資料!P27&lt;&gt;"",原始資料!Q27=原始資料!P27),N(N27)+1,1))</f>
        <v/>
      </c>
      <c r="P27" s="6">
        <f>IF(OR(原始資料!$A27="",15&gt;設定!$B$3,原始資料!R27=""),"",IF(AND(原始資料!Q27&lt;&gt;"",原始資料!R27=原始資料!Q27),N(O27)+1,1))</f>
        <v/>
      </c>
      <c r="Q27" s="6">
        <f>IF(OR(原始資料!$A27="",16&gt;設定!$B$3,原始資料!S27=""),"",IF(AND(原始資料!R27&lt;&gt;"",原始資料!S27=原始資料!R27),N(P27)+1,1))</f>
        <v/>
      </c>
      <c r="R27" s="6">
        <f>IF(OR(原始資料!$A27="",17&gt;設定!$B$3,原始資料!T27=""),"",IF(AND(原始資料!S27&lt;&gt;"",原始資料!T27=原始資料!S27),N(Q27)+1,1))</f>
        <v/>
      </c>
      <c r="S27" s="6">
        <f>IF(OR(原始資料!$A27="",18&gt;設定!$B$3,原始資料!U27=""),"",IF(AND(原始資料!T27&lt;&gt;"",原始資料!U27=原始資料!T27),N(R27)+1,1))</f>
        <v/>
      </c>
      <c r="T27" s="6">
        <f>IF(OR(原始資料!$A27="",19&gt;設定!$B$3,原始資料!V27=""),"",IF(AND(原始資料!U27&lt;&gt;"",原始資料!V27=原始資料!U27),N(S27)+1,1))</f>
        <v/>
      </c>
      <c r="U27" s="6">
        <f>IF(OR(原始資料!$A27="",20&gt;設定!$B$3,原始資料!W27=""),"",IF(AND(原始資料!V27&lt;&gt;"",原始資料!W27=原始資料!V27),N(T27)+1,1))</f>
        <v/>
      </c>
      <c r="V27" s="6">
        <f>IF(OR(原始資料!$A27="",21&gt;設定!$B$3,原始資料!X27=""),"",IF(AND(原始資料!W27&lt;&gt;"",原始資料!X27=原始資料!W27),N(U27)+1,1))</f>
        <v/>
      </c>
      <c r="W27" s="6">
        <f>IF(OR(原始資料!$A27="",22&gt;設定!$B$3,原始資料!Y27=""),"",IF(AND(原始資料!X27&lt;&gt;"",原始資料!Y27=原始資料!X27),N(V27)+1,1))</f>
        <v/>
      </c>
      <c r="X27" s="6">
        <f>IF(OR(原始資料!$A27="",23&gt;設定!$B$3,原始資料!Z27=""),"",IF(AND(原始資料!Y27&lt;&gt;"",原始資料!Z27=原始資料!Y27),N(W27)+1,1))</f>
        <v/>
      </c>
      <c r="Y27" s="6">
        <f>IF(OR(原始資料!$A27="",24&gt;設定!$B$3,原始資料!AA27=""),"",IF(AND(原始資料!Z27&lt;&gt;"",原始資料!AA27=原始資料!Z27),N(X27)+1,1))</f>
        <v/>
      </c>
      <c r="Z27" s="6">
        <f>IF(OR(原始資料!$A27="",25&gt;設定!$B$3,原始資料!AB27=""),"",IF(AND(原始資料!AA27&lt;&gt;"",原始資料!AB27=原始資料!AA27),N(Y27)+1,1))</f>
        <v/>
      </c>
      <c r="AA27" s="6">
        <f>IF(OR(原始資料!$A27="",26&gt;設定!$B$3,原始資料!AC27=""),"",IF(AND(原始資料!AB27&lt;&gt;"",原始資料!AC27=原始資料!AB27),N(Z27)+1,1))</f>
        <v/>
      </c>
      <c r="AB27" s="6">
        <f>IF(OR(原始資料!$A27="",27&gt;設定!$B$3,原始資料!AD27=""),"",IF(AND(原始資料!AC27&lt;&gt;"",原始資料!AD27=原始資料!AC27),N(AA27)+1,1))</f>
        <v/>
      </c>
      <c r="AC27" s="6">
        <f>IF(OR(原始資料!$A27="",28&gt;設定!$B$3,原始資料!AE27=""),"",IF(AND(原始資料!AD27&lt;&gt;"",原始資料!AE27=原始資料!AD27),N(AB27)+1,1))</f>
        <v/>
      </c>
      <c r="AD27" s="6">
        <f>IF(OR(原始資料!$A27="",29&gt;設定!$B$3,原始資料!AF27=""),"",IF(AND(原始資料!AE27&lt;&gt;"",原始資料!AF27=原始資料!AE27),N(AC27)+1,1))</f>
        <v/>
      </c>
      <c r="AE27" s="6">
        <f>IF(OR(原始資料!$A27="",30&gt;設定!$B$3,原始資料!AG27=""),"",IF(AND(原始資料!AF27&lt;&gt;"",原始資料!AG27=原始資料!AF27),N(AD27)+1,1))</f>
        <v/>
      </c>
      <c r="AF27" s="6">
        <f>IF(OR(原始資料!$A27="",31&gt;設定!$B$3,原始資料!AH27=""),"",IF(AND(原始資料!AG27&lt;&gt;"",原始資料!AH27=原始資料!AG27),N(AE27)+1,1))</f>
        <v/>
      </c>
      <c r="AG27" s="6">
        <f>IF(OR(原始資料!$A27="",32&gt;設定!$B$3,原始資料!AI27=""),"",IF(AND(原始資料!AH27&lt;&gt;"",原始資料!AI27=原始資料!AH27),N(AF27)+1,1))</f>
        <v/>
      </c>
      <c r="AH27" s="6">
        <f>IF(OR(原始資料!$A27="",33&gt;設定!$B$3,原始資料!AJ27=""),"",IF(AND(原始資料!AI27&lt;&gt;"",原始資料!AJ27=原始資料!AI27),N(AG27)+1,1))</f>
        <v/>
      </c>
      <c r="AI27" s="6">
        <f>IF(OR(原始資料!$A27="",34&gt;設定!$B$3,原始資料!AK27=""),"",IF(AND(原始資料!AJ27&lt;&gt;"",原始資料!AK27=原始資料!AJ27),N(AH27)+1,1))</f>
        <v/>
      </c>
      <c r="AJ27" s="6">
        <f>IF(OR(原始資料!$A27="",35&gt;設定!$B$3,原始資料!AL27=""),"",IF(AND(原始資料!AK27&lt;&gt;"",原始資料!AL27=原始資料!AK27),N(AI27)+1,1))</f>
        <v/>
      </c>
      <c r="AK27" s="6">
        <f>IF(OR(原始資料!$A27="",36&gt;設定!$B$3,原始資料!AM27=""),"",IF(AND(原始資料!AL27&lt;&gt;"",原始資料!AM27=原始資料!AL27),N(AJ27)+1,1))</f>
        <v/>
      </c>
      <c r="AL27" s="6">
        <f>IF(OR(原始資料!$A27="",37&gt;設定!$B$3,原始資料!AN27=""),"",IF(AND(原始資料!AM27&lt;&gt;"",原始資料!AN27=原始資料!AM27),N(AK27)+1,1))</f>
        <v/>
      </c>
      <c r="AM27" s="6">
        <f>IF(OR(原始資料!$A27="",38&gt;設定!$B$3,原始資料!AO27=""),"",IF(AND(原始資料!AN27&lt;&gt;"",原始資料!AO27=原始資料!AN27),N(AL27)+1,1))</f>
        <v/>
      </c>
      <c r="AN27" s="6">
        <f>IF(OR(原始資料!$A27="",39&gt;設定!$B$3,原始資料!AP27=""),"",IF(AND(原始資料!AO27&lt;&gt;"",原始資料!AP27=原始資料!AO27),N(AM27)+1,1))</f>
        <v/>
      </c>
      <c r="AO27" s="6">
        <f>IF(OR(原始資料!$A27="",40&gt;設定!$B$3,原始資料!AQ27=""),"",IF(AND(原始資料!AP27&lt;&gt;"",原始資料!AQ27=原始資料!AP27),N(AN27)+1,1))</f>
        <v/>
      </c>
      <c r="AP27" s="6">
        <f>IF(OR(原始資料!$A27="",41&gt;設定!$B$3,原始資料!AR27=""),"",IF(AND(原始資料!AQ27&lt;&gt;"",原始資料!AR27=原始資料!AQ27),N(AO27)+1,1))</f>
        <v/>
      </c>
      <c r="AQ27" s="6">
        <f>IF(OR(原始資料!$A27="",42&gt;設定!$B$3,原始資料!AS27=""),"",IF(AND(原始資料!AR27&lt;&gt;"",原始資料!AS27=原始資料!AR27),N(AP27)+1,1))</f>
        <v/>
      </c>
      <c r="AR27" s="6">
        <f>IF(OR(原始資料!$A27="",43&gt;設定!$B$3,原始資料!AT27=""),"",IF(AND(原始資料!AS27&lt;&gt;"",原始資料!AT27=原始資料!AS27),N(AQ27)+1,1))</f>
        <v/>
      </c>
      <c r="AS27" s="6">
        <f>IF(OR(原始資料!$A27="",44&gt;設定!$B$3,原始資料!AU27=""),"",IF(AND(原始資料!AT27&lt;&gt;"",原始資料!AU27=原始資料!AT27),N(AR27)+1,1))</f>
        <v/>
      </c>
      <c r="AT27" s="6">
        <f>IF(OR(原始資料!$A27="",45&gt;設定!$B$3,原始資料!AV27=""),"",IF(AND(原始資料!AU27&lt;&gt;"",原始資料!AV27=原始資料!AU27),N(AS27)+1,1))</f>
        <v/>
      </c>
      <c r="AU27" s="6">
        <f>IF(OR(原始資料!$A27="",46&gt;設定!$B$3,原始資料!AW27=""),"",IF(AND(原始資料!AV27&lt;&gt;"",原始資料!AW27=原始資料!AV27),N(AT27)+1,1))</f>
        <v/>
      </c>
      <c r="AV27" s="6">
        <f>IF(OR(原始資料!$A27="",47&gt;設定!$B$3,原始資料!AX27=""),"",IF(AND(原始資料!AW27&lt;&gt;"",原始資料!AX27=原始資料!AW27),N(AU27)+1,1))</f>
        <v/>
      </c>
      <c r="AW27" s="6">
        <f>IF(OR(原始資料!$A27="",48&gt;設定!$B$3,原始資料!AY27=""),"",IF(AND(原始資料!AX27&lt;&gt;"",原始資料!AY27=原始資料!AX27),N(AV27)+1,1))</f>
        <v/>
      </c>
      <c r="AX27" s="6">
        <f>IF(OR(原始資料!$A27="",49&gt;設定!$B$3,原始資料!AZ27=""),"",IF(AND(原始資料!AY27&lt;&gt;"",原始資料!AZ27=原始資料!AY27),N(AW27)+1,1))</f>
        <v/>
      </c>
      <c r="AY27" s="6">
        <f>IF(OR(原始資料!$A27="",50&gt;設定!$B$3,原始資料!BA27=""),"",IF(AND(原始資料!AZ27&lt;&gt;"",原始資料!BA27=原始資料!AZ27),N(AX27)+1,1))</f>
        <v/>
      </c>
      <c r="AZ27" s="6">
        <f>IF(OR(原始資料!$A27="",51&gt;設定!$B$3,原始資料!BB27=""),"",IF(AND(原始資料!BA27&lt;&gt;"",原始資料!BB27=原始資料!BA27),N(AY27)+1,1))</f>
        <v/>
      </c>
      <c r="BA27" s="6">
        <f>IF(OR(原始資料!$A27="",52&gt;設定!$B$3,原始資料!BC27=""),"",IF(AND(原始資料!BB27&lt;&gt;"",原始資料!BC27=原始資料!BB27),N(AZ27)+1,1))</f>
        <v/>
      </c>
      <c r="BB27" s="6">
        <f>IF(OR(原始資料!$A27="",53&gt;設定!$B$3,原始資料!BD27=""),"",IF(AND(原始資料!BC27&lt;&gt;"",原始資料!BD27=原始資料!BC27),N(BA27)+1,1))</f>
        <v/>
      </c>
      <c r="BC27" s="6">
        <f>IF(OR(原始資料!$A27="",54&gt;設定!$B$3,原始資料!BE27=""),"",IF(AND(原始資料!BD27&lt;&gt;"",原始資料!BE27=原始資料!BD27),N(BB27)+1,1))</f>
        <v/>
      </c>
      <c r="BD27" s="6">
        <f>IF(OR(原始資料!$A27="",55&gt;設定!$B$3,原始資料!BF27=""),"",IF(AND(原始資料!BE27&lt;&gt;"",原始資料!BF27=原始資料!BE27),N(BC27)+1,1))</f>
        <v/>
      </c>
      <c r="BE27" s="6">
        <f>IF(OR(原始資料!$A27="",56&gt;設定!$B$3,原始資料!BG27=""),"",IF(AND(原始資料!BF27&lt;&gt;"",原始資料!BG27=原始資料!BF27),N(BD27)+1,1))</f>
        <v/>
      </c>
      <c r="BF27" s="6">
        <f>IF(OR(原始資料!$A27="",57&gt;設定!$B$3,原始資料!BH27=""),"",IF(AND(原始資料!BG27&lt;&gt;"",原始資料!BH27=原始資料!BG27),N(BE27)+1,1))</f>
        <v/>
      </c>
      <c r="BG27" s="6">
        <f>IF(OR(原始資料!$A27="",58&gt;設定!$B$3,原始資料!BI27=""),"",IF(AND(原始資料!BH27&lt;&gt;"",原始資料!BI27=原始資料!BH27),N(BF27)+1,1))</f>
        <v/>
      </c>
      <c r="BH27" s="6">
        <f>IF(OR(原始資料!$A27="",59&gt;設定!$B$3,原始資料!BJ27=""),"",IF(AND(原始資料!BI27&lt;&gt;"",原始資料!BJ27=原始資料!BI27),N(BG27)+1,1))</f>
        <v/>
      </c>
      <c r="BI27" s="6">
        <f>IF(OR(原始資料!$A27="",60&gt;設定!$B$3,原始資料!BK27=""),"",IF(AND(原始資料!BJ27&lt;&gt;"",原始資料!BK27=原始資料!BJ27),N(BH27)+1,1))</f>
        <v/>
      </c>
    </row>
    <row r="28">
      <c r="A28" s="6">
        <f>IF(原始資料!$A28="","",原始資料!$A28)</f>
        <v/>
      </c>
      <c r="B28" s="6">
        <f>IF(OR(原始資料!$A28="",1&gt;設定!$B$3,原始資料!D28=""),"",1)</f>
        <v/>
      </c>
      <c r="C28" s="6">
        <f>IF(OR(原始資料!$A28="",2&gt;設定!$B$3,原始資料!E28=""),"",IF(AND(原始資料!D28&lt;&gt;"",原始資料!E28=原始資料!D28),N(B28)+1,1))</f>
        <v/>
      </c>
      <c r="D28" s="6">
        <f>IF(OR(原始資料!$A28="",3&gt;設定!$B$3,原始資料!F28=""),"",IF(AND(原始資料!E28&lt;&gt;"",原始資料!F28=原始資料!E28),N(C28)+1,1))</f>
        <v/>
      </c>
      <c r="E28" s="6">
        <f>IF(OR(原始資料!$A28="",4&gt;設定!$B$3,原始資料!G28=""),"",IF(AND(原始資料!F28&lt;&gt;"",原始資料!G28=原始資料!F28),N(D28)+1,1))</f>
        <v/>
      </c>
      <c r="F28" s="6">
        <f>IF(OR(原始資料!$A28="",5&gt;設定!$B$3,原始資料!H28=""),"",IF(AND(原始資料!G28&lt;&gt;"",原始資料!H28=原始資料!G28),N(E28)+1,1))</f>
        <v/>
      </c>
      <c r="G28" s="6">
        <f>IF(OR(原始資料!$A28="",6&gt;設定!$B$3,原始資料!I28=""),"",IF(AND(原始資料!H28&lt;&gt;"",原始資料!I28=原始資料!H28),N(F28)+1,1))</f>
        <v/>
      </c>
      <c r="H28" s="6">
        <f>IF(OR(原始資料!$A28="",7&gt;設定!$B$3,原始資料!J28=""),"",IF(AND(原始資料!I28&lt;&gt;"",原始資料!J28=原始資料!I28),N(G28)+1,1))</f>
        <v/>
      </c>
      <c r="I28" s="6">
        <f>IF(OR(原始資料!$A28="",8&gt;設定!$B$3,原始資料!K28=""),"",IF(AND(原始資料!J28&lt;&gt;"",原始資料!K28=原始資料!J28),N(H28)+1,1))</f>
        <v/>
      </c>
      <c r="J28" s="6">
        <f>IF(OR(原始資料!$A28="",9&gt;設定!$B$3,原始資料!L28=""),"",IF(AND(原始資料!K28&lt;&gt;"",原始資料!L28=原始資料!K28),N(I28)+1,1))</f>
        <v/>
      </c>
      <c r="K28" s="6">
        <f>IF(OR(原始資料!$A28="",10&gt;設定!$B$3,原始資料!M28=""),"",IF(AND(原始資料!L28&lt;&gt;"",原始資料!M28=原始資料!L28),N(J28)+1,1))</f>
        <v/>
      </c>
      <c r="L28" s="6">
        <f>IF(OR(原始資料!$A28="",11&gt;設定!$B$3,原始資料!N28=""),"",IF(AND(原始資料!M28&lt;&gt;"",原始資料!N28=原始資料!M28),N(K28)+1,1))</f>
        <v/>
      </c>
      <c r="M28" s="6">
        <f>IF(OR(原始資料!$A28="",12&gt;設定!$B$3,原始資料!O28=""),"",IF(AND(原始資料!N28&lt;&gt;"",原始資料!O28=原始資料!N28),N(L28)+1,1))</f>
        <v/>
      </c>
      <c r="N28" s="6">
        <f>IF(OR(原始資料!$A28="",13&gt;設定!$B$3,原始資料!P28=""),"",IF(AND(原始資料!O28&lt;&gt;"",原始資料!P28=原始資料!O28),N(M28)+1,1))</f>
        <v/>
      </c>
      <c r="O28" s="6">
        <f>IF(OR(原始資料!$A28="",14&gt;設定!$B$3,原始資料!Q28=""),"",IF(AND(原始資料!P28&lt;&gt;"",原始資料!Q28=原始資料!P28),N(N28)+1,1))</f>
        <v/>
      </c>
      <c r="P28" s="6">
        <f>IF(OR(原始資料!$A28="",15&gt;設定!$B$3,原始資料!R28=""),"",IF(AND(原始資料!Q28&lt;&gt;"",原始資料!R28=原始資料!Q28),N(O28)+1,1))</f>
        <v/>
      </c>
      <c r="Q28" s="6">
        <f>IF(OR(原始資料!$A28="",16&gt;設定!$B$3,原始資料!S28=""),"",IF(AND(原始資料!R28&lt;&gt;"",原始資料!S28=原始資料!R28),N(P28)+1,1))</f>
        <v/>
      </c>
      <c r="R28" s="6">
        <f>IF(OR(原始資料!$A28="",17&gt;設定!$B$3,原始資料!T28=""),"",IF(AND(原始資料!S28&lt;&gt;"",原始資料!T28=原始資料!S28),N(Q28)+1,1))</f>
        <v/>
      </c>
      <c r="S28" s="6">
        <f>IF(OR(原始資料!$A28="",18&gt;設定!$B$3,原始資料!U28=""),"",IF(AND(原始資料!T28&lt;&gt;"",原始資料!U28=原始資料!T28),N(R28)+1,1))</f>
        <v/>
      </c>
      <c r="T28" s="6">
        <f>IF(OR(原始資料!$A28="",19&gt;設定!$B$3,原始資料!V28=""),"",IF(AND(原始資料!U28&lt;&gt;"",原始資料!V28=原始資料!U28),N(S28)+1,1))</f>
        <v/>
      </c>
      <c r="U28" s="6">
        <f>IF(OR(原始資料!$A28="",20&gt;設定!$B$3,原始資料!W28=""),"",IF(AND(原始資料!V28&lt;&gt;"",原始資料!W28=原始資料!V28),N(T28)+1,1))</f>
        <v/>
      </c>
      <c r="V28" s="6">
        <f>IF(OR(原始資料!$A28="",21&gt;設定!$B$3,原始資料!X28=""),"",IF(AND(原始資料!W28&lt;&gt;"",原始資料!X28=原始資料!W28),N(U28)+1,1))</f>
        <v/>
      </c>
      <c r="W28" s="6">
        <f>IF(OR(原始資料!$A28="",22&gt;設定!$B$3,原始資料!Y28=""),"",IF(AND(原始資料!X28&lt;&gt;"",原始資料!Y28=原始資料!X28),N(V28)+1,1))</f>
        <v/>
      </c>
      <c r="X28" s="6">
        <f>IF(OR(原始資料!$A28="",23&gt;設定!$B$3,原始資料!Z28=""),"",IF(AND(原始資料!Y28&lt;&gt;"",原始資料!Z28=原始資料!Y28),N(W28)+1,1))</f>
        <v/>
      </c>
      <c r="Y28" s="6">
        <f>IF(OR(原始資料!$A28="",24&gt;設定!$B$3,原始資料!AA28=""),"",IF(AND(原始資料!Z28&lt;&gt;"",原始資料!AA28=原始資料!Z28),N(X28)+1,1))</f>
        <v/>
      </c>
      <c r="Z28" s="6">
        <f>IF(OR(原始資料!$A28="",25&gt;設定!$B$3,原始資料!AB28=""),"",IF(AND(原始資料!AA28&lt;&gt;"",原始資料!AB28=原始資料!AA28),N(Y28)+1,1))</f>
        <v/>
      </c>
      <c r="AA28" s="6">
        <f>IF(OR(原始資料!$A28="",26&gt;設定!$B$3,原始資料!AC28=""),"",IF(AND(原始資料!AB28&lt;&gt;"",原始資料!AC28=原始資料!AB28),N(Z28)+1,1))</f>
        <v/>
      </c>
      <c r="AB28" s="6">
        <f>IF(OR(原始資料!$A28="",27&gt;設定!$B$3,原始資料!AD28=""),"",IF(AND(原始資料!AC28&lt;&gt;"",原始資料!AD28=原始資料!AC28),N(AA28)+1,1))</f>
        <v/>
      </c>
      <c r="AC28" s="6">
        <f>IF(OR(原始資料!$A28="",28&gt;設定!$B$3,原始資料!AE28=""),"",IF(AND(原始資料!AD28&lt;&gt;"",原始資料!AE28=原始資料!AD28),N(AB28)+1,1))</f>
        <v/>
      </c>
      <c r="AD28" s="6">
        <f>IF(OR(原始資料!$A28="",29&gt;設定!$B$3,原始資料!AF28=""),"",IF(AND(原始資料!AE28&lt;&gt;"",原始資料!AF28=原始資料!AE28),N(AC28)+1,1))</f>
        <v/>
      </c>
      <c r="AE28" s="6">
        <f>IF(OR(原始資料!$A28="",30&gt;設定!$B$3,原始資料!AG28=""),"",IF(AND(原始資料!AF28&lt;&gt;"",原始資料!AG28=原始資料!AF28),N(AD28)+1,1))</f>
        <v/>
      </c>
      <c r="AF28" s="6">
        <f>IF(OR(原始資料!$A28="",31&gt;設定!$B$3,原始資料!AH28=""),"",IF(AND(原始資料!AG28&lt;&gt;"",原始資料!AH28=原始資料!AG28),N(AE28)+1,1))</f>
        <v/>
      </c>
      <c r="AG28" s="6">
        <f>IF(OR(原始資料!$A28="",32&gt;設定!$B$3,原始資料!AI28=""),"",IF(AND(原始資料!AH28&lt;&gt;"",原始資料!AI28=原始資料!AH28),N(AF28)+1,1))</f>
        <v/>
      </c>
      <c r="AH28" s="6">
        <f>IF(OR(原始資料!$A28="",33&gt;設定!$B$3,原始資料!AJ28=""),"",IF(AND(原始資料!AI28&lt;&gt;"",原始資料!AJ28=原始資料!AI28),N(AG28)+1,1))</f>
        <v/>
      </c>
      <c r="AI28" s="6">
        <f>IF(OR(原始資料!$A28="",34&gt;設定!$B$3,原始資料!AK28=""),"",IF(AND(原始資料!AJ28&lt;&gt;"",原始資料!AK28=原始資料!AJ28),N(AH28)+1,1))</f>
        <v/>
      </c>
      <c r="AJ28" s="6">
        <f>IF(OR(原始資料!$A28="",35&gt;設定!$B$3,原始資料!AL28=""),"",IF(AND(原始資料!AK28&lt;&gt;"",原始資料!AL28=原始資料!AK28),N(AI28)+1,1))</f>
        <v/>
      </c>
      <c r="AK28" s="6">
        <f>IF(OR(原始資料!$A28="",36&gt;設定!$B$3,原始資料!AM28=""),"",IF(AND(原始資料!AL28&lt;&gt;"",原始資料!AM28=原始資料!AL28),N(AJ28)+1,1))</f>
        <v/>
      </c>
      <c r="AL28" s="6">
        <f>IF(OR(原始資料!$A28="",37&gt;設定!$B$3,原始資料!AN28=""),"",IF(AND(原始資料!AM28&lt;&gt;"",原始資料!AN28=原始資料!AM28),N(AK28)+1,1))</f>
        <v/>
      </c>
      <c r="AM28" s="6">
        <f>IF(OR(原始資料!$A28="",38&gt;設定!$B$3,原始資料!AO28=""),"",IF(AND(原始資料!AN28&lt;&gt;"",原始資料!AO28=原始資料!AN28),N(AL28)+1,1))</f>
        <v/>
      </c>
      <c r="AN28" s="6">
        <f>IF(OR(原始資料!$A28="",39&gt;設定!$B$3,原始資料!AP28=""),"",IF(AND(原始資料!AO28&lt;&gt;"",原始資料!AP28=原始資料!AO28),N(AM28)+1,1))</f>
        <v/>
      </c>
      <c r="AO28" s="6">
        <f>IF(OR(原始資料!$A28="",40&gt;設定!$B$3,原始資料!AQ28=""),"",IF(AND(原始資料!AP28&lt;&gt;"",原始資料!AQ28=原始資料!AP28),N(AN28)+1,1))</f>
        <v/>
      </c>
      <c r="AP28" s="6">
        <f>IF(OR(原始資料!$A28="",41&gt;設定!$B$3,原始資料!AR28=""),"",IF(AND(原始資料!AQ28&lt;&gt;"",原始資料!AR28=原始資料!AQ28),N(AO28)+1,1))</f>
        <v/>
      </c>
      <c r="AQ28" s="6">
        <f>IF(OR(原始資料!$A28="",42&gt;設定!$B$3,原始資料!AS28=""),"",IF(AND(原始資料!AR28&lt;&gt;"",原始資料!AS28=原始資料!AR28),N(AP28)+1,1))</f>
        <v/>
      </c>
      <c r="AR28" s="6">
        <f>IF(OR(原始資料!$A28="",43&gt;設定!$B$3,原始資料!AT28=""),"",IF(AND(原始資料!AS28&lt;&gt;"",原始資料!AT28=原始資料!AS28),N(AQ28)+1,1))</f>
        <v/>
      </c>
      <c r="AS28" s="6">
        <f>IF(OR(原始資料!$A28="",44&gt;設定!$B$3,原始資料!AU28=""),"",IF(AND(原始資料!AT28&lt;&gt;"",原始資料!AU28=原始資料!AT28),N(AR28)+1,1))</f>
        <v/>
      </c>
      <c r="AT28" s="6">
        <f>IF(OR(原始資料!$A28="",45&gt;設定!$B$3,原始資料!AV28=""),"",IF(AND(原始資料!AU28&lt;&gt;"",原始資料!AV28=原始資料!AU28),N(AS28)+1,1))</f>
        <v/>
      </c>
      <c r="AU28" s="6">
        <f>IF(OR(原始資料!$A28="",46&gt;設定!$B$3,原始資料!AW28=""),"",IF(AND(原始資料!AV28&lt;&gt;"",原始資料!AW28=原始資料!AV28),N(AT28)+1,1))</f>
        <v/>
      </c>
      <c r="AV28" s="6">
        <f>IF(OR(原始資料!$A28="",47&gt;設定!$B$3,原始資料!AX28=""),"",IF(AND(原始資料!AW28&lt;&gt;"",原始資料!AX28=原始資料!AW28),N(AU28)+1,1))</f>
        <v/>
      </c>
      <c r="AW28" s="6">
        <f>IF(OR(原始資料!$A28="",48&gt;設定!$B$3,原始資料!AY28=""),"",IF(AND(原始資料!AX28&lt;&gt;"",原始資料!AY28=原始資料!AX28),N(AV28)+1,1))</f>
        <v/>
      </c>
      <c r="AX28" s="6">
        <f>IF(OR(原始資料!$A28="",49&gt;設定!$B$3,原始資料!AZ28=""),"",IF(AND(原始資料!AY28&lt;&gt;"",原始資料!AZ28=原始資料!AY28),N(AW28)+1,1))</f>
        <v/>
      </c>
      <c r="AY28" s="6">
        <f>IF(OR(原始資料!$A28="",50&gt;設定!$B$3,原始資料!BA28=""),"",IF(AND(原始資料!AZ28&lt;&gt;"",原始資料!BA28=原始資料!AZ28),N(AX28)+1,1))</f>
        <v/>
      </c>
      <c r="AZ28" s="6">
        <f>IF(OR(原始資料!$A28="",51&gt;設定!$B$3,原始資料!BB28=""),"",IF(AND(原始資料!BA28&lt;&gt;"",原始資料!BB28=原始資料!BA28),N(AY28)+1,1))</f>
        <v/>
      </c>
      <c r="BA28" s="6">
        <f>IF(OR(原始資料!$A28="",52&gt;設定!$B$3,原始資料!BC28=""),"",IF(AND(原始資料!BB28&lt;&gt;"",原始資料!BC28=原始資料!BB28),N(AZ28)+1,1))</f>
        <v/>
      </c>
      <c r="BB28" s="6">
        <f>IF(OR(原始資料!$A28="",53&gt;設定!$B$3,原始資料!BD28=""),"",IF(AND(原始資料!BC28&lt;&gt;"",原始資料!BD28=原始資料!BC28),N(BA28)+1,1))</f>
        <v/>
      </c>
      <c r="BC28" s="6">
        <f>IF(OR(原始資料!$A28="",54&gt;設定!$B$3,原始資料!BE28=""),"",IF(AND(原始資料!BD28&lt;&gt;"",原始資料!BE28=原始資料!BD28),N(BB28)+1,1))</f>
        <v/>
      </c>
      <c r="BD28" s="6">
        <f>IF(OR(原始資料!$A28="",55&gt;設定!$B$3,原始資料!BF28=""),"",IF(AND(原始資料!BE28&lt;&gt;"",原始資料!BF28=原始資料!BE28),N(BC28)+1,1))</f>
        <v/>
      </c>
      <c r="BE28" s="6">
        <f>IF(OR(原始資料!$A28="",56&gt;設定!$B$3,原始資料!BG28=""),"",IF(AND(原始資料!BF28&lt;&gt;"",原始資料!BG28=原始資料!BF28),N(BD28)+1,1))</f>
        <v/>
      </c>
      <c r="BF28" s="6">
        <f>IF(OR(原始資料!$A28="",57&gt;設定!$B$3,原始資料!BH28=""),"",IF(AND(原始資料!BG28&lt;&gt;"",原始資料!BH28=原始資料!BG28),N(BE28)+1,1))</f>
        <v/>
      </c>
      <c r="BG28" s="6">
        <f>IF(OR(原始資料!$A28="",58&gt;設定!$B$3,原始資料!BI28=""),"",IF(AND(原始資料!BH28&lt;&gt;"",原始資料!BI28=原始資料!BH28),N(BF28)+1,1))</f>
        <v/>
      </c>
      <c r="BH28" s="6">
        <f>IF(OR(原始資料!$A28="",59&gt;設定!$B$3,原始資料!BJ28=""),"",IF(AND(原始資料!BI28&lt;&gt;"",原始資料!BJ28=原始資料!BI28),N(BG28)+1,1))</f>
        <v/>
      </c>
      <c r="BI28" s="6">
        <f>IF(OR(原始資料!$A28="",60&gt;設定!$B$3,原始資料!BK28=""),"",IF(AND(原始資料!BJ28&lt;&gt;"",原始資料!BK28=原始資料!BJ28),N(BH28)+1,1))</f>
        <v/>
      </c>
    </row>
    <row r="29">
      <c r="A29" s="6">
        <f>IF(原始資料!$A29="","",原始資料!$A29)</f>
        <v/>
      </c>
      <c r="B29" s="6">
        <f>IF(OR(原始資料!$A29="",1&gt;設定!$B$3,原始資料!D29=""),"",1)</f>
        <v/>
      </c>
      <c r="C29" s="6">
        <f>IF(OR(原始資料!$A29="",2&gt;設定!$B$3,原始資料!E29=""),"",IF(AND(原始資料!D29&lt;&gt;"",原始資料!E29=原始資料!D29),N(B29)+1,1))</f>
        <v/>
      </c>
      <c r="D29" s="6">
        <f>IF(OR(原始資料!$A29="",3&gt;設定!$B$3,原始資料!F29=""),"",IF(AND(原始資料!E29&lt;&gt;"",原始資料!F29=原始資料!E29),N(C29)+1,1))</f>
        <v/>
      </c>
      <c r="E29" s="6">
        <f>IF(OR(原始資料!$A29="",4&gt;設定!$B$3,原始資料!G29=""),"",IF(AND(原始資料!F29&lt;&gt;"",原始資料!G29=原始資料!F29),N(D29)+1,1))</f>
        <v/>
      </c>
      <c r="F29" s="6">
        <f>IF(OR(原始資料!$A29="",5&gt;設定!$B$3,原始資料!H29=""),"",IF(AND(原始資料!G29&lt;&gt;"",原始資料!H29=原始資料!G29),N(E29)+1,1))</f>
        <v/>
      </c>
      <c r="G29" s="6">
        <f>IF(OR(原始資料!$A29="",6&gt;設定!$B$3,原始資料!I29=""),"",IF(AND(原始資料!H29&lt;&gt;"",原始資料!I29=原始資料!H29),N(F29)+1,1))</f>
        <v/>
      </c>
      <c r="H29" s="6">
        <f>IF(OR(原始資料!$A29="",7&gt;設定!$B$3,原始資料!J29=""),"",IF(AND(原始資料!I29&lt;&gt;"",原始資料!J29=原始資料!I29),N(G29)+1,1))</f>
        <v/>
      </c>
      <c r="I29" s="6">
        <f>IF(OR(原始資料!$A29="",8&gt;設定!$B$3,原始資料!K29=""),"",IF(AND(原始資料!J29&lt;&gt;"",原始資料!K29=原始資料!J29),N(H29)+1,1))</f>
        <v/>
      </c>
      <c r="J29" s="6">
        <f>IF(OR(原始資料!$A29="",9&gt;設定!$B$3,原始資料!L29=""),"",IF(AND(原始資料!K29&lt;&gt;"",原始資料!L29=原始資料!K29),N(I29)+1,1))</f>
        <v/>
      </c>
      <c r="K29" s="6">
        <f>IF(OR(原始資料!$A29="",10&gt;設定!$B$3,原始資料!M29=""),"",IF(AND(原始資料!L29&lt;&gt;"",原始資料!M29=原始資料!L29),N(J29)+1,1))</f>
        <v/>
      </c>
      <c r="L29" s="6">
        <f>IF(OR(原始資料!$A29="",11&gt;設定!$B$3,原始資料!N29=""),"",IF(AND(原始資料!M29&lt;&gt;"",原始資料!N29=原始資料!M29),N(K29)+1,1))</f>
        <v/>
      </c>
      <c r="M29" s="6">
        <f>IF(OR(原始資料!$A29="",12&gt;設定!$B$3,原始資料!O29=""),"",IF(AND(原始資料!N29&lt;&gt;"",原始資料!O29=原始資料!N29),N(L29)+1,1))</f>
        <v/>
      </c>
      <c r="N29" s="6">
        <f>IF(OR(原始資料!$A29="",13&gt;設定!$B$3,原始資料!P29=""),"",IF(AND(原始資料!O29&lt;&gt;"",原始資料!P29=原始資料!O29),N(M29)+1,1))</f>
        <v/>
      </c>
      <c r="O29" s="6">
        <f>IF(OR(原始資料!$A29="",14&gt;設定!$B$3,原始資料!Q29=""),"",IF(AND(原始資料!P29&lt;&gt;"",原始資料!Q29=原始資料!P29),N(N29)+1,1))</f>
        <v/>
      </c>
      <c r="P29" s="6">
        <f>IF(OR(原始資料!$A29="",15&gt;設定!$B$3,原始資料!R29=""),"",IF(AND(原始資料!Q29&lt;&gt;"",原始資料!R29=原始資料!Q29),N(O29)+1,1))</f>
        <v/>
      </c>
      <c r="Q29" s="6">
        <f>IF(OR(原始資料!$A29="",16&gt;設定!$B$3,原始資料!S29=""),"",IF(AND(原始資料!R29&lt;&gt;"",原始資料!S29=原始資料!R29),N(P29)+1,1))</f>
        <v/>
      </c>
      <c r="R29" s="6">
        <f>IF(OR(原始資料!$A29="",17&gt;設定!$B$3,原始資料!T29=""),"",IF(AND(原始資料!S29&lt;&gt;"",原始資料!T29=原始資料!S29),N(Q29)+1,1))</f>
        <v/>
      </c>
      <c r="S29" s="6">
        <f>IF(OR(原始資料!$A29="",18&gt;設定!$B$3,原始資料!U29=""),"",IF(AND(原始資料!T29&lt;&gt;"",原始資料!U29=原始資料!T29),N(R29)+1,1))</f>
        <v/>
      </c>
      <c r="T29" s="6">
        <f>IF(OR(原始資料!$A29="",19&gt;設定!$B$3,原始資料!V29=""),"",IF(AND(原始資料!U29&lt;&gt;"",原始資料!V29=原始資料!U29),N(S29)+1,1))</f>
        <v/>
      </c>
      <c r="U29" s="6">
        <f>IF(OR(原始資料!$A29="",20&gt;設定!$B$3,原始資料!W29=""),"",IF(AND(原始資料!V29&lt;&gt;"",原始資料!W29=原始資料!V29),N(T29)+1,1))</f>
        <v/>
      </c>
      <c r="V29" s="6">
        <f>IF(OR(原始資料!$A29="",21&gt;設定!$B$3,原始資料!X29=""),"",IF(AND(原始資料!W29&lt;&gt;"",原始資料!X29=原始資料!W29),N(U29)+1,1))</f>
        <v/>
      </c>
      <c r="W29" s="6">
        <f>IF(OR(原始資料!$A29="",22&gt;設定!$B$3,原始資料!Y29=""),"",IF(AND(原始資料!X29&lt;&gt;"",原始資料!Y29=原始資料!X29),N(V29)+1,1))</f>
        <v/>
      </c>
      <c r="X29" s="6">
        <f>IF(OR(原始資料!$A29="",23&gt;設定!$B$3,原始資料!Z29=""),"",IF(AND(原始資料!Y29&lt;&gt;"",原始資料!Z29=原始資料!Y29),N(W29)+1,1))</f>
        <v/>
      </c>
      <c r="Y29" s="6">
        <f>IF(OR(原始資料!$A29="",24&gt;設定!$B$3,原始資料!AA29=""),"",IF(AND(原始資料!Z29&lt;&gt;"",原始資料!AA29=原始資料!Z29),N(X29)+1,1))</f>
        <v/>
      </c>
      <c r="Z29" s="6">
        <f>IF(OR(原始資料!$A29="",25&gt;設定!$B$3,原始資料!AB29=""),"",IF(AND(原始資料!AA29&lt;&gt;"",原始資料!AB29=原始資料!AA29),N(Y29)+1,1))</f>
        <v/>
      </c>
      <c r="AA29" s="6">
        <f>IF(OR(原始資料!$A29="",26&gt;設定!$B$3,原始資料!AC29=""),"",IF(AND(原始資料!AB29&lt;&gt;"",原始資料!AC29=原始資料!AB29),N(Z29)+1,1))</f>
        <v/>
      </c>
      <c r="AB29" s="6">
        <f>IF(OR(原始資料!$A29="",27&gt;設定!$B$3,原始資料!AD29=""),"",IF(AND(原始資料!AC29&lt;&gt;"",原始資料!AD29=原始資料!AC29),N(AA29)+1,1))</f>
        <v/>
      </c>
      <c r="AC29" s="6">
        <f>IF(OR(原始資料!$A29="",28&gt;設定!$B$3,原始資料!AE29=""),"",IF(AND(原始資料!AD29&lt;&gt;"",原始資料!AE29=原始資料!AD29),N(AB29)+1,1))</f>
        <v/>
      </c>
      <c r="AD29" s="6">
        <f>IF(OR(原始資料!$A29="",29&gt;設定!$B$3,原始資料!AF29=""),"",IF(AND(原始資料!AE29&lt;&gt;"",原始資料!AF29=原始資料!AE29),N(AC29)+1,1))</f>
        <v/>
      </c>
      <c r="AE29" s="6">
        <f>IF(OR(原始資料!$A29="",30&gt;設定!$B$3,原始資料!AG29=""),"",IF(AND(原始資料!AF29&lt;&gt;"",原始資料!AG29=原始資料!AF29),N(AD29)+1,1))</f>
        <v/>
      </c>
      <c r="AF29" s="6">
        <f>IF(OR(原始資料!$A29="",31&gt;設定!$B$3,原始資料!AH29=""),"",IF(AND(原始資料!AG29&lt;&gt;"",原始資料!AH29=原始資料!AG29),N(AE29)+1,1))</f>
        <v/>
      </c>
      <c r="AG29" s="6">
        <f>IF(OR(原始資料!$A29="",32&gt;設定!$B$3,原始資料!AI29=""),"",IF(AND(原始資料!AH29&lt;&gt;"",原始資料!AI29=原始資料!AH29),N(AF29)+1,1))</f>
        <v/>
      </c>
      <c r="AH29" s="6">
        <f>IF(OR(原始資料!$A29="",33&gt;設定!$B$3,原始資料!AJ29=""),"",IF(AND(原始資料!AI29&lt;&gt;"",原始資料!AJ29=原始資料!AI29),N(AG29)+1,1))</f>
        <v/>
      </c>
      <c r="AI29" s="6">
        <f>IF(OR(原始資料!$A29="",34&gt;設定!$B$3,原始資料!AK29=""),"",IF(AND(原始資料!AJ29&lt;&gt;"",原始資料!AK29=原始資料!AJ29),N(AH29)+1,1))</f>
        <v/>
      </c>
      <c r="AJ29" s="6">
        <f>IF(OR(原始資料!$A29="",35&gt;設定!$B$3,原始資料!AL29=""),"",IF(AND(原始資料!AK29&lt;&gt;"",原始資料!AL29=原始資料!AK29),N(AI29)+1,1))</f>
        <v/>
      </c>
      <c r="AK29" s="6">
        <f>IF(OR(原始資料!$A29="",36&gt;設定!$B$3,原始資料!AM29=""),"",IF(AND(原始資料!AL29&lt;&gt;"",原始資料!AM29=原始資料!AL29),N(AJ29)+1,1))</f>
        <v/>
      </c>
      <c r="AL29" s="6">
        <f>IF(OR(原始資料!$A29="",37&gt;設定!$B$3,原始資料!AN29=""),"",IF(AND(原始資料!AM29&lt;&gt;"",原始資料!AN29=原始資料!AM29),N(AK29)+1,1))</f>
        <v/>
      </c>
      <c r="AM29" s="6">
        <f>IF(OR(原始資料!$A29="",38&gt;設定!$B$3,原始資料!AO29=""),"",IF(AND(原始資料!AN29&lt;&gt;"",原始資料!AO29=原始資料!AN29),N(AL29)+1,1))</f>
        <v/>
      </c>
      <c r="AN29" s="6">
        <f>IF(OR(原始資料!$A29="",39&gt;設定!$B$3,原始資料!AP29=""),"",IF(AND(原始資料!AO29&lt;&gt;"",原始資料!AP29=原始資料!AO29),N(AM29)+1,1))</f>
        <v/>
      </c>
      <c r="AO29" s="6">
        <f>IF(OR(原始資料!$A29="",40&gt;設定!$B$3,原始資料!AQ29=""),"",IF(AND(原始資料!AP29&lt;&gt;"",原始資料!AQ29=原始資料!AP29),N(AN29)+1,1))</f>
        <v/>
      </c>
      <c r="AP29" s="6">
        <f>IF(OR(原始資料!$A29="",41&gt;設定!$B$3,原始資料!AR29=""),"",IF(AND(原始資料!AQ29&lt;&gt;"",原始資料!AR29=原始資料!AQ29),N(AO29)+1,1))</f>
        <v/>
      </c>
      <c r="AQ29" s="6">
        <f>IF(OR(原始資料!$A29="",42&gt;設定!$B$3,原始資料!AS29=""),"",IF(AND(原始資料!AR29&lt;&gt;"",原始資料!AS29=原始資料!AR29),N(AP29)+1,1))</f>
        <v/>
      </c>
      <c r="AR29" s="6">
        <f>IF(OR(原始資料!$A29="",43&gt;設定!$B$3,原始資料!AT29=""),"",IF(AND(原始資料!AS29&lt;&gt;"",原始資料!AT29=原始資料!AS29),N(AQ29)+1,1))</f>
        <v/>
      </c>
      <c r="AS29" s="6">
        <f>IF(OR(原始資料!$A29="",44&gt;設定!$B$3,原始資料!AU29=""),"",IF(AND(原始資料!AT29&lt;&gt;"",原始資料!AU29=原始資料!AT29),N(AR29)+1,1))</f>
        <v/>
      </c>
      <c r="AT29" s="6">
        <f>IF(OR(原始資料!$A29="",45&gt;設定!$B$3,原始資料!AV29=""),"",IF(AND(原始資料!AU29&lt;&gt;"",原始資料!AV29=原始資料!AU29),N(AS29)+1,1))</f>
        <v/>
      </c>
      <c r="AU29" s="6">
        <f>IF(OR(原始資料!$A29="",46&gt;設定!$B$3,原始資料!AW29=""),"",IF(AND(原始資料!AV29&lt;&gt;"",原始資料!AW29=原始資料!AV29),N(AT29)+1,1))</f>
        <v/>
      </c>
      <c r="AV29" s="6">
        <f>IF(OR(原始資料!$A29="",47&gt;設定!$B$3,原始資料!AX29=""),"",IF(AND(原始資料!AW29&lt;&gt;"",原始資料!AX29=原始資料!AW29),N(AU29)+1,1))</f>
        <v/>
      </c>
      <c r="AW29" s="6">
        <f>IF(OR(原始資料!$A29="",48&gt;設定!$B$3,原始資料!AY29=""),"",IF(AND(原始資料!AX29&lt;&gt;"",原始資料!AY29=原始資料!AX29),N(AV29)+1,1))</f>
        <v/>
      </c>
      <c r="AX29" s="6">
        <f>IF(OR(原始資料!$A29="",49&gt;設定!$B$3,原始資料!AZ29=""),"",IF(AND(原始資料!AY29&lt;&gt;"",原始資料!AZ29=原始資料!AY29),N(AW29)+1,1))</f>
        <v/>
      </c>
      <c r="AY29" s="6">
        <f>IF(OR(原始資料!$A29="",50&gt;設定!$B$3,原始資料!BA29=""),"",IF(AND(原始資料!AZ29&lt;&gt;"",原始資料!BA29=原始資料!AZ29),N(AX29)+1,1))</f>
        <v/>
      </c>
      <c r="AZ29" s="6">
        <f>IF(OR(原始資料!$A29="",51&gt;設定!$B$3,原始資料!BB29=""),"",IF(AND(原始資料!BA29&lt;&gt;"",原始資料!BB29=原始資料!BA29),N(AY29)+1,1))</f>
        <v/>
      </c>
      <c r="BA29" s="6">
        <f>IF(OR(原始資料!$A29="",52&gt;設定!$B$3,原始資料!BC29=""),"",IF(AND(原始資料!BB29&lt;&gt;"",原始資料!BC29=原始資料!BB29),N(AZ29)+1,1))</f>
        <v/>
      </c>
      <c r="BB29" s="6">
        <f>IF(OR(原始資料!$A29="",53&gt;設定!$B$3,原始資料!BD29=""),"",IF(AND(原始資料!BC29&lt;&gt;"",原始資料!BD29=原始資料!BC29),N(BA29)+1,1))</f>
        <v/>
      </c>
      <c r="BC29" s="6">
        <f>IF(OR(原始資料!$A29="",54&gt;設定!$B$3,原始資料!BE29=""),"",IF(AND(原始資料!BD29&lt;&gt;"",原始資料!BE29=原始資料!BD29),N(BB29)+1,1))</f>
        <v/>
      </c>
      <c r="BD29" s="6">
        <f>IF(OR(原始資料!$A29="",55&gt;設定!$B$3,原始資料!BF29=""),"",IF(AND(原始資料!BE29&lt;&gt;"",原始資料!BF29=原始資料!BE29),N(BC29)+1,1))</f>
        <v/>
      </c>
      <c r="BE29" s="6">
        <f>IF(OR(原始資料!$A29="",56&gt;設定!$B$3,原始資料!BG29=""),"",IF(AND(原始資料!BF29&lt;&gt;"",原始資料!BG29=原始資料!BF29),N(BD29)+1,1))</f>
        <v/>
      </c>
      <c r="BF29" s="6">
        <f>IF(OR(原始資料!$A29="",57&gt;設定!$B$3,原始資料!BH29=""),"",IF(AND(原始資料!BG29&lt;&gt;"",原始資料!BH29=原始資料!BG29),N(BE29)+1,1))</f>
        <v/>
      </c>
      <c r="BG29" s="6">
        <f>IF(OR(原始資料!$A29="",58&gt;設定!$B$3,原始資料!BI29=""),"",IF(AND(原始資料!BH29&lt;&gt;"",原始資料!BI29=原始資料!BH29),N(BF29)+1,1))</f>
        <v/>
      </c>
      <c r="BH29" s="6">
        <f>IF(OR(原始資料!$A29="",59&gt;設定!$B$3,原始資料!BJ29=""),"",IF(AND(原始資料!BI29&lt;&gt;"",原始資料!BJ29=原始資料!BI29),N(BG29)+1,1))</f>
        <v/>
      </c>
      <c r="BI29" s="6">
        <f>IF(OR(原始資料!$A29="",60&gt;設定!$B$3,原始資料!BK29=""),"",IF(AND(原始資料!BJ29&lt;&gt;"",原始資料!BK29=原始資料!BJ29),N(BH29)+1,1))</f>
        <v/>
      </c>
    </row>
    <row r="30">
      <c r="A30" s="6">
        <f>IF(原始資料!$A30="","",原始資料!$A30)</f>
        <v/>
      </c>
      <c r="B30" s="6">
        <f>IF(OR(原始資料!$A30="",1&gt;設定!$B$3,原始資料!D30=""),"",1)</f>
        <v/>
      </c>
      <c r="C30" s="6">
        <f>IF(OR(原始資料!$A30="",2&gt;設定!$B$3,原始資料!E30=""),"",IF(AND(原始資料!D30&lt;&gt;"",原始資料!E30=原始資料!D30),N(B30)+1,1))</f>
        <v/>
      </c>
      <c r="D30" s="6">
        <f>IF(OR(原始資料!$A30="",3&gt;設定!$B$3,原始資料!F30=""),"",IF(AND(原始資料!E30&lt;&gt;"",原始資料!F30=原始資料!E30),N(C30)+1,1))</f>
        <v/>
      </c>
      <c r="E30" s="6">
        <f>IF(OR(原始資料!$A30="",4&gt;設定!$B$3,原始資料!G30=""),"",IF(AND(原始資料!F30&lt;&gt;"",原始資料!G30=原始資料!F30),N(D30)+1,1))</f>
        <v/>
      </c>
      <c r="F30" s="6">
        <f>IF(OR(原始資料!$A30="",5&gt;設定!$B$3,原始資料!H30=""),"",IF(AND(原始資料!G30&lt;&gt;"",原始資料!H30=原始資料!G30),N(E30)+1,1))</f>
        <v/>
      </c>
      <c r="G30" s="6">
        <f>IF(OR(原始資料!$A30="",6&gt;設定!$B$3,原始資料!I30=""),"",IF(AND(原始資料!H30&lt;&gt;"",原始資料!I30=原始資料!H30),N(F30)+1,1))</f>
        <v/>
      </c>
      <c r="H30" s="6">
        <f>IF(OR(原始資料!$A30="",7&gt;設定!$B$3,原始資料!J30=""),"",IF(AND(原始資料!I30&lt;&gt;"",原始資料!J30=原始資料!I30),N(G30)+1,1))</f>
        <v/>
      </c>
      <c r="I30" s="6">
        <f>IF(OR(原始資料!$A30="",8&gt;設定!$B$3,原始資料!K30=""),"",IF(AND(原始資料!J30&lt;&gt;"",原始資料!K30=原始資料!J30),N(H30)+1,1))</f>
        <v/>
      </c>
      <c r="J30" s="6">
        <f>IF(OR(原始資料!$A30="",9&gt;設定!$B$3,原始資料!L30=""),"",IF(AND(原始資料!K30&lt;&gt;"",原始資料!L30=原始資料!K30),N(I30)+1,1))</f>
        <v/>
      </c>
      <c r="K30" s="6">
        <f>IF(OR(原始資料!$A30="",10&gt;設定!$B$3,原始資料!M30=""),"",IF(AND(原始資料!L30&lt;&gt;"",原始資料!M30=原始資料!L30),N(J30)+1,1))</f>
        <v/>
      </c>
      <c r="L30" s="6">
        <f>IF(OR(原始資料!$A30="",11&gt;設定!$B$3,原始資料!N30=""),"",IF(AND(原始資料!M30&lt;&gt;"",原始資料!N30=原始資料!M30),N(K30)+1,1))</f>
        <v/>
      </c>
      <c r="M30" s="6">
        <f>IF(OR(原始資料!$A30="",12&gt;設定!$B$3,原始資料!O30=""),"",IF(AND(原始資料!N30&lt;&gt;"",原始資料!O30=原始資料!N30),N(L30)+1,1))</f>
        <v/>
      </c>
      <c r="N30" s="6">
        <f>IF(OR(原始資料!$A30="",13&gt;設定!$B$3,原始資料!P30=""),"",IF(AND(原始資料!O30&lt;&gt;"",原始資料!P30=原始資料!O30),N(M30)+1,1))</f>
        <v/>
      </c>
      <c r="O30" s="6">
        <f>IF(OR(原始資料!$A30="",14&gt;設定!$B$3,原始資料!Q30=""),"",IF(AND(原始資料!P30&lt;&gt;"",原始資料!Q30=原始資料!P30),N(N30)+1,1))</f>
        <v/>
      </c>
      <c r="P30" s="6">
        <f>IF(OR(原始資料!$A30="",15&gt;設定!$B$3,原始資料!R30=""),"",IF(AND(原始資料!Q30&lt;&gt;"",原始資料!R30=原始資料!Q30),N(O30)+1,1))</f>
        <v/>
      </c>
      <c r="Q30" s="6">
        <f>IF(OR(原始資料!$A30="",16&gt;設定!$B$3,原始資料!S30=""),"",IF(AND(原始資料!R30&lt;&gt;"",原始資料!S30=原始資料!R30),N(P30)+1,1))</f>
        <v/>
      </c>
      <c r="R30" s="6">
        <f>IF(OR(原始資料!$A30="",17&gt;設定!$B$3,原始資料!T30=""),"",IF(AND(原始資料!S30&lt;&gt;"",原始資料!T30=原始資料!S30),N(Q30)+1,1))</f>
        <v/>
      </c>
      <c r="S30" s="6">
        <f>IF(OR(原始資料!$A30="",18&gt;設定!$B$3,原始資料!U30=""),"",IF(AND(原始資料!T30&lt;&gt;"",原始資料!U30=原始資料!T30),N(R30)+1,1))</f>
        <v/>
      </c>
      <c r="T30" s="6">
        <f>IF(OR(原始資料!$A30="",19&gt;設定!$B$3,原始資料!V30=""),"",IF(AND(原始資料!U30&lt;&gt;"",原始資料!V30=原始資料!U30),N(S30)+1,1))</f>
        <v/>
      </c>
      <c r="U30" s="6">
        <f>IF(OR(原始資料!$A30="",20&gt;設定!$B$3,原始資料!W30=""),"",IF(AND(原始資料!V30&lt;&gt;"",原始資料!W30=原始資料!V30),N(T30)+1,1))</f>
        <v/>
      </c>
      <c r="V30" s="6">
        <f>IF(OR(原始資料!$A30="",21&gt;設定!$B$3,原始資料!X30=""),"",IF(AND(原始資料!W30&lt;&gt;"",原始資料!X30=原始資料!W30),N(U30)+1,1))</f>
        <v/>
      </c>
      <c r="W30" s="6">
        <f>IF(OR(原始資料!$A30="",22&gt;設定!$B$3,原始資料!Y30=""),"",IF(AND(原始資料!X30&lt;&gt;"",原始資料!Y30=原始資料!X30),N(V30)+1,1))</f>
        <v/>
      </c>
      <c r="X30" s="6">
        <f>IF(OR(原始資料!$A30="",23&gt;設定!$B$3,原始資料!Z30=""),"",IF(AND(原始資料!Y30&lt;&gt;"",原始資料!Z30=原始資料!Y30),N(W30)+1,1))</f>
        <v/>
      </c>
      <c r="Y30" s="6">
        <f>IF(OR(原始資料!$A30="",24&gt;設定!$B$3,原始資料!AA30=""),"",IF(AND(原始資料!Z30&lt;&gt;"",原始資料!AA30=原始資料!Z30),N(X30)+1,1))</f>
        <v/>
      </c>
      <c r="Z30" s="6">
        <f>IF(OR(原始資料!$A30="",25&gt;設定!$B$3,原始資料!AB30=""),"",IF(AND(原始資料!AA30&lt;&gt;"",原始資料!AB30=原始資料!AA30),N(Y30)+1,1))</f>
        <v/>
      </c>
      <c r="AA30" s="6">
        <f>IF(OR(原始資料!$A30="",26&gt;設定!$B$3,原始資料!AC30=""),"",IF(AND(原始資料!AB30&lt;&gt;"",原始資料!AC30=原始資料!AB30),N(Z30)+1,1))</f>
        <v/>
      </c>
      <c r="AB30" s="6">
        <f>IF(OR(原始資料!$A30="",27&gt;設定!$B$3,原始資料!AD30=""),"",IF(AND(原始資料!AC30&lt;&gt;"",原始資料!AD30=原始資料!AC30),N(AA30)+1,1))</f>
        <v/>
      </c>
      <c r="AC30" s="6">
        <f>IF(OR(原始資料!$A30="",28&gt;設定!$B$3,原始資料!AE30=""),"",IF(AND(原始資料!AD30&lt;&gt;"",原始資料!AE30=原始資料!AD30),N(AB30)+1,1))</f>
        <v/>
      </c>
      <c r="AD30" s="6">
        <f>IF(OR(原始資料!$A30="",29&gt;設定!$B$3,原始資料!AF30=""),"",IF(AND(原始資料!AE30&lt;&gt;"",原始資料!AF30=原始資料!AE30),N(AC30)+1,1))</f>
        <v/>
      </c>
      <c r="AE30" s="6">
        <f>IF(OR(原始資料!$A30="",30&gt;設定!$B$3,原始資料!AG30=""),"",IF(AND(原始資料!AF30&lt;&gt;"",原始資料!AG30=原始資料!AF30),N(AD30)+1,1))</f>
        <v/>
      </c>
      <c r="AF30" s="6">
        <f>IF(OR(原始資料!$A30="",31&gt;設定!$B$3,原始資料!AH30=""),"",IF(AND(原始資料!AG30&lt;&gt;"",原始資料!AH30=原始資料!AG30),N(AE30)+1,1))</f>
        <v/>
      </c>
      <c r="AG30" s="6">
        <f>IF(OR(原始資料!$A30="",32&gt;設定!$B$3,原始資料!AI30=""),"",IF(AND(原始資料!AH30&lt;&gt;"",原始資料!AI30=原始資料!AH30),N(AF30)+1,1))</f>
        <v/>
      </c>
      <c r="AH30" s="6">
        <f>IF(OR(原始資料!$A30="",33&gt;設定!$B$3,原始資料!AJ30=""),"",IF(AND(原始資料!AI30&lt;&gt;"",原始資料!AJ30=原始資料!AI30),N(AG30)+1,1))</f>
        <v/>
      </c>
      <c r="AI30" s="6">
        <f>IF(OR(原始資料!$A30="",34&gt;設定!$B$3,原始資料!AK30=""),"",IF(AND(原始資料!AJ30&lt;&gt;"",原始資料!AK30=原始資料!AJ30),N(AH30)+1,1))</f>
        <v/>
      </c>
      <c r="AJ30" s="6">
        <f>IF(OR(原始資料!$A30="",35&gt;設定!$B$3,原始資料!AL30=""),"",IF(AND(原始資料!AK30&lt;&gt;"",原始資料!AL30=原始資料!AK30),N(AI30)+1,1))</f>
        <v/>
      </c>
      <c r="AK30" s="6">
        <f>IF(OR(原始資料!$A30="",36&gt;設定!$B$3,原始資料!AM30=""),"",IF(AND(原始資料!AL30&lt;&gt;"",原始資料!AM30=原始資料!AL30),N(AJ30)+1,1))</f>
        <v/>
      </c>
      <c r="AL30" s="6">
        <f>IF(OR(原始資料!$A30="",37&gt;設定!$B$3,原始資料!AN30=""),"",IF(AND(原始資料!AM30&lt;&gt;"",原始資料!AN30=原始資料!AM30),N(AK30)+1,1))</f>
        <v/>
      </c>
      <c r="AM30" s="6">
        <f>IF(OR(原始資料!$A30="",38&gt;設定!$B$3,原始資料!AO30=""),"",IF(AND(原始資料!AN30&lt;&gt;"",原始資料!AO30=原始資料!AN30),N(AL30)+1,1))</f>
        <v/>
      </c>
      <c r="AN30" s="6">
        <f>IF(OR(原始資料!$A30="",39&gt;設定!$B$3,原始資料!AP30=""),"",IF(AND(原始資料!AO30&lt;&gt;"",原始資料!AP30=原始資料!AO30),N(AM30)+1,1))</f>
        <v/>
      </c>
      <c r="AO30" s="6">
        <f>IF(OR(原始資料!$A30="",40&gt;設定!$B$3,原始資料!AQ30=""),"",IF(AND(原始資料!AP30&lt;&gt;"",原始資料!AQ30=原始資料!AP30),N(AN30)+1,1))</f>
        <v/>
      </c>
      <c r="AP30" s="6">
        <f>IF(OR(原始資料!$A30="",41&gt;設定!$B$3,原始資料!AR30=""),"",IF(AND(原始資料!AQ30&lt;&gt;"",原始資料!AR30=原始資料!AQ30),N(AO30)+1,1))</f>
        <v/>
      </c>
      <c r="AQ30" s="6">
        <f>IF(OR(原始資料!$A30="",42&gt;設定!$B$3,原始資料!AS30=""),"",IF(AND(原始資料!AR30&lt;&gt;"",原始資料!AS30=原始資料!AR30),N(AP30)+1,1))</f>
        <v/>
      </c>
      <c r="AR30" s="6">
        <f>IF(OR(原始資料!$A30="",43&gt;設定!$B$3,原始資料!AT30=""),"",IF(AND(原始資料!AS30&lt;&gt;"",原始資料!AT30=原始資料!AS30),N(AQ30)+1,1))</f>
        <v/>
      </c>
      <c r="AS30" s="6">
        <f>IF(OR(原始資料!$A30="",44&gt;設定!$B$3,原始資料!AU30=""),"",IF(AND(原始資料!AT30&lt;&gt;"",原始資料!AU30=原始資料!AT30),N(AR30)+1,1))</f>
        <v/>
      </c>
      <c r="AT30" s="6">
        <f>IF(OR(原始資料!$A30="",45&gt;設定!$B$3,原始資料!AV30=""),"",IF(AND(原始資料!AU30&lt;&gt;"",原始資料!AV30=原始資料!AU30),N(AS30)+1,1))</f>
        <v/>
      </c>
      <c r="AU30" s="6">
        <f>IF(OR(原始資料!$A30="",46&gt;設定!$B$3,原始資料!AW30=""),"",IF(AND(原始資料!AV30&lt;&gt;"",原始資料!AW30=原始資料!AV30),N(AT30)+1,1))</f>
        <v/>
      </c>
      <c r="AV30" s="6">
        <f>IF(OR(原始資料!$A30="",47&gt;設定!$B$3,原始資料!AX30=""),"",IF(AND(原始資料!AW30&lt;&gt;"",原始資料!AX30=原始資料!AW30),N(AU30)+1,1))</f>
        <v/>
      </c>
      <c r="AW30" s="6">
        <f>IF(OR(原始資料!$A30="",48&gt;設定!$B$3,原始資料!AY30=""),"",IF(AND(原始資料!AX30&lt;&gt;"",原始資料!AY30=原始資料!AX30),N(AV30)+1,1))</f>
        <v/>
      </c>
      <c r="AX30" s="6">
        <f>IF(OR(原始資料!$A30="",49&gt;設定!$B$3,原始資料!AZ30=""),"",IF(AND(原始資料!AY30&lt;&gt;"",原始資料!AZ30=原始資料!AY30),N(AW30)+1,1))</f>
        <v/>
      </c>
      <c r="AY30" s="6">
        <f>IF(OR(原始資料!$A30="",50&gt;設定!$B$3,原始資料!BA30=""),"",IF(AND(原始資料!AZ30&lt;&gt;"",原始資料!BA30=原始資料!AZ30),N(AX30)+1,1))</f>
        <v/>
      </c>
      <c r="AZ30" s="6">
        <f>IF(OR(原始資料!$A30="",51&gt;設定!$B$3,原始資料!BB30=""),"",IF(AND(原始資料!BA30&lt;&gt;"",原始資料!BB30=原始資料!BA30),N(AY30)+1,1))</f>
        <v/>
      </c>
      <c r="BA30" s="6">
        <f>IF(OR(原始資料!$A30="",52&gt;設定!$B$3,原始資料!BC30=""),"",IF(AND(原始資料!BB30&lt;&gt;"",原始資料!BC30=原始資料!BB30),N(AZ30)+1,1))</f>
        <v/>
      </c>
      <c r="BB30" s="6">
        <f>IF(OR(原始資料!$A30="",53&gt;設定!$B$3,原始資料!BD30=""),"",IF(AND(原始資料!BC30&lt;&gt;"",原始資料!BD30=原始資料!BC30),N(BA30)+1,1))</f>
        <v/>
      </c>
      <c r="BC30" s="6">
        <f>IF(OR(原始資料!$A30="",54&gt;設定!$B$3,原始資料!BE30=""),"",IF(AND(原始資料!BD30&lt;&gt;"",原始資料!BE30=原始資料!BD30),N(BB30)+1,1))</f>
        <v/>
      </c>
      <c r="BD30" s="6">
        <f>IF(OR(原始資料!$A30="",55&gt;設定!$B$3,原始資料!BF30=""),"",IF(AND(原始資料!BE30&lt;&gt;"",原始資料!BF30=原始資料!BE30),N(BC30)+1,1))</f>
        <v/>
      </c>
      <c r="BE30" s="6">
        <f>IF(OR(原始資料!$A30="",56&gt;設定!$B$3,原始資料!BG30=""),"",IF(AND(原始資料!BF30&lt;&gt;"",原始資料!BG30=原始資料!BF30),N(BD30)+1,1))</f>
        <v/>
      </c>
      <c r="BF30" s="6">
        <f>IF(OR(原始資料!$A30="",57&gt;設定!$B$3,原始資料!BH30=""),"",IF(AND(原始資料!BG30&lt;&gt;"",原始資料!BH30=原始資料!BG30),N(BE30)+1,1))</f>
        <v/>
      </c>
      <c r="BG30" s="6">
        <f>IF(OR(原始資料!$A30="",58&gt;設定!$B$3,原始資料!BI30=""),"",IF(AND(原始資料!BH30&lt;&gt;"",原始資料!BI30=原始資料!BH30),N(BF30)+1,1))</f>
        <v/>
      </c>
      <c r="BH30" s="6">
        <f>IF(OR(原始資料!$A30="",59&gt;設定!$B$3,原始資料!BJ30=""),"",IF(AND(原始資料!BI30&lt;&gt;"",原始資料!BJ30=原始資料!BI30),N(BG30)+1,1))</f>
        <v/>
      </c>
      <c r="BI30" s="6">
        <f>IF(OR(原始資料!$A30="",60&gt;設定!$B$3,原始資料!BK30=""),"",IF(AND(原始資料!BJ30&lt;&gt;"",原始資料!BK30=原始資料!BJ30),N(BH30)+1,1))</f>
        <v/>
      </c>
    </row>
    <row r="31">
      <c r="A31" s="6">
        <f>IF(原始資料!$A31="","",原始資料!$A31)</f>
        <v/>
      </c>
      <c r="B31" s="6">
        <f>IF(OR(原始資料!$A31="",1&gt;設定!$B$3,原始資料!D31=""),"",1)</f>
        <v/>
      </c>
      <c r="C31" s="6">
        <f>IF(OR(原始資料!$A31="",2&gt;設定!$B$3,原始資料!E31=""),"",IF(AND(原始資料!D31&lt;&gt;"",原始資料!E31=原始資料!D31),N(B31)+1,1))</f>
        <v/>
      </c>
      <c r="D31" s="6">
        <f>IF(OR(原始資料!$A31="",3&gt;設定!$B$3,原始資料!F31=""),"",IF(AND(原始資料!E31&lt;&gt;"",原始資料!F31=原始資料!E31),N(C31)+1,1))</f>
        <v/>
      </c>
      <c r="E31" s="6">
        <f>IF(OR(原始資料!$A31="",4&gt;設定!$B$3,原始資料!G31=""),"",IF(AND(原始資料!F31&lt;&gt;"",原始資料!G31=原始資料!F31),N(D31)+1,1))</f>
        <v/>
      </c>
      <c r="F31" s="6">
        <f>IF(OR(原始資料!$A31="",5&gt;設定!$B$3,原始資料!H31=""),"",IF(AND(原始資料!G31&lt;&gt;"",原始資料!H31=原始資料!G31),N(E31)+1,1))</f>
        <v/>
      </c>
      <c r="G31" s="6">
        <f>IF(OR(原始資料!$A31="",6&gt;設定!$B$3,原始資料!I31=""),"",IF(AND(原始資料!H31&lt;&gt;"",原始資料!I31=原始資料!H31),N(F31)+1,1))</f>
        <v/>
      </c>
      <c r="H31" s="6">
        <f>IF(OR(原始資料!$A31="",7&gt;設定!$B$3,原始資料!J31=""),"",IF(AND(原始資料!I31&lt;&gt;"",原始資料!J31=原始資料!I31),N(G31)+1,1))</f>
        <v/>
      </c>
      <c r="I31" s="6">
        <f>IF(OR(原始資料!$A31="",8&gt;設定!$B$3,原始資料!K31=""),"",IF(AND(原始資料!J31&lt;&gt;"",原始資料!K31=原始資料!J31),N(H31)+1,1))</f>
        <v/>
      </c>
      <c r="J31" s="6">
        <f>IF(OR(原始資料!$A31="",9&gt;設定!$B$3,原始資料!L31=""),"",IF(AND(原始資料!K31&lt;&gt;"",原始資料!L31=原始資料!K31),N(I31)+1,1))</f>
        <v/>
      </c>
      <c r="K31" s="6">
        <f>IF(OR(原始資料!$A31="",10&gt;設定!$B$3,原始資料!M31=""),"",IF(AND(原始資料!L31&lt;&gt;"",原始資料!M31=原始資料!L31),N(J31)+1,1))</f>
        <v/>
      </c>
      <c r="L31" s="6">
        <f>IF(OR(原始資料!$A31="",11&gt;設定!$B$3,原始資料!N31=""),"",IF(AND(原始資料!M31&lt;&gt;"",原始資料!N31=原始資料!M31),N(K31)+1,1))</f>
        <v/>
      </c>
      <c r="M31" s="6">
        <f>IF(OR(原始資料!$A31="",12&gt;設定!$B$3,原始資料!O31=""),"",IF(AND(原始資料!N31&lt;&gt;"",原始資料!O31=原始資料!N31),N(L31)+1,1))</f>
        <v/>
      </c>
      <c r="N31" s="6">
        <f>IF(OR(原始資料!$A31="",13&gt;設定!$B$3,原始資料!P31=""),"",IF(AND(原始資料!O31&lt;&gt;"",原始資料!P31=原始資料!O31),N(M31)+1,1))</f>
        <v/>
      </c>
      <c r="O31" s="6">
        <f>IF(OR(原始資料!$A31="",14&gt;設定!$B$3,原始資料!Q31=""),"",IF(AND(原始資料!P31&lt;&gt;"",原始資料!Q31=原始資料!P31),N(N31)+1,1))</f>
        <v/>
      </c>
      <c r="P31" s="6">
        <f>IF(OR(原始資料!$A31="",15&gt;設定!$B$3,原始資料!R31=""),"",IF(AND(原始資料!Q31&lt;&gt;"",原始資料!R31=原始資料!Q31),N(O31)+1,1))</f>
        <v/>
      </c>
      <c r="Q31" s="6">
        <f>IF(OR(原始資料!$A31="",16&gt;設定!$B$3,原始資料!S31=""),"",IF(AND(原始資料!R31&lt;&gt;"",原始資料!S31=原始資料!R31),N(P31)+1,1))</f>
        <v/>
      </c>
      <c r="R31" s="6">
        <f>IF(OR(原始資料!$A31="",17&gt;設定!$B$3,原始資料!T31=""),"",IF(AND(原始資料!S31&lt;&gt;"",原始資料!T31=原始資料!S31),N(Q31)+1,1))</f>
        <v/>
      </c>
      <c r="S31" s="6">
        <f>IF(OR(原始資料!$A31="",18&gt;設定!$B$3,原始資料!U31=""),"",IF(AND(原始資料!T31&lt;&gt;"",原始資料!U31=原始資料!T31),N(R31)+1,1))</f>
        <v/>
      </c>
      <c r="T31" s="6">
        <f>IF(OR(原始資料!$A31="",19&gt;設定!$B$3,原始資料!V31=""),"",IF(AND(原始資料!U31&lt;&gt;"",原始資料!V31=原始資料!U31),N(S31)+1,1))</f>
        <v/>
      </c>
      <c r="U31" s="6">
        <f>IF(OR(原始資料!$A31="",20&gt;設定!$B$3,原始資料!W31=""),"",IF(AND(原始資料!V31&lt;&gt;"",原始資料!W31=原始資料!V31),N(T31)+1,1))</f>
        <v/>
      </c>
      <c r="V31" s="6">
        <f>IF(OR(原始資料!$A31="",21&gt;設定!$B$3,原始資料!X31=""),"",IF(AND(原始資料!W31&lt;&gt;"",原始資料!X31=原始資料!W31),N(U31)+1,1))</f>
        <v/>
      </c>
      <c r="W31" s="6">
        <f>IF(OR(原始資料!$A31="",22&gt;設定!$B$3,原始資料!Y31=""),"",IF(AND(原始資料!X31&lt;&gt;"",原始資料!Y31=原始資料!X31),N(V31)+1,1))</f>
        <v/>
      </c>
      <c r="X31" s="6">
        <f>IF(OR(原始資料!$A31="",23&gt;設定!$B$3,原始資料!Z31=""),"",IF(AND(原始資料!Y31&lt;&gt;"",原始資料!Z31=原始資料!Y31),N(W31)+1,1))</f>
        <v/>
      </c>
      <c r="Y31" s="6">
        <f>IF(OR(原始資料!$A31="",24&gt;設定!$B$3,原始資料!AA31=""),"",IF(AND(原始資料!Z31&lt;&gt;"",原始資料!AA31=原始資料!Z31),N(X31)+1,1))</f>
        <v/>
      </c>
      <c r="Z31" s="6">
        <f>IF(OR(原始資料!$A31="",25&gt;設定!$B$3,原始資料!AB31=""),"",IF(AND(原始資料!AA31&lt;&gt;"",原始資料!AB31=原始資料!AA31),N(Y31)+1,1))</f>
        <v/>
      </c>
      <c r="AA31" s="6">
        <f>IF(OR(原始資料!$A31="",26&gt;設定!$B$3,原始資料!AC31=""),"",IF(AND(原始資料!AB31&lt;&gt;"",原始資料!AC31=原始資料!AB31),N(Z31)+1,1))</f>
        <v/>
      </c>
      <c r="AB31" s="6">
        <f>IF(OR(原始資料!$A31="",27&gt;設定!$B$3,原始資料!AD31=""),"",IF(AND(原始資料!AC31&lt;&gt;"",原始資料!AD31=原始資料!AC31),N(AA31)+1,1))</f>
        <v/>
      </c>
      <c r="AC31" s="6">
        <f>IF(OR(原始資料!$A31="",28&gt;設定!$B$3,原始資料!AE31=""),"",IF(AND(原始資料!AD31&lt;&gt;"",原始資料!AE31=原始資料!AD31),N(AB31)+1,1))</f>
        <v/>
      </c>
      <c r="AD31" s="6">
        <f>IF(OR(原始資料!$A31="",29&gt;設定!$B$3,原始資料!AF31=""),"",IF(AND(原始資料!AE31&lt;&gt;"",原始資料!AF31=原始資料!AE31),N(AC31)+1,1))</f>
        <v/>
      </c>
      <c r="AE31" s="6">
        <f>IF(OR(原始資料!$A31="",30&gt;設定!$B$3,原始資料!AG31=""),"",IF(AND(原始資料!AF31&lt;&gt;"",原始資料!AG31=原始資料!AF31),N(AD31)+1,1))</f>
        <v/>
      </c>
      <c r="AF31" s="6">
        <f>IF(OR(原始資料!$A31="",31&gt;設定!$B$3,原始資料!AH31=""),"",IF(AND(原始資料!AG31&lt;&gt;"",原始資料!AH31=原始資料!AG31),N(AE31)+1,1))</f>
        <v/>
      </c>
      <c r="AG31" s="6">
        <f>IF(OR(原始資料!$A31="",32&gt;設定!$B$3,原始資料!AI31=""),"",IF(AND(原始資料!AH31&lt;&gt;"",原始資料!AI31=原始資料!AH31),N(AF31)+1,1))</f>
        <v/>
      </c>
      <c r="AH31" s="6">
        <f>IF(OR(原始資料!$A31="",33&gt;設定!$B$3,原始資料!AJ31=""),"",IF(AND(原始資料!AI31&lt;&gt;"",原始資料!AJ31=原始資料!AI31),N(AG31)+1,1))</f>
        <v/>
      </c>
      <c r="AI31" s="6">
        <f>IF(OR(原始資料!$A31="",34&gt;設定!$B$3,原始資料!AK31=""),"",IF(AND(原始資料!AJ31&lt;&gt;"",原始資料!AK31=原始資料!AJ31),N(AH31)+1,1))</f>
        <v/>
      </c>
      <c r="AJ31" s="6">
        <f>IF(OR(原始資料!$A31="",35&gt;設定!$B$3,原始資料!AL31=""),"",IF(AND(原始資料!AK31&lt;&gt;"",原始資料!AL31=原始資料!AK31),N(AI31)+1,1))</f>
        <v/>
      </c>
      <c r="AK31" s="6">
        <f>IF(OR(原始資料!$A31="",36&gt;設定!$B$3,原始資料!AM31=""),"",IF(AND(原始資料!AL31&lt;&gt;"",原始資料!AM31=原始資料!AL31),N(AJ31)+1,1))</f>
        <v/>
      </c>
      <c r="AL31" s="6">
        <f>IF(OR(原始資料!$A31="",37&gt;設定!$B$3,原始資料!AN31=""),"",IF(AND(原始資料!AM31&lt;&gt;"",原始資料!AN31=原始資料!AM31),N(AK31)+1,1))</f>
        <v/>
      </c>
      <c r="AM31" s="6">
        <f>IF(OR(原始資料!$A31="",38&gt;設定!$B$3,原始資料!AO31=""),"",IF(AND(原始資料!AN31&lt;&gt;"",原始資料!AO31=原始資料!AN31),N(AL31)+1,1))</f>
        <v/>
      </c>
      <c r="AN31" s="6">
        <f>IF(OR(原始資料!$A31="",39&gt;設定!$B$3,原始資料!AP31=""),"",IF(AND(原始資料!AO31&lt;&gt;"",原始資料!AP31=原始資料!AO31),N(AM31)+1,1))</f>
        <v/>
      </c>
      <c r="AO31" s="6">
        <f>IF(OR(原始資料!$A31="",40&gt;設定!$B$3,原始資料!AQ31=""),"",IF(AND(原始資料!AP31&lt;&gt;"",原始資料!AQ31=原始資料!AP31),N(AN31)+1,1))</f>
        <v/>
      </c>
      <c r="AP31" s="6">
        <f>IF(OR(原始資料!$A31="",41&gt;設定!$B$3,原始資料!AR31=""),"",IF(AND(原始資料!AQ31&lt;&gt;"",原始資料!AR31=原始資料!AQ31),N(AO31)+1,1))</f>
        <v/>
      </c>
      <c r="AQ31" s="6">
        <f>IF(OR(原始資料!$A31="",42&gt;設定!$B$3,原始資料!AS31=""),"",IF(AND(原始資料!AR31&lt;&gt;"",原始資料!AS31=原始資料!AR31),N(AP31)+1,1))</f>
        <v/>
      </c>
      <c r="AR31" s="6">
        <f>IF(OR(原始資料!$A31="",43&gt;設定!$B$3,原始資料!AT31=""),"",IF(AND(原始資料!AS31&lt;&gt;"",原始資料!AT31=原始資料!AS31),N(AQ31)+1,1))</f>
        <v/>
      </c>
      <c r="AS31" s="6">
        <f>IF(OR(原始資料!$A31="",44&gt;設定!$B$3,原始資料!AU31=""),"",IF(AND(原始資料!AT31&lt;&gt;"",原始資料!AU31=原始資料!AT31),N(AR31)+1,1))</f>
        <v/>
      </c>
      <c r="AT31" s="6">
        <f>IF(OR(原始資料!$A31="",45&gt;設定!$B$3,原始資料!AV31=""),"",IF(AND(原始資料!AU31&lt;&gt;"",原始資料!AV31=原始資料!AU31),N(AS31)+1,1))</f>
        <v/>
      </c>
      <c r="AU31" s="6">
        <f>IF(OR(原始資料!$A31="",46&gt;設定!$B$3,原始資料!AW31=""),"",IF(AND(原始資料!AV31&lt;&gt;"",原始資料!AW31=原始資料!AV31),N(AT31)+1,1))</f>
        <v/>
      </c>
      <c r="AV31" s="6">
        <f>IF(OR(原始資料!$A31="",47&gt;設定!$B$3,原始資料!AX31=""),"",IF(AND(原始資料!AW31&lt;&gt;"",原始資料!AX31=原始資料!AW31),N(AU31)+1,1))</f>
        <v/>
      </c>
      <c r="AW31" s="6">
        <f>IF(OR(原始資料!$A31="",48&gt;設定!$B$3,原始資料!AY31=""),"",IF(AND(原始資料!AX31&lt;&gt;"",原始資料!AY31=原始資料!AX31),N(AV31)+1,1))</f>
        <v/>
      </c>
      <c r="AX31" s="6">
        <f>IF(OR(原始資料!$A31="",49&gt;設定!$B$3,原始資料!AZ31=""),"",IF(AND(原始資料!AY31&lt;&gt;"",原始資料!AZ31=原始資料!AY31),N(AW31)+1,1))</f>
        <v/>
      </c>
      <c r="AY31" s="6">
        <f>IF(OR(原始資料!$A31="",50&gt;設定!$B$3,原始資料!BA31=""),"",IF(AND(原始資料!AZ31&lt;&gt;"",原始資料!BA31=原始資料!AZ31),N(AX31)+1,1))</f>
        <v/>
      </c>
      <c r="AZ31" s="6">
        <f>IF(OR(原始資料!$A31="",51&gt;設定!$B$3,原始資料!BB31=""),"",IF(AND(原始資料!BA31&lt;&gt;"",原始資料!BB31=原始資料!BA31),N(AY31)+1,1))</f>
        <v/>
      </c>
      <c r="BA31" s="6">
        <f>IF(OR(原始資料!$A31="",52&gt;設定!$B$3,原始資料!BC31=""),"",IF(AND(原始資料!BB31&lt;&gt;"",原始資料!BC31=原始資料!BB31),N(AZ31)+1,1))</f>
        <v/>
      </c>
      <c r="BB31" s="6">
        <f>IF(OR(原始資料!$A31="",53&gt;設定!$B$3,原始資料!BD31=""),"",IF(AND(原始資料!BC31&lt;&gt;"",原始資料!BD31=原始資料!BC31),N(BA31)+1,1))</f>
        <v/>
      </c>
      <c r="BC31" s="6">
        <f>IF(OR(原始資料!$A31="",54&gt;設定!$B$3,原始資料!BE31=""),"",IF(AND(原始資料!BD31&lt;&gt;"",原始資料!BE31=原始資料!BD31),N(BB31)+1,1))</f>
        <v/>
      </c>
      <c r="BD31" s="6">
        <f>IF(OR(原始資料!$A31="",55&gt;設定!$B$3,原始資料!BF31=""),"",IF(AND(原始資料!BE31&lt;&gt;"",原始資料!BF31=原始資料!BE31),N(BC31)+1,1))</f>
        <v/>
      </c>
      <c r="BE31" s="6">
        <f>IF(OR(原始資料!$A31="",56&gt;設定!$B$3,原始資料!BG31=""),"",IF(AND(原始資料!BF31&lt;&gt;"",原始資料!BG31=原始資料!BF31),N(BD31)+1,1))</f>
        <v/>
      </c>
      <c r="BF31" s="6">
        <f>IF(OR(原始資料!$A31="",57&gt;設定!$B$3,原始資料!BH31=""),"",IF(AND(原始資料!BG31&lt;&gt;"",原始資料!BH31=原始資料!BG31),N(BE31)+1,1))</f>
        <v/>
      </c>
      <c r="BG31" s="6">
        <f>IF(OR(原始資料!$A31="",58&gt;設定!$B$3,原始資料!BI31=""),"",IF(AND(原始資料!BH31&lt;&gt;"",原始資料!BI31=原始資料!BH31),N(BF31)+1,1))</f>
        <v/>
      </c>
      <c r="BH31" s="6">
        <f>IF(OR(原始資料!$A31="",59&gt;設定!$B$3,原始資料!BJ31=""),"",IF(AND(原始資料!BI31&lt;&gt;"",原始資料!BJ31=原始資料!BI31),N(BG31)+1,1))</f>
        <v/>
      </c>
      <c r="BI31" s="6">
        <f>IF(OR(原始資料!$A31="",60&gt;設定!$B$3,原始資料!BK31=""),"",IF(AND(原始資料!BJ31&lt;&gt;"",原始資料!BK31=原始資料!BJ31),N(BH31)+1,1))</f>
        <v/>
      </c>
    </row>
    <row r="32">
      <c r="A32" s="6">
        <f>IF(原始資料!$A32="","",原始資料!$A32)</f>
        <v/>
      </c>
      <c r="B32" s="6">
        <f>IF(OR(原始資料!$A32="",1&gt;設定!$B$3,原始資料!D32=""),"",1)</f>
        <v/>
      </c>
      <c r="C32" s="6">
        <f>IF(OR(原始資料!$A32="",2&gt;設定!$B$3,原始資料!E32=""),"",IF(AND(原始資料!D32&lt;&gt;"",原始資料!E32=原始資料!D32),N(B32)+1,1))</f>
        <v/>
      </c>
      <c r="D32" s="6">
        <f>IF(OR(原始資料!$A32="",3&gt;設定!$B$3,原始資料!F32=""),"",IF(AND(原始資料!E32&lt;&gt;"",原始資料!F32=原始資料!E32),N(C32)+1,1))</f>
        <v/>
      </c>
      <c r="E32" s="6">
        <f>IF(OR(原始資料!$A32="",4&gt;設定!$B$3,原始資料!G32=""),"",IF(AND(原始資料!F32&lt;&gt;"",原始資料!G32=原始資料!F32),N(D32)+1,1))</f>
        <v/>
      </c>
      <c r="F32" s="6">
        <f>IF(OR(原始資料!$A32="",5&gt;設定!$B$3,原始資料!H32=""),"",IF(AND(原始資料!G32&lt;&gt;"",原始資料!H32=原始資料!G32),N(E32)+1,1))</f>
        <v/>
      </c>
      <c r="G32" s="6">
        <f>IF(OR(原始資料!$A32="",6&gt;設定!$B$3,原始資料!I32=""),"",IF(AND(原始資料!H32&lt;&gt;"",原始資料!I32=原始資料!H32),N(F32)+1,1))</f>
        <v/>
      </c>
      <c r="H32" s="6">
        <f>IF(OR(原始資料!$A32="",7&gt;設定!$B$3,原始資料!J32=""),"",IF(AND(原始資料!I32&lt;&gt;"",原始資料!J32=原始資料!I32),N(G32)+1,1))</f>
        <v/>
      </c>
      <c r="I32" s="6">
        <f>IF(OR(原始資料!$A32="",8&gt;設定!$B$3,原始資料!K32=""),"",IF(AND(原始資料!J32&lt;&gt;"",原始資料!K32=原始資料!J32),N(H32)+1,1))</f>
        <v/>
      </c>
      <c r="J32" s="6">
        <f>IF(OR(原始資料!$A32="",9&gt;設定!$B$3,原始資料!L32=""),"",IF(AND(原始資料!K32&lt;&gt;"",原始資料!L32=原始資料!K32),N(I32)+1,1))</f>
        <v/>
      </c>
      <c r="K32" s="6">
        <f>IF(OR(原始資料!$A32="",10&gt;設定!$B$3,原始資料!M32=""),"",IF(AND(原始資料!L32&lt;&gt;"",原始資料!M32=原始資料!L32),N(J32)+1,1))</f>
        <v/>
      </c>
      <c r="L32" s="6">
        <f>IF(OR(原始資料!$A32="",11&gt;設定!$B$3,原始資料!N32=""),"",IF(AND(原始資料!M32&lt;&gt;"",原始資料!N32=原始資料!M32),N(K32)+1,1))</f>
        <v/>
      </c>
      <c r="M32" s="6">
        <f>IF(OR(原始資料!$A32="",12&gt;設定!$B$3,原始資料!O32=""),"",IF(AND(原始資料!N32&lt;&gt;"",原始資料!O32=原始資料!N32),N(L32)+1,1))</f>
        <v/>
      </c>
      <c r="N32" s="6">
        <f>IF(OR(原始資料!$A32="",13&gt;設定!$B$3,原始資料!P32=""),"",IF(AND(原始資料!O32&lt;&gt;"",原始資料!P32=原始資料!O32),N(M32)+1,1))</f>
        <v/>
      </c>
      <c r="O32" s="6">
        <f>IF(OR(原始資料!$A32="",14&gt;設定!$B$3,原始資料!Q32=""),"",IF(AND(原始資料!P32&lt;&gt;"",原始資料!Q32=原始資料!P32),N(N32)+1,1))</f>
        <v/>
      </c>
      <c r="P32" s="6">
        <f>IF(OR(原始資料!$A32="",15&gt;設定!$B$3,原始資料!R32=""),"",IF(AND(原始資料!Q32&lt;&gt;"",原始資料!R32=原始資料!Q32),N(O32)+1,1))</f>
        <v/>
      </c>
      <c r="Q32" s="6">
        <f>IF(OR(原始資料!$A32="",16&gt;設定!$B$3,原始資料!S32=""),"",IF(AND(原始資料!R32&lt;&gt;"",原始資料!S32=原始資料!R32),N(P32)+1,1))</f>
        <v/>
      </c>
      <c r="R32" s="6">
        <f>IF(OR(原始資料!$A32="",17&gt;設定!$B$3,原始資料!T32=""),"",IF(AND(原始資料!S32&lt;&gt;"",原始資料!T32=原始資料!S32),N(Q32)+1,1))</f>
        <v/>
      </c>
      <c r="S32" s="6">
        <f>IF(OR(原始資料!$A32="",18&gt;設定!$B$3,原始資料!U32=""),"",IF(AND(原始資料!T32&lt;&gt;"",原始資料!U32=原始資料!T32),N(R32)+1,1))</f>
        <v/>
      </c>
      <c r="T32" s="6">
        <f>IF(OR(原始資料!$A32="",19&gt;設定!$B$3,原始資料!V32=""),"",IF(AND(原始資料!U32&lt;&gt;"",原始資料!V32=原始資料!U32),N(S32)+1,1))</f>
        <v/>
      </c>
      <c r="U32" s="6">
        <f>IF(OR(原始資料!$A32="",20&gt;設定!$B$3,原始資料!W32=""),"",IF(AND(原始資料!V32&lt;&gt;"",原始資料!W32=原始資料!V32),N(T32)+1,1))</f>
        <v/>
      </c>
      <c r="V32" s="6">
        <f>IF(OR(原始資料!$A32="",21&gt;設定!$B$3,原始資料!X32=""),"",IF(AND(原始資料!W32&lt;&gt;"",原始資料!X32=原始資料!W32),N(U32)+1,1))</f>
        <v/>
      </c>
      <c r="W32" s="6">
        <f>IF(OR(原始資料!$A32="",22&gt;設定!$B$3,原始資料!Y32=""),"",IF(AND(原始資料!X32&lt;&gt;"",原始資料!Y32=原始資料!X32),N(V32)+1,1))</f>
        <v/>
      </c>
      <c r="X32" s="6">
        <f>IF(OR(原始資料!$A32="",23&gt;設定!$B$3,原始資料!Z32=""),"",IF(AND(原始資料!Y32&lt;&gt;"",原始資料!Z32=原始資料!Y32),N(W32)+1,1))</f>
        <v/>
      </c>
      <c r="Y32" s="6">
        <f>IF(OR(原始資料!$A32="",24&gt;設定!$B$3,原始資料!AA32=""),"",IF(AND(原始資料!Z32&lt;&gt;"",原始資料!AA32=原始資料!Z32),N(X32)+1,1))</f>
        <v/>
      </c>
      <c r="Z32" s="6">
        <f>IF(OR(原始資料!$A32="",25&gt;設定!$B$3,原始資料!AB32=""),"",IF(AND(原始資料!AA32&lt;&gt;"",原始資料!AB32=原始資料!AA32),N(Y32)+1,1))</f>
        <v/>
      </c>
      <c r="AA32" s="6">
        <f>IF(OR(原始資料!$A32="",26&gt;設定!$B$3,原始資料!AC32=""),"",IF(AND(原始資料!AB32&lt;&gt;"",原始資料!AC32=原始資料!AB32),N(Z32)+1,1))</f>
        <v/>
      </c>
      <c r="AB32" s="6">
        <f>IF(OR(原始資料!$A32="",27&gt;設定!$B$3,原始資料!AD32=""),"",IF(AND(原始資料!AC32&lt;&gt;"",原始資料!AD32=原始資料!AC32),N(AA32)+1,1))</f>
        <v/>
      </c>
      <c r="AC32" s="6">
        <f>IF(OR(原始資料!$A32="",28&gt;設定!$B$3,原始資料!AE32=""),"",IF(AND(原始資料!AD32&lt;&gt;"",原始資料!AE32=原始資料!AD32),N(AB32)+1,1))</f>
        <v/>
      </c>
      <c r="AD32" s="6">
        <f>IF(OR(原始資料!$A32="",29&gt;設定!$B$3,原始資料!AF32=""),"",IF(AND(原始資料!AE32&lt;&gt;"",原始資料!AF32=原始資料!AE32),N(AC32)+1,1))</f>
        <v/>
      </c>
      <c r="AE32" s="6">
        <f>IF(OR(原始資料!$A32="",30&gt;設定!$B$3,原始資料!AG32=""),"",IF(AND(原始資料!AF32&lt;&gt;"",原始資料!AG32=原始資料!AF32),N(AD32)+1,1))</f>
        <v/>
      </c>
      <c r="AF32" s="6">
        <f>IF(OR(原始資料!$A32="",31&gt;設定!$B$3,原始資料!AH32=""),"",IF(AND(原始資料!AG32&lt;&gt;"",原始資料!AH32=原始資料!AG32),N(AE32)+1,1))</f>
        <v/>
      </c>
      <c r="AG32" s="6">
        <f>IF(OR(原始資料!$A32="",32&gt;設定!$B$3,原始資料!AI32=""),"",IF(AND(原始資料!AH32&lt;&gt;"",原始資料!AI32=原始資料!AH32),N(AF32)+1,1))</f>
        <v/>
      </c>
      <c r="AH32" s="6">
        <f>IF(OR(原始資料!$A32="",33&gt;設定!$B$3,原始資料!AJ32=""),"",IF(AND(原始資料!AI32&lt;&gt;"",原始資料!AJ32=原始資料!AI32),N(AG32)+1,1))</f>
        <v/>
      </c>
      <c r="AI32" s="6">
        <f>IF(OR(原始資料!$A32="",34&gt;設定!$B$3,原始資料!AK32=""),"",IF(AND(原始資料!AJ32&lt;&gt;"",原始資料!AK32=原始資料!AJ32),N(AH32)+1,1))</f>
        <v/>
      </c>
      <c r="AJ32" s="6">
        <f>IF(OR(原始資料!$A32="",35&gt;設定!$B$3,原始資料!AL32=""),"",IF(AND(原始資料!AK32&lt;&gt;"",原始資料!AL32=原始資料!AK32),N(AI32)+1,1))</f>
        <v/>
      </c>
      <c r="AK32" s="6">
        <f>IF(OR(原始資料!$A32="",36&gt;設定!$B$3,原始資料!AM32=""),"",IF(AND(原始資料!AL32&lt;&gt;"",原始資料!AM32=原始資料!AL32),N(AJ32)+1,1))</f>
        <v/>
      </c>
      <c r="AL32" s="6">
        <f>IF(OR(原始資料!$A32="",37&gt;設定!$B$3,原始資料!AN32=""),"",IF(AND(原始資料!AM32&lt;&gt;"",原始資料!AN32=原始資料!AM32),N(AK32)+1,1))</f>
        <v/>
      </c>
      <c r="AM32" s="6">
        <f>IF(OR(原始資料!$A32="",38&gt;設定!$B$3,原始資料!AO32=""),"",IF(AND(原始資料!AN32&lt;&gt;"",原始資料!AO32=原始資料!AN32),N(AL32)+1,1))</f>
        <v/>
      </c>
      <c r="AN32" s="6">
        <f>IF(OR(原始資料!$A32="",39&gt;設定!$B$3,原始資料!AP32=""),"",IF(AND(原始資料!AO32&lt;&gt;"",原始資料!AP32=原始資料!AO32),N(AM32)+1,1))</f>
        <v/>
      </c>
      <c r="AO32" s="6">
        <f>IF(OR(原始資料!$A32="",40&gt;設定!$B$3,原始資料!AQ32=""),"",IF(AND(原始資料!AP32&lt;&gt;"",原始資料!AQ32=原始資料!AP32),N(AN32)+1,1))</f>
        <v/>
      </c>
      <c r="AP32" s="6">
        <f>IF(OR(原始資料!$A32="",41&gt;設定!$B$3,原始資料!AR32=""),"",IF(AND(原始資料!AQ32&lt;&gt;"",原始資料!AR32=原始資料!AQ32),N(AO32)+1,1))</f>
        <v/>
      </c>
      <c r="AQ32" s="6">
        <f>IF(OR(原始資料!$A32="",42&gt;設定!$B$3,原始資料!AS32=""),"",IF(AND(原始資料!AR32&lt;&gt;"",原始資料!AS32=原始資料!AR32),N(AP32)+1,1))</f>
        <v/>
      </c>
      <c r="AR32" s="6">
        <f>IF(OR(原始資料!$A32="",43&gt;設定!$B$3,原始資料!AT32=""),"",IF(AND(原始資料!AS32&lt;&gt;"",原始資料!AT32=原始資料!AS32),N(AQ32)+1,1))</f>
        <v/>
      </c>
      <c r="AS32" s="6">
        <f>IF(OR(原始資料!$A32="",44&gt;設定!$B$3,原始資料!AU32=""),"",IF(AND(原始資料!AT32&lt;&gt;"",原始資料!AU32=原始資料!AT32),N(AR32)+1,1))</f>
        <v/>
      </c>
      <c r="AT32" s="6">
        <f>IF(OR(原始資料!$A32="",45&gt;設定!$B$3,原始資料!AV32=""),"",IF(AND(原始資料!AU32&lt;&gt;"",原始資料!AV32=原始資料!AU32),N(AS32)+1,1))</f>
        <v/>
      </c>
      <c r="AU32" s="6">
        <f>IF(OR(原始資料!$A32="",46&gt;設定!$B$3,原始資料!AW32=""),"",IF(AND(原始資料!AV32&lt;&gt;"",原始資料!AW32=原始資料!AV32),N(AT32)+1,1))</f>
        <v/>
      </c>
      <c r="AV32" s="6">
        <f>IF(OR(原始資料!$A32="",47&gt;設定!$B$3,原始資料!AX32=""),"",IF(AND(原始資料!AW32&lt;&gt;"",原始資料!AX32=原始資料!AW32),N(AU32)+1,1))</f>
        <v/>
      </c>
      <c r="AW32" s="6">
        <f>IF(OR(原始資料!$A32="",48&gt;設定!$B$3,原始資料!AY32=""),"",IF(AND(原始資料!AX32&lt;&gt;"",原始資料!AY32=原始資料!AX32),N(AV32)+1,1))</f>
        <v/>
      </c>
      <c r="AX32" s="6">
        <f>IF(OR(原始資料!$A32="",49&gt;設定!$B$3,原始資料!AZ32=""),"",IF(AND(原始資料!AY32&lt;&gt;"",原始資料!AZ32=原始資料!AY32),N(AW32)+1,1))</f>
        <v/>
      </c>
      <c r="AY32" s="6">
        <f>IF(OR(原始資料!$A32="",50&gt;設定!$B$3,原始資料!BA32=""),"",IF(AND(原始資料!AZ32&lt;&gt;"",原始資料!BA32=原始資料!AZ32),N(AX32)+1,1))</f>
        <v/>
      </c>
      <c r="AZ32" s="6">
        <f>IF(OR(原始資料!$A32="",51&gt;設定!$B$3,原始資料!BB32=""),"",IF(AND(原始資料!BA32&lt;&gt;"",原始資料!BB32=原始資料!BA32),N(AY32)+1,1))</f>
        <v/>
      </c>
      <c r="BA32" s="6">
        <f>IF(OR(原始資料!$A32="",52&gt;設定!$B$3,原始資料!BC32=""),"",IF(AND(原始資料!BB32&lt;&gt;"",原始資料!BC32=原始資料!BB32),N(AZ32)+1,1))</f>
        <v/>
      </c>
      <c r="BB32" s="6">
        <f>IF(OR(原始資料!$A32="",53&gt;設定!$B$3,原始資料!BD32=""),"",IF(AND(原始資料!BC32&lt;&gt;"",原始資料!BD32=原始資料!BC32),N(BA32)+1,1))</f>
        <v/>
      </c>
      <c r="BC32" s="6">
        <f>IF(OR(原始資料!$A32="",54&gt;設定!$B$3,原始資料!BE32=""),"",IF(AND(原始資料!BD32&lt;&gt;"",原始資料!BE32=原始資料!BD32),N(BB32)+1,1))</f>
        <v/>
      </c>
      <c r="BD32" s="6">
        <f>IF(OR(原始資料!$A32="",55&gt;設定!$B$3,原始資料!BF32=""),"",IF(AND(原始資料!BE32&lt;&gt;"",原始資料!BF32=原始資料!BE32),N(BC32)+1,1))</f>
        <v/>
      </c>
      <c r="BE32" s="6">
        <f>IF(OR(原始資料!$A32="",56&gt;設定!$B$3,原始資料!BG32=""),"",IF(AND(原始資料!BF32&lt;&gt;"",原始資料!BG32=原始資料!BF32),N(BD32)+1,1))</f>
        <v/>
      </c>
      <c r="BF32" s="6">
        <f>IF(OR(原始資料!$A32="",57&gt;設定!$B$3,原始資料!BH32=""),"",IF(AND(原始資料!BG32&lt;&gt;"",原始資料!BH32=原始資料!BG32),N(BE32)+1,1))</f>
        <v/>
      </c>
      <c r="BG32" s="6">
        <f>IF(OR(原始資料!$A32="",58&gt;設定!$B$3,原始資料!BI32=""),"",IF(AND(原始資料!BH32&lt;&gt;"",原始資料!BI32=原始資料!BH32),N(BF32)+1,1))</f>
        <v/>
      </c>
      <c r="BH32" s="6">
        <f>IF(OR(原始資料!$A32="",59&gt;設定!$B$3,原始資料!BJ32=""),"",IF(AND(原始資料!BI32&lt;&gt;"",原始資料!BJ32=原始資料!BI32),N(BG32)+1,1))</f>
        <v/>
      </c>
      <c r="BI32" s="6">
        <f>IF(OR(原始資料!$A32="",60&gt;設定!$B$3,原始資料!BK32=""),"",IF(AND(原始資料!BJ32&lt;&gt;"",原始資料!BK32=原始資料!BJ32),N(BH32)+1,1))</f>
        <v/>
      </c>
    </row>
    <row r="33">
      <c r="A33" s="6">
        <f>IF(原始資料!$A33="","",原始資料!$A33)</f>
        <v/>
      </c>
      <c r="B33" s="6">
        <f>IF(OR(原始資料!$A33="",1&gt;設定!$B$3,原始資料!D33=""),"",1)</f>
        <v/>
      </c>
      <c r="C33" s="6">
        <f>IF(OR(原始資料!$A33="",2&gt;設定!$B$3,原始資料!E33=""),"",IF(AND(原始資料!D33&lt;&gt;"",原始資料!E33=原始資料!D33),N(B33)+1,1))</f>
        <v/>
      </c>
      <c r="D33" s="6">
        <f>IF(OR(原始資料!$A33="",3&gt;設定!$B$3,原始資料!F33=""),"",IF(AND(原始資料!E33&lt;&gt;"",原始資料!F33=原始資料!E33),N(C33)+1,1))</f>
        <v/>
      </c>
      <c r="E33" s="6">
        <f>IF(OR(原始資料!$A33="",4&gt;設定!$B$3,原始資料!G33=""),"",IF(AND(原始資料!F33&lt;&gt;"",原始資料!G33=原始資料!F33),N(D33)+1,1))</f>
        <v/>
      </c>
      <c r="F33" s="6">
        <f>IF(OR(原始資料!$A33="",5&gt;設定!$B$3,原始資料!H33=""),"",IF(AND(原始資料!G33&lt;&gt;"",原始資料!H33=原始資料!G33),N(E33)+1,1))</f>
        <v/>
      </c>
      <c r="G33" s="6">
        <f>IF(OR(原始資料!$A33="",6&gt;設定!$B$3,原始資料!I33=""),"",IF(AND(原始資料!H33&lt;&gt;"",原始資料!I33=原始資料!H33),N(F33)+1,1))</f>
        <v/>
      </c>
      <c r="H33" s="6">
        <f>IF(OR(原始資料!$A33="",7&gt;設定!$B$3,原始資料!J33=""),"",IF(AND(原始資料!I33&lt;&gt;"",原始資料!J33=原始資料!I33),N(G33)+1,1))</f>
        <v/>
      </c>
      <c r="I33" s="6">
        <f>IF(OR(原始資料!$A33="",8&gt;設定!$B$3,原始資料!K33=""),"",IF(AND(原始資料!J33&lt;&gt;"",原始資料!K33=原始資料!J33),N(H33)+1,1))</f>
        <v/>
      </c>
      <c r="J33" s="6">
        <f>IF(OR(原始資料!$A33="",9&gt;設定!$B$3,原始資料!L33=""),"",IF(AND(原始資料!K33&lt;&gt;"",原始資料!L33=原始資料!K33),N(I33)+1,1))</f>
        <v/>
      </c>
      <c r="K33" s="6">
        <f>IF(OR(原始資料!$A33="",10&gt;設定!$B$3,原始資料!M33=""),"",IF(AND(原始資料!L33&lt;&gt;"",原始資料!M33=原始資料!L33),N(J33)+1,1))</f>
        <v/>
      </c>
      <c r="L33" s="6">
        <f>IF(OR(原始資料!$A33="",11&gt;設定!$B$3,原始資料!N33=""),"",IF(AND(原始資料!M33&lt;&gt;"",原始資料!N33=原始資料!M33),N(K33)+1,1))</f>
        <v/>
      </c>
      <c r="M33" s="6">
        <f>IF(OR(原始資料!$A33="",12&gt;設定!$B$3,原始資料!O33=""),"",IF(AND(原始資料!N33&lt;&gt;"",原始資料!O33=原始資料!N33),N(L33)+1,1))</f>
        <v/>
      </c>
      <c r="N33" s="6">
        <f>IF(OR(原始資料!$A33="",13&gt;設定!$B$3,原始資料!P33=""),"",IF(AND(原始資料!O33&lt;&gt;"",原始資料!P33=原始資料!O33),N(M33)+1,1))</f>
        <v/>
      </c>
      <c r="O33" s="6">
        <f>IF(OR(原始資料!$A33="",14&gt;設定!$B$3,原始資料!Q33=""),"",IF(AND(原始資料!P33&lt;&gt;"",原始資料!Q33=原始資料!P33),N(N33)+1,1))</f>
        <v/>
      </c>
      <c r="P33" s="6">
        <f>IF(OR(原始資料!$A33="",15&gt;設定!$B$3,原始資料!R33=""),"",IF(AND(原始資料!Q33&lt;&gt;"",原始資料!R33=原始資料!Q33),N(O33)+1,1))</f>
        <v/>
      </c>
      <c r="Q33" s="6">
        <f>IF(OR(原始資料!$A33="",16&gt;設定!$B$3,原始資料!S33=""),"",IF(AND(原始資料!R33&lt;&gt;"",原始資料!S33=原始資料!R33),N(P33)+1,1))</f>
        <v/>
      </c>
      <c r="R33" s="6">
        <f>IF(OR(原始資料!$A33="",17&gt;設定!$B$3,原始資料!T33=""),"",IF(AND(原始資料!S33&lt;&gt;"",原始資料!T33=原始資料!S33),N(Q33)+1,1))</f>
        <v/>
      </c>
      <c r="S33" s="6">
        <f>IF(OR(原始資料!$A33="",18&gt;設定!$B$3,原始資料!U33=""),"",IF(AND(原始資料!T33&lt;&gt;"",原始資料!U33=原始資料!T33),N(R33)+1,1))</f>
        <v/>
      </c>
      <c r="T33" s="6">
        <f>IF(OR(原始資料!$A33="",19&gt;設定!$B$3,原始資料!V33=""),"",IF(AND(原始資料!U33&lt;&gt;"",原始資料!V33=原始資料!U33),N(S33)+1,1))</f>
        <v/>
      </c>
      <c r="U33" s="6">
        <f>IF(OR(原始資料!$A33="",20&gt;設定!$B$3,原始資料!W33=""),"",IF(AND(原始資料!V33&lt;&gt;"",原始資料!W33=原始資料!V33),N(T33)+1,1))</f>
        <v/>
      </c>
      <c r="V33" s="6">
        <f>IF(OR(原始資料!$A33="",21&gt;設定!$B$3,原始資料!X33=""),"",IF(AND(原始資料!W33&lt;&gt;"",原始資料!X33=原始資料!W33),N(U33)+1,1))</f>
        <v/>
      </c>
      <c r="W33" s="6">
        <f>IF(OR(原始資料!$A33="",22&gt;設定!$B$3,原始資料!Y33=""),"",IF(AND(原始資料!X33&lt;&gt;"",原始資料!Y33=原始資料!X33),N(V33)+1,1))</f>
        <v/>
      </c>
      <c r="X33" s="6">
        <f>IF(OR(原始資料!$A33="",23&gt;設定!$B$3,原始資料!Z33=""),"",IF(AND(原始資料!Y33&lt;&gt;"",原始資料!Z33=原始資料!Y33),N(W33)+1,1))</f>
        <v/>
      </c>
      <c r="Y33" s="6">
        <f>IF(OR(原始資料!$A33="",24&gt;設定!$B$3,原始資料!AA33=""),"",IF(AND(原始資料!Z33&lt;&gt;"",原始資料!AA33=原始資料!Z33),N(X33)+1,1))</f>
        <v/>
      </c>
      <c r="Z33" s="6">
        <f>IF(OR(原始資料!$A33="",25&gt;設定!$B$3,原始資料!AB33=""),"",IF(AND(原始資料!AA33&lt;&gt;"",原始資料!AB33=原始資料!AA33),N(Y33)+1,1))</f>
        <v/>
      </c>
      <c r="AA33" s="6">
        <f>IF(OR(原始資料!$A33="",26&gt;設定!$B$3,原始資料!AC33=""),"",IF(AND(原始資料!AB33&lt;&gt;"",原始資料!AC33=原始資料!AB33),N(Z33)+1,1))</f>
        <v/>
      </c>
      <c r="AB33" s="6">
        <f>IF(OR(原始資料!$A33="",27&gt;設定!$B$3,原始資料!AD33=""),"",IF(AND(原始資料!AC33&lt;&gt;"",原始資料!AD33=原始資料!AC33),N(AA33)+1,1))</f>
        <v/>
      </c>
      <c r="AC33" s="6">
        <f>IF(OR(原始資料!$A33="",28&gt;設定!$B$3,原始資料!AE33=""),"",IF(AND(原始資料!AD33&lt;&gt;"",原始資料!AE33=原始資料!AD33),N(AB33)+1,1))</f>
        <v/>
      </c>
      <c r="AD33" s="6">
        <f>IF(OR(原始資料!$A33="",29&gt;設定!$B$3,原始資料!AF33=""),"",IF(AND(原始資料!AE33&lt;&gt;"",原始資料!AF33=原始資料!AE33),N(AC33)+1,1))</f>
        <v/>
      </c>
      <c r="AE33" s="6">
        <f>IF(OR(原始資料!$A33="",30&gt;設定!$B$3,原始資料!AG33=""),"",IF(AND(原始資料!AF33&lt;&gt;"",原始資料!AG33=原始資料!AF33),N(AD33)+1,1))</f>
        <v/>
      </c>
      <c r="AF33" s="6">
        <f>IF(OR(原始資料!$A33="",31&gt;設定!$B$3,原始資料!AH33=""),"",IF(AND(原始資料!AG33&lt;&gt;"",原始資料!AH33=原始資料!AG33),N(AE33)+1,1))</f>
        <v/>
      </c>
      <c r="AG33" s="6">
        <f>IF(OR(原始資料!$A33="",32&gt;設定!$B$3,原始資料!AI33=""),"",IF(AND(原始資料!AH33&lt;&gt;"",原始資料!AI33=原始資料!AH33),N(AF33)+1,1))</f>
        <v/>
      </c>
      <c r="AH33" s="6">
        <f>IF(OR(原始資料!$A33="",33&gt;設定!$B$3,原始資料!AJ33=""),"",IF(AND(原始資料!AI33&lt;&gt;"",原始資料!AJ33=原始資料!AI33),N(AG33)+1,1))</f>
        <v/>
      </c>
      <c r="AI33" s="6">
        <f>IF(OR(原始資料!$A33="",34&gt;設定!$B$3,原始資料!AK33=""),"",IF(AND(原始資料!AJ33&lt;&gt;"",原始資料!AK33=原始資料!AJ33),N(AH33)+1,1))</f>
        <v/>
      </c>
      <c r="AJ33" s="6">
        <f>IF(OR(原始資料!$A33="",35&gt;設定!$B$3,原始資料!AL33=""),"",IF(AND(原始資料!AK33&lt;&gt;"",原始資料!AL33=原始資料!AK33),N(AI33)+1,1))</f>
        <v/>
      </c>
      <c r="AK33" s="6">
        <f>IF(OR(原始資料!$A33="",36&gt;設定!$B$3,原始資料!AM33=""),"",IF(AND(原始資料!AL33&lt;&gt;"",原始資料!AM33=原始資料!AL33),N(AJ33)+1,1))</f>
        <v/>
      </c>
      <c r="AL33" s="6">
        <f>IF(OR(原始資料!$A33="",37&gt;設定!$B$3,原始資料!AN33=""),"",IF(AND(原始資料!AM33&lt;&gt;"",原始資料!AN33=原始資料!AM33),N(AK33)+1,1))</f>
        <v/>
      </c>
      <c r="AM33" s="6">
        <f>IF(OR(原始資料!$A33="",38&gt;設定!$B$3,原始資料!AO33=""),"",IF(AND(原始資料!AN33&lt;&gt;"",原始資料!AO33=原始資料!AN33),N(AL33)+1,1))</f>
        <v/>
      </c>
      <c r="AN33" s="6">
        <f>IF(OR(原始資料!$A33="",39&gt;設定!$B$3,原始資料!AP33=""),"",IF(AND(原始資料!AO33&lt;&gt;"",原始資料!AP33=原始資料!AO33),N(AM33)+1,1))</f>
        <v/>
      </c>
      <c r="AO33" s="6">
        <f>IF(OR(原始資料!$A33="",40&gt;設定!$B$3,原始資料!AQ33=""),"",IF(AND(原始資料!AP33&lt;&gt;"",原始資料!AQ33=原始資料!AP33),N(AN33)+1,1))</f>
        <v/>
      </c>
      <c r="AP33" s="6">
        <f>IF(OR(原始資料!$A33="",41&gt;設定!$B$3,原始資料!AR33=""),"",IF(AND(原始資料!AQ33&lt;&gt;"",原始資料!AR33=原始資料!AQ33),N(AO33)+1,1))</f>
        <v/>
      </c>
      <c r="AQ33" s="6">
        <f>IF(OR(原始資料!$A33="",42&gt;設定!$B$3,原始資料!AS33=""),"",IF(AND(原始資料!AR33&lt;&gt;"",原始資料!AS33=原始資料!AR33),N(AP33)+1,1))</f>
        <v/>
      </c>
      <c r="AR33" s="6">
        <f>IF(OR(原始資料!$A33="",43&gt;設定!$B$3,原始資料!AT33=""),"",IF(AND(原始資料!AS33&lt;&gt;"",原始資料!AT33=原始資料!AS33),N(AQ33)+1,1))</f>
        <v/>
      </c>
      <c r="AS33" s="6">
        <f>IF(OR(原始資料!$A33="",44&gt;設定!$B$3,原始資料!AU33=""),"",IF(AND(原始資料!AT33&lt;&gt;"",原始資料!AU33=原始資料!AT33),N(AR33)+1,1))</f>
        <v/>
      </c>
      <c r="AT33" s="6">
        <f>IF(OR(原始資料!$A33="",45&gt;設定!$B$3,原始資料!AV33=""),"",IF(AND(原始資料!AU33&lt;&gt;"",原始資料!AV33=原始資料!AU33),N(AS33)+1,1))</f>
        <v/>
      </c>
      <c r="AU33" s="6">
        <f>IF(OR(原始資料!$A33="",46&gt;設定!$B$3,原始資料!AW33=""),"",IF(AND(原始資料!AV33&lt;&gt;"",原始資料!AW33=原始資料!AV33),N(AT33)+1,1))</f>
        <v/>
      </c>
      <c r="AV33" s="6">
        <f>IF(OR(原始資料!$A33="",47&gt;設定!$B$3,原始資料!AX33=""),"",IF(AND(原始資料!AW33&lt;&gt;"",原始資料!AX33=原始資料!AW33),N(AU33)+1,1))</f>
        <v/>
      </c>
      <c r="AW33" s="6">
        <f>IF(OR(原始資料!$A33="",48&gt;設定!$B$3,原始資料!AY33=""),"",IF(AND(原始資料!AX33&lt;&gt;"",原始資料!AY33=原始資料!AX33),N(AV33)+1,1))</f>
        <v/>
      </c>
      <c r="AX33" s="6">
        <f>IF(OR(原始資料!$A33="",49&gt;設定!$B$3,原始資料!AZ33=""),"",IF(AND(原始資料!AY33&lt;&gt;"",原始資料!AZ33=原始資料!AY33),N(AW33)+1,1))</f>
        <v/>
      </c>
      <c r="AY33" s="6">
        <f>IF(OR(原始資料!$A33="",50&gt;設定!$B$3,原始資料!BA33=""),"",IF(AND(原始資料!AZ33&lt;&gt;"",原始資料!BA33=原始資料!AZ33),N(AX33)+1,1))</f>
        <v/>
      </c>
      <c r="AZ33" s="6">
        <f>IF(OR(原始資料!$A33="",51&gt;設定!$B$3,原始資料!BB33=""),"",IF(AND(原始資料!BA33&lt;&gt;"",原始資料!BB33=原始資料!BA33),N(AY33)+1,1))</f>
        <v/>
      </c>
      <c r="BA33" s="6">
        <f>IF(OR(原始資料!$A33="",52&gt;設定!$B$3,原始資料!BC33=""),"",IF(AND(原始資料!BB33&lt;&gt;"",原始資料!BC33=原始資料!BB33),N(AZ33)+1,1))</f>
        <v/>
      </c>
      <c r="BB33" s="6">
        <f>IF(OR(原始資料!$A33="",53&gt;設定!$B$3,原始資料!BD33=""),"",IF(AND(原始資料!BC33&lt;&gt;"",原始資料!BD33=原始資料!BC33),N(BA33)+1,1))</f>
        <v/>
      </c>
      <c r="BC33" s="6">
        <f>IF(OR(原始資料!$A33="",54&gt;設定!$B$3,原始資料!BE33=""),"",IF(AND(原始資料!BD33&lt;&gt;"",原始資料!BE33=原始資料!BD33),N(BB33)+1,1))</f>
        <v/>
      </c>
      <c r="BD33" s="6">
        <f>IF(OR(原始資料!$A33="",55&gt;設定!$B$3,原始資料!BF33=""),"",IF(AND(原始資料!BE33&lt;&gt;"",原始資料!BF33=原始資料!BE33),N(BC33)+1,1))</f>
        <v/>
      </c>
      <c r="BE33" s="6">
        <f>IF(OR(原始資料!$A33="",56&gt;設定!$B$3,原始資料!BG33=""),"",IF(AND(原始資料!BF33&lt;&gt;"",原始資料!BG33=原始資料!BF33),N(BD33)+1,1))</f>
        <v/>
      </c>
      <c r="BF33" s="6">
        <f>IF(OR(原始資料!$A33="",57&gt;設定!$B$3,原始資料!BH33=""),"",IF(AND(原始資料!BG33&lt;&gt;"",原始資料!BH33=原始資料!BG33),N(BE33)+1,1))</f>
        <v/>
      </c>
      <c r="BG33" s="6">
        <f>IF(OR(原始資料!$A33="",58&gt;設定!$B$3,原始資料!BI33=""),"",IF(AND(原始資料!BH33&lt;&gt;"",原始資料!BI33=原始資料!BH33),N(BF33)+1,1))</f>
        <v/>
      </c>
      <c r="BH33" s="6">
        <f>IF(OR(原始資料!$A33="",59&gt;設定!$B$3,原始資料!BJ33=""),"",IF(AND(原始資料!BI33&lt;&gt;"",原始資料!BJ33=原始資料!BI33),N(BG33)+1,1))</f>
        <v/>
      </c>
      <c r="BI33" s="6">
        <f>IF(OR(原始資料!$A33="",60&gt;設定!$B$3,原始資料!BK33=""),"",IF(AND(原始資料!BJ33&lt;&gt;"",原始資料!BK33=原始資料!BJ33),N(BH33)+1,1))</f>
        <v/>
      </c>
    </row>
    <row r="34">
      <c r="A34" s="6">
        <f>IF(原始資料!$A34="","",原始資料!$A34)</f>
        <v/>
      </c>
      <c r="B34" s="6">
        <f>IF(OR(原始資料!$A34="",1&gt;設定!$B$3,原始資料!D34=""),"",1)</f>
        <v/>
      </c>
      <c r="C34" s="6">
        <f>IF(OR(原始資料!$A34="",2&gt;設定!$B$3,原始資料!E34=""),"",IF(AND(原始資料!D34&lt;&gt;"",原始資料!E34=原始資料!D34),N(B34)+1,1))</f>
        <v/>
      </c>
      <c r="D34" s="6">
        <f>IF(OR(原始資料!$A34="",3&gt;設定!$B$3,原始資料!F34=""),"",IF(AND(原始資料!E34&lt;&gt;"",原始資料!F34=原始資料!E34),N(C34)+1,1))</f>
        <v/>
      </c>
      <c r="E34" s="6">
        <f>IF(OR(原始資料!$A34="",4&gt;設定!$B$3,原始資料!G34=""),"",IF(AND(原始資料!F34&lt;&gt;"",原始資料!G34=原始資料!F34),N(D34)+1,1))</f>
        <v/>
      </c>
      <c r="F34" s="6">
        <f>IF(OR(原始資料!$A34="",5&gt;設定!$B$3,原始資料!H34=""),"",IF(AND(原始資料!G34&lt;&gt;"",原始資料!H34=原始資料!G34),N(E34)+1,1))</f>
        <v/>
      </c>
      <c r="G34" s="6">
        <f>IF(OR(原始資料!$A34="",6&gt;設定!$B$3,原始資料!I34=""),"",IF(AND(原始資料!H34&lt;&gt;"",原始資料!I34=原始資料!H34),N(F34)+1,1))</f>
        <v/>
      </c>
      <c r="H34" s="6">
        <f>IF(OR(原始資料!$A34="",7&gt;設定!$B$3,原始資料!J34=""),"",IF(AND(原始資料!I34&lt;&gt;"",原始資料!J34=原始資料!I34),N(G34)+1,1))</f>
        <v/>
      </c>
      <c r="I34" s="6">
        <f>IF(OR(原始資料!$A34="",8&gt;設定!$B$3,原始資料!K34=""),"",IF(AND(原始資料!J34&lt;&gt;"",原始資料!K34=原始資料!J34),N(H34)+1,1))</f>
        <v/>
      </c>
      <c r="J34" s="6">
        <f>IF(OR(原始資料!$A34="",9&gt;設定!$B$3,原始資料!L34=""),"",IF(AND(原始資料!K34&lt;&gt;"",原始資料!L34=原始資料!K34),N(I34)+1,1))</f>
        <v/>
      </c>
      <c r="K34" s="6">
        <f>IF(OR(原始資料!$A34="",10&gt;設定!$B$3,原始資料!M34=""),"",IF(AND(原始資料!L34&lt;&gt;"",原始資料!M34=原始資料!L34),N(J34)+1,1))</f>
        <v/>
      </c>
      <c r="L34" s="6">
        <f>IF(OR(原始資料!$A34="",11&gt;設定!$B$3,原始資料!N34=""),"",IF(AND(原始資料!M34&lt;&gt;"",原始資料!N34=原始資料!M34),N(K34)+1,1))</f>
        <v/>
      </c>
      <c r="M34" s="6">
        <f>IF(OR(原始資料!$A34="",12&gt;設定!$B$3,原始資料!O34=""),"",IF(AND(原始資料!N34&lt;&gt;"",原始資料!O34=原始資料!N34),N(L34)+1,1))</f>
        <v/>
      </c>
      <c r="N34" s="6">
        <f>IF(OR(原始資料!$A34="",13&gt;設定!$B$3,原始資料!P34=""),"",IF(AND(原始資料!O34&lt;&gt;"",原始資料!P34=原始資料!O34),N(M34)+1,1))</f>
        <v/>
      </c>
      <c r="O34" s="6">
        <f>IF(OR(原始資料!$A34="",14&gt;設定!$B$3,原始資料!Q34=""),"",IF(AND(原始資料!P34&lt;&gt;"",原始資料!Q34=原始資料!P34),N(N34)+1,1))</f>
        <v/>
      </c>
      <c r="P34" s="6">
        <f>IF(OR(原始資料!$A34="",15&gt;設定!$B$3,原始資料!R34=""),"",IF(AND(原始資料!Q34&lt;&gt;"",原始資料!R34=原始資料!Q34),N(O34)+1,1))</f>
        <v/>
      </c>
      <c r="Q34" s="6">
        <f>IF(OR(原始資料!$A34="",16&gt;設定!$B$3,原始資料!S34=""),"",IF(AND(原始資料!R34&lt;&gt;"",原始資料!S34=原始資料!R34),N(P34)+1,1))</f>
        <v/>
      </c>
      <c r="R34" s="6">
        <f>IF(OR(原始資料!$A34="",17&gt;設定!$B$3,原始資料!T34=""),"",IF(AND(原始資料!S34&lt;&gt;"",原始資料!T34=原始資料!S34),N(Q34)+1,1))</f>
        <v/>
      </c>
      <c r="S34" s="6">
        <f>IF(OR(原始資料!$A34="",18&gt;設定!$B$3,原始資料!U34=""),"",IF(AND(原始資料!T34&lt;&gt;"",原始資料!U34=原始資料!T34),N(R34)+1,1))</f>
        <v/>
      </c>
      <c r="T34" s="6">
        <f>IF(OR(原始資料!$A34="",19&gt;設定!$B$3,原始資料!V34=""),"",IF(AND(原始資料!U34&lt;&gt;"",原始資料!V34=原始資料!U34),N(S34)+1,1))</f>
        <v/>
      </c>
      <c r="U34" s="6">
        <f>IF(OR(原始資料!$A34="",20&gt;設定!$B$3,原始資料!W34=""),"",IF(AND(原始資料!V34&lt;&gt;"",原始資料!W34=原始資料!V34),N(T34)+1,1))</f>
        <v/>
      </c>
      <c r="V34" s="6">
        <f>IF(OR(原始資料!$A34="",21&gt;設定!$B$3,原始資料!X34=""),"",IF(AND(原始資料!W34&lt;&gt;"",原始資料!X34=原始資料!W34),N(U34)+1,1))</f>
        <v/>
      </c>
      <c r="W34" s="6">
        <f>IF(OR(原始資料!$A34="",22&gt;設定!$B$3,原始資料!Y34=""),"",IF(AND(原始資料!X34&lt;&gt;"",原始資料!Y34=原始資料!X34),N(V34)+1,1))</f>
        <v/>
      </c>
      <c r="X34" s="6">
        <f>IF(OR(原始資料!$A34="",23&gt;設定!$B$3,原始資料!Z34=""),"",IF(AND(原始資料!Y34&lt;&gt;"",原始資料!Z34=原始資料!Y34),N(W34)+1,1))</f>
        <v/>
      </c>
      <c r="Y34" s="6">
        <f>IF(OR(原始資料!$A34="",24&gt;設定!$B$3,原始資料!AA34=""),"",IF(AND(原始資料!Z34&lt;&gt;"",原始資料!AA34=原始資料!Z34),N(X34)+1,1))</f>
        <v/>
      </c>
      <c r="Z34" s="6">
        <f>IF(OR(原始資料!$A34="",25&gt;設定!$B$3,原始資料!AB34=""),"",IF(AND(原始資料!AA34&lt;&gt;"",原始資料!AB34=原始資料!AA34),N(Y34)+1,1))</f>
        <v/>
      </c>
      <c r="AA34" s="6">
        <f>IF(OR(原始資料!$A34="",26&gt;設定!$B$3,原始資料!AC34=""),"",IF(AND(原始資料!AB34&lt;&gt;"",原始資料!AC34=原始資料!AB34),N(Z34)+1,1))</f>
        <v/>
      </c>
      <c r="AB34" s="6">
        <f>IF(OR(原始資料!$A34="",27&gt;設定!$B$3,原始資料!AD34=""),"",IF(AND(原始資料!AC34&lt;&gt;"",原始資料!AD34=原始資料!AC34),N(AA34)+1,1))</f>
        <v/>
      </c>
      <c r="AC34" s="6">
        <f>IF(OR(原始資料!$A34="",28&gt;設定!$B$3,原始資料!AE34=""),"",IF(AND(原始資料!AD34&lt;&gt;"",原始資料!AE34=原始資料!AD34),N(AB34)+1,1))</f>
        <v/>
      </c>
      <c r="AD34" s="6">
        <f>IF(OR(原始資料!$A34="",29&gt;設定!$B$3,原始資料!AF34=""),"",IF(AND(原始資料!AE34&lt;&gt;"",原始資料!AF34=原始資料!AE34),N(AC34)+1,1))</f>
        <v/>
      </c>
      <c r="AE34" s="6">
        <f>IF(OR(原始資料!$A34="",30&gt;設定!$B$3,原始資料!AG34=""),"",IF(AND(原始資料!AF34&lt;&gt;"",原始資料!AG34=原始資料!AF34),N(AD34)+1,1))</f>
        <v/>
      </c>
      <c r="AF34" s="6">
        <f>IF(OR(原始資料!$A34="",31&gt;設定!$B$3,原始資料!AH34=""),"",IF(AND(原始資料!AG34&lt;&gt;"",原始資料!AH34=原始資料!AG34),N(AE34)+1,1))</f>
        <v/>
      </c>
      <c r="AG34" s="6">
        <f>IF(OR(原始資料!$A34="",32&gt;設定!$B$3,原始資料!AI34=""),"",IF(AND(原始資料!AH34&lt;&gt;"",原始資料!AI34=原始資料!AH34),N(AF34)+1,1))</f>
        <v/>
      </c>
      <c r="AH34" s="6">
        <f>IF(OR(原始資料!$A34="",33&gt;設定!$B$3,原始資料!AJ34=""),"",IF(AND(原始資料!AI34&lt;&gt;"",原始資料!AJ34=原始資料!AI34),N(AG34)+1,1))</f>
        <v/>
      </c>
      <c r="AI34" s="6">
        <f>IF(OR(原始資料!$A34="",34&gt;設定!$B$3,原始資料!AK34=""),"",IF(AND(原始資料!AJ34&lt;&gt;"",原始資料!AK34=原始資料!AJ34),N(AH34)+1,1))</f>
        <v/>
      </c>
      <c r="AJ34" s="6">
        <f>IF(OR(原始資料!$A34="",35&gt;設定!$B$3,原始資料!AL34=""),"",IF(AND(原始資料!AK34&lt;&gt;"",原始資料!AL34=原始資料!AK34),N(AI34)+1,1))</f>
        <v/>
      </c>
      <c r="AK34" s="6">
        <f>IF(OR(原始資料!$A34="",36&gt;設定!$B$3,原始資料!AM34=""),"",IF(AND(原始資料!AL34&lt;&gt;"",原始資料!AM34=原始資料!AL34),N(AJ34)+1,1))</f>
        <v/>
      </c>
      <c r="AL34" s="6">
        <f>IF(OR(原始資料!$A34="",37&gt;設定!$B$3,原始資料!AN34=""),"",IF(AND(原始資料!AM34&lt;&gt;"",原始資料!AN34=原始資料!AM34),N(AK34)+1,1))</f>
        <v/>
      </c>
      <c r="AM34" s="6">
        <f>IF(OR(原始資料!$A34="",38&gt;設定!$B$3,原始資料!AO34=""),"",IF(AND(原始資料!AN34&lt;&gt;"",原始資料!AO34=原始資料!AN34),N(AL34)+1,1))</f>
        <v/>
      </c>
      <c r="AN34" s="6">
        <f>IF(OR(原始資料!$A34="",39&gt;設定!$B$3,原始資料!AP34=""),"",IF(AND(原始資料!AO34&lt;&gt;"",原始資料!AP34=原始資料!AO34),N(AM34)+1,1))</f>
        <v/>
      </c>
      <c r="AO34" s="6">
        <f>IF(OR(原始資料!$A34="",40&gt;設定!$B$3,原始資料!AQ34=""),"",IF(AND(原始資料!AP34&lt;&gt;"",原始資料!AQ34=原始資料!AP34),N(AN34)+1,1))</f>
        <v/>
      </c>
      <c r="AP34" s="6">
        <f>IF(OR(原始資料!$A34="",41&gt;設定!$B$3,原始資料!AR34=""),"",IF(AND(原始資料!AQ34&lt;&gt;"",原始資料!AR34=原始資料!AQ34),N(AO34)+1,1))</f>
        <v/>
      </c>
      <c r="AQ34" s="6">
        <f>IF(OR(原始資料!$A34="",42&gt;設定!$B$3,原始資料!AS34=""),"",IF(AND(原始資料!AR34&lt;&gt;"",原始資料!AS34=原始資料!AR34),N(AP34)+1,1))</f>
        <v/>
      </c>
      <c r="AR34" s="6">
        <f>IF(OR(原始資料!$A34="",43&gt;設定!$B$3,原始資料!AT34=""),"",IF(AND(原始資料!AS34&lt;&gt;"",原始資料!AT34=原始資料!AS34),N(AQ34)+1,1))</f>
        <v/>
      </c>
      <c r="AS34" s="6">
        <f>IF(OR(原始資料!$A34="",44&gt;設定!$B$3,原始資料!AU34=""),"",IF(AND(原始資料!AT34&lt;&gt;"",原始資料!AU34=原始資料!AT34),N(AR34)+1,1))</f>
        <v/>
      </c>
      <c r="AT34" s="6">
        <f>IF(OR(原始資料!$A34="",45&gt;設定!$B$3,原始資料!AV34=""),"",IF(AND(原始資料!AU34&lt;&gt;"",原始資料!AV34=原始資料!AU34),N(AS34)+1,1))</f>
        <v/>
      </c>
      <c r="AU34" s="6">
        <f>IF(OR(原始資料!$A34="",46&gt;設定!$B$3,原始資料!AW34=""),"",IF(AND(原始資料!AV34&lt;&gt;"",原始資料!AW34=原始資料!AV34),N(AT34)+1,1))</f>
        <v/>
      </c>
      <c r="AV34" s="6">
        <f>IF(OR(原始資料!$A34="",47&gt;設定!$B$3,原始資料!AX34=""),"",IF(AND(原始資料!AW34&lt;&gt;"",原始資料!AX34=原始資料!AW34),N(AU34)+1,1))</f>
        <v/>
      </c>
      <c r="AW34" s="6">
        <f>IF(OR(原始資料!$A34="",48&gt;設定!$B$3,原始資料!AY34=""),"",IF(AND(原始資料!AX34&lt;&gt;"",原始資料!AY34=原始資料!AX34),N(AV34)+1,1))</f>
        <v/>
      </c>
      <c r="AX34" s="6">
        <f>IF(OR(原始資料!$A34="",49&gt;設定!$B$3,原始資料!AZ34=""),"",IF(AND(原始資料!AY34&lt;&gt;"",原始資料!AZ34=原始資料!AY34),N(AW34)+1,1))</f>
        <v/>
      </c>
      <c r="AY34" s="6">
        <f>IF(OR(原始資料!$A34="",50&gt;設定!$B$3,原始資料!BA34=""),"",IF(AND(原始資料!AZ34&lt;&gt;"",原始資料!BA34=原始資料!AZ34),N(AX34)+1,1))</f>
        <v/>
      </c>
      <c r="AZ34" s="6">
        <f>IF(OR(原始資料!$A34="",51&gt;設定!$B$3,原始資料!BB34=""),"",IF(AND(原始資料!BA34&lt;&gt;"",原始資料!BB34=原始資料!BA34),N(AY34)+1,1))</f>
        <v/>
      </c>
      <c r="BA34" s="6">
        <f>IF(OR(原始資料!$A34="",52&gt;設定!$B$3,原始資料!BC34=""),"",IF(AND(原始資料!BB34&lt;&gt;"",原始資料!BC34=原始資料!BB34),N(AZ34)+1,1))</f>
        <v/>
      </c>
      <c r="BB34" s="6">
        <f>IF(OR(原始資料!$A34="",53&gt;設定!$B$3,原始資料!BD34=""),"",IF(AND(原始資料!BC34&lt;&gt;"",原始資料!BD34=原始資料!BC34),N(BA34)+1,1))</f>
        <v/>
      </c>
      <c r="BC34" s="6">
        <f>IF(OR(原始資料!$A34="",54&gt;設定!$B$3,原始資料!BE34=""),"",IF(AND(原始資料!BD34&lt;&gt;"",原始資料!BE34=原始資料!BD34),N(BB34)+1,1))</f>
        <v/>
      </c>
      <c r="BD34" s="6">
        <f>IF(OR(原始資料!$A34="",55&gt;設定!$B$3,原始資料!BF34=""),"",IF(AND(原始資料!BE34&lt;&gt;"",原始資料!BF34=原始資料!BE34),N(BC34)+1,1))</f>
        <v/>
      </c>
      <c r="BE34" s="6">
        <f>IF(OR(原始資料!$A34="",56&gt;設定!$B$3,原始資料!BG34=""),"",IF(AND(原始資料!BF34&lt;&gt;"",原始資料!BG34=原始資料!BF34),N(BD34)+1,1))</f>
        <v/>
      </c>
      <c r="BF34" s="6">
        <f>IF(OR(原始資料!$A34="",57&gt;設定!$B$3,原始資料!BH34=""),"",IF(AND(原始資料!BG34&lt;&gt;"",原始資料!BH34=原始資料!BG34),N(BE34)+1,1))</f>
        <v/>
      </c>
      <c r="BG34" s="6">
        <f>IF(OR(原始資料!$A34="",58&gt;設定!$B$3,原始資料!BI34=""),"",IF(AND(原始資料!BH34&lt;&gt;"",原始資料!BI34=原始資料!BH34),N(BF34)+1,1))</f>
        <v/>
      </c>
      <c r="BH34" s="6">
        <f>IF(OR(原始資料!$A34="",59&gt;設定!$B$3,原始資料!BJ34=""),"",IF(AND(原始資料!BI34&lt;&gt;"",原始資料!BJ34=原始資料!BI34),N(BG34)+1,1))</f>
        <v/>
      </c>
      <c r="BI34" s="6">
        <f>IF(OR(原始資料!$A34="",60&gt;設定!$B$3,原始資料!BK34=""),"",IF(AND(原始資料!BJ34&lt;&gt;"",原始資料!BK34=原始資料!BJ34),N(BH34)+1,1))</f>
        <v/>
      </c>
    </row>
    <row r="35">
      <c r="A35" s="6">
        <f>IF(原始資料!$A35="","",原始資料!$A35)</f>
        <v/>
      </c>
      <c r="B35" s="6">
        <f>IF(OR(原始資料!$A35="",1&gt;設定!$B$3,原始資料!D35=""),"",1)</f>
        <v/>
      </c>
      <c r="C35" s="6">
        <f>IF(OR(原始資料!$A35="",2&gt;設定!$B$3,原始資料!E35=""),"",IF(AND(原始資料!D35&lt;&gt;"",原始資料!E35=原始資料!D35),N(B35)+1,1))</f>
        <v/>
      </c>
      <c r="D35" s="6">
        <f>IF(OR(原始資料!$A35="",3&gt;設定!$B$3,原始資料!F35=""),"",IF(AND(原始資料!E35&lt;&gt;"",原始資料!F35=原始資料!E35),N(C35)+1,1))</f>
        <v/>
      </c>
      <c r="E35" s="6">
        <f>IF(OR(原始資料!$A35="",4&gt;設定!$B$3,原始資料!G35=""),"",IF(AND(原始資料!F35&lt;&gt;"",原始資料!G35=原始資料!F35),N(D35)+1,1))</f>
        <v/>
      </c>
      <c r="F35" s="6">
        <f>IF(OR(原始資料!$A35="",5&gt;設定!$B$3,原始資料!H35=""),"",IF(AND(原始資料!G35&lt;&gt;"",原始資料!H35=原始資料!G35),N(E35)+1,1))</f>
        <v/>
      </c>
      <c r="G35" s="6">
        <f>IF(OR(原始資料!$A35="",6&gt;設定!$B$3,原始資料!I35=""),"",IF(AND(原始資料!H35&lt;&gt;"",原始資料!I35=原始資料!H35),N(F35)+1,1))</f>
        <v/>
      </c>
      <c r="H35" s="6">
        <f>IF(OR(原始資料!$A35="",7&gt;設定!$B$3,原始資料!J35=""),"",IF(AND(原始資料!I35&lt;&gt;"",原始資料!J35=原始資料!I35),N(G35)+1,1))</f>
        <v/>
      </c>
      <c r="I35" s="6">
        <f>IF(OR(原始資料!$A35="",8&gt;設定!$B$3,原始資料!K35=""),"",IF(AND(原始資料!J35&lt;&gt;"",原始資料!K35=原始資料!J35),N(H35)+1,1))</f>
        <v/>
      </c>
      <c r="J35" s="6">
        <f>IF(OR(原始資料!$A35="",9&gt;設定!$B$3,原始資料!L35=""),"",IF(AND(原始資料!K35&lt;&gt;"",原始資料!L35=原始資料!K35),N(I35)+1,1))</f>
        <v/>
      </c>
      <c r="K35" s="6">
        <f>IF(OR(原始資料!$A35="",10&gt;設定!$B$3,原始資料!M35=""),"",IF(AND(原始資料!L35&lt;&gt;"",原始資料!M35=原始資料!L35),N(J35)+1,1))</f>
        <v/>
      </c>
      <c r="L35" s="6">
        <f>IF(OR(原始資料!$A35="",11&gt;設定!$B$3,原始資料!N35=""),"",IF(AND(原始資料!M35&lt;&gt;"",原始資料!N35=原始資料!M35),N(K35)+1,1))</f>
        <v/>
      </c>
      <c r="M35" s="6">
        <f>IF(OR(原始資料!$A35="",12&gt;設定!$B$3,原始資料!O35=""),"",IF(AND(原始資料!N35&lt;&gt;"",原始資料!O35=原始資料!N35),N(L35)+1,1))</f>
        <v/>
      </c>
      <c r="N35" s="6">
        <f>IF(OR(原始資料!$A35="",13&gt;設定!$B$3,原始資料!P35=""),"",IF(AND(原始資料!O35&lt;&gt;"",原始資料!P35=原始資料!O35),N(M35)+1,1))</f>
        <v/>
      </c>
      <c r="O35" s="6">
        <f>IF(OR(原始資料!$A35="",14&gt;設定!$B$3,原始資料!Q35=""),"",IF(AND(原始資料!P35&lt;&gt;"",原始資料!Q35=原始資料!P35),N(N35)+1,1))</f>
        <v/>
      </c>
      <c r="P35" s="6">
        <f>IF(OR(原始資料!$A35="",15&gt;設定!$B$3,原始資料!R35=""),"",IF(AND(原始資料!Q35&lt;&gt;"",原始資料!R35=原始資料!Q35),N(O35)+1,1))</f>
        <v/>
      </c>
      <c r="Q35" s="6">
        <f>IF(OR(原始資料!$A35="",16&gt;設定!$B$3,原始資料!S35=""),"",IF(AND(原始資料!R35&lt;&gt;"",原始資料!S35=原始資料!R35),N(P35)+1,1))</f>
        <v/>
      </c>
      <c r="R35" s="6">
        <f>IF(OR(原始資料!$A35="",17&gt;設定!$B$3,原始資料!T35=""),"",IF(AND(原始資料!S35&lt;&gt;"",原始資料!T35=原始資料!S35),N(Q35)+1,1))</f>
        <v/>
      </c>
      <c r="S35" s="6">
        <f>IF(OR(原始資料!$A35="",18&gt;設定!$B$3,原始資料!U35=""),"",IF(AND(原始資料!T35&lt;&gt;"",原始資料!U35=原始資料!T35),N(R35)+1,1))</f>
        <v/>
      </c>
      <c r="T35" s="6">
        <f>IF(OR(原始資料!$A35="",19&gt;設定!$B$3,原始資料!V35=""),"",IF(AND(原始資料!U35&lt;&gt;"",原始資料!V35=原始資料!U35),N(S35)+1,1))</f>
        <v/>
      </c>
      <c r="U35" s="6">
        <f>IF(OR(原始資料!$A35="",20&gt;設定!$B$3,原始資料!W35=""),"",IF(AND(原始資料!V35&lt;&gt;"",原始資料!W35=原始資料!V35),N(T35)+1,1))</f>
        <v/>
      </c>
      <c r="V35" s="6">
        <f>IF(OR(原始資料!$A35="",21&gt;設定!$B$3,原始資料!X35=""),"",IF(AND(原始資料!W35&lt;&gt;"",原始資料!X35=原始資料!W35),N(U35)+1,1))</f>
        <v/>
      </c>
      <c r="W35" s="6">
        <f>IF(OR(原始資料!$A35="",22&gt;設定!$B$3,原始資料!Y35=""),"",IF(AND(原始資料!X35&lt;&gt;"",原始資料!Y35=原始資料!X35),N(V35)+1,1))</f>
        <v/>
      </c>
      <c r="X35" s="6">
        <f>IF(OR(原始資料!$A35="",23&gt;設定!$B$3,原始資料!Z35=""),"",IF(AND(原始資料!Y35&lt;&gt;"",原始資料!Z35=原始資料!Y35),N(W35)+1,1))</f>
        <v/>
      </c>
      <c r="Y35" s="6">
        <f>IF(OR(原始資料!$A35="",24&gt;設定!$B$3,原始資料!AA35=""),"",IF(AND(原始資料!Z35&lt;&gt;"",原始資料!AA35=原始資料!Z35),N(X35)+1,1))</f>
        <v/>
      </c>
      <c r="Z35" s="6">
        <f>IF(OR(原始資料!$A35="",25&gt;設定!$B$3,原始資料!AB35=""),"",IF(AND(原始資料!AA35&lt;&gt;"",原始資料!AB35=原始資料!AA35),N(Y35)+1,1))</f>
        <v/>
      </c>
      <c r="AA35" s="6">
        <f>IF(OR(原始資料!$A35="",26&gt;設定!$B$3,原始資料!AC35=""),"",IF(AND(原始資料!AB35&lt;&gt;"",原始資料!AC35=原始資料!AB35),N(Z35)+1,1))</f>
        <v/>
      </c>
      <c r="AB35" s="6">
        <f>IF(OR(原始資料!$A35="",27&gt;設定!$B$3,原始資料!AD35=""),"",IF(AND(原始資料!AC35&lt;&gt;"",原始資料!AD35=原始資料!AC35),N(AA35)+1,1))</f>
        <v/>
      </c>
      <c r="AC35" s="6">
        <f>IF(OR(原始資料!$A35="",28&gt;設定!$B$3,原始資料!AE35=""),"",IF(AND(原始資料!AD35&lt;&gt;"",原始資料!AE35=原始資料!AD35),N(AB35)+1,1))</f>
        <v/>
      </c>
      <c r="AD35" s="6">
        <f>IF(OR(原始資料!$A35="",29&gt;設定!$B$3,原始資料!AF35=""),"",IF(AND(原始資料!AE35&lt;&gt;"",原始資料!AF35=原始資料!AE35),N(AC35)+1,1))</f>
        <v/>
      </c>
      <c r="AE35" s="6">
        <f>IF(OR(原始資料!$A35="",30&gt;設定!$B$3,原始資料!AG35=""),"",IF(AND(原始資料!AF35&lt;&gt;"",原始資料!AG35=原始資料!AF35),N(AD35)+1,1))</f>
        <v/>
      </c>
      <c r="AF35" s="6">
        <f>IF(OR(原始資料!$A35="",31&gt;設定!$B$3,原始資料!AH35=""),"",IF(AND(原始資料!AG35&lt;&gt;"",原始資料!AH35=原始資料!AG35),N(AE35)+1,1))</f>
        <v/>
      </c>
      <c r="AG35" s="6">
        <f>IF(OR(原始資料!$A35="",32&gt;設定!$B$3,原始資料!AI35=""),"",IF(AND(原始資料!AH35&lt;&gt;"",原始資料!AI35=原始資料!AH35),N(AF35)+1,1))</f>
        <v/>
      </c>
      <c r="AH35" s="6">
        <f>IF(OR(原始資料!$A35="",33&gt;設定!$B$3,原始資料!AJ35=""),"",IF(AND(原始資料!AI35&lt;&gt;"",原始資料!AJ35=原始資料!AI35),N(AG35)+1,1))</f>
        <v/>
      </c>
      <c r="AI35" s="6">
        <f>IF(OR(原始資料!$A35="",34&gt;設定!$B$3,原始資料!AK35=""),"",IF(AND(原始資料!AJ35&lt;&gt;"",原始資料!AK35=原始資料!AJ35),N(AH35)+1,1))</f>
        <v/>
      </c>
      <c r="AJ35" s="6">
        <f>IF(OR(原始資料!$A35="",35&gt;設定!$B$3,原始資料!AL35=""),"",IF(AND(原始資料!AK35&lt;&gt;"",原始資料!AL35=原始資料!AK35),N(AI35)+1,1))</f>
        <v/>
      </c>
      <c r="AK35" s="6">
        <f>IF(OR(原始資料!$A35="",36&gt;設定!$B$3,原始資料!AM35=""),"",IF(AND(原始資料!AL35&lt;&gt;"",原始資料!AM35=原始資料!AL35),N(AJ35)+1,1))</f>
        <v/>
      </c>
      <c r="AL35" s="6">
        <f>IF(OR(原始資料!$A35="",37&gt;設定!$B$3,原始資料!AN35=""),"",IF(AND(原始資料!AM35&lt;&gt;"",原始資料!AN35=原始資料!AM35),N(AK35)+1,1))</f>
        <v/>
      </c>
      <c r="AM35" s="6">
        <f>IF(OR(原始資料!$A35="",38&gt;設定!$B$3,原始資料!AO35=""),"",IF(AND(原始資料!AN35&lt;&gt;"",原始資料!AO35=原始資料!AN35),N(AL35)+1,1))</f>
        <v/>
      </c>
      <c r="AN35" s="6">
        <f>IF(OR(原始資料!$A35="",39&gt;設定!$B$3,原始資料!AP35=""),"",IF(AND(原始資料!AO35&lt;&gt;"",原始資料!AP35=原始資料!AO35),N(AM35)+1,1))</f>
        <v/>
      </c>
      <c r="AO35" s="6">
        <f>IF(OR(原始資料!$A35="",40&gt;設定!$B$3,原始資料!AQ35=""),"",IF(AND(原始資料!AP35&lt;&gt;"",原始資料!AQ35=原始資料!AP35),N(AN35)+1,1))</f>
        <v/>
      </c>
      <c r="AP35" s="6">
        <f>IF(OR(原始資料!$A35="",41&gt;設定!$B$3,原始資料!AR35=""),"",IF(AND(原始資料!AQ35&lt;&gt;"",原始資料!AR35=原始資料!AQ35),N(AO35)+1,1))</f>
        <v/>
      </c>
      <c r="AQ35" s="6">
        <f>IF(OR(原始資料!$A35="",42&gt;設定!$B$3,原始資料!AS35=""),"",IF(AND(原始資料!AR35&lt;&gt;"",原始資料!AS35=原始資料!AR35),N(AP35)+1,1))</f>
        <v/>
      </c>
      <c r="AR35" s="6">
        <f>IF(OR(原始資料!$A35="",43&gt;設定!$B$3,原始資料!AT35=""),"",IF(AND(原始資料!AS35&lt;&gt;"",原始資料!AT35=原始資料!AS35),N(AQ35)+1,1))</f>
        <v/>
      </c>
      <c r="AS35" s="6">
        <f>IF(OR(原始資料!$A35="",44&gt;設定!$B$3,原始資料!AU35=""),"",IF(AND(原始資料!AT35&lt;&gt;"",原始資料!AU35=原始資料!AT35),N(AR35)+1,1))</f>
        <v/>
      </c>
      <c r="AT35" s="6">
        <f>IF(OR(原始資料!$A35="",45&gt;設定!$B$3,原始資料!AV35=""),"",IF(AND(原始資料!AU35&lt;&gt;"",原始資料!AV35=原始資料!AU35),N(AS35)+1,1))</f>
        <v/>
      </c>
      <c r="AU35" s="6">
        <f>IF(OR(原始資料!$A35="",46&gt;設定!$B$3,原始資料!AW35=""),"",IF(AND(原始資料!AV35&lt;&gt;"",原始資料!AW35=原始資料!AV35),N(AT35)+1,1))</f>
        <v/>
      </c>
      <c r="AV35" s="6">
        <f>IF(OR(原始資料!$A35="",47&gt;設定!$B$3,原始資料!AX35=""),"",IF(AND(原始資料!AW35&lt;&gt;"",原始資料!AX35=原始資料!AW35),N(AU35)+1,1))</f>
        <v/>
      </c>
      <c r="AW35" s="6">
        <f>IF(OR(原始資料!$A35="",48&gt;設定!$B$3,原始資料!AY35=""),"",IF(AND(原始資料!AX35&lt;&gt;"",原始資料!AY35=原始資料!AX35),N(AV35)+1,1))</f>
        <v/>
      </c>
      <c r="AX35" s="6">
        <f>IF(OR(原始資料!$A35="",49&gt;設定!$B$3,原始資料!AZ35=""),"",IF(AND(原始資料!AY35&lt;&gt;"",原始資料!AZ35=原始資料!AY35),N(AW35)+1,1))</f>
        <v/>
      </c>
      <c r="AY35" s="6">
        <f>IF(OR(原始資料!$A35="",50&gt;設定!$B$3,原始資料!BA35=""),"",IF(AND(原始資料!AZ35&lt;&gt;"",原始資料!BA35=原始資料!AZ35),N(AX35)+1,1))</f>
        <v/>
      </c>
      <c r="AZ35" s="6">
        <f>IF(OR(原始資料!$A35="",51&gt;設定!$B$3,原始資料!BB35=""),"",IF(AND(原始資料!BA35&lt;&gt;"",原始資料!BB35=原始資料!BA35),N(AY35)+1,1))</f>
        <v/>
      </c>
      <c r="BA35" s="6">
        <f>IF(OR(原始資料!$A35="",52&gt;設定!$B$3,原始資料!BC35=""),"",IF(AND(原始資料!BB35&lt;&gt;"",原始資料!BC35=原始資料!BB35),N(AZ35)+1,1))</f>
        <v/>
      </c>
      <c r="BB35" s="6">
        <f>IF(OR(原始資料!$A35="",53&gt;設定!$B$3,原始資料!BD35=""),"",IF(AND(原始資料!BC35&lt;&gt;"",原始資料!BD35=原始資料!BC35),N(BA35)+1,1))</f>
        <v/>
      </c>
      <c r="BC35" s="6">
        <f>IF(OR(原始資料!$A35="",54&gt;設定!$B$3,原始資料!BE35=""),"",IF(AND(原始資料!BD35&lt;&gt;"",原始資料!BE35=原始資料!BD35),N(BB35)+1,1))</f>
        <v/>
      </c>
      <c r="BD35" s="6">
        <f>IF(OR(原始資料!$A35="",55&gt;設定!$B$3,原始資料!BF35=""),"",IF(AND(原始資料!BE35&lt;&gt;"",原始資料!BF35=原始資料!BE35),N(BC35)+1,1))</f>
        <v/>
      </c>
      <c r="BE35" s="6">
        <f>IF(OR(原始資料!$A35="",56&gt;設定!$B$3,原始資料!BG35=""),"",IF(AND(原始資料!BF35&lt;&gt;"",原始資料!BG35=原始資料!BF35),N(BD35)+1,1))</f>
        <v/>
      </c>
      <c r="BF35" s="6">
        <f>IF(OR(原始資料!$A35="",57&gt;設定!$B$3,原始資料!BH35=""),"",IF(AND(原始資料!BG35&lt;&gt;"",原始資料!BH35=原始資料!BG35),N(BE35)+1,1))</f>
        <v/>
      </c>
      <c r="BG35" s="6">
        <f>IF(OR(原始資料!$A35="",58&gt;設定!$B$3,原始資料!BI35=""),"",IF(AND(原始資料!BH35&lt;&gt;"",原始資料!BI35=原始資料!BH35),N(BF35)+1,1))</f>
        <v/>
      </c>
      <c r="BH35" s="6">
        <f>IF(OR(原始資料!$A35="",59&gt;設定!$B$3,原始資料!BJ35=""),"",IF(AND(原始資料!BI35&lt;&gt;"",原始資料!BJ35=原始資料!BI35),N(BG35)+1,1))</f>
        <v/>
      </c>
      <c r="BI35" s="6">
        <f>IF(OR(原始資料!$A35="",60&gt;設定!$B$3,原始資料!BK35=""),"",IF(AND(原始資料!BJ35&lt;&gt;"",原始資料!BK35=原始資料!BJ35),N(BH35)+1,1))</f>
        <v/>
      </c>
    </row>
    <row r="36">
      <c r="A36" s="6">
        <f>IF(原始資料!$A36="","",原始資料!$A36)</f>
        <v/>
      </c>
      <c r="B36" s="6">
        <f>IF(OR(原始資料!$A36="",1&gt;設定!$B$3,原始資料!D36=""),"",1)</f>
        <v/>
      </c>
      <c r="C36" s="6">
        <f>IF(OR(原始資料!$A36="",2&gt;設定!$B$3,原始資料!E36=""),"",IF(AND(原始資料!D36&lt;&gt;"",原始資料!E36=原始資料!D36),N(B36)+1,1))</f>
        <v/>
      </c>
      <c r="D36" s="6">
        <f>IF(OR(原始資料!$A36="",3&gt;設定!$B$3,原始資料!F36=""),"",IF(AND(原始資料!E36&lt;&gt;"",原始資料!F36=原始資料!E36),N(C36)+1,1))</f>
        <v/>
      </c>
      <c r="E36" s="6">
        <f>IF(OR(原始資料!$A36="",4&gt;設定!$B$3,原始資料!G36=""),"",IF(AND(原始資料!F36&lt;&gt;"",原始資料!G36=原始資料!F36),N(D36)+1,1))</f>
        <v/>
      </c>
      <c r="F36" s="6">
        <f>IF(OR(原始資料!$A36="",5&gt;設定!$B$3,原始資料!H36=""),"",IF(AND(原始資料!G36&lt;&gt;"",原始資料!H36=原始資料!G36),N(E36)+1,1))</f>
        <v/>
      </c>
      <c r="G36" s="6">
        <f>IF(OR(原始資料!$A36="",6&gt;設定!$B$3,原始資料!I36=""),"",IF(AND(原始資料!H36&lt;&gt;"",原始資料!I36=原始資料!H36),N(F36)+1,1))</f>
        <v/>
      </c>
      <c r="H36" s="6">
        <f>IF(OR(原始資料!$A36="",7&gt;設定!$B$3,原始資料!J36=""),"",IF(AND(原始資料!I36&lt;&gt;"",原始資料!J36=原始資料!I36),N(G36)+1,1))</f>
        <v/>
      </c>
      <c r="I36" s="6">
        <f>IF(OR(原始資料!$A36="",8&gt;設定!$B$3,原始資料!K36=""),"",IF(AND(原始資料!J36&lt;&gt;"",原始資料!K36=原始資料!J36),N(H36)+1,1))</f>
        <v/>
      </c>
      <c r="J36" s="6">
        <f>IF(OR(原始資料!$A36="",9&gt;設定!$B$3,原始資料!L36=""),"",IF(AND(原始資料!K36&lt;&gt;"",原始資料!L36=原始資料!K36),N(I36)+1,1))</f>
        <v/>
      </c>
      <c r="K36" s="6">
        <f>IF(OR(原始資料!$A36="",10&gt;設定!$B$3,原始資料!M36=""),"",IF(AND(原始資料!L36&lt;&gt;"",原始資料!M36=原始資料!L36),N(J36)+1,1))</f>
        <v/>
      </c>
      <c r="L36" s="6">
        <f>IF(OR(原始資料!$A36="",11&gt;設定!$B$3,原始資料!N36=""),"",IF(AND(原始資料!M36&lt;&gt;"",原始資料!N36=原始資料!M36),N(K36)+1,1))</f>
        <v/>
      </c>
      <c r="M36" s="6">
        <f>IF(OR(原始資料!$A36="",12&gt;設定!$B$3,原始資料!O36=""),"",IF(AND(原始資料!N36&lt;&gt;"",原始資料!O36=原始資料!N36),N(L36)+1,1))</f>
        <v/>
      </c>
      <c r="N36" s="6">
        <f>IF(OR(原始資料!$A36="",13&gt;設定!$B$3,原始資料!P36=""),"",IF(AND(原始資料!O36&lt;&gt;"",原始資料!P36=原始資料!O36),N(M36)+1,1))</f>
        <v/>
      </c>
      <c r="O36" s="6">
        <f>IF(OR(原始資料!$A36="",14&gt;設定!$B$3,原始資料!Q36=""),"",IF(AND(原始資料!P36&lt;&gt;"",原始資料!Q36=原始資料!P36),N(N36)+1,1))</f>
        <v/>
      </c>
      <c r="P36" s="6">
        <f>IF(OR(原始資料!$A36="",15&gt;設定!$B$3,原始資料!R36=""),"",IF(AND(原始資料!Q36&lt;&gt;"",原始資料!R36=原始資料!Q36),N(O36)+1,1))</f>
        <v/>
      </c>
      <c r="Q36" s="6">
        <f>IF(OR(原始資料!$A36="",16&gt;設定!$B$3,原始資料!S36=""),"",IF(AND(原始資料!R36&lt;&gt;"",原始資料!S36=原始資料!R36),N(P36)+1,1))</f>
        <v/>
      </c>
      <c r="R36" s="6">
        <f>IF(OR(原始資料!$A36="",17&gt;設定!$B$3,原始資料!T36=""),"",IF(AND(原始資料!S36&lt;&gt;"",原始資料!T36=原始資料!S36),N(Q36)+1,1))</f>
        <v/>
      </c>
      <c r="S36" s="6">
        <f>IF(OR(原始資料!$A36="",18&gt;設定!$B$3,原始資料!U36=""),"",IF(AND(原始資料!T36&lt;&gt;"",原始資料!U36=原始資料!T36),N(R36)+1,1))</f>
        <v/>
      </c>
      <c r="T36" s="6">
        <f>IF(OR(原始資料!$A36="",19&gt;設定!$B$3,原始資料!V36=""),"",IF(AND(原始資料!U36&lt;&gt;"",原始資料!V36=原始資料!U36),N(S36)+1,1))</f>
        <v/>
      </c>
      <c r="U36" s="6">
        <f>IF(OR(原始資料!$A36="",20&gt;設定!$B$3,原始資料!W36=""),"",IF(AND(原始資料!V36&lt;&gt;"",原始資料!W36=原始資料!V36),N(T36)+1,1))</f>
        <v/>
      </c>
      <c r="V36" s="6">
        <f>IF(OR(原始資料!$A36="",21&gt;設定!$B$3,原始資料!X36=""),"",IF(AND(原始資料!W36&lt;&gt;"",原始資料!X36=原始資料!W36),N(U36)+1,1))</f>
        <v/>
      </c>
      <c r="W36" s="6">
        <f>IF(OR(原始資料!$A36="",22&gt;設定!$B$3,原始資料!Y36=""),"",IF(AND(原始資料!X36&lt;&gt;"",原始資料!Y36=原始資料!X36),N(V36)+1,1))</f>
        <v/>
      </c>
      <c r="X36" s="6">
        <f>IF(OR(原始資料!$A36="",23&gt;設定!$B$3,原始資料!Z36=""),"",IF(AND(原始資料!Y36&lt;&gt;"",原始資料!Z36=原始資料!Y36),N(W36)+1,1))</f>
        <v/>
      </c>
      <c r="Y36" s="6">
        <f>IF(OR(原始資料!$A36="",24&gt;設定!$B$3,原始資料!AA36=""),"",IF(AND(原始資料!Z36&lt;&gt;"",原始資料!AA36=原始資料!Z36),N(X36)+1,1))</f>
        <v/>
      </c>
      <c r="Z36" s="6">
        <f>IF(OR(原始資料!$A36="",25&gt;設定!$B$3,原始資料!AB36=""),"",IF(AND(原始資料!AA36&lt;&gt;"",原始資料!AB36=原始資料!AA36),N(Y36)+1,1))</f>
        <v/>
      </c>
      <c r="AA36" s="6">
        <f>IF(OR(原始資料!$A36="",26&gt;設定!$B$3,原始資料!AC36=""),"",IF(AND(原始資料!AB36&lt;&gt;"",原始資料!AC36=原始資料!AB36),N(Z36)+1,1))</f>
        <v/>
      </c>
      <c r="AB36" s="6">
        <f>IF(OR(原始資料!$A36="",27&gt;設定!$B$3,原始資料!AD36=""),"",IF(AND(原始資料!AC36&lt;&gt;"",原始資料!AD36=原始資料!AC36),N(AA36)+1,1))</f>
        <v/>
      </c>
      <c r="AC36" s="6">
        <f>IF(OR(原始資料!$A36="",28&gt;設定!$B$3,原始資料!AE36=""),"",IF(AND(原始資料!AD36&lt;&gt;"",原始資料!AE36=原始資料!AD36),N(AB36)+1,1))</f>
        <v/>
      </c>
      <c r="AD36" s="6">
        <f>IF(OR(原始資料!$A36="",29&gt;設定!$B$3,原始資料!AF36=""),"",IF(AND(原始資料!AE36&lt;&gt;"",原始資料!AF36=原始資料!AE36),N(AC36)+1,1))</f>
        <v/>
      </c>
      <c r="AE36" s="6">
        <f>IF(OR(原始資料!$A36="",30&gt;設定!$B$3,原始資料!AG36=""),"",IF(AND(原始資料!AF36&lt;&gt;"",原始資料!AG36=原始資料!AF36),N(AD36)+1,1))</f>
        <v/>
      </c>
      <c r="AF36" s="6">
        <f>IF(OR(原始資料!$A36="",31&gt;設定!$B$3,原始資料!AH36=""),"",IF(AND(原始資料!AG36&lt;&gt;"",原始資料!AH36=原始資料!AG36),N(AE36)+1,1))</f>
        <v/>
      </c>
      <c r="AG36" s="6">
        <f>IF(OR(原始資料!$A36="",32&gt;設定!$B$3,原始資料!AI36=""),"",IF(AND(原始資料!AH36&lt;&gt;"",原始資料!AI36=原始資料!AH36),N(AF36)+1,1))</f>
        <v/>
      </c>
      <c r="AH36" s="6">
        <f>IF(OR(原始資料!$A36="",33&gt;設定!$B$3,原始資料!AJ36=""),"",IF(AND(原始資料!AI36&lt;&gt;"",原始資料!AJ36=原始資料!AI36),N(AG36)+1,1))</f>
        <v/>
      </c>
      <c r="AI36" s="6">
        <f>IF(OR(原始資料!$A36="",34&gt;設定!$B$3,原始資料!AK36=""),"",IF(AND(原始資料!AJ36&lt;&gt;"",原始資料!AK36=原始資料!AJ36),N(AH36)+1,1))</f>
        <v/>
      </c>
      <c r="AJ36" s="6">
        <f>IF(OR(原始資料!$A36="",35&gt;設定!$B$3,原始資料!AL36=""),"",IF(AND(原始資料!AK36&lt;&gt;"",原始資料!AL36=原始資料!AK36),N(AI36)+1,1))</f>
        <v/>
      </c>
      <c r="AK36" s="6">
        <f>IF(OR(原始資料!$A36="",36&gt;設定!$B$3,原始資料!AM36=""),"",IF(AND(原始資料!AL36&lt;&gt;"",原始資料!AM36=原始資料!AL36),N(AJ36)+1,1))</f>
        <v/>
      </c>
      <c r="AL36" s="6">
        <f>IF(OR(原始資料!$A36="",37&gt;設定!$B$3,原始資料!AN36=""),"",IF(AND(原始資料!AM36&lt;&gt;"",原始資料!AN36=原始資料!AM36),N(AK36)+1,1))</f>
        <v/>
      </c>
      <c r="AM36" s="6">
        <f>IF(OR(原始資料!$A36="",38&gt;設定!$B$3,原始資料!AO36=""),"",IF(AND(原始資料!AN36&lt;&gt;"",原始資料!AO36=原始資料!AN36),N(AL36)+1,1))</f>
        <v/>
      </c>
      <c r="AN36" s="6">
        <f>IF(OR(原始資料!$A36="",39&gt;設定!$B$3,原始資料!AP36=""),"",IF(AND(原始資料!AO36&lt;&gt;"",原始資料!AP36=原始資料!AO36),N(AM36)+1,1))</f>
        <v/>
      </c>
      <c r="AO36" s="6">
        <f>IF(OR(原始資料!$A36="",40&gt;設定!$B$3,原始資料!AQ36=""),"",IF(AND(原始資料!AP36&lt;&gt;"",原始資料!AQ36=原始資料!AP36),N(AN36)+1,1))</f>
        <v/>
      </c>
      <c r="AP36" s="6">
        <f>IF(OR(原始資料!$A36="",41&gt;設定!$B$3,原始資料!AR36=""),"",IF(AND(原始資料!AQ36&lt;&gt;"",原始資料!AR36=原始資料!AQ36),N(AO36)+1,1))</f>
        <v/>
      </c>
      <c r="AQ36" s="6">
        <f>IF(OR(原始資料!$A36="",42&gt;設定!$B$3,原始資料!AS36=""),"",IF(AND(原始資料!AR36&lt;&gt;"",原始資料!AS36=原始資料!AR36),N(AP36)+1,1))</f>
        <v/>
      </c>
      <c r="AR36" s="6">
        <f>IF(OR(原始資料!$A36="",43&gt;設定!$B$3,原始資料!AT36=""),"",IF(AND(原始資料!AS36&lt;&gt;"",原始資料!AT36=原始資料!AS36),N(AQ36)+1,1))</f>
        <v/>
      </c>
      <c r="AS36" s="6">
        <f>IF(OR(原始資料!$A36="",44&gt;設定!$B$3,原始資料!AU36=""),"",IF(AND(原始資料!AT36&lt;&gt;"",原始資料!AU36=原始資料!AT36),N(AR36)+1,1))</f>
        <v/>
      </c>
      <c r="AT36" s="6">
        <f>IF(OR(原始資料!$A36="",45&gt;設定!$B$3,原始資料!AV36=""),"",IF(AND(原始資料!AU36&lt;&gt;"",原始資料!AV36=原始資料!AU36),N(AS36)+1,1))</f>
        <v/>
      </c>
      <c r="AU36" s="6">
        <f>IF(OR(原始資料!$A36="",46&gt;設定!$B$3,原始資料!AW36=""),"",IF(AND(原始資料!AV36&lt;&gt;"",原始資料!AW36=原始資料!AV36),N(AT36)+1,1))</f>
        <v/>
      </c>
      <c r="AV36" s="6">
        <f>IF(OR(原始資料!$A36="",47&gt;設定!$B$3,原始資料!AX36=""),"",IF(AND(原始資料!AW36&lt;&gt;"",原始資料!AX36=原始資料!AW36),N(AU36)+1,1))</f>
        <v/>
      </c>
      <c r="AW36" s="6">
        <f>IF(OR(原始資料!$A36="",48&gt;設定!$B$3,原始資料!AY36=""),"",IF(AND(原始資料!AX36&lt;&gt;"",原始資料!AY36=原始資料!AX36),N(AV36)+1,1))</f>
        <v/>
      </c>
      <c r="AX36" s="6">
        <f>IF(OR(原始資料!$A36="",49&gt;設定!$B$3,原始資料!AZ36=""),"",IF(AND(原始資料!AY36&lt;&gt;"",原始資料!AZ36=原始資料!AY36),N(AW36)+1,1))</f>
        <v/>
      </c>
      <c r="AY36" s="6">
        <f>IF(OR(原始資料!$A36="",50&gt;設定!$B$3,原始資料!BA36=""),"",IF(AND(原始資料!AZ36&lt;&gt;"",原始資料!BA36=原始資料!AZ36),N(AX36)+1,1))</f>
        <v/>
      </c>
      <c r="AZ36" s="6">
        <f>IF(OR(原始資料!$A36="",51&gt;設定!$B$3,原始資料!BB36=""),"",IF(AND(原始資料!BA36&lt;&gt;"",原始資料!BB36=原始資料!BA36),N(AY36)+1,1))</f>
        <v/>
      </c>
      <c r="BA36" s="6">
        <f>IF(OR(原始資料!$A36="",52&gt;設定!$B$3,原始資料!BC36=""),"",IF(AND(原始資料!BB36&lt;&gt;"",原始資料!BC36=原始資料!BB36),N(AZ36)+1,1))</f>
        <v/>
      </c>
      <c r="BB36" s="6">
        <f>IF(OR(原始資料!$A36="",53&gt;設定!$B$3,原始資料!BD36=""),"",IF(AND(原始資料!BC36&lt;&gt;"",原始資料!BD36=原始資料!BC36),N(BA36)+1,1))</f>
        <v/>
      </c>
      <c r="BC36" s="6">
        <f>IF(OR(原始資料!$A36="",54&gt;設定!$B$3,原始資料!BE36=""),"",IF(AND(原始資料!BD36&lt;&gt;"",原始資料!BE36=原始資料!BD36),N(BB36)+1,1))</f>
        <v/>
      </c>
      <c r="BD36" s="6">
        <f>IF(OR(原始資料!$A36="",55&gt;設定!$B$3,原始資料!BF36=""),"",IF(AND(原始資料!BE36&lt;&gt;"",原始資料!BF36=原始資料!BE36),N(BC36)+1,1))</f>
        <v/>
      </c>
      <c r="BE36" s="6">
        <f>IF(OR(原始資料!$A36="",56&gt;設定!$B$3,原始資料!BG36=""),"",IF(AND(原始資料!BF36&lt;&gt;"",原始資料!BG36=原始資料!BF36),N(BD36)+1,1))</f>
        <v/>
      </c>
      <c r="BF36" s="6">
        <f>IF(OR(原始資料!$A36="",57&gt;設定!$B$3,原始資料!BH36=""),"",IF(AND(原始資料!BG36&lt;&gt;"",原始資料!BH36=原始資料!BG36),N(BE36)+1,1))</f>
        <v/>
      </c>
      <c r="BG36" s="6">
        <f>IF(OR(原始資料!$A36="",58&gt;設定!$B$3,原始資料!BI36=""),"",IF(AND(原始資料!BH36&lt;&gt;"",原始資料!BI36=原始資料!BH36),N(BF36)+1,1))</f>
        <v/>
      </c>
      <c r="BH36" s="6">
        <f>IF(OR(原始資料!$A36="",59&gt;設定!$B$3,原始資料!BJ36=""),"",IF(AND(原始資料!BI36&lt;&gt;"",原始資料!BJ36=原始資料!BI36),N(BG36)+1,1))</f>
        <v/>
      </c>
      <c r="BI36" s="6">
        <f>IF(OR(原始資料!$A36="",60&gt;設定!$B$3,原始資料!BK36=""),"",IF(AND(原始資料!BJ36&lt;&gt;"",原始資料!BK36=原始資料!BJ36),N(BH36)+1,1))</f>
        <v/>
      </c>
    </row>
    <row r="37">
      <c r="A37" s="6">
        <f>IF(原始資料!$A37="","",原始資料!$A37)</f>
        <v/>
      </c>
      <c r="B37" s="6">
        <f>IF(OR(原始資料!$A37="",1&gt;設定!$B$3,原始資料!D37=""),"",1)</f>
        <v/>
      </c>
      <c r="C37" s="6">
        <f>IF(OR(原始資料!$A37="",2&gt;設定!$B$3,原始資料!E37=""),"",IF(AND(原始資料!D37&lt;&gt;"",原始資料!E37=原始資料!D37),N(B37)+1,1))</f>
        <v/>
      </c>
      <c r="D37" s="6">
        <f>IF(OR(原始資料!$A37="",3&gt;設定!$B$3,原始資料!F37=""),"",IF(AND(原始資料!E37&lt;&gt;"",原始資料!F37=原始資料!E37),N(C37)+1,1))</f>
        <v/>
      </c>
      <c r="E37" s="6">
        <f>IF(OR(原始資料!$A37="",4&gt;設定!$B$3,原始資料!G37=""),"",IF(AND(原始資料!F37&lt;&gt;"",原始資料!G37=原始資料!F37),N(D37)+1,1))</f>
        <v/>
      </c>
      <c r="F37" s="6">
        <f>IF(OR(原始資料!$A37="",5&gt;設定!$B$3,原始資料!H37=""),"",IF(AND(原始資料!G37&lt;&gt;"",原始資料!H37=原始資料!G37),N(E37)+1,1))</f>
        <v/>
      </c>
      <c r="G37" s="6">
        <f>IF(OR(原始資料!$A37="",6&gt;設定!$B$3,原始資料!I37=""),"",IF(AND(原始資料!H37&lt;&gt;"",原始資料!I37=原始資料!H37),N(F37)+1,1))</f>
        <v/>
      </c>
      <c r="H37" s="6">
        <f>IF(OR(原始資料!$A37="",7&gt;設定!$B$3,原始資料!J37=""),"",IF(AND(原始資料!I37&lt;&gt;"",原始資料!J37=原始資料!I37),N(G37)+1,1))</f>
        <v/>
      </c>
      <c r="I37" s="6">
        <f>IF(OR(原始資料!$A37="",8&gt;設定!$B$3,原始資料!K37=""),"",IF(AND(原始資料!J37&lt;&gt;"",原始資料!K37=原始資料!J37),N(H37)+1,1))</f>
        <v/>
      </c>
      <c r="J37" s="6">
        <f>IF(OR(原始資料!$A37="",9&gt;設定!$B$3,原始資料!L37=""),"",IF(AND(原始資料!K37&lt;&gt;"",原始資料!L37=原始資料!K37),N(I37)+1,1))</f>
        <v/>
      </c>
      <c r="K37" s="6">
        <f>IF(OR(原始資料!$A37="",10&gt;設定!$B$3,原始資料!M37=""),"",IF(AND(原始資料!L37&lt;&gt;"",原始資料!M37=原始資料!L37),N(J37)+1,1))</f>
        <v/>
      </c>
      <c r="L37" s="6">
        <f>IF(OR(原始資料!$A37="",11&gt;設定!$B$3,原始資料!N37=""),"",IF(AND(原始資料!M37&lt;&gt;"",原始資料!N37=原始資料!M37),N(K37)+1,1))</f>
        <v/>
      </c>
      <c r="M37" s="6">
        <f>IF(OR(原始資料!$A37="",12&gt;設定!$B$3,原始資料!O37=""),"",IF(AND(原始資料!N37&lt;&gt;"",原始資料!O37=原始資料!N37),N(L37)+1,1))</f>
        <v/>
      </c>
      <c r="N37" s="6">
        <f>IF(OR(原始資料!$A37="",13&gt;設定!$B$3,原始資料!P37=""),"",IF(AND(原始資料!O37&lt;&gt;"",原始資料!P37=原始資料!O37),N(M37)+1,1))</f>
        <v/>
      </c>
      <c r="O37" s="6">
        <f>IF(OR(原始資料!$A37="",14&gt;設定!$B$3,原始資料!Q37=""),"",IF(AND(原始資料!P37&lt;&gt;"",原始資料!Q37=原始資料!P37),N(N37)+1,1))</f>
        <v/>
      </c>
      <c r="P37" s="6">
        <f>IF(OR(原始資料!$A37="",15&gt;設定!$B$3,原始資料!R37=""),"",IF(AND(原始資料!Q37&lt;&gt;"",原始資料!R37=原始資料!Q37),N(O37)+1,1))</f>
        <v/>
      </c>
      <c r="Q37" s="6">
        <f>IF(OR(原始資料!$A37="",16&gt;設定!$B$3,原始資料!S37=""),"",IF(AND(原始資料!R37&lt;&gt;"",原始資料!S37=原始資料!R37),N(P37)+1,1))</f>
        <v/>
      </c>
      <c r="R37" s="6">
        <f>IF(OR(原始資料!$A37="",17&gt;設定!$B$3,原始資料!T37=""),"",IF(AND(原始資料!S37&lt;&gt;"",原始資料!T37=原始資料!S37),N(Q37)+1,1))</f>
        <v/>
      </c>
      <c r="S37" s="6">
        <f>IF(OR(原始資料!$A37="",18&gt;設定!$B$3,原始資料!U37=""),"",IF(AND(原始資料!T37&lt;&gt;"",原始資料!U37=原始資料!T37),N(R37)+1,1))</f>
        <v/>
      </c>
      <c r="T37" s="6">
        <f>IF(OR(原始資料!$A37="",19&gt;設定!$B$3,原始資料!V37=""),"",IF(AND(原始資料!U37&lt;&gt;"",原始資料!V37=原始資料!U37),N(S37)+1,1))</f>
        <v/>
      </c>
      <c r="U37" s="6">
        <f>IF(OR(原始資料!$A37="",20&gt;設定!$B$3,原始資料!W37=""),"",IF(AND(原始資料!V37&lt;&gt;"",原始資料!W37=原始資料!V37),N(T37)+1,1))</f>
        <v/>
      </c>
      <c r="V37" s="6">
        <f>IF(OR(原始資料!$A37="",21&gt;設定!$B$3,原始資料!X37=""),"",IF(AND(原始資料!W37&lt;&gt;"",原始資料!X37=原始資料!W37),N(U37)+1,1))</f>
        <v/>
      </c>
      <c r="W37" s="6">
        <f>IF(OR(原始資料!$A37="",22&gt;設定!$B$3,原始資料!Y37=""),"",IF(AND(原始資料!X37&lt;&gt;"",原始資料!Y37=原始資料!X37),N(V37)+1,1))</f>
        <v/>
      </c>
      <c r="X37" s="6">
        <f>IF(OR(原始資料!$A37="",23&gt;設定!$B$3,原始資料!Z37=""),"",IF(AND(原始資料!Y37&lt;&gt;"",原始資料!Z37=原始資料!Y37),N(W37)+1,1))</f>
        <v/>
      </c>
      <c r="Y37" s="6">
        <f>IF(OR(原始資料!$A37="",24&gt;設定!$B$3,原始資料!AA37=""),"",IF(AND(原始資料!Z37&lt;&gt;"",原始資料!AA37=原始資料!Z37),N(X37)+1,1))</f>
        <v/>
      </c>
      <c r="Z37" s="6">
        <f>IF(OR(原始資料!$A37="",25&gt;設定!$B$3,原始資料!AB37=""),"",IF(AND(原始資料!AA37&lt;&gt;"",原始資料!AB37=原始資料!AA37),N(Y37)+1,1))</f>
        <v/>
      </c>
      <c r="AA37" s="6">
        <f>IF(OR(原始資料!$A37="",26&gt;設定!$B$3,原始資料!AC37=""),"",IF(AND(原始資料!AB37&lt;&gt;"",原始資料!AC37=原始資料!AB37),N(Z37)+1,1))</f>
        <v/>
      </c>
      <c r="AB37" s="6">
        <f>IF(OR(原始資料!$A37="",27&gt;設定!$B$3,原始資料!AD37=""),"",IF(AND(原始資料!AC37&lt;&gt;"",原始資料!AD37=原始資料!AC37),N(AA37)+1,1))</f>
        <v/>
      </c>
      <c r="AC37" s="6">
        <f>IF(OR(原始資料!$A37="",28&gt;設定!$B$3,原始資料!AE37=""),"",IF(AND(原始資料!AD37&lt;&gt;"",原始資料!AE37=原始資料!AD37),N(AB37)+1,1))</f>
        <v/>
      </c>
      <c r="AD37" s="6">
        <f>IF(OR(原始資料!$A37="",29&gt;設定!$B$3,原始資料!AF37=""),"",IF(AND(原始資料!AE37&lt;&gt;"",原始資料!AF37=原始資料!AE37),N(AC37)+1,1))</f>
        <v/>
      </c>
      <c r="AE37" s="6">
        <f>IF(OR(原始資料!$A37="",30&gt;設定!$B$3,原始資料!AG37=""),"",IF(AND(原始資料!AF37&lt;&gt;"",原始資料!AG37=原始資料!AF37),N(AD37)+1,1))</f>
        <v/>
      </c>
      <c r="AF37" s="6">
        <f>IF(OR(原始資料!$A37="",31&gt;設定!$B$3,原始資料!AH37=""),"",IF(AND(原始資料!AG37&lt;&gt;"",原始資料!AH37=原始資料!AG37),N(AE37)+1,1))</f>
        <v/>
      </c>
      <c r="AG37" s="6">
        <f>IF(OR(原始資料!$A37="",32&gt;設定!$B$3,原始資料!AI37=""),"",IF(AND(原始資料!AH37&lt;&gt;"",原始資料!AI37=原始資料!AH37),N(AF37)+1,1))</f>
        <v/>
      </c>
      <c r="AH37" s="6">
        <f>IF(OR(原始資料!$A37="",33&gt;設定!$B$3,原始資料!AJ37=""),"",IF(AND(原始資料!AI37&lt;&gt;"",原始資料!AJ37=原始資料!AI37),N(AG37)+1,1))</f>
        <v/>
      </c>
      <c r="AI37" s="6">
        <f>IF(OR(原始資料!$A37="",34&gt;設定!$B$3,原始資料!AK37=""),"",IF(AND(原始資料!AJ37&lt;&gt;"",原始資料!AK37=原始資料!AJ37),N(AH37)+1,1))</f>
        <v/>
      </c>
      <c r="AJ37" s="6">
        <f>IF(OR(原始資料!$A37="",35&gt;設定!$B$3,原始資料!AL37=""),"",IF(AND(原始資料!AK37&lt;&gt;"",原始資料!AL37=原始資料!AK37),N(AI37)+1,1))</f>
        <v/>
      </c>
      <c r="AK37" s="6">
        <f>IF(OR(原始資料!$A37="",36&gt;設定!$B$3,原始資料!AM37=""),"",IF(AND(原始資料!AL37&lt;&gt;"",原始資料!AM37=原始資料!AL37),N(AJ37)+1,1))</f>
        <v/>
      </c>
      <c r="AL37" s="6">
        <f>IF(OR(原始資料!$A37="",37&gt;設定!$B$3,原始資料!AN37=""),"",IF(AND(原始資料!AM37&lt;&gt;"",原始資料!AN37=原始資料!AM37),N(AK37)+1,1))</f>
        <v/>
      </c>
      <c r="AM37" s="6">
        <f>IF(OR(原始資料!$A37="",38&gt;設定!$B$3,原始資料!AO37=""),"",IF(AND(原始資料!AN37&lt;&gt;"",原始資料!AO37=原始資料!AN37),N(AL37)+1,1))</f>
        <v/>
      </c>
      <c r="AN37" s="6">
        <f>IF(OR(原始資料!$A37="",39&gt;設定!$B$3,原始資料!AP37=""),"",IF(AND(原始資料!AO37&lt;&gt;"",原始資料!AP37=原始資料!AO37),N(AM37)+1,1))</f>
        <v/>
      </c>
      <c r="AO37" s="6">
        <f>IF(OR(原始資料!$A37="",40&gt;設定!$B$3,原始資料!AQ37=""),"",IF(AND(原始資料!AP37&lt;&gt;"",原始資料!AQ37=原始資料!AP37),N(AN37)+1,1))</f>
        <v/>
      </c>
      <c r="AP37" s="6">
        <f>IF(OR(原始資料!$A37="",41&gt;設定!$B$3,原始資料!AR37=""),"",IF(AND(原始資料!AQ37&lt;&gt;"",原始資料!AR37=原始資料!AQ37),N(AO37)+1,1))</f>
        <v/>
      </c>
      <c r="AQ37" s="6">
        <f>IF(OR(原始資料!$A37="",42&gt;設定!$B$3,原始資料!AS37=""),"",IF(AND(原始資料!AR37&lt;&gt;"",原始資料!AS37=原始資料!AR37),N(AP37)+1,1))</f>
        <v/>
      </c>
      <c r="AR37" s="6">
        <f>IF(OR(原始資料!$A37="",43&gt;設定!$B$3,原始資料!AT37=""),"",IF(AND(原始資料!AS37&lt;&gt;"",原始資料!AT37=原始資料!AS37),N(AQ37)+1,1))</f>
        <v/>
      </c>
      <c r="AS37" s="6">
        <f>IF(OR(原始資料!$A37="",44&gt;設定!$B$3,原始資料!AU37=""),"",IF(AND(原始資料!AT37&lt;&gt;"",原始資料!AU37=原始資料!AT37),N(AR37)+1,1))</f>
        <v/>
      </c>
      <c r="AT37" s="6">
        <f>IF(OR(原始資料!$A37="",45&gt;設定!$B$3,原始資料!AV37=""),"",IF(AND(原始資料!AU37&lt;&gt;"",原始資料!AV37=原始資料!AU37),N(AS37)+1,1))</f>
        <v/>
      </c>
      <c r="AU37" s="6">
        <f>IF(OR(原始資料!$A37="",46&gt;設定!$B$3,原始資料!AW37=""),"",IF(AND(原始資料!AV37&lt;&gt;"",原始資料!AW37=原始資料!AV37),N(AT37)+1,1))</f>
        <v/>
      </c>
      <c r="AV37" s="6">
        <f>IF(OR(原始資料!$A37="",47&gt;設定!$B$3,原始資料!AX37=""),"",IF(AND(原始資料!AW37&lt;&gt;"",原始資料!AX37=原始資料!AW37),N(AU37)+1,1))</f>
        <v/>
      </c>
      <c r="AW37" s="6">
        <f>IF(OR(原始資料!$A37="",48&gt;設定!$B$3,原始資料!AY37=""),"",IF(AND(原始資料!AX37&lt;&gt;"",原始資料!AY37=原始資料!AX37),N(AV37)+1,1))</f>
        <v/>
      </c>
      <c r="AX37" s="6">
        <f>IF(OR(原始資料!$A37="",49&gt;設定!$B$3,原始資料!AZ37=""),"",IF(AND(原始資料!AY37&lt;&gt;"",原始資料!AZ37=原始資料!AY37),N(AW37)+1,1))</f>
        <v/>
      </c>
      <c r="AY37" s="6">
        <f>IF(OR(原始資料!$A37="",50&gt;設定!$B$3,原始資料!BA37=""),"",IF(AND(原始資料!AZ37&lt;&gt;"",原始資料!BA37=原始資料!AZ37),N(AX37)+1,1))</f>
        <v/>
      </c>
      <c r="AZ37" s="6">
        <f>IF(OR(原始資料!$A37="",51&gt;設定!$B$3,原始資料!BB37=""),"",IF(AND(原始資料!BA37&lt;&gt;"",原始資料!BB37=原始資料!BA37),N(AY37)+1,1))</f>
        <v/>
      </c>
      <c r="BA37" s="6">
        <f>IF(OR(原始資料!$A37="",52&gt;設定!$B$3,原始資料!BC37=""),"",IF(AND(原始資料!BB37&lt;&gt;"",原始資料!BC37=原始資料!BB37),N(AZ37)+1,1))</f>
        <v/>
      </c>
      <c r="BB37" s="6">
        <f>IF(OR(原始資料!$A37="",53&gt;設定!$B$3,原始資料!BD37=""),"",IF(AND(原始資料!BC37&lt;&gt;"",原始資料!BD37=原始資料!BC37),N(BA37)+1,1))</f>
        <v/>
      </c>
      <c r="BC37" s="6">
        <f>IF(OR(原始資料!$A37="",54&gt;設定!$B$3,原始資料!BE37=""),"",IF(AND(原始資料!BD37&lt;&gt;"",原始資料!BE37=原始資料!BD37),N(BB37)+1,1))</f>
        <v/>
      </c>
      <c r="BD37" s="6">
        <f>IF(OR(原始資料!$A37="",55&gt;設定!$B$3,原始資料!BF37=""),"",IF(AND(原始資料!BE37&lt;&gt;"",原始資料!BF37=原始資料!BE37),N(BC37)+1,1))</f>
        <v/>
      </c>
      <c r="BE37" s="6">
        <f>IF(OR(原始資料!$A37="",56&gt;設定!$B$3,原始資料!BG37=""),"",IF(AND(原始資料!BF37&lt;&gt;"",原始資料!BG37=原始資料!BF37),N(BD37)+1,1))</f>
        <v/>
      </c>
      <c r="BF37" s="6">
        <f>IF(OR(原始資料!$A37="",57&gt;設定!$B$3,原始資料!BH37=""),"",IF(AND(原始資料!BG37&lt;&gt;"",原始資料!BH37=原始資料!BG37),N(BE37)+1,1))</f>
        <v/>
      </c>
      <c r="BG37" s="6">
        <f>IF(OR(原始資料!$A37="",58&gt;設定!$B$3,原始資料!BI37=""),"",IF(AND(原始資料!BH37&lt;&gt;"",原始資料!BI37=原始資料!BH37),N(BF37)+1,1))</f>
        <v/>
      </c>
      <c r="BH37" s="6">
        <f>IF(OR(原始資料!$A37="",59&gt;設定!$B$3,原始資料!BJ37=""),"",IF(AND(原始資料!BI37&lt;&gt;"",原始資料!BJ37=原始資料!BI37),N(BG37)+1,1))</f>
        <v/>
      </c>
      <c r="BI37" s="6">
        <f>IF(OR(原始資料!$A37="",60&gt;設定!$B$3,原始資料!BK37=""),"",IF(AND(原始資料!BJ37&lt;&gt;"",原始資料!BK37=原始資料!BJ37),N(BH37)+1,1))</f>
        <v/>
      </c>
    </row>
    <row r="38">
      <c r="A38" s="6">
        <f>IF(原始資料!$A38="","",原始資料!$A38)</f>
        <v/>
      </c>
      <c r="B38" s="6">
        <f>IF(OR(原始資料!$A38="",1&gt;設定!$B$3,原始資料!D38=""),"",1)</f>
        <v/>
      </c>
      <c r="C38" s="6">
        <f>IF(OR(原始資料!$A38="",2&gt;設定!$B$3,原始資料!E38=""),"",IF(AND(原始資料!D38&lt;&gt;"",原始資料!E38=原始資料!D38),N(B38)+1,1))</f>
        <v/>
      </c>
      <c r="D38" s="6">
        <f>IF(OR(原始資料!$A38="",3&gt;設定!$B$3,原始資料!F38=""),"",IF(AND(原始資料!E38&lt;&gt;"",原始資料!F38=原始資料!E38),N(C38)+1,1))</f>
        <v/>
      </c>
      <c r="E38" s="6">
        <f>IF(OR(原始資料!$A38="",4&gt;設定!$B$3,原始資料!G38=""),"",IF(AND(原始資料!F38&lt;&gt;"",原始資料!G38=原始資料!F38),N(D38)+1,1))</f>
        <v/>
      </c>
      <c r="F38" s="6">
        <f>IF(OR(原始資料!$A38="",5&gt;設定!$B$3,原始資料!H38=""),"",IF(AND(原始資料!G38&lt;&gt;"",原始資料!H38=原始資料!G38),N(E38)+1,1))</f>
        <v/>
      </c>
      <c r="G38" s="6">
        <f>IF(OR(原始資料!$A38="",6&gt;設定!$B$3,原始資料!I38=""),"",IF(AND(原始資料!H38&lt;&gt;"",原始資料!I38=原始資料!H38),N(F38)+1,1))</f>
        <v/>
      </c>
      <c r="H38" s="6">
        <f>IF(OR(原始資料!$A38="",7&gt;設定!$B$3,原始資料!J38=""),"",IF(AND(原始資料!I38&lt;&gt;"",原始資料!J38=原始資料!I38),N(G38)+1,1))</f>
        <v/>
      </c>
      <c r="I38" s="6">
        <f>IF(OR(原始資料!$A38="",8&gt;設定!$B$3,原始資料!K38=""),"",IF(AND(原始資料!J38&lt;&gt;"",原始資料!K38=原始資料!J38),N(H38)+1,1))</f>
        <v/>
      </c>
      <c r="J38" s="6">
        <f>IF(OR(原始資料!$A38="",9&gt;設定!$B$3,原始資料!L38=""),"",IF(AND(原始資料!K38&lt;&gt;"",原始資料!L38=原始資料!K38),N(I38)+1,1))</f>
        <v/>
      </c>
      <c r="K38" s="6">
        <f>IF(OR(原始資料!$A38="",10&gt;設定!$B$3,原始資料!M38=""),"",IF(AND(原始資料!L38&lt;&gt;"",原始資料!M38=原始資料!L38),N(J38)+1,1))</f>
        <v/>
      </c>
      <c r="L38" s="6">
        <f>IF(OR(原始資料!$A38="",11&gt;設定!$B$3,原始資料!N38=""),"",IF(AND(原始資料!M38&lt;&gt;"",原始資料!N38=原始資料!M38),N(K38)+1,1))</f>
        <v/>
      </c>
      <c r="M38" s="6">
        <f>IF(OR(原始資料!$A38="",12&gt;設定!$B$3,原始資料!O38=""),"",IF(AND(原始資料!N38&lt;&gt;"",原始資料!O38=原始資料!N38),N(L38)+1,1))</f>
        <v/>
      </c>
      <c r="N38" s="6">
        <f>IF(OR(原始資料!$A38="",13&gt;設定!$B$3,原始資料!P38=""),"",IF(AND(原始資料!O38&lt;&gt;"",原始資料!P38=原始資料!O38),N(M38)+1,1))</f>
        <v/>
      </c>
      <c r="O38" s="6">
        <f>IF(OR(原始資料!$A38="",14&gt;設定!$B$3,原始資料!Q38=""),"",IF(AND(原始資料!P38&lt;&gt;"",原始資料!Q38=原始資料!P38),N(N38)+1,1))</f>
        <v/>
      </c>
      <c r="P38" s="6">
        <f>IF(OR(原始資料!$A38="",15&gt;設定!$B$3,原始資料!R38=""),"",IF(AND(原始資料!Q38&lt;&gt;"",原始資料!R38=原始資料!Q38),N(O38)+1,1))</f>
        <v/>
      </c>
      <c r="Q38" s="6">
        <f>IF(OR(原始資料!$A38="",16&gt;設定!$B$3,原始資料!S38=""),"",IF(AND(原始資料!R38&lt;&gt;"",原始資料!S38=原始資料!R38),N(P38)+1,1))</f>
        <v/>
      </c>
      <c r="R38" s="6">
        <f>IF(OR(原始資料!$A38="",17&gt;設定!$B$3,原始資料!T38=""),"",IF(AND(原始資料!S38&lt;&gt;"",原始資料!T38=原始資料!S38),N(Q38)+1,1))</f>
        <v/>
      </c>
      <c r="S38" s="6">
        <f>IF(OR(原始資料!$A38="",18&gt;設定!$B$3,原始資料!U38=""),"",IF(AND(原始資料!T38&lt;&gt;"",原始資料!U38=原始資料!T38),N(R38)+1,1))</f>
        <v/>
      </c>
      <c r="T38" s="6">
        <f>IF(OR(原始資料!$A38="",19&gt;設定!$B$3,原始資料!V38=""),"",IF(AND(原始資料!U38&lt;&gt;"",原始資料!V38=原始資料!U38),N(S38)+1,1))</f>
        <v/>
      </c>
      <c r="U38" s="6">
        <f>IF(OR(原始資料!$A38="",20&gt;設定!$B$3,原始資料!W38=""),"",IF(AND(原始資料!V38&lt;&gt;"",原始資料!W38=原始資料!V38),N(T38)+1,1))</f>
        <v/>
      </c>
      <c r="V38" s="6">
        <f>IF(OR(原始資料!$A38="",21&gt;設定!$B$3,原始資料!X38=""),"",IF(AND(原始資料!W38&lt;&gt;"",原始資料!X38=原始資料!W38),N(U38)+1,1))</f>
        <v/>
      </c>
      <c r="W38" s="6">
        <f>IF(OR(原始資料!$A38="",22&gt;設定!$B$3,原始資料!Y38=""),"",IF(AND(原始資料!X38&lt;&gt;"",原始資料!Y38=原始資料!X38),N(V38)+1,1))</f>
        <v/>
      </c>
      <c r="X38" s="6">
        <f>IF(OR(原始資料!$A38="",23&gt;設定!$B$3,原始資料!Z38=""),"",IF(AND(原始資料!Y38&lt;&gt;"",原始資料!Z38=原始資料!Y38),N(W38)+1,1))</f>
        <v/>
      </c>
      <c r="Y38" s="6">
        <f>IF(OR(原始資料!$A38="",24&gt;設定!$B$3,原始資料!AA38=""),"",IF(AND(原始資料!Z38&lt;&gt;"",原始資料!AA38=原始資料!Z38),N(X38)+1,1))</f>
        <v/>
      </c>
      <c r="Z38" s="6">
        <f>IF(OR(原始資料!$A38="",25&gt;設定!$B$3,原始資料!AB38=""),"",IF(AND(原始資料!AA38&lt;&gt;"",原始資料!AB38=原始資料!AA38),N(Y38)+1,1))</f>
        <v/>
      </c>
      <c r="AA38" s="6">
        <f>IF(OR(原始資料!$A38="",26&gt;設定!$B$3,原始資料!AC38=""),"",IF(AND(原始資料!AB38&lt;&gt;"",原始資料!AC38=原始資料!AB38),N(Z38)+1,1))</f>
        <v/>
      </c>
      <c r="AB38" s="6">
        <f>IF(OR(原始資料!$A38="",27&gt;設定!$B$3,原始資料!AD38=""),"",IF(AND(原始資料!AC38&lt;&gt;"",原始資料!AD38=原始資料!AC38),N(AA38)+1,1))</f>
        <v/>
      </c>
      <c r="AC38" s="6">
        <f>IF(OR(原始資料!$A38="",28&gt;設定!$B$3,原始資料!AE38=""),"",IF(AND(原始資料!AD38&lt;&gt;"",原始資料!AE38=原始資料!AD38),N(AB38)+1,1))</f>
        <v/>
      </c>
      <c r="AD38" s="6">
        <f>IF(OR(原始資料!$A38="",29&gt;設定!$B$3,原始資料!AF38=""),"",IF(AND(原始資料!AE38&lt;&gt;"",原始資料!AF38=原始資料!AE38),N(AC38)+1,1))</f>
        <v/>
      </c>
      <c r="AE38" s="6">
        <f>IF(OR(原始資料!$A38="",30&gt;設定!$B$3,原始資料!AG38=""),"",IF(AND(原始資料!AF38&lt;&gt;"",原始資料!AG38=原始資料!AF38),N(AD38)+1,1))</f>
        <v/>
      </c>
      <c r="AF38" s="6">
        <f>IF(OR(原始資料!$A38="",31&gt;設定!$B$3,原始資料!AH38=""),"",IF(AND(原始資料!AG38&lt;&gt;"",原始資料!AH38=原始資料!AG38),N(AE38)+1,1))</f>
        <v/>
      </c>
      <c r="AG38" s="6">
        <f>IF(OR(原始資料!$A38="",32&gt;設定!$B$3,原始資料!AI38=""),"",IF(AND(原始資料!AH38&lt;&gt;"",原始資料!AI38=原始資料!AH38),N(AF38)+1,1))</f>
        <v/>
      </c>
      <c r="AH38" s="6">
        <f>IF(OR(原始資料!$A38="",33&gt;設定!$B$3,原始資料!AJ38=""),"",IF(AND(原始資料!AI38&lt;&gt;"",原始資料!AJ38=原始資料!AI38),N(AG38)+1,1))</f>
        <v/>
      </c>
      <c r="AI38" s="6">
        <f>IF(OR(原始資料!$A38="",34&gt;設定!$B$3,原始資料!AK38=""),"",IF(AND(原始資料!AJ38&lt;&gt;"",原始資料!AK38=原始資料!AJ38),N(AH38)+1,1))</f>
        <v/>
      </c>
      <c r="AJ38" s="6">
        <f>IF(OR(原始資料!$A38="",35&gt;設定!$B$3,原始資料!AL38=""),"",IF(AND(原始資料!AK38&lt;&gt;"",原始資料!AL38=原始資料!AK38),N(AI38)+1,1))</f>
        <v/>
      </c>
      <c r="AK38" s="6">
        <f>IF(OR(原始資料!$A38="",36&gt;設定!$B$3,原始資料!AM38=""),"",IF(AND(原始資料!AL38&lt;&gt;"",原始資料!AM38=原始資料!AL38),N(AJ38)+1,1))</f>
        <v/>
      </c>
      <c r="AL38" s="6">
        <f>IF(OR(原始資料!$A38="",37&gt;設定!$B$3,原始資料!AN38=""),"",IF(AND(原始資料!AM38&lt;&gt;"",原始資料!AN38=原始資料!AM38),N(AK38)+1,1))</f>
        <v/>
      </c>
      <c r="AM38" s="6">
        <f>IF(OR(原始資料!$A38="",38&gt;設定!$B$3,原始資料!AO38=""),"",IF(AND(原始資料!AN38&lt;&gt;"",原始資料!AO38=原始資料!AN38),N(AL38)+1,1))</f>
        <v/>
      </c>
      <c r="AN38" s="6">
        <f>IF(OR(原始資料!$A38="",39&gt;設定!$B$3,原始資料!AP38=""),"",IF(AND(原始資料!AO38&lt;&gt;"",原始資料!AP38=原始資料!AO38),N(AM38)+1,1))</f>
        <v/>
      </c>
      <c r="AO38" s="6">
        <f>IF(OR(原始資料!$A38="",40&gt;設定!$B$3,原始資料!AQ38=""),"",IF(AND(原始資料!AP38&lt;&gt;"",原始資料!AQ38=原始資料!AP38),N(AN38)+1,1))</f>
        <v/>
      </c>
      <c r="AP38" s="6">
        <f>IF(OR(原始資料!$A38="",41&gt;設定!$B$3,原始資料!AR38=""),"",IF(AND(原始資料!AQ38&lt;&gt;"",原始資料!AR38=原始資料!AQ38),N(AO38)+1,1))</f>
        <v/>
      </c>
      <c r="AQ38" s="6">
        <f>IF(OR(原始資料!$A38="",42&gt;設定!$B$3,原始資料!AS38=""),"",IF(AND(原始資料!AR38&lt;&gt;"",原始資料!AS38=原始資料!AR38),N(AP38)+1,1))</f>
        <v/>
      </c>
      <c r="AR38" s="6">
        <f>IF(OR(原始資料!$A38="",43&gt;設定!$B$3,原始資料!AT38=""),"",IF(AND(原始資料!AS38&lt;&gt;"",原始資料!AT38=原始資料!AS38),N(AQ38)+1,1))</f>
        <v/>
      </c>
      <c r="AS38" s="6">
        <f>IF(OR(原始資料!$A38="",44&gt;設定!$B$3,原始資料!AU38=""),"",IF(AND(原始資料!AT38&lt;&gt;"",原始資料!AU38=原始資料!AT38),N(AR38)+1,1))</f>
        <v/>
      </c>
      <c r="AT38" s="6">
        <f>IF(OR(原始資料!$A38="",45&gt;設定!$B$3,原始資料!AV38=""),"",IF(AND(原始資料!AU38&lt;&gt;"",原始資料!AV38=原始資料!AU38),N(AS38)+1,1))</f>
        <v/>
      </c>
      <c r="AU38" s="6">
        <f>IF(OR(原始資料!$A38="",46&gt;設定!$B$3,原始資料!AW38=""),"",IF(AND(原始資料!AV38&lt;&gt;"",原始資料!AW38=原始資料!AV38),N(AT38)+1,1))</f>
        <v/>
      </c>
      <c r="AV38" s="6">
        <f>IF(OR(原始資料!$A38="",47&gt;設定!$B$3,原始資料!AX38=""),"",IF(AND(原始資料!AW38&lt;&gt;"",原始資料!AX38=原始資料!AW38),N(AU38)+1,1))</f>
        <v/>
      </c>
      <c r="AW38" s="6">
        <f>IF(OR(原始資料!$A38="",48&gt;設定!$B$3,原始資料!AY38=""),"",IF(AND(原始資料!AX38&lt;&gt;"",原始資料!AY38=原始資料!AX38),N(AV38)+1,1))</f>
        <v/>
      </c>
      <c r="AX38" s="6">
        <f>IF(OR(原始資料!$A38="",49&gt;設定!$B$3,原始資料!AZ38=""),"",IF(AND(原始資料!AY38&lt;&gt;"",原始資料!AZ38=原始資料!AY38),N(AW38)+1,1))</f>
        <v/>
      </c>
      <c r="AY38" s="6">
        <f>IF(OR(原始資料!$A38="",50&gt;設定!$B$3,原始資料!BA38=""),"",IF(AND(原始資料!AZ38&lt;&gt;"",原始資料!BA38=原始資料!AZ38),N(AX38)+1,1))</f>
        <v/>
      </c>
      <c r="AZ38" s="6">
        <f>IF(OR(原始資料!$A38="",51&gt;設定!$B$3,原始資料!BB38=""),"",IF(AND(原始資料!BA38&lt;&gt;"",原始資料!BB38=原始資料!BA38),N(AY38)+1,1))</f>
        <v/>
      </c>
      <c r="BA38" s="6">
        <f>IF(OR(原始資料!$A38="",52&gt;設定!$B$3,原始資料!BC38=""),"",IF(AND(原始資料!BB38&lt;&gt;"",原始資料!BC38=原始資料!BB38),N(AZ38)+1,1))</f>
        <v/>
      </c>
      <c r="BB38" s="6">
        <f>IF(OR(原始資料!$A38="",53&gt;設定!$B$3,原始資料!BD38=""),"",IF(AND(原始資料!BC38&lt;&gt;"",原始資料!BD38=原始資料!BC38),N(BA38)+1,1))</f>
        <v/>
      </c>
      <c r="BC38" s="6">
        <f>IF(OR(原始資料!$A38="",54&gt;設定!$B$3,原始資料!BE38=""),"",IF(AND(原始資料!BD38&lt;&gt;"",原始資料!BE38=原始資料!BD38),N(BB38)+1,1))</f>
        <v/>
      </c>
      <c r="BD38" s="6">
        <f>IF(OR(原始資料!$A38="",55&gt;設定!$B$3,原始資料!BF38=""),"",IF(AND(原始資料!BE38&lt;&gt;"",原始資料!BF38=原始資料!BE38),N(BC38)+1,1))</f>
        <v/>
      </c>
      <c r="BE38" s="6">
        <f>IF(OR(原始資料!$A38="",56&gt;設定!$B$3,原始資料!BG38=""),"",IF(AND(原始資料!BF38&lt;&gt;"",原始資料!BG38=原始資料!BF38),N(BD38)+1,1))</f>
        <v/>
      </c>
      <c r="BF38" s="6">
        <f>IF(OR(原始資料!$A38="",57&gt;設定!$B$3,原始資料!BH38=""),"",IF(AND(原始資料!BG38&lt;&gt;"",原始資料!BH38=原始資料!BG38),N(BE38)+1,1))</f>
        <v/>
      </c>
      <c r="BG38" s="6">
        <f>IF(OR(原始資料!$A38="",58&gt;設定!$B$3,原始資料!BI38=""),"",IF(AND(原始資料!BH38&lt;&gt;"",原始資料!BI38=原始資料!BH38),N(BF38)+1,1))</f>
        <v/>
      </c>
      <c r="BH38" s="6">
        <f>IF(OR(原始資料!$A38="",59&gt;設定!$B$3,原始資料!BJ38=""),"",IF(AND(原始資料!BI38&lt;&gt;"",原始資料!BJ38=原始資料!BI38),N(BG38)+1,1))</f>
        <v/>
      </c>
      <c r="BI38" s="6">
        <f>IF(OR(原始資料!$A38="",60&gt;設定!$B$3,原始資料!BK38=""),"",IF(AND(原始資料!BJ38&lt;&gt;"",原始資料!BK38=原始資料!BJ38),N(BH38)+1,1))</f>
        <v/>
      </c>
    </row>
    <row r="39">
      <c r="A39" s="6">
        <f>IF(原始資料!$A39="","",原始資料!$A39)</f>
        <v/>
      </c>
      <c r="B39" s="6">
        <f>IF(OR(原始資料!$A39="",1&gt;設定!$B$3,原始資料!D39=""),"",1)</f>
        <v/>
      </c>
      <c r="C39" s="6">
        <f>IF(OR(原始資料!$A39="",2&gt;設定!$B$3,原始資料!E39=""),"",IF(AND(原始資料!D39&lt;&gt;"",原始資料!E39=原始資料!D39),N(B39)+1,1))</f>
        <v/>
      </c>
      <c r="D39" s="6">
        <f>IF(OR(原始資料!$A39="",3&gt;設定!$B$3,原始資料!F39=""),"",IF(AND(原始資料!E39&lt;&gt;"",原始資料!F39=原始資料!E39),N(C39)+1,1))</f>
        <v/>
      </c>
      <c r="E39" s="6">
        <f>IF(OR(原始資料!$A39="",4&gt;設定!$B$3,原始資料!G39=""),"",IF(AND(原始資料!F39&lt;&gt;"",原始資料!G39=原始資料!F39),N(D39)+1,1))</f>
        <v/>
      </c>
      <c r="F39" s="6">
        <f>IF(OR(原始資料!$A39="",5&gt;設定!$B$3,原始資料!H39=""),"",IF(AND(原始資料!G39&lt;&gt;"",原始資料!H39=原始資料!G39),N(E39)+1,1))</f>
        <v/>
      </c>
      <c r="G39" s="6">
        <f>IF(OR(原始資料!$A39="",6&gt;設定!$B$3,原始資料!I39=""),"",IF(AND(原始資料!H39&lt;&gt;"",原始資料!I39=原始資料!H39),N(F39)+1,1))</f>
        <v/>
      </c>
      <c r="H39" s="6">
        <f>IF(OR(原始資料!$A39="",7&gt;設定!$B$3,原始資料!J39=""),"",IF(AND(原始資料!I39&lt;&gt;"",原始資料!J39=原始資料!I39),N(G39)+1,1))</f>
        <v/>
      </c>
      <c r="I39" s="6">
        <f>IF(OR(原始資料!$A39="",8&gt;設定!$B$3,原始資料!K39=""),"",IF(AND(原始資料!J39&lt;&gt;"",原始資料!K39=原始資料!J39),N(H39)+1,1))</f>
        <v/>
      </c>
      <c r="J39" s="6">
        <f>IF(OR(原始資料!$A39="",9&gt;設定!$B$3,原始資料!L39=""),"",IF(AND(原始資料!K39&lt;&gt;"",原始資料!L39=原始資料!K39),N(I39)+1,1))</f>
        <v/>
      </c>
      <c r="K39" s="6">
        <f>IF(OR(原始資料!$A39="",10&gt;設定!$B$3,原始資料!M39=""),"",IF(AND(原始資料!L39&lt;&gt;"",原始資料!M39=原始資料!L39),N(J39)+1,1))</f>
        <v/>
      </c>
      <c r="L39" s="6">
        <f>IF(OR(原始資料!$A39="",11&gt;設定!$B$3,原始資料!N39=""),"",IF(AND(原始資料!M39&lt;&gt;"",原始資料!N39=原始資料!M39),N(K39)+1,1))</f>
        <v/>
      </c>
      <c r="M39" s="6">
        <f>IF(OR(原始資料!$A39="",12&gt;設定!$B$3,原始資料!O39=""),"",IF(AND(原始資料!N39&lt;&gt;"",原始資料!O39=原始資料!N39),N(L39)+1,1))</f>
        <v/>
      </c>
      <c r="N39" s="6">
        <f>IF(OR(原始資料!$A39="",13&gt;設定!$B$3,原始資料!P39=""),"",IF(AND(原始資料!O39&lt;&gt;"",原始資料!P39=原始資料!O39),N(M39)+1,1))</f>
        <v/>
      </c>
      <c r="O39" s="6">
        <f>IF(OR(原始資料!$A39="",14&gt;設定!$B$3,原始資料!Q39=""),"",IF(AND(原始資料!P39&lt;&gt;"",原始資料!Q39=原始資料!P39),N(N39)+1,1))</f>
        <v/>
      </c>
      <c r="P39" s="6">
        <f>IF(OR(原始資料!$A39="",15&gt;設定!$B$3,原始資料!R39=""),"",IF(AND(原始資料!Q39&lt;&gt;"",原始資料!R39=原始資料!Q39),N(O39)+1,1))</f>
        <v/>
      </c>
      <c r="Q39" s="6">
        <f>IF(OR(原始資料!$A39="",16&gt;設定!$B$3,原始資料!S39=""),"",IF(AND(原始資料!R39&lt;&gt;"",原始資料!S39=原始資料!R39),N(P39)+1,1))</f>
        <v/>
      </c>
      <c r="R39" s="6">
        <f>IF(OR(原始資料!$A39="",17&gt;設定!$B$3,原始資料!T39=""),"",IF(AND(原始資料!S39&lt;&gt;"",原始資料!T39=原始資料!S39),N(Q39)+1,1))</f>
        <v/>
      </c>
      <c r="S39" s="6">
        <f>IF(OR(原始資料!$A39="",18&gt;設定!$B$3,原始資料!U39=""),"",IF(AND(原始資料!T39&lt;&gt;"",原始資料!U39=原始資料!T39),N(R39)+1,1))</f>
        <v/>
      </c>
      <c r="T39" s="6">
        <f>IF(OR(原始資料!$A39="",19&gt;設定!$B$3,原始資料!V39=""),"",IF(AND(原始資料!U39&lt;&gt;"",原始資料!V39=原始資料!U39),N(S39)+1,1))</f>
        <v/>
      </c>
      <c r="U39" s="6">
        <f>IF(OR(原始資料!$A39="",20&gt;設定!$B$3,原始資料!W39=""),"",IF(AND(原始資料!V39&lt;&gt;"",原始資料!W39=原始資料!V39),N(T39)+1,1))</f>
        <v/>
      </c>
      <c r="V39" s="6">
        <f>IF(OR(原始資料!$A39="",21&gt;設定!$B$3,原始資料!X39=""),"",IF(AND(原始資料!W39&lt;&gt;"",原始資料!X39=原始資料!W39),N(U39)+1,1))</f>
        <v/>
      </c>
      <c r="W39" s="6">
        <f>IF(OR(原始資料!$A39="",22&gt;設定!$B$3,原始資料!Y39=""),"",IF(AND(原始資料!X39&lt;&gt;"",原始資料!Y39=原始資料!X39),N(V39)+1,1))</f>
        <v/>
      </c>
      <c r="X39" s="6">
        <f>IF(OR(原始資料!$A39="",23&gt;設定!$B$3,原始資料!Z39=""),"",IF(AND(原始資料!Y39&lt;&gt;"",原始資料!Z39=原始資料!Y39),N(W39)+1,1))</f>
        <v/>
      </c>
      <c r="Y39" s="6">
        <f>IF(OR(原始資料!$A39="",24&gt;設定!$B$3,原始資料!AA39=""),"",IF(AND(原始資料!Z39&lt;&gt;"",原始資料!AA39=原始資料!Z39),N(X39)+1,1))</f>
        <v/>
      </c>
      <c r="Z39" s="6">
        <f>IF(OR(原始資料!$A39="",25&gt;設定!$B$3,原始資料!AB39=""),"",IF(AND(原始資料!AA39&lt;&gt;"",原始資料!AB39=原始資料!AA39),N(Y39)+1,1))</f>
        <v/>
      </c>
      <c r="AA39" s="6">
        <f>IF(OR(原始資料!$A39="",26&gt;設定!$B$3,原始資料!AC39=""),"",IF(AND(原始資料!AB39&lt;&gt;"",原始資料!AC39=原始資料!AB39),N(Z39)+1,1))</f>
        <v/>
      </c>
      <c r="AB39" s="6">
        <f>IF(OR(原始資料!$A39="",27&gt;設定!$B$3,原始資料!AD39=""),"",IF(AND(原始資料!AC39&lt;&gt;"",原始資料!AD39=原始資料!AC39),N(AA39)+1,1))</f>
        <v/>
      </c>
      <c r="AC39" s="6">
        <f>IF(OR(原始資料!$A39="",28&gt;設定!$B$3,原始資料!AE39=""),"",IF(AND(原始資料!AD39&lt;&gt;"",原始資料!AE39=原始資料!AD39),N(AB39)+1,1))</f>
        <v/>
      </c>
      <c r="AD39" s="6">
        <f>IF(OR(原始資料!$A39="",29&gt;設定!$B$3,原始資料!AF39=""),"",IF(AND(原始資料!AE39&lt;&gt;"",原始資料!AF39=原始資料!AE39),N(AC39)+1,1))</f>
        <v/>
      </c>
      <c r="AE39" s="6">
        <f>IF(OR(原始資料!$A39="",30&gt;設定!$B$3,原始資料!AG39=""),"",IF(AND(原始資料!AF39&lt;&gt;"",原始資料!AG39=原始資料!AF39),N(AD39)+1,1))</f>
        <v/>
      </c>
      <c r="AF39" s="6">
        <f>IF(OR(原始資料!$A39="",31&gt;設定!$B$3,原始資料!AH39=""),"",IF(AND(原始資料!AG39&lt;&gt;"",原始資料!AH39=原始資料!AG39),N(AE39)+1,1))</f>
        <v/>
      </c>
      <c r="AG39" s="6">
        <f>IF(OR(原始資料!$A39="",32&gt;設定!$B$3,原始資料!AI39=""),"",IF(AND(原始資料!AH39&lt;&gt;"",原始資料!AI39=原始資料!AH39),N(AF39)+1,1))</f>
        <v/>
      </c>
      <c r="AH39" s="6">
        <f>IF(OR(原始資料!$A39="",33&gt;設定!$B$3,原始資料!AJ39=""),"",IF(AND(原始資料!AI39&lt;&gt;"",原始資料!AJ39=原始資料!AI39),N(AG39)+1,1))</f>
        <v/>
      </c>
      <c r="AI39" s="6">
        <f>IF(OR(原始資料!$A39="",34&gt;設定!$B$3,原始資料!AK39=""),"",IF(AND(原始資料!AJ39&lt;&gt;"",原始資料!AK39=原始資料!AJ39),N(AH39)+1,1))</f>
        <v/>
      </c>
      <c r="AJ39" s="6">
        <f>IF(OR(原始資料!$A39="",35&gt;設定!$B$3,原始資料!AL39=""),"",IF(AND(原始資料!AK39&lt;&gt;"",原始資料!AL39=原始資料!AK39),N(AI39)+1,1))</f>
        <v/>
      </c>
      <c r="AK39" s="6">
        <f>IF(OR(原始資料!$A39="",36&gt;設定!$B$3,原始資料!AM39=""),"",IF(AND(原始資料!AL39&lt;&gt;"",原始資料!AM39=原始資料!AL39),N(AJ39)+1,1))</f>
        <v/>
      </c>
      <c r="AL39" s="6">
        <f>IF(OR(原始資料!$A39="",37&gt;設定!$B$3,原始資料!AN39=""),"",IF(AND(原始資料!AM39&lt;&gt;"",原始資料!AN39=原始資料!AM39),N(AK39)+1,1))</f>
        <v/>
      </c>
      <c r="AM39" s="6">
        <f>IF(OR(原始資料!$A39="",38&gt;設定!$B$3,原始資料!AO39=""),"",IF(AND(原始資料!AN39&lt;&gt;"",原始資料!AO39=原始資料!AN39),N(AL39)+1,1))</f>
        <v/>
      </c>
      <c r="AN39" s="6">
        <f>IF(OR(原始資料!$A39="",39&gt;設定!$B$3,原始資料!AP39=""),"",IF(AND(原始資料!AO39&lt;&gt;"",原始資料!AP39=原始資料!AO39),N(AM39)+1,1))</f>
        <v/>
      </c>
      <c r="AO39" s="6">
        <f>IF(OR(原始資料!$A39="",40&gt;設定!$B$3,原始資料!AQ39=""),"",IF(AND(原始資料!AP39&lt;&gt;"",原始資料!AQ39=原始資料!AP39),N(AN39)+1,1))</f>
        <v/>
      </c>
      <c r="AP39" s="6">
        <f>IF(OR(原始資料!$A39="",41&gt;設定!$B$3,原始資料!AR39=""),"",IF(AND(原始資料!AQ39&lt;&gt;"",原始資料!AR39=原始資料!AQ39),N(AO39)+1,1))</f>
        <v/>
      </c>
      <c r="AQ39" s="6">
        <f>IF(OR(原始資料!$A39="",42&gt;設定!$B$3,原始資料!AS39=""),"",IF(AND(原始資料!AR39&lt;&gt;"",原始資料!AS39=原始資料!AR39),N(AP39)+1,1))</f>
        <v/>
      </c>
      <c r="AR39" s="6">
        <f>IF(OR(原始資料!$A39="",43&gt;設定!$B$3,原始資料!AT39=""),"",IF(AND(原始資料!AS39&lt;&gt;"",原始資料!AT39=原始資料!AS39),N(AQ39)+1,1))</f>
        <v/>
      </c>
      <c r="AS39" s="6">
        <f>IF(OR(原始資料!$A39="",44&gt;設定!$B$3,原始資料!AU39=""),"",IF(AND(原始資料!AT39&lt;&gt;"",原始資料!AU39=原始資料!AT39),N(AR39)+1,1))</f>
        <v/>
      </c>
      <c r="AT39" s="6">
        <f>IF(OR(原始資料!$A39="",45&gt;設定!$B$3,原始資料!AV39=""),"",IF(AND(原始資料!AU39&lt;&gt;"",原始資料!AV39=原始資料!AU39),N(AS39)+1,1))</f>
        <v/>
      </c>
      <c r="AU39" s="6">
        <f>IF(OR(原始資料!$A39="",46&gt;設定!$B$3,原始資料!AW39=""),"",IF(AND(原始資料!AV39&lt;&gt;"",原始資料!AW39=原始資料!AV39),N(AT39)+1,1))</f>
        <v/>
      </c>
      <c r="AV39" s="6">
        <f>IF(OR(原始資料!$A39="",47&gt;設定!$B$3,原始資料!AX39=""),"",IF(AND(原始資料!AW39&lt;&gt;"",原始資料!AX39=原始資料!AW39),N(AU39)+1,1))</f>
        <v/>
      </c>
      <c r="AW39" s="6">
        <f>IF(OR(原始資料!$A39="",48&gt;設定!$B$3,原始資料!AY39=""),"",IF(AND(原始資料!AX39&lt;&gt;"",原始資料!AY39=原始資料!AX39),N(AV39)+1,1))</f>
        <v/>
      </c>
      <c r="AX39" s="6">
        <f>IF(OR(原始資料!$A39="",49&gt;設定!$B$3,原始資料!AZ39=""),"",IF(AND(原始資料!AY39&lt;&gt;"",原始資料!AZ39=原始資料!AY39),N(AW39)+1,1))</f>
        <v/>
      </c>
      <c r="AY39" s="6">
        <f>IF(OR(原始資料!$A39="",50&gt;設定!$B$3,原始資料!BA39=""),"",IF(AND(原始資料!AZ39&lt;&gt;"",原始資料!BA39=原始資料!AZ39),N(AX39)+1,1))</f>
        <v/>
      </c>
      <c r="AZ39" s="6">
        <f>IF(OR(原始資料!$A39="",51&gt;設定!$B$3,原始資料!BB39=""),"",IF(AND(原始資料!BA39&lt;&gt;"",原始資料!BB39=原始資料!BA39),N(AY39)+1,1))</f>
        <v/>
      </c>
      <c r="BA39" s="6">
        <f>IF(OR(原始資料!$A39="",52&gt;設定!$B$3,原始資料!BC39=""),"",IF(AND(原始資料!BB39&lt;&gt;"",原始資料!BC39=原始資料!BB39),N(AZ39)+1,1))</f>
        <v/>
      </c>
      <c r="BB39" s="6">
        <f>IF(OR(原始資料!$A39="",53&gt;設定!$B$3,原始資料!BD39=""),"",IF(AND(原始資料!BC39&lt;&gt;"",原始資料!BD39=原始資料!BC39),N(BA39)+1,1))</f>
        <v/>
      </c>
      <c r="BC39" s="6">
        <f>IF(OR(原始資料!$A39="",54&gt;設定!$B$3,原始資料!BE39=""),"",IF(AND(原始資料!BD39&lt;&gt;"",原始資料!BE39=原始資料!BD39),N(BB39)+1,1))</f>
        <v/>
      </c>
      <c r="BD39" s="6">
        <f>IF(OR(原始資料!$A39="",55&gt;設定!$B$3,原始資料!BF39=""),"",IF(AND(原始資料!BE39&lt;&gt;"",原始資料!BF39=原始資料!BE39),N(BC39)+1,1))</f>
        <v/>
      </c>
      <c r="BE39" s="6">
        <f>IF(OR(原始資料!$A39="",56&gt;設定!$B$3,原始資料!BG39=""),"",IF(AND(原始資料!BF39&lt;&gt;"",原始資料!BG39=原始資料!BF39),N(BD39)+1,1))</f>
        <v/>
      </c>
      <c r="BF39" s="6">
        <f>IF(OR(原始資料!$A39="",57&gt;設定!$B$3,原始資料!BH39=""),"",IF(AND(原始資料!BG39&lt;&gt;"",原始資料!BH39=原始資料!BG39),N(BE39)+1,1))</f>
        <v/>
      </c>
      <c r="BG39" s="6">
        <f>IF(OR(原始資料!$A39="",58&gt;設定!$B$3,原始資料!BI39=""),"",IF(AND(原始資料!BH39&lt;&gt;"",原始資料!BI39=原始資料!BH39),N(BF39)+1,1))</f>
        <v/>
      </c>
      <c r="BH39" s="6">
        <f>IF(OR(原始資料!$A39="",59&gt;設定!$B$3,原始資料!BJ39=""),"",IF(AND(原始資料!BI39&lt;&gt;"",原始資料!BJ39=原始資料!BI39),N(BG39)+1,1))</f>
        <v/>
      </c>
      <c r="BI39" s="6">
        <f>IF(OR(原始資料!$A39="",60&gt;設定!$B$3,原始資料!BK39=""),"",IF(AND(原始資料!BJ39&lt;&gt;"",原始資料!BK39=原始資料!BJ39),N(BH39)+1,1))</f>
        <v/>
      </c>
    </row>
    <row r="40">
      <c r="A40" s="6">
        <f>IF(原始資料!$A40="","",原始資料!$A40)</f>
        <v/>
      </c>
      <c r="B40" s="6">
        <f>IF(OR(原始資料!$A40="",1&gt;設定!$B$3,原始資料!D40=""),"",1)</f>
        <v/>
      </c>
      <c r="C40" s="6">
        <f>IF(OR(原始資料!$A40="",2&gt;設定!$B$3,原始資料!E40=""),"",IF(AND(原始資料!D40&lt;&gt;"",原始資料!E40=原始資料!D40),N(B40)+1,1))</f>
        <v/>
      </c>
      <c r="D40" s="6">
        <f>IF(OR(原始資料!$A40="",3&gt;設定!$B$3,原始資料!F40=""),"",IF(AND(原始資料!E40&lt;&gt;"",原始資料!F40=原始資料!E40),N(C40)+1,1))</f>
        <v/>
      </c>
      <c r="E40" s="6">
        <f>IF(OR(原始資料!$A40="",4&gt;設定!$B$3,原始資料!G40=""),"",IF(AND(原始資料!F40&lt;&gt;"",原始資料!G40=原始資料!F40),N(D40)+1,1))</f>
        <v/>
      </c>
      <c r="F40" s="6">
        <f>IF(OR(原始資料!$A40="",5&gt;設定!$B$3,原始資料!H40=""),"",IF(AND(原始資料!G40&lt;&gt;"",原始資料!H40=原始資料!G40),N(E40)+1,1))</f>
        <v/>
      </c>
      <c r="G40" s="6">
        <f>IF(OR(原始資料!$A40="",6&gt;設定!$B$3,原始資料!I40=""),"",IF(AND(原始資料!H40&lt;&gt;"",原始資料!I40=原始資料!H40),N(F40)+1,1))</f>
        <v/>
      </c>
      <c r="H40" s="6">
        <f>IF(OR(原始資料!$A40="",7&gt;設定!$B$3,原始資料!J40=""),"",IF(AND(原始資料!I40&lt;&gt;"",原始資料!J40=原始資料!I40),N(G40)+1,1))</f>
        <v/>
      </c>
      <c r="I40" s="6">
        <f>IF(OR(原始資料!$A40="",8&gt;設定!$B$3,原始資料!K40=""),"",IF(AND(原始資料!J40&lt;&gt;"",原始資料!K40=原始資料!J40),N(H40)+1,1))</f>
        <v/>
      </c>
      <c r="J40" s="6">
        <f>IF(OR(原始資料!$A40="",9&gt;設定!$B$3,原始資料!L40=""),"",IF(AND(原始資料!K40&lt;&gt;"",原始資料!L40=原始資料!K40),N(I40)+1,1))</f>
        <v/>
      </c>
      <c r="K40" s="6">
        <f>IF(OR(原始資料!$A40="",10&gt;設定!$B$3,原始資料!M40=""),"",IF(AND(原始資料!L40&lt;&gt;"",原始資料!M40=原始資料!L40),N(J40)+1,1))</f>
        <v/>
      </c>
      <c r="L40" s="6">
        <f>IF(OR(原始資料!$A40="",11&gt;設定!$B$3,原始資料!N40=""),"",IF(AND(原始資料!M40&lt;&gt;"",原始資料!N40=原始資料!M40),N(K40)+1,1))</f>
        <v/>
      </c>
      <c r="M40" s="6">
        <f>IF(OR(原始資料!$A40="",12&gt;設定!$B$3,原始資料!O40=""),"",IF(AND(原始資料!N40&lt;&gt;"",原始資料!O40=原始資料!N40),N(L40)+1,1))</f>
        <v/>
      </c>
      <c r="N40" s="6">
        <f>IF(OR(原始資料!$A40="",13&gt;設定!$B$3,原始資料!P40=""),"",IF(AND(原始資料!O40&lt;&gt;"",原始資料!P40=原始資料!O40),N(M40)+1,1))</f>
        <v/>
      </c>
      <c r="O40" s="6">
        <f>IF(OR(原始資料!$A40="",14&gt;設定!$B$3,原始資料!Q40=""),"",IF(AND(原始資料!P40&lt;&gt;"",原始資料!Q40=原始資料!P40),N(N40)+1,1))</f>
        <v/>
      </c>
      <c r="P40" s="6">
        <f>IF(OR(原始資料!$A40="",15&gt;設定!$B$3,原始資料!R40=""),"",IF(AND(原始資料!Q40&lt;&gt;"",原始資料!R40=原始資料!Q40),N(O40)+1,1))</f>
        <v/>
      </c>
      <c r="Q40" s="6">
        <f>IF(OR(原始資料!$A40="",16&gt;設定!$B$3,原始資料!S40=""),"",IF(AND(原始資料!R40&lt;&gt;"",原始資料!S40=原始資料!R40),N(P40)+1,1))</f>
        <v/>
      </c>
      <c r="R40" s="6">
        <f>IF(OR(原始資料!$A40="",17&gt;設定!$B$3,原始資料!T40=""),"",IF(AND(原始資料!S40&lt;&gt;"",原始資料!T40=原始資料!S40),N(Q40)+1,1))</f>
        <v/>
      </c>
      <c r="S40" s="6">
        <f>IF(OR(原始資料!$A40="",18&gt;設定!$B$3,原始資料!U40=""),"",IF(AND(原始資料!T40&lt;&gt;"",原始資料!U40=原始資料!T40),N(R40)+1,1))</f>
        <v/>
      </c>
      <c r="T40" s="6">
        <f>IF(OR(原始資料!$A40="",19&gt;設定!$B$3,原始資料!V40=""),"",IF(AND(原始資料!U40&lt;&gt;"",原始資料!V40=原始資料!U40),N(S40)+1,1))</f>
        <v/>
      </c>
      <c r="U40" s="6">
        <f>IF(OR(原始資料!$A40="",20&gt;設定!$B$3,原始資料!W40=""),"",IF(AND(原始資料!V40&lt;&gt;"",原始資料!W40=原始資料!V40),N(T40)+1,1))</f>
        <v/>
      </c>
      <c r="V40" s="6">
        <f>IF(OR(原始資料!$A40="",21&gt;設定!$B$3,原始資料!X40=""),"",IF(AND(原始資料!W40&lt;&gt;"",原始資料!X40=原始資料!W40),N(U40)+1,1))</f>
        <v/>
      </c>
      <c r="W40" s="6">
        <f>IF(OR(原始資料!$A40="",22&gt;設定!$B$3,原始資料!Y40=""),"",IF(AND(原始資料!X40&lt;&gt;"",原始資料!Y40=原始資料!X40),N(V40)+1,1))</f>
        <v/>
      </c>
      <c r="X40" s="6">
        <f>IF(OR(原始資料!$A40="",23&gt;設定!$B$3,原始資料!Z40=""),"",IF(AND(原始資料!Y40&lt;&gt;"",原始資料!Z40=原始資料!Y40),N(W40)+1,1))</f>
        <v/>
      </c>
      <c r="Y40" s="6">
        <f>IF(OR(原始資料!$A40="",24&gt;設定!$B$3,原始資料!AA40=""),"",IF(AND(原始資料!Z40&lt;&gt;"",原始資料!AA40=原始資料!Z40),N(X40)+1,1))</f>
        <v/>
      </c>
      <c r="Z40" s="6">
        <f>IF(OR(原始資料!$A40="",25&gt;設定!$B$3,原始資料!AB40=""),"",IF(AND(原始資料!AA40&lt;&gt;"",原始資料!AB40=原始資料!AA40),N(Y40)+1,1))</f>
        <v/>
      </c>
      <c r="AA40" s="6">
        <f>IF(OR(原始資料!$A40="",26&gt;設定!$B$3,原始資料!AC40=""),"",IF(AND(原始資料!AB40&lt;&gt;"",原始資料!AC40=原始資料!AB40),N(Z40)+1,1))</f>
        <v/>
      </c>
      <c r="AB40" s="6">
        <f>IF(OR(原始資料!$A40="",27&gt;設定!$B$3,原始資料!AD40=""),"",IF(AND(原始資料!AC40&lt;&gt;"",原始資料!AD40=原始資料!AC40),N(AA40)+1,1))</f>
        <v/>
      </c>
      <c r="AC40" s="6">
        <f>IF(OR(原始資料!$A40="",28&gt;設定!$B$3,原始資料!AE40=""),"",IF(AND(原始資料!AD40&lt;&gt;"",原始資料!AE40=原始資料!AD40),N(AB40)+1,1))</f>
        <v/>
      </c>
      <c r="AD40" s="6">
        <f>IF(OR(原始資料!$A40="",29&gt;設定!$B$3,原始資料!AF40=""),"",IF(AND(原始資料!AE40&lt;&gt;"",原始資料!AF40=原始資料!AE40),N(AC40)+1,1))</f>
        <v/>
      </c>
      <c r="AE40" s="6">
        <f>IF(OR(原始資料!$A40="",30&gt;設定!$B$3,原始資料!AG40=""),"",IF(AND(原始資料!AF40&lt;&gt;"",原始資料!AG40=原始資料!AF40),N(AD40)+1,1))</f>
        <v/>
      </c>
      <c r="AF40" s="6">
        <f>IF(OR(原始資料!$A40="",31&gt;設定!$B$3,原始資料!AH40=""),"",IF(AND(原始資料!AG40&lt;&gt;"",原始資料!AH40=原始資料!AG40),N(AE40)+1,1))</f>
        <v/>
      </c>
      <c r="AG40" s="6">
        <f>IF(OR(原始資料!$A40="",32&gt;設定!$B$3,原始資料!AI40=""),"",IF(AND(原始資料!AH40&lt;&gt;"",原始資料!AI40=原始資料!AH40),N(AF40)+1,1))</f>
        <v/>
      </c>
      <c r="AH40" s="6">
        <f>IF(OR(原始資料!$A40="",33&gt;設定!$B$3,原始資料!AJ40=""),"",IF(AND(原始資料!AI40&lt;&gt;"",原始資料!AJ40=原始資料!AI40),N(AG40)+1,1))</f>
        <v/>
      </c>
      <c r="AI40" s="6">
        <f>IF(OR(原始資料!$A40="",34&gt;設定!$B$3,原始資料!AK40=""),"",IF(AND(原始資料!AJ40&lt;&gt;"",原始資料!AK40=原始資料!AJ40),N(AH40)+1,1))</f>
        <v/>
      </c>
      <c r="AJ40" s="6">
        <f>IF(OR(原始資料!$A40="",35&gt;設定!$B$3,原始資料!AL40=""),"",IF(AND(原始資料!AK40&lt;&gt;"",原始資料!AL40=原始資料!AK40),N(AI40)+1,1))</f>
        <v/>
      </c>
      <c r="AK40" s="6">
        <f>IF(OR(原始資料!$A40="",36&gt;設定!$B$3,原始資料!AM40=""),"",IF(AND(原始資料!AL40&lt;&gt;"",原始資料!AM40=原始資料!AL40),N(AJ40)+1,1))</f>
        <v/>
      </c>
      <c r="AL40" s="6">
        <f>IF(OR(原始資料!$A40="",37&gt;設定!$B$3,原始資料!AN40=""),"",IF(AND(原始資料!AM40&lt;&gt;"",原始資料!AN40=原始資料!AM40),N(AK40)+1,1))</f>
        <v/>
      </c>
      <c r="AM40" s="6">
        <f>IF(OR(原始資料!$A40="",38&gt;設定!$B$3,原始資料!AO40=""),"",IF(AND(原始資料!AN40&lt;&gt;"",原始資料!AO40=原始資料!AN40),N(AL40)+1,1))</f>
        <v/>
      </c>
      <c r="AN40" s="6">
        <f>IF(OR(原始資料!$A40="",39&gt;設定!$B$3,原始資料!AP40=""),"",IF(AND(原始資料!AO40&lt;&gt;"",原始資料!AP40=原始資料!AO40),N(AM40)+1,1))</f>
        <v/>
      </c>
      <c r="AO40" s="6">
        <f>IF(OR(原始資料!$A40="",40&gt;設定!$B$3,原始資料!AQ40=""),"",IF(AND(原始資料!AP40&lt;&gt;"",原始資料!AQ40=原始資料!AP40),N(AN40)+1,1))</f>
        <v/>
      </c>
      <c r="AP40" s="6">
        <f>IF(OR(原始資料!$A40="",41&gt;設定!$B$3,原始資料!AR40=""),"",IF(AND(原始資料!AQ40&lt;&gt;"",原始資料!AR40=原始資料!AQ40),N(AO40)+1,1))</f>
        <v/>
      </c>
      <c r="AQ40" s="6">
        <f>IF(OR(原始資料!$A40="",42&gt;設定!$B$3,原始資料!AS40=""),"",IF(AND(原始資料!AR40&lt;&gt;"",原始資料!AS40=原始資料!AR40),N(AP40)+1,1))</f>
        <v/>
      </c>
      <c r="AR40" s="6">
        <f>IF(OR(原始資料!$A40="",43&gt;設定!$B$3,原始資料!AT40=""),"",IF(AND(原始資料!AS40&lt;&gt;"",原始資料!AT40=原始資料!AS40),N(AQ40)+1,1))</f>
        <v/>
      </c>
      <c r="AS40" s="6">
        <f>IF(OR(原始資料!$A40="",44&gt;設定!$B$3,原始資料!AU40=""),"",IF(AND(原始資料!AT40&lt;&gt;"",原始資料!AU40=原始資料!AT40),N(AR40)+1,1))</f>
        <v/>
      </c>
      <c r="AT40" s="6">
        <f>IF(OR(原始資料!$A40="",45&gt;設定!$B$3,原始資料!AV40=""),"",IF(AND(原始資料!AU40&lt;&gt;"",原始資料!AV40=原始資料!AU40),N(AS40)+1,1))</f>
        <v/>
      </c>
      <c r="AU40" s="6">
        <f>IF(OR(原始資料!$A40="",46&gt;設定!$B$3,原始資料!AW40=""),"",IF(AND(原始資料!AV40&lt;&gt;"",原始資料!AW40=原始資料!AV40),N(AT40)+1,1))</f>
        <v/>
      </c>
      <c r="AV40" s="6">
        <f>IF(OR(原始資料!$A40="",47&gt;設定!$B$3,原始資料!AX40=""),"",IF(AND(原始資料!AW40&lt;&gt;"",原始資料!AX40=原始資料!AW40),N(AU40)+1,1))</f>
        <v/>
      </c>
      <c r="AW40" s="6">
        <f>IF(OR(原始資料!$A40="",48&gt;設定!$B$3,原始資料!AY40=""),"",IF(AND(原始資料!AX40&lt;&gt;"",原始資料!AY40=原始資料!AX40),N(AV40)+1,1))</f>
        <v/>
      </c>
      <c r="AX40" s="6">
        <f>IF(OR(原始資料!$A40="",49&gt;設定!$B$3,原始資料!AZ40=""),"",IF(AND(原始資料!AY40&lt;&gt;"",原始資料!AZ40=原始資料!AY40),N(AW40)+1,1))</f>
        <v/>
      </c>
      <c r="AY40" s="6">
        <f>IF(OR(原始資料!$A40="",50&gt;設定!$B$3,原始資料!BA40=""),"",IF(AND(原始資料!AZ40&lt;&gt;"",原始資料!BA40=原始資料!AZ40),N(AX40)+1,1))</f>
        <v/>
      </c>
      <c r="AZ40" s="6">
        <f>IF(OR(原始資料!$A40="",51&gt;設定!$B$3,原始資料!BB40=""),"",IF(AND(原始資料!BA40&lt;&gt;"",原始資料!BB40=原始資料!BA40),N(AY40)+1,1))</f>
        <v/>
      </c>
      <c r="BA40" s="6">
        <f>IF(OR(原始資料!$A40="",52&gt;設定!$B$3,原始資料!BC40=""),"",IF(AND(原始資料!BB40&lt;&gt;"",原始資料!BC40=原始資料!BB40),N(AZ40)+1,1))</f>
        <v/>
      </c>
      <c r="BB40" s="6">
        <f>IF(OR(原始資料!$A40="",53&gt;設定!$B$3,原始資料!BD40=""),"",IF(AND(原始資料!BC40&lt;&gt;"",原始資料!BD40=原始資料!BC40),N(BA40)+1,1))</f>
        <v/>
      </c>
      <c r="BC40" s="6">
        <f>IF(OR(原始資料!$A40="",54&gt;設定!$B$3,原始資料!BE40=""),"",IF(AND(原始資料!BD40&lt;&gt;"",原始資料!BE40=原始資料!BD40),N(BB40)+1,1))</f>
        <v/>
      </c>
      <c r="BD40" s="6">
        <f>IF(OR(原始資料!$A40="",55&gt;設定!$B$3,原始資料!BF40=""),"",IF(AND(原始資料!BE40&lt;&gt;"",原始資料!BF40=原始資料!BE40),N(BC40)+1,1))</f>
        <v/>
      </c>
      <c r="BE40" s="6">
        <f>IF(OR(原始資料!$A40="",56&gt;設定!$B$3,原始資料!BG40=""),"",IF(AND(原始資料!BF40&lt;&gt;"",原始資料!BG40=原始資料!BF40),N(BD40)+1,1))</f>
        <v/>
      </c>
      <c r="BF40" s="6">
        <f>IF(OR(原始資料!$A40="",57&gt;設定!$B$3,原始資料!BH40=""),"",IF(AND(原始資料!BG40&lt;&gt;"",原始資料!BH40=原始資料!BG40),N(BE40)+1,1))</f>
        <v/>
      </c>
      <c r="BG40" s="6">
        <f>IF(OR(原始資料!$A40="",58&gt;設定!$B$3,原始資料!BI40=""),"",IF(AND(原始資料!BH40&lt;&gt;"",原始資料!BI40=原始資料!BH40),N(BF40)+1,1))</f>
        <v/>
      </c>
      <c r="BH40" s="6">
        <f>IF(OR(原始資料!$A40="",59&gt;設定!$B$3,原始資料!BJ40=""),"",IF(AND(原始資料!BI40&lt;&gt;"",原始資料!BJ40=原始資料!BI40),N(BG40)+1,1))</f>
        <v/>
      </c>
      <c r="BI40" s="6">
        <f>IF(OR(原始資料!$A40="",60&gt;設定!$B$3,原始資料!BK40=""),"",IF(AND(原始資料!BJ40&lt;&gt;"",原始資料!BK40=原始資料!BJ40),N(BH40)+1,1))</f>
        <v/>
      </c>
    </row>
    <row r="41">
      <c r="A41" s="6">
        <f>IF(原始資料!$A41="","",原始資料!$A41)</f>
        <v/>
      </c>
      <c r="B41" s="6">
        <f>IF(OR(原始資料!$A41="",1&gt;設定!$B$3,原始資料!D41=""),"",1)</f>
        <v/>
      </c>
      <c r="C41" s="6">
        <f>IF(OR(原始資料!$A41="",2&gt;設定!$B$3,原始資料!E41=""),"",IF(AND(原始資料!D41&lt;&gt;"",原始資料!E41=原始資料!D41),N(B41)+1,1))</f>
        <v/>
      </c>
      <c r="D41" s="6">
        <f>IF(OR(原始資料!$A41="",3&gt;設定!$B$3,原始資料!F41=""),"",IF(AND(原始資料!E41&lt;&gt;"",原始資料!F41=原始資料!E41),N(C41)+1,1))</f>
        <v/>
      </c>
      <c r="E41" s="6">
        <f>IF(OR(原始資料!$A41="",4&gt;設定!$B$3,原始資料!G41=""),"",IF(AND(原始資料!F41&lt;&gt;"",原始資料!G41=原始資料!F41),N(D41)+1,1))</f>
        <v/>
      </c>
      <c r="F41" s="6">
        <f>IF(OR(原始資料!$A41="",5&gt;設定!$B$3,原始資料!H41=""),"",IF(AND(原始資料!G41&lt;&gt;"",原始資料!H41=原始資料!G41),N(E41)+1,1))</f>
        <v/>
      </c>
      <c r="G41" s="6">
        <f>IF(OR(原始資料!$A41="",6&gt;設定!$B$3,原始資料!I41=""),"",IF(AND(原始資料!H41&lt;&gt;"",原始資料!I41=原始資料!H41),N(F41)+1,1))</f>
        <v/>
      </c>
      <c r="H41" s="6">
        <f>IF(OR(原始資料!$A41="",7&gt;設定!$B$3,原始資料!J41=""),"",IF(AND(原始資料!I41&lt;&gt;"",原始資料!J41=原始資料!I41),N(G41)+1,1))</f>
        <v/>
      </c>
      <c r="I41" s="6">
        <f>IF(OR(原始資料!$A41="",8&gt;設定!$B$3,原始資料!K41=""),"",IF(AND(原始資料!J41&lt;&gt;"",原始資料!K41=原始資料!J41),N(H41)+1,1))</f>
        <v/>
      </c>
      <c r="J41" s="6">
        <f>IF(OR(原始資料!$A41="",9&gt;設定!$B$3,原始資料!L41=""),"",IF(AND(原始資料!K41&lt;&gt;"",原始資料!L41=原始資料!K41),N(I41)+1,1))</f>
        <v/>
      </c>
      <c r="K41" s="6">
        <f>IF(OR(原始資料!$A41="",10&gt;設定!$B$3,原始資料!M41=""),"",IF(AND(原始資料!L41&lt;&gt;"",原始資料!M41=原始資料!L41),N(J41)+1,1))</f>
        <v/>
      </c>
      <c r="L41" s="6">
        <f>IF(OR(原始資料!$A41="",11&gt;設定!$B$3,原始資料!N41=""),"",IF(AND(原始資料!M41&lt;&gt;"",原始資料!N41=原始資料!M41),N(K41)+1,1))</f>
        <v/>
      </c>
      <c r="M41" s="6">
        <f>IF(OR(原始資料!$A41="",12&gt;設定!$B$3,原始資料!O41=""),"",IF(AND(原始資料!N41&lt;&gt;"",原始資料!O41=原始資料!N41),N(L41)+1,1))</f>
        <v/>
      </c>
      <c r="N41" s="6">
        <f>IF(OR(原始資料!$A41="",13&gt;設定!$B$3,原始資料!P41=""),"",IF(AND(原始資料!O41&lt;&gt;"",原始資料!P41=原始資料!O41),N(M41)+1,1))</f>
        <v/>
      </c>
      <c r="O41" s="6">
        <f>IF(OR(原始資料!$A41="",14&gt;設定!$B$3,原始資料!Q41=""),"",IF(AND(原始資料!P41&lt;&gt;"",原始資料!Q41=原始資料!P41),N(N41)+1,1))</f>
        <v/>
      </c>
      <c r="P41" s="6">
        <f>IF(OR(原始資料!$A41="",15&gt;設定!$B$3,原始資料!R41=""),"",IF(AND(原始資料!Q41&lt;&gt;"",原始資料!R41=原始資料!Q41),N(O41)+1,1))</f>
        <v/>
      </c>
      <c r="Q41" s="6">
        <f>IF(OR(原始資料!$A41="",16&gt;設定!$B$3,原始資料!S41=""),"",IF(AND(原始資料!R41&lt;&gt;"",原始資料!S41=原始資料!R41),N(P41)+1,1))</f>
        <v/>
      </c>
      <c r="R41" s="6">
        <f>IF(OR(原始資料!$A41="",17&gt;設定!$B$3,原始資料!T41=""),"",IF(AND(原始資料!S41&lt;&gt;"",原始資料!T41=原始資料!S41),N(Q41)+1,1))</f>
        <v/>
      </c>
      <c r="S41" s="6">
        <f>IF(OR(原始資料!$A41="",18&gt;設定!$B$3,原始資料!U41=""),"",IF(AND(原始資料!T41&lt;&gt;"",原始資料!U41=原始資料!T41),N(R41)+1,1))</f>
        <v/>
      </c>
      <c r="T41" s="6">
        <f>IF(OR(原始資料!$A41="",19&gt;設定!$B$3,原始資料!V41=""),"",IF(AND(原始資料!U41&lt;&gt;"",原始資料!V41=原始資料!U41),N(S41)+1,1))</f>
        <v/>
      </c>
      <c r="U41" s="6">
        <f>IF(OR(原始資料!$A41="",20&gt;設定!$B$3,原始資料!W41=""),"",IF(AND(原始資料!V41&lt;&gt;"",原始資料!W41=原始資料!V41),N(T41)+1,1))</f>
        <v/>
      </c>
      <c r="V41" s="6">
        <f>IF(OR(原始資料!$A41="",21&gt;設定!$B$3,原始資料!X41=""),"",IF(AND(原始資料!W41&lt;&gt;"",原始資料!X41=原始資料!W41),N(U41)+1,1))</f>
        <v/>
      </c>
      <c r="W41" s="6">
        <f>IF(OR(原始資料!$A41="",22&gt;設定!$B$3,原始資料!Y41=""),"",IF(AND(原始資料!X41&lt;&gt;"",原始資料!Y41=原始資料!X41),N(V41)+1,1))</f>
        <v/>
      </c>
      <c r="X41" s="6">
        <f>IF(OR(原始資料!$A41="",23&gt;設定!$B$3,原始資料!Z41=""),"",IF(AND(原始資料!Y41&lt;&gt;"",原始資料!Z41=原始資料!Y41),N(W41)+1,1))</f>
        <v/>
      </c>
      <c r="Y41" s="6">
        <f>IF(OR(原始資料!$A41="",24&gt;設定!$B$3,原始資料!AA41=""),"",IF(AND(原始資料!Z41&lt;&gt;"",原始資料!AA41=原始資料!Z41),N(X41)+1,1))</f>
        <v/>
      </c>
      <c r="Z41" s="6">
        <f>IF(OR(原始資料!$A41="",25&gt;設定!$B$3,原始資料!AB41=""),"",IF(AND(原始資料!AA41&lt;&gt;"",原始資料!AB41=原始資料!AA41),N(Y41)+1,1))</f>
        <v/>
      </c>
      <c r="AA41" s="6">
        <f>IF(OR(原始資料!$A41="",26&gt;設定!$B$3,原始資料!AC41=""),"",IF(AND(原始資料!AB41&lt;&gt;"",原始資料!AC41=原始資料!AB41),N(Z41)+1,1))</f>
        <v/>
      </c>
      <c r="AB41" s="6">
        <f>IF(OR(原始資料!$A41="",27&gt;設定!$B$3,原始資料!AD41=""),"",IF(AND(原始資料!AC41&lt;&gt;"",原始資料!AD41=原始資料!AC41),N(AA41)+1,1))</f>
        <v/>
      </c>
      <c r="AC41" s="6">
        <f>IF(OR(原始資料!$A41="",28&gt;設定!$B$3,原始資料!AE41=""),"",IF(AND(原始資料!AD41&lt;&gt;"",原始資料!AE41=原始資料!AD41),N(AB41)+1,1))</f>
        <v/>
      </c>
      <c r="AD41" s="6">
        <f>IF(OR(原始資料!$A41="",29&gt;設定!$B$3,原始資料!AF41=""),"",IF(AND(原始資料!AE41&lt;&gt;"",原始資料!AF41=原始資料!AE41),N(AC41)+1,1))</f>
        <v/>
      </c>
      <c r="AE41" s="6">
        <f>IF(OR(原始資料!$A41="",30&gt;設定!$B$3,原始資料!AG41=""),"",IF(AND(原始資料!AF41&lt;&gt;"",原始資料!AG41=原始資料!AF41),N(AD41)+1,1))</f>
        <v/>
      </c>
      <c r="AF41" s="6">
        <f>IF(OR(原始資料!$A41="",31&gt;設定!$B$3,原始資料!AH41=""),"",IF(AND(原始資料!AG41&lt;&gt;"",原始資料!AH41=原始資料!AG41),N(AE41)+1,1))</f>
        <v/>
      </c>
      <c r="AG41" s="6">
        <f>IF(OR(原始資料!$A41="",32&gt;設定!$B$3,原始資料!AI41=""),"",IF(AND(原始資料!AH41&lt;&gt;"",原始資料!AI41=原始資料!AH41),N(AF41)+1,1))</f>
        <v/>
      </c>
      <c r="AH41" s="6">
        <f>IF(OR(原始資料!$A41="",33&gt;設定!$B$3,原始資料!AJ41=""),"",IF(AND(原始資料!AI41&lt;&gt;"",原始資料!AJ41=原始資料!AI41),N(AG41)+1,1))</f>
        <v/>
      </c>
      <c r="AI41" s="6">
        <f>IF(OR(原始資料!$A41="",34&gt;設定!$B$3,原始資料!AK41=""),"",IF(AND(原始資料!AJ41&lt;&gt;"",原始資料!AK41=原始資料!AJ41),N(AH41)+1,1))</f>
        <v/>
      </c>
      <c r="AJ41" s="6">
        <f>IF(OR(原始資料!$A41="",35&gt;設定!$B$3,原始資料!AL41=""),"",IF(AND(原始資料!AK41&lt;&gt;"",原始資料!AL41=原始資料!AK41),N(AI41)+1,1))</f>
        <v/>
      </c>
      <c r="AK41" s="6">
        <f>IF(OR(原始資料!$A41="",36&gt;設定!$B$3,原始資料!AM41=""),"",IF(AND(原始資料!AL41&lt;&gt;"",原始資料!AM41=原始資料!AL41),N(AJ41)+1,1))</f>
        <v/>
      </c>
      <c r="AL41" s="6">
        <f>IF(OR(原始資料!$A41="",37&gt;設定!$B$3,原始資料!AN41=""),"",IF(AND(原始資料!AM41&lt;&gt;"",原始資料!AN41=原始資料!AM41),N(AK41)+1,1))</f>
        <v/>
      </c>
      <c r="AM41" s="6">
        <f>IF(OR(原始資料!$A41="",38&gt;設定!$B$3,原始資料!AO41=""),"",IF(AND(原始資料!AN41&lt;&gt;"",原始資料!AO41=原始資料!AN41),N(AL41)+1,1))</f>
        <v/>
      </c>
      <c r="AN41" s="6">
        <f>IF(OR(原始資料!$A41="",39&gt;設定!$B$3,原始資料!AP41=""),"",IF(AND(原始資料!AO41&lt;&gt;"",原始資料!AP41=原始資料!AO41),N(AM41)+1,1))</f>
        <v/>
      </c>
      <c r="AO41" s="6">
        <f>IF(OR(原始資料!$A41="",40&gt;設定!$B$3,原始資料!AQ41=""),"",IF(AND(原始資料!AP41&lt;&gt;"",原始資料!AQ41=原始資料!AP41),N(AN41)+1,1))</f>
        <v/>
      </c>
      <c r="AP41" s="6">
        <f>IF(OR(原始資料!$A41="",41&gt;設定!$B$3,原始資料!AR41=""),"",IF(AND(原始資料!AQ41&lt;&gt;"",原始資料!AR41=原始資料!AQ41),N(AO41)+1,1))</f>
        <v/>
      </c>
      <c r="AQ41" s="6">
        <f>IF(OR(原始資料!$A41="",42&gt;設定!$B$3,原始資料!AS41=""),"",IF(AND(原始資料!AR41&lt;&gt;"",原始資料!AS41=原始資料!AR41),N(AP41)+1,1))</f>
        <v/>
      </c>
      <c r="AR41" s="6">
        <f>IF(OR(原始資料!$A41="",43&gt;設定!$B$3,原始資料!AT41=""),"",IF(AND(原始資料!AS41&lt;&gt;"",原始資料!AT41=原始資料!AS41),N(AQ41)+1,1))</f>
        <v/>
      </c>
      <c r="AS41" s="6">
        <f>IF(OR(原始資料!$A41="",44&gt;設定!$B$3,原始資料!AU41=""),"",IF(AND(原始資料!AT41&lt;&gt;"",原始資料!AU41=原始資料!AT41),N(AR41)+1,1))</f>
        <v/>
      </c>
      <c r="AT41" s="6">
        <f>IF(OR(原始資料!$A41="",45&gt;設定!$B$3,原始資料!AV41=""),"",IF(AND(原始資料!AU41&lt;&gt;"",原始資料!AV41=原始資料!AU41),N(AS41)+1,1))</f>
        <v/>
      </c>
      <c r="AU41" s="6">
        <f>IF(OR(原始資料!$A41="",46&gt;設定!$B$3,原始資料!AW41=""),"",IF(AND(原始資料!AV41&lt;&gt;"",原始資料!AW41=原始資料!AV41),N(AT41)+1,1))</f>
        <v/>
      </c>
      <c r="AV41" s="6">
        <f>IF(OR(原始資料!$A41="",47&gt;設定!$B$3,原始資料!AX41=""),"",IF(AND(原始資料!AW41&lt;&gt;"",原始資料!AX41=原始資料!AW41),N(AU41)+1,1))</f>
        <v/>
      </c>
      <c r="AW41" s="6">
        <f>IF(OR(原始資料!$A41="",48&gt;設定!$B$3,原始資料!AY41=""),"",IF(AND(原始資料!AX41&lt;&gt;"",原始資料!AY41=原始資料!AX41),N(AV41)+1,1))</f>
        <v/>
      </c>
      <c r="AX41" s="6">
        <f>IF(OR(原始資料!$A41="",49&gt;設定!$B$3,原始資料!AZ41=""),"",IF(AND(原始資料!AY41&lt;&gt;"",原始資料!AZ41=原始資料!AY41),N(AW41)+1,1))</f>
        <v/>
      </c>
      <c r="AY41" s="6">
        <f>IF(OR(原始資料!$A41="",50&gt;設定!$B$3,原始資料!BA41=""),"",IF(AND(原始資料!AZ41&lt;&gt;"",原始資料!BA41=原始資料!AZ41),N(AX41)+1,1))</f>
        <v/>
      </c>
      <c r="AZ41" s="6">
        <f>IF(OR(原始資料!$A41="",51&gt;設定!$B$3,原始資料!BB41=""),"",IF(AND(原始資料!BA41&lt;&gt;"",原始資料!BB41=原始資料!BA41),N(AY41)+1,1))</f>
        <v/>
      </c>
      <c r="BA41" s="6">
        <f>IF(OR(原始資料!$A41="",52&gt;設定!$B$3,原始資料!BC41=""),"",IF(AND(原始資料!BB41&lt;&gt;"",原始資料!BC41=原始資料!BB41),N(AZ41)+1,1))</f>
        <v/>
      </c>
      <c r="BB41" s="6">
        <f>IF(OR(原始資料!$A41="",53&gt;設定!$B$3,原始資料!BD41=""),"",IF(AND(原始資料!BC41&lt;&gt;"",原始資料!BD41=原始資料!BC41),N(BA41)+1,1))</f>
        <v/>
      </c>
      <c r="BC41" s="6">
        <f>IF(OR(原始資料!$A41="",54&gt;設定!$B$3,原始資料!BE41=""),"",IF(AND(原始資料!BD41&lt;&gt;"",原始資料!BE41=原始資料!BD41),N(BB41)+1,1))</f>
        <v/>
      </c>
      <c r="BD41" s="6">
        <f>IF(OR(原始資料!$A41="",55&gt;設定!$B$3,原始資料!BF41=""),"",IF(AND(原始資料!BE41&lt;&gt;"",原始資料!BF41=原始資料!BE41),N(BC41)+1,1))</f>
        <v/>
      </c>
      <c r="BE41" s="6">
        <f>IF(OR(原始資料!$A41="",56&gt;設定!$B$3,原始資料!BG41=""),"",IF(AND(原始資料!BF41&lt;&gt;"",原始資料!BG41=原始資料!BF41),N(BD41)+1,1))</f>
        <v/>
      </c>
      <c r="BF41" s="6">
        <f>IF(OR(原始資料!$A41="",57&gt;設定!$B$3,原始資料!BH41=""),"",IF(AND(原始資料!BG41&lt;&gt;"",原始資料!BH41=原始資料!BG41),N(BE41)+1,1))</f>
        <v/>
      </c>
      <c r="BG41" s="6">
        <f>IF(OR(原始資料!$A41="",58&gt;設定!$B$3,原始資料!BI41=""),"",IF(AND(原始資料!BH41&lt;&gt;"",原始資料!BI41=原始資料!BH41),N(BF41)+1,1))</f>
        <v/>
      </c>
      <c r="BH41" s="6">
        <f>IF(OR(原始資料!$A41="",59&gt;設定!$B$3,原始資料!BJ41=""),"",IF(AND(原始資料!BI41&lt;&gt;"",原始資料!BJ41=原始資料!BI41),N(BG41)+1,1))</f>
        <v/>
      </c>
      <c r="BI41" s="6">
        <f>IF(OR(原始資料!$A41="",60&gt;設定!$B$3,原始資料!BK41=""),"",IF(AND(原始資料!BJ41&lt;&gt;"",原始資料!BK41=原始資料!BJ41),N(BH41)+1,1))</f>
        <v/>
      </c>
    </row>
    <row r="42">
      <c r="A42" s="6">
        <f>IF(原始資料!$A42="","",原始資料!$A42)</f>
        <v/>
      </c>
      <c r="B42" s="6">
        <f>IF(OR(原始資料!$A42="",1&gt;設定!$B$3,原始資料!D42=""),"",1)</f>
        <v/>
      </c>
      <c r="C42" s="6">
        <f>IF(OR(原始資料!$A42="",2&gt;設定!$B$3,原始資料!E42=""),"",IF(AND(原始資料!D42&lt;&gt;"",原始資料!E42=原始資料!D42),N(B42)+1,1))</f>
        <v/>
      </c>
      <c r="D42" s="6">
        <f>IF(OR(原始資料!$A42="",3&gt;設定!$B$3,原始資料!F42=""),"",IF(AND(原始資料!E42&lt;&gt;"",原始資料!F42=原始資料!E42),N(C42)+1,1))</f>
        <v/>
      </c>
      <c r="E42" s="6">
        <f>IF(OR(原始資料!$A42="",4&gt;設定!$B$3,原始資料!G42=""),"",IF(AND(原始資料!F42&lt;&gt;"",原始資料!G42=原始資料!F42),N(D42)+1,1))</f>
        <v/>
      </c>
      <c r="F42" s="6">
        <f>IF(OR(原始資料!$A42="",5&gt;設定!$B$3,原始資料!H42=""),"",IF(AND(原始資料!G42&lt;&gt;"",原始資料!H42=原始資料!G42),N(E42)+1,1))</f>
        <v/>
      </c>
      <c r="G42" s="6">
        <f>IF(OR(原始資料!$A42="",6&gt;設定!$B$3,原始資料!I42=""),"",IF(AND(原始資料!H42&lt;&gt;"",原始資料!I42=原始資料!H42),N(F42)+1,1))</f>
        <v/>
      </c>
      <c r="H42" s="6">
        <f>IF(OR(原始資料!$A42="",7&gt;設定!$B$3,原始資料!J42=""),"",IF(AND(原始資料!I42&lt;&gt;"",原始資料!J42=原始資料!I42),N(G42)+1,1))</f>
        <v/>
      </c>
      <c r="I42" s="6">
        <f>IF(OR(原始資料!$A42="",8&gt;設定!$B$3,原始資料!K42=""),"",IF(AND(原始資料!J42&lt;&gt;"",原始資料!K42=原始資料!J42),N(H42)+1,1))</f>
        <v/>
      </c>
      <c r="J42" s="6">
        <f>IF(OR(原始資料!$A42="",9&gt;設定!$B$3,原始資料!L42=""),"",IF(AND(原始資料!K42&lt;&gt;"",原始資料!L42=原始資料!K42),N(I42)+1,1))</f>
        <v/>
      </c>
      <c r="K42" s="6">
        <f>IF(OR(原始資料!$A42="",10&gt;設定!$B$3,原始資料!M42=""),"",IF(AND(原始資料!L42&lt;&gt;"",原始資料!M42=原始資料!L42),N(J42)+1,1))</f>
        <v/>
      </c>
      <c r="L42" s="6">
        <f>IF(OR(原始資料!$A42="",11&gt;設定!$B$3,原始資料!N42=""),"",IF(AND(原始資料!M42&lt;&gt;"",原始資料!N42=原始資料!M42),N(K42)+1,1))</f>
        <v/>
      </c>
      <c r="M42" s="6">
        <f>IF(OR(原始資料!$A42="",12&gt;設定!$B$3,原始資料!O42=""),"",IF(AND(原始資料!N42&lt;&gt;"",原始資料!O42=原始資料!N42),N(L42)+1,1))</f>
        <v/>
      </c>
      <c r="N42" s="6">
        <f>IF(OR(原始資料!$A42="",13&gt;設定!$B$3,原始資料!P42=""),"",IF(AND(原始資料!O42&lt;&gt;"",原始資料!P42=原始資料!O42),N(M42)+1,1))</f>
        <v/>
      </c>
      <c r="O42" s="6">
        <f>IF(OR(原始資料!$A42="",14&gt;設定!$B$3,原始資料!Q42=""),"",IF(AND(原始資料!P42&lt;&gt;"",原始資料!Q42=原始資料!P42),N(N42)+1,1))</f>
        <v/>
      </c>
      <c r="P42" s="6">
        <f>IF(OR(原始資料!$A42="",15&gt;設定!$B$3,原始資料!R42=""),"",IF(AND(原始資料!Q42&lt;&gt;"",原始資料!R42=原始資料!Q42),N(O42)+1,1))</f>
        <v/>
      </c>
      <c r="Q42" s="6">
        <f>IF(OR(原始資料!$A42="",16&gt;設定!$B$3,原始資料!S42=""),"",IF(AND(原始資料!R42&lt;&gt;"",原始資料!S42=原始資料!R42),N(P42)+1,1))</f>
        <v/>
      </c>
      <c r="R42" s="6">
        <f>IF(OR(原始資料!$A42="",17&gt;設定!$B$3,原始資料!T42=""),"",IF(AND(原始資料!S42&lt;&gt;"",原始資料!T42=原始資料!S42),N(Q42)+1,1))</f>
        <v/>
      </c>
      <c r="S42" s="6">
        <f>IF(OR(原始資料!$A42="",18&gt;設定!$B$3,原始資料!U42=""),"",IF(AND(原始資料!T42&lt;&gt;"",原始資料!U42=原始資料!T42),N(R42)+1,1))</f>
        <v/>
      </c>
      <c r="T42" s="6">
        <f>IF(OR(原始資料!$A42="",19&gt;設定!$B$3,原始資料!V42=""),"",IF(AND(原始資料!U42&lt;&gt;"",原始資料!V42=原始資料!U42),N(S42)+1,1))</f>
        <v/>
      </c>
      <c r="U42" s="6">
        <f>IF(OR(原始資料!$A42="",20&gt;設定!$B$3,原始資料!W42=""),"",IF(AND(原始資料!V42&lt;&gt;"",原始資料!W42=原始資料!V42),N(T42)+1,1))</f>
        <v/>
      </c>
      <c r="V42" s="6">
        <f>IF(OR(原始資料!$A42="",21&gt;設定!$B$3,原始資料!X42=""),"",IF(AND(原始資料!W42&lt;&gt;"",原始資料!X42=原始資料!W42),N(U42)+1,1))</f>
        <v/>
      </c>
      <c r="W42" s="6">
        <f>IF(OR(原始資料!$A42="",22&gt;設定!$B$3,原始資料!Y42=""),"",IF(AND(原始資料!X42&lt;&gt;"",原始資料!Y42=原始資料!X42),N(V42)+1,1))</f>
        <v/>
      </c>
      <c r="X42" s="6">
        <f>IF(OR(原始資料!$A42="",23&gt;設定!$B$3,原始資料!Z42=""),"",IF(AND(原始資料!Y42&lt;&gt;"",原始資料!Z42=原始資料!Y42),N(W42)+1,1))</f>
        <v/>
      </c>
      <c r="Y42" s="6">
        <f>IF(OR(原始資料!$A42="",24&gt;設定!$B$3,原始資料!AA42=""),"",IF(AND(原始資料!Z42&lt;&gt;"",原始資料!AA42=原始資料!Z42),N(X42)+1,1))</f>
        <v/>
      </c>
      <c r="Z42" s="6">
        <f>IF(OR(原始資料!$A42="",25&gt;設定!$B$3,原始資料!AB42=""),"",IF(AND(原始資料!AA42&lt;&gt;"",原始資料!AB42=原始資料!AA42),N(Y42)+1,1))</f>
        <v/>
      </c>
      <c r="AA42" s="6">
        <f>IF(OR(原始資料!$A42="",26&gt;設定!$B$3,原始資料!AC42=""),"",IF(AND(原始資料!AB42&lt;&gt;"",原始資料!AC42=原始資料!AB42),N(Z42)+1,1))</f>
        <v/>
      </c>
      <c r="AB42" s="6">
        <f>IF(OR(原始資料!$A42="",27&gt;設定!$B$3,原始資料!AD42=""),"",IF(AND(原始資料!AC42&lt;&gt;"",原始資料!AD42=原始資料!AC42),N(AA42)+1,1))</f>
        <v/>
      </c>
      <c r="AC42" s="6">
        <f>IF(OR(原始資料!$A42="",28&gt;設定!$B$3,原始資料!AE42=""),"",IF(AND(原始資料!AD42&lt;&gt;"",原始資料!AE42=原始資料!AD42),N(AB42)+1,1))</f>
        <v/>
      </c>
      <c r="AD42" s="6">
        <f>IF(OR(原始資料!$A42="",29&gt;設定!$B$3,原始資料!AF42=""),"",IF(AND(原始資料!AE42&lt;&gt;"",原始資料!AF42=原始資料!AE42),N(AC42)+1,1))</f>
        <v/>
      </c>
      <c r="AE42" s="6">
        <f>IF(OR(原始資料!$A42="",30&gt;設定!$B$3,原始資料!AG42=""),"",IF(AND(原始資料!AF42&lt;&gt;"",原始資料!AG42=原始資料!AF42),N(AD42)+1,1))</f>
        <v/>
      </c>
      <c r="AF42" s="6">
        <f>IF(OR(原始資料!$A42="",31&gt;設定!$B$3,原始資料!AH42=""),"",IF(AND(原始資料!AG42&lt;&gt;"",原始資料!AH42=原始資料!AG42),N(AE42)+1,1))</f>
        <v/>
      </c>
      <c r="AG42" s="6">
        <f>IF(OR(原始資料!$A42="",32&gt;設定!$B$3,原始資料!AI42=""),"",IF(AND(原始資料!AH42&lt;&gt;"",原始資料!AI42=原始資料!AH42),N(AF42)+1,1))</f>
        <v/>
      </c>
      <c r="AH42" s="6">
        <f>IF(OR(原始資料!$A42="",33&gt;設定!$B$3,原始資料!AJ42=""),"",IF(AND(原始資料!AI42&lt;&gt;"",原始資料!AJ42=原始資料!AI42),N(AG42)+1,1))</f>
        <v/>
      </c>
      <c r="AI42" s="6">
        <f>IF(OR(原始資料!$A42="",34&gt;設定!$B$3,原始資料!AK42=""),"",IF(AND(原始資料!AJ42&lt;&gt;"",原始資料!AK42=原始資料!AJ42),N(AH42)+1,1))</f>
        <v/>
      </c>
      <c r="AJ42" s="6">
        <f>IF(OR(原始資料!$A42="",35&gt;設定!$B$3,原始資料!AL42=""),"",IF(AND(原始資料!AK42&lt;&gt;"",原始資料!AL42=原始資料!AK42),N(AI42)+1,1))</f>
        <v/>
      </c>
      <c r="AK42" s="6">
        <f>IF(OR(原始資料!$A42="",36&gt;設定!$B$3,原始資料!AM42=""),"",IF(AND(原始資料!AL42&lt;&gt;"",原始資料!AM42=原始資料!AL42),N(AJ42)+1,1))</f>
        <v/>
      </c>
      <c r="AL42" s="6">
        <f>IF(OR(原始資料!$A42="",37&gt;設定!$B$3,原始資料!AN42=""),"",IF(AND(原始資料!AM42&lt;&gt;"",原始資料!AN42=原始資料!AM42),N(AK42)+1,1))</f>
        <v/>
      </c>
      <c r="AM42" s="6">
        <f>IF(OR(原始資料!$A42="",38&gt;設定!$B$3,原始資料!AO42=""),"",IF(AND(原始資料!AN42&lt;&gt;"",原始資料!AO42=原始資料!AN42),N(AL42)+1,1))</f>
        <v/>
      </c>
      <c r="AN42" s="6">
        <f>IF(OR(原始資料!$A42="",39&gt;設定!$B$3,原始資料!AP42=""),"",IF(AND(原始資料!AO42&lt;&gt;"",原始資料!AP42=原始資料!AO42),N(AM42)+1,1))</f>
        <v/>
      </c>
      <c r="AO42" s="6">
        <f>IF(OR(原始資料!$A42="",40&gt;設定!$B$3,原始資料!AQ42=""),"",IF(AND(原始資料!AP42&lt;&gt;"",原始資料!AQ42=原始資料!AP42),N(AN42)+1,1))</f>
        <v/>
      </c>
      <c r="AP42" s="6">
        <f>IF(OR(原始資料!$A42="",41&gt;設定!$B$3,原始資料!AR42=""),"",IF(AND(原始資料!AQ42&lt;&gt;"",原始資料!AR42=原始資料!AQ42),N(AO42)+1,1))</f>
        <v/>
      </c>
      <c r="AQ42" s="6">
        <f>IF(OR(原始資料!$A42="",42&gt;設定!$B$3,原始資料!AS42=""),"",IF(AND(原始資料!AR42&lt;&gt;"",原始資料!AS42=原始資料!AR42),N(AP42)+1,1))</f>
        <v/>
      </c>
      <c r="AR42" s="6">
        <f>IF(OR(原始資料!$A42="",43&gt;設定!$B$3,原始資料!AT42=""),"",IF(AND(原始資料!AS42&lt;&gt;"",原始資料!AT42=原始資料!AS42),N(AQ42)+1,1))</f>
        <v/>
      </c>
      <c r="AS42" s="6">
        <f>IF(OR(原始資料!$A42="",44&gt;設定!$B$3,原始資料!AU42=""),"",IF(AND(原始資料!AT42&lt;&gt;"",原始資料!AU42=原始資料!AT42),N(AR42)+1,1))</f>
        <v/>
      </c>
      <c r="AT42" s="6">
        <f>IF(OR(原始資料!$A42="",45&gt;設定!$B$3,原始資料!AV42=""),"",IF(AND(原始資料!AU42&lt;&gt;"",原始資料!AV42=原始資料!AU42),N(AS42)+1,1))</f>
        <v/>
      </c>
      <c r="AU42" s="6">
        <f>IF(OR(原始資料!$A42="",46&gt;設定!$B$3,原始資料!AW42=""),"",IF(AND(原始資料!AV42&lt;&gt;"",原始資料!AW42=原始資料!AV42),N(AT42)+1,1))</f>
        <v/>
      </c>
      <c r="AV42" s="6">
        <f>IF(OR(原始資料!$A42="",47&gt;設定!$B$3,原始資料!AX42=""),"",IF(AND(原始資料!AW42&lt;&gt;"",原始資料!AX42=原始資料!AW42),N(AU42)+1,1))</f>
        <v/>
      </c>
      <c r="AW42" s="6">
        <f>IF(OR(原始資料!$A42="",48&gt;設定!$B$3,原始資料!AY42=""),"",IF(AND(原始資料!AX42&lt;&gt;"",原始資料!AY42=原始資料!AX42),N(AV42)+1,1))</f>
        <v/>
      </c>
      <c r="AX42" s="6">
        <f>IF(OR(原始資料!$A42="",49&gt;設定!$B$3,原始資料!AZ42=""),"",IF(AND(原始資料!AY42&lt;&gt;"",原始資料!AZ42=原始資料!AY42),N(AW42)+1,1))</f>
        <v/>
      </c>
      <c r="AY42" s="6">
        <f>IF(OR(原始資料!$A42="",50&gt;設定!$B$3,原始資料!BA42=""),"",IF(AND(原始資料!AZ42&lt;&gt;"",原始資料!BA42=原始資料!AZ42),N(AX42)+1,1))</f>
        <v/>
      </c>
      <c r="AZ42" s="6">
        <f>IF(OR(原始資料!$A42="",51&gt;設定!$B$3,原始資料!BB42=""),"",IF(AND(原始資料!BA42&lt;&gt;"",原始資料!BB42=原始資料!BA42),N(AY42)+1,1))</f>
        <v/>
      </c>
      <c r="BA42" s="6">
        <f>IF(OR(原始資料!$A42="",52&gt;設定!$B$3,原始資料!BC42=""),"",IF(AND(原始資料!BB42&lt;&gt;"",原始資料!BC42=原始資料!BB42),N(AZ42)+1,1))</f>
        <v/>
      </c>
      <c r="BB42" s="6">
        <f>IF(OR(原始資料!$A42="",53&gt;設定!$B$3,原始資料!BD42=""),"",IF(AND(原始資料!BC42&lt;&gt;"",原始資料!BD42=原始資料!BC42),N(BA42)+1,1))</f>
        <v/>
      </c>
      <c r="BC42" s="6">
        <f>IF(OR(原始資料!$A42="",54&gt;設定!$B$3,原始資料!BE42=""),"",IF(AND(原始資料!BD42&lt;&gt;"",原始資料!BE42=原始資料!BD42),N(BB42)+1,1))</f>
        <v/>
      </c>
      <c r="BD42" s="6">
        <f>IF(OR(原始資料!$A42="",55&gt;設定!$B$3,原始資料!BF42=""),"",IF(AND(原始資料!BE42&lt;&gt;"",原始資料!BF42=原始資料!BE42),N(BC42)+1,1))</f>
        <v/>
      </c>
      <c r="BE42" s="6">
        <f>IF(OR(原始資料!$A42="",56&gt;設定!$B$3,原始資料!BG42=""),"",IF(AND(原始資料!BF42&lt;&gt;"",原始資料!BG42=原始資料!BF42),N(BD42)+1,1))</f>
        <v/>
      </c>
      <c r="BF42" s="6">
        <f>IF(OR(原始資料!$A42="",57&gt;設定!$B$3,原始資料!BH42=""),"",IF(AND(原始資料!BG42&lt;&gt;"",原始資料!BH42=原始資料!BG42),N(BE42)+1,1))</f>
        <v/>
      </c>
      <c r="BG42" s="6">
        <f>IF(OR(原始資料!$A42="",58&gt;設定!$B$3,原始資料!BI42=""),"",IF(AND(原始資料!BH42&lt;&gt;"",原始資料!BI42=原始資料!BH42),N(BF42)+1,1))</f>
        <v/>
      </c>
      <c r="BH42" s="6">
        <f>IF(OR(原始資料!$A42="",59&gt;設定!$B$3,原始資料!BJ42=""),"",IF(AND(原始資料!BI42&lt;&gt;"",原始資料!BJ42=原始資料!BI42),N(BG42)+1,1))</f>
        <v/>
      </c>
      <c r="BI42" s="6">
        <f>IF(OR(原始資料!$A42="",60&gt;設定!$B$3,原始資料!BK42=""),"",IF(AND(原始資料!BJ42&lt;&gt;"",原始資料!BK42=原始資料!BJ42),N(BH42)+1,1))</f>
        <v/>
      </c>
    </row>
    <row r="43">
      <c r="A43" s="6">
        <f>IF(原始資料!$A43="","",原始資料!$A43)</f>
        <v/>
      </c>
      <c r="B43" s="6">
        <f>IF(OR(原始資料!$A43="",1&gt;設定!$B$3,原始資料!D43=""),"",1)</f>
        <v/>
      </c>
      <c r="C43" s="6">
        <f>IF(OR(原始資料!$A43="",2&gt;設定!$B$3,原始資料!E43=""),"",IF(AND(原始資料!D43&lt;&gt;"",原始資料!E43=原始資料!D43),N(B43)+1,1))</f>
        <v/>
      </c>
      <c r="D43" s="6">
        <f>IF(OR(原始資料!$A43="",3&gt;設定!$B$3,原始資料!F43=""),"",IF(AND(原始資料!E43&lt;&gt;"",原始資料!F43=原始資料!E43),N(C43)+1,1))</f>
        <v/>
      </c>
      <c r="E43" s="6">
        <f>IF(OR(原始資料!$A43="",4&gt;設定!$B$3,原始資料!G43=""),"",IF(AND(原始資料!F43&lt;&gt;"",原始資料!G43=原始資料!F43),N(D43)+1,1))</f>
        <v/>
      </c>
      <c r="F43" s="6">
        <f>IF(OR(原始資料!$A43="",5&gt;設定!$B$3,原始資料!H43=""),"",IF(AND(原始資料!G43&lt;&gt;"",原始資料!H43=原始資料!G43),N(E43)+1,1))</f>
        <v/>
      </c>
      <c r="G43" s="6">
        <f>IF(OR(原始資料!$A43="",6&gt;設定!$B$3,原始資料!I43=""),"",IF(AND(原始資料!H43&lt;&gt;"",原始資料!I43=原始資料!H43),N(F43)+1,1))</f>
        <v/>
      </c>
      <c r="H43" s="6">
        <f>IF(OR(原始資料!$A43="",7&gt;設定!$B$3,原始資料!J43=""),"",IF(AND(原始資料!I43&lt;&gt;"",原始資料!J43=原始資料!I43),N(G43)+1,1))</f>
        <v/>
      </c>
      <c r="I43" s="6">
        <f>IF(OR(原始資料!$A43="",8&gt;設定!$B$3,原始資料!K43=""),"",IF(AND(原始資料!J43&lt;&gt;"",原始資料!K43=原始資料!J43),N(H43)+1,1))</f>
        <v/>
      </c>
      <c r="J43" s="6">
        <f>IF(OR(原始資料!$A43="",9&gt;設定!$B$3,原始資料!L43=""),"",IF(AND(原始資料!K43&lt;&gt;"",原始資料!L43=原始資料!K43),N(I43)+1,1))</f>
        <v/>
      </c>
      <c r="K43" s="6">
        <f>IF(OR(原始資料!$A43="",10&gt;設定!$B$3,原始資料!M43=""),"",IF(AND(原始資料!L43&lt;&gt;"",原始資料!M43=原始資料!L43),N(J43)+1,1))</f>
        <v/>
      </c>
      <c r="L43" s="6">
        <f>IF(OR(原始資料!$A43="",11&gt;設定!$B$3,原始資料!N43=""),"",IF(AND(原始資料!M43&lt;&gt;"",原始資料!N43=原始資料!M43),N(K43)+1,1))</f>
        <v/>
      </c>
      <c r="M43" s="6">
        <f>IF(OR(原始資料!$A43="",12&gt;設定!$B$3,原始資料!O43=""),"",IF(AND(原始資料!N43&lt;&gt;"",原始資料!O43=原始資料!N43),N(L43)+1,1))</f>
        <v/>
      </c>
      <c r="N43" s="6">
        <f>IF(OR(原始資料!$A43="",13&gt;設定!$B$3,原始資料!P43=""),"",IF(AND(原始資料!O43&lt;&gt;"",原始資料!P43=原始資料!O43),N(M43)+1,1))</f>
        <v/>
      </c>
      <c r="O43" s="6">
        <f>IF(OR(原始資料!$A43="",14&gt;設定!$B$3,原始資料!Q43=""),"",IF(AND(原始資料!P43&lt;&gt;"",原始資料!Q43=原始資料!P43),N(N43)+1,1))</f>
        <v/>
      </c>
      <c r="P43" s="6">
        <f>IF(OR(原始資料!$A43="",15&gt;設定!$B$3,原始資料!R43=""),"",IF(AND(原始資料!Q43&lt;&gt;"",原始資料!R43=原始資料!Q43),N(O43)+1,1))</f>
        <v/>
      </c>
      <c r="Q43" s="6">
        <f>IF(OR(原始資料!$A43="",16&gt;設定!$B$3,原始資料!S43=""),"",IF(AND(原始資料!R43&lt;&gt;"",原始資料!S43=原始資料!R43),N(P43)+1,1))</f>
        <v/>
      </c>
      <c r="R43" s="6">
        <f>IF(OR(原始資料!$A43="",17&gt;設定!$B$3,原始資料!T43=""),"",IF(AND(原始資料!S43&lt;&gt;"",原始資料!T43=原始資料!S43),N(Q43)+1,1))</f>
        <v/>
      </c>
      <c r="S43" s="6">
        <f>IF(OR(原始資料!$A43="",18&gt;設定!$B$3,原始資料!U43=""),"",IF(AND(原始資料!T43&lt;&gt;"",原始資料!U43=原始資料!T43),N(R43)+1,1))</f>
        <v/>
      </c>
      <c r="T43" s="6">
        <f>IF(OR(原始資料!$A43="",19&gt;設定!$B$3,原始資料!V43=""),"",IF(AND(原始資料!U43&lt;&gt;"",原始資料!V43=原始資料!U43),N(S43)+1,1))</f>
        <v/>
      </c>
      <c r="U43" s="6">
        <f>IF(OR(原始資料!$A43="",20&gt;設定!$B$3,原始資料!W43=""),"",IF(AND(原始資料!V43&lt;&gt;"",原始資料!W43=原始資料!V43),N(T43)+1,1))</f>
        <v/>
      </c>
      <c r="V43" s="6">
        <f>IF(OR(原始資料!$A43="",21&gt;設定!$B$3,原始資料!X43=""),"",IF(AND(原始資料!W43&lt;&gt;"",原始資料!X43=原始資料!W43),N(U43)+1,1))</f>
        <v/>
      </c>
      <c r="W43" s="6">
        <f>IF(OR(原始資料!$A43="",22&gt;設定!$B$3,原始資料!Y43=""),"",IF(AND(原始資料!X43&lt;&gt;"",原始資料!Y43=原始資料!X43),N(V43)+1,1))</f>
        <v/>
      </c>
      <c r="X43" s="6">
        <f>IF(OR(原始資料!$A43="",23&gt;設定!$B$3,原始資料!Z43=""),"",IF(AND(原始資料!Y43&lt;&gt;"",原始資料!Z43=原始資料!Y43),N(W43)+1,1))</f>
        <v/>
      </c>
      <c r="Y43" s="6">
        <f>IF(OR(原始資料!$A43="",24&gt;設定!$B$3,原始資料!AA43=""),"",IF(AND(原始資料!Z43&lt;&gt;"",原始資料!AA43=原始資料!Z43),N(X43)+1,1))</f>
        <v/>
      </c>
      <c r="Z43" s="6">
        <f>IF(OR(原始資料!$A43="",25&gt;設定!$B$3,原始資料!AB43=""),"",IF(AND(原始資料!AA43&lt;&gt;"",原始資料!AB43=原始資料!AA43),N(Y43)+1,1))</f>
        <v/>
      </c>
      <c r="AA43" s="6">
        <f>IF(OR(原始資料!$A43="",26&gt;設定!$B$3,原始資料!AC43=""),"",IF(AND(原始資料!AB43&lt;&gt;"",原始資料!AC43=原始資料!AB43),N(Z43)+1,1))</f>
        <v/>
      </c>
      <c r="AB43" s="6">
        <f>IF(OR(原始資料!$A43="",27&gt;設定!$B$3,原始資料!AD43=""),"",IF(AND(原始資料!AC43&lt;&gt;"",原始資料!AD43=原始資料!AC43),N(AA43)+1,1))</f>
        <v/>
      </c>
      <c r="AC43" s="6">
        <f>IF(OR(原始資料!$A43="",28&gt;設定!$B$3,原始資料!AE43=""),"",IF(AND(原始資料!AD43&lt;&gt;"",原始資料!AE43=原始資料!AD43),N(AB43)+1,1))</f>
        <v/>
      </c>
      <c r="AD43" s="6">
        <f>IF(OR(原始資料!$A43="",29&gt;設定!$B$3,原始資料!AF43=""),"",IF(AND(原始資料!AE43&lt;&gt;"",原始資料!AF43=原始資料!AE43),N(AC43)+1,1))</f>
        <v/>
      </c>
      <c r="AE43" s="6">
        <f>IF(OR(原始資料!$A43="",30&gt;設定!$B$3,原始資料!AG43=""),"",IF(AND(原始資料!AF43&lt;&gt;"",原始資料!AG43=原始資料!AF43),N(AD43)+1,1))</f>
        <v/>
      </c>
      <c r="AF43" s="6">
        <f>IF(OR(原始資料!$A43="",31&gt;設定!$B$3,原始資料!AH43=""),"",IF(AND(原始資料!AG43&lt;&gt;"",原始資料!AH43=原始資料!AG43),N(AE43)+1,1))</f>
        <v/>
      </c>
      <c r="AG43" s="6">
        <f>IF(OR(原始資料!$A43="",32&gt;設定!$B$3,原始資料!AI43=""),"",IF(AND(原始資料!AH43&lt;&gt;"",原始資料!AI43=原始資料!AH43),N(AF43)+1,1))</f>
        <v/>
      </c>
      <c r="AH43" s="6">
        <f>IF(OR(原始資料!$A43="",33&gt;設定!$B$3,原始資料!AJ43=""),"",IF(AND(原始資料!AI43&lt;&gt;"",原始資料!AJ43=原始資料!AI43),N(AG43)+1,1))</f>
        <v/>
      </c>
      <c r="AI43" s="6">
        <f>IF(OR(原始資料!$A43="",34&gt;設定!$B$3,原始資料!AK43=""),"",IF(AND(原始資料!AJ43&lt;&gt;"",原始資料!AK43=原始資料!AJ43),N(AH43)+1,1))</f>
        <v/>
      </c>
      <c r="AJ43" s="6">
        <f>IF(OR(原始資料!$A43="",35&gt;設定!$B$3,原始資料!AL43=""),"",IF(AND(原始資料!AK43&lt;&gt;"",原始資料!AL43=原始資料!AK43),N(AI43)+1,1))</f>
        <v/>
      </c>
      <c r="AK43" s="6">
        <f>IF(OR(原始資料!$A43="",36&gt;設定!$B$3,原始資料!AM43=""),"",IF(AND(原始資料!AL43&lt;&gt;"",原始資料!AM43=原始資料!AL43),N(AJ43)+1,1))</f>
        <v/>
      </c>
      <c r="AL43" s="6">
        <f>IF(OR(原始資料!$A43="",37&gt;設定!$B$3,原始資料!AN43=""),"",IF(AND(原始資料!AM43&lt;&gt;"",原始資料!AN43=原始資料!AM43),N(AK43)+1,1))</f>
        <v/>
      </c>
      <c r="AM43" s="6">
        <f>IF(OR(原始資料!$A43="",38&gt;設定!$B$3,原始資料!AO43=""),"",IF(AND(原始資料!AN43&lt;&gt;"",原始資料!AO43=原始資料!AN43),N(AL43)+1,1))</f>
        <v/>
      </c>
      <c r="AN43" s="6">
        <f>IF(OR(原始資料!$A43="",39&gt;設定!$B$3,原始資料!AP43=""),"",IF(AND(原始資料!AO43&lt;&gt;"",原始資料!AP43=原始資料!AO43),N(AM43)+1,1))</f>
        <v/>
      </c>
      <c r="AO43" s="6">
        <f>IF(OR(原始資料!$A43="",40&gt;設定!$B$3,原始資料!AQ43=""),"",IF(AND(原始資料!AP43&lt;&gt;"",原始資料!AQ43=原始資料!AP43),N(AN43)+1,1))</f>
        <v/>
      </c>
      <c r="AP43" s="6">
        <f>IF(OR(原始資料!$A43="",41&gt;設定!$B$3,原始資料!AR43=""),"",IF(AND(原始資料!AQ43&lt;&gt;"",原始資料!AR43=原始資料!AQ43),N(AO43)+1,1))</f>
        <v/>
      </c>
      <c r="AQ43" s="6">
        <f>IF(OR(原始資料!$A43="",42&gt;設定!$B$3,原始資料!AS43=""),"",IF(AND(原始資料!AR43&lt;&gt;"",原始資料!AS43=原始資料!AR43),N(AP43)+1,1))</f>
        <v/>
      </c>
      <c r="AR43" s="6">
        <f>IF(OR(原始資料!$A43="",43&gt;設定!$B$3,原始資料!AT43=""),"",IF(AND(原始資料!AS43&lt;&gt;"",原始資料!AT43=原始資料!AS43),N(AQ43)+1,1))</f>
        <v/>
      </c>
      <c r="AS43" s="6">
        <f>IF(OR(原始資料!$A43="",44&gt;設定!$B$3,原始資料!AU43=""),"",IF(AND(原始資料!AT43&lt;&gt;"",原始資料!AU43=原始資料!AT43),N(AR43)+1,1))</f>
        <v/>
      </c>
      <c r="AT43" s="6">
        <f>IF(OR(原始資料!$A43="",45&gt;設定!$B$3,原始資料!AV43=""),"",IF(AND(原始資料!AU43&lt;&gt;"",原始資料!AV43=原始資料!AU43),N(AS43)+1,1))</f>
        <v/>
      </c>
      <c r="AU43" s="6">
        <f>IF(OR(原始資料!$A43="",46&gt;設定!$B$3,原始資料!AW43=""),"",IF(AND(原始資料!AV43&lt;&gt;"",原始資料!AW43=原始資料!AV43),N(AT43)+1,1))</f>
        <v/>
      </c>
      <c r="AV43" s="6">
        <f>IF(OR(原始資料!$A43="",47&gt;設定!$B$3,原始資料!AX43=""),"",IF(AND(原始資料!AW43&lt;&gt;"",原始資料!AX43=原始資料!AW43),N(AU43)+1,1))</f>
        <v/>
      </c>
      <c r="AW43" s="6">
        <f>IF(OR(原始資料!$A43="",48&gt;設定!$B$3,原始資料!AY43=""),"",IF(AND(原始資料!AX43&lt;&gt;"",原始資料!AY43=原始資料!AX43),N(AV43)+1,1))</f>
        <v/>
      </c>
      <c r="AX43" s="6">
        <f>IF(OR(原始資料!$A43="",49&gt;設定!$B$3,原始資料!AZ43=""),"",IF(AND(原始資料!AY43&lt;&gt;"",原始資料!AZ43=原始資料!AY43),N(AW43)+1,1))</f>
        <v/>
      </c>
      <c r="AY43" s="6">
        <f>IF(OR(原始資料!$A43="",50&gt;設定!$B$3,原始資料!BA43=""),"",IF(AND(原始資料!AZ43&lt;&gt;"",原始資料!BA43=原始資料!AZ43),N(AX43)+1,1))</f>
        <v/>
      </c>
      <c r="AZ43" s="6">
        <f>IF(OR(原始資料!$A43="",51&gt;設定!$B$3,原始資料!BB43=""),"",IF(AND(原始資料!BA43&lt;&gt;"",原始資料!BB43=原始資料!BA43),N(AY43)+1,1))</f>
        <v/>
      </c>
      <c r="BA43" s="6">
        <f>IF(OR(原始資料!$A43="",52&gt;設定!$B$3,原始資料!BC43=""),"",IF(AND(原始資料!BB43&lt;&gt;"",原始資料!BC43=原始資料!BB43),N(AZ43)+1,1))</f>
        <v/>
      </c>
      <c r="BB43" s="6">
        <f>IF(OR(原始資料!$A43="",53&gt;設定!$B$3,原始資料!BD43=""),"",IF(AND(原始資料!BC43&lt;&gt;"",原始資料!BD43=原始資料!BC43),N(BA43)+1,1))</f>
        <v/>
      </c>
      <c r="BC43" s="6">
        <f>IF(OR(原始資料!$A43="",54&gt;設定!$B$3,原始資料!BE43=""),"",IF(AND(原始資料!BD43&lt;&gt;"",原始資料!BE43=原始資料!BD43),N(BB43)+1,1))</f>
        <v/>
      </c>
      <c r="BD43" s="6">
        <f>IF(OR(原始資料!$A43="",55&gt;設定!$B$3,原始資料!BF43=""),"",IF(AND(原始資料!BE43&lt;&gt;"",原始資料!BF43=原始資料!BE43),N(BC43)+1,1))</f>
        <v/>
      </c>
      <c r="BE43" s="6">
        <f>IF(OR(原始資料!$A43="",56&gt;設定!$B$3,原始資料!BG43=""),"",IF(AND(原始資料!BF43&lt;&gt;"",原始資料!BG43=原始資料!BF43),N(BD43)+1,1))</f>
        <v/>
      </c>
      <c r="BF43" s="6">
        <f>IF(OR(原始資料!$A43="",57&gt;設定!$B$3,原始資料!BH43=""),"",IF(AND(原始資料!BG43&lt;&gt;"",原始資料!BH43=原始資料!BG43),N(BE43)+1,1))</f>
        <v/>
      </c>
      <c r="BG43" s="6">
        <f>IF(OR(原始資料!$A43="",58&gt;設定!$B$3,原始資料!BI43=""),"",IF(AND(原始資料!BH43&lt;&gt;"",原始資料!BI43=原始資料!BH43),N(BF43)+1,1))</f>
        <v/>
      </c>
      <c r="BH43" s="6">
        <f>IF(OR(原始資料!$A43="",59&gt;設定!$B$3,原始資料!BJ43=""),"",IF(AND(原始資料!BI43&lt;&gt;"",原始資料!BJ43=原始資料!BI43),N(BG43)+1,1))</f>
        <v/>
      </c>
      <c r="BI43" s="6">
        <f>IF(OR(原始資料!$A43="",60&gt;設定!$B$3,原始資料!BK43=""),"",IF(AND(原始資料!BJ43&lt;&gt;"",原始資料!BK43=原始資料!BJ43),N(BH43)+1,1))</f>
        <v/>
      </c>
    </row>
    <row r="44">
      <c r="A44" s="6">
        <f>IF(原始資料!$A44="","",原始資料!$A44)</f>
        <v/>
      </c>
      <c r="B44" s="6">
        <f>IF(OR(原始資料!$A44="",1&gt;設定!$B$3,原始資料!D44=""),"",1)</f>
        <v/>
      </c>
      <c r="C44" s="6">
        <f>IF(OR(原始資料!$A44="",2&gt;設定!$B$3,原始資料!E44=""),"",IF(AND(原始資料!D44&lt;&gt;"",原始資料!E44=原始資料!D44),N(B44)+1,1))</f>
        <v/>
      </c>
      <c r="D44" s="6">
        <f>IF(OR(原始資料!$A44="",3&gt;設定!$B$3,原始資料!F44=""),"",IF(AND(原始資料!E44&lt;&gt;"",原始資料!F44=原始資料!E44),N(C44)+1,1))</f>
        <v/>
      </c>
      <c r="E44" s="6">
        <f>IF(OR(原始資料!$A44="",4&gt;設定!$B$3,原始資料!G44=""),"",IF(AND(原始資料!F44&lt;&gt;"",原始資料!G44=原始資料!F44),N(D44)+1,1))</f>
        <v/>
      </c>
      <c r="F44" s="6">
        <f>IF(OR(原始資料!$A44="",5&gt;設定!$B$3,原始資料!H44=""),"",IF(AND(原始資料!G44&lt;&gt;"",原始資料!H44=原始資料!G44),N(E44)+1,1))</f>
        <v/>
      </c>
      <c r="G44" s="6">
        <f>IF(OR(原始資料!$A44="",6&gt;設定!$B$3,原始資料!I44=""),"",IF(AND(原始資料!H44&lt;&gt;"",原始資料!I44=原始資料!H44),N(F44)+1,1))</f>
        <v/>
      </c>
      <c r="H44" s="6">
        <f>IF(OR(原始資料!$A44="",7&gt;設定!$B$3,原始資料!J44=""),"",IF(AND(原始資料!I44&lt;&gt;"",原始資料!J44=原始資料!I44),N(G44)+1,1))</f>
        <v/>
      </c>
      <c r="I44" s="6">
        <f>IF(OR(原始資料!$A44="",8&gt;設定!$B$3,原始資料!K44=""),"",IF(AND(原始資料!J44&lt;&gt;"",原始資料!K44=原始資料!J44),N(H44)+1,1))</f>
        <v/>
      </c>
      <c r="J44" s="6">
        <f>IF(OR(原始資料!$A44="",9&gt;設定!$B$3,原始資料!L44=""),"",IF(AND(原始資料!K44&lt;&gt;"",原始資料!L44=原始資料!K44),N(I44)+1,1))</f>
        <v/>
      </c>
      <c r="K44" s="6">
        <f>IF(OR(原始資料!$A44="",10&gt;設定!$B$3,原始資料!M44=""),"",IF(AND(原始資料!L44&lt;&gt;"",原始資料!M44=原始資料!L44),N(J44)+1,1))</f>
        <v/>
      </c>
      <c r="L44" s="6">
        <f>IF(OR(原始資料!$A44="",11&gt;設定!$B$3,原始資料!N44=""),"",IF(AND(原始資料!M44&lt;&gt;"",原始資料!N44=原始資料!M44),N(K44)+1,1))</f>
        <v/>
      </c>
      <c r="M44" s="6">
        <f>IF(OR(原始資料!$A44="",12&gt;設定!$B$3,原始資料!O44=""),"",IF(AND(原始資料!N44&lt;&gt;"",原始資料!O44=原始資料!N44),N(L44)+1,1))</f>
        <v/>
      </c>
      <c r="N44" s="6">
        <f>IF(OR(原始資料!$A44="",13&gt;設定!$B$3,原始資料!P44=""),"",IF(AND(原始資料!O44&lt;&gt;"",原始資料!P44=原始資料!O44),N(M44)+1,1))</f>
        <v/>
      </c>
      <c r="O44" s="6">
        <f>IF(OR(原始資料!$A44="",14&gt;設定!$B$3,原始資料!Q44=""),"",IF(AND(原始資料!P44&lt;&gt;"",原始資料!Q44=原始資料!P44),N(N44)+1,1))</f>
        <v/>
      </c>
      <c r="P44" s="6">
        <f>IF(OR(原始資料!$A44="",15&gt;設定!$B$3,原始資料!R44=""),"",IF(AND(原始資料!Q44&lt;&gt;"",原始資料!R44=原始資料!Q44),N(O44)+1,1))</f>
        <v/>
      </c>
      <c r="Q44" s="6">
        <f>IF(OR(原始資料!$A44="",16&gt;設定!$B$3,原始資料!S44=""),"",IF(AND(原始資料!R44&lt;&gt;"",原始資料!S44=原始資料!R44),N(P44)+1,1))</f>
        <v/>
      </c>
      <c r="R44" s="6">
        <f>IF(OR(原始資料!$A44="",17&gt;設定!$B$3,原始資料!T44=""),"",IF(AND(原始資料!S44&lt;&gt;"",原始資料!T44=原始資料!S44),N(Q44)+1,1))</f>
        <v/>
      </c>
      <c r="S44" s="6">
        <f>IF(OR(原始資料!$A44="",18&gt;設定!$B$3,原始資料!U44=""),"",IF(AND(原始資料!T44&lt;&gt;"",原始資料!U44=原始資料!T44),N(R44)+1,1))</f>
        <v/>
      </c>
      <c r="T44" s="6">
        <f>IF(OR(原始資料!$A44="",19&gt;設定!$B$3,原始資料!V44=""),"",IF(AND(原始資料!U44&lt;&gt;"",原始資料!V44=原始資料!U44),N(S44)+1,1))</f>
        <v/>
      </c>
      <c r="U44" s="6">
        <f>IF(OR(原始資料!$A44="",20&gt;設定!$B$3,原始資料!W44=""),"",IF(AND(原始資料!V44&lt;&gt;"",原始資料!W44=原始資料!V44),N(T44)+1,1))</f>
        <v/>
      </c>
      <c r="V44" s="6">
        <f>IF(OR(原始資料!$A44="",21&gt;設定!$B$3,原始資料!X44=""),"",IF(AND(原始資料!W44&lt;&gt;"",原始資料!X44=原始資料!W44),N(U44)+1,1))</f>
        <v/>
      </c>
      <c r="W44" s="6">
        <f>IF(OR(原始資料!$A44="",22&gt;設定!$B$3,原始資料!Y44=""),"",IF(AND(原始資料!X44&lt;&gt;"",原始資料!Y44=原始資料!X44),N(V44)+1,1))</f>
        <v/>
      </c>
      <c r="X44" s="6">
        <f>IF(OR(原始資料!$A44="",23&gt;設定!$B$3,原始資料!Z44=""),"",IF(AND(原始資料!Y44&lt;&gt;"",原始資料!Z44=原始資料!Y44),N(W44)+1,1))</f>
        <v/>
      </c>
      <c r="Y44" s="6">
        <f>IF(OR(原始資料!$A44="",24&gt;設定!$B$3,原始資料!AA44=""),"",IF(AND(原始資料!Z44&lt;&gt;"",原始資料!AA44=原始資料!Z44),N(X44)+1,1))</f>
        <v/>
      </c>
      <c r="Z44" s="6">
        <f>IF(OR(原始資料!$A44="",25&gt;設定!$B$3,原始資料!AB44=""),"",IF(AND(原始資料!AA44&lt;&gt;"",原始資料!AB44=原始資料!AA44),N(Y44)+1,1))</f>
        <v/>
      </c>
      <c r="AA44" s="6">
        <f>IF(OR(原始資料!$A44="",26&gt;設定!$B$3,原始資料!AC44=""),"",IF(AND(原始資料!AB44&lt;&gt;"",原始資料!AC44=原始資料!AB44),N(Z44)+1,1))</f>
        <v/>
      </c>
      <c r="AB44" s="6">
        <f>IF(OR(原始資料!$A44="",27&gt;設定!$B$3,原始資料!AD44=""),"",IF(AND(原始資料!AC44&lt;&gt;"",原始資料!AD44=原始資料!AC44),N(AA44)+1,1))</f>
        <v/>
      </c>
      <c r="AC44" s="6">
        <f>IF(OR(原始資料!$A44="",28&gt;設定!$B$3,原始資料!AE44=""),"",IF(AND(原始資料!AD44&lt;&gt;"",原始資料!AE44=原始資料!AD44),N(AB44)+1,1))</f>
        <v/>
      </c>
      <c r="AD44" s="6">
        <f>IF(OR(原始資料!$A44="",29&gt;設定!$B$3,原始資料!AF44=""),"",IF(AND(原始資料!AE44&lt;&gt;"",原始資料!AF44=原始資料!AE44),N(AC44)+1,1))</f>
        <v/>
      </c>
      <c r="AE44" s="6">
        <f>IF(OR(原始資料!$A44="",30&gt;設定!$B$3,原始資料!AG44=""),"",IF(AND(原始資料!AF44&lt;&gt;"",原始資料!AG44=原始資料!AF44),N(AD44)+1,1))</f>
        <v/>
      </c>
      <c r="AF44" s="6">
        <f>IF(OR(原始資料!$A44="",31&gt;設定!$B$3,原始資料!AH44=""),"",IF(AND(原始資料!AG44&lt;&gt;"",原始資料!AH44=原始資料!AG44),N(AE44)+1,1))</f>
        <v/>
      </c>
      <c r="AG44" s="6">
        <f>IF(OR(原始資料!$A44="",32&gt;設定!$B$3,原始資料!AI44=""),"",IF(AND(原始資料!AH44&lt;&gt;"",原始資料!AI44=原始資料!AH44),N(AF44)+1,1))</f>
        <v/>
      </c>
      <c r="AH44" s="6">
        <f>IF(OR(原始資料!$A44="",33&gt;設定!$B$3,原始資料!AJ44=""),"",IF(AND(原始資料!AI44&lt;&gt;"",原始資料!AJ44=原始資料!AI44),N(AG44)+1,1))</f>
        <v/>
      </c>
      <c r="AI44" s="6">
        <f>IF(OR(原始資料!$A44="",34&gt;設定!$B$3,原始資料!AK44=""),"",IF(AND(原始資料!AJ44&lt;&gt;"",原始資料!AK44=原始資料!AJ44),N(AH44)+1,1))</f>
        <v/>
      </c>
      <c r="AJ44" s="6">
        <f>IF(OR(原始資料!$A44="",35&gt;設定!$B$3,原始資料!AL44=""),"",IF(AND(原始資料!AK44&lt;&gt;"",原始資料!AL44=原始資料!AK44),N(AI44)+1,1))</f>
        <v/>
      </c>
      <c r="AK44" s="6">
        <f>IF(OR(原始資料!$A44="",36&gt;設定!$B$3,原始資料!AM44=""),"",IF(AND(原始資料!AL44&lt;&gt;"",原始資料!AM44=原始資料!AL44),N(AJ44)+1,1))</f>
        <v/>
      </c>
      <c r="AL44" s="6">
        <f>IF(OR(原始資料!$A44="",37&gt;設定!$B$3,原始資料!AN44=""),"",IF(AND(原始資料!AM44&lt;&gt;"",原始資料!AN44=原始資料!AM44),N(AK44)+1,1))</f>
        <v/>
      </c>
      <c r="AM44" s="6">
        <f>IF(OR(原始資料!$A44="",38&gt;設定!$B$3,原始資料!AO44=""),"",IF(AND(原始資料!AN44&lt;&gt;"",原始資料!AO44=原始資料!AN44),N(AL44)+1,1))</f>
        <v/>
      </c>
      <c r="AN44" s="6">
        <f>IF(OR(原始資料!$A44="",39&gt;設定!$B$3,原始資料!AP44=""),"",IF(AND(原始資料!AO44&lt;&gt;"",原始資料!AP44=原始資料!AO44),N(AM44)+1,1))</f>
        <v/>
      </c>
      <c r="AO44" s="6">
        <f>IF(OR(原始資料!$A44="",40&gt;設定!$B$3,原始資料!AQ44=""),"",IF(AND(原始資料!AP44&lt;&gt;"",原始資料!AQ44=原始資料!AP44),N(AN44)+1,1))</f>
        <v/>
      </c>
      <c r="AP44" s="6">
        <f>IF(OR(原始資料!$A44="",41&gt;設定!$B$3,原始資料!AR44=""),"",IF(AND(原始資料!AQ44&lt;&gt;"",原始資料!AR44=原始資料!AQ44),N(AO44)+1,1))</f>
        <v/>
      </c>
      <c r="AQ44" s="6">
        <f>IF(OR(原始資料!$A44="",42&gt;設定!$B$3,原始資料!AS44=""),"",IF(AND(原始資料!AR44&lt;&gt;"",原始資料!AS44=原始資料!AR44),N(AP44)+1,1))</f>
        <v/>
      </c>
      <c r="AR44" s="6">
        <f>IF(OR(原始資料!$A44="",43&gt;設定!$B$3,原始資料!AT44=""),"",IF(AND(原始資料!AS44&lt;&gt;"",原始資料!AT44=原始資料!AS44),N(AQ44)+1,1))</f>
        <v/>
      </c>
      <c r="AS44" s="6">
        <f>IF(OR(原始資料!$A44="",44&gt;設定!$B$3,原始資料!AU44=""),"",IF(AND(原始資料!AT44&lt;&gt;"",原始資料!AU44=原始資料!AT44),N(AR44)+1,1))</f>
        <v/>
      </c>
      <c r="AT44" s="6">
        <f>IF(OR(原始資料!$A44="",45&gt;設定!$B$3,原始資料!AV44=""),"",IF(AND(原始資料!AU44&lt;&gt;"",原始資料!AV44=原始資料!AU44),N(AS44)+1,1))</f>
        <v/>
      </c>
      <c r="AU44" s="6">
        <f>IF(OR(原始資料!$A44="",46&gt;設定!$B$3,原始資料!AW44=""),"",IF(AND(原始資料!AV44&lt;&gt;"",原始資料!AW44=原始資料!AV44),N(AT44)+1,1))</f>
        <v/>
      </c>
      <c r="AV44" s="6">
        <f>IF(OR(原始資料!$A44="",47&gt;設定!$B$3,原始資料!AX44=""),"",IF(AND(原始資料!AW44&lt;&gt;"",原始資料!AX44=原始資料!AW44),N(AU44)+1,1))</f>
        <v/>
      </c>
      <c r="AW44" s="6">
        <f>IF(OR(原始資料!$A44="",48&gt;設定!$B$3,原始資料!AY44=""),"",IF(AND(原始資料!AX44&lt;&gt;"",原始資料!AY44=原始資料!AX44),N(AV44)+1,1))</f>
        <v/>
      </c>
      <c r="AX44" s="6">
        <f>IF(OR(原始資料!$A44="",49&gt;設定!$B$3,原始資料!AZ44=""),"",IF(AND(原始資料!AY44&lt;&gt;"",原始資料!AZ44=原始資料!AY44),N(AW44)+1,1))</f>
        <v/>
      </c>
      <c r="AY44" s="6">
        <f>IF(OR(原始資料!$A44="",50&gt;設定!$B$3,原始資料!BA44=""),"",IF(AND(原始資料!AZ44&lt;&gt;"",原始資料!BA44=原始資料!AZ44),N(AX44)+1,1))</f>
        <v/>
      </c>
      <c r="AZ44" s="6">
        <f>IF(OR(原始資料!$A44="",51&gt;設定!$B$3,原始資料!BB44=""),"",IF(AND(原始資料!BA44&lt;&gt;"",原始資料!BB44=原始資料!BA44),N(AY44)+1,1))</f>
        <v/>
      </c>
      <c r="BA44" s="6">
        <f>IF(OR(原始資料!$A44="",52&gt;設定!$B$3,原始資料!BC44=""),"",IF(AND(原始資料!BB44&lt;&gt;"",原始資料!BC44=原始資料!BB44),N(AZ44)+1,1))</f>
        <v/>
      </c>
      <c r="BB44" s="6">
        <f>IF(OR(原始資料!$A44="",53&gt;設定!$B$3,原始資料!BD44=""),"",IF(AND(原始資料!BC44&lt;&gt;"",原始資料!BD44=原始資料!BC44),N(BA44)+1,1))</f>
        <v/>
      </c>
      <c r="BC44" s="6">
        <f>IF(OR(原始資料!$A44="",54&gt;設定!$B$3,原始資料!BE44=""),"",IF(AND(原始資料!BD44&lt;&gt;"",原始資料!BE44=原始資料!BD44),N(BB44)+1,1))</f>
        <v/>
      </c>
      <c r="BD44" s="6">
        <f>IF(OR(原始資料!$A44="",55&gt;設定!$B$3,原始資料!BF44=""),"",IF(AND(原始資料!BE44&lt;&gt;"",原始資料!BF44=原始資料!BE44),N(BC44)+1,1))</f>
        <v/>
      </c>
      <c r="BE44" s="6">
        <f>IF(OR(原始資料!$A44="",56&gt;設定!$B$3,原始資料!BG44=""),"",IF(AND(原始資料!BF44&lt;&gt;"",原始資料!BG44=原始資料!BF44),N(BD44)+1,1))</f>
        <v/>
      </c>
      <c r="BF44" s="6">
        <f>IF(OR(原始資料!$A44="",57&gt;設定!$B$3,原始資料!BH44=""),"",IF(AND(原始資料!BG44&lt;&gt;"",原始資料!BH44=原始資料!BG44),N(BE44)+1,1))</f>
        <v/>
      </c>
      <c r="BG44" s="6">
        <f>IF(OR(原始資料!$A44="",58&gt;設定!$B$3,原始資料!BI44=""),"",IF(AND(原始資料!BH44&lt;&gt;"",原始資料!BI44=原始資料!BH44),N(BF44)+1,1))</f>
        <v/>
      </c>
      <c r="BH44" s="6">
        <f>IF(OR(原始資料!$A44="",59&gt;設定!$B$3,原始資料!BJ44=""),"",IF(AND(原始資料!BI44&lt;&gt;"",原始資料!BJ44=原始資料!BI44),N(BG44)+1,1))</f>
        <v/>
      </c>
      <c r="BI44" s="6">
        <f>IF(OR(原始資料!$A44="",60&gt;設定!$B$3,原始資料!BK44=""),"",IF(AND(原始資料!BJ44&lt;&gt;"",原始資料!BK44=原始資料!BJ44),N(BH44)+1,1))</f>
        <v/>
      </c>
    </row>
    <row r="45">
      <c r="A45" s="6">
        <f>IF(原始資料!$A45="","",原始資料!$A45)</f>
        <v/>
      </c>
      <c r="B45" s="6">
        <f>IF(OR(原始資料!$A45="",1&gt;設定!$B$3,原始資料!D45=""),"",1)</f>
        <v/>
      </c>
      <c r="C45" s="6">
        <f>IF(OR(原始資料!$A45="",2&gt;設定!$B$3,原始資料!E45=""),"",IF(AND(原始資料!D45&lt;&gt;"",原始資料!E45=原始資料!D45),N(B45)+1,1))</f>
        <v/>
      </c>
      <c r="D45" s="6">
        <f>IF(OR(原始資料!$A45="",3&gt;設定!$B$3,原始資料!F45=""),"",IF(AND(原始資料!E45&lt;&gt;"",原始資料!F45=原始資料!E45),N(C45)+1,1))</f>
        <v/>
      </c>
      <c r="E45" s="6">
        <f>IF(OR(原始資料!$A45="",4&gt;設定!$B$3,原始資料!G45=""),"",IF(AND(原始資料!F45&lt;&gt;"",原始資料!G45=原始資料!F45),N(D45)+1,1))</f>
        <v/>
      </c>
      <c r="F45" s="6">
        <f>IF(OR(原始資料!$A45="",5&gt;設定!$B$3,原始資料!H45=""),"",IF(AND(原始資料!G45&lt;&gt;"",原始資料!H45=原始資料!G45),N(E45)+1,1))</f>
        <v/>
      </c>
      <c r="G45" s="6">
        <f>IF(OR(原始資料!$A45="",6&gt;設定!$B$3,原始資料!I45=""),"",IF(AND(原始資料!H45&lt;&gt;"",原始資料!I45=原始資料!H45),N(F45)+1,1))</f>
        <v/>
      </c>
      <c r="H45" s="6">
        <f>IF(OR(原始資料!$A45="",7&gt;設定!$B$3,原始資料!J45=""),"",IF(AND(原始資料!I45&lt;&gt;"",原始資料!J45=原始資料!I45),N(G45)+1,1))</f>
        <v/>
      </c>
      <c r="I45" s="6">
        <f>IF(OR(原始資料!$A45="",8&gt;設定!$B$3,原始資料!K45=""),"",IF(AND(原始資料!J45&lt;&gt;"",原始資料!K45=原始資料!J45),N(H45)+1,1))</f>
        <v/>
      </c>
      <c r="J45" s="6">
        <f>IF(OR(原始資料!$A45="",9&gt;設定!$B$3,原始資料!L45=""),"",IF(AND(原始資料!K45&lt;&gt;"",原始資料!L45=原始資料!K45),N(I45)+1,1))</f>
        <v/>
      </c>
      <c r="K45" s="6">
        <f>IF(OR(原始資料!$A45="",10&gt;設定!$B$3,原始資料!M45=""),"",IF(AND(原始資料!L45&lt;&gt;"",原始資料!M45=原始資料!L45),N(J45)+1,1))</f>
        <v/>
      </c>
      <c r="L45" s="6">
        <f>IF(OR(原始資料!$A45="",11&gt;設定!$B$3,原始資料!N45=""),"",IF(AND(原始資料!M45&lt;&gt;"",原始資料!N45=原始資料!M45),N(K45)+1,1))</f>
        <v/>
      </c>
      <c r="M45" s="6">
        <f>IF(OR(原始資料!$A45="",12&gt;設定!$B$3,原始資料!O45=""),"",IF(AND(原始資料!N45&lt;&gt;"",原始資料!O45=原始資料!N45),N(L45)+1,1))</f>
        <v/>
      </c>
      <c r="N45" s="6">
        <f>IF(OR(原始資料!$A45="",13&gt;設定!$B$3,原始資料!P45=""),"",IF(AND(原始資料!O45&lt;&gt;"",原始資料!P45=原始資料!O45),N(M45)+1,1))</f>
        <v/>
      </c>
      <c r="O45" s="6">
        <f>IF(OR(原始資料!$A45="",14&gt;設定!$B$3,原始資料!Q45=""),"",IF(AND(原始資料!P45&lt;&gt;"",原始資料!Q45=原始資料!P45),N(N45)+1,1))</f>
        <v/>
      </c>
      <c r="P45" s="6">
        <f>IF(OR(原始資料!$A45="",15&gt;設定!$B$3,原始資料!R45=""),"",IF(AND(原始資料!Q45&lt;&gt;"",原始資料!R45=原始資料!Q45),N(O45)+1,1))</f>
        <v/>
      </c>
      <c r="Q45" s="6">
        <f>IF(OR(原始資料!$A45="",16&gt;設定!$B$3,原始資料!S45=""),"",IF(AND(原始資料!R45&lt;&gt;"",原始資料!S45=原始資料!R45),N(P45)+1,1))</f>
        <v/>
      </c>
      <c r="R45" s="6">
        <f>IF(OR(原始資料!$A45="",17&gt;設定!$B$3,原始資料!T45=""),"",IF(AND(原始資料!S45&lt;&gt;"",原始資料!T45=原始資料!S45),N(Q45)+1,1))</f>
        <v/>
      </c>
      <c r="S45" s="6">
        <f>IF(OR(原始資料!$A45="",18&gt;設定!$B$3,原始資料!U45=""),"",IF(AND(原始資料!T45&lt;&gt;"",原始資料!U45=原始資料!T45),N(R45)+1,1))</f>
        <v/>
      </c>
      <c r="T45" s="6">
        <f>IF(OR(原始資料!$A45="",19&gt;設定!$B$3,原始資料!V45=""),"",IF(AND(原始資料!U45&lt;&gt;"",原始資料!V45=原始資料!U45),N(S45)+1,1))</f>
        <v/>
      </c>
      <c r="U45" s="6">
        <f>IF(OR(原始資料!$A45="",20&gt;設定!$B$3,原始資料!W45=""),"",IF(AND(原始資料!V45&lt;&gt;"",原始資料!W45=原始資料!V45),N(T45)+1,1))</f>
        <v/>
      </c>
      <c r="V45" s="6">
        <f>IF(OR(原始資料!$A45="",21&gt;設定!$B$3,原始資料!X45=""),"",IF(AND(原始資料!W45&lt;&gt;"",原始資料!X45=原始資料!W45),N(U45)+1,1))</f>
        <v/>
      </c>
      <c r="W45" s="6">
        <f>IF(OR(原始資料!$A45="",22&gt;設定!$B$3,原始資料!Y45=""),"",IF(AND(原始資料!X45&lt;&gt;"",原始資料!Y45=原始資料!X45),N(V45)+1,1))</f>
        <v/>
      </c>
      <c r="X45" s="6">
        <f>IF(OR(原始資料!$A45="",23&gt;設定!$B$3,原始資料!Z45=""),"",IF(AND(原始資料!Y45&lt;&gt;"",原始資料!Z45=原始資料!Y45),N(W45)+1,1))</f>
        <v/>
      </c>
      <c r="Y45" s="6">
        <f>IF(OR(原始資料!$A45="",24&gt;設定!$B$3,原始資料!AA45=""),"",IF(AND(原始資料!Z45&lt;&gt;"",原始資料!AA45=原始資料!Z45),N(X45)+1,1))</f>
        <v/>
      </c>
      <c r="Z45" s="6">
        <f>IF(OR(原始資料!$A45="",25&gt;設定!$B$3,原始資料!AB45=""),"",IF(AND(原始資料!AA45&lt;&gt;"",原始資料!AB45=原始資料!AA45),N(Y45)+1,1))</f>
        <v/>
      </c>
      <c r="AA45" s="6">
        <f>IF(OR(原始資料!$A45="",26&gt;設定!$B$3,原始資料!AC45=""),"",IF(AND(原始資料!AB45&lt;&gt;"",原始資料!AC45=原始資料!AB45),N(Z45)+1,1))</f>
        <v/>
      </c>
      <c r="AB45" s="6">
        <f>IF(OR(原始資料!$A45="",27&gt;設定!$B$3,原始資料!AD45=""),"",IF(AND(原始資料!AC45&lt;&gt;"",原始資料!AD45=原始資料!AC45),N(AA45)+1,1))</f>
        <v/>
      </c>
      <c r="AC45" s="6">
        <f>IF(OR(原始資料!$A45="",28&gt;設定!$B$3,原始資料!AE45=""),"",IF(AND(原始資料!AD45&lt;&gt;"",原始資料!AE45=原始資料!AD45),N(AB45)+1,1))</f>
        <v/>
      </c>
      <c r="AD45" s="6">
        <f>IF(OR(原始資料!$A45="",29&gt;設定!$B$3,原始資料!AF45=""),"",IF(AND(原始資料!AE45&lt;&gt;"",原始資料!AF45=原始資料!AE45),N(AC45)+1,1))</f>
        <v/>
      </c>
      <c r="AE45" s="6">
        <f>IF(OR(原始資料!$A45="",30&gt;設定!$B$3,原始資料!AG45=""),"",IF(AND(原始資料!AF45&lt;&gt;"",原始資料!AG45=原始資料!AF45),N(AD45)+1,1))</f>
        <v/>
      </c>
      <c r="AF45" s="6">
        <f>IF(OR(原始資料!$A45="",31&gt;設定!$B$3,原始資料!AH45=""),"",IF(AND(原始資料!AG45&lt;&gt;"",原始資料!AH45=原始資料!AG45),N(AE45)+1,1))</f>
        <v/>
      </c>
      <c r="AG45" s="6">
        <f>IF(OR(原始資料!$A45="",32&gt;設定!$B$3,原始資料!AI45=""),"",IF(AND(原始資料!AH45&lt;&gt;"",原始資料!AI45=原始資料!AH45),N(AF45)+1,1))</f>
        <v/>
      </c>
      <c r="AH45" s="6">
        <f>IF(OR(原始資料!$A45="",33&gt;設定!$B$3,原始資料!AJ45=""),"",IF(AND(原始資料!AI45&lt;&gt;"",原始資料!AJ45=原始資料!AI45),N(AG45)+1,1))</f>
        <v/>
      </c>
      <c r="AI45" s="6">
        <f>IF(OR(原始資料!$A45="",34&gt;設定!$B$3,原始資料!AK45=""),"",IF(AND(原始資料!AJ45&lt;&gt;"",原始資料!AK45=原始資料!AJ45),N(AH45)+1,1))</f>
        <v/>
      </c>
      <c r="AJ45" s="6">
        <f>IF(OR(原始資料!$A45="",35&gt;設定!$B$3,原始資料!AL45=""),"",IF(AND(原始資料!AK45&lt;&gt;"",原始資料!AL45=原始資料!AK45),N(AI45)+1,1))</f>
        <v/>
      </c>
      <c r="AK45" s="6">
        <f>IF(OR(原始資料!$A45="",36&gt;設定!$B$3,原始資料!AM45=""),"",IF(AND(原始資料!AL45&lt;&gt;"",原始資料!AM45=原始資料!AL45),N(AJ45)+1,1))</f>
        <v/>
      </c>
      <c r="AL45" s="6">
        <f>IF(OR(原始資料!$A45="",37&gt;設定!$B$3,原始資料!AN45=""),"",IF(AND(原始資料!AM45&lt;&gt;"",原始資料!AN45=原始資料!AM45),N(AK45)+1,1))</f>
        <v/>
      </c>
      <c r="AM45" s="6">
        <f>IF(OR(原始資料!$A45="",38&gt;設定!$B$3,原始資料!AO45=""),"",IF(AND(原始資料!AN45&lt;&gt;"",原始資料!AO45=原始資料!AN45),N(AL45)+1,1))</f>
        <v/>
      </c>
      <c r="AN45" s="6">
        <f>IF(OR(原始資料!$A45="",39&gt;設定!$B$3,原始資料!AP45=""),"",IF(AND(原始資料!AO45&lt;&gt;"",原始資料!AP45=原始資料!AO45),N(AM45)+1,1))</f>
        <v/>
      </c>
      <c r="AO45" s="6">
        <f>IF(OR(原始資料!$A45="",40&gt;設定!$B$3,原始資料!AQ45=""),"",IF(AND(原始資料!AP45&lt;&gt;"",原始資料!AQ45=原始資料!AP45),N(AN45)+1,1))</f>
        <v/>
      </c>
      <c r="AP45" s="6">
        <f>IF(OR(原始資料!$A45="",41&gt;設定!$B$3,原始資料!AR45=""),"",IF(AND(原始資料!AQ45&lt;&gt;"",原始資料!AR45=原始資料!AQ45),N(AO45)+1,1))</f>
        <v/>
      </c>
      <c r="AQ45" s="6">
        <f>IF(OR(原始資料!$A45="",42&gt;設定!$B$3,原始資料!AS45=""),"",IF(AND(原始資料!AR45&lt;&gt;"",原始資料!AS45=原始資料!AR45),N(AP45)+1,1))</f>
        <v/>
      </c>
      <c r="AR45" s="6">
        <f>IF(OR(原始資料!$A45="",43&gt;設定!$B$3,原始資料!AT45=""),"",IF(AND(原始資料!AS45&lt;&gt;"",原始資料!AT45=原始資料!AS45),N(AQ45)+1,1))</f>
        <v/>
      </c>
      <c r="AS45" s="6">
        <f>IF(OR(原始資料!$A45="",44&gt;設定!$B$3,原始資料!AU45=""),"",IF(AND(原始資料!AT45&lt;&gt;"",原始資料!AU45=原始資料!AT45),N(AR45)+1,1))</f>
        <v/>
      </c>
      <c r="AT45" s="6">
        <f>IF(OR(原始資料!$A45="",45&gt;設定!$B$3,原始資料!AV45=""),"",IF(AND(原始資料!AU45&lt;&gt;"",原始資料!AV45=原始資料!AU45),N(AS45)+1,1))</f>
        <v/>
      </c>
      <c r="AU45" s="6">
        <f>IF(OR(原始資料!$A45="",46&gt;設定!$B$3,原始資料!AW45=""),"",IF(AND(原始資料!AV45&lt;&gt;"",原始資料!AW45=原始資料!AV45),N(AT45)+1,1))</f>
        <v/>
      </c>
      <c r="AV45" s="6">
        <f>IF(OR(原始資料!$A45="",47&gt;設定!$B$3,原始資料!AX45=""),"",IF(AND(原始資料!AW45&lt;&gt;"",原始資料!AX45=原始資料!AW45),N(AU45)+1,1))</f>
        <v/>
      </c>
      <c r="AW45" s="6">
        <f>IF(OR(原始資料!$A45="",48&gt;設定!$B$3,原始資料!AY45=""),"",IF(AND(原始資料!AX45&lt;&gt;"",原始資料!AY45=原始資料!AX45),N(AV45)+1,1))</f>
        <v/>
      </c>
      <c r="AX45" s="6">
        <f>IF(OR(原始資料!$A45="",49&gt;設定!$B$3,原始資料!AZ45=""),"",IF(AND(原始資料!AY45&lt;&gt;"",原始資料!AZ45=原始資料!AY45),N(AW45)+1,1))</f>
        <v/>
      </c>
      <c r="AY45" s="6">
        <f>IF(OR(原始資料!$A45="",50&gt;設定!$B$3,原始資料!BA45=""),"",IF(AND(原始資料!AZ45&lt;&gt;"",原始資料!BA45=原始資料!AZ45),N(AX45)+1,1))</f>
        <v/>
      </c>
      <c r="AZ45" s="6">
        <f>IF(OR(原始資料!$A45="",51&gt;設定!$B$3,原始資料!BB45=""),"",IF(AND(原始資料!BA45&lt;&gt;"",原始資料!BB45=原始資料!BA45),N(AY45)+1,1))</f>
        <v/>
      </c>
      <c r="BA45" s="6">
        <f>IF(OR(原始資料!$A45="",52&gt;設定!$B$3,原始資料!BC45=""),"",IF(AND(原始資料!BB45&lt;&gt;"",原始資料!BC45=原始資料!BB45),N(AZ45)+1,1))</f>
        <v/>
      </c>
      <c r="BB45" s="6">
        <f>IF(OR(原始資料!$A45="",53&gt;設定!$B$3,原始資料!BD45=""),"",IF(AND(原始資料!BC45&lt;&gt;"",原始資料!BD45=原始資料!BC45),N(BA45)+1,1))</f>
        <v/>
      </c>
      <c r="BC45" s="6">
        <f>IF(OR(原始資料!$A45="",54&gt;設定!$B$3,原始資料!BE45=""),"",IF(AND(原始資料!BD45&lt;&gt;"",原始資料!BE45=原始資料!BD45),N(BB45)+1,1))</f>
        <v/>
      </c>
      <c r="BD45" s="6">
        <f>IF(OR(原始資料!$A45="",55&gt;設定!$B$3,原始資料!BF45=""),"",IF(AND(原始資料!BE45&lt;&gt;"",原始資料!BF45=原始資料!BE45),N(BC45)+1,1))</f>
        <v/>
      </c>
      <c r="BE45" s="6">
        <f>IF(OR(原始資料!$A45="",56&gt;設定!$B$3,原始資料!BG45=""),"",IF(AND(原始資料!BF45&lt;&gt;"",原始資料!BG45=原始資料!BF45),N(BD45)+1,1))</f>
        <v/>
      </c>
      <c r="BF45" s="6">
        <f>IF(OR(原始資料!$A45="",57&gt;設定!$B$3,原始資料!BH45=""),"",IF(AND(原始資料!BG45&lt;&gt;"",原始資料!BH45=原始資料!BG45),N(BE45)+1,1))</f>
        <v/>
      </c>
      <c r="BG45" s="6">
        <f>IF(OR(原始資料!$A45="",58&gt;設定!$B$3,原始資料!BI45=""),"",IF(AND(原始資料!BH45&lt;&gt;"",原始資料!BI45=原始資料!BH45),N(BF45)+1,1))</f>
        <v/>
      </c>
      <c r="BH45" s="6">
        <f>IF(OR(原始資料!$A45="",59&gt;設定!$B$3,原始資料!BJ45=""),"",IF(AND(原始資料!BI45&lt;&gt;"",原始資料!BJ45=原始資料!BI45),N(BG45)+1,1))</f>
        <v/>
      </c>
      <c r="BI45" s="6">
        <f>IF(OR(原始資料!$A45="",60&gt;設定!$B$3,原始資料!BK45=""),"",IF(AND(原始資料!BJ45&lt;&gt;"",原始資料!BK45=原始資料!BJ45),N(BH45)+1,1))</f>
        <v/>
      </c>
    </row>
    <row r="46">
      <c r="A46" s="6">
        <f>IF(原始資料!$A46="","",原始資料!$A46)</f>
        <v/>
      </c>
      <c r="B46" s="6">
        <f>IF(OR(原始資料!$A46="",1&gt;設定!$B$3,原始資料!D46=""),"",1)</f>
        <v/>
      </c>
      <c r="C46" s="6">
        <f>IF(OR(原始資料!$A46="",2&gt;設定!$B$3,原始資料!E46=""),"",IF(AND(原始資料!D46&lt;&gt;"",原始資料!E46=原始資料!D46),N(B46)+1,1))</f>
        <v/>
      </c>
      <c r="D46" s="6">
        <f>IF(OR(原始資料!$A46="",3&gt;設定!$B$3,原始資料!F46=""),"",IF(AND(原始資料!E46&lt;&gt;"",原始資料!F46=原始資料!E46),N(C46)+1,1))</f>
        <v/>
      </c>
      <c r="E46" s="6">
        <f>IF(OR(原始資料!$A46="",4&gt;設定!$B$3,原始資料!G46=""),"",IF(AND(原始資料!F46&lt;&gt;"",原始資料!G46=原始資料!F46),N(D46)+1,1))</f>
        <v/>
      </c>
      <c r="F46" s="6">
        <f>IF(OR(原始資料!$A46="",5&gt;設定!$B$3,原始資料!H46=""),"",IF(AND(原始資料!G46&lt;&gt;"",原始資料!H46=原始資料!G46),N(E46)+1,1))</f>
        <v/>
      </c>
      <c r="G46" s="6">
        <f>IF(OR(原始資料!$A46="",6&gt;設定!$B$3,原始資料!I46=""),"",IF(AND(原始資料!H46&lt;&gt;"",原始資料!I46=原始資料!H46),N(F46)+1,1))</f>
        <v/>
      </c>
      <c r="H46" s="6">
        <f>IF(OR(原始資料!$A46="",7&gt;設定!$B$3,原始資料!J46=""),"",IF(AND(原始資料!I46&lt;&gt;"",原始資料!J46=原始資料!I46),N(G46)+1,1))</f>
        <v/>
      </c>
      <c r="I46" s="6">
        <f>IF(OR(原始資料!$A46="",8&gt;設定!$B$3,原始資料!K46=""),"",IF(AND(原始資料!J46&lt;&gt;"",原始資料!K46=原始資料!J46),N(H46)+1,1))</f>
        <v/>
      </c>
      <c r="J46" s="6">
        <f>IF(OR(原始資料!$A46="",9&gt;設定!$B$3,原始資料!L46=""),"",IF(AND(原始資料!K46&lt;&gt;"",原始資料!L46=原始資料!K46),N(I46)+1,1))</f>
        <v/>
      </c>
      <c r="K46" s="6">
        <f>IF(OR(原始資料!$A46="",10&gt;設定!$B$3,原始資料!M46=""),"",IF(AND(原始資料!L46&lt;&gt;"",原始資料!M46=原始資料!L46),N(J46)+1,1))</f>
        <v/>
      </c>
      <c r="L46" s="6">
        <f>IF(OR(原始資料!$A46="",11&gt;設定!$B$3,原始資料!N46=""),"",IF(AND(原始資料!M46&lt;&gt;"",原始資料!N46=原始資料!M46),N(K46)+1,1))</f>
        <v/>
      </c>
      <c r="M46" s="6">
        <f>IF(OR(原始資料!$A46="",12&gt;設定!$B$3,原始資料!O46=""),"",IF(AND(原始資料!N46&lt;&gt;"",原始資料!O46=原始資料!N46),N(L46)+1,1))</f>
        <v/>
      </c>
      <c r="N46" s="6">
        <f>IF(OR(原始資料!$A46="",13&gt;設定!$B$3,原始資料!P46=""),"",IF(AND(原始資料!O46&lt;&gt;"",原始資料!P46=原始資料!O46),N(M46)+1,1))</f>
        <v/>
      </c>
      <c r="O46" s="6">
        <f>IF(OR(原始資料!$A46="",14&gt;設定!$B$3,原始資料!Q46=""),"",IF(AND(原始資料!P46&lt;&gt;"",原始資料!Q46=原始資料!P46),N(N46)+1,1))</f>
        <v/>
      </c>
      <c r="P46" s="6">
        <f>IF(OR(原始資料!$A46="",15&gt;設定!$B$3,原始資料!R46=""),"",IF(AND(原始資料!Q46&lt;&gt;"",原始資料!R46=原始資料!Q46),N(O46)+1,1))</f>
        <v/>
      </c>
      <c r="Q46" s="6">
        <f>IF(OR(原始資料!$A46="",16&gt;設定!$B$3,原始資料!S46=""),"",IF(AND(原始資料!R46&lt;&gt;"",原始資料!S46=原始資料!R46),N(P46)+1,1))</f>
        <v/>
      </c>
      <c r="R46" s="6">
        <f>IF(OR(原始資料!$A46="",17&gt;設定!$B$3,原始資料!T46=""),"",IF(AND(原始資料!S46&lt;&gt;"",原始資料!T46=原始資料!S46),N(Q46)+1,1))</f>
        <v/>
      </c>
      <c r="S46" s="6">
        <f>IF(OR(原始資料!$A46="",18&gt;設定!$B$3,原始資料!U46=""),"",IF(AND(原始資料!T46&lt;&gt;"",原始資料!U46=原始資料!T46),N(R46)+1,1))</f>
        <v/>
      </c>
      <c r="T46" s="6">
        <f>IF(OR(原始資料!$A46="",19&gt;設定!$B$3,原始資料!V46=""),"",IF(AND(原始資料!U46&lt;&gt;"",原始資料!V46=原始資料!U46),N(S46)+1,1))</f>
        <v/>
      </c>
      <c r="U46" s="6">
        <f>IF(OR(原始資料!$A46="",20&gt;設定!$B$3,原始資料!W46=""),"",IF(AND(原始資料!V46&lt;&gt;"",原始資料!W46=原始資料!V46),N(T46)+1,1))</f>
        <v/>
      </c>
      <c r="V46" s="6">
        <f>IF(OR(原始資料!$A46="",21&gt;設定!$B$3,原始資料!X46=""),"",IF(AND(原始資料!W46&lt;&gt;"",原始資料!X46=原始資料!W46),N(U46)+1,1))</f>
        <v/>
      </c>
      <c r="W46" s="6">
        <f>IF(OR(原始資料!$A46="",22&gt;設定!$B$3,原始資料!Y46=""),"",IF(AND(原始資料!X46&lt;&gt;"",原始資料!Y46=原始資料!X46),N(V46)+1,1))</f>
        <v/>
      </c>
      <c r="X46" s="6">
        <f>IF(OR(原始資料!$A46="",23&gt;設定!$B$3,原始資料!Z46=""),"",IF(AND(原始資料!Y46&lt;&gt;"",原始資料!Z46=原始資料!Y46),N(W46)+1,1))</f>
        <v/>
      </c>
      <c r="Y46" s="6">
        <f>IF(OR(原始資料!$A46="",24&gt;設定!$B$3,原始資料!AA46=""),"",IF(AND(原始資料!Z46&lt;&gt;"",原始資料!AA46=原始資料!Z46),N(X46)+1,1))</f>
        <v/>
      </c>
      <c r="Z46" s="6">
        <f>IF(OR(原始資料!$A46="",25&gt;設定!$B$3,原始資料!AB46=""),"",IF(AND(原始資料!AA46&lt;&gt;"",原始資料!AB46=原始資料!AA46),N(Y46)+1,1))</f>
        <v/>
      </c>
      <c r="AA46" s="6">
        <f>IF(OR(原始資料!$A46="",26&gt;設定!$B$3,原始資料!AC46=""),"",IF(AND(原始資料!AB46&lt;&gt;"",原始資料!AC46=原始資料!AB46),N(Z46)+1,1))</f>
        <v/>
      </c>
      <c r="AB46" s="6">
        <f>IF(OR(原始資料!$A46="",27&gt;設定!$B$3,原始資料!AD46=""),"",IF(AND(原始資料!AC46&lt;&gt;"",原始資料!AD46=原始資料!AC46),N(AA46)+1,1))</f>
        <v/>
      </c>
      <c r="AC46" s="6">
        <f>IF(OR(原始資料!$A46="",28&gt;設定!$B$3,原始資料!AE46=""),"",IF(AND(原始資料!AD46&lt;&gt;"",原始資料!AE46=原始資料!AD46),N(AB46)+1,1))</f>
        <v/>
      </c>
      <c r="AD46" s="6">
        <f>IF(OR(原始資料!$A46="",29&gt;設定!$B$3,原始資料!AF46=""),"",IF(AND(原始資料!AE46&lt;&gt;"",原始資料!AF46=原始資料!AE46),N(AC46)+1,1))</f>
        <v/>
      </c>
      <c r="AE46" s="6">
        <f>IF(OR(原始資料!$A46="",30&gt;設定!$B$3,原始資料!AG46=""),"",IF(AND(原始資料!AF46&lt;&gt;"",原始資料!AG46=原始資料!AF46),N(AD46)+1,1))</f>
        <v/>
      </c>
      <c r="AF46" s="6">
        <f>IF(OR(原始資料!$A46="",31&gt;設定!$B$3,原始資料!AH46=""),"",IF(AND(原始資料!AG46&lt;&gt;"",原始資料!AH46=原始資料!AG46),N(AE46)+1,1))</f>
        <v/>
      </c>
      <c r="AG46" s="6">
        <f>IF(OR(原始資料!$A46="",32&gt;設定!$B$3,原始資料!AI46=""),"",IF(AND(原始資料!AH46&lt;&gt;"",原始資料!AI46=原始資料!AH46),N(AF46)+1,1))</f>
        <v/>
      </c>
      <c r="AH46" s="6">
        <f>IF(OR(原始資料!$A46="",33&gt;設定!$B$3,原始資料!AJ46=""),"",IF(AND(原始資料!AI46&lt;&gt;"",原始資料!AJ46=原始資料!AI46),N(AG46)+1,1))</f>
        <v/>
      </c>
      <c r="AI46" s="6">
        <f>IF(OR(原始資料!$A46="",34&gt;設定!$B$3,原始資料!AK46=""),"",IF(AND(原始資料!AJ46&lt;&gt;"",原始資料!AK46=原始資料!AJ46),N(AH46)+1,1))</f>
        <v/>
      </c>
      <c r="AJ46" s="6">
        <f>IF(OR(原始資料!$A46="",35&gt;設定!$B$3,原始資料!AL46=""),"",IF(AND(原始資料!AK46&lt;&gt;"",原始資料!AL46=原始資料!AK46),N(AI46)+1,1))</f>
        <v/>
      </c>
      <c r="AK46" s="6">
        <f>IF(OR(原始資料!$A46="",36&gt;設定!$B$3,原始資料!AM46=""),"",IF(AND(原始資料!AL46&lt;&gt;"",原始資料!AM46=原始資料!AL46),N(AJ46)+1,1))</f>
        <v/>
      </c>
      <c r="AL46" s="6">
        <f>IF(OR(原始資料!$A46="",37&gt;設定!$B$3,原始資料!AN46=""),"",IF(AND(原始資料!AM46&lt;&gt;"",原始資料!AN46=原始資料!AM46),N(AK46)+1,1))</f>
        <v/>
      </c>
      <c r="AM46" s="6">
        <f>IF(OR(原始資料!$A46="",38&gt;設定!$B$3,原始資料!AO46=""),"",IF(AND(原始資料!AN46&lt;&gt;"",原始資料!AO46=原始資料!AN46),N(AL46)+1,1))</f>
        <v/>
      </c>
      <c r="AN46" s="6">
        <f>IF(OR(原始資料!$A46="",39&gt;設定!$B$3,原始資料!AP46=""),"",IF(AND(原始資料!AO46&lt;&gt;"",原始資料!AP46=原始資料!AO46),N(AM46)+1,1))</f>
        <v/>
      </c>
      <c r="AO46" s="6">
        <f>IF(OR(原始資料!$A46="",40&gt;設定!$B$3,原始資料!AQ46=""),"",IF(AND(原始資料!AP46&lt;&gt;"",原始資料!AQ46=原始資料!AP46),N(AN46)+1,1))</f>
        <v/>
      </c>
      <c r="AP46" s="6">
        <f>IF(OR(原始資料!$A46="",41&gt;設定!$B$3,原始資料!AR46=""),"",IF(AND(原始資料!AQ46&lt;&gt;"",原始資料!AR46=原始資料!AQ46),N(AO46)+1,1))</f>
        <v/>
      </c>
      <c r="AQ46" s="6">
        <f>IF(OR(原始資料!$A46="",42&gt;設定!$B$3,原始資料!AS46=""),"",IF(AND(原始資料!AR46&lt;&gt;"",原始資料!AS46=原始資料!AR46),N(AP46)+1,1))</f>
        <v/>
      </c>
      <c r="AR46" s="6">
        <f>IF(OR(原始資料!$A46="",43&gt;設定!$B$3,原始資料!AT46=""),"",IF(AND(原始資料!AS46&lt;&gt;"",原始資料!AT46=原始資料!AS46),N(AQ46)+1,1))</f>
        <v/>
      </c>
      <c r="AS46" s="6">
        <f>IF(OR(原始資料!$A46="",44&gt;設定!$B$3,原始資料!AU46=""),"",IF(AND(原始資料!AT46&lt;&gt;"",原始資料!AU46=原始資料!AT46),N(AR46)+1,1))</f>
        <v/>
      </c>
      <c r="AT46" s="6">
        <f>IF(OR(原始資料!$A46="",45&gt;設定!$B$3,原始資料!AV46=""),"",IF(AND(原始資料!AU46&lt;&gt;"",原始資料!AV46=原始資料!AU46),N(AS46)+1,1))</f>
        <v/>
      </c>
      <c r="AU46" s="6">
        <f>IF(OR(原始資料!$A46="",46&gt;設定!$B$3,原始資料!AW46=""),"",IF(AND(原始資料!AV46&lt;&gt;"",原始資料!AW46=原始資料!AV46),N(AT46)+1,1))</f>
        <v/>
      </c>
      <c r="AV46" s="6">
        <f>IF(OR(原始資料!$A46="",47&gt;設定!$B$3,原始資料!AX46=""),"",IF(AND(原始資料!AW46&lt;&gt;"",原始資料!AX46=原始資料!AW46),N(AU46)+1,1))</f>
        <v/>
      </c>
      <c r="AW46" s="6">
        <f>IF(OR(原始資料!$A46="",48&gt;設定!$B$3,原始資料!AY46=""),"",IF(AND(原始資料!AX46&lt;&gt;"",原始資料!AY46=原始資料!AX46),N(AV46)+1,1))</f>
        <v/>
      </c>
      <c r="AX46" s="6">
        <f>IF(OR(原始資料!$A46="",49&gt;設定!$B$3,原始資料!AZ46=""),"",IF(AND(原始資料!AY46&lt;&gt;"",原始資料!AZ46=原始資料!AY46),N(AW46)+1,1))</f>
        <v/>
      </c>
      <c r="AY46" s="6">
        <f>IF(OR(原始資料!$A46="",50&gt;設定!$B$3,原始資料!BA46=""),"",IF(AND(原始資料!AZ46&lt;&gt;"",原始資料!BA46=原始資料!AZ46),N(AX46)+1,1))</f>
        <v/>
      </c>
      <c r="AZ46" s="6">
        <f>IF(OR(原始資料!$A46="",51&gt;設定!$B$3,原始資料!BB46=""),"",IF(AND(原始資料!BA46&lt;&gt;"",原始資料!BB46=原始資料!BA46),N(AY46)+1,1))</f>
        <v/>
      </c>
      <c r="BA46" s="6">
        <f>IF(OR(原始資料!$A46="",52&gt;設定!$B$3,原始資料!BC46=""),"",IF(AND(原始資料!BB46&lt;&gt;"",原始資料!BC46=原始資料!BB46),N(AZ46)+1,1))</f>
        <v/>
      </c>
      <c r="BB46" s="6">
        <f>IF(OR(原始資料!$A46="",53&gt;設定!$B$3,原始資料!BD46=""),"",IF(AND(原始資料!BC46&lt;&gt;"",原始資料!BD46=原始資料!BC46),N(BA46)+1,1))</f>
        <v/>
      </c>
      <c r="BC46" s="6">
        <f>IF(OR(原始資料!$A46="",54&gt;設定!$B$3,原始資料!BE46=""),"",IF(AND(原始資料!BD46&lt;&gt;"",原始資料!BE46=原始資料!BD46),N(BB46)+1,1))</f>
        <v/>
      </c>
      <c r="BD46" s="6">
        <f>IF(OR(原始資料!$A46="",55&gt;設定!$B$3,原始資料!BF46=""),"",IF(AND(原始資料!BE46&lt;&gt;"",原始資料!BF46=原始資料!BE46),N(BC46)+1,1))</f>
        <v/>
      </c>
      <c r="BE46" s="6">
        <f>IF(OR(原始資料!$A46="",56&gt;設定!$B$3,原始資料!BG46=""),"",IF(AND(原始資料!BF46&lt;&gt;"",原始資料!BG46=原始資料!BF46),N(BD46)+1,1))</f>
        <v/>
      </c>
      <c r="BF46" s="6">
        <f>IF(OR(原始資料!$A46="",57&gt;設定!$B$3,原始資料!BH46=""),"",IF(AND(原始資料!BG46&lt;&gt;"",原始資料!BH46=原始資料!BG46),N(BE46)+1,1))</f>
        <v/>
      </c>
      <c r="BG46" s="6">
        <f>IF(OR(原始資料!$A46="",58&gt;設定!$B$3,原始資料!BI46=""),"",IF(AND(原始資料!BH46&lt;&gt;"",原始資料!BI46=原始資料!BH46),N(BF46)+1,1))</f>
        <v/>
      </c>
      <c r="BH46" s="6">
        <f>IF(OR(原始資料!$A46="",59&gt;設定!$B$3,原始資料!BJ46=""),"",IF(AND(原始資料!BI46&lt;&gt;"",原始資料!BJ46=原始資料!BI46),N(BG46)+1,1))</f>
        <v/>
      </c>
      <c r="BI46" s="6">
        <f>IF(OR(原始資料!$A46="",60&gt;設定!$B$3,原始資料!BK46=""),"",IF(AND(原始資料!BJ46&lt;&gt;"",原始資料!BK46=原始資料!BJ46),N(BH46)+1,1))</f>
        <v/>
      </c>
    </row>
    <row r="47">
      <c r="A47" s="6">
        <f>IF(原始資料!$A47="","",原始資料!$A47)</f>
        <v/>
      </c>
      <c r="B47" s="6">
        <f>IF(OR(原始資料!$A47="",1&gt;設定!$B$3,原始資料!D47=""),"",1)</f>
        <v/>
      </c>
      <c r="C47" s="6">
        <f>IF(OR(原始資料!$A47="",2&gt;設定!$B$3,原始資料!E47=""),"",IF(AND(原始資料!D47&lt;&gt;"",原始資料!E47=原始資料!D47),N(B47)+1,1))</f>
        <v/>
      </c>
      <c r="D47" s="6">
        <f>IF(OR(原始資料!$A47="",3&gt;設定!$B$3,原始資料!F47=""),"",IF(AND(原始資料!E47&lt;&gt;"",原始資料!F47=原始資料!E47),N(C47)+1,1))</f>
        <v/>
      </c>
      <c r="E47" s="6">
        <f>IF(OR(原始資料!$A47="",4&gt;設定!$B$3,原始資料!G47=""),"",IF(AND(原始資料!F47&lt;&gt;"",原始資料!G47=原始資料!F47),N(D47)+1,1))</f>
        <v/>
      </c>
      <c r="F47" s="6">
        <f>IF(OR(原始資料!$A47="",5&gt;設定!$B$3,原始資料!H47=""),"",IF(AND(原始資料!G47&lt;&gt;"",原始資料!H47=原始資料!G47),N(E47)+1,1))</f>
        <v/>
      </c>
      <c r="G47" s="6">
        <f>IF(OR(原始資料!$A47="",6&gt;設定!$B$3,原始資料!I47=""),"",IF(AND(原始資料!H47&lt;&gt;"",原始資料!I47=原始資料!H47),N(F47)+1,1))</f>
        <v/>
      </c>
      <c r="H47" s="6">
        <f>IF(OR(原始資料!$A47="",7&gt;設定!$B$3,原始資料!J47=""),"",IF(AND(原始資料!I47&lt;&gt;"",原始資料!J47=原始資料!I47),N(G47)+1,1))</f>
        <v/>
      </c>
      <c r="I47" s="6">
        <f>IF(OR(原始資料!$A47="",8&gt;設定!$B$3,原始資料!K47=""),"",IF(AND(原始資料!J47&lt;&gt;"",原始資料!K47=原始資料!J47),N(H47)+1,1))</f>
        <v/>
      </c>
      <c r="J47" s="6">
        <f>IF(OR(原始資料!$A47="",9&gt;設定!$B$3,原始資料!L47=""),"",IF(AND(原始資料!K47&lt;&gt;"",原始資料!L47=原始資料!K47),N(I47)+1,1))</f>
        <v/>
      </c>
      <c r="K47" s="6">
        <f>IF(OR(原始資料!$A47="",10&gt;設定!$B$3,原始資料!M47=""),"",IF(AND(原始資料!L47&lt;&gt;"",原始資料!M47=原始資料!L47),N(J47)+1,1))</f>
        <v/>
      </c>
      <c r="L47" s="6">
        <f>IF(OR(原始資料!$A47="",11&gt;設定!$B$3,原始資料!N47=""),"",IF(AND(原始資料!M47&lt;&gt;"",原始資料!N47=原始資料!M47),N(K47)+1,1))</f>
        <v/>
      </c>
      <c r="M47" s="6">
        <f>IF(OR(原始資料!$A47="",12&gt;設定!$B$3,原始資料!O47=""),"",IF(AND(原始資料!N47&lt;&gt;"",原始資料!O47=原始資料!N47),N(L47)+1,1))</f>
        <v/>
      </c>
      <c r="N47" s="6">
        <f>IF(OR(原始資料!$A47="",13&gt;設定!$B$3,原始資料!P47=""),"",IF(AND(原始資料!O47&lt;&gt;"",原始資料!P47=原始資料!O47),N(M47)+1,1))</f>
        <v/>
      </c>
      <c r="O47" s="6">
        <f>IF(OR(原始資料!$A47="",14&gt;設定!$B$3,原始資料!Q47=""),"",IF(AND(原始資料!P47&lt;&gt;"",原始資料!Q47=原始資料!P47),N(N47)+1,1))</f>
        <v/>
      </c>
      <c r="P47" s="6">
        <f>IF(OR(原始資料!$A47="",15&gt;設定!$B$3,原始資料!R47=""),"",IF(AND(原始資料!Q47&lt;&gt;"",原始資料!R47=原始資料!Q47),N(O47)+1,1))</f>
        <v/>
      </c>
      <c r="Q47" s="6">
        <f>IF(OR(原始資料!$A47="",16&gt;設定!$B$3,原始資料!S47=""),"",IF(AND(原始資料!R47&lt;&gt;"",原始資料!S47=原始資料!R47),N(P47)+1,1))</f>
        <v/>
      </c>
      <c r="R47" s="6">
        <f>IF(OR(原始資料!$A47="",17&gt;設定!$B$3,原始資料!T47=""),"",IF(AND(原始資料!S47&lt;&gt;"",原始資料!T47=原始資料!S47),N(Q47)+1,1))</f>
        <v/>
      </c>
      <c r="S47" s="6">
        <f>IF(OR(原始資料!$A47="",18&gt;設定!$B$3,原始資料!U47=""),"",IF(AND(原始資料!T47&lt;&gt;"",原始資料!U47=原始資料!T47),N(R47)+1,1))</f>
        <v/>
      </c>
      <c r="T47" s="6">
        <f>IF(OR(原始資料!$A47="",19&gt;設定!$B$3,原始資料!V47=""),"",IF(AND(原始資料!U47&lt;&gt;"",原始資料!V47=原始資料!U47),N(S47)+1,1))</f>
        <v/>
      </c>
      <c r="U47" s="6">
        <f>IF(OR(原始資料!$A47="",20&gt;設定!$B$3,原始資料!W47=""),"",IF(AND(原始資料!V47&lt;&gt;"",原始資料!W47=原始資料!V47),N(T47)+1,1))</f>
        <v/>
      </c>
      <c r="V47" s="6">
        <f>IF(OR(原始資料!$A47="",21&gt;設定!$B$3,原始資料!X47=""),"",IF(AND(原始資料!W47&lt;&gt;"",原始資料!X47=原始資料!W47),N(U47)+1,1))</f>
        <v/>
      </c>
      <c r="W47" s="6">
        <f>IF(OR(原始資料!$A47="",22&gt;設定!$B$3,原始資料!Y47=""),"",IF(AND(原始資料!X47&lt;&gt;"",原始資料!Y47=原始資料!X47),N(V47)+1,1))</f>
        <v/>
      </c>
      <c r="X47" s="6">
        <f>IF(OR(原始資料!$A47="",23&gt;設定!$B$3,原始資料!Z47=""),"",IF(AND(原始資料!Y47&lt;&gt;"",原始資料!Z47=原始資料!Y47),N(W47)+1,1))</f>
        <v/>
      </c>
      <c r="Y47" s="6">
        <f>IF(OR(原始資料!$A47="",24&gt;設定!$B$3,原始資料!AA47=""),"",IF(AND(原始資料!Z47&lt;&gt;"",原始資料!AA47=原始資料!Z47),N(X47)+1,1))</f>
        <v/>
      </c>
      <c r="Z47" s="6">
        <f>IF(OR(原始資料!$A47="",25&gt;設定!$B$3,原始資料!AB47=""),"",IF(AND(原始資料!AA47&lt;&gt;"",原始資料!AB47=原始資料!AA47),N(Y47)+1,1))</f>
        <v/>
      </c>
      <c r="AA47" s="6">
        <f>IF(OR(原始資料!$A47="",26&gt;設定!$B$3,原始資料!AC47=""),"",IF(AND(原始資料!AB47&lt;&gt;"",原始資料!AC47=原始資料!AB47),N(Z47)+1,1))</f>
        <v/>
      </c>
      <c r="AB47" s="6">
        <f>IF(OR(原始資料!$A47="",27&gt;設定!$B$3,原始資料!AD47=""),"",IF(AND(原始資料!AC47&lt;&gt;"",原始資料!AD47=原始資料!AC47),N(AA47)+1,1))</f>
        <v/>
      </c>
      <c r="AC47" s="6">
        <f>IF(OR(原始資料!$A47="",28&gt;設定!$B$3,原始資料!AE47=""),"",IF(AND(原始資料!AD47&lt;&gt;"",原始資料!AE47=原始資料!AD47),N(AB47)+1,1))</f>
        <v/>
      </c>
      <c r="AD47" s="6">
        <f>IF(OR(原始資料!$A47="",29&gt;設定!$B$3,原始資料!AF47=""),"",IF(AND(原始資料!AE47&lt;&gt;"",原始資料!AF47=原始資料!AE47),N(AC47)+1,1))</f>
        <v/>
      </c>
      <c r="AE47" s="6">
        <f>IF(OR(原始資料!$A47="",30&gt;設定!$B$3,原始資料!AG47=""),"",IF(AND(原始資料!AF47&lt;&gt;"",原始資料!AG47=原始資料!AF47),N(AD47)+1,1))</f>
        <v/>
      </c>
      <c r="AF47" s="6">
        <f>IF(OR(原始資料!$A47="",31&gt;設定!$B$3,原始資料!AH47=""),"",IF(AND(原始資料!AG47&lt;&gt;"",原始資料!AH47=原始資料!AG47),N(AE47)+1,1))</f>
        <v/>
      </c>
      <c r="AG47" s="6">
        <f>IF(OR(原始資料!$A47="",32&gt;設定!$B$3,原始資料!AI47=""),"",IF(AND(原始資料!AH47&lt;&gt;"",原始資料!AI47=原始資料!AH47),N(AF47)+1,1))</f>
        <v/>
      </c>
      <c r="AH47" s="6">
        <f>IF(OR(原始資料!$A47="",33&gt;設定!$B$3,原始資料!AJ47=""),"",IF(AND(原始資料!AI47&lt;&gt;"",原始資料!AJ47=原始資料!AI47),N(AG47)+1,1))</f>
        <v/>
      </c>
      <c r="AI47" s="6">
        <f>IF(OR(原始資料!$A47="",34&gt;設定!$B$3,原始資料!AK47=""),"",IF(AND(原始資料!AJ47&lt;&gt;"",原始資料!AK47=原始資料!AJ47),N(AH47)+1,1))</f>
        <v/>
      </c>
      <c r="AJ47" s="6">
        <f>IF(OR(原始資料!$A47="",35&gt;設定!$B$3,原始資料!AL47=""),"",IF(AND(原始資料!AK47&lt;&gt;"",原始資料!AL47=原始資料!AK47),N(AI47)+1,1))</f>
        <v/>
      </c>
      <c r="AK47" s="6">
        <f>IF(OR(原始資料!$A47="",36&gt;設定!$B$3,原始資料!AM47=""),"",IF(AND(原始資料!AL47&lt;&gt;"",原始資料!AM47=原始資料!AL47),N(AJ47)+1,1))</f>
        <v/>
      </c>
      <c r="AL47" s="6">
        <f>IF(OR(原始資料!$A47="",37&gt;設定!$B$3,原始資料!AN47=""),"",IF(AND(原始資料!AM47&lt;&gt;"",原始資料!AN47=原始資料!AM47),N(AK47)+1,1))</f>
        <v/>
      </c>
      <c r="AM47" s="6">
        <f>IF(OR(原始資料!$A47="",38&gt;設定!$B$3,原始資料!AO47=""),"",IF(AND(原始資料!AN47&lt;&gt;"",原始資料!AO47=原始資料!AN47),N(AL47)+1,1))</f>
        <v/>
      </c>
      <c r="AN47" s="6">
        <f>IF(OR(原始資料!$A47="",39&gt;設定!$B$3,原始資料!AP47=""),"",IF(AND(原始資料!AO47&lt;&gt;"",原始資料!AP47=原始資料!AO47),N(AM47)+1,1))</f>
        <v/>
      </c>
      <c r="AO47" s="6">
        <f>IF(OR(原始資料!$A47="",40&gt;設定!$B$3,原始資料!AQ47=""),"",IF(AND(原始資料!AP47&lt;&gt;"",原始資料!AQ47=原始資料!AP47),N(AN47)+1,1))</f>
        <v/>
      </c>
      <c r="AP47" s="6">
        <f>IF(OR(原始資料!$A47="",41&gt;設定!$B$3,原始資料!AR47=""),"",IF(AND(原始資料!AQ47&lt;&gt;"",原始資料!AR47=原始資料!AQ47),N(AO47)+1,1))</f>
        <v/>
      </c>
      <c r="AQ47" s="6">
        <f>IF(OR(原始資料!$A47="",42&gt;設定!$B$3,原始資料!AS47=""),"",IF(AND(原始資料!AR47&lt;&gt;"",原始資料!AS47=原始資料!AR47),N(AP47)+1,1))</f>
        <v/>
      </c>
      <c r="AR47" s="6">
        <f>IF(OR(原始資料!$A47="",43&gt;設定!$B$3,原始資料!AT47=""),"",IF(AND(原始資料!AS47&lt;&gt;"",原始資料!AT47=原始資料!AS47),N(AQ47)+1,1))</f>
        <v/>
      </c>
      <c r="AS47" s="6">
        <f>IF(OR(原始資料!$A47="",44&gt;設定!$B$3,原始資料!AU47=""),"",IF(AND(原始資料!AT47&lt;&gt;"",原始資料!AU47=原始資料!AT47),N(AR47)+1,1))</f>
        <v/>
      </c>
      <c r="AT47" s="6">
        <f>IF(OR(原始資料!$A47="",45&gt;設定!$B$3,原始資料!AV47=""),"",IF(AND(原始資料!AU47&lt;&gt;"",原始資料!AV47=原始資料!AU47),N(AS47)+1,1))</f>
        <v/>
      </c>
      <c r="AU47" s="6">
        <f>IF(OR(原始資料!$A47="",46&gt;設定!$B$3,原始資料!AW47=""),"",IF(AND(原始資料!AV47&lt;&gt;"",原始資料!AW47=原始資料!AV47),N(AT47)+1,1))</f>
        <v/>
      </c>
      <c r="AV47" s="6">
        <f>IF(OR(原始資料!$A47="",47&gt;設定!$B$3,原始資料!AX47=""),"",IF(AND(原始資料!AW47&lt;&gt;"",原始資料!AX47=原始資料!AW47),N(AU47)+1,1))</f>
        <v/>
      </c>
      <c r="AW47" s="6">
        <f>IF(OR(原始資料!$A47="",48&gt;設定!$B$3,原始資料!AY47=""),"",IF(AND(原始資料!AX47&lt;&gt;"",原始資料!AY47=原始資料!AX47),N(AV47)+1,1))</f>
        <v/>
      </c>
      <c r="AX47" s="6">
        <f>IF(OR(原始資料!$A47="",49&gt;設定!$B$3,原始資料!AZ47=""),"",IF(AND(原始資料!AY47&lt;&gt;"",原始資料!AZ47=原始資料!AY47),N(AW47)+1,1))</f>
        <v/>
      </c>
      <c r="AY47" s="6">
        <f>IF(OR(原始資料!$A47="",50&gt;設定!$B$3,原始資料!BA47=""),"",IF(AND(原始資料!AZ47&lt;&gt;"",原始資料!BA47=原始資料!AZ47),N(AX47)+1,1))</f>
        <v/>
      </c>
      <c r="AZ47" s="6">
        <f>IF(OR(原始資料!$A47="",51&gt;設定!$B$3,原始資料!BB47=""),"",IF(AND(原始資料!BA47&lt;&gt;"",原始資料!BB47=原始資料!BA47),N(AY47)+1,1))</f>
        <v/>
      </c>
      <c r="BA47" s="6">
        <f>IF(OR(原始資料!$A47="",52&gt;設定!$B$3,原始資料!BC47=""),"",IF(AND(原始資料!BB47&lt;&gt;"",原始資料!BC47=原始資料!BB47),N(AZ47)+1,1))</f>
        <v/>
      </c>
      <c r="BB47" s="6">
        <f>IF(OR(原始資料!$A47="",53&gt;設定!$B$3,原始資料!BD47=""),"",IF(AND(原始資料!BC47&lt;&gt;"",原始資料!BD47=原始資料!BC47),N(BA47)+1,1))</f>
        <v/>
      </c>
      <c r="BC47" s="6">
        <f>IF(OR(原始資料!$A47="",54&gt;設定!$B$3,原始資料!BE47=""),"",IF(AND(原始資料!BD47&lt;&gt;"",原始資料!BE47=原始資料!BD47),N(BB47)+1,1))</f>
        <v/>
      </c>
      <c r="BD47" s="6">
        <f>IF(OR(原始資料!$A47="",55&gt;設定!$B$3,原始資料!BF47=""),"",IF(AND(原始資料!BE47&lt;&gt;"",原始資料!BF47=原始資料!BE47),N(BC47)+1,1))</f>
        <v/>
      </c>
      <c r="BE47" s="6">
        <f>IF(OR(原始資料!$A47="",56&gt;設定!$B$3,原始資料!BG47=""),"",IF(AND(原始資料!BF47&lt;&gt;"",原始資料!BG47=原始資料!BF47),N(BD47)+1,1))</f>
        <v/>
      </c>
      <c r="BF47" s="6">
        <f>IF(OR(原始資料!$A47="",57&gt;設定!$B$3,原始資料!BH47=""),"",IF(AND(原始資料!BG47&lt;&gt;"",原始資料!BH47=原始資料!BG47),N(BE47)+1,1))</f>
        <v/>
      </c>
      <c r="BG47" s="6">
        <f>IF(OR(原始資料!$A47="",58&gt;設定!$B$3,原始資料!BI47=""),"",IF(AND(原始資料!BH47&lt;&gt;"",原始資料!BI47=原始資料!BH47),N(BF47)+1,1))</f>
        <v/>
      </c>
      <c r="BH47" s="6">
        <f>IF(OR(原始資料!$A47="",59&gt;設定!$B$3,原始資料!BJ47=""),"",IF(AND(原始資料!BI47&lt;&gt;"",原始資料!BJ47=原始資料!BI47),N(BG47)+1,1))</f>
        <v/>
      </c>
      <c r="BI47" s="6">
        <f>IF(OR(原始資料!$A47="",60&gt;設定!$B$3,原始資料!BK47=""),"",IF(AND(原始資料!BJ47&lt;&gt;"",原始資料!BK47=原始資料!BJ47),N(BH47)+1,1))</f>
        <v/>
      </c>
    </row>
    <row r="48">
      <c r="A48" s="6">
        <f>IF(原始資料!$A48="","",原始資料!$A48)</f>
        <v/>
      </c>
      <c r="B48" s="6">
        <f>IF(OR(原始資料!$A48="",1&gt;設定!$B$3,原始資料!D48=""),"",1)</f>
        <v/>
      </c>
      <c r="C48" s="6">
        <f>IF(OR(原始資料!$A48="",2&gt;設定!$B$3,原始資料!E48=""),"",IF(AND(原始資料!D48&lt;&gt;"",原始資料!E48=原始資料!D48),N(B48)+1,1))</f>
        <v/>
      </c>
      <c r="D48" s="6">
        <f>IF(OR(原始資料!$A48="",3&gt;設定!$B$3,原始資料!F48=""),"",IF(AND(原始資料!E48&lt;&gt;"",原始資料!F48=原始資料!E48),N(C48)+1,1))</f>
        <v/>
      </c>
      <c r="E48" s="6">
        <f>IF(OR(原始資料!$A48="",4&gt;設定!$B$3,原始資料!G48=""),"",IF(AND(原始資料!F48&lt;&gt;"",原始資料!G48=原始資料!F48),N(D48)+1,1))</f>
        <v/>
      </c>
      <c r="F48" s="6">
        <f>IF(OR(原始資料!$A48="",5&gt;設定!$B$3,原始資料!H48=""),"",IF(AND(原始資料!G48&lt;&gt;"",原始資料!H48=原始資料!G48),N(E48)+1,1))</f>
        <v/>
      </c>
      <c r="G48" s="6">
        <f>IF(OR(原始資料!$A48="",6&gt;設定!$B$3,原始資料!I48=""),"",IF(AND(原始資料!H48&lt;&gt;"",原始資料!I48=原始資料!H48),N(F48)+1,1))</f>
        <v/>
      </c>
      <c r="H48" s="6">
        <f>IF(OR(原始資料!$A48="",7&gt;設定!$B$3,原始資料!J48=""),"",IF(AND(原始資料!I48&lt;&gt;"",原始資料!J48=原始資料!I48),N(G48)+1,1))</f>
        <v/>
      </c>
      <c r="I48" s="6">
        <f>IF(OR(原始資料!$A48="",8&gt;設定!$B$3,原始資料!K48=""),"",IF(AND(原始資料!J48&lt;&gt;"",原始資料!K48=原始資料!J48),N(H48)+1,1))</f>
        <v/>
      </c>
      <c r="J48" s="6">
        <f>IF(OR(原始資料!$A48="",9&gt;設定!$B$3,原始資料!L48=""),"",IF(AND(原始資料!K48&lt;&gt;"",原始資料!L48=原始資料!K48),N(I48)+1,1))</f>
        <v/>
      </c>
      <c r="K48" s="6">
        <f>IF(OR(原始資料!$A48="",10&gt;設定!$B$3,原始資料!M48=""),"",IF(AND(原始資料!L48&lt;&gt;"",原始資料!M48=原始資料!L48),N(J48)+1,1))</f>
        <v/>
      </c>
      <c r="L48" s="6">
        <f>IF(OR(原始資料!$A48="",11&gt;設定!$B$3,原始資料!N48=""),"",IF(AND(原始資料!M48&lt;&gt;"",原始資料!N48=原始資料!M48),N(K48)+1,1))</f>
        <v/>
      </c>
      <c r="M48" s="6">
        <f>IF(OR(原始資料!$A48="",12&gt;設定!$B$3,原始資料!O48=""),"",IF(AND(原始資料!N48&lt;&gt;"",原始資料!O48=原始資料!N48),N(L48)+1,1))</f>
        <v/>
      </c>
      <c r="N48" s="6">
        <f>IF(OR(原始資料!$A48="",13&gt;設定!$B$3,原始資料!P48=""),"",IF(AND(原始資料!O48&lt;&gt;"",原始資料!P48=原始資料!O48),N(M48)+1,1))</f>
        <v/>
      </c>
      <c r="O48" s="6">
        <f>IF(OR(原始資料!$A48="",14&gt;設定!$B$3,原始資料!Q48=""),"",IF(AND(原始資料!P48&lt;&gt;"",原始資料!Q48=原始資料!P48),N(N48)+1,1))</f>
        <v/>
      </c>
      <c r="P48" s="6">
        <f>IF(OR(原始資料!$A48="",15&gt;設定!$B$3,原始資料!R48=""),"",IF(AND(原始資料!Q48&lt;&gt;"",原始資料!R48=原始資料!Q48),N(O48)+1,1))</f>
        <v/>
      </c>
      <c r="Q48" s="6">
        <f>IF(OR(原始資料!$A48="",16&gt;設定!$B$3,原始資料!S48=""),"",IF(AND(原始資料!R48&lt;&gt;"",原始資料!S48=原始資料!R48),N(P48)+1,1))</f>
        <v/>
      </c>
      <c r="R48" s="6">
        <f>IF(OR(原始資料!$A48="",17&gt;設定!$B$3,原始資料!T48=""),"",IF(AND(原始資料!S48&lt;&gt;"",原始資料!T48=原始資料!S48),N(Q48)+1,1))</f>
        <v/>
      </c>
      <c r="S48" s="6">
        <f>IF(OR(原始資料!$A48="",18&gt;設定!$B$3,原始資料!U48=""),"",IF(AND(原始資料!T48&lt;&gt;"",原始資料!U48=原始資料!T48),N(R48)+1,1))</f>
        <v/>
      </c>
      <c r="T48" s="6">
        <f>IF(OR(原始資料!$A48="",19&gt;設定!$B$3,原始資料!V48=""),"",IF(AND(原始資料!U48&lt;&gt;"",原始資料!V48=原始資料!U48),N(S48)+1,1))</f>
        <v/>
      </c>
      <c r="U48" s="6">
        <f>IF(OR(原始資料!$A48="",20&gt;設定!$B$3,原始資料!W48=""),"",IF(AND(原始資料!V48&lt;&gt;"",原始資料!W48=原始資料!V48),N(T48)+1,1))</f>
        <v/>
      </c>
      <c r="V48" s="6">
        <f>IF(OR(原始資料!$A48="",21&gt;設定!$B$3,原始資料!X48=""),"",IF(AND(原始資料!W48&lt;&gt;"",原始資料!X48=原始資料!W48),N(U48)+1,1))</f>
        <v/>
      </c>
      <c r="W48" s="6">
        <f>IF(OR(原始資料!$A48="",22&gt;設定!$B$3,原始資料!Y48=""),"",IF(AND(原始資料!X48&lt;&gt;"",原始資料!Y48=原始資料!X48),N(V48)+1,1))</f>
        <v/>
      </c>
      <c r="X48" s="6">
        <f>IF(OR(原始資料!$A48="",23&gt;設定!$B$3,原始資料!Z48=""),"",IF(AND(原始資料!Y48&lt;&gt;"",原始資料!Z48=原始資料!Y48),N(W48)+1,1))</f>
        <v/>
      </c>
      <c r="Y48" s="6">
        <f>IF(OR(原始資料!$A48="",24&gt;設定!$B$3,原始資料!AA48=""),"",IF(AND(原始資料!Z48&lt;&gt;"",原始資料!AA48=原始資料!Z48),N(X48)+1,1))</f>
        <v/>
      </c>
      <c r="Z48" s="6">
        <f>IF(OR(原始資料!$A48="",25&gt;設定!$B$3,原始資料!AB48=""),"",IF(AND(原始資料!AA48&lt;&gt;"",原始資料!AB48=原始資料!AA48),N(Y48)+1,1))</f>
        <v/>
      </c>
      <c r="AA48" s="6">
        <f>IF(OR(原始資料!$A48="",26&gt;設定!$B$3,原始資料!AC48=""),"",IF(AND(原始資料!AB48&lt;&gt;"",原始資料!AC48=原始資料!AB48),N(Z48)+1,1))</f>
        <v/>
      </c>
      <c r="AB48" s="6">
        <f>IF(OR(原始資料!$A48="",27&gt;設定!$B$3,原始資料!AD48=""),"",IF(AND(原始資料!AC48&lt;&gt;"",原始資料!AD48=原始資料!AC48),N(AA48)+1,1))</f>
        <v/>
      </c>
      <c r="AC48" s="6">
        <f>IF(OR(原始資料!$A48="",28&gt;設定!$B$3,原始資料!AE48=""),"",IF(AND(原始資料!AD48&lt;&gt;"",原始資料!AE48=原始資料!AD48),N(AB48)+1,1))</f>
        <v/>
      </c>
      <c r="AD48" s="6">
        <f>IF(OR(原始資料!$A48="",29&gt;設定!$B$3,原始資料!AF48=""),"",IF(AND(原始資料!AE48&lt;&gt;"",原始資料!AF48=原始資料!AE48),N(AC48)+1,1))</f>
        <v/>
      </c>
      <c r="AE48" s="6">
        <f>IF(OR(原始資料!$A48="",30&gt;設定!$B$3,原始資料!AG48=""),"",IF(AND(原始資料!AF48&lt;&gt;"",原始資料!AG48=原始資料!AF48),N(AD48)+1,1))</f>
        <v/>
      </c>
      <c r="AF48" s="6">
        <f>IF(OR(原始資料!$A48="",31&gt;設定!$B$3,原始資料!AH48=""),"",IF(AND(原始資料!AG48&lt;&gt;"",原始資料!AH48=原始資料!AG48),N(AE48)+1,1))</f>
        <v/>
      </c>
      <c r="AG48" s="6">
        <f>IF(OR(原始資料!$A48="",32&gt;設定!$B$3,原始資料!AI48=""),"",IF(AND(原始資料!AH48&lt;&gt;"",原始資料!AI48=原始資料!AH48),N(AF48)+1,1))</f>
        <v/>
      </c>
      <c r="AH48" s="6">
        <f>IF(OR(原始資料!$A48="",33&gt;設定!$B$3,原始資料!AJ48=""),"",IF(AND(原始資料!AI48&lt;&gt;"",原始資料!AJ48=原始資料!AI48),N(AG48)+1,1))</f>
        <v/>
      </c>
      <c r="AI48" s="6">
        <f>IF(OR(原始資料!$A48="",34&gt;設定!$B$3,原始資料!AK48=""),"",IF(AND(原始資料!AJ48&lt;&gt;"",原始資料!AK48=原始資料!AJ48),N(AH48)+1,1))</f>
        <v/>
      </c>
      <c r="AJ48" s="6">
        <f>IF(OR(原始資料!$A48="",35&gt;設定!$B$3,原始資料!AL48=""),"",IF(AND(原始資料!AK48&lt;&gt;"",原始資料!AL48=原始資料!AK48),N(AI48)+1,1))</f>
        <v/>
      </c>
      <c r="AK48" s="6">
        <f>IF(OR(原始資料!$A48="",36&gt;設定!$B$3,原始資料!AM48=""),"",IF(AND(原始資料!AL48&lt;&gt;"",原始資料!AM48=原始資料!AL48),N(AJ48)+1,1))</f>
        <v/>
      </c>
      <c r="AL48" s="6">
        <f>IF(OR(原始資料!$A48="",37&gt;設定!$B$3,原始資料!AN48=""),"",IF(AND(原始資料!AM48&lt;&gt;"",原始資料!AN48=原始資料!AM48),N(AK48)+1,1))</f>
        <v/>
      </c>
      <c r="AM48" s="6">
        <f>IF(OR(原始資料!$A48="",38&gt;設定!$B$3,原始資料!AO48=""),"",IF(AND(原始資料!AN48&lt;&gt;"",原始資料!AO48=原始資料!AN48),N(AL48)+1,1))</f>
        <v/>
      </c>
      <c r="AN48" s="6">
        <f>IF(OR(原始資料!$A48="",39&gt;設定!$B$3,原始資料!AP48=""),"",IF(AND(原始資料!AO48&lt;&gt;"",原始資料!AP48=原始資料!AO48),N(AM48)+1,1))</f>
        <v/>
      </c>
      <c r="AO48" s="6">
        <f>IF(OR(原始資料!$A48="",40&gt;設定!$B$3,原始資料!AQ48=""),"",IF(AND(原始資料!AP48&lt;&gt;"",原始資料!AQ48=原始資料!AP48),N(AN48)+1,1))</f>
        <v/>
      </c>
      <c r="AP48" s="6">
        <f>IF(OR(原始資料!$A48="",41&gt;設定!$B$3,原始資料!AR48=""),"",IF(AND(原始資料!AQ48&lt;&gt;"",原始資料!AR48=原始資料!AQ48),N(AO48)+1,1))</f>
        <v/>
      </c>
      <c r="AQ48" s="6">
        <f>IF(OR(原始資料!$A48="",42&gt;設定!$B$3,原始資料!AS48=""),"",IF(AND(原始資料!AR48&lt;&gt;"",原始資料!AS48=原始資料!AR48),N(AP48)+1,1))</f>
        <v/>
      </c>
      <c r="AR48" s="6">
        <f>IF(OR(原始資料!$A48="",43&gt;設定!$B$3,原始資料!AT48=""),"",IF(AND(原始資料!AS48&lt;&gt;"",原始資料!AT48=原始資料!AS48),N(AQ48)+1,1))</f>
        <v/>
      </c>
      <c r="AS48" s="6">
        <f>IF(OR(原始資料!$A48="",44&gt;設定!$B$3,原始資料!AU48=""),"",IF(AND(原始資料!AT48&lt;&gt;"",原始資料!AU48=原始資料!AT48),N(AR48)+1,1))</f>
        <v/>
      </c>
      <c r="AT48" s="6">
        <f>IF(OR(原始資料!$A48="",45&gt;設定!$B$3,原始資料!AV48=""),"",IF(AND(原始資料!AU48&lt;&gt;"",原始資料!AV48=原始資料!AU48),N(AS48)+1,1))</f>
        <v/>
      </c>
      <c r="AU48" s="6">
        <f>IF(OR(原始資料!$A48="",46&gt;設定!$B$3,原始資料!AW48=""),"",IF(AND(原始資料!AV48&lt;&gt;"",原始資料!AW48=原始資料!AV48),N(AT48)+1,1))</f>
        <v/>
      </c>
      <c r="AV48" s="6">
        <f>IF(OR(原始資料!$A48="",47&gt;設定!$B$3,原始資料!AX48=""),"",IF(AND(原始資料!AW48&lt;&gt;"",原始資料!AX48=原始資料!AW48),N(AU48)+1,1))</f>
        <v/>
      </c>
      <c r="AW48" s="6">
        <f>IF(OR(原始資料!$A48="",48&gt;設定!$B$3,原始資料!AY48=""),"",IF(AND(原始資料!AX48&lt;&gt;"",原始資料!AY48=原始資料!AX48),N(AV48)+1,1))</f>
        <v/>
      </c>
      <c r="AX48" s="6">
        <f>IF(OR(原始資料!$A48="",49&gt;設定!$B$3,原始資料!AZ48=""),"",IF(AND(原始資料!AY48&lt;&gt;"",原始資料!AZ48=原始資料!AY48),N(AW48)+1,1))</f>
        <v/>
      </c>
      <c r="AY48" s="6">
        <f>IF(OR(原始資料!$A48="",50&gt;設定!$B$3,原始資料!BA48=""),"",IF(AND(原始資料!AZ48&lt;&gt;"",原始資料!BA48=原始資料!AZ48),N(AX48)+1,1))</f>
        <v/>
      </c>
      <c r="AZ48" s="6">
        <f>IF(OR(原始資料!$A48="",51&gt;設定!$B$3,原始資料!BB48=""),"",IF(AND(原始資料!BA48&lt;&gt;"",原始資料!BB48=原始資料!BA48),N(AY48)+1,1))</f>
        <v/>
      </c>
      <c r="BA48" s="6">
        <f>IF(OR(原始資料!$A48="",52&gt;設定!$B$3,原始資料!BC48=""),"",IF(AND(原始資料!BB48&lt;&gt;"",原始資料!BC48=原始資料!BB48),N(AZ48)+1,1))</f>
        <v/>
      </c>
      <c r="BB48" s="6">
        <f>IF(OR(原始資料!$A48="",53&gt;設定!$B$3,原始資料!BD48=""),"",IF(AND(原始資料!BC48&lt;&gt;"",原始資料!BD48=原始資料!BC48),N(BA48)+1,1))</f>
        <v/>
      </c>
      <c r="BC48" s="6">
        <f>IF(OR(原始資料!$A48="",54&gt;設定!$B$3,原始資料!BE48=""),"",IF(AND(原始資料!BD48&lt;&gt;"",原始資料!BE48=原始資料!BD48),N(BB48)+1,1))</f>
        <v/>
      </c>
      <c r="BD48" s="6">
        <f>IF(OR(原始資料!$A48="",55&gt;設定!$B$3,原始資料!BF48=""),"",IF(AND(原始資料!BE48&lt;&gt;"",原始資料!BF48=原始資料!BE48),N(BC48)+1,1))</f>
        <v/>
      </c>
      <c r="BE48" s="6">
        <f>IF(OR(原始資料!$A48="",56&gt;設定!$B$3,原始資料!BG48=""),"",IF(AND(原始資料!BF48&lt;&gt;"",原始資料!BG48=原始資料!BF48),N(BD48)+1,1))</f>
        <v/>
      </c>
      <c r="BF48" s="6">
        <f>IF(OR(原始資料!$A48="",57&gt;設定!$B$3,原始資料!BH48=""),"",IF(AND(原始資料!BG48&lt;&gt;"",原始資料!BH48=原始資料!BG48),N(BE48)+1,1))</f>
        <v/>
      </c>
      <c r="BG48" s="6">
        <f>IF(OR(原始資料!$A48="",58&gt;設定!$B$3,原始資料!BI48=""),"",IF(AND(原始資料!BH48&lt;&gt;"",原始資料!BI48=原始資料!BH48),N(BF48)+1,1))</f>
        <v/>
      </c>
      <c r="BH48" s="6">
        <f>IF(OR(原始資料!$A48="",59&gt;設定!$B$3,原始資料!BJ48=""),"",IF(AND(原始資料!BI48&lt;&gt;"",原始資料!BJ48=原始資料!BI48),N(BG48)+1,1))</f>
        <v/>
      </c>
      <c r="BI48" s="6">
        <f>IF(OR(原始資料!$A48="",60&gt;設定!$B$3,原始資料!BK48=""),"",IF(AND(原始資料!BJ48&lt;&gt;"",原始資料!BK48=原始資料!BJ48),N(BH48)+1,1))</f>
        <v/>
      </c>
    </row>
    <row r="49">
      <c r="A49" s="6">
        <f>IF(原始資料!$A49="","",原始資料!$A49)</f>
        <v/>
      </c>
      <c r="B49" s="6">
        <f>IF(OR(原始資料!$A49="",1&gt;設定!$B$3,原始資料!D49=""),"",1)</f>
        <v/>
      </c>
      <c r="C49" s="6">
        <f>IF(OR(原始資料!$A49="",2&gt;設定!$B$3,原始資料!E49=""),"",IF(AND(原始資料!D49&lt;&gt;"",原始資料!E49=原始資料!D49),N(B49)+1,1))</f>
        <v/>
      </c>
      <c r="D49" s="6">
        <f>IF(OR(原始資料!$A49="",3&gt;設定!$B$3,原始資料!F49=""),"",IF(AND(原始資料!E49&lt;&gt;"",原始資料!F49=原始資料!E49),N(C49)+1,1))</f>
        <v/>
      </c>
      <c r="E49" s="6">
        <f>IF(OR(原始資料!$A49="",4&gt;設定!$B$3,原始資料!G49=""),"",IF(AND(原始資料!F49&lt;&gt;"",原始資料!G49=原始資料!F49),N(D49)+1,1))</f>
        <v/>
      </c>
      <c r="F49" s="6">
        <f>IF(OR(原始資料!$A49="",5&gt;設定!$B$3,原始資料!H49=""),"",IF(AND(原始資料!G49&lt;&gt;"",原始資料!H49=原始資料!G49),N(E49)+1,1))</f>
        <v/>
      </c>
      <c r="G49" s="6">
        <f>IF(OR(原始資料!$A49="",6&gt;設定!$B$3,原始資料!I49=""),"",IF(AND(原始資料!H49&lt;&gt;"",原始資料!I49=原始資料!H49),N(F49)+1,1))</f>
        <v/>
      </c>
      <c r="H49" s="6">
        <f>IF(OR(原始資料!$A49="",7&gt;設定!$B$3,原始資料!J49=""),"",IF(AND(原始資料!I49&lt;&gt;"",原始資料!J49=原始資料!I49),N(G49)+1,1))</f>
        <v/>
      </c>
      <c r="I49" s="6">
        <f>IF(OR(原始資料!$A49="",8&gt;設定!$B$3,原始資料!K49=""),"",IF(AND(原始資料!J49&lt;&gt;"",原始資料!K49=原始資料!J49),N(H49)+1,1))</f>
        <v/>
      </c>
      <c r="J49" s="6">
        <f>IF(OR(原始資料!$A49="",9&gt;設定!$B$3,原始資料!L49=""),"",IF(AND(原始資料!K49&lt;&gt;"",原始資料!L49=原始資料!K49),N(I49)+1,1))</f>
        <v/>
      </c>
      <c r="K49" s="6">
        <f>IF(OR(原始資料!$A49="",10&gt;設定!$B$3,原始資料!M49=""),"",IF(AND(原始資料!L49&lt;&gt;"",原始資料!M49=原始資料!L49),N(J49)+1,1))</f>
        <v/>
      </c>
      <c r="L49" s="6">
        <f>IF(OR(原始資料!$A49="",11&gt;設定!$B$3,原始資料!N49=""),"",IF(AND(原始資料!M49&lt;&gt;"",原始資料!N49=原始資料!M49),N(K49)+1,1))</f>
        <v/>
      </c>
      <c r="M49" s="6">
        <f>IF(OR(原始資料!$A49="",12&gt;設定!$B$3,原始資料!O49=""),"",IF(AND(原始資料!N49&lt;&gt;"",原始資料!O49=原始資料!N49),N(L49)+1,1))</f>
        <v/>
      </c>
      <c r="N49" s="6">
        <f>IF(OR(原始資料!$A49="",13&gt;設定!$B$3,原始資料!P49=""),"",IF(AND(原始資料!O49&lt;&gt;"",原始資料!P49=原始資料!O49),N(M49)+1,1))</f>
        <v/>
      </c>
      <c r="O49" s="6">
        <f>IF(OR(原始資料!$A49="",14&gt;設定!$B$3,原始資料!Q49=""),"",IF(AND(原始資料!P49&lt;&gt;"",原始資料!Q49=原始資料!P49),N(N49)+1,1))</f>
        <v/>
      </c>
      <c r="P49" s="6">
        <f>IF(OR(原始資料!$A49="",15&gt;設定!$B$3,原始資料!R49=""),"",IF(AND(原始資料!Q49&lt;&gt;"",原始資料!R49=原始資料!Q49),N(O49)+1,1))</f>
        <v/>
      </c>
      <c r="Q49" s="6">
        <f>IF(OR(原始資料!$A49="",16&gt;設定!$B$3,原始資料!S49=""),"",IF(AND(原始資料!R49&lt;&gt;"",原始資料!S49=原始資料!R49),N(P49)+1,1))</f>
        <v/>
      </c>
      <c r="R49" s="6">
        <f>IF(OR(原始資料!$A49="",17&gt;設定!$B$3,原始資料!T49=""),"",IF(AND(原始資料!S49&lt;&gt;"",原始資料!T49=原始資料!S49),N(Q49)+1,1))</f>
        <v/>
      </c>
      <c r="S49" s="6">
        <f>IF(OR(原始資料!$A49="",18&gt;設定!$B$3,原始資料!U49=""),"",IF(AND(原始資料!T49&lt;&gt;"",原始資料!U49=原始資料!T49),N(R49)+1,1))</f>
        <v/>
      </c>
      <c r="T49" s="6">
        <f>IF(OR(原始資料!$A49="",19&gt;設定!$B$3,原始資料!V49=""),"",IF(AND(原始資料!U49&lt;&gt;"",原始資料!V49=原始資料!U49),N(S49)+1,1))</f>
        <v/>
      </c>
      <c r="U49" s="6">
        <f>IF(OR(原始資料!$A49="",20&gt;設定!$B$3,原始資料!W49=""),"",IF(AND(原始資料!V49&lt;&gt;"",原始資料!W49=原始資料!V49),N(T49)+1,1))</f>
        <v/>
      </c>
      <c r="V49" s="6">
        <f>IF(OR(原始資料!$A49="",21&gt;設定!$B$3,原始資料!X49=""),"",IF(AND(原始資料!W49&lt;&gt;"",原始資料!X49=原始資料!W49),N(U49)+1,1))</f>
        <v/>
      </c>
      <c r="W49" s="6">
        <f>IF(OR(原始資料!$A49="",22&gt;設定!$B$3,原始資料!Y49=""),"",IF(AND(原始資料!X49&lt;&gt;"",原始資料!Y49=原始資料!X49),N(V49)+1,1))</f>
        <v/>
      </c>
      <c r="X49" s="6">
        <f>IF(OR(原始資料!$A49="",23&gt;設定!$B$3,原始資料!Z49=""),"",IF(AND(原始資料!Y49&lt;&gt;"",原始資料!Z49=原始資料!Y49),N(W49)+1,1))</f>
        <v/>
      </c>
      <c r="Y49" s="6">
        <f>IF(OR(原始資料!$A49="",24&gt;設定!$B$3,原始資料!AA49=""),"",IF(AND(原始資料!Z49&lt;&gt;"",原始資料!AA49=原始資料!Z49),N(X49)+1,1))</f>
        <v/>
      </c>
      <c r="Z49" s="6">
        <f>IF(OR(原始資料!$A49="",25&gt;設定!$B$3,原始資料!AB49=""),"",IF(AND(原始資料!AA49&lt;&gt;"",原始資料!AB49=原始資料!AA49),N(Y49)+1,1))</f>
        <v/>
      </c>
      <c r="AA49" s="6">
        <f>IF(OR(原始資料!$A49="",26&gt;設定!$B$3,原始資料!AC49=""),"",IF(AND(原始資料!AB49&lt;&gt;"",原始資料!AC49=原始資料!AB49),N(Z49)+1,1))</f>
        <v/>
      </c>
      <c r="AB49" s="6">
        <f>IF(OR(原始資料!$A49="",27&gt;設定!$B$3,原始資料!AD49=""),"",IF(AND(原始資料!AC49&lt;&gt;"",原始資料!AD49=原始資料!AC49),N(AA49)+1,1))</f>
        <v/>
      </c>
      <c r="AC49" s="6">
        <f>IF(OR(原始資料!$A49="",28&gt;設定!$B$3,原始資料!AE49=""),"",IF(AND(原始資料!AD49&lt;&gt;"",原始資料!AE49=原始資料!AD49),N(AB49)+1,1))</f>
        <v/>
      </c>
      <c r="AD49" s="6">
        <f>IF(OR(原始資料!$A49="",29&gt;設定!$B$3,原始資料!AF49=""),"",IF(AND(原始資料!AE49&lt;&gt;"",原始資料!AF49=原始資料!AE49),N(AC49)+1,1))</f>
        <v/>
      </c>
      <c r="AE49" s="6">
        <f>IF(OR(原始資料!$A49="",30&gt;設定!$B$3,原始資料!AG49=""),"",IF(AND(原始資料!AF49&lt;&gt;"",原始資料!AG49=原始資料!AF49),N(AD49)+1,1))</f>
        <v/>
      </c>
      <c r="AF49" s="6">
        <f>IF(OR(原始資料!$A49="",31&gt;設定!$B$3,原始資料!AH49=""),"",IF(AND(原始資料!AG49&lt;&gt;"",原始資料!AH49=原始資料!AG49),N(AE49)+1,1))</f>
        <v/>
      </c>
      <c r="AG49" s="6">
        <f>IF(OR(原始資料!$A49="",32&gt;設定!$B$3,原始資料!AI49=""),"",IF(AND(原始資料!AH49&lt;&gt;"",原始資料!AI49=原始資料!AH49),N(AF49)+1,1))</f>
        <v/>
      </c>
      <c r="AH49" s="6">
        <f>IF(OR(原始資料!$A49="",33&gt;設定!$B$3,原始資料!AJ49=""),"",IF(AND(原始資料!AI49&lt;&gt;"",原始資料!AJ49=原始資料!AI49),N(AG49)+1,1))</f>
        <v/>
      </c>
      <c r="AI49" s="6">
        <f>IF(OR(原始資料!$A49="",34&gt;設定!$B$3,原始資料!AK49=""),"",IF(AND(原始資料!AJ49&lt;&gt;"",原始資料!AK49=原始資料!AJ49),N(AH49)+1,1))</f>
        <v/>
      </c>
      <c r="AJ49" s="6">
        <f>IF(OR(原始資料!$A49="",35&gt;設定!$B$3,原始資料!AL49=""),"",IF(AND(原始資料!AK49&lt;&gt;"",原始資料!AL49=原始資料!AK49),N(AI49)+1,1))</f>
        <v/>
      </c>
      <c r="AK49" s="6">
        <f>IF(OR(原始資料!$A49="",36&gt;設定!$B$3,原始資料!AM49=""),"",IF(AND(原始資料!AL49&lt;&gt;"",原始資料!AM49=原始資料!AL49),N(AJ49)+1,1))</f>
        <v/>
      </c>
      <c r="AL49" s="6">
        <f>IF(OR(原始資料!$A49="",37&gt;設定!$B$3,原始資料!AN49=""),"",IF(AND(原始資料!AM49&lt;&gt;"",原始資料!AN49=原始資料!AM49),N(AK49)+1,1))</f>
        <v/>
      </c>
      <c r="AM49" s="6">
        <f>IF(OR(原始資料!$A49="",38&gt;設定!$B$3,原始資料!AO49=""),"",IF(AND(原始資料!AN49&lt;&gt;"",原始資料!AO49=原始資料!AN49),N(AL49)+1,1))</f>
        <v/>
      </c>
      <c r="AN49" s="6">
        <f>IF(OR(原始資料!$A49="",39&gt;設定!$B$3,原始資料!AP49=""),"",IF(AND(原始資料!AO49&lt;&gt;"",原始資料!AP49=原始資料!AO49),N(AM49)+1,1))</f>
        <v/>
      </c>
      <c r="AO49" s="6">
        <f>IF(OR(原始資料!$A49="",40&gt;設定!$B$3,原始資料!AQ49=""),"",IF(AND(原始資料!AP49&lt;&gt;"",原始資料!AQ49=原始資料!AP49),N(AN49)+1,1))</f>
        <v/>
      </c>
      <c r="AP49" s="6">
        <f>IF(OR(原始資料!$A49="",41&gt;設定!$B$3,原始資料!AR49=""),"",IF(AND(原始資料!AQ49&lt;&gt;"",原始資料!AR49=原始資料!AQ49),N(AO49)+1,1))</f>
        <v/>
      </c>
      <c r="AQ49" s="6">
        <f>IF(OR(原始資料!$A49="",42&gt;設定!$B$3,原始資料!AS49=""),"",IF(AND(原始資料!AR49&lt;&gt;"",原始資料!AS49=原始資料!AR49),N(AP49)+1,1))</f>
        <v/>
      </c>
      <c r="AR49" s="6">
        <f>IF(OR(原始資料!$A49="",43&gt;設定!$B$3,原始資料!AT49=""),"",IF(AND(原始資料!AS49&lt;&gt;"",原始資料!AT49=原始資料!AS49),N(AQ49)+1,1))</f>
        <v/>
      </c>
      <c r="AS49" s="6">
        <f>IF(OR(原始資料!$A49="",44&gt;設定!$B$3,原始資料!AU49=""),"",IF(AND(原始資料!AT49&lt;&gt;"",原始資料!AU49=原始資料!AT49),N(AR49)+1,1))</f>
        <v/>
      </c>
      <c r="AT49" s="6">
        <f>IF(OR(原始資料!$A49="",45&gt;設定!$B$3,原始資料!AV49=""),"",IF(AND(原始資料!AU49&lt;&gt;"",原始資料!AV49=原始資料!AU49),N(AS49)+1,1))</f>
        <v/>
      </c>
      <c r="AU49" s="6">
        <f>IF(OR(原始資料!$A49="",46&gt;設定!$B$3,原始資料!AW49=""),"",IF(AND(原始資料!AV49&lt;&gt;"",原始資料!AW49=原始資料!AV49),N(AT49)+1,1))</f>
        <v/>
      </c>
      <c r="AV49" s="6">
        <f>IF(OR(原始資料!$A49="",47&gt;設定!$B$3,原始資料!AX49=""),"",IF(AND(原始資料!AW49&lt;&gt;"",原始資料!AX49=原始資料!AW49),N(AU49)+1,1))</f>
        <v/>
      </c>
      <c r="AW49" s="6">
        <f>IF(OR(原始資料!$A49="",48&gt;設定!$B$3,原始資料!AY49=""),"",IF(AND(原始資料!AX49&lt;&gt;"",原始資料!AY49=原始資料!AX49),N(AV49)+1,1))</f>
        <v/>
      </c>
      <c r="AX49" s="6">
        <f>IF(OR(原始資料!$A49="",49&gt;設定!$B$3,原始資料!AZ49=""),"",IF(AND(原始資料!AY49&lt;&gt;"",原始資料!AZ49=原始資料!AY49),N(AW49)+1,1))</f>
        <v/>
      </c>
      <c r="AY49" s="6">
        <f>IF(OR(原始資料!$A49="",50&gt;設定!$B$3,原始資料!BA49=""),"",IF(AND(原始資料!AZ49&lt;&gt;"",原始資料!BA49=原始資料!AZ49),N(AX49)+1,1))</f>
        <v/>
      </c>
      <c r="AZ49" s="6">
        <f>IF(OR(原始資料!$A49="",51&gt;設定!$B$3,原始資料!BB49=""),"",IF(AND(原始資料!BA49&lt;&gt;"",原始資料!BB49=原始資料!BA49),N(AY49)+1,1))</f>
        <v/>
      </c>
      <c r="BA49" s="6">
        <f>IF(OR(原始資料!$A49="",52&gt;設定!$B$3,原始資料!BC49=""),"",IF(AND(原始資料!BB49&lt;&gt;"",原始資料!BC49=原始資料!BB49),N(AZ49)+1,1))</f>
        <v/>
      </c>
      <c r="BB49" s="6">
        <f>IF(OR(原始資料!$A49="",53&gt;設定!$B$3,原始資料!BD49=""),"",IF(AND(原始資料!BC49&lt;&gt;"",原始資料!BD49=原始資料!BC49),N(BA49)+1,1))</f>
        <v/>
      </c>
      <c r="BC49" s="6">
        <f>IF(OR(原始資料!$A49="",54&gt;設定!$B$3,原始資料!BE49=""),"",IF(AND(原始資料!BD49&lt;&gt;"",原始資料!BE49=原始資料!BD49),N(BB49)+1,1))</f>
        <v/>
      </c>
      <c r="BD49" s="6">
        <f>IF(OR(原始資料!$A49="",55&gt;設定!$B$3,原始資料!BF49=""),"",IF(AND(原始資料!BE49&lt;&gt;"",原始資料!BF49=原始資料!BE49),N(BC49)+1,1))</f>
        <v/>
      </c>
      <c r="BE49" s="6">
        <f>IF(OR(原始資料!$A49="",56&gt;設定!$B$3,原始資料!BG49=""),"",IF(AND(原始資料!BF49&lt;&gt;"",原始資料!BG49=原始資料!BF49),N(BD49)+1,1))</f>
        <v/>
      </c>
      <c r="BF49" s="6">
        <f>IF(OR(原始資料!$A49="",57&gt;設定!$B$3,原始資料!BH49=""),"",IF(AND(原始資料!BG49&lt;&gt;"",原始資料!BH49=原始資料!BG49),N(BE49)+1,1))</f>
        <v/>
      </c>
      <c r="BG49" s="6">
        <f>IF(OR(原始資料!$A49="",58&gt;設定!$B$3,原始資料!BI49=""),"",IF(AND(原始資料!BH49&lt;&gt;"",原始資料!BI49=原始資料!BH49),N(BF49)+1,1))</f>
        <v/>
      </c>
      <c r="BH49" s="6">
        <f>IF(OR(原始資料!$A49="",59&gt;設定!$B$3,原始資料!BJ49=""),"",IF(AND(原始資料!BI49&lt;&gt;"",原始資料!BJ49=原始資料!BI49),N(BG49)+1,1))</f>
        <v/>
      </c>
      <c r="BI49" s="6">
        <f>IF(OR(原始資料!$A49="",60&gt;設定!$B$3,原始資料!BK49=""),"",IF(AND(原始資料!BJ49&lt;&gt;"",原始資料!BK49=原始資料!BJ49),N(BH49)+1,1))</f>
        <v/>
      </c>
    </row>
    <row r="50">
      <c r="A50" s="6">
        <f>IF(原始資料!$A50="","",原始資料!$A50)</f>
        <v/>
      </c>
      <c r="B50" s="6">
        <f>IF(OR(原始資料!$A50="",1&gt;設定!$B$3,原始資料!D50=""),"",1)</f>
        <v/>
      </c>
      <c r="C50" s="6">
        <f>IF(OR(原始資料!$A50="",2&gt;設定!$B$3,原始資料!E50=""),"",IF(AND(原始資料!D50&lt;&gt;"",原始資料!E50=原始資料!D50),N(B50)+1,1))</f>
        <v/>
      </c>
      <c r="D50" s="6">
        <f>IF(OR(原始資料!$A50="",3&gt;設定!$B$3,原始資料!F50=""),"",IF(AND(原始資料!E50&lt;&gt;"",原始資料!F50=原始資料!E50),N(C50)+1,1))</f>
        <v/>
      </c>
      <c r="E50" s="6">
        <f>IF(OR(原始資料!$A50="",4&gt;設定!$B$3,原始資料!G50=""),"",IF(AND(原始資料!F50&lt;&gt;"",原始資料!G50=原始資料!F50),N(D50)+1,1))</f>
        <v/>
      </c>
      <c r="F50" s="6">
        <f>IF(OR(原始資料!$A50="",5&gt;設定!$B$3,原始資料!H50=""),"",IF(AND(原始資料!G50&lt;&gt;"",原始資料!H50=原始資料!G50),N(E50)+1,1))</f>
        <v/>
      </c>
      <c r="G50" s="6">
        <f>IF(OR(原始資料!$A50="",6&gt;設定!$B$3,原始資料!I50=""),"",IF(AND(原始資料!H50&lt;&gt;"",原始資料!I50=原始資料!H50),N(F50)+1,1))</f>
        <v/>
      </c>
      <c r="H50" s="6">
        <f>IF(OR(原始資料!$A50="",7&gt;設定!$B$3,原始資料!J50=""),"",IF(AND(原始資料!I50&lt;&gt;"",原始資料!J50=原始資料!I50),N(G50)+1,1))</f>
        <v/>
      </c>
      <c r="I50" s="6">
        <f>IF(OR(原始資料!$A50="",8&gt;設定!$B$3,原始資料!K50=""),"",IF(AND(原始資料!J50&lt;&gt;"",原始資料!K50=原始資料!J50),N(H50)+1,1))</f>
        <v/>
      </c>
      <c r="J50" s="6">
        <f>IF(OR(原始資料!$A50="",9&gt;設定!$B$3,原始資料!L50=""),"",IF(AND(原始資料!K50&lt;&gt;"",原始資料!L50=原始資料!K50),N(I50)+1,1))</f>
        <v/>
      </c>
      <c r="K50" s="6">
        <f>IF(OR(原始資料!$A50="",10&gt;設定!$B$3,原始資料!M50=""),"",IF(AND(原始資料!L50&lt;&gt;"",原始資料!M50=原始資料!L50),N(J50)+1,1))</f>
        <v/>
      </c>
      <c r="L50" s="6">
        <f>IF(OR(原始資料!$A50="",11&gt;設定!$B$3,原始資料!N50=""),"",IF(AND(原始資料!M50&lt;&gt;"",原始資料!N50=原始資料!M50),N(K50)+1,1))</f>
        <v/>
      </c>
      <c r="M50" s="6">
        <f>IF(OR(原始資料!$A50="",12&gt;設定!$B$3,原始資料!O50=""),"",IF(AND(原始資料!N50&lt;&gt;"",原始資料!O50=原始資料!N50),N(L50)+1,1))</f>
        <v/>
      </c>
      <c r="N50" s="6">
        <f>IF(OR(原始資料!$A50="",13&gt;設定!$B$3,原始資料!P50=""),"",IF(AND(原始資料!O50&lt;&gt;"",原始資料!P50=原始資料!O50),N(M50)+1,1))</f>
        <v/>
      </c>
      <c r="O50" s="6">
        <f>IF(OR(原始資料!$A50="",14&gt;設定!$B$3,原始資料!Q50=""),"",IF(AND(原始資料!P50&lt;&gt;"",原始資料!Q50=原始資料!P50),N(N50)+1,1))</f>
        <v/>
      </c>
      <c r="P50" s="6">
        <f>IF(OR(原始資料!$A50="",15&gt;設定!$B$3,原始資料!R50=""),"",IF(AND(原始資料!Q50&lt;&gt;"",原始資料!R50=原始資料!Q50),N(O50)+1,1))</f>
        <v/>
      </c>
      <c r="Q50" s="6">
        <f>IF(OR(原始資料!$A50="",16&gt;設定!$B$3,原始資料!S50=""),"",IF(AND(原始資料!R50&lt;&gt;"",原始資料!S50=原始資料!R50),N(P50)+1,1))</f>
        <v/>
      </c>
      <c r="R50" s="6">
        <f>IF(OR(原始資料!$A50="",17&gt;設定!$B$3,原始資料!T50=""),"",IF(AND(原始資料!S50&lt;&gt;"",原始資料!T50=原始資料!S50),N(Q50)+1,1))</f>
        <v/>
      </c>
      <c r="S50" s="6">
        <f>IF(OR(原始資料!$A50="",18&gt;設定!$B$3,原始資料!U50=""),"",IF(AND(原始資料!T50&lt;&gt;"",原始資料!U50=原始資料!T50),N(R50)+1,1))</f>
        <v/>
      </c>
      <c r="T50" s="6">
        <f>IF(OR(原始資料!$A50="",19&gt;設定!$B$3,原始資料!V50=""),"",IF(AND(原始資料!U50&lt;&gt;"",原始資料!V50=原始資料!U50),N(S50)+1,1))</f>
        <v/>
      </c>
      <c r="U50" s="6">
        <f>IF(OR(原始資料!$A50="",20&gt;設定!$B$3,原始資料!W50=""),"",IF(AND(原始資料!V50&lt;&gt;"",原始資料!W50=原始資料!V50),N(T50)+1,1))</f>
        <v/>
      </c>
      <c r="V50" s="6">
        <f>IF(OR(原始資料!$A50="",21&gt;設定!$B$3,原始資料!X50=""),"",IF(AND(原始資料!W50&lt;&gt;"",原始資料!X50=原始資料!W50),N(U50)+1,1))</f>
        <v/>
      </c>
      <c r="W50" s="6">
        <f>IF(OR(原始資料!$A50="",22&gt;設定!$B$3,原始資料!Y50=""),"",IF(AND(原始資料!X50&lt;&gt;"",原始資料!Y50=原始資料!X50),N(V50)+1,1))</f>
        <v/>
      </c>
      <c r="X50" s="6">
        <f>IF(OR(原始資料!$A50="",23&gt;設定!$B$3,原始資料!Z50=""),"",IF(AND(原始資料!Y50&lt;&gt;"",原始資料!Z50=原始資料!Y50),N(W50)+1,1))</f>
        <v/>
      </c>
      <c r="Y50" s="6">
        <f>IF(OR(原始資料!$A50="",24&gt;設定!$B$3,原始資料!AA50=""),"",IF(AND(原始資料!Z50&lt;&gt;"",原始資料!AA50=原始資料!Z50),N(X50)+1,1))</f>
        <v/>
      </c>
      <c r="Z50" s="6">
        <f>IF(OR(原始資料!$A50="",25&gt;設定!$B$3,原始資料!AB50=""),"",IF(AND(原始資料!AA50&lt;&gt;"",原始資料!AB50=原始資料!AA50),N(Y50)+1,1))</f>
        <v/>
      </c>
      <c r="AA50" s="6">
        <f>IF(OR(原始資料!$A50="",26&gt;設定!$B$3,原始資料!AC50=""),"",IF(AND(原始資料!AB50&lt;&gt;"",原始資料!AC50=原始資料!AB50),N(Z50)+1,1))</f>
        <v/>
      </c>
      <c r="AB50" s="6">
        <f>IF(OR(原始資料!$A50="",27&gt;設定!$B$3,原始資料!AD50=""),"",IF(AND(原始資料!AC50&lt;&gt;"",原始資料!AD50=原始資料!AC50),N(AA50)+1,1))</f>
        <v/>
      </c>
      <c r="AC50" s="6">
        <f>IF(OR(原始資料!$A50="",28&gt;設定!$B$3,原始資料!AE50=""),"",IF(AND(原始資料!AD50&lt;&gt;"",原始資料!AE50=原始資料!AD50),N(AB50)+1,1))</f>
        <v/>
      </c>
      <c r="AD50" s="6">
        <f>IF(OR(原始資料!$A50="",29&gt;設定!$B$3,原始資料!AF50=""),"",IF(AND(原始資料!AE50&lt;&gt;"",原始資料!AF50=原始資料!AE50),N(AC50)+1,1))</f>
        <v/>
      </c>
      <c r="AE50" s="6">
        <f>IF(OR(原始資料!$A50="",30&gt;設定!$B$3,原始資料!AG50=""),"",IF(AND(原始資料!AF50&lt;&gt;"",原始資料!AG50=原始資料!AF50),N(AD50)+1,1))</f>
        <v/>
      </c>
      <c r="AF50" s="6">
        <f>IF(OR(原始資料!$A50="",31&gt;設定!$B$3,原始資料!AH50=""),"",IF(AND(原始資料!AG50&lt;&gt;"",原始資料!AH50=原始資料!AG50),N(AE50)+1,1))</f>
        <v/>
      </c>
      <c r="AG50" s="6">
        <f>IF(OR(原始資料!$A50="",32&gt;設定!$B$3,原始資料!AI50=""),"",IF(AND(原始資料!AH50&lt;&gt;"",原始資料!AI50=原始資料!AH50),N(AF50)+1,1))</f>
        <v/>
      </c>
      <c r="AH50" s="6">
        <f>IF(OR(原始資料!$A50="",33&gt;設定!$B$3,原始資料!AJ50=""),"",IF(AND(原始資料!AI50&lt;&gt;"",原始資料!AJ50=原始資料!AI50),N(AG50)+1,1))</f>
        <v/>
      </c>
      <c r="AI50" s="6">
        <f>IF(OR(原始資料!$A50="",34&gt;設定!$B$3,原始資料!AK50=""),"",IF(AND(原始資料!AJ50&lt;&gt;"",原始資料!AK50=原始資料!AJ50),N(AH50)+1,1))</f>
        <v/>
      </c>
      <c r="AJ50" s="6">
        <f>IF(OR(原始資料!$A50="",35&gt;設定!$B$3,原始資料!AL50=""),"",IF(AND(原始資料!AK50&lt;&gt;"",原始資料!AL50=原始資料!AK50),N(AI50)+1,1))</f>
        <v/>
      </c>
      <c r="AK50" s="6">
        <f>IF(OR(原始資料!$A50="",36&gt;設定!$B$3,原始資料!AM50=""),"",IF(AND(原始資料!AL50&lt;&gt;"",原始資料!AM50=原始資料!AL50),N(AJ50)+1,1))</f>
        <v/>
      </c>
      <c r="AL50" s="6">
        <f>IF(OR(原始資料!$A50="",37&gt;設定!$B$3,原始資料!AN50=""),"",IF(AND(原始資料!AM50&lt;&gt;"",原始資料!AN50=原始資料!AM50),N(AK50)+1,1))</f>
        <v/>
      </c>
      <c r="AM50" s="6">
        <f>IF(OR(原始資料!$A50="",38&gt;設定!$B$3,原始資料!AO50=""),"",IF(AND(原始資料!AN50&lt;&gt;"",原始資料!AO50=原始資料!AN50),N(AL50)+1,1))</f>
        <v/>
      </c>
      <c r="AN50" s="6">
        <f>IF(OR(原始資料!$A50="",39&gt;設定!$B$3,原始資料!AP50=""),"",IF(AND(原始資料!AO50&lt;&gt;"",原始資料!AP50=原始資料!AO50),N(AM50)+1,1))</f>
        <v/>
      </c>
      <c r="AO50" s="6">
        <f>IF(OR(原始資料!$A50="",40&gt;設定!$B$3,原始資料!AQ50=""),"",IF(AND(原始資料!AP50&lt;&gt;"",原始資料!AQ50=原始資料!AP50),N(AN50)+1,1))</f>
        <v/>
      </c>
      <c r="AP50" s="6">
        <f>IF(OR(原始資料!$A50="",41&gt;設定!$B$3,原始資料!AR50=""),"",IF(AND(原始資料!AQ50&lt;&gt;"",原始資料!AR50=原始資料!AQ50),N(AO50)+1,1))</f>
        <v/>
      </c>
      <c r="AQ50" s="6">
        <f>IF(OR(原始資料!$A50="",42&gt;設定!$B$3,原始資料!AS50=""),"",IF(AND(原始資料!AR50&lt;&gt;"",原始資料!AS50=原始資料!AR50),N(AP50)+1,1))</f>
        <v/>
      </c>
      <c r="AR50" s="6">
        <f>IF(OR(原始資料!$A50="",43&gt;設定!$B$3,原始資料!AT50=""),"",IF(AND(原始資料!AS50&lt;&gt;"",原始資料!AT50=原始資料!AS50),N(AQ50)+1,1))</f>
        <v/>
      </c>
      <c r="AS50" s="6">
        <f>IF(OR(原始資料!$A50="",44&gt;設定!$B$3,原始資料!AU50=""),"",IF(AND(原始資料!AT50&lt;&gt;"",原始資料!AU50=原始資料!AT50),N(AR50)+1,1))</f>
        <v/>
      </c>
      <c r="AT50" s="6">
        <f>IF(OR(原始資料!$A50="",45&gt;設定!$B$3,原始資料!AV50=""),"",IF(AND(原始資料!AU50&lt;&gt;"",原始資料!AV50=原始資料!AU50),N(AS50)+1,1))</f>
        <v/>
      </c>
      <c r="AU50" s="6">
        <f>IF(OR(原始資料!$A50="",46&gt;設定!$B$3,原始資料!AW50=""),"",IF(AND(原始資料!AV50&lt;&gt;"",原始資料!AW50=原始資料!AV50),N(AT50)+1,1))</f>
        <v/>
      </c>
      <c r="AV50" s="6">
        <f>IF(OR(原始資料!$A50="",47&gt;設定!$B$3,原始資料!AX50=""),"",IF(AND(原始資料!AW50&lt;&gt;"",原始資料!AX50=原始資料!AW50),N(AU50)+1,1))</f>
        <v/>
      </c>
      <c r="AW50" s="6">
        <f>IF(OR(原始資料!$A50="",48&gt;設定!$B$3,原始資料!AY50=""),"",IF(AND(原始資料!AX50&lt;&gt;"",原始資料!AY50=原始資料!AX50),N(AV50)+1,1))</f>
        <v/>
      </c>
      <c r="AX50" s="6">
        <f>IF(OR(原始資料!$A50="",49&gt;設定!$B$3,原始資料!AZ50=""),"",IF(AND(原始資料!AY50&lt;&gt;"",原始資料!AZ50=原始資料!AY50),N(AW50)+1,1))</f>
        <v/>
      </c>
      <c r="AY50" s="6">
        <f>IF(OR(原始資料!$A50="",50&gt;設定!$B$3,原始資料!BA50=""),"",IF(AND(原始資料!AZ50&lt;&gt;"",原始資料!BA50=原始資料!AZ50),N(AX50)+1,1))</f>
        <v/>
      </c>
      <c r="AZ50" s="6">
        <f>IF(OR(原始資料!$A50="",51&gt;設定!$B$3,原始資料!BB50=""),"",IF(AND(原始資料!BA50&lt;&gt;"",原始資料!BB50=原始資料!BA50),N(AY50)+1,1))</f>
        <v/>
      </c>
      <c r="BA50" s="6">
        <f>IF(OR(原始資料!$A50="",52&gt;設定!$B$3,原始資料!BC50=""),"",IF(AND(原始資料!BB50&lt;&gt;"",原始資料!BC50=原始資料!BB50),N(AZ50)+1,1))</f>
        <v/>
      </c>
      <c r="BB50" s="6">
        <f>IF(OR(原始資料!$A50="",53&gt;設定!$B$3,原始資料!BD50=""),"",IF(AND(原始資料!BC50&lt;&gt;"",原始資料!BD50=原始資料!BC50),N(BA50)+1,1))</f>
        <v/>
      </c>
      <c r="BC50" s="6">
        <f>IF(OR(原始資料!$A50="",54&gt;設定!$B$3,原始資料!BE50=""),"",IF(AND(原始資料!BD50&lt;&gt;"",原始資料!BE50=原始資料!BD50),N(BB50)+1,1))</f>
        <v/>
      </c>
      <c r="BD50" s="6">
        <f>IF(OR(原始資料!$A50="",55&gt;設定!$B$3,原始資料!BF50=""),"",IF(AND(原始資料!BE50&lt;&gt;"",原始資料!BF50=原始資料!BE50),N(BC50)+1,1))</f>
        <v/>
      </c>
      <c r="BE50" s="6">
        <f>IF(OR(原始資料!$A50="",56&gt;設定!$B$3,原始資料!BG50=""),"",IF(AND(原始資料!BF50&lt;&gt;"",原始資料!BG50=原始資料!BF50),N(BD50)+1,1))</f>
        <v/>
      </c>
      <c r="BF50" s="6">
        <f>IF(OR(原始資料!$A50="",57&gt;設定!$B$3,原始資料!BH50=""),"",IF(AND(原始資料!BG50&lt;&gt;"",原始資料!BH50=原始資料!BG50),N(BE50)+1,1))</f>
        <v/>
      </c>
      <c r="BG50" s="6">
        <f>IF(OR(原始資料!$A50="",58&gt;設定!$B$3,原始資料!BI50=""),"",IF(AND(原始資料!BH50&lt;&gt;"",原始資料!BI50=原始資料!BH50),N(BF50)+1,1))</f>
        <v/>
      </c>
      <c r="BH50" s="6">
        <f>IF(OR(原始資料!$A50="",59&gt;設定!$B$3,原始資料!BJ50=""),"",IF(AND(原始資料!BI50&lt;&gt;"",原始資料!BJ50=原始資料!BI50),N(BG50)+1,1))</f>
        <v/>
      </c>
      <c r="BI50" s="6">
        <f>IF(OR(原始資料!$A50="",60&gt;設定!$B$3,原始資料!BK50=""),"",IF(AND(原始資料!BJ50&lt;&gt;"",原始資料!BK50=原始資料!BJ50),N(BH50)+1,1))</f>
        <v/>
      </c>
    </row>
    <row r="51">
      <c r="A51" s="6">
        <f>IF(原始資料!$A51="","",原始資料!$A51)</f>
        <v/>
      </c>
      <c r="B51" s="6">
        <f>IF(OR(原始資料!$A51="",1&gt;設定!$B$3,原始資料!D51=""),"",1)</f>
        <v/>
      </c>
      <c r="C51" s="6">
        <f>IF(OR(原始資料!$A51="",2&gt;設定!$B$3,原始資料!E51=""),"",IF(AND(原始資料!D51&lt;&gt;"",原始資料!E51=原始資料!D51),N(B51)+1,1))</f>
        <v/>
      </c>
      <c r="D51" s="6">
        <f>IF(OR(原始資料!$A51="",3&gt;設定!$B$3,原始資料!F51=""),"",IF(AND(原始資料!E51&lt;&gt;"",原始資料!F51=原始資料!E51),N(C51)+1,1))</f>
        <v/>
      </c>
      <c r="E51" s="6">
        <f>IF(OR(原始資料!$A51="",4&gt;設定!$B$3,原始資料!G51=""),"",IF(AND(原始資料!F51&lt;&gt;"",原始資料!G51=原始資料!F51),N(D51)+1,1))</f>
        <v/>
      </c>
      <c r="F51" s="6">
        <f>IF(OR(原始資料!$A51="",5&gt;設定!$B$3,原始資料!H51=""),"",IF(AND(原始資料!G51&lt;&gt;"",原始資料!H51=原始資料!G51),N(E51)+1,1))</f>
        <v/>
      </c>
      <c r="G51" s="6">
        <f>IF(OR(原始資料!$A51="",6&gt;設定!$B$3,原始資料!I51=""),"",IF(AND(原始資料!H51&lt;&gt;"",原始資料!I51=原始資料!H51),N(F51)+1,1))</f>
        <v/>
      </c>
      <c r="H51" s="6">
        <f>IF(OR(原始資料!$A51="",7&gt;設定!$B$3,原始資料!J51=""),"",IF(AND(原始資料!I51&lt;&gt;"",原始資料!J51=原始資料!I51),N(G51)+1,1))</f>
        <v/>
      </c>
      <c r="I51" s="6">
        <f>IF(OR(原始資料!$A51="",8&gt;設定!$B$3,原始資料!K51=""),"",IF(AND(原始資料!J51&lt;&gt;"",原始資料!K51=原始資料!J51),N(H51)+1,1))</f>
        <v/>
      </c>
      <c r="J51" s="6">
        <f>IF(OR(原始資料!$A51="",9&gt;設定!$B$3,原始資料!L51=""),"",IF(AND(原始資料!K51&lt;&gt;"",原始資料!L51=原始資料!K51),N(I51)+1,1))</f>
        <v/>
      </c>
      <c r="K51" s="6">
        <f>IF(OR(原始資料!$A51="",10&gt;設定!$B$3,原始資料!M51=""),"",IF(AND(原始資料!L51&lt;&gt;"",原始資料!M51=原始資料!L51),N(J51)+1,1))</f>
        <v/>
      </c>
      <c r="L51" s="6">
        <f>IF(OR(原始資料!$A51="",11&gt;設定!$B$3,原始資料!N51=""),"",IF(AND(原始資料!M51&lt;&gt;"",原始資料!N51=原始資料!M51),N(K51)+1,1))</f>
        <v/>
      </c>
      <c r="M51" s="6">
        <f>IF(OR(原始資料!$A51="",12&gt;設定!$B$3,原始資料!O51=""),"",IF(AND(原始資料!N51&lt;&gt;"",原始資料!O51=原始資料!N51),N(L51)+1,1))</f>
        <v/>
      </c>
      <c r="N51" s="6">
        <f>IF(OR(原始資料!$A51="",13&gt;設定!$B$3,原始資料!P51=""),"",IF(AND(原始資料!O51&lt;&gt;"",原始資料!P51=原始資料!O51),N(M51)+1,1))</f>
        <v/>
      </c>
      <c r="O51" s="6">
        <f>IF(OR(原始資料!$A51="",14&gt;設定!$B$3,原始資料!Q51=""),"",IF(AND(原始資料!P51&lt;&gt;"",原始資料!Q51=原始資料!P51),N(N51)+1,1))</f>
        <v/>
      </c>
      <c r="P51" s="6">
        <f>IF(OR(原始資料!$A51="",15&gt;設定!$B$3,原始資料!R51=""),"",IF(AND(原始資料!Q51&lt;&gt;"",原始資料!R51=原始資料!Q51),N(O51)+1,1))</f>
        <v/>
      </c>
      <c r="Q51" s="6">
        <f>IF(OR(原始資料!$A51="",16&gt;設定!$B$3,原始資料!S51=""),"",IF(AND(原始資料!R51&lt;&gt;"",原始資料!S51=原始資料!R51),N(P51)+1,1))</f>
        <v/>
      </c>
      <c r="R51" s="6">
        <f>IF(OR(原始資料!$A51="",17&gt;設定!$B$3,原始資料!T51=""),"",IF(AND(原始資料!S51&lt;&gt;"",原始資料!T51=原始資料!S51),N(Q51)+1,1))</f>
        <v/>
      </c>
      <c r="S51" s="6">
        <f>IF(OR(原始資料!$A51="",18&gt;設定!$B$3,原始資料!U51=""),"",IF(AND(原始資料!T51&lt;&gt;"",原始資料!U51=原始資料!T51),N(R51)+1,1))</f>
        <v/>
      </c>
      <c r="T51" s="6">
        <f>IF(OR(原始資料!$A51="",19&gt;設定!$B$3,原始資料!V51=""),"",IF(AND(原始資料!U51&lt;&gt;"",原始資料!V51=原始資料!U51),N(S51)+1,1))</f>
        <v/>
      </c>
      <c r="U51" s="6">
        <f>IF(OR(原始資料!$A51="",20&gt;設定!$B$3,原始資料!W51=""),"",IF(AND(原始資料!V51&lt;&gt;"",原始資料!W51=原始資料!V51),N(T51)+1,1))</f>
        <v/>
      </c>
      <c r="V51" s="6">
        <f>IF(OR(原始資料!$A51="",21&gt;設定!$B$3,原始資料!X51=""),"",IF(AND(原始資料!W51&lt;&gt;"",原始資料!X51=原始資料!W51),N(U51)+1,1))</f>
        <v/>
      </c>
      <c r="W51" s="6">
        <f>IF(OR(原始資料!$A51="",22&gt;設定!$B$3,原始資料!Y51=""),"",IF(AND(原始資料!X51&lt;&gt;"",原始資料!Y51=原始資料!X51),N(V51)+1,1))</f>
        <v/>
      </c>
      <c r="X51" s="6">
        <f>IF(OR(原始資料!$A51="",23&gt;設定!$B$3,原始資料!Z51=""),"",IF(AND(原始資料!Y51&lt;&gt;"",原始資料!Z51=原始資料!Y51),N(W51)+1,1))</f>
        <v/>
      </c>
      <c r="Y51" s="6">
        <f>IF(OR(原始資料!$A51="",24&gt;設定!$B$3,原始資料!AA51=""),"",IF(AND(原始資料!Z51&lt;&gt;"",原始資料!AA51=原始資料!Z51),N(X51)+1,1))</f>
        <v/>
      </c>
      <c r="Z51" s="6">
        <f>IF(OR(原始資料!$A51="",25&gt;設定!$B$3,原始資料!AB51=""),"",IF(AND(原始資料!AA51&lt;&gt;"",原始資料!AB51=原始資料!AA51),N(Y51)+1,1))</f>
        <v/>
      </c>
      <c r="AA51" s="6">
        <f>IF(OR(原始資料!$A51="",26&gt;設定!$B$3,原始資料!AC51=""),"",IF(AND(原始資料!AB51&lt;&gt;"",原始資料!AC51=原始資料!AB51),N(Z51)+1,1))</f>
        <v/>
      </c>
      <c r="AB51" s="6">
        <f>IF(OR(原始資料!$A51="",27&gt;設定!$B$3,原始資料!AD51=""),"",IF(AND(原始資料!AC51&lt;&gt;"",原始資料!AD51=原始資料!AC51),N(AA51)+1,1))</f>
        <v/>
      </c>
      <c r="AC51" s="6">
        <f>IF(OR(原始資料!$A51="",28&gt;設定!$B$3,原始資料!AE51=""),"",IF(AND(原始資料!AD51&lt;&gt;"",原始資料!AE51=原始資料!AD51),N(AB51)+1,1))</f>
        <v/>
      </c>
      <c r="AD51" s="6">
        <f>IF(OR(原始資料!$A51="",29&gt;設定!$B$3,原始資料!AF51=""),"",IF(AND(原始資料!AE51&lt;&gt;"",原始資料!AF51=原始資料!AE51),N(AC51)+1,1))</f>
        <v/>
      </c>
      <c r="AE51" s="6">
        <f>IF(OR(原始資料!$A51="",30&gt;設定!$B$3,原始資料!AG51=""),"",IF(AND(原始資料!AF51&lt;&gt;"",原始資料!AG51=原始資料!AF51),N(AD51)+1,1))</f>
        <v/>
      </c>
      <c r="AF51" s="6">
        <f>IF(OR(原始資料!$A51="",31&gt;設定!$B$3,原始資料!AH51=""),"",IF(AND(原始資料!AG51&lt;&gt;"",原始資料!AH51=原始資料!AG51),N(AE51)+1,1))</f>
        <v/>
      </c>
      <c r="AG51" s="6">
        <f>IF(OR(原始資料!$A51="",32&gt;設定!$B$3,原始資料!AI51=""),"",IF(AND(原始資料!AH51&lt;&gt;"",原始資料!AI51=原始資料!AH51),N(AF51)+1,1))</f>
        <v/>
      </c>
      <c r="AH51" s="6">
        <f>IF(OR(原始資料!$A51="",33&gt;設定!$B$3,原始資料!AJ51=""),"",IF(AND(原始資料!AI51&lt;&gt;"",原始資料!AJ51=原始資料!AI51),N(AG51)+1,1))</f>
        <v/>
      </c>
      <c r="AI51" s="6">
        <f>IF(OR(原始資料!$A51="",34&gt;設定!$B$3,原始資料!AK51=""),"",IF(AND(原始資料!AJ51&lt;&gt;"",原始資料!AK51=原始資料!AJ51),N(AH51)+1,1))</f>
        <v/>
      </c>
      <c r="AJ51" s="6">
        <f>IF(OR(原始資料!$A51="",35&gt;設定!$B$3,原始資料!AL51=""),"",IF(AND(原始資料!AK51&lt;&gt;"",原始資料!AL51=原始資料!AK51),N(AI51)+1,1))</f>
        <v/>
      </c>
      <c r="AK51" s="6">
        <f>IF(OR(原始資料!$A51="",36&gt;設定!$B$3,原始資料!AM51=""),"",IF(AND(原始資料!AL51&lt;&gt;"",原始資料!AM51=原始資料!AL51),N(AJ51)+1,1))</f>
        <v/>
      </c>
      <c r="AL51" s="6">
        <f>IF(OR(原始資料!$A51="",37&gt;設定!$B$3,原始資料!AN51=""),"",IF(AND(原始資料!AM51&lt;&gt;"",原始資料!AN51=原始資料!AM51),N(AK51)+1,1))</f>
        <v/>
      </c>
      <c r="AM51" s="6">
        <f>IF(OR(原始資料!$A51="",38&gt;設定!$B$3,原始資料!AO51=""),"",IF(AND(原始資料!AN51&lt;&gt;"",原始資料!AO51=原始資料!AN51),N(AL51)+1,1))</f>
        <v/>
      </c>
      <c r="AN51" s="6">
        <f>IF(OR(原始資料!$A51="",39&gt;設定!$B$3,原始資料!AP51=""),"",IF(AND(原始資料!AO51&lt;&gt;"",原始資料!AP51=原始資料!AO51),N(AM51)+1,1))</f>
        <v/>
      </c>
      <c r="AO51" s="6">
        <f>IF(OR(原始資料!$A51="",40&gt;設定!$B$3,原始資料!AQ51=""),"",IF(AND(原始資料!AP51&lt;&gt;"",原始資料!AQ51=原始資料!AP51),N(AN51)+1,1))</f>
        <v/>
      </c>
      <c r="AP51" s="6">
        <f>IF(OR(原始資料!$A51="",41&gt;設定!$B$3,原始資料!AR51=""),"",IF(AND(原始資料!AQ51&lt;&gt;"",原始資料!AR51=原始資料!AQ51),N(AO51)+1,1))</f>
        <v/>
      </c>
      <c r="AQ51" s="6">
        <f>IF(OR(原始資料!$A51="",42&gt;設定!$B$3,原始資料!AS51=""),"",IF(AND(原始資料!AR51&lt;&gt;"",原始資料!AS51=原始資料!AR51),N(AP51)+1,1))</f>
        <v/>
      </c>
      <c r="AR51" s="6">
        <f>IF(OR(原始資料!$A51="",43&gt;設定!$B$3,原始資料!AT51=""),"",IF(AND(原始資料!AS51&lt;&gt;"",原始資料!AT51=原始資料!AS51),N(AQ51)+1,1))</f>
        <v/>
      </c>
      <c r="AS51" s="6">
        <f>IF(OR(原始資料!$A51="",44&gt;設定!$B$3,原始資料!AU51=""),"",IF(AND(原始資料!AT51&lt;&gt;"",原始資料!AU51=原始資料!AT51),N(AR51)+1,1))</f>
        <v/>
      </c>
      <c r="AT51" s="6">
        <f>IF(OR(原始資料!$A51="",45&gt;設定!$B$3,原始資料!AV51=""),"",IF(AND(原始資料!AU51&lt;&gt;"",原始資料!AV51=原始資料!AU51),N(AS51)+1,1))</f>
        <v/>
      </c>
      <c r="AU51" s="6">
        <f>IF(OR(原始資料!$A51="",46&gt;設定!$B$3,原始資料!AW51=""),"",IF(AND(原始資料!AV51&lt;&gt;"",原始資料!AW51=原始資料!AV51),N(AT51)+1,1))</f>
        <v/>
      </c>
      <c r="AV51" s="6">
        <f>IF(OR(原始資料!$A51="",47&gt;設定!$B$3,原始資料!AX51=""),"",IF(AND(原始資料!AW51&lt;&gt;"",原始資料!AX51=原始資料!AW51),N(AU51)+1,1))</f>
        <v/>
      </c>
      <c r="AW51" s="6">
        <f>IF(OR(原始資料!$A51="",48&gt;設定!$B$3,原始資料!AY51=""),"",IF(AND(原始資料!AX51&lt;&gt;"",原始資料!AY51=原始資料!AX51),N(AV51)+1,1))</f>
        <v/>
      </c>
      <c r="AX51" s="6">
        <f>IF(OR(原始資料!$A51="",49&gt;設定!$B$3,原始資料!AZ51=""),"",IF(AND(原始資料!AY51&lt;&gt;"",原始資料!AZ51=原始資料!AY51),N(AW51)+1,1))</f>
        <v/>
      </c>
      <c r="AY51" s="6">
        <f>IF(OR(原始資料!$A51="",50&gt;設定!$B$3,原始資料!BA51=""),"",IF(AND(原始資料!AZ51&lt;&gt;"",原始資料!BA51=原始資料!AZ51),N(AX51)+1,1))</f>
        <v/>
      </c>
      <c r="AZ51" s="6">
        <f>IF(OR(原始資料!$A51="",51&gt;設定!$B$3,原始資料!BB51=""),"",IF(AND(原始資料!BA51&lt;&gt;"",原始資料!BB51=原始資料!BA51),N(AY51)+1,1))</f>
        <v/>
      </c>
      <c r="BA51" s="6">
        <f>IF(OR(原始資料!$A51="",52&gt;設定!$B$3,原始資料!BC51=""),"",IF(AND(原始資料!BB51&lt;&gt;"",原始資料!BC51=原始資料!BB51),N(AZ51)+1,1))</f>
        <v/>
      </c>
      <c r="BB51" s="6">
        <f>IF(OR(原始資料!$A51="",53&gt;設定!$B$3,原始資料!BD51=""),"",IF(AND(原始資料!BC51&lt;&gt;"",原始資料!BD51=原始資料!BC51),N(BA51)+1,1))</f>
        <v/>
      </c>
      <c r="BC51" s="6">
        <f>IF(OR(原始資料!$A51="",54&gt;設定!$B$3,原始資料!BE51=""),"",IF(AND(原始資料!BD51&lt;&gt;"",原始資料!BE51=原始資料!BD51),N(BB51)+1,1))</f>
        <v/>
      </c>
      <c r="BD51" s="6">
        <f>IF(OR(原始資料!$A51="",55&gt;設定!$B$3,原始資料!BF51=""),"",IF(AND(原始資料!BE51&lt;&gt;"",原始資料!BF51=原始資料!BE51),N(BC51)+1,1))</f>
        <v/>
      </c>
      <c r="BE51" s="6">
        <f>IF(OR(原始資料!$A51="",56&gt;設定!$B$3,原始資料!BG51=""),"",IF(AND(原始資料!BF51&lt;&gt;"",原始資料!BG51=原始資料!BF51),N(BD51)+1,1))</f>
        <v/>
      </c>
      <c r="BF51" s="6">
        <f>IF(OR(原始資料!$A51="",57&gt;設定!$B$3,原始資料!BH51=""),"",IF(AND(原始資料!BG51&lt;&gt;"",原始資料!BH51=原始資料!BG51),N(BE51)+1,1))</f>
        <v/>
      </c>
      <c r="BG51" s="6">
        <f>IF(OR(原始資料!$A51="",58&gt;設定!$B$3,原始資料!BI51=""),"",IF(AND(原始資料!BH51&lt;&gt;"",原始資料!BI51=原始資料!BH51),N(BF51)+1,1))</f>
        <v/>
      </c>
      <c r="BH51" s="6">
        <f>IF(OR(原始資料!$A51="",59&gt;設定!$B$3,原始資料!BJ51=""),"",IF(AND(原始資料!BI51&lt;&gt;"",原始資料!BJ51=原始資料!BI51),N(BG51)+1,1))</f>
        <v/>
      </c>
      <c r="BI51" s="6">
        <f>IF(OR(原始資料!$A51="",60&gt;設定!$B$3,原始資料!BK51=""),"",IF(AND(原始資料!BJ51&lt;&gt;"",原始資料!BK51=原始資料!BJ51),N(BH51)+1,1))</f>
        <v/>
      </c>
    </row>
    <row r="52">
      <c r="A52" s="6">
        <f>IF(原始資料!$A52="","",原始資料!$A52)</f>
        <v/>
      </c>
      <c r="B52" s="6">
        <f>IF(OR(原始資料!$A52="",1&gt;設定!$B$3,原始資料!D52=""),"",1)</f>
        <v/>
      </c>
      <c r="C52" s="6">
        <f>IF(OR(原始資料!$A52="",2&gt;設定!$B$3,原始資料!E52=""),"",IF(AND(原始資料!D52&lt;&gt;"",原始資料!E52=原始資料!D52),N(B52)+1,1))</f>
        <v/>
      </c>
      <c r="D52" s="6">
        <f>IF(OR(原始資料!$A52="",3&gt;設定!$B$3,原始資料!F52=""),"",IF(AND(原始資料!E52&lt;&gt;"",原始資料!F52=原始資料!E52),N(C52)+1,1))</f>
        <v/>
      </c>
      <c r="E52" s="6">
        <f>IF(OR(原始資料!$A52="",4&gt;設定!$B$3,原始資料!G52=""),"",IF(AND(原始資料!F52&lt;&gt;"",原始資料!G52=原始資料!F52),N(D52)+1,1))</f>
        <v/>
      </c>
      <c r="F52" s="6">
        <f>IF(OR(原始資料!$A52="",5&gt;設定!$B$3,原始資料!H52=""),"",IF(AND(原始資料!G52&lt;&gt;"",原始資料!H52=原始資料!G52),N(E52)+1,1))</f>
        <v/>
      </c>
      <c r="G52" s="6">
        <f>IF(OR(原始資料!$A52="",6&gt;設定!$B$3,原始資料!I52=""),"",IF(AND(原始資料!H52&lt;&gt;"",原始資料!I52=原始資料!H52),N(F52)+1,1))</f>
        <v/>
      </c>
      <c r="H52" s="6">
        <f>IF(OR(原始資料!$A52="",7&gt;設定!$B$3,原始資料!J52=""),"",IF(AND(原始資料!I52&lt;&gt;"",原始資料!J52=原始資料!I52),N(G52)+1,1))</f>
        <v/>
      </c>
      <c r="I52" s="6">
        <f>IF(OR(原始資料!$A52="",8&gt;設定!$B$3,原始資料!K52=""),"",IF(AND(原始資料!J52&lt;&gt;"",原始資料!K52=原始資料!J52),N(H52)+1,1))</f>
        <v/>
      </c>
      <c r="J52" s="6">
        <f>IF(OR(原始資料!$A52="",9&gt;設定!$B$3,原始資料!L52=""),"",IF(AND(原始資料!K52&lt;&gt;"",原始資料!L52=原始資料!K52),N(I52)+1,1))</f>
        <v/>
      </c>
      <c r="K52" s="6">
        <f>IF(OR(原始資料!$A52="",10&gt;設定!$B$3,原始資料!M52=""),"",IF(AND(原始資料!L52&lt;&gt;"",原始資料!M52=原始資料!L52),N(J52)+1,1))</f>
        <v/>
      </c>
      <c r="L52" s="6">
        <f>IF(OR(原始資料!$A52="",11&gt;設定!$B$3,原始資料!N52=""),"",IF(AND(原始資料!M52&lt;&gt;"",原始資料!N52=原始資料!M52),N(K52)+1,1))</f>
        <v/>
      </c>
      <c r="M52" s="6">
        <f>IF(OR(原始資料!$A52="",12&gt;設定!$B$3,原始資料!O52=""),"",IF(AND(原始資料!N52&lt;&gt;"",原始資料!O52=原始資料!N52),N(L52)+1,1))</f>
        <v/>
      </c>
      <c r="N52" s="6">
        <f>IF(OR(原始資料!$A52="",13&gt;設定!$B$3,原始資料!P52=""),"",IF(AND(原始資料!O52&lt;&gt;"",原始資料!P52=原始資料!O52),N(M52)+1,1))</f>
        <v/>
      </c>
      <c r="O52" s="6">
        <f>IF(OR(原始資料!$A52="",14&gt;設定!$B$3,原始資料!Q52=""),"",IF(AND(原始資料!P52&lt;&gt;"",原始資料!Q52=原始資料!P52),N(N52)+1,1))</f>
        <v/>
      </c>
      <c r="P52" s="6">
        <f>IF(OR(原始資料!$A52="",15&gt;設定!$B$3,原始資料!R52=""),"",IF(AND(原始資料!Q52&lt;&gt;"",原始資料!R52=原始資料!Q52),N(O52)+1,1))</f>
        <v/>
      </c>
      <c r="Q52" s="6">
        <f>IF(OR(原始資料!$A52="",16&gt;設定!$B$3,原始資料!S52=""),"",IF(AND(原始資料!R52&lt;&gt;"",原始資料!S52=原始資料!R52),N(P52)+1,1))</f>
        <v/>
      </c>
      <c r="R52" s="6">
        <f>IF(OR(原始資料!$A52="",17&gt;設定!$B$3,原始資料!T52=""),"",IF(AND(原始資料!S52&lt;&gt;"",原始資料!T52=原始資料!S52),N(Q52)+1,1))</f>
        <v/>
      </c>
      <c r="S52" s="6">
        <f>IF(OR(原始資料!$A52="",18&gt;設定!$B$3,原始資料!U52=""),"",IF(AND(原始資料!T52&lt;&gt;"",原始資料!U52=原始資料!T52),N(R52)+1,1))</f>
        <v/>
      </c>
      <c r="T52" s="6">
        <f>IF(OR(原始資料!$A52="",19&gt;設定!$B$3,原始資料!V52=""),"",IF(AND(原始資料!U52&lt;&gt;"",原始資料!V52=原始資料!U52),N(S52)+1,1))</f>
        <v/>
      </c>
      <c r="U52" s="6">
        <f>IF(OR(原始資料!$A52="",20&gt;設定!$B$3,原始資料!W52=""),"",IF(AND(原始資料!V52&lt;&gt;"",原始資料!W52=原始資料!V52),N(T52)+1,1))</f>
        <v/>
      </c>
      <c r="V52" s="6">
        <f>IF(OR(原始資料!$A52="",21&gt;設定!$B$3,原始資料!X52=""),"",IF(AND(原始資料!W52&lt;&gt;"",原始資料!X52=原始資料!W52),N(U52)+1,1))</f>
        <v/>
      </c>
      <c r="W52" s="6">
        <f>IF(OR(原始資料!$A52="",22&gt;設定!$B$3,原始資料!Y52=""),"",IF(AND(原始資料!X52&lt;&gt;"",原始資料!Y52=原始資料!X52),N(V52)+1,1))</f>
        <v/>
      </c>
      <c r="X52" s="6">
        <f>IF(OR(原始資料!$A52="",23&gt;設定!$B$3,原始資料!Z52=""),"",IF(AND(原始資料!Y52&lt;&gt;"",原始資料!Z52=原始資料!Y52),N(W52)+1,1))</f>
        <v/>
      </c>
      <c r="Y52" s="6">
        <f>IF(OR(原始資料!$A52="",24&gt;設定!$B$3,原始資料!AA52=""),"",IF(AND(原始資料!Z52&lt;&gt;"",原始資料!AA52=原始資料!Z52),N(X52)+1,1))</f>
        <v/>
      </c>
      <c r="Z52" s="6">
        <f>IF(OR(原始資料!$A52="",25&gt;設定!$B$3,原始資料!AB52=""),"",IF(AND(原始資料!AA52&lt;&gt;"",原始資料!AB52=原始資料!AA52),N(Y52)+1,1))</f>
        <v/>
      </c>
      <c r="AA52" s="6">
        <f>IF(OR(原始資料!$A52="",26&gt;設定!$B$3,原始資料!AC52=""),"",IF(AND(原始資料!AB52&lt;&gt;"",原始資料!AC52=原始資料!AB52),N(Z52)+1,1))</f>
        <v/>
      </c>
      <c r="AB52" s="6">
        <f>IF(OR(原始資料!$A52="",27&gt;設定!$B$3,原始資料!AD52=""),"",IF(AND(原始資料!AC52&lt;&gt;"",原始資料!AD52=原始資料!AC52),N(AA52)+1,1))</f>
        <v/>
      </c>
      <c r="AC52" s="6">
        <f>IF(OR(原始資料!$A52="",28&gt;設定!$B$3,原始資料!AE52=""),"",IF(AND(原始資料!AD52&lt;&gt;"",原始資料!AE52=原始資料!AD52),N(AB52)+1,1))</f>
        <v/>
      </c>
      <c r="AD52" s="6">
        <f>IF(OR(原始資料!$A52="",29&gt;設定!$B$3,原始資料!AF52=""),"",IF(AND(原始資料!AE52&lt;&gt;"",原始資料!AF52=原始資料!AE52),N(AC52)+1,1))</f>
        <v/>
      </c>
      <c r="AE52" s="6">
        <f>IF(OR(原始資料!$A52="",30&gt;設定!$B$3,原始資料!AG52=""),"",IF(AND(原始資料!AF52&lt;&gt;"",原始資料!AG52=原始資料!AF52),N(AD52)+1,1))</f>
        <v/>
      </c>
      <c r="AF52" s="6">
        <f>IF(OR(原始資料!$A52="",31&gt;設定!$B$3,原始資料!AH52=""),"",IF(AND(原始資料!AG52&lt;&gt;"",原始資料!AH52=原始資料!AG52),N(AE52)+1,1))</f>
        <v/>
      </c>
      <c r="AG52" s="6">
        <f>IF(OR(原始資料!$A52="",32&gt;設定!$B$3,原始資料!AI52=""),"",IF(AND(原始資料!AH52&lt;&gt;"",原始資料!AI52=原始資料!AH52),N(AF52)+1,1))</f>
        <v/>
      </c>
      <c r="AH52" s="6">
        <f>IF(OR(原始資料!$A52="",33&gt;設定!$B$3,原始資料!AJ52=""),"",IF(AND(原始資料!AI52&lt;&gt;"",原始資料!AJ52=原始資料!AI52),N(AG52)+1,1))</f>
        <v/>
      </c>
      <c r="AI52" s="6">
        <f>IF(OR(原始資料!$A52="",34&gt;設定!$B$3,原始資料!AK52=""),"",IF(AND(原始資料!AJ52&lt;&gt;"",原始資料!AK52=原始資料!AJ52),N(AH52)+1,1))</f>
        <v/>
      </c>
      <c r="AJ52" s="6">
        <f>IF(OR(原始資料!$A52="",35&gt;設定!$B$3,原始資料!AL52=""),"",IF(AND(原始資料!AK52&lt;&gt;"",原始資料!AL52=原始資料!AK52),N(AI52)+1,1))</f>
        <v/>
      </c>
      <c r="AK52" s="6">
        <f>IF(OR(原始資料!$A52="",36&gt;設定!$B$3,原始資料!AM52=""),"",IF(AND(原始資料!AL52&lt;&gt;"",原始資料!AM52=原始資料!AL52),N(AJ52)+1,1))</f>
        <v/>
      </c>
      <c r="AL52" s="6">
        <f>IF(OR(原始資料!$A52="",37&gt;設定!$B$3,原始資料!AN52=""),"",IF(AND(原始資料!AM52&lt;&gt;"",原始資料!AN52=原始資料!AM52),N(AK52)+1,1))</f>
        <v/>
      </c>
      <c r="AM52" s="6">
        <f>IF(OR(原始資料!$A52="",38&gt;設定!$B$3,原始資料!AO52=""),"",IF(AND(原始資料!AN52&lt;&gt;"",原始資料!AO52=原始資料!AN52),N(AL52)+1,1))</f>
        <v/>
      </c>
      <c r="AN52" s="6">
        <f>IF(OR(原始資料!$A52="",39&gt;設定!$B$3,原始資料!AP52=""),"",IF(AND(原始資料!AO52&lt;&gt;"",原始資料!AP52=原始資料!AO52),N(AM52)+1,1))</f>
        <v/>
      </c>
      <c r="AO52" s="6">
        <f>IF(OR(原始資料!$A52="",40&gt;設定!$B$3,原始資料!AQ52=""),"",IF(AND(原始資料!AP52&lt;&gt;"",原始資料!AQ52=原始資料!AP52),N(AN52)+1,1))</f>
        <v/>
      </c>
      <c r="AP52" s="6">
        <f>IF(OR(原始資料!$A52="",41&gt;設定!$B$3,原始資料!AR52=""),"",IF(AND(原始資料!AQ52&lt;&gt;"",原始資料!AR52=原始資料!AQ52),N(AO52)+1,1))</f>
        <v/>
      </c>
      <c r="AQ52" s="6">
        <f>IF(OR(原始資料!$A52="",42&gt;設定!$B$3,原始資料!AS52=""),"",IF(AND(原始資料!AR52&lt;&gt;"",原始資料!AS52=原始資料!AR52),N(AP52)+1,1))</f>
        <v/>
      </c>
      <c r="AR52" s="6">
        <f>IF(OR(原始資料!$A52="",43&gt;設定!$B$3,原始資料!AT52=""),"",IF(AND(原始資料!AS52&lt;&gt;"",原始資料!AT52=原始資料!AS52),N(AQ52)+1,1))</f>
        <v/>
      </c>
      <c r="AS52" s="6">
        <f>IF(OR(原始資料!$A52="",44&gt;設定!$B$3,原始資料!AU52=""),"",IF(AND(原始資料!AT52&lt;&gt;"",原始資料!AU52=原始資料!AT52),N(AR52)+1,1))</f>
        <v/>
      </c>
      <c r="AT52" s="6">
        <f>IF(OR(原始資料!$A52="",45&gt;設定!$B$3,原始資料!AV52=""),"",IF(AND(原始資料!AU52&lt;&gt;"",原始資料!AV52=原始資料!AU52),N(AS52)+1,1))</f>
        <v/>
      </c>
      <c r="AU52" s="6">
        <f>IF(OR(原始資料!$A52="",46&gt;設定!$B$3,原始資料!AW52=""),"",IF(AND(原始資料!AV52&lt;&gt;"",原始資料!AW52=原始資料!AV52),N(AT52)+1,1))</f>
        <v/>
      </c>
      <c r="AV52" s="6">
        <f>IF(OR(原始資料!$A52="",47&gt;設定!$B$3,原始資料!AX52=""),"",IF(AND(原始資料!AW52&lt;&gt;"",原始資料!AX52=原始資料!AW52),N(AU52)+1,1))</f>
        <v/>
      </c>
      <c r="AW52" s="6">
        <f>IF(OR(原始資料!$A52="",48&gt;設定!$B$3,原始資料!AY52=""),"",IF(AND(原始資料!AX52&lt;&gt;"",原始資料!AY52=原始資料!AX52),N(AV52)+1,1))</f>
        <v/>
      </c>
      <c r="AX52" s="6">
        <f>IF(OR(原始資料!$A52="",49&gt;設定!$B$3,原始資料!AZ52=""),"",IF(AND(原始資料!AY52&lt;&gt;"",原始資料!AZ52=原始資料!AY52),N(AW52)+1,1))</f>
        <v/>
      </c>
      <c r="AY52" s="6">
        <f>IF(OR(原始資料!$A52="",50&gt;設定!$B$3,原始資料!BA52=""),"",IF(AND(原始資料!AZ52&lt;&gt;"",原始資料!BA52=原始資料!AZ52),N(AX52)+1,1))</f>
        <v/>
      </c>
      <c r="AZ52" s="6">
        <f>IF(OR(原始資料!$A52="",51&gt;設定!$B$3,原始資料!BB52=""),"",IF(AND(原始資料!BA52&lt;&gt;"",原始資料!BB52=原始資料!BA52),N(AY52)+1,1))</f>
        <v/>
      </c>
      <c r="BA52" s="6">
        <f>IF(OR(原始資料!$A52="",52&gt;設定!$B$3,原始資料!BC52=""),"",IF(AND(原始資料!BB52&lt;&gt;"",原始資料!BC52=原始資料!BB52),N(AZ52)+1,1))</f>
        <v/>
      </c>
      <c r="BB52" s="6">
        <f>IF(OR(原始資料!$A52="",53&gt;設定!$B$3,原始資料!BD52=""),"",IF(AND(原始資料!BC52&lt;&gt;"",原始資料!BD52=原始資料!BC52),N(BA52)+1,1))</f>
        <v/>
      </c>
      <c r="BC52" s="6">
        <f>IF(OR(原始資料!$A52="",54&gt;設定!$B$3,原始資料!BE52=""),"",IF(AND(原始資料!BD52&lt;&gt;"",原始資料!BE52=原始資料!BD52),N(BB52)+1,1))</f>
        <v/>
      </c>
      <c r="BD52" s="6">
        <f>IF(OR(原始資料!$A52="",55&gt;設定!$B$3,原始資料!BF52=""),"",IF(AND(原始資料!BE52&lt;&gt;"",原始資料!BF52=原始資料!BE52),N(BC52)+1,1))</f>
        <v/>
      </c>
      <c r="BE52" s="6">
        <f>IF(OR(原始資料!$A52="",56&gt;設定!$B$3,原始資料!BG52=""),"",IF(AND(原始資料!BF52&lt;&gt;"",原始資料!BG52=原始資料!BF52),N(BD52)+1,1))</f>
        <v/>
      </c>
      <c r="BF52" s="6">
        <f>IF(OR(原始資料!$A52="",57&gt;設定!$B$3,原始資料!BH52=""),"",IF(AND(原始資料!BG52&lt;&gt;"",原始資料!BH52=原始資料!BG52),N(BE52)+1,1))</f>
        <v/>
      </c>
      <c r="BG52" s="6">
        <f>IF(OR(原始資料!$A52="",58&gt;設定!$B$3,原始資料!BI52=""),"",IF(AND(原始資料!BH52&lt;&gt;"",原始資料!BI52=原始資料!BH52),N(BF52)+1,1))</f>
        <v/>
      </c>
      <c r="BH52" s="6">
        <f>IF(OR(原始資料!$A52="",59&gt;設定!$B$3,原始資料!BJ52=""),"",IF(AND(原始資料!BI52&lt;&gt;"",原始資料!BJ52=原始資料!BI52),N(BG52)+1,1))</f>
        <v/>
      </c>
      <c r="BI52" s="6">
        <f>IF(OR(原始資料!$A52="",60&gt;設定!$B$3,原始資料!BK52=""),"",IF(AND(原始資料!BJ52&lt;&gt;"",原始資料!BK52=原始資料!BJ52),N(BH52)+1,1))</f>
        <v/>
      </c>
    </row>
    <row r="53">
      <c r="A53" s="6">
        <f>IF(原始資料!$A53="","",原始資料!$A53)</f>
        <v/>
      </c>
      <c r="B53" s="6">
        <f>IF(OR(原始資料!$A53="",1&gt;設定!$B$3,原始資料!D53=""),"",1)</f>
        <v/>
      </c>
      <c r="C53" s="6">
        <f>IF(OR(原始資料!$A53="",2&gt;設定!$B$3,原始資料!E53=""),"",IF(AND(原始資料!D53&lt;&gt;"",原始資料!E53=原始資料!D53),N(B53)+1,1))</f>
        <v/>
      </c>
      <c r="D53" s="6">
        <f>IF(OR(原始資料!$A53="",3&gt;設定!$B$3,原始資料!F53=""),"",IF(AND(原始資料!E53&lt;&gt;"",原始資料!F53=原始資料!E53),N(C53)+1,1))</f>
        <v/>
      </c>
      <c r="E53" s="6">
        <f>IF(OR(原始資料!$A53="",4&gt;設定!$B$3,原始資料!G53=""),"",IF(AND(原始資料!F53&lt;&gt;"",原始資料!G53=原始資料!F53),N(D53)+1,1))</f>
        <v/>
      </c>
      <c r="F53" s="6">
        <f>IF(OR(原始資料!$A53="",5&gt;設定!$B$3,原始資料!H53=""),"",IF(AND(原始資料!G53&lt;&gt;"",原始資料!H53=原始資料!G53),N(E53)+1,1))</f>
        <v/>
      </c>
      <c r="G53" s="6">
        <f>IF(OR(原始資料!$A53="",6&gt;設定!$B$3,原始資料!I53=""),"",IF(AND(原始資料!H53&lt;&gt;"",原始資料!I53=原始資料!H53),N(F53)+1,1))</f>
        <v/>
      </c>
      <c r="H53" s="6">
        <f>IF(OR(原始資料!$A53="",7&gt;設定!$B$3,原始資料!J53=""),"",IF(AND(原始資料!I53&lt;&gt;"",原始資料!J53=原始資料!I53),N(G53)+1,1))</f>
        <v/>
      </c>
      <c r="I53" s="6">
        <f>IF(OR(原始資料!$A53="",8&gt;設定!$B$3,原始資料!K53=""),"",IF(AND(原始資料!J53&lt;&gt;"",原始資料!K53=原始資料!J53),N(H53)+1,1))</f>
        <v/>
      </c>
      <c r="J53" s="6">
        <f>IF(OR(原始資料!$A53="",9&gt;設定!$B$3,原始資料!L53=""),"",IF(AND(原始資料!K53&lt;&gt;"",原始資料!L53=原始資料!K53),N(I53)+1,1))</f>
        <v/>
      </c>
      <c r="K53" s="6">
        <f>IF(OR(原始資料!$A53="",10&gt;設定!$B$3,原始資料!M53=""),"",IF(AND(原始資料!L53&lt;&gt;"",原始資料!M53=原始資料!L53),N(J53)+1,1))</f>
        <v/>
      </c>
      <c r="L53" s="6">
        <f>IF(OR(原始資料!$A53="",11&gt;設定!$B$3,原始資料!N53=""),"",IF(AND(原始資料!M53&lt;&gt;"",原始資料!N53=原始資料!M53),N(K53)+1,1))</f>
        <v/>
      </c>
      <c r="M53" s="6">
        <f>IF(OR(原始資料!$A53="",12&gt;設定!$B$3,原始資料!O53=""),"",IF(AND(原始資料!N53&lt;&gt;"",原始資料!O53=原始資料!N53),N(L53)+1,1))</f>
        <v/>
      </c>
      <c r="N53" s="6">
        <f>IF(OR(原始資料!$A53="",13&gt;設定!$B$3,原始資料!P53=""),"",IF(AND(原始資料!O53&lt;&gt;"",原始資料!P53=原始資料!O53),N(M53)+1,1))</f>
        <v/>
      </c>
      <c r="O53" s="6">
        <f>IF(OR(原始資料!$A53="",14&gt;設定!$B$3,原始資料!Q53=""),"",IF(AND(原始資料!P53&lt;&gt;"",原始資料!Q53=原始資料!P53),N(N53)+1,1))</f>
        <v/>
      </c>
      <c r="P53" s="6">
        <f>IF(OR(原始資料!$A53="",15&gt;設定!$B$3,原始資料!R53=""),"",IF(AND(原始資料!Q53&lt;&gt;"",原始資料!R53=原始資料!Q53),N(O53)+1,1))</f>
        <v/>
      </c>
      <c r="Q53" s="6">
        <f>IF(OR(原始資料!$A53="",16&gt;設定!$B$3,原始資料!S53=""),"",IF(AND(原始資料!R53&lt;&gt;"",原始資料!S53=原始資料!R53),N(P53)+1,1))</f>
        <v/>
      </c>
      <c r="R53" s="6">
        <f>IF(OR(原始資料!$A53="",17&gt;設定!$B$3,原始資料!T53=""),"",IF(AND(原始資料!S53&lt;&gt;"",原始資料!T53=原始資料!S53),N(Q53)+1,1))</f>
        <v/>
      </c>
      <c r="S53" s="6">
        <f>IF(OR(原始資料!$A53="",18&gt;設定!$B$3,原始資料!U53=""),"",IF(AND(原始資料!T53&lt;&gt;"",原始資料!U53=原始資料!T53),N(R53)+1,1))</f>
        <v/>
      </c>
      <c r="T53" s="6">
        <f>IF(OR(原始資料!$A53="",19&gt;設定!$B$3,原始資料!V53=""),"",IF(AND(原始資料!U53&lt;&gt;"",原始資料!V53=原始資料!U53),N(S53)+1,1))</f>
        <v/>
      </c>
      <c r="U53" s="6">
        <f>IF(OR(原始資料!$A53="",20&gt;設定!$B$3,原始資料!W53=""),"",IF(AND(原始資料!V53&lt;&gt;"",原始資料!W53=原始資料!V53),N(T53)+1,1))</f>
        <v/>
      </c>
      <c r="V53" s="6">
        <f>IF(OR(原始資料!$A53="",21&gt;設定!$B$3,原始資料!X53=""),"",IF(AND(原始資料!W53&lt;&gt;"",原始資料!X53=原始資料!W53),N(U53)+1,1))</f>
        <v/>
      </c>
      <c r="W53" s="6">
        <f>IF(OR(原始資料!$A53="",22&gt;設定!$B$3,原始資料!Y53=""),"",IF(AND(原始資料!X53&lt;&gt;"",原始資料!Y53=原始資料!X53),N(V53)+1,1))</f>
        <v/>
      </c>
      <c r="X53" s="6">
        <f>IF(OR(原始資料!$A53="",23&gt;設定!$B$3,原始資料!Z53=""),"",IF(AND(原始資料!Y53&lt;&gt;"",原始資料!Z53=原始資料!Y53),N(W53)+1,1))</f>
        <v/>
      </c>
      <c r="Y53" s="6">
        <f>IF(OR(原始資料!$A53="",24&gt;設定!$B$3,原始資料!AA53=""),"",IF(AND(原始資料!Z53&lt;&gt;"",原始資料!AA53=原始資料!Z53),N(X53)+1,1))</f>
        <v/>
      </c>
      <c r="Z53" s="6">
        <f>IF(OR(原始資料!$A53="",25&gt;設定!$B$3,原始資料!AB53=""),"",IF(AND(原始資料!AA53&lt;&gt;"",原始資料!AB53=原始資料!AA53),N(Y53)+1,1))</f>
        <v/>
      </c>
      <c r="AA53" s="6">
        <f>IF(OR(原始資料!$A53="",26&gt;設定!$B$3,原始資料!AC53=""),"",IF(AND(原始資料!AB53&lt;&gt;"",原始資料!AC53=原始資料!AB53),N(Z53)+1,1))</f>
        <v/>
      </c>
      <c r="AB53" s="6">
        <f>IF(OR(原始資料!$A53="",27&gt;設定!$B$3,原始資料!AD53=""),"",IF(AND(原始資料!AC53&lt;&gt;"",原始資料!AD53=原始資料!AC53),N(AA53)+1,1))</f>
        <v/>
      </c>
      <c r="AC53" s="6">
        <f>IF(OR(原始資料!$A53="",28&gt;設定!$B$3,原始資料!AE53=""),"",IF(AND(原始資料!AD53&lt;&gt;"",原始資料!AE53=原始資料!AD53),N(AB53)+1,1))</f>
        <v/>
      </c>
      <c r="AD53" s="6">
        <f>IF(OR(原始資料!$A53="",29&gt;設定!$B$3,原始資料!AF53=""),"",IF(AND(原始資料!AE53&lt;&gt;"",原始資料!AF53=原始資料!AE53),N(AC53)+1,1))</f>
        <v/>
      </c>
      <c r="AE53" s="6">
        <f>IF(OR(原始資料!$A53="",30&gt;設定!$B$3,原始資料!AG53=""),"",IF(AND(原始資料!AF53&lt;&gt;"",原始資料!AG53=原始資料!AF53),N(AD53)+1,1))</f>
        <v/>
      </c>
      <c r="AF53" s="6">
        <f>IF(OR(原始資料!$A53="",31&gt;設定!$B$3,原始資料!AH53=""),"",IF(AND(原始資料!AG53&lt;&gt;"",原始資料!AH53=原始資料!AG53),N(AE53)+1,1))</f>
        <v/>
      </c>
      <c r="AG53" s="6">
        <f>IF(OR(原始資料!$A53="",32&gt;設定!$B$3,原始資料!AI53=""),"",IF(AND(原始資料!AH53&lt;&gt;"",原始資料!AI53=原始資料!AH53),N(AF53)+1,1))</f>
        <v/>
      </c>
      <c r="AH53" s="6">
        <f>IF(OR(原始資料!$A53="",33&gt;設定!$B$3,原始資料!AJ53=""),"",IF(AND(原始資料!AI53&lt;&gt;"",原始資料!AJ53=原始資料!AI53),N(AG53)+1,1))</f>
        <v/>
      </c>
      <c r="AI53" s="6">
        <f>IF(OR(原始資料!$A53="",34&gt;設定!$B$3,原始資料!AK53=""),"",IF(AND(原始資料!AJ53&lt;&gt;"",原始資料!AK53=原始資料!AJ53),N(AH53)+1,1))</f>
        <v/>
      </c>
      <c r="AJ53" s="6">
        <f>IF(OR(原始資料!$A53="",35&gt;設定!$B$3,原始資料!AL53=""),"",IF(AND(原始資料!AK53&lt;&gt;"",原始資料!AL53=原始資料!AK53),N(AI53)+1,1))</f>
        <v/>
      </c>
      <c r="AK53" s="6">
        <f>IF(OR(原始資料!$A53="",36&gt;設定!$B$3,原始資料!AM53=""),"",IF(AND(原始資料!AL53&lt;&gt;"",原始資料!AM53=原始資料!AL53),N(AJ53)+1,1))</f>
        <v/>
      </c>
      <c r="AL53" s="6">
        <f>IF(OR(原始資料!$A53="",37&gt;設定!$B$3,原始資料!AN53=""),"",IF(AND(原始資料!AM53&lt;&gt;"",原始資料!AN53=原始資料!AM53),N(AK53)+1,1))</f>
        <v/>
      </c>
      <c r="AM53" s="6">
        <f>IF(OR(原始資料!$A53="",38&gt;設定!$B$3,原始資料!AO53=""),"",IF(AND(原始資料!AN53&lt;&gt;"",原始資料!AO53=原始資料!AN53),N(AL53)+1,1))</f>
        <v/>
      </c>
      <c r="AN53" s="6">
        <f>IF(OR(原始資料!$A53="",39&gt;設定!$B$3,原始資料!AP53=""),"",IF(AND(原始資料!AO53&lt;&gt;"",原始資料!AP53=原始資料!AO53),N(AM53)+1,1))</f>
        <v/>
      </c>
      <c r="AO53" s="6">
        <f>IF(OR(原始資料!$A53="",40&gt;設定!$B$3,原始資料!AQ53=""),"",IF(AND(原始資料!AP53&lt;&gt;"",原始資料!AQ53=原始資料!AP53),N(AN53)+1,1))</f>
        <v/>
      </c>
      <c r="AP53" s="6">
        <f>IF(OR(原始資料!$A53="",41&gt;設定!$B$3,原始資料!AR53=""),"",IF(AND(原始資料!AQ53&lt;&gt;"",原始資料!AR53=原始資料!AQ53),N(AO53)+1,1))</f>
        <v/>
      </c>
      <c r="AQ53" s="6">
        <f>IF(OR(原始資料!$A53="",42&gt;設定!$B$3,原始資料!AS53=""),"",IF(AND(原始資料!AR53&lt;&gt;"",原始資料!AS53=原始資料!AR53),N(AP53)+1,1))</f>
        <v/>
      </c>
      <c r="AR53" s="6">
        <f>IF(OR(原始資料!$A53="",43&gt;設定!$B$3,原始資料!AT53=""),"",IF(AND(原始資料!AS53&lt;&gt;"",原始資料!AT53=原始資料!AS53),N(AQ53)+1,1))</f>
        <v/>
      </c>
      <c r="AS53" s="6">
        <f>IF(OR(原始資料!$A53="",44&gt;設定!$B$3,原始資料!AU53=""),"",IF(AND(原始資料!AT53&lt;&gt;"",原始資料!AU53=原始資料!AT53),N(AR53)+1,1))</f>
        <v/>
      </c>
      <c r="AT53" s="6">
        <f>IF(OR(原始資料!$A53="",45&gt;設定!$B$3,原始資料!AV53=""),"",IF(AND(原始資料!AU53&lt;&gt;"",原始資料!AV53=原始資料!AU53),N(AS53)+1,1))</f>
        <v/>
      </c>
      <c r="AU53" s="6">
        <f>IF(OR(原始資料!$A53="",46&gt;設定!$B$3,原始資料!AW53=""),"",IF(AND(原始資料!AV53&lt;&gt;"",原始資料!AW53=原始資料!AV53),N(AT53)+1,1))</f>
        <v/>
      </c>
      <c r="AV53" s="6">
        <f>IF(OR(原始資料!$A53="",47&gt;設定!$B$3,原始資料!AX53=""),"",IF(AND(原始資料!AW53&lt;&gt;"",原始資料!AX53=原始資料!AW53),N(AU53)+1,1))</f>
        <v/>
      </c>
      <c r="AW53" s="6">
        <f>IF(OR(原始資料!$A53="",48&gt;設定!$B$3,原始資料!AY53=""),"",IF(AND(原始資料!AX53&lt;&gt;"",原始資料!AY53=原始資料!AX53),N(AV53)+1,1))</f>
        <v/>
      </c>
      <c r="AX53" s="6">
        <f>IF(OR(原始資料!$A53="",49&gt;設定!$B$3,原始資料!AZ53=""),"",IF(AND(原始資料!AY53&lt;&gt;"",原始資料!AZ53=原始資料!AY53),N(AW53)+1,1))</f>
        <v/>
      </c>
      <c r="AY53" s="6">
        <f>IF(OR(原始資料!$A53="",50&gt;設定!$B$3,原始資料!BA53=""),"",IF(AND(原始資料!AZ53&lt;&gt;"",原始資料!BA53=原始資料!AZ53),N(AX53)+1,1))</f>
        <v/>
      </c>
      <c r="AZ53" s="6">
        <f>IF(OR(原始資料!$A53="",51&gt;設定!$B$3,原始資料!BB53=""),"",IF(AND(原始資料!BA53&lt;&gt;"",原始資料!BB53=原始資料!BA53),N(AY53)+1,1))</f>
        <v/>
      </c>
      <c r="BA53" s="6">
        <f>IF(OR(原始資料!$A53="",52&gt;設定!$B$3,原始資料!BC53=""),"",IF(AND(原始資料!BB53&lt;&gt;"",原始資料!BC53=原始資料!BB53),N(AZ53)+1,1))</f>
        <v/>
      </c>
      <c r="BB53" s="6">
        <f>IF(OR(原始資料!$A53="",53&gt;設定!$B$3,原始資料!BD53=""),"",IF(AND(原始資料!BC53&lt;&gt;"",原始資料!BD53=原始資料!BC53),N(BA53)+1,1))</f>
        <v/>
      </c>
      <c r="BC53" s="6">
        <f>IF(OR(原始資料!$A53="",54&gt;設定!$B$3,原始資料!BE53=""),"",IF(AND(原始資料!BD53&lt;&gt;"",原始資料!BE53=原始資料!BD53),N(BB53)+1,1))</f>
        <v/>
      </c>
      <c r="BD53" s="6">
        <f>IF(OR(原始資料!$A53="",55&gt;設定!$B$3,原始資料!BF53=""),"",IF(AND(原始資料!BE53&lt;&gt;"",原始資料!BF53=原始資料!BE53),N(BC53)+1,1))</f>
        <v/>
      </c>
      <c r="BE53" s="6">
        <f>IF(OR(原始資料!$A53="",56&gt;設定!$B$3,原始資料!BG53=""),"",IF(AND(原始資料!BF53&lt;&gt;"",原始資料!BG53=原始資料!BF53),N(BD53)+1,1))</f>
        <v/>
      </c>
      <c r="BF53" s="6">
        <f>IF(OR(原始資料!$A53="",57&gt;設定!$B$3,原始資料!BH53=""),"",IF(AND(原始資料!BG53&lt;&gt;"",原始資料!BH53=原始資料!BG53),N(BE53)+1,1))</f>
        <v/>
      </c>
      <c r="BG53" s="6">
        <f>IF(OR(原始資料!$A53="",58&gt;設定!$B$3,原始資料!BI53=""),"",IF(AND(原始資料!BH53&lt;&gt;"",原始資料!BI53=原始資料!BH53),N(BF53)+1,1))</f>
        <v/>
      </c>
      <c r="BH53" s="6">
        <f>IF(OR(原始資料!$A53="",59&gt;設定!$B$3,原始資料!BJ53=""),"",IF(AND(原始資料!BI53&lt;&gt;"",原始資料!BJ53=原始資料!BI53),N(BG53)+1,1))</f>
        <v/>
      </c>
      <c r="BI53" s="6">
        <f>IF(OR(原始資料!$A53="",60&gt;設定!$B$3,原始資料!BK53=""),"",IF(AND(原始資料!BJ53&lt;&gt;"",原始資料!BK53=原始資料!BJ53),N(BH53)+1,1))</f>
        <v/>
      </c>
    </row>
    <row r="54">
      <c r="A54" s="6">
        <f>IF(原始資料!$A54="","",原始資料!$A54)</f>
        <v/>
      </c>
      <c r="B54" s="6">
        <f>IF(OR(原始資料!$A54="",1&gt;設定!$B$3,原始資料!D54=""),"",1)</f>
        <v/>
      </c>
      <c r="C54" s="6">
        <f>IF(OR(原始資料!$A54="",2&gt;設定!$B$3,原始資料!E54=""),"",IF(AND(原始資料!D54&lt;&gt;"",原始資料!E54=原始資料!D54),N(B54)+1,1))</f>
        <v/>
      </c>
      <c r="D54" s="6">
        <f>IF(OR(原始資料!$A54="",3&gt;設定!$B$3,原始資料!F54=""),"",IF(AND(原始資料!E54&lt;&gt;"",原始資料!F54=原始資料!E54),N(C54)+1,1))</f>
        <v/>
      </c>
      <c r="E54" s="6">
        <f>IF(OR(原始資料!$A54="",4&gt;設定!$B$3,原始資料!G54=""),"",IF(AND(原始資料!F54&lt;&gt;"",原始資料!G54=原始資料!F54),N(D54)+1,1))</f>
        <v/>
      </c>
      <c r="F54" s="6">
        <f>IF(OR(原始資料!$A54="",5&gt;設定!$B$3,原始資料!H54=""),"",IF(AND(原始資料!G54&lt;&gt;"",原始資料!H54=原始資料!G54),N(E54)+1,1))</f>
        <v/>
      </c>
      <c r="G54" s="6">
        <f>IF(OR(原始資料!$A54="",6&gt;設定!$B$3,原始資料!I54=""),"",IF(AND(原始資料!H54&lt;&gt;"",原始資料!I54=原始資料!H54),N(F54)+1,1))</f>
        <v/>
      </c>
      <c r="H54" s="6">
        <f>IF(OR(原始資料!$A54="",7&gt;設定!$B$3,原始資料!J54=""),"",IF(AND(原始資料!I54&lt;&gt;"",原始資料!J54=原始資料!I54),N(G54)+1,1))</f>
        <v/>
      </c>
      <c r="I54" s="6">
        <f>IF(OR(原始資料!$A54="",8&gt;設定!$B$3,原始資料!K54=""),"",IF(AND(原始資料!J54&lt;&gt;"",原始資料!K54=原始資料!J54),N(H54)+1,1))</f>
        <v/>
      </c>
      <c r="J54" s="6">
        <f>IF(OR(原始資料!$A54="",9&gt;設定!$B$3,原始資料!L54=""),"",IF(AND(原始資料!K54&lt;&gt;"",原始資料!L54=原始資料!K54),N(I54)+1,1))</f>
        <v/>
      </c>
      <c r="K54" s="6">
        <f>IF(OR(原始資料!$A54="",10&gt;設定!$B$3,原始資料!M54=""),"",IF(AND(原始資料!L54&lt;&gt;"",原始資料!M54=原始資料!L54),N(J54)+1,1))</f>
        <v/>
      </c>
      <c r="L54" s="6">
        <f>IF(OR(原始資料!$A54="",11&gt;設定!$B$3,原始資料!N54=""),"",IF(AND(原始資料!M54&lt;&gt;"",原始資料!N54=原始資料!M54),N(K54)+1,1))</f>
        <v/>
      </c>
      <c r="M54" s="6">
        <f>IF(OR(原始資料!$A54="",12&gt;設定!$B$3,原始資料!O54=""),"",IF(AND(原始資料!N54&lt;&gt;"",原始資料!O54=原始資料!N54),N(L54)+1,1))</f>
        <v/>
      </c>
      <c r="N54" s="6">
        <f>IF(OR(原始資料!$A54="",13&gt;設定!$B$3,原始資料!P54=""),"",IF(AND(原始資料!O54&lt;&gt;"",原始資料!P54=原始資料!O54),N(M54)+1,1))</f>
        <v/>
      </c>
      <c r="O54" s="6">
        <f>IF(OR(原始資料!$A54="",14&gt;設定!$B$3,原始資料!Q54=""),"",IF(AND(原始資料!P54&lt;&gt;"",原始資料!Q54=原始資料!P54),N(N54)+1,1))</f>
        <v/>
      </c>
      <c r="P54" s="6">
        <f>IF(OR(原始資料!$A54="",15&gt;設定!$B$3,原始資料!R54=""),"",IF(AND(原始資料!Q54&lt;&gt;"",原始資料!R54=原始資料!Q54),N(O54)+1,1))</f>
        <v/>
      </c>
      <c r="Q54" s="6">
        <f>IF(OR(原始資料!$A54="",16&gt;設定!$B$3,原始資料!S54=""),"",IF(AND(原始資料!R54&lt;&gt;"",原始資料!S54=原始資料!R54),N(P54)+1,1))</f>
        <v/>
      </c>
      <c r="R54" s="6">
        <f>IF(OR(原始資料!$A54="",17&gt;設定!$B$3,原始資料!T54=""),"",IF(AND(原始資料!S54&lt;&gt;"",原始資料!T54=原始資料!S54),N(Q54)+1,1))</f>
        <v/>
      </c>
      <c r="S54" s="6">
        <f>IF(OR(原始資料!$A54="",18&gt;設定!$B$3,原始資料!U54=""),"",IF(AND(原始資料!T54&lt;&gt;"",原始資料!U54=原始資料!T54),N(R54)+1,1))</f>
        <v/>
      </c>
      <c r="T54" s="6">
        <f>IF(OR(原始資料!$A54="",19&gt;設定!$B$3,原始資料!V54=""),"",IF(AND(原始資料!U54&lt;&gt;"",原始資料!V54=原始資料!U54),N(S54)+1,1))</f>
        <v/>
      </c>
      <c r="U54" s="6">
        <f>IF(OR(原始資料!$A54="",20&gt;設定!$B$3,原始資料!W54=""),"",IF(AND(原始資料!V54&lt;&gt;"",原始資料!W54=原始資料!V54),N(T54)+1,1))</f>
        <v/>
      </c>
      <c r="V54" s="6">
        <f>IF(OR(原始資料!$A54="",21&gt;設定!$B$3,原始資料!X54=""),"",IF(AND(原始資料!W54&lt;&gt;"",原始資料!X54=原始資料!W54),N(U54)+1,1))</f>
        <v/>
      </c>
      <c r="W54" s="6">
        <f>IF(OR(原始資料!$A54="",22&gt;設定!$B$3,原始資料!Y54=""),"",IF(AND(原始資料!X54&lt;&gt;"",原始資料!Y54=原始資料!X54),N(V54)+1,1))</f>
        <v/>
      </c>
      <c r="X54" s="6">
        <f>IF(OR(原始資料!$A54="",23&gt;設定!$B$3,原始資料!Z54=""),"",IF(AND(原始資料!Y54&lt;&gt;"",原始資料!Z54=原始資料!Y54),N(W54)+1,1))</f>
        <v/>
      </c>
      <c r="Y54" s="6">
        <f>IF(OR(原始資料!$A54="",24&gt;設定!$B$3,原始資料!AA54=""),"",IF(AND(原始資料!Z54&lt;&gt;"",原始資料!AA54=原始資料!Z54),N(X54)+1,1))</f>
        <v/>
      </c>
      <c r="Z54" s="6">
        <f>IF(OR(原始資料!$A54="",25&gt;設定!$B$3,原始資料!AB54=""),"",IF(AND(原始資料!AA54&lt;&gt;"",原始資料!AB54=原始資料!AA54),N(Y54)+1,1))</f>
        <v/>
      </c>
      <c r="AA54" s="6">
        <f>IF(OR(原始資料!$A54="",26&gt;設定!$B$3,原始資料!AC54=""),"",IF(AND(原始資料!AB54&lt;&gt;"",原始資料!AC54=原始資料!AB54),N(Z54)+1,1))</f>
        <v/>
      </c>
      <c r="AB54" s="6">
        <f>IF(OR(原始資料!$A54="",27&gt;設定!$B$3,原始資料!AD54=""),"",IF(AND(原始資料!AC54&lt;&gt;"",原始資料!AD54=原始資料!AC54),N(AA54)+1,1))</f>
        <v/>
      </c>
      <c r="AC54" s="6">
        <f>IF(OR(原始資料!$A54="",28&gt;設定!$B$3,原始資料!AE54=""),"",IF(AND(原始資料!AD54&lt;&gt;"",原始資料!AE54=原始資料!AD54),N(AB54)+1,1))</f>
        <v/>
      </c>
      <c r="AD54" s="6">
        <f>IF(OR(原始資料!$A54="",29&gt;設定!$B$3,原始資料!AF54=""),"",IF(AND(原始資料!AE54&lt;&gt;"",原始資料!AF54=原始資料!AE54),N(AC54)+1,1))</f>
        <v/>
      </c>
      <c r="AE54" s="6">
        <f>IF(OR(原始資料!$A54="",30&gt;設定!$B$3,原始資料!AG54=""),"",IF(AND(原始資料!AF54&lt;&gt;"",原始資料!AG54=原始資料!AF54),N(AD54)+1,1))</f>
        <v/>
      </c>
      <c r="AF54" s="6">
        <f>IF(OR(原始資料!$A54="",31&gt;設定!$B$3,原始資料!AH54=""),"",IF(AND(原始資料!AG54&lt;&gt;"",原始資料!AH54=原始資料!AG54),N(AE54)+1,1))</f>
        <v/>
      </c>
      <c r="AG54" s="6">
        <f>IF(OR(原始資料!$A54="",32&gt;設定!$B$3,原始資料!AI54=""),"",IF(AND(原始資料!AH54&lt;&gt;"",原始資料!AI54=原始資料!AH54),N(AF54)+1,1))</f>
        <v/>
      </c>
      <c r="AH54" s="6">
        <f>IF(OR(原始資料!$A54="",33&gt;設定!$B$3,原始資料!AJ54=""),"",IF(AND(原始資料!AI54&lt;&gt;"",原始資料!AJ54=原始資料!AI54),N(AG54)+1,1))</f>
        <v/>
      </c>
      <c r="AI54" s="6">
        <f>IF(OR(原始資料!$A54="",34&gt;設定!$B$3,原始資料!AK54=""),"",IF(AND(原始資料!AJ54&lt;&gt;"",原始資料!AK54=原始資料!AJ54),N(AH54)+1,1))</f>
        <v/>
      </c>
      <c r="AJ54" s="6">
        <f>IF(OR(原始資料!$A54="",35&gt;設定!$B$3,原始資料!AL54=""),"",IF(AND(原始資料!AK54&lt;&gt;"",原始資料!AL54=原始資料!AK54),N(AI54)+1,1))</f>
        <v/>
      </c>
      <c r="AK54" s="6">
        <f>IF(OR(原始資料!$A54="",36&gt;設定!$B$3,原始資料!AM54=""),"",IF(AND(原始資料!AL54&lt;&gt;"",原始資料!AM54=原始資料!AL54),N(AJ54)+1,1))</f>
        <v/>
      </c>
      <c r="AL54" s="6">
        <f>IF(OR(原始資料!$A54="",37&gt;設定!$B$3,原始資料!AN54=""),"",IF(AND(原始資料!AM54&lt;&gt;"",原始資料!AN54=原始資料!AM54),N(AK54)+1,1))</f>
        <v/>
      </c>
      <c r="AM54" s="6">
        <f>IF(OR(原始資料!$A54="",38&gt;設定!$B$3,原始資料!AO54=""),"",IF(AND(原始資料!AN54&lt;&gt;"",原始資料!AO54=原始資料!AN54),N(AL54)+1,1))</f>
        <v/>
      </c>
      <c r="AN54" s="6">
        <f>IF(OR(原始資料!$A54="",39&gt;設定!$B$3,原始資料!AP54=""),"",IF(AND(原始資料!AO54&lt;&gt;"",原始資料!AP54=原始資料!AO54),N(AM54)+1,1))</f>
        <v/>
      </c>
      <c r="AO54" s="6">
        <f>IF(OR(原始資料!$A54="",40&gt;設定!$B$3,原始資料!AQ54=""),"",IF(AND(原始資料!AP54&lt;&gt;"",原始資料!AQ54=原始資料!AP54),N(AN54)+1,1))</f>
        <v/>
      </c>
      <c r="AP54" s="6">
        <f>IF(OR(原始資料!$A54="",41&gt;設定!$B$3,原始資料!AR54=""),"",IF(AND(原始資料!AQ54&lt;&gt;"",原始資料!AR54=原始資料!AQ54),N(AO54)+1,1))</f>
        <v/>
      </c>
      <c r="AQ54" s="6">
        <f>IF(OR(原始資料!$A54="",42&gt;設定!$B$3,原始資料!AS54=""),"",IF(AND(原始資料!AR54&lt;&gt;"",原始資料!AS54=原始資料!AR54),N(AP54)+1,1))</f>
        <v/>
      </c>
      <c r="AR54" s="6">
        <f>IF(OR(原始資料!$A54="",43&gt;設定!$B$3,原始資料!AT54=""),"",IF(AND(原始資料!AS54&lt;&gt;"",原始資料!AT54=原始資料!AS54),N(AQ54)+1,1))</f>
        <v/>
      </c>
      <c r="AS54" s="6">
        <f>IF(OR(原始資料!$A54="",44&gt;設定!$B$3,原始資料!AU54=""),"",IF(AND(原始資料!AT54&lt;&gt;"",原始資料!AU54=原始資料!AT54),N(AR54)+1,1))</f>
        <v/>
      </c>
      <c r="AT54" s="6">
        <f>IF(OR(原始資料!$A54="",45&gt;設定!$B$3,原始資料!AV54=""),"",IF(AND(原始資料!AU54&lt;&gt;"",原始資料!AV54=原始資料!AU54),N(AS54)+1,1))</f>
        <v/>
      </c>
      <c r="AU54" s="6">
        <f>IF(OR(原始資料!$A54="",46&gt;設定!$B$3,原始資料!AW54=""),"",IF(AND(原始資料!AV54&lt;&gt;"",原始資料!AW54=原始資料!AV54),N(AT54)+1,1))</f>
        <v/>
      </c>
      <c r="AV54" s="6">
        <f>IF(OR(原始資料!$A54="",47&gt;設定!$B$3,原始資料!AX54=""),"",IF(AND(原始資料!AW54&lt;&gt;"",原始資料!AX54=原始資料!AW54),N(AU54)+1,1))</f>
        <v/>
      </c>
      <c r="AW54" s="6">
        <f>IF(OR(原始資料!$A54="",48&gt;設定!$B$3,原始資料!AY54=""),"",IF(AND(原始資料!AX54&lt;&gt;"",原始資料!AY54=原始資料!AX54),N(AV54)+1,1))</f>
        <v/>
      </c>
      <c r="AX54" s="6">
        <f>IF(OR(原始資料!$A54="",49&gt;設定!$B$3,原始資料!AZ54=""),"",IF(AND(原始資料!AY54&lt;&gt;"",原始資料!AZ54=原始資料!AY54),N(AW54)+1,1))</f>
        <v/>
      </c>
      <c r="AY54" s="6">
        <f>IF(OR(原始資料!$A54="",50&gt;設定!$B$3,原始資料!BA54=""),"",IF(AND(原始資料!AZ54&lt;&gt;"",原始資料!BA54=原始資料!AZ54),N(AX54)+1,1))</f>
        <v/>
      </c>
      <c r="AZ54" s="6">
        <f>IF(OR(原始資料!$A54="",51&gt;設定!$B$3,原始資料!BB54=""),"",IF(AND(原始資料!BA54&lt;&gt;"",原始資料!BB54=原始資料!BA54),N(AY54)+1,1))</f>
        <v/>
      </c>
      <c r="BA54" s="6">
        <f>IF(OR(原始資料!$A54="",52&gt;設定!$B$3,原始資料!BC54=""),"",IF(AND(原始資料!BB54&lt;&gt;"",原始資料!BC54=原始資料!BB54),N(AZ54)+1,1))</f>
        <v/>
      </c>
      <c r="BB54" s="6">
        <f>IF(OR(原始資料!$A54="",53&gt;設定!$B$3,原始資料!BD54=""),"",IF(AND(原始資料!BC54&lt;&gt;"",原始資料!BD54=原始資料!BC54),N(BA54)+1,1))</f>
        <v/>
      </c>
      <c r="BC54" s="6">
        <f>IF(OR(原始資料!$A54="",54&gt;設定!$B$3,原始資料!BE54=""),"",IF(AND(原始資料!BD54&lt;&gt;"",原始資料!BE54=原始資料!BD54),N(BB54)+1,1))</f>
        <v/>
      </c>
      <c r="BD54" s="6">
        <f>IF(OR(原始資料!$A54="",55&gt;設定!$B$3,原始資料!BF54=""),"",IF(AND(原始資料!BE54&lt;&gt;"",原始資料!BF54=原始資料!BE54),N(BC54)+1,1))</f>
        <v/>
      </c>
      <c r="BE54" s="6">
        <f>IF(OR(原始資料!$A54="",56&gt;設定!$B$3,原始資料!BG54=""),"",IF(AND(原始資料!BF54&lt;&gt;"",原始資料!BG54=原始資料!BF54),N(BD54)+1,1))</f>
        <v/>
      </c>
      <c r="BF54" s="6">
        <f>IF(OR(原始資料!$A54="",57&gt;設定!$B$3,原始資料!BH54=""),"",IF(AND(原始資料!BG54&lt;&gt;"",原始資料!BH54=原始資料!BG54),N(BE54)+1,1))</f>
        <v/>
      </c>
      <c r="BG54" s="6">
        <f>IF(OR(原始資料!$A54="",58&gt;設定!$B$3,原始資料!BI54=""),"",IF(AND(原始資料!BH54&lt;&gt;"",原始資料!BI54=原始資料!BH54),N(BF54)+1,1))</f>
        <v/>
      </c>
      <c r="BH54" s="6">
        <f>IF(OR(原始資料!$A54="",59&gt;設定!$B$3,原始資料!BJ54=""),"",IF(AND(原始資料!BI54&lt;&gt;"",原始資料!BJ54=原始資料!BI54),N(BG54)+1,1))</f>
        <v/>
      </c>
      <c r="BI54" s="6">
        <f>IF(OR(原始資料!$A54="",60&gt;設定!$B$3,原始資料!BK54=""),"",IF(AND(原始資料!BJ54&lt;&gt;"",原始資料!BK54=原始資料!BJ54),N(BH54)+1,1))</f>
        <v/>
      </c>
    </row>
    <row r="55">
      <c r="A55" s="6">
        <f>IF(原始資料!$A55="","",原始資料!$A55)</f>
        <v/>
      </c>
      <c r="B55" s="6">
        <f>IF(OR(原始資料!$A55="",1&gt;設定!$B$3,原始資料!D55=""),"",1)</f>
        <v/>
      </c>
      <c r="C55" s="6">
        <f>IF(OR(原始資料!$A55="",2&gt;設定!$B$3,原始資料!E55=""),"",IF(AND(原始資料!D55&lt;&gt;"",原始資料!E55=原始資料!D55),N(B55)+1,1))</f>
        <v/>
      </c>
      <c r="D55" s="6">
        <f>IF(OR(原始資料!$A55="",3&gt;設定!$B$3,原始資料!F55=""),"",IF(AND(原始資料!E55&lt;&gt;"",原始資料!F55=原始資料!E55),N(C55)+1,1))</f>
        <v/>
      </c>
      <c r="E55" s="6">
        <f>IF(OR(原始資料!$A55="",4&gt;設定!$B$3,原始資料!G55=""),"",IF(AND(原始資料!F55&lt;&gt;"",原始資料!G55=原始資料!F55),N(D55)+1,1))</f>
        <v/>
      </c>
      <c r="F55" s="6">
        <f>IF(OR(原始資料!$A55="",5&gt;設定!$B$3,原始資料!H55=""),"",IF(AND(原始資料!G55&lt;&gt;"",原始資料!H55=原始資料!G55),N(E55)+1,1))</f>
        <v/>
      </c>
      <c r="G55" s="6">
        <f>IF(OR(原始資料!$A55="",6&gt;設定!$B$3,原始資料!I55=""),"",IF(AND(原始資料!H55&lt;&gt;"",原始資料!I55=原始資料!H55),N(F55)+1,1))</f>
        <v/>
      </c>
      <c r="H55" s="6">
        <f>IF(OR(原始資料!$A55="",7&gt;設定!$B$3,原始資料!J55=""),"",IF(AND(原始資料!I55&lt;&gt;"",原始資料!J55=原始資料!I55),N(G55)+1,1))</f>
        <v/>
      </c>
      <c r="I55" s="6">
        <f>IF(OR(原始資料!$A55="",8&gt;設定!$B$3,原始資料!K55=""),"",IF(AND(原始資料!J55&lt;&gt;"",原始資料!K55=原始資料!J55),N(H55)+1,1))</f>
        <v/>
      </c>
      <c r="J55" s="6">
        <f>IF(OR(原始資料!$A55="",9&gt;設定!$B$3,原始資料!L55=""),"",IF(AND(原始資料!K55&lt;&gt;"",原始資料!L55=原始資料!K55),N(I55)+1,1))</f>
        <v/>
      </c>
      <c r="K55" s="6">
        <f>IF(OR(原始資料!$A55="",10&gt;設定!$B$3,原始資料!M55=""),"",IF(AND(原始資料!L55&lt;&gt;"",原始資料!M55=原始資料!L55),N(J55)+1,1))</f>
        <v/>
      </c>
      <c r="L55" s="6">
        <f>IF(OR(原始資料!$A55="",11&gt;設定!$B$3,原始資料!N55=""),"",IF(AND(原始資料!M55&lt;&gt;"",原始資料!N55=原始資料!M55),N(K55)+1,1))</f>
        <v/>
      </c>
      <c r="M55" s="6">
        <f>IF(OR(原始資料!$A55="",12&gt;設定!$B$3,原始資料!O55=""),"",IF(AND(原始資料!N55&lt;&gt;"",原始資料!O55=原始資料!N55),N(L55)+1,1))</f>
        <v/>
      </c>
      <c r="N55" s="6">
        <f>IF(OR(原始資料!$A55="",13&gt;設定!$B$3,原始資料!P55=""),"",IF(AND(原始資料!O55&lt;&gt;"",原始資料!P55=原始資料!O55),N(M55)+1,1))</f>
        <v/>
      </c>
      <c r="O55" s="6">
        <f>IF(OR(原始資料!$A55="",14&gt;設定!$B$3,原始資料!Q55=""),"",IF(AND(原始資料!P55&lt;&gt;"",原始資料!Q55=原始資料!P55),N(N55)+1,1))</f>
        <v/>
      </c>
      <c r="P55" s="6">
        <f>IF(OR(原始資料!$A55="",15&gt;設定!$B$3,原始資料!R55=""),"",IF(AND(原始資料!Q55&lt;&gt;"",原始資料!R55=原始資料!Q55),N(O55)+1,1))</f>
        <v/>
      </c>
      <c r="Q55" s="6">
        <f>IF(OR(原始資料!$A55="",16&gt;設定!$B$3,原始資料!S55=""),"",IF(AND(原始資料!R55&lt;&gt;"",原始資料!S55=原始資料!R55),N(P55)+1,1))</f>
        <v/>
      </c>
      <c r="R55" s="6">
        <f>IF(OR(原始資料!$A55="",17&gt;設定!$B$3,原始資料!T55=""),"",IF(AND(原始資料!S55&lt;&gt;"",原始資料!T55=原始資料!S55),N(Q55)+1,1))</f>
        <v/>
      </c>
      <c r="S55" s="6">
        <f>IF(OR(原始資料!$A55="",18&gt;設定!$B$3,原始資料!U55=""),"",IF(AND(原始資料!T55&lt;&gt;"",原始資料!U55=原始資料!T55),N(R55)+1,1))</f>
        <v/>
      </c>
      <c r="T55" s="6">
        <f>IF(OR(原始資料!$A55="",19&gt;設定!$B$3,原始資料!V55=""),"",IF(AND(原始資料!U55&lt;&gt;"",原始資料!V55=原始資料!U55),N(S55)+1,1))</f>
        <v/>
      </c>
      <c r="U55" s="6">
        <f>IF(OR(原始資料!$A55="",20&gt;設定!$B$3,原始資料!W55=""),"",IF(AND(原始資料!V55&lt;&gt;"",原始資料!W55=原始資料!V55),N(T55)+1,1))</f>
        <v/>
      </c>
      <c r="V55" s="6">
        <f>IF(OR(原始資料!$A55="",21&gt;設定!$B$3,原始資料!X55=""),"",IF(AND(原始資料!W55&lt;&gt;"",原始資料!X55=原始資料!W55),N(U55)+1,1))</f>
        <v/>
      </c>
      <c r="W55" s="6">
        <f>IF(OR(原始資料!$A55="",22&gt;設定!$B$3,原始資料!Y55=""),"",IF(AND(原始資料!X55&lt;&gt;"",原始資料!Y55=原始資料!X55),N(V55)+1,1))</f>
        <v/>
      </c>
      <c r="X55" s="6">
        <f>IF(OR(原始資料!$A55="",23&gt;設定!$B$3,原始資料!Z55=""),"",IF(AND(原始資料!Y55&lt;&gt;"",原始資料!Z55=原始資料!Y55),N(W55)+1,1))</f>
        <v/>
      </c>
      <c r="Y55" s="6">
        <f>IF(OR(原始資料!$A55="",24&gt;設定!$B$3,原始資料!AA55=""),"",IF(AND(原始資料!Z55&lt;&gt;"",原始資料!AA55=原始資料!Z55),N(X55)+1,1))</f>
        <v/>
      </c>
      <c r="Z55" s="6">
        <f>IF(OR(原始資料!$A55="",25&gt;設定!$B$3,原始資料!AB55=""),"",IF(AND(原始資料!AA55&lt;&gt;"",原始資料!AB55=原始資料!AA55),N(Y55)+1,1))</f>
        <v/>
      </c>
      <c r="AA55" s="6">
        <f>IF(OR(原始資料!$A55="",26&gt;設定!$B$3,原始資料!AC55=""),"",IF(AND(原始資料!AB55&lt;&gt;"",原始資料!AC55=原始資料!AB55),N(Z55)+1,1))</f>
        <v/>
      </c>
      <c r="AB55" s="6">
        <f>IF(OR(原始資料!$A55="",27&gt;設定!$B$3,原始資料!AD55=""),"",IF(AND(原始資料!AC55&lt;&gt;"",原始資料!AD55=原始資料!AC55),N(AA55)+1,1))</f>
        <v/>
      </c>
      <c r="AC55" s="6">
        <f>IF(OR(原始資料!$A55="",28&gt;設定!$B$3,原始資料!AE55=""),"",IF(AND(原始資料!AD55&lt;&gt;"",原始資料!AE55=原始資料!AD55),N(AB55)+1,1))</f>
        <v/>
      </c>
      <c r="AD55" s="6">
        <f>IF(OR(原始資料!$A55="",29&gt;設定!$B$3,原始資料!AF55=""),"",IF(AND(原始資料!AE55&lt;&gt;"",原始資料!AF55=原始資料!AE55),N(AC55)+1,1))</f>
        <v/>
      </c>
      <c r="AE55" s="6">
        <f>IF(OR(原始資料!$A55="",30&gt;設定!$B$3,原始資料!AG55=""),"",IF(AND(原始資料!AF55&lt;&gt;"",原始資料!AG55=原始資料!AF55),N(AD55)+1,1))</f>
        <v/>
      </c>
      <c r="AF55" s="6">
        <f>IF(OR(原始資料!$A55="",31&gt;設定!$B$3,原始資料!AH55=""),"",IF(AND(原始資料!AG55&lt;&gt;"",原始資料!AH55=原始資料!AG55),N(AE55)+1,1))</f>
        <v/>
      </c>
      <c r="AG55" s="6">
        <f>IF(OR(原始資料!$A55="",32&gt;設定!$B$3,原始資料!AI55=""),"",IF(AND(原始資料!AH55&lt;&gt;"",原始資料!AI55=原始資料!AH55),N(AF55)+1,1))</f>
        <v/>
      </c>
      <c r="AH55" s="6">
        <f>IF(OR(原始資料!$A55="",33&gt;設定!$B$3,原始資料!AJ55=""),"",IF(AND(原始資料!AI55&lt;&gt;"",原始資料!AJ55=原始資料!AI55),N(AG55)+1,1))</f>
        <v/>
      </c>
      <c r="AI55" s="6">
        <f>IF(OR(原始資料!$A55="",34&gt;設定!$B$3,原始資料!AK55=""),"",IF(AND(原始資料!AJ55&lt;&gt;"",原始資料!AK55=原始資料!AJ55),N(AH55)+1,1))</f>
        <v/>
      </c>
      <c r="AJ55" s="6">
        <f>IF(OR(原始資料!$A55="",35&gt;設定!$B$3,原始資料!AL55=""),"",IF(AND(原始資料!AK55&lt;&gt;"",原始資料!AL55=原始資料!AK55),N(AI55)+1,1))</f>
        <v/>
      </c>
      <c r="AK55" s="6">
        <f>IF(OR(原始資料!$A55="",36&gt;設定!$B$3,原始資料!AM55=""),"",IF(AND(原始資料!AL55&lt;&gt;"",原始資料!AM55=原始資料!AL55),N(AJ55)+1,1))</f>
        <v/>
      </c>
      <c r="AL55" s="6">
        <f>IF(OR(原始資料!$A55="",37&gt;設定!$B$3,原始資料!AN55=""),"",IF(AND(原始資料!AM55&lt;&gt;"",原始資料!AN55=原始資料!AM55),N(AK55)+1,1))</f>
        <v/>
      </c>
      <c r="AM55" s="6">
        <f>IF(OR(原始資料!$A55="",38&gt;設定!$B$3,原始資料!AO55=""),"",IF(AND(原始資料!AN55&lt;&gt;"",原始資料!AO55=原始資料!AN55),N(AL55)+1,1))</f>
        <v/>
      </c>
      <c r="AN55" s="6">
        <f>IF(OR(原始資料!$A55="",39&gt;設定!$B$3,原始資料!AP55=""),"",IF(AND(原始資料!AO55&lt;&gt;"",原始資料!AP55=原始資料!AO55),N(AM55)+1,1))</f>
        <v/>
      </c>
      <c r="AO55" s="6">
        <f>IF(OR(原始資料!$A55="",40&gt;設定!$B$3,原始資料!AQ55=""),"",IF(AND(原始資料!AP55&lt;&gt;"",原始資料!AQ55=原始資料!AP55),N(AN55)+1,1))</f>
        <v/>
      </c>
      <c r="AP55" s="6">
        <f>IF(OR(原始資料!$A55="",41&gt;設定!$B$3,原始資料!AR55=""),"",IF(AND(原始資料!AQ55&lt;&gt;"",原始資料!AR55=原始資料!AQ55),N(AO55)+1,1))</f>
        <v/>
      </c>
      <c r="AQ55" s="6">
        <f>IF(OR(原始資料!$A55="",42&gt;設定!$B$3,原始資料!AS55=""),"",IF(AND(原始資料!AR55&lt;&gt;"",原始資料!AS55=原始資料!AR55),N(AP55)+1,1))</f>
        <v/>
      </c>
      <c r="AR55" s="6">
        <f>IF(OR(原始資料!$A55="",43&gt;設定!$B$3,原始資料!AT55=""),"",IF(AND(原始資料!AS55&lt;&gt;"",原始資料!AT55=原始資料!AS55),N(AQ55)+1,1))</f>
        <v/>
      </c>
      <c r="AS55" s="6">
        <f>IF(OR(原始資料!$A55="",44&gt;設定!$B$3,原始資料!AU55=""),"",IF(AND(原始資料!AT55&lt;&gt;"",原始資料!AU55=原始資料!AT55),N(AR55)+1,1))</f>
        <v/>
      </c>
      <c r="AT55" s="6">
        <f>IF(OR(原始資料!$A55="",45&gt;設定!$B$3,原始資料!AV55=""),"",IF(AND(原始資料!AU55&lt;&gt;"",原始資料!AV55=原始資料!AU55),N(AS55)+1,1))</f>
        <v/>
      </c>
      <c r="AU55" s="6">
        <f>IF(OR(原始資料!$A55="",46&gt;設定!$B$3,原始資料!AW55=""),"",IF(AND(原始資料!AV55&lt;&gt;"",原始資料!AW55=原始資料!AV55),N(AT55)+1,1))</f>
        <v/>
      </c>
      <c r="AV55" s="6">
        <f>IF(OR(原始資料!$A55="",47&gt;設定!$B$3,原始資料!AX55=""),"",IF(AND(原始資料!AW55&lt;&gt;"",原始資料!AX55=原始資料!AW55),N(AU55)+1,1))</f>
        <v/>
      </c>
      <c r="AW55" s="6">
        <f>IF(OR(原始資料!$A55="",48&gt;設定!$B$3,原始資料!AY55=""),"",IF(AND(原始資料!AX55&lt;&gt;"",原始資料!AY55=原始資料!AX55),N(AV55)+1,1))</f>
        <v/>
      </c>
      <c r="AX55" s="6">
        <f>IF(OR(原始資料!$A55="",49&gt;設定!$B$3,原始資料!AZ55=""),"",IF(AND(原始資料!AY55&lt;&gt;"",原始資料!AZ55=原始資料!AY55),N(AW55)+1,1))</f>
        <v/>
      </c>
      <c r="AY55" s="6">
        <f>IF(OR(原始資料!$A55="",50&gt;設定!$B$3,原始資料!BA55=""),"",IF(AND(原始資料!AZ55&lt;&gt;"",原始資料!BA55=原始資料!AZ55),N(AX55)+1,1))</f>
        <v/>
      </c>
      <c r="AZ55" s="6">
        <f>IF(OR(原始資料!$A55="",51&gt;設定!$B$3,原始資料!BB55=""),"",IF(AND(原始資料!BA55&lt;&gt;"",原始資料!BB55=原始資料!BA55),N(AY55)+1,1))</f>
        <v/>
      </c>
      <c r="BA55" s="6">
        <f>IF(OR(原始資料!$A55="",52&gt;設定!$B$3,原始資料!BC55=""),"",IF(AND(原始資料!BB55&lt;&gt;"",原始資料!BC55=原始資料!BB55),N(AZ55)+1,1))</f>
        <v/>
      </c>
      <c r="BB55" s="6">
        <f>IF(OR(原始資料!$A55="",53&gt;設定!$B$3,原始資料!BD55=""),"",IF(AND(原始資料!BC55&lt;&gt;"",原始資料!BD55=原始資料!BC55),N(BA55)+1,1))</f>
        <v/>
      </c>
      <c r="BC55" s="6">
        <f>IF(OR(原始資料!$A55="",54&gt;設定!$B$3,原始資料!BE55=""),"",IF(AND(原始資料!BD55&lt;&gt;"",原始資料!BE55=原始資料!BD55),N(BB55)+1,1))</f>
        <v/>
      </c>
      <c r="BD55" s="6">
        <f>IF(OR(原始資料!$A55="",55&gt;設定!$B$3,原始資料!BF55=""),"",IF(AND(原始資料!BE55&lt;&gt;"",原始資料!BF55=原始資料!BE55),N(BC55)+1,1))</f>
        <v/>
      </c>
      <c r="BE55" s="6">
        <f>IF(OR(原始資料!$A55="",56&gt;設定!$B$3,原始資料!BG55=""),"",IF(AND(原始資料!BF55&lt;&gt;"",原始資料!BG55=原始資料!BF55),N(BD55)+1,1))</f>
        <v/>
      </c>
      <c r="BF55" s="6">
        <f>IF(OR(原始資料!$A55="",57&gt;設定!$B$3,原始資料!BH55=""),"",IF(AND(原始資料!BG55&lt;&gt;"",原始資料!BH55=原始資料!BG55),N(BE55)+1,1))</f>
        <v/>
      </c>
      <c r="BG55" s="6">
        <f>IF(OR(原始資料!$A55="",58&gt;設定!$B$3,原始資料!BI55=""),"",IF(AND(原始資料!BH55&lt;&gt;"",原始資料!BI55=原始資料!BH55),N(BF55)+1,1))</f>
        <v/>
      </c>
      <c r="BH55" s="6">
        <f>IF(OR(原始資料!$A55="",59&gt;設定!$B$3,原始資料!BJ55=""),"",IF(AND(原始資料!BI55&lt;&gt;"",原始資料!BJ55=原始資料!BI55),N(BG55)+1,1))</f>
        <v/>
      </c>
      <c r="BI55" s="6">
        <f>IF(OR(原始資料!$A55="",60&gt;設定!$B$3,原始資料!BK55=""),"",IF(AND(原始資料!BJ55&lt;&gt;"",原始資料!BK55=原始資料!BJ55),N(BH55)+1,1))</f>
        <v/>
      </c>
    </row>
    <row r="56">
      <c r="A56" s="6">
        <f>IF(原始資料!$A56="","",原始資料!$A56)</f>
        <v/>
      </c>
      <c r="B56" s="6">
        <f>IF(OR(原始資料!$A56="",1&gt;設定!$B$3,原始資料!D56=""),"",1)</f>
        <v/>
      </c>
      <c r="C56" s="6">
        <f>IF(OR(原始資料!$A56="",2&gt;設定!$B$3,原始資料!E56=""),"",IF(AND(原始資料!D56&lt;&gt;"",原始資料!E56=原始資料!D56),N(B56)+1,1))</f>
        <v/>
      </c>
      <c r="D56" s="6">
        <f>IF(OR(原始資料!$A56="",3&gt;設定!$B$3,原始資料!F56=""),"",IF(AND(原始資料!E56&lt;&gt;"",原始資料!F56=原始資料!E56),N(C56)+1,1))</f>
        <v/>
      </c>
      <c r="E56" s="6">
        <f>IF(OR(原始資料!$A56="",4&gt;設定!$B$3,原始資料!G56=""),"",IF(AND(原始資料!F56&lt;&gt;"",原始資料!G56=原始資料!F56),N(D56)+1,1))</f>
        <v/>
      </c>
      <c r="F56" s="6">
        <f>IF(OR(原始資料!$A56="",5&gt;設定!$B$3,原始資料!H56=""),"",IF(AND(原始資料!G56&lt;&gt;"",原始資料!H56=原始資料!G56),N(E56)+1,1))</f>
        <v/>
      </c>
      <c r="G56" s="6">
        <f>IF(OR(原始資料!$A56="",6&gt;設定!$B$3,原始資料!I56=""),"",IF(AND(原始資料!H56&lt;&gt;"",原始資料!I56=原始資料!H56),N(F56)+1,1))</f>
        <v/>
      </c>
      <c r="H56" s="6">
        <f>IF(OR(原始資料!$A56="",7&gt;設定!$B$3,原始資料!J56=""),"",IF(AND(原始資料!I56&lt;&gt;"",原始資料!J56=原始資料!I56),N(G56)+1,1))</f>
        <v/>
      </c>
      <c r="I56" s="6">
        <f>IF(OR(原始資料!$A56="",8&gt;設定!$B$3,原始資料!K56=""),"",IF(AND(原始資料!J56&lt;&gt;"",原始資料!K56=原始資料!J56),N(H56)+1,1))</f>
        <v/>
      </c>
      <c r="J56" s="6">
        <f>IF(OR(原始資料!$A56="",9&gt;設定!$B$3,原始資料!L56=""),"",IF(AND(原始資料!K56&lt;&gt;"",原始資料!L56=原始資料!K56),N(I56)+1,1))</f>
        <v/>
      </c>
      <c r="K56" s="6">
        <f>IF(OR(原始資料!$A56="",10&gt;設定!$B$3,原始資料!M56=""),"",IF(AND(原始資料!L56&lt;&gt;"",原始資料!M56=原始資料!L56),N(J56)+1,1))</f>
        <v/>
      </c>
      <c r="L56" s="6">
        <f>IF(OR(原始資料!$A56="",11&gt;設定!$B$3,原始資料!N56=""),"",IF(AND(原始資料!M56&lt;&gt;"",原始資料!N56=原始資料!M56),N(K56)+1,1))</f>
        <v/>
      </c>
      <c r="M56" s="6">
        <f>IF(OR(原始資料!$A56="",12&gt;設定!$B$3,原始資料!O56=""),"",IF(AND(原始資料!N56&lt;&gt;"",原始資料!O56=原始資料!N56),N(L56)+1,1))</f>
        <v/>
      </c>
      <c r="N56" s="6">
        <f>IF(OR(原始資料!$A56="",13&gt;設定!$B$3,原始資料!P56=""),"",IF(AND(原始資料!O56&lt;&gt;"",原始資料!P56=原始資料!O56),N(M56)+1,1))</f>
        <v/>
      </c>
      <c r="O56" s="6">
        <f>IF(OR(原始資料!$A56="",14&gt;設定!$B$3,原始資料!Q56=""),"",IF(AND(原始資料!P56&lt;&gt;"",原始資料!Q56=原始資料!P56),N(N56)+1,1))</f>
        <v/>
      </c>
      <c r="P56" s="6">
        <f>IF(OR(原始資料!$A56="",15&gt;設定!$B$3,原始資料!R56=""),"",IF(AND(原始資料!Q56&lt;&gt;"",原始資料!R56=原始資料!Q56),N(O56)+1,1))</f>
        <v/>
      </c>
      <c r="Q56" s="6">
        <f>IF(OR(原始資料!$A56="",16&gt;設定!$B$3,原始資料!S56=""),"",IF(AND(原始資料!R56&lt;&gt;"",原始資料!S56=原始資料!R56),N(P56)+1,1))</f>
        <v/>
      </c>
      <c r="R56" s="6">
        <f>IF(OR(原始資料!$A56="",17&gt;設定!$B$3,原始資料!T56=""),"",IF(AND(原始資料!S56&lt;&gt;"",原始資料!T56=原始資料!S56),N(Q56)+1,1))</f>
        <v/>
      </c>
      <c r="S56" s="6">
        <f>IF(OR(原始資料!$A56="",18&gt;設定!$B$3,原始資料!U56=""),"",IF(AND(原始資料!T56&lt;&gt;"",原始資料!U56=原始資料!T56),N(R56)+1,1))</f>
        <v/>
      </c>
      <c r="T56" s="6">
        <f>IF(OR(原始資料!$A56="",19&gt;設定!$B$3,原始資料!V56=""),"",IF(AND(原始資料!U56&lt;&gt;"",原始資料!V56=原始資料!U56),N(S56)+1,1))</f>
        <v/>
      </c>
      <c r="U56" s="6">
        <f>IF(OR(原始資料!$A56="",20&gt;設定!$B$3,原始資料!W56=""),"",IF(AND(原始資料!V56&lt;&gt;"",原始資料!W56=原始資料!V56),N(T56)+1,1))</f>
        <v/>
      </c>
      <c r="V56" s="6">
        <f>IF(OR(原始資料!$A56="",21&gt;設定!$B$3,原始資料!X56=""),"",IF(AND(原始資料!W56&lt;&gt;"",原始資料!X56=原始資料!W56),N(U56)+1,1))</f>
        <v/>
      </c>
      <c r="W56" s="6">
        <f>IF(OR(原始資料!$A56="",22&gt;設定!$B$3,原始資料!Y56=""),"",IF(AND(原始資料!X56&lt;&gt;"",原始資料!Y56=原始資料!X56),N(V56)+1,1))</f>
        <v/>
      </c>
      <c r="X56" s="6">
        <f>IF(OR(原始資料!$A56="",23&gt;設定!$B$3,原始資料!Z56=""),"",IF(AND(原始資料!Y56&lt;&gt;"",原始資料!Z56=原始資料!Y56),N(W56)+1,1))</f>
        <v/>
      </c>
      <c r="Y56" s="6">
        <f>IF(OR(原始資料!$A56="",24&gt;設定!$B$3,原始資料!AA56=""),"",IF(AND(原始資料!Z56&lt;&gt;"",原始資料!AA56=原始資料!Z56),N(X56)+1,1))</f>
        <v/>
      </c>
      <c r="Z56" s="6">
        <f>IF(OR(原始資料!$A56="",25&gt;設定!$B$3,原始資料!AB56=""),"",IF(AND(原始資料!AA56&lt;&gt;"",原始資料!AB56=原始資料!AA56),N(Y56)+1,1))</f>
        <v/>
      </c>
      <c r="AA56" s="6">
        <f>IF(OR(原始資料!$A56="",26&gt;設定!$B$3,原始資料!AC56=""),"",IF(AND(原始資料!AB56&lt;&gt;"",原始資料!AC56=原始資料!AB56),N(Z56)+1,1))</f>
        <v/>
      </c>
      <c r="AB56" s="6">
        <f>IF(OR(原始資料!$A56="",27&gt;設定!$B$3,原始資料!AD56=""),"",IF(AND(原始資料!AC56&lt;&gt;"",原始資料!AD56=原始資料!AC56),N(AA56)+1,1))</f>
        <v/>
      </c>
      <c r="AC56" s="6">
        <f>IF(OR(原始資料!$A56="",28&gt;設定!$B$3,原始資料!AE56=""),"",IF(AND(原始資料!AD56&lt;&gt;"",原始資料!AE56=原始資料!AD56),N(AB56)+1,1))</f>
        <v/>
      </c>
      <c r="AD56" s="6">
        <f>IF(OR(原始資料!$A56="",29&gt;設定!$B$3,原始資料!AF56=""),"",IF(AND(原始資料!AE56&lt;&gt;"",原始資料!AF56=原始資料!AE56),N(AC56)+1,1))</f>
        <v/>
      </c>
      <c r="AE56" s="6">
        <f>IF(OR(原始資料!$A56="",30&gt;設定!$B$3,原始資料!AG56=""),"",IF(AND(原始資料!AF56&lt;&gt;"",原始資料!AG56=原始資料!AF56),N(AD56)+1,1))</f>
        <v/>
      </c>
      <c r="AF56" s="6">
        <f>IF(OR(原始資料!$A56="",31&gt;設定!$B$3,原始資料!AH56=""),"",IF(AND(原始資料!AG56&lt;&gt;"",原始資料!AH56=原始資料!AG56),N(AE56)+1,1))</f>
        <v/>
      </c>
      <c r="AG56" s="6">
        <f>IF(OR(原始資料!$A56="",32&gt;設定!$B$3,原始資料!AI56=""),"",IF(AND(原始資料!AH56&lt;&gt;"",原始資料!AI56=原始資料!AH56),N(AF56)+1,1))</f>
        <v/>
      </c>
      <c r="AH56" s="6">
        <f>IF(OR(原始資料!$A56="",33&gt;設定!$B$3,原始資料!AJ56=""),"",IF(AND(原始資料!AI56&lt;&gt;"",原始資料!AJ56=原始資料!AI56),N(AG56)+1,1))</f>
        <v/>
      </c>
      <c r="AI56" s="6">
        <f>IF(OR(原始資料!$A56="",34&gt;設定!$B$3,原始資料!AK56=""),"",IF(AND(原始資料!AJ56&lt;&gt;"",原始資料!AK56=原始資料!AJ56),N(AH56)+1,1))</f>
        <v/>
      </c>
      <c r="AJ56" s="6">
        <f>IF(OR(原始資料!$A56="",35&gt;設定!$B$3,原始資料!AL56=""),"",IF(AND(原始資料!AK56&lt;&gt;"",原始資料!AL56=原始資料!AK56),N(AI56)+1,1))</f>
        <v/>
      </c>
      <c r="AK56" s="6">
        <f>IF(OR(原始資料!$A56="",36&gt;設定!$B$3,原始資料!AM56=""),"",IF(AND(原始資料!AL56&lt;&gt;"",原始資料!AM56=原始資料!AL56),N(AJ56)+1,1))</f>
        <v/>
      </c>
      <c r="AL56" s="6">
        <f>IF(OR(原始資料!$A56="",37&gt;設定!$B$3,原始資料!AN56=""),"",IF(AND(原始資料!AM56&lt;&gt;"",原始資料!AN56=原始資料!AM56),N(AK56)+1,1))</f>
        <v/>
      </c>
      <c r="AM56" s="6">
        <f>IF(OR(原始資料!$A56="",38&gt;設定!$B$3,原始資料!AO56=""),"",IF(AND(原始資料!AN56&lt;&gt;"",原始資料!AO56=原始資料!AN56),N(AL56)+1,1))</f>
        <v/>
      </c>
      <c r="AN56" s="6">
        <f>IF(OR(原始資料!$A56="",39&gt;設定!$B$3,原始資料!AP56=""),"",IF(AND(原始資料!AO56&lt;&gt;"",原始資料!AP56=原始資料!AO56),N(AM56)+1,1))</f>
        <v/>
      </c>
      <c r="AO56" s="6">
        <f>IF(OR(原始資料!$A56="",40&gt;設定!$B$3,原始資料!AQ56=""),"",IF(AND(原始資料!AP56&lt;&gt;"",原始資料!AQ56=原始資料!AP56),N(AN56)+1,1))</f>
        <v/>
      </c>
      <c r="AP56" s="6">
        <f>IF(OR(原始資料!$A56="",41&gt;設定!$B$3,原始資料!AR56=""),"",IF(AND(原始資料!AQ56&lt;&gt;"",原始資料!AR56=原始資料!AQ56),N(AO56)+1,1))</f>
        <v/>
      </c>
      <c r="AQ56" s="6">
        <f>IF(OR(原始資料!$A56="",42&gt;設定!$B$3,原始資料!AS56=""),"",IF(AND(原始資料!AR56&lt;&gt;"",原始資料!AS56=原始資料!AR56),N(AP56)+1,1))</f>
        <v/>
      </c>
      <c r="AR56" s="6">
        <f>IF(OR(原始資料!$A56="",43&gt;設定!$B$3,原始資料!AT56=""),"",IF(AND(原始資料!AS56&lt;&gt;"",原始資料!AT56=原始資料!AS56),N(AQ56)+1,1))</f>
        <v/>
      </c>
      <c r="AS56" s="6">
        <f>IF(OR(原始資料!$A56="",44&gt;設定!$B$3,原始資料!AU56=""),"",IF(AND(原始資料!AT56&lt;&gt;"",原始資料!AU56=原始資料!AT56),N(AR56)+1,1))</f>
        <v/>
      </c>
      <c r="AT56" s="6">
        <f>IF(OR(原始資料!$A56="",45&gt;設定!$B$3,原始資料!AV56=""),"",IF(AND(原始資料!AU56&lt;&gt;"",原始資料!AV56=原始資料!AU56),N(AS56)+1,1))</f>
        <v/>
      </c>
      <c r="AU56" s="6">
        <f>IF(OR(原始資料!$A56="",46&gt;設定!$B$3,原始資料!AW56=""),"",IF(AND(原始資料!AV56&lt;&gt;"",原始資料!AW56=原始資料!AV56),N(AT56)+1,1))</f>
        <v/>
      </c>
      <c r="AV56" s="6">
        <f>IF(OR(原始資料!$A56="",47&gt;設定!$B$3,原始資料!AX56=""),"",IF(AND(原始資料!AW56&lt;&gt;"",原始資料!AX56=原始資料!AW56),N(AU56)+1,1))</f>
        <v/>
      </c>
      <c r="AW56" s="6">
        <f>IF(OR(原始資料!$A56="",48&gt;設定!$B$3,原始資料!AY56=""),"",IF(AND(原始資料!AX56&lt;&gt;"",原始資料!AY56=原始資料!AX56),N(AV56)+1,1))</f>
        <v/>
      </c>
      <c r="AX56" s="6">
        <f>IF(OR(原始資料!$A56="",49&gt;設定!$B$3,原始資料!AZ56=""),"",IF(AND(原始資料!AY56&lt;&gt;"",原始資料!AZ56=原始資料!AY56),N(AW56)+1,1))</f>
        <v/>
      </c>
      <c r="AY56" s="6">
        <f>IF(OR(原始資料!$A56="",50&gt;設定!$B$3,原始資料!BA56=""),"",IF(AND(原始資料!AZ56&lt;&gt;"",原始資料!BA56=原始資料!AZ56),N(AX56)+1,1))</f>
        <v/>
      </c>
      <c r="AZ56" s="6">
        <f>IF(OR(原始資料!$A56="",51&gt;設定!$B$3,原始資料!BB56=""),"",IF(AND(原始資料!BA56&lt;&gt;"",原始資料!BB56=原始資料!BA56),N(AY56)+1,1))</f>
        <v/>
      </c>
      <c r="BA56" s="6">
        <f>IF(OR(原始資料!$A56="",52&gt;設定!$B$3,原始資料!BC56=""),"",IF(AND(原始資料!BB56&lt;&gt;"",原始資料!BC56=原始資料!BB56),N(AZ56)+1,1))</f>
        <v/>
      </c>
      <c r="BB56" s="6">
        <f>IF(OR(原始資料!$A56="",53&gt;設定!$B$3,原始資料!BD56=""),"",IF(AND(原始資料!BC56&lt;&gt;"",原始資料!BD56=原始資料!BC56),N(BA56)+1,1))</f>
        <v/>
      </c>
      <c r="BC56" s="6">
        <f>IF(OR(原始資料!$A56="",54&gt;設定!$B$3,原始資料!BE56=""),"",IF(AND(原始資料!BD56&lt;&gt;"",原始資料!BE56=原始資料!BD56),N(BB56)+1,1))</f>
        <v/>
      </c>
      <c r="BD56" s="6">
        <f>IF(OR(原始資料!$A56="",55&gt;設定!$B$3,原始資料!BF56=""),"",IF(AND(原始資料!BE56&lt;&gt;"",原始資料!BF56=原始資料!BE56),N(BC56)+1,1))</f>
        <v/>
      </c>
      <c r="BE56" s="6">
        <f>IF(OR(原始資料!$A56="",56&gt;設定!$B$3,原始資料!BG56=""),"",IF(AND(原始資料!BF56&lt;&gt;"",原始資料!BG56=原始資料!BF56),N(BD56)+1,1))</f>
        <v/>
      </c>
      <c r="BF56" s="6">
        <f>IF(OR(原始資料!$A56="",57&gt;設定!$B$3,原始資料!BH56=""),"",IF(AND(原始資料!BG56&lt;&gt;"",原始資料!BH56=原始資料!BG56),N(BE56)+1,1))</f>
        <v/>
      </c>
      <c r="BG56" s="6">
        <f>IF(OR(原始資料!$A56="",58&gt;設定!$B$3,原始資料!BI56=""),"",IF(AND(原始資料!BH56&lt;&gt;"",原始資料!BI56=原始資料!BH56),N(BF56)+1,1))</f>
        <v/>
      </c>
      <c r="BH56" s="6">
        <f>IF(OR(原始資料!$A56="",59&gt;設定!$B$3,原始資料!BJ56=""),"",IF(AND(原始資料!BI56&lt;&gt;"",原始資料!BJ56=原始資料!BI56),N(BG56)+1,1))</f>
        <v/>
      </c>
      <c r="BI56" s="6">
        <f>IF(OR(原始資料!$A56="",60&gt;設定!$B$3,原始資料!BK56=""),"",IF(AND(原始資料!BJ56&lt;&gt;"",原始資料!BK56=原始資料!BJ56),N(BH56)+1,1))</f>
        <v/>
      </c>
    </row>
    <row r="57">
      <c r="A57" s="6">
        <f>IF(原始資料!$A57="","",原始資料!$A57)</f>
        <v/>
      </c>
      <c r="B57" s="6">
        <f>IF(OR(原始資料!$A57="",1&gt;設定!$B$3,原始資料!D57=""),"",1)</f>
        <v/>
      </c>
      <c r="C57" s="6">
        <f>IF(OR(原始資料!$A57="",2&gt;設定!$B$3,原始資料!E57=""),"",IF(AND(原始資料!D57&lt;&gt;"",原始資料!E57=原始資料!D57),N(B57)+1,1))</f>
        <v/>
      </c>
      <c r="D57" s="6">
        <f>IF(OR(原始資料!$A57="",3&gt;設定!$B$3,原始資料!F57=""),"",IF(AND(原始資料!E57&lt;&gt;"",原始資料!F57=原始資料!E57),N(C57)+1,1))</f>
        <v/>
      </c>
      <c r="E57" s="6">
        <f>IF(OR(原始資料!$A57="",4&gt;設定!$B$3,原始資料!G57=""),"",IF(AND(原始資料!F57&lt;&gt;"",原始資料!G57=原始資料!F57),N(D57)+1,1))</f>
        <v/>
      </c>
      <c r="F57" s="6">
        <f>IF(OR(原始資料!$A57="",5&gt;設定!$B$3,原始資料!H57=""),"",IF(AND(原始資料!G57&lt;&gt;"",原始資料!H57=原始資料!G57),N(E57)+1,1))</f>
        <v/>
      </c>
      <c r="G57" s="6">
        <f>IF(OR(原始資料!$A57="",6&gt;設定!$B$3,原始資料!I57=""),"",IF(AND(原始資料!H57&lt;&gt;"",原始資料!I57=原始資料!H57),N(F57)+1,1))</f>
        <v/>
      </c>
      <c r="H57" s="6">
        <f>IF(OR(原始資料!$A57="",7&gt;設定!$B$3,原始資料!J57=""),"",IF(AND(原始資料!I57&lt;&gt;"",原始資料!J57=原始資料!I57),N(G57)+1,1))</f>
        <v/>
      </c>
      <c r="I57" s="6">
        <f>IF(OR(原始資料!$A57="",8&gt;設定!$B$3,原始資料!K57=""),"",IF(AND(原始資料!J57&lt;&gt;"",原始資料!K57=原始資料!J57),N(H57)+1,1))</f>
        <v/>
      </c>
      <c r="J57" s="6">
        <f>IF(OR(原始資料!$A57="",9&gt;設定!$B$3,原始資料!L57=""),"",IF(AND(原始資料!K57&lt;&gt;"",原始資料!L57=原始資料!K57),N(I57)+1,1))</f>
        <v/>
      </c>
      <c r="K57" s="6">
        <f>IF(OR(原始資料!$A57="",10&gt;設定!$B$3,原始資料!M57=""),"",IF(AND(原始資料!L57&lt;&gt;"",原始資料!M57=原始資料!L57),N(J57)+1,1))</f>
        <v/>
      </c>
      <c r="L57" s="6">
        <f>IF(OR(原始資料!$A57="",11&gt;設定!$B$3,原始資料!N57=""),"",IF(AND(原始資料!M57&lt;&gt;"",原始資料!N57=原始資料!M57),N(K57)+1,1))</f>
        <v/>
      </c>
      <c r="M57" s="6">
        <f>IF(OR(原始資料!$A57="",12&gt;設定!$B$3,原始資料!O57=""),"",IF(AND(原始資料!N57&lt;&gt;"",原始資料!O57=原始資料!N57),N(L57)+1,1))</f>
        <v/>
      </c>
      <c r="N57" s="6">
        <f>IF(OR(原始資料!$A57="",13&gt;設定!$B$3,原始資料!P57=""),"",IF(AND(原始資料!O57&lt;&gt;"",原始資料!P57=原始資料!O57),N(M57)+1,1))</f>
        <v/>
      </c>
      <c r="O57" s="6">
        <f>IF(OR(原始資料!$A57="",14&gt;設定!$B$3,原始資料!Q57=""),"",IF(AND(原始資料!P57&lt;&gt;"",原始資料!Q57=原始資料!P57),N(N57)+1,1))</f>
        <v/>
      </c>
      <c r="P57" s="6">
        <f>IF(OR(原始資料!$A57="",15&gt;設定!$B$3,原始資料!R57=""),"",IF(AND(原始資料!Q57&lt;&gt;"",原始資料!R57=原始資料!Q57),N(O57)+1,1))</f>
        <v/>
      </c>
      <c r="Q57" s="6">
        <f>IF(OR(原始資料!$A57="",16&gt;設定!$B$3,原始資料!S57=""),"",IF(AND(原始資料!R57&lt;&gt;"",原始資料!S57=原始資料!R57),N(P57)+1,1))</f>
        <v/>
      </c>
      <c r="R57" s="6">
        <f>IF(OR(原始資料!$A57="",17&gt;設定!$B$3,原始資料!T57=""),"",IF(AND(原始資料!S57&lt;&gt;"",原始資料!T57=原始資料!S57),N(Q57)+1,1))</f>
        <v/>
      </c>
      <c r="S57" s="6">
        <f>IF(OR(原始資料!$A57="",18&gt;設定!$B$3,原始資料!U57=""),"",IF(AND(原始資料!T57&lt;&gt;"",原始資料!U57=原始資料!T57),N(R57)+1,1))</f>
        <v/>
      </c>
      <c r="T57" s="6">
        <f>IF(OR(原始資料!$A57="",19&gt;設定!$B$3,原始資料!V57=""),"",IF(AND(原始資料!U57&lt;&gt;"",原始資料!V57=原始資料!U57),N(S57)+1,1))</f>
        <v/>
      </c>
      <c r="U57" s="6">
        <f>IF(OR(原始資料!$A57="",20&gt;設定!$B$3,原始資料!W57=""),"",IF(AND(原始資料!V57&lt;&gt;"",原始資料!W57=原始資料!V57),N(T57)+1,1))</f>
        <v/>
      </c>
      <c r="V57" s="6">
        <f>IF(OR(原始資料!$A57="",21&gt;設定!$B$3,原始資料!X57=""),"",IF(AND(原始資料!W57&lt;&gt;"",原始資料!X57=原始資料!W57),N(U57)+1,1))</f>
        <v/>
      </c>
      <c r="W57" s="6">
        <f>IF(OR(原始資料!$A57="",22&gt;設定!$B$3,原始資料!Y57=""),"",IF(AND(原始資料!X57&lt;&gt;"",原始資料!Y57=原始資料!X57),N(V57)+1,1))</f>
        <v/>
      </c>
      <c r="X57" s="6">
        <f>IF(OR(原始資料!$A57="",23&gt;設定!$B$3,原始資料!Z57=""),"",IF(AND(原始資料!Y57&lt;&gt;"",原始資料!Z57=原始資料!Y57),N(W57)+1,1))</f>
        <v/>
      </c>
      <c r="Y57" s="6">
        <f>IF(OR(原始資料!$A57="",24&gt;設定!$B$3,原始資料!AA57=""),"",IF(AND(原始資料!Z57&lt;&gt;"",原始資料!AA57=原始資料!Z57),N(X57)+1,1))</f>
        <v/>
      </c>
      <c r="Z57" s="6">
        <f>IF(OR(原始資料!$A57="",25&gt;設定!$B$3,原始資料!AB57=""),"",IF(AND(原始資料!AA57&lt;&gt;"",原始資料!AB57=原始資料!AA57),N(Y57)+1,1))</f>
        <v/>
      </c>
      <c r="AA57" s="6">
        <f>IF(OR(原始資料!$A57="",26&gt;設定!$B$3,原始資料!AC57=""),"",IF(AND(原始資料!AB57&lt;&gt;"",原始資料!AC57=原始資料!AB57),N(Z57)+1,1))</f>
        <v/>
      </c>
      <c r="AB57" s="6">
        <f>IF(OR(原始資料!$A57="",27&gt;設定!$B$3,原始資料!AD57=""),"",IF(AND(原始資料!AC57&lt;&gt;"",原始資料!AD57=原始資料!AC57),N(AA57)+1,1))</f>
        <v/>
      </c>
      <c r="AC57" s="6">
        <f>IF(OR(原始資料!$A57="",28&gt;設定!$B$3,原始資料!AE57=""),"",IF(AND(原始資料!AD57&lt;&gt;"",原始資料!AE57=原始資料!AD57),N(AB57)+1,1))</f>
        <v/>
      </c>
      <c r="AD57" s="6">
        <f>IF(OR(原始資料!$A57="",29&gt;設定!$B$3,原始資料!AF57=""),"",IF(AND(原始資料!AE57&lt;&gt;"",原始資料!AF57=原始資料!AE57),N(AC57)+1,1))</f>
        <v/>
      </c>
      <c r="AE57" s="6">
        <f>IF(OR(原始資料!$A57="",30&gt;設定!$B$3,原始資料!AG57=""),"",IF(AND(原始資料!AF57&lt;&gt;"",原始資料!AG57=原始資料!AF57),N(AD57)+1,1))</f>
        <v/>
      </c>
      <c r="AF57" s="6">
        <f>IF(OR(原始資料!$A57="",31&gt;設定!$B$3,原始資料!AH57=""),"",IF(AND(原始資料!AG57&lt;&gt;"",原始資料!AH57=原始資料!AG57),N(AE57)+1,1))</f>
        <v/>
      </c>
      <c r="AG57" s="6">
        <f>IF(OR(原始資料!$A57="",32&gt;設定!$B$3,原始資料!AI57=""),"",IF(AND(原始資料!AH57&lt;&gt;"",原始資料!AI57=原始資料!AH57),N(AF57)+1,1))</f>
        <v/>
      </c>
      <c r="AH57" s="6">
        <f>IF(OR(原始資料!$A57="",33&gt;設定!$B$3,原始資料!AJ57=""),"",IF(AND(原始資料!AI57&lt;&gt;"",原始資料!AJ57=原始資料!AI57),N(AG57)+1,1))</f>
        <v/>
      </c>
      <c r="AI57" s="6">
        <f>IF(OR(原始資料!$A57="",34&gt;設定!$B$3,原始資料!AK57=""),"",IF(AND(原始資料!AJ57&lt;&gt;"",原始資料!AK57=原始資料!AJ57),N(AH57)+1,1))</f>
        <v/>
      </c>
      <c r="AJ57" s="6">
        <f>IF(OR(原始資料!$A57="",35&gt;設定!$B$3,原始資料!AL57=""),"",IF(AND(原始資料!AK57&lt;&gt;"",原始資料!AL57=原始資料!AK57),N(AI57)+1,1))</f>
        <v/>
      </c>
      <c r="AK57" s="6">
        <f>IF(OR(原始資料!$A57="",36&gt;設定!$B$3,原始資料!AM57=""),"",IF(AND(原始資料!AL57&lt;&gt;"",原始資料!AM57=原始資料!AL57),N(AJ57)+1,1))</f>
        <v/>
      </c>
      <c r="AL57" s="6">
        <f>IF(OR(原始資料!$A57="",37&gt;設定!$B$3,原始資料!AN57=""),"",IF(AND(原始資料!AM57&lt;&gt;"",原始資料!AN57=原始資料!AM57),N(AK57)+1,1))</f>
        <v/>
      </c>
      <c r="AM57" s="6">
        <f>IF(OR(原始資料!$A57="",38&gt;設定!$B$3,原始資料!AO57=""),"",IF(AND(原始資料!AN57&lt;&gt;"",原始資料!AO57=原始資料!AN57),N(AL57)+1,1))</f>
        <v/>
      </c>
      <c r="AN57" s="6">
        <f>IF(OR(原始資料!$A57="",39&gt;設定!$B$3,原始資料!AP57=""),"",IF(AND(原始資料!AO57&lt;&gt;"",原始資料!AP57=原始資料!AO57),N(AM57)+1,1))</f>
        <v/>
      </c>
      <c r="AO57" s="6">
        <f>IF(OR(原始資料!$A57="",40&gt;設定!$B$3,原始資料!AQ57=""),"",IF(AND(原始資料!AP57&lt;&gt;"",原始資料!AQ57=原始資料!AP57),N(AN57)+1,1))</f>
        <v/>
      </c>
      <c r="AP57" s="6">
        <f>IF(OR(原始資料!$A57="",41&gt;設定!$B$3,原始資料!AR57=""),"",IF(AND(原始資料!AQ57&lt;&gt;"",原始資料!AR57=原始資料!AQ57),N(AO57)+1,1))</f>
        <v/>
      </c>
      <c r="AQ57" s="6">
        <f>IF(OR(原始資料!$A57="",42&gt;設定!$B$3,原始資料!AS57=""),"",IF(AND(原始資料!AR57&lt;&gt;"",原始資料!AS57=原始資料!AR57),N(AP57)+1,1))</f>
        <v/>
      </c>
      <c r="AR57" s="6">
        <f>IF(OR(原始資料!$A57="",43&gt;設定!$B$3,原始資料!AT57=""),"",IF(AND(原始資料!AS57&lt;&gt;"",原始資料!AT57=原始資料!AS57),N(AQ57)+1,1))</f>
        <v/>
      </c>
      <c r="AS57" s="6">
        <f>IF(OR(原始資料!$A57="",44&gt;設定!$B$3,原始資料!AU57=""),"",IF(AND(原始資料!AT57&lt;&gt;"",原始資料!AU57=原始資料!AT57),N(AR57)+1,1))</f>
        <v/>
      </c>
      <c r="AT57" s="6">
        <f>IF(OR(原始資料!$A57="",45&gt;設定!$B$3,原始資料!AV57=""),"",IF(AND(原始資料!AU57&lt;&gt;"",原始資料!AV57=原始資料!AU57),N(AS57)+1,1))</f>
        <v/>
      </c>
      <c r="AU57" s="6">
        <f>IF(OR(原始資料!$A57="",46&gt;設定!$B$3,原始資料!AW57=""),"",IF(AND(原始資料!AV57&lt;&gt;"",原始資料!AW57=原始資料!AV57),N(AT57)+1,1))</f>
        <v/>
      </c>
      <c r="AV57" s="6">
        <f>IF(OR(原始資料!$A57="",47&gt;設定!$B$3,原始資料!AX57=""),"",IF(AND(原始資料!AW57&lt;&gt;"",原始資料!AX57=原始資料!AW57),N(AU57)+1,1))</f>
        <v/>
      </c>
      <c r="AW57" s="6">
        <f>IF(OR(原始資料!$A57="",48&gt;設定!$B$3,原始資料!AY57=""),"",IF(AND(原始資料!AX57&lt;&gt;"",原始資料!AY57=原始資料!AX57),N(AV57)+1,1))</f>
        <v/>
      </c>
      <c r="AX57" s="6">
        <f>IF(OR(原始資料!$A57="",49&gt;設定!$B$3,原始資料!AZ57=""),"",IF(AND(原始資料!AY57&lt;&gt;"",原始資料!AZ57=原始資料!AY57),N(AW57)+1,1))</f>
        <v/>
      </c>
      <c r="AY57" s="6">
        <f>IF(OR(原始資料!$A57="",50&gt;設定!$B$3,原始資料!BA57=""),"",IF(AND(原始資料!AZ57&lt;&gt;"",原始資料!BA57=原始資料!AZ57),N(AX57)+1,1))</f>
        <v/>
      </c>
      <c r="AZ57" s="6">
        <f>IF(OR(原始資料!$A57="",51&gt;設定!$B$3,原始資料!BB57=""),"",IF(AND(原始資料!BA57&lt;&gt;"",原始資料!BB57=原始資料!BA57),N(AY57)+1,1))</f>
        <v/>
      </c>
      <c r="BA57" s="6">
        <f>IF(OR(原始資料!$A57="",52&gt;設定!$B$3,原始資料!BC57=""),"",IF(AND(原始資料!BB57&lt;&gt;"",原始資料!BC57=原始資料!BB57),N(AZ57)+1,1))</f>
        <v/>
      </c>
      <c r="BB57" s="6">
        <f>IF(OR(原始資料!$A57="",53&gt;設定!$B$3,原始資料!BD57=""),"",IF(AND(原始資料!BC57&lt;&gt;"",原始資料!BD57=原始資料!BC57),N(BA57)+1,1))</f>
        <v/>
      </c>
      <c r="BC57" s="6">
        <f>IF(OR(原始資料!$A57="",54&gt;設定!$B$3,原始資料!BE57=""),"",IF(AND(原始資料!BD57&lt;&gt;"",原始資料!BE57=原始資料!BD57),N(BB57)+1,1))</f>
        <v/>
      </c>
      <c r="BD57" s="6">
        <f>IF(OR(原始資料!$A57="",55&gt;設定!$B$3,原始資料!BF57=""),"",IF(AND(原始資料!BE57&lt;&gt;"",原始資料!BF57=原始資料!BE57),N(BC57)+1,1))</f>
        <v/>
      </c>
      <c r="BE57" s="6">
        <f>IF(OR(原始資料!$A57="",56&gt;設定!$B$3,原始資料!BG57=""),"",IF(AND(原始資料!BF57&lt;&gt;"",原始資料!BG57=原始資料!BF57),N(BD57)+1,1))</f>
        <v/>
      </c>
      <c r="BF57" s="6">
        <f>IF(OR(原始資料!$A57="",57&gt;設定!$B$3,原始資料!BH57=""),"",IF(AND(原始資料!BG57&lt;&gt;"",原始資料!BH57=原始資料!BG57),N(BE57)+1,1))</f>
        <v/>
      </c>
      <c r="BG57" s="6">
        <f>IF(OR(原始資料!$A57="",58&gt;設定!$B$3,原始資料!BI57=""),"",IF(AND(原始資料!BH57&lt;&gt;"",原始資料!BI57=原始資料!BH57),N(BF57)+1,1))</f>
        <v/>
      </c>
      <c r="BH57" s="6">
        <f>IF(OR(原始資料!$A57="",59&gt;設定!$B$3,原始資料!BJ57=""),"",IF(AND(原始資料!BI57&lt;&gt;"",原始資料!BJ57=原始資料!BI57),N(BG57)+1,1))</f>
        <v/>
      </c>
      <c r="BI57" s="6">
        <f>IF(OR(原始資料!$A57="",60&gt;設定!$B$3,原始資料!BK57=""),"",IF(AND(原始資料!BJ57&lt;&gt;"",原始資料!BK57=原始資料!BJ57),N(BH57)+1,1))</f>
        <v/>
      </c>
    </row>
    <row r="58">
      <c r="A58" s="6">
        <f>IF(原始資料!$A58="","",原始資料!$A58)</f>
        <v/>
      </c>
      <c r="B58" s="6">
        <f>IF(OR(原始資料!$A58="",1&gt;設定!$B$3,原始資料!D58=""),"",1)</f>
        <v/>
      </c>
      <c r="C58" s="6">
        <f>IF(OR(原始資料!$A58="",2&gt;設定!$B$3,原始資料!E58=""),"",IF(AND(原始資料!D58&lt;&gt;"",原始資料!E58=原始資料!D58),N(B58)+1,1))</f>
        <v/>
      </c>
      <c r="D58" s="6">
        <f>IF(OR(原始資料!$A58="",3&gt;設定!$B$3,原始資料!F58=""),"",IF(AND(原始資料!E58&lt;&gt;"",原始資料!F58=原始資料!E58),N(C58)+1,1))</f>
        <v/>
      </c>
      <c r="E58" s="6">
        <f>IF(OR(原始資料!$A58="",4&gt;設定!$B$3,原始資料!G58=""),"",IF(AND(原始資料!F58&lt;&gt;"",原始資料!G58=原始資料!F58),N(D58)+1,1))</f>
        <v/>
      </c>
      <c r="F58" s="6">
        <f>IF(OR(原始資料!$A58="",5&gt;設定!$B$3,原始資料!H58=""),"",IF(AND(原始資料!G58&lt;&gt;"",原始資料!H58=原始資料!G58),N(E58)+1,1))</f>
        <v/>
      </c>
      <c r="G58" s="6">
        <f>IF(OR(原始資料!$A58="",6&gt;設定!$B$3,原始資料!I58=""),"",IF(AND(原始資料!H58&lt;&gt;"",原始資料!I58=原始資料!H58),N(F58)+1,1))</f>
        <v/>
      </c>
      <c r="H58" s="6">
        <f>IF(OR(原始資料!$A58="",7&gt;設定!$B$3,原始資料!J58=""),"",IF(AND(原始資料!I58&lt;&gt;"",原始資料!J58=原始資料!I58),N(G58)+1,1))</f>
        <v/>
      </c>
      <c r="I58" s="6">
        <f>IF(OR(原始資料!$A58="",8&gt;設定!$B$3,原始資料!K58=""),"",IF(AND(原始資料!J58&lt;&gt;"",原始資料!K58=原始資料!J58),N(H58)+1,1))</f>
        <v/>
      </c>
      <c r="J58" s="6">
        <f>IF(OR(原始資料!$A58="",9&gt;設定!$B$3,原始資料!L58=""),"",IF(AND(原始資料!K58&lt;&gt;"",原始資料!L58=原始資料!K58),N(I58)+1,1))</f>
        <v/>
      </c>
      <c r="K58" s="6">
        <f>IF(OR(原始資料!$A58="",10&gt;設定!$B$3,原始資料!M58=""),"",IF(AND(原始資料!L58&lt;&gt;"",原始資料!M58=原始資料!L58),N(J58)+1,1))</f>
        <v/>
      </c>
      <c r="L58" s="6">
        <f>IF(OR(原始資料!$A58="",11&gt;設定!$B$3,原始資料!N58=""),"",IF(AND(原始資料!M58&lt;&gt;"",原始資料!N58=原始資料!M58),N(K58)+1,1))</f>
        <v/>
      </c>
      <c r="M58" s="6">
        <f>IF(OR(原始資料!$A58="",12&gt;設定!$B$3,原始資料!O58=""),"",IF(AND(原始資料!N58&lt;&gt;"",原始資料!O58=原始資料!N58),N(L58)+1,1))</f>
        <v/>
      </c>
      <c r="N58" s="6">
        <f>IF(OR(原始資料!$A58="",13&gt;設定!$B$3,原始資料!P58=""),"",IF(AND(原始資料!O58&lt;&gt;"",原始資料!P58=原始資料!O58),N(M58)+1,1))</f>
        <v/>
      </c>
      <c r="O58" s="6">
        <f>IF(OR(原始資料!$A58="",14&gt;設定!$B$3,原始資料!Q58=""),"",IF(AND(原始資料!P58&lt;&gt;"",原始資料!Q58=原始資料!P58),N(N58)+1,1))</f>
        <v/>
      </c>
      <c r="P58" s="6">
        <f>IF(OR(原始資料!$A58="",15&gt;設定!$B$3,原始資料!R58=""),"",IF(AND(原始資料!Q58&lt;&gt;"",原始資料!R58=原始資料!Q58),N(O58)+1,1))</f>
        <v/>
      </c>
      <c r="Q58" s="6">
        <f>IF(OR(原始資料!$A58="",16&gt;設定!$B$3,原始資料!S58=""),"",IF(AND(原始資料!R58&lt;&gt;"",原始資料!S58=原始資料!R58),N(P58)+1,1))</f>
        <v/>
      </c>
      <c r="R58" s="6">
        <f>IF(OR(原始資料!$A58="",17&gt;設定!$B$3,原始資料!T58=""),"",IF(AND(原始資料!S58&lt;&gt;"",原始資料!T58=原始資料!S58),N(Q58)+1,1))</f>
        <v/>
      </c>
      <c r="S58" s="6">
        <f>IF(OR(原始資料!$A58="",18&gt;設定!$B$3,原始資料!U58=""),"",IF(AND(原始資料!T58&lt;&gt;"",原始資料!U58=原始資料!T58),N(R58)+1,1))</f>
        <v/>
      </c>
      <c r="T58" s="6">
        <f>IF(OR(原始資料!$A58="",19&gt;設定!$B$3,原始資料!V58=""),"",IF(AND(原始資料!U58&lt;&gt;"",原始資料!V58=原始資料!U58),N(S58)+1,1))</f>
        <v/>
      </c>
      <c r="U58" s="6">
        <f>IF(OR(原始資料!$A58="",20&gt;設定!$B$3,原始資料!W58=""),"",IF(AND(原始資料!V58&lt;&gt;"",原始資料!W58=原始資料!V58),N(T58)+1,1))</f>
        <v/>
      </c>
      <c r="V58" s="6">
        <f>IF(OR(原始資料!$A58="",21&gt;設定!$B$3,原始資料!X58=""),"",IF(AND(原始資料!W58&lt;&gt;"",原始資料!X58=原始資料!W58),N(U58)+1,1))</f>
        <v/>
      </c>
      <c r="W58" s="6">
        <f>IF(OR(原始資料!$A58="",22&gt;設定!$B$3,原始資料!Y58=""),"",IF(AND(原始資料!X58&lt;&gt;"",原始資料!Y58=原始資料!X58),N(V58)+1,1))</f>
        <v/>
      </c>
      <c r="X58" s="6">
        <f>IF(OR(原始資料!$A58="",23&gt;設定!$B$3,原始資料!Z58=""),"",IF(AND(原始資料!Y58&lt;&gt;"",原始資料!Z58=原始資料!Y58),N(W58)+1,1))</f>
        <v/>
      </c>
      <c r="Y58" s="6">
        <f>IF(OR(原始資料!$A58="",24&gt;設定!$B$3,原始資料!AA58=""),"",IF(AND(原始資料!Z58&lt;&gt;"",原始資料!AA58=原始資料!Z58),N(X58)+1,1))</f>
        <v/>
      </c>
      <c r="Z58" s="6">
        <f>IF(OR(原始資料!$A58="",25&gt;設定!$B$3,原始資料!AB58=""),"",IF(AND(原始資料!AA58&lt;&gt;"",原始資料!AB58=原始資料!AA58),N(Y58)+1,1))</f>
        <v/>
      </c>
      <c r="AA58" s="6">
        <f>IF(OR(原始資料!$A58="",26&gt;設定!$B$3,原始資料!AC58=""),"",IF(AND(原始資料!AB58&lt;&gt;"",原始資料!AC58=原始資料!AB58),N(Z58)+1,1))</f>
        <v/>
      </c>
      <c r="AB58" s="6">
        <f>IF(OR(原始資料!$A58="",27&gt;設定!$B$3,原始資料!AD58=""),"",IF(AND(原始資料!AC58&lt;&gt;"",原始資料!AD58=原始資料!AC58),N(AA58)+1,1))</f>
        <v/>
      </c>
      <c r="AC58" s="6">
        <f>IF(OR(原始資料!$A58="",28&gt;設定!$B$3,原始資料!AE58=""),"",IF(AND(原始資料!AD58&lt;&gt;"",原始資料!AE58=原始資料!AD58),N(AB58)+1,1))</f>
        <v/>
      </c>
      <c r="AD58" s="6">
        <f>IF(OR(原始資料!$A58="",29&gt;設定!$B$3,原始資料!AF58=""),"",IF(AND(原始資料!AE58&lt;&gt;"",原始資料!AF58=原始資料!AE58),N(AC58)+1,1))</f>
        <v/>
      </c>
      <c r="AE58" s="6">
        <f>IF(OR(原始資料!$A58="",30&gt;設定!$B$3,原始資料!AG58=""),"",IF(AND(原始資料!AF58&lt;&gt;"",原始資料!AG58=原始資料!AF58),N(AD58)+1,1))</f>
        <v/>
      </c>
      <c r="AF58" s="6">
        <f>IF(OR(原始資料!$A58="",31&gt;設定!$B$3,原始資料!AH58=""),"",IF(AND(原始資料!AG58&lt;&gt;"",原始資料!AH58=原始資料!AG58),N(AE58)+1,1))</f>
        <v/>
      </c>
      <c r="AG58" s="6">
        <f>IF(OR(原始資料!$A58="",32&gt;設定!$B$3,原始資料!AI58=""),"",IF(AND(原始資料!AH58&lt;&gt;"",原始資料!AI58=原始資料!AH58),N(AF58)+1,1))</f>
        <v/>
      </c>
      <c r="AH58" s="6">
        <f>IF(OR(原始資料!$A58="",33&gt;設定!$B$3,原始資料!AJ58=""),"",IF(AND(原始資料!AI58&lt;&gt;"",原始資料!AJ58=原始資料!AI58),N(AG58)+1,1))</f>
        <v/>
      </c>
      <c r="AI58" s="6">
        <f>IF(OR(原始資料!$A58="",34&gt;設定!$B$3,原始資料!AK58=""),"",IF(AND(原始資料!AJ58&lt;&gt;"",原始資料!AK58=原始資料!AJ58),N(AH58)+1,1))</f>
        <v/>
      </c>
      <c r="AJ58" s="6">
        <f>IF(OR(原始資料!$A58="",35&gt;設定!$B$3,原始資料!AL58=""),"",IF(AND(原始資料!AK58&lt;&gt;"",原始資料!AL58=原始資料!AK58),N(AI58)+1,1))</f>
        <v/>
      </c>
      <c r="AK58" s="6">
        <f>IF(OR(原始資料!$A58="",36&gt;設定!$B$3,原始資料!AM58=""),"",IF(AND(原始資料!AL58&lt;&gt;"",原始資料!AM58=原始資料!AL58),N(AJ58)+1,1))</f>
        <v/>
      </c>
      <c r="AL58" s="6">
        <f>IF(OR(原始資料!$A58="",37&gt;設定!$B$3,原始資料!AN58=""),"",IF(AND(原始資料!AM58&lt;&gt;"",原始資料!AN58=原始資料!AM58),N(AK58)+1,1))</f>
        <v/>
      </c>
      <c r="AM58" s="6">
        <f>IF(OR(原始資料!$A58="",38&gt;設定!$B$3,原始資料!AO58=""),"",IF(AND(原始資料!AN58&lt;&gt;"",原始資料!AO58=原始資料!AN58),N(AL58)+1,1))</f>
        <v/>
      </c>
      <c r="AN58" s="6">
        <f>IF(OR(原始資料!$A58="",39&gt;設定!$B$3,原始資料!AP58=""),"",IF(AND(原始資料!AO58&lt;&gt;"",原始資料!AP58=原始資料!AO58),N(AM58)+1,1))</f>
        <v/>
      </c>
      <c r="AO58" s="6">
        <f>IF(OR(原始資料!$A58="",40&gt;設定!$B$3,原始資料!AQ58=""),"",IF(AND(原始資料!AP58&lt;&gt;"",原始資料!AQ58=原始資料!AP58),N(AN58)+1,1))</f>
        <v/>
      </c>
      <c r="AP58" s="6">
        <f>IF(OR(原始資料!$A58="",41&gt;設定!$B$3,原始資料!AR58=""),"",IF(AND(原始資料!AQ58&lt;&gt;"",原始資料!AR58=原始資料!AQ58),N(AO58)+1,1))</f>
        <v/>
      </c>
      <c r="AQ58" s="6">
        <f>IF(OR(原始資料!$A58="",42&gt;設定!$B$3,原始資料!AS58=""),"",IF(AND(原始資料!AR58&lt;&gt;"",原始資料!AS58=原始資料!AR58),N(AP58)+1,1))</f>
        <v/>
      </c>
      <c r="AR58" s="6">
        <f>IF(OR(原始資料!$A58="",43&gt;設定!$B$3,原始資料!AT58=""),"",IF(AND(原始資料!AS58&lt;&gt;"",原始資料!AT58=原始資料!AS58),N(AQ58)+1,1))</f>
        <v/>
      </c>
      <c r="AS58" s="6">
        <f>IF(OR(原始資料!$A58="",44&gt;設定!$B$3,原始資料!AU58=""),"",IF(AND(原始資料!AT58&lt;&gt;"",原始資料!AU58=原始資料!AT58),N(AR58)+1,1))</f>
        <v/>
      </c>
      <c r="AT58" s="6">
        <f>IF(OR(原始資料!$A58="",45&gt;設定!$B$3,原始資料!AV58=""),"",IF(AND(原始資料!AU58&lt;&gt;"",原始資料!AV58=原始資料!AU58),N(AS58)+1,1))</f>
        <v/>
      </c>
      <c r="AU58" s="6">
        <f>IF(OR(原始資料!$A58="",46&gt;設定!$B$3,原始資料!AW58=""),"",IF(AND(原始資料!AV58&lt;&gt;"",原始資料!AW58=原始資料!AV58),N(AT58)+1,1))</f>
        <v/>
      </c>
      <c r="AV58" s="6">
        <f>IF(OR(原始資料!$A58="",47&gt;設定!$B$3,原始資料!AX58=""),"",IF(AND(原始資料!AW58&lt;&gt;"",原始資料!AX58=原始資料!AW58),N(AU58)+1,1))</f>
        <v/>
      </c>
      <c r="AW58" s="6">
        <f>IF(OR(原始資料!$A58="",48&gt;設定!$B$3,原始資料!AY58=""),"",IF(AND(原始資料!AX58&lt;&gt;"",原始資料!AY58=原始資料!AX58),N(AV58)+1,1))</f>
        <v/>
      </c>
      <c r="AX58" s="6">
        <f>IF(OR(原始資料!$A58="",49&gt;設定!$B$3,原始資料!AZ58=""),"",IF(AND(原始資料!AY58&lt;&gt;"",原始資料!AZ58=原始資料!AY58),N(AW58)+1,1))</f>
        <v/>
      </c>
      <c r="AY58" s="6">
        <f>IF(OR(原始資料!$A58="",50&gt;設定!$B$3,原始資料!BA58=""),"",IF(AND(原始資料!AZ58&lt;&gt;"",原始資料!BA58=原始資料!AZ58),N(AX58)+1,1))</f>
        <v/>
      </c>
      <c r="AZ58" s="6">
        <f>IF(OR(原始資料!$A58="",51&gt;設定!$B$3,原始資料!BB58=""),"",IF(AND(原始資料!BA58&lt;&gt;"",原始資料!BB58=原始資料!BA58),N(AY58)+1,1))</f>
        <v/>
      </c>
      <c r="BA58" s="6">
        <f>IF(OR(原始資料!$A58="",52&gt;設定!$B$3,原始資料!BC58=""),"",IF(AND(原始資料!BB58&lt;&gt;"",原始資料!BC58=原始資料!BB58),N(AZ58)+1,1))</f>
        <v/>
      </c>
      <c r="BB58" s="6">
        <f>IF(OR(原始資料!$A58="",53&gt;設定!$B$3,原始資料!BD58=""),"",IF(AND(原始資料!BC58&lt;&gt;"",原始資料!BD58=原始資料!BC58),N(BA58)+1,1))</f>
        <v/>
      </c>
      <c r="BC58" s="6">
        <f>IF(OR(原始資料!$A58="",54&gt;設定!$B$3,原始資料!BE58=""),"",IF(AND(原始資料!BD58&lt;&gt;"",原始資料!BE58=原始資料!BD58),N(BB58)+1,1))</f>
        <v/>
      </c>
      <c r="BD58" s="6">
        <f>IF(OR(原始資料!$A58="",55&gt;設定!$B$3,原始資料!BF58=""),"",IF(AND(原始資料!BE58&lt;&gt;"",原始資料!BF58=原始資料!BE58),N(BC58)+1,1))</f>
        <v/>
      </c>
      <c r="BE58" s="6">
        <f>IF(OR(原始資料!$A58="",56&gt;設定!$B$3,原始資料!BG58=""),"",IF(AND(原始資料!BF58&lt;&gt;"",原始資料!BG58=原始資料!BF58),N(BD58)+1,1))</f>
        <v/>
      </c>
      <c r="BF58" s="6">
        <f>IF(OR(原始資料!$A58="",57&gt;設定!$B$3,原始資料!BH58=""),"",IF(AND(原始資料!BG58&lt;&gt;"",原始資料!BH58=原始資料!BG58),N(BE58)+1,1))</f>
        <v/>
      </c>
      <c r="BG58" s="6">
        <f>IF(OR(原始資料!$A58="",58&gt;設定!$B$3,原始資料!BI58=""),"",IF(AND(原始資料!BH58&lt;&gt;"",原始資料!BI58=原始資料!BH58),N(BF58)+1,1))</f>
        <v/>
      </c>
      <c r="BH58" s="6">
        <f>IF(OR(原始資料!$A58="",59&gt;設定!$B$3,原始資料!BJ58=""),"",IF(AND(原始資料!BI58&lt;&gt;"",原始資料!BJ58=原始資料!BI58),N(BG58)+1,1))</f>
        <v/>
      </c>
      <c r="BI58" s="6">
        <f>IF(OR(原始資料!$A58="",60&gt;設定!$B$3,原始資料!BK58=""),"",IF(AND(原始資料!BJ58&lt;&gt;"",原始資料!BK58=原始資料!BJ58),N(BH58)+1,1))</f>
        <v/>
      </c>
    </row>
    <row r="59">
      <c r="A59" s="6">
        <f>IF(原始資料!$A59="","",原始資料!$A59)</f>
        <v/>
      </c>
      <c r="B59" s="6">
        <f>IF(OR(原始資料!$A59="",1&gt;設定!$B$3,原始資料!D59=""),"",1)</f>
        <v/>
      </c>
      <c r="C59" s="6">
        <f>IF(OR(原始資料!$A59="",2&gt;設定!$B$3,原始資料!E59=""),"",IF(AND(原始資料!D59&lt;&gt;"",原始資料!E59=原始資料!D59),N(B59)+1,1))</f>
        <v/>
      </c>
      <c r="D59" s="6">
        <f>IF(OR(原始資料!$A59="",3&gt;設定!$B$3,原始資料!F59=""),"",IF(AND(原始資料!E59&lt;&gt;"",原始資料!F59=原始資料!E59),N(C59)+1,1))</f>
        <v/>
      </c>
      <c r="E59" s="6">
        <f>IF(OR(原始資料!$A59="",4&gt;設定!$B$3,原始資料!G59=""),"",IF(AND(原始資料!F59&lt;&gt;"",原始資料!G59=原始資料!F59),N(D59)+1,1))</f>
        <v/>
      </c>
      <c r="F59" s="6">
        <f>IF(OR(原始資料!$A59="",5&gt;設定!$B$3,原始資料!H59=""),"",IF(AND(原始資料!G59&lt;&gt;"",原始資料!H59=原始資料!G59),N(E59)+1,1))</f>
        <v/>
      </c>
      <c r="G59" s="6">
        <f>IF(OR(原始資料!$A59="",6&gt;設定!$B$3,原始資料!I59=""),"",IF(AND(原始資料!H59&lt;&gt;"",原始資料!I59=原始資料!H59),N(F59)+1,1))</f>
        <v/>
      </c>
      <c r="H59" s="6">
        <f>IF(OR(原始資料!$A59="",7&gt;設定!$B$3,原始資料!J59=""),"",IF(AND(原始資料!I59&lt;&gt;"",原始資料!J59=原始資料!I59),N(G59)+1,1))</f>
        <v/>
      </c>
      <c r="I59" s="6">
        <f>IF(OR(原始資料!$A59="",8&gt;設定!$B$3,原始資料!K59=""),"",IF(AND(原始資料!J59&lt;&gt;"",原始資料!K59=原始資料!J59),N(H59)+1,1))</f>
        <v/>
      </c>
      <c r="J59" s="6">
        <f>IF(OR(原始資料!$A59="",9&gt;設定!$B$3,原始資料!L59=""),"",IF(AND(原始資料!K59&lt;&gt;"",原始資料!L59=原始資料!K59),N(I59)+1,1))</f>
        <v/>
      </c>
      <c r="K59" s="6">
        <f>IF(OR(原始資料!$A59="",10&gt;設定!$B$3,原始資料!M59=""),"",IF(AND(原始資料!L59&lt;&gt;"",原始資料!M59=原始資料!L59),N(J59)+1,1))</f>
        <v/>
      </c>
      <c r="L59" s="6">
        <f>IF(OR(原始資料!$A59="",11&gt;設定!$B$3,原始資料!N59=""),"",IF(AND(原始資料!M59&lt;&gt;"",原始資料!N59=原始資料!M59),N(K59)+1,1))</f>
        <v/>
      </c>
      <c r="M59" s="6">
        <f>IF(OR(原始資料!$A59="",12&gt;設定!$B$3,原始資料!O59=""),"",IF(AND(原始資料!N59&lt;&gt;"",原始資料!O59=原始資料!N59),N(L59)+1,1))</f>
        <v/>
      </c>
      <c r="N59" s="6">
        <f>IF(OR(原始資料!$A59="",13&gt;設定!$B$3,原始資料!P59=""),"",IF(AND(原始資料!O59&lt;&gt;"",原始資料!P59=原始資料!O59),N(M59)+1,1))</f>
        <v/>
      </c>
      <c r="O59" s="6">
        <f>IF(OR(原始資料!$A59="",14&gt;設定!$B$3,原始資料!Q59=""),"",IF(AND(原始資料!P59&lt;&gt;"",原始資料!Q59=原始資料!P59),N(N59)+1,1))</f>
        <v/>
      </c>
      <c r="P59" s="6">
        <f>IF(OR(原始資料!$A59="",15&gt;設定!$B$3,原始資料!R59=""),"",IF(AND(原始資料!Q59&lt;&gt;"",原始資料!R59=原始資料!Q59),N(O59)+1,1))</f>
        <v/>
      </c>
      <c r="Q59" s="6">
        <f>IF(OR(原始資料!$A59="",16&gt;設定!$B$3,原始資料!S59=""),"",IF(AND(原始資料!R59&lt;&gt;"",原始資料!S59=原始資料!R59),N(P59)+1,1))</f>
        <v/>
      </c>
      <c r="R59" s="6">
        <f>IF(OR(原始資料!$A59="",17&gt;設定!$B$3,原始資料!T59=""),"",IF(AND(原始資料!S59&lt;&gt;"",原始資料!T59=原始資料!S59),N(Q59)+1,1))</f>
        <v/>
      </c>
      <c r="S59" s="6">
        <f>IF(OR(原始資料!$A59="",18&gt;設定!$B$3,原始資料!U59=""),"",IF(AND(原始資料!T59&lt;&gt;"",原始資料!U59=原始資料!T59),N(R59)+1,1))</f>
        <v/>
      </c>
      <c r="T59" s="6">
        <f>IF(OR(原始資料!$A59="",19&gt;設定!$B$3,原始資料!V59=""),"",IF(AND(原始資料!U59&lt;&gt;"",原始資料!V59=原始資料!U59),N(S59)+1,1))</f>
        <v/>
      </c>
      <c r="U59" s="6">
        <f>IF(OR(原始資料!$A59="",20&gt;設定!$B$3,原始資料!W59=""),"",IF(AND(原始資料!V59&lt;&gt;"",原始資料!W59=原始資料!V59),N(T59)+1,1))</f>
        <v/>
      </c>
      <c r="V59" s="6">
        <f>IF(OR(原始資料!$A59="",21&gt;設定!$B$3,原始資料!X59=""),"",IF(AND(原始資料!W59&lt;&gt;"",原始資料!X59=原始資料!W59),N(U59)+1,1))</f>
        <v/>
      </c>
      <c r="W59" s="6">
        <f>IF(OR(原始資料!$A59="",22&gt;設定!$B$3,原始資料!Y59=""),"",IF(AND(原始資料!X59&lt;&gt;"",原始資料!Y59=原始資料!X59),N(V59)+1,1))</f>
        <v/>
      </c>
      <c r="X59" s="6">
        <f>IF(OR(原始資料!$A59="",23&gt;設定!$B$3,原始資料!Z59=""),"",IF(AND(原始資料!Y59&lt;&gt;"",原始資料!Z59=原始資料!Y59),N(W59)+1,1))</f>
        <v/>
      </c>
      <c r="Y59" s="6">
        <f>IF(OR(原始資料!$A59="",24&gt;設定!$B$3,原始資料!AA59=""),"",IF(AND(原始資料!Z59&lt;&gt;"",原始資料!AA59=原始資料!Z59),N(X59)+1,1))</f>
        <v/>
      </c>
      <c r="Z59" s="6">
        <f>IF(OR(原始資料!$A59="",25&gt;設定!$B$3,原始資料!AB59=""),"",IF(AND(原始資料!AA59&lt;&gt;"",原始資料!AB59=原始資料!AA59),N(Y59)+1,1))</f>
        <v/>
      </c>
      <c r="AA59" s="6">
        <f>IF(OR(原始資料!$A59="",26&gt;設定!$B$3,原始資料!AC59=""),"",IF(AND(原始資料!AB59&lt;&gt;"",原始資料!AC59=原始資料!AB59),N(Z59)+1,1))</f>
        <v/>
      </c>
      <c r="AB59" s="6">
        <f>IF(OR(原始資料!$A59="",27&gt;設定!$B$3,原始資料!AD59=""),"",IF(AND(原始資料!AC59&lt;&gt;"",原始資料!AD59=原始資料!AC59),N(AA59)+1,1))</f>
        <v/>
      </c>
      <c r="AC59" s="6">
        <f>IF(OR(原始資料!$A59="",28&gt;設定!$B$3,原始資料!AE59=""),"",IF(AND(原始資料!AD59&lt;&gt;"",原始資料!AE59=原始資料!AD59),N(AB59)+1,1))</f>
        <v/>
      </c>
      <c r="AD59" s="6">
        <f>IF(OR(原始資料!$A59="",29&gt;設定!$B$3,原始資料!AF59=""),"",IF(AND(原始資料!AE59&lt;&gt;"",原始資料!AF59=原始資料!AE59),N(AC59)+1,1))</f>
        <v/>
      </c>
      <c r="AE59" s="6">
        <f>IF(OR(原始資料!$A59="",30&gt;設定!$B$3,原始資料!AG59=""),"",IF(AND(原始資料!AF59&lt;&gt;"",原始資料!AG59=原始資料!AF59),N(AD59)+1,1))</f>
        <v/>
      </c>
      <c r="AF59" s="6">
        <f>IF(OR(原始資料!$A59="",31&gt;設定!$B$3,原始資料!AH59=""),"",IF(AND(原始資料!AG59&lt;&gt;"",原始資料!AH59=原始資料!AG59),N(AE59)+1,1))</f>
        <v/>
      </c>
      <c r="AG59" s="6">
        <f>IF(OR(原始資料!$A59="",32&gt;設定!$B$3,原始資料!AI59=""),"",IF(AND(原始資料!AH59&lt;&gt;"",原始資料!AI59=原始資料!AH59),N(AF59)+1,1))</f>
        <v/>
      </c>
      <c r="AH59" s="6">
        <f>IF(OR(原始資料!$A59="",33&gt;設定!$B$3,原始資料!AJ59=""),"",IF(AND(原始資料!AI59&lt;&gt;"",原始資料!AJ59=原始資料!AI59),N(AG59)+1,1))</f>
        <v/>
      </c>
      <c r="AI59" s="6">
        <f>IF(OR(原始資料!$A59="",34&gt;設定!$B$3,原始資料!AK59=""),"",IF(AND(原始資料!AJ59&lt;&gt;"",原始資料!AK59=原始資料!AJ59),N(AH59)+1,1))</f>
        <v/>
      </c>
      <c r="AJ59" s="6">
        <f>IF(OR(原始資料!$A59="",35&gt;設定!$B$3,原始資料!AL59=""),"",IF(AND(原始資料!AK59&lt;&gt;"",原始資料!AL59=原始資料!AK59),N(AI59)+1,1))</f>
        <v/>
      </c>
      <c r="AK59" s="6">
        <f>IF(OR(原始資料!$A59="",36&gt;設定!$B$3,原始資料!AM59=""),"",IF(AND(原始資料!AL59&lt;&gt;"",原始資料!AM59=原始資料!AL59),N(AJ59)+1,1))</f>
        <v/>
      </c>
      <c r="AL59" s="6">
        <f>IF(OR(原始資料!$A59="",37&gt;設定!$B$3,原始資料!AN59=""),"",IF(AND(原始資料!AM59&lt;&gt;"",原始資料!AN59=原始資料!AM59),N(AK59)+1,1))</f>
        <v/>
      </c>
      <c r="AM59" s="6">
        <f>IF(OR(原始資料!$A59="",38&gt;設定!$B$3,原始資料!AO59=""),"",IF(AND(原始資料!AN59&lt;&gt;"",原始資料!AO59=原始資料!AN59),N(AL59)+1,1))</f>
        <v/>
      </c>
      <c r="AN59" s="6">
        <f>IF(OR(原始資料!$A59="",39&gt;設定!$B$3,原始資料!AP59=""),"",IF(AND(原始資料!AO59&lt;&gt;"",原始資料!AP59=原始資料!AO59),N(AM59)+1,1))</f>
        <v/>
      </c>
      <c r="AO59" s="6">
        <f>IF(OR(原始資料!$A59="",40&gt;設定!$B$3,原始資料!AQ59=""),"",IF(AND(原始資料!AP59&lt;&gt;"",原始資料!AQ59=原始資料!AP59),N(AN59)+1,1))</f>
        <v/>
      </c>
      <c r="AP59" s="6">
        <f>IF(OR(原始資料!$A59="",41&gt;設定!$B$3,原始資料!AR59=""),"",IF(AND(原始資料!AQ59&lt;&gt;"",原始資料!AR59=原始資料!AQ59),N(AO59)+1,1))</f>
        <v/>
      </c>
      <c r="AQ59" s="6">
        <f>IF(OR(原始資料!$A59="",42&gt;設定!$B$3,原始資料!AS59=""),"",IF(AND(原始資料!AR59&lt;&gt;"",原始資料!AS59=原始資料!AR59),N(AP59)+1,1))</f>
        <v/>
      </c>
      <c r="AR59" s="6">
        <f>IF(OR(原始資料!$A59="",43&gt;設定!$B$3,原始資料!AT59=""),"",IF(AND(原始資料!AS59&lt;&gt;"",原始資料!AT59=原始資料!AS59),N(AQ59)+1,1))</f>
        <v/>
      </c>
      <c r="AS59" s="6">
        <f>IF(OR(原始資料!$A59="",44&gt;設定!$B$3,原始資料!AU59=""),"",IF(AND(原始資料!AT59&lt;&gt;"",原始資料!AU59=原始資料!AT59),N(AR59)+1,1))</f>
        <v/>
      </c>
      <c r="AT59" s="6">
        <f>IF(OR(原始資料!$A59="",45&gt;設定!$B$3,原始資料!AV59=""),"",IF(AND(原始資料!AU59&lt;&gt;"",原始資料!AV59=原始資料!AU59),N(AS59)+1,1))</f>
        <v/>
      </c>
      <c r="AU59" s="6">
        <f>IF(OR(原始資料!$A59="",46&gt;設定!$B$3,原始資料!AW59=""),"",IF(AND(原始資料!AV59&lt;&gt;"",原始資料!AW59=原始資料!AV59),N(AT59)+1,1))</f>
        <v/>
      </c>
      <c r="AV59" s="6">
        <f>IF(OR(原始資料!$A59="",47&gt;設定!$B$3,原始資料!AX59=""),"",IF(AND(原始資料!AW59&lt;&gt;"",原始資料!AX59=原始資料!AW59),N(AU59)+1,1))</f>
        <v/>
      </c>
      <c r="AW59" s="6">
        <f>IF(OR(原始資料!$A59="",48&gt;設定!$B$3,原始資料!AY59=""),"",IF(AND(原始資料!AX59&lt;&gt;"",原始資料!AY59=原始資料!AX59),N(AV59)+1,1))</f>
        <v/>
      </c>
      <c r="AX59" s="6">
        <f>IF(OR(原始資料!$A59="",49&gt;設定!$B$3,原始資料!AZ59=""),"",IF(AND(原始資料!AY59&lt;&gt;"",原始資料!AZ59=原始資料!AY59),N(AW59)+1,1))</f>
        <v/>
      </c>
      <c r="AY59" s="6">
        <f>IF(OR(原始資料!$A59="",50&gt;設定!$B$3,原始資料!BA59=""),"",IF(AND(原始資料!AZ59&lt;&gt;"",原始資料!BA59=原始資料!AZ59),N(AX59)+1,1))</f>
        <v/>
      </c>
      <c r="AZ59" s="6">
        <f>IF(OR(原始資料!$A59="",51&gt;設定!$B$3,原始資料!BB59=""),"",IF(AND(原始資料!BA59&lt;&gt;"",原始資料!BB59=原始資料!BA59),N(AY59)+1,1))</f>
        <v/>
      </c>
      <c r="BA59" s="6">
        <f>IF(OR(原始資料!$A59="",52&gt;設定!$B$3,原始資料!BC59=""),"",IF(AND(原始資料!BB59&lt;&gt;"",原始資料!BC59=原始資料!BB59),N(AZ59)+1,1))</f>
        <v/>
      </c>
      <c r="BB59" s="6">
        <f>IF(OR(原始資料!$A59="",53&gt;設定!$B$3,原始資料!BD59=""),"",IF(AND(原始資料!BC59&lt;&gt;"",原始資料!BD59=原始資料!BC59),N(BA59)+1,1))</f>
        <v/>
      </c>
      <c r="BC59" s="6">
        <f>IF(OR(原始資料!$A59="",54&gt;設定!$B$3,原始資料!BE59=""),"",IF(AND(原始資料!BD59&lt;&gt;"",原始資料!BE59=原始資料!BD59),N(BB59)+1,1))</f>
        <v/>
      </c>
      <c r="BD59" s="6">
        <f>IF(OR(原始資料!$A59="",55&gt;設定!$B$3,原始資料!BF59=""),"",IF(AND(原始資料!BE59&lt;&gt;"",原始資料!BF59=原始資料!BE59),N(BC59)+1,1))</f>
        <v/>
      </c>
      <c r="BE59" s="6">
        <f>IF(OR(原始資料!$A59="",56&gt;設定!$B$3,原始資料!BG59=""),"",IF(AND(原始資料!BF59&lt;&gt;"",原始資料!BG59=原始資料!BF59),N(BD59)+1,1))</f>
        <v/>
      </c>
      <c r="BF59" s="6">
        <f>IF(OR(原始資料!$A59="",57&gt;設定!$B$3,原始資料!BH59=""),"",IF(AND(原始資料!BG59&lt;&gt;"",原始資料!BH59=原始資料!BG59),N(BE59)+1,1))</f>
        <v/>
      </c>
      <c r="BG59" s="6">
        <f>IF(OR(原始資料!$A59="",58&gt;設定!$B$3,原始資料!BI59=""),"",IF(AND(原始資料!BH59&lt;&gt;"",原始資料!BI59=原始資料!BH59),N(BF59)+1,1))</f>
        <v/>
      </c>
      <c r="BH59" s="6">
        <f>IF(OR(原始資料!$A59="",59&gt;設定!$B$3,原始資料!BJ59=""),"",IF(AND(原始資料!BI59&lt;&gt;"",原始資料!BJ59=原始資料!BI59),N(BG59)+1,1))</f>
        <v/>
      </c>
      <c r="BI59" s="6">
        <f>IF(OR(原始資料!$A59="",60&gt;設定!$B$3,原始資料!BK59=""),"",IF(AND(原始資料!BJ59&lt;&gt;"",原始資料!BK59=原始資料!BJ59),N(BH59)+1,1))</f>
        <v/>
      </c>
    </row>
    <row r="60">
      <c r="A60" s="6">
        <f>IF(原始資料!$A60="","",原始資料!$A60)</f>
        <v/>
      </c>
      <c r="B60" s="6">
        <f>IF(OR(原始資料!$A60="",1&gt;設定!$B$3,原始資料!D60=""),"",1)</f>
        <v/>
      </c>
      <c r="C60" s="6">
        <f>IF(OR(原始資料!$A60="",2&gt;設定!$B$3,原始資料!E60=""),"",IF(AND(原始資料!D60&lt;&gt;"",原始資料!E60=原始資料!D60),N(B60)+1,1))</f>
        <v/>
      </c>
      <c r="D60" s="6">
        <f>IF(OR(原始資料!$A60="",3&gt;設定!$B$3,原始資料!F60=""),"",IF(AND(原始資料!E60&lt;&gt;"",原始資料!F60=原始資料!E60),N(C60)+1,1))</f>
        <v/>
      </c>
      <c r="E60" s="6">
        <f>IF(OR(原始資料!$A60="",4&gt;設定!$B$3,原始資料!G60=""),"",IF(AND(原始資料!F60&lt;&gt;"",原始資料!G60=原始資料!F60),N(D60)+1,1))</f>
        <v/>
      </c>
      <c r="F60" s="6">
        <f>IF(OR(原始資料!$A60="",5&gt;設定!$B$3,原始資料!H60=""),"",IF(AND(原始資料!G60&lt;&gt;"",原始資料!H60=原始資料!G60),N(E60)+1,1))</f>
        <v/>
      </c>
      <c r="G60" s="6">
        <f>IF(OR(原始資料!$A60="",6&gt;設定!$B$3,原始資料!I60=""),"",IF(AND(原始資料!H60&lt;&gt;"",原始資料!I60=原始資料!H60),N(F60)+1,1))</f>
        <v/>
      </c>
      <c r="H60" s="6">
        <f>IF(OR(原始資料!$A60="",7&gt;設定!$B$3,原始資料!J60=""),"",IF(AND(原始資料!I60&lt;&gt;"",原始資料!J60=原始資料!I60),N(G60)+1,1))</f>
        <v/>
      </c>
      <c r="I60" s="6">
        <f>IF(OR(原始資料!$A60="",8&gt;設定!$B$3,原始資料!K60=""),"",IF(AND(原始資料!J60&lt;&gt;"",原始資料!K60=原始資料!J60),N(H60)+1,1))</f>
        <v/>
      </c>
      <c r="J60" s="6">
        <f>IF(OR(原始資料!$A60="",9&gt;設定!$B$3,原始資料!L60=""),"",IF(AND(原始資料!K60&lt;&gt;"",原始資料!L60=原始資料!K60),N(I60)+1,1))</f>
        <v/>
      </c>
      <c r="K60" s="6">
        <f>IF(OR(原始資料!$A60="",10&gt;設定!$B$3,原始資料!M60=""),"",IF(AND(原始資料!L60&lt;&gt;"",原始資料!M60=原始資料!L60),N(J60)+1,1))</f>
        <v/>
      </c>
      <c r="L60" s="6">
        <f>IF(OR(原始資料!$A60="",11&gt;設定!$B$3,原始資料!N60=""),"",IF(AND(原始資料!M60&lt;&gt;"",原始資料!N60=原始資料!M60),N(K60)+1,1))</f>
        <v/>
      </c>
      <c r="M60" s="6">
        <f>IF(OR(原始資料!$A60="",12&gt;設定!$B$3,原始資料!O60=""),"",IF(AND(原始資料!N60&lt;&gt;"",原始資料!O60=原始資料!N60),N(L60)+1,1))</f>
        <v/>
      </c>
      <c r="N60" s="6">
        <f>IF(OR(原始資料!$A60="",13&gt;設定!$B$3,原始資料!P60=""),"",IF(AND(原始資料!O60&lt;&gt;"",原始資料!P60=原始資料!O60),N(M60)+1,1))</f>
        <v/>
      </c>
      <c r="O60" s="6">
        <f>IF(OR(原始資料!$A60="",14&gt;設定!$B$3,原始資料!Q60=""),"",IF(AND(原始資料!P60&lt;&gt;"",原始資料!Q60=原始資料!P60),N(N60)+1,1))</f>
        <v/>
      </c>
      <c r="P60" s="6">
        <f>IF(OR(原始資料!$A60="",15&gt;設定!$B$3,原始資料!R60=""),"",IF(AND(原始資料!Q60&lt;&gt;"",原始資料!R60=原始資料!Q60),N(O60)+1,1))</f>
        <v/>
      </c>
      <c r="Q60" s="6">
        <f>IF(OR(原始資料!$A60="",16&gt;設定!$B$3,原始資料!S60=""),"",IF(AND(原始資料!R60&lt;&gt;"",原始資料!S60=原始資料!R60),N(P60)+1,1))</f>
        <v/>
      </c>
      <c r="R60" s="6">
        <f>IF(OR(原始資料!$A60="",17&gt;設定!$B$3,原始資料!T60=""),"",IF(AND(原始資料!S60&lt;&gt;"",原始資料!T60=原始資料!S60),N(Q60)+1,1))</f>
        <v/>
      </c>
      <c r="S60" s="6">
        <f>IF(OR(原始資料!$A60="",18&gt;設定!$B$3,原始資料!U60=""),"",IF(AND(原始資料!T60&lt;&gt;"",原始資料!U60=原始資料!T60),N(R60)+1,1))</f>
        <v/>
      </c>
      <c r="T60" s="6">
        <f>IF(OR(原始資料!$A60="",19&gt;設定!$B$3,原始資料!V60=""),"",IF(AND(原始資料!U60&lt;&gt;"",原始資料!V60=原始資料!U60),N(S60)+1,1))</f>
        <v/>
      </c>
      <c r="U60" s="6">
        <f>IF(OR(原始資料!$A60="",20&gt;設定!$B$3,原始資料!W60=""),"",IF(AND(原始資料!V60&lt;&gt;"",原始資料!W60=原始資料!V60),N(T60)+1,1))</f>
        <v/>
      </c>
      <c r="V60" s="6">
        <f>IF(OR(原始資料!$A60="",21&gt;設定!$B$3,原始資料!X60=""),"",IF(AND(原始資料!W60&lt;&gt;"",原始資料!X60=原始資料!W60),N(U60)+1,1))</f>
        <v/>
      </c>
      <c r="W60" s="6">
        <f>IF(OR(原始資料!$A60="",22&gt;設定!$B$3,原始資料!Y60=""),"",IF(AND(原始資料!X60&lt;&gt;"",原始資料!Y60=原始資料!X60),N(V60)+1,1))</f>
        <v/>
      </c>
      <c r="X60" s="6">
        <f>IF(OR(原始資料!$A60="",23&gt;設定!$B$3,原始資料!Z60=""),"",IF(AND(原始資料!Y60&lt;&gt;"",原始資料!Z60=原始資料!Y60),N(W60)+1,1))</f>
        <v/>
      </c>
      <c r="Y60" s="6">
        <f>IF(OR(原始資料!$A60="",24&gt;設定!$B$3,原始資料!AA60=""),"",IF(AND(原始資料!Z60&lt;&gt;"",原始資料!AA60=原始資料!Z60),N(X60)+1,1))</f>
        <v/>
      </c>
      <c r="Z60" s="6">
        <f>IF(OR(原始資料!$A60="",25&gt;設定!$B$3,原始資料!AB60=""),"",IF(AND(原始資料!AA60&lt;&gt;"",原始資料!AB60=原始資料!AA60),N(Y60)+1,1))</f>
        <v/>
      </c>
      <c r="AA60" s="6">
        <f>IF(OR(原始資料!$A60="",26&gt;設定!$B$3,原始資料!AC60=""),"",IF(AND(原始資料!AB60&lt;&gt;"",原始資料!AC60=原始資料!AB60),N(Z60)+1,1))</f>
        <v/>
      </c>
      <c r="AB60" s="6">
        <f>IF(OR(原始資料!$A60="",27&gt;設定!$B$3,原始資料!AD60=""),"",IF(AND(原始資料!AC60&lt;&gt;"",原始資料!AD60=原始資料!AC60),N(AA60)+1,1))</f>
        <v/>
      </c>
      <c r="AC60" s="6">
        <f>IF(OR(原始資料!$A60="",28&gt;設定!$B$3,原始資料!AE60=""),"",IF(AND(原始資料!AD60&lt;&gt;"",原始資料!AE60=原始資料!AD60),N(AB60)+1,1))</f>
        <v/>
      </c>
      <c r="AD60" s="6">
        <f>IF(OR(原始資料!$A60="",29&gt;設定!$B$3,原始資料!AF60=""),"",IF(AND(原始資料!AE60&lt;&gt;"",原始資料!AF60=原始資料!AE60),N(AC60)+1,1))</f>
        <v/>
      </c>
      <c r="AE60" s="6">
        <f>IF(OR(原始資料!$A60="",30&gt;設定!$B$3,原始資料!AG60=""),"",IF(AND(原始資料!AF60&lt;&gt;"",原始資料!AG60=原始資料!AF60),N(AD60)+1,1))</f>
        <v/>
      </c>
      <c r="AF60" s="6">
        <f>IF(OR(原始資料!$A60="",31&gt;設定!$B$3,原始資料!AH60=""),"",IF(AND(原始資料!AG60&lt;&gt;"",原始資料!AH60=原始資料!AG60),N(AE60)+1,1))</f>
        <v/>
      </c>
      <c r="AG60" s="6">
        <f>IF(OR(原始資料!$A60="",32&gt;設定!$B$3,原始資料!AI60=""),"",IF(AND(原始資料!AH60&lt;&gt;"",原始資料!AI60=原始資料!AH60),N(AF60)+1,1))</f>
        <v/>
      </c>
      <c r="AH60" s="6">
        <f>IF(OR(原始資料!$A60="",33&gt;設定!$B$3,原始資料!AJ60=""),"",IF(AND(原始資料!AI60&lt;&gt;"",原始資料!AJ60=原始資料!AI60),N(AG60)+1,1))</f>
        <v/>
      </c>
      <c r="AI60" s="6">
        <f>IF(OR(原始資料!$A60="",34&gt;設定!$B$3,原始資料!AK60=""),"",IF(AND(原始資料!AJ60&lt;&gt;"",原始資料!AK60=原始資料!AJ60),N(AH60)+1,1))</f>
        <v/>
      </c>
      <c r="AJ60" s="6">
        <f>IF(OR(原始資料!$A60="",35&gt;設定!$B$3,原始資料!AL60=""),"",IF(AND(原始資料!AK60&lt;&gt;"",原始資料!AL60=原始資料!AK60),N(AI60)+1,1))</f>
        <v/>
      </c>
      <c r="AK60" s="6">
        <f>IF(OR(原始資料!$A60="",36&gt;設定!$B$3,原始資料!AM60=""),"",IF(AND(原始資料!AL60&lt;&gt;"",原始資料!AM60=原始資料!AL60),N(AJ60)+1,1))</f>
        <v/>
      </c>
      <c r="AL60" s="6">
        <f>IF(OR(原始資料!$A60="",37&gt;設定!$B$3,原始資料!AN60=""),"",IF(AND(原始資料!AM60&lt;&gt;"",原始資料!AN60=原始資料!AM60),N(AK60)+1,1))</f>
        <v/>
      </c>
      <c r="AM60" s="6">
        <f>IF(OR(原始資料!$A60="",38&gt;設定!$B$3,原始資料!AO60=""),"",IF(AND(原始資料!AN60&lt;&gt;"",原始資料!AO60=原始資料!AN60),N(AL60)+1,1))</f>
        <v/>
      </c>
      <c r="AN60" s="6">
        <f>IF(OR(原始資料!$A60="",39&gt;設定!$B$3,原始資料!AP60=""),"",IF(AND(原始資料!AO60&lt;&gt;"",原始資料!AP60=原始資料!AO60),N(AM60)+1,1))</f>
        <v/>
      </c>
      <c r="AO60" s="6">
        <f>IF(OR(原始資料!$A60="",40&gt;設定!$B$3,原始資料!AQ60=""),"",IF(AND(原始資料!AP60&lt;&gt;"",原始資料!AQ60=原始資料!AP60),N(AN60)+1,1))</f>
        <v/>
      </c>
      <c r="AP60" s="6">
        <f>IF(OR(原始資料!$A60="",41&gt;設定!$B$3,原始資料!AR60=""),"",IF(AND(原始資料!AQ60&lt;&gt;"",原始資料!AR60=原始資料!AQ60),N(AO60)+1,1))</f>
        <v/>
      </c>
      <c r="AQ60" s="6">
        <f>IF(OR(原始資料!$A60="",42&gt;設定!$B$3,原始資料!AS60=""),"",IF(AND(原始資料!AR60&lt;&gt;"",原始資料!AS60=原始資料!AR60),N(AP60)+1,1))</f>
        <v/>
      </c>
      <c r="AR60" s="6">
        <f>IF(OR(原始資料!$A60="",43&gt;設定!$B$3,原始資料!AT60=""),"",IF(AND(原始資料!AS60&lt;&gt;"",原始資料!AT60=原始資料!AS60),N(AQ60)+1,1))</f>
        <v/>
      </c>
      <c r="AS60" s="6">
        <f>IF(OR(原始資料!$A60="",44&gt;設定!$B$3,原始資料!AU60=""),"",IF(AND(原始資料!AT60&lt;&gt;"",原始資料!AU60=原始資料!AT60),N(AR60)+1,1))</f>
        <v/>
      </c>
      <c r="AT60" s="6">
        <f>IF(OR(原始資料!$A60="",45&gt;設定!$B$3,原始資料!AV60=""),"",IF(AND(原始資料!AU60&lt;&gt;"",原始資料!AV60=原始資料!AU60),N(AS60)+1,1))</f>
        <v/>
      </c>
      <c r="AU60" s="6">
        <f>IF(OR(原始資料!$A60="",46&gt;設定!$B$3,原始資料!AW60=""),"",IF(AND(原始資料!AV60&lt;&gt;"",原始資料!AW60=原始資料!AV60),N(AT60)+1,1))</f>
        <v/>
      </c>
      <c r="AV60" s="6">
        <f>IF(OR(原始資料!$A60="",47&gt;設定!$B$3,原始資料!AX60=""),"",IF(AND(原始資料!AW60&lt;&gt;"",原始資料!AX60=原始資料!AW60),N(AU60)+1,1))</f>
        <v/>
      </c>
      <c r="AW60" s="6">
        <f>IF(OR(原始資料!$A60="",48&gt;設定!$B$3,原始資料!AY60=""),"",IF(AND(原始資料!AX60&lt;&gt;"",原始資料!AY60=原始資料!AX60),N(AV60)+1,1))</f>
        <v/>
      </c>
      <c r="AX60" s="6">
        <f>IF(OR(原始資料!$A60="",49&gt;設定!$B$3,原始資料!AZ60=""),"",IF(AND(原始資料!AY60&lt;&gt;"",原始資料!AZ60=原始資料!AY60),N(AW60)+1,1))</f>
        <v/>
      </c>
      <c r="AY60" s="6">
        <f>IF(OR(原始資料!$A60="",50&gt;設定!$B$3,原始資料!BA60=""),"",IF(AND(原始資料!AZ60&lt;&gt;"",原始資料!BA60=原始資料!AZ60),N(AX60)+1,1))</f>
        <v/>
      </c>
      <c r="AZ60" s="6">
        <f>IF(OR(原始資料!$A60="",51&gt;設定!$B$3,原始資料!BB60=""),"",IF(AND(原始資料!BA60&lt;&gt;"",原始資料!BB60=原始資料!BA60),N(AY60)+1,1))</f>
        <v/>
      </c>
      <c r="BA60" s="6">
        <f>IF(OR(原始資料!$A60="",52&gt;設定!$B$3,原始資料!BC60=""),"",IF(AND(原始資料!BB60&lt;&gt;"",原始資料!BC60=原始資料!BB60),N(AZ60)+1,1))</f>
        <v/>
      </c>
      <c r="BB60" s="6">
        <f>IF(OR(原始資料!$A60="",53&gt;設定!$B$3,原始資料!BD60=""),"",IF(AND(原始資料!BC60&lt;&gt;"",原始資料!BD60=原始資料!BC60),N(BA60)+1,1))</f>
        <v/>
      </c>
      <c r="BC60" s="6">
        <f>IF(OR(原始資料!$A60="",54&gt;設定!$B$3,原始資料!BE60=""),"",IF(AND(原始資料!BD60&lt;&gt;"",原始資料!BE60=原始資料!BD60),N(BB60)+1,1))</f>
        <v/>
      </c>
      <c r="BD60" s="6">
        <f>IF(OR(原始資料!$A60="",55&gt;設定!$B$3,原始資料!BF60=""),"",IF(AND(原始資料!BE60&lt;&gt;"",原始資料!BF60=原始資料!BE60),N(BC60)+1,1))</f>
        <v/>
      </c>
      <c r="BE60" s="6">
        <f>IF(OR(原始資料!$A60="",56&gt;設定!$B$3,原始資料!BG60=""),"",IF(AND(原始資料!BF60&lt;&gt;"",原始資料!BG60=原始資料!BF60),N(BD60)+1,1))</f>
        <v/>
      </c>
      <c r="BF60" s="6">
        <f>IF(OR(原始資料!$A60="",57&gt;設定!$B$3,原始資料!BH60=""),"",IF(AND(原始資料!BG60&lt;&gt;"",原始資料!BH60=原始資料!BG60),N(BE60)+1,1))</f>
        <v/>
      </c>
      <c r="BG60" s="6">
        <f>IF(OR(原始資料!$A60="",58&gt;設定!$B$3,原始資料!BI60=""),"",IF(AND(原始資料!BH60&lt;&gt;"",原始資料!BI60=原始資料!BH60),N(BF60)+1,1))</f>
        <v/>
      </c>
      <c r="BH60" s="6">
        <f>IF(OR(原始資料!$A60="",59&gt;設定!$B$3,原始資料!BJ60=""),"",IF(AND(原始資料!BI60&lt;&gt;"",原始資料!BJ60=原始資料!BI60),N(BG60)+1,1))</f>
        <v/>
      </c>
      <c r="BI60" s="6">
        <f>IF(OR(原始資料!$A60="",60&gt;設定!$B$3,原始資料!BK60=""),"",IF(AND(原始資料!BJ60&lt;&gt;"",原始資料!BK60=原始資料!BJ60),N(BH60)+1,1))</f>
        <v/>
      </c>
    </row>
    <row r="61">
      <c r="A61" s="6">
        <f>IF(原始資料!$A61="","",原始資料!$A61)</f>
        <v/>
      </c>
      <c r="B61" s="6">
        <f>IF(OR(原始資料!$A61="",1&gt;設定!$B$3,原始資料!D61=""),"",1)</f>
        <v/>
      </c>
      <c r="C61" s="6">
        <f>IF(OR(原始資料!$A61="",2&gt;設定!$B$3,原始資料!E61=""),"",IF(AND(原始資料!D61&lt;&gt;"",原始資料!E61=原始資料!D61),N(B61)+1,1))</f>
        <v/>
      </c>
      <c r="D61" s="6">
        <f>IF(OR(原始資料!$A61="",3&gt;設定!$B$3,原始資料!F61=""),"",IF(AND(原始資料!E61&lt;&gt;"",原始資料!F61=原始資料!E61),N(C61)+1,1))</f>
        <v/>
      </c>
      <c r="E61" s="6">
        <f>IF(OR(原始資料!$A61="",4&gt;設定!$B$3,原始資料!G61=""),"",IF(AND(原始資料!F61&lt;&gt;"",原始資料!G61=原始資料!F61),N(D61)+1,1))</f>
        <v/>
      </c>
      <c r="F61" s="6">
        <f>IF(OR(原始資料!$A61="",5&gt;設定!$B$3,原始資料!H61=""),"",IF(AND(原始資料!G61&lt;&gt;"",原始資料!H61=原始資料!G61),N(E61)+1,1))</f>
        <v/>
      </c>
      <c r="G61" s="6">
        <f>IF(OR(原始資料!$A61="",6&gt;設定!$B$3,原始資料!I61=""),"",IF(AND(原始資料!H61&lt;&gt;"",原始資料!I61=原始資料!H61),N(F61)+1,1))</f>
        <v/>
      </c>
      <c r="H61" s="6">
        <f>IF(OR(原始資料!$A61="",7&gt;設定!$B$3,原始資料!J61=""),"",IF(AND(原始資料!I61&lt;&gt;"",原始資料!J61=原始資料!I61),N(G61)+1,1))</f>
        <v/>
      </c>
      <c r="I61" s="6">
        <f>IF(OR(原始資料!$A61="",8&gt;設定!$B$3,原始資料!K61=""),"",IF(AND(原始資料!J61&lt;&gt;"",原始資料!K61=原始資料!J61),N(H61)+1,1))</f>
        <v/>
      </c>
      <c r="J61" s="6">
        <f>IF(OR(原始資料!$A61="",9&gt;設定!$B$3,原始資料!L61=""),"",IF(AND(原始資料!K61&lt;&gt;"",原始資料!L61=原始資料!K61),N(I61)+1,1))</f>
        <v/>
      </c>
      <c r="K61" s="6">
        <f>IF(OR(原始資料!$A61="",10&gt;設定!$B$3,原始資料!M61=""),"",IF(AND(原始資料!L61&lt;&gt;"",原始資料!M61=原始資料!L61),N(J61)+1,1))</f>
        <v/>
      </c>
      <c r="L61" s="6">
        <f>IF(OR(原始資料!$A61="",11&gt;設定!$B$3,原始資料!N61=""),"",IF(AND(原始資料!M61&lt;&gt;"",原始資料!N61=原始資料!M61),N(K61)+1,1))</f>
        <v/>
      </c>
      <c r="M61" s="6">
        <f>IF(OR(原始資料!$A61="",12&gt;設定!$B$3,原始資料!O61=""),"",IF(AND(原始資料!N61&lt;&gt;"",原始資料!O61=原始資料!N61),N(L61)+1,1))</f>
        <v/>
      </c>
      <c r="N61" s="6">
        <f>IF(OR(原始資料!$A61="",13&gt;設定!$B$3,原始資料!P61=""),"",IF(AND(原始資料!O61&lt;&gt;"",原始資料!P61=原始資料!O61),N(M61)+1,1))</f>
        <v/>
      </c>
      <c r="O61" s="6">
        <f>IF(OR(原始資料!$A61="",14&gt;設定!$B$3,原始資料!Q61=""),"",IF(AND(原始資料!P61&lt;&gt;"",原始資料!Q61=原始資料!P61),N(N61)+1,1))</f>
        <v/>
      </c>
      <c r="P61" s="6">
        <f>IF(OR(原始資料!$A61="",15&gt;設定!$B$3,原始資料!R61=""),"",IF(AND(原始資料!Q61&lt;&gt;"",原始資料!R61=原始資料!Q61),N(O61)+1,1))</f>
        <v/>
      </c>
      <c r="Q61" s="6">
        <f>IF(OR(原始資料!$A61="",16&gt;設定!$B$3,原始資料!S61=""),"",IF(AND(原始資料!R61&lt;&gt;"",原始資料!S61=原始資料!R61),N(P61)+1,1))</f>
        <v/>
      </c>
      <c r="R61" s="6">
        <f>IF(OR(原始資料!$A61="",17&gt;設定!$B$3,原始資料!T61=""),"",IF(AND(原始資料!S61&lt;&gt;"",原始資料!T61=原始資料!S61),N(Q61)+1,1))</f>
        <v/>
      </c>
      <c r="S61" s="6">
        <f>IF(OR(原始資料!$A61="",18&gt;設定!$B$3,原始資料!U61=""),"",IF(AND(原始資料!T61&lt;&gt;"",原始資料!U61=原始資料!T61),N(R61)+1,1))</f>
        <v/>
      </c>
      <c r="T61" s="6">
        <f>IF(OR(原始資料!$A61="",19&gt;設定!$B$3,原始資料!V61=""),"",IF(AND(原始資料!U61&lt;&gt;"",原始資料!V61=原始資料!U61),N(S61)+1,1))</f>
        <v/>
      </c>
      <c r="U61" s="6">
        <f>IF(OR(原始資料!$A61="",20&gt;設定!$B$3,原始資料!W61=""),"",IF(AND(原始資料!V61&lt;&gt;"",原始資料!W61=原始資料!V61),N(T61)+1,1))</f>
        <v/>
      </c>
      <c r="V61" s="6">
        <f>IF(OR(原始資料!$A61="",21&gt;設定!$B$3,原始資料!X61=""),"",IF(AND(原始資料!W61&lt;&gt;"",原始資料!X61=原始資料!W61),N(U61)+1,1))</f>
        <v/>
      </c>
      <c r="W61" s="6">
        <f>IF(OR(原始資料!$A61="",22&gt;設定!$B$3,原始資料!Y61=""),"",IF(AND(原始資料!X61&lt;&gt;"",原始資料!Y61=原始資料!X61),N(V61)+1,1))</f>
        <v/>
      </c>
      <c r="X61" s="6">
        <f>IF(OR(原始資料!$A61="",23&gt;設定!$B$3,原始資料!Z61=""),"",IF(AND(原始資料!Y61&lt;&gt;"",原始資料!Z61=原始資料!Y61),N(W61)+1,1))</f>
        <v/>
      </c>
      <c r="Y61" s="6">
        <f>IF(OR(原始資料!$A61="",24&gt;設定!$B$3,原始資料!AA61=""),"",IF(AND(原始資料!Z61&lt;&gt;"",原始資料!AA61=原始資料!Z61),N(X61)+1,1))</f>
        <v/>
      </c>
      <c r="Z61" s="6">
        <f>IF(OR(原始資料!$A61="",25&gt;設定!$B$3,原始資料!AB61=""),"",IF(AND(原始資料!AA61&lt;&gt;"",原始資料!AB61=原始資料!AA61),N(Y61)+1,1))</f>
        <v/>
      </c>
      <c r="AA61" s="6">
        <f>IF(OR(原始資料!$A61="",26&gt;設定!$B$3,原始資料!AC61=""),"",IF(AND(原始資料!AB61&lt;&gt;"",原始資料!AC61=原始資料!AB61),N(Z61)+1,1))</f>
        <v/>
      </c>
      <c r="AB61" s="6">
        <f>IF(OR(原始資料!$A61="",27&gt;設定!$B$3,原始資料!AD61=""),"",IF(AND(原始資料!AC61&lt;&gt;"",原始資料!AD61=原始資料!AC61),N(AA61)+1,1))</f>
        <v/>
      </c>
      <c r="AC61" s="6">
        <f>IF(OR(原始資料!$A61="",28&gt;設定!$B$3,原始資料!AE61=""),"",IF(AND(原始資料!AD61&lt;&gt;"",原始資料!AE61=原始資料!AD61),N(AB61)+1,1))</f>
        <v/>
      </c>
      <c r="AD61" s="6">
        <f>IF(OR(原始資料!$A61="",29&gt;設定!$B$3,原始資料!AF61=""),"",IF(AND(原始資料!AE61&lt;&gt;"",原始資料!AF61=原始資料!AE61),N(AC61)+1,1))</f>
        <v/>
      </c>
      <c r="AE61" s="6">
        <f>IF(OR(原始資料!$A61="",30&gt;設定!$B$3,原始資料!AG61=""),"",IF(AND(原始資料!AF61&lt;&gt;"",原始資料!AG61=原始資料!AF61),N(AD61)+1,1))</f>
        <v/>
      </c>
      <c r="AF61" s="6">
        <f>IF(OR(原始資料!$A61="",31&gt;設定!$B$3,原始資料!AH61=""),"",IF(AND(原始資料!AG61&lt;&gt;"",原始資料!AH61=原始資料!AG61),N(AE61)+1,1))</f>
        <v/>
      </c>
      <c r="AG61" s="6">
        <f>IF(OR(原始資料!$A61="",32&gt;設定!$B$3,原始資料!AI61=""),"",IF(AND(原始資料!AH61&lt;&gt;"",原始資料!AI61=原始資料!AH61),N(AF61)+1,1))</f>
        <v/>
      </c>
      <c r="AH61" s="6">
        <f>IF(OR(原始資料!$A61="",33&gt;設定!$B$3,原始資料!AJ61=""),"",IF(AND(原始資料!AI61&lt;&gt;"",原始資料!AJ61=原始資料!AI61),N(AG61)+1,1))</f>
        <v/>
      </c>
      <c r="AI61" s="6">
        <f>IF(OR(原始資料!$A61="",34&gt;設定!$B$3,原始資料!AK61=""),"",IF(AND(原始資料!AJ61&lt;&gt;"",原始資料!AK61=原始資料!AJ61),N(AH61)+1,1))</f>
        <v/>
      </c>
      <c r="AJ61" s="6">
        <f>IF(OR(原始資料!$A61="",35&gt;設定!$B$3,原始資料!AL61=""),"",IF(AND(原始資料!AK61&lt;&gt;"",原始資料!AL61=原始資料!AK61),N(AI61)+1,1))</f>
        <v/>
      </c>
      <c r="AK61" s="6">
        <f>IF(OR(原始資料!$A61="",36&gt;設定!$B$3,原始資料!AM61=""),"",IF(AND(原始資料!AL61&lt;&gt;"",原始資料!AM61=原始資料!AL61),N(AJ61)+1,1))</f>
        <v/>
      </c>
      <c r="AL61" s="6">
        <f>IF(OR(原始資料!$A61="",37&gt;設定!$B$3,原始資料!AN61=""),"",IF(AND(原始資料!AM61&lt;&gt;"",原始資料!AN61=原始資料!AM61),N(AK61)+1,1))</f>
        <v/>
      </c>
      <c r="AM61" s="6">
        <f>IF(OR(原始資料!$A61="",38&gt;設定!$B$3,原始資料!AO61=""),"",IF(AND(原始資料!AN61&lt;&gt;"",原始資料!AO61=原始資料!AN61),N(AL61)+1,1))</f>
        <v/>
      </c>
      <c r="AN61" s="6">
        <f>IF(OR(原始資料!$A61="",39&gt;設定!$B$3,原始資料!AP61=""),"",IF(AND(原始資料!AO61&lt;&gt;"",原始資料!AP61=原始資料!AO61),N(AM61)+1,1))</f>
        <v/>
      </c>
      <c r="AO61" s="6">
        <f>IF(OR(原始資料!$A61="",40&gt;設定!$B$3,原始資料!AQ61=""),"",IF(AND(原始資料!AP61&lt;&gt;"",原始資料!AQ61=原始資料!AP61),N(AN61)+1,1))</f>
        <v/>
      </c>
      <c r="AP61" s="6">
        <f>IF(OR(原始資料!$A61="",41&gt;設定!$B$3,原始資料!AR61=""),"",IF(AND(原始資料!AQ61&lt;&gt;"",原始資料!AR61=原始資料!AQ61),N(AO61)+1,1))</f>
        <v/>
      </c>
      <c r="AQ61" s="6">
        <f>IF(OR(原始資料!$A61="",42&gt;設定!$B$3,原始資料!AS61=""),"",IF(AND(原始資料!AR61&lt;&gt;"",原始資料!AS61=原始資料!AR61),N(AP61)+1,1))</f>
        <v/>
      </c>
      <c r="AR61" s="6">
        <f>IF(OR(原始資料!$A61="",43&gt;設定!$B$3,原始資料!AT61=""),"",IF(AND(原始資料!AS61&lt;&gt;"",原始資料!AT61=原始資料!AS61),N(AQ61)+1,1))</f>
        <v/>
      </c>
      <c r="AS61" s="6">
        <f>IF(OR(原始資料!$A61="",44&gt;設定!$B$3,原始資料!AU61=""),"",IF(AND(原始資料!AT61&lt;&gt;"",原始資料!AU61=原始資料!AT61),N(AR61)+1,1))</f>
        <v/>
      </c>
      <c r="AT61" s="6">
        <f>IF(OR(原始資料!$A61="",45&gt;設定!$B$3,原始資料!AV61=""),"",IF(AND(原始資料!AU61&lt;&gt;"",原始資料!AV61=原始資料!AU61),N(AS61)+1,1))</f>
        <v/>
      </c>
      <c r="AU61" s="6">
        <f>IF(OR(原始資料!$A61="",46&gt;設定!$B$3,原始資料!AW61=""),"",IF(AND(原始資料!AV61&lt;&gt;"",原始資料!AW61=原始資料!AV61),N(AT61)+1,1))</f>
        <v/>
      </c>
      <c r="AV61" s="6">
        <f>IF(OR(原始資料!$A61="",47&gt;設定!$B$3,原始資料!AX61=""),"",IF(AND(原始資料!AW61&lt;&gt;"",原始資料!AX61=原始資料!AW61),N(AU61)+1,1))</f>
        <v/>
      </c>
      <c r="AW61" s="6">
        <f>IF(OR(原始資料!$A61="",48&gt;設定!$B$3,原始資料!AY61=""),"",IF(AND(原始資料!AX61&lt;&gt;"",原始資料!AY61=原始資料!AX61),N(AV61)+1,1))</f>
        <v/>
      </c>
      <c r="AX61" s="6">
        <f>IF(OR(原始資料!$A61="",49&gt;設定!$B$3,原始資料!AZ61=""),"",IF(AND(原始資料!AY61&lt;&gt;"",原始資料!AZ61=原始資料!AY61),N(AW61)+1,1))</f>
        <v/>
      </c>
      <c r="AY61" s="6">
        <f>IF(OR(原始資料!$A61="",50&gt;設定!$B$3,原始資料!BA61=""),"",IF(AND(原始資料!AZ61&lt;&gt;"",原始資料!BA61=原始資料!AZ61),N(AX61)+1,1))</f>
        <v/>
      </c>
      <c r="AZ61" s="6">
        <f>IF(OR(原始資料!$A61="",51&gt;設定!$B$3,原始資料!BB61=""),"",IF(AND(原始資料!BA61&lt;&gt;"",原始資料!BB61=原始資料!BA61),N(AY61)+1,1))</f>
        <v/>
      </c>
      <c r="BA61" s="6">
        <f>IF(OR(原始資料!$A61="",52&gt;設定!$B$3,原始資料!BC61=""),"",IF(AND(原始資料!BB61&lt;&gt;"",原始資料!BC61=原始資料!BB61),N(AZ61)+1,1))</f>
        <v/>
      </c>
      <c r="BB61" s="6">
        <f>IF(OR(原始資料!$A61="",53&gt;設定!$B$3,原始資料!BD61=""),"",IF(AND(原始資料!BC61&lt;&gt;"",原始資料!BD61=原始資料!BC61),N(BA61)+1,1))</f>
        <v/>
      </c>
      <c r="BC61" s="6">
        <f>IF(OR(原始資料!$A61="",54&gt;設定!$B$3,原始資料!BE61=""),"",IF(AND(原始資料!BD61&lt;&gt;"",原始資料!BE61=原始資料!BD61),N(BB61)+1,1))</f>
        <v/>
      </c>
      <c r="BD61" s="6">
        <f>IF(OR(原始資料!$A61="",55&gt;設定!$B$3,原始資料!BF61=""),"",IF(AND(原始資料!BE61&lt;&gt;"",原始資料!BF61=原始資料!BE61),N(BC61)+1,1))</f>
        <v/>
      </c>
      <c r="BE61" s="6">
        <f>IF(OR(原始資料!$A61="",56&gt;設定!$B$3,原始資料!BG61=""),"",IF(AND(原始資料!BF61&lt;&gt;"",原始資料!BG61=原始資料!BF61),N(BD61)+1,1))</f>
        <v/>
      </c>
      <c r="BF61" s="6">
        <f>IF(OR(原始資料!$A61="",57&gt;設定!$B$3,原始資料!BH61=""),"",IF(AND(原始資料!BG61&lt;&gt;"",原始資料!BH61=原始資料!BG61),N(BE61)+1,1))</f>
        <v/>
      </c>
      <c r="BG61" s="6">
        <f>IF(OR(原始資料!$A61="",58&gt;設定!$B$3,原始資料!BI61=""),"",IF(AND(原始資料!BH61&lt;&gt;"",原始資料!BI61=原始資料!BH61),N(BF61)+1,1))</f>
        <v/>
      </c>
      <c r="BH61" s="6">
        <f>IF(OR(原始資料!$A61="",59&gt;設定!$B$3,原始資料!BJ61=""),"",IF(AND(原始資料!BI61&lt;&gt;"",原始資料!BJ61=原始資料!BI61),N(BG61)+1,1))</f>
        <v/>
      </c>
      <c r="BI61" s="6">
        <f>IF(OR(原始資料!$A61="",60&gt;設定!$B$3,原始資料!BK61=""),"",IF(AND(原始資料!BJ61&lt;&gt;"",原始資料!BK61=原始資料!BJ61),N(BH61)+1,1))</f>
        <v/>
      </c>
    </row>
    <row r="62">
      <c r="A62" s="6">
        <f>IF(原始資料!$A62="","",原始資料!$A62)</f>
        <v/>
      </c>
      <c r="B62" s="6">
        <f>IF(OR(原始資料!$A62="",1&gt;設定!$B$3,原始資料!D62=""),"",1)</f>
        <v/>
      </c>
      <c r="C62" s="6">
        <f>IF(OR(原始資料!$A62="",2&gt;設定!$B$3,原始資料!E62=""),"",IF(AND(原始資料!D62&lt;&gt;"",原始資料!E62=原始資料!D62),N(B62)+1,1))</f>
        <v/>
      </c>
      <c r="D62" s="6">
        <f>IF(OR(原始資料!$A62="",3&gt;設定!$B$3,原始資料!F62=""),"",IF(AND(原始資料!E62&lt;&gt;"",原始資料!F62=原始資料!E62),N(C62)+1,1))</f>
        <v/>
      </c>
      <c r="E62" s="6">
        <f>IF(OR(原始資料!$A62="",4&gt;設定!$B$3,原始資料!G62=""),"",IF(AND(原始資料!F62&lt;&gt;"",原始資料!G62=原始資料!F62),N(D62)+1,1))</f>
        <v/>
      </c>
      <c r="F62" s="6">
        <f>IF(OR(原始資料!$A62="",5&gt;設定!$B$3,原始資料!H62=""),"",IF(AND(原始資料!G62&lt;&gt;"",原始資料!H62=原始資料!G62),N(E62)+1,1))</f>
        <v/>
      </c>
      <c r="G62" s="6">
        <f>IF(OR(原始資料!$A62="",6&gt;設定!$B$3,原始資料!I62=""),"",IF(AND(原始資料!H62&lt;&gt;"",原始資料!I62=原始資料!H62),N(F62)+1,1))</f>
        <v/>
      </c>
      <c r="H62" s="6">
        <f>IF(OR(原始資料!$A62="",7&gt;設定!$B$3,原始資料!J62=""),"",IF(AND(原始資料!I62&lt;&gt;"",原始資料!J62=原始資料!I62),N(G62)+1,1))</f>
        <v/>
      </c>
      <c r="I62" s="6">
        <f>IF(OR(原始資料!$A62="",8&gt;設定!$B$3,原始資料!K62=""),"",IF(AND(原始資料!J62&lt;&gt;"",原始資料!K62=原始資料!J62),N(H62)+1,1))</f>
        <v/>
      </c>
      <c r="J62" s="6">
        <f>IF(OR(原始資料!$A62="",9&gt;設定!$B$3,原始資料!L62=""),"",IF(AND(原始資料!K62&lt;&gt;"",原始資料!L62=原始資料!K62),N(I62)+1,1))</f>
        <v/>
      </c>
      <c r="K62" s="6">
        <f>IF(OR(原始資料!$A62="",10&gt;設定!$B$3,原始資料!M62=""),"",IF(AND(原始資料!L62&lt;&gt;"",原始資料!M62=原始資料!L62),N(J62)+1,1))</f>
        <v/>
      </c>
      <c r="L62" s="6">
        <f>IF(OR(原始資料!$A62="",11&gt;設定!$B$3,原始資料!N62=""),"",IF(AND(原始資料!M62&lt;&gt;"",原始資料!N62=原始資料!M62),N(K62)+1,1))</f>
        <v/>
      </c>
      <c r="M62" s="6">
        <f>IF(OR(原始資料!$A62="",12&gt;設定!$B$3,原始資料!O62=""),"",IF(AND(原始資料!N62&lt;&gt;"",原始資料!O62=原始資料!N62),N(L62)+1,1))</f>
        <v/>
      </c>
      <c r="N62" s="6">
        <f>IF(OR(原始資料!$A62="",13&gt;設定!$B$3,原始資料!P62=""),"",IF(AND(原始資料!O62&lt;&gt;"",原始資料!P62=原始資料!O62),N(M62)+1,1))</f>
        <v/>
      </c>
      <c r="O62" s="6">
        <f>IF(OR(原始資料!$A62="",14&gt;設定!$B$3,原始資料!Q62=""),"",IF(AND(原始資料!P62&lt;&gt;"",原始資料!Q62=原始資料!P62),N(N62)+1,1))</f>
        <v/>
      </c>
      <c r="P62" s="6">
        <f>IF(OR(原始資料!$A62="",15&gt;設定!$B$3,原始資料!R62=""),"",IF(AND(原始資料!Q62&lt;&gt;"",原始資料!R62=原始資料!Q62),N(O62)+1,1))</f>
        <v/>
      </c>
      <c r="Q62" s="6">
        <f>IF(OR(原始資料!$A62="",16&gt;設定!$B$3,原始資料!S62=""),"",IF(AND(原始資料!R62&lt;&gt;"",原始資料!S62=原始資料!R62),N(P62)+1,1))</f>
        <v/>
      </c>
      <c r="R62" s="6">
        <f>IF(OR(原始資料!$A62="",17&gt;設定!$B$3,原始資料!T62=""),"",IF(AND(原始資料!S62&lt;&gt;"",原始資料!T62=原始資料!S62),N(Q62)+1,1))</f>
        <v/>
      </c>
      <c r="S62" s="6">
        <f>IF(OR(原始資料!$A62="",18&gt;設定!$B$3,原始資料!U62=""),"",IF(AND(原始資料!T62&lt;&gt;"",原始資料!U62=原始資料!T62),N(R62)+1,1))</f>
        <v/>
      </c>
      <c r="T62" s="6">
        <f>IF(OR(原始資料!$A62="",19&gt;設定!$B$3,原始資料!V62=""),"",IF(AND(原始資料!U62&lt;&gt;"",原始資料!V62=原始資料!U62),N(S62)+1,1))</f>
        <v/>
      </c>
      <c r="U62" s="6">
        <f>IF(OR(原始資料!$A62="",20&gt;設定!$B$3,原始資料!W62=""),"",IF(AND(原始資料!V62&lt;&gt;"",原始資料!W62=原始資料!V62),N(T62)+1,1))</f>
        <v/>
      </c>
      <c r="V62" s="6">
        <f>IF(OR(原始資料!$A62="",21&gt;設定!$B$3,原始資料!X62=""),"",IF(AND(原始資料!W62&lt;&gt;"",原始資料!X62=原始資料!W62),N(U62)+1,1))</f>
        <v/>
      </c>
      <c r="W62" s="6">
        <f>IF(OR(原始資料!$A62="",22&gt;設定!$B$3,原始資料!Y62=""),"",IF(AND(原始資料!X62&lt;&gt;"",原始資料!Y62=原始資料!X62),N(V62)+1,1))</f>
        <v/>
      </c>
      <c r="X62" s="6">
        <f>IF(OR(原始資料!$A62="",23&gt;設定!$B$3,原始資料!Z62=""),"",IF(AND(原始資料!Y62&lt;&gt;"",原始資料!Z62=原始資料!Y62),N(W62)+1,1))</f>
        <v/>
      </c>
      <c r="Y62" s="6">
        <f>IF(OR(原始資料!$A62="",24&gt;設定!$B$3,原始資料!AA62=""),"",IF(AND(原始資料!Z62&lt;&gt;"",原始資料!AA62=原始資料!Z62),N(X62)+1,1))</f>
        <v/>
      </c>
      <c r="Z62" s="6">
        <f>IF(OR(原始資料!$A62="",25&gt;設定!$B$3,原始資料!AB62=""),"",IF(AND(原始資料!AA62&lt;&gt;"",原始資料!AB62=原始資料!AA62),N(Y62)+1,1))</f>
        <v/>
      </c>
      <c r="AA62" s="6">
        <f>IF(OR(原始資料!$A62="",26&gt;設定!$B$3,原始資料!AC62=""),"",IF(AND(原始資料!AB62&lt;&gt;"",原始資料!AC62=原始資料!AB62),N(Z62)+1,1))</f>
        <v/>
      </c>
      <c r="AB62" s="6">
        <f>IF(OR(原始資料!$A62="",27&gt;設定!$B$3,原始資料!AD62=""),"",IF(AND(原始資料!AC62&lt;&gt;"",原始資料!AD62=原始資料!AC62),N(AA62)+1,1))</f>
        <v/>
      </c>
      <c r="AC62" s="6">
        <f>IF(OR(原始資料!$A62="",28&gt;設定!$B$3,原始資料!AE62=""),"",IF(AND(原始資料!AD62&lt;&gt;"",原始資料!AE62=原始資料!AD62),N(AB62)+1,1))</f>
        <v/>
      </c>
      <c r="AD62" s="6">
        <f>IF(OR(原始資料!$A62="",29&gt;設定!$B$3,原始資料!AF62=""),"",IF(AND(原始資料!AE62&lt;&gt;"",原始資料!AF62=原始資料!AE62),N(AC62)+1,1))</f>
        <v/>
      </c>
      <c r="AE62" s="6">
        <f>IF(OR(原始資料!$A62="",30&gt;設定!$B$3,原始資料!AG62=""),"",IF(AND(原始資料!AF62&lt;&gt;"",原始資料!AG62=原始資料!AF62),N(AD62)+1,1))</f>
        <v/>
      </c>
      <c r="AF62" s="6">
        <f>IF(OR(原始資料!$A62="",31&gt;設定!$B$3,原始資料!AH62=""),"",IF(AND(原始資料!AG62&lt;&gt;"",原始資料!AH62=原始資料!AG62),N(AE62)+1,1))</f>
        <v/>
      </c>
      <c r="AG62" s="6">
        <f>IF(OR(原始資料!$A62="",32&gt;設定!$B$3,原始資料!AI62=""),"",IF(AND(原始資料!AH62&lt;&gt;"",原始資料!AI62=原始資料!AH62),N(AF62)+1,1))</f>
        <v/>
      </c>
      <c r="AH62" s="6">
        <f>IF(OR(原始資料!$A62="",33&gt;設定!$B$3,原始資料!AJ62=""),"",IF(AND(原始資料!AI62&lt;&gt;"",原始資料!AJ62=原始資料!AI62),N(AG62)+1,1))</f>
        <v/>
      </c>
      <c r="AI62" s="6">
        <f>IF(OR(原始資料!$A62="",34&gt;設定!$B$3,原始資料!AK62=""),"",IF(AND(原始資料!AJ62&lt;&gt;"",原始資料!AK62=原始資料!AJ62),N(AH62)+1,1))</f>
        <v/>
      </c>
      <c r="AJ62" s="6">
        <f>IF(OR(原始資料!$A62="",35&gt;設定!$B$3,原始資料!AL62=""),"",IF(AND(原始資料!AK62&lt;&gt;"",原始資料!AL62=原始資料!AK62),N(AI62)+1,1))</f>
        <v/>
      </c>
      <c r="AK62" s="6">
        <f>IF(OR(原始資料!$A62="",36&gt;設定!$B$3,原始資料!AM62=""),"",IF(AND(原始資料!AL62&lt;&gt;"",原始資料!AM62=原始資料!AL62),N(AJ62)+1,1))</f>
        <v/>
      </c>
      <c r="AL62" s="6">
        <f>IF(OR(原始資料!$A62="",37&gt;設定!$B$3,原始資料!AN62=""),"",IF(AND(原始資料!AM62&lt;&gt;"",原始資料!AN62=原始資料!AM62),N(AK62)+1,1))</f>
        <v/>
      </c>
      <c r="AM62" s="6">
        <f>IF(OR(原始資料!$A62="",38&gt;設定!$B$3,原始資料!AO62=""),"",IF(AND(原始資料!AN62&lt;&gt;"",原始資料!AO62=原始資料!AN62),N(AL62)+1,1))</f>
        <v/>
      </c>
      <c r="AN62" s="6">
        <f>IF(OR(原始資料!$A62="",39&gt;設定!$B$3,原始資料!AP62=""),"",IF(AND(原始資料!AO62&lt;&gt;"",原始資料!AP62=原始資料!AO62),N(AM62)+1,1))</f>
        <v/>
      </c>
      <c r="AO62" s="6">
        <f>IF(OR(原始資料!$A62="",40&gt;設定!$B$3,原始資料!AQ62=""),"",IF(AND(原始資料!AP62&lt;&gt;"",原始資料!AQ62=原始資料!AP62),N(AN62)+1,1))</f>
        <v/>
      </c>
      <c r="AP62" s="6">
        <f>IF(OR(原始資料!$A62="",41&gt;設定!$B$3,原始資料!AR62=""),"",IF(AND(原始資料!AQ62&lt;&gt;"",原始資料!AR62=原始資料!AQ62),N(AO62)+1,1))</f>
        <v/>
      </c>
      <c r="AQ62" s="6">
        <f>IF(OR(原始資料!$A62="",42&gt;設定!$B$3,原始資料!AS62=""),"",IF(AND(原始資料!AR62&lt;&gt;"",原始資料!AS62=原始資料!AR62),N(AP62)+1,1))</f>
        <v/>
      </c>
      <c r="AR62" s="6">
        <f>IF(OR(原始資料!$A62="",43&gt;設定!$B$3,原始資料!AT62=""),"",IF(AND(原始資料!AS62&lt;&gt;"",原始資料!AT62=原始資料!AS62),N(AQ62)+1,1))</f>
        <v/>
      </c>
      <c r="AS62" s="6">
        <f>IF(OR(原始資料!$A62="",44&gt;設定!$B$3,原始資料!AU62=""),"",IF(AND(原始資料!AT62&lt;&gt;"",原始資料!AU62=原始資料!AT62),N(AR62)+1,1))</f>
        <v/>
      </c>
      <c r="AT62" s="6">
        <f>IF(OR(原始資料!$A62="",45&gt;設定!$B$3,原始資料!AV62=""),"",IF(AND(原始資料!AU62&lt;&gt;"",原始資料!AV62=原始資料!AU62),N(AS62)+1,1))</f>
        <v/>
      </c>
      <c r="AU62" s="6">
        <f>IF(OR(原始資料!$A62="",46&gt;設定!$B$3,原始資料!AW62=""),"",IF(AND(原始資料!AV62&lt;&gt;"",原始資料!AW62=原始資料!AV62),N(AT62)+1,1))</f>
        <v/>
      </c>
      <c r="AV62" s="6">
        <f>IF(OR(原始資料!$A62="",47&gt;設定!$B$3,原始資料!AX62=""),"",IF(AND(原始資料!AW62&lt;&gt;"",原始資料!AX62=原始資料!AW62),N(AU62)+1,1))</f>
        <v/>
      </c>
      <c r="AW62" s="6">
        <f>IF(OR(原始資料!$A62="",48&gt;設定!$B$3,原始資料!AY62=""),"",IF(AND(原始資料!AX62&lt;&gt;"",原始資料!AY62=原始資料!AX62),N(AV62)+1,1))</f>
        <v/>
      </c>
      <c r="AX62" s="6">
        <f>IF(OR(原始資料!$A62="",49&gt;設定!$B$3,原始資料!AZ62=""),"",IF(AND(原始資料!AY62&lt;&gt;"",原始資料!AZ62=原始資料!AY62),N(AW62)+1,1))</f>
        <v/>
      </c>
      <c r="AY62" s="6">
        <f>IF(OR(原始資料!$A62="",50&gt;設定!$B$3,原始資料!BA62=""),"",IF(AND(原始資料!AZ62&lt;&gt;"",原始資料!BA62=原始資料!AZ62),N(AX62)+1,1))</f>
        <v/>
      </c>
      <c r="AZ62" s="6">
        <f>IF(OR(原始資料!$A62="",51&gt;設定!$B$3,原始資料!BB62=""),"",IF(AND(原始資料!BA62&lt;&gt;"",原始資料!BB62=原始資料!BA62),N(AY62)+1,1))</f>
        <v/>
      </c>
      <c r="BA62" s="6">
        <f>IF(OR(原始資料!$A62="",52&gt;設定!$B$3,原始資料!BC62=""),"",IF(AND(原始資料!BB62&lt;&gt;"",原始資料!BC62=原始資料!BB62),N(AZ62)+1,1))</f>
        <v/>
      </c>
      <c r="BB62" s="6">
        <f>IF(OR(原始資料!$A62="",53&gt;設定!$B$3,原始資料!BD62=""),"",IF(AND(原始資料!BC62&lt;&gt;"",原始資料!BD62=原始資料!BC62),N(BA62)+1,1))</f>
        <v/>
      </c>
      <c r="BC62" s="6">
        <f>IF(OR(原始資料!$A62="",54&gt;設定!$B$3,原始資料!BE62=""),"",IF(AND(原始資料!BD62&lt;&gt;"",原始資料!BE62=原始資料!BD62),N(BB62)+1,1))</f>
        <v/>
      </c>
      <c r="BD62" s="6">
        <f>IF(OR(原始資料!$A62="",55&gt;設定!$B$3,原始資料!BF62=""),"",IF(AND(原始資料!BE62&lt;&gt;"",原始資料!BF62=原始資料!BE62),N(BC62)+1,1))</f>
        <v/>
      </c>
      <c r="BE62" s="6">
        <f>IF(OR(原始資料!$A62="",56&gt;設定!$B$3,原始資料!BG62=""),"",IF(AND(原始資料!BF62&lt;&gt;"",原始資料!BG62=原始資料!BF62),N(BD62)+1,1))</f>
        <v/>
      </c>
      <c r="BF62" s="6">
        <f>IF(OR(原始資料!$A62="",57&gt;設定!$B$3,原始資料!BH62=""),"",IF(AND(原始資料!BG62&lt;&gt;"",原始資料!BH62=原始資料!BG62),N(BE62)+1,1))</f>
        <v/>
      </c>
      <c r="BG62" s="6">
        <f>IF(OR(原始資料!$A62="",58&gt;設定!$B$3,原始資料!BI62=""),"",IF(AND(原始資料!BH62&lt;&gt;"",原始資料!BI62=原始資料!BH62),N(BF62)+1,1))</f>
        <v/>
      </c>
      <c r="BH62" s="6">
        <f>IF(OR(原始資料!$A62="",59&gt;設定!$B$3,原始資料!BJ62=""),"",IF(AND(原始資料!BI62&lt;&gt;"",原始資料!BJ62=原始資料!BI62),N(BG62)+1,1))</f>
        <v/>
      </c>
      <c r="BI62" s="6">
        <f>IF(OR(原始資料!$A62="",60&gt;設定!$B$3,原始資料!BK62=""),"",IF(AND(原始資料!BJ62&lt;&gt;"",原始資料!BK62=原始資料!BJ62),N(BH62)+1,1))</f>
        <v/>
      </c>
    </row>
    <row r="63">
      <c r="A63" s="6">
        <f>IF(原始資料!$A63="","",原始資料!$A63)</f>
        <v/>
      </c>
      <c r="B63" s="6">
        <f>IF(OR(原始資料!$A63="",1&gt;設定!$B$3,原始資料!D63=""),"",1)</f>
        <v/>
      </c>
      <c r="C63" s="6">
        <f>IF(OR(原始資料!$A63="",2&gt;設定!$B$3,原始資料!E63=""),"",IF(AND(原始資料!D63&lt;&gt;"",原始資料!E63=原始資料!D63),N(B63)+1,1))</f>
        <v/>
      </c>
      <c r="D63" s="6">
        <f>IF(OR(原始資料!$A63="",3&gt;設定!$B$3,原始資料!F63=""),"",IF(AND(原始資料!E63&lt;&gt;"",原始資料!F63=原始資料!E63),N(C63)+1,1))</f>
        <v/>
      </c>
      <c r="E63" s="6">
        <f>IF(OR(原始資料!$A63="",4&gt;設定!$B$3,原始資料!G63=""),"",IF(AND(原始資料!F63&lt;&gt;"",原始資料!G63=原始資料!F63),N(D63)+1,1))</f>
        <v/>
      </c>
      <c r="F63" s="6">
        <f>IF(OR(原始資料!$A63="",5&gt;設定!$B$3,原始資料!H63=""),"",IF(AND(原始資料!G63&lt;&gt;"",原始資料!H63=原始資料!G63),N(E63)+1,1))</f>
        <v/>
      </c>
      <c r="G63" s="6">
        <f>IF(OR(原始資料!$A63="",6&gt;設定!$B$3,原始資料!I63=""),"",IF(AND(原始資料!H63&lt;&gt;"",原始資料!I63=原始資料!H63),N(F63)+1,1))</f>
        <v/>
      </c>
      <c r="H63" s="6">
        <f>IF(OR(原始資料!$A63="",7&gt;設定!$B$3,原始資料!J63=""),"",IF(AND(原始資料!I63&lt;&gt;"",原始資料!J63=原始資料!I63),N(G63)+1,1))</f>
        <v/>
      </c>
      <c r="I63" s="6">
        <f>IF(OR(原始資料!$A63="",8&gt;設定!$B$3,原始資料!K63=""),"",IF(AND(原始資料!J63&lt;&gt;"",原始資料!K63=原始資料!J63),N(H63)+1,1))</f>
        <v/>
      </c>
      <c r="J63" s="6">
        <f>IF(OR(原始資料!$A63="",9&gt;設定!$B$3,原始資料!L63=""),"",IF(AND(原始資料!K63&lt;&gt;"",原始資料!L63=原始資料!K63),N(I63)+1,1))</f>
        <v/>
      </c>
      <c r="K63" s="6">
        <f>IF(OR(原始資料!$A63="",10&gt;設定!$B$3,原始資料!M63=""),"",IF(AND(原始資料!L63&lt;&gt;"",原始資料!M63=原始資料!L63),N(J63)+1,1))</f>
        <v/>
      </c>
      <c r="L63" s="6">
        <f>IF(OR(原始資料!$A63="",11&gt;設定!$B$3,原始資料!N63=""),"",IF(AND(原始資料!M63&lt;&gt;"",原始資料!N63=原始資料!M63),N(K63)+1,1))</f>
        <v/>
      </c>
      <c r="M63" s="6">
        <f>IF(OR(原始資料!$A63="",12&gt;設定!$B$3,原始資料!O63=""),"",IF(AND(原始資料!N63&lt;&gt;"",原始資料!O63=原始資料!N63),N(L63)+1,1))</f>
        <v/>
      </c>
      <c r="N63" s="6">
        <f>IF(OR(原始資料!$A63="",13&gt;設定!$B$3,原始資料!P63=""),"",IF(AND(原始資料!O63&lt;&gt;"",原始資料!P63=原始資料!O63),N(M63)+1,1))</f>
        <v/>
      </c>
      <c r="O63" s="6">
        <f>IF(OR(原始資料!$A63="",14&gt;設定!$B$3,原始資料!Q63=""),"",IF(AND(原始資料!P63&lt;&gt;"",原始資料!Q63=原始資料!P63),N(N63)+1,1))</f>
        <v/>
      </c>
      <c r="P63" s="6">
        <f>IF(OR(原始資料!$A63="",15&gt;設定!$B$3,原始資料!R63=""),"",IF(AND(原始資料!Q63&lt;&gt;"",原始資料!R63=原始資料!Q63),N(O63)+1,1))</f>
        <v/>
      </c>
      <c r="Q63" s="6">
        <f>IF(OR(原始資料!$A63="",16&gt;設定!$B$3,原始資料!S63=""),"",IF(AND(原始資料!R63&lt;&gt;"",原始資料!S63=原始資料!R63),N(P63)+1,1))</f>
        <v/>
      </c>
      <c r="R63" s="6">
        <f>IF(OR(原始資料!$A63="",17&gt;設定!$B$3,原始資料!T63=""),"",IF(AND(原始資料!S63&lt;&gt;"",原始資料!T63=原始資料!S63),N(Q63)+1,1))</f>
        <v/>
      </c>
      <c r="S63" s="6">
        <f>IF(OR(原始資料!$A63="",18&gt;設定!$B$3,原始資料!U63=""),"",IF(AND(原始資料!T63&lt;&gt;"",原始資料!U63=原始資料!T63),N(R63)+1,1))</f>
        <v/>
      </c>
      <c r="T63" s="6">
        <f>IF(OR(原始資料!$A63="",19&gt;設定!$B$3,原始資料!V63=""),"",IF(AND(原始資料!U63&lt;&gt;"",原始資料!V63=原始資料!U63),N(S63)+1,1))</f>
        <v/>
      </c>
      <c r="U63" s="6">
        <f>IF(OR(原始資料!$A63="",20&gt;設定!$B$3,原始資料!W63=""),"",IF(AND(原始資料!V63&lt;&gt;"",原始資料!W63=原始資料!V63),N(T63)+1,1))</f>
        <v/>
      </c>
      <c r="V63" s="6">
        <f>IF(OR(原始資料!$A63="",21&gt;設定!$B$3,原始資料!X63=""),"",IF(AND(原始資料!W63&lt;&gt;"",原始資料!X63=原始資料!W63),N(U63)+1,1))</f>
        <v/>
      </c>
      <c r="W63" s="6">
        <f>IF(OR(原始資料!$A63="",22&gt;設定!$B$3,原始資料!Y63=""),"",IF(AND(原始資料!X63&lt;&gt;"",原始資料!Y63=原始資料!X63),N(V63)+1,1))</f>
        <v/>
      </c>
      <c r="X63" s="6">
        <f>IF(OR(原始資料!$A63="",23&gt;設定!$B$3,原始資料!Z63=""),"",IF(AND(原始資料!Y63&lt;&gt;"",原始資料!Z63=原始資料!Y63),N(W63)+1,1))</f>
        <v/>
      </c>
      <c r="Y63" s="6">
        <f>IF(OR(原始資料!$A63="",24&gt;設定!$B$3,原始資料!AA63=""),"",IF(AND(原始資料!Z63&lt;&gt;"",原始資料!AA63=原始資料!Z63),N(X63)+1,1))</f>
        <v/>
      </c>
      <c r="Z63" s="6">
        <f>IF(OR(原始資料!$A63="",25&gt;設定!$B$3,原始資料!AB63=""),"",IF(AND(原始資料!AA63&lt;&gt;"",原始資料!AB63=原始資料!AA63),N(Y63)+1,1))</f>
        <v/>
      </c>
      <c r="AA63" s="6">
        <f>IF(OR(原始資料!$A63="",26&gt;設定!$B$3,原始資料!AC63=""),"",IF(AND(原始資料!AB63&lt;&gt;"",原始資料!AC63=原始資料!AB63),N(Z63)+1,1))</f>
        <v/>
      </c>
      <c r="AB63" s="6">
        <f>IF(OR(原始資料!$A63="",27&gt;設定!$B$3,原始資料!AD63=""),"",IF(AND(原始資料!AC63&lt;&gt;"",原始資料!AD63=原始資料!AC63),N(AA63)+1,1))</f>
        <v/>
      </c>
      <c r="AC63" s="6">
        <f>IF(OR(原始資料!$A63="",28&gt;設定!$B$3,原始資料!AE63=""),"",IF(AND(原始資料!AD63&lt;&gt;"",原始資料!AE63=原始資料!AD63),N(AB63)+1,1))</f>
        <v/>
      </c>
      <c r="AD63" s="6">
        <f>IF(OR(原始資料!$A63="",29&gt;設定!$B$3,原始資料!AF63=""),"",IF(AND(原始資料!AE63&lt;&gt;"",原始資料!AF63=原始資料!AE63),N(AC63)+1,1))</f>
        <v/>
      </c>
      <c r="AE63" s="6">
        <f>IF(OR(原始資料!$A63="",30&gt;設定!$B$3,原始資料!AG63=""),"",IF(AND(原始資料!AF63&lt;&gt;"",原始資料!AG63=原始資料!AF63),N(AD63)+1,1))</f>
        <v/>
      </c>
      <c r="AF63" s="6">
        <f>IF(OR(原始資料!$A63="",31&gt;設定!$B$3,原始資料!AH63=""),"",IF(AND(原始資料!AG63&lt;&gt;"",原始資料!AH63=原始資料!AG63),N(AE63)+1,1))</f>
        <v/>
      </c>
      <c r="AG63" s="6">
        <f>IF(OR(原始資料!$A63="",32&gt;設定!$B$3,原始資料!AI63=""),"",IF(AND(原始資料!AH63&lt;&gt;"",原始資料!AI63=原始資料!AH63),N(AF63)+1,1))</f>
        <v/>
      </c>
      <c r="AH63" s="6">
        <f>IF(OR(原始資料!$A63="",33&gt;設定!$B$3,原始資料!AJ63=""),"",IF(AND(原始資料!AI63&lt;&gt;"",原始資料!AJ63=原始資料!AI63),N(AG63)+1,1))</f>
        <v/>
      </c>
      <c r="AI63" s="6">
        <f>IF(OR(原始資料!$A63="",34&gt;設定!$B$3,原始資料!AK63=""),"",IF(AND(原始資料!AJ63&lt;&gt;"",原始資料!AK63=原始資料!AJ63),N(AH63)+1,1))</f>
        <v/>
      </c>
      <c r="AJ63" s="6">
        <f>IF(OR(原始資料!$A63="",35&gt;設定!$B$3,原始資料!AL63=""),"",IF(AND(原始資料!AK63&lt;&gt;"",原始資料!AL63=原始資料!AK63),N(AI63)+1,1))</f>
        <v/>
      </c>
      <c r="AK63" s="6">
        <f>IF(OR(原始資料!$A63="",36&gt;設定!$B$3,原始資料!AM63=""),"",IF(AND(原始資料!AL63&lt;&gt;"",原始資料!AM63=原始資料!AL63),N(AJ63)+1,1))</f>
        <v/>
      </c>
      <c r="AL63" s="6">
        <f>IF(OR(原始資料!$A63="",37&gt;設定!$B$3,原始資料!AN63=""),"",IF(AND(原始資料!AM63&lt;&gt;"",原始資料!AN63=原始資料!AM63),N(AK63)+1,1))</f>
        <v/>
      </c>
      <c r="AM63" s="6">
        <f>IF(OR(原始資料!$A63="",38&gt;設定!$B$3,原始資料!AO63=""),"",IF(AND(原始資料!AN63&lt;&gt;"",原始資料!AO63=原始資料!AN63),N(AL63)+1,1))</f>
        <v/>
      </c>
      <c r="AN63" s="6">
        <f>IF(OR(原始資料!$A63="",39&gt;設定!$B$3,原始資料!AP63=""),"",IF(AND(原始資料!AO63&lt;&gt;"",原始資料!AP63=原始資料!AO63),N(AM63)+1,1))</f>
        <v/>
      </c>
      <c r="AO63" s="6">
        <f>IF(OR(原始資料!$A63="",40&gt;設定!$B$3,原始資料!AQ63=""),"",IF(AND(原始資料!AP63&lt;&gt;"",原始資料!AQ63=原始資料!AP63),N(AN63)+1,1))</f>
        <v/>
      </c>
      <c r="AP63" s="6">
        <f>IF(OR(原始資料!$A63="",41&gt;設定!$B$3,原始資料!AR63=""),"",IF(AND(原始資料!AQ63&lt;&gt;"",原始資料!AR63=原始資料!AQ63),N(AO63)+1,1))</f>
        <v/>
      </c>
      <c r="AQ63" s="6">
        <f>IF(OR(原始資料!$A63="",42&gt;設定!$B$3,原始資料!AS63=""),"",IF(AND(原始資料!AR63&lt;&gt;"",原始資料!AS63=原始資料!AR63),N(AP63)+1,1))</f>
        <v/>
      </c>
      <c r="AR63" s="6">
        <f>IF(OR(原始資料!$A63="",43&gt;設定!$B$3,原始資料!AT63=""),"",IF(AND(原始資料!AS63&lt;&gt;"",原始資料!AT63=原始資料!AS63),N(AQ63)+1,1))</f>
        <v/>
      </c>
      <c r="AS63" s="6">
        <f>IF(OR(原始資料!$A63="",44&gt;設定!$B$3,原始資料!AU63=""),"",IF(AND(原始資料!AT63&lt;&gt;"",原始資料!AU63=原始資料!AT63),N(AR63)+1,1))</f>
        <v/>
      </c>
      <c r="AT63" s="6">
        <f>IF(OR(原始資料!$A63="",45&gt;設定!$B$3,原始資料!AV63=""),"",IF(AND(原始資料!AU63&lt;&gt;"",原始資料!AV63=原始資料!AU63),N(AS63)+1,1))</f>
        <v/>
      </c>
      <c r="AU63" s="6">
        <f>IF(OR(原始資料!$A63="",46&gt;設定!$B$3,原始資料!AW63=""),"",IF(AND(原始資料!AV63&lt;&gt;"",原始資料!AW63=原始資料!AV63),N(AT63)+1,1))</f>
        <v/>
      </c>
      <c r="AV63" s="6">
        <f>IF(OR(原始資料!$A63="",47&gt;設定!$B$3,原始資料!AX63=""),"",IF(AND(原始資料!AW63&lt;&gt;"",原始資料!AX63=原始資料!AW63),N(AU63)+1,1))</f>
        <v/>
      </c>
      <c r="AW63" s="6">
        <f>IF(OR(原始資料!$A63="",48&gt;設定!$B$3,原始資料!AY63=""),"",IF(AND(原始資料!AX63&lt;&gt;"",原始資料!AY63=原始資料!AX63),N(AV63)+1,1))</f>
        <v/>
      </c>
      <c r="AX63" s="6">
        <f>IF(OR(原始資料!$A63="",49&gt;設定!$B$3,原始資料!AZ63=""),"",IF(AND(原始資料!AY63&lt;&gt;"",原始資料!AZ63=原始資料!AY63),N(AW63)+1,1))</f>
        <v/>
      </c>
      <c r="AY63" s="6">
        <f>IF(OR(原始資料!$A63="",50&gt;設定!$B$3,原始資料!BA63=""),"",IF(AND(原始資料!AZ63&lt;&gt;"",原始資料!BA63=原始資料!AZ63),N(AX63)+1,1))</f>
        <v/>
      </c>
      <c r="AZ63" s="6">
        <f>IF(OR(原始資料!$A63="",51&gt;設定!$B$3,原始資料!BB63=""),"",IF(AND(原始資料!BA63&lt;&gt;"",原始資料!BB63=原始資料!BA63),N(AY63)+1,1))</f>
        <v/>
      </c>
      <c r="BA63" s="6">
        <f>IF(OR(原始資料!$A63="",52&gt;設定!$B$3,原始資料!BC63=""),"",IF(AND(原始資料!BB63&lt;&gt;"",原始資料!BC63=原始資料!BB63),N(AZ63)+1,1))</f>
        <v/>
      </c>
      <c r="BB63" s="6">
        <f>IF(OR(原始資料!$A63="",53&gt;設定!$B$3,原始資料!BD63=""),"",IF(AND(原始資料!BC63&lt;&gt;"",原始資料!BD63=原始資料!BC63),N(BA63)+1,1))</f>
        <v/>
      </c>
      <c r="BC63" s="6">
        <f>IF(OR(原始資料!$A63="",54&gt;設定!$B$3,原始資料!BE63=""),"",IF(AND(原始資料!BD63&lt;&gt;"",原始資料!BE63=原始資料!BD63),N(BB63)+1,1))</f>
        <v/>
      </c>
      <c r="BD63" s="6">
        <f>IF(OR(原始資料!$A63="",55&gt;設定!$B$3,原始資料!BF63=""),"",IF(AND(原始資料!BE63&lt;&gt;"",原始資料!BF63=原始資料!BE63),N(BC63)+1,1))</f>
        <v/>
      </c>
      <c r="BE63" s="6">
        <f>IF(OR(原始資料!$A63="",56&gt;設定!$B$3,原始資料!BG63=""),"",IF(AND(原始資料!BF63&lt;&gt;"",原始資料!BG63=原始資料!BF63),N(BD63)+1,1))</f>
        <v/>
      </c>
      <c r="BF63" s="6">
        <f>IF(OR(原始資料!$A63="",57&gt;設定!$B$3,原始資料!BH63=""),"",IF(AND(原始資料!BG63&lt;&gt;"",原始資料!BH63=原始資料!BG63),N(BE63)+1,1))</f>
        <v/>
      </c>
      <c r="BG63" s="6">
        <f>IF(OR(原始資料!$A63="",58&gt;設定!$B$3,原始資料!BI63=""),"",IF(AND(原始資料!BH63&lt;&gt;"",原始資料!BI63=原始資料!BH63),N(BF63)+1,1))</f>
        <v/>
      </c>
      <c r="BH63" s="6">
        <f>IF(OR(原始資料!$A63="",59&gt;設定!$B$3,原始資料!BJ63=""),"",IF(AND(原始資料!BI63&lt;&gt;"",原始資料!BJ63=原始資料!BI63),N(BG63)+1,1))</f>
        <v/>
      </c>
      <c r="BI63" s="6">
        <f>IF(OR(原始資料!$A63="",60&gt;設定!$B$3,原始資料!BK63=""),"",IF(AND(原始資料!BJ63&lt;&gt;"",原始資料!BK63=原始資料!BJ63),N(BH63)+1,1))</f>
        <v/>
      </c>
    </row>
    <row r="64">
      <c r="A64" s="6">
        <f>IF(原始資料!$A64="","",原始資料!$A64)</f>
        <v/>
      </c>
      <c r="B64" s="6">
        <f>IF(OR(原始資料!$A64="",1&gt;設定!$B$3,原始資料!D64=""),"",1)</f>
        <v/>
      </c>
      <c r="C64" s="6">
        <f>IF(OR(原始資料!$A64="",2&gt;設定!$B$3,原始資料!E64=""),"",IF(AND(原始資料!D64&lt;&gt;"",原始資料!E64=原始資料!D64),N(B64)+1,1))</f>
        <v/>
      </c>
      <c r="D64" s="6">
        <f>IF(OR(原始資料!$A64="",3&gt;設定!$B$3,原始資料!F64=""),"",IF(AND(原始資料!E64&lt;&gt;"",原始資料!F64=原始資料!E64),N(C64)+1,1))</f>
        <v/>
      </c>
      <c r="E64" s="6">
        <f>IF(OR(原始資料!$A64="",4&gt;設定!$B$3,原始資料!G64=""),"",IF(AND(原始資料!F64&lt;&gt;"",原始資料!G64=原始資料!F64),N(D64)+1,1))</f>
        <v/>
      </c>
      <c r="F64" s="6">
        <f>IF(OR(原始資料!$A64="",5&gt;設定!$B$3,原始資料!H64=""),"",IF(AND(原始資料!G64&lt;&gt;"",原始資料!H64=原始資料!G64),N(E64)+1,1))</f>
        <v/>
      </c>
      <c r="G64" s="6">
        <f>IF(OR(原始資料!$A64="",6&gt;設定!$B$3,原始資料!I64=""),"",IF(AND(原始資料!H64&lt;&gt;"",原始資料!I64=原始資料!H64),N(F64)+1,1))</f>
        <v/>
      </c>
      <c r="H64" s="6">
        <f>IF(OR(原始資料!$A64="",7&gt;設定!$B$3,原始資料!J64=""),"",IF(AND(原始資料!I64&lt;&gt;"",原始資料!J64=原始資料!I64),N(G64)+1,1))</f>
        <v/>
      </c>
      <c r="I64" s="6">
        <f>IF(OR(原始資料!$A64="",8&gt;設定!$B$3,原始資料!K64=""),"",IF(AND(原始資料!J64&lt;&gt;"",原始資料!K64=原始資料!J64),N(H64)+1,1))</f>
        <v/>
      </c>
      <c r="J64" s="6">
        <f>IF(OR(原始資料!$A64="",9&gt;設定!$B$3,原始資料!L64=""),"",IF(AND(原始資料!K64&lt;&gt;"",原始資料!L64=原始資料!K64),N(I64)+1,1))</f>
        <v/>
      </c>
      <c r="K64" s="6">
        <f>IF(OR(原始資料!$A64="",10&gt;設定!$B$3,原始資料!M64=""),"",IF(AND(原始資料!L64&lt;&gt;"",原始資料!M64=原始資料!L64),N(J64)+1,1))</f>
        <v/>
      </c>
      <c r="L64" s="6">
        <f>IF(OR(原始資料!$A64="",11&gt;設定!$B$3,原始資料!N64=""),"",IF(AND(原始資料!M64&lt;&gt;"",原始資料!N64=原始資料!M64),N(K64)+1,1))</f>
        <v/>
      </c>
      <c r="M64" s="6">
        <f>IF(OR(原始資料!$A64="",12&gt;設定!$B$3,原始資料!O64=""),"",IF(AND(原始資料!N64&lt;&gt;"",原始資料!O64=原始資料!N64),N(L64)+1,1))</f>
        <v/>
      </c>
      <c r="N64" s="6">
        <f>IF(OR(原始資料!$A64="",13&gt;設定!$B$3,原始資料!P64=""),"",IF(AND(原始資料!O64&lt;&gt;"",原始資料!P64=原始資料!O64),N(M64)+1,1))</f>
        <v/>
      </c>
      <c r="O64" s="6">
        <f>IF(OR(原始資料!$A64="",14&gt;設定!$B$3,原始資料!Q64=""),"",IF(AND(原始資料!P64&lt;&gt;"",原始資料!Q64=原始資料!P64),N(N64)+1,1))</f>
        <v/>
      </c>
      <c r="P64" s="6">
        <f>IF(OR(原始資料!$A64="",15&gt;設定!$B$3,原始資料!R64=""),"",IF(AND(原始資料!Q64&lt;&gt;"",原始資料!R64=原始資料!Q64),N(O64)+1,1))</f>
        <v/>
      </c>
      <c r="Q64" s="6">
        <f>IF(OR(原始資料!$A64="",16&gt;設定!$B$3,原始資料!S64=""),"",IF(AND(原始資料!R64&lt;&gt;"",原始資料!S64=原始資料!R64),N(P64)+1,1))</f>
        <v/>
      </c>
      <c r="R64" s="6">
        <f>IF(OR(原始資料!$A64="",17&gt;設定!$B$3,原始資料!T64=""),"",IF(AND(原始資料!S64&lt;&gt;"",原始資料!T64=原始資料!S64),N(Q64)+1,1))</f>
        <v/>
      </c>
      <c r="S64" s="6">
        <f>IF(OR(原始資料!$A64="",18&gt;設定!$B$3,原始資料!U64=""),"",IF(AND(原始資料!T64&lt;&gt;"",原始資料!U64=原始資料!T64),N(R64)+1,1))</f>
        <v/>
      </c>
      <c r="T64" s="6">
        <f>IF(OR(原始資料!$A64="",19&gt;設定!$B$3,原始資料!V64=""),"",IF(AND(原始資料!U64&lt;&gt;"",原始資料!V64=原始資料!U64),N(S64)+1,1))</f>
        <v/>
      </c>
      <c r="U64" s="6">
        <f>IF(OR(原始資料!$A64="",20&gt;設定!$B$3,原始資料!W64=""),"",IF(AND(原始資料!V64&lt;&gt;"",原始資料!W64=原始資料!V64),N(T64)+1,1))</f>
        <v/>
      </c>
      <c r="V64" s="6">
        <f>IF(OR(原始資料!$A64="",21&gt;設定!$B$3,原始資料!X64=""),"",IF(AND(原始資料!W64&lt;&gt;"",原始資料!X64=原始資料!W64),N(U64)+1,1))</f>
        <v/>
      </c>
      <c r="W64" s="6">
        <f>IF(OR(原始資料!$A64="",22&gt;設定!$B$3,原始資料!Y64=""),"",IF(AND(原始資料!X64&lt;&gt;"",原始資料!Y64=原始資料!X64),N(V64)+1,1))</f>
        <v/>
      </c>
      <c r="X64" s="6">
        <f>IF(OR(原始資料!$A64="",23&gt;設定!$B$3,原始資料!Z64=""),"",IF(AND(原始資料!Y64&lt;&gt;"",原始資料!Z64=原始資料!Y64),N(W64)+1,1))</f>
        <v/>
      </c>
      <c r="Y64" s="6">
        <f>IF(OR(原始資料!$A64="",24&gt;設定!$B$3,原始資料!AA64=""),"",IF(AND(原始資料!Z64&lt;&gt;"",原始資料!AA64=原始資料!Z64),N(X64)+1,1))</f>
        <v/>
      </c>
      <c r="Z64" s="6">
        <f>IF(OR(原始資料!$A64="",25&gt;設定!$B$3,原始資料!AB64=""),"",IF(AND(原始資料!AA64&lt;&gt;"",原始資料!AB64=原始資料!AA64),N(Y64)+1,1))</f>
        <v/>
      </c>
      <c r="AA64" s="6">
        <f>IF(OR(原始資料!$A64="",26&gt;設定!$B$3,原始資料!AC64=""),"",IF(AND(原始資料!AB64&lt;&gt;"",原始資料!AC64=原始資料!AB64),N(Z64)+1,1))</f>
        <v/>
      </c>
      <c r="AB64" s="6">
        <f>IF(OR(原始資料!$A64="",27&gt;設定!$B$3,原始資料!AD64=""),"",IF(AND(原始資料!AC64&lt;&gt;"",原始資料!AD64=原始資料!AC64),N(AA64)+1,1))</f>
        <v/>
      </c>
      <c r="AC64" s="6">
        <f>IF(OR(原始資料!$A64="",28&gt;設定!$B$3,原始資料!AE64=""),"",IF(AND(原始資料!AD64&lt;&gt;"",原始資料!AE64=原始資料!AD64),N(AB64)+1,1))</f>
        <v/>
      </c>
      <c r="AD64" s="6">
        <f>IF(OR(原始資料!$A64="",29&gt;設定!$B$3,原始資料!AF64=""),"",IF(AND(原始資料!AE64&lt;&gt;"",原始資料!AF64=原始資料!AE64),N(AC64)+1,1))</f>
        <v/>
      </c>
      <c r="AE64" s="6">
        <f>IF(OR(原始資料!$A64="",30&gt;設定!$B$3,原始資料!AG64=""),"",IF(AND(原始資料!AF64&lt;&gt;"",原始資料!AG64=原始資料!AF64),N(AD64)+1,1))</f>
        <v/>
      </c>
      <c r="AF64" s="6">
        <f>IF(OR(原始資料!$A64="",31&gt;設定!$B$3,原始資料!AH64=""),"",IF(AND(原始資料!AG64&lt;&gt;"",原始資料!AH64=原始資料!AG64),N(AE64)+1,1))</f>
        <v/>
      </c>
      <c r="AG64" s="6">
        <f>IF(OR(原始資料!$A64="",32&gt;設定!$B$3,原始資料!AI64=""),"",IF(AND(原始資料!AH64&lt;&gt;"",原始資料!AI64=原始資料!AH64),N(AF64)+1,1))</f>
        <v/>
      </c>
      <c r="AH64" s="6">
        <f>IF(OR(原始資料!$A64="",33&gt;設定!$B$3,原始資料!AJ64=""),"",IF(AND(原始資料!AI64&lt;&gt;"",原始資料!AJ64=原始資料!AI64),N(AG64)+1,1))</f>
        <v/>
      </c>
      <c r="AI64" s="6">
        <f>IF(OR(原始資料!$A64="",34&gt;設定!$B$3,原始資料!AK64=""),"",IF(AND(原始資料!AJ64&lt;&gt;"",原始資料!AK64=原始資料!AJ64),N(AH64)+1,1))</f>
        <v/>
      </c>
      <c r="AJ64" s="6">
        <f>IF(OR(原始資料!$A64="",35&gt;設定!$B$3,原始資料!AL64=""),"",IF(AND(原始資料!AK64&lt;&gt;"",原始資料!AL64=原始資料!AK64),N(AI64)+1,1))</f>
        <v/>
      </c>
      <c r="AK64" s="6">
        <f>IF(OR(原始資料!$A64="",36&gt;設定!$B$3,原始資料!AM64=""),"",IF(AND(原始資料!AL64&lt;&gt;"",原始資料!AM64=原始資料!AL64),N(AJ64)+1,1))</f>
        <v/>
      </c>
      <c r="AL64" s="6">
        <f>IF(OR(原始資料!$A64="",37&gt;設定!$B$3,原始資料!AN64=""),"",IF(AND(原始資料!AM64&lt;&gt;"",原始資料!AN64=原始資料!AM64),N(AK64)+1,1))</f>
        <v/>
      </c>
      <c r="AM64" s="6">
        <f>IF(OR(原始資料!$A64="",38&gt;設定!$B$3,原始資料!AO64=""),"",IF(AND(原始資料!AN64&lt;&gt;"",原始資料!AO64=原始資料!AN64),N(AL64)+1,1))</f>
        <v/>
      </c>
      <c r="AN64" s="6">
        <f>IF(OR(原始資料!$A64="",39&gt;設定!$B$3,原始資料!AP64=""),"",IF(AND(原始資料!AO64&lt;&gt;"",原始資料!AP64=原始資料!AO64),N(AM64)+1,1))</f>
        <v/>
      </c>
      <c r="AO64" s="6">
        <f>IF(OR(原始資料!$A64="",40&gt;設定!$B$3,原始資料!AQ64=""),"",IF(AND(原始資料!AP64&lt;&gt;"",原始資料!AQ64=原始資料!AP64),N(AN64)+1,1))</f>
        <v/>
      </c>
      <c r="AP64" s="6">
        <f>IF(OR(原始資料!$A64="",41&gt;設定!$B$3,原始資料!AR64=""),"",IF(AND(原始資料!AQ64&lt;&gt;"",原始資料!AR64=原始資料!AQ64),N(AO64)+1,1))</f>
        <v/>
      </c>
      <c r="AQ64" s="6">
        <f>IF(OR(原始資料!$A64="",42&gt;設定!$B$3,原始資料!AS64=""),"",IF(AND(原始資料!AR64&lt;&gt;"",原始資料!AS64=原始資料!AR64),N(AP64)+1,1))</f>
        <v/>
      </c>
      <c r="AR64" s="6">
        <f>IF(OR(原始資料!$A64="",43&gt;設定!$B$3,原始資料!AT64=""),"",IF(AND(原始資料!AS64&lt;&gt;"",原始資料!AT64=原始資料!AS64),N(AQ64)+1,1))</f>
        <v/>
      </c>
      <c r="AS64" s="6">
        <f>IF(OR(原始資料!$A64="",44&gt;設定!$B$3,原始資料!AU64=""),"",IF(AND(原始資料!AT64&lt;&gt;"",原始資料!AU64=原始資料!AT64),N(AR64)+1,1))</f>
        <v/>
      </c>
      <c r="AT64" s="6">
        <f>IF(OR(原始資料!$A64="",45&gt;設定!$B$3,原始資料!AV64=""),"",IF(AND(原始資料!AU64&lt;&gt;"",原始資料!AV64=原始資料!AU64),N(AS64)+1,1))</f>
        <v/>
      </c>
      <c r="AU64" s="6">
        <f>IF(OR(原始資料!$A64="",46&gt;設定!$B$3,原始資料!AW64=""),"",IF(AND(原始資料!AV64&lt;&gt;"",原始資料!AW64=原始資料!AV64),N(AT64)+1,1))</f>
        <v/>
      </c>
      <c r="AV64" s="6">
        <f>IF(OR(原始資料!$A64="",47&gt;設定!$B$3,原始資料!AX64=""),"",IF(AND(原始資料!AW64&lt;&gt;"",原始資料!AX64=原始資料!AW64),N(AU64)+1,1))</f>
        <v/>
      </c>
      <c r="AW64" s="6">
        <f>IF(OR(原始資料!$A64="",48&gt;設定!$B$3,原始資料!AY64=""),"",IF(AND(原始資料!AX64&lt;&gt;"",原始資料!AY64=原始資料!AX64),N(AV64)+1,1))</f>
        <v/>
      </c>
      <c r="AX64" s="6">
        <f>IF(OR(原始資料!$A64="",49&gt;設定!$B$3,原始資料!AZ64=""),"",IF(AND(原始資料!AY64&lt;&gt;"",原始資料!AZ64=原始資料!AY64),N(AW64)+1,1))</f>
        <v/>
      </c>
      <c r="AY64" s="6">
        <f>IF(OR(原始資料!$A64="",50&gt;設定!$B$3,原始資料!BA64=""),"",IF(AND(原始資料!AZ64&lt;&gt;"",原始資料!BA64=原始資料!AZ64),N(AX64)+1,1))</f>
        <v/>
      </c>
      <c r="AZ64" s="6">
        <f>IF(OR(原始資料!$A64="",51&gt;設定!$B$3,原始資料!BB64=""),"",IF(AND(原始資料!BA64&lt;&gt;"",原始資料!BB64=原始資料!BA64),N(AY64)+1,1))</f>
        <v/>
      </c>
      <c r="BA64" s="6">
        <f>IF(OR(原始資料!$A64="",52&gt;設定!$B$3,原始資料!BC64=""),"",IF(AND(原始資料!BB64&lt;&gt;"",原始資料!BC64=原始資料!BB64),N(AZ64)+1,1))</f>
        <v/>
      </c>
      <c r="BB64" s="6">
        <f>IF(OR(原始資料!$A64="",53&gt;設定!$B$3,原始資料!BD64=""),"",IF(AND(原始資料!BC64&lt;&gt;"",原始資料!BD64=原始資料!BC64),N(BA64)+1,1))</f>
        <v/>
      </c>
      <c r="BC64" s="6">
        <f>IF(OR(原始資料!$A64="",54&gt;設定!$B$3,原始資料!BE64=""),"",IF(AND(原始資料!BD64&lt;&gt;"",原始資料!BE64=原始資料!BD64),N(BB64)+1,1))</f>
        <v/>
      </c>
      <c r="BD64" s="6">
        <f>IF(OR(原始資料!$A64="",55&gt;設定!$B$3,原始資料!BF64=""),"",IF(AND(原始資料!BE64&lt;&gt;"",原始資料!BF64=原始資料!BE64),N(BC64)+1,1))</f>
        <v/>
      </c>
      <c r="BE64" s="6">
        <f>IF(OR(原始資料!$A64="",56&gt;設定!$B$3,原始資料!BG64=""),"",IF(AND(原始資料!BF64&lt;&gt;"",原始資料!BG64=原始資料!BF64),N(BD64)+1,1))</f>
        <v/>
      </c>
      <c r="BF64" s="6">
        <f>IF(OR(原始資料!$A64="",57&gt;設定!$B$3,原始資料!BH64=""),"",IF(AND(原始資料!BG64&lt;&gt;"",原始資料!BH64=原始資料!BG64),N(BE64)+1,1))</f>
        <v/>
      </c>
      <c r="BG64" s="6">
        <f>IF(OR(原始資料!$A64="",58&gt;設定!$B$3,原始資料!BI64=""),"",IF(AND(原始資料!BH64&lt;&gt;"",原始資料!BI64=原始資料!BH64),N(BF64)+1,1))</f>
        <v/>
      </c>
      <c r="BH64" s="6">
        <f>IF(OR(原始資料!$A64="",59&gt;設定!$B$3,原始資料!BJ64=""),"",IF(AND(原始資料!BI64&lt;&gt;"",原始資料!BJ64=原始資料!BI64),N(BG64)+1,1))</f>
        <v/>
      </c>
      <c r="BI64" s="6">
        <f>IF(OR(原始資料!$A64="",60&gt;設定!$B$3,原始資料!BK64=""),"",IF(AND(原始資料!BJ64&lt;&gt;"",原始資料!BK64=原始資料!BJ64),N(BH64)+1,1))</f>
        <v/>
      </c>
    </row>
    <row r="65">
      <c r="A65" s="6">
        <f>IF(原始資料!$A65="","",原始資料!$A65)</f>
        <v/>
      </c>
      <c r="B65" s="6">
        <f>IF(OR(原始資料!$A65="",1&gt;設定!$B$3,原始資料!D65=""),"",1)</f>
        <v/>
      </c>
      <c r="C65" s="6">
        <f>IF(OR(原始資料!$A65="",2&gt;設定!$B$3,原始資料!E65=""),"",IF(AND(原始資料!D65&lt;&gt;"",原始資料!E65=原始資料!D65),N(B65)+1,1))</f>
        <v/>
      </c>
      <c r="D65" s="6">
        <f>IF(OR(原始資料!$A65="",3&gt;設定!$B$3,原始資料!F65=""),"",IF(AND(原始資料!E65&lt;&gt;"",原始資料!F65=原始資料!E65),N(C65)+1,1))</f>
        <v/>
      </c>
      <c r="E65" s="6">
        <f>IF(OR(原始資料!$A65="",4&gt;設定!$B$3,原始資料!G65=""),"",IF(AND(原始資料!F65&lt;&gt;"",原始資料!G65=原始資料!F65),N(D65)+1,1))</f>
        <v/>
      </c>
      <c r="F65" s="6">
        <f>IF(OR(原始資料!$A65="",5&gt;設定!$B$3,原始資料!H65=""),"",IF(AND(原始資料!G65&lt;&gt;"",原始資料!H65=原始資料!G65),N(E65)+1,1))</f>
        <v/>
      </c>
      <c r="G65" s="6">
        <f>IF(OR(原始資料!$A65="",6&gt;設定!$B$3,原始資料!I65=""),"",IF(AND(原始資料!H65&lt;&gt;"",原始資料!I65=原始資料!H65),N(F65)+1,1))</f>
        <v/>
      </c>
      <c r="H65" s="6">
        <f>IF(OR(原始資料!$A65="",7&gt;設定!$B$3,原始資料!J65=""),"",IF(AND(原始資料!I65&lt;&gt;"",原始資料!J65=原始資料!I65),N(G65)+1,1))</f>
        <v/>
      </c>
      <c r="I65" s="6">
        <f>IF(OR(原始資料!$A65="",8&gt;設定!$B$3,原始資料!K65=""),"",IF(AND(原始資料!J65&lt;&gt;"",原始資料!K65=原始資料!J65),N(H65)+1,1))</f>
        <v/>
      </c>
      <c r="J65" s="6">
        <f>IF(OR(原始資料!$A65="",9&gt;設定!$B$3,原始資料!L65=""),"",IF(AND(原始資料!K65&lt;&gt;"",原始資料!L65=原始資料!K65),N(I65)+1,1))</f>
        <v/>
      </c>
      <c r="K65" s="6">
        <f>IF(OR(原始資料!$A65="",10&gt;設定!$B$3,原始資料!M65=""),"",IF(AND(原始資料!L65&lt;&gt;"",原始資料!M65=原始資料!L65),N(J65)+1,1))</f>
        <v/>
      </c>
      <c r="L65" s="6">
        <f>IF(OR(原始資料!$A65="",11&gt;設定!$B$3,原始資料!N65=""),"",IF(AND(原始資料!M65&lt;&gt;"",原始資料!N65=原始資料!M65),N(K65)+1,1))</f>
        <v/>
      </c>
      <c r="M65" s="6">
        <f>IF(OR(原始資料!$A65="",12&gt;設定!$B$3,原始資料!O65=""),"",IF(AND(原始資料!N65&lt;&gt;"",原始資料!O65=原始資料!N65),N(L65)+1,1))</f>
        <v/>
      </c>
      <c r="N65" s="6">
        <f>IF(OR(原始資料!$A65="",13&gt;設定!$B$3,原始資料!P65=""),"",IF(AND(原始資料!O65&lt;&gt;"",原始資料!P65=原始資料!O65),N(M65)+1,1))</f>
        <v/>
      </c>
      <c r="O65" s="6">
        <f>IF(OR(原始資料!$A65="",14&gt;設定!$B$3,原始資料!Q65=""),"",IF(AND(原始資料!P65&lt;&gt;"",原始資料!Q65=原始資料!P65),N(N65)+1,1))</f>
        <v/>
      </c>
      <c r="P65" s="6">
        <f>IF(OR(原始資料!$A65="",15&gt;設定!$B$3,原始資料!R65=""),"",IF(AND(原始資料!Q65&lt;&gt;"",原始資料!R65=原始資料!Q65),N(O65)+1,1))</f>
        <v/>
      </c>
      <c r="Q65" s="6">
        <f>IF(OR(原始資料!$A65="",16&gt;設定!$B$3,原始資料!S65=""),"",IF(AND(原始資料!R65&lt;&gt;"",原始資料!S65=原始資料!R65),N(P65)+1,1))</f>
        <v/>
      </c>
      <c r="R65" s="6">
        <f>IF(OR(原始資料!$A65="",17&gt;設定!$B$3,原始資料!T65=""),"",IF(AND(原始資料!S65&lt;&gt;"",原始資料!T65=原始資料!S65),N(Q65)+1,1))</f>
        <v/>
      </c>
      <c r="S65" s="6">
        <f>IF(OR(原始資料!$A65="",18&gt;設定!$B$3,原始資料!U65=""),"",IF(AND(原始資料!T65&lt;&gt;"",原始資料!U65=原始資料!T65),N(R65)+1,1))</f>
        <v/>
      </c>
      <c r="T65" s="6">
        <f>IF(OR(原始資料!$A65="",19&gt;設定!$B$3,原始資料!V65=""),"",IF(AND(原始資料!U65&lt;&gt;"",原始資料!V65=原始資料!U65),N(S65)+1,1))</f>
        <v/>
      </c>
      <c r="U65" s="6">
        <f>IF(OR(原始資料!$A65="",20&gt;設定!$B$3,原始資料!W65=""),"",IF(AND(原始資料!V65&lt;&gt;"",原始資料!W65=原始資料!V65),N(T65)+1,1))</f>
        <v/>
      </c>
      <c r="V65" s="6">
        <f>IF(OR(原始資料!$A65="",21&gt;設定!$B$3,原始資料!X65=""),"",IF(AND(原始資料!W65&lt;&gt;"",原始資料!X65=原始資料!W65),N(U65)+1,1))</f>
        <v/>
      </c>
      <c r="W65" s="6">
        <f>IF(OR(原始資料!$A65="",22&gt;設定!$B$3,原始資料!Y65=""),"",IF(AND(原始資料!X65&lt;&gt;"",原始資料!Y65=原始資料!X65),N(V65)+1,1))</f>
        <v/>
      </c>
      <c r="X65" s="6">
        <f>IF(OR(原始資料!$A65="",23&gt;設定!$B$3,原始資料!Z65=""),"",IF(AND(原始資料!Y65&lt;&gt;"",原始資料!Z65=原始資料!Y65),N(W65)+1,1))</f>
        <v/>
      </c>
      <c r="Y65" s="6">
        <f>IF(OR(原始資料!$A65="",24&gt;設定!$B$3,原始資料!AA65=""),"",IF(AND(原始資料!Z65&lt;&gt;"",原始資料!AA65=原始資料!Z65),N(X65)+1,1))</f>
        <v/>
      </c>
      <c r="Z65" s="6">
        <f>IF(OR(原始資料!$A65="",25&gt;設定!$B$3,原始資料!AB65=""),"",IF(AND(原始資料!AA65&lt;&gt;"",原始資料!AB65=原始資料!AA65),N(Y65)+1,1))</f>
        <v/>
      </c>
      <c r="AA65" s="6">
        <f>IF(OR(原始資料!$A65="",26&gt;設定!$B$3,原始資料!AC65=""),"",IF(AND(原始資料!AB65&lt;&gt;"",原始資料!AC65=原始資料!AB65),N(Z65)+1,1))</f>
        <v/>
      </c>
      <c r="AB65" s="6">
        <f>IF(OR(原始資料!$A65="",27&gt;設定!$B$3,原始資料!AD65=""),"",IF(AND(原始資料!AC65&lt;&gt;"",原始資料!AD65=原始資料!AC65),N(AA65)+1,1))</f>
        <v/>
      </c>
      <c r="AC65" s="6">
        <f>IF(OR(原始資料!$A65="",28&gt;設定!$B$3,原始資料!AE65=""),"",IF(AND(原始資料!AD65&lt;&gt;"",原始資料!AE65=原始資料!AD65),N(AB65)+1,1))</f>
        <v/>
      </c>
      <c r="AD65" s="6">
        <f>IF(OR(原始資料!$A65="",29&gt;設定!$B$3,原始資料!AF65=""),"",IF(AND(原始資料!AE65&lt;&gt;"",原始資料!AF65=原始資料!AE65),N(AC65)+1,1))</f>
        <v/>
      </c>
      <c r="AE65" s="6">
        <f>IF(OR(原始資料!$A65="",30&gt;設定!$B$3,原始資料!AG65=""),"",IF(AND(原始資料!AF65&lt;&gt;"",原始資料!AG65=原始資料!AF65),N(AD65)+1,1))</f>
        <v/>
      </c>
      <c r="AF65" s="6">
        <f>IF(OR(原始資料!$A65="",31&gt;設定!$B$3,原始資料!AH65=""),"",IF(AND(原始資料!AG65&lt;&gt;"",原始資料!AH65=原始資料!AG65),N(AE65)+1,1))</f>
        <v/>
      </c>
      <c r="AG65" s="6">
        <f>IF(OR(原始資料!$A65="",32&gt;設定!$B$3,原始資料!AI65=""),"",IF(AND(原始資料!AH65&lt;&gt;"",原始資料!AI65=原始資料!AH65),N(AF65)+1,1))</f>
        <v/>
      </c>
      <c r="AH65" s="6">
        <f>IF(OR(原始資料!$A65="",33&gt;設定!$B$3,原始資料!AJ65=""),"",IF(AND(原始資料!AI65&lt;&gt;"",原始資料!AJ65=原始資料!AI65),N(AG65)+1,1))</f>
        <v/>
      </c>
      <c r="AI65" s="6">
        <f>IF(OR(原始資料!$A65="",34&gt;設定!$B$3,原始資料!AK65=""),"",IF(AND(原始資料!AJ65&lt;&gt;"",原始資料!AK65=原始資料!AJ65),N(AH65)+1,1))</f>
        <v/>
      </c>
      <c r="AJ65" s="6">
        <f>IF(OR(原始資料!$A65="",35&gt;設定!$B$3,原始資料!AL65=""),"",IF(AND(原始資料!AK65&lt;&gt;"",原始資料!AL65=原始資料!AK65),N(AI65)+1,1))</f>
        <v/>
      </c>
      <c r="AK65" s="6">
        <f>IF(OR(原始資料!$A65="",36&gt;設定!$B$3,原始資料!AM65=""),"",IF(AND(原始資料!AL65&lt;&gt;"",原始資料!AM65=原始資料!AL65),N(AJ65)+1,1))</f>
        <v/>
      </c>
      <c r="AL65" s="6">
        <f>IF(OR(原始資料!$A65="",37&gt;設定!$B$3,原始資料!AN65=""),"",IF(AND(原始資料!AM65&lt;&gt;"",原始資料!AN65=原始資料!AM65),N(AK65)+1,1))</f>
        <v/>
      </c>
      <c r="AM65" s="6">
        <f>IF(OR(原始資料!$A65="",38&gt;設定!$B$3,原始資料!AO65=""),"",IF(AND(原始資料!AN65&lt;&gt;"",原始資料!AO65=原始資料!AN65),N(AL65)+1,1))</f>
        <v/>
      </c>
      <c r="AN65" s="6">
        <f>IF(OR(原始資料!$A65="",39&gt;設定!$B$3,原始資料!AP65=""),"",IF(AND(原始資料!AO65&lt;&gt;"",原始資料!AP65=原始資料!AO65),N(AM65)+1,1))</f>
        <v/>
      </c>
      <c r="AO65" s="6">
        <f>IF(OR(原始資料!$A65="",40&gt;設定!$B$3,原始資料!AQ65=""),"",IF(AND(原始資料!AP65&lt;&gt;"",原始資料!AQ65=原始資料!AP65),N(AN65)+1,1))</f>
        <v/>
      </c>
      <c r="AP65" s="6">
        <f>IF(OR(原始資料!$A65="",41&gt;設定!$B$3,原始資料!AR65=""),"",IF(AND(原始資料!AQ65&lt;&gt;"",原始資料!AR65=原始資料!AQ65),N(AO65)+1,1))</f>
        <v/>
      </c>
      <c r="AQ65" s="6">
        <f>IF(OR(原始資料!$A65="",42&gt;設定!$B$3,原始資料!AS65=""),"",IF(AND(原始資料!AR65&lt;&gt;"",原始資料!AS65=原始資料!AR65),N(AP65)+1,1))</f>
        <v/>
      </c>
      <c r="AR65" s="6">
        <f>IF(OR(原始資料!$A65="",43&gt;設定!$B$3,原始資料!AT65=""),"",IF(AND(原始資料!AS65&lt;&gt;"",原始資料!AT65=原始資料!AS65),N(AQ65)+1,1))</f>
        <v/>
      </c>
      <c r="AS65" s="6">
        <f>IF(OR(原始資料!$A65="",44&gt;設定!$B$3,原始資料!AU65=""),"",IF(AND(原始資料!AT65&lt;&gt;"",原始資料!AU65=原始資料!AT65),N(AR65)+1,1))</f>
        <v/>
      </c>
      <c r="AT65" s="6">
        <f>IF(OR(原始資料!$A65="",45&gt;設定!$B$3,原始資料!AV65=""),"",IF(AND(原始資料!AU65&lt;&gt;"",原始資料!AV65=原始資料!AU65),N(AS65)+1,1))</f>
        <v/>
      </c>
      <c r="AU65" s="6">
        <f>IF(OR(原始資料!$A65="",46&gt;設定!$B$3,原始資料!AW65=""),"",IF(AND(原始資料!AV65&lt;&gt;"",原始資料!AW65=原始資料!AV65),N(AT65)+1,1))</f>
        <v/>
      </c>
      <c r="AV65" s="6">
        <f>IF(OR(原始資料!$A65="",47&gt;設定!$B$3,原始資料!AX65=""),"",IF(AND(原始資料!AW65&lt;&gt;"",原始資料!AX65=原始資料!AW65),N(AU65)+1,1))</f>
        <v/>
      </c>
      <c r="AW65" s="6">
        <f>IF(OR(原始資料!$A65="",48&gt;設定!$B$3,原始資料!AY65=""),"",IF(AND(原始資料!AX65&lt;&gt;"",原始資料!AY65=原始資料!AX65),N(AV65)+1,1))</f>
        <v/>
      </c>
      <c r="AX65" s="6">
        <f>IF(OR(原始資料!$A65="",49&gt;設定!$B$3,原始資料!AZ65=""),"",IF(AND(原始資料!AY65&lt;&gt;"",原始資料!AZ65=原始資料!AY65),N(AW65)+1,1))</f>
        <v/>
      </c>
      <c r="AY65" s="6">
        <f>IF(OR(原始資料!$A65="",50&gt;設定!$B$3,原始資料!BA65=""),"",IF(AND(原始資料!AZ65&lt;&gt;"",原始資料!BA65=原始資料!AZ65),N(AX65)+1,1))</f>
        <v/>
      </c>
      <c r="AZ65" s="6">
        <f>IF(OR(原始資料!$A65="",51&gt;設定!$B$3,原始資料!BB65=""),"",IF(AND(原始資料!BA65&lt;&gt;"",原始資料!BB65=原始資料!BA65),N(AY65)+1,1))</f>
        <v/>
      </c>
      <c r="BA65" s="6">
        <f>IF(OR(原始資料!$A65="",52&gt;設定!$B$3,原始資料!BC65=""),"",IF(AND(原始資料!BB65&lt;&gt;"",原始資料!BC65=原始資料!BB65),N(AZ65)+1,1))</f>
        <v/>
      </c>
      <c r="BB65" s="6">
        <f>IF(OR(原始資料!$A65="",53&gt;設定!$B$3,原始資料!BD65=""),"",IF(AND(原始資料!BC65&lt;&gt;"",原始資料!BD65=原始資料!BC65),N(BA65)+1,1))</f>
        <v/>
      </c>
      <c r="BC65" s="6">
        <f>IF(OR(原始資料!$A65="",54&gt;設定!$B$3,原始資料!BE65=""),"",IF(AND(原始資料!BD65&lt;&gt;"",原始資料!BE65=原始資料!BD65),N(BB65)+1,1))</f>
        <v/>
      </c>
      <c r="BD65" s="6">
        <f>IF(OR(原始資料!$A65="",55&gt;設定!$B$3,原始資料!BF65=""),"",IF(AND(原始資料!BE65&lt;&gt;"",原始資料!BF65=原始資料!BE65),N(BC65)+1,1))</f>
        <v/>
      </c>
      <c r="BE65" s="6">
        <f>IF(OR(原始資料!$A65="",56&gt;設定!$B$3,原始資料!BG65=""),"",IF(AND(原始資料!BF65&lt;&gt;"",原始資料!BG65=原始資料!BF65),N(BD65)+1,1))</f>
        <v/>
      </c>
      <c r="BF65" s="6">
        <f>IF(OR(原始資料!$A65="",57&gt;設定!$B$3,原始資料!BH65=""),"",IF(AND(原始資料!BG65&lt;&gt;"",原始資料!BH65=原始資料!BG65),N(BE65)+1,1))</f>
        <v/>
      </c>
      <c r="BG65" s="6">
        <f>IF(OR(原始資料!$A65="",58&gt;設定!$B$3,原始資料!BI65=""),"",IF(AND(原始資料!BH65&lt;&gt;"",原始資料!BI65=原始資料!BH65),N(BF65)+1,1))</f>
        <v/>
      </c>
      <c r="BH65" s="6">
        <f>IF(OR(原始資料!$A65="",59&gt;設定!$B$3,原始資料!BJ65=""),"",IF(AND(原始資料!BI65&lt;&gt;"",原始資料!BJ65=原始資料!BI65),N(BG65)+1,1))</f>
        <v/>
      </c>
      <c r="BI65" s="6">
        <f>IF(OR(原始資料!$A65="",60&gt;設定!$B$3,原始資料!BK65=""),"",IF(AND(原始資料!BJ65&lt;&gt;"",原始資料!BK65=原始資料!BJ65),N(BH65)+1,1))</f>
        <v/>
      </c>
    </row>
    <row r="66">
      <c r="A66" s="6">
        <f>IF(原始資料!$A66="","",原始資料!$A66)</f>
        <v/>
      </c>
      <c r="B66" s="6">
        <f>IF(OR(原始資料!$A66="",1&gt;設定!$B$3,原始資料!D66=""),"",1)</f>
        <v/>
      </c>
      <c r="C66" s="6">
        <f>IF(OR(原始資料!$A66="",2&gt;設定!$B$3,原始資料!E66=""),"",IF(AND(原始資料!D66&lt;&gt;"",原始資料!E66=原始資料!D66),N(B66)+1,1))</f>
        <v/>
      </c>
      <c r="D66" s="6">
        <f>IF(OR(原始資料!$A66="",3&gt;設定!$B$3,原始資料!F66=""),"",IF(AND(原始資料!E66&lt;&gt;"",原始資料!F66=原始資料!E66),N(C66)+1,1))</f>
        <v/>
      </c>
      <c r="E66" s="6">
        <f>IF(OR(原始資料!$A66="",4&gt;設定!$B$3,原始資料!G66=""),"",IF(AND(原始資料!F66&lt;&gt;"",原始資料!G66=原始資料!F66),N(D66)+1,1))</f>
        <v/>
      </c>
      <c r="F66" s="6">
        <f>IF(OR(原始資料!$A66="",5&gt;設定!$B$3,原始資料!H66=""),"",IF(AND(原始資料!G66&lt;&gt;"",原始資料!H66=原始資料!G66),N(E66)+1,1))</f>
        <v/>
      </c>
      <c r="G66" s="6">
        <f>IF(OR(原始資料!$A66="",6&gt;設定!$B$3,原始資料!I66=""),"",IF(AND(原始資料!H66&lt;&gt;"",原始資料!I66=原始資料!H66),N(F66)+1,1))</f>
        <v/>
      </c>
      <c r="H66" s="6">
        <f>IF(OR(原始資料!$A66="",7&gt;設定!$B$3,原始資料!J66=""),"",IF(AND(原始資料!I66&lt;&gt;"",原始資料!J66=原始資料!I66),N(G66)+1,1))</f>
        <v/>
      </c>
      <c r="I66" s="6">
        <f>IF(OR(原始資料!$A66="",8&gt;設定!$B$3,原始資料!K66=""),"",IF(AND(原始資料!J66&lt;&gt;"",原始資料!K66=原始資料!J66),N(H66)+1,1))</f>
        <v/>
      </c>
      <c r="J66" s="6">
        <f>IF(OR(原始資料!$A66="",9&gt;設定!$B$3,原始資料!L66=""),"",IF(AND(原始資料!K66&lt;&gt;"",原始資料!L66=原始資料!K66),N(I66)+1,1))</f>
        <v/>
      </c>
      <c r="K66" s="6">
        <f>IF(OR(原始資料!$A66="",10&gt;設定!$B$3,原始資料!M66=""),"",IF(AND(原始資料!L66&lt;&gt;"",原始資料!M66=原始資料!L66),N(J66)+1,1))</f>
        <v/>
      </c>
      <c r="L66" s="6">
        <f>IF(OR(原始資料!$A66="",11&gt;設定!$B$3,原始資料!N66=""),"",IF(AND(原始資料!M66&lt;&gt;"",原始資料!N66=原始資料!M66),N(K66)+1,1))</f>
        <v/>
      </c>
      <c r="M66" s="6">
        <f>IF(OR(原始資料!$A66="",12&gt;設定!$B$3,原始資料!O66=""),"",IF(AND(原始資料!N66&lt;&gt;"",原始資料!O66=原始資料!N66),N(L66)+1,1))</f>
        <v/>
      </c>
      <c r="N66" s="6">
        <f>IF(OR(原始資料!$A66="",13&gt;設定!$B$3,原始資料!P66=""),"",IF(AND(原始資料!O66&lt;&gt;"",原始資料!P66=原始資料!O66),N(M66)+1,1))</f>
        <v/>
      </c>
      <c r="O66" s="6">
        <f>IF(OR(原始資料!$A66="",14&gt;設定!$B$3,原始資料!Q66=""),"",IF(AND(原始資料!P66&lt;&gt;"",原始資料!Q66=原始資料!P66),N(N66)+1,1))</f>
        <v/>
      </c>
      <c r="P66" s="6">
        <f>IF(OR(原始資料!$A66="",15&gt;設定!$B$3,原始資料!R66=""),"",IF(AND(原始資料!Q66&lt;&gt;"",原始資料!R66=原始資料!Q66),N(O66)+1,1))</f>
        <v/>
      </c>
      <c r="Q66" s="6">
        <f>IF(OR(原始資料!$A66="",16&gt;設定!$B$3,原始資料!S66=""),"",IF(AND(原始資料!R66&lt;&gt;"",原始資料!S66=原始資料!R66),N(P66)+1,1))</f>
        <v/>
      </c>
      <c r="R66" s="6">
        <f>IF(OR(原始資料!$A66="",17&gt;設定!$B$3,原始資料!T66=""),"",IF(AND(原始資料!S66&lt;&gt;"",原始資料!T66=原始資料!S66),N(Q66)+1,1))</f>
        <v/>
      </c>
      <c r="S66" s="6">
        <f>IF(OR(原始資料!$A66="",18&gt;設定!$B$3,原始資料!U66=""),"",IF(AND(原始資料!T66&lt;&gt;"",原始資料!U66=原始資料!T66),N(R66)+1,1))</f>
        <v/>
      </c>
      <c r="T66" s="6">
        <f>IF(OR(原始資料!$A66="",19&gt;設定!$B$3,原始資料!V66=""),"",IF(AND(原始資料!U66&lt;&gt;"",原始資料!V66=原始資料!U66),N(S66)+1,1))</f>
        <v/>
      </c>
      <c r="U66" s="6">
        <f>IF(OR(原始資料!$A66="",20&gt;設定!$B$3,原始資料!W66=""),"",IF(AND(原始資料!V66&lt;&gt;"",原始資料!W66=原始資料!V66),N(T66)+1,1))</f>
        <v/>
      </c>
      <c r="V66" s="6">
        <f>IF(OR(原始資料!$A66="",21&gt;設定!$B$3,原始資料!X66=""),"",IF(AND(原始資料!W66&lt;&gt;"",原始資料!X66=原始資料!W66),N(U66)+1,1))</f>
        <v/>
      </c>
      <c r="W66" s="6">
        <f>IF(OR(原始資料!$A66="",22&gt;設定!$B$3,原始資料!Y66=""),"",IF(AND(原始資料!X66&lt;&gt;"",原始資料!Y66=原始資料!X66),N(V66)+1,1))</f>
        <v/>
      </c>
      <c r="X66" s="6">
        <f>IF(OR(原始資料!$A66="",23&gt;設定!$B$3,原始資料!Z66=""),"",IF(AND(原始資料!Y66&lt;&gt;"",原始資料!Z66=原始資料!Y66),N(W66)+1,1))</f>
        <v/>
      </c>
      <c r="Y66" s="6">
        <f>IF(OR(原始資料!$A66="",24&gt;設定!$B$3,原始資料!AA66=""),"",IF(AND(原始資料!Z66&lt;&gt;"",原始資料!AA66=原始資料!Z66),N(X66)+1,1))</f>
        <v/>
      </c>
      <c r="Z66" s="6">
        <f>IF(OR(原始資料!$A66="",25&gt;設定!$B$3,原始資料!AB66=""),"",IF(AND(原始資料!AA66&lt;&gt;"",原始資料!AB66=原始資料!AA66),N(Y66)+1,1))</f>
        <v/>
      </c>
      <c r="AA66" s="6">
        <f>IF(OR(原始資料!$A66="",26&gt;設定!$B$3,原始資料!AC66=""),"",IF(AND(原始資料!AB66&lt;&gt;"",原始資料!AC66=原始資料!AB66),N(Z66)+1,1))</f>
        <v/>
      </c>
      <c r="AB66" s="6">
        <f>IF(OR(原始資料!$A66="",27&gt;設定!$B$3,原始資料!AD66=""),"",IF(AND(原始資料!AC66&lt;&gt;"",原始資料!AD66=原始資料!AC66),N(AA66)+1,1))</f>
        <v/>
      </c>
      <c r="AC66" s="6">
        <f>IF(OR(原始資料!$A66="",28&gt;設定!$B$3,原始資料!AE66=""),"",IF(AND(原始資料!AD66&lt;&gt;"",原始資料!AE66=原始資料!AD66),N(AB66)+1,1))</f>
        <v/>
      </c>
      <c r="AD66" s="6">
        <f>IF(OR(原始資料!$A66="",29&gt;設定!$B$3,原始資料!AF66=""),"",IF(AND(原始資料!AE66&lt;&gt;"",原始資料!AF66=原始資料!AE66),N(AC66)+1,1))</f>
        <v/>
      </c>
      <c r="AE66" s="6">
        <f>IF(OR(原始資料!$A66="",30&gt;設定!$B$3,原始資料!AG66=""),"",IF(AND(原始資料!AF66&lt;&gt;"",原始資料!AG66=原始資料!AF66),N(AD66)+1,1))</f>
        <v/>
      </c>
      <c r="AF66" s="6">
        <f>IF(OR(原始資料!$A66="",31&gt;設定!$B$3,原始資料!AH66=""),"",IF(AND(原始資料!AG66&lt;&gt;"",原始資料!AH66=原始資料!AG66),N(AE66)+1,1))</f>
        <v/>
      </c>
      <c r="AG66" s="6">
        <f>IF(OR(原始資料!$A66="",32&gt;設定!$B$3,原始資料!AI66=""),"",IF(AND(原始資料!AH66&lt;&gt;"",原始資料!AI66=原始資料!AH66),N(AF66)+1,1))</f>
        <v/>
      </c>
      <c r="AH66" s="6">
        <f>IF(OR(原始資料!$A66="",33&gt;設定!$B$3,原始資料!AJ66=""),"",IF(AND(原始資料!AI66&lt;&gt;"",原始資料!AJ66=原始資料!AI66),N(AG66)+1,1))</f>
        <v/>
      </c>
      <c r="AI66" s="6">
        <f>IF(OR(原始資料!$A66="",34&gt;設定!$B$3,原始資料!AK66=""),"",IF(AND(原始資料!AJ66&lt;&gt;"",原始資料!AK66=原始資料!AJ66),N(AH66)+1,1))</f>
        <v/>
      </c>
      <c r="AJ66" s="6">
        <f>IF(OR(原始資料!$A66="",35&gt;設定!$B$3,原始資料!AL66=""),"",IF(AND(原始資料!AK66&lt;&gt;"",原始資料!AL66=原始資料!AK66),N(AI66)+1,1))</f>
        <v/>
      </c>
      <c r="AK66" s="6">
        <f>IF(OR(原始資料!$A66="",36&gt;設定!$B$3,原始資料!AM66=""),"",IF(AND(原始資料!AL66&lt;&gt;"",原始資料!AM66=原始資料!AL66),N(AJ66)+1,1))</f>
        <v/>
      </c>
      <c r="AL66" s="6">
        <f>IF(OR(原始資料!$A66="",37&gt;設定!$B$3,原始資料!AN66=""),"",IF(AND(原始資料!AM66&lt;&gt;"",原始資料!AN66=原始資料!AM66),N(AK66)+1,1))</f>
        <v/>
      </c>
      <c r="AM66" s="6">
        <f>IF(OR(原始資料!$A66="",38&gt;設定!$B$3,原始資料!AO66=""),"",IF(AND(原始資料!AN66&lt;&gt;"",原始資料!AO66=原始資料!AN66),N(AL66)+1,1))</f>
        <v/>
      </c>
      <c r="AN66" s="6">
        <f>IF(OR(原始資料!$A66="",39&gt;設定!$B$3,原始資料!AP66=""),"",IF(AND(原始資料!AO66&lt;&gt;"",原始資料!AP66=原始資料!AO66),N(AM66)+1,1))</f>
        <v/>
      </c>
      <c r="AO66" s="6">
        <f>IF(OR(原始資料!$A66="",40&gt;設定!$B$3,原始資料!AQ66=""),"",IF(AND(原始資料!AP66&lt;&gt;"",原始資料!AQ66=原始資料!AP66),N(AN66)+1,1))</f>
        <v/>
      </c>
      <c r="AP66" s="6">
        <f>IF(OR(原始資料!$A66="",41&gt;設定!$B$3,原始資料!AR66=""),"",IF(AND(原始資料!AQ66&lt;&gt;"",原始資料!AR66=原始資料!AQ66),N(AO66)+1,1))</f>
        <v/>
      </c>
      <c r="AQ66" s="6">
        <f>IF(OR(原始資料!$A66="",42&gt;設定!$B$3,原始資料!AS66=""),"",IF(AND(原始資料!AR66&lt;&gt;"",原始資料!AS66=原始資料!AR66),N(AP66)+1,1))</f>
        <v/>
      </c>
      <c r="AR66" s="6">
        <f>IF(OR(原始資料!$A66="",43&gt;設定!$B$3,原始資料!AT66=""),"",IF(AND(原始資料!AS66&lt;&gt;"",原始資料!AT66=原始資料!AS66),N(AQ66)+1,1))</f>
        <v/>
      </c>
      <c r="AS66" s="6">
        <f>IF(OR(原始資料!$A66="",44&gt;設定!$B$3,原始資料!AU66=""),"",IF(AND(原始資料!AT66&lt;&gt;"",原始資料!AU66=原始資料!AT66),N(AR66)+1,1))</f>
        <v/>
      </c>
      <c r="AT66" s="6">
        <f>IF(OR(原始資料!$A66="",45&gt;設定!$B$3,原始資料!AV66=""),"",IF(AND(原始資料!AU66&lt;&gt;"",原始資料!AV66=原始資料!AU66),N(AS66)+1,1))</f>
        <v/>
      </c>
      <c r="AU66" s="6">
        <f>IF(OR(原始資料!$A66="",46&gt;設定!$B$3,原始資料!AW66=""),"",IF(AND(原始資料!AV66&lt;&gt;"",原始資料!AW66=原始資料!AV66),N(AT66)+1,1))</f>
        <v/>
      </c>
      <c r="AV66" s="6">
        <f>IF(OR(原始資料!$A66="",47&gt;設定!$B$3,原始資料!AX66=""),"",IF(AND(原始資料!AW66&lt;&gt;"",原始資料!AX66=原始資料!AW66),N(AU66)+1,1))</f>
        <v/>
      </c>
      <c r="AW66" s="6">
        <f>IF(OR(原始資料!$A66="",48&gt;設定!$B$3,原始資料!AY66=""),"",IF(AND(原始資料!AX66&lt;&gt;"",原始資料!AY66=原始資料!AX66),N(AV66)+1,1))</f>
        <v/>
      </c>
      <c r="AX66" s="6">
        <f>IF(OR(原始資料!$A66="",49&gt;設定!$B$3,原始資料!AZ66=""),"",IF(AND(原始資料!AY66&lt;&gt;"",原始資料!AZ66=原始資料!AY66),N(AW66)+1,1))</f>
        <v/>
      </c>
      <c r="AY66" s="6">
        <f>IF(OR(原始資料!$A66="",50&gt;設定!$B$3,原始資料!BA66=""),"",IF(AND(原始資料!AZ66&lt;&gt;"",原始資料!BA66=原始資料!AZ66),N(AX66)+1,1))</f>
        <v/>
      </c>
      <c r="AZ66" s="6">
        <f>IF(OR(原始資料!$A66="",51&gt;設定!$B$3,原始資料!BB66=""),"",IF(AND(原始資料!BA66&lt;&gt;"",原始資料!BB66=原始資料!BA66),N(AY66)+1,1))</f>
        <v/>
      </c>
      <c r="BA66" s="6">
        <f>IF(OR(原始資料!$A66="",52&gt;設定!$B$3,原始資料!BC66=""),"",IF(AND(原始資料!BB66&lt;&gt;"",原始資料!BC66=原始資料!BB66),N(AZ66)+1,1))</f>
        <v/>
      </c>
      <c r="BB66" s="6">
        <f>IF(OR(原始資料!$A66="",53&gt;設定!$B$3,原始資料!BD66=""),"",IF(AND(原始資料!BC66&lt;&gt;"",原始資料!BD66=原始資料!BC66),N(BA66)+1,1))</f>
        <v/>
      </c>
      <c r="BC66" s="6">
        <f>IF(OR(原始資料!$A66="",54&gt;設定!$B$3,原始資料!BE66=""),"",IF(AND(原始資料!BD66&lt;&gt;"",原始資料!BE66=原始資料!BD66),N(BB66)+1,1))</f>
        <v/>
      </c>
      <c r="BD66" s="6">
        <f>IF(OR(原始資料!$A66="",55&gt;設定!$B$3,原始資料!BF66=""),"",IF(AND(原始資料!BE66&lt;&gt;"",原始資料!BF66=原始資料!BE66),N(BC66)+1,1))</f>
        <v/>
      </c>
      <c r="BE66" s="6">
        <f>IF(OR(原始資料!$A66="",56&gt;設定!$B$3,原始資料!BG66=""),"",IF(AND(原始資料!BF66&lt;&gt;"",原始資料!BG66=原始資料!BF66),N(BD66)+1,1))</f>
        <v/>
      </c>
      <c r="BF66" s="6">
        <f>IF(OR(原始資料!$A66="",57&gt;設定!$B$3,原始資料!BH66=""),"",IF(AND(原始資料!BG66&lt;&gt;"",原始資料!BH66=原始資料!BG66),N(BE66)+1,1))</f>
        <v/>
      </c>
      <c r="BG66" s="6">
        <f>IF(OR(原始資料!$A66="",58&gt;設定!$B$3,原始資料!BI66=""),"",IF(AND(原始資料!BH66&lt;&gt;"",原始資料!BI66=原始資料!BH66),N(BF66)+1,1))</f>
        <v/>
      </c>
      <c r="BH66" s="6">
        <f>IF(OR(原始資料!$A66="",59&gt;設定!$B$3,原始資料!BJ66=""),"",IF(AND(原始資料!BI66&lt;&gt;"",原始資料!BJ66=原始資料!BI66),N(BG66)+1,1))</f>
        <v/>
      </c>
      <c r="BI66" s="6">
        <f>IF(OR(原始資料!$A66="",60&gt;設定!$B$3,原始資料!BK66=""),"",IF(AND(原始資料!BJ66&lt;&gt;"",原始資料!BK66=原始資料!BJ66),N(BH66)+1,1))</f>
        <v/>
      </c>
    </row>
    <row r="67">
      <c r="A67" s="6">
        <f>IF(原始資料!$A67="","",原始資料!$A67)</f>
        <v/>
      </c>
      <c r="B67" s="6">
        <f>IF(OR(原始資料!$A67="",1&gt;設定!$B$3,原始資料!D67=""),"",1)</f>
        <v/>
      </c>
      <c r="C67" s="6">
        <f>IF(OR(原始資料!$A67="",2&gt;設定!$B$3,原始資料!E67=""),"",IF(AND(原始資料!D67&lt;&gt;"",原始資料!E67=原始資料!D67),N(B67)+1,1))</f>
        <v/>
      </c>
      <c r="D67" s="6">
        <f>IF(OR(原始資料!$A67="",3&gt;設定!$B$3,原始資料!F67=""),"",IF(AND(原始資料!E67&lt;&gt;"",原始資料!F67=原始資料!E67),N(C67)+1,1))</f>
        <v/>
      </c>
      <c r="E67" s="6">
        <f>IF(OR(原始資料!$A67="",4&gt;設定!$B$3,原始資料!G67=""),"",IF(AND(原始資料!F67&lt;&gt;"",原始資料!G67=原始資料!F67),N(D67)+1,1))</f>
        <v/>
      </c>
      <c r="F67" s="6">
        <f>IF(OR(原始資料!$A67="",5&gt;設定!$B$3,原始資料!H67=""),"",IF(AND(原始資料!G67&lt;&gt;"",原始資料!H67=原始資料!G67),N(E67)+1,1))</f>
        <v/>
      </c>
      <c r="G67" s="6">
        <f>IF(OR(原始資料!$A67="",6&gt;設定!$B$3,原始資料!I67=""),"",IF(AND(原始資料!H67&lt;&gt;"",原始資料!I67=原始資料!H67),N(F67)+1,1))</f>
        <v/>
      </c>
      <c r="H67" s="6">
        <f>IF(OR(原始資料!$A67="",7&gt;設定!$B$3,原始資料!J67=""),"",IF(AND(原始資料!I67&lt;&gt;"",原始資料!J67=原始資料!I67),N(G67)+1,1))</f>
        <v/>
      </c>
      <c r="I67" s="6">
        <f>IF(OR(原始資料!$A67="",8&gt;設定!$B$3,原始資料!K67=""),"",IF(AND(原始資料!J67&lt;&gt;"",原始資料!K67=原始資料!J67),N(H67)+1,1))</f>
        <v/>
      </c>
      <c r="J67" s="6">
        <f>IF(OR(原始資料!$A67="",9&gt;設定!$B$3,原始資料!L67=""),"",IF(AND(原始資料!K67&lt;&gt;"",原始資料!L67=原始資料!K67),N(I67)+1,1))</f>
        <v/>
      </c>
      <c r="K67" s="6">
        <f>IF(OR(原始資料!$A67="",10&gt;設定!$B$3,原始資料!M67=""),"",IF(AND(原始資料!L67&lt;&gt;"",原始資料!M67=原始資料!L67),N(J67)+1,1))</f>
        <v/>
      </c>
      <c r="L67" s="6">
        <f>IF(OR(原始資料!$A67="",11&gt;設定!$B$3,原始資料!N67=""),"",IF(AND(原始資料!M67&lt;&gt;"",原始資料!N67=原始資料!M67),N(K67)+1,1))</f>
        <v/>
      </c>
      <c r="M67" s="6">
        <f>IF(OR(原始資料!$A67="",12&gt;設定!$B$3,原始資料!O67=""),"",IF(AND(原始資料!N67&lt;&gt;"",原始資料!O67=原始資料!N67),N(L67)+1,1))</f>
        <v/>
      </c>
      <c r="N67" s="6">
        <f>IF(OR(原始資料!$A67="",13&gt;設定!$B$3,原始資料!P67=""),"",IF(AND(原始資料!O67&lt;&gt;"",原始資料!P67=原始資料!O67),N(M67)+1,1))</f>
        <v/>
      </c>
      <c r="O67" s="6">
        <f>IF(OR(原始資料!$A67="",14&gt;設定!$B$3,原始資料!Q67=""),"",IF(AND(原始資料!P67&lt;&gt;"",原始資料!Q67=原始資料!P67),N(N67)+1,1))</f>
        <v/>
      </c>
      <c r="P67" s="6">
        <f>IF(OR(原始資料!$A67="",15&gt;設定!$B$3,原始資料!R67=""),"",IF(AND(原始資料!Q67&lt;&gt;"",原始資料!R67=原始資料!Q67),N(O67)+1,1))</f>
        <v/>
      </c>
      <c r="Q67" s="6">
        <f>IF(OR(原始資料!$A67="",16&gt;設定!$B$3,原始資料!S67=""),"",IF(AND(原始資料!R67&lt;&gt;"",原始資料!S67=原始資料!R67),N(P67)+1,1))</f>
        <v/>
      </c>
      <c r="R67" s="6">
        <f>IF(OR(原始資料!$A67="",17&gt;設定!$B$3,原始資料!T67=""),"",IF(AND(原始資料!S67&lt;&gt;"",原始資料!T67=原始資料!S67),N(Q67)+1,1))</f>
        <v/>
      </c>
      <c r="S67" s="6">
        <f>IF(OR(原始資料!$A67="",18&gt;設定!$B$3,原始資料!U67=""),"",IF(AND(原始資料!T67&lt;&gt;"",原始資料!U67=原始資料!T67),N(R67)+1,1))</f>
        <v/>
      </c>
      <c r="T67" s="6">
        <f>IF(OR(原始資料!$A67="",19&gt;設定!$B$3,原始資料!V67=""),"",IF(AND(原始資料!U67&lt;&gt;"",原始資料!V67=原始資料!U67),N(S67)+1,1))</f>
        <v/>
      </c>
      <c r="U67" s="6">
        <f>IF(OR(原始資料!$A67="",20&gt;設定!$B$3,原始資料!W67=""),"",IF(AND(原始資料!V67&lt;&gt;"",原始資料!W67=原始資料!V67),N(T67)+1,1))</f>
        <v/>
      </c>
      <c r="V67" s="6">
        <f>IF(OR(原始資料!$A67="",21&gt;設定!$B$3,原始資料!X67=""),"",IF(AND(原始資料!W67&lt;&gt;"",原始資料!X67=原始資料!W67),N(U67)+1,1))</f>
        <v/>
      </c>
      <c r="W67" s="6">
        <f>IF(OR(原始資料!$A67="",22&gt;設定!$B$3,原始資料!Y67=""),"",IF(AND(原始資料!X67&lt;&gt;"",原始資料!Y67=原始資料!X67),N(V67)+1,1))</f>
        <v/>
      </c>
      <c r="X67" s="6">
        <f>IF(OR(原始資料!$A67="",23&gt;設定!$B$3,原始資料!Z67=""),"",IF(AND(原始資料!Y67&lt;&gt;"",原始資料!Z67=原始資料!Y67),N(W67)+1,1))</f>
        <v/>
      </c>
      <c r="Y67" s="6">
        <f>IF(OR(原始資料!$A67="",24&gt;設定!$B$3,原始資料!AA67=""),"",IF(AND(原始資料!Z67&lt;&gt;"",原始資料!AA67=原始資料!Z67),N(X67)+1,1))</f>
        <v/>
      </c>
      <c r="Z67" s="6">
        <f>IF(OR(原始資料!$A67="",25&gt;設定!$B$3,原始資料!AB67=""),"",IF(AND(原始資料!AA67&lt;&gt;"",原始資料!AB67=原始資料!AA67),N(Y67)+1,1))</f>
        <v/>
      </c>
      <c r="AA67" s="6">
        <f>IF(OR(原始資料!$A67="",26&gt;設定!$B$3,原始資料!AC67=""),"",IF(AND(原始資料!AB67&lt;&gt;"",原始資料!AC67=原始資料!AB67),N(Z67)+1,1))</f>
        <v/>
      </c>
      <c r="AB67" s="6">
        <f>IF(OR(原始資料!$A67="",27&gt;設定!$B$3,原始資料!AD67=""),"",IF(AND(原始資料!AC67&lt;&gt;"",原始資料!AD67=原始資料!AC67),N(AA67)+1,1))</f>
        <v/>
      </c>
      <c r="AC67" s="6">
        <f>IF(OR(原始資料!$A67="",28&gt;設定!$B$3,原始資料!AE67=""),"",IF(AND(原始資料!AD67&lt;&gt;"",原始資料!AE67=原始資料!AD67),N(AB67)+1,1))</f>
        <v/>
      </c>
      <c r="AD67" s="6">
        <f>IF(OR(原始資料!$A67="",29&gt;設定!$B$3,原始資料!AF67=""),"",IF(AND(原始資料!AE67&lt;&gt;"",原始資料!AF67=原始資料!AE67),N(AC67)+1,1))</f>
        <v/>
      </c>
      <c r="AE67" s="6">
        <f>IF(OR(原始資料!$A67="",30&gt;設定!$B$3,原始資料!AG67=""),"",IF(AND(原始資料!AF67&lt;&gt;"",原始資料!AG67=原始資料!AF67),N(AD67)+1,1))</f>
        <v/>
      </c>
      <c r="AF67" s="6">
        <f>IF(OR(原始資料!$A67="",31&gt;設定!$B$3,原始資料!AH67=""),"",IF(AND(原始資料!AG67&lt;&gt;"",原始資料!AH67=原始資料!AG67),N(AE67)+1,1))</f>
        <v/>
      </c>
      <c r="AG67" s="6">
        <f>IF(OR(原始資料!$A67="",32&gt;設定!$B$3,原始資料!AI67=""),"",IF(AND(原始資料!AH67&lt;&gt;"",原始資料!AI67=原始資料!AH67),N(AF67)+1,1))</f>
        <v/>
      </c>
      <c r="AH67" s="6">
        <f>IF(OR(原始資料!$A67="",33&gt;設定!$B$3,原始資料!AJ67=""),"",IF(AND(原始資料!AI67&lt;&gt;"",原始資料!AJ67=原始資料!AI67),N(AG67)+1,1))</f>
        <v/>
      </c>
      <c r="AI67" s="6">
        <f>IF(OR(原始資料!$A67="",34&gt;設定!$B$3,原始資料!AK67=""),"",IF(AND(原始資料!AJ67&lt;&gt;"",原始資料!AK67=原始資料!AJ67),N(AH67)+1,1))</f>
        <v/>
      </c>
      <c r="AJ67" s="6">
        <f>IF(OR(原始資料!$A67="",35&gt;設定!$B$3,原始資料!AL67=""),"",IF(AND(原始資料!AK67&lt;&gt;"",原始資料!AL67=原始資料!AK67),N(AI67)+1,1))</f>
        <v/>
      </c>
      <c r="AK67" s="6">
        <f>IF(OR(原始資料!$A67="",36&gt;設定!$B$3,原始資料!AM67=""),"",IF(AND(原始資料!AL67&lt;&gt;"",原始資料!AM67=原始資料!AL67),N(AJ67)+1,1))</f>
        <v/>
      </c>
      <c r="AL67" s="6">
        <f>IF(OR(原始資料!$A67="",37&gt;設定!$B$3,原始資料!AN67=""),"",IF(AND(原始資料!AM67&lt;&gt;"",原始資料!AN67=原始資料!AM67),N(AK67)+1,1))</f>
        <v/>
      </c>
      <c r="AM67" s="6">
        <f>IF(OR(原始資料!$A67="",38&gt;設定!$B$3,原始資料!AO67=""),"",IF(AND(原始資料!AN67&lt;&gt;"",原始資料!AO67=原始資料!AN67),N(AL67)+1,1))</f>
        <v/>
      </c>
      <c r="AN67" s="6">
        <f>IF(OR(原始資料!$A67="",39&gt;設定!$B$3,原始資料!AP67=""),"",IF(AND(原始資料!AO67&lt;&gt;"",原始資料!AP67=原始資料!AO67),N(AM67)+1,1))</f>
        <v/>
      </c>
      <c r="AO67" s="6">
        <f>IF(OR(原始資料!$A67="",40&gt;設定!$B$3,原始資料!AQ67=""),"",IF(AND(原始資料!AP67&lt;&gt;"",原始資料!AQ67=原始資料!AP67),N(AN67)+1,1))</f>
        <v/>
      </c>
      <c r="AP67" s="6">
        <f>IF(OR(原始資料!$A67="",41&gt;設定!$B$3,原始資料!AR67=""),"",IF(AND(原始資料!AQ67&lt;&gt;"",原始資料!AR67=原始資料!AQ67),N(AO67)+1,1))</f>
        <v/>
      </c>
      <c r="AQ67" s="6">
        <f>IF(OR(原始資料!$A67="",42&gt;設定!$B$3,原始資料!AS67=""),"",IF(AND(原始資料!AR67&lt;&gt;"",原始資料!AS67=原始資料!AR67),N(AP67)+1,1))</f>
        <v/>
      </c>
      <c r="AR67" s="6">
        <f>IF(OR(原始資料!$A67="",43&gt;設定!$B$3,原始資料!AT67=""),"",IF(AND(原始資料!AS67&lt;&gt;"",原始資料!AT67=原始資料!AS67),N(AQ67)+1,1))</f>
        <v/>
      </c>
      <c r="AS67" s="6">
        <f>IF(OR(原始資料!$A67="",44&gt;設定!$B$3,原始資料!AU67=""),"",IF(AND(原始資料!AT67&lt;&gt;"",原始資料!AU67=原始資料!AT67),N(AR67)+1,1))</f>
        <v/>
      </c>
      <c r="AT67" s="6">
        <f>IF(OR(原始資料!$A67="",45&gt;設定!$B$3,原始資料!AV67=""),"",IF(AND(原始資料!AU67&lt;&gt;"",原始資料!AV67=原始資料!AU67),N(AS67)+1,1))</f>
        <v/>
      </c>
      <c r="AU67" s="6">
        <f>IF(OR(原始資料!$A67="",46&gt;設定!$B$3,原始資料!AW67=""),"",IF(AND(原始資料!AV67&lt;&gt;"",原始資料!AW67=原始資料!AV67),N(AT67)+1,1))</f>
        <v/>
      </c>
      <c r="AV67" s="6">
        <f>IF(OR(原始資料!$A67="",47&gt;設定!$B$3,原始資料!AX67=""),"",IF(AND(原始資料!AW67&lt;&gt;"",原始資料!AX67=原始資料!AW67),N(AU67)+1,1))</f>
        <v/>
      </c>
      <c r="AW67" s="6">
        <f>IF(OR(原始資料!$A67="",48&gt;設定!$B$3,原始資料!AY67=""),"",IF(AND(原始資料!AX67&lt;&gt;"",原始資料!AY67=原始資料!AX67),N(AV67)+1,1))</f>
        <v/>
      </c>
      <c r="AX67" s="6">
        <f>IF(OR(原始資料!$A67="",49&gt;設定!$B$3,原始資料!AZ67=""),"",IF(AND(原始資料!AY67&lt;&gt;"",原始資料!AZ67=原始資料!AY67),N(AW67)+1,1))</f>
        <v/>
      </c>
      <c r="AY67" s="6">
        <f>IF(OR(原始資料!$A67="",50&gt;設定!$B$3,原始資料!BA67=""),"",IF(AND(原始資料!AZ67&lt;&gt;"",原始資料!BA67=原始資料!AZ67),N(AX67)+1,1))</f>
        <v/>
      </c>
      <c r="AZ67" s="6">
        <f>IF(OR(原始資料!$A67="",51&gt;設定!$B$3,原始資料!BB67=""),"",IF(AND(原始資料!BA67&lt;&gt;"",原始資料!BB67=原始資料!BA67),N(AY67)+1,1))</f>
        <v/>
      </c>
      <c r="BA67" s="6">
        <f>IF(OR(原始資料!$A67="",52&gt;設定!$B$3,原始資料!BC67=""),"",IF(AND(原始資料!BB67&lt;&gt;"",原始資料!BC67=原始資料!BB67),N(AZ67)+1,1))</f>
        <v/>
      </c>
      <c r="BB67" s="6">
        <f>IF(OR(原始資料!$A67="",53&gt;設定!$B$3,原始資料!BD67=""),"",IF(AND(原始資料!BC67&lt;&gt;"",原始資料!BD67=原始資料!BC67),N(BA67)+1,1))</f>
        <v/>
      </c>
      <c r="BC67" s="6">
        <f>IF(OR(原始資料!$A67="",54&gt;設定!$B$3,原始資料!BE67=""),"",IF(AND(原始資料!BD67&lt;&gt;"",原始資料!BE67=原始資料!BD67),N(BB67)+1,1))</f>
        <v/>
      </c>
      <c r="BD67" s="6">
        <f>IF(OR(原始資料!$A67="",55&gt;設定!$B$3,原始資料!BF67=""),"",IF(AND(原始資料!BE67&lt;&gt;"",原始資料!BF67=原始資料!BE67),N(BC67)+1,1))</f>
        <v/>
      </c>
      <c r="BE67" s="6">
        <f>IF(OR(原始資料!$A67="",56&gt;設定!$B$3,原始資料!BG67=""),"",IF(AND(原始資料!BF67&lt;&gt;"",原始資料!BG67=原始資料!BF67),N(BD67)+1,1))</f>
        <v/>
      </c>
      <c r="BF67" s="6">
        <f>IF(OR(原始資料!$A67="",57&gt;設定!$B$3,原始資料!BH67=""),"",IF(AND(原始資料!BG67&lt;&gt;"",原始資料!BH67=原始資料!BG67),N(BE67)+1,1))</f>
        <v/>
      </c>
      <c r="BG67" s="6">
        <f>IF(OR(原始資料!$A67="",58&gt;設定!$B$3,原始資料!BI67=""),"",IF(AND(原始資料!BH67&lt;&gt;"",原始資料!BI67=原始資料!BH67),N(BF67)+1,1))</f>
        <v/>
      </c>
      <c r="BH67" s="6">
        <f>IF(OR(原始資料!$A67="",59&gt;設定!$B$3,原始資料!BJ67=""),"",IF(AND(原始資料!BI67&lt;&gt;"",原始資料!BJ67=原始資料!BI67),N(BG67)+1,1))</f>
        <v/>
      </c>
      <c r="BI67" s="6">
        <f>IF(OR(原始資料!$A67="",60&gt;設定!$B$3,原始資料!BK67=""),"",IF(AND(原始資料!BJ67&lt;&gt;"",原始資料!BK67=原始資料!BJ67),N(BH67)+1,1))</f>
        <v/>
      </c>
    </row>
    <row r="68">
      <c r="A68" s="6">
        <f>IF(原始資料!$A68="","",原始資料!$A68)</f>
        <v/>
      </c>
      <c r="B68" s="6">
        <f>IF(OR(原始資料!$A68="",1&gt;設定!$B$3,原始資料!D68=""),"",1)</f>
        <v/>
      </c>
      <c r="C68" s="6">
        <f>IF(OR(原始資料!$A68="",2&gt;設定!$B$3,原始資料!E68=""),"",IF(AND(原始資料!D68&lt;&gt;"",原始資料!E68=原始資料!D68),N(B68)+1,1))</f>
        <v/>
      </c>
      <c r="D68" s="6">
        <f>IF(OR(原始資料!$A68="",3&gt;設定!$B$3,原始資料!F68=""),"",IF(AND(原始資料!E68&lt;&gt;"",原始資料!F68=原始資料!E68),N(C68)+1,1))</f>
        <v/>
      </c>
      <c r="E68" s="6">
        <f>IF(OR(原始資料!$A68="",4&gt;設定!$B$3,原始資料!G68=""),"",IF(AND(原始資料!F68&lt;&gt;"",原始資料!G68=原始資料!F68),N(D68)+1,1))</f>
        <v/>
      </c>
      <c r="F68" s="6">
        <f>IF(OR(原始資料!$A68="",5&gt;設定!$B$3,原始資料!H68=""),"",IF(AND(原始資料!G68&lt;&gt;"",原始資料!H68=原始資料!G68),N(E68)+1,1))</f>
        <v/>
      </c>
      <c r="G68" s="6">
        <f>IF(OR(原始資料!$A68="",6&gt;設定!$B$3,原始資料!I68=""),"",IF(AND(原始資料!H68&lt;&gt;"",原始資料!I68=原始資料!H68),N(F68)+1,1))</f>
        <v/>
      </c>
      <c r="H68" s="6">
        <f>IF(OR(原始資料!$A68="",7&gt;設定!$B$3,原始資料!J68=""),"",IF(AND(原始資料!I68&lt;&gt;"",原始資料!J68=原始資料!I68),N(G68)+1,1))</f>
        <v/>
      </c>
      <c r="I68" s="6">
        <f>IF(OR(原始資料!$A68="",8&gt;設定!$B$3,原始資料!K68=""),"",IF(AND(原始資料!J68&lt;&gt;"",原始資料!K68=原始資料!J68),N(H68)+1,1))</f>
        <v/>
      </c>
      <c r="J68" s="6">
        <f>IF(OR(原始資料!$A68="",9&gt;設定!$B$3,原始資料!L68=""),"",IF(AND(原始資料!K68&lt;&gt;"",原始資料!L68=原始資料!K68),N(I68)+1,1))</f>
        <v/>
      </c>
      <c r="K68" s="6">
        <f>IF(OR(原始資料!$A68="",10&gt;設定!$B$3,原始資料!M68=""),"",IF(AND(原始資料!L68&lt;&gt;"",原始資料!M68=原始資料!L68),N(J68)+1,1))</f>
        <v/>
      </c>
      <c r="L68" s="6">
        <f>IF(OR(原始資料!$A68="",11&gt;設定!$B$3,原始資料!N68=""),"",IF(AND(原始資料!M68&lt;&gt;"",原始資料!N68=原始資料!M68),N(K68)+1,1))</f>
        <v/>
      </c>
      <c r="M68" s="6">
        <f>IF(OR(原始資料!$A68="",12&gt;設定!$B$3,原始資料!O68=""),"",IF(AND(原始資料!N68&lt;&gt;"",原始資料!O68=原始資料!N68),N(L68)+1,1))</f>
        <v/>
      </c>
      <c r="N68" s="6">
        <f>IF(OR(原始資料!$A68="",13&gt;設定!$B$3,原始資料!P68=""),"",IF(AND(原始資料!O68&lt;&gt;"",原始資料!P68=原始資料!O68),N(M68)+1,1))</f>
        <v/>
      </c>
      <c r="O68" s="6">
        <f>IF(OR(原始資料!$A68="",14&gt;設定!$B$3,原始資料!Q68=""),"",IF(AND(原始資料!P68&lt;&gt;"",原始資料!Q68=原始資料!P68),N(N68)+1,1))</f>
        <v/>
      </c>
      <c r="P68" s="6">
        <f>IF(OR(原始資料!$A68="",15&gt;設定!$B$3,原始資料!R68=""),"",IF(AND(原始資料!Q68&lt;&gt;"",原始資料!R68=原始資料!Q68),N(O68)+1,1))</f>
        <v/>
      </c>
      <c r="Q68" s="6">
        <f>IF(OR(原始資料!$A68="",16&gt;設定!$B$3,原始資料!S68=""),"",IF(AND(原始資料!R68&lt;&gt;"",原始資料!S68=原始資料!R68),N(P68)+1,1))</f>
        <v/>
      </c>
      <c r="R68" s="6">
        <f>IF(OR(原始資料!$A68="",17&gt;設定!$B$3,原始資料!T68=""),"",IF(AND(原始資料!S68&lt;&gt;"",原始資料!T68=原始資料!S68),N(Q68)+1,1))</f>
        <v/>
      </c>
      <c r="S68" s="6">
        <f>IF(OR(原始資料!$A68="",18&gt;設定!$B$3,原始資料!U68=""),"",IF(AND(原始資料!T68&lt;&gt;"",原始資料!U68=原始資料!T68),N(R68)+1,1))</f>
        <v/>
      </c>
      <c r="T68" s="6">
        <f>IF(OR(原始資料!$A68="",19&gt;設定!$B$3,原始資料!V68=""),"",IF(AND(原始資料!U68&lt;&gt;"",原始資料!V68=原始資料!U68),N(S68)+1,1))</f>
        <v/>
      </c>
      <c r="U68" s="6">
        <f>IF(OR(原始資料!$A68="",20&gt;設定!$B$3,原始資料!W68=""),"",IF(AND(原始資料!V68&lt;&gt;"",原始資料!W68=原始資料!V68),N(T68)+1,1))</f>
        <v/>
      </c>
      <c r="V68" s="6">
        <f>IF(OR(原始資料!$A68="",21&gt;設定!$B$3,原始資料!X68=""),"",IF(AND(原始資料!W68&lt;&gt;"",原始資料!X68=原始資料!W68),N(U68)+1,1))</f>
        <v/>
      </c>
      <c r="W68" s="6">
        <f>IF(OR(原始資料!$A68="",22&gt;設定!$B$3,原始資料!Y68=""),"",IF(AND(原始資料!X68&lt;&gt;"",原始資料!Y68=原始資料!X68),N(V68)+1,1))</f>
        <v/>
      </c>
      <c r="X68" s="6">
        <f>IF(OR(原始資料!$A68="",23&gt;設定!$B$3,原始資料!Z68=""),"",IF(AND(原始資料!Y68&lt;&gt;"",原始資料!Z68=原始資料!Y68),N(W68)+1,1))</f>
        <v/>
      </c>
      <c r="Y68" s="6">
        <f>IF(OR(原始資料!$A68="",24&gt;設定!$B$3,原始資料!AA68=""),"",IF(AND(原始資料!Z68&lt;&gt;"",原始資料!AA68=原始資料!Z68),N(X68)+1,1))</f>
        <v/>
      </c>
      <c r="Z68" s="6">
        <f>IF(OR(原始資料!$A68="",25&gt;設定!$B$3,原始資料!AB68=""),"",IF(AND(原始資料!AA68&lt;&gt;"",原始資料!AB68=原始資料!AA68),N(Y68)+1,1))</f>
        <v/>
      </c>
      <c r="AA68" s="6">
        <f>IF(OR(原始資料!$A68="",26&gt;設定!$B$3,原始資料!AC68=""),"",IF(AND(原始資料!AB68&lt;&gt;"",原始資料!AC68=原始資料!AB68),N(Z68)+1,1))</f>
        <v/>
      </c>
      <c r="AB68" s="6">
        <f>IF(OR(原始資料!$A68="",27&gt;設定!$B$3,原始資料!AD68=""),"",IF(AND(原始資料!AC68&lt;&gt;"",原始資料!AD68=原始資料!AC68),N(AA68)+1,1))</f>
        <v/>
      </c>
      <c r="AC68" s="6">
        <f>IF(OR(原始資料!$A68="",28&gt;設定!$B$3,原始資料!AE68=""),"",IF(AND(原始資料!AD68&lt;&gt;"",原始資料!AE68=原始資料!AD68),N(AB68)+1,1))</f>
        <v/>
      </c>
      <c r="AD68" s="6">
        <f>IF(OR(原始資料!$A68="",29&gt;設定!$B$3,原始資料!AF68=""),"",IF(AND(原始資料!AE68&lt;&gt;"",原始資料!AF68=原始資料!AE68),N(AC68)+1,1))</f>
        <v/>
      </c>
      <c r="AE68" s="6">
        <f>IF(OR(原始資料!$A68="",30&gt;設定!$B$3,原始資料!AG68=""),"",IF(AND(原始資料!AF68&lt;&gt;"",原始資料!AG68=原始資料!AF68),N(AD68)+1,1))</f>
        <v/>
      </c>
      <c r="AF68" s="6">
        <f>IF(OR(原始資料!$A68="",31&gt;設定!$B$3,原始資料!AH68=""),"",IF(AND(原始資料!AG68&lt;&gt;"",原始資料!AH68=原始資料!AG68),N(AE68)+1,1))</f>
        <v/>
      </c>
      <c r="AG68" s="6">
        <f>IF(OR(原始資料!$A68="",32&gt;設定!$B$3,原始資料!AI68=""),"",IF(AND(原始資料!AH68&lt;&gt;"",原始資料!AI68=原始資料!AH68),N(AF68)+1,1))</f>
        <v/>
      </c>
      <c r="AH68" s="6">
        <f>IF(OR(原始資料!$A68="",33&gt;設定!$B$3,原始資料!AJ68=""),"",IF(AND(原始資料!AI68&lt;&gt;"",原始資料!AJ68=原始資料!AI68),N(AG68)+1,1))</f>
        <v/>
      </c>
      <c r="AI68" s="6">
        <f>IF(OR(原始資料!$A68="",34&gt;設定!$B$3,原始資料!AK68=""),"",IF(AND(原始資料!AJ68&lt;&gt;"",原始資料!AK68=原始資料!AJ68),N(AH68)+1,1))</f>
        <v/>
      </c>
      <c r="AJ68" s="6">
        <f>IF(OR(原始資料!$A68="",35&gt;設定!$B$3,原始資料!AL68=""),"",IF(AND(原始資料!AK68&lt;&gt;"",原始資料!AL68=原始資料!AK68),N(AI68)+1,1))</f>
        <v/>
      </c>
      <c r="AK68" s="6">
        <f>IF(OR(原始資料!$A68="",36&gt;設定!$B$3,原始資料!AM68=""),"",IF(AND(原始資料!AL68&lt;&gt;"",原始資料!AM68=原始資料!AL68),N(AJ68)+1,1))</f>
        <v/>
      </c>
      <c r="AL68" s="6">
        <f>IF(OR(原始資料!$A68="",37&gt;設定!$B$3,原始資料!AN68=""),"",IF(AND(原始資料!AM68&lt;&gt;"",原始資料!AN68=原始資料!AM68),N(AK68)+1,1))</f>
        <v/>
      </c>
      <c r="AM68" s="6">
        <f>IF(OR(原始資料!$A68="",38&gt;設定!$B$3,原始資料!AO68=""),"",IF(AND(原始資料!AN68&lt;&gt;"",原始資料!AO68=原始資料!AN68),N(AL68)+1,1))</f>
        <v/>
      </c>
      <c r="AN68" s="6">
        <f>IF(OR(原始資料!$A68="",39&gt;設定!$B$3,原始資料!AP68=""),"",IF(AND(原始資料!AO68&lt;&gt;"",原始資料!AP68=原始資料!AO68),N(AM68)+1,1))</f>
        <v/>
      </c>
      <c r="AO68" s="6">
        <f>IF(OR(原始資料!$A68="",40&gt;設定!$B$3,原始資料!AQ68=""),"",IF(AND(原始資料!AP68&lt;&gt;"",原始資料!AQ68=原始資料!AP68),N(AN68)+1,1))</f>
        <v/>
      </c>
      <c r="AP68" s="6">
        <f>IF(OR(原始資料!$A68="",41&gt;設定!$B$3,原始資料!AR68=""),"",IF(AND(原始資料!AQ68&lt;&gt;"",原始資料!AR68=原始資料!AQ68),N(AO68)+1,1))</f>
        <v/>
      </c>
      <c r="AQ68" s="6">
        <f>IF(OR(原始資料!$A68="",42&gt;設定!$B$3,原始資料!AS68=""),"",IF(AND(原始資料!AR68&lt;&gt;"",原始資料!AS68=原始資料!AR68),N(AP68)+1,1))</f>
        <v/>
      </c>
      <c r="AR68" s="6">
        <f>IF(OR(原始資料!$A68="",43&gt;設定!$B$3,原始資料!AT68=""),"",IF(AND(原始資料!AS68&lt;&gt;"",原始資料!AT68=原始資料!AS68),N(AQ68)+1,1))</f>
        <v/>
      </c>
      <c r="AS68" s="6">
        <f>IF(OR(原始資料!$A68="",44&gt;設定!$B$3,原始資料!AU68=""),"",IF(AND(原始資料!AT68&lt;&gt;"",原始資料!AU68=原始資料!AT68),N(AR68)+1,1))</f>
        <v/>
      </c>
      <c r="AT68" s="6">
        <f>IF(OR(原始資料!$A68="",45&gt;設定!$B$3,原始資料!AV68=""),"",IF(AND(原始資料!AU68&lt;&gt;"",原始資料!AV68=原始資料!AU68),N(AS68)+1,1))</f>
        <v/>
      </c>
      <c r="AU68" s="6">
        <f>IF(OR(原始資料!$A68="",46&gt;設定!$B$3,原始資料!AW68=""),"",IF(AND(原始資料!AV68&lt;&gt;"",原始資料!AW68=原始資料!AV68),N(AT68)+1,1))</f>
        <v/>
      </c>
      <c r="AV68" s="6">
        <f>IF(OR(原始資料!$A68="",47&gt;設定!$B$3,原始資料!AX68=""),"",IF(AND(原始資料!AW68&lt;&gt;"",原始資料!AX68=原始資料!AW68),N(AU68)+1,1))</f>
        <v/>
      </c>
      <c r="AW68" s="6">
        <f>IF(OR(原始資料!$A68="",48&gt;設定!$B$3,原始資料!AY68=""),"",IF(AND(原始資料!AX68&lt;&gt;"",原始資料!AY68=原始資料!AX68),N(AV68)+1,1))</f>
        <v/>
      </c>
      <c r="AX68" s="6">
        <f>IF(OR(原始資料!$A68="",49&gt;設定!$B$3,原始資料!AZ68=""),"",IF(AND(原始資料!AY68&lt;&gt;"",原始資料!AZ68=原始資料!AY68),N(AW68)+1,1))</f>
        <v/>
      </c>
      <c r="AY68" s="6">
        <f>IF(OR(原始資料!$A68="",50&gt;設定!$B$3,原始資料!BA68=""),"",IF(AND(原始資料!AZ68&lt;&gt;"",原始資料!BA68=原始資料!AZ68),N(AX68)+1,1))</f>
        <v/>
      </c>
      <c r="AZ68" s="6">
        <f>IF(OR(原始資料!$A68="",51&gt;設定!$B$3,原始資料!BB68=""),"",IF(AND(原始資料!BA68&lt;&gt;"",原始資料!BB68=原始資料!BA68),N(AY68)+1,1))</f>
        <v/>
      </c>
      <c r="BA68" s="6">
        <f>IF(OR(原始資料!$A68="",52&gt;設定!$B$3,原始資料!BC68=""),"",IF(AND(原始資料!BB68&lt;&gt;"",原始資料!BC68=原始資料!BB68),N(AZ68)+1,1))</f>
        <v/>
      </c>
      <c r="BB68" s="6">
        <f>IF(OR(原始資料!$A68="",53&gt;設定!$B$3,原始資料!BD68=""),"",IF(AND(原始資料!BC68&lt;&gt;"",原始資料!BD68=原始資料!BC68),N(BA68)+1,1))</f>
        <v/>
      </c>
      <c r="BC68" s="6">
        <f>IF(OR(原始資料!$A68="",54&gt;設定!$B$3,原始資料!BE68=""),"",IF(AND(原始資料!BD68&lt;&gt;"",原始資料!BE68=原始資料!BD68),N(BB68)+1,1))</f>
        <v/>
      </c>
      <c r="BD68" s="6">
        <f>IF(OR(原始資料!$A68="",55&gt;設定!$B$3,原始資料!BF68=""),"",IF(AND(原始資料!BE68&lt;&gt;"",原始資料!BF68=原始資料!BE68),N(BC68)+1,1))</f>
        <v/>
      </c>
      <c r="BE68" s="6">
        <f>IF(OR(原始資料!$A68="",56&gt;設定!$B$3,原始資料!BG68=""),"",IF(AND(原始資料!BF68&lt;&gt;"",原始資料!BG68=原始資料!BF68),N(BD68)+1,1))</f>
        <v/>
      </c>
      <c r="BF68" s="6">
        <f>IF(OR(原始資料!$A68="",57&gt;設定!$B$3,原始資料!BH68=""),"",IF(AND(原始資料!BG68&lt;&gt;"",原始資料!BH68=原始資料!BG68),N(BE68)+1,1))</f>
        <v/>
      </c>
      <c r="BG68" s="6">
        <f>IF(OR(原始資料!$A68="",58&gt;設定!$B$3,原始資料!BI68=""),"",IF(AND(原始資料!BH68&lt;&gt;"",原始資料!BI68=原始資料!BH68),N(BF68)+1,1))</f>
        <v/>
      </c>
      <c r="BH68" s="6">
        <f>IF(OR(原始資料!$A68="",59&gt;設定!$B$3,原始資料!BJ68=""),"",IF(AND(原始資料!BI68&lt;&gt;"",原始資料!BJ68=原始資料!BI68),N(BG68)+1,1))</f>
        <v/>
      </c>
      <c r="BI68" s="6">
        <f>IF(OR(原始資料!$A68="",60&gt;設定!$B$3,原始資料!BK68=""),"",IF(AND(原始資料!BJ68&lt;&gt;"",原始資料!BK68=原始資料!BJ68),N(BH68)+1,1))</f>
        <v/>
      </c>
    </row>
    <row r="69">
      <c r="A69" s="6">
        <f>IF(原始資料!$A69="","",原始資料!$A69)</f>
        <v/>
      </c>
      <c r="B69" s="6">
        <f>IF(OR(原始資料!$A69="",1&gt;設定!$B$3,原始資料!D69=""),"",1)</f>
        <v/>
      </c>
      <c r="C69" s="6">
        <f>IF(OR(原始資料!$A69="",2&gt;設定!$B$3,原始資料!E69=""),"",IF(AND(原始資料!D69&lt;&gt;"",原始資料!E69=原始資料!D69),N(B69)+1,1))</f>
        <v/>
      </c>
      <c r="D69" s="6">
        <f>IF(OR(原始資料!$A69="",3&gt;設定!$B$3,原始資料!F69=""),"",IF(AND(原始資料!E69&lt;&gt;"",原始資料!F69=原始資料!E69),N(C69)+1,1))</f>
        <v/>
      </c>
      <c r="E69" s="6">
        <f>IF(OR(原始資料!$A69="",4&gt;設定!$B$3,原始資料!G69=""),"",IF(AND(原始資料!F69&lt;&gt;"",原始資料!G69=原始資料!F69),N(D69)+1,1))</f>
        <v/>
      </c>
      <c r="F69" s="6">
        <f>IF(OR(原始資料!$A69="",5&gt;設定!$B$3,原始資料!H69=""),"",IF(AND(原始資料!G69&lt;&gt;"",原始資料!H69=原始資料!G69),N(E69)+1,1))</f>
        <v/>
      </c>
      <c r="G69" s="6">
        <f>IF(OR(原始資料!$A69="",6&gt;設定!$B$3,原始資料!I69=""),"",IF(AND(原始資料!H69&lt;&gt;"",原始資料!I69=原始資料!H69),N(F69)+1,1))</f>
        <v/>
      </c>
      <c r="H69" s="6">
        <f>IF(OR(原始資料!$A69="",7&gt;設定!$B$3,原始資料!J69=""),"",IF(AND(原始資料!I69&lt;&gt;"",原始資料!J69=原始資料!I69),N(G69)+1,1))</f>
        <v/>
      </c>
      <c r="I69" s="6">
        <f>IF(OR(原始資料!$A69="",8&gt;設定!$B$3,原始資料!K69=""),"",IF(AND(原始資料!J69&lt;&gt;"",原始資料!K69=原始資料!J69),N(H69)+1,1))</f>
        <v/>
      </c>
      <c r="J69" s="6">
        <f>IF(OR(原始資料!$A69="",9&gt;設定!$B$3,原始資料!L69=""),"",IF(AND(原始資料!K69&lt;&gt;"",原始資料!L69=原始資料!K69),N(I69)+1,1))</f>
        <v/>
      </c>
      <c r="K69" s="6">
        <f>IF(OR(原始資料!$A69="",10&gt;設定!$B$3,原始資料!M69=""),"",IF(AND(原始資料!L69&lt;&gt;"",原始資料!M69=原始資料!L69),N(J69)+1,1))</f>
        <v/>
      </c>
      <c r="L69" s="6">
        <f>IF(OR(原始資料!$A69="",11&gt;設定!$B$3,原始資料!N69=""),"",IF(AND(原始資料!M69&lt;&gt;"",原始資料!N69=原始資料!M69),N(K69)+1,1))</f>
        <v/>
      </c>
      <c r="M69" s="6">
        <f>IF(OR(原始資料!$A69="",12&gt;設定!$B$3,原始資料!O69=""),"",IF(AND(原始資料!N69&lt;&gt;"",原始資料!O69=原始資料!N69),N(L69)+1,1))</f>
        <v/>
      </c>
      <c r="N69" s="6">
        <f>IF(OR(原始資料!$A69="",13&gt;設定!$B$3,原始資料!P69=""),"",IF(AND(原始資料!O69&lt;&gt;"",原始資料!P69=原始資料!O69),N(M69)+1,1))</f>
        <v/>
      </c>
      <c r="O69" s="6">
        <f>IF(OR(原始資料!$A69="",14&gt;設定!$B$3,原始資料!Q69=""),"",IF(AND(原始資料!P69&lt;&gt;"",原始資料!Q69=原始資料!P69),N(N69)+1,1))</f>
        <v/>
      </c>
      <c r="P69" s="6">
        <f>IF(OR(原始資料!$A69="",15&gt;設定!$B$3,原始資料!R69=""),"",IF(AND(原始資料!Q69&lt;&gt;"",原始資料!R69=原始資料!Q69),N(O69)+1,1))</f>
        <v/>
      </c>
      <c r="Q69" s="6">
        <f>IF(OR(原始資料!$A69="",16&gt;設定!$B$3,原始資料!S69=""),"",IF(AND(原始資料!R69&lt;&gt;"",原始資料!S69=原始資料!R69),N(P69)+1,1))</f>
        <v/>
      </c>
      <c r="R69" s="6">
        <f>IF(OR(原始資料!$A69="",17&gt;設定!$B$3,原始資料!T69=""),"",IF(AND(原始資料!S69&lt;&gt;"",原始資料!T69=原始資料!S69),N(Q69)+1,1))</f>
        <v/>
      </c>
      <c r="S69" s="6">
        <f>IF(OR(原始資料!$A69="",18&gt;設定!$B$3,原始資料!U69=""),"",IF(AND(原始資料!T69&lt;&gt;"",原始資料!U69=原始資料!T69),N(R69)+1,1))</f>
        <v/>
      </c>
      <c r="T69" s="6">
        <f>IF(OR(原始資料!$A69="",19&gt;設定!$B$3,原始資料!V69=""),"",IF(AND(原始資料!U69&lt;&gt;"",原始資料!V69=原始資料!U69),N(S69)+1,1))</f>
        <v/>
      </c>
      <c r="U69" s="6">
        <f>IF(OR(原始資料!$A69="",20&gt;設定!$B$3,原始資料!W69=""),"",IF(AND(原始資料!V69&lt;&gt;"",原始資料!W69=原始資料!V69),N(T69)+1,1))</f>
        <v/>
      </c>
      <c r="V69" s="6">
        <f>IF(OR(原始資料!$A69="",21&gt;設定!$B$3,原始資料!X69=""),"",IF(AND(原始資料!W69&lt;&gt;"",原始資料!X69=原始資料!W69),N(U69)+1,1))</f>
        <v/>
      </c>
      <c r="W69" s="6">
        <f>IF(OR(原始資料!$A69="",22&gt;設定!$B$3,原始資料!Y69=""),"",IF(AND(原始資料!X69&lt;&gt;"",原始資料!Y69=原始資料!X69),N(V69)+1,1))</f>
        <v/>
      </c>
      <c r="X69" s="6">
        <f>IF(OR(原始資料!$A69="",23&gt;設定!$B$3,原始資料!Z69=""),"",IF(AND(原始資料!Y69&lt;&gt;"",原始資料!Z69=原始資料!Y69),N(W69)+1,1))</f>
        <v/>
      </c>
      <c r="Y69" s="6">
        <f>IF(OR(原始資料!$A69="",24&gt;設定!$B$3,原始資料!AA69=""),"",IF(AND(原始資料!Z69&lt;&gt;"",原始資料!AA69=原始資料!Z69),N(X69)+1,1))</f>
        <v/>
      </c>
      <c r="Z69" s="6">
        <f>IF(OR(原始資料!$A69="",25&gt;設定!$B$3,原始資料!AB69=""),"",IF(AND(原始資料!AA69&lt;&gt;"",原始資料!AB69=原始資料!AA69),N(Y69)+1,1))</f>
        <v/>
      </c>
      <c r="AA69" s="6">
        <f>IF(OR(原始資料!$A69="",26&gt;設定!$B$3,原始資料!AC69=""),"",IF(AND(原始資料!AB69&lt;&gt;"",原始資料!AC69=原始資料!AB69),N(Z69)+1,1))</f>
        <v/>
      </c>
      <c r="AB69" s="6">
        <f>IF(OR(原始資料!$A69="",27&gt;設定!$B$3,原始資料!AD69=""),"",IF(AND(原始資料!AC69&lt;&gt;"",原始資料!AD69=原始資料!AC69),N(AA69)+1,1))</f>
        <v/>
      </c>
      <c r="AC69" s="6">
        <f>IF(OR(原始資料!$A69="",28&gt;設定!$B$3,原始資料!AE69=""),"",IF(AND(原始資料!AD69&lt;&gt;"",原始資料!AE69=原始資料!AD69),N(AB69)+1,1))</f>
        <v/>
      </c>
      <c r="AD69" s="6">
        <f>IF(OR(原始資料!$A69="",29&gt;設定!$B$3,原始資料!AF69=""),"",IF(AND(原始資料!AE69&lt;&gt;"",原始資料!AF69=原始資料!AE69),N(AC69)+1,1))</f>
        <v/>
      </c>
      <c r="AE69" s="6">
        <f>IF(OR(原始資料!$A69="",30&gt;設定!$B$3,原始資料!AG69=""),"",IF(AND(原始資料!AF69&lt;&gt;"",原始資料!AG69=原始資料!AF69),N(AD69)+1,1))</f>
        <v/>
      </c>
      <c r="AF69" s="6">
        <f>IF(OR(原始資料!$A69="",31&gt;設定!$B$3,原始資料!AH69=""),"",IF(AND(原始資料!AG69&lt;&gt;"",原始資料!AH69=原始資料!AG69),N(AE69)+1,1))</f>
        <v/>
      </c>
      <c r="AG69" s="6">
        <f>IF(OR(原始資料!$A69="",32&gt;設定!$B$3,原始資料!AI69=""),"",IF(AND(原始資料!AH69&lt;&gt;"",原始資料!AI69=原始資料!AH69),N(AF69)+1,1))</f>
        <v/>
      </c>
      <c r="AH69" s="6">
        <f>IF(OR(原始資料!$A69="",33&gt;設定!$B$3,原始資料!AJ69=""),"",IF(AND(原始資料!AI69&lt;&gt;"",原始資料!AJ69=原始資料!AI69),N(AG69)+1,1))</f>
        <v/>
      </c>
      <c r="AI69" s="6">
        <f>IF(OR(原始資料!$A69="",34&gt;設定!$B$3,原始資料!AK69=""),"",IF(AND(原始資料!AJ69&lt;&gt;"",原始資料!AK69=原始資料!AJ69),N(AH69)+1,1))</f>
        <v/>
      </c>
      <c r="AJ69" s="6">
        <f>IF(OR(原始資料!$A69="",35&gt;設定!$B$3,原始資料!AL69=""),"",IF(AND(原始資料!AK69&lt;&gt;"",原始資料!AL69=原始資料!AK69),N(AI69)+1,1))</f>
        <v/>
      </c>
      <c r="AK69" s="6">
        <f>IF(OR(原始資料!$A69="",36&gt;設定!$B$3,原始資料!AM69=""),"",IF(AND(原始資料!AL69&lt;&gt;"",原始資料!AM69=原始資料!AL69),N(AJ69)+1,1))</f>
        <v/>
      </c>
      <c r="AL69" s="6">
        <f>IF(OR(原始資料!$A69="",37&gt;設定!$B$3,原始資料!AN69=""),"",IF(AND(原始資料!AM69&lt;&gt;"",原始資料!AN69=原始資料!AM69),N(AK69)+1,1))</f>
        <v/>
      </c>
      <c r="AM69" s="6">
        <f>IF(OR(原始資料!$A69="",38&gt;設定!$B$3,原始資料!AO69=""),"",IF(AND(原始資料!AN69&lt;&gt;"",原始資料!AO69=原始資料!AN69),N(AL69)+1,1))</f>
        <v/>
      </c>
      <c r="AN69" s="6">
        <f>IF(OR(原始資料!$A69="",39&gt;設定!$B$3,原始資料!AP69=""),"",IF(AND(原始資料!AO69&lt;&gt;"",原始資料!AP69=原始資料!AO69),N(AM69)+1,1))</f>
        <v/>
      </c>
      <c r="AO69" s="6">
        <f>IF(OR(原始資料!$A69="",40&gt;設定!$B$3,原始資料!AQ69=""),"",IF(AND(原始資料!AP69&lt;&gt;"",原始資料!AQ69=原始資料!AP69),N(AN69)+1,1))</f>
        <v/>
      </c>
      <c r="AP69" s="6">
        <f>IF(OR(原始資料!$A69="",41&gt;設定!$B$3,原始資料!AR69=""),"",IF(AND(原始資料!AQ69&lt;&gt;"",原始資料!AR69=原始資料!AQ69),N(AO69)+1,1))</f>
        <v/>
      </c>
      <c r="AQ69" s="6">
        <f>IF(OR(原始資料!$A69="",42&gt;設定!$B$3,原始資料!AS69=""),"",IF(AND(原始資料!AR69&lt;&gt;"",原始資料!AS69=原始資料!AR69),N(AP69)+1,1))</f>
        <v/>
      </c>
      <c r="AR69" s="6">
        <f>IF(OR(原始資料!$A69="",43&gt;設定!$B$3,原始資料!AT69=""),"",IF(AND(原始資料!AS69&lt;&gt;"",原始資料!AT69=原始資料!AS69),N(AQ69)+1,1))</f>
        <v/>
      </c>
      <c r="AS69" s="6">
        <f>IF(OR(原始資料!$A69="",44&gt;設定!$B$3,原始資料!AU69=""),"",IF(AND(原始資料!AT69&lt;&gt;"",原始資料!AU69=原始資料!AT69),N(AR69)+1,1))</f>
        <v/>
      </c>
      <c r="AT69" s="6">
        <f>IF(OR(原始資料!$A69="",45&gt;設定!$B$3,原始資料!AV69=""),"",IF(AND(原始資料!AU69&lt;&gt;"",原始資料!AV69=原始資料!AU69),N(AS69)+1,1))</f>
        <v/>
      </c>
      <c r="AU69" s="6">
        <f>IF(OR(原始資料!$A69="",46&gt;設定!$B$3,原始資料!AW69=""),"",IF(AND(原始資料!AV69&lt;&gt;"",原始資料!AW69=原始資料!AV69),N(AT69)+1,1))</f>
        <v/>
      </c>
      <c r="AV69" s="6">
        <f>IF(OR(原始資料!$A69="",47&gt;設定!$B$3,原始資料!AX69=""),"",IF(AND(原始資料!AW69&lt;&gt;"",原始資料!AX69=原始資料!AW69),N(AU69)+1,1))</f>
        <v/>
      </c>
      <c r="AW69" s="6">
        <f>IF(OR(原始資料!$A69="",48&gt;設定!$B$3,原始資料!AY69=""),"",IF(AND(原始資料!AX69&lt;&gt;"",原始資料!AY69=原始資料!AX69),N(AV69)+1,1))</f>
        <v/>
      </c>
      <c r="AX69" s="6">
        <f>IF(OR(原始資料!$A69="",49&gt;設定!$B$3,原始資料!AZ69=""),"",IF(AND(原始資料!AY69&lt;&gt;"",原始資料!AZ69=原始資料!AY69),N(AW69)+1,1))</f>
        <v/>
      </c>
      <c r="AY69" s="6">
        <f>IF(OR(原始資料!$A69="",50&gt;設定!$B$3,原始資料!BA69=""),"",IF(AND(原始資料!AZ69&lt;&gt;"",原始資料!BA69=原始資料!AZ69),N(AX69)+1,1))</f>
        <v/>
      </c>
      <c r="AZ69" s="6">
        <f>IF(OR(原始資料!$A69="",51&gt;設定!$B$3,原始資料!BB69=""),"",IF(AND(原始資料!BA69&lt;&gt;"",原始資料!BB69=原始資料!BA69),N(AY69)+1,1))</f>
        <v/>
      </c>
      <c r="BA69" s="6">
        <f>IF(OR(原始資料!$A69="",52&gt;設定!$B$3,原始資料!BC69=""),"",IF(AND(原始資料!BB69&lt;&gt;"",原始資料!BC69=原始資料!BB69),N(AZ69)+1,1))</f>
        <v/>
      </c>
      <c r="BB69" s="6">
        <f>IF(OR(原始資料!$A69="",53&gt;設定!$B$3,原始資料!BD69=""),"",IF(AND(原始資料!BC69&lt;&gt;"",原始資料!BD69=原始資料!BC69),N(BA69)+1,1))</f>
        <v/>
      </c>
      <c r="BC69" s="6">
        <f>IF(OR(原始資料!$A69="",54&gt;設定!$B$3,原始資料!BE69=""),"",IF(AND(原始資料!BD69&lt;&gt;"",原始資料!BE69=原始資料!BD69),N(BB69)+1,1))</f>
        <v/>
      </c>
      <c r="BD69" s="6">
        <f>IF(OR(原始資料!$A69="",55&gt;設定!$B$3,原始資料!BF69=""),"",IF(AND(原始資料!BE69&lt;&gt;"",原始資料!BF69=原始資料!BE69),N(BC69)+1,1))</f>
        <v/>
      </c>
      <c r="BE69" s="6">
        <f>IF(OR(原始資料!$A69="",56&gt;設定!$B$3,原始資料!BG69=""),"",IF(AND(原始資料!BF69&lt;&gt;"",原始資料!BG69=原始資料!BF69),N(BD69)+1,1))</f>
        <v/>
      </c>
      <c r="BF69" s="6">
        <f>IF(OR(原始資料!$A69="",57&gt;設定!$B$3,原始資料!BH69=""),"",IF(AND(原始資料!BG69&lt;&gt;"",原始資料!BH69=原始資料!BG69),N(BE69)+1,1))</f>
        <v/>
      </c>
      <c r="BG69" s="6">
        <f>IF(OR(原始資料!$A69="",58&gt;設定!$B$3,原始資料!BI69=""),"",IF(AND(原始資料!BH69&lt;&gt;"",原始資料!BI69=原始資料!BH69),N(BF69)+1,1))</f>
        <v/>
      </c>
      <c r="BH69" s="6">
        <f>IF(OR(原始資料!$A69="",59&gt;設定!$B$3,原始資料!BJ69=""),"",IF(AND(原始資料!BI69&lt;&gt;"",原始資料!BJ69=原始資料!BI69),N(BG69)+1,1))</f>
        <v/>
      </c>
      <c r="BI69" s="6">
        <f>IF(OR(原始資料!$A69="",60&gt;設定!$B$3,原始資料!BK69=""),"",IF(AND(原始資料!BJ69&lt;&gt;"",原始資料!BK69=原始資料!BJ69),N(BH69)+1,1))</f>
        <v/>
      </c>
    </row>
    <row r="70">
      <c r="A70" s="6">
        <f>IF(原始資料!$A70="","",原始資料!$A70)</f>
        <v/>
      </c>
      <c r="B70" s="6">
        <f>IF(OR(原始資料!$A70="",1&gt;設定!$B$3,原始資料!D70=""),"",1)</f>
        <v/>
      </c>
      <c r="C70" s="6">
        <f>IF(OR(原始資料!$A70="",2&gt;設定!$B$3,原始資料!E70=""),"",IF(AND(原始資料!D70&lt;&gt;"",原始資料!E70=原始資料!D70),N(B70)+1,1))</f>
        <v/>
      </c>
      <c r="D70" s="6">
        <f>IF(OR(原始資料!$A70="",3&gt;設定!$B$3,原始資料!F70=""),"",IF(AND(原始資料!E70&lt;&gt;"",原始資料!F70=原始資料!E70),N(C70)+1,1))</f>
        <v/>
      </c>
      <c r="E70" s="6">
        <f>IF(OR(原始資料!$A70="",4&gt;設定!$B$3,原始資料!G70=""),"",IF(AND(原始資料!F70&lt;&gt;"",原始資料!G70=原始資料!F70),N(D70)+1,1))</f>
        <v/>
      </c>
      <c r="F70" s="6">
        <f>IF(OR(原始資料!$A70="",5&gt;設定!$B$3,原始資料!H70=""),"",IF(AND(原始資料!G70&lt;&gt;"",原始資料!H70=原始資料!G70),N(E70)+1,1))</f>
        <v/>
      </c>
      <c r="G70" s="6">
        <f>IF(OR(原始資料!$A70="",6&gt;設定!$B$3,原始資料!I70=""),"",IF(AND(原始資料!H70&lt;&gt;"",原始資料!I70=原始資料!H70),N(F70)+1,1))</f>
        <v/>
      </c>
      <c r="H70" s="6">
        <f>IF(OR(原始資料!$A70="",7&gt;設定!$B$3,原始資料!J70=""),"",IF(AND(原始資料!I70&lt;&gt;"",原始資料!J70=原始資料!I70),N(G70)+1,1))</f>
        <v/>
      </c>
      <c r="I70" s="6">
        <f>IF(OR(原始資料!$A70="",8&gt;設定!$B$3,原始資料!K70=""),"",IF(AND(原始資料!J70&lt;&gt;"",原始資料!K70=原始資料!J70),N(H70)+1,1))</f>
        <v/>
      </c>
      <c r="J70" s="6">
        <f>IF(OR(原始資料!$A70="",9&gt;設定!$B$3,原始資料!L70=""),"",IF(AND(原始資料!K70&lt;&gt;"",原始資料!L70=原始資料!K70),N(I70)+1,1))</f>
        <v/>
      </c>
      <c r="K70" s="6">
        <f>IF(OR(原始資料!$A70="",10&gt;設定!$B$3,原始資料!M70=""),"",IF(AND(原始資料!L70&lt;&gt;"",原始資料!M70=原始資料!L70),N(J70)+1,1))</f>
        <v/>
      </c>
      <c r="L70" s="6">
        <f>IF(OR(原始資料!$A70="",11&gt;設定!$B$3,原始資料!N70=""),"",IF(AND(原始資料!M70&lt;&gt;"",原始資料!N70=原始資料!M70),N(K70)+1,1))</f>
        <v/>
      </c>
      <c r="M70" s="6">
        <f>IF(OR(原始資料!$A70="",12&gt;設定!$B$3,原始資料!O70=""),"",IF(AND(原始資料!N70&lt;&gt;"",原始資料!O70=原始資料!N70),N(L70)+1,1))</f>
        <v/>
      </c>
      <c r="N70" s="6">
        <f>IF(OR(原始資料!$A70="",13&gt;設定!$B$3,原始資料!P70=""),"",IF(AND(原始資料!O70&lt;&gt;"",原始資料!P70=原始資料!O70),N(M70)+1,1))</f>
        <v/>
      </c>
      <c r="O70" s="6">
        <f>IF(OR(原始資料!$A70="",14&gt;設定!$B$3,原始資料!Q70=""),"",IF(AND(原始資料!P70&lt;&gt;"",原始資料!Q70=原始資料!P70),N(N70)+1,1))</f>
        <v/>
      </c>
      <c r="P70" s="6">
        <f>IF(OR(原始資料!$A70="",15&gt;設定!$B$3,原始資料!R70=""),"",IF(AND(原始資料!Q70&lt;&gt;"",原始資料!R70=原始資料!Q70),N(O70)+1,1))</f>
        <v/>
      </c>
      <c r="Q70" s="6">
        <f>IF(OR(原始資料!$A70="",16&gt;設定!$B$3,原始資料!S70=""),"",IF(AND(原始資料!R70&lt;&gt;"",原始資料!S70=原始資料!R70),N(P70)+1,1))</f>
        <v/>
      </c>
      <c r="R70" s="6">
        <f>IF(OR(原始資料!$A70="",17&gt;設定!$B$3,原始資料!T70=""),"",IF(AND(原始資料!S70&lt;&gt;"",原始資料!T70=原始資料!S70),N(Q70)+1,1))</f>
        <v/>
      </c>
      <c r="S70" s="6">
        <f>IF(OR(原始資料!$A70="",18&gt;設定!$B$3,原始資料!U70=""),"",IF(AND(原始資料!T70&lt;&gt;"",原始資料!U70=原始資料!T70),N(R70)+1,1))</f>
        <v/>
      </c>
      <c r="T70" s="6">
        <f>IF(OR(原始資料!$A70="",19&gt;設定!$B$3,原始資料!V70=""),"",IF(AND(原始資料!U70&lt;&gt;"",原始資料!V70=原始資料!U70),N(S70)+1,1))</f>
        <v/>
      </c>
      <c r="U70" s="6">
        <f>IF(OR(原始資料!$A70="",20&gt;設定!$B$3,原始資料!W70=""),"",IF(AND(原始資料!V70&lt;&gt;"",原始資料!W70=原始資料!V70),N(T70)+1,1))</f>
        <v/>
      </c>
      <c r="V70" s="6">
        <f>IF(OR(原始資料!$A70="",21&gt;設定!$B$3,原始資料!X70=""),"",IF(AND(原始資料!W70&lt;&gt;"",原始資料!X70=原始資料!W70),N(U70)+1,1))</f>
        <v/>
      </c>
      <c r="W70" s="6">
        <f>IF(OR(原始資料!$A70="",22&gt;設定!$B$3,原始資料!Y70=""),"",IF(AND(原始資料!X70&lt;&gt;"",原始資料!Y70=原始資料!X70),N(V70)+1,1))</f>
        <v/>
      </c>
      <c r="X70" s="6">
        <f>IF(OR(原始資料!$A70="",23&gt;設定!$B$3,原始資料!Z70=""),"",IF(AND(原始資料!Y70&lt;&gt;"",原始資料!Z70=原始資料!Y70),N(W70)+1,1))</f>
        <v/>
      </c>
      <c r="Y70" s="6">
        <f>IF(OR(原始資料!$A70="",24&gt;設定!$B$3,原始資料!AA70=""),"",IF(AND(原始資料!Z70&lt;&gt;"",原始資料!AA70=原始資料!Z70),N(X70)+1,1))</f>
        <v/>
      </c>
      <c r="Z70" s="6">
        <f>IF(OR(原始資料!$A70="",25&gt;設定!$B$3,原始資料!AB70=""),"",IF(AND(原始資料!AA70&lt;&gt;"",原始資料!AB70=原始資料!AA70),N(Y70)+1,1))</f>
        <v/>
      </c>
      <c r="AA70" s="6">
        <f>IF(OR(原始資料!$A70="",26&gt;設定!$B$3,原始資料!AC70=""),"",IF(AND(原始資料!AB70&lt;&gt;"",原始資料!AC70=原始資料!AB70),N(Z70)+1,1))</f>
        <v/>
      </c>
      <c r="AB70" s="6">
        <f>IF(OR(原始資料!$A70="",27&gt;設定!$B$3,原始資料!AD70=""),"",IF(AND(原始資料!AC70&lt;&gt;"",原始資料!AD70=原始資料!AC70),N(AA70)+1,1))</f>
        <v/>
      </c>
      <c r="AC70" s="6">
        <f>IF(OR(原始資料!$A70="",28&gt;設定!$B$3,原始資料!AE70=""),"",IF(AND(原始資料!AD70&lt;&gt;"",原始資料!AE70=原始資料!AD70),N(AB70)+1,1))</f>
        <v/>
      </c>
      <c r="AD70" s="6">
        <f>IF(OR(原始資料!$A70="",29&gt;設定!$B$3,原始資料!AF70=""),"",IF(AND(原始資料!AE70&lt;&gt;"",原始資料!AF70=原始資料!AE70),N(AC70)+1,1))</f>
        <v/>
      </c>
      <c r="AE70" s="6">
        <f>IF(OR(原始資料!$A70="",30&gt;設定!$B$3,原始資料!AG70=""),"",IF(AND(原始資料!AF70&lt;&gt;"",原始資料!AG70=原始資料!AF70),N(AD70)+1,1))</f>
        <v/>
      </c>
      <c r="AF70" s="6">
        <f>IF(OR(原始資料!$A70="",31&gt;設定!$B$3,原始資料!AH70=""),"",IF(AND(原始資料!AG70&lt;&gt;"",原始資料!AH70=原始資料!AG70),N(AE70)+1,1))</f>
        <v/>
      </c>
      <c r="AG70" s="6">
        <f>IF(OR(原始資料!$A70="",32&gt;設定!$B$3,原始資料!AI70=""),"",IF(AND(原始資料!AH70&lt;&gt;"",原始資料!AI70=原始資料!AH70),N(AF70)+1,1))</f>
        <v/>
      </c>
      <c r="AH70" s="6">
        <f>IF(OR(原始資料!$A70="",33&gt;設定!$B$3,原始資料!AJ70=""),"",IF(AND(原始資料!AI70&lt;&gt;"",原始資料!AJ70=原始資料!AI70),N(AG70)+1,1))</f>
        <v/>
      </c>
      <c r="AI70" s="6">
        <f>IF(OR(原始資料!$A70="",34&gt;設定!$B$3,原始資料!AK70=""),"",IF(AND(原始資料!AJ70&lt;&gt;"",原始資料!AK70=原始資料!AJ70),N(AH70)+1,1))</f>
        <v/>
      </c>
      <c r="AJ70" s="6">
        <f>IF(OR(原始資料!$A70="",35&gt;設定!$B$3,原始資料!AL70=""),"",IF(AND(原始資料!AK70&lt;&gt;"",原始資料!AL70=原始資料!AK70),N(AI70)+1,1))</f>
        <v/>
      </c>
      <c r="AK70" s="6">
        <f>IF(OR(原始資料!$A70="",36&gt;設定!$B$3,原始資料!AM70=""),"",IF(AND(原始資料!AL70&lt;&gt;"",原始資料!AM70=原始資料!AL70),N(AJ70)+1,1))</f>
        <v/>
      </c>
      <c r="AL70" s="6">
        <f>IF(OR(原始資料!$A70="",37&gt;設定!$B$3,原始資料!AN70=""),"",IF(AND(原始資料!AM70&lt;&gt;"",原始資料!AN70=原始資料!AM70),N(AK70)+1,1))</f>
        <v/>
      </c>
      <c r="AM70" s="6">
        <f>IF(OR(原始資料!$A70="",38&gt;設定!$B$3,原始資料!AO70=""),"",IF(AND(原始資料!AN70&lt;&gt;"",原始資料!AO70=原始資料!AN70),N(AL70)+1,1))</f>
        <v/>
      </c>
      <c r="AN70" s="6">
        <f>IF(OR(原始資料!$A70="",39&gt;設定!$B$3,原始資料!AP70=""),"",IF(AND(原始資料!AO70&lt;&gt;"",原始資料!AP70=原始資料!AO70),N(AM70)+1,1))</f>
        <v/>
      </c>
      <c r="AO70" s="6">
        <f>IF(OR(原始資料!$A70="",40&gt;設定!$B$3,原始資料!AQ70=""),"",IF(AND(原始資料!AP70&lt;&gt;"",原始資料!AQ70=原始資料!AP70),N(AN70)+1,1))</f>
        <v/>
      </c>
      <c r="AP70" s="6">
        <f>IF(OR(原始資料!$A70="",41&gt;設定!$B$3,原始資料!AR70=""),"",IF(AND(原始資料!AQ70&lt;&gt;"",原始資料!AR70=原始資料!AQ70),N(AO70)+1,1))</f>
        <v/>
      </c>
      <c r="AQ70" s="6">
        <f>IF(OR(原始資料!$A70="",42&gt;設定!$B$3,原始資料!AS70=""),"",IF(AND(原始資料!AR70&lt;&gt;"",原始資料!AS70=原始資料!AR70),N(AP70)+1,1))</f>
        <v/>
      </c>
      <c r="AR70" s="6">
        <f>IF(OR(原始資料!$A70="",43&gt;設定!$B$3,原始資料!AT70=""),"",IF(AND(原始資料!AS70&lt;&gt;"",原始資料!AT70=原始資料!AS70),N(AQ70)+1,1))</f>
        <v/>
      </c>
      <c r="AS70" s="6">
        <f>IF(OR(原始資料!$A70="",44&gt;設定!$B$3,原始資料!AU70=""),"",IF(AND(原始資料!AT70&lt;&gt;"",原始資料!AU70=原始資料!AT70),N(AR70)+1,1))</f>
        <v/>
      </c>
      <c r="AT70" s="6">
        <f>IF(OR(原始資料!$A70="",45&gt;設定!$B$3,原始資料!AV70=""),"",IF(AND(原始資料!AU70&lt;&gt;"",原始資料!AV70=原始資料!AU70),N(AS70)+1,1))</f>
        <v/>
      </c>
      <c r="AU70" s="6">
        <f>IF(OR(原始資料!$A70="",46&gt;設定!$B$3,原始資料!AW70=""),"",IF(AND(原始資料!AV70&lt;&gt;"",原始資料!AW70=原始資料!AV70),N(AT70)+1,1))</f>
        <v/>
      </c>
      <c r="AV70" s="6">
        <f>IF(OR(原始資料!$A70="",47&gt;設定!$B$3,原始資料!AX70=""),"",IF(AND(原始資料!AW70&lt;&gt;"",原始資料!AX70=原始資料!AW70),N(AU70)+1,1))</f>
        <v/>
      </c>
      <c r="AW70" s="6">
        <f>IF(OR(原始資料!$A70="",48&gt;設定!$B$3,原始資料!AY70=""),"",IF(AND(原始資料!AX70&lt;&gt;"",原始資料!AY70=原始資料!AX70),N(AV70)+1,1))</f>
        <v/>
      </c>
      <c r="AX70" s="6">
        <f>IF(OR(原始資料!$A70="",49&gt;設定!$B$3,原始資料!AZ70=""),"",IF(AND(原始資料!AY70&lt;&gt;"",原始資料!AZ70=原始資料!AY70),N(AW70)+1,1))</f>
        <v/>
      </c>
      <c r="AY70" s="6">
        <f>IF(OR(原始資料!$A70="",50&gt;設定!$B$3,原始資料!BA70=""),"",IF(AND(原始資料!AZ70&lt;&gt;"",原始資料!BA70=原始資料!AZ70),N(AX70)+1,1))</f>
        <v/>
      </c>
      <c r="AZ70" s="6">
        <f>IF(OR(原始資料!$A70="",51&gt;設定!$B$3,原始資料!BB70=""),"",IF(AND(原始資料!BA70&lt;&gt;"",原始資料!BB70=原始資料!BA70),N(AY70)+1,1))</f>
        <v/>
      </c>
      <c r="BA70" s="6">
        <f>IF(OR(原始資料!$A70="",52&gt;設定!$B$3,原始資料!BC70=""),"",IF(AND(原始資料!BB70&lt;&gt;"",原始資料!BC70=原始資料!BB70),N(AZ70)+1,1))</f>
        <v/>
      </c>
      <c r="BB70" s="6">
        <f>IF(OR(原始資料!$A70="",53&gt;設定!$B$3,原始資料!BD70=""),"",IF(AND(原始資料!BC70&lt;&gt;"",原始資料!BD70=原始資料!BC70),N(BA70)+1,1))</f>
        <v/>
      </c>
      <c r="BC70" s="6">
        <f>IF(OR(原始資料!$A70="",54&gt;設定!$B$3,原始資料!BE70=""),"",IF(AND(原始資料!BD70&lt;&gt;"",原始資料!BE70=原始資料!BD70),N(BB70)+1,1))</f>
        <v/>
      </c>
      <c r="BD70" s="6">
        <f>IF(OR(原始資料!$A70="",55&gt;設定!$B$3,原始資料!BF70=""),"",IF(AND(原始資料!BE70&lt;&gt;"",原始資料!BF70=原始資料!BE70),N(BC70)+1,1))</f>
        <v/>
      </c>
      <c r="BE70" s="6">
        <f>IF(OR(原始資料!$A70="",56&gt;設定!$B$3,原始資料!BG70=""),"",IF(AND(原始資料!BF70&lt;&gt;"",原始資料!BG70=原始資料!BF70),N(BD70)+1,1))</f>
        <v/>
      </c>
      <c r="BF70" s="6">
        <f>IF(OR(原始資料!$A70="",57&gt;設定!$B$3,原始資料!BH70=""),"",IF(AND(原始資料!BG70&lt;&gt;"",原始資料!BH70=原始資料!BG70),N(BE70)+1,1))</f>
        <v/>
      </c>
      <c r="BG70" s="6">
        <f>IF(OR(原始資料!$A70="",58&gt;設定!$B$3,原始資料!BI70=""),"",IF(AND(原始資料!BH70&lt;&gt;"",原始資料!BI70=原始資料!BH70),N(BF70)+1,1))</f>
        <v/>
      </c>
      <c r="BH70" s="6">
        <f>IF(OR(原始資料!$A70="",59&gt;設定!$B$3,原始資料!BJ70=""),"",IF(AND(原始資料!BI70&lt;&gt;"",原始資料!BJ70=原始資料!BI70),N(BG70)+1,1))</f>
        <v/>
      </c>
      <c r="BI70" s="6">
        <f>IF(OR(原始資料!$A70="",60&gt;設定!$B$3,原始資料!BK70=""),"",IF(AND(原始資料!BJ70&lt;&gt;"",原始資料!BK70=原始資料!BJ70),N(BH70)+1,1))</f>
        <v/>
      </c>
    </row>
    <row r="71">
      <c r="A71" s="6">
        <f>IF(原始資料!$A71="","",原始資料!$A71)</f>
        <v/>
      </c>
      <c r="B71" s="6">
        <f>IF(OR(原始資料!$A71="",1&gt;設定!$B$3,原始資料!D71=""),"",1)</f>
        <v/>
      </c>
      <c r="C71" s="6">
        <f>IF(OR(原始資料!$A71="",2&gt;設定!$B$3,原始資料!E71=""),"",IF(AND(原始資料!D71&lt;&gt;"",原始資料!E71=原始資料!D71),N(B71)+1,1))</f>
        <v/>
      </c>
      <c r="D71" s="6">
        <f>IF(OR(原始資料!$A71="",3&gt;設定!$B$3,原始資料!F71=""),"",IF(AND(原始資料!E71&lt;&gt;"",原始資料!F71=原始資料!E71),N(C71)+1,1))</f>
        <v/>
      </c>
      <c r="E71" s="6">
        <f>IF(OR(原始資料!$A71="",4&gt;設定!$B$3,原始資料!G71=""),"",IF(AND(原始資料!F71&lt;&gt;"",原始資料!G71=原始資料!F71),N(D71)+1,1))</f>
        <v/>
      </c>
      <c r="F71" s="6">
        <f>IF(OR(原始資料!$A71="",5&gt;設定!$B$3,原始資料!H71=""),"",IF(AND(原始資料!G71&lt;&gt;"",原始資料!H71=原始資料!G71),N(E71)+1,1))</f>
        <v/>
      </c>
      <c r="G71" s="6">
        <f>IF(OR(原始資料!$A71="",6&gt;設定!$B$3,原始資料!I71=""),"",IF(AND(原始資料!H71&lt;&gt;"",原始資料!I71=原始資料!H71),N(F71)+1,1))</f>
        <v/>
      </c>
      <c r="H71" s="6">
        <f>IF(OR(原始資料!$A71="",7&gt;設定!$B$3,原始資料!J71=""),"",IF(AND(原始資料!I71&lt;&gt;"",原始資料!J71=原始資料!I71),N(G71)+1,1))</f>
        <v/>
      </c>
      <c r="I71" s="6">
        <f>IF(OR(原始資料!$A71="",8&gt;設定!$B$3,原始資料!K71=""),"",IF(AND(原始資料!J71&lt;&gt;"",原始資料!K71=原始資料!J71),N(H71)+1,1))</f>
        <v/>
      </c>
      <c r="J71" s="6">
        <f>IF(OR(原始資料!$A71="",9&gt;設定!$B$3,原始資料!L71=""),"",IF(AND(原始資料!K71&lt;&gt;"",原始資料!L71=原始資料!K71),N(I71)+1,1))</f>
        <v/>
      </c>
      <c r="K71" s="6">
        <f>IF(OR(原始資料!$A71="",10&gt;設定!$B$3,原始資料!M71=""),"",IF(AND(原始資料!L71&lt;&gt;"",原始資料!M71=原始資料!L71),N(J71)+1,1))</f>
        <v/>
      </c>
      <c r="L71" s="6">
        <f>IF(OR(原始資料!$A71="",11&gt;設定!$B$3,原始資料!N71=""),"",IF(AND(原始資料!M71&lt;&gt;"",原始資料!N71=原始資料!M71),N(K71)+1,1))</f>
        <v/>
      </c>
      <c r="M71" s="6">
        <f>IF(OR(原始資料!$A71="",12&gt;設定!$B$3,原始資料!O71=""),"",IF(AND(原始資料!N71&lt;&gt;"",原始資料!O71=原始資料!N71),N(L71)+1,1))</f>
        <v/>
      </c>
      <c r="N71" s="6">
        <f>IF(OR(原始資料!$A71="",13&gt;設定!$B$3,原始資料!P71=""),"",IF(AND(原始資料!O71&lt;&gt;"",原始資料!P71=原始資料!O71),N(M71)+1,1))</f>
        <v/>
      </c>
      <c r="O71" s="6">
        <f>IF(OR(原始資料!$A71="",14&gt;設定!$B$3,原始資料!Q71=""),"",IF(AND(原始資料!P71&lt;&gt;"",原始資料!Q71=原始資料!P71),N(N71)+1,1))</f>
        <v/>
      </c>
      <c r="P71" s="6">
        <f>IF(OR(原始資料!$A71="",15&gt;設定!$B$3,原始資料!R71=""),"",IF(AND(原始資料!Q71&lt;&gt;"",原始資料!R71=原始資料!Q71),N(O71)+1,1))</f>
        <v/>
      </c>
      <c r="Q71" s="6">
        <f>IF(OR(原始資料!$A71="",16&gt;設定!$B$3,原始資料!S71=""),"",IF(AND(原始資料!R71&lt;&gt;"",原始資料!S71=原始資料!R71),N(P71)+1,1))</f>
        <v/>
      </c>
      <c r="R71" s="6">
        <f>IF(OR(原始資料!$A71="",17&gt;設定!$B$3,原始資料!T71=""),"",IF(AND(原始資料!S71&lt;&gt;"",原始資料!T71=原始資料!S71),N(Q71)+1,1))</f>
        <v/>
      </c>
      <c r="S71" s="6">
        <f>IF(OR(原始資料!$A71="",18&gt;設定!$B$3,原始資料!U71=""),"",IF(AND(原始資料!T71&lt;&gt;"",原始資料!U71=原始資料!T71),N(R71)+1,1))</f>
        <v/>
      </c>
      <c r="T71" s="6">
        <f>IF(OR(原始資料!$A71="",19&gt;設定!$B$3,原始資料!V71=""),"",IF(AND(原始資料!U71&lt;&gt;"",原始資料!V71=原始資料!U71),N(S71)+1,1))</f>
        <v/>
      </c>
      <c r="U71" s="6">
        <f>IF(OR(原始資料!$A71="",20&gt;設定!$B$3,原始資料!W71=""),"",IF(AND(原始資料!V71&lt;&gt;"",原始資料!W71=原始資料!V71),N(T71)+1,1))</f>
        <v/>
      </c>
      <c r="V71" s="6">
        <f>IF(OR(原始資料!$A71="",21&gt;設定!$B$3,原始資料!X71=""),"",IF(AND(原始資料!W71&lt;&gt;"",原始資料!X71=原始資料!W71),N(U71)+1,1))</f>
        <v/>
      </c>
      <c r="W71" s="6">
        <f>IF(OR(原始資料!$A71="",22&gt;設定!$B$3,原始資料!Y71=""),"",IF(AND(原始資料!X71&lt;&gt;"",原始資料!Y71=原始資料!X71),N(V71)+1,1))</f>
        <v/>
      </c>
      <c r="X71" s="6">
        <f>IF(OR(原始資料!$A71="",23&gt;設定!$B$3,原始資料!Z71=""),"",IF(AND(原始資料!Y71&lt;&gt;"",原始資料!Z71=原始資料!Y71),N(W71)+1,1))</f>
        <v/>
      </c>
      <c r="Y71" s="6">
        <f>IF(OR(原始資料!$A71="",24&gt;設定!$B$3,原始資料!AA71=""),"",IF(AND(原始資料!Z71&lt;&gt;"",原始資料!AA71=原始資料!Z71),N(X71)+1,1))</f>
        <v/>
      </c>
      <c r="Z71" s="6">
        <f>IF(OR(原始資料!$A71="",25&gt;設定!$B$3,原始資料!AB71=""),"",IF(AND(原始資料!AA71&lt;&gt;"",原始資料!AB71=原始資料!AA71),N(Y71)+1,1))</f>
        <v/>
      </c>
      <c r="AA71" s="6">
        <f>IF(OR(原始資料!$A71="",26&gt;設定!$B$3,原始資料!AC71=""),"",IF(AND(原始資料!AB71&lt;&gt;"",原始資料!AC71=原始資料!AB71),N(Z71)+1,1))</f>
        <v/>
      </c>
      <c r="AB71" s="6">
        <f>IF(OR(原始資料!$A71="",27&gt;設定!$B$3,原始資料!AD71=""),"",IF(AND(原始資料!AC71&lt;&gt;"",原始資料!AD71=原始資料!AC71),N(AA71)+1,1))</f>
        <v/>
      </c>
      <c r="AC71" s="6">
        <f>IF(OR(原始資料!$A71="",28&gt;設定!$B$3,原始資料!AE71=""),"",IF(AND(原始資料!AD71&lt;&gt;"",原始資料!AE71=原始資料!AD71),N(AB71)+1,1))</f>
        <v/>
      </c>
      <c r="AD71" s="6">
        <f>IF(OR(原始資料!$A71="",29&gt;設定!$B$3,原始資料!AF71=""),"",IF(AND(原始資料!AE71&lt;&gt;"",原始資料!AF71=原始資料!AE71),N(AC71)+1,1))</f>
        <v/>
      </c>
      <c r="AE71" s="6">
        <f>IF(OR(原始資料!$A71="",30&gt;設定!$B$3,原始資料!AG71=""),"",IF(AND(原始資料!AF71&lt;&gt;"",原始資料!AG71=原始資料!AF71),N(AD71)+1,1))</f>
        <v/>
      </c>
      <c r="AF71" s="6">
        <f>IF(OR(原始資料!$A71="",31&gt;設定!$B$3,原始資料!AH71=""),"",IF(AND(原始資料!AG71&lt;&gt;"",原始資料!AH71=原始資料!AG71),N(AE71)+1,1))</f>
        <v/>
      </c>
      <c r="AG71" s="6">
        <f>IF(OR(原始資料!$A71="",32&gt;設定!$B$3,原始資料!AI71=""),"",IF(AND(原始資料!AH71&lt;&gt;"",原始資料!AI71=原始資料!AH71),N(AF71)+1,1))</f>
        <v/>
      </c>
      <c r="AH71" s="6">
        <f>IF(OR(原始資料!$A71="",33&gt;設定!$B$3,原始資料!AJ71=""),"",IF(AND(原始資料!AI71&lt;&gt;"",原始資料!AJ71=原始資料!AI71),N(AG71)+1,1))</f>
        <v/>
      </c>
      <c r="AI71" s="6">
        <f>IF(OR(原始資料!$A71="",34&gt;設定!$B$3,原始資料!AK71=""),"",IF(AND(原始資料!AJ71&lt;&gt;"",原始資料!AK71=原始資料!AJ71),N(AH71)+1,1))</f>
        <v/>
      </c>
      <c r="AJ71" s="6">
        <f>IF(OR(原始資料!$A71="",35&gt;設定!$B$3,原始資料!AL71=""),"",IF(AND(原始資料!AK71&lt;&gt;"",原始資料!AL71=原始資料!AK71),N(AI71)+1,1))</f>
        <v/>
      </c>
      <c r="AK71" s="6">
        <f>IF(OR(原始資料!$A71="",36&gt;設定!$B$3,原始資料!AM71=""),"",IF(AND(原始資料!AL71&lt;&gt;"",原始資料!AM71=原始資料!AL71),N(AJ71)+1,1))</f>
        <v/>
      </c>
      <c r="AL71" s="6">
        <f>IF(OR(原始資料!$A71="",37&gt;設定!$B$3,原始資料!AN71=""),"",IF(AND(原始資料!AM71&lt;&gt;"",原始資料!AN71=原始資料!AM71),N(AK71)+1,1))</f>
        <v/>
      </c>
      <c r="AM71" s="6">
        <f>IF(OR(原始資料!$A71="",38&gt;設定!$B$3,原始資料!AO71=""),"",IF(AND(原始資料!AN71&lt;&gt;"",原始資料!AO71=原始資料!AN71),N(AL71)+1,1))</f>
        <v/>
      </c>
      <c r="AN71" s="6">
        <f>IF(OR(原始資料!$A71="",39&gt;設定!$B$3,原始資料!AP71=""),"",IF(AND(原始資料!AO71&lt;&gt;"",原始資料!AP71=原始資料!AO71),N(AM71)+1,1))</f>
        <v/>
      </c>
      <c r="AO71" s="6">
        <f>IF(OR(原始資料!$A71="",40&gt;設定!$B$3,原始資料!AQ71=""),"",IF(AND(原始資料!AP71&lt;&gt;"",原始資料!AQ71=原始資料!AP71),N(AN71)+1,1))</f>
        <v/>
      </c>
      <c r="AP71" s="6">
        <f>IF(OR(原始資料!$A71="",41&gt;設定!$B$3,原始資料!AR71=""),"",IF(AND(原始資料!AQ71&lt;&gt;"",原始資料!AR71=原始資料!AQ71),N(AO71)+1,1))</f>
        <v/>
      </c>
      <c r="AQ71" s="6">
        <f>IF(OR(原始資料!$A71="",42&gt;設定!$B$3,原始資料!AS71=""),"",IF(AND(原始資料!AR71&lt;&gt;"",原始資料!AS71=原始資料!AR71),N(AP71)+1,1))</f>
        <v/>
      </c>
      <c r="AR71" s="6">
        <f>IF(OR(原始資料!$A71="",43&gt;設定!$B$3,原始資料!AT71=""),"",IF(AND(原始資料!AS71&lt;&gt;"",原始資料!AT71=原始資料!AS71),N(AQ71)+1,1))</f>
        <v/>
      </c>
      <c r="AS71" s="6">
        <f>IF(OR(原始資料!$A71="",44&gt;設定!$B$3,原始資料!AU71=""),"",IF(AND(原始資料!AT71&lt;&gt;"",原始資料!AU71=原始資料!AT71),N(AR71)+1,1))</f>
        <v/>
      </c>
      <c r="AT71" s="6">
        <f>IF(OR(原始資料!$A71="",45&gt;設定!$B$3,原始資料!AV71=""),"",IF(AND(原始資料!AU71&lt;&gt;"",原始資料!AV71=原始資料!AU71),N(AS71)+1,1))</f>
        <v/>
      </c>
      <c r="AU71" s="6">
        <f>IF(OR(原始資料!$A71="",46&gt;設定!$B$3,原始資料!AW71=""),"",IF(AND(原始資料!AV71&lt;&gt;"",原始資料!AW71=原始資料!AV71),N(AT71)+1,1))</f>
        <v/>
      </c>
      <c r="AV71" s="6">
        <f>IF(OR(原始資料!$A71="",47&gt;設定!$B$3,原始資料!AX71=""),"",IF(AND(原始資料!AW71&lt;&gt;"",原始資料!AX71=原始資料!AW71),N(AU71)+1,1))</f>
        <v/>
      </c>
      <c r="AW71" s="6">
        <f>IF(OR(原始資料!$A71="",48&gt;設定!$B$3,原始資料!AY71=""),"",IF(AND(原始資料!AX71&lt;&gt;"",原始資料!AY71=原始資料!AX71),N(AV71)+1,1))</f>
        <v/>
      </c>
      <c r="AX71" s="6">
        <f>IF(OR(原始資料!$A71="",49&gt;設定!$B$3,原始資料!AZ71=""),"",IF(AND(原始資料!AY71&lt;&gt;"",原始資料!AZ71=原始資料!AY71),N(AW71)+1,1))</f>
        <v/>
      </c>
      <c r="AY71" s="6">
        <f>IF(OR(原始資料!$A71="",50&gt;設定!$B$3,原始資料!BA71=""),"",IF(AND(原始資料!AZ71&lt;&gt;"",原始資料!BA71=原始資料!AZ71),N(AX71)+1,1))</f>
        <v/>
      </c>
      <c r="AZ71" s="6">
        <f>IF(OR(原始資料!$A71="",51&gt;設定!$B$3,原始資料!BB71=""),"",IF(AND(原始資料!BA71&lt;&gt;"",原始資料!BB71=原始資料!BA71),N(AY71)+1,1))</f>
        <v/>
      </c>
      <c r="BA71" s="6">
        <f>IF(OR(原始資料!$A71="",52&gt;設定!$B$3,原始資料!BC71=""),"",IF(AND(原始資料!BB71&lt;&gt;"",原始資料!BC71=原始資料!BB71),N(AZ71)+1,1))</f>
        <v/>
      </c>
      <c r="BB71" s="6">
        <f>IF(OR(原始資料!$A71="",53&gt;設定!$B$3,原始資料!BD71=""),"",IF(AND(原始資料!BC71&lt;&gt;"",原始資料!BD71=原始資料!BC71),N(BA71)+1,1))</f>
        <v/>
      </c>
      <c r="BC71" s="6">
        <f>IF(OR(原始資料!$A71="",54&gt;設定!$B$3,原始資料!BE71=""),"",IF(AND(原始資料!BD71&lt;&gt;"",原始資料!BE71=原始資料!BD71),N(BB71)+1,1))</f>
        <v/>
      </c>
      <c r="BD71" s="6">
        <f>IF(OR(原始資料!$A71="",55&gt;設定!$B$3,原始資料!BF71=""),"",IF(AND(原始資料!BE71&lt;&gt;"",原始資料!BF71=原始資料!BE71),N(BC71)+1,1))</f>
        <v/>
      </c>
      <c r="BE71" s="6">
        <f>IF(OR(原始資料!$A71="",56&gt;設定!$B$3,原始資料!BG71=""),"",IF(AND(原始資料!BF71&lt;&gt;"",原始資料!BG71=原始資料!BF71),N(BD71)+1,1))</f>
        <v/>
      </c>
      <c r="BF71" s="6">
        <f>IF(OR(原始資料!$A71="",57&gt;設定!$B$3,原始資料!BH71=""),"",IF(AND(原始資料!BG71&lt;&gt;"",原始資料!BH71=原始資料!BG71),N(BE71)+1,1))</f>
        <v/>
      </c>
      <c r="BG71" s="6">
        <f>IF(OR(原始資料!$A71="",58&gt;設定!$B$3,原始資料!BI71=""),"",IF(AND(原始資料!BH71&lt;&gt;"",原始資料!BI71=原始資料!BH71),N(BF71)+1,1))</f>
        <v/>
      </c>
      <c r="BH71" s="6">
        <f>IF(OR(原始資料!$A71="",59&gt;設定!$B$3,原始資料!BJ71=""),"",IF(AND(原始資料!BI71&lt;&gt;"",原始資料!BJ71=原始資料!BI71),N(BG71)+1,1))</f>
        <v/>
      </c>
      <c r="BI71" s="6">
        <f>IF(OR(原始資料!$A71="",60&gt;設定!$B$3,原始資料!BK71=""),"",IF(AND(原始資料!BJ71&lt;&gt;"",原始資料!BK71=原始資料!BJ71),N(BH71)+1,1))</f>
        <v/>
      </c>
    </row>
    <row r="72">
      <c r="A72" s="6">
        <f>IF(原始資料!$A72="","",原始資料!$A72)</f>
        <v/>
      </c>
      <c r="B72" s="6">
        <f>IF(OR(原始資料!$A72="",1&gt;設定!$B$3,原始資料!D72=""),"",1)</f>
        <v/>
      </c>
      <c r="C72" s="6">
        <f>IF(OR(原始資料!$A72="",2&gt;設定!$B$3,原始資料!E72=""),"",IF(AND(原始資料!D72&lt;&gt;"",原始資料!E72=原始資料!D72),N(B72)+1,1))</f>
        <v/>
      </c>
      <c r="D72" s="6">
        <f>IF(OR(原始資料!$A72="",3&gt;設定!$B$3,原始資料!F72=""),"",IF(AND(原始資料!E72&lt;&gt;"",原始資料!F72=原始資料!E72),N(C72)+1,1))</f>
        <v/>
      </c>
      <c r="E72" s="6">
        <f>IF(OR(原始資料!$A72="",4&gt;設定!$B$3,原始資料!G72=""),"",IF(AND(原始資料!F72&lt;&gt;"",原始資料!G72=原始資料!F72),N(D72)+1,1))</f>
        <v/>
      </c>
      <c r="F72" s="6">
        <f>IF(OR(原始資料!$A72="",5&gt;設定!$B$3,原始資料!H72=""),"",IF(AND(原始資料!G72&lt;&gt;"",原始資料!H72=原始資料!G72),N(E72)+1,1))</f>
        <v/>
      </c>
      <c r="G72" s="6">
        <f>IF(OR(原始資料!$A72="",6&gt;設定!$B$3,原始資料!I72=""),"",IF(AND(原始資料!H72&lt;&gt;"",原始資料!I72=原始資料!H72),N(F72)+1,1))</f>
        <v/>
      </c>
      <c r="H72" s="6">
        <f>IF(OR(原始資料!$A72="",7&gt;設定!$B$3,原始資料!J72=""),"",IF(AND(原始資料!I72&lt;&gt;"",原始資料!J72=原始資料!I72),N(G72)+1,1))</f>
        <v/>
      </c>
      <c r="I72" s="6">
        <f>IF(OR(原始資料!$A72="",8&gt;設定!$B$3,原始資料!K72=""),"",IF(AND(原始資料!J72&lt;&gt;"",原始資料!K72=原始資料!J72),N(H72)+1,1))</f>
        <v/>
      </c>
      <c r="J72" s="6">
        <f>IF(OR(原始資料!$A72="",9&gt;設定!$B$3,原始資料!L72=""),"",IF(AND(原始資料!K72&lt;&gt;"",原始資料!L72=原始資料!K72),N(I72)+1,1))</f>
        <v/>
      </c>
      <c r="K72" s="6">
        <f>IF(OR(原始資料!$A72="",10&gt;設定!$B$3,原始資料!M72=""),"",IF(AND(原始資料!L72&lt;&gt;"",原始資料!M72=原始資料!L72),N(J72)+1,1))</f>
        <v/>
      </c>
      <c r="L72" s="6">
        <f>IF(OR(原始資料!$A72="",11&gt;設定!$B$3,原始資料!N72=""),"",IF(AND(原始資料!M72&lt;&gt;"",原始資料!N72=原始資料!M72),N(K72)+1,1))</f>
        <v/>
      </c>
      <c r="M72" s="6">
        <f>IF(OR(原始資料!$A72="",12&gt;設定!$B$3,原始資料!O72=""),"",IF(AND(原始資料!N72&lt;&gt;"",原始資料!O72=原始資料!N72),N(L72)+1,1))</f>
        <v/>
      </c>
      <c r="N72" s="6">
        <f>IF(OR(原始資料!$A72="",13&gt;設定!$B$3,原始資料!P72=""),"",IF(AND(原始資料!O72&lt;&gt;"",原始資料!P72=原始資料!O72),N(M72)+1,1))</f>
        <v/>
      </c>
      <c r="O72" s="6">
        <f>IF(OR(原始資料!$A72="",14&gt;設定!$B$3,原始資料!Q72=""),"",IF(AND(原始資料!P72&lt;&gt;"",原始資料!Q72=原始資料!P72),N(N72)+1,1))</f>
        <v/>
      </c>
      <c r="P72" s="6">
        <f>IF(OR(原始資料!$A72="",15&gt;設定!$B$3,原始資料!R72=""),"",IF(AND(原始資料!Q72&lt;&gt;"",原始資料!R72=原始資料!Q72),N(O72)+1,1))</f>
        <v/>
      </c>
      <c r="Q72" s="6">
        <f>IF(OR(原始資料!$A72="",16&gt;設定!$B$3,原始資料!S72=""),"",IF(AND(原始資料!R72&lt;&gt;"",原始資料!S72=原始資料!R72),N(P72)+1,1))</f>
        <v/>
      </c>
      <c r="R72" s="6">
        <f>IF(OR(原始資料!$A72="",17&gt;設定!$B$3,原始資料!T72=""),"",IF(AND(原始資料!S72&lt;&gt;"",原始資料!T72=原始資料!S72),N(Q72)+1,1))</f>
        <v/>
      </c>
      <c r="S72" s="6">
        <f>IF(OR(原始資料!$A72="",18&gt;設定!$B$3,原始資料!U72=""),"",IF(AND(原始資料!T72&lt;&gt;"",原始資料!U72=原始資料!T72),N(R72)+1,1))</f>
        <v/>
      </c>
      <c r="T72" s="6">
        <f>IF(OR(原始資料!$A72="",19&gt;設定!$B$3,原始資料!V72=""),"",IF(AND(原始資料!U72&lt;&gt;"",原始資料!V72=原始資料!U72),N(S72)+1,1))</f>
        <v/>
      </c>
      <c r="U72" s="6">
        <f>IF(OR(原始資料!$A72="",20&gt;設定!$B$3,原始資料!W72=""),"",IF(AND(原始資料!V72&lt;&gt;"",原始資料!W72=原始資料!V72),N(T72)+1,1))</f>
        <v/>
      </c>
      <c r="V72" s="6">
        <f>IF(OR(原始資料!$A72="",21&gt;設定!$B$3,原始資料!X72=""),"",IF(AND(原始資料!W72&lt;&gt;"",原始資料!X72=原始資料!W72),N(U72)+1,1))</f>
        <v/>
      </c>
      <c r="W72" s="6">
        <f>IF(OR(原始資料!$A72="",22&gt;設定!$B$3,原始資料!Y72=""),"",IF(AND(原始資料!X72&lt;&gt;"",原始資料!Y72=原始資料!X72),N(V72)+1,1))</f>
        <v/>
      </c>
      <c r="X72" s="6">
        <f>IF(OR(原始資料!$A72="",23&gt;設定!$B$3,原始資料!Z72=""),"",IF(AND(原始資料!Y72&lt;&gt;"",原始資料!Z72=原始資料!Y72),N(W72)+1,1))</f>
        <v/>
      </c>
      <c r="Y72" s="6">
        <f>IF(OR(原始資料!$A72="",24&gt;設定!$B$3,原始資料!AA72=""),"",IF(AND(原始資料!Z72&lt;&gt;"",原始資料!AA72=原始資料!Z72),N(X72)+1,1))</f>
        <v/>
      </c>
      <c r="Z72" s="6">
        <f>IF(OR(原始資料!$A72="",25&gt;設定!$B$3,原始資料!AB72=""),"",IF(AND(原始資料!AA72&lt;&gt;"",原始資料!AB72=原始資料!AA72),N(Y72)+1,1))</f>
        <v/>
      </c>
      <c r="AA72" s="6">
        <f>IF(OR(原始資料!$A72="",26&gt;設定!$B$3,原始資料!AC72=""),"",IF(AND(原始資料!AB72&lt;&gt;"",原始資料!AC72=原始資料!AB72),N(Z72)+1,1))</f>
        <v/>
      </c>
      <c r="AB72" s="6">
        <f>IF(OR(原始資料!$A72="",27&gt;設定!$B$3,原始資料!AD72=""),"",IF(AND(原始資料!AC72&lt;&gt;"",原始資料!AD72=原始資料!AC72),N(AA72)+1,1))</f>
        <v/>
      </c>
      <c r="AC72" s="6">
        <f>IF(OR(原始資料!$A72="",28&gt;設定!$B$3,原始資料!AE72=""),"",IF(AND(原始資料!AD72&lt;&gt;"",原始資料!AE72=原始資料!AD72),N(AB72)+1,1))</f>
        <v/>
      </c>
      <c r="AD72" s="6">
        <f>IF(OR(原始資料!$A72="",29&gt;設定!$B$3,原始資料!AF72=""),"",IF(AND(原始資料!AE72&lt;&gt;"",原始資料!AF72=原始資料!AE72),N(AC72)+1,1))</f>
        <v/>
      </c>
      <c r="AE72" s="6">
        <f>IF(OR(原始資料!$A72="",30&gt;設定!$B$3,原始資料!AG72=""),"",IF(AND(原始資料!AF72&lt;&gt;"",原始資料!AG72=原始資料!AF72),N(AD72)+1,1))</f>
        <v/>
      </c>
      <c r="AF72" s="6">
        <f>IF(OR(原始資料!$A72="",31&gt;設定!$B$3,原始資料!AH72=""),"",IF(AND(原始資料!AG72&lt;&gt;"",原始資料!AH72=原始資料!AG72),N(AE72)+1,1))</f>
        <v/>
      </c>
      <c r="AG72" s="6">
        <f>IF(OR(原始資料!$A72="",32&gt;設定!$B$3,原始資料!AI72=""),"",IF(AND(原始資料!AH72&lt;&gt;"",原始資料!AI72=原始資料!AH72),N(AF72)+1,1))</f>
        <v/>
      </c>
      <c r="AH72" s="6">
        <f>IF(OR(原始資料!$A72="",33&gt;設定!$B$3,原始資料!AJ72=""),"",IF(AND(原始資料!AI72&lt;&gt;"",原始資料!AJ72=原始資料!AI72),N(AG72)+1,1))</f>
        <v/>
      </c>
      <c r="AI72" s="6">
        <f>IF(OR(原始資料!$A72="",34&gt;設定!$B$3,原始資料!AK72=""),"",IF(AND(原始資料!AJ72&lt;&gt;"",原始資料!AK72=原始資料!AJ72),N(AH72)+1,1))</f>
        <v/>
      </c>
      <c r="AJ72" s="6">
        <f>IF(OR(原始資料!$A72="",35&gt;設定!$B$3,原始資料!AL72=""),"",IF(AND(原始資料!AK72&lt;&gt;"",原始資料!AL72=原始資料!AK72),N(AI72)+1,1))</f>
        <v/>
      </c>
      <c r="AK72" s="6">
        <f>IF(OR(原始資料!$A72="",36&gt;設定!$B$3,原始資料!AM72=""),"",IF(AND(原始資料!AL72&lt;&gt;"",原始資料!AM72=原始資料!AL72),N(AJ72)+1,1))</f>
        <v/>
      </c>
      <c r="AL72" s="6">
        <f>IF(OR(原始資料!$A72="",37&gt;設定!$B$3,原始資料!AN72=""),"",IF(AND(原始資料!AM72&lt;&gt;"",原始資料!AN72=原始資料!AM72),N(AK72)+1,1))</f>
        <v/>
      </c>
      <c r="AM72" s="6">
        <f>IF(OR(原始資料!$A72="",38&gt;設定!$B$3,原始資料!AO72=""),"",IF(AND(原始資料!AN72&lt;&gt;"",原始資料!AO72=原始資料!AN72),N(AL72)+1,1))</f>
        <v/>
      </c>
      <c r="AN72" s="6">
        <f>IF(OR(原始資料!$A72="",39&gt;設定!$B$3,原始資料!AP72=""),"",IF(AND(原始資料!AO72&lt;&gt;"",原始資料!AP72=原始資料!AO72),N(AM72)+1,1))</f>
        <v/>
      </c>
      <c r="AO72" s="6">
        <f>IF(OR(原始資料!$A72="",40&gt;設定!$B$3,原始資料!AQ72=""),"",IF(AND(原始資料!AP72&lt;&gt;"",原始資料!AQ72=原始資料!AP72),N(AN72)+1,1))</f>
        <v/>
      </c>
      <c r="AP72" s="6">
        <f>IF(OR(原始資料!$A72="",41&gt;設定!$B$3,原始資料!AR72=""),"",IF(AND(原始資料!AQ72&lt;&gt;"",原始資料!AR72=原始資料!AQ72),N(AO72)+1,1))</f>
        <v/>
      </c>
      <c r="AQ72" s="6">
        <f>IF(OR(原始資料!$A72="",42&gt;設定!$B$3,原始資料!AS72=""),"",IF(AND(原始資料!AR72&lt;&gt;"",原始資料!AS72=原始資料!AR72),N(AP72)+1,1))</f>
        <v/>
      </c>
      <c r="AR72" s="6">
        <f>IF(OR(原始資料!$A72="",43&gt;設定!$B$3,原始資料!AT72=""),"",IF(AND(原始資料!AS72&lt;&gt;"",原始資料!AT72=原始資料!AS72),N(AQ72)+1,1))</f>
        <v/>
      </c>
      <c r="AS72" s="6">
        <f>IF(OR(原始資料!$A72="",44&gt;設定!$B$3,原始資料!AU72=""),"",IF(AND(原始資料!AT72&lt;&gt;"",原始資料!AU72=原始資料!AT72),N(AR72)+1,1))</f>
        <v/>
      </c>
      <c r="AT72" s="6">
        <f>IF(OR(原始資料!$A72="",45&gt;設定!$B$3,原始資料!AV72=""),"",IF(AND(原始資料!AU72&lt;&gt;"",原始資料!AV72=原始資料!AU72),N(AS72)+1,1))</f>
        <v/>
      </c>
      <c r="AU72" s="6">
        <f>IF(OR(原始資料!$A72="",46&gt;設定!$B$3,原始資料!AW72=""),"",IF(AND(原始資料!AV72&lt;&gt;"",原始資料!AW72=原始資料!AV72),N(AT72)+1,1))</f>
        <v/>
      </c>
      <c r="AV72" s="6">
        <f>IF(OR(原始資料!$A72="",47&gt;設定!$B$3,原始資料!AX72=""),"",IF(AND(原始資料!AW72&lt;&gt;"",原始資料!AX72=原始資料!AW72),N(AU72)+1,1))</f>
        <v/>
      </c>
      <c r="AW72" s="6">
        <f>IF(OR(原始資料!$A72="",48&gt;設定!$B$3,原始資料!AY72=""),"",IF(AND(原始資料!AX72&lt;&gt;"",原始資料!AY72=原始資料!AX72),N(AV72)+1,1))</f>
        <v/>
      </c>
      <c r="AX72" s="6">
        <f>IF(OR(原始資料!$A72="",49&gt;設定!$B$3,原始資料!AZ72=""),"",IF(AND(原始資料!AY72&lt;&gt;"",原始資料!AZ72=原始資料!AY72),N(AW72)+1,1))</f>
        <v/>
      </c>
      <c r="AY72" s="6">
        <f>IF(OR(原始資料!$A72="",50&gt;設定!$B$3,原始資料!BA72=""),"",IF(AND(原始資料!AZ72&lt;&gt;"",原始資料!BA72=原始資料!AZ72),N(AX72)+1,1))</f>
        <v/>
      </c>
      <c r="AZ72" s="6">
        <f>IF(OR(原始資料!$A72="",51&gt;設定!$B$3,原始資料!BB72=""),"",IF(AND(原始資料!BA72&lt;&gt;"",原始資料!BB72=原始資料!BA72),N(AY72)+1,1))</f>
        <v/>
      </c>
      <c r="BA72" s="6">
        <f>IF(OR(原始資料!$A72="",52&gt;設定!$B$3,原始資料!BC72=""),"",IF(AND(原始資料!BB72&lt;&gt;"",原始資料!BC72=原始資料!BB72),N(AZ72)+1,1))</f>
        <v/>
      </c>
      <c r="BB72" s="6">
        <f>IF(OR(原始資料!$A72="",53&gt;設定!$B$3,原始資料!BD72=""),"",IF(AND(原始資料!BC72&lt;&gt;"",原始資料!BD72=原始資料!BC72),N(BA72)+1,1))</f>
        <v/>
      </c>
      <c r="BC72" s="6">
        <f>IF(OR(原始資料!$A72="",54&gt;設定!$B$3,原始資料!BE72=""),"",IF(AND(原始資料!BD72&lt;&gt;"",原始資料!BE72=原始資料!BD72),N(BB72)+1,1))</f>
        <v/>
      </c>
      <c r="BD72" s="6">
        <f>IF(OR(原始資料!$A72="",55&gt;設定!$B$3,原始資料!BF72=""),"",IF(AND(原始資料!BE72&lt;&gt;"",原始資料!BF72=原始資料!BE72),N(BC72)+1,1))</f>
        <v/>
      </c>
      <c r="BE72" s="6">
        <f>IF(OR(原始資料!$A72="",56&gt;設定!$B$3,原始資料!BG72=""),"",IF(AND(原始資料!BF72&lt;&gt;"",原始資料!BG72=原始資料!BF72),N(BD72)+1,1))</f>
        <v/>
      </c>
      <c r="BF72" s="6">
        <f>IF(OR(原始資料!$A72="",57&gt;設定!$B$3,原始資料!BH72=""),"",IF(AND(原始資料!BG72&lt;&gt;"",原始資料!BH72=原始資料!BG72),N(BE72)+1,1))</f>
        <v/>
      </c>
      <c r="BG72" s="6">
        <f>IF(OR(原始資料!$A72="",58&gt;設定!$B$3,原始資料!BI72=""),"",IF(AND(原始資料!BH72&lt;&gt;"",原始資料!BI72=原始資料!BH72),N(BF72)+1,1))</f>
        <v/>
      </c>
      <c r="BH72" s="6">
        <f>IF(OR(原始資料!$A72="",59&gt;設定!$B$3,原始資料!BJ72=""),"",IF(AND(原始資料!BI72&lt;&gt;"",原始資料!BJ72=原始資料!BI72),N(BG72)+1,1))</f>
        <v/>
      </c>
      <c r="BI72" s="6">
        <f>IF(OR(原始資料!$A72="",60&gt;設定!$B$3,原始資料!BK72=""),"",IF(AND(原始資料!BJ72&lt;&gt;"",原始資料!BK72=原始資料!BJ72),N(BH72)+1,1))</f>
        <v/>
      </c>
    </row>
    <row r="73">
      <c r="A73" s="6">
        <f>IF(原始資料!$A73="","",原始資料!$A73)</f>
        <v/>
      </c>
      <c r="B73" s="6">
        <f>IF(OR(原始資料!$A73="",1&gt;設定!$B$3,原始資料!D73=""),"",1)</f>
        <v/>
      </c>
      <c r="C73" s="6">
        <f>IF(OR(原始資料!$A73="",2&gt;設定!$B$3,原始資料!E73=""),"",IF(AND(原始資料!D73&lt;&gt;"",原始資料!E73=原始資料!D73),N(B73)+1,1))</f>
        <v/>
      </c>
      <c r="D73" s="6">
        <f>IF(OR(原始資料!$A73="",3&gt;設定!$B$3,原始資料!F73=""),"",IF(AND(原始資料!E73&lt;&gt;"",原始資料!F73=原始資料!E73),N(C73)+1,1))</f>
        <v/>
      </c>
      <c r="E73" s="6">
        <f>IF(OR(原始資料!$A73="",4&gt;設定!$B$3,原始資料!G73=""),"",IF(AND(原始資料!F73&lt;&gt;"",原始資料!G73=原始資料!F73),N(D73)+1,1))</f>
        <v/>
      </c>
      <c r="F73" s="6">
        <f>IF(OR(原始資料!$A73="",5&gt;設定!$B$3,原始資料!H73=""),"",IF(AND(原始資料!G73&lt;&gt;"",原始資料!H73=原始資料!G73),N(E73)+1,1))</f>
        <v/>
      </c>
      <c r="G73" s="6">
        <f>IF(OR(原始資料!$A73="",6&gt;設定!$B$3,原始資料!I73=""),"",IF(AND(原始資料!H73&lt;&gt;"",原始資料!I73=原始資料!H73),N(F73)+1,1))</f>
        <v/>
      </c>
      <c r="H73" s="6">
        <f>IF(OR(原始資料!$A73="",7&gt;設定!$B$3,原始資料!J73=""),"",IF(AND(原始資料!I73&lt;&gt;"",原始資料!J73=原始資料!I73),N(G73)+1,1))</f>
        <v/>
      </c>
      <c r="I73" s="6">
        <f>IF(OR(原始資料!$A73="",8&gt;設定!$B$3,原始資料!K73=""),"",IF(AND(原始資料!J73&lt;&gt;"",原始資料!K73=原始資料!J73),N(H73)+1,1))</f>
        <v/>
      </c>
      <c r="J73" s="6">
        <f>IF(OR(原始資料!$A73="",9&gt;設定!$B$3,原始資料!L73=""),"",IF(AND(原始資料!K73&lt;&gt;"",原始資料!L73=原始資料!K73),N(I73)+1,1))</f>
        <v/>
      </c>
      <c r="K73" s="6">
        <f>IF(OR(原始資料!$A73="",10&gt;設定!$B$3,原始資料!M73=""),"",IF(AND(原始資料!L73&lt;&gt;"",原始資料!M73=原始資料!L73),N(J73)+1,1))</f>
        <v/>
      </c>
      <c r="L73" s="6">
        <f>IF(OR(原始資料!$A73="",11&gt;設定!$B$3,原始資料!N73=""),"",IF(AND(原始資料!M73&lt;&gt;"",原始資料!N73=原始資料!M73),N(K73)+1,1))</f>
        <v/>
      </c>
      <c r="M73" s="6">
        <f>IF(OR(原始資料!$A73="",12&gt;設定!$B$3,原始資料!O73=""),"",IF(AND(原始資料!N73&lt;&gt;"",原始資料!O73=原始資料!N73),N(L73)+1,1))</f>
        <v/>
      </c>
      <c r="N73" s="6">
        <f>IF(OR(原始資料!$A73="",13&gt;設定!$B$3,原始資料!P73=""),"",IF(AND(原始資料!O73&lt;&gt;"",原始資料!P73=原始資料!O73),N(M73)+1,1))</f>
        <v/>
      </c>
      <c r="O73" s="6">
        <f>IF(OR(原始資料!$A73="",14&gt;設定!$B$3,原始資料!Q73=""),"",IF(AND(原始資料!P73&lt;&gt;"",原始資料!Q73=原始資料!P73),N(N73)+1,1))</f>
        <v/>
      </c>
      <c r="P73" s="6">
        <f>IF(OR(原始資料!$A73="",15&gt;設定!$B$3,原始資料!R73=""),"",IF(AND(原始資料!Q73&lt;&gt;"",原始資料!R73=原始資料!Q73),N(O73)+1,1))</f>
        <v/>
      </c>
      <c r="Q73" s="6">
        <f>IF(OR(原始資料!$A73="",16&gt;設定!$B$3,原始資料!S73=""),"",IF(AND(原始資料!R73&lt;&gt;"",原始資料!S73=原始資料!R73),N(P73)+1,1))</f>
        <v/>
      </c>
      <c r="R73" s="6">
        <f>IF(OR(原始資料!$A73="",17&gt;設定!$B$3,原始資料!T73=""),"",IF(AND(原始資料!S73&lt;&gt;"",原始資料!T73=原始資料!S73),N(Q73)+1,1))</f>
        <v/>
      </c>
      <c r="S73" s="6">
        <f>IF(OR(原始資料!$A73="",18&gt;設定!$B$3,原始資料!U73=""),"",IF(AND(原始資料!T73&lt;&gt;"",原始資料!U73=原始資料!T73),N(R73)+1,1))</f>
        <v/>
      </c>
      <c r="T73" s="6">
        <f>IF(OR(原始資料!$A73="",19&gt;設定!$B$3,原始資料!V73=""),"",IF(AND(原始資料!U73&lt;&gt;"",原始資料!V73=原始資料!U73),N(S73)+1,1))</f>
        <v/>
      </c>
      <c r="U73" s="6">
        <f>IF(OR(原始資料!$A73="",20&gt;設定!$B$3,原始資料!W73=""),"",IF(AND(原始資料!V73&lt;&gt;"",原始資料!W73=原始資料!V73),N(T73)+1,1))</f>
        <v/>
      </c>
      <c r="V73" s="6">
        <f>IF(OR(原始資料!$A73="",21&gt;設定!$B$3,原始資料!X73=""),"",IF(AND(原始資料!W73&lt;&gt;"",原始資料!X73=原始資料!W73),N(U73)+1,1))</f>
        <v/>
      </c>
      <c r="W73" s="6">
        <f>IF(OR(原始資料!$A73="",22&gt;設定!$B$3,原始資料!Y73=""),"",IF(AND(原始資料!X73&lt;&gt;"",原始資料!Y73=原始資料!X73),N(V73)+1,1))</f>
        <v/>
      </c>
      <c r="X73" s="6">
        <f>IF(OR(原始資料!$A73="",23&gt;設定!$B$3,原始資料!Z73=""),"",IF(AND(原始資料!Y73&lt;&gt;"",原始資料!Z73=原始資料!Y73),N(W73)+1,1))</f>
        <v/>
      </c>
      <c r="Y73" s="6">
        <f>IF(OR(原始資料!$A73="",24&gt;設定!$B$3,原始資料!AA73=""),"",IF(AND(原始資料!Z73&lt;&gt;"",原始資料!AA73=原始資料!Z73),N(X73)+1,1))</f>
        <v/>
      </c>
      <c r="Z73" s="6">
        <f>IF(OR(原始資料!$A73="",25&gt;設定!$B$3,原始資料!AB73=""),"",IF(AND(原始資料!AA73&lt;&gt;"",原始資料!AB73=原始資料!AA73),N(Y73)+1,1))</f>
        <v/>
      </c>
      <c r="AA73" s="6">
        <f>IF(OR(原始資料!$A73="",26&gt;設定!$B$3,原始資料!AC73=""),"",IF(AND(原始資料!AB73&lt;&gt;"",原始資料!AC73=原始資料!AB73),N(Z73)+1,1))</f>
        <v/>
      </c>
      <c r="AB73" s="6">
        <f>IF(OR(原始資料!$A73="",27&gt;設定!$B$3,原始資料!AD73=""),"",IF(AND(原始資料!AC73&lt;&gt;"",原始資料!AD73=原始資料!AC73),N(AA73)+1,1))</f>
        <v/>
      </c>
      <c r="AC73" s="6">
        <f>IF(OR(原始資料!$A73="",28&gt;設定!$B$3,原始資料!AE73=""),"",IF(AND(原始資料!AD73&lt;&gt;"",原始資料!AE73=原始資料!AD73),N(AB73)+1,1))</f>
        <v/>
      </c>
      <c r="AD73" s="6">
        <f>IF(OR(原始資料!$A73="",29&gt;設定!$B$3,原始資料!AF73=""),"",IF(AND(原始資料!AE73&lt;&gt;"",原始資料!AF73=原始資料!AE73),N(AC73)+1,1))</f>
        <v/>
      </c>
      <c r="AE73" s="6">
        <f>IF(OR(原始資料!$A73="",30&gt;設定!$B$3,原始資料!AG73=""),"",IF(AND(原始資料!AF73&lt;&gt;"",原始資料!AG73=原始資料!AF73),N(AD73)+1,1))</f>
        <v/>
      </c>
      <c r="AF73" s="6">
        <f>IF(OR(原始資料!$A73="",31&gt;設定!$B$3,原始資料!AH73=""),"",IF(AND(原始資料!AG73&lt;&gt;"",原始資料!AH73=原始資料!AG73),N(AE73)+1,1))</f>
        <v/>
      </c>
      <c r="AG73" s="6">
        <f>IF(OR(原始資料!$A73="",32&gt;設定!$B$3,原始資料!AI73=""),"",IF(AND(原始資料!AH73&lt;&gt;"",原始資料!AI73=原始資料!AH73),N(AF73)+1,1))</f>
        <v/>
      </c>
      <c r="AH73" s="6">
        <f>IF(OR(原始資料!$A73="",33&gt;設定!$B$3,原始資料!AJ73=""),"",IF(AND(原始資料!AI73&lt;&gt;"",原始資料!AJ73=原始資料!AI73),N(AG73)+1,1))</f>
        <v/>
      </c>
      <c r="AI73" s="6">
        <f>IF(OR(原始資料!$A73="",34&gt;設定!$B$3,原始資料!AK73=""),"",IF(AND(原始資料!AJ73&lt;&gt;"",原始資料!AK73=原始資料!AJ73),N(AH73)+1,1))</f>
        <v/>
      </c>
      <c r="AJ73" s="6">
        <f>IF(OR(原始資料!$A73="",35&gt;設定!$B$3,原始資料!AL73=""),"",IF(AND(原始資料!AK73&lt;&gt;"",原始資料!AL73=原始資料!AK73),N(AI73)+1,1))</f>
        <v/>
      </c>
      <c r="AK73" s="6">
        <f>IF(OR(原始資料!$A73="",36&gt;設定!$B$3,原始資料!AM73=""),"",IF(AND(原始資料!AL73&lt;&gt;"",原始資料!AM73=原始資料!AL73),N(AJ73)+1,1))</f>
        <v/>
      </c>
      <c r="AL73" s="6">
        <f>IF(OR(原始資料!$A73="",37&gt;設定!$B$3,原始資料!AN73=""),"",IF(AND(原始資料!AM73&lt;&gt;"",原始資料!AN73=原始資料!AM73),N(AK73)+1,1))</f>
        <v/>
      </c>
      <c r="AM73" s="6">
        <f>IF(OR(原始資料!$A73="",38&gt;設定!$B$3,原始資料!AO73=""),"",IF(AND(原始資料!AN73&lt;&gt;"",原始資料!AO73=原始資料!AN73),N(AL73)+1,1))</f>
        <v/>
      </c>
      <c r="AN73" s="6">
        <f>IF(OR(原始資料!$A73="",39&gt;設定!$B$3,原始資料!AP73=""),"",IF(AND(原始資料!AO73&lt;&gt;"",原始資料!AP73=原始資料!AO73),N(AM73)+1,1))</f>
        <v/>
      </c>
      <c r="AO73" s="6">
        <f>IF(OR(原始資料!$A73="",40&gt;設定!$B$3,原始資料!AQ73=""),"",IF(AND(原始資料!AP73&lt;&gt;"",原始資料!AQ73=原始資料!AP73),N(AN73)+1,1))</f>
        <v/>
      </c>
      <c r="AP73" s="6">
        <f>IF(OR(原始資料!$A73="",41&gt;設定!$B$3,原始資料!AR73=""),"",IF(AND(原始資料!AQ73&lt;&gt;"",原始資料!AR73=原始資料!AQ73),N(AO73)+1,1))</f>
        <v/>
      </c>
      <c r="AQ73" s="6">
        <f>IF(OR(原始資料!$A73="",42&gt;設定!$B$3,原始資料!AS73=""),"",IF(AND(原始資料!AR73&lt;&gt;"",原始資料!AS73=原始資料!AR73),N(AP73)+1,1))</f>
        <v/>
      </c>
      <c r="AR73" s="6">
        <f>IF(OR(原始資料!$A73="",43&gt;設定!$B$3,原始資料!AT73=""),"",IF(AND(原始資料!AS73&lt;&gt;"",原始資料!AT73=原始資料!AS73),N(AQ73)+1,1))</f>
        <v/>
      </c>
      <c r="AS73" s="6">
        <f>IF(OR(原始資料!$A73="",44&gt;設定!$B$3,原始資料!AU73=""),"",IF(AND(原始資料!AT73&lt;&gt;"",原始資料!AU73=原始資料!AT73),N(AR73)+1,1))</f>
        <v/>
      </c>
      <c r="AT73" s="6">
        <f>IF(OR(原始資料!$A73="",45&gt;設定!$B$3,原始資料!AV73=""),"",IF(AND(原始資料!AU73&lt;&gt;"",原始資料!AV73=原始資料!AU73),N(AS73)+1,1))</f>
        <v/>
      </c>
      <c r="AU73" s="6">
        <f>IF(OR(原始資料!$A73="",46&gt;設定!$B$3,原始資料!AW73=""),"",IF(AND(原始資料!AV73&lt;&gt;"",原始資料!AW73=原始資料!AV73),N(AT73)+1,1))</f>
        <v/>
      </c>
      <c r="AV73" s="6">
        <f>IF(OR(原始資料!$A73="",47&gt;設定!$B$3,原始資料!AX73=""),"",IF(AND(原始資料!AW73&lt;&gt;"",原始資料!AX73=原始資料!AW73),N(AU73)+1,1))</f>
        <v/>
      </c>
      <c r="AW73" s="6">
        <f>IF(OR(原始資料!$A73="",48&gt;設定!$B$3,原始資料!AY73=""),"",IF(AND(原始資料!AX73&lt;&gt;"",原始資料!AY73=原始資料!AX73),N(AV73)+1,1))</f>
        <v/>
      </c>
      <c r="AX73" s="6">
        <f>IF(OR(原始資料!$A73="",49&gt;設定!$B$3,原始資料!AZ73=""),"",IF(AND(原始資料!AY73&lt;&gt;"",原始資料!AZ73=原始資料!AY73),N(AW73)+1,1))</f>
        <v/>
      </c>
      <c r="AY73" s="6">
        <f>IF(OR(原始資料!$A73="",50&gt;設定!$B$3,原始資料!BA73=""),"",IF(AND(原始資料!AZ73&lt;&gt;"",原始資料!BA73=原始資料!AZ73),N(AX73)+1,1))</f>
        <v/>
      </c>
      <c r="AZ73" s="6">
        <f>IF(OR(原始資料!$A73="",51&gt;設定!$B$3,原始資料!BB73=""),"",IF(AND(原始資料!BA73&lt;&gt;"",原始資料!BB73=原始資料!BA73),N(AY73)+1,1))</f>
        <v/>
      </c>
      <c r="BA73" s="6">
        <f>IF(OR(原始資料!$A73="",52&gt;設定!$B$3,原始資料!BC73=""),"",IF(AND(原始資料!BB73&lt;&gt;"",原始資料!BC73=原始資料!BB73),N(AZ73)+1,1))</f>
        <v/>
      </c>
      <c r="BB73" s="6">
        <f>IF(OR(原始資料!$A73="",53&gt;設定!$B$3,原始資料!BD73=""),"",IF(AND(原始資料!BC73&lt;&gt;"",原始資料!BD73=原始資料!BC73),N(BA73)+1,1))</f>
        <v/>
      </c>
      <c r="BC73" s="6">
        <f>IF(OR(原始資料!$A73="",54&gt;設定!$B$3,原始資料!BE73=""),"",IF(AND(原始資料!BD73&lt;&gt;"",原始資料!BE73=原始資料!BD73),N(BB73)+1,1))</f>
        <v/>
      </c>
      <c r="BD73" s="6">
        <f>IF(OR(原始資料!$A73="",55&gt;設定!$B$3,原始資料!BF73=""),"",IF(AND(原始資料!BE73&lt;&gt;"",原始資料!BF73=原始資料!BE73),N(BC73)+1,1))</f>
        <v/>
      </c>
      <c r="BE73" s="6">
        <f>IF(OR(原始資料!$A73="",56&gt;設定!$B$3,原始資料!BG73=""),"",IF(AND(原始資料!BF73&lt;&gt;"",原始資料!BG73=原始資料!BF73),N(BD73)+1,1))</f>
        <v/>
      </c>
      <c r="BF73" s="6">
        <f>IF(OR(原始資料!$A73="",57&gt;設定!$B$3,原始資料!BH73=""),"",IF(AND(原始資料!BG73&lt;&gt;"",原始資料!BH73=原始資料!BG73),N(BE73)+1,1))</f>
        <v/>
      </c>
      <c r="BG73" s="6">
        <f>IF(OR(原始資料!$A73="",58&gt;設定!$B$3,原始資料!BI73=""),"",IF(AND(原始資料!BH73&lt;&gt;"",原始資料!BI73=原始資料!BH73),N(BF73)+1,1))</f>
        <v/>
      </c>
      <c r="BH73" s="6">
        <f>IF(OR(原始資料!$A73="",59&gt;設定!$B$3,原始資料!BJ73=""),"",IF(AND(原始資料!BI73&lt;&gt;"",原始資料!BJ73=原始資料!BI73),N(BG73)+1,1))</f>
        <v/>
      </c>
      <c r="BI73" s="6">
        <f>IF(OR(原始資料!$A73="",60&gt;設定!$B$3,原始資料!BK73=""),"",IF(AND(原始資料!BJ73&lt;&gt;"",原始資料!BK73=原始資料!BJ73),N(BH73)+1,1))</f>
        <v/>
      </c>
    </row>
    <row r="74">
      <c r="A74" s="6">
        <f>IF(原始資料!$A74="","",原始資料!$A74)</f>
        <v/>
      </c>
      <c r="B74" s="6">
        <f>IF(OR(原始資料!$A74="",1&gt;設定!$B$3,原始資料!D74=""),"",1)</f>
        <v/>
      </c>
      <c r="C74" s="6">
        <f>IF(OR(原始資料!$A74="",2&gt;設定!$B$3,原始資料!E74=""),"",IF(AND(原始資料!D74&lt;&gt;"",原始資料!E74=原始資料!D74),N(B74)+1,1))</f>
        <v/>
      </c>
      <c r="D74" s="6">
        <f>IF(OR(原始資料!$A74="",3&gt;設定!$B$3,原始資料!F74=""),"",IF(AND(原始資料!E74&lt;&gt;"",原始資料!F74=原始資料!E74),N(C74)+1,1))</f>
        <v/>
      </c>
      <c r="E74" s="6">
        <f>IF(OR(原始資料!$A74="",4&gt;設定!$B$3,原始資料!G74=""),"",IF(AND(原始資料!F74&lt;&gt;"",原始資料!G74=原始資料!F74),N(D74)+1,1))</f>
        <v/>
      </c>
      <c r="F74" s="6">
        <f>IF(OR(原始資料!$A74="",5&gt;設定!$B$3,原始資料!H74=""),"",IF(AND(原始資料!G74&lt;&gt;"",原始資料!H74=原始資料!G74),N(E74)+1,1))</f>
        <v/>
      </c>
      <c r="G74" s="6">
        <f>IF(OR(原始資料!$A74="",6&gt;設定!$B$3,原始資料!I74=""),"",IF(AND(原始資料!H74&lt;&gt;"",原始資料!I74=原始資料!H74),N(F74)+1,1))</f>
        <v/>
      </c>
      <c r="H74" s="6">
        <f>IF(OR(原始資料!$A74="",7&gt;設定!$B$3,原始資料!J74=""),"",IF(AND(原始資料!I74&lt;&gt;"",原始資料!J74=原始資料!I74),N(G74)+1,1))</f>
        <v/>
      </c>
      <c r="I74" s="6">
        <f>IF(OR(原始資料!$A74="",8&gt;設定!$B$3,原始資料!K74=""),"",IF(AND(原始資料!J74&lt;&gt;"",原始資料!K74=原始資料!J74),N(H74)+1,1))</f>
        <v/>
      </c>
      <c r="J74" s="6">
        <f>IF(OR(原始資料!$A74="",9&gt;設定!$B$3,原始資料!L74=""),"",IF(AND(原始資料!K74&lt;&gt;"",原始資料!L74=原始資料!K74),N(I74)+1,1))</f>
        <v/>
      </c>
      <c r="K74" s="6">
        <f>IF(OR(原始資料!$A74="",10&gt;設定!$B$3,原始資料!M74=""),"",IF(AND(原始資料!L74&lt;&gt;"",原始資料!M74=原始資料!L74),N(J74)+1,1))</f>
        <v/>
      </c>
      <c r="L74" s="6">
        <f>IF(OR(原始資料!$A74="",11&gt;設定!$B$3,原始資料!N74=""),"",IF(AND(原始資料!M74&lt;&gt;"",原始資料!N74=原始資料!M74),N(K74)+1,1))</f>
        <v/>
      </c>
      <c r="M74" s="6">
        <f>IF(OR(原始資料!$A74="",12&gt;設定!$B$3,原始資料!O74=""),"",IF(AND(原始資料!N74&lt;&gt;"",原始資料!O74=原始資料!N74),N(L74)+1,1))</f>
        <v/>
      </c>
      <c r="N74" s="6">
        <f>IF(OR(原始資料!$A74="",13&gt;設定!$B$3,原始資料!P74=""),"",IF(AND(原始資料!O74&lt;&gt;"",原始資料!P74=原始資料!O74),N(M74)+1,1))</f>
        <v/>
      </c>
      <c r="O74" s="6">
        <f>IF(OR(原始資料!$A74="",14&gt;設定!$B$3,原始資料!Q74=""),"",IF(AND(原始資料!P74&lt;&gt;"",原始資料!Q74=原始資料!P74),N(N74)+1,1))</f>
        <v/>
      </c>
      <c r="P74" s="6">
        <f>IF(OR(原始資料!$A74="",15&gt;設定!$B$3,原始資料!R74=""),"",IF(AND(原始資料!Q74&lt;&gt;"",原始資料!R74=原始資料!Q74),N(O74)+1,1))</f>
        <v/>
      </c>
      <c r="Q74" s="6">
        <f>IF(OR(原始資料!$A74="",16&gt;設定!$B$3,原始資料!S74=""),"",IF(AND(原始資料!R74&lt;&gt;"",原始資料!S74=原始資料!R74),N(P74)+1,1))</f>
        <v/>
      </c>
      <c r="R74" s="6">
        <f>IF(OR(原始資料!$A74="",17&gt;設定!$B$3,原始資料!T74=""),"",IF(AND(原始資料!S74&lt;&gt;"",原始資料!T74=原始資料!S74),N(Q74)+1,1))</f>
        <v/>
      </c>
      <c r="S74" s="6">
        <f>IF(OR(原始資料!$A74="",18&gt;設定!$B$3,原始資料!U74=""),"",IF(AND(原始資料!T74&lt;&gt;"",原始資料!U74=原始資料!T74),N(R74)+1,1))</f>
        <v/>
      </c>
      <c r="T74" s="6">
        <f>IF(OR(原始資料!$A74="",19&gt;設定!$B$3,原始資料!V74=""),"",IF(AND(原始資料!U74&lt;&gt;"",原始資料!V74=原始資料!U74),N(S74)+1,1))</f>
        <v/>
      </c>
      <c r="U74" s="6">
        <f>IF(OR(原始資料!$A74="",20&gt;設定!$B$3,原始資料!W74=""),"",IF(AND(原始資料!V74&lt;&gt;"",原始資料!W74=原始資料!V74),N(T74)+1,1))</f>
        <v/>
      </c>
      <c r="V74" s="6">
        <f>IF(OR(原始資料!$A74="",21&gt;設定!$B$3,原始資料!X74=""),"",IF(AND(原始資料!W74&lt;&gt;"",原始資料!X74=原始資料!W74),N(U74)+1,1))</f>
        <v/>
      </c>
      <c r="W74" s="6">
        <f>IF(OR(原始資料!$A74="",22&gt;設定!$B$3,原始資料!Y74=""),"",IF(AND(原始資料!X74&lt;&gt;"",原始資料!Y74=原始資料!X74),N(V74)+1,1))</f>
        <v/>
      </c>
      <c r="X74" s="6">
        <f>IF(OR(原始資料!$A74="",23&gt;設定!$B$3,原始資料!Z74=""),"",IF(AND(原始資料!Y74&lt;&gt;"",原始資料!Z74=原始資料!Y74),N(W74)+1,1))</f>
        <v/>
      </c>
      <c r="Y74" s="6">
        <f>IF(OR(原始資料!$A74="",24&gt;設定!$B$3,原始資料!AA74=""),"",IF(AND(原始資料!Z74&lt;&gt;"",原始資料!AA74=原始資料!Z74),N(X74)+1,1))</f>
        <v/>
      </c>
      <c r="Z74" s="6">
        <f>IF(OR(原始資料!$A74="",25&gt;設定!$B$3,原始資料!AB74=""),"",IF(AND(原始資料!AA74&lt;&gt;"",原始資料!AB74=原始資料!AA74),N(Y74)+1,1))</f>
        <v/>
      </c>
      <c r="AA74" s="6">
        <f>IF(OR(原始資料!$A74="",26&gt;設定!$B$3,原始資料!AC74=""),"",IF(AND(原始資料!AB74&lt;&gt;"",原始資料!AC74=原始資料!AB74),N(Z74)+1,1))</f>
        <v/>
      </c>
      <c r="AB74" s="6">
        <f>IF(OR(原始資料!$A74="",27&gt;設定!$B$3,原始資料!AD74=""),"",IF(AND(原始資料!AC74&lt;&gt;"",原始資料!AD74=原始資料!AC74),N(AA74)+1,1))</f>
        <v/>
      </c>
      <c r="AC74" s="6">
        <f>IF(OR(原始資料!$A74="",28&gt;設定!$B$3,原始資料!AE74=""),"",IF(AND(原始資料!AD74&lt;&gt;"",原始資料!AE74=原始資料!AD74),N(AB74)+1,1))</f>
        <v/>
      </c>
      <c r="AD74" s="6">
        <f>IF(OR(原始資料!$A74="",29&gt;設定!$B$3,原始資料!AF74=""),"",IF(AND(原始資料!AE74&lt;&gt;"",原始資料!AF74=原始資料!AE74),N(AC74)+1,1))</f>
        <v/>
      </c>
      <c r="AE74" s="6">
        <f>IF(OR(原始資料!$A74="",30&gt;設定!$B$3,原始資料!AG74=""),"",IF(AND(原始資料!AF74&lt;&gt;"",原始資料!AG74=原始資料!AF74),N(AD74)+1,1))</f>
        <v/>
      </c>
      <c r="AF74" s="6">
        <f>IF(OR(原始資料!$A74="",31&gt;設定!$B$3,原始資料!AH74=""),"",IF(AND(原始資料!AG74&lt;&gt;"",原始資料!AH74=原始資料!AG74),N(AE74)+1,1))</f>
        <v/>
      </c>
      <c r="AG74" s="6">
        <f>IF(OR(原始資料!$A74="",32&gt;設定!$B$3,原始資料!AI74=""),"",IF(AND(原始資料!AH74&lt;&gt;"",原始資料!AI74=原始資料!AH74),N(AF74)+1,1))</f>
        <v/>
      </c>
      <c r="AH74" s="6">
        <f>IF(OR(原始資料!$A74="",33&gt;設定!$B$3,原始資料!AJ74=""),"",IF(AND(原始資料!AI74&lt;&gt;"",原始資料!AJ74=原始資料!AI74),N(AG74)+1,1))</f>
        <v/>
      </c>
      <c r="AI74" s="6">
        <f>IF(OR(原始資料!$A74="",34&gt;設定!$B$3,原始資料!AK74=""),"",IF(AND(原始資料!AJ74&lt;&gt;"",原始資料!AK74=原始資料!AJ74),N(AH74)+1,1))</f>
        <v/>
      </c>
      <c r="AJ74" s="6">
        <f>IF(OR(原始資料!$A74="",35&gt;設定!$B$3,原始資料!AL74=""),"",IF(AND(原始資料!AK74&lt;&gt;"",原始資料!AL74=原始資料!AK74),N(AI74)+1,1))</f>
        <v/>
      </c>
      <c r="AK74" s="6">
        <f>IF(OR(原始資料!$A74="",36&gt;設定!$B$3,原始資料!AM74=""),"",IF(AND(原始資料!AL74&lt;&gt;"",原始資料!AM74=原始資料!AL74),N(AJ74)+1,1))</f>
        <v/>
      </c>
      <c r="AL74" s="6">
        <f>IF(OR(原始資料!$A74="",37&gt;設定!$B$3,原始資料!AN74=""),"",IF(AND(原始資料!AM74&lt;&gt;"",原始資料!AN74=原始資料!AM74),N(AK74)+1,1))</f>
        <v/>
      </c>
      <c r="AM74" s="6">
        <f>IF(OR(原始資料!$A74="",38&gt;設定!$B$3,原始資料!AO74=""),"",IF(AND(原始資料!AN74&lt;&gt;"",原始資料!AO74=原始資料!AN74),N(AL74)+1,1))</f>
        <v/>
      </c>
      <c r="AN74" s="6">
        <f>IF(OR(原始資料!$A74="",39&gt;設定!$B$3,原始資料!AP74=""),"",IF(AND(原始資料!AO74&lt;&gt;"",原始資料!AP74=原始資料!AO74),N(AM74)+1,1))</f>
        <v/>
      </c>
      <c r="AO74" s="6">
        <f>IF(OR(原始資料!$A74="",40&gt;設定!$B$3,原始資料!AQ74=""),"",IF(AND(原始資料!AP74&lt;&gt;"",原始資料!AQ74=原始資料!AP74),N(AN74)+1,1))</f>
        <v/>
      </c>
      <c r="AP74" s="6">
        <f>IF(OR(原始資料!$A74="",41&gt;設定!$B$3,原始資料!AR74=""),"",IF(AND(原始資料!AQ74&lt;&gt;"",原始資料!AR74=原始資料!AQ74),N(AO74)+1,1))</f>
        <v/>
      </c>
      <c r="AQ74" s="6">
        <f>IF(OR(原始資料!$A74="",42&gt;設定!$B$3,原始資料!AS74=""),"",IF(AND(原始資料!AR74&lt;&gt;"",原始資料!AS74=原始資料!AR74),N(AP74)+1,1))</f>
        <v/>
      </c>
      <c r="AR74" s="6">
        <f>IF(OR(原始資料!$A74="",43&gt;設定!$B$3,原始資料!AT74=""),"",IF(AND(原始資料!AS74&lt;&gt;"",原始資料!AT74=原始資料!AS74),N(AQ74)+1,1))</f>
        <v/>
      </c>
      <c r="AS74" s="6">
        <f>IF(OR(原始資料!$A74="",44&gt;設定!$B$3,原始資料!AU74=""),"",IF(AND(原始資料!AT74&lt;&gt;"",原始資料!AU74=原始資料!AT74),N(AR74)+1,1))</f>
        <v/>
      </c>
      <c r="AT74" s="6">
        <f>IF(OR(原始資料!$A74="",45&gt;設定!$B$3,原始資料!AV74=""),"",IF(AND(原始資料!AU74&lt;&gt;"",原始資料!AV74=原始資料!AU74),N(AS74)+1,1))</f>
        <v/>
      </c>
      <c r="AU74" s="6">
        <f>IF(OR(原始資料!$A74="",46&gt;設定!$B$3,原始資料!AW74=""),"",IF(AND(原始資料!AV74&lt;&gt;"",原始資料!AW74=原始資料!AV74),N(AT74)+1,1))</f>
        <v/>
      </c>
      <c r="AV74" s="6">
        <f>IF(OR(原始資料!$A74="",47&gt;設定!$B$3,原始資料!AX74=""),"",IF(AND(原始資料!AW74&lt;&gt;"",原始資料!AX74=原始資料!AW74),N(AU74)+1,1))</f>
        <v/>
      </c>
      <c r="AW74" s="6">
        <f>IF(OR(原始資料!$A74="",48&gt;設定!$B$3,原始資料!AY74=""),"",IF(AND(原始資料!AX74&lt;&gt;"",原始資料!AY74=原始資料!AX74),N(AV74)+1,1))</f>
        <v/>
      </c>
      <c r="AX74" s="6">
        <f>IF(OR(原始資料!$A74="",49&gt;設定!$B$3,原始資料!AZ74=""),"",IF(AND(原始資料!AY74&lt;&gt;"",原始資料!AZ74=原始資料!AY74),N(AW74)+1,1))</f>
        <v/>
      </c>
      <c r="AY74" s="6">
        <f>IF(OR(原始資料!$A74="",50&gt;設定!$B$3,原始資料!BA74=""),"",IF(AND(原始資料!AZ74&lt;&gt;"",原始資料!BA74=原始資料!AZ74),N(AX74)+1,1))</f>
        <v/>
      </c>
      <c r="AZ74" s="6">
        <f>IF(OR(原始資料!$A74="",51&gt;設定!$B$3,原始資料!BB74=""),"",IF(AND(原始資料!BA74&lt;&gt;"",原始資料!BB74=原始資料!BA74),N(AY74)+1,1))</f>
        <v/>
      </c>
      <c r="BA74" s="6">
        <f>IF(OR(原始資料!$A74="",52&gt;設定!$B$3,原始資料!BC74=""),"",IF(AND(原始資料!BB74&lt;&gt;"",原始資料!BC74=原始資料!BB74),N(AZ74)+1,1))</f>
        <v/>
      </c>
      <c r="BB74" s="6">
        <f>IF(OR(原始資料!$A74="",53&gt;設定!$B$3,原始資料!BD74=""),"",IF(AND(原始資料!BC74&lt;&gt;"",原始資料!BD74=原始資料!BC74),N(BA74)+1,1))</f>
        <v/>
      </c>
      <c r="BC74" s="6">
        <f>IF(OR(原始資料!$A74="",54&gt;設定!$B$3,原始資料!BE74=""),"",IF(AND(原始資料!BD74&lt;&gt;"",原始資料!BE74=原始資料!BD74),N(BB74)+1,1))</f>
        <v/>
      </c>
      <c r="BD74" s="6">
        <f>IF(OR(原始資料!$A74="",55&gt;設定!$B$3,原始資料!BF74=""),"",IF(AND(原始資料!BE74&lt;&gt;"",原始資料!BF74=原始資料!BE74),N(BC74)+1,1))</f>
        <v/>
      </c>
      <c r="BE74" s="6">
        <f>IF(OR(原始資料!$A74="",56&gt;設定!$B$3,原始資料!BG74=""),"",IF(AND(原始資料!BF74&lt;&gt;"",原始資料!BG74=原始資料!BF74),N(BD74)+1,1))</f>
        <v/>
      </c>
      <c r="BF74" s="6">
        <f>IF(OR(原始資料!$A74="",57&gt;設定!$B$3,原始資料!BH74=""),"",IF(AND(原始資料!BG74&lt;&gt;"",原始資料!BH74=原始資料!BG74),N(BE74)+1,1))</f>
        <v/>
      </c>
      <c r="BG74" s="6">
        <f>IF(OR(原始資料!$A74="",58&gt;設定!$B$3,原始資料!BI74=""),"",IF(AND(原始資料!BH74&lt;&gt;"",原始資料!BI74=原始資料!BH74),N(BF74)+1,1))</f>
        <v/>
      </c>
      <c r="BH74" s="6">
        <f>IF(OR(原始資料!$A74="",59&gt;設定!$B$3,原始資料!BJ74=""),"",IF(AND(原始資料!BI74&lt;&gt;"",原始資料!BJ74=原始資料!BI74),N(BG74)+1,1))</f>
        <v/>
      </c>
      <c r="BI74" s="6">
        <f>IF(OR(原始資料!$A74="",60&gt;設定!$B$3,原始資料!BK74=""),"",IF(AND(原始資料!BJ74&lt;&gt;"",原始資料!BK74=原始資料!BJ74),N(BH74)+1,1))</f>
        <v/>
      </c>
    </row>
    <row r="75">
      <c r="A75" s="6">
        <f>IF(原始資料!$A75="","",原始資料!$A75)</f>
        <v/>
      </c>
      <c r="B75" s="6">
        <f>IF(OR(原始資料!$A75="",1&gt;設定!$B$3,原始資料!D75=""),"",1)</f>
        <v/>
      </c>
      <c r="C75" s="6">
        <f>IF(OR(原始資料!$A75="",2&gt;設定!$B$3,原始資料!E75=""),"",IF(AND(原始資料!D75&lt;&gt;"",原始資料!E75=原始資料!D75),N(B75)+1,1))</f>
        <v/>
      </c>
      <c r="D75" s="6">
        <f>IF(OR(原始資料!$A75="",3&gt;設定!$B$3,原始資料!F75=""),"",IF(AND(原始資料!E75&lt;&gt;"",原始資料!F75=原始資料!E75),N(C75)+1,1))</f>
        <v/>
      </c>
      <c r="E75" s="6">
        <f>IF(OR(原始資料!$A75="",4&gt;設定!$B$3,原始資料!G75=""),"",IF(AND(原始資料!F75&lt;&gt;"",原始資料!G75=原始資料!F75),N(D75)+1,1))</f>
        <v/>
      </c>
      <c r="F75" s="6">
        <f>IF(OR(原始資料!$A75="",5&gt;設定!$B$3,原始資料!H75=""),"",IF(AND(原始資料!G75&lt;&gt;"",原始資料!H75=原始資料!G75),N(E75)+1,1))</f>
        <v/>
      </c>
      <c r="G75" s="6">
        <f>IF(OR(原始資料!$A75="",6&gt;設定!$B$3,原始資料!I75=""),"",IF(AND(原始資料!H75&lt;&gt;"",原始資料!I75=原始資料!H75),N(F75)+1,1))</f>
        <v/>
      </c>
      <c r="H75" s="6">
        <f>IF(OR(原始資料!$A75="",7&gt;設定!$B$3,原始資料!J75=""),"",IF(AND(原始資料!I75&lt;&gt;"",原始資料!J75=原始資料!I75),N(G75)+1,1))</f>
        <v/>
      </c>
      <c r="I75" s="6">
        <f>IF(OR(原始資料!$A75="",8&gt;設定!$B$3,原始資料!K75=""),"",IF(AND(原始資料!J75&lt;&gt;"",原始資料!K75=原始資料!J75),N(H75)+1,1))</f>
        <v/>
      </c>
      <c r="J75" s="6">
        <f>IF(OR(原始資料!$A75="",9&gt;設定!$B$3,原始資料!L75=""),"",IF(AND(原始資料!K75&lt;&gt;"",原始資料!L75=原始資料!K75),N(I75)+1,1))</f>
        <v/>
      </c>
      <c r="K75" s="6">
        <f>IF(OR(原始資料!$A75="",10&gt;設定!$B$3,原始資料!M75=""),"",IF(AND(原始資料!L75&lt;&gt;"",原始資料!M75=原始資料!L75),N(J75)+1,1))</f>
        <v/>
      </c>
      <c r="L75" s="6">
        <f>IF(OR(原始資料!$A75="",11&gt;設定!$B$3,原始資料!N75=""),"",IF(AND(原始資料!M75&lt;&gt;"",原始資料!N75=原始資料!M75),N(K75)+1,1))</f>
        <v/>
      </c>
      <c r="M75" s="6">
        <f>IF(OR(原始資料!$A75="",12&gt;設定!$B$3,原始資料!O75=""),"",IF(AND(原始資料!N75&lt;&gt;"",原始資料!O75=原始資料!N75),N(L75)+1,1))</f>
        <v/>
      </c>
      <c r="N75" s="6">
        <f>IF(OR(原始資料!$A75="",13&gt;設定!$B$3,原始資料!P75=""),"",IF(AND(原始資料!O75&lt;&gt;"",原始資料!P75=原始資料!O75),N(M75)+1,1))</f>
        <v/>
      </c>
      <c r="O75" s="6">
        <f>IF(OR(原始資料!$A75="",14&gt;設定!$B$3,原始資料!Q75=""),"",IF(AND(原始資料!P75&lt;&gt;"",原始資料!Q75=原始資料!P75),N(N75)+1,1))</f>
        <v/>
      </c>
      <c r="P75" s="6">
        <f>IF(OR(原始資料!$A75="",15&gt;設定!$B$3,原始資料!R75=""),"",IF(AND(原始資料!Q75&lt;&gt;"",原始資料!R75=原始資料!Q75),N(O75)+1,1))</f>
        <v/>
      </c>
      <c r="Q75" s="6">
        <f>IF(OR(原始資料!$A75="",16&gt;設定!$B$3,原始資料!S75=""),"",IF(AND(原始資料!R75&lt;&gt;"",原始資料!S75=原始資料!R75),N(P75)+1,1))</f>
        <v/>
      </c>
      <c r="R75" s="6">
        <f>IF(OR(原始資料!$A75="",17&gt;設定!$B$3,原始資料!T75=""),"",IF(AND(原始資料!S75&lt;&gt;"",原始資料!T75=原始資料!S75),N(Q75)+1,1))</f>
        <v/>
      </c>
      <c r="S75" s="6">
        <f>IF(OR(原始資料!$A75="",18&gt;設定!$B$3,原始資料!U75=""),"",IF(AND(原始資料!T75&lt;&gt;"",原始資料!U75=原始資料!T75),N(R75)+1,1))</f>
        <v/>
      </c>
      <c r="T75" s="6">
        <f>IF(OR(原始資料!$A75="",19&gt;設定!$B$3,原始資料!V75=""),"",IF(AND(原始資料!U75&lt;&gt;"",原始資料!V75=原始資料!U75),N(S75)+1,1))</f>
        <v/>
      </c>
      <c r="U75" s="6">
        <f>IF(OR(原始資料!$A75="",20&gt;設定!$B$3,原始資料!W75=""),"",IF(AND(原始資料!V75&lt;&gt;"",原始資料!W75=原始資料!V75),N(T75)+1,1))</f>
        <v/>
      </c>
      <c r="V75" s="6">
        <f>IF(OR(原始資料!$A75="",21&gt;設定!$B$3,原始資料!X75=""),"",IF(AND(原始資料!W75&lt;&gt;"",原始資料!X75=原始資料!W75),N(U75)+1,1))</f>
        <v/>
      </c>
      <c r="W75" s="6">
        <f>IF(OR(原始資料!$A75="",22&gt;設定!$B$3,原始資料!Y75=""),"",IF(AND(原始資料!X75&lt;&gt;"",原始資料!Y75=原始資料!X75),N(V75)+1,1))</f>
        <v/>
      </c>
      <c r="X75" s="6">
        <f>IF(OR(原始資料!$A75="",23&gt;設定!$B$3,原始資料!Z75=""),"",IF(AND(原始資料!Y75&lt;&gt;"",原始資料!Z75=原始資料!Y75),N(W75)+1,1))</f>
        <v/>
      </c>
      <c r="Y75" s="6">
        <f>IF(OR(原始資料!$A75="",24&gt;設定!$B$3,原始資料!AA75=""),"",IF(AND(原始資料!Z75&lt;&gt;"",原始資料!AA75=原始資料!Z75),N(X75)+1,1))</f>
        <v/>
      </c>
      <c r="Z75" s="6">
        <f>IF(OR(原始資料!$A75="",25&gt;設定!$B$3,原始資料!AB75=""),"",IF(AND(原始資料!AA75&lt;&gt;"",原始資料!AB75=原始資料!AA75),N(Y75)+1,1))</f>
        <v/>
      </c>
      <c r="AA75" s="6">
        <f>IF(OR(原始資料!$A75="",26&gt;設定!$B$3,原始資料!AC75=""),"",IF(AND(原始資料!AB75&lt;&gt;"",原始資料!AC75=原始資料!AB75),N(Z75)+1,1))</f>
        <v/>
      </c>
      <c r="AB75" s="6">
        <f>IF(OR(原始資料!$A75="",27&gt;設定!$B$3,原始資料!AD75=""),"",IF(AND(原始資料!AC75&lt;&gt;"",原始資料!AD75=原始資料!AC75),N(AA75)+1,1))</f>
        <v/>
      </c>
      <c r="AC75" s="6">
        <f>IF(OR(原始資料!$A75="",28&gt;設定!$B$3,原始資料!AE75=""),"",IF(AND(原始資料!AD75&lt;&gt;"",原始資料!AE75=原始資料!AD75),N(AB75)+1,1))</f>
        <v/>
      </c>
      <c r="AD75" s="6">
        <f>IF(OR(原始資料!$A75="",29&gt;設定!$B$3,原始資料!AF75=""),"",IF(AND(原始資料!AE75&lt;&gt;"",原始資料!AF75=原始資料!AE75),N(AC75)+1,1))</f>
        <v/>
      </c>
      <c r="AE75" s="6">
        <f>IF(OR(原始資料!$A75="",30&gt;設定!$B$3,原始資料!AG75=""),"",IF(AND(原始資料!AF75&lt;&gt;"",原始資料!AG75=原始資料!AF75),N(AD75)+1,1))</f>
        <v/>
      </c>
      <c r="AF75" s="6">
        <f>IF(OR(原始資料!$A75="",31&gt;設定!$B$3,原始資料!AH75=""),"",IF(AND(原始資料!AG75&lt;&gt;"",原始資料!AH75=原始資料!AG75),N(AE75)+1,1))</f>
        <v/>
      </c>
      <c r="AG75" s="6">
        <f>IF(OR(原始資料!$A75="",32&gt;設定!$B$3,原始資料!AI75=""),"",IF(AND(原始資料!AH75&lt;&gt;"",原始資料!AI75=原始資料!AH75),N(AF75)+1,1))</f>
        <v/>
      </c>
      <c r="AH75" s="6">
        <f>IF(OR(原始資料!$A75="",33&gt;設定!$B$3,原始資料!AJ75=""),"",IF(AND(原始資料!AI75&lt;&gt;"",原始資料!AJ75=原始資料!AI75),N(AG75)+1,1))</f>
        <v/>
      </c>
      <c r="AI75" s="6">
        <f>IF(OR(原始資料!$A75="",34&gt;設定!$B$3,原始資料!AK75=""),"",IF(AND(原始資料!AJ75&lt;&gt;"",原始資料!AK75=原始資料!AJ75),N(AH75)+1,1))</f>
        <v/>
      </c>
      <c r="AJ75" s="6">
        <f>IF(OR(原始資料!$A75="",35&gt;設定!$B$3,原始資料!AL75=""),"",IF(AND(原始資料!AK75&lt;&gt;"",原始資料!AL75=原始資料!AK75),N(AI75)+1,1))</f>
        <v/>
      </c>
      <c r="AK75" s="6">
        <f>IF(OR(原始資料!$A75="",36&gt;設定!$B$3,原始資料!AM75=""),"",IF(AND(原始資料!AL75&lt;&gt;"",原始資料!AM75=原始資料!AL75),N(AJ75)+1,1))</f>
        <v/>
      </c>
      <c r="AL75" s="6">
        <f>IF(OR(原始資料!$A75="",37&gt;設定!$B$3,原始資料!AN75=""),"",IF(AND(原始資料!AM75&lt;&gt;"",原始資料!AN75=原始資料!AM75),N(AK75)+1,1))</f>
        <v/>
      </c>
      <c r="AM75" s="6">
        <f>IF(OR(原始資料!$A75="",38&gt;設定!$B$3,原始資料!AO75=""),"",IF(AND(原始資料!AN75&lt;&gt;"",原始資料!AO75=原始資料!AN75),N(AL75)+1,1))</f>
        <v/>
      </c>
      <c r="AN75" s="6">
        <f>IF(OR(原始資料!$A75="",39&gt;設定!$B$3,原始資料!AP75=""),"",IF(AND(原始資料!AO75&lt;&gt;"",原始資料!AP75=原始資料!AO75),N(AM75)+1,1))</f>
        <v/>
      </c>
      <c r="AO75" s="6">
        <f>IF(OR(原始資料!$A75="",40&gt;設定!$B$3,原始資料!AQ75=""),"",IF(AND(原始資料!AP75&lt;&gt;"",原始資料!AQ75=原始資料!AP75),N(AN75)+1,1))</f>
        <v/>
      </c>
      <c r="AP75" s="6">
        <f>IF(OR(原始資料!$A75="",41&gt;設定!$B$3,原始資料!AR75=""),"",IF(AND(原始資料!AQ75&lt;&gt;"",原始資料!AR75=原始資料!AQ75),N(AO75)+1,1))</f>
        <v/>
      </c>
      <c r="AQ75" s="6">
        <f>IF(OR(原始資料!$A75="",42&gt;設定!$B$3,原始資料!AS75=""),"",IF(AND(原始資料!AR75&lt;&gt;"",原始資料!AS75=原始資料!AR75),N(AP75)+1,1))</f>
        <v/>
      </c>
      <c r="AR75" s="6">
        <f>IF(OR(原始資料!$A75="",43&gt;設定!$B$3,原始資料!AT75=""),"",IF(AND(原始資料!AS75&lt;&gt;"",原始資料!AT75=原始資料!AS75),N(AQ75)+1,1))</f>
        <v/>
      </c>
      <c r="AS75" s="6">
        <f>IF(OR(原始資料!$A75="",44&gt;設定!$B$3,原始資料!AU75=""),"",IF(AND(原始資料!AT75&lt;&gt;"",原始資料!AU75=原始資料!AT75),N(AR75)+1,1))</f>
        <v/>
      </c>
      <c r="AT75" s="6">
        <f>IF(OR(原始資料!$A75="",45&gt;設定!$B$3,原始資料!AV75=""),"",IF(AND(原始資料!AU75&lt;&gt;"",原始資料!AV75=原始資料!AU75),N(AS75)+1,1))</f>
        <v/>
      </c>
      <c r="AU75" s="6">
        <f>IF(OR(原始資料!$A75="",46&gt;設定!$B$3,原始資料!AW75=""),"",IF(AND(原始資料!AV75&lt;&gt;"",原始資料!AW75=原始資料!AV75),N(AT75)+1,1))</f>
        <v/>
      </c>
      <c r="AV75" s="6">
        <f>IF(OR(原始資料!$A75="",47&gt;設定!$B$3,原始資料!AX75=""),"",IF(AND(原始資料!AW75&lt;&gt;"",原始資料!AX75=原始資料!AW75),N(AU75)+1,1))</f>
        <v/>
      </c>
      <c r="AW75" s="6">
        <f>IF(OR(原始資料!$A75="",48&gt;設定!$B$3,原始資料!AY75=""),"",IF(AND(原始資料!AX75&lt;&gt;"",原始資料!AY75=原始資料!AX75),N(AV75)+1,1))</f>
        <v/>
      </c>
      <c r="AX75" s="6">
        <f>IF(OR(原始資料!$A75="",49&gt;設定!$B$3,原始資料!AZ75=""),"",IF(AND(原始資料!AY75&lt;&gt;"",原始資料!AZ75=原始資料!AY75),N(AW75)+1,1))</f>
        <v/>
      </c>
      <c r="AY75" s="6">
        <f>IF(OR(原始資料!$A75="",50&gt;設定!$B$3,原始資料!BA75=""),"",IF(AND(原始資料!AZ75&lt;&gt;"",原始資料!BA75=原始資料!AZ75),N(AX75)+1,1))</f>
        <v/>
      </c>
      <c r="AZ75" s="6">
        <f>IF(OR(原始資料!$A75="",51&gt;設定!$B$3,原始資料!BB75=""),"",IF(AND(原始資料!BA75&lt;&gt;"",原始資料!BB75=原始資料!BA75),N(AY75)+1,1))</f>
        <v/>
      </c>
      <c r="BA75" s="6">
        <f>IF(OR(原始資料!$A75="",52&gt;設定!$B$3,原始資料!BC75=""),"",IF(AND(原始資料!BB75&lt;&gt;"",原始資料!BC75=原始資料!BB75),N(AZ75)+1,1))</f>
        <v/>
      </c>
      <c r="BB75" s="6">
        <f>IF(OR(原始資料!$A75="",53&gt;設定!$B$3,原始資料!BD75=""),"",IF(AND(原始資料!BC75&lt;&gt;"",原始資料!BD75=原始資料!BC75),N(BA75)+1,1))</f>
        <v/>
      </c>
      <c r="BC75" s="6">
        <f>IF(OR(原始資料!$A75="",54&gt;設定!$B$3,原始資料!BE75=""),"",IF(AND(原始資料!BD75&lt;&gt;"",原始資料!BE75=原始資料!BD75),N(BB75)+1,1))</f>
        <v/>
      </c>
      <c r="BD75" s="6">
        <f>IF(OR(原始資料!$A75="",55&gt;設定!$B$3,原始資料!BF75=""),"",IF(AND(原始資料!BE75&lt;&gt;"",原始資料!BF75=原始資料!BE75),N(BC75)+1,1))</f>
        <v/>
      </c>
      <c r="BE75" s="6">
        <f>IF(OR(原始資料!$A75="",56&gt;設定!$B$3,原始資料!BG75=""),"",IF(AND(原始資料!BF75&lt;&gt;"",原始資料!BG75=原始資料!BF75),N(BD75)+1,1))</f>
        <v/>
      </c>
      <c r="BF75" s="6">
        <f>IF(OR(原始資料!$A75="",57&gt;設定!$B$3,原始資料!BH75=""),"",IF(AND(原始資料!BG75&lt;&gt;"",原始資料!BH75=原始資料!BG75),N(BE75)+1,1))</f>
        <v/>
      </c>
      <c r="BG75" s="6">
        <f>IF(OR(原始資料!$A75="",58&gt;設定!$B$3,原始資料!BI75=""),"",IF(AND(原始資料!BH75&lt;&gt;"",原始資料!BI75=原始資料!BH75),N(BF75)+1,1))</f>
        <v/>
      </c>
      <c r="BH75" s="6">
        <f>IF(OR(原始資料!$A75="",59&gt;設定!$B$3,原始資料!BJ75=""),"",IF(AND(原始資料!BI75&lt;&gt;"",原始資料!BJ75=原始資料!BI75),N(BG75)+1,1))</f>
        <v/>
      </c>
      <c r="BI75" s="6">
        <f>IF(OR(原始資料!$A75="",60&gt;設定!$B$3,原始資料!BK75=""),"",IF(AND(原始資料!BJ75&lt;&gt;"",原始資料!BK75=原始資料!BJ75),N(BH75)+1,1))</f>
        <v/>
      </c>
    </row>
    <row r="76">
      <c r="A76" s="6">
        <f>IF(原始資料!$A76="","",原始資料!$A76)</f>
        <v/>
      </c>
      <c r="B76" s="6">
        <f>IF(OR(原始資料!$A76="",1&gt;設定!$B$3,原始資料!D76=""),"",1)</f>
        <v/>
      </c>
      <c r="C76" s="6">
        <f>IF(OR(原始資料!$A76="",2&gt;設定!$B$3,原始資料!E76=""),"",IF(AND(原始資料!D76&lt;&gt;"",原始資料!E76=原始資料!D76),N(B76)+1,1))</f>
        <v/>
      </c>
      <c r="D76" s="6">
        <f>IF(OR(原始資料!$A76="",3&gt;設定!$B$3,原始資料!F76=""),"",IF(AND(原始資料!E76&lt;&gt;"",原始資料!F76=原始資料!E76),N(C76)+1,1))</f>
        <v/>
      </c>
      <c r="E76" s="6">
        <f>IF(OR(原始資料!$A76="",4&gt;設定!$B$3,原始資料!G76=""),"",IF(AND(原始資料!F76&lt;&gt;"",原始資料!G76=原始資料!F76),N(D76)+1,1))</f>
        <v/>
      </c>
      <c r="F76" s="6">
        <f>IF(OR(原始資料!$A76="",5&gt;設定!$B$3,原始資料!H76=""),"",IF(AND(原始資料!G76&lt;&gt;"",原始資料!H76=原始資料!G76),N(E76)+1,1))</f>
        <v/>
      </c>
      <c r="G76" s="6">
        <f>IF(OR(原始資料!$A76="",6&gt;設定!$B$3,原始資料!I76=""),"",IF(AND(原始資料!H76&lt;&gt;"",原始資料!I76=原始資料!H76),N(F76)+1,1))</f>
        <v/>
      </c>
      <c r="H76" s="6">
        <f>IF(OR(原始資料!$A76="",7&gt;設定!$B$3,原始資料!J76=""),"",IF(AND(原始資料!I76&lt;&gt;"",原始資料!J76=原始資料!I76),N(G76)+1,1))</f>
        <v/>
      </c>
      <c r="I76" s="6">
        <f>IF(OR(原始資料!$A76="",8&gt;設定!$B$3,原始資料!K76=""),"",IF(AND(原始資料!J76&lt;&gt;"",原始資料!K76=原始資料!J76),N(H76)+1,1))</f>
        <v/>
      </c>
      <c r="J76" s="6">
        <f>IF(OR(原始資料!$A76="",9&gt;設定!$B$3,原始資料!L76=""),"",IF(AND(原始資料!K76&lt;&gt;"",原始資料!L76=原始資料!K76),N(I76)+1,1))</f>
        <v/>
      </c>
      <c r="K76" s="6">
        <f>IF(OR(原始資料!$A76="",10&gt;設定!$B$3,原始資料!M76=""),"",IF(AND(原始資料!L76&lt;&gt;"",原始資料!M76=原始資料!L76),N(J76)+1,1))</f>
        <v/>
      </c>
      <c r="L76" s="6">
        <f>IF(OR(原始資料!$A76="",11&gt;設定!$B$3,原始資料!N76=""),"",IF(AND(原始資料!M76&lt;&gt;"",原始資料!N76=原始資料!M76),N(K76)+1,1))</f>
        <v/>
      </c>
      <c r="M76" s="6">
        <f>IF(OR(原始資料!$A76="",12&gt;設定!$B$3,原始資料!O76=""),"",IF(AND(原始資料!N76&lt;&gt;"",原始資料!O76=原始資料!N76),N(L76)+1,1))</f>
        <v/>
      </c>
      <c r="N76" s="6">
        <f>IF(OR(原始資料!$A76="",13&gt;設定!$B$3,原始資料!P76=""),"",IF(AND(原始資料!O76&lt;&gt;"",原始資料!P76=原始資料!O76),N(M76)+1,1))</f>
        <v/>
      </c>
      <c r="O76" s="6">
        <f>IF(OR(原始資料!$A76="",14&gt;設定!$B$3,原始資料!Q76=""),"",IF(AND(原始資料!P76&lt;&gt;"",原始資料!Q76=原始資料!P76),N(N76)+1,1))</f>
        <v/>
      </c>
      <c r="P76" s="6">
        <f>IF(OR(原始資料!$A76="",15&gt;設定!$B$3,原始資料!R76=""),"",IF(AND(原始資料!Q76&lt;&gt;"",原始資料!R76=原始資料!Q76),N(O76)+1,1))</f>
        <v/>
      </c>
      <c r="Q76" s="6">
        <f>IF(OR(原始資料!$A76="",16&gt;設定!$B$3,原始資料!S76=""),"",IF(AND(原始資料!R76&lt;&gt;"",原始資料!S76=原始資料!R76),N(P76)+1,1))</f>
        <v/>
      </c>
      <c r="R76" s="6">
        <f>IF(OR(原始資料!$A76="",17&gt;設定!$B$3,原始資料!T76=""),"",IF(AND(原始資料!S76&lt;&gt;"",原始資料!T76=原始資料!S76),N(Q76)+1,1))</f>
        <v/>
      </c>
      <c r="S76" s="6">
        <f>IF(OR(原始資料!$A76="",18&gt;設定!$B$3,原始資料!U76=""),"",IF(AND(原始資料!T76&lt;&gt;"",原始資料!U76=原始資料!T76),N(R76)+1,1))</f>
        <v/>
      </c>
      <c r="T76" s="6">
        <f>IF(OR(原始資料!$A76="",19&gt;設定!$B$3,原始資料!V76=""),"",IF(AND(原始資料!U76&lt;&gt;"",原始資料!V76=原始資料!U76),N(S76)+1,1))</f>
        <v/>
      </c>
      <c r="U76" s="6">
        <f>IF(OR(原始資料!$A76="",20&gt;設定!$B$3,原始資料!W76=""),"",IF(AND(原始資料!V76&lt;&gt;"",原始資料!W76=原始資料!V76),N(T76)+1,1))</f>
        <v/>
      </c>
      <c r="V76" s="6">
        <f>IF(OR(原始資料!$A76="",21&gt;設定!$B$3,原始資料!X76=""),"",IF(AND(原始資料!W76&lt;&gt;"",原始資料!X76=原始資料!W76),N(U76)+1,1))</f>
        <v/>
      </c>
      <c r="W76" s="6">
        <f>IF(OR(原始資料!$A76="",22&gt;設定!$B$3,原始資料!Y76=""),"",IF(AND(原始資料!X76&lt;&gt;"",原始資料!Y76=原始資料!X76),N(V76)+1,1))</f>
        <v/>
      </c>
      <c r="X76" s="6">
        <f>IF(OR(原始資料!$A76="",23&gt;設定!$B$3,原始資料!Z76=""),"",IF(AND(原始資料!Y76&lt;&gt;"",原始資料!Z76=原始資料!Y76),N(W76)+1,1))</f>
        <v/>
      </c>
      <c r="Y76" s="6">
        <f>IF(OR(原始資料!$A76="",24&gt;設定!$B$3,原始資料!AA76=""),"",IF(AND(原始資料!Z76&lt;&gt;"",原始資料!AA76=原始資料!Z76),N(X76)+1,1))</f>
        <v/>
      </c>
      <c r="Z76" s="6">
        <f>IF(OR(原始資料!$A76="",25&gt;設定!$B$3,原始資料!AB76=""),"",IF(AND(原始資料!AA76&lt;&gt;"",原始資料!AB76=原始資料!AA76),N(Y76)+1,1))</f>
        <v/>
      </c>
      <c r="AA76" s="6">
        <f>IF(OR(原始資料!$A76="",26&gt;設定!$B$3,原始資料!AC76=""),"",IF(AND(原始資料!AB76&lt;&gt;"",原始資料!AC76=原始資料!AB76),N(Z76)+1,1))</f>
        <v/>
      </c>
      <c r="AB76" s="6">
        <f>IF(OR(原始資料!$A76="",27&gt;設定!$B$3,原始資料!AD76=""),"",IF(AND(原始資料!AC76&lt;&gt;"",原始資料!AD76=原始資料!AC76),N(AA76)+1,1))</f>
        <v/>
      </c>
      <c r="AC76" s="6">
        <f>IF(OR(原始資料!$A76="",28&gt;設定!$B$3,原始資料!AE76=""),"",IF(AND(原始資料!AD76&lt;&gt;"",原始資料!AE76=原始資料!AD76),N(AB76)+1,1))</f>
        <v/>
      </c>
      <c r="AD76" s="6">
        <f>IF(OR(原始資料!$A76="",29&gt;設定!$B$3,原始資料!AF76=""),"",IF(AND(原始資料!AE76&lt;&gt;"",原始資料!AF76=原始資料!AE76),N(AC76)+1,1))</f>
        <v/>
      </c>
      <c r="AE76" s="6">
        <f>IF(OR(原始資料!$A76="",30&gt;設定!$B$3,原始資料!AG76=""),"",IF(AND(原始資料!AF76&lt;&gt;"",原始資料!AG76=原始資料!AF76),N(AD76)+1,1))</f>
        <v/>
      </c>
      <c r="AF76" s="6">
        <f>IF(OR(原始資料!$A76="",31&gt;設定!$B$3,原始資料!AH76=""),"",IF(AND(原始資料!AG76&lt;&gt;"",原始資料!AH76=原始資料!AG76),N(AE76)+1,1))</f>
        <v/>
      </c>
      <c r="AG76" s="6">
        <f>IF(OR(原始資料!$A76="",32&gt;設定!$B$3,原始資料!AI76=""),"",IF(AND(原始資料!AH76&lt;&gt;"",原始資料!AI76=原始資料!AH76),N(AF76)+1,1))</f>
        <v/>
      </c>
      <c r="AH76" s="6">
        <f>IF(OR(原始資料!$A76="",33&gt;設定!$B$3,原始資料!AJ76=""),"",IF(AND(原始資料!AI76&lt;&gt;"",原始資料!AJ76=原始資料!AI76),N(AG76)+1,1))</f>
        <v/>
      </c>
      <c r="AI76" s="6">
        <f>IF(OR(原始資料!$A76="",34&gt;設定!$B$3,原始資料!AK76=""),"",IF(AND(原始資料!AJ76&lt;&gt;"",原始資料!AK76=原始資料!AJ76),N(AH76)+1,1))</f>
        <v/>
      </c>
      <c r="AJ76" s="6">
        <f>IF(OR(原始資料!$A76="",35&gt;設定!$B$3,原始資料!AL76=""),"",IF(AND(原始資料!AK76&lt;&gt;"",原始資料!AL76=原始資料!AK76),N(AI76)+1,1))</f>
        <v/>
      </c>
      <c r="AK76" s="6">
        <f>IF(OR(原始資料!$A76="",36&gt;設定!$B$3,原始資料!AM76=""),"",IF(AND(原始資料!AL76&lt;&gt;"",原始資料!AM76=原始資料!AL76),N(AJ76)+1,1))</f>
        <v/>
      </c>
      <c r="AL76" s="6">
        <f>IF(OR(原始資料!$A76="",37&gt;設定!$B$3,原始資料!AN76=""),"",IF(AND(原始資料!AM76&lt;&gt;"",原始資料!AN76=原始資料!AM76),N(AK76)+1,1))</f>
        <v/>
      </c>
      <c r="AM76" s="6">
        <f>IF(OR(原始資料!$A76="",38&gt;設定!$B$3,原始資料!AO76=""),"",IF(AND(原始資料!AN76&lt;&gt;"",原始資料!AO76=原始資料!AN76),N(AL76)+1,1))</f>
        <v/>
      </c>
      <c r="AN76" s="6">
        <f>IF(OR(原始資料!$A76="",39&gt;設定!$B$3,原始資料!AP76=""),"",IF(AND(原始資料!AO76&lt;&gt;"",原始資料!AP76=原始資料!AO76),N(AM76)+1,1))</f>
        <v/>
      </c>
      <c r="AO76" s="6">
        <f>IF(OR(原始資料!$A76="",40&gt;設定!$B$3,原始資料!AQ76=""),"",IF(AND(原始資料!AP76&lt;&gt;"",原始資料!AQ76=原始資料!AP76),N(AN76)+1,1))</f>
        <v/>
      </c>
      <c r="AP76" s="6">
        <f>IF(OR(原始資料!$A76="",41&gt;設定!$B$3,原始資料!AR76=""),"",IF(AND(原始資料!AQ76&lt;&gt;"",原始資料!AR76=原始資料!AQ76),N(AO76)+1,1))</f>
        <v/>
      </c>
      <c r="AQ76" s="6">
        <f>IF(OR(原始資料!$A76="",42&gt;設定!$B$3,原始資料!AS76=""),"",IF(AND(原始資料!AR76&lt;&gt;"",原始資料!AS76=原始資料!AR76),N(AP76)+1,1))</f>
        <v/>
      </c>
      <c r="AR76" s="6">
        <f>IF(OR(原始資料!$A76="",43&gt;設定!$B$3,原始資料!AT76=""),"",IF(AND(原始資料!AS76&lt;&gt;"",原始資料!AT76=原始資料!AS76),N(AQ76)+1,1))</f>
        <v/>
      </c>
      <c r="AS76" s="6">
        <f>IF(OR(原始資料!$A76="",44&gt;設定!$B$3,原始資料!AU76=""),"",IF(AND(原始資料!AT76&lt;&gt;"",原始資料!AU76=原始資料!AT76),N(AR76)+1,1))</f>
        <v/>
      </c>
      <c r="AT76" s="6">
        <f>IF(OR(原始資料!$A76="",45&gt;設定!$B$3,原始資料!AV76=""),"",IF(AND(原始資料!AU76&lt;&gt;"",原始資料!AV76=原始資料!AU76),N(AS76)+1,1))</f>
        <v/>
      </c>
      <c r="AU76" s="6">
        <f>IF(OR(原始資料!$A76="",46&gt;設定!$B$3,原始資料!AW76=""),"",IF(AND(原始資料!AV76&lt;&gt;"",原始資料!AW76=原始資料!AV76),N(AT76)+1,1))</f>
        <v/>
      </c>
      <c r="AV76" s="6">
        <f>IF(OR(原始資料!$A76="",47&gt;設定!$B$3,原始資料!AX76=""),"",IF(AND(原始資料!AW76&lt;&gt;"",原始資料!AX76=原始資料!AW76),N(AU76)+1,1))</f>
        <v/>
      </c>
      <c r="AW76" s="6">
        <f>IF(OR(原始資料!$A76="",48&gt;設定!$B$3,原始資料!AY76=""),"",IF(AND(原始資料!AX76&lt;&gt;"",原始資料!AY76=原始資料!AX76),N(AV76)+1,1))</f>
        <v/>
      </c>
      <c r="AX76" s="6">
        <f>IF(OR(原始資料!$A76="",49&gt;設定!$B$3,原始資料!AZ76=""),"",IF(AND(原始資料!AY76&lt;&gt;"",原始資料!AZ76=原始資料!AY76),N(AW76)+1,1))</f>
        <v/>
      </c>
      <c r="AY76" s="6">
        <f>IF(OR(原始資料!$A76="",50&gt;設定!$B$3,原始資料!BA76=""),"",IF(AND(原始資料!AZ76&lt;&gt;"",原始資料!BA76=原始資料!AZ76),N(AX76)+1,1))</f>
        <v/>
      </c>
      <c r="AZ76" s="6">
        <f>IF(OR(原始資料!$A76="",51&gt;設定!$B$3,原始資料!BB76=""),"",IF(AND(原始資料!BA76&lt;&gt;"",原始資料!BB76=原始資料!BA76),N(AY76)+1,1))</f>
        <v/>
      </c>
      <c r="BA76" s="6">
        <f>IF(OR(原始資料!$A76="",52&gt;設定!$B$3,原始資料!BC76=""),"",IF(AND(原始資料!BB76&lt;&gt;"",原始資料!BC76=原始資料!BB76),N(AZ76)+1,1))</f>
        <v/>
      </c>
      <c r="BB76" s="6">
        <f>IF(OR(原始資料!$A76="",53&gt;設定!$B$3,原始資料!BD76=""),"",IF(AND(原始資料!BC76&lt;&gt;"",原始資料!BD76=原始資料!BC76),N(BA76)+1,1))</f>
        <v/>
      </c>
      <c r="BC76" s="6">
        <f>IF(OR(原始資料!$A76="",54&gt;設定!$B$3,原始資料!BE76=""),"",IF(AND(原始資料!BD76&lt;&gt;"",原始資料!BE76=原始資料!BD76),N(BB76)+1,1))</f>
        <v/>
      </c>
      <c r="BD76" s="6">
        <f>IF(OR(原始資料!$A76="",55&gt;設定!$B$3,原始資料!BF76=""),"",IF(AND(原始資料!BE76&lt;&gt;"",原始資料!BF76=原始資料!BE76),N(BC76)+1,1))</f>
        <v/>
      </c>
      <c r="BE76" s="6">
        <f>IF(OR(原始資料!$A76="",56&gt;設定!$B$3,原始資料!BG76=""),"",IF(AND(原始資料!BF76&lt;&gt;"",原始資料!BG76=原始資料!BF76),N(BD76)+1,1))</f>
        <v/>
      </c>
      <c r="BF76" s="6">
        <f>IF(OR(原始資料!$A76="",57&gt;設定!$B$3,原始資料!BH76=""),"",IF(AND(原始資料!BG76&lt;&gt;"",原始資料!BH76=原始資料!BG76),N(BE76)+1,1))</f>
        <v/>
      </c>
      <c r="BG76" s="6">
        <f>IF(OR(原始資料!$A76="",58&gt;設定!$B$3,原始資料!BI76=""),"",IF(AND(原始資料!BH76&lt;&gt;"",原始資料!BI76=原始資料!BH76),N(BF76)+1,1))</f>
        <v/>
      </c>
      <c r="BH76" s="6">
        <f>IF(OR(原始資料!$A76="",59&gt;設定!$B$3,原始資料!BJ76=""),"",IF(AND(原始資料!BI76&lt;&gt;"",原始資料!BJ76=原始資料!BI76),N(BG76)+1,1))</f>
        <v/>
      </c>
      <c r="BI76" s="6">
        <f>IF(OR(原始資料!$A76="",60&gt;設定!$B$3,原始資料!BK76=""),"",IF(AND(原始資料!BJ76&lt;&gt;"",原始資料!BK76=原始資料!BJ76),N(BH76)+1,1))</f>
        <v/>
      </c>
    </row>
    <row r="77">
      <c r="A77" s="6">
        <f>IF(原始資料!$A77="","",原始資料!$A77)</f>
        <v/>
      </c>
      <c r="B77" s="6">
        <f>IF(OR(原始資料!$A77="",1&gt;設定!$B$3,原始資料!D77=""),"",1)</f>
        <v/>
      </c>
      <c r="C77" s="6">
        <f>IF(OR(原始資料!$A77="",2&gt;設定!$B$3,原始資料!E77=""),"",IF(AND(原始資料!D77&lt;&gt;"",原始資料!E77=原始資料!D77),N(B77)+1,1))</f>
        <v/>
      </c>
      <c r="D77" s="6">
        <f>IF(OR(原始資料!$A77="",3&gt;設定!$B$3,原始資料!F77=""),"",IF(AND(原始資料!E77&lt;&gt;"",原始資料!F77=原始資料!E77),N(C77)+1,1))</f>
        <v/>
      </c>
      <c r="E77" s="6">
        <f>IF(OR(原始資料!$A77="",4&gt;設定!$B$3,原始資料!G77=""),"",IF(AND(原始資料!F77&lt;&gt;"",原始資料!G77=原始資料!F77),N(D77)+1,1))</f>
        <v/>
      </c>
      <c r="F77" s="6">
        <f>IF(OR(原始資料!$A77="",5&gt;設定!$B$3,原始資料!H77=""),"",IF(AND(原始資料!G77&lt;&gt;"",原始資料!H77=原始資料!G77),N(E77)+1,1))</f>
        <v/>
      </c>
      <c r="G77" s="6">
        <f>IF(OR(原始資料!$A77="",6&gt;設定!$B$3,原始資料!I77=""),"",IF(AND(原始資料!H77&lt;&gt;"",原始資料!I77=原始資料!H77),N(F77)+1,1))</f>
        <v/>
      </c>
      <c r="H77" s="6">
        <f>IF(OR(原始資料!$A77="",7&gt;設定!$B$3,原始資料!J77=""),"",IF(AND(原始資料!I77&lt;&gt;"",原始資料!J77=原始資料!I77),N(G77)+1,1))</f>
        <v/>
      </c>
      <c r="I77" s="6">
        <f>IF(OR(原始資料!$A77="",8&gt;設定!$B$3,原始資料!K77=""),"",IF(AND(原始資料!J77&lt;&gt;"",原始資料!K77=原始資料!J77),N(H77)+1,1))</f>
        <v/>
      </c>
      <c r="J77" s="6">
        <f>IF(OR(原始資料!$A77="",9&gt;設定!$B$3,原始資料!L77=""),"",IF(AND(原始資料!K77&lt;&gt;"",原始資料!L77=原始資料!K77),N(I77)+1,1))</f>
        <v/>
      </c>
      <c r="K77" s="6">
        <f>IF(OR(原始資料!$A77="",10&gt;設定!$B$3,原始資料!M77=""),"",IF(AND(原始資料!L77&lt;&gt;"",原始資料!M77=原始資料!L77),N(J77)+1,1))</f>
        <v/>
      </c>
      <c r="L77" s="6">
        <f>IF(OR(原始資料!$A77="",11&gt;設定!$B$3,原始資料!N77=""),"",IF(AND(原始資料!M77&lt;&gt;"",原始資料!N77=原始資料!M77),N(K77)+1,1))</f>
        <v/>
      </c>
      <c r="M77" s="6">
        <f>IF(OR(原始資料!$A77="",12&gt;設定!$B$3,原始資料!O77=""),"",IF(AND(原始資料!N77&lt;&gt;"",原始資料!O77=原始資料!N77),N(L77)+1,1))</f>
        <v/>
      </c>
      <c r="N77" s="6">
        <f>IF(OR(原始資料!$A77="",13&gt;設定!$B$3,原始資料!P77=""),"",IF(AND(原始資料!O77&lt;&gt;"",原始資料!P77=原始資料!O77),N(M77)+1,1))</f>
        <v/>
      </c>
      <c r="O77" s="6">
        <f>IF(OR(原始資料!$A77="",14&gt;設定!$B$3,原始資料!Q77=""),"",IF(AND(原始資料!P77&lt;&gt;"",原始資料!Q77=原始資料!P77),N(N77)+1,1))</f>
        <v/>
      </c>
      <c r="P77" s="6">
        <f>IF(OR(原始資料!$A77="",15&gt;設定!$B$3,原始資料!R77=""),"",IF(AND(原始資料!Q77&lt;&gt;"",原始資料!R77=原始資料!Q77),N(O77)+1,1))</f>
        <v/>
      </c>
      <c r="Q77" s="6">
        <f>IF(OR(原始資料!$A77="",16&gt;設定!$B$3,原始資料!S77=""),"",IF(AND(原始資料!R77&lt;&gt;"",原始資料!S77=原始資料!R77),N(P77)+1,1))</f>
        <v/>
      </c>
      <c r="R77" s="6">
        <f>IF(OR(原始資料!$A77="",17&gt;設定!$B$3,原始資料!T77=""),"",IF(AND(原始資料!S77&lt;&gt;"",原始資料!T77=原始資料!S77),N(Q77)+1,1))</f>
        <v/>
      </c>
      <c r="S77" s="6">
        <f>IF(OR(原始資料!$A77="",18&gt;設定!$B$3,原始資料!U77=""),"",IF(AND(原始資料!T77&lt;&gt;"",原始資料!U77=原始資料!T77),N(R77)+1,1))</f>
        <v/>
      </c>
      <c r="T77" s="6">
        <f>IF(OR(原始資料!$A77="",19&gt;設定!$B$3,原始資料!V77=""),"",IF(AND(原始資料!U77&lt;&gt;"",原始資料!V77=原始資料!U77),N(S77)+1,1))</f>
        <v/>
      </c>
      <c r="U77" s="6">
        <f>IF(OR(原始資料!$A77="",20&gt;設定!$B$3,原始資料!W77=""),"",IF(AND(原始資料!V77&lt;&gt;"",原始資料!W77=原始資料!V77),N(T77)+1,1))</f>
        <v/>
      </c>
      <c r="V77" s="6">
        <f>IF(OR(原始資料!$A77="",21&gt;設定!$B$3,原始資料!X77=""),"",IF(AND(原始資料!W77&lt;&gt;"",原始資料!X77=原始資料!W77),N(U77)+1,1))</f>
        <v/>
      </c>
      <c r="W77" s="6">
        <f>IF(OR(原始資料!$A77="",22&gt;設定!$B$3,原始資料!Y77=""),"",IF(AND(原始資料!X77&lt;&gt;"",原始資料!Y77=原始資料!X77),N(V77)+1,1))</f>
        <v/>
      </c>
      <c r="X77" s="6">
        <f>IF(OR(原始資料!$A77="",23&gt;設定!$B$3,原始資料!Z77=""),"",IF(AND(原始資料!Y77&lt;&gt;"",原始資料!Z77=原始資料!Y77),N(W77)+1,1))</f>
        <v/>
      </c>
      <c r="Y77" s="6">
        <f>IF(OR(原始資料!$A77="",24&gt;設定!$B$3,原始資料!AA77=""),"",IF(AND(原始資料!Z77&lt;&gt;"",原始資料!AA77=原始資料!Z77),N(X77)+1,1))</f>
        <v/>
      </c>
      <c r="Z77" s="6">
        <f>IF(OR(原始資料!$A77="",25&gt;設定!$B$3,原始資料!AB77=""),"",IF(AND(原始資料!AA77&lt;&gt;"",原始資料!AB77=原始資料!AA77),N(Y77)+1,1))</f>
        <v/>
      </c>
      <c r="AA77" s="6">
        <f>IF(OR(原始資料!$A77="",26&gt;設定!$B$3,原始資料!AC77=""),"",IF(AND(原始資料!AB77&lt;&gt;"",原始資料!AC77=原始資料!AB77),N(Z77)+1,1))</f>
        <v/>
      </c>
      <c r="AB77" s="6">
        <f>IF(OR(原始資料!$A77="",27&gt;設定!$B$3,原始資料!AD77=""),"",IF(AND(原始資料!AC77&lt;&gt;"",原始資料!AD77=原始資料!AC77),N(AA77)+1,1))</f>
        <v/>
      </c>
      <c r="AC77" s="6">
        <f>IF(OR(原始資料!$A77="",28&gt;設定!$B$3,原始資料!AE77=""),"",IF(AND(原始資料!AD77&lt;&gt;"",原始資料!AE77=原始資料!AD77),N(AB77)+1,1))</f>
        <v/>
      </c>
      <c r="AD77" s="6">
        <f>IF(OR(原始資料!$A77="",29&gt;設定!$B$3,原始資料!AF77=""),"",IF(AND(原始資料!AE77&lt;&gt;"",原始資料!AF77=原始資料!AE77),N(AC77)+1,1))</f>
        <v/>
      </c>
      <c r="AE77" s="6">
        <f>IF(OR(原始資料!$A77="",30&gt;設定!$B$3,原始資料!AG77=""),"",IF(AND(原始資料!AF77&lt;&gt;"",原始資料!AG77=原始資料!AF77),N(AD77)+1,1))</f>
        <v/>
      </c>
      <c r="AF77" s="6">
        <f>IF(OR(原始資料!$A77="",31&gt;設定!$B$3,原始資料!AH77=""),"",IF(AND(原始資料!AG77&lt;&gt;"",原始資料!AH77=原始資料!AG77),N(AE77)+1,1))</f>
        <v/>
      </c>
      <c r="AG77" s="6">
        <f>IF(OR(原始資料!$A77="",32&gt;設定!$B$3,原始資料!AI77=""),"",IF(AND(原始資料!AH77&lt;&gt;"",原始資料!AI77=原始資料!AH77),N(AF77)+1,1))</f>
        <v/>
      </c>
      <c r="AH77" s="6">
        <f>IF(OR(原始資料!$A77="",33&gt;設定!$B$3,原始資料!AJ77=""),"",IF(AND(原始資料!AI77&lt;&gt;"",原始資料!AJ77=原始資料!AI77),N(AG77)+1,1))</f>
        <v/>
      </c>
      <c r="AI77" s="6">
        <f>IF(OR(原始資料!$A77="",34&gt;設定!$B$3,原始資料!AK77=""),"",IF(AND(原始資料!AJ77&lt;&gt;"",原始資料!AK77=原始資料!AJ77),N(AH77)+1,1))</f>
        <v/>
      </c>
      <c r="AJ77" s="6">
        <f>IF(OR(原始資料!$A77="",35&gt;設定!$B$3,原始資料!AL77=""),"",IF(AND(原始資料!AK77&lt;&gt;"",原始資料!AL77=原始資料!AK77),N(AI77)+1,1))</f>
        <v/>
      </c>
      <c r="AK77" s="6">
        <f>IF(OR(原始資料!$A77="",36&gt;設定!$B$3,原始資料!AM77=""),"",IF(AND(原始資料!AL77&lt;&gt;"",原始資料!AM77=原始資料!AL77),N(AJ77)+1,1))</f>
        <v/>
      </c>
      <c r="AL77" s="6">
        <f>IF(OR(原始資料!$A77="",37&gt;設定!$B$3,原始資料!AN77=""),"",IF(AND(原始資料!AM77&lt;&gt;"",原始資料!AN77=原始資料!AM77),N(AK77)+1,1))</f>
        <v/>
      </c>
      <c r="AM77" s="6">
        <f>IF(OR(原始資料!$A77="",38&gt;設定!$B$3,原始資料!AO77=""),"",IF(AND(原始資料!AN77&lt;&gt;"",原始資料!AO77=原始資料!AN77),N(AL77)+1,1))</f>
        <v/>
      </c>
      <c r="AN77" s="6">
        <f>IF(OR(原始資料!$A77="",39&gt;設定!$B$3,原始資料!AP77=""),"",IF(AND(原始資料!AO77&lt;&gt;"",原始資料!AP77=原始資料!AO77),N(AM77)+1,1))</f>
        <v/>
      </c>
      <c r="AO77" s="6">
        <f>IF(OR(原始資料!$A77="",40&gt;設定!$B$3,原始資料!AQ77=""),"",IF(AND(原始資料!AP77&lt;&gt;"",原始資料!AQ77=原始資料!AP77),N(AN77)+1,1))</f>
        <v/>
      </c>
      <c r="AP77" s="6">
        <f>IF(OR(原始資料!$A77="",41&gt;設定!$B$3,原始資料!AR77=""),"",IF(AND(原始資料!AQ77&lt;&gt;"",原始資料!AR77=原始資料!AQ77),N(AO77)+1,1))</f>
        <v/>
      </c>
      <c r="AQ77" s="6">
        <f>IF(OR(原始資料!$A77="",42&gt;設定!$B$3,原始資料!AS77=""),"",IF(AND(原始資料!AR77&lt;&gt;"",原始資料!AS77=原始資料!AR77),N(AP77)+1,1))</f>
        <v/>
      </c>
      <c r="AR77" s="6">
        <f>IF(OR(原始資料!$A77="",43&gt;設定!$B$3,原始資料!AT77=""),"",IF(AND(原始資料!AS77&lt;&gt;"",原始資料!AT77=原始資料!AS77),N(AQ77)+1,1))</f>
        <v/>
      </c>
      <c r="AS77" s="6">
        <f>IF(OR(原始資料!$A77="",44&gt;設定!$B$3,原始資料!AU77=""),"",IF(AND(原始資料!AT77&lt;&gt;"",原始資料!AU77=原始資料!AT77),N(AR77)+1,1))</f>
        <v/>
      </c>
      <c r="AT77" s="6">
        <f>IF(OR(原始資料!$A77="",45&gt;設定!$B$3,原始資料!AV77=""),"",IF(AND(原始資料!AU77&lt;&gt;"",原始資料!AV77=原始資料!AU77),N(AS77)+1,1))</f>
        <v/>
      </c>
      <c r="AU77" s="6">
        <f>IF(OR(原始資料!$A77="",46&gt;設定!$B$3,原始資料!AW77=""),"",IF(AND(原始資料!AV77&lt;&gt;"",原始資料!AW77=原始資料!AV77),N(AT77)+1,1))</f>
        <v/>
      </c>
      <c r="AV77" s="6">
        <f>IF(OR(原始資料!$A77="",47&gt;設定!$B$3,原始資料!AX77=""),"",IF(AND(原始資料!AW77&lt;&gt;"",原始資料!AX77=原始資料!AW77),N(AU77)+1,1))</f>
        <v/>
      </c>
      <c r="AW77" s="6">
        <f>IF(OR(原始資料!$A77="",48&gt;設定!$B$3,原始資料!AY77=""),"",IF(AND(原始資料!AX77&lt;&gt;"",原始資料!AY77=原始資料!AX77),N(AV77)+1,1))</f>
        <v/>
      </c>
      <c r="AX77" s="6">
        <f>IF(OR(原始資料!$A77="",49&gt;設定!$B$3,原始資料!AZ77=""),"",IF(AND(原始資料!AY77&lt;&gt;"",原始資料!AZ77=原始資料!AY77),N(AW77)+1,1))</f>
        <v/>
      </c>
      <c r="AY77" s="6">
        <f>IF(OR(原始資料!$A77="",50&gt;設定!$B$3,原始資料!BA77=""),"",IF(AND(原始資料!AZ77&lt;&gt;"",原始資料!BA77=原始資料!AZ77),N(AX77)+1,1))</f>
        <v/>
      </c>
      <c r="AZ77" s="6">
        <f>IF(OR(原始資料!$A77="",51&gt;設定!$B$3,原始資料!BB77=""),"",IF(AND(原始資料!BA77&lt;&gt;"",原始資料!BB77=原始資料!BA77),N(AY77)+1,1))</f>
        <v/>
      </c>
      <c r="BA77" s="6">
        <f>IF(OR(原始資料!$A77="",52&gt;設定!$B$3,原始資料!BC77=""),"",IF(AND(原始資料!BB77&lt;&gt;"",原始資料!BC77=原始資料!BB77),N(AZ77)+1,1))</f>
        <v/>
      </c>
      <c r="BB77" s="6">
        <f>IF(OR(原始資料!$A77="",53&gt;設定!$B$3,原始資料!BD77=""),"",IF(AND(原始資料!BC77&lt;&gt;"",原始資料!BD77=原始資料!BC77),N(BA77)+1,1))</f>
        <v/>
      </c>
      <c r="BC77" s="6">
        <f>IF(OR(原始資料!$A77="",54&gt;設定!$B$3,原始資料!BE77=""),"",IF(AND(原始資料!BD77&lt;&gt;"",原始資料!BE77=原始資料!BD77),N(BB77)+1,1))</f>
        <v/>
      </c>
      <c r="BD77" s="6">
        <f>IF(OR(原始資料!$A77="",55&gt;設定!$B$3,原始資料!BF77=""),"",IF(AND(原始資料!BE77&lt;&gt;"",原始資料!BF77=原始資料!BE77),N(BC77)+1,1))</f>
        <v/>
      </c>
      <c r="BE77" s="6">
        <f>IF(OR(原始資料!$A77="",56&gt;設定!$B$3,原始資料!BG77=""),"",IF(AND(原始資料!BF77&lt;&gt;"",原始資料!BG77=原始資料!BF77),N(BD77)+1,1))</f>
        <v/>
      </c>
      <c r="BF77" s="6">
        <f>IF(OR(原始資料!$A77="",57&gt;設定!$B$3,原始資料!BH77=""),"",IF(AND(原始資料!BG77&lt;&gt;"",原始資料!BH77=原始資料!BG77),N(BE77)+1,1))</f>
        <v/>
      </c>
      <c r="BG77" s="6">
        <f>IF(OR(原始資料!$A77="",58&gt;設定!$B$3,原始資料!BI77=""),"",IF(AND(原始資料!BH77&lt;&gt;"",原始資料!BI77=原始資料!BH77),N(BF77)+1,1))</f>
        <v/>
      </c>
      <c r="BH77" s="6">
        <f>IF(OR(原始資料!$A77="",59&gt;設定!$B$3,原始資料!BJ77=""),"",IF(AND(原始資料!BI77&lt;&gt;"",原始資料!BJ77=原始資料!BI77),N(BG77)+1,1))</f>
        <v/>
      </c>
      <c r="BI77" s="6">
        <f>IF(OR(原始資料!$A77="",60&gt;設定!$B$3,原始資料!BK77=""),"",IF(AND(原始資料!BJ77&lt;&gt;"",原始資料!BK77=原始資料!BJ77),N(BH77)+1,1))</f>
        <v/>
      </c>
    </row>
    <row r="78">
      <c r="A78" s="6">
        <f>IF(原始資料!$A78="","",原始資料!$A78)</f>
        <v/>
      </c>
      <c r="B78" s="6">
        <f>IF(OR(原始資料!$A78="",1&gt;設定!$B$3,原始資料!D78=""),"",1)</f>
        <v/>
      </c>
      <c r="C78" s="6">
        <f>IF(OR(原始資料!$A78="",2&gt;設定!$B$3,原始資料!E78=""),"",IF(AND(原始資料!D78&lt;&gt;"",原始資料!E78=原始資料!D78),N(B78)+1,1))</f>
        <v/>
      </c>
      <c r="D78" s="6">
        <f>IF(OR(原始資料!$A78="",3&gt;設定!$B$3,原始資料!F78=""),"",IF(AND(原始資料!E78&lt;&gt;"",原始資料!F78=原始資料!E78),N(C78)+1,1))</f>
        <v/>
      </c>
      <c r="E78" s="6">
        <f>IF(OR(原始資料!$A78="",4&gt;設定!$B$3,原始資料!G78=""),"",IF(AND(原始資料!F78&lt;&gt;"",原始資料!G78=原始資料!F78),N(D78)+1,1))</f>
        <v/>
      </c>
      <c r="F78" s="6">
        <f>IF(OR(原始資料!$A78="",5&gt;設定!$B$3,原始資料!H78=""),"",IF(AND(原始資料!G78&lt;&gt;"",原始資料!H78=原始資料!G78),N(E78)+1,1))</f>
        <v/>
      </c>
      <c r="G78" s="6">
        <f>IF(OR(原始資料!$A78="",6&gt;設定!$B$3,原始資料!I78=""),"",IF(AND(原始資料!H78&lt;&gt;"",原始資料!I78=原始資料!H78),N(F78)+1,1))</f>
        <v/>
      </c>
      <c r="H78" s="6">
        <f>IF(OR(原始資料!$A78="",7&gt;設定!$B$3,原始資料!J78=""),"",IF(AND(原始資料!I78&lt;&gt;"",原始資料!J78=原始資料!I78),N(G78)+1,1))</f>
        <v/>
      </c>
      <c r="I78" s="6">
        <f>IF(OR(原始資料!$A78="",8&gt;設定!$B$3,原始資料!K78=""),"",IF(AND(原始資料!J78&lt;&gt;"",原始資料!K78=原始資料!J78),N(H78)+1,1))</f>
        <v/>
      </c>
      <c r="J78" s="6">
        <f>IF(OR(原始資料!$A78="",9&gt;設定!$B$3,原始資料!L78=""),"",IF(AND(原始資料!K78&lt;&gt;"",原始資料!L78=原始資料!K78),N(I78)+1,1))</f>
        <v/>
      </c>
      <c r="K78" s="6">
        <f>IF(OR(原始資料!$A78="",10&gt;設定!$B$3,原始資料!M78=""),"",IF(AND(原始資料!L78&lt;&gt;"",原始資料!M78=原始資料!L78),N(J78)+1,1))</f>
        <v/>
      </c>
      <c r="L78" s="6">
        <f>IF(OR(原始資料!$A78="",11&gt;設定!$B$3,原始資料!N78=""),"",IF(AND(原始資料!M78&lt;&gt;"",原始資料!N78=原始資料!M78),N(K78)+1,1))</f>
        <v/>
      </c>
      <c r="M78" s="6">
        <f>IF(OR(原始資料!$A78="",12&gt;設定!$B$3,原始資料!O78=""),"",IF(AND(原始資料!N78&lt;&gt;"",原始資料!O78=原始資料!N78),N(L78)+1,1))</f>
        <v/>
      </c>
      <c r="N78" s="6">
        <f>IF(OR(原始資料!$A78="",13&gt;設定!$B$3,原始資料!P78=""),"",IF(AND(原始資料!O78&lt;&gt;"",原始資料!P78=原始資料!O78),N(M78)+1,1))</f>
        <v/>
      </c>
      <c r="O78" s="6">
        <f>IF(OR(原始資料!$A78="",14&gt;設定!$B$3,原始資料!Q78=""),"",IF(AND(原始資料!P78&lt;&gt;"",原始資料!Q78=原始資料!P78),N(N78)+1,1))</f>
        <v/>
      </c>
      <c r="P78" s="6">
        <f>IF(OR(原始資料!$A78="",15&gt;設定!$B$3,原始資料!R78=""),"",IF(AND(原始資料!Q78&lt;&gt;"",原始資料!R78=原始資料!Q78),N(O78)+1,1))</f>
        <v/>
      </c>
      <c r="Q78" s="6">
        <f>IF(OR(原始資料!$A78="",16&gt;設定!$B$3,原始資料!S78=""),"",IF(AND(原始資料!R78&lt;&gt;"",原始資料!S78=原始資料!R78),N(P78)+1,1))</f>
        <v/>
      </c>
      <c r="R78" s="6">
        <f>IF(OR(原始資料!$A78="",17&gt;設定!$B$3,原始資料!T78=""),"",IF(AND(原始資料!S78&lt;&gt;"",原始資料!T78=原始資料!S78),N(Q78)+1,1))</f>
        <v/>
      </c>
      <c r="S78" s="6">
        <f>IF(OR(原始資料!$A78="",18&gt;設定!$B$3,原始資料!U78=""),"",IF(AND(原始資料!T78&lt;&gt;"",原始資料!U78=原始資料!T78),N(R78)+1,1))</f>
        <v/>
      </c>
      <c r="T78" s="6">
        <f>IF(OR(原始資料!$A78="",19&gt;設定!$B$3,原始資料!V78=""),"",IF(AND(原始資料!U78&lt;&gt;"",原始資料!V78=原始資料!U78),N(S78)+1,1))</f>
        <v/>
      </c>
      <c r="U78" s="6">
        <f>IF(OR(原始資料!$A78="",20&gt;設定!$B$3,原始資料!W78=""),"",IF(AND(原始資料!V78&lt;&gt;"",原始資料!W78=原始資料!V78),N(T78)+1,1))</f>
        <v/>
      </c>
      <c r="V78" s="6">
        <f>IF(OR(原始資料!$A78="",21&gt;設定!$B$3,原始資料!X78=""),"",IF(AND(原始資料!W78&lt;&gt;"",原始資料!X78=原始資料!W78),N(U78)+1,1))</f>
        <v/>
      </c>
      <c r="W78" s="6">
        <f>IF(OR(原始資料!$A78="",22&gt;設定!$B$3,原始資料!Y78=""),"",IF(AND(原始資料!X78&lt;&gt;"",原始資料!Y78=原始資料!X78),N(V78)+1,1))</f>
        <v/>
      </c>
      <c r="X78" s="6">
        <f>IF(OR(原始資料!$A78="",23&gt;設定!$B$3,原始資料!Z78=""),"",IF(AND(原始資料!Y78&lt;&gt;"",原始資料!Z78=原始資料!Y78),N(W78)+1,1))</f>
        <v/>
      </c>
      <c r="Y78" s="6">
        <f>IF(OR(原始資料!$A78="",24&gt;設定!$B$3,原始資料!AA78=""),"",IF(AND(原始資料!Z78&lt;&gt;"",原始資料!AA78=原始資料!Z78),N(X78)+1,1))</f>
        <v/>
      </c>
      <c r="Z78" s="6">
        <f>IF(OR(原始資料!$A78="",25&gt;設定!$B$3,原始資料!AB78=""),"",IF(AND(原始資料!AA78&lt;&gt;"",原始資料!AB78=原始資料!AA78),N(Y78)+1,1))</f>
        <v/>
      </c>
      <c r="AA78" s="6">
        <f>IF(OR(原始資料!$A78="",26&gt;設定!$B$3,原始資料!AC78=""),"",IF(AND(原始資料!AB78&lt;&gt;"",原始資料!AC78=原始資料!AB78),N(Z78)+1,1))</f>
        <v/>
      </c>
      <c r="AB78" s="6">
        <f>IF(OR(原始資料!$A78="",27&gt;設定!$B$3,原始資料!AD78=""),"",IF(AND(原始資料!AC78&lt;&gt;"",原始資料!AD78=原始資料!AC78),N(AA78)+1,1))</f>
        <v/>
      </c>
      <c r="AC78" s="6">
        <f>IF(OR(原始資料!$A78="",28&gt;設定!$B$3,原始資料!AE78=""),"",IF(AND(原始資料!AD78&lt;&gt;"",原始資料!AE78=原始資料!AD78),N(AB78)+1,1))</f>
        <v/>
      </c>
      <c r="AD78" s="6">
        <f>IF(OR(原始資料!$A78="",29&gt;設定!$B$3,原始資料!AF78=""),"",IF(AND(原始資料!AE78&lt;&gt;"",原始資料!AF78=原始資料!AE78),N(AC78)+1,1))</f>
        <v/>
      </c>
      <c r="AE78" s="6">
        <f>IF(OR(原始資料!$A78="",30&gt;設定!$B$3,原始資料!AG78=""),"",IF(AND(原始資料!AF78&lt;&gt;"",原始資料!AG78=原始資料!AF78),N(AD78)+1,1))</f>
        <v/>
      </c>
      <c r="AF78" s="6">
        <f>IF(OR(原始資料!$A78="",31&gt;設定!$B$3,原始資料!AH78=""),"",IF(AND(原始資料!AG78&lt;&gt;"",原始資料!AH78=原始資料!AG78),N(AE78)+1,1))</f>
        <v/>
      </c>
      <c r="AG78" s="6">
        <f>IF(OR(原始資料!$A78="",32&gt;設定!$B$3,原始資料!AI78=""),"",IF(AND(原始資料!AH78&lt;&gt;"",原始資料!AI78=原始資料!AH78),N(AF78)+1,1))</f>
        <v/>
      </c>
      <c r="AH78" s="6">
        <f>IF(OR(原始資料!$A78="",33&gt;設定!$B$3,原始資料!AJ78=""),"",IF(AND(原始資料!AI78&lt;&gt;"",原始資料!AJ78=原始資料!AI78),N(AG78)+1,1))</f>
        <v/>
      </c>
      <c r="AI78" s="6">
        <f>IF(OR(原始資料!$A78="",34&gt;設定!$B$3,原始資料!AK78=""),"",IF(AND(原始資料!AJ78&lt;&gt;"",原始資料!AK78=原始資料!AJ78),N(AH78)+1,1))</f>
        <v/>
      </c>
      <c r="AJ78" s="6">
        <f>IF(OR(原始資料!$A78="",35&gt;設定!$B$3,原始資料!AL78=""),"",IF(AND(原始資料!AK78&lt;&gt;"",原始資料!AL78=原始資料!AK78),N(AI78)+1,1))</f>
        <v/>
      </c>
      <c r="AK78" s="6">
        <f>IF(OR(原始資料!$A78="",36&gt;設定!$B$3,原始資料!AM78=""),"",IF(AND(原始資料!AL78&lt;&gt;"",原始資料!AM78=原始資料!AL78),N(AJ78)+1,1))</f>
        <v/>
      </c>
      <c r="AL78" s="6">
        <f>IF(OR(原始資料!$A78="",37&gt;設定!$B$3,原始資料!AN78=""),"",IF(AND(原始資料!AM78&lt;&gt;"",原始資料!AN78=原始資料!AM78),N(AK78)+1,1))</f>
        <v/>
      </c>
      <c r="AM78" s="6">
        <f>IF(OR(原始資料!$A78="",38&gt;設定!$B$3,原始資料!AO78=""),"",IF(AND(原始資料!AN78&lt;&gt;"",原始資料!AO78=原始資料!AN78),N(AL78)+1,1))</f>
        <v/>
      </c>
      <c r="AN78" s="6">
        <f>IF(OR(原始資料!$A78="",39&gt;設定!$B$3,原始資料!AP78=""),"",IF(AND(原始資料!AO78&lt;&gt;"",原始資料!AP78=原始資料!AO78),N(AM78)+1,1))</f>
        <v/>
      </c>
      <c r="AO78" s="6">
        <f>IF(OR(原始資料!$A78="",40&gt;設定!$B$3,原始資料!AQ78=""),"",IF(AND(原始資料!AP78&lt;&gt;"",原始資料!AQ78=原始資料!AP78),N(AN78)+1,1))</f>
        <v/>
      </c>
      <c r="AP78" s="6">
        <f>IF(OR(原始資料!$A78="",41&gt;設定!$B$3,原始資料!AR78=""),"",IF(AND(原始資料!AQ78&lt;&gt;"",原始資料!AR78=原始資料!AQ78),N(AO78)+1,1))</f>
        <v/>
      </c>
      <c r="AQ78" s="6">
        <f>IF(OR(原始資料!$A78="",42&gt;設定!$B$3,原始資料!AS78=""),"",IF(AND(原始資料!AR78&lt;&gt;"",原始資料!AS78=原始資料!AR78),N(AP78)+1,1))</f>
        <v/>
      </c>
      <c r="AR78" s="6">
        <f>IF(OR(原始資料!$A78="",43&gt;設定!$B$3,原始資料!AT78=""),"",IF(AND(原始資料!AS78&lt;&gt;"",原始資料!AT78=原始資料!AS78),N(AQ78)+1,1))</f>
        <v/>
      </c>
      <c r="AS78" s="6">
        <f>IF(OR(原始資料!$A78="",44&gt;設定!$B$3,原始資料!AU78=""),"",IF(AND(原始資料!AT78&lt;&gt;"",原始資料!AU78=原始資料!AT78),N(AR78)+1,1))</f>
        <v/>
      </c>
      <c r="AT78" s="6">
        <f>IF(OR(原始資料!$A78="",45&gt;設定!$B$3,原始資料!AV78=""),"",IF(AND(原始資料!AU78&lt;&gt;"",原始資料!AV78=原始資料!AU78),N(AS78)+1,1))</f>
        <v/>
      </c>
      <c r="AU78" s="6">
        <f>IF(OR(原始資料!$A78="",46&gt;設定!$B$3,原始資料!AW78=""),"",IF(AND(原始資料!AV78&lt;&gt;"",原始資料!AW78=原始資料!AV78),N(AT78)+1,1))</f>
        <v/>
      </c>
      <c r="AV78" s="6">
        <f>IF(OR(原始資料!$A78="",47&gt;設定!$B$3,原始資料!AX78=""),"",IF(AND(原始資料!AW78&lt;&gt;"",原始資料!AX78=原始資料!AW78),N(AU78)+1,1))</f>
        <v/>
      </c>
      <c r="AW78" s="6">
        <f>IF(OR(原始資料!$A78="",48&gt;設定!$B$3,原始資料!AY78=""),"",IF(AND(原始資料!AX78&lt;&gt;"",原始資料!AY78=原始資料!AX78),N(AV78)+1,1))</f>
        <v/>
      </c>
      <c r="AX78" s="6">
        <f>IF(OR(原始資料!$A78="",49&gt;設定!$B$3,原始資料!AZ78=""),"",IF(AND(原始資料!AY78&lt;&gt;"",原始資料!AZ78=原始資料!AY78),N(AW78)+1,1))</f>
        <v/>
      </c>
      <c r="AY78" s="6">
        <f>IF(OR(原始資料!$A78="",50&gt;設定!$B$3,原始資料!BA78=""),"",IF(AND(原始資料!AZ78&lt;&gt;"",原始資料!BA78=原始資料!AZ78),N(AX78)+1,1))</f>
        <v/>
      </c>
      <c r="AZ78" s="6">
        <f>IF(OR(原始資料!$A78="",51&gt;設定!$B$3,原始資料!BB78=""),"",IF(AND(原始資料!BA78&lt;&gt;"",原始資料!BB78=原始資料!BA78),N(AY78)+1,1))</f>
        <v/>
      </c>
      <c r="BA78" s="6">
        <f>IF(OR(原始資料!$A78="",52&gt;設定!$B$3,原始資料!BC78=""),"",IF(AND(原始資料!BB78&lt;&gt;"",原始資料!BC78=原始資料!BB78),N(AZ78)+1,1))</f>
        <v/>
      </c>
      <c r="BB78" s="6">
        <f>IF(OR(原始資料!$A78="",53&gt;設定!$B$3,原始資料!BD78=""),"",IF(AND(原始資料!BC78&lt;&gt;"",原始資料!BD78=原始資料!BC78),N(BA78)+1,1))</f>
        <v/>
      </c>
      <c r="BC78" s="6">
        <f>IF(OR(原始資料!$A78="",54&gt;設定!$B$3,原始資料!BE78=""),"",IF(AND(原始資料!BD78&lt;&gt;"",原始資料!BE78=原始資料!BD78),N(BB78)+1,1))</f>
        <v/>
      </c>
      <c r="BD78" s="6">
        <f>IF(OR(原始資料!$A78="",55&gt;設定!$B$3,原始資料!BF78=""),"",IF(AND(原始資料!BE78&lt;&gt;"",原始資料!BF78=原始資料!BE78),N(BC78)+1,1))</f>
        <v/>
      </c>
      <c r="BE78" s="6">
        <f>IF(OR(原始資料!$A78="",56&gt;設定!$B$3,原始資料!BG78=""),"",IF(AND(原始資料!BF78&lt;&gt;"",原始資料!BG78=原始資料!BF78),N(BD78)+1,1))</f>
        <v/>
      </c>
      <c r="BF78" s="6">
        <f>IF(OR(原始資料!$A78="",57&gt;設定!$B$3,原始資料!BH78=""),"",IF(AND(原始資料!BG78&lt;&gt;"",原始資料!BH78=原始資料!BG78),N(BE78)+1,1))</f>
        <v/>
      </c>
      <c r="BG78" s="6">
        <f>IF(OR(原始資料!$A78="",58&gt;設定!$B$3,原始資料!BI78=""),"",IF(AND(原始資料!BH78&lt;&gt;"",原始資料!BI78=原始資料!BH78),N(BF78)+1,1))</f>
        <v/>
      </c>
      <c r="BH78" s="6">
        <f>IF(OR(原始資料!$A78="",59&gt;設定!$B$3,原始資料!BJ78=""),"",IF(AND(原始資料!BI78&lt;&gt;"",原始資料!BJ78=原始資料!BI78),N(BG78)+1,1))</f>
        <v/>
      </c>
      <c r="BI78" s="6">
        <f>IF(OR(原始資料!$A78="",60&gt;設定!$B$3,原始資料!BK78=""),"",IF(AND(原始資料!BJ78&lt;&gt;"",原始資料!BK78=原始資料!BJ78),N(BH78)+1,1))</f>
        <v/>
      </c>
    </row>
    <row r="79">
      <c r="A79" s="6">
        <f>IF(原始資料!$A79="","",原始資料!$A79)</f>
        <v/>
      </c>
      <c r="B79" s="6">
        <f>IF(OR(原始資料!$A79="",1&gt;設定!$B$3,原始資料!D79=""),"",1)</f>
        <v/>
      </c>
      <c r="C79" s="6">
        <f>IF(OR(原始資料!$A79="",2&gt;設定!$B$3,原始資料!E79=""),"",IF(AND(原始資料!D79&lt;&gt;"",原始資料!E79=原始資料!D79),N(B79)+1,1))</f>
        <v/>
      </c>
      <c r="D79" s="6">
        <f>IF(OR(原始資料!$A79="",3&gt;設定!$B$3,原始資料!F79=""),"",IF(AND(原始資料!E79&lt;&gt;"",原始資料!F79=原始資料!E79),N(C79)+1,1))</f>
        <v/>
      </c>
      <c r="E79" s="6">
        <f>IF(OR(原始資料!$A79="",4&gt;設定!$B$3,原始資料!G79=""),"",IF(AND(原始資料!F79&lt;&gt;"",原始資料!G79=原始資料!F79),N(D79)+1,1))</f>
        <v/>
      </c>
      <c r="F79" s="6">
        <f>IF(OR(原始資料!$A79="",5&gt;設定!$B$3,原始資料!H79=""),"",IF(AND(原始資料!G79&lt;&gt;"",原始資料!H79=原始資料!G79),N(E79)+1,1))</f>
        <v/>
      </c>
      <c r="G79" s="6">
        <f>IF(OR(原始資料!$A79="",6&gt;設定!$B$3,原始資料!I79=""),"",IF(AND(原始資料!H79&lt;&gt;"",原始資料!I79=原始資料!H79),N(F79)+1,1))</f>
        <v/>
      </c>
      <c r="H79" s="6">
        <f>IF(OR(原始資料!$A79="",7&gt;設定!$B$3,原始資料!J79=""),"",IF(AND(原始資料!I79&lt;&gt;"",原始資料!J79=原始資料!I79),N(G79)+1,1))</f>
        <v/>
      </c>
      <c r="I79" s="6">
        <f>IF(OR(原始資料!$A79="",8&gt;設定!$B$3,原始資料!K79=""),"",IF(AND(原始資料!J79&lt;&gt;"",原始資料!K79=原始資料!J79),N(H79)+1,1))</f>
        <v/>
      </c>
      <c r="J79" s="6">
        <f>IF(OR(原始資料!$A79="",9&gt;設定!$B$3,原始資料!L79=""),"",IF(AND(原始資料!K79&lt;&gt;"",原始資料!L79=原始資料!K79),N(I79)+1,1))</f>
        <v/>
      </c>
      <c r="K79" s="6">
        <f>IF(OR(原始資料!$A79="",10&gt;設定!$B$3,原始資料!M79=""),"",IF(AND(原始資料!L79&lt;&gt;"",原始資料!M79=原始資料!L79),N(J79)+1,1))</f>
        <v/>
      </c>
      <c r="L79" s="6">
        <f>IF(OR(原始資料!$A79="",11&gt;設定!$B$3,原始資料!N79=""),"",IF(AND(原始資料!M79&lt;&gt;"",原始資料!N79=原始資料!M79),N(K79)+1,1))</f>
        <v/>
      </c>
      <c r="M79" s="6">
        <f>IF(OR(原始資料!$A79="",12&gt;設定!$B$3,原始資料!O79=""),"",IF(AND(原始資料!N79&lt;&gt;"",原始資料!O79=原始資料!N79),N(L79)+1,1))</f>
        <v/>
      </c>
      <c r="N79" s="6">
        <f>IF(OR(原始資料!$A79="",13&gt;設定!$B$3,原始資料!P79=""),"",IF(AND(原始資料!O79&lt;&gt;"",原始資料!P79=原始資料!O79),N(M79)+1,1))</f>
        <v/>
      </c>
      <c r="O79" s="6">
        <f>IF(OR(原始資料!$A79="",14&gt;設定!$B$3,原始資料!Q79=""),"",IF(AND(原始資料!P79&lt;&gt;"",原始資料!Q79=原始資料!P79),N(N79)+1,1))</f>
        <v/>
      </c>
      <c r="P79" s="6">
        <f>IF(OR(原始資料!$A79="",15&gt;設定!$B$3,原始資料!R79=""),"",IF(AND(原始資料!Q79&lt;&gt;"",原始資料!R79=原始資料!Q79),N(O79)+1,1))</f>
        <v/>
      </c>
      <c r="Q79" s="6">
        <f>IF(OR(原始資料!$A79="",16&gt;設定!$B$3,原始資料!S79=""),"",IF(AND(原始資料!R79&lt;&gt;"",原始資料!S79=原始資料!R79),N(P79)+1,1))</f>
        <v/>
      </c>
      <c r="R79" s="6">
        <f>IF(OR(原始資料!$A79="",17&gt;設定!$B$3,原始資料!T79=""),"",IF(AND(原始資料!S79&lt;&gt;"",原始資料!T79=原始資料!S79),N(Q79)+1,1))</f>
        <v/>
      </c>
      <c r="S79" s="6">
        <f>IF(OR(原始資料!$A79="",18&gt;設定!$B$3,原始資料!U79=""),"",IF(AND(原始資料!T79&lt;&gt;"",原始資料!U79=原始資料!T79),N(R79)+1,1))</f>
        <v/>
      </c>
      <c r="T79" s="6">
        <f>IF(OR(原始資料!$A79="",19&gt;設定!$B$3,原始資料!V79=""),"",IF(AND(原始資料!U79&lt;&gt;"",原始資料!V79=原始資料!U79),N(S79)+1,1))</f>
        <v/>
      </c>
      <c r="U79" s="6">
        <f>IF(OR(原始資料!$A79="",20&gt;設定!$B$3,原始資料!W79=""),"",IF(AND(原始資料!V79&lt;&gt;"",原始資料!W79=原始資料!V79),N(T79)+1,1))</f>
        <v/>
      </c>
      <c r="V79" s="6">
        <f>IF(OR(原始資料!$A79="",21&gt;設定!$B$3,原始資料!X79=""),"",IF(AND(原始資料!W79&lt;&gt;"",原始資料!X79=原始資料!W79),N(U79)+1,1))</f>
        <v/>
      </c>
      <c r="W79" s="6">
        <f>IF(OR(原始資料!$A79="",22&gt;設定!$B$3,原始資料!Y79=""),"",IF(AND(原始資料!X79&lt;&gt;"",原始資料!Y79=原始資料!X79),N(V79)+1,1))</f>
        <v/>
      </c>
      <c r="X79" s="6">
        <f>IF(OR(原始資料!$A79="",23&gt;設定!$B$3,原始資料!Z79=""),"",IF(AND(原始資料!Y79&lt;&gt;"",原始資料!Z79=原始資料!Y79),N(W79)+1,1))</f>
        <v/>
      </c>
      <c r="Y79" s="6">
        <f>IF(OR(原始資料!$A79="",24&gt;設定!$B$3,原始資料!AA79=""),"",IF(AND(原始資料!Z79&lt;&gt;"",原始資料!AA79=原始資料!Z79),N(X79)+1,1))</f>
        <v/>
      </c>
      <c r="Z79" s="6">
        <f>IF(OR(原始資料!$A79="",25&gt;設定!$B$3,原始資料!AB79=""),"",IF(AND(原始資料!AA79&lt;&gt;"",原始資料!AB79=原始資料!AA79),N(Y79)+1,1))</f>
        <v/>
      </c>
      <c r="AA79" s="6">
        <f>IF(OR(原始資料!$A79="",26&gt;設定!$B$3,原始資料!AC79=""),"",IF(AND(原始資料!AB79&lt;&gt;"",原始資料!AC79=原始資料!AB79),N(Z79)+1,1))</f>
        <v/>
      </c>
      <c r="AB79" s="6">
        <f>IF(OR(原始資料!$A79="",27&gt;設定!$B$3,原始資料!AD79=""),"",IF(AND(原始資料!AC79&lt;&gt;"",原始資料!AD79=原始資料!AC79),N(AA79)+1,1))</f>
        <v/>
      </c>
      <c r="AC79" s="6">
        <f>IF(OR(原始資料!$A79="",28&gt;設定!$B$3,原始資料!AE79=""),"",IF(AND(原始資料!AD79&lt;&gt;"",原始資料!AE79=原始資料!AD79),N(AB79)+1,1))</f>
        <v/>
      </c>
      <c r="AD79" s="6">
        <f>IF(OR(原始資料!$A79="",29&gt;設定!$B$3,原始資料!AF79=""),"",IF(AND(原始資料!AE79&lt;&gt;"",原始資料!AF79=原始資料!AE79),N(AC79)+1,1))</f>
        <v/>
      </c>
      <c r="AE79" s="6">
        <f>IF(OR(原始資料!$A79="",30&gt;設定!$B$3,原始資料!AG79=""),"",IF(AND(原始資料!AF79&lt;&gt;"",原始資料!AG79=原始資料!AF79),N(AD79)+1,1))</f>
        <v/>
      </c>
      <c r="AF79" s="6">
        <f>IF(OR(原始資料!$A79="",31&gt;設定!$B$3,原始資料!AH79=""),"",IF(AND(原始資料!AG79&lt;&gt;"",原始資料!AH79=原始資料!AG79),N(AE79)+1,1))</f>
        <v/>
      </c>
      <c r="AG79" s="6">
        <f>IF(OR(原始資料!$A79="",32&gt;設定!$B$3,原始資料!AI79=""),"",IF(AND(原始資料!AH79&lt;&gt;"",原始資料!AI79=原始資料!AH79),N(AF79)+1,1))</f>
        <v/>
      </c>
      <c r="AH79" s="6">
        <f>IF(OR(原始資料!$A79="",33&gt;設定!$B$3,原始資料!AJ79=""),"",IF(AND(原始資料!AI79&lt;&gt;"",原始資料!AJ79=原始資料!AI79),N(AG79)+1,1))</f>
        <v/>
      </c>
      <c r="AI79" s="6">
        <f>IF(OR(原始資料!$A79="",34&gt;設定!$B$3,原始資料!AK79=""),"",IF(AND(原始資料!AJ79&lt;&gt;"",原始資料!AK79=原始資料!AJ79),N(AH79)+1,1))</f>
        <v/>
      </c>
      <c r="AJ79" s="6">
        <f>IF(OR(原始資料!$A79="",35&gt;設定!$B$3,原始資料!AL79=""),"",IF(AND(原始資料!AK79&lt;&gt;"",原始資料!AL79=原始資料!AK79),N(AI79)+1,1))</f>
        <v/>
      </c>
      <c r="AK79" s="6">
        <f>IF(OR(原始資料!$A79="",36&gt;設定!$B$3,原始資料!AM79=""),"",IF(AND(原始資料!AL79&lt;&gt;"",原始資料!AM79=原始資料!AL79),N(AJ79)+1,1))</f>
        <v/>
      </c>
      <c r="AL79" s="6">
        <f>IF(OR(原始資料!$A79="",37&gt;設定!$B$3,原始資料!AN79=""),"",IF(AND(原始資料!AM79&lt;&gt;"",原始資料!AN79=原始資料!AM79),N(AK79)+1,1))</f>
        <v/>
      </c>
      <c r="AM79" s="6">
        <f>IF(OR(原始資料!$A79="",38&gt;設定!$B$3,原始資料!AO79=""),"",IF(AND(原始資料!AN79&lt;&gt;"",原始資料!AO79=原始資料!AN79),N(AL79)+1,1))</f>
        <v/>
      </c>
      <c r="AN79" s="6">
        <f>IF(OR(原始資料!$A79="",39&gt;設定!$B$3,原始資料!AP79=""),"",IF(AND(原始資料!AO79&lt;&gt;"",原始資料!AP79=原始資料!AO79),N(AM79)+1,1))</f>
        <v/>
      </c>
      <c r="AO79" s="6">
        <f>IF(OR(原始資料!$A79="",40&gt;設定!$B$3,原始資料!AQ79=""),"",IF(AND(原始資料!AP79&lt;&gt;"",原始資料!AQ79=原始資料!AP79),N(AN79)+1,1))</f>
        <v/>
      </c>
      <c r="AP79" s="6">
        <f>IF(OR(原始資料!$A79="",41&gt;設定!$B$3,原始資料!AR79=""),"",IF(AND(原始資料!AQ79&lt;&gt;"",原始資料!AR79=原始資料!AQ79),N(AO79)+1,1))</f>
        <v/>
      </c>
      <c r="AQ79" s="6">
        <f>IF(OR(原始資料!$A79="",42&gt;設定!$B$3,原始資料!AS79=""),"",IF(AND(原始資料!AR79&lt;&gt;"",原始資料!AS79=原始資料!AR79),N(AP79)+1,1))</f>
        <v/>
      </c>
      <c r="AR79" s="6">
        <f>IF(OR(原始資料!$A79="",43&gt;設定!$B$3,原始資料!AT79=""),"",IF(AND(原始資料!AS79&lt;&gt;"",原始資料!AT79=原始資料!AS79),N(AQ79)+1,1))</f>
        <v/>
      </c>
      <c r="AS79" s="6">
        <f>IF(OR(原始資料!$A79="",44&gt;設定!$B$3,原始資料!AU79=""),"",IF(AND(原始資料!AT79&lt;&gt;"",原始資料!AU79=原始資料!AT79),N(AR79)+1,1))</f>
        <v/>
      </c>
      <c r="AT79" s="6">
        <f>IF(OR(原始資料!$A79="",45&gt;設定!$B$3,原始資料!AV79=""),"",IF(AND(原始資料!AU79&lt;&gt;"",原始資料!AV79=原始資料!AU79),N(AS79)+1,1))</f>
        <v/>
      </c>
      <c r="AU79" s="6">
        <f>IF(OR(原始資料!$A79="",46&gt;設定!$B$3,原始資料!AW79=""),"",IF(AND(原始資料!AV79&lt;&gt;"",原始資料!AW79=原始資料!AV79),N(AT79)+1,1))</f>
        <v/>
      </c>
      <c r="AV79" s="6">
        <f>IF(OR(原始資料!$A79="",47&gt;設定!$B$3,原始資料!AX79=""),"",IF(AND(原始資料!AW79&lt;&gt;"",原始資料!AX79=原始資料!AW79),N(AU79)+1,1))</f>
        <v/>
      </c>
      <c r="AW79" s="6">
        <f>IF(OR(原始資料!$A79="",48&gt;設定!$B$3,原始資料!AY79=""),"",IF(AND(原始資料!AX79&lt;&gt;"",原始資料!AY79=原始資料!AX79),N(AV79)+1,1))</f>
        <v/>
      </c>
      <c r="AX79" s="6">
        <f>IF(OR(原始資料!$A79="",49&gt;設定!$B$3,原始資料!AZ79=""),"",IF(AND(原始資料!AY79&lt;&gt;"",原始資料!AZ79=原始資料!AY79),N(AW79)+1,1))</f>
        <v/>
      </c>
      <c r="AY79" s="6">
        <f>IF(OR(原始資料!$A79="",50&gt;設定!$B$3,原始資料!BA79=""),"",IF(AND(原始資料!AZ79&lt;&gt;"",原始資料!BA79=原始資料!AZ79),N(AX79)+1,1))</f>
        <v/>
      </c>
      <c r="AZ79" s="6">
        <f>IF(OR(原始資料!$A79="",51&gt;設定!$B$3,原始資料!BB79=""),"",IF(AND(原始資料!BA79&lt;&gt;"",原始資料!BB79=原始資料!BA79),N(AY79)+1,1))</f>
        <v/>
      </c>
      <c r="BA79" s="6">
        <f>IF(OR(原始資料!$A79="",52&gt;設定!$B$3,原始資料!BC79=""),"",IF(AND(原始資料!BB79&lt;&gt;"",原始資料!BC79=原始資料!BB79),N(AZ79)+1,1))</f>
        <v/>
      </c>
      <c r="BB79" s="6">
        <f>IF(OR(原始資料!$A79="",53&gt;設定!$B$3,原始資料!BD79=""),"",IF(AND(原始資料!BC79&lt;&gt;"",原始資料!BD79=原始資料!BC79),N(BA79)+1,1))</f>
        <v/>
      </c>
      <c r="BC79" s="6">
        <f>IF(OR(原始資料!$A79="",54&gt;設定!$B$3,原始資料!BE79=""),"",IF(AND(原始資料!BD79&lt;&gt;"",原始資料!BE79=原始資料!BD79),N(BB79)+1,1))</f>
        <v/>
      </c>
      <c r="BD79" s="6">
        <f>IF(OR(原始資料!$A79="",55&gt;設定!$B$3,原始資料!BF79=""),"",IF(AND(原始資料!BE79&lt;&gt;"",原始資料!BF79=原始資料!BE79),N(BC79)+1,1))</f>
        <v/>
      </c>
      <c r="BE79" s="6">
        <f>IF(OR(原始資料!$A79="",56&gt;設定!$B$3,原始資料!BG79=""),"",IF(AND(原始資料!BF79&lt;&gt;"",原始資料!BG79=原始資料!BF79),N(BD79)+1,1))</f>
        <v/>
      </c>
      <c r="BF79" s="6">
        <f>IF(OR(原始資料!$A79="",57&gt;設定!$B$3,原始資料!BH79=""),"",IF(AND(原始資料!BG79&lt;&gt;"",原始資料!BH79=原始資料!BG79),N(BE79)+1,1))</f>
        <v/>
      </c>
      <c r="BG79" s="6">
        <f>IF(OR(原始資料!$A79="",58&gt;設定!$B$3,原始資料!BI79=""),"",IF(AND(原始資料!BH79&lt;&gt;"",原始資料!BI79=原始資料!BH79),N(BF79)+1,1))</f>
        <v/>
      </c>
      <c r="BH79" s="6">
        <f>IF(OR(原始資料!$A79="",59&gt;設定!$B$3,原始資料!BJ79=""),"",IF(AND(原始資料!BI79&lt;&gt;"",原始資料!BJ79=原始資料!BI79),N(BG79)+1,1))</f>
        <v/>
      </c>
      <c r="BI79" s="6">
        <f>IF(OR(原始資料!$A79="",60&gt;設定!$B$3,原始資料!BK79=""),"",IF(AND(原始資料!BJ79&lt;&gt;"",原始資料!BK79=原始資料!BJ79),N(BH79)+1,1))</f>
        <v/>
      </c>
    </row>
    <row r="80">
      <c r="A80" s="6">
        <f>IF(原始資料!$A80="","",原始資料!$A80)</f>
        <v/>
      </c>
      <c r="B80" s="6">
        <f>IF(OR(原始資料!$A80="",1&gt;設定!$B$3,原始資料!D80=""),"",1)</f>
        <v/>
      </c>
      <c r="C80" s="6">
        <f>IF(OR(原始資料!$A80="",2&gt;設定!$B$3,原始資料!E80=""),"",IF(AND(原始資料!D80&lt;&gt;"",原始資料!E80=原始資料!D80),N(B80)+1,1))</f>
        <v/>
      </c>
      <c r="D80" s="6">
        <f>IF(OR(原始資料!$A80="",3&gt;設定!$B$3,原始資料!F80=""),"",IF(AND(原始資料!E80&lt;&gt;"",原始資料!F80=原始資料!E80),N(C80)+1,1))</f>
        <v/>
      </c>
      <c r="E80" s="6">
        <f>IF(OR(原始資料!$A80="",4&gt;設定!$B$3,原始資料!G80=""),"",IF(AND(原始資料!F80&lt;&gt;"",原始資料!G80=原始資料!F80),N(D80)+1,1))</f>
        <v/>
      </c>
      <c r="F80" s="6">
        <f>IF(OR(原始資料!$A80="",5&gt;設定!$B$3,原始資料!H80=""),"",IF(AND(原始資料!G80&lt;&gt;"",原始資料!H80=原始資料!G80),N(E80)+1,1))</f>
        <v/>
      </c>
      <c r="G80" s="6">
        <f>IF(OR(原始資料!$A80="",6&gt;設定!$B$3,原始資料!I80=""),"",IF(AND(原始資料!H80&lt;&gt;"",原始資料!I80=原始資料!H80),N(F80)+1,1))</f>
        <v/>
      </c>
      <c r="H80" s="6">
        <f>IF(OR(原始資料!$A80="",7&gt;設定!$B$3,原始資料!J80=""),"",IF(AND(原始資料!I80&lt;&gt;"",原始資料!J80=原始資料!I80),N(G80)+1,1))</f>
        <v/>
      </c>
      <c r="I80" s="6">
        <f>IF(OR(原始資料!$A80="",8&gt;設定!$B$3,原始資料!K80=""),"",IF(AND(原始資料!J80&lt;&gt;"",原始資料!K80=原始資料!J80),N(H80)+1,1))</f>
        <v/>
      </c>
      <c r="J80" s="6">
        <f>IF(OR(原始資料!$A80="",9&gt;設定!$B$3,原始資料!L80=""),"",IF(AND(原始資料!K80&lt;&gt;"",原始資料!L80=原始資料!K80),N(I80)+1,1))</f>
        <v/>
      </c>
      <c r="K80" s="6">
        <f>IF(OR(原始資料!$A80="",10&gt;設定!$B$3,原始資料!M80=""),"",IF(AND(原始資料!L80&lt;&gt;"",原始資料!M80=原始資料!L80),N(J80)+1,1))</f>
        <v/>
      </c>
      <c r="L80" s="6">
        <f>IF(OR(原始資料!$A80="",11&gt;設定!$B$3,原始資料!N80=""),"",IF(AND(原始資料!M80&lt;&gt;"",原始資料!N80=原始資料!M80),N(K80)+1,1))</f>
        <v/>
      </c>
      <c r="M80" s="6">
        <f>IF(OR(原始資料!$A80="",12&gt;設定!$B$3,原始資料!O80=""),"",IF(AND(原始資料!N80&lt;&gt;"",原始資料!O80=原始資料!N80),N(L80)+1,1))</f>
        <v/>
      </c>
      <c r="N80" s="6">
        <f>IF(OR(原始資料!$A80="",13&gt;設定!$B$3,原始資料!P80=""),"",IF(AND(原始資料!O80&lt;&gt;"",原始資料!P80=原始資料!O80),N(M80)+1,1))</f>
        <v/>
      </c>
      <c r="O80" s="6">
        <f>IF(OR(原始資料!$A80="",14&gt;設定!$B$3,原始資料!Q80=""),"",IF(AND(原始資料!P80&lt;&gt;"",原始資料!Q80=原始資料!P80),N(N80)+1,1))</f>
        <v/>
      </c>
      <c r="P80" s="6">
        <f>IF(OR(原始資料!$A80="",15&gt;設定!$B$3,原始資料!R80=""),"",IF(AND(原始資料!Q80&lt;&gt;"",原始資料!R80=原始資料!Q80),N(O80)+1,1))</f>
        <v/>
      </c>
      <c r="Q80" s="6">
        <f>IF(OR(原始資料!$A80="",16&gt;設定!$B$3,原始資料!S80=""),"",IF(AND(原始資料!R80&lt;&gt;"",原始資料!S80=原始資料!R80),N(P80)+1,1))</f>
        <v/>
      </c>
      <c r="R80" s="6">
        <f>IF(OR(原始資料!$A80="",17&gt;設定!$B$3,原始資料!T80=""),"",IF(AND(原始資料!S80&lt;&gt;"",原始資料!T80=原始資料!S80),N(Q80)+1,1))</f>
        <v/>
      </c>
      <c r="S80" s="6">
        <f>IF(OR(原始資料!$A80="",18&gt;設定!$B$3,原始資料!U80=""),"",IF(AND(原始資料!T80&lt;&gt;"",原始資料!U80=原始資料!T80),N(R80)+1,1))</f>
        <v/>
      </c>
      <c r="T80" s="6">
        <f>IF(OR(原始資料!$A80="",19&gt;設定!$B$3,原始資料!V80=""),"",IF(AND(原始資料!U80&lt;&gt;"",原始資料!V80=原始資料!U80),N(S80)+1,1))</f>
        <v/>
      </c>
      <c r="U80" s="6">
        <f>IF(OR(原始資料!$A80="",20&gt;設定!$B$3,原始資料!W80=""),"",IF(AND(原始資料!V80&lt;&gt;"",原始資料!W80=原始資料!V80),N(T80)+1,1))</f>
        <v/>
      </c>
      <c r="V80" s="6">
        <f>IF(OR(原始資料!$A80="",21&gt;設定!$B$3,原始資料!X80=""),"",IF(AND(原始資料!W80&lt;&gt;"",原始資料!X80=原始資料!W80),N(U80)+1,1))</f>
        <v/>
      </c>
      <c r="W80" s="6">
        <f>IF(OR(原始資料!$A80="",22&gt;設定!$B$3,原始資料!Y80=""),"",IF(AND(原始資料!X80&lt;&gt;"",原始資料!Y80=原始資料!X80),N(V80)+1,1))</f>
        <v/>
      </c>
      <c r="X80" s="6">
        <f>IF(OR(原始資料!$A80="",23&gt;設定!$B$3,原始資料!Z80=""),"",IF(AND(原始資料!Y80&lt;&gt;"",原始資料!Z80=原始資料!Y80),N(W80)+1,1))</f>
        <v/>
      </c>
      <c r="Y80" s="6">
        <f>IF(OR(原始資料!$A80="",24&gt;設定!$B$3,原始資料!AA80=""),"",IF(AND(原始資料!Z80&lt;&gt;"",原始資料!AA80=原始資料!Z80),N(X80)+1,1))</f>
        <v/>
      </c>
      <c r="Z80" s="6">
        <f>IF(OR(原始資料!$A80="",25&gt;設定!$B$3,原始資料!AB80=""),"",IF(AND(原始資料!AA80&lt;&gt;"",原始資料!AB80=原始資料!AA80),N(Y80)+1,1))</f>
        <v/>
      </c>
      <c r="AA80" s="6">
        <f>IF(OR(原始資料!$A80="",26&gt;設定!$B$3,原始資料!AC80=""),"",IF(AND(原始資料!AB80&lt;&gt;"",原始資料!AC80=原始資料!AB80),N(Z80)+1,1))</f>
        <v/>
      </c>
      <c r="AB80" s="6">
        <f>IF(OR(原始資料!$A80="",27&gt;設定!$B$3,原始資料!AD80=""),"",IF(AND(原始資料!AC80&lt;&gt;"",原始資料!AD80=原始資料!AC80),N(AA80)+1,1))</f>
        <v/>
      </c>
      <c r="AC80" s="6">
        <f>IF(OR(原始資料!$A80="",28&gt;設定!$B$3,原始資料!AE80=""),"",IF(AND(原始資料!AD80&lt;&gt;"",原始資料!AE80=原始資料!AD80),N(AB80)+1,1))</f>
        <v/>
      </c>
      <c r="AD80" s="6">
        <f>IF(OR(原始資料!$A80="",29&gt;設定!$B$3,原始資料!AF80=""),"",IF(AND(原始資料!AE80&lt;&gt;"",原始資料!AF80=原始資料!AE80),N(AC80)+1,1))</f>
        <v/>
      </c>
      <c r="AE80" s="6">
        <f>IF(OR(原始資料!$A80="",30&gt;設定!$B$3,原始資料!AG80=""),"",IF(AND(原始資料!AF80&lt;&gt;"",原始資料!AG80=原始資料!AF80),N(AD80)+1,1))</f>
        <v/>
      </c>
      <c r="AF80" s="6">
        <f>IF(OR(原始資料!$A80="",31&gt;設定!$B$3,原始資料!AH80=""),"",IF(AND(原始資料!AG80&lt;&gt;"",原始資料!AH80=原始資料!AG80),N(AE80)+1,1))</f>
        <v/>
      </c>
      <c r="AG80" s="6">
        <f>IF(OR(原始資料!$A80="",32&gt;設定!$B$3,原始資料!AI80=""),"",IF(AND(原始資料!AH80&lt;&gt;"",原始資料!AI80=原始資料!AH80),N(AF80)+1,1))</f>
        <v/>
      </c>
      <c r="AH80" s="6">
        <f>IF(OR(原始資料!$A80="",33&gt;設定!$B$3,原始資料!AJ80=""),"",IF(AND(原始資料!AI80&lt;&gt;"",原始資料!AJ80=原始資料!AI80),N(AG80)+1,1))</f>
        <v/>
      </c>
      <c r="AI80" s="6">
        <f>IF(OR(原始資料!$A80="",34&gt;設定!$B$3,原始資料!AK80=""),"",IF(AND(原始資料!AJ80&lt;&gt;"",原始資料!AK80=原始資料!AJ80),N(AH80)+1,1))</f>
        <v/>
      </c>
      <c r="AJ80" s="6">
        <f>IF(OR(原始資料!$A80="",35&gt;設定!$B$3,原始資料!AL80=""),"",IF(AND(原始資料!AK80&lt;&gt;"",原始資料!AL80=原始資料!AK80),N(AI80)+1,1))</f>
        <v/>
      </c>
      <c r="AK80" s="6">
        <f>IF(OR(原始資料!$A80="",36&gt;設定!$B$3,原始資料!AM80=""),"",IF(AND(原始資料!AL80&lt;&gt;"",原始資料!AM80=原始資料!AL80),N(AJ80)+1,1))</f>
        <v/>
      </c>
      <c r="AL80" s="6">
        <f>IF(OR(原始資料!$A80="",37&gt;設定!$B$3,原始資料!AN80=""),"",IF(AND(原始資料!AM80&lt;&gt;"",原始資料!AN80=原始資料!AM80),N(AK80)+1,1))</f>
        <v/>
      </c>
      <c r="AM80" s="6">
        <f>IF(OR(原始資料!$A80="",38&gt;設定!$B$3,原始資料!AO80=""),"",IF(AND(原始資料!AN80&lt;&gt;"",原始資料!AO80=原始資料!AN80),N(AL80)+1,1))</f>
        <v/>
      </c>
      <c r="AN80" s="6">
        <f>IF(OR(原始資料!$A80="",39&gt;設定!$B$3,原始資料!AP80=""),"",IF(AND(原始資料!AO80&lt;&gt;"",原始資料!AP80=原始資料!AO80),N(AM80)+1,1))</f>
        <v/>
      </c>
      <c r="AO80" s="6">
        <f>IF(OR(原始資料!$A80="",40&gt;設定!$B$3,原始資料!AQ80=""),"",IF(AND(原始資料!AP80&lt;&gt;"",原始資料!AQ80=原始資料!AP80),N(AN80)+1,1))</f>
        <v/>
      </c>
      <c r="AP80" s="6">
        <f>IF(OR(原始資料!$A80="",41&gt;設定!$B$3,原始資料!AR80=""),"",IF(AND(原始資料!AQ80&lt;&gt;"",原始資料!AR80=原始資料!AQ80),N(AO80)+1,1))</f>
        <v/>
      </c>
      <c r="AQ80" s="6">
        <f>IF(OR(原始資料!$A80="",42&gt;設定!$B$3,原始資料!AS80=""),"",IF(AND(原始資料!AR80&lt;&gt;"",原始資料!AS80=原始資料!AR80),N(AP80)+1,1))</f>
        <v/>
      </c>
      <c r="AR80" s="6">
        <f>IF(OR(原始資料!$A80="",43&gt;設定!$B$3,原始資料!AT80=""),"",IF(AND(原始資料!AS80&lt;&gt;"",原始資料!AT80=原始資料!AS80),N(AQ80)+1,1))</f>
        <v/>
      </c>
      <c r="AS80" s="6">
        <f>IF(OR(原始資料!$A80="",44&gt;設定!$B$3,原始資料!AU80=""),"",IF(AND(原始資料!AT80&lt;&gt;"",原始資料!AU80=原始資料!AT80),N(AR80)+1,1))</f>
        <v/>
      </c>
      <c r="AT80" s="6">
        <f>IF(OR(原始資料!$A80="",45&gt;設定!$B$3,原始資料!AV80=""),"",IF(AND(原始資料!AU80&lt;&gt;"",原始資料!AV80=原始資料!AU80),N(AS80)+1,1))</f>
        <v/>
      </c>
      <c r="AU80" s="6">
        <f>IF(OR(原始資料!$A80="",46&gt;設定!$B$3,原始資料!AW80=""),"",IF(AND(原始資料!AV80&lt;&gt;"",原始資料!AW80=原始資料!AV80),N(AT80)+1,1))</f>
        <v/>
      </c>
      <c r="AV80" s="6">
        <f>IF(OR(原始資料!$A80="",47&gt;設定!$B$3,原始資料!AX80=""),"",IF(AND(原始資料!AW80&lt;&gt;"",原始資料!AX80=原始資料!AW80),N(AU80)+1,1))</f>
        <v/>
      </c>
      <c r="AW80" s="6">
        <f>IF(OR(原始資料!$A80="",48&gt;設定!$B$3,原始資料!AY80=""),"",IF(AND(原始資料!AX80&lt;&gt;"",原始資料!AY80=原始資料!AX80),N(AV80)+1,1))</f>
        <v/>
      </c>
      <c r="AX80" s="6">
        <f>IF(OR(原始資料!$A80="",49&gt;設定!$B$3,原始資料!AZ80=""),"",IF(AND(原始資料!AY80&lt;&gt;"",原始資料!AZ80=原始資料!AY80),N(AW80)+1,1))</f>
        <v/>
      </c>
      <c r="AY80" s="6">
        <f>IF(OR(原始資料!$A80="",50&gt;設定!$B$3,原始資料!BA80=""),"",IF(AND(原始資料!AZ80&lt;&gt;"",原始資料!BA80=原始資料!AZ80),N(AX80)+1,1))</f>
        <v/>
      </c>
      <c r="AZ80" s="6">
        <f>IF(OR(原始資料!$A80="",51&gt;設定!$B$3,原始資料!BB80=""),"",IF(AND(原始資料!BA80&lt;&gt;"",原始資料!BB80=原始資料!BA80),N(AY80)+1,1))</f>
        <v/>
      </c>
      <c r="BA80" s="6">
        <f>IF(OR(原始資料!$A80="",52&gt;設定!$B$3,原始資料!BC80=""),"",IF(AND(原始資料!BB80&lt;&gt;"",原始資料!BC80=原始資料!BB80),N(AZ80)+1,1))</f>
        <v/>
      </c>
      <c r="BB80" s="6">
        <f>IF(OR(原始資料!$A80="",53&gt;設定!$B$3,原始資料!BD80=""),"",IF(AND(原始資料!BC80&lt;&gt;"",原始資料!BD80=原始資料!BC80),N(BA80)+1,1))</f>
        <v/>
      </c>
      <c r="BC80" s="6">
        <f>IF(OR(原始資料!$A80="",54&gt;設定!$B$3,原始資料!BE80=""),"",IF(AND(原始資料!BD80&lt;&gt;"",原始資料!BE80=原始資料!BD80),N(BB80)+1,1))</f>
        <v/>
      </c>
      <c r="BD80" s="6">
        <f>IF(OR(原始資料!$A80="",55&gt;設定!$B$3,原始資料!BF80=""),"",IF(AND(原始資料!BE80&lt;&gt;"",原始資料!BF80=原始資料!BE80),N(BC80)+1,1))</f>
        <v/>
      </c>
      <c r="BE80" s="6">
        <f>IF(OR(原始資料!$A80="",56&gt;設定!$B$3,原始資料!BG80=""),"",IF(AND(原始資料!BF80&lt;&gt;"",原始資料!BG80=原始資料!BF80),N(BD80)+1,1))</f>
        <v/>
      </c>
      <c r="BF80" s="6">
        <f>IF(OR(原始資料!$A80="",57&gt;設定!$B$3,原始資料!BH80=""),"",IF(AND(原始資料!BG80&lt;&gt;"",原始資料!BH80=原始資料!BG80),N(BE80)+1,1))</f>
        <v/>
      </c>
      <c r="BG80" s="6">
        <f>IF(OR(原始資料!$A80="",58&gt;設定!$B$3,原始資料!BI80=""),"",IF(AND(原始資料!BH80&lt;&gt;"",原始資料!BI80=原始資料!BH80),N(BF80)+1,1))</f>
        <v/>
      </c>
      <c r="BH80" s="6">
        <f>IF(OR(原始資料!$A80="",59&gt;設定!$B$3,原始資料!BJ80=""),"",IF(AND(原始資料!BI80&lt;&gt;"",原始資料!BJ80=原始資料!BI80),N(BG80)+1,1))</f>
        <v/>
      </c>
      <c r="BI80" s="6">
        <f>IF(OR(原始資料!$A80="",60&gt;設定!$B$3,原始資料!BK80=""),"",IF(AND(原始資料!BJ80&lt;&gt;"",原始資料!BK80=原始資料!BJ80),N(BH80)+1,1))</f>
        <v/>
      </c>
    </row>
    <row r="81">
      <c r="A81" s="6">
        <f>IF(原始資料!$A81="","",原始資料!$A81)</f>
        <v/>
      </c>
      <c r="B81" s="6">
        <f>IF(OR(原始資料!$A81="",1&gt;設定!$B$3,原始資料!D81=""),"",1)</f>
        <v/>
      </c>
      <c r="C81" s="6">
        <f>IF(OR(原始資料!$A81="",2&gt;設定!$B$3,原始資料!E81=""),"",IF(AND(原始資料!D81&lt;&gt;"",原始資料!E81=原始資料!D81),N(B81)+1,1))</f>
        <v/>
      </c>
      <c r="D81" s="6">
        <f>IF(OR(原始資料!$A81="",3&gt;設定!$B$3,原始資料!F81=""),"",IF(AND(原始資料!E81&lt;&gt;"",原始資料!F81=原始資料!E81),N(C81)+1,1))</f>
        <v/>
      </c>
      <c r="E81" s="6">
        <f>IF(OR(原始資料!$A81="",4&gt;設定!$B$3,原始資料!G81=""),"",IF(AND(原始資料!F81&lt;&gt;"",原始資料!G81=原始資料!F81),N(D81)+1,1))</f>
        <v/>
      </c>
      <c r="F81" s="6">
        <f>IF(OR(原始資料!$A81="",5&gt;設定!$B$3,原始資料!H81=""),"",IF(AND(原始資料!G81&lt;&gt;"",原始資料!H81=原始資料!G81),N(E81)+1,1))</f>
        <v/>
      </c>
      <c r="G81" s="6">
        <f>IF(OR(原始資料!$A81="",6&gt;設定!$B$3,原始資料!I81=""),"",IF(AND(原始資料!H81&lt;&gt;"",原始資料!I81=原始資料!H81),N(F81)+1,1))</f>
        <v/>
      </c>
      <c r="H81" s="6">
        <f>IF(OR(原始資料!$A81="",7&gt;設定!$B$3,原始資料!J81=""),"",IF(AND(原始資料!I81&lt;&gt;"",原始資料!J81=原始資料!I81),N(G81)+1,1))</f>
        <v/>
      </c>
      <c r="I81" s="6">
        <f>IF(OR(原始資料!$A81="",8&gt;設定!$B$3,原始資料!K81=""),"",IF(AND(原始資料!J81&lt;&gt;"",原始資料!K81=原始資料!J81),N(H81)+1,1))</f>
        <v/>
      </c>
      <c r="J81" s="6">
        <f>IF(OR(原始資料!$A81="",9&gt;設定!$B$3,原始資料!L81=""),"",IF(AND(原始資料!K81&lt;&gt;"",原始資料!L81=原始資料!K81),N(I81)+1,1))</f>
        <v/>
      </c>
      <c r="K81" s="6">
        <f>IF(OR(原始資料!$A81="",10&gt;設定!$B$3,原始資料!M81=""),"",IF(AND(原始資料!L81&lt;&gt;"",原始資料!M81=原始資料!L81),N(J81)+1,1))</f>
        <v/>
      </c>
      <c r="L81" s="6">
        <f>IF(OR(原始資料!$A81="",11&gt;設定!$B$3,原始資料!N81=""),"",IF(AND(原始資料!M81&lt;&gt;"",原始資料!N81=原始資料!M81),N(K81)+1,1))</f>
        <v/>
      </c>
      <c r="M81" s="6">
        <f>IF(OR(原始資料!$A81="",12&gt;設定!$B$3,原始資料!O81=""),"",IF(AND(原始資料!N81&lt;&gt;"",原始資料!O81=原始資料!N81),N(L81)+1,1))</f>
        <v/>
      </c>
      <c r="N81" s="6">
        <f>IF(OR(原始資料!$A81="",13&gt;設定!$B$3,原始資料!P81=""),"",IF(AND(原始資料!O81&lt;&gt;"",原始資料!P81=原始資料!O81),N(M81)+1,1))</f>
        <v/>
      </c>
      <c r="O81" s="6">
        <f>IF(OR(原始資料!$A81="",14&gt;設定!$B$3,原始資料!Q81=""),"",IF(AND(原始資料!P81&lt;&gt;"",原始資料!Q81=原始資料!P81),N(N81)+1,1))</f>
        <v/>
      </c>
      <c r="P81" s="6">
        <f>IF(OR(原始資料!$A81="",15&gt;設定!$B$3,原始資料!R81=""),"",IF(AND(原始資料!Q81&lt;&gt;"",原始資料!R81=原始資料!Q81),N(O81)+1,1))</f>
        <v/>
      </c>
      <c r="Q81" s="6">
        <f>IF(OR(原始資料!$A81="",16&gt;設定!$B$3,原始資料!S81=""),"",IF(AND(原始資料!R81&lt;&gt;"",原始資料!S81=原始資料!R81),N(P81)+1,1))</f>
        <v/>
      </c>
      <c r="R81" s="6">
        <f>IF(OR(原始資料!$A81="",17&gt;設定!$B$3,原始資料!T81=""),"",IF(AND(原始資料!S81&lt;&gt;"",原始資料!T81=原始資料!S81),N(Q81)+1,1))</f>
        <v/>
      </c>
      <c r="S81" s="6">
        <f>IF(OR(原始資料!$A81="",18&gt;設定!$B$3,原始資料!U81=""),"",IF(AND(原始資料!T81&lt;&gt;"",原始資料!U81=原始資料!T81),N(R81)+1,1))</f>
        <v/>
      </c>
      <c r="T81" s="6">
        <f>IF(OR(原始資料!$A81="",19&gt;設定!$B$3,原始資料!V81=""),"",IF(AND(原始資料!U81&lt;&gt;"",原始資料!V81=原始資料!U81),N(S81)+1,1))</f>
        <v/>
      </c>
      <c r="U81" s="6">
        <f>IF(OR(原始資料!$A81="",20&gt;設定!$B$3,原始資料!W81=""),"",IF(AND(原始資料!V81&lt;&gt;"",原始資料!W81=原始資料!V81),N(T81)+1,1))</f>
        <v/>
      </c>
      <c r="V81" s="6">
        <f>IF(OR(原始資料!$A81="",21&gt;設定!$B$3,原始資料!X81=""),"",IF(AND(原始資料!W81&lt;&gt;"",原始資料!X81=原始資料!W81),N(U81)+1,1))</f>
        <v/>
      </c>
      <c r="W81" s="6">
        <f>IF(OR(原始資料!$A81="",22&gt;設定!$B$3,原始資料!Y81=""),"",IF(AND(原始資料!X81&lt;&gt;"",原始資料!Y81=原始資料!X81),N(V81)+1,1))</f>
        <v/>
      </c>
      <c r="X81" s="6">
        <f>IF(OR(原始資料!$A81="",23&gt;設定!$B$3,原始資料!Z81=""),"",IF(AND(原始資料!Y81&lt;&gt;"",原始資料!Z81=原始資料!Y81),N(W81)+1,1))</f>
        <v/>
      </c>
      <c r="Y81" s="6">
        <f>IF(OR(原始資料!$A81="",24&gt;設定!$B$3,原始資料!AA81=""),"",IF(AND(原始資料!Z81&lt;&gt;"",原始資料!AA81=原始資料!Z81),N(X81)+1,1))</f>
        <v/>
      </c>
      <c r="Z81" s="6">
        <f>IF(OR(原始資料!$A81="",25&gt;設定!$B$3,原始資料!AB81=""),"",IF(AND(原始資料!AA81&lt;&gt;"",原始資料!AB81=原始資料!AA81),N(Y81)+1,1))</f>
        <v/>
      </c>
      <c r="AA81" s="6">
        <f>IF(OR(原始資料!$A81="",26&gt;設定!$B$3,原始資料!AC81=""),"",IF(AND(原始資料!AB81&lt;&gt;"",原始資料!AC81=原始資料!AB81),N(Z81)+1,1))</f>
        <v/>
      </c>
      <c r="AB81" s="6">
        <f>IF(OR(原始資料!$A81="",27&gt;設定!$B$3,原始資料!AD81=""),"",IF(AND(原始資料!AC81&lt;&gt;"",原始資料!AD81=原始資料!AC81),N(AA81)+1,1))</f>
        <v/>
      </c>
      <c r="AC81" s="6">
        <f>IF(OR(原始資料!$A81="",28&gt;設定!$B$3,原始資料!AE81=""),"",IF(AND(原始資料!AD81&lt;&gt;"",原始資料!AE81=原始資料!AD81),N(AB81)+1,1))</f>
        <v/>
      </c>
      <c r="AD81" s="6">
        <f>IF(OR(原始資料!$A81="",29&gt;設定!$B$3,原始資料!AF81=""),"",IF(AND(原始資料!AE81&lt;&gt;"",原始資料!AF81=原始資料!AE81),N(AC81)+1,1))</f>
        <v/>
      </c>
      <c r="AE81" s="6">
        <f>IF(OR(原始資料!$A81="",30&gt;設定!$B$3,原始資料!AG81=""),"",IF(AND(原始資料!AF81&lt;&gt;"",原始資料!AG81=原始資料!AF81),N(AD81)+1,1))</f>
        <v/>
      </c>
      <c r="AF81" s="6">
        <f>IF(OR(原始資料!$A81="",31&gt;設定!$B$3,原始資料!AH81=""),"",IF(AND(原始資料!AG81&lt;&gt;"",原始資料!AH81=原始資料!AG81),N(AE81)+1,1))</f>
        <v/>
      </c>
      <c r="AG81" s="6">
        <f>IF(OR(原始資料!$A81="",32&gt;設定!$B$3,原始資料!AI81=""),"",IF(AND(原始資料!AH81&lt;&gt;"",原始資料!AI81=原始資料!AH81),N(AF81)+1,1))</f>
        <v/>
      </c>
      <c r="AH81" s="6">
        <f>IF(OR(原始資料!$A81="",33&gt;設定!$B$3,原始資料!AJ81=""),"",IF(AND(原始資料!AI81&lt;&gt;"",原始資料!AJ81=原始資料!AI81),N(AG81)+1,1))</f>
        <v/>
      </c>
      <c r="AI81" s="6">
        <f>IF(OR(原始資料!$A81="",34&gt;設定!$B$3,原始資料!AK81=""),"",IF(AND(原始資料!AJ81&lt;&gt;"",原始資料!AK81=原始資料!AJ81),N(AH81)+1,1))</f>
        <v/>
      </c>
      <c r="AJ81" s="6">
        <f>IF(OR(原始資料!$A81="",35&gt;設定!$B$3,原始資料!AL81=""),"",IF(AND(原始資料!AK81&lt;&gt;"",原始資料!AL81=原始資料!AK81),N(AI81)+1,1))</f>
        <v/>
      </c>
      <c r="AK81" s="6">
        <f>IF(OR(原始資料!$A81="",36&gt;設定!$B$3,原始資料!AM81=""),"",IF(AND(原始資料!AL81&lt;&gt;"",原始資料!AM81=原始資料!AL81),N(AJ81)+1,1))</f>
        <v/>
      </c>
      <c r="AL81" s="6">
        <f>IF(OR(原始資料!$A81="",37&gt;設定!$B$3,原始資料!AN81=""),"",IF(AND(原始資料!AM81&lt;&gt;"",原始資料!AN81=原始資料!AM81),N(AK81)+1,1))</f>
        <v/>
      </c>
      <c r="AM81" s="6">
        <f>IF(OR(原始資料!$A81="",38&gt;設定!$B$3,原始資料!AO81=""),"",IF(AND(原始資料!AN81&lt;&gt;"",原始資料!AO81=原始資料!AN81),N(AL81)+1,1))</f>
        <v/>
      </c>
      <c r="AN81" s="6">
        <f>IF(OR(原始資料!$A81="",39&gt;設定!$B$3,原始資料!AP81=""),"",IF(AND(原始資料!AO81&lt;&gt;"",原始資料!AP81=原始資料!AO81),N(AM81)+1,1))</f>
        <v/>
      </c>
      <c r="AO81" s="6">
        <f>IF(OR(原始資料!$A81="",40&gt;設定!$B$3,原始資料!AQ81=""),"",IF(AND(原始資料!AP81&lt;&gt;"",原始資料!AQ81=原始資料!AP81),N(AN81)+1,1))</f>
        <v/>
      </c>
      <c r="AP81" s="6">
        <f>IF(OR(原始資料!$A81="",41&gt;設定!$B$3,原始資料!AR81=""),"",IF(AND(原始資料!AQ81&lt;&gt;"",原始資料!AR81=原始資料!AQ81),N(AO81)+1,1))</f>
        <v/>
      </c>
      <c r="AQ81" s="6">
        <f>IF(OR(原始資料!$A81="",42&gt;設定!$B$3,原始資料!AS81=""),"",IF(AND(原始資料!AR81&lt;&gt;"",原始資料!AS81=原始資料!AR81),N(AP81)+1,1))</f>
        <v/>
      </c>
      <c r="AR81" s="6">
        <f>IF(OR(原始資料!$A81="",43&gt;設定!$B$3,原始資料!AT81=""),"",IF(AND(原始資料!AS81&lt;&gt;"",原始資料!AT81=原始資料!AS81),N(AQ81)+1,1))</f>
        <v/>
      </c>
      <c r="AS81" s="6">
        <f>IF(OR(原始資料!$A81="",44&gt;設定!$B$3,原始資料!AU81=""),"",IF(AND(原始資料!AT81&lt;&gt;"",原始資料!AU81=原始資料!AT81),N(AR81)+1,1))</f>
        <v/>
      </c>
      <c r="AT81" s="6">
        <f>IF(OR(原始資料!$A81="",45&gt;設定!$B$3,原始資料!AV81=""),"",IF(AND(原始資料!AU81&lt;&gt;"",原始資料!AV81=原始資料!AU81),N(AS81)+1,1))</f>
        <v/>
      </c>
      <c r="AU81" s="6">
        <f>IF(OR(原始資料!$A81="",46&gt;設定!$B$3,原始資料!AW81=""),"",IF(AND(原始資料!AV81&lt;&gt;"",原始資料!AW81=原始資料!AV81),N(AT81)+1,1))</f>
        <v/>
      </c>
      <c r="AV81" s="6">
        <f>IF(OR(原始資料!$A81="",47&gt;設定!$B$3,原始資料!AX81=""),"",IF(AND(原始資料!AW81&lt;&gt;"",原始資料!AX81=原始資料!AW81),N(AU81)+1,1))</f>
        <v/>
      </c>
      <c r="AW81" s="6">
        <f>IF(OR(原始資料!$A81="",48&gt;設定!$B$3,原始資料!AY81=""),"",IF(AND(原始資料!AX81&lt;&gt;"",原始資料!AY81=原始資料!AX81),N(AV81)+1,1))</f>
        <v/>
      </c>
      <c r="AX81" s="6">
        <f>IF(OR(原始資料!$A81="",49&gt;設定!$B$3,原始資料!AZ81=""),"",IF(AND(原始資料!AY81&lt;&gt;"",原始資料!AZ81=原始資料!AY81),N(AW81)+1,1))</f>
        <v/>
      </c>
      <c r="AY81" s="6">
        <f>IF(OR(原始資料!$A81="",50&gt;設定!$B$3,原始資料!BA81=""),"",IF(AND(原始資料!AZ81&lt;&gt;"",原始資料!BA81=原始資料!AZ81),N(AX81)+1,1))</f>
        <v/>
      </c>
      <c r="AZ81" s="6">
        <f>IF(OR(原始資料!$A81="",51&gt;設定!$B$3,原始資料!BB81=""),"",IF(AND(原始資料!BA81&lt;&gt;"",原始資料!BB81=原始資料!BA81),N(AY81)+1,1))</f>
        <v/>
      </c>
      <c r="BA81" s="6">
        <f>IF(OR(原始資料!$A81="",52&gt;設定!$B$3,原始資料!BC81=""),"",IF(AND(原始資料!BB81&lt;&gt;"",原始資料!BC81=原始資料!BB81),N(AZ81)+1,1))</f>
        <v/>
      </c>
      <c r="BB81" s="6">
        <f>IF(OR(原始資料!$A81="",53&gt;設定!$B$3,原始資料!BD81=""),"",IF(AND(原始資料!BC81&lt;&gt;"",原始資料!BD81=原始資料!BC81),N(BA81)+1,1))</f>
        <v/>
      </c>
      <c r="BC81" s="6">
        <f>IF(OR(原始資料!$A81="",54&gt;設定!$B$3,原始資料!BE81=""),"",IF(AND(原始資料!BD81&lt;&gt;"",原始資料!BE81=原始資料!BD81),N(BB81)+1,1))</f>
        <v/>
      </c>
      <c r="BD81" s="6">
        <f>IF(OR(原始資料!$A81="",55&gt;設定!$B$3,原始資料!BF81=""),"",IF(AND(原始資料!BE81&lt;&gt;"",原始資料!BF81=原始資料!BE81),N(BC81)+1,1))</f>
        <v/>
      </c>
      <c r="BE81" s="6">
        <f>IF(OR(原始資料!$A81="",56&gt;設定!$B$3,原始資料!BG81=""),"",IF(AND(原始資料!BF81&lt;&gt;"",原始資料!BG81=原始資料!BF81),N(BD81)+1,1))</f>
        <v/>
      </c>
      <c r="BF81" s="6">
        <f>IF(OR(原始資料!$A81="",57&gt;設定!$B$3,原始資料!BH81=""),"",IF(AND(原始資料!BG81&lt;&gt;"",原始資料!BH81=原始資料!BG81),N(BE81)+1,1))</f>
        <v/>
      </c>
      <c r="BG81" s="6">
        <f>IF(OR(原始資料!$A81="",58&gt;設定!$B$3,原始資料!BI81=""),"",IF(AND(原始資料!BH81&lt;&gt;"",原始資料!BI81=原始資料!BH81),N(BF81)+1,1))</f>
        <v/>
      </c>
      <c r="BH81" s="6">
        <f>IF(OR(原始資料!$A81="",59&gt;設定!$B$3,原始資料!BJ81=""),"",IF(AND(原始資料!BI81&lt;&gt;"",原始資料!BJ81=原始資料!BI81),N(BG81)+1,1))</f>
        <v/>
      </c>
      <c r="BI81" s="6">
        <f>IF(OR(原始資料!$A81="",60&gt;設定!$B$3,原始資料!BK81=""),"",IF(AND(原始資料!BJ81&lt;&gt;"",原始資料!BK81=原始資料!BJ81),N(BH81)+1,1))</f>
        <v/>
      </c>
    </row>
    <row r="82">
      <c r="A82" s="6">
        <f>IF(原始資料!$A82="","",原始資料!$A82)</f>
        <v/>
      </c>
      <c r="B82" s="6">
        <f>IF(OR(原始資料!$A82="",1&gt;設定!$B$3,原始資料!D82=""),"",1)</f>
        <v/>
      </c>
      <c r="C82" s="6">
        <f>IF(OR(原始資料!$A82="",2&gt;設定!$B$3,原始資料!E82=""),"",IF(AND(原始資料!D82&lt;&gt;"",原始資料!E82=原始資料!D82),N(B82)+1,1))</f>
        <v/>
      </c>
      <c r="D82" s="6">
        <f>IF(OR(原始資料!$A82="",3&gt;設定!$B$3,原始資料!F82=""),"",IF(AND(原始資料!E82&lt;&gt;"",原始資料!F82=原始資料!E82),N(C82)+1,1))</f>
        <v/>
      </c>
      <c r="E82" s="6">
        <f>IF(OR(原始資料!$A82="",4&gt;設定!$B$3,原始資料!G82=""),"",IF(AND(原始資料!F82&lt;&gt;"",原始資料!G82=原始資料!F82),N(D82)+1,1))</f>
        <v/>
      </c>
      <c r="F82" s="6">
        <f>IF(OR(原始資料!$A82="",5&gt;設定!$B$3,原始資料!H82=""),"",IF(AND(原始資料!G82&lt;&gt;"",原始資料!H82=原始資料!G82),N(E82)+1,1))</f>
        <v/>
      </c>
      <c r="G82" s="6">
        <f>IF(OR(原始資料!$A82="",6&gt;設定!$B$3,原始資料!I82=""),"",IF(AND(原始資料!H82&lt;&gt;"",原始資料!I82=原始資料!H82),N(F82)+1,1))</f>
        <v/>
      </c>
      <c r="H82" s="6">
        <f>IF(OR(原始資料!$A82="",7&gt;設定!$B$3,原始資料!J82=""),"",IF(AND(原始資料!I82&lt;&gt;"",原始資料!J82=原始資料!I82),N(G82)+1,1))</f>
        <v/>
      </c>
      <c r="I82" s="6">
        <f>IF(OR(原始資料!$A82="",8&gt;設定!$B$3,原始資料!K82=""),"",IF(AND(原始資料!J82&lt;&gt;"",原始資料!K82=原始資料!J82),N(H82)+1,1))</f>
        <v/>
      </c>
      <c r="J82" s="6">
        <f>IF(OR(原始資料!$A82="",9&gt;設定!$B$3,原始資料!L82=""),"",IF(AND(原始資料!K82&lt;&gt;"",原始資料!L82=原始資料!K82),N(I82)+1,1))</f>
        <v/>
      </c>
      <c r="K82" s="6">
        <f>IF(OR(原始資料!$A82="",10&gt;設定!$B$3,原始資料!M82=""),"",IF(AND(原始資料!L82&lt;&gt;"",原始資料!M82=原始資料!L82),N(J82)+1,1))</f>
        <v/>
      </c>
      <c r="L82" s="6">
        <f>IF(OR(原始資料!$A82="",11&gt;設定!$B$3,原始資料!N82=""),"",IF(AND(原始資料!M82&lt;&gt;"",原始資料!N82=原始資料!M82),N(K82)+1,1))</f>
        <v/>
      </c>
      <c r="M82" s="6">
        <f>IF(OR(原始資料!$A82="",12&gt;設定!$B$3,原始資料!O82=""),"",IF(AND(原始資料!N82&lt;&gt;"",原始資料!O82=原始資料!N82),N(L82)+1,1))</f>
        <v/>
      </c>
      <c r="N82" s="6">
        <f>IF(OR(原始資料!$A82="",13&gt;設定!$B$3,原始資料!P82=""),"",IF(AND(原始資料!O82&lt;&gt;"",原始資料!P82=原始資料!O82),N(M82)+1,1))</f>
        <v/>
      </c>
      <c r="O82" s="6">
        <f>IF(OR(原始資料!$A82="",14&gt;設定!$B$3,原始資料!Q82=""),"",IF(AND(原始資料!P82&lt;&gt;"",原始資料!Q82=原始資料!P82),N(N82)+1,1))</f>
        <v/>
      </c>
      <c r="P82" s="6">
        <f>IF(OR(原始資料!$A82="",15&gt;設定!$B$3,原始資料!R82=""),"",IF(AND(原始資料!Q82&lt;&gt;"",原始資料!R82=原始資料!Q82),N(O82)+1,1))</f>
        <v/>
      </c>
      <c r="Q82" s="6">
        <f>IF(OR(原始資料!$A82="",16&gt;設定!$B$3,原始資料!S82=""),"",IF(AND(原始資料!R82&lt;&gt;"",原始資料!S82=原始資料!R82),N(P82)+1,1))</f>
        <v/>
      </c>
      <c r="R82" s="6">
        <f>IF(OR(原始資料!$A82="",17&gt;設定!$B$3,原始資料!T82=""),"",IF(AND(原始資料!S82&lt;&gt;"",原始資料!T82=原始資料!S82),N(Q82)+1,1))</f>
        <v/>
      </c>
      <c r="S82" s="6">
        <f>IF(OR(原始資料!$A82="",18&gt;設定!$B$3,原始資料!U82=""),"",IF(AND(原始資料!T82&lt;&gt;"",原始資料!U82=原始資料!T82),N(R82)+1,1))</f>
        <v/>
      </c>
      <c r="T82" s="6">
        <f>IF(OR(原始資料!$A82="",19&gt;設定!$B$3,原始資料!V82=""),"",IF(AND(原始資料!U82&lt;&gt;"",原始資料!V82=原始資料!U82),N(S82)+1,1))</f>
        <v/>
      </c>
      <c r="U82" s="6">
        <f>IF(OR(原始資料!$A82="",20&gt;設定!$B$3,原始資料!W82=""),"",IF(AND(原始資料!V82&lt;&gt;"",原始資料!W82=原始資料!V82),N(T82)+1,1))</f>
        <v/>
      </c>
      <c r="V82" s="6">
        <f>IF(OR(原始資料!$A82="",21&gt;設定!$B$3,原始資料!X82=""),"",IF(AND(原始資料!W82&lt;&gt;"",原始資料!X82=原始資料!W82),N(U82)+1,1))</f>
        <v/>
      </c>
      <c r="W82" s="6">
        <f>IF(OR(原始資料!$A82="",22&gt;設定!$B$3,原始資料!Y82=""),"",IF(AND(原始資料!X82&lt;&gt;"",原始資料!Y82=原始資料!X82),N(V82)+1,1))</f>
        <v/>
      </c>
      <c r="X82" s="6">
        <f>IF(OR(原始資料!$A82="",23&gt;設定!$B$3,原始資料!Z82=""),"",IF(AND(原始資料!Y82&lt;&gt;"",原始資料!Z82=原始資料!Y82),N(W82)+1,1))</f>
        <v/>
      </c>
      <c r="Y82" s="6">
        <f>IF(OR(原始資料!$A82="",24&gt;設定!$B$3,原始資料!AA82=""),"",IF(AND(原始資料!Z82&lt;&gt;"",原始資料!AA82=原始資料!Z82),N(X82)+1,1))</f>
        <v/>
      </c>
      <c r="Z82" s="6">
        <f>IF(OR(原始資料!$A82="",25&gt;設定!$B$3,原始資料!AB82=""),"",IF(AND(原始資料!AA82&lt;&gt;"",原始資料!AB82=原始資料!AA82),N(Y82)+1,1))</f>
        <v/>
      </c>
      <c r="AA82" s="6">
        <f>IF(OR(原始資料!$A82="",26&gt;設定!$B$3,原始資料!AC82=""),"",IF(AND(原始資料!AB82&lt;&gt;"",原始資料!AC82=原始資料!AB82),N(Z82)+1,1))</f>
        <v/>
      </c>
      <c r="AB82" s="6">
        <f>IF(OR(原始資料!$A82="",27&gt;設定!$B$3,原始資料!AD82=""),"",IF(AND(原始資料!AC82&lt;&gt;"",原始資料!AD82=原始資料!AC82),N(AA82)+1,1))</f>
        <v/>
      </c>
      <c r="AC82" s="6">
        <f>IF(OR(原始資料!$A82="",28&gt;設定!$B$3,原始資料!AE82=""),"",IF(AND(原始資料!AD82&lt;&gt;"",原始資料!AE82=原始資料!AD82),N(AB82)+1,1))</f>
        <v/>
      </c>
      <c r="AD82" s="6">
        <f>IF(OR(原始資料!$A82="",29&gt;設定!$B$3,原始資料!AF82=""),"",IF(AND(原始資料!AE82&lt;&gt;"",原始資料!AF82=原始資料!AE82),N(AC82)+1,1))</f>
        <v/>
      </c>
      <c r="AE82" s="6">
        <f>IF(OR(原始資料!$A82="",30&gt;設定!$B$3,原始資料!AG82=""),"",IF(AND(原始資料!AF82&lt;&gt;"",原始資料!AG82=原始資料!AF82),N(AD82)+1,1))</f>
        <v/>
      </c>
      <c r="AF82" s="6">
        <f>IF(OR(原始資料!$A82="",31&gt;設定!$B$3,原始資料!AH82=""),"",IF(AND(原始資料!AG82&lt;&gt;"",原始資料!AH82=原始資料!AG82),N(AE82)+1,1))</f>
        <v/>
      </c>
      <c r="AG82" s="6">
        <f>IF(OR(原始資料!$A82="",32&gt;設定!$B$3,原始資料!AI82=""),"",IF(AND(原始資料!AH82&lt;&gt;"",原始資料!AI82=原始資料!AH82),N(AF82)+1,1))</f>
        <v/>
      </c>
      <c r="AH82" s="6">
        <f>IF(OR(原始資料!$A82="",33&gt;設定!$B$3,原始資料!AJ82=""),"",IF(AND(原始資料!AI82&lt;&gt;"",原始資料!AJ82=原始資料!AI82),N(AG82)+1,1))</f>
        <v/>
      </c>
      <c r="AI82" s="6">
        <f>IF(OR(原始資料!$A82="",34&gt;設定!$B$3,原始資料!AK82=""),"",IF(AND(原始資料!AJ82&lt;&gt;"",原始資料!AK82=原始資料!AJ82),N(AH82)+1,1))</f>
        <v/>
      </c>
      <c r="AJ82" s="6">
        <f>IF(OR(原始資料!$A82="",35&gt;設定!$B$3,原始資料!AL82=""),"",IF(AND(原始資料!AK82&lt;&gt;"",原始資料!AL82=原始資料!AK82),N(AI82)+1,1))</f>
        <v/>
      </c>
      <c r="AK82" s="6">
        <f>IF(OR(原始資料!$A82="",36&gt;設定!$B$3,原始資料!AM82=""),"",IF(AND(原始資料!AL82&lt;&gt;"",原始資料!AM82=原始資料!AL82),N(AJ82)+1,1))</f>
        <v/>
      </c>
      <c r="AL82" s="6">
        <f>IF(OR(原始資料!$A82="",37&gt;設定!$B$3,原始資料!AN82=""),"",IF(AND(原始資料!AM82&lt;&gt;"",原始資料!AN82=原始資料!AM82),N(AK82)+1,1))</f>
        <v/>
      </c>
      <c r="AM82" s="6">
        <f>IF(OR(原始資料!$A82="",38&gt;設定!$B$3,原始資料!AO82=""),"",IF(AND(原始資料!AN82&lt;&gt;"",原始資料!AO82=原始資料!AN82),N(AL82)+1,1))</f>
        <v/>
      </c>
      <c r="AN82" s="6">
        <f>IF(OR(原始資料!$A82="",39&gt;設定!$B$3,原始資料!AP82=""),"",IF(AND(原始資料!AO82&lt;&gt;"",原始資料!AP82=原始資料!AO82),N(AM82)+1,1))</f>
        <v/>
      </c>
      <c r="AO82" s="6">
        <f>IF(OR(原始資料!$A82="",40&gt;設定!$B$3,原始資料!AQ82=""),"",IF(AND(原始資料!AP82&lt;&gt;"",原始資料!AQ82=原始資料!AP82),N(AN82)+1,1))</f>
        <v/>
      </c>
      <c r="AP82" s="6">
        <f>IF(OR(原始資料!$A82="",41&gt;設定!$B$3,原始資料!AR82=""),"",IF(AND(原始資料!AQ82&lt;&gt;"",原始資料!AR82=原始資料!AQ82),N(AO82)+1,1))</f>
        <v/>
      </c>
      <c r="AQ82" s="6">
        <f>IF(OR(原始資料!$A82="",42&gt;設定!$B$3,原始資料!AS82=""),"",IF(AND(原始資料!AR82&lt;&gt;"",原始資料!AS82=原始資料!AR82),N(AP82)+1,1))</f>
        <v/>
      </c>
      <c r="AR82" s="6">
        <f>IF(OR(原始資料!$A82="",43&gt;設定!$B$3,原始資料!AT82=""),"",IF(AND(原始資料!AS82&lt;&gt;"",原始資料!AT82=原始資料!AS82),N(AQ82)+1,1))</f>
        <v/>
      </c>
      <c r="AS82" s="6">
        <f>IF(OR(原始資料!$A82="",44&gt;設定!$B$3,原始資料!AU82=""),"",IF(AND(原始資料!AT82&lt;&gt;"",原始資料!AU82=原始資料!AT82),N(AR82)+1,1))</f>
        <v/>
      </c>
      <c r="AT82" s="6">
        <f>IF(OR(原始資料!$A82="",45&gt;設定!$B$3,原始資料!AV82=""),"",IF(AND(原始資料!AU82&lt;&gt;"",原始資料!AV82=原始資料!AU82),N(AS82)+1,1))</f>
        <v/>
      </c>
      <c r="AU82" s="6">
        <f>IF(OR(原始資料!$A82="",46&gt;設定!$B$3,原始資料!AW82=""),"",IF(AND(原始資料!AV82&lt;&gt;"",原始資料!AW82=原始資料!AV82),N(AT82)+1,1))</f>
        <v/>
      </c>
      <c r="AV82" s="6">
        <f>IF(OR(原始資料!$A82="",47&gt;設定!$B$3,原始資料!AX82=""),"",IF(AND(原始資料!AW82&lt;&gt;"",原始資料!AX82=原始資料!AW82),N(AU82)+1,1))</f>
        <v/>
      </c>
      <c r="AW82" s="6">
        <f>IF(OR(原始資料!$A82="",48&gt;設定!$B$3,原始資料!AY82=""),"",IF(AND(原始資料!AX82&lt;&gt;"",原始資料!AY82=原始資料!AX82),N(AV82)+1,1))</f>
        <v/>
      </c>
      <c r="AX82" s="6">
        <f>IF(OR(原始資料!$A82="",49&gt;設定!$B$3,原始資料!AZ82=""),"",IF(AND(原始資料!AY82&lt;&gt;"",原始資料!AZ82=原始資料!AY82),N(AW82)+1,1))</f>
        <v/>
      </c>
      <c r="AY82" s="6">
        <f>IF(OR(原始資料!$A82="",50&gt;設定!$B$3,原始資料!BA82=""),"",IF(AND(原始資料!AZ82&lt;&gt;"",原始資料!BA82=原始資料!AZ82),N(AX82)+1,1))</f>
        <v/>
      </c>
      <c r="AZ82" s="6">
        <f>IF(OR(原始資料!$A82="",51&gt;設定!$B$3,原始資料!BB82=""),"",IF(AND(原始資料!BA82&lt;&gt;"",原始資料!BB82=原始資料!BA82),N(AY82)+1,1))</f>
        <v/>
      </c>
      <c r="BA82" s="6">
        <f>IF(OR(原始資料!$A82="",52&gt;設定!$B$3,原始資料!BC82=""),"",IF(AND(原始資料!BB82&lt;&gt;"",原始資料!BC82=原始資料!BB82),N(AZ82)+1,1))</f>
        <v/>
      </c>
      <c r="BB82" s="6">
        <f>IF(OR(原始資料!$A82="",53&gt;設定!$B$3,原始資料!BD82=""),"",IF(AND(原始資料!BC82&lt;&gt;"",原始資料!BD82=原始資料!BC82),N(BA82)+1,1))</f>
        <v/>
      </c>
      <c r="BC82" s="6">
        <f>IF(OR(原始資料!$A82="",54&gt;設定!$B$3,原始資料!BE82=""),"",IF(AND(原始資料!BD82&lt;&gt;"",原始資料!BE82=原始資料!BD82),N(BB82)+1,1))</f>
        <v/>
      </c>
      <c r="BD82" s="6">
        <f>IF(OR(原始資料!$A82="",55&gt;設定!$B$3,原始資料!BF82=""),"",IF(AND(原始資料!BE82&lt;&gt;"",原始資料!BF82=原始資料!BE82),N(BC82)+1,1))</f>
        <v/>
      </c>
      <c r="BE82" s="6">
        <f>IF(OR(原始資料!$A82="",56&gt;設定!$B$3,原始資料!BG82=""),"",IF(AND(原始資料!BF82&lt;&gt;"",原始資料!BG82=原始資料!BF82),N(BD82)+1,1))</f>
        <v/>
      </c>
      <c r="BF82" s="6">
        <f>IF(OR(原始資料!$A82="",57&gt;設定!$B$3,原始資料!BH82=""),"",IF(AND(原始資料!BG82&lt;&gt;"",原始資料!BH82=原始資料!BG82),N(BE82)+1,1))</f>
        <v/>
      </c>
      <c r="BG82" s="6">
        <f>IF(OR(原始資料!$A82="",58&gt;設定!$B$3,原始資料!BI82=""),"",IF(AND(原始資料!BH82&lt;&gt;"",原始資料!BI82=原始資料!BH82),N(BF82)+1,1))</f>
        <v/>
      </c>
      <c r="BH82" s="6">
        <f>IF(OR(原始資料!$A82="",59&gt;設定!$B$3,原始資料!BJ82=""),"",IF(AND(原始資料!BI82&lt;&gt;"",原始資料!BJ82=原始資料!BI82),N(BG82)+1,1))</f>
        <v/>
      </c>
      <c r="BI82" s="6">
        <f>IF(OR(原始資料!$A82="",60&gt;設定!$B$3,原始資料!BK82=""),"",IF(AND(原始資料!BJ82&lt;&gt;"",原始資料!BK82=原始資料!BJ82),N(BH82)+1,1))</f>
        <v/>
      </c>
    </row>
    <row r="83">
      <c r="A83" s="6">
        <f>IF(原始資料!$A83="","",原始資料!$A83)</f>
        <v/>
      </c>
      <c r="B83" s="6">
        <f>IF(OR(原始資料!$A83="",1&gt;設定!$B$3,原始資料!D83=""),"",1)</f>
        <v/>
      </c>
      <c r="C83" s="6">
        <f>IF(OR(原始資料!$A83="",2&gt;設定!$B$3,原始資料!E83=""),"",IF(AND(原始資料!D83&lt;&gt;"",原始資料!E83=原始資料!D83),N(B83)+1,1))</f>
        <v/>
      </c>
      <c r="D83" s="6">
        <f>IF(OR(原始資料!$A83="",3&gt;設定!$B$3,原始資料!F83=""),"",IF(AND(原始資料!E83&lt;&gt;"",原始資料!F83=原始資料!E83),N(C83)+1,1))</f>
        <v/>
      </c>
      <c r="E83" s="6">
        <f>IF(OR(原始資料!$A83="",4&gt;設定!$B$3,原始資料!G83=""),"",IF(AND(原始資料!F83&lt;&gt;"",原始資料!G83=原始資料!F83),N(D83)+1,1))</f>
        <v/>
      </c>
      <c r="F83" s="6">
        <f>IF(OR(原始資料!$A83="",5&gt;設定!$B$3,原始資料!H83=""),"",IF(AND(原始資料!G83&lt;&gt;"",原始資料!H83=原始資料!G83),N(E83)+1,1))</f>
        <v/>
      </c>
      <c r="G83" s="6">
        <f>IF(OR(原始資料!$A83="",6&gt;設定!$B$3,原始資料!I83=""),"",IF(AND(原始資料!H83&lt;&gt;"",原始資料!I83=原始資料!H83),N(F83)+1,1))</f>
        <v/>
      </c>
      <c r="H83" s="6">
        <f>IF(OR(原始資料!$A83="",7&gt;設定!$B$3,原始資料!J83=""),"",IF(AND(原始資料!I83&lt;&gt;"",原始資料!J83=原始資料!I83),N(G83)+1,1))</f>
        <v/>
      </c>
      <c r="I83" s="6">
        <f>IF(OR(原始資料!$A83="",8&gt;設定!$B$3,原始資料!K83=""),"",IF(AND(原始資料!J83&lt;&gt;"",原始資料!K83=原始資料!J83),N(H83)+1,1))</f>
        <v/>
      </c>
      <c r="J83" s="6">
        <f>IF(OR(原始資料!$A83="",9&gt;設定!$B$3,原始資料!L83=""),"",IF(AND(原始資料!K83&lt;&gt;"",原始資料!L83=原始資料!K83),N(I83)+1,1))</f>
        <v/>
      </c>
      <c r="K83" s="6">
        <f>IF(OR(原始資料!$A83="",10&gt;設定!$B$3,原始資料!M83=""),"",IF(AND(原始資料!L83&lt;&gt;"",原始資料!M83=原始資料!L83),N(J83)+1,1))</f>
        <v/>
      </c>
      <c r="L83" s="6">
        <f>IF(OR(原始資料!$A83="",11&gt;設定!$B$3,原始資料!N83=""),"",IF(AND(原始資料!M83&lt;&gt;"",原始資料!N83=原始資料!M83),N(K83)+1,1))</f>
        <v/>
      </c>
      <c r="M83" s="6">
        <f>IF(OR(原始資料!$A83="",12&gt;設定!$B$3,原始資料!O83=""),"",IF(AND(原始資料!N83&lt;&gt;"",原始資料!O83=原始資料!N83),N(L83)+1,1))</f>
        <v/>
      </c>
      <c r="N83" s="6">
        <f>IF(OR(原始資料!$A83="",13&gt;設定!$B$3,原始資料!P83=""),"",IF(AND(原始資料!O83&lt;&gt;"",原始資料!P83=原始資料!O83),N(M83)+1,1))</f>
        <v/>
      </c>
      <c r="O83" s="6">
        <f>IF(OR(原始資料!$A83="",14&gt;設定!$B$3,原始資料!Q83=""),"",IF(AND(原始資料!P83&lt;&gt;"",原始資料!Q83=原始資料!P83),N(N83)+1,1))</f>
        <v/>
      </c>
      <c r="P83" s="6">
        <f>IF(OR(原始資料!$A83="",15&gt;設定!$B$3,原始資料!R83=""),"",IF(AND(原始資料!Q83&lt;&gt;"",原始資料!R83=原始資料!Q83),N(O83)+1,1))</f>
        <v/>
      </c>
      <c r="Q83" s="6">
        <f>IF(OR(原始資料!$A83="",16&gt;設定!$B$3,原始資料!S83=""),"",IF(AND(原始資料!R83&lt;&gt;"",原始資料!S83=原始資料!R83),N(P83)+1,1))</f>
        <v/>
      </c>
      <c r="R83" s="6">
        <f>IF(OR(原始資料!$A83="",17&gt;設定!$B$3,原始資料!T83=""),"",IF(AND(原始資料!S83&lt;&gt;"",原始資料!T83=原始資料!S83),N(Q83)+1,1))</f>
        <v/>
      </c>
      <c r="S83" s="6">
        <f>IF(OR(原始資料!$A83="",18&gt;設定!$B$3,原始資料!U83=""),"",IF(AND(原始資料!T83&lt;&gt;"",原始資料!U83=原始資料!T83),N(R83)+1,1))</f>
        <v/>
      </c>
      <c r="T83" s="6">
        <f>IF(OR(原始資料!$A83="",19&gt;設定!$B$3,原始資料!V83=""),"",IF(AND(原始資料!U83&lt;&gt;"",原始資料!V83=原始資料!U83),N(S83)+1,1))</f>
        <v/>
      </c>
      <c r="U83" s="6">
        <f>IF(OR(原始資料!$A83="",20&gt;設定!$B$3,原始資料!W83=""),"",IF(AND(原始資料!V83&lt;&gt;"",原始資料!W83=原始資料!V83),N(T83)+1,1))</f>
        <v/>
      </c>
      <c r="V83" s="6">
        <f>IF(OR(原始資料!$A83="",21&gt;設定!$B$3,原始資料!X83=""),"",IF(AND(原始資料!W83&lt;&gt;"",原始資料!X83=原始資料!W83),N(U83)+1,1))</f>
        <v/>
      </c>
      <c r="W83" s="6">
        <f>IF(OR(原始資料!$A83="",22&gt;設定!$B$3,原始資料!Y83=""),"",IF(AND(原始資料!X83&lt;&gt;"",原始資料!Y83=原始資料!X83),N(V83)+1,1))</f>
        <v/>
      </c>
      <c r="X83" s="6">
        <f>IF(OR(原始資料!$A83="",23&gt;設定!$B$3,原始資料!Z83=""),"",IF(AND(原始資料!Y83&lt;&gt;"",原始資料!Z83=原始資料!Y83),N(W83)+1,1))</f>
        <v/>
      </c>
      <c r="Y83" s="6">
        <f>IF(OR(原始資料!$A83="",24&gt;設定!$B$3,原始資料!AA83=""),"",IF(AND(原始資料!Z83&lt;&gt;"",原始資料!AA83=原始資料!Z83),N(X83)+1,1))</f>
        <v/>
      </c>
      <c r="Z83" s="6">
        <f>IF(OR(原始資料!$A83="",25&gt;設定!$B$3,原始資料!AB83=""),"",IF(AND(原始資料!AA83&lt;&gt;"",原始資料!AB83=原始資料!AA83),N(Y83)+1,1))</f>
        <v/>
      </c>
      <c r="AA83" s="6">
        <f>IF(OR(原始資料!$A83="",26&gt;設定!$B$3,原始資料!AC83=""),"",IF(AND(原始資料!AB83&lt;&gt;"",原始資料!AC83=原始資料!AB83),N(Z83)+1,1))</f>
        <v/>
      </c>
      <c r="AB83" s="6">
        <f>IF(OR(原始資料!$A83="",27&gt;設定!$B$3,原始資料!AD83=""),"",IF(AND(原始資料!AC83&lt;&gt;"",原始資料!AD83=原始資料!AC83),N(AA83)+1,1))</f>
        <v/>
      </c>
      <c r="AC83" s="6">
        <f>IF(OR(原始資料!$A83="",28&gt;設定!$B$3,原始資料!AE83=""),"",IF(AND(原始資料!AD83&lt;&gt;"",原始資料!AE83=原始資料!AD83),N(AB83)+1,1))</f>
        <v/>
      </c>
      <c r="AD83" s="6">
        <f>IF(OR(原始資料!$A83="",29&gt;設定!$B$3,原始資料!AF83=""),"",IF(AND(原始資料!AE83&lt;&gt;"",原始資料!AF83=原始資料!AE83),N(AC83)+1,1))</f>
        <v/>
      </c>
      <c r="AE83" s="6">
        <f>IF(OR(原始資料!$A83="",30&gt;設定!$B$3,原始資料!AG83=""),"",IF(AND(原始資料!AF83&lt;&gt;"",原始資料!AG83=原始資料!AF83),N(AD83)+1,1))</f>
        <v/>
      </c>
      <c r="AF83" s="6">
        <f>IF(OR(原始資料!$A83="",31&gt;設定!$B$3,原始資料!AH83=""),"",IF(AND(原始資料!AG83&lt;&gt;"",原始資料!AH83=原始資料!AG83),N(AE83)+1,1))</f>
        <v/>
      </c>
      <c r="AG83" s="6">
        <f>IF(OR(原始資料!$A83="",32&gt;設定!$B$3,原始資料!AI83=""),"",IF(AND(原始資料!AH83&lt;&gt;"",原始資料!AI83=原始資料!AH83),N(AF83)+1,1))</f>
        <v/>
      </c>
      <c r="AH83" s="6">
        <f>IF(OR(原始資料!$A83="",33&gt;設定!$B$3,原始資料!AJ83=""),"",IF(AND(原始資料!AI83&lt;&gt;"",原始資料!AJ83=原始資料!AI83),N(AG83)+1,1))</f>
        <v/>
      </c>
      <c r="AI83" s="6">
        <f>IF(OR(原始資料!$A83="",34&gt;設定!$B$3,原始資料!AK83=""),"",IF(AND(原始資料!AJ83&lt;&gt;"",原始資料!AK83=原始資料!AJ83),N(AH83)+1,1))</f>
        <v/>
      </c>
      <c r="AJ83" s="6">
        <f>IF(OR(原始資料!$A83="",35&gt;設定!$B$3,原始資料!AL83=""),"",IF(AND(原始資料!AK83&lt;&gt;"",原始資料!AL83=原始資料!AK83),N(AI83)+1,1))</f>
        <v/>
      </c>
      <c r="AK83" s="6">
        <f>IF(OR(原始資料!$A83="",36&gt;設定!$B$3,原始資料!AM83=""),"",IF(AND(原始資料!AL83&lt;&gt;"",原始資料!AM83=原始資料!AL83),N(AJ83)+1,1))</f>
        <v/>
      </c>
      <c r="AL83" s="6">
        <f>IF(OR(原始資料!$A83="",37&gt;設定!$B$3,原始資料!AN83=""),"",IF(AND(原始資料!AM83&lt;&gt;"",原始資料!AN83=原始資料!AM83),N(AK83)+1,1))</f>
        <v/>
      </c>
      <c r="AM83" s="6">
        <f>IF(OR(原始資料!$A83="",38&gt;設定!$B$3,原始資料!AO83=""),"",IF(AND(原始資料!AN83&lt;&gt;"",原始資料!AO83=原始資料!AN83),N(AL83)+1,1))</f>
        <v/>
      </c>
      <c r="AN83" s="6">
        <f>IF(OR(原始資料!$A83="",39&gt;設定!$B$3,原始資料!AP83=""),"",IF(AND(原始資料!AO83&lt;&gt;"",原始資料!AP83=原始資料!AO83),N(AM83)+1,1))</f>
        <v/>
      </c>
      <c r="AO83" s="6">
        <f>IF(OR(原始資料!$A83="",40&gt;設定!$B$3,原始資料!AQ83=""),"",IF(AND(原始資料!AP83&lt;&gt;"",原始資料!AQ83=原始資料!AP83),N(AN83)+1,1))</f>
        <v/>
      </c>
      <c r="AP83" s="6">
        <f>IF(OR(原始資料!$A83="",41&gt;設定!$B$3,原始資料!AR83=""),"",IF(AND(原始資料!AQ83&lt;&gt;"",原始資料!AR83=原始資料!AQ83),N(AO83)+1,1))</f>
        <v/>
      </c>
      <c r="AQ83" s="6">
        <f>IF(OR(原始資料!$A83="",42&gt;設定!$B$3,原始資料!AS83=""),"",IF(AND(原始資料!AR83&lt;&gt;"",原始資料!AS83=原始資料!AR83),N(AP83)+1,1))</f>
        <v/>
      </c>
      <c r="AR83" s="6">
        <f>IF(OR(原始資料!$A83="",43&gt;設定!$B$3,原始資料!AT83=""),"",IF(AND(原始資料!AS83&lt;&gt;"",原始資料!AT83=原始資料!AS83),N(AQ83)+1,1))</f>
        <v/>
      </c>
      <c r="AS83" s="6">
        <f>IF(OR(原始資料!$A83="",44&gt;設定!$B$3,原始資料!AU83=""),"",IF(AND(原始資料!AT83&lt;&gt;"",原始資料!AU83=原始資料!AT83),N(AR83)+1,1))</f>
        <v/>
      </c>
      <c r="AT83" s="6">
        <f>IF(OR(原始資料!$A83="",45&gt;設定!$B$3,原始資料!AV83=""),"",IF(AND(原始資料!AU83&lt;&gt;"",原始資料!AV83=原始資料!AU83),N(AS83)+1,1))</f>
        <v/>
      </c>
      <c r="AU83" s="6">
        <f>IF(OR(原始資料!$A83="",46&gt;設定!$B$3,原始資料!AW83=""),"",IF(AND(原始資料!AV83&lt;&gt;"",原始資料!AW83=原始資料!AV83),N(AT83)+1,1))</f>
        <v/>
      </c>
      <c r="AV83" s="6">
        <f>IF(OR(原始資料!$A83="",47&gt;設定!$B$3,原始資料!AX83=""),"",IF(AND(原始資料!AW83&lt;&gt;"",原始資料!AX83=原始資料!AW83),N(AU83)+1,1))</f>
        <v/>
      </c>
      <c r="AW83" s="6">
        <f>IF(OR(原始資料!$A83="",48&gt;設定!$B$3,原始資料!AY83=""),"",IF(AND(原始資料!AX83&lt;&gt;"",原始資料!AY83=原始資料!AX83),N(AV83)+1,1))</f>
        <v/>
      </c>
      <c r="AX83" s="6">
        <f>IF(OR(原始資料!$A83="",49&gt;設定!$B$3,原始資料!AZ83=""),"",IF(AND(原始資料!AY83&lt;&gt;"",原始資料!AZ83=原始資料!AY83),N(AW83)+1,1))</f>
        <v/>
      </c>
      <c r="AY83" s="6">
        <f>IF(OR(原始資料!$A83="",50&gt;設定!$B$3,原始資料!BA83=""),"",IF(AND(原始資料!AZ83&lt;&gt;"",原始資料!BA83=原始資料!AZ83),N(AX83)+1,1))</f>
        <v/>
      </c>
      <c r="AZ83" s="6">
        <f>IF(OR(原始資料!$A83="",51&gt;設定!$B$3,原始資料!BB83=""),"",IF(AND(原始資料!BA83&lt;&gt;"",原始資料!BB83=原始資料!BA83),N(AY83)+1,1))</f>
        <v/>
      </c>
      <c r="BA83" s="6">
        <f>IF(OR(原始資料!$A83="",52&gt;設定!$B$3,原始資料!BC83=""),"",IF(AND(原始資料!BB83&lt;&gt;"",原始資料!BC83=原始資料!BB83),N(AZ83)+1,1))</f>
        <v/>
      </c>
      <c r="BB83" s="6">
        <f>IF(OR(原始資料!$A83="",53&gt;設定!$B$3,原始資料!BD83=""),"",IF(AND(原始資料!BC83&lt;&gt;"",原始資料!BD83=原始資料!BC83),N(BA83)+1,1))</f>
        <v/>
      </c>
      <c r="BC83" s="6">
        <f>IF(OR(原始資料!$A83="",54&gt;設定!$B$3,原始資料!BE83=""),"",IF(AND(原始資料!BD83&lt;&gt;"",原始資料!BE83=原始資料!BD83),N(BB83)+1,1))</f>
        <v/>
      </c>
      <c r="BD83" s="6">
        <f>IF(OR(原始資料!$A83="",55&gt;設定!$B$3,原始資料!BF83=""),"",IF(AND(原始資料!BE83&lt;&gt;"",原始資料!BF83=原始資料!BE83),N(BC83)+1,1))</f>
        <v/>
      </c>
      <c r="BE83" s="6">
        <f>IF(OR(原始資料!$A83="",56&gt;設定!$B$3,原始資料!BG83=""),"",IF(AND(原始資料!BF83&lt;&gt;"",原始資料!BG83=原始資料!BF83),N(BD83)+1,1))</f>
        <v/>
      </c>
      <c r="BF83" s="6">
        <f>IF(OR(原始資料!$A83="",57&gt;設定!$B$3,原始資料!BH83=""),"",IF(AND(原始資料!BG83&lt;&gt;"",原始資料!BH83=原始資料!BG83),N(BE83)+1,1))</f>
        <v/>
      </c>
      <c r="BG83" s="6">
        <f>IF(OR(原始資料!$A83="",58&gt;設定!$B$3,原始資料!BI83=""),"",IF(AND(原始資料!BH83&lt;&gt;"",原始資料!BI83=原始資料!BH83),N(BF83)+1,1))</f>
        <v/>
      </c>
      <c r="BH83" s="6">
        <f>IF(OR(原始資料!$A83="",59&gt;設定!$B$3,原始資料!BJ83=""),"",IF(AND(原始資料!BI83&lt;&gt;"",原始資料!BJ83=原始資料!BI83),N(BG83)+1,1))</f>
        <v/>
      </c>
      <c r="BI83" s="6">
        <f>IF(OR(原始資料!$A83="",60&gt;設定!$B$3,原始資料!BK83=""),"",IF(AND(原始資料!BJ83&lt;&gt;"",原始資料!BK83=原始資料!BJ83),N(BH83)+1,1))</f>
        <v/>
      </c>
    </row>
    <row r="84">
      <c r="A84" s="6">
        <f>IF(原始資料!$A84="","",原始資料!$A84)</f>
        <v/>
      </c>
      <c r="B84" s="6">
        <f>IF(OR(原始資料!$A84="",1&gt;設定!$B$3,原始資料!D84=""),"",1)</f>
        <v/>
      </c>
      <c r="C84" s="6">
        <f>IF(OR(原始資料!$A84="",2&gt;設定!$B$3,原始資料!E84=""),"",IF(AND(原始資料!D84&lt;&gt;"",原始資料!E84=原始資料!D84),N(B84)+1,1))</f>
        <v/>
      </c>
      <c r="D84" s="6">
        <f>IF(OR(原始資料!$A84="",3&gt;設定!$B$3,原始資料!F84=""),"",IF(AND(原始資料!E84&lt;&gt;"",原始資料!F84=原始資料!E84),N(C84)+1,1))</f>
        <v/>
      </c>
      <c r="E84" s="6">
        <f>IF(OR(原始資料!$A84="",4&gt;設定!$B$3,原始資料!G84=""),"",IF(AND(原始資料!F84&lt;&gt;"",原始資料!G84=原始資料!F84),N(D84)+1,1))</f>
        <v/>
      </c>
      <c r="F84" s="6">
        <f>IF(OR(原始資料!$A84="",5&gt;設定!$B$3,原始資料!H84=""),"",IF(AND(原始資料!G84&lt;&gt;"",原始資料!H84=原始資料!G84),N(E84)+1,1))</f>
        <v/>
      </c>
      <c r="G84" s="6">
        <f>IF(OR(原始資料!$A84="",6&gt;設定!$B$3,原始資料!I84=""),"",IF(AND(原始資料!H84&lt;&gt;"",原始資料!I84=原始資料!H84),N(F84)+1,1))</f>
        <v/>
      </c>
      <c r="H84" s="6">
        <f>IF(OR(原始資料!$A84="",7&gt;設定!$B$3,原始資料!J84=""),"",IF(AND(原始資料!I84&lt;&gt;"",原始資料!J84=原始資料!I84),N(G84)+1,1))</f>
        <v/>
      </c>
      <c r="I84" s="6">
        <f>IF(OR(原始資料!$A84="",8&gt;設定!$B$3,原始資料!K84=""),"",IF(AND(原始資料!J84&lt;&gt;"",原始資料!K84=原始資料!J84),N(H84)+1,1))</f>
        <v/>
      </c>
      <c r="J84" s="6">
        <f>IF(OR(原始資料!$A84="",9&gt;設定!$B$3,原始資料!L84=""),"",IF(AND(原始資料!K84&lt;&gt;"",原始資料!L84=原始資料!K84),N(I84)+1,1))</f>
        <v/>
      </c>
      <c r="K84" s="6">
        <f>IF(OR(原始資料!$A84="",10&gt;設定!$B$3,原始資料!M84=""),"",IF(AND(原始資料!L84&lt;&gt;"",原始資料!M84=原始資料!L84),N(J84)+1,1))</f>
        <v/>
      </c>
      <c r="L84" s="6">
        <f>IF(OR(原始資料!$A84="",11&gt;設定!$B$3,原始資料!N84=""),"",IF(AND(原始資料!M84&lt;&gt;"",原始資料!N84=原始資料!M84),N(K84)+1,1))</f>
        <v/>
      </c>
      <c r="M84" s="6">
        <f>IF(OR(原始資料!$A84="",12&gt;設定!$B$3,原始資料!O84=""),"",IF(AND(原始資料!N84&lt;&gt;"",原始資料!O84=原始資料!N84),N(L84)+1,1))</f>
        <v/>
      </c>
      <c r="N84" s="6">
        <f>IF(OR(原始資料!$A84="",13&gt;設定!$B$3,原始資料!P84=""),"",IF(AND(原始資料!O84&lt;&gt;"",原始資料!P84=原始資料!O84),N(M84)+1,1))</f>
        <v/>
      </c>
      <c r="O84" s="6">
        <f>IF(OR(原始資料!$A84="",14&gt;設定!$B$3,原始資料!Q84=""),"",IF(AND(原始資料!P84&lt;&gt;"",原始資料!Q84=原始資料!P84),N(N84)+1,1))</f>
        <v/>
      </c>
      <c r="P84" s="6">
        <f>IF(OR(原始資料!$A84="",15&gt;設定!$B$3,原始資料!R84=""),"",IF(AND(原始資料!Q84&lt;&gt;"",原始資料!R84=原始資料!Q84),N(O84)+1,1))</f>
        <v/>
      </c>
      <c r="Q84" s="6">
        <f>IF(OR(原始資料!$A84="",16&gt;設定!$B$3,原始資料!S84=""),"",IF(AND(原始資料!R84&lt;&gt;"",原始資料!S84=原始資料!R84),N(P84)+1,1))</f>
        <v/>
      </c>
      <c r="R84" s="6">
        <f>IF(OR(原始資料!$A84="",17&gt;設定!$B$3,原始資料!T84=""),"",IF(AND(原始資料!S84&lt;&gt;"",原始資料!T84=原始資料!S84),N(Q84)+1,1))</f>
        <v/>
      </c>
      <c r="S84" s="6">
        <f>IF(OR(原始資料!$A84="",18&gt;設定!$B$3,原始資料!U84=""),"",IF(AND(原始資料!T84&lt;&gt;"",原始資料!U84=原始資料!T84),N(R84)+1,1))</f>
        <v/>
      </c>
      <c r="T84" s="6">
        <f>IF(OR(原始資料!$A84="",19&gt;設定!$B$3,原始資料!V84=""),"",IF(AND(原始資料!U84&lt;&gt;"",原始資料!V84=原始資料!U84),N(S84)+1,1))</f>
        <v/>
      </c>
      <c r="U84" s="6">
        <f>IF(OR(原始資料!$A84="",20&gt;設定!$B$3,原始資料!W84=""),"",IF(AND(原始資料!V84&lt;&gt;"",原始資料!W84=原始資料!V84),N(T84)+1,1))</f>
        <v/>
      </c>
      <c r="V84" s="6">
        <f>IF(OR(原始資料!$A84="",21&gt;設定!$B$3,原始資料!X84=""),"",IF(AND(原始資料!W84&lt;&gt;"",原始資料!X84=原始資料!W84),N(U84)+1,1))</f>
        <v/>
      </c>
      <c r="W84" s="6">
        <f>IF(OR(原始資料!$A84="",22&gt;設定!$B$3,原始資料!Y84=""),"",IF(AND(原始資料!X84&lt;&gt;"",原始資料!Y84=原始資料!X84),N(V84)+1,1))</f>
        <v/>
      </c>
      <c r="X84" s="6">
        <f>IF(OR(原始資料!$A84="",23&gt;設定!$B$3,原始資料!Z84=""),"",IF(AND(原始資料!Y84&lt;&gt;"",原始資料!Z84=原始資料!Y84),N(W84)+1,1))</f>
        <v/>
      </c>
      <c r="Y84" s="6">
        <f>IF(OR(原始資料!$A84="",24&gt;設定!$B$3,原始資料!AA84=""),"",IF(AND(原始資料!Z84&lt;&gt;"",原始資料!AA84=原始資料!Z84),N(X84)+1,1))</f>
        <v/>
      </c>
      <c r="Z84" s="6">
        <f>IF(OR(原始資料!$A84="",25&gt;設定!$B$3,原始資料!AB84=""),"",IF(AND(原始資料!AA84&lt;&gt;"",原始資料!AB84=原始資料!AA84),N(Y84)+1,1))</f>
        <v/>
      </c>
      <c r="AA84" s="6">
        <f>IF(OR(原始資料!$A84="",26&gt;設定!$B$3,原始資料!AC84=""),"",IF(AND(原始資料!AB84&lt;&gt;"",原始資料!AC84=原始資料!AB84),N(Z84)+1,1))</f>
        <v/>
      </c>
      <c r="AB84" s="6">
        <f>IF(OR(原始資料!$A84="",27&gt;設定!$B$3,原始資料!AD84=""),"",IF(AND(原始資料!AC84&lt;&gt;"",原始資料!AD84=原始資料!AC84),N(AA84)+1,1))</f>
        <v/>
      </c>
      <c r="AC84" s="6">
        <f>IF(OR(原始資料!$A84="",28&gt;設定!$B$3,原始資料!AE84=""),"",IF(AND(原始資料!AD84&lt;&gt;"",原始資料!AE84=原始資料!AD84),N(AB84)+1,1))</f>
        <v/>
      </c>
      <c r="AD84" s="6">
        <f>IF(OR(原始資料!$A84="",29&gt;設定!$B$3,原始資料!AF84=""),"",IF(AND(原始資料!AE84&lt;&gt;"",原始資料!AF84=原始資料!AE84),N(AC84)+1,1))</f>
        <v/>
      </c>
      <c r="AE84" s="6">
        <f>IF(OR(原始資料!$A84="",30&gt;設定!$B$3,原始資料!AG84=""),"",IF(AND(原始資料!AF84&lt;&gt;"",原始資料!AG84=原始資料!AF84),N(AD84)+1,1))</f>
        <v/>
      </c>
      <c r="AF84" s="6">
        <f>IF(OR(原始資料!$A84="",31&gt;設定!$B$3,原始資料!AH84=""),"",IF(AND(原始資料!AG84&lt;&gt;"",原始資料!AH84=原始資料!AG84),N(AE84)+1,1))</f>
        <v/>
      </c>
      <c r="AG84" s="6">
        <f>IF(OR(原始資料!$A84="",32&gt;設定!$B$3,原始資料!AI84=""),"",IF(AND(原始資料!AH84&lt;&gt;"",原始資料!AI84=原始資料!AH84),N(AF84)+1,1))</f>
        <v/>
      </c>
      <c r="AH84" s="6">
        <f>IF(OR(原始資料!$A84="",33&gt;設定!$B$3,原始資料!AJ84=""),"",IF(AND(原始資料!AI84&lt;&gt;"",原始資料!AJ84=原始資料!AI84),N(AG84)+1,1))</f>
        <v/>
      </c>
      <c r="AI84" s="6">
        <f>IF(OR(原始資料!$A84="",34&gt;設定!$B$3,原始資料!AK84=""),"",IF(AND(原始資料!AJ84&lt;&gt;"",原始資料!AK84=原始資料!AJ84),N(AH84)+1,1))</f>
        <v/>
      </c>
      <c r="AJ84" s="6">
        <f>IF(OR(原始資料!$A84="",35&gt;設定!$B$3,原始資料!AL84=""),"",IF(AND(原始資料!AK84&lt;&gt;"",原始資料!AL84=原始資料!AK84),N(AI84)+1,1))</f>
        <v/>
      </c>
      <c r="AK84" s="6">
        <f>IF(OR(原始資料!$A84="",36&gt;設定!$B$3,原始資料!AM84=""),"",IF(AND(原始資料!AL84&lt;&gt;"",原始資料!AM84=原始資料!AL84),N(AJ84)+1,1))</f>
        <v/>
      </c>
      <c r="AL84" s="6">
        <f>IF(OR(原始資料!$A84="",37&gt;設定!$B$3,原始資料!AN84=""),"",IF(AND(原始資料!AM84&lt;&gt;"",原始資料!AN84=原始資料!AM84),N(AK84)+1,1))</f>
        <v/>
      </c>
      <c r="AM84" s="6">
        <f>IF(OR(原始資料!$A84="",38&gt;設定!$B$3,原始資料!AO84=""),"",IF(AND(原始資料!AN84&lt;&gt;"",原始資料!AO84=原始資料!AN84),N(AL84)+1,1))</f>
        <v/>
      </c>
      <c r="AN84" s="6">
        <f>IF(OR(原始資料!$A84="",39&gt;設定!$B$3,原始資料!AP84=""),"",IF(AND(原始資料!AO84&lt;&gt;"",原始資料!AP84=原始資料!AO84),N(AM84)+1,1))</f>
        <v/>
      </c>
      <c r="AO84" s="6">
        <f>IF(OR(原始資料!$A84="",40&gt;設定!$B$3,原始資料!AQ84=""),"",IF(AND(原始資料!AP84&lt;&gt;"",原始資料!AQ84=原始資料!AP84),N(AN84)+1,1))</f>
        <v/>
      </c>
      <c r="AP84" s="6">
        <f>IF(OR(原始資料!$A84="",41&gt;設定!$B$3,原始資料!AR84=""),"",IF(AND(原始資料!AQ84&lt;&gt;"",原始資料!AR84=原始資料!AQ84),N(AO84)+1,1))</f>
        <v/>
      </c>
      <c r="AQ84" s="6">
        <f>IF(OR(原始資料!$A84="",42&gt;設定!$B$3,原始資料!AS84=""),"",IF(AND(原始資料!AR84&lt;&gt;"",原始資料!AS84=原始資料!AR84),N(AP84)+1,1))</f>
        <v/>
      </c>
      <c r="AR84" s="6">
        <f>IF(OR(原始資料!$A84="",43&gt;設定!$B$3,原始資料!AT84=""),"",IF(AND(原始資料!AS84&lt;&gt;"",原始資料!AT84=原始資料!AS84),N(AQ84)+1,1))</f>
        <v/>
      </c>
      <c r="AS84" s="6">
        <f>IF(OR(原始資料!$A84="",44&gt;設定!$B$3,原始資料!AU84=""),"",IF(AND(原始資料!AT84&lt;&gt;"",原始資料!AU84=原始資料!AT84),N(AR84)+1,1))</f>
        <v/>
      </c>
      <c r="AT84" s="6">
        <f>IF(OR(原始資料!$A84="",45&gt;設定!$B$3,原始資料!AV84=""),"",IF(AND(原始資料!AU84&lt;&gt;"",原始資料!AV84=原始資料!AU84),N(AS84)+1,1))</f>
        <v/>
      </c>
      <c r="AU84" s="6">
        <f>IF(OR(原始資料!$A84="",46&gt;設定!$B$3,原始資料!AW84=""),"",IF(AND(原始資料!AV84&lt;&gt;"",原始資料!AW84=原始資料!AV84),N(AT84)+1,1))</f>
        <v/>
      </c>
      <c r="AV84" s="6">
        <f>IF(OR(原始資料!$A84="",47&gt;設定!$B$3,原始資料!AX84=""),"",IF(AND(原始資料!AW84&lt;&gt;"",原始資料!AX84=原始資料!AW84),N(AU84)+1,1))</f>
        <v/>
      </c>
      <c r="AW84" s="6">
        <f>IF(OR(原始資料!$A84="",48&gt;設定!$B$3,原始資料!AY84=""),"",IF(AND(原始資料!AX84&lt;&gt;"",原始資料!AY84=原始資料!AX84),N(AV84)+1,1))</f>
        <v/>
      </c>
      <c r="AX84" s="6">
        <f>IF(OR(原始資料!$A84="",49&gt;設定!$B$3,原始資料!AZ84=""),"",IF(AND(原始資料!AY84&lt;&gt;"",原始資料!AZ84=原始資料!AY84),N(AW84)+1,1))</f>
        <v/>
      </c>
      <c r="AY84" s="6">
        <f>IF(OR(原始資料!$A84="",50&gt;設定!$B$3,原始資料!BA84=""),"",IF(AND(原始資料!AZ84&lt;&gt;"",原始資料!BA84=原始資料!AZ84),N(AX84)+1,1))</f>
        <v/>
      </c>
      <c r="AZ84" s="6">
        <f>IF(OR(原始資料!$A84="",51&gt;設定!$B$3,原始資料!BB84=""),"",IF(AND(原始資料!BA84&lt;&gt;"",原始資料!BB84=原始資料!BA84),N(AY84)+1,1))</f>
        <v/>
      </c>
      <c r="BA84" s="6">
        <f>IF(OR(原始資料!$A84="",52&gt;設定!$B$3,原始資料!BC84=""),"",IF(AND(原始資料!BB84&lt;&gt;"",原始資料!BC84=原始資料!BB84),N(AZ84)+1,1))</f>
        <v/>
      </c>
      <c r="BB84" s="6">
        <f>IF(OR(原始資料!$A84="",53&gt;設定!$B$3,原始資料!BD84=""),"",IF(AND(原始資料!BC84&lt;&gt;"",原始資料!BD84=原始資料!BC84),N(BA84)+1,1))</f>
        <v/>
      </c>
      <c r="BC84" s="6">
        <f>IF(OR(原始資料!$A84="",54&gt;設定!$B$3,原始資料!BE84=""),"",IF(AND(原始資料!BD84&lt;&gt;"",原始資料!BE84=原始資料!BD84),N(BB84)+1,1))</f>
        <v/>
      </c>
      <c r="BD84" s="6">
        <f>IF(OR(原始資料!$A84="",55&gt;設定!$B$3,原始資料!BF84=""),"",IF(AND(原始資料!BE84&lt;&gt;"",原始資料!BF84=原始資料!BE84),N(BC84)+1,1))</f>
        <v/>
      </c>
      <c r="BE84" s="6">
        <f>IF(OR(原始資料!$A84="",56&gt;設定!$B$3,原始資料!BG84=""),"",IF(AND(原始資料!BF84&lt;&gt;"",原始資料!BG84=原始資料!BF84),N(BD84)+1,1))</f>
        <v/>
      </c>
      <c r="BF84" s="6">
        <f>IF(OR(原始資料!$A84="",57&gt;設定!$B$3,原始資料!BH84=""),"",IF(AND(原始資料!BG84&lt;&gt;"",原始資料!BH84=原始資料!BG84),N(BE84)+1,1))</f>
        <v/>
      </c>
      <c r="BG84" s="6">
        <f>IF(OR(原始資料!$A84="",58&gt;設定!$B$3,原始資料!BI84=""),"",IF(AND(原始資料!BH84&lt;&gt;"",原始資料!BI84=原始資料!BH84),N(BF84)+1,1))</f>
        <v/>
      </c>
      <c r="BH84" s="6">
        <f>IF(OR(原始資料!$A84="",59&gt;設定!$B$3,原始資料!BJ84=""),"",IF(AND(原始資料!BI84&lt;&gt;"",原始資料!BJ84=原始資料!BI84),N(BG84)+1,1))</f>
        <v/>
      </c>
      <c r="BI84" s="6">
        <f>IF(OR(原始資料!$A84="",60&gt;設定!$B$3,原始資料!BK84=""),"",IF(AND(原始資料!BJ84&lt;&gt;"",原始資料!BK84=原始資料!BJ84),N(BH84)+1,1))</f>
        <v/>
      </c>
    </row>
    <row r="85">
      <c r="A85" s="6">
        <f>IF(原始資料!$A85="","",原始資料!$A85)</f>
        <v/>
      </c>
      <c r="B85" s="6">
        <f>IF(OR(原始資料!$A85="",1&gt;設定!$B$3,原始資料!D85=""),"",1)</f>
        <v/>
      </c>
      <c r="C85" s="6">
        <f>IF(OR(原始資料!$A85="",2&gt;設定!$B$3,原始資料!E85=""),"",IF(AND(原始資料!D85&lt;&gt;"",原始資料!E85=原始資料!D85),N(B85)+1,1))</f>
        <v/>
      </c>
      <c r="D85" s="6">
        <f>IF(OR(原始資料!$A85="",3&gt;設定!$B$3,原始資料!F85=""),"",IF(AND(原始資料!E85&lt;&gt;"",原始資料!F85=原始資料!E85),N(C85)+1,1))</f>
        <v/>
      </c>
      <c r="E85" s="6">
        <f>IF(OR(原始資料!$A85="",4&gt;設定!$B$3,原始資料!G85=""),"",IF(AND(原始資料!F85&lt;&gt;"",原始資料!G85=原始資料!F85),N(D85)+1,1))</f>
        <v/>
      </c>
      <c r="F85" s="6">
        <f>IF(OR(原始資料!$A85="",5&gt;設定!$B$3,原始資料!H85=""),"",IF(AND(原始資料!G85&lt;&gt;"",原始資料!H85=原始資料!G85),N(E85)+1,1))</f>
        <v/>
      </c>
      <c r="G85" s="6">
        <f>IF(OR(原始資料!$A85="",6&gt;設定!$B$3,原始資料!I85=""),"",IF(AND(原始資料!H85&lt;&gt;"",原始資料!I85=原始資料!H85),N(F85)+1,1))</f>
        <v/>
      </c>
      <c r="H85" s="6">
        <f>IF(OR(原始資料!$A85="",7&gt;設定!$B$3,原始資料!J85=""),"",IF(AND(原始資料!I85&lt;&gt;"",原始資料!J85=原始資料!I85),N(G85)+1,1))</f>
        <v/>
      </c>
      <c r="I85" s="6">
        <f>IF(OR(原始資料!$A85="",8&gt;設定!$B$3,原始資料!K85=""),"",IF(AND(原始資料!J85&lt;&gt;"",原始資料!K85=原始資料!J85),N(H85)+1,1))</f>
        <v/>
      </c>
      <c r="J85" s="6">
        <f>IF(OR(原始資料!$A85="",9&gt;設定!$B$3,原始資料!L85=""),"",IF(AND(原始資料!K85&lt;&gt;"",原始資料!L85=原始資料!K85),N(I85)+1,1))</f>
        <v/>
      </c>
      <c r="K85" s="6">
        <f>IF(OR(原始資料!$A85="",10&gt;設定!$B$3,原始資料!M85=""),"",IF(AND(原始資料!L85&lt;&gt;"",原始資料!M85=原始資料!L85),N(J85)+1,1))</f>
        <v/>
      </c>
      <c r="L85" s="6">
        <f>IF(OR(原始資料!$A85="",11&gt;設定!$B$3,原始資料!N85=""),"",IF(AND(原始資料!M85&lt;&gt;"",原始資料!N85=原始資料!M85),N(K85)+1,1))</f>
        <v/>
      </c>
      <c r="M85" s="6">
        <f>IF(OR(原始資料!$A85="",12&gt;設定!$B$3,原始資料!O85=""),"",IF(AND(原始資料!N85&lt;&gt;"",原始資料!O85=原始資料!N85),N(L85)+1,1))</f>
        <v/>
      </c>
      <c r="N85" s="6">
        <f>IF(OR(原始資料!$A85="",13&gt;設定!$B$3,原始資料!P85=""),"",IF(AND(原始資料!O85&lt;&gt;"",原始資料!P85=原始資料!O85),N(M85)+1,1))</f>
        <v/>
      </c>
      <c r="O85" s="6">
        <f>IF(OR(原始資料!$A85="",14&gt;設定!$B$3,原始資料!Q85=""),"",IF(AND(原始資料!P85&lt;&gt;"",原始資料!Q85=原始資料!P85),N(N85)+1,1))</f>
        <v/>
      </c>
      <c r="P85" s="6">
        <f>IF(OR(原始資料!$A85="",15&gt;設定!$B$3,原始資料!R85=""),"",IF(AND(原始資料!Q85&lt;&gt;"",原始資料!R85=原始資料!Q85),N(O85)+1,1))</f>
        <v/>
      </c>
      <c r="Q85" s="6">
        <f>IF(OR(原始資料!$A85="",16&gt;設定!$B$3,原始資料!S85=""),"",IF(AND(原始資料!R85&lt;&gt;"",原始資料!S85=原始資料!R85),N(P85)+1,1))</f>
        <v/>
      </c>
      <c r="R85" s="6">
        <f>IF(OR(原始資料!$A85="",17&gt;設定!$B$3,原始資料!T85=""),"",IF(AND(原始資料!S85&lt;&gt;"",原始資料!T85=原始資料!S85),N(Q85)+1,1))</f>
        <v/>
      </c>
      <c r="S85" s="6">
        <f>IF(OR(原始資料!$A85="",18&gt;設定!$B$3,原始資料!U85=""),"",IF(AND(原始資料!T85&lt;&gt;"",原始資料!U85=原始資料!T85),N(R85)+1,1))</f>
        <v/>
      </c>
      <c r="T85" s="6">
        <f>IF(OR(原始資料!$A85="",19&gt;設定!$B$3,原始資料!V85=""),"",IF(AND(原始資料!U85&lt;&gt;"",原始資料!V85=原始資料!U85),N(S85)+1,1))</f>
        <v/>
      </c>
      <c r="U85" s="6">
        <f>IF(OR(原始資料!$A85="",20&gt;設定!$B$3,原始資料!W85=""),"",IF(AND(原始資料!V85&lt;&gt;"",原始資料!W85=原始資料!V85),N(T85)+1,1))</f>
        <v/>
      </c>
      <c r="V85" s="6">
        <f>IF(OR(原始資料!$A85="",21&gt;設定!$B$3,原始資料!X85=""),"",IF(AND(原始資料!W85&lt;&gt;"",原始資料!X85=原始資料!W85),N(U85)+1,1))</f>
        <v/>
      </c>
      <c r="W85" s="6">
        <f>IF(OR(原始資料!$A85="",22&gt;設定!$B$3,原始資料!Y85=""),"",IF(AND(原始資料!X85&lt;&gt;"",原始資料!Y85=原始資料!X85),N(V85)+1,1))</f>
        <v/>
      </c>
      <c r="X85" s="6">
        <f>IF(OR(原始資料!$A85="",23&gt;設定!$B$3,原始資料!Z85=""),"",IF(AND(原始資料!Y85&lt;&gt;"",原始資料!Z85=原始資料!Y85),N(W85)+1,1))</f>
        <v/>
      </c>
      <c r="Y85" s="6">
        <f>IF(OR(原始資料!$A85="",24&gt;設定!$B$3,原始資料!AA85=""),"",IF(AND(原始資料!Z85&lt;&gt;"",原始資料!AA85=原始資料!Z85),N(X85)+1,1))</f>
        <v/>
      </c>
      <c r="Z85" s="6">
        <f>IF(OR(原始資料!$A85="",25&gt;設定!$B$3,原始資料!AB85=""),"",IF(AND(原始資料!AA85&lt;&gt;"",原始資料!AB85=原始資料!AA85),N(Y85)+1,1))</f>
        <v/>
      </c>
      <c r="AA85" s="6">
        <f>IF(OR(原始資料!$A85="",26&gt;設定!$B$3,原始資料!AC85=""),"",IF(AND(原始資料!AB85&lt;&gt;"",原始資料!AC85=原始資料!AB85),N(Z85)+1,1))</f>
        <v/>
      </c>
      <c r="AB85" s="6">
        <f>IF(OR(原始資料!$A85="",27&gt;設定!$B$3,原始資料!AD85=""),"",IF(AND(原始資料!AC85&lt;&gt;"",原始資料!AD85=原始資料!AC85),N(AA85)+1,1))</f>
        <v/>
      </c>
      <c r="AC85" s="6">
        <f>IF(OR(原始資料!$A85="",28&gt;設定!$B$3,原始資料!AE85=""),"",IF(AND(原始資料!AD85&lt;&gt;"",原始資料!AE85=原始資料!AD85),N(AB85)+1,1))</f>
        <v/>
      </c>
      <c r="AD85" s="6">
        <f>IF(OR(原始資料!$A85="",29&gt;設定!$B$3,原始資料!AF85=""),"",IF(AND(原始資料!AE85&lt;&gt;"",原始資料!AF85=原始資料!AE85),N(AC85)+1,1))</f>
        <v/>
      </c>
      <c r="AE85" s="6">
        <f>IF(OR(原始資料!$A85="",30&gt;設定!$B$3,原始資料!AG85=""),"",IF(AND(原始資料!AF85&lt;&gt;"",原始資料!AG85=原始資料!AF85),N(AD85)+1,1))</f>
        <v/>
      </c>
      <c r="AF85" s="6">
        <f>IF(OR(原始資料!$A85="",31&gt;設定!$B$3,原始資料!AH85=""),"",IF(AND(原始資料!AG85&lt;&gt;"",原始資料!AH85=原始資料!AG85),N(AE85)+1,1))</f>
        <v/>
      </c>
      <c r="AG85" s="6">
        <f>IF(OR(原始資料!$A85="",32&gt;設定!$B$3,原始資料!AI85=""),"",IF(AND(原始資料!AH85&lt;&gt;"",原始資料!AI85=原始資料!AH85),N(AF85)+1,1))</f>
        <v/>
      </c>
      <c r="AH85" s="6">
        <f>IF(OR(原始資料!$A85="",33&gt;設定!$B$3,原始資料!AJ85=""),"",IF(AND(原始資料!AI85&lt;&gt;"",原始資料!AJ85=原始資料!AI85),N(AG85)+1,1))</f>
        <v/>
      </c>
      <c r="AI85" s="6">
        <f>IF(OR(原始資料!$A85="",34&gt;設定!$B$3,原始資料!AK85=""),"",IF(AND(原始資料!AJ85&lt;&gt;"",原始資料!AK85=原始資料!AJ85),N(AH85)+1,1))</f>
        <v/>
      </c>
      <c r="AJ85" s="6">
        <f>IF(OR(原始資料!$A85="",35&gt;設定!$B$3,原始資料!AL85=""),"",IF(AND(原始資料!AK85&lt;&gt;"",原始資料!AL85=原始資料!AK85),N(AI85)+1,1))</f>
        <v/>
      </c>
      <c r="AK85" s="6">
        <f>IF(OR(原始資料!$A85="",36&gt;設定!$B$3,原始資料!AM85=""),"",IF(AND(原始資料!AL85&lt;&gt;"",原始資料!AM85=原始資料!AL85),N(AJ85)+1,1))</f>
        <v/>
      </c>
      <c r="AL85" s="6">
        <f>IF(OR(原始資料!$A85="",37&gt;設定!$B$3,原始資料!AN85=""),"",IF(AND(原始資料!AM85&lt;&gt;"",原始資料!AN85=原始資料!AM85),N(AK85)+1,1))</f>
        <v/>
      </c>
      <c r="AM85" s="6">
        <f>IF(OR(原始資料!$A85="",38&gt;設定!$B$3,原始資料!AO85=""),"",IF(AND(原始資料!AN85&lt;&gt;"",原始資料!AO85=原始資料!AN85),N(AL85)+1,1))</f>
        <v/>
      </c>
      <c r="AN85" s="6">
        <f>IF(OR(原始資料!$A85="",39&gt;設定!$B$3,原始資料!AP85=""),"",IF(AND(原始資料!AO85&lt;&gt;"",原始資料!AP85=原始資料!AO85),N(AM85)+1,1))</f>
        <v/>
      </c>
      <c r="AO85" s="6">
        <f>IF(OR(原始資料!$A85="",40&gt;設定!$B$3,原始資料!AQ85=""),"",IF(AND(原始資料!AP85&lt;&gt;"",原始資料!AQ85=原始資料!AP85),N(AN85)+1,1))</f>
        <v/>
      </c>
      <c r="AP85" s="6">
        <f>IF(OR(原始資料!$A85="",41&gt;設定!$B$3,原始資料!AR85=""),"",IF(AND(原始資料!AQ85&lt;&gt;"",原始資料!AR85=原始資料!AQ85),N(AO85)+1,1))</f>
        <v/>
      </c>
      <c r="AQ85" s="6">
        <f>IF(OR(原始資料!$A85="",42&gt;設定!$B$3,原始資料!AS85=""),"",IF(AND(原始資料!AR85&lt;&gt;"",原始資料!AS85=原始資料!AR85),N(AP85)+1,1))</f>
        <v/>
      </c>
      <c r="AR85" s="6">
        <f>IF(OR(原始資料!$A85="",43&gt;設定!$B$3,原始資料!AT85=""),"",IF(AND(原始資料!AS85&lt;&gt;"",原始資料!AT85=原始資料!AS85),N(AQ85)+1,1))</f>
        <v/>
      </c>
      <c r="AS85" s="6">
        <f>IF(OR(原始資料!$A85="",44&gt;設定!$B$3,原始資料!AU85=""),"",IF(AND(原始資料!AT85&lt;&gt;"",原始資料!AU85=原始資料!AT85),N(AR85)+1,1))</f>
        <v/>
      </c>
      <c r="AT85" s="6">
        <f>IF(OR(原始資料!$A85="",45&gt;設定!$B$3,原始資料!AV85=""),"",IF(AND(原始資料!AU85&lt;&gt;"",原始資料!AV85=原始資料!AU85),N(AS85)+1,1))</f>
        <v/>
      </c>
      <c r="AU85" s="6">
        <f>IF(OR(原始資料!$A85="",46&gt;設定!$B$3,原始資料!AW85=""),"",IF(AND(原始資料!AV85&lt;&gt;"",原始資料!AW85=原始資料!AV85),N(AT85)+1,1))</f>
        <v/>
      </c>
      <c r="AV85" s="6">
        <f>IF(OR(原始資料!$A85="",47&gt;設定!$B$3,原始資料!AX85=""),"",IF(AND(原始資料!AW85&lt;&gt;"",原始資料!AX85=原始資料!AW85),N(AU85)+1,1))</f>
        <v/>
      </c>
      <c r="AW85" s="6">
        <f>IF(OR(原始資料!$A85="",48&gt;設定!$B$3,原始資料!AY85=""),"",IF(AND(原始資料!AX85&lt;&gt;"",原始資料!AY85=原始資料!AX85),N(AV85)+1,1))</f>
        <v/>
      </c>
      <c r="AX85" s="6">
        <f>IF(OR(原始資料!$A85="",49&gt;設定!$B$3,原始資料!AZ85=""),"",IF(AND(原始資料!AY85&lt;&gt;"",原始資料!AZ85=原始資料!AY85),N(AW85)+1,1))</f>
        <v/>
      </c>
      <c r="AY85" s="6">
        <f>IF(OR(原始資料!$A85="",50&gt;設定!$B$3,原始資料!BA85=""),"",IF(AND(原始資料!AZ85&lt;&gt;"",原始資料!BA85=原始資料!AZ85),N(AX85)+1,1))</f>
        <v/>
      </c>
      <c r="AZ85" s="6">
        <f>IF(OR(原始資料!$A85="",51&gt;設定!$B$3,原始資料!BB85=""),"",IF(AND(原始資料!BA85&lt;&gt;"",原始資料!BB85=原始資料!BA85),N(AY85)+1,1))</f>
        <v/>
      </c>
      <c r="BA85" s="6">
        <f>IF(OR(原始資料!$A85="",52&gt;設定!$B$3,原始資料!BC85=""),"",IF(AND(原始資料!BB85&lt;&gt;"",原始資料!BC85=原始資料!BB85),N(AZ85)+1,1))</f>
        <v/>
      </c>
      <c r="BB85" s="6">
        <f>IF(OR(原始資料!$A85="",53&gt;設定!$B$3,原始資料!BD85=""),"",IF(AND(原始資料!BC85&lt;&gt;"",原始資料!BD85=原始資料!BC85),N(BA85)+1,1))</f>
        <v/>
      </c>
      <c r="BC85" s="6">
        <f>IF(OR(原始資料!$A85="",54&gt;設定!$B$3,原始資料!BE85=""),"",IF(AND(原始資料!BD85&lt;&gt;"",原始資料!BE85=原始資料!BD85),N(BB85)+1,1))</f>
        <v/>
      </c>
      <c r="BD85" s="6">
        <f>IF(OR(原始資料!$A85="",55&gt;設定!$B$3,原始資料!BF85=""),"",IF(AND(原始資料!BE85&lt;&gt;"",原始資料!BF85=原始資料!BE85),N(BC85)+1,1))</f>
        <v/>
      </c>
      <c r="BE85" s="6">
        <f>IF(OR(原始資料!$A85="",56&gt;設定!$B$3,原始資料!BG85=""),"",IF(AND(原始資料!BF85&lt;&gt;"",原始資料!BG85=原始資料!BF85),N(BD85)+1,1))</f>
        <v/>
      </c>
      <c r="BF85" s="6">
        <f>IF(OR(原始資料!$A85="",57&gt;設定!$B$3,原始資料!BH85=""),"",IF(AND(原始資料!BG85&lt;&gt;"",原始資料!BH85=原始資料!BG85),N(BE85)+1,1))</f>
        <v/>
      </c>
      <c r="BG85" s="6">
        <f>IF(OR(原始資料!$A85="",58&gt;設定!$B$3,原始資料!BI85=""),"",IF(AND(原始資料!BH85&lt;&gt;"",原始資料!BI85=原始資料!BH85),N(BF85)+1,1))</f>
        <v/>
      </c>
      <c r="BH85" s="6">
        <f>IF(OR(原始資料!$A85="",59&gt;設定!$B$3,原始資料!BJ85=""),"",IF(AND(原始資料!BI85&lt;&gt;"",原始資料!BJ85=原始資料!BI85),N(BG85)+1,1))</f>
        <v/>
      </c>
      <c r="BI85" s="6">
        <f>IF(OR(原始資料!$A85="",60&gt;設定!$B$3,原始資料!BK85=""),"",IF(AND(原始資料!BJ85&lt;&gt;"",原始資料!BK85=原始資料!BJ85),N(BH85)+1,1))</f>
        <v/>
      </c>
    </row>
    <row r="86">
      <c r="A86" s="6">
        <f>IF(原始資料!$A86="","",原始資料!$A86)</f>
        <v/>
      </c>
      <c r="B86" s="6">
        <f>IF(OR(原始資料!$A86="",1&gt;設定!$B$3,原始資料!D86=""),"",1)</f>
        <v/>
      </c>
      <c r="C86" s="6">
        <f>IF(OR(原始資料!$A86="",2&gt;設定!$B$3,原始資料!E86=""),"",IF(AND(原始資料!D86&lt;&gt;"",原始資料!E86=原始資料!D86),N(B86)+1,1))</f>
        <v/>
      </c>
      <c r="D86" s="6">
        <f>IF(OR(原始資料!$A86="",3&gt;設定!$B$3,原始資料!F86=""),"",IF(AND(原始資料!E86&lt;&gt;"",原始資料!F86=原始資料!E86),N(C86)+1,1))</f>
        <v/>
      </c>
      <c r="E86" s="6">
        <f>IF(OR(原始資料!$A86="",4&gt;設定!$B$3,原始資料!G86=""),"",IF(AND(原始資料!F86&lt;&gt;"",原始資料!G86=原始資料!F86),N(D86)+1,1))</f>
        <v/>
      </c>
      <c r="F86" s="6">
        <f>IF(OR(原始資料!$A86="",5&gt;設定!$B$3,原始資料!H86=""),"",IF(AND(原始資料!G86&lt;&gt;"",原始資料!H86=原始資料!G86),N(E86)+1,1))</f>
        <v/>
      </c>
      <c r="G86" s="6">
        <f>IF(OR(原始資料!$A86="",6&gt;設定!$B$3,原始資料!I86=""),"",IF(AND(原始資料!H86&lt;&gt;"",原始資料!I86=原始資料!H86),N(F86)+1,1))</f>
        <v/>
      </c>
      <c r="H86" s="6">
        <f>IF(OR(原始資料!$A86="",7&gt;設定!$B$3,原始資料!J86=""),"",IF(AND(原始資料!I86&lt;&gt;"",原始資料!J86=原始資料!I86),N(G86)+1,1))</f>
        <v/>
      </c>
      <c r="I86" s="6">
        <f>IF(OR(原始資料!$A86="",8&gt;設定!$B$3,原始資料!K86=""),"",IF(AND(原始資料!J86&lt;&gt;"",原始資料!K86=原始資料!J86),N(H86)+1,1))</f>
        <v/>
      </c>
      <c r="J86" s="6">
        <f>IF(OR(原始資料!$A86="",9&gt;設定!$B$3,原始資料!L86=""),"",IF(AND(原始資料!K86&lt;&gt;"",原始資料!L86=原始資料!K86),N(I86)+1,1))</f>
        <v/>
      </c>
      <c r="K86" s="6">
        <f>IF(OR(原始資料!$A86="",10&gt;設定!$B$3,原始資料!M86=""),"",IF(AND(原始資料!L86&lt;&gt;"",原始資料!M86=原始資料!L86),N(J86)+1,1))</f>
        <v/>
      </c>
      <c r="L86" s="6">
        <f>IF(OR(原始資料!$A86="",11&gt;設定!$B$3,原始資料!N86=""),"",IF(AND(原始資料!M86&lt;&gt;"",原始資料!N86=原始資料!M86),N(K86)+1,1))</f>
        <v/>
      </c>
      <c r="M86" s="6">
        <f>IF(OR(原始資料!$A86="",12&gt;設定!$B$3,原始資料!O86=""),"",IF(AND(原始資料!N86&lt;&gt;"",原始資料!O86=原始資料!N86),N(L86)+1,1))</f>
        <v/>
      </c>
      <c r="N86" s="6">
        <f>IF(OR(原始資料!$A86="",13&gt;設定!$B$3,原始資料!P86=""),"",IF(AND(原始資料!O86&lt;&gt;"",原始資料!P86=原始資料!O86),N(M86)+1,1))</f>
        <v/>
      </c>
      <c r="O86" s="6">
        <f>IF(OR(原始資料!$A86="",14&gt;設定!$B$3,原始資料!Q86=""),"",IF(AND(原始資料!P86&lt;&gt;"",原始資料!Q86=原始資料!P86),N(N86)+1,1))</f>
        <v/>
      </c>
      <c r="P86" s="6">
        <f>IF(OR(原始資料!$A86="",15&gt;設定!$B$3,原始資料!R86=""),"",IF(AND(原始資料!Q86&lt;&gt;"",原始資料!R86=原始資料!Q86),N(O86)+1,1))</f>
        <v/>
      </c>
      <c r="Q86" s="6">
        <f>IF(OR(原始資料!$A86="",16&gt;設定!$B$3,原始資料!S86=""),"",IF(AND(原始資料!R86&lt;&gt;"",原始資料!S86=原始資料!R86),N(P86)+1,1))</f>
        <v/>
      </c>
      <c r="R86" s="6">
        <f>IF(OR(原始資料!$A86="",17&gt;設定!$B$3,原始資料!T86=""),"",IF(AND(原始資料!S86&lt;&gt;"",原始資料!T86=原始資料!S86),N(Q86)+1,1))</f>
        <v/>
      </c>
      <c r="S86" s="6">
        <f>IF(OR(原始資料!$A86="",18&gt;設定!$B$3,原始資料!U86=""),"",IF(AND(原始資料!T86&lt;&gt;"",原始資料!U86=原始資料!T86),N(R86)+1,1))</f>
        <v/>
      </c>
      <c r="T86" s="6">
        <f>IF(OR(原始資料!$A86="",19&gt;設定!$B$3,原始資料!V86=""),"",IF(AND(原始資料!U86&lt;&gt;"",原始資料!V86=原始資料!U86),N(S86)+1,1))</f>
        <v/>
      </c>
      <c r="U86" s="6">
        <f>IF(OR(原始資料!$A86="",20&gt;設定!$B$3,原始資料!W86=""),"",IF(AND(原始資料!V86&lt;&gt;"",原始資料!W86=原始資料!V86),N(T86)+1,1))</f>
        <v/>
      </c>
      <c r="V86" s="6">
        <f>IF(OR(原始資料!$A86="",21&gt;設定!$B$3,原始資料!X86=""),"",IF(AND(原始資料!W86&lt;&gt;"",原始資料!X86=原始資料!W86),N(U86)+1,1))</f>
        <v/>
      </c>
      <c r="W86" s="6">
        <f>IF(OR(原始資料!$A86="",22&gt;設定!$B$3,原始資料!Y86=""),"",IF(AND(原始資料!X86&lt;&gt;"",原始資料!Y86=原始資料!X86),N(V86)+1,1))</f>
        <v/>
      </c>
      <c r="X86" s="6">
        <f>IF(OR(原始資料!$A86="",23&gt;設定!$B$3,原始資料!Z86=""),"",IF(AND(原始資料!Y86&lt;&gt;"",原始資料!Z86=原始資料!Y86),N(W86)+1,1))</f>
        <v/>
      </c>
      <c r="Y86" s="6">
        <f>IF(OR(原始資料!$A86="",24&gt;設定!$B$3,原始資料!AA86=""),"",IF(AND(原始資料!Z86&lt;&gt;"",原始資料!AA86=原始資料!Z86),N(X86)+1,1))</f>
        <v/>
      </c>
      <c r="Z86" s="6">
        <f>IF(OR(原始資料!$A86="",25&gt;設定!$B$3,原始資料!AB86=""),"",IF(AND(原始資料!AA86&lt;&gt;"",原始資料!AB86=原始資料!AA86),N(Y86)+1,1))</f>
        <v/>
      </c>
      <c r="AA86" s="6">
        <f>IF(OR(原始資料!$A86="",26&gt;設定!$B$3,原始資料!AC86=""),"",IF(AND(原始資料!AB86&lt;&gt;"",原始資料!AC86=原始資料!AB86),N(Z86)+1,1))</f>
        <v/>
      </c>
      <c r="AB86" s="6">
        <f>IF(OR(原始資料!$A86="",27&gt;設定!$B$3,原始資料!AD86=""),"",IF(AND(原始資料!AC86&lt;&gt;"",原始資料!AD86=原始資料!AC86),N(AA86)+1,1))</f>
        <v/>
      </c>
      <c r="AC86" s="6">
        <f>IF(OR(原始資料!$A86="",28&gt;設定!$B$3,原始資料!AE86=""),"",IF(AND(原始資料!AD86&lt;&gt;"",原始資料!AE86=原始資料!AD86),N(AB86)+1,1))</f>
        <v/>
      </c>
      <c r="AD86" s="6">
        <f>IF(OR(原始資料!$A86="",29&gt;設定!$B$3,原始資料!AF86=""),"",IF(AND(原始資料!AE86&lt;&gt;"",原始資料!AF86=原始資料!AE86),N(AC86)+1,1))</f>
        <v/>
      </c>
      <c r="AE86" s="6">
        <f>IF(OR(原始資料!$A86="",30&gt;設定!$B$3,原始資料!AG86=""),"",IF(AND(原始資料!AF86&lt;&gt;"",原始資料!AG86=原始資料!AF86),N(AD86)+1,1))</f>
        <v/>
      </c>
      <c r="AF86" s="6">
        <f>IF(OR(原始資料!$A86="",31&gt;設定!$B$3,原始資料!AH86=""),"",IF(AND(原始資料!AG86&lt;&gt;"",原始資料!AH86=原始資料!AG86),N(AE86)+1,1))</f>
        <v/>
      </c>
      <c r="AG86" s="6">
        <f>IF(OR(原始資料!$A86="",32&gt;設定!$B$3,原始資料!AI86=""),"",IF(AND(原始資料!AH86&lt;&gt;"",原始資料!AI86=原始資料!AH86),N(AF86)+1,1))</f>
        <v/>
      </c>
      <c r="AH86" s="6">
        <f>IF(OR(原始資料!$A86="",33&gt;設定!$B$3,原始資料!AJ86=""),"",IF(AND(原始資料!AI86&lt;&gt;"",原始資料!AJ86=原始資料!AI86),N(AG86)+1,1))</f>
        <v/>
      </c>
      <c r="AI86" s="6">
        <f>IF(OR(原始資料!$A86="",34&gt;設定!$B$3,原始資料!AK86=""),"",IF(AND(原始資料!AJ86&lt;&gt;"",原始資料!AK86=原始資料!AJ86),N(AH86)+1,1))</f>
        <v/>
      </c>
      <c r="AJ86" s="6">
        <f>IF(OR(原始資料!$A86="",35&gt;設定!$B$3,原始資料!AL86=""),"",IF(AND(原始資料!AK86&lt;&gt;"",原始資料!AL86=原始資料!AK86),N(AI86)+1,1))</f>
        <v/>
      </c>
      <c r="AK86" s="6">
        <f>IF(OR(原始資料!$A86="",36&gt;設定!$B$3,原始資料!AM86=""),"",IF(AND(原始資料!AL86&lt;&gt;"",原始資料!AM86=原始資料!AL86),N(AJ86)+1,1))</f>
        <v/>
      </c>
      <c r="AL86" s="6">
        <f>IF(OR(原始資料!$A86="",37&gt;設定!$B$3,原始資料!AN86=""),"",IF(AND(原始資料!AM86&lt;&gt;"",原始資料!AN86=原始資料!AM86),N(AK86)+1,1))</f>
        <v/>
      </c>
      <c r="AM86" s="6">
        <f>IF(OR(原始資料!$A86="",38&gt;設定!$B$3,原始資料!AO86=""),"",IF(AND(原始資料!AN86&lt;&gt;"",原始資料!AO86=原始資料!AN86),N(AL86)+1,1))</f>
        <v/>
      </c>
      <c r="AN86" s="6">
        <f>IF(OR(原始資料!$A86="",39&gt;設定!$B$3,原始資料!AP86=""),"",IF(AND(原始資料!AO86&lt;&gt;"",原始資料!AP86=原始資料!AO86),N(AM86)+1,1))</f>
        <v/>
      </c>
      <c r="AO86" s="6">
        <f>IF(OR(原始資料!$A86="",40&gt;設定!$B$3,原始資料!AQ86=""),"",IF(AND(原始資料!AP86&lt;&gt;"",原始資料!AQ86=原始資料!AP86),N(AN86)+1,1))</f>
        <v/>
      </c>
      <c r="AP86" s="6">
        <f>IF(OR(原始資料!$A86="",41&gt;設定!$B$3,原始資料!AR86=""),"",IF(AND(原始資料!AQ86&lt;&gt;"",原始資料!AR86=原始資料!AQ86),N(AO86)+1,1))</f>
        <v/>
      </c>
      <c r="AQ86" s="6">
        <f>IF(OR(原始資料!$A86="",42&gt;設定!$B$3,原始資料!AS86=""),"",IF(AND(原始資料!AR86&lt;&gt;"",原始資料!AS86=原始資料!AR86),N(AP86)+1,1))</f>
        <v/>
      </c>
      <c r="AR86" s="6">
        <f>IF(OR(原始資料!$A86="",43&gt;設定!$B$3,原始資料!AT86=""),"",IF(AND(原始資料!AS86&lt;&gt;"",原始資料!AT86=原始資料!AS86),N(AQ86)+1,1))</f>
        <v/>
      </c>
      <c r="AS86" s="6">
        <f>IF(OR(原始資料!$A86="",44&gt;設定!$B$3,原始資料!AU86=""),"",IF(AND(原始資料!AT86&lt;&gt;"",原始資料!AU86=原始資料!AT86),N(AR86)+1,1))</f>
        <v/>
      </c>
      <c r="AT86" s="6">
        <f>IF(OR(原始資料!$A86="",45&gt;設定!$B$3,原始資料!AV86=""),"",IF(AND(原始資料!AU86&lt;&gt;"",原始資料!AV86=原始資料!AU86),N(AS86)+1,1))</f>
        <v/>
      </c>
      <c r="AU86" s="6">
        <f>IF(OR(原始資料!$A86="",46&gt;設定!$B$3,原始資料!AW86=""),"",IF(AND(原始資料!AV86&lt;&gt;"",原始資料!AW86=原始資料!AV86),N(AT86)+1,1))</f>
        <v/>
      </c>
      <c r="AV86" s="6">
        <f>IF(OR(原始資料!$A86="",47&gt;設定!$B$3,原始資料!AX86=""),"",IF(AND(原始資料!AW86&lt;&gt;"",原始資料!AX86=原始資料!AW86),N(AU86)+1,1))</f>
        <v/>
      </c>
      <c r="AW86" s="6">
        <f>IF(OR(原始資料!$A86="",48&gt;設定!$B$3,原始資料!AY86=""),"",IF(AND(原始資料!AX86&lt;&gt;"",原始資料!AY86=原始資料!AX86),N(AV86)+1,1))</f>
        <v/>
      </c>
      <c r="AX86" s="6">
        <f>IF(OR(原始資料!$A86="",49&gt;設定!$B$3,原始資料!AZ86=""),"",IF(AND(原始資料!AY86&lt;&gt;"",原始資料!AZ86=原始資料!AY86),N(AW86)+1,1))</f>
        <v/>
      </c>
      <c r="AY86" s="6">
        <f>IF(OR(原始資料!$A86="",50&gt;設定!$B$3,原始資料!BA86=""),"",IF(AND(原始資料!AZ86&lt;&gt;"",原始資料!BA86=原始資料!AZ86),N(AX86)+1,1))</f>
        <v/>
      </c>
      <c r="AZ86" s="6">
        <f>IF(OR(原始資料!$A86="",51&gt;設定!$B$3,原始資料!BB86=""),"",IF(AND(原始資料!BA86&lt;&gt;"",原始資料!BB86=原始資料!BA86),N(AY86)+1,1))</f>
        <v/>
      </c>
      <c r="BA86" s="6">
        <f>IF(OR(原始資料!$A86="",52&gt;設定!$B$3,原始資料!BC86=""),"",IF(AND(原始資料!BB86&lt;&gt;"",原始資料!BC86=原始資料!BB86),N(AZ86)+1,1))</f>
        <v/>
      </c>
      <c r="BB86" s="6">
        <f>IF(OR(原始資料!$A86="",53&gt;設定!$B$3,原始資料!BD86=""),"",IF(AND(原始資料!BC86&lt;&gt;"",原始資料!BD86=原始資料!BC86),N(BA86)+1,1))</f>
        <v/>
      </c>
      <c r="BC86" s="6">
        <f>IF(OR(原始資料!$A86="",54&gt;設定!$B$3,原始資料!BE86=""),"",IF(AND(原始資料!BD86&lt;&gt;"",原始資料!BE86=原始資料!BD86),N(BB86)+1,1))</f>
        <v/>
      </c>
      <c r="BD86" s="6">
        <f>IF(OR(原始資料!$A86="",55&gt;設定!$B$3,原始資料!BF86=""),"",IF(AND(原始資料!BE86&lt;&gt;"",原始資料!BF86=原始資料!BE86),N(BC86)+1,1))</f>
        <v/>
      </c>
      <c r="BE86" s="6">
        <f>IF(OR(原始資料!$A86="",56&gt;設定!$B$3,原始資料!BG86=""),"",IF(AND(原始資料!BF86&lt;&gt;"",原始資料!BG86=原始資料!BF86),N(BD86)+1,1))</f>
        <v/>
      </c>
      <c r="BF86" s="6">
        <f>IF(OR(原始資料!$A86="",57&gt;設定!$B$3,原始資料!BH86=""),"",IF(AND(原始資料!BG86&lt;&gt;"",原始資料!BH86=原始資料!BG86),N(BE86)+1,1))</f>
        <v/>
      </c>
      <c r="BG86" s="6">
        <f>IF(OR(原始資料!$A86="",58&gt;設定!$B$3,原始資料!BI86=""),"",IF(AND(原始資料!BH86&lt;&gt;"",原始資料!BI86=原始資料!BH86),N(BF86)+1,1))</f>
        <v/>
      </c>
      <c r="BH86" s="6">
        <f>IF(OR(原始資料!$A86="",59&gt;設定!$B$3,原始資料!BJ86=""),"",IF(AND(原始資料!BI86&lt;&gt;"",原始資料!BJ86=原始資料!BI86),N(BG86)+1,1))</f>
        <v/>
      </c>
      <c r="BI86" s="6">
        <f>IF(OR(原始資料!$A86="",60&gt;設定!$B$3,原始資料!BK86=""),"",IF(AND(原始資料!BJ86&lt;&gt;"",原始資料!BK86=原始資料!BJ86),N(BH86)+1,1))</f>
        <v/>
      </c>
    </row>
    <row r="87">
      <c r="A87" s="6">
        <f>IF(原始資料!$A87="","",原始資料!$A87)</f>
        <v/>
      </c>
      <c r="B87" s="6">
        <f>IF(OR(原始資料!$A87="",1&gt;設定!$B$3,原始資料!D87=""),"",1)</f>
        <v/>
      </c>
      <c r="C87" s="6">
        <f>IF(OR(原始資料!$A87="",2&gt;設定!$B$3,原始資料!E87=""),"",IF(AND(原始資料!D87&lt;&gt;"",原始資料!E87=原始資料!D87),N(B87)+1,1))</f>
        <v/>
      </c>
      <c r="D87" s="6">
        <f>IF(OR(原始資料!$A87="",3&gt;設定!$B$3,原始資料!F87=""),"",IF(AND(原始資料!E87&lt;&gt;"",原始資料!F87=原始資料!E87),N(C87)+1,1))</f>
        <v/>
      </c>
      <c r="E87" s="6">
        <f>IF(OR(原始資料!$A87="",4&gt;設定!$B$3,原始資料!G87=""),"",IF(AND(原始資料!F87&lt;&gt;"",原始資料!G87=原始資料!F87),N(D87)+1,1))</f>
        <v/>
      </c>
      <c r="F87" s="6">
        <f>IF(OR(原始資料!$A87="",5&gt;設定!$B$3,原始資料!H87=""),"",IF(AND(原始資料!G87&lt;&gt;"",原始資料!H87=原始資料!G87),N(E87)+1,1))</f>
        <v/>
      </c>
      <c r="G87" s="6">
        <f>IF(OR(原始資料!$A87="",6&gt;設定!$B$3,原始資料!I87=""),"",IF(AND(原始資料!H87&lt;&gt;"",原始資料!I87=原始資料!H87),N(F87)+1,1))</f>
        <v/>
      </c>
      <c r="H87" s="6">
        <f>IF(OR(原始資料!$A87="",7&gt;設定!$B$3,原始資料!J87=""),"",IF(AND(原始資料!I87&lt;&gt;"",原始資料!J87=原始資料!I87),N(G87)+1,1))</f>
        <v/>
      </c>
      <c r="I87" s="6">
        <f>IF(OR(原始資料!$A87="",8&gt;設定!$B$3,原始資料!K87=""),"",IF(AND(原始資料!J87&lt;&gt;"",原始資料!K87=原始資料!J87),N(H87)+1,1))</f>
        <v/>
      </c>
      <c r="J87" s="6">
        <f>IF(OR(原始資料!$A87="",9&gt;設定!$B$3,原始資料!L87=""),"",IF(AND(原始資料!K87&lt;&gt;"",原始資料!L87=原始資料!K87),N(I87)+1,1))</f>
        <v/>
      </c>
      <c r="K87" s="6">
        <f>IF(OR(原始資料!$A87="",10&gt;設定!$B$3,原始資料!M87=""),"",IF(AND(原始資料!L87&lt;&gt;"",原始資料!M87=原始資料!L87),N(J87)+1,1))</f>
        <v/>
      </c>
      <c r="L87" s="6">
        <f>IF(OR(原始資料!$A87="",11&gt;設定!$B$3,原始資料!N87=""),"",IF(AND(原始資料!M87&lt;&gt;"",原始資料!N87=原始資料!M87),N(K87)+1,1))</f>
        <v/>
      </c>
      <c r="M87" s="6">
        <f>IF(OR(原始資料!$A87="",12&gt;設定!$B$3,原始資料!O87=""),"",IF(AND(原始資料!N87&lt;&gt;"",原始資料!O87=原始資料!N87),N(L87)+1,1))</f>
        <v/>
      </c>
      <c r="N87" s="6">
        <f>IF(OR(原始資料!$A87="",13&gt;設定!$B$3,原始資料!P87=""),"",IF(AND(原始資料!O87&lt;&gt;"",原始資料!P87=原始資料!O87),N(M87)+1,1))</f>
        <v/>
      </c>
      <c r="O87" s="6">
        <f>IF(OR(原始資料!$A87="",14&gt;設定!$B$3,原始資料!Q87=""),"",IF(AND(原始資料!P87&lt;&gt;"",原始資料!Q87=原始資料!P87),N(N87)+1,1))</f>
        <v/>
      </c>
      <c r="P87" s="6">
        <f>IF(OR(原始資料!$A87="",15&gt;設定!$B$3,原始資料!R87=""),"",IF(AND(原始資料!Q87&lt;&gt;"",原始資料!R87=原始資料!Q87),N(O87)+1,1))</f>
        <v/>
      </c>
      <c r="Q87" s="6">
        <f>IF(OR(原始資料!$A87="",16&gt;設定!$B$3,原始資料!S87=""),"",IF(AND(原始資料!R87&lt;&gt;"",原始資料!S87=原始資料!R87),N(P87)+1,1))</f>
        <v/>
      </c>
      <c r="R87" s="6">
        <f>IF(OR(原始資料!$A87="",17&gt;設定!$B$3,原始資料!T87=""),"",IF(AND(原始資料!S87&lt;&gt;"",原始資料!T87=原始資料!S87),N(Q87)+1,1))</f>
        <v/>
      </c>
      <c r="S87" s="6">
        <f>IF(OR(原始資料!$A87="",18&gt;設定!$B$3,原始資料!U87=""),"",IF(AND(原始資料!T87&lt;&gt;"",原始資料!U87=原始資料!T87),N(R87)+1,1))</f>
        <v/>
      </c>
      <c r="T87" s="6">
        <f>IF(OR(原始資料!$A87="",19&gt;設定!$B$3,原始資料!V87=""),"",IF(AND(原始資料!U87&lt;&gt;"",原始資料!V87=原始資料!U87),N(S87)+1,1))</f>
        <v/>
      </c>
      <c r="U87" s="6">
        <f>IF(OR(原始資料!$A87="",20&gt;設定!$B$3,原始資料!W87=""),"",IF(AND(原始資料!V87&lt;&gt;"",原始資料!W87=原始資料!V87),N(T87)+1,1))</f>
        <v/>
      </c>
      <c r="V87" s="6">
        <f>IF(OR(原始資料!$A87="",21&gt;設定!$B$3,原始資料!X87=""),"",IF(AND(原始資料!W87&lt;&gt;"",原始資料!X87=原始資料!W87),N(U87)+1,1))</f>
        <v/>
      </c>
      <c r="W87" s="6">
        <f>IF(OR(原始資料!$A87="",22&gt;設定!$B$3,原始資料!Y87=""),"",IF(AND(原始資料!X87&lt;&gt;"",原始資料!Y87=原始資料!X87),N(V87)+1,1))</f>
        <v/>
      </c>
      <c r="X87" s="6">
        <f>IF(OR(原始資料!$A87="",23&gt;設定!$B$3,原始資料!Z87=""),"",IF(AND(原始資料!Y87&lt;&gt;"",原始資料!Z87=原始資料!Y87),N(W87)+1,1))</f>
        <v/>
      </c>
      <c r="Y87" s="6">
        <f>IF(OR(原始資料!$A87="",24&gt;設定!$B$3,原始資料!AA87=""),"",IF(AND(原始資料!Z87&lt;&gt;"",原始資料!AA87=原始資料!Z87),N(X87)+1,1))</f>
        <v/>
      </c>
      <c r="Z87" s="6">
        <f>IF(OR(原始資料!$A87="",25&gt;設定!$B$3,原始資料!AB87=""),"",IF(AND(原始資料!AA87&lt;&gt;"",原始資料!AB87=原始資料!AA87),N(Y87)+1,1))</f>
        <v/>
      </c>
      <c r="AA87" s="6">
        <f>IF(OR(原始資料!$A87="",26&gt;設定!$B$3,原始資料!AC87=""),"",IF(AND(原始資料!AB87&lt;&gt;"",原始資料!AC87=原始資料!AB87),N(Z87)+1,1))</f>
        <v/>
      </c>
      <c r="AB87" s="6">
        <f>IF(OR(原始資料!$A87="",27&gt;設定!$B$3,原始資料!AD87=""),"",IF(AND(原始資料!AC87&lt;&gt;"",原始資料!AD87=原始資料!AC87),N(AA87)+1,1))</f>
        <v/>
      </c>
      <c r="AC87" s="6">
        <f>IF(OR(原始資料!$A87="",28&gt;設定!$B$3,原始資料!AE87=""),"",IF(AND(原始資料!AD87&lt;&gt;"",原始資料!AE87=原始資料!AD87),N(AB87)+1,1))</f>
        <v/>
      </c>
      <c r="AD87" s="6">
        <f>IF(OR(原始資料!$A87="",29&gt;設定!$B$3,原始資料!AF87=""),"",IF(AND(原始資料!AE87&lt;&gt;"",原始資料!AF87=原始資料!AE87),N(AC87)+1,1))</f>
        <v/>
      </c>
      <c r="AE87" s="6">
        <f>IF(OR(原始資料!$A87="",30&gt;設定!$B$3,原始資料!AG87=""),"",IF(AND(原始資料!AF87&lt;&gt;"",原始資料!AG87=原始資料!AF87),N(AD87)+1,1))</f>
        <v/>
      </c>
      <c r="AF87" s="6">
        <f>IF(OR(原始資料!$A87="",31&gt;設定!$B$3,原始資料!AH87=""),"",IF(AND(原始資料!AG87&lt;&gt;"",原始資料!AH87=原始資料!AG87),N(AE87)+1,1))</f>
        <v/>
      </c>
      <c r="AG87" s="6">
        <f>IF(OR(原始資料!$A87="",32&gt;設定!$B$3,原始資料!AI87=""),"",IF(AND(原始資料!AH87&lt;&gt;"",原始資料!AI87=原始資料!AH87),N(AF87)+1,1))</f>
        <v/>
      </c>
      <c r="AH87" s="6">
        <f>IF(OR(原始資料!$A87="",33&gt;設定!$B$3,原始資料!AJ87=""),"",IF(AND(原始資料!AI87&lt;&gt;"",原始資料!AJ87=原始資料!AI87),N(AG87)+1,1))</f>
        <v/>
      </c>
      <c r="AI87" s="6">
        <f>IF(OR(原始資料!$A87="",34&gt;設定!$B$3,原始資料!AK87=""),"",IF(AND(原始資料!AJ87&lt;&gt;"",原始資料!AK87=原始資料!AJ87),N(AH87)+1,1))</f>
        <v/>
      </c>
      <c r="AJ87" s="6">
        <f>IF(OR(原始資料!$A87="",35&gt;設定!$B$3,原始資料!AL87=""),"",IF(AND(原始資料!AK87&lt;&gt;"",原始資料!AL87=原始資料!AK87),N(AI87)+1,1))</f>
        <v/>
      </c>
      <c r="AK87" s="6">
        <f>IF(OR(原始資料!$A87="",36&gt;設定!$B$3,原始資料!AM87=""),"",IF(AND(原始資料!AL87&lt;&gt;"",原始資料!AM87=原始資料!AL87),N(AJ87)+1,1))</f>
        <v/>
      </c>
      <c r="AL87" s="6">
        <f>IF(OR(原始資料!$A87="",37&gt;設定!$B$3,原始資料!AN87=""),"",IF(AND(原始資料!AM87&lt;&gt;"",原始資料!AN87=原始資料!AM87),N(AK87)+1,1))</f>
        <v/>
      </c>
      <c r="AM87" s="6">
        <f>IF(OR(原始資料!$A87="",38&gt;設定!$B$3,原始資料!AO87=""),"",IF(AND(原始資料!AN87&lt;&gt;"",原始資料!AO87=原始資料!AN87),N(AL87)+1,1))</f>
        <v/>
      </c>
      <c r="AN87" s="6">
        <f>IF(OR(原始資料!$A87="",39&gt;設定!$B$3,原始資料!AP87=""),"",IF(AND(原始資料!AO87&lt;&gt;"",原始資料!AP87=原始資料!AO87),N(AM87)+1,1))</f>
        <v/>
      </c>
      <c r="AO87" s="6">
        <f>IF(OR(原始資料!$A87="",40&gt;設定!$B$3,原始資料!AQ87=""),"",IF(AND(原始資料!AP87&lt;&gt;"",原始資料!AQ87=原始資料!AP87),N(AN87)+1,1))</f>
        <v/>
      </c>
      <c r="AP87" s="6">
        <f>IF(OR(原始資料!$A87="",41&gt;設定!$B$3,原始資料!AR87=""),"",IF(AND(原始資料!AQ87&lt;&gt;"",原始資料!AR87=原始資料!AQ87),N(AO87)+1,1))</f>
        <v/>
      </c>
      <c r="AQ87" s="6">
        <f>IF(OR(原始資料!$A87="",42&gt;設定!$B$3,原始資料!AS87=""),"",IF(AND(原始資料!AR87&lt;&gt;"",原始資料!AS87=原始資料!AR87),N(AP87)+1,1))</f>
        <v/>
      </c>
      <c r="AR87" s="6">
        <f>IF(OR(原始資料!$A87="",43&gt;設定!$B$3,原始資料!AT87=""),"",IF(AND(原始資料!AS87&lt;&gt;"",原始資料!AT87=原始資料!AS87),N(AQ87)+1,1))</f>
        <v/>
      </c>
      <c r="AS87" s="6">
        <f>IF(OR(原始資料!$A87="",44&gt;設定!$B$3,原始資料!AU87=""),"",IF(AND(原始資料!AT87&lt;&gt;"",原始資料!AU87=原始資料!AT87),N(AR87)+1,1))</f>
        <v/>
      </c>
      <c r="AT87" s="6">
        <f>IF(OR(原始資料!$A87="",45&gt;設定!$B$3,原始資料!AV87=""),"",IF(AND(原始資料!AU87&lt;&gt;"",原始資料!AV87=原始資料!AU87),N(AS87)+1,1))</f>
        <v/>
      </c>
      <c r="AU87" s="6">
        <f>IF(OR(原始資料!$A87="",46&gt;設定!$B$3,原始資料!AW87=""),"",IF(AND(原始資料!AV87&lt;&gt;"",原始資料!AW87=原始資料!AV87),N(AT87)+1,1))</f>
        <v/>
      </c>
      <c r="AV87" s="6">
        <f>IF(OR(原始資料!$A87="",47&gt;設定!$B$3,原始資料!AX87=""),"",IF(AND(原始資料!AW87&lt;&gt;"",原始資料!AX87=原始資料!AW87),N(AU87)+1,1))</f>
        <v/>
      </c>
      <c r="AW87" s="6">
        <f>IF(OR(原始資料!$A87="",48&gt;設定!$B$3,原始資料!AY87=""),"",IF(AND(原始資料!AX87&lt;&gt;"",原始資料!AY87=原始資料!AX87),N(AV87)+1,1))</f>
        <v/>
      </c>
      <c r="AX87" s="6">
        <f>IF(OR(原始資料!$A87="",49&gt;設定!$B$3,原始資料!AZ87=""),"",IF(AND(原始資料!AY87&lt;&gt;"",原始資料!AZ87=原始資料!AY87),N(AW87)+1,1))</f>
        <v/>
      </c>
      <c r="AY87" s="6">
        <f>IF(OR(原始資料!$A87="",50&gt;設定!$B$3,原始資料!BA87=""),"",IF(AND(原始資料!AZ87&lt;&gt;"",原始資料!BA87=原始資料!AZ87),N(AX87)+1,1))</f>
        <v/>
      </c>
      <c r="AZ87" s="6">
        <f>IF(OR(原始資料!$A87="",51&gt;設定!$B$3,原始資料!BB87=""),"",IF(AND(原始資料!BA87&lt;&gt;"",原始資料!BB87=原始資料!BA87),N(AY87)+1,1))</f>
        <v/>
      </c>
      <c r="BA87" s="6">
        <f>IF(OR(原始資料!$A87="",52&gt;設定!$B$3,原始資料!BC87=""),"",IF(AND(原始資料!BB87&lt;&gt;"",原始資料!BC87=原始資料!BB87),N(AZ87)+1,1))</f>
        <v/>
      </c>
      <c r="BB87" s="6">
        <f>IF(OR(原始資料!$A87="",53&gt;設定!$B$3,原始資料!BD87=""),"",IF(AND(原始資料!BC87&lt;&gt;"",原始資料!BD87=原始資料!BC87),N(BA87)+1,1))</f>
        <v/>
      </c>
      <c r="BC87" s="6">
        <f>IF(OR(原始資料!$A87="",54&gt;設定!$B$3,原始資料!BE87=""),"",IF(AND(原始資料!BD87&lt;&gt;"",原始資料!BE87=原始資料!BD87),N(BB87)+1,1))</f>
        <v/>
      </c>
      <c r="BD87" s="6">
        <f>IF(OR(原始資料!$A87="",55&gt;設定!$B$3,原始資料!BF87=""),"",IF(AND(原始資料!BE87&lt;&gt;"",原始資料!BF87=原始資料!BE87),N(BC87)+1,1))</f>
        <v/>
      </c>
      <c r="BE87" s="6">
        <f>IF(OR(原始資料!$A87="",56&gt;設定!$B$3,原始資料!BG87=""),"",IF(AND(原始資料!BF87&lt;&gt;"",原始資料!BG87=原始資料!BF87),N(BD87)+1,1))</f>
        <v/>
      </c>
      <c r="BF87" s="6">
        <f>IF(OR(原始資料!$A87="",57&gt;設定!$B$3,原始資料!BH87=""),"",IF(AND(原始資料!BG87&lt;&gt;"",原始資料!BH87=原始資料!BG87),N(BE87)+1,1))</f>
        <v/>
      </c>
      <c r="BG87" s="6">
        <f>IF(OR(原始資料!$A87="",58&gt;設定!$B$3,原始資料!BI87=""),"",IF(AND(原始資料!BH87&lt;&gt;"",原始資料!BI87=原始資料!BH87),N(BF87)+1,1))</f>
        <v/>
      </c>
      <c r="BH87" s="6">
        <f>IF(OR(原始資料!$A87="",59&gt;設定!$B$3,原始資料!BJ87=""),"",IF(AND(原始資料!BI87&lt;&gt;"",原始資料!BJ87=原始資料!BI87),N(BG87)+1,1))</f>
        <v/>
      </c>
      <c r="BI87" s="6">
        <f>IF(OR(原始資料!$A87="",60&gt;設定!$B$3,原始資料!BK87=""),"",IF(AND(原始資料!BJ87&lt;&gt;"",原始資料!BK87=原始資料!BJ87),N(BH87)+1,1))</f>
        <v/>
      </c>
    </row>
    <row r="88">
      <c r="A88" s="6">
        <f>IF(原始資料!$A88="","",原始資料!$A88)</f>
        <v/>
      </c>
      <c r="B88" s="6">
        <f>IF(OR(原始資料!$A88="",1&gt;設定!$B$3,原始資料!D88=""),"",1)</f>
        <v/>
      </c>
      <c r="C88" s="6">
        <f>IF(OR(原始資料!$A88="",2&gt;設定!$B$3,原始資料!E88=""),"",IF(AND(原始資料!D88&lt;&gt;"",原始資料!E88=原始資料!D88),N(B88)+1,1))</f>
        <v/>
      </c>
      <c r="D88" s="6">
        <f>IF(OR(原始資料!$A88="",3&gt;設定!$B$3,原始資料!F88=""),"",IF(AND(原始資料!E88&lt;&gt;"",原始資料!F88=原始資料!E88),N(C88)+1,1))</f>
        <v/>
      </c>
      <c r="E88" s="6">
        <f>IF(OR(原始資料!$A88="",4&gt;設定!$B$3,原始資料!G88=""),"",IF(AND(原始資料!F88&lt;&gt;"",原始資料!G88=原始資料!F88),N(D88)+1,1))</f>
        <v/>
      </c>
      <c r="F88" s="6">
        <f>IF(OR(原始資料!$A88="",5&gt;設定!$B$3,原始資料!H88=""),"",IF(AND(原始資料!G88&lt;&gt;"",原始資料!H88=原始資料!G88),N(E88)+1,1))</f>
        <v/>
      </c>
      <c r="G88" s="6">
        <f>IF(OR(原始資料!$A88="",6&gt;設定!$B$3,原始資料!I88=""),"",IF(AND(原始資料!H88&lt;&gt;"",原始資料!I88=原始資料!H88),N(F88)+1,1))</f>
        <v/>
      </c>
      <c r="H88" s="6">
        <f>IF(OR(原始資料!$A88="",7&gt;設定!$B$3,原始資料!J88=""),"",IF(AND(原始資料!I88&lt;&gt;"",原始資料!J88=原始資料!I88),N(G88)+1,1))</f>
        <v/>
      </c>
      <c r="I88" s="6">
        <f>IF(OR(原始資料!$A88="",8&gt;設定!$B$3,原始資料!K88=""),"",IF(AND(原始資料!J88&lt;&gt;"",原始資料!K88=原始資料!J88),N(H88)+1,1))</f>
        <v/>
      </c>
      <c r="J88" s="6">
        <f>IF(OR(原始資料!$A88="",9&gt;設定!$B$3,原始資料!L88=""),"",IF(AND(原始資料!K88&lt;&gt;"",原始資料!L88=原始資料!K88),N(I88)+1,1))</f>
        <v/>
      </c>
      <c r="K88" s="6">
        <f>IF(OR(原始資料!$A88="",10&gt;設定!$B$3,原始資料!M88=""),"",IF(AND(原始資料!L88&lt;&gt;"",原始資料!M88=原始資料!L88),N(J88)+1,1))</f>
        <v/>
      </c>
      <c r="L88" s="6">
        <f>IF(OR(原始資料!$A88="",11&gt;設定!$B$3,原始資料!N88=""),"",IF(AND(原始資料!M88&lt;&gt;"",原始資料!N88=原始資料!M88),N(K88)+1,1))</f>
        <v/>
      </c>
      <c r="M88" s="6">
        <f>IF(OR(原始資料!$A88="",12&gt;設定!$B$3,原始資料!O88=""),"",IF(AND(原始資料!N88&lt;&gt;"",原始資料!O88=原始資料!N88),N(L88)+1,1))</f>
        <v/>
      </c>
      <c r="N88" s="6">
        <f>IF(OR(原始資料!$A88="",13&gt;設定!$B$3,原始資料!P88=""),"",IF(AND(原始資料!O88&lt;&gt;"",原始資料!P88=原始資料!O88),N(M88)+1,1))</f>
        <v/>
      </c>
      <c r="O88" s="6">
        <f>IF(OR(原始資料!$A88="",14&gt;設定!$B$3,原始資料!Q88=""),"",IF(AND(原始資料!P88&lt;&gt;"",原始資料!Q88=原始資料!P88),N(N88)+1,1))</f>
        <v/>
      </c>
      <c r="P88" s="6">
        <f>IF(OR(原始資料!$A88="",15&gt;設定!$B$3,原始資料!R88=""),"",IF(AND(原始資料!Q88&lt;&gt;"",原始資料!R88=原始資料!Q88),N(O88)+1,1))</f>
        <v/>
      </c>
      <c r="Q88" s="6">
        <f>IF(OR(原始資料!$A88="",16&gt;設定!$B$3,原始資料!S88=""),"",IF(AND(原始資料!R88&lt;&gt;"",原始資料!S88=原始資料!R88),N(P88)+1,1))</f>
        <v/>
      </c>
      <c r="R88" s="6">
        <f>IF(OR(原始資料!$A88="",17&gt;設定!$B$3,原始資料!T88=""),"",IF(AND(原始資料!S88&lt;&gt;"",原始資料!T88=原始資料!S88),N(Q88)+1,1))</f>
        <v/>
      </c>
      <c r="S88" s="6">
        <f>IF(OR(原始資料!$A88="",18&gt;設定!$B$3,原始資料!U88=""),"",IF(AND(原始資料!T88&lt;&gt;"",原始資料!U88=原始資料!T88),N(R88)+1,1))</f>
        <v/>
      </c>
      <c r="T88" s="6">
        <f>IF(OR(原始資料!$A88="",19&gt;設定!$B$3,原始資料!V88=""),"",IF(AND(原始資料!U88&lt;&gt;"",原始資料!V88=原始資料!U88),N(S88)+1,1))</f>
        <v/>
      </c>
      <c r="U88" s="6">
        <f>IF(OR(原始資料!$A88="",20&gt;設定!$B$3,原始資料!W88=""),"",IF(AND(原始資料!V88&lt;&gt;"",原始資料!W88=原始資料!V88),N(T88)+1,1))</f>
        <v/>
      </c>
      <c r="V88" s="6">
        <f>IF(OR(原始資料!$A88="",21&gt;設定!$B$3,原始資料!X88=""),"",IF(AND(原始資料!W88&lt;&gt;"",原始資料!X88=原始資料!W88),N(U88)+1,1))</f>
        <v/>
      </c>
      <c r="W88" s="6">
        <f>IF(OR(原始資料!$A88="",22&gt;設定!$B$3,原始資料!Y88=""),"",IF(AND(原始資料!X88&lt;&gt;"",原始資料!Y88=原始資料!X88),N(V88)+1,1))</f>
        <v/>
      </c>
      <c r="X88" s="6">
        <f>IF(OR(原始資料!$A88="",23&gt;設定!$B$3,原始資料!Z88=""),"",IF(AND(原始資料!Y88&lt;&gt;"",原始資料!Z88=原始資料!Y88),N(W88)+1,1))</f>
        <v/>
      </c>
      <c r="Y88" s="6">
        <f>IF(OR(原始資料!$A88="",24&gt;設定!$B$3,原始資料!AA88=""),"",IF(AND(原始資料!Z88&lt;&gt;"",原始資料!AA88=原始資料!Z88),N(X88)+1,1))</f>
        <v/>
      </c>
      <c r="Z88" s="6">
        <f>IF(OR(原始資料!$A88="",25&gt;設定!$B$3,原始資料!AB88=""),"",IF(AND(原始資料!AA88&lt;&gt;"",原始資料!AB88=原始資料!AA88),N(Y88)+1,1))</f>
        <v/>
      </c>
      <c r="AA88" s="6">
        <f>IF(OR(原始資料!$A88="",26&gt;設定!$B$3,原始資料!AC88=""),"",IF(AND(原始資料!AB88&lt;&gt;"",原始資料!AC88=原始資料!AB88),N(Z88)+1,1))</f>
        <v/>
      </c>
      <c r="AB88" s="6">
        <f>IF(OR(原始資料!$A88="",27&gt;設定!$B$3,原始資料!AD88=""),"",IF(AND(原始資料!AC88&lt;&gt;"",原始資料!AD88=原始資料!AC88),N(AA88)+1,1))</f>
        <v/>
      </c>
      <c r="AC88" s="6">
        <f>IF(OR(原始資料!$A88="",28&gt;設定!$B$3,原始資料!AE88=""),"",IF(AND(原始資料!AD88&lt;&gt;"",原始資料!AE88=原始資料!AD88),N(AB88)+1,1))</f>
        <v/>
      </c>
      <c r="AD88" s="6">
        <f>IF(OR(原始資料!$A88="",29&gt;設定!$B$3,原始資料!AF88=""),"",IF(AND(原始資料!AE88&lt;&gt;"",原始資料!AF88=原始資料!AE88),N(AC88)+1,1))</f>
        <v/>
      </c>
      <c r="AE88" s="6">
        <f>IF(OR(原始資料!$A88="",30&gt;設定!$B$3,原始資料!AG88=""),"",IF(AND(原始資料!AF88&lt;&gt;"",原始資料!AG88=原始資料!AF88),N(AD88)+1,1))</f>
        <v/>
      </c>
      <c r="AF88" s="6">
        <f>IF(OR(原始資料!$A88="",31&gt;設定!$B$3,原始資料!AH88=""),"",IF(AND(原始資料!AG88&lt;&gt;"",原始資料!AH88=原始資料!AG88),N(AE88)+1,1))</f>
        <v/>
      </c>
      <c r="AG88" s="6">
        <f>IF(OR(原始資料!$A88="",32&gt;設定!$B$3,原始資料!AI88=""),"",IF(AND(原始資料!AH88&lt;&gt;"",原始資料!AI88=原始資料!AH88),N(AF88)+1,1))</f>
        <v/>
      </c>
      <c r="AH88" s="6">
        <f>IF(OR(原始資料!$A88="",33&gt;設定!$B$3,原始資料!AJ88=""),"",IF(AND(原始資料!AI88&lt;&gt;"",原始資料!AJ88=原始資料!AI88),N(AG88)+1,1))</f>
        <v/>
      </c>
      <c r="AI88" s="6">
        <f>IF(OR(原始資料!$A88="",34&gt;設定!$B$3,原始資料!AK88=""),"",IF(AND(原始資料!AJ88&lt;&gt;"",原始資料!AK88=原始資料!AJ88),N(AH88)+1,1))</f>
        <v/>
      </c>
      <c r="AJ88" s="6">
        <f>IF(OR(原始資料!$A88="",35&gt;設定!$B$3,原始資料!AL88=""),"",IF(AND(原始資料!AK88&lt;&gt;"",原始資料!AL88=原始資料!AK88),N(AI88)+1,1))</f>
        <v/>
      </c>
      <c r="AK88" s="6">
        <f>IF(OR(原始資料!$A88="",36&gt;設定!$B$3,原始資料!AM88=""),"",IF(AND(原始資料!AL88&lt;&gt;"",原始資料!AM88=原始資料!AL88),N(AJ88)+1,1))</f>
        <v/>
      </c>
      <c r="AL88" s="6">
        <f>IF(OR(原始資料!$A88="",37&gt;設定!$B$3,原始資料!AN88=""),"",IF(AND(原始資料!AM88&lt;&gt;"",原始資料!AN88=原始資料!AM88),N(AK88)+1,1))</f>
        <v/>
      </c>
      <c r="AM88" s="6">
        <f>IF(OR(原始資料!$A88="",38&gt;設定!$B$3,原始資料!AO88=""),"",IF(AND(原始資料!AN88&lt;&gt;"",原始資料!AO88=原始資料!AN88),N(AL88)+1,1))</f>
        <v/>
      </c>
      <c r="AN88" s="6">
        <f>IF(OR(原始資料!$A88="",39&gt;設定!$B$3,原始資料!AP88=""),"",IF(AND(原始資料!AO88&lt;&gt;"",原始資料!AP88=原始資料!AO88),N(AM88)+1,1))</f>
        <v/>
      </c>
      <c r="AO88" s="6">
        <f>IF(OR(原始資料!$A88="",40&gt;設定!$B$3,原始資料!AQ88=""),"",IF(AND(原始資料!AP88&lt;&gt;"",原始資料!AQ88=原始資料!AP88),N(AN88)+1,1))</f>
        <v/>
      </c>
      <c r="AP88" s="6">
        <f>IF(OR(原始資料!$A88="",41&gt;設定!$B$3,原始資料!AR88=""),"",IF(AND(原始資料!AQ88&lt;&gt;"",原始資料!AR88=原始資料!AQ88),N(AO88)+1,1))</f>
        <v/>
      </c>
      <c r="AQ88" s="6">
        <f>IF(OR(原始資料!$A88="",42&gt;設定!$B$3,原始資料!AS88=""),"",IF(AND(原始資料!AR88&lt;&gt;"",原始資料!AS88=原始資料!AR88),N(AP88)+1,1))</f>
        <v/>
      </c>
      <c r="AR88" s="6">
        <f>IF(OR(原始資料!$A88="",43&gt;設定!$B$3,原始資料!AT88=""),"",IF(AND(原始資料!AS88&lt;&gt;"",原始資料!AT88=原始資料!AS88),N(AQ88)+1,1))</f>
        <v/>
      </c>
      <c r="AS88" s="6">
        <f>IF(OR(原始資料!$A88="",44&gt;設定!$B$3,原始資料!AU88=""),"",IF(AND(原始資料!AT88&lt;&gt;"",原始資料!AU88=原始資料!AT88),N(AR88)+1,1))</f>
        <v/>
      </c>
      <c r="AT88" s="6">
        <f>IF(OR(原始資料!$A88="",45&gt;設定!$B$3,原始資料!AV88=""),"",IF(AND(原始資料!AU88&lt;&gt;"",原始資料!AV88=原始資料!AU88),N(AS88)+1,1))</f>
        <v/>
      </c>
      <c r="AU88" s="6">
        <f>IF(OR(原始資料!$A88="",46&gt;設定!$B$3,原始資料!AW88=""),"",IF(AND(原始資料!AV88&lt;&gt;"",原始資料!AW88=原始資料!AV88),N(AT88)+1,1))</f>
        <v/>
      </c>
      <c r="AV88" s="6">
        <f>IF(OR(原始資料!$A88="",47&gt;設定!$B$3,原始資料!AX88=""),"",IF(AND(原始資料!AW88&lt;&gt;"",原始資料!AX88=原始資料!AW88),N(AU88)+1,1))</f>
        <v/>
      </c>
      <c r="AW88" s="6">
        <f>IF(OR(原始資料!$A88="",48&gt;設定!$B$3,原始資料!AY88=""),"",IF(AND(原始資料!AX88&lt;&gt;"",原始資料!AY88=原始資料!AX88),N(AV88)+1,1))</f>
        <v/>
      </c>
      <c r="AX88" s="6">
        <f>IF(OR(原始資料!$A88="",49&gt;設定!$B$3,原始資料!AZ88=""),"",IF(AND(原始資料!AY88&lt;&gt;"",原始資料!AZ88=原始資料!AY88),N(AW88)+1,1))</f>
        <v/>
      </c>
      <c r="AY88" s="6">
        <f>IF(OR(原始資料!$A88="",50&gt;設定!$B$3,原始資料!BA88=""),"",IF(AND(原始資料!AZ88&lt;&gt;"",原始資料!BA88=原始資料!AZ88),N(AX88)+1,1))</f>
        <v/>
      </c>
      <c r="AZ88" s="6">
        <f>IF(OR(原始資料!$A88="",51&gt;設定!$B$3,原始資料!BB88=""),"",IF(AND(原始資料!BA88&lt;&gt;"",原始資料!BB88=原始資料!BA88),N(AY88)+1,1))</f>
        <v/>
      </c>
      <c r="BA88" s="6">
        <f>IF(OR(原始資料!$A88="",52&gt;設定!$B$3,原始資料!BC88=""),"",IF(AND(原始資料!BB88&lt;&gt;"",原始資料!BC88=原始資料!BB88),N(AZ88)+1,1))</f>
        <v/>
      </c>
      <c r="BB88" s="6">
        <f>IF(OR(原始資料!$A88="",53&gt;設定!$B$3,原始資料!BD88=""),"",IF(AND(原始資料!BC88&lt;&gt;"",原始資料!BD88=原始資料!BC88),N(BA88)+1,1))</f>
        <v/>
      </c>
      <c r="BC88" s="6">
        <f>IF(OR(原始資料!$A88="",54&gt;設定!$B$3,原始資料!BE88=""),"",IF(AND(原始資料!BD88&lt;&gt;"",原始資料!BE88=原始資料!BD88),N(BB88)+1,1))</f>
        <v/>
      </c>
      <c r="BD88" s="6">
        <f>IF(OR(原始資料!$A88="",55&gt;設定!$B$3,原始資料!BF88=""),"",IF(AND(原始資料!BE88&lt;&gt;"",原始資料!BF88=原始資料!BE88),N(BC88)+1,1))</f>
        <v/>
      </c>
      <c r="BE88" s="6">
        <f>IF(OR(原始資料!$A88="",56&gt;設定!$B$3,原始資料!BG88=""),"",IF(AND(原始資料!BF88&lt;&gt;"",原始資料!BG88=原始資料!BF88),N(BD88)+1,1))</f>
        <v/>
      </c>
      <c r="BF88" s="6">
        <f>IF(OR(原始資料!$A88="",57&gt;設定!$B$3,原始資料!BH88=""),"",IF(AND(原始資料!BG88&lt;&gt;"",原始資料!BH88=原始資料!BG88),N(BE88)+1,1))</f>
        <v/>
      </c>
      <c r="BG88" s="6">
        <f>IF(OR(原始資料!$A88="",58&gt;設定!$B$3,原始資料!BI88=""),"",IF(AND(原始資料!BH88&lt;&gt;"",原始資料!BI88=原始資料!BH88),N(BF88)+1,1))</f>
        <v/>
      </c>
      <c r="BH88" s="6">
        <f>IF(OR(原始資料!$A88="",59&gt;設定!$B$3,原始資料!BJ88=""),"",IF(AND(原始資料!BI88&lt;&gt;"",原始資料!BJ88=原始資料!BI88),N(BG88)+1,1))</f>
        <v/>
      </c>
      <c r="BI88" s="6">
        <f>IF(OR(原始資料!$A88="",60&gt;設定!$B$3,原始資料!BK88=""),"",IF(AND(原始資料!BJ88&lt;&gt;"",原始資料!BK88=原始資料!BJ88),N(BH88)+1,1))</f>
        <v/>
      </c>
    </row>
    <row r="89">
      <c r="A89" s="6">
        <f>IF(原始資料!$A89="","",原始資料!$A89)</f>
        <v/>
      </c>
      <c r="B89" s="6">
        <f>IF(OR(原始資料!$A89="",1&gt;設定!$B$3,原始資料!D89=""),"",1)</f>
        <v/>
      </c>
      <c r="C89" s="6">
        <f>IF(OR(原始資料!$A89="",2&gt;設定!$B$3,原始資料!E89=""),"",IF(AND(原始資料!D89&lt;&gt;"",原始資料!E89=原始資料!D89),N(B89)+1,1))</f>
        <v/>
      </c>
      <c r="D89" s="6">
        <f>IF(OR(原始資料!$A89="",3&gt;設定!$B$3,原始資料!F89=""),"",IF(AND(原始資料!E89&lt;&gt;"",原始資料!F89=原始資料!E89),N(C89)+1,1))</f>
        <v/>
      </c>
      <c r="E89" s="6">
        <f>IF(OR(原始資料!$A89="",4&gt;設定!$B$3,原始資料!G89=""),"",IF(AND(原始資料!F89&lt;&gt;"",原始資料!G89=原始資料!F89),N(D89)+1,1))</f>
        <v/>
      </c>
      <c r="F89" s="6">
        <f>IF(OR(原始資料!$A89="",5&gt;設定!$B$3,原始資料!H89=""),"",IF(AND(原始資料!G89&lt;&gt;"",原始資料!H89=原始資料!G89),N(E89)+1,1))</f>
        <v/>
      </c>
      <c r="G89" s="6">
        <f>IF(OR(原始資料!$A89="",6&gt;設定!$B$3,原始資料!I89=""),"",IF(AND(原始資料!H89&lt;&gt;"",原始資料!I89=原始資料!H89),N(F89)+1,1))</f>
        <v/>
      </c>
      <c r="H89" s="6">
        <f>IF(OR(原始資料!$A89="",7&gt;設定!$B$3,原始資料!J89=""),"",IF(AND(原始資料!I89&lt;&gt;"",原始資料!J89=原始資料!I89),N(G89)+1,1))</f>
        <v/>
      </c>
      <c r="I89" s="6">
        <f>IF(OR(原始資料!$A89="",8&gt;設定!$B$3,原始資料!K89=""),"",IF(AND(原始資料!J89&lt;&gt;"",原始資料!K89=原始資料!J89),N(H89)+1,1))</f>
        <v/>
      </c>
      <c r="J89" s="6">
        <f>IF(OR(原始資料!$A89="",9&gt;設定!$B$3,原始資料!L89=""),"",IF(AND(原始資料!K89&lt;&gt;"",原始資料!L89=原始資料!K89),N(I89)+1,1))</f>
        <v/>
      </c>
      <c r="K89" s="6">
        <f>IF(OR(原始資料!$A89="",10&gt;設定!$B$3,原始資料!M89=""),"",IF(AND(原始資料!L89&lt;&gt;"",原始資料!M89=原始資料!L89),N(J89)+1,1))</f>
        <v/>
      </c>
      <c r="L89" s="6">
        <f>IF(OR(原始資料!$A89="",11&gt;設定!$B$3,原始資料!N89=""),"",IF(AND(原始資料!M89&lt;&gt;"",原始資料!N89=原始資料!M89),N(K89)+1,1))</f>
        <v/>
      </c>
      <c r="M89" s="6">
        <f>IF(OR(原始資料!$A89="",12&gt;設定!$B$3,原始資料!O89=""),"",IF(AND(原始資料!N89&lt;&gt;"",原始資料!O89=原始資料!N89),N(L89)+1,1))</f>
        <v/>
      </c>
      <c r="N89" s="6">
        <f>IF(OR(原始資料!$A89="",13&gt;設定!$B$3,原始資料!P89=""),"",IF(AND(原始資料!O89&lt;&gt;"",原始資料!P89=原始資料!O89),N(M89)+1,1))</f>
        <v/>
      </c>
      <c r="O89" s="6">
        <f>IF(OR(原始資料!$A89="",14&gt;設定!$B$3,原始資料!Q89=""),"",IF(AND(原始資料!P89&lt;&gt;"",原始資料!Q89=原始資料!P89),N(N89)+1,1))</f>
        <v/>
      </c>
      <c r="P89" s="6">
        <f>IF(OR(原始資料!$A89="",15&gt;設定!$B$3,原始資料!R89=""),"",IF(AND(原始資料!Q89&lt;&gt;"",原始資料!R89=原始資料!Q89),N(O89)+1,1))</f>
        <v/>
      </c>
      <c r="Q89" s="6">
        <f>IF(OR(原始資料!$A89="",16&gt;設定!$B$3,原始資料!S89=""),"",IF(AND(原始資料!R89&lt;&gt;"",原始資料!S89=原始資料!R89),N(P89)+1,1))</f>
        <v/>
      </c>
      <c r="R89" s="6">
        <f>IF(OR(原始資料!$A89="",17&gt;設定!$B$3,原始資料!T89=""),"",IF(AND(原始資料!S89&lt;&gt;"",原始資料!T89=原始資料!S89),N(Q89)+1,1))</f>
        <v/>
      </c>
      <c r="S89" s="6">
        <f>IF(OR(原始資料!$A89="",18&gt;設定!$B$3,原始資料!U89=""),"",IF(AND(原始資料!T89&lt;&gt;"",原始資料!U89=原始資料!T89),N(R89)+1,1))</f>
        <v/>
      </c>
      <c r="T89" s="6">
        <f>IF(OR(原始資料!$A89="",19&gt;設定!$B$3,原始資料!V89=""),"",IF(AND(原始資料!U89&lt;&gt;"",原始資料!V89=原始資料!U89),N(S89)+1,1))</f>
        <v/>
      </c>
      <c r="U89" s="6">
        <f>IF(OR(原始資料!$A89="",20&gt;設定!$B$3,原始資料!W89=""),"",IF(AND(原始資料!V89&lt;&gt;"",原始資料!W89=原始資料!V89),N(T89)+1,1))</f>
        <v/>
      </c>
      <c r="V89" s="6">
        <f>IF(OR(原始資料!$A89="",21&gt;設定!$B$3,原始資料!X89=""),"",IF(AND(原始資料!W89&lt;&gt;"",原始資料!X89=原始資料!W89),N(U89)+1,1))</f>
        <v/>
      </c>
      <c r="W89" s="6">
        <f>IF(OR(原始資料!$A89="",22&gt;設定!$B$3,原始資料!Y89=""),"",IF(AND(原始資料!X89&lt;&gt;"",原始資料!Y89=原始資料!X89),N(V89)+1,1))</f>
        <v/>
      </c>
      <c r="X89" s="6">
        <f>IF(OR(原始資料!$A89="",23&gt;設定!$B$3,原始資料!Z89=""),"",IF(AND(原始資料!Y89&lt;&gt;"",原始資料!Z89=原始資料!Y89),N(W89)+1,1))</f>
        <v/>
      </c>
      <c r="Y89" s="6">
        <f>IF(OR(原始資料!$A89="",24&gt;設定!$B$3,原始資料!AA89=""),"",IF(AND(原始資料!Z89&lt;&gt;"",原始資料!AA89=原始資料!Z89),N(X89)+1,1))</f>
        <v/>
      </c>
      <c r="Z89" s="6">
        <f>IF(OR(原始資料!$A89="",25&gt;設定!$B$3,原始資料!AB89=""),"",IF(AND(原始資料!AA89&lt;&gt;"",原始資料!AB89=原始資料!AA89),N(Y89)+1,1))</f>
        <v/>
      </c>
      <c r="AA89" s="6">
        <f>IF(OR(原始資料!$A89="",26&gt;設定!$B$3,原始資料!AC89=""),"",IF(AND(原始資料!AB89&lt;&gt;"",原始資料!AC89=原始資料!AB89),N(Z89)+1,1))</f>
        <v/>
      </c>
      <c r="AB89" s="6">
        <f>IF(OR(原始資料!$A89="",27&gt;設定!$B$3,原始資料!AD89=""),"",IF(AND(原始資料!AC89&lt;&gt;"",原始資料!AD89=原始資料!AC89),N(AA89)+1,1))</f>
        <v/>
      </c>
      <c r="AC89" s="6">
        <f>IF(OR(原始資料!$A89="",28&gt;設定!$B$3,原始資料!AE89=""),"",IF(AND(原始資料!AD89&lt;&gt;"",原始資料!AE89=原始資料!AD89),N(AB89)+1,1))</f>
        <v/>
      </c>
      <c r="AD89" s="6">
        <f>IF(OR(原始資料!$A89="",29&gt;設定!$B$3,原始資料!AF89=""),"",IF(AND(原始資料!AE89&lt;&gt;"",原始資料!AF89=原始資料!AE89),N(AC89)+1,1))</f>
        <v/>
      </c>
      <c r="AE89" s="6">
        <f>IF(OR(原始資料!$A89="",30&gt;設定!$B$3,原始資料!AG89=""),"",IF(AND(原始資料!AF89&lt;&gt;"",原始資料!AG89=原始資料!AF89),N(AD89)+1,1))</f>
        <v/>
      </c>
      <c r="AF89" s="6">
        <f>IF(OR(原始資料!$A89="",31&gt;設定!$B$3,原始資料!AH89=""),"",IF(AND(原始資料!AG89&lt;&gt;"",原始資料!AH89=原始資料!AG89),N(AE89)+1,1))</f>
        <v/>
      </c>
      <c r="AG89" s="6">
        <f>IF(OR(原始資料!$A89="",32&gt;設定!$B$3,原始資料!AI89=""),"",IF(AND(原始資料!AH89&lt;&gt;"",原始資料!AI89=原始資料!AH89),N(AF89)+1,1))</f>
        <v/>
      </c>
      <c r="AH89" s="6">
        <f>IF(OR(原始資料!$A89="",33&gt;設定!$B$3,原始資料!AJ89=""),"",IF(AND(原始資料!AI89&lt;&gt;"",原始資料!AJ89=原始資料!AI89),N(AG89)+1,1))</f>
        <v/>
      </c>
      <c r="AI89" s="6">
        <f>IF(OR(原始資料!$A89="",34&gt;設定!$B$3,原始資料!AK89=""),"",IF(AND(原始資料!AJ89&lt;&gt;"",原始資料!AK89=原始資料!AJ89),N(AH89)+1,1))</f>
        <v/>
      </c>
      <c r="AJ89" s="6">
        <f>IF(OR(原始資料!$A89="",35&gt;設定!$B$3,原始資料!AL89=""),"",IF(AND(原始資料!AK89&lt;&gt;"",原始資料!AL89=原始資料!AK89),N(AI89)+1,1))</f>
        <v/>
      </c>
      <c r="AK89" s="6">
        <f>IF(OR(原始資料!$A89="",36&gt;設定!$B$3,原始資料!AM89=""),"",IF(AND(原始資料!AL89&lt;&gt;"",原始資料!AM89=原始資料!AL89),N(AJ89)+1,1))</f>
        <v/>
      </c>
      <c r="AL89" s="6">
        <f>IF(OR(原始資料!$A89="",37&gt;設定!$B$3,原始資料!AN89=""),"",IF(AND(原始資料!AM89&lt;&gt;"",原始資料!AN89=原始資料!AM89),N(AK89)+1,1))</f>
        <v/>
      </c>
      <c r="AM89" s="6">
        <f>IF(OR(原始資料!$A89="",38&gt;設定!$B$3,原始資料!AO89=""),"",IF(AND(原始資料!AN89&lt;&gt;"",原始資料!AO89=原始資料!AN89),N(AL89)+1,1))</f>
        <v/>
      </c>
      <c r="AN89" s="6">
        <f>IF(OR(原始資料!$A89="",39&gt;設定!$B$3,原始資料!AP89=""),"",IF(AND(原始資料!AO89&lt;&gt;"",原始資料!AP89=原始資料!AO89),N(AM89)+1,1))</f>
        <v/>
      </c>
      <c r="AO89" s="6">
        <f>IF(OR(原始資料!$A89="",40&gt;設定!$B$3,原始資料!AQ89=""),"",IF(AND(原始資料!AP89&lt;&gt;"",原始資料!AQ89=原始資料!AP89),N(AN89)+1,1))</f>
        <v/>
      </c>
      <c r="AP89" s="6">
        <f>IF(OR(原始資料!$A89="",41&gt;設定!$B$3,原始資料!AR89=""),"",IF(AND(原始資料!AQ89&lt;&gt;"",原始資料!AR89=原始資料!AQ89),N(AO89)+1,1))</f>
        <v/>
      </c>
      <c r="AQ89" s="6">
        <f>IF(OR(原始資料!$A89="",42&gt;設定!$B$3,原始資料!AS89=""),"",IF(AND(原始資料!AR89&lt;&gt;"",原始資料!AS89=原始資料!AR89),N(AP89)+1,1))</f>
        <v/>
      </c>
      <c r="AR89" s="6">
        <f>IF(OR(原始資料!$A89="",43&gt;設定!$B$3,原始資料!AT89=""),"",IF(AND(原始資料!AS89&lt;&gt;"",原始資料!AT89=原始資料!AS89),N(AQ89)+1,1))</f>
        <v/>
      </c>
      <c r="AS89" s="6">
        <f>IF(OR(原始資料!$A89="",44&gt;設定!$B$3,原始資料!AU89=""),"",IF(AND(原始資料!AT89&lt;&gt;"",原始資料!AU89=原始資料!AT89),N(AR89)+1,1))</f>
        <v/>
      </c>
      <c r="AT89" s="6">
        <f>IF(OR(原始資料!$A89="",45&gt;設定!$B$3,原始資料!AV89=""),"",IF(AND(原始資料!AU89&lt;&gt;"",原始資料!AV89=原始資料!AU89),N(AS89)+1,1))</f>
        <v/>
      </c>
      <c r="AU89" s="6">
        <f>IF(OR(原始資料!$A89="",46&gt;設定!$B$3,原始資料!AW89=""),"",IF(AND(原始資料!AV89&lt;&gt;"",原始資料!AW89=原始資料!AV89),N(AT89)+1,1))</f>
        <v/>
      </c>
      <c r="AV89" s="6">
        <f>IF(OR(原始資料!$A89="",47&gt;設定!$B$3,原始資料!AX89=""),"",IF(AND(原始資料!AW89&lt;&gt;"",原始資料!AX89=原始資料!AW89),N(AU89)+1,1))</f>
        <v/>
      </c>
      <c r="AW89" s="6">
        <f>IF(OR(原始資料!$A89="",48&gt;設定!$B$3,原始資料!AY89=""),"",IF(AND(原始資料!AX89&lt;&gt;"",原始資料!AY89=原始資料!AX89),N(AV89)+1,1))</f>
        <v/>
      </c>
      <c r="AX89" s="6">
        <f>IF(OR(原始資料!$A89="",49&gt;設定!$B$3,原始資料!AZ89=""),"",IF(AND(原始資料!AY89&lt;&gt;"",原始資料!AZ89=原始資料!AY89),N(AW89)+1,1))</f>
        <v/>
      </c>
      <c r="AY89" s="6">
        <f>IF(OR(原始資料!$A89="",50&gt;設定!$B$3,原始資料!BA89=""),"",IF(AND(原始資料!AZ89&lt;&gt;"",原始資料!BA89=原始資料!AZ89),N(AX89)+1,1))</f>
        <v/>
      </c>
      <c r="AZ89" s="6">
        <f>IF(OR(原始資料!$A89="",51&gt;設定!$B$3,原始資料!BB89=""),"",IF(AND(原始資料!BA89&lt;&gt;"",原始資料!BB89=原始資料!BA89),N(AY89)+1,1))</f>
        <v/>
      </c>
      <c r="BA89" s="6">
        <f>IF(OR(原始資料!$A89="",52&gt;設定!$B$3,原始資料!BC89=""),"",IF(AND(原始資料!BB89&lt;&gt;"",原始資料!BC89=原始資料!BB89),N(AZ89)+1,1))</f>
        <v/>
      </c>
      <c r="BB89" s="6">
        <f>IF(OR(原始資料!$A89="",53&gt;設定!$B$3,原始資料!BD89=""),"",IF(AND(原始資料!BC89&lt;&gt;"",原始資料!BD89=原始資料!BC89),N(BA89)+1,1))</f>
        <v/>
      </c>
      <c r="BC89" s="6">
        <f>IF(OR(原始資料!$A89="",54&gt;設定!$B$3,原始資料!BE89=""),"",IF(AND(原始資料!BD89&lt;&gt;"",原始資料!BE89=原始資料!BD89),N(BB89)+1,1))</f>
        <v/>
      </c>
      <c r="BD89" s="6">
        <f>IF(OR(原始資料!$A89="",55&gt;設定!$B$3,原始資料!BF89=""),"",IF(AND(原始資料!BE89&lt;&gt;"",原始資料!BF89=原始資料!BE89),N(BC89)+1,1))</f>
        <v/>
      </c>
      <c r="BE89" s="6">
        <f>IF(OR(原始資料!$A89="",56&gt;設定!$B$3,原始資料!BG89=""),"",IF(AND(原始資料!BF89&lt;&gt;"",原始資料!BG89=原始資料!BF89),N(BD89)+1,1))</f>
        <v/>
      </c>
      <c r="BF89" s="6">
        <f>IF(OR(原始資料!$A89="",57&gt;設定!$B$3,原始資料!BH89=""),"",IF(AND(原始資料!BG89&lt;&gt;"",原始資料!BH89=原始資料!BG89),N(BE89)+1,1))</f>
        <v/>
      </c>
      <c r="BG89" s="6">
        <f>IF(OR(原始資料!$A89="",58&gt;設定!$B$3,原始資料!BI89=""),"",IF(AND(原始資料!BH89&lt;&gt;"",原始資料!BI89=原始資料!BH89),N(BF89)+1,1))</f>
        <v/>
      </c>
      <c r="BH89" s="6">
        <f>IF(OR(原始資料!$A89="",59&gt;設定!$B$3,原始資料!BJ89=""),"",IF(AND(原始資料!BI89&lt;&gt;"",原始資料!BJ89=原始資料!BI89),N(BG89)+1,1))</f>
        <v/>
      </c>
      <c r="BI89" s="6">
        <f>IF(OR(原始資料!$A89="",60&gt;設定!$B$3,原始資料!BK89=""),"",IF(AND(原始資料!BJ89&lt;&gt;"",原始資料!BK89=原始資料!BJ89),N(BH89)+1,1))</f>
        <v/>
      </c>
    </row>
    <row r="90">
      <c r="A90" s="6">
        <f>IF(原始資料!$A90="","",原始資料!$A90)</f>
        <v/>
      </c>
      <c r="B90" s="6">
        <f>IF(OR(原始資料!$A90="",1&gt;設定!$B$3,原始資料!D90=""),"",1)</f>
        <v/>
      </c>
      <c r="C90" s="6">
        <f>IF(OR(原始資料!$A90="",2&gt;設定!$B$3,原始資料!E90=""),"",IF(AND(原始資料!D90&lt;&gt;"",原始資料!E90=原始資料!D90),N(B90)+1,1))</f>
        <v/>
      </c>
      <c r="D90" s="6">
        <f>IF(OR(原始資料!$A90="",3&gt;設定!$B$3,原始資料!F90=""),"",IF(AND(原始資料!E90&lt;&gt;"",原始資料!F90=原始資料!E90),N(C90)+1,1))</f>
        <v/>
      </c>
      <c r="E90" s="6">
        <f>IF(OR(原始資料!$A90="",4&gt;設定!$B$3,原始資料!G90=""),"",IF(AND(原始資料!F90&lt;&gt;"",原始資料!G90=原始資料!F90),N(D90)+1,1))</f>
        <v/>
      </c>
      <c r="F90" s="6">
        <f>IF(OR(原始資料!$A90="",5&gt;設定!$B$3,原始資料!H90=""),"",IF(AND(原始資料!G90&lt;&gt;"",原始資料!H90=原始資料!G90),N(E90)+1,1))</f>
        <v/>
      </c>
      <c r="G90" s="6">
        <f>IF(OR(原始資料!$A90="",6&gt;設定!$B$3,原始資料!I90=""),"",IF(AND(原始資料!H90&lt;&gt;"",原始資料!I90=原始資料!H90),N(F90)+1,1))</f>
        <v/>
      </c>
      <c r="H90" s="6">
        <f>IF(OR(原始資料!$A90="",7&gt;設定!$B$3,原始資料!J90=""),"",IF(AND(原始資料!I90&lt;&gt;"",原始資料!J90=原始資料!I90),N(G90)+1,1))</f>
        <v/>
      </c>
      <c r="I90" s="6">
        <f>IF(OR(原始資料!$A90="",8&gt;設定!$B$3,原始資料!K90=""),"",IF(AND(原始資料!J90&lt;&gt;"",原始資料!K90=原始資料!J90),N(H90)+1,1))</f>
        <v/>
      </c>
      <c r="J90" s="6">
        <f>IF(OR(原始資料!$A90="",9&gt;設定!$B$3,原始資料!L90=""),"",IF(AND(原始資料!K90&lt;&gt;"",原始資料!L90=原始資料!K90),N(I90)+1,1))</f>
        <v/>
      </c>
      <c r="K90" s="6">
        <f>IF(OR(原始資料!$A90="",10&gt;設定!$B$3,原始資料!M90=""),"",IF(AND(原始資料!L90&lt;&gt;"",原始資料!M90=原始資料!L90),N(J90)+1,1))</f>
        <v/>
      </c>
      <c r="L90" s="6">
        <f>IF(OR(原始資料!$A90="",11&gt;設定!$B$3,原始資料!N90=""),"",IF(AND(原始資料!M90&lt;&gt;"",原始資料!N90=原始資料!M90),N(K90)+1,1))</f>
        <v/>
      </c>
      <c r="M90" s="6">
        <f>IF(OR(原始資料!$A90="",12&gt;設定!$B$3,原始資料!O90=""),"",IF(AND(原始資料!N90&lt;&gt;"",原始資料!O90=原始資料!N90),N(L90)+1,1))</f>
        <v/>
      </c>
      <c r="N90" s="6">
        <f>IF(OR(原始資料!$A90="",13&gt;設定!$B$3,原始資料!P90=""),"",IF(AND(原始資料!O90&lt;&gt;"",原始資料!P90=原始資料!O90),N(M90)+1,1))</f>
        <v/>
      </c>
      <c r="O90" s="6">
        <f>IF(OR(原始資料!$A90="",14&gt;設定!$B$3,原始資料!Q90=""),"",IF(AND(原始資料!P90&lt;&gt;"",原始資料!Q90=原始資料!P90),N(N90)+1,1))</f>
        <v/>
      </c>
      <c r="P90" s="6">
        <f>IF(OR(原始資料!$A90="",15&gt;設定!$B$3,原始資料!R90=""),"",IF(AND(原始資料!Q90&lt;&gt;"",原始資料!R90=原始資料!Q90),N(O90)+1,1))</f>
        <v/>
      </c>
      <c r="Q90" s="6">
        <f>IF(OR(原始資料!$A90="",16&gt;設定!$B$3,原始資料!S90=""),"",IF(AND(原始資料!R90&lt;&gt;"",原始資料!S90=原始資料!R90),N(P90)+1,1))</f>
        <v/>
      </c>
      <c r="R90" s="6">
        <f>IF(OR(原始資料!$A90="",17&gt;設定!$B$3,原始資料!T90=""),"",IF(AND(原始資料!S90&lt;&gt;"",原始資料!T90=原始資料!S90),N(Q90)+1,1))</f>
        <v/>
      </c>
      <c r="S90" s="6">
        <f>IF(OR(原始資料!$A90="",18&gt;設定!$B$3,原始資料!U90=""),"",IF(AND(原始資料!T90&lt;&gt;"",原始資料!U90=原始資料!T90),N(R90)+1,1))</f>
        <v/>
      </c>
      <c r="T90" s="6">
        <f>IF(OR(原始資料!$A90="",19&gt;設定!$B$3,原始資料!V90=""),"",IF(AND(原始資料!U90&lt;&gt;"",原始資料!V90=原始資料!U90),N(S90)+1,1))</f>
        <v/>
      </c>
      <c r="U90" s="6">
        <f>IF(OR(原始資料!$A90="",20&gt;設定!$B$3,原始資料!W90=""),"",IF(AND(原始資料!V90&lt;&gt;"",原始資料!W90=原始資料!V90),N(T90)+1,1))</f>
        <v/>
      </c>
      <c r="V90" s="6">
        <f>IF(OR(原始資料!$A90="",21&gt;設定!$B$3,原始資料!X90=""),"",IF(AND(原始資料!W90&lt;&gt;"",原始資料!X90=原始資料!W90),N(U90)+1,1))</f>
        <v/>
      </c>
      <c r="W90" s="6">
        <f>IF(OR(原始資料!$A90="",22&gt;設定!$B$3,原始資料!Y90=""),"",IF(AND(原始資料!X90&lt;&gt;"",原始資料!Y90=原始資料!X90),N(V90)+1,1))</f>
        <v/>
      </c>
      <c r="X90" s="6">
        <f>IF(OR(原始資料!$A90="",23&gt;設定!$B$3,原始資料!Z90=""),"",IF(AND(原始資料!Y90&lt;&gt;"",原始資料!Z90=原始資料!Y90),N(W90)+1,1))</f>
        <v/>
      </c>
      <c r="Y90" s="6">
        <f>IF(OR(原始資料!$A90="",24&gt;設定!$B$3,原始資料!AA90=""),"",IF(AND(原始資料!Z90&lt;&gt;"",原始資料!AA90=原始資料!Z90),N(X90)+1,1))</f>
        <v/>
      </c>
      <c r="Z90" s="6">
        <f>IF(OR(原始資料!$A90="",25&gt;設定!$B$3,原始資料!AB90=""),"",IF(AND(原始資料!AA90&lt;&gt;"",原始資料!AB90=原始資料!AA90),N(Y90)+1,1))</f>
        <v/>
      </c>
      <c r="AA90" s="6">
        <f>IF(OR(原始資料!$A90="",26&gt;設定!$B$3,原始資料!AC90=""),"",IF(AND(原始資料!AB90&lt;&gt;"",原始資料!AC90=原始資料!AB90),N(Z90)+1,1))</f>
        <v/>
      </c>
      <c r="AB90" s="6">
        <f>IF(OR(原始資料!$A90="",27&gt;設定!$B$3,原始資料!AD90=""),"",IF(AND(原始資料!AC90&lt;&gt;"",原始資料!AD90=原始資料!AC90),N(AA90)+1,1))</f>
        <v/>
      </c>
      <c r="AC90" s="6">
        <f>IF(OR(原始資料!$A90="",28&gt;設定!$B$3,原始資料!AE90=""),"",IF(AND(原始資料!AD90&lt;&gt;"",原始資料!AE90=原始資料!AD90),N(AB90)+1,1))</f>
        <v/>
      </c>
      <c r="AD90" s="6">
        <f>IF(OR(原始資料!$A90="",29&gt;設定!$B$3,原始資料!AF90=""),"",IF(AND(原始資料!AE90&lt;&gt;"",原始資料!AF90=原始資料!AE90),N(AC90)+1,1))</f>
        <v/>
      </c>
      <c r="AE90" s="6">
        <f>IF(OR(原始資料!$A90="",30&gt;設定!$B$3,原始資料!AG90=""),"",IF(AND(原始資料!AF90&lt;&gt;"",原始資料!AG90=原始資料!AF90),N(AD90)+1,1))</f>
        <v/>
      </c>
      <c r="AF90" s="6">
        <f>IF(OR(原始資料!$A90="",31&gt;設定!$B$3,原始資料!AH90=""),"",IF(AND(原始資料!AG90&lt;&gt;"",原始資料!AH90=原始資料!AG90),N(AE90)+1,1))</f>
        <v/>
      </c>
      <c r="AG90" s="6">
        <f>IF(OR(原始資料!$A90="",32&gt;設定!$B$3,原始資料!AI90=""),"",IF(AND(原始資料!AH90&lt;&gt;"",原始資料!AI90=原始資料!AH90),N(AF90)+1,1))</f>
        <v/>
      </c>
      <c r="AH90" s="6">
        <f>IF(OR(原始資料!$A90="",33&gt;設定!$B$3,原始資料!AJ90=""),"",IF(AND(原始資料!AI90&lt;&gt;"",原始資料!AJ90=原始資料!AI90),N(AG90)+1,1))</f>
        <v/>
      </c>
      <c r="AI90" s="6">
        <f>IF(OR(原始資料!$A90="",34&gt;設定!$B$3,原始資料!AK90=""),"",IF(AND(原始資料!AJ90&lt;&gt;"",原始資料!AK90=原始資料!AJ90),N(AH90)+1,1))</f>
        <v/>
      </c>
      <c r="AJ90" s="6">
        <f>IF(OR(原始資料!$A90="",35&gt;設定!$B$3,原始資料!AL90=""),"",IF(AND(原始資料!AK90&lt;&gt;"",原始資料!AL90=原始資料!AK90),N(AI90)+1,1))</f>
        <v/>
      </c>
      <c r="AK90" s="6">
        <f>IF(OR(原始資料!$A90="",36&gt;設定!$B$3,原始資料!AM90=""),"",IF(AND(原始資料!AL90&lt;&gt;"",原始資料!AM90=原始資料!AL90),N(AJ90)+1,1))</f>
        <v/>
      </c>
      <c r="AL90" s="6">
        <f>IF(OR(原始資料!$A90="",37&gt;設定!$B$3,原始資料!AN90=""),"",IF(AND(原始資料!AM90&lt;&gt;"",原始資料!AN90=原始資料!AM90),N(AK90)+1,1))</f>
        <v/>
      </c>
      <c r="AM90" s="6">
        <f>IF(OR(原始資料!$A90="",38&gt;設定!$B$3,原始資料!AO90=""),"",IF(AND(原始資料!AN90&lt;&gt;"",原始資料!AO90=原始資料!AN90),N(AL90)+1,1))</f>
        <v/>
      </c>
      <c r="AN90" s="6">
        <f>IF(OR(原始資料!$A90="",39&gt;設定!$B$3,原始資料!AP90=""),"",IF(AND(原始資料!AO90&lt;&gt;"",原始資料!AP90=原始資料!AO90),N(AM90)+1,1))</f>
        <v/>
      </c>
      <c r="AO90" s="6">
        <f>IF(OR(原始資料!$A90="",40&gt;設定!$B$3,原始資料!AQ90=""),"",IF(AND(原始資料!AP90&lt;&gt;"",原始資料!AQ90=原始資料!AP90),N(AN90)+1,1))</f>
        <v/>
      </c>
      <c r="AP90" s="6">
        <f>IF(OR(原始資料!$A90="",41&gt;設定!$B$3,原始資料!AR90=""),"",IF(AND(原始資料!AQ90&lt;&gt;"",原始資料!AR90=原始資料!AQ90),N(AO90)+1,1))</f>
        <v/>
      </c>
      <c r="AQ90" s="6">
        <f>IF(OR(原始資料!$A90="",42&gt;設定!$B$3,原始資料!AS90=""),"",IF(AND(原始資料!AR90&lt;&gt;"",原始資料!AS90=原始資料!AR90),N(AP90)+1,1))</f>
        <v/>
      </c>
      <c r="AR90" s="6">
        <f>IF(OR(原始資料!$A90="",43&gt;設定!$B$3,原始資料!AT90=""),"",IF(AND(原始資料!AS90&lt;&gt;"",原始資料!AT90=原始資料!AS90),N(AQ90)+1,1))</f>
        <v/>
      </c>
      <c r="AS90" s="6">
        <f>IF(OR(原始資料!$A90="",44&gt;設定!$B$3,原始資料!AU90=""),"",IF(AND(原始資料!AT90&lt;&gt;"",原始資料!AU90=原始資料!AT90),N(AR90)+1,1))</f>
        <v/>
      </c>
      <c r="AT90" s="6">
        <f>IF(OR(原始資料!$A90="",45&gt;設定!$B$3,原始資料!AV90=""),"",IF(AND(原始資料!AU90&lt;&gt;"",原始資料!AV90=原始資料!AU90),N(AS90)+1,1))</f>
        <v/>
      </c>
      <c r="AU90" s="6">
        <f>IF(OR(原始資料!$A90="",46&gt;設定!$B$3,原始資料!AW90=""),"",IF(AND(原始資料!AV90&lt;&gt;"",原始資料!AW90=原始資料!AV90),N(AT90)+1,1))</f>
        <v/>
      </c>
      <c r="AV90" s="6">
        <f>IF(OR(原始資料!$A90="",47&gt;設定!$B$3,原始資料!AX90=""),"",IF(AND(原始資料!AW90&lt;&gt;"",原始資料!AX90=原始資料!AW90),N(AU90)+1,1))</f>
        <v/>
      </c>
      <c r="AW90" s="6">
        <f>IF(OR(原始資料!$A90="",48&gt;設定!$B$3,原始資料!AY90=""),"",IF(AND(原始資料!AX90&lt;&gt;"",原始資料!AY90=原始資料!AX90),N(AV90)+1,1))</f>
        <v/>
      </c>
      <c r="AX90" s="6">
        <f>IF(OR(原始資料!$A90="",49&gt;設定!$B$3,原始資料!AZ90=""),"",IF(AND(原始資料!AY90&lt;&gt;"",原始資料!AZ90=原始資料!AY90),N(AW90)+1,1))</f>
        <v/>
      </c>
      <c r="AY90" s="6">
        <f>IF(OR(原始資料!$A90="",50&gt;設定!$B$3,原始資料!BA90=""),"",IF(AND(原始資料!AZ90&lt;&gt;"",原始資料!BA90=原始資料!AZ90),N(AX90)+1,1))</f>
        <v/>
      </c>
      <c r="AZ90" s="6">
        <f>IF(OR(原始資料!$A90="",51&gt;設定!$B$3,原始資料!BB90=""),"",IF(AND(原始資料!BA90&lt;&gt;"",原始資料!BB90=原始資料!BA90),N(AY90)+1,1))</f>
        <v/>
      </c>
      <c r="BA90" s="6">
        <f>IF(OR(原始資料!$A90="",52&gt;設定!$B$3,原始資料!BC90=""),"",IF(AND(原始資料!BB90&lt;&gt;"",原始資料!BC90=原始資料!BB90),N(AZ90)+1,1))</f>
        <v/>
      </c>
      <c r="BB90" s="6">
        <f>IF(OR(原始資料!$A90="",53&gt;設定!$B$3,原始資料!BD90=""),"",IF(AND(原始資料!BC90&lt;&gt;"",原始資料!BD90=原始資料!BC90),N(BA90)+1,1))</f>
        <v/>
      </c>
      <c r="BC90" s="6">
        <f>IF(OR(原始資料!$A90="",54&gt;設定!$B$3,原始資料!BE90=""),"",IF(AND(原始資料!BD90&lt;&gt;"",原始資料!BE90=原始資料!BD90),N(BB90)+1,1))</f>
        <v/>
      </c>
      <c r="BD90" s="6">
        <f>IF(OR(原始資料!$A90="",55&gt;設定!$B$3,原始資料!BF90=""),"",IF(AND(原始資料!BE90&lt;&gt;"",原始資料!BF90=原始資料!BE90),N(BC90)+1,1))</f>
        <v/>
      </c>
      <c r="BE90" s="6">
        <f>IF(OR(原始資料!$A90="",56&gt;設定!$B$3,原始資料!BG90=""),"",IF(AND(原始資料!BF90&lt;&gt;"",原始資料!BG90=原始資料!BF90),N(BD90)+1,1))</f>
        <v/>
      </c>
      <c r="BF90" s="6">
        <f>IF(OR(原始資料!$A90="",57&gt;設定!$B$3,原始資料!BH90=""),"",IF(AND(原始資料!BG90&lt;&gt;"",原始資料!BH90=原始資料!BG90),N(BE90)+1,1))</f>
        <v/>
      </c>
      <c r="BG90" s="6">
        <f>IF(OR(原始資料!$A90="",58&gt;設定!$B$3,原始資料!BI90=""),"",IF(AND(原始資料!BH90&lt;&gt;"",原始資料!BI90=原始資料!BH90),N(BF90)+1,1))</f>
        <v/>
      </c>
      <c r="BH90" s="6">
        <f>IF(OR(原始資料!$A90="",59&gt;設定!$B$3,原始資料!BJ90=""),"",IF(AND(原始資料!BI90&lt;&gt;"",原始資料!BJ90=原始資料!BI90),N(BG90)+1,1))</f>
        <v/>
      </c>
      <c r="BI90" s="6">
        <f>IF(OR(原始資料!$A90="",60&gt;設定!$B$3,原始資料!BK90=""),"",IF(AND(原始資料!BJ90&lt;&gt;"",原始資料!BK90=原始資料!BJ90),N(BH90)+1,1))</f>
        <v/>
      </c>
    </row>
    <row r="91">
      <c r="A91" s="6">
        <f>IF(原始資料!$A91="","",原始資料!$A91)</f>
        <v/>
      </c>
      <c r="B91" s="6">
        <f>IF(OR(原始資料!$A91="",1&gt;設定!$B$3,原始資料!D91=""),"",1)</f>
        <v/>
      </c>
      <c r="C91" s="6">
        <f>IF(OR(原始資料!$A91="",2&gt;設定!$B$3,原始資料!E91=""),"",IF(AND(原始資料!D91&lt;&gt;"",原始資料!E91=原始資料!D91),N(B91)+1,1))</f>
        <v/>
      </c>
      <c r="D91" s="6">
        <f>IF(OR(原始資料!$A91="",3&gt;設定!$B$3,原始資料!F91=""),"",IF(AND(原始資料!E91&lt;&gt;"",原始資料!F91=原始資料!E91),N(C91)+1,1))</f>
        <v/>
      </c>
      <c r="E91" s="6">
        <f>IF(OR(原始資料!$A91="",4&gt;設定!$B$3,原始資料!G91=""),"",IF(AND(原始資料!F91&lt;&gt;"",原始資料!G91=原始資料!F91),N(D91)+1,1))</f>
        <v/>
      </c>
      <c r="F91" s="6">
        <f>IF(OR(原始資料!$A91="",5&gt;設定!$B$3,原始資料!H91=""),"",IF(AND(原始資料!G91&lt;&gt;"",原始資料!H91=原始資料!G91),N(E91)+1,1))</f>
        <v/>
      </c>
      <c r="G91" s="6">
        <f>IF(OR(原始資料!$A91="",6&gt;設定!$B$3,原始資料!I91=""),"",IF(AND(原始資料!H91&lt;&gt;"",原始資料!I91=原始資料!H91),N(F91)+1,1))</f>
        <v/>
      </c>
      <c r="H91" s="6">
        <f>IF(OR(原始資料!$A91="",7&gt;設定!$B$3,原始資料!J91=""),"",IF(AND(原始資料!I91&lt;&gt;"",原始資料!J91=原始資料!I91),N(G91)+1,1))</f>
        <v/>
      </c>
      <c r="I91" s="6">
        <f>IF(OR(原始資料!$A91="",8&gt;設定!$B$3,原始資料!K91=""),"",IF(AND(原始資料!J91&lt;&gt;"",原始資料!K91=原始資料!J91),N(H91)+1,1))</f>
        <v/>
      </c>
      <c r="J91" s="6">
        <f>IF(OR(原始資料!$A91="",9&gt;設定!$B$3,原始資料!L91=""),"",IF(AND(原始資料!K91&lt;&gt;"",原始資料!L91=原始資料!K91),N(I91)+1,1))</f>
        <v/>
      </c>
      <c r="K91" s="6">
        <f>IF(OR(原始資料!$A91="",10&gt;設定!$B$3,原始資料!M91=""),"",IF(AND(原始資料!L91&lt;&gt;"",原始資料!M91=原始資料!L91),N(J91)+1,1))</f>
        <v/>
      </c>
      <c r="L91" s="6">
        <f>IF(OR(原始資料!$A91="",11&gt;設定!$B$3,原始資料!N91=""),"",IF(AND(原始資料!M91&lt;&gt;"",原始資料!N91=原始資料!M91),N(K91)+1,1))</f>
        <v/>
      </c>
      <c r="M91" s="6">
        <f>IF(OR(原始資料!$A91="",12&gt;設定!$B$3,原始資料!O91=""),"",IF(AND(原始資料!N91&lt;&gt;"",原始資料!O91=原始資料!N91),N(L91)+1,1))</f>
        <v/>
      </c>
      <c r="N91" s="6">
        <f>IF(OR(原始資料!$A91="",13&gt;設定!$B$3,原始資料!P91=""),"",IF(AND(原始資料!O91&lt;&gt;"",原始資料!P91=原始資料!O91),N(M91)+1,1))</f>
        <v/>
      </c>
      <c r="O91" s="6">
        <f>IF(OR(原始資料!$A91="",14&gt;設定!$B$3,原始資料!Q91=""),"",IF(AND(原始資料!P91&lt;&gt;"",原始資料!Q91=原始資料!P91),N(N91)+1,1))</f>
        <v/>
      </c>
      <c r="P91" s="6">
        <f>IF(OR(原始資料!$A91="",15&gt;設定!$B$3,原始資料!R91=""),"",IF(AND(原始資料!Q91&lt;&gt;"",原始資料!R91=原始資料!Q91),N(O91)+1,1))</f>
        <v/>
      </c>
      <c r="Q91" s="6">
        <f>IF(OR(原始資料!$A91="",16&gt;設定!$B$3,原始資料!S91=""),"",IF(AND(原始資料!R91&lt;&gt;"",原始資料!S91=原始資料!R91),N(P91)+1,1))</f>
        <v/>
      </c>
      <c r="R91" s="6">
        <f>IF(OR(原始資料!$A91="",17&gt;設定!$B$3,原始資料!T91=""),"",IF(AND(原始資料!S91&lt;&gt;"",原始資料!T91=原始資料!S91),N(Q91)+1,1))</f>
        <v/>
      </c>
      <c r="S91" s="6">
        <f>IF(OR(原始資料!$A91="",18&gt;設定!$B$3,原始資料!U91=""),"",IF(AND(原始資料!T91&lt;&gt;"",原始資料!U91=原始資料!T91),N(R91)+1,1))</f>
        <v/>
      </c>
      <c r="T91" s="6">
        <f>IF(OR(原始資料!$A91="",19&gt;設定!$B$3,原始資料!V91=""),"",IF(AND(原始資料!U91&lt;&gt;"",原始資料!V91=原始資料!U91),N(S91)+1,1))</f>
        <v/>
      </c>
      <c r="U91" s="6">
        <f>IF(OR(原始資料!$A91="",20&gt;設定!$B$3,原始資料!W91=""),"",IF(AND(原始資料!V91&lt;&gt;"",原始資料!W91=原始資料!V91),N(T91)+1,1))</f>
        <v/>
      </c>
      <c r="V91" s="6">
        <f>IF(OR(原始資料!$A91="",21&gt;設定!$B$3,原始資料!X91=""),"",IF(AND(原始資料!W91&lt;&gt;"",原始資料!X91=原始資料!W91),N(U91)+1,1))</f>
        <v/>
      </c>
      <c r="W91" s="6">
        <f>IF(OR(原始資料!$A91="",22&gt;設定!$B$3,原始資料!Y91=""),"",IF(AND(原始資料!X91&lt;&gt;"",原始資料!Y91=原始資料!X91),N(V91)+1,1))</f>
        <v/>
      </c>
      <c r="X91" s="6">
        <f>IF(OR(原始資料!$A91="",23&gt;設定!$B$3,原始資料!Z91=""),"",IF(AND(原始資料!Y91&lt;&gt;"",原始資料!Z91=原始資料!Y91),N(W91)+1,1))</f>
        <v/>
      </c>
      <c r="Y91" s="6">
        <f>IF(OR(原始資料!$A91="",24&gt;設定!$B$3,原始資料!AA91=""),"",IF(AND(原始資料!Z91&lt;&gt;"",原始資料!AA91=原始資料!Z91),N(X91)+1,1))</f>
        <v/>
      </c>
      <c r="Z91" s="6">
        <f>IF(OR(原始資料!$A91="",25&gt;設定!$B$3,原始資料!AB91=""),"",IF(AND(原始資料!AA91&lt;&gt;"",原始資料!AB91=原始資料!AA91),N(Y91)+1,1))</f>
        <v/>
      </c>
      <c r="AA91" s="6">
        <f>IF(OR(原始資料!$A91="",26&gt;設定!$B$3,原始資料!AC91=""),"",IF(AND(原始資料!AB91&lt;&gt;"",原始資料!AC91=原始資料!AB91),N(Z91)+1,1))</f>
        <v/>
      </c>
      <c r="AB91" s="6">
        <f>IF(OR(原始資料!$A91="",27&gt;設定!$B$3,原始資料!AD91=""),"",IF(AND(原始資料!AC91&lt;&gt;"",原始資料!AD91=原始資料!AC91),N(AA91)+1,1))</f>
        <v/>
      </c>
      <c r="AC91" s="6">
        <f>IF(OR(原始資料!$A91="",28&gt;設定!$B$3,原始資料!AE91=""),"",IF(AND(原始資料!AD91&lt;&gt;"",原始資料!AE91=原始資料!AD91),N(AB91)+1,1))</f>
        <v/>
      </c>
      <c r="AD91" s="6">
        <f>IF(OR(原始資料!$A91="",29&gt;設定!$B$3,原始資料!AF91=""),"",IF(AND(原始資料!AE91&lt;&gt;"",原始資料!AF91=原始資料!AE91),N(AC91)+1,1))</f>
        <v/>
      </c>
      <c r="AE91" s="6">
        <f>IF(OR(原始資料!$A91="",30&gt;設定!$B$3,原始資料!AG91=""),"",IF(AND(原始資料!AF91&lt;&gt;"",原始資料!AG91=原始資料!AF91),N(AD91)+1,1))</f>
        <v/>
      </c>
      <c r="AF91" s="6">
        <f>IF(OR(原始資料!$A91="",31&gt;設定!$B$3,原始資料!AH91=""),"",IF(AND(原始資料!AG91&lt;&gt;"",原始資料!AH91=原始資料!AG91),N(AE91)+1,1))</f>
        <v/>
      </c>
      <c r="AG91" s="6">
        <f>IF(OR(原始資料!$A91="",32&gt;設定!$B$3,原始資料!AI91=""),"",IF(AND(原始資料!AH91&lt;&gt;"",原始資料!AI91=原始資料!AH91),N(AF91)+1,1))</f>
        <v/>
      </c>
      <c r="AH91" s="6">
        <f>IF(OR(原始資料!$A91="",33&gt;設定!$B$3,原始資料!AJ91=""),"",IF(AND(原始資料!AI91&lt;&gt;"",原始資料!AJ91=原始資料!AI91),N(AG91)+1,1))</f>
        <v/>
      </c>
      <c r="AI91" s="6">
        <f>IF(OR(原始資料!$A91="",34&gt;設定!$B$3,原始資料!AK91=""),"",IF(AND(原始資料!AJ91&lt;&gt;"",原始資料!AK91=原始資料!AJ91),N(AH91)+1,1))</f>
        <v/>
      </c>
      <c r="AJ91" s="6">
        <f>IF(OR(原始資料!$A91="",35&gt;設定!$B$3,原始資料!AL91=""),"",IF(AND(原始資料!AK91&lt;&gt;"",原始資料!AL91=原始資料!AK91),N(AI91)+1,1))</f>
        <v/>
      </c>
      <c r="AK91" s="6">
        <f>IF(OR(原始資料!$A91="",36&gt;設定!$B$3,原始資料!AM91=""),"",IF(AND(原始資料!AL91&lt;&gt;"",原始資料!AM91=原始資料!AL91),N(AJ91)+1,1))</f>
        <v/>
      </c>
      <c r="AL91" s="6">
        <f>IF(OR(原始資料!$A91="",37&gt;設定!$B$3,原始資料!AN91=""),"",IF(AND(原始資料!AM91&lt;&gt;"",原始資料!AN91=原始資料!AM91),N(AK91)+1,1))</f>
        <v/>
      </c>
      <c r="AM91" s="6">
        <f>IF(OR(原始資料!$A91="",38&gt;設定!$B$3,原始資料!AO91=""),"",IF(AND(原始資料!AN91&lt;&gt;"",原始資料!AO91=原始資料!AN91),N(AL91)+1,1))</f>
        <v/>
      </c>
      <c r="AN91" s="6">
        <f>IF(OR(原始資料!$A91="",39&gt;設定!$B$3,原始資料!AP91=""),"",IF(AND(原始資料!AO91&lt;&gt;"",原始資料!AP91=原始資料!AO91),N(AM91)+1,1))</f>
        <v/>
      </c>
      <c r="AO91" s="6">
        <f>IF(OR(原始資料!$A91="",40&gt;設定!$B$3,原始資料!AQ91=""),"",IF(AND(原始資料!AP91&lt;&gt;"",原始資料!AQ91=原始資料!AP91),N(AN91)+1,1))</f>
        <v/>
      </c>
      <c r="AP91" s="6">
        <f>IF(OR(原始資料!$A91="",41&gt;設定!$B$3,原始資料!AR91=""),"",IF(AND(原始資料!AQ91&lt;&gt;"",原始資料!AR91=原始資料!AQ91),N(AO91)+1,1))</f>
        <v/>
      </c>
      <c r="AQ91" s="6">
        <f>IF(OR(原始資料!$A91="",42&gt;設定!$B$3,原始資料!AS91=""),"",IF(AND(原始資料!AR91&lt;&gt;"",原始資料!AS91=原始資料!AR91),N(AP91)+1,1))</f>
        <v/>
      </c>
      <c r="AR91" s="6">
        <f>IF(OR(原始資料!$A91="",43&gt;設定!$B$3,原始資料!AT91=""),"",IF(AND(原始資料!AS91&lt;&gt;"",原始資料!AT91=原始資料!AS91),N(AQ91)+1,1))</f>
        <v/>
      </c>
      <c r="AS91" s="6">
        <f>IF(OR(原始資料!$A91="",44&gt;設定!$B$3,原始資料!AU91=""),"",IF(AND(原始資料!AT91&lt;&gt;"",原始資料!AU91=原始資料!AT91),N(AR91)+1,1))</f>
        <v/>
      </c>
      <c r="AT91" s="6">
        <f>IF(OR(原始資料!$A91="",45&gt;設定!$B$3,原始資料!AV91=""),"",IF(AND(原始資料!AU91&lt;&gt;"",原始資料!AV91=原始資料!AU91),N(AS91)+1,1))</f>
        <v/>
      </c>
      <c r="AU91" s="6">
        <f>IF(OR(原始資料!$A91="",46&gt;設定!$B$3,原始資料!AW91=""),"",IF(AND(原始資料!AV91&lt;&gt;"",原始資料!AW91=原始資料!AV91),N(AT91)+1,1))</f>
        <v/>
      </c>
      <c r="AV91" s="6">
        <f>IF(OR(原始資料!$A91="",47&gt;設定!$B$3,原始資料!AX91=""),"",IF(AND(原始資料!AW91&lt;&gt;"",原始資料!AX91=原始資料!AW91),N(AU91)+1,1))</f>
        <v/>
      </c>
      <c r="AW91" s="6">
        <f>IF(OR(原始資料!$A91="",48&gt;設定!$B$3,原始資料!AY91=""),"",IF(AND(原始資料!AX91&lt;&gt;"",原始資料!AY91=原始資料!AX91),N(AV91)+1,1))</f>
        <v/>
      </c>
      <c r="AX91" s="6">
        <f>IF(OR(原始資料!$A91="",49&gt;設定!$B$3,原始資料!AZ91=""),"",IF(AND(原始資料!AY91&lt;&gt;"",原始資料!AZ91=原始資料!AY91),N(AW91)+1,1))</f>
        <v/>
      </c>
      <c r="AY91" s="6">
        <f>IF(OR(原始資料!$A91="",50&gt;設定!$B$3,原始資料!BA91=""),"",IF(AND(原始資料!AZ91&lt;&gt;"",原始資料!BA91=原始資料!AZ91),N(AX91)+1,1))</f>
        <v/>
      </c>
      <c r="AZ91" s="6">
        <f>IF(OR(原始資料!$A91="",51&gt;設定!$B$3,原始資料!BB91=""),"",IF(AND(原始資料!BA91&lt;&gt;"",原始資料!BB91=原始資料!BA91),N(AY91)+1,1))</f>
        <v/>
      </c>
      <c r="BA91" s="6">
        <f>IF(OR(原始資料!$A91="",52&gt;設定!$B$3,原始資料!BC91=""),"",IF(AND(原始資料!BB91&lt;&gt;"",原始資料!BC91=原始資料!BB91),N(AZ91)+1,1))</f>
        <v/>
      </c>
      <c r="BB91" s="6">
        <f>IF(OR(原始資料!$A91="",53&gt;設定!$B$3,原始資料!BD91=""),"",IF(AND(原始資料!BC91&lt;&gt;"",原始資料!BD91=原始資料!BC91),N(BA91)+1,1))</f>
        <v/>
      </c>
      <c r="BC91" s="6">
        <f>IF(OR(原始資料!$A91="",54&gt;設定!$B$3,原始資料!BE91=""),"",IF(AND(原始資料!BD91&lt;&gt;"",原始資料!BE91=原始資料!BD91),N(BB91)+1,1))</f>
        <v/>
      </c>
      <c r="BD91" s="6">
        <f>IF(OR(原始資料!$A91="",55&gt;設定!$B$3,原始資料!BF91=""),"",IF(AND(原始資料!BE91&lt;&gt;"",原始資料!BF91=原始資料!BE91),N(BC91)+1,1))</f>
        <v/>
      </c>
      <c r="BE91" s="6">
        <f>IF(OR(原始資料!$A91="",56&gt;設定!$B$3,原始資料!BG91=""),"",IF(AND(原始資料!BF91&lt;&gt;"",原始資料!BG91=原始資料!BF91),N(BD91)+1,1))</f>
        <v/>
      </c>
      <c r="BF91" s="6">
        <f>IF(OR(原始資料!$A91="",57&gt;設定!$B$3,原始資料!BH91=""),"",IF(AND(原始資料!BG91&lt;&gt;"",原始資料!BH91=原始資料!BG91),N(BE91)+1,1))</f>
        <v/>
      </c>
      <c r="BG91" s="6">
        <f>IF(OR(原始資料!$A91="",58&gt;設定!$B$3,原始資料!BI91=""),"",IF(AND(原始資料!BH91&lt;&gt;"",原始資料!BI91=原始資料!BH91),N(BF91)+1,1))</f>
        <v/>
      </c>
      <c r="BH91" s="6">
        <f>IF(OR(原始資料!$A91="",59&gt;設定!$B$3,原始資料!BJ91=""),"",IF(AND(原始資料!BI91&lt;&gt;"",原始資料!BJ91=原始資料!BI91),N(BG91)+1,1))</f>
        <v/>
      </c>
      <c r="BI91" s="6">
        <f>IF(OR(原始資料!$A91="",60&gt;設定!$B$3,原始資料!BK91=""),"",IF(AND(原始資料!BJ91&lt;&gt;"",原始資料!BK91=原始資料!BJ91),N(BH91)+1,1))</f>
        <v/>
      </c>
    </row>
    <row r="92">
      <c r="A92" s="6">
        <f>IF(原始資料!$A92="","",原始資料!$A92)</f>
        <v/>
      </c>
      <c r="B92" s="6">
        <f>IF(OR(原始資料!$A92="",1&gt;設定!$B$3,原始資料!D92=""),"",1)</f>
        <v/>
      </c>
      <c r="C92" s="6">
        <f>IF(OR(原始資料!$A92="",2&gt;設定!$B$3,原始資料!E92=""),"",IF(AND(原始資料!D92&lt;&gt;"",原始資料!E92=原始資料!D92),N(B92)+1,1))</f>
        <v/>
      </c>
      <c r="D92" s="6">
        <f>IF(OR(原始資料!$A92="",3&gt;設定!$B$3,原始資料!F92=""),"",IF(AND(原始資料!E92&lt;&gt;"",原始資料!F92=原始資料!E92),N(C92)+1,1))</f>
        <v/>
      </c>
      <c r="E92" s="6">
        <f>IF(OR(原始資料!$A92="",4&gt;設定!$B$3,原始資料!G92=""),"",IF(AND(原始資料!F92&lt;&gt;"",原始資料!G92=原始資料!F92),N(D92)+1,1))</f>
        <v/>
      </c>
      <c r="F92" s="6">
        <f>IF(OR(原始資料!$A92="",5&gt;設定!$B$3,原始資料!H92=""),"",IF(AND(原始資料!G92&lt;&gt;"",原始資料!H92=原始資料!G92),N(E92)+1,1))</f>
        <v/>
      </c>
      <c r="G92" s="6">
        <f>IF(OR(原始資料!$A92="",6&gt;設定!$B$3,原始資料!I92=""),"",IF(AND(原始資料!H92&lt;&gt;"",原始資料!I92=原始資料!H92),N(F92)+1,1))</f>
        <v/>
      </c>
      <c r="H92" s="6">
        <f>IF(OR(原始資料!$A92="",7&gt;設定!$B$3,原始資料!J92=""),"",IF(AND(原始資料!I92&lt;&gt;"",原始資料!J92=原始資料!I92),N(G92)+1,1))</f>
        <v/>
      </c>
      <c r="I92" s="6">
        <f>IF(OR(原始資料!$A92="",8&gt;設定!$B$3,原始資料!K92=""),"",IF(AND(原始資料!J92&lt;&gt;"",原始資料!K92=原始資料!J92),N(H92)+1,1))</f>
        <v/>
      </c>
      <c r="J92" s="6">
        <f>IF(OR(原始資料!$A92="",9&gt;設定!$B$3,原始資料!L92=""),"",IF(AND(原始資料!K92&lt;&gt;"",原始資料!L92=原始資料!K92),N(I92)+1,1))</f>
        <v/>
      </c>
      <c r="K92" s="6">
        <f>IF(OR(原始資料!$A92="",10&gt;設定!$B$3,原始資料!M92=""),"",IF(AND(原始資料!L92&lt;&gt;"",原始資料!M92=原始資料!L92),N(J92)+1,1))</f>
        <v/>
      </c>
      <c r="L92" s="6">
        <f>IF(OR(原始資料!$A92="",11&gt;設定!$B$3,原始資料!N92=""),"",IF(AND(原始資料!M92&lt;&gt;"",原始資料!N92=原始資料!M92),N(K92)+1,1))</f>
        <v/>
      </c>
      <c r="M92" s="6">
        <f>IF(OR(原始資料!$A92="",12&gt;設定!$B$3,原始資料!O92=""),"",IF(AND(原始資料!N92&lt;&gt;"",原始資料!O92=原始資料!N92),N(L92)+1,1))</f>
        <v/>
      </c>
      <c r="N92" s="6">
        <f>IF(OR(原始資料!$A92="",13&gt;設定!$B$3,原始資料!P92=""),"",IF(AND(原始資料!O92&lt;&gt;"",原始資料!P92=原始資料!O92),N(M92)+1,1))</f>
        <v/>
      </c>
      <c r="O92" s="6">
        <f>IF(OR(原始資料!$A92="",14&gt;設定!$B$3,原始資料!Q92=""),"",IF(AND(原始資料!P92&lt;&gt;"",原始資料!Q92=原始資料!P92),N(N92)+1,1))</f>
        <v/>
      </c>
      <c r="P92" s="6">
        <f>IF(OR(原始資料!$A92="",15&gt;設定!$B$3,原始資料!R92=""),"",IF(AND(原始資料!Q92&lt;&gt;"",原始資料!R92=原始資料!Q92),N(O92)+1,1))</f>
        <v/>
      </c>
      <c r="Q92" s="6">
        <f>IF(OR(原始資料!$A92="",16&gt;設定!$B$3,原始資料!S92=""),"",IF(AND(原始資料!R92&lt;&gt;"",原始資料!S92=原始資料!R92),N(P92)+1,1))</f>
        <v/>
      </c>
      <c r="R92" s="6">
        <f>IF(OR(原始資料!$A92="",17&gt;設定!$B$3,原始資料!T92=""),"",IF(AND(原始資料!S92&lt;&gt;"",原始資料!T92=原始資料!S92),N(Q92)+1,1))</f>
        <v/>
      </c>
      <c r="S92" s="6">
        <f>IF(OR(原始資料!$A92="",18&gt;設定!$B$3,原始資料!U92=""),"",IF(AND(原始資料!T92&lt;&gt;"",原始資料!U92=原始資料!T92),N(R92)+1,1))</f>
        <v/>
      </c>
      <c r="T92" s="6">
        <f>IF(OR(原始資料!$A92="",19&gt;設定!$B$3,原始資料!V92=""),"",IF(AND(原始資料!U92&lt;&gt;"",原始資料!V92=原始資料!U92),N(S92)+1,1))</f>
        <v/>
      </c>
      <c r="U92" s="6">
        <f>IF(OR(原始資料!$A92="",20&gt;設定!$B$3,原始資料!W92=""),"",IF(AND(原始資料!V92&lt;&gt;"",原始資料!W92=原始資料!V92),N(T92)+1,1))</f>
        <v/>
      </c>
      <c r="V92" s="6">
        <f>IF(OR(原始資料!$A92="",21&gt;設定!$B$3,原始資料!X92=""),"",IF(AND(原始資料!W92&lt;&gt;"",原始資料!X92=原始資料!W92),N(U92)+1,1))</f>
        <v/>
      </c>
      <c r="W92" s="6">
        <f>IF(OR(原始資料!$A92="",22&gt;設定!$B$3,原始資料!Y92=""),"",IF(AND(原始資料!X92&lt;&gt;"",原始資料!Y92=原始資料!X92),N(V92)+1,1))</f>
        <v/>
      </c>
      <c r="X92" s="6">
        <f>IF(OR(原始資料!$A92="",23&gt;設定!$B$3,原始資料!Z92=""),"",IF(AND(原始資料!Y92&lt;&gt;"",原始資料!Z92=原始資料!Y92),N(W92)+1,1))</f>
        <v/>
      </c>
      <c r="Y92" s="6">
        <f>IF(OR(原始資料!$A92="",24&gt;設定!$B$3,原始資料!AA92=""),"",IF(AND(原始資料!Z92&lt;&gt;"",原始資料!AA92=原始資料!Z92),N(X92)+1,1))</f>
        <v/>
      </c>
      <c r="Z92" s="6">
        <f>IF(OR(原始資料!$A92="",25&gt;設定!$B$3,原始資料!AB92=""),"",IF(AND(原始資料!AA92&lt;&gt;"",原始資料!AB92=原始資料!AA92),N(Y92)+1,1))</f>
        <v/>
      </c>
      <c r="AA92" s="6">
        <f>IF(OR(原始資料!$A92="",26&gt;設定!$B$3,原始資料!AC92=""),"",IF(AND(原始資料!AB92&lt;&gt;"",原始資料!AC92=原始資料!AB92),N(Z92)+1,1))</f>
        <v/>
      </c>
      <c r="AB92" s="6">
        <f>IF(OR(原始資料!$A92="",27&gt;設定!$B$3,原始資料!AD92=""),"",IF(AND(原始資料!AC92&lt;&gt;"",原始資料!AD92=原始資料!AC92),N(AA92)+1,1))</f>
        <v/>
      </c>
      <c r="AC92" s="6">
        <f>IF(OR(原始資料!$A92="",28&gt;設定!$B$3,原始資料!AE92=""),"",IF(AND(原始資料!AD92&lt;&gt;"",原始資料!AE92=原始資料!AD92),N(AB92)+1,1))</f>
        <v/>
      </c>
      <c r="AD92" s="6">
        <f>IF(OR(原始資料!$A92="",29&gt;設定!$B$3,原始資料!AF92=""),"",IF(AND(原始資料!AE92&lt;&gt;"",原始資料!AF92=原始資料!AE92),N(AC92)+1,1))</f>
        <v/>
      </c>
      <c r="AE92" s="6">
        <f>IF(OR(原始資料!$A92="",30&gt;設定!$B$3,原始資料!AG92=""),"",IF(AND(原始資料!AF92&lt;&gt;"",原始資料!AG92=原始資料!AF92),N(AD92)+1,1))</f>
        <v/>
      </c>
      <c r="AF92" s="6">
        <f>IF(OR(原始資料!$A92="",31&gt;設定!$B$3,原始資料!AH92=""),"",IF(AND(原始資料!AG92&lt;&gt;"",原始資料!AH92=原始資料!AG92),N(AE92)+1,1))</f>
        <v/>
      </c>
      <c r="AG92" s="6">
        <f>IF(OR(原始資料!$A92="",32&gt;設定!$B$3,原始資料!AI92=""),"",IF(AND(原始資料!AH92&lt;&gt;"",原始資料!AI92=原始資料!AH92),N(AF92)+1,1))</f>
        <v/>
      </c>
      <c r="AH92" s="6">
        <f>IF(OR(原始資料!$A92="",33&gt;設定!$B$3,原始資料!AJ92=""),"",IF(AND(原始資料!AI92&lt;&gt;"",原始資料!AJ92=原始資料!AI92),N(AG92)+1,1))</f>
        <v/>
      </c>
      <c r="AI92" s="6">
        <f>IF(OR(原始資料!$A92="",34&gt;設定!$B$3,原始資料!AK92=""),"",IF(AND(原始資料!AJ92&lt;&gt;"",原始資料!AK92=原始資料!AJ92),N(AH92)+1,1))</f>
        <v/>
      </c>
      <c r="AJ92" s="6">
        <f>IF(OR(原始資料!$A92="",35&gt;設定!$B$3,原始資料!AL92=""),"",IF(AND(原始資料!AK92&lt;&gt;"",原始資料!AL92=原始資料!AK92),N(AI92)+1,1))</f>
        <v/>
      </c>
      <c r="AK92" s="6">
        <f>IF(OR(原始資料!$A92="",36&gt;設定!$B$3,原始資料!AM92=""),"",IF(AND(原始資料!AL92&lt;&gt;"",原始資料!AM92=原始資料!AL92),N(AJ92)+1,1))</f>
        <v/>
      </c>
      <c r="AL92" s="6">
        <f>IF(OR(原始資料!$A92="",37&gt;設定!$B$3,原始資料!AN92=""),"",IF(AND(原始資料!AM92&lt;&gt;"",原始資料!AN92=原始資料!AM92),N(AK92)+1,1))</f>
        <v/>
      </c>
      <c r="AM92" s="6">
        <f>IF(OR(原始資料!$A92="",38&gt;設定!$B$3,原始資料!AO92=""),"",IF(AND(原始資料!AN92&lt;&gt;"",原始資料!AO92=原始資料!AN92),N(AL92)+1,1))</f>
        <v/>
      </c>
      <c r="AN92" s="6">
        <f>IF(OR(原始資料!$A92="",39&gt;設定!$B$3,原始資料!AP92=""),"",IF(AND(原始資料!AO92&lt;&gt;"",原始資料!AP92=原始資料!AO92),N(AM92)+1,1))</f>
        <v/>
      </c>
      <c r="AO92" s="6">
        <f>IF(OR(原始資料!$A92="",40&gt;設定!$B$3,原始資料!AQ92=""),"",IF(AND(原始資料!AP92&lt;&gt;"",原始資料!AQ92=原始資料!AP92),N(AN92)+1,1))</f>
        <v/>
      </c>
      <c r="AP92" s="6">
        <f>IF(OR(原始資料!$A92="",41&gt;設定!$B$3,原始資料!AR92=""),"",IF(AND(原始資料!AQ92&lt;&gt;"",原始資料!AR92=原始資料!AQ92),N(AO92)+1,1))</f>
        <v/>
      </c>
      <c r="AQ92" s="6">
        <f>IF(OR(原始資料!$A92="",42&gt;設定!$B$3,原始資料!AS92=""),"",IF(AND(原始資料!AR92&lt;&gt;"",原始資料!AS92=原始資料!AR92),N(AP92)+1,1))</f>
        <v/>
      </c>
      <c r="AR92" s="6">
        <f>IF(OR(原始資料!$A92="",43&gt;設定!$B$3,原始資料!AT92=""),"",IF(AND(原始資料!AS92&lt;&gt;"",原始資料!AT92=原始資料!AS92),N(AQ92)+1,1))</f>
        <v/>
      </c>
      <c r="AS92" s="6">
        <f>IF(OR(原始資料!$A92="",44&gt;設定!$B$3,原始資料!AU92=""),"",IF(AND(原始資料!AT92&lt;&gt;"",原始資料!AU92=原始資料!AT92),N(AR92)+1,1))</f>
        <v/>
      </c>
      <c r="AT92" s="6">
        <f>IF(OR(原始資料!$A92="",45&gt;設定!$B$3,原始資料!AV92=""),"",IF(AND(原始資料!AU92&lt;&gt;"",原始資料!AV92=原始資料!AU92),N(AS92)+1,1))</f>
        <v/>
      </c>
      <c r="AU92" s="6">
        <f>IF(OR(原始資料!$A92="",46&gt;設定!$B$3,原始資料!AW92=""),"",IF(AND(原始資料!AV92&lt;&gt;"",原始資料!AW92=原始資料!AV92),N(AT92)+1,1))</f>
        <v/>
      </c>
      <c r="AV92" s="6">
        <f>IF(OR(原始資料!$A92="",47&gt;設定!$B$3,原始資料!AX92=""),"",IF(AND(原始資料!AW92&lt;&gt;"",原始資料!AX92=原始資料!AW92),N(AU92)+1,1))</f>
        <v/>
      </c>
      <c r="AW92" s="6">
        <f>IF(OR(原始資料!$A92="",48&gt;設定!$B$3,原始資料!AY92=""),"",IF(AND(原始資料!AX92&lt;&gt;"",原始資料!AY92=原始資料!AX92),N(AV92)+1,1))</f>
        <v/>
      </c>
      <c r="AX92" s="6">
        <f>IF(OR(原始資料!$A92="",49&gt;設定!$B$3,原始資料!AZ92=""),"",IF(AND(原始資料!AY92&lt;&gt;"",原始資料!AZ92=原始資料!AY92),N(AW92)+1,1))</f>
        <v/>
      </c>
      <c r="AY92" s="6">
        <f>IF(OR(原始資料!$A92="",50&gt;設定!$B$3,原始資料!BA92=""),"",IF(AND(原始資料!AZ92&lt;&gt;"",原始資料!BA92=原始資料!AZ92),N(AX92)+1,1))</f>
        <v/>
      </c>
      <c r="AZ92" s="6">
        <f>IF(OR(原始資料!$A92="",51&gt;設定!$B$3,原始資料!BB92=""),"",IF(AND(原始資料!BA92&lt;&gt;"",原始資料!BB92=原始資料!BA92),N(AY92)+1,1))</f>
        <v/>
      </c>
      <c r="BA92" s="6">
        <f>IF(OR(原始資料!$A92="",52&gt;設定!$B$3,原始資料!BC92=""),"",IF(AND(原始資料!BB92&lt;&gt;"",原始資料!BC92=原始資料!BB92),N(AZ92)+1,1))</f>
        <v/>
      </c>
      <c r="BB92" s="6">
        <f>IF(OR(原始資料!$A92="",53&gt;設定!$B$3,原始資料!BD92=""),"",IF(AND(原始資料!BC92&lt;&gt;"",原始資料!BD92=原始資料!BC92),N(BA92)+1,1))</f>
        <v/>
      </c>
      <c r="BC92" s="6">
        <f>IF(OR(原始資料!$A92="",54&gt;設定!$B$3,原始資料!BE92=""),"",IF(AND(原始資料!BD92&lt;&gt;"",原始資料!BE92=原始資料!BD92),N(BB92)+1,1))</f>
        <v/>
      </c>
      <c r="BD92" s="6">
        <f>IF(OR(原始資料!$A92="",55&gt;設定!$B$3,原始資料!BF92=""),"",IF(AND(原始資料!BE92&lt;&gt;"",原始資料!BF92=原始資料!BE92),N(BC92)+1,1))</f>
        <v/>
      </c>
      <c r="BE92" s="6">
        <f>IF(OR(原始資料!$A92="",56&gt;設定!$B$3,原始資料!BG92=""),"",IF(AND(原始資料!BF92&lt;&gt;"",原始資料!BG92=原始資料!BF92),N(BD92)+1,1))</f>
        <v/>
      </c>
      <c r="BF92" s="6">
        <f>IF(OR(原始資料!$A92="",57&gt;設定!$B$3,原始資料!BH92=""),"",IF(AND(原始資料!BG92&lt;&gt;"",原始資料!BH92=原始資料!BG92),N(BE92)+1,1))</f>
        <v/>
      </c>
      <c r="BG92" s="6">
        <f>IF(OR(原始資料!$A92="",58&gt;設定!$B$3,原始資料!BI92=""),"",IF(AND(原始資料!BH92&lt;&gt;"",原始資料!BI92=原始資料!BH92),N(BF92)+1,1))</f>
        <v/>
      </c>
      <c r="BH92" s="6">
        <f>IF(OR(原始資料!$A92="",59&gt;設定!$B$3,原始資料!BJ92=""),"",IF(AND(原始資料!BI92&lt;&gt;"",原始資料!BJ92=原始資料!BI92),N(BG92)+1,1))</f>
        <v/>
      </c>
      <c r="BI92" s="6">
        <f>IF(OR(原始資料!$A92="",60&gt;設定!$B$3,原始資料!BK92=""),"",IF(AND(原始資料!BJ92&lt;&gt;"",原始資料!BK92=原始資料!BJ92),N(BH92)+1,1))</f>
        <v/>
      </c>
    </row>
    <row r="93">
      <c r="A93" s="6">
        <f>IF(原始資料!$A93="","",原始資料!$A93)</f>
        <v/>
      </c>
      <c r="B93" s="6">
        <f>IF(OR(原始資料!$A93="",1&gt;設定!$B$3,原始資料!D93=""),"",1)</f>
        <v/>
      </c>
      <c r="C93" s="6">
        <f>IF(OR(原始資料!$A93="",2&gt;設定!$B$3,原始資料!E93=""),"",IF(AND(原始資料!D93&lt;&gt;"",原始資料!E93=原始資料!D93),N(B93)+1,1))</f>
        <v/>
      </c>
      <c r="D93" s="6">
        <f>IF(OR(原始資料!$A93="",3&gt;設定!$B$3,原始資料!F93=""),"",IF(AND(原始資料!E93&lt;&gt;"",原始資料!F93=原始資料!E93),N(C93)+1,1))</f>
        <v/>
      </c>
      <c r="E93" s="6">
        <f>IF(OR(原始資料!$A93="",4&gt;設定!$B$3,原始資料!G93=""),"",IF(AND(原始資料!F93&lt;&gt;"",原始資料!G93=原始資料!F93),N(D93)+1,1))</f>
        <v/>
      </c>
      <c r="F93" s="6">
        <f>IF(OR(原始資料!$A93="",5&gt;設定!$B$3,原始資料!H93=""),"",IF(AND(原始資料!G93&lt;&gt;"",原始資料!H93=原始資料!G93),N(E93)+1,1))</f>
        <v/>
      </c>
      <c r="G93" s="6">
        <f>IF(OR(原始資料!$A93="",6&gt;設定!$B$3,原始資料!I93=""),"",IF(AND(原始資料!H93&lt;&gt;"",原始資料!I93=原始資料!H93),N(F93)+1,1))</f>
        <v/>
      </c>
      <c r="H93" s="6">
        <f>IF(OR(原始資料!$A93="",7&gt;設定!$B$3,原始資料!J93=""),"",IF(AND(原始資料!I93&lt;&gt;"",原始資料!J93=原始資料!I93),N(G93)+1,1))</f>
        <v/>
      </c>
      <c r="I93" s="6">
        <f>IF(OR(原始資料!$A93="",8&gt;設定!$B$3,原始資料!K93=""),"",IF(AND(原始資料!J93&lt;&gt;"",原始資料!K93=原始資料!J93),N(H93)+1,1))</f>
        <v/>
      </c>
      <c r="J93" s="6">
        <f>IF(OR(原始資料!$A93="",9&gt;設定!$B$3,原始資料!L93=""),"",IF(AND(原始資料!K93&lt;&gt;"",原始資料!L93=原始資料!K93),N(I93)+1,1))</f>
        <v/>
      </c>
      <c r="K93" s="6">
        <f>IF(OR(原始資料!$A93="",10&gt;設定!$B$3,原始資料!M93=""),"",IF(AND(原始資料!L93&lt;&gt;"",原始資料!M93=原始資料!L93),N(J93)+1,1))</f>
        <v/>
      </c>
      <c r="L93" s="6">
        <f>IF(OR(原始資料!$A93="",11&gt;設定!$B$3,原始資料!N93=""),"",IF(AND(原始資料!M93&lt;&gt;"",原始資料!N93=原始資料!M93),N(K93)+1,1))</f>
        <v/>
      </c>
      <c r="M93" s="6">
        <f>IF(OR(原始資料!$A93="",12&gt;設定!$B$3,原始資料!O93=""),"",IF(AND(原始資料!N93&lt;&gt;"",原始資料!O93=原始資料!N93),N(L93)+1,1))</f>
        <v/>
      </c>
      <c r="N93" s="6">
        <f>IF(OR(原始資料!$A93="",13&gt;設定!$B$3,原始資料!P93=""),"",IF(AND(原始資料!O93&lt;&gt;"",原始資料!P93=原始資料!O93),N(M93)+1,1))</f>
        <v/>
      </c>
      <c r="O93" s="6">
        <f>IF(OR(原始資料!$A93="",14&gt;設定!$B$3,原始資料!Q93=""),"",IF(AND(原始資料!P93&lt;&gt;"",原始資料!Q93=原始資料!P93),N(N93)+1,1))</f>
        <v/>
      </c>
      <c r="P93" s="6">
        <f>IF(OR(原始資料!$A93="",15&gt;設定!$B$3,原始資料!R93=""),"",IF(AND(原始資料!Q93&lt;&gt;"",原始資料!R93=原始資料!Q93),N(O93)+1,1))</f>
        <v/>
      </c>
      <c r="Q93" s="6">
        <f>IF(OR(原始資料!$A93="",16&gt;設定!$B$3,原始資料!S93=""),"",IF(AND(原始資料!R93&lt;&gt;"",原始資料!S93=原始資料!R93),N(P93)+1,1))</f>
        <v/>
      </c>
      <c r="R93" s="6">
        <f>IF(OR(原始資料!$A93="",17&gt;設定!$B$3,原始資料!T93=""),"",IF(AND(原始資料!S93&lt;&gt;"",原始資料!T93=原始資料!S93),N(Q93)+1,1))</f>
        <v/>
      </c>
      <c r="S93" s="6">
        <f>IF(OR(原始資料!$A93="",18&gt;設定!$B$3,原始資料!U93=""),"",IF(AND(原始資料!T93&lt;&gt;"",原始資料!U93=原始資料!T93),N(R93)+1,1))</f>
        <v/>
      </c>
      <c r="T93" s="6">
        <f>IF(OR(原始資料!$A93="",19&gt;設定!$B$3,原始資料!V93=""),"",IF(AND(原始資料!U93&lt;&gt;"",原始資料!V93=原始資料!U93),N(S93)+1,1))</f>
        <v/>
      </c>
      <c r="U93" s="6">
        <f>IF(OR(原始資料!$A93="",20&gt;設定!$B$3,原始資料!W93=""),"",IF(AND(原始資料!V93&lt;&gt;"",原始資料!W93=原始資料!V93),N(T93)+1,1))</f>
        <v/>
      </c>
      <c r="V93" s="6">
        <f>IF(OR(原始資料!$A93="",21&gt;設定!$B$3,原始資料!X93=""),"",IF(AND(原始資料!W93&lt;&gt;"",原始資料!X93=原始資料!W93),N(U93)+1,1))</f>
        <v/>
      </c>
      <c r="W93" s="6">
        <f>IF(OR(原始資料!$A93="",22&gt;設定!$B$3,原始資料!Y93=""),"",IF(AND(原始資料!X93&lt;&gt;"",原始資料!Y93=原始資料!X93),N(V93)+1,1))</f>
        <v/>
      </c>
      <c r="X93" s="6">
        <f>IF(OR(原始資料!$A93="",23&gt;設定!$B$3,原始資料!Z93=""),"",IF(AND(原始資料!Y93&lt;&gt;"",原始資料!Z93=原始資料!Y93),N(W93)+1,1))</f>
        <v/>
      </c>
      <c r="Y93" s="6">
        <f>IF(OR(原始資料!$A93="",24&gt;設定!$B$3,原始資料!AA93=""),"",IF(AND(原始資料!Z93&lt;&gt;"",原始資料!AA93=原始資料!Z93),N(X93)+1,1))</f>
        <v/>
      </c>
      <c r="Z93" s="6">
        <f>IF(OR(原始資料!$A93="",25&gt;設定!$B$3,原始資料!AB93=""),"",IF(AND(原始資料!AA93&lt;&gt;"",原始資料!AB93=原始資料!AA93),N(Y93)+1,1))</f>
        <v/>
      </c>
      <c r="AA93" s="6">
        <f>IF(OR(原始資料!$A93="",26&gt;設定!$B$3,原始資料!AC93=""),"",IF(AND(原始資料!AB93&lt;&gt;"",原始資料!AC93=原始資料!AB93),N(Z93)+1,1))</f>
        <v/>
      </c>
      <c r="AB93" s="6">
        <f>IF(OR(原始資料!$A93="",27&gt;設定!$B$3,原始資料!AD93=""),"",IF(AND(原始資料!AC93&lt;&gt;"",原始資料!AD93=原始資料!AC93),N(AA93)+1,1))</f>
        <v/>
      </c>
      <c r="AC93" s="6">
        <f>IF(OR(原始資料!$A93="",28&gt;設定!$B$3,原始資料!AE93=""),"",IF(AND(原始資料!AD93&lt;&gt;"",原始資料!AE93=原始資料!AD93),N(AB93)+1,1))</f>
        <v/>
      </c>
      <c r="AD93" s="6">
        <f>IF(OR(原始資料!$A93="",29&gt;設定!$B$3,原始資料!AF93=""),"",IF(AND(原始資料!AE93&lt;&gt;"",原始資料!AF93=原始資料!AE93),N(AC93)+1,1))</f>
        <v/>
      </c>
      <c r="AE93" s="6">
        <f>IF(OR(原始資料!$A93="",30&gt;設定!$B$3,原始資料!AG93=""),"",IF(AND(原始資料!AF93&lt;&gt;"",原始資料!AG93=原始資料!AF93),N(AD93)+1,1))</f>
        <v/>
      </c>
      <c r="AF93" s="6">
        <f>IF(OR(原始資料!$A93="",31&gt;設定!$B$3,原始資料!AH93=""),"",IF(AND(原始資料!AG93&lt;&gt;"",原始資料!AH93=原始資料!AG93),N(AE93)+1,1))</f>
        <v/>
      </c>
      <c r="AG93" s="6">
        <f>IF(OR(原始資料!$A93="",32&gt;設定!$B$3,原始資料!AI93=""),"",IF(AND(原始資料!AH93&lt;&gt;"",原始資料!AI93=原始資料!AH93),N(AF93)+1,1))</f>
        <v/>
      </c>
      <c r="AH93" s="6">
        <f>IF(OR(原始資料!$A93="",33&gt;設定!$B$3,原始資料!AJ93=""),"",IF(AND(原始資料!AI93&lt;&gt;"",原始資料!AJ93=原始資料!AI93),N(AG93)+1,1))</f>
        <v/>
      </c>
      <c r="AI93" s="6">
        <f>IF(OR(原始資料!$A93="",34&gt;設定!$B$3,原始資料!AK93=""),"",IF(AND(原始資料!AJ93&lt;&gt;"",原始資料!AK93=原始資料!AJ93),N(AH93)+1,1))</f>
        <v/>
      </c>
      <c r="AJ93" s="6">
        <f>IF(OR(原始資料!$A93="",35&gt;設定!$B$3,原始資料!AL93=""),"",IF(AND(原始資料!AK93&lt;&gt;"",原始資料!AL93=原始資料!AK93),N(AI93)+1,1))</f>
        <v/>
      </c>
      <c r="AK93" s="6">
        <f>IF(OR(原始資料!$A93="",36&gt;設定!$B$3,原始資料!AM93=""),"",IF(AND(原始資料!AL93&lt;&gt;"",原始資料!AM93=原始資料!AL93),N(AJ93)+1,1))</f>
        <v/>
      </c>
      <c r="AL93" s="6">
        <f>IF(OR(原始資料!$A93="",37&gt;設定!$B$3,原始資料!AN93=""),"",IF(AND(原始資料!AM93&lt;&gt;"",原始資料!AN93=原始資料!AM93),N(AK93)+1,1))</f>
        <v/>
      </c>
      <c r="AM93" s="6">
        <f>IF(OR(原始資料!$A93="",38&gt;設定!$B$3,原始資料!AO93=""),"",IF(AND(原始資料!AN93&lt;&gt;"",原始資料!AO93=原始資料!AN93),N(AL93)+1,1))</f>
        <v/>
      </c>
      <c r="AN93" s="6">
        <f>IF(OR(原始資料!$A93="",39&gt;設定!$B$3,原始資料!AP93=""),"",IF(AND(原始資料!AO93&lt;&gt;"",原始資料!AP93=原始資料!AO93),N(AM93)+1,1))</f>
        <v/>
      </c>
      <c r="AO93" s="6">
        <f>IF(OR(原始資料!$A93="",40&gt;設定!$B$3,原始資料!AQ93=""),"",IF(AND(原始資料!AP93&lt;&gt;"",原始資料!AQ93=原始資料!AP93),N(AN93)+1,1))</f>
        <v/>
      </c>
      <c r="AP93" s="6">
        <f>IF(OR(原始資料!$A93="",41&gt;設定!$B$3,原始資料!AR93=""),"",IF(AND(原始資料!AQ93&lt;&gt;"",原始資料!AR93=原始資料!AQ93),N(AO93)+1,1))</f>
        <v/>
      </c>
      <c r="AQ93" s="6">
        <f>IF(OR(原始資料!$A93="",42&gt;設定!$B$3,原始資料!AS93=""),"",IF(AND(原始資料!AR93&lt;&gt;"",原始資料!AS93=原始資料!AR93),N(AP93)+1,1))</f>
        <v/>
      </c>
      <c r="AR93" s="6">
        <f>IF(OR(原始資料!$A93="",43&gt;設定!$B$3,原始資料!AT93=""),"",IF(AND(原始資料!AS93&lt;&gt;"",原始資料!AT93=原始資料!AS93),N(AQ93)+1,1))</f>
        <v/>
      </c>
      <c r="AS93" s="6">
        <f>IF(OR(原始資料!$A93="",44&gt;設定!$B$3,原始資料!AU93=""),"",IF(AND(原始資料!AT93&lt;&gt;"",原始資料!AU93=原始資料!AT93),N(AR93)+1,1))</f>
        <v/>
      </c>
      <c r="AT93" s="6">
        <f>IF(OR(原始資料!$A93="",45&gt;設定!$B$3,原始資料!AV93=""),"",IF(AND(原始資料!AU93&lt;&gt;"",原始資料!AV93=原始資料!AU93),N(AS93)+1,1))</f>
        <v/>
      </c>
      <c r="AU93" s="6">
        <f>IF(OR(原始資料!$A93="",46&gt;設定!$B$3,原始資料!AW93=""),"",IF(AND(原始資料!AV93&lt;&gt;"",原始資料!AW93=原始資料!AV93),N(AT93)+1,1))</f>
        <v/>
      </c>
      <c r="AV93" s="6">
        <f>IF(OR(原始資料!$A93="",47&gt;設定!$B$3,原始資料!AX93=""),"",IF(AND(原始資料!AW93&lt;&gt;"",原始資料!AX93=原始資料!AW93),N(AU93)+1,1))</f>
        <v/>
      </c>
      <c r="AW93" s="6">
        <f>IF(OR(原始資料!$A93="",48&gt;設定!$B$3,原始資料!AY93=""),"",IF(AND(原始資料!AX93&lt;&gt;"",原始資料!AY93=原始資料!AX93),N(AV93)+1,1))</f>
        <v/>
      </c>
      <c r="AX93" s="6">
        <f>IF(OR(原始資料!$A93="",49&gt;設定!$B$3,原始資料!AZ93=""),"",IF(AND(原始資料!AY93&lt;&gt;"",原始資料!AZ93=原始資料!AY93),N(AW93)+1,1))</f>
        <v/>
      </c>
      <c r="AY93" s="6">
        <f>IF(OR(原始資料!$A93="",50&gt;設定!$B$3,原始資料!BA93=""),"",IF(AND(原始資料!AZ93&lt;&gt;"",原始資料!BA93=原始資料!AZ93),N(AX93)+1,1))</f>
        <v/>
      </c>
      <c r="AZ93" s="6">
        <f>IF(OR(原始資料!$A93="",51&gt;設定!$B$3,原始資料!BB93=""),"",IF(AND(原始資料!BA93&lt;&gt;"",原始資料!BB93=原始資料!BA93),N(AY93)+1,1))</f>
        <v/>
      </c>
      <c r="BA93" s="6">
        <f>IF(OR(原始資料!$A93="",52&gt;設定!$B$3,原始資料!BC93=""),"",IF(AND(原始資料!BB93&lt;&gt;"",原始資料!BC93=原始資料!BB93),N(AZ93)+1,1))</f>
        <v/>
      </c>
      <c r="BB93" s="6">
        <f>IF(OR(原始資料!$A93="",53&gt;設定!$B$3,原始資料!BD93=""),"",IF(AND(原始資料!BC93&lt;&gt;"",原始資料!BD93=原始資料!BC93),N(BA93)+1,1))</f>
        <v/>
      </c>
      <c r="BC93" s="6">
        <f>IF(OR(原始資料!$A93="",54&gt;設定!$B$3,原始資料!BE93=""),"",IF(AND(原始資料!BD93&lt;&gt;"",原始資料!BE93=原始資料!BD93),N(BB93)+1,1))</f>
        <v/>
      </c>
      <c r="BD93" s="6">
        <f>IF(OR(原始資料!$A93="",55&gt;設定!$B$3,原始資料!BF93=""),"",IF(AND(原始資料!BE93&lt;&gt;"",原始資料!BF93=原始資料!BE93),N(BC93)+1,1))</f>
        <v/>
      </c>
      <c r="BE93" s="6">
        <f>IF(OR(原始資料!$A93="",56&gt;設定!$B$3,原始資料!BG93=""),"",IF(AND(原始資料!BF93&lt;&gt;"",原始資料!BG93=原始資料!BF93),N(BD93)+1,1))</f>
        <v/>
      </c>
      <c r="BF93" s="6">
        <f>IF(OR(原始資料!$A93="",57&gt;設定!$B$3,原始資料!BH93=""),"",IF(AND(原始資料!BG93&lt;&gt;"",原始資料!BH93=原始資料!BG93),N(BE93)+1,1))</f>
        <v/>
      </c>
      <c r="BG93" s="6">
        <f>IF(OR(原始資料!$A93="",58&gt;設定!$B$3,原始資料!BI93=""),"",IF(AND(原始資料!BH93&lt;&gt;"",原始資料!BI93=原始資料!BH93),N(BF93)+1,1))</f>
        <v/>
      </c>
      <c r="BH93" s="6">
        <f>IF(OR(原始資料!$A93="",59&gt;設定!$B$3,原始資料!BJ93=""),"",IF(AND(原始資料!BI93&lt;&gt;"",原始資料!BJ93=原始資料!BI93),N(BG93)+1,1))</f>
        <v/>
      </c>
      <c r="BI93" s="6">
        <f>IF(OR(原始資料!$A93="",60&gt;設定!$B$3,原始資料!BK93=""),"",IF(AND(原始資料!BJ93&lt;&gt;"",原始資料!BK93=原始資料!BJ93),N(BH93)+1,1))</f>
        <v/>
      </c>
    </row>
    <row r="94">
      <c r="A94" s="6">
        <f>IF(原始資料!$A94="","",原始資料!$A94)</f>
        <v/>
      </c>
      <c r="B94" s="6">
        <f>IF(OR(原始資料!$A94="",1&gt;設定!$B$3,原始資料!D94=""),"",1)</f>
        <v/>
      </c>
      <c r="C94" s="6">
        <f>IF(OR(原始資料!$A94="",2&gt;設定!$B$3,原始資料!E94=""),"",IF(AND(原始資料!D94&lt;&gt;"",原始資料!E94=原始資料!D94),N(B94)+1,1))</f>
        <v/>
      </c>
      <c r="D94" s="6">
        <f>IF(OR(原始資料!$A94="",3&gt;設定!$B$3,原始資料!F94=""),"",IF(AND(原始資料!E94&lt;&gt;"",原始資料!F94=原始資料!E94),N(C94)+1,1))</f>
        <v/>
      </c>
      <c r="E94" s="6">
        <f>IF(OR(原始資料!$A94="",4&gt;設定!$B$3,原始資料!G94=""),"",IF(AND(原始資料!F94&lt;&gt;"",原始資料!G94=原始資料!F94),N(D94)+1,1))</f>
        <v/>
      </c>
      <c r="F94" s="6">
        <f>IF(OR(原始資料!$A94="",5&gt;設定!$B$3,原始資料!H94=""),"",IF(AND(原始資料!G94&lt;&gt;"",原始資料!H94=原始資料!G94),N(E94)+1,1))</f>
        <v/>
      </c>
      <c r="G94" s="6">
        <f>IF(OR(原始資料!$A94="",6&gt;設定!$B$3,原始資料!I94=""),"",IF(AND(原始資料!H94&lt;&gt;"",原始資料!I94=原始資料!H94),N(F94)+1,1))</f>
        <v/>
      </c>
      <c r="H94" s="6">
        <f>IF(OR(原始資料!$A94="",7&gt;設定!$B$3,原始資料!J94=""),"",IF(AND(原始資料!I94&lt;&gt;"",原始資料!J94=原始資料!I94),N(G94)+1,1))</f>
        <v/>
      </c>
      <c r="I94" s="6">
        <f>IF(OR(原始資料!$A94="",8&gt;設定!$B$3,原始資料!K94=""),"",IF(AND(原始資料!J94&lt;&gt;"",原始資料!K94=原始資料!J94),N(H94)+1,1))</f>
        <v/>
      </c>
      <c r="J94" s="6">
        <f>IF(OR(原始資料!$A94="",9&gt;設定!$B$3,原始資料!L94=""),"",IF(AND(原始資料!K94&lt;&gt;"",原始資料!L94=原始資料!K94),N(I94)+1,1))</f>
        <v/>
      </c>
      <c r="K94" s="6">
        <f>IF(OR(原始資料!$A94="",10&gt;設定!$B$3,原始資料!M94=""),"",IF(AND(原始資料!L94&lt;&gt;"",原始資料!M94=原始資料!L94),N(J94)+1,1))</f>
        <v/>
      </c>
      <c r="L94" s="6">
        <f>IF(OR(原始資料!$A94="",11&gt;設定!$B$3,原始資料!N94=""),"",IF(AND(原始資料!M94&lt;&gt;"",原始資料!N94=原始資料!M94),N(K94)+1,1))</f>
        <v/>
      </c>
      <c r="M94" s="6">
        <f>IF(OR(原始資料!$A94="",12&gt;設定!$B$3,原始資料!O94=""),"",IF(AND(原始資料!N94&lt;&gt;"",原始資料!O94=原始資料!N94),N(L94)+1,1))</f>
        <v/>
      </c>
      <c r="N94" s="6">
        <f>IF(OR(原始資料!$A94="",13&gt;設定!$B$3,原始資料!P94=""),"",IF(AND(原始資料!O94&lt;&gt;"",原始資料!P94=原始資料!O94),N(M94)+1,1))</f>
        <v/>
      </c>
      <c r="O94" s="6">
        <f>IF(OR(原始資料!$A94="",14&gt;設定!$B$3,原始資料!Q94=""),"",IF(AND(原始資料!P94&lt;&gt;"",原始資料!Q94=原始資料!P94),N(N94)+1,1))</f>
        <v/>
      </c>
      <c r="P94" s="6">
        <f>IF(OR(原始資料!$A94="",15&gt;設定!$B$3,原始資料!R94=""),"",IF(AND(原始資料!Q94&lt;&gt;"",原始資料!R94=原始資料!Q94),N(O94)+1,1))</f>
        <v/>
      </c>
      <c r="Q94" s="6">
        <f>IF(OR(原始資料!$A94="",16&gt;設定!$B$3,原始資料!S94=""),"",IF(AND(原始資料!R94&lt;&gt;"",原始資料!S94=原始資料!R94),N(P94)+1,1))</f>
        <v/>
      </c>
      <c r="R94" s="6">
        <f>IF(OR(原始資料!$A94="",17&gt;設定!$B$3,原始資料!T94=""),"",IF(AND(原始資料!S94&lt;&gt;"",原始資料!T94=原始資料!S94),N(Q94)+1,1))</f>
        <v/>
      </c>
      <c r="S94" s="6">
        <f>IF(OR(原始資料!$A94="",18&gt;設定!$B$3,原始資料!U94=""),"",IF(AND(原始資料!T94&lt;&gt;"",原始資料!U94=原始資料!T94),N(R94)+1,1))</f>
        <v/>
      </c>
      <c r="T94" s="6">
        <f>IF(OR(原始資料!$A94="",19&gt;設定!$B$3,原始資料!V94=""),"",IF(AND(原始資料!U94&lt;&gt;"",原始資料!V94=原始資料!U94),N(S94)+1,1))</f>
        <v/>
      </c>
      <c r="U94" s="6">
        <f>IF(OR(原始資料!$A94="",20&gt;設定!$B$3,原始資料!W94=""),"",IF(AND(原始資料!V94&lt;&gt;"",原始資料!W94=原始資料!V94),N(T94)+1,1))</f>
        <v/>
      </c>
      <c r="V94" s="6">
        <f>IF(OR(原始資料!$A94="",21&gt;設定!$B$3,原始資料!X94=""),"",IF(AND(原始資料!W94&lt;&gt;"",原始資料!X94=原始資料!W94),N(U94)+1,1))</f>
        <v/>
      </c>
      <c r="W94" s="6">
        <f>IF(OR(原始資料!$A94="",22&gt;設定!$B$3,原始資料!Y94=""),"",IF(AND(原始資料!X94&lt;&gt;"",原始資料!Y94=原始資料!X94),N(V94)+1,1))</f>
        <v/>
      </c>
      <c r="X94" s="6">
        <f>IF(OR(原始資料!$A94="",23&gt;設定!$B$3,原始資料!Z94=""),"",IF(AND(原始資料!Y94&lt;&gt;"",原始資料!Z94=原始資料!Y94),N(W94)+1,1))</f>
        <v/>
      </c>
      <c r="Y94" s="6">
        <f>IF(OR(原始資料!$A94="",24&gt;設定!$B$3,原始資料!AA94=""),"",IF(AND(原始資料!Z94&lt;&gt;"",原始資料!AA94=原始資料!Z94),N(X94)+1,1))</f>
        <v/>
      </c>
      <c r="Z94" s="6">
        <f>IF(OR(原始資料!$A94="",25&gt;設定!$B$3,原始資料!AB94=""),"",IF(AND(原始資料!AA94&lt;&gt;"",原始資料!AB94=原始資料!AA94),N(Y94)+1,1))</f>
        <v/>
      </c>
      <c r="AA94" s="6">
        <f>IF(OR(原始資料!$A94="",26&gt;設定!$B$3,原始資料!AC94=""),"",IF(AND(原始資料!AB94&lt;&gt;"",原始資料!AC94=原始資料!AB94),N(Z94)+1,1))</f>
        <v/>
      </c>
      <c r="AB94" s="6">
        <f>IF(OR(原始資料!$A94="",27&gt;設定!$B$3,原始資料!AD94=""),"",IF(AND(原始資料!AC94&lt;&gt;"",原始資料!AD94=原始資料!AC94),N(AA94)+1,1))</f>
        <v/>
      </c>
      <c r="AC94" s="6">
        <f>IF(OR(原始資料!$A94="",28&gt;設定!$B$3,原始資料!AE94=""),"",IF(AND(原始資料!AD94&lt;&gt;"",原始資料!AE94=原始資料!AD94),N(AB94)+1,1))</f>
        <v/>
      </c>
      <c r="AD94" s="6">
        <f>IF(OR(原始資料!$A94="",29&gt;設定!$B$3,原始資料!AF94=""),"",IF(AND(原始資料!AE94&lt;&gt;"",原始資料!AF94=原始資料!AE94),N(AC94)+1,1))</f>
        <v/>
      </c>
      <c r="AE94" s="6">
        <f>IF(OR(原始資料!$A94="",30&gt;設定!$B$3,原始資料!AG94=""),"",IF(AND(原始資料!AF94&lt;&gt;"",原始資料!AG94=原始資料!AF94),N(AD94)+1,1))</f>
        <v/>
      </c>
      <c r="AF94" s="6">
        <f>IF(OR(原始資料!$A94="",31&gt;設定!$B$3,原始資料!AH94=""),"",IF(AND(原始資料!AG94&lt;&gt;"",原始資料!AH94=原始資料!AG94),N(AE94)+1,1))</f>
        <v/>
      </c>
      <c r="AG94" s="6">
        <f>IF(OR(原始資料!$A94="",32&gt;設定!$B$3,原始資料!AI94=""),"",IF(AND(原始資料!AH94&lt;&gt;"",原始資料!AI94=原始資料!AH94),N(AF94)+1,1))</f>
        <v/>
      </c>
      <c r="AH94" s="6">
        <f>IF(OR(原始資料!$A94="",33&gt;設定!$B$3,原始資料!AJ94=""),"",IF(AND(原始資料!AI94&lt;&gt;"",原始資料!AJ94=原始資料!AI94),N(AG94)+1,1))</f>
        <v/>
      </c>
      <c r="AI94" s="6">
        <f>IF(OR(原始資料!$A94="",34&gt;設定!$B$3,原始資料!AK94=""),"",IF(AND(原始資料!AJ94&lt;&gt;"",原始資料!AK94=原始資料!AJ94),N(AH94)+1,1))</f>
        <v/>
      </c>
      <c r="AJ94" s="6">
        <f>IF(OR(原始資料!$A94="",35&gt;設定!$B$3,原始資料!AL94=""),"",IF(AND(原始資料!AK94&lt;&gt;"",原始資料!AL94=原始資料!AK94),N(AI94)+1,1))</f>
        <v/>
      </c>
      <c r="AK94" s="6">
        <f>IF(OR(原始資料!$A94="",36&gt;設定!$B$3,原始資料!AM94=""),"",IF(AND(原始資料!AL94&lt;&gt;"",原始資料!AM94=原始資料!AL94),N(AJ94)+1,1))</f>
        <v/>
      </c>
      <c r="AL94" s="6">
        <f>IF(OR(原始資料!$A94="",37&gt;設定!$B$3,原始資料!AN94=""),"",IF(AND(原始資料!AM94&lt;&gt;"",原始資料!AN94=原始資料!AM94),N(AK94)+1,1))</f>
        <v/>
      </c>
      <c r="AM94" s="6">
        <f>IF(OR(原始資料!$A94="",38&gt;設定!$B$3,原始資料!AO94=""),"",IF(AND(原始資料!AN94&lt;&gt;"",原始資料!AO94=原始資料!AN94),N(AL94)+1,1))</f>
        <v/>
      </c>
      <c r="AN94" s="6">
        <f>IF(OR(原始資料!$A94="",39&gt;設定!$B$3,原始資料!AP94=""),"",IF(AND(原始資料!AO94&lt;&gt;"",原始資料!AP94=原始資料!AO94),N(AM94)+1,1))</f>
        <v/>
      </c>
      <c r="AO94" s="6">
        <f>IF(OR(原始資料!$A94="",40&gt;設定!$B$3,原始資料!AQ94=""),"",IF(AND(原始資料!AP94&lt;&gt;"",原始資料!AQ94=原始資料!AP94),N(AN94)+1,1))</f>
        <v/>
      </c>
      <c r="AP94" s="6">
        <f>IF(OR(原始資料!$A94="",41&gt;設定!$B$3,原始資料!AR94=""),"",IF(AND(原始資料!AQ94&lt;&gt;"",原始資料!AR94=原始資料!AQ94),N(AO94)+1,1))</f>
        <v/>
      </c>
      <c r="AQ94" s="6">
        <f>IF(OR(原始資料!$A94="",42&gt;設定!$B$3,原始資料!AS94=""),"",IF(AND(原始資料!AR94&lt;&gt;"",原始資料!AS94=原始資料!AR94),N(AP94)+1,1))</f>
        <v/>
      </c>
      <c r="AR94" s="6">
        <f>IF(OR(原始資料!$A94="",43&gt;設定!$B$3,原始資料!AT94=""),"",IF(AND(原始資料!AS94&lt;&gt;"",原始資料!AT94=原始資料!AS94),N(AQ94)+1,1))</f>
        <v/>
      </c>
      <c r="AS94" s="6">
        <f>IF(OR(原始資料!$A94="",44&gt;設定!$B$3,原始資料!AU94=""),"",IF(AND(原始資料!AT94&lt;&gt;"",原始資料!AU94=原始資料!AT94),N(AR94)+1,1))</f>
        <v/>
      </c>
      <c r="AT94" s="6">
        <f>IF(OR(原始資料!$A94="",45&gt;設定!$B$3,原始資料!AV94=""),"",IF(AND(原始資料!AU94&lt;&gt;"",原始資料!AV94=原始資料!AU94),N(AS94)+1,1))</f>
        <v/>
      </c>
      <c r="AU94" s="6">
        <f>IF(OR(原始資料!$A94="",46&gt;設定!$B$3,原始資料!AW94=""),"",IF(AND(原始資料!AV94&lt;&gt;"",原始資料!AW94=原始資料!AV94),N(AT94)+1,1))</f>
        <v/>
      </c>
      <c r="AV94" s="6">
        <f>IF(OR(原始資料!$A94="",47&gt;設定!$B$3,原始資料!AX94=""),"",IF(AND(原始資料!AW94&lt;&gt;"",原始資料!AX94=原始資料!AW94),N(AU94)+1,1))</f>
        <v/>
      </c>
      <c r="AW94" s="6">
        <f>IF(OR(原始資料!$A94="",48&gt;設定!$B$3,原始資料!AY94=""),"",IF(AND(原始資料!AX94&lt;&gt;"",原始資料!AY94=原始資料!AX94),N(AV94)+1,1))</f>
        <v/>
      </c>
      <c r="AX94" s="6">
        <f>IF(OR(原始資料!$A94="",49&gt;設定!$B$3,原始資料!AZ94=""),"",IF(AND(原始資料!AY94&lt;&gt;"",原始資料!AZ94=原始資料!AY94),N(AW94)+1,1))</f>
        <v/>
      </c>
      <c r="AY94" s="6">
        <f>IF(OR(原始資料!$A94="",50&gt;設定!$B$3,原始資料!BA94=""),"",IF(AND(原始資料!AZ94&lt;&gt;"",原始資料!BA94=原始資料!AZ94),N(AX94)+1,1))</f>
        <v/>
      </c>
      <c r="AZ94" s="6">
        <f>IF(OR(原始資料!$A94="",51&gt;設定!$B$3,原始資料!BB94=""),"",IF(AND(原始資料!BA94&lt;&gt;"",原始資料!BB94=原始資料!BA94),N(AY94)+1,1))</f>
        <v/>
      </c>
      <c r="BA94" s="6">
        <f>IF(OR(原始資料!$A94="",52&gt;設定!$B$3,原始資料!BC94=""),"",IF(AND(原始資料!BB94&lt;&gt;"",原始資料!BC94=原始資料!BB94),N(AZ94)+1,1))</f>
        <v/>
      </c>
      <c r="BB94" s="6">
        <f>IF(OR(原始資料!$A94="",53&gt;設定!$B$3,原始資料!BD94=""),"",IF(AND(原始資料!BC94&lt;&gt;"",原始資料!BD94=原始資料!BC94),N(BA94)+1,1))</f>
        <v/>
      </c>
      <c r="BC94" s="6">
        <f>IF(OR(原始資料!$A94="",54&gt;設定!$B$3,原始資料!BE94=""),"",IF(AND(原始資料!BD94&lt;&gt;"",原始資料!BE94=原始資料!BD94),N(BB94)+1,1))</f>
        <v/>
      </c>
      <c r="BD94" s="6">
        <f>IF(OR(原始資料!$A94="",55&gt;設定!$B$3,原始資料!BF94=""),"",IF(AND(原始資料!BE94&lt;&gt;"",原始資料!BF94=原始資料!BE94),N(BC94)+1,1))</f>
        <v/>
      </c>
      <c r="BE94" s="6">
        <f>IF(OR(原始資料!$A94="",56&gt;設定!$B$3,原始資料!BG94=""),"",IF(AND(原始資料!BF94&lt;&gt;"",原始資料!BG94=原始資料!BF94),N(BD94)+1,1))</f>
        <v/>
      </c>
      <c r="BF94" s="6">
        <f>IF(OR(原始資料!$A94="",57&gt;設定!$B$3,原始資料!BH94=""),"",IF(AND(原始資料!BG94&lt;&gt;"",原始資料!BH94=原始資料!BG94),N(BE94)+1,1))</f>
        <v/>
      </c>
      <c r="BG94" s="6">
        <f>IF(OR(原始資料!$A94="",58&gt;設定!$B$3,原始資料!BI94=""),"",IF(AND(原始資料!BH94&lt;&gt;"",原始資料!BI94=原始資料!BH94),N(BF94)+1,1))</f>
        <v/>
      </c>
      <c r="BH94" s="6">
        <f>IF(OR(原始資料!$A94="",59&gt;設定!$B$3,原始資料!BJ94=""),"",IF(AND(原始資料!BI94&lt;&gt;"",原始資料!BJ94=原始資料!BI94),N(BG94)+1,1))</f>
        <v/>
      </c>
      <c r="BI94" s="6">
        <f>IF(OR(原始資料!$A94="",60&gt;設定!$B$3,原始資料!BK94=""),"",IF(AND(原始資料!BJ94&lt;&gt;"",原始資料!BK94=原始資料!BJ94),N(BH94)+1,1))</f>
        <v/>
      </c>
    </row>
    <row r="95">
      <c r="A95" s="6">
        <f>IF(原始資料!$A95="","",原始資料!$A95)</f>
        <v/>
      </c>
      <c r="B95" s="6">
        <f>IF(OR(原始資料!$A95="",1&gt;設定!$B$3,原始資料!D95=""),"",1)</f>
        <v/>
      </c>
      <c r="C95" s="6">
        <f>IF(OR(原始資料!$A95="",2&gt;設定!$B$3,原始資料!E95=""),"",IF(AND(原始資料!D95&lt;&gt;"",原始資料!E95=原始資料!D95),N(B95)+1,1))</f>
        <v/>
      </c>
      <c r="D95" s="6">
        <f>IF(OR(原始資料!$A95="",3&gt;設定!$B$3,原始資料!F95=""),"",IF(AND(原始資料!E95&lt;&gt;"",原始資料!F95=原始資料!E95),N(C95)+1,1))</f>
        <v/>
      </c>
      <c r="E95" s="6">
        <f>IF(OR(原始資料!$A95="",4&gt;設定!$B$3,原始資料!G95=""),"",IF(AND(原始資料!F95&lt;&gt;"",原始資料!G95=原始資料!F95),N(D95)+1,1))</f>
        <v/>
      </c>
      <c r="F95" s="6">
        <f>IF(OR(原始資料!$A95="",5&gt;設定!$B$3,原始資料!H95=""),"",IF(AND(原始資料!G95&lt;&gt;"",原始資料!H95=原始資料!G95),N(E95)+1,1))</f>
        <v/>
      </c>
      <c r="G95" s="6">
        <f>IF(OR(原始資料!$A95="",6&gt;設定!$B$3,原始資料!I95=""),"",IF(AND(原始資料!H95&lt;&gt;"",原始資料!I95=原始資料!H95),N(F95)+1,1))</f>
        <v/>
      </c>
      <c r="H95" s="6">
        <f>IF(OR(原始資料!$A95="",7&gt;設定!$B$3,原始資料!J95=""),"",IF(AND(原始資料!I95&lt;&gt;"",原始資料!J95=原始資料!I95),N(G95)+1,1))</f>
        <v/>
      </c>
      <c r="I95" s="6">
        <f>IF(OR(原始資料!$A95="",8&gt;設定!$B$3,原始資料!K95=""),"",IF(AND(原始資料!J95&lt;&gt;"",原始資料!K95=原始資料!J95),N(H95)+1,1))</f>
        <v/>
      </c>
      <c r="J95" s="6">
        <f>IF(OR(原始資料!$A95="",9&gt;設定!$B$3,原始資料!L95=""),"",IF(AND(原始資料!K95&lt;&gt;"",原始資料!L95=原始資料!K95),N(I95)+1,1))</f>
        <v/>
      </c>
      <c r="K95" s="6">
        <f>IF(OR(原始資料!$A95="",10&gt;設定!$B$3,原始資料!M95=""),"",IF(AND(原始資料!L95&lt;&gt;"",原始資料!M95=原始資料!L95),N(J95)+1,1))</f>
        <v/>
      </c>
      <c r="L95" s="6">
        <f>IF(OR(原始資料!$A95="",11&gt;設定!$B$3,原始資料!N95=""),"",IF(AND(原始資料!M95&lt;&gt;"",原始資料!N95=原始資料!M95),N(K95)+1,1))</f>
        <v/>
      </c>
      <c r="M95" s="6">
        <f>IF(OR(原始資料!$A95="",12&gt;設定!$B$3,原始資料!O95=""),"",IF(AND(原始資料!N95&lt;&gt;"",原始資料!O95=原始資料!N95),N(L95)+1,1))</f>
        <v/>
      </c>
      <c r="N95" s="6">
        <f>IF(OR(原始資料!$A95="",13&gt;設定!$B$3,原始資料!P95=""),"",IF(AND(原始資料!O95&lt;&gt;"",原始資料!P95=原始資料!O95),N(M95)+1,1))</f>
        <v/>
      </c>
      <c r="O95" s="6">
        <f>IF(OR(原始資料!$A95="",14&gt;設定!$B$3,原始資料!Q95=""),"",IF(AND(原始資料!P95&lt;&gt;"",原始資料!Q95=原始資料!P95),N(N95)+1,1))</f>
        <v/>
      </c>
      <c r="P95" s="6">
        <f>IF(OR(原始資料!$A95="",15&gt;設定!$B$3,原始資料!R95=""),"",IF(AND(原始資料!Q95&lt;&gt;"",原始資料!R95=原始資料!Q95),N(O95)+1,1))</f>
        <v/>
      </c>
      <c r="Q95" s="6">
        <f>IF(OR(原始資料!$A95="",16&gt;設定!$B$3,原始資料!S95=""),"",IF(AND(原始資料!R95&lt;&gt;"",原始資料!S95=原始資料!R95),N(P95)+1,1))</f>
        <v/>
      </c>
      <c r="R95" s="6">
        <f>IF(OR(原始資料!$A95="",17&gt;設定!$B$3,原始資料!T95=""),"",IF(AND(原始資料!S95&lt;&gt;"",原始資料!T95=原始資料!S95),N(Q95)+1,1))</f>
        <v/>
      </c>
      <c r="S95" s="6">
        <f>IF(OR(原始資料!$A95="",18&gt;設定!$B$3,原始資料!U95=""),"",IF(AND(原始資料!T95&lt;&gt;"",原始資料!U95=原始資料!T95),N(R95)+1,1))</f>
        <v/>
      </c>
      <c r="T95" s="6">
        <f>IF(OR(原始資料!$A95="",19&gt;設定!$B$3,原始資料!V95=""),"",IF(AND(原始資料!U95&lt;&gt;"",原始資料!V95=原始資料!U95),N(S95)+1,1))</f>
        <v/>
      </c>
      <c r="U95" s="6">
        <f>IF(OR(原始資料!$A95="",20&gt;設定!$B$3,原始資料!W95=""),"",IF(AND(原始資料!V95&lt;&gt;"",原始資料!W95=原始資料!V95),N(T95)+1,1))</f>
        <v/>
      </c>
      <c r="V95" s="6">
        <f>IF(OR(原始資料!$A95="",21&gt;設定!$B$3,原始資料!X95=""),"",IF(AND(原始資料!W95&lt;&gt;"",原始資料!X95=原始資料!W95),N(U95)+1,1))</f>
        <v/>
      </c>
      <c r="W95" s="6">
        <f>IF(OR(原始資料!$A95="",22&gt;設定!$B$3,原始資料!Y95=""),"",IF(AND(原始資料!X95&lt;&gt;"",原始資料!Y95=原始資料!X95),N(V95)+1,1))</f>
        <v/>
      </c>
      <c r="X95" s="6">
        <f>IF(OR(原始資料!$A95="",23&gt;設定!$B$3,原始資料!Z95=""),"",IF(AND(原始資料!Y95&lt;&gt;"",原始資料!Z95=原始資料!Y95),N(W95)+1,1))</f>
        <v/>
      </c>
      <c r="Y95" s="6">
        <f>IF(OR(原始資料!$A95="",24&gt;設定!$B$3,原始資料!AA95=""),"",IF(AND(原始資料!Z95&lt;&gt;"",原始資料!AA95=原始資料!Z95),N(X95)+1,1))</f>
        <v/>
      </c>
      <c r="Z95" s="6">
        <f>IF(OR(原始資料!$A95="",25&gt;設定!$B$3,原始資料!AB95=""),"",IF(AND(原始資料!AA95&lt;&gt;"",原始資料!AB95=原始資料!AA95),N(Y95)+1,1))</f>
        <v/>
      </c>
      <c r="AA95" s="6">
        <f>IF(OR(原始資料!$A95="",26&gt;設定!$B$3,原始資料!AC95=""),"",IF(AND(原始資料!AB95&lt;&gt;"",原始資料!AC95=原始資料!AB95),N(Z95)+1,1))</f>
        <v/>
      </c>
      <c r="AB95" s="6">
        <f>IF(OR(原始資料!$A95="",27&gt;設定!$B$3,原始資料!AD95=""),"",IF(AND(原始資料!AC95&lt;&gt;"",原始資料!AD95=原始資料!AC95),N(AA95)+1,1))</f>
        <v/>
      </c>
      <c r="AC95" s="6">
        <f>IF(OR(原始資料!$A95="",28&gt;設定!$B$3,原始資料!AE95=""),"",IF(AND(原始資料!AD95&lt;&gt;"",原始資料!AE95=原始資料!AD95),N(AB95)+1,1))</f>
        <v/>
      </c>
      <c r="AD95" s="6">
        <f>IF(OR(原始資料!$A95="",29&gt;設定!$B$3,原始資料!AF95=""),"",IF(AND(原始資料!AE95&lt;&gt;"",原始資料!AF95=原始資料!AE95),N(AC95)+1,1))</f>
        <v/>
      </c>
      <c r="AE95" s="6">
        <f>IF(OR(原始資料!$A95="",30&gt;設定!$B$3,原始資料!AG95=""),"",IF(AND(原始資料!AF95&lt;&gt;"",原始資料!AG95=原始資料!AF95),N(AD95)+1,1))</f>
        <v/>
      </c>
      <c r="AF95" s="6">
        <f>IF(OR(原始資料!$A95="",31&gt;設定!$B$3,原始資料!AH95=""),"",IF(AND(原始資料!AG95&lt;&gt;"",原始資料!AH95=原始資料!AG95),N(AE95)+1,1))</f>
        <v/>
      </c>
      <c r="AG95" s="6">
        <f>IF(OR(原始資料!$A95="",32&gt;設定!$B$3,原始資料!AI95=""),"",IF(AND(原始資料!AH95&lt;&gt;"",原始資料!AI95=原始資料!AH95),N(AF95)+1,1))</f>
        <v/>
      </c>
      <c r="AH95" s="6">
        <f>IF(OR(原始資料!$A95="",33&gt;設定!$B$3,原始資料!AJ95=""),"",IF(AND(原始資料!AI95&lt;&gt;"",原始資料!AJ95=原始資料!AI95),N(AG95)+1,1))</f>
        <v/>
      </c>
      <c r="AI95" s="6">
        <f>IF(OR(原始資料!$A95="",34&gt;設定!$B$3,原始資料!AK95=""),"",IF(AND(原始資料!AJ95&lt;&gt;"",原始資料!AK95=原始資料!AJ95),N(AH95)+1,1))</f>
        <v/>
      </c>
      <c r="AJ95" s="6">
        <f>IF(OR(原始資料!$A95="",35&gt;設定!$B$3,原始資料!AL95=""),"",IF(AND(原始資料!AK95&lt;&gt;"",原始資料!AL95=原始資料!AK95),N(AI95)+1,1))</f>
        <v/>
      </c>
      <c r="AK95" s="6">
        <f>IF(OR(原始資料!$A95="",36&gt;設定!$B$3,原始資料!AM95=""),"",IF(AND(原始資料!AL95&lt;&gt;"",原始資料!AM95=原始資料!AL95),N(AJ95)+1,1))</f>
        <v/>
      </c>
      <c r="AL95" s="6">
        <f>IF(OR(原始資料!$A95="",37&gt;設定!$B$3,原始資料!AN95=""),"",IF(AND(原始資料!AM95&lt;&gt;"",原始資料!AN95=原始資料!AM95),N(AK95)+1,1))</f>
        <v/>
      </c>
      <c r="AM95" s="6">
        <f>IF(OR(原始資料!$A95="",38&gt;設定!$B$3,原始資料!AO95=""),"",IF(AND(原始資料!AN95&lt;&gt;"",原始資料!AO95=原始資料!AN95),N(AL95)+1,1))</f>
        <v/>
      </c>
      <c r="AN95" s="6">
        <f>IF(OR(原始資料!$A95="",39&gt;設定!$B$3,原始資料!AP95=""),"",IF(AND(原始資料!AO95&lt;&gt;"",原始資料!AP95=原始資料!AO95),N(AM95)+1,1))</f>
        <v/>
      </c>
      <c r="AO95" s="6">
        <f>IF(OR(原始資料!$A95="",40&gt;設定!$B$3,原始資料!AQ95=""),"",IF(AND(原始資料!AP95&lt;&gt;"",原始資料!AQ95=原始資料!AP95),N(AN95)+1,1))</f>
        <v/>
      </c>
      <c r="AP95" s="6">
        <f>IF(OR(原始資料!$A95="",41&gt;設定!$B$3,原始資料!AR95=""),"",IF(AND(原始資料!AQ95&lt;&gt;"",原始資料!AR95=原始資料!AQ95),N(AO95)+1,1))</f>
        <v/>
      </c>
      <c r="AQ95" s="6">
        <f>IF(OR(原始資料!$A95="",42&gt;設定!$B$3,原始資料!AS95=""),"",IF(AND(原始資料!AR95&lt;&gt;"",原始資料!AS95=原始資料!AR95),N(AP95)+1,1))</f>
        <v/>
      </c>
      <c r="AR95" s="6">
        <f>IF(OR(原始資料!$A95="",43&gt;設定!$B$3,原始資料!AT95=""),"",IF(AND(原始資料!AS95&lt;&gt;"",原始資料!AT95=原始資料!AS95),N(AQ95)+1,1))</f>
        <v/>
      </c>
      <c r="AS95" s="6">
        <f>IF(OR(原始資料!$A95="",44&gt;設定!$B$3,原始資料!AU95=""),"",IF(AND(原始資料!AT95&lt;&gt;"",原始資料!AU95=原始資料!AT95),N(AR95)+1,1))</f>
        <v/>
      </c>
      <c r="AT95" s="6">
        <f>IF(OR(原始資料!$A95="",45&gt;設定!$B$3,原始資料!AV95=""),"",IF(AND(原始資料!AU95&lt;&gt;"",原始資料!AV95=原始資料!AU95),N(AS95)+1,1))</f>
        <v/>
      </c>
      <c r="AU95" s="6">
        <f>IF(OR(原始資料!$A95="",46&gt;設定!$B$3,原始資料!AW95=""),"",IF(AND(原始資料!AV95&lt;&gt;"",原始資料!AW95=原始資料!AV95),N(AT95)+1,1))</f>
        <v/>
      </c>
      <c r="AV95" s="6">
        <f>IF(OR(原始資料!$A95="",47&gt;設定!$B$3,原始資料!AX95=""),"",IF(AND(原始資料!AW95&lt;&gt;"",原始資料!AX95=原始資料!AW95),N(AU95)+1,1))</f>
        <v/>
      </c>
      <c r="AW95" s="6">
        <f>IF(OR(原始資料!$A95="",48&gt;設定!$B$3,原始資料!AY95=""),"",IF(AND(原始資料!AX95&lt;&gt;"",原始資料!AY95=原始資料!AX95),N(AV95)+1,1))</f>
        <v/>
      </c>
      <c r="AX95" s="6">
        <f>IF(OR(原始資料!$A95="",49&gt;設定!$B$3,原始資料!AZ95=""),"",IF(AND(原始資料!AY95&lt;&gt;"",原始資料!AZ95=原始資料!AY95),N(AW95)+1,1))</f>
        <v/>
      </c>
      <c r="AY95" s="6">
        <f>IF(OR(原始資料!$A95="",50&gt;設定!$B$3,原始資料!BA95=""),"",IF(AND(原始資料!AZ95&lt;&gt;"",原始資料!BA95=原始資料!AZ95),N(AX95)+1,1))</f>
        <v/>
      </c>
      <c r="AZ95" s="6">
        <f>IF(OR(原始資料!$A95="",51&gt;設定!$B$3,原始資料!BB95=""),"",IF(AND(原始資料!BA95&lt;&gt;"",原始資料!BB95=原始資料!BA95),N(AY95)+1,1))</f>
        <v/>
      </c>
      <c r="BA95" s="6">
        <f>IF(OR(原始資料!$A95="",52&gt;設定!$B$3,原始資料!BC95=""),"",IF(AND(原始資料!BB95&lt;&gt;"",原始資料!BC95=原始資料!BB95),N(AZ95)+1,1))</f>
        <v/>
      </c>
      <c r="BB95" s="6">
        <f>IF(OR(原始資料!$A95="",53&gt;設定!$B$3,原始資料!BD95=""),"",IF(AND(原始資料!BC95&lt;&gt;"",原始資料!BD95=原始資料!BC95),N(BA95)+1,1))</f>
        <v/>
      </c>
      <c r="BC95" s="6">
        <f>IF(OR(原始資料!$A95="",54&gt;設定!$B$3,原始資料!BE95=""),"",IF(AND(原始資料!BD95&lt;&gt;"",原始資料!BE95=原始資料!BD95),N(BB95)+1,1))</f>
        <v/>
      </c>
      <c r="BD95" s="6">
        <f>IF(OR(原始資料!$A95="",55&gt;設定!$B$3,原始資料!BF95=""),"",IF(AND(原始資料!BE95&lt;&gt;"",原始資料!BF95=原始資料!BE95),N(BC95)+1,1))</f>
        <v/>
      </c>
      <c r="BE95" s="6">
        <f>IF(OR(原始資料!$A95="",56&gt;設定!$B$3,原始資料!BG95=""),"",IF(AND(原始資料!BF95&lt;&gt;"",原始資料!BG95=原始資料!BF95),N(BD95)+1,1))</f>
        <v/>
      </c>
      <c r="BF95" s="6">
        <f>IF(OR(原始資料!$A95="",57&gt;設定!$B$3,原始資料!BH95=""),"",IF(AND(原始資料!BG95&lt;&gt;"",原始資料!BH95=原始資料!BG95),N(BE95)+1,1))</f>
        <v/>
      </c>
      <c r="BG95" s="6">
        <f>IF(OR(原始資料!$A95="",58&gt;設定!$B$3,原始資料!BI95=""),"",IF(AND(原始資料!BH95&lt;&gt;"",原始資料!BI95=原始資料!BH95),N(BF95)+1,1))</f>
        <v/>
      </c>
      <c r="BH95" s="6">
        <f>IF(OR(原始資料!$A95="",59&gt;設定!$B$3,原始資料!BJ95=""),"",IF(AND(原始資料!BI95&lt;&gt;"",原始資料!BJ95=原始資料!BI95),N(BG95)+1,1))</f>
        <v/>
      </c>
      <c r="BI95" s="6">
        <f>IF(OR(原始資料!$A95="",60&gt;設定!$B$3,原始資料!BK95=""),"",IF(AND(原始資料!BJ95&lt;&gt;"",原始資料!BK95=原始資料!BJ95),N(BH95)+1,1))</f>
        <v/>
      </c>
    </row>
    <row r="96">
      <c r="A96" s="6">
        <f>IF(原始資料!$A96="","",原始資料!$A96)</f>
        <v/>
      </c>
      <c r="B96" s="6">
        <f>IF(OR(原始資料!$A96="",1&gt;設定!$B$3,原始資料!D96=""),"",1)</f>
        <v/>
      </c>
      <c r="C96" s="6">
        <f>IF(OR(原始資料!$A96="",2&gt;設定!$B$3,原始資料!E96=""),"",IF(AND(原始資料!D96&lt;&gt;"",原始資料!E96=原始資料!D96),N(B96)+1,1))</f>
        <v/>
      </c>
      <c r="D96" s="6">
        <f>IF(OR(原始資料!$A96="",3&gt;設定!$B$3,原始資料!F96=""),"",IF(AND(原始資料!E96&lt;&gt;"",原始資料!F96=原始資料!E96),N(C96)+1,1))</f>
        <v/>
      </c>
      <c r="E96" s="6">
        <f>IF(OR(原始資料!$A96="",4&gt;設定!$B$3,原始資料!G96=""),"",IF(AND(原始資料!F96&lt;&gt;"",原始資料!G96=原始資料!F96),N(D96)+1,1))</f>
        <v/>
      </c>
      <c r="F96" s="6">
        <f>IF(OR(原始資料!$A96="",5&gt;設定!$B$3,原始資料!H96=""),"",IF(AND(原始資料!G96&lt;&gt;"",原始資料!H96=原始資料!G96),N(E96)+1,1))</f>
        <v/>
      </c>
      <c r="G96" s="6">
        <f>IF(OR(原始資料!$A96="",6&gt;設定!$B$3,原始資料!I96=""),"",IF(AND(原始資料!H96&lt;&gt;"",原始資料!I96=原始資料!H96),N(F96)+1,1))</f>
        <v/>
      </c>
      <c r="H96" s="6">
        <f>IF(OR(原始資料!$A96="",7&gt;設定!$B$3,原始資料!J96=""),"",IF(AND(原始資料!I96&lt;&gt;"",原始資料!J96=原始資料!I96),N(G96)+1,1))</f>
        <v/>
      </c>
      <c r="I96" s="6">
        <f>IF(OR(原始資料!$A96="",8&gt;設定!$B$3,原始資料!K96=""),"",IF(AND(原始資料!J96&lt;&gt;"",原始資料!K96=原始資料!J96),N(H96)+1,1))</f>
        <v/>
      </c>
      <c r="J96" s="6">
        <f>IF(OR(原始資料!$A96="",9&gt;設定!$B$3,原始資料!L96=""),"",IF(AND(原始資料!K96&lt;&gt;"",原始資料!L96=原始資料!K96),N(I96)+1,1))</f>
        <v/>
      </c>
      <c r="K96" s="6">
        <f>IF(OR(原始資料!$A96="",10&gt;設定!$B$3,原始資料!M96=""),"",IF(AND(原始資料!L96&lt;&gt;"",原始資料!M96=原始資料!L96),N(J96)+1,1))</f>
        <v/>
      </c>
      <c r="L96" s="6">
        <f>IF(OR(原始資料!$A96="",11&gt;設定!$B$3,原始資料!N96=""),"",IF(AND(原始資料!M96&lt;&gt;"",原始資料!N96=原始資料!M96),N(K96)+1,1))</f>
        <v/>
      </c>
      <c r="M96" s="6">
        <f>IF(OR(原始資料!$A96="",12&gt;設定!$B$3,原始資料!O96=""),"",IF(AND(原始資料!N96&lt;&gt;"",原始資料!O96=原始資料!N96),N(L96)+1,1))</f>
        <v/>
      </c>
      <c r="N96" s="6">
        <f>IF(OR(原始資料!$A96="",13&gt;設定!$B$3,原始資料!P96=""),"",IF(AND(原始資料!O96&lt;&gt;"",原始資料!P96=原始資料!O96),N(M96)+1,1))</f>
        <v/>
      </c>
      <c r="O96" s="6">
        <f>IF(OR(原始資料!$A96="",14&gt;設定!$B$3,原始資料!Q96=""),"",IF(AND(原始資料!P96&lt;&gt;"",原始資料!Q96=原始資料!P96),N(N96)+1,1))</f>
        <v/>
      </c>
      <c r="P96" s="6">
        <f>IF(OR(原始資料!$A96="",15&gt;設定!$B$3,原始資料!R96=""),"",IF(AND(原始資料!Q96&lt;&gt;"",原始資料!R96=原始資料!Q96),N(O96)+1,1))</f>
        <v/>
      </c>
      <c r="Q96" s="6">
        <f>IF(OR(原始資料!$A96="",16&gt;設定!$B$3,原始資料!S96=""),"",IF(AND(原始資料!R96&lt;&gt;"",原始資料!S96=原始資料!R96),N(P96)+1,1))</f>
        <v/>
      </c>
      <c r="R96" s="6">
        <f>IF(OR(原始資料!$A96="",17&gt;設定!$B$3,原始資料!T96=""),"",IF(AND(原始資料!S96&lt;&gt;"",原始資料!T96=原始資料!S96),N(Q96)+1,1))</f>
        <v/>
      </c>
      <c r="S96" s="6">
        <f>IF(OR(原始資料!$A96="",18&gt;設定!$B$3,原始資料!U96=""),"",IF(AND(原始資料!T96&lt;&gt;"",原始資料!U96=原始資料!T96),N(R96)+1,1))</f>
        <v/>
      </c>
      <c r="T96" s="6">
        <f>IF(OR(原始資料!$A96="",19&gt;設定!$B$3,原始資料!V96=""),"",IF(AND(原始資料!U96&lt;&gt;"",原始資料!V96=原始資料!U96),N(S96)+1,1))</f>
        <v/>
      </c>
      <c r="U96" s="6">
        <f>IF(OR(原始資料!$A96="",20&gt;設定!$B$3,原始資料!W96=""),"",IF(AND(原始資料!V96&lt;&gt;"",原始資料!W96=原始資料!V96),N(T96)+1,1))</f>
        <v/>
      </c>
      <c r="V96" s="6">
        <f>IF(OR(原始資料!$A96="",21&gt;設定!$B$3,原始資料!X96=""),"",IF(AND(原始資料!W96&lt;&gt;"",原始資料!X96=原始資料!W96),N(U96)+1,1))</f>
        <v/>
      </c>
      <c r="W96" s="6">
        <f>IF(OR(原始資料!$A96="",22&gt;設定!$B$3,原始資料!Y96=""),"",IF(AND(原始資料!X96&lt;&gt;"",原始資料!Y96=原始資料!X96),N(V96)+1,1))</f>
        <v/>
      </c>
      <c r="X96" s="6">
        <f>IF(OR(原始資料!$A96="",23&gt;設定!$B$3,原始資料!Z96=""),"",IF(AND(原始資料!Y96&lt;&gt;"",原始資料!Z96=原始資料!Y96),N(W96)+1,1))</f>
        <v/>
      </c>
      <c r="Y96" s="6">
        <f>IF(OR(原始資料!$A96="",24&gt;設定!$B$3,原始資料!AA96=""),"",IF(AND(原始資料!Z96&lt;&gt;"",原始資料!AA96=原始資料!Z96),N(X96)+1,1))</f>
        <v/>
      </c>
      <c r="Z96" s="6">
        <f>IF(OR(原始資料!$A96="",25&gt;設定!$B$3,原始資料!AB96=""),"",IF(AND(原始資料!AA96&lt;&gt;"",原始資料!AB96=原始資料!AA96),N(Y96)+1,1))</f>
        <v/>
      </c>
      <c r="AA96" s="6">
        <f>IF(OR(原始資料!$A96="",26&gt;設定!$B$3,原始資料!AC96=""),"",IF(AND(原始資料!AB96&lt;&gt;"",原始資料!AC96=原始資料!AB96),N(Z96)+1,1))</f>
        <v/>
      </c>
      <c r="AB96" s="6">
        <f>IF(OR(原始資料!$A96="",27&gt;設定!$B$3,原始資料!AD96=""),"",IF(AND(原始資料!AC96&lt;&gt;"",原始資料!AD96=原始資料!AC96),N(AA96)+1,1))</f>
        <v/>
      </c>
      <c r="AC96" s="6">
        <f>IF(OR(原始資料!$A96="",28&gt;設定!$B$3,原始資料!AE96=""),"",IF(AND(原始資料!AD96&lt;&gt;"",原始資料!AE96=原始資料!AD96),N(AB96)+1,1))</f>
        <v/>
      </c>
      <c r="AD96" s="6">
        <f>IF(OR(原始資料!$A96="",29&gt;設定!$B$3,原始資料!AF96=""),"",IF(AND(原始資料!AE96&lt;&gt;"",原始資料!AF96=原始資料!AE96),N(AC96)+1,1))</f>
        <v/>
      </c>
      <c r="AE96" s="6">
        <f>IF(OR(原始資料!$A96="",30&gt;設定!$B$3,原始資料!AG96=""),"",IF(AND(原始資料!AF96&lt;&gt;"",原始資料!AG96=原始資料!AF96),N(AD96)+1,1))</f>
        <v/>
      </c>
      <c r="AF96" s="6">
        <f>IF(OR(原始資料!$A96="",31&gt;設定!$B$3,原始資料!AH96=""),"",IF(AND(原始資料!AG96&lt;&gt;"",原始資料!AH96=原始資料!AG96),N(AE96)+1,1))</f>
        <v/>
      </c>
      <c r="AG96" s="6">
        <f>IF(OR(原始資料!$A96="",32&gt;設定!$B$3,原始資料!AI96=""),"",IF(AND(原始資料!AH96&lt;&gt;"",原始資料!AI96=原始資料!AH96),N(AF96)+1,1))</f>
        <v/>
      </c>
      <c r="AH96" s="6">
        <f>IF(OR(原始資料!$A96="",33&gt;設定!$B$3,原始資料!AJ96=""),"",IF(AND(原始資料!AI96&lt;&gt;"",原始資料!AJ96=原始資料!AI96),N(AG96)+1,1))</f>
        <v/>
      </c>
      <c r="AI96" s="6">
        <f>IF(OR(原始資料!$A96="",34&gt;設定!$B$3,原始資料!AK96=""),"",IF(AND(原始資料!AJ96&lt;&gt;"",原始資料!AK96=原始資料!AJ96),N(AH96)+1,1))</f>
        <v/>
      </c>
      <c r="AJ96" s="6">
        <f>IF(OR(原始資料!$A96="",35&gt;設定!$B$3,原始資料!AL96=""),"",IF(AND(原始資料!AK96&lt;&gt;"",原始資料!AL96=原始資料!AK96),N(AI96)+1,1))</f>
        <v/>
      </c>
      <c r="AK96" s="6">
        <f>IF(OR(原始資料!$A96="",36&gt;設定!$B$3,原始資料!AM96=""),"",IF(AND(原始資料!AL96&lt;&gt;"",原始資料!AM96=原始資料!AL96),N(AJ96)+1,1))</f>
        <v/>
      </c>
      <c r="AL96" s="6">
        <f>IF(OR(原始資料!$A96="",37&gt;設定!$B$3,原始資料!AN96=""),"",IF(AND(原始資料!AM96&lt;&gt;"",原始資料!AN96=原始資料!AM96),N(AK96)+1,1))</f>
        <v/>
      </c>
      <c r="AM96" s="6">
        <f>IF(OR(原始資料!$A96="",38&gt;設定!$B$3,原始資料!AO96=""),"",IF(AND(原始資料!AN96&lt;&gt;"",原始資料!AO96=原始資料!AN96),N(AL96)+1,1))</f>
        <v/>
      </c>
      <c r="AN96" s="6">
        <f>IF(OR(原始資料!$A96="",39&gt;設定!$B$3,原始資料!AP96=""),"",IF(AND(原始資料!AO96&lt;&gt;"",原始資料!AP96=原始資料!AO96),N(AM96)+1,1))</f>
        <v/>
      </c>
      <c r="AO96" s="6">
        <f>IF(OR(原始資料!$A96="",40&gt;設定!$B$3,原始資料!AQ96=""),"",IF(AND(原始資料!AP96&lt;&gt;"",原始資料!AQ96=原始資料!AP96),N(AN96)+1,1))</f>
        <v/>
      </c>
      <c r="AP96" s="6">
        <f>IF(OR(原始資料!$A96="",41&gt;設定!$B$3,原始資料!AR96=""),"",IF(AND(原始資料!AQ96&lt;&gt;"",原始資料!AR96=原始資料!AQ96),N(AO96)+1,1))</f>
        <v/>
      </c>
      <c r="AQ96" s="6">
        <f>IF(OR(原始資料!$A96="",42&gt;設定!$B$3,原始資料!AS96=""),"",IF(AND(原始資料!AR96&lt;&gt;"",原始資料!AS96=原始資料!AR96),N(AP96)+1,1))</f>
        <v/>
      </c>
      <c r="AR96" s="6">
        <f>IF(OR(原始資料!$A96="",43&gt;設定!$B$3,原始資料!AT96=""),"",IF(AND(原始資料!AS96&lt;&gt;"",原始資料!AT96=原始資料!AS96),N(AQ96)+1,1))</f>
        <v/>
      </c>
      <c r="AS96" s="6">
        <f>IF(OR(原始資料!$A96="",44&gt;設定!$B$3,原始資料!AU96=""),"",IF(AND(原始資料!AT96&lt;&gt;"",原始資料!AU96=原始資料!AT96),N(AR96)+1,1))</f>
        <v/>
      </c>
      <c r="AT96" s="6">
        <f>IF(OR(原始資料!$A96="",45&gt;設定!$B$3,原始資料!AV96=""),"",IF(AND(原始資料!AU96&lt;&gt;"",原始資料!AV96=原始資料!AU96),N(AS96)+1,1))</f>
        <v/>
      </c>
      <c r="AU96" s="6">
        <f>IF(OR(原始資料!$A96="",46&gt;設定!$B$3,原始資料!AW96=""),"",IF(AND(原始資料!AV96&lt;&gt;"",原始資料!AW96=原始資料!AV96),N(AT96)+1,1))</f>
        <v/>
      </c>
      <c r="AV96" s="6">
        <f>IF(OR(原始資料!$A96="",47&gt;設定!$B$3,原始資料!AX96=""),"",IF(AND(原始資料!AW96&lt;&gt;"",原始資料!AX96=原始資料!AW96),N(AU96)+1,1))</f>
        <v/>
      </c>
      <c r="AW96" s="6">
        <f>IF(OR(原始資料!$A96="",48&gt;設定!$B$3,原始資料!AY96=""),"",IF(AND(原始資料!AX96&lt;&gt;"",原始資料!AY96=原始資料!AX96),N(AV96)+1,1))</f>
        <v/>
      </c>
      <c r="AX96" s="6">
        <f>IF(OR(原始資料!$A96="",49&gt;設定!$B$3,原始資料!AZ96=""),"",IF(AND(原始資料!AY96&lt;&gt;"",原始資料!AZ96=原始資料!AY96),N(AW96)+1,1))</f>
        <v/>
      </c>
      <c r="AY96" s="6">
        <f>IF(OR(原始資料!$A96="",50&gt;設定!$B$3,原始資料!BA96=""),"",IF(AND(原始資料!AZ96&lt;&gt;"",原始資料!BA96=原始資料!AZ96),N(AX96)+1,1))</f>
        <v/>
      </c>
      <c r="AZ96" s="6">
        <f>IF(OR(原始資料!$A96="",51&gt;設定!$B$3,原始資料!BB96=""),"",IF(AND(原始資料!BA96&lt;&gt;"",原始資料!BB96=原始資料!BA96),N(AY96)+1,1))</f>
        <v/>
      </c>
      <c r="BA96" s="6">
        <f>IF(OR(原始資料!$A96="",52&gt;設定!$B$3,原始資料!BC96=""),"",IF(AND(原始資料!BB96&lt;&gt;"",原始資料!BC96=原始資料!BB96),N(AZ96)+1,1))</f>
        <v/>
      </c>
      <c r="BB96" s="6">
        <f>IF(OR(原始資料!$A96="",53&gt;設定!$B$3,原始資料!BD96=""),"",IF(AND(原始資料!BC96&lt;&gt;"",原始資料!BD96=原始資料!BC96),N(BA96)+1,1))</f>
        <v/>
      </c>
      <c r="BC96" s="6">
        <f>IF(OR(原始資料!$A96="",54&gt;設定!$B$3,原始資料!BE96=""),"",IF(AND(原始資料!BD96&lt;&gt;"",原始資料!BE96=原始資料!BD96),N(BB96)+1,1))</f>
        <v/>
      </c>
      <c r="BD96" s="6">
        <f>IF(OR(原始資料!$A96="",55&gt;設定!$B$3,原始資料!BF96=""),"",IF(AND(原始資料!BE96&lt;&gt;"",原始資料!BF96=原始資料!BE96),N(BC96)+1,1))</f>
        <v/>
      </c>
      <c r="BE96" s="6">
        <f>IF(OR(原始資料!$A96="",56&gt;設定!$B$3,原始資料!BG96=""),"",IF(AND(原始資料!BF96&lt;&gt;"",原始資料!BG96=原始資料!BF96),N(BD96)+1,1))</f>
        <v/>
      </c>
      <c r="BF96" s="6">
        <f>IF(OR(原始資料!$A96="",57&gt;設定!$B$3,原始資料!BH96=""),"",IF(AND(原始資料!BG96&lt;&gt;"",原始資料!BH96=原始資料!BG96),N(BE96)+1,1))</f>
        <v/>
      </c>
      <c r="BG96" s="6">
        <f>IF(OR(原始資料!$A96="",58&gt;設定!$B$3,原始資料!BI96=""),"",IF(AND(原始資料!BH96&lt;&gt;"",原始資料!BI96=原始資料!BH96),N(BF96)+1,1))</f>
        <v/>
      </c>
      <c r="BH96" s="6">
        <f>IF(OR(原始資料!$A96="",59&gt;設定!$B$3,原始資料!BJ96=""),"",IF(AND(原始資料!BI96&lt;&gt;"",原始資料!BJ96=原始資料!BI96),N(BG96)+1,1))</f>
        <v/>
      </c>
      <c r="BI96" s="6">
        <f>IF(OR(原始資料!$A96="",60&gt;設定!$B$3,原始資料!BK96=""),"",IF(AND(原始資料!BJ96&lt;&gt;"",原始資料!BK96=原始資料!BJ96),N(BH96)+1,1))</f>
        <v/>
      </c>
    </row>
    <row r="97">
      <c r="A97" s="6">
        <f>IF(原始資料!$A97="","",原始資料!$A97)</f>
        <v/>
      </c>
      <c r="B97" s="6">
        <f>IF(OR(原始資料!$A97="",1&gt;設定!$B$3,原始資料!D97=""),"",1)</f>
        <v/>
      </c>
      <c r="C97" s="6">
        <f>IF(OR(原始資料!$A97="",2&gt;設定!$B$3,原始資料!E97=""),"",IF(AND(原始資料!D97&lt;&gt;"",原始資料!E97=原始資料!D97),N(B97)+1,1))</f>
        <v/>
      </c>
      <c r="D97" s="6">
        <f>IF(OR(原始資料!$A97="",3&gt;設定!$B$3,原始資料!F97=""),"",IF(AND(原始資料!E97&lt;&gt;"",原始資料!F97=原始資料!E97),N(C97)+1,1))</f>
        <v/>
      </c>
      <c r="E97" s="6">
        <f>IF(OR(原始資料!$A97="",4&gt;設定!$B$3,原始資料!G97=""),"",IF(AND(原始資料!F97&lt;&gt;"",原始資料!G97=原始資料!F97),N(D97)+1,1))</f>
        <v/>
      </c>
      <c r="F97" s="6">
        <f>IF(OR(原始資料!$A97="",5&gt;設定!$B$3,原始資料!H97=""),"",IF(AND(原始資料!G97&lt;&gt;"",原始資料!H97=原始資料!G97),N(E97)+1,1))</f>
        <v/>
      </c>
      <c r="G97" s="6">
        <f>IF(OR(原始資料!$A97="",6&gt;設定!$B$3,原始資料!I97=""),"",IF(AND(原始資料!H97&lt;&gt;"",原始資料!I97=原始資料!H97),N(F97)+1,1))</f>
        <v/>
      </c>
      <c r="H97" s="6">
        <f>IF(OR(原始資料!$A97="",7&gt;設定!$B$3,原始資料!J97=""),"",IF(AND(原始資料!I97&lt;&gt;"",原始資料!J97=原始資料!I97),N(G97)+1,1))</f>
        <v/>
      </c>
      <c r="I97" s="6">
        <f>IF(OR(原始資料!$A97="",8&gt;設定!$B$3,原始資料!K97=""),"",IF(AND(原始資料!J97&lt;&gt;"",原始資料!K97=原始資料!J97),N(H97)+1,1))</f>
        <v/>
      </c>
      <c r="J97" s="6">
        <f>IF(OR(原始資料!$A97="",9&gt;設定!$B$3,原始資料!L97=""),"",IF(AND(原始資料!K97&lt;&gt;"",原始資料!L97=原始資料!K97),N(I97)+1,1))</f>
        <v/>
      </c>
      <c r="K97" s="6">
        <f>IF(OR(原始資料!$A97="",10&gt;設定!$B$3,原始資料!M97=""),"",IF(AND(原始資料!L97&lt;&gt;"",原始資料!M97=原始資料!L97),N(J97)+1,1))</f>
        <v/>
      </c>
      <c r="L97" s="6">
        <f>IF(OR(原始資料!$A97="",11&gt;設定!$B$3,原始資料!N97=""),"",IF(AND(原始資料!M97&lt;&gt;"",原始資料!N97=原始資料!M97),N(K97)+1,1))</f>
        <v/>
      </c>
      <c r="M97" s="6">
        <f>IF(OR(原始資料!$A97="",12&gt;設定!$B$3,原始資料!O97=""),"",IF(AND(原始資料!N97&lt;&gt;"",原始資料!O97=原始資料!N97),N(L97)+1,1))</f>
        <v/>
      </c>
      <c r="N97" s="6">
        <f>IF(OR(原始資料!$A97="",13&gt;設定!$B$3,原始資料!P97=""),"",IF(AND(原始資料!O97&lt;&gt;"",原始資料!P97=原始資料!O97),N(M97)+1,1))</f>
        <v/>
      </c>
      <c r="O97" s="6">
        <f>IF(OR(原始資料!$A97="",14&gt;設定!$B$3,原始資料!Q97=""),"",IF(AND(原始資料!P97&lt;&gt;"",原始資料!Q97=原始資料!P97),N(N97)+1,1))</f>
        <v/>
      </c>
      <c r="P97" s="6">
        <f>IF(OR(原始資料!$A97="",15&gt;設定!$B$3,原始資料!R97=""),"",IF(AND(原始資料!Q97&lt;&gt;"",原始資料!R97=原始資料!Q97),N(O97)+1,1))</f>
        <v/>
      </c>
      <c r="Q97" s="6">
        <f>IF(OR(原始資料!$A97="",16&gt;設定!$B$3,原始資料!S97=""),"",IF(AND(原始資料!R97&lt;&gt;"",原始資料!S97=原始資料!R97),N(P97)+1,1))</f>
        <v/>
      </c>
      <c r="R97" s="6">
        <f>IF(OR(原始資料!$A97="",17&gt;設定!$B$3,原始資料!T97=""),"",IF(AND(原始資料!S97&lt;&gt;"",原始資料!T97=原始資料!S97),N(Q97)+1,1))</f>
        <v/>
      </c>
      <c r="S97" s="6">
        <f>IF(OR(原始資料!$A97="",18&gt;設定!$B$3,原始資料!U97=""),"",IF(AND(原始資料!T97&lt;&gt;"",原始資料!U97=原始資料!T97),N(R97)+1,1))</f>
        <v/>
      </c>
      <c r="T97" s="6">
        <f>IF(OR(原始資料!$A97="",19&gt;設定!$B$3,原始資料!V97=""),"",IF(AND(原始資料!U97&lt;&gt;"",原始資料!V97=原始資料!U97),N(S97)+1,1))</f>
        <v/>
      </c>
      <c r="U97" s="6">
        <f>IF(OR(原始資料!$A97="",20&gt;設定!$B$3,原始資料!W97=""),"",IF(AND(原始資料!V97&lt;&gt;"",原始資料!W97=原始資料!V97),N(T97)+1,1))</f>
        <v/>
      </c>
      <c r="V97" s="6">
        <f>IF(OR(原始資料!$A97="",21&gt;設定!$B$3,原始資料!X97=""),"",IF(AND(原始資料!W97&lt;&gt;"",原始資料!X97=原始資料!W97),N(U97)+1,1))</f>
        <v/>
      </c>
      <c r="W97" s="6">
        <f>IF(OR(原始資料!$A97="",22&gt;設定!$B$3,原始資料!Y97=""),"",IF(AND(原始資料!X97&lt;&gt;"",原始資料!Y97=原始資料!X97),N(V97)+1,1))</f>
        <v/>
      </c>
      <c r="X97" s="6">
        <f>IF(OR(原始資料!$A97="",23&gt;設定!$B$3,原始資料!Z97=""),"",IF(AND(原始資料!Y97&lt;&gt;"",原始資料!Z97=原始資料!Y97),N(W97)+1,1))</f>
        <v/>
      </c>
      <c r="Y97" s="6">
        <f>IF(OR(原始資料!$A97="",24&gt;設定!$B$3,原始資料!AA97=""),"",IF(AND(原始資料!Z97&lt;&gt;"",原始資料!AA97=原始資料!Z97),N(X97)+1,1))</f>
        <v/>
      </c>
      <c r="Z97" s="6">
        <f>IF(OR(原始資料!$A97="",25&gt;設定!$B$3,原始資料!AB97=""),"",IF(AND(原始資料!AA97&lt;&gt;"",原始資料!AB97=原始資料!AA97),N(Y97)+1,1))</f>
        <v/>
      </c>
      <c r="AA97" s="6">
        <f>IF(OR(原始資料!$A97="",26&gt;設定!$B$3,原始資料!AC97=""),"",IF(AND(原始資料!AB97&lt;&gt;"",原始資料!AC97=原始資料!AB97),N(Z97)+1,1))</f>
        <v/>
      </c>
      <c r="AB97" s="6">
        <f>IF(OR(原始資料!$A97="",27&gt;設定!$B$3,原始資料!AD97=""),"",IF(AND(原始資料!AC97&lt;&gt;"",原始資料!AD97=原始資料!AC97),N(AA97)+1,1))</f>
        <v/>
      </c>
      <c r="AC97" s="6">
        <f>IF(OR(原始資料!$A97="",28&gt;設定!$B$3,原始資料!AE97=""),"",IF(AND(原始資料!AD97&lt;&gt;"",原始資料!AE97=原始資料!AD97),N(AB97)+1,1))</f>
        <v/>
      </c>
      <c r="AD97" s="6">
        <f>IF(OR(原始資料!$A97="",29&gt;設定!$B$3,原始資料!AF97=""),"",IF(AND(原始資料!AE97&lt;&gt;"",原始資料!AF97=原始資料!AE97),N(AC97)+1,1))</f>
        <v/>
      </c>
      <c r="AE97" s="6">
        <f>IF(OR(原始資料!$A97="",30&gt;設定!$B$3,原始資料!AG97=""),"",IF(AND(原始資料!AF97&lt;&gt;"",原始資料!AG97=原始資料!AF97),N(AD97)+1,1))</f>
        <v/>
      </c>
      <c r="AF97" s="6">
        <f>IF(OR(原始資料!$A97="",31&gt;設定!$B$3,原始資料!AH97=""),"",IF(AND(原始資料!AG97&lt;&gt;"",原始資料!AH97=原始資料!AG97),N(AE97)+1,1))</f>
        <v/>
      </c>
      <c r="AG97" s="6">
        <f>IF(OR(原始資料!$A97="",32&gt;設定!$B$3,原始資料!AI97=""),"",IF(AND(原始資料!AH97&lt;&gt;"",原始資料!AI97=原始資料!AH97),N(AF97)+1,1))</f>
        <v/>
      </c>
      <c r="AH97" s="6">
        <f>IF(OR(原始資料!$A97="",33&gt;設定!$B$3,原始資料!AJ97=""),"",IF(AND(原始資料!AI97&lt;&gt;"",原始資料!AJ97=原始資料!AI97),N(AG97)+1,1))</f>
        <v/>
      </c>
      <c r="AI97" s="6">
        <f>IF(OR(原始資料!$A97="",34&gt;設定!$B$3,原始資料!AK97=""),"",IF(AND(原始資料!AJ97&lt;&gt;"",原始資料!AK97=原始資料!AJ97),N(AH97)+1,1))</f>
        <v/>
      </c>
      <c r="AJ97" s="6">
        <f>IF(OR(原始資料!$A97="",35&gt;設定!$B$3,原始資料!AL97=""),"",IF(AND(原始資料!AK97&lt;&gt;"",原始資料!AL97=原始資料!AK97),N(AI97)+1,1))</f>
        <v/>
      </c>
      <c r="AK97" s="6">
        <f>IF(OR(原始資料!$A97="",36&gt;設定!$B$3,原始資料!AM97=""),"",IF(AND(原始資料!AL97&lt;&gt;"",原始資料!AM97=原始資料!AL97),N(AJ97)+1,1))</f>
        <v/>
      </c>
      <c r="AL97" s="6">
        <f>IF(OR(原始資料!$A97="",37&gt;設定!$B$3,原始資料!AN97=""),"",IF(AND(原始資料!AM97&lt;&gt;"",原始資料!AN97=原始資料!AM97),N(AK97)+1,1))</f>
        <v/>
      </c>
      <c r="AM97" s="6">
        <f>IF(OR(原始資料!$A97="",38&gt;設定!$B$3,原始資料!AO97=""),"",IF(AND(原始資料!AN97&lt;&gt;"",原始資料!AO97=原始資料!AN97),N(AL97)+1,1))</f>
        <v/>
      </c>
      <c r="AN97" s="6">
        <f>IF(OR(原始資料!$A97="",39&gt;設定!$B$3,原始資料!AP97=""),"",IF(AND(原始資料!AO97&lt;&gt;"",原始資料!AP97=原始資料!AO97),N(AM97)+1,1))</f>
        <v/>
      </c>
      <c r="AO97" s="6">
        <f>IF(OR(原始資料!$A97="",40&gt;設定!$B$3,原始資料!AQ97=""),"",IF(AND(原始資料!AP97&lt;&gt;"",原始資料!AQ97=原始資料!AP97),N(AN97)+1,1))</f>
        <v/>
      </c>
      <c r="AP97" s="6">
        <f>IF(OR(原始資料!$A97="",41&gt;設定!$B$3,原始資料!AR97=""),"",IF(AND(原始資料!AQ97&lt;&gt;"",原始資料!AR97=原始資料!AQ97),N(AO97)+1,1))</f>
        <v/>
      </c>
      <c r="AQ97" s="6">
        <f>IF(OR(原始資料!$A97="",42&gt;設定!$B$3,原始資料!AS97=""),"",IF(AND(原始資料!AR97&lt;&gt;"",原始資料!AS97=原始資料!AR97),N(AP97)+1,1))</f>
        <v/>
      </c>
      <c r="AR97" s="6">
        <f>IF(OR(原始資料!$A97="",43&gt;設定!$B$3,原始資料!AT97=""),"",IF(AND(原始資料!AS97&lt;&gt;"",原始資料!AT97=原始資料!AS97),N(AQ97)+1,1))</f>
        <v/>
      </c>
      <c r="AS97" s="6">
        <f>IF(OR(原始資料!$A97="",44&gt;設定!$B$3,原始資料!AU97=""),"",IF(AND(原始資料!AT97&lt;&gt;"",原始資料!AU97=原始資料!AT97),N(AR97)+1,1))</f>
        <v/>
      </c>
      <c r="AT97" s="6">
        <f>IF(OR(原始資料!$A97="",45&gt;設定!$B$3,原始資料!AV97=""),"",IF(AND(原始資料!AU97&lt;&gt;"",原始資料!AV97=原始資料!AU97),N(AS97)+1,1))</f>
        <v/>
      </c>
      <c r="AU97" s="6">
        <f>IF(OR(原始資料!$A97="",46&gt;設定!$B$3,原始資料!AW97=""),"",IF(AND(原始資料!AV97&lt;&gt;"",原始資料!AW97=原始資料!AV97),N(AT97)+1,1))</f>
        <v/>
      </c>
      <c r="AV97" s="6">
        <f>IF(OR(原始資料!$A97="",47&gt;設定!$B$3,原始資料!AX97=""),"",IF(AND(原始資料!AW97&lt;&gt;"",原始資料!AX97=原始資料!AW97),N(AU97)+1,1))</f>
        <v/>
      </c>
      <c r="AW97" s="6">
        <f>IF(OR(原始資料!$A97="",48&gt;設定!$B$3,原始資料!AY97=""),"",IF(AND(原始資料!AX97&lt;&gt;"",原始資料!AY97=原始資料!AX97),N(AV97)+1,1))</f>
        <v/>
      </c>
      <c r="AX97" s="6">
        <f>IF(OR(原始資料!$A97="",49&gt;設定!$B$3,原始資料!AZ97=""),"",IF(AND(原始資料!AY97&lt;&gt;"",原始資料!AZ97=原始資料!AY97),N(AW97)+1,1))</f>
        <v/>
      </c>
      <c r="AY97" s="6">
        <f>IF(OR(原始資料!$A97="",50&gt;設定!$B$3,原始資料!BA97=""),"",IF(AND(原始資料!AZ97&lt;&gt;"",原始資料!BA97=原始資料!AZ97),N(AX97)+1,1))</f>
        <v/>
      </c>
      <c r="AZ97" s="6">
        <f>IF(OR(原始資料!$A97="",51&gt;設定!$B$3,原始資料!BB97=""),"",IF(AND(原始資料!BA97&lt;&gt;"",原始資料!BB97=原始資料!BA97),N(AY97)+1,1))</f>
        <v/>
      </c>
      <c r="BA97" s="6">
        <f>IF(OR(原始資料!$A97="",52&gt;設定!$B$3,原始資料!BC97=""),"",IF(AND(原始資料!BB97&lt;&gt;"",原始資料!BC97=原始資料!BB97),N(AZ97)+1,1))</f>
        <v/>
      </c>
      <c r="BB97" s="6">
        <f>IF(OR(原始資料!$A97="",53&gt;設定!$B$3,原始資料!BD97=""),"",IF(AND(原始資料!BC97&lt;&gt;"",原始資料!BD97=原始資料!BC97),N(BA97)+1,1))</f>
        <v/>
      </c>
      <c r="BC97" s="6">
        <f>IF(OR(原始資料!$A97="",54&gt;設定!$B$3,原始資料!BE97=""),"",IF(AND(原始資料!BD97&lt;&gt;"",原始資料!BE97=原始資料!BD97),N(BB97)+1,1))</f>
        <v/>
      </c>
      <c r="BD97" s="6">
        <f>IF(OR(原始資料!$A97="",55&gt;設定!$B$3,原始資料!BF97=""),"",IF(AND(原始資料!BE97&lt;&gt;"",原始資料!BF97=原始資料!BE97),N(BC97)+1,1))</f>
        <v/>
      </c>
      <c r="BE97" s="6">
        <f>IF(OR(原始資料!$A97="",56&gt;設定!$B$3,原始資料!BG97=""),"",IF(AND(原始資料!BF97&lt;&gt;"",原始資料!BG97=原始資料!BF97),N(BD97)+1,1))</f>
        <v/>
      </c>
      <c r="BF97" s="6">
        <f>IF(OR(原始資料!$A97="",57&gt;設定!$B$3,原始資料!BH97=""),"",IF(AND(原始資料!BG97&lt;&gt;"",原始資料!BH97=原始資料!BG97),N(BE97)+1,1))</f>
        <v/>
      </c>
      <c r="BG97" s="6">
        <f>IF(OR(原始資料!$A97="",58&gt;設定!$B$3,原始資料!BI97=""),"",IF(AND(原始資料!BH97&lt;&gt;"",原始資料!BI97=原始資料!BH97),N(BF97)+1,1))</f>
        <v/>
      </c>
      <c r="BH97" s="6">
        <f>IF(OR(原始資料!$A97="",59&gt;設定!$B$3,原始資料!BJ97=""),"",IF(AND(原始資料!BI97&lt;&gt;"",原始資料!BJ97=原始資料!BI97),N(BG97)+1,1))</f>
        <v/>
      </c>
      <c r="BI97" s="6">
        <f>IF(OR(原始資料!$A97="",60&gt;設定!$B$3,原始資料!BK97=""),"",IF(AND(原始資料!BJ97&lt;&gt;"",原始資料!BK97=原始資料!BJ97),N(BH97)+1,1))</f>
        <v/>
      </c>
    </row>
    <row r="98">
      <c r="A98" s="6">
        <f>IF(原始資料!$A98="","",原始資料!$A98)</f>
        <v/>
      </c>
      <c r="B98" s="6">
        <f>IF(OR(原始資料!$A98="",1&gt;設定!$B$3,原始資料!D98=""),"",1)</f>
        <v/>
      </c>
      <c r="C98" s="6">
        <f>IF(OR(原始資料!$A98="",2&gt;設定!$B$3,原始資料!E98=""),"",IF(AND(原始資料!D98&lt;&gt;"",原始資料!E98=原始資料!D98),N(B98)+1,1))</f>
        <v/>
      </c>
      <c r="D98" s="6">
        <f>IF(OR(原始資料!$A98="",3&gt;設定!$B$3,原始資料!F98=""),"",IF(AND(原始資料!E98&lt;&gt;"",原始資料!F98=原始資料!E98),N(C98)+1,1))</f>
        <v/>
      </c>
      <c r="E98" s="6">
        <f>IF(OR(原始資料!$A98="",4&gt;設定!$B$3,原始資料!G98=""),"",IF(AND(原始資料!F98&lt;&gt;"",原始資料!G98=原始資料!F98),N(D98)+1,1))</f>
        <v/>
      </c>
      <c r="F98" s="6">
        <f>IF(OR(原始資料!$A98="",5&gt;設定!$B$3,原始資料!H98=""),"",IF(AND(原始資料!G98&lt;&gt;"",原始資料!H98=原始資料!G98),N(E98)+1,1))</f>
        <v/>
      </c>
      <c r="G98" s="6">
        <f>IF(OR(原始資料!$A98="",6&gt;設定!$B$3,原始資料!I98=""),"",IF(AND(原始資料!H98&lt;&gt;"",原始資料!I98=原始資料!H98),N(F98)+1,1))</f>
        <v/>
      </c>
      <c r="H98" s="6">
        <f>IF(OR(原始資料!$A98="",7&gt;設定!$B$3,原始資料!J98=""),"",IF(AND(原始資料!I98&lt;&gt;"",原始資料!J98=原始資料!I98),N(G98)+1,1))</f>
        <v/>
      </c>
      <c r="I98" s="6">
        <f>IF(OR(原始資料!$A98="",8&gt;設定!$B$3,原始資料!K98=""),"",IF(AND(原始資料!J98&lt;&gt;"",原始資料!K98=原始資料!J98),N(H98)+1,1))</f>
        <v/>
      </c>
      <c r="J98" s="6">
        <f>IF(OR(原始資料!$A98="",9&gt;設定!$B$3,原始資料!L98=""),"",IF(AND(原始資料!K98&lt;&gt;"",原始資料!L98=原始資料!K98),N(I98)+1,1))</f>
        <v/>
      </c>
      <c r="K98" s="6">
        <f>IF(OR(原始資料!$A98="",10&gt;設定!$B$3,原始資料!M98=""),"",IF(AND(原始資料!L98&lt;&gt;"",原始資料!M98=原始資料!L98),N(J98)+1,1))</f>
        <v/>
      </c>
      <c r="L98" s="6">
        <f>IF(OR(原始資料!$A98="",11&gt;設定!$B$3,原始資料!N98=""),"",IF(AND(原始資料!M98&lt;&gt;"",原始資料!N98=原始資料!M98),N(K98)+1,1))</f>
        <v/>
      </c>
      <c r="M98" s="6">
        <f>IF(OR(原始資料!$A98="",12&gt;設定!$B$3,原始資料!O98=""),"",IF(AND(原始資料!N98&lt;&gt;"",原始資料!O98=原始資料!N98),N(L98)+1,1))</f>
        <v/>
      </c>
      <c r="N98" s="6">
        <f>IF(OR(原始資料!$A98="",13&gt;設定!$B$3,原始資料!P98=""),"",IF(AND(原始資料!O98&lt;&gt;"",原始資料!P98=原始資料!O98),N(M98)+1,1))</f>
        <v/>
      </c>
      <c r="O98" s="6">
        <f>IF(OR(原始資料!$A98="",14&gt;設定!$B$3,原始資料!Q98=""),"",IF(AND(原始資料!P98&lt;&gt;"",原始資料!Q98=原始資料!P98),N(N98)+1,1))</f>
        <v/>
      </c>
      <c r="P98" s="6">
        <f>IF(OR(原始資料!$A98="",15&gt;設定!$B$3,原始資料!R98=""),"",IF(AND(原始資料!Q98&lt;&gt;"",原始資料!R98=原始資料!Q98),N(O98)+1,1))</f>
        <v/>
      </c>
      <c r="Q98" s="6">
        <f>IF(OR(原始資料!$A98="",16&gt;設定!$B$3,原始資料!S98=""),"",IF(AND(原始資料!R98&lt;&gt;"",原始資料!S98=原始資料!R98),N(P98)+1,1))</f>
        <v/>
      </c>
      <c r="R98" s="6">
        <f>IF(OR(原始資料!$A98="",17&gt;設定!$B$3,原始資料!T98=""),"",IF(AND(原始資料!S98&lt;&gt;"",原始資料!T98=原始資料!S98),N(Q98)+1,1))</f>
        <v/>
      </c>
      <c r="S98" s="6">
        <f>IF(OR(原始資料!$A98="",18&gt;設定!$B$3,原始資料!U98=""),"",IF(AND(原始資料!T98&lt;&gt;"",原始資料!U98=原始資料!T98),N(R98)+1,1))</f>
        <v/>
      </c>
      <c r="T98" s="6">
        <f>IF(OR(原始資料!$A98="",19&gt;設定!$B$3,原始資料!V98=""),"",IF(AND(原始資料!U98&lt;&gt;"",原始資料!V98=原始資料!U98),N(S98)+1,1))</f>
        <v/>
      </c>
      <c r="U98" s="6">
        <f>IF(OR(原始資料!$A98="",20&gt;設定!$B$3,原始資料!W98=""),"",IF(AND(原始資料!V98&lt;&gt;"",原始資料!W98=原始資料!V98),N(T98)+1,1))</f>
        <v/>
      </c>
      <c r="V98" s="6">
        <f>IF(OR(原始資料!$A98="",21&gt;設定!$B$3,原始資料!X98=""),"",IF(AND(原始資料!W98&lt;&gt;"",原始資料!X98=原始資料!W98),N(U98)+1,1))</f>
        <v/>
      </c>
      <c r="W98" s="6">
        <f>IF(OR(原始資料!$A98="",22&gt;設定!$B$3,原始資料!Y98=""),"",IF(AND(原始資料!X98&lt;&gt;"",原始資料!Y98=原始資料!X98),N(V98)+1,1))</f>
        <v/>
      </c>
      <c r="X98" s="6">
        <f>IF(OR(原始資料!$A98="",23&gt;設定!$B$3,原始資料!Z98=""),"",IF(AND(原始資料!Y98&lt;&gt;"",原始資料!Z98=原始資料!Y98),N(W98)+1,1))</f>
        <v/>
      </c>
      <c r="Y98" s="6">
        <f>IF(OR(原始資料!$A98="",24&gt;設定!$B$3,原始資料!AA98=""),"",IF(AND(原始資料!Z98&lt;&gt;"",原始資料!AA98=原始資料!Z98),N(X98)+1,1))</f>
        <v/>
      </c>
      <c r="Z98" s="6">
        <f>IF(OR(原始資料!$A98="",25&gt;設定!$B$3,原始資料!AB98=""),"",IF(AND(原始資料!AA98&lt;&gt;"",原始資料!AB98=原始資料!AA98),N(Y98)+1,1))</f>
        <v/>
      </c>
      <c r="AA98" s="6">
        <f>IF(OR(原始資料!$A98="",26&gt;設定!$B$3,原始資料!AC98=""),"",IF(AND(原始資料!AB98&lt;&gt;"",原始資料!AC98=原始資料!AB98),N(Z98)+1,1))</f>
        <v/>
      </c>
      <c r="AB98" s="6">
        <f>IF(OR(原始資料!$A98="",27&gt;設定!$B$3,原始資料!AD98=""),"",IF(AND(原始資料!AC98&lt;&gt;"",原始資料!AD98=原始資料!AC98),N(AA98)+1,1))</f>
        <v/>
      </c>
      <c r="AC98" s="6">
        <f>IF(OR(原始資料!$A98="",28&gt;設定!$B$3,原始資料!AE98=""),"",IF(AND(原始資料!AD98&lt;&gt;"",原始資料!AE98=原始資料!AD98),N(AB98)+1,1))</f>
        <v/>
      </c>
      <c r="AD98" s="6">
        <f>IF(OR(原始資料!$A98="",29&gt;設定!$B$3,原始資料!AF98=""),"",IF(AND(原始資料!AE98&lt;&gt;"",原始資料!AF98=原始資料!AE98),N(AC98)+1,1))</f>
        <v/>
      </c>
      <c r="AE98" s="6">
        <f>IF(OR(原始資料!$A98="",30&gt;設定!$B$3,原始資料!AG98=""),"",IF(AND(原始資料!AF98&lt;&gt;"",原始資料!AG98=原始資料!AF98),N(AD98)+1,1))</f>
        <v/>
      </c>
      <c r="AF98" s="6">
        <f>IF(OR(原始資料!$A98="",31&gt;設定!$B$3,原始資料!AH98=""),"",IF(AND(原始資料!AG98&lt;&gt;"",原始資料!AH98=原始資料!AG98),N(AE98)+1,1))</f>
        <v/>
      </c>
      <c r="AG98" s="6">
        <f>IF(OR(原始資料!$A98="",32&gt;設定!$B$3,原始資料!AI98=""),"",IF(AND(原始資料!AH98&lt;&gt;"",原始資料!AI98=原始資料!AH98),N(AF98)+1,1))</f>
        <v/>
      </c>
      <c r="AH98" s="6">
        <f>IF(OR(原始資料!$A98="",33&gt;設定!$B$3,原始資料!AJ98=""),"",IF(AND(原始資料!AI98&lt;&gt;"",原始資料!AJ98=原始資料!AI98),N(AG98)+1,1))</f>
        <v/>
      </c>
      <c r="AI98" s="6">
        <f>IF(OR(原始資料!$A98="",34&gt;設定!$B$3,原始資料!AK98=""),"",IF(AND(原始資料!AJ98&lt;&gt;"",原始資料!AK98=原始資料!AJ98),N(AH98)+1,1))</f>
        <v/>
      </c>
      <c r="AJ98" s="6">
        <f>IF(OR(原始資料!$A98="",35&gt;設定!$B$3,原始資料!AL98=""),"",IF(AND(原始資料!AK98&lt;&gt;"",原始資料!AL98=原始資料!AK98),N(AI98)+1,1))</f>
        <v/>
      </c>
      <c r="AK98" s="6">
        <f>IF(OR(原始資料!$A98="",36&gt;設定!$B$3,原始資料!AM98=""),"",IF(AND(原始資料!AL98&lt;&gt;"",原始資料!AM98=原始資料!AL98),N(AJ98)+1,1))</f>
        <v/>
      </c>
      <c r="AL98" s="6">
        <f>IF(OR(原始資料!$A98="",37&gt;設定!$B$3,原始資料!AN98=""),"",IF(AND(原始資料!AM98&lt;&gt;"",原始資料!AN98=原始資料!AM98),N(AK98)+1,1))</f>
        <v/>
      </c>
      <c r="AM98" s="6">
        <f>IF(OR(原始資料!$A98="",38&gt;設定!$B$3,原始資料!AO98=""),"",IF(AND(原始資料!AN98&lt;&gt;"",原始資料!AO98=原始資料!AN98),N(AL98)+1,1))</f>
        <v/>
      </c>
      <c r="AN98" s="6">
        <f>IF(OR(原始資料!$A98="",39&gt;設定!$B$3,原始資料!AP98=""),"",IF(AND(原始資料!AO98&lt;&gt;"",原始資料!AP98=原始資料!AO98),N(AM98)+1,1))</f>
        <v/>
      </c>
      <c r="AO98" s="6">
        <f>IF(OR(原始資料!$A98="",40&gt;設定!$B$3,原始資料!AQ98=""),"",IF(AND(原始資料!AP98&lt;&gt;"",原始資料!AQ98=原始資料!AP98),N(AN98)+1,1))</f>
        <v/>
      </c>
      <c r="AP98" s="6">
        <f>IF(OR(原始資料!$A98="",41&gt;設定!$B$3,原始資料!AR98=""),"",IF(AND(原始資料!AQ98&lt;&gt;"",原始資料!AR98=原始資料!AQ98),N(AO98)+1,1))</f>
        <v/>
      </c>
      <c r="AQ98" s="6">
        <f>IF(OR(原始資料!$A98="",42&gt;設定!$B$3,原始資料!AS98=""),"",IF(AND(原始資料!AR98&lt;&gt;"",原始資料!AS98=原始資料!AR98),N(AP98)+1,1))</f>
        <v/>
      </c>
      <c r="AR98" s="6">
        <f>IF(OR(原始資料!$A98="",43&gt;設定!$B$3,原始資料!AT98=""),"",IF(AND(原始資料!AS98&lt;&gt;"",原始資料!AT98=原始資料!AS98),N(AQ98)+1,1))</f>
        <v/>
      </c>
      <c r="AS98" s="6">
        <f>IF(OR(原始資料!$A98="",44&gt;設定!$B$3,原始資料!AU98=""),"",IF(AND(原始資料!AT98&lt;&gt;"",原始資料!AU98=原始資料!AT98),N(AR98)+1,1))</f>
        <v/>
      </c>
      <c r="AT98" s="6">
        <f>IF(OR(原始資料!$A98="",45&gt;設定!$B$3,原始資料!AV98=""),"",IF(AND(原始資料!AU98&lt;&gt;"",原始資料!AV98=原始資料!AU98),N(AS98)+1,1))</f>
        <v/>
      </c>
      <c r="AU98" s="6">
        <f>IF(OR(原始資料!$A98="",46&gt;設定!$B$3,原始資料!AW98=""),"",IF(AND(原始資料!AV98&lt;&gt;"",原始資料!AW98=原始資料!AV98),N(AT98)+1,1))</f>
        <v/>
      </c>
      <c r="AV98" s="6">
        <f>IF(OR(原始資料!$A98="",47&gt;設定!$B$3,原始資料!AX98=""),"",IF(AND(原始資料!AW98&lt;&gt;"",原始資料!AX98=原始資料!AW98),N(AU98)+1,1))</f>
        <v/>
      </c>
      <c r="AW98" s="6">
        <f>IF(OR(原始資料!$A98="",48&gt;設定!$B$3,原始資料!AY98=""),"",IF(AND(原始資料!AX98&lt;&gt;"",原始資料!AY98=原始資料!AX98),N(AV98)+1,1))</f>
        <v/>
      </c>
      <c r="AX98" s="6">
        <f>IF(OR(原始資料!$A98="",49&gt;設定!$B$3,原始資料!AZ98=""),"",IF(AND(原始資料!AY98&lt;&gt;"",原始資料!AZ98=原始資料!AY98),N(AW98)+1,1))</f>
        <v/>
      </c>
      <c r="AY98" s="6">
        <f>IF(OR(原始資料!$A98="",50&gt;設定!$B$3,原始資料!BA98=""),"",IF(AND(原始資料!AZ98&lt;&gt;"",原始資料!BA98=原始資料!AZ98),N(AX98)+1,1))</f>
        <v/>
      </c>
      <c r="AZ98" s="6">
        <f>IF(OR(原始資料!$A98="",51&gt;設定!$B$3,原始資料!BB98=""),"",IF(AND(原始資料!BA98&lt;&gt;"",原始資料!BB98=原始資料!BA98),N(AY98)+1,1))</f>
        <v/>
      </c>
      <c r="BA98" s="6">
        <f>IF(OR(原始資料!$A98="",52&gt;設定!$B$3,原始資料!BC98=""),"",IF(AND(原始資料!BB98&lt;&gt;"",原始資料!BC98=原始資料!BB98),N(AZ98)+1,1))</f>
        <v/>
      </c>
      <c r="BB98" s="6">
        <f>IF(OR(原始資料!$A98="",53&gt;設定!$B$3,原始資料!BD98=""),"",IF(AND(原始資料!BC98&lt;&gt;"",原始資料!BD98=原始資料!BC98),N(BA98)+1,1))</f>
        <v/>
      </c>
      <c r="BC98" s="6">
        <f>IF(OR(原始資料!$A98="",54&gt;設定!$B$3,原始資料!BE98=""),"",IF(AND(原始資料!BD98&lt;&gt;"",原始資料!BE98=原始資料!BD98),N(BB98)+1,1))</f>
        <v/>
      </c>
      <c r="BD98" s="6">
        <f>IF(OR(原始資料!$A98="",55&gt;設定!$B$3,原始資料!BF98=""),"",IF(AND(原始資料!BE98&lt;&gt;"",原始資料!BF98=原始資料!BE98),N(BC98)+1,1))</f>
        <v/>
      </c>
      <c r="BE98" s="6">
        <f>IF(OR(原始資料!$A98="",56&gt;設定!$B$3,原始資料!BG98=""),"",IF(AND(原始資料!BF98&lt;&gt;"",原始資料!BG98=原始資料!BF98),N(BD98)+1,1))</f>
        <v/>
      </c>
      <c r="BF98" s="6">
        <f>IF(OR(原始資料!$A98="",57&gt;設定!$B$3,原始資料!BH98=""),"",IF(AND(原始資料!BG98&lt;&gt;"",原始資料!BH98=原始資料!BG98),N(BE98)+1,1))</f>
        <v/>
      </c>
      <c r="BG98" s="6">
        <f>IF(OR(原始資料!$A98="",58&gt;設定!$B$3,原始資料!BI98=""),"",IF(AND(原始資料!BH98&lt;&gt;"",原始資料!BI98=原始資料!BH98),N(BF98)+1,1))</f>
        <v/>
      </c>
      <c r="BH98" s="6">
        <f>IF(OR(原始資料!$A98="",59&gt;設定!$B$3,原始資料!BJ98=""),"",IF(AND(原始資料!BI98&lt;&gt;"",原始資料!BJ98=原始資料!BI98),N(BG98)+1,1))</f>
        <v/>
      </c>
      <c r="BI98" s="6">
        <f>IF(OR(原始資料!$A98="",60&gt;設定!$B$3,原始資料!BK98=""),"",IF(AND(原始資料!BJ98&lt;&gt;"",原始資料!BK98=原始資料!BJ98),N(BH98)+1,1))</f>
        <v/>
      </c>
    </row>
    <row r="99">
      <c r="A99" s="6">
        <f>IF(原始資料!$A99="","",原始資料!$A99)</f>
        <v/>
      </c>
      <c r="B99" s="6">
        <f>IF(OR(原始資料!$A99="",1&gt;設定!$B$3,原始資料!D99=""),"",1)</f>
        <v/>
      </c>
      <c r="C99" s="6">
        <f>IF(OR(原始資料!$A99="",2&gt;設定!$B$3,原始資料!E99=""),"",IF(AND(原始資料!D99&lt;&gt;"",原始資料!E99=原始資料!D99),N(B99)+1,1))</f>
        <v/>
      </c>
      <c r="D99" s="6">
        <f>IF(OR(原始資料!$A99="",3&gt;設定!$B$3,原始資料!F99=""),"",IF(AND(原始資料!E99&lt;&gt;"",原始資料!F99=原始資料!E99),N(C99)+1,1))</f>
        <v/>
      </c>
      <c r="E99" s="6">
        <f>IF(OR(原始資料!$A99="",4&gt;設定!$B$3,原始資料!G99=""),"",IF(AND(原始資料!F99&lt;&gt;"",原始資料!G99=原始資料!F99),N(D99)+1,1))</f>
        <v/>
      </c>
      <c r="F99" s="6">
        <f>IF(OR(原始資料!$A99="",5&gt;設定!$B$3,原始資料!H99=""),"",IF(AND(原始資料!G99&lt;&gt;"",原始資料!H99=原始資料!G99),N(E99)+1,1))</f>
        <v/>
      </c>
      <c r="G99" s="6">
        <f>IF(OR(原始資料!$A99="",6&gt;設定!$B$3,原始資料!I99=""),"",IF(AND(原始資料!H99&lt;&gt;"",原始資料!I99=原始資料!H99),N(F99)+1,1))</f>
        <v/>
      </c>
      <c r="H99" s="6">
        <f>IF(OR(原始資料!$A99="",7&gt;設定!$B$3,原始資料!J99=""),"",IF(AND(原始資料!I99&lt;&gt;"",原始資料!J99=原始資料!I99),N(G99)+1,1))</f>
        <v/>
      </c>
      <c r="I99" s="6">
        <f>IF(OR(原始資料!$A99="",8&gt;設定!$B$3,原始資料!K99=""),"",IF(AND(原始資料!J99&lt;&gt;"",原始資料!K99=原始資料!J99),N(H99)+1,1))</f>
        <v/>
      </c>
      <c r="J99" s="6">
        <f>IF(OR(原始資料!$A99="",9&gt;設定!$B$3,原始資料!L99=""),"",IF(AND(原始資料!K99&lt;&gt;"",原始資料!L99=原始資料!K99),N(I99)+1,1))</f>
        <v/>
      </c>
      <c r="K99" s="6">
        <f>IF(OR(原始資料!$A99="",10&gt;設定!$B$3,原始資料!M99=""),"",IF(AND(原始資料!L99&lt;&gt;"",原始資料!M99=原始資料!L99),N(J99)+1,1))</f>
        <v/>
      </c>
      <c r="L99" s="6">
        <f>IF(OR(原始資料!$A99="",11&gt;設定!$B$3,原始資料!N99=""),"",IF(AND(原始資料!M99&lt;&gt;"",原始資料!N99=原始資料!M99),N(K99)+1,1))</f>
        <v/>
      </c>
      <c r="M99" s="6">
        <f>IF(OR(原始資料!$A99="",12&gt;設定!$B$3,原始資料!O99=""),"",IF(AND(原始資料!N99&lt;&gt;"",原始資料!O99=原始資料!N99),N(L99)+1,1))</f>
        <v/>
      </c>
      <c r="N99" s="6">
        <f>IF(OR(原始資料!$A99="",13&gt;設定!$B$3,原始資料!P99=""),"",IF(AND(原始資料!O99&lt;&gt;"",原始資料!P99=原始資料!O99),N(M99)+1,1))</f>
        <v/>
      </c>
      <c r="O99" s="6">
        <f>IF(OR(原始資料!$A99="",14&gt;設定!$B$3,原始資料!Q99=""),"",IF(AND(原始資料!P99&lt;&gt;"",原始資料!Q99=原始資料!P99),N(N99)+1,1))</f>
        <v/>
      </c>
      <c r="P99" s="6">
        <f>IF(OR(原始資料!$A99="",15&gt;設定!$B$3,原始資料!R99=""),"",IF(AND(原始資料!Q99&lt;&gt;"",原始資料!R99=原始資料!Q99),N(O99)+1,1))</f>
        <v/>
      </c>
      <c r="Q99" s="6">
        <f>IF(OR(原始資料!$A99="",16&gt;設定!$B$3,原始資料!S99=""),"",IF(AND(原始資料!R99&lt;&gt;"",原始資料!S99=原始資料!R99),N(P99)+1,1))</f>
        <v/>
      </c>
      <c r="R99" s="6">
        <f>IF(OR(原始資料!$A99="",17&gt;設定!$B$3,原始資料!T99=""),"",IF(AND(原始資料!S99&lt;&gt;"",原始資料!T99=原始資料!S99),N(Q99)+1,1))</f>
        <v/>
      </c>
      <c r="S99" s="6">
        <f>IF(OR(原始資料!$A99="",18&gt;設定!$B$3,原始資料!U99=""),"",IF(AND(原始資料!T99&lt;&gt;"",原始資料!U99=原始資料!T99),N(R99)+1,1))</f>
        <v/>
      </c>
      <c r="T99" s="6">
        <f>IF(OR(原始資料!$A99="",19&gt;設定!$B$3,原始資料!V99=""),"",IF(AND(原始資料!U99&lt;&gt;"",原始資料!V99=原始資料!U99),N(S99)+1,1))</f>
        <v/>
      </c>
      <c r="U99" s="6">
        <f>IF(OR(原始資料!$A99="",20&gt;設定!$B$3,原始資料!W99=""),"",IF(AND(原始資料!V99&lt;&gt;"",原始資料!W99=原始資料!V99),N(T99)+1,1))</f>
        <v/>
      </c>
      <c r="V99" s="6">
        <f>IF(OR(原始資料!$A99="",21&gt;設定!$B$3,原始資料!X99=""),"",IF(AND(原始資料!W99&lt;&gt;"",原始資料!X99=原始資料!W99),N(U99)+1,1))</f>
        <v/>
      </c>
      <c r="W99" s="6">
        <f>IF(OR(原始資料!$A99="",22&gt;設定!$B$3,原始資料!Y99=""),"",IF(AND(原始資料!X99&lt;&gt;"",原始資料!Y99=原始資料!X99),N(V99)+1,1))</f>
        <v/>
      </c>
      <c r="X99" s="6">
        <f>IF(OR(原始資料!$A99="",23&gt;設定!$B$3,原始資料!Z99=""),"",IF(AND(原始資料!Y99&lt;&gt;"",原始資料!Z99=原始資料!Y99),N(W99)+1,1))</f>
        <v/>
      </c>
      <c r="Y99" s="6">
        <f>IF(OR(原始資料!$A99="",24&gt;設定!$B$3,原始資料!AA99=""),"",IF(AND(原始資料!Z99&lt;&gt;"",原始資料!AA99=原始資料!Z99),N(X99)+1,1))</f>
        <v/>
      </c>
      <c r="Z99" s="6">
        <f>IF(OR(原始資料!$A99="",25&gt;設定!$B$3,原始資料!AB99=""),"",IF(AND(原始資料!AA99&lt;&gt;"",原始資料!AB99=原始資料!AA99),N(Y99)+1,1))</f>
        <v/>
      </c>
      <c r="AA99" s="6">
        <f>IF(OR(原始資料!$A99="",26&gt;設定!$B$3,原始資料!AC99=""),"",IF(AND(原始資料!AB99&lt;&gt;"",原始資料!AC99=原始資料!AB99),N(Z99)+1,1))</f>
        <v/>
      </c>
      <c r="AB99" s="6">
        <f>IF(OR(原始資料!$A99="",27&gt;設定!$B$3,原始資料!AD99=""),"",IF(AND(原始資料!AC99&lt;&gt;"",原始資料!AD99=原始資料!AC99),N(AA99)+1,1))</f>
        <v/>
      </c>
      <c r="AC99" s="6">
        <f>IF(OR(原始資料!$A99="",28&gt;設定!$B$3,原始資料!AE99=""),"",IF(AND(原始資料!AD99&lt;&gt;"",原始資料!AE99=原始資料!AD99),N(AB99)+1,1))</f>
        <v/>
      </c>
      <c r="AD99" s="6">
        <f>IF(OR(原始資料!$A99="",29&gt;設定!$B$3,原始資料!AF99=""),"",IF(AND(原始資料!AE99&lt;&gt;"",原始資料!AF99=原始資料!AE99),N(AC99)+1,1))</f>
        <v/>
      </c>
      <c r="AE99" s="6">
        <f>IF(OR(原始資料!$A99="",30&gt;設定!$B$3,原始資料!AG99=""),"",IF(AND(原始資料!AF99&lt;&gt;"",原始資料!AG99=原始資料!AF99),N(AD99)+1,1))</f>
        <v/>
      </c>
      <c r="AF99" s="6">
        <f>IF(OR(原始資料!$A99="",31&gt;設定!$B$3,原始資料!AH99=""),"",IF(AND(原始資料!AG99&lt;&gt;"",原始資料!AH99=原始資料!AG99),N(AE99)+1,1))</f>
        <v/>
      </c>
      <c r="AG99" s="6">
        <f>IF(OR(原始資料!$A99="",32&gt;設定!$B$3,原始資料!AI99=""),"",IF(AND(原始資料!AH99&lt;&gt;"",原始資料!AI99=原始資料!AH99),N(AF99)+1,1))</f>
        <v/>
      </c>
      <c r="AH99" s="6">
        <f>IF(OR(原始資料!$A99="",33&gt;設定!$B$3,原始資料!AJ99=""),"",IF(AND(原始資料!AI99&lt;&gt;"",原始資料!AJ99=原始資料!AI99),N(AG99)+1,1))</f>
        <v/>
      </c>
      <c r="AI99" s="6">
        <f>IF(OR(原始資料!$A99="",34&gt;設定!$B$3,原始資料!AK99=""),"",IF(AND(原始資料!AJ99&lt;&gt;"",原始資料!AK99=原始資料!AJ99),N(AH99)+1,1))</f>
        <v/>
      </c>
      <c r="AJ99" s="6">
        <f>IF(OR(原始資料!$A99="",35&gt;設定!$B$3,原始資料!AL99=""),"",IF(AND(原始資料!AK99&lt;&gt;"",原始資料!AL99=原始資料!AK99),N(AI99)+1,1))</f>
        <v/>
      </c>
      <c r="AK99" s="6">
        <f>IF(OR(原始資料!$A99="",36&gt;設定!$B$3,原始資料!AM99=""),"",IF(AND(原始資料!AL99&lt;&gt;"",原始資料!AM99=原始資料!AL99),N(AJ99)+1,1))</f>
        <v/>
      </c>
      <c r="AL99" s="6">
        <f>IF(OR(原始資料!$A99="",37&gt;設定!$B$3,原始資料!AN99=""),"",IF(AND(原始資料!AM99&lt;&gt;"",原始資料!AN99=原始資料!AM99),N(AK99)+1,1))</f>
        <v/>
      </c>
      <c r="AM99" s="6">
        <f>IF(OR(原始資料!$A99="",38&gt;設定!$B$3,原始資料!AO99=""),"",IF(AND(原始資料!AN99&lt;&gt;"",原始資料!AO99=原始資料!AN99),N(AL99)+1,1))</f>
        <v/>
      </c>
      <c r="AN99" s="6">
        <f>IF(OR(原始資料!$A99="",39&gt;設定!$B$3,原始資料!AP99=""),"",IF(AND(原始資料!AO99&lt;&gt;"",原始資料!AP99=原始資料!AO99),N(AM99)+1,1))</f>
        <v/>
      </c>
      <c r="AO99" s="6">
        <f>IF(OR(原始資料!$A99="",40&gt;設定!$B$3,原始資料!AQ99=""),"",IF(AND(原始資料!AP99&lt;&gt;"",原始資料!AQ99=原始資料!AP99),N(AN99)+1,1))</f>
        <v/>
      </c>
      <c r="AP99" s="6">
        <f>IF(OR(原始資料!$A99="",41&gt;設定!$B$3,原始資料!AR99=""),"",IF(AND(原始資料!AQ99&lt;&gt;"",原始資料!AR99=原始資料!AQ99),N(AO99)+1,1))</f>
        <v/>
      </c>
      <c r="AQ99" s="6">
        <f>IF(OR(原始資料!$A99="",42&gt;設定!$B$3,原始資料!AS99=""),"",IF(AND(原始資料!AR99&lt;&gt;"",原始資料!AS99=原始資料!AR99),N(AP99)+1,1))</f>
        <v/>
      </c>
      <c r="AR99" s="6">
        <f>IF(OR(原始資料!$A99="",43&gt;設定!$B$3,原始資料!AT99=""),"",IF(AND(原始資料!AS99&lt;&gt;"",原始資料!AT99=原始資料!AS99),N(AQ99)+1,1))</f>
        <v/>
      </c>
      <c r="AS99" s="6">
        <f>IF(OR(原始資料!$A99="",44&gt;設定!$B$3,原始資料!AU99=""),"",IF(AND(原始資料!AT99&lt;&gt;"",原始資料!AU99=原始資料!AT99),N(AR99)+1,1))</f>
        <v/>
      </c>
      <c r="AT99" s="6">
        <f>IF(OR(原始資料!$A99="",45&gt;設定!$B$3,原始資料!AV99=""),"",IF(AND(原始資料!AU99&lt;&gt;"",原始資料!AV99=原始資料!AU99),N(AS99)+1,1))</f>
        <v/>
      </c>
      <c r="AU99" s="6">
        <f>IF(OR(原始資料!$A99="",46&gt;設定!$B$3,原始資料!AW99=""),"",IF(AND(原始資料!AV99&lt;&gt;"",原始資料!AW99=原始資料!AV99),N(AT99)+1,1))</f>
        <v/>
      </c>
      <c r="AV99" s="6">
        <f>IF(OR(原始資料!$A99="",47&gt;設定!$B$3,原始資料!AX99=""),"",IF(AND(原始資料!AW99&lt;&gt;"",原始資料!AX99=原始資料!AW99),N(AU99)+1,1))</f>
        <v/>
      </c>
      <c r="AW99" s="6">
        <f>IF(OR(原始資料!$A99="",48&gt;設定!$B$3,原始資料!AY99=""),"",IF(AND(原始資料!AX99&lt;&gt;"",原始資料!AY99=原始資料!AX99),N(AV99)+1,1))</f>
        <v/>
      </c>
      <c r="AX99" s="6">
        <f>IF(OR(原始資料!$A99="",49&gt;設定!$B$3,原始資料!AZ99=""),"",IF(AND(原始資料!AY99&lt;&gt;"",原始資料!AZ99=原始資料!AY99),N(AW99)+1,1))</f>
        <v/>
      </c>
      <c r="AY99" s="6">
        <f>IF(OR(原始資料!$A99="",50&gt;設定!$B$3,原始資料!BA99=""),"",IF(AND(原始資料!AZ99&lt;&gt;"",原始資料!BA99=原始資料!AZ99),N(AX99)+1,1))</f>
        <v/>
      </c>
      <c r="AZ99" s="6">
        <f>IF(OR(原始資料!$A99="",51&gt;設定!$B$3,原始資料!BB99=""),"",IF(AND(原始資料!BA99&lt;&gt;"",原始資料!BB99=原始資料!BA99),N(AY99)+1,1))</f>
        <v/>
      </c>
      <c r="BA99" s="6">
        <f>IF(OR(原始資料!$A99="",52&gt;設定!$B$3,原始資料!BC99=""),"",IF(AND(原始資料!BB99&lt;&gt;"",原始資料!BC99=原始資料!BB99),N(AZ99)+1,1))</f>
        <v/>
      </c>
      <c r="BB99" s="6">
        <f>IF(OR(原始資料!$A99="",53&gt;設定!$B$3,原始資料!BD99=""),"",IF(AND(原始資料!BC99&lt;&gt;"",原始資料!BD99=原始資料!BC99),N(BA99)+1,1))</f>
        <v/>
      </c>
      <c r="BC99" s="6">
        <f>IF(OR(原始資料!$A99="",54&gt;設定!$B$3,原始資料!BE99=""),"",IF(AND(原始資料!BD99&lt;&gt;"",原始資料!BE99=原始資料!BD99),N(BB99)+1,1))</f>
        <v/>
      </c>
      <c r="BD99" s="6">
        <f>IF(OR(原始資料!$A99="",55&gt;設定!$B$3,原始資料!BF99=""),"",IF(AND(原始資料!BE99&lt;&gt;"",原始資料!BF99=原始資料!BE99),N(BC99)+1,1))</f>
        <v/>
      </c>
      <c r="BE99" s="6">
        <f>IF(OR(原始資料!$A99="",56&gt;設定!$B$3,原始資料!BG99=""),"",IF(AND(原始資料!BF99&lt;&gt;"",原始資料!BG99=原始資料!BF99),N(BD99)+1,1))</f>
        <v/>
      </c>
      <c r="BF99" s="6">
        <f>IF(OR(原始資料!$A99="",57&gt;設定!$B$3,原始資料!BH99=""),"",IF(AND(原始資料!BG99&lt;&gt;"",原始資料!BH99=原始資料!BG99),N(BE99)+1,1))</f>
        <v/>
      </c>
      <c r="BG99" s="6">
        <f>IF(OR(原始資料!$A99="",58&gt;設定!$B$3,原始資料!BI99=""),"",IF(AND(原始資料!BH99&lt;&gt;"",原始資料!BI99=原始資料!BH99),N(BF99)+1,1))</f>
        <v/>
      </c>
      <c r="BH99" s="6">
        <f>IF(OR(原始資料!$A99="",59&gt;設定!$B$3,原始資料!BJ99=""),"",IF(AND(原始資料!BI99&lt;&gt;"",原始資料!BJ99=原始資料!BI99),N(BG99)+1,1))</f>
        <v/>
      </c>
      <c r="BI99" s="6">
        <f>IF(OR(原始資料!$A99="",60&gt;設定!$B$3,原始資料!BK99=""),"",IF(AND(原始資料!BJ99&lt;&gt;"",原始資料!BK99=原始資料!BJ99),N(BH99)+1,1))</f>
        <v/>
      </c>
    </row>
    <row r="100">
      <c r="A100" s="6">
        <f>IF(原始資料!$A100="","",原始資料!$A100)</f>
        <v/>
      </c>
      <c r="B100" s="6">
        <f>IF(OR(原始資料!$A100="",1&gt;設定!$B$3,原始資料!D100=""),"",1)</f>
        <v/>
      </c>
      <c r="C100" s="6">
        <f>IF(OR(原始資料!$A100="",2&gt;設定!$B$3,原始資料!E100=""),"",IF(AND(原始資料!D100&lt;&gt;"",原始資料!E100=原始資料!D100),N(B100)+1,1))</f>
        <v/>
      </c>
      <c r="D100" s="6">
        <f>IF(OR(原始資料!$A100="",3&gt;設定!$B$3,原始資料!F100=""),"",IF(AND(原始資料!E100&lt;&gt;"",原始資料!F100=原始資料!E100),N(C100)+1,1))</f>
        <v/>
      </c>
      <c r="E100" s="6">
        <f>IF(OR(原始資料!$A100="",4&gt;設定!$B$3,原始資料!G100=""),"",IF(AND(原始資料!F100&lt;&gt;"",原始資料!G100=原始資料!F100),N(D100)+1,1))</f>
        <v/>
      </c>
      <c r="F100" s="6">
        <f>IF(OR(原始資料!$A100="",5&gt;設定!$B$3,原始資料!H100=""),"",IF(AND(原始資料!G100&lt;&gt;"",原始資料!H100=原始資料!G100),N(E100)+1,1))</f>
        <v/>
      </c>
      <c r="G100" s="6">
        <f>IF(OR(原始資料!$A100="",6&gt;設定!$B$3,原始資料!I100=""),"",IF(AND(原始資料!H100&lt;&gt;"",原始資料!I100=原始資料!H100),N(F100)+1,1))</f>
        <v/>
      </c>
      <c r="H100" s="6">
        <f>IF(OR(原始資料!$A100="",7&gt;設定!$B$3,原始資料!J100=""),"",IF(AND(原始資料!I100&lt;&gt;"",原始資料!J100=原始資料!I100),N(G100)+1,1))</f>
        <v/>
      </c>
      <c r="I100" s="6">
        <f>IF(OR(原始資料!$A100="",8&gt;設定!$B$3,原始資料!K100=""),"",IF(AND(原始資料!J100&lt;&gt;"",原始資料!K100=原始資料!J100),N(H100)+1,1))</f>
        <v/>
      </c>
      <c r="J100" s="6">
        <f>IF(OR(原始資料!$A100="",9&gt;設定!$B$3,原始資料!L100=""),"",IF(AND(原始資料!K100&lt;&gt;"",原始資料!L100=原始資料!K100),N(I100)+1,1))</f>
        <v/>
      </c>
      <c r="K100" s="6">
        <f>IF(OR(原始資料!$A100="",10&gt;設定!$B$3,原始資料!M100=""),"",IF(AND(原始資料!L100&lt;&gt;"",原始資料!M100=原始資料!L100),N(J100)+1,1))</f>
        <v/>
      </c>
      <c r="L100" s="6">
        <f>IF(OR(原始資料!$A100="",11&gt;設定!$B$3,原始資料!N100=""),"",IF(AND(原始資料!M100&lt;&gt;"",原始資料!N100=原始資料!M100),N(K100)+1,1))</f>
        <v/>
      </c>
      <c r="M100" s="6">
        <f>IF(OR(原始資料!$A100="",12&gt;設定!$B$3,原始資料!O100=""),"",IF(AND(原始資料!N100&lt;&gt;"",原始資料!O100=原始資料!N100),N(L100)+1,1))</f>
        <v/>
      </c>
      <c r="N100" s="6">
        <f>IF(OR(原始資料!$A100="",13&gt;設定!$B$3,原始資料!P100=""),"",IF(AND(原始資料!O100&lt;&gt;"",原始資料!P100=原始資料!O100),N(M100)+1,1))</f>
        <v/>
      </c>
      <c r="O100" s="6">
        <f>IF(OR(原始資料!$A100="",14&gt;設定!$B$3,原始資料!Q100=""),"",IF(AND(原始資料!P100&lt;&gt;"",原始資料!Q100=原始資料!P100),N(N100)+1,1))</f>
        <v/>
      </c>
      <c r="P100" s="6">
        <f>IF(OR(原始資料!$A100="",15&gt;設定!$B$3,原始資料!R100=""),"",IF(AND(原始資料!Q100&lt;&gt;"",原始資料!R100=原始資料!Q100),N(O100)+1,1))</f>
        <v/>
      </c>
      <c r="Q100" s="6">
        <f>IF(OR(原始資料!$A100="",16&gt;設定!$B$3,原始資料!S100=""),"",IF(AND(原始資料!R100&lt;&gt;"",原始資料!S100=原始資料!R100),N(P100)+1,1))</f>
        <v/>
      </c>
      <c r="R100" s="6">
        <f>IF(OR(原始資料!$A100="",17&gt;設定!$B$3,原始資料!T100=""),"",IF(AND(原始資料!S100&lt;&gt;"",原始資料!T100=原始資料!S100),N(Q100)+1,1))</f>
        <v/>
      </c>
      <c r="S100" s="6">
        <f>IF(OR(原始資料!$A100="",18&gt;設定!$B$3,原始資料!U100=""),"",IF(AND(原始資料!T100&lt;&gt;"",原始資料!U100=原始資料!T100),N(R100)+1,1))</f>
        <v/>
      </c>
      <c r="T100" s="6">
        <f>IF(OR(原始資料!$A100="",19&gt;設定!$B$3,原始資料!V100=""),"",IF(AND(原始資料!U100&lt;&gt;"",原始資料!V100=原始資料!U100),N(S100)+1,1))</f>
        <v/>
      </c>
      <c r="U100" s="6">
        <f>IF(OR(原始資料!$A100="",20&gt;設定!$B$3,原始資料!W100=""),"",IF(AND(原始資料!V100&lt;&gt;"",原始資料!W100=原始資料!V100),N(T100)+1,1))</f>
        <v/>
      </c>
      <c r="V100" s="6">
        <f>IF(OR(原始資料!$A100="",21&gt;設定!$B$3,原始資料!X100=""),"",IF(AND(原始資料!W100&lt;&gt;"",原始資料!X100=原始資料!W100),N(U100)+1,1))</f>
        <v/>
      </c>
      <c r="W100" s="6">
        <f>IF(OR(原始資料!$A100="",22&gt;設定!$B$3,原始資料!Y100=""),"",IF(AND(原始資料!X100&lt;&gt;"",原始資料!Y100=原始資料!X100),N(V100)+1,1))</f>
        <v/>
      </c>
      <c r="X100" s="6">
        <f>IF(OR(原始資料!$A100="",23&gt;設定!$B$3,原始資料!Z100=""),"",IF(AND(原始資料!Y100&lt;&gt;"",原始資料!Z100=原始資料!Y100),N(W100)+1,1))</f>
        <v/>
      </c>
      <c r="Y100" s="6">
        <f>IF(OR(原始資料!$A100="",24&gt;設定!$B$3,原始資料!AA100=""),"",IF(AND(原始資料!Z100&lt;&gt;"",原始資料!AA100=原始資料!Z100),N(X100)+1,1))</f>
        <v/>
      </c>
      <c r="Z100" s="6">
        <f>IF(OR(原始資料!$A100="",25&gt;設定!$B$3,原始資料!AB100=""),"",IF(AND(原始資料!AA100&lt;&gt;"",原始資料!AB100=原始資料!AA100),N(Y100)+1,1))</f>
        <v/>
      </c>
      <c r="AA100" s="6">
        <f>IF(OR(原始資料!$A100="",26&gt;設定!$B$3,原始資料!AC100=""),"",IF(AND(原始資料!AB100&lt;&gt;"",原始資料!AC100=原始資料!AB100),N(Z100)+1,1))</f>
        <v/>
      </c>
      <c r="AB100" s="6">
        <f>IF(OR(原始資料!$A100="",27&gt;設定!$B$3,原始資料!AD100=""),"",IF(AND(原始資料!AC100&lt;&gt;"",原始資料!AD100=原始資料!AC100),N(AA100)+1,1))</f>
        <v/>
      </c>
      <c r="AC100" s="6">
        <f>IF(OR(原始資料!$A100="",28&gt;設定!$B$3,原始資料!AE100=""),"",IF(AND(原始資料!AD100&lt;&gt;"",原始資料!AE100=原始資料!AD100),N(AB100)+1,1))</f>
        <v/>
      </c>
      <c r="AD100" s="6">
        <f>IF(OR(原始資料!$A100="",29&gt;設定!$B$3,原始資料!AF100=""),"",IF(AND(原始資料!AE100&lt;&gt;"",原始資料!AF100=原始資料!AE100),N(AC100)+1,1))</f>
        <v/>
      </c>
      <c r="AE100" s="6">
        <f>IF(OR(原始資料!$A100="",30&gt;設定!$B$3,原始資料!AG100=""),"",IF(AND(原始資料!AF100&lt;&gt;"",原始資料!AG100=原始資料!AF100),N(AD100)+1,1))</f>
        <v/>
      </c>
      <c r="AF100" s="6">
        <f>IF(OR(原始資料!$A100="",31&gt;設定!$B$3,原始資料!AH100=""),"",IF(AND(原始資料!AG100&lt;&gt;"",原始資料!AH100=原始資料!AG100),N(AE100)+1,1))</f>
        <v/>
      </c>
      <c r="AG100" s="6">
        <f>IF(OR(原始資料!$A100="",32&gt;設定!$B$3,原始資料!AI100=""),"",IF(AND(原始資料!AH100&lt;&gt;"",原始資料!AI100=原始資料!AH100),N(AF100)+1,1))</f>
        <v/>
      </c>
      <c r="AH100" s="6">
        <f>IF(OR(原始資料!$A100="",33&gt;設定!$B$3,原始資料!AJ100=""),"",IF(AND(原始資料!AI100&lt;&gt;"",原始資料!AJ100=原始資料!AI100),N(AG100)+1,1))</f>
        <v/>
      </c>
      <c r="AI100" s="6">
        <f>IF(OR(原始資料!$A100="",34&gt;設定!$B$3,原始資料!AK100=""),"",IF(AND(原始資料!AJ100&lt;&gt;"",原始資料!AK100=原始資料!AJ100),N(AH100)+1,1))</f>
        <v/>
      </c>
      <c r="AJ100" s="6">
        <f>IF(OR(原始資料!$A100="",35&gt;設定!$B$3,原始資料!AL100=""),"",IF(AND(原始資料!AK100&lt;&gt;"",原始資料!AL100=原始資料!AK100),N(AI100)+1,1))</f>
        <v/>
      </c>
      <c r="AK100" s="6">
        <f>IF(OR(原始資料!$A100="",36&gt;設定!$B$3,原始資料!AM100=""),"",IF(AND(原始資料!AL100&lt;&gt;"",原始資料!AM100=原始資料!AL100),N(AJ100)+1,1))</f>
        <v/>
      </c>
      <c r="AL100" s="6">
        <f>IF(OR(原始資料!$A100="",37&gt;設定!$B$3,原始資料!AN100=""),"",IF(AND(原始資料!AM100&lt;&gt;"",原始資料!AN100=原始資料!AM100),N(AK100)+1,1))</f>
        <v/>
      </c>
      <c r="AM100" s="6">
        <f>IF(OR(原始資料!$A100="",38&gt;設定!$B$3,原始資料!AO100=""),"",IF(AND(原始資料!AN100&lt;&gt;"",原始資料!AO100=原始資料!AN100),N(AL100)+1,1))</f>
        <v/>
      </c>
      <c r="AN100" s="6">
        <f>IF(OR(原始資料!$A100="",39&gt;設定!$B$3,原始資料!AP100=""),"",IF(AND(原始資料!AO100&lt;&gt;"",原始資料!AP100=原始資料!AO100),N(AM100)+1,1))</f>
        <v/>
      </c>
      <c r="AO100" s="6">
        <f>IF(OR(原始資料!$A100="",40&gt;設定!$B$3,原始資料!AQ100=""),"",IF(AND(原始資料!AP100&lt;&gt;"",原始資料!AQ100=原始資料!AP100),N(AN100)+1,1))</f>
        <v/>
      </c>
      <c r="AP100" s="6">
        <f>IF(OR(原始資料!$A100="",41&gt;設定!$B$3,原始資料!AR100=""),"",IF(AND(原始資料!AQ100&lt;&gt;"",原始資料!AR100=原始資料!AQ100),N(AO100)+1,1))</f>
        <v/>
      </c>
      <c r="AQ100" s="6">
        <f>IF(OR(原始資料!$A100="",42&gt;設定!$B$3,原始資料!AS100=""),"",IF(AND(原始資料!AR100&lt;&gt;"",原始資料!AS100=原始資料!AR100),N(AP100)+1,1))</f>
        <v/>
      </c>
      <c r="AR100" s="6">
        <f>IF(OR(原始資料!$A100="",43&gt;設定!$B$3,原始資料!AT100=""),"",IF(AND(原始資料!AS100&lt;&gt;"",原始資料!AT100=原始資料!AS100),N(AQ100)+1,1))</f>
        <v/>
      </c>
      <c r="AS100" s="6">
        <f>IF(OR(原始資料!$A100="",44&gt;設定!$B$3,原始資料!AU100=""),"",IF(AND(原始資料!AT100&lt;&gt;"",原始資料!AU100=原始資料!AT100),N(AR100)+1,1))</f>
        <v/>
      </c>
      <c r="AT100" s="6">
        <f>IF(OR(原始資料!$A100="",45&gt;設定!$B$3,原始資料!AV100=""),"",IF(AND(原始資料!AU100&lt;&gt;"",原始資料!AV100=原始資料!AU100),N(AS100)+1,1))</f>
        <v/>
      </c>
      <c r="AU100" s="6">
        <f>IF(OR(原始資料!$A100="",46&gt;設定!$B$3,原始資料!AW100=""),"",IF(AND(原始資料!AV100&lt;&gt;"",原始資料!AW100=原始資料!AV100),N(AT100)+1,1))</f>
        <v/>
      </c>
      <c r="AV100" s="6">
        <f>IF(OR(原始資料!$A100="",47&gt;設定!$B$3,原始資料!AX100=""),"",IF(AND(原始資料!AW100&lt;&gt;"",原始資料!AX100=原始資料!AW100),N(AU100)+1,1))</f>
        <v/>
      </c>
      <c r="AW100" s="6">
        <f>IF(OR(原始資料!$A100="",48&gt;設定!$B$3,原始資料!AY100=""),"",IF(AND(原始資料!AX100&lt;&gt;"",原始資料!AY100=原始資料!AX100),N(AV100)+1,1))</f>
        <v/>
      </c>
      <c r="AX100" s="6">
        <f>IF(OR(原始資料!$A100="",49&gt;設定!$B$3,原始資料!AZ100=""),"",IF(AND(原始資料!AY100&lt;&gt;"",原始資料!AZ100=原始資料!AY100),N(AW100)+1,1))</f>
        <v/>
      </c>
      <c r="AY100" s="6">
        <f>IF(OR(原始資料!$A100="",50&gt;設定!$B$3,原始資料!BA100=""),"",IF(AND(原始資料!AZ100&lt;&gt;"",原始資料!BA100=原始資料!AZ100),N(AX100)+1,1))</f>
        <v/>
      </c>
      <c r="AZ100" s="6">
        <f>IF(OR(原始資料!$A100="",51&gt;設定!$B$3,原始資料!BB100=""),"",IF(AND(原始資料!BA100&lt;&gt;"",原始資料!BB100=原始資料!BA100),N(AY100)+1,1))</f>
        <v/>
      </c>
      <c r="BA100" s="6">
        <f>IF(OR(原始資料!$A100="",52&gt;設定!$B$3,原始資料!BC100=""),"",IF(AND(原始資料!BB100&lt;&gt;"",原始資料!BC100=原始資料!BB100),N(AZ100)+1,1))</f>
        <v/>
      </c>
      <c r="BB100" s="6">
        <f>IF(OR(原始資料!$A100="",53&gt;設定!$B$3,原始資料!BD100=""),"",IF(AND(原始資料!BC100&lt;&gt;"",原始資料!BD100=原始資料!BC100),N(BA100)+1,1))</f>
        <v/>
      </c>
      <c r="BC100" s="6">
        <f>IF(OR(原始資料!$A100="",54&gt;設定!$B$3,原始資料!BE100=""),"",IF(AND(原始資料!BD100&lt;&gt;"",原始資料!BE100=原始資料!BD100),N(BB100)+1,1))</f>
        <v/>
      </c>
      <c r="BD100" s="6">
        <f>IF(OR(原始資料!$A100="",55&gt;設定!$B$3,原始資料!BF100=""),"",IF(AND(原始資料!BE100&lt;&gt;"",原始資料!BF100=原始資料!BE100),N(BC100)+1,1))</f>
        <v/>
      </c>
      <c r="BE100" s="6">
        <f>IF(OR(原始資料!$A100="",56&gt;設定!$B$3,原始資料!BG100=""),"",IF(AND(原始資料!BF100&lt;&gt;"",原始資料!BG100=原始資料!BF100),N(BD100)+1,1))</f>
        <v/>
      </c>
      <c r="BF100" s="6">
        <f>IF(OR(原始資料!$A100="",57&gt;設定!$B$3,原始資料!BH100=""),"",IF(AND(原始資料!BG100&lt;&gt;"",原始資料!BH100=原始資料!BG100),N(BE100)+1,1))</f>
        <v/>
      </c>
      <c r="BG100" s="6">
        <f>IF(OR(原始資料!$A100="",58&gt;設定!$B$3,原始資料!BI100=""),"",IF(AND(原始資料!BH100&lt;&gt;"",原始資料!BI100=原始資料!BH100),N(BF100)+1,1))</f>
        <v/>
      </c>
      <c r="BH100" s="6">
        <f>IF(OR(原始資料!$A100="",59&gt;設定!$B$3,原始資料!BJ100=""),"",IF(AND(原始資料!BI100&lt;&gt;"",原始資料!BJ100=原始資料!BI100),N(BG100)+1,1))</f>
        <v/>
      </c>
      <c r="BI100" s="6">
        <f>IF(OR(原始資料!$A100="",60&gt;設定!$B$3,原始資料!BK100=""),"",IF(AND(原始資料!BJ100&lt;&gt;"",原始資料!BK100=原始資料!BJ100),N(BH100)+1,1))</f>
        <v/>
      </c>
    </row>
    <row r="101">
      <c r="A101" s="6">
        <f>IF(原始資料!$A101="","",原始資料!$A101)</f>
        <v/>
      </c>
      <c r="B101" s="6">
        <f>IF(OR(原始資料!$A101="",1&gt;設定!$B$3,原始資料!D101=""),"",1)</f>
        <v/>
      </c>
      <c r="C101" s="6">
        <f>IF(OR(原始資料!$A101="",2&gt;設定!$B$3,原始資料!E101=""),"",IF(AND(原始資料!D101&lt;&gt;"",原始資料!E101=原始資料!D101),N(B101)+1,1))</f>
        <v/>
      </c>
      <c r="D101" s="6">
        <f>IF(OR(原始資料!$A101="",3&gt;設定!$B$3,原始資料!F101=""),"",IF(AND(原始資料!E101&lt;&gt;"",原始資料!F101=原始資料!E101),N(C101)+1,1))</f>
        <v/>
      </c>
      <c r="E101" s="6">
        <f>IF(OR(原始資料!$A101="",4&gt;設定!$B$3,原始資料!G101=""),"",IF(AND(原始資料!F101&lt;&gt;"",原始資料!G101=原始資料!F101),N(D101)+1,1))</f>
        <v/>
      </c>
      <c r="F101" s="6">
        <f>IF(OR(原始資料!$A101="",5&gt;設定!$B$3,原始資料!H101=""),"",IF(AND(原始資料!G101&lt;&gt;"",原始資料!H101=原始資料!G101),N(E101)+1,1))</f>
        <v/>
      </c>
      <c r="G101" s="6">
        <f>IF(OR(原始資料!$A101="",6&gt;設定!$B$3,原始資料!I101=""),"",IF(AND(原始資料!H101&lt;&gt;"",原始資料!I101=原始資料!H101),N(F101)+1,1))</f>
        <v/>
      </c>
      <c r="H101" s="6">
        <f>IF(OR(原始資料!$A101="",7&gt;設定!$B$3,原始資料!J101=""),"",IF(AND(原始資料!I101&lt;&gt;"",原始資料!J101=原始資料!I101),N(G101)+1,1))</f>
        <v/>
      </c>
      <c r="I101" s="6">
        <f>IF(OR(原始資料!$A101="",8&gt;設定!$B$3,原始資料!K101=""),"",IF(AND(原始資料!J101&lt;&gt;"",原始資料!K101=原始資料!J101),N(H101)+1,1))</f>
        <v/>
      </c>
      <c r="J101" s="6">
        <f>IF(OR(原始資料!$A101="",9&gt;設定!$B$3,原始資料!L101=""),"",IF(AND(原始資料!K101&lt;&gt;"",原始資料!L101=原始資料!K101),N(I101)+1,1))</f>
        <v/>
      </c>
      <c r="K101" s="6">
        <f>IF(OR(原始資料!$A101="",10&gt;設定!$B$3,原始資料!M101=""),"",IF(AND(原始資料!L101&lt;&gt;"",原始資料!M101=原始資料!L101),N(J101)+1,1))</f>
        <v/>
      </c>
      <c r="L101" s="6">
        <f>IF(OR(原始資料!$A101="",11&gt;設定!$B$3,原始資料!N101=""),"",IF(AND(原始資料!M101&lt;&gt;"",原始資料!N101=原始資料!M101),N(K101)+1,1))</f>
        <v/>
      </c>
      <c r="M101" s="6">
        <f>IF(OR(原始資料!$A101="",12&gt;設定!$B$3,原始資料!O101=""),"",IF(AND(原始資料!N101&lt;&gt;"",原始資料!O101=原始資料!N101),N(L101)+1,1))</f>
        <v/>
      </c>
      <c r="N101" s="6">
        <f>IF(OR(原始資料!$A101="",13&gt;設定!$B$3,原始資料!P101=""),"",IF(AND(原始資料!O101&lt;&gt;"",原始資料!P101=原始資料!O101),N(M101)+1,1))</f>
        <v/>
      </c>
      <c r="O101" s="6">
        <f>IF(OR(原始資料!$A101="",14&gt;設定!$B$3,原始資料!Q101=""),"",IF(AND(原始資料!P101&lt;&gt;"",原始資料!Q101=原始資料!P101),N(N101)+1,1))</f>
        <v/>
      </c>
      <c r="P101" s="6">
        <f>IF(OR(原始資料!$A101="",15&gt;設定!$B$3,原始資料!R101=""),"",IF(AND(原始資料!Q101&lt;&gt;"",原始資料!R101=原始資料!Q101),N(O101)+1,1))</f>
        <v/>
      </c>
      <c r="Q101" s="6">
        <f>IF(OR(原始資料!$A101="",16&gt;設定!$B$3,原始資料!S101=""),"",IF(AND(原始資料!R101&lt;&gt;"",原始資料!S101=原始資料!R101),N(P101)+1,1))</f>
        <v/>
      </c>
      <c r="R101" s="6">
        <f>IF(OR(原始資料!$A101="",17&gt;設定!$B$3,原始資料!T101=""),"",IF(AND(原始資料!S101&lt;&gt;"",原始資料!T101=原始資料!S101),N(Q101)+1,1))</f>
        <v/>
      </c>
      <c r="S101" s="6">
        <f>IF(OR(原始資料!$A101="",18&gt;設定!$B$3,原始資料!U101=""),"",IF(AND(原始資料!T101&lt;&gt;"",原始資料!U101=原始資料!T101),N(R101)+1,1))</f>
        <v/>
      </c>
      <c r="T101" s="6">
        <f>IF(OR(原始資料!$A101="",19&gt;設定!$B$3,原始資料!V101=""),"",IF(AND(原始資料!U101&lt;&gt;"",原始資料!V101=原始資料!U101),N(S101)+1,1))</f>
        <v/>
      </c>
      <c r="U101" s="6">
        <f>IF(OR(原始資料!$A101="",20&gt;設定!$B$3,原始資料!W101=""),"",IF(AND(原始資料!V101&lt;&gt;"",原始資料!W101=原始資料!V101),N(T101)+1,1))</f>
        <v/>
      </c>
      <c r="V101" s="6">
        <f>IF(OR(原始資料!$A101="",21&gt;設定!$B$3,原始資料!X101=""),"",IF(AND(原始資料!W101&lt;&gt;"",原始資料!X101=原始資料!W101),N(U101)+1,1))</f>
        <v/>
      </c>
      <c r="W101" s="6">
        <f>IF(OR(原始資料!$A101="",22&gt;設定!$B$3,原始資料!Y101=""),"",IF(AND(原始資料!X101&lt;&gt;"",原始資料!Y101=原始資料!X101),N(V101)+1,1))</f>
        <v/>
      </c>
      <c r="X101" s="6">
        <f>IF(OR(原始資料!$A101="",23&gt;設定!$B$3,原始資料!Z101=""),"",IF(AND(原始資料!Y101&lt;&gt;"",原始資料!Z101=原始資料!Y101),N(W101)+1,1))</f>
        <v/>
      </c>
      <c r="Y101" s="6">
        <f>IF(OR(原始資料!$A101="",24&gt;設定!$B$3,原始資料!AA101=""),"",IF(AND(原始資料!Z101&lt;&gt;"",原始資料!AA101=原始資料!Z101),N(X101)+1,1))</f>
        <v/>
      </c>
      <c r="Z101" s="6">
        <f>IF(OR(原始資料!$A101="",25&gt;設定!$B$3,原始資料!AB101=""),"",IF(AND(原始資料!AA101&lt;&gt;"",原始資料!AB101=原始資料!AA101),N(Y101)+1,1))</f>
        <v/>
      </c>
      <c r="AA101" s="6">
        <f>IF(OR(原始資料!$A101="",26&gt;設定!$B$3,原始資料!AC101=""),"",IF(AND(原始資料!AB101&lt;&gt;"",原始資料!AC101=原始資料!AB101),N(Z101)+1,1))</f>
        <v/>
      </c>
      <c r="AB101" s="6">
        <f>IF(OR(原始資料!$A101="",27&gt;設定!$B$3,原始資料!AD101=""),"",IF(AND(原始資料!AC101&lt;&gt;"",原始資料!AD101=原始資料!AC101),N(AA101)+1,1))</f>
        <v/>
      </c>
      <c r="AC101" s="6">
        <f>IF(OR(原始資料!$A101="",28&gt;設定!$B$3,原始資料!AE101=""),"",IF(AND(原始資料!AD101&lt;&gt;"",原始資料!AE101=原始資料!AD101),N(AB101)+1,1))</f>
        <v/>
      </c>
      <c r="AD101" s="6">
        <f>IF(OR(原始資料!$A101="",29&gt;設定!$B$3,原始資料!AF101=""),"",IF(AND(原始資料!AE101&lt;&gt;"",原始資料!AF101=原始資料!AE101),N(AC101)+1,1))</f>
        <v/>
      </c>
      <c r="AE101" s="6">
        <f>IF(OR(原始資料!$A101="",30&gt;設定!$B$3,原始資料!AG101=""),"",IF(AND(原始資料!AF101&lt;&gt;"",原始資料!AG101=原始資料!AF101),N(AD101)+1,1))</f>
        <v/>
      </c>
      <c r="AF101" s="6">
        <f>IF(OR(原始資料!$A101="",31&gt;設定!$B$3,原始資料!AH101=""),"",IF(AND(原始資料!AG101&lt;&gt;"",原始資料!AH101=原始資料!AG101),N(AE101)+1,1))</f>
        <v/>
      </c>
      <c r="AG101" s="6">
        <f>IF(OR(原始資料!$A101="",32&gt;設定!$B$3,原始資料!AI101=""),"",IF(AND(原始資料!AH101&lt;&gt;"",原始資料!AI101=原始資料!AH101),N(AF101)+1,1))</f>
        <v/>
      </c>
      <c r="AH101" s="6">
        <f>IF(OR(原始資料!$A101="",33&gt;設定!$B$3,原始資料!AJ101=""),"",IF(AND(原始資料!AI101&lt;&gt;"",原始資料!AJ101=原始資料!AI101),N(AG101)+1,1))</f>
        <v/>
      </c>
      <c r="AI101" s="6">
        <f>IF(OR(原始資料!$A101="",34&gt;設定!$B$3,原始資料!AK101=""),"",IF(AND(原始資料!AJ101&lt;&gt;"",原始資料!AK101=原始資料!AJ101),N(AH101)+1,1))</f>
        <v/>
      </c>
      <c r="AJ101" s="6">
        <f>IF(OR(原始資料!$A101="",35&gt;設定!$B$3,原始資料!AL101=""),"",IF(AND(原始資料!AK101&lt;&gt;"",原始資料!AL101=原始資料!AK101),N(AI101)+1,1))</f>
        <v/>
      </c>
      <c r="AK101" s="6">
        <f>IF(OR(原始資料!$A101="",36&gt;設定!$B$3,原始資料!AM101=""),"",IF(AND(原始資料!AL101&lt;&gt;"",原始資料!AM101=原始資料!AL101),N(AJ101)+1,1))</f>
        <v/>
      </c>
      <c r="AL101" s="6">
        <f>IF(OR(原始資料!$A101="",37&gt;設定!$B$3,原始資料!AN101=""),"",IF(AND(原始資料!AM101&lt;&gt;"",原始資料!AN101=原始資料!AM101),N(AK101)+1,1))</f>
        <v/>
      </c>
      <c r="AM101" s="6">
        <f>IF(OR(原始資料!$A101="",38&gt;設定!$B$3,原始資料!AO101=""),"",IF(AND(原始資料!AN101&lt;&gt;"",原始資料!AO101=原始資料!AN101),N(AL101)+1,1))</f>
        <v/>
      </c>
      <c r="AN101" s="6">
        <f>IF(OR(原始資料!$A101="",39&gt;設定!$B$3,原始資料!AP101=""),"",IF(AND(原始資料!AO101&lt;&gt;"",原始資料!AP101=原始資料!AO101),N(AM101)+1,1))</f>
        <v/>
      </c>
      <c r="AO101" s="6">
        <f>IF(OR(原始資料!$A101="",40&gt;設定!$B$3,原始資料!AQ101=""),"",IF(AND(原始資料!AP101&lt;&gt;"",原始資料!AQ101=原始資料!AP101),N(AN101)+1,1))</f>
        <v/>
      </c>
      <c r="AP101" s="6">
        <f>IF(OR(原始資料!$A101="",41&gt;設定!$B$3,原始資料!AR101=""),"",IF(AND(原始資料!AQ101&lt;&gt;"",原始資料!AR101=原始資料!AQ101),N(AO101)+1,1))</f>
        <v/>
      </c>
      <c r="AQ101" s="6">
        <f>IF(OR(原始資料!$A101="",42&gt;設定!$B$3,原始資料!AS101=""),"",IF(AND(原始資料!AR101&lt;&gt;"",原始資料!AS101=原始資料!AR101),N(AP101)+1,1))</f>
        <v/>
      </c>
      <c r="AR101" s="6">
        <f>IF(OR(原始資料!$A101="",43&gt;設定!$B$3,原始資料!AT101=""),"",IF(AND(原始資料!AS101&lt;&gt;"",原始資料!AT101=原始資料!AS101),N(AQ101)+1,1))</f>
        <v/>
      </c>
      <c r="AS101" s="6">
        <f>IF(OR(原始資料!$A101="",44&gt;設定!$B$3,原始資料!AU101=""),"",IF(AND(原始資料!AT101&lt;&gt;"",原始資料!AU101=原始資料!AT101),N(AR101)+1,1))</f>
        <v/>
      </c>
      <c r="AT101" s="6">
        <f>IF(OR(原始資料!$A101="",45&gt;設定!$B$3,原始資料!AV101=""),"",IF(AND(原始資料!AU101&lt;&gt;"",原始資料!AV101=原始資料!AU101),N(AS101)+1,1))</f>
        <v/>
      </c>
      <c r="AU101" s="6">
        <f>IF(OR(原始資料!$A101="",46&gt;設定!$B$3,原始資料!AW101=""),"",IF(AND(原始資料!AV101&lt;&gt;"",原始資料!AW101=原始資料!AV101),N(AT101)+1,1))</f>
        <v/>
      </c>
      <c r="AV101" s="6">
        <f>IF(OR(原始資料!$A101="",47&gt;設定!$B$3,原始資料!AX101=""),"",IF(AND(原始資料!AW101&lt;&gt;"",原始資料!AX101=原始資料!AW101),N(AU101)+1,1))</f>
        <v/>
      </c>
      <c r="AW101" s="6">
        <f>IF(OR(原始資料!$A101="",48&gt;設定!$B$3,原始資料!AY101=""),"",IF(AND(原始資料!AX101&lt;&gt;"",原始資料!AY101=原始資料!AX101),N(AV101)+1,1))</f>
        <v/>
      </c>
      <c r="AX101" s="6">
        <f>IF(OR(原始資料!$A101="",49&gt;設定!$B$3,原始資料!AZ101=""),"",IF(AND(原始資料!AY101&lt;&gt;"",原始資料!AZ101=原始資料!AY101),N(AW101)+1,1))</f>
        <v/>
      </c>
      <c r="AY101" s="6">
        <f>IF(OR(原始資料!$A101="",50&gt;設定!$B$3,原始資料!BA101=""),"",IF(AND(原始資料!AZ101&lt;&gt;"",原始資料!BA101=原始資料!AZ101),N(AX101)+1,1))</f>
        <v/>
      </c>
      <c r="AZ101" s="6">
        <f>IF(OR(原始資料!$A101="",51&gt;設定!$B$3,原始資料!BB101=""),"",IF(AND(原始資料!BA101&lt;&gt;"",原始資料!BB101=原始資料!BA101),N(AY101)+1,1))</f>
        <v/>
      </c>
      <c r="BA101" s="6">
        <f>IF(OR(原始資料!$A101="",52&gt;設定!$B$3,原始資料!BC101=""),"",IF(AND(原始資料!BB101&lt;&gt;"",原始資料!BC101=原始資料!BB101),N(AZ101)+1,1))</f>
        <v/>
      </c>
      <c r="BB101" s="6">
        <f>IF(OR(原始資料!$A101="",53&gt;設定!$B$3,原始資料!BD101=""),"",IF(AND(原始資料!BC101&lt;&gt;"",原始資料!BD101=原始資料!BC101),N(BA101)+1,1))</f>
        <v/>
      </c>
      <c r="BC101" s="6">
        <f>IF(OR(原始資料!$A101="",54&gt;設定!$B$3,原始資料!BE101=""),"",IF(AND(原始資料!BD101&lt;&gt;"",原始資料!BE101=原始資料!BD101),N(BB101)+1,1))</f>
        <v/>
      </c>
      <c r="BD101" s="6">
        <f>IF(OR(原始資料!$A101="",55&gt;設定!$B$3,原始資料!BF101=""),"",IF(AND(原始資料!BE101&lt;&gt;"",原始資料!BF101=原始資料!BE101),N(BC101)+1,1))</f>
        <v/>
      </c>
      <c r="BE101" s="6">
        <f>IF(OR(原始資料!$A101="",56&gt;設定!$B$3,原始資料!BG101=""),"",IF(AND(原始資料!BF101&lt;&gt;"",原始資料!BG101=原始資料!BF101),N(BD101)+1,1))</f>
        <v/>
      </c>
      <c r="BF101" s="6">
        <f>IF(OR(原始資料!$A101="",57&gt;設定!$B$3,原始資料!BH101=""),"",IF(AND(原始資料!BG101&lt;&gt;"",原始資料!BH101=原始資料!BG101),N(BE101)+1,1))</f>
        <v/>
      </c>
      <c r="BG101" s="6">
        <f>IF(OR(原始資料!$A101="",58&gt;設定!$B$3,原始資料!BI101=""),"",IF(AND(原始資料!BH101&lt;&gt;"",原始資料!BI101=原始資料!BH101),N(BF101)+1,1))</f>
        <v/>
      </c>
      <c r="BH101" s="6">
        <f>IF(OR(原始資料!$A101="",59&gt;設定!$B$3,原始資料!BJ101=""),"",IF(AND(原始資料!BI101&lt;&gt;"",原始資料!BJ101=原始資料!BI101),N(BG101)+1,1))</f>
        <v/>
      </c>
      <c r="BI101" s="6">
        <f>IF(OR(原始資料!$A101="",60&gt;設定!$B$3,原始資料!BK101=""),"",IF(AND(原始資料!BJ101&lt;&gt;"",原始資料!BK101=原始資料!BJ101),N(BH101)+1,1))</f>
        <v/>
      </c>
    </row>
    <row r="102">
      <c r="A102" s="6">
        <f>IF(原始資料!$A102="","",原始資料!$A102)</f>
        <v/>
      </c>
      <c r="B102" s="6">
        <f>IF(OR(原始資料!$A102="",1&gt;設定!$B$3,原始資料!D102=""),"",1)</f>
        <v/>
      </c>
      <c r="C102" s="6">
        <f>IF(OR(原始資料!$A102="",2&gt;設定!$B$3,原始資料!E102=""),"",IF(AND(原始資料!D102&lt;&gt;"",原始資料!E102=原始資料!D102),N(B102)+1,1))</f>
        <v/>
      </c>
      <c r="D102" s="6">
        <f>IF(OR(原始資料!$A102="",3&gt;設定!$B$3,原始資料!F102=""),"",IF(AND(原始資料!E102&lt;&gt;"",原始資料!F102=原始資料!E102),N(C102)+1,1))</f>
        <v/>
      </c>
      <c r="E102" s="6">
        <f>IF(OR(原始資料!$A102="",4&gt;設定!$B$3,原始資料!G102=""),"",IF(AND(原始資料!F102&lt;&gt;"",原始資料!G102=原始資料!F102),N(D102)+1,1))</f>
        <v/>
      </c>
      <c r="F102" s="6">
        <f>IF(OR(原始資料!$A102="",5&gt;設定!$B$3,原始資料!H102=""),"",IF(AND(原始資料!G102&lt;&gt;"",原始資料!H102=原始資料!G102),N(E102)+1,1))</f>
        <v/>
      </c>
      <c r="G102" s="6">
        <f>IF(OR(原始資料!$A102="",6&gt;設定!$B$3,原始資料!I102=""),"",IF(AND(原始資料!H102&lt;&gt;"",原始資料!I102=原始資料!H102),N(F102)+1,1))</f>
        <v/>
      </c>
      <c r="H102" s="6">
        <f>IF(OR(原始資料!$A102="",7&gt;設定!$B$3,原始資料!J102=""),"",IF(AND(原始資料!I102&lt;&gt;"",原始資料!J102=原始資料!I102),N(G102)+1,1))</f>
        <v/>
      </c>
      <c r="I102" s="6">
        <f>IF(OR(原始資料!$A102="",8&gt;設定!$B$3,原始資料!K102=""),"",IF(AND(原始資料!J102&lt;&gt;"",原始資料!K102=原始資料!J102),N(H102)+1,1))</f>
        <v/>
      </c>
      <c r="J102" s="6">
        <f>IF(OR(原始資料!$A102="",9&gt;設定!$B$3,原始資料!L102=""),"",IF(AND(原始資料!K102&lt;&gt;"",原始資料!L102=原始資料!K102),N(I102)+1,1))</f>
        <v/>
      </c>
      <c r="K102" s="6">
        <f>IF(OR(原始資料!$A102="",10&gt;設定!$B$3,原始資料!M102=""),"",IF(AND(原始資料!L102&lt;&gt;"",原始資料!M102=原始資料!L102),N(J102)+1,1))</f>
        <v/>
      </c>
      <c r="L102" s="6">
        <f>IF(OR(原始資料!$A102="",11&gt;設定!$B$3,原始資料!N102=""),"",IF(AND(原始資料!M102&lt;&gt;"",原始資料!N102=原始資料!M102),N(K102)+1,1))</f>
        <v/>
      </c>
      <c r="M102" s="6">
        <f>IF(OR(原始資料!$A102="",12&gt;設定!$B$3,原始資料!O102=""),"",IF(AND(原始資料!N102&lt;&gt;"",原始資料!O102=原始資料!N102),N(L102)+1,1))</f>
        <v/>
      </c>
      <c r="N102" s="6">
        <f>IF(OR(原始資料!$A102="",13&gt;設定!$B$3,原始資料!P102=""),"",IF(AND(原始資料!O102&lt;&gt;"",原始資料!P102=原始資料!O102),N(M102)+1,1))</f>
        <v/>
      </c>
      <c r="O102" s="6">
        <f>IF(OR(原始資料!$A102="",14&gt;設定!$B$3,原始資料!Q102=""),"",IF(AND(原始資料!P102&lt;&gt;"",原始資料!Q102=原始資料!P102),N(N102)+1,1))</f>
        <v/>
      </c>
      <c r="P102" s="6">
        <f>IF(OR(原始資料!$A102="",15&gt;設定!$B$3,原始資料!R102=""),"",IF(AND(原始資料!Q102&lt;&gt;"",原始資料!R102=原始資料!Q102),N(O102)+1,1))</f>
        <v/>
      </c>
      <c r="Q102" s="6">
        <f>IF(OR(原始資料!$A102="",16&gt;設定!$B$3,原始資料!S102=""),"",IF(AND(原始資料!R102&lt;&gt;"",原始資料!S102=原始資料!R102),N(P102)+1,1))</f>
        <v/>
      </c>
      <c r="R102" s="6">
        <f>IF(OR(原始資料!$A102="",17&gt;設定!$B$3,原始資料!T102=""),"",IF(AND(原始資料!S102&lt;&gt;"",原始資料!T102=原始資料!S102),N(Q102)+1,1))</f>
        <v/>
      </c>
      <c r="S102" s="6">
        <f>IF(OR(原始資料!$A102="",18&gt;設定!$B$3,原始資料!U102=""),"",IF(AND(原始資料!T102&lt;&gt;"",原始資料!U102=原始資料!T102),N(R102)+1,1))</f>
        <v/>
      </c>
      <c r="T102" s="6">
        <f>IF(OR(原始資料!$A102="",19&gt;設定!$B$3,原始資料!V102=""),"",IF(AND(原始資料!U102&lt;&gt;"",原始資料!V102=原始資料!U102),N(S102)+1,1))</f>
        <v/>
      </c>
      <c r="U102" s="6">
        <f>IF(OR(原始資料!$A102="",20&gt;設定!$B$3,原始資料!W102=""),"",IF(AND(原始資料!V102&lt;&gt;"",原始資料!W102=原始資料!V102),N(T102)+1,1))</f>
        <v/>
      </c>
      <c r="V102" s="6">
        <f>IF(OR(原始資料!$A102="",21&gt;設定!$B$3,原始資料!X102=""),"",IF(AND(原始資料!W102&lt;&gt;"",原始資料!X102=原始資料!W102),N(U102)+1,1))</f>
        <v/>
      </c>
      <c r="W102" s="6">
        <f>IF(OR(原始資料!$A102="",22&gt;設定!$B$3,原始資料!Y102=""),"",IF(AND(原始資料!X102&lt;&gt;"",原始資料!Y102=原始資料!X102),N(V102)+1,1))</f>
        <v/>
      </c>
      <c r="X102" s="6">
        <f>IF(OR(原始資料!$A102="",23&gt;設定!$B$3,原始資料!Z102=""),"",IF(AND(原始資料!Y102&lt;&gt;"",原始資料!Z102=原始資料!Y102),N(W102)+1,1))</f>
        <v/>
      </c>
      <c r="Y102" s="6">
        <f>IF(OR(原始資料!$A102="",24&gt;設定!$B$3,原始資料!AA102=""),"",IF(AND(原始資料!Z102&lt;&gt;"",原始資料!AA102=原始資料!Z102),N(X102)+1,1))</f>
        <v/>
      </c>
      <c r="Z102" s="6">
        <f>IF(OR(原始資料!$A102="",25&gt;設定!$B$3,原始資料!AB102=""),"",IF(AND(原始資料!AA102&lt;&gt;"",原始資料!AB102=原始資料!AA102),N(Y102)+1,1))</f>
        <v/>
      </c>
      <c r="AA102" s="6">
        <f>IF(OR(原始資料!$A102="",26&gt;設定!$B$3,原始資料!AC102=""),"",IF(AND(原始資料!AB102&lt;&gt;"",原始資料!AC102=原始資料!AB102),N(Z102)+1,1))</f>
        <v/>
      </c>
      <c r="AB102" s="6">
        <f>IF(OR(原始資料!$A102="",27&gt;設定!$B$3,原始資料!AD102=""),"",IF(AND(原始資料!AC102&lt;&gt;"",原始資料!AD102=原始資料!AC102),N(AA102)+1,1))</f>
        <v/>
      </c>
      <c r="AC102" s="6">
        <f>IF(OR(原始資料!$A102="",28&gt;設定!$B$3,原始資料!AE102=""),"",IF(AND(原始資料!AD102&lt;&gt;"",原始資料!AE102=原始資料!AD102),N(AB102)+1,1))</f>
        <v/>
      </c>
      <c r="AD102" s="6">
        <f>IF(OR(原始資料!$A102="",29&gt;設定!$B$3,原始資料!AF102=""),"",IF(AND(原始資料!AE102&lt;&gt;"",原始資料!AF102=原始資料!AE102),N(AC102)+1,1))</f>
        <v/>
      </c>
      <c r="AE102" s="6">
        <f>IF(OR(原始資料!$A102="",30&gt;設定!$B$3,原始資料!AG102=""),"",IF(AND(原始資料!AF102&lt;&gt;"",原始資料!AG102=原始資料!AF102),N(AD102)+1,1))</f>
        <v/>
      </c>
      <c r="AF102" s="6">
        <f>IF(OR(原始資料!$A102="",31&gt;設定!$B$3,原始資料!AH102=""),"",IF(AND(原始資料!AG102&lt;&gt;"",原始資料!AH102=原始資料!AG102),N(AE102)+1,1))</f>
        <v/>
      </c>
      <c r="AG102" s="6">
        <f>IF(OR(原始資料!$A102="",32&gt;設定!$B$3,原始資料!AI102=""),"",IF(AND(原始資料!AH102&lt;&gt;"",原始資料!AI102=原始資料!AH102),N(AF102)+1,1))</f>
        <v/>
      </c>
      <c r="AH102" s="6">
        <f>IF(OR(原始資料!$A102="",33&gt;設定!$B$3,原始資料!AJ102=""),"",IF(AND(原始資料!AI102&lt;&gt;"",原始資料!AJ102=原始資料!AI102),N(AG102)+1,1))</f>
        <v/>
      </c>
      <c r="AI102" s="6">
        <f>IF(OR(原始資料!$A102="",34&gt;設定!$B$3,原始資料!AK102=""),"",IF(AND(原始資料!AJ102&lt;&gt;"",原始資料!AK102=原始資料!AJ102),N(AH102)+1,1))</f>
        <v/>
      </c>
      <c r="AJ102" s="6">
        <f>IF(OR(原始資料!$A102="",35&gt;設定!$B$3,原始資料!AL102=""),"",IF(AND(原始資料!AK102&lt;&gt;"",原始資料!AL102=原始資料!AK102),N(AI102)+1,1))</f>
        <v/>
      </c>
      <c r="AK102" s="6">
        <f>IF(OR(原始資料!$A102="",36&gt;設定!$B$3,原始資料!AM102=""),"",IF(AND(原始資料!AL102&lt;&gt;"",原始資料!AM102=原始資料!AL102),N(AJ102)+1,1))</f>
        <v/>
      </c>
      <c r="AL102" s="6">
        <f>IF(OR(原始資料!$A102="",37&gt;設定!$B$3,原始資料!AN102=""),"",IF(AND(原始資料!AM102&lt;&gt;"",原始資料!AN102=原始資料!AM102),N(AK102)+1,1))</f>
        <v/>
      </c>
      <c r="AM102" s="6">
        <f>IF(OR(原始資料!$A102="",38&gt;設定!$B$3,原始資料!AO102=""),"",IF(AND(原始資料!AN102&lt;&gt;"",原始資料!AO102=原始資料!AN102),N(AL102)+1,1))</f>
        <v/>
      </c>
      <c r="AN102" s="6">
        <f>IF(OR(原始資料!$A102="",39&gt;設定!$B$3,原始資料!AP102=""),"",IF(AND(原始資料!AO102&lt;&gt;"",原始資料!AP102=原始資料!AO102),N(AM102)+1,1))</f>
        <v/>
      </c>
      <c r="AO102" s="6">
        <f>IF(OR(原始資料!$A102="",40&gt;設定!$B$3,原始資料!AQ102=""),"",IF(AND(原始資料!AP102&lt;&gt;"",原始資料!AQ102=原始資料!AP102),N(AN102)+1,1))</f>
        <v/>
      </c>
      <c r="AP102" s="6">
        <f>IF(OR(原始資料!$A102="",41&gt;設定!$B$3,原始資料!AR102=""),"",IF(AND(原始資料!AQ102&lt;&gt;"",原始資料!AR102=原始資料!AQ102),N(AO102)+1,1))</f>
        <v/>
      </c>
      <c r="AQ102" s="6">
        <f>IF(OR(原始資料!$A102="",42&gt;設定!$B$3,原始資料!AS102=""),"",IF(AND(原始資料!AR102&lt;&gt;"",原始資料!AS102=原始資料!AR102),N(AP102)+1,1))</f>
        <v/>
      </c>
      <c r="AR102" s="6">
        <f>IF(OR(原始資料!$A102="",43&gt;設定!$B$3,原始資料!AT102=""),"",IF(AND(原始資料!AS102&lt;&gt;"",原始資料!AT102=原始資料!AS102),N(AQ102)+1,1))</f>
        <v/>
      </c>
      <c r="AS102" s="6">
        <f>IF(OR(原始資料!$A102="",44&gt;設定!$B$3,原始資料!AU102=""),"",IF(AND(原始資料!AT102&lt;&gt;"",原始資料!AU102=原始資料!AT102),N(AR102)+1,1))</f>
        <v/>
      </c>
      <c r="AT102" s="6">
        <f>IF(OR(原始資料!$A102="",45&gt;設定!$B$3,原始資料!AV102=""),"",IF(AND(原始資料!AU102&lt;&gt;"",原始資料!AV102=原始資料!AU102),N(AS102)+1,1))</f>
        <v/>
      </c>
      <c r="AU102" s="6">
        <f>IF(OR(原始資料!$A102="",46&gt;設定!$B$3,原始資料!AW102=""),"",IF(AND(原始資料!AV102&lt;&gt;"",原始資料!AW102=原始資料!AV102),N(AT102)+1,1))</f>
        <v/>
      </c>
      <c r="AV102" s="6">
        <f>IF(OR(原始資料!$A102="",47&gt;設定!$B$3,原始資料!AX102=""),"",IF(AND(原始資料!AW102&lt;&gt;"",原始資料!AX102=原始資料!AW102),N(AU102)+1,1))</f>
        <v/>
      </c>
      <c r="AW102" s="6">
        <f>IF(OR(原始資料!$A102="",48&gt;設定!$B$3,原始資料!AY102=""),"",IF(AND(原始資料!AX102&lt;&gt;"",原始資料!AY102=原始資料!AX102),N(AV102)+1,1))</f>
        <v/>
      </c>
      <c r="AX102" s="6">
        <f>IF(OR(原始資料!$A102="",49&gt;設定!$B$3,原始資料!AZ102=""),"",IF(AND(原始資料!AY102&lt;&gt;"",原始資料!AZ102=原始資料!AY102),N(AW102)+1,1))</f>
        <v/>
      </c>
      <c r="AY102" s="6">
        <f>IF(OR(原始資料!$A102="",50&gt;設定!$B$3,原始資料!BA102=""),"",IF(AND(原始資料!AZ102&lt;&gt;"",原始資料!BA102=原始資料!AZ102),N(AX102)+1,1))</f>
        <v/>
      </c>
      <c r="AZ102" s="6">
        <f>IF(OR(原始資料!$A102="",51&gt;設定!$B$3,原始資料!BB102=""),"",IF(AND(原始資料!BA102&lt;&gt;"",原始資料!BB102=原始資料!BA102),N(AY102)+1,1))</f>
        <v/>
      </c>
      <c r="BA102" s="6">
        <f>IF(OR(原始資料!$A102="",52&gt;設定!$B$3,原始資料!BC102=""),"",IF(AND(原始資料!BB102&lt;&gt;"",原始資料!BC102=原始資料!BB102),N(AZ102)+1,1))</f>
        <v/>
      </c>
      <c r="BB102" s="6">
        <f>IF(OR(原始資料!$A102="",53&gt;設定!$B$3,原始資料!BD102=""),"",IF(AND(原始資料!BC102&lt;&gt;"",原始資料!BD102=原始資料!BC102),N(BA102)+1,1))</f>
        <v/>
      </c>
      <c r="BC102" s="6">
        <f>IF(OR(原始資料!$A102="",54&gt;設定!$B$3,原始資料!BE102=""),"",IF(AND(原始資料!BD102&lt;&gt;"",原始資料!BE102=原始資料!BD102),N(BB102)+1,1))</f>
        <v/>
      </c>
      <c r="BD102" s="6">
        <f>IF(OR(原始資料!$A102="",55&gt;設定!$B$3,原始資料!BF102=""),"",IF(AND(原始資料!BE102&lt;&gt;"",原始資料!BF102=原始資料!BE102),N(BC102)+1,1))</f>
        <v/>
      </c>
      <c r="BE102" s="6">
        <f>IF(OR(原始資料!$A102="",56&gt;設定!$B$3,原始資料!BG102=""),"",IF(AND(原始資料!BF102&lt;&gt;"",原始資料!BG102=原始資料!BF102),N(BD102)+1,1))</f>
        <v/>
      </c>
      <c r="BF102" s="6">
        <f>IF(OR(原始資料!$A102="",57&gt;設定!$B$3,原始資料!BH102=""),"",IF(AND(原始資料!BG102&lt;&gt;"",原始資料!BH102=原始資料!BG102),N(BE102)+1,1))</f>
        <v/>
      </c>
      <c r="BG102" s="6">
        <f>IF(OR(原始資料!$A102="",58&gt;設定!$B$3,原始資料!BI102=""),"",IF(AND(原始資料!BH102&lt;&gt;"",原始資料!BI102=原始資料!BH102),N(BF102)+1,1))</f>
        <v/>
      </c>
      <c r="BH102" s="6">
        <f>IF(OR(原始資料!$A102="",59&gt;設定!$B$3,原始資料!BJ102=""),"",IF(AND(原始資料!BI102&lt;&gt;"",原始資料!BJ102=原始資料!BI102),N(BG102)+1,1))</f>
        <v/>
      </c>
      <c r="BI102" s="6">
        <f>IF(OR(原始資料!$A102="",60&gt;設定!$B$3,原始資料!BK102=""),"",IF(AND(原始資料!BJ102&lt;&gt;"",原始資料!BK102=原始資料!BJ102),N(BH102)+1,1))</f>
        <v/>
      </c>
    </row>
    <row r="103">
      <c r="A103" s="6">
        <f>IF(原始資料!$A103="","",原始資料!$A103)</f>
        <v/>
      </c>
      <c r="B103" s="6">
        <f>IF(OR(原始資料!$A103="",1&gt;設定!$B$3,原始資料!D103=""),"",1)</f>
        <v/>
      </c>
      <c r="C103" s="6">
        <f>IF(OR(原始資料!$A103="",2&gt;設定!$B$3,原始資料!E103=""),"",IF(AND(原始資料!D103&lt;&gt;"",原始資料!E103=原始資料!D103),N(B103)+1,1))</f>
        <v/>
      </c>
      <c r="D103" s="6">
        <f>IF(OR(原始資料!$A103="",3&gt;設定!$B$3,原始資料!F103=""),"",IF(AND(原始資料!E103&lt;&gt;"",原始資料!F103=原始資料!E103),N(C103)+1,1))</f>
        <v/>
      </c>
      <c r="E103" s="6">
        <f>IF(OR(原始資料!$A103="",4&gt;設定!$B$3,原始資料!G103=""),"",IF(AND(原始資料!F103&lt;&gt;"",原始資料!G103=原始資料!F103),N(D103)+1,1))</f>
        <v/>
      </c>
      <c r="F103" s="6">
        <f>IF(OR(原始資料!$A103="",5&gt;設定!$B$3,原始資料!H103=""),"",IF(AND(原始資料!G103&lt;&gt;"",原始資料!H103=原始資料!G103),N(E103)+1,1))</f>
        <v/>
      </c>
      <c r="G103" s="6">
        <f>IF(OR(原始資料!$A103="",6&gt;設定!$B$3,原始資料!I103=""),"",IF(AND(原始資料!H103&lt;&gt;"",原始資料!I103=原始資料!H103),N(F103)+1,1))</f>
        <v/>
      </c>
      <c r="H103" s="6">
        <f>IF(OR(原始資料!$A103="",7&gt;設定!$B$3,原始資料!J103=""),"",IF(AND(原始資料!I103&lt;&gt;"",原始資料!J103=原始資料!I103),N(G103)+1,1))</f>
        <v/>
      </c>
      <c r="I103" s="6">
        <f>IF(OR(原始資料!$A103="",8&gt;設定!$B$3,原始資料!K103=""),"",IF(AND(原始資料!J103&lt;&gt;"",原始資料!K103=原始資料!J103),N(H103)+1,1))</f>
        <v/>
      </c>
      <c r="J103" s="6">
        <f>IF(OR(原始資料!$A103="",9&gt;設定!$B$3,原始資料!L103=""),"",IF(AND(原始資料!K103&lt;&gt;"",原始資料!L103=原始資料!K103),N(I103)+1,1))</f>
        <v/>
      </c>
      <c r="K103" s="6">
        <f>IF(OR(原始資料!$A103="",10&gt;設定!$B$3,原始資料!M103=""),"",IF(AND(原始資料!L103&lt;&gt;"",原始資料!M103=原始資料!L103),N(J103)+1,1))</f>
        <v/>
      </c>
      <c r="L103" s="6">
        <f>IF(OR(原始資料!$A103="",11&gt;設定!$B$3,原始資料!N103=""),"",IF(AND(原始資料!M103&lt;&gt;"",原始資料!N103=原始資料!M103),N(K103)+1,1))</f>
        <v/>
      </c>
      <c r="M103" s="6">
        <f>IF(OR(原始資料!$A103="",12&gt;設定!$B$3,原始資料!O103=""),"",IF(AND(原始資料!N103&lt;&gt;"",原始資料!O103=原始資料!N103),N(L103)+1,1))</f>
        <v/>
      </c>
      <c r="N103" s="6">
        <f>IF(OR(原始資料!$A103="",13&gt;設定!$B$3,原始資料!P103=""),"",IF(AND(原始資料!O103&lt;&gt;"",原始資料!P103=原始資料!O103),N(M103)+1,1))</f>
        <v/>
      </c>
      <c r="O103" s="6">
        <f>IF(OR(原始資料!$A103="",14&gt;設定!$B$3,原始資料!Q103=""),"",IF(AND(原始資料!P103&lt;&gt;"",原始資料!Q103=原始資料!P103),N(N103)+1,1))</f>
        <v/>
      </c>
      <c r="P103" s="6">
        <f>IF(OR(原始資料!$A103="",15&gt;設定!$B$3,原始資料!R103=""),"",IF(AND(原始資料!Q103&lt;&gt;"",原始資料!R103=原始資料!Q103),N(O103)+1,1))</f>
        <v/>
      </c>
      <c r="Q103" s="6">
        <f>IF(OR(原始資料!$A103="",16&gt;設定!$B$3,原始資料!S103=""),"",IF(AND(原始資料!R103&lt;&gt;"",原始資料!S103=原始資料!R103),N(P103)+1,1))</f>
        <v/>
      </c>
      <c r="R103" s="6">
        <f>IF(OR(原始資料!$A103="",17&gt;設定!$B$3,原始資料!T103=""),"",IF(AND(原始資料!S103&lt;&gt;"",原始資料!T103=原始資料!S103),N(Q103)+1,1))</f>
        <v/>
      </c>
      <c r="S103" s="6">
        <f>IF(OR(原始資料!$A103="",18&gt;設定!$B$3,原始資料!U103=""),"",IF(AND(原始資料!T103&lt;&gt;"",原始資料!U103=原始資料!T103),N(R103)+1,1))</f>
        <v/>
      </c>
      <c r="T103" s="6">
        <f>IF(OR(原始資料!$A103="",19&gt;設定!$B$3,原始資料!V103=""),"",IF(AND(原始資料!U103&lt;&gt;"",原始資料!V103=原始資料!U103),N(S103)+1,1))</f>
        <v/>
      </c>
      <c r="U103" s="6">
        <f>IF(OR(原始資料!$A103="",20&gt;設定!$B$3,原始資料!W103=""),"",IF(AND(原始資料!V103&lt;&gt;"",原始資料!W103=原始資料!V103),N(T103)+1,1))</f>
        <v/>
      </c>
      <c r="V103" s="6">
        <f>IF(OR(原始資料!$A103="",21&gt;設定!$B$3,原始資料!X103=""),"",IF(AND(原始資料!W103&lt;&gt;"",原始資料!X103=原始資料!W103),N(U103)+1,1))</f>
        <v/>
      </c>
      <c r="W103" s="6">
        <f>IF(OR(原始資料!$A103="",22&gt;設定!$B$3,原始資料!Y103=""),"",IF(AND(原始資料!X103&lt;&gt;"",原始資料!Y103=原始資料!X103),N(V103)+1,1))</f>
        <v/>
      </c>
      <c r="X103" s="6">
        <f>IF(OR(原始資料!$A103="",23&gt;設定!$B$3,原始資料!Z103=""),"",IF(AND(原始資料!Y103&lt;&gt;"",原始資料!Z103=原始資料!Y103),N(W103)+1,1))</f>
        <v/>
      </c>
      <c r="Y103" s="6">
        <f>IF(OR(原始資料!$A103="",24&gt;設定!$B$3,原始資料!AA103=""),"",IF(AND(原始資料!Z103&lt;&gt;"",原始資料!AA103=原始資料!Z103),N(X103)+1,1))</f>
        <v/>
      </c>
      <c r="Z103" s="6">
        <f>IF(OR(原始資料!$A103="",25&gt;設定!$B$3,原始資料!AB103=""),"",IF(AND(原始資料!AA103&lt;&gt;"",原始資料!AB103=原始資料!AA103),N(Y103)+1,1))</f>
        <v/>
      </c>
      <c r="AA103" s="6">
        <f>IF(OR(原始資料!$A103="",26&gt;設定!$B$3,原始資料!AC103=""),"",IF(AND(原始資料!AB103&lt;&gt;"",原始資料!AC103=原始資料!AB103),N(Z103)+1,1))</f>
        <v/>
      </c>
      <c r="AB103" s="6">
        <f>IF(OR(原始資料!$A103="",27&gt;設定!$B$3,原始資料!AD103=""),"",IF(AND(原始資料!AC103&lt;&gt;"",原始資料!AD103=原始資料!AC103),N(AA103)+1,1))</f>
        <v/>
      </c>
      <c r="AC103" s="6">
        <f>IF(OR(原始資料!$A103="",28&gt;設定!$B$3,原始資料!AE103=""),"",IF(AND(原始資料!AD103&lt;&gt;"",原始資料!AE103=原始資料!AD103),N(AB103)+1,1))</f>
        <v/>
      </c>
      <c r="AD103" s="6">
        <f>IF(OR(原始資料!$A103="",29&gt;設定!$B$3,原始資料!AF103=""),"",IF(AND(原始資料!AE103&lt;&gt;"",原始資料!AF103=原始資料!AE103),N(AC103)+1,1))</f>
        <v/>
      </c>
      <c r="AE103" s="6">
        <f>IF(OR(原始資料!$A103="",30&gt;設定!$B$3,原始資料!AG103=""),"",IF(AND(原始資料!AF103&lt;&gt;"",原始資料!AG103=原始資料!AF103),N(AD103)+1,1))</f>
        <v/>
      </c>
      <c r="AF103" s="6">
        <f>IF(OR(原始資料!$A103="",31&gt;設定!$B$3,原始資料!AH103=""),"",IF(AND(原始資料!AG103&lt;&gt;"",原始資料!AH103=原始資料!AG103),N(AE103)+1,1))</f>
        <v/>
      </c>
      <c r="AG103" s="6">
        <f>IF(OR(原始資料!$A103="",32&gt;設定!$B$3,原始資料!AI103=""),"",IF(AND(原始資料!AH103&lt;&gt;"",原始資料!AI103=原始資料!AH103),N(AF103)+1,1))</f>
        <v/>
      </c>
      <c r="AH103" s="6">
        <f>IF(OR(原始資料!$A103="",33&gt;設定!$B$3,原始資料!AJ103=""),"",IF(AND(原始資料!AI103&lt;&gt;"",原始資料!AJ103=原始資料!AI103),N(AG103)+1,1))</f>
        <v/>
      </c>
      <c r="AI103" s="6">
        <f>IF(OR(原始資料!$A103="",34&gt;設定!$B$3,原始資料!AK103=""),"",IF(AND(原始資料!AJ103&lt;&gt;"",原始資料!AK103=原始資料!AJ103),N(AH103)+1,1))</f>
        <v/>
      </c>
      <c r="AJ103" s="6">
        <f>IF(OR(原始資料!$A103="",35&gt;設定!$B$3,原始資料!AL103=""),"",IF(AND(原始資料!AK103&lt;&gt;"",原始資料!AL103=原始資料!AK103),N(AI103)+1,1))</f>
        <v/>
      </c>
      <c r="AK103" s="6">
        <f>IF(OR(原始資料!$A103="",36&gt;設定!$B$3,原始資料!AM103=""),"",IF(AND(原始資料!AL103&lt;&gt;"",原始資料!AM103=原始資料!AL103),N(AJ103)+1,1))</f>
        <v/>
      </c>
      <c r="AL103" s="6">
        <f>IF(OR(原始資料!$A103="",37&gt;設定!$B$3,原始資料!AN103=""),"",IF(AND(原始資料!AM103&lt;&gt;"",原始資料!AN103=原始資料!AM103),N(AK103)+1,1))</f>
        <v/>
      </c>
      <c r="AM103" s="6">
        <f>IF(OR(原始資料!$A103="",38&gt;設定!$B$3,原始資料!AO103=""),"",IF(AND(原始資料!AN103&lt;&gt;"",原始資料!AO103=原始資料!AN103),N(AL103)+1,1))</f>
        <v/>
      </c>
      <c r="AN103" s="6">
        <f>IF(OR(原始資料!$A103="",39&gt;設定!$B$3,原始資料!AP103=""),"",IF(AND(原始資料!AO103&lt;&gt;"",原始資料!AP103=原始資料!AO103),N(AM103)+1,1))</f>
        <v/>
      </c>
      <c r="AO103" s="6">
        <f>IF(OR(原始資料!$A103="",40&gt;設定!$B$3,原始資料!AQ103=""),"",IF(AND(原始資料!AP103&lt;&gt;"",原始資料!AQ103=原始資料!AP103),N(AN103)+1,1))</f>
        <v/>
      </c>
      <c r="AP103" s="6">
        <f>IF(OR(原始資料!$A103="",41&gt;設定!$B$3,原始資料!AR103=""),"",IF(AND(原始資料!AQ103&lt;&gt;"",原始資料!AR103=原始資料!AQ103),N(AO103)+1,1))</f>
        <v/>
      </c>
      <c r="AQ103" s="6">
        <f>IF(OR(原始資料!$A103="",42&gt;設定!$B$3,原始資料!AS103=""),"",IF(AND(原始資料!AR103&lt;&gt;"",原始資料!AS103=原始資料!AR103),N(AP103)+1,1))</f>
        <v/>
      </c>
      <c r="AR103" s="6">
        <f>IF(OR(原始資料!$A103="",43&gt;設定!$B$3,原始資料!AT103=""),"",IF(AND(原始資料!AS103&lt;&gt;"",原始資料!AT103=原始資料!AS103),N(AQ103)+1,1))</f>
        <v/>
      </c>
      <c r="AS103" s="6">
        <f>IF(OR(原始資料!$A103="",44&gt;設定!$B$3,原始資料!AU103=""),"",IF(AND(原始資料!AT103&lt;&gt;"",原始資料!AU103=原始資料!AT103),N(AR103)+1,1))</f>
        <v/>
      </c>
      <c r="AT103" s="6">
        <f>IF(OR(原始資料!$A103="",45&gt;設定!$B$3,原始資料!AV103=""),"",IF(AND(原始資料!AU103&lt;&gt;"",原始資料!AV103=原始資料!AU103),N(AS103)+1,1))</f>
        <v/>
      </c>
      <c r="AU103" s="6">
        <f>IF(OR(原始資料!$A103="",46&gt;設定!$B$3,原始資料!AW103=""),"",IF(AND(原始資料!AV103&lt;&gt;"",原始資料!AW103=原始資料!AV103),N(AT103)+1,1))</f>
        <v/>
      </c>
      <c r="AV103" s="6">
        <f>IF(OR(原始資料!$A103="",47&gt;設定!$B$3,原始資料!AX103=""),"",IF(AND(原始資料!AW103&lt;&gt;"",原始資料!AX103=原始資料!AW103),N(AU103)+1,1))</f>
        <v/>
      </c>
      <c r="AW103" s="6">
        <f>IF(OR(原始資料!$A103="",48&gt;設定!$B$3,原始資料!AY103=""),"",IF(AND(原始資料!AX103&lt;&gt;"",原始資料!AY103=原始資料!AX103),N(AV103)+1,1))</f>
        <v/>
      </c>
      <c r="AX103" s="6">
        <f>IF(OR(原始資料!$A103="",49&gt;設定!$B$3,原始資料!AZ103=""),"",IF(AND(原始資料!AY103&lt;&gt;"",原始資料!AZ103=原始資料!AY103),N(AW103)+1,1))</f>
        <v/>
      </c>
      <c r="AY103" s="6">
        <f>IF(OR(原始資料!$A103="",50&gt;設定!$B$3,原始資料!BA103=""),"",IF(AND(原始資料!AZ103&lt;&gt;"",原始資料!BA103=原始資料!AZ103),N(AX103)+1,1))</f>
        <v/>
      </c>
      <c r="AZ103" s="6">
        <f>IF(OR(原始資料!$A103="",51&gt;設定!$B$3,原始資料!BB103=""),"",IF(AND(原始資料!BA103&lt;&gt;"",原始資料!BB103=原始資料!BA103),N(AY103)+1,1))</f>
        <v/>
      </c>
      <c r="BA103" s="6">
        <f>IF(OR(原始資料!$A103="",52&gt;設定!$B$3,原始資料!BC103=""),"",IF(AND(原始資料!BB103&lt;&gt;"",原始資料!BC103=原始資料!BB103),N(AZ103)+1,1))</f>
        <v/>
      </c>
      <c r="BB103" s="6">
        <f>IF(OR(原始資料!$A103="",53&gt;設定!$B$3,原始資料!BD103=""),"",IF(AND(原始資料!BC103&lt;&gt;"",原始資料!BD103=原始資料!BC103),N(BA103)+1,1))</f>
        <v/>
      </c>
      <c r="BC103" s="6">
        <f>IF(OR(原始資料!$A103="",54&gt;設定!$B$3,原始資料!BE103=""),"",IF(AND(原始資料!BD103&lt;&gt;"",原始資料!BE103=原始資料!BD103),N(BB103)+1,1))</f>
        <v/>
      </c>
      <c r="BD103" s="6">
        <f>IF(OR(原始資料!$A103="",55&gt;設定!$B$3,原始資料!BF103=""),"",IF(AND(原始資料!BE103&lt;&gt;"",原始資料!BF103=原始資料!BE103),N(BC103)+1,1))</f>
        <v/>
      </c>
      <c r="BE103" s="6">
        <f>IF(OR(原始資料!$A103="",56&gt;設定!$B$3,原始資料!BG103=""),"",IF(AND(原始資料!BF103&lt;&gt;"",原始資料!BG103=原始資料!BF103),N(BD103)+1,1))</f>
        <v/>
      </c>
      <c r="BF103" s="6">
        <f>IF(OR(原始資料!$A103="",57&gt;設定!$B$3,原始資料!BH103=""),"",IF(AND(原始資料!BG103&lt;&gt;"",原始資料!BH103=原始資料!BG103),N(BE103)+1,1))</f>
        <v/>
      </c>
      <c r="BG103" s="6">
        <f>IF(OR(原始資料!$A103="",58&gt;設定!$B$3,原始資料!BI103=""),"",IF(AND(原始資料!BH103&lt;&gt;"",原始資料!BI103=原始資料!BH103),N(BF103)+1,1))</f>
        <v/>
      </c>
      <c r="BH103" s="6">
        <f>IF(OR(原始資料!$A103="",59&gt;設定!$B$3,原始資料!BJ103=""),"",IF(AND(原始資料!BI103&lt;&gt;"",原始資料!BJ103=原始資料!BI103),N(BG103)+1,1))</f>
        <v/>
      </c>
      <c r="BI103" s="6">
        <f>IF(OR(原始資料!$A103="",60&gt;設定!$B$3,原始資料!BK103=""),"",IF(AND(原始資料!BJ103&lt;&gt;"",原始資料!BK103=原始資料!BJ103),N(BH103)+1,1))</f>
        <v/>
      </c>
    </row>
    <row r="104">
      <c r="A104" s="6">
        <f>IF(原始資料!$A104="","",原始資料!$A104)</f>
        <v/>
      </c>
      <c r="B104" s="6">
        <f>IF(OR(原始資料!$A104="",1&gt;設定!$B$3,原始資料!D104=""),"",1)</f>
        <v/>
      </c>
      <c r="C104" s="6">
        <f>IF(OR(原始資料!$A104="",2&gt;設定!$B$3,原始資料!E104=""),"",IF(AND(原始資料!D104&lt;&gt;"",原始資料!E104=原始資料!D104),N(B104)+1,1))</f>
        <v/>
      </c>
      <c r="D104" s="6">
        <f>IF(OR(原始資料!$A104="",3&gt;設定!$B$3,原始資料!F104=""),"",IF(AND(原始資料!E104&lt;&gt;"",原始資料!F104=原始資料!E104),N(C104)+1,1))</f>
        <v/>
      </c>
      <c r="E104" s="6">
        <f>IF(OR(原始資料!$A104="",4&gt;設定!$B$3,原始資料!G104=""),"",IF(AND(原始資料!F104&lt;&gt;"",原始資料!G104=原始資料!F104),N(D104)+1,1))</f>
        <v/>
      </c>
      <c r="F104" s="6">
        <f>IF(OR(原始資料!$A104="",5&gt;設定!$B$3,原始資料!H104=""),"",IF(AND(原始資料!G104&lt;&gt;"",原始資料!H104=原始資料!G104),N(E104)+1,1))</f>
        <v/>
      </c>
      <c r="G104" s="6">
        <f>IF(OR(原始資料!$A104="",6&gt;設定!$B$3,原始資料!I104=""),"",IF(AND(原始資料!H104&lt;&gt;"",原始資料!I104=原始資料!H104),N(F104)+1,1))</f>
        <v/>
      </c>
      <c r="H104" s="6">
        <f>IF(OR(原始資料!$A104="",7&gt;設定!$B$3,原始資料!J104=""),"",IF(AND(原始資料!I104&lt;&gt;"",原始資料!J104=原始資料!I104),N(G104)+1,1))</f>
        <v/>
      </c>
      <c r="I104" s="6">
        <f>IF(OR(原始資料!$A104="",8&gt;設定!$B$3,原始資料!K104=""),"",IF(AND(原始資料!J104&lt;&gt;"",原始資料!K104=原始資料!J104),N(H104)+1,1))</f>
        <v/>
      </c>
      <c r="J104" s="6">
        <f>IF(OR(原始資料!$A104="",9&gt;設定!$B$3,原始資料!L104=""),"",IF(AND(原始資料!K104&lt;&gt;"",原始資料!L104=原始資料!K104),N(I104)+1,1))</f>
        <v/>
      </c>
      <c r="K104" s="6">
        <f>IF(OR(原始資料!$A104="",10&gt;設定!$B$3,原始資料!M104=""),"",IF(AND(原始資料!L104&lt;&gt;"",原始資料!M104=原始資料!L104),N(J104)+1,1))</f>
        <v/>
      </c>
      <c r="L104" s="6">
        <f>IF(OR(原始資料!$A104="",11&gt;設定!$B$3,原始資料!N104=""),"",IF(AND(原始資料!M104&lt;&gt;"",原始資料!N104=原始資料!M104),N(K104)+1,1))</f>
        <v/>
      </c>
      <c r="M104" s="6">
        <f>IF(OR(原始資料!$A104="",12&gt;設定!$B$3,原始資料!O104=""),"",IF(AND(原始資料!N104&lt;&gt;"",原始資料!O104=原始資料!N104),N(L104)+1,1))</f>
        <v/>
      </c>
      <c r="N104" s="6">
        <f>IF(OR(原始資料!$A104="",13&gt;設定!$B$3,原始資料!P104=""),"",IF(AND(原始資料!O104&lt;&gt;"",原始資料!P104=原始資料!O104),N(M104)+1,1))</f>
        <v/>
      </c>
      <c r="O104" s="6">
        <f>IF(OR(原始資料!$A104="",14&gt;設定!$B$3,原始資料!Q104=""),"",IF(AND(原始資料!P104&lt;&gt;"",原始資料!Q104=原始資料!P104),N(N104)+1,1))</f>
        <v/>
      </c>
      <c r="P104" s="6">
        <f>IF(OR(原始資料!$A104="",15&gt;設定!$B$3,原始資料!R104=""),"",IF(AND(原始資料!Q104&lt;&gt;"",原始資料!R104=原始資料!Q104),N(O104)+1,1))</f>
        <v/>
      </c>
      <c r="Q104" s="6">
        <f>IF(OR(原始資料!$A104="",16&gt;設定!$B$3,原始資料!S104=""),"",IF(AND(原始資料!R104&lt;&gt;"",原始資料!S104=原始資料!R104),N(P104)+1,1))</f>
        <v/>
      </c>
      <c r="R104" s="6">
        <f>IF(OR(原始資料!$A104="",17&gt;設定!$B$3,原始資料!T104=""),"",IF(AND(原始資料!S104&lt;&gt;"",原始資料!T104=原始資料!S104),N(Q104)+1,1))</f>
        <v/>
      </c>
      <c r="S104" s="6">
        <f>IF(OR(原始資料!$A104="",18&gt;設定!$B$3,原始資料!U104=""),"",IF(AND(原始資料!T104&lt;&gt;"",原始資料!U104=原始資料!T104),N(R104)+1,1))</f>
        <v/>
      </c>
      <c r="T104" s="6">
        <f>IF(OR(原始資料!$A104="",19&gt;設定!$B$3,原始資料!V104=""),"",IF(AND(原始資料!U104&lt;&gt;"",原始資料!V104=原始資料!U104),N(S104)+1,1))</f>
        <v/>
      </c>
      <c r="U104" s="6">
        <f>IF(OR(原始資料!$A104="",20&gt;設定!$B$3,原始資料!W104=""),"",IF(AND(原始資料!V104&lt;&gt;"",原始資料!W104=原始資料!V104),N(T104)+1,1))</f>
        <v/>
      </c>
      <c r="V104" s="6">
        <f>IF(OR(原始資料!$A104="",21&gt;設定!$B$3,原始資料!X104=""),"",IF(AND(原始資料!W104&lt;&gt;"",原始資料!X104=原始資料!W104),N(U104)+1,1))</f>
        <v/>
      </c>
      <c r="W104" s="6">
        <f>IF(OR(原始資料!$A104="",22&gt;設定!$B$3,原始資料!Y104=""),"",IF(AND(原始資料!X104&lt;&gt;"",原始資料!Y104=原始資料!X104),N(V104)+1,1))</f>
        <v/>
      </c>
      <c r="X104" s="6">
        <f>IF(OR(原始資料!$A104="",23&gt;設定!$B$3,原始資料!Z104=""),"",IF(AND(原始資料!Y104&lt;&gt;"",原始資料!Z104=原始資料!Y104),N(W104)+1,1))</f>
        <v/>
      </c>
      <c r="Y104" s="6">
        <f>IF(OR(原始資料!$A104="",24&gt;設定!$B$3,原始資料!AA104=""),"",IF(AND(原始資料!Z104&lt;&gt;"",原始資料!AA104=原始資料!Z104),N(X104)+1,1))</f>
        <v/>
      </c>
      <c r="Z104" s="6">
        <f>IF(OR(原始資料!$A104="",25&gt;設定!$B$3,原始資料!AB104=""),"",IF(AND(原始資料!AA104&lt;&gt;"",原始資料!AB104=原始資料!AA104),N(Y104)+1,1))</f>
        <v/>
      </c>
      <c r="AA104" s="6">
        <f>IF(OR(原始資料!$A104="",26&gt;設定!$B$3,原始資料!AC104=""),"",IF(AND(原始資料!AB104&lt;&gt;"",原始資料!AC104=原始資料!AB104),N(Z104)+1,1))</f>
        <v/>
      </c>
      <c r="AB104" s="6">
        <f>IF(OR(原始資料!$A104="",27&gt;設定!$B$3,原始資料!AD104=""),"",IF(AND(原始資料!AC104&lt;&gt;"",原始資料!AD104=原始資料!AC104),N(AA104)+1,1))</f>
        <v/>
      </c>
      <c r="AC104" s="6">
        <f>IF(OR(原始資料!$A104="",28&gt;設定!$B$3,原始資料!AE104=""),"",IF(AND(原始資料!AD104&lt;&gt;"",原始資料!AE104=原始資料!AD104),N(AB104)+1,1))</f>
        <v/>
      </c>
      <c r="AD104" s="6">
        <f>IF(OR(原始資料!$A104="",29&gt;設定!$B$3,原始資料!AF104=""),"",IF(AND(原始資料!AE104&lt;&gt;"",原始資料!AF104=原始資料!AE104),N(AC104)+1,1))</f>
        <v/>
      </c>
      <c r="AE104" s="6">
        <f>IF(OR(原始資料!$A104="",30&gt;設定!$B$3,原始資料!AG104=""),"",IF(AND(原始資料!AF104&lt;&gt;"",原始資料!AG104=原始資料!AF104),N(AD104)+1,1))</f>
        <v/>
      </c>
      <c r="AF104" s="6">
        <f>IF(OR(原始資料!$A104="",31&gt;設定!$B$3,原始資料!AH104=""),"",IF(AND(原始資料!AG104&lt;&gt;"",原始資料!AH104=原始資料!AG104),N(AE104)+1,1))</f>
        <v/>
      </c>
      <c r="AG104" s="6">
        <f>IF(OR(原始資料!$A104="",32&gt;設定!$B$3,原始資料!AI104=""),"",IF(AND(原始資料!AH104&lt;&gt;"",原始資料!AI104=原始資料!AH104),N(AF104)+1,1))</f>
        <v/>
      </c>
      <c r="AH104" s="6">
        <f>IF(OR(原始資料!$A104="",33&gt;設定!$B$3,原始資料!AJ104=""),"",IF(AND(原始資料!AI104&lt;&gt;"",原始資料!AJ104=原始資料!AI104),N(AG104)+1,1))</f>
        <v/>
      </c>
      <c r="AI104" s="6">
        <f>IF(OR(原始資料!$A104="",34&gt;設定!$B$3,原始資料!AK104=""),"",IF(AND(原始資料!AJ104&lt;&gt;"",原始資料!AK104=原始資料!AJ104),N(AH104)+1,1))</f>
        <v/>
      </c>
      <c r="AJ104" s="6">
        <f>IF(OR(原始資料!$A104="",35&gt;設定!$B$3,原始資料!AL104=""),"",IF(AND(原始資料!AK104&lt;&gt;"",原始資料!AL104=原始資料!AK104),N(AI104)+1,1))</f>
        <v/>
      </c>
      <c r="AK104" s="6">
        <f>IF(OR(原始資料!$A104="",36&gt;設定!$B$3,原始資料!AM104=""),"",IF(AND(原始資料!AL104&lt;&gt;"",原始資料!AM104=原始資料!AL104),N(AJ104)+1,1))</f>
        <v/>
      </c>
      <c r="AL104" s="6">
        <f>IF(OR(原始資料!$A104="",37&gt;設定!$B$3,原始資料!AN104=""),"",IF(AND(原始資料!AM104&lt;&gt;"",原始資料!AN104=原始資料!AM104),N(AK104)+1,1))</f>
        <v/>
      </c>
      <c r="AM104" s="6">
        <f>IF(OR(原始資料!$A104="",38&gt;設定!$B$3,原始資料!AO104=""),"",IF(AND(原始資料!AN104&lt;&gt;"",原始資料!AO104=原始資料!AN104),N(AL104)+1,1))</f>
        <v/>
      </c>
      <c r="AN104" s="6">
        <f>IF(OR(原始資料!$A104="",39&gt;設定!$B$3,原始資料!AP104=""),"",IF(AND(原始資料!AO104&lt;&gt;"",原始資料!AP104=原始資料!AO104),N(AM104)+1,1))</f>
        <v/>
      </c>
      <c r="AO104" s="6">
        <f>IF(OR(原始資料!$A104="",40&gt;設定!$B$3,原始資料!AQ104=""),"",IF(AND(原始資料!AP104&lt;&gt;"",原始資料!AQ104=原始資料!AP104),N(AN104)+1,1))</f>
        <v/>
      </c>
      <c r="AP104" s="6">
        <f>IF(OR(原始資料!$A104="",41&gt;設定!$B$3,原始資料!AR104=""),"",IF(AND(原始資料!AQ104&lt;&gt;"",原始資料!AR104=原始資料!AQ104),N(AO104)+1,1))</f>
        <v/>
      </c>
      <c r="AQ104" s="6">
        <f>IF(OR(原始資料!$A104="",42&gt;設定!$B$3,原始資料!AS104=""),"",IF(AND(原始資料!AR104&lt;&gt;"",原始資料!AS104=原始資料!AR104),N(AP104)+1,1))</f>
        <v/>
      </c>
      <c r="AR104" s="6">
        <f>IF(OR(原始資料!$A104="",43&gt;設定!$B$3,原始資料!AT104=""),"",IF(AND(原始資料!AS104&lt;&gt;"",原始資料!AT104=原始資料!AS104),N(AQ104)+1,1))</f>
        <v/>
      </c>
      <c r="AS104" s="6">
        <f>IF(OR(原始資料!$A104="",44&gt;設定!$B$3,原始資料!AU104=""),"",IF(AND(原始資料!AT104&lt;&gt;"",原始資料!AU104=原始資料!AT104),N(AR104)+1,1))</f>
        <v/>
      </c>
      <c r="AT104" s="6">
        <f>IF(OR(原始資料!$A104="",45&gt;設定!$B$3,原始資料!AV104=""),"",IF(AND(原始資料!AU104&lt;&gt;"",原始資料!AV104=原始資料!AU104),N(AS104)+1,1))</f>
        <v/>
      </c>
      <c r="AU104" s="6">
        <f>IF(OR(原始資料!$A104="",46&gt;設定!$B$3,原始資料!AW104=""),"",IF(AND(原始資料!AV104&lt;&gt;"",原始資料!AW104=原始資料!AV104),N(AT104)+1,1))</f>
        <v/>
      </c>
      <c r="AV104" s="6">
        <f>IF(OR(原始資料!$A104="",47&gt;設定!$B$3,原始資料!AX104=""),"",IF(AND(原始資料!AW104&lt;&gt;"",原始資料!AX104=原始資料!AW104),N(AU104)+1,1))</f>
        <v/>
      </c>
      <c r="AW104" s="6">
        <f>IF(OR(原始資料!$A104="",48&gt;設定!$B$3,原始資料!AY104=""),"",IF(AND(原始資料!AX104&lt;&gt;"",原始資料!AY104=原始資料!AX104),N(AV104)+1,1))</f>
        <v/>
      </c>
      <c r="AX104" s="6">
        <f>IF(OR(原始資料!$A104="",49&gt;設定!$B$3,原始資料!AZ104=""),"",IF(AND(原始資料!AY104&lt;&gt;"",原始資料!AZ104=原始資料!AY104),N(AW104)+1,1))</f>
        <v/>
      </c>
      <c r="AY104" s="6">
        <f>IF(OR(原始資料!$A104="",50&gt;設定!$B$3,原始資料!BA104=""),"",IF(AND(原始資料!AZ104&lt;&gt;"",原始資料!BA104=原始資料!AZ104),N(AX104)+1,1))</f>
        <v/>
      </c>
      <c r="AZ104" s="6">
        <f>IF(OR(原始資料!$A104="",51&gt;設定!$B$3,原始資料!BB104=""),"",IF(AND(原始資料!BA104&lt;&gt;"",原始資料!BB104=原始資料!BA104),N(AY104)+1,1))</f>
        <v/>
      </c>
      <c r="BA104" s="6">
        <f>IF(OR(原始資料!$A104="",52&gt;設定!$B$3,原始資料!BC104=""),"",IF(AND(原始資料!BB104&lt;&gt;"",原始資料!BC104=原始資料!BB104),N(AZ104)+1,1))</f>
        <v/>
      </c>
      <c r="BB104" s="6">
        <f>IF(OR(原始資料!$A104="",53&gt;設定!$B$3,原始資料!BD104=""),"",IF(AND(原始資料!BC104&lt;&gt;"",原始資料!BD104=原始資料!BC104),N(BA104)+1,1))</f>
        <v/>
      </c>
      <c r="BC104" s="6">
        <f>IF(OR(原始資料!$A104="",54&gt;設定!$B$3,原始資料!BE104=""),"",IF(AND(原始資料!BD104&lt;&gt;"",原始資料!BE104=原始資料!BD104),N(BB104)+1,1))</f>
        <v/>
      </c>
      <c r="BD104" s="6">
        <f>IF(OR(原始資料!$A104="",55&gt;設定!$B$3,原始資料!BF104=""),"",IF(AND(原始資料!BE104&lt;&gt;"",原始資料!BF104=原始資料!BE104),N(BC104)+1,1))</f>
        <v/>
      </c>
      <c r="BE104" s="6">
        <f>IF(OR(原始資料!$A104="",56&gt;設定!$B$3,原始資料!BG104=""),"",IF(AND(原始資料!BF104&lt;&gt;"",原始資料!BG104=原始資料!BF104),N(BD104)+1,1))</f>
        <v/>
      </c>
      <c r="BF104" s="6">
        <f>IF(OR(原始資料!$A104="",57&gt;設定!$B$3,原始資料!BH104=""),"",IF(AND(原始資料!BG104&lt;&gt;"",原始資料!BH104=原始資料!BG104),N(BE104)+1,1))</f>
        <v/>
      </c>
      <c r="BG104" s="6">
        <f>IF(OR(原始資料!$A104="",58&gt;設定!$B$3,原始資料!BI104=""),"",IF(AND(原始資料!BH104&lt;&gt;"",原始資料!BI104=原始資料!BH104),N(BF104)+1,1))</f>
        <v/>
      </c>
      <c r="BH104" s="6">
        <f>IF(OR(原始資料!$A104="",59&gt;設定!$B$3,原始資料!BJ104=""),"",IF(AND(原始資料!BI104&lt;&gt;"",原始資料!BJ104=原始資料!BI104),N(BG104)+1,1))</f>
        <v/>
      </c>
      <c r="BI104" s="6">
        <f>IF(OR(原始資料!$A104="",60&gt;設定!$B$3,原始資料!BK104=""),"",IF(AND(原始資料!BJ104&lt;&gt;"",原始資料!BK104=原始資料!BJ104),N(BH104)+1,1))</f>
        <v/>
      </c>
    </row>
    <row r="105">
      <c r="A105" s="6">
        <f>IF(原始資料!$A105="","",原始資料!$A105)</f>
        <v/>
      </c>
      <c r="B105" s="6">
        <f>IF(OR(原始資料!$A105="",1&gt;設定!$B$3,原始資料!D105=""),"",1)</f>
        <v/>
      </c>
      <c r="C105" s="6">
        <f>IF(OR(原始資料!$A105="",2&gt;設定!$B$3,原始資料!E105=""),"",IF(AND(原始資料!D105&lt;&gt;"",原始資料!E105=原始資料!D105),N(B105)+1,1))</f>
        <v/>
      </c>
      <c r="D105" s="6">
        <f>IF(OR(原始資料!$A105="",3&gt;設定!$B$3,原始資料!F105=""),"",IF(AND(原始資料!E105&lt;&gt;"",原始資料!F105=原始資料!E105),N(C105)+1,1))</f>
        <v/>
      </c>
      <c r="E105" s="6">
        <f>IF(OR(原始資料!$A105="",4&gt;設定!$B$3,原始資料!G105=""),"",IF(AND(原始資料!F105&lt;&gt;"",原始資料!G105=原始資料!F105),N(D105)+1,1))</f>
        <v/>
      </c>
      <c r="F105" s="6">
        <f>IF(OR(原始資料!$A105="",5&gt;設定!$B$3,原始資料!H105=""),"",IF(AND(原始資料!G105&lt;&gt;"",原始資料!H105=原始資料!G105),N(E105)+1,1))</f>
        <v/>
      </c>
      <c r="G105" s="6">
        <f>IF(OR(原始資料!$A105="",6&gt;設定!$B$3,原始資料!I105=""),"",IF(AND(原始資料!H105&lt;&gt;"",原始資料!I105=原始資料!H105),N(F105)+1,1))</f>
        <v/>
      </c>
      <c r="H105" s="6">
        <f>IF(OR(原始資料!$A105="",7&gt;設定!$B$3,原始資料!J105=""),"",IF(AND(原始資料!I105&lt;&gt;"",原始資料!J105=原始資料!I105),N(G105)+1,1))</f>
        <v/>
      </c>
      <c r="I105" s="6">
        <f>IF(OR(原始資料!$A105="",8&gt;設定!$B$3,原始資料!K105=""),"",IF(AND(原始資料!J105&lt;&gt;"",原始資料!K105=原始資料!J105),N(H105)+1,1))</f>
        <v/>
      </c>
      <c r="J105" s="6">
        <f>IF(OR(原始資料!$A105="",9&gt;設定!$B$3,原始資料!L105=""),"",IF(AND(原始資料!K105&lt;&gt;"",原始資料!L105=原始資料!K105),N(I105)+1,1))</f>
        <v/>
      </c>
      <c r="K105" s="6">
        <f>IF(OR(原始資料!$A105="",10&gt;設定!$B$3,原始資料!M105=""),"",IF(AND(原始資料!L105&lt;&gt;"",原始資料!M105=原始資料!L105),N(J105)+1,1))</f>
        <v/>
      </c>
      <c r="L105" s="6">
        <f>IF(OR(原始資料!$A105="",11&gt;設定!$B$3,原始資料!N105=""),"",IF(AND(原始資料!M105&lt;&gt;"",原始資料!N105=原始資料!M105),N(K105)+1,1))</f>
        <v/>
      </c>
      <c r="M105" s="6">
        <f>IF(OR(原始資料!$A105="",12&gt;設定!$B$3,原始資料!O105=""),"",IF(AND(原始資料!N105&lt;&gt;"",原始資料!O105=原始資料!N105),N(L105)+1,1))</f>
        <v/>
      </c>
      <c r="N105" s="6">
        <f>IF(OR(原始資料!$A105="",13&gt;設定!$B$3,原始資料!P105=""),"",IF(AND(原始資料!O105&lt;&gt;"",原始資料!P105=原始資料!O105),N(M105)+1,1))</f>
        <v/>
      </c>
      <c r="O105" s="6">
        <f>IF(OR(原始資料!$A105="",14&gt;設定!$B$3,原始資料!Q105=""),"",IF(AND(原始資料!P105&lt;&gt;"",原始資料!Q105=原始資料!P105),N(N105)+1,1))</f>
        <v/>
      </c>
      <c r="P105" s="6">
        <f>IF(OR(原始資料!$A105="",15&gt;設定!$B$3,原始資料!R105=""),"",IF(AND(原始資料!Q105&lt;&gt;"",原始資料!R105=原始資料!Q105),N(O105)+1,1))</f>
        <v/>
      </c>
      <c r="Q105" s="6">
        <f>IF(OR(原始資料!$A105="",16&gt;設定!$B$3,原始資料!S105=""),"",IF(AND(原始資料!R105&lt;&gt;"",原始資料!S105=原始資料!R105),N(P105)+1,1))</f>
        <v/>
      </c>
      <c r="R105" s="6">
        <f>IF(OR(原始資料!$A105="",17&gt;設定!$B$3,原始資料!T105=""),"",IF(AND(原始資料!S105&lt;&gt;"",原始資料!T105=原始資料!S105),N(Q105)+1,1))</f>
        <v/>
      </c>
      <c r="S105" s="6">
        <f>IF(OR(原始資料!$A105="",18&gt;設定!$B$3,原始資料!U105=""),"",IF(AND(原始資料!T105&lt;&gt;"",原始資料!U105=原始資料!T105),N(R105)+1,1))</f>
        <v/>
      </c>
      <c r="T105" s="6">
        <f>IF(OR(原始資料!$A105="",19&gt;設定!$B$3,原始資料!V105=""),"",IF(AND(原始資料!U105&lt;&gt;"",原始資料!V105=原始資料!U105),N(S105)+1,1))</f>
        <v/>
      </c>
      <c r="U105" s="6">
        <f>IF(OR(原始資料!$A105="",20&gt;設定!$B$3,原始資料!W105=""),"",IF(AND(原始資料!V105&lt;&gt;"",原始資料!W105=原始資料!V105),N(T105)+1,1))</f>
        <v/>
      </c>
      <c r="V105" s="6">
        <f>IF(OR(原始資料!$A105="",21&gt;設定!$B$3,原始資料!X105=""),"",IF(AND(原始資料!W105&lt;&gt;"",原始資料!X105=原始資料!W105),N(U105)+1,1))</f>
        <v/>
      </c>
      <c r="W105" s="6">
        <f>IF(OR(原始資料!$A105="",22&gt;設定!$B$3,原始資料!Y105=""),"",IF(AND(原始資料!X105&lt;&gt;"",原始資料!Y105=原始資料!X105),N(V105)+1,1))</f>
        <v/>
      </c>
      <c r="X105" s="6">
        <f>IF(OR(原始資料!$A105="",23&gt;設定!$B$3,原始資料!Z105=""),"",IF(AND(原始資料!Y105&lt;&gt;"",原始資料!Z105=原始資料!Y105),N(W105)+1,1))</f>
        <v/>
      </c>
      <c r="Y105" s="6">
        <f>IF(OR(原始資料!$A105="",24&gt;設定!$B$3,原始資料!AA105=""),"",IF(AND(原始資料!Z105&lt;&gt;"",原始資料!AA105=原始資料!Z105),N(X105)+1,1))</f>
        <v/>
      </c>
      <c r="Z105" s="6">
        <f>IF(OR(原始資料!$A105="",25&gt;設定!$B$3,原始資料!AB105=""),"",IF(AND(原始資料!AA105&lt;&gt;"",原始資料!AB105=原始資料!AA105),N(Y105)+1,1))</f>
        <v/>
      </c>
      <c r="AA105" s="6">
        <f>IF(OR(原始資料!$A105="",26&gt;設定!$B$3,原始資料!AC105=""),"",IF(AND(原始資料!AB105&lt;&gt;"",原始資料!AC105=原始資料!AB105),N(Z105)+1,1))</f>
        <v/>
      </c>
      <c r="AB105" s="6">
        <f>IF(OR(原始資料!$A105="",27&gt;設定!$B$3,原始資料!AD105=""),"",IF(AND(原始資料!AC105&lt;&gt;"",原始資料!AD105=原始資料!AC105),N(AA105)+1,1))</f>
        <v/>
      </c>
      <c r="AC105" s="6">
        <f>IF(OR(原始資料!$A105="",28&gt;設定!$B$3,原始資料!AE105=""),"",IF(AND(原始資料!AD105&lt;&gt;"",原始資料!AE105=原始資料!AD105),N(AB105)+1,1))</f>
        <v/>
      </c>
      <c r="AD105" s="6">
        <f>IF(OR(原始資料!$A105="",29&gt;設定!$B$3,原始資料!AF105=""),"",IF(AND(原始資料!AE105&lt;&gt;"",原始資料!AF105=原始資料!AE105),N(AC105)+1,1))</f>
        <v/>
      </c>
      <c r="AE105" s="6">
        <f>IF(OR(原始資料!$A105="",30&gt;設定!$B$3,原始資料!AG105=""),"",IF(AND(原始資料!AF105&lt;&gt;"",原始資料!AG105=原始資料!AF105),N(AD105)+1,1))</f>
        <v/>
      </c>
      <c r="AF105" s="6">
        <f>IF(OR(原始資料!$A105="",31&gt;設定!$B$3,原始資料!AH105=""),"",IF(AND(原始資料!AG105&lt;&gt;"",原始資料!AH105=原始資料!AG105),N(AE105)+1,1))</f>
        <v/>
      </c>
      <c r="AG105" s="6">
        <f>IF(OR(原始資料!$A105="",32&gt;設定!$B$3,原始資料!AI105=""),"",IF(AND(原始資料!AH105&lt;&gt;"",原始資料!AI105=原始資料!AH105),N(AF105)+1,1))</f>
        <v/>
      </c>
      <c r="AH105" s="6">
        <f>IF(OR(原始資料!$A105="",33&gt;設定!$B$3,原始資料!AJ105=""),"",IF(AND(原始資料!AI105&lt;&gt;"",原始資料!AJ105=原始資料!AI105),N(AG105)+1,1))</f>
        <v/>
      </c>
      <c r="AI105" s="6">
        <f>IF(OR(原始資料!$A105="",34&gt;設定!$B$3,原始資料!AK105=""),"",IF(AND(原始資料!AJ105&lt;&gt;"",原始資料!AK105=原始資料!AJ105),N(AH105)+1,1))</f>
        <v/>
      </c>
      <c r="AJ105" s="6">
        <f>IF(OR(原始資料!$A105="",35&gt;設定!$B$3,原始資料!AL105=""),"",IF(AND(原始資料!AK105&lt;&gt;"",原始資料!AL105=原始資料!AK105),N(AI105)+1,1))</f>
        <v/>
      </c>
      <c r="AK105" s="6">
        <f>IF(OR(原始資料!$A105="",36&gt;設定!$B$3,原始資料!AM105=""),"",IF(AND(原始資料!AL105&lt;&gt;"",原始資料!AM105=原始資料!AL105),N(AJ105)+1,1))</f>
        <v/>
      </c>
      <c r="AL105" s="6">
        <f>IF(OR(原始資料!$A105="",37&gt;設定!$B$3,原始資料!AN105=""),"",IF(AND(原始資料!AM105&lt;&gt;"",原始資料!AN105=原始資料!AM105),N(AK105)+1,1))</f>
        <v/>
      </c>
      <c r="AM105" s="6">
        <f>IF(OR(原始資料!$A105="",38&gt;設定!$B$3,原始資料!AO105=""),"",IF(AND(原始資料!AN105&lt;&gt;"",原始資料!AO105=原始資料!AN105),N(AL105)+1,1))</f>
        <v/>
      </c>
      <c r="AN105" s="6">
        <f>IF(OR(原始資料!$A105="",39&gt;設定!$B$3,原始資料!AP105=""),"",IF(AND(原始資料!AO105&lt;&gt;"",原始資料!AP105=原始資料!AO105),N(AM105)+1,1))</f>
        <v/>
      </c>
      <c r="AO105" s="6">
        <f>IF(OR(原始資料!$A105="",40&gt;設定!$B$3,原始資料!AQ105=""),"",IF(AND(原始資料!AP105&lt;&gt;"",原始資料!AQ105=原始資料!AP105),N(AN105)+1,1))</f>
        <v/>
      </c>
      <c r="AP105" s="6">
        <f>IF(OR(原始資料!$A105="",41&gt;設定!$B$3,原始資料!AR105=""),"",IF(AND(原始資料!AQ105&lt;&gt;"",原始資料!AR105=原始資料!AQ105),N(AO105)+1,1))</f>
        <v/>
      </c>
      <c r="AQ105" s="6">
        <f>IF(OR(原始資料!$A105="",42&gt;設定!$B$3,原始資料!AS105=""),"",IF(AND(原始資料!AR105&lt;&gt;"",原始資料!AS105=原始資料!AR105),N(AP105)+1,1))</f>
        <v/>
      </c>
      <c r="AR105" s="6">
        <f>IF(OR(原始資料!$A105="",43&gt;設定!$B$3,原始資料!AT105=""),"",IF(AND(原始資料!AS105&lt;&gt;"",原始資料!AT105=原始資料!AS105),N(AQ105)+1,1))</f>
        <v/>
      </c>
      <c r="AS105" s="6">
        <f>IF(OR(原始資料!$A105="",44&gt;設定!$B$3,原始資料!AU105=""),"",IF(AND(原始資料!AT105&lt;&gt;"",原始資料!AU105=原始資料!AT105),N(AR105)+1,1))</f>
        <v/>
      </c>
      <c r="AT105" s="6">
        <f>IF(OR(原始資料!$A105="",45&gt;設定!$B$3,原始資料!AV105=""),"",IF(AND(原始資料!AU105&lt;&gt;"",原始資料!AV105=原始資料!AU105),N(AS105)+1,1))</f>
        <v/>
      </c>
      <c r="AU105" s="6">
        <f>IF(OR(原始資料!$A105="",46&gt;設定!$B$3,原始資料!AW105=""),"",IF(AND(原始資料!AV105&lt;&gt;"",原始資料!AW105=原始資料!AV105),N(AT105)+1,1))</f>
        <v/>
      </c>
      <c r="AV105" s="6">
        <f>IF(OR(原始資料!$A105="",47&gt;設定!$B$3,原始資料!AX105=""),"",IF(AND(原始資料!AW105&lt;&gt;"",原始資料!AX105=原始資料!AW105),N(AU105)+1,1))</f>
        <v/>
      </c>
      <c r="AW105" s="6">
        <f>IF(OR(原始資料!$A105="",48&gt;設定!$B$3,原始資料!AY105=""),"",IF(AND(原始資料!AX105&lt;&gt;"",原始資料!AY105=原始資料!AX105),N(AV105)+1,1))</f>
        <v/>
      </c>
      <c r="AX105" s="6">
        <f>IF(OR(原始資料!$A105="",49&gt;設定!$B$3,原始資料!AZ105=""),"",IF(AND(原始資料!AY105&lt;&gt;"",原始資料!AZ105=原始資料!AY105),N(AW105)+1,1))</f>
        <v/>
      </c>
      <c r="AY105" s="6">
        <f>IF(OR(原始資料!$A105="",50&gt;設定!$B$3,原始資料!BA105=""),"",IF(AND(原始資料!AZ105&lt;&gt;"",原始資料!BA105=原始資料!AZ105),N(AX105)+1,1))</f>
        <v/>
      </c>
      <c r="AZ105" s="6">
        <f>IF(OR(原始資料!$A105="",51&gt;設定!$B$3,原始資料!BB105=""),"",IF(AND(原始資料!BA105&lt;&gt;"",原始資料!BB105=原始資料!BA105),N(AY105)+1,1))</f>
        <v/>
      </c>
      <c r="BA105" s="6">
        <f>IF(OR(原始資料!$A105="",52&gt;設定!$B$3,原始資料!BC105=""),"",IF(AND(原始資料!BB105&lt;&gt;"",原始資料!BC105=原始資料!BB105),N(AZ105)+1,1))</f>
        <v/>
      </c>
      <c r="BB105" s="6">
        <f>IF(OR(原始資料!$A105="",53&gt;設定!$B$3,原始資料!BD105=""),"",IF(AND(原始資料!BC105&lt;&gt;"",原始資料!BD105=原始資料!BC105),N(BA105)+1,1))</f>
        <v/>
      </c>
      <c r="BC105" s="6">
        <f>IF(OR(原始資料!$A105="",54&gt;設定!$B$3,原始資料!BE105=""),"",IF(AND(原始資料!BD105&lt;&gt;"",原始資料!BE105=原始資料!BD105),N(BB105)+1,1))</f>
        <v/>
      </c>
      <c r="BD105" s="6">
        <f>IF(OR(原始資料!$A105="",55&gt;設定!$B$3,原始資料!BF105=""),"",IF(AND(原始資料!BE105&lt;&gt;"",原始資料!BF105=原始資料!BE105),N(BC105)+1,1))</f>
        <v/>
      </c>
      <c r="BE105" s="6">
        <f>IF(OR(原始資料!$A105="",56&gt;設定!$B$3,原始資料!BG105=""),"",IF(AND(原始資料!BF105&lt;&gt;"",原始資料!BG105=原始資料!BF105),N(BD105)+1,1))</f>
        <v/>
      </c>
      <c r="BF105" s="6">
        <f>IF(OR(原始資料!$A105="",57&gt;設定!$B$3,原始資料!BH105=""),"",IF(AND(原始資料!BG105&lt;&gt;"",原始資料!BH105=原始資料!BG105),N(BE105)+1,1))</f>
        <v/>
      </c>
      <c r="BG105" s="6">
        <f>IF(OR(原始資料!$A105="",58&gt;設定!$B$3,原始資料!BI105=""),"",IF(AND(原始資料!BH105&lt;&gt;"",原始資料!BI105=原始資料!BH105),N(BF105)+1,1))</f>
        <v/>
      </c>
      <c r="BH105" s="6">
        <f>IF(OR(原始資料!$A105="",59&gt;設定!$B$3,原始資料!BJ105=""),"",IF(AND(原始資料!BI105&lt;&gt;"",原始資料!BJ105=原始資料!BI105),N(BG105)+1,1))</f>
        <v/>
      </c>
      <c r="BI105" s="6">
        <f>IF(OR(原始資料!$A105="",60&gt;設定!$B$3,原始資料!BK105=""),"",IF(AND(原始資料!BJ105&lt;&gt;"",原始資料!BK105=原始資料!BJ105),N(BH105)+1,1))</f>
        <v/>
      </c>
    </row>
    <row r="106">
      <c r="A106" s="6">
        <f>IF(原始資料!$A106="","",原始資料!$A106)</f>
        <v/>
      </c>
      <c r="B106" s="6">
        <f>IF(OR(原始資料!$A106="",1&gt;設定!$B$3,原始資料!D106=""),"",1)</f>
        <v/>
      </c>
      <c r="C106" s="6">
        <f>IF(OR(原始資料!$A106="",2&gt;設定!$B$3,原始資料!E106=""),"",IF(AND(原始資料!D106&lt;&gt;"",原始資料!E106=原始資料!D106),N(B106)+1,1))</f>
        <v/>
      </c>
      <c r="D106" s="6">
        <f>IF(OR(原始資料!$A106="",3&gt;設定!$B$3,原始資料!F106=""),"",IF(AND(原始資料!E106&lt;&gt;"",原始資料!F106=原始資料!E106),N(C106)+1,1))</f>
        <v/>
      </c>
      <c r="E106" s="6">
        <f>IF(OR(原始資料!$A106="",4&gt;設定!$B$3,原始資料!G106=""),"",IF(AND(原始資料!F106&lt;&gt;"",原始資料!G106=原始資料!F106),N(D106)+1,1))</f>
        <v/>
      </c>
      <c r="F106" s="6">
        <f>IF(OR(原始資料!$A106="",5&gt;設定!$B$3,原始資料!H106=""),"",IF(AND(原始資料!G106&lt;&gt;"",原始資料!H106=原始資料!G106),N(E106)+1,1))</f>
        <v/>
      </c>
      <c r="G106" s="6">
        <f>IF(OR(原始資料!$A106="",6&gt;設定!$B$3,原始資料!I106=""),"",IF(AND(原始資料!H106&lt;&gt;"",原始資料!I106=原始資料!H106),N(F106)+1,1))</f>
        <v/>
      </c>
      <c r="H106" s="6">
        <f>IF(OR(原始資料!$A106="",7&gt;設定!$B$3,原始資料!J106=""),"",IF(AND(原始資料!I106&lt;&gt;"",原始資料!J106=原始資料!I106),N(G106)+1,1))</f>
        <v/>
      </c>
      <c r="I106" s="6">
        <f>IF(OR(原始資料!$A106="",8&gt;設定!$B$3,原始資料!K106=""),"",IF(AND(原始資料!J106&lt;&gt;"",原始資料!K106=原始資料!J106),N(H106)+1,1))</f>
        <v/>
      </c>
      <c r="J106" s="6">
        <f>IF(OR(原始資料!$A106="",9&gt;設定!$B$3,原始資料!L106=""),"",IF(AND(原始資料!K106&lt;&gt;"",原始資料!L106=原始資料!K106),N(I106)+1,1))</f>
        <v/>
      </c>
      <c r="K106" s="6">
        <f>IF(OR(原始資料!$A106="",10&gt;設定!$B$3,原始資料!M106=""),"",IF(AND(原始資料!L106&lt;&gt;"",原始資料!M106=原始資料!L106),N(J106)+1,1))</f>
        <v/>
      </c>
      <c r="L106" s="6">
        <f>IF(OR(原始資料!$A106="",11&gt;設定!$B$3,原始資料!N106=""),"",IF(AND(原始資料!M106&lt;&gt;"",原始資料!N106=原始資料!M106),N(K106)+1,1))</f>
        <v/>
      </c>
      <c r="M106" s="6">
        <f>IF(OR(原始資料!$A106="",12&gt;設定!$B$3,原始資料!O106=""),"",IF(AND(原始資料!N106&lt;&gt;"",原始資料!O106=原始資料!N106),N(L106)+1,1))</f>
        <v/>
      </c>
      <c r="N106" s="6">
        <f>IF(OR(原始資料!$A106="",13&gt;設定!$B$3,原始資料!P106=""),"",IF(AND(原始資料!O106&lt;&gt;"",原始資料!P106=原始資料!O106),N(M106)+1,1))</f>
        <v/>
      </c>
      <c r="O106" s="6">
        <f>IF(OR(原始資料!$A106="",14&gt;設定!$B$3,原始資料!Q106=""),"",IF(AND(原始資料!P106&lt;&gt;"",原始資料!Q106=原始資料!P106),N(N106)+1,1))</f>
        <v/>
      </c>
      <c r="P106" s="6">
        <f>IF(OR(原始資料!$A106="",15&gt;設定!$B$3,原始資料!R106=""),"",IF(AND(原始資料!Q106&lt;&gt;"",原始資料!R106=原始資料!Q106),N(O106)+1,1))</f>
        <v/>
      </c>
      <c r="Q106" s="6">
        <f>IF(OR(原始資料!$A106="",16&gt;設定!$B$3,原始資料!S106=""),"",IF(AND(原始資料!R106&lt;&gt;"",原始資料!S106=原始資料!R106),N(P106)+1,1))</f>
        <v/>
      </c>
      <c r="R106" s="6">
        <f>IF(OR(原始資料!$A106="",17&gt;設定!$B$3,原始資料!T106=""),"",IF(AND(原始資料!S106&lt;&gt;"",原始資料!T106=原始資料!S106),N(Q106)+1,1))</f>
        <v/>
      </c>
      <c r="S106" s="6">
        <f>IF(OR(原始資料!$A106="",18&gt;設定!$B$3,原始資料!U106=""),"",IF(AND(原始資料!T106&lt;&gt;"",原始資料!U106=原始資料!T106),N(R106)+1,1))</f>
        <v/>
      </c>
      <c r="T106" s="6">
        <f>IF(OR(原始資料!$A106="",19&gt;設定!$B$3,原始資料!V106=""),"",IF(AND(原始資料!U106&lt;&gt;"",原始資料!V106=原始資料!U106),N(S106)+1,1))</f>
        <v/>
      </c>
      <c r="U106" s="6">
        <f>IF(OR(原始資料!$A106="",20&gt;設定!$B$3,原始資料!W106=""),"",IF(AND(原始資料!V106&lt;&gt;"",原始資料!W106=原始資料!V106),N(T106)+1,1))</f>
        <v/>
      </c>
      <c r="V106" s="6">
        <f>IF(OR(原始資料!$A106="",21&gt;設定!$B$3,原始資料!X106=""),"",IF(AND(原始資料!W106&lt;&gt;"",原始資料!X106=原始資料!W106),N(U106)+1,1))</f>
        <v/>
      </c>
      <c r="W106" s="6">
        <f>IF(OR(原始資料!$A106="",22&gt;設定!$B$3,原始資料!Y106=""),"",IF(AND(原始資料!X106&lt;&gt;"",原始資料!Y106=原始資料!X106),N(V106)+1,1))</f>
        <v/>
      </c>
      <c r="X106" s="6">
        <f>IF(OR(原始資料!$A106="",23&gt;設定!$B$3,原始資料!Z106=""),"",IF(AND(原始資料!Y106&lt;&gt;"",原始資料!Z106=原始資料!Y106),N(W106)+1,1))</f>
        <v/>
      </c>
      <c r="Y106" s="6">
        <f>IF(OR(原始資料!$A106="",24&gt;設定!$B$3,原始資料!AA106=""),"",IF(AND(原始資料!Z106&lt;&gt;"",原始資料!AA106=原始資料!Z106),N(X106)+1,1))</f>
        <v/>
      </c>
      <c r="Z106" s="6">
        <f>IF(OR(原始資料!$A106="",25&gt;設定!$B$3,原始資料!AB106=""),"",IF(AND(原始資料!AA106&lt;&gt;"",原始資料!AB106=原始資料!AA106),N(Y106)+1,1))</f>
        <v/>
      </c>
      <c r="AA106" s="6">
        <f>IF(OR(原始資料!$A106="",26&gt;設定!$B$3,原始資料!AC106=""),"",IF(AND(原始資料!AB106&lt;&gt;"",原始資料!AC106=原始資料!AB106),N(Z106)+1,1))</f>
        <v/>
      </c>
      <c r="AB106" s="6">
        <f>IF(OR(原始資料!$A106="",27&gt;設定!$B$3,原始資料!AD106=""),"",IF(AND(原始資料!AC106&lt;&gt;"",原始資料!AD106=原始資料!AC106),N(AA106)+1,1))</f>
        <v/>
      </c>
      <c r="AC106" s="6">
        <f>IF(OR(原始資料!$A106="",28&gt;設定!$B$3,原始資料!AE106=""),"",IF(AND(原始資料!AD106&lt;&gt;"",原始資料!AE106=原始資料!AD106),N(AB106)+1,1))</f>
        <v/>
      </c>
      <c r="AD106" s="6">
        <f>IF(OR(原始資料!$A106="",29&gt;設定!$B$3,原始資料!AF106=""),"",IF(AND(原始資料!AE106&lt;&gt;"",原始資料!AF106=原始資料!AE106),N(AC106)+1,1))</f>
        <v/>
      </c>
      <c r="AE106" s="6">
        <f>IF(OR(原始資料!$A106="",30&gt;設定!$B$3,原始資料!AG106=""),"",IF(AND(原始資料!AF106&lt;&gt;"",原始資料!AG106=原始資料!AF106),N(AD106)+1,1))</f>
        <v/>
      </c>
      <c r="AF106" s="6">
        <f>IF(OR(原始資料!$A106="",31&gt;設定!$B$3,原始資料!AH106=""),"",IF(AND(原始資料!AG106&lt;&gt;"",原始資料!AH106=原始資料!AG106),N(AE106)+1,1))</f>
        <v/>
      </c>
      <c r="AG106" s="6">
        <f>IF(OR(原始資料!$A106="",32&gt;設定!$B$3,原始資料!AI106=""),"",IF(AND(原始資料!AH106&lt;&gt;"",原始資料!AI106=原始資料!AH106),N(AF106)+1,1))</f>
        <v/>
      </c>
      <c r="AH106" s="6">
        <f>IF(OR(原始資料!$A106="",33&gt;設定!$B$3,原始資料!AJ106=""),"",IF(AND(原始資料!AI106&lt;&gt;"",原始資料!AJ106=原始資料!AI106),N(AG106)+1,1))</f>
        <v/>
      </c>
      <c r="AI106" s="6">
        <f>IF(OR(原始資料!$A106="",34&gt;設定!$B$3,原始資料!AK106=""),"",IF(AND(原始資料!AJ106&lt;&gt;"",原始資料!AK106=原始資料!AJ106),N(AH106)+1,1))</f>
        <v/>
      </c>
      <c r="AJ106" s="6">
        <f>IF(OR(原始資料!$A106="",35&gt;設定!$B$3,原始資料!AL106=""),"",IF(AND(原始資料!AK106&lt;&gt;"",原始資料!AL106=原始資料!AK106),N(AI106)+1,1))</f>
        <v/>
      </c>
      <c r="AK106" s="6">
        <f>IF(OR(原始資料!$A106="",36&gt;設定!$B$3,原始資料!AM106=""),"",IF(AND(原始資料!AL106&lt;&gt;"",原始資料!AM106=原始資料!AL106),N(AJ106)+1,1))</f>
        <v/>
      </c>
      <c r="AL106" s="6">
        <f>IF(OR(原始資料!$A106="",37&gt;設定!$B$3,原始資料!AN106=""),"",IF(AND(原始資料!AM106&lt;&gt;"",原始資料!AN106=原始資料!AM106),N(AK106)+1,1))</f>
        <v/>
      </c>
      <c r="AM106" s="6">
        <f>IF(OR(原始資料!$A106="",38&gt;設定!$B$3,原始資料!AO106=""),"",IF(AND(原始資料!AN106&lt;&gt;"",原始資料!AO106=原始資料!AN106),N(AL106)+1,1))</f>
        <v/>
      </c>
      <c r="AN106" s="6">
        <f>IF(OR(原始資料!$A106="",39&gt;設定!$B$3,原始資料!AP106=""),"",IF(AND(原始資料!AO106&lt;&gt;"",原始資料!AP106=原始資料!AO106),N(AM106)+1,1))</f>
        <v/>
      </c>
      <c r="AO106" s="6">
        <f>IF(OR(原始資料!$A106="",40&gt;設定!$B$3,原始資料!AQ106=""),"",IF(AND(原始資料!AP106&lt;&gt;"",原始資料!AQ106=原始資料!AP106),N(AN106)+1,1))</f>
        <v/>
      </c>
      <c r="AP106" s="6">
        <f>IF(OR(原始資料!$A106="",41&gt;設定!$B$3,原始資料!AR106=""),"",IF(AND(原始資料!AQ106&lt;&gt;"",原始資料!AR106=原始資料!AQ106),N(AO106)+1,1))</f>
        <v/>
      </c>
      <c r="AQ106" s="6">
        <f>IF(OR(原始資料!$A106="",42&gt;設定!$B$3,原始資料!AS106=""),"",IF(AND(原始資料!AR106&lt;&gt;"",原始資料!AS106=原始資料!AR106),N(AP106)+1,1))</f>
        <v/>
      </c>
      <c r="AR106" s="6">
        <f>IF(OR(原始資料!$A106="",43&gt;設定!$B$3,原始資料!AT106=""),"",IF(AND(原始資料!AS106&lt;&gt;"",原始資料!AT106=原始資料!AS106),N(AQ106)+1,1))</f>
        <v/>
      </c>
      <c r="AS106" s="6">
        <f>IF(OR(原始資料!$A106="",44&gt;設定!$B$3,原始資料!AU106=""),"",IF(AND(原始資料!AT106&lt;&gt;"",原始資料!AU106=原始資料!AT106),N(AR106)+1,1))</f>
        <v/>
      </c>
      <c r="AT106" s="6">
        <f>IF(OR(原始資料!$A106="",45&gt;設定!$B$3,原始資料!AV106=""),"",IF(AND(原始資料!AU106&lt;&gt;"",原始資料!AV106=原始資料!AU106),N(AS106)+1,1))</f>
        <v/>
      </c>
      <c r="AU106" s="6">
        <f>IF(OR(原始資料!$A106="",46&gt;設定!$B$3,原始資料!AW106=""),"",IF(AND(原始資料!AV106&lt;&gt;"",原始資料!AW106=原始資料!AV106),N(AT106)+1,1))</f>
        <v/>
      </c>
      <c r="AV106" s="6">
        <f>IF(OR(原始資料!$A106="",47&gt;設定!$B$3,原始資料!AX106=""),"",IF(AND(原始資料!AW106&lt;&gt;"",原始資料!AX106=原始資料!AW106),N(AU106)+1,1))</f>
        <v/>
      </c>
      <c r="AW106" s="6">
        <f>IF(OR(原始資料!$A106="",48&gt;設定!$B$3,原始資料!AY106=""),"",IF(AND(原始資料!AX106&lt;&gt;"",原始資料!AY106=原始資料!AX106),N(AV106)+1,1))</f>
        <v/>
      </c>
      <c r="AX106" s="6">
        <f>IF(OR(原始資料!$A106="",49&gt;設定!$B$3,原始資料!AZ106=""),"",IF(AND(原始資料!AY106&lt;&gt;"",原始資料!AZ106=原始資料!AY106),N(AW106)+1,1))</f>
        <v/>
      </c>
      <c r="AY106" s="6">
        <f>IF(OR(原始資料!$A106="",50&gt;設定!$B$3,原始資料!BA106=""),"",IF(AND(原始資料!AZ106&lt;&gt;"",原始資料!BA106=原始資料!AZ106),N(AX106)+1,1))</f>
        <v/>
      </c>
      <c r="AZ106" s="6">
        <f>IF(OR(原始資料!$A106="",51&gt;設定!$B$3,原始資料!BB106=""),"",IF(AND(原始資料!BA106&lt;&gt;"",原始資料!BB106=原始資料!BA106),N(AY106)+1,1))</f>
        <v/>
      </c>
      <c r="BA106" s="6">
        <f>IF(OR(原始資料!$A106="",52&gt;設定!$B$3,原始資料!BC106=""),"",IF(AND(原始資料!BB106&lt;&gt;"",原始資料!BC106=原始資料!BB106),N(AZ106)+1,1))</f>
        <v/>
      </c>
      <c r="BB106" s="6">
        <f>IF(OR(原始資料!$A106="",53&gt;設定!$B$3,原始資料!BD106=""),"",IF(AND(原始資料!BC106&lt;&gt;"",原始資料!BD106=原始資料!BC106),N(BA106)+1,1))</f>
        <v/>
      </c>
      <c r="BC106" s="6">
        <f>IF(OR(原始資料!$A106="",54&gt;設定!$B$3,原始資料!BE106=""),"",IF(AND(原始資料!BD106&lt;&gt;"",原始資料!BE106=原始資料!BD106),N(BB106)+1,1))</f>
        <v/>
      </c>
      <c r="BD106" s="6">
        <f>IF(OR(原始資料!$A106="",55&gt;設定!$B$3,原始資料!BF106=""),"",IF(AND(原始資料!BE106&lt;&gt;"",原始資料!BF106=原始資料!BE106),N(BC106)+1,1))</f>
        <v/>
      </c>
      <c r="BE106" s="6">
        <f>IF(OR(原始資料!$A106="",56&gt;設定!$B$3,原始資料!BG106=""),"",IF(AND(原始資料!BF106&lt;&gt;"",原始資料!BG106=原始資料!BF106),N(BD106)+1,1))</f>
        <v/>
      </c>
      <c r="BF106" s="6">
        <f>IF(OR(原始資料!$A106="",57&gt;設定!$B$3,原始資料!BH106=""),"",IF(AND(原始資料!BG106&lt;&gt;"",原始資料!BH106=原始資料!BG106),N(BE106)+1,1))</f>
        <v/>
      </c>
      <c r="BG106" s="6">
        <f>IF(OR(原始資料!$A106="",58&gt;設定!$B$3,原始資料!BI106=""),"",IF(AND(原始資料!BH106&lt;&gt;"",原始資料!BI106=原始資料!BH106),N(BF106)+1,1))</f>
        <v/>
      </c>
      <c r="BH106" s="6">
        <f>IF(OR(原始資料!$A106="",59&gt;設定!$B$3,原始資料!BJ106=""),"",IF(AND(原始資料!BI106&lt;&gt;"",原始資料!BJ106=原始資料!BI106),N(BG106)+1,1))</f>
        <v/>
      </c>
      <c r="BI106" s="6">
        <f>IF(OR(原始資料!$A106="",60&gt;設定!$B$3,原始資料!BK106=""),"",IF(AND(原始資料!BJ106&lt;&gt;"",原始資料!BK106=原始資料!BJ106),N(BH106)+1,1))</f>
        <v/>
      </c>
    </row>
    <row r="107">
      <c r="A107" s="6">
        <f>IF(原始資料!$A107="","",原始資料!$A107)</f>
        <v/>
      </c>
      <c r="B107" s="6">
        <f>IF(OR(原始資料!$A107="",1&gt;設定!$B$3,原始資料!D107=""),"",1)</f>
        <v/>
      </c>
      <c r="C107" s="6">
        <f>IF(OR(原始資料!$A107="",2&gt;設定!$B$3,原始資料!E107=""),"",IF(AND(原始資料!D107&lt;&gt;"",原始資料!E107=原始資料!D107),N(B107)+1,1))</f>
        <v/>
      </c>
      <c r="D107" s="6">
        <f>IF(OR(原始資料!$A107="",3&gt;設定!$B$3,原始資料!F107=""),"",IF(AND(原始資料!E107&lt;&gt;"",原始資料!F107=原始資料!E107),N(C107)+1,1))</f>
        <v/>
      </c>
      <c r="E107" s="6">
        <f>IF(OR(原始資料!$A107="",4&gt;設定!$B$3,原始資料!G107=""),"",IF(AND(原始資料!F107&lt;&gt;"",原始資料!G107=原始資料!F107),N(D107)+1,1))</f>
        <v/>
      </c>
      <c r="F107" s="6">
        <f>IF(OR(原始資料!$A107="",5&gt;設定!$B$3,原始資料!H107=""),"",IF(AND(原始資料!G107&lt;&gt;"",原始資料!H107=原始資料!G107),N(E107)+1,1))</f>
        <v/>
      </c>
      <c r="G107" s="6">
        <f>IF(OR(原始資料!$A107="",6&gt;設定!$B$3,原始資料!I107=""),"",IF(AND(原始資料!H107&lt;&gt;"",原始資料!I107=原始資料!H107),N(F107)+1,1))</f>
        <v/>
      </c>
      <c r="H107" s="6">
        <f>IF(OR(原始資料!$A107="",7&gt;設定!$B$3,原始資料!J107=""),"",IF(AND(原始資料!I107&lt;&gt;"",原始資料!J107=原始資料!I107),N(G107)+1,1))</f>
        <v/>
      </c>
      <c r="I107" s="6">
        <f>IF(OR(原始資料!$A107="",8&gt;設定!$B$3,原始資料!K107=""),"",IF(AND(原始資料!J107&lt;&gt;"",原始資料!K107=原始資料!J107),N(H107)+1,1))</f>
        <v/>
      </c>
      <c r="J107" s="6">
        <f>IF(OR(原始資料!$A107="",9&gt;設定!$B$3,原始資料!L107=""),"",IF(AND(原始資料!K107&lt;&gt;"",原始資料!L107=原始資料!K107),N(I107)+1,1))</f>
        <v/>
      </c>
      <c r="K107" s="6">
        <f>IF(OR(原始資料!$A107="",10&gt;設定!$B$3,原始資料!M107=""),"",IF(AND(原始資料!L107&lt;&gt;"",原始資料!M107=原始資料!L107),N(J107)+1,1))</f>
        <v/>
      </c>
      <c r="L107" s="6">
        <f>IF(OR(原始資料!$A107="",11&gt;設定!$B$3,原始資料!N107=""),"",IF(AND(原始資料!M107&lt;&gt;"",原始資料!N107=原始資料!M107),N(K107)+1,1))</f>
        <v/>
      </c>
      <c r="M107" s="6">
        <f>IF(OR(原始資料!$A107="",12&gt;設定!$B$3,原始資料!O107=""),"",IF(AND(原始資料!N107&lt;&gt;"",原始資料!O107=原始資料!N107),N(L107)+1,1))</f>
        <v/>
      </c>
      <c r="N107" s="6">
        <f>IF(OR(原始資料!$A107="",13&gt;設定!$B$3,原始資料!P107=""),"",IF(AND(原始資料!O107&lt;&gt;"",原始資料!P107=原始資料!O107),N(M107)+1,1))</f>
        <v/>
      </c>
      <c r="O107" s="6">
        <f>IF(OR(原始資料!$A107="",14&gt;設定!$B$3,原始資料!Q107=""),"",IF(AND(原始資料!P107&lt;&gt;"",原始資料!Q107=原始資料!P107),N(N107)+1,1))</f>
        <v/>
      </c>
      <c r="P107" s="6">
        <f>IF(OR(原始資料!$A107="",15&gt;設定!$B$3,原始資料!R107=""),"",IF(AND(原始資料!Q107&lt;&gt;"",原始資料!R107=原始資料!Q107),N(O107)+1,1))</f>
        <v/>
      </c>
      <c r="Q107" s="6">
        <f>IF(OR(原始資料!$A107="",16&gt;設定!$B$3,原始資料!S107=""),"",IF(AND(原始資料!R107&lt;&gt;"",原始資料!S107=原始資料!R107),N(P107)+1,1))</f>
        <v/>
      </c>
      <c r="R107" s="6">
        <f>IF(OR(原始資料!$A107="",17&gt;設定!$B$3,原始資料!T107=""),"",IF(AND(原始資料!S107&lt;&gt;"",原始資料!T107=原始資料!S107),N(Q107)+1,1))</f>
        <v/>
      </c>
      <c r="S107" s="6">
        <f>IF(OR(原始資料!$A107="",18&gt;設定!$B$3,原始資料!U107=""),"",IF(AND(原始資料!T107&lt;&gt;"",原始資料!U107=原始資料!T107),N(R107)+1,1))</f>
        <v/>
      </c>
      <c r="T107" s="6">
        <f>IF(OR(原始資料!$A107="",19&gt;設定!$B$3,原始資料!V107=""),"",IF(AND(原始資料!U107&lt;&gt;"",原始資料!V107=原始資料!U107),N(S107)+1,1))</f>
        <v/>
      </c>
      <c r="U107" s="6">
        <f>IF(OR(原始資料!$A107="",20&gt;設定!$B$3,原始資料!W107=""),"",IF(AND(原始資料!V107&lt;&gt;"",原始資料!W107=原始資料!V107),N(T107)+1,1))</f>
        <v/>
      </c>
      <c r="V107" s="6">
        <f>IF(OR(原始資料!$A107="",21&gt;設定!$B$3,原始資料!X107=""),"",IF(AND(原始資料!W107&lt;&gt;"",原始資料!X107=原始資料!W107),N(U107)+1,1))</f>
        <v/>
      </c>
      <c r="W107" s="6">
        <f>IF(OR(原始資料!$A107="",22&gt;設定!$B$3,原始資料!Y107=""),"",IF(AND(原始資料!X107&lt;&gt;"",原始資料!Y107=原始資料!X107),N(V107)+1,1))</f>
        <v/>
      </c>
      <c r="X107" s="6">
        <f>IF(OR(原始資料!$A107="",23&gt;設定!$B$3,原始資料!Z107=""),"",IF(AND(原始資料!Y107&lt;&gt;"",原始資料!Z107=原始資料!Y107),N(W107)+1,1))</f>
        <v/>
      </c>
      <c r="Y107" s="6">
        <f>IF(OR(原始資料!$A107="",24&gt;設定!$B$3,原始資料!AA107=""),"",IF(AND(原始資料!Z107&lt;&gt;"",原始資料!AA107=原始資料!Z107),N(X107)+1,1))</f>
        <v/>
      </c>
      <c r="Z107" s="6">
        <f>IF(OR(原始資料!$A107="",25&gt;設定!$B$3,原始資料!AB107=""),"",IF(AND(原始資料!AA107&lt;&gt;"",原始資料!AB107=原始資料!AA107),N(Y107)+1,1))</f>
        <v/>
      </c>
      <c r="AA107" s="6">
        <f>IF(OR(原始資料!$A107="",26&gt;設定!$B$3,原始資料!AC107=""),"",IF(AND(原始資料!AB107&lt;&gt;"",原始資料!AC107=原始資料!AB107),N(Z107)+1,1))</f>
        <v/>
      </c>
      <c r="AB107" s="6">
        <f>IF(OR(原始資料!$A107="",27&gt;設定!$B$3,原始資料!AD107=""),"",IF(AND(原始資料!AC107&lt;&gt;"",原始資料!AD107=原始資料!AC107),N(AA107)+1,1))</f>
        <v/>
      </c>
      <c r="AC107" s="6">
        <f>IF(OR(原始資料!$A107="",28&gt;設定!$B$3,原始資料!AE107=""),"",IF(AND(原始資料!AD107&lt;&gt;"",原始資料!AE107=原始資料!AD107),N(AB107)+1,1))</f>
        <v/>
      </c>
      <c r="AD107" s="6">
        <f>IF(OR(原始資料!$A107="",29&gt;設定!$B$3,原始資料!AF107=""),"",IF(AND(原始資料!AE107&lt;&gt;"",原始資料!AF107=原始資料!AE107),N(AC107)+1,1))</f>
        <v/>
      </c>
      <c r="AE107" s="6">
        <f>IF(OR(原始資料!$A107="",30&gt;設定!$B$3,原始資料!AG107=""),"",IF(AND(原始資料!AF107&lt;&gt;"",原始資料!AG107=原始資料!AF107),N(AD107)+1,1))</f>
        <v/>
      </c>
      <c r="AF107" s="6">
        <f>IF(OR(原始資料!$A107="",31&gt;設定!$B$3,原始資料!AH107=""),"",IF(AND(原始資料!AG107&lt;&gt;"",原始資料!AH107=原始資料!AG107),N(AE107)+1,1))</f>
        <v/>
      </c>
      <c r="AG107" s="6">
        <f>IF(OR(原始資料!$A107="",32&gt;設定!$B$3,原始資料!AI107=""),"",IF(AND(原始資料!AH107&lt;&gt;"",原始資料!AI107=原始資料!AH107),N(AF107)+1,1))</f>
        <v/>
      </c>
      <c r="AH107" s="6">
        <f>IF(OR(原始資料!$A107="",33&gt;設定!$B$3,原始資料!AJ107=""),"",IF(AND(原始資料!AI107&lt;&gt;"",原始資料!AJ107=原始資料!AI107),N(AG107)+1,1))</f>
        <v/>
      </c>
      <c r="AI107" s="6">
        <f>IF(OR(原始資料!$A107="",34&gt;設定!$B$3,原始資料!AK107=""),"",IF(AND(原始資料!AJ107&lt;&gt;"",原始資料!AK107=原始資料!AJ107),N(AH107)+1,1))</f>
        <v/>
      </c>
      <c r="AJ107" s="6">
        <f>IF(OR(原始資料!$A107="",35&gt;設定!$B$3,原始資料!AL107=""),"",IF(AND(原始資料!AK107&lt;&gt;"",原始資料!AL107=原始資料!AK107),N(AI107)+1,1))</f>
        <v/>
      </c>
      <c r="AK107" s="6">
        <f>IF(OR(原始資料!$A107="",36&gt;設定!$B$3,原始資料!AM107=""),"",IF(AND(原始資料!AL107&lt;&gt;"",原始資料!AM107=原始資料!AL107),N(AJ107)+1,1))</f>
        <v/>
      </c>
      <c r="AL107" s="6">
        <f>IF(OR(原始資料!$A107="",37&gt;設定!$B$3,原始資料!AN107=""),"",IF(AND(原始資料!AM107&lt;&gt;"",原始資料!AN107=原始資料!AM107),N(AK107)+1,1))</f>
        <v/>
      </c>
      <c r="AM107" s="6">
        <f>IF(OR(原始資料!$A107="",38&gt;設定!$B$3,原始資料!AO107=""),"",IF(AND(原始資料!AN107&lt;&gt;"",原始資料!AO107=原始資料!AN107),N(AL107)+1,1))</f>
        <v/>
      </c>
      <c r="AN107" s="6">
        <f>IF(OR(原始資料!$A107="",39&gt;設定!$B$3,原始資料!AP107=""),"",IF(AND(原始資料!AO107&lt;&gt;"",原始資料!AP107=原始資料!AO107),N(AM107)+1,1))</f>
        <v/>
      </c>
      <c r="AO107" s="6">
        <f>IF(OR(原始資料!$A107="",40&gt;設定!$B$3,原始資料!AQ107=""),"",IF(AND(原始資料!AP107&lt;&gt;"",原始資料!AQ107=原始資料!AP107),N(AN107)+1,1))</f>
        <v/>
      </c>
      <c r="AP107" s="6">
        <f>IF(OR(原始資料!$A107="",41&gt;設定!$B$3,原始資料!AR107=""),"",IF(AND(原始資料!AQ107&lt;&gt;"",原始資料!AR107=原始資料!AQ107),N(AO107)+1,1))</f>
        <v/>
      </c>
      <c r="AQ107" s="6">
        <f>IF(OR(原始資料!$A107="",42&gt;設定!$B$3,原始資料!AS107=""),"",IF(AND(原始資料!AR107&lt;&gt;"",原始資料!AS107=原始資料!AR107),N(AP107)+1,1))</f>
        <v/>
      </c>
      <c r="AR107" s="6">
        <f>IF(OR(原始資料!$A107="",43&gt;設定!$B$3,原始資料!AT107=""),"",IF(AND(原始資料!AS107&lt;&gt;"",原始資料!AT107=原始資料!AS107),N(AQ107)+1,1))</f>
        <v/>
      </c>
      <c r="AS107" s="6">
        <f>IF(OR(原始資料!$A107="",44&gt;設定!$B$3,原始資料!AU107=""),"",IF(AND(原始資料!AT107&lt;&gt;"",原始資料!AU107=原始資料!AT107),N(AR107)+1,1))</f>
        <v/>
      </c>
      <c r="AT107" s="6">
        <f>IF(OR(原始資料!$A107="",45&gt;設定!$B$3,原始資料!AV107=""),"",IF(AND(原始資料!AU107&lt;&gt;"",原始資料!AV107=原始資料!AU107),N(AS107)+1,1))</f>
        <v/>
      </c>
      <c r="AU107" s="6">
        <f>IF(OR(原始資料!$A107="",46&gt;設定!$B$3,原始資料!AW107=""),"",IF(AND(原始資料!AV107&lt;&gt;"",原始資料!AW107=原始資料!AV107),N(AT107)+1,1))</f>
        <v/>
      </c>
      <c r="AV107" s="6">
        <f>IF(OR(原始資料!$A107="",47&gt;設定!$B$3,原始資料!AX107=""),"",IF(AND(原始資料!AW107&lt;&gt;"",原始資料!AX107=原始資料!AW107),N(AU107)+1,1))</f>
        <v/>
      </c>
      <c r="AW107" s="6">
        <f>IF(OR(原始資料!$A107="",48&gt;設定!$B$3,原始資料!AY107=""),"",IF(AND(原始資料!AX107&lt;&gt;"",原始資料!AY107=原始資料!AX107),N(AV107)+1,1))</f>
        <v/>
      </c>
      <c r="AX107" s="6">
        <f>IF(OR(原始資料!$A107="",49&gt;設定!$B$3,原始資料!AZ107=""),"",IF(AND(原始資料!AY107&lt;&gt;"",原始資料!AZ107=原始資料!AY107),N(AW107)+1,1))</f>
        <v/>
      </c>
      <c r="AY107" s="6">
        <f>IF(OR(原始資料!$A107="",50&gt;設定!$B$3,原始資料!BA107=""),"",IF(AND(原始資料!AZ107&lt;&gt;"",原始資料!BA107=原始資料!AZ107),N(AX107)+1,1))</f>
        <v/>
      </c>
      <c r="AZ107" s="6">
        <f>IF(OR(原始資料!$A107="",51&gt;設定!$B$3,原始資料!BB107=""),"",IF(AND(原始資料!BA107&lt;&gt;"",原始資料!BB107=原始資料!BA107),N(AY107)+1,1))</f>
        <v/>
      </c>
      <c r="BA107" s="6">
        <f>IF(OR(原始資料!$A107="",52&gt;設定!$B$3,原始資料!BC107=""),"",IF(AND(原始資料!BB107&lt;&gt;"",原始資料!BC107=原始資料!BB107),N(AZ107)+1,1))</f>
        <v/>
      </c>
      <c r="BB107" s="6">
        <f>IF(OR(原始資料!$A107="",53&gt;設定!$B$3,原始資料!BD107=""),"",IF(AND(原始資料!BC107&lt;&gt;"",原始資料!BD107=原始資料!BC107),N(BA107)+1,1))</f>
        <v/>
      </c>
      <c r="BC107" s="6">
        <f>IF(OR(原始資料!$A107="",54&gt;設定!$B$3,原始資料!BE107=""),"",IF(AND(原始資料!BD107&lt;&gt;"",原始資料!BE107=原始資料!BD107),N(BB107)+1,1))</f>
        <v/>
      </c>
      <c r="BD107" s="6">
        <f>IF(OR(原始資料!$A107="",55&gt;設定!$B$3,原始資料!BF107=""),"",IF(AND(原始資料!BE107&lt;&gt;"",原始資料!BF107=原始資料!BE107),N(BC107)+1,1))</f>
        <v/>
      </c>
      <c r="BE107" s="6">
        <f>IF(OR(原始資料!$A107="",56&gt;設定!$B$3,原始資料!BG107=""),"",IF(AND(原始資料!BF107&lt;&gt;"",原始資料!BG107=原始資料!BF107),N(BD107)+1,1))</f>
        <v/>
      </c>
      <c r="BF107" s="6">
        <f>IF(OR(原始資料!$A107="",57&gt;設定!$B$3,原始資料!BH107=""),"",IF(AND(原始資料!BG107&lt;&gt;"",原始資料!BH107=原始資料!BG107),N(BE107)+1,1))</f>
        <v/>
      </c>
      <c r="BG107" s="6">
        <f>IF(OR(原始資料!$A107="",58&gt;設定!$B$3,原始資料!BI107=""),"",IF(AND(原始資料!BH107&lt;&gt;"",原始資料!BI107=原始資料!BH107),N(BF107)+1,1))</f>
        <v/>
      </c>
      <c r="BH107" s="6">
        <f>IF(OR(原始資料!$A107="",59&gt;設定!$B$3,原始資料!BJ107=""),"",IF(AND(原始資料!BI107&lt;&gt;"",原始資料!BJ107=原始資料!BI107),N(BG107)+1,1))</f>
        <v/>
      </c>
      <c r="BI107" s="6">
        <f>IF(OR(原始資料!$A107="",60&gt;設定!$B$3,原始資料!BK107=""),"",IF(AND(原始資料!BJ107&lt;&gt;"",原始資料!BK107=原始資料!BJ107),N(BH107)+1,1))</f>
        <v/>
      </c>
    </row>
    <row r="108">
      <c r="A108" s="6">
        <f>IF(原始資料!$A108="","",原始資料!$A108)</f>
        <v/>
      </c>
      <c r="B108" s="6">
        <f>IF(OR(原始資料!$A108="",1&gt;設定!$B$3,原始資料!D108=""),"",1)</f>
        <v/>
      </c>
      <c r="C108" s="6">
        <f>IF(OR(原始資料!$A108="",2&gt;設定!$B$3,原始資料!E108=""),"",IF(AND(原始資料!D108&lt;&gt;"",原始資料!E108=原始資料!D108),N(B108)+1,1))</f>
        <v/>
      </c>
      <c r="D108" s="6">
        <f>IF(OR(原始資料!$A108="",3&gt;設定!$B$3,原始資料!F108=""),"",IF(AND(原始資料!E108&lt;&gt;"",原始資料!F108=原始資料!E108),N(C108)+1,1))</f>
        <v/>
      </c>
      <c r="E108" s="6">
        <f>IF(OR(原始資料!$A108="",4&gt;設定!$B$3,原始資料!G108=""),"",IF(AND(原始資料!F108&lt;&gt;"",原始資料!G108=原始資料!F108),N(D108)+1,1))</f>
        <v/>
      </c>
      <c r="F108" s="6">
        <f>IF(OR(原始資料!$A108="",5&gt;設定!$B$3,原始資料!H108=""),"",IF(AND(原始資料!G108&lt;&gt;"",原始資料!H108=原始資料!G108),N(E108)+1,1))</f>
        <v/>
      </c>
      <c r="G108" s="6">
        <f>IF(OR(原始資料!$A108="",6&gt;設定!$B$3,原始資料!I108=""),"",IF(AND(原始資料!H108&lt;&gt;"",原始資料!I108=原始資料!H108),N(F108)+1,1))</f>
        <v/>
      </c>
      <c r="H108" s="6">
        <f>IF(OR(原始資料!$A108="",7&gt;設定!$B$3,原始資料!J108=""),"",IF(AND(原始資料!I108&lt;&gt;"",原始資料!J108=原始資料!I108),N(G108)+1,1))</f>
        <v/>
      </c>
      <c r="I108" s="6">
        <f>IF(OR(原始資料!$A108="",8&gt;設定!$B$3,原始資料!K108=""),"",IF(AND(原始資料!J108&lt;&gt;"",原始資料!K108=原始資料!J108),N(H108)+1,1))</f>
        <v/>
      </c>
      <c r="J108" s="6">
        <f>IF(OR(原始資料!$A108="",9&gt;設定!$B$3,原始資料!L108=""),"",IF(AND(原始資料!K108&lt;&gt;"",原始資料!L108=原始資料!K108),N(I108)+1,1))</f>
        <v/>
      </c>
      <c r="K108" s="6">
        <f>IF(OR(原始資料!$A108="",10&gt;設定!$B$3,原始資料!M108=""),"",IF(AND(原始資料!L108&lt;&gt;"",原始資料!M108=原始資料!L108),N(J108)+1,1))</f>
        <v/>
      </c>
      <c r="L108" s="6">
        <f>IF(OR(原始資料!$A108="",11&gt;設定!$B$3,原始資料!N108=""),"",IF(AND(原始資料!M108&lt;&gt;"",原始資料!N108=原始資料!M108),N(K108)+1,1))</f>
        <v/>
      </c>
      <c r="M108" s="6">
        <f>IF(OR(原始資料!$A108="",12&gt;設定!$B$3,原始資料!O108=""),"",IF(AND(原始資料!N108&lt;&gt;"",原始資料!O108=原始資料!N108),N(L108)+1,1))</f>
        <v/>
      </c>
      <c r="N108" s="6">
        <f>IF(OR(原始資料!$A108="",13&gt;設定!$B$3,原始資料!P108=""),"",IF(AND(原始資料!O108&lt;&gt;"",原始資料!P108=原始資料!O108),N(M108)+1,1))</f>
        <v/>
      </c>
      <c r="O108" s="6">
        <f>IF(OR(原始資料!$A108="",14&gt;設定!$B$3,原始資料!Q108=""),"",IF(AND(原始資料!P108&lt;&gt;"",原始資料!Q108=原始資料!P108),N(N108)+1,1))</f>
        <v/>
      </c>
      <c r="P108" s="6">
        <f>IF(OR(原始資料!$A108="",15&gt;設定!$B$3,原始資料!R108=""),"",IF(AND(原始資料!Q108&lt;&gt;"",原始資料!R108=原始資料!Q108),N(O108)+1,1))</f>
        <v/>
      </c>
      <c r="Q108" s="6">
        <f>IF(OR(原始資料!$A108="",16&gt;設定!$B$3,原始資料!S108=""),"",IF(AND(原始資料!R108&lt;&gt;"",原始資料!S108=原始資料!R108),N(P108)+1,1))</f>
        <v/>
      </c>
      <c r="R108" s="6">
        <f>IF(OR(原始資料!$A108="",17&gt;設定!$B$3,原始資料!T108=""),"",IF(AND(原始資料!S108&lt;&gt;"",原始資料!T108=原始資料!S108),N(Q108)+1,1))</f>
        <v/>
      </c>
      <c r="S108" s="6">
        <f>IF(OR(原始資料!$A108="",18&gt;設定!$B$3,原始資料!U108=""),"",IF(AND(原始資料!T108&lt;&gt;"",原始資料!U108=原始資料!T108),N(R108)+1,1))</f>
        <v/>
      </c>
      <c r="T108" s="6">
        <f>IF(OR(原始資料!$A108="",19&gt;設定!$B$3,原始資料!V108=""),"",IF(AND(原始資料!U108&lt;&gt;"",原始資料!V108=原始資料!U108),N(S108)+1,1))</f>
        <v/>
      </c>
      <c r="U108" s="6">
        <f>IF(OR(原始資料!$A108="",20&gt;設定!$B$3,原始資料!W108=""),"",IF(AND(原始資料!V108&lt;&gt;"",原始資料!W108=原始資料!V108),N(T108)+1,1))</f>
        <v/>
      </c>
      <c r="V108" s="6">
        <f>IF(OR(原始資料!$A108="",21&gt;設定!$B$3,原始資料!X108=""),"",IF(AND(原始資料!W108&lt;&gt;"",原始資料!X108=原始資料!W108),N(U108)+1,1))</f>
        <v/>
      </c>
      <c r="W108" s="6">
        <f>IF(OR(原始資料!$A108="",22&gt;設定!$B$3,原始資料!Y108=""),"",IF(AND(原始資料!X108&lt;&gt;"",原始資料!Y108=原始資料!X108),N(V108)+1,1))</f>
        <v/>
      </c>
      <c r="X108" s="6">
        <f>IF(OR(原始資料!$A108="",23&gt;設定!$B$3,原始資料!Z108=""),"",IF(AND(原始資料!Y108&lt;&gt;"",原始資料!Z108=原始資料!Y108),N(W108)+1,1))</f>
        <v/>
      </c>
      <c r="Y108" s="6">
        <f>IF(OR(原始資料!$A108="",24&gt;設定!$B$3,原始資料!AA108=""),"",IF(AND(原始資料!Z108&lt;&gt;"",原始資料!AA108=原始資料!Z108),N(X108)+1,1))</f>
        <v/>
      </c>
      <c r="Z108" s="6">
        <f>IF(OR(原始資料!$A108="",25&gt;設定!$B$3,原始資料!AB108=""),"",IF(AND(原始資料!AA108&lt;&gt;"",原始資料!AB108=原始資料!AA108),N(Y108)+1,1))</f>
        <v/>
      </c>
      <c r="AA108" s="6">
        <f>IF(OR(原始資料!$A108="",26&gt;設定!$B$3,原始資料!AC108=""),"",IF(AND(原始資料!AB108&lt;&gt;"",原始資料!AC108=原始資料!AB108),N(Z108)+1,1))</f>
        <v/>
      </c>
      <c r="AB108" s="6">
        <f>IF(OR(原始資料!$A108="",27&gt;設定!$B$3,原始資料!AD108=""),"",IF(AND(原始資料!AC108&lt;&gt;"",原始資料!AD108=原始資料!AC108),N(AA108)+1,1))</f>
        <v/>
      </c>
      <c r="AC108" s="6">
        <f>IF(OR(原始資料!$A108="",28&gt;設定!$B$3,原始資料!AE108=""),"",IF(AND(原始資料!AD108&lt;&gt;"",原始資料!AE108=原始資料!AD108),N(AB108)+1,1))</f>
        <v/>
      </c>
      <c r="AD108" s="6">
        <f>IF(OR(原始資料!$A108="",29&gt;設定!$B$3,原始資料!AF108=""),"",IF(AND(原始資料!AE108&lt;&gt;"",原始資料!AF108=原始資料!AE108),N(AC108)+1,1))</f>
        <v/>
      </c>
      <c r="AE108" s="6">
        <f>IF(OR(原始資料!$A108="",30&gt;設定!$B$3,原始資料!AG108=""),"",IF(AND(原始資料!AF108&lt;&gt;"",原始資料!AG108=原始資料!AF108),N(AD108)+1,1))</f>
        <v/>
      </c>
      <c r="AF108" s="6">
        <f>IF(OR(原始資料!$A108="",31&gt;設定!$B$3,原始資料!AH108=""),"",IF(AND(原始資料!AG108&lt;&gt;"",原始資料!AH108=原始資料!AG108),N(AE108)+1,1))</f>
        <v/>
      </c>
      <c r="AG108" s="6">
        <f>IF(OR(原始資料!$A108="",32&gt;設定!$B$3,原始資料!AI108=""),"",IF(AND(原始資料!AH108&lt;&gt;"",原始資料!AI108=原始資料!AH108),N(AF108)+1,1))</f>
        <v/>
      </c>
      <c r="AH108" s="6">
        <f>IF(OR(原始資料!$A108="",33&gt;設定!$B$3,原始資料!AJ108=""),"",IF(AND(原始資料!AI108&lt;&gt;"",原始資料!AJ108=原始資料!AI108),N(AG108)+1,1))</f>
        <v/>
      </c>
      <c r="AI108" s="6">
        <f>IF(OR(原始資料!$A108="",34&gt;設定!$B$3,原始資料!AK108=""),"",IF(AND(原始資料!AJ108&lt;&gt;"",原始資料!AK108=原始資料!AJ108),N(AH108)+1,1))</f>
        <v/>
      </c>
      <c r="AJ108" s="6">
        <f>IF(OR(原始資料!$A108="",35&gt;設定!$B$3,原始資料!AL108=""),"",IF(AND(原始資料!AK108&lt;&gt;"",原始資料!AL108=原始資料!AK108),N(AI108)+1,1))</f>
        <v/>
      </c>
      <c r="AK108" s="6">
        <f>IF(OR(原始資料!$A108="",36&gt;設定!$B$3,原始資料!AM108=""),"",IF(AND(原始資料!AL108&lt;&gt;"",原始資料!AM108=原始資料!AL108),N(AJ108)+1,1))</f>
        <v/>
      </c>
      <c r="AL108" s="6">
        <f>IF(OR(原始資料!$A108="",37&gt;設定!$B$3,原始資料!AN108=""),"",IF(AND(原始資料!AM108&lt;&gt;"",原始資料!AN108=原始資料!AM108),N(AK108)+1,1))</f>
        <v/>
      </c>
      <c r="AM108" s="6">
        <f>IF(OR(原始資料!$A108="",38&gt;設定!$B$3,原始資料!AO108=""),"",IF(AND(原始資料!AN108&lt;&gt;"",原始資料!AO108=原始資料!AN108),N(AL108)+1,1))</f>
        <v/>
      </c>
      <c r="AN108" s="6">
        <f>IF(OR(原始資料!$A108="",39&gt;設定!$B$3,原始資料!AP108=""),"",IF(AND(原始資料!AO108&lt;&gt;"",原始資料!AP108=原始資料!AO108),N(AM108)+1,1))</f>
        <v/>
      </c>
      <c r="AO108" s="6">
        <f>IF(OR(原始資料!$A108="",40&gt;設定!$B$3,原始資料!AQ108=""),"",IF(AND(原始資料!AP108&lt;&gt;"",原始資料!AQ108=原始資料!AP108),N(AN108)+1,1))</f>
        <v/>
      </c>
      <c r="AP108" s="6">
        <f>IF(OR(原始資料!$A108="",41&gt;設定!$B$3,原始資料!AR108=""),"",IF(AND(原始資料!AQ108&lt;&gt;"",原始資料!AR108=原始資料!AQ108),N(AO108)+1,1))</f>
        <v/>
      </c>
      <c r="AQ108" s="6">
        <f>IF(OR(原始資料!$A108="",42&gt;設定!$B$3,原始資料!AS108=""),"",IF(AND(原始資料!AR108&lt;&gt;"",原始資料!AS108=原始資料!AR108),N(AP108)+1,1))</f>
        <v/>
      </c>
      <c r="AR108" s="6">
        <f>IF(OR(原始資料!$A108="",43&gt;設定!$B$3,原始資料!AT108=""),"",IF(AND(原始資料!AS108&lt;&gt;"",原始資料!AT108=原始資料!AS108),N(AQ108)+1,1))</f>
        <v/>
      </c>
      <c r="AS108" s="6">
        <f>IF(OR(原始資料!$A108="",44&gt;設定!$B$3,原始資料!AU108=""),"",IF(AND(原始資料!AT108&lt;&gt;"",原始資料!AU108=原始資料!AT108),N(AR108)+1,1))</f>
        <v/>
      </c>
      <c r="AT108" s="6">
        <f>IF(OR(原始資料!$A108="",45&gt;設定!$B$3,原始資料!AV108=""),"",IF(AND(原始資料!AU108&lt;&gt;"",原始資料!AV108=原始資料!AU108),N(AS108)+1,1))</f>
        <v/>
      </c>
      <c r="AU108" s="6">
        <f>IF(OR(原始資料!$A108="",46&gt;設定!$B$3,原始資料!AW108=""),"",IF(AND(原始資料!AV108&lt;&gt;"",原始資料!AW108=原始資料!AV108),N(AT108)+1,1))</f>
        <v/>
      </c>
      <c r="AV108" s="6">
        <f>IF(OR(原始資料!$A108="",47&gt;設定!$B$3,原始資料!AX108=""),"",IF(AND(原始資料!AW108&lt;&gt;"",原始資料!AX108=原始資料!AW108),N(AU108)+1,1))</f>
        <v/>
      </c>
      <c r="AW108" s="6">
        <f>IF(OR(原始資料!$A108="",48&gt;設定!$B$3,原始資料!AY108=""),"",IF(AND(原始資料!AX108&lt;&gt;"",原始資料!AY108=原始資料!AX108),N(AV108)+1,1))</f>
        <v/>
      </c>
      <c r="AX108" s="6">
        <f>IF(OR(原始資料!$A108="",49&gt;設定!$B$3,原始資料!AZ108=""),"",IF(AND(原始資料!AY108&lt;&gt;"",原始資料!AZ108=原始資料!AY108),N(AW108)+1,1))</f>
        <v/>
      </c>
      <c r="AY108" s="6">
        <f>IF(OR(原始資料!$A108="",50&gt;設定!$B$3,原始資料!BA108=""),"",IF(AND(原始資料!AZ108&lt;&gt;"",原始資料!BA108=原始資料!AZ108),N(AX108)+1,1))</f>
        <v/>
      </c>
      <c r="AZ108" s="6">
        <f>IF(OR(原始資料!$A108="",51&gt;設定!$B$3,原始資料!BB108=""),"",IF(AND(原始資料!BA108&lt;&gt;"",原始資料!BB108=原始資料!BA108),N(AY108)+1,1))</f>
        <v/>
      </c>
      <c r="BA108" s="6">
        <f>IF(OR(原始資料!$A108="",52&gt;設定!$B$3,原始資料!BC108=""),"",IF(AND(原始資料!BB108&lt;&gt;"",原始資料!BC108=原始資料!BB108),N(AZ108)+1,1))</f>
        <v/>
      </c>
      <c r="BB108" s="6">
        <f>IF(OR(原始資料!$A108="",53&gt;設定!$B$3,原始資料!BD108=""),"",IF(AND(原始資料!BC108&lt;&gt;"",原始資料!BD108=原始資料!BC108),N(BA108)+1,1))</f>
        <v/>
      </c>
      <c r="BC108" s="6">
        <f>IF(OR(原始資料!$A108="",54&gt;設定!$B$3,原始資料!BE108=""),"",IF(AND(原始資料!BD108&lt;&gt;"",原始資料!BE108=原始資料!BD108),N(BB108)+1,1))</f>
        <v/>
      </c>
      <c r="BD108" s="6">
        <f>IF(OR(原始資料!$A108="",55&gt;設定!$B$3,原始資料!BF108=""),"",IF(AND(原始資料!BE108&lt;&gt;"",原始資料!BF108=原始資料!BE108),N(BC108)+1,1))</f>
        <v/>
      </c>
      <c r="BE108" s="6">
        <f>IF(OR(原始資料!$A108="",56&gt;設定!$B$3,原始資料!BG108=""),"",IF(AND(原始資料!BF108&lt;&gt;"",原始資料!BG108=原始資料!BF108),N(BD108)+1,1))</f>
        <v/>
      </c>
      <c r="BF108" s="6">
        <f>IF(OR(原始資料!$A108="",57&gt;設定!$B$3,原始資料!BH108=""),"",IF(AND(原始資料!BG108&lt;&gt;"",原始資料!BH108=原始資料!BG108),N(BE108)+1,1))</f>
        <v/>
      </c>
      <c r="BG108" s="6">
        <f>IF(OR(原始資料!$A108="",58&gt;設定!$B$3,原始資料!BI108=""),"",IF(AND(原始資料!BH108&lt;&gt;"",原始資料!BI108=原始資料!BH108),N(BF108)+1,1))</f>
        <v/>
      </c>
      <c r="BH108" s="6">
        <f>IF(OR(原始資料!$A108="",59&gt;設定!$B$3,原始資料!BJ108=""),"",IF(AND(原始資料!BI108&lt;&gt;"",原始資料!BJ108=原始資料!BI108),N(BG108)+1,1))</f>
        <v/>
      </c>
      <c r="BI108" s="6">
        <f>IF(OR(原始資料!$A108="",60&gt;設定!$B$3,原始資料!BK108=""),"",IF(AND(原始資料!BJ108&lt;&gt;"",原始資料!BK108=原始資料!BJ108),N(BH108)+1,1))</f>
        <v/>
      </c>
    </row>
    <row r="109">
      <c r="A109" s="6">
        <f>IF(原始資料!$A109="","",原始資料!$A109)</f>
        <v/>
      </c>
      <c r="B109" s="6">
        <f>IF(OR(原始資料!$A109="",1&gt;設定!$B$3,原始資料!D109=""),"",1)</f>
        <v/>
      </c>
      <c r="C109" s="6">
        <f>IF(OR(原始資料!$A109="",2&gt;設定!$B$3,原始資料!E109=""),"",IF(AND(原始資料!D109&lt;&gt;"",原始資料!E109=原始資料!D109),N(B109)+1,1))</f>
        <v/>
      </c>
      <c r="D109" s="6">
        <f>IF(OR(原始資料!$A109="",3&gt;設定!$B$3,原始資料!F109=""),"",IF(AND(原始資料!E109&lt;&gt;"",原始資料!F109=原始資料!E109),N(C109)+1,1))</f>
        <v/>
      </c>
      <c r="E109" s="6">
        <f>IF(OR(原始資料!$A109="",4&gt;設定!$B$3,原始資料!G109=""),"",IF(AND(原始資料!F109&lt;&gt;"",原始資料!G109=原始資料!F109),N(D109)+1,1))</f>
        <v/>
      </c>
      <c r="F109" s="6">
        <f>IF(OR(原始資料!$A109="",5&gt;設定!$B$3,原始資料!H109=""),"",IF(AND(原始資料!G109&lt;&gt;"",原始資料!H109=原始資料!G109),N(E109)+1,1))</f>
        <v/>
      </c>
      <c r="G109" s="6">
        <f>IF(OR(原始資料!$A109="",6&gt;設定!$B$3,原始資料!I109=""),"",IF(AND(原始資料!H109&lt;&gt;"",原始資料!I109=原始資料!H109),N(F109)+1,1))</f>
        <v/>
      </c>
      <c r="H109" s="6">
        <f>IF(OR(原始資料!$A109="",7&gt;設定!$B$3,原始資料!J109=""),"",IF(AND(原始資料!I109&lt;&gt;"",原始資料!J109=原始資料!I109),N(G109)+1,1))</f>
        <v/>
      </c>
      <c r="I109" s="6">
        <f>IF(OR(原始資料!$A109="",8&gt;設定!$B$3,原始資料!K109=""),"",IF(AND(原始資料!J109&lt;&gt;"",原始資料!K109=原始資料!J109),N(H109)+1,1))</f>
        <v/>
      </c>
      <c r="J109" s="6">
        <f>IF(OR(原始資料!$A109="",9&gt;設定!$B$3,原始資料!L109=""),"",IF(AND(原始資料!K109&lt;&gt;"",原始資料!L109=原始資料!K109),N(I109)+1,1))</f>
        <v/>
      </c>
      <c r="K109" s="6">
        <f>IF(OR(原始資料!$A109="",10&gt;設定!$B$3,原始資料!M109=""),"",IF(AND(原始資料!L109&lt;&gt;"",原始資料!M109=原始資料!L109),N(J109)+1,1))</f>
        <v/>
      </c>
      <c r="L109" s="6">
        <f>IF(OR(原始資料!$A109="",11&gt;設定!$B$3,原始資料!N109=""),"",IF(AND(原始資料!M109&lt;&gt;"",原始資料!N109=原始資料!M109),N(K109)+1,1))</f>
        <v/>
      </c>
      <c r="M109" s="6">
        <f>IF(OR(原始資料!$A109="",12&gt;設定!$B$3,原始資料!O109=""),"",IF(AND(原始資料!N109&lt;&gt;"",原始資料!O109=原始資料!N109),N(L109)+1,1))</f>
        <v/>
      </c>
      <c r="N109" s="6">
        <f>IF(OR(原始資料!$A109="",13&gt;設定!$B$3,原始資料!P109=""),"",IF(AND(原始資料!O109&lt;&gt;"",原始資料!P109=原始資料!O109),N(M109)+1,1))</f>
        <v/>
      </c>
      <c r="O109" s="6">
        <f>IF(OR(原始資料!$A109="",14&gt;設定!$B$3,原始資料!Q109=""),"",IF(AND(原始資料!P109&lt;&gt;"",原始資料!Q109=原始資料!P109),N(N109)+1,1))</f>
        <v/>
      </c>
      <c r="P109" s="6">
        <f>IF(OR(原始資料!$A109="",15&gt;設定!$B$3,原始資料!R109=""),"",IF(AND(原始資料!Q109&lt;&gt;"",原始資料!R109=原始資料!Q109),N(O109)+1,1))</f>
        <v/>
      </c>
      <c r="Q109" s="6">
        <f>IF(OR(原始資料!$A109="",16&gt;設定!$B$3,原始資料!S109=""),"",IF(AND(原始資料!R109&lt;&gt;"",原始資料!S109=原始資料!R109),N(P109)+1,1))</f>
        <v/>
      </c>
      <c r="R109" s="6">
        <f>IF(OR(原始資料!$A109="",17&gt;設定!$B$3,原始資料!T109=""),"",IF(AND(原始資料!S109&lt;&gt;"",原始資料!T109=原始資料!S109),N(Q109)+1,1))</f>
        <v/>
      </c>
      <c r="S109" s="6">
        <f>IF(OR(原始資料!$A109="",18&gt;設定!$B$3,原始資料!U109=""),"",IF(AND(原始資料!T109&lt;&gt;"",原始資料!U109=原始資料!T109),N(R109)+1,1))</f>
        <v/>
      </c>
      <c r="T109" s="6">
        <f>IF(OR(原始資料!$A109="",19&gt;設定!$B$3,原始資料!V109=""),"",IF(AND(原始資料!U109&lt;&gt;"",原始資料!V109=原始資料!U109),N(S109)+1,1))</f>
        <v/>
      </c>
      <c r="U109" s="6">
        <f>IF(OR(原始資料!$A109="",20&gt;設定!$B$3,原始資料!W109=""),"",IF(AND(原始資料!V109&lt;&gt;"",原始資料!W109=原始資料!V109),N(T109)+1,1))</f>
        <v/>
      </c>
      <c r="V109" s="6">
        <f>IF(OR(原始資料!$A109="",21&gt;設定!$B$3,原始資料!X109=""),"",IF(AND(原始資料!W109&lt;&gt;"",原始資料!X109=原始資料!W109),N(U109)+1,1))</f>
        <v/>
      </c>
      <c r="W109" s="6">
        <f>IF(OR(原始資料!$A109="",22&gt;設定!$B$3,原始資料!Y109=""),"",IF(AND(原始資料!X109&lt;&gt;"",原始資料!Y109=原始資料!X109),N(V109)+1,1))</f>
        <v/>
      </c>
      <c r="X109" s="6">
        <f>IF(OR(原始資料!$A109="",23&gt;設定!$B$3,原始資料!Z109=""),"",IF(AND(原始資料!Y109&lt;&gt;"",原始資料!Z109=原始資料!Y109),N(W109)+1,1))</f>
        <v/>
      </c>
      <c r="Y109" s="6">
        <f>IF(OR(原始資料!$A109="",24&gt;設定!$B$3,原始資料!AA109=""),"",IF(AND(原始資料!Z109&lt;&gt;"",原始資料!AA109=原始資料!Z109),N(X109)+1,1))</f>
        <v/>
      </c>
      <c r="Z109" s="6">
        <f>IF(OR(原始資料!$A109="",25&gt;設定!$B$3,原始資料!AB109=""),"",IF(AND(原始資料!AA109&lt;&gt;"",原始資料!AB109=原始資料!AA109),N(Y109)+1,1))</f>
        <v/>
      </c>
      <c r="AA109" s="6">
        <f>IF(OR(原始資料!$A109="",26&gt;設定!$B$3,原始資料!AC109=""),"",IF(AND(原始資料!AB109&lt;&gt;"",原始資料!AC109=原始資料!AB109),N(Z109)+1,1))</f>
        <v/>
      </c>
      <c r="AB109" s="6">
        <f>IF(OR(原始資料!$A109="",27&gt;設定!$B$3,原始資料!AD109=""),"",IF(AND(原始資料!AC109&lt;&gt;"",原始資料!AD109=原始資料!AC109),N(AA109)+1,1))</f>
        <v/>
      </c>
      <c r="AC109" s="6">
        <f>IF(OR(原始資料!$A109="",28&gt;設定!$B$3,原始資料!AE109=""),"",IF(AND(原始資料!AD109&lt;&gt;"",原始資料!AE109=原始資料!AD109),N(AB109)+1,1))</f>
        <v/>
      </c>
      <c r="AD109" s="6">
        <f>IF(OR(原始資料!$A109="",29&gt;設定!$B$3,原始資料!AF109=""),"",IF(AND(原始資料!AE109&lt;&gt;"",原始資料!AF109=原始資料!AE109),N(AC109)+1,1))</f>
        <v/>
      </c>
      <c r="AE109" s="6">
        <f>IF(OR(原始資料!$A109="",30&gt;設定!$B$3,原始資料!AG109=""),"",IF(AND(原始資料!AF109&lt;&gt;"",原始資料!AG109=原始資料!AF109),N(AD109)+1,1))</f>
        <v/>
      </c>
      <c r="AF109" s="6">
        <f>IF(OR(原始資料!$A109="",31&gt;設定!$B$3,原始資料!AH109=""),"",IF(AND(原始資料!AG109&lt;&gt;"",原始資料!AH109=原始資料!AG109),N(AE109)+1,1))</f>
        <v/>
      </c>
      <c r="AG109" s="6">
        <f>IF(OR(原始資料!$A109="",32&gt;設定!$B$3,原始資料!AI109=""),"",IF(AND(原始資料!AH109&lt;&gt;"",原始資料!AI109=原始資料!AH109),N(AF109)+1,1))</f>
        <v/>
      </c>
      <c r="AH109" s="6">
        <f>IF(OR(原始資料!$A109="",33&gt;設定!$B$3,原始資料!AJ109=""),"",IF(AND(原始資料!AI109&lt;&gt;"",原始資料!AJ109=原始資料!AI109),N(AG109)+1,1))</f>
        <v/>
      </c>
      <c r="AI109" s="6">
        <f>IF(OR(原始資料!$A109="",34&gt;設定!$B$3,原始資料!AK109=""),"",IF(AND(原始資料!AJ109&lt;&gt;"",原始資料!AK109=原始資料!AJ109),N(AH109)+1,1))</f>
        <v/>
      </c>
      <c r="AJ109" s="6">
        <f>IF(OR(原始資料!$A109="",35&gt;設定!$B$3,原始資料!AL109=""),"",IF(AND(原始資料!AK109&lt;&gt;"",原始資料!AL109=原始資料!AK109),N(AI109)+1,1))</f>
        <v/>
      </c>
      <c r="AK109" s="6">
        <f>IF(OR(原始資料!$A109="",36&gt;設定!$B$3,原始資料!AM109=""),"",IF(AND(原始資料!AL109&lt;&gt;"",原始資料!AM109=原始資料!AL109),N(AJ109)+1,1))</f>
        <v/>
      </c>
      <c r="AL109" s="6">
        <f>IF(OR(原始資料!$A109="",37&gt;設定!$B$3,原始資料!AN109=""),"",IF(AND(原始資料!AM109&lt;&gt;"",原始資料!AN109=原始資料!AM109),N(AK109)+1,1))</f>
        <v/>
      </c>
      <c r="AM109" s="6">
        <f>IF(OR(原始資料!$A109="",38&gt;設定!$B$3,原始資料!AO109=""),"",IF(AND(原始資料!AN109&lt;&gt;"",原始資料!AO109=原始資料!AN109),N(AL109)+1,1))</f>
        <v/>
      </c>
      <c r="AN109" s="6">
        <f>IF(OR(原始資料!$A109="",39&gt;設定!$B$3,原始資料!AP109=""),"",IF(AND(原始資料!AO109&lt;&gt;"",原始資料!AP109=原始資料!AO109),N(AM109)+1,1))</f>
        <v/>
      </c>
      <c r="AO109" s="6">
        <f>IF(OR(原始資料!$A109="",40&gt;設定!$B$3,原始資料!AQ109=""),"",IF(AND(原始資料!AP109&lt;&gt;"",原始資料!AQ109=原始資料!AP109),N(AN109)+1,1))</f>
        <v/>
      </c>
      <c r="AP109" s="6">
        <f>IF(OR(原始資料!$A109="",41&gt;設定!$B$3,原始資料!AR109=""),"",IF(AND(原始資料!AQ109&lt;&gt;"",原始資料!AR109=原始資料!AQ109),N(AO109)+1,1))</f>
        <v/>
      </c>
      <c r="AQ109" s="6">
        <f>IF(OR(原始資料!$A109="",42&gt;設定!$B$3,原始資料!AS109=""),"",IF(AND(原始資料!AR109&lt;&gt;"",原始資料!AS109=原始資料!AR109),N(AP109)+1,1))</f>
        <v/>
      </c>
      <c r="AR109" s="6">
        <f>IF(OR(原始資料!$A109="",43&gt;設定!$B$3,原始資料!AT109=""),"",IF(AND(原始資料!AS109&lt;&gt;"",原始資料!AT109=原始資料!AS109),N(AQ109)+1,1))</f>
        <v/>
      </c>
      <c r="AS109" s="6">
        <f>IF(OR(原始資料!$A109="",44&gt;設定!$B$3,原始資料!AU109=""),"",IF(AND(原始資料!AT109&lt;&gt;"",原始資料!AU109=原始資料!AT109),N(AR109)+1,1))</f>
        <v/>
      </c>
      <c r="AT109" s="6">
        <f>IF(OR(原始資料!$A109="",45&gt;設定!$B$3,原始資料!AV109=""),"",IF(AND(原始資料!AU109&lt;&gt;"",原始資料!AV109=原始資料!AU109),N(AS109)+1,1))</f>
        <v/>
      </c>
      <c r="AU109" s="6">
        <f>IF(OR(原始資料!$A109="",46&gt;設定!$B$3,原始資料!AW109=""),"",IF(AND(原始資料!AV109&lt;&gt;"",原始資料!AW109=原始資料!AV109),N(AT109)+1,1))</f>
        <v/>
      </c>
      <c r="AV109" s="6">
        <f>IF(OR(原始資料!$A109="",47&gt;設定!$B$3,原始資料!AX109=""),"",IF(AND(原始資料!AW109&lt;&gt;"",原始資料!AX109=原始資料!AW109),N(AU109)+1,1))</f>
        <v/>
      </c>
      <c r="AW109" s="6">
        <f>IF(OR(原始資料!$A109="",48&gt;設定!$B$3,原始資料!AY109=""),"",IF(AND(原始資料!AX109&lt;&gt;"",原始資料!AY109=原始資料!AX109),N(AV109)+1,1))</f>
        <v/>
      </c>
      <c r="AX109" s="6">
        <f>IF(OR(原始資料!$A109="",49&gt;設定!$B$3,原始資料!AZ109=""),"",IF(AND(原始資料!AY109&lt;&gt;"",原始資料!AZ109=原始資料!AY109),N(AW109)+1,1))</f>
        <v/>
      </c>
      <c r="AY109" s="6">
        <f>IF(OR(原始資料!$A109="",50&gt;設定!$B$3,原始資料!BA109=""),"",IF(AND(原始資料!AZ109&lt;&gt;"",原始資料!BA109=原始資料!AZ109),N(AX109)+1,1))</f>
        <v/>
      </c>
      <c r="AZ109" s="6">
        <f>IF(OR(原始資料!$A109="",51&gt;設定!$B$3,原始資料!BB109=""),"",IF(AND(原始資料!BA109&lt;&gt;"",原始資料!BB109=原始資料!BA109),N(AY109)+1,1))</f>
        <v/>
      </c>
      <c r="BA109" s="6">
        <f>IF(OR(原始資料!$A109="",52&gt;設定!$B$3,原始資料!BC109=""),"",IF(AND(原始資料!BB109&lt;&gt;"",原始資料!BC109=原始資料!BB109),N(AZ109)+1,1))</f>
        <v/>
      </c>
      <c r="BB109" s="6">
        <f>IF(OR(原始資料!$A109="",53&gt;設定!$B$3,原始資料!BD109=""),"",IF(AND(原始資料!BC109&lt;&gt;"",原始資料!BD109=原始資料!BC109),N(BA109)+1,1))</f>
        <v/>
      </c>
      <c r="BC109" s="6">
        <f>IF(OR(原始資料!$A109="",54&gt;設定!$B$3,原始資料!BE109=""),"",IF(AND(原始資料!BD109&lt;&gt;"",原始資料!BE109=原始資料!BD109),N(BB109)+1,1))</f>
        <v/>
      </c>
      <c r="BD109" s="6">
        <f>IF(OR(原始資料!$A109="",55&gt;設定!$B$3,原始資料!BF109=""),"",IF(AND(原始資料!BE109&lt;&gt;"",原始資料!BF109=原始資料!BE109),N(BC109)+1,1))</f>
        <v/>
      </c>
      <c r="BE109" s="6">
        <f>IF(OR(原始資料!$A109="",56&gt;設定!$B$3,原始資料!BG109=""),"",IF(AND(原始資料!BF109&lt;&gt;"",原始資料!BG109=原始資料!BF109),N(BD109)+1,1))</f>
        <v/>
      </c>
      <c r="BF109" s="6">
        <f>IF(OR(原始資料!$A109="",57&gt;設定!$B$3,原始資料!BH109=""),"",IF(AND(原始資料!BG109&lt;&gt;"",原始資料!BH109=原始資料!BG109),N(BE109)+1,1))</f>
        <v/>
      </c>
      <c r="BG109" s="6">
        <f>IF(OR(原始資料!$A109="",58&gt;設定!$B$3,原始資料!BI109=""),"",IF(AND(原始資料!BH109&lt;&gt;"",原始資料!BI109=原始資料!BH109),N(BF109)+1,1))</f>
        <v/>
      </c>
      <c r="BH109" s="6">
        <f>IF(OR(原始資料!$A109="",59&gt;設定!$B$3,原始資料!BJ109=""),"",IF(AND(原始資料!BI109&lt;&gt;"",原始資料!BJ109=原始資料!BI109),N(BG109)+1,1))</f>
        <v/>
      </c>
      <c r="BI109" s="6">
        <f>IF(OR(原始資料!$A109="",60&gt;設定!$B$3,原始資料!BK109=""),"",IF(AND(原始資料!BJ109&lt;&gt;"",原始資料!BK109=原始資料!BJ109),N(BH109)+1,1))</f>
        <v/>
      </c>
    </row>
    <row r="110">
      <c r="A110" s="6">
        <f>IF(原始資料!$A110="","",原始資料!$A110)</f>
        <v/>
      </c>
      <c r="B110" s="6">
        <f>IF(OR(原始資料!$A110="",1&gt;設定!$B$3,原始資料!D110=""),"",1)</f>
        <v/>
      </c>
      <c r="C110" s="6">
        <f>IF(OR(原始資料!$A110="",2&gt;設定!$B$3,原始資料!E110=""),"",IF(AND(原始資料!D110&lt;&gt;"",原始資料!E110=原始資料!D110),N(B110)+1,1))</f>
        <v/>
      </c>
      <c r="D110" s="6">
        <f>IF(OR(原始資料!$A110="",3&gt;設定!$B$3,原始資料!F110=""),"",IF(AND(原始資料!E110&lt;&gt;"",原始資料!F110=原始資料!E110),N(C110)+1,1))</f>
        <v/>
      </c>
      <c r="E110" s="6">
        <f>IF(OR(原始資料!$A110="",4&gt;設定!$B$3,原始資料!G110=""),"",IF(AND(原始資料!F110&lt;&gt;"",原始資料!G110=原始資料!F110),N(D110)+1,1))</f>
        <v/>
      </c>
      <c r="F110" s="6">
        <f>IF(OR(原始資料!$A110="",5&gt;設定!$B$3,原始資料!H110=""),"",IF(AND(原始資料!G110&lt;&gt;"",原始資料!H110=原始資料!G110),N(E110)+1,1))</f>
        <v/>
      </c>
      <c r="G110" s="6">
        <f>IF(OR(原始資料!$A110="",6&gt;設定!$B$3,原始資料!I110=""),"",IF(AND(原始資料!H110&lt;&gt;"",原始資料!I110=原始資料!H110),N(F110)+1,1))</f>
        <v/>
      </c>
      <c r="H110" s="6">
        <f>IF(OR(原始資料!$A110="",7&gt;設定!$B$3,原始資料!J110=""),"",IF(AND(原始資料!I110&lt;&gt;"",原始資料!J110=原始資料!I110),N(G110)+1,1))</f>
        <v/>
      </c>
      <c r="I110" s="6">
        <f>IF(OR(原始資料!$A110="",8&gt;設定!$B$3,原始資料!K110=""),"",IF(AND(原始資料!J110&lt;&gt;"",原始資料!K110=原始資料!J110),N(H110)+1,1))</f>
        <v/>
      </c>
      <c r="J110" s="6">
        <f>IF(OR(原始資料!$A110="",9&gt;設定!$B$3,原始資料!L110=""),"",IF(AND(原始資料!K110&lt;&gt;"",原始資料!L110=原始資料!K110),N(I110)+1,1))</f>
        <v/>
      </c>
      <c r="K110" s="6">
        <f>IF(OR(原始資料!$A110="",10&gt;設定!$B$3,原始資料!M110=""),"",IF(AND(原始資料!L110&lt;&gt;"",原始資料!M110=原始資料!L110),N(J110)+1,1))</f>
        <v/>
      </c>
      <c r="L110" s="6">
        <f>IF(OR(原始資料!$A110="",11&gt;設定!$B$3,原始資料!N110=""),"",IF(AND(原始資料!M110&lt;&gt;"",原始資料!N110=原始資料!M110),N(K110)+1,1))</f>
        <v/>
      </c>
      <c r="M110" s="6">
        <f>IF(OR(原始資料!$A110="",12&gt;設定!$B$3,原始資料!O110=""),"",IF(AND(原始資料!N110&lt;&gt;"",原始資料!O110=原始資料!N110),N(L110)+1,1))</f>
        <v/>
      </c>
      <c r="N110" s="6">
        <f>IF(OR(原始資料!$A110="",13&gt;設定!$B$3,原始資料!P110=""),"",IF(AND(原始資料!O110&lt;&gt;"",原始資料!P110=原始資料!O110),N(M110)+1,1))</f>
        <v/>
      </c>
      <c r="O110" s="6">
        <f>IF(OR(原始資料!$A110="",14&gt;設定!$B$3,原始資料!Q110=""),"",IF(AND(原始資料!P110&lt;&gt;"",原始資料!Q110=原始資料!P110),N(N110)+1,1))</f>
        <v/>
      </c>
      <c r="P110" s="6">
        <f>IF(OR(原始資料!$A110="",15&gt;設定!$B$3,原始資料!R110=""),"",IF(AND(原始資料!Q110&lt;&gt;"",原始資料!R110=原始資料!Q110),N(O110)+1,1))</f>
        <v/>
      </c>
      <c r="Q110" s="6">
        <f>IF(OR(原始資料!$A110="",16&gt;設定!$B$3,原始資料!S110=""),"",IF(AND(原始資料!R110&lt;&gt;"",原始資料!S110=原始資料!R110),N(P110)+1,1))</f>
        <v/>
      </c>
      <c r="R110" s="6">
        <f>IF(OR(原始資料!$A110="",17&gt;設定!$B$3,原始資料!T110=""),"",IF(AND(原始資料!S110&lt;&gt;"",原始資料!T110=原始資料!S110),N(Q110)+1,1))</f>
        <v/>
      </c>
      <c r="S110" s="6">
        <f>IF(OR(原始資料!$A110="",18&gt;設定!$B$3,原始資料!U110=""),"",IF(AND(原始資料!T110&lt;&gt;"",原始資料!U110=原始資料!T110),N(R110)+1,1))</f>
        <v/>
      </c>
      <c r="T110" s="6">
        <f>IF(OR(原始資料!$A110="",19&gt;設定!$B$3,原始資料!V110=""),"",IF(AND(原始資料!U110&lt;&gt;"",原始資料!V110=原始資料!U110),N(S110)+1,1))</f>
        <v/>
      </c>
      <c r="U110" s="6">
        <f>IF(OR(原始資料!$A110="",20&gt;設定!$B$3,原始資料!W110=""),"",IF(AND(原始資料!V110&lt;&gt;"",原始資料!W110=原始資料!V110),N(T110)+1,1))</f>
        <v/>
      </c>
      <c r="V110" s="6">
        <f>IF(OR(原始資料!$A110="",21&gt;設定!$B$3,原始資料!X110=""),"",IF(AND(原始資料!W110&lt;&gt;"",原始資料!X110=原始資料!W110),N(U110)+1,1))</f>
        <v/>
      </c>
      <c r="W110" s="6">
        <f>IF(OR(原始資料!$A110="",22&gt;設定!$B$3,原始資料!Y110=""),"",IF(AND(原始資料!X110&lt;&gt;"",原始資料!Y110=原始資料!X110),N(V110)+1,1))</f>
        <v/>
      </c>
      <c r="X110" s="6">
        <f>IF(OR(原始資料!$A110="",23&gt;設定!$B$3,原始資料!Z110=""),"",IF(AND(原始資料!Y110&lt;&gt;"",原始資料!Z110=原始資料!Y110),N(W110)+1,1))</f>
        <v/>
      </c>
      <c r="Y110" s="6">
        <f>IF(OR(原始資料!$A110="",24&gt;設定!$B$3,原始資料!AA110=""),"",IF(AND(原始資料!Z110&lt;&gt;"",原始資料!AA110=原始資料!Z110),N(X110)+1,1))</f>
        <v/>
      </c>
      <c r="Z110" s="6">
        <f>IF(OR(原始資料!$A110="",25&gt;設定!$B$3,原始資料!AB110=""),"",IF(AND(原始資料!AA110&lt;&gt;"",原始資料!AB110=原始資料!AA110),N(Y110)+1,1))</f>
        <v/>
      </c>
      <c r="AA110" s="6">
        <f>IF(OR(原始資料!$A110="",26&gt;設定!$B$3,原始資料!AC110=""),"",IF(AND(原始資料!AB110&lt;&gt;"",原始資料!AC110=原始資料!AB110),N(Z110)+1,1))</f>
        <v/>
      </c>
      <c r="AB110" s="6">
        <f>IF(OR(原始資料!$A110="",27&gt;設定!$B$3,原始資料!AD110=""),"",IF(AND(原始資料!AC110&lt;&gt;"",原始資料!AD110=原始資料!AC110),N(AA110)+1,1))</f>
        <v/>
      </c>
      <c r="AC110" s="6">
        <f>IF(OR(原始資料!$A110="",28&gt;設定!$B$3,原始資料!AE110=""),"",IF(AND(原始資料!AD110&lt;&gt;"",原始資料!AE110=原始資料!AD110),N(AB110)+1,1))</f>
        <v/>
      </c>
      <c r="AD110" s="6">
        <f>IF(OR(原始資料!$A110="",29&gt;設定!$B$3,原始資料!AF110=""),"",IF(AND(原始資料!AE110&lt;&gt;"",原始資料!AF110=原始資料!AE110),N(AC110)+1,1))</f>
        <v/>
      </c>
      <c r="AE110" s="6">
        <f>IF(OR(原始資料!$A110="",30&gt;設定!$B$3,原始資料!AG110=""),"",IF(AND(原始資料!AF110&lt;&gt;"",原始資料!AG110=原始資料!AF110),N(AD110)+1,1))</f>
        <v/>
      </c>
      <c r="AF110" s="6">
        <f>IF(OR(原始資料!$A110="",31&gt;設定!$B$3,原始資料!AH110=""),"",IF(AND(原始資料!AG110&lt;&gt;"",原始資料!AH110=原始資料!AG110),N(AE110)+1,1))</f>
        <v/>
      </c>
      <c r="AG110" s="6">
        <f>IF(OR(原始資料!$A110="",32&gt;設定!$B$3,原始資料!AI110=""),"",IF(AND(原始資料!AH110&lt;&gt;"",原始資料!AI110=原始資料!AH110),N(AF110)+1,1))</f>
        <v/>
      </c>
      <c r="AH110" s="6">
        <f>IF(OR(原始資料!$A110="",33&gt;設定!$B$3,原始資料!AJ110=""),"",IF(AND(原始資料!AI110&lt;&gt;"",原始資料!AJ110=原始資料!AI110),N(AG110)+1,1))</f>
        <v/>
      </c>
      <c r="AI110" s="6">
        <f>IF(OR(原始資料!$A110="",34&gt;設定!$B$3,原始資料!AK110=""),"",IF(AND(原始資料!AJ110&lt;&gt;"",原始資料!AK110=原始資料!AJ110),N(AH110)+1,1))</f>
        <v/>
      </c>
      <c r="AJ110" s="6">
        <f>IF(OR(原始資料!$A110="",35&gt;設定!$B$3,原始資料!AL110=""),"",IF(AND(原始資料!AK110&lt;&gt;"",原始資料!AL110=原始資料!AK110),N(AI110)+1,1))</f>
        <v/>
      </c>
      <c r="AK110" s="6">
        <f>IF(OR(原始資料!$A110="",36&gt;設定!$B$3,原始資料!AM110=""),"",IF(AND(原始資料!AL110&lt;&gt;"",原始資料!AM110=原始資料!AL110),N(AJ110)+1,1))</f>
        <v/>
      </c>
      <c r="AL110" s="6">
        <f>IF(OR(原始資料!$A110="",37&gt;設定!$B$3,原始資料!AN110=""),"",IF(AND(原始資料!AM110&lt;&gt;"",原始資料!AN110=原始資料!AM110),N(AK110)+1,1))</f>
        <v/>
      </c>
      <c r="AM110" s="6">
        <f>IF(OR(原始資料!$A110="",38&gt;設定!$B$3,原始資料!AO110=""),"",IF(AND(原始資料!AN110&lt;&gt;"",原始資料!AO110=原始資料!AN110),N(AL110)+1,1))</f>
        <v/>
      </c>
      <c r="AN110" s="6">
        <f>IF(OR(原始資料!$A110="",39&gt;設定!$B$3,原始資料!AP110=""),"",IF(AND(原始資料!AO110&lt;&gt;"",原始資料!AP110=原始資料!AO110),N(AM110)+1,1))</f>
        <v/>
      </c>
      <c r="AO110" s="6">
        <f>IF(OR(原始資料!$A110="",40&gt;設定!$B$3,原始資料!AQ110=""),"",IF(AND(原始資料!AP110&lt;&gt;"",原始資料!AQ110=原始資料!AP110),N(AN110)+1,1))</f>
        <v/>
      </c>
      <c r="AP110" s="6">
        <f>IF(OR(原始資料!$A110="",41&gt;設定!$B$3,原始資料!AR110=""),"",IF(AND(原始資料!AQ110&lt;&gt;"",原始資料!AR110=原始資料!AQ110),N(AO110)+1,1))</f>
        <v/>
      </c>
      <c r="AQ110" s="6">
        <f>IF(OR(原始資料!$A110="",42&gt;設定!$B$3,原始資料!AS110=""),"",IF(AND(原始資料!AR110&lt;&gt;"",原始資料!AS110=原始資料!AR110),N(AP110)+1,1))</f>
        <v/>
      </c>
      <c r="AR110" s="6">
        <f>IF(OR(原始資料!$A110="",43&gt;設定!$B$3,原始資料!AT110=""),"",IF(AND(原始資料!AS110&lt;&gt;"",原始資料!AT110=原始資料!AS110),N(AQ110)+1,1))</f>
        <v/>
      </c>
      <c r="AS110" s="6">
        <f>IF(OR(原始資料!$A110="",44&gt;設定!$B$3,原始資料!AU110=""),"",IF(AND(原始資料!AT110&lt;&gt;"",原始資料!AU110=原始資料!AT110),N(AR110)+1,1))</f>
        <v/>
      </c>
      <c r="AT110" s="6">
        <f>IF(OR(原始資料!$A110="",45&gt;設定!$B$3,原始資料!AV110=""),"",IF(AND(原始資料!AU110&lt;&gt;"",原始資料!AV110=原始資料!AU110),N(AS110)+1,1))</f>
        <v/>
      </c>
      <c r="AU110" s="6">
        <f>IF(OR(原始資料!$A110="",46&gt;設定!$B$3,原始資料!AW110=""),"",IF(AND(原始資料!AV110&lt;&gt;"",原始資料!AW110=原始資料!AV110),N(AT110)+1,1))</f>
        <v/>
      </c>
      <c r="AV110" s="6">
        <f>IF(OR(原始資料!$A110="",47&gt;設定!$B$3,原始資料!AX110=""),"",IF(AND(原始資料!AW110&lt;&gt;"",原始資料!AX110=原始資料!AW110),N(AU110)+1,1))</f>
        <v/>
      </c>
      <c r="AW110" s="6">
        <f>IF(OR(原始資料!$A110="",48&gt;設定!$B$3,原始資料!AY110=""),"",IF(AND(原始資料!AX110&lt;&gt;"",原始資料!AY110=原始資料!AX110),N(AV110)+1,1))</f>
        <v/>
      </c>
      <c r="AX110" s="6">
        <f>IF(OR(原始資料!$A110="",49&gt;設定!$B$3,原始資料!AZ110=""),"",IF(AND(原始資料!AY110&lt;&gt;"",原始資料!AZ110=原始資料!AY110),N(AW110)+1,1))</f>
        <v/>
      </c>
      <c r="AY110" s="6">
        <f>IF(OR(原始資料!$A110="",50&gt;設定!$B$3,原始資料!BA110=""),"",IF(AND(原始資料!AZ110&lt;&gt;"",原始資料!BA110=原始資料!AZ110),N(AX110)+1,1))</f>
        <v/>
      </c>
      <c r="AZ110" s="6">
        <f>IF(OR(原始資料!$A110="",51&gt;設定!$B$3,原始資料!BB110=""),"",IF(AND(原始資料!BA110&lt;&gt;"",原始資料!BB110=原始資料!BA110),N(AY110)+1,1))</f>
        <v/>
      </c>
      <c r="BA110" s="6">
        <f>IF(OR(原始資料!$A110="",52&gt;設定!$B$3,原始資料!BC110=""),"",IF(AND(原始資料!BB110&lt;&gt;"",原始資料!BC110=原始資料!BB110),N(AZ110)+1,1))</f>
        <v/>
      </c>
      <c r="BB110" s="6">
        <f>IF(OR(原始資料!$A110="",53&gt;設定!$B$3,原始資料!BD110=""),"",IF(AND(原始資料!BC110&lt;&gt;"",原始資料!BD110=原始資料!BC110),N(BA110)+1,1))</f>
        <v/>
      </c>
      <c r="BC110" s="6">
        <f>IF(OR(原始資料!$A110="",54&gt;設定!$B$3,原始資料!BE110=""),"",IF(AND(原始資料!BD110&lt;&gt;"",原始資料!BE110=原始資料!BD110),N(BB110)+1,1))</f>
        <v/>
      </c>
      <c r="BD110" s="6">
        <f>IF(OR(原始資料!$A110="",55&gt;設定!$B$3,原始資料!BF110=""),"",IF(AND(原始資料!BE110&lt;&gt;"",原始資料!BF110=原始資料!BE110),N(BC110)+1,1))</f>
        <v/>
      </c>
      <c r="BE110" s="6">
        <f>IF(OR(原始資料!$A110="",56&gt;設定!$B$3,原始資料!BG110=""),"",IF(AND(原始資料!BF110&lt;&gt;"",原始資料!BG110=原始資料!BF110),N(BD110)+1,1))</f>
        <v/>
      </c>
      <c r="BF110" s="6">
        <f>IF(OR(原始資料!$A110="",57&gt;設定!$B$3,原始資料!BH110=""),"",IF(AND(原始資料!BG110&lt;&gt;"",原始資料!BH110=原始資料!BG110),N(BE110)+1,1))</f>
        <v/>
      </c>
      <c r="BG110" s="6">
        <f>IF(OR(原始資料!$A110="",58&gt;設定!$B$3,原始資料!BI110=""),"",IF(AND(原始資料!BH110&lt;&gt;"",原始資料!BI110=原始資料!BH110),N(BF110)+1,1))</f>
        <v/>
      </c>
      <c r="BH110" s="6">
        <f>IF(OR(原始資料!$A110="",59&gt;設定!$B$3,原始資料!BJ110=""),"",IF(AND(原始資料!BI110&lt;&gt;"",原始資料!BJ110=原始資料!BI110),N(BG110)+1,1))</f>
        <v/>
      </c>
      <c r="BI110" s="6">
        <f>IF(OR(原始資料!$A110="",60&gt;設定!$B$3,原始資料!BK110=""),"",IF(AND(原始資料!BJ110&lt;&gt;"",原始資料!BK110=原始資料!BJ110),N(BH110)+1,1))</f>
        <v/>
      </c>
    </row>
    <row r="111">
      <c r="A111" s="6">
        <f>IF(原始資料!$A111="","",原始資料!$A111)</f>
        <v/>
      </c>
      <c r="B111" s="6">
        <f>IF(OR(原始資料!$A111="",1&gt;設定!$B$3,原始資料!D111=""),"",1)</f>
        <v/>
      </c>
      <c r="C111" s="6">
        <f>IF(OR(原始資料!$A111="",2&gt;設定!$B$3,原始資料!E111=""),"",IF(AND(原始資料!D111&lt;&gt;"",原始資料!E111=原始資料!D111),N(B111)+1,1))</f>
        <v/>
      </c>
      <c r="D111" s="6">
        <f>IF(OR(原始資料!$A111="",3&gt;設定!$B$3,原始資料!F111=""),"",IF(AND(原始資料!E111&lt;&gt;"",原始資料!F111=原始資料!E111),N(C111)+1,1))</f>
        <v/>
      </c>
      <c r="E111" s="6">
        <f>IF(OR(原始資料!$A111="",4&gt;設定!$B$3,原始資料!G111=""),"",IF(AND(原始資料!F111&lt;&gt;"",原始資料!G111=原始資料!F111),N(D111)+1,1))</f>
        <v/>
      </c>
      <c r="F111" s="6">
        <f>IF(OR(原始資料!$A111="",5&gt;設定!$B$3,原始資料!H111=""),"",IF(AND(原始資料!G111&lt;&gt;"",原始資料!H111=原始資料!G111),N(E111)+1,1))</f>
        <v/>
      </c>
      <c r="G111" s="6">
        <f>IF(OR(原始資料!$A111="",6&gt;設定!$B$3,原始資料!I111=""),"",IF(AND(原始資料!H111&lt;&gt;"",原始資料!I111=原始資料!H111),N(F111)+1,1))</f>
        <v/>
      </c>
      <c r="H111" s="6">
        <f>IF(OR(原始資料!$A111="",7&gt;設定!$B$3,原始資料!J111=""),"",IF(AND(原始資料!I111&lt;&gt;"",原始資料!J111=原始資料!I111),N(G111)+1,1))</f>
        <v/>
      </c>
      <c r="I111" s="6">
        <f>IF(OR(原始資料!$A111="",8&gt;設定!$B$3,原始資料!K111=""),"",IF(AND(原始資料!J111&lt;&gt;"",原始資料!K111=原始資料!J111),N(H111)+1,1))</f>
        <v/>
      </c>
      <c r="J111" s="6">
        <f>IF(OR(原始資料!$A111="",9&gt;設定!$B$3,原始資料!L111=""),"",IF(AND(原始資料!K111&lt;&gt;"",原始資料!L111=原始資料!K111),N(I111)+1,1))</f>
        <v/>
      </c>
      <c r="K111" s="6">
        <f>IF(OR(原始資料!$A111="",10&gt;設定!$B$3,原始資料!M111=""),"",IF(AND(原始資料!L111&lt;&gt;"",原始資料!M111=原始資料!L111),N(J111)+1,1))</f>
        <v/>
      </c>
      <c r="L111" s="6">
        <f>IF(OR(原始資料!$A111="",11&gt;設定!$B$3,原始資料!N111=""),"",IF(AND(原始資料!M111&lt;&gt;"",原始資料!N111=原始資料!M111),N(K111)+1,1))</f>
        <v/>
      </c>
      <c r="M111" s="6">
        <f>IF(OR(原始資料!$A111="",12&gt;設定!$B$3,原始資料!O111=""),"",IF(AND(原始資料!N111&lt;&gt;"",原始資料!O111=原始資料!N111),N(L111)+1,1))</f>
        <v/>
      </c>
      <c r="N111" s="6">
        <f>IF(OR(原始資料!$A111="",13&gt;設定!$B$3,原始資料!P111=""),"",IF(AND(原始資料!O111&lt;&gt;"",原始資料!P111=原始資料!O111),N(M111)+1,1))</f>
        <v/>
      </c>
      <c r="O111" s="6">
        <f>IF(OR(原始資料!$A111="",14&gt;設定!$B$3,原始資料!Q111=""),"",IF(AND(原始資料!P111&lt;&gt;"",原始資料!Q111=原始資料!P111),N(N111)+1,1))</f>
        <v/>
      </c>
      <c r="P111" s="6">
        <f>IF(OR(原始資料!$A111="",15&gt;設定!$B$3,原始資料!R111=""),"",IF(AND(原始資料!Q111&lt;&gt;"",原始資料!R111=原始資料!Q111),N(O111)+1,1))</f>
        <v/>
      </c>
      <c r="Q111" s="6">
        <f>IF(OR(原始資料!$A111="",16&gt;設定!$B$3,原始資料!S111=""),"",IF(AND(原始資料!R111&lt;&gt;"",原始資料!S111=原始資料!R111),N(P111)+1,1))</f>
        <v/>
      </c>
      <c r="R111" s="6">
        <f>IF(OR(原始資料!$A111="",17&gt;設定!$B$3,原始資料!T111=""),"",IF(AND(原始資料!S111&lt;&gt;"",原始資料!T111=原始資料!S111),N(Q111)+1,1))</f>
        <v/>
      </c>
      <c r="S111" s="6">
        <f>IF(OR(原始資料!$A111="",18&gt;設定!$B$3,原始資料!U111=""),"",IF(AND(原始資料!T111&lt;&gt;"",原始資料!U111=原始資料!T111),N(R111)+1,1))</f>
        <v/>
      </c>
      <c r="T111" s="6">
        <f>IF(OR(原始資料!$A111="",19&gt;設定!$B$3,原始資料!V111=""),"",IF(AND(原始資料!U111&lt;&gt;"",原始資料!V111=原始資料!U111),N(S111)+1,1))</f>
        <v/>
      </c>
      <c r="U111" s="6">
        <f>IF(OR(原始資料!$A111="",20&gt;設定!$B$3,原始資料!W111=""),"",IF(AND(原始資料!V111&lt;&gt;"",原始資料!W111=原始資料!V111),N(T111)+1,1))</f>
        <v/>
      </c>
      <c r="V111" s="6">
        <f>IF(OR(原始資料!$A111="",21&gt;設定!$B$3,原始資料!X111=""),"",IF(AND(原始資料!W111&lt;&gt;"",原始資料!X111=原始資料!W111),N(U111)+1,1))</f>
        <v/>
      </c>
      <c r="W111" s="6">
        <f>IF(OR(原始資料!$A111="",22&gt;設定!$B$3,原始資料!Y111=""),"",IF(AND(原始資料!X111&lt;&gt;"",原始資料!Y111=原始資料!X111),N(V111)+1,1))</f>
        <v/>
      </c>
      <c r="X111" s="6">
        <f>IF(OR(原始資料!$A111="",23&gt;設定!$B$3,原始資料!Z111=""),"",IF(AND(原始資料!Y111&lt;&gt;"",原始資料!Z111=原始資料!Y111),N(W111)+1,1))</f>
        <v/>
      </c>
      <c r="Y111" s="6">
        <f>IF(OR(原始資料!$A111="",24&gt;設定!$B$3,原始資料!AA111=""),"",IF(AND(原始資料!Z111&lt;&gt;"",原始資料!AA111=原始資料!Z111),N(X111)+1,1))</f>
        <v/>
      </c>
      <c r="Z111" s="6">
        <f>IF(OR(原始資料!$A111="",25&gt;設定!$B$3,原始資料!AB111=""),"",IF(AND(原始資料!AA111&lt;&gt;"",原始資料!AB111=原始資料!AA111),N(Y111)+1,1))</f>
        <v/>
      </c>
      <c r="AA111" s="6">
        <f>IF(OR(原始資料!$A111="",26&gt;設定!$B$3,原始資料!AC111=""),"",IF(AND(原始資料!AB111&lt;&gt;"",原始資料!AC111=原始資料!AB111),N(Z111)+1,1))</f>
        <v/>
      </c>
      <c r="AB111" s="6">
        <f>IF(OR(原始資料!$A111="",27&gt;設定!$B$3,原始資料!AD111=""),"",IF(AND(原始資料!AC111&lt;&gt;"",原始資料!AD111=原始資料!AC111),N(AA111)+1,1))</f>
        <v/>
      </c>
      <c r="AC111" s="6">
        <f>IF(OR(原始資料!$A111="",28&gt;設定!$B$3,原始資料!AE111=""),"",IF(AND(原始資料!AD111&lt;&gt;"",原始資料!AE111=原始資料!AD111),N(AB111)+1,1))</f>
        <v/>
      </c>
      <c r="AD111" s="6">
        <f>IF(OR(原始資料!$A111="",29&gt;設定!$B$3,原始資料!AF111=""),"",IF(AND(原始資料!AE111&lt;&gt;"",原始資料!AF111=原始資料!AE111),N(AC111)+1,1))</f>
        <v/>
      </c>
      <c r="AE111" s="6">
        <f>IF(OR(原始資料!$A111="",30&gt;設定!$B$3,原始資料!AG111=""),"",IF(AND(原始資料!AF111&lt;&gt;"",原始資料!AG111=原始資料!AF111),N(AD111)+1,1))</f>
        <v/>
      </c>
      <c r="AF111" s="6">
        <f>IF(OR(原始資料!$A111="",31&gt;設定!$B$3,原始資料!AH111=""),"",IF(AND(原始資料!AG111&lt;&gt;"",原始資料!AH111=原始資料!AG111),N(AE111)+1,1))</f>
        <v/>
      </c>
      <c r="AG111" s="6">
        <f>IF(OR(原始資料!$A111="",32&gt;設定!$B$3,原始資料!AI111=""),"",IF(AND(原始資料!AH111&lt;&gt;"",原始資料!AI111=原始資料!AH111),N(AF111)+1,1))</f>
        <v/>
      </c>
      <c r="AH111" s="6">
        <f>IF(OR(原始資料!$A111="",33&gt;設定!$B$3,原始資料!AJ111=""),"",IF(AND(原始資料!AI111&lt;&gt;"",原始資料!AJ111=原始資料!AI111),N(AG111)+1,1))</f>
        <v/>
      </c>
      <c r="AI111" s="6">
        <f>IF(OR(原始資料!$A111="",34&gt;設定!$B$3,原始資料!AK111=""),"",IF(AND(原始資料!AJ111&lt;&gt;"",原始資料!AK111=原始資料!AJ111),N(AH111)+1,1))</f>
        <v/>
      </c>
      <c r="AJ111" s="6">
        <f>IF(OR(原始資料!$A111="",35&gt;設定!$B$3,原始資料!AL111=""),"",IF(AND(原始資料!AK111&lt;&gt;"",原始資料!AL111=原始資料!AK111),N(AI111)+1,1))</f>
        <v/>
      </c>
      <c r="AK111" s="6">
        <f>IF(OR(原始資料!$A111="",36&gt;設定!$B$3,原始資料!AM111=""),"",IF(AND(原始資料!AL111&lt;&gt;"",原始資料!AM111=原始資料!AL111),N(AJ111)+1,1))</f>
        <v/>
      </c>
      <c r="AL111" s="6">
        <f>IF(OR(原始資料!$A111="",37&gt;設定!$B$3,原始資料!AN111=""),"",IF(AND(原始資料!AM111&lt;&gt;"",原始資料!AN111=原始資料!AM111),N(AK111)+1,1))</f>
        <v/>
      </c>
      <c r="AM111" s="6">
        <f>IF(OR(原始資料!$A111="",38&gt;設定!$B$3,原始資料!AO111=""),"",IF(AND(原始資料!AN111&lt;&gt;"",原始資料!AO111=原始資料!AN111),N(AL111)+1,1))</f>
        <v/>
      </c>
      <c r="AN111" s="6">
        <f>IF(OR(原始資料!$A111="",39&gt;設定!$B$3,原始資料!AP111=""),"",IF(AND(原始資料!AO111&lt;&gt;"",原始資料!AP111=原始資料!AO111),N(AM111)+1,1))</f>
        <v/>
      </c>
      <c r="AO111" s="6">
        <f>IF(OR(原始資料!$A111="",40&gt;設定!$B$3,原始資料!AQ111=""),"",IF(AND(原始資料!AP111&lt;&gt;"",原始資料!AQ111=原始資料!AP111),N(AN111)+1,1))</f>
        <v/>
      </c>
      <c r="AP111" s="6">
        <f>IF(OR(原始資料!$A111="",41&gt;設定!$B$3,原始資料!AR111=""),"",IF(AND(原始資料!AQ111&lt;&gt;"",原始資料!AR111=原始資料!AQ111),N(AO111)+1,1))</f>
        <v/>
      </c>
      <c r="AQ111" s="6">
        <f>IF(OR(原始資料!$A111="",42&gt;設定!$B$3,原始資料!AS111=""),"",IF(AND(原始資料!AR111&lt;&gt;"",原始資料!AS111=原始資料!AR111),N(AP111)+1,1))</f>
        <v/>
      </c>
      <c r="AR111" s="6">
        <f>IF(OR(原始資料!$A111="",43&gt;設定!$B$3,原始資料!AT111=""),"",IF(AND(原始資料!AS111&lt;&gt;"",原始資料!AT111=原始資料!AS111),N(AQ111)+1,1))</f>
        <v/>
      </c>
      <c r="AS111" s="6">
        <f>IF(OR(原始資料!$A111="",44&gt;設定!$B$3,原始資料!AU111=""),"",IF(AND(原始資料!AT111&lt;&gt;"",原始資料!AU111=原始資料!AT111),N(AR111)+1,1))</f>
        <v/>
      </c>
      <c r="AT111" s="6">
        <f>IF(OR(原始資料!$A111="",45&gt;設定!$B$3,原始資料!AV111=""),"",IF(AND(原始資料!AU111&lt;&gt;"",原始資料!AV111=原始資料!AU111),N(AS111)+1,1))</f>
        <v/>
      </c>
      <c r="AU111" s="6">
        <f>IF(OR(原始資料!$A111="",46&gt;設定!$B$3,原始資料!AW111=""),"",IF(AND(原始資料!AV111&lt;&gt;"",原始資料!AW111=原始資料!AV111),N(AT111)+1,1))</f>
        <v/>
      </c>
      <c r="AV111" s="6">
        <f>IF(OR(原始資料!$A111="",47&gt;設定!$B$3,原始資料!AX111=""),"",IF(AND(原始資料!AW111&lt;&gt;"",原始資料!AX111=原始資料!AW111),N(AU111)+1,1))</f>
        <v/>
      </c>
      <c r="AW111" s="6">
        <f>IF(OR(原始資料!$A111="",48&gt;設定!$B$3,原始資料!AY111=""),"",IF(AND(原始資料!AX111&lt;&gt;"",原始資料!AY111=原始資料!AX111),N(AV111)+1,1))</f>
        <v/>
      </c>
      <c r="AX111" s="6">
        <f>IF(OR(原始資料!$A111="",49&gt;設定!$B$3,原始資料!AZ111=""),"",IF(AND(原始資料!AY111&lt;&gt;"",原始資料!AZ111=原始資料!AY111),N(AW111)+1,1))</f>
        <v/>
      </c>
      <c r="AY111" s="6">
        <f>IF(OR(原始資料!$A111="",50&gt;設定!$B$3,原始資料!BA111=""),"",IF(AND(原始資料!AZ111&lt;&gt;"",原始資料!BA111=原始資料!AZ111),N(AX111)+1,1))</f>
        <v/>
      </c>
      <c r="AZ111" s="6">
        <f>IF(OR(原始資料!$A111="",51&gt;設定!$B$3,原始資料!BB111=""),"",IF(AND(原始資料!BA111&lt;&gt;"",原始資料!BB111=原始資料!BA111),N(AY111)+1,1))</f>
        <v/>
      </c>
      <c r="BA111" s="6">
        <f>IF(OR(原始資料!$A111="",52&gt;設定!$B$3,原始資料!BC111=""),"",IF(AND(原始資料!BB111&lt;&gt;"",原始資料!BC111=原始資料!BB111),N(AZ111)+1,1))</f>
        <v/>
      </c>
      <c r="BB111" s="6">
        <f>IF(OR(原始資料!$A111="",53&gt;設定!$B$3,原始資料!BD111=""),"",IF(AND(原始資料!BC111&lt;&gt;"",原始資料!BD111=原始資料!BC111),N(BA111)+1,1))</f>
        <v/>
      </c>
      <c r="BC111" s="6">
        <f>IF(OR(原始資料!$A111="",54&gt;設定!$B$3,原始資料!BE111=""),"",IF(AND(原始資料!BD111&lt;&gt;"",原始資料!BE111=原始資料!BD111),N(BB111)+1,1))</f>
        <v/>
      </c>
      <c r="BD111" s="6">
        <f>IF(OR(原始資料!$A111="",55&gt;設定!$B$3,原始資料!BF111=""),"",IF(AND(原始資料!BE111&lt;&gt;"",原始資料!BF111=原始資料!BE111),N(BC111)+1,1))</f>
        <v/>
      </c>
      <c r="BE111" s="6">
        <f>IF(OR(原始資料!$A111="",56&gt;設定!$B$3,原始資料!BG111=""),"",IF(AND(原始資料!BF111&lt;&gt;"",原始資料!BG111=原始資料!BF111),N(BD111)+1,1))</f>
        <v/>
      </c>
      <c r="BF111" s="6">
        <f>IF(OR(原始資料!$A111="",57&gt;設定!$B$3,原始資料!BH111=""),"",IF(AND(原始資料!BG111&lt;&gt;"",原始資料!BH111=原始資料!BG111),N(BE111)+1,1))</f>
        <v/>
      </c>
      <c r="BG111" s="6">
        <f>IF(OR(原始資料!$A111="",58&gt;設定!$B$3,原始資料!BI111=""),"",IF(AND(原始資料!BH111&lt;&gt;"",原始資料!BI111=原始資料!BH111),N(BF111)+1,1))</f>
        <v/>
      </c>
      <c r="BH111" s="6">
        <f>IF(OR(原始資料!$A111="",59&gt;設定!$B$3,原始資料!BJ111=""),"",IF(AND(原始資料!BI111&lt;&gt;"",原始資料!BJ111=原始資料!BI111),N(BG111)+1,1))</f>
        <v/>
      </c>
      <c r="BI111" s="6">
        <f>IF(OR(原始資料!$A111="",60&gt;設定!$B$3,原始資料!BK111=""),"",IF(AND(原始資料!BJ111&lt;&gt;"",原始資料!BK111=原始資料!BJ111),N(BH111)+1,1))</f>
        <v/>
      </c>
    </row>
    <row r="112">
      <c r="A112" s="6">
        <f>IF(原始資料!$A112="","",原始資料!$A112)</f>
        <v/>
      </c>
      <c r="B112" s="6">
        <f>IF(OR(原始資料!$A112="",1&gt;設定!$B$3,原始資料!D112=""),"",1)</f>
        <v/>
      </c>
      <c r="C112" s="6">
        <f>IF(OR(原始資料!$A112="",2&gt;設定!$B$3,原始資料!E112=""),"",IF(AND(原始資料!D112&lt;&gt;"",原始資料!E112=原始資料!D112),N(B112)+1,1))</f>
        <v/>
      </c>
      <c r="D112" s="6">
        <f>IF(OR(原始資料!$A112="",3&gt;設定!$B$3,原始資料!F112=""),"",IF(AND(原始資料!E112&lt;&gt;"",原始資料!F112=原始資料!E112),N(C112)+1,1))</f>
        <v/>
      </c>
      <c r="E112" s="6">
        <f>IF(OR(原始資料!$A112="",4&gt;設定!$B$3,原始資料!G112=""),"",IF(AND(原始資料!F112&lt;&gt;"",原始資料!G112=原始資料!F112),N(D112)+1,1))</f>
        <v/>
      </c>
      <c r="F112" s="6">
        <f>IF(OR(原始資料!$A112="",5&gt;設定!$B$3,原始資料!H112=""),"",IF(AND(原始資料!G112&lt;&gt;"",原始資料!H112=原始資料!G112),N(E112)+1,1))</f>
        <v/>
      </c>
      <c r="G112" s="6">
        <f>IF(OR(原始資料!$A112="",6&gt;設定!$B$3,原始資料!I112=""),"",IF(AND(原始資料!H112&lt;&gt;"",原始資料!I112=原始資料!H112),N(F112)+1,1))</f>
        <v/>
      </c>
      <c r="H112" s="6">
        <f>IF(OR(原始資料!$A112="",7&gt;設定!$B$3,原始資料!J112=""),"",IF(AND(原始資料!I112&lt;&gt;"",原始資料!J112=原始資料!I112),N(G112)+1,1))</f>
        <v/>
      </c>
      <c r="I112" s="6">
        <f>IF(OR(原始資料!$A112="",8&gt;設定!$B$3,原始資料!K112=""),"",IF(AND(原始資料!J112&lt;&gt;"",原始資料!K112=原始資料!J112),N(H112)+1,1))</f>
        <v/>
      </c>
      <c r="J112" s="6">
        <f>IF(OR(原始資料!$A112="",9&gt;設定!$B$3,原始資料!L112=""),"",IF(AND(原始資料!K112&lt;&gt;"",原始資料!L112=原始資料!K112),N(I112)+1,1))</f>
        <v/>
      </c>
      <c r="K112" s="6">
        <f>IF(OR(原始資料!$A112="",10&gt;設定!$B$3,原始資料!M112=""),"",IF(AND(原始資料!L112&lt;&gt;"",原始資料!M112=原始資料!L112),N(J112)+1,1))</f>
        <v/>
      </c>
      <c r="L112" s="6">
        <f>IF(OR(原始資料!$A112="",11&gt;設定!$B$3,原始資料!N112=""),"",IF(AND(原始資料!M112&lt;&gt;"",原始資料!N112=原始資料!M112),N(K112)+1,1))</f>
        <v/>
      </c>
      <c r="M112" s="6">
        <f>IF(OR(原始資料!$A112="",12&gt;設定!$B$3,原始資料!O112=""),"",IF(AND(原始資料!N112&lt;&gt;"",原始資料!O112=原始資料!N112),N(L112)+1,1))</f>
        <v/>
      </c>
      <c r="N112" s="6">
        <f>IF(OR(原始資料!$A112="",13&gt;設定!$B$3,原始資料!P112=""),"",IF(AND(原始資料!O112&lt;&gt;"",原始資料!P112=原始資料!O112),N(M112)+1,1))</f>
        <v/>
      </c>
      <c r="O112" s="6">
        <f>IF(OR(原始資料!$A112="",14&gt;設定!$B$3,原始資料!Q112=""),"",IF(AND(原始資料!P112&lt;&gt;"",原始資料!Q112=原始資料!P112),N(N112)+1,1))</f>
        <v/>
      </c>
      <c r="P112" s="6">
        <f>IF(OR(原始資料!$A112="",15&gt;設定!$B$3,原始資料!R112=""),"",IF(AND(原始資料!Q112&lt;&gt;"",原始資料!R112=原始資料!Q112),N(O112)+1,1))</f>
        <v/>
      </c>
      <c r="Q112" s="6">
        <f>IF(OR(原始資料!$A112="",16&gt;設定!$B$3,原始資料!S112=""),"",IF(AND(原始資料!R112&lt;&gt;"",原始資料!S112=原始資料!R112),N(P112)+1,1))</f>
        <v/>
      </c>
      <c r="R112" s="6">
        <f>IF(OR(原始資料!$A112="",17&gt;設定!$B$3,原始資料!T112=""),"",IF(AND(原始資料!S112&lt;&gt;"",原始資料!T112=原始資料!S112),N(Q112)+1,1))</f>
        <v/>
      </c>
      <c r="S112" s="6">
        <f>IF(OR(原始資料!$A112="",18&gt;設定!$B$3,原始資料!U112=""),"",IF(AND(原始資料!T112&lt;&gt;"",原始資料!U112=原始資料!T112),N(R112)+1,1))</f>
        <v/>
      </c>
      <c r="T112" s="6">
        <f>IF(OR(原始資料!$A112="",19&gt;設定!$B$3,原始資料!V112=""),"",IF(AND(原始資料!U112&lt;&gt;"",原始資料!V112=原始資料!U112),N(S112)+1,1))</f>
        <v/>
      </c>
      <c r="U112" s="6">
        <f>IF(OR(原始資料!$A112="",20&gt;設定!$B$3,原始資料!W112=""),"",IF(AND(原始資料!V112&lt;&gt;"",原始資料!W112=原始資料!V112),N(T112)+1,1))</f>
        <v/>
      </c>
      <c r="V112" s="6">
        <f>IF(OR(原始資料!$A112="",21&gt;設定!$B$3,原始資料!X112=""),"",IF(AND(原始資料!W112&lt;&gt;"",原始資料!X112=原始資料!W112),N(U112)+1,1))</f>
        <v/>
      </c>
      <c r="W112" s="6">
        <f>IF(OR(原始資料!$A112="",22&gt;設定!$B$3,原始資料!Y112=""),"",IF(AND(原始資料!X112&lt;&gt;"",原始資料!Y112=原始資料!X112),N(V112)+1,1))</f>
        <v/>
      </c>
      <c r="X112" s="6">
        <f>IF(OR(原始資料!$A112="",23&gt;設定!$B$3,原始資料!Z112=""),"",IF(AND(原始資料!Y112&lt;&gt;"",原始資料!Z112=原始資料!Y112),N(W112)+1,1))</f>
        <v/>
      </c>
      <c r="Y112" s="6">
        <f>IF(OR(原始資料!$A112="",24&gt;設定!$B$3,原始資料!AA112=""),"",IF(AND(原始資料!Z112&lt;&gt;"",原始資料!AA112=原始資料!Z112),N(X112)+1,1))</f>
        <v/>
      </c>
      <c r="Z112" s="6">
        <f>IF(OR(原始資料!$A112="",25&gt;設定!$B$3,原始資料!AB112=""),"",IF(AND(原始資料!AA112&lt;&gt;"",原始資料!AB112=原始資料!AA112),N(Y112)+1,1))</f>
        <v/>
      </c>
      <c r="AA112" s="6">
        <f>IF(OR(原始資料!$A112="",26&gt;設定!$B$3,原始資料!AC112=""),"",IF(AND(原始資料!AB112&lt;&gt;"",原始資料!AC112=原始資料!AB112),N(Z112)+1,1))</f>
        <v/>
      </c>
      <c r="AB112" s="6">
        <f>IF(OR(原始資料!$A112="",27&gt;設定!$B$3,原始資料!AD112=""),"",IF(AND(原始資料!AC112&lt;&gt;"",原始資料!AD112=原始資料!AC112),N(AA112)+1,1))</f>
        <v/>
      </c>
      <c r="AC112" s="6">
        <f>IF(OR(原始資料!$A112="",28&gt;設定!$B$3,原始資料!AE112=""),"",IF(AND(原始資料!AD112&lt;&gt;"",原始資料!AE112=原始資料!AD112),N(AB112)+1,1))</f>
        <v/>
      </c>
      <c r="AD112" s="6">
        <f>IF(OR(原始資料!$A112="",29&gt;設定!$B$3,原始資料!AF112=""),"",IF(AND(原始資料!AE112&lt;&gt;"",原始資料!AF112=原始資料!AE112),N(AC112)+1,1))</f>
        <v/>
      </c>
      <c r="AE112" s="6">
        <f>IF(OR(原始資料!$A112="",30&gt;設定!$B$3,原始資料!AG112=""),"",IF(AND(原始資料!AF112&lt;&gt;"",原始資料!AG112=原始資料!AF112),N(AD112)+1,1))</f>
        <v/>
      </c>
      <c r="AF112" s="6">
        <f>IF(OR(原始資料!$A112="",31&gt;設定!$B$3,原始資料!AH112=""),"",IF(AND(原始資料!AG112&lt;&gt;"",原始資料!AH112=原始資料!AG112),N(AE112)+1,1))</f>
        <v/>
      </c>
      <c r="AG112" s="6">
        <f>IF(OR(原始資料!$A112="",32&gt;設定!$B$3,原始資料!AI112=""),"",IF(AND(原始資料!AH112&lt;&gt;"",原始資料!AI112=原始資料!AH112),N(AF112)+1,1))</f>
        <v/>
      </c>
      <c r="AH112" s="6">
        <f>IF(OR(原始資料!$A112="",33&gt;設定!$B$3,原始資料!AJ112=""),"",IF(AND(原始資料!AI112&lt;&gt;"",原始資料!AJ112=原始資料!AI112),N(AG112)+1,1))</f>
        <v/>
      </c>
      <c r="AI112" s="6">
        <f>IF(OR(原始資料!$A112="",34&gt;設定!$B$3,原始資料!AK112=""),"",IF(AND(原始資料!AJ112&lt;&gt;"",原始資料!AK112=原始資料!AJ112),N(AH112)+1,1))</f>
        <v/>
      </c>
      <c r="AJ112" s="6">
        <f>IF(OR(原始資料!$A112="",35&gt;設定!$B$3,原始資料!AL112=""),"",IF(AND(原始資料!AK112&lt;&gt;"",原始資料!AL112=原始資料!AK112),N(AI112)+1,1))</f>
        <v/>
      </c>
      <c r="AK112" s="6">
        <f>IF(OR(原始資料!$A112="",36&gt;設定!$B$3,原始資料!AM112=""),"",IF(AND(原始資料!AL112&lt;&gt;"",原始資料!AM112=原始資料!AL112),N(AJ112)+1,1))</f>
        <v/>
      </c>
      <c r="AL112" s="6">
        <f>IF(OR(原始資料!$A112="",37&gt;設定!$B$3,原始資料!AN112=""),"",IF(AND(原始資料!AM112&lt;&gt;"",原始資料!AN112=原始資料!AM112),N(AK112)+1,1))</f>
        <v/>
      </c>
      <c r="AM112" s="6">
        <f>IF(OR(原始資料!$A112="",38&gt;設定!$B$3,原始資料!AO112=""),"",IF(AND(原始資料!AN112&lt;&gt;"",原始資料!AO112=原始資料!AN112),N(AL112)+1,1))</f>
        <v/>
      </c>
      <c r="AN112" s="6">
        <f>IF(OR(原始資料!$A112="",39&gt;設定!$B$3,原始資料!AP112=""),"",IF(AND(原始資料!AO112&lt;&gt;"",原始資料!AP112=原始資料!AO112),N(AM112)+1,1))</f>
        <v/>
      </c>
      <c r="AO112" s="6">
        <f>IF(OR(原始資料!$A112="",40&gt;設定!$B$3,原始資料!AQ112=""),"",IF(AND(原始資料!AP112&lt;&gt;"",原始資料!AQ112=原始資料!AP112),N(AN112)+1,1))</f>
        <v/>
      </c>
      <c r="AP112" s="6">
        <f>IF(OR(原始資料!$A112="",41&gt;設定!$B$3,原始資料!AR112=""),"",IF(AND(原始資料!AQ112&lt;&gt;"",原始資料!AR112=原始資料!AQ112),N(AO112)+1,1))</f>
        <v/>
      </c>
      <c r="AQ112" s="6">
        <f>IF(OR(原始資料!$A112="",42&gt;設定!$B$3,原始資料!AS112=""),"",IF(AND(原始資料!AR112&lt;&gt;"",原始資料!AS112=原始資料!AR112),N(AP112)+1,1))</f>
        <v/>
      </c>
      <c r="AR112" s="6">
        <f>IF(OR(原始資料!$A112="",43&gt;設定!$B$3,原始資料!AT112=""),"",IF(AND(原始資料!AS112&lt;&gt;"",原始資料!AT112=原始資料!AS112),N(AQ112)+1,1))</f>
        <v/>
      </c>
      <c r="AS112" s="6">
        <f>IF(OR(原始資料!$A112="",44&gt;設定!$B$3,原始資料!AU112=""),"",IF(AND(原始資料!AT112&lt;&gt;"",原始資料!AU112=原始資料!AT112),N(AR112)+1,1))</f>
        <v/>
      </c>
      <c r="AT112" s="6">
        <f>IF(OR(原始資料!$A112="",45&gt;設定!$B$3,原始資料!AV112=""),"",IF(AND(原始資料!AU112&lt;&gt;"",原始資料!AV112=原始資料!AU112),N(AS112)+1,1))</f>
        <v/>
      </c>
      <c r="AU112" s="6">
        <f>IF(OR(原始資料!$A112="",46&gt;設定!$B$3,原始資料!AW112=""),"",IF(AND(原始資料!AV112&lt;&gt;"",原始資料!AW112=原始資料!AV112),N(AT112)+1,1))</f>
        <v/>
      </c>
      <c r="AV112" s="6">
        <f>IF(OR(原始資料!$A112="",47&gt;設定!$B$3,原始資料!AX112=""),"",IF(AND(原始資料!AW112&lt;&gt;"",原始資料!AX112=原始資料!AW112),N(AU112)+1,1))</f>
        <v/>
      </c>
      <c r="AW112" s="6">
        <f>IF(OR(原始資料!$A112="",48&gt;設定!$B$3,原始資料!AY112=""),"",IF(AND(原始資料!AX112&lt;&gt;"",原始資料!AY112=原始資料!AX112),N(AV112)+1,1))</f>
        <v/>
      </c>
      <c r="AX112" s="6">
        <f>IF(OR(原始資料!$A112="",49&gt;設定!$B$3,原始資料!AZ112=""),"",IF(AND(原始資料!AY112&lt;&gt;"",原始資料!AZ112=原始資料!AY112),N(AW112)+1,1))</f>
        <v/>
      </c>
      <c r="AY112" s="6">
        <f>IF(OR(原始資料!$A112="",50&gt;設定!$B$3,原始資料!BA112=""),"",IF(AND(原始資料!AZ112&lt;&gt;"",原始資料!BA112=原始資料!AZ112),N(AX112)+1,1))</f>
        <v/>
      </c>
      <c r="AZ112" s="6">
        <f>IF(OR(原始資料!$A112="",51&gt;設定!$B$3,原始資料!BB112=""),"",IF(AND(原始資料!BA112&lt;&gt;"",原始資料!BB112=原始資料!BA112),N(AY112)+1,1))</f>
        <v/>
      </c>
      <c r="BA112" s="6">
        <f>IF(OR(原始資料!$A112="",52&gt;設定!$B$3,原始資料!BC112=""),"",IF(AND(原始資料!BB112&lt;&gt;"",原始資料!BC112=原始資料!BB112),N(AZ112)+1,1))</f>
        <v/>
      </c>
      <c r="BB112" s="6">
        <f>IF(OR(原始資料!$A112="",53&gt;設定!$B$3,原始資料!BD112=""),"",IF(AND(原始資料!BC112&lt;&gt;"",原始資料!BD112=原始資料!BC112),N(BA112)+1,1))</f>
        <v/>
      </c>
      <c r="BC112" s="6">
        <f>IF(OR(原始資料!$A112="",54&gt;設定!$B$3,原始資料!BE112=""),"",IF(AND(原始資料!BD112&lt;&gt;"",原始資料!BE112=原始資料!BD112),N(BB112)+1,1))</f>
        <v/>
      </c>
      <c r="BD112" s="6">
        <f>IF(OR(原始資料!$A112="",55&gt;設定!$B$3,原始資料!BF112=""),"",IF(AND(原始資料!BE112&lt;&gt;"",原始資料!BF112=原始資料!BE112),N(BC112)+1,1))</f>
        <v/>
      </c>
      <c r="BE112" s="6">
        <f>IF(OR(原始資料!$A112="",56&gt;設定!$B$3,原始資料!BG112=""),"",IF(AND(原始資料!BF112&lt;&gt;"",原始資料!BG112=原始資料!BF112),N(BD112)+1,1))</f>
        <v/>
      </c>
      <c r="BF112" s="6">
        <f>IF(OR(原始資料!$A112="",57&gt;設定!$B$3,原始資料!BH112=""),"",IF(AND(原始資料!BG112&lt;&gt;"",原始資料!BH112=原始資料!BG112),N(BE112)+1,1))</f>
        <v/>
      </c>
      <c r="BG112" s="6">
        <f>IF(OR(原始資料!$A112="",58&gt;設定!$B$3,原始資料!BI112=""),"",IF(AND(原始資料!BH112&lt;&gt;"",原始資料!BI112=原始資料!BH112),N(BF112)+1,1))</f>
        <v/>
      </c>
      <c r="BH112" s="6">
        <f>IF(OR(原始資料!$A112="",59&gt;設定!$B$3,原始資料!BJ112=""),"",IF(AND(原始資料!BI112&lt;&gt;"",原始資料!BJ112=原始資料!BI112),N(BG112)+1,1))</f>
        <v/>
      </c>
      <c r="BI112" s="6">
        <f>IF(OR(原始資料!$A112="",60&gt;設定!$B$3,原始資料!BK112=""),"",IF(AND(原始資料!BJ112&lt;&gt;"",原始資料!BK112=原始資料!BJ112),N(BH112)+1,1))</f>
        <v/>
      </c>
    </row>
    <row r="113">
      <c r="A113" s="6">
        <f>IF(原始資料!$A113="","",原始資料!$A113)</f>
        <v/>
      </c>
      <c r="B113" s="6">
        <f>IF(OR(原始資料!$A113="",1&gt;設定!$B$3,原始資料!D113=""),"",1)</f>
        <v/>
      </c>
      <c r="C113" s="6">
        <f>IF(OR(原始資料!$A113="",2&gt;設定!$B$3,原始資料!E113=""),"",IF(AND(原始資料!D113&lt;&gt;"",原始資料!E113=原始資料!D113),N(B113)+1,1))</f>
        <v/>
      </c>
      <c r="D113" s="6">
        <f>IF(OR(原始資料!$A113="",3&gt;設定!$B$3,原始資料!F113=""),"",IF(AND(原始資料!E113&lt;&gt;"",原始資料!F113=原始資料!E113),N(C113)+1,1))</f>
        <v/>
      </c>
      <c r="E113" s="6">
        <f>IF(OR(原始資料!$A113="",4&gt;設定!$B$3,原始資料!G113=""),"",IF(AND(原始資料!F113&lt;&gt;"",原始資料!G113=原始資料!F113),N(D113)+1,1))</f>
        <v/>
      </c>
      <c r="F113" s="6">
        <f>IF(OR(原始資料!$A113="",5&gt;設定!$B$3,原始資料!H113=""),"",IF(AND(原始資料!G113&lt;&gt;"",原始資料!H113=原始資料!G113),N(E113)+1,1))</f>
        <v/>
      </c>
      <c r="G113" s="6">
        <f>IF(OR(原始資料!$A113="",6&gt;設定!$B$3,原始資料!I113=""),"",IF(AND(原始資料!H113&lt;&gt;"",原始資料!I113=原始資料!H113),N(F113)+1,1))</f>
        <v/>
      </c>
      <c r="H113" s="6">
        <f>IF(OR(原始資料!$A113="",7&gt;設定!$B$3,原始資料!J113=""),"",IF(AND(原始資料!I113&lt;&gt;"",原始資料!J113=原始資料!I113),N(G113)+1,1))</f>
        <v/>
      </c>
      <c r="I113" s="6">
        <f>IF(OR(原始資料!$A113="",8&gt;設定!$B$3,原始資料!K113=""),"",IF(AND(原始資料!J113&lt;&gt;"",原始資料!K113=原始資料!J113),N(H113)+1,1))</f>
        <v/>
      </c>
      <c r="J113" s="6">
        <f>IF(OR(原始資料!$A113="",9&gt;設定!$B$3,原始資料!L113=""),"",IF(AND(原始資料!K113&lt;&gt;"",原始資料!L113=原始資料!K113),N(I113)+1,1))</f>
        <v/>
      </c>
      <c r="K113" s="6">
        <f>IF(OR(原始資料!$A113="",10&gt;設定!$B$3,原始資料!M113=""),"",IF(AND(原始資料!L113&lt;&gt;"",原始資料!M113=原始資料!L113),N(J113)+1,1))</f>
        <v/>
      </c>
      <c r="L113" s="6">
        <f>IF(OR(原始資料!$A113="",11&gt;設定!$B$3,原始資料!N113=""),"",IF(AND(原始資料!M113&lt;&gt;"",原始資料!N113=原始資料!M113),N(K113)+1,1))</f>
        <v/>
      </c>
      <c r="M113" s="6">
        <f>IF(OR(原始資料!$A113="",12&gt;設定!$B$3,原始資料!O113=""),"",IF(AND(原始資料!N113&lt;&gt;"",原始資料!O113=原始資料!N113),N(L113)+1,1))</f>
        <v/>
      </c>
      <c r="N113" s="6">
        <f>IF(OR(原始資料!$A113="",13&gt;設定!$B$3,原始資料!P113=""),"",IF(AND(原始資料!O113&lt;&gt;"",原始資料!P113=原始資料!O113),N(M113)+1,1))</f>
        <v/>
      </c>
      <c r="O113" s="6">
        <f>IF(OR(原始資料!$A113="",14&gt;設定!$B$3,原始資料!Q113=""),"",IF(AND(原始資料!P113&lt;&gt;"",原始資料!Q113=原始資料!P113),N(N113)+1,1))</f>
        <v/>
      </c>
      <c r="P113" s="6">
        <f>IF(OR(原始資料!$A113="",15&gt;設定!$B$3,原始資料!R113=""),"",IF(AND(原始資料!Q113&lt;&gt;"",原始資料!R113=原始資料!Q113),N(O113)+1,1))</f>
        <v/>
      </c>
      <c r="Q113" s="6">
        <f>IF(OR(原始資料!$A113="",16&gt;設定!$B$3,原始資料!S113=""),"",IF(AND(原始資料!R113&lt;&gt;"",原始資料!S113=原始資料!R113),N(P113)+1,1))</f>
        <v/>
      </c>
      <c r="R113" s="6">
        <f>IF(OR(原始資料!$A113="",17&gt;設定!$B$3,原始資料!T113=""),"",IF(AND(原始資料!S113&lt;&gt;"",原始資料!T113=原始資料!S113),N(Q113)+1,1))</f>
        <v/>
      </c>
      <c r="S113" s="6">
        <f>IF(OR(原始資料!$A113="",18&gt;設定!$B$3,原始資料!U113=""),"",IF(AND(原始資料!T113&lt;&gt;"",原始資料!U113=原始資料!T113),N(R113)+1,1))</f>
        <v/>
      </c>
      <c r="T113" s="6">
        <f>IF(OR(原始資料!$A113="",19&gt;設定!$B$3,原始資料!V113=""),"",IF(AND(原始資料!U113&lt;&gt;"",原始資料!V113=原始資料!U113),N(S113)+1,1))</f>
        <v/>
      </c>
      <c r="U113" s="6">
        <f>IF(OR(原始資料!$A113="",20&gt;設定!$B$3,原始資料!W113=""),"",IF(AND(原始資料!V113&lt;&gt;"",原始資料!W113=原始資料!V113),N(T113)+1,1))</f>
        <v/>
      </c>
      <c r="V113" s="6">
        <f>IF(OR(原始資料!$A113="",21&gt;設定!$B$3,原始資料!X113=""),"",IF(AND(原始資料!W113&lt;&gt;"",原始資料!X113=原始資料!W113),N(U113)+1,1))</f>
        <v/>
      </c>
      <c r="W113" s="6">
        <f>IF(OR(原始資料!$A113="",22&gt;設定!$B$3,原始資料!Y113=""),"",IF(AND(原始資料!X113&lt;&gt;"",原始資料!Y113=原始資料!X113),N(V113)+1,1))</f>
        <v/>
      </c>
      <c r="X113" s="6">
        <f>IF(OR(原始資料!$A113="",23&gt;設定!$B$3,原始資料!Z113=""),"",IF(AND(原始資料!Y113&lt;&gt;"",原始資料!Z113=原始資料!Y113),N(W113)+1,1))</f>
        <v/>
      </c>
      <c r="Y113" s="6">
        <f>IF(OR(原始資料!$A113="",24&gt;設定!$B$3,原始資料!AA113=""),"",IF(AND(原始資料!Z113&lt;&gt;"",原始資料!AA113=原始資料!Z113),N(X113)+1,1))</f>
        <v/>
      </c>
      <c r="Z113" s="6">
        <f>IF(OR(原始資料!$A113="",25&gt;設定!$B$3,原始資料!AB113=""),"",IF(AND(原始資料!AA113&lt;&gt;"",原始資料!AB113=原始資料!AA113),N(Y113)+1,1))</f>
        <v/>
      </c>
      <c r="AA113" s="6">
        <f>IF(OR(原始資料!$A113="",26&gt;設定!$B$3,原始資料!AC113=""),"",IF(AND(原始資料!AB113&lt;&gt;"",原始資料!AC113=原始資料!AB113),N(Z113)+1,1))</f>
        <v/>
      </c>
      <c r="AB113" s="6">
        <f>IF(OR(原始資料!$A113="",27&gt;設定!$B$3,原始資料!AD113=""),"",IF(AND(原始資料!AC113&lt;&gt;"",原始資料!AD113=原始資料!AC113),N(AA113)+1,1))</f>
        <v/>
      </c>
      <c r="AC113" s="6">
        <f>IF(OR(原始資料!$A113="",28&gt;設定!$B$3,原始資料!AE113=""),"",IF(AND(原始資料!AD113&lt;&gt;"",原始資料!AE113=原始資料!AD113),N(AB113)+1,1))</f>
        <v/>
      </c>
      <c r="AD113" s="6">
        <f>IF(OR(原始資料!$A113="",29&gt;設定!$B$3,原始資料!AF113=""),"",IF(AND(原始資料!AE113&lt;&gt;"",原始資料!AF113=原始資料!AE113),N(AC113)+1,1))</f>
        <v/>
      </c>
      <c r="AE113" s="6">
        <f>IF(OR(原始資料!$A113="",30&gt;設定!$B$3,原始資料!AG113=""),"",IF(AND(原始資料!AF113&lt;&gt;"",原始資料!AG113=原始資料!AF113),N(AD113)+1,1))</f>
        <v/>
      </c>
      <c r="AF113" s="6">
        <f>IF(OR(原始資料!$A113="",31&gt;設定!$B$3,原始資料!AH113=""),"",IF(AND(原始資料!AG113&lt;&gt;"",原始資料!AH113=原始資料!AG113),N(AE113)+1,1))</f>
        <v/>
      </c>
      <c r="AG113" s="6">
        <f>IF(OR(原始資料!$A113="",32&gt;設定!$B$3,原始資料!AI113=""),"",IF(AND(原始資料!AH113&lt;&gt;"",原始資料!AI113=原始資料!AH113),N(AF113)+1,1))</f>
        <v/>
      </c>
      <c r="AH113" s="6">
        <f>IF(OR(原始資料!$A113="",33&gt;設定!$B$3,原始資料!AJ113=""),"",IF(AND(原始資料!AI113&lt;&gt;"",原始資料!AJ113=原始資料!AI113),N(AG113)+1,1))</f>
        <v/>
      </c>
      <c r="AI113" s="6">
        <f>IF(OR(原始資料!$A113="",34&gt;設定!$B$3,原始資料!AK113=""),"",IF(AND(原始資料!AJ113&lt;&gt;"",原始資料!AK113=原始資料!AJ113),N(AH113)+1,1))</f>
        <v/>
      </c>
      <c r="AJ113" s="6">
        <f>IF(OR(原始資料!$A113="",35&gt;設定!$B$3,原始資料!AL113=""),"",IF(AND(原始資料!AK113&lt;&gt;"",原始資料!AL113=原始資料!AK113),N(AI113)+1,1))</f>
        <v/>
      </c>
      <c r="AK113" s="6">
        <f>IF(OR(原始資料!$A113="",36&gt;設定!$B$3,原始資料!AM113=""),"",IF(AND(原始資料!AL113&lt;&gt;"",原始資料!AM113=原始資料!AL113),N(AJ113)+1,1))</f>
        <v/>
      </c>
      <c r="AL113" s="6">
        <f>IF(OR(原始資料!$A113="",37&gt;設定!$B$3,原始資料!AN113=""),"",IF(AND(原始資料!AM113&lt;&gt;"",原始資料!AN113=原始資料!AM113),N(AK113)+1,1))</f>
        <v/>
      </c>
      <c r="AM113" s="6">
        <f>IF(OR(原始資料!$A113="",38&gt;設定!$B$3,原始資料!AO113=""),"",IF(AND(原始資料!AN113&lt;&gt;"",原始資料!AO113=原始資料!AN113),N(AL113)+1,1))</f>
        <v/>
      </c>
      <c r="AN113" s="6">
        <f>IF(OR(原始資料!$A113="",39&gt;設定!$B$3,原始資料!AP113=""),"",IF(AND(原始資料!AO113&lt;&gt;"",原始資料!AP113=原始資料!AO113),N(AM113)+1,1))</f>
        <v/>
      </c>
      <c r="AO113" s="6">
        <f>IF(OR(原始資料!$A113="",40&gt;設定!$B$3,原始資料!AQ113=""),"",IF(AND(原始資料!AP113&lt;&gt;"",原始資料!AQ113=原始資料!AP113),N(AN113)+1,1))</f>
        <v/>
      </c>
      <c r="AP113" s="6">
        <f>IF(OR(原始資料!$A113="",41&gt;設定!$B$3,原始資料!AR113=""),"",IF(AND(原始資料!AQ113&lt;&gt;"",原始資料!AR113=原始資料!AQ113),N(AO113)+1,1))</f>
        <v/>
      </c>
      <c r="AQ113" s="6">
        <f>IF(OR(原始資料!$A113="",42&gt;設定!$B$3,原始資料!AS113=""),"",IF(AND(原始資料!AR113&lt;&gt;"",原始資料!AS113=原始資料!AR113),N(AP113)+1,1))</f>
        <v/>
      </c>
      <c r="AR113" s="6">
        <f>IF(OR(原始資料!$A113="",43&gt;設定!$B$3,原始資料!AT113=""),"",IF(AND(原始資料!AS113&lt;&gt;"",原始資料!AT113=原始資料!AS113),N(AQ113)+1,1))</f>
        <v/>
      </c>
      <c r="AS113" s="6">
        <f>IF(OR(原始資料!$A113="",44&gt;設定!$B$3,原始資料!AU113=""),"",IF(AND(原始資料!AT113&lt;&gt;"",原始資料!AU113=原始資料!AT113),N(AR113)+1,1))</f>
        <v/>
      </c>
      <c r="AT113" s="6">
        <f>IF(OR(原始資料!$A113="",45&gt;設定!$B$3,原始資料!AV113=""),"",IF(AND(原始資料!AU113&lt;&gt;"",原始資料!AV113=原始資料!AU113),N(AS113)+1,1))</f>
        <v/>
      </c>
      <c r="AU113" s="6">
        <f>IF(OR(原始資料!$A113="",46&gt;設定!$B$3,原始資料!AW113=""),"",IF(AND(原始資料!AV113&lt;&gt;"",原始資料!AW113=原始資料!AV113),N(AT113)+1,1))</f>
        <v/>
      </c>
      <c r="AV113" s="6">
        <f>IF(OR(原始資料!$A113="",47&gt;設定!$B$3,原始資料!AX113=""),"",IF(AND(原始資料!AW113&lt;&gt;"",原始資料!AX113=原始資料!AW113),N(AU113)+1,1))</f>
        <v/>
      </c>
      <c r="AW113" s="6">
        <f>IF(OR(原始資料!$A113="",48&gt;設定!$B$3,原始資料!AY113=""),"",IF(AND(原始資料!AX113&lt;&gt;"",原始資料!AY113=原始資料!AX113),N(AV113)+1,1))</f>
        <v/>
      </c>
      <c r="AX113" s="6">
        <f>IF(OR(原始資料!$A113="",49&gt;設定!$B$3,原始資料!AZ113=""),"",IF(AND(原始資料!AY113&lt;&gt;"",原始資料!AZ113=原始資料!AY113),N(AW113)+1,1))</f>
        <v/>
      </c>
      <c r="AY113" s="6">
        <f>IF(OR(原始資料!$A113="",50&gt;設定!$B$3,原始資料!BA113=""),"",IF(AND(原始資料!AZ113&lt;&gt;"",原始資料!BA113=原始資料!AZ113),N(AX113)+1,1))</f>
        <v/>
      </c>
      <c r="AZ113" s="6">
        <f>IF(OR(原始資料!$A113="",51&gt;設定!$B$3,原始資料!BB113=""),"",IF(AND(原始資料!BA113&lt;&gt;"",原始資料!BB113=原始資料!BA113),N(AY113)+1,1))</f>
        <v/>
      </c>
      <c r="BA113" s="6">
        <f>IF(OR(原始資料!$A113="",52&gt;設定!$B$3,原始資料!BC113=""),"",IF(AND(原始資料!BB113&lt;&gt;"",原始資料!BC113=原始資料!BB113),N(AZ113)+1,1))</f>
        <v/>
      </c>
      <c r="BB113" s="6">
        <f>IF(OR(原始資料!$A113="",53&gt;設定!$B$3,原始資料!BD113=""),"",IF(AND(原始資料!BC113&lt;&gt;"",原始資料!BD113=原始資料!BC113),N(BA113)+1,1))</f>
        <v/>
      </c>
      <c r="BC113" s="6">
        <f>IF(OR(原始資料!$A113="",54&gt;設定!$B$3,原始資料!BE113=""),"",IF(AND(原始資料!BD113&lt;&gt;"",原始資料!BE113=原始資料!BD113),N(BB113)+1,1))</f>
        <v/>
      </c>
      <c r="BD113" s="6">
        <f>IF(OR(原始資料!$A113="",55&gt;設定!$B$3,原始資料!BF113=""),"",IF(AND(原始資料!BE113&lt;&gt;"",原始資料!BF113=原始資料!BE113),N(BC113)+1,1))</f>
        <v/>
      </c>
      <c r="BE113" s="6">
        <f>IF(OR(原始資料!$A113="",56&gt;設定!$B$3,原始資料!BG113=""),"",IF(AND(原始資料!BF113&lt;&gt;"",原始資料!BG113=原始資料!BF113),N(BD113)+1,1))</f>
        <v/>
      </c>
      <c r="BF113" s="6">
        <f>IF(OR(原始資料!$A113="",57&gt;設定!$B$3,原始資料!BH113=""),"",IF(AND(原始資料!BG113&lt;&gt;"",原始資料!BH113=原始資料!BG113),N(BE113)+1,1))</f>
        <v/>
      </c>
      <c r="BG113" s="6">
        <f>IF(OR(原始資料!$A113="",58&gt;設定!$B$3,原始資料!BI113=""),"",IF(AND(原始資料!BH113&lt;&gt;"",原始資料!BI113=原始資料!BH113),N(BF113)+1,1))</f>
        <v/>
      </c>
      <c r="BH113" s="6">
        <f>IF(OR(原始資料!$A113="",59&gt;設定!$B$3,原始資料!BJ113=""),"",IF(AND(原始資料!BI113&lt;&gt;"",原始資料!BJ113=原始資料!BI113),N(BG113)+1,1))</f>
        <v/>
      </c>
      <c r="BI113" s="6">
        <f>IF(OR(原始資料!$A113="",60&gt;設定!$B$3,原始資料!BK113=""),"",IF(AND(原始資料!BJ113&lt;&gt;"",原始資料!BK113=原始資料!BJ113),N(BH113)+1,1))</f>
        <v/>
      </c>
    </row>
    <row r="114">
      <c r="A114" s="6">
        <f>IF(原始資料!$A114="","",原始資料!$A114)</f>
        <v/>
      </c>
      <c r="B114" s="6">
        <f>IF(OR(原始資料!$A114="",1&gt;設定!$B$3,原始資料!D114=""),"",1)</f>
        <v/>
      </c>
      <c r="C114" s="6">
        <f>IF(OR(原始資料!$A114="",2&gt;設定!$B$3,原始資料!E114=""),"",IF(AND(原始資料!D114&lt;&gt;"",原始資料!E114=原始資料!D114),N(B114)+1,1))</f>
        <v/>
      </c>
      <c r="D114" s="6">
        <f>IF(OR(原始資料!$A114="",3&gt;設定!$B$3,原始資料!F114=""),"",IF(AND(原始資料!E114&lt;&gt;"",原始資料!F114=原始資料!E114),N(C114)+1,1))</f>
        <v/>
      </c>
      <c r="E114" s="6">
        <f>IF(OR(原始資料!$A114="",4&gt;設定!$B$3,原始資料!G114=""),"",IF(AND(原始資料!F114&lt;&gt;"",原始資料!G114=原始資料!F114),N(D114)+1,1))</f>
        <v/>
      </c>
      <c r="F114" s="6">
        <f>IF(OR(原始資料!$A114="",5&gt;設定!$B$3,原始資料!H114=""),"",IF(AND(原始資料!G114&lt;&gt;"",原始資料!H114=原始資料!G114),N(E114)+1,1))</f>
        <v/>
      </c>
      <c r="G114" s="6">
        <f>IF(OR(原始資料!$A114="",6&gt;設定!$B$3,原始資料!I114=""),"",IF(AND(原始資料!H114&lt;&gt;"",原始資料!I114=原始資料!H114),N(F114)+1,1))</f>
        <v/>
      </c>
      <c r="H114" s="6">
        <f>IF(OR(原始資料!$A114="",7&gt;設定!$B$3,原始資料!J114=""),"",IF(AND(原始資料!I114&lt;&gt;"",原始資料!J114=原始資料!I114),N(G114)+1,1))</f>
        <v/>
      </c>
      <c r="I114" s="6">
        <f>IF(OR(原始資料!$A114="",8&gt;設定!$B$3,原始資料!K114=""),"",IF(AND(原始資料!J114&lt;&gt;"",原始資料!K114=原始資料!J114),N(H114)+1,1))</f>
        <v/>
      </c>
      <c r="J114" s="6">
        <f>IF(OR(原始資料!$A114="",9&gt;設定!$B$3,原始資料!L114=""),"",IF(AND(原始資料!K114&lt;&gt;"",原始資料!L114=原始資料!K114),N(I114)+1,1))</f>
        <v/>
      </c>
      <c r="K114" s="6">
        <f>IF(OR(原始資料!$A114="",10&gt;設定!$B$3,原始資料!M114=""),"",IF(AND(原始資料!L114&lt;&gt;"",原始資料!M114=原始資料!L114),N(J114)+1,1))</f>
        <v/>
      </c>
      <c r="L114" s="6">
        <f>IF(OR(原始資料!$A114="",11&gt;設定!$B$3,原始資料!N114=""),"",IF(AND(原始資料!M114&lt;&gt;"",原始資料!N114=原始資料!M114),N(K114)+1,1))</f>
        <v/>
      </c>
      <c r="M114" s="6">
        <f>IF(OR(原始資料!$A114="",12&gt;設定!$B$3,原始資料!O114=""),"",IF(AND(原始資料!N114&lt;&gt;"",原始資料!O114=原始資料!N114),N(L114)+1,1))</f>
        <v/>
      </c>
      <c r="N114" s="6">
        <f>IF(OR(原始資料!$A114="",13&gt;設定!$B$3,原始資料!P114=""),"",IF(AND(原始資料!O114&lt;&gt;"",原始資料!P114=原始資料!O114),N(M114)+1,1))</f>
        <v/>
      </c>
      <c r="O114" s="6">
        <f>IF(OR(原始資料!$A114="",14&gt;設定!$B$3,原始資料!Q114=""),"",IF(AND(原始資料!P114&lt;&gt;"",原始資料!Q114=原始資料!P114),N(N114)+1,1))</f>
        <v/>
      </c>
      <c r="P114" s="6">
        <f>IF(OR(原始資料!$A114="",15&gt;設定!$B$3,原始資料!R114=""),"",IF(AND(原始資料!Q114&lt;&gt;"",原始資料!R114=原始資料!Q114),N(O114)+1,1))</f>
        <v/>
      </c>
      <c r="Q114" s="6">
        <f>IF(OR(原始資料!$A114="",16&gt;設定!$B$3,原始資料!S114=""),"",IF(AND(原始資料!R114&lt;&gt;"",原始資料!S114=原始資料!R114),N(P114)+1,1))</f>
        <v/>
      </c>
      <c r="R114" s="6">
        <f>IF(OR(原始資料!$A114="",17&gt;設定!$B$3,原始資料!T114=""),"",IF(AND(原始資料!S114&lt;&gt;"",原始資料!T114=原始資料!S114),N(Q114)+1,1))</f>
        <v/>
      </c>
      <c r="S114" s="6">
        <f>IF(OR(原始資料!$A114="",18&gt;設定!$B$3,原始資料!U114=""),"",IF(AND(原始資料!T114&lt;&gt;"",原始資料!U114=原始資料!T114),N(R114)+1,1))</f>
        <v/>
      </c>
      <c r="T114" s="6">
        <f>IF(OR(原始資料!$A114="",19&gt;設定!$B$3,原始資料!V114=""),"",IF(AND(原始資料!U114&lt;&gt;"",原始資料!V114=原始資料!U114),N(S114)+1,1))</f>
        <v/>
      </c>
      <c r="U114" s="6">
        <f>IF(OR(原始資料!$A114="",20&gt;設定!$B$3,原始資料!W114=""),"",IF(AND(原始資料!V114&lt;&gt;"",原始資料!W114=原始資料!V114),N(T114)+1,1))</f>
        <v/>
      </c>
      <c r="V114" s="6">
        <f>IF(OR(原始資料!$A114="",21&gt;設定!$B$3,原始資料!X114=""),"",IF(AND(原始資料!W114&lt;&gt;"",原始資料!X114=原始資料!W114),N(U114)+1,1))</f>
        <v/>
      </c>
      <c r="W114" s="6">
        <f>IF(OR(原始資料!$A114="",22&gt;設定!$B$3,原始資料!Y114=""),"",IF(AND(原始資料!X114&lt;&gt;"",原始資料!Y114=原始資料!X114),N(V114)+1,1))</f>
        <v/>
      </c>
      <c r="X114" s="6">
        <f>IF(OR(原始資料!$A114="",23&gt;設定!$B$3,原始資料!Z114=""),"",IF(AND(原始資料!Y114&lt;&gt;"",原始資料!Z114=原始資料!Y114),N(W114)+1,1))</f>
        <v/>
      </c>
      <c r="Y114" s="6">
        <f>IF(OR(原始資料!$A114="",24&gt;設定!$B$3,原始資料!AA114=""),"",IF(AND(原始資料!Z114&lt;&gt;"",原始資料!AA114=原始資料!Z114),N(X114)+1,1))</f>
        <v/>
      </c>
      <c r="Z114" s="6">
        <f>IF(OR(原始資料!$A114="",25&gt;設定!$B$3,原始資料!AB114=""),"",IF(AND(原始資料!AA114&lt;&gt;"",原始資料!AB114=原始資料!AA114),N(Y114)+1,1))</f>
        <v/>
      </c>
      <c r="AA114" s="6">
        <f>IF(OR(原始資料!$A114="",26&gt;設定!$B$3,原始資料!AC114=""),"",IF(AND(原始資料!AB114&lt;&gt;"",原始資料!AC114=原始資料!AB114),N(Z114)+1,1))</f>
        <v/>
      </c>
      <c r="AB114" s="6">
        <f>IF(OR(原始資料!$A114="",27&gt;設定!$B$3,原始資料!AD114=""),"",IF(AND(原始資料!AC114&lt;&gt;"",原始資料!AD114=原始資料!AC114),N(AA114)+1,1))</f>
        <v/>
      </c>
      <c r="AC114" s="6">
        <f>IF(OR(原始資料!$A114="",28&gt;設定!$B$3,原始資料!AE114=""),"",IF(AND(原始資料!AD114&lt;&gt;"",原始資料!AE114=原始資料!AD114),N(AB114)+1,1))</f>
        <v/>
      </c>
      <c r="AD114" s="6">
        <f>IF(OR(原始資料!$A114="",29&gt;設定!$B$3,原始資料!AF114=""),"",IF(AND(原始資料!AE114&lt;&gt;"",原始資料!AF114=原始資料!AE114),N(AC114)+1,1))</f>
        <v/>
      </c>
      <c r="AE114" s="6">
        <f>IF(OR(原始資料!$A114="",30&gt;設定!$B$3,原始資料!AG114=""),"",IF(AND(原始資料!AF114&lt;&gt;"",原始資料!AG114=原始資料!AF114),N(AD114)+1,1))</f>
        <v/>
      </c>
      <c r="AF114" s="6">
        <f>IF(OR(原始資料!$A114="",31&gt;設定!$B$3,原始資料!AH114=""),"",IF(AND(原始資料!AG114&lt;&gt;"",原始資料!AH114=原始資料!AG114),N(AE114)+1,1))</f>
        <v/>
      </c>
      <c r="AG114" s="6">
        <f>IF(OR(原始資料!$A114="",32&gt;設定!$B$3,原始資料!AI114=""),"",IF(AND(原始資料!AH114&lt;&gt;"",原始資料!AI114=原始資料!AH114),N(AF114)+1,1))</f>
        <v/>
      </c>
      <c r="AH114" s="6">
        <f>IF(OR(原始資料!$A114="",33&gt;設定!$B$3,原始資料!AJ114=""),"",IF(AND(原始資料!AI114&lt;&gt;"",原始資料!AJ114=原始資料!AI114),N(AG114)+1,1))</f>
        <v/>
      </c>
      <c r="AI114" s="6">
        <f>IF(OR(原始資料!$A114="",34&gt;設定!$B$3,原始資料!AK114=""),"",IF(AND(原始資料!AJ114&lt;&gt;"",原始資料!AK114=原始資料!AJ114),N(AH114)+1,1))</f>
        <v/>
      </c>
      <c r="AJ114" s="6">
        <f>IF(OR(原始資料!$A114="",35&gt;設定!$B$3,原始資料!AL114=""),"",IF(AND(原始資料!AK114&lt;&gt;"",原始資料!AL114=原始資料!AK114),N(AI114)+1,1))</f>
        <v/>
      </c>
      <c r="AK114" s="6">
        <f>IF(OR(原始資料!$A114="",36&gt;設定!$B$3,原始資料!AM114=""),"",IF(AND(原始資料!AL114&lt;&gt;"",原始資料!AM114=原始資料!AL114),N(AJ114)+1,1))</f>
        <v/>
      </c>
      <c r="AL114" s="6">
        <f>IF(OR(原始資料!$A114="",37&gt;設定!$B$3,原始資料!AN114=""),"",IF(AND(原始資料!AM114&lt;&gt;"",原始資料!AN114=原始資料!AM114),N(AK114)+1,1))</f>
        <v/>
      </c>
      <c r="AM114" s="6">
        <f>IF(OR(原始資料!$A114="",38&gt;設定!$B$3,原始資料!AO114=""),"",IF(AND(原始資料!AN114&lt;&gt;"",原始資料!AO114=原始資料!AN114),N(AL114)+1,1))</f>
        <v/>
      </c>
      <c r="AN114" s="6">
        <f>IF(OR(原始資料!$A114="",39&gt;設定!$B$3,原始資料!AP114=""),"",IF(AND(原始資料!AO114&lt;&gt;"",原始資料!AP114=原始資料!AO114),N(AM114)+1,1))</f>
        <v/>
      </c>
      <c r="AO114" s="6">
        <f>IF(OR(原始資料!$A114="",40&gt;設定!$B$3,原始資料!AQ114=""),"",IF(AND(原始資料!AP114&lt;&gt;"",原始資料!AQ114=原始資料!AP114),N(AN114)+1,1))</f>
        <v/>
      </c>
      <c r="AP114" s="6">
        <f>IF(OR(原始資料!$A114="",41&gt;設定!$B$3,原始資料!AR114=""),"",IF(AND(原始資料!AQ114&lt;&gt;"",原始資料!AR114=原始資料!AQ114),N(AO114)+1,1))</f>
        <v/>
      </c>
      <c r="AQ114" s="6">
        <f>IF(OR(原始資料!$A114="",42&gt;設定!$B$3,原始資料!AS114=""),"",IF(AND(原始資料!AR114&lt;&gt;"",原始資料!AS114=原始資料!AR114),N(AP114)+1,1))</f>
        <v/>
      </c>
      <c r="AR114" s="6">
        <f>IF(OR(原始資料!$A114="",43&gt;設定!$B$3,原始資料!AT114=""),"",IF(AND(原始資料!AS114&lt;&gt;"",原始資料!AT114=原始資料!AS114),N(AQ114)+1,1))</f>
        <v/>
      </c>
      <c r="AS114" s="6">
        <f>IF(OR(原始資料!$A114="",44&gt;設定!$B$3,原始資料!AU114=""),"",IF(AND(原始資料!AT114&lt;&gt;"",原始資料!AU114=原始資料!AT114),N(AR114)+1,1))</f>
        <v/>
      </c>
      <c r="AT114" s="6">
        <f>IF(OR(原始資料!$A114="",45&gt;設定!$B$3,原始資料!AV114=""),"",IF(AND(原始資料!AU114&lt;&gt;"",原始資料!AV114=原始資料!AU114),N(AS114)+1,1))</f>
        <v/>
      </c>
      <c r="AU114" s="6">
        <f>IF(OR(原始資料!$A114="",46&gt;設定!$B$3,原始資料!AW114=""),"",IF(AND(原始資料!AV114&lt;&gt;"",原始資料!AW114=原始資料!AV114),N(AT114)+1,1))</f>
        <v/>
      </c>
      <c r="AV114" s="6">
        <f>IF(OR(原始資料!$A114="",47&gt;設定!$B$3,原始資料!AX114=""),"",IF(AND(原始資料!AW114&lt;&gt;"",原始資料!AX114=原始資料!AW114),N(AU114)+1,1))</f>
        <v/>
      </c>
      <c r="AW114" s="6">
        <f>IF(OR(原始資料!$A114="",48&gt;設定!$B$3,原始資料!AY114=""),"",IF(AND(原始資料!AX114&lt;&gt;"",原始資料!AY114=原始資料!AX114),N(AV114)+1,1))</f>
        <v/>
      </c>
      <c r="AX114" s="6">
        <f>IF(OR(原始資料!$A114="",49&gt;設定!$B$3,原始資料!AZ114=""),"",IF(AND(原始資料!AY114&lt;&gt;"",原始資料!AZ114=原始資料!AY114),N(AW114)+1,1))</f>
        <v/>
      </c>
      <c r="AY114" s="6">
        <f>IF(OR(原始資料!$A114="",50&gt;設定!$B$3,原始資料!BA114=""),"",IF(AND(原始資料!AZ114&lt;&gt;"",原始資料!BA114=原始資料!AZ114),N(AX114)+1,1))</f>
        <v/>
      </c>
      <c r="AZ114" s="6">
        <f>IF(OR(原始資料!$A114="",51&gt;設定!$B$3,原始資料!BB114=""),"",IF(AND(原始資料!BA114&lt;&gt;"",原始資料!BB114=原始資料!BA114),N(AY114)+1,1))</f>
        <v/>
      </c>
      <c r="BA114" s="6">
        <f>IF(OR(原始資料!$A114="",52&gt;設定!$B$3,原始資料!BC114=""),"",IF(AND(原始資料!BB114&lt;&gt;"",原始資料!BC114=原始資料!BB114),N(AZ114)+1,1))</f>
        <v/>
      </c>
      <c r="BB114" s="6">
        <f>IF(OR(原始資料!$A114="",53&gt;設定!$B$3,原始資料!BD114=""),"",IF(AND(原始資料!BC114&lt;&gt;"",原始資料!BD114=原始資料!BC114),N(BA114)+1,1))</f>
        <v/>
      </c>
      <c r="BC114" s="6">
        <f>IF(OR(原始資料!$A114="",54&gt;設定!$B$3,原始資料!BE114=""),"",IF(AND(原始資料!BD114&lt;&gt;"",原始資料!BE114=原始資料!BD114),N(BB114)+1,1))</f>
        <v/>
      </c>
      <c r="BD114" s="6">
        <f>IF(OR(原始資料!$A114="",55&gt;設定!$B$3,原始資料!BF114=""),"",IF(AND(原始資料!BE114&lt;&gt;"",原始資料!BF114=原始資料!BE114),N(BC114)+1,1))</f>
        <v/>
      </c>
      <c r="BE114" s="6">
        <f>IF(OR(原始資料!$A114="",56&gt;設定!$B$3,原始資料!BG114=""),"",IF(AND(原始資料!BF114&lt;&gt;"",原始資料!BG114=原始資料!BF114),N(BD114)+1,1))</f>
        <v/>
      </c>
      <c r="BF114" s="6">
        <f>IF(OR(原始資料!$A114="",57&gt;設定!$B$3,原始資料!BH114=""),"",IF(AND(原始資料!BG114&lt;&gt;"",原始資料!BH114=原始資料!BG114),N(BE114)+1,1))</f>
        <v/>
      </c>
      <c r="BG114" s="6">
        <f>IF(OR(原始資料!$A114="",58&gt;設定!$B$3,原始資料!BI114=""),"",IF(AND(原始資料!BH114&lt;&gt;"",原始資料!BI114=原始資料!BH114),N(BF114)+1,1))</f>
        <v/>
      </c>
      <c r="BH114" s="6">
        <f>IF(OR(原始資料!$A114="",59&gt;設定!$B$3,原始資料!BJ114=""),"",IF(AND(原始資料!BI114&lt;&gt;"",原始資料!BJ114=原始資料!BI114),N(BG114)+1,1))</f>
        <v/>
      </c>
      <c r="BI114" s="6">
        <f>IF(OR(原始資料!$A114="",60&gt;設定!$B$3,原始資料!BK114=""),"",IF(AND(原始資料!BJ114&lt;&gt;"",原始資料!BK114=原始資料!BJ114),N(BH114)+1,1))</f>
        <v/>
      </c>
    </row>
    <row r="115">
      <c r="A115" s="6">
        <f>IF(原始資料!$A115="","",原始資料!$A115)</f>
        <v/>
      </c>
      <c r="B115" s="6">
        <f>IF(OR(原始資料!$A115="",1&gt;設定!$B$3,原始資料!D115=""),"",1)</f>
        <v/>
      </c>
      <c r="C115" s="6">
        <f>IF(OR(原始資料!$A115="",2&gt;設定!$B$3,原始資料!E115=""),"",IF(AND(原始資料!D115&lt;&gt;"",原始資料!E115=原始資料!D115),N(B115)+1,1))</f>
        <v/>
      </c>
      <c r="D115" s="6">
        <f>IF(OR(原始資料!$A115="",3&gt;設定!$B$3,原始資料!F115=""),"",IF(AND(原始資料!E115&lt;&gt;"",原始資料!F115=原始資料!E115),N(C115)+1,1))</f>
        <v/>
      </c>
      <c r="E115" s="6">
        <f>IF(OR(原始資料!$A115="",4&gt;設定!$B$3,原始資料!G115=""),"",IF(AND(原始資料!F115&lt;&gt;"",原始資料!G115=原始資料!F115),N(D115)+1,1))</f>
        <v/>
      </c>
      <c r="F115" s="6">
        <f>IF(OR(原始資料!$A115="",5&gt;設定!$B$3,原始資料!H115=""),"",IF(AND(原始資料!G115&lt;&gt;"",原始資料!H115=原始資料!G115),N(E115)+1,1))</f>
        <v/>
      </c>
      <c r="G115" s="6">
        <f>IF(OR(原始資料!$A115="",6&gt;設定!$B$3,原始資料!I115=""),"",IF(AND(原始資料!H115&lt;&gt;"",原始資料!I115=原始資料!H115),N(F115)+1,1))</f>
        <v/>
      </c>
      <c r="H115" s="6">
        <f>IF(OR(原始資料!$A115="",7&gt;設定!$B$3,原始資料!J115=""),"",IF(AND(原始資料!I115&lt;&gt;"",原始資料!J115=原始資料!I115),N(G115)+1,1))</f>
        <v/>
      </c>
      <c r="I115" s="6">
        <f>IF(OR(原始資料!$A115="",8&gt;設定!$B$3,原始資料!K115=""),"",IF(AND(原始資料!J115&lt;&gt;"",原始資料!K115=原始資料!J115),N(H115)+1,1))</f>
        <v/>
      </c>
      <c r="J115" s="6">
        <f>IF(OR(原始資料!$A115="",9&gt;設定!$B$3,原始資料!L115=""),"",IF(AND(原始資料!K115&lt;&gt;"",原始資料!L115=原始資料!K115),N(I115)+1,1))</f>
        <v/>
      </c>
      <c r="K115" s="6">
        <f>IF(OR(原始資料!$A115="",10&gt;設定!$B$3,原始資料!M115=""),"",IF(AND(原始資料!L115&lt;&gt;"",原始資料!M115=原始資料!L115),N(J115)+1,1))</f>
        <v/>
      </c>
      <c r="L115" s="6">
        <f>IF(OR(原始資料!$A115="",11&gt;設定!$B$3,原始資料!N115=""),"",IF(AND(原始資料!M115&lt;&gt;"",原始資料!N115=原始資料!M115),N(K115)+1,1))</f>
        <v/>
      </c>
      <c r="M115" s="6">
        <f>IF(OR(原始資料!$A115="",12&gt;設定!$B$3,原始資料!O115=""),"",IF(AND(原始資料!N115&lt;&gt;"",原始資料!O115=原始資料!N115),N(L115)+1,1))</f>
        <v/>
      </c>
      <c r="N115" s="6">
        <f>IF(OR(原始資料!$A115="",13&gt;設定!$B$3,原始資料!P115=""),"",IF(AND(原始資料!O115&lt;&gt;"",原始資料!P115=原始資料!O115),N(M115)+1,1))</f>
        <v/>
      </c>
      <c r="O115" s="6">
        <f>IF(OR(原始資料!$A115="",14&gt;設定!$B$3,原始資料!Q115=""),"",IF(AND(原始資料!P115&lt;&gt;"",原始資料!Q115=原始資料!P115),N(N115)+1,1))</f>
        <v/>
      </c>
      <c r="P115" s="6">
        <f>IF(OR(原始資料!$A115="",15&gt;設定!$B$3,原始資料!R115=""),"",IF(AND(原始資料!Q115&lt;&gt;"",原始資料!R115=原始資料!Q115),N(O115)+1,1))</f>
        <v/>
      </c>
      <c r="Q115" s="6">
        <f>IF(OR(原始資料!$A115="",16&gt;設定!$B$3,原始資料!S115=""),"",IF(AND(原始資料!R115&lt;&gt;"",原始資料!S115=原始資料!R115),N(P115)+1,1))</f>
        <v/>
      </c>
      <c r="R115" s="6">
        <f>IF(OR(原始資料!$A115="",17&gt;設定!$B$3,原始資料!T115=""),"",IF(AND(原始資料!S115&lt;&gt;"",原始資料!T115=原始資料!S115),N(Q115)+1,1))</f>
        <v/>
      </c>
      <c r="S115" s="6">
        <f>IF(OR(原始資料!$A115="",18&gt;設定!$B$3,原始資料!U115=""),"",IF(AND(原始資料!T115&lt;&gt;"",原始資料!U115=原始資料!T115),N(R115)+1,1))</f>
        <v/>
      </c>
      <c r="T115" s="6">
        <f>IF(OR(原始資料!$A115="",19&gt;設定!$B$3,原始資料!V115=""),"",IF(AND(原始資料!U115&lt;&gt;"",原始資料!V115=原始資料!U115),N(S115)+1,1))</f>
        <v/>
      </c>
      <c r="U115" s="6">
        <f>IF(OR(原始資料!$A115="",20&gt;設定!$B$3,原始資料!W115=""),"",IF(AND(原始資料!V115&lt;&gt;"",原始資料!W115=原始資料!V115),N(T115)+1,1))</f>
        <v/>
      </c>
      <c r="V115" s="6">
        <f>IF(OR(原始資料!$A115="",21&gt;設定!$B$3,原始資料!X115=""),"",IF(AND(原始資料!W115&lt;&gt;"",原始資料!X115=原始資料!W115),N(U115)+1,1))</f>
        <v/>
      </c>
      <c r="W115" s="6">
        <f>IF(OR(原始資料!$A115="",22&gt;設定!$B$3,原始資料!Y115=""),"",IF(AND(原始資料!X115&lt;&gt;"",原始資料!Y115=原始資料!X115),N(V115)+1,1))</f>
        <v/>
      </c>
      <c r="X115" s="6">
        <f>IF(OR(原始資料!$A115="",23&gt;設定!$B$3,原始資料!Z115=""),"",IF(AND(原始資料!Y115&lt;&gt;"",原始資料!Z115=原始資料!Y115),N(W115)+1,1))</f>
        <v/>
      </c>
      <c r="Y115" s="6">
        <f>IF(OR(原始資料!$A115="",24&gt;設定!$B$3,原始資料!AA115=""),"",IF(AND(原始資料!Z115&lt;&gt;"",原始資料!AA115=原始資料!Z115),N(X115)+1,1))</f>
        <v/>
      </c>
      <c r="Z115" s="6">
        <f>IF(OR(原始資料!$A115="",25&gt;設定!$B$3,原始資料!AB115=""),"",IF(AND(原始資料!AA115&lt;&gt;"",原始資料!AB115=原始資料!AA115),N(Y115)+1,1))</f>
        <v/>
      </c>
      <c r="AA115" s="6">
        <f>IF(OR(原始資料!$A115="",26&gt;設定!$B$3,原始資料!AC115=""),"",IF(AND(原始資料!AB115&lt;&gt;"",原始資料!AC115=原始資料!AB115),N(Z115)+1,1))</f>
        <v/>
      </c>
      <c r="AB115" s="6">
        <f>IF(OR(原始資料!$A115="",27&gt;設定!$B$3,原始資料!AD115=""),"",IF(AND(原始資料!AC115&lt;&gt;"",原始資料!AD115=原始資料!AC115),N(AA115)+1,1))</f>
        <v/>
      </c>
      <c r="AC115" s="6">
        <f>IF(OR(原始資料!$A115="",28&gt;設定!$B$3,原始資料!AE115=""),"",IF(AND(原始資料!AD115&lt;&gt;"",原始資料!AE115=原始資料!AD115),N(AB115)+1,1))</f>
        <v/>
      </c>
      <c r="AD115" s="6">
        <f>IF(OR(原始資料!$A115="",29&gt;設定!$B$3,原始資料!AF115=""),"",IF(AND(原始資料!AE115&lt;&gt;"",原始資料!AF115=原始資料!AE115),N(AC115)+1,1))</f>
        <v/>
      </c>
      <c r="AE115" s="6">
        <f>IF(OR(原始資料!$A115="",30&gt;設定!$B$3,原始資料!AG115=""),"",IF(AND(原始資料!AF115&lt;&gt;"",原始資料!AG115=原始資料!AF115),N(AD115)+1,1))</f>
        <v/>
      </c>
      <c r="AF115" s="6">
        <f>IF(OR(原始資料!$A115="",31&gt;設定!$B$3,原始資料!AH115=""),"",IF(AND(原始資料!AG115&lt;&gt;"",原始資料!AH115=原始資料!AG115),N(AE115)+1,1))</f>
        <v/>
      </c>
      <c r="AG115" s="6">
        <f>IF(OR(原始資料!$A115="",32&gt;設定!$B$3,原始資料!AI115=""),"",IF(AND(原始資料!AH115&lt;&gt;"",原始資料!AI115=原始資料!AH115),N(AF115)+1,1))</f>
        <v/>
      </c>
      <c r="AH115" s="6">
        <f>IF(OR(原始資料!$A115="",33&gt;設定!$B$3,原始資料!AJ115=""),"",IF(AND(原始資料!AI115&lt;&gt;"",原始資料!AJ115=原始資料!AI115),N(AG115)+1,1))</f>
        <v/>
      </c>
      <c r="AI115" s="6">
        <f>IF(OR(原始資料!$A115="",34&gt;設定!$B$3,原始資料!AK115=""),"",IF(AND(原始資料!AJ115&lt;&gt;"",原始資料!AK115=原始資料!AJ115),N(AH115)+1,1))</f>
        <v/>
      </c>
      <c r="AJ115" s="6">
        <f>IF(OR(原始資料!$A115="",35&gt;設定!$B$3,原始資料!AL115=""),"",IF(AND(原始資料!AK115&lt;&gt;"",原始資料!AL115=原始資料!AK115),N(AI115)+1,1))</f>
        <v/>
      </c>
      <c r="AK115" s="6">
        <f>IF(OR(原始資料!$A115="",36&gt;設定!$B$3,原始資料!AM115=""),"",IF(AND(原始資料!AL115&lt;&gt;"",原始資料!AM115=原始資料!AL115),N(AJ115)+1,1))</f>
        <v/>
      </c>
      <c r="AL115" s="6">
        <f>IF(OR(原始資料!$A115="",37&gt;設定!$B$3,原始資料!AN115=""),"",IF(AND(原始資料!AM115&lt;&gt;"",原始資料!AN115=原始資料!AM115),N(AK115)+1,1))</f>
        <v/>
      </c>
      <c r="AM115" s="6">
        <f>IF(OR(原始資料!$A115="",38&gt;設定!$B$3,原始資料!AO115=""),"",IF(AND(原始資料!AN115&lt;&gt;"",原始資料!AO115=原始資料!AN115),N(AL115)+1,1))</f>
        <v/>
      </c>
      <c r="AN115" s="6">
        <f>IF(OR(原始資料!$A115="",39&gt;設定!$B$3,原始資料!AP115=""),"",IF(AND(原始資料!AO115&lt;&gt;"",原始資料!AP115=原始資料!AO115),N(AM115)+1,1))</f>
        <v/>
      </c>
      <c r="AO115" s="6">
        <f>IF(OR(原始資料!$A115="",40&gt;設定!$B$3,原始資料!AQ115=""),"",IF(AND(原始資料!AP115&lt;&gt;"",原始資料!AQ115=原始資料!AP115),N(AN115)+1,1))</f>
        <v/>
      </c>
      <c r="AP115" s="6">
        <f>IF(OR(原始資料!$A115="",41&gt;設定!$B$3,原始資料!AR115=""),"",IF(AND(原始資料!AQ115&lt;&gt;"",原始資料!AR115=原始資料!AQ115),N(AO115)+1,1))</f>
        <v/>
      </c>
      <c r="AQ115" s="6">
        <f>IF(OR(原始資料!$A115="",42&gt;設定!$B$3,原始資料!AS115=""),"",IF(AND(原始資料!AR115&lt;&gt;"",原始資料!AS115=原始資料!AR115),N(AP115)+1,1))</f>
        <v/>
      </c>
      <c r="AR115" s="6">
        <f>IF(OR(原始資料!$A115="",43&gt;設定!$B$3,原始資料!AT115=""),"",IF(AND(原始資料!AS115&lt;&gt;"",原始資料!AT115=原始資料!AS115),N(AQ115)+1,1))</f>
        <v/>
      </c>
      <c r="AS115" s="6">
        <f>IF(OR(原始資料!$A115="",44&gt;設定!$B$3,原始資料!AU115=""),"",IF(AND(原始資料!AT115&lt;&gt;"",原始資料!AU115=原始資料!AT115),N(AR115)+1,1))</f>
        <v/>
      </c>
      <c r="AT115" s="6">
        <f>IF(OR(原始資料!$A115="",45&gt;設定!$B$3,原始資料!AV115=""),"",IF(AND(原始資料!AU115&lt;&gt;"",原始資料!AV115=原始資料!AU115),N(AS115)+1,1))</f>
        <v/>
      </c>
      <c r="AU115" s="6">
        <f>IF(OR(原始資料!$A115="",46&gt;設定!$B$3,原始資料!AW115=""),"",IF(AND(原始資料!AV115&lt;&gt;"",原始資料!AW115=原始資料!AV115),N(AT115)+1,1))</f>
        <v/>
      </c>
      <c r="AV115" s="6">
        <f>IF(OR(原始資料!$A115="",47&gt;設定!$B$3,原始資料!AX115=""),"",IF(AND(原始資料!AW115&lt;&gt;"",原始資料!AX115=原始資料!AW115),N(AU115)+1,1))</f>
        <v/>
      </c>
      <c r="AW115" s="6">
        <f>IF(OR(原始資料!$A115="",48&gt;設定!$B$3,原始資料!AY115=""),"",IF(AND(原始資料!AX115&lt;&gt;"",原始資料!AY115=原始資料!AX115),N(AV115)+1,1))</f>
        <v/>
      </c>
      <c r="AX115" s="6">
        <f>IF(OR(原始資料!$A115="",49&gt;設定!$B$3,原始資料!AZ115=""),"",IF(AND(原始資料!AY115&lt;&gt;"",原始資料!AZ115=原始資料!AY115),N(AW115)+1,1))</f>
        <v/>
      </c>
      <c r="AY115" s="6">
        <f>IF(OR(原始資料!$A115="",50&gt;設定!$B$3,原始資料!BA115=""),"",IF(AND(原始資料!AZ115&lt;&gt;"",原始資料!BA115=原始資料!AZ115),N(AX115)+1,1))</f>
        <v/>
      </c>
      <c r="AZ115" s="6">
        <f>IF(OR(原始資料!$A115="",51&gt;設定!$B$3,原始資料!BB115=""),"",IF(AND(原始資料!BA115&lt;&gt;"",原始資料!BB115=原始資料!BA115),N(AY115)+1,1))</f>
        <v/>
      </c>
      <c r="BA115" s="6">
        <f>IF(OR(原始資料!$A115="",52&gt;設定!$B$3,原始資料!BC115=""),"",IF(AND(原始資料!BB115&lt;&gt;"",原始資料!BC115=原始資料!BB115),N(AZ115)+1,1))</f>
        <v/>
      </c>
      <c r="BB115" s="6">
        <f>IF(OR(原始資料!$A115="",53&gt;設定!$B$3,原始資料!BD115=""),"",IF(AND(原始資料!BC115&lt;&gt;"",原始資料!BD115=原始資料!BC115),N(BA115)+1,1))</f>
        <v/>
      </c>
      <c r="BC115" s="6">
        <f>IF(OR(原始資料!$A115="",54&gt;設定!$B$3,原始資料!BE115=""),"",IF(AND(原始資料!BD115&lt;&gt;"",原始資料!BE115=原始資料!BD115),N(BB115)+1,1))</f>
        <v/>
      </c>
      <c r="BD115" s="6">
        <f>IF(OR(原始資料!$A115="",55&gt;設定!$B$3,原始資料!BF115=""),"",IF(AND(原始資料!BE115&lt;&gt;"",原始資料!BF115=原始資料!BE115),N(BC115)+1,1))</f>
        <v/>
      </c>
      <c r="BE115" s="6">
        <f>IF(OR(原始資料!$A115="",56&gt;設定!$B$3,原始資料!BG115=""),"",IF(AND(原始資料!BF115&lt;&gt;"",原始資料!BG115=原始資料!BF115),N(BD115)+1,1))</f>
        <v/>
      </c>
      <c r="BF115" s="6">
        <f>IF(OR(原始資料!$A115="",57&gt;設定!$B$3,原始資料!BH115=""),"",IF(AND(原始資料!BG115&lt;&gt;"",原始資料!BH115=原始資料!BG115),N(BE115)+1,1))</f>
        <v/>
      </c>
      <c r="BG115" s="6">
        <f>IF(OR(原始資料!$A115="",58&gt;設定!$B$3,原始資料!BI115=""),"",IF(AND(原始資料!BH115&lt;&gt;"",原始資料!BI115=原始資料!BH115),N(BF115)+1,1))</f>
        <v/>
      </c>
      <c r="BH115" s="6">
        <f>IF(OR(原始資料!$A115="",59&gt;設定!$B$3,原始資料!BJ115=""),"",IF(AND(原始資料!BI115&lt;&gt;"",原始資料!BJ115=原始資料!BI115),N(BG115)+1,1))</f>
        <v/>
      </c>
      <c r="BI115" s="6">
        <f>IF(OR(原始資料!$A115="",60&gt;設定!$B$3,原始資料!BK115=""),"",IF(AND(原始資料!BJ115&lt;&gt;"",原始資料!BK115=原始資料!BJ115),N(BH115)+1,1))</f>
        <v/>
      </c>
    </row>
    <row r="116">
      <c r="A116" s="6">
        <f>IF(原始資料!$A116="","",原始資料!$A116)</f>
        <v/>
      </c>
      <c r="B116" s="6">
        <f>IF(OR(原始資料!$A116="",1&gt;設定!$B$3,原始資料!D116=""),"",1)</f>
        <v/>
      </c>
      <c r="C116" s="6">
        <f>IF(OR(原始資料!$A116="",2&gt;設定!$B$3,原始資料!E116=""),"",IF(AND(原始資料!D116&lt;&gt;"",原始資料!E116=原始資料!D116),N(B116)+1,1))</f>
        <v/>
      </c>
      <c r="D116" s="6">
        <f>IF(OR(原始資料!$A116="",3&gt;設定!$B$3,原始資料!F116=""),"",IF(AND(原始資料!E116&lt;&gt;"",原始資料!F116=原始資料!E116),N(C116)+1,1))</f>
        <v/>
      </c>
      <c r="E116" s="6">
        <f>IF(OR(原始資料!$A116="",4&gt;設定!$B$3,原始資料!G116=""),"",IF(AND(原始資料!F116&lt;&gt;"",原始資料!G116=原始資料!F116),N(D116)+1,1))</f>
        <v/>
      </c>
      <c r="F116" s="6">
        <f>IF(OR(原始資料!$A116="",5&gt;設定!$B$3,原始資料!H116=""),"",IF(AND(原始資料!G116&lt;&gt;"",原始資料!H116=原始資料!G116),N(E116)+1,1))</f>
        <v/>
      </c>
      <c r="G116" s="6">
        <f>IF(OR(原始資料!$A116="",6&gt;設定!$B$3,原始資料!I116=""),"",IF(AND(原始資料!H116&lt;&gt;"",原始資料!I116=原始資料!H116),N(F116)+1,1))</f>
        <v/>
      </c>
      <c r="H116" s="6">
        <f>IF(OR(原始資料!$A116="",7&gt;設定!$B$3,原始資料!J116=""),"",IF(AND(原始資料!I116&lt;&gt;"",原始資料!J116=原始資料!I116),N(G116)+1,1))</f>
        <v/>
      </c>
      <c r="I116" s="6">
        <f>IF(OR(原始資料!$A116="",8&gt;設定!$B$3,原始資料!K116=""),"",IF(AND(原始資料!J116&lt;&gt;"",原始資料!K116=原始資料!J116),N(H116)+1,1))</f>
        <v/>
      </c>
      <c r="J116" s="6">
        <f>IF(OR(原始資料!$A116="",9&gt;設定!$B$3,原始資料!L116=""),"",IF(AND(原始資料!K116&lt;&gt;"",原始資料!L116=原始資料!K116),N(I116)+1,1))</f>
        <v/>
      </c>
      <c r="K116" s="6">
        <f>IF(OR(原始資料!$A116="",10&gt;設定!$B$3,原始資料!M116=""),"",IF(AND(原始資料!L116&lt;&gt;"",原始資料!M116=原始資料!L116),N(J116)+1,1))</f>
        <v/>
      </c>
      <c r="L116" s="6">
        <f>IF(OR(原始資料!$A116="",11&gt;設定!$B$3,原始資料!N116=""),"",IF(AND(原始資料!M116&lt;&gt;"",原始資料!N116=原始資料!M116),N(K116)+1,1))</f>
        <v/>
      </c>
      <c r="M116" s="6">
        <f>IF(OR(原始資料!$A116="",12&gt;設定!$B$3,原始資料!O116=""),"",IF(AND(原始資料!N116&lt;&gt;"",原始資料!O116=原始資料!N116),N(L116)+1,1))</f>
        <v/>
      </c>
      <c r="N116" s="6">
        <f>IF(OR(原始資料!$A116="",13&gt;設定!$B$3,原始資料!P116=""),"",IF(AND(原始資料!O116&lt;&gt;"",原始資料!P116=原始資料!O116),N(M116)+1,1))</f>
        <v/>
      </c>
      <c r="O116" s="6">
        <f>IF(OR(原始資料!$A116="",14&gt;設定!$B$3,原始資料!Q116=""),"",IF(AND(原始資料!P116&lt;&gt;"",原始資料!Q116=原始資料!P116),N(N116)+1,1))</f>
        <v/>
      </c>
      <c r="P116" s="6">
        <f>IF(OR(原始資料!$A116="",15&gt;設定!$B$3,原始資料!R116=""),"",IF(AND(原始資料!Q116&lt;&gt;"",原始資料!R116=原始資料!Q116),N(O116)+1,1))</f>
        <v/>
      </c>
      <c r="Q116" s="6">
        <f>IF(OR(原始資料!$A116="",16&gt;設定!$B$3,原始資料!S116=""),"",IF(AND(原始資料!R116&lt;&gt;"",原始資料!S116=原始資料!R116),N(P116)+1,1))</f>
        <v/>
      </c>
      <c r="R116" s="6">
        <f>IF(OR(原始資料!$A116="",17&gt;設定!$B$3,原始資料!T116=""),"",IF(AND(原始資料!S116&lt;&gt;"",原始資料!T116=原始資料!S116),N(Q116)+1,1))</f>
        <v/>
      </c>
      <c r="S116" s="6">
        <f>IF(OR(原始資料!$A116="",18&gt;設定!$B$3,原始資料!U116=""),"",IF(AND(原始資料!T116&lt;&gt;"",原始資料!U116=原始資料!T116),N(R116)+1,1))</f>
        <v/>
      </c>
      <c r="T116" s="6">
        <f>IF(OR(原始資料!$A116="",19&gt;設定!$B$3,原始資料!V116=""),"",IF(AND(原始資料!U116&lt;&gt;"",原始資料!V116=原始資料!U116),N(S116)+1,1))</f>
        <v/>
      </c>
      <c r="U116" s="6">
        <f>IF(OR(原始資料!$A116="",20&gt;設定!$B$3,原始資料!W116=""),"",IF(AND(原始資料!V116&lt;&gt;"",原始資料!W116=原始資料!V116),N(T116)+1,1))</f>
        <v/>
      </c>
      <c r="V116" s="6">
        <f>IF(OR(原始資料!$A116="",21&gt;設定!$B$3,原始資料!X116=""),"",IF(AND(原始資料!W116&lt;&gt;"",原始資料!X116=原始資料!W116),N(U116)+1,1))</f>
        <v/>
      </c>
      <c r="W116" s="6">
        <f>IF(OR(原始資料!$A116="",22&gt;設定!$B$3,原始資料!Y116=""),"",IF(AND(原始資料!X116&lt;&gt;"",原始資料!Y116=原始資料!X116),N(V116)+1,1))</f>
        <v/>
      </c>
      <c r="X116" s="6">
        <f>IF(OR(原始資料!$A116="",23&gt;設定!$B$3,原始資料!Z116=""),"",IF(AND(原始資料!Y116&lt;&gt;"",原始資料!Z116=原始資料!Y116),N(W116)+1,1))</f>
        <v/>
      </c>
      <c r="Y116" s="6">
        <f>IF(OR(原始資料!$A116="",24&gt;設定!$B$3,原始資料!AA116=""),"",IF(AND(原始資料!Z116&lt;&gt;"",原始資料!AA116=原始資料!Z116),N(X116)+1,1))</f>
        <v/>
      </c>
      <c r="Z116" s="6">
        <f>IF(OR(原始資料!$A116="",25&gt;設定!$B$3,原始資料!AB116=""),"",IF(AND(原始資料!AA116&lt;&gt;"",原始資料!AB116=原始資料!AA116),N(Y116)+1,1))</f>
        <v/>
      </c>
      <c r="AA116" s="6">
        <f>IF(OR(原始資料!$A116="",26&gt;設定!$B$3,原始資料!AC116=""),"",IF(AND(原始資料!AB116&lt;&gt;"",原始資料!AC116=原始資料!AB116),N(Z116)+1,1))</f>
        <v/>
      </c>
      <c r="AB116" s="6">
        <f>IF(OR(原始資料!$A116="",27&gt;設定!$B$3,原始資料!AD116=""),"",IF(AND(原始資料!AC116&lt;&gt;"",原始資料!AD116=原始資料!AC116),N(AA116)+1,1))</f>
        <v/>
      </c>
      <c r="AC116" s="6">
        <f>IF(OR(原始資料!$A116="",28&gt;設定!$B$3,原始資料!AE116=""),"",IF(AND(原始資料!AD116&lt;&gt;"",原始資料!AE116=原始資料!AD116),N(AB116)+1,1))</f>
        <v/>
      </c>
      <c r="AD116" s="6">
        <f>IF(OR(原始資料!$A116="",29&gt;設定!$B$3,原始資料!AF116=""),"",IF(AND(原始資料!AE116&lt;&gt;"",原始資料!AF116=原始資料!AE116),N(AC116)+1,1))</f>
        <v/>
      </c>
      <c r="AE116" s="6">
        <f>IF(OR(原始資料!$A116="",30&gt;設定!$B$3,原始資料!AG116=""),"",IF(AND(原始資料!AF116&lt;&gt;"",原始資料!AG116=原始資料!AF116),N(AD116)+1,1))</f>
        <v/>
      </c>
      <c r="AF116" s="6">
        <f>IF(OR(原始資料!$A116="",31&gt;設定!$B$3,原始資料!AH116=""),"",IF(AND(原始資料!AG116&lt;&gt;"",原始資料!AH116=原始資料!AG116),N(AE116)+1,1))</f>
        <v/>
      </c>
      <c r="AG116" s="6">
        <f>IF(OR(原始資料!$A116="",32&gt;設定!$B$3,原始資料!AI116=""),"",IF(AND(原始資料!AH116&lt;&gt;"",原始資料!AI116=原始資料!AH116),N(AF116)+1,1))</f>
        <v/>
      </c>
      <c r="AH116" s="6">
        <f>IF(OR(原始資料!$A116="",33&gt;設定!$B$3,原始資料!AJ116=""),"",IF(AND(原始資料!AI116&lt;&gt;"",原始資料!AJ116=原始資料!AI116),N(AG116)+1,1))</f>
        <v/>
      </c>
      <c r="AI116" s="6">
        <f>IF(OR(原始資料!$A116="",34&gt;設定!$B$3,原始資料!AK116=""),"",IF(AND(原始資料!AJ116&lt;&gt;"",原始資料!AK116=原始資料!AJ116),N(AH116)+1,1))</f>
        <v/>
      </c>
      <c r="AJ116" s="6">
        <f>IF(OR(原始資料!$A116="",35&gt;設定!$B$3,原始資料!AL116=""),"",IF(AND(原始資料!AK116&lt;&gt;"",原始資料!AL116=原始資料!AK116),N(AI116)+1,1))</f>
        <v/>
      </c>
      <c r="AK116" s="6">
        <f>IF(OR(原始資料!$A116="",36&gt;設定!$B$3,原始資料!AM116=""),"",IF(AND(原始資料!AL116&lt;&gt;"",原始資料!AM116=原始資料!AL116),N(AJ116)+1,1))</f>
        <v/>
      </c>
      <c r="AL116" s="6">
        <f>IF(OR(原始資料!$A116="",37&gt;設定!$B$3,原始資料!AN116=""),"",IF(AND(原始資料!AM116&lt;&gt;"",原始資料!AN116=原始資料!AM116),N(AK116)+1,1))</f>
        <v/>
      </c>
      <c r="AM116" s="6">
        <f>IF(OR(原始資料!$A116="",38&gt;設定!$B$3,原始資料!AO116=""),"",IF(AND(原始資料!AN116&lt;&gt;"",原始資料!AO116=原始資料!AN116),N(AL116)+1,1))</f>
        <v/>
      </c>
      <c r="AN116" s="6">
        <f>IF(OR(原始資料!$A116="",39&gt;設定!$B$3,原始資料!AP116=""),"",IF(AND(原始資料!AO116&lt;&gt;"",原始資料!AP116=原始資料!AO116),N(AM116)+1,1))</f>
        <v/>
      </c>
      <c r="AO116" s="6">
        <f>IF(OR(原始資料!$A116="",40&gt;設定!$B$3,原始資料!AQ116=""),"",IF(AND(原始資料!AP116&lt;&gt;"",原始資料!AQ116=原始資料!AP116),N(AN116)+1,1))</f>
        <v/>
      </c>
      <c r="AP116" s="6">
        <f>IF(OR(原始資料!$A116="",41&gt;設定!$B$3,原始資料!AR116=""),"",IF(AND(原始資料!AQ116&lt;&gt;"",原始資料!AR116=原始資料!AQ116),N(AO116)+1,1))</f>
        <v/>
      </c>
      <c r="AQ116" s="6">
        <f>IF(OR(原始資料!$A116="",42&gt;設定!$B$3,原始資料!AS116=""),"",IF(AND(原始資料!AR116&lt;&gt;"",原始資料!AS116=原始資料!AR116),N(AP116)+1,1))</f>
        <v/>
      </c>
      <c r="AR116" s="6">
        <f>IF(OR(原始資料!$A116="",43&gt;設定!$B$3,原始資料!AT116=""),"",IF(AND(原始資料!AS116&lt;&gt;"",原始資料!AT116=原始資料!AS116),N(AQ116)+1,1))</f>
        <v/>
      </c>
      <c r="AS116" s="6">
        <f>IF(OR(原始資料!$A116="",44&gt;設定!$B$3,原始資料!AU116=""),"",IF(AND(原始資料!AT116&lt;&gt;"",原始資料!AU116=原始資料!AT116),N(AR116)+1,1))</f>
        <v/>
      </c>
      <c r="AT116" s="6">
        <f>IF(OR(原始資料!$A116="",45&gt;設定!$B$3,原始資料!AV116=""),"",IF(AND(原始資料!AU116&lt;&gt;"",原始資料!AV116=原始資料!AU116),N(AS116)+1,1))</f>
        <v/>
      </c>
      <c r="AU116" s="6">
        <f>IF(OR(原始資料!$A116="",46&gt;設定!$B$3,原始資料!AW116=""),"",IF(AND(原始資料!AV116&lt;&gt;"",原始資料!AW116=原始資料!AV116),N(AT116)+1,1))</f>
        <v/>
      </c>
      <c r="AV116" s="6">
        <f>IF(OR(原始資料!$A116="",47&gt;設定!$B$3,原始資料!AX116=""),"",IF(AND(原始資料!AW116&lt;&gt;"",原始資料!AX116=原始資料!AW116),N(AU116)+1,1))</f>
        <v/>
      </c>
      <c r="AW116" s="6">
        <f>IF(OR(原始資料!$A116="",48&gt;設定!$B$3,原始資料!AY116=""),"",IF(AND(原始資料!AX116&lt;&gt;"",原始資料!AY116=原始資料!AX116),N(AV116)+1,1))</f>
        <v/>
      </c>
      <c r="AX116" s="6">
        <f>IF(OR(原始資料!$A116="",49&gt;設定!$B$3,原始資料!AZ116=""),"",IF(AND(原始資料!AY116&lt;&gt;"",原始資料!AZ116=原始資料!AY116),N(AW116)+1,1))</f>
        <v/>
      </c>
      <c r="AY116" s="6">
        <f>IF(OR(原始資料!$A116="",50&gt;設定!$B$3,原始資料!BA116=""),"",IF(AND(原始資料!AZ116&lt;&gt;"",原始資料!BA116=原始資料!AZ116),N(AX116)+1,1))</f>
        <v/>
      </c>
      <c r="AZ116" s="6">
        <f>IF(OR(原始資料!$A116="",51&gt;設定!$B$3,原始資料!BB116=""),"",IF(AND(原始資料!BA116&lt;&gt;"",原始資料!BB116=原始資料!BA116),N(AY116)+1,1))</f>
        <v/>
      </c>
      <c r="BA116" s="6">
        <f>IF(OR(原始資料!$A116="",52&gt;設定!$B$3,原始資料!BC116=""),"",IF(AND(原始資料!BB116&lt;&gt;"",原始資料!BC116=原始資料!BB116),N(AZ116)+1,1))</f>
        <v/>
      </c>
      <c r="BB116" s="6">
        <f>IF(OR(原始資料!$A116="",53&gt;設定!$B$3,原始資料!BD116=""),"",IF(AND(原始資料!BC116&lt;&gt;"",原始資料!BD116=原始資料!BC116),N(BA116)+1,1))</f>
        <v/>
      </c>
      <c r="BC116" s="6">
        <f>IF(OR(原始資料!$A116="",54&gt;設定!$B$3,原始資料!BE116=""),"",IF(AND(原始資料!BD116&lt;&gt;"",原始資料!BE116=原始資料!BD116),N(BB116)+1,1))</f>
        <v/>
      </c>
      <c r="BD116" s="6">
        <f>IF(OR(原始資料!$A116="",55&gt;設定!$B$3,原始資料!BF116=""),"",IF(AND(原始資料!BE116&lt;&gt;"",原始資料!BF116=原始資料!BE116),N(BC116)+1,1))</f>
        <v/>
      </c>
      <c r="BE116" s="6">
        <f>IF(OR(原始資料!$A116="",56&gt;設定!$B$3,原始資料!BG116=""),"",IF(AND(原始資料!BF116&lt;&gt;"",原始資料!BG116=原始資料!BF116),N(BD116)+1,1))</f>
        <v/>
      </c>
      <c r="BF116" s="6">
        <f>IF(OR(原始資料!$A116="",57&gt;設定!$B$3,原始資料!BH116=""),"",IF(AND(原始資料!BG116&lt;&gt;"",原始資料!BH116=原始資料!BG116),N(BE116)+1,1))</f>
        <v/>
      </c>
      <c r="BG116" s="6">
        <f>IF(OR(原始資料!$A116="",58&gt;設定!$B$3,原始資料!BI116=""),"",IF(AND(原始資料!BH116&lt;&gt;"",原始資料!BI116=原始資料!BH116),N(BF116)+1,1))</f>
        <v/>
      </c>
      <c r="BH116" s="6">
        <f>IF(OR(原始資料!$A116="",59&gt;設定!$B$3,原始資料!BJ116=""),"",IF(AND(原始資料!BI116&lt;&gt;"",原始資料!BJ116=原始資料!BI116),N(BG116)+1,1))</f>
        <v/>
      </c>
      <c r="BI116" s="6">
        <f>IF(OR(原始資料!$A116="",60&gt;設定!$B$3,原始資料!BK116=""),"",IF(AND(原始資料!BJ116&lt;&gt;"",原始資料!BK116=原始資料!BJ116),N(BH116)+1,1))</f>
        <v/>
      </c>
    </row>
    <row r="117">
      <c r="A117" s="6">
        <f>IF(原始資料!$A117="","",原始資料!$A117)</f>
        <v/>
      </c>
      <c r="B117" s="6">
        <f>IF(OR(原始資料!$A117="",1&gt;設定!$B$3,原始資料!D117=""),"",1)</f>
        <v/>
      </c>
      <c r="C117" s="6">
        <f>IF(OR(原始資料!$A117="",2&gt;設定!$B$3,原始資料!E117=""),"",IF(AND(原始資料!D117&lt;&gt;"",原始資料!E117=原始資料!D117),N(B117)+1,1))</f>
        <v/>
      </c>
      <c r="D117" s="6">
        <f>IF(OR(原始資料!$A117="",3&gt;設定!$B$3,原始資料!F117=""),"",IF(AND(原始資料!E117&lt;&gt;"",原始資料!F117=原始資料!E117),N(C117)+1,1))</f>
        <v/>
      </c>
      <c r="E117" s="6">
        <f>IF(OR(原始資料!$A117="",4&gt;設定!$B$3,原始資料!G117=""),"",IF(AND(原始資料!F117&lt;&gt;"",原始資料!G117=原始資料!F117),N(D117)+1,1))</f>
        <v/>
      </c>
      <c r="F117" s="6">
        <f>IF(OR(原始資料!$A117="",5&gt;設定!$B$3,原始資料!H117=""),"",IF(AND(原始資料!G117&lt;&gt;"",原始資料!H117=原始資料!G117),N(E117)+1,1))</f>
        <v/>
      </c>
      <c r="G117" s="6">
        <f>IF(OR(原始資料!$A117="",6&gt;設定!$B$3,原始資料!I117=""),"",IF(AND(原始資料!H117&lt;&gt;"",原始資料!I117=原始資料!H117),N(F117)+1,1))</f>
        <v/>
      </c>
      <c r="H117" s="6">
        <f>IF(OR(原始資料!$A117="",7&gt;設定!$B$3,原始資料!J117=""),"",IF(AND(原始資料!I117&lt;&gt;"",原始資料!J117=原始資料!I117),N(G117)+1,1))</f>
        <v/>
      </c>
      <c r="I117" s="6">
        <f>IF(OR(原始資料!$A117="",8&gt;設定!$B$3,原始資料!K117=""),"",IF(AND(原始資料!J117&lt;&gt;"",原始資料!K117=原始資料!J117),N(H117)+1,1))</f>
        <v/>
      </c>
      <c r="J117" s="6">
        <f>IF(OR(原始資料!$A117="",9&gt;設定!$B$3,原始資料!L117=""),"",IF(AND(原始資料!K117&lt;&gt;"",原始資料!L117=原始資料!K117),N(I117)+1,1))</f>
        <v/>
      </c>
      <c r="K117" s="6">
        <f>IF(OR(原始資料!$A117="",10&gt;設定!$B$3,原始資料!M117=""),"",IF(AND(原始資料!L117&lt;&gt;"",原始資料!M117=原始資料!L117),N(J117)+1,1))</f>
        <v/>
      </c>
      <c r="L117" s="6">
        <f>IF(OR(原始資料!$A117="",11&gt;設定!$B$3,原始資料!N117=""),"",IF(AND(原始資料!M117&lt;&gt;"",原始資料!N117=原始資料!M117),N(K117)+1,1))</f>
        <v/>
      </c>
      <c r="M117" s="6">
        <f>IF(OR(原始資料!$A117="",12&gt;設定!$B$3,原始資料!O117=""),"",IF(AND(原始資料!N117&lt;&gt;"",原始資料!O117=原始資料!N117),N(L117)+1,1))</f>
        <v/>
      </c>
      <c r="N117" s="6">
        <f>IF(OR(原始資料!$A117="",13&gt;設定!$B$3,原始資料!P117=""),"",IF(AND(原始資料!O117&lt;&gt;"",原始資料!P117=原始資料!O117),N(M117)+1,1))</f>
        <v/>
      </c>
      <c r="O117" s="6">
        <f>IF(OR(原始資料!$A117="",14&gt;設定!$B$3,原始資料!Q117=""),"",IF(AND(原始資料!P117&lt;&gt;"",原始資料!Q117=原始資料!P117),N(N117)+1,1))</f>
        <v/>
      </c>
      <c r="P117" s="6">
        <f>IF(OR(原始資料!$A117="",15&gt;設定!$B$3,原始資料!R117=""),"",IF(AND(原始資料!Q117&lt;&gt;"",原始資料!R117=原始資料!Q117),N(O117)+1,1))</f>
        <v/>
      </c>
      <c r="Q117" s="6">
        <f>IF(OR(原始資料!$A117="",16&gt;設定!$B$3,原始資料!S117=""),"",IF(AND(原始資料!R117&lt;&gt;"",原始資料!S117=原始資料!R117),N(P117)+1,1))</f>
        <v/>
      </c>
      <c r="R117" s="6">
        <f>IF(OR(原始資料!$A117="",17&gt;設定!$B$3,原始資料!T117=""),"",IF(AND(原始資料!S117&lt;&gt;"",原始資料!T117=原始資料!S117),N(Q117)+1,1))</f>
        <v/>
      </c>
      <c r="S117" s="6">
        <f>IF(OR(原始資料!$A117="",18&gt;設定!$B$3,原始資料!U117=""),"",IF(AND(原始資料!T117&lt;&gt;"",原始資料!U117=原始資料!T117),N(R117)+1,1))</f>
        <v/>
      </c>
      <c r="T117" s="6">
        <f>IF(OR(原始資料!$A117="",19&gt;設定!$B$3,原始資料!V117=""),"",IF(AND(原始資料!U117&lt;&gt;"",原始資料!V117=原始資料!U117),N(S117)+1,1))</f>
        <v/>
      </c>
      <c r="U117" s="6">
        <f>IF(OR(原始資料!$A117="",20&gt;設定!$B$3,原始資料!W117=""),"",IF(AND(原始資料!V117&lt;&gt;"",原始資料!W117=原始資料!V117),N(T117)+1,1))</f>
        <v/>
      </c>
      <c r="V117" s="6">
        <f>IF(OR(原始資料!$A117="",21&gt;設定!$B$3,原始資料!X117=""),"",IF(AND(原始資料!W117&lt;&gt;"",原始資料!X117=原始資料!W117),N(U117)+1,1))</f>
        <v/>
      </c>
      <c r="W117" s="6">
        <f>IF(OR(原始資料!$A117="",22&gt;設定!$B$3,原始資料!Y117=""),"",IF(AND(原始資料!X117&lt;&gt;"",原始資料!Y117=原始資料!X117),N(V117)+1,1))</f>
        <v/>
      </c>
      <c r="X117" s="6">
        <f>IF(OR(原始資料!$A117="",23&gt;設定!$B$3,原始資料!Z117=""),"",IF(AND(原始資料!Y117&lt;&gt;"",原始資料!Z117=原始資料!Y117),N(W117)+1,1))</f>
        <v/>
      </c>
      <c r="Y117" s="6">
        <f>IF(OR(原始資料!$A117="",24&gt;設定!$B$3,原始資料!AA117=""),"",IF(AND(原始資料!Z117&lt;&gt;"",原始資料!AA117=原始資料!Z117),N(X117)+1,1))</f>
        <v/>
      </c>
      <c r="Z117" s="6">
        <f>IF(OR(原始資料!$A117="",25&gt;設定!$B$3,原始資料!AB117=""),"",IF(AND(原始資料!AA117&lt;&gt;"",原始資料!AB117=原始資料!AA117),N(Y117)+1,1))</f>
        <v/>
      </c>
      <c r="AA117" s="6">
        <f>IF(OR(原始資料!$A117="",26&gt;設定!$B$3,原始資料!AC117=""),"",IF(AND(原始資料!AB117&lt;&gt;"",原始資料!AC117=原始資料!AB117),N(Z117)+1,1))</f>
        <v/>
      </c>
      <c r="AB117" s="6">
        <f>IF(OR(原始資料!$A117="",27&gt;設定!$B$3,原始資料!AD117=""),"",IF(AND(原始資料!AC117&lt;&gt;"",原始資料!AD117=原始資料!AC117),N(AA117)+1,1))</f>
        <v/>
      </c>
      <c r="AC117" s="6">
        <f>IF(OR(原始資料!$A117="",28&gt;設定!$B$3,原始資料!AE117=""),"",IF(AND(原始資料!AD117&lt;&gt;"",原始資料!AE117=原始資料!AD117),N(AB117)+1,1))</f>
        <v/>
      </c>
      <c r="AD117" s="6">
        <f>IF(OR(原始資料!$A117="",29&gt;設定!$B$3,原始資料!AF117=""),"",IF(AND(原始資料!AE117&lt;&gt;"",原始資料!AF117=原始資料!AE117),N(AC117)+1,1))</f>
        <v/>
      </c>
      <c r="AE117" s="6">
        <f>IF(OR(原始資料!$A117="",30&gt;設定!$B$3,原始資料!AG117=""),"",IF(AND(原始資料!AF117&lt;&gt;"",原始資料!AG117=原始資料!AF117),N(AD117)+1,1))</f>
        <v/>
      </c>
      <c r="AF117" s="6">
        <f>IF(OR(原始資料!$A117="",31&gt;設定!$B$3,原始資料!AH117=""),"",IF(AND(原始資料!AG117&lt;&gt;"",原始資料!AH117=原始資料!AG117),N(AE117)+1,1))</f>
        <v/>
      </c>
      <c r="AG117" s="6">
        <f>IF(OR(原始資料!$A117="",32&gt;設定!$B$3,原始資料!AI117=""),"",IF(AND(原始資料!AH117&lt;&gt;"",原始資料!AI117=原始資料!AH117),N(AF117)+1,1))</f>
        <v/>
      </c>
      <c r="AH117" s="6">
        <f>IF(OR(原始資料!$A117="",33&gt;設定!$B$3,原始資料!AJ117=""),"",IF(AND(原始資料!AI117&lt;&gt;"",原始資料!AJ117=原始資料!AI117),N(AG117)+1,1))</f>
        <v/>
      </c>
      <c r="AI117" s="6">
        <f>IF(OR(原始資料!$A117="",34&gt;設定!$B$3,原始資料!AK117=""),"",IF(AND(原始資料!AJ117&lt;&gt;"",原始資料!AK117=原始資料!AJ117),N(AH117)+1,1))</f>
        <v/>
      </c>
      <c r="AJ117" s="6">
        <f>IF(OR(原始資料!$A117="",35&gt;設定!$B$3,原始資料!AL117=""),"",IF(AND(原始資料!AK117&lt;&gt;"",原始資料!AL117=原始資料!AK117),N(AI117)+1,1))</f>
        <v/>
      </c>
      <c r="AK117" s="6">
        <f>IF(OR(原始資料!$A117="",36&gt;設定!$B$3,原始資料!AM117=""),"",IF(AND(原始資料!AL117&lt;&gt;"",原始資料!AM117=原始資料!AL117),N(AJ117)+1,1))</f>
        <v/>
      </c>
      <c r="AL117" s="6">
        <f>IF(OR(原始資料!$A117="",37&gt;設定!$B$3,原始資料!AN117=""),"",IF(AND(原始資料!AM117&lt;&gt;"",原始資料!AN117=原始資料!AM117),N(AK117)+1,1))</f>
        <v/>
      </c>
      <c r="AM117" s="6">
        <f>IF(OR(原始資料!$A117="",38&gt;設定!$B$3,原始資料!AO117=""),"",IF(AND(原始資料!AN117&lt;&gt;"",原始資料!AO117=原始資料!AN117),N(AL117)+1,1))</f>
        <v/>
      </c>
      <c r="AN117" s="6">
        <f>IF(OR(原始資料!$A117="",39&gt;設定!$B$3,原始資料!AP117=""),"",IF(AND(原始資料!AO117&lt;&gt;"",原始資料!AP117=原始資料!AO117),N(AM117)+1,1))</f>
        <v/>
      </c>
      <c r="AO117" s="6">
        <f>IF(OR(原始資料!$A117="",40&gt;設定!$B$3,原始資料!AQ117=""),"",IF(AND(原始資料!AP117&lt;&gt;"",原始資料!AQ117=原始資料!AP117),N(AN117)+1,1))</f>
        <v/>
      </c>
      <c r="AP117" s="6">
        <f>IF(OR(原始資料!$A117="",41&gt;設定!$B$3,原始資料!AR117=""),"",IF(AND(原始資料!AQ117&lt;&gt;"",原始資料!AR117=原始資料!AQ117),N(AO117)+1,1))</f>
        <v/>
      </c>
      <c r="AQ117" s="6">
        <f>IF(OR(原始資料!$A117="",42&gt;設定!$B$3,原始資料!AS117=""),"",IF(AND(原始資料!AR117&lt;&gt;"",原始資料!AS117=原始資料!AR117),N(AP117)+1,1))</f>
        <v/>
      </c>
      <c r="AR117" s="6">
        <f>IF(OR(原始資料!$A117="",43&gt;設定!$B$3,原始資料!AT117=""),"",IF(AND(原始資料!AS117&lt;&gt;"",原始資料!AT117=原始資料!AS117),N(AQ117)+1,1))</f>
        <v/>
      </c>
      <c r="AS117" s="6">
        <f>IF(OR(原始資料!$A117="",44&gt;設定!$B$3,原始資料!AU117=""),"",IF(AND(原始資料!AT117&lt;&gt;"",原始資料!AU117=原始資料!AT117),N(AR117)+1,1))</f>
        <v/>
      </c>
      <c r="AT117" s="6">
        <f>IF(OR(原始資料!$A117="",45&gt;設定!$B$3,原始資料!AV117=""),"",IF(AND(原始資料!AU117&lt;&gt;"",原始資料!AV117=原始資料!AU117),N(AS117)+1,1))</f>
        <v/>
      </c>
      <c r="AU117" s="6">
        <f>IF(OR(原始資料!$A117="",46&gt;設定!$B$3,原始資料!AW117=""),"",IF(AND(原始資料!AV117&lt;&gt;"",原始資料!AW117=原始資料!AV117),N(AT117)+1,1))</f>
        <v/>
      </c>
      <c r="AV117" s="6">
        <f>IF(OR(原始資料!$A117="",47&gt;設定!$B$3,原始資料!AX117=""),"",IF(AND(原始資料!AW117&lt;&gt;"",原始資料!AX117=原始資料!AW117),N(AU117)+1,1))</f>
        <v/>
      </c>
      <c r="AW117" s="6">
        <f>IF(OR(原始資料!$A117="",48&gt;設定!$B$3,原始資料!AY117=""),"",IF(AND(原始資料!AX117&lt;&gt;"",原始資料!AY117=原始資料!AX117),N(AV117)+1,1))</f>
        <v/>
      </c>
      <c r="AX117" s="6">
        <f>IF(OR(原始資料!$A117="",49&gt;設定!$B$3,原始資料!AZ117=""),"",IF(AND(原始資料!AY117&lt;&gt;"",原始資料!AZ117=原始資料!AY117),N(AW117)+1,1))</f>
        <v/>
      </c>
      <c r="AY117" s="6">
        <f>IF(OR(原始資料!$A117="",50&gt;設定!$B$3,原始資料!BA117=""),"",IF(AND(原始資料!AZ117&lt;&gt;"",原始資料!BA117=原始資料!AZ117),N(AX117)+1,1))</f>
        <v/>
      </c>
      <c r="AZ117" s="6">
        <f>IF(OR(原始資料!$A117="",51&gt;設定!$B$3,原始資料!BB117=""),"",IF(AND(原始資料!BA117&lt;&gt;"",原始資料!BB117=原始資料!BA117),N(AY117)+1,1))</f>
        <v/>
      </c>
      <c r="BA117" s="6">
        <f>IF(OR(原始資料!$A117="",52&gt;設定!$B$3,原始資料!BC117=""),"",IF(AND(原始資料!BB117&lt;&gt;"",原始資料!BC117=原始資料!BB117),N(AZ117)+1,1))</f>
        <v/>
      </c>
      <c r="BB117" s="6">
        <f>IF(OR(原始資料!$A117="",53&gt;設定!$B$3,原始資料!BD117=""),"",IF(AND(原始資料!BC117&lt;&gt;"",原始資料!BD117=原始資料!BC117),N(BA117)+1,1))</f>
        <v/>
      </c>
      <c r="BC117" s="6">
        <f>IF(OR(原始資料!$A117="",54&gt;設定!$B$3,原始資料!BE117=""),"",IF(AND(原始資料!BD117&lt;&gt;"",原始資料!BE117=原始資料!BD117),N(BB117)+1,1))</f>
        <v/>
      </c>
      <c r="BD117" s="6">
        <f>IF(OR(原始資料!$A117="",55&gt;設定!$B$3,原始資料!BF117=""),"",IF(AND(原始資料!BE117&lt;&gt;"",原始資料!BF117=原始資料!BE117),N(BC117)+1,1))</f>
        <v/>
      </c>
      <c r="BE117" s="6">
        <f>IF(OR(原始資料!$A117="",56&gt;設定!$B$3,原始資料!BG117=""),"",IF(AND(原始資料!BF117&lt;&gt;"",原始資料!BG117=原始資料!BF117),N(BD117)+1,1))</f>
        <v/>
      </c>
      <c r="BF117" s="6">
        <f>IF(OR(原始資料!$A117="",57&gt;設定!$B$3,原始資料!BH117=""),"",IF(AND(原始資料!BG117&lt;&gt;"",原始資料!BH117=原始資料!BG117),N(BE117)+1,1))</f>
        <v/>
      </c>
      <c r="BG117" s="6">
        <f>IF(OR(原始資料!$A117="",58&gt;設定!$B$3,原始資料!BI117=""),"",IF(AND(原始資料!BH117&lt;&gt;"",原始資料!BI117=原始資料!BH117),N(BF117)+1,1))</f>
        <v/>
      </c>
      <c r="BH117" s="6">
        <f>IF(OR(原始資料!$A117="",59&gt;設定!$B$3,原始資料!BJ117=""),"",IF(AND(原始資料!BI117&lt;&gt;"",原始資料!BJ117=原始資料!BI117),N(BG117)+1,1))</f>
        <v/>
      </c>
      <c r="BI117" s="6">
        <f>IF(OR(原始資料!$A117="",60&gt;設定!$B$3,原始資料!BK117=""),"",IF(AND(原始資料!BJ117&lt;&gt;"",原始資料!BK117=原始資料!BJ117),N(BH117)+1,1))</f>
        <v/>
      </c>
    </row>
    <row r="118">
      <c r="A118" s="6">
        <f>IF(原始資料!$A118="","",原始資料!$A118)</f>
        <v/>
      </c>
      <c r="B118" s="6">
        <f>IF(OR(原始資料!$A118="",1&gt;設定!$B$3,原始資料!D118=""),"",1)</f>
        <v/>
      </c>
      <c r="C118" s="6">
        <f>IF(OR(原始資料!$A118="",2&gt;設定!$B$3,原始資料!E118=""),"",IF(AND(原始資料!D118&lt;&gt;"",原始資料!E118=原始資料!D118),N(B118)+1,1))</f>
        <v/>
      </c>
      <c r="D118" s="6">
        <f>IF(OR(原始資料!$A118="",3&gt;設定!$B$3,原始資料!F118=""),"",IF(AND(原始資料!E118&lt;&gt;"",原始資料!F118=原始資料!E118),N(C118)+1,1))</f>
        <v/>
      </c>
      <c r="E118" s="6">
        <f>IF(OR(原始資料!$A118="",4&gt;設定!$B$3,原始資料!G118=""),"",IF(AND(原始資料!F118&lt;&gt;"",原始資料!G118=原始資料!F118),N(D118)+1,1))</f>
        <v/>
      </c>
      <c r="F118" s="6">
        <f>IF(OR(原始資料!$A118="",5&gt;設定!$B$3,原始資料!H118=""),"",IF(AND(原始資料!G118&lt;&gt;"",原始資料!H118=原始資料!G118),N(E118)+1,1))</f>
        <v/>
      </c>
      <c r="G118" s="6">
        <f>IF(OR(原始資料!$A118="",6&gt;設定!$B$3,原始資料!I118=""),"",IF(AND(原始資料!H118&lt;&gt;"",原始資料!I118=原始資料!H118),N(F118)+1,1))</f>
        <v/>
      </c>
      <c r="H118" s="6">
        <f>IF(OR(原始資料!$A118="",7&gt;設定!$B$3,原始資料!J118=""),"",IF(AND(原始資料!I118&lt;&gt;"",原始資料!J118=原始資料!I118),N(G118)+1,1))</f>
        <v/>
      </c>
      <c r="I118" s="6">
        <f>IF(OR(原始資料!$A118="",8&gt;設定!$B$3,原始資料!K118=""),"",IF(AND(原始資料!J118&lt;&gt;"",原始資料!K118=原始資料!J118),N(H118)+1,1))</f>
        <v/>
      </c>
      <c r="J118" s="6">
        <f>IF(OR(原始資料!$A118="",9&gt;設定!$B$3,原始資料!L118=""),"",IF(AND(原始資料!K118&lt;&gt;"",原始資料!L118=原始資料!K118),N(I118)+1,1))</f>
        <v/>
      </c>
      <c r="K118" s="6">
        <f>IF(OR(原始資料!$A118="",10&gt;設定!$B$3,原始資料!M118=""),"",IF(AND(原始資料!L118&lt;&gt;"",原始資料!M118=原始資料!L118),N(J118)+1,1))</f>
        <v/>
      </c>
      <c r="L118" s="6">
        <f>IF(OR(原始資料!$A118="",11&gt;設定!$B$3,原始資料!N118=""),"",IF(AND(原始資料!M118&lt;&gt;"",原始資料!N118=原始資料!M118),N(K118)+1,1))</f>
        <v/>
      </c>
      <c r="M118" s="6">
        <f>IF(OR(原始資料!$A118="",12&gt;設定!$B$3,原始資料!O118=""),"",IF(AND(原始資料!N118&lt;&gt;"",原始資料!O118=原始資料!N118),N(L118)+1,1))</f>
        <v/>
      </c>
      <c r="N118" s="6">
        <f>IF(OR(原始資料!$A118="",13&gt;設定!$B$3,原始資料!P118=""),"",IF(AND(原始資料!O118&lt;&gt;"",原始資料!P118=原始資料!O118),N(M118)+1,1))</f>
        <v/>
      </c>
      <c r="O118" s="6">
        <f>IF(OR(原始資料!$A118="",14&gt;設定!$B$3,原始資料!Q118=""),"",IF(AND(原始資料!P118&lt;&gt;"",原始資料!Q118=原始資料!P118),N(N118)+1,1))</f>
        <v/>
      </c>
      <c r="P118" s="6">
        <f>IF(OR(原始資料!$A118="",15&gt;設定!$B$3,原始資料!R118=""),"",IF(AND(原始資料!Q118&lt;&gt;"",原始資料!R118=原始資料!Q118),N(O118)+1,1))</f>
        <v/>
      </c>
      <c r="Q118" s="6">
        <f>IF(OR(原始資料!$A118="",16&gt;設定!$B$3,原始資料!S118=""),"",IF(AND(原始資料!R118&lt;&gt;"",原始資料!S118=原始資料!R118),N(P118)+1,1))</f>
        <v/>
      </c>
      <c r="R118" s="6">
        <f>IF(OR(原始資料!$A118="",17&gt;設定!$B$3,原始資料!T118=""),"",IF(AND(原始資料!S118&lt;&gt;"",原始資料!T118=原始資料!S118),N(Q118)+1,1))</f>
        <v/>
      </c>
      <c r="S118" s="6">
        <f>IF(OR(原始資料!$A118="",18&gt;設定!$B$3,原始資料!U118=""),"",IF(AND(原始資料!T118&lt;&gt;"",原始資料!U118=原始資料!T118),N(R118)+1,1))</f>
        <v/>
      </c>
      <c r="T118" s="6">
        <f>IF(OR(原始資料!$A118="",19&gt;設定!$B$3,原始資料!V118=""),"",IF(AND(原始資料!U118&lt;&gt;"",原始資料!V118=原始資料!U118),N(S118)+1,1))</f>
        <v/>
      </c>
      <c r="U118" s="6">
        <f>IF(OR(原始資料!$A118="",20&gt;設定!$B$3,原始資料!W118=""),"",IF(AND(原始資料!V118&lt;&gt;"",原始資料!W118=原始資料!V118),N(T118)+1,1))</f>
        <v/>
      </c>
      <c r="V118" s="6">
        <f>IF(OR(原始資料!$A118="",21&gt;設定!$B$3,原始資料!X118=""),"",IF(AND(原始資料!W118&lt;&gt;"",原始資料!X118=原始資料!W118),N(U118)+1,1))</f>
        <v/>
      </c>
      <c r="W118" s="6">
        <f>IF(OR(原始資料!$A118="",22&gt;設定!$B$3,原始資料!Y118=""),"",IF(AND(原始資料!X118&lt;&gt;"",原始資料!Y118=原始資料!X118),N(V118)+1,1))</f>
        <v/>
      </c>
      <c r="X118" s="6">
        <f>IF(OR(原始資料!$A118="",23&gt;設定!$B$3,原始資料!Z118=""),"",IF(AND(原始資料!Y118&lt;&gt;"",原始資料!Z118=原始資料!Y118),N(W118)+1,1))</f>
        <v/>
      </c>
      <c r="Y118" s="6">
        <f>IF(OR(原始資料!$A118="",24&gt;設定!$B$3,原始資料!AA118=""),"",IF(AND(原始資料!Z118&lt;&gt;"",原始資料!AA118=原始資料!Z118),N(X118)+1,1))</f>
        <v/>
      </c>
      <c r="Z118" s="6">
        <f>IF(OR(原始資料!$A118="",25&gt;設定!$B$3,原始資料!AB118=""),"",IF(AND(原始資料!AA118&lt;&gt;"",原始資料!AB118=原始資料!AA118),N(Y118)+1,1))</f>
        <v/>
      </c>
      <c r="AA118" s="6">
        <f>IF(OR(原始資料!$A118="",26&gt;設定!$B$3,原始資料!AC118=""),"",IF(AND(原始資料!AB118&lt;&gt;"",原始資料!AC118=原始資料!AB118),N(Z118)+1,1))</f>
        <v/>
      </c>
      <c r="AB118" s="6">
        <f>IF(OR(原始資料!$A118="",27&gt;設定!$B$3,原始資料!AD118=""),"",IF(AND(原始資料!AC118&lt;&gt;"",原始資料!AD118=原始資料!AC118),N(AA118)+1,1))</f>
        <v/>
      </c>
      <c r="AC118" s="6">
        <f>IF(OR(原始資料!$A118="",28&gt;設定!$B$3,原始資料!AE118=""),"",IF(AND(原始資料!AD118&lt;&gt;"",原始資料!AE118=原始資料!AD118),N(AB118)+1,1))</f>
        <v/>
      </c>
      <c r="AD118" s="6">
        <f>IF(OR(原始資料!$A118="",29&gt;設定!$B$3,原始資料!AF118=""),"",IF(AND(原始資料!AE118&lt;&gt;"",原始資料!AF118=原始資料!AE118),N(AC118)+1,1))</f>
        <v/>
      </c>
      <c r="AE118" s="6">
        <f>IF(OR(原始資料!$A118="",30&gt;設定!$B$3,原始資料!AG118=""),"",IF(AND(原始資料!AF118&lt;&gt;"",原始資料!AG118=原始資料!AF118),N(AD118)+1,1))</f>
        <v/>
      </c>
      <c r="AF118" s="6">
        <f>IF(OR(原始資料!$A118="",31&gt;設定!$B$3,原始資料!AH118=""),"",IF(AND(原始資料!AG118&lt;&gt;"",原始資料!AH118=原始資料!AG118),N(AE118)+1,1))</f>
        <v/>
      </c>
      <c r="AG118" s="6">
        <f>IF(OR(原始資料!$A118="",32&gt;設定!$B$3,原始資料!AI118=""),"",IF(AND(原始資料!AH118&lt;&gt;"",原始資料!AI118=原始資料!AH118),N(AF118)+1,1))</f>
        <v/>
      </c>
      <c r="AH118" s="6">
        <f>IF(OR(原始資料!$A118="",33&gt;設定!$B$3,原始資料!AJ118=""),"",IF(AND(原始資料!AI118&lt;&gt;"",原始資料!AJ118=原始資料!AI118),N(AG118)+1,1))</f>
        <v/>
      </c>
      <c r="AI118" s="6">
        <f>IF(OR(原始資料!$A118="",34&gt;設定!$B$3,原始資料!AK118=""),"",IF(AND(原始資料!AJ118&lt;&gt;"",原始資料!AK118=原始資料!AJ118),N(AH118)+1,1))</f>
        <v/>
      </c>
      <c r="AJ118" s="6">
        <f>IF(OR(原始資料!$A118="",35&gt;設定!$B$3,原始資料!AL118=""),"",IF(AND(原始資料!AK118&lt;&gt;"",原始資料!AL118=原始資料!AK118),N(AI118)+1,1))</f>
        <v/>
      </c>
      <c r="AK118" s="6">
        <f>IF(OR(原始資料!$A118="",36&gt;設定!$B$3,原始資料!AM118=""),"",IF(AND(原始資料!AL118&lt;&gt;"",原始資料!AM118=原始資料!AL118),N(AJ118)+1,1))</f>
        <v/>
      </c>
      <c r="AL118" s="6">
        <f>IF(OR(原始資料!$A118="",37&gt;設定!$B$3,原始資料!AN118=""),"",IF(AND(原始資料!AM118&lt;&gt;"",原始資料!AN118=原始資料!AM118),N(AK118)+1,1))</f>
        <v/>
      </c>
      <c r="AM118" s="6">
        <f>IF(OR(原始資料!$A118="",38&gt;設定!$B$3,原始資料!AO118=""),"",IF(AND(原始資料!AN118&lt;&gt;"",原始資料!AO118=原始資料!AN118),N(AL118)+1,1))</f>
        <v/>
      </c>
      <c r="AN118" s="6">
        <f>IF(OR(原始資料!$A118="",39&gt;設定!$B$3,原始資料!AP118=""),"",IF(AND(原始資料!AO118&lt;&gt;"",原始資料!AP118=原始資料!AO118),N(AM118)+1,1))</f>
        <v/>
      </c>
      <c r="AO118" s="6">
        <f>IF(OR(原始資料!$A118="",40&gt;設定!$B$3,原始資料!AQ118=""),"",IF(AND(原始資料!AP118&lt;&gt;"",原始資料!AQ118=原始資料!AP118),N(AN118)+1,1))</f>
        <v/>
      </c>
      <c r="AP118" s="6">
        <f>IF(OR(原始資料!$A118="",41&gt;設定!$B$3,原始資料!AR118=""),"",IF(AND(原始資料!AQ118&lt;&gt;"",原始資料!AR118=原始資料!AQ118),N(AO118)+1,1))</f>
        <v/>
      </c>
      <c r="AQ118" s="6">
        <f>IF(OR(原始資料!$A118="",42&gt;設定!$B$3,原始資料!AS118=""),"",IF(AND(原始資料!AR118&lt;&gt;"",原始資料!AS118=原始資料!AR118),N(AP118)+1,1))</f>
        <v/>
      </c>
      <c r="AR118" s="6">
        <f>IF(OR(原始資料!$A118="",43&gt;設定!$B$3,原始資料!AT118=""),"",IF(AND(原始資料!AS118&lt;&gt;"",原始資料!AT118=原始資料!AS118),N(AQ118)+1,1))</f>
        <v/>
      </c>
      <c r="AS118" s="6">
        <f>IF(OR(原始資料!$A118="",44&gt;設定!$B$3,原始資料!AU118=""),"",IF(AND(原始資料!AT118&lt;&gt;"",原始資料!AU118=原始資料!AT118),N(AR118)+1,1))</f>
        <v/>
      </c>
      <c r="AT118" s="6">
        <f>IF(OR(原始資料!$A118="",45&gt;設定!$B$3,原始資料!AV118=""),"",IF(AND(原始資料!AU118&lt;&gt;"",原始資料!AV118=原始資料!AU118),N(AS118)+1,1))</f>
        <v/>
      </c>
      <c r="AU118" s="6">
        <f>IF(OR(原始資料!$A118="",46&gt;設定!$B$3,原始資料!AW118=""),"",IF(AND(原始資料!AV118&lt;&gt;"",原始資料!AW118=原始資料!AV118),N(AT118)+1,1))</f>
        <v/>
      </c>
      <c r="AV118" s="6">
        <f>IF(OR(原始資料!$A118="",47&gt;設定!$B$3,原始資料!AX118=""),"",IF(AND(原始資料!AW118&lt;&gt;"",原始資料!AX118=原始資料!AW118),N(AU118)+1,1))</f>
        <v/>
      </c>
      <c r="AW118" s="6">
        <f>IF(OR(原始資料!$A118="",48&gt;設定!$B$3,原始資料!AY118=""),"",IF(AND(原始資料!AX118&lt;&gt;"",原始資料!AY118=原始資料!AX118),N(AV118)+1,1))</f>
        <v/>
      </c>
      <c r="AX118" s="6">
        <f>IF(OR(原始資料!$A118="",49&gt;設定!$B$3,原始資料!AZ118=""),"",IF(AND(原始資料!AY118&lt;&gt;"",原始資料!AZ118=原始資料!AY118),N(AW118)+1,1))</f>
        <v/>
      </c>
      <c r="AY118" s="6">
        <f>IF(OR(原始資料!$A118="",50&gt;設定!$B$3,原始資料!BA118=""),"",IF(AND(原始資料!AZ118&lt;&gt;"",原始資料!BA118=原始資料!AZ118),N(AX118)+1,1))</f>
        <v/>
      </c>
      <c r="AZ118" s="6">
        <f>IF(OR(原始資料!$A118="",51&gt;設定!$B$3,原始資料!BB118=""),"",IF(AND(原始資料!BA118&lt;&gt;"",原始資料!BB118=原始資料!BA118),N(AY118)+1,1))</f>
        <v/>
      </c>
      <c r="BA118" s="6">
        <f>IF(OR(原始資料!$A118="",52&gt;設定!$B$3,原始資料!BC118=""),"",IF(AND(原始資料!BB118&lt;&gt;"",原始資料!BC118=原始資料!BB118),N(AZ118)+1,1))</f>
        <v/>
      </c>
      <c r="BB118" s="6">
        <f>IF(OR(原始資料!$A118="",53&gt;設定!$B$3,原始資料!BD118=""),"",IF(AND(原始資料!BC118&lt;&gt;"",原始資料!BD118=原始資料!BC118),N(BA118)+1,1))</f>
        <v/>
      </c>
      <c r="BC118" s="6">
        <f>IF(OR(原始資料!$A118="",54&gt;設定!$B$3,原始資料!BE118=""),"",IF(AND(原始資料!BD118&lt;&gt;"",原始資料!BE118=原始資料!BD118),N(BB118)+1,1))</f>
        <v/>
      </c>
      <c r="BD118" s="6">
        <f>IF(OR(原始資料!$A118="",55&gt;設定!$B$3,原始資料!BF118=""),"",IF(AND(原始資料!BE118&lt;&gt;"",原始資料!BF118=原始資料!BE118),N(BC118)+1,1))</f>
        <v/>
      </c>
      <c r="BE118" s="6">
        <f>IF(OR(原始資料!$A118="",56&gt;設定!$B$3,原始資料!BG118=""),"",IF(AND(原始資料!BF118&lt;&gt;"",原始資料!BG118=原始資料!BF118),N(BD118)+1,1))</f>
        <v/>
      </c>
      <c r="BF118" s="6">
        <f>IF(OR(原始資料!$A118="",57&gt;設定!$B$3,原始資料!BH118=""),"",IF(AND(原始資料!BG118&lt;&gt;"",原始資料!BH118=原始資料!BG118),N(BE118)+1,1))</f>
        <v/>
      </c>
      <c r="BG118" s="6">
        <f>IF(OR(原始資料!$A118="",58&gt;設定!$B$3,原始資料!BI118=""),"",IF(AND(原始資料!BH118&lt;&gt;"",原始資料!BI118=原始資料!BH118),N(BF118)+1,1))</f>
        <v/>
      </c>
      <c r="BH118" s="6">
        <f>IF(OR(原始資料!$A118="",59&gt;設定!$B$3,原始資料!BJ118=""),"",IF(AND(原始資料!BI118&lt;&gt;"",原始資料!BJ118=原始資料!BI118),N(BG118)+1,1))</f>
        <v/>
      </c>
      <c r="BI118" s="6">
        <f>IF(OR(原始資料!$A118="",60&gt;設定!$B$3,原始資料!BK118=""),"",IF(AND(原始資料!BJ118&lt;&gt;"",原始資料!BK118=原始資料!BJ118),N(BH118)+1,1))</f>
        <v/>
      </c>
    </row>
    <row r="119">
      <c r="A119" s="6">
        <f>IF(原始資料!$A119="","",原始資料!$A119)</f>
        <v/>
      </c>
      <c r="B119" s="6">
        <f>IF(OR(原始資料!$A119="",1&gt;設定!$B$3,原始資料!D119=""),"",1)</f>
        <v/>
      </c>
      <c r="C119" s="6">
        <f>IF(OR(原始資料!$A119="",2&gt;設定!$B$3,原始資料!E119=""),"",IF(AND(原始資料!D119&lt;&gt;"",原始資料!E119=原始資料!D119),N(B119)+1,1))</f>
        <v/>
      </c>
      <c r="D119" s="6">
        <f>IF(OR(原始資料!$A119="",3&gt;設定!$B$3,原始資料!F119=""),"",IF(AND(原始資料!E119&lt;&gt;"",原始資料!F119=原始資料!E119),N(C119)+1,1))</f>
        <v/>
      </c>
      <c r="E119" s="6">
        <f>IF(OR(原始資料!$A119="",4&gt;設定!$B$3,原始資料!G119=""),"",IF(AND(原始資料!F119&lt;&gt;"",原始資料!G119=原始資料!F119),N(D119)+1,1))</f>
        <v/>
      </c>
      <c r="F119" s="6">
        <f>IF(OR(原始資料!$A119="",5&gt;設定!$B$3,原始資料!H119=""),"",IF(AND(原始資料!G119&lt;&gt;"",原始資料!H119=原始資料!G119),N(E119)+1,1))</f>
        <v/>
      </c>
      <c r="G119" s="6">
        <f>IF(OR(原始資料!$A119="",6&gt;設定!$B$3,原始資料!I119=""),"",IF(AND(原始資料!H119&lt;&gt;"",原始資料!I119=原始資料!H119),N(F119)+1,1))</f>
        <v/>
      </c>
      <c r="H119" s="6">
        <f>IF(OR(原始資料!$A119="",7&gt;設定!$B$3,原始資料!J119=""),"",IF(AND(原始資料!I119&lt;&gt;"",原始資料!J119=原始資料!I119),N(G119)+1,1))</f>
        <v/>
      </c>
      <c r="I119" s="6">
        <f>IF(OR(原始資料!$A119="",8&gt;設定!$B$3,原始資料!K119=""),"",IF(AND(原始資料!J119&lt;&gt;"",原始資料!K119=原始資料!J119),N(H119)+1,1))</f>
        <v/>
      </c>
      <c r="J119" s="6">
        <f>IF(OR(原始資料!$A119="",9&gt;設定!$B$3,原始資料!L119=""),"",IF(AND(原始資料!K119&lt;&gt;"",原始資料!L119=原始資料!K119),N(I119)+1,1))</f>
        <v/>
      </c>
      <c r="K119" s="6">
        <f>IF(OR(原始資料!$A119="",10&gt;設定!$B$3,原始資料!M119=""),"",IF(AND(原始資料!L119&lt;&gt;"",原始資料!M119=原始資料!L119),N(J119)+1,1))</f>
        <v/>
      </c>
      <c r="L119" s="6">
        <f>IF(OR(原始資料!$A119="",11&gt;設定!$B$3,原始資料!N119=""),"",IF(AND(原始資料!M119&lt;&gt;"",原始資料!N119=原始資料!M119),N(K119)+1,1))</f>
        <v/>
      </c>
      <c r="M119" s="6">
        <f>IF(OR(原始資料!$A119="",12&gt;設定!$B$3,原始資料!O119=""),"",IF(AND(原始資料!N119&lt;&gt;"",原始資料!O119=原始資料!N119),N(L119)+1,1))</f>
        <v/>
      </c>
      <c r="N119" s="6">
        <f>IF(OR(原始資料!$A119="",13&gt;設定!$B$3,原始資料!P119=""),"",IF(AND(原始資料!O119&lt;&gt;"",原始資料!P119=原始資料!O119),N(M119)+1,1))</f>
        <v/>
      </c>
      <c r="O119" s="6">
        <f>IF(OR(原始資料!$A119="",14&gt;設定!$B$3,原始資料!Q119=""),"",IF(AND(原始資料!P119&lt;&gt;"",原始資料!Q119=原始資料!P119),N(N119)+1,1))</f>
        <v/>
      </c>
      <c r="P119" s="6">
        <f>IF(OR(原始資料!$A119="",15&gt;設定!$B$3,原始資料!R119=""),"",IF(AND(原始資料!Q119&lt;&gt;"",原始資料!R119=原始資料!Q119),N(O119)+1,1))</f>
        <v/>
      </c>
      <c r="Q119" s="6">
        <f>IF(OR(原始資料!$A119="",16&gt;設定!$B$3,原始資料!S119=""),"",IF(AND(原始資料!R119&lt;&gt;"",原始資料!S119=原始資料!R119),N(P119)+1,1))</f>
        <v/>
      </c>
      <c r="R119" s="6">
        <f>IF(OR(原始資料!$A119="",17&gt;設定!$B$3,原始資料!T119=""),"",IF(AND(原始資料!S119&lt;&gt;"",原始資料!T119=原始資料!S119),N(Q119)+1,1))</f>
        <v/>
      </c>
      <c r="S119" s="6">
        <f>IF(OR(原始資料!$A119="",18&gt;設定!$B$3,原始資料!U119=""),"",IF(AND(原始資料!T119&lt;&gt;"",原始資料!U119=原始資料!T119),N(R119)+1,1))</f>
        <v/>
      </c>
      <c r="T119" s="6">
        <f>IF(OR(原始資料!$A119="",19&gt;設定!$B$3,原始資料!V119=""),"",IF(AND(原始資料!U119&lt;&gt;"",原始資料!V119=原始資料!U119),N(S119)+1,1))</f>
        <v/>
      </c>
      <c r="U119" s="6">
        <f>IF(OR(原始資料!$A119="",20&gt;設定!$B$3,原始資料!W119=""),"",IF(AND(原始資料!V119&lt;&gt;"",原始資料!W119=原始資料!V119),N(T119)+1,1))</f>
        <v/>
      </c>
      <c r="V119" s="6">
        <f>IF(OR(原始資料!$A119="",21&gt;設定!$B$3,原始資料!X119=""),"",IF(AND(原始資料!W119&lt;&gt;"",原始資料!X119=原始資料!W119),N(U119)+1,1))</f>
        <v/>
      </c>
      <c r="W119" s="6">
        <f>IF(OR(原始資料!$A119="",22&gt;設定!$B$3,原始資料!Y119=""),"",IF(AND(原始資料!X119&lt;&gt;"",原始資料!Y119=原始資料!X119),N(V119)+1,1))</f>
        <v/>
      </c>
      <c r="X119" s="6">
        <f>IF(OR(原始資料!$A119="",23&gt;設定!$B$3,原始資料!Z119=""),"",IF(AND(原始資料!Y119&lt;&gt;"",原始資料!Z119=原始資料!Y119),N(W119)+1,1))</f>
        <v/>
      </c>
      <c r="Y119" s="6">
        <f>IF(OR(原始資料!$A119="",24&gt;設定!$B$3,原始資料!AA119=""),"",IF(AND(原始資料!Z119&lt;&gt;"",原始資料!AA119=原始資料!Z119),N(X119)+1,1))</f>
        <v/>
      </c>
      <c r="Z119" s="6">
        <f>IF(OR(原始資料!$A119="",25&gt;設定!$B$3,原始資料!AB119=""),"",IF(AND(原始資料!AA119&lt;&gt;"",原始資料!AB119=原始資料!AA119),N(Y119)+1,1))</f>
        <v/>
      </c>
      <c r="AA119" s="6">
        <f>IF(OR(原始資料!$A119="",26&gt;設定!$B$3,原始資料!AC119=""),"",IF(AND(原始資料!AB119&lt;&gt;"",原始資料!AC119=原始資料!AB119),N(Z119)+1,1))</f>
        <v/>
      </c>
      <c r="AB119" s="6">
        <f>IF(OR(原始資料!$A119="",27&gt;設定!$B$3,原始資料!AD119=""),"",IF(AND(原始資料!AC119&lt;&gt;"",原始資料!AD119=原始資料!AC119),N(AA119)+1,1))</f>
        <v/>
      </c>
      <c r="AC119" s="6">
        <f>IF(OR(原始資料!$A119="",28&gt;設定!$B$3,原始資料!AE119=""),"",IF(AND(原始資料!AD119&lt;&gt;"",原始資料!AE119=原始資料!AD119),N(AB119)+1,1))</f>
        <v/>
      </c>
      <c r="AD119" s="6">
        <f>IF(OR(原始資料!$A119="",29&gt;設定!$B$3,原始資料!AF119=""),"",IF(AND(原始資料!AE119&lt;&gt;"",原始資料!AF119=原始資料!AE119),N(AC119)+1,1))</f>
        <v/>
      </c>
      <c r="AE119" s="6">
        <f>IF(OR(原始資料!$A119="",30&gt;設定!$B$3,原始資料!AG119=""),"",IF(AND(原始資料!AF119&lt;&gt;"",原始資料!AG119=原始資料!AF119),N(AD119)+1,1))</f>
        <v/>
      </c>
      <c r="AF119" s="6">
        <f>IF(OR(原始資料!$A119="",31&gt;設定!$B$3,原始資料!AH119=""),"",IF(AND(原始資料!AG119&lt;&gt;"",原始資料!AH119=原始資料!AG119),N(AE119)+1,1))</f>
        <v/>
      </c>
      <c r="AG119" s="6">
        <f>IF(OR(原始資料!$A119="",32&gt;設定!$B$3,原始資料!AI119=""),"",IF(AND(原始資料!AH119&lt;&gt;"",原始資料!AI119=原始資料!AH119),N(AF119)+1,1))</f>
        <v/>
      </c>
      <c r="AH119" s="6">
        <f>IF(OR(原始資料!$A119="",33&gt;設定!$B$3,原始資料!AJ119=""),"",IF(AND(原始資料!AI119&lt;&gt;"",原始資料!AJ119=原始資料!AI119),N(AG119)+1,1))</f>
        <v/>
      </c>
      <c r="AI119" s="6">
        <f>IF(OR(原始資料!$A119="",34&gt;設定!$B$3,原始資料!AK119=""),"",IF(AND(原始資料!AJ119&lt;&gt;"",原始資料!AK119=原始資料!AJ119),N(AH119)+1,1))</f>
        <v/>
      </c>
      <c r="AJ119" s="6">
        <f>IF(OR(原始資料!$A119="",35&gt;設定!$B$3,原始資料!AL119=""),"",IF(AND(原始資料!AK119&lt;&gt;"",原始資料!AL119=原始資料!AK119),N(AI119)+1,1))</f>
        <v/>
      </c>
      <c r="AK119" s="6">
        <f>IF(OR(原始資料!$A119="",36&gt;設定!$B$3,原始資料!AM119=""),"",IF(AND(原始資料!AL119&lt;&gt;"",原始資料!AM119=原始資料!AL119),N(AJ119)+1,1))</f>
        <v/>
      </c>
      <c r="AL119" s="6">
        <f>IF(OR(原始資料!$A119="",37&gt;設定!$B$3,原始資料!AN119=""),"",IF(AND(原始資料!AM119&lt;&gt;"",原始資料!AN119=原始資料!AM119),N(AK119)+1,1))</f>
        <v/>
      </c>
      <c r="AM119" s="6">
        <f>IF(OR(原始資料!$A119="",38&gt;設定!$B$3,原始資料!AO119=""),"",IF(AND(原始資料!AN119&lt;&gt;"",原始資料!AO119=原始資料!AN119),N(AL119)+1,1))</f>
        <v/>
      </c>
      <c r="AN119" s="6">
        <f>IF(OR(原始資料!$A119="",39&gt;設定!$B$3,原始資料!AP119=""),"",IF(AND(原始資料!AO119&lt;&gt;"",原始資料!AP119=原始資料!AO119),N(AM119)+1,1))</f>
        <v/>
      </c>
      <c r="AO119" s="6">
        <f>IF(OR(原始資料!$A119="",40&gt;設定!$B$3,原始資料!AQ119=""),"",IF(AND(原始資料!AP119&lt;&gt;"",原始資料!AQ119=原始資料!AP119),N(AN119)+1,1))</f>
        <v/>
      </c>
      <c r="AP119" s="6">
        <f>IF(OR(原始資料!$A119="",41&gt;設定!$B$3,原始資料!AR119=""),"",IF(AND(原始資料!AQ119&lt;&gt;"",原始資料!AR119=原始資料!AQ119),N(AO119)+1,1))</f>
        <v/>
      </c>
      <c r="AQ119" s="6">
        <f>IF(OR(原始資料!$A119="",42&gt;設定!$B$3,原始資料!AS119=""),"",IF(AND(原始資料!AR119&lt;&gt;"",原始資料!AS119=原始資料!AR119),N(AP119)+1,1))</f>
        <v/>
      </c>
      <c r="AR119" s="6">
        <f>IF(OR(原始資料!$A119="",43&gt;設定!$B$3,原始資料!AT119=""),"",IF(AND(原始資料!AS119&lt;&gt;"",原始資料!AT119=原始資料!AS119),N(AQ119)+1,1))</f>
        <v/>
      </c>
      <c r="AS119" s="6">
        <f>IF(OR(原始資料!$A119="",44&gt;設定!$B$3,原始資料!AU119=""),"",IF(AND(原始資料!AT119&lt;&gt;"",原始資料!AU119=原始資料!AT119),N(AR119)+1,1))</f>
        <v/>
      </c>
      <c r="AT119" s="6">
        <f>IF(OR(原始資料!$A119="",45&gt;設定!$B$3,原始資料!AV119=""),"",IF(AND(原始資料!AU119&lt;&gt;"",原始資料!AV119=原始資料!AU119),N(AS119)+1,1))</f>
        <v/>
      </c>
      <c r="AU119" s="6">
        <f>IF(OR(原始資料!$A119="",46&gt;設定!$B$3,原始資料!AW119=""),"",IF(AND(原始資料!AV119&lt;&gt;"",原始資料!AW119=原始資料!AV119),N(AT119)+1,1))</f>
        <v/>
      </c>
      <c r="AV119" s="6">
        <f>IF(OR(原始資料!$A119="",47&gt;設定!$B$3,原始資料!AX119=""),"",IF(AND(原始資料!AW119&lt;&gt;"",原始資料!AX119=原始資料!AW119),N(AU119)+1,1))</f>
        <v/>
      </c>
      <c r="AW119" s="6">
        <f>IF(OR(原始資料!$A119="",48&gt;設定!$B$3,原始資料!AY119=""),"",IF(AND(原始資料!AX119&lt;&gt;"",原始資料!AY119=原始資料!AX119),N(AV119)+1,1))</f>
        <v/>
      </c>
      <c r="AX119" s="6">
        <f>IF(OR(原始資料!$A119="",49&gt;設定!$B$3,原始資料!AZ119=""),"",IF(AND(原始資料!AY119&lt;&gt;"",原始資料!AZ119=原始資料!AY119),N(AW119)+1,1))</f>
        <v/>
      </c>
      <c r="AY119" s="6">
        <f>IF(OR(原始資料!$A119="",50&gt;設定!$B$3,原始資料!BA119=""),"",IF(AND(原始資料!AZ119&lt;&gt;"",原始資料!BA119=原始資料!AZ119),N(AX119)+1,1))</f>
        <v/>
      </c>
      <c r="AZ119" s="6">
        <f>IF(OR(原始資料!$A119="",51&gt;設定!$B$3,原始資料!BB119=""),"",IF(AND(原始資料!BA119&lt;&gt;"",原始資料!BB119=原始資料!BA119),N(AY119)+1,1))</f>
        <v/>
      </c>
      <c r="BA119" s="6">
        <f>IF(OR(原始資料!$A119="",52&gt;設定!$B$3,原始資料!BC119=""),"",IF(AND(原始資料!BB119&lt;&gt;"",原始資料!BC119=原始資料!BB119),N(AZ119)+1,1))</f>
        <v/>
      </c>
      <c r="BB119" s="6">
        <f>IF(OR(原始資料!$A119="",53&gt;設定!$B$3,原始資料!BD119=""),"",IF(AND(原始資料!BC119&lt;&gt;"",原始資料!BD119=原始資料!BC119),N(BA119)+1,1))</f>
        <v/>
      </c>
      <c r="BC119" s="6">
        <f>IF(OR(原始資料!$A119="",54&gt;設定!$B$3,原始資料!BE119=""),"",IF(AND(原始資料!BD119&lt;&gt;"",原始資料!BE119=原始資料!BD119),N(BB119)+1,1))</f>
        <v/>
      </c>
      <c r="BD119" s="6">
        <f>IF(OR(原始資料!$A119="",55&gt;設定!$B$3,原始資料!BF119=""),"",IF(AND(原始資料!BE119&lt;&gt;"",原始資料!BF119=原始資料!BE119),N(BC119)+1,1))</f>
        <v/>
      </c>
      <c r="BE119" s="6">
        <f>IF(OR(原始資料!$A119="",56&gt;設定!$B$3,原始資料!BG119=""),"",IF(AND(原始資料!BF119&lt;&gt;"",原始資料!BG119=原始資料!BF119),N(BD119)+1,1))</f>
        <v/>
      </c>
      <c r="BF119" s="6">
        <f>IF(OR(原始資料!$A119="",57&gt;設定!$B$3,原始資料!BH119=""),"",IF(AND(原始資料!BG119&lt;&gt;"",原始資料!BH119=原始資料!BG119),N(BE119)+1,1))</f>
        <v/>
      </c>
      <c r="BG119" s="6">
        <f>IF(OR(原始資料!$A119="",58&gt;設定!$B$3,原始資料!BI119=""),"",IF(AND(原始資料!BH119&lt;&gt;"",原始資料!BI119=原始資料!BH119),N(BF119)+1,1))</f>
        <v/>
      </c>
      <c r="BH119" s="6">
        <f>IF(OR(原始資料!$A119="",59&gt;設定!$B$3,原始資料!BJ119=""),"",IF(AND(原始資料!BI119&lt;&gt;"",原始資料!BJ119=原始資料!BI119),N(BG119)+1,1))</f>
        <v/>
      </c>
      <c r="BI119" s="6">
        <f>IF(OR(原始資料!$A119="",60&gt;設定!$B$3,原始資料!BK119=""),"",IF(AND(原始資料!BJ119&lt;&gt;"",原始資料!BK119=原始資料!BJ119),N(BH119)+1,1))</f>
        <v/>
      </c>
    </row>
    <row r="120">
      <c r="A120" s="6">
        <f>IF(原始資料!$A120="","",原始資料!$A120)</f>
        <v/>
      </c>
      <c r="B120" s="6">
        <f>IF(OR(原始資料!$A120="",1&gt;設定!$B$3,原始資料!D120=""),"",1)</f>
        <v/>
      </c>
      <c r="C120" s="6">
        <f>IF(OR(原始資料!$A120="",2&gt;設定!$B$3,原始資料!E120=""),"",IF(AND(原始資料!D120&lt;&gt;"",原始資料!E120=原始資料!D120),N(B120)+1,1))</f>
        <v/>
      </c>
      <c r="D120" s="6">
        <f>IF(OR(原始資料!$A120="",3&gt;設定!$B$3,原始資料!F120=""),"",IF(AND(原始資料!E120&lt;&gt;"",原始資料!F120=原始資料!E120),N(C120)+1,1))</f>
        <v/>
      </c>
      <c r="E120" s="6">
        <f>IF(OR(原始資料!$A120="",4&gt;設定!$B$3,原始資料!G120=""),"",IF(AND(原始資料!F120&lt;&gt;"",原始資料!G120=原始資料!F120),N(D120)+1,1))</f>
        <v/>
      </c>
      <c r="F120" s="6">
        <f>IF(OR(原始資料!$A120="",5&gt;設定!$B$3,原始資料!H120=""),"",IF(AND(原始資料!G120&lt;&gt;"",原始資料!H120=原始資料!G120),N(E120)+1,1))</f>
        <v/>
      </c>
      <c r="G120" s="6">
        <f>IF(OR(原始資料!$A120="",6&gt;設定!$B$3,原始資料!I120=""),"",IF(AND(原始資料!H120&lt;&gt;"",原始資料!I120=原始資料!H120),N(F120)+1,1))</f>
        <v/>
      </c>
      <c r="H120" s="6">
        <f>IF(OR(原始資料!$A120="",7&gt;設定!$B$3,原始資料!J120=""),"",IF(AND(原始資料!I120&lt;&gt;"",原始資料!J120=原始資料!I120),N(G120)+1,1))</f>
        <v/>
      </c>
      <c r="I120" s="6">
        <f>IF(OR(原始資料!$A120="",8&gt;設定!$B$3,原始資料!K120=""),"",IF(AND(原始資料!J120&lt;&gt;"",原始資料!K120=原始資料!J120),N(H120)+1,1))</f>
        <v/>
      </c>
      <c r="J120" s="6">
        <f>IF(OR(原始資料!$A120="",9&gt;設定!$B$3,原始資料!L120=""),"",IF(AND(原始資料!K120&lt;&gt;"",原始資料!L120=原始資料!K120),N(I120)+1,1))</f>
        <v/>
      </c>
      <c r="K120" s="6">
        <f>IF(OR(原始資料!$A120="",10&gt;設定!$B$3,原始資料!M120=""),"",IF(AND(原始資料!L120&lt;&gt;"",原始資料!M120=原始資料!L120),N(J120)+1,1))</f>
        <v/>
      </c>
      <c r="L120" s="6">
        <f>IF(OR(原始資料!$A120="",11&gt;設定!$B$3,原始資料!N120=""),"",IF(AND(原始資料!M120&lt;&gt;"",原始資料!N120=原始資料!M120),N(K120)+1,1))</f>
        <v/>
      </c>
      <c r="M120" s="6">
        <f>IF(OR(原始資料!$A120="",12&gt;設定!$B$3,原始資料!O120=""),"",IF(AND(原始資料!N120&lt;&gt;"",原始資料!O120=原始資料!N120),N(L120)+1,1))</f>
        <v/>
      </c>
      <c r="N120" s="6">
        <f>IF(OR(原始資料!$A120="",13&gt;設定!$B$3,原始資料!P120=""),"",IF(AND(原始資料!O120&lt;&gt;"",原始資料!P120=原始資料!O120),N(M120)+1,1))</f>
        <v/>
      </c>
      <c r="O120" s="6">
        <f>IF(OR(原始資料!$A120="",14&gt;設定!$B$3,原始資料!Q120=""),"",IF(AND(原始資料!P120&lt;&gt;"",原始資料!Q120=原始資料!P120),N(N120)+1,1))</f>
        <v/>
      </c>
      <c r="P120" s="6">
        <f>IF(OR(原始資料!$A120="",15&gt;設定!$B$3,原始資料!R120=""),"",IF(AND(原始資料!Q120&lt;&gt;"",原始資料!R120=原始資料!Q120),N(O120)+1,1))</f>
        <v/>
      </c>
      <c r="Q120" s="6">
        <f>IF(OR(原始資料!$A120="",16&gt;設定!$B$3,原始資料!S120=""),"",IF(AND(原始資料!R120&lt;&gt;"",原始資料!S120=原始資料!R120),N(P120)+1,1))</f>
        <v/>
      </c>
      <c r="R120" s="6">
        <f>IF(OR(原始資料!$A120="",17&gt;設定!$B$3,原始資料!T120=""),"",IF(AND(原始資料!S120&lt;&gt;"",原始資料!T120=原始資料!S120),N(Q120)+1,1))</f>
        <v/>
      </c>
      <c r="S120" s="6">
        <f>IF(OR(原始資料!$A120="",18&gt;設定!$B$3,原始資料!U120=""),"",IF(AND(原始資料!T120&lt;&gt;"",原始資料!U120=原始資料!T120),N(R120)+1,1))</f>
        <v/>
      </c>
      <c r="T120" s="6">
        <f>IF(OR(原始資料!$A120="",19&gt;設定!$B$3,原始資料!V120=""),"",IF(AND(原始資料!U120&lt;&gt;"",原始資料!V120=原始資料!U120),N(S120)+1,1))</f>
        <v/>
      </c>
      <c r="U120" s="6">
        <f>IF(OR(原始資料!$A120="",20&gt;設定!$B$3,原始資料!W120=""),"",IF(AND(原始資料!V120&lt;&gt;"",原始資料!W120=原始資料!V120),N(T120)+1,1))</f>
        <v/>
      </c>
      <c r="V120" s="6">
        <f>IF(OR(原始資料!$A120="",21&gt;設定!$B$3,原始資料!X120=""),"",IF(AND(原始資料!W120&lt;&gt;"",原始資料!X120=原始資料!W120),N(U120)+1,1))</f>
        <v/>
      </c>
      <c r="W120" s="6">
        <f>IF(OR(原始資料!$A120="",22&gt;設定!$B$3,原始資料!Y120=""),"",IF(AND(原始資料!X120&lt;&gt;"",原始資料!Y120=原始資料!X120),N(V120)+1,1))</f>
        <v/>
      </c>
      <c r="X120" s="6">
        <f>IF(OR(原始資料!$A120="",23&gt;設定!$B$3,原始資料!Z120=""),"",IF(AND(原始資料!Y120&lt;&gt;"",原始資料!Z120=原始資料!Y120),N(W120)+1,1))</f>
        <v/>
      </c>
      <c r="Y120" s="6">
        <f>IF(OR(原始資料!$A120="",24&gt;設定!$B$3,原始資料!AA120=""),"",IF(AND(原始資料!Z120&lt;&gt;"",原始資料!AA120=原始資料!Z120),N(X120)+1,1))</f>
        <v/>
      </c>
      <c r="Z120" s="6">
        <f>IF(OR(原始資料!$A120="",25&gt;設定!$B$3,原始資料!AB120=""),"",IF(AND(原始資料!AA120&lt;&gt;"",原始資料!AB120=原始資料!AA120),N(Y120)+1,1))</f>
        <v/>
      </c>
      <c r="AA120" s="6">
        <f>IF(OR(原始資料!$A120="",26&gt;設定!$B$3,原始資料!AC120=""),"",IF(AND(原始資料!AB120&lt;&gt;"",原始資料!AC120=原始資料!AB120),N(Z120)+1,1))</f>
        <v/>
      </c>
      <c r="AB120" s="6">
        <f>IF(OR(原始資料!$A120="",27&gt;設定!$B$3,原始資料!AD120=""),"",IF(AND(原始資料!AC120&lt;&gt;"",原始資料!AD120=原始資料!AC120),N(AA120)+1,1))</f>
        <v/>
      </c>
      <c r="AC120" s="6">
        <f>IF(OR(原始資料!$A120="",28&gt;設定!$B$3,原始資料!AE120=""),"",IF(AND(原始資料!AD120&lt;&gt;"",原始資料!AE120=原始資料!AD120),N(AB120)+1,1))</f>
        <v/>
      </c>
      <c r="AD120" s="6">
        <f>IF(OR(原始資料!$A120="",29&gt;設定!$B$3,原始資料!AF120=""),"",IF(AND(原始資料!AE120&lt;&gt;"",原始資料!AF120=原始資料!AE120),N(AC120)+1,1))</f>
        <v/>
      </c>
      <c r="AE120" s="6">
        <f>IF(OR(原始資料!$A120="",30&gt;設定!$B$3,原始資料!AG120=""),"",IF(AND(原始資料!AF120&lt;&gt;"",原始資料!AG120=原始資料!AF120),N(AD120)+1,1))</f>
        <v/>
      </c>
      <c r="AF120" s="6">
        <f>IF(OR(原始資料!$A120="",31&gt;設定!$B$3,原始資料!AH120=""),"",IF(AND(原始資料!AG120&lt;&gt;"",原始資料!AH120=原始資料!AG120),N(AE120)+1,1))</f>
        <v/>
      </c>
      <c r="AG120" s="6">
        <f>IF(OR(原始資料!$A120="",32&gt;設定!$B$3,原始資料!AI120=""),"",IF(AND(原始資料!AH120&lt;&gt;"",原始資料!AI120=原始資料!AH120),N(AF120)+1,1))</f>
        <v/>
      </c>
      <c r="AH120" s="6">
        <f>IF(OR(原始資料!$A120="",33&gt;設定!$B$3,原始資料!AJ120=""),"",IF(AND(原始資料!AI120&lt;&gt;"",原始資料!AJ120=原始資料!AI120),N(AG120)+1,1))</f>
        <v/>
      </c>
      <c r="AI120" s="6">
        <f>IF(OR(原始資料!$A120="",34&gt;設定!$B$3,原始資料!AK120=""),"",IF(AND(原始資料!AJ120&lt;&gt;"",原始資料!AK120=原始資料!AJ120),N(AH120)+1,1))</f>
        <v/>
      </c>
      <c r="AJ120" s="6">
        <f>IF(OR(原始資料!$A120="",35&gt;設定!$B$3,原始資料!AL120=""),"",IF(AND(原始資料!AK120&lt;&gt;"",原始資料!AL120=原始資料!AK120),N(AI120)+1,1))</f>
        <v/>
      </c>
      <c r="AK120" s="6">
        <f>IF(OR(原始資料!$A120="",36&gt;設定!$B$3,原始資料!AM120=""),"",IF(AND(原始資料!AL120&lt;&gt;"",原始資料!AM120=原始資料!AL120),N(AJ120)+1,1))</f>
        <v/>
      </c>
      <c r="AL120" s="6">
        <f>IF(OR(原始資料!$A120="",37&gt;設定!$B$3,原始資料!AN120=""),"",IF(AND(原始資料!AM120&lt;&gt;"",原始資料!AN120=原始資料!AM120),N(AK120)+1,1))</f>
        <v/>
      </c>
      <c r="AM120" s="6">
        <f>IF(OR(原始資料!$A120="",38&gt;設定!$B$3,原始資料!AO120=""),"",IF(AND(原始資料!AN120&lt;&gt;"",原始資料!AO120=原始資料!AN120),N(AL120)+1,1))</f>
        <v/>
      </c>
      <c r="AN120" s="6">
        <f>IF(OR(原始資料!$A120="",39&gt;設定!$B$3,原始資料!AP120=""),"",IF(AND(原始資料!AO120&lt;&gt;"",原始資料!AP120=原始資料!AO120),N(AM120)+1,1))</f>
        <v/>
      </c>
      <c r="AO120" s="6">
        <f>IF(OR(原始資料!$A120="",40&gt;設定!$B$3,原始資料!AQ120=""),"",IF(AND(原始資料!AP120&lt;&gt;"",原始資料!AQ120=原始資料!AP120),N(AN120)+1,1))</f>
        <v/>
      </c>
      <c r="AP120" s="6">
        <f>IF(OR(原始資料!$A120="",41&gt;設定!$B$3,原始資料!AR120=""),"",IF(AND(原始資料!AQ120&lt;&gt;"",原始資料!AR120=原始資料!AQ120),N(AO120)+1,1))</f>
        <v/>
      </c>
      <c r="AQ120" s="6">
        <f>IF(OR(原始資料!$A120="",42&gt;設定!$B$3,原始資料!AS120=""),"",IF(AND(原始資料!AR120&lt;&gt;"",原始資料!AS120=原始資料!AR120),N(AP120)+1,1))</f>
        <v/>
      </c>
      <c r="AR120" s="6">
        <f>IF(OR(原始資料!$A120="",43&gt;設定!$B$3,原始資料!AT120=""),"",IF(AND(原始資料!AS120&lt;&gt;"",原始資料!AT120=原始資料!AS120),N(AQ120)+1,1))</f>
        <v/>
      </c>
      <c r="AS120" s="6">
        <f>IF(OR(原始資料!$A120="",44&gt;設定!$B$3,原始資料!AU120=""),"",IF(AND(原始資料!AT120&lt;&gt;"",原始資料!AU120=原始資料!AT120),N(AR120)+1,1))</f>
        <v/>
      </c>
      <c r="AT120" s="6">
        <f>IF(OR(原始資料!$A120="",45&gt;設定!$B$3,原始資料!AV120=""),"",IF(AND(原始資料!AU120&lt;&gt;"",原始資料!AV120=原始資料!AU120),N(AS120)+1,1))</f>
        <v/>
      </c>
      <c r="AU120" s="6">
        <f>IF(OR(原始資料!$A120="",46&gt;設定!$B$3,原始資料!AW120=""),"",IF(AND(原始資料!AV120&lt;&gt;"",原始資料!AW120=原始資料!AV120),N(AT120)+1,1))</f>
        <v/>
      </c>
      <c r="AV120" s="6">
        <f>IF(OR(原始資料!$A120="",47&gt;設定!$B$3,原始資料!AX120=""),"",IF(AND(原始資料!AW120&lt;&gt;"",原始資料!AX120=原始資料!AW120),N(AU120)+1,1))</f>
        <v/>
      </c>
      <c r="AW120" s="6">
        <f>IF(OR(原始資料!$A120="",48&gt;設定!$B$3,原始資料!AY120=""),"",IF(AND(原始資料!AX120&lt;&gt;"",原始資料!AY120=原始資料!AX120),N(AV120)+1,1))</f>
        <v/>
      </c>
      <c r="AX120" s="6">
        <f>IF(OR(原始資料!$A120="",49&gt;設定!$B$3,原始資料!AZ120=""),"",IF(AND(原始資料!AY120&lt;&gt;"",原始資料!AZ120=原始資料!AY120),N(AW120)+1,1))</f>
        <v/>
      </c>
      <c r="AY120" s="6">
        <f>IF(OR(原始資料!$A120="",50&gt;設定!$B$3,原始資料!BA120=""),"",IF(AND(原始資料!AZ120&lt;&gt;"",原始資料!BA120=原始資料!AZ120),N(AX120)+1,1))</f>
        <v/>
      </c>
      <c r="AZ120" s="6">
        <f>IF(OR(原始資料!$A120="",51&gt;設定!$B$3,原始資料!BB120=""),"",IF(AND(原始資料!BA120&lt;&gt;"",原始資料!BB120=原始資料!BA120),N(AY120)+1,1))</f>
        <v/>
      </c>
      <c r="BA120" s="6">
        <f>IF(OR(原始資料!$A120="",52&gt;設定!$B$3,原始資料!BC120=""),"",IF(AND(原始資料!BB120&lt;&gt;"",原始資料!BC120=原始資料!BB120),N(AZ120)+1,1))</f>
        <v/>
      </c>
      <c r="BB120" s="6">
        <f>IF(OR(原始資料!$A120="",53&gt;設定!$B$3,原始資料!BD120=""),"",IF(AND(原始資料!BC120&lt;&gt;"",原始資料!BD120=原始資料!BC120),N(BA120)+1,1))</f>
        <v/>
      </c>
      <c r="BC120" s="6">
        <f>IF(OR(原始資料!$A120="",54&gt;設定!$B$3,原始資料!BE120=""),"",IF(AND(原始資料!BD120&lt;&gt;"",原始資料!BE120=原始資料!BD120),N(BB120)+1,1))</f>
        <v/>
      </c>
      <c r="BD120" s="6">
        <f>IF(OR(原始資料!$A120="",55&gt;設定!$B$3,原始資料!BF120=""),"",IF(AND(原始資料!BE120&lt;&gt;"",原始資料!BF120=原始資料!BE120),N(BC120)+1,1))</f>
        <v/>
      </c>
      <c r="BE120" s="6">
        <f>IF(OR(原始資料!$A120="",56&gt;設定!$B$3,原始資料!BG120=""),"",IF(AND(原始資料!BF120&lt;&gt;"",原始資料!BG120=原始資料!BF120),N(BD120)+1,1))</f>
        <v/>
      </c>
      <c r="BF120" s="6">
        <f>IF(OR(原始資料!$A120="",57&gt;設定!$B$3,原始資料!BH120=""),"",IF(AND(原始資料!BG120&lt;&gt;"",原始資料!BH120=原始資料!BG120),N(BE120)+1,1))</f>
        <v/>
      </c>
      <c r="BG120" s="6">
        <f>IF(OR(原始資料!$A120="",58&gt;設定!$B$3,原始資料!BI120=""),"",IF(AND(原始資料!BH120&lt;&gt;"",原始資料!BI120=原始資料!BH120),N(BF120)+1,1))</f>
        <v/>
      </c>
      <c r="BH120" s="6">
        <f>IF(OR(原始資料!$A120="",59&gt;設定!$B$3,原始資料!BJ120=""),"",IF(AND(原始資料!BI120&lt;&gt;"",原始資料!BJ120=原始資料!BI120),N(BG120)+1,1))</f>
        <v/>
      </c>
      <c r="BI120" s="6">
        <f>IF(OR(原始資料!$A120="",60&gt;設定!$B$3,原始資料!BK120=""),"",IF(AND(原始資料!BJ120&lt;&gt;"",原始資料!BK120=原始資料!BJ120),N(BH120)+1,1))</f>
        <v/>
      </c>
    </row>
    <row r="121">
      <c r="A121" s="6">
        <f>IF(原始資料!$A121="","",原始資料!$A121)</f>
        <v/>
      </c>
      <c r="B121" s="6">
        <f>IF(OR(原始資料!$A121="",1&gt;設定!$B$3,原始資料!D121=""),"",1)</f>
        <v/>
      </c>
      <c r="C121" s="6">
        <f>IF(OR(原始資料!$A121="",2&gt;設定!$B$3,原始資料!E121=""),"",IF(AND(原始資料!D121&lt;&gt;"",原始資料!E121=原始資料!D121),N(B121)+1,1))</f>
        <v/>
      </c>
      <c r="D121" s="6">
        <f>IF(OR(原始資料!$A121="",3&gt;設定!$B$3,原始資料!F121=""),"",IF(AND(原始資料!E121&lt;&gt;"",原始資料!F121=原始資料!E121),N(C121)+1,1))</f>
        <v/>
      </c>
      <c r="E121" s="6">
        <f>IF(OR(原始資料!$A121="",4&gt;設定!$B$3,原始資料!G121=""),"",IF(AND(原始資料!F121&lt;&gt;"",原始資料!G121=原始資料!F121),N(D121)+1,1))</f>
        <v/>
      </c>
      <c r="F121" s="6">
        <f>IF(OR(原始資料!$A121="",5&gt;設定!$B$3,原始資料!H121=""),"",IF(AND(原始資料!G121&lt;&gt;"",原始資料!H121=原始資料!G121),N(E121)+1,1))</f>
        <v/>
      </c>
      <c r="G121" s="6">
        <f>IF(OR(原始資料!$A121="",6&gt;設定!$B$3,原始資料!I121=""),"",IF(AND(原始資料!H121&lt;&gt;"",原始資料!I121=原始資料!H121),N(F121)+1,1))</f>
        <v/>
      </c>
      <c r="H121" s="6">
        <f>IF(OR(原始資料!$A121="",7&gt;設定!$B$3,原始資料!J121=""),"",IF(AND(原始資料!I121&lt;&gt;"",原始資料!J121=原始資料!I121),N(G121)+1,1))</f>
        <v/>
      </c>
      <c r="I121" s="6">
        <f>IF(OR(原始資料!$A121="",8&gt;設定!$B$3,原始資料!K121=""),"",IF(AND(原始資料!J121&lt;&gt;"",原始資料!K121=原始資料!J121),N(H121)+1,1))</f>
        <v/>
      </c>
      <c r="J121" s="6">
        <f>IF(OR(原始資料!$A121="",9&gt;設定!$B$3,原始資料!L121=""),"",IF(AND(原始資料!K121&lt;&gt;"",原始資料!L121=原始資料!K121),N(I121)+1,1))</f>
        <v/>
      </c>
      <c r="K121" s="6">
        <f>IF(OR(原始資料!$A121="",10&gt;設定!$B$3,原始資料!M121=""),"",IF(AND(原始資料!L121&lt;&gt;"",原始資料!M121=原始資料!L121),N(J121)+1,1))</f>
        <v/>
      </c>
      <c r="L121" s="6">
        <f>IF(OR(原始資料!$A121="",11&gt;設定!$B$3,原始資料!N121=""),"",IF(AND(原始資料!M121&lt;&gt;"",原始資料!N121=原始資料!M121),N(K121)+1,1))</f>
        <v/>
      </c>
      <c r="M121" s="6">
        <f>IF(OR(原始資料!$A121="",12&gt;設定!$B$3,原始資料!O121=""),"",IF(AND(原始資料!N121&lt;&gt;"",原始資料!O121=原始資料!N121),N(L121)+1,1))</f>
        <v/>
      </c>
      <c r="N121" s="6">
        <f>IF(OR(原始資料!$A121="",13&gt;設定!$B$3,原始資料!P121=""),"",IF(AND(原始資料!O121&lt;&gt;"",原始資料!P121=原始資料!O121),N(M121)+1,1))</f>
        <v/>
      </c>
      <c r="O121" s="6">
        <f>IF(OR(原始資料!$A121="",14&gt;設定!$B$3,原始資料!Q121=""),"",IF(AND(原始資料!P121&lt;&gt;"",原始資料!Q121=原始資料!P121),N(N121)+1,1))</f>
        <v/>
      </c>
      <c r="P121" s="6">
        <f>IF(OR(原始資料!$A121="",15&gt;設定!$B$3,原始資料!R121=""),"",IF(AND(原始資料!Q121&lt;&gt;"",原始資料!R121=原始資料!Q121),N(O121)+1,1))</f>
        <v/>
      </c>
      <c r="Q121" s="6">
        <f>IF(OR(原始資料!$A121="",16&gt;設定!$B$3,原始資料!S121=""),"",IF(AND(原始資料!R121&lt;&gt;"",原始資料!S121=原始資料!R121),N(P121)+1,1))</f>
        <v/>
      </c>
      <c r="R121" s="6">
        <f>IF(OR(原始資料!$A121="",17&gt;設定!$B$3,原始資料!T121=""),"",IF(AND(原始資料!S121&lt;&gt;"",原始資料!T121=原始資料!S121),N(Q121)+1,1))</f>
        <v/>
      </c>
      <c r="S121" s="6">
        <f>IF(OR(原始資料!$A121="",18&gt;設定!$B$3,原始資料!U121=""),"",IF(AND(原始資料!T121&lt;&gt;"",原始資料!U121=原始資料!T121),N(R121)+1,1))</f>
        <v/>
      </c>
      <c r="T121" s="6">
        <f>IF(OR(原始資料!$A121="",19&gt;設定!$B$3,原始資料!V121=""),"",IF(AND(原始資料!U121&lt;&gt;"",原始資料!V121=原始資料!U121),N(S121)+1,1))</f>
        <v/>
      </c>
      <c r="U121" s="6">
        <f>IF(OR(原始資料!$A121="",20&gt;設定!$B$3,原始資料!W121=""),"",IF(AND(原始資料!V121&lt;&gt;"",原始資料!W121=原始資料!V121),N(T121)+1,1))</f>
        <v/>
      </c>
      <c r="V121" s="6">
        <f>IF(OR(原始資料!$A121="",21&gt;設定!$B$3,原始資料!X121=""),"",IF(AND(原始資料!W121&lt;&gt;"",原始資料!X121=原始資料!W121),N(U121)+1,1))</f>
        <v/>
      </c>
      <c r="W121" s="6">
        <f>IF(OR(原始資料!$A121="",22&gt;設定!$B$3,原始資料!Y121=""),"",IF(AND(原始資料!X121&lt;&gt;"",原始資料!Y121=原始資料!X121),N(V121)+1,1))</f>
        <v/>
      </c>
      <c r="X121" s="6">
        <f>IF(OR(原始資料!$A121="",23&gt;設定!$B$3,原始資料!Z121=""),"",IF(AND(原始資料!Y121&lt;&gt;"",原始資料!Z121=原始資料!Y121),N(W121)+1,1))</f>
        <v/>
      </c>
      <c r="Y121" s="6">
        <f>IF(OR(原始資料!$A121="",24&gt;設定!$B$3,原始資料!AA121=""),"",IF(AND(原始資料!Z121&lt;&gt;"",原始資料!AA121=原始資料!Z121),N(X121)+1,1))</f>
        <v/>
      </c>
      <c r="Z121" s="6">
        <f>IF(OR(原始資料!$A121="",25&gt;設定!$B$3,原始資料!AB121=""),"",IF(AND(原始資料!AA121&lt;&gt;"",原始資料!AB121=原始資料!AA121),N(Y121)+1,1))</f>
        <v/>
      </c>
      <c r="AA121" s="6">
        <f>IF(OR(原始資料!$A121="",26&gt;設定!$B$3,原始資料!AC121=""),"",IF(AND(原始資料!AB121&lt;&gt;"",原始資料!AC121=原始資料!AB121),N(Z121)+1,1))</f>
        <v/>
      </c>
      <c r="AB121" s="6">
        <f>IF(OR(原始資料!$A121="",27&gt;設定!$B$3,原始資料!AD121=""),"",IF(AND(原始資料!AC121&lt;&gt;"",原始資料!AD121=原始資料!AC121),N(AA121)+1,1))</f>
        <v/>
      </c>
      <c r="AC121" s="6">
        <f>IF(OR(原始資料!$A121="",28&gt;設定!$B$3,原始資料!AE121=""),"",IF(AND(原始資料!AD121&lt;&gt;"",原始資料!AE121=原始資料!AD121),N(AB121)+1,1))</f>
        <v/>
      </c>
      <c r="AD121" s="6">
        <f>IF(OR(原始資料!$A121="",29&gt;設定!$B$3,原始資料!AF121=""),"",IF(AND(原始資料!AE121&lt;&gt;"",原始資料!AF121=原始資料!AE121),N(AC121)+1,1))</f>
        <v/>
      </c>
      <c r="AE121" s="6">
        <f>IF(OR(原始資料!$A121="",30&gt;設定!$B$3,原始資料!AG121=""),"",IF(AND(原始資料!AF121&lt;&gt;"",原始資料!AG121=原始資料!AF121),N(AD121)+1,1))</f>
        <v/>
      </c>
      <c r="AF121" s="6">
        <f>IF(OR(原始資料!$A121="",31&gt;設定!$B$3,原始資料!AH121=""),"",IF(AND(原始資料!AG121&lt;&gt;"",原始資料!AH121=原始資料!AG121),N(AE121)+1,1))</f>
        <v/>
      </c>
      <c r="AG121" s="6">
        <f>IF(OR(原始資料!$A121="",32&gt;設定!$B$3,原始資料!AI121=""),"",IF(AND(原始資料!AH121&lt;&gt;"",原始資料!AI121=原始資料!AH121),N(AF121)+1,1))</f>
        <v/>
      </c>
      <c r="AH121" s="6">
        <f>IF(OR(原始資料!$A121="",33&gt;設定!$B$3,原始資料!AJ121=""),"",IF(AND(原始資料!AI121&lt;&gt;"",原始資料!AJ121=原始資料!AI121),N(AG121)+1,1))</f>
        <v/>
      </c>
      <c r="AI121" s="6">
        <f>IF(OR(原始資料!$A121="",34&gt;設定!$B$3,原始資料!AK121=""),"",IF(AND(原始資料!AJ121&lt;&gt;"",原始資料!AK121=原始資料!AJ121),N(AH121)+1,1))</f>
        <v/>
      </c>
      <c r="AJ121" s="6">
        <f>IF(OR(原始資料!$A121="",35&gt;設定!$B$3,原始資料!AL121=""),"",IF(AND(原始資料!AK121&lt;&gt;"",原始資料!AL121=原始資料!AK121),N(AI121)+1,1))</f>
        <v/>
      </c>
      <c r="AK121" s="6">
        <f>IF(OR(原始資料!$A121="",36&gt;設定!$B$3,原始資料!AM121=""),"",IF(AND(原始資料!AL121&lt;&gt;"",原始資料!AM121=原始資料!AL121),N(AJ121)+1,1))</f>
        <v/>
      </c>
      <c r="AL121" s="6">
        <f>IF(OR(原始資料!$A121="",37&gt;設定!$B$3,原始資料!AN121=""),"",IF(AND(原始資料!AM121&lt;&gt;"",原始資料!AN121=原始資料!AM121),N(AK121)+1,1))</f>
        <v/>
      </c>
      <c r="AM121" s="6">
        <f>IF(OR(原始資料!$A121="",38&gt;設定!$B$3,原始資料!AO121=""),"",IF(AND(原始資料!AN121&lt;&gt;"",原始資料!AO121=原始資料!AN121),N(AL121)+1,1))</f>
        <v/>
      </c>
      <c r="AN121" s="6">
        <f>IF(OR(原始資料!$A121="",39&gt;設定!$B$3,原始資料!AP121=""),"",IF(AND(原始資料!AO121&lt;&gt;"",原始資料!AP121=原始資料!AO121),N(AM121)+1,1))</f>
        <v/>
      </c>
      <c r="AO121" s="6">
        <f>IF(OR(原始資料!$A121="",40&gt;設定!$B$3,原始資料!AQ121=""),"",IF(AND(原始資料!AP121&lt;&gt;"",原始資料!AQ121=原始資料!AP121),N(AN121)+1,1))</f>
        <v/>
      </c>
      <c r="AP121" s="6">
        <f>IF(OR(原始資料!$A121="",41&gt;設定!$B$3,原始資料!AR121=""),"",IF(AND(原始資料!AQ121&lt;&gt;"",原始資料!AR121=原始資料!AQ121),N(AO121)+1,1))</f>
        <v/>
      </c>
      <c r="AQ121" s="6">
        <f>IF(OR(原始資料!$A121="",42&gt;設定!$B$3,原始資料!AS121=""),"",IF(AND(原始資料!AR121&lt;&gt;"",原始資料!AS121=原始資料!AR121),N(AP121)+1,1))</f>
        <v/>
      </c>
      <c r="AR121" s="6">
        <f>IF(OR(原始資料!$A121="",43&gt;設定!$B$3,原始資料!AT121=""),"",IF(AND(原始資料!AS121&lt;&gt;"",原始資料!AT121=原始資料!AS121),N(AQ121)+1,1))</f>
        <v/>
      </c>
      <c r="AS121" s="6">
        <f>IF(OR(原始資料!$A121="",44&gt;設定!$B$3,原始資料!AU121=""),"",IF(AND(原始資料!AT121&lt;&gt;"",原始資料!AU121=原始資料!AT121),N(AR121)+1,1))</f>
        <v/>
      </c>
      <c r="AT121" s="6">
        <f>IF(OR(原始資料!$A121="",45&gt;設定!$B$3,原始資料!AV121=""),"",IF(AND(原始資料!AU121&lt;&gt;"",原始資料!AV121=原始資料!AU121),N(AS121)+1,1))</f>
        <v/>
      </c>
      <c r="AU121" s="6">
        <f>IF(OR(原始資料!$A121="",46&gt;設定!$B$3,原始資料!AW121=""),"",IF(AND(原始資料!AV121&lt;&gt;"",原始資料!AW121=原始資料!AV121),N(AT121)+1,1))</f>
        <v/>
      </c>
      <c r="AV121" s="6">
        <f>IF(OR(原始資料!$A121="",47&gt;設定!$B$3,原始資料!AX121=""),"",IF(AND(原始資料!AW121&lt;&gt;"",原始資料!AX121=原始資料!AW121),N(AU121)+1,1))</f>
        <v/>
      </c>
      <c r="AW121" s="6">
        <f>IF(OR(原始資料!$A121="",48&gt;設定!$B$3,原始資料!AY121=""),"",IF(AND(原始資料!AX121&lt;&gt;"",原始資料!AY121=原始資料!AX121),N(AV121)+1,1))</f>
        <v/>
      </c>
      <c r="AX121" s="6">
        <f>IF(OR(原始資料!$A121="",49&gt;設定!$B$3,原始資料!AZ121=""),"",IF(AND(原始資料!AY121&lt;&gt;"",原始資料!AZ121=原始資料!AY121),N(AW121)+1,1))</f>
        <v/>
      </c>
      <c r="AY121" s="6">
        <f>IF(OR(原始資料!$A121="",50&gt;設定!$B$3,原始資料!BA121=""),"",IF(AND(原始資料!AZ121&lt;&gt;"",原始資料!BA121=原始資料!AZ121),N(AX121)+1,1))</f>
        <v/>
      </c>
      <c r="AZ121" s="6">
        <f>IF(OR(原始資料!$A121="",51&gt;設定!$B$3,原始資料!BB121=""),"",IF(AND(原始資料!BA121&lt;&gt;"",原始資料!BB121=原始資料!BA121),N(AY121)+1,1))</f>
        <v/>
      </c>
      <c r="BA121" s="6">
        <f>IF(OR(原始資料!$A121="",52&gt;設定!$B$3,原始資料!BC121=""),"",IF(AND(原始資料!BB121&lt;&gt;"",原始資料!BC121=原始資料!BB121),N(AZ121)+1,1))</f>
        <v/>
      </c>
      <c r="BB121" s="6">
        <f>IF(OR(原始資料!$A121="",53&gt;設定!$B$3,原始資料!BD121=""),"",IF(AND(原始資料!BC121&lt;&gt;"",原始資料!BD121=原始資料!BC121),N(BA121)+1,1))</f>
        <v/>
      </c>
      <c r="BC121" s="6">
        <f>IF(OR(原始資料!$A121="",54&gt;設定!$B$3,原始資料!BE121=""),"",IF(AND(原始資料!BD121&lt;&gt;"",原始資料!BE121=原始資料!BD121),N(BB121)+1,1))</f>
        <v/>
      </c>
      <c r="BD121" s="6">
        <f>IF(OR(原始資料!$A121="",55&gt;設定!$B$3,原始資料!BF121=""),"",IF(AND(原始資料!BE121&lt;&gt;"",原始資料!BF121=原始資料!BE121),N(BC121)+1,1))</f>
        <v/>
      </c>
      <c r="BE121" s="6">
        <f>IF(OR(原始資料!$A121="",56&gt;設定!$B$3,原始資料!BG121=""),"",IF(AND(原始資料!BF121&lt;&gt;"",原始資料!BG121=原始資料!BF121),N(BD121)+1,1))</f>
        <v/>
      </c>
      <c r="BF121" s="6">
        <f>IF(OR(原始資料!$A121="",57&gt;設定!$B$3,原始資料!BH121=""),"",IF(AND(原始資料!BG121&lt;&gt;"",原始資料!BH121=原始資料!BG121),N(BE121)+1,1))</f>
        <v/>
      </c>
      <c r="BG121" s="6">
        <f>IF(OR(原始資料!$A121="",58&gt;設定!$B$3,原始資料!BI121=""),"",IF(AND(原始資料!BH121&lt;&gt;"",原始資料!BI121=原始資料!BH121),N(BF121)+1,1))</f>
        <v/>
      </c>
      <c r="BH121" s="6">
        <f>IF(OR(原始資料!$A121="",59&gt;設定!$B$3,原始資料!BJ121=""),"",IF(AND(原始資料!BI121&lt;&gt;"",原始資料!BJ121=原始資料!BI121),N(BG121)+1,1))</f>
        <v/>
      </c>
      <c r="BI121" s="6">
        <f>IF(OR(原始資料!$A121="",60&gt;設定!$B$3,原始資料!BK121=""),"",IF(AND(原始資料!BJ121&lt;&gt;"",原始資料!BK121=原始資料!BJ121),N(BH121)+1,1))</f>
        <v/>
      </c>
    </row>
    <row r="122">
      <c r="A122" s="6">
        <f>IF(原始資料!$A122="","",原始資料!$A122)</f>
        <v/>
      </c>
      <c r="B122" s="6">
        <f>IF(OR(原始資料!$A122="",1&gt;設定!$B$3,原始資料!D122=""),"",1)</f>
        <v/>
      </c>
      <c r="C122" s="6">
        <f>IF(OR(原始資料!$A122="",2&gt;設定!$B$3,原始資料!E122=""),"",IF(AND(原始資料!D122&lt;&gt;"",原始資料!E122=原始資料!D122),N(B122)+1,1))</f>
        <v/>
      </c>
      <c r="D122" s="6">
        <f>IF(OR(原始資料!$A122="",3&gt;設定!$B$3,原始資料!F122=""),"",IF(AND(原始資料!E122&lt;&gt;"",原始資料!F122=原始資料!E122),N(C122)+1,1))</f>
        <v/>
      </c>
      <c r="E122" s="6">
        <f>IF(OR(原始資料!$A122="",4&gt;設定!$B$3,原始資料!G122=""),"",IF(AND(原始資料!F122&lt;&gt;"",原始資料!G122=原始資料!F122),N(D122)+1,1))</f>
        <v/>
      </c>
      <c r="F122" s="6">
        <f>IF(OR(原始資料!$A122="",5&gt;設定!$B$3,原始資料!H122=""),"",IF(AND(原始資料!G122&lt;&gt;"",原始資料!H122=原始資料!G122),N(E122)+1,1))</f>
        <v/>
      </c>
      <c r="G122" s="6">
        <f>IF(OR(原始資料!$A122="",6&gt;設定!$B$3,原始資料!I122=""),"",IF(AND(原始資料!H122&lt;&gt;"",原始資料!I122=原始資料!H122),N(F122)+1,1))</f>
        <v/>
      </c>
      <c r="H122" s="6">
        <f>IF(OR(原始資料!$A122="",7&gt;設定!$B$3,原始資料!J122=""),"",IF(AND(原始資料!I122&lt;&gt;"",原始資料!J122=原始資料!I122),N(G122)+1,1))</f>
        <v/>
      </c>
      <c r="I122" s="6">
        <f>IF(OR(原始資料!$A122="",8&gt;設定!$B$3,原始資料!K122=""),"",IF(AND(原始資料!J122&lt;&gt;"",原始資料!K122=原始資料!J122),N(H122)+1,1))</f>
        <v/>
      </c>
      <c r="J122" s="6">
        <f>IF(OR(原始資料!$A122="",9&gt;設定!$B$3,原始資料!L122=""),"",IF(AND(原始資料!K122&lt;&gt;"",原始資料!L122=原始資料!K122),N(I122)+1,1))</f>
        <v/>
      </c>
      <c r="K122" s="6">
        <f>IF(OR(原始資料!$A122="",10&gt;設定!$B$3,原始資料!M122=""),"",IF(AND(原始資料!L122&lt;&gt;"",原始資料!M122=原始資料!L122),N(J122)+1,1))</f>
        <v/>
      </c>
      <c r="L122" s="6">
        <f>IF(OR(原始資料!$A122="",11&gt;設定!$B$3,原始資料!N122=""),"",IF(AND(原始資料!M122&lt;&gt;"",原始資料!N122=原始資料!M122),N(K122)+1,1))</f>
        <v/>
      </c>
      <c r="M122" s="6">
        <f>IF(OR(原始資料!$A122="",12&gt;設定!$B$3,原始資料!O122=""),"",IF(AND(原始資料!N122&lt;&gt;"",原始資料!O122=原始資料!N122),N(L122)+1,1))</f>
        <v/>
      </c>
      <c r="N122" s="6">
        <f>IF(OR(原始資料!$A122="",13&gt;設定!$B$3,原始資料!P122=""),"",IF(AND(原始資料!O122&lt;&gt;"",原始資料!P122=原始資料!O122),N(M122)+1,1))</f>
        <v/>
      </c>
      <c r="O122" s="6">
        <f>IF(OR(原始資料!$A122="",14&gt;設定!$B$3,原始資料!Q122=""),"",IF(AND(原始資料!P122&lt;&gt;"",原始資料!Q122=原始資料!P122),N(N122)+1,1))</f>
        <v/>
      </c>
      <c r="P122" s="6">
        <f>IF(OR(原始資料!$A122="",15&gt;設定!$B$3,原始資料!R122=""),"",IF(AND(原始資料!Q122&lt;&gt;"",原始資料!R122=原始資料!Q122),N(O122)+1,1))</f>
        <v/>
      </c>
      <c r="Q122" s="6">
        <f>IF(OR(原始資料!$A122="",16&gt;設定!$B$3,原始資料!S122=""),"",IF(AND(原始資料!R122&lt;&gt;"",原始資料!S122=原始資料!R122),N(P122)+1,1))</f>
        <v/>
      </c>
      <c r="R122" s="6">
        <f>IF(OR(原始資料!$A122="",17&gt;設定!$B$3,原始資料!T122=""),"",IF(AND(原始資料!S122&lt;&gt;"",原始資料!T122=原始資料!S122),N(Q122)+1,1))</f>
        <v/>
      </c>
      <c r="S122" s="6">
        <f>IF(OR(原始資料!$A122="",18&gt;設定!$B$3,原始資料!U122=""),"",IF(AND(原始資料!T122&lt;&gt;"",原始資料!U122=原始資料!T122),N(R122)+1,1))</f>
        <v/>
      </c>
      <c r="T122" s="6">
        <f>IF(OR(原始資料!$A122="",19&gt;設定!$B$3,原始資料!V122=""),"",IF(AND(原始資料!U122&lt;&gt;"",原始資料!V122=原始資料!U122),N(S122)+1,1))</f>
        <v/>
      </c>
      <c r="U122" s="6">
        <f>IF(OR(原始資料!$A122="",20&gt;設定!$B$3,原始資料!W122=""),"",IF(AND(原始資料!V122&lt;&gt;"",原始資料!W122=原始資料!V122),N(T122)+1,1))</f>
        <v/>
      </c>
      <c r="V122" s="6">
        <f>IF(OR(原始資料!$A122="",21&gt;設定!$B$3,原始資料!X122=""),"",IF(AND(原始資料!W122&lt;&gt;"",原始資料!X122=原始資料!W122),N(U122)+1,1))</f>
        <v/>
      </c>
      <c r="W122" s="6">
        <f>IF(OR(原始資料!$A122="",22&gt;設定!$B$3,原始資料!Y122=""),"",IF(AND(原始資料!X122&lt;&gt;"",原始資料!Y122=原始資料!X122),N(V122)+1,1))</f>
        <v/>
      </c>
      <c r="X122" s="6">
        <f>IF(OR(原始資料!$A122="",23&gt;設定!$B$3,原始資料!Z122=""),"",IF(AND(原始資料!Y122&lt;&gt;"",原始資料!Z122=原始資料!Y122),N(W122)+1,1))</f>
        <v/>
      </c>
      <c r="Y122" s="6">
        <f>IF(OR(原始資料!$A122="",24&gt;設定!$B$3,原始資料!AA122=""),"",IF(AND(原始資料!Z122&lt;&gt;"",原始資料!AA122=原始資料!Z122),N(X122)+1,1))</f>
        <v/>
      </c>
      <c r="Z122" s="6">
        <f>IF(OR(原始資料!$A122="",25&gt;設定!$B$3,原始資料!AB122=""),"",IF(AND(原始資料!AA122&lt;&gt;"",原始資料!AB122=原始資料!AA122),N(Y122)+1,1))</f>
        <v/>
      </c>
      <c r="AA122" s="6">
        <f>IF(OR(原始資料!$A122="",26&gt;設定!$B$3,原始資料!AC122=""),"",IF(AND(原始資料!AB122&lt;&gt;"",原始資料!AC122=原始資料!AB122),N(Z122)+1,1))</f>
        <v/>
      </c>
      <c r="AB122" s="6">
        <f>IF(OR(原始資料!$A122="",27&gt;設定!$B$3,原始資料!AD122=""),"",IF(AND(原始資料!AC122&lt;&gt;"",原始資料!AD122=原始資料!AC122),N(AA122)+1,1))</f>
        <v/>
      </c>
      <c r="AC122" s="6">
        <f>IF(OR(原始資料!$A122="",28&gt;設定!$B$3,原始資料!AE122=""),"",IF(AND(原始資料!AD122&lt;&gt;"",原始資料!AE122=原始資料!AD122),N(AB122)+1,1))</f>
        <v/>
      </c>
      <c r="AD122" s="6">
        <f>IF(OR(原始資料!$A122="",29&gt;設定!$B$3,原始資料!AF122=""),"",IF(AND(原始資料!AE122&lt;&gt;"",原始資料!AF122=原始資料!AE122),N(AC122)+1,1))</f>
        <v/>
      </c>
      <c r="AE122" s="6">
        <f>IF(OR(原始資料!$A122="",30&gt;設定!$B$3,原始資料!AG122=""),"",IF(AND(原始資料!AF122&lt;&gt;"",原始資料!AG122=原始資料!AF122),N(AD122)+1,1))</f>
        <v/>
      </c>
      <c r="AF122" s="6">
        <f>IF(OR(原始資料!$A122="",31&gt;設定!$B$3,原始資料!AH122=""),"",IF(AND(原始資料!AG122&lt;&gt;"",原始資料!AH122=原始資料!AG122),N(AE122)+1,1))</f>
        <v/>
      </c>
      <c r="AG122" s="6">
        <f>IF(OR(原始資料!$A122="",32&gt;設定!$B$3,原始資料!AI122=""),"",IF(AND(原始資料!AH122&lt;&gt;"",原始資料!AI122=原始資料!AH122),N(AF122)+1,1))</f>
        <v/>
      </c>
      <c r="AH122" s="6">
        <f>IF(OR(原始資料!$A122="",33&gt;設定!$B$3,原始資料!AJ122=""),"",IF(AND(原始資料!AI122&lt;&gt;"",原始資料!AJ122=原始資料!AI122),N(AG122)+1,1))</f>
        <v/>
      </c>
      <c r="AI122" s="6">
        <f>IF(OR(原始資料!$A122="",34&gt;設定!$B$3,原始資料!AK122=""),"",IF(AND(原始資料!AJ122&lt;&gt;"",原始資料!AK122=原始資料!AJ122),N(AH122)+1,1))</f>
        <v/>
      </c>
      <c r="AJ122" s="6">
        <f>IF(OR(原始資料!$A122="",35&gt;設定!$B$3,原始資料!AL122=""),"",IF(AND(原始資料!AK122&lt;&gt;"",原始資料!AL122=原始資料!AK122),N(AI122)+1,1))</f>
        <v/>
      </c>
      <c r="AK122" s="6">
        <f>IF(OR(原始資料!$A122="",36&gt;設定!$B$3,原始資料!AM122=""),"",IF(AND(原始資料!AL122&lt;&gt;"",原始資料!AM122=原始資料!AL122),N(AJ122)+1,1))</f>
        <v/>
      </c>
      <c r="AL122" s="6">
        <f>IF(OR(原始資料!$A122="",37&gt;設定!$B$3,原始資料!AN122=""),"",IF(AND(原始資料!AM122&lt;&gt;"",原始資料!AN122=原始資料!AM122),N(AK122)+1,1))</f>
        <v/>
      </c>
      <c r="AM122" s="6">
        <f>IF(OR(原始資料!$A122="",38&gt;設定!$B$3,原始資料!AO122=""),"",IF(AND(原始資料!AN122&lt;&gt;"",原始資料!AO122=原始資料!AN122),N(AL122)+1,1))</f>
        <v/>
      </c>
      <c r="AN122" s="6">
        <f>IF(OR(原始資料!$A122="",39&gt;設定!$B$3,原始資料!AP122=""),"",IF(AND(原始資料!AO122&lt;&gt;"",原始資料!AP122=原始資料!AO122),N(AM122)+1,1))</f>
        <v/>
      </c>
      <c r="AO122" s="6">
        <f>IF(OR(原始資料!$A122="",40&gt;設定!$B$3,原始資料!AQ122=""),"",IF(AND(原始資料!AP122&lt;&gt;"",原始資料!AQ122=原始資料!AP122),N(AN122)+1,1))</f>
        <v/>
      </c>
      <c r="AP122" s="6">
        <f>IF(OR(原始資料!$A122="",41&gt;設定!$B$3,原始資料!AR122=""),"",IF(AND(原始資料!AQ122&lt;&gt;"",原始資料!AR122=原始資料!AQ122),N(AO122)+1,1))</f>
        <v/>
      </c>
      <c r="AQ122" s="6">
        <f>IF(OR(原始資料!$A122="",42&gt;設定!$B$3,原始資料!AS122=""),"",IF(AND(原始資料!AR122&lt;&gt;"",原始資料!AS122=原始資料!AR122),N(AP122)+1,1))</f>
        <v/>
      </c>
      <c r="AR122" s="6">
        <f>IF(OR(原始資料!$A122="",43&gt;設定!$B$3,原始資料!AT122=""),"",IF(AND(原始資料!AS122&lt;&gt;"",原始資料!AT122=原始資料!AS122),N(AQ122)+1,1))</f>
        <v/>
      </c>
      <c r="AS122" s="6">
        <f>IF(OR(原始資料!$A122="",44&gt;設定!$B$3,原始資料!AU122=""),"",IF(AND(原始資料!AT122&lt;&gt;"",原始資料!AU122=原始資料!AT122),N(AR122)+1,1))</f>
        <v/>
      </c>
      <c r="AT122" s="6">
        <f>IF(OR(原始資料!$A122="",45&gt;設定!$B$3,原始資料!AV122=""),"",IF(AND(原始資料!AU122&lt;&gt;"",原始資料!AV122=原始資料!AU122),N(AS122)+1,1))</f>
        <v/>
      </c>
      <c r="AU122" s="6">
        <f>IF(OR(原始資料!$A122="",46&gt;設定!$B$3,原始資料!AW122=""),"",IF(AND(原始資料!AV122&lt;&gt;"",原始資料!AW122=原始資料!AV122),N(AT122)+1,1))</f>
        <v/>
      </c>
      <c r="AV122" s="6">
        <f>IF(OR(原始資料!$A122="",47&gt;設定!$B$3,原始資料!AX122=""),"",IF(AND(原始資料!AW122&lt;&gt;"",原始資料!AX122=原始資料!AW122),N(AU122)+1,1))</f>
        <v/>
      </c>
      <c r="AW122" s="6">
        <f>IF(OR(原始資料!$A122="",48&gt;設定!$B$3,原始資料!AY122=""),"",IF(AND(原始資料!AX122&lt;&gt;"",原始資料!AY122=原始資料!AX122),N(AV122)+1,1))</f>
        <v/>
      </c>
      <c r="AX122" s="6">
        <f>IF(OR(原始資料!$A122="",49&gt;設定!$B$3,原始資料!AZ122=""),"",IF(AND(原始資料!AY122&lt;&gt;"",原始資料!AZ122=原始資料!AY122),N(AW122)+1,1))</f>
        <v/>
      </c>
      <c r="AY122" s="6">
        <f>IF(OR(原始資料!$A122="",50&gt;設定!$B$3,原始資料!BA122=""),"",IF(AND(原始資料!AZ122&lt;&gt;"",原始資料!BA122=原始資料!AZ122),N(AX122)+1,1))</f>
        <v/>
      </c>
      <c r="AZ122" s="6">
        <f>IF(OR(原始資料!$A122="",51&gt;設定!$B$3,原始資料!BB122=""),"",IF(AND(原始資料!BA122&lt;&gt;"",原始資料!BB122=原始資料!BA122),N(AY122)+1,1))</f>
        <v/>
      </c>
      <c r="BA122" s="6">
        <f>IF(OR(原始資料!$A122="",52&gt;設定!$B$3,原始資料!BC122=""),"",IF(AND(原始資料!BB122&lt;&gt;"",原始資料!BC122=原始資料!BB122),N(AZ122)+1,1))</f>
        <v/>
      </c>
      <c r="BB122" s="6">
        <f>IF(OR(原始資料!$A122="",53&gt;設定!$B$3,原始資料!BD122=""),"",IF(AND(原始資料!BC122&lt;&gt;"",原始資料!BD122=原始資料!BC122),N(BA122)+1,1))</f>
        <v/>
      </c>
      <c r="BC122" s="6">
        <f>IF(OR(原始資料!$A122="",54&gt;設定!$B$3,原始資料!BE122=""),"",IF(AND(原始資料!BD122&lt;&gt;"",原始資料!BE122=原始資料!BD122),N(BB122)+1,1))</f>
        <v/>
      </c>
      <c r="BD122" s="6">
        <f>IF(OR(原始資料!$A122="",55&gt;設定!$B$3,原始資料!BF122=""),"",IF(AND(原始資料!BE122&lt;&gt;"",原始資料!BF122=原始資料!BE122),N(BC122)+1,1))</f>
        <v/>
      </c>
      <c r="BE122" s="6">
        <f>IF(OR(原始資料!$A122="",56&gt;設定!$B$3,原始資料!BG122=""),"",IF(AND(原始資料!BF122&lt;&gt;"",原始資料!BG122=原始資料!BF122),N(BD122)+1,1))</f>
        <v/>
      </c>
      <c r="BF122" s="6">
        <f>IF(OR(原始資料!$A122="",57&gt;設定!$B$3,原始資料!BH122=""),"",IF(AND(原始資料!BG122&lt;&gt;"",原始資料!BH122=原始資料!BG122),N(BE122)+1,1))</f>
        <v/>
      </c>
      <c r="BG122" s="6">
        <f>IF(OR(原始資料!$A122="",58&gt;設定!$B$3,原始資料!BI122=""),"",IF(AND(原始資料!BH122&lt;&gt;"",原始資料!BI122=原始資料!BH122),N(BF122)+1,1))</f>
        <v/>
      </c>
      <c r="BH122" s="6">
        <f>IF(OR(原始資料!$A122="",59&gt;設定!$B$3,原始資料!BJ122=""),"",IF(AND(原始資料!BI122&lt;&gt;"",原始資料!BJ122=原始資料!BI122),N(BG122)+1,1))</f>
        <v/>
      </c>
      <c r="BI122" s="6">
        <f>IF(OR(原始資料!$A122="",60&gt;設定!$B$3,原始資料!BK122=""),"",IF(AND(原始資料!BJ122&lt;&gt;"",原始資料!BK122=原始資料!BJ122),N(BH122)+1,1))</f>
        <v/>
      </c>
    </row>
    <row r="123">
      <c r="A123" s="6">
        <f>IF(原始資料!$A123="","",原始資料!$A123)</f>
        <v/>
      </c>
      <c r="B123" s="6">
        <f>IF(OR(原始資料!$A123="",1&gt;設定!$B$3,原始資料!D123=""),"",1)</f>
        <v/>
      </c>
      <c r="C123" s="6">
        <f>IF(OR(原始資料!$A123="",2&gt;設定!$B$3,原始資料!E123=""),"",IF(AND(原始資料!D123&lt;&gt;"",原始資料!E123=原始資料!D123),N(B123)+1,1))</f>
        <v/>
      </c>
      <c r="D123" s="6">
        <f>IF(OR(原始資料!$A123="",3&gt;設定!$B$3,原始資料!F123=""),"",IF(AND(原始資料!E123&lt;&gt;"",原始資料!F123=原始資料!E123),N(C123)+1,1))</f>
        <v/>
      </c>
      <c r="E123" s="6">
        <f>IF(OR(原始資料!$A123="",4&gt;設定!$B$3,原始資料!G123=""),"",IF(AND(原始資料!F123&lt;&gt;"",原始資料!G123=原始資料!F123),N(D123)+1,1))</f>
        <v/>
      </c>
      <c r="F123" s="6">
        <f>IF(OR(原始資料!$A123="",5&gt;設定!$B$3,原始資料!H123=""),"",IF(AND(原始資料!G123&lt;&gt;"",原始資料!H123=原始資料!G123),N(E123)+1,1))</f>
        <v/>
      </c>
      <c r="G123" s="6">
        <f>IF(OR(原始資料!$A123="",6&gt;設定!$B$3,原始資料!I123=""),"",IF(AND(原始資料!H123&lt;&gt;"",原始資料!I123=原始資料!H123),N(F123)+1,1))</f>
        <v/>
      </c>
      <c r="H123" s="6">
        <f>IF(OR(原始資料!$A123="",7&gt;設定!$B$3,原始資料!J123=""),"",IF(AND(原始資料!I123&lt;&gt;"",原始資料!J123=原始資料!I123),N(G123)+1,1))</f>
        <v/>
      </c>
      <c r="I123" s="6">
        <f>IF(OR(原始資料!$A123="",8&gt;設定!$B$3,原始資料!K123=""),"",IF(AND(原始資料!J123&lt;&gt;"",原始資料!K123=原始資料!J123),N(H123)+1,1))</f>
        <v/>
      </c>
      <c r="J123" s="6">
        <f>IF(OR(原始資料!$A123="",9&gt;設定!$B$3,原始資料!L123=""),"",IF(AND(原始資料!K123&lt;&gt;"",原始資料!L123=原始資料!K123),N(I123)+1,1))</f>
        <v/>
      </c>
      <c r="K123" s="6">
        <f>IF(OR(原始資料!$A123="",10&gt;設定!$B$3,原始資料!M123=""),"",IF(AND(原始資料!L123&lt;&gt;"",原始資料!M123=原始資料!L123),N(J123)+1,1))</f>
        <v/>
      </c>
      <c r="L123" s="6">
        <f>IF(OR(原始資料!$A123="",11&gt;設定!$B$3,原始資料!N123=""),"",IF(AND(原始資料!M123&lt;&gt;"",原始資料!N123=原始資料!M123),N(K123)+1,1))</f>
        <v/>
      </c>
      <c r="M123" s="6">
        <f>IF(OR(原始資料!$A123="",12&gt;設定!$B$3,原始資料!O123=""),"",IF(AND(原始資料!N123&lt;&gt;"",原始資料!O123=原始資料!N123),N(L123)+1,1))</f>
        <v/>
      </c>
      <c r="N123" s="6">
        <f>IF(OR(原始資料!$A123="",13&gt;設定!$B$3,原始資料!P123=""),"",IF(AND(原始資料!O123&lt;&gt;"",原始資料!P123=原始資料!O123),N(M123)+1,1))</f>
        <v/>
      </c>
      <c r="O123" s="6">
        <f>IF(OR(原始資料!$A123="",14&gt;設定!$B$3,原始資料!Q123=""),"",IF(AND(原始資料!P123&lt;&gt;"",原始資料!Q123=原始資料!P123),N(N123)+1,1))</f>
        <v/>
      </c>
      <c r="P123" s="6">
        <f>IF(OR(原始資料!$A123="",15&gt;設定!$B$3,原始資料!R123=""),"",IF(AND(原始資料!Q123&lt;&gt;"",原始資料!R123=原始資料!Q123),N(O123)+1,1))</f>
        <v/>
      </c>
      <c r="Q123" s="6">
        <f>IF(OR(原始資料!$A123="",16&gt;設定!$B$3,原始資料!S123=""),"",IF(AND(原始資料!R123&lt;&gt;"",原始資料!S123=原始資料!R123),N(P123)+1,1))</f>
        <v/>
      </c>
      <c r="R123" s="6">
        <f>IF(OR(原始資料!$A123="",17&gt;設定!$B$3,原始資料!T123=""),"",IF(AND(原始資料!S123&lt;&gt;"",原始資料!T123=原始資料!S123),N(Q123)+1,1))</f>
        <v/>
      </c>
      <c r="S123" s="6">
        <f>IF(OR(原始資料!$A123="",18&gt;設定!$B$3,原始資料!U123=""),"",IF(AND(原始資料!T123&lt;&gt;"",原始資料!U123=原始資料!T123),N(R123)+1,1))</f>
        <v/>
      </c>
      <c r="T123" s="6">
        <f>IF(OR(原始資料!$A123="",19&gt;設定!$B$3,原始資料!V123=""),"",IF(AND(原始資料!U123&lt;&gt;"",原始資料!V123=原始資料!U123),N(S123)+1,1))</f>
        <v/>
      </c>
      <c r="U123" s="6">
        <f>IF(OR(原始資料!$A123="",20&gt;設定!$B$3,原始資料!W123=""),"",IF(AND(原始資料!V123&lt;&gt;"",原始資料!W123=原始資料!V123),N(T123)+1,1))</f>
        <v/>
      </c>
      <c r="V123" s="6">
        <f>IF(OR(原始資料!$A123="",21&gt;設定!$B$3,原始資料!X123=""),"",IF(AND(原始資料!W123&lt;&gt;"",原始資料!X123=原始資料!W123),N(U123)+1,1))</f>
        <v/>
      </c>
      <c r="W123" s="6">
        <f>IF(OR(原始資料!$A123="",22&gt;設定!$B$3,原始資料!Y123=""),"",IF(AND(原始資料!X123&lt;&gt;"",原始資料!Y123=原始資料!X123),N(V123)+1,1))</f>
        <v/>
      </c>
      <c r="X123" s="6">
        <f>IF(OR(原始資料!$A123="",23&gt;設定!$B$3,原始資料!Z123=""),"",IF(AND(原始資料!Y123&lt;&gt;"",原始資料!Z123=原始資料!Y123),N(W123)+1,1))</f>
        <v/>
      </c>
      <c r="Y123" s="6">
        <f>IF(OR(原始資料!$A123="",24&gt;設定!$B$3,原始資料!AA123=""),"",IF(AND(原始資料!Z123&lt;&gt;"",原始資料!AA123=原始資料!Z123),N(X123)+1,1))</f>
        <v/>
      </c>
      <c r="Z123" s="6">
        <f>IF(OR(原始資料!$A123="",25&gt;設定!$B$3,原始資料!AB123=""),"",IF(AND(原始資料!AA123&lt;&gt;"",原始資料!AB123=原始資料!AA123),N(Y123)+1,1))</f>
        <v/>
      </c>
      <c r="AA123" s="6">
        <f>IF(OR(原始資料!$A123="",26&gt;設定!$B$3,原始資料!AC123=""),"",IF(AND(原始資料!AB123&lt;&gt;"",原始資料!AC123=原始資料!AB123),N(Z123)+1,1))</f>
        <v/>
      </c>
      <c r="AB123" s="6">
        <f>IF(OR(原始資料!$A123="",27&gt;設定!$B$3,原始資料!AD123=""),"",IF(AND(原始資料!AC123&lt;&gt;"",原始資料!AD123=原始資料!AC123),N(AA123)+1,1))</f>
        <v/>
      </c>
      <c r="AC123" s="6">
        <f>IF(OR(原始資料!$A123="",28&gt;設定!$B$3,原始資料!AE123=""),"",IF(AND(原始資料!AD123&lt;&gt;"",原始資料!AE123=原始資料!AD123),N(AB123)+1,1))</f>
        <v/>
      </c>
      <c r="AD123" s="6">
        <f>IF(OR(原始資料!$A123="",29&gt;設定!$B$3,原始資料!AF123=""),"",IF(AND(原始資料!AE123&lt;&gt;"",原始資料!AF123=原始資料!AE123),N(AC123)+1,1))</f>
        <v/>
      </c>
      <c r="AE123" s="6">
        <f>IF(OR(原始資料!$A123="",30&gt;設定!$B$3,原始資料!AG123=""),"",IF(AND(原始資料!AF123&lt;&gt;"",原始資料!AG123=原始資料!AF123),N(AD123)+1,1))</f>
        <v/>
      </c>
      <c r="AF123" s="6">
        <f>IF(OR(原始資料!$A123="",31&gt;設定!$B$3,原始資料!AH123=""),"",IF(AND(原始資料!AG123&lt;&gt;"",原始資料!AH123=原始資料!AG123),N(AE123)+1,1))</f>
        <v/>
      </c>
      <c r="AG123" s="6">
        <f>IF(OR(原始資料!$A123="",32&gt;設定!$B$3,原始資料!AI123=""),"",IF(AND(原始資料!AH123&lt;&gt;"",原始資料!AI123=原始資料!AH123),N(AF123)+1,1))</f>
        <v/>
      </c>
      <c r="AH123" s="6">
        <f>IF(OR(原始資料!$A123="",33&gt;設定!$B$3,原始資料!AJ123=""),"",IF(AND(原始資料!AI123&lt;&gt;"",原始資料!AJ123=原始資料!AI123),N(AG123)+1,1))</f>
        <v/>
      </c>
      <c r="AI123" s="6">
        <f>IF(OR(原始資料!$A123="",34&gt;設定!$B$3,原始資料!AK123=""),"",IF(AND(原始資料!AJ123&lt;&gt;"",原始資料!AK123=原始資料!AJ123),N(AH123)+1,1))</f>
        <v/>
      </c>
      <c r="AJ123" s="6">
        <f>IF(OR(原始資料!$A123="",35&gt;設定!$B$3,原始資料!AL123=""),"",IF(AND(原始資料!AK123&lt;&gt;"",原始資料!AL123=原始資料!AK123),N(AI123)+1,1))</f>
        <v/>
      </c>
      <c r="AK123" s="6">
        <f>IF(OR(原始資料!$A123="",36&gt;設定!$B$3,原始資料!AM123=""),"",IF(AND(原始資料!AL123&lt;&gt;"",原始資料!AM123=原始資料!AL123),N(AJ123)+1,1))</f>
        <v/>
      </c>
      <c r="AL123" s="6">
        <f>IF(OR(原始資料!$A123="",37&gt;設定!$B$3,原始資料!AN123=""),"",IF(AND(原始資料!AM123&lt;&gt;"",原始資料!AN123=原始資料!AM123),N(AK123)+1,1))</f>
        <v/>
      </c>
      <c r="AM123" s="6">
        <f>IF(OR(原始資料!$A123="",38&gt;設定!$B$3,原始資料!AO123=""),"",IF(AND(原始資料!AN123&lt;&gt;"",原始資料!AO123=原始資料!AN123),N(AL123)+1,1))</f>
        <v/>
      </c>
      <c r="AN123" s="6">
        <f>IF(OR(原始資料!$A123="",39&gt;設定!$B$3,原始資料!AP123=""),"",IF(AND(原始資料!AO123&lt;&gt;"",原始資料!AP123=原始資料!AO123),N(AM123)+1,1))</f>
        <v/>
      </c>
      <c r="AO123" s="6">
        <f>IF(OR(原始資料!$A123="",40&gt;設定!$B$3,原始資料!AQ123=""),"",IF(AND(原始資料!AP123&lt;&gt;"",原始資料!AQ123=原始資料!AP123),N(AN123)+1,1))</f>
        <v/>
      </c>
      <c r="AP123" s="6">
        <f>IF(OR(原始資料!$A123="",41&gt;設定!$B$3,原始資料!AR123=""),"",IF(AND(原始資料!AQ123&lt;&gt;"",原始資料!AR123=原始資料!AQ123),N(AO123)+1,1))</f>
        <v/>
      </c>
      <c r="AQ123" s="6">
        <f>IF(OR(原始資料!$A123="",42&gt;設定!$B$3,原始資料!AS123=""),"",IF(AND(原始資料!AR123&lt;&gt;"",原始資料!AS123=原始資料!AR123),N(AP123)+1,1))</f>
        <v/>
      </c>
      <c r="AR123" s="6">
        <f>IF(OR(原始資料!$A123="",43&gt;設定!$B$3,原始資料!AT123=""),"",IF(AND(原始資料!AS123&lt;&gt;"",原始資料!AT123=原始資料!AS123),N(AQ123)+1,1))</f>
        <v/>
      </c>
      <c r="AS123" s="6">
        <f>IF(OR(原始資料!$A123="",44&gt;設定!$B$3,原始資料!AU123=""),"",IF(AND(原始資料!AT123&lt;&gt;"",原始資料!AU123=原始資料!AT123),N(AR123)+1,1))</f>
        <v/>
      </c>
      <c r="AT123" s="6">
        <f>IF(OR(原始資料!$A123="",45&gt;設定!$B$3,原始資料!AV123=""),"",IF(AND(原始資料!AU123&lt;&gt;"",原始資料!AV123=原始資料!AU123),N(AS123)+1,1))</f>
        <v/>
      </c>
      <c r="AU123" s="6">
        <f>IF(OR(原始資料!$A123="",46&gt;設定!$B$3,原始資料!AW123=""),"",IF(AND(原始資料!AV123&lt;&gt;"",原始資料!AW123=原始資料!AV123),N(AT123)+1,1))</f>
        <v/>
      </c>
      <c r="AV123" s="6">
        <f>IF(OR(原始資料!$A123="",47&gt;設定!$B$3,原始資料!AX123=""),"",IF(AND(原始資料!AW123&lt;&gt;"",原始資料!AX123=原始資料!AW123),N(AU123)+1,1))</f>
        <v/>
      </c>
      <c r="AW123" s="6">
        <f>IF(OR(原始資料!$A123="",48&gt;設定!$B$3,原始資料!AY123=""),"",IF(AND(原始資料!AX123&lt;&gt;"",原始資料!AY123=原始資料!AX123),N(AV123)+1,1))</f>
        <v/>
      </c>
      <c r="AX123" s="6">
        <f>IF(OR(原始資料!$A123="",49&gt;設定!$B$3,原始資料!AZ123=""),"",IF(AND(原始資料!AY123&lt;&gt;"",原始資料!AZ123=原始資料!AY123),N(AW123)+1,1))</f>
        <v/>
      </c>
      <c r="AY123" s="6">
        <f>IF(OR(原始資料!$A123="",50&gt;設定!$B$3,原始資料!BA123=""),"",IF(AND(原始資料!AZ123&lt;&gt;"",原始資料!BA123=原始資料!AZ123),N(AX123)+1,1))</f>
        <v/>
      </c>
      <c r="AZ123" s="6">
        <f>IF(OR(原始資料!$A123="",51&gt;設定!$B$3,原始資料!BB123=""),"",IF(AND(原始資料!BA123&lt;&gt;"",原始資料!BB123=原始資料!BA123),N(AY123)+1,1))</f>
        <v/>
      </c>
      <c r="BA123" s="6">
        <f>IF(OR(原始資料!$A123="",52&gt;設定!$B$3,原始資料!BC123=""),"",IF(AND(原始資料!BB123&lt;&gt;"",原始資料!BC123=原始資料!BB123),N(AZ123)+1,1))</f>
        <v/>
      </c>
      <c r="BB123" s="6">
        <f>IF(OR(原始資料!$A123="",53&gt;設定!$B$3,原始資料!BD123=""),"",IF(AND(原始資料!BC123&lt;&gt;"",原始資料!BD123=原始資料!BC123),N(BA123)+1,1))</f>
        <v/>
      </c>
      <c r="BC123" s="6">
        <f>IF(OR(原始資料!$A123="",54&gt;設定!$B$3,原始資料!BE123=""),"",IF(AND(原始資料!BD123&lt;&gt;"",原始資料!BE123=原始資料!BD123),N(BB123)+1,1))</f>
        <v/>
      </c>
      <c r="BD123" s="6">
        <f>IF(OR(原始資料!$A123="",55&gt;設定!$B$3,原始資料!BF123=""),"",IF(AND(原始資料!BE123&lt;&gt;"",原始資料!BF123=原始資料!BE123),N(BC123)+1,1))</f>
        <v/>
      </c>
      <c r="BE123" s="6">
        <f>IF(OR(原始資料!$A123="",56&gt;設定!$B$3,原始資料!BG123=""),"",IF(AND(原始資料!BF123&lt;&gt;"",原始資料!BG123=原始資料!BF123),N(BD123)+1,1))</f>
        <v/>
      </c>
      <c r="BF123" s="6">
        <f>IF(OR(原始資料!$A123="",57&gt;設定!$B$3,原始資料!BH123=""),"",IF(AND(原始資料!BG123&lt;&gt;"",原始資料!BH123=原始資料!BG123),N(BE123)+1,1))</f>
        <v/>
      </c>
      <c r="BG123" s="6">
        <f>IF(OR(原始資料!$A123="",58&gt;設定!$B$3,原始資料!BI123=""),"",IF(AND(原始資料!BH123&lt;&gt;"",原始資料!BI123=原始資料!BH123),N(BF123)+1,1))</f>
        <v/>
      </c>
      <c r="BH123" s="6">
        <f>IF(OR(原始資料!$A123="",59&gt;設定!$B$3,原始資料!BJ123=""),"",IF(AND(原始資料!BI123&lt;&gt;"",原始資料!BJ123=原始資料!BI123),N(BG123)+1,1))</f>
        <v/>
      </c>
      <c r="BI123" s="6">
        <f>IF(OR(原始資料!$A123="",60&gt;設定!$B$3,原始資料!BK123=""),"",IF(AND(原始資料!BJ123&lt;&gt;"",原始資料!BK123=原始資料!BJ123),N(BH123)+1,1))</f>
        <v/>
      </c>
    </row>
    <row r="124">
      <c r="A124" s="6">
        <f>IF(原始資料!$A124="","",原始資料!$A124)</f>
        <v/>
      </c>
      <c r="B124" s="6">
        <f>IF(OR(原始資料!$A124="",1&gt;設定!$B$3,原始資料!D124=""),"",1)</f>
        <v/>
      </c>
      <c r="C124" s="6">
        <f>IF(OR(原始資料!$A124="",2&gt;設定!$B$3,原始資料!E124=""),"",IF(AND(原始資料!D124&lt;&gt;"",原始資料!E124=原始資料!D124),N(B124)+1,1))</f>
        <v/>
      </c>
      <c r="D124" s="6">
        <f>IF(OR(原始資料!$A124="",3&gt;設定!$B$3,原始資料!F124=""),"",IF(AND(原始資料!E124&lt;&gt;"",原始資料!F124=原始資料!E124),N(C124)+1,1))</f>
        <v/>
      </c>
      <c r="E124" s="6">
        <f>IF(OR(原始資料!$A124="",4&gt;設定!$B$3,原始資料!G124=""),"",IF(AND(原始資料!F124&lt;&gt;"",原始資料!G124=原始資料!F124),N(D124)+1,1))</f>
        <v/>
      </c>
      <c r="F124" s="6">
        <f>IF(OR(原始資料!$A124="",5&gt;設定!$B$3,原始資料!H124=""),"",IF(AND(原始資料!G124&lt;&gt;"",原始資料!H124=原始資料!G124),N(E124)+1,1))</f>
        <v/>
      </c>
      <c r="G124" s="6">
        <f>IF(OR(原始資料!$A124="",6&gt;設定!$B$3,原始資料!I124=""),"",IF(AND(原始資料!H124&lt;&gt;"",原始資料!I124=原始資料!H124),N(F124)+1,1))</f>
        <v/>
      </c>
      <c r="H124" s="6">
        <f>IF(OR(原始資料!$A124="",7&gt;設定!$B$3,原始資料!J124=""),"",IF(AND(原始資料!I124&lt;&gt;"",原始資料!J124=原始資料!I124),N(G124)+1,1))</f>
        <v/>
      </c>
      <c r="I124" s="6">
        <f>IF(OR(原始資料!$A124="",8&gt;設定!$B$3,原始資料!K124=""),"",IF(AND(原始資料!J124&lt;&gt;"",原始資料!K124=原始資料!J124),N(H124)+1,1))</f>
        <v/>
      </c>
      <c r="J124" s="6">
        <f>IF(OR(原始資料!$A124="",9&gt;設定!$B$3,原始資料!L124=""),"",IF(AND(原始資料!K124&lt;&gt;"",原始資料!L124=原始資料!K124),N(I124)+1,1))</f>
        <v/>
      </c>
      <c r="K124" s="6">
        <f>IF(OR(原始資料!$A124="",10&gt;設定!$B$3,原始資料!M124=""),"",IF(AND(原始資料!L124&lt;&gt;"",原始資料!M124=原始資料!L124),N(J124)+1,1))</f>
        <v/>
      </c>
      <c r="L124" s="6">
        <f>IF(OR(原始資料!$A124="",11&gt;設定!$B$3,原始資料!N124=""),"",IF(AND(原始資料!M124&lt;&gt;"",原始資料!N124=原始資料!M124),N(K124)+1,1))</f>
        <v/>
      </c>
      <c r="M124" s="6">
        <f>IF(OR(原始資料!$A124="",12&gt;設定!$B$3,原始資料!O124=""),"",IF(AND(原始資料!N124&lt;&gt;"",原始資料!O124=原始資料!N124),N(L124)+1,1))</f>
        <v/>
      </c>
      <c r="N124" s="6">
        <f>IF(OR(原始資料!$A124="",13&gt;設定!$B$3,原始資料!P124=""),"",IF(AND(原始資料!O124&lt;&gt;"",原始資料!P124=原始資料!O124),N(M124)+1,1))</f>
        <v/>
      </c>
      <c r="O124" s="6">
        <f>IF(OR(原始資料!$A124="",14&gt;設定!$B$3,原始資料!Q124=""),"",IF(AND(原始資料!P124&lt;&gt;"",原始資料!Q124=原始資料!P124),N(N124)+1,1))</f>
        <v/>
      </c>
      <c r="P124" s="6">
        <f>IF(OR(原始資料!$A124="",15&gt;設定!$B$3,原始資料!R124=""),"",IF(AND(原始資料!Q124&lt;&gt;"",原始資料!R124=原始資料!Q124),N(O124)+1,1))</f>
        <v/>
      </c>
      <c r="Q124" s="6">
        <f>IF(OR(原始資料!$A124="",16&gt;設定!$B$3,原始資料!S124=""),"",IF(AND(原始資料!R124&lt;&gt;"",原始資料!S124=原始資料!R124),N(P124)+1,1))</f>
        <v/>
      </c>
      <c r="R124" s="6">
        <f>IF(OR(原始資料!$A124="",17&gt;設定!$B$3,原始資料!T124=""),"",IF(AND(原始資料!S124&lt;&gt;"",原始資料!T124=原始資料!S124),N(Q124)+1,1))</f>
        <v/>
      </c>
      <c r="S124" s="6">
        <f>IF(OR(原始資料!$A124="",18&gt;設定!$B$3,原始資料!U124=""),"",IF(AND(原始資料!T124&lt;&gt;"",原始資料!U124=原始資料!T124),N(R124)+1,1))</f>
        <v/>
      </c>
      <c r="T124" s="6">
        <f>IF(OR(原始資料!$A124="",19&gt;設定!$B$3,原始資料!V124=""),"",IF(AND(原始資料!U124&lt;&gt;"",原始資料!V124=原始資料!U124),N(S124)+1,1))</f>
        <v/>
      </c>
      <c r="U124" s="6">
        <f>IF(OR(原始資料!$A124="",20&gt;設定!$B$3,原始資料!W124=""),"",IF(AND(原始資料!V124&lt;&gt;"",原始資料!W124=原始資料!V124),N(T124)+1,1))</f>
        <v/>
      </c>
      <c r="V124" s="6">
        <f>IF(OR(原始資料!$A124="",21&gt;設定!$B$3,原始資料!X124=""),"",IF(AND(原始資料!W124&lt;&gt;"",原始資料!X124=原始資料!W124),N(U124)+1,1))</f>
        <v/>
      </c>
      <c r="W124" s="6">
        <f>IF(OR(原始資料!$A124="",22&gt;設定!$B$3,原始資料!Y124=""),"",IF(AND(原始資料!X124&lt;&gt;"",原始資料!Y124=原始資料!X124),N(V124)+1,1))</f>
        <v/>
      </c>
      <c r="X124" s="6">
        <f>IF(OR(原始資料!$A124="",23&gt;設定!$B$3,原始資料!Z124=""),"",IF(AND(原始資料!Y124&lt;&gt;"",原始資料!Z124=原始資料!Y124),N(W124)+1,1))</f>
        <v/>
      </c>
      <c r="Y124" s="6">
        <f>IF(OR(原始資料!$A124="",24&gt;設定!$B$3,原始資料!AA124=""),"",IF(AND(原始資料!Z124&lt;&gt;"",原始資料!AA124=原始資料!Z124),N(X124)+1,1))</f>
        <v/>
      </c>
      <c r="Z124" s="6">
        <f>IF(OR(原始資料!$A124="",25&gt;設定!$B$3,原始資料!AB124=""),"",IF(AND(原始資料!AA124&lt;&gt;"",原始資料!AB124=原始資料!AA124),N(Y124)+1,1))</f>
        <v/>
      </c>
      <c r="AA124" s="6">
        <f>IF(OR(原始資料!$A124="",26&gt;設定!$B$3,原始資料!AC124=""),"",IF(AND(原始資料!AB124&lt;&gt;"",原始資料!AC124=原始資料!AB124),N(Z124)+1,1))</f>
        <v/>
      </c>
      <c r="AB124" s="6">
        <f>IF(OR(原始資料!$A124="",27&gt;設定!$B$3,原始資料!AD124=""),"",IF(AND(原始資料!AC124&lt;&gt;"",原始資料!AD124=原始資料!AC124),N(AA124)+1,1))</f>
        <v/>
      </c>
      <c r="AC124" s="6">
        <f>IF(OR(原始資料!$A124="",28&gt;設定!$B$3,原始資料!AE124=""),"",IF(AND(原始資料!AD124&lt;&gt;"",原始資料!AE124=原始資料!AD124),N(AB124)+1,1))</f>
        <v/>
      </c>
      <c r="AD124" s="6">
        <f>IF(OR(原始資料!$A124="",29&gt;設定!$B$3,原始資料!AF124=""),"",IF(AND(原始資料!AE124&lt;&gt;"",原始資料!AF124=原始資料!AE124),N(AC124)+1,1))</f>
        <v/>
      </c>
      <c r="AE124" s="6">
        <f>IF(OR(原始資料!$A124="",30&gt;設定!$B$3,原始資料!AG124=""),"",IF(AND(原始資料!AF124&lt;&gt;"",原始資料!AG124=原始資料!AF124),N(AD124)+1,1))</f>
        <v/>
      </c>
      <c r="AF124" s="6">
        <f>IF(OR(原始資料!$A124="",31&gt;設定!$B$3,原始資料!AH124=""),"",IF(AND(原始資料!AG124&lt;&gt;"",原始資料!AH124=原始資料!AG124),N(AE124)+1,1))</f>
        <v/>
      </c>
      <c r="AG124" s="6">
        <f>IF(OR(原始資料!$A124="",32&gt;設定!$B$3,原始資料!AI124=""),"",IF(AND(原始資料!AH124&lt;&gt;"",原始資料!AI124=原始資料!AH124),N(AF124)+1,1))</f>
        <v/>
      </c>
      <c r="AH124" s="6">
        <f>IF(OR(原始資料!$A124="",33&gt;設定!$B$3,原始資料!AJ124=""),"",IF(AND(原始資料!AI124&lt;&gt;"",原始資料!AJ124=原始資料!AI124),N(AG124)+1,1))</f>
        <v/>
      </c>
      <c r="AI124" s="6">
        <f>IF(OR(原始資料!$A124="",34&gt;設定!$B$3,原始資料!AK124=""),"",IF(AND(原始資料!AJ124&lt;&gt;"",原始資料!AK124=原始資料!AJ124),N(AH124)+1,1))</f>
        <v/>
      </c>
      <c r="AJ124" s="6">
        <f>IF(OR(原始資料!$A124="",35&gt;設定!$B$3,原始資料!AL124=""),"",IF(AND(原始資料!AK124&lt;&gt;"",原始資料!AL124=原始資料!AK124),N(AI124)+1,1))</f>
        <v/>
      </c>
      <c r="AK124" s="6">
        <f>IF(OR(原始資料!$A124="",36&gt;設定!$B$3,原始資料!AM124=""),"",IF(AND(原始資料!AL124&lt;&gt;"",原始資料!AM124=原始資料!AL124),N(AJ124)+1,1))</f>
        <v/>
      </c>
      <c r="AL124" s="6">
        <f>IF(OR(原始資料!$A124="",37&gt;設定!$B$3,原始資料!AN124=""),"",IF(AND(原始資料!AM124&lt;&gt;"",原始資料!AN124=原始資料!AM124),N(AK124)+1,1))</f>
        <v/>
      </c>
      <c r="AM124" s="6">
        <f>IF(OR(原始資料!$A124="",38&gt;設定!$B$3,原始資料!AO124=""),"",IF(AND(原始資料!AN124&lt;&gt;"",原始資料!AO124=原始資料!AN124),N(AL124)+1,1))</f>
        <v/>
      </c>
      <c r="AN124" s="6">
        <f>IF(OR(原始資料!$A124="",39&gt;設定!$B$3,原始資料!AP124=""),"",IF(AND(原始資料!AO124&lt;&gt;"",原始資料!AP124=原始資料!AO124),N(AM124)+1,1))</f>
        <v/>
      </c>
      <c r="AO124" s="6">
        <f>IF(OR(原始資料!$A124="",40&gt;設定!$B$3,原始資料!AQ124=""),"",IF(AND(原始資料!AP124&lt;&gt;"",原始資料!AQ124=原始資料!AP124),N(AN124)+1,1))</f>
        <v/>
      </c>
      <c r="AP124" s="6">
        <f>IF(OR(原始資料!$A124="",41&gt;設定!$B$3,原始資料!AR124=""),"",IF(AND(原始資料!AQ124&lt;&gt;"",原始資料!AR124=原始資料!AQ124),N(AO124)+1,1))</f>
        <v/>
      </c>
      <c r="AQ124" s="6">
        <f>IF(OR(原始資料!$A124="",42&gt;設定!$B$3,原始資料!AS124=""),"",IF(AND(原始資料!AR124&lt;&gt;"",原始資料!AS124=原始資料!AR124),N(AP124)+1,1))</f>
        <v/>
      </c>
      <c r="AR124" s="6">
        <f>IF(OR(原始資料!$A124="",43&gt;設定!$B$3,原始資料!AT124=""),"",IF(AND(原始資料!AS124&lt;&gt;"",原始資料!AT124=原始資料!AS124),N(AQ124)+1,1))</f>
        <v/>
      </c>
      <c r="AS124" s="6">
        <f>IF(OR(原始資料!$A124="",44&gt;設定!$B$3,原始資料!AU124=""),"",IF(AND(原始資料!AT124&lt;&gt;"",原始資料!AU124=原始資料!AT124),N(AR124)+1,1))</f>
        <v/>
      </c>
      <c r="AT124" s="6">
        <f>IF(OR(原始資料!$A124="",45&gt;設定!$B$3,原始資料!AV124=""),"",IF(AND(原始資料!AU124&lt;&gt;"",原始資料!AV124=原始資料!AU124),N(AS124)+1,1))</f>
        <v/>
      </c>
      <c r="AU124" s="6">
        <f>IF(OR(原始資料!$A124="",46&gt;設定!$B$3,原始資料!AW124=""),"",IF(AND(原始資料!AV124&lt;&gt;"",原始資料!AW124=原始資料!AV124),N(AT124)+1,1))</f>
        <v/>
      </c>
      <c r="AV124" s="6">
        <f>IF(OR(原始資料!$A124="",47&gt;設定!$B$3,原始資料!AX124=""),"",IF(AND(原始資料!AW124&lt;&gt;"",原始資料!AX124=原始資料!AW124),N(AU124)+1,1))</f>
        <v/>
      </c>
      <c r="AW124" s="6">
        <f>IF(OR(原始資料!$A124="",48&gt;設定!$B$3,原始資料!AY124=""),"",IF(AND(原始資料!AX124&lt;&gt;"",原始資料!AY124=原始資料!AX124),N(AV124)+1,1))</f>
        <v/>
      </c>
      <c r="AX124" s="6">
        <f>IF(OR(原始資料!$A124="",49&gt;設定!$B$3,原始資料!AZ124=""),"",IF(AND(原始資料!AY124&lt;&gt;"",原始資料!AZ124=原始資料!AY124),N(AW124)+1,1))</f>
        <v/>
      </c>
      <c r="AY124" s="6">
        <f>IF(OR(原始資料!$A124="",50&gt;設定!$B$3,原始資料!BA124=""),"",IF(AND(原始資料!AZ124&lt;&gt;"",原始資料!BA124=原始資料!AZ124),N(AX124)+1,1))</f>
        <v/>
      </c>
      <c r="AZ124" s="6">
        <f>IF(OR(原始資料!$A124="",51&gt;設定!$B$3,原始資料!BB124=""),"",IF(AND(原始資料!BA124&lt;&gt;"",原始資料!BB124=原始資料!BA124),N(AY124)+1,1))</f>
        <v/>
      </c>
      <c r="BA124" s="6">
        <f>IF(OR(原始資料!$A124="",52&gt;設定!$B$3,原始資料!BC124=""),"",IF(AND(原始資料!BB124&lt;&gt;"",原始資料!BC124=原始資料!BB124),N(AZ124)+1,1))</f>
        <v/>
      </c>
      <c r="BB124" s="6">
        <f>IF(OR(原始資料!$A124="",53&gt;設定!$B$3,原始資料!BD124=""),"",IF(AND(原始資料!BC124&lt;&gt;"",原始資料!BD124=原始資料!BC124),N(BA124)+1,1))</f>
        <v/>
      </c>
      <c r="BC124" s="6">
        <f>IF(OR(原始資料!$A124="",54&gt;設定!$B$3,原始資料!BE124=""),"",IF(AND(原始資料!BD124&lt;&gt;"",原始資料!BE124=原始資料!BD124),N(BB124)+1,1))</f>
        <v/>
      </c>
      <c r="BD124" s="6">
        <f>IF(OR(原始資料!$A124="",55&gt;設定!$B$3,原始資料!BF124=""),"",IF(AND(原始資料!BE124&lt;&gt;"",原始資料!BF124=原始資料!BE124),N(BC124)+1,1))</f>
        <v/>
      </c>
      <c r="BE124" s="6">
        <f>IF(OR(原始資料!$A124="",56&gt;設定!$B$3,原始資料!BG124=""),"",IF(AND(原始資料!BF124&lt;&gt;"",原始資料!BG124=原始資料!BF124),N(BD124)+1,1))</f>
        <v/>
      </c>
      <c r="BF124" s="6">
        <f>IF(OR(原始資料!$A124="",57&gt;設定!$B$3,原始資料!BH124=""),"",IF(AND(原始資料!BG124&lt;&gt;"",原始資料!BH124=原始資料!BG124),N(BE124)+1,1))</f>
        <v/>
      </c>
      <c r="BG124" s="6">
        <f>IF(OR(原始資料!$A124="",58&gt;設定!$B$3,原始資料!BI124=""),"",IF(AND(原始資料!BH124&lt;&gt;"",原始資料!BI124=原始資料!BH124),N(BF124)+1,1))</f>
        <v/>
      </c>
      <c r="BH124" s="6">
        <f>IF(OR(原始資料!$A124="",59&gt;設定!$B$3,原始資料!BJ124=""),"",IF(AND(原始資料!BI124&lt;&gt;"",原始資料!BJ124=原始資料!BI124),N(BG124)+1,1))</f>
        <v/>
      </c>
      <c r="BI124" s="6">
        <f>IF(OR(原始資料!$A124="",60&gt;設定!$B$3,原始資料!BK124=""),"",IF(AND(原始資料!BJ124&lt;&gt;"",原始資料!BK124=原始資料!BJ124),N(BH124)+1,1))</f>
        <v/>
      </c>
    </row>
    <row r="125">
      <c r="A125" s="6">
        <f>IF(原始資料!$A125="","",原始資料!$A125)</f>
        <v/>
      </c>
      <c r="B125" s="6">
        <f>IF(OR(原始資料!$A125="",1&gt;設定!$B$3,原始資料!D125=""),"",1)</f>
        <v/>
      </c>
      <c r="C125" s="6">
        <f>IF(OR(原始資料!$A125="",2&gt;設定!$B$3,原始資料!E125=""),"",IF(AND(原始資料!D125&lt;&gt;"",原始資料!E125=原始資料!D125),N(B125)+1,1))</f>
        <v/>
      </c>
      <c r="D125" s="6">
        <f>IF(OR(原始資料!$A125="",3&gt;設定!$B$3,原始資料!F125=""),"",IF(AND(原始資料!E125&lt;&gt;"",原始資料!F125=原始資料!E125),N(C125)+1,1))</f>
        <v/>
      </c>
      <c r="E125" s="6">
        <f>IF(OR(原始資料!$A125="",4&gt;設定!$B$3,原始資料!G125=""),"",IF(AND(原始資料!F125&lt;&gt;"",原始資料!G125=原始資料!F125),N(D125)+1,1))</f>
        <v/>
      </c>
      <c r="F125" s="6">
        <f>IF(OR(原始資料!$A125="",5&gt;設定!$B$3,原始資料!H125=""),"",IF(AND(原始資料!G125&lt;&gt;"",原始資料!H125=原始資料!G125),N(E125)+1,1))</f>
        <v/>
      </c>
      <c r="G125" s="6">
        <f>IF(OR(原始資料!$A125="",6&gt;設定!$B$3,原始資料!I125=""),"",IF(AND(原始資料!H125&lt;&gt;"",原始資料!I125=原始資料!H125),N(F125)+1,1))</f>
        <v/>
      </c>
      <c r="H125" s="6">
        <f>IF(OR(原始資料!$A125="",7&gt;設定!$B$3,原始資料!J125=""),"",IF(AND(原始資料!I125&lt;&gt;"",原始資料!J125=原始資料!I125),N(G125)+1,1))</f>
        <v/>
      </c>
      <c r="I125" s="6">
        <f>IF(OR(原始資料!$A125="",8&gt;設定!$B$3,原始資料!K125=""),"",IF(AND(原始資料!J125&lt;&gt;"",原始資料!K125=原始資料!J125),N(H125)+1,1))</f>
        <v/>
      </c>
      <c r="J125" s="6">
        <f>IF(OR(原始資料!$A125="",9&gt;設定!$B$3,原始資料!L125=""),"",IF(AND(原始資料!K125&lt;&gt;"",原始資料!L125=原始資料!K125),N(I125)+1,1))</f>
        <v/>
      </c>
      <c r="K125" s="6">
        <f>IF(OR(原始資料!$A125="",10&gt;設定!$B$3,原始資料!M125=""),"",IF(AND(原始資料!L125&lt;&gt;"",原始資料!M125=原始資料!L125),N(J125)+1,1))</f>
        <v/>
      </c>
      <c r="L125" s="6">
        <f>IF(OR(原始資料!$A125="",11&gt;設定!$B$3,原始資料!N125=""),"",IF(AND(原始資料!M125&lt;&gt;"",原始資料!N125=原始資料!M125),N(K125)+1,1))</f>
        <v/>
      </c>
      <c r="M125" s="6">
        <f>IF(OR(原始資料!$A125="",12&gt;設定!$B$3,原始資料!O125=""),"",IF(AND(原始資料!N125&lt;&gt;"",原始資料!O125=原始資料!N125),N(L125)+1,1))</f>
        <v/>
      </c>
      <c r="N125" s="6">
        <f>IF(OR(原始資料!$A125="",13&gt;設定!$B$3,原始資料!P125=""),"",IF(AND(原始資料!O125&lt;&gt;"",原始資料!P125=原始資料!O125),N(M125)+1,1))</f>
        <v/>
      </c>
      <c r="O125" s="6">
        <f>IF(OR(原始資料!$A125="",14&gt;設定!$B$3,原始資料!Q125=""),"",IF(AND(原始資料!P125&lt;&gt;"",原始資料!Q125=原始資料!P125),N(N125)+1,1))</f>
        <v/>
      </c>
      <c r="P125" s="6">
        <f>IF(OR(原始資料!$A125="",15&gt;設定!$B$3,原始資料!R125=""),"",IF(AND(原始資料!Q125&lt;&gt;"",原始資料!R125=原始資料!Q125),N(O125)+1,1))</f>
        <v/>
      </c>
      <c r="Q125" s="6">
        <f>IF(OR(原始資料!$A125="",16&gt;設定!$B$3,原始資料!S125=""),"",IF(AND(原始資料!R125&lt;&gt;"",原始資料!S125=原始資料!R125),N(P125)+1,1))</f>
        <v/>
      </c>
      <c r="R125" s="6">
        <f>IF(OR(原始資料!$A125="",17&gt;設定!$B$3,原始資料!T125=""),"",IF(AND(原始資料!S125&lt;&gt;"",原始資料!T125=原始資料!S125),N(Q125)+1,1))</f>
        <v/>
      </c>
      <c r="S125" s="6">
        <f>IF(OR(原始資料!$A125="",18&gt;設定!$B$3,原始資料!U125=""),"",IF(AND(原始資料!T125&lt;&gt;"",原始資料!U125=原始資料!T125),N(R125)+1,1))</f>
        <v/>
      </c>
      <c r="T125" s="6">
        <f>IF(OR(原始資料!$A125="",19&gt;設定!$B$3,原始資料!V125=""),"",IF(AND(原始資料!U125&lt;&gt;"",原始資料!V125=原始資料!U125),N(S125)+1,1))</f>
        <v/>
      </c>
      <c r="U125" s="6">
        <f>IF(OR(原始資料!$A125="",20&gt;設定!$B$3,原始資料!W125=""),"",IF(AND(原始資料!V125&lt;&gt;"",原始資料!W125=原始資料!V125),N(T125)+1,1))</f>
        <v/>
      </c>
      <c r="V125" s="6">
        <f>IF(OR(原始資料!$A125="",21&gt;設定!$B$3,原始資料!X125=""),"",IF(AND(原始資料!W125&lt;&gt;"",原始資料!X125=原始資料!W125),N(U125)+1,1))</f>
        <v/>
      </c>
      <c r="W125" s="6">
        <f>IF(OR(原始資料!$A125="",22&gt;設定!$B$3,原始資料!Y125=""),"",IF(AND(原始資料!X125&lt;&gt;"",原始資料!Y125=原始資料!X125),N(V125)+1,1))</f>
        <v/>
      </c>
      <c r="X125" s="6">
        <f>IF(OR(原始資料!$A125="",23&gt;設定!$B$3,原始資料!Z125=""),"",IF(AND(原始資料!Y125&lt;&gt;"",原始資料!Z125=原始資料!Y125),N(W125)+1,1))</f>
        <v/>
      </c>
      <c r="Y125" s="6">
        <f>IF(OR(原始資料!$A125="",24&gt;設定!$B$3,原始資料!AA125=""),"",IF(AND(原始資料!Z125&lt;&gt;"",原始資料!AA125=原始資料!Z125),N(X125)+1,1))</f>
        <v/>
      </c>
      <c r="Z125" s="6">
        <f>IF(OR(原始資料!$A125="",25&gt;設定!$B$3,原始資料!AB125=""),"",IF(AND(原始資料!AA125&lt;&gt;"",原始資料!AB125=原始資料!AA125),N(Y125)+1,1))</f>
        <v/>
      </c>
      <c r="AA125" s="6">
        <f>IF(OR(原始資料!$A125="",26&gt;設定!$B$3,原始資料!AC125=""),"",IF(AND(原始資料!AB125&lt;&gt;"",原始資料!AC125=原始資料!AB125),N(Z125)+1,1))</f>
        <v/>
      </c>
      <c r="AB125" s="6">
        <f>IF(OR(原始資料!$A125="",27&gt;設定!$B$3,原始資料!AD125=""),"",IF(AND(原始資料!AC125&lt;&gt;"",原始資料!AD125=原始資料!AC125),N(AA125)+1,1))</f>
        <v/>
      </c>
      <c r="AC125" s="6">
        <f>IF(OR(原始資料!$A125="",28&gt;設定!$B$3,原始資料!AE125=""),"",IF(AND(原始資料!AD125&lt;&gt;"",原始資料!AE125=原始資料!AD125),N(AB125)+1,1))</f>
        <v/>
      </c>
      <c r="AD125" s="6">
        <f>IF(OR(原始資料!$A125="",29&gt;設定!$B$3,原始資料!AF125=""),"",IF(AND(原始資料!AE125&lt;&gt;"",原始資料!AF125=原始資料!AE125),N(AC125)+1,1))</f>
        <v/>
      </c>
      <c r="AE125" s="6">
        <f>IF(OR(原始資料!$A125="",30&gt;設定!$B$3,原始資料!AG125=""),"",IF(AND(原始資料!AF125&lt;&gt;"",原始資料!AG125=原始資料!AF125),N(AD125)+1,1))</f>
        <v/>
      </c>
      <c r="AF125" s="6">
        <f>IF(OR(原始資料!$A125="",31&gt;設定!$B$3,原始資料!AH125=""),"",IF(AND(原始資料!AG125&lt;&gt;"",原始資料!AH125=原始資料!AG125),N(AE125)+1,1))</f>
        <v/>
      </c>
      <c r="AG125" s="6">
        <f>IF(OR(原始資料!$A125="",32&gt;設定!$B$3,原始資料!AI125=""),"",IF(AND(原始資料!AH125&lt;&gt;"",原始資料!AI125=原始資料!AH125),N(AF125)+1,1))</f>
        <v/>
      </c>
      <c r="AH125" s="6">
        <f>IF(OR(原始資料!$A125="",33&gt;設定!$B$3,原始資料!AJ125=""),"",IF(AND(原始資料!AI125&lt;&gt;"",原始資料!AJ125=原始資料!AI125),N(AG125)+1,1))</f>
        <v/>
      </c>
      <c r="AI125" s="6">
        <f>IF(OR(原始資料!$A125="",34&gt;設定!$B$3,原始資料!AK125=""),"",IF(AND(原始資料!AJ125&lt;&gt;"",原始資料!AK125=原始資料!AJ125),N(AH125)+1,1))</f>
        <v/>
      </c>
      <c r="AJ125" s="6">
        <f>IF(OR(原始資料!$A125="",35&gt;設定!$B$3,原始資料!AL125=""),"",IF(AND(原始資料!AK125&lt;&gt;"",原始資料!AL125=原始資料!AK125),N(AI125)+1,1))</f>
        <v/>
      </c>
      <c r="AK125" s="6">
        <f>IF(OR(原始資料!$A125="",36&gt;設定!$B$3,原始資料!AM125=""),"",IF(AND(原始資料!AL125&lt;&gt;"",原始資料!AM125=原始資料!AL125),N(AJ125)+1,1))</f>
        <v/>
      </c>
      <c r="AL125" s="6">
        <f>IF(OR(原始資料!$A125="",37&gt;設定!$B$3,原始資料!AN125=""),"",IF(AND(原始資料!AM125&lt;&gt;"",原始資料!AN125=原始資料!AM125),N(AK125)+1,1))</f>
        <v/>
      </c>
      <c r="AM125" s="6">
        <f>IF(OR(原始資料!$A125="",38&gt;設定!$B$3,原始資料!AO125=""),"",IF(AND(原始資料!AN125&lt;&gt;"",原始資料!AO125=原始資料!AN125),N(AL125)+1,1))</f>
        <v/>
      </c>
      <c r="AN125" s="6">
        <f>IF(OR(原始資料!$A125="",39&gt;設定!$B$3,原始資料!AP125=""),"",IF(AND(原始資料!AO125&lt;&gt;"",原始資料!AP125=原始資料!AO125),N(AM125)+1,1))</f>
        <v/>
      </c>
      <c r="AO125" s="6">
        <f>IF(OR(原始資料!$A125="",40&gt;設定!$B$3,原始資料!AQ125=""),"",IF(AND(原始資料!AP125&lt;&gt;"",原始資料!AQ125=原始資料!AP125),N(AN125)+1,1))</f>
        <v/>
      </c>
      <c r="AP125" s="6">
        <f>IF(OR(原始資料!$A125="",41&gt;設定!$B$3,原始資料!AR125=""),"",IF(AND(原始資料!AQ125&lt;&gt;"",原始資料!AR125=原始資料!AQ125),N(AO125)+1,1))</f>
        <v/>
      </c>
      <c r="AQ125" s="6">
        <f>IF(OR(原始資料!$A125="",42&gt;設定!$B$3,原始資料!AS125=""),"",IF(AND(原始資料!AR125&lt;&gt;"",原始資料!AS125=原始資料!AR125),N(AP125)+1,1))</f>
        <v/>
      </c>
      <c r="AR125" s="6">
        <f>IF(OR(原始資料!$A125="",43&gt;設定!$B$3,原始資料!AT125=""),"",IF(AND(原始資料!AS125&lt;&gt;"",原始資料!AT125=原始資料!AS125),N(AQ125)+1,1))</f>
        <v/>
      </c>
      <c r="AS125" s="6">
        <f>IF(OR(原始資料!$A125="",44&gt;設定!$B$3,原始資料!AU125=""),"",IF(AND(原始資料!AT125&lt;&gt;"",原始資料!AU125=原始資料!AT125),N(AR125)+1,1))</f>
        <v/>
      </c>
      <c r="AT125" s="6">
        <f>IF(OR(原始資料!$A125="",45&gt;設定!$B$3,原始資料!AV125=""),"",IF(AND(原始資料!AU125&lt;&gt;"",原始資料!AV125=原始資料!AU125),N(AS125)+1,1))</f>
        <v/>
      </c>
      <c r="AU125" s="6">
        <f>IF(OR(原始資料!$A125="",46&gt;設定!$B$3,原始資料!AW125=""),"",IF(AND(原始資料!AV125&lt;&gt;"",原始資料!AW125=原始資料!AV125),N(AT125)+1,1))</f>
        <v/>
      </c>
      <c r="AV125" s="6">
        <f>IF(OR(原始資料!$A125="",47&gt;設定!$B$3,原始資料!AX125=""),"",IF(AND(原始資料!AW125&lt;&gt;"",原始資料!AX125=原始資料!AW125),N(AU125)+1,1))</f>
        <v/>
      </c>
      <c r="AW125" s="6">
        <f>IF(OR(原始資料!$A125="",48&gt;設定!$B$3,原始資料!AY125=""),"",IF(AND(原始資料!AX125&lt;&gt;"",原始資料!AY125=原始資料!AX125),N(AV125)+1,1))</f>
        <v/>
      </c>
      <c r="AX125" s="6">
        <f>IF(OR(原始資料!$A125="",49&gt;設定!$B$3,原始資料!AZ125=""),"",IF(AND(原始資料!AY125&lt;&gt;"",原始資料!AZ125=原始資料!AY125),N(AW125)+1,1))</f>
        <v/>
      </c>
      <c r="AY125" s="6">
        <f>IF(OR(原始資料!$A125="",50&gt;設定!$B$3,原始資料!BA125=""),"",IF(AND(原始資料!AZ125&lt;&gt;"",原始資料!BA125=原始資料!AZ125),N(AX125)+1,1))</f>
        <v/>
      </c>
      <c r="AZ125" s="6">
        <f>IF(OR(原始資料!$A125="",51&gt;設定!$B$3,原始資料!BB125=""),"",IF(AND(原始資料!BA125&lt;&gt;"",原始資料!BB125=原始資料!BA125),N(AY125)+1,1))</f>
        <v/>
      </c>
      <c r="BA125" s="6">
        <f>IF(OR(原始資料!$A125="",52&gt;設定!$B$3,原始資料!BC125=""),"",IF(AND(原始資料!BB125&lt;&gt;"",原始資料!BC125=原始資料!BB125),N(AZ125)+1,1))</f>
        <v/>
      </c>
      <c r="BB125" s="6">
        <f>IF(OR(原始資料!$A125="",53&gt;設定!$B$3,原始資料!BD125=""),"",IF(AND(原始資料!BC125&lt;&gt;"",原始資料!BD125=原始資料!BC125),N(BA125)+1,1))</f>
        <v/>
      </c>
      <c r="BC125" s="6">
        <f>IF(OR(原始資料!$A125="",54&gt;設定!$B$3,原始資料!BE125=""),"",IF(AND(原始資料!BD125&lt;&gt;"",原始資料!BE125=原始資料!BD125),N(BB125)+1,1))</f>
        <v/>
      </c>
      <c r="BD125" s="6">
        <f>IF(OR(原始資料!$A125="",55&gt;設定!$B$3,原始資料!BF125=""),"",IF(AND(原始資料!BE125&lt;&gt;"",原始資料!BF125=原始資料!BE125),N(BC125)+1,1))</f>
        <v/>
      </c>
      <c r="BE125" s="6">
        <f>IF(OR(原始資料!$A125="",56&gt;設定!$B$3,原始資料!BG125=""),"",IF(AND(原始資料!BF125&lt;&gt;"",原始資料!BG125=原始資料!BF125),N(BD125)+1,1))</f>
        <v/>
      </c>
      <c r="BF125" s="6">
        <f>IF(OR(原始資料!$A125="",57&gt;設定!$B$3,原始資料!BH125=""),"",IF(AND(原始資料!BG125&lt;&gt;"",原始資料!BH125=原始資料!BG125),N(BE125)+1,1))</f>
        <v/>
      </c>
      <c r="BG125" s="6">
        <f>IF(OR(原始資料!$A125="",58&gt;設定!$B$3,原始資料!BI125=""),"",IF(AND(原始資料!BH125&lt;&gt;"",原始資料!BI125=原始資料!BH125),N(BF125)+1,1))</f>
        <v/>
      </c>
      <c r="BH125" s="6">
        <f>IF(OR(原始資料!$A125="",59&gt;設定!$B$3,原始資料!BJ125=""),"",IF(AND(原始資料!BI125&lt;&gt;"",原始資料!BJ125=原始資料!BI125),N(BG125)+1,1))</f>
        <v/>
      </c>
      <c r="BI125" s="6">
        <f>IF(OR(原始資料!$A125="",60&gt;設定!$B$3,原始資料!BK125=""),"",IF(AND(原始資料!BJ125&lt;&gt;"",原始資料!BK125=原始資料!BJ125),N(BH125)+1,1))</f>
        <v/>
      </c>
    </row>
    <row r="126">
      <c r="A126" s="6">
        <f>IF(原始資料!$A126="","",原始資料!$A126)</f>
        <v/>
      </c>
      <c r="B126" s="6">
        <f>IF(OR(原始資料!$A126="",1&gt;設定!$B$3,原始資料!D126=""),"",1)</f>
        <v/>
      </c>
      <c r="C126" s="6">
        <f>IF(OR(原始資料!$A126="",2&gt;設定!$B$3,原始資料!E126=""),"",IF(AND(原始資料!D126&lt;&gt;"",原始資料!E126=原始資料!D126),N(B126)+1,1))</f>
        <v/>
      </c>
      <c r="D126" s="6">
        <f>IF(OR(原始資料!$A126="",3&gt;設定!$B$3,原始資料!F126=""),"",IF(AND(原始資料!E126&lt;&gt;"",原始資料!F126=原始資料!E126),N(C126)+1,1))</f>
        <v/>
      </c>
      <c r="E126" s="6">
        <f>IF(OR(原始資料!$A126="",4&gt;設定!$B$3,原始資料!G126=""),"",IF(AND(原始資料!F126&lt;&gt;"",原始資料!G126=原始資料!F126),N(D126)+1,1))</f>
        <v/>
      </c>
      <c r="F126" s="6">
        <f>IF(OR(原始資料!$A126="",5&gt;設定!$B$3,原始資料!H126=""),"",IF(AND(原始資料!G126&lt;&gt;"",原始資料!H126=原始資料!G126),N(E126)+1,1))</f>
        <v/>
      </c>
      <c r="G126" s="6">
        <f>IF(OR(原始資料!$A126="",6&gt;設定!$B$3,原始資料!I126=""),"",IF(AND(原始資料!H126&lt;&gt;"",原始資料!I126=原始資料!H126),N(F126)+1,1))</f>
        <v/>
      </c>
      <c r="H126" s="6">
        <f>IF(OR(原始資料!$A126="",7&gt;設定!$B$3,原始資料!J126=""),"",IF(AND(原始資料!I126&lt;&gt;"",原始資料!J126=原始資料!I126),N(G126)+1,1))</f>
        <v/>
      </c>
      <c r="I126" s="6">
        <f>IF(OR(原始資料!$A126="",8&gt;設定!$B$3,原始資料!K126=""),"",IF(AND(原始資料!J126&lt;&gt;"",原始資料!K126=原始資料!J126),N(H126)+1,1))</f>
        <v/>
      </c>
      <c r="J126" s="6">
        <f>IF(OR(原始資料!$A126="",9&gt;設定!$B$3,原始資料!L126=""),"",IF(AND(原始資料!K126&lt;&gt;"",原始資料!L126=原始資料!K126),N(I126)+1,1))</f>
        <v/>
      </c>
      <c r="K126" s="6">
        <f>IF(OR(原始資料!$A126="",10&gt;設定!$B$3,原始資料!M126=""),"",IF(AND(原始資料!L126&lt;&gt;"",原始資料!M126=原始資料!L126),N(J126)+1,1))</f>
        <v/>
      </c>
      <c r="L126" s="6">
        <f>IF(OR(原始資料!$A126="",11&gt;設定!$B$3,原始資料!N126=""),"",IF(AND(原始資料!M126&lt;&gt;"",原始資料!N126=原始資料!M126),N(K126)+1,1))</f>
        <v/>
      </c>
      <c r="M126" s="6">
        <f>IF(OR(原始資料!$A126="",12&gt;設定!$B$3,原始資料!O126=""),"",IF(AND(原始資料!N126&lt;&gt;"",原始資料!O126=原始資料!N126),N(L126)+1,1))</f>
        <v/>
      </c>
      <c r="N126" s="6">
        <f>IF(OR(原始資料!$A126="",13&gt;設定!$B$3,原始資料!P126=""),"",IF(AND(原始資料!O126&lt;&gt;"",原始資料!P126=原始資料!O126),N(M126)+1,1))</f>
        <v/>
      </c>
      <c r="O126" s="6">
        <f>IF(OR(原始資料!$A126="",14&gt;設定!$B$3,原始資料!Q126=""),"",IF(AND(原始資料!P126&lt;&gt;"",原始資料!Q126=原始資料!P126),N(N126)+1,1))</f>
        <v/>
      </c>
      <c r="P126" s="6">
        <f>IF(OR(原始資料!$A126="",15&gt;設定!$B$3,原始資料!R126=""),"",IF(AND(原始資料!Q126&lt;&gt;"",原始資料!R126=原始資料!Q126),N(O126)+1,1))</f>
        <v/>
      </c>
      <c r="Q126" s="6">
        <f>IF(OR(原始資料!$A126="",16&gt;設定!$B$3,原始資料!S126=""),"",IF(AND(原始資料!R126&lt;&gt;"",原始資料!S126=原始資料!R126),N(P126)+1,1))</f>
        <v/>
      </c>
      <c r="R126" s="6">
        <f>IF(OR(原始資料!$A126="",17&gt;設定!$B$3,原始資料!T126=""),"",IF(AND(原始資料!S126&lt;&gt;"",原始資料!T126=原始資料!S126),N(Q126)+1,1))</f>
        <v/>
      </c>
      <c r="S126" s="6">
        <f>IF(OR(原始資料!$A126="",18&gt;設定!$B$3,原始資料!U126=""),"",IF(AND(原始資料!T126&lt;&gt;"",原始資料!U126=原始資料!T126),N(R126)+1,1))</f>
        <v/>
      </c>
      <c r="T126" s="6">
        <f>IF(OR(原始資料!$A126="",19&gt;設定!$B$3,原始資料!V126=""),"",IF(AND(原始資料!U126&lt;&gt;"",原始資料!V126=原始資料!U126),N(S126)+1,1))</f>
        <v/>
      </c>
      <c r="U126" s="6">
        <f>IF(OR(原始資料!$A126="",20&gt;設定!$B$3,原始資料!W126=""),"",IF(AND(原始資料!V126&lt;&gt;"",原始資料!W126=原始資料!V126),N(T126)+1,1))</f>
        <v/>
      </c>
      <c r="V126" s="6">
        <f>IF(OR(原始資料!$A126="",21&gt;設定!$B$3,原始資料!X126=""),"",IF(AND(原始資料!W126&lt;&gt;"",原始資料!X126=原始資料!W126),N(U126)+1,1))</f>
        <v/>
      </c>
      <c r="W126" s="6">
        <f>IF(OR(原始資料!$A126="",22&gt;設定!$B$3,原始資料!Y126=""),"",IF(AND(原始資料!X126&lt;&gt;"",原始資料!Y126=原始資料!X126),N(V126)+1,1))</f>
        <v/>
      </c>
      <c r="X126" s="6">
        <f>IF(OR(原始資料!$A126="",23&gt;設定!$B$3,原始資料!Z126=""),"",IF(AND(原始資料!Y126&lt;&gt;"",原始資料!Z126=原始資料!Y126),N(W126)+1,1))</f>
        <v/>
      </c>
      <c r="Y126" s="6">
        <f>IF(OR(原始資料!$A126="",24&gt;設定!$B$3,原始資料!AA126=""),"",IF(AND(原始資料!Z126&lt;&gt;"",原始資料!AA126=原始資料!Z126),N(X126)+1,1))</f>
        <v/>
      </c>
      <c r="Z126" s="6">
        <f>IF(OR(原始資料!$A126="",25&gt;設定!$B$3,原始資料!AB126=""),"",IF(AND(原始資料!AA126&lt;&gt;"",原始資料!AB126=原始資料!AA126),N(Y126)+1,1))</f>
        <v/>
      </c>
      <c r="AA126" s="6">
        <f>IF(OR(原始資料!$A126="",26&gt;設定!$B$3,原始資料!AC126=""),"",IF(AND(原始資料!AB126&lt;&gt;"",原始資料!AC126=原始資料!AB126),N(Z126)+1,1))</f>
        <v/>
      </c>
      <c r="AB126" s="6">
        <f>IF(OR(原始資料!$A126="",27&gt;設定!$B$3,原始資料!AD126=""),"",IF(AND(原始資料!AC126&lt;&gt;"",原始資料!AD126=原始資料!AC126),N(AA126)+1,1))</f>
        <v/>
      </c>
      <c r="AC126" s="6">
        <f>IF(OR(原始資料!$A126="",28&gt;設定!$B$3,原始資料!AE126=""),"",IF(AND(原始資料!AD126&lt;&gt;"",原始資料!AE126=原始資料!AD126),N(AB126)+1,1))</f>
        <v/>
      </c>
      <c r="AD126" s="6">
        <f>IF(OR(原始資料!$A126="",29&gt;設定!$B$3,原始資料!AF126=""),"",IF(AND(原始資料!AE126&lt;&gt;"",原始資料!AF126=原始資料!AE126),N(AC126)+1,1))</f>
        <v/>
      </c>
      <c r="AE126" s="6">
        <f>IF(OR(原始資料!$A126="",30&gt;設定!$B$3,原始資料!AG126=""),"",IF(AND(原始資料!AF126&lt;&gt;"",原始資料!AG126=原始資料!AF126),N(AD126)+1,1))</f>
        <v/>
      </c>
      <c r="AF126" s="6">
        <f>IF(OR(原始資料!$A126="",31&gt;設定!$B$3,原始資料!AH126=""),"",IF(AND(原始資料!AG126&lt;&gt;"",原始資料!AH126=原始資料!AG126),N(AE126)+1,1))</f>
        <v/>
      </c>
      <c r="AG126" s="6">
        <f>IF(OR(原始資料!$A126="",32&gt;設定!$B$3,原始資料!AI126=""),"",IF(AND(原始資料!AH126&lt;&gt;"",原始資料!AI126=原始資料!AH126),N(AF126)+1,1))</f>
        <v/>
      </c>
      <c r="AH126" s="6">
        <f>IF(OR(原始資料!$A126="",33&gt;設定!$B$3,原始資料!AJ126=""),"",IF(AND(原始資料!AI126&lt;&gt;"",原始資料!AJ126=原始資料!AI126),N(AG126)+1,1))</f>
        <v/>
      </c>
      <c r="AI126" s="6">
        <f>IF(OR(原始資料!$A126="",34&gt;設定!$B$3,原始資料!AK126=""),"",IF(AND(原始資料!AJ126&lt;&gt;"",原始資料!AK126=原始資料!AJ126),N(AH126)+1,1))</f>
        <v/>
      </c>
      <c r="AJ126" s="6">
        <f>IF(OR(原始資料!$A126="",35&gt;設定!$B$3,原始資料!AL126=""),"",IF(AND(原始資料!AK126&lt;&gt;"",原始資料!AL126=原始資料!AK126),N(AI126)+1,1))</f>
        <v/>
      </c>
      <c r="AK126" s="6">
        <f>IF(OR(原始資料!$A126="",36&gt;設定!$B$3,原始資料!AM126=""),"",IF(AND(原始資料!AL126&lt;&gt;"",原始資料!AM126=原始資料!AL126),N(AJ126)+1,1))</f>
        <v/>
      </c>
      <c r="AL126" s="6">
        <f>IF(OR(原始資料!$A126="",37&gt;設定!$B$3,原始資料!AN126=""),"",IF(AND(原始資料!AM126&lt;&gt;"",原始資料!AN126=原始資料!AM126),N(AK126)+1,1))</f>
        <v/>
      </c>
      <c r="AM126" s="6">
        <f>IF(OR(原始資料!$A126="",38&gt;設定!$B$3,原始資料!AO126=""),"",IF(AND(原始資料!AN126&lt;&gt;"",原始資料!AO126=原始資料!AN126),N(AL126)+1,1))</f>
        <v/>
      </c>
      <c r="AN126" s="6">
        <f>IF(OR(原始資料!$A126="",39&gt;設定!$B$3,原始資料!AP126=""),"",IF(AND(原始資料!AO126&lt;&gt;"",原始資料!AP126=原始資料!AO126),N(AM126)+1,1))</f>
        <v/>
      </c>
      <c r="AO126" s="6">
        <f>IF(OR(原始資料!$A126="",40&gt;設定!$B$3,原始資料!AQ126=""),"",IF(AND(原始資料!AP126&lt;&gt;"",原始資料!AQ126=原始資料!AP126),N(AN126)+1,1))</f>
        <v/>
      </c>
      <c r="AP126" s="6">
        <f>IF(OR(原始資料!$A126="",41&gt;設定!$B$3,原始資料!AR126=""),"",IF(AND(原始資料!AQ126&lt;&gt;"",原始資料!AR126=原始資料!AQ126),N(AO126)+1,1))</f>
        <v/>
      </c>
      <c r="AQ126" s="6">
        <f>IF(OR(原始資料!$A126="",42&gt;設定!$B$3,原始資料!AS126=""),"",IF(AND(原始資料!AR126&lt;&gt;"",原始資料!AS126=原始資料!AR126),N(AP126)+1,1))</f>
        <v/>
      </c>
      <c r="AR126" s="6">
        <f>IF(OR(原始資料!$A126="",43&gt;設定!$B$3,原始資料!AT126=""),"",IF(AND(原始資料!AS126&lt;&gt;"",原始資料!AT126=原始資料!AS126),N(AQ126)+1,1))</f>
        <v/>
      </c>
      <c r="AS126" s="6">
        <f>IF(OR(原始資料!$A126="",44&gt;設定!$B$3,原始資料!AU126=""),"",IF(AND(原始資料!AT126&lt;&gt;"",原始資料!AU126=原始資料!AT126),N(AR126)+1,1))</f>
        <v/>
      </c>
      <c r="AT126" s="6">
        <f>IF(OR(原始資料!$A126="",45&gt;設定!$B$3,原始資料!AV126=""),"",IF(AND(原始資料!AU126&lt;&gt;"",原始資料!AV126=原始資料!AU126),N(AS126)+1,1))</f>
        <v/>
      </c>
      <c r="AU126" s="6">
        <f>IF(OR(原始資料!$A126="",46&gt;設定!$B$3,原始資料!AW126=""),"",IF(AND(原始資料!AV126&lt;&gt;"",原始資料!AW126=原始資料!AV126),N(AT126)+1,1))</f>
        <v/>
      </c>
      <c r="AV126" s="6">
        <f>IF(OR(原始資料!$A126="",47&gt;設定!$B$3,原始資料!AX126=""),"",IF(AND(原始資料!AW126&lt;&gt;"",原始資料!AX126=原始資料!AW126),N(AU126)+1,1))</f>
        <v/>
      </c>
      <c r="AW126" s="6">
        <f>IF(OR(原始資料!$A126="",48&gt;設定!$B$3,原始資料!AY126=""),"",IF(AND(原始資料!AX126&lt;&gt;"",原始資料!AY126=原始資料!AX126),N(AV126)+1,1))</f>
        <v/>
      </c>
      <c r="AX126" s="6">
        <f>IF(OR(原始資料!$A126="",49&gt;設定!$B$3,原始資料!AZ126=""),"",IF(AND(原始資料!AY126&lt;&gt;"",原始資料!AZ126=原始資料!AY126),N(AW126)+1,1))</f>
        <v/>
      </c>
      <c r="AY126" s="6">
        <f>IF(OR(原始資料!$A126="",50&gt;設定!$B$3,原始資料!BA126=""),"",IF(AND(原始資料!AZ126&lt;&gt;"",原始資料!BA126=原始資料!AZ126),N(AX126)+1,1))</f>
        <v/>
      </c>
      <c r="AZ126" s="6">
        <f>IF(OR(原始資料!$A126="",51&gt;設定!$B$3,原始資料!BB126=""),"",IF(AND(原始資料!BA126&lt;&gt;"",原始資料!BB126=原始資料!BA126),N(AY126)+1,1))</f>
        <v/>
      </c>
      <c r="BA126" s="6">
        <f>IF(OR(原始資料!$A126="",52&gt;設定!$B$3,原始資料!BC126=""),"",IF(AND(原始資料!BB126&lt;&gt;"",原始資料!BC126=原始資料!BB126),N(AZ126)+1,1))</f>
        <v/>
      </c>
      <c r="BB126" s="6">
        <f>IF(OR(原始資料!$A126="",53&gt;設定!$B$3,原始資料!BD126=""),"",IF(AND(原始資料!BC126&lt;&gt;"",原始資料!BD126=原始資料!BC126),N(BA126)+1,1))</f>
        <v/>
      </c>
      <c r="BC126" s="6">
        <f>IF(OR(原始資料!$A126="",54&gt;設定!$B$3,原始資料!BE126=""),"",IF(AND(原始資料!BD126&lt;&gt;"",原始資料!BE126=原始資料!BD126),N(BB126)+1,1))</f>
        <v/>
      </c>
      <c r="BD126" s="6">
        <f>IF(OR(原始資料!$A126="",55&gt;設定!$B$3,原始資料!BF126=""),"",IF(AND(原始資料!BE126&lt;&gt;"",原始資料!BF126=原始資料!BE126),N(BC126)+1,1))</f>
        <v/>
      </c>
      <c r="BE126" s="6">
        <f>IF(OR(原始資料!$A126="",56&gt;設定!$B$3,原始資料!BG126=""),"",IF(AND(原始資料!BF126&lt;&gt;"",原始資料!BG126=原始資料!BF126),N(BD126)+1,1))</f>
        <v/>
      </c>
      <c r="BF126" s="6">
        <f>IF(OR(原始資料!$A126="",57&gt;設定!$B$3,原始資料!BH126=""),"",IF(AND(原始資料!BG126&lt;&gt;"",原始資料!BH126=原始資料!BG126),N(BE126)+1,1))</f>
        <v/>
      </c>
      <c r="BG126" s="6">
        <f>IF(OR(原始資料!$A126="",58&gt;設定!$B$3,原始資料!BI126=""),"",IF(AND(原始資料!BH126&lt;&gt;"",原始資料!BI126=原始資料!BH126),N(BF126)+1,1))</f>
        <v/>
      </c>
      <c r="BH126" s="6">
        <f>IF(OR(原始資料!$A126="",59&gt;設定!$B$3,原始資料!BJ126=""),"",IF(AND(原始資料!BI126&lt;&gt;"",原始資料!BJ126=原始資料!BI126),N(BG126)+1,1))</f>
        <v/>
      </c>
      <c r="BI126" s="6">
        <f>IF(OR(原始資料!$A126="",60&gt;設定!$B$3,原始資料!BK126=""),"",IF(AND(原始資料!BJ126&lt;&gt;"",原始資料!BK126=原始資料!BJ126),N(BH126)+1,1))</f>
        <v/>
      </c>
    </row>
    <row r="127">
      <c r="A127" s="6">
        <f>IF(原始資料!$A127="","",原始資料!$A127)</f>
        <v/>
      </c>
      <c r="B127" s="6">
        <f>IF(OR(原始資料!$A127="",1&gt;設定!$B$3,原始資料!D127=""),"",1)</f>
        <v/>
      </c>
      <c r="C127" s="6">
        <f>IF(OR(原始資料!$A127="",2&gt;設定!$B$3,原始資料!E127=""),"",IF(AND(原始資料!D127&lt;&gt;"",原始資料!E127=原始資料!D127),N(B127)+1,1))</f>
        <v/>
      </c>
      <c r="D127" s="6">
        <f>IF(OR(原始資料!$A127="",3&gt;設定!$B$3,原始資料!F127=""),"",IF(AND(原始資料!E127&lt;&gt;"",原始資料!F127=原始資料!E127),N(C127)+1,1))</f>
        <v/>
      </c>
      <c r="E127" s="6">
        <f>IF(OR(原始資料!$A127="",4&gt;設定!$B$3,原始資料!G127=""),"",IF(AND(原始資料!F127&lt;&gt;"",原始資料!G127=原始資料!F127),N(D127)+1,1))</f>
        <v/>
      </c>
      <c r="F127" s="6">
        <f>IF(OR(原始資料!$A127="",5&gt;設定!$B$3,原始資料!H127=""),"",IF(AND(原始資料!G127&lt;&gt;"",原始資料!H127=原始資料!G127),N(E127)+1,1))</f>
        <v/>
      </c>
      <c r="G127" s="6">
        <f>IF(OR(原始資料!$A127="",6&gt;設定!$B$3,原始資料!I127=""),"",IF(AND(原始資料!H127&lt;&gt;"",原始資料!I127=原始資料!H127),N(F127)+1,1))</f>
        <v/>
      </c>
      <c r="H127" s="6">
        <f>IF(OR(原始資料!$A127="",7&gt;設定!$B$3,原始資料!J127=""),"",IF(AND(原始資料!I127&lt;&gt;"",原始資料!J127=原始資料!I127),N(G127)+1,1))</f>
        <v/>
      </c>
      <c r="I127" s="6">
        <f>IF(OR(原始資料!$A127="",8&gt;設定!$B$3,原始資料!K127=""),"",IF(AND(原始資料!J127&lt;&gt;"",原始資料!K127=原始資料!J127),N(H127)+1,1))</f>
        <v/>
      </c>
      <c r="J127" s="6">
        <f>IF(OR(原始資料!$A127="",9&gt;設定!$B$3,原始資料!L127=""),"",IF(AND(原始資料!K127&lt;&gt;"",原始資料!L127=原始資料!K127),N(I127)+1,1))</f>
        <v/>
      </c>
      <c r="K127" s="6">
        <f>IF(OR(原始資料!$A127="",10&gt;設定!$B$3,原始資料!M127=""),"",IF(AND(原始資料!L127&lt;&gt;"",原始資料!M127=原始資料!L127),N(J127)+1,1))</f>
        <v/>
      </c>
      <c r="L127" s="6">
        <f>IF(OR(原始資料!$A127="",11&gt;設定!$B$3,原始資料!N127=""),"",IF(AND(原始資料!M127&lt;&gt;"",原始資料!N127=原始資料!M127),N(K127)+1,1))</f>
        <v/>
      </c>
      <c r="M127" s="6">
        <f>IF(OR(原始資料!$A127="",12&gt;設定!$B$3,原始資料!O127=""),"",IF(AND(原始資料!N127&lt;&gt;"",原始資料!O127=原始資料!N127),N(L127)+1,1))</f>
        <v/>
      </c>
      <c r="N127" s="6">
        <f>IF(OR(原始資料!$A127="",13&gt;設定!$B$3,原始資料!P127=""),"",IF(AND(原始資料!O127&lt;&gt;"",原始資料!P127=原始資料!O127),N(M127)+1,1))</f>
        <v/>
      </c>
      <c r="O127" s="6">
        <f>IF(OR(原始資料!$A127="",14&gt;設定!$B$3,原始資料!Q127=""),"",IF(AND(原始資料!P127&lt;&gt;"",原始資料!Q127=原始資料!P127),N(N127)+1,1))</f>
        <v/>
      </c>
      <c r="P127" s="6">
        <f>IF(OR(原始資料!$A127="",15&gt;設定!$B$3,原始資料!R127=""),"",IF(AND(原始資料!Q127&lt;&gt;"",原始資料!R127=原始資料!Q127),N(O127)+1,1))</f>
        <v/>
      </c>
      <c r="Q127" s="6">
        <f>IF(OR(原始資料!$A127="",16&gt;設定!$B$3,原始資料!S127=""),"",IF(AND(原始資料!R127&lt;&gt;"",原始資料!S127=原始資料!R127),N(P127)+1,1))</f>
        <v/>
      </c>
      <c r="R127" s="6">
        <f>IF(OR(原始資料!$A127="",17&gt;設定!$B$3,原始資料!T127=""),"",IF(AND(原始資料!S127&lt;&gt;"",原始資料!T127=原始資料!S127),N(Q127)+1,1))</f>
        <v/>
      </c>
      <c r="S127" s="6">
        <f>IF(OR(原始資料!$A127="",18&gt;設定!$B$3,原始資料!U127=""),"",IF(AND(原始資料!T127&lt;&gt;"",原始資料!U127=原始資料!T127),N(R127)+1,1))</f>
        <v/>
      </c>
      <c r="T127" s="6">
        <f>IF(OR(原始資料!$A127="",19&gt;設定!$B$3,原始資料!V127=""),"",IF(AND(原始資料!U127&lt;&gt;"",原始資料!V127=原始資料!U127),N(S127)+1,1))</f>
        <v/>
      </c>
      <c r="U127" s="6">
        <f>IF(OR(原始資料!$A127="",20&gt;設定!$B$3,原始資料!W127=""),"",IF(AND(原始資料!V127&lt;&gt;"",原始資料!W127=原始資料!V127),N(T127)+1,1))</f>
        <v/>
      </c>
      <c r="V127" s="6">
        <f>IF(OR(原始資料!$A127="",21&gt;設定!$B$3,原始資料!X127=""),"",IF(AND(原始資料!W127&lt;&gt;"",原始資料!X127=原始資料!W127),N(U127)+1,1))</f>
        <v/>
      </c>
      <c r="W127" s="6">
        <f>IF(OR(原始資料!$A127="",22&gt;設定!$B$3,原始資料!Y127=""),"",IF(AND(原始資料!X127&lt;&gt;"",原始資料!Y127=原始資料!X127),N(V127)+1,1))</f>
        <v/>
      </c>
      <c r="X127" s="6">
        <f>IF(OR(原始資料!$A127="",23&gt;設定!$B$3,原始資料!Z127=""),"",IF(AND(原始資料!Y127&lt;&gt;"",原始資料!Z127=原始資料!Y127),N(W127)+1,1))</f>
        <v/>
      </c>
      <c r="Y127" s="6">
        <f>IF(OR(原始資料!$A127="",24&gt;設定!$B$3,原始資料!AA127=""),"",IF(AND(原始資料!Z127&lt;&gt;"",原始資料!AA127=原始資料!Z127),N(X127)+1,1))</f>
        <v/>
      </c>
      <c r="Z127" s="6">
        <f>IF(OR(原始資料!$A127="",25&gt;設定!$B$3,原始資料!AB127=""),"",IF(AND(原始資料!AA127&lt;&gt;"",原始資料!AB127=原始資料!AA127),N(Y127)+1,1))</f>
        <v/>
      </c>
      <c r="AA127" s="6">
        <f>IF(OR(原始資料!$A127="",26&gt;設定!$B$3,原始資料!AC127=""),"",IF(AND(原始資料!AB127&lt;&gt;"",原始資料!AC127=原始資料!AB127),N(Z127)+1,1))</f>
        <v/>
      </c>
      <c r="AB127" s="6">
        <f>IF(OR(原始資料!$A127="",27&gt;設定!$B$3,原始資料!AD127=""),"",IF(AND(原始資料!AC127&lt;&gt;"",原始資料!AD127=原始資料!AC127),N(AA127)+1,1))</f>
        <v/>
      </c>
      <c r="AC127" s="6">
        <f>IF(OR(原始資料!$A127="",28&gt;設定!$B$3,原始資料!AE127=""),"",IF(AND(原始資料!AD127&lt;&gt;"",原始資料!AE127=原始資料!AD127),N(AB127)+1,1))</f>
        <v/>
      </c>
      <c r="AD127" s="6">
        <f>IF(OR(原始資料!$A127="",29&gt;設定!$B$3,原始資料!AF127=""),"",IF(AND(原始資料!AE127&lt;&gt;"",原始資料!AF127=原始資料!AE127),N(AC127)+1,1))</f>
        <v/>
      </c>
      <c r="AE127" s="6">
        <f>IF(OR(原始資料!$A127="",30&gt;設定!$B$3,原始資料!AG127=""),"",IF(AND(原始資料!AF127&lt;&gt;"",原始資料!AG127=原始資料!AF127),N(AD127)+1,1))</f>
        <v/>
      </c>
      <c r="AF127" s="6">
        <f>IF(OR(原始資料!$A127="",31&gt;設定!$B$3,原始資料!AH127=""),"",IF(AND(原始資料!AG127&lt;&gt;"",原始資料!AH127=原始資料!AG127),N(AE127)+1,1))</f>
        <v/>
      </c>
      <c r="AG127" s="6">
        <f>IF(OR(原始資料!$A127="",32&gt;設定!$B$3,原始資料!AI127=""),"",IF(AND(原始資料!AH127&lt;&gt;"",原始資料!AI127=原始資料!AH127),N(AF127)+1,1))</f>
        <v/>
      </c>
      <c r="AH127" s="6">
        <f>IF(OR(原始資料!$A127="",33&gt;設定!$B$3,原始資料!AJ127=""),"",IF(AND(原始資料!AI127&lt;&gt;"",原始資料!AJ127=原始資料!AI127),N(AG127)+1,1))</f>
        <v/>
      </c>
      <c r="AI127" s="6">
        <f>IF(OR(原始資料!$A127="",34&gt;設定!$B$3,原始資料!AK127=""),"",IF(AND(原始資料!AJ127&lt;&gt;"",原始資料!AK127=原始資料!AJ127),N(AH127)+1,1))</f>
        <v/>
      </c>
      <c r="AJ127" s="6">
        <f>IF(OR(原始資料!$A127="",35&gt;設定!$B$3,原始資料!AL127=""),"",IF(AND(原始資料!AK127&lt;&gt;"",原始資料!AL127=原始資料!AK127),N(AI127)+1,1))</f>
        <v/>
      </c>
      <c r="AK127" s="6">
        <f>IF(OR(原始資料!$A127="",36&gt;設定!$B$3,原始資料!AM127=""),"",IF(AND(原始資料!AL127&lt;&gt;"",原始資料!AM127=原始資料!AL127),N(AJ127)+1,1))</f>
        <v/>
      </c>
      <c r="AL127" s="6">
        <f>IF(OR(原始資料!$A127="",37&gt;設定!$B$3,原始資料!AN127=""),"",IF(AND(原始資料!AM127&lt;&gt;"",原始資料!AN127=原始資料!AM127),N(AK127)+1,1))</f>
        <v/>
      </c>
      <c r="AM127" s="6">
        <f>IF(OR(原始資料!$A127="",38&gt;設定!$B$3,原始資料!AO127=""),"",IF(AND(原始資料!AN127&lt;&gt;"",原始資料!AO127=原始資料!AN127),N(AL127)+1,1))</f>
        <v/>
      </c>
      <c r="AN127" s="6">
        <f>IF(OR(原始資料!$A127="",39&gt;設定!$B$3,原始資料!AP127=""),"",IF(AND(原始資料!AO127&lt;&gt;"",原始資料!AP127=原始資料!AO127),N(AM127)+1,1))</f>
        <v/>
      </c>
      <c r="AO127" s="6">
        <f>IF(OR(原始資料!$A127="",40&gt;設定!$B$3,原始資料!AQ127=""),"",IF(AND(原始資料!AP127&lt;&gt;"",原始資料!AQ127=原始資料!AP127),N(AN127)+1,1))</f>
        <v/>
      </c>
      <c r="AP127" s="6">
        <f>IF(OR(原始資料!$A127="",41&gt;設定!$B$3,原始資料!AR127=""),"",IF(AND(原始資料!AQ127&lt;&gt;"",原始資料!AR127=原始資料!AQ127),N(AO127)+1,1))</f>
        <v/>
      </c>
      <c r="AQ127" s="6">
        <f>IF(OR(原始資料!$A127="",42&gt;設定!$B$3,原始資料!AS127=""),"",IF(AND(原始資料!AR127&lt;&gt;"",原始資料!AS127=原始資料!AR127),N(AP127)+1,1))</f>
        <v/>
      </c>
      <c r="AR127" s="6">
        <f>IF(OR(原始資料!$A127="",43&gt;設定!$B$3,原始資料!AT127=""),"",IF(AND(原始資料!AS127&lt;&gt;"",原始資料!AT127=原始資料!AS127),N(AQ127)+1,1))</f>
        <v/>
      </c>
      <c r="AS127" s="6">
        <f>IF(OR(原始資料!$A127="",44&gt;設定!$B$3,原始資料!AU127=""),"",IF(AND(原始資料!AT127&lt;&gt;"",原始資料!AU127=原始資料!AT127),N(AR127)+1,1))</f>
        <v/>
      </c>
      <c r="AT127" s="6">
        <f>IF(OR(原始資料!$A127="",45&gt;設定!$B$3,原始資料!AV127=""),"",IF(AND(原始資料!AU127&lt;&gt;"",原始資料!AV127=原始資料!AU127),N(AS127)+1,1))</f>
        <v/>
      </c>
      <c r="AU127" s="6">
        <f>IF(OR(原始資料!$A127="",46&gt;設定!$B$3,原始資料!AW127=""),"",IF(AND(原始資料!AV127&lt;&gt;"",原始資料!AW127=原始資料!AV127),N(AT127)+1,1))</f>
        <v/>
      </c>
      <c r="AV127" s="6">
        <f>IF(OR(原始資料!$A127="",47&gt;設定!$B$3,原始資料!AX127=""),"",IF(AND(原始資料!AW127&lt;&gt;"",原始資料!AX127=原始資料!AW127),N(AU127)+1,1))</f>
        <v/>
      </c>
      <c r="AW127" s="6">
        <f>IF(OR(原始資料!$A127="",48&gt;設定!$B$3,原始資料!AY127=""),"",IF(AND(原始資料!AX127&lt;&gt;"",原始資料!AY127=原始資料!AX127),N(AV127)+1,1))</f>
        <v/>
      </c>
      <c r="AX127" s="6">
        <f>IF(OR(原始資料!$A127="",49&gt;設定!$B$3,原始資料!AZ127=""),"",IF(AND(原始資料!AY127&lt;&gt;"",原始資料!AZ127=原始資料!AY127),N(AW127)+1,1))</f>
        <v/>
      </c>
      <c r="AY127" s="6">
        <f>IF(OR(原始資料!$A127="",50&gt;設定!$B$3,原始資料!BA127=""),"",IF(AND(原始資料!AZ127&lt;&gt;"",原始資料!BA127=原始資料!AZ127),N(AX127)+1,1))</f>
        <v/>
      </c>
      <c r="AZ127" s="6">
        <f>IF(OR(原始資料!$A127="",51&gt;設定!$B$3,原始資料!BB127=""),"",IF(AND(原始資料!BA127&lt;&gt;"",原始資料!BB127=原始資料!BA127),N(AY127)+1,1))</f>
        <v/>
      </c>
      <c r="BA127" s="6">
        <f>IF(OR(原始資料!$A127="",52&gt;設定!$B$3,原始資料!BC127=""),"",IF(AND(原始資料!BB127&lt;&gt;"",原始資料!BC127=原始資料!BB127),N(AZ127)+1,1))</f>
        <v/>
      </c>
      <c r="BB127" s="6">
        <f>IF(OR(原始資料!$A127="",53&gt;設定!$B$3,原始資料!BD127=""),"",IF(AND(原始資料!BC127&lt;&gt;"",原始資料!BD127=原始資料!BC127),N(BA127)+1,1))</f>
        <v/>
      </c>
      <c r="BC127" s="6">
        <f>IF(OR(原始資料!$A127="",54&gt;設定!$B$3,原始資料!BE127=""),"",IF(AND(原始資料!BD127&lt;&gt;"",原始資料!BE127=原始資料!BD127),N(BB127)+1,1))</f>
        <v/>
      </c>
      <c r="BD127" s="6">
        <f>IF(OR(原始資料!$A127="",55&gt;設定!$B$3,原始資料!BF127=""),"",IF(AND(原始資料!BE127&lt;&gt;"",原始資料!BF127=原始資料!BE127),N(BC127)+1,1))</f>
        <v/>
      </c>
      <c r="BE127" s="6">
        <f>IF(OR(原始資料!$A127="",56&gt;設定!$B$3,原始資料!BG127=""),"",IF(AND(原始資料!BF127&lt;&gt;"",原始資料!BG127=原始資料!BF127),N(BD127)+1,1))</f>
        <v/>
      </c>
      <c r="BF127" s="6">
        <f>IF(OR(原始資料!$A127="",57&gt;設定!$B$3,原始資料!BH127=""),"",IF(AND(原始資料!BG127&lt;&gt;"",原始資料!BH127=原始資料!BG127),N(BE127)+1,1))</f>
        <v/>
      </c>
      <c r="BG127" s="6">
        <f>IF(OR(原始資料!$A127="",58&gt;設定!$B$3,原始資料!BI127=""),"",IF(AND(原始資料!BH127&lt;&gt;"",原始資料!BI127=原始資料!BH127),N(BF127)+1,1))</f>
        <v/>
      </c>
      <c r="BH127" s="6">
        <f>IF(OR(原始資料!$A127="",59&gt;設定!$B$3,原始資料!BJ127=""),"",IF(AND(原始資料!BI127&lt;&gt;"",原始資料!BJ127=原始資料!BI127),N(BG127)+1,1))</f>
        <v/>
      </c>
      <c r="BI127" s="6">
        <f>IF(OR(原始資料!$A127="",60&gt;設定!$B$3,原始資料!BK127=""),"",IF(AND(原始資料!BJ127&lt;&gt;"",原始資料!BK127=原始資料!BJ127),N(BH127)+1,1))</f>
        <v/>
      </c>
    </row>
    <row r="128">
      <c r="A128" s="6">
        <f>IF(原始資料!$A128="","",原始資料!$A128)</f>
        <v/>
      </c>
      <c r="B128" s="6">
        <f>IF(OR(原始資料!$A128="",1&gt;設定!$B$3,原始資料!D128=""),"",1)</f>
        <v/>
      </c>
      <c r="C128" s="6">
        <f>IF(OR(原始資料!$A128="",2&gt;設定!$B$3,原始資料!E128=""),"",IF(AND(原始資料!D128&lt;&gt;"",原始資料!E128=原始資料!D128),N(B128)+1,1))</f>
        <v/>
      </c>
      <c r="D128" s="6">
        <f>IF(OR(原始資料!$A128="",3&gt;設定!$B$3,原始資料!F128=""),"",IF(AND(原始資料!E128&lt;&gt;"",原始資料!F128=原始資料!E128),N(C128)+1,1))</f>
        <v/>
      </c>
      <c r="E128" s="6">
        <f>IF(OR(原始資料!$A128="",4&gt;設定!$B$3,原始資料!G128=""),"",IF(AND(原始資料!F128&lt;&gt;"",原始資料!G128=原始資料!F128),N(D128)+1,1))</f>
        <v/>
      </c>
      <c r="F128" s="6">
        <f>IF(OR(原始資料!$A128="",5&gt;設定!$B$3,原始資料!H128=""),"",IF(AND(原始資料!G128&lt;&gt;"",原始資料!H128=原始資料!G128),N(E128)+1,1))</f>
        <v/>
      </c>
      <c r="G128" s="6">
        <f>IF(OR(原始資料!$A128="",6&gt;設定!$B$3,原始資料!I128=""),"",IF(AND(原始資料!H128&lt;&gt;"",原始資料!I128=原始資料!H128),N(F128)+1,1))</f>
        <v/>
      </c>
      <c r="H128" s="6">
        <f>IF(OR(原始資料!$A128="",7&gt;設定!$B$3,原始資料!J128=""),"",IF(AND(原始資料!I128&lt;&gt;"",原始資料!J128=原始資料!I128),N(G128)+1,1))</f>
        <v/>
      </c>
      <c r="I128" s="6">
        <f>IF(OR(原始資料!$A128="",8&gt;設定!$B$3,原始資料!K128=""),"",IF(AND(原始資料!J128&lt;&gt;"",原始資料!K128=原始資料!J128),N(H128)+1,1))</f>
        <v/>
      </c>
      <c r="J128" s="6">
        <f>IF(OR(原始資料!$A128="",9&gt;設定!$B$3,原始資料!L128=""),"",IF(AND(原始資料!K128&lt;&gt;"",原始資料!L128=原始資料!K128),N(I128)+1,1))</f>
        <v/>
      </c>
      <c r="K128" s="6">
        <f>IF(OR(原始資料!$A128="",10&gt;設定!$B$3,原始資料!M128=""),"",IF(AND(原始資料!L128&lt;&gt;"",原始資料!M128=原始資料!L128),N(J128)+1,1))</f>
        <v/>
      </c>
      <c r="L128" s="6">
        <f>IF(OR(原始資料!$A128="",11&gt;設定!$B$3,原始資料!N128=""),"",IF(AND(原始資料!M128&lt;&gt;"",原始資料!N128=原始資料!M128),N(K128)+1,1))</f>
        <v/>
      </c>
      <c r="M128" s="6">
        <f>IF(OR(原始資料!$A128="",12&gt;設定!$B$3,原始資料!O128=""),"",IF(AND(原始資料!N128&lt;&gt;"",原始資料!O128=原始資料!N128),N(L128)+1,1))</f>
        <v/>
      </c>
      <c r="N128" s="6">
        <f>IF(OR(原始資料!$A128="",13&gt;設定!$B$3,原始資料!P128=""),"",IF(AND(原始資料!O128&lt;&gt;"",原始資料!P128=原始資料!O128),N(M128)+1,1))</f>
        <v/>
      </c>
      <c r="O128" s="6">
        <f>IF(OR(原始資料!$A128="",14&gt;設定!$B$3,原始資料!Q128=""),"",IF(AND(原始資料!P128&lt;&gt;"",原始資料!Q128=原始資料!P128),N(N128)+1,1))</f>
        <v/>
      </c>
      <c r="P128" s="6">
        <f>IF(OR(原始資料!$A128="",15&gt;設定!$B$3,原始資料!R128=""),"",IF(AND(原始資料!Q128&lt;&gt;"",原始資料!R128=原始資料!Q128),N(O128)+1,1))</f>
        <v/>
      </c>
      <c r="Q128" s="6">
        <f>IF(OR(原始資料!$A128="",16&gt;設定!$B$3,原始資料!S128=""),"",IF(AND(原始資料!R128&lt;&gt;"",原始資料!S128=原始資料!R128),N(P128)+1,1))</f>
        <v/>
      </c>
      <c r="R128" s="6">
        <f>IF(OR(原始資料!$A128="",17&gt;設定!$B$3,原始資料!T128=""),"",IF(AND(原始資料!S128&lt;&gt;"",原始資料!T128=原始資料!S128),N(Q128)+1,1))</f>
        <v/>
      </c>
      <c r="S128" s="6">
        <f>IF(OR(原始資料!$A128="",18&gt;設定!$B$3,原始資料!U128=""),"",IF(AND(原始資料!T128&lt;&gt;"",原始資料!U128=原始資料!T128),N(R128)+1,1))</f>
        <v/>
      </c>
      <c r="T128" s="6">
        <f>IF(OR(原始資料!$A128="",19&gt;設定!$B$3,原始資料!V128=""),"",IF(AND(原始資料!U128&lt;&gt;"",原始資料!V128=原始資料!U128),N(S128)+1,1))</f>
        <v/>
      </c>
      <c r="U128" s="6">
        <f>IF(OR(原始資料!$A128="",20&gt;設定!$B$3,原始資料!W128=""),"",IF(AND(原始資料!V128&lt;&gt;"",原始資料!W128=原始資料!V128),N(T128)+1,1))</f>
        <v/>
      </c>
      <c r="V128" s="6">
        <f>IF(OR(原始資料!$A128="",21&gt;設定!$B$3,原始資料!X128=""),"",IF(AND(原始資料!W128&lt;&gt;"",原始資料!X128=原始資料!W128),N(U128)+1,1))</f>
        <v/>
      </c>
      <c r="W128" s="6">
        <f>IF(OR(原始資料!$A128="",22&gt;設定!$B$3,原始資料!Y128=""),"",IF(AND(原始資料!X128&lt;&gt;"",原始資料!Y128=原始資料!X128),N(V128)+1,1))</f>
        <v/>
      </c>
      <c r="X128" s="6">
        <f>IF(OR(原始資料!$A128="",23&gt;設定!$B$3,原始資料!Z128=""),"",IF(AND(原始資料!Y128&lt;&gt;"",原始資料!Z128=原始資料!Y128),N(W128)+1,1))</f>
        <v/>
      </c>
      <c r="Y128" s="6">
        <f>IF(OR(原始資料!$A128="",24&gt;設定!$B$3,原始資料!AA128=""),"",IF(AND(原始資料!Z128&lt;&gt;"",原始資料!AA128=原始資料!Z128),N(X128)+1,1))</f>
        <v/>
      </c>
      <c r="Z128" s="6">
        <f>IF(OR(原始資料!$A128="",25&gt;設定!$B$3,原始資料!AB128=""),"",IF(AND(原始資料!AA128&lt;&gt;"",原始資料!AB128=原始資料!AA128),N(Y128)+1,1))</f>
        <v/>
      </c>
      <c r="AA128" s="6">
        <f>IF(OR(原始資料!$A128="",26&gt;設定!$B$3,原始資料!AC128=""),"",IF(AND(原始資料!AB128&lt;&gt;"",原始資料!AC128=原始資料!AB128),N(Z128)+1,1))</f>
        <v/>
      </c>
      <c r="AB128" s="6">
        <f>IF(OR(原始資料!$A128="",27&gt;設定!$B$3,原始資料!AD128=""),"",IF(AND(原始資料!AC128&lt;&gt;"",原始資料!AD128=原始資料!AC128),N(AA128)+1,1))</f>
        <v/>
      </c>
      <c r="AC128" s="6">
        <f>IF(OR(原始資料!$A128="",28&gt;設定!$B$3,原始資料!AE128=""),"",IF(AND(原始資料!AD128&lt;&gt;"",原始資料!AE128=原始資料!AD128),N(AB128)+1,1))</f>
        <v/>
      </c>
      <c r="AD128" s="6">
        <f>IF(OR(原始資料!$A128="",29&gt;設定!$B$3,原始資料!AF128=""),"",IF(AND(原始資料!AE128&lt;&gt;"",原始資料!AF128=原始資料!AE128),N(AC128)+1,1))</f>
        <v/>
      </c>
      <c r="AE128" s="6">
        <f>IF(OR(原始資料!$A128="",30&gt;設定!$B$3,原始資料!AG128=""),"",IF(AND(原始資料!AF128&lt;&gt;"",原始資料!AG128=原始資料!AF128),N(AD128)+1,1))</f>
        <v/>
      </c>
      <c r="AF128" s="6">
        <f>IF(OR(原始資料!$A128="",31&gt;設定!$B$3,原始資料!AH128=""),"",IF(AND(原始資料!AG128&lt;&gt;"",原始資料!AH128=原始資料!AG128),N(AE128)+1,1))</f>
        <v/>
      </c>
      <c r="AG128" s="6">
        <f>IF(OR(原始資料!$A128="",32&gt;設定!$B$3,原始資料!AI128=""),"",IF(AND(原始資料!AH128&lt;&gt;"",原始資料!AI128=原始資料!AH128),N(AF128)+1,1))</f>
        <v/>
      </c>
      <c r="AH128" s="6">
        <f>IF(OR(原始資料!$A128="",33&gt;設定!$B$3,原始資料!AJ128=""),"",IF(AND(原始資料!AI128&lt;&gt;"",原始資料!AJ128=原始資料!AI128),N(AG128)+1,1))</f>
        <v/>
      </c>
      <c r="AI128" s="6">
        <f>IF(OR(原始資料!$A128="",34&gt;設定!$B$3,原始資料!AK128=""),"",IF(AND(原始資料!AJ128&lt;&gt;"",原始資料!AK128=原始資料!AJ128),N(AH128)+1,1))</f>
        <v/>
      </c>
      <c r="AJ128" s="6">
        <f>IF(OR(原始資料!$A128="",35&gt;設定!$B$3,原始資料!AL128=""),"",IF(AND(原始資料!AK128&lt;&gt;"",原始資料!AL128=原始資料!AK128),N(AI128)+1,1))</f>
        <v/>
      </c>
      <c r="AK128" s="6">
        <f>IF(OR(原始資料!$A128="",36&gt;設定!$B$3,原始資料!AM128=""),"",IF(AND(原始資料!AL128&lt;&gt;"",原始資料!AM128=原始資料!AL128),N(AJ128)+1,1))</f>
        <v/>
      </c>
      <c r="AL128" s="6">
        <f>IF(OR(原始資料!$A128="",37&gt;設定!$B$3,原始資料!AN128=""),"",IF(AND(原始資料!AM128&lt;&gt;"",原始資料!AN128=原始資料!AM128),N(AK128)+1,1))</f>
        <v/>
      </c>
      <c r="AM128" s="6">
        <f>IF(OR(原始資料!$A128="",38&gt;設定!$B$3,原始資料!AO128=""),"",IF(AND(原始資料!AN128&lt;&gt;"",原始資料!AO128=原始資料!AN128),N(AL128)+1,1))</f>
        <v/>
      </c>
      <c r="AN128" s="6">
        <f>IF(OR(原始資料!$A128="",39&gt;設定!$B$3,原始資料!AP128=""),"",IF(AND(原始資料!AO128&lt;&gt;"",原始資料!AP128=原始資料!AO128),N(AM128)+1,1))</f>
        <v/>
      </c>
      <c r="AO128" s="6">
        <f>IF(OR(原始資料!$A128="",40&gt;設定!$B$3,原始資料!AQ128=""),"",IF(AND(原始資料!AP128&lt;&gt;"",原始資料!AQ128=原始資料!AP128),N(AN128)+1,1))</f>
        <v/>
      </c>
      <c r="AP128" s="6">
        <f>IF(OR(原始資料!$A128="",41&gt;設定!$B$3,原始資料!AR128=""),"",IF(AND(原始資料!AQ128&lt;&gt;"",原始資料!AR128=原始資料!AQ128),N(AO128)+1,1))</f>
        <v/>
      </c>
      <c r="AQ128" s="6">
        <f>IF(OR(原始資料!$A128="",42&gt;設定!$B$3,原始資料!AS128=""),"",IF(AND(原始資料!AR128&lt;&gt;"",原始資料!AS128=原始資料!AR128),N(AP128)+1,1))</f>
        <v/>
      </c>
      <c r="AR128" s="6">
        <f>IF(OR(原始資料!$A128="",43&gt;設定!$B$3,原始資料!AT128=""),"",IF(AND(原始資料!AS128&lt;&gt;"",原始資料!AT128=原始資料!AS128),N(AQ128)+1,1))</f>
        <v/>
      </c>
      <c r="AS128" s="6">
        <f>IF(OR(原始資料!$A128="",44&gt;設定!$B$3,原始資料!AU128=""),"",IF(AND(原始資料!AT128&lt;&gt;"",原始資料!AU128=原始資料!AT128),N(AR128)+1,1))</f>
        <v/>
      </c>
      <c r="AT128" s="6">
        <f>IF(OR(原始資料!$A128="",45&gt;設定!$B$3,原始資料!AV128=""),"",IF(AND(原始資料!AU128&lt;&gt;"",原始資料!AV128=原始資料!AU128),N(AS128)+1,1))</f>
        <v/>
      </c>
      <c r="AU128" s="6">
        <f>IF(OR(原始資料!$A128="",46&gt;設定!$B$3,原始資料!AW128=""),"",IF(AND(原始資料!AV128&lt;&gt;"",原始資料!AW128=原始資料!AV128),N(AT128)+1,1))</f>
        <v/>
      </c>
      <c r="AV128" s="6">
        <f>IF(OR(原始資料!$A128="",47&gt;設定!$B$3,原始資料!AX128=""),"",IF(AND(原始資料!AW128&lt;&gt;"",原始資料!AX128=原始資料!AW128),N(AU128)+1,1))</f>
        <v/>
      </c>
      <c r="AW128" s="6">
        <f>IF(OR(原始資料!$A128="",48&gt;設定!$B$3,原始資料!AY128=""),"",IF(AND(原始資料!AX128&lt;&gt;"",原始資料!AY128=原始資料!AX128),N(AV128)+1,1))</f>
        <v/>
      </c>
      <c r="AX128" s="6">
        <f>IF(OR(原始資料!$A128="",49&gt;設定!$B$3,原始資料!AZ128=""),"",IF(AND(原始資料!AY128&lt;&gt;"",原始資料!AZ128=原始資料!AY128),N(AW128)+1,1))</f>
        <v/>
      </c>
      <c r="AY128" s="6">
        <f>IF(OR(原始資料!$A128="",50&gt;設定!$B$3,原始資料!BA128=""),"",IF(AND(原始資料!AZ128&lt;&gt;"",原始資料!BA128=原始資料!AZ128),N(AX128)+1,1))</f>
        <v/>
      </c>
      <c r="AZ128" s="6">
        <f>IF(OR(原始資料!$A128="",51&gt;設定!$B$3,原始資料!BB128=""),"",IF(AND(原始資料!BA128&lt;&gt;"",原始資料!BB128=原始資料!BA128),N(AY128)+1,1))</f>
        <v/>
      </c>
      <c r="BA128" s="6">
        <f>IF(OR(原始資料!$A128="",52&gt;設定!$B$3,原始資料!BC128=""),"",IF(AND(原始資料!BB128&lt;&gt;"",原始資料!BC128=原始資料!BB128),N(AZ128)+1,1))</f>
        <v/>
      </c>
      <c r="BB128" s="6">
        <f>IF(OR(原始資料!$A128="",53&gt;設定!$B$3,原始資料!BD128=""),"",IF(AND(原始資料!BC128&lt;&gt;"",原始資料!BD128=原始資料!BC128),N(BA128)+1,1))</f>
        <v/>
      </c>
      <c r="BC128" s="6">
        <f>IF(OR(原始資料!$A128="",54&gt;設定!$B$3,原始資料!BE128=""),"",IF(AND(原始資料!BD128&lt;&gt;"",原始資料!BE128=原始資料!BD128),N(BB128)+1,1))</f>
        <v/>
      </c>
      <c r="BD128" s="6">
        <f>IF(OR(原始資料!$A128="",55&gt;設定!$B$3,原始資料!BF128=""),"",IF(AND(原始資料!BE128&lt;&gt;"",原始資料!BF128=原始資料!BE128),N(BC128)+1,1))</f>
        <v/>
      </c>
      <c r="BE128" s="6">
        <f>IF(OR(原始資料!$A128="",56&gt;設定!$B$3,原始資料!BG128=""),"",IF(AND(原始資料!BF128&lt;&gt;"",原始資料!BG128=原始資料!BF128),N(BD128)+1,1))</f>
        <v/>
      </c>
      <c r="BF128" s="6">
        <f>IF(OR(原始資料!$A128="",57&gt;設定!$B$3,原始資料!BH128=""),"",IF(AND(原始資料!BG128&lt;&gt;"",原始資料!BH128=原始資料!BG128),N(BE128)+1,1))</f>
        <v/>
      </c>
      <c r="BG128" s="6">
        <f>IF(OR(原始資料!$A128="",58&gt;設定!$B$3,原始資料!BI128=""),"",IF(AND(原始資料!BH128&lt;&gt;"",原始資料!BI128=原始資料!BH128),N(BF128)+1,1))</f>
        <v/>
      </c>
      <c r="BH128" s="6">
        <f>IF(OR(原始資料!$A128="",59&gt;設定!$B$3,原始資料!BJ128=""),"",IF(AND(原始資料!BI128&lt;&gt;"",原始資料!BJ128=原始資料!BI128),N(BG128)+1,1))</f>
        <v/>
      </c>
      <c r="BI128" s="6">
        <f>IF(OR(原始資料!$A128="",60&gt;設定!$B$3,原始資料!BK128=""),"",IF(AND(原始資料!BJ128&lt;&gt;"",原始資料!BK128=原始資料!BJ128),N(BH128)+1,1))</f>
        <v/>
      </c>
    </row>
    <row r="129">
      <c r="A129" s="6">
        <f>IF(原始資料!$A129="","",原始資料!$A129)</f>
        <v/>
      </c>
      <c r="B129" s="6">
        <f>IF(OR(原始資料!$A129="",1&gt;設定!$B$3,原始資料!D129=""),"",1)</f>
        <v/>
      </c>
      <c r="C129" s="6">
        <f>IF(OR(原始資料!$A129="",2&gt;設定!$B$3,原始資料!E129=""),"",IF(AND(原始資料!D129&lt;&gt;"",原始資料!E129=原始資料!D129),N(B129)+1,1))</f>
        <v/>
      </c>
      <c r="D129" s="6">
        <f>IF(OR(原始資料!$A129="",3&gt;設定!$B$3,原始資料!F129=""),"",IF(AND(原始資料!E129&lt;&gt;"",原始資料!F129=原始資料!E129),N(C129)+1,1))</f>
        <v/>
      </c>
      <c r="E129" s="6">
        <f>IF(OR(原始資料!$A129="",4&gt;設定!$B$3,原始資料!G129=""),"",IF(AND(原始資料!F129&lt;&gt;"",原始資料!G129=原始資料!F129),N(D129)+1,1))</f>
        <v/>
      </c>
      <c r="F129" s="6">
        <f>IF(OR(原始資料!$A129="",5&gt;設定!$B$3,原始資料!H129=""),"",IF(AND(原始資料!G129&lt;&gt;"",原始資料!H129=原始資料!G129),N(E129)+1,1))</f>
        <v/>
      </c>
      <c r="G129" s="6">
        <f>IF(OR(原始資料!$A129="",6&gt;設定!$B$3,原始資料!I129=""),"",IF(AND(原始資料!H129&lt;&gt;"",原始資料!I129=原始資料!H129),N(F129)+1,1))</f>
        <v/>
      </c>
      <c r="H129" s="6">
        <f>IF(OR(原始資料!$A129="",7&gt;設定!$B$3,原始資料!J129=""),"",IF(AND(原始資料!I129&lt;&gt;"",原始資料!J129=原始資料!I129),N(G129)+1,1))</f>
        <v/>
      </c>
      <c r="I129" s="6">
        <f>IF(OR(原始資料!$A129="",8&gt;設定!$B$3,原始資料!K129=""),"",IF(AND(原始資料!J129&lt;&gt;"",原始資料!K129=原始資料!J129),N(H129)+1,1))</f>
        <v/>
      </c>
      <c r="J129" s="6">
        <f>IF(OR(原始資料!$A129="",9&gt;設定!$B$3,原始資料!L129=""),"",IF(AND(原始資料!K129&lt;&gt;"",原始資料!L129=原始資料!K129),N(I129)+1,1))</f>
        <v/>
      </c>
      <c r="K129" s="6">
        <f>IF(OR(原始資料!$A129="",10&gt;設定!$B$3,原始資料!M129=""),"",IF(AND(原始資料!L129&lt;&gt;"",原始資料!M129=原始資料!L129),N(J129)+1,1))</f>
        <v/>
      </c>
      <c r="L129" s="6">
        <f>IF(OR(原始資料!$A129="",11&gt;設定!$B$3,原始資料!N129=""),"",IF(AND(原始資料!M129&lt;&gt;"",原始資料!N129=原始資料!M129),N(K129)+1,1))</f>
        <v/>
      </c>
      <c r="M129" s="6">
        <f>IF(OR(原始資料!$A129="",12&gt;設定!$B$3,原始資料!O129=""),"",IF(AND(原始資料!N129&lt;&gt;"",原始資料!O129=原始資料!N129),N(L129)+1,1))</f>
        <v/>
      </c>
      <c r="N129" s="6">
        <f>IF(OR(原始資料!$A129="",13&gt;設定!$B$3,原始資料!P129=""),"",IF(AND(原始資料!O129&lt;&gt;"",原始資料!P129=原始資料!O129),N(M129)+1,1))</f>
        <v/>
      </c>
      <c r="O129" s="6">
        <f>IF(OR(原始資料!$A129="",14&gt;設定!$B$3,原始資料!Q129=""),"",IF(AND(原始資料!P129&lt;&gt;"",原始資料!Q129=原始資料!P129),N(N129)+1,1))</f>
        <v/>
      </c>
      <c r="P129" s="6">
        <f>IF(OR(原始資料!$A129="",15&gt;設定!$B$3,原始資料!R129=""),"",IF(AND(原始資料!Q129&lt;&gt;"",原始資料!R129=原始資料!Q129),N(O129)+1,1))</f>
        <v/>
      </c>
      <c r="Q129" s="6">
        <f>IF(OR(原始資料!$A129="",16&gt;設定!$B$3,原始資料!S129=""),"",IF(AND(原始資料!R129&lt;&gt;"",原始資料!S129=原始資料!R129),N(P129)+1,1))</f>
        <v/>
      </c>
      <c r="R129" s="6">
        <f>IF(OR(原始資料!$A129="",17&gt;設定!$B$3,原始資料!T129=""),"",IF(AND(原始資料!S129&lt;&gt;"",原始資料!T129=原始資料!S129),N(Q129)+1,1))</f>
        <v/>
      </c>
      <c r="S129" s="6">
        <f>IF(OR(原始資料!$A129="",18&gt;設定!$B$3,原始資料!U129=""),"",IF(AND(原始資料!T129&lt;&gt;"",原始資料!U129=原始資料!T129),N(R129)+1,1))</f>
        <v/>
      </c>
      <c r="T129" s="6">
        <f>IF(OR(原始資料!$A129="",19&gt;設定!$B$3,原始資料!V129=""),"",IF(AND(原始資料!U129&lt;&gt;"",原始資料!V129=原始資料!U129),N(S129)+1,1))</f>
        <v/>
      </c>
      <c r="U129" s="6">
        <f>IF(OR(原始資料!$A129="",20&gt;設定!$B$3,原始資料!W129=""),"",IF(AND(原始資料!V129&lt;&gt;"",原始資料!W129=原始資料!V129),N(T129)+1,1))</f>
        <v/>
      </c>
      <c r="V129" s="6">
        <f>IF(OR(原始資料!$A129="",21&gt;設定!$B$3,原始資料!X129=""),"",IF(AND(原始資料!W129&lt;&gt;"",原始資料!X129=原始資料!W129),N(U129)+1,1))</f>
        <v/>
      </c>
      <c r="W129" s="6">
        <f>IF(OR(原始資料!$A129="",22&gt;設定!$B$3,原始資料!Y129=""),"",IF(AND(原始資料!X129&lt;&gt;"",原始資料!Y129=原始資料!X129),N(V129)+1,1))</f>
        <v/>
      </c>
      <c r="X129" s="6">
        <f>IF(OR(原始資料!$A129="",23&gt;設定!$B$3,原始資料!Z129=""),"",IF(AND(原始資料!Y129&lt;&gt;"",原始資料!Z129=原始資料!Y129),N(W129)+1,1))</f>
        <v/>
      </c>
      <c r="Y129" s="6">
        <f>IF(OR(原始資料!$A129="",24&gt;設定!$B$3,原始資料!AA129=""),"",IF(AND(原始資料!Z129&lt;&gt;"",原始資料!AA129=原始資料!Z129),N(X129)+1,1))</f>
        <v/>
      </c>
      <c r="Z129" s="6">
        <f>IF(OR(原始資料!$A129="",25&gt;設定!$B$3,原始資料!AB129=""),"",IF(AND(原始資料!AA129&lt;&gt;"",原始資料!AB129=原始資料!AA129),N(Y129)+1,1))</f>
        <v/>
      </c>
      <c r="AA129" s="6">
        <f>IF(OR(原始資料!$A129="",26&gt;設定!$B$3,原始資料!AC129=""),"",IF(AND(原始資料!AB129&lt;&gt;"",原始資料!AC129=原始資料!AB129),N(Z129)+1,1))</f>
        <v/>
      </c>
      <c r="AB129" s="6">
        <f>IF(OR(原始資料!$A129="",27&gt;設定!$B$3,原始資料!AD129=""),"",IF(AND(原始資料!AC129&lt;&gt;"",原始資料!AD129=原始資料!AC129),N(AA129)+1,1))</f>
        <v/>
      </c>
      <c r="AC129" s="6">
        <f>IF(OR(原始資料!$A129="",28&gt;設定!$B$3,原始資料!AE129=""),"",IF(AND(原始資料!AD129&lt;&gt;"",原始資料!AE129=原始資料!AD129),N(AB129)+1,1))</f>
        <v/>
      </c>
      <c r="AD129" s="6">
        <f>IF(OR(原始資料!$A129="",29&gt;設定!$B$3,原始資料!AF129=""),"",IF(AND(原始資料!AE129&lt;&gt;"",原始資料!AF129=原始資料!AE129),N(AC129)+1,1))</f>
        <v/>
      </c>
      <c r="AE129" s="6">
        <f>IF(OR(原始資料!$A129="",30&gt;設定!$B$3,原始資料!AG129=""),"",IF(AND(原始資料!AF129&lt;&gt;"",原始資料!AG129=原始資料!AF129),N(AD129)+1,1))</f>
        <v/>
      </c>
      <c r="AF129" s="6">
        <f>IF(OR(原始資料!$A129="",31&gt;設定!$B$3,原始資料!AH129=""),"",IF(AND(原始資料!AG129&lt;&gt;"",原始資料!AH129=原始資料!AG129),N(AE129)+1,1))</f>
        <v/>
      </c>
      <c r="AG129" s="6">
        <f>IF(OR(原始資料!$A129="",32&gt;設定!$B$3,原始資料!AI129=""),"",IF(AND(原始資料!AH129&lt;&gt;"",原始資料!AI129=原始資料!AH129),N(AF129)+1,1))</f>
        <v/>
      </c>
      <c r="AH129" s="6">
        <f>IF(OR(原始資料!$A129="",33&gt;設定!$B$3,原始資料!AJ129=""),"",IF(AND(原始資料!AI129&lt;&gt;"",原始資料!AJ129=原始資料!AI129),N(AG129)+1,1))</f>
        <v/>
      </c>
      <c r="AI129" s="6">
        <f>IF(OR(原始資料!$A129="",34&gt;設定!$B$3,原始資料!AK129=""),"",IF(AND(原始資料!AJ129&lt;&gt;"",原始資料!AK129=原始資料!AJ129),N(AH129)+1,1))</f>
        <v/>
      </c>
      <c r="AJ129" s="6">
        <f>IF(OR(原始資料!$A129="",35&gt;設定!$B$3,原始資料!AL129=""),"",IF(AND(原始資料!AK129&lt;&gt;"",原始資料!AL129=原始資料!AK129),N(AI129)+1,1))</f>
        <v/>
      </c>
      <c r="AK129" s="6">
        <f>IF(OR(原始資料!$A129="",36&gt;設定!$B$3,原始資料!AM129=""),"",IF(AND(原始資料!AL129&lt;&gt;"",原始資料!AM129=原始資料!AL129),N(AJ129)+1,1))</f>
        <v/>
      </c>
      <c r="AL129" s="6">
        <f>IF(OR(原始資料!$A129="",37&gt;設定!$B$3,原始資料!AN129=""),"",IF(AND(原始資料!AM129&lt;&gt;"",原始資料!AN129=原始資料!AM129),N(AK129)+1,1))</f>
        <v/>
      </c>
      <c r="AM129" s="6">
        <f>IF(OR(原始資料!$A129="",38&gt;設定!$B$3,原始資料!AO129=""),"",IF(AND(原始資料!AN129&lt;&gt;"",原始資料!AO129=原始資料!AN129),N(AL129)+1,1))</f>
        <v/>
      </c>
      <c r="AN129" s="6">
        <f>IF(OR(原始資料!$A129="",39&gt;設定!$B$3,原始資料!AP129=""),"",IF(AND(原始資料!AO129&lt;&gt;"",原始資料!AP129=原始資料!AO129),N(AM129)+1,1))</f>
        <v/>
      </c>
      <c r="AO129" s="6">
        <f>IF(OR(原始資料!$A129="",40&gt;設定!$B$3,原始資料!AQ129=""),"",IF(AND(原始資料!AP129&lt;&gt;"",原始資料!AQ129=原始資料!AP129),N(AN129)+1,1))</f>
        <v/>
      </c>
      <c r="AP129" s="6">
        <f>IF(OR(原始資料!$A129="",41&gt;設定!$B$3,原始資料!AR129=""),"",IF(AND(原始資料!AQ129&lt;&gt;"",原始資料!AR129=原始資料!AQ129),N(AO129)+1,1))</f>
        <v/>
      </c>
      <c r="AQ129" s="6">
        <f>IF(OR(原始資料!$A129="",42&gt;設定!$B$3,原始資料!AS129=""),"",IF(AND(原始資料!AR129&lt;&gt;"",原始資料!AS129=原始資料!AR129),N(AP129)+1,1))</f>
        <v/>
      </c>
      <c r="AR129" s="6">
        <f>IF(OR(原始資料!$A129="",43&gt;設定!$B$3,原始資料!AT129=""),"",IF(AND(原始資料!AS129&lt;&gt;"",原始資料!AT129=原始資料!AS129),N(AQ129)+1,1))</f>
        <v/>
      </c>
      <c r="AS129" s="6">
        <f>IF(OR(原始資料!$A129="",44&gt;設定!$B$3,原始資料!AU129=""),"",IF(AND(原始資料!AT129&lt;&gt;"",原始資料!AU129=原始資料!AT129),N(AR129)+1,1))</f>
        <v/>
      </c>
      <c r="AT129" s="6">
        <f>IF(OR(原始資料!$A129="",45&gt;設定!$B$3,原始資料!AV129=""),"",IF(AND(原始資料!AU129&lt;&gt;"",原始資料!AV129=原始資料!AU129),N(AS129)+1,1))</f>
        <v/>
      </c>
      <c r="AU129" s="6">
        <f>IF(OR(原始資料!$A129="",46&gt;設定!$B$3,原始資料!AW129=""),"",IF(AND(原始資料!AV129&lt;&gt;"",原始資料!AW129=原始資料!AV129),N(AT129)+1,1))</f>
        <v/>
      </c>
      <c r="AV129" s="6">
        <f>IF(OR(原始資料!$A129="",47&gt;設定!$B$3,原始資料!AX129=""),"",IF(AND(原始資料!AW129&lt;&gt;"",原始資料!AX129=原始資料!AW129),N(AU129)+1,1))</f>
        <v/>
      </c>
      <c r="AW129" s="6">
        <f>IF(OR(原始資料!$A129="",48&gt;設定!$B$3,原始資料!AY129=""),"",IF(AND(原始資料!AX129&lt;&gt;"",原始資料!AY129=原始資料!AX129),N(AV129)+1,1))</f>
        <v/>
      </c>
      <c r="AX129" s="6">
        <f>IF(OR(原始資料!$A129="",49&gt;設定!$B$3,原始資料!AZ129=""),"",IF(AND(原始資料!AY129&lt;&gt;"",原始資料!AZ129=原始資料!AY129),N(AW129)+1,1))</f>
        <v/>
      </c>
      <c r="AY129" s="6">
        <f>IF(OR(原始資料!$A129="",50&gt;設定!$B$3,原始資料!BA129=""),"",IF(AND(原始資料!AZ129&lt;&gt;"",原始資料!BA129=原始資料!AZ129),N(AX129)+1,1))</f>
        <v/>
      </c>
      <c r="AZ129" s="6">
        <f>IF(OR(原始資料!$A129="",51&gt;設定!$B$3,原始資料!BB129=""),"",IF(AND(原始資料!BA129&lt;&gt;"",原始資料!BB129=原始資料!BA129),N(AY129)+1,1))</f>
        <v/>
      </c>
      <c r="BA129" s="6">
        <f>IF(OR(原始資料!$A129="",52&gt;設定!$B$3,原始資料!BC129=""),"",IF(AND(原始資料!BB129&lt;&gt;"",原始資料!BC129=原始資料!BB129),N(AZ129)+1,1))</f>
        <v/>
      </c>
      <c r="BB129" s="6">
        <f>IF(OR(原始資料!$A129="",53&gt;設定!$B$3,原始資料!BD129=""),"",IF(AND(原始資料!BC129&lt;&gt;"",原始資料!BD129=原始資料!BC129),N(BA129)+1,1))</f>
        <v/>
      </c>
      <c r="BC129" s="6">
        <f>IF(OR(原始資料!$A129="",54&gt;設定!$B$3,原始資料!BE129=""),"",IF(AND(原始資料!BD129&lt;&gt;"",原始資料!BE129=原始資料!BD129),N(BB129)+1,1))</f>
        <v/>
      </c>
      <c r="BD129" s="6">
        <f>IF(OR(原始資料!$A129="",55&gt;設定!$B$3,原始資料!BF129=""),"",IF(AND(原始資料!BE129&lt;&gt;"",原始資料!BF129=原始資料!BE129),N(BC129)+1,1))</f>
        <v/>
      </c>
      <c r="BE129" s="6">
        <f>IF(OR(原始資料!$A129="",56&gt;設定!$B$3,原始資料!BG129=""),"",IF(AND(原始資料!BF129&lt;&gt;"",原始資料!BG129=原始資料!BF129),N(BD129)+1,1))</f>
        <v/>
      </c>
      <c r="BF129" s="6">
        <f>IF(OR(原始資料!$A129="",57&gt;設定!$B$3,原始資料!BH129=""),"",IF(AND(原始資料!BG129&lt;&gt;"",原始資料!BH129=原始資料!BG129),N(BE129)+1,1))</f>
        <v/>
      </c>
      <c r="BG129" s="6">
        <f>IF(OR(原始資料!$A129="",58&gt;設定!$B$3,原始資料!BI129=""),"",IF(AND(原始資料!BH129&lt;&gt;"",原始資料!BI129=原始資料!BH129),N(BF129)+1,1))</f>
        <v/>
      </c>
      <c r="BH129" s="6">
        <f>IF(OR(原始資料!$A129="",59&gt;設定!$B$3,原始資料!BJ129=""),"",IF(AND(原始資料!BI129&lt;&gt;"",原始資料!BJ129=原始資料!BI129),N(BG129)+1,1))</f>
        <v/>
      </c>
      <c r="BI129" s="6">
        <f>IF(OR(原始資料!$A129="",60&gt;設定!$B$3,原始資料!BK129=""),"",IF(AND(原始資料!BJ129&lt;&gt;"",原始資料!BK129=原始資料!BJ129),N(BH129)+1,1))</f>
        <v/>
      </c>
    </row>
    <row r="130">
      <c r="A130" s="6">
        <f>IF(原始資料!$A130="","",原始資料!$A130)</f>
        <v/>
      </c>
      <c r="B130" s="6">
        <f>IF(OR(原始資料!$A130="",1&gt;設定!$B$3,原始資料!D130=""),"",1)</f>
        <v/>
      </c>
      <c r="C130" s="6">
        <f>IF(OR(原始資料!$A130="",2&gt;設定!$B$3,原始資料!E130=""),"",IF(AND(原始資料!D130&lt;&gt;"",原始資料!E130=原始資料!D130),N(B130)+1,1))</f>
        <v/>
      </c>
      <c r="D130" s="6">
        <f>IF(OR(原始資料!$A130="",3&gt;設定!$B$3,原始資料!F130=""),"",IF(AND(原始資料!E130&lt;&gt;"",原始資料!F130=原始資料!E130),N(C130)+1,1))</f>
        <v/>
      </c>
      <c r="E130" s="6">
        <f>IF(OR(原始資料!$A130="",4&gt;設定!$B$3,原始資料!G130=""),"",IF(AND(原始資料!F130&lt;&gt;"",原始資料!G130=原始資料!F130),N(D130)+1,1))</f>
        <v/>
      </c>
      <c r="F130" s="6">
        <f>IF(OR(原始資料!$A130="",5&gt;設定!$B$3,原始資料!H130=""),"",IF(AND(原始資料!G130&lt;&gt;"",原始資料!H130=原始資料!G130),N(E130)+1,1))</f>
        <v/>
      </c>
      <c r="G130" s="6">
        <f>IF(OR(原始資料!$A130="",6&gt;設定!$B$3,原始資料!I130=""),"",IF(AND(原始資料!H130&lt;&gt;"",原始資料!I130=原始資料!H130),N(F130)+1,1))</f>
        <v/>
      </c>
      <c r="H130" s="6">
        <f>IF(OR(原始資料!$A130="",7&gt;設定!$B$3,原始資料!J130=""),"",IF(AND(原始資料!I130&lt;&gt;"",原始資料!J130=原始資料!I130),N(G130)+1,1))</f>
        <v/>
      </c>
      <c r="I130" s="6">
        <f>IF(OR(原始資料!$A130="",8&gt;設定!$B$3,原始資料!K130=""),"",IF(AND(原始資料!J130&lt;&gt;"",原始資料!K130=原始資料!J130),N(H130)+1,1))</f>
        <v/>
      </c>
      <c r="J130" s="6">
        <f>IF(OR(原始資料!$A130="",9&gt;設定!$B$3,原始資料!L130=""),"",IF(AND(原始資料!K130&lt;&gt;"",原始資料!L130=原始資料!K130),N(I130)+1,1))</f>
        <v/>
      </c>
      <c r="K130" s="6">
        <f>IF(OR(原始資料!$A130="",10&gt;設定!$B$3,原始資料!M130=""),"",IF(AND(原始資料!L130&lt;&gt;"",原始資料!M130=原始資料!L130),N(J130)+1,1))</f>
        <v/>
      </c>
      <c r="L130" s="6">
        <f>IF(OR(原始資料!$A130="",11&gt;設定!$B$3,原始資料!N130=""),"",IF(AND(原始資料!M130&lt;&gt;"",原始資料!N130=原始資料!M130),N(K130)+1,1))</f>
        <v/>
      </c>
      <c r="M130" s="6">
        <f>IF(OR(原始資料!$A130="",12&gt;設定!$B$3,原始資料!O130=""),"",IF(AND(原始資料!N130&lt;&gt;"",原始資料!O130=原始資料!N130),N(L130)+1,1))</f>
        <v/>
      </c>
      <c r="N130" s="6">
        <f>IF(OR(原始資料!$A130="",13&gt;設定!$B$3,原始資料!P130=""),"",IF(AND(原始資料!O130&lt;&gt;"",原始資料!P130=原始資料!O130),N(M130)+1,1))</f>
        <v/>
      </c>
      <c r="O130" s="6">
        <f>IF(OR(原始資料!$A130="",14&gt;設定!$B$3,原始資料!Q130=""),"",IF(AND(原始資料!P130&lt;&gt;"",原始資料!Q130=原始資料!P130),N(N130)+1,1))</f>
        <v/>
      </c>
      <c r="P130" s="6">
        <f>IF(OR(原始資料!$A130="",15&gt;設定!$B$3,原始資料!R130=""),"",IF(AND(原始資料!Q130&lt;&gt;"",原始資料!R130=原始資料!Q130),N(O130)+1,1))</f>
        <v/>
      </c>
      <c r="Q130" s="6">
        <f>IF(OR(原始資料!$A130="",16&gt;設定!$B$3,原始資料!S130=""),"",IF(AND(原始資料!R130&lt;&gt;"",原始資料!S130=原始資料!R130),N(P130)+1,1))</f>
        <v/>
      </c>
      <c r="R130" s="6">
        <f>IF(OR(原始資料!$A130="",17&gt;設定!$B$3,原始資料!T130=""),"",IF(AND(原始資料!S130&lt;&gt;"",原始資料!T130=原始資料!S130),N(Q130)+1,1))</f>
        <v/>
      </c>
      <c r="S130" s="6">
        <f>IF(OR(原始資料!$A130="",18&gt;設定!$B$3,原始資料!U130=""),"",IF(AND(原始資料!T130&lt;&gt;"",原始資料!U130=原始資料!T130),N(R130)+1,1))</f>
        <v/>
      </c>
      <c r="T130" s="6">
        <f>IF(OR(原始資料!$A130="",19&gt;設定!$B$3,原始資料!V130=""),"",IF(AND(原始資料!U130&lt;&gt;"",原始資料!V130=原始資料!U130),N(S130)+1,1))</f>
        <v/>
      </c>
      <c r="U130" s="6">
        <f>IF(OR(原始資料!$A130="",20&gt;設定!$B$3,原始資料!W130=""),"",IF(AND(原始資料!V130&lt;&gt;"",原始資料!W130=原始資料!V130),N(T130)+1,1))</f>
        <v/>
      </c>
      <c r="V130" s="6">
        <f>IF(OR(原始資料!$A130="",21&gt;設定!$B$3,原始資料!X130=""),"",IF(AND(原始資料!W130&lt;&gt;"",原始資料!X130=原始資料!W130),N(U130)+1,1))</f>
        <v/>
      </c>
      <c r="W130" s="6">
        <f>IF(OR(原始資料!$A130="",22&gt;設定!$B$3,原始資料!Y130=""),"",IF(AND(原始資料!X130&lt;&gt;"",原始資料!Y130=原始資料!X130),N(V130)+1,1))</f>
        <v/>
      </c>
      <c r="X130" s="6">
        <f>IF(OR(原始資料!$A130="",23&gt;設定!$B$3,原始資料!Z130=""),"",IF(AND(原始資料!Y130&lt;&gt;"",原始資料!Z130=原始資料!Y130),N(W130)+1,1))</f>
        <v/>
      </c>
      <c r="Y130" s="6">
        <f>IF(OR(原始資料!$A130="",24&gt;設定!$B$3,原始資料!AA130=""),"",IF(AND(原始資料!Z130&lt;&gt;"",原始資料!AA130=原始資料!Z130),N(X130)+1,1))</f>
        <v/>
      </c>
      <c r="Z130" s="6">
        <f>IF(OR(原始資料!$A130="",25&gt;設定!$B$3,原始資料!AB130=""),"",IF(AND(原始資料!AA130&lt;&gt;"",原始資料!AB130=原始資料!AA130),N(Y130)+1,1))</f>
        <v/>
      </c>
      <c r="AA130" s="6">
        <f>IF(OR(原始資料!$A130="",26&gt;設定!$B$3,原始資料!AC130=""),"",IF(AND(原始資料!AB130&lt;&gt;"",原始資料!AC130=原始資料!AB130),N(Z130)+1,1))</f>
        <v/>
      </c>
      <c r="AB130" s="6">
        <f>IF(OR(原始資料!$A130="",27&gt;設定!$B$3,原始資料!AD130=""),"",IF(AND(原始資料!AC130&lt;&gt;"",原始資料!AD130=原始資料!AC130),N(AA130)+1,1))</f>
        <v/>
      </c>
      <c r="AC130" s="6">
        <f>IF(OR(原始資料!$A130="",28&gt;設定!$B$3,原始資料!AE130=""),"",IF(AND(原始資料!AD130&lt;&gt;"",原始資料!AE130=原始資料!AD130),N(AB130)+1,1))</f>
        <v/>
      </c>
      <c r="AD130" s="6">
        <f>IF(OR(原始資料!$A130="",29&gt;設定!$B$3,原始資料!AF130=""),"",IF(AND(原始資料!AE130&lt;&gt;"",原始資料!AF130=原始資料!AE130),N(AC130)+1,1))</f>
        <v/>
      </c>
      <c r="AE130" s="6">
        <f>IF(OR(原始資料!$A130="",30&gt;設定!$B$3,原始資料!AG130=""),"",IF(AND(原始資料!AF130&lt;&gt;"",原始資料!AG130=原始資料!AF130),N(AD130)+1,1))</f>
        <v/>
      </c>
      <c r="AF130" s="6">
        <f>IF(OR(原始資料!$A130="",31&gt;設定!$B$3,原始資料!AH130=""),"",IF(AND(原始資料!AG130&lt;&gt;"",原始資料!AH130=原始資料!AG130),N(AE130)+1,1))</f>
        <v/>
      </c>
      <c r="AG130" s="6">
        <f>IF(OR(原始資料!$A130="",32&gt;設定!$B$3,原始資料!AI130=""),"",IF(AND(原始資料!AH130&lt;&gt;"",原始資料!AI130=原始資料!AH130),N(AF130)+1,1))</f>
        <v/>
      </c>
      <c r="AH130" s="6">
        <f>IF(OR(原始資料!$A130="",33&gt;設定!$B$3,原始資料!AJ130=""),"",IF(AND(原始資料!AI130&lt;&gt;"",原始資料!AJ130=原始資料!AI130),N(AG130)+1,1))</f>
        <v/>
      </c>
      <c r="AI130" s="6">
        <f>IF(OR(原始資料!$A130="",34&gt;設定!$B$3,原始資料!AK130=""),"",IF(AND(原始資料!AJ130&lt;&gt;"",原始資料!AK130=原始資料!AJ130),N(AH130)+1,1))</f>
        <v/>
      </c>
      <c r="AJ130" s="6">
        <f>IF(OR(原始資料!$A130="",35&gt;設定!$B$3,原始資料!AL130=""),"",IF(AND(原始資料!AK130&lt;&gt;"",原始資料!AL130=原始資料!AK130),N(AI130)+1,1))</f>
        <v/>
      </c>
      <c r="AK130" s="6">
        <f>IF(OR(原始資料!$A130="",36&gt;設定!$B$3,原始資料!AM130=""),"",IF(AND(原始資料!AL130&lt;&gt;"",原始資料!AM130=原始資料!AL130),N(AJ130)+1,1))</f>
        <v/>
      </c>
      <c r="AL130" s="6">
        <f>IF(OR(原始資料!$A130="",37&gt;設定!$B$3,原始資料!AN130=""),"",IF(AND(原始資料!AM130&lt;&gt;"",原始資料!AN130=原始資料!AM130),N(AK130)+1,1))</f>
        <v/>
      </c>
      <c r="AM130" s="6">
        <f>IF(OR(原始資料!$A130="",38&gt;設定!$B$3,原始資料!AO130=""),"",IF(AND(原始資料!AN130&lt;&gt;"",原始資料!AO130=原始資料!AN130),N(AL130)+1,1))</f>
        <v/>
      </c>
      <c r="AN130" s="6">
        <f>IF(OR(原始資料!$A130="",39&gt;設定!$B$3,原始資料!AP130=""),"",IF(AND(原始資料!AO130&lt;&gt;"",原始資料!AP130=原始資料!AO130),N(AM130)+1,1))</f>
        <v/>
      </c>
      <c r="AO130" s="6">
        <f>IF(OR(原始資料!$A130="",40&gt;設定!$B$3,原始資料!AQ130=""),"",IF(AND(原始資料!AP130&lt;&gt;"",原始資料!AQ130=原始資料!AP130),N(AN130)+1,1))</f>
        <v/>
      </c>
      <c r="AP130" s="6">
        <f>IF(OR(原始資料!$A130="",41&gt;設定!$B$3,原始資料!AR130=""),"",IF(AND(原始資料!AQ130&lt;&gt;"",原始資料!AR130=原始資料!AQ130),N(AO130)+1,1))</f>
        <v/>
      </c>
      <c r="AQ130" s="6">
        <f>IF(OR(原始資料!$A130="",42&gt;設定!$B$3,原始資料!AS130=""),"",IF(AND(原始資料!AR130&lt;&gt;"",原始資料!AS130=原始資料!AR130),N(AP130)+1,1))</f>
        <v/>
      </c>
      <c r="AR130" s="6">
        <f>IF(OR(原始資料!$A130="",43&gt;設定!$B$3,原始資料!AT130=""),"",IF(AND(原始資料!AS130&lt;&gt;"",原始資料!AT130=原始資料!AS130),N(AQ130)+1,1))</f>
        <v/>
      </c>
      <c r="AS130" s="6">
        <f>IF(OR(原始資料!$A130="",44&gt;設定!$B$3,原始資料!AU130=""),"",IF(AND(原始資料!AT130&lt;&gt;"",原始資料!AU130=原始資料!AT130),N(AR130)+1,1))</f>
        <v/>
      </c>
      <c r="AT130" s="6">
        <f>IF(OR(原始資料!$A130="",45&gt;設定!$B$3,原始資料!AV130=""),"",IF(AND(原始資料!AU130&lt;&gt;"",原始資料!AV130=原始資料!AU130),N(AS130)+1,1))</f>
        <v/>
      </c>
      <c r="AU130" s="6">
        <f>IF(OR(原始資料!$A130="",46&gt;設定!$B$3,原始資料!AW130=""),"",IF(AND(原始資料!AV130&lt;&gt;"",原始資料!AW130=原始資料!AV130),N(AT130)+1,1))</f>
        <v/>
      </c>
      <c r="AV130" s="6">
        <f>IF(OR(原始資料!$A130="",47&gt;設定!$B$3,原始資料!AX130=""),"",IF(AND(原始資料!AW130&lt;&gt;"",原始資料!AX130=原始資料!AW130),N(AU130)+1,1))</f>
        <v/>
      </c>
      <c r="AW130" s="6">
        <f>IF(OR(原始資料!$A130="",48&gt;設定!$B$3,原始資料!AY130=""),"",IF(AND(原始資料!AX130&lt;&gt;"",原始資料!AY130=原始資料!AX130),N(AV130)+1,1))</f>
        <v/>
      </c>
      <c r="AX130" s="6">
        <f>IF(OR(原始資料!$A130="",49&gt;設定!$B$3,原始資料!AZ130=""),"",IF(AND(原始資料!AY130&lt;&gt;"",原始資料!AZ130=原始資料!AY130),N(AW130)+1,1))</f>
        <v/>
      </c>
      <c r="AY130" s="6">
        <f>IF(OR(原始資料!$A130="",50&gt;設定!$B$3,原始資料!BA130=""),"",IF(AND(原始資料!AZ130&lt;&gt;"",原始資料!BA130=原始資料!AZ130),N(AX130)+1,1))</f>
        <v/>
      </c>
      <c r="AZ130" s="6">
        <f>IF(OR(原始資料!$A130="",51&gt;設定!$B$3,原始資料!BB130=""),"",IF(AND(原始資料!BA130&lt;&gt;"",原始資料!BB130=原始資料!BA130),N(AY130)+1,1))</f>
        <v/>
      </c>
      <c r="BA130" s="6">
        <f>IF(OR(原始資料!$A130="",52&gt;設定!$B$3,原始資料!BC130=""),"",IF(AND(原始資料!BB130&lt;&gt;"",原始資料!BC130=原始資料!BB130),N(AZ130)+1,1))</f>
        <v/>
      </c>
      <c r="BB130" s="6">
        <f>IF(OR(原始資料!$A130="",53&gt;設定!$B$3,原始資料!BD130=""),"",IF(AND(原始資料!BC130&lt;&gt;"",原始資料!BD130=原始資料!BC130),N(BA130)+1,1))</f>
        <v/>
      </c>
      <c r="BC130" s="6">
        <f>IF(OR(原始資料!$A130="",54&gt;設定!$B$3,原始資料!BE130=""),"",IF(AND(原始資料!BD130&lt;&gt;"",原始資料!BE130=原始資料!BD130),N(BB130)+1,1))</f>
        <v/>
      </c>
      <c r="BD130" s="6">
        <f>IF(OR(原始資料!$A130="",55&gt;設定!$B$3,原始資料!BF130=""),"",IF(AND(原始資料!BE130&lt;&gt;"",原始資料!BF130=原始資料!BE130),N(BC130)+1,1))</f>
        <v/>
      </c>
      <c r="BE130" s="6">
        <f>IF(OR(原始資料!$A130="",56&gt;設定!$B$3,原始資料!BG130=""),"",IF(AND(原始資料!BF130&lt;&gt;"",原始資料!BG130=原始資料!BF130),N(BD130)+1,1))</f>
        <v/>
      </c>
      <c r="BF130" s="6">
        <f>IF(OR(原始資料!$A130="",57&gt;設定!$B$3,原始資料!BH130=""),"",IF(AND(原始資料!BG130&lt;&gt;"",原始資料!BH130=原始資料!BG130),N(BE130)+1,1))</f>
        <v/>
      </c>
      <c r="BG130" s="6">
        <f>IF(OR(原始資料!$A130="",58&gt;設定!$B$3,原始資料!BI130=""),"",IF(AND(原始資料!BH130&lt;&gt;"",原始資料!BI130=原始資料!BH130),N(BF130)+1,1))</f>
        <v/>
      </c>
      <c r="BH130" s="6">
        <f>IF(OR(原始資料!$A130="",59&gt;設定!$B$3,原始資料!BJ130=""),"",IF(AND(原始資料!BI130&lt;&gt;"",原始資料!BJ130=原始資料!BI130),N(BG130)+1,1))</f>
        <v/>
      </c>
      <c r="BI130" s="6">
        <f>IF(OR(原始資料!$A130="",60&gt;設定!$B$3,原始資料!BK130=""),"",IF(AND(原始資料!BJ130&lt;&gt;"",原始資料!BK130=原始資料!BJ130),N(BH130)+1,1))</f>
        <v/>
      </c>
    </row>
    <row r="131">
      <c r="A131" s="6">
        <f>IF(原始資料!$A131="","",原始資料!$A131)</f>
        <v/>
      </c>
      <c r="B131" s="6">
        <f>IF(OR(原始資料!$A131="",1&gt;設定!$B$3,原始資料!D131=""),"",1)</f>
        <v/>
      </c>
      <c r="C131" s="6">
        <f>IF(OR(原始資料!$A131="",2&gt;設定!$B$3,原始資料!E131=""),"",IF(AND(原始資料!D131&lt;&gt;"",原始資料!E131=原始資料!D131),N(B131)+1,1))</f>
        <v/>
      </c>
      <c r="D131" s="6">
        <f>IF(OR(原始資料!$A131="",3&gt;設定!$B$3,原始資料!F131=""),"",IF(AND(原始資料!E131&lt;&gt;"",原始資料!F131=原始資料!E131),N(C131)+1,1))</f>
        <v/>
      </c>
      <c r="E131" s="6">
        <f>IF(OR(原始資料!$A131="",4&gt;設定!$B$3,原始資料!G131=""),"",IF(AND(原始資料!F131&lt;&gt;"",原始資料!G131=原始資料!F131),N(D131)+1,1))</f>
        <v/>
      </c>
      <c r="F131" s="6">
        <f>IF(OR(原始資料!$A131="",5&gt;設定!$B$3,原始資料!H131=""),"",IF(AND(原始資料!G131&lt;&gt;"",原始資料!H131=原始資料!G131),N(E131)+1,1))</f>
        <v/>
      </c>
      <c r="G131" s="6">
        <f>IF(OR(原始資料!$A131="",6&gt;設定!$B$3,原始資料!I131=""),"",IF(AND(原始資料!H131&lt;&gt;"",原始資料!I131=原始資料!H131),N(F131)+1,1))</f>
        <v/>
      </c>
      <c r="H131" s="6">
        <f>IF(OR(原始資料!$A131="",7&gt;設定!$B$3,原始資料!J131=""),"",IF(AND(原始資料!I131&lt;&gt;"",原始資料!J131=原始資料!I131),N(G131)+1,1))</f>
        <v/>
      </c>
      <c r="I131" s="6">
        <f>IF(OR(原始資料!$A131="",8&gt;設定!$B$3,原始資料!K131=""),"",IF(AND(原始資料!J131&lt;&gt;"",原始資料!K131=原始資料!J131),N(H131)+1,1))</f>
        <v/>
      </c>
      <c r="J131" s="6">
        <f>IF(OR(原始資料!$A131="",9&gt;設定!$B$3,原始資料!L131=""),"",IF(AND(原始資料!K131&lt;&gt;"",原始資料!L131=原始資料!K131),N(I131)+1,1))</f>
        <v/>
      </c>
      <c r="K131" s="6">
        <f>IF(OR(原始資料!$A131="",10&gt;設定!$B$3,原始資料!M131=""),"",IF(AND(原始資料!L131&lt;&gt;"",原始資料!M131=原始資料!L131),N(J131)+1,1))</f>
        <v/>
      </c>
      <c r="L131" s="6">
        <f>IF(OR(原始資料!$A131="",11&gt;設定!$B$3,原始資料!N131=""),"",IF(AND(原始資料!M131&lt;&gt;"",原始資料!N131=原始資料!M131),N(K131)+1,1))</f>
        <v/>
      </c>
      <c r="M131" s="6">
        <f>IF(OR(原始資料!$A131="",12&gt;設定!$B$3,原始資料!O131=""),"",IF(AND(原始資料!N131&lt;&gt;"",原始資料!O131=原始資料!N131),N(L131)+1,1))</f>
        <v/>
      </c>
      <c r="N131" s="6">
        <f>IF(OR(原始資料!$A131="",13&gt;設定!$B$3,原始資料!P131=""),"",IF(AND(原始資料!O131&lt;&gt;"",原始資料!P131=原始資料!O131),N(M131)+1,1))</f>
        <v/>
      </c>
      <c r="O131" s="6">
        <f>IF(OR(原始資料!$A131="",14&gt;設定!$B$3,原始資料!Q131=""),"",IF(AND(原始資料!P131&lt;&gt;"",原始資料!Q131=原始資料!P131),N(N131)+1,1))</f>
        <v/>
      </c>
      <c r="P131" s="6">
        <f>IF(OR(原始資料!$A131="",15&gt;設定!$B$3,原始資料!R131=""),"",IF(AND(原始資料!Q131&lt;&gt;"",原始資料!R131=原始資料!Q131),N(O131)+1,1))</f>
        <v/>
      </c>
      <c r="Q131" s="6">
        <f>IF(OR(原始資料!$A131="",16&gt;設定!$B$3,原始資料!S131=""),"",IF(AND(原始資料!R131&lt;&gt;"",原始資料!S131=原始資料!R131),N(P131)+1,1))</f>
        <v/>
      </c>
      <c r="R131" s="6">
        <f>IF(OR(原始資料!$A131="",17&gt;設定!$B$3,原始資料!T131=""),"",IF(AND(原始資料!S131&lt;&gt;"",原始資料!T131=原始資料!S131),N(Q131)+1,1))</f>
        <v/>
      </c>
      <c r="S131" s="6">
        <f>IF(OR(原始資料!$A131="",18&gt;設定!$B$3,原始資料!U131=""),"",IF(AND(原始資料!T131&lt;&gt;"",原始資料!U131=原始資料!T131),N(R131)+1,1))</f>
        <v/>
      </c>
      <c r="T131" s="6">
        <f>IF(OR(原始資料!$A131="",19&gt;設定!$B$3,原始資料!V131=""),"",IF(AND(原始資料!U131&lt;&gt;"",原始資料!V131=原始資料!U131),N(S131)+1,1))</f>
        <v/>
      </c>
      <c r="U131" s="6">
        <f>IF(OR(原始資料!$A131="",20&gt;設定!$B$3,原始資料!W131=""),"",IF(AND(原始資料!V131&lt;&gt;"",原始資料!W131=原始資料!V131),N(T131)+1,1))</f>
        <v/>
      </c>
      <c r="V131" s="6">
        <f>IF(OR(原始資料!$A131="",21&gt;設定!$B$3,原始資料!X131=""),"",IF(AND(原始資料!W131&lt;&gt;"",原始資料!X131=原始資料!W131),N(U131)+1,1))</f>
        <v/>
      </c>
      <c r="W131" s="6">
        <f>IF(OR(原始資料!$A131="",22&gt;設定!$B$3,原始資料!Y131=""),"",IF(AND(原始資料!X131&lt;&gt;"",原始資料!Y131=原始資料!X131),N(V131)+1,1))</f>
        <v/>
      </c>
      <c r="X131" s="6">
        <f>IF(OR(原始資料!$A131="",23&gt;設定!$B$3,原始資料!Z131=""),"",IF(AND(原始資料!Y131&lt;&gt;"",原始資料!Z131=原始資料!Y131),N(W131)+1,1))</f>
        <v/>
      </c>
      <c r="Y131" s="6">
        <f>IF(OR(原始資料!$A131="",24&gt;設定!$B$3,原始資料!AA131=""),"",IF(AND(原始資料!Z131&lt;&gt;"",原始資料!AA131=原始資料!Z131),N(X131)+1,1))</f>
        <v/>
      </c>
      <c r="Z131" s="6">
        <f>IF(OR(原始資料!$A131="",25&gt;設定!$B$3,原始資料!AB131=""),"",IF(AND(原始資料!AA131&lt;&gt;"",原始資料!AB131=原始資料!AA131),N(Y131)+1,1))</f>
        <v/>
      </c>
      <c r="AA131" s="6">
        <f>IF(OR(原始資料!$A131="",26&gt;設定!$B$3,原始資料!AC131=""),"",IF(AND(原始資料!AB131&lt;&gt;"",原始資料!AC131=原始資料!AB131),N(Z131)+1,1))</f>
        <v/>
      </c>
      <c r="AB131" s="6">
        <f>IF(OR(原始資料!$A131="",27&gt;設定!$B$3,原始資料!AD131=""),"",IF(AND(原始資料!AC131&lt;&gt;"",原始資料!AD131=原始資料!AC131),N(AA131)+1,1))</f>
        <v/>
      </c>
      <c r="AC131" s="6">
        <f>IF(OR(原始資料!$A131="",28&gt;設定!$B$3,原始資料!AE131=""),"",IF(AND(原始資料!AD131&lt;&gt;"",原始資料!AE131=原始資料!AD131),N(AB131)+1,1))</f>
        <v/>
      </c>
      <c r="AD131" s="6">
        <f>IF(OR(原始資料!$A131="",29&gt;設定!$B$3,原始資料!AF131=""),"",IF(AND(原始資料!AE131&lt;&gt;"",原始資料!AF131=原始資料!AE131),N(AC131)+1,1))</f>
        <v/>
      </c>
      <c r="AE131" s="6">
        <f>IF(OR(原始資料!$A131="",30&gt;設定!$B$3,原始資料!AG131=""),"",IF(AND(原始資料!AF131&lt;&gt;"",原始資料!AG131=原始資料!AF131),N(AD131)+1,1))</f>
        <v/>
      </c>
      <c r="AF131" s="6">
        <f>IF(OR(原始資料!$A131="",31&gt;設定!$B$3,原始資料!AH131=""),"",IF(AND(原始資料!AG131&lt;&gt;"",原始資料!AH131=原始資料!AG131),N(AE131)+1,1))</f>
        <v/>
      </c>
      <c r="AG131" s="6">
        <f>IF(OR(原始資料!$A131="",32&gt;設定!$B$3,原始資料!AI131=""),"",IF(AND(原始資料!AH131&lt;&gt;"",原始資料!AI131=原始資料!AH131),N(AF131)+1,1))</f>
        <v/>
      </c>
      <c r="AH131" s="6">
        <f>IF(OR(原始資料!$A131="",33&gt;設定!$B$3,原始資料!AJ131=""),"",IF(AND(原始資料!AI131&lt;&gt;"",原始資料!AJ131=原始資料!AI131),N(AG131)+1,1))</f>
        <v/>
      </c>
      <c r="AI131" s="6">
        <f>IF(OR(原始資料!$A131="",34&gt;設定!$B$3,原始資料!AK131=""),"",IF(AND(原始資料!AJ131&lt;&gt;"",原始資料!AK131=原始資料!AJ131),N(AH131)+1,1))</f>
        <v/>
      </c>
      <c r="AJ131" s="6">
        <f>IF(OR(原始資料!$A131="",35&gt;設定!$B$3,原始資料!AL131=""),"",IF(AND(原始資料!AK131&lt;&gt;"",原始資料!AL131=原始資料!AK131),N(AI131)+1,1))</f>
        <v/>
      </c>
      <c r="AK131" s="6">
        <f>IF(OR(原始資料!$A131="",36&gt;設定!$B$3,原始資料!AM131=""),"",IF(AND(原始資料!AL131&lt;&gt;"",原始資料!AM131=原始資料!AL131),N(AJ131)+1,1))</f>
        <v/>
      </c>
      <c r="AL131" s="6">
        <f>IF(OR(原始資料!$A131="",37&gt;設定!$B$3,原始資料!AN131=""),"",IF(AND(原始資料!AM131&lt;&gt;"",原始資料!AN131=原始資料!AM131),N(AK131)+1,1))</f>
        <v/>
      </c>
      <c r="AM131" s="6">
        <f>IF(OR(原始資料!$A131="",38&gt;設定!$B$3,原始資料!AO131=""),"",IF(AND(原始資料!AN131&lt;&gt;"",原始資料!AO131=原始資料!AN131),N(AL131)+1,1))</f>
        <v/>
      </c>
      <c r="AN131" s="6">
        <f>IF(OR(原始資料!$A131="",39&gt;設定!$B$3,原始資料!AP131=""),"",IF(AND(原始資料!AO131&lt;&gt;"",原始資料!AP131=原始資料!AO131),N(AM131)+1,1))</f>
        <v/>
      </c>
      <c r="AO131" s="6">
        <f>IF(OR(原始資料!$A131="",40&gt;設定!$B$3,原始資料!AQ131=""),"",IF(AND(原始資料!AP131&lt;&gt;"",原始資料!AQ131=原始資料!AP131),N(AN131)+1,1))</f>
        <v/>
      </c>
      <c r="AP131" s="6">
        <f>IF(OR(原始資料!$A131="",41&gt;設定!$B$3,原始資料!AR131=""),"",IF(AND(原始資料!AQ131&lt;&gt;"",原始資料!AR131=原始資料!AQ131),N(AO131)+1,1))</f>
        <v/>
      </c>
      <c r="AQ131" s="6">
        <f>IF(OR(原始資料!$A131="",42&gt;設定!$B$3,原始資料!AS131=""),"",IF(AND(原始資料!AR131&lt;&gt;"",原始資料!AS131=原始資料!AR131),N(AP131)+1,1))</f>
        <v/>
      </c>
      <c r="AR131" s="6">
        <f>IF(OR(原始資料!$A131="",43&gt;設定!$B$3,原始資料!AT131=""),"",IF(AND(原始資料!AS131&lt;&gt;"",原始資料!AT131=原始資料!AS131),N(AQ131)+1,1))</f>
        <v/>
      </c>
      <c r="AS131" s="6">
        <f>IF(OR(原始資料!$A131="",44&gt;設定!$B$3,原始資料!AU131=""),"",IF(AND(原始資料!AT131&lt;&gt;"",原始資料!AU131=原始資料!AT131),N(AR131)+1,1))</f>
        <v/>
      </c>
      <c r="AT131" s="6">
        <f>IF(OR(原始資料!$A131="",45&gt;設定!$B$3,原始資料!AV131=""),"",IF(AND(原始資料!AU131&lt;&gt;"",原始資料!AV131=原始資料!AU131),N(AS131)+1,1))</f>
        <v/>
      </c>
      <c r="AU131" s="6">
        <f>IF(OR(原始資料!$A131="",46&gt;設定!$B$3,原始資料!AW131=""),"",IF(AND(原始資料!AV131&lt;&gt;"",原始資料!AW131=原始資料!AV131),N(AT131)+1,1))</f>
        <v/>
      </c>
      <c r="AV131" s="6">
        <f>IF(OR(原始資料!$A131="",47&gt;設定!$B$3,原始資料!AX131=""),"",IF(AND(原始資料!AW131&lt;&gt;"",原始資料!AX131=原始資料!AW131),N(AU131)+1,1))</f>
        <v/>
      </c>
      <c r="AW131" s="6">
        <f>IF(OR(原始資料!$A131="",48&gt;設定!$B$3,原始資料!AY131=""),"",IF(AND(原始資料!AX131&lt;&gt;"",原始資料!AY131=原始資料!AX131),N(AV131)+1,1))</f>
        <v/>
      </c>
      <c r="AX131" s="6">
        <f>IF(OR(原始資料!$A131="",49&gt;設定!$B$3,原始資料!AZ131=""),"",IF(AND(原始資料!AY131&lt;&gt;"",原始資料!AZ131=原始資料!AY131),N(AW131)+1,1))</f>
        <v/>
      </c>
      <c r="AY131" s="6">
        <f>IF(OR(原始資料!$A131="",50&gt;設定!$B$3,原始資料!BA131=""),"",IF(AND(原始資料!AZ131&lt;&gt;"",原始資料!BA131=原始資料!AZ131),N(AX131)+1,1))</f>
        <v/>
      </c>
      <c r="AZ131" s="6">
        <f>IF(OR(原始資料!$A131="",51&gt;設定!$B$3,原始資料!BB131=""),"",IF(AND(原始資料!BA131&lt;&gt;"",原始資料!BB131=原始資料!BA131),N(AY131)+1,1))</f>
        <v/>
      </c>
      <c r="BA131" s="6">
        <f>IF(OR(原始資料!$A131="",52&gt;設定!$B$3,原始資料!BC131=""),"",IF(AND(原始資料!BB131&lt;&gt;"",原始資料!BC131=原始資料!BB131),N(AZ131)+1,1))</f>
        <v/>
      </c>
      <c r="BB131" s="6">
        <f>IF(OR(原始資料!$A131="",53&gt;設定!$B$3,原始資料!BD131=""),"",IF(AND(原始資料!BC131&lt;&gt;"",原始資料!BD131=原始資料!BC131),N(BA131)+1,1))</f>
        <v/>
      </c>
      <c r="BC131" s="6">
        <f>IF(OR(原始資料!$A131="",54&gt;設定!$B$3,原始資料!BE131=""),"",IF(AND(原始資料!BD131&lt;&gt;"",原始資料!BE131=原始資料!BD131),N(BB131)+1,1))</f>
        <v/>
      </c>
      <c r="BD131" s="6">
        <f>IF(OR(原始資料!$A131="",55&gt;設定!$B$3,原始資料!BF131=""),"",IF(AND(原始資料!BE131&lt;&gt;"",原始資料!BF131=原始資料!BE131),N(BC131)+1,1))</f>
        <v/>
      </c>
      <c r="BE131" s="6">
        <f>IF(OR(原始資料!$A131="",56&gt;設定!$B$3,原始資料!BG131=""),"",IF(AND(原始資料!BF131&lt;&gt;"",原始資料!BG131=原始資料!BF131),N(BD131)+1,1))</f>
        <v/>
      </c>
      <c r="BF131" s="6">
        <f>IF(OR(原始資料!$A131="",57&gt;設定!$B$3,原始資料!BH131=""),"",IF(AND(原始資料!BG131&lt;&gt;"",原始資料!BH131=原始資料!BG131),N(BE131)+1,1))</f>
        <v/>
      </c>
      <c r="BG131" s="6">
        <f>IF(OR(原始資料!$A131="",58&gt;設定!$B$3,原始資料!BI131=""),"",IF(AND(原始資料!BH131&lt;&gt;"",原始資料!BI131=原始資料!BH131),N(BF131)+1,1))</f>
        <v/>
      </c>
      <c r="BH131" s="6">
        <f>IF(OR(原始資料!$A131="",59&gt;設定!$B$3,原始資料!BJ131=""),"",IF(AND(原始資料!BI131&lt;&gt;"",原始資料!BJ131=原始資料!BI131),N(BG131)+1,1))</f>
        <v/>
      </c>
      <c r="BI131" s="6">
        <f>IF(OR(原始資料!$A131="",60&gt;設定!$B$3,原始資料!BK131=""),"",IF(AND(原始資料!BJ131&lt;&gt;"",原始資料!BK131=原始資料!BJ131),N(BH131)+1,1))</f>
        <v/>
      </c>
    </row>
    <row r="132">
      <c r="A132" s="6">
        <f>IF(原始資料!$A132="","",原始資料!$A132)</f>
        <v/>
      </c>
      <c r="B132" s="6">
        <f>IF(OR(原始資料!$A132="",1&gt;設定!$B$3,原始資料!D132=""),"",1)</f>
        <v/>
      </c>
      <c r="C132" s="6">
        <f>IF(OR(原始資料!$A132="",2&gt;設定!$B$3,原始資料!E132=""),"",IF(AND(原始資料!D132&lt;&gt;"",原始資料!E132=原始資料!D132),N(B132)+1,1))</f>
        <v/>
      </c>
      <c r="D132" s="6">
        <f>IF(OR(原始資料!$A132="",3&gt;設定!$B$3,原始資料!F132=""),"",IF(AND(原始資料!E132&lt;&gt;"",原始資料!F132=原始資料!E132),N(C132)+1,1))</f>
        <v/>
      </c>
      <c r="E132" s="6">
        <f>IF(OR(原始資料!$A132="",4&gt;設定!$B$3,原始資料!G132=""),"",IF(AND(原始資料!F132&lt;&gt;"",原始資料!G132=原始資料!F132),N(D132)+1,1))</f>
        <v/>
      </c>
      <c r="F132" s="6">
        <f>IF(OR(原始資料!$A132="",5&gt;設定!$B$3,原始資料!H132=""),"",IF(AND(原始資料!G132&lt;&gt;"",原始資料!H132=原始資料!G132),N(E132)+1,1))</f>
        <v/>
      </c>
      <c r="G132" s="6">
        <f>IF(OR(原始資料!$A132="",6&gt;設定!$B$3,原始資料!I132=""),"",IF(AND(原始資料!H132&lt;&gt;"",原始資料!I132=原始資料!H132),N(F132)+1,1))</f>
        <v/>
      </c>
      <c r="H132" s="6">
        <f>IF(OR(原始資料!$A132="",7&gt;設定!$B$3,原始資料!J132=""),"",IF(AND(原始資料!I132&lt;&gt;"",原始資料!J132=原始資料!I132),N(G132)+1,1))</f>
        <v/>
      </c>
      <c r="I132" s="6">
        <f>IF(OR(原始資料!$A132="",8&gt;設定!$B$3,原始資料!K132=""),"",IF(AND(原始資料!J132&lt;&gt;"",原始資料!K132=原始資料!J132),N(H132)+1,1))</f>
        <v/>
      </c>
      <c r="J132" s="6">
        <f>IF(OR(原始資料!$A132="",9&gt;設定!$B$3,原始資料!L132=""),"",IF(AND(原始資料!K132&lt;&gt;"",原始資料!L132=原始資料!K132),N(I132)+1,1))</f>
        <v/>
      </c>
      <c r="K132" s="6">
        <f>IF(OR(原始資料!$A132="",10&gt;設定!$B$3,原始資料!M132=""),"",IF(AND(原始資料!L132&lt;&gt;"",原始資料!M132=原始資料!L132),N(J132)+1,1))</f>
        <v/>
      </c>
      <c r="L132" s="6">
        <f>IF(OR(原始資料!$A132="",11&gt;設定!$B$3,原始資料!N132=""),"",IF(AND(原始資料!M132&lt;&gt;"",原始資料!N132=原始資料!M132),N(K132)+1,1))</f>
        <v/>
      </c>
      <c r="M132" s="6">
        <f>IF(OR(原始資料!$A132="",12&gt;設定!$B$3,原始資料!O132=""),"",IF(AND(原始資料!N132&lt;&gt;"",原始資料!O132=原始資料!N132),N(L132)+1,1))</f>
        <v/>
      </c>
      <c r="N132" s="6">
        <f>IF(OR(原始資料!$A132="",13&gt;設定!$B$3,原始資料!P132=""),"",IF(AND(原始資料!O132&lt;&gt;"",原始資料!P132=原始資料!O132),N(M132)+1,1))</f>
        <v/>
      </c>
      <c r="O132" s="6">
        <f>IF(OR(原始資料!$A132="",14&gt;設定!$B$3,原始資料!Q132=""),"",IF(AND(原始資料!P132&lt;&gt;"",原始資料!Q132=原始資料!P132),N(N132)+1,1))</f>
        <v/>
      </c>
      <c r="P132" s="6">
        <f>IF(OR(原始資料!$A132="",15&gt;設定!$B$3,原始資料!R132=""),"",IF(AND(原始資料!Q132&lt;&gt;"",原始資料!R132=原始資料!Q132),N(O132)+1,1))</f>
        <v/>
      </c>
      <c r="Q132" s="6">
        <f>IF(OR(原始資料!$A132="",16&gt;設定!$B$3,原始資料!S132=""),"",IF(AND(原始資料!R132&lt;&gt;"",原始資料!S132=原始資料!R132),N(P132)+1,1))</f>
        <v/>
      </c>
      <c r="R132" s="6">
        <f>IF(OR(原始資料!$A132="",17&gt;設定!$B$3,原始資料!T132=""),"",IF(AND(原始資料!S132&lt;&gt;"",原始資料!T132=原始資料!S132),N(Q132)+1,1))</f>
        <v/>
      </c>
      <c r="S132" s="6">
        <f>IF(OR(原始資料!$A132="",18&gt;設定!$B$3,原始資料!U132=""),"",IF(AND(原始資料!T132&lt;&gt;"",原始資料!U132=原始資料!T132),N(R132)+1,1))</f>
        <v/>
      </c>
      <c r="T132" s="6">
        <f>IF(OR(原始資料!$A132="",19&gt;設定!$B$3,原始資料!V132=""),"",IF(AND(原始資料!U132&lt;&gt;"",原始資料!V132=原始資料!U132),N(S132)+1,1))</f>
        <v/>
      </c>
      <c r="U132" s="6">
        <f>IF(OR(原始資料!$A132="",20&gt;設定!$B$3,原始資料!W132=""),"",IF(AND(原始資料!V132&lt;&gt;"",原始資料!W132=原始資料!V132),N(T132)+1,1))</f>
        <v/>
      </c>
      <c r="V132" s="6">
        <f>IF(OR(原始資料!$A132="",21&gt;設定!$B$3,原始資料!X132=""),"",IF(AND(原始資料!W132&lt;&gt;"",原始資料!X132=原始資料!W132),N(U132)+1,1))</f>
        <v/>
      </c>
      <c r="W132" s="6">
        <f>IF(OR(原始資料!$A132="",22&gt;設定!$B$3,原始資料!Y132=""),"",IF(AND(原始資料!X132&lt;&gt;"",原始資料!Y132=原始資料!X132),N(V132)+1,1))</f>
        <v/>
      </c>
      <c r="X132" s="6">
        <f>IF(OR(原始資料!$A132="",23&gt;設定!$B$3,原始資料!Z132=""),"",IF(AND(原始資料!Y132&lt;&gt;"",原始資料!Z132=原始資料!Y132),N(W132)+1,1))</f>
        <v/>
      </c>
      <c r="Y132" s="6">
        <f>IF(OR(原始資料!$A132="",24&gt;設定!$B$3,原始資料!AA132=""),"",IF(AND(原始資料!Z132&lt;&gt;"",原始資料!AA132=原始資料!Z132),N(X132)+1,1))</f>
        <v/>
      </c>
      <c r="Z132" s="6">
        <f>IF(OR(原始資料!$A132="",25&gt;設定!$B$3,原始資料!AB132=""),"",IF(AND(原始資料!AA132&lt;&gt;"",原始資料!AB132=原始資料!AA132),N(Y132)+1,1))</f>
        <v/>
      </c>
      <c r="AA132" s="6">
        <f>IF(OR(原始資料!$A132="",26&gt;設定!$B$3,原始資料!AC132=""),"",IF(AND(原始資料!AB132&lt;&gt;"",原始資料!AC132=原始資料!AB132),N(Z132)+1,1))</f>
        <v/>
      </c>
      <c r="AB132" s="6">
        <f>IF(OR(原始資料!$A132="",27&gt;設定!$B$3,原始資料!AD132=""),"",IF(AND(原始資料!AC132&lt;&gt;"",原始資料!AD132=原始資料!AC132),N(AA132)+1,1))</f>
        <v/>
      </c>
      <c r="AC132" s="6">
        <f>IF(OR(原始資料!$A132="",28&gt;設定!$B$3,原始資料!AE132=""),"",IF(AND(原始資料!AD132&lt;&gt;"",原始資料!AE132=原始資料!AD132),N(AB132)+1,1))</f>
        <v/>
      </c>
      <c r="AD132" s="6">
        <f>IF(OR(原始資料!$A132="",29&gt;設定!$B$3,原始資料!AF132=""),"",IF(AND(原始資料!AE132&lt;&gt;"",原始資料!AF132=原始資料!AE132),N(AC132)+1,1))</f>
        <v/>
      </c>
      <c r="AE132" s="6">
        <f>IF(OR(原始資料!$A132="",30&gt;設定!$B$3,原始資料!AG132=""),"",IF(AND(原始資料!AF132&lt;&gt;"",原始資料!AG132=原始資料!AF132),N(AD132)+1,1))</f>
        <v/>
      </c>
      <c r="AF132" s="6">
        <f>IF(OR(原始資料!$A132="",31&gt;設定!$B$3,原始資料!AH132=""),"",IF(AND(原始資料!AG132&lt;&gt;"",原始資料!AH132=原始資料!AG132),N(AE132)+1,1))</f>
        <v/>
      </c>
      <c r="AG132" s="6">
        <f>IF(OR(原始資料!$A132="",32&gt;設定!$B$3,原始資料!AI132=""),"",IF(AND(原始資料!AH132&lt;&gt;"",原始資料!AI132=原始資料!AH132),N(AF132)+1,1))</f>
        <v/>
      </c>
      <c r="AH132" s="6">
        <f>IF(OR(原始資料!$A132="",33&gt;設定!$B$3,原始資料!AJ132=""),"",IF(AND(原始資料!AI132&lt;&gt;"",原始資料!AJ132=原始資料!AI132),N(AG132)+1,1))</f>
        <v/>
      </c>
      <c r="AI132" s="6">
        <f>IF(OR(原始資料!$A132="",34&gt;設定!$B$3,原始資料!AK132=""),"",IF(AND(原始資料!AJ132&lt;&gt;"",原始資料!AK132=原始資料!AJ132),N(AH132)+1,1))</f>
        <v/>
      </c>
      <c r="AJ132" s="6">
        <f>IF(OR(原始資料!$A132="",35&gt;設定!$B$3,原始資料!AL132=""),"",IF(AND(原始資料!AK132&lt;&gt;"",原始資料!AL132=原始資料!AK132),N(AI132)+1,1))</f>
        <v/>
      </c>
      <c r="AK132" s="6">
        <f>IF(OR(原始資料!$A132="",36&gt;設定!$B$3,原始資料!AM132=""),"",IF(AND(原始資料!AL132&lt;&gt;"",原始資料!AM132=原始資料!AL132),N(AJ132)+1,1))</f>
        <v/>
      </c>
      <c r="AL132" s="6">
        <f>IF(OR(原始資料!$A132="",37&gt;設定!$B$3,原始資料!AN132=""),"",IF(AND(原始資料!AM132&lt;&gt;"",原始資料!AN132=原始資料!AM132),N(AK132)+1,1))</f>
        <v/>
      </c>
      <c r="AM132" s="6">
        <f>IF(OR(原始資料!$A132="",38&gt;設定!$B$3,原始資料!AO132=""),"",IF(AND(原始資料!AN132&lt;&gt;"",原始資料!AO132=原始資料!AN132),N(AL132)+1,1))</f>
        <v/>
      </c>
      <c r="AN132" s="6">
        <f>IF(OR(原始資料!$A132="",39&gt;設定!$B$3,原始資料!AP132=""),"",IF(AND(原始資料!AO132&lt;&gt;"",原始資料!AP132=原始資料!AO132),N(AM132)+1,1))</f>
        <v/>
      </c>
      <c r="AO132" s="6">
        <f>IF(OR(原始資料!$A132="",40&gt;設定!$B$3,原始資料!AQ132=""),"",IF(AND(原始資料!AP132&lt;&gt;"",原始資料!AQ132=原始資料!AP132),N(AN132)+1,1))</f>
        <v/>
      </c>
      <c r="AP132" s="6">
        <f>IF(OR(原始資料!$A132="",41&gt;設定!$B$3,原始資料!AR132=""),"",IF(AND(原始資料!AQ132&lt;&gt;"",原始資料!AR132=原始資料!AQ132),N(AO132)+1,1))</f>
        <v/>
      </c>
      <c r="AQ132" s="6">
        <f>IF(OR(原始資料!$A132="",42&gt;設定!$B$3,原始資料!AS132=""),"",IF(AND(原始資料!AR132&lt;&gt;"",原始資料!AS132=原始資料!AR132),N(AP132)+1,1))</f>
        <v/>
      </c>
      <c r="AR132" s="6">
        <f>IF(OR(原始資料!$A132="",43&gt;設定!$B$3,原始資料!AT132=""),"",IF(AND(原始資料!AS132&lt;&gt;"",原始資料!AT132=原始資料!AS132),N(AQ132)+1,1))</f>
        <v/>
      </c>
      <c r="AS132" s="6">
        <f>IF(OR(原始資料!$A132="",44&gt;設定!$B$3,原始資料!AU132=""),"",IF(AND(原始資料!AT132&lt;&gt;"",原始資料!AU132=原始資料!AT132),N(AR132)+1,1))</f>
        <v/>
      </c>
      <c r="AT132" s="6">
        <f>IF(OR(原始資料!$A132="",45&gt;設定!$B$3,原始資料!AV132=""),"",IF(AND(原始資料!AU132&lt;&gt;"",原始資料!AV132=原始資料!AU132),N(AS132)+1,1))</f>
        <v/>
      </c>
      <c r="AU132" s="6">
        <f>IF(OR(原始資料!$A132="",46&gt;設定!$B$3,原始資料!AW132=""),"",IF(AND(原始資料!AV132&lt;&gt;"",原始資料!AW132=原始資料!AV132),N(AT132)+1,1))</f>
        <v/>
      </c>
      <c r="AV132" s="6">
        <f>IF(OR(原始資料!$A132="",47&gt;設定!$B$3,原始資料!AX132=""),"",IF(AND(原始資料!AW132&lt;&gt;"",原始資料!AX132=原始資料!AW132),N(AU132)+1,1))</f>
        <v/>
      </c>
      <c r="AW132" s="6">
        <f>IF(OR(原始資料!$A132="",48&gt;設定!$B$3,原始資料!AY132=""),"",IF(AND(原始資料!AX132&lt;&gt;"",原始資料!AY132=原始資料!AX132),N(AV132)+1,1))</f>
        <v/>
      </c>
      <c r="AX132" s="6">
        <f>IF(OR(原始資料!$A132="",49&gt;設定!$B$3,原始資料!AZ132=""),"",IF(AND(原始資料!AY132&lt;&gt;"",原始資料!AZ132=原始資料!AY132),N(AW132)+1,1))</f>
        <v/>
      </c>
      <c r="AY132" s="6">
        <f>IF(OR(原始資料!$A132="",50&gt;設定!$B$3,原始資料!BA132=""),"",IF(AND(原始資料!AZ132&lt;&gt;"",原始資料!BA132=原始資料!AZ132),N(AX132)+1,1))</f>
        <v/>
      </c>
      <c r="AZ132" s="6">
        <f>IF(OR(原始資料!$A132="",51&gt;設定!$B$3,原始資料!BB132=""),"",IF(AND(原始資料!BA132&lt;&gt;"",原始資料!BB132=原始資料!BA132),N(AY132)+1,1))</f>
        <v/>
      </c>
      <c r="BA132" s="6">
        <f>IF(OR(原始資料!$A132="",52&gt;設定!$B$3,原始資料!BC132=""),"",IF(AND(原始資料!BB132&lt;&gt;"",原始資料!BC132=原始資料!BB132),N(AZ132)+1,1))</f>
        <v/>
      </c>
      <c r="BB132" s="6">
        <f>IF(OR(原始資料!$A132="",53&gt;設定!$B$3,原始資料!BD132=""),"",IF(AND(原始資料!BC132&lt;&gt;"",原始資料!BD132=原始資料!BC132),N(BA132)+1,1))</f>
        <v/>
      </c>
      <c r="BC132" s="6">
        <f>IF(OR(原始資料!$A132="",54&gt;設定!$B$3,原始資料!BE132=""),"",IF(AND(原始資料!BD132&lt;&gt;"",原始資料!BE132=原始資料!BD132),N(BB132)+1,1))</f>
        <v/>
      </c>
      <c r="BD132" s="6">
        <f>IF(OR(原始資料!$A132="",55&gt;設定!$B$3,原始資料!BF132=""),"",IF(AND(原始資料!BE132&lt;&gt;"",原始資料!BF132=原始資料!BE132),N(BC132)+1,1))</f>
        <v/>
      </c>
      <c r="BE132" s="6">
        <f>IF(OR(原始資料!$A132="",56&gt;設定!$B$3,原始資料!BG132=""),"",IF(AND(原始資料!BF132&lt;&gt;"",原始資料!BG132=原始資料!BF132),N(BD132)+1,1))</f>
        <v/>
      </c>
      <c r="BF132" s="6">
        <f>IF(OR(原始資料!$A132="",57&gt;設定!$B$3,原始資料!BH132=""),"",IF(AND(原始資料!BG132&lt;&gt;"",原始資料!BH132=原始資料!BG132),N(BE132)+1,1))</f>
        <v/>
      </c>
      <c r="BG132" s="6">
        <f>IF(OR(原始資料!$A132="",58&gt;設定!$B$3,原始資料!BI132=""),"",IF(AND(原始資料!BH132&lt;&gt;"",原始資料!BI132=原始資料!BH132),N(BF132)+1,1))</f>
        <v/>
      </c>
      <c r="BH132" s="6">
        <f>IF(OR(原始資料!$A132="",59&gt;設定!$B$3,原始資料!BJ132=""),"",IF(AND(原始資料!BI132&lt;&gt;"",原始資料!BJ132=原始資料!BI132),N(BG132)+1,1))</f>
        <v/>
      </c>
      <c r="BI132" s="6">
        <f>IF(OR(原始資料!$A132="",60&gt;設定!$B$3,原始資料!BK132=""),"",IF(AND(原始資料!BJ132&lt;&gt;"",原始資料!BK132=原始資料!BJ132),N(BH132)+1,1))</f>
        <v/>
      </c>
    </row>
    <row r="133">
      <c r="A133" s="6">
        <f>IF(原始資料!$A133="","",原始資料!$A133)</f>
        <v/>
      </c>
      <c r="B133" s="6">
        <f>IF(OR(原始資料!$A133="",1&gt;設定!$B$3,原始資料!D133=""),"",1)</f>
        <v/>
      </c>
      <c r="C133" s="6">
        <f>IF(OR(原始資料!$A133="",2&gt;設定!$B$3,原始資料!E133=""),"",IF(AND(原始資料!D133&lt;&gt;"",原始資料!E133=原始資料!D133),N(B133)+1,1))</f>
        <v/>
      </c>
      <c r="D133" s="6">
        <f>IF(OR(原始資料!$A133="",3&gt;設定!$B$3,原始資料!F133=""),"",IF(AND(原始資料!E133&lt;&gt;"",原始資料!F133=原始資料!E133),N(C133)+1,1))</f>
        <v/>
      </c>
      <c r="E133" s="6">
        <f>IF(OR(原始資料!$A133="",4&gt;設定!$B$3,原始資料!G133=""),"",IF(AND(原始資料!F133&lt;&gt;"",原始資料!G133=原始資料!F133),N(D133)+1,1))</f>
        <v/>
      </c>
      <c r="F133" s="6">
        <f>IF(OR(原始資料!$A133="",5&gt;設定!$B$3,原始資料!H133=""),"",IF(AND(原始資料!G133&lt;&gt;"",原始資料!H133=原始資料!G133),N(E133)+1,1))</f>
        <v/>
      </c>
      <c r="G133" s="6">
        <f>IF(OR(原始資料!$A133="",6&gt;設定!$B$3,原始資料!I133=""),"",IF(AND(原始資料!H133&lt;&gt;"",原始資料!I133=原始資料!H133),N(F133)+1,1))</f>
        <v/>
      </c>
      <c r="H133" s="6">
        <f>IF(OR(原始資料!$A133="",7&gt;設定!$B$3,原始資料!J133=""),"",IF(AND(原始資料!I133&lt;&gt;"",原始資料!J133=原始資料!I133),N(G133)+1,1))</f>
        <v/>
      </c>
      <c r="I133" s="6">
        <f>IF(OR(原始資料!$A133="",8&gt;設定!$B$3,原始資料!K133=""),"",IF(AND(原始資料!J133&lt;&gt;"",原始資料!K133=原始資料!J133),N(H133)+1,1))</f>
        <v/>
      </c>
      <c r="J133" s="6">
        <f>IF(OR(原始資料!$A133="",9&gt;設定!$B$3,原始資料!L133=""),"",IF(AND(原始資料!K133&lt;&gt;"",原始資料!L133=原始資料!K133),N(I133)+1,1))</f>
        <v/>
      </c>
      <c r="K133" s="6">
        <f>IF(OR(原始資料!$A133="",10&gt;設定!$B$3,原始資料!M133=""),"",IF(AND(原始資料!L133&lt;&gt;"",原始資料!M133=原始資料!L133),N(J133)+1,1))</f>
        <v/>
      </c>
      <c r="L133" s="6">
        <f>IF(OR(原始資料!$A133="",11&gt;設定!$B$3,原始資料!N133=""),"",IF(AND(原始資料!M133&lt;&gt;"",原始資料!N133=原始資料!M133),N(K133)+1,1))</f>
        <v/>
      </c>
      <c r="M133" s="6">
        <f>IF(OR(原始資料!$A133="",12&gt;設定!$B$3,原始資料!O133=""),"",IF(AND(原始資料!N133&lt;&gt;"",原始資料!O133=原始資料!N133),N(L133)+1,1))</f>
        <v/>
      </c>
      <c r="N133" s="6">
        <f>IF(OR(原始資料!$A133="",13&gt;設定!$B$3,原始資料!P133=""),"",IF(AND(原始資料!O133&lt;&gt;"",原始資料!P133=原始資料!O133),N(M133)+1,1))</f>
        <v/>
      </c>
      <c r="O133" s="6">
        <f>IF(OR(原始資料!$A133="",14&gt;設定!$B$3,原始資料!Q133=""),"",IF(AND(原始資料!P133&lt;&gt;"",原始資料!Q133=原始資料!P133),N(N133)+1,1))</f>
        <v/>
      </c>
      <c r="P133" s="6">
        <f>IF(OR(原始資料!$A133="",15&gt;設定!$B$3,原始資料!R133=""),"",IF(AND(原始資料!Q133&lt;&gt;"",原始資料!R133=原始資料!Q133),N(O133)+1,1))</f>
        <v/>
      </c>
      <c r="Q133" s="6">
        <f>IF(OR(原始資料!$A133="",16&gt;設定!$B$3,原始資料!S133=""),"",IF(AND(原始資料!R133&lt;&gt;"",原始資料!S133=原始資料!R133),N(P133)+1,1))</f>
        <v/>
      </c>
      <c r="R133" s="6">
        <f>IF(OR(原始資料!$A133="",17&gt;設定!$B$3,原始資料!T133=""),"",IF(AND(原始資料!S133&lt;&gt;"",原始資料!T133=原始資料!S133),N(Q133)+1,1))</f>
        <v/>
      </c>
      <c r="S133" s="6">
        <f>IF(OR(原始資料!$A133="",18&gt;設定!$B$3,原始資料!U133=""),"",IF(AND(原始資料!T133&lt;&gt;"",原始資料!U133=原始資料!T133),N(R133)+1,1))</f>
        <v/>
      </c>
      <c r="T133" s="6">
        <f>IF(OR(原始資料!$A133="",19&gt;設定!$B$3,原始資料!V133=""),"",IF(AND(原始資料!U133&lt;&gt;"",原始資料!V133=原始資料!U133),N(S133)+1,1))</f>
        <v/>
      </c>
      <c r="U133" s="6">
        <f>IF(OR(原始資料!$A133="",20&gt;設定!$B$3,原始資料!W133=""),"",IF(AND(原始資料!V133&lt;&gt;"",原始資料!W133=原始資料!V133),N(T133)+1,1))</f>
        <v/>
      </c>
      <c r="V133" s="6">
        <f>IF(OR(原始資料!$A133="",21&gt;設定!$B$3,原始資料!X133=""),"",IF(AND(原始資料!W133&lt;&gt;"",原始資料!X133=原始資料!W133),N(U133)+1,1))</f>
        <v/>
      </c>
      <c r="W133" s="6">
        <f>IF(OR(原始資料!$A133="",22&gt;設定!$B$3,原始資料!Y133=""),"",IF(AND(原始資料!X133&lt;&gt;"",原始資料!Y133=原始資料!X133),N(V133)+1,1))</f>
        <v/>
      </c>
      <c r="X133" s="6">
        <f>IF(OR(原始資料!$A133="",23&gt;設定!$B$3,原始資料!Z133=""),"",IF(AND(原始資料!Y133&lt;&gt;"",原始資料!Z133=原始資料!Y133),N(W133)+1,1))</f>
        <v/>
      </c>
      <c r="Y133" s="6">
        <f>IF(OR(原始資料!$A133="",24&gt;設定!$B$3,原始資料!AA133=""),"",IF(AND(原始資料!Z133&lt;&gt;"",原始資料!AA133=原始資料!Z133),N(X133)+1,1))</f>
        <v/>
      </c>
      <c r="Z133" s="6">
        <f>IF(OR(原始資料!$A133="",25&gt;設定!$B$3,原始資料!AB133=""),"",IF(AND(原始資料!AA133&lt;&gt;"",原始資料!AB133=原始資料!AA133),N(Y133)+1,1))</f>
        <v/>
      </c>
      <c r="AA133" s="6">
        <f>IF(OR(原始資料!$A133="",26&gt;設定!$B$3,原始資料!AC133=""),"",IF(AND(原始資料!AB133&lt;&gt;"",原始資料!AC133=原始資料!AB133),N(Z133)+1,1))</f>
        <v/>
      </c>
      <c r="AB133" s="6">
        <f>IF(OR(原始資料!$A133="",27&gt;設定!$B$3,原始資料!AD133=""),"",IF(AND(原始資料!AC133&lt;&gt;"",原始資料!AD133=原始資料!AC133),N(AA133)+1,1))</f>
        <v/>
      </c>
      <c r="AC133" s="6">
        <f>IF(OR(原始資料!$A133="",28&gt;設定!$B$3,原始資料!AE133=""),"",IF(AND(原始資料!AD133&lt;&gt;"",原始資料!AE133=原始資料!AD133),N(AB133)+1,1))</f>
        <v/>
      </c>
      <c r="AD133" s="6">
        <f>IF(OR(原始資料!$A133="",29&gt;設定!$B$3,原始資料!AF133=""),"",IF(AND(原始資料!AE133&lt;&gt;"",原始資料!AF133=原始資料!AE133),N(AC133)+1,1))</f>
        <v/>
      </c>
      <c r="AE133" s="6">
        <f>IF(OR(原始資料!$A133="",30&gt;設定!$B$3,原始資料!AG133=""),"",IF(AND(原始資料!AF133&lt;&gt;"",原始資料!AG133=原始資料!AF133),N(AD133)+1,1))</f>
        <v/>
      </c>
      <c r="AF133" s="6">
        <f>IF(OR(原始資料!$A133="",31&gt;設定!$B$3,原始資料!AH133=""),"",IF(AND(原始資料!AG133&lt;&gt;"",原始資料!AH133=原始資料!AG133),N(AE133)+1,1))</f>
        <v/>
      </c>
      <c r="AG133" s="6">
        <f>IF(OR(原始資料!$A133="",32&gt;設定!$B$3,原始資料!AI133=""),"",IF(AND(原始資料!AH133&lt;&gt;"",原始資料!AI133=原始資料!AH133),N(AF133)+1,1))</f>
        <v/>
      </c>
      <c r="AH133" s="6">
        <f>IF(OR(原始資料!$A133="",33&gt;設定!$B$3,原始資料!AJ133=""),"",IF(AND(原始資料!AI133&lt;&gt;"",原始資料!AJ133=原始資料!AI133),N(AG133)+1,1))</f>
        <v/>
      </c>
      <c r="AI133" s="6">
        <f>IF(OR(原始資料!$A133="",34&gt;設定!$B$3,原始資料!AK133=""),"",IF(AND(原始資料!AJ133&lt;&gt;"",原始資料!AK133=原始資料!AJ133),N(AH133)+1,1))</f>
        <v/>
      </c>
      <c r="AJ133" s="6">
        <f>IF(OR(原始資料!$A133="",35&gt;設定!$B$3,原始資料!AL133=""),"",IF(AND(原始資料!AK133&lt;&gt;"",原始資料!AL133=原始資料!AK133),N(AI133)+1,1))</f>
        <v/>
      </c>
      <c r="AK133" s="6">
        <f>IF(OR(原始資料!$A133="",36&gt;設定!$B$3,原始資料!AM133=""),"",IF(AND(原始資料!AL133&lt;&gt;"",原始資料!AM133=原始資料!AL133),N(AJ133)+1,1))</f>
        <v/>
      </c>
      <c r="AL133" s="6">
        <f>IF(OR(原始資料!$A133="",37&gt;設定!$B$3,原始資料!AN133=""),"",IF(AND(原始資料!AM133&lt;&gt;"",原始資料!AN133=原始資料!AM133),N(AK133)+1,1))</f>
        <v/>
      </c>
      <c r="AM133" s="6">
        <f>IF(OR(原始資料!$A133="",38&gt;設定!$B$3,原始資料!AO133=""),"",IF(AND(原始資料!AN133&lt;&gt;"",原始資料!AO133=原始資料!AN133),N(AL133)+1,1))</f>
        <v/>
      </c>
      <c r="AN133" s="6">
        <f>IF(OR(原始資料!$A133="",39&gt;設定!$B$3,原始資料!AP133=""),"",IF(AND(原始資料!AO133&lt;&gt;"",原始資料!AP133=原始資料!AO133),N(AM133)+1,1))</f>
        <v/>
      </c>
      <c r="AO133" s="6">
        <f>IF(OR(原始資料!$A133="",40&gt;設定!$B$3,原始資料!AQ133=""),"",IF(AND(原始資料!AP133&lt;&gt;"",原始資料!AQ133=原始資料!AP133),N(AN133)+1,1))</f>
        <v/>
      </c>
      <c r="AP133" s="6">
        <f>IF(OR(原始資料!$A133="",41&gt;設定!$B$3,原始資料!AR133=""),"",IF(AND(原始資料!AQ133&lt;&gt;"",原始資料!AR133=原始資料!AQ133),N(AO133)+1,1))</f>
        <v/>
      </c>
      <c r="AQ133" s="6">
        <f>IF(OR(原始資料!$A133="",42&gt;設定!$B$3,原始資料!AS133=""),"",IF(AND(原始資料!AR133&lt;&gt;"",原始資料!AS133=原始資料!AR133),N(AP133)+1,1))</f>
        <v/>
      </c>
      <c r="AR133" s="6">
        <f>IF(OR(原始資料!$A133="",43&gt;設定!$B$3,原始資料!AT133=""),"",IF(AND(原始資料!AS133&lt;&gt;"",原始資料!AT133=原始資料!AS133),N(AQ133)+1,1))</f>
        <v/>
      </c>
      <c r="AS133" s="6">
        <f>IF(OR(原始資料!$A133="",44&gt;設定!$B$3,原始資料!AU133=""),"",IF(AND(原始資料!AT133&lt;&gt;"",原始資料!AU133=原始資料!AT133),N(AR133)+1,1))</f>
        <v/>
      </c>
      <c r="AT133" s="6">
        <f>IF(OR(原始資料!$A133="",45&gt;設定!$B$3,原始資料!AV133=""),"",IF(AND(原始資料!AU133&lt;&gt;"",原始資料!AV133=原始資料!AU133),N(AS133)+1,1))</f>
        <v/>
      </c>
      <c r="AU133" s="6">
        <f>IF(OR(原始資料!$A133="",46&gt;設定!$B$3,原始資料!AW133=""),"",IF(AND(原始資料!AV133&lt;&gt;"",原始資料!AW133=原始資料!AV133),N(AT133)+1,1))</f>
        <v/>
      </c>
      <c r="AV133" s="6">
        <f>IF(OR(原始資料!$A133="",47&gt;設定!$B$3,原始資料!AX133=""),"",IF(AND(原始資料!AW133&lt;&gt;"",原始資料!AX133=原始資料!AW133),N(AU133)+1,1))</f>
        <v/>
      </c>
      <c r="AW133" s="6">
        <f>IF(OR(原始資料!$A133="",48&gt;設定!$B$3,原始資料!AY133=""),"",IF(AND(原始資料!AX133&lt;&gt;"",原始資料!AY133=原始資料!AX133),N(AV133)+1,1))</f>
        <v/>
      </c>
      <c r="AX133" s="6">
        <f>IF(OR(原始資料!$A133="",49&gt;設定!$B$3,原始資料!AZ133=""),"",IF(AND(原始資料!AY133&lt;&gt;"",原始資料!AZ133=原始資料!AY133),N(AW133)+1,1))</f>
        <v/>
      </c>
      <c r="AY133" s="6">
        <f>IF(OR(原始資料!$A133="",50&gt;設定!$B$3,原始資料!BA133=""),"",IF(AND(原始資料!AZ133&lt;&gt;"",原始資料!BA133=原始資料!AZ133),N(AX133)+1,1))</f>
        <v/>
      </c>
      <c r="AZ133" s="6">
        <f>IF(OR(原始資料!$A133="",51&gt;設定!$B$3,原始資料!BB133=""),"",IF(AND(原始資料!BA133&lt;&gt;"",原始資料!BB133=原始資料!BA133),N(AY133)+1,1))</f>
        <v/>
      </c>
      <c r="BA133" s="6">
        <f>IF(OR(原始資料!$A133="",52&gt;設定!$B$3,原始資料!BC133=""),"",IF(AND(原始資料!BB133&lt;&gt;"",原始資料!BC133=原始資料!BB133),N(AZ133)+1,1))</f>
        <v/>
      </c>
      <c r="BB133" s="6">
        <f>IF(OR(原始資料!$A133="",53&gt;設定!$B$3,原始資料!BD133=""),"",IF(AND(原始資料!BC133&lt;&gt;"",原始資料!BD133=原始資料!BC133),N(BA133)+1,1))</f>
        <v/>
      </c>
      <c r="BC133" s="6">
        <f>IF(OR(原始資料!$A133="",54&gt;設定!$B$3,原始資料!BE133=""),"",IF(AND(原始資料!BD133&lt;&gt;"",原始資料!BE133=原始資料!BD133),N(BB133)+1,1))</f>
        <v/>
      </c>
      <c r="BD133" s="6">
        <f>IF(OR(原始資料!$A133="",55&gt;設定!$B$3,原始資料!BF133=""),"",IF(AND(原始資料!BE133&lt;&gt;"",原始資料!BF133=原始資料!BE133),N(BC133)+1,1))</f>
        <v/>
      </c>
      <c r="BE133" s="6">
        <f>IF(OR(原始資料!$A133="",56&gt;設定!$B$3,原始資料!BG133=""),"",IF(AND(原始資料!BF133&lt;&gt;"",原始資料!BG133=原始資料!BF133),N(BD133)+1,1))</f>
        <v/>
      </c>
      <c r="BF133" s="6">
        <f>IF(OR(原始資料!$A133="",57&gt;設定!$B$3,原始資料!BH133=""),"",IF(AND(原始資料!BG133&lt;&gt;"",原始資料!BH133=原始資料!BG133),N(BE133)+1,1))</f>
        <v/>
      </c>
      <c r="BG133" s="6">
        <f>IF(OR(原始資料!$A133="",58&gt;設定!$B$3,原始資料!BI133=""),"",IF(AND(原始資料!BH133&lt;&gt;"",原始資料!BI133=原始資料!BH133),N(BF133)+1,1))</f>
        <v/>
      </c>
      <c r="BH133" s="6">
        <f>IF(OR(原始資料!$A133="",59&gt;設定!$B$3,原始資料!BJ133=""),"",IF(AND(原始資料!BI133&lt;&gt;"",原始資料!BJ133=原始資料!BI133),N(BG133)+1,1))</f>
        <v/>
      </c>
      <c r="BI133" s="6">
        <f>IF(OR(原始資料!$A133="",60&gt;設定!$B$3,原始資料!BK133=""),"",IF(AND(原始資料!BJ133&lt;&gt;"",原始資料!BK133=原始資料!BJ133),N(BH133)+1,1))</f>
        <v/>
      </c>
    </row>
    <row r="134">
      <c r="A134" s="6">
        <f>IF(原始資料!$A134="","",原始資料!$A134)</f>
        <v/>
      </c>
      <c r="B134" s="6">
        <f>IF(OR(原始資料!$A134="",1&gt;設定!$B$3,原始資料!D134=""),"",1)</f>
        <v/>
      </c>
      <c r="C134" s="6">
        <f>IF(OR(原始資料!$A134="",2&gt;設定!$B$3,原始資料!E134=""),"",IF(AND(原始資料!D134&lt;&gt;"",原始資料!E134=原始資料!D134),N(B134)+1,1))</f>
        <v/>
      </c>
      <c r="D134" s="6">
        <f>IF(OR(原始資料!$A134="",3&gt;設定!$B$3,原始資料!F134=""),"",IF(AND(原始資料!E134&lt;&gt;"",原始資料!F134=原始資料!E134),N(C134)+1,1))</f>
        <v/>
      </c>
      <c r="E134" s="6">
        <f>IF(OR(原始資料!$A134="",4&gt;設定!$B$3,原始資料!G134=""),"",IF(AND(原始資料!F134&lt;&gt;"",原始資料!G134=原始資料!F134),N(D134)+1,1))</f>
        <v/>
      </c>
      <c r="F134" s="6">
        <f>IF(OR(原始資料!$A134="",5&gt;設定!$B$3,原始資料!H134=""),"",IF(AND(原始資料!G134&lt;&gt;"",原始資料!H134=原始資料!G134),N(E134)+1,1))</f>
        <v/>
      </c>
      <c r="G134" s="6">
        <f>IF(OR(原始資料!$A134="",6&gt;設定!$B$3,原始資料!I134=""),"",IF(AND(原始資料!H134&lt;&gt;"",原始資料!I134=原始資料!H134),N(F134)+1,1))</f>
        <v/>
      </c>
      <c r="H134" s="6">
        <f>IF(OR(原始資料!$A134="",7&gt;設定!$B$3,原始資料!J134=""),"",IF(AND(原始資料!I134&lt;&gt;"",原始資料!J134=原始資料!I134),N(G134)+1,1))</f>
        <v/>
      </c>
      <c r="I134" s="6">
        <f>IF(OR(原始資料!$A134="",8&gt;設定!$B$3,原始資料!K134=""),"",IF(AND(原始資料!J134&lt;&gt;"",原始資料!K134=原始資料!J134),N(H134)+1,1))</f>
        <v/>
      </c>
      <c r="J134" s="6">
        <f>IF(OR(原始資料!$A134="",9&gt;設定!$B$3,原始資料!L134=""),"",IF(AND(原始資料!K134&lt;&gt;"",原始資料!L134=原始資料!K134),N(I134)+1,1))</f>
        <v/>
      </c>
      <c r="K134" s="6">
        <f>IF(OR(原始資料!$A134="",10&gt;設定!$B$3,原始資料!M134=""),"",IF(AND(原始資料!L134&lt;&gt;"",原始資料!M134=原始資料!L134),N(J134)+1,1))</f>
        <v/>
      </c>
      <c r="L134" s="6">
        <f>IF(OR(原始資料!$A134="",11&gt;設定!$B$3,原始資料!N134=""),"",IF(AND(原始資料!M134&lt;&gt;"",原始資料!N134=原始資料!M134),N(K134)+1,1))</f>
        <v/>
      </c>
      <c r="M134" s="6">
        <f>IF(OR(原始資料!$A134="",12&gt;設定!$B$3,原始資料!O134=""),"",IF(AND(原始資料!N134&lt;&gt;"",原始資料!O134=原始資料!N134),N(L134)+1,1))</f>
        <v/>
      </c>
      <c r="N134" s="6">
        <f>IF(OR(原始資料!$A134="",13&gt;設定!$B$3,原始資料!P134=""),"",IF(AND(原始資料!O134&lt;&gt;"",原始資料!P134=原始資料!O134),N(M134)+1,1))</f>
        <v/>
      </c>
      <c r="O134" s="6">
        <f>IF(OR(原始資料!$A134="",14&gt;設定!$B$3,原始資料!Q134=""),"",IF(AND(原始資料!P134&lt;&gt;"",原始資料!Q134=原始資料!P134),N(N134)+1,1))</f>
        <v/>
      </c>
      <c r="P134" s="6">
        <f>IF(OR(原始資料!$A134="",15&gt;設定!$B$3,原始資料!R134=""),"",IF(AND(原始資料!Q134&lt;&gt;"",原始資料!R134=原始資料!Q134),N(O134)+1,1))</f>
        <v/>
      </c>
      <c r="Q134" s="6">
        <f>IF(OR(原始資料!$A134="",16&gt;設定!$B$3,原始資料!S134=""),"",IF(AND(原始資料!R134&lt;&gt;"",原始資料!S134=原始資料!R134),N(P134)+1,1))</f>
        <v/>
      </c>
      <c r="R134" s="6">
        <f>IF(OR(原始資料!$A134="",17&gt;設定!$B$3,原始資料!T134=""),"",IF(AND(原始資料!S134&lt;&gt;"",原始資料!T134=原始資料!S134),N(Q134)+1,1))</f>
        <v/>
      </c>
      <c r="S134" s="6">
        <f>IF(OR(原始資料!$A134="",18&gt;設定!$B$3,原始資料!U134=""),"",IF(AND(原始資料!T134&lt;&gt;"",原始資料!U134=原始資料!T134),N(R134)+1,1))</f>
        <v/>
      </c>
      <c r="T134" s="6">
        <f>IF(OR(原始資料!$A134="",19&gt;設定!$B$3,原始資料!V134=""),"",IF(AND(原始資料!U134&lt;&gt;"",原始資料!V134=原始資料!U134),N(S134)+1,1))</f>
        <v/>
      </c>
      <c r="U134" s="6">
        <f>IF(OR(原始資料!$A134="",20&gt;設定!$B$3,原始資料!W134=""),"",IF(AND(原始資料!V134&lt;&gt;"",原始資料!W134=原始資料!V134),N(T134)+1,1))</f>
        <v/>
      </c>
      <c r="V134" s="6">
        <f>IF(OR(原始資料!$A134="",21&gt;設定!$B$3,原始資料!X134=""),"",IF(AND(原始資料!W134&lt;&gt;"",原始資料!X134=原始資料!W134),N(U134)+1,1))</f>
        <v/>
      </c>
      <c r="W134" s="6">
        <f>IF(OR(原始資料!$A134="",22&gt;設定!$B$3,原始資料!Y134=""),"",IF(AND(原始資料!X134&lt;&gt;"",原始資料!Y134=原始資料!X134),N(V134)+1,1))</f>
        <v/>
      </c>
      <c r="X134" s="6">
        <f>IF(OR(原始資料!$A134="",23&gt;設定!$B$3,原始資料!Z134=""),"",IF(AND(原始資料!Y134&lt;&gt;"",原始資料!Z134=原始資料!Y134),N(W134)+1,1))</f>
        <v/>
      </c>
      <c r="Y134" s="6">
        <f>IF(OR(原始資料!$A134="",24&gt;設定!$B$3,原始資料!AA134=""),"",IF(AND(原始資料!Z134&lt;&gt;"",原始資料!AA134=原始資料!Z134),N(X134)+1,1))</f>
        <v/>
      </c>
      <c r="Z134" s="6">
        <f>IF(OR(原始資料!$A134="",25&gt;設定!$B$3,原始資料!AB134=""),"",IF(AND(原始資料!AA134&lt;&gt;"",原始資料!AB134=原始資料!AA134),N(Y134)+1,1))</f>
        <v/>
      </c>
      <c r="AA134" s="6">
        <f>IF(OR(原始資料!$A134="",26&gt;設定!$B$3,原始資料!AC134=""),"",IF(AND(原始資料!AB134&lt;&gt;"",原始資料!AC134=原始資料!AB134),N(Z134)+1,1))</f>
        <v/>
      </c>
      <c r="AB134" s="6">
        <f>IF(OR(原始資料!$A134="",27&gt;設定!$B$3,原始資料!AD134=""),"",IF(AND(原始資料!AC134&lt;&gt;"",原始資料!AD134=原始資料!AC134),N(AA134)+1,1))</f>
        <v/>
      </c>
      <c r="AC134" s="6">
        <f>IF(OR(原始資料!$A134="",28&gt;設定!$B$3,原始資料!AE134=""),"",IF(AND(原始資料!AD134&lt;&gt;"",原始資料!AE134=原始資料!AD134),N(AB134)+1,1))</f>
        <v/>
      </c>
      <c r="AD134" s="6">
        <f>IF(OR(原始資料!$A134="",29&gt;設定!$B$3,原始資料!AF134=""),"",IF(AND(原始資料!AE134&lt;&gt;"",原始資料!AF134=原始資料!AE134),N(AC134)+1,1))</f>
        <v/>
      </c>
      <c r="AE134" s="6">
        <f>IF(OR(原始資料!$A134="",30&gt;設定!$B$3,原始資料!AG134=""),"",IF(AND(原始資料!AF134&lt;&gt;"",原始資料!AG134=原始資料!AF134),N(AD134)+1,1))</f>
        <v/>
      </c>
      <c r="AF134" s="6">
        <f>IF(OR(原始資料!$A134="",31&gt;設定!$B$3,原始資料!AH134=""),"",IF(AND(原始資料!AG134&lt;&gt;"",原始資料!AH134=原始資料!AG134),N(AE134)+1,1))</f>
        <v/>
      </c>
      <c r="AG134" s="6">
        <f>IF(OR(原始資料!$A134="",32&gt;設定!$B$3,原始資料!AI134=""),"",IF(AND(原始資料!AH134&lt;&gt;"",原始資料!AI134=原始資料!AH134),N(AF134)+1,1))</f>
        <v/>
      </c>
      <c r="AH134" s="6">
        <f>IF(OR(原始資料!$A134="",33&gt;設定!$B$3,原始資料!AJ134=""),"",IF(AND(原始資料!AI134&lt;&gt;"",原始資料!AJ134=原始資料!AI134),N(AG134)+1,1))</f>
        <v/>
      </c>
      <c r="AI134" s="6">
        <f>IF(OR(原始資料!$A134="",34&gt;設定!$B$3,原始資料!AK134=""),"",IF(AND(原始資料!AJ134&lt;&gt;"",原始資料!AK134=原始資料!AJ134),N(AH134)+1,1))</f>
        <v/>
      </c>
      <c r="AJ134" s="6">
        <f>IF(OR(原始資料!$A134="",35&gt;設定!$B$3,原始資料!AL134=""),"",IF(AND(原始資料!AK134&lt;&gt;"",原始資料!AL134=原始資料!AK134),N(AI134)+1,1))</f>
        <v/>
      </c>
      <c r="AK134" s="6">
        <f>IF(OR(原始資料!$A134="",36&gt;設定!$B$3,原始資料!AM134=""),"",IF(AND(原始資料!AL134&lt;&gt;"",原始資料!AM134=原始資料!AL134),N(AJ134)+1,1))</f>
        <v/>
      </c>
      <c r="AL134" s="6">
        <f>IF(OR(原始資料!$A134="",37&gt;設定!$B$3,原始資料!AN134=""),"",IF(AND(原始資料!AM134&lt;&gt;"",原始資料!AN134=原始資料!AM134),N(AK134)+1,1))</f>
        <v/>
      </c>
      <c r="AM134" s="6">
        <f>IF(OR(原始資料!$A134="",38&gt;設定!$B$3,原始資料!AO134=""),"",IF(AND(原始資料!AN134&lt;&gt;"",原始資料!AO134=原始資料!AN134),N(AL134)+1,1))</f>
        <v/>
      </c>
      <c r="AN134" s="6">
        <f>IF(OR(原始資料!$A134="",39&gt;設定!$B$3,原始資料!AP134=""),"",IF(AND(原始資料!AO134&lt;&gt;"",原始資料!AP134=原始資料!AO134),N(AM134)+1,1))</f>
        <v/>
      </c>
      <c r="AO134" s="6">
        <f>IF(OR(原始資料!$A134="",40&gt;設定!$B$3,原始資料!AQ134=""),"",IF(AND(原始資料!AP134&lt;&gt;"",原始資料!AQ134=原始資料!AP134),N(AN134)+1,1))</f>
        <v/>
      </c>
      <c r="AP134" s="6">
        <f>IF(OR(原始資料!$A134="",41&gt;設定!$B$3,原始資料!AR134=""),"",IF(AND(原始資料!AQ134&lt;&gt;"",原始資料!AR134=原始資料!AQ134),N(AO134)+1,1))</f>
        <v/>
      </c>
      <c r="AQ134" s="6">
        <f>IF(OR(原始資料!$A134="",42&gt;設定!$B$3,原始資料!AS134=""),"",IF(AND(原始資料!AR134&lt;&gt;"",原始資料!AS134=原始資料!AR134),N(AP134)+1,1))</f>
        <v/>
      </c>
      <c r="AR134" s="6">
        <f>IF(OR(原始資料!$A134="",43&gt;設定!$B$3,原始資料!AT134=""),"",IF(AND(原始資料!AS134&lt;&gt;"",原始資料!AT134=原始資料!AS134),N(AQ134)+1,1))</f>
        <v/>
      </c>
      <c r="AS134" s="6">
        <f>IF(OR(原始資料!$A134="",44&gt;設定!$B$3,原始資料!AU134=""),"",IF(AND(原始資料!AT134&lt;&gt;"",原始資料!AU134=原始資料!AT134),N(AR134)+1,1))</f>
        <v/>
      </c>
      <c r="AT134" s="6">
        <f>IF(OR(原始資料!$A134="",45&gt;設定!$B$3,原始資料!AV134=""),"",IF(AND(原始資料!AU134&lt;&gt;"",原始資料!AV134=原始資料!AU134),N(AS134)+1,1))</f>
        <v/>
      </c>
      <c r="AU134" s="6">
        <f>IF(OR(原始資料!$A134="",46&gt;設定!$B$3,原始資料!AW134=""),"",IF(AND(原始資料!AV134&lt;&gt;"",原始資料!AW134=原始資料!AV134),N(AT134)+1,1))</f>
        <v/>
      </c>
      <c r="AV134" s="6">
        <f>IF(OR(原始資料!$A134="",47&gt;設定!$B$3,原始資料!AX134=""),"",IF(AND(原始資料!AW134&lt;&gt;"",原始資料!AX134=原始資料!AW134),N(AU134)+1,1))</f>
        <v/>
      </c>
      <c r="AW134" s="6">
        <f>IF(OR(原始資料!$A134="",48&gt;設定!$B$3,原始資料!AY134=""),"",IF(AND(原始資料!AX134&lt;&gt;"",原始資料!AY134=原始資料!AX134),N(AV134)+1,1))</f>
        <v/>
      </c>
      <c r="AX134" s="6">
        <f>IF(OR(原始資料!$A134="",49&gt;設定!$B$3,原始資料!AZ134=""),"",IF(AND(原始資料!AY134&lt;&gt;"",原始資料!AZ134=原始資料!AY134),N(AW134)+1,1))</f>
        <v/>
      </c>
      <c r="AY134" s="6">
        <f>IF(OR(原始資料!$A134="",50&gt;設定!$B$3,原始資料!BA134=""),"",IF(AND(原始資料!AZ134&lt;&gt;"",原始資料!BA134=原始資料!AZ134),N(AX134)+1,1))</f>
        <v/>
      </c>
      <c r="AZ134" s="6">
        <f>IF(OR(原始資料!$A134="",51&gt;設定!$B$3,原始資料!BB134=""),"",IF(AND(原始資料!BA134&lt;&gt;"",原始資料!BB134=原始資料!BA134),N(AY134)+1,1))</f>
        <v/>
      </c>
      <c r="BA134" s="6">
        <f>IF(OR(原始資料!$A134="",52&gt;設定!$B$3,原始資料!BC134=""),"",IF(AND(原始資料!BB134&lt;&gt;"",原始資料!BC134=原始資料!BB134),N(AZ134)+1,1))</f>
        <v/>
      </c>
      <c r="BB134" s="6">
        <f>IF(OR(原始資料!$A134="",53&gt;設定!$B$3,原始資料!BD134=""),"",IF(AND(原始資料!BC134&lt;&gt;"",原始資料!BD134=原始資料!BC134),N(BA134)+1,1))</f>
        <v/>
      </c>
      <c r="BC134" s="6">
        <f>IF(OR(原始資料!$A134="",54&gt;設定!$B$3,原始資料!BE134=""),"",IF(AND(原始資料!BD134&lt;&gt;"",原始資料!BE134=原始資料!BD134),N(BB134)+1,1))</f>
        <v/>
      </c>
      <c r="BD134" s="6">
        <f>IF(OR(原始資料!$A134="",55&gt;設定!$B$3,原始資料!BF134=""),"",IF(AND(原始資料!BE134&lt;&gt;"",原始資料!BF134=原始資料!BE134),N(BC134)+1,1))</f>
        <v/>
      </c>
      <c r="BE134" s="6">
        <f>IF(OR(原始資料!$A134="",56&gt;設定!$B$3,原始資料!BG134=""),"",IF(AND(原始資料!BF134&lt;&gt;"",原始資料!BG134=原始資料!BF134),N(BD134)+1,1))</f>
        <v/>
      </c>
      <c r="BF134" s="6">
        <f>IF(OR(原始資料!$A134="",57&gt;設定!$B$3,原始資料!BH134=""),"",IF(AND(原始資料!BG134&lt;&gt;"",原始資料!BH134=原始資料!BG134),N(BE134)+1,1))</f>
        <v/>
      </c>
      <c r="BG134" s="6">
        <f>IF(OR(原始資料!$A134="",58&gt;設定!$B$3,原始資料!BI134=""),"",IF(AND(原始資料!BH134&lt;&gt;"",原始資料!BI134=原始資料!BH134),N(BF134)+1,1))</f>
        <v/>
      </c>
      <c r="BH134" s="6">
        <f>IF(OR(原始資料!$A134="",59&gt;設定!$B$3,原始資料!BJ134=""),"",IF(AND(原始資料!BI134&lt;&gt;"",原始資料!BJ134=原始資料!BI134),N(BG134)+1,1))</f>
        <v/>
      </c>
      <c r="BI134" s="6">
        <f>IF(OR(原始資料!$A134="",60&gt;設定!$B$3,原始資料!BK134=""),"",IF(AND(原始資料!BJ134&lt;&gt;"",原始資料!BK134=原始資料!BJ134),N(BH134)+1,1))</f>
        <v/>
      </c>
    </row>
    <row r="135">
      <c r="A135" s="6">
        <f>IF(原始資料!$A135="","",原始資料!$A135)</f>
        <v/>
      </c>
      <c r="B135" s="6">
        <f>IF(OR(原始資料!$A135="",1&gt;設定!$B$3,原始資料!D135=""),"",1)</f>
        <v/>
      </c>
      <c r="C135" s="6">
        <f>IF(OR(原始資料!$A135="",2&gt;設定!$B$3,原始資料!E135=""),"",IF(AND(原始資料!D135&lt;&gt;"",原始資料!E135=原始資料!D135),N(B135)+1,1))</f>
        <v/>
      </c>
      <c r="D135" s="6">
        <f>IF(OR(原始資料!$A135="",3&gt;設定!$B$3,原始資料!F135=""),"",IF(AND(原始資料!E135&lt;&gt;"",原始資料!F135=原始資料!E135),N(C135)+1,1))</f>
        <v/>
      </c>
      <c r="E135" s="6">
        <f>IF(OR(原始資料!$A135="",4&gt;設定!$B$3,原始資料!G135=""),"",IF(AND(原始資料!F135&lt;&gt;"",原始資料!G135=原始資料!F135),N(D135)+1,1))</f>
        <v/>
      </c>
      <c r="F135" s="6">
        <f>IF(OR(原始資料!$A135="",5&gt;設定!$B$3,原始資料!H135=""),"",IF(AND(原始資料!G135&lt;&gt;"",原始資料!H135=原始資料!G135),N(E135)+1,1))</f>
        <v/>
      </c>
      <c r="G135" s="6">
        <f>IF(OR(原始資料!$A135="",6&gt;設定!$B$3,原始資料!I135=""),"",IF(AND(原始資料!H135&lt;&gt;"",原始資料!I135=原始資料!H135),N(F135)+1,1))</f>
        <v/>
      </c>
      <c r="H135" s="6">
        <f>IF(OR(原始資料!$A135="",7&gt;設定!$B$3,原始資料!J135=""),"",IF(AND(原始資料!I135&lt;&gt;"",原始資料!J135=原始資料!I135),N(G135)+1,1))</f>
        <v/>
      </c>
      <c r="I135" s="6">
        <f>IF(OR(原始資料!$A135="",8&gt;設定!$B$3,原始資料!K135=""),"",IF(AND(原始資料!J135&lt;&gt;"",原始資料!K135=原始資料!J135),N(H135)+1,1))</f>
        <v/>
      </c>
      <c r="J135" s="6">
        <f>IF(OR(原始資料!$A135="",9&gt;設定!$B$3,原始資料!L135=""),"",IF(AND(原始資料!K135&lt;&gt;"",原始資料!L135=原始資料!K135),N(I135)+1,1))</f>
        <v/>
      </c>
      <c r="K135" s="6">
        <f>IF(OR(原始資料!$A135="",10&gt;設定!$B$3,原始資料!M135=""),"",IF(AND(原始資料!L135&lt;&gt;"",原始資料!M135=原始資料!L135),N(J135)+1,1))</f>
        <v/>
      </c>
      <c r="L135" s="6">
        <f>IF(OR(原始資料!$A135="",11&gt;設定!$B$3,原始資料!N135=""),"",IF(AND(原始資料!M135&lt;&gt;"",原始資料!N135=原始資料!M135),N(K135)+1,1))</f>
        <v/>
      </c>
      <c r="M135" s="6">
        <f>IF(OR(原始資料!$A135="",12&gt;設定!$B$3,原始資料!O135=""),"",IF(AND(原始資料!N135&lt;&gt;"",原始資料!O135=原始資料!N135),N(L135)+1,1))</f>
        <v/>
      </c>
      <c r="N135" s="6">
        <f>IF(OR(原始資料!$A135="",13&gt;設定!$B$3,原始資料!P135=""),"",IF(AND(原始資料!O135&lt;&gt;"",原始資料!P135=原始資料!O135),N(M135)+1,1))</f>
        <v/>
      </c>
      <c r="O135" s="6">
        <f>IF(OR(原始資料!$A135="",14&gt;設定!$B$3,原始資料!Q135=""),"",IF(AND(原始資料!P135&lt;&gt;"",原始資料!Q135=原始資料!P135),N(N135)+1,1))</f>
        <v/>
      </c>
      <c r="P135" s="6">
        <f>IF(OR(原始資料!$A135="",15&gt;設定!$B$3,原始資料!R135=""),"",IF(AND(原始資料!Q135&lt;&gt;"",原始資料!R135=原始資料!Q135),N(O135)+1,1))</f>
        <v/>
      </c>
      <c r="Q135" s="6">
        <f>IF(OR(原始資料!$A135="",16&gt;設定!$B$3,原始資料!S135=""),"",IF(AND(原始資料!R135&lt;&gt;"",原始資料!S135=原始資料!R135),N(P135)+1,1))</f>
        <v/>
      </c>
      <c r="R135" s="6">
        <f>IF(OR(原始資料!$A135="",17&gt;設定!$B$3,原始資料!T135=""),"",IF(AND(原始資料!S135&lt;&gt;"",原始資料!T135=原始資料!S135),N(Q135)+1,1))</f>
        <v/>
      </c>
      <c r="S135" s="6">
        <f>IF(OR(原始資料!$A135="",18&gt;設定!$B$3,原始資料!U135=""),"",IF(AND(原始資料!T135&lt;&gt;"",原始資料!U135=原始資料!T135),N(R135)+1,1))</f>
        <v/>
      </c>
      <c r="T135" s="6">
        <f>IF(OR(原始資料!$A135="",19&gt;設定!$B$3,原始資料!V135=""),"",IF(AND(原始資料!U135&lt;&gt;"",原始資料!V135=原始資料!U135),N(S135)+1,1))</f>
        <v/>
      </c>
      <c r="U135" s="6">
        <f>IF(OR(原始資料!$A135="",20&gt;設定!$B$3,原始資料!W135=""),"",IF(AND(原始資料!V135&lt;&gt;"",原始資料!W135=原始資料!V135),N(T135)+1,1))</f>
        <v/>
      </c>
      <c r="V135" s="6">
        <f>IF(OR(原始資料!$A135="",21&gt;設定!$B$3,原始資料!X135=""),"",IF(AND(原始資料!W135&lt;&gt;"",原始資料!X135=原始資料!W135),N(U135)+1,1))</f>
        <v/>
      </c>
      <c r="W135" s="6">
        <f>IF(OR(原始資料!$A135="",22&gt;設定!$B$3,原始資料!Y135=""),"",IF(AND(原始資料!X135&lt;&gt;"",原始資料!Y135=原始資料!X135),N(V135)+1,1))</f>
        <v/>
      </c>
      <c r="X135" s="6">
        <f>IF(OR(原始資料!$A135="",23&gt;設定!$B$3,原始資料!Z135=""),"",IF(AND(原始資料!Y135&lt;&gt;"",原始資料!Z135=原始資料!Y135),N(W135)+1,1))</f>
        <v/>
      </c>
      <c r="Y135" s="6">
        <f>IF(OR(原始資料!$A135="",24&gt;設定!$B$3,原始資料!AA135=""),"",IF(AND(原始資料!Z135&lt;&gt;"",原始資料!AA135=原始資料!Z135),N(X135)+1,1))</f>
        <v/>
      </c>
      <c r="Z135" s="6">
        <f>IF(OR(原始資料!$A135="",25&gt;設定!$B$3,原始資料!AB135=""),"",IF(AND(原始資料!AA135&lt;&gt;"",原始資料!AB135=原始資料!AA135),N(Y135)+1,1))</f>
        <v/>
      </c>
      <c r="AA135" s="6">
        <f>IF(OR(原始資料!$A135="",26&gt;設定!$B$3,原始資料!AC135=""),"",IF(AND(原始資料!AB135&lt;&gt;"",原始資料!AC135=原始資料!AB135),N(Z135)+1,1))</f>
        <v/>
      </c>
      <c r="AB135" s="6">
        <f>IF(OR(原始資料!$A135="",27&gt;設定!$B$3,原始資料!AD135=""),"",IF(AND(原始資料!AC135&lt;&gt;"",原始資料!AD135=原始資料!AC135),N(AA135)+1,1))</f>
        <v/>
      </c>
      <c r="AC135" s="6">
        <f>IF(OR(原始資料!$A135="",28&gt;設定!$B$3,原始資料!AE135=""),"",IF(AND(原始資料!AD135&lt;&gt;"",原始資料!AE135=原始資料!AD135),N(AB135)+1,1))</f>
        <v/>
      </c>
      <c r="AD135" s="6">
        <f>IF(OR(原始資料!$A135="",29&gt;設定!$B$3,原始資料!AF135=""),"",IF(AND(原始資料!AE135&lt;&gt;"",原始資料!AF135=原始資料!AE135),N(AC135)+1,1))</f>
        <v/>
      </c>
      <c r="AE135" s="6">
        <f>IF(OR(原始資料!$A135="",30&gt;設定!$B$3,原始資料!AG135=""),"",IF(AND(原始資料!AF135&lt;&gt;"",原始資料!AG135=原始資料!AF135),N(AD135)+1,1))</f>
        <v/>
      </c>
      <c r="AF135" s="6">
        <f>IF(OR(原始資料!$A135="",31&gt;設定!$B$3,原始資料!AH135=""),"",IF(AND(原始資料!AG135&lt;&gt;"",原始資料!AH135=原始資料!AG135),N(AE135)+1,1))</f>
        <v/>
      </c>
      <c r="AG135" s="6">
        <f>IF(OR(原始資料!$A135="",32&gt;設定!$B$3,原始資料!AI135=""),"",IF(AND(原始資料!AH135&lt;&gt;"",原始資料!AI135=原始資料!AH135),N(AF135)+1,1))</f>
        <v/>
      </c>
      <c r="AH135" s="6">
        <f>IF(OR(原始資料!$A135="",33&gt;設定!$B$3,原始資料!AJ135=""),"",IF(AND(原始資料!AI135&lt;&gt;"",原始資料!AJ135=原始資料!AI135),N(AG135)+1,1))</f>
        <v/>
      </c>
      <c r="AI135" s="6">
        <f>IF(OR(原始資料!$A135="",34&gt;設定!$B$3,原始資料!AK135=""),"",IF(AND(原始資料!AJ135&lt;&gt;"",原始資料!AK135=原始資料!AJ135),N(AH135)+1,1))</f>
        <v/>
      </c>
      <c r="AJ135" s="6">
        <f>IF(OR(原始資料!$A135="",35&gt;設定!$B$3,原始資料!AL135=""),"",IF(AND(原始資料!AK135&lt;&gt;"",原始資料!AL135=原始資料!AK135),N(AI135)+1,1))</f>
        <v/>
      </c>
      <c r="AK135" s="6">
        <f>IF(OR(原始資料!$A135="",36&gt;設定!$B$3,原始資料!AM135=""),"",IF(AND(原始資料!AL135&lt;&gt;"",原始資料!AM135=原始資料!AL135),N(AJ135)+1,1))</f>
        <v/>
      </c>
      <c r="AL135" s="6">
        <f>IF(OR(原始資料!$A135="",37&gt;設定!$B$3,原始資料!AN135=""),"",IF(AND(原始資料!AM135&lt;&gt;"",原始資料!AN135=原始資料!AM135),N(AK135)+1,1))</f>
        <v/>
      </c>
      <c r="AM135" s="6">
        <f>IF(OR(原始資料!$A135="",38&gt;設定!$B$3,原始資料!AO135=""),"",IF(AND(原始資料!AN135&lt;&gt;"",原始資料!AO135=原始資料!AN135),N(AL135)+1,1))</f>
        <v/>
      </c>
      <c r="AN135" s="6">
        <f>IF(OR(原始資料!$A135="",39&gt;設定!$B$3,原始資料!AP135=""),"",IF(AND(原始資料!AO135&lt;&gt;"",原始資料!AP135=原始資料!AO135),N(AM135)+1,1))</f>
        <v/>
      </c>
      <c r="AO135" s="6">
        <f>IF(OR(原始資料!$A135="",40&gt;設定!$B$3,原始資料!AQ135=""),"",IF(AND(原始資料!AP135&lt;&gt;"",原始資料!AQ135=原始資料!AP135),N(AN135)+1,1))</f>
        <v/>
      </c>
      <c r="AP135" s="6">
        <f>IF(OR(原始資料!$A135="",41&gt;設定!$B$3,原始資料!AR135=""),"",IF(AND(原始資料!AQ135&lt;&gt;"",原始資料!AR135=原始資料!AQ135),N(AO135)+1,1))</f>
        <v/>
      </c>
      <c r="AQ135" s="6">
        <f>IF(OR(原始資料!$A135="",42&gt;設定!$B$3,原始資料!AS135=""),"",IF(AND(原始資料!AR135&lt;&gt;"",原始資料!AS135=原始資料!AR135),N(AP135)+1,1))</f>
        <v/>
      </c>
      <c r="AR135" s="6">
        <f>IF(OR(原始資料!$A135="",43&gt;設定!$B$3,原始資料!AT135=""),"",IF(AND(原始資料!AS135&lt;&gt;"",原始資料!AT135=原始資料!AS135),N(AQ135)+1,1))</f>
        <v/>
      </c>
      <c r="AS135" s="6">
        <f>IF(OR(原始資料!$A135="",44&gt;設定!$B$3,原始資料!AU135=""),"",IF(AND(原始資料!AT135&lt;&gt;"",原始資料!AU135=原始資料!AT135),N(AR135)+1,1))</f>
        <v/>
      </c>
      <c r="AT135" s="6">
        <f>IF(OR(原始資料!$A135="",45&gt;設定!$B$3,原始資料!AV135=""),"",IF(AND(原始資料!AU135&lt;&gt;"",原始資料!AV135=原始資料!AU135),N(AS135)+1,1))</f>
        <v/>
      </c>
      <c r="AU135" s="6">
        <f>IF(OR(原始資料!$A135="",46&gt;設定!$B$3,原始資料!AW135=""),"",IF(AND(原始資料!AV135&lt;&gt;"",原始資料!AW135=原始資料!AV135),N(AT135)+1,1))</f>
        <v/>
      </c>
      <c r="AV135" s="6">
        <f>IF(OR(原始資料!$A135="",47&gt;設定!$B$3,原始資料!AX135=""),"",IF(AND(原始資料!AW135&lt;&gt;"",原始資料!AX135=原始資料!AW135),N(AU135)+1,1))</f>
        <v/>
      </c>
      <c r="AW135" s="6">
        <f>IF(OR(原始資料!$A135="",48&gt;設定!$B$3,原始資料!AY135=""),"",IF(AND(原始資料!AX135&lt;&gt;"",原始資料!AY135=原始資料!AX135),N(AV135)+1,1))</f>
        <v/>
      </c>
      <c r="AX135" s="6">
        <f>IF(OR(原始資料!$A135="",49&gt;設定!$B$3,原始資料!AZ135=""),"",IF(AND(原始資料!AY135&lt;&gt;"",原始資料!AZ135=原始資料!AY135),N(AW135)+1,1))</f>
        <v/>
      </c>
      <c r="AY135" s="6">
        <f>IF(OR(原始資料!$A135="",50&gt;設定!$B$3,原始資料!BA135=""),"",IF(AND(原始資料!AZ135&lt;&gt;"",原始資料!BA135=原始資料!AZ135),N(AX135)+1,1))</f>
        <v/>
      </c>
      <c r="AZ135" s="6">
        <f>IF(OR(原始資料!$A135="",51&gt;設定!$B$3,原始資料!BB135=""),"",IF(AND(原始資料!BA135&lt;&gt;"",原始資料!BB135=原始資料!BA135),N(AY135)+1,1))</f>
        <v/>
      </c>
      <c r="BA135" s="6">
        <f>IF(OR(原始資料!$A135="",52&gt;設定!$B$3,原始資料!BC135=""),"",IF(AND(原始資料!BB135&lt;&gt;"",原始資料!BC135=原始資料!BB135),N(AZ135)+1,1))</f>
        <v/>
      </c>
      <c r="BB135" s="6">
        <f>IF(OR(原始資料!$A135="",53&gt;設定!$B$3,原始資料!BD135=""),"",IF(AND(原始資料!BC135&lt;&gt;"",原始資料!BD135=原始資料!BC135),N(BA135)+1,1))</f>
        <v/>
      </c>
      <c r="BC135" s="6">
        <f>IF(OR(原始資料!$A135="",54&gt;設定!$B$3,原始資料!BE135=""),"",IF(AND(原始資料!BD135&lt;&gt;"",原始資料!BE135=原始資料!BD135),N(BB135)+1,1))</f>
        <v/>
      </c>
      <c r="BD135" s="6">
        <f>IF(OR(原始資料!$A135="",55&gt;設定!$B$3,原始資料!BF135=""),"",IF(AND(原始資料!BE135&lt;&gt;"",原始資料!BF135=原始資料!BE135),N(BC135)+1,1))</f>
        <v/>
      </c>
      <c r="BE135" s="6">
        <f>IF(OR(原始資料!$A135="",56&gt;設定!$B$3,原始資料!BG135=""),"",IF(AND(原始資料!BF135&lt;&gt;"",原始資料!BG135=原始資料!BF135),N(BD135)+1,1))</f>
        <v/>
      </c>
      <c r="BF135" s="6">
        <f>IF(OR(原始資料!$A135="",57&gt;設定!$B$3,原始資料!BH135=""),"",IF(AND(原始資料!BG135&lt;&gt;"",原始資料!BH135=原始資料!BG135),N(BE135)+1,1))</f>
        <v/>
      </c>
      <c r="BG135" s="6">
        <f>IF(OR(原始資料!$A135="",58&gt;設定!$B$3,原始資料!BI135=""),"",IF(AND(原始資料!BH135&lt;&gt;"",原始資料!BI135=原始資料!BH135),N(BF135)+1,1))</f>
        <v/>
      </c>
      <c r="BH135" s="6">
        <f>IF(OR(原始資料!$A135="",59&gt;設定!$B$3,原始資料!BJ135=""),"",IF(AND(原始資料!BI135&lt;&gt;"",原始資料!BJ135=原始資料!BI135),N(BG135)+1,1))</f>
        <v/>
      </c>
      <c r="BI135" s="6">
        <f>IF(OR(原始資料!$A135="",60&gt;設定!$B$3,原始資料!BK135=""),"",IF(AND(原始資料!BJ135&lt;&gt;"",原始資料!BK135=原始資料!BJ135),N(BH135)+1,1))</f>
        <v/>
      </c>
    </row>
    <row r="136">
      <c r="A136" s="6">
        <f>IF(原始資料!$A136="","",原始資料!$A136)</f>
        <v/>
      </c>
      <c r="B136" s="6">
        <f>IF(OR(原始資料!$A136="",1&gt;設定!$B$3,原始資料!D136=""),"",1)</f>
        <v/>
      </c>
      <c r="C136" s="6">
        <f>IF(OR(原始資料!$A136="",2&gt;設定!$B$3,原始資料!E136=""),"",IF(AND(原始資料!D136&lt;&gt;"",原始資料!E136=原始資料!D136),N(B136)+1,1))</f>
        <v/>
      </c>
      <c r="D136" s="6">
        <f>IF(OR(原始資料!$A136="",3&gt;設定!$B$3,原始資料!F136=""),"",IF(AND(原始資料!E136&lt;&gt;"",原始資料!F136=原始資料!E136),N(C136)+1,1))</f>
        <v/>
      </c>
      <c r="E136" s="6">
        <f>IF(OR(原始資料!$A136="",4&gt;設定!$B$3,原始資料!G136=""),"",IF(AND(原始資料!F136&lt;&gt;"",原始資料!G136=原始資料!F136),N(D136)+1,1))</f>
        <v/>
      </c>
      <c r="F136" s="6">
        <f>IF(OR(原始資料!$A136="",5&gt;設定!$B$3,原始資料!H136=""),"",IF(AND(原始資料!G136&lt;&gt;"",原始資料!H136=原始資料!G136),N(E136)+1,1))</f>
        <v/>
      </c>
      <c r="G136" s="6">
        <f>IF(OR(原始資料!$A136="",6&gt;設定!$B$3,原始資料!I136=""),"",IF(AND(原始資料!H136&lt;&gt;"",原始資料!I136=原始資料!H136),N(F136)+1,1))</f>
        <v/>
      </c>
      <c r="H136" s="6">
        <f>IF(OR(原始資料!$A136="",7&gt;設定!$B$3,原始資料!J136=""),"",IF(AND(原始資料!I136&lt;&gt;"",原始資料!J136=原始資料!I136),N(G136)+1,1))</f>
        <v/>
      </c>
      <c r="I136" s="6">
        <f>IF(OR(原始資料!$A136="",8&gt;設定!$B$3,原始資料!K136=""),"",IF(AND(原始資料!J136&lt;&gt;"",原始資料!K136=原始資料!J136),N(H136)+1,1))</f>
        <v/>
      </c>
      <c r="J136" s="6">
        <f>IF(OR(原始資料!$A136="",9&gt;設定!$B$3,原始資料!L136=""),"",IF(AND(原始資料!K136&lt;&gt;"",原始資料!L136=原始資料!K136),N(I136)+1,1))</f>
        <v/>
      </c>
      <c r="K136" s="6">
        <f>IF(OR(原始資料!$A136="",10&gt;設定!$B$3,原始資料!M136=""),"",IF(AND(原始資料!L136&lt;&gt;"",原始資料!M136=原始資料!L136),N(J136)+1,1))</f>
        <v/>
      </c>
      <c r="L136" s="6">
        <f>IF(OR(原始資料!$A136="",11&gt;設定!$B$3,原始資料!N136=""),"",IF(AND(原始資料!M136&lt;&gt;"",原始資料!N136=原始資料!M136),N(K136)+1,1))</f>
        <v/>
      </c>
      <c r="M136" s="6">
        <f>IF(OR(原始資料!$A136="",12&gt;設定!$B$3,原始資料!O136=""),"",IF(AND(原始資料!N136&lt;&gt;"",原始資料!O136=原始資料!N136),N(L136)+1,1))</f>
        <v/>
      </c>
      <c r="N136" s="6">
        <f>IF(OR(原始資料!$A136="",13&gt;設定!$B$3,原始資料!P136=""),"",IF(AND(原始資料!O136&lt;&gt;"",原始資料!P136=原始資料!O136),N(M136)+1,1))</f>
        <v/>
      </c>
      <c r="O136" s="6">
        <f>IF(OR(原始資料!$A136="",14&gt;設定!$B$3,原始資料!Q136=""),"",IF(AND(原始資料!P136&lt;&gt;"",原始資料!Q136=原始資料!P136),N(N136)+1,1))</f>
        <v/>
      </c>
      <c r="P136" s="6">
        <f>IF(OR(原始資料!$A136="",15&gt;設定!$B$3,原始資料!R136=""),"",IF(AND(原始資料!Q136&lt;&gt;"",原始資料!R136=原始資料!Q136),N(O136)+1,1))</f>
        <v/>
      </c>
      <c r="Q136" s="6">
        <f>IF(OR(原始資料!$A136="",16&gt;設定!$B$3,原始資料!S136=""),"",IF(AND(原始資料!R136&lt;&gt;"",原始資料!S136=原始資料!R136),N(P136)+1,1))</f>
        <v/>
      </c>
      <c r="R136" s="6">
        <f>IF(OR(原始資料!$A136="",17&gt;設定!$B$3,原始資料!T136=""),"",IF(AND(原始資料!S136&lt;&gt;"",原始資料!T136=原始資料!S136),N(Q136)+1,1))</f>
        <v/>
      </c>
      <c r="S136" s="6">
        <f>IF(OR(原始資料!$A136="",18&gt;設定!$B$3,原始資料!U136=""),"",IF(AND(原始資料!T136&lt;&gt;"",原始資料!U136=原始資料!T136),N(R136)+1,1))</f>
        <v/>
      </c>
      <c r="T136" s="6">
        <f>IF(OR(原始資料!$A136="",19&gt;設定!$B$3,原始資料!V136=""),"",IF(AND(原始資料!U136&lt;&gt;"",原始資料!V136=原始資料!U136),N(S136)+1,1))</f>
        <v/>
      </c>
      <c r="U136" s="6">
        <f>IF(OR(原始資料!$A136="",20&gt;設定!$B$3,原始資料!W136=""),"",IF(AND(原始資料!V136&lt;&gt;"",原始資料!W136=原始資料!V136),N(T136)+1,1))</f>
        <v/>
      </c>
      <c r="V136" s="6">
        <f>IF(OR(原始資料!$A136="",21&gt;設定!$B$3,原始資料!X136=""),"",IF(AND(原始資料!W136&lt;&gt;"",原始資料!X136=原始資料!W136),N(U136)+1,1))</f>
        <v/>
      </c>
      <c r="W136" s="6">
        <f>IF(OR(原始資料!$A136="",22&gt;設定!$B$3,原始資料!Y136=""),"",IF(AND(原始資料!X136&lt;&gt;"",原始資料!Y136=原始資料!X136),N(V136)+1,1))</f>
        <v/>
      </c>
      <c r="X136" s="6">
        <f>IF(OR(原始資料!$A136="",23&gt;設定!$B$3,原始資料!Z136=""),"",IF(AND(原始資料!Y136&lt;&gt;"",原始資料!Z136=原始資料!Y136),N(W136)+1,1))</f>
        <v/>
      </c>
      <c r="Y136" s="6">
        <f>IF(OR(原始資料!$A136="",24&gt;設定!$B$3,原始資料!AA136=""),"",IF(AND(原始資料!Z136&lt;&gt;"",原始資料!AA136=原始資料!Z136),N(X136)+1,1))</f>
        <v/>
      </c>
      <c r="Z136" s="6">
        <f>IF(OR(原始資料!$A136="",25&gt;設定!$B$3,原始資料!AB136=""),"",IF(AND(原始資料!AA136&lt;&gt;"",原始資料!AB136=原始資料!AA136),N(Y136)+1,1))</f>
        <v/>
      </c>
      <c r="AA136" s="6">
        <f>IF(OR(原始資料!$A136="",26&gt;設定!$B$3,原始資料!AC136=""),"",IF(AND(原始資料!AB136&lt;&gt;"",原始資料!AC136=原始資料!AB136),N(Z136)+1,1))</f>
        <v/>
      </c>
      <c r="AB136" s="6">
        <f>IF(OR(原始資料!$A136="",27&gt;設定!$B$3,原始資料!AD136=""),"",IF(AND(原始資料!AC136&lt;&gt;"",原始資料!AD136=原始資料!AC136),N(AA136)+1,1))</f>
        <v/>
      </c>
      <c r="AC136" s="6">
        <f>IF(OR(原始資料!$A136="",28&gt;設定!$B$3,原始資料!AE136=""),"",IF(AND(原始資料!AD136&lt;&gt;"",原始資料!AE136=原始資料!AD136),N(AB136)+1,1))</f>
        <v/>
      </c>
      <c r="AD136" s="6">
        <f>IF(OR(原始資料!$A136="",29&gt;設定!$B$3,原始資料!AF136=""),"",IF(AND(原始資料!AE136&lt;&gt;"",原始資料!AF136=原始資料!AE136),N(AC136)+1,1))</f>
        <v/>
      </c>
      <c r="AE136" s="6">
        <f>IF(OR(原始資料!$A136="",30&gt;設定!$B$3,原始資料!AG136=""),"",IF(AND(原始資料!AF136&lt;&gt;"",原始資料!AG136=原始資料!AF136),N(AD136)+1,1))</f>
        <v/>
      </c>
      <c r="AF136" s="6">
        <f>IF(OR(原始資料!$A136="",31&gt;設定!$B$3,原始資料!AH136=""),"",IF(AND(原始資料!AG136&lt;&gt;"",原始資料!AH136=原始資料!AG136),N(AE136)+1,1))</f>
        <v/>
      </c>
      <c r="AG136" s="6">
        <f>IF(OR(原始資料!$A136="",32&gt;設定!$B$3,原始資料!AI136=""),"",IF(AND(原始資料!AH136&lt;&gt;"",原始資料!AI136=原始資料!AH136),N(AF136)+1,1))</f>
        <v/>
      </c>
      <c r="AH136" s="6">
        <f>IF(OR(原始資料!$A136="",33&gt;設定!$B$3,原始資料!AJ136=""),"",IF(AND(原始資料!AI136&lt;&gt;"",原始資料!AJ136=原始資料!AI136),N(AG136)+1,1))</f>
        <v/>
      </c>
      <c r="AI136" s="6">
        <f>IF(OR(原始資料!$A136="",34&gt;設定!$B$3,原始資料!AK136=""),"",IF(AND(原始資料!AJ136&lt;&gt;"",原始資料!AK136=原始資料!AJ136),N(AH136)+1,1))</f>
        <v/>
      </c>
      <c r="AJ136" s="6">
        <f>IF(OR(原始資料!$A136="",35&gt;設定!$B$3,原始資料!AL136=""),"",IF(AND(原始資料!AK136&lt;&gt;"",原始資料!AL136=原始資料!AK136),N(AI136)+1,1))</f>
        <v/>
      </c>
      <c r="AK136" s="6">
        <f>IF(OR(原始資料!$A136="",36&gt;設定!$B$3,原始資料!AM136=""),"",IF(AND(原始資料!AL136&lt;&gt;"",原始資料!AM136=原始資料!AL136),N(AJ136)+1,1))</f>
        <v/>
      </c>
      <c r="AL136" s="6">
        <f>IF(OR(原始資料!$A136="",37&gt;設定!$B$3,原始資料!AN136=""),"",IF(AND(原始資料!AM136&lt;&gt;"",原始資料!AN136=原始資料!AM136),N(AK136)+1,1))</f>
        <v/>
      </c>
      <c r="AM136" s="6">
        <f>IF(OR(原始資料!$A136="",38&gt;設定!$B$3,原始資料!AO136=""),"",IF(AND(原始資料!AN136&lt;&gt;"",原始資料!AO136=原始資料!AN136),N(AL136)+1,1))</f>
        <v/>
      </c>
      <c r="AN136" s="6">
        <f>IF(OR(原始資料!$A136="",39&gt;設定!$B$3,原始資料!AP136=""),"",IF(AND(原始資料!AO136&lt;&gt;"",原始資料!AP136=原始資料!AO136),N(AM136)+1,1))</f>
        <v/>
      </c>
      <c r="AO136" s="6">
        <f>IF(OR(原始資料!$A136="",40&gt;設定!$B$3,原始資料!AQ136=""),"",IF(AND(原始資料!AP136&lt;&gt;"",原始資料!AQ136=原始資料!AP136),N(AN136)+1,1))</f>
        <v/>
      </c>
      <c r="AP136" s="6">
        <f>IF(OR(原始資料!$A136="",41&gt;設定!$B$3,原始資料!AR136=""),"",IF(AND(原始資料!AQ136&lt;&gt;"",原始資料!AR136=原始資料!AQ136),N(AO136)+1,1))</f>
        <v/>
      </c>
      <c r="AQ136" s="6">
        <f>IF(OR(原始資料!$A136="",42&gt;設定!$B$3,原始資料!AS136=""),"",IF(AND(原始資料!AR136&lt;&gt;"",原始資料!AS136=原始資料!AR136),N(AP136)+1,1))</f>
        <v/>
      </c>
      <c r="AR136" s="6">
        <f>IF(OR(原始資料!$A136="",43&gt;設定!$B$3,原始資料!AT136=""),"",IF(AND(原始資料!AS136&lt;&gt;"",原始資料!AT136=原始資料!AS136),N(AQ136)+1,1))</f>
        <v/>
      </c>
      <c r="AS136" s="6">
        <f>IF(OR(原始資料!$A136="",44&gt;設定!$B$3,原始資料!AU136=""),"",IF(AND(原始資料!AT136&lt;&gt;"",原始資料!AU136=原始資料!AT136),N(AR136)+1,1))</f>
        <v/>
      </c>
      <c r="AT136" s="6">
        <f>IF(OR(原始資料!$A136="",45&gt;設定!$B$3,原始資料!AV136=""),"",IF(AND(原始資料!AU136&lt;&gt;"",原始資料!AV136=原始資料!AU136),N(AS136)+1,1))</f>
        <v/>
      </c>
      <c r="AU136" s="6">
        <f>IF(OR(原始資料!$A136="",46&gt;設定!$B$3,原始資料!AW136=""),"",IF(AND(原始資料!AV136&lt;&gt;"",原始資料!AW136=原始資料!AV136),N(AT136)+1,1))</f>
        <v/>
      </c>
      <c r="AV136" s="6">
        <f>IF(OR(原始資料!$A136="",47&gt;設定!$B$3,原始資料!AX136=""),"",IF(AND(原始資料!AW136&lt;&gt;"",原始資料!AX136=原始資料!AW136),N(AU136)+1,1))</f>
        <v/>
      </c>
      <c r="AW136" s="6">
        <f>IF(OR(原始資料!$A136="",48&gt;設定!$B$3,原始資料!AY136=""),"",IF(AND(原始資料!AX136&lt;&gt;"",原始資料!AY136=原始資料!AX136),N(AV136)+1,1))</f>
        <v/>
      </c>
      <c r="AX136" s="6">
        <f>IF(OR(原始資料!$A136="",49&gt;設定!$B$3,原始資料!AZ136=""),"",IF(AND(原始資料!AY136&lt;&gt;"",原始資料!AZ136=原始資料!AY136),N(AW136)+1,1))</f>
        <v/>
      </c>
      <c r="AY136" s="6">
        <f>IF(OR(原始資料!$A136="",50&gt;設定!$B$3,原始資料!BA136=""),"",IF(AND(原始資料!AZ136&lt;&gt;"",原始資料!BA136=原始資料!AZ136),N(AX136)+1,1))</f>
        <v/>
      </c>
      <c r="AZ136" s="6">
        <f>IF(OR(原始資料!$A136="",51&gt;設定!$B$3,原始資料!BB136=""),"",IF(AND(原始資料!BA136&lt;&gt;"",原始資料!BB136=原始資料!BA136),N(AY136)+1,1))</f>
        <v/>
      </c>
      <c r="BA136" s="6">
        <f>IF(OR(原始資料!$A136="",52&gt;設定!$B$3,原始資料!BC136=""),"",IF(AND(原始資料!BB136&lt;&gt;"",原始資料!BC136=原始資料!BB136),N(AZ136)+1,1))</f>
        <v/>
      </c>
      <c r="BB136" s="6">
        <f>IF(OR(原始資料!$A136="",53&gt;設定!$B$3,原始資料!BD136=""),"",IF(AND(原始資料!BC136&lt;&gt;"",原始資料!BD136=原始資料!BC136),N(BA136)+1,1))</f>
        <v/>
      </c>
      <c r="BC136" s="6">
        <f>IF(OR(原始資料!$A136="",54&gt;設定!$B$3,原始資料!BE136=""),"",IF(AND(原始資料!BD136&lt;&gt;"",原始資料!BE136=原始資料!BD136),N(BB136)+1,1))</f>
        <v/>
      </c>
      <c r="BD136" s="6">
        <f>IF(OR(原始資料!$A136="",55&gt;設定!$B$3,原始資料!BF136=""),"",IF(AND(原始資料!BE136&lt;&gt;"",原始資料!BF136=原始資料!BE136),N(BC136)+1,1))</f>
        <v/>
      </c>
      <c r="BE136" s="6">
        <f>IF(OR(原始資料!$A136="",56&gt;設定!$B$3,原始資料!BG136=""),"",IF(AND(原始資料!BF136&lt;&gt;"",原始資料!BG136=原始資料!BF136),N(BD136)+1,1))</f>
        <v/>
      </c>
      <c r="BF136" s="6">
        <f>IF(OR(原始資料!$A136="",57&gt;設定!$B$3,原始資料!BH136=""),"",IF(AND(原始資料!BG136&lt;&gt;"",原始資料!BH136=原始資料!BG136),N(BE136)+1,1))</f>
        <v/>
      </c>
      <c r="BG136" s="6">
        <f>IF(OR(原始資料!$A136="",58&gt;設定!$B$3,原始資料!BI136=""),"",IF(AND(原始資料!BH136&lt;&gt;"",原始資料!BI136=原始資料!BH136),N(BF136)+1,1))</f>
        <v/>
      </c>
      <c r="BH136" s="6">
        <f>IF(OR(原始資料!$A136="",59&gt;設定!$B$3,原始資料!BJ136=""),"",IF(AND(原始資料!BI136&lt;&gt;"",原始資料!BJ136=原始資料!BI136),N(BG136)+1,1))</f>
        <v/>
      </c>
      <c r="BI136" s="6">
        <f>IF(OR(原始資料!$A136="",60&gt;設定!$B$3,原始資料!BK136=""),"",IF(AND(原始資料!BJ136&lt;&gt;"",原始資料!BK136=原始資料!BJ136),N(BH136)+1,1))</f>
        <v/>
      </c>
    </row>
    <row r="137">
      <c r="A137" s="6">
        <f>IF(原始資料!$A137="","",原始資料!$A137)</f>
        <v/>
      </c>
      <c r="B137" s="6">
        <f>IF(OR(原始資料!$A137="",1&gt;設定!$B$3,原始資料!D137=""),"",1)</f>
        <v/>
      </c>
      <c r="C137" s="6">
        <f>IF(OR(原始資料!$A137="",2&gt;設定!$B$3,原始資料!E137=""),"",IF(AND(原始資料!D137&lt;&gt;"",原始資料!E137=原始資料!D137),N(B137)+1,1))</f>
        <v/>
      </c>
      <c r="D137" s="6">
        <f>IF(OR(原始資料!$A137="",3&gt;設定!$B$3,原始資料!F137=""),"",IF(AND(原始資料!E137&lt;&gt;"",原始資料!F137=原始資料!E137),N(C137)+1,1))</f>
        <v/>
      </c>
      <c r="E137" s="6">
        <f>IF(OR(原始資料!$A137="",4&gt;設定!$B$3,原始資料!G137=""),"",IF(AND(原始資料!F137&lt;&gt;"",原始資料!G137=原始資料!F137),N(D137)+1,1))</f>
        <v/>
      </c>
      <c r="F137" s="6">
        <f>IF(OR(原始資料!$A137="",5&gt;設定!$B$3,原始資料!H137=""),"",IF(AND(原始資料!G137&lt;&gt;"",原始資料!H137=原始資料!G137),N(E137)+1,1))</f>
        <v/>
      </c>
      <c r="G137" s="6">
        <f>IF(OR(原始資料!$A137="",6&gt;設定!$B$3,原始資料!I137=""),"",IF(AND(原始資料!H137&lt;&gt;"",原始資料!I137=原始資料!H137),N(F137)+1,1))</f>
        <v/>
      </c>
      <c r="H137" s="6">
        <f>IF(OR(原始資料!$A137="",7&gt;設定!$B$3,原始資料!J137=""),"",IF(AND(原始資料!I137&lt;&gt;"",原始資料!J137=原始資料!I137),N(G137)+1,1))</f>
        <v/>
      </c>
      <c r="I137" s="6">
        <f>IF(OR(原始資料!$A137="",8&gt;設定!$B$3,原始資料!K137=""),"",IF(AND(原始資料!J137&lt;&gt;"",原始資料!K137=原始資料!J137),N(H137)+1,1))</f>
        <v/>
      </c>
      <c r="J137" s="6">
        <f>IF(OR(原始資料!$A137="",9&gt;設定!$B$3,原始資料!L137=""),"",IF(AND(原始資料!K137&lt;&gt;"",原始資料!L137=原始資料!K137),N(I137)+1,1))</f>
        <v/>
      </c>
      <c r="K137" s="6">
        <f>IF(OR(原始資料!$A137="",10&gt;設定!$B$3,原始資料!M137=""),"",IF(AND(原始資料!L137&lt;&gt;"",原始資料!M137=原始資料!L137),N(J137)+1,1))</f>
        <v/>
      </c>
      <c r="L137" s="6">
        <f>IF(OR(原始資料!$A137="",11&gt;設定!$B$3,原始資料!N137=""),"",IF(AND(原始資料!M137&lt;&gt;"",原始資料!N137=原始資料!M137),N(K137)+1,1))</f>
        <v/>
      </c>
      <c r="M137" s="6">
        <f>IF(OR(原始資料!$A137="",12&gt;設定!$B$3,原始資料!O137=""),"",IF(AND(原始資料!N137&lt;&gt;"",原始資料!O137=原始資料!N137),N(L137)+1,1))</f>
        <v/>
      </c>
      <c r="N137" s="6">
        <f>IF(OR(原始資料!$A137="",13&gt;設定!$B$3,原始資料!P137=""),"",IF(AND(原始資料!O137&lt;&gt;"",原始資料!P137=原始資料!O137),N(M137)+1,1))</f>
        <v/>
      </c>
      <c r="O137" s="6">
        <f>IF(OR(原始資料!$A137="",14&gt;設定!$B$3,原始資料!Q137=""),"",IF(AND(原始資料!P137&lt;&gt;"",原始資料!Q137=原始資料!P137),N(N137)+1,1))</f>
        <v/>
      </c>
      <c r="P137" s="6">
        <f>IF(OR(原始資料!$A137="",15&gt;設定!$B$3,原始資料!R137=""),"",IF(AND(原始資料!Q137&lt;&gt;"",原始資料!R137=原始資料!Q137),N(O137)+1,1))</f>
        <v/>
      </c>
      <c r="Q137" s="6">
        <f>IF(OR(原始資料!$A137="",16&gt;設定!$B$3,原始資料!S137=""),"",IF(AND(原始資料!R137&lt;&gt;"",原始資料!S137=原始資料!R137),N(P137)+1,1))</f>
        <v/>
      </c>
      <c r="R137" s="6">
        <f>IF(OR(原始資料!$A137="",17&gt;設定!$B$3,原始資料!T137=""),"",IF(AND(原始資料!S137&lt;&gt;"",原始資料!T137=原始資料!S137),N(Q137)+1,1))</f>
        <v/>
      </c>
      <c r="S137" s="6">
        <f>IF(OR(原始資料!$A137="",18&gt;設定!$B$3,原始資料!U137=""),"",IF(AND(原始資料!T137&lt;&gt;"",原始資料!U137=原始資料!T137),N(R137)+1,1))</f>
        <v/>
      </c>
      <c r="T137" s="6">
        <f>IF(OR(原始資料!$A137="",19&gt;設定!$B$3,原始資料!V137=""),"",IF(AND(原始資料!U137&lt;&gt;"",原始資料!V137=原始資料!U137),N(S137)+1,1))</f>
        <v/>
      </c>
      <c r="U137" s="6">
        <f>IF(OR(原始資料!$A137="",20&gt;設定!$B$3,原始資料!W137=""),"",IF(AND(原始資料!V137&lt;&gt;"",原始資料!W137=原始資料!V137),N(T137)+1,1))</f>
        <v/>
      </c>
      <c r="V137" s="6">
        <f>IF(OR(原始資料!$A137="",21&gt;設定!$B$3,原始資料!X137=""),"",IF(AND(原始資料!W137&lt;&gt;"",原始資料!X137=原始資料!W137),N(U137)+1,1))</f>
        <v/>
      </c>
      <c r="W137" s="6">
        <f>IF(OR(原始資料!$A137="",22&gt;設定!$B$3,原始資料!Y137=""),"",IF(AND(原始資料!X137&lt;&gt;"",原始資料!Y137=原始資料!X137),N(V137)+1,1))</f>
        <v/>
      </c>
      <c r="X137" s="6">
        <f>IF(OR(原始資料!$A137="",23&gt;設定!$B$3,原始資料!Z137=""),"",IF(AND(原始資料!Y137&lt;&gt;"",原始資料!Z137=原始資料!Y137),N(W137)+1,1))</f>
        <v/>
      </c>
      <c r="Y137" s="6">
        <f>IF(OR(原始資料!$A137="",24&gt;設定!$B$3,原始資料!AA137=""),"",IF(AND(原始資料!Z137&lt;&gt;"",原始資料!AA137=原始資料!Z137),N(X137)+1,1))</f>
        <v/>
      </c>
      <c r="Z137" s="6">
        <f>IF(OR(原始資料!$A137="",25&gt;設定!$B$3,原始資料!AB137=""),"",IF(AND(原始資料!AA137&lt;&gt;"",原始資料!AB137=原始資料!AA137),N(Y137)+1,1))</f>
        <v/>
      </c>
      <c r="AA137" s="6">
        <f>IF(OR(原始資料!$A137="",26&gt;設定!$B$3,原始資料!AC137=""),"",IF(AND(原始資料!AB137&lt;&gt;"",原始資料!AC137=原始資料!AB137),N(Z137)+1,1))</f>
        <v/>
      </c>
      <c r="AB137" s="6">
        <f>IF(OR(原始資料!$A137="",27&gt;設定!$B$3,原始資料!AD137=""),"",IF(AND(原始資料!AC137&lt;&gt;"",原始資料!AD137=原始資料!AC137),N(AA137)+1,1))</f>
        <v/>
      </c>
      <c r="AC137" s="6">
        <f>IF(OR(原始資料!$A137="",28&gt;設定!$B$3,原始資料!AE137=""),"",IF(AND(原始資料!AD137&lt;&gt;"",原始資料!AE137=原始資料!AD137),N(AB137)+1,1))</f>
        <v/>
      </c>
      <c r="AD137" s="6">
        <f>IF(OR(原始資料!$A137="",29&gt;設定!$B$3,原始資料!AF137=""),"",IF(AND(原始資料!AE137&lt;&gt;"",原始資料!AF137=原始資料!AE137),N(AC137)+1,1))</f>
        <v/>
      </c>
      <c r="AE137" s="6">
        <f>IF(OR(原始資料!$A137="",30&gt;設定!$B$3,原始資料!AG137=""),"",IF(AND(原始資料!AF137&lt;&gt;"",原始資料!AG137=原始資料!AF137),N(AD137)+1,1))</f>
        <v/>
      </c>
      <c r="AF137" s="6">
        <f>IF(OR(原始資料!$A137="",31&gt;設定!$B$3,原始資料!AH137=""),"",IF(AND(原始資料!AG137&lt;&gt;"",原始資料!AH137=原始資料!AG137),N(AE137)+1,1))</f>
        <v/>
      </c>
      <c r="AG137" s="6">
        <f>IF(OR(原始資料!$A137="",32&gt;設定!$B$3,原始資料!AI137=""),"",IF(AND(原始資料!AH137&lt;&gt;"",原始資料!AI137=原始資料!AH137),N(AF137)+1,1))</f>
        <v/>
      </c>
      <c r="AH137" s="6">
        <f>IF(OR(原始資料!$A137="",33&gt;設定!$B$3,原始資料!AJ137=""),"",IF(AND(原始資料!AI137&lt;&gt;"",原始資料!AJ137=原始資料!AI137),N(AG137)+1,1))</f>
        <v/>
      </c>
      <c r="AI137" s="6">
        <f>IF(OR(原始資料!$A137="",34&gt;設定!$B$3,原始資料!AK137=""),"",IF(AND(原始資料!AJ137&lt;&gt;"",原始資料!AK137=原始資料!AJ137),N(AH137)+1,1))</f>
        <v/>
      </c>
      <c r="AJ137" s="6">
        <f>IF(OR(原始資料!$A137="",35&gt;設定!$B$3,原始資料!AL137=""),"",IF(AND(原始資料!AK137&lt;&gt;"",原始資料!AL137=原始資料!AK137),N(AI137)+1,1))</f>
        <v/>
      </c>
      <c r="AK137" s="6">
        <f>IF(OR(原始資料!$A137="",36&gt;設定!$B$3,原始資料!AM137=""),"",IF(AND(原始資料!AL137&lt;&gt;"",原始資料!AM137=原始資料!AL137),N(AJ137)+1,1))</f>
        <v/>
      </c>
      <c r="AL137" s="6">
        <f>IF(OR(原始資料!$A137="",37&gt;設定!$B$3,原始資料!AN137=""),"",IF(AND(原始資料!AM137&lt;&gt;"",原始資料!AN137=原始資料!AM137),N(AK137)+1,1))</f>
        <v/>
      </c>
      <c r="AM137" s="6">
        <f>IF(OR(原始資料!$A137="",38&gt;設定!$B$3,原始資料!AO137=""),"",IF(AND(原始資料!AN137&lt;&gt;"",原始資料!AO137=原始資料!AN137),N(AL137)+1,1))</f>
        <v/>
      </c>
      <c r="AN137" s="6">
        <f>IF(OR(原始資料!$A137="",39&gt;設定!$B$3,原始資料!AP137=""),"",IF(AND(原始資料!AO137&lt;&gt;"",原始資料!AP137=原始資料!AO137),N(AM137)+1,1))</f>
        <v/>
      </c>
      <c r="AO137" s="6">
        <f>IF(OR(原始資料!$A137="",40&gt;設定!$B$3,原始資料!AQ137=""),"",IF(AND(原始資料!AP137&lt;&gt;"",原始資料!AQ137=原始資料!AP137),N(AN137)+1,1))</f>
        <v/>
      </c>
      <c r="AP137" s="6">
        <f>IF(OR(原始資料!$A137="",41&gt;設定!$B$3,原始資料!AR137=""),"",IF(AND(原始資料!AQ137&lt;&gt;"",原始資料!AR137=原始資料!AQ137),N(AO137)+1,1))</f>
        <v/>
      </c>
      <c r="AQ137" s="6">
        <f>IF(OR(原始資料!$A137="",42&gt;設定!$B$3,原始資料!AS137=""),"",IF(AND(原始資料!AR137&lt;&gt;"",原始資料!AS137=原始資料!AR137),N(AP137)+1,1))</f>
        <v/>
      </c>
      <c r="AR137" s="6">
        <f>IF(OR(原始資料!$A137="",43&gt;設定!$B$3,原始資料!AT137=""),"",IF(AND(原始資料!AS137&lt;&gt;"",原始資料!AT137=原始資料!AS137),N(AQ137)+1,1))</f>
        <v/>
      </c>
      <c r="AS137" s="6">
        <f>IF(OR(原始資料!$A137="",44&gt;設定!$B$3,原始資料!AU137=""),"",IF(AND(原始資料!AT137&lt;&gt;"",原始資料!AU137=原始資料!AT137),N(AR137)+1,1))</f>
        <v/>
      </c>
      <c r="AT137" s="6">
        <f>IF(OR(原始資料!$A137="",45&gt;設定!$B$3,原始資料!AV137=""),"",IF(AND(原始資料!AU137&lt;&gt;"",原始資料!AV137=原始資料!AU137),N(AS137)+1,1))</f>
        <v/>
      </c>
      <c r="AU137" s="6">
        <f>IF(OR(原始資料!$A137="",46&gt;設定!$B$3,原始資料!AW137=""),"",IF(AND(原始資料!AV137&lt;&gt;"",原始資料!AW137=原始資料!AV137),N(AT137)+1,1))</f>
        <v/>
      </c>
      <c r="AV137" s="6">
        <f>IF(OR(原始資料!$A137="",47&gt;設定!$B$3,原始資料!AX137=""),"",IF(AND(原始資料!AW137&lt;&gt;"",原始資料!AX137=原始資料!AW137),N(AU137)+1,1))</f>
        <v/>
      </c>
      <c r="AW137" s="6">
        <f>IF(OR(原始資料!$A137="",48&gt;設定!$B$3,原始資料!AY137=""),"",IF(AND(原始資料!AX137&lt;&gt;"",原始資料!AY137=原始資料!AX137),N(AV137)+1,1))</f>
        <v/>
      </c>
      <c r="AX137" s="6">
        <f>IF(OR(原始資料!$A137="",49&gt;設定!$B$3,原始資料!AZ137=""),"",IF(AND(原始資料!AY137&lt;&gt;"",原始資料!AZ137=原始資料!AY137),N(AW137)+1,1))</f>
        <v/>
      </c>
      <c r="AY137" s="6">
        <f>IF(OR(原始資料!$A137="",50&gt;設定!$B$3,原始資料!BA137=""),"",IF(AND(原始資料!AZ137&lt;&gt;"",原始資料!BA137=原始資料!AZ137),N(AX137)+1,1))</f>
        <v/>
      </c>
      <c r="AZ137" s="6">
        <f>IF(OR(原始資料!$A137="",51&gt;設定!$B$3,原始資料!BB137=""),"",IF(AND(原始資料!BA137&lt;&gt;"",原始資料!BB137=原始資料!BA137),N(AY137)+1,1))</f>
        <v/>
      </c>
      <c r="BA137" s="6">
        <f>IF(OR(原始資料!$A137="",52&gt;設定!$B$3,原始資料!BC137=""),"",IF(AND(原始資料!BB137&lt;&gt;"",原始資料!BC137=原始資料!BB137),N(AZ137)+1,1))</f>
        <v/>
      </c>
      <c r="BB137" s="6">
        <f>IF(OR(原始資料!$A137="",53&gt;設定!$B$3,原始資料!BD137=""),"",IF(AND(原始資料!BC137&lt;&gt;"",原始資料!BD137=原始資料!BC137),N(BA137)+1,1))</f>
        <v/>
      </c>
      <c r="BC137" s="6">
        <f>IF(OR(原始資料!$A137="",54&gt;設定!$B$3,原始資料!BE137=""),"",IF(AND(原始資料!BD137&lt;&gt;"",原始資料!BE137=原始資料!BD137),N(BB137)+1,1))</f>
        <v/>
      </c>
      <c r="BD137" s="6">
        <f>IF(OR(原始資料!$A137="",55&gt;設定!$B$3,原始資料!BF137=""),"",IF(AND(原始資料!BE137&lt;&gt;"",原始資料!BF137=原始資料!BE137),N(BC137)+1,1))</f>
        <v/>
      </c>
      <c r="BE137" s="6">
        <f>IF(OR(原始資料!$A137="",56&gt;設定!$B$3,原始資料!BG137=""),"",IF(AND(原始資料!BF137&lt;&gt;"",原始資料!BG137=原始資料!BF137),N(BD137)+1,1))</f>
        <v/>
      </c>
      <c r="BF137" s="6">
        <f>IF(OR(原始資料!$A137="",57&gt;設定!$B$3,原始資料!BH137=""),"",IF(AND(原始資料!BG137&lt;&gt;"",原始資料!BH137=原始資料!BG137),N(BE137)+1,1))</f>
        <v/>
      </c>
      <c r="BG137" s="6">
        <f>IF(OR(原始資料!$A137="",58&gt;設定!$B$3,原始資料!BI137=""),"",IF(AND(原始資料!BH137&lt;&gt;"",原始資料!BI137=原始資料!BH137),N(BF137)+1,1))</f>
        <v/>
      </c>
      <c r="BH137" s="6">
        <f>IF(OR(原始資料!$A137="",59&gt;設定!$B$3,原始資料!BJ137=""),"",IF(AND(原始資料!BI137&lt;&gt;"",原始資料!BJ137=原始資料!BI137),N(BG137)+1,1))</f>
        <v/>
      </c>
      <c r="BI137" s="6">
        <f>IF(OR(原始資料!$A137="",60&gt;設定!$B$3,原始資料!BK137=""),"",IF(AND(原始資料!BJ137&lt;&gt;"",原始資料!BK137=原始資料!BJ137),N(BH137)+1,1))</f>
        <v/>
      </c>
    </row>
    <row r="138">
      <c r="A138" s="6">
        <f>IF(原始資料!$A138="","",原始資料!$A138)</f>
        <v/>
      </c>
      <c r="B138" s="6">
        <f>IF(OR(原始資料!$A138="",1&gt;設定!$B$3,原始資料!D138=""),"",1)</f>
        <v/>
      </c>
      <c r="C138" s="6">
        <f>IF(OR(原始資料!$A138="",2&gt;設定!$B$3,原始資料!E138=""),"",IF(AND(原始資料!D138&lt;&gt;"",原始資料!E138=原始資料!D138),N(B138)+1,1))</f>
        <v/>
      </c>
      <c r="D138" s="6">
        <f>IF(OR(原始資料!$A138="",3&gt;設定!$B$3,原始資料!F138=""),"",IF(AND(原始資料!E138&lt;&gt;"",原始資料!F138=原始資料!E138),N(C138)+1,1))</f>
        <v/>
      </c>
      <c r="E138" s="6">
        <f>IF(OR(原始資料!$A138="",4&gt;設定!$B$3,原始資料!G138=""),"",IF(AND(原始資料!F138&lt;&gt;"",原始資料!G138=原始資料!F138),N(D138)+1,1))</f>
        <v/>
      </c>
      <c r="F138" s="6">
        <f>IF(OR(原始資料!$A138="",5&gt;設定!$B$3,原始資料!H138=""),"",IF(AND(原始資料!G138&lt;&gt;"",原始資料!H138=原始資料!G138),N(E138)+1,1))</f>
        <v/>
      </c>
      <c r="G138" s="6">
        <f>IF(OR(原始資料!$A138="",6&gt;設定!$B$3,原始資料!I138=""),"",IF(AND(原始資料!H138&lt;&gt;"",原始資料!I138=原始資料!H138),N(F138)+1,1))</f>
        <v/>
      </c>
      <c r="H138" s="6">
        <f>IF(OR(原始資料!$A138="",7&gt;設定!$B$3,原始資料!J138=""),"",IF(AND(原始資料!I138&lt;&gt;"",原始資料!J138=原始資料!I138),N(G138)+1,1))</f>
        <v/>
      </c>
      <c r="I138" s="6">
        <f>IF(OR(原始資料!$A138="",8&gt;設定!$B$3,原始資料!K138=""),"",IF(AND(原始資料!J138&lt;&gt;"",原始資料!K138=原始資料!J138),N(H138)+1,1))</f>
        <v/>
      </c>
      <c r="J138" s="6">
        <f>IF(OR(原始資料!$A138="",9&gt;設定!$B$3,原始資料!L138=""),"",IF(AND(原始資料!K138&lt;&gt;"",原始資料!L138=原始資料!K138),N(I138)+1,1))</f>
        <v/>
      </c>
      <c r="K138" s="6">
        <f>IF(OR(原始資料!$A138="",10&gt;設定!$B$3,原始資料!M138=""),"",IF(AND(原始資料!L138&lt;&gt;"",原始資料!M138=原始資料!L138),N(J138)+1,1))</f>
        <v/>
      </c>
      <c r="L138" s="6">
        <f>IF(OR(原始資料!$A138="",11&gt;設定!$B$3,原始資料!N138=""),"",IF(AND(原始資料!M138&lt;&gt;"",原始資料!N138=原始資料!M138),N(K138)+1,1))</f>
        <v/>
      </c>
      <c r="M138" s="6">
        <f>IF(OR(原始資料!$A138="",12&gt;設定!$B$3,原始資料!O138=""),"",IF(AND(原始資料!N138&lt;&gt;"",原始資料!O138=原始資料!N138),N(L138)+1,1))</f>
        <v/>
      </c>
      <c r="N138" s="6">
        <f>IF(OR(原始資料!$A138="",13&gt;設定!$B$3,原始資料!P138=""),"",IF(AND(原始資料!O138&lt;&gt;"",原始資料!P138=原始資料!O138),N(M138)+1,1))</f>
        <v/>
      </c>
      <c r="O138" s="6">
        <f>IF(OR(原始資料!$A138="",14&gt;設定!$B$3,原始資料!Q138=""),"",IF(AND(原始資料!P138&lt;&gt;"",原始資料!Q138=原始資料!P138),N(N138)+1,1))</f>
        <v/>
      </c>
      <c r="P138" s="6">
        <f>IF(OR(原始資料!$A138="",15&gt;設定!$B$3,原始資料!R138=""),"",IF(AND(原始資料!Q138&lt;&gt;"",原始資料!R138=原始資料!Q138),N(O138)+1,1))</f>
        <v/>
      </c>
      <c r="Q138" s="6">
        <f>IF(OR(原始資料!$A138="",16&gt;設定!$B$3,原始資料!S138=""),"",IF(AND(原始資料!R138&lt;&gt;"",原始資料!S138=原始資料!R138),N(P138)+1,1))</f>
        <v/>
      </c>
      <c r="R138" s="6">
        <f>IF(OR(原始資料!$A138="",17&gt;設定!$B$3,原始資料!T138=""),"",IF(AND(原始資料!S138&lt;&gt;"",原始資料!T138=原始資料!S138),N(Q138)+1,1))</f>
        <v/>
      </c>
      <c r="S138" s="6">
        <f>IF(OR(原始資料!$A138="",18&gt;設定!$B$3,原始資料!U138=""),"",IF(AND(原始資料!T138&lt;&gt;"",原始資料!U138=原始資料!T138),N(R138)+1,1))</f>
        <v/>
      </c>
      <c r="T138" s="6">
        <f>IF(OR(原始資料!$A138="",19&gt;設定!$B$3,原始資料!V138=""),"",IF(AND(原始資料!U138&lt;&gt;"",原始資料!V138=原始資料!U138),N(S138)+1,1))</f>
        <v/>
      </c>
      <c r="U138" s="6">
        <f>IF(OR(原始資料!$A138="",20&gt;設定!$B$3,原始資料!W138=""),"",IF(AND(原始資料!V138&lt;&gt;"",原始資料!W138=原始資料!V138),N(T138)+1,1))</f>
        <v/>
      </c>
      <c r="V138" s="6">
        <f>IF(OR(原始資料!$A138="",21&gt;設定!$B$3,原始資料!X138=""),"",IF(AND(原始資料!W138&lt;&gt;"",原始資料!X138=原始資料!W138),N(U138)+1,1))</f>
        <v/>
      </c>
      <c r="W138" s="6">
        <f>IF(OR(原始資料!$A138="",22&gt;設定!$B$3,原始資料!Y138=""),"",IF(AND(原始資料!X138&lt;&gt;"",原始資料!Y138=原始資料!X138),N(V138)+1,1))</f>
        <v/>
      </c>
      <c r="X138" s="6">
        <f>IF(OR(原始資料!$A138="",23&gt;設定!$B$3,原始資料!Z138=""),"",IF(AND(原始資料!Y138&lt;&gt;"",原始資料!Z138=原始資料!Y138),N(W138)+1,1))</f>
        <v/>
      </c>
      <c r="Y138" s="6">
        <f>IF(OR(原始資料!$A138="",24&gt;設定!$B$3,原始資料!AA138=""),"",IF(AND(原始資料!Z138&lt;&gt;"",原始資料!AA138=原始資料!Z138),N(X138)+1,1))</f>
        <v/>
      </c>
      <c r="Z138" s="6">
        <f>IF(OR(原始資料!$A138="",25&gt;設定!$B$3,原始資料!AB138=""),"",IF(AND(原始資料!AA138&lt;&gt;"",原始資料!AB138=原始資料!AA138),N(Y138)+1,1))</f>
        <v/>
      </c>
      <c r="AA138" s="6">
        <f>IF(OR(原始資料!$A138="",26&gt;設定!$B$3,原始資料!AC138=""),"",IF(AND(原始資料!AB138&lt;&gt;"",原始資料!AC138=原始資料!AB138),N(Z138)+1,1))</f>
        <v/>
      </c>
      <c r="AB138" s="6">
        <f>IF(OR(原始資料!$A138="",27&gt;設定!$B$3,原始資料!AD138=""),"",IF(AND(原始資料!AC138&lt;&gt;"",原始資料!AD138=原始資料!AC138),N(AA138)+1,1))</f>
        <v/>
      </c>
      <c r="AC138" s="6">
        <f>IF(OR(原始資料!$A138="",28&gt;設定!$B$3,原始資料!AE138=""),"",IF(AND(原始資料!AD138&lt;&gt;"",原始資料!AE138=原始資料!AD138),N(AB138)+1,1))</f>
        <v/>
      </c>
      <c r="AD138" s="6">
        <f>IF(OR(原始資料!$A138="",29&gt;設定!$B$3,原始資料!AF138=""),"",IF(AND(原始資料!AE138&lt;&gt;"",原始資料!AF138=原始資料!AE138),N(AC138)+1,1))</f>
        <v/>
      </c>
      <c r="AE138" s="6">
        <f>IF(OR(原始資料!$A138="",30&gt;設定!$B$3,原始資料!AG138=""),"",IF(AND(原始資料!AF138&lt;&gt;"",原始資料!AG138=原始資料!AF138),N(AD138)+1,1))</f>
        <v/>
      </c>
      <c r="AF138" s="6">
        <f>IF(OR(原始資料!$A138="",31&gt;設定!$B$3,原始資料!AH138=""),"",IF(AND(原始資料!AG138&lt;&gt;"",原始資料!AH138=原始資料!AG138),N(AE138)+1,1))</f>
        <v/>
      </c>
      <c r="AG138" s="6">
        <f>IF(OR(原始資料!$A138="",32&gt;設定!$B$3,原始資料!AI138=""),"",IF(AND(原始資料!AH138&lt;&gt;"",原始資料!AI138=原始資料!AH138),N(AF138)+1,1))</f>
        <v/>
      </c>
      <c r="AH138" s="6">
        <f>IF(OR(原始資料!$A138="",33&gt;設定!$B$3,原始資料!AJ138=""),"",IF(AND(原始資料!AI138&lt;&gt;"",原始資料!AJ138=原始資料!AI138),N(AG138)+1,1))</f>
        <v/>
      </c>
      <c r="AI138" s="6">
        <f>IF(OR(原始資料!$A138="",34&gt;設定!$B$3,原始資料!AK138=""),"",IF(AND(原始資料!AJ138&lt;&gt;"",原始資料!AK138=原始資料!AJ138),N(AH138)+1,1))</f>
        <v/>
      </c>
      <c r="AJ138" s="6">
        <f>IF(OR(原始資料!$A138="",35&gt;設定!$B$3,原始資料!AL138=""),"",IF(AND(原始資料!AK138&lt;&gt;"",原始資料!AL138=原始資料!AK138),N(AI138)+1,1))</f>
        <v/>
      </c>
      <c r="AK138" s="6">
        <f>IF(OR(原始資料!$A138="",36&gt;設定!$B$3,原始資料!AM138=""),"",IF(AND(原始資料!AL138&lt;&gt;"",原始資料!AM138=原始資料!AL138),N(AJ138)+1,1))</f>
        <v/>
      </c>
      <c r="AL138" s="6">
        <f>IF(OR(原始資料!$A138="",37&gt;設定!$B$3,原始資料!AN138=""),"",IF(AND(原始資料!AM138&lt;&gt;"",原始資料!AN138=原始資料!AM138),N(AK138)+1,1))</f>
        <v/>
      </c>
      <c r="AM138" s="6">
        <f>IF(OR(原始資料!$A138="",38&gt;設定!$B$3,原始資料!AO138=""),"",IF(AND(原始資料!AN138&lt;&gt;"",原始資料!AO138=原始資料!AN138),N(AL138)+1,1))</f>
        <v/>
      </c>
      <c r="AN138" s="6">
        <f>IF(OR(原始資料!$A138="",39&gt;設定!$B$3,原始資料!AP138=""),"",IF(AND(原始資料!AO138&lt;&gt;"",原始資料!AP138=原始資料!AO138),N(AM138)+1,1))</f>
        <v/>
      </c>
      <c r="AO138" s="6">
        <f>IF(OR(原始資料!$A138="",40&gt;設定!$B$3,原始資料!AQ138=""),"",IF(AND(原始資料!AP138&lt;&gt;"",原始資料!AQ138=原始資料!AP138),N(AN138)+1,1))</f>
        <v/>
      </c>
      <c r="AP138" s="6">
        <f>IF(OR(原始資料!$A138="",41&gt;設定!$B$3,原始資料!AR138=""),"",IF(AND(原始資料!AQ138&lt;&gt;"",原始資料!AR138=原始資料!AQ138),N(AO138)+1,1))</f>
        <v/>
      </c>
      <c r="AQ138" s="6">
        <f>IF(OR(原始資料!$A138="",42&gt;設定!$B$3,原始資料!AS138=""),"",IF(AND(原始資料!AR138&lt;&gt;"",原始資料!AS138=原始資料!AR138),N(AP138)+1,1))</f>
        <v/>
      </c>
      <c r="AR138" s="6">
        <f>IF(OR(原始資料!$A138="",43&gt;設定!$B$3,原始資料!AT138=""),"",IF(AND(原始資料!AS138&lt;&gt;"",原始資料!AT138=原始資料!AS138),N(AQ138)+1,1))</f>
        <v/>
      </c>
      <c r="AS138" s="6">
        <f>IF(OR(原始資料!$A138="",44&gt;設定!$B$3,原始資料!AU138=""),"",IF(AND(原始資料!AT138&lt;&gt;"",原始資料!AU138=原始資料!AT138),N(AR138)+1,1))</f>
        <v/>
      </c>
      <c r="AT138" s="6">
        <f>IF(OR(原始資料!$A138="",45&gt;設定!$B$3,原始資料!AV138=""),"",IF(AND(原始資料!AU138&lt;&gt;"",原始資料!AV138=原始資料!AU138),N(AS138)+1,1))</f>
        <v/>
      </c>
      <c r="AU138" s="6">
        <f>IF(OR(原始資料!$A138="",46&gt;設定!$B$3,原始資料!AW138=""),"",IF(AND(原始資料!AV138&lt;&gt;"",原始資料!AW138=原始資料!AV138),N(AT138)+1,1))</f>
        <v/>
      </c>
      <c r="AV138" s="6">
        <f>IF(OR(原始資料!$A138="",47&gt;設定!$B$3,原始資料!AX138=""),"",IF(AND(原始資料!AW138&lt;&gt;"",原始資料!AX138=原始資料!AW138),N(AU138)+1,1))</f>
        <v/>
      </c>
      <c r="AW138" s="6">
        <f>IF(OR(原始資料!$A138="",48&gt;設定!$B$3,原始資料!AY138=""),"",IF(AND(原始資料!AX138&lt;&gt;"",原始資料!AY138=原始資料!AX138),N(AV138)+1,1))</f>
        <v/>
      </c>
      <c r="AX138" s="6">
        <f>IF(OR(原始資料!$A138="",49&gt;設定!$B$3,原始資料!AZ138=""),"",IF(AND(原始資料!AY138&lt;&gt;"",原始資料!AZ138=原始資料!AY138),N(AW138)+1,1))</f>
        <v/>
      </c>
      <c r="AY138" s="6">
        <f>IF(OR(原始資料!$A138="",50&gt;設定!$B$3,原始資料!BA138=""),"",IF(AND(原始資料!AZ138&lt;&gt;"",原始資料!BA138=原始資料!AZ138),N(AX138)+1,1))</f>
        <v/>
      </c>
      <c r="AZ138" s="6">
        <f>IF(OR(原始資料!$A138="",51&gt;設定!$B$3,原始資料!BB138=""),"",IF(AND(原始資料!BA138&lt;&gt;"",原始資料!BB138=原始資料!BA138),N(AY138)+1,1))</f>
        <v/>
      </c>
      <c r="BA138" s="6">
        <f>IF(OR(原始資料!$A138="",52&gt;設定!$B$3,原始資料!BC138=""),"",IF(AND(原始資料!BB138&lt;&gt;"",原始資料!BC138=原始資料!BB138),N(AZ138)+1,1))</f>
        <v/>
      </c>
      <c r="BB138" s="6">
        <f>IF(OR(原始資料!$A138="",53&gt;設定!$B$3,原始資料!BD138=""),"",IF(AND(原始資料!BC138&lt;&gt;"",原始資料!BD138=原始資料!BC138),N(BA138)+1,1))</f>
        <v/>
      </c>
      <c r="BC138" s="6">
        <f>IF(OR(原始資料!$A138="",54&gt;設定!$B$3,原始資料!BE138=""),"",IF(AND(原始資料!BD138&lt;&gt;"",原始資料!BE138=原始資料!BD138),N(BB138)+1,1))</f>
        <v/>
      </c>
      <c r="BD138" s="6">
        <f>IF(OR(原始資料!$A138="",55&gt;設定!$B$3,原始資料!BF138=""),"",IF(AND(原始資料!BE138&lt;&gt;"",原始資料!BF138=原始資料!BE138),N(BC138)+1,1))</f>
        <v/>
      </c>
      <c r="BE138" s="6">
        <f>IF(OR(原始資料!$A138="",56&gt;設定!$B$3,原始資料!BG138=""),"",IF(AND(原始資料!BF138&lt;&gt;"",原始資料!BG138=原始資料!BF138),N(BD138)+1,1))</f>
        <v/>
      </c>
      <c r="BF138" s="6">
        <f>IF(OR(原始資料!$A138="",57&gt;設定!$B$3,原始資料!BH138=""),"",IF(AND(原始資料!BG138&lt;&gt;"",原始資料!BH138=原始資料!BG138),N(BE138)+1,1))</f>
        <v/>
      </c>
      <c r="BG138" s="6">
        <f>IF(OR(原始資料!$A138="",58&gt;設定!$B$3,原始資料!BI138=""),"",IF(AND(原始資料!BH138&lt;&gt;"",原始資料!BI138=原始資料!BH138),N(BF138)+1,1))</f>
        <v/>
      </c>
      <c r="BH138" s="6">
        <f>IF(OR(原始資料!$A138="",59&gt;設定!$B$3,原始資料!BJ138=""),"",IF(AND(原始資料!BI138&lt;&gt;"",原始資料!BJ138=原始資料!BI138),N(BG138)+1,1))</f>
        <v/>
      </c>
      <c r="BI138" s="6">
        <f>IF(OR(原始資料!$A138="",60&gt;設定!$B$3,原始資料!BK138=""),"",IF(AND(原始資料!BJ138&lt;&gt;"",原始資料!BK138=原始資料!BJ138),N(BH138)+1,1))</f>
        <v/>
      </c>
    </row>
    <row r="139">
      <c r="A139" s="6">
        <f>IF(原始資料!$A139="","",原始資料!$A139)</f>
        <v/>
      </c>
      <c r="B139" s="6">
        <f>IF(OR(原始資料!$A139="",1&gt;設定!$B$3,原始資料!D139=""),"",1)</f>
        <v/>
      </c>
      <c r="C139" s="6">
        <f>IF(OR(原始資料!$A139="",2&gt;設定!$B$3,原始資料!E139=""),"",IF(AND(原始資料!D139&lt;&gt;"",原始資料!E139=原始資料!D139),N(B139)+1,1))</f>
        <v/>
      </c>
      <c r="D139" s="6">
        <f>IF(OR(原始資料!$A139="",3&gt;設定!$B$3,原始資料!F139=""),"",IF(AND(原始資料!E139&lt;&gt;"",原始資料!F139=原始資料!E139),N(C139)+1,1))</f>
        <v/>
      </c>
      <c r="E139" s="6">
        <f>IF(OR(原始資料!$A139="",4&gt;設定!$B$3,原始資料!G139=""),"",IF(AND(原始資料!F139&lt;&gt;"",原始資料!G139=原始資料!F139),N(D139)+1,1))</f>
        <v/>
      </c>
      <c r="F139" s="6">
        <f>IF(OR(原始資料!$A139="",5&gt;設定!$B$3,原始資料!H139=""),"",IF(AND(原始資料!G139&lt;&gt;"",原始資料!H139=原始資料!G139),N(E139)+1,1))</f>
        <v/>
      </c>
      <c r="G139" s="6">
        <f>IF(OR(原始資料!$A139="",6&gt;設定!$B$3,原始資料!I139=""),"",IF(AND(原始資料!H139&lt;&gt;"",原始資料!I139=原始資料!H139),N(F139)+1,1))</f>
        <v/>
      </c>
      <c r="H139" s="6">
        <f>IF(OR(原始資料!$A139="",7&gt;設定!$B$3,原始資料!J139=""),"",IF(AND(原始資料!I139&lt;&gt;"",原始資料!J139=原始資料!I139),N(G139)+1,1))</f>
        <v/>
      </c>
      <c r="I139" s="6">
        <f>IF(OR(原始資料!$A139="",8&gt;設定!$B$3,原始資料!K139=""),"",IF(AND(原始資料!J139&lt;&gt;"",原始資料!K139=原始資料!J139),N(H139)+1,1))</f>
        <v/>
      </c>
      <c r="J139" s="6">
        <f>IF(OR(原始資料!$A139="",9&gt;設定!$B$3,原始資料!L139=""),"",IF(AND(原始資料!K139&lt;&gt;"",原始資料!L139=原始資料!K139),N(I139)+1,1))</f>
        <v/>
      </c>
      <c r="K139" s="6">
        <f>IF(OR(原始資料!$A139="",10&gt;設定!$B$3,原始資料!M139=""),"",IF(AND(原始資料!L139&lt;&gt;"",原始資料!M139=原始資料!L139),N(J139)+1,1))</f>
        <v/>
      </c>
      <c r="L139" s="6">
        <f>IF(OR(原始資料!$A139="",11&gt;設定!$B$3,原始資料!N139=""),"",IF(AND(原始資料!M139&lt;&gt;"",原始資料!N139=原始資料!M139),N(K139)+1,1))</f>
        <v/>
      </c>
      <c r="M139" s="6">
        <f>IF(OR(原始資料!$A139="",12&gt;設定!$B$3,原始資料!O139=""),"",IF(AND(原始資料!N139&lt;&gt;"",原始資料!O139=原始資料!N139),N(L139)+1,1))</f>
        <v/>
      </c>
      <c r="N139" s="6">
        <f>IF(OR(原始資料!$A139="",13&gt;設定!$B$3,原始資料!P139=""),"",IF(AND(原始資料!O139&lt;&gt;"",原始資料!P139=原始資料!O139),N(M139)+1,1))</f>
        <v/>
      </c>
      <c r="O139" s="6">
        <f>IF(OR(原始資料!$A139="",14&gt;設定!$B$3,原始資料!Q139=""),"",IF(AND(原始資料!P139&lt;&gt;"",原始資料!Q139=原始資料!P139),N(N139)+1,1))</f>
        <v/>
      </c>
      <c r="P139" s="6">
        <f>IF(OR(原始資料!$A139="",15&gt;設定!$B$3,原始資料!R139=""),"",IF(AND(原始資料!Q139&lt;&gt;"",原始資料!R139=原始資料!Q139),N(O139)+1,1))</f>
        <v/>
      </c>
      <c r="Q139" s="6">
        <f>IF(OR(原始資料!$A139="",16&gt;設定!$B$3,原始資料!S139=""),"",IF(AND(原始資料!R139&lt;&gt;"",原始資料!S139=原始資料!R139),N(P139)+1,1))</f>
        <v/>
      </c>
      <c r="R139" s="6">
        <f>IF(OR(原始資料!$A139="",17&gt;設定!$B$3,原始資料!T139=""),"",IF(AND(原始資料!S139&lt;&gt;"",原始資料!T139=原始資料!S139),N(Q139)+1,1))</f>
        <v/>
      </c>
      <c r="S139" s="6">
        <f>IF(OR(原始資料!$A139="",18&gt;設定!$B$3,原始資料!U139=""),"",IF(AND(原始資料!T139&lt;&gt;"",原始資料!U139=原始資料!T139),N(R139)+1,1))</f>
        <v/>
      </c>
      <c r="T139" s="6">
        <f>IF(OR(原始資料!$A139="",19&gt;設定!$B$3,原始資料!V139=""),"",IF(AND(原始資料!U139&lt;&gt;"",原始資料!V139=原始資料!U139),N(S139)+1,1))</f>
        <v/>
      </c>
      <c r="U139" s="6">
        <f>IF(OR(原始資料!$A139="",20&gt;設定!$B$3,原始資料!W139=""),"",IF(AND(原始資料!V139&lt;&gt;"",原始資料!W139=原始資料!V139),N(T139)+1,1))</f>
        <v/>
      </c>
      <c r="V139" s="6">
        <f>IF(OR(原始資料!$A139="",21&gt;設定!$B$3,原始資料!X139=""),"",IF(AND(原始資料!W139&lt;&gt;"",原始資料!X139=原始資料!W139),N(U139)+1,1))</f>
        <v/>
      </c>
      <c r="W139" s="6">
        <f>IF(OR(原始資料!$A139="",22&gt;設定!$B$3,原始資料!Y139=""),"",IF(AND(原始資料!X139&lt;&gt;"",原始資料!Y139=原始資料!X139),N(V139)+1,1))</f>
        <v/>
      </c>
      <c r="X139" s="6">
        <f>IF(OR(原始資料!$A139="",23&gt;設定!$B$3,原始資料!Z139=""),"",IF(AND(原始資料!Y139&lt;&gt;"",原始資料!Z139=原始資料!Y139),N(W139)+1,1))</f>
        <v/>
      </c>
      <c r="Y139" s="6">
        <f>IF(OR(原始資料!$A139="",24&gt;設定!$B$3,原始資料!AA139=""),"",IF(AND(原始資料!Z139&lt;&gt;"",原始資料!AA139=原始資料!Z139),N(X139)+1,1))</f>
        <v/>
      </c>
      <c r="Z139" s="6">
        <f>IF(OR(原始資料!$A139="",25&gt;設定!$B$3,原始資料!AB139=""),"",IF(AND(原始資料!AA139&lt;&gt;"",原始資料!AB139=原始資料!AA139),N(Y139)+1,1))</f>
        <v/>
      </c>
      <c r="AA139" s="6">
        <f>IF(OR(原始資料!$A139="",26&gt;設定!$B$3,原始資料!AC139=""),"",IF(AND(原始資料!AB139&lt;&gt;"",原始資料!AC139=原始資料!AB139),N(Z139)+1,1))</f>
        <v/>
      </c>
      <c r="AB139" s="6">
        <f>IF(OR(原始資料!$A139="",27&gt;設定!$B$3,原始資料!AD139=""),"",IF(AND(原始資料!AC139&lt;&gt;"",原始資料!AD139=原始資料!AC139),N(AA139)+1,1))</f>
        <v/>
      </c>
      <c r="AC139" s="6">
        <f>IF(OR(原始資料!$A139="",28&gt;設定!$B$3,原始資料!AE139=""),"",IF(AND(原始資料!AD139&lt;&gt;"",原始資料!AE139=原始資料!AD139),N(AB139)+1,1))</f>
        <v/>
      </c>
      <c r="AD139" s="6">
        <f>IF(OR(原始資料!$A139="",29&gt;設定!$B$3,原始資料!AF139=""),"",IF(AND(原始資料!AE139&lt;&gt;"",原始資料!AF139=原始資料!AE139),N(AC139)+1,1))</f>
        <v/>
      </c>
      <c r="AE139" s="6">
        <f>IF(OR(原始資料!$A139="",30&gt;設定!$B$3,原始資料!AG139=""),"",IF(AND(原始資料!AF139&lt;&gt;"",原始資料!AG139=原始資料!AF139),N(AD139)+1,1))</f>
        <v/>
      </c>
      <c r="AF139" s="6">
        <f>IF(OR(原始資料!$A139="",31&gt;設定!$B$3,原始資料!AH139=""),"",IF(AND(原始資料!AG139&lt;&gt;"",原始資料!AH139=原始資料!AG139),N(AE139)+1,1))</f>
        <v/>
      </c>
      <c r="AG139" s="6">
        <f>IF(OR(原始資料!$A139="",32&gt;設定!$B$3,原始資料!AI139=""),"",IF(AND(原始資料!AH139&lt;&gt;"",原始資料!AI139=原始資料!AH139),N(AF139)+1,1))</f>
        <v/>
      </c>
      <c r="AH139" s="6">
        <f>IF(OR(原始資料!$A139="",33&gt;設定!$B$3,原始資料!AJ139=""),"",IF(AND(原始資料!AI139&lt;&gt;"",原始資料!AJ139=原始資料!AI139),N(AG139)+1,1))</f>
        <v/>
      </c>
      <c r="AI139" s="6">
        <f>IF(OR(原始資料!$A139="",34&gt;設定!$B$3,原始資料!AK139=""),"",IF(AND(原始資料!AJ139&lt;&gt;"",原始資料!AK139=原始資料!AJ139),N(AH139)+1,1))</f>
        <v/>
      </c>
      <c r="AJ139" s="6">
        <f>IF(OR(原始資料!$A139="",35&gt;設定!$B$3,原始資料!AL139=""),"",IF(AND(原始資料!AK139&lt;&gt;"",原始資料!AL139=原始資料!AK139),N(AI139)+1,1))</f>
        <v/>
      </c>
      <c r="AK139" s="6">
        <f>IF(OR(原始資料!$A139="",36&gt;設定!$B$3,原始資料!AM139=""),"",IF(AND(原始資料!AL139&lt;&gt;"",原始資料!AM139=原始資料!AL139),N(AJ139)+1,1))</f>
        <v/>
      </c>
      <c r="AL139" s="6">
        <f>IF(OR(原始資料!$A139="",37&gt;設定!$B$3,原始資料!AN139=""),"",IF(AND(原始資料!AM139&lt;&gt;"",原始資料!AN139=原始資料!AM139),N(AK139)+1,1))</f>
        <v/>
      </c>
      <c r="AM139" s="6">
        <f>IF(OR(原始資料!$A139="",38&gt;設定!$B$3,原始資料!AO139=""),"",IF(AND(原始資料!AN139&lt;&gt;"",原始資料!AO139=原始資料!AN139),N(AL139)+1,1))</f>
        <v/>
      </c>
      <c r="AN139" s="6">
        <f>IF(OR(原始資料!$A139="",39&gt;設定!$B$3,原始資料!AP139=""),"",IF(AND(原始資料!AO139&lt;&gt;"",原始資料!AP139=原始資料!AO139),N(AM139)+1,1))</f>
        <v/>
      </c>
      <c r="AO139" s="6">
        <f>IF(OR(原始資料!$A139="",40&gt;設定!$B$3,原始資料!AQ139=""),"",IF(AND(原始資料!AP139&lt;&gt;"",原始資料!AQ139=原始資料!AP139),N(AN139)+1,1))</f>
        <v/>
      </c>
      <c r="AP139" s="6">
        <f>IF(OR(原始資料!$A139="",41&gt;設定!$B$3,原始資料!AR139=""),"",IF(AND(原始資料!AQ139&lt;&gt;"",原始資料!AR139=原始資料!AQ139),N(AO139)+1,1))</f>
        <v/>
      </c>
      <c r="AQ139" s="6">
        <f>IF(OR(原始資料!$A139="",42&gt;設定!$B$3,原始資料!AS139=""),"",IF(AND(原始資料!AR139&lt;&gt;"",原始資料!AS139=原始資料!AR139),N(AP139)+1,1))</f>
        <v/>
      </c>
      <c r="AR139" s="6">
        <f>IF(OR(原始資料!$A139="",43&gt;設定!$B$3,原始資料!AT139=""),"",IF(AND(原始資料!AS139&lt;&gt;"",原始資料!AT139=原始資料!AS139),N(AQ139)+1,1))</f>
        <v/>
      </c>
      <c r="AS139" s="6">
        <f>IF(OR(原始資料!$A139="",44&gt;設定!$B$3,原始資料!AU139=""),"",IF(AND(原始資料!AT139&lt;&gt;"",原始資料!AU139=原始資料!AT139),N(AR139)+1,1))</f>
        <v/>
      </c>
      <c r="AT139" s="6">
        <f>IF(OR(原始資料!$A139="",45&gt;設定!$B$3,原始資料!AV139=""),"",IF(AND(原始資料!AU139&lt;&gt;"",原始資料!AV139=原始資料!AU139),N(AS139)+1,1))</f>
        <v/>
      </c>
      <c r="AU139" s="6">
        <f>IF(OR(原始資料!$A139="",46&gt;設定!$B$3,原始資料!AW139=""),"",IF(AND(原始資料!AV139&lt;&gt;"",原始資料!AW139=原始資料!AV139),N(AT139)+1,1))</f>
        <v/>
      </c>
      <c r="AV139" s="6">
        <f>IF(OR(原始資料!$A139="",47&gt;設定!$B$3,原始資料!AX139=""),"",IF(AND(原始資料!AW139&lt;&gt;"",原始資料!AX139=原始資料!AW139),N(AU139)+1,1))</f>
        <v/>
      </c>
      <c r="AW139" s="6">
        <f>IF(OR(原始資料!$A139="",48&gt;設定!$B$3,原始資料!AY139=""),"",IF(AND(原始資料!AX139&lt;&gt;"",原始資料!AY139=原始資料!AX139),N(AV139)+1,1))</f>
        <v/>
      </c>
      <c r="AX139" s="6">
        <f>IF(OR(原始資料!$A139="",49&gt;設定!$B$3,原始資料!AZ139=""),"",IF(AND(原始資料!AY139&lt;&gt;"",原始資料!AZ139=原始資料!AY139),N(AW139)+1,1))</f>
        <v/>
      </c>
      <c r="AY139" s="6">
        <f>IF(OR(原始資料!$A139="",50&gt;設定!$B$3,原始資料!BA139=""),"",IF(AND(原始資料!AZ139&lt;&gt;"",原始資料!BA139=原始資料!AZ139),N(AX139)+1,1))</f>
        <v/>
      </c>
      <c r="AZ139" s="6">
        <f>IF(OR(原始資料!$A139="",51&gt;設定!$B$3,原始資料!BB139=""),"",IF(AND(原始資料!BA139&lt;&gt;"",原始資料!BB139=原始資料!BA139),N(AY139)+1,1))</f>
        <v/>
      </c>
      <c r="BA139" s="6">
        <f>IF(OR(原始資料!$A139="",52&gt;設定!$B$3,原始資料!BC139=""),"",IF(AND(原始資料!BB139&lt;&gt;"",原始資料!BC139=原始資料!BB139),N(AZ139)+1,1))</f>
        <v/>
      </c>
      <c r="BB139" s="6">
        <f>IF(OR(原始資料!$A139="",53&gt;設定!$B$3,原始資料!BD139=""),"",IF(AND(原始資料!BC139&lt;&gt;"",原始資料!BD139=原始資料!BC139),N(BA139)+1,1))</f>
        <v/>
      </c>
      <c r="BC139" s="6">
        <f>IF(OR(原始資料!$A139="",54&gt;設定!$B$3,原始資料!BE139=""),"",IF(AND(原始資料!BD139&lt;&gt;"",原始資料!BE139=原始資料!BD139),N(BB139)+1,1))</f>
        <v/>
      </c>
      <c r="BD139" s="6">
        <f>IF(OR(原始資料!$A139="",55&gt;設定!$B$3,原始資料!BF139=""),"",IF(AND(原始資料!BE139&lt;&gt;"",原始資料!BF139=原始資料!BE139),N(BC139)+1,1))</f>
        <v/>
      </c>
      <c r="BE139" s="6">
        <f>IF(OR(原始資料!$A139="",56&gt;設定!$B$3,原始資料!BG139=""),"",IF(AND(原始資料!BF139&lt;&gt;"",原始資料!BG139=原始資料!BF139),N(BD139)+1,1))</f>
        <v/>
      </c>
      <c r="BF139" s="6">
        <f>IF(OR(原始資料!$A139="",57&gt;設定!$B$3,原始資料!BH139=""),"",IF(AND(原始資料!BG139&lt;&gt;"",原始資料!BH139=原始資料!BG139),N(BE139)+1,1))</f>
        <v/>
      </c>
      <c r="BG139" s="6">
        <f>IF(OR(原始資料!$A139="",58&gt;設定!$B$3,原始資料!BI139=""),"",IF(AND(原始資料!BH139&lt;&gt;"",原始資料!BI139=原始資料!BH139),N(BF139)+1,1))</f>
        <v/>
      </c>
      <c r="BH139" s="6">
        <f>IF(OR(原始資料!$A139="",59&gt;設定!$B$3,原始資料!BJ139=""),"",IF(AND(原始資料!BI139&lt;&gt;"",原始資料!BJ139=原始資料!BI139),N(BG139)+1,1))</f>
        <v/>
      </c>
      <c r="BI139" s="6">
        <f>IF(OR(原始資料!$A139="",60&gt;設定!$B$3,原始資料!BK139=""),"",IF(AND(原始資料!BJ139&lt;&gt;"",原始資料!BK139=原始資料!BJ139),N(BH139)+1,1))</f>
        <v/>
      </c>
    </row>
    <row r="140">
      <c r="A140" s="6">
        <f>IF(原始資料!$A140="","",原始資料!$A140)</f>
        <v/>
      </c>
      <c r="B140" s="6">
        <f>IF(OR(原始資料!$A140="",1&gt;設定!$B$3,原始資料!D140=""),"",1)</f>
        <v/>
      </c>
      <c r="C140" s="6">
        <f>IF(OR(原始資料!$A140="",2&gt;設定!$B$3,原始資料!E140=""),"",IF(AND(原始資料!D140&lt;&gt;"",原始資料!E140=原始資料!D140),N(B140)+1,1))</f>
        <v/>
      </c>
      <c r="D140" s="6">
        <f>IF(OR(原始資料!$A140="",3&gt;設定!$B$3,原始資料!F140=""),"",IF(AND(原始資料!E140&lt;&gt;"",原始資料!F140=原始資料!E140),N(C140)+1,1))</f>
        <v/>
      </c>
      <c r="E140" s="6">
        <f>IF(OR(原始資料!$A140="",4&gt;設定!$B$3,原始資料!G140=""),"",IF(AND(原始資料!F140&lt;&gt;"",原始資料!G140=原始資料!F140),N(D140)+1,1))</f>
        <v/>
      </c>
      <c r="F140" s="6">
        <f>IF(OR(原始資料!$A140="",5&gt;設定!$B$3,原始資料!H140=""),"",IF(AND(原始資料!G140&lt;&gt;"",原始資料!H140=原始資料!G140),N(E140)+1,1))</f>
        <v/>
      </c>
      <c r="G140" s="6">
        <f>IF(OR(原始資料!$A140="",6&gt;設定!$B$3,原始資料!I140=""),"",IF(AND(原始資料!H140&lt;&gt;"",原始資料!I140=原始資料!H140),N(F140)+1,1))</f>
        <v/>
      </c>
      <c r="H140" s="6">
        <f>IF(OR(原始資料!$A140="",7&gt;設定!$B$3,原始資料!J140=""),"",IF(AND(原始資料!I140&lt;&gt;"",原始資料!J140=原始資料!I140),N(G140)+1,1))</f>
        <v/>
      </c>
      <c r="I140" s="6">
        <f>IF(OR(原始資料!$A140="",8&gt;設定!$B$3,原始資料!K140=""),"",IF(AND(原始資料!J140&lt;&gt;"",原始資料!K140=原始資料!J140),N(H140)+1,1))</f>
        <v/>
      </c>
      <c r="J140" s="6">
        <f>IF(OR(原始資料!$A140="",9&gt;設定!$B$3,原始資料!L140=""),"",IF(AND(原始資料!K140&lt;&gt;"",原始資料!L140=原始資料!K140),N(I140)+1,1))</f>
        <v/>
      </c>
      <c r="K140" s="6">
        <f>IF(OR(原始資料!$A140="",10&gt;設定!$B$3,原始資料!M140=""),"",IF(AND(原始資料!L140&lt;&gt;"",原始資料!M140=原始資料!L140),N(J140)+1,1))</f>
        <v/>
      </c>
      <c r="L140" s="6">
        <f>IF(OR(原始資料!$A140="",11&gt;設定!$B$3,原始資料!N140=""),"",IF(AND(原始資料!M140&lt;&gt;"",原始資料!N140=原始資料!M140),N(K140)+1,1))</f>
        <v/>
      </c>
      <c r="M140" s="6">
        <f>IF(OR(原始資料!$A140="",12&gt;設定!$B$3,原始資料!O140=""),"",IF(AND(原始資料!N140&lt;&gt;"",原始資料!O140=原始資料!N140),N(L140)+1,1))</f>
        <v/>
      </c>
      <c r="N140" s="6">
        <f>IF(OR(原始資料!$A140="",13&gt;設定!$B$3,原始資料!P140=""),"",IF(AND(原始資料!O140&lt;&gt;"",原始資料!P140=原始資料!O140),N(M140)+1,1))</f>
        <v/>
      </c>
      <c r="O140" s="6">
        <f>IF(OR(原始資料!$A140="",14&gt;設定!$B$3,原始資料!Q140=""),"",IF(AND(原始資料!P140&lt;&gt;"",原始資料!Q140=原始資料!P140),N(N140)+1,1))</f>
        <v/>
      </c>
      <c r="P140" s="6">
        <f>IF(OR(原始資料!$A140="",15&gt;設定!$B$3,原始資料!R140=""),"",IF(AND(原始資料!Q140&lt;&gt;"",原始資料!R140=原始資料!Q140),N(O140)+1,1))</f>
        <v/>
      </c>
      <c r="Q140" s="6">
        <f>IF(OR(原始資料!$A140="",16&gt;設定!$B$3,原始資料!S140=""),"",IF(AND(原始資料!R140&lt;&gt;"",原始資料!S140=原始資料!R140),N(P140)+1,1))</f>
        <v/>
      </c>
      <c r="R140" s="6">
        <f>IF(OR(原始資料!$A140="",17&gt;設定!$B$3,原始資料!T140=""),"",IF(AND(原始資料!S140&lt;&gt;"",原始資料!T140=原始資料!S140),N(Q140)+1,1))</f>
        <v/>
      </c>
      <c r="S140" s="6">
        <f>IF(OR(原始資料!$A140="",18&gt;設定!$B$3,原始資料!U140=""),"",IF(AND(原始資料!T140&lt;&gt;"",原始資料!U140=原始資料!T140),N(R140)+1,1))</f>
        <v/>
      </c>
      <c r="T140" s="6">
        <f>IF(OR(原始資料!$A140="",19&gt;設定!$B$3,原始資料!V140=""),"",IF(AND(原始資料!U140&lt;&gt;"",原始資料!V140=原始資料!U140),N(S140)+1,1))</f>
        <v/>
      </c>
      <c r="U140" s="6">
        <f>IF(OR(原始資料!$A140="",20&gt;設定!$B$3,原始資料!W140=""),"",IF(AND(原始資料!V140&lt;&gt;"",原始資料!W140=原始資料!V140),N(T140)+1,1))</f>
        <v/>
      </c>
      <c r="V140" s="6">
        <f>IF(OR(原始資料!$A140="",21&gt;設定!$B$3,原始資料!X140=""),"",IF(AND(原始資料!W140&lt;&gt;"",原始資料!X140=原始資料!W140),N(U140)+1,1))</f>
        <v/>
      </c>
      <c r="W140" s="6">
        <f>IF(OR(原始資料!$A140="",22&gt;設定!$B$3,原始資料!Y140=""),"",IF(AND(原始資料!X140&lt;&gt;"",原始資料!Y140=原始資料!X140),N(V140)+1,1))</f>
        <v/>
      </c>
      <c r="X140" s="6">
        <f>IF(OR(原始資料!$A140="",23&gt;設定!$B$3,原始資料!Z140=""),"",IF(AND(原始資料!Y140&lt;&gt;"",原始資料!Z140=原始資料!Y140),N(W140)+1,1))</f>
        <v/>
      </c>
      <c r="Y140" s="6">
        <f>IF(OR(原始資料!$A140="",24&gt;設定!$B$3,原始資料!AA140=""),"",IF(AND(原始資料!Z140&lt;&gt;"",原始資料!AA140=原始資料!Z140),N(X140)+1,1))</f>
        <v/>
      </c>
      <c r="Z140" s="6">
        <f>IF(OR(原始資料!$A140="",25&gt;設定!$B$3,原始資料!AB140=""),"",IF(AND(原始資料!AA140&lt;&gt;"",原始資料!AB140=原始資料!AA140),N(Y140)+1,1))</f>
        <v/>
      </c>
      <c r="AA140" s="6">
        <f>IF(OR(原始資料!$A140="",26&gt;設定!$B$3,原始資料!AC140=""),"",IF(AND(原始資料!AB140&lt;&gt;"",原始資料!AC140=原始資料!AB140),N(Z140)+1,1))</f>
        <v/>
      </c>
      <c r="AB140" s="6">
        <f>IF(OR(原始資料!$A140="",27&gt;設定!$B$3,原始資料!AD140=""),"",IF(AND(原始資料!AC140&lt;&gt;"",原始資料!AD140=原始資料!AC140),N(AA140)+1,1))</f>
        <v/>
      </c>
      <c r="AC140" s="6">
        <f>IF(OR(原始資料!$A140="",28&gt;設定!$B$3,原始資料!AE140=""),"",IF(AND(原始資料!AD140&lt;&gt;"",原始資料!AE140=原始資料!AD140),N(AB140)+1,1))</f>
        <v/>
      </c>
      <c r="AD140" s="6">
        <f>IF(OR(原始資料!$A140="",29&gt;設定!$B$3,原始資料!AF140=""),"",IF(AND(原始資料!AE140&lt;&gt;"",原始資料!AF140=原始資料!AE140),N(AC140)+1,1))</f>
        <v/>
      </c>
      <c r="AE140" s="6">
        <f>IF(OR(原始資料!$A140="",30&gt;設定!$B$3,原始資料!AG140=""),"",IF(AND(原始資料!AF140&lt;&gt;"",原始資料!AG140=原始資料!AF140),N(AD140)+1,1))</f>
        <v/>
      </c>
      <c r="AF140" s="6">
        <f>IF(OR(原始資料!$A140="",31&gt;設定!$B$3,原始資料!AH140=""),"",IF(AND(原始資料!AG140&lt;&gt;"",原始資料!AH140=原始資料!AG140),N(AE140)+1,1))</f>
        <v/>
      </c>
      <c r="AG140" s="6">
        <f>IF(OR(原始資料!$A140="",32&gt;設定!$B$3,原始資料!AI140=""),"",IF(AND(原始資料!AH140&lt;&gt;"",原始資料!AI140=原始資料!AH140),N(AF140)+1,1))</f>
        <v/>
      </c>
      <c r="AH140" s="6">
        <f>IF(OR(原始資料!$A140="",33&gt;設定!$B$3,原始資料!AJ140=""),"",IF(AND(原始資料!AI140&lt;&gt;"",原始資料!AJ140=原始資料!AI140),N(AG140)+1,1))</f>
        <v/>
      </c>
      <c r="AI140" s="6">
        <f>IF(OR(原始資料!$A140="",34&gt;設定!$B$3,原始資料!AK140=""),"",IF(AND(原始資料!AJ140&lt;&gt;"",原始資料!AK140=原始資料!AJ140),N(AH140)+1,1))</f>
        <v/>
      </c>
      <c r="AJ140" s="6">
        <f>IF(OR(原始資料!$A140="",35&gt;設定!$B$3,原始資料!AL140=""),"",IF(AND(原始資料!AK140&lt;&gt;"",原始資料!AL140=原始資料!AK140),N(AI140)+1,1))</f>
        <v/>
      </c>
      <c r="AK140" s="6">
        <f>IF(OR(原始資料!$A140="",36&gt;設定!$B$3,原始資料!AM140=""),"",IF(AND(原始資料!AL140&lt;&gt;"",原始資料!AM140=原始資料!AL140),N(AJ140)+1,1))</f>
        <v/>
      </c>
      <c r="AL140" s="6">
        <f>IF(OR(原始資料!$A140="",37&gt;設定!$B$3,原始資料!AN140=""),"",IF(AND(原始資料!AM140&lt;&gt;"",原始資料!AN140=原始資料!AM140),N(AK140)+1,1))</f>
        <v/>
      </c>
      <c r="AM140" s="6">
        <f>IF(OR(原始資料!$A140="",38&gt;設定!$B$3,原始資料!AO140=""),"",IF(AND(原始資料!AN140&lt;&gt;"",原始資料!AO140=原始資料!AN140),N(AL140)+1,1))</f>
        <v/>
      </c>
      <c r="AN140" s="6">
        <f>IF(OR(原始資料!$A140="",39&gt;設定!$B$3,原始資料!AP140=""),"",IF(AND(原始資料!AO140&lt;&gt;"",原始資料!AP140=原始資料!AO140),N(AM140)+1,1))</f>
        <v/>
      </c>
      <c r="AO140" s="6">
        <f>IF(OR(原始資料!$A140="",40&gt;設定!$B$3,原始資料!AQ140=""),"",IF(AND(原始資料!AP140&lt;&gt;"",原始資料!AQ140=原始資料!AP140),N(AN140)+1,1))</f>
        <v/>
      </c>
      <c r="AP140" s="6">
        <f>IF(OR(原始資料!$A140="",41&gt;設定!$B$3,原始資料!AR140=""),"",IF(AND(原始資料!AQ140&lt;&gt;"",原始資料!AR140=原始資料!AQ140),N(AO140)+1,1))</f>
        <v/>
      </c>
      <c r="AQ140" s="6">
        <f>IF(OR(原始資料!$A140="",42&gt;設定!$B$3,原始資料!AS140=""),"",IF(AND(原始資料!AR140&lt;&gt;"",原始資料!AS140=原始資料!AR140),N(AP140)+1,1))</f>
        <v/>
      </c>
      <c r="AR140" s="6">
        <f>IF(OR(原始資料!$A140="",43&gt;設定!$B$3,原始資料!AT140=""),"",IF(AND(原始資料!AS140&lt;&gt;"",原始資料!AT140=原始資料!AS140),N(AQ140)+1,1))</f>
        <v/>
      </c>
      <c r="AS140" s="6">
        <f>IF(OR(原始資料!$A140="",44&gt;設定!$B$3,原始資料!AU140=""),"",IF(AND(原始資料!AT140&lt;&gt;"",原始資料!AU140=原始資料!AT140),N(AR140)+1,1))</f>
        <v/>
      </c>
      <c r="AT140" s="6">
        <f>IF(OR(原始資料!$A140="",45&gt;設定!$B$3,原始資料!AV140=""),"",IF(AND(原始資料!AU140&lt;&gt;"",原始資料!AV140=原始資料!AU140),N(AS140)+1,1))</f>
        <v/>
      </c>
      <c r="AU140" s="6">
        <f>IF(OR(原始資料!$A140="",46&gt;設定!$B$3,原始資料!AW140=""),"",IF(AND(原始資料!AV140&lt;&gt;"",原始資料!AW140=原始資料!AV140),N(AT140)+1,1))</f>
        <v/>
      </c>
      <c r="AV140" s="6">
        <f>IF(OR(原始資料!$A140="",47&gt;設定!$B$3,原始資料!AX140=""),"",IF(AND(原始資料!AW140&lt;&gt;"",原始資料!AX140=原始資料!AW140),N(AU140)+1,1))</f>
        <v/>
      </c>
      <c r="AW140" s="6">
        <f>IF(OR(原始資料!$A140="",48&gt;設定!$B$3,原始資料!AY140=""),"",IF(AND(原始資料!AX140&lt;&gt;"",原始資料!AY140=原始資料!AX140),N(AV140)+1,1))</f>
        <v/>
      </c>
      <c r="AX140" s="6">
        <f>IF(OR(原始資料!$A140="",49&gt;設定!$B$3,原始資料!AZ140=""),"",IF(AND(原始資料!AY140&lt;&gt;"",原始資料!AZ140=原始資料!AY140),N(AW140)+1,1))</f>
        <v/>
      </c>
      <c r="AY140" s="6">
        <f>IF(OR(原始資料!$A140="",50&gt;設定!$B$3,原始資料!BA140=""),"",IF(AND(原始資料!AZ140&lt;&gt;"",原始資料!BA140=原始資料!AZ140),N(AX140)+1,1))</f>
        <v/>
      </c>
      <c r="AZ140" s="6">
        <f>IF(OR(原始資料!$A140="",51&gt;設定!$B$3,原始資料!BB140=""),"",IF(AND(原始資料!BA140&lt;&gt;"",原始資料!BB140=原始資料!BA140),N(AY140)+1,1))</f>
        <v/>
      </c>
      <c r="BA140" s="6">
        <f>IF(OR(原始資料!$A140="",52&gt;設定!$B$3,原始資料!BC140=""),"",IF(AND(原始資料!BB140&lt;&gt;"",原始資料!BC140=原始資料!BB140),N(AZ140)+1,1))</f>
        <v/>
      </c>
      <c r="BB140" s="6">
        <f>IF(OR(原始資料!$A140="",53&gt;設定!$B$3,原始資料!BD140=""),"",IF(AND(原始資料!BC140&lt;&gt;"",原始資料!BD140=原始資料!BC140),N(BA140)+1,1))</f>
        <v/>
      </c>
      <c r="BC140" s="6">
        <f>IF(OR(原始資料!$A140="",54&gt;設定!$B$3,原始資料!BE140=""),"",IF(AND(原始資料!BD140&lt;&gt;"",原始資料!BE140=原始資料!BD140),N(BB140)+1,1))</f>
        <v/>
      </c>
      <c r="BD140" s="6">
        <f>IF(OR(原始資料!$A140="",55&gt;設定!$B$3,原始資料!BF140=""),"",IF(AND(原始資料!BE140&lt;&gt;"",原始資料!BF140=原始資料!BE140),N(BC140)+1,1))</f>
        <v/>
      </c>
      <c r="BE140" s="6">
        <f>IF(OR(原始資料!$A140="",56&gt;設定!$B$3,原始資料!BG140=""),"",IF(AND(原始資料!BF140&lt;&gt;"",原始資料!BG140=原始資料!BF140),N(BD140)+1,1))</f>
        <v/>
      </c>
      <c r="BF140" s="6">
        <f>IF(OR(原始資料!$A140="",57&gt;設定!$B$3,原始資料!BH140=""),"",IF(AND(原始資料!BG140&lt;&gt;"",原始資料!BH140=原始資料!BG140),N(BE140)+1,1))</f>
        <v/>
      </c>
      <c r="BG140" s="6">
        <f>IF(OR(原始資料!$A140="",58&gt;設定!$B$3,原始資料!BI140=""),"",IF(AND(原始資料!BH140&lt;&gt;"",原始資料!BI140=原始資料!BH140),N(BF140)+1,1))</f>
        <v/>
      </c>
      <c r="BH140" s="6">
        <f>IF(OR(原始資料!$A140="",59&gt;設定!$B$3,原始資料!BJ140=""),"",IF(AND(原始資料!BI140&lt;&gt;"",原始資料!BJ140=原始資料!BI140),N(BG140)+1,1))</f>
        <v/>
      </c>
      <c r="BI140" s="6">
        <f>IF(OR(原始資料!$A140="",60&gt;設定!$B$3,原始資料!BK140=""),"",IF(AND(原始資料!BJ140&lt;&gt;"",原始資料!BK140=原始資料!BJ140),N(BH140)+1,1))</f>
        <v/>
      </c>
    </row>
    <row r="141">
      <c r="A141" s="6">
        <f>IF(原始資料!$A141="","",原始資料!$A141)</f>
        <v/>
      </c>
      <c r="B141" s="6">
        <f>IF(OR(原始資料!$A141="",1&gt;設定!$B$3,原始資料!D141=""),"",1)</f>
        <v/>
      </c>
      <c r="C141" s="6">
        <f>IF(OR(原始資料!$A141="",2&gt;設定!$B$3,原始資料!E141=""),"",IF(AND(原始資料!D141&lt;&gt;"",原始資料!E141=原始資料!D141),N(B141)+1,1))</f>
        <v/>
      </c>
      <c r="D141" s="6">
        <f>IF(OR(原始資料!$A141="",3&gt;設定!$B$3,原始資料!F141=""),"",IF(AND(原始資料!E141&lt;&gt;"",原始資料!F141=原始資料!E141),N(C141)+1,1))</f>
        <v/>
      </c>
      <c r="E141" s="6">
        <f>IF(OR(原始資料!$A141="",4&gt;設定!$B$3,原始資料!G141=""),"",IF(AND(原始資料!F141&lt;&gt;"",原始資料!G141=原始資料!F141),N(D141)+1,1))</f>
        <v/>
      </c>
      <c r="F141" s="6">
        <f>IF(OR(原始資料!$A141="",5&gt;設定!$B$3,原始資料!H141=""),"",IF(AND(原始資料!G141&lt;&gt;"",原始資料!H141=原始資料!G141),N(E141)+1,1))</f>
        <v/>
      </c>
      <c r="G141" s="6">
        <f>IF(OR(原始資料!$A141="",6&gt;設定!$B$3,原始資料!I141=""),"",IF(AND(原始資料!H141&lt;&gt;"",原始資料!I141=原始資料!H141),N(F141)+1,1))</f>
        <v/>
      </c>
      <c r="H141" s="6">
        <f>IF(OR(原始資料!$A141="",7&gt;設定!$B$3,原始資料!J141=""),"",IF(AND(原始資料!I141&lt;&gt;"",原始資料!J141=原始資料!I141),N(G141)+1,1))</f>
        <v/>
      </c>
      <c r="I141" s="6">
        <f>IF(OR(原始資料!$A141="",8&gt;設定!$B$3,原始資料!K141=""),"",IF(AND(原始資料!J141&lt;&gt;"",原始資料!K141=原始資料!J141),N(H141)+1,1))</f>
        <v/>
      </c>
      <c r="J141" s="6">
        <f>IF(OR(原始資料!$A141="",9&gt;設定!$B$3,原始資料!L141=""),"",IF(AND(原始資料!K141&lt;&gt;"",原始資料!L141=原始資料!K141),N(I141)+1,1))</f>
        <v/>
      </c>
      <c r="K141" s="6">
        <f>IF(OR(原始資料!$A141="",10&gt;設定!$B$3,原始資料!M141=""),"",IF(AND(原始資料!L141&lt;&gt;"",原始資料!M141=原始資料!L141),N(J141)+1,1))</f>
        <v/>
      </c>
      <c r="L141" s="6">
        <f>IF(OR(原始資料!$A141="",11&gt;設定!$B$3,原始資料!N141=""),"",IF(AND(原始資料!M141&lt;&gt;"",原始資料!N141=原始資料!M141),N(K141)+1,1))</f>
        <v/>
      </c>
      <c r="M141" s="6">
        <f>IF(OR(原始資料!$A141="",12&gt;設定!$B$3,原始資料!O141=""),"",IF(AND(原始資料!N141&lt;&gt;"",原始資料!O141=原始資料!N141),N(L141)+1,1))</f>
        <v/>
      </c>
      <c r="N141" s="6">
        <f>IF(OR(原始資料!$A141="",13&gt;設定!$B$3,原始資料!P141=""),"",IF(AND(原始資料!O141&lt;&gt;"",原始資料!P141=原始資料!O141),N(M141)+1,1))</f>
        <v/>
      </c>
      <c r="O141" s="6">
        <f>IF(OR(原始資料!$A141="",14&gt;設定!$B$3,原始資料!Q141=""),"",IF(AND(原始資料!P141&lt;&gt;"",原始資料!Q141=原始資料!P141),N(N141)+1,1))</f>
        <v/>
      </c>
      <c r="P141" s="6">
        <f>IF(OR(原始資料!$A141="",15&gt;設定!$B$3,原始資料!R141=""),"",IF(AND(原始資料!Q141&lt;&gt;"",原始資料!R141=原始資料!Q141),N(O141)+1,1))</f>
        <v/>
      </c>
      <c r="Q141" s="6">
        <f>IF(OR(原始資料!$A141="",16&gt;設定!$B$3,原始資料!S141=""),"",IF(AND(原始資料!R141&lt;&gt;"",原始資料!S141=原始資料!R141),N(P141)+1,1))</f>
        <v/>
      </c>
      <c r="R141" s="6">
        <f>IF(OR(原始資料!$A141="",17&gt;設定!$B$3,原始資料!T141=""),"",IF(AND(原始資料!S141&lt;&gt;"",原始資料!T141=原始資料!S141),N(Q141)+1,1))</f>
        <v/>
      </c>
      <c r="S141" s="6">
        <f>IF(OR(原始資料!$A141="",18&gt;設定!$B$3,原始資料!U141=""),"",IF(AND(原始資料!T141&lt;&gt;"",原始資料!U141=原始資料!T141),N(R141)+1,1))</f>
        <v/>
      </c>
      <c r="T141" s="6">
        <f>IF(OR(原始資料!$A141="",19&gt;設定!$B$3,原始資料!V141=""),"",IF(AND(原始資料!U141&lt;&gt;"",原始資料!V141=原始資料!U141),N(S141)+1,1))</f>
        <v/>
      </c>
      <c r="U141" s="6">
        <f>IF(OR(原始資料!$A141="",20&gt;設定!$B$3,原始資料!W141=""),"",IF(AND(原始資料!V141&lt;&gt;"",原始資料!W141=原始資料!V141),N(T141)+1,1))</f>
        <v/>
      </c>
      <c r="V141" s="6">
        <f>IF(OR(原始資料!$A141="",21&gt;設定!$B$3,原始資料!X141=""),"",IF(AND(原始資料!W141&lt;&gt;"",原始資料!X141=原始資料!W141),N(U141)+1,1))</f>
        <v/>
      </c>
      <c r="W141" s="6">
        <f>IF(OR(原始資料!$A141="",22&gt;設定!$B$3,原始資料!Y141=""),"",IF(AND(原始資料!X141&lt;&gt;"",原始資料!Y141=原始資料!X141),N(V141)+1,1))</f>
        <v/>
      </c>
      <c r="X141" s="6">
        <f>IF(OR(原始資料!$A141="",23&gt;設定!$B$3,原始資料!Z141=""),"",IF(AND(原始資料!Y141&lt;&gt;"",原始資料!Z141=原始資料!Y141),N(W141)+1,1))</f>
        <v/>
      </c>
      <c r="Y141" s="6">
        <f>IF(OR(原始資料!$A141="",24&gt;設定!$B$3,原始資料!AA141=""),"",IF(AND(原始資料!Z141&lt;&gt;"",原始資料!AA141=原始資料!Z141),N(X141)+1,1))</f>
        <v/>
      </c>
      <c r="Z141" s="6">
        <f>IF(OR(原始資料!$A141="",25&gt;設定!$B$3,原始資料!AB141=""),"",IF(AND(原始資料!AA141&lt;&gt;"",原始資料!AB141=原始資料!AA141),N(Y141)+1,1))</f>
        <v/>
      </c>
      <c r="AA141" s="6">
        <f>IF(OR(原始資料!$A141="",26&gt;設定!$B$3,原始資料!AC141=""),"",IF(AND(原始資料!AB141&lt;&gt;"",原始資料!AC141=原始資料!AB141),N(Z141)+1,1))</f>
        <v/>
      </c>
      <c r="AB141" s="6">
        <f>IF(OR(原始資料!$A141="",27&gt;設定!$B$3,原始資料!AD141=""),"",IF(AND(原始資料!AC141&lt;&gt;"",原始資料!AD141=原始資料!AC141),N(AA141)+1,1))</f>
        <v/>
      </c>
      <c r="AC141" s="6">
        <f>IF(OR(原始資料!$A141="",28&gt;設定!$B$3,原始資料!AE141=""),"",IF(AND(原始資料!AD141&lt;&gt;"",原始資料!AE141=原始資料!AD141),N(AB141)+1,1))</f>
        <v/>
      </c>
      <c r="AD141" s="6">
        <f>IF(OR(原始資料!$A141="",29&gt;設定!$B$3,原始資料!AF141=""),"",IF(AND(原始資料!AE141&lt;&gt;"",原始資料!AF141=原始資料!AE141),N(AC141)+1,1))</f>
        <v/>
      </c>
      <c r="AE141" s="6">
        <f>IF(OR(原始資料!$A141="",30&gt;設定!$B$3,原始資料!AG141=""),"",IF(AND(原始資料!AF141&lt;&gt;"",原始資料!AG141=原始資料!AF141),N(AD141)+1,1))</f>
        <v/>
      </c>
      <c r="AF141" s="6">
        <f>IF(OR(原始資料!$A141="",31&gt;設定!$B$3,原始資料!AH141=""),"",IF(AND(原始資料!AG141&lt;&gt;"",原始資料!AH141=原始資料!AG141),N(AE141)+1,1))</f>
        <v/>
      </c>
      <c r="AG141" s="6">
        <f>IF(OR(原始資料!$A141="",32&gt;設定!$B$3,原始資料!AI141=""),"",IF(AND(原始資料!AH141&lt;&gt;"",原始資料!AI141=原始資料!AH141),N(AF141)+1,1))</f>
        <v/>
      </c>
      <c r="AH141" s="6">
        <f>IF(OR(原始資料!$A141="",33&gt;設定!$B$3,原始資料!AJ141=""),"",IF(AND(原始資料!AI141&lt;&gt;"",原始資料!AJ141=原始資料!AI141),N(AG141)+1,1))</f>
        <v/>
      </c>
      <c r="AI141" s="6">
        <f>IF(OR(原始資料!$A141="",34&gt;設定!$B$3,原始資料!AK141=""),"",IF(AND(原始資料!AJ141&lt;&gt;"",原始資料!AK141=原始資料!AJ141),N(AH141)+1,1))</f>
        <v/>
      </c>
      <c r="AJ141" s="6">
        <f>IF(OR(原始資料!$A141="",35&gt;設定!$B$3,原始資料!AL141=""),"",IF(AND(原始資料!AK141&lt;&gt;"",原始資料!AL141=原始資料!AK141),N(AI141)+1,1))</f>
        <v/>
      </c>
      <c r="AK141" s="6">
        <f>IF(OR(原始資料!$A141="",36&gt;設定!$B$3,原始資料!AM141=""),"",IF(AND(原始資料!AL141&lt;&gt;"",原始資料!AM141=原始資料!AL141),N(AJ141)+1,1))</f>
        <v/>
      </c>
      <c r="AL141" s="6">
        <f>IF(OR(原始資料!$A141="",37&gt;設定!$B$3,原始資料!AN141=""),"",IF(AND(原始資料!AM141&lt;&gt;"",原始資料!AN141=原始資料!AM141),N(AK141)+1,1))</f>
        <v/>
      </c>
      <c r="AM141" s="6">
        <f>IF(OR(原始資料!$A141="",38&gt;設定!$B$3,原始資料!AO141=""),"",IF(AND(原始資料!AN141&lt;&gt;"",原始資料!AO141=原始資料!AN141),N(AL141)+1,1))</f>
        <v/>
      </c>
      <c r="AN141" s="6">
        <f>IF(OR(原始資料!$A141="",39&gt;設定!$B$3,原始資料!AP141=""),"",IF(AND(原始資料!AO141&lt;&gt;"",原始資料!AP141=原始資料!AO141),N(AM141)+1,1))</f>
        <v/>
      </c>
      <c r="AO141" s="6">
        <f>IF(OR(原始資料!$A141="",40&gt;設定!$B$3,原始資料!AQ141=""),"",IF(AND(原始資料!AP141&lt;&gt;"",原始資料!AQ141=原始資料!AP141),N(AN141)+1,1))</f>
        <v/>
      </c>
      <c r="AP141" s="6">
        <f>IF(OR(原始資料!$A141="",41&gt;設定!$B$3,原始資料!AR141=""),"",IF(AND(原始資料!AQ141&lt;&gt;"",原始資料!AR141=原始資料!AQ141),N(AO141)+1,1))</f>
        <v/>
      </c>
      <c r="AQ141" s="6">
        <f>IF(OR(原始資料!$A141="",42&gt;設定!$B$3,原始資料!AS141=""),"",IF(AND(原始資料!AR141&lt;&gt;"",原始資料!AS141=原始資料!AR141),N(AP141)+1,1))</f>
        <v/>
      </c>
      <c r="AR141" s="6">
        <f>IF(OR(原始資料!$A141="",43&gt;設定!$B$3,原始資料!AT141=""),"",IF(AND(原始資料!AS141&lt;&gt;"",原始資料!AT141=原始資料!AS141),N(AQ141)+1,1))</f>
        <v/>
      </c>
      <c r="AS141" s="6">
        <f>IF(OR(原始資料!$A141="",44&gt;設定!$B$3,原始資料!AU141=""),"",IF(AND(原始資料!AT141&lt;&gt;"",原始資料!AU141=原始資料!AT141),N(AR141)+1,1))</f>
        <v/>
      </c>
      <c r="AT141" s="6">
        <f>IF(OR(原始資料!$A141="",45&gt;設定!$B$3,原始資料!AV141=""),"",IF(AND(原始資料!AU141&lt;&gt;"",原始資料!AV141=原始資料!AU141),N(AS141)+1,1))</f>
        <v/>
      </c>
      <c r="AU141" s="6">
        <f>IF(OR(原始資料!$A141="",46&gt;設定!$B$3,原始資料!AW141=""),"",IF(AND(原始資料!AV141&lt;&gt;"",原始資料!AW141=原始資料!AV141),N(AT141)+1,1))</f>
        <v/>
      </c>
      <c r="AV141" s="6">
        <f>IF(OR(原始資料!$A141="",47&gt;設定!$B$3,原始資料!AX141=""),"",IF(AND(原始資料!AW141&lt;&gt;"",原始資料!AX141=原始資料!AW141),N(AU141)+1,1))</f>
        <v/>
      </c>
      <c r="AW141" s="6">
        <f>IF(OR(原始資料!$A141="",48&gt;設定!$B$3,原始資料!AY141=""),"",IF(AND(原始資料!AX141&lt;&gt;"",原始資料!AY141=原始資料!AX141),N(AV141)+1,1))</f>
        <v/>
      </c>
      <c r="AX141" s="6">
        <f>IF(OR(原始資料!$A141="",49&gt;設定!$B$3,原始資料!AZ141=""),"",IF(AND(原始資料!AY141&lt;&gt;"",原始資料!AZ141=原始資料!AY141),N(AW141)+1,1))</f>
        <v/>
      </c>
      <c r="AY141" s="6">
        <f>IF(OR(原始資料!$A141="",50&gt;設定!$B$3,原始資料!BA141=""),"",IF(AND(原始資料!AZ141&lt;&gt;"",原始資料!BA141=原始資料!AZ141),N(AX141)+1,1))</f>
        <v/>
      </c>
      <c r="AZ141" s="6">
        <f>IF(OR(原始資料!$A141="",51&gt;設定!$B$3,原始資料!BB141=""),"",IF(AND(原始資料!BA141&lt;&gt;"",原始資料!BB141=原始資料!BA141),N(AY141)+1,1))</f>
        <v/>
      </c>
      <c r="BA141" s="6">
        <f>IF(OR(原始資料!$A141="",52&gt;設定!$B$3,原始資料!BC141=""),"",IF(AND(原始資料!BB141&lt;&gt;"",原始資料!BC141=原始資料!BB141),N(AZ141)+1,1))</f>
        <v/>
      </c>
      <c r="BB141" s="6">
        <f>IF(OR(原始資料!$A141="",53&gt;設定!$B$3,原始資料!BD141=""),"",IF(AND(原始資料!BC141&lt;&gt;"",原始資料!BD141=原始資料!BC141),N(BA141)+1,1))</f>
        <v/>
      </c>
      <c r="BC141" s="6">
        <f>IF(OR(原始資料!$A141="",54&gt;設定!$B$3,原始資料!BE141=""),"",IF(AND(原始資料!BD141&lt;&gt;"",原始資料!BE141=原始資料!BD141),N(BB141)+1,1))</f>
        <v/>
      </c>
      <c r="BD141" s="6">
        <f>IF(OR(原始資料!$A141="",55&gt;設定!$B$3,原始資料!BF141=""),"",IF(AND(原始資料!BE141&lt;&gt;"",原始資料!BF141=原始資料!BE141),N(BC141)+1,1))</f>
        <v/>
      </c>
      <c r="BE141" s="6">
        <f>IF(OR(原始資料!$A141="",56&gt;設定!$B$3,原始資料!BG141=""),"",IF(AND(原始資料!BF141&lt;&gt;"",原始資料!BG141=原始資料!BF141),N(BD141)+1,1))</f>
        <v/>
      </c>
      <c r="BF141" s="6">
        <f>IF(OR(原始資料!$A141="",57&gt;設定!$B$3,原始資料!BH141=""),"",IF(AND(原始資料!BG141&lt;&gt;"",原始資料!BH141=原始資料!BG141),N(BE141)+1,1))</f>
        <v/>
      </c>
      <c r="BG141" s="6">
        <f>IF(OR(原始資料!$A141="",58&gt;設定!$B$3,原始資料!BI141=""),"",IF(AND(原始資料!BH141&lt;&gt;"",原始資料!BI141=原始資料!BH141),N(BF141)+1,1))</f>
        <v/>
      </c>
      <c r="BH141" s="6">
        <f>IF(OR(原始資料!$A141="",59&gt;設定!$B$3,原始資料!BJ141=""),"",IF(AND(原始資料!BI141&lt;&gt;"",原始資料!BJ141=原始資料!BI141),N(BG141)+1,1))</f>
        <v/>
      </c>
      <c r="BI141" s="6">
        <f>IF(OR(原始資料!$A141="",60&gt;設定!$B$3,原始資料!BK141=""),"",IF(AND(原始資料!BJ141&lt;&gt;"",原始資料!BK141=原始資料!BJ141),N(BH141)+1,1))</f>
        <v/>
      </c>
    </row>
    <row r="142">
      <c r="A142" s="6">
        <f>IF(原始資料!$A142="","",原始資料!$A142)</f>
        <v/>
      </c>
      <c r="B142" s="6">
        <f>IF(OR(原始資料!$A142="",1&gt;設定!$B$3,原始資料!D142=""),"",1)</f>
        <v/>
      </c>
      <c r="C142" s="6">
        <f>IF(OR(原始資料!$A142="",2&gt;設定!$B$3,原始資料!E142=""),"",IF(AND(原始資料!D142&lt;&gt;"",原始資料!E142=原始資料!D142),N(B142)+1,1))</f>
        <v/>
      </c>
      <c r="D142" s="6">
        <f>IF(OR(原始資料!$A142="",3&gt;設定!$B$3,原始資料!F142=""),"",IF(AND(原始資料!E142&lt;&gt;"",原始資料!F142=原始資料!E142),N(C142)+1,1))</f>
        <v/>
      </c>
      <c r="E142" s="6">
        <f>IF(OR(原始資料!$A142="",4&gt;設定!$B$3,原始資料!G142=""),"",IF(AND(原始資料!F142&lt;&gt;"",原始資料!G142=原始資料!F142),N(D142)+1,1))</f>
        <v/>
      </c>
      <c r="F142" s="6">
        <f>IF(OR(原始資料!$A142="",5&gt;設定!$B$3,原始資料!H142=""),"",IF(AND(原始資料!G142&lt;&gt;"",原始資料!H142=原始資料!G142),N(E142)+1,1))</f>
        <v/>
      </c>
      <c r="G142" s="6">
        <f>IF(OR(原始資料!$A142="",6&gt;設定!$B$3,原始資料!I142=""),"",IF(AND(原始資料!H142&lt;&gt;"",原始資料!I142=原始資料!H142),N(F142)+1,1))</f>
        <v/>
      </c>
      <c r="H142" s="6">
        <f>IF(OR(原始資料!$A142="",7&gt;設定!$B$3,原始資料!J142=""),"",IF(AND(原始資料!I142&lt;&gt;"",原始資料!J142=原始資料!I142),N(G142)+1,1))</f>
        <v/>
      </c>
      <c r="I142" s="6">
        <f>IF(OR(原始資料!$A142="",8&gt;設定!$B$3,原始資料!K142=""),"",IF(AND(原始資料!J142&lt;&gt;"",原始資料!K142=原始資料!J142),N(H142)+1,1))</f>
        <v/>
      </c>
      <c r="J142" s="6">
        <f>IF(OR(原始資料!$A142="",9&gt;設定!$B$3,原始資料!L142=""),"",IF(AND(原始資料!K142&lt;&gt;"",原始資料!L142=原始資料!K142),N(I142)+1,1))</f>
        <v/>
      </c>
      <c r="K142" s="6">
        <f>IF(OR(原始資料!$A142="",10&gt;設定!$B$3,原始資料!M142=""),"",IF(AND(原始資料!L142&lt;&gt;"",原始資料!M142=原始資料!L142),N(J142)+1,1))</f>
        <v/>
      </c>
      <c r="L142" s="6">
        <f>IF(OR(原始資料!$A142="",11&gt;設定!$B$3,原始資料!N142=""),"",IF(AND(原始資料!M142&lt;&gt;"",原始資料!N142=原始資料!M142),N(K142)+1,1))</f>
        <v/>
      </c>
      <c r="M142" s="6">
        <f>IF(OR(原始資料!$A142="",12&gt;設定!$B$3,原始資料!O142=""),"",IF(AND(原始資料!N142&lt;&gt;"",原始資料!O142=原始資料!N142),N(L142)+1,1))</f>
        <v/>
      </c>
      <c r="N142" s="6">
        <f>IF(OR(原始資料!$A142="",13&gt;設定!$B$3,原始資料!P142=""),"",IF(AND(原始資料!O142&lt;&gt;"",原始資料!P142=原始資料!O142),N(M142)+1,1))</f>
        <v/>
      </c>
      <c r="O142" s="6">
        <f>IF(OR(原始資料!$A142="",14&gt;設定!$B$3,原始資料!Q142=""),"",IF(AND(原始資料!P142&lt;&gt;"",原始資料!Q142=原始資料!P142),N(N142)+1,1))</f>
        <v/>
      </c>
      <c r="P142" s="6">
        <f>IF(OR(原始資料!$A142="",15&gt;設定!$B$3,原始資料!R142=""),"",IF(AND(原始資料!Q142&lt;&gt;"",原始資料!R142=原始資料!Q142),N(O142)+1,1))</f>
        <v/>
      </c>
      <c r="Q142" s="6">
        <f>IF(OR(原始資料!$A142="",16&gt;設定!$B$3,原始資料!S142=""),"",IF(AND(原始資料!R142&lt;&gt;"",原始資料!S142=原始資料!R142),N(P142)+1,1))</f>
        <v/>
      </c>
      <c r="R142" s="6">
        <f>IF(OR(原始資料!$A142="",17&gt;設定!$B$3,原始資料!T142=""),"",IF(AND(原始資料!S142&lt;&gt;"",原始資料!T142=原始資料!S142),N(Q142)+1,1))</f>
        <v/>
      </c>
      <c r="S142" s="6">
        <f>IF(OR(原始資料!$A142="",18&gt;設定!$B$3,原始資料!U142=""),"",IF(AND(原始資料!T142&lt;&gt;"",原始資料!U142=原始資料!T142),N(R142)+1,1))</f>
        <v/>
      </c>
      <c r="T142" s="6">
        <f>IF(OR(原始資料!$A142="",19&gt;設定!$B$3,原始資料!V142=""),"",IF(AND(原始資料!U142&lt;&gt;"",原始資料!V142=原始資料!U142),N(S142)+1,1))</f>
        <v/>
      </c>
      <c r="U142" s="6">
        <f>IF(OR(原始資料!$A142="",20&gt;設定!$B$3,原始資料!W142=""),"",IF(AND(原始資料!V142&lt;&gt;"",原始資料!W142=原始資料!V142),N(T142)+1,1))</f>
        <v/>
      </c>
      <c r="V142" s="6">
        <f>IF(OR(原始資料!$A142="",21&gt;設定!$B$3,原始資料!X142=""),"",IF(AND(原始資料!W142&lt;&gt;"",原始資料!X142=原始資料!W142),N(U142)+1,1))</f>
        <v/>
      </c>
      <c r="W142" s="6">
        <f>IF(OR(原始資料!$A142="",22&gt;設定!$B$3,原始資料!Y142=""),"",IF(AND(原始資料!X142&lt;&gt;"",原始資料!Y142=原始資料!X142),N(V142)+1,1))</f>
        <v/>
      </c>
      <c r="X142" s="6">
        <f>IF(OR(原始資料!$A142="",23&gt;設定!$B$3,原始資料!Z142=""),"",IF(AND(原始資料!Y142&lt;&gt;"",原始資料!Z142=原始資料!Y142),N(W142)+1,1))</f>
        <v/>
      </c>
      <c r="Y142" s="6">
        <f>IF(OR(原始資料!$A142="",24&gt;設定!$B$3,原始資料!AA142=""),"",IF(AND(原始資料!Z142&lt;&gt;"",原始資料!AA142=原始資料!Z142),N(X142)+1,1))</f>
        <v/>
      </c>
      <c r="Z142" s="6">
        <f>IF(OR(原始資料!$A142="",25&gt;設定!$B$3,原始資料!AB142=""),"",IF(AND(原始資料!AA142&lt;&gt;"",原始資料!AB142=原始資料!AA142),N(Y142)+1,1))</f>
        <v/>
      </c>
      <c r="AA142" s="6">
        <f>IF(OR(原始資料!$A142="",26&gt;設定!$B$3,原始資料!AC142=""),"",IF(AND(原始資料!AB142&lt;&gt;"",原始資料!AC142=原始資料!AB142),N(Z142)+1,1))</f>
        <v/>
      </c>
      <c r="AB142" s="6">
        <f>IF(OR(原始資料!$A142="",27&gt;設定!$B$3,原始資料!AD142=""),"",IF(AND(原始資料!AC142&lt;&gt;"",原始資料!AD142=原始資料!AC142),N(AA142)+1,1))</f>
        <v/>
      </c>
      <c r="AC142" s="6">
        <f>IF(OR(原始資料!$A142="",28&gt;設定!$B$3,原始資料!AE142=""),"",IF(AND(原始資料!AD142&lt;&gt;"",原始資料!AE142=原始資料!AD142),N(AB142)+1,1))</f>
        <v/>
      </c>
      <c r="AD142" s="6">
        <f>IF(OR(原始資料!$A142="",29&gt;設定!$B$3,原始資料!AF142=""),"",IF(AND(原始資料!AE142&lt;&gt;"",原始資料!AF142=原始資料!AE142),N(AC142)+1,1))</f>
        <v/>
      </c>
      <c r="AE142" s="6">
        <f>IF(OR(原始資料!$A142="",30&gt;設定!$B$3,原始資料!AG142=""),"",IF(AND(原始資料!AF142&lt;&gt;"",原始資料!AG142=原始資料!AF142),N(AD142)+1,1))</f>
        <v/>
      </c>
      <c r="AF142" s="6">
        <f>IF(OR(原始資料!$A142="",31&gt;設定!$B$3,原始資料!AH142=""),"",IF(AND(原始資料!AG142&lt;&gt;"",原始資料!AH142=原始資料!AG142),N(AE142)+1,1))</f>
        <v/>
      </c>
      <c r="AG142" s="6">
        <f>IF(OR(原始資料!$A142="",32&gt;設定!$B$3,原始資料!AI142=""),"",IF(AND(原始資料!AH142&lt;&gt;"",原始資料!AI142=原始資料!AH142),N(AF142)+1,1))</f>
        <v/>
      </c>
      <c r="AH142" s="6">
        <f>IF(OR(原始資料!$A142="",33&gt;設定!$B$3,原始資料!AJ142=""),"",IF(AND(原始資料!AI142&lt;&gt;"",原始資料!AJ142=原始資料!AI142),N(AG142)+1,1))</f>
        <v/>
      </c>
      <c r="AI142" s="6">
        <f>IF(OR(原始資料!$A142="",34&gt;設定!$B$3,原始資料!AK142=""),"",IF(AND(原始資料!AJ142&lt;&gt;"",原始資料!AK142=原始資料!AJ142),N(AH142)+1,1))</f>
        <v/>
      </c>
      <c r="AJ142" s="6">
        <f>IF(OR(原始資料!$A142="",35&gt;設定!$B$3,原始資料!AL142=""),"",IF(AND(原始資料!AK142&lt;&gt;"",原始資料!AL142=原始資料!AK142),N(AI142)+1,1))</f>
        <v/>
      </c>
      <c r="AK142" s="6">
        <f>IF(OR(原始資料!$A142="",36&gt;設定!$B$3,原始資料!AM142=""),"",IF(AND(原始資料!AL142&lt;&gt;"",原始資料!AM142=原始資料!AL142),N(AJ142)+1,1))</f>
        <v/>
      </c>
      <c r="AL142" s="6">
        <f>IF(OR(原始資料!$A142="",37&gt;設定!$B$3,原始資料!AN142=""),"",IF(AND(原始資料!AM142&lt;&gt;"",原始資料!AN142=原始資料!AM142),N(AK142)+1,1))</f>
        <v/>
      </c>
      <c r="AM142" s="6">
        <f>IF(OR(原始資料!$A142="",38&gt;設定!$B$3,原始資料!AO142=""),"",IF(AND(原始資料!AN142&lt;&gt;"",原始資料!AO142=原始資料!AN142),N(AL142)+1,1))</f>
        <v/>
      </c>
      <c r="AN142" s="6">
        <f>IF(OR(原始資料!$A142="",39&gt;設定!$B$3,原始資料!AP142=""),"",IF(AND(原始資料!AO142&lt;&gt;"",原始資料!AP142=原始資料!AO142),N(AM142)+1,1))</f>
        <v/>
      </c>
      <c r="AO142" s="6">
        <f>IF(OR(原始資料!$A142="",40&gt;設定!$B$3,原始資料!AQ142=""),"",IF(AND(原始資料!AP142&lt;&gt;"",原始資料!AQ142=原始資料!AP142),N(AN142)+1,1))</f>
        <v/>
      </c>
      <c r="AP142" s="6">
        <f>IF(OR(原始資料!$A142="",41&gt;設定!$B$3,原始資料!AR142=""),"",IF(AND(原始資料!AQ142&lt;&gt;"",原始資料!AR142=原始資料!AQ142),N(AO142)+1,1))</f>
        <v/>
      </c>
      <c r="AQ142" s="6">
        <f>IF(OR(原始資料!$A142="",42&gt;設定!$B$3,原始資料!AS142=""),"",IF(AND(原始資料!AR142&lt;&gt;"",原始資料!AS142=原始資料!AR142),N(AP142)+1,1))</f>
        <v/>
      </c>
      <c r="AR142" s="6">
        <f>IF(OR(原始資料!$A142="",43&gt;設定!$B$3,原始資料!AT142=""),"",IF(AND(原始資料!AS142&lt;&gt;"",原始資料!AT142=原始資料!AS142),N(AQ142)+1,1))</f>
        <v/>
      </c>
      <c r="AS142" s="6">
        <f>IF(OR(原始資料!$A142="",44&gt;設定!$B$3,原始資料!AU142=""),"",IF(AND(原始資料!AT142&lt;&gt;"",原始資料!AU142=原始資料!AT142),N(AR142)+1,1))</f>
        <v/>
      </c>
      <c r="AT142" s="6">
        <f>IF(OR(原始資料!$A142="",45&gt;設定!$B$3,原始資料!AV142=""),"",IF(AND(原始資料!AU142&lt;&gt;"",原始資料!AV142=原始資料!AU142),N(AS142)+1,1))</f>
        <v/>
      </c>
      <c r="AU142" s="6">
        <f>IF(OR(原始資料!$A142="",46&gt;設定!$B$3,原始資料!AW142=""),"",IF(AND(原始資料!AV142&lt;&gt;"",原始資料!AW142=原始資料!AV142),N(AT142)+1,1))</f>
        <v/>
      </c>
      <c r="AV142" s="6">
        <f>IF(OR(原始資料!$A142="",47&gt;設定!$B$3,原始資料!AX142=""),"",IF(AND(原始資料!AW142&lt;&gt;"",原始資料!AX142=原始資料!AW142),N(AU142)+1,1))</f>
        <v/>
      </c>
      <c r="AW142" s="6">
        <f>IF(OR(原始資料!$A142="",48&gt;設定!$B$3,原始資料!AY142=""),"",IF(AND(原始資料!AX142&lt;&gt;"",原始資料!AY142=原始資料!AX142),N(AV142)+1,1))</f>
        <v/>
      </c>
      <c r="AX142" s="6">
        <f>IF(OR(原始資料!$A142="",49&gt;設定!$B$3,原始資料!AZ142=""),"",IF(AND(原始資料!AY142&lt;&gt;"",原始資料!AZ142=原始資料!AY142),N(AW142)+1,1))</f>
        <v/>
      </c>
      <c r="AY142" s="6">
        <f>IF(OR(原始資料!$A142="",50&gt;設定!$B$3,原始資料!BA142=""),"",IF(AND(原始資料!AZ142&lt;&gt;"",原始資料!BA142=原始資料!AZ142),N(AX142)+1,1))</f>
        <v/>
      </c>
      <c r="AZ142" s="6">
        <f>IF(OR(原始資料!$A142="",51&gt;設定!$B$3,原始資料!BB142=""),"",IF(AND(原始資料!BA142&lt;&gt;"",原始資料!BB142=原始資料!BA142),N(AY142)+1,1))</f>
        <v/>
      </c>
      <c r="BA142" s="6">
        <f>IF(OR(原始資料!$A142="",52&gt;設定!$B$3,原始資料!BC142=""),"",IF(AND(原始資料!BB142&lt;&gt;"",原始資料!BC142=原始資料!BB142),N(AZ142)+1,1))</f>
        <v/>
      </c>
      <c r="BB142" s="6">
        <f>IF(OR(原始資料!$A142="",53&gt;設定!$B$3,原始資料!BD142=""),"",IF(AND(原始資料!BC142&lt;&gt;"",原始資料!BD142=原始資料!BC142),N(BA142)+1,1))</f>
        <v/>
      </c>
      <c r="BC142" s="6">
        <f>IF(OR(原始資料!$A142="",54&gt;設定!$B$3,原始資料!BE142=""),"",IF(AND(原始資料!BD142&lt;&gt;"",原始資料!BE142=原始資料!BD142),N(BB142)+1,1))</f>
        <v/>
      </c>
      <c r="BD142" s="6">
        <f>IF(OR(原始資料!$A142="",55&gt;設定!$B$3,原始資料!BF142=""),"",IF(AND(原始資料!BE142&lt;&gt;"",原始資料!BF142=原始資料!BE142),N(BC142)+1,1))</f>
        <v/>
      </c>
      <c r="BE142" s="6">
        <f>IF(OR(原始資料!$A142="",56&gt;設定!$B$3,原始資料!BG142=""),"",IF(AND(原始資料!BF142&lt;&gt;"",原始資料!BG142=原始資料!BF142),N(BD142)+1,1))</f>
        <v/>
      </c>
      <c r="BF142" s="6">
        <f>IF(OR(原始資料!$A142="",57&gt;設定!$B$3,原始資料!BH142=""),"",IF(AND(原始資料!BG142&lt;&gt;"",原始資料!BH142=原始資料!BG142),N(BE142)+1,1))</f>
        <v/>
      </c>
      <c r="BG142" s="6">
        <f>IF(OR(原始資料!$A142="",58&gt;設定!$B$3,原始資料!BI142=""),"",IF(AND(原始資料!BH142&lt;&gt;"",原始資料!BI142=原始資料!BH142),N(BF142)+1,1))</f>
        <v/>
      </c>
      <c r="BH142" s="6">
        <f>IF(OR(原始資料!$A142="",59&gt;設定!$B$3,原始資料!BJ142=""),"",IF(AND(原始資料!BI142&lt;&gt;"",原始資料!BJ142=原始資料!BI142),N(BG142)+1,1))</f>
        <v/>
      </c>
      <c r="BI142" s="6">
        <f>IF(OR(原始資料!$A142="",60&gt;設定!$B$3,原始資料!BK142=""),"",IF(AND(原始資料!BJ142&lt;&gt;"",原始資料!BK142=原始資料!BJ142),N(BH142)+1,1))</f>
        <v/>
      </c>
    </row>
    <row r="143">
      <c r="A143" s="6">
        <f>IF(原始資料!$A143="","",原始資料!$A143)</f>
        <v/>
      </c>
      <c r="B143" s="6">
        <f>IF(OR(原始資料!$A143="",1&gt;設定!$B$3,原始資料!D143=""),"",1)</f>
        <v/>
      </c>
      <c r="C143" s="6">
        <f>IF(OR(原始資料!$A143="",2&gt;設定!$B$3,原始資料!E143=""),"",IF(AND(原始資料!D143&lt;&gt;"",原始資料!E143=原始資料!D143),N(B143)+1,1))</f>
        <v/>
      </c>
      <c r="D143" s="6">
        <f>IF(OR(原始資料!$A143="",3&gt;設定!$B$3,原始資料!F143=""),"",IF(AND(原始資料!E143&lt;&gt;"",原始資料!F143=原始資料!E143),N(C143)+1,1))</f>
        <v/>
      </c>
      <c r="E143" s="6">
        <f>IF(OR(原始資料!$A143="",4&gt;設定!$B$3,原始資料!G143=""),"",IF(AND(原始資料!F143&lt;&gt;"",原始資料!G143=原始資料!F143),N(D143)+1,1))</f>
        <v/>
      </c>
      <c r="F143" s="6">
        <f>IF(OR(原始資料!$A143="",5&gt;設定!$B$3,原始資料!H143=""),"",IF(AND(原始資料!G143&lt;&gt;"",原始資料!H143=原始資料!G143),N(E143)+1,1))</f>
        <v/>
      </c>
      <c r="G143" s="6">
        <f>IF(OR(原始資料!$A143="",6&gt;設定!$B$3,原始資料!I143=""),"",IF(AND(原始資料!H143&lt;&gt;"",原始資料!I143=原始資料!H143),N(F143)+1,1))</f>
        <v/>
      </c>
      <c r="H143" s="6">
        <f>IF(OR(原始資料!$A143="",7&gt;設定!$B$3,原始資料!J143=""),"",IF(AND(原始資料!I143&lt;&gt;"",原始資料!J143=原始資料!I143),N(G143)+1,1))</f>
        <v/>
      </c>
      <c r="I143" s="6">
        <f>IF(OR(原始資料!$A143="",8&gt;設定!$B$3,原始資料!K143=""),"",IF(AND(原始資料!J143&lt;&gt;"",原始資料!K143=原始資料!J143),N(H143)+1,1))</f>
        <v/>
      </c>
      <c r="J143" s="6">
        <f>IF(OR(原始資料!$A143="",9&gt;設定!$B$3,原始資料!L143=""),"",IF(AND(原始資料!K143&lt;&gt;"",原始資料!L143=原始資料!K143),N(I143)+1,1))</f>
        <v/>
      </c>
      <c r="K143" s="6">
        <f>IF(OR(原始資料!$A143="",10&gt;設定!$B$3,原始資料!M143=""),"",IF(AND(原始資料!L143&lt;&gt;"",原始資料!M143=原始資料!L143),N(J143)+1,1))</f>
        <v/>
      </c>
      <c r="L143" s="6">
        <f>IF(OR(原始資料!$A143="",11&gt;設定!$B$3,原始資料!N143=""),"",IF(AND(原始資料!M143&lt;&gt;"",原始資料!N143=原始資料!M143),N(K143)+1,1))</f>
        <v/>
      </c>
      <c r="M143" s="6">
        <f>IF(OR(原始資料!$A143="",12&gt;設定!$B$3,原始資料!O143=""),"",IF(AND(原始資料!N143&lt;&gt;"",原始資料!O143=原始資料!N143),N(L143)+1,1))</f>
        <v/>
      </c>
      <c r="N143" s="6">
        <f>IF(OR(原始資料!$A143="",13&gt;設定!$B$3,原始資料!P143=""),"",IF(AND(原始資料!O143&lt;&gt;"",原始資料!P143=原始資料!O143),N(M143)+1,1))</f>
        <v/>
      </c>
      <c r="O143" s="6">
        <f>IF(OR(原始資料!$A143="",14&gt;設定!$B$3,原始資料!Q143=""),"",IF(AND(原始資料!P143&lt;&gt;"",原始資料!Q143=原始資料!P143),N(N143)+1,1))</f>
        <v/>
      </c>
      <c r="P143" s="6">
        <f>IF(OR(原始資料!$A143="",15&gt;設定!$B$3,原始資料!R143=""),"",IF(AND(原始資料!Q143&lt;&gt;"",原始資料!R143=原始資料!Q143),N(O143)+1,1))</f>
        <v/>
      </c>
      <c r="Q143" s="6">
        <f>IF(OR(原始資料!$A143="",16&gt;設定!$B$3,原始資料!S143=""),"",IF(AND(原始資料!R143&lt;&gt;"",原始資料!S143=原始資料!R143),N(P143)+1,1))</f>
        <v/>
      </c>
      <c r="R143" s="6">
        <f>IF(OR(原始資料!$A143="",17&gt;設定!$B$3,原始資料!T143=""),"",IF(AND(原始資料!S143&lt;&gt;"",原始資料!T143=原始資料!S143),N(Q143)+1,1))</f>
        <v/>
      </c>
      <c r="S143" s="6">
        <f>IF(OR(原始資料!$A143="",18&gt;設定!$B$3,原始資料!U143=""),"",IF(AND(原始資料!T143&lt;&gt;"",原始資料!U143=原始資料!T143),N(R143)+1,1))</f>
        <v/>
      </c>
      <c r="T143" s="6">
        <f>IF(OR(原始資料!$A143="",19&gt;設定!$B$3,原始資料!V143=""),"",IF(AND(原始資料!U143&lt;&gt;"",原始資料!V143=原始資料!U143),N(S143)+1,1))</f>
        <v/>
      </c>
      <c r="U143" s="6">
        <f>IF(OR(原始資料!$A143="",20&gt;設定!$B$3,原始資料!W143=""),"",IF(AND(原始資料!V143&lt;&gt;"",原始資料!W143=原始資料!V143),N(T143)+1,1))</f>
        <v/>
      </c>
      <c r="V143" s="6">
        <f>IF(OR(原始資料!$A143="",21&gt;設定!$B$3,原始資料!X143=""),"",IF(AND(原始資料!W143&lt;&gt;"",原始資料!X143=原始資料!W143),N(U143)+1,1))</f>
        <v/>
      </c>
      <c r="W143" s="6">
        <f>IF(OR(原始資料!$A143="",22&gt;設定!$B$3,原始資料!Y143=""),"",IF(AND(原始資料!X143&lt;&gt;"",原始資料!Y143=原始資料!X143),N(V143)+1,1))</f>
        <v/>
      </c>
      <c r="X143" s="6">
        <f>IF(OR(原始資料!$A143="",23&gt;設定!$B$3,原始資料!Z143=""),"",IF(AND(原始資料!Y143&lt;&gt;"",原始資料!Z143=原始資料!Y143),N(W143)+1,1))</f>
        <v/>
      </c>
      <c r="Y143" s="6">
        <f>IF(OR(原始資料!$A143="",24&gt;設定!$B$3,原始資料!AA143=""),"",IF(AND(原始資料!Z143&lt;&gt;"",原始資料!AA143=原始資料!Z143),N(X143)+1,1))</f>
        <v/>
      </c>
      <c r="Z143" s="6">
        <f>IF(OR(原始資料!$A143="",25&gt;設定!$B$3,原始資料!AB143=""),"",IF(AND(原始資料!AA143&lt;&gt;"",原始資料!AB143=原始資料!AA143),N(Y143)+1,1))</f>
        <v/>
      </c>
      <c r="AA143" s="6">
        <f>IF(OR(原始資料!$A143="",26&gt;設定!$B$3,原始資料!AC143=""),"",IF(AND(原始資料!AB143&lt;&gt;"",原始資料!AC143=原始資料!AB143),N(Z143)+1,1))</f>
        <v/>
      </c>
      <c r="AB143" s="6">
        <f>IF(OR(原始資料!$A143="",27&gt;設定!$B$3,原始資料!AD143=""),"",IF(AND(原始資料!AC143&lt;&gt;"",原始資料!AD143=原始資料!AC143),N(AA143)+1,1))</f>
        <v/>
      </c>
      <c r="AC143" s="6">
        <f>IF(OR(原始資料!$A143="",28&gt;設定!$B$3,原始資料!AE143=""),"",IF(AND(原始資料!AD143&lt;&gt;"",原始資料!AE143=原始資料!AD143),N(AB143)+1,1))</f>
        <v/>
      </c>
      <c r="AD143" s="6">
        <f>IF(OR(原始資料!$A143="",29&gt;設定!$B$3,原始資料!AF143=""),"",IF(AND(原始資料!AE143&lt;&gt;"",原始資料!AF143=原始資料!AE143),N(AC143)+1,1))</f>
        <v/>
      </c>
      <c r="AE143" s="6">
        <f>IF(OR(原始資料!$A143="",30&gt;設定!$B$3,原始資料!AG143=""),"",IF(AND(原始資料!AF143&lt;&gt;"",原始資料!AG143=原始資料!AF143),N(AD143)+1,1))</f>
        <v/>
      </c>
      <c r="AF143" s="6">
        <f>IF(OR(原始資料!$A143="",31&gt;設定!$B$3,原始資料!AH143=""),"",IF(AND(原始資料!AG143&lt;&gt;"",原始資料!AH143=原始資料!AG143),N(AE143)+1,1))</f>
        <v/>
      </c>
      <c r="AG143" s="6">
        <f>IF(OR(原始資料!$A143="",32&gt;設定!$B$3,原始資料!AI143=""),"",IF(AND(原始資料!AH143&lt;&gt;"",原始資料!AI143=原始資料!AH143),N(AF143)+1,1))</f>
        <v/>
      </c>
      <c r="AH143" s="6">
        <f>IF(OR(原始資料!$A143="",33&gt;設定!$B$3,原始資料!AJ143=""),"",IF(AND(原始資料!AI143&lt;&gt;"",原始資料!AJ143=原始資料!AI143),N(AG143)+1,1))</f>
        <v/>
      </c>
      <c r="AI143" s="6">
        <f>IF(OR(原始資料!$A143="",34&gt;設定!$B$3,原始資料!AK143=""),"",IF(AND(原始資料!AJ143&lt;&gt;"",原始資料!AK143=原始資料!AJ143),N(AH143)+1,1))</f>
        <v/>
      </c>
      <c r="AJ143" s="6">
        <f>IF(OR(原始資料!$A143="",35&gt;設定!$B$3,原始資料!AL143=""),"",IF(AND(原始資料!AK143&lt;&gt;"",原始資料!AL143=原始資料!AK143),N(AI143)+1,1))</f>
        <v/>
      </c>
      <c r="AK143" s="6">
        <f>IF(OR(原始資料!$A143="",36&gt;設定!$B$3,原始資料!AM143=""),"",IF(AND(原始資料!AL143&lt;&gt;"",原始資料!AM143=原始資料!AL143),N(AJ143)+1,1))</f>
        <v/>
      </c>
      <c r="AL143" s="6">
        <f>IF(OR(原始資料!$A143="",37&gt;設定!$B$3,原始資料!AN143=""),"",IF(AND(原始資料!AM143&lt;&gt;"",原始資料!AN143=原始資料!AM143),N(AK143)+1,1))</f>
        <v/>
      </c>
      <c r="AM143" s="6">
        <f>IF(OR(原始資料!$A143="",38&gt;設定!$B$3,原始資料!AO143=""),"",IF(AND(原始資料!AN143&lt;&gt;"",原始資料!AO143=原始資料!AN143),N(AL143)+1,1))</f>
        <v/>
      </c>
      <c r="AN143" s="6">
        <f>IF(OR(原始資料!$A143="",39&gt;設定!$B$3,原始資料!AP143=""),"",IF(AND(原始資料!AO143&lt;&gt;"",原始資料!AP143=原始資料!AO143),N(AM143)+1,1))</f>
        <v/>
      </c>
      <c r="AO143" s="6">
        <f>IF(OR(原始資料!$A143="",40&gt;設定!$B$3,原始資料!AQ143=""),"",IF(AND(原始資料!AP143&lt;&gt;"",原始資料!AQ143=原始資料!AP143),N(AN143)+1,1))</f>
        <v/>
      </c>
      <c r="AP143" s="6">
        <f>IF(OR(原始資料!$A143="",41&gt;設定!$B$3,原始資料!AR143=""),"",IF(AND(原始資料!AQ143&lt;&gt;"",原始資料!AR143=原始資料!AQ143),N(AO143)+1,1))</f>
        <v/>
      </c>
      <c r="AQ143" s="6">
        <f>IF(OR(原始資料!$A143="",42&gt;設定!$B$3,原始資料!AS143=""),"",IF(AND(原始資料!AR143&lt;&gt;"",原始資料!AS143=原始資料!AR143),N(AP143)+1,1))</f>
        <v/>
      </c>
      <c r="AR143" s="6">
        <f>IF(OR(原始資料!$A143="",43&gt;設定!$B$3,原始資料!AT143=""),"",IF(AND(原始資料!AS143&lt;&gt;"",原始資料!AT143=原始資料!AS143),N(AQ143)+1,1))</f>
        <v/>
      </c>
      <c r="AS143" s="6">
        <f>IF(OR(原始資料!$A143="",44&gt;設定!$B$3,原始資料!AU143=""),"",IF(AND(原始資料!AT143&lt;&gt;"",原始資料!AU143=原始資料!AT143),N(AR143)+1,1))</f>
        <v/>
      </c>
      <c r="AT143" s="6">
        <f>IF(OR(原始資料!$A143="",45&gt;設定!$B$3,原始資料!AV143=""),"",IF(AND(原始資料!AU143&lt;&gt;"",原始資料!AV143=原始資料!AU143),N(AS143)+1,1))</f>
        <v/>
      </c>
      <c r="AU143" s="6">
        <f>IF(OR(原始資料!$A143="",46&gt;設定!$B$3,原始資料!AW143=""),"",IF(AND(原始資料!AV143&lt;&gt;"",原始資料!AW143=原始資料!AV143),N(AT143)+1,1))</f>
        <v/>
      </c>
      <c r="AV143" s="6">
        <f>IF(OR(原始資料!$A143="",47&gt;設定!$B$3,原始資料!AX143=""),"",IF(AND(原始資料!AW143&lt;&gt;"",原始資料!AX143=原始資料!AW143),N(AU143)+1,1))</f>
        <v/>
      </c>
      <c r="AW143" s="6">
        <f>IF(OR(原始資料!$A143="",48&gt;設定!$B$3,原始資料!AY143=""),"",IF(AND(原始資料!AX143&lt;&gt;"",原始資料!AY143=原始資料!AX143),N(AV143)+1,1))</f>
        <v/>
      </c>
      <c r="AX143" s="6">
        <f>IF(OR(原始資料!$A143="",49&gt;設定!$B$3,原始資料!AZ143=""),"",IF(AND(原始資料!AY143&lt;&gt;"",原始資料!AZ143=原始資料!AY143),N(AW143)+1,1))</f>
        <v/>
      </c>
      <c r="AY143" s="6">
        <f>IF(OR(原始資料!$A143="",50&gt;設定!$B$3,原始資料!BA143=""),"",IF(AND(原始資料!AZ143&lt;&gt;"",原始資料!BA143=原始資料!AZ143),N(AX143)+1,1))</f>
        <v/>
      </c>
      <c r="AZ143" s="6">
        <f>IF(OR(原始資料!$A143="",51&gt;設定!$B$3,原始資料!BB143=""),"",IF(AND(原始資料!BA143&lt;&gt;"",原始資料!BB143=原始資料!BA143),N(AY143)+1,1))</f>
        <v/>
      </c>
      <c r="BA143" s="6">
        <f>IF(OR(原始資料!$A143="",52&gt;設定!$B$3,原始資料!BC143=""),"",IF(AND(原始資料!BB143&lt;&gt;"",原始資料!BC143=原始資料!BB143),N(AZ143)+1,1))</f>
        <v/>
      </c>
      <c r="BB143" s="6">
        <f>IF(OR(原始資料!$A143="",53&gt;設定!$B$3,原始資料!BD143=""),"",IF(AND(原始資料!BC143&lt;&gt;"",原始資料!BD143=原始資料!BC143),N(BA143)+1,1))</f>
        <v/>
      </c>
      <c r="BC143" s="6">
        <f>IF(OR(原始資料!$A143="",54&gt;設定!$B$3,原始資料!BE143=""),"",IF(AND(原始資料!BD143&lt;&gt;"",原始資料!BE143=原始資料!BD143),N(BB143)+1,1))</f>
        <v/>
      </c>
      <c r="BD143" s="6">
        <f>IF(OR(原始資料!$A143="",55&gt;設定!$B$3,原始資料!BF143=""),"",IF(AND(原始資料!BE143&lt;&gt;"",原始資料!BF143=原始資料!BE143),N(BC143)+1,1))</f>
        <v/>
      </c>
      <c r="BE143" s="6">
        <f>IF(OR(原始資料!$A143="",56&gt;設定!$B$3,原始資料!BG143=""),"",IF(AND(原始資料!BF143&lt;&gt;"",原始資料!BG143=原始資料!BF143),N(BD143)+1,1))</f>
        <v/>
      </c>
      <c r="BF143" s="6">
        <f>IF(OR(原始資料!$A143="",57&gt;設定!$B$3,原始資料!BH143=""),"",IF(AND(原始資料!BG143&lt;&gt;"",原始資料!BH143=原始資料!BG143),N(BE143)+1,1))</f>
        <v/>
      </c>
      <c r="BG143" s="6">
        <f>IF(OR(原始資料!$A143="",58&gt;設定!$B$3,原始資料!BI143=""),"",IF(AND(原始資料!BH143&lt;&gt;"",原始資料!BI143=原始資料!BH143),N(BF143)+1,1))</f>
        <v/>
      </c>
      <c r="BH143" s="6">
        <f>IF(OR(原始資料!$A143="",59&gt;設定!$B$3,原始資料!BJ143=""),"",IF(AND(原始資料!BI143&lt;&gt;"",原始資料!BJ143=原始資料!BI143),N(BG143)+1,1))</f>
        <v/>
      </c>
      <c r="BI143" s="6">
        <f>IF(OR(原始資料!$A143="",60&gt;設定!$B$3,原始資料!BK143=""),"",IF(AND(原始資料!BJ143&lt;&gt;"",原始資料!BK143=原始資料!BJ143),N(BH143)+1,1))</f>
        <v/>
      </c>
    </row>
    <row r="144">
      <c r="A144" s="6">
        <f>IF(原始資料!$A144="","",原始資料!$A144)</f>
        <v/>
      </c>
      <c r="B144" s="6">
        <f>IF(OR(原始資料!$A144="",1&gt;設定!$B$3,原始資料!D144=""),"",1)</f>
        <v/>
      </c>
      <c r="C144" s="6">
        <f>IF(OR(原始資料!$A144="",2&gt;設定!$B$3,原始資料!E144=""),"",IF(AND(原始資料!D144&lt;&gt;"",原始資料!E144=原始資料!D144),N(B144)+1,1))</f>
        <v/>
      </c>
      <c r="D144" s="6">
        <f>IF(OR(原始資料!$A144="",3&gt;設定!$B$3,原始資料!F144=""),"",IF(AND(原始資料!E144&lt;&gt;"",原始資料!F144=原始資料!E144),N(C144)+1,1))</f>
        <v/>
      </c>
      <c r="E144" s="6">
        <f>IF(OR(原始資料!$A144="",4&gt;設定!$B$3,原始資料!G144=""),"",IF(AND(原始資料!F144&lt;&gt;"",原始資料!G144=原始資料!F144),N(D144)+1,1))</f>
        <v/>
      </c>
      <c r="F144" s="6">
        <f>IF(OR(原始資料!$A144="",5&gt;設定!$B$3,原始資料!H144=""),"",IF(AND(原始資料!G144&lt;&gt;"",原始資料!H144=原始資料!G144),N(E144)+1,1))</f>
        <v/>
      </c>
      <c r="G144" s="6">
        <f>IF(OR(原始資料!$A144="",6&gt;設定!$B$3,原始資料!I144=""),"",IF(AND(原始資料!H144&lt;&gt;"",原始資料!I144=原始資料!H144),N(F144)+1,1))</f>
        <v/>
      </c>
      <c r="H144" s="6">
        <f>IF(OR(原始資料!$A144="",7&gt;設定!$B$3,原始資料!J144=""),"",IF(AND(原始資料!I144&lt;&gt;"",原始資料!J144=原始資料!I144),N(G144)+1,1))</f>
        <v/>
      </c>
      <c r="I144" s="6">
        <f>IF(OR(原始資料!$A144="",8&gt;設定!$B$3,原始資料!K144=""),"",IF(AND(原始資料!J144&lt;&gt;"",原始資料!K144=原始資料!J144),N(H144)+1,1))</f>
        <v/>
      </c>
      <c r="J144" s="6">
        <f>IF(OR(原始資料!$A144="",9&gt;設定!$B$3,原始資料!L144=""),"",IF(AND(原始資料!K144&lt;&gt;"",原始資料!L144=原始資料!K144),N(I144)+1,1))</f>
        <v/>
      </c>
      <c r="K144" s="6">
        <f>IF(OR(原始資料!$A144="",10&gt;設定!$B$3,原始資料!M144=""),"",IF(AND(原始資料!L144&lt;&gt;"",原始資料!M144=原始資料!L144),N(J144)+1,1))</f>
        <v/>
      </c>
      <c r="L144" s="6">
        <f>IF(OR(原始資料!$A144="",11&gt;設定!$B$3,原始資料!N144=""),"",IF(AND(原始資料!M144&lt;&gt;"",原始資料!N144=原始資料!M144),N(K144)+1,1))</f>
        <v/>
      </c>
      <c r="M144" s="6">
        <f>IF(OR(原始資料!$A144="",12&gt;設定!$B$3,原始資料!O144=""),"",IF(AND(原始資料!N144&lt;&gt;"",原始資料!O144=原始資料!N144),N(L144)+1,1))</f>
        <v/>
      </c>
      <c r="N144" s="6">
        <f>IF(OR(原始資料!$A144="",13&gt;設定!$B$3,原始資料!P144=""),"",IF(AND(原始資料!O144&lt;&gt;"",原始資料!P144=原始資料!O144),N(M144)+1,1))</f>
        <v/>
      </c>
      <c r="O144" s="6">
        <f>IF(OR(原始資料!$A144="",14&gt;設定!$B$3,原始資料!Q144=""),"",IF(AND(原始資料!P144&lt;&gt;"",原始資料!Q144=原始資料!P144),N(N144)+1,1))</f>
        <v/>
      </c>
      <c r="P144" s="6">
        <f>IF(OR(原始資料!$A144="",15&gt;設定!$B$3,原始資料!R144=""),"",IF(AND(原始資料!Q144&lt;&gt;"",原始資料!R144=原始資料!Q144),N(O144)+1,1))</f>
        <v/>
      </c>
      <c r="Q144" s="6">
        <f>IF(OR(原始資料!$A144="",16&gt;設定!$B$3,原始資料!S144=""),"",IF(AND(原始資料!R144&lt;&gt;"",原始資料!S144=原始資料!R144),N(P144)+1,1))</f>
        <v/>
      </c>
      <c r="R144" s="6">
        <f>IF(OR(原始資料!$A144="",17&gt;設定!$B$3,原始資料!T144=""),"",IF(AND(原始資料!S144&lt;&gt;"",原始資料!T144=原始資料!S144),N(Q144)+1,1))</f>
        <v/>
      </c>
      <c r="S144" s="6">
        <f>IF(OR(原始資料!$A144="",18&gt;設定!$B$3,原始資料!U144=""),"",IF(AND(原始資料!T144&lt;&gt;"",原始資料!U144=原始資料!T144),N(R144)+1,1))</f>
        <v/>
      </c>
      <c r="T144" s="6">
        <f>IF(OR(原始資料!$A144="",19&gt;設定!$B$3,原始資料!V144=""),"",IF(AND(原始資料!U144&lt;&gt;"",原始資料!V144=原始資料!U144),N(S144)+1,1))</f>
        <v/>
      </c>
      <c r="U144" s="6">
        <f>IF(OR(原始資料!$A144="",20&gt;設定!$B$3,原始資料!W144=""),"",IF(AND(原始資料!V144&lt;&gt;"",原始資料!W144=原始資料!V144),N(T144)+1,1))</f>
        <v/>
      </c>
      <c r="V144" s="6">
        <f>IF(OR(原始資料!$A144="",21&gt;設定!$B$3,原始資料!X144=""),"",IF(AND(原始資料!W144&lt;&gt;"",原始資料!X144=原始資料!W144),N(U144)+1,1))</f>
        <v/>
      </c>
      <c r="W144" s="6">
        <f>IF(OR(原始資料!$A144="",22&gt;設定!$B$3,原始資料!Y144=""),"",IF(AND(原始資料!X144&lt;&gt;"",原始資料!Y144=原始資料!X144),N(V144)+1,1))</f>
        <v/>
      </c>
      <c r="X144" s="6">
        <f>IF(OR(原始資料!$A144="",23&gt;設定!$B$3,原始資料!Z144=""),"",IF(AND(原始資料!Y144&lt;&gt;"",原始資料!Z144=原始資料!Y144),N(W144)+1,1))</f>
        <v/>
      </c>
      <c r="Y144" s="6">
        <f>IF(OR(原始資料!$A144="",24&gt;設定!$B$3,原始資料!AA144=""),"",IF(AND(原始資料!Z144&lt;&gt;"",原始資料!AA144=原始資料!Z144),N(X144)+1,1))</f>
        <v/>
      </c>
      <c r="Z144" s="6">
        <f>IF(OR(原始資料!$A144="",25&gt;設定!$B$3,原始資料!AB144=""),"",IF(AND(原始資料!AA144&lt;&gt;"",原始資料!AB144=原始資料!AA144),N(Y144)+1,1))</f>
        <v/>
      </c>
      <c r="AA144" s="6">
        <f>IF(OR(原始資料!$A144="",26&gt;設定!$B$3,原始資料!AC144=""),"",IF(AND(原始資料!AB144&lt;&gt;"",原始資料!AC144=原始資料!AB144),N(Z144)+1,1))</f>
        <v/>
      </c>
      <c r="AB144" s="6">
        <f>IF(OR(原始資料!$A144="",27&gt;設定!$B$3,原始資料!AD144=""),"",IF(AND(原始資料!AC144&lt;&gt;"",原始資料!AD144=原始資料!AC144),N(AA144)+1,1))</f>
        <v/>
      </c>
      <c r="AC144" s="6">
        <f>IF(OR(原始資料!$A144="",28&gt;設定!$B$3,原始資料!AE144=""),"",IF(AND(原始資料!AD144&lt;&gt;"",原始資料!AE144=原始資料!AD144),N(AB144)+1,1))</f>
        <v/>
      </c>
      <c r="AD144" s="6">
        <f>IF(OR(原始資料!$A144="",29&gt;設定!$B$3,原始資料!AF144=""),"",IF(AND(原始資料!AE144&lt;&gt;"",原始資料!AF144=原始資料!AE144),N(AC144)+1,1))</f>
        <v/>
      </c>
      <c r="AE144" s="6">
        <f>IF(OR(原始資料!$A144="",30&gt;設定!$B$3,原始資料!AG144=""),"",IF(AND(原始資料!AF144&lt;&gt;"",原始資料!AG144=原始資料!AF144),N(AD144)+1,1))</f>
        <v/>
      </c>
      <c r="AF144" s="6">
        <f>IF(OR(原始資料!$A144="",31&gt;設定!$B$3,原始資料!AH144=""),"",IF(AND(原始資料!AG144&lt;&gt;"",原始資料!AH144=原始資料!AG144),N(AE144)+1,1))</f>
        <v/>
      </c>
      <c r="AG144" s="6">
        <f>IF(OR(原始資料!$A144="",32&gt;設定!$B$3,原始資料!AI144=""),"",IF(AND(原始資料!AH144&lt;&gt;"",原始資料!AI144=原始資料!AH144),N(AF144)+1,1))</f>
        <v/>
      </c>
      <c r="AH144" s="6">
        <f>IF(OR(原始資料!$A144="",33&gt;設定!$B$3,原始資料!AJ144=""),"",IF(AND(原始資料!AI144&lt;&gt;"",原始資料!AJ144=原始資料!AI144),N(AG144)+1,1))</f>
        <v/>
      </c>
      <c r="AI144" s="6">
        <f>IF(OR(原始資料!$A144="",34&gt;設定!$B$3,原始資料!AK144=""),"",IF(AND(原始資料!AJ144&lt;&gt;"",原始資料!AK144=原始資料!AJ144),N(AH144)+1,1))</f>
        <v/>
      </c>
      <c r="AJ144" s="6">
        <f>IF(OR(原始資料!$A144="",35&gt;設定!$B$3,原始資料!AL144=""),"",IF(AND(原始資料!AK144&lt;&gt;"",原始資料!AL144=原始資料!AK144),N(AI144)+1,1))</f>
        <v/>
      </c>
      <c r="AK144" s="6">
        <f>IF(OR(原始資料!$A144="",36&gt;設定!$B$3,原始資料!AM144=""),"",IF(AND(原始資料!AL144&lt;&gt;"",原始資料!AM144=原始資料!AL144),N(AJ144)+1,1))</f>
        <v/>
      </c>
      <c r="AL144" s="6">
        <f>IF(OR(原始資料!$A144="",37&gt;設定!$B$3,原始資料!AN144=""),"",IF(AND(原始資料!AM144&lt;&gt;"",原始資料!AN144=原始資料!AM144),N(AK144)+1,1))</f>
        <v/>
      </c>
      <c r="AM144" s="6">
        <f>IF(OR(原始資料!$A144="",38&gt;設定!$B$3,原始資料!AO144=""),"",IF(AND(原始資料!AN144&lt;&gt;"",原始資料!AO144=原始資料!AN144),N(AL144)+1,1))</f>
        <v/>
      </c>
      <c r="AN144" s="6">
        <f>IF(OR(原始資料!$A144="",39&gt;設定!$B$3,原始資料!AP144=""),"",IF(AND(原始資料!AO144&lt;&gt;"",原始資料!AP144=原始資料!AO144),N(AM144)+1,1))</f>
        <v/>
      </c>
      <c r="AO144" s="6">
        <f>IF(OR(原始資料!$A144="",40&gt;設定!$B$3,原始資料!AQ144=""),"",IF(AND(原始資料!AP144&lt;&gt;"",原始資料!AQ144=原始資料!AP144),N(AN144)+1,1))</f>
        <v/>
      </c>
      <c r="AP144" s="6">
        <f>IF(OR(原始資料!$A144="",41&gt;設定!$B$3,原始資料!AR144=""),"",IF(AND(原始資料!AQ144&lt;&gt;"",原始資料!AR144=原始資料!AQ144),N(AO144)+1,1))</f>
        <v/>
      </c>
      <c r="AQ144" s="6">
        <f>IF(OR(原始資料!$A144="",42&gt;設定!$B$3,原始資料!AS144=""),"",IF(AND(原始資料!AR144&lt;&gt;"",原始資料!AS144=原始資料!AR144),N(AP144)+1,1))</f>
        <v/>
      </c>
      <c r="AR144" s="6">
        <f>IF(OR(原始資料!$A144="",43&gt;設定!$B$3,原始資料!AT144=""),"",IF(AND(原始資料!AS144&lt;&gt;"",原始資料!AT144=原始資料!AS144),N(AQ144)+1,1))</f>
        <v/>
      </c>
      <c r="AS144" s="6">
        <f>IF(OR(原始資料!$A144="",44&gt;設定!$B$3,原始資料!AU144=""),"",IF(AND(原始資料!AT144&lt;&gt;"",原始資料!AU144=原始資料!AT144),N(AR144)+1,1))</f>
        <v/>
      </c>
      <c r="AT144" s="6">
        <f>IF(OR(原始資料!$A144="",45&gt;設定!$B$3,原始資料!AV144=""),"",IF(AND(原始資料!AU144&lt;&gt;"",原始資料!AV144=原始資料!AU144),N(AS144)+1,1))</f>
        <v/>
      </c>
      <c r="AU144" s="6">
        <f>IF(OR(原始資料!$A144="",46&gt;設定!$B$3,原始資料!AW144=""),"",IF(AND(原始資料!AV144&lt;&gt;"",原始資料!AW144=原始資料!AV144),N(AT144)+1,1))</f>
        <v/>
      </c>
      <c r="AV144" s="6">
        <f>IF(OR(原始資料!$A144="",47&gt;設定!$B$3,原始資料!AX144=""),"",IF(AND(原始資料!AW144&lt;&gt;"",原始資料!AX144=原始資料!AW144),N(AU144)+1,1))</f>
        <v/>
      </c>
      <c r="AW144" s="6">
        <f>IF(OR(原始資料!$A144="",48&gt;設定!$B$3,原始資料!AY144=""),"",IF(AND(原始資料!AX144&lt;&gt;"",原始資料!AY144=原始資料!AX144),N(AV144)+1,1))</f>
        <v/>
      </c>
      <c r="AX144" s="6">
        <f>IF(OR(原始資料!$A144="",49&gt;設定!$B$3,原始資料!AZ144=""),"",IF(AND(原始資料!AY144&lt;&gt;"",原始資料!AZ144=原始資料!AY144),N(AW144)+1,1))</f>
        <v/>
      </c>
      <c r="AY144" s="6">
        <f>IF(OR(原始資料!$A144="",50&gt;設定!$B$3,原始資料!BA144=""),"",IF(AND(原始資料!AZ144&lt;&gt;"",原始資料!BA144=原始資料!AZ144),N(AX144)+1,1))</f>
        <v/>
      </c>
      <c r="AZ144" s="6">
        <f>IF(OR(原始資料!$A144="",51&gt;設定!$B$3,原始資料!BB144=""),"",IF(AND(原始資料!BA144&lt;&gt;"",原始資料!BB144=原始資料!BA144),N(AY144)+1,1))</f>
        <v/>
      </c>
      <c r="BA144" s="6">
        <f>IF(OR(原始資料!$A144="",52&gt;設定!$B$3,原始資料!BC144=""),"",IF(AND(原始資料!BB144&lt;&gt;"",原始資料!BC144=原始資料!BB144),N(AZ144)+1,1))</f>
        <v/>
      </c>
      <c r="BB144" s="6">
        <f>IF(OR(原始資料!$A144="",53&gt;設定!$B$3,原始資料!BD144=""),"",IF(AND(原始資料!BC144&lt;&gt;"",原始資料!BD144=原始資料!BC144),N(BA144)+1,1))</f>
        <v/>
      </c>
      <c r="BC144" s="6">
        <f>IF(OR(原始資料!$A144="",54&gt;設定!$B$3,原始資料!BE144=""),"",IF(AND(原始資料!BD144&lt;&gt;"",原始資料!BE144=原始資料!BD144),N(BB144)+1,1))</f>
        <v/>
      </c>
      <c r="BD144" s="6">
        <f>IF(OR(原始資料!$A144="",55&gt;設定!$B$3,原始資料!BF144=""),"",IF(AND(原始資料!BE144&lt;&gt;"",原始資料!BF144=原始資料!BE144),N(BC144)+1,1))</f>
        <v/>
      </c>
      <c r="BE144" s="6">
        <f>IF(OR(原始資料!$A144="",56&gt;設定!$B$3,原始資料!BG144=""),"",IF(AND(原始資料!BF144&lt;&gt;"",原始資料!BG144=原始資料!BF144),N(BD144)+1,1))</f>
        <v/>
      </c>
      <c r="BF144" s="6">
        <f>IF(OR(原始資料!$A144="",57&gt;設定!$B$3,原始資料!BH144=""),"",IF(AND(原始資料!BG144&lt;&gt;"",原始資料!BH144=原始資料!BG144),N(BE144)+1,1))</f>
        <v/>
      </c>
      <c r="BG144" s="6">
        <f>IF(OR(原始資料!$A144="",58&gt;設定!$B$3,原始資料!BI144=""),"",IF(AND(原始資料!BH144&lt;&gt;"",原始資料!BI144=原始資料!BH144),N(BF144)+1,1))</f>
        <v/>
      </c>
      <c r="BH144" s="6">
        <f>IF(OR(原始資料!$A144="",59&gt;設定!$B$3,原始資料!BJ144=""),"",IF(AND(原始資料!BI144&lt;&gt;"",原始資料!BJ144=原始資料!BI144),N(BG144)+1,1))</f>
        <v/>
      </c>
      <c r="BI144" s="6">
        <f>IF(OR(原始資料!$A144="",60&gt;設定!$B$3,原始資料!BK144=""),"",IF(AND(原始資料!BJ144&lt;&gt;"",原始資料!BK144=原始資料!BJ144),N(BH144)+1,1))</f>
        <v/>
      </c>
    </row>
    <row r="145">
      <c r="A145" s="6">
        <f>IF(原始資料!$A145="","",原始資料!$A145)</f>
        <v/>
      </c>
      <c r="B145" s="6">
        <f>IF(OR(原始資料!$A145="",1&gt;設定!$B$3,原始資料!D145=""),"",1)</f>
        <v/>
      </c>
      <c r="C145" s="6">
        <f>IF(OR(原始資料!$A145="",2&gt;設定!$B$3,原始資料!E145=""),"",IF(AND(原始資料!D145&lt;&gt;"",原始資料!E145=原始資料!D145),N(B145)+1,1))</f>
        <v/>
      </c>
      <c r="D145" s="6">
        <f>IF(OR(原始資料!$A145="",3&gt;設定!$B$3,原始資料!F145=""),"",IF(AND(原始資料!E145&lt;&gt;"",原始資料!F145=原始資料!E145),N(C145)+1,1))</f>
        <v/>
      </c>
      <c r="E145" s="6">
        <f>IF(OR(原始資料!$A145="",4&gt;設定!$B$3,原始資料!G145=""),"",IF(AND(原始資料!F145&lt;&gt;"",原始資料!G145=原始資料!F145),N(D145)+1,1))</f>
        <v/>
      </c>
      <c r="F145" s="6">
        <f>IF(OR(原始資料!$A145="",5&gt;設定!$B$3,原始資料!H145=""),"",IF(AND(原始資料!G145&lt;&gt;"",原始資料!H145=原始資料!G145),N(E145)+1,1))</f>
        <v/>
      </c>
      <c r="G145" s="6">
        <f>IF(OR(原始資料!$A145="",6&gt;設定!$B$3,原始資料!I145=""),"",IF(AND(原始資料!H145&lt;&gt;"",原始資料!I145=原始資料!H145),N(F145)+1,1))</f>
        <v/>
      </c>
      <c r="H145" s="6">
        <f>IF(OR(原始資料!$A145="",7&gt;設定!$B$3,原始資料!J145=""),"",IF(AND(原始資料!I145&lt;&gt;"",原始資料!J145=原始資料!I145),N(G145)+1,1))</f>
        <v/>
      </c>
      <c r="I145" s="6">
        <f>IF(OR(原始資料!$A145="",8&gt;設定!$B$3,原始資料!K145=""),"",IF(AND(原始資料!J145&lt;&gt;"",原始資料!K145=原始資料!J145),N(H145)+1,1))</f>
        <v/>
      </c>
      <c r="J145" s="6">
        <f>IF(OR(原始資料!$A145="",9&gt;設定!$B$3,原始資料!L145=""),"",IF(AND(原始資料!K145&lt;&gt;"",原始資料!L145=原始資料!K145),N(I145)+1,1))</f>
        <v/>
      </c>
      <c r="K145" s="6">
        <f>IF(OR(原始資料!$A145="",10&gt;設定!$B$3,原始資料!M145=""),"",IF(AND(原始資料!L145&lt;&gt;"",原始資料!M145=原始資料!L145),N(J145)+1,1))</f>
        <v/>
      </c>
      <c r="L145" s="6">
        <f>IF(OR(原始資料!$A145="",11&gt;設定!$B$3,原始資料!N145=""),"",IF(AND(原始資料!M145&lt;&gt;"",原始資料!N145=原始資料!M145),N(K145)+1,1))</f>
        <v/>
      </c>
      <c r="M145" s="6">
        <f>IF(OR(原始資料!$A145="",12&gt;設定!$B$3,原始資料!O145=""),"",IF(AND(原始資料!N145&lt;&gt;"",原始資料!O145=原始資料!N145),N(L145)+1,1))</f>
        <v/>
      </c>
      <c r="N145" s="6">
        <f>IF(OR(原始資料!$A145="",13&gt;設定!$B$3,原始資料!P145=""),"",IF(AND(原始資料!O145&lt;&gt;"",原始資料!P145=原始資料!O145),N(M145)+1,1))</f>
        <v/>
      </c>
      <c r="O145" s="6">
        <f>IF(OR(原始資料!$A145="",14&gt;設定!$B$3,原始資料!Q145=""),"",IF(AND(原始資料!P145&lt;&gt;"",原始資料!Q145=原始資料!P145),N(N145)+1,1))</f>
        <v/>
      </c>
      <c r="P145" s="6">
        <f>IF(OR(原始資料!$A145="",15&gt;設定!$B$3,原始資料!R145=""),"",IF(AND(原始資料!Q145&lt;&gt;"",原始資料!R145=原始資料!Q145),N(O145)+1,1))</f>
        <v/>
      </c>
      <c r="Q145" s="6">
        <f>IF(OR(原始資料!$A145="",16&gt;設定!$B$3,原始資料!S145=""),"",IF(AND(原始資料!R145&lt;&gt;"",原始資料!S145=原始資料!R145),N(P145)+1,1))</f>
        <v/>
      </c>
      <c r="R145" s="6">
        <f>IF(OR(原始資料!$A145="",17&gt;設定!$B$3,原始資料!T145=""),"",IF(AND(原始資料!S145&lt;&gt;"",原始資料!T145=原始資料!S145),N(Q145)+1,1))</f>
        <v/>
      </c>
      <c r="S145" s="6">
        <f>IF(OR(原始資料!$A145="",18&gt;設定!$B$3,原始資料!U145=""),"",IF(AND(原始資料!T145&lt;&gt;"",原始資料!U145=原始資料!T145),N(R145)+1,1))</f>
        <v/>
      </c>
      <c r="T145" s="6">
        <f>IF(OR(原始資料!$A145="",19&gt;設定!$B$3,原始資料!V145=""),"",IF(AND(原始資料!U145&lt;&gt;"",原始資料!V145=原始資料!U145),N(S145)+1,1))</f>
        <v/>
      </c>
      <c r="U145" s="6">
        <f>IF(OR(原始資料!$A145="",20&gt;設定!$B$3,原始資料!W145=""),"",IF(AND(原始資料!V145&lt;&gt;"",原始資料!W145=原始資料!V145),N(T145)+1,1))</f>
        <v/>
      </c>
      <c r="V145" s="6">
        <f>IF(OR(原始資料!$A145="",21&gt;設定!$B$3,原始資料!X145=""),"",IF(AND(原始資料!W145&lt;&gt;"",原始資料!X145=原始資料!W145),N(U145)+1,1))</f>
        <v/>
      </c>
      <c r="W145" s="6">
        <f>IF(OR(原始資料!$A145="",22&gt;設定!$B$3,原始資料!Y145=""),"",IF(AND(原始資料!X145&lt;&gt;"",原始資料!Y145=原始資料!X145),N(V145)+1,1))</f>
        <v/>
      </c>
      <c r="X145" s="6">
        <f>IF(OR(原始資料!$A145="",23&gt;設定!$B$3,原始資料!Z145=""),"",IF(AND(原始資料!Y145&lt;&gt;"",原始資料!Z145=原始資料!Y145),N(W145)+1,1))</f>
        <v/>
      </c>
      <c r="Y145" s="6">
        <f>IF(OR(原始資料!$A145="",24&gt;設定!$B$3,原始資料!AA145=""),"",IF(AND(原始資料!Z145&lt;&gt;"",原始資料!AA145=原始資料!Z145),N(X145)+1,1))</f>
        <v/>
      </c>
      <c r="Z145" s="6">
        <f>IF(OR(原始資料!$A145="",25&gt;設定!$B$3,原始資料!AB145=""),"",IF(AND(原始資料!AA145&lt;&gt;"",原始資料!AB145=原始資料!AA145),N(Y145)+1,1))</f>
        <v/>
      </c>
      <c r="AA145" s="6">
        <f>IF(OR(原始資料!$A145="",26&gt;設定!$B$3,原始資料!AC145=""),"",IF(AND(原始資料!AB145&lt;&gt;"",原始資料!AC145=原始資料!AB145),N(Z145)+1,1))</f>
        <v/>
      </c>
      <c r="AB145" s="6">
        <f>IF(OR(原始資料!$A145="",27&gt;設定!$B$3,原始資料!AD145=""),"",IF(AND(原始資料!AC145&lt;&gt;"",原始資料!AD145=原始資料!AC145),N(AA145)+1,1))</f>
        <v/>
      </c>
      <c r="AC145" s="6">
        <f>IF(OR(原始資料!$A145="",28&gt;設定!$B$3,原始資料!AE145=""),"",IF(AND(原始資料!AD145&lt;&gt;"",原始資料!AE145=原始資料!AD145),N(AB145)+1,1))</f>
        <v/>
      </c>
      <c r="AD145" s="6">
        <f>IF(OR(原始資料!$A145="",29&gt;設定!$B$3,原始資料!AF145=""),"",IF(AND(原始資料!AE145&lt;&gt;"",原始資料!AF145=原始資料!AE145),N(AC145)+1,1))</f>
        <v/>
      </c>
      <c r="AE145" s="6">
        <f>IF(OR(原始資料!$A145="",30&gt;設定!$B$3,原始資料!AG145=""),"",IF(AND(原始資料!AF145&lt;&gt;"",原始資料!AG145=原始資料!AF145),N(AD145)+1,1))</f>
        <v/>
      </c>
      <c r="AF145" s="6">
        <f>IF(OR(原始資料!$A145="",31&gt;設定!$B$3,原始資料!AH145=""),"",IF(AND(原始資料!AG145&lt;&gt;"",原始資料!AH145=原始資料!AG145),N(AE145)+1,1))</f>
        <v/>
      </c>
      <c r="AG145" s="6">
        <f>IF(OR(原始資料!$A145="",32&gt;設定!$B$3,原始資料!AI145=""),"",IF(AND(原始資料!AH145&lt;&gt;"",原始資料!AI145=原始資料!AH145),N(AF145)+1,1))</f>
        <v/>
      </c>
      <c r="AH145" s="6">
        <f>IF(OR(原始資料!$A145="",33&gt;設定!$B$3,原始資料!AJ145=""),"",IF(AND(原始資料!AI145&lt;&gt;"",原始資料!AJ145=原始資料!AI145),N(AG145)+1,1))</f>
        <v/>
      </c>
      <c r="AI145" s="6">
        <f>IF(OR(原始資料!$A145="",34&gt;設定!$B$3,原始資料!AK145=""),"",IF(AND(原始資料!AJ145&lt;&gt;"",原始資料!AK145=原始資料!AJ145),N(AH145)+1,1))</f>
        <v/>
      </c>
      <c r="AJ145" s="6">
        <f>IF(OR(原始資料!$A145="",35&gt;設定!$B$3,原始資料!AL145=""),"",IF(AND(原始資料!AK145&lt;&gt;"",原始資料!AL145=原始資料!AK145),N(AI145)+1,1))</f>
        <v/>
      </c>
      <c r="AK145" s="6">
        <f>IF(OR(原始資料!$A145="",36&gt;設定!$B$3,原始資料!AM145=""),"",IF(AND(原始資料!AL145&lt;&gt;"",原始資料!AM145=原始資料!AL145),N(AJ145)+1,1))</f>
        <v/>
      </c>
      <c r="AL145" s="6">
        <f>IF(OR(原始資料!$A145="",37&gt;設定!$B$3,原始資料!AN145=""),"",IF(AND(原始資料!AM145&lt;&gt;"",原始資料!AN145=原始資料!AM145),N(AK145)+1,1))</f>
        <v/>
      </c>
      <c r="AM145" s="6">
        <f>IF(OR(原始資料!$A145="",38&gt;設定!$B$3,原始資料!AO145=""),"",IF(AND(原始資料!AN145&lt;&gt;"",原始資料!AO145=原始資料!AN145),N(AL145)+1,1))</f>
        <v/>
      </c>
      <c r="AN145" s="6">
        <f>IF(OR(原始資料!$A145="",39&gt;設定!$B$3,原始資料!AP145=""),"",IF(AND(原始資料!AO145&lt;&gt;"",原始資料!AP145=原始資料!AO145),N(AM145)+1,1))</f>
        <v/>
      </c>
      <c r="AO145" s="6">
        <f>IF(OR(原始資料!$A145="",40&gt;設定!$B$3,原始資料!AQ145=""),"",IF(AND(原始資料!AP145&lt;&gt;"",原始資料!AQ145=原始資料!AP145),N(AN145)+1,1))</f>
        <v/>
      </c>
      <c r="AP145" s="6">
        <f>IF(OR(原始資料!$A145="",41&gt;設定!$B$3,原始資料!AR145=""),"",IF(AND(原始資料!AQ145&lt;&gt;"",原始資料!AR145=原始資料!AQ145),N(AO145)+1,1))</f>
        <v/>
      </c>
      <c r="AQ145" s="6">
        <f>IF(OR(原始資料!$A145="",42&gt;設定!$B$3,原始資料!AS145=""),"",IF(AND(原始資料!AR145&lt;&gt;"",原始資料!AS145=原始資料!AR145),N(AP145)+1,1))</f>
        <v/>
      </c>
      <c r="AR145" s="6">
        <f>IF(OR(原始資料!$A145="",43&gt;設定!$B$3,原始資料!AT145=""),"",IF(AND(原始資料!AS145&lt;&gt;"",原始資料!AT145=原始資料!AS145),N(AQ145)+1,1))</f>
        <v/>
      </c>
      <c r="AS145" s="6">
        <f>IF(OR(原始資料!$A145="",44&gt;設定!$B$3,原始資料!AU145=""),"",IF(AND(原始資料!AT145&lt;&gt;"",原始資料!AU145=原始資料!AT145),N(AR145)+1,1))</f>
        <v/>
      </c>
      <c r="AT145" s="6">
        <f>IF(OR(原始資料!$A145="",45&gt;設定!$B$3,原始資料!AV145=""),"",IF(AND(原始資料!AU145&lt;&gt;"",原始資料!AV145=原始資料!AU145),N(AS145)+1,1))</f>
        <v/>
      </c>
      <c r="AU145" s="6">
        <f>IF(OR(原始資料!$A145="",46&gt;設定!$B$3,原始資料!AW145=""),"",IF(AND(原始資料!AV145&lt;&gt;"",原始資料!AW145=原始資料!AV145),N(AT145)+1,1))</f>
        <v/>
      </c>
      <c r="AV145" s="6">
        <f>IF(OR(原始資料!$A145="",47&gt;設定!$B$3,原始資料!AX145=""),"",IF(AND(原始資料!AW145&lt;&gt;"",原始資料!AX145=原始資料!AW145),N(AU145)+1,1))</f>
        <v/>
      </c>
      <c r="AW145" s="6">
        <f>IF(OR(原始資料!$A145="",48&gt;設定!$B$3,原始資料!AY145=""),"",IF(AND(原始資料!AX145&lt;&gt;"",原始資料!AY145=原始資料!AX145),N(AV145)+1,1))</f>
        <v/>
      </c>
      <c r="AX145" s="6">
        <f>IF(OR(原始資料!$A145="",49&gt;設定!$B$3,原始資料!AZ145=""),"",IF(AND(原始資料!AY145&lt;&gt;"",原始資料!AZ145=原始資料!AY145),N(AW145)+1,1))</f>
        <v/>
      </c>
      <c r="AY145" s="6">
        <f>IF(OR(原始資料!$A145="",50&gt;設定!$B$3,原始資料!BA145=""),"",IF(AND(原始資料!AZ145&lt;&gt;"",原始資料!BA145=原始資料!AZ145),N(AX145)+1,1))</f>
        <v/>
      </c>
      <c r="AZ145" s="6">
        <f>IF(OR(原始資料!$A145="",51&gt;設定!$B$3,原始資料!BB145=""),"",IF(AND(原始資料!BA145&lt;&gt;"",原始資料!BB145=原始資料!BA145),N(AY145)+1,1))</f>
        <v/>
      </c>
      <c r="BA145" s="6">
        <f>IF(OR(原始資料!$A145="",52&gt;設定!$B$3,原始資料!BC145=""),"",IF(AND(原始資料!BB145&lt;&gt;"",原始資料!BC145=原始資料!BB145),N(AZ145)+1,1))</f>
        <v/>
      </c>
      <c r="BB145" s="6">
        <f>IF(OR(原始資料!$A145="",53&gt;設定!$B$3,原始資料!BD145=""),"",IF(AND(原始資料!BC145&lt;&gt;"",原始資料!BD145=原始資料!BC145),N(BA145)+1,1))</f>
        <v/>
      </c>
      <c r="BC145" s="6">
        <f>IF(OR(原始資料!$A145="",54&gt;設定!$B$3,原始資料!BE145=""),"",IF(AND(原始資料!BD145&lt;&gt;"",原始資料!BE145=原始資料!BD145),N(BB145)+1,1))</f>
        <v/>
      </c>
      <c r="BD145" s="6">
        <f>IF(OR(原始資料!$A145="",55&gt;設定!$B$3,原始資料!BF145=""),"",IF(AND(原始資料!BE145&lt;&gt;"",原始資料!BF145=原始資料!BE145),N(BC145)+1,1))</f>
        <v/>
      </c>
      <c r="BE145" s="6">
        <f>IF(OR(原始資料!$A145="",56&gt;設定!$B$3,原始資料!BG145=""),"",IF(AND(原始資料!BF145&lt;&gt;"",原始資料!BG145=原始資料!BF145),N(BD145)+1,1))</f>
        <v/>
      </c>
      <c r="BF145" s="6">
        <f>IF(OR(原始資料!$A145="",57&gt;設定!$B$3,原始資料!BH145=""),"",IF(AND(原始資料!BG145&lt;&gt;"",原始資料!BH145=原始資料!BG145),N(BE145)+1,1))</f>
        <v/>
      </c>
      <c r="BG145" s="6">
        <f>IF(OR(原始資料!$A145="",58&gt;設定!$B$3,原始資料!BI145=""),"",IF(AND(原始資料!BH145&lt;&gt;"",原始資料!BI145=原始資料!BH145),N(BF145)+1,1))</f>
        <v/>
      </c>
      <c r="BH145" s="6">
        <f>IF(OR(原始資料!$A145="",59&gt;設定!$B$3,原始資料!BJ145=""),"",IF(AND(原始資料!BI145&lt;&gt;"",原始資料!BJ145=原始資料!BI145),N(BG145)+1,1))</f>
        <v/>
      </c>
      <c r="BI145" s="6">
        <f>IF(OR(原始資料!$A145="",60&gt;設定!$B$3,原始資料!BK145=""),"",IF(AND(原始資料!BJ145&lt;&gt;"",原始資料!BK145=原始資料!BJ145),N(BH145)+1,1))</f>
        <v/>
      </c>
    </row>
    <row r="146">
      <c r="A146" s="6">
        <f>IF(原始資料!$A146="","",原始資料!$A146)</f>
        <v/>
      </c>
      <c r="B146" s="6">
        <f>IF(OR(原始資料!$A146="",1&gt;設定!$B$3,原始資料!D146=""),"",1)</f>
        <v/>
      </c>
      <c r="C146" s="6">
        <f>IF(OR(原始資料!$A146="",2&gt;設定!$B$3,原始資料!E146=""),"",IF(AND(原始資料!D146&lt;&gt;"",原始資料!E146=原始資料!D146),N(B146)+1,1))</f>
        <v/>
      </c>
      <c r="D146" s="6">
        <f>IF(OR(原始資料!$A146="",3&gt;設定!$B$3,原始資料!F146=""),"",IF(AND(原始資料!E146&lt;&gt;"",原始資料!F146=原始資料!E146),N(C146)+1,1))</f>
        <v/>
      </c>
      <c r="E146" s="6">
        <f>IF(OR(原始資料!$A146="",4&gt;設定!$B$3,原始資料!G146=""),"",IF(AND(原始資料!F146&lt;&gt;"",原始資料!G146=原始資料!F146),N(D146)+1,1))</f>
        <v/>
      </c>
      <c r="F146" s="6">
        <f>IF(OR(原始資料!$A146="",5&gt;設定!$B$3,原始資料!H146=""),"",IF(AND(原始資料!G146&lt;&gt;"",原始資料!H146=原始資料!G146),N(E146)+1,1))</f>
        <v/>
      </c>
      <c r="G146" s="6">
        <f>IF(OR(原始資料!$A146="",6&gt;設定!$B$3,原始資料!I146=""),"",IF(AND(原始資料!H146&lt;&gt;"",原始資料!I146=原始資料!H146),N(F146)+1,1))</f>
        <v/>
      </c>
      <c r="H146" s="6">
        <f>IF(OR(原始資料!$A146="",7&gt;設定!$B$3,原始資料!J146=""),"",IF(AND(原始資料!I146&lt;&gt;"",原始資料!J146=原始資料!I146),N(G146)+1,1))</f>
        <v/>
      </c>
      <c r="I146" s="6">
        <f>IF(OR(原始資料!$A146="",8&gt;設定!$B$3,原始資料!K146=""),"",IF(AND(原始資料!J146&lt;&gt;"",原始資料!K146=原始資料!J146),N(H146)+1,1))</f>
        <v/>
      </c>
      <c r="J146" s="6">
        <f>IF(OR(原始資料!$A146="",9&gt;設定!$B$3,原始資料!L146=""),"",IF(AND(原始資料!K146&lt;&gt;"",原始資料!L146=原始資料!K146),N(I146)+1,1))</f>
        <v/>
      </c>
      <c r="K146" s="6">
        <f>IF(OR(原始資料!$A146="",10&gt;設定!$B$3,原始資料!M146=""),"",IF(AND(原始資料!L146&lt;&gt;"",原始資料!M146=原始資料!L146),N(J146)+1,1))</f>
        <v/>
      </c>
      <c r="L146" s="6">
        <f>IF(OR(原始資料!$A146="",11&gt;設定!$B$3,原始資料!N146=""),"",IF(AND(原始資料!M146&lt;&gt;"",原始資料!N146=原始資料!M146),N(K146)+1,1))</f>
        <v/>
      </c>
      <c r="M146" s="6">
        <f>IF(OR(原始資料!$A146="",12&gt;設定!$B$3,原始資料!O146=""),"",IF(AND(原始資料!N146&lt;&gt;"",原始資料!O146=原始資料!N146),N(L146)+1,1))</f>
        <v/>
      </c>
      <c r="N146" s="6">
        <f>IF(OR(原始資料!$A146="",13&gt;設定!$B$3,原始資料!P146=""),"",IF(AND(原始資料!O146&lt;&gt;"",原始資料!P146=原始資料!O146),N(M146)+1,1))</f>
        <v/>
      </c>
      <c r="O146" s="6">
        <f>IF(OR(原始資料!$A146="",14&gt;設定!$B$3,原始資料!Q146=""),"",IF(AND(原始資料!P146&lt;&gt;"",原始資料!Q146=原始資料!P146),N(N146)+1,1))</f>
        <v/>
      </c>
      <c r="P146" s="6">
        <f>IF(OR(原始資料!$A146="",15&gt;設定!$B$3,原始資料!R146=""),"",IF(AND(原始資料!Q146&lt;&gt;"",原始資料!R146=原始資料!Q146),N(O146)+1,1))</f>
        <v/>
      </c>
      <c r="Q146" s="6">
        <f>IF(OR(原始資料!$A146="",16&gt;設定!$B$3,原始資料!S146=""),"",IF(AND(原始資料!R146&lt;&gt;"",原始資料!S146=原始資料!R146),N(P146)+1,1))</f>
        <v/>
      </c>
      <c r="R146" s="6">
        <f>IF(OR(原始資料!$A146="",17&gt;設定!$B$3,原始資料!T146=""),"",IF(AND(原始資料!S146&lt;&gt;"",原始資料!T146=原始資料!S146),N(Q146)+1,1))</f>
        <v/>
      </c>
      <c r="S146" s="6">
        <f>IF(OR(原始資料!$A146="",18&gt;設定!$B$3,原始資料!U146=""),"",IF(AND(原始資料!T146&lt;&gt;"",原始資料!U146=原始資料!T146),N(R146)+1,1))</f>
        <v/>
      </c>
      <c r="T146" s="6">
        <f>IF(OR(原始資料!$A146="",19&gt;設定!$B$3,原始資料!V146=""),"",IF(AND(原始資料!U146&lt;&gt;"",原始資料!V146=原始資料!U146),N(S146)+1,1))</f>
        <v/>
      </c>
      <c r="U146" s="6">
        <f>IF(OR(原始資料!$A146="",20&gt;設定!$B$3,原始資料!W146=""),"",IF(AND(原始資料!V146&lt;&gt;"",原始資料!W146=原始資料!V146),N(T146)+1,1))</f>
        <v/>
      </c>
      <c r="V146" s="6">
        <f>IF(OR(原始資料!$A146="",21&gt;設定!$B$3,原始資料!X146=""),"",IF(AND(原始資料!W146&lt;&gt;"",原始資料!X146=原始資料!W146),N(U146)+1,1))</f>
        <v/>
      </c>
      <c r="W146" s="6">
        <f>IF(OR(原始資料!$A146="",22&gt;設定!$B$3,原始資料!Y146=""),"",IF(AND(原始資料!X146&lt;&gt;"",原始資料!Y146=原始資料!X146),N(V146)+1,1))</f>
        <v/>
      </c>
      <c r="X146" s="6">
        <f>IF(OR(原始資料!$A146="",23&gt;設定!$B$3,原始資料!Z146=""),"",IF(AND(原始資料!Y146&lt;&gt;"",原始資料!Z146=原始資料!Y146),N(W146)+1,1))</f>
        <v/>
      </c>
      <c r="Y146" s="6">
        <f>IF(OR(原始資料!$A146="",24&gt;設定!$B$3,原始資料!AA146=""),"",IF(AND(原始資料!Z146&lt;&gt;"",原始資料!AA146=原始資料!Z146),N(X146)+1,1))</f>
        <v/>
      </c>
      <c r="Z146" s="6">
        <f>IF(OR(原始資料!$A146="",25&gt;設定!$B$3,原始資料!AB146=""),"",IF(AND(原始資料!AA146&lt;&gt;"",原始資料!AB146=原始資料!AA146),N(Y146)+1,1))</f>
        <v/>
      </c>
      <c r="AA146" s="6">
        <f>IF(OR(原始資料!$A146="",26&gt;設定!$B$3,原始資料!AC146=""),"",IF(AND(原始資料!AB146&lt;&gt;"",原始資料!AC146=原始資料!AB146),N(Z146)+1,1))</f>
        <v/>
      </c>
      <c r="AB146" s="6">
        <f>IF(OR(原始資料!$A146="",27&gt;設定!$B$3,原始資料!AD146=""),"",IF(AND(原始資料!AC146&lt;&gt;"",原始資料!AD146=原始資料!AC146),N(AA146)+1,1))</f>
        <v/>
      </c>
      <c r="AC146" s="6">
        <f>IF(OR(原始資料!$A146="",28&gt;設定!$B$3,原始資料!AE146=""),"",IF(AND(原始資料!AD146&lt;&gt;"",原始資料!AE146=原始資料!AD146),N(AB146)+1,1))</f>
        <v/>
      </c>
      <c r="AD146" s="6">
        <f>IF(OR(原始資料!$A146="",29&gt;設定!$B$3,原始資料!AF146=""),"",IF(AND(原始資料!AE146&lt;&gt;"",原始資料!AF146=原始資料!AE146),N(AC146)+1,1))</f>
        <v/>
      </c>
      <c r="AE146" s="6">
        <f>IF(OR(原始資料!$A146="",30&gt;設定!$B$3,原始資料!AG146=""),"",IF(AND(原始資料!AF146&lt;&gt;"",原始資料!AG146=原始資料!AF146),N(AD146)+1,1))</f>
        <v/>
      </c>
      <c r="AF146" s="6">
        <f>IF(OR(原始資料!$A146="",31&gt;設定!$B$3,原始資料!AH146=""),"",IF(AND(原始資料!AG146&lt;&gt;"",原始資料!AH146=原始資料!AG146),N(AE146)+1,1))</f>
        <v/>
      </c>
      <c r="AG146" s="6">
        <f>IF(OR(原始資料!$A146="",32&gt;設定!$B$3,原始資料!AI146=""),"",IF(AND(原始資料!AH146&lt;&gt;"",原始資料!AI146=原始資料!AH146),N(AF146)+1,1))</f>
        <v/>
      </c>
      <c r="AH146" s="6">
        <f>IF(OR(原始資料!$A146="",33&gt;設定!$B$3,原始資料!AJ146=""),"",IF(AND(原始資料!AI146&lt;&gt;"",原始資料!AJ146=原始資料!AI146),N(AG146)+1,1))</f>
        <v/>
      </c>
      <c r="AI146" s="6">
        <f>IF(OR(原始資料!$A146="",34&gt;設定!$B$3,原始資料!AK146=""),"",IF(AND(原始資料!AJ146&lt;&gt;"",原始資料!AK146=原始資料!AJ146),N(AH146)+1,1))</f>
        <v/>
      </c>
      <c r="AJ146" s="6">
        <f>IF(OR(原始資料!$A146="",35&gt;設定!$B$3,原始資料!AL146=""),"",IF(AND(原始資料!AK146&lt;&gt;"",原始資料!AL146=原始資料!AK146),N(AI146)+1,1))</f>
        <v/>
      </c>
      <c r="AK146" s="6">
        <f>IF(OR(原始資料!$A146="",36&gt;設定!$B$3,原始資料!AM146=""),"",IF(AND(原始資料!AL146&lt;&gt;"",原始資料!AM146=原始資料!AL146),N(AJ146)+1,1))</f>
        <v/>
      </c>
      <c r="AL146" s="6">
        <f>IF(OR(原始資料!$A146="",37&gt;設定!$B$3,原始資料!AN146=""),"",IF(AND(原始資料!AM146&lt;&gt;"",原始資料!AN146=原始資料!AM146),N(AK146)+1,1))</f>
        <v/>
      </c>
      <c r="AM146" s="6">
        <f>IF(OR(原始資料!$A146="",38&gt;設定!$B$3,原始資料!AO146=""),"",IF(AND(原始資料!AN146&lt;&gt;"",原始資料!AO146=原始資料!AN146),N(AL146)+1,1))</f>
        <v/>
      </c>
      <c r="AN146" s="6">
        <f>IF(OR(原始資料!$A146="",39&gt;設定!$B$3,原始資料!AP146=""),"",IF(AND(原始資料!AO146&lt;&gt;"",原始資料!AP146=原始資料!AO146),N(AM146)+1,1))</f>
        <v/>
      </c>
      <c r="AO146" s="6">
        <f>IF(OR(原始資料!$A146="",40&gt;設定!$B$3,原始資料!AQ146=""),"",IF(AND(原始資料!AP146&lt;&gt;"",原始資料!AQ146=原始資料!AP146),N(AN146)+1,1))</f>
        <v/>
      </c>
      <c r="AP146" s="6">
        <f>IF(OR(原始資料!$A146="",41&gt;設定!$B$3,原始資料!AR146=""),"",IF(AND(原始資料!AQ146&lt;&gt;"",原始資料!AR146=原始資料!AQ146),N(AO146)+1,1))</f>
        <v/>
      </c>
      <c r="AQ146" s="6">
        <f>IF(OR(原始資料!$A146="",42&gt;設定!$B$3,原始資料!AS146=""),"",IF(AND(原始資料!AR146&lt;&gt;"",原始資料!AS146=原始資料!AR146),N(AP146)+1,1))</f>
        <v/>
      </c>
      <c r="AR146" s="6">
        <f>IF(OR(原始資料!$A146="",43&gt;設定!$B$3,原始資料!AT146=""),"",IF(AND(原始資料!AS146&lt;&gt;"",原始資料!AT146=原始資料!AS146),N(AQ146)+1,1))</f>
        <v/>
      </c>
      <c r="AS146" s="6">
        <f>IF(OR(原始資料!$A146="",44&gt;設定!$B$3,原始資料!AU146=""),"",IF(AND(原始資料!AT146&lt;&gt;"",原始資料!AU146=原始資料!AT146),N(AR146)+1,1))</f>
        <v/>
      </c>
      <c r="AT146" s="6">
        <f>IF(OR(原始資料!$A146="",45&gt;設定!$B$3,原始資料!AV146=""),"",IF(AND(原始資料!AU146&lt;&gt;"",原始資料!AV146=原始資料!AU146),N(AS146)+1,1))</f>
        <v/>
      </c>
      <c r="AU146" s="6">
        <f>IF(OR(原始資料!$A146="",46&gt;設定!$B$3,原始資料!AW146=""),"",IF(AND(原始資料!AV146&lt;&gt;"",原始資料!AW146=原始資料!AV146),N(AT146)+1,1))</f>
        <v/>
      </c>
      <c r="AV146" s="6">
        <f>IF(OR(原始資料!$A146="",47&gt;設定!$B$3,原始資料!AX146=""),"",IF(AND(原始資料!AW146&lt;&gt;"",原始資料!AX146=原始資料!AW146),N(AU146)+1,1))</f>
        <v/>
      </c>
      <c r="AW146" s="6">
        <f>IF(OR(原始資料!$A146="",48&gt;設定!$B$3,原始資料!AY146=""),"",IF(AND(原始資料!AX146&lt;&gt;"",原始資料!AY146=原始資料!AX146),N(AV146)+1,1))</f>
        <v/>
      </c>
      <c r="AX146" s="6">
        <f>IF(OR(原始資料!$A146="",49&gt;設定!$B$3,原始資料!AZ146=""),"",IF(AND(原始資料!AY146&lt;&gt;"",原始資料!AZ146=原始資料!AY146),N(AW146)+1,1))</f>
        <v/>
      </c>
      <c r="AY146" s="6">
        <f>IF(OR(原始資料!$A146="",50&gt;設定!$B$3,原始資料!BA146=""),"",IF(AND(原始資料!AZ146&lt;&gt;"",原始資料!BA146=原始資料!AZ146),N(AX146)+1,1))</f>
        <v/>
      </c>
      <c r="AZ146" s="6">
        <f>IF(OR(原始資料!$A146="",51&gt;設定!$B$3,原始資料!BB146=""),"",IF(AND(原始資料!BA146&lt;&gt;"",原始資料!BB146=原始資料!BA146),N(AY146)+1,1))</f>
        <v/>
      </c>
      <c r="BA146" s="6">
        <f>IF(OR(原始資料!$A146="",52&gt;設定!$B$3,原始資料!BC146=""),"",IF(AND(原始資料!BB146&lt;&gt;"",原始資料!BC146=原始資料!BB146),N(AZ146)+1,1))</f>
        <v/>
      </c>
      <c r="BB146" s="6">
        <f>IF(OR(原始資料!$A146="",53&gt;設定!$B$3,原始資料!BD146=""),"",IF(AND(原始資料!BC146&lt;&gt;"",原始資料!BD146=原始資料!BC146),N(BA146)+1,1))</f>
        <v/>
      </c>
      <c r="BC146" s="6">
        <f>IF(OR(原始資料!$A146="",54&gt;設定!$B$3,原始資料!BE146=""),"",IF(AND(原始資料!BD146&lt;&gt;"",原始資料!BE146=原始資料!BD146),N(BB146)+1,1))</f>
        <v/>
      </c>
      <c r="BD146" s="6">
        <f>IF(OR(原始資料!$A146="",55&gt;設定!$B$3,原始資料!BF146=""),"",IF(AND(原始資料!BE146&lt;&gt;"",原始資料!BF146=原始資料!BE146),N(BC146)+1,1))</f>
        <v/>
      </c>
      <c r="BE146" s="6">
        <f>IF(OR(原始資料!$A146="",56&gt;設定!$B$3,原始資料!BG146=""),"",IF(AND(原始資料!BF146&lt;&gt;"",原始資料!BG146=原始資料!BF146),N(BD146)+1,1))</f>
        <v/>
      </c>
      <c r="BF146" s="6">
        <f>IF(OR(原始資料!$A146="",57&gt;設定!$B$3,原始資料!BH146=""),"",IF(AND(原始資料!BG146&lt;&gt;"",原始資料!BH146=原始資料!BG146),N(BE146)+1,1))</f>
        <v/>
      </c>
      <c r="BG146" s="6">
        <f>IF(OR(原始資料!$A146="",58&gt;設定!$B$3,原始資料!BI146=""),"",IF(AND(原始資料!BH146&lt;&gt;"",原始資料!BI146=原始資料!BH146),N(BF146)+1,1))</f>
        <v/>
      </c>
      <c r="BH146" s="6">
        <f>IF(OR(原始資料!$A146="",59&gt;設定!$B$3,原始資料!BJ146=""),"",IF(AND(原始資料!BI146&lt;&gt;"",原始資料!BJ146=原始資料!BI146),N(BG146)+1,1))</f>
        <v/>
      </c>
      <c r="BI146" s="6">
        <f>IF(OR(原始資料!$A146="",60&gt;設定!$B$3,原始資料!BK146=""),"",IF(AND(原始資料!BJ146&lt;&gt;"",原始資料!BK146=原始資料!BJ146),N(BH146)+1,1))</f>
        <v/>
      </c>
    </row>
    <row r="147">
      <c r="A147" s="6">
        <f>IF(原始資料!$A147="","",原始資料!$A147)</f>
        <v/>
      </c>
      <c r="B147" s="6">
        <f>IF(OR(原始資料!$A147="",1&gt;設定!$B$3,原始資料!D147=""),"",1)</f>
        <v/>
      </c>
      <c r="C147" s="6">
        <f>IF(OR(原始資料!$A147="",2&gt;設定!$B$3,原始資料!E147=""),"",IF(AND(原始資料!D147&lt;&gt;"",原始資料!E147=原始資料!D147),N(B147)+1,1))</f>
        <v/>
      </c>
      <c r="D147" s="6">
        <f>IF(OR(原始資料!$A147="",3&gt;設定!$B$3,原始資料!F147=""),"",IF(AND(原始資料!E147&lt;&gt;"",原始資料!F147=原始資料!E147),N(C147)+1,1))</f>
        <v/>
      </c>
      <c r="E147" s="6">
        <f>IF(OR(原始資料!$A147="",4&gt;設定!$B$3,原始資料!G147=""),"",IF(AND(原始資料!F147&lt;&gt;"",原始資料!G147=原始資料!F147),N(D147)+1,1))</f>
        <v/>
      </c>
      <c r="F147" s="6">
        <f>IF(OR(原始資料!$A147="",5&gt;設定!$B$3,原始資料!H147=""),"",IF(AND(原始資料!G147&lt;&gt;"",原始資料!H147=原始資料!G147),N(E147)+1,1))</f>
        <v/>
      </c>
      <c r="G147" s="6">
        <f>IF(OR(原始資料!$A147="",6&gt;設定!$B$3,原始資料!I147=""),"",IF(AND(原始資料!H147&lt;&gt;"",原始資料!I147=原始資料!H147),N(F147)+1,1))</f>
        <v/>
      </c>
      <c r="H147" s="6">
        <f>IF(OR(原始資料!$A147="",7&gt;設定!$B$3,原始資料!J147=""),"",IF(AND(原始資料!I147&lt;&gt;"",原始資料!J147=原始資料!I147),N(G147)+1,1))</f>
        <v/>
      </c>
      <c r="I147" s="6">
        <f>IF(OR(原始資料!$A147="",8&gt;設定!$B$3,原始資料!K147=""),"",IF(AND(原始資料!J147&lt;&gt;"",原始資料!K147=原始資料!J147),N(H147)+1,1))</f>
        <v/>
      </c>
      <c r="J147" s="6">
        <f>IF(OR(原始資料!$A147="",9&gt;設定!$B$3,原始資料!L147=""),"",IF(AND(原始資料!K147&lt;&gt;"",原始資料!L147=原始資料!K147),N(I147)+1,1))</f>
        <v/>
      </c>
      <c r="K147" s="6">
        <f>IF(OR(原始資料!$A147="",10&gt;設定!$B$3,原始資料!M147=""),"",IF(AND(原始資料!L147&lt;&gt;"",原始資料!M147=原始資料!L147),N(J147)+1,1))</f>
        <v/>
      </c>
      <c r="L147" s="6">
        <f>IF(OR(原始資料!$A147="",11&gt;設定!$B$3,原始資料!N147=""),"",IF(AND(原始資料!M147&lt;&gt;"",原始資料!N147=原始資料!M147),N(K147)+1,1))</f>
        <v/>
      </c>
      <c r="M147" s="6">
        <f>IF(OR(原始資料!$A147="",12&gt;設定!$B$3,原始資料!O147=""),"",IF(AND(原始資料!N147&lt;&gt;"",原始資料!O147=原始資料!N147),N(L147)+1,1))</f>
        <v/>
      </c>
      <c r="N147" s="6">
        <f>IF(OR(原始資料!$A147="",13&gt;設定!$B$3,原始資料!P147=""),"",IF(AND(原始資料!O147&lt;&gt;"",原始資料!P147=原始資料!O147),N(M147)+1,1))</f>
        <v/>
      </c>
      <c r="O147" s="6">
        <f>IF(OR(原始資料!$A147="",14&gt;設定!$B$3,原始資料!Q147=""),"",IF(AND(原始資料!P147&lt;&gt;"",原始資料!Q147=原始資料!P147),N(N147)+1,1))</f>
        <v/>
      </c>
      <c r="P147" s="6">
        <f>IF(OR(原始資料!$A147="",15&gt;設定!$B$3,原始資料!R147=""),"",IF(AND(原始資料!Q147&lt;&gt;"",原始資料!R147=原始資料!Q147),N(O147)+1,1))</f>
        <v/>
      </c>
      <c r="Q147" s="6">
        <f>IF(OR(原始資料!$A147="",16&gt;設定!$B$3,原始資料!S147=""),"",IF(AND(原始資料!R147&lt;&gt;"",原始資料!S147=原始資料!R147),N(P147)+1,1))</f>
        <v/>
      </c>
      <c r="R147" s="6">
        <f>IF(OR(原始資料!$A147="",17&gt;設定!$B$3,原始資料!T147=""),"",IF(AND(原始資料!S147&lt;&gt;"",原始資料!T147=原始資料!S147),N(Q147)+1,1))</f>
        <v/>
      </c>
      <c r="S147" s="6">
        <f>IF(OR(原始資料!$A147="",18&gt;設定!$B$3,原始資料!U147=""),"",IF(AND(原始資料!T147&lt;&gt;"",原始資料!U147=原始資料!T147),N(R147)+1,1))</f>
        <v/>
      </c>
      <c r="T147" s="6">
        <f>IF(OR(原始資料!$A147="",19&gt;設定!$B$3,原始資料!V147=""),"",IF(AND(原始資料!U147&lt;&gt;"",原始資料!V147=原始資料!U147),N(S147)+1,1))</f>
        <v/>
      </c>
      <c r="U147" s="6">
        <f>IF(OR(原始資料!$A147="",20&gt;設定!$B$3,原始資料!W147=""),"",IF(AND(原始資料!V147&lt;&gt;"",原始資料!W147=原始資料!V147),N(T147)+1,1))</f>
        <v/>
      </c>
      <c r="V147" s="6">
        <f>IF(OR(原始資料!$A147="",21&gt;設定!$B$3,原始資料!X147=""),"",IF(AND(原始資料!W147&lt;&gt;"",原始資料!X147=原始資料!W147),N(U147)+1,1))</f>
        <v/>
      </c>
      <c r="W147" s="6">
        <f>IF(OR(原始資料!$A147="",22&gt;設定!$B$3,原始資料!Y147=""),"",IF(AND(原始資料!X147&lt;&gt;"",原始資料!Y147=原始資料!X147),N(V147)+1,1))</f>
        <v/>
      </c>
      <c r="X147" s="6">
        <f>IF(OR(原始資料!$A147="",23&gt;設定!$B$3,原始資料!Z147=""),"",IF(AND(原始資料!Y147&lt;&gt;"",原始資料!Z147=原始資料!Y147),N(W147)+1,1))</f>
        <v/>
      </c>
      <c r="Y147" s="6">
        <f>IF(OR(原始資料!$A147="",24&gt;設定!$B$3,原始資料!AA147=""),"",IF(AND(原始資料!Z147&lt;&gt;"",原始資料!AA147=原始資料!Z147),N(X147)+1,1))</f>
        <v/>
      </c>
      <c r="Z147" s="6">
        <f>IF(OR(原始資料!$A147="",25&gt;設定!$B$3,原始資料!AB147=""),"",IF(AND(原始資料!AA147&lt;&gt;"",原始資料!AB147=原始資料!AA147),N(Y147)+1,1))</f>
        <v/>
      </c>
      <c r="AA147" s="6">
        <f>IF(OR(原始資料!$A147="",26&gt;設定!$B$3,原始資料!AC147=""),"",IF(AND(原始資料!AB147&lt;&gt;"",原始資料!AC147=原始資料!AB147),N(Z147)+1,1))</f>
        <v/>
      </c>
      <c r="AB147" s="6">
        <f>IF(OR(原始資料!$A147="",27&gt;設定!$B$3,原始資料!AD147=""),"",IF(AND(原始資料!AC147&lt;&gt;"",原始資料!AD147=原始資料!AC147),N(AA147)+1,1))</f>
        <v/>
      </c>
      <c r="AC147" s="6">
        <f>IF(OR(原始資料!$A147="",28&gt;設定!$B$3,原始資料!AE147=""),"",IF(AND(原始資料!AD147&lt;&gt;"",原始資料!AE147=原始資料!AD147),N(AB147)+1,1))</f>
        <v/>
      </c>
      <c r="AD147" s="6">
        <f>IF(OR(原始資料!$A147="",29&gt;設定!$B$3,原始資料!AF147=""),"",IF(AND(原始資料!AE147&lt;&gt;"",原始資料!AF147=原始資料!AE147),N(AC147)+1,1))</f>
        <v/>
      </c>
      <c r="AE147" s="6">
        <f>IF(OR(原始資料!$A147="",30&gt;設定!$B$3,原始資料!AG147=""),"",IF(AND(原始資料!AF147&lt;&gt;"",原始資料!AG147=原始資料!AF147),N(AD147)+1,1))</f>
        <v/>
      </c>
      <c r="AF147" s="6">
        <f>IF(OR(原始資料!$A147="",31&gt;設定!$B$3,原始資料!AH147=""),"",IF(AND(原始資料!AG147&lt;&gt;"",原始資料!AH147=原始資料!AG147),N(AE147)+1,1))</f>
        <v/>
      </c>
      <c r="AG147" s="6">
        <f>IF(OR(原始資料!$A147="",32&gt;設定!$B$3,原始資料!AI147=""),"",IF(AND(原始資料!AH147&lt;&gt;"",原始資料!AI147=原始資料!AH147),N(AF147)+1,1))</f>
        <v/>
      </c>
      <c r="AH147" s="6">
        <f>IF(OR(原始資料!$A147="",33&gt;設定!$B$3,原始資料!AJ147=""),"",IF(AND(原始資料!AI147&lt;&gt;"",原始資料!AJ147=原始資料!AI147),N(AG147)+1,1))</f>
        <v/>
      </c>
      <c r="AI147" s="6">
        <f>IF(OR(原始資料!$A147="",34&gt;設定!$B$3,原始資料!AK147=""),"",IF(AND(原始資料!AJ147&lt;&gt;"",原始資料!AK147=原始資料!AJ147),N(AH147)+1,1))</f>
        <v/>
      </c>
      <c r="AJ147" s="6">
        <f>IF(OR(原始資料!$A147="",35&gt;設定!$B$3,原始資料!AL147=""),"",IF(AND(原始資料!AK147&lt;&gt;"",原始資料!AL147=原始資料!AK147),N(AI147)+1,1))</f>
        <v/>
      </c>
      <c r="AK147" s="6">
        <f>IF(OR(原始資料!$A147="",36&gt;設定!$B$3,原始資料!AM147=""),"",IF(AND(原始資料!AL147&lt;&gt;"",原始資料!AM147=原始資料!AL147),N(AJ147)+1,1))</f>
        <v/>
      </c>
      <c r="AL147" s="6">
        <f>IF(OR(原始資料!$A147="",37&gt;設定!$B$3,原始資料!AN147=""),"",IF(AND(原始資料!AM147&lt;&gt;"",原始資料!AN147=原始資料!AM147),N(AK147)+1,1))</f>
        <v/>
      </c>
      <c r="AM147" s="6">
        <f>IF(OR(原始資料!$A147="",38&gt;設定!$B$3,原始資料!AO147=""),"",IF(AND(原始資料!AN147&lt;&gt;"",原始資料!AO147=原始資料!AN147),N(AL147)+1,1))</f>
        <v/>
      </c>
      <c r="AN147" s="6">
        <f>IF(OR(原始資料!$A147="",39&gt;設定!$B$3,原始資料!AP147=""),"",IF(AND(原始資料!AO147&lt;&gt;"",原始資料!AP147=原始資料!AO147),N(AM147)+1,1))</f>
        <v/>
      </c>
      <c r="AO147" s="6">
        <f>IF(OR(原始資料!$A147="",40&gt;設定!$B$3,原始資料!AQ147=""),"",IF(AND(原始資料!AP147&lt;&gt;"",原始資料!AQ147=原始資料!AP147),N(AN147)+1,1))</f>
        <v/>
      </c>
      <c r="AP147" s="6">
        <f>IF(OR(原始資料!$A147="",41&gt;設定!$B$3,原始資料!AR147=""),"",IF(AND(原始資料!AQ147&lt;&gt;"",原始資料!AR147=原始資料!AQ147),N(AO147)+1,1))</f>
        <v/>
      </c>
      <c r="AQ147" s="6">
        <f>IF(OR(原始資料!$A147="",42&gt;設定!$B$3,原始資料!AS147=""),"",IF(AND(原始資料!AR147&lt;&gt;"",原始資料!AS147=原始資料!AR147),N(AP147)+1,1))</f>
        <v/>
      </c>
      <c r="AR147" s="6">
        <f>IF(OR(原始資料!$A147="",43&gt;設定!$B$3,原始資料!AT147=""),"",IF(AND(原始資料!AS147&lt;&gt;"",原始資料!AT147=原始資料!AS147),N(AQ147)+1,1))</f>
        <v/>
      </c>
      <c r="AS147" s="6">
        <f>IF(OR(原始資料!$A147="",44&gt;設定!$B$3,原始資料!AU147=""),"",IF(AND(原始資料!AT147&lt;&gt;"",原始資料!AU147=原始資料!AT147),N(AR147)+1,1))</f>
        <v/>
      </c>
      <c r="AT147" s="6">
        <f>IF(OR(原始資料!$A147="",45&gt;設定!$B$3,原始資料!AV147=""),"",IF(AND(原始資料!AU147&lt;&gt;"",原始資料!AV147=原始資料!AU147),N(AS147)+1,1))</f>
        <v/>
      </c>
      <c r="AU147" s="6">
        <f>IF(OR(原始資料!$A147="",46&gt;設定!$B$3,原始資料!AW147=""),"",IF(AND(原始資料!AV147&lt;&gt;"",原始資料!AW147=原始資料!AV147),N(AT147)+1,1))</f>
        <v/>
      </c>
      <c r="AV147" s="6">
        <f>IF(OR(原始資料!$A147="",47&gt;設定!$B$3,原始資料!AX147=""),"",IF(AND(原始資料!AW147&lt;&gt;"",原始資料!AX147=原始資料!AW147),N(AU147)+1,1))</f>
        <v/>
      </c>
      <c r="AW147" s="6">
        <f>IF(OR(原始資料!$A147="",48&gt;設定!$B$3,原始資料!AY147=""),"",IF(AND(原始資料!AX147&lt;&gt;"",原始資料!AY147=原始資料!AX147),N(AV147)+1,1))</f>
        <v/>
      </c>
      <c r="AX147" s="6">
        <f>IF(OR(原始資料!$A147="",49&gt;設定!$B$3,原始資料!AZ147=""),"",IF(AND(原始資料!AY147&lt;&gt;"",原始資料!AZ147=原始資料!AY147),N(AW147)+1,1))</f>
        <v/>
      </c>
      <c r="AY147" s="6">
        <f>IF(OR(原始資料!$A147="",50&gt;設定!$B$3,原始資料!BA147=""),"",IF(AND(原始資料!AZ147&lt;&gt;"",原始資料!BA147=原始資料!AZ147),N(AX147)+1,1))</f>
        <v/>
      </c>
      <c r="AZ147" s="6">
        <f>IF(OR(原始資料!$A147="",51&gt;設定!$B$3,原始資料!BB147=""),"",IF(AND(原始資料!BA147&lt;&gt;"",原始資料!BB147=原始資料!BA147),N(AY147)+1,1))</f>
        <v/>
      </c>
      <c r="BA147" s="6">
        <f>IF(OR(原始資料!$A147="",52&gt;設定!$B$3,原始資料!BC147=""),"",IF(AND(原始資料!BB147&lt;&gt;"",原始資料!BC147=原始資料!BB147),N(AZ147)+1,1))</f>
        <v/>
      </c>
      <c r="BB147" s="6">
        <f>IF(OR(原始資料!$A147="",53&gt;設定!$B$3,原始資料!BD147=""),"",IF(AND(原始資料!BC147&lt;&gt;"",原始資料!BD147=原始資料!BC147),N(BA147)+1,1))</f>
        <v/>
      </c>
      <c r="BC147" s="6">
        <f>IF(OR(原始資料!$A147="",54&gt;設定!$B$3,原始資料!BE147=""),"",IF(AND(原始資料!BD147&lt;&gt;"",原始資料!BE147=原始資料!BD147),N(BB147)+1,1))</f>
        <v/>
      </c>
      <c r="BD147" s="6">
        <f>IF(OR(原始資料!$A147="",55&gt;設定!$B$3,原始資料!BF147=""),"",IF(AND(原始資料!BE147&lt;&gt;"",原始資料!BF147=原始資料!BE147),N(BC147)+1,1))</f>
        <v/>
      </c>
      <c r="BE147" s="6">
        <f>IF(OR(原始資料!$A147="",56&gt;設定!$B$3,原始資料!BG147=""),"",IF(AND(原始資料!BF147&lt;&gt;"",原始資料!BG147=原始資料!BF147),N(BD147)+1,1))</f>
        <v/>
      </c>
      <c r="BF147" s="6">
        <f>IF(OR(原始資料!$A147="",57&gt;設定!$B$3,原始資料!BH147=""),"",IF(AND(原始資料!BG147&lt;&gt;"",原始資料!BH147=原始資料!BG147),N(BE147)+1,1))</f>
        <v/>
      </c>
      <c r="BG147" s="6">
        <f>IF(OR(原始資料!$A147="",58&gt;設定!$B$3,原始資料!BI147=""),"",IF(AND(原始資料!BH147&lt;&gt;"",原始資料!BI147=原始資料!BH147),N(BF147)+1,1))</f>
        <v/>
      </c>
      <c r="BH147" s="6">
        <f>IF(OR(原始資料!$A147="",59&gt;設定!$B$3,原始資料!BJ147=""),"",IF(AND(原始資料!BI147&lt;&gt;"",原始資料!BJ147=原始資料!BI147),N(BG147)+1,1))</f>
        <v/>
      </c>
      <c r="BI147" s="6">
        <f>IF(OR(原始資料!$A147="",60&gt;設定!$B$3,原始資料!BK147=""),"",IF(AND(原始資料!BJ147&lt;&gt;"",原始資料!BK147=原始資料!BJ147),N(BH147)+1,1))</f>
        <v/>
      </c>
    </row>
    <row r="148">
      <c r="A148" s="6">
        <f>IF(原始資料!$A148="","",原始資料!$A148)</f>
        <v/>
      </c>
      <c r="B148" s="6">
        <f>IF(OR(原始資料!$A148="",1&gt;設定!$B$3,原始資料!D148=""),"",1)</f>
        <v/>
      </c>
      <c r="C148" s="6">
        <f>IF(OR(原始資料!$A148="",2&gt;設定!$B$3,原始資料!E148=""),"",IF(AND(原始資料!D148&lt;&gt;"",原始資料!E148=原始資料!D148),N(B148)+1,1))</f>
        <v/>
      </c>
      <c r="D148" s="6">
        <f>IF(OR(原始資料!$A148="",3&gt;設定!$B$3,原始資料!F148=""),"",IF(AND(原始資料!E148&lt;&gt;"",原始資料!F148=原始資料!E148),N(C148)+1,1))</f>
        <v/>
      </c>
      <c r="E148" s="6">
        <f>IF(OR(原始資料!$A148="",4&gt;設定!$B$3,原始資料!G148=""),"",IF(AND(原始資料!F148&lt;&gt;"",原始資料!G148=原始資料!F148),N(D148)+1,1))</f>
        <v/>
      </c>
      <c r="F148" s="6">
        <f>IF(OR(原始資料!$A148="",5&gt;設定!$B$3,原始資料!H148=""),"",IF(AND(原始資料!G148&lt;&gt;"",原始資料!H148=原始資料!G148),N(E148)+1,1))</f>
        <v/>
      </c>
      <c r="G148" s="6">
        <f>IF(OR(原始資料!$A148="",6&gt;設定!$B$3,原始資料!I148=""),"",IF(AND(原始資料!H148&lt;&gt;"",原始資料!I148=原始資料!H148),N(F148)+1,1))</f>
        <v/>
      </c>
      <c r="H148" s="6">
        <f>IF(OR(原始資料!$A148="",7&gt;設定!$B$3,原始資料!J148=""),"",IF(AND(原始資料!I148&lt;&gt;"",原始資料!J148=原始資料!I148),N(G148)+1,1))</f>
        <v/>
      </c>
      <c r="I148" s="6">
        <f>IF(OR(原始資料!$A148="",8&gt;設定!$B$3,原始資料!K148=""),"",IF(AND(原始資料!J148&lt;&gt;"",原始資料!K148=原始資料!J148),N(H148)+1,1))</f>
        <v/>
      </c>
      <c r="J148" s="6">
        <f>IF(OR(原始資料!$A148="",9&gt;設定!$B$3,原始資料!L148=""),"",IF(AND(原始資料!K148&lt;&gt;"",原始資料!L148=原始資料!K148),N(I148)+1,1))</f>
        <v/>
      </c>
      <c r="K148" s="6">
        <f>IF(OR(原始資料!$A148="",10&gt;設定!$B$3,原始資料!M148=""),"",IF(AND(原始資料!L148&lt;&gt;"",原始資料!M148=原始資料!L148),N(J148)+1,1))</f>
        <v/>
      </c>
      <c r="L148" s="6">
        <f>IF(OR(原始資料!$A148="",11&gt;設定!$B$3,原始資料!N148=""),"",IF(AND(原始資料!M148&lt;&gt;"",原始資料!N148=原始資料!M148),N(K148)+1,1))</f>
        <v/>
      </c>
      <c r="M148" s="6">
        <f>IF(OR(原始資料!$A148="",12&gt;設定!$B$3,原始資料!O148=""),"",IF(AND(原始資料!N148&lt;&gt;"",原始資料!O148=原始資料!N148),N(L148)+1,1))</f>
        <v/>
      </c>
      <c r="N148" s="6">
        <f>IF(OR(原始資料!$A148="",13&gt;設定!$B$3,原始資料!P148=""),"",IF(AND(原始資料!O148&lt;&gt;"",原始資料!P148=原始資料!O148),N(M148)+1,1))</f>
        <v/>
      </c>
      <c r="O148" s="6">
        <f>IF(OR(原始資料!$A148="",14&gt;設定!$B$3,原始資料!Q148=""),"",IF(AND(原始資料!P148&lt;&gt;"",原始資料!Q148=原始資料!P148),N(N148)+1,1))</f>
        <v/>
      </c>
      <c r="P148" s="6">
        <f>IF(OR(原始資料!$A148="",15&gt;設定!$B$3,原始資料!R148=""),"",IF(AND(原始資料!Q148&lt;&gt;"",原始資料!R148=原始資料!Q148),N(O148)+1,1))</f>
        <v/>
      </c>
      <c r="Q148" s="6">
        <f>IF(OR(原始資料!$A148="",16&gt;設定!$B$3,原始資料!S148=""),"",IF(AND(原始資料!R148&lt;&gt;"",原始資料!S148=原始資料!R148),N(P148)+1,1))</f>
        <v/>
      </c>
      <c r="R148" s="6">
        <f>IF(OR(原始資料!$A148="",17&gt;設定!$B$3,原始資料!T148=""),"",IF(AND(原始資料!S148&lt;&gt;"",原始資料!T148=原始資料!S148),N(Q148)+1,1))</f>
        <v/>
      </c>
      <c r="S148" s="6">
        <f>IF(OR(原始資料!$A148="",18&gt;設定!$B$3,原始資料!U148=""),"",IF(AND(原始資料!T148&lt;&gt;"",原始資料!U148=原始資料!T148),N(R148)+1,1))</f>
        <v/>
      </c>
      <c r="T148" s="6">
        <f>IF(OR(原始資料!$A148="",19&gt;設定!$B$3,原始資料!V148=""),"",IF(AND(原始資料!U148&lt;&gt;"",原始資料!V148=原始資料!U148),N(S148)+1,1))</f>
        <v/>
      </c>
      <c r="U148" s="6">
        <f>IF(OR(原始資料!$A148="",20&gt;設定!$B$3,原始資料!W148=""),"",IF(AND(原始資料!V148&lt;&gt;"",原始資料!W148=原始資料!V148),N(T148)+1,1))</f>
        <v/>
      </c>
      <c r="V148" s="6">
        <f>IF(OR(原始資料!$A148="",21&gt;設定!$B$3,原始資料!X148=""),"",IF(AND(原始資料!W148&lt;&gt;"",原始資料!X148=原始資料!W148),N(U148)+1,1))</f>
        <v/>
      </c>
      <c r="W148" s="6">
        <f>IF(OR(原始資料!$A148="",22&gt;設定!$B$3,原始資料!Y148=""),"",IF(AND(原始資料!X148&lt;&gt;"",原始資料!Y148=原始資料!X148),N(V148)+1,1))</f>
        <v/>
      </c>
      <c r="X148" s="6">
        <f>IF(OR(原始資料!$A148="",23&gt;設定!$B$3,原始資料!Z148=""),"",IF(AND(原始資料!Y148&lt;&gt;"",原始資料!Z148=原始資料!Y148),N(W148)+1,1))</f>
        <v/>
      </c>
      <c r="Y148" s="6">
        <f>IF(OR(原始資料!$A148="",24&gt;設定!$B$3,原始資料!AA148=""),"",IF(AND(原始資料!Z148&lt;&gt;"",原始資料!AA148=原始資料!Z148),N(X148)+1,1))</f>
        <v/>
      </c>
      <c r="Z148" s="6">
        <f>IF(OR(原始資料!$A148="",25&gt;設定!$B$3,原始資料!AB148=""),"",IF(AND(原始資料!AA148&lt;&gt;"",原始資料!AB148=原始資料!AA148),N(Y148)+1,1))</f>
        <v/>
      </c>
      <c r="AA148" s="6">
        <f>IF(OR(原始資料!$A148="",26&gt;設定!$B$3,原始資料!AC148=""),"",IF(AND(原始資料!AB148&lt;&gt;"",原始資料!AC148=原始資料!AB148),N(Z148)+1,1))</f>
        <v/>
      </c>
      <c r="AB148" s="6">
        <f>IF(OR(原始資料!$A148="",27&gt;設定!$B$3,原始資料!AD148=""),"",IF(AND(原始資料!AC148&lt;&gt;"",原始資料!AD148=原始資料!AC148),N(AA148)+1,1))</f>
        <v/>
      </c>
      <c r="AC148" s="6">
        <f>IF(OR(原始資料!$A148="",28&gt;設定!$B$3,原始資料!AE148=""),"",IF(AND(原始資料!AD148&lt;&gt;"",原始資料!AE148=原始資料!AD148),N(AB148)+1,1))</f>
        <v/>
      </c>
      <c r="AD148" s="6">
        <f>IF(OR(原始資料!$A148="",29&gt;設定!$B$3,原始資料!AF148=""),"",IF(AND(原始資料!AE148&lt;&gt;"",原始資料!AF148=原始資料!AE148),N(AC148)+1,1))</f>
        <v/>
      </c>
      <c r="AE148" s="6">
        <f>IF(OR(原始資料!$A148="",30&gt;設定!$B$3,原始資料!AG148=""),"",IF(AND(原始資料!AF148&lt;&gt;"",原始資料!AG148=原始資料!AF148),N(AD148)+1,1))</f>
        <v/>
      </c>
      <c r="AF148" s="6">
        <f>IF(OR(原始資料!$A148="",31&gt;設定!$B$3,原始資料!AH148=""),"",IF(AND(原始資料!AG148&lt;&gt;"",原始資料!AH148=原始資料!AG148),N(AE148)+1,1))</f>
        <v/>
      </c>
      <c r="AG148" s="6">
        <f>IF(OR(原始資料!$A148="",32&gt;設定!$B$3,原始資料!AI148=""),"",IF(AND(原始資料!AH148&lt;&gt;"",原始資料!AI148=原始資料!AH148),N(AF148)+1,1))</f>
        <v/>
      </c>
      <c r="AH148" s="6">
        <f>IF(OR(原始資料!$A148="",33&gt;設定!$B$3,原始資料!AJ148=""),"",IF(AND(原始資料!AI148&lt;&gt;"",原始資料!AJ148=原始資料!AI148),N(AG148)+1,1))</f>
        <v/>
      </c>
      <c r="AI148" s="6">
        <f>IF(OR(原始資料!$A148="",34&gt;設定!$B$3,原始資料!AK148=""),"",IF(AND(原始資料!AJ148&lt;&gt;"",原始資料!AK148=原始資料!AJ148),N(AH148)+1,1))</f>
        <v/>
      </c>
      <c r="AJ148" s="6">
        <f>IF(OR(原始資料!$A148="",35&gt;設定!$B$3,原始資料!AL148=""),"",IF(AND(原始資料!AK148&lt;&gt;"",原始資料!AL148=原始資料!AK148),N(AI148)+1,1))</f>
        <v/>
      </c>
      <c r="AK148" s="6">
        <f>IF(OR(原始資料!$A148="",36&gt;設定!$B$3,原始資料!AM148=""),"",IF(AND(原始資料!AL148&lt;&gt;"",原始資料!AM148=原始資料!AL148),N(AJ148)+1,1))</f>
        <v/>
      </c>
      <c r="AL148" s="6">
        <f>IF(OR(原始資料!$A148="",37&gt;設定!$B$3,原始資料!AN148=""),"",IF(AND(原始資料!AM148&lt;&gt;"",原始資料!AN148=原始資料!AM148),N(AK148)+1,1))</f>
        <v/>
      </c>
      <c r="AM148" s="6">
        <f>IF(OR(原始資料!$A148="",38&gt;設定!$B$3,原始資料!AO148=""),"",IF(AND(原始資料!AN148&lt;&gt;"",原始資料!AO148=原始資料!AN148),N(AL148)+1,1))</f>
        <v/>
      </c>
      <c r="AN148" s="6">
        <f>IF(OR(原始資料!$A148="",39&gt;設定!$B$3,原始資料!AP148=""),"",IF(AND(原始資料!AO148&lt;&gt;"",原始資料!AP148=原始資料!AO148),N(AM148)+1,1))</f>
        <v/>
      </c>
      <c r="AO148" s="6">
        <f>IF(OR(原始資料!$A148="",40&gt;設定!$B$3,原始資料!AQ148=""),"",IF(AND(原始資料!AP148&lt;&gt;"",原始資料!AQ148=原始資料!AP148),N(AN148)+1,1))</f>
        <v/>
      </c>
      <c r="AP148" s="6">
        <f>IF(OR(原始資料!$A148="",41&gt;設定!$B$3,原始資料!AR148=""),"",IF(AND(原始資料!AQ148&lt;&gt;"",原始資料!AR148=原始資料!AQ148),N(AO148)+1,1))</f>
        <v/>
      </c>
      <c r="AQ148" s="6">
        <f>IF(OR(原始資料!$A148="",42&gt;設定!$B$3,原始資料!AS148=""),"",IF(AND(原始資料!AR148&lt;&gt;"",原始資料!AS148=原始資料!AR148),N(AP148)+1,1))</f>
        <v/>
      </c>
      <c r="AR148" s="6">
        <f>IF(OR(原始資料!$A148="",43&gt;設定!$B$3,原始資料!AT148=""),"",IF(AND(原始資料!AS148&lt;&gt;"",原始資料!AT148=原始資料!AS148),N(AQ148)+1,1))</f>
        <v/>
      </c>
      <c r="AS148" s="6">
        <f>IF(OR(原始資料!$A148="",44&gt;設定!$B$3,原始資料!AU148=""),"",IF(AND(原始資料!AT148&lt;&gt;"",原始資料!AU148=原始資料!AT148),N(AR148)+1,1))</f>
        <v/>
      </c>
      <c r="AT148" s="6">
        <f>IF(OR(原始資料!$A148="",45&gt;設定!$B$3,原始資料!AV148=""),"",IF(AND(原始資料!AU148&lt;&gt;"",原始資料!AV148=原始資料!AU148),N(AS148)+1,1))</f>
        <v/>
      </c>
      <c r="AU148" s="6">
        <f>IF(OR(原始資料!$A148="",46&gt;設定!$B$3,原始資料!AW148=""),"",IF(AND(原始資料!AV148&lt;&gt;"",原始資料!AW148=原始資料!AV148),N(AT148)+1,1))</f>
        <v/>
      </c>
      <c r="AV148" s="6">
        <f>IF(OR(原始資料!$A148="",47&gt;設定!$B$3,原始資料!AX148=""),"",IF(AND(原始資料!AW148&lt;&gt;"",原始資料!AX148=原始資料!AW148),N(AU148)+1,1))</f>
        <v/>
      </c>
      <c r="AW148" s="6">
        <f>IF(OR(原始資料!$A148="",48&gt;設定!$B$3,原始資料!AY148=""),"",IF(AND(原始資料!AX148&lt;&gt;"",原始資料!AY148=原始資料!AX148),N(AV148)+1,1))</f>
        <v/>
      </c>
      <c r="AX148" s="6">
        <f>IF(OR(原始資料!$A148="",49&gt;設定!$B$3,原始資料!AZ148=""),"",IF(AND(原始資料!AY148&lt;&gt;"",原始資料!AZ148=原始資料!AY148),N(AW148)+1,1))</f>
        <v/>
      </c>
      <c r="AY148" s="6">
        <f>IF(OR(原始資料!$A148="",50&gt;設定!$B$3,原始資料!BA148=""),"",IF(AND(原始資料!AZ148&lt;&gt;"",原始資料!BA148=原始資料!AZ148),N(AX148)+1,1))</f>
        <v/>
      </c>
      <c r="AZ148" s="6">
        <f>IF(OR(原始資料!$A148="",51&gt;設定!$B$3,原始資料!BB148=""),"",IF(AND(原始資料!BA148&lt;&gt;"",原始資料!BB148=原始資料!BA148),N(AY148)+1,1))</f>
        <v/>
      </c>
      <c r="BA148" s="6">
        <f>IF(OR(原始資料!$A148="",52&gt;設定!$B$3,原始資料!BC148=""),"",IF(AND(原始資料!BB148&lt;&gt;"",原始資料!BC148=原始資料!BB148),N(AZ148)+1,1))</f>
        <v/>
      </c>
      <c r="BB148" s="6">
        <f>IF(OR(原始資料!$A148="",53&gt;設定!$B$3,原始資料!BD148=""),"",IF(AND(原始資料!BC148&lt;&gt;"",原始資料!BD148=原始資料!BC148),N(BA148)+1,1))</f>
        <v/>
      </c>
      <c r="BC148" s="6">
        <f>IF(OR(原始資料!$A148="",54&gt;設定!$B$3,原始資料!BE148=""),"",IF(AND(原始資料!BD148&lt;&gt;"",原始資料!BE148=原始資料!BD148),N(BB148)+1,1))</f>
        <v/>
      </c>
      <c r="BD148" s="6">
        <f>IF(OR(原始資料!$A148="",55&gt;設定!$B$3,原始資料!BF148=""),"",IF(AND(原始資料!BE148&lt;&gt;"",原始資料!BF148=原始資料!BE148),N(BC148)+1,1))</f>
        <v/>
      </c>
      <c r="BE148" s="6">
        <f>IF(OR(原始資料!$A148="",56&gt;設定!$B$3,原始資料!BG148=""),"",IF(AND(原始資料!BF148&lt;&gt;"",原始資料!BG148=原始資料!BF148),N(BD148)+1,1))</f>
        <v/>
      </c>
      <c r="BF148" s="6">
        <f>IF(OR(原始資料!$A148="",57&gt;設定!$B$3,原始資料!BH148=""),"",IF(AND(原始資料!BG148&lt;&gt;"",原始資料!BH148=原始資料!BG148),N(BE148)+1,1))</f>
        <v/>
      </c>
      <c r="BG148" s="6">
        <f>IF(OR(原始資料!$A148="",58&gt;設定!$B$3,原始資料!BI148=""),"",IF(AND(原始資料!BH148&lt;&gt;"",原始資料!BI148=原始資料!BH148),N(BF148)+1,1))</f>
        <v/>
      </c>
      <c r="BH148" s="6">
        <f>IF(OR(原始資料!$A148="",59&gt;設定!$B$3,原始資料!BJ148=""),"",IF(AND(原始資料!BI148&lt;&gt;"",原始資料!BJ148=原始資料!BI148),N(BG148)+1,1))</f>
        <v/>
      </c>
      <c r="BI148" s="6">
        <f>IF(OR(原始資料!$A148="",60&gt;設定!$B$3,原始資料!BK148=""),"",IF(AND(原始資料!BJ148&lt;&gt;"",原始資料!BK148=原始資料!BJ148),N(BH148)+1,1))</f>
        <v/>
      </c>
    </row>
    <row r="149">
      <c r="A149" s="6">
        <f>IF(原始資料!$A149="","",原始資料!$A149)</f>
        <v/>
      </c>
      <c r="B149" s="6">
        <f>IF(OR(原始資料!$A149="",1&gt;設定!$B$3,原始資料!D149=""),"",1)</f>
        <v/>
      </c>
      <c r="C149" s="6">
        <f>IF(OR(原始資料!$A149="",2&gt;設定!$B$3,原始資料!E149=""),"",IF(AND(原始資料!D149&lt;&gt;"",原始資料!E149=原始資料!D149),N(B149)+1,1))</f>
        <v/>
      </c>
      <c r="D149" s="6">
        <f>IF(OR(原始資料!$A149="",3&gt;設定!$B$3,原始資料!F149=""),"",IF(AND(原始資料!E149&lt;&gt;"",原始資料!F149=原始資料!E149),N(C149)+1,1))</f>
        <v/>
      </c>
      <c r="E149" s="6">
        <f>IF(OR(原始資料!$A149="",4&gt;設定!$B$3,原始資料!G149=""),"",IF(AND(原始資料!F149&lt;&gt;"",原始資料!G149=原始資料!F149),N(D149)+1,1))</f>
        <v/>
      </c>
      <c r="F149" s="6">
        <f>IF(OR(原始資料!$A149="",5&gt;設定!$B$3,原始資料!H149=""),"",IF(AND(原始資料!G149&lt;&gt;"",原始資料!H149=原始資料!G149),N(E149)+1,1))</f>
        <v/>
      </c>
      <c r="G149" s="6">
        <f>IF(OR(原始資料!$A149="",6&gt;設定!$B$3,原始資料!I149=""),"",IF(AND(原始資料!H149&lt;&gt;"",原始資料!I149=原始資料!H149),N(F149)+1,1))</f>
        <v/>
      </c>
      <c r="H149" s="6">
        <f>IF(OR(原始資料!$A149="",7&gt;設定!$B$3,原始資料!J149=""),"",IF(AND(原始資料!I149&lt;&gt;"",原始資料!J149=原始資料!I149),N(G149)+1,1))</f>
        <v/>
      </c>
      <c r="I149" s="6">
        <f>IF(OR(原始資料!$A149="",8&gt;設定!$B$3,原始資料!K149=""),"",IF(AND(原始資料!J149&lt;&gt;"",原始資料!K149=原始資料!J149),N(H149)+1,1))</f>
        <v/>
      </c>
      <c r="J149" s="6">
        <f>IF(OR(原始資料!$A149="",9&gt;設定!$B$3,原始資料!L149=""),"",IF(AND(原始資料!K149&lt;&gt;"",原始資料!L149=原始資料!K149),N(I149)+1,1))</f>
        <v/>
      </c>
      <c r="K149" s="6">
        <f>IF(OR(原始資料!$A149="",10&gt;設定!$B$3,原始資料!M149=""),"",IF(AND(原始資料!L149&lt;&gt;"",原始資料!M149=原始資料!L149),N(J149)+1,1))</f>
        <v/>
      </c>
      <c r="L149" s="6">
        <f>IF(OR(原始資料!$A149="",11&gt;設定!$B$3,原始資料!N149=""),"",IF(AND(原始資料!M149&lt;&gt;"",原始資料!N149=原始資料!M149),N(K149)+1,1))</f>
        <v/>
      </c>
      <c r="M149" s="6">
        <f>IF(OR(原始資料!$A149="",12&gt;設定!$B$3,原始資料!O149=""),"",IF(AND(原始資料!N149&lt;&gt;"",原始資料!O149=原始資料!N149),N(L149)+1,1))</f>
        <v/>
      </c>
      <c r="N149" s="6">
        <f>IF(OR(原始資料!$A149="",13&gt;設定!$B$3,原始資料!P149=""),"",IF(AND(原始資料!O149&lt;&gt;"",原始資料!P149=原始資料!O149),N(M149)+1,1))</f>
        <v/>
      </c>
      <c r="O149" s="6">
        <f>IF(OR(原始資料!$A149="",14&gt;設定!$B$3,原始資料!Q149=""),"",IF(AND(原始資料!P149&lt;&gt;"",原始資料!Q149=原始資料!P149),N(N149)+1,1))</f>
        <v/>
      </c>
      <c r="P149" s="6">
        <f>IF(OR(原始資料!$A149="",15&gt;設定!$B$3,原始資料!R149=""),"",IF(AND(原始資料!Q149&lt;&gt;"",原始資料!R149=原始資料!Q149),N(O149)+1,1))</f>
        <v/>
      </c>
      <c r="Q149" s="6">
        <f>IF(OR(原始資料!$A149="",16&gt;設定!$B$3,原始資料!S149=""),"",IF(AND(原始資料!R149&lt;&gt;"",原始資料!S149=原始資料!R149),N(P149)+1,1))</f>
        <v/>
      </c>
      <c r="R149" s="6">
        <f>IF(OR(原始資料!$A149="",17&gt;設定!$B$3,原始資料!T149=""),"",IF(AND(原始資料!S149&lt;&gt;"",原始資料!T149=原始資料!S149),N(Q149)+1,1))</f>
        <v/>
      </c>
      <c r="S149" s="6">
        <f>IF(OR(原始資料!$A149="",18&gt;設定!$B$3,原始資料!U149=""),"",IF(AND(原始資料!T149&lt;&gt;"",原始資料!U149=原始資料!T149),N(R149)+1,1))</f>
        <v/>
      </c>
      <c r="T149" s="6">
        <f>IF(OR(原始資料!$A149="",19&gt;設定!$B$3,原始資料!V149=""),"",IF(AND(原始資料!U149&lt;&gt;"",原始資料!V149=原始資料!U149),N(S149)+1,1))</f>
        <v/>
      </c>
      <c r="U149" s="6">
        <f>IF(OR(原始資料!$A149="",20&gt;設定!$B$3,原始資料!W149=""),"",IF(AND(原始資料!V149&lt;&gt;"",原始資料!W149=原始資料!V149),N(T149)+1,1))</f>
        <v/>
      </c>
      <c r="V149" s="6">
        <f>IF(OR(原始資料!$A149="",21&gt;設定!$B$3,原始資料!X149=""),"",IF(AND(原始資料!W149&lt;&gt;"",原始資料!X149=原始資料!W149),N(U149)+1,1))</f>
        <v/>
      </c>
      <c r="W149" s="6">
        <f>IF(OR(原始資料!$A149="",22&gt;設定!$B$3,原始資料!Y149=""),"",IF(AND(原始資料!X149&lt;&gt;"",原始資料!Y149=原始資料!X149),N(V149)+1,1))</f>
        <v/>
      </c>
      <c r="X149" s="6">
        <f>IF(OR(原始資料!$A149="",23&gt;設定!$B$3,原始資料!Z149=""),"",IF(AND(原始資料!Y149&lt;&gt;"",原始資料!Z149=原始資料!Y149),N(W149)+1,1))</f>
        <v/>
      </c>
      <c r="Y149" s="6">
        <f>IF(OR(原始資料!$A149="",24&gt;設定!$B$3,原始資料!AA149=""),"",IF(AND(原始資料!Z149&lt;&gt;"",原始資料!AA149=原始資料!Z149),N(X149)+1,1))</f>
        <v/>
      </c>
      <c r="Z149" s="6">
        <f>IF(OR(原始資料!$A149="",25&gt;設定!$B$3,原始資料!AB149=""),"",IF(AND(原始資料!AA149&lt;&gt;"",原始資料!AB149=原始資料!AA149),N(Y149)+1,1))</f>
        <v/>
      </c>
      <c r="AA149" s="6">
        <f>IF(OR(原始資料!$A149="",26&gt;設定!$B$3,原始資料!AC149=""),"",IF(AND(原始資料!AB149&lt;&gt;"",原始資料!AC149=原始資料!AB149),N(Z149)+1,1))</f>
        <v/>
      </c>
      <c r="AB149" s="6">
        <f>IF(OR(原始資料!$A149="",27&gt;設定!$B$3,原始資料!AD149=""),"",IF(AND(原始資料!AC149&lt;&gt;"",原始資料!AD149=原始資料!AC149),N(AA149)+1,1))</f>
        <v/>
      </c>
      <c r="AC149" s="6">
        <f>IF(OR(原始資料!$A149="",28&gt;設定!$B$3,原始資料!AE149=""),"",IF(AND(原始資料!AD149&lt;&gt;"",原始資料!AE149=原始資料!AD149),N(AB149)+1,1))</f>
        <v/>
      </c>
      <c r="AD149" s="6">
        <f>IF(OR(原始資料!$A149="",29&gt;設定!$B$3,原始資料!AF149=""),"",IF(AND(原始資料!AE149&lt;&gt;"",原始資料!AF149=原始資料!AE149),N(AC149)+1,1))</f>
        <v/>
      </c>
      <c r="AE149" s="6">
        <f>IF(OR(原始資料!$A149="",30&gt;設定!$B$3,原始資料!AG149=""),"",IF(AND(原始資料!AF149&lt;&gt;"",原始資料!AG149=原始資料!AF149),N(AD149)+1,1))</f>
        <v/>
      </c>
      <c r="AF149" s="6">
        <f>IF(OR(原始資料!$A149="",31&gt;設定!$B$3,原始資料!AH149=""),"",IF(AND(原始資料!AG149&lt;&gt;"",原始資料!AH149=原始資料!AG149),N(AE149)+1,1))</f>
        <v/>
      </c>
      <c r="AG149" s="6">
        <f>IF(OR(原始資料!$A149="",32&gt;設定!$B$3,原始資料!AI149=""),"",IF(AND(原始資料!AH149&lt;&gt;"",原始資料!AI149=原始資料!AH149),N(AF149)+1,1))</f>
        <v/>
      </c>
      <c r="AH149" s="6">
        <f>IF(OR(原始資料!$A149="",33&gt;設定!$B$3,原始資料!AJ149=""),"",IF(AND(原始資料!AI149&lt;&gt;"",原始資料!AJ149=原始資料!AI149),N(AG149)+1,1))</f>
        <v/>
      </c>
      <c r="AI149" s="6">
        <f>IF(OR(原始資料!$A149="",34&gt;設定!$B$3,原始資料!AK149=""),"",IF(AND(原始資料!AJ149&lt;&gt;"",原始資料!AK149=原始資料!AJ149),N(AH149)+1,1))</f>
        <v/>
      </c>
      <c r="AJ149" s="6">
        <f>IF(OR(原始資料!$A149="",35&gt;設定!$B$3,原始資料!AL149=""),"",IF(AND(原始資料!AK149&lt;&gt;"",原始資料!AL149=原始資料!AK149),N(AI149)+1,1))</f>
        <v/>
      </c>
      <c r="AK149" s="6">
        <f>IF(OR(原始資料!$A149="",36&gt;設定!$B$3,原始資料!AM149=""),"",IF(AND(原始資料!AL149&lt;&gt;"",原始資料!AM149=原始資料!AL149),N(AJ149)+1,1))</f>
        <v/>
      </c>
      <c r="AL149" s="6">
        <f>IF(OR(原始資料!$A149="",37&gt;設定!$B$3,原始資料!AN149=""),"",IF(AND(原始資料!AM149&lt;&gt;"",原始資料!AN149=原始資料!AM149),N(AK149)+1,1))</f>
        <v/>
      </c>
      <c r="AM149" s="6">
        <f>IF(OR(原始資料!$A149="",38&gt;設定!$B$3,原始資料!AO149=""),"",IF(AND(原始資料!AN149&lt;&gt;"",原始資料!AO149=原始資料!AN149),N(AL149)+1,1))</f>
        <v/>
      </c>
      <c r="AN149" s="6">
        <f>IF(OR(原始資料!$A149="",39&gt;設定!$B$3,原始資料!AP149=""),"",IF(AND(原始資料!AO149&lt;&gt;"",原始資料!AP149=原始資料!AO149),N(AM149)+1,1))</f>
        <v/>
      </c>
      <c r="AO149" s="6">
        <f>IF(OR(原始資料!$A149="",40&gt;設定!$B$3,原始資料!AQ149=""),"",IF(AND(原始資料!AP149&lt;&gt;"",原始資料!AQ149=原始資料!AP149),N(AN149)+1,1))</f>
        <v/>
      </c>
      <c r="AP149" s="6">
        <f>IF(OR(原始資料!$A149="",41&gt;設定!$B$3,原始資料!AR149=""),"",IF(AND(原始資料!AQ149&lt;&gt;"",原始資料!AR149=原始資料!AQ149),N(AO149)+1,1))</f>
        <v/>
      </c>
      <c r="AQ149" s="6">
        <f>IF(OR(原始資料!$A149="",42&gt;設定!$B$3,原始資料!AS149=""),"",IF(AND(原始資料!AR149&lt;&gt;"",原始資料!AS149=原始資料!AR149),N(AP149)+1,1))</f>
        <v/>
      </c>
      <c r="AR149" s="6">
        <f>IF(OR(原始資料!$A149="",43&gt;設定!$B$3,原始資料!AT149=""),"",IF(AND(原始資料!AS149&lt;&gt;"",原始資料!AT149=原始資料!AS149),N(AQ149)+1,1))</f>
        <v/>
      </c>
      <c r="AS149" s="6">
        <f>IF(OR(原始資料!$A149="",44&gt;設定!$B$3,原始資料!AU149=""),"",IF(AND(原始資料!AT149&lt;&gt;"",原始資料!AU149=原始資料!AT149),N(AR149)+1,1))</f>
        <v/>
      </c>
      <c r="AT149" s="6">
        <f>IF(OR(原始資料!$A149="",45&gt;設定!$B$3,原始資料!AV149=""),"",IF(AND(原始資料!AU149&lt;&gt;"",原始資料!AV149=原始資料!AU149),N(AS149)+1,1))</f>
        <v/>
      </c>
      <c r="AU149" s="6">
        <f>IF(OR(原始資料!$A149="",46&gt;設定!$B$3,原始資料!AW149=""),"",IF(AND(原始資料!AV149&lt;&gt;"",原始資料!AW149=原始資料!AV149),N(AT149)+1,1))</f>
        <v/>
      </c>
      <c r="AV149" s="6">
        <f>IF(OR(原始資料!$A149="",47&gt;設定!$B$3,原始資料!AX149=""),"",IF(AND(原始資料!AW149&lt;&gt;"",原始資料!AX149=原始資料!AW149),N(AU149)+1,1))</f>
        <v/>
      </c>
      <c r="AW149" s="6">
        <f>IF(OR(原始資料!$A149="",48&gt;設定!$B$3,原始資料!AY149=""),"",IF(AND(原始資料!AX149&lt;&gt;"",原始資料!AY149=原始資料!AX149),N(AV149)+1,1))</f>
        <v/>
      </c>
      <c r="AX149" s="6">
        <f>IF(OR(原始資料!$A149="",49&gt;設定!$B$3,原始資料!AZ149=""),"",IF(AND(原始資料!AY149&lt;&gt;"",原始資料!AZ149=原始資料!AY149),N(AW149)+1,1))</f>
        <v/>
      </c>
      <c r="AY149" s="6">
        <f>IF(OR(原始資料!$A149="",50&gt;設定!$B$3,原始資料!BA149=""),"",IF(AND(原始資料!AZ149&lt;&gt;"",原始資料!BA149=原始資料!AZ149),N(AX149)+1,1))</f>
        <v/>
      </c>
      <c r="AZ149" s="6">
        <f>IF(OR(原始資料!$A149="",51&gt;設定!$B$3,原始資料!BB149=""),"",IF(AND(原始資料!BA149&lt;&gt;"",原始資料!BB149=原始資料!BA149),N(AY149)+1,1))</f>
        <v/>
      </c>
      <c r="BA149" s="6">
        <f>IF(OR(原始資料!$A149="",52&gt;設定!$B$3,原始資料!BC149=""),"",IF(AND(原始資料!BB149&lt;&gt;"",原始資料!BC149=原始資料!BB149),N(AZ149)+1,1))</f>
        <v/>
      </c>
      <c r="BB149" s="6">
        <f>IF(OR(原始資料!$A149="",53&gt;設定!$B$3,原始資料!BD149=""),"",IF(AND(原始資料!BC149&lt;&gt;"",原始資料!BD149=原始資料!BC149),N(BA149)+1,1))</f>
        <v/>
      </c>
      <c r="BC149" s="6">
        <f>IF(OR(原始資料!$A149="",54&gt;設定!$B$3,原始資料!BE149=""),"",IF(AND(原始資料!BD149&lt;&gt;"",原始資料!BE149=原始資料!BD149),N(BB149)+1,1))</f>
        <v/>
      </c>
      <c r="BD149" s="6">
        <f>IF(OR(原始資料!$A149="",55&gt;設定!$B$3,原始資料!BF149=""),"",IF(AND(原始資料!BE149&lt;&gt;"",原始資料!BF149=原始資料!BE149),N(BC149)+1,1))</f>
        <v/>
      </c>
      <c r="BE149" s="6">
        <f>IF(OR(原始資料!$A149="",56&gt;設定!$B$3,原始資料!BG149=""),"",IF(AND(原始資料!BF149&lt;&gt;"",原始資料!BG149=原始資料!BF149),N(BD149)+1,1))</f>
        <v/>
      </c>
      <c r="BF149" s="6">
        <f>IF(OR(原始資料!$A149="",57&gt;設定!$B$3,原始資料!BH149=""),"",IF(AND(原始資料!BG149&lt;&gt;"",原始資料!BH149=原始資料!BG149),N(BE149)+1,1))</f>
        <v/>
      </c>
      <c r="BG149" s="6">
        <f>IF(OR(原始資料!$A149="",58&gt;設定!$B$3,原始資料!BI149=""),"",IF(AND(原始資料!BH149&lt;&gt;"",原始資料!BI149=原始資料!BH149),N(BF149)+1,1))</f>
        <v/>
      </c>
      <c r="BH149" s="6">
        <f>IF(OR(原始資料!$A149="",59&gt;設定!$B$3,原始資料!BJ149=""),"",IF(AND(原始資料!BI149&lt;&gt;"",原始資料!BJ149=原始資料!BI149),N(BG149)+1,1))</f>
        <v/>
      </c>
      <c r="BI149" s="6">
        <f>IF(OR(原始資料!$A149="",60&gt;設定!$B$3,原始資料!BK149=""),"",IF(AND(原始資料!BJ149&lt;&gt;"",原始資料!BK149=原始資料!BJ149),N(BH149)+1,1))</f>
        <v/>
      </c>
    </row>
    <row r="150">
      <c r="A150" s="6">
        <f>IF(原始資料!$A150="","",原始資料!$A150)</f>
        <v/>
      </c>
      <c r="B150" s="6">
        <f>IF(OR(原始資料!$A150="",1&gt;設定!$B$3,原始資料!D150=""),"",1)</f>
        <v/>
      </c>
      <c r="C150" s="6">
        <f>IF(OR(原始資料!$A150="",2&gt;設定!$B$3,原始資料!E150=""),"",IF(AND(原始資料!D150&lt;&gt;"",原始資料!E150=原始資料!D150),N(B150)+1,1))</f>
        <v/>
      </c>
      <c r="D150" s="6">
        <f>IF(OR(原始資料!$A150="",3&gt;設定!$B$3,原始資料!F150=""),"",IF(AND(原始資料!E150&lt;&gt;"",原始資料!F150=原始資料!E150),N(C150)+1,1))</f>
        <v/>
      </c>
      <c r="E150" s="6">
        <f>IF(OR(原始資料!$A150="",4&gt;設定!$B$3,原始資料!G150=""),"",IF(AND(原始資料!F150&lt;&gt;"",原始資料!G150=原始資料!F150),N(D150)+1,1))</f>
        <v/>
      </c>
      <c r="F150" s="6">
        <f>IF(OR(原始資料!$A150="",5&gt;設定!$B$3,原始資料!H150=""),"",IF(AND(原始資料!G150&lt;&gt;"",原始資料!H150=原始資料!G150),N(E150)+1,1))</f>
        <v/>
      </c>
      <c r="G150" s="6">
        <f>IF(OR(原始資料!$A150="",6&gt;設定!$B$3,原始資料!I150=""),"",IF(AND(原始資料!H150&lt;&gt;"",原始資料!I150=原始資料!H150),N(F150)+1,1))</f>
        <v/>
      </c>
      <c r="H150" s="6">
        <f>IF(OR(原始資料!$A150="",7&gt;設定!$B$3,原始資料!J150=""),"",IF(AND(原始資料!I150&lt;&gt;"",原始資料!J150=原始資料!I150),N(G150)+1,1))</f>
        <v/>
      </c>
      <c r="I150" s="6">
        <f>IF(OR(原始資料!$A150="",8&gt;設定!$B$3,原始資料!K150=""),"",IF(AND(原始資料!J150&lt;&gt;"",原始資料!K150=原始資料!J150),N(H150)+1,1))</f>
        <v/>
      </c>
      <c r="J150" s="6">
        <f>IF(OR(原始資料!$A150="",9&gt;設定!$B$3,原始資料!L150=""),"",IF(AND(原始資料!K150&lt;&gt;"",原始資料!L150=原始資料!K150),N(I150)+1,1))</f>
        <v/>
      </c>
      <c r="K150" s="6">
        <f>IF(OR(原始資料!$A150="",10&gt;設定!$B$3,原始資料!M150=""),"",IF(AND(原始資料!L150&lt;&gt;"",原始資料!M150=原始資料!L150),N(J150)+1,1))</f>
        <v/>
      </c>
      <c r="L150" s="6">
        <f>IF(OR(原始資料!$A150="",11&gt;設定!$B$3,原始資料!N150=""),"",IF(AND(原始資料!M150&lt;&gt;"",原始資料!N150=原始資料!M150),N(K150)+1,1))</f>
        <v/>
      </c>
      <c r="M150" s="6">
        <f>IF(OR(原始資料!$A150="",12&gt;設定!$B$3,原始資料!O150=""),"",IF(AND(原始資料!N150&lt;&gt;"",原始資料!O150=原始資料!N150),N(L150)+1,1))</f>
        <v/>
      </c>
      <c r="N150" s="6">
        <f>IF(OR(原始資料!$A150="",13&gt;設定!$B$3,原始資料!P150=""),"",IF(AND(原始資料!O150&lt;&gt;"",原始資料!P150=原始資料!O150),N(M150)+1,1))</f>
        <v/>
      </c>
      <c r="O150" s="6">
        <f>IF(OR(原始資料!$A150="",14&gt;設定!$B$3,原始資料!Q150=""),"",IF(AND(原始資料!P150&lt;&gt;"",原始資料!Q150=原始資料!P150),N(N150)+1,1))</f>
        <v/>
      </c>
      <c r="P150" s="6">
        <f>IF(OR(原始資料!$A150="",15&gt;設定!$B$3,原始資料!R150=""),"",IF(AND(原始資料!Q150&lt;&gt;"",原始資料!R150=原始資料!Q150),N(O150)+1,1))</f>
        <v/>
      </c>
      <c r="Q150" s="6">
        <f>IF(OR(原始資料!$A150="",16&gt;設定!$B$3,原始資料!S150=""),"",IF(AND(原始資料!R150&lt;&gt;"",原始資料!S150=原始資料!R150),N(P150)+1,1))</f>
        <v/>
      </c>
      <c r="R150" s="6">
        <f>IF(OR(原始資料!$A150="",17&gt;設定!$B$3,原始資料!T150=""),"",IF(AND(原始資料!S150&lt;&gt;"",原始資料!T150=原始資料!S150),N(Q150)+1,1))</f>
        <v/>
      </c>
      <c r="S150" s="6">
        <f>IF(OR(原始資料!$A150="",18&gt;設定!$B$3,原始資料!U150=""),"",IF(AND(原始資料!T150&lt;&gt;"",原始資料!U150=原始資料!T150),N(R150)+1,1))</f>
        <v/>
      </c>
      <c r="T150" s="6">
        <f>IF(OR(原始資料!$A150="",19&gt;設定!$B$3,原始資料!V150=""),"",IF(AND(原始資料!U150&lt;&gt;"",原始資料!V150=原始資料!U150),N(S150)+1,1))</f>
        <v/>
      </c>
      <c r="U150" s="6">
        <f>IF(OR(原始資料!$A150="",20&gt;設定!$B$3,原始資料!W150=""),"",IF(AND(原始資料!V150&lt;&gt;"",原始資料!W150=原始資料!V150),N(T150)+1,1))</f>
        <v/>
      </c>
      <c r="V150" s="6">
        <f>IF(OR(原始資料!$A150="",21&gt;設定!$B$3,原始資料!X150=""),"",IF(AND(原始資料!W150&lt;&gt;"",原始資料!X150=原始資料!W150),N(U150)+1,1))</f>
        <v/>
      </c>
      <c r="W150" s="6">
        <f>IF(OR(原始資料!$A150="",22&gt;設定!$B$3,原始資料!Y150=""),"",IF(AND(原始資料!X150&lt;&gt;"",原始資料!Y150=原始資料!X150),N(V150)+1,1))</f>
        <v/>
      </c>
      <c r="X150" s="6">
        <f>IF(OR(原始資料!$A150="",23&gt;設定!$B$3,原始資料!Z150=""),"",IF(AND(原始資料!Y150&lt;&gt;"",原始資料!Z150=原始資料!Y150),N(W150)+1,1))</f>
        <v/>
      </c>
      <c r="Y150" s="6">
        <f>IF(OR(原始資料!$A150="",24&gt;設定!$B$3,原始資料!AA150=""),"",IF(AND(原始資料!Z150&lt;&gt;"",原始資料!AA150=原始資料!Z150),N(X150)+1,1))</f>
        <v/>
      </c>
      <c r="Z150" s="6">
        <f>IF(OR(原始資料!$A150="",25&gt;設定!$B$3,原始資料!AB150=""),"",IF(AND(原始資料!AA150&lt;&gt;"",原始資料!AB150=原始資料!AA150),N(Y150)+1,1))</f>
        <v/>
      </c>
      <c r="AA150" s="6">
        <f>IF(OR(原始資料!$A150="",26&gt;設定!$B$3,原始資料!AC150=""),"",IF(AND(原始資料!AB150&lt;&gt;"",原始資料!AC150=原始資料!AB150),N(Z150)+1,1))</f>
        <v/>
      </c>
      <c r="AB150" s="6">
        <f>IF(OR(原始資料!$A150="",27&gt;設定!$B$3,原始資料!AD150=""),"",IF(AND(原始資料!AC150&lt;&gt;"",原始資料!AD150=原始資料!AC150),N(AA150)+1,1))</f>
        <v/>
      </c>
      <c r="AC150" s="6">
        <f>IF(OR(原始資料!$A150="",28&gt;設定!$B$3,原始資料!AE150=""),"",IF(AND(原始資料!AD150&lt;&gt;"",原始資料!AE150=原始資料!AD150),N(AB150)+1,1))</f>
        <v/>
      </c>
      <c r="AD150" s="6">
        <f>IF(OR(原始資料!$A150="",29&gt;設定!$B$3,原始資料!AF150=""),"",IF(AND(原始資料!AE150&lt;&gt;"",原始資料!AF150=原始資料!AE150),N(AC150)+1,1))</f>
        <v/>
      </c>
      <c r="AE150" s="6">
        <f>IF(OR(原始資料!$A150="",30&gt;設定!$B$3,原始資料!AG150=""),"",IF(AND(原始資料!AF150&lt;&gt;"",原始資料!AG150=原始資料!AF150),N(AD150)+1,1))</f>
        <v/>
      </c>
      <c r="AF150" s="6">
        <f>IF(OR(原始資料!$A150="",31&gt;設定!$B$3,原始資料!AH150=""),"",IF(AND(原始資料!AG150&lt;&gt;"",原始資料!AH150=原始資料!AG150),N(AE150)+1,1))</f>
        <v/>
      </c>
      <c r="AG150" s="6">
        <f>IF(OR(原始資料!$A150="",32&gt;設定!$B$3,原始資料!AI150=""),"",IF(AND(原始資料!AH150&lt;&gt;"",原始資料!AI150=原始資料!AH150),N(AF150)+1,1))</f>
        <v/>
      </c>
      <c r="AH150" s="6">
        <f>IF(OR(原始資料!$A150="",33&gt;設定!$B$3,原始資料!AJ150=""),"",IF(AND(原始資料!AI150&lt;&gt;"",原始資料!AJ150=原始資料!AI150),N(AG150)+1,1))</f>
        <v/>
      </c>
      <c r="AI150" s="6">
        <f>IF(OR(原始資料!$A150="",34&gt;設定!$B$3,原始資料!AK150=""),"",IF(AND(原始資料!AJ150&lt;&gt;"",原始資料!AK150=原始資料!AJ150),N(AH150)+1,1))</f>
        <v/>
      </c>
      <c r="AJ150" s="6">
        <f>IF(OR(原始資料!$A150="",35&gt;設定!$B$3,原始資料!AL150=""),"",IF(AND(原始資料!AK150&lt;&gt;"",原始資料!AL150=原始資料!AK150),N(AI150)+1,1))</f>
        <v/>
      </c>
      <c r="AK150" s="6">
        <f>IF(OR(原始資料!$A150="",36&gt;設定!$B$3,原始資料!AM150=""),"",IF(AND(原始資料!AL150&lt;&gt;"",原始資料!AM150=原始資料!AL150),N(AJ150)+1,1))</f>
        <v/>
      </c>
      <c r="AL150" s="6">
        <f>IF(OR(原始資料!$A150="",37&gt;設定!$B$3,原始資料!AN150=""),"",IF(AND(原始資料!AM150&lt;&gt;"",原始資料!AN150=原始資料!AM150),N(AK150)+1,1))</f>
        <v/>
      </c>
      <c r="AM150" s="6">
        <f>IF(OR(原始資料!$A150="",38&gt;設定!$B$3,原始資料!AO150=""),"",IF(AND(原始資料!AN150&lt;&gt;"",原始資料!AO150=原始資料!AN150),N(AL150)+1,1))</f>
        <v/>
      </c>
      <c r="AN150" s="6">
        <f>IF(OR(原始資料!$A150="",39&gt;設定!$B$3,原始資料!AP150=""),"",IF(AND(原始資料!AO150&lt;&gt;"",原始資料!AP150=原始資料!AO150),N(AM150)+1,1))</f>
        <v/>
      </c>
      <c r="AO150" s="6">
        <f>IF(OR(原始資料!$A150="",40&gt;設定!$B$3,原始資料!AQ150=""),"",IF(AND(原始資料!AP150&lt;&gt;"",原始資料!AQ150=原始資料!AP150),N(AN150)+1,1))</f>
        <v/>
      </c>
      <c r="AP150" s="6">
        <f>IF(OR(原始資料!$A150="",41&gt;設定!$B$3,原始資料!AR150=""),"",IF(AND(原始資料!AQ150&lt;&gt;"",原始資料!AR150=原始資料!AQ150),N(AO150)+1,1))</f>
        <v/>
      </c>
      <c r="AQ150" s="6">
        <f>IF(OR(原始資料!$A150="",42&gt;設定!$B$3,原始資料!AS150=""),"",IF(AND(原始資料!AR150&lt;&gt;"",原始資料!AS150=原始資料!AR150),N(AP150)+1,1))</f>
        <v/>
      </c>
      <c r="AR150" s="6">
        <f>IF(OR(原始資料!$A150="",43&gt;設定!$B$3,原始資料!AT150=""),"",IF(AND(原始資料!AS150&lt;&gt;"",原始資料!AT150=原始資料!AS150),N(AQ150)+1,1))</f>
        <v/>
      </c>
      <c r="AS150" s="6">
        <f>IF(OR(原始資料!$A150="",44&gt;設定!$B$3,原始資料!AU150=""),"",IF(AND(原始資料!AT150&lt;&gt;"",原始資料!AU150=原始資料!AT150),N(AR150)+1,1))</f>
        <v/>
      </c>
      <c r="AT150" s="6">
        <f>IF(OR(原始資料!$A150="",45&gt;設定!$B$3,原始資料!AV150=""),"",IF(AND(原始資料!AU150&lt;&gt;"",原始資料!AV150=原始資料!AU150),N(AS150)+1,1))</f>
        <v/>
      </c>
      <c r="AU150" s="6">
        <f>IF(OR(原始資料!$A150="",46&gt;設定!$B$3,原始資料!AW150=""),"",IF(AND(原始資料!AV150&lt;&gt;"",原始資料!AW150=原始資料!AV150),N(AT150)+1,1))</f>
        <v/>
      </c>
      <c r="AV150" s="6">
        <f>IF(OR(原始資料!$A150="",47&gt;設定!$B$3,原始資料!AX150=""),"",IF(AND(原始資料!AW150&lt;&gt;"",原始資料!AX150=原始資料!AW150),N(AU150)+1,1))</f>
        <v/>
      </c>
      <c r="AW150" s="6">
        <f>IF(OR(原始資料!$A150="",48&gt;設定!$B$3,原始資料!AY150=""),"",IF(AND(原始資料!AX150&lt;&gt;"",原始資料!AY150=原始資料!AX150),N(AV150)+1,1))</f>
        <v/>
      </c>
      <c r="AX150" s="6">
        <f>IF(OR(原始資料!$A150="",49&gt;設定!$B$3,原始資料!AZ150=""),"",IF(AND(原始資料!AY150&lt;&gt;"",原始資料!AZ150=原始資料!AY150),N(AW150)+1,1))</f>
        <v/>
      </c>
      <c r="AY150" s="6">
        <f>IF(OR(原始資料!$A150="",50&gt;設定!$B$3,原始資料!BA150=""),"",IF(AND(原始資料!AZ150&lt;&gt;"",原始資料!BA150=原始資料!AZ150),N(AX150)+1,1))</f>
        <v/>
      </c>
      <c r="AZ150" s="6">
        <f>IF(OR(原始資料!$A150="",51&gt;設定!$B$3,原始資料!BB150=""),"",IF(AND(原始資料!BA150&lt;&gt;"",原始資料!BB150=原始資料!BA150),N(AY150)+1,1))</f>
        <v/>
      </c>
      <c r="BA150" s="6">
        <f>IF(OR(原始資料!$A150="",52&gt;設定!$B$3,原始資料!BC150=""),"",IF(AND(原始資料!BB150&lt;&gt;"",原始資料!BC150=原始資料!BB150),N(AZ150)+1,1))</f>
        <v/>
      </c>
      <c r="BB150" s="6">
        <f>IF(OR(原始資料!$A150="",53&gt;設定!$B$3,原始資料!BD150=""),"",IF(AND(原始資料!BC150&lt;&gt;"",原始資料!BD150=原始資料!BC150),N(BA150)+1,1))</f>
        <v/>
      </c>
      <c r="BC150" s="6">
        <f>IF(OR(原始資料!$A150="",54&gt;設定!$B$3,原始資料!BE150=""),"",IF(AND(原始資料!BD150&lt;&gt;"",原始資料!BE150=原始資料!BD150),N(BB150)+1,1))</f>
        <v/>
      </c>
      <c r="BD150" s="6">
        <f>IF(OR(原始資料!$A150="",55&gt;設定!$B$3,原始資料!BF150=""),"",IF(AND(原始資料!BE150&lt;&gt;"",原始資料!BF150=原始資料!BE150),N(BC150)+1,1))</f>
        <v/>
      </c>
      <c r="BE150" s="6">
        <f>IF(OR(原始資料!$A150="",56&gt;設定!$B$3,原始資料!BG150=""),"",IF(AND(原始資料!BF150&lt;&gt;"",原始資料!BG150=原始資料!BF150),N(BD150)+1,1))</f>
        <v/>
      </c>
      <c r="BF150" s="6">
        <f>IF(OR(原始資料!$A150="",57&gt;設定!$B$3,原始資料!BH150=""),"",IF(AND(原始資料!BG150&lt;&gt;"",原始資料!BH150=原始資料!BG150),N(BE150)+1,1))</f>
        <v/>
      </c>
      <c r="BG150" s="6">
        <f>IF(OR(原始資料!$A150="",58&gt;設定!$B$3,原始資料!BI150=""),"",IF(AND(原始資料!BH150&lt;&gt;"",原始資料!BI150=原始資料!BH150),N(BF150)+1,1))</f>
        <v/>
      </c>
      <c r="BH150" s="6">
        <f>IF(OR(原始資料!$A150="",59&gt;設定!$B$3,原始資料!BJ150=""),"",IF(AND(原始資料!BI150&lt;&gt;"",原始資料!BJ150=原始資料!BI150),N(BG150)+1,1))</f>
        <v/>
      </c>
      <c r="BI150" s="6">
        <f>IF(OR(原始資料!$A150="",60&gt;設定!$B$3,原始資料!BK150=""),"",IF(AND(原始資料!BJ150&lt;&gt;"",原始資料!BK150=原始資料!BJ150),N(BH150)+1,1))</f>
        <v/>
      </c>
    </row>
    <row r="151">
      <c r="A151" s="6">
        <f>IF(原始資料!$A151="","",原始資料!$A151)</f>
        <v/>
      </c>
      <c r="B151" s="6">
        <f>IF(OR(原始資料!$A151="",1&gt;設定!$B$3,原始資料!D151=""),"",1)</f>
        <v/>
      </c>
      <c r="C151" s="6">
        <f>IF(OR(原始資料!$A151="",2&gt;設定!$B$3,原始資料!E151=""),"",IF(AND(原始資料!D151&lt;&gt;"",原始資料!E151=原始資料!D151),N(B151)+1,1))</f>
        <v/>
      </c>
      <c r="D151" s="6">
        <f>IF(OR(原始資料!$A151="",3&gt;設定!$B$3,原始資料!F151=""),"",IF(AND(原始資料!E151&lt;&gt;"",原始資料!F151=原始資料!E151),N(C151)+1,1))</f>
        <v/>
      </c>
      <c r="E151" s="6">
        <f>IF(OR(原始資料!$A151="",4&gt;設定!$B$3,原始資料!G151=""),"",IF(AND(原始資料!F151&lt;&gt;"",原始資料!G151=原始資料!F151),N(D151)+1,1))</f>
        <v/>
      </c>
      <c r="F151" s="6">
        <f>IF(OR(原始資料!$A151="",5&gt;設定!$B$3,原始資料!H151=""),"",IF(AND(原始資料!G151&lt;&gt;"",原始資料!H151=原始資料!G151),N(E151)+1,1))</f>
        <v/>
      </c>
      <c r="G151" s="6">
        <f>IF(OR(原始資料!$A151="",6&gt;設定!$B$3,原始資料!I151=""),"",IF(AND(原始資料!H151&lt;&gt;"",原始資料!I151=原始資料!H151),N(F151)+1,1))</f>
        <v/>
      </c>
      <c r="H151" s="6">
        <f>IF(OR(原始資料!$A151="",7&gt;設定!$B$3,原始資料!J151=""),"",IF(AND(原始資料!I151&lt;&gt;"",原始資料!J151=原始資料!I151),N(G151)+1,1))</f>
        <v/>
      </c>
      <c r="I151" s="6">
        <f>IF(OR(原始資料!$A151="",8&gt;設定!$B$3,原始資料!K151=""),"",IF(AND(原始資料!J151&lt;&gt;"",原始資料!K151=原始資料!J151),N(H151)+1,1))</f>
        <v/>
      </c>
      <c r="J151" s="6">
        <f>IF(OR(原始資料!$A151="",9&gt;設定!$B$3,原始資料!L151=""),"",IF(AND(原始資料!K151&lt;&gt;"",原始資料!L151=原始資料!K151),N(I151)+1,1))</f>
        <v/>
      </c>
      <c r="K151" s="6">
        <f>IF(OR(原始資料!$A151="",10&gt;設定!$B$3,原始資料!M151=""),"",IF(AND(原始資料!L151&lt;&gt;"",原始資料!M151=原始資料!L151),N(J151)+1,1))</f>
        <v/>
      </c>
      <c r="L151" s="6">
        <f>IF(OR(原始資料!$A151="",11&gt;設定!$B$3,原始資料!N151=""),"",IF(AND(原始資料!M151&lt;&gt;"",原始資料!N151=原始資料!M151),N(K151)+1,1))</f>
        <v/>
      </c>
      <c r="M151" s="6">
        <f>IF(OR(原始資料!$A151="",12&gt;設定!$B$3,原始資料!O151=""),"",IF(AND(原始資料!N151&lt;&gt;"",原始資料!O151=原始資料!N151),N(L151)+1,1))</f>
        <v/>
      </c>
      <c r="N151" s="6">
        <f>IF(OR(原始資料!$A151="",13&gt;設定!$B$3,原始資料!P151=""),"",IF(AND(原始資料!O151&lt;&gt;"",原始資料!P151=原始資料!O151),N(M151)+1,1))</f>
        <v/>
      </c>
      <c r="O151" s="6">
        <f>IF(OR(原始資料!$A151="",14&gt;設定!$B$3,原始資料!Q151=""),"",IF(AND(原始資料!P151&lt;&gt;"",原始資料!Q151=原始資料!P151),N(N151)+1,1))</f>
        <v/>
      </c>
      <c r="P151" s="6">
        <f>IF(OR(原始資料!$A151="",15&gt;設定!$B$3,原始資料!R151=""),"",IF(AND(原始資料!Q151&lt;&gt;"",原始資料!R151=原始資料!Q151),N(O151)+1,1))</f>
        <v/>
      </c>
      <c r="Q151" s="6">
        <f>IF(OR(原始資料!$A151="",16&gt;設定!$B$3,原始資料!S151=""),"",IF(AND(原始資料!R151&lt;&gt;"",原始資料!S151=原始資料!R151),N(P151)+1,1))</f>
        <v/>
      </c>
      <c r="R151" s="6">
        <f>IF(OR(原始資料!$A151="",17&gt;設定!$B$3,原始資料!T151=""),"",IF(AND(原始資料!S151&lt;&gt;"",原始資料!T151=原始資料!S151),N(Q151)+1,1))</f>
        <v/>
      </c>
      <c r="S151" s="6">
        <f>IF(OR(原始資料!$A151="",18&gt;設定!$B$3,原始資料!U151=""),"",IF(AND(原始資料!T151&lt;&gt;"",原始資料!U151=原始資料!T151),N(R151)+1,1))</f>
        <v/>
      </c>
      <c r="T151" s="6">
        <f>IF(OR(原始資料!$A151="",19&gt;設定!$B$3,原始資料!V151=""),"",IF(AND(原始資料!U151&lt;&gt;"",原始資料!V151=原始資料!U151),N(S151)+1,1))</f>
        <v/>
      </c>
      <c r="U151" s="6">
        <f>IF(OR(原始資料!$A151="",20&gt;設定!$B$3,原始資料!W151=""),"",IF(AND(原始資料!V151&lt;&gt;"",原始資料!W151=原始資料!V151),N(T151)+1,1))</f>
        <v/>
      </c>
      <c r="V151" s="6">
        <f>IF(OR(原始資料!$A151="",21&gt;設定!$B$3,原始資料!X151=""),"",IF(AND(原始資料!W151&lt;&gt;"",原始資料!X151=原始資料!W151),N(U151)+1,1))</f>
        <v/>
      </c>
      <c r="W151" s="6">
        <f>IF(OR(原始資料!$A151="",22&gt;設定!$B$3,原始資料!Y151=""),"",IF(AND(原始資料!X151&lt;&gt;"",原始資料!Y151=原始資料!X151),N(V151)+1,1))</f>
        <v/>
      </c>
      <c r="X151" s="6">
        <f>IF(OR(原始資料!$A151="",23&gt;設定!$B$3,原始資料!Z151=""),"",IF(AND(原始資料!Y151&lt;&gt;"",原始資料!Z151=原始資料!Y151),N(W151)+1,1))</f>
        <v/>
      </c>
      <c r="Y151" s="6">
        <f>IF(OR(原始資料!$A151="",24&gt;設定!$B$3,原始資料!AA151=""),"",IF(AND(原始資料!Z151&lt;&gt;"",原始資料!AA151=原始資料!Z151),N(X151)+1,1))</f>
        <v/>
      </c>
      <c r="Z151" s="6">
        <f>IF(OR(原始資料!$A151="",25&gt;設定!$B$3,原始資料!AB151=""),"",IF(AND(原始資料!AA151&lt;&gt;"",原始資料!AB151=原始資料!AA151),N(Y151)+1,1))</f>
        <v/>
      </c>
      <c r="AA151" s="6">
        <f>IF(OR(原始資料!$A151="",26&gt;設定!$B$3,原始資料!AC151=""),"",IF(AND(原始資料!AB151&lt;&gt;"",原始資料!AC151=原始資料!AB151),N(Z151)+1,1))</f>
        <v/>
      </c>
      <c r="AB151" s="6">
        <f>IF(OR(原始資料!$A151="",27&gt;設定!$B$3,原始資料!AD151=""),"",IF(AND(原始資料!AC151&lt;&gt;"",原始資料!AD151=原始資料!AC151),N(AA151)+1,1))</f>
        <v/>
      </c>
      <c r="AC151" s="6">
        <f>IF(OR(原始資料!$A151="",28&gt;設定!$B$3,原始資料!AE151=""),"",IF(AND(原始資料!AD151&lt;&gt;"",原始資料!AE151=原始資料!AD151),N(AB151)+1,1))</f>
        <v/>
      </c>
      <c r="AD151" s="6">
        <f>IF(OR(原始資料!$A151="",29&gt;設定!$B$3,原始資料!AF151=""),"",IF(AND(原始資料!AE151&lt;&gt;"",原始資料!AF151=原始資料!AE151),N(AC151)+1,1))</f>
        <v/>
      </c>
      <c r="AE151" s="6">
        <f>IF(OR(原始資料!$A151="",30&gt;設定!$B$3,原始資料!AG151=""),"",IF(AND(原始資料!AF151&lt;&gt;"",原始資料!AG151=原始資料!AF151),N(AD151)+1,1))</f>
        <v/>
      </c>
      <c r="AF151" s="6">
        <f>IF(OR(原始資料!$A151="",31&gt;設定!$B$3,原始資料!AH151=""),"",IF(AND(原始資料!AG151&lt;&gt;"",原始資料!AH151=原始資料!AG151),N(AE151)+1,1))</f>
        <v/>
      </c>
      <c r="AG151" s="6">
        <f>IF(OR(原始資料!$A151="",32&gt;設定!$B$3,原始資料!AI151=""),"",IF(AND(原始資料!AH151&lt;&gt;"",原始資料!AI151=原始資料!AH151),N(AF151)+1,1))</f>
        <v/>
      </c>
      <c r="AH151" s="6">
        <f>IF(OR(原始資料!$A151="",33&gt;設定!$B$3,原始資料!AJ151=""),"",IF(AND(原始資料!AI151&lt;&gt;"",原始資料!AJ151=原始資料!AI151),N(AG151)+1,1))</f>
        <v/>
      </c>
      <c r="AI151" s="6">
        <f>IF(OR(原始資料!$A151="",34&gt;設定!$B$3,原始資料!AK151=""),"",IF(AND(原始資料!AJ151&lt;&gt;"",原始資料!AK151=原始資料!AJ151),N(AH151)+1,1))</f>
        <v/>
      </c>
      <c r="AJ151" s="6">
        <f>IF(OR(原始資料!$A151="",35&gt;設定!$B$3,原始資料!AL151=""),"",IF(AND(原始資料!AK151&lt;&gt;"",原始資料!AL151=原始資料!AK151),N(AI151)+1,1))</f>
        <v/>
      </c>
      <c r="AK151" s="6">
        <f>IF(OR(原始資料!$A151="",36&gt;設定!$B$3,原始資料!AM151=""),"",IF(AND(原始資料!AL151&lt;&gt;"",原始資料!AM151=原始資料!AL151),N(AJ151)+1,1))</f>
        <v/>
      </c>
      <c r="AL151" s="6">
        <f>IF(OR(原始資料!$A151="",37&gt;設定!$B$3,原始資料!AN151=""),"",IF(AND(原始資料!AM151&lt;&gt;"",原始資料!AN151=原始資料!AM151),N(AK151)+1,1))</f>
        <v/>
      </c>
      <c r="AM151" s="6">
        <f>IF(OR(原始資料!$A151="",38&gt;設定!$B$3,原始資料!AO151=""),"",IF(AND(原始資料!AN151&lt;&gt;"",原始資料!AO151=原始資料!AN151),N(AL151)+1,1))</f>
        <v/>
      </c>
      <c r="AN151" s="6">
        <f>IF(OR(原始資料!$A151="",39&gt;設定!$B$3,原始資料!AP151=""),"",IF(AND(原始資料!AO151&lt;&gt;"",原始資料!AP151=原始資料!AO151),N(AM151)+1,1))</f>
        <v/>
      </c>
      <c r="AO151" s="6">
        <f>IF(OR(原始資料!$A151="",40&gt;設定!$B$3,原始資料!AQ151=""),"",IF(AND(原始資料!AP151&lt;&gt;"",原始資料!AQ151=原始資料!AP151),N(AN151)+1,1))</f>
        <v/>
      </c>
      <c r="AP151" s="6">
        <f>IF(OR(原始資料!$A151="",41&gt;設定!$B$3,原始資料!AR151=""),"",IF(AND(原始資料!AQ151&lt;&gt;"",原始資料!AR151=原始資料!AQ151),N(AO151)+1,1))</f>
        <v/>
      </c>
      <c r="AQ151" s="6">
        <f>IF(OR(原始資料!$A151="",42&gt;設定!$B$3,原始資料!AS151=""),"",IF(AND(原始資料!AR151&lt;&gt;"",原始資料!AS151=原始資料!AR151),N(AP151)+1,1))</f>
        <v/>
      </c>
      <c r="AR151" s="6">
        <f>IF(OR(原始資料!$A151="",43&gt;設定!$B$3,原始資料!AT151=""),"",IF(AND(原始資料!AS151&lt;&gt;"",原始資料!AT151=原始資料!AS151),N(AQ151)+1,1))</f>
        <v/>
      </c>
      <c r="AS151" s="6">
        <f>IF(OR(原始資料!$A151="",44&gt;設定!$B$3,原始資料!AU151=""),"",IF(AND(原始資料!AT151&lt;&gt;"",原始資料!AU151=原始資料!AT151),N(AR151)+1,1))</f>
        <v/>
      </c>
      <c r="AT151" s="6">
        <f>IF(OR(原始資料!$A151="",45&gt;設定!$B$3,原始資料!AV151=""),"",IF(AND(原始資料!AU151&lt;&gt;"",原始資料!AV151=原始資料!AU151),N(AS151)+1,1))</f>
        <v/>
      </c>
      <c r="AU151" s="6">
        <f>IF(OR(原始資料!$A151="",46&gt;設定!$B$3,原始資料!AW151=""),"",IF(AND(原始資料!AV151&lt;&gt;"",原始資料!AW151=原始資料!AV151),N(AT151)+1,1))</f>
        <v/>
      </c>
      <c r="AV151" s="6">
        <f>IF(OR(原始資料!$A151="",47&gt;設定!$B$3,原始資料!AX151=""),"",IF(AND(原始資料!AW151&lt;&gt;"",原始資料!AX151=原始資料!AW151),N(AU151)+1,1))</f>
        <v/>
      </c>
      <c r="AW151" s="6">
        <f>IF(OR(原始資料!$A151="",48&gt;設定!$B$3,原始資料!AY151=""),"",IF(AND(原始資料!AX151&lt;&gt;"",原始資料!AY151=原始資料!AX151),N(AV151)+1,1))</f>
        <v/>
      </c>
      <c r="AX151" s="6">
        <f>IF(OR(原始資料!$A151="",49&gt;設定!$B$3,原始資料!AZ151=""),"",IF(AND(原始資料!AY151&lt;&gt;"",原始資料!AZ151=原始資料!AY151),N(AW151)+1,1))</f>
        <v/>
      </c>
      <c r="AY151" s="6">
        <f>IF(OR(原始資料!$A151="",50&gt;設定!$B$3,原始資料!BA151=""),"",IF(AND(原始資料!AZ151&lt;&gt;"",原始資料!BA151=原始資料!AZ151),N(AX151)+1,1))</f>
        <v/>
      </c>
      <c r="AZ151" s="6">
        <f>IF(OR(原始資料!$A151="",51&gt;設定!$B$3,原始資料!BB151=""),"",IF(AND(原始資料!BA151&lt;&gt;"",原始資料!BB151=原始資料!BA151),N(AY151)+1,1))</f>
        <v/>
      </c>
      <c r="BA151" s="6">
        <f>IF(OR(原始資料!$A151="",52&gt;設定!$B$3,原始資料!BC151=""),"",IF(AND(原始資料!BB151&lt;&gt;"",原始資料!BC151=原始資料!BB151),N(AZ151)+1,1))</f>
        <v/>
      </c>
      <c r="BB151" s="6">
        <f>IF(OR(原始資料!$A151="",53&gt;設定!$B$3,原始資料!BD151=""),"",IF(AND(原始資料!BC151&lt;&gt;"",原始資料!BD151=原始資料!BC151),N(BA151)+1,1))</f>
        <v/>
      </c>
      <c r="BC151" s="6">
        <f>IF(OR(原始資料!$A151="",54&gt;設定!$B$3,原始資料!BE151=""),"",IF(AND(原始資料!BD151&lt;&gt;"",原始資料!BE151=原始資料!BD151),N(BB151)+1,1))</f>
        <v/>
      </c>
      <c r="BD151" s="6">
        <f>IF(OR(原始資料!$A151="",55&gt;設定!$B$3,原始資料!BF151=""),"",IF(AND(原始資料!BE151&lt;&gt;"",原始資料!BF151=原始資料!BE151),N(BC151)+1,1))</f>
        <v/>
      </c>
      <c r="BE151" s="6">
        <f>IF(OR(原始資料!$A151="",56&gt;設定!$B$3,原始資料!BG151=""),"",IF(AND(原始資料!BF151&lt;&gt;"",原始資料!BG151=原始資料!BF151),N(BD151)+1,1))</f>
        <v/>
      </c>
      <c r="BF151" s="6">
        <f>IF(OR(原始資料!$A151="",57&gt;設定!$B$3,原始資料!BH151=""),"",IF(AND(原始資料!BG151&lt;&gt;"",原始資料!BH151=原始資料!BG151),N(BE151)+1,1))</f>
        <v/>
      </c>
      <c r="BG151" s="6">
        <f>IF(OR(原始資料!$A151="",58&gt;設定!$B$3,原始資料!BI151=""),"",IF(AND(原始資料!BH151&lt;&gt;"",原始資料!BI151=原始資料!BH151),N(BF151)+1,1))</f>
        <v/>
      </c>
      <c r="BH151" s="6">
        <f>IF(OR(原始資料!$A151="",59&gt;設定!$B$3,原始資料!BJ151=""),"",IF(AND(原始資料!BI151&lt;&gt;"",原始資料!BJ151=原始資料!BI151),N(BG151)+1,1))</f>
        <v/>
      </c>
      <c r="BI151" s="6">
        <f>IF(OR(原始資料!$A151="",60&gt;設定!$B$3,原始資料!BK151=""),"",IF(AND(原始資料!BJ151&lt;&gt;"",原始資料!BK151=原始資料!BJ151),N(BH151)+1,1))</f>
        <v/>
      </c>
    </row>
    <row r="152">
      <c r="A152" s="6">
        <f>IF(原始資料!$A152="","",原始資料!$A152)</f>
        <v/>
      </c>
      <c r="B152" s="6">
        <f>IF(OR(原始資料!$A152="",1&gt;設定!$B$3,原始資料!D152=""),"",1)</f>
        <v/>
      </c>
      <c r="C152" s="6">
        <f>IF(OR(原始資料!$A152="",2&gt;設定!$B$3,原始資料!E152=""),"",IF(AND(原始資料!D152&lt;&gt;"",原始資料!E152=原始資料!D152),N(B152)+1,1))</f>
        <v/>
      </c>
      <c r="D152" s="6">
        <f>IF(OR(原始資料!$A152="",3&gt;設定!$B$3,原始資料!F152=""),"",IF(AND(原始資料!E152&lt;&gt;"",原始資料!F152=原始資料!E152),N(C152)+1,1))</f>
        <v/>
      </c>
      <c r="E152" s="6">
        <f>IF(OR(原始資料!$A152="",4&gt;設定!$B$3,原始資料!G152=""),"",IF(AND(原始資料!F152&lt;&gt;"",原始資料!G152=原始資料!F152),N(D152)+1,1))</f>
        <v/>
      </c>
      <c r="F152" s="6">
        <f>IF(OR(原始資料!$A152="",5&gt;設定!$B$3,原始資料!H152=""),"",IF(AND(原始資料!G152&lt;&gt;"",原始資料!H152=原始資料!G152),N(E152)+1,1))</f>
        <v/>
      </c>
      <c r="G152" s="6">
        <f>IF(OR(原始資料!$A152="",6&gt;設定!$B$3,原始資料!I152=""),"",IF(AND(原始資料!H152&lt;&gt;"",原始資料!I152=原始資料!H152),N(F152)+1,1))</f>
        <v/>
      </c>
      <c r="H152" s="6">
        <f>IF(OR(原始資料!$A152="",7&gt;設定!$B$3,原始資料!J152=""),"",IF(AND(原始資料!I152&lt;&gt;"",原始資料!J152=原始資料!I152),N(G152)+1,1))</f>
        <v/>
      </c>
      <c r="I152" s="6">
        <f>IF(OR(原始資料!$A152="",8&gt;設定!$B$3,原始資料!K152=""),"",IF(AND(原始資料!J152&lt;&gt;"",原始資料!K152=原始資料!J152),N(H152)+1,1))</f>
        <v/>
      </c>
      <c r="J152" s="6">
        <f>IF(OR(原始資料!$A152="",9&gt;設定!$B$3,原始資料!L152=""),"",IF(AND(原始資料!K152&lt;&gt;"",原始資料!L152=原始資料!K152),N(I152)+1,1))</f>
        <v/>
      </c>
      <c r="K152" s="6">
        <f>IF(OR(原始資料!$A152="",10&gt;設定!$B$3,原始資料!M152=""),"",IF(AND(原始資料!L152&lt;&gt;"",原始資料!M152=原始資料!L152),N(J152)+1,1))</f>
        <v/>
      </c>
      <c r="L152" s="6">
        <f>IF(OR(原始資料!$A152="",11&gt;設定!$B$3,原始資料!N152=""),"",IF(AND(原始資料!M152&lt;&gt;"",原始資料!N152=原始資料!M152),N(K152)+1,1))</f>
        <v/>
      </c>
      <c r="M152" s="6">
        <f>IF(OR(原始資料!$A152="",12&gt;設定!$B$3,原始資料!O152=""),"",IF(AND(原始資料!N152&lt;&gt;"",原始資料!O152=原始資料!N152),N(L152)+1,1))</f>
        <v/>
      </c>
      <c r="N152" s="6">
        <f>IF(OR(原始資料!$A152="",13&gt;設定!$B$3,原始資料!P152=""),"",IF(AND(原始資料!O152&lt;&gt;"",原始資料!P152=原始資料!O152),N(M152)+1,1))</f>
        <v/>
      </c>
      <c r="O152" s="6">
        <f>IF(OR(原始資料!$A152="",14&gt;設定!$B$3,原始資料!Q152=""),"",IF(AND(原始資料!P152&lt;&gt;"",原始資料!Q152=原始資料!P152),N(N152)+1,1))</f>
        <v/>
      </c>
      <c r="P152" s="6">
        <f>IF(OR(原始資料!$A152="",15&gt;設定!$B$3,原始資料!R152=""),"",IF(AND(原始資料!Q152&lt;&gt;"",原始資料!R152=原始資料!Q152),N(O152)+1,1))</f>
        <v/>
      </c>
      <c r="Q152" s="6">
        <f>IF(OR(原始資料!$A152="",16&gt;設定!$B$3,原始資料!S152=""),"",IF(AND(原始資料!R152&lt;&gt;"",原始資料!S152=原始資料!R152),N(P152)+1,1))</f>
        <v/>
      </c>
      <c r="R152" s="6">
        <f>IF(OR(原始資料!$A152="",17&gt;設定!$B$3,原始資料!T152=""),"",IF(AND(原始資料!S152&lt;&gt;"",原始資料!T152=原始資料!S152),N(Q152)+1,1))</f>
        <v/>
      </c>
      <c r="S152" s="6">
        <f>IF(OR(原始資料!$A152="",18&gt;設定!$B$3,原始資料!U152=""),"",IF(AND(原始資料!T152&lt;&gt;"",原始資料!U152=原始資料!T152),N(R152)+1,1))</f>
        <v/>
      </c>
      <c r="T152" s="6">
        <f>IF(OR(原始資料!$A152="",19&gt;設定!$B$3,原始資料!V152=""),"",IF(AND(原始資料!U152&lt;&gt;"",原始資料!V152=原始資料!U152),N(S152)+1,1))</f>
        <v/>
      </c>
      <c r="U152" s="6">
        <f>IF(OR(原始資料!$A152="",20&gt;設定!$B$3,原始資料!W152=""),"",IF(AND(原始資料!V152&lt;&gt;"",原始資料!W152=原始資料!V152),N(T152)+1,1))</f>
        <v/>
      </c>
      <c r="V152" s="6">
        <f>IF(OR(原始資料!$A152="",21&gt;設定!$B$3,原始資料!X152=""),"",IF(AND(原始資料!W152&lt;&gt;"",原始資料!X152=原始資料!W152),N(U152)+1,1))</f>
        <v/>
      </c>
      <c r="W152" s="6">
        <f>IF(OR(原始資料!$A152="",22&gt;設定!$B$3,原始資料!Y152=""),"",IF(AND(原始資料!X152&lt;&gt;"",原始資料!Y152=原始資料!X152),N(V152)+1,1))</f>
        <v/>
      </c>
      <c r="X152" s="6">
        <f>IF(OR(原始資料!$A152="",23&gt;設定!$B$3,原始資料!Z152=""),"",IF(AND(原始資料!Y152&lt;&gt;"",原始資料!Z152=原始資料!Y152),N(W152)+1,1))</f>
        <v/>
      </c>
      <c r="Y152" s="6">
        <f>IF(OR(原始資料!$A152="",24&gt;設定!$B$3,原始資料!AA152=""),"",IF(AND(原始資料!Z152&lt;&gt;"",原始資料!AA152=原始資料!Z152),N(X152)+1,1))</f>
        <v/>
      </c>
      <c r="Z152" s="6">
        <f>IF(OR(原始資料!$A152="",25&gt;設定!$B$3,原始資料!AB152=""),"",IF(AND(原始資料!AA152&lt;&gt;"",原始資料!AB152=原始資料!AA152),N(Y152)+1,1))</f>
        <v/>
      </c>
      <c r="AA152" s="6">
        <f>IF(OR(原始資料!$A152="",26&gt;設定!$B$3,原始資料!AC152=""),"",IF(AND(原始資料!AB152&lt;&gt;"",原始資料!AC152=原始資料!AB152),N(Z152)+1,1))</f>
        <v/>
      </c>
      <c r="AB152" s="6">
        <f>IF(OR(原始資料!$A152="",27&gt;設定!$B$3,原始資料!AD152=""),"",IF(AND(原始資料!AC152&lt;&gt;"",原始資料!AD152=原始資料!AC152),N(AA152)+1,1))</f>
        <v/>
      </c>
      <c r="AC152" s="6">
        <f>IF(OR(原始資料!$A152="",28&gt;設定!$B$3,原始資料!AE152=""),"",IF(AND(原始資料!AD152&lt;&gt;"",原始資料!AE152=原始資料!AD152),N(AB152)+1,1))</f>
        <v/>
      </c>
      <c r="AD152" s="6">
        <f>IF(OR(原始資料!$A152="",29&gt;設定!$B$3,原始資料!AF152=""),"",IF(AND(原始資料!AE152&lt;&gt;"",原始資料!AF152=原始資料!AE152),N(AC152)+1,1))</f>
        <v/>
      </c>
      <c r="AE152" s="6">
        <f>IF(OR(原始資料!$A152="",30&gt;設定!$B$3,原始資料!AG152=""),"",IF(AND(原始資料!AF152&lt;&gt;"",原始資料!AG152=原始資料!AF152),N(AD152)+1,1))</f>
        <v/>
      </c>
      <c r="AF152" s="6">
        <f>IF(OR(原始資料!$A152="",31&gt;設定!$B$3,原始資料!AH152=""),"",IF(AND(原始資料!AG152&lt;&gt;"",原始資料!AH152=原始資料!AG152),N(AE152)+1,1))</f>
        <v/>
      </c>
      <c r="AG152" s="6">
        <f>IF(OR(原始資料!$A152="",32&gt;設定!$B$3,原始資料!AI152=""),"",IF(AND(原始資料!AH152&lt;&gt;"",原始資料!AI152=原始資料!AH152),N(AF152)+1,1))</f>
        <v/>
      </c>
      <c r="AH152" s="6">
        <f>IF(OR(原始資料!$A152="",33&gt;設定!$B$3,原始資料!AJ152=""),"",IF(AND(原始資料!AI152&lt;&gt;"",原始資料!AJ152=原始資料!AI152),N(AG152)+1,1))</f>
        <v/>
      </c>
      <c r="AI152" s="6">
        <f>IF(OR(原始資料!$A152="",34&gt;設定!$B$3,原始資料!AK152=""),"",IF(AND(原始資料!AJ152&lt;&gt;"",原始資料!AK152=原始資料!AJ152),N(AH152)+1,1))</f>
        <v/>
      </c>
      <c r="AJ152" s="6">
        <f>IF(OR(原始資料!$A152="",35&gt;設定!$B$3,原始資料!AL152=""),"",IF(AND(原始資料!AK152&lt;&gt;"",原始資料!AL152=原始資料!AK152),N(AI152)+1,1))</f>
        <v/>
      </c>
      <c r="AK152" s="6">
        <f>IF(OR(原始資料!$A152="",36&gt;設定!$B$3,原始資料!AM152=""),"",IF(AND(原始資料!AL152&lt;&gt;"",原始資料!AM152=原始資料!AL152),N(AJ152)+1,1))</f>
        <v/>
      </c>
      <c r="AL152" s="6">
        <f>IF(OR(原始資料!$A152="",37&gt;設定!$B$3,原始資料!AN152=""),"",IF(AND(原始資料!AM152&lt;&gt;"",原始資料!AN152=原始資料!AM152),N(AK152)+1,1))</f>
        <v/>
      </c>
      <c r="AM152" s="6">
        <f>IF(OR(原始資料!$A152="",38&gt;設定!$B$3,原始資料!AO152=""),"",IF(AND(原始資料!AN152&lt;&gt;"",原始資料!AO152=原始資料!AN152),N(AL152)+1,1))</f>
        <v/>
      </c>
      <c r="AN152" s="6">
        <f>IF(OR(原始資料!$A152="",39&gt;設定!$B$3,原始資料!AP152=""),"",IF(AND(原始資料!AO152&lt;&gt;"",原始資料!AP152=原始資料!AO152),N(AM152)+1,1))</f>
        <v/>
      </c>
      <c r="AO152" s="6">
        <f>IF(OR(原始資料!$A152="",40&gt;設定!$B$3,原始資料!AQ152=""),"",IF(AND(原始資料!AP152&lt;&gt;"",原始資料!AQ152=原始資料!AP152),N(AN152)+1,1))</f>
        <v/>
      </c>
      <c r="AP152" s="6">
        <f>IF(OR(原始資料!$A152="",41&gt;設定!$B$3,原始資料!AR152=""),"",IF(AND(原始資料!AQ152&lt;&gt;"",原始資料!AR152=原始資料!AQ152),N(AO152)+1,1))</f>
        <v/>
      </c>
      <c r="AQ152" s="6">
        <f>IF(OR(原始資料!$A152="",42&gt;設定!$B$3,原始資料!AS152=""),"",IF(AND(原始資料!AR152&lt;&gt;"",原始資料!AS152=原始資料!AR152),N(AP152)+1,1))</f>
        <v/>
      </c>
      <c r="AR152" s="6">
        <f>IF(OR(原始資料!$A152="",43&gt;設定!$B$3,原始資料!AT152=""),"",IF(AND(原始資料!AS152&lt;&gt;"",原始資料!AT152=原始資料!AS152),N(AQ152)+1,1))</f>
        <v/>
      </c>
      <c r="AS152" s="6">
        <f>IF(OR(原始資料!$A152="",44&gt;設定!$B$3,原始資料!AU152=""),"",IF(AND(原始資料!AT152&lt;&gt;"",原始資料!AU152=原始資料!AT152),N(AR152)+1,1))</f>
        <v/>
      </c>
      <c r="AT152" s="6">
        <f>IF(OR(原始資料!$A152="",45&gt;設定!$B$3,原始資料!AV152=""),"",IF(AND(原始資料!AU152&lt;&gt;"",原始資料!AV152=原始資料!AU152),N(AS152)+1,1))</f>
        <v/>
      </c>
      <c r="AU152" s="6">
        <f>IF(OR(原始資料!$A152="",46&gt;設定!$B$3,原始資料!AW152=""),"",IF(AND(原始資料!AV152&lt;&gt;"",原始資料!AW152=原始資料!AV152),N(AT152)+1,1))</f>
        <v/>
      </c>
      <c r="AV152" s="6">
        <f>IF(OR(原始資料!$A152="",47&gt;設定!$B$3,原始資料!AX152=""),"",IF(AND(原始資料!AW152&lt;&gt;"",原始資料!AX152=原始資料!AW152),N(AU152)+1,1))</f>
        <v/>
      </c>
      <c r="AW152" s="6">
        <f>IF(OR(原始資料!$A152="",48&gt;設定!$B$3,原始資料!AY152=""),"",IF(AND(原始資料!AX152&lt;&gt;"",原始資料!AY152=原始資料!AX152),N(AV152)+1,1))</f>
        <v/>
      </c>
      <c r="AX152" s="6">
        <f>IF(OR(原始資料!$A152="",49&gt;設定!$B$3,原始資料!AZ152=""),"",IF(AND(原始資料!AY152&lt;&gt;"",原始資料!AZ152=原始資料!AY152),N(AW152)+1,1))</f>
        <v/>
      </c>
      <c r="AY152" s="6">
        <f>IF(OR(原始資料!$A152="",50&gt;設定!$B$3,原始資料!BA152=""),"",IF(AND(原始資料!AZ152&lt;&gt;"",原始資料!BA152=原始資料!AZ152),N(AX152)+1,1))</f>
        <v/>
      </c>
      <c r="AZ152" s="6">
        <f>IF(OR(原始資料!$A152="",51&gt;設定!$B$3,原始資料!BB152=""),"",IF(AND(原始資料!BA152&lt;&gt;"",原始資料!BB152=原始資料!BA152),N(AY152)+1,1))</f>
        <v/>
      </c>
      <c r="BA152" s="6">
        <f>IF(OR(原始資料!$A152="",52&gt;設定!$B$3,原始資料!BC152=""),"",IF(AND(原始資料!BB152&lt;&gt;"",原始資料!BC152=原始資料!BB152),N(AZ152)+1,1))</f>
        <v/>
      </c>
      <c r="BB152" s="6">
        <f>IF(OR(原始資料!$A152="",53&gt;設定!$B$3,原始資料!BD152=""),"",IF(AND(原始資料!BC152&lt;&gt;"",原始資料!BD152=原始資料!BC152),N(BA152)+1,1))</f>
        <v/>
      </c>
      <c r="BC152" s="6">
        <f>IF(OR(原始資料!$A152="",54&gt;設定!$B$3,原始資料!BE152=""),"",IF(AND(原始資料!BD152&lt;&gt;"",原始資料!BE152=原始資料!BD152),N(BB152)+1,1))</f>
        <v/>
      </c>
      <c r="BD152" s="6">
        <f>IF(OR(原始資料!$A152="",55&gt;設定!$B$3,原始資料!BF152=""),"",IF(AND(原始資料!BE152&lt;&gt;"",原始資料!BF152=原始資料!BE152),N(BC152)+1,1))</f>
        <v/>
      </c>
      <c r="BE152" s="6">
        <f>IF(OR(原始資料!$A152="",56&gt;設定!$B$3,原始資料!BG152=""),"",IF(AND(原始資料!BF152&lt;&gt;"",原始資料!BG152=原始資料!BF152),N(BD152)+1,1))</f>
        <v/>
      </c>
      <c r="BF152" s="6">
        <f>IF(OR(原始資料!$A152="",57&gt;設定!$B$3,原始資料!BH152=""),"",IF(AND(原始資料!BG152&lt;&gt;"",原始資料!BH152=原始資料!BG152),N(BE152)+1,1))</f>
        <v/>
      </c>
      <c r="BG152" s="6">
        <f>IF(OR(原始資料!$A152="",58&gt;設定!$B$3,原始資料!BI152=""),"",IF(AND(原始資料!BH152&lt;&gt;"",原始資料!BI152=原始資料!BH152),N(BF152)+1,1))</f>
        <v/>
      </c>
      <c r="BH152" s="6">
        <f>IF(OR(原始資料!$A152="",59&gt;設定!$B$3,原始資料!BJ152=""),"",IF(AND(原始資料!BI152&lt;&gt;"",原始資料!BJ152=原始資料!BI152),N(BG152)+1,1))</f>
        <v/>
      </c>
      <c r="BI152" s="6">
        <f>IF(OR(原始資料!$A152="",60&gt;設定!$B$3,原始資料!BK152=""),"",IF(AND(原始資料!BJ152&lt;&gt;"",原始資料!BK152=原始資料!BJ152),N(BH152)+1,1))</f>
        <v/>
      </c>
    </row>
    <row r="153">
      <c r="A153" s="6">
        <f>IF(原始資料!$A153="","",原始資料!$A153)</f>
        <v/>
      </c>
      <c r="B153" s="6">
        <f>IF(OR(原始資料!$A153="",1&gt;設定!$B$3,原始資料!D153=""),"",1)</f>
        <v/>
      </c>
      <c r="C153" s="6">
        <f>IF(OR(原始資料!$A153="",2&gt;設定!$B$3,原始資料!E153=""),"",IF(AND(原始資料!D153&lt;&gt;"",原始資料!E153=原始資料!D153),N(B153)+1,1))</f>
        <v/>
      </c>
      <c r="D153" s="6">
        <f>IF(OR(原始資料!$A153="",3&gt;設定!$B$3,原始資料!F153=""),"",IF(AND(原始資料!E153&lt;&gt;"",原始資料!F153=原始資料!E153),N(C153)+1,1))</f>
        <v/>
      </c>
      <c r="E153" s="6">
        <f>IF(OR(原始資料!$A153="",4&gt;設定!$B$3,原始資料!G153=""),"",IF(AND(原始資料!F153&lt;&gt;"",原始資料!G153=原始資料!F153),N(D153)+1,1))</f>
        <v/>
      </c>
      <c r="F153" s="6">
        <f>IF(OR(原始資料!$A153="",5&gt;設定!$B$3,原始資料!H153=""),"",IF(AND(原始資料!G153&lt;&gt;"",原始資料!H153=原始資料!G153),N(E153)+1,1))</f>
        <v/>
      </c>
      <c r="G153" s="6">
        <f>IF(OR(原始資料!$A153="",6&gt;設定!$B$3,原始資料!I153=""),"",IF(AND(原始資料!H153&lt;&gt;"",原始資料!I153=原始資料!H153),N(F153)+1,1))</f>
        <v/>
      </c>
      <c r="H153" s="6">
        <f>IF(OR(原始資料!$A153="",7&gt;設定!$B$3,原始資料!J153=""),"",IF(AND(原始資料!I153&lt;&gt;"",原始資料!J153=原始資料!I153),N(G153)+1,1))</f>
        <v/>
      </c>
      <c r="I153" s="6">
        <f>IF(OR(原始資料!$A153="",8&gt;設定!$B$3,原始資料!K153=""),"",IF(AND(原始資料!J153&lt;&gt;"",原始資料!K153=原始資料!J153),N(H153)+1,1))</f>
        <v/>
      </c>
      <c r="J153" s="6">
        <f>IF(OR(原始資料!$A153="",9&gt;設定!$B$3,原始資料!L153=""),"",IF(AND(原始資料!K153&lt;&gt;"",原始資料!L153=原始資料!K153),N(I153)+1,1))</f>
        <v/>
      </c>
      <c r="K153" s="6">
        <f>IF(OR(原始資料!$A153="",10&gt;設定!$B$3,原始資料!M153=""),"",IF(AND(原始資料!L153&lt;&gt;"",原始資料!M153=原始資料!L153),N(J153)+1,1))</f>
        <v/>
      </c>
      <c r="L153" s="6">
        <f>IF(OR(原始資料!$A153="",11&gt;設定!$B$3,原始資料!N153=""),"",IF(AND(原始資料!M153&lt;&gt;"",原始資料!N153=原始資料!M153),N(K153)+1,1))</f>
        <v/>
      </c>
      <c r="M153" s="6">
        <f>IF(OR(原始資料!$A153="",12&gt;設定!$B$3,原始資料!O153=""),"",IF(AND(原始資料!N153&lt;&gt;"",原始資料!O153=原始資料!N153),N(L153)+1,1))</f>
        <v/>
      </c>
      <c r="N153" s="6">
        <f>IF(OR(原始資料!$A153="",13&gt;設定!$B$3,原始資料!P153=""),"",IF(AND(原始資料!O153&lt;&gt;"",原始資料!P153=原始資料!O153),N(M153)+1,1))</f>
        <v/>
      </c>
      <c r="O153" s="6">
        <f>IF(OR(原始資料!$A153="",14&gt;設定!$B$3,原始資料!Q153=""),"",IF(AND(原始資料!P153&lt;&gt;"",原始資料!Q153=原始資料!P153),N(N153)+1,1))</f>
        <v/>
      </c>
      <c r="P153" s="6">
        <f>IF(OR(原始資料!$A153="",15&gt;設定!$B$3,原始資料!R153=""),"",IF(AND(原始資料!Q153&lt;&gt;"",原始資料!R153=原始資料!Q153),N(O153)+1,1))</f>
        <v/>
      </c>
      <c r="Q153" s="6">
        <f>IF(OR(原始資料!$A153="",16&gt;設定!$B$3,原始資料!S153=""),"",IF(AND(原始資料!R153&lt;&gt;"",原始資料!S153=原始資料!R153),N(P153)+1,1))</f>
        <v/>
      </c>
      <c r="R153" s="6">
        <f>IF(OR(原始資料!$A153="",17&gt;設定!$B$3,原始資料!T153=""),"",IF(AND(原始資料!S153&lt;&gt;"",原始資料!T153=原始資料!S153),N(Q153)+1,1))</f>
        <v/>
      </c>
      <c r="S153" s="6">
        <f>IF(OR(原始資料!$A153="",18&gt;設定!$B$3,原始資料!U153=""),"",IF(AND(原始資料!T153&lt;&gt;"",原始資料!U153=原始資料!T153),N(R153)+1,1))</f>
        <v/>
      </c>
      <c r="T153" s="6">
        <f>IF(OR(原始資料!$A153="",19&gt;設定!$B$3,原始資料!V153=""),"",IF(AND(原始資料!U153&lt;&gt;"",原始資料!V153=原始資料!U153),N(S153)+1,1))</f>
        <v/>
      </c>
      <c r="U153" s="6">
        <f>IF(OR(原始資料!$A153="",20&gt;設定!$B$3,原始資料!W153=""),"",IF(AND(原始資料!V153&lt;&gt;"",原始資料!W153=原始資料!V153),N(T153)+1,1))</f>
        <v/>
      </c>
      <c r="V153" s="6">
        <f>IF(OR(原始資料!$A153="",21&gt;設定!$B$3,原始資料!X153=""),"",IF(AND(原始資料!W153&lt;&gt;"",原始資料!X153=原始資料!W153),N(U153)+1,1))</f>
        <v/>
      </c>
      <c r="W153" s="6">
        <f>IF(OR(原始資料!$A153="",22&gt;設定!$B$3,原始資料!Y153=""),"",IF(AND(原始資料!X153&lt;&gt;"",原始資料!Y153=原始資料!X153),N(V153)+1,1))</f>
        <v/>
      </c>
      <c r="X153" s="6">
        <f>IF(OR(原始資料!$A153="",23&gt;設定!$B$3,原始資料!Z153=""),"",IF(AND(原始資料!Y153&lt;&gt;"",原始資料!Z153=原始資料!Y153),N(W153)+1,1))</f>
        <v/>
      </c>
      <c r="Y153" s="6">
        <f>IF(OR(原始資料!$A153="",24&gt;設定!$B$3,原始資料!AA153=""),"",IF(AND(原始資料!Z153&lt;&gt;"",原始資料!AA153=原始資料!Z153),N(X153)+1,1))</f>
        <v/>
      </c>
      <c r="Z153" s="6">
        <f>IF(OR(原始資料!$A153="",25&gt;設定!$B$3,原始資料!AB153=""),"",IF(AND(原始資料!AA153&lt;&gt;"",原始資料!AB153=原始資料!AA153),N(Y153)+1,1))</f>
        <v/>
      </c>
      <c r="AA153" s="6">
        <f>IF(OR(原始資料!$A153="",26&gt;設定!$B$3,原始資料!AC153=""),"",IF(AND(原始資料!AB153&lt;&gt;"",原始資料!AC153=原始資料!AB153),N(Z153)+1,1))</f>
        <v/>
      </c>
      <c r="AB153" s="6">
        <f>IF(OR(原始資料!$A153="",27&gt;設定!$B$3,原始資料!AD153=""),"",IF(AND(原始資料!AC153&lt;&gt;"",原始資料!AD153=原始資料!AC153),N(AA153)+1,1))</f>
        <v/>
      </c>
      <c r="AC153" s="6">
        <f>IF(OR(原始資料!$A153="",28&gt;設定!$B$3,原始資料!AE153=""),"",IF(AND(原始資料!AD153&lt;&gt;"",原始資料!AE153=原始資料!AD153),N(AB153)+1,1))</f>
        <v/>
      </c>
      <c r="AD153" s="6">
        <f>IF(OR(原始資料!$A153="",29&gt;設定!$B$3,原始資料!AF153=""),"",IF(AND(原始資料!AE153&lt;&gt;"",原始資料!AF153=原始資料!AE153),N(AC153)+1,1))</f>
        <v/>
      </c>
      <c r="AE153" s="6">
        <f>IF(OR(原始資料!$A153="",30&gt;設定!$B$3,原始資料!AG153=""),"",IF(AND(原始資料!AF153&lt;&gt;"",原始資料!AG153=原始資料!AF153),N(AD153)+1,1))</f>
        <v/>
      </c>
      <c r="AF153" s="6">
        <f>IF(OR(原始資料!$A153="",31&gt;設定!$B$3,原始資料!AH153=""),"",IF(AND(原始資料!AG153&lt;&gt;"",原始資料!AH153=原始資料!AG153),N(AE153)+1,1))</f>
        <v/>
      </c>
      <c r="AG153" s="6">
        <f>IF(OR(原始資料!$A153="",32&gt;設定!$B$3,原始資料!AI153=""),"",IF(AND(原始資料!AH153&lt;&gt;"",原始資料!AI153=原始資料!AH153),N(AF153)+1,1))</f>
        <v/>
      </c>
      <c r="AH153" s="6">
        <f>IF(OR(原始資料!$A153="",33&gt;設定!$B$3,原始資料!AJ153=""),"",IF(AND(原始資料!AI153&lt;&gt;"",原始資料!AJ153=原始資料!AI153),N(AG153)+1,1))</f>
        <v/>
      </c>
      <c r="AI153" s="6">
        <f>IF(OR(原始資料!$A153="",34&gt;設定!$B$3,原始資料!AK153=""),"",IF(AND(原始資料!AJ153&lt;&gt;"",原始資料!AK153=原始資料!AJ153),N(AH153)+1,1))</f>
        <v/>
      </c>
      <c r="AJ153" s="6">
        <f>IF(OR(原始資料!$A153="",35&gt;設定!$B$3,原始資料!AL153=""),"",IF(AND(原始資料!AK153&lt;&gt;"",原始資料!AL153=原始資料!AK153),N(AI153)+1,1))</f>
        <v/>
      </c>
      <c r="AK153" s="6">
        <f>IF(OR(原始資料!$A153="",36&gt;設定!$B$3,原始資料!AM153=""),"",IF(AND(原始資料!AL153&lt;&gt;"",原始資料!AM153=原始資料!AL153),N(AJ153)+1,1))</f>
        <v/>
      </c>
      <c r="AL153" s="6">
        <f>IF(OR(原始資料!$A153="",37&gt;設定!$B$3,原始資料!AN153=""),"",IF(AND(原始資料!AM153&lt;&gt;"",原始資料!AN153=原始資料!AM153),N(AK153)+1,1))</f>
        <v/>
      </c>
      <c r="AM153" s="6">
        <f>IF(OR(原始資料!$A153="",38&gt;設定!$B$3,原始資料!AO153=""),"",IF(AND(原始資料!AN153&lt;&gt;"",原始資料!AO153=原始資料!AN153),N(AL153)+1,1))</f>
        <v/>
      </c>
      <c r="AN153" s="6">
        <f>IF(OR(原始資料!$A153="",39&gt;設定!$B$3,原始資料!AP153=""),"",IF(AND(原始資料!AO153&lt;&gt;"",原始資料!AP153=原始資料!AO153),N(AM153)+1,1))</f>
        <v/>
      </c>
      <c r="AO153" s="6">
        <f>IF(OR(原始資料!$A153="",40&gt;設定!$B$3,原始資料!AQ153=""),"",IF(AND(原始資料!AP153&lt;&gt;"",原始資料!AQ153=原始資料!AP153),N(AN153)+1,1))</f>
        <v/>
      </c>
      <c r="AP153" s="6">
        <f>IF(OR(原始資料!$A153="",41&gt;設定!$B$3,原始資料!AR153=""),"",IF(AND(原始資料!AQ153&lt;&gt;"",原始資料!AR153=原始資料!AQ153),N(AO153)+1,1))</f>
        <v/>
      </c>
      <c r="AQ153" s="6">
        <f>IF(OR(原始資料!$A153="",42&gt;設定!$B$3,原始資料!AS153=""),"",IF(AND(原始資料!AR153&lt;&gt;"",原始資料!AS153=原始資料!AR153),N(AP153)+1,1))</f>
        <v/>
      </c>
      <c r="AR153" s="6">
        <f>IF(OR(原始資料!$A153="",43&gt;設定!$B$3,原始資料!AT153=""),"",IF(AND(原始資料!AS153&lt;&gt;"",原始資料!AT153=原始資料!AS153),N(AQ153)+1,1))</f>
        <v/>
      </c>
      <c r="AS153" s="6">
        <f>IF(OR(原始資料!$A153="",44&gt;設定!$B$3,原始資料!AU153=""),"",IF(AND(原始資料!AT153&lt;&gt;"",原始資料!AU153=原始資料!AT153),N(AR153)+1,1))</f>
        <v/>
      </c>
      <c r="AT153" s="6">
        <f>IF(OR(原始資料!$A153="",45&gt;設定!$B$3,原始資料!AV153=""),"",IF(AND(原始資料!AU153&lt;&gt;"",原始資料!AV153=原始資料!AU153),N(AS153)+1,1))</f>
        <v/>
      </c>
      <c r="AU153" s="6">
        <f>IF(OR(原始資料!$A153="",46&gt;設定!$B$3,原始資料!AW153=""),"",IF(AND(原始資料!AV153&lt;&gt;"",原始資料!AW153=原始資料!AV153),N(AT153)+1,1))</f>
        <v/>
      </c>
      <c r="AV153" s="6">
        <f>IF(OR(原始資料!$A153="",47&gt;設定!$B$3,原始資料!AX153=""),"",IF(AND(原始資料!AW153&lt;&gt;"",原始資料!AX153=原始資料!AW153),N(AU153)+1,1))</f>
        <v/>
      </c>
      <c r="AW153" s="6">
        <f>IF(OR(原始資料!$A153="",48&gt;設定!$B$3,原始資料!AY153=""),"",IF(AND(原始資料!AX153&lt;&gt;"",原始資料!AY153=原始資料!AX153),N(AV153)+1,1))</f>
        <v/>
      </c>
      <c r="AX153" s="6">
        <f>IF(OR(原始資料!$A153="",49&gt;設定!$B$3,原始資料!AZ153=""),"",IF(AND(原始資料!AY153&lt;&gt;"",原始資料!AZ153=原始資料!AY153),N(AW153)+1,1))</f>
        <v/>
      </c>
      <c r="AY153" s="6">
        <f>IF(OR(原始資料!$A153="",50&gt;設定!$B$3,原始資料!BA153=""),"",IF(AND(原始資料!AZ153&lt;&gt;"",原始資料!BA153=原始資料!AZ153),N(AX153)+1,1))</f>
        <v/>
      </c>
      <c r="AZ153" s="6">
        <f>IF(OR(原始資料!$A153="",51&gt;設定!$B$3,原始資料!BB153=""),"",IF(AND(原始資料!BA153&lt;&gt;"",原始資料!BB153=原始資料!BA153),N(AY153)+1,1))</f>
        <v/>
      </c>
      <c r="BA153" s="6">
        <f>IF(OR(原始資料!$A153="",52&gt;設定!$B$3,原始資料!BC153=""),"",IF(AND(原始資料!BB153&lt;&gt;"",原始資料!BC153=原始資料!BB153),N(AZ153)+1,1))</f>
        <v/>
      </c>
      <c r="BB153" s="6">
        <f>IF(OR(原始資料!$A153="",53&gt;設定!$B$3,原始資料!BD153=""),"",IF(AND(原始資料!BC153&lt;&gt;"",原始資料!BD153=原始資料!BC153),N(BA153)+1,1))</f>
        <v/>
      </c>
      <c r="BC153" s="6">
        <f>IF(OR(原始資料!$A153="",54&gt;設定!$B$3,原始資料!BE153=""),"",IF(AND(原始資料!BD153&lt;&gt;"",原始資料!BE153=原始資料!BD153),N(BB153)+1,1))</f>
        <v/>
      </c>
      <c r="BD153" s="6">
        <f>IF(OR(原始資料!$A153="",55&gt;設定!$B$3,原始資料!BF153=""),"",IF(AND(原始資料!BE153&lt;&gt;"",原始資料!BF153=原始資料!BE153),N(BC153)+1,1))</f>
        <v/>
      </c>
      <c r="BE153" s="6">
        <f>IF(OR(原始資料!$A153="",56&gt;設定!$B$3,原始資料!BG153=""),"",IF(AND(原始資料!BF153&lt;&gt;"",原始資料!BG153=原始資料!BF153),N(BD153)+1,1))</f>
        <v/>
      </c>
      <c r="BF153" s="6">
        <f>IF(OR(原始資料!$A153="",57&gt;設定!$B$3,原始資料!BH153=""),"",IF(AND(原始資料!BG153&lt;&gt;"",原始資料!BH153=原始資料!BG153),N(BE153)+1,1))</f>
        <v/>
      </c>
      <c r="BG153" s="6">
        <f>IF(OR(原始資料!$A153="",58&gt;設定!$B$3,原始資料!BI153=""),"",IF(AND(原始資料!BH153&lt;&gt;"",原始資料!BI153=原始資料!BH153),N(BF153)+1,1))</f>
        <v/>
      </c>
      <c r="BH153" s="6">
        <f>IF(OR(原始資料!$A153="",59&gt;設定!$B$3,原始資料!BJ153=""),"",IF(AND(原始資料!BI153&lt;&gt;"",原始資料!BJ153=原始資料!BI153),N(BG153)+1,1))</f>
        <v/>
      </c>
      <c r="BI153" s="6">
        <f>IF(OR(原始資料!$A153="",60&gt;設定!$B$3,原始資料!BK153=""),"",IF(AND(原始資料!BJ153&lt;&gt;"",原始資料!BK153=原始資料!BJ153),N(BH153)+1,1))</f>
        <v/>
      </c>
    </row>
    <row r="154">
      <c r="A154" s="6">
        <f>IF(原始資料!$A154="","",原始資料!$A154)</f>
        <v/>
      </c>
      <c r="B154" s="6">
        <f>IF(OR(原始資料!$A154="",1&gt;設定!$B$3,原始資料!D154=""),"",1)</f>
        <v/>
      </c>
      <c r="C154" s="6">
        <f>IF(OR(原始資料!$A154="",2&gt;設定!$B$3,原始資料!E154=""),"",IF(AND(原始資料!D154&lt;&gt;"",原始資料!E154=原始資料!D154),N(B154)+1,1))</f>
        <v/>
      </c>
      <c r="D154" s="6">
        <f>IF(OR(原始資料!$A154="",3&gt;設定!$B$3,原始資料!F154=""),"",IF(AND(原始資料!E154&lt;&gt;"",原始資料!F154=原始資料!E154),N(C154)+1,1))</f>
        <v/>
      </c>
      <c r="E154" s="6">
        <f>IF(OR(原始資料!$A154="",4&gt;設定!$B$3,原始資料!G154=""),"",IF(AND(原始資料!F154&lt;&gt;"",原始資料!G154=原始資料!F154),N(D154)+1,1))</f>
        <v/>
      </c>
      <c r="F154" s="6">
        <f>IF(OR(原始資料!$A154="",5&gt;設定!$B$3,原始資料!H154=""),"",IF(AND(原始資料!G154&lt;&gt;"",原始資料!H154=原始資料!G154),N(E154)+1,1))</f>
        <v/>
      </c>
      <c r="G154" s="6">
        <f>IF(OR(原始資料!$A154="",6&gt;設定!$B$3,原始資料!I154=""),"",IF(AND(原始資料!H154&lt;&gt;"",原始資料!I154=原始資料!H154),N(F154)+1,1))</f>
        <v/>
      </c>
      <c r="H154" s="6">
        <f>IF(OR(原始資料!$A154="",7&gt;設定!$B$3,原始資料!J154=""),"",IF(AND(原始資料!I154&lt;&gt;"",原始資料!J154=原始資料!I154),N(G154)+1,1))</f>
        <v/>
      </c>
      <c r="I154" s="6">
        <f>IF(OR(原始資料!$A154="",8&gt;設定!$B$3,原始資料!K154=""),"",IF(AND(原始資料!J154&lt;&gt;"",原始資料!K154=原始資料!J154),N(H154)+1,1))</f>
        <v/>
      </c>
      <c r="J154" s="6">
        <f>IF(OR(原始資料!$A154="",9&gt;設定!$B$3,原始資料!L154=""),"",IF(AND(原始資料!K154&lt;&gt;"",原始資料!L154=原始資料!K154),N(I154)+1,1))</f>
        <v/>
      </c>
      <c r="K154" s="6">
        <f>IF(OR(原始資料!$A154="",10&gt;設定!$B$3,原始資料!M154=""),"",IF(AND(原始資料!L154&lt;&gt;"",原始資料!M154=原始資料!L154),N(J154)+1,1))</f>
        <v/>
      </c>
      <c r="L154" s="6">
        <f>IF(OR(原始資料!$A154="",11&gt;設定!$B$3,原始資料!N154=""),"",IF(AND(原始資料!M154&lt;&gt;"",原始資料!N154=原始資料!M154),N(K154)+1,1))</f>
        <v/>
      </c>
      <c r="M154" s="6">
        <f>IF(OR(原始資料!$A154="",12&gt;設定!$B$3,原始資料!O154=""),"",IF(AND(原始資料!N154&lt;&gt;"",原始資料!O154=原始資料!N154),N(L154)+1,1))</f>
        <v/>
      </c>
      <c r="N154" s="6">
        <f>IF(OR(原始資料!$A154="",13&gt;設定!$B$3,原始資料!P154=""),"",IF(AND(原始資料!O154&lt;&gt;"",原始資料!P154=原始資料!O154),N(M154)+1,1))</f>
        <v/>
      </c>
      <c r="O154" s="6">
        <f>IF(OR(原始資料!$A154="",14&gt;設定!$B$3,原始資料!Q154=""),"",IF(AND(原始資料!P154&lt;&gt;"",原始資料!Q154=原始資料!P154),N(N154)+1,1))</f>
        <v/>
      </c>
      <c r="P154" s="6">
        <f>IF(OR(原始資料!$A154="",15&gt;設定!$B$3,原始資料!R154=""),"",IF(AND(原始資料!Q154&lt;&gt;"",原始資料!R154=原始資料!Q154),N(O154)+1,1))</f>
        <v/>
      </c>
      <c r="Q154" s="6">
        <f>IF(OR(原始資料!$A154="",16&gt;設定!$B$3,原始資料!S154=""),"",IF(AND(原始資料!R154&lt;&gt;"",原始資料!S154=原始資料!R154),N(P154)+1,1))</f>
        <v/>
      </c>
      <c r="R154" s="6">
        <f>IF(OR(原始資料!$A154="",17&gt;設定!$B$3,原始資料!T154=""),"",IF(AND(原始資料!S154&lt;&gt;"",原始資料!T154=原始資料!S154),N(Q154)+1,1))</f>
        <v/>
      </c>
      <c r="S154" s="6">
        <f>IF(OR(原始資料!$A154="",18&gt;設定!$B$3,原始資料!U154=""),"",IF(AND(原始資料!T154&lt;&gt;"",原始資料!U154=原始資料!T154),N(R154)+1,1))</f>
        <v/>
      </c>
      <c r="T154" s="6">
        <f>IF(OR(原始資料!$A154="",19&gt;設定!$B$3,原始資料!V154=""),"",IF(AND(原始資料!U154&lt;&gt;"",原始資料!V154=原始資料!U154),N(S154)+1,1))</f>
        <v/>
      </c>
      <c r="U154" s="6">
        <f>IF(OR(原始資料!$A154="",20&gt;設定!$B$3,原始資料!W154=""),"",IF(AND(原始資料!V154&lt;&gt;"",原始資料!W154=原始資料!V154),N(T154)+1,1))</f>
        <v/>
      </c>
      <c r="V154" s="6">
        <f>IF(OR(原始資料!$A154="",21&gt;設定!$B$3,原始資料!X154=""),"",IF(AND(原始資料!W154&lt;&gt;"",原始資料!X154=原始資料!W154),N(U154)+1,1))</f>
        <v/>
      </c>
      <c r="W154" s="6">
        <f>IF(OR(原始資料!$A154="",22&gt;設定!$B$3,原始資料!Y154=""),"",IF(AND(原始資料!X154&lt;&gt;"",原始資料!Y154=原始資料!X154),N(V154)+1,1))</f>
        <v/>
      </c>
      <c r="X154" s="6">
        <f>IF(OR(原始資料!$A154="",23&gt;設定!$B$3,原始資料!Z154=""),"",IF(AND(原始資料!Y154&lt;&gt;"",原始資料!Z154=原始資料!Y154),N(W154)+1,1))</f>
        <v/>
      </c>
      <c r="Y154" s="6">
        <f>IF(OR(原始資料!$A154="",24&gt;設定!$B$3,原始資料!AA154=""),"",IF(AND(原始資料!Z154&lt;&gt;"",原始資料!AA154=原始資料!Z154),N(X154)+1,1))</f>
        <v/>
      </c>
      <c r="Z154" s="6">
        <f>IF(OR(原始資料!$A154="",25&gt;設定!$B$3,原始資料!AB154=""),"",IF(AND(原始資料!AA154&lt;&gt;"",原始資料!AB154=原始資料!AA154),N(Y154)+1,1))</f>
        <v/>
      </c>
      <c r="AA154" s="6">
        <f>IF(OR(原始資料!$A154="",26&gt;設定!$B$3,原始資料!AC154=""),"",IF(AND(原始資料!AB154&lt;&gt;"",原始資料!AC154=原始資料!AB154),N(Z154)+1,1))</f>
        <v/>
      </c>
      <c r="AB154" s="6">
        <f>IF(OR(原始資料!$A154="",27&gt;設定!$B$3,原始資料!AD154=""),"",IF(AND(原始資料!AC154&lt;&gt;"",原始資料!AD154=原始資料!AC154),N(AA154)+1,1))</f>
        <v/>
      </c>
      <c r="AC154" s="6">
        <f>IF(OR(原始資料!$A154="",28&gt;設定!$B$3,原始資料!AE154=""),"",IF(AND(原始資料!AD154&lt;&gt;"",原始資料!AE154=原始資料!AD154),N(AB154)+1,1))</f>
        <v/>
      </c>
      <c r="AD154" s="6">
        <f>IF(OR(原始資料!$A154="",29&gt;設定!$B$3,原始資料!AF154=""),"",IF(AND(原始資料!AE154&lt;&gt;"",原始資料!AF154=原始資料!AE154),N(AC154)+1,1))</f>
        <v/>
      </c>
      <c r="AE154" s="6">
        <f>IF(OR(原始資料!$A154="",30&gt;設定!$B$3,原始資料!AG154=""),"",IF(AND(原始資料!AF154&lt;&gt;"",原始資料!AG154=原始資料!AF154),N(AD154)+1,1))</f>
        <v/>
      </c>
      <c r="AF154" s="6">
        <f>IF(OR(原始資料!$A154="",31&gt;設定!$B$3,原始資料!AH154=""),"",IF(AND(原始資料!AG154&lt;&gt;"",原始資料!AH154=原始資料!AG154),N(AE154)+1,1))</f>
        <v/>
      </c>
      <c r="AG154" s="6">
        <f>IF(OR(原始資料!$A154="",32&gt;設定!$B$3,原始資料!AI154=""),"",IF(AND(原始資料!AH154&lt;&gt;"",原始資料!AI154=原始資料!AH154),N(AF154)+1,1))</f>
        <v/>
      </c>
      <c r="AH154" s="6">
        <f>IF(OR(原始資料!$A154="",33&gt;設定!$B$3,原始資料!AJ154=""),"",IF(AND(原始資料!AI154&lt;&gt;"",原始資料!AJ154=原始資料!AI154),N(AG154)+1,1))</f>
        <v/>
      </c>
      <c r="AI154" s="6">
        <f>IF(OR(原始資料!$A154="",34&gt;設定!$B$3,原始資料!AK154=""),"",IF(AND(原始資料!AJ154&lt;&gt;"",原始資料!AK154=原始資料!AJ154),N(AH154)+1,1))</f>
        <v/>
      </c>
      <c r="AJ154" s="6">
        <f>IF(OR(原始資料!$A154="",35&gt;設定!$B$3,原始資料!AL154=""),"",IF(AND(原始資料!AK154&lt;&gt;"",原始資料!AL154=原始資料!AK154),N(AI154)+1,1))</f>
        <v/>
      </c>
      <c r="AK154" s="6">
        <f>IF(OR(原始資料!$A154="",36&gt;設定!$B$3,原始資料!AM154=""),"",IF(AND(原始資料!AL154&lt;&gt;"",原始資料!AM154=原始資料!AL154),N(AJ154)+1,1))</f>
        <v/>
      </c>
      <c r="AL154" s="6">
        <f>IF(OR(原始資料!$A154="",37&gt;設定!$B$3,原始資料!AN154=""),"",IF(AND(原始資料!AM154&lt;&gt;"",原始資料!AN154=原始資料!AM154),N(AK154)+1,1))</f>
        <v/>
      </c>
      <c r="AM154" s="6">
        <f>IF(OR(原始資料!$A154="",38&gt;設定!$B$3,原始資料!AO154=""),"",IF(AND(原始資料!AN154&lt;&gt;"",原始資料!AO154=原始資料!AN154),N(AL154)+1,1))</f>
        <v/>
      </c>
      <c r="AN154" s="6">
        <f>IF(OR(原始資料!$A154="",39&gt;設定!$B$3,原始資料!AP154=""),"",IF(AND(原始資料!AO154&lt;&gt;"",原始資料!AP154=原始資料!AO154),N(AM154)+1,1))</f>
        <v/>
      </c>
      <c r="AO154" s="6">
        <f>IF(OR(原始資料!$A154="",40&gt;設定!$B$3,原始資料!AQ154=""),"",IF(AND(原始資料!AP154&lt;&gt;"",原始資料!AQ154=原始資料!AP154),N(AN154)+1,1))</f>
        <v/>
      </c>
      <c r="AP154" s="6">
        <f>IF(OR(原始資料!$A154="",41&gt;設定!$B$3,原始資料!AR154=""),"",IF(AND(原始資料!AQ154&lt;&gt;"",原始資料!AR154=原始資料!AQ154),N(AO154)+1,1))</f>
        <v/>
      </c>
      <c r="AQ154" s="6">
        <f>IF(OR(原始資料!$A154="",42&gt;設定!$B$3,原始資料!AS154=""),"",IF(AND(原始資料!AR154&lt;&gt;"",原始資料!AS154=原始資料!AR154),N(AP154)+1,1))</f>
        <v/>
      </c>
      <c r="AR154" s="6">
        <f>IF(OR(原始資料!$A154="",43&gt;設定!$B$3,原始資料!AT154=""),"",IF(AND(原始資料!AS154&lt;&gt;"",原始資料!AT154=原始資料!AS154),N(AQ154)+1,1))</f>
        <v/>
      </c>
      <c r="AS154" s="6">
        <f>IF(OR(原始資料!$A154="",44&gt;設定!$B$3,原始資料!AU154=""),"",IF(AND(原始資料!AT154&lt;&gt;"",原始資料!AU154=原始資料!AT154),N(AR154)+1,1))</f>
        <v/>
      </c>
      <c r="AT154" s="6">
        <f>IF(OR(原始資料!$A154="",45&gt;設定!$B$3,原始資料!AV154=""),"",IF(AND(原始資料!AU154&lt;&gt;"",原始資料!AV154=原始資料!AU154),N(AS154)+1,1))</f>
        <v/>
      </c>
      <c r="AU154" s="6">
        <f>IF(OR(原始資料!$A154="",46&gt;設定!$B$3,原始資料!AW154=""),"",IF(AND(原始資料!AV154&lt;&gt;"",原始資料!AW154=原始資料!AV154),N(AT154)+1,1))</f>
        <v/>
      </c>
      <c r="AV154" s="6">
        <f>IF(OR(原始資料!$A154="",47&gt;設定!$B$3,原始資料!AX154=""),"",IF(AND(原始資料!AW154&lt;&gt;"",原始資料!AX154=原始資料!AW154),N(AU154)+1,1))</f>
        <v/>
      </c>
      <c r="AW154" s="6">
        <f>IF(OR(原始資料!$A154="",48&gt;設定!$B$3,原始資料!AY154=""),"",IF(AND(原始資料!AX154&lt;&gt;"",原始資料!AY154=原始資料!AX154),N(AV154)+1,1))</f>
        <v/>
      </c>
      <c r="AX154" s="6">
        <f>IF(OR(原始資料!$A154="",49&gt;設定!$B$3,原始資料!AZ154=""),"",IF(AND(原始資料!AY154&lt;&gt;"",原始資料!AZ154=原始資料!AY154),N(AW154)+1,1))</f>
        <v/>
      </c>
      <c r="AY154" s="6">
        <f>IF(OR(原始資料!$A154="",50&gt;設定!$B$3,原始資料!BA154=""),"",IF(AND(原始資料!AZ154&lt;&gt;"",原始資料!BA154=原始資料!AZ154),N(AX154)+1,1))</f>
        <v/>
      </c>
      <c r="AZ154" s="6">
        <f>IF(OR(原始資料!$A154="",51&gt;設定!$B$3,原始資料!BB154=""),"",IF(AND(原始資料!BA154&lt;&gt;"",原始資料!BB154=原始資料!BA154),N(AY154)+1,1))</f>
        <v/>
      </c>
      <c r="BA154" s="6">
        <f>IF(OR(原始資料!$A154="",52&gt;設定!$B$3,原始資料!BC154=""),"",IF(AND(原始資料!BB154&lt;&gt;"",原始資料!BC154=原始資料!BB154),N(AZ154)+1,1))</f>
        <v/>
      </c>
      <c r="BB154" s="6">
        <f>IF(OR(原始資料!$A154="",53&gt;設定!$B$3,原始資料!BD154=""),"",IF(AND(原始資料!BC154&lt;&gt;"",原始資料!BD154=原始資料!BC154),N(BA154)+1,1))</f>
        <v/>
      </c>
      <c r="BC154" s="6">
        <f>IF(OR(原始資料!$A154="",54&gt;設定!$B$3,原始資料!BE154=""),"",IF(AND(原始資料!BD154&lt;&gt;"",原始資料!BE154=原始資料!BD154),N(BB154)+1,1))</f>
        <v/>
      </c>
      <c r="BD154" s="6">
        <f>IF(OR(原始資料!$A154="",55&gt;設定!$B$3,原始資料!BF154=""),"",IF(AND(原始資料!BE154&lt;&gt;"",原始資料!BF154=原始資料!BE154),N(BC154)+1,1))</f>
        <v/>
      </c>
      <c r="BE154" s="6">
        <f>IF(OR(原始資料!$A154="",56&gt;設定!$B$3,原始資料!BG154=""),"",IF(AND(原始資料!BF154&lt;&gt;"",原始資料!BG154=原始資料!BF154),N(BD154)+1,1))</f>
        <v/>
      </c>
      <c r="BF154" s="6">
        <f>IF(OR(原始資料!$A154="",57&gt;設定!$B$3,原始資料!BH154=""),"",IF(AND(原始資料!BG154&lt;&gt;"",原始資料!BH154=原始資料!BG154),N(BE154)+1,1))</f>
        <v/>
      </c>
      <c r="BG154" s="6">
        <f>IF(OR(原始資料!$A154="",58&gt;設定!$B$3,原始資料!BI154=""),"",IF(AND(原始資料!BH154&lt;&gt;"",原始資料!BI154=原始資料!BH154),N(BF154)+1,1))</f>
        <v/>
      </c>
      <c r="BH154" s="6">
        <f>IF(OR(原始資料!$A154="",59&gt;設定!$B$3,原始資料!BJ154=""),"",IF(AND(原始資料!BI154&lt;&gt;"",原始資料!BJ154=原始資料!BI154),N(BG154)+1,1))</f>
        <v/>
      </c>
      <c r="BI154" s="6">
        <f>IF(OR(原始資料!$A154="",60&gt;設定!$B$3,原始資料!BK154=""),"",IF(AND(原始資料!BJ154&lt;&gt;"",原始資料!BK154=原始資料!BJ154),N(BH154)+1,1))</f>
        <v/>
      </c>
    </row>
    <row r="155">
      <c r="A155" s="6">
        <f>IF(原始資料!$A155="","",原始資料!$A155)</f>
        <v/>
      </c>
      <c r="B155" s="6">
        <f>IF(OR(原始資料!$A155="",1&gt;設定!$B$3,原始資料!D155=""),"",1)</f>
        <v/>
      </c>
      <c r="C155" s="6">
        <f>IF(OR(原始資料!$A155="",2&gt;設定!$B$3,原始資料!E155=""),"",IF(AND(原始資料!D155&lt;&gt;"",原始資料!E155=原始資料!D155),N(B155)+1,1))</f>
        <v/>
      </c>
      <c r="D155" s="6">
        <f>IF(OR(原始資料!$A155="",3&gt;設定!$B$3,原始資料!F155=""),"",IF(AND(原始資料!E155&lt;&gt;"",原始資料!F155=原始資料!E155),N(C155)+1,1))</f>
        <v/>
      </c>
      <c r="E155" s="6">
        <f>IF(OR(原始資料!$A155="",4&gt;設定!$B$3,原始資料!G155=""),"",IF(AND(原始資料!F155&lt;&gt;"",原始資料!G155=原始資料!F155),N(D155)+1,1))</f>
        <v/>
      </c>
      <c r="F155" s="6">
        <f>IF(OR(原始資料!$A155="",5&gt;設定!$B$3,原始資料!H155=""),"",IF(AND(原始資料!G155&lt;&gt;"",原始資料!H155=原始資料!G155),N(E155)+1,1))</f>
        <v/>
      </c>
      <c r="G155" s="6">
        <f>IF(OR(原始資料!$A155="",6&gt;設定!$B$3,原始資料!I155=""),"",IF(AND(原始資料!H155&lt;&gt;"",原始資料!I155=原始資料!H155),N(F155)+1,1))</f>
        <v/>
      </c>
      <c r="H155" s="6">
        <f>IF(OR(原始資料!$A155="",7&gt;設定!$B$3,原始資料!J155=""),"",IF(AND(原始資料!I155&lt;&gt;"",原始資料!J155=原始資料!I155),N(G155)+1,1))</f>
        <v/>
      </c>
      <c r="I155" s="6">
        <f>IF(OR(原始資料!$A155="",8&gt;設定!$B$3,原始資料!K155=""),"",IF(AND(原始資料!J155&lt;&gt;"",原始資料!K155=原始資料!J155),N(H155)+1,1))</f>
        <v/>
      </c>
      <c r="J155" s="6">
        <f>IF(OR(原始資料!$A155="",9&gt;設定!$B$3,原始資料!L155=""),"",IF(AND(原始資料!K155&lt;&gt;"",原始資料!L155=原始資料!K155),N(I155)+1,1))</f>
        <v/>
      </c>
      <c r="K155" s="6">
        <f>IF(OR(原始資料!$A155="",10&gt;設定!$B$3,原始資料!M155=""),"",IF(AND(原始資料!L155&lt;&gt;"",原始資料!M155=原始資料!L155),N(J155)+1,1))</f>
        <v/>
      </c>
      <c r="L155" s="6">
        <f>IF(OR(原始資料!$A155="",11&gt;設定!$B$3,原始資料!N155=""),"",IF(AND(原始資料!M155&lt;&gt;"",原始資料!N155=原始資料!M155),N(K155)+1,1))</f>
        <v/>
      </c>
      <c r="M155" s="6">
        <f>IF(OR(原始資料!$A155="",12&gt;設定!$B$3,原始資料!O155=""),"",IF(AND(原始資料!N155&lt;&gt;"",原始資料!O155=原始資料!N155),N(L155)+1,1))</f>
        <v/>
      </c>
      <c r="N155" s="6">
        <f>IF(OR(原始資料!$A155="",13&gt;設定!$B$3,原始資料!P155=""),"",IF(AND(原始資料!O155&lt;&gt;"",原始資料!P155=原始資料!O155),N(M155)+1,1))</f>
        <v/>
      </c>
      <c r="O155" s="6">
        <f>IF(OR(原始資料!$A155="",14&gt;設定!$B$3,原始資料!Q155=""),"",IF(AND(原始資料!P155&lt;&gt;"",原始資料!Q155=原始資料!P155),N(N155)+1,1))</f>
        <v/>
      </c>
      <c r="P155" s="6">
        <f>IF(OR(原始資料!$A155="",15&gt;設定!$B$3,原始資料!R155=""),"",IF(AND(原始資料!Q155&lt;&gt;"",原始資料!R155=原始資料!Q155),N(O155)+1,1))</f>
        <v/>
      </c>
      <c r="Q155" s="6">
        <f>IF(OR(原始資料!$A155="",16&gt;設定!$B$3,原始資料!S155=""),"",IF(AND(原始資料!R155&lt;&gt;"",原始資料!S155=原始資料!R155),N(P155)+1,1))</f>
        <v/>
      </c>
      <c r="R155" s="6">
        <f>IF(OR(原始資料!$A155="",17&gt;設定!$B$3,原始資料!T155=""),"",IF(AND(原始資料!S155&lt;&gt;"",原始資料!T155=原始資料!S155),N(Q155)+1,1))</f>
        <v/>
      </c>
      <c r="S155" s="6">
        <f>IF(OR(原始資料!$A155="",18&gt;設定!$B$3,原始資料!U155=""),"",IF(AND(原始資料!T155&lt;&gt;"",原始資料!U155=原始資料!T155),N(R155)+1,1))</f>
        <v/>
      </c>
      <c r="T155" s="6">
        <f>IF(OR(原始資料!$A155="",19&gt;設定!$B$3,原始資料!V155=""),"",IF(AND(原始資料!U155&lt;&gt;"",原始資料!V155=原始資料!U155),N(S155)+1,1))</f>
        <v/>
      </c>
      <c r="U155" s="6">
        <f>IF(OR(原始資料!$A155="",20&gt;設定!$B$3,原始資料!W155=""),"",IF(AND(原始資料!V155&lt;&gt;"",原始資料!W155=原始資料!V155),N(T155)+1,1))</f>
        <v/>
      </c>
      <c r="V155" s="6">
        <f>IF(OR(原始資料!$A155="",21&gt;設定!$B$3,原始資料!X155=""),"",IF(AND(原始資料!W155&lt;&gt;"",原始資料!X155=原始資料!W155),N(U155)+1,1))</f>
        <v/>
      </c>
      <c r="W155" s="6">
        <f>IF(OR(原始資料!$A155="",22&gt;設定!$B$3,原始資料!Y155=""),"",IF(AND(原始資料!X155&lt;&gt;"",原始資料!Y155=原始資料!X155),N(V155)+1,1))</f>
        <v/>
      </c>
      <c r="X155" s="6">
        <f>IF(OR(原始資料!$A155="",23&gt;設定!$B$3,原始資料!Z155=""),"",IF(AND(原始資料!Y155&lt;&gt;"",原始資料!Z155=原始資料!Y155),N(W155)+1,1))</f>
        <v/>
      </c>
      <c r="Y155" s="6">
        <f>IF(OR(原始資料!$A155="",24&gt;設定!$B$3,原始資料!AA155=""),"",IF(AND(原始資料!Z155&lt;&gt;"",原始資料!AA155=原始資料!Z155),N(X155)+1,1))</f>
        <v/>
      </c>
      <c r="Z155" s="6">
        <f>IF(OR(原始資料!$A155="",25&gt;設定!$B$3,原始資料!AB155=""),"",IF(AND(原始資料!AA155&lt;&gt;"",原始資料!AB155=原始資料!AA155),N(Y155)+1,1))</f>
        <v/>
      </c>
      <c r="AA155" s="6">
        <f>IF(OR(原始資料!$A155="",26&gt;設定!$B$3,原始資料!AC155=""),"",IF(AND(原始資料!AB155&lt;&gt;"",原始資料!AC155=原始資料!AB155),N(Z155)+1,1))</f>
        <v/>
      </c>
      <c r="AB155" s="6">
        <f>IF(OR(原始資料!$A155="",27&gt;設定!$B$3,原始資料!AD155=""),"",IF(AND(原始資料!AC155&lt;&gt;"",原始資料!AD155=原始資料!AC155),N(AA155)+1,1))</f>
        <v/>
      </c>
      <c r="AC155" s="6">
        <f>IF(OR(原始資料!$A155="",28&gt;設定!$B$3,原始資料!AE155=""),"",IF(AND(原始資料!AD155&lt;&gt;"",原始資料!AE155=原始資料!AD155),N(AB155)+1,1))</f>
        <v/>
      </c>
      <c r="AD155" s="6">
        <f>IF(OR(原始資料!$A155="",29&gt;設定!$B$3,原始資料!AF155=""),"",IF(AND(原始資料!AE155&lt;&gt;"",原始資料!AF155=原始資料!AE155),N(AC155)+1,1))</f>
        <v/>
      </c>
      <c r="AE155" s="6">
        <f>IF(OR(原始資料!$A155="",30&gt;設定!$B$3,原始資料!AG155=""),"",IF(AND(原始資料!AF155&lt;&gt;"",原始資料!AG155=原始資料!AF155),N(AD155)+1,1))</f>
        <v/>
      </c>
      <c r="AF155" s="6">
        <f>IF(OR(原始資料!$A155="",31&gt;設定!$B$3,原始資料!AH155=""),"",IF(AND(原始資料!AG155&lt;&gt;"",原始資料!AH155=原始資料!AG155),N(AE155)+1,1))</f>
        <v/>
      </c>
      <c r="AG155" s="6">
        <f>IF(OR(原始資料!$A155="",32&gt;設定!$B$3,原始資料!AI155=""),"",IF(AND(原始資料!AH155&lt;&gt;"",原始資料!AI155=原始資料!AH155),N(AF155)+1,1))</f>
        <v/>
      </c>
      <c r="AH155" s="6">
        <f>IF(OR(原始資料!$A155="",33&gt;設定!$B$3,原始資料!AJ155=""),"",IF(AND(原始資料!AI155&lt;&gt;"",原始資料!AJ155=原始資料!AI155),N(AG155)+1,1))</f>
        <v/>
      </c>
      <c r="AI155" s="6">
        <f>IF(OR(原始資料!$A155="",34&gt;設定!$B$3,原始資料!AK155=""),"",IF(AND(原始資料!AJ155&lt;&gt;"",原始資料!AK155=原始資料!AJ155),N(AH155)+1,1))</f>
        <v/>
      </c>
      <c r="AJ155" s="6">
        <f>IF(OR(原始資料!$A155="",35&gt;設定!$B$3,原始資料!AL155=""),"",IF(AND(原始資料!AK155&lt;&gt;"",原始資料!AL155=原始資料!AK155),N(AI155)+1,1))</f>
        <v/>
      </c>
      <c r="AK155" s="6">
        <f>IF(OR(原始資料!$A155="",36&gt;設定!$B$3,原始資料!AM155=""),"",IF(AND(原始資料!AL155&lt;&gt;"",原始資料!AM155=原始資料!AL155),N(AJ155)+1,1))</f>
        <v/>
      </c>
      <c r="AL155" s="6">
        <f>IF(OR(原始資料!$A155="",37&gt;設定!$B$3,原始資料!AN155=""),"",IF(AND(原始資料!AM155&lt;&gt;"",原始資料!AN155=原始資料!AM155),N(AK155)+1,1))</f>
        <v/>
      </c>
      <c r="AM155" s="6">
        <f>IF(OR(原始資料!$A155="",38&gt;設定!$B$3,原始資料!AO155=""),"",IF(AND(原始資料!AN155&lt;&gt;"",原始資料!AO155=原始資料!AN155),N(AL155)+1,1))</f>
        <v/>
      </c>
      <c r="AN155" s="6">
        <f>IF(OR(原始資料!$A155="",39&gt;設定!$B$3,原始資料!AP155=""),"",IF(AND(原始資料!AO155&lt;&gt;"",原始資料!AP155=原始資料!AO155),N(AM155)+1,1))</f>
        <v/>
      </c>
      <c r="AO155" s="6">
        <f>IF(OR(原始資料!$A155="",40&gt;設定!$B$3,原始資料!AQ155=""),"",IF(AND(原始資料!AP155&lt;&gt;"",原始資料!AQ155=原始資料!AP155),N(AN155)+1,1))</f>
        <v/>
      </c>
      <c r="AP155" s="6">
        <f>IF(OR(原始資料!$A155="",41&gt;設定!$B$3,原始資料!AR155=""),"",IF(AND(原始資料!AQ155&lt;&gt;"",原始資料!AR155=原始資料!AQ155),N(AO155)+1,1))</f>
        <v/>
      </c>
      <c r="AQ155" s="6">
        <f>IF(OR(原始資料!$A155="",42&gt;設定!$B$3,原始資料!AS155=""),"",IF(AND(原始資料!AR155&lt;&gt;"",原始資料!AS155=原始資料!AR155),N(AP155)+1,1))</f>
        <v/>
      </c>
      <c r="AR155" s="6">
        <f>IF(OR(原始資料!$A155="",43&gt;設定!$B$3,原始資料!AT155=""),"",IF(AND(原始資料!AS155&lt;&gt;"",原始資料!AT155=原始資料!AS155),N(AQ155)+1,1))</f>
        <v/>
      </c>
      <c r="AS155" s="6">
        <f>IF(OR(原始資料!$A155="",44&gt;設定!$B$3,原始資料!AU155=""),"",IF(AND(原始資料!AT155&lt;&gt;"",原始資料!AU155=原始資料!AT155),N(AR155)+1,1))</f>
        <v/>
      </c>
      <c r="AT155" s="6">
        <f>IF(OR(原始資料!$A155="",45&gt;設定!$B$3,原始資料!AV155=""),"",IF(AND(原始資料!AU155&lt;&gt;"",原始資料!AV155=原始資料!AU155),N(AS155)+1,1))</f>
        <v/>
      </c>
      <c r="AU155" s="6">
        <f>IF(OR(原始資料!$A155="",46&gt;設定!$B$3,原始資料!AW155=""),"",IF(AND(原始資料!AV155&lt;&gt;"",原始資料!AW155=原始資料!AV155),N(AT155)+1,1))</f>
        <v/>
      </c>
      <c r="AV155" s="6">
        <f>IF(OR(原始資料!$A155="",47&gt;設定!$B$3,原始資料!AX155=""),"",IF(AND(原始資料!AW155&lt;&gt;"",原始資料!AX155=原始資料!AW155),N(AU155)+1,1))</f>
        <v/>
      </c>
      <c r="AW155" s="6">
        <f>IF(OR(原始資料!$A155="",48&gt;設定!$B$3,原始資料!AY155=""),"",IF(AND(原始資料!AX155&lt;&gt;"",原始資料!AY155=原始資料!AX155),N(AV155)+1,1))</f>
        <v/>
      </c>
      <c r="AX155" s="6">
        <f>IF(OR(原始資料!$A155="",49&gt;設定!$B$3,原始資料!AZ155=""),"",IF(AND(原始資料!AY155&lt;&gt;"",原始資料!AZ155=原始資料!AY155),N(AW155)+1,1))</f>
        <v/>
      </c>
      <c r="AY155" s="6">
        <f>IF(OR(原始資料!$A155="",50&gt;設定!$B$3,原始資料!BA155=""),"",IF(AND(原始資料!AZ155&lt;&gt;"",原始資料!BA155=原始資料!AZ155),N(AX155)+1,1))</f>
        <v/>
      </c>
      <c r="AZ155" s="6">
        <f>IF(OR(原始資料!$A155="",51&gt;設定!$B$3,原始資料!BB155=""),"",IF(AND(原始資料!BA155&lt;&gt;"",原始資料!BB155=原始資料!BA155),N(AY155)+1,1))</f>
        <v/>
      </c>
      <c r="BA155" s="6">
        <f>IF(OR(原始資料!$A155="",52&gt;設定!$B$3,原始資料!BC155=""),"",IF(AND(原始資料!BB155&lt;&gt;"",原始資料!BC155=原始資料!BB155),N(AZ155)+1,1))</f>
        <v/>
      </c>
      <c r="BB155" s="6">
        <f>IF(OR(原始資料!$A155="",53&gt;設定!$B$3,原始資料!BD155=""),"",IF(AND(原始資料!BC155&lt;&gt;"",原始資料!BD155=原始資料!BC155),N(BA155)+1,1))</f>
        <v/>
      </c>
      <c r="BC155" s="6">
        <f>IF(OR(原始資料!$A155="",54&gt;設定!$B$3,原始資料!BE155=""),"",IF(AND(原始資料!BD155&lt;&gt;"",原始資料!BE155=原始資料!BD155),N(BB155)+1,1))</f>
        <v/>
      </c>
      <c r="BD155" s="6">
        <f>IF(OR(原始資料!$A155="",55&gt;設定!$B$3,原始資料!BF155=""),"",IF(AND(原始資料!BE155&lt;&gt;"",原始資料!BF155=原始資料!BE155),N(BC155)+1,1))</f>
        <v/>
      </c>
      <c r="BE155" s="6">
        <f>IF(OR(原始資料!$A155="",56&gt;設定!$B$3,原始資料!BG155=""),"",IF(AND(原始資料!BF155&lt;&gt;"",原始資料!BG155=原始資料!BF155),N(BD155)+1,1))</f>
        <v/>
      </c>
      <c r="BF155" s="6">
        <f>IF(OR(原始資料!$A155="",57&gt;設定!$B$3,原始資料!BH155=""),"",IF(AND(原始資料!BG155&lt;&gt;"",原始資料!BH155=原始資料!BG155),N(BE155)+1,1))</f>
        <v/>
      </c>
      <c r="BG155" s="6">
        <f>IF(OR(原始資料!$A155="",58&gt;設定!$B$3,原始資料!BI155=""),"",IF(AND(原始資料!BH155&lt;&gt;"",原始資料!BI155=原始資料!BH155),N(BF155)+1,1))</f>
        <v/>
      </c>
      <c r="BH155" s="6">
        <f>IF(OR(原始資料!$A155="",59&gt;設定!$B$3,原始資料!BJ155=""),"",IF(AND(原始資料!BI155&lt;&gt;"",原始資料!BJ155=原始資料!BI155),N(BG155)+1,1))</f>
        <v/>
      </c>
      <c r="BI155" s="6">
        <f>IF(OR(原始資料!$A155="",60&gt;設定!$B$3,原始資料!BK155=""),"",IF(AND(原始資料!BJ155&lt;&gt;"",原始資料!BK155=原始資料!BJ155),N(BH155)+1,1))</f>
        <v/>
      </c>
    </row>
    <row r="156">
      <c r="A156" s="6">
        <f>IF(原始資料!$A156="","",原始資料!$A156)</f>
        <v/>
      </c>
      <c r="B156" s="6">
        <f>IF(OR(原始資料!$A156="",1&gt;設定!$B$3,原始資料!D156=""),"",1)</f>
        <v/>
      </c>
      <c r="C156" s="6">
        <f>IF(OR(原始資料!$A156="",2&gt;設定!$B$3,原始資料!E156=""),"",IF(AND(原始資料!D156&lt;&gt;"",原始資料!E156=原始資料!D156),N(B156)+1,1))</f>
        <v/>
      </c>
      <c r="D156" s="6">
        <f>IF(OR(原始資料!$A156="",3&gt;設定!$B$3,原始資料!F156=""),"",IF(AND(原始資料!E156&lt;&gt;"",原始資料!F156=原始資料!E156),N(C156)+1,1))</f>
        <v/>
      </c>
      <c r="E156" s="6">
        <f>IF(OR(原始資料!$A156="",4&gt;設定!$B$3,原始資料!G156=""),"",IF(AND(原始資料!F156&lt;&gt;"",原始資料!G156=原始資料!F156),N(D156)+1,1))</f>
        <v/>
      </c>
      <c r="F156" s="6">
        <f>IF(OR(原始資料!$A156="",5&gt;設定!$B$3,原始資料!H156=""),"",IF(AND(原始資料!G156&lt;&gt;"",原始資料!H156=原始資料!G156),N(E156)+1,1))</f>
        <v/>
      </c>
      <c r="G156" s="6">
        <f>IF(OR(原始資料!$A156="",6&gt;設定!$B$3,原始資料!I156=""),"",IF(AND(原始資料!H156&lt;&gt;"",原始資料!I156=原始資料!H156),N(F156)+1,1))</f>
        <v/>
      </c>
      <c r="H156" s="6">
        <f>IF(OR(原始資料!$A156="",7&gt;設定!$B$3,原始資料!J156=""),"",IF(AND(原始資料!I156&lt;&gt;"",原始資料!J156=原始資料!I156),N(G156)+1,1))</f>
        <v/>
      </c>
      <c r="I156" s="6">
        <f>IF(OR(原始資料!$A156="",8&gt;設定!$B$3,原始資料!K156=""),"",IF(AND(原始資料!J156&lt;&gt;"",原始資料!K156=原始資料!J156),N(H156)+1,1))</f>
        <v/>
      </c>
      <c r="J156" s="6">
        <f>IF(OR(原始資料!$A156="",9&gt;設定!$B$3,原始資料!L156=""),"",IF(AND(原始資料!K156&lt;&gt;"",原始資料!L156=原始資料!K156),N(I156)+1,1))</f>
        <v/>
      </c>
      <c r="K156" s="6">
        <f>IF(OR(原始資料!$A156="",10&gt;設定!$B$3,原始資料!M156=""),"",IF(AND(原始資料!L156&lt;&gt;"",原始資料!M156=原始資料!L156),N(J156)+1,1))</f>
        <v/>
      </c>
      <c r="L156" s="6">
        <f>IF(OR(原始資料!$A156="",11&gt;設定!$B$3,原始資料!N156=""),"",IF(AND(原始資料!M156&lt;&gt;"",原始資料!N156=原始資料!M156),N(K156)+1,1))</f>
        <v/>
      </c>
      <c r="M156" s="6">
        <f>IF(OR(原始資料!$A156="",12&gt;設定!$B$3,原始資料!O156=""),"",IF(AND(原始資料!N156&lt;&gt;"",原始資料!O156=原始資料!N156),N(L156)+1,1))</f>
        <v/>
      </c>
      <c r="N156" s="6">
        <f>IF(OR(原始資料!$A156="",13&gt;設定!$B$3,原始資料!P156=""),"",IF(AND(原始資料!O156&lt;&gt;"",原始資料!P156=原始資料!O156),N(M156)+1,1))</f>
        <v/>
      </c>
      <c r="O156" s="6">
        <f>IF(OR(原始資料!$A156="",14&gt;設定!$B$3,原始資料!Q156=""),"",IF(AND(原始資料!P156&lt;&gt;"",原始資料!Q156=原始資料!P156),N(N156)+1,1))</f>
        <v/>
      </c>
      <c r="P156" s="6">
        <f>IF(OR(原始資料!$A156="",15&gt;設定!$B$3,原始資料!R156=""),"",IF(AND(原始資料!Q156&lt;&gt;"",原始資料!R156=原始資料!Q156),N(O156)+1,1))</f>
        <v/>
      </c>
      <c r="Q156" s="6">
        <f>IF(OR(原始資料!$A156="",16&gt;設定!$B$3,原始資料!S156=""),"",IF(AND(原始資料!R156&lt;&gt;"",原始資料!S156=原始資料!R156),N(P156)+1,1))</f>
        <v/>
      </c>
      <c r="R156" s="6">
        <f>IF(OR(原始資料!$A156="",17&gt;設定!$B$3,原始資料!T156=""),"",IF(AND(原始資料!S156&lt;&gt;"",原始資料!T156=原始資料!S156),N(Q156)+1,1))</f>
        <v/>
      </c>
      <c r="S156" s="6">
        <f>IF(OR(原始資料!$A156="",18&gt;設定!$B$3,原始資料!U156=""),"",IF(AND(原始資料!T156&lt;&gt;"",原始資料!U156=原始資料!T156),N(R156)+1,1))</f>
        <v/>
      </c>
      <c r="T156" s="6">
        <f>IF(OR(原始資料!$A156="",19&gt;設定!$B$3,原始資料!V156=""),"",IF(AND(原始資料!U156&lt;&gt;"",原始資料!V156=原始資料!U156),N(S156)+1,1))</f>
        <v/>
      </c>
      <c r="U156" s="6">
        <f>IF(OR(原始資料!$A156="",20&gt;設定!$B$3,原始資料!W156=""),"",IF(AND(原始資料!V156&lt;&gt;"",原始資料!W156=原始資料!V156),N(T156)+1,1))</f>
        <v/>
      </c>
      <c r="V156" s="6">
        <f>IF(OR(原始資料!$A156="",21&gt;設定!$B$3,原始資料!X156=""),"",IF(AND(原始資料!W156&lt;&gt;"",原始資料!X156=原始資料!W156),N(U156)+1,1))</f>
        <v/>
      </c>
      <c r="W156" s="6">
        <f>IF(OR(原始資料!$A156="",22&gt;設定!$B$3,原始資料!Y156=""),"",IF(AND(原始資料!X156&lt;&gt;"",原始資料!Y156=原始資料!X156),N(V156)+1,1))</f>
        <v/>
      </c>
      <c r="X156" s="6">
        <f>IF(OR(原始資料!$A156="",23&gt;設定!$B$3,原始資料!Z156=""),"",IF(AND(原始資料!Y156&lt;&gt;"",原始資料!Z156=原始資料!Y156),N(W156)+1,1))</f>
        <v/>
      </c>
      <c r="Y156" s="6">
        <f>IF(OR(原始資料!$A156="",24&gt;設定!$B$3,原始資料!AA156=""),"",IF(AND(原始資料!Z156&lt;&gt;"",原始資料!AA156=原始資料!Z156),N(X156)+1,1))</f>
        <v/>
      </c>
      <c r="Z156" s="6">
        <f>IF(OR(原始資料!$A156="",25&gt;設定!$B$3,原始資料!AB156=""),"",IF(AND(原始資料!AA156&lt;&gt;"",原始資料!AB156=原始資料!AA156),N(Y156)+1,1))</f>
        <v/>
      </c>
      <c r="AA156" s="6">
        <f>IF(OR(原始資料!$A156="",26&gt;設定!$B$3,原始資料!AC156=""),"",IF(AND(原始資料!AB156&lt;&gt;"",原始資料!AC156=原始資料!AB156),N(Z156)+1,1))</f>
        <v/>
      </c>
      <c r="AB156" s="6">
        <f>IF(OR(原始資料!$A156="",27&gt;設定!$B$3,原始資料!AD156=""),"",IF(AND(原始資料!AC156&lt;&gt;"",原始資料!AD156=原始資料!AC156),N(AA156)+1,1))</f>
        <v/>
      </c>
      <c r="AC156" s="6">
        <f>IF(OR(原始資料!$A156="",28&gt;設定!$B$3,原始資料!AE156=""),"",IF(AND(原始資料!AD156&lt;&gt;"",原始資料!AE156=原始資料!AD156),N(AB156)+1,1))</f>
        <v/>
      </c>
      <c r="AD156" s="6">
        <f>IF(OR(原始資料!$A156="",29&gt;設定!$B$3,原始資料!AF156=""),"",IF(AND(原始資料!AE156&lt;&gt;"",原始資料!AF156=原始資料!AE156),N(AC156)+1,1))</f>
        <v/>
      </c>
      <c r="AE156" s="6">
        <f>IF(OR(原始資料!$A156="",30&gt;設定!$B$3,原始資料!AG156=""),"",IF(AND(原始資料!AF156&lt;&gt;"",原始資料!AG156=原始資料!AF156),N(AD156)+1,1))</f>
        <v/>
      </c>
      <c r="AF156" s="6">
        <f>IF(OR(原始資料!$A156="",31&gt;設定!$B$3,原始資料!AH156=""),"",IF(AND(原始資料!AG156&lt;&gt;"",原始資料!AH156=原始資料!AG156),N(AE156)+1,1))</f>
        <v/>
      </c>
      <c r="AG156" s="6">
        <f>IF(OR(原始資料!$A156="",32&gt;設定!$B$3,原始資料!AI156=""),"",IF(AND(原始資料!AH156&lt;&gt;"",原始資料!AI156=原始資料!AH156),N(AF156)+1,1))</f>
        <v/>
      </c>
      <c r="AH156" s="6">
        <f>IF(OR(原始資料!$A156="",33&gt;設定!$B$3,原始資料!AJ156=""),"",IF(AND(原始資料!AI156&lt;&gt;"",原始資料!AJ156=原始資料!AI156),N(AG156)+1,1))</f>
        <v/>
      </c>
      <c r="AI156" s="6">
        <f>IF(OR(原始資料!$A156="",34&gt;設定!$B$3,原始資料!AK156=""),"",IF(AND(原始資料!AJ156&lt;&gt;"",原始資料!AK156=原始資料!AJ156),N(AH156)+1,1))</f>
        <v/>
      </c>
      <c r="AJ156" s="6">
        <f>IF(OR(原始資料!$A156="",35&gt;設定!$B$3,原始資料!AL156=""),"",IF(AND(原始資料!AK156&lt;&gt;"",原始資料!AL156=原始資料!AK156),N(AI156)+1,1))</f>
        <v/>
      </c>
      <c r="AK156" s="6">
        <f>IF(OR(原始資料!$A156="",36&gt;設定!$B$3,原始資料!AM156=""),"",IF(AND(原始資料!AL156&lt;&gt;"",原始資料!AM156=原始資料!AL156),N(AJ156)+1,1))</f>
        <v/>
      </c>
      <c r="AL156" s="6">
        <f>IF(OR(原始資料!$A156="",37&gt;設定!$B$3,原始資料!AN156=""),"",IF(AND(原始資料!AM156&lt;&gt;"",原始資料!AN156=原始資料!AM156),N(AK156)+1,1))</f>
        <v/>
      </c>
      <c r="AM156" s="6">
        <f>IF(OR(原始資料!$A156="",38&gt;設定!$B$3,原始資料!AO156=""),"",IF(AND(原始資料!AN156&lt;&gt;"",原始資料!AO156=原始資料!AN156),N(AL156)+1,1))</f>
        <v/>
      </c>
      <c r="AN156" s="6">
        <f>IF(OR(原始資料!$A156="",39&gt;設定!$B$3,原始資料!AP156=""),"",IF(AND(原始資料!AO156&lt;&gt;"",原始資料!AP156=原始資料!AO156),N(AM156)+1,1))</f>
        <v/>
      </c>
      <c r="AO156" s="6">
        <f>IF(OR(原始資料!$A156="",40&gt;設定!$B$3,原始資料!AQ156=""),"",IF(AND(原始資料!AP156&lt;&gt;"",原始資料!AQ156=原始資料!AP156),N(AN156)+1,1))</f>
        <v/>
      </c>
      <c r="AP156" s="6">
        <f>IF(OR(原始資料!$A156="",41&gt;設定!$B$3,原始資料!AR156=""),"",IF(AND(原始資料!AQ156&lt;&gt;"",原始資料!AR156=原始資料!AQ156),N(AO156)+1,1))</f>
        <v/>
      </c>
      <c r="AQ156" s="6">
        <f>IF(OR(原始資料!$A156="",42&gt;設定!$B$3,原始資料!AS156=""),"",IF(AND(原始資料!AR156&lt;&gt;"",原始資料!AS156=原始資料!AR156),N(AP156)+1,1))</f>
        <v/>
      </c>
      <c r="AR156" s="6">
        <f>IF(OR(原始資料!$A156="",43&gt;設定!$B$3,原始資料!AT156=""),"",IF(AND(原始資料!AS156&lt;&gt;"",原始資料!AT156=原始資料!AS156),N(AQ156)+1,1))</f>
        <v/>
      </c>
      <c r="AS156" s="6">
        <f>IF(OR(原始資料!$A156="",44&gt;設定!$B$3,原始資料!AU156=""),"",IF(AND(原始資料!AT156&lt;&gt;"",原始資料!AU156=原始資料!AT156),N(AR156)+1,1))</f>
        <v/>
      </c>
      <c r="AT156" s="6">
        <f>IF(OR(原始資料!$A156="",45&gt;設定!$B$3,原始資料!AV156=""),"",IF(AND(原始資料!AU156&lt;&gt;"",原始資料!AV156=原始資料!AU156),N(AS156)+1,1))</f>
        <v/>
      </c>
      <c r="AU156" s="6">
        <f>IF(OR(原始資料!$A156="",46&gt;設定!$B$3,原始資料!AW156=""),"",IF(AND(原始資料!AV156&lt;&gt;"",原始資料!AW156=原始資料!AV156),N(AT156)+1,1))</f>
        <v/>
      </c>
      <c r="AV156" s="6">
        <f>IF(OR(原始資料!$A156="",47&gt;設定!$B$3,原始資料!AX156=""),"",IF(AND(原始資料!AW156&lt;&gt;"",原始資料!AX156=原始資料!AW156),N(AU156)+1,1))</f>
        <v/>
      </c>
      <c r="AW156" s="6">
        <f>IF(OR(原始資料!$A156="",48&gt;設定!$B$3,原始資料!AY156=""),"",IF(AND(原始資料!AX156&lt;&gt;"",原始資料!AY156=原始資料!AX156),N(AV156)+1,1))</f>
        <v/>
      </c>
      <c r="AX156" s="6">
        <f>IF(OR(原始資料!$A156="",49&gt;設定!$B$3,原始資料!AZ156=""),"",IF(AND(原始資料!AY156&lt;&gt;"",原始資料!AZ156=原始資料!AY156),N(AW156)+1,1))</f>
        <v/>
      </c>
      <c r="AY156" s="6">
        <f>IF(OR(原始資料!$A156="",50&gt;設定!$B$3,原始資料!BA156=""),"",IF(AND(原始資料!AZ156&lt;&gt;"",原始資料!BA156=原始資料!AZ156),N(AX156)+1,1))</f>
        <v/>
      </c>
      <c r="AZ156" s="6">
        <f>IF(OR(原始資料!$A156="",51&gt;設定!$B$3,原始資料!BB156=""),"",IF(AND(原始資料!BA156&lt;&gt;"",原始資料!BB156=原始資料!BA156),N(AY156)+1,1))</f>
        <v/>
      </c>
      <c r="BA156" s="6">
        <f>IF(OR(原始資料!$A156="",52&gt;設定!$B$3,原始資料!BC156=""),"",IF(AND(原始資料!BB156&lt;&gt;"",原始資料!BC156=原始資料!BB156),N(AZ156)+1,1))</f>
        <v/>
      </c>
      <c r="BB156" s="6">
        <f>IF(OR(原始資料!$A156="",53&gt;設定!$B$3,原始資料!BD156=""),"",IF(AND(原始資料!BC156&lt;&gt;"",原始資料!BD156=原始資料!BC156),N(BA156)+1,1))</f>
        <v/>
      </c>
      <c r="BC156" s="6">
        <f>IF(OR(原始資料!$A156="",54&gt;設定!$B$3,原始資料!BE156=""),"",IF(AND(原始資料!BD156&lt;&gt;"",原始資料!BE156=原始資料!BD156),N(BB156)+1,1))</f>
        <v/>
      </c>
      <c r="BD156" s="6">
        <f>IF(OR(原始資料!$A156="",55&gt;設定!$B$3,原始資料!BF156=""),"",IF(AND(原始資料!BE156&lt;&gt;"",原始資料!BF156=原始資料!BE156),N(BC156)+1,1))</f>
        <v/>
      </c>
      <c r="BE156" s="6">
        <f>IF(OR(原始資料!$A156="",56&gt;設定!$B$3,原始資料!BG156=""),"",IF(AND(原始資料!BF156&lt;&gt;"",原始資料!BG156=原始資料!BF156),N(BD156)+1,1))</f>
        <v/>
      </c>
      <c r="BF156" s="6">
        <f>IF(OR(原始資料!$A156="",57&gt;設定!$B$3,原始資料!BH156=""),"",IF(AND(原始資料!BG156&lt;&gt;"",原始資料!BH156=原始資料!BG156),N(BE156)+1,1))</f>
        <v/>
      </c>
      <c r="BG156" s="6">
        <f>IF(OR(原始資料!$A156="",58&gt;設定!$B$3,原始資料!BI156=""),"",IF(AND(原始資料!BH156&lt;&gt;"",原始資料!BI156=原始資料!BH156),N(BF156)+1,1))</f>
        <v/>
      </c>
      <c r="BH156" s="6">
        <f>IF(OR(原始資料!$A156="",59&gt;設定!$B$3,原始資料!BJ156=""),"",IF(AND(原始資料!BI156&lt;&gt;"",原始資料!BJ156=原始資料!BI156),N(BG156)+1,1))</f>
        <v/>
      </c>
      <c r="BI156" s="6">
        <f>IF(OR(原始資料!$A156="",60&gt;設定!$B$3,原始資料!BK156=""),"",IF(AND(原始資料!BJ156&lt;&gt;"",原始資料!BK156=原始資料!BJ156),N(BH156)+1,1))</f>
        <v/>
      </c>
    </row>
    <row r="157">
      <c r="A157" s="6">
        <f>IF(原始資料!$A157="","",原始資料!$A157)</f>
        <v/>
      </c>
      <c r="B157" s="6">
        <f>IF(OR(原始資料!$A157="",1&gt;設定!$B$3,原始資料!D157=""),"",1)</f>
        <v/>
      </c>
      <c r="C157" s="6">
        <f>IF(OR(原始資料!$A157="",2&gt;設定!$B$3,原始資料!E157=""),"",IF(AND(原始資料!D157&lt;&gt;"",原始資料!E157=原始資料!D157),N(B157)+1,1))</f>
        <v/>
      </c>
      <c r="D157" s="6">
        <f>IF(OR(原始資料!$A157="",3&gt;設定!$B$3,原始資料!F157=""),"",IF(AND(原始資料!E157&lt;&gt;"",原始資料!F157=原始資料!E157),N(C157)+1,1))</f>
        <v/>
      </c>
      <c r="E157" s="6">
        <f>IF(OR(原始資料!$A157="",4&gt;設定!$B$3,原始資料!G157=""),"",IF(AND(原始資料!F157&lt;&gt;"",原始資料!G157=原始資料!F157),N(D157)+1,1))</f>
        <v/>
      </c>
      <c r="F157" s="6">
        <f>IF(OR(原始資料!$A157="",5&gt;設定!$B$3,原始資料!H157=""),"",IF(AND(原始資料!G157&lt;&gt;"",原始資料!H157=原始資料!G157),N(E157)+1,1))</f>
        <v/>
      </c>
      <c r="G157" s="6">
        <f>IF(OR(原始資料!$A157="",6&gt;設定!$B$3,原始資料!I157=""),"",IF(AND(原始資料!H157&lt;&gt;"",原始資料!I157=原始資料!H157),N(F157)+1,1))</f>
        <v/>
      </c>
      <c r="H157" s="6">
        <f>IF(OR(原始資料!$A157="",7&gt;設定!$B$3,原始資料!J157=""),"",IF(AND(原始資料!I157&lt;&gt;"",原始資料!J157=原始資料!I157),N(G157)+1,1))</f>
        <v/>
      </c>
      <c r="I157" s="6">
        <f>IF(OR(原始資料!$A157="",8&gt;設定!$B$3,原始資料!K157=""),"",IF(AND(原始資料!J157&lt;&gt;"",原始資料!K157=原始資料!J157),N(H157)+1,1))</f>
        <v/>
      </c>
      <c r="J157" s="6">
        <f>IF(OR(原始資料!$A157="",9&gt;設定!$B$3,原始資料!L157=""),"",IF(AND(原始資料!K157&lt;&gt;"",原始資料!L157=原始資料!K157),N(I157)+1,1))</f>
        <v/>
      </c>
      <c r="K157" s="6">
        <f>IF(OR(原始資料!$A157="",10&gt;設定!$B$3,原始資料!M157=""),"",IF(AND(原始資料!L157&lt;&gt;"",原始資料!M157=原始資料!L157),N(J157)+1,1))</f>
        <v/>
      </c>
      <c r="L157" s="6">
        <f>IF(OR(原始資料!$A157="",11&gt;設定!$B$3,原始資料!N157=""),"",IF(AND(原始資料!M157&lt;&gt;"",原始資料!N157=原始資料!M157),N(K157)+1,1))</f>
        <v/>
      </c>
      <c r="M157" s="6">
        <f>IF(OR(原始資料!$A157="",12&gt;設定!$B$3,原始資料!O157=""),"",IF(AND(原始資料!N157&lt;&gt;"",原始資料!O157=原始資料!N157),N(L157)+1,1))</f>
        <v/>
      </c>
      <c r="N157" s="6">
        <f>IF(OR(原始資料!$A157="",13&gt;設定!$B$3,原始資料!P157=""),"",IF(AND(原始資料!O157&lt;&gt;"",原始資料!P157=原始資料!O157),N(M157)+1,1))</f>
        <v/>
      </c>
      <c r="O157" s="6">
        <f>IF(OR(原始資料!$A157="",14&gt;設定!$B$3,原始資料!Q157=""),"",IF(AND(原始資料!P157&lt;&gt;"",原始資料!Q157=原始資料!P157),N(N157)+1,1))</f>
        <v/>
      </c>
      <c r="P157" s="6">
        <f>IF(OR(原始資料!$A157="",15&gt;設定!$B$3,原始資料!R157=""),"",IF(AND(原始資料!Q157&lt;&gt;"",原始資料!R157=原始資料!Q157),N(O157)+1,1))</f>
        <v/>
      </c>
      <c r="Q157" s="6">
        <f>IF(OR(原始資料!$A157="",16&gt;設定!$B$3,原始資料!S157=""),"",IF(AND(原始資料!R157&lt;&gt;"",原始資料!S157=原始資料!R157),N(P157)+1,1))</f>
        <v/>
      </c>
      <c r="R157" s="6">
        <f>IF(OR(原始資料!$A157="",17&gt;設定!$B$3,原始資料!T157=""),"",IF(AND(原始資料!S157&lt;&gt;"",原始資料!T157=原始資料!S157),N(Q157)+1,1))</f>
        <v/>
      </c>
      <c r="S157" s="6">
        <f>IF(OR(原始資料!$A157="",18&gt;設定!$B$3,原始資料!U157=""),"",IF(AND(原始資料!T157&lt;&gt;"",原始資料!U157=原始資料!T157),N(R157)+1,1))</f>
        <v/>
      </c>
      <c r="T157" s="6">
        <f>IF(OR(原始資料!$A157="",19&gt;設定!$B$3,原始資料!V157=""),"",IF(AND(原始資料!U157&lt;&gt;"",原始資料!V157=原始資料!U157),N(S157)+1,1))</f>
        <v/>
      </c>
      <c r="U157" s="6">
        <f>IF(OR(原始資料!$A157="",20&gt;設定!$B$3,原始資料!W157=""),"",IF(AND(原始資料!V157&lt;&gt;"",原始資料!W157=原始資料!V157),N(T157)+1,1))</f>
        <v/>
      </c>
      <c r="V157" s="6">
        <f>IF(OR(原始資料!$A157="",21&gt;設定!$B$3,原始資料!X157=""),"",IF(AND(原始資料!W157&lt;&gt;"",原始資料!X157=原始資料!W157),N(U157)+1,1))</f>
        <v/>
      </c>
      <c r="W157" s="6">
        <f>IF(OR(原始資料!$A157="",22&gt;設定!$B$3,原始資料!Y157=""),"",IF(AND(原始資料!X157&lt;&gt;"",原始資料!Y157=原始資料!X157),N(V157)+1,1))</f>
        <v/>
      </c>
      <c r="X157" s="6">
        <f>IF(OR(原始資料!$A157="",23&gt;設定!$B$3,原始資料!Z157=""),"",IF(AND(原始資料!Y157&lt;&gt;"",原始資料!Z157=原始資料!Y157),N(W157)+1,1))</f>
        <v/>
      </c>
      <c r="Y157" s="6">
        <f>IF(OR(原始資料!$A157="",24&gt;設定!$B$3,原始資料!AA157=""),"",IF(AND(原始資料!Z157&lt;&gt;"",原始資料!AA157=原始資料!Z157),N(X157)+1,1))</f>
        <v/>
      </c>
      <c r="Z157" s="6">
        <f>IF(OR(原始資料!$A157="",25&gt;設定!$B$3,原始資料!AB157=""),"",IF(AND(原始資料!AA157&lt;&gt;"",原始資料!AB157=原始資料!AA157),N(Y157)+1,1))</f>
        <v/>
      </c>
      <c r="AA157" s="6">
        <f>IF(OR(原始資料!$A157="",26&gt;設定!$B$3,原始資料!AC157=""),"",IF(AND(原始資料!AB157&lt;&gt;"",原始資料!AC157=原始資料!AB157),N(Z157)+1,1))</f>
        <v/>
      </c>
      <c r="AB157" s="6">
        <f>IF(OR(原始資料!$A157="",27&gt;設定!$B$3,原始資料!AD157=""),"",IF(AND(原始資料!AC157&lt;&gt;"",原始資料!AD157=原始資料!AC157),N(AA157)+1,1))</f>
        <v/>
      </c>
      <c r="AC157" s="6">
        <f>IF(OR(原始資料!$A157="",28&gt;設定!$B$3,原始資料!AE157=""),"",IF(AND(原始資料!AD157&lt;&gt;"",原始資料!AE157=原始資料!AD157),N(AB157)+1,1))</f>
        <v/>
      </c>
      <c r="AD157" s="6">
        <f>IF(OR(原始資料!$A157="",29&gt;設定!$B$3,原始資料!AF157=""),"",IF(AND(原始資料!AE157&lt;&gt;"",原始資料!AF157=原始資料!AE157),N(AC157)+1,1))</f>
        <v/>
      </c>
      <c r="AE157" s="6">
        <f>IF(OR(原始資料!$A157="",30&gt;設定!$B$3,原始資料!AG157=""),"",IF(AND(原始資料!AF157&lt;&gt;"",原始資料!AG157=原始資料!AF157),N(AD157)+1,1))</f>
        <v/>
      </c>
      <c r="AF157" s="6">
        <f>IF(OR(原始資料!$A157="",31&gt;設定!$B$3,原始資料!AH157=""),"",IF(AND(原始資料!AG157&lt;&gt;"",原始資料!AH157=原始資料!AG157),N(AE157)+1,1))</f>
        <v/>
      </c>
      <c r="AG157" s="6">
        <f>IF(OR(原始資料!$A157="",32&gt;設定!$B$3,原始資料!AI157=""),"",IF(AND(原始資料!AH157&lt;&gt;"",原始資料!AI157=原始資料!AH157),N(AF157)+1,1))</f>
        <v/>
      </c>
      <c r="AH157" s="6">
        <f>IF(OR(原始資料!$A157="",33&gt;設定!$B$3,原始資料!AJ157=""),"",IF(AND(原始資料!AI157&lt;&gt;"",原始資料!AJ157=原始資料!AI157),N(AG157)+1,1))</f>
        <v/>
      </c>
      <c r="AI157" s="6">
        <f>IF(OR(原始資料!$A157="",34&gt;設定!$B$3,原始資料!AK157=""),"",IF(AND(原始資料!AJ157&lt;&gt;"",原始資料!AK157=原始資料!AJ157),N(AH157)+1,1))</f>
        <v/>
      </c>
      <c r="AJ157" s="6">
        <f>IF(OR(原始資料!$A157="",35&gt;設定!$B$3,原始資料!AL157=""),"",IF(AND(原始資料!AK157&lt;&gt;"",原始資料!AL157=原始資料!AK157),N(AI157)+1,1))</f>
        <v/>
      </c>
      <c r="AK157" s="6">
        <f>IF(OR(原始資料!$A157="",36&gt;設定!$B$3,原始資料!AM157=""),"",IF(AND(原始資料!AL157&lt;&gt;"",原始資料!AM157=原始資料!AL157),N(AJ157)+1,1))</f>
        <v/>
      </c>
      <c r="AL157" s="6">
        <f>IF(OR(原始資料!$A157="",37&gt;設定!$B$3,原始資料!AN157=""),"",IF(AND(原始資料!AM157&lt;&gt;"",原始資料!AN157=原始資料!AM157),N(AK157)+1,1))</f>
        <v/>
      </c>
      <c r="AM157" s="6">
        <f>IF(OR(原始資料!$A157="",38&gt;設定!$B$3,原始資料!AO157=""),"",IF(AND(原始資料!AN157&lt;&gt;"",原始資料!AO157=原始資料!AN157),N(AL157)+1,1))</f>
        <v/>
      </c>
      <c r="AN157" s="6">
        <f>IF(OR(原始資料!$A157="",39&gt;設定!$B$3,原始資料!AP157=""),"",IF(AND(原始資料!AO157&lt;&gt;"",原始資料!AP157=原始資料!AO157),N(AM157)+1,1))</f>
        <v/>
      </c>
      <c r="AO157" s="6">
        <f>IF(OR(原始資料!$A157="",40&gt;設定!$B$3,原始資料!AQ157=""),"",IF(AND(原始資料!AP157&lt;&gt;"",原始資料!AQ157=原始資料!AP157),N(AN157)+1,1))</f>
        <v/>
      </c>
      <c r="AP157" s="6">
        <f>IF(OR(原始資料!$A157="",41&gt;設定!$B$3,原始資料!AR157=""),"",IF(AND(原始資料!AQ157&lt;&gt;"",原始資料!AR157=原始資料!AQ157),N(AO157)+1,1))</f>
        <v/>
      </c>
      <c r="AQ157" s="6">
        <f>IF(OR(原始資料!$A157="",42&gt;設定!$B$3,原始資料!AS157=""),"",IF(AND(原始資料!AR157&lt;&gt;"",原始資料!AS157=原始資料!AR157),N(AP157)+1,1))</f>
        <v/>
      </c>
      <c r="AR157" s="6">
        <f>IF(OR(原始資料!$A157="",43&gt;設定!$B$3,原始資料!AT157=""),"",IF(AND(原始資料!AS157&lt;&gt;"",原始資料!AT157=原始資料!AS157),N(AQ157)+1,1))</f>
        <v/>
      </c>
      <c r="AS157" s="6">
        <f>IF(OR(原始資料!$A157="",44&gt;設定!$B$3,原始資料!AU157=""),"",IF(AND(原始資料!AT157&lt;&gt;"",原始資料!AU157=原始資料!AT157),N(AR157)+1,1))</f>
        <v/>
      </c>
      <c r="AT157" s="6">
        <f>IF(OR(原始資料!$A157="",45&gt;設定!$B$3,原始資料!AV157=""),"",IF(AND(原始資料!AU157&lt;&gt;"",原始資料!AV157=原始資料!AU157),N(AS157)+1,1))</f>
        <v/>
      </c>
      <c r="AU157" s="6">
        <f>IF(OR(原始資料!$A157="",46&gt;設定!$B$3,原始資料!AW157=""),"",IF(AND(原始資料!AV157&lt;&gt;"",原始資料!AW157=原始資料!AV157),N(AT157)+1,1))</f>
        <v/>
      </c>
      <c r="AV157" s="6">
        <f>IF(OR(原始資料!$A157="",47&gt;設定!$B$3,原始資料!AX157=""),"",IF(AND(原始資料!AW157&lt;&gt;"",原始資料!AX157=原始資料!AW157),N(AU157)+1,1))</f>
        <v/>
      </c>
      <c r="AW157" s="6">
        <f>IF(OR(原始資料!$A157="",48&gt;設定!$B$3,原始資料!AY157=""),"",IF(AND(原始資料!AX157&lt;&gt;"",原始資料!AY157=原始資料!AX157),N(AV157)+1,1))</f>
        <v/>
      </c>
      <c r="AX157" s="6">
        <f>IF(OR(原始資料!$A157="",49&gt;設定!$B$3,原始資料!AZ157=""),"",IF(AND(原始資料!AY157&lt;&gt;"",原始資料!AZ157=原始資料!AY157),N(AW157)+1,1))</f>
        <v/>
      </c>
      <c r="AY157" s="6">
        <f>IF(OR(原始資料!$A157="",50&gt;設定!$B$3,原始資料!BA157=""),"",IF(AND(原始資料!AZ157&lt;&gt;"",原始資料!BA157=原始資料!AZ157),N(AX157)+1,1))</f>
        <v/>
      </c>
      <c r="AZ157" s="6">
        <f>IF(OR(原始資料!$A157="",51&gt;設定!$B$3,原始資料!BB157=""),"",IF(AND(原始資料!BA157&lt;&gt;"",原始資料!BB157=原始資料!BA157),N(AY157)+1,1))</f>
        <v/>
      </c>
      <c r="BA157" s="6">
        <f>IF(OR(原始資料!$A157="",52&gt;設定!$B$3,原始資料!BC157=""),"",IF(AND(原始資料!BB157&lt;&gt;"",原始資料!BC157=原始資料!BB157),N(AZ157)+1,1))</f>
        <v/>
      </c>
      <c r="BB157" s="6">
        <f>IF(OR(原始資料!$A157="",53&gt;設定!$B$3,原始資料!BD157=""),"",IF(AND(原始資料!BC157&lt;&gt;"",原始資料!BD157=原始資料!BC157),N(BA157)+1,1))</f>
        <v/>
      </c>
      <c r="BC157" s="6">
        <f>IF(OR(原始資料!$A157="",54&gt;設定!$B$3,原始資料!BE157=""),"",IF(AND(原始資料!BD157&lt;&gt;"",原始資料!BE157=原始資料!BD157),N(BB157)+1,1))</f>
        <v/>
      </c>
      <c r="BD157" s="6">
        <f>IF(OR(原始資料!$A157="",55&gt;設定!$B$3,原始資料!BF157=""),"",IF(AND(原始資料!BE157&lt;&gt;"",原始資料!BF157=原始資料!BE157),N(BC157)+1,1))</f>
        <v/>
      </c>
      <c r="BE157" s="6">
        <f>IF(OR(原始資料!$A157="",56&gt;設定!$B$3,原始資料!BG157=""),"",IF(AND(原始資料!BF157&lt;&gt;"",原始資料!BG157=原始資料!BF157),N(BD157)+1,1))</f>
        <v/>
      </c>
      <c r="BF157" s="6">
        <f>IF(OR(原始資料!$A157="",57&gt;設定!$B$3,原始資料!BH157=""),"",IF(AND(原始資料!BG157&lt;&gt;"",原始資料!BH157=原始資料!BG157),N(BE157)+1,1))</f>
        <v/>
      </c>
      <c r="BG157" s="6">
        <f>IF(OR(原始資料!$A157="",58&gt;設定!$B$3,原始資料!BI157=""),"",IF(AND(原始資料!BH157&lt;&gt;"",原始資料!BI157=原始資料!BH157),N(BF157)+1,1))</f>
        <v/>
      </c>
      <c r="BH157" s="6">
        <f>IF(OR(原始資料!$A157="",59&gt;設定!$B$3,原始資料!BJ157=""),"",IF(AND(原始資料!BI157&lt;&gt;"",原始資料!BJ157=原始資料!BI157),N(BG157)+1,1))</f>
        <v/>
      </c>
      <c r="BI157" s="6">
        <f>IF(OR(原始資料!$A157="",60&gt;設定!$B$3,原始資料!BK157=""),"",IF(AND(原始資料!BJ157&lt;&gt;"",原始資料!BK157=原始資料!BJ157),N(BH157)+1,1))</f>
        <v/>
      </c>
    </row>
    <row r="158">
      <c r="A158" s="6">
        <f>IF(原始資料!$A158="","",原始資料!$A158)</f>
        <v/>
      </c>
      <c r="B158" s="6">
        <f>IF(OR(原始資料!$A158="",1&gt;設定!$B$3,原始資料!D158=""),"",1)</f>
        <v/>
      </c>
      <c r="C158" s="6">
        <f>IF(OR(原始資料!$A158="",2&gt;設定!$B$3,原始資料!E158=""),"",IF(AND(原始資料!D158&lt;&gt;"",原始資料!E158=原始資料!D158),N(B158)+1,1))</f>
        <v/>
      </c>
      <c r="D158" s="6">
        <f>IF(OR(原始資料!$A158="",3&gt;設定!$B$3,原始資料!F158=""),"",IF(AND(原始資料!E158&lt;&gt;"",原始資料!F158=原始資料!E158),N(C158)+1,1))</f>
        <v/>
      </c>
      <c r="E158" s="6">
        <f>IF(OR(原始資料!$A158="",4&gt;設定!$B$3,原始資料!G158=""),"",IF(AND(原始資料!F158&lt;&gt;"",原始資料!G158=原始資料!F158),N(D158)+1,1))</f>
        <v/>
      </c>
      <c r="F158" s="6">
        <f>IF(OR(原始資料!$A158="",5&gt;設定!$B$3,原始資料!H158=""),"",IF(AND(原始資料!G158&lt;&gt;"",原始資料!H158=原始資料!G158),N(E158)+1,1))</f>
        <v/>
      </c>
      <c r="G158" s="6">
        <f>IF(OR(原始資料!$A158="",6&gt;設定!$B$3,原始資料!I158=""),"",IF(AND(原始資料!H158&lt;&gt;"",原始資料!I158=原始資料!H158),N(F158)+1,1))</f>
        <v/>
      </c>
      <c r="H158" s="6">
        <f>IF(OR(原始資料!$A158="",7&gt;設定!$B$3,原始資料!J158=""),"",IF(AND(原始資料!I158&lt;&gt;"",原始資料!J158=原始資料!I158),N(G158)+1,1))</f>
        <v/>
      </c>
      <c r="I158" s="6">
        <f>IF(OR(原始資料!$A158="",8&gt;設定!$B$3,原始資料!K158=""),"",IF(AND(原始資料!J158&lt;&gt;"",原始資料!K158=原始資料!J158),N(H158)+1,1))</f>
        <v/>
      </c>
      <c r="J158" s="6">
        <f>IF(OR(原始資料!$A158="",9&gt;設定!$B$3,原始資料!L158=""),"",IF(AND(原始資料!K158&lt;&gt;"",原始資料!L158=原始資料!K158),N(I158)+1,1))</f>
        <v/>
      </c>
      <c r="K158" s="6">
        <f>IF(OR(原始資料!$A158="",10&gt;設定!$B$3,原始資料!M158=""),"",IF(AND(原始資料!L158&lt;&gt;"",原始資料!M158=原始資料!L158),N(J158)+1,1))</f>
        <v/>
      </c>
      <c r="L158" s="6">
        <f>IF(OR(原始資料!$A158="",11&gt;設定!$B$3,原始資料!N158=""),"",IF(AND(原始資料!M158&lt;&gt;"",原始資料!N158=原始資料!M158),N(K158)+1,1))</f>
        <v/>
      </c>
      <c r="M158" s="6">
        <f>IF(OR(原始資料!$A158="",12&gt;設定!$B$3,原始資料!O158=""),"",IF(AND(原始資料!N158&lt;&gt;"",原始資料!O158=原始資料!N158),N(L158)+1,1))</f>
        <v/>
      </c>
      <c r="N158" s="6">
        <f>IF(OR(原始資料!$A158="",13&gt;設定!$B$3,原始資料!P158=""),"",IF(AND(原始資料!O158&lt;&gt;"",原始資料!P158=原始資料!O158),N(M158)+1,1))</f>
        <v/>
      </c>
      <c r="O158" s="6">
        <f>IF(OR(原始資料!$A158="",14&gt;設定!$B$3,原始資料!Q158=""),"",IF(AND(原始資料!P158&lt;&gt;"",原始資料!Q158=原始資料!P158),N(N158)+1,1))</f>
        <v/>
      </c>
      <c r="P158" s="6">
        <f>IF(OR(原始資料!$A158="",15&gt;設定!$B$3,原始資料!R158=""),"",IF(AND(原始資料!Q158&lt;&gt;"",原始資料!R158=原始資料!Q158),N(O158)+1,1))</f>
        <v/>
      </c>
      <c r="Q158" s="6">
        <f>IF(OR(原始資料!$A158="",16&gt;設定!$B$3,原始資料!S158=""),"",IF(AND(原始資料!R158&lt;&gt;"",原始資料!S158=原始資料!R158),N(P158)+1,1))</f>
        <v/>
      </c>
      <c r="R158" s="6">
        <f>IF(OR(原始資料!$A158="",17&gt;設定!$B$3,原始資料!T158=""),"",IF(AND(原始資料!S158&lt;&gt;"",原始資料!T158=原始資料!S158),N(Q158)+1,1))</f>
        <v/>
      </c>
      <c r="S158" s="6">
        <f>IF(OR(原始資料!$A158="",18&gt;設定!$B$3,原始資料!U158=""),"",IF(AND(原始資料!T158&lt;&gt;"",原始資料!U158=原始資料!T158),N(R158)+1,1))</f>
        <v/>
      </c>
      <c r="T158" s="6">
        <f>IF(OR(原始資料!$A158="",19&gt;設定!$B$3,原始資料!V158=""),"",IF(AND(原始資料!U158&lt;&gt;"",原始資料!V158=原始資料!U158),N(S158)+1,1))</f>
        <v/>
      </c>
      <c r="U158" s="6">
        <f>IF(OR(原始資料!$A158="",20&gt;設定!$B$3,原始資料!W158=""),"",IF(AND(原始資料!V158&lt;&gt;"",原始資料!W158=原始資料!V158),N(T158)+1,1))</f>
        <v/>
      </c>
      <c r="V158" s="6">
        <f>IF(OR(原始資料!$A158="",21&gt;設定!$B$3,原始資料!X158=""),"",IF(AND(原始資料!W158&lt;&gt;"",原始資料!X158=原始資料!W158),N(U158)+1,1))</f>
        <v/>
      </c>
      <c r="W158" s="6">
        <f>IF(OR(原始資料!$A158="",22&gt;設定!$B$3,原始資料!Y158=""),"",IF(AND(原始資料!X158&lt;&gt;"",原始資料!Y158=原始資料!X158),N(V158)+1,1))</f>
        <v/>
      </c>
      <c r="X158" s="6">
        <f>IF(OR(原始資料!$A158="",23&gt;設定!$B$3,原始資料!Z158=""),"",IF(AND(原始資料!Y158&lt;&gt;"",原始資料!Z158=原始資料!Y158),N(W158)+1,1))</f>
        <v/>
      </c>
      <c r="Y158" s="6">
        <f>IF(OR(原始資料!$A158="",24&gt;設定!$B$3,原始資料!AA158=""),"",IF(AND(原始資料!Z158&lt;&gt;"",原始資料!AA158=原始資料!Z158),N(X158)+1,1))</f>
        <v/>
      </c>
      <c r="Z158" s="6">
        <f>IF(OR(原始資料!$A158="",25&gt;設定!$B$3,原始資料!AB158=""),"",IF(AND(原始資料!AA158&lt;&gt;"",原始資料!AB158=原始資料!AA158),N(Y158)+1,1))</f>
        <v/>
      </c>
      <c r="AA158" s="6">
        <f>IF(OR(原始資料!$A158="",26&gt;設定!$B$3,原始資料!AC158=""),"",IF(AND(原始資料!AB158&lt;&gt;"",原始資料!AC158=原始資料!AB158),N(Z158)+1,1))</f>
        <v/>
      </c>
      <c r="AB158" s="6">
        <f>IF(OR(原始資料!$A158="",27&gt;設定!$B$3,原始資料!AD158=""),"",IF(AND(原始資料!AC158&lt;&gt;"",原始資料!AD158=原始資料!AC158),N(AA158)+1,1))</f>
        <v/>
      </c>
      <c r="AC158" s="6">
        <f>IF(OR(原始資料!$A158="",28&gt;設定!$B$3,原始資料!AE158=""),"",IF(AND(原始資料!AD158&lt;&gt;"",原始資料!AE158=原始資料!AD158),N(AB158)+1,1))</f>
        <v/>
      </c>
      <c r="AD158" s="6">
        <f>IF(OR(原始資料!$A158="",29&gt;設定!$B$3,原始資料!AF158=""),"",IF(AND(原始資料!AE158&lt;&gt;"",原始資料!AF158=原始資料!AE158),N(AC158)+1,1))</f>
        <v/>
      </c>
      <c r="AE158" s="6">
        <f>IF(OR(原始資料!$A158="",30&gt;設定!$B$3,原始資料!AG158=""),"",IF(AND(原始資料!AF158&lt;&gt;"",原始資料!AG158=原始資料!AF158),N(AD158)+1,1))</f>
        <v/>
      </c>
      <c r="AF158" s="6">
        <f>IF(OR(原始資料!$A158="",31&gt;設定!$B$3,原始資料!AH158=""),"",IF(AND(原始資料!AG158&lt;&gt;"",原始資料!AH158=原始資料!AG158),N(AE158)+1,1))</f>
        <v/>
      </c>
      <c r="AG158" s="6">
        <f>IF(OR(原始資料!$A158="",32&gt;設定!$B$3,原始資料!AI158=""),"",IF(AND(原始資料!AH158&lt;&gt;"",原始資料!AI158=原始資料!AH158),N(AF158)+1,1))</f>
        <v/>
      </c>
      <c r="AH158" s="6">
        <f>IF(OR(原始資料!$A158="",33&gt;設定!$B$3,原始資料!AJ158=""),"",IF(AND(原始資料!AI158&lt;&gt;"",原始資料!AJ158=原始資料!AI158),N(AG158)+1,1))</f>
        <v/>
      </c>
      <c r="AI158" s="6">
        <f>IF(OR(原始資料!$A158="",34&gt;設定!$B$3,原始資料!AK158=""),"",IF(AND(原始資料!AJ158&lt;&gt;"",原始資料!AK158=原始資料!AJ158),N(AH158)+1,1))</f>
        <v/>
      </c>
      <c r="AJ158" s="6">
        <f>IF(OR(原始資料!$A158="",35&gt;設定!$B$3,原始資料!AL158=""),"",IF(AND(原始資料!AK158&lt;&gt;"",原始資料!AL158=原始資料!AK158),N(AI158)+1,1))</f>
        <v/>
      </c>
      <c r="AK158" s="6">
        <f>IF(OR(原始資料!$A158="",36&gt;設定!$B$3,原始資料!AM158=""),"",IF(AND(原始資料!AL158&lt;&gt;"",原始資料!AM158=原始資料!AL158),N(AJ158)+1,1))</f>
        <v/>
      </c>
      <c r="AL158" s="6">
        <f>IF(OR(原始資料!$A158="",37&gt;設定!$B$3,原始資料!AN158=""),"",IF(AND(原始資料!AM158&lt;&gt;"",原始資料!AN158=原始資料!AM158),N(AK158)+1,1))</f>
        <v/>
      </c>
      <c r="AM158" s="6">
        <f>IF(OR(原始資料!$A158="",38&gt;設定!$B$3,原始資料!AO158=""),"",IF(AND(原始資料!AN158&lt;&gt;"",原始資料!AO158=原始資料!AN158),N(AL158)+1,1))</f>
        <v/>
      </c>
      <c r="AN158" s="6">
        <f>IF(OR(原始資料!$A158="",39&gt;設定!$B$3,原始資料!AP158=""),"",IF(AND(原始資料!AO158&lt;&gt;"",原始資料!AP158=原始資料!AO158),N(AM158)+1,1))</f>
        <v/>
      </c>
      <c r="AO158" s="6">
        <f>IF(OR(原始資料!$A158="",40&gt;設定!$B$3,原始資料!AQ158=""),"",IF(AND(原始資料!AP158&lt;&gt;"",原始資料!AQ158=原始資料!AP158),N(AN158)+1,1))</f>
        <v/>
      </c>
      <c r="AP158" s="6">
        <f>IF(OR(原始資料!$A158="",41&gt;設定!$B$3,原始資料!AR158=""),"",IF(AND(原始資料!AQ158&lt;&gt;"",原始資料!AR158=原始資料!AQ158),N(AO158)+1,1))</f>
        <v/>
      </c>
      <c r="AQ158" s="6">
        <f>IF(OR(原始資料!$A158="",42&gt;設定!$B$3,原始資料!AS158=""),"",IF(AND(原始資料!AR158&lt;&gt;"",原始資料!AS158=原始資料!AR158),N(AP158)+1,1))</f>
        <v/>
      </c>
      <c r="AR158" s="6">
        <f>IF(OR(原始資料!$A158="",43&gt;設定!$B$3,原始資料!AT158=""),"",IF(AND(原始資料!AS158&lt;&gt;"",原始資料!AT158=原始資料!AS158),N(AQ158)+1,1))</f>
        <v/>
      </c>
      <c r="AS158" s="6">
        <f>IF(OR(原始資料!$A158="",44&gt;設定!$B$3,原始資料!AU158=""),"",IF(AND(原始資料!AT158&lt;&gt;"",原始資料!AU158=原始資料!AT158),N(AR158)+1,1))</f>
        <v/>
      </c>
      <c r="AT158" s="6">
        <f>IF(OR(原始資料!$A158="",45&gt;設定!$B$3,原始資料!AV158=""),"",IF(AND(原始資料!AU158&lt;&gt;"",原始資料!AV158=原始資料!AU158),N(AS158)+1,1))</f>
        <v/>
      </c>
      <c r="AU158" s="6">
        <f>IF(OR(原始資料!$A158="",46&gt;設定!$B$3,原始資料!AW158=""),"",IF(AND(原始資料!AV158&lt;&gt;"",原始資料!AW158=原始資料!AV158),N(AT158)+1,1))</f>
        <v/>
      </c>
      <c r="AV158" s="6">
        <f>IF(OR(原始資料!$A158="",47&gt;設定!$B$3,原始資料!AX158=""),"",IF(AND(原始資料!AW158&lt;&gt;"",原始資料!AX158=原始資料!AW158),N(AU158)+1,1))</f>
        <v/>
      </c>
      <c r="AW158" s="6">
        <f>IF(OR(原始資料!$A158="",48&gt;設定!$B$3,原始資料!AY158=""),"",IF(AND(原始資料!AX158&lt;&gt;"",原始資料!AY158=原始資料!AX158),N(AV158)+1,1))</f>
        <v/>
      </c>
      <c r="AX158" s="6">
        <f>IF(OR(原始資料!$A158="",49&gt;設定!$B$3,原始資料!AZ158=""),"",IF(AND(原始資料!AY158&lt;&gt;"",原始資料!AZ158=原始資料!AY158),N(AW158)+1,1))</f>
        <v/>
      </c>
      <c r="AY158" s="6">
        <f>IF(OR(原始資料!$A158="",50&gt;設定!$B$3,原始資料!BA158=""),"",IF(AND(原始資料!AZ158&lt;&gt;"",原始資料!BA158=原始資料!AZ158),N(AX158)+1,1))</f>
        <v/>
      </c>
      <c r="AZ158" s="6">
        <f>IF(OR(原始資料!$A158="",51&gt;設定!$B$3,原始資料!BB158=""),"",IF(AND(原始資料!BA158&lt;&gt;"",原始資料!BB158=原始資料!BA158),N(AY158)+1,1))</f>
        <v/>
      </c>
      <c r="BA158" s="6">
        <f>IF(OR(原始資料!$A158="",52&gt;設定!$B$3,原始資料!BC158=""),"",IF(AND(原始資料!BB158&lt;&gt;"",原始資料!BC158=原始資料!BB158),N(AZ158)+1,1))</f>
        <v/>
      </c>
      <c r="BB158" s="6">
        <f>IF(OR(原始資料!$A158="",53&gt;設定!$B$3,原始資料!BD158=""),"",IF(AND(原始資料!BC158&lt;&gt;"",原始資料!BD158=原始資料!BC158),N(BA158)+1,1))</f>
        <v/>
      </c>
      <c r="BC158" s="6">
        <f>IF(OR(原始資料!$A158="",54&gt;設定!$B$3,原始資料!BE158=""),"",IF(AND(原始資料!BD158&lt;&gt;"",原始資料!BE158=原始資料!BD158),N(BB158)+1,1))</f>
        <v/>
      </c>
      <c r="BD158" s="6">
        <f>IF(OR(原始資料!$A158="",55&gt;設定!$B$3,原始資料!BF158=""),"",IF(AND(原始資料!BE158&lt;&gt;"",原始資料!BF158=原始資料!BE158),N(BC158)+1,1))</f>
        <v/>
      </c>
      <c r="BE158" s="6">
        <f>IF(OR(原始資料!$A158="",56&gt;設定!$B$3,原始資料!BG158=""),"",IF(AND(原始資料!BF158&lt;&gt;"",原始資料!BG158=原始資料!BF158),N(BD158)+1,1))</f>
        <v/>
      </c>
      <c r="BF158" s="6">
        <f>IF(OR(原始資料!$A158="",57&gt;設定!$B$3,原始資料!BH158=""),"",IF(AND(原始資料!BG158&lt;&gt;"",原始資料!BH158=原始資料!BG158),N(BE158)+1,1))</f>
        <v/>
      </c>
      <c r="BG158" s="6">
        <f>IF(OR(原始資料!$A158="",58&gt;設定!$B$3,原始資料!BI158=""),"",IF(AND(原始資料!BH158&lt;&gt;"",原始資料!BI158=原始資料!BH158),N(BF158)+1,1))</f>
        <v/>
      </c>
      <c r="BH158" s="6">
        <f>IF(OR(原始資料!$A158="",59&gt;設定!$B$3,原始資料!BJ158=""),"",IF(AND(原始資料!BI158&lt;&gt;"",原始資料!BJ158=原始資料!BI158),N(BG158)+1,1))</f>
        <v/>
      </c>
      <c r="BI158" s="6">
        <f>IF(OR(原始資料!$A158="",60&gt;設定!$B$3,原始資料!BK158=""),"",IF(AND(原始資料!BJ158&lt;&gt;"",原始資料!BK158=原始資料!BJ158),N(BH158)+1,1))</f>
        <v/>
      </c>
    </row>
    <row r="159">
      <c r="A159" s="6">
        <f>IF(原始資料!$A159="","",原始資料!$A159)</f>
        <v/>
      </c>
      <c r="B159" s="6">
        <f>IF(OR(原始資料!$A159="",1&gt;設定!$B$3,原始資料!D159=""),"",1)</f>
        <v/>
      </c>
      <c r="C159" s="6">
        <f>IF(OR(原始資料!$A159="",2&gt;設定!$B$3,原始資料!E159=""),"",IF(AND(原始資料!D159&lt;&gt;"",原始資料!E159=原始資料!D159),N(B159)+1,1))</f>
        <v/>
      </c>
      <c r="D159" s="6">
        <f>IF(OR(原始資料!$A159="",3&gt;設定!$B$3,原始資料!F159=""),"",IF(AND(原始資料!E159&lt;&gt;"",原始資料!F159=原始資料!E159),N(C159)+1,1))</f>
        <v/>
      </c>
      <c r="E159" s="6">
        <f>IF(OR(原始資料!$A159="",4&gt;設定!$B$3,原始資料!G159=""),"",IF(AND(原始資料!F159&lt;&gt;"",原始資料!G159=原始資料!F159),N(D159)+1,1))</f>
        <v/>
      </c>
      <c r="F159" s="6">
        <f>IF(OR(原始資料!$A159="",5&gt;設定!$B$3,原始資料!H159=""),"",IF(AND(原始資料!G159&lt;&gt;"",原始資料!H159=原始資料!G159),N(E159)+1,1))</f>
        <v/>
      </c>
      <c r="G159" s="6">
        <f>IF(OR(原始資料!$A159="",6&gt;設定!$B$3,原始資料!I159=""),"",IF(AND(原始資料!H159&lt;&gt;"",原始資料!I159=原始資料!H159),N(F159)+1,1))</f>
        <v/>
      </c>
      <c r="H159" s="6">
        <f>IF(OR(原始資料!$A159="",7&gt;設定!$B$3,原始資料!J159=""),"",IF(AND(原始資料!I159&lt;&gt;"",原始資料!J159=原始資料!I159),N(G159)+1,1))</f>
        <v/>
      </c>
      <c r="I159" s="6">
        <f>IF(OR(原始資料!$A159="",8&gt;設定!$B$3,原始資料!K159=""),"",IF(AND(原始資料!J159&lt;&gt;"",原始資料!K159=原始資料!J159),N(H159)+1,1))</f>
        <v/>
      </c>
      <c r="J159" s="6">
        <f>IF(OR(原始資料!$A159="",9&gt;設定!$B$3,原始資料!L159=""),"",IF(AND(原始資料!K159&lt;&gt;"",原始資料!L159=原始資料!K159),N(I159)+1,1))</f>
        <v/>
      </c>
      <c r="K159" s="6">
        <f>IF(OR(原始資料!$A159="",10&gt;設定!$B$3,原始資料!M159=""),"",IF(AND(原始資料!L159&lt;&gt;"",原始資料!M159=原始資料!L159),N(J159)+1,1))</f>
        <v/>
      </c>
      <c r="L159" s="6">
        <f>IF(OR(原始資料!$A159="",11&gt;設定!$B$3,原始資料!N159=""),"",IF(AND(原始資料!M159&lt;&gt;"",原始資料!N159=原始資料!M159),N(K159)+1,1))</f>
        <v/>
      </c>
      <c r="M159" s="6">
        <f>IF(OR(原始資料!$A159="",12&gt;設定!$B$3,原始資料!O159=""),"",IF(AND(原始資料!N159&lt;&gt;"",原始資料!O159=原始資料!N159),N(L159)+1,1))</f>
        <v/>
      </c>
      <c r="N159" s="6">
        <f>IF(OR(原始資料!$A159="",13&gt;設定!$B$3,原始資料!P159=""),"",IF(AND(原始資料!O159&lt;&gt;"",原始資料!P159=原始資料!O159),N(M159)+1,1))</f>
        <v/>
      </c>
      <c r="O159" s="6">
        <f>IF(OR(原始資料!$A159="",14&gt;設定!$B$3,原始資料!Q159=""),"",IF(AND(原始資料!P159&lt;&gt;"",原始資料!Q159=原始資料!P159),N(N159)+1,1))</f>
        <v/>
      </c>
      <c r="P159" s="6">
        <f>IF(OR(原始資料!$A159="",15&gt;設定!$B$3,原始資料!R159=""),"",IF(AND(原始資料!Q159&lt;&gt;"",原始資料!R159=原始資料!Q159),N(O159)+1,1))</f>
        <v/>
      </c>
      <c r="Q159" s="6">
        <f>IF(OR(原始資料!$A159="",16&gt;設定!$B$3,原始資料!S159=""),"",IF(AND(原始資料!R159&lt;&gt;"",原始資料!S159=原始資料!R159),N(P159)+1,1))</f>
        <v/>
      </c>
      <c r="R159" s="6">
        <f>IF(OR(原始資料!$A159="",17&gt;設定!$B$3,原始資料!T159=""),"",IF(AND(原始資料!S159&lt;&gt;"",原始資料!T159=原始資料!S159),N(Q159)+1,1))</f>
        <v/>
      </c>
      <c r="S159" s="6">
        <f>IF(OR(原始資料!$A159="",18&gt;設定!$B$3,原始資料!U159=""),"",IF(AND(原始資料!T159&lt;&gt;"",原始資料!U159=原始資料!T159),N(R159)+1,1))</f>
        <v/>
      </c>
      <c r="T159" s="6">
        <f>IF(OR(原始資料!$A159="",19&gt;設定!$B$3,原始資料!V159=""),"",IF(AND(原始資料!U159&lt;&gt;"",原始資料!V159=原始資料!U159),N(S159)+1,1))</f>
        <v/>
      </c>
      <c r="U159" s="6">
        <f>IF(OR(原始資料!$A159="",20&gt;設定!$B$3,原始資料!W159=""),"",IF(AND(原始資料!V159&lt;&gt;"",原始資料!W159=原始資料!V159),N(T159)+1,1))</f>
        <v/>
      </c>
      <c r="V159" s="6">
        <f>IF(OR(原始資料!$A159="",21&gt;設定!$B$3,原始資料!X159=""),"",IF(AND(原始資料!W159&lt;&gt;"",原始資料!X159=原始資料!W159),N(U159)+1,1))</f>
        <v/>
      </c>
      <c r="W159" s="6">
        <f>IF(OR(原始資料!$A159="",22&gt;設定!$B$3,原始資料!Y159=""),"",IF(AND(原始資料!X159&lt;&gt;"",原始資料!Y159=原始資料!X159),N(V159)+1,1))</f>
        <v/>
      </c>
      <c r="X159" s="6">
        <f>IF(OR(原始資料!$A159="",23&gt;設定!$B$3,原始資料!Z159=""),"",IF(AND(原始資料!Y159&lt;&gt;"",原始資料!Z159=原始資料!Y159),N(W159)+1,1))</f>
        <v/>
      </c>
      <c r="Y159" s="6">
        <f>IF(OR(原始資料!$A159="",24&gt;設定!$B$3,原始資料!AA159=""),"",IF(AND(原始資料!Z159&lt;&gt;"",原始資料!AA159=原始資料!Z159),N(X159)+1,1))</f>
        <v/>
      </c>
      <c r="Z159" s="6">
        <f>IF(OR(原始資料!$A159="",25&gt;設定!$B$3,原始資料!AB159=""),"",IF(AND(原始資料!AA159&lt;&gt;"",原始資料!AB159=原始資料!AA159),N(Y159)+1,1))</f>
        <v/>
      </c>
      <c r="AA159" s="6">
        <f>IF(OR(原始資料!$A159="",26&gt;設定!$B$3,原始資料!AC159=""),"",IF(AND(原始資料!AB159&lt;&gt;"",原始資料!AC159=原始資料!AB159),N(Z159)+1,1))</f>
        <v/>
      </c>
      <c r="AB159" s="6">
        <f>IF(OR(原始資料!$A159="",27&gt;設定!$B$3,原始資料!AD159=""),"",IF(AND(原始資料!AC159&lt;&gt;"",原始資料!AD159=原始資料!AC159),N(AA159)+1,1))</f>
        <v/>
      </c>
      <c r="AC159" s="6">
        <f>IF(OR(原始資料!$A159="",28&gt;設定!$B$3,原始資料!AE159=""),"",IF(AND(原始資料!AD159&lt;&gt;"",原始資料!AE159=原始資料!AD159),N(AB159)+1,1))</f>
        <v/>
      </c>
      <c r="AD159" s="6">
        <f>IF(OR(原始資料!$A159="",29&gt;設定!$B$3,原始資料!AF159=""),"",IF(AND(原始資料!AE159&lt;&gt;"",原始資料!AF159=原始資料!AE159),N(AC159)+1,1))</f>
        <v/>
      </c>
      <c r="AE159" s="6">
        <f>IF(OR(原始資料!$A159="",30&gt;設定!$B$3,原始資料!AG159=""),"",IF(AND(原始資料!AF159&lt;&gt;"",原始資料!AG159=原始資料!AF159),N(AD159)+1,1))</f>
        <v/>
      </c>
      <c r="AF159" s="6">
        <f>IF(OR(原始資料!$A159="",31&gt;設定!$B$3,原始資料!AH159=""),"",IF(AND(原始資料!AG159&lt;&gt;"",原始資料!AH159=原始資料!AG159),N(AE159)+1,1))</f>
        <v/>
      </c>
      <c r="AG159" s="6">
        <f>IF(OR(原始資料!$A159="",32&gt;設定!$B$3,原始資料!AI159=""),"",IF(AND(原始資料!AH159&lt;&gt;"",原始資料!AI159=原始資料!AH159),N(AF159)+1,1))</f>
        <v/>
      </c>
      <c r="AH159" s="6">
        <f>IF(OR(原始資料!$A159="",33&gt;設定!$B$3,原始資料!AJ159=""),"",IF(AND(原始資料!AI159&lt;&gt;"",原始資料!AJ159=原始資料!AI159),N(AG159)+1,1))</f>
        <v/>
      </c>
      <c r="AI159" s="6">
        <f>IF(OR(原始資料!$A159="",34&gt;設定!$B$3,原始資料!AK159=""),"",IF(AND(原始資料!AJ159&lt;&gt;"",原始資料!AK159=原始資料!AJ159),N(AH159)+1,1))</f>
        <v/>
      </c>
      <c r="AJ159" s="6">
        <f>IF(OR(原始資料!$A159="",35&gt;設定!$B$3,原始資料!AL159=""),"",IF(AND(原始資料!AK159&lt;&gt;"",原始資料!AL159=原始資料!AK159),N(AI159)+1,1))</f>
        <v/>
      </c>
      <c r="AK159" s="6">
        <f>IF(OR(原始資料!$A159="",36&gt;設定!$B$3,原始資料!AM159=""),"",IF(AND(原始資料!AL159&lt;&gt;"",原始資料!AM159=原始資料!AL159),N(AJ159)+1,1))</f>
        <v/>
      </c>
      <c r="AL159" s="6">
        <f>IF(OR(原始資料!$A159="",37&gt;設定!$B$3,原始資料!AN159=""),"",IF(AND(原始資料!AM159&lt;&gt;"",原始資料!AN159=原始資料!AM159),N(AK159)+1,1))</f>
        <v/>
      </c>
      <c r="AM159" s="6">
        <f>IF(OR(原始資料!$A159="",38&gt;設定!$B$3,原始資料!AO159=""),"",IF(AND(原始資料!AN159&lt;&gt;"",原始資料!AO159=原始資料!AN159),N(AL159)+1,1))</f>
        <v/>
      </c>
      <c r="AN159" s="6">
        <f>IF(OR(原始資料!$A159="",39&gt;設定!$B$3,原始資料!AP159=""),"",IF(AND(原始資料!AO159&lt;&gt;"",原始資料!AP159=原始資料!AO159),N(AM159)+1,1))</f>
        <v/>
      </c>
      <c r="AO159" s="6">
        <f>IF(OR(原始資料!$A159="",40&gt;設定!$B$3,原始資料!AQ159=""),"",IF(AND(原始資料!AP159&lt;&gt;"",原始資料!AQ159=原始資料!AP159),N(AN159)+1,1))</f>
        <v/>
      </c>
      <c r="AP159" s="6">
        <f>IF(OR(原始資料!$A159="",41&gt;設定!$B$3,原始資料!AR159=""),"",IF(AND(原始資料!AQ159&lt;&gt;"",原始資料!AR159=原始資料!AQ159),N(AO159)+1,1))</f>
        <v/>
      </c>
      <c r="AQ159" s="6">
        <f>IF(OR(原始資料!$A159="",42&gt;設定!$B$3,原始資料!AS159=""),"",IF(AND(原始資料!AR159&lt;&gt;"",原始資料!AS159=原始資料!AR159),N(AP159)+1,1))</f>
        <v/>
      </c>
      <c r="AR159" s="6">
        <f>IF(OR(原始資料!$A159="",43&gt;設定!$B$3,原始資料!AT159=""),"",IF(AND(原始資料!AS159&lt;&gt;"",原始資料!AT159=原始資料!AS159),N(AQ159)+1,1))</f>
        <v/>
      </c>
      <c r="AS159" s="6">
        <f>IF(OR(原始資料!$A159="",44&gt;設定!$B$3,原始資料!AU159=""),"",IF(AND(原始資料!AT159&lt;&gt;"",原始資料!AU159=原始資料!AT159),N(AR159)+1,1))</f>
        <v/>
      </c>
      <c r="AT159" s="6">
        <f>IF(OR(原始資料!$A159="",45&gt;設定!$B$3,原始資料!AV159=""),"",IF(AND(原始資料!AU159&lt;&gt;"",原始資料!AV159=原始資料!AU159),N(AS159)+1,1))</f>
        <v/>
      </c>
      <c r="AU159" s="6">
        <f>IF(OR(原始資料!$A159="",46&gt;設定!$B$3,原始資料!AW159=""),"",IF(AND(原始資料!AV159&lt;&gt;"",原始資料!AW159=原始資料!AV159),N(AT159)+1,1))</f>
        <v/>
      </c>
      <c r="AV159" s="6">
        <f>IF(OR(原始資料!$A159="",47&gt;設定!$B$3,原始資料!AX159=""),"",IF(AND(原始資料!AW159&lt;&gt;"",原始資料!AX159=原始資料!AW159),N(AU159)+1,1))</f>
        <v/>
      </c>
      <c r="AW159" s="6">
        <f>IF(OR(原始資料!$A159="",48&gt;設定!$B$3,原始資料!AY159=""),"",IF(AND(原始資料!AX159&lt;&gt;"",原始資料!AY159=原始資料!AX159),N(AV159)+1,1))</f>
        <v/>
      </c>
      <c r="AX159" s="6">
        <f>IF(OR(原始資料!$A159="",49&gt;設定!$B$3,原始資料!AZ159=""),"",IF(AND(原始資料!AY159&lt;&gt;"",原始資料!AZ159=原始資料!AY159),N(AW159)+1,1))</f>
        <v/>
      </c>
      <c r="AY159" s="6">
        <f>IF(OR(原始資料!$A159="",50&gt;設定!$B$3,原始資料!BA159=""),"",IF(AND(原始資料!AZ159&lt;&gt;"",原始資料!BA159=原始資料!AZ159),N(AX159)+1,1))</f>
        <v/>
      </c>
      <c r="AZ159" s="6">
        <f>IF(OR(原始資料!$A159="",51&gt;設定!$B$3,原始資料!BB159=""),"",IF(AND(原始資料!BA159&lt;&gt;"",原始資料!BB159=原始資料!BA159),N(AY159)+1,1))</f>
        <v/>
      </c>
      <c r="BA159" s="6">
        <f>IF(OR(原始資料!$A159="",52&gt;設定!$B$3,原始資料!BC159=""),"",IF(AND(原始資料!BB159&lt;&gt;"",原始資料!BC159=原始資料!BB159),N(AZ159)+1,1))</f>
        <v/>
      </c>
      <c r="BB159" s="6">
        <f>IF(OR(原始資料!$A159="",53&gt;設定!$B$3,原始資料!BD159=""),"",IF(AND(原始資料!BC159&lt;&gt;"",原始資料!BD159=原始資料!BC159),N(BA159)+1,1))</f>
        <v/>
      </c>
      <c r="BC159" s="6">
        <f>IF(OR(原始資料!$A159="",54&gt;設定!$B$3,原始資料!BE159=""),"",IF(AND(原始資料!BD159&lt;&gt;"",原始資料!BE159=原始資料!BD159),N(BB159)+1,1))</f>
        <v/>
      </c>
      <c r="BD159" s="6">
        <f>IF(OR(原始資料!$A159="",55&gt;設定!$B$3,原始資料!BF159=""),"",IF(AND(原始資料!BE159&lt;&gt;"",原始資料!BF159=原始資料!BE159),N(BC159)+1,1))</f>
        <v/>
      </c>
      <c r="BE159" s="6">
        <f>IF(OR(原始資料!$A159="",56&gt;設定!$B$3,原始資料!BG159=""),"",IF(AND(原始資料!BF159&lt;&gt;"",原始資料!BG159=原始資料!BF159),N(BD159)+1,1))</f>
        <v/>
      </c>
      <c r="BF159" s="6">
        <f>IF(OR(原始資料!$A159="",57&gt;設定!$B$3,原始資料!BH159=""),"",IF(AND(原始資料!BG159&lt;&gt;"",原始資料!BH159=原始資料!BG159),N(BE159)+1,1))</f>
        <v/>
      </c>
      <c r="BG159" s="6">
        <f>IF(OR(原始資料!$A159="",58&gt;設定!$B$3,原始資料!BI159=""),"",IF(AND(原始資料!BH159&lt;&gt;"",原始資料!BI159=原始資料!BH159),N(BF159)+1,1))</f>
        <v/>
      </c>
      <c r="BH159" s="6">
        <f>IF(OR(原始資料!$A159="",59&gt;設定!$B$3,原始資料!BJ159=""),"",IF(AND(原始資料!BI159&lt;&gt;"",原始資料!BJ159=原始資料!BI159),N(BG159)+1,1))</f>
        <v/>
      </c>
      <c r="BI159" s="6">
        <f>IF(OR(原始資料!$A159="",60&gt;設定!$B$3,原始資料!BK159=""),"",IF(AND(原始資料!BJ159&lt;&gt;"",原始資料!BK159=原始資料!BJ159),N(BH159)+1,1))</f>
        <v/>
      </c>
    </row>
    <row r="160">
      <c r="A160" s="6">
        <f>IF(原始資料!$A160="","",原始資料!$A160)</f>
        <v/>
      </c>
      <c r="B160" s="6">
        <f>IF(OR(原始資料!$A160="",1&gt;設定!$B$3,原始資料!D160=""),"",1)</f>
        <v/>
      </c>
      <c r="C160" s="6">
        <f>IF(OR(原始資料!$A160="",2&gt;設定!$B$3,原始資料!E160=""),"",IF(AND(原始資料!D160&lt;&gt;"",原始資料!E160=原始資料!D160),N(B160)+1,1))</f>
        <v/>
      </c>
      <c r="D160" s="6">
        <f>IF(OR(原始資料!$A160="",3&gt;設定!$B$3,原始資料!F160=""),"",IF(AND(原始資料!E160&lt;&gt;"",原始資料!F160=原始資料!E160),N(C160)+1,1))</f>
        <v/>
      </c>
      <c r="E160" s="6">
        <f>IF(OR(原始資料!$A160="",4&gt;設定!$B$3,原始資料!G160=""),"",IF(AND(原始資料!F160&lt;&gt;"",原始資料!G160=原始資料!F160),N(D160)+1,1))</f>
        <v/>
      </c>
      <c r="F160" s="6">
        <f>IF(OR(原始資料!$A160="",5&gt;設定!$B$3,原始資料!H160=""),"",IF(AND(原始資料!G160&lt;&gt;"",原始資料!H160=原始資料!G160),N(E160)+1,1))</f>
        <v/>
      </c>
      <c r="G160" s="6">
        <f>IF(OR(原始資料!$A160="",6&gt;設定!$B$3,原始資料!I160=""),"",IF(AND(原始資料!H160&lt;&gt;"",原始資料!I160=原始資料!H160),N(F160)+1,1))</f>
        <v/>
      </c>
      <c r="H160" s="6">
        <f>IF(OR(原始資料!$A160="",7&gt;設定!$B$3,原始資料!J160=""),"",IF(AND(原始資料!I160&lt;&gt;"",原始資料!J160=原始資料!I160),N(G160)+1,1))</f>
        <v/>
      </c>
      <c r="I160" s="6">
        <f>IF(OR(原始資料!$A160="",8&gt;設定!$B$3,原始資料!K160=""),"",IF(AND(原始資料!J160&lt;&gt;"",原始資料!K160=原始資料!J160),N(H160)+1,1))</f>
        <v/>
      </c>
      <c r="J160" s="6">
        <f>IF(OR(原始資料!$A160="",9&gt;設定!$B$3,原始資料!L160=""),"",IF(AND(原始資料!K160&lt;&gt;"",原始資料!L160=原始資料!K160),N(I160)+1,1))</f>
        <v/>
      </c>
      <c r="K160" s="6">
        <f>IF(OR(原始資料!$A160="",10&gt;設定!$B$3,原始資料!M160=""),"",IF(AND(原始資料!L160&lt;&gt;"",原始資料!M160=原始資料!L160),N(J160)+1,1))</f>
        <v/>
      </c>
      <c r="L160" s="6">
        <f>IF(OR(原始資料!$A160="",11&gt;設定!$B$3,原始資料!N160=""),"",IF(AND(原始資料!M160&lt;&gt;"",原始資料!N160=原始資料!M160),N(K160)+1,1))</f>
        <v/>
      </c>
      <c r="M160" s="6">
        <f>IF(OR(原始資料!$A160="",12&gt;設定!$B$3,原始資料!O160=""),"",IF(AND(原始資料!N160&lt;&gt;"",原始資料!O160=原始資料!N160),N(L160)+1,1))</f>
        <v/>
      </c>
      <c r="N160" s="6">
        <f>IF(OR(原始資料!$A160="",13&gt;設定!$B$3,原始資料!P160=""),"",IF(AND(原始資料!O160&lt;&gt;"",原始資料!P160=原始資料!O160),N(M160)+1,1))</f>
        <v/>
      </c>
      <c r="O160" s="6">
        <f>IF(OR(原始資料!$A160="",14&gt;設定!$B$3,原始資料!Q160=""),"",IF(AND(原始資料!P160&lt;&gt;"",原始資料!Q160=原始資料!P160),N(N160)+1,1))</f>
        <v/>
      </c>
      <c r="P160" s="6">
        <f>IF(OR(原始資料!$A160="",15&gt;設定!$B$3,原始資料!R160=""),"",IF(AND(原始資料!Q160&lt;&gt;"",原始資料!R160=原始資料!Q160),N(O160)+1,1))</f>
        <v/>
      </c>
      <c r="Q160" s="6">
        <f>IF(OR(原始資料!$A160="",16&gt;設定!$B$3,原始資料!S160=""),"",IF(AND(原始資料!R160&lt;&gt;"",原始資料!S160=原始資料!R160),N(P160)+1,1))</f>
        <v/>
      </c>
      <c r="R160" s="6">
        <f>IF(OR(原始資料!$A160="",17&gt;設定!$B$3,原始資料!T160=""),"",IF(AND(原始資料!S160&lt;&gt;"",原始資料!T160=原始資料!S160),N(Q160)+1,1))</f>
        <v/>
      </c>
      <c r="S160" s="6">
        <f>IF(OR(原始資料!$A160="",18&gt;設定!$B$3,原始資料!U160=""),"",IF(AND(原始資料!T160&lt;&gt;"",原始資料!U160=原始資料!T160),N(R160)+1,1))</f>
        <v/>
      </c>
      <c r="T160" s="6">
        <f>IF(OR(原始資料!$A160="",19&gt;設定!$B$3,原始資料!V160=""),"",IF(AND(原始資料!U160&lt;&gt;"",原始資料!V160=原始資料!U160),N(S160)+1,1))</f>
        <v/>
      </c>
      <c r="U160" s="6">
        <f>IF(OR(原始資料!$A160="",20&gt;設定!$B$3,原始資料!W160=""),"",IF(AND(原始資料!V160&lt;&gt;"",原始資料!W160=原始資料!V160),N(T160)+1,1))</f>
        <v/>
      </c>
      <c r="V160" s="6">
        <f>IF(OR(原始資料!$A160="",21&gt;設定!$B$3,原始資料!X160=""),"",IF(AND(原始資料!W160&lt;&gt;"",原始資料!X160=原始資料!W160),N(U160)+1,1))</f>
        <v/>
      </c>
      <c r="W160" s="6">
        <f>IF(OR(原始資料!$A160="",22&gt;設定!$B$3,原始資料!Y160=""),"",IF(AND(原始資料!X160&lt;&gt;"",原始資料!Y160=原始資料!X160),N(V160)+1,1))</f>
        <v/>
      </c>
      <c r="X160" s="6">
        <f>IF(OR(原始資料!$A160="",23&gt;設定!$B$3,原始資料!Z160=""),"",IF(AND(原始資料!Y160&lt;&gt;"",原始資料!Z160=原始資料!Y160),N(W160)+1,1))</f>
        <v/>
      </c>
      <c r="Y160" s="6">
        <f>IF(OR(原始資料!$A160="",24&gt;設定!$B$3,原始資料!AA160=""),"",IF(AND(原始資料!Z160&lt;&gt;"",原始資料!AA160=原始資料!Z160),N(X160)+1,1))</f>
        <v/>
      </c>
      <c r="Z160" s="6">
        <f>IF(OR(原始資料!$A160="",25&gt;設定!$B$3,原始資料!AB160=""),"",IF(AND(原始資料!AA160&lt;&gt;"",原始資料!AB160=原始資料!AA160),N(Y160)+1,1))</f>
        <v/>
      </c>
      <c r="AA160" s="6">
        <f>IF(OR(原始資料!$A160="",26&gt;設定!$B$3,原始資料!AC160=""),"",IF(AND(原始資料!AB160&lt;&gt;"",原始資料!AC160=原始資料!AB160),N(Z160)+1,1))</f>
        <v/>
      </c>
      <c r="AB160" s="6">
        <f>IF(OR(原始資料!$A160="",27&gt;設定!$B$3,原始資料!AD160=""),"",IF(AND(原始資料!AC160&lt;&gt;"",原始資料!AD160=原始資料!AC160),N(AA160)+1,1))</f>
        <v/>
      </c>
      <c r="AC160" s="6">
        <f>IF(OR(原始資料!$A160="",28&gt;設定!$B$3,原始資料!AE160=""),"",IF(AND(原始資料!AD160&lt;&gt;"",原始資料!AE160=原始資料!AD160),N(AB160)+1,1))</f>
        <v/>
      </c>
      <c r="AD160" s="6">
        <f>IF(OR(原始資料!$A160="",29&gt;設定!$B$3,原始資料!AF160=""),"",IF(AND(原始資料!AE160&lt;&gt;"",原始資料!AF160=原始資料!AE160),N(AC160)+1,1))</f>
        <v/>
      </c>
      <c r="AE160" s="6">
        <f>IF(OR(原始資料!$A160="",30&gt;設定!$B$3,原始資料!AG160=""),"",IF(AND(原始資料!AF160&lt;&gt;"",原始資料!AG160=原始資料!AF160),N(AD160)+1,1))</f>
        <v/>
      </c>
      <c r="AF160" s="6">
        <f>IF(OR(原始資料!$A160="",31&gt;設定!$B$3,原始資料!AH160=""),"",IF(AND(原始資料!AG160&lt;&gt;"",原始資料!AH160=原始資料!AG160),N(AE160)+1,1))</f>
        <v/>
      </c>
      <c r="AG160" s="6">
        <f>IF(OR(原始資料!$A160="",32&gt;設定!$B$3,原始資料!AI160=""),"",IF(AND(原始資料!AH160&lt;&gt;"",原始資料!AI160=原始資料!AH160),N(AF160)+1,1))</f>
        <v/>
      </c>
      <c r="AH160" s="6">
        <f>IF(OR(原始資料!$A160="",33&gt;設定!$B$3,原始資料!AJ160=""),"",IF(AND(原始資料!AI160&lt;&gt;"",原始資料!AJ160=原始資料!AI160),N(AG160)+1,1))</f>
        <v/>
      </c>
      <c r="AI160" s="6">
        <f>IF(OR(原始資料!$A160="",34&gt;設定!$B$3,原始資料!AK160=""),"",IF(AND(原始資料!AJ160&lt;&gt;"",原始資料!AK160=原始資料!AJ160),N(AH160)+1,1))</f>
        <v/>
      </c>
      <c r="AJ160" s="6">
        <f>IF(OR(原始資料!$A160="",35&gt;設定!$B$3,原始資料!AL160=""),"",IF(AND(原始資料!AK160&lt;&gt;"",原始資料!AL160=原始資料!AK160),N(AI160)+1,1))</f>
        <v/>
      </c>
      <c r="AK160" s="6">
        <f>IF(OR(原始資料!$A160="",36&gt;設定!$B$3,原始資料!AM160=""),"",IF(AND(原始資料!AL160&lt;&gt;"",原始資料!AM160=原始資料!AL160),N(AJ160)+1,1))</f>
        <v/>
      </c>
      <c r="AL160" s="6">
        <f>IF(OR(原始資料!$A160="",37&gt;設定!$B$3,原始資料!AN160=""),"",IF(AND(原始資料!AM160&lt;&gt;"",原始資料!AN160=原始資料!AM160),N(AK160)+1,1))</f>
        <v/>
      </c>
      <c r="AM160" s="6">
        <f>IF(OR(原始資料!$A160="",38&gt;設定!$B$3,原始資料!AO160=""),"",IF(AND(原始資料!AN160&lt;&gt;"",原始資料!AO160=原始資料!AN160),N(AL160)+1,1))</f>
        <v/>
      </c>
      <c r="AN160" s="6">
        <f>IF(OR(原始資料!$A160="",39&gt;設定!$B$3,原始資料!AP160=""),"",IF(AND(原始資料!AO160&lt;&gt;"",原始資料!AP160=原始資料!AO160),N(AM160)+1,1))</f>
        <v/>
      </c>
      <c r="AO160" s="6">
        <f>IF(OR(原始資料!$A160="",40&gt;設定!$B$3,原始資料!AQ160=""),"",IF(AND(原始資料!AP160&lt;&gt;"",原始資料!AQ160=原始資料!AP160),N(AN160)+1,1))</f>
        <v/>
      </c>
      <c r="AP160" s="6">
        <f>IF(OR(原始資料!$A160="",41&gt;設定!$B$3,原始資料!AR160=""),"",IF(AND(原始資料!AQ160&lt;&gt;"",原始資料!AR160=原始資料!AQ160),N(AO160)+1,1))</f>
        <v/>
      </c>
      <c r="AQ160" s="6">
        <f>IF(OR(原始資料!$A160="",42&gt;設定!$B$3,原始資料!AS160=""),"",IF(AND(原始資料!AR160&lt;&gt;"",原始資料!AS160=原始資料!AR160),N(AP160)+1,1))</f>
        <v/>
      </c>
      <c r="AR160" s="6">
        <f>IF(OR(原始資料!$A160="",43&gt;設定!$B$3,原始資料!AT160=""),"",IF(AND(原始資料!AS160&lt;&gt;"",原始資料!AT160=原始資料!AS160),N(AQ160)+1,1))</f>
        <v/>
      </c>
      <c r="AS160" s="6">
        <f>IF(OR(原始資料!$A160="",44&gt;設定!$B$3,原始資料!AU160=""),"",IF(AND(原始資料!AT160&lt;&gt;"",原始資料!AU160=原始資料!AT160),N(AR160)+1,1))</f>
        <v/>
      </c>
      <c r="AT160" s="6">
        <f>IF(OR(原始資料!$A160="",45&gt;設定!$B$3,原始資料!AV160=""),"",IF(AND(原始資料!AU160&lt;&gt;"",原始資料!AV160=原始資料!AU160),N(AS160)+1,1))</f>
        <v/>
      </c>
      <c r="AU160" s="6">
        <f>IF(OR(原始資料!$A160="",46&gt;設定!$B$3,原始資料!AW160=""),"",IF(AND(原始資料!AV160&lt;&gt;"",原始資料!AW160=原始資料!AV160),N(AT160)+1,1))</f>
        <v/>
      </c>
      <c r="AV160" s="6">
        <f>IF(OR(原始資料!$A160="",47&gt;設定!$B$3,原始資料!AX160=""),"",IF(AND(原始資料!AW160&lt;&gt;"",原始資料!AX160=原始資料!AW160),N(AU160)+1,1))</f>
        <v/>
      </c>
      <c r="AW160" s="6">
        <f>IF(OR(原始資料!$A160="",48&gt;設定!$B$3,原始資料!AY160=""),"",IF(AND(原始資料!AX160&lt;&gt;"",原始資料!AY160=原始資料!AX160),N(AV160)+1,1))</f>
        <v/>
      </c>
      <c r="AX160" s="6">
        <f>IF(OR(原始資料!$A160="",49&gt;設定!$B$3,原始資料!AZ160=""),"",IF(AND(原始資料!AY160&lt;&gt;"",原始資料!AZ160=原始資料!AY160),N(AW160)+1,1))</f>
        <v/>
      </c>
      <c r="AY160" s="6">
        <f>IF(OR(原始資料!$A160="",50&gt;設定!$B$3,原始資料!BA160=""),"",IF(AND(原始資料!AZ160&lt;&gt;"",原始資料!BA160=原始資料!AZ160),N(AX160)+1,1))</f>
        <v/>
      </c>
      <c r="AZ160" s="6">
        <f>IF(OR(原始資料!$A160="",51&gt;設定!$B$3,原始資料!BB160=""),"",IF(AND(原始資料!BA160&lt;&gt;"",原始資料!BB160=原始資料!BA160),N(AY160)+1,1))</f>
        <v/>
      </c>
      <c r="BA160" s="6">
        <f>IF(OR(原始資料!$A160="",52&gt;設定!$B$3,原始資料!BC160=""),"",IF(AND(原始資料!BB160&lt;&gt;"",原始資料!BC160=原始資料!BB160),N(AZ160)+1,1))</f>
        <v/>
      </c>
      <c r="BB160" s="6">
        <f>IF(OR(原始資料!$A160="",53&gt;設定!$B$3,原始資料!BD160=""),"",IF(AND(原始資料!BC160&lt;&gt;"",原始資料!BD160=原始資料!BC160),N(BA160)+1,1))</f>
        <v/>
      </c>
      <c r="BC160" s="6">
        <f>IF(OR(原始資料!$A160="",54&gt;設定!$B$3,原始資料!BE160=""),"",IF(AND(原始資料!BD160&lt;&gt;"",原始資料!BE160=原始資料!BD160),N(BB160)+1,1))</f>
        <v/>
      </c>
      <c r="BD160" s="6">
        <f>IF(OR(原始資料!$A160="",55&gt;設定!$B$3,原始資料!BF160=""),"",IF(AND(原始資料!BE160&lt;&gt;"",原始資料!BF160=原始資料!BE160),N(BC160)+1,1))</f>
        <v/>
      </c>
      <c r="BE160" s="6">
        <f>IF(OR(原始資料!$A160="",56&gt;設定!$B$3,原始資料!BG160=""),"",IF(AND(原始資料!BF160&lt;&gt;"",原始資料!BG160=原始資料!BF160),N(BD160)+1,1))</f>
        <v/>
      </c>
      <c r="BF160" s="6">
        <f>IF(OR(原始資料!$A160="",57&gt;設定!$B$3,原始資料!BH160=""),"",IF(AND(原始資料!BG160&lt;&gt;"",原始資料!BH160=原始資料!BG160),N(BE160)+1,1))</f>
        <v/>
      </c>
      <c r="BG160" s="6">
        <f>IF(OR(原始資料!$A160="",58&gt;設定!$B$3,原始資料!BI160=""),"",IF(AND(原始資料!BH160&lt;&gt;"",原始資料!BI160=原始資料!BH160),N(BF160)+1,1))</f>
        <v/>
      </c>
      <c r="BH160" s="6">
        <f>IF(OR(原始資料!$A160="",59&gt;設定!$B$3,原始資料!BJ160=""),"",IF(AND(原始資料!BI160&lt;&gt;"",原始資料!BJ160=原始資料!BI160),N(BG160)+1,1))</f>
        <v/>
      </c>
      <c r="BI160" s="6">
        <f>IF(OR(原始資料!$A160="",60&gt;設定!$B$3,原始資料!BK160=""),"",IF(AND(原始資料!BJ160&lt;&gt;"",原始資料!BK160=原始資料!BJ160),N(BH160)+1,1))</f>
        <v/>
      </c>
    </row>
    <row r="161">
      <c r="A161" s="6">
        <f>IF(原始資料!$A161="","",原始資料!$A161)</f>
        <v/>
      </c>
      <c r="B161" s="6">
        <f>IF(OR(原始資料!$A161="",1&gt;設定!$B$3,原始資料!D161=""),"",1)</f>
        <v/>
      </c>
      <c r="C161" s="6">
        <f>IF(OR(原始資料!$A161="",2&gt;設定!$B$3,原始資料!E161=""),"",IF(AND(原始資料!D161&lt;&gt;"",原始資料!E161=原始資料!D161),N(B161)+1,1))</f>
        <v/>
      </c>
      <c r="D161" s="6">
        <f>IF(OR(原始資料!$A161="",3&gt;設定!$B$3,原始資料!F161=""),"",IF(AND(原始資料!E161&lt;&gt;"",原始資料!F161=原始資料!E161),N(C161)+1,1))</f>
        <v/>
      </c>
      <c r="E161" s="6">
        <f>IF(OR(原始資料!$A161="",4&gt;設定!$B$3,原始資料!G161=""),"",IF(AND(原始資料!F161&lt;&gt;"",原始資料!G161=原始資料!F161),N(D161)+1,1))</f>
        <v/>
      </c>
      <c r="F161" s="6">
        <f>IF(OR(原始資料!$A161="",5&gt;設定!$B$3,原始資料!H161=""),"",IF(AND(原始資料!G161&lt;&gt;"",原始資料!H161=原始資料!G161),N(E161)+1,1))</f>
        <v/>
      </c>
      <c r="G161" s="6">
        <f>IF(OR(原始資料!$A161="",6&gt;設定!$B$3,原始資料!I161=""),"",IF(AND(原始資料!H161&lt;&gt;"",原始資料!I161=原始資料!H161),N(F161)+1,1))</f>
        <v/>
      </c>
      <c r="H161" s="6">
        <f>IF(OR(原始資料!$A161="",7&gt;設定!$B$3,原始資料!J161=""),"",IF(AND(原始資料!I161&lt;&gt;"",原始資料!J161=原始資料!I161),N(G161)+1,1))</f>
        <v/>
      </c>
      <c r="I161" s="6">
        <f>IF(OR(原始資料!$A161="",8&gt;設定!$B$3,原始資料!K161=""),"",IF(AND(原始資料!J161&lt;&gt;"",原始資料!K161=原始資料!J161),N(H161)+1,1))</f>
        <v/>
      </c>
      <c r="J161" s="6">
        <f>IF(OR(原始資料!$A161="",9&gt;設定!$B$3,原始資料!L161=""),"",IF(AND(原始資料!K161&lt;&gt;"",原始資料!L161=原始資料!K161),N(I161)+1,1))</f>
        <v/>
      </c>
      <c r="K161" s="6">
        <f>IF(OR(原始資料!$A161="",10&gt;設定!$B$3,原始資料!M161=""),"",IF(AND(原始資料!L161&lt;&gt;"",原始資料!M161=原始資料!L161),N(J161)+1,1))</f>
        <v/>
      </c>
      <c r="L161" s="6">
        <f>IF(OR(原始資料!$A161="",11&gt;設定!$B$3,原始資料!N161=""),"",IF(AND(原始資料!M161&lt;&gt;"",原始資料!N161=原始資料!M161),N(K161)+1,1))</f>
        <v/>
      </c>
      <c r="M161" s="6">
        <f>IF(OR(原始資料!$A161="",12&gt;設定!$B$3,原始資料!O161=""),"",IF(AND(原始資料!N161&lt;&gt;"",原始資料!O161=原始資料!N161),N(L161)+1,1))</f>
        <v/>
      </c>
      <c r="N161" s="6">
        <f>IF(OR(原始資料!$A161="",13&gt;設定!$B$3,原始資料!P161=""),"",IF(AND(原始資料!O161&lt;&gt;"",原始資料!P161=原始資料!O161),N(M161)+1,1))</f>
        <v/>
      </c>
      <c r="O161" s="6">
        <f>IF(OR(原始資料!$A161="",14&gt;設定!$B$3,原始資料!Q161=""),"",IF(AND(原始資料!P161&lt;&gt;"",原始資料!Q161=原始資料!P161),N(N161)+1,1))</f>
        <v/>
      </c>
      <c r="P161" s="6">
        <f>IF(OR(原始資料!$A161="",15&gt;設定!$B$3,原始資料!R161=""),"",IF(AND(原始資料!Q161&lt;&gt;"",原始資料!R161=原始資料!Q161),N(O161)+1,1))</f>
        <v/>
      </c>
      <c r="Q161" s="6">
        <f>IF(OR(原始資料!$A161="",16&gt;設定!$B$3,原始資料!S161=""),"",IF(AND(原始資料!R161&lt;&gt;"",原始資料!S161=原始資料!R161),N(P161)+1,1))</f>
        <v/>
      </c>
      <c r="R161" s="6">
        <f>IF(OR(原始資料!$A161="",17&gt;設定!$B$3,原始資料!T161=""),"",IF(AND(原始資料!S161&lt;&gt;"",原始資料!T161=原始資料!S161),N(Q161)+1,1))</f>
        <v/>
      </c>
      <c r="S161" s="6">
        <f>IF(OR(原始資料!$A161="",18&gt;設定!$B$3,原始資料!U161=""),"",IF(AND(原始資料!T161&lt;&gt;"",原始資料!U161=原始資料!T161),N(R161)+1,1))</f>
        <v/>
      </c>
      <c r="T161" s="6">
        <f>IF(OR(原始資料!$A161="",19&gt;設定!$B$3,原始資料!V161=""),"",IF(AND(原始資料!U161&lt;&gt;"",原始資料!V161=原始資料!U161),N(S161)+1,1))</f>
        <v/>
      </c>
      <c r="U161" s="6">
        <f>IF(OR(原始資料!$A161="",20&gt;設定!$B$3,原始資料!W161=""),"",IF(AND(原始資料!V161&lt;&gt;"",原始資料!W161=原始資料!V161),N(T161)+1,1))</f>
        <v/>
      </c>
      <c r="V161" s="6">
        <f>IF(OR(原始資料!$A161="",21&gt;設定!$B$3,原始資料!X161=""),"",IF(AND(原始資料!W161&lt;&gt;"",原始資料!X161=原始資料!W161),N(U161)+1,1))</f>
        <v/>
      </c>
      <c r="W161" s="6">
        <f>IF(OR(原始資料!$A161="",22&gt;設定!$B$3,原始資料!Y161=""),"",IF(AND(原始資料!X161&lt;&gt;"",原始資料!Y161=原始資料!X161),N(V161)+1,1))</f>
        <v/>
      </c>
      <c r="X161" s="6">
        <f>IF(OR(原始資料!$A161="",23&gt;設定!$B$3,原始資料!Z161=""),"",IF(AND(原始資料!Y161&lt;&gt;"",原始資料!Z161=原始資料!Y161),N(W161)+1,1))</f>
        <v/>
      </c>
      <c r="Y161" s="6">
        <f>IF(OR(原始資料!$A161="",24&gt;設定!$B$3,原始資料!AA161=""),"",IF(AND(原始資料!Z161&lt;&gt;"",原始資料!AA161=原始資料!Z161),N(X161)+1,1))</f>
        <v/>
      </c>
      <c r="Z161" s="6">
        <f>IF(OR(原始資料!$A161="",25&gt;設定!$B$3,原始資料!AB161=""),"",IF(AND(原始資料!AA161&lt;&gt;"",原始資料!AB161=原始資料!AA161),N(Y161)+1,1))</f>
        <v/>
      </c>
      <c r="AA161" s="6">
        <f>IF(OR(原始資料!$A161="",26&gt;設定!$B$3,原始資料!AC161=""),"",IF(AND(原始資料!AB161&lt;&gt;"",原始資料!AC161=原始資料!AB161),N(Z161)+1,1))</f>
        <v/>
      </c>
      <c r="AB161" s="6">
        <f>IF(OR(原始資料!$A161="",27&gt;設定!$B$3,原始資料!AD161=""),"",IF(AND(原始資料!AC161&lt;&gt;"",原始資料!AD161=原始資料!AC161),N(AA161)+1,1))</f>
        <v/>
      </c>
      <c r="AC161" s="6">
        <f>IF(OR(原始資料!$A161="",28&gt;設定!$B$3,原始資料!AE161=""),"",IF(AND(原始資料!AD161&lt;&gt;"",原始資料!AE161=原始資料!AD161),N(AB161)+1,1))</f>
        <v/>
      </c>
      <c r="AD161" s="6">
        <f>IF(OR(原始資料!$A161="",29&gt;設定!$B$3,原始資料!AF161=""),"",IF(AND(原始資料!AE161&lt;&gt;"",原始資料!AF161=原始資料!AE161),N(AC161)+1,1))</f>
        <v/>
      </c>
      <c r="AE161" s="6">
        <f>IF(OR(原始資料!$A161="",30&gt;設定!$B$3,原始資料!AG161=""),"",IF(AND(原始資料!AF161&lt;&gt;"",原始資料!AG161=原始資料!AF161),N(AD161)+1,1))</f>
        <v/>
      </c>
      <c r="AF161" s="6">
        <f>IF(OR(原始資料!$A161="",31&gt;設定!$B$3,原始資料!AH161=""),"",IF(AND(原始資料!AG161&lt;&gt;"",原始資料!AH161=原始資料!AG161),N(AE161)+1,1))</f>
        <v/>
      </c>
      <c r="AG161" s="6">
        <f>IF(OR(原始資料!$A161="",32&gt;設定!$B$3,原始資料!AI161=""),"",IF(AND(原始資料!AH161&lt;&gt;"",原始資料!AI161=原始資料!AH161),N(AF161)+1,1))</f>
        <v/>
      </c>
      <c r="AH161" s="6">
        <f>IF(OR(原始資料!$A161="",33&gt;設定!$B$3,原始資料!AJ161=""),"",IF(AND(原始資料!AI161&lt;&gt;"",原始資料!AJ161=原始資料!AI161),N(AG161)+1,1))</f>
        <v/>
      </c>
      <c r="AI161" s="6">
        <f>IF(OR(原始資料!$A161="",34&gt;設定!$B$3,原始資料!AK161=""),"",IF(AND(原始資料!AJ161&lt;&gt;"",原始資料!AK161=原始資料!AJ161),N(AH161)+1,1))</f>
        <v/>
      </c>
      <c r="AJ161" s="6">
        <f>IF(OR(原始資料!$A161="",35&gt;設定!$B$3,原始資料!AL161=""),"",IF(AND(原始資料!AK161&lt;&gt;"",原始資料!AL161=原始資料!AK161),N(AI161)+1,1))</f>
        <v/>
      </c>
      <c r="AK161" s="6">
        <f>IF(OR(原始資料!$A161="",36&gt;設定!$B$3,原始資料!AM161=""),"",IF(AND(原始資料!AL161&lt;&gt;"",原始資料!AM161=原始資料!AL161),N(AJ161)+1,1))</f>
        <v/>
      </c>
      <c r="AL161" s="6">
        <f>IF(OR(原始資料!$A161="",37&gt;設定!$B$3,原始資料!AN161=""),"",IF(AND(原始資料!AM161&lt;&gt;"",原始資料!AN161=原始資料!AM161),N(AK161)+1,1))</f>
        <v/>
      </c>
      <c r="AM161" s="6">
        <f>IF(OR(原始資料!$A161="",38&gt;設定!$B$3,原始資料!AO161=""),"",IF(AND(原始資料!AN161&lt;&gt;"",原始資料!AO161=原始資料!AN161),N(AL161)+1,1))</f>
        <v/>
      </c>
      <c r="AN161" s="6">
        <f>IF(OR(原始資料!$A161="",39&gt;設定!$B$3,原始資料!AP161=""),"",IF(AND(原始資料!AO161&lt;&gt;"",原始資料!AP161=原始資料!AO161),N(AM161)+1,1))</f>
        <v/>
      </c>
      <c r="AO161" s="6">
        <f>IF(OR(原始資料!$A161="",40&gt;設定!$B$3,原始資料!AQ161=""),"",IF(AND(原始資料!AP161&lt;&gt;"",原始資料!AQ161=原始資料!AP161),N(AN161)+1,1))</f>
        <v/>
      </c>
      <c r="AP161" s="6">
        <f>IF(OR(原始資料!$A161="",41&gt;設定!$B$3,原始資料!AR161=""),"",IF(AND(原始資料!AQ161&lt;&gt;"",原始資料!AR161=原始資料!AQ161),N(AO161)+1,1))</f>
        <v/>
      </c>
      <c r="AQ161" s="6">
        <f>IF(OR(原始資料!$A161="",42&gt;設定!$B$3,原始資料!AS161=""),"",IF(AND(原始資料!AR161&lt;&gt;"",原始資料!AS161=原始資料!AR161),N(AP161)+1,1))</f>
        <v/>
      </c>
      <c r="AR161" s="6">
        <f>IF(OR(原始資料!$A161="",43&gt;設定!$B$3,原始資料!AT161=""),"",IF(AND(原始資料!AS161&lt;&gt;"",原始資料!AT161=原始資料!AS161),N(AQ161)+1,1))</f>
        <v/>
      </c>
      <c r="AS161" s="6">
        <f>IF(OR(原始資料!$A161="",44&gt;設定!$B$3,原始資料!AU161=""),"",IF(AND(原始資料!AT161&lt;&gt;"",原始資料!AU161=原始資料!AT161),N(AR161)+1,1))</f>
        <v/>
      </c>
      <c r="AT161" s="6">
        <f>IF(OR(原始資料!$A161="",45&gt;設定!$B$3,原始資料!AV161=""),"",IF(AND(原始資料!AU161&lt;&gt;"",原始資料!AV161=原始資料!AU161),N(AS161)+1,1))</f>
        <v/>
      </c>
      <c r="AU161" s="6">
        <f>IF(OR(原始資料!$A161="",46&gt;設定!$B$3,原始資料!AW161=""),"",IF(AND(原始資料!AV161&lt;&gt;"",原始資料!AW161=原始資料!AV161),N(AT161)+1,1))</f>
        <v/>
      </c>
      <c r="AV161" s="6">
        <f>IF(OR(原始資料!$A161="",47&gt;設定!$B$3,原始資料!AX161=""),"",IF(AND(原始資料!AW161&lt;&gt;"",原始資料!AX161=原始資料!AW161),N(AU161)+1,1))</f>
        <v/>
      </c>
      <c r="AW161" s="6">
        <f>IF(OR(原始資料!$A161="",48&gt;設定!$B$3,原始資料!AY161=""),"",IF(AND(原始資料!AX161&lt;&gt;"",原始資料!AY161=原始資料!AX161),N(AV161)+1,1))</f>
        <v/>
      </c>
      <c r="AX161" s="6">
        <f>IF(OR(原始資料!$A161="",49&gt;設定!$B$3,原始資料!AZ161=""),"",IF(AND(原始資料!AY161&lt;&gt;"",原始資料!AZ161=原始資料!AY161),N(AW161)+1,1))</f>
        <v/>
      </c>
      <c r="AY161" s="6">
        <f>IF(OR(原始資料!$A161="",50&gt;設定!$B$3,原始資料!BA161=""),"",IF(AND(原始資料!AZ161&lt;&gt;"",原始資料!BA161=原始資料!AZ161),N(AX161)+1,1))</f>
        <v/>
      </c>
      <c r="AZ161" s="6">
        <f>IF(OR(原始資料!$A161="",51&gt;設定!$B$3,原始資料!BB161=""),"",IF(AND(原始資料!BA161&lt;&gt;"",原始資料!BB161=原始資料!BA161),N(AY161)+1,1))</f>
        <v/>
      </c>
      <c r="BA161" s="6">
        <f>IF(OR(原始資料!$A161="",52&gt;設定!$B$3,原始資料!BC161=""),"",IF(AND(原始資料!BB161&lt;&gt;"",原始資料!BC161=原始資料!BB161),N(AZ161)+1,1))</f>
        <v/>
      </c>
      <c r="BB161" s="6">
        <f>IF(OR(原始資料!$A161="",53&gt;設定!$B$3,原始資料!BD161=""),"",IF(AND(原始資料!BC161&lt;&gt;"",原始資料!BD161=原始資料!BC161),N(BA161)+1,1))</f>
        <v/>
      </c>
      <c r="BC161" s="6">
        <f>IF(OR(原始資料!$A161="",54&gt;設定!$B$3,原始資料!BE161=""),"",IF(AND(原始資料!BD161&lt;&gt;"",原始資料!BE161=原始資料!BD161),N(BB161)+1,1))</f>
        <v/>
      </c>
      <c r="BD161" s="6">
        <f>IF(OR(原始資料!$A161="",55&gt;設定!$B$3,原始資料!BF161=""),"",IF(AND(原始資料!BE161&lt;&gt;"",原始資料!BF161=原始資料!BE161),N(BC161)+1,1))</f>
        <v/>
      </c>
      <c r="BE161" s="6">
        <f>IF(OR(原始資料!$A161="",56&gt;設定!$B$3,原始資料!BG161=""),"",IF(AND(原始資料!BF161&lt;&gt;"",原始資料!BG161=原始資料!BF161),N(BD161)+1,1))</f>
        <v/>
      </c>
      <c r="BF161" s="6">
        <f>IF(OR(原始資料!$A161="",57&gt;設定!$B$3,原始資料!BH161=""),"",IF(AND(原始資料!BG161&lt;&gt;"",原始資料!BH161=原始資料!BG161),N(BE161)+1,1))</f>
        <v/>
      </c>
      <c r="BG161" s="6">
        <f>IF(OR(原始資料!$A161="",58&gt;設定!$B$3,原始資料!BI161=""),"",IF(AND(原始資料!BH161&lt;&gt;"",原始資料!BI161=原始資料!BH161),N(BF161)+1,1))</f>
        <v/>
      </c>
      <c r="BH161" s="6">
        <f>IF(OR(原始資料!$A161="",59&gt;設定!$B$3,原始資料!BJ161=""),"",IF(AND(原始資料!BI161&lt;&gt;"",原始資料!BJ161=原始資料!BI161),N(BG161)+1,1))</f>
        <v/>
      </c>
      <c r="BI161" s="6">
        <f>IF(OR(原始資料!$A161="",60&gt;設定!$B$3,原始資料!BK161=""),"",IF(AND(原始資料!BJ161&lt;&gt;"",原始資料!BK161=原始資料!BJ161),N(BH161)+1,1))</f>
        <v/>
      </c>
    </row>
    <row r="162">
      <c r="A162" s="6">
        <f>IF(原始資料!$A162="","",原始資料!$A162)</f>
        <v/>
      </c>
      <c r="B162" s="6">
        <f>IF(OR(原始資料!$A162="",1&gt;設定!$B$3,原始資料!D162=""),"",1)</f>
        <v/>
      </c>
      <c r="C162" s="6">
        <f>IF(OR(原始資料!$A162="",2&gt;設定!$B$3,原始資料!E162=""),"",IF(AND(原始資料!D162&lt;&gt;"",原始資料!E162=原始資料!D162),N(B162)+1,1))</f>
        <v/>
      </c>
      <c r="D162" s="6">
        <f>IF(OR(原始資料!$A162="",3&gt;設定!$B$3,原始資料!F162=""),"",IF(AND(原始資料!E162&lt;&gt;"",原始資料!F162=原始資料!E162),N(C162)+1,1))</f>
        <v/>
      </c>
      <c r="E162" s="6">
        <f>IF(OR(原始資料!$A162="",4&gt;設定!$B$3,原始資料!G162=""),"",IF(AND(原始資料!F162&lt;&gt;"",原始資料!G162=原始資料!F162),N(D162)+1,1))</f>
        <v/>
      </c>
      <c r="F162" s="6">
        <f>IF(OR(原始資料!$A162="",5&gt;設定!$B$3,原始資料!H162=""),"",IF(AND(原始資料!G162&lt;&gt;"",原始資料!H162=原始資料!G162),N(E162)+1,1))</f>
        <v/>
      </c>
      <c r="G162" s="6">
        <f>IF(OR(原始資料!$A162="",6&gt;設定!$B$3,原始資料!I162=""),"",IF(AND(原始資料!H162&lt;&gt;"",原始資料!I162=原始資料!H162),N(F162)+1,1))</f>
        <v/>
      </c>
      <c r="H162" s="6">
        <f>IF(OR(原始資料!$A162="",7&gt;設定!$B$3,原始資料!J162=""),"",IF(AND(原始資料!I162&lt;&gt;"",原始資料!J162=原始資料!I162),N(G162)+1,1))</f>
        <v/>
      </c>
      <c r="I162" s="6">
        <f>IF(OR(原始資料!$A162="",8&gt;設定!$B$3,原始資料!K162=""),"",IF(AND(原始資料!J162&lt;&gt;"",原始資料!K162=原始資料!J162),N(H162)+1,1))</f>
        <v/>
      </c>
      <c r="J162" s="6">
        <f>IF(OR(原始資料!$A162="",9&gt;設定!$B$3,原始資料!L162=""),"",IF(AND(原始資料!K162&lt;&gt;"",原始資料!L162=原始資料!K162),N(I162)+1,1))</f>
        <v/>
      </c>
      <c r="K162" s="6">
        <f>IF(OR(原始資料!$A162="",10&gt;設定!$B$3,原始資料!M162=""),"",IF(AND(原始資料!L162&lt;&gt;"",原始資料!M162=原始資料!L162),N(J162)+1,1))</f>
        <v/>
      </c>
      <c r="L162" s="6">
        <f>IF(OR(原始資料!$A162="",11&gt;設定!$B$3,原始資料!N162=""),"",IF(AND(原始資料!M162&lt;&gt;"",原始資料!N162=原始資料!M162),N(K162)+1,1))</f>
        <v/>
      </c>
      <c r="M162" s="6">
        <f>IF(OR(原始資料!$A162="",12&gt;設定!$B$3,原始資料!O162=""),"",IF(AND(原始資料!N162&lt;&gt;"",原始資料!O162=原始資料!N162),N(L162)+1,1))</f>
        <v/>
      </c>
      <c r="N162" s="6">
        <f>IF(OR(原始資料!$A162="",13&gt;設定!$B$3,原始資料!P162=""),"",IF(AND(原始資料!O162&lt;&gt;"",原始資料!P162=原始資料!O162),N(M162)+1,1))</f>
        <v/>
      </c>
      <c r="O162" s="6">
        <f>IF(OR(原始資料!$A162="",14&gt;設定!$B$3,原始資料!Q162=""),"",IF(AND(原始資料!P162&lt;&gt;"",原始資料!Q162=原始資料!P162),N(N162)+1,1))</f>
        <v/>
      </c>
      <c r="P162" s="6">
        <f>IF(OR(原始資料!$A162="",15&gt;設定!$B$3,原始資料!R162=""),"",IF(AND(原始資料!Q162&lt;&gt;"",原始資料!R162=原始資料!Q162),N(O162)+1,1))</f>
        <v/>
      </c>
      <c r="Q162" s="6">
        <f>IF(OR(原始資料!$A162="",16&gt;設定!$B$3,原始資料!S162=""),"",IF(AND(原始資料!R162&lt;&gt;"",原始資料!S162=原始資料!R162),N(P162)+1,1))</f>
        <v/>
      </c>
      <c r="R162" s="6">
        <f>IF(OR(原始資料!$A162="",17&gt;設定!$B$3,原始資料!T162=""),"",IF(AND(原始資料!S162&lt;&gt;"",原始資料!T162=原始資料!S162),N(Q162)+1,1))</f>
        <v/>
      </c>
      <c r="S162" s="6">
        <f>IF(OR(原始資料!$A162="",18&gt;設定!$B$3,原始資料!U162=""),"",IF(AND(原始資料!T162&lt;&gt;"",原始資料!U162=原始資料!T162),N(R162)+1,1))</f>
        <v/>
      </c>
      <c r="T162" s="6">
        <f>IF(OR(原始資料!$A162="",19&gt;設定!$B$3,原始資料!V162=""),"",IF(AND(原始資料!U162&lt;&gt;"",原始資料!V162=原始資料!U162),N(S162)+1,1))</f>
        <v/>
      </c>
      <c r="U162" s="6">
        <f>IF(OR(原始資料!$A162="",20&gt;設定!$B$3,原始資料!W162=""),"",IF(AND(原始資料!V162&lt;&gt;"",原始資料!W162=原始資料!V162),N(T162)+1,1))</f>
        <v/>
      </c>
      <c r="V162" s="6">
        <f>IF(OR(原始資料!$A162="",21&gt;設定!$B$3,原始資料!X162=""),"",IF(AND(原始資料!W162&lt;&gt;"",原始資料!X162=原始資料!W162),N(U162)+1,1))</f>
        <v/>
      </c>
      <c r="W162" s="6">
        <f>IF(OR(原始資料!$A162="",22&gt;設定!$B$3,原始資料!Y162=""),"",IF(AND(原始資料!X162&lt;&gt;"",原始資料!Y162=原始資料!X162),N(V162)+1,1))</f>
        <v/>
      </c>
      <c r="X162" s="6">
        <f>IF(OR(原始資料!$A162="",23&gt;設定!$B$3,原始資料!Z162=""),"",IF(AND(原始資料!Y162&lt;&gt;"",原始資料!Z162=原始資料!Y162),N(W162)+1,1))</f>
        <v/>
      </c>
      <c r="Y162" s="6">
        <f>IF(OR(原始資料!$A162="",24&gt;設定!$B$3,原始資料!AA162=""),"",IF(AND(原始資料!Z162&lt;&gt;"",原始資料!AA162=原始資料!Z162),N(X162)+1,1))</f>
        <v/>
      </c>
      <c r="Z162" s="6">
        <f>IF(OR(原始資料!$A162="",25&gt;設定!$B$3,原始資料!AB162=""),"",IF(AND(原始資料!AA162&lt;&gt;"",原始資料!AB162=原始資料!AA162),N(Y162)+1,1))</f>
        <v/>
      </c>
      <c r="AA162" s="6">
        <f>IF(OR(原始資料!$A162="",26&gt;設定!$B$3,原始資料!AC162=""),"",IF(AND(原始資料!AB162&lt;&gt;"",原始資料!AC162=原始資料!AB162),N(Z162)+1,1))</f>
        <v/>
      </c>
      <c r="AB162" s="6">
        <f>IF(OR(原始資料!$A162="",27&gt;設定!$B$3,原始資料!AD162=""),"",IF(AND(原始資料!AC162&lt;&gt;"",原始資料!AD162=原始資料!AC162),N(AA162)+1,1))</f>
        <v/>
      </c>
      <c r="AC162" s="6">
        <f>IF(OR(原始資料!$A162="",28&gt;設定!$B$3,原始資料!AE162=""),"",IF(AND(原始資料!AD162&lt;&gt;"",原始資料!AE162=原始資料!AD162),N(AB162)+1,1))</f>
        <v/>
      </c>
      <c r="AD162" s="6">
        <f>IF(OR(原始資料!$A162="",29&gt;設定!$B$3,原始資料!AF162=""),"",IF(AND(原始資料!AE162&lt;&gt;"",原始資料!AF162=原始資料!AE162),N(AC162)+1,1))</f>
        <v/>
      </c>
      <c r="AE162" s="6">
        <f>IF(OR(原始資料!$A162="",30&gt;設定!$B$3,原始資料!AG162=""),"",IF(AND(原始資料!AF162&lt;&gt;"",原始資料!AG162=原始資料!AF162),N(AD162)+1,1))</f>
        <v/>
      </c>
      <c r="AF162" s="6">
        <f>IF(OR(原始資料!$A162="",31&gt;設定!$B$3,原始資料!AH162=""),"",IF(AND(原始資料!AG162&lt;&gt;"",原始資料!AH162=原始資料!AG162),N(AE162)+1,1))</f>
        <v/>
      </c>
      <c r="AG162" s="6">
        <f>IF(OR(原始資料!$A162="",32&gt;設定!$B$3,原始資料!AI162=""),"",IF(AND(原始資料!AH162&lt;&gt;"",原始資料!AI162=原始資料!AH162),N(AF162)+1,1))</f>
        <v/>
      </c>
      <c r="AH162" s="6">
        <f>IF(OR(原始資料!$A162="",33&gt;設定!$B$3,原始資料!AJ162=""),"",IF(AND(原始資料!AI162&lt;&gt;"",原始資料!AJ162=原始資料!AI162),N(AG162)+1,1))</f>
        <v/>
      </c>
      <c r="AI162" s="6">
        <f>IF(OR(原始資料!$A162="",34&gt;設定!$B$3,原始資料!AK162=""),"",IF(AND(原始資料!AJ162&lt;&gt;"",原始資料!AK162=原始資料!AJ162),N(AH162)+1,1))</f>
        <v/>
      </c>
      <c r="AJ162" s="6">
        <f>IF(OR(原始資料!$A162="",35&gt;設定!$B$3,原始資料!AL162=""),"",IF(AND(原始資料!AK162&lt;&gt;"",原始資料!AL162=原始資料!AK162),N(AI162)+1,1))</f>
        <v/>
      </c>
      <c r="AK162" s="6">
        <f>IF(OR(原始資料!$A162="",36&gt;設定!$B$3,原始資料!AM162=""),"",IF(AND(原始資料!AL162&lt;&gt;"",原始資料!AM162=原始資料!AL162),N(AJ162)+1,1))</f>
        <v/>
      </c>
      <c r="AL162" s="6">
        <f>IF(OR(原始資料!$A162="",37&gt;設定!$B$3,原始資料!AN162=""),"",IF(AND(原始資料!AM162&lt;&gt;"",原始資料!AN162=原始資料!AM162),N(AK162)+1,1))</f>
        <v/>
      </c>
      <c r="AM162" s="6">
        <f>IF(OR(原始資料!$A162="",38&gt;設定!$B$3,原始資料!AO162=""),"",IF(AND(原始資料!AN162&lt;&gt;"",原始資料!AO162=原始資料!AN162),N(AL162)+1,1))</f>
        <v/>
      </c>
      <c r="AN162" s="6">
        <f>IF(OR(原始資料!$A162="",39&gt;設定!$B$3,原始資料!AP162=""),"",IF(AND(原始資料!AO162&lt;&gt;"",原始資料!AP162=原始資料!AO162),N(AM162)+1,1))</f>
        <v/>
      </c>
      <c r="AO162" s="6">
        <f>IF(OR(原始資料!$A162="",40&gt;設定!$B$3,原始資料!AQ162=""),"",IF(AND(原始資料!AP162&lt;&gt;"",原始資料!AQ162=原始資料!AP162),N(AN162)+1,1))</f>
        <v/>
      </c>
      <c r="AP162" s="6">
        <f>IF(OR(原始資料!$A162="",41&gt;設定!$B$3,原始資料!AR162=""),"",IF(AND(原始資料!AQ162&lt;&gt;"",原始資料!AR162=原始資料!AQ162),N(AO162)+1,1))</f>
        <v/>
      </c>
      <c r="AQ162" s="6">
        <f>IF(OR(原始資料!$A162="",42&gt;設定!$B$3,原始資料!AS162=""),"",IF(AND(原始資料!AR162&lt;&gt;"",原始資料!AS162=原始資料!AR162),N(AP162)+1,1))</f>
        <v/>
      </c>
      <c r="AR162" s="6">
        <f>IF(OR(原始資料!$A162="",43&gt;設定!$B$3,原始資料!AT162=""),"",IF(AND(原始資料!AS162&lt;&gt;"",原始資料!AT162=原始資料!AS162),N(AQ162)+1,1))</f>
        <v/>
      </c>
      <c r="AS162" s="6">
        <f>IF(OR(原始資料!$A162="",44&gt;設定!$B$3,原始資料!AU162=""),"",IF(AND(原始資料!AT162&lt;&gt;"",原始資料!AU162=原始資料!AT162),N(AR162)+1,1))</f>
        <v/>
      </c>
      <c r="AT162" s="6">
        <f>IF(OR(原始資料!$A162="",45&gt;設定!$B$3,原始資料!AV162=""),"",IF(AND(原始資料!AU162&lt;&gt;"",原始資料!AV162=原始資料!AU162),N(AS162)+1,1))</f>
        <v/>
      </c>
      <c r="AU162" s="6">
        <f>IF(OR(原始資料!$A162="",46&gt;設定!$B$3,原始資料!AW162=""),"",IF(AND(原始資料!AV162&lt;&gt;"",原始資料!AW162=原始資料!AV162),N(AT162)+1,1))</f>
        <v/>
      </c>
      <c r="AV162" s="6">
        <f>IF(OR(原始資料!$A162="",47&gt;設定!$B$3,原始資料!AX162=""),"",IF(AND(原始資料!AW162&lt;&gt;"",原始資料!AX162=原始資料!AW162),N(AU162)+1,1))</f>
        <v/>
      </c>
      <c r="AW162" s="6">
        <f>IF(OR(原始資料!$A162="",48&gt;設定!$B$3,原始資料!AY162=""),"",IF(AND(原始資料!AX162&lt;&gt;"",原始資料!AY162=原始資料!AX162),N(AV162)+1,1))</f>
        <v/>
      </c>
      <c r="AX162" s="6">
        <f>IF(OR(原始資料!$A162="",49&gt;設定!$B$3,原始資料!AZ162=""),"",IF(AND(原始資料!AY162&lt;&gt;"",原始資料!AZ162=原始資料!AY162),N(AW162)+1,1))</f>
        <v/>
      </c>
      <c r="AY162" s="6">
        <f>IF(OR(原始資料!$A162="",50&gt;設定!$B$3,原始資料!BA162=""),"",IF(AND(原始資料!AZ162&lt;&gt;"",原始資料!BA162=原始資料!AZ162),N(AX162)+1,1))</f>
        <v/>
      </c>
      <c r="AZ162" s="6">
        <f>IF(OR(原始資料!$A162="",51&gt;設定!$B$3,原始資料!BB162=""),"",IF(AND(原始資料!BA162&lt;&gt;"",原始資料!BB162=原始資料!BA162),N(AY162)+1,1))</f>
        <v/>
      </c>
      <c r="BA162" s="6">
        <f>IF(OR(原始資料!$A162="",52&gt;設定!$B$3,原始資料!BC162=""),"",IF(AND(原始資料!BB162&lt;&gt;"",原始資料!BC162=原始資料!BB162),N(AZ162)+1,1))</f>
        <v/>
      </c>
      <c r="BB162" s="6">
        <f>IF(OR(原始資料!$A162="",53&gt;設定!$B$3,原始資料!BD162=""),"",IF(AND(原始資料!BC162&lt;&gt;"",原始資料!BD162=原始資料!BC162),N(BA162)+1,1))</f>
        <v/>
      </c>
      <c r="BC162" s="6">
        <f>IF(OR(原始資料!$A162="",54&gt;設定!$B$3,原始資料!BE162=""),"",IF(AND(原始資料!BD162&lt;&gt;"",原始資料!BE162=原始資料!BD162),N(BB162)+1,1))</f>
        <v/>
      </c>
      <c r="BD162" s="6">
        <f>IF(OR(原始資料!$A162="",55&gt;設定!$B$3,原始資料!BF162=""),"",IF(AND(原始資料!BE162&lt;&gt;"",原始資料!BF162=原始資料!BE162),N(BC162)+1,1))</f>
        <v/>
      </c>
      <c r="BE162" s="6">
        <f>IF(OR(原始資料!$A162="",56&gt;設定!$B$3,原始資料!BG162=""),"",IF(AND(原始資料!BF162&lt;&gt;"",原始資料!BG162=原始資料!BF162),N(BD162)+1,1))</f>
        <v/>
      </c>
      <c r="BF162" s="6">
        <f>IF(OR(原始資料!$A162="",57&gt;設定!$B$3,原始資料!BH162=""),"",IF(AND(原始資料!BG162&lt;&gt;"",原始資料!BH162=原始資料!BG162),N(BE162)+1,1))</f>
        <v/>
      </c>
      <c r="BG162" s="6">
        <f>IF(OR(原始資料!$A162="",58&gt;設定!$B$3,原始資料!BI162=""),"",IF(AND(原始資料!BH162&lt;&gt;"",原始資料!BI162=原始資料!BH162),N(BF162)+1,1))</f>
        <v/>
      </c>
      <c r="BH162" s="6">
        <f>IF(OR(原始資料!$A162="",59&gt;設定!$B$3,原始資料!BJ162=""),"",IF(AND(原始資料!BI162&lt;&gt;"",原始資料!BJ162=原始資料!BI162),N(BG162)+1,1))</f>
        <v/>
      </c>
      <c r="BI162" s="6">
        <f>IF(OR(原始資料!$A162="",60&gt;設定!$B$3,原始資料!BK162=""),"",IF(AND(原始資料!BJ162&lt;&gt;"",原始資料!BK162=原始資料!BJ162),N(BH162)+1,1))</f>
        <v/>
      </c>
    </row>
    <row r="163">
      <c r="A163" s="6">
        <f>IF(原始資料!$A163="","",原始資料!$A163)</f>
        <v/>
      </c>
      <c r="B163" s="6">
        <f>IF(OR(原始資料!$A163="",1&gt;設定!$B$3,原始資料!D163=""),"",1)</f>
        <v/>
      </c>
      <c r="C163" s="6">
        <f>IF(OR(原始資料!$A163="",2&gt;設定!$B$3,原始資料!E163=""),"",IF(AND(原始資料!D163&lt;&gt;"",原始資料!E163=原始資料!D163),N(B163)+1,1))</f>
        <v/>
      </c>
      <c r="D163" s="6">
        <f>IF(OR(原始資料!$A163="",3&gt;設定!$B$3,原始資料!F163=""),"",IF(AND(原始資料!E163&lt;&gt;"",原始資料!F163=原始資料!E163),N(C163)+1,1))</f>
        <v/>
      </c>
      <c r="E163" s="6">
        <f>IF(OR(原始資料!$A163="",4&gt;設定!$B$3,原始資料!G163=""),"",IF(AND(原始資料!F163&lt;&gt;"",原始資料!G163=原始資料!F163),N(D163)+1,1))</f>
        <v/>
      </c>
      <c r="F163" s="6">
        <f>IF(OR(原始資料!$A163="",5&gt;設定!$B$3,原始資料!H163=""),"",IF(AND(原始資料!G163&lt;&gt;"",原始資料!H163=原始資料!G163),N(E163)+1,1))</f>
        <v/>
      </c>
      <c r="G163" s="6">
        <f>IF(OR(原始資料!$A163="",6&gt;設定!$B$3,原始資料!I163=""),"",IF(AND(原始資料!H163&lt;&gt;"",原始資料!I163=原始資料!H163),N(F163)+1,1))</f>
        <v/>
      </c>
      <c r="H163" s="6">
        <f>IF(OR(原始資料!$A163="",7&gt;設定!$B$3,原始資料!J163=""),"",IF(AND(原始資料!I163&lt;&gt;"",原始資料!J163=原始資料!I163),N(G163)+1,1))</f>
        <v/>
      </c>
      <c r="I163" s="6">
        <f>IF(OR(原始資料!$A163="",8&gt;設定!$B$3,原始資料!K163=""),"",IF(AND(原始資料!J163&lt;&gt;"",原始資料!K163=原始資料!J163),N(H163)+1,1))</f>
        <v/>
      </c>
      <c r="J163" s="6">
        <f>IF(OR(原始資料!$A163="",9&gt;設定!$B$3,原始資料!L163=""),"",IF(AND(原始資料!K163&lt;&gt;"",原始資料!L163=原始資料!K163),N(I163)+1,1))</f>
        <v/>
      </c>
      <c r="K163" s="6">
        <f>IF(OR(原始資料!$A163="",10&gt;設定!$B$3,原始資料!M163=""),"",IF(AND(原始資料!L163&lt;&gt;"",原始資料!M163=原始資料!L163),N(J163)+1,1))</f>
        <v/>
      </c>
      <c r="L163" s="6">
        <f>IF(OR(原始資料!$A163="",11&gt;設定!$B$3,原始資料!N163=""),"",IF(AND(原始資料!M163&lt;&gt;"",原始資料!N163=原始資料!M163),N(K163)+1,1))</f>
        <v/>
      </c>
      <c r="M163" s="6">
        <f>IF(OR(原始資料!$A163="",12&gt;設定!$B$3,原始資料!O163=""),"",IF(AND(原始資料!N163&lt;&gt;"",原始資料!O163=原始資料!N163),N(L163)+1,1))</f>
        <v/>
      </c>
      <c r="N163" s="6">
        <f>IF(OR(原始資料!$A163="",13&gt;設定!$B$3,原始資料!P163=""),"",IF(AND(原始資料!O163&lt;&gt;"",原始資料!P163=原始資料!O163),N(M163)+1,1))</f>
        <v/>
      </c>
      <c r="O163" s="6">
        <f>IF(OR(原始資料!$A163="",14&gt;設定!$B$3,原始資料!Q163=""),"",IF(AND(原始資料!P163&lt;&gt;"",原始資料!Q163=原始資料!P163),N(N163)+1,1))</f>
        <v/>
      </c>
      <c r="P163" s="6">
        <f>IF(OR(原始資料!$A163="",15&gt;設定!$B$3,原始資料!R163=""),"",IF(AND(原始資料!Q163&lt;&gt;"",原始資料!R163=原始資料!Q163),N(O163)+1,1))</f>
        <v/>
      </c>
      <c r="Q163" s="6">
        <f>IF(OR(原始資料!$A163="",16&gt;設定!$B$3,原始資料!S163=""),"",IF(AND(原始資料!R163&lt;&gt;"",原始資料!S163=原始資料!R163),N(P163)+1,1))</f>
        <v/>
      </c>
      <c r="R163" s="6">
        <f>IF(OR(原始資料!$A163="",17&gt;設定!$B$3,原始資料!T163=""),"",IF(AND(原始資料!S163&lt;&gt;"",原始資料!T163=原始資料!S163),N(Q163)+1,1))</f>
        <v/>
      </c>
      <c r="S163" s="6">
        <f>IF(OR(原始資料!$A163="",18&gt;設定!$B$3,原始資料!U163=""),"",IF(AND(原始資料!T163&lt;&gt;"",原始資料!U163=原始資料!T163),N(R163)+1,1))</f>
        <v/>
      </c>
      <c r="T163" s="6">
        <f>IF(OR(原始資料!$A163="",19&gt;設定!$B$3,原始資料!V163=""),"",IF(AND(原始資料!U163&lt;&gt;"",原始資料!V163=原始資料!U163),N(S163)+1,1))</f>
        <v/>
      </c>
      <c r="U163" s="6">
        <f>IF(OR(原始資料!$A163="",20&gt;設定!$B$3,原始資料!W163=""),"",IF(AND(原始資料!V163&lt;&gt;"",原始資料!W163=原始資料!V163),N(T163)+1,1))</f>
        <v/>
      </c>
      <c r="V163" s="6">
        <f>IF(OR(原始資料!$A163="",21&gt;設定!$B$3,原始資料!X163=""),"",IF(AND(原始資料!W163&lt;&gt;"",原始資料!X163=原始資料!W163),N(U163)+1,1))</f>
        <v/>
      </c>
      <c r="W163" s="6">
        <f>IF(OR(原始資料!$A163="",22&gt;設定!$B$3,原始資料!Y163=""),"",IF(AND(原始資料!X163&lt;&gt;"",原始資料!Y163=原始資料!X163),N(V163)+1,1))</f>
        <v/>
      </c>
      <c r="X163" s="6">
        <f>IF(OR(原始資料!$A163="",23&gt;設定!$B$3,原始資料!Z163=""),"",IF(AND(原始資料!Y163&lt;&gt;"",原始資料!Z163=原始資料!Y163),N(W163)+1,1))</f>
        <v/>
      </c>
      <c r="Y163" s="6">
        <f>IF(OR(原始資料!$A163="",24&gt;設定!$B$3,原始資料!AA163=""),"",IF(AND(原始資料!Z163&lt;&gt;"",原始資料!AA163=原始資料!Z163),N(X163)+1,1))</f>
        <v/>
      </c>
      <c r="Z163" s="6">
        <f>IF(OR(原始資料!$A163="",25&gt;設定!$B$3,原始資料!AB163=""),"",IF(AND(原始資料!AA163&lt;&gt;"",原始資料!AB163=原始資料!AA163),N(Y163)+1,1))</f>
        <v/>
      </c>
      <c r="AA163" s="6">
        <f>IF(OR(原始資料!$A163="",26&gt;設定!$B$3,原始資料!AC163=""),"",IF(AND(原始資料!AB163&lt;&gt;"",原始資料!AC163=原始資料!AB163),N(Z163)+1,1))</f>
        <v/>
      </c>
      <c r="AB163" s="6">
        <f>IF(OR(原始資料!$A163="",27&gt;設定!$B$3,原始資料!AD163=""),"",IF(AND(原始資料!AC163&lt;&gt;"",原始資料!AD163=原始資料!AC163),N(AA163)+1,1))</f>
        <v/>
      </c>
      <c r="AC163" s="6">
        <f>IF(OR(原始資料!$A163="",28&gt;設定!$B$3,原始資料!AE163=""),"",IF(AND(原始資料!AD163&lt;&gt;"",原始資料!AE163=原始資料!AD163),N(AB163)+1,1))</f>
        <v/>
      </c>
      <c r="AD163" s="6">
        <f>IF(OR(原始資料!$A163="",29&gt;設定!$B$3,原始資料!AF163=""),"",IF(AND(原始資料!AE163&lt;&gt;"",原始資料!AF163=原始資料!AE163),N(AC163)+1,1))</f>
        <v/>
      </c>
      <c r="AE163" s="6">
        <f>IF(OR(原始資料!$A163="",30&gt;設定!$B$3,原始資料!AG163=""),"",IF(AND(原始資料!AF163&lt;&gt;"",原始資料!AG163=原始資料!AF163),N(AD163)+1,1))</f>
        <v/>
      </c>
      <c r="AF163" s="6">
        <f>IF(OR(原始資料!$A163="",31&gt;設定!$B$3,原始資料!AH163=""),"",IF(AND(原始資料!AG163&lt;&gt;"",原始資料!AH163=原始資料!AG163),N(AE163)+1,1))</f>
        <v/>
      </c>
      <c r="AG163" s="6">
        <f>IF(OR(原始資料!$A163="",32&gt;設定!$B$3,原始資料!AI163=""),"",IF(AND(原始資料!AH163&lt;&gt;"",原始資料!AI163=原始資料!AH163),N(AF163)+1,1))</f>
        <v/>
      </c>
      <c r="AH163" s="6">
        <f>IF(OR(原始資料!$A163="",33&gt;設定!$B$3,原始資料!AJ163=""),"",IF(AND(原始資料!AI163&lt;&gt;"",原始資料!AJ163=原始資料!AI163),N(AG163)+1,1))</f>
        <v/>
      </c>
      <c r="AI163" s="6">
        <f>IF(OR(原始資料!$A163="",34&gt;設定!$B$3,原始資料!AK163=""),"",IF(AND(原始資料!AJ163&lt;&gt;"",原始資料!AK163=原始資料!AJ163),N(AH163)+1,1))</f>
        <v/>
      </c>
      <c r="AJ163" s="6">
        <f>IF(OR(原始資料!$A163="",35&gt;設定!$B$3,原始資料!AL163=""),"",IF(AND(原始資料!AK163&lt;&gt;"",原始資料!AL163=原始資料!AK163),N(AI163)+1,1))</f>
        <v/>
      </c>
      <c r="AK163" s="6">
        <f>IF(OR(原始資料!$A163="",36&gt;設定!$B$3,原始資料!AM163=""),"",IF(AND(原始資料!AL163&lt;&gt;"",原始資料!AM163=原始資料!AL163),N(AJ163)+1,1))</f>
        <v/>
      </c>
      <c r="AL163" s="6">
        <f>IF(OR(原始資料!$A163="",37&gt;設定!$B$3,原始資料!AN163=""),"",IF(AND(原始資料!AM163&lt;&gt;"",原始資料!AN163=原始資料!AM163),N(AK163)+1,1))</f>
        <v/>
      </c>
      <c r="AM163" s="6">
        <f>IF(OR(原始資料!$A163="",38&gt;設定!$B$3,原始資料!AO163=""),"",IF(AND(原始資料!AN163&lt;&gt;"",原始資料!AO163=原始資料!AN163),N(AL163)+1,1))</f>
        <v/>
      </c>
      <c r="AN163" s="6">
        <f>IF(OR(原始資料!$A163="",39&gt;設定!$B$3,原始資料!AP163=""),"",IF(AND(原始資料!AO163&lt;&gt;"",原始資料!AP163=原始資料!AO163),N(AM163)+1,1))</f>
        <v/>
      </c>
      <c r="AO163" s="6">
        <f>IF(OR(原始資料!$A163="",40&gt;設定!$B$3,原始資料!AQ163=""),"",IF(AND(原始資料!AP163&lt;&gt;"",原始資料!AQ163=原始資料!AP163),N(AN163)+1,1))</f>
        <v/>
      </c>
      <c r="AP163" s="6">
        <f>IF(OR(原始資料!$A163="",41&gt;設定!$B$3,原始資料!AR163=""),"",IF(AND(原始資料!AQ163&lt;&gt;"",原始資料!AR163=原始資料!AQ163),N(AO163)+1,1))</f>
        <v/>
      </c>
      <c r="AQ163" s="6">
        <f>IF(OR(原始資料!$A163="",42&gt;設定!$B$3,原始資料!AS163=""),"",IF(AND(原始資料!AR163&lt;&gt;"",原始資料!AS163=原始資料!AR163),N(AP163)+1,1))</f>
        <v/>
      </c>
      <c r="AR163" s="6">
        <f>IF(OR(原始資料!$A163="",43&gt;設定!$B$3,原始資料!AT163=""),"",IF(AND(原始資料!AS163&lt;&gt;"",原始資料!AT163=原始資料!AS163),N(AQ163)+1,1))</f>
        <v/>
      </c>
      <c r="AS163" s="6">
        <f>IF(OR(原始資料!$A163="",44&gt;設定!$B$3,原始資料!AU163=""),"",IF(AND(原始資料!AT163&lt;&gt;"",原始資料!AU163=原始資料!AT163),N(AR163)+1,1))</f>
        <v/>
      </c>
      <c r="AT163" s="6">
        <f>IF(OR(原始資料!$A163="",45&gt;設定!$B$3,原始資料!AV163=""),"",IF(AND(原始資料!AU163&lt;&gt;"",原始資料!AV163=原始資料!AU163),N(AS163)+1,1))</f>
        <v/>
      </c>
      <c r="AU163" s="6">
        <f>IF(OR(原始資料!$A163="",46&gt;設定!$B$3,原始資料!AW163=""),"",IF(AND(原始資料!AV163&lt;&gt;"",原始資料!AW163=原始資料!AV163),N(AT163)+1,1))</f>
        <v/>
      </c>
      <c r="AV163" s="6">
        <f>IF(OR(原始資料!$A163="",47&gt;設定!$B$3,原始資料!AX163=""),"",IF(AND(原始資料!AW163&lt;&gt;"",原始資料!AX163=原始資料!AW163),N(AU163)+1,1))</f>
        <v/>
      </c>
      <c r="AW163" s="6">
        <f>IF(OR(原始資料!$A163="",48&gt;設定!$B$3,原始資料!AY163=""),"",IF(AND(原始資料!AX163&lt;&gt;"",原始資料!AY163=原始資料!AX163),N(AV163)+1,1))</f>
        <v/>
      </c>
      <c r="AX163" s="6">
        <f>IF(OR(原始資料!$A163="",49&gt;設定!$B$3,原始資料!AZ163=""),"",IF(AND(原始資料!AY163&lt;&gt;"",原始資料!AZ163=原始資料!AY163),N(AW163)+1,1))</f>
        <v/>
      </c>
      <c r="AY163" s="6">
        <f>IF(OR(原始資料!$A163="",50&gt;設定!$B$3,原始資料!BA163=""),"",IF(AND(原始資料!AZ163&lt;&gt;"",原始資料!BA163=原始資料!AZ163),N(AX163)+1,1))</f>
        <v/>
      </c>
      <c r="AZ163" s="6">
        <f>IF(OR(原始資料!$A163="",51&gt;設定!$B$3,原始資料!BB163=""),"",IF(AND(原始資料!BA163&lt;&gt;"",原始資料!BB163=原始資料!BA163),N(AY163)+1,1))</f>
        <v/>
      </c>
      <c r="BA163" s="6">
        <f>IF(OR(原始資料!$A163="",52&gt;設定!$B$3,原始資料!BC163=""),"",IF(AND(原始資料!BB163&lt;&gt;"",原始資料!BC163=原始資料!BB163),N(AZ163)+1,1))</f>
        <v/>
      </c>
      <c r="BB163" s="6">
        <f>IF(OR(原始資料!$A163="",53&gt;設定!$B$3,原始資料!BD163=""),"",IF(AND(原始資料!BC163&lt;&gt;"",原始資料!BD163=原始資料!BC163),N(BA163)+1,1))</f>
        <v/>
      </c>
      <c r="BC163" s="6">
        <f>IF(OR(原始資料!$A163="",54&gt;設定!$B$3,原始資料!BE163=""),"",IF(AND(原始資料!BD163&lt;&gt;"",原始資料!BE163=原始資料!BD163),N(BB163)+1,1))</f>
        <v/>
      </c>
      <c r="BD163" s="6">
        <f>IF(OR(原始資料!$A163="",55&gt;設定!$B$3,原始資料!BF163=""),"",IF(AND(原始資料!BE163&lt;&gt;"",原始資料!BF163=原始資料!BE163),N(BC163)+1,1))</f>
        <v/>
      </c>
      <c r="BE163" s="6">
        <f>IF(OR(原始資料!$A163="",56&gt;設定!$B$3,原始資料!BG163=""),"",IF(AND(原始資料!BF163&lt;&gt;"",原始資料!BG163=原始資料!BF163),N(BD163)+1,1))</f>
        <v/>
      </c>
      <c r="BF163" s="6">
        <f>IF(OR(原始資料!$A163="",57&gt;設定!$B$3,原始資料!BH163=""),"",IF(AND(原始資料!BG163&lt;&gt;"",原始資料!BH163=原始資料!BG163),N(BE163)+1,1))</f>
        <v/>
      </c>
      <c r="BG163" s="6">
        <f>IF(OR(原始資料!$A163="",58&gt;設定!$B$3,原始資料!BI163=""),"",IF(AND(原始資料!BH163&lt;&gt;"",原始資料!BI163=原始資料!BH163),N(BF163)+1,1))</f>
        <v/>
      </c>
      <c r="BH163" s="6">
        <f>IF(OR(原始資料!$A163="",59&gt;設定!$B$3,原始資料!BJ163=""),"",IF(AND(原始資料!BI163&lt;&gt;"",原始資料!BJ163=原始資料!BI163),N(BG163)+1,1))</f>
        <v/>
      </c>
      <c r="BI163" s="6">
        <f>IF(OR(原始資料!$A163="",60&gt;設定!$B$3,原始資料!BK163=""),"",IF(AND(原始資料!BJ163&lt;&gt;"",原始資料!BK163=原始資料!BJ163),N(BH163)+1,1))</f>
        <v/>
      </c>
    </row>
    <row r="164">
      <c r="A164" s="6">
        <f>IF(原始資料!$A164="","",原始資料!$A164)</f>
        <v/>
      </c>
      <c r="B164" s="6">
        <f>IF(OR(原始資料!$A164="",1&gt;設定!$B$3,原始資料!D164=""),"",1)</f>
        <v/>
      </c>
      <c r="C164" s="6">
        <f>IF(OR(原始資料!$A164="",2&gt;設定!$B$3,原始資料!E164=""),"",IF(AND(原始資料!D164&lt;&gt;"",原始資料!E164=原始資料!D164),N(B164)+1,1))</f>
        <v/>
      </c>
      <c r="D164" s="6">
        <f>IF(OR(原始資料!$A164="",3&gt;設定!$B$3,原始資料!F164=""),"",IF(AND(原始資料!E164&lt;&gt;"",原始資料!F164=原始資料!E164),N(C164)+1,1))</f>
        <v/>
      </c>
      <c r="E164" s="6">
        <f>IF(OR(原始資料!$A164="",4&gt;設定!$B$3,原始資料!G164=""),"",IF(AND(原始資料!F164&lt;&gt;"",原始資料!G164=原始資料!F164),N(D164)+1,1))</f>
        <v/>
      </c>
      <c r="F164" s="6">
        <f>IF(OR(原始資料!$A164="",5&gt;設定!$B$3,原始資料!H164=""),"",IF(AND(原始資料!G164&lt;&gt;"",原始資料!H164=原始資料!G164),N(E164)+1,1))</f>
        <v/>
      </c>
      <c r="G164" s="6">
        <f>IF(OR(原始資料!$A164="",6&gt;設定!$B$3,原始資料!I164=""),"",IF(AND(原始資料!H164&lt;&gt;"",原始資料!I164=原始資料!H164),N(F164)+1,1))</f>
        <v/>
      </c>
      <c r="H164" s="6">
        <f>IF(OR(原始資料!$A164="",7&gt;設定!$B$3,原始資料!J164=""),"",IF(AND(原始資料!I164&lt;&gt;"",原始資料!J164=原始資料!I164),N(G164)+1,1))</f>
        <v/>
      </c>
      <c r="I164" s="6">
        <f>IF(OR(原始資料!$A164="",8&gt;設定!$B$3,原始資料!K164=""),"",IF(AND(原始資料!J164&lt;&gt;"",原始資料!K164=原始資料!J164),N(H164)+1,1))</f>
        <v/>
      </c>
      <c r="J164" s="6">
        <f>IF(OR(原始資料!$A164="",9&gt;設定!$B$3,原始資料!L164=""),"",IF(AND(原始資料!K164&lt;&gt;"",原始資料!L164=原始資料!K164),N(I164)+1,1))</f>
        <v/>
      </c>
      <c r="K164" s="6">
        <f>IF(OR(原始資料!$A164="",10&gt;設定!$B$3,原始資料!M164=""),"",IF(AND(原始資料!L164&lt;&gt;"",原始資料!M164=原始資料!L164),N(J164)+1,1))</f>
        <v/>
      </c>
      <c r="L164" s="6">
        <f>IF(OR(原始資料!$A164="",11&gt;設定!$B$3,原始資料!N164=""),"",IF(AND(原始資料!M164&lt;&gt;"",原始資料!N164=原始資料!M164),N(K164)+1,1))</f>
        <v/>
      </c>
      <c r="M164" s="6">
        <f>IF(OR(原始資料!$A164="",12&gt;設定!$B$3,原始資料!O164=""),"",IF(AND(原始資料!N164&lt;&gt;"",原始資料!O164=原始資料!N164),N(L164)+1,1))</f>
        <v/>
      </c>
      <c r="N164" s="6">
        <f>IF(OR(原始資料!$A164="",13&gt;設定!$B$3,原始資料!P164=""),"",IF(AND(原始資料!O164&lt;&gt;"",原始資料!P164=原始資料!O164),N(M164)+1,1))</f>
        <v/>
      </c>
      <c r="O164" s="6">
        <f>IF(OR(原始資料!$A164="",14&gt;設定!$B$3,原始資料!Q164=""),"",IF(AND(原始資料!P164&lt;&gt;"",原始資料!Q164=原始資料!P164),N(N164)+1,1))</f>
        <v/>
      </c>
      <c r="P164" s="6">
        <f>IF(OR(原始資料!$A164="",15&gt;設定!$B$3,原始資料!R164=""),"",IF(AND(原始資料!Q164&lt;&gt;"",原始資料!R164=原始資料!Q164),N(O164)+1,1))</f>
        <v/>
      </c>
      <c r="Q164" s="6">
        <f>IF(OR(原始資料!$A164="",16&gt;設定!$B$3,原始資料!S164=""),"",IF(AND(原始資料!R164&lt;&gt;"",原始資料!S164=原始資料!R164),N(P164)+1,1))</f>
        <v/>
      </c>
      <c r="R164" s="6">
        <f>IF(OR(原始資料!$A164="",17&gt;設定!$B$3,原始資料!T164=""),"",IF(AND(原始資料!S164&lt;&gt;"",原始資料!T164=原始資料!S164),N(Q164)+1,1))</f>
        <v/>
      </c>
      <c r="S164" s="6">
        <f>IF(OR(原始資料!$A164="",18&gt;設定!$B$3,原始資料!U164=""),"",IF(AND(原始資料!T164&lt;&gt;"",原始資料!U164=原始資料!T164),N(R164)+1,1))</f>
        <v/>
      </c>
      <c r="T164" s="6">
        <f>IF(OR(原始資料!$A164="",19&gt;設定!$B$3,原始資料!V164=""),"",IF(AND(原始資料!U164&lt;&gt;"",原始資料!V164=原始資料!U164),N(S164)+1,1))</f>
        <v/>
      </c>
      <c r="U164" s="6">
        <f>IF(OR(原始資料!$A164="",20&gt;設定!$B$3,原始資料!W164=""),"",IF(AND(原始資料!V164&lt;&gt;"",原始資料!W164=原始資料!V164),N(T164)+1,1))</f>
        <v/>
      </c>
      <c r="V164" s="6">
        <f>IF(OR(原始資料!$A164="",21&gt;設定!$B$3,原始資料!X164=""),"",IF(AND(原始資料!W164&lt;&gt;"",原始資料!X164=原始資料!W164),N(U164)+1,1))</f>
        <v/>
      </c>
      <c r="W164" s="6">
        <f>IF(OR(原始資料!$A164="",22&gt;設定!$B$3,原始資料!Y164=""),"",IF(AND(原始資料!X164&lt;&gt;"",原始資料!Y164=原始資料!X164),N(V164)+1,1))</f>
        <v/>
      </c>
      <c r="X164" s="6">
        <f>IF(OR(原始資料!$A164="",23&gt;設定!$B$3,原始資料!Z164=""),"",IF(AND(原始資料!Y164&lt;&gt;"",原始資料!Z164=原始資料!Y164),N(W164)+1,1))</f>
        <v/>
      </c>
      <c r="Y164" s="6">
        <f>IF(OR(原始資料!$A164="",24&gt;設定!$B$3,原始資料!AA164=""),"",IF(AND(原始資料!Z164&lt;&gt;"",原始資料!AA164=原始資料!Z164),N(X164)+1,1))</f>
        <v/>
      </c>
      <c r="Z164" s="6">
        <f>IF(OR(原始資料!$A164="",25&gt;設定!$B$3,原始資料!AB164=""),"",IF(AND(原始資料!AA164&lt;&gt;"",原始資料!AB164=原始資料!AA164),N(Y164)+1,1))</f>
        <v/>
      </c>
      <c r="AA164" s="6">
        <f>IF(OR(原始資料!$A164="",26&gt;設定!$B$3,原始資料!AC164=""),"",IF(AND(原始資料!AB164&lt;&gt;"",原始資料!AC164=原始資料!AB164),N(Z164)+1,1))</f>
        <v/>
      </c>
      <c r="AB164" s="6">
        <f>IF(OR(原始資料!$A164="",27&gt;設定!$B$3,原始資料!AD164=""),"",IF(AND(原始資料!AC164&lt;&gt;"",原始資料!AD164=原始資料!AC164),N(AA164)+1,1))</f>
        <v/>
      </c>
      <c r="AC164" s="6">
        <f>IF(OR(原始資料!$A164="",28&gt;設定!$B$3,原始資料!AE164=""),"",IF(AND(原始資料!AD164&lt;&gt;"",原始資料!AE164=原始資料!AD164),N(AB164)+1,1))</f>
        <v/>
      </c>
      <c r="AD164" s="6">
        <f>IF(OR(原始資料!$A164="",29&gt;設定!$B$3,原始資料!AF164=""),"",IF(AND(原始資料!AE164&lt;&gt;"",原始資料!AF164=原始資料!AE164),N(AC164)+1,1))</f>
        <v/>
      </c>
      <c r="AE164" s="6">
        <f>IF(OR(原始資料!$A164="",30&gt;設定!$B$3,原始資料!AG164=""),"",IF(AND(原始資料!AF164&lt;&gt;"",原始資料!AG164=原始資料!AF164),N(AD164)+1,1))</f>
        <v/>
      </c>
      <c r="AF164" s="6">
        <f>IF(OR(原始資料!$A164="",31&gt;設定!$B$3,原始資料!AH164=""),"",IF(AND(原始資料!AG164&lt;&gt;"",原始資料!AH164=原始資料!AG164),N(AE164)+1,1))</f>
        <v/>
      </c>
      <c r="AG164" s="6">
        <f>IF(OR(原始資料!$A164="",32&gt;設定!$B$3,原始資料!AI164=""),"",IF(AND(原始資料!AH164&lt;&gt;"",原始資料!AI164=原始資料!AH164),N(AF164)+1,1))</f>
        <v/>
      </c>
      <c r="AH164" s="6">
        <f>IF(OR(原始資料!$A164="",33&gt;設定!$B$3,原始資料!AJ164=""),"",IF(AND(原始資料!AI164&lt;&gt;"",原始資料!AJ164=原始資料!AI164),N(AG164)+1,1))</f>
        <v/>
      </c>
      <c r="AI164" s="6">
        <f>IF(OR(原始資料!$A164="",34&gt;設定!$B$3,原始資料!AK164=""),"",IF(AND(原始資料!AJ164&lt;&gt;"",原始資料!AK164=原始資料!AJ164),N(AH164)+1,1))</f>
        <v/>
      </c>
      <c r="AJ164" s="6">
        <f>IF(OR(原始資料!$A164="",35&gt;設定!$B$3,原始資料!AL164=""),"",IF(AND(原始資料!AK164&lt;&gt;"",原始資料!AL164=原始資料!AK164),N(AI164)+1,1))</f>
        <v/>
      </c>
      <c r="AK164" s="6">
        <f>IF(OR(原始資料!$A164="",36&gt;設定!$B$3,原始資料!AM164=""),"",IF(AND(原始資料!AL164&lt;&gt;"",原始資料!AM164=原始資料!AL164),N(AJ164)+1,1))</f>
        <v/>
      </c>
      <c r="AL164" s="6">
        <f>IF(OR(原始資料!$A164="",37&gt;設定!$B$3,原始資料!AN164=""),"",IF(AND(原始資料!AM164&lt;&gt;"",原始資料!AN164=原始資料!AM164),N(AK164)+1,1))</f>
        <v/>
      </c>
      <c r="AM164" s="6">
        <f>IF(OR(原始資料!$A164="",38&gt;設定!$B$3,原始資料!AO164=""),"",IF(AND(原始資料!AN164&lt;&gt;"",原始資料!AO164=原始資料!AN164),N(AL164)+1,1))</f>
        <v/>
      </c>
      <c r="AN164" s="6">
        <f>IF(OR(原始資料!$A164="",39&gt;設定!$B$3,原始資料!AP164=""),"",IF(AND(原始資料!AO164&lt;&gt;"",原始資料!AP164=原始資料!AO164),N(AM164)+1,1))</f>
        <v/>
      </c>
      <c r="AO164" s="6">
        <f>IF(OR(原始資料!$A164="",40&gt;設定!$B$3,原始資料!AQ164=""),"",IF(AND(原始資料!AP164&lt;&gt;"",原始資料!AQ164=原始資料!AP164),N(AN164)+1,1))</f>
        <v/>
      </c>
      <c r="AP164" s="6">
        <f>IF(OR(原始資料!$A164="",41&gt;設定!$B$3,原始資料!AR164=""),"",IF(AND(原始資料!AQ164&lt;&gt;"",原始資料!AR164=原始資料!AQ164),N(AO164)+1,1))</f>
        <v/>
      </c>
      <c r="AQ164" s="6">
        <f>IF(OR(原始資料!$A164="",42&gt;設定!$B$3,原始資料!AS164=""),"",IF(AND(原始資料!AR164&lt;&gt;"",原始資料!AS164=原始資料!AR164),N(AP164)+1,1))</f>
        <v/>
      </c>
      <c r="AR164" s="6">
        <f>IF(OR(原始資料!$A164="",43&gt;設定!$B$3,原始資料!AT164=""),"",IF(AND(原始資料!AS164&lt;&gt;"",原始資料!AT164=原始資料!AS164),N(AQ164)+1,1))</f>
        <v/>
      </c>
      <c r="AS164" s="6">
        <f>IF(OR(原始資料!$A164="",44&gt;設定!$B$3,原始資料!AU164=""),"",IF(AND(原始資料!AT164&lt;&gt;"",原始資料!AU164=原始資料!AT164),N(AR164)+1,1))</f>
        <v/>
      </c>
      <c r="AT164" s="6">
        <f>IF(OR(原始資料!$A164="",45&gt;設定!$B$3,原始資料!AV164=""),"",IF(AND(原始資料!AU164&lt;&gt;"",原始資料!AV164=原始資料!AU164),N(AS164)+1,1))</f>
        <v/>
      </c>
      <c r="AU164" s="6">
        <f>IF(OR(原始資料!$A164="",46&gt;設定!$B$3,原始資料!AW164=""),"",IF(AND(原始資料!AV164&lt;&gt;"",原始資料!AW164=原始資料!AV164),N(AT164)+1,1))</f>
        <v/>
      </c>
      <c r="AV164" s="6">
        <f>IF(OR(原始資料!$A164="",47&gt;設定!$B$3,原始資料!AX164=""),"",IF(AND(原始資料!AW164&lt;&gt;"",原始資料!AX164=原始資料!AW164),N(AU164)+1,1))</f>
        <v/>
      </c>
      <c r="AW164" s="6">
        <f>IF(OR(原始資料!$A164="",48&gt;設定!$B$3,原始資料!AY164=""),"",IF(AND(原始資料!AX164&lt;&gt;"",原始資料!AY164=原始資料!AX164),N(AV164)+1,1))</f>
        <v/>
      </c>
      <c r="AX164" s="6">
        <f>IF(OR(原始資料!$A164="",49&gt;設定!$B$3,原始資料!AZ164=""),"",IF(AND(原始資料!AY164&lt;&gt;"",原始資料!AZ164=原始資料!AY164),N(AW164)+1,1))</f>
        <v/>
      </c>
      <c r="AY164" s="6">
        <f>IF(OR(原始資料!$A164="",50&gt;設定!$B$3,原始資料!BA164=""),"",IF(AND(原始資料!AZ164&lt;&gt;"",原始資料!BA164=原始資料!AZ164),N(AX164)+1,1))</f>
        <v/>
      </c>
      <c r="AZ164" s="6">
        <f>IF(OR(原始資料!$A164="",51&gt;設定!$B$3,原始資料!BB164=""),"",IF(AND(原始資料!BA164&lt;&gt;"",原始資料!BB164=原始資料!BA164),N(AY164)+1,1))</f>
        <v/>
      </c>
      <c r="BA164" s="6">
        <f>IF(OR(原始資料!$A164="",52&gt;設定!$B$3,原始資料!BC164=""),"",IF(AND(原始資料!BB164&lt;&gt;"",原始資料!BC164=原始資料!BB164),N(AZ164)+1,1))</f>
        <v/>
      </c>
      <c r="BB164" s="6">
        <f>IF(OR(原始資料!$A164="",53&gt;設定!$B$3,原始資料!BD164=""),"",IF(AND(原始資料!BC164&lt;&gt;"",原始資料!BD164=原始資料!BC164),N(BA164)+1,1))</f>
        <v/>
      </c>
      <c r="BC164" s="6">
        <f>IF(OR(原始資料!$A164="",54&gt;設定!$B$3,原始資料!BE164=""),"",IF(AND(原始資料!BD164&lt;&gt;"",原始資料!BE164=原始資料!BD164),N(BB164)+1,1))</f>
        <v/>
      </c>
      <c r="BD164" s="6">
        <f>IF(OR(原始資料!$A164="",55&gt;設定!$B$3,原始資料!BF164=""),"",IF(AND(原始資料!BE164&lt;&gt;"",原始資料!BF164=原始資料!BE164),N(BC164)+1,1))</f>
        <v/>
      </c>
      <c r="BE164" s="6">
        <f>IF(OR(原始資料!$A164="",56&gt;設定!$B$3,原始資料!BG164=""),"",IF(AND(原始資料!BF164&lt;&gt;"",原始資料!BG164=原始資料!BF164),N(BD164)+1,1))</f>
        <v/>
      </c>
      <c r="BF164" s="6">
        <f>IF(OR(原始資料!$A164="",57&gt;設定!$B$3,原始資料!BH164=""),"",IF(AND(原始資料!BG164&lt;&gt;"",原始資料!BH164=原始資料!BG164),N(BE164)+1,1))</f>
        <v/>
      </c>
      <c r="BG164" s="6">
        <f>IF(OR(原始資料!$A164="",58&gt;設定!$B$3,原始資料!BI164=""),"",IF(AND(原始資料!BH164&lt;&gt;"",原始資料!BI164=原始資料!BH164),N(BF164)+1,1))</f>
        <v/>
      </c>
      <c r="BH164" s="6">
        <f>IF(OR(原始資料!$A164="",59&gt;設定!$B$3,原始資料!BJ164=""),"",IF(AND(原始資料!BI164&lt;&gt;"",原始資料!BJ164=原始資料!BI164),N(BG164)+1,1))</f>
        <v/>
      </c>
      <c r="BI164" s="6">
        <f>IF(OR(原始資料!$A164="",60&gt;設定!$B$3,原始資料!BK164=""),"",IF(AND(原始資料!BJ164&lt;&gt;"",原始資料!BK164=原始資料!BJ164),N(BH164)+1,1))</f>
        <v/>
      </c>
    </row>
    <row r="165">
      <c r="A165" s="6">
        <f>IF(原始資料!$A165="","",原始資料!$A165)</f>
        <v/>
      </c>
      <c r="B165" s="6">
        <f>IF(OR(原始資料!$A165="",1&gt;設定!$B$3,原始資料!D165=""),"",1)</f>
        <v/>
      </c>
      <c r="C165" s="6">
        <f>IF(OR(原始資料!$A165="",2&gt;設定!$B$3,原始資料!E165=""),"",IF(AND(原始資料!D165&lt;&gt;"",原始資料!E165=原始資料!D165),N(B165)+1,1))</f>
        <v/>
      </c>
      <c r="D165" s="6">
        <f>IF(OR(原始資料!$A165="",3&gt;設定!$B$3,原始資料!F165=""),"",IF(AND(原始資料!E165&lt;&gt;"",原始資料!F165=原始資料!E165),N(C165)+1,1))</f>
        <v/>
      </c>
      <c r="E165" s="6">
        <f>IF(OR(原始資料!$A165="",4&gt;設定!$B$3,原始資料!G165=""),"",IF(AND(原始資料!F165&lt;&gt;"",原始資料!G165=原始資料!F165),N(D165)+1,1))</f>
        <v/>
      </c>
      <c r="F165" s="6">
        <f>IF(OR(原始資料!$A165="",5&gt;設定!$B$3,原始資料!H165=""),"",IF(AND(原始資料!G165&lt;&gt;"",原始資料!H165=原始資料!G165),N(E165)+1,1))</f>
        <v/>
      </c>
      <c r="G165" s="6">
        <f>IF(OR(原始資料!$A165="",6&gt;設定!$B$3,原始資料!I165=""),"",IF(AND(原始資料!H165&lt;&gt;"",原始資料!I165=原始資料!H165),N(F165)+1,1))</f>
        <v/>
      </c>
      <c r="H165" s="6">
        <f>IF(OR(原始資料!$A165="",7&gt;設定!$B$3,原始資料!J165=""),"",IF(AND(原始資料!I165&lt;&gt;"",原始資料!J165=原始資料!I165),N(G165)+1,1))</f>
        <v/>
      </c>
      <c r="I165" s="6">
        <f>IF(OR(原始資料!$A165="",8&gt;設定!$B$3,原始資料!K165=""),"",IF(AND(原始資料!J165&lt;&gt;"",原始資料!K165=原始資料!J165),N(H165)+1,1))</f>
        <v/>
      </c>
      <c r="J165" s="6">
        <f>IF(OR(原始資料!$A165="",9&gt;設定!$B$3,原始資料!L165=""),"",IF(AND(原始資料!K165&lt;&gt;"",原始資料!L165=原始資料!K165),N(I165)+1,1))</f>
        <v/>
      </c>
      <c r="K165" s="6">
        <f>IF(OR(原始資料!$A165="",10&gt;設定!$B$3,原始資料!M165=""),"",IF(AND(原始資料!L165&lt;&gt;"",原始資料!M165=原始資料!L165),N(J165)+1,1))</f>
        <v/>
      </c>
      <c r="L165" s="6">
        <f>IF(OR(原始資料!$A165="",11&gt;設定!$B$3,原始資料!N165=""),"",IF(AND(原始資料!M165&lt;&gt;"",原始資料!N165=原始資料!M165),N(K165)+1,1))</f>
        <v/>
      </c>
      <c r="M165" s="6">
        <f>IF(OR(原始資料!$A165="",12&gt;設定!$B$3,原始資料!O165=""),"",IF(AND(原始資料!N165&lt;&gt;"",原始資料!O165=原始資料!N165),N(L165)+1,1))</f>
        <v/>
      </c>
      <c r="N165" s="6">
        <f>IF(OR(原始資料!$A165="",13&gt;設定!$B$3,原始資料!P165=""),"",IF(AND(原始資料!O165&lt;&gt;"",原始資料!P165=原始資料!O165),N(M165)+1,1))</f>
        <v/>
      </c>
      <c r="O165" s="6">
        <f>IF(OR(原始資料!$A165="",14&gt;設定!$B$3,原始資料!Q165=""),"",IF(AND(原始資料!P165&lt;&gt;"",原始資料!Q165=原始資料!P165),N(N165)+1,1))</f>
        <v/>
      </c>
      <c r="P165" s="6">
        <f>IF(OR(原始資料!$A165="",15&gt;設定!$B$3,原始資料!R165=""),"",IF(AND(原始資料!Q165&lt;&gt;"",原始資料!R165=原始資料!Q165),N(O165)+1,1))</f>
        <v/>
      </c>
      <c r="Q165" s="6">
        <f>IF(OR(原始資料!$A165="",16&gt;設定!$B$3,原始資料!S165=""),"",IF(AND(原始資料!R165&lt;&gt;"",原始資料!S165=原始資料!R165),N(P165)+1,1))</f>
        <v/>
      </c>
      <c r="R165" s="6">
        <f>IF(OR(原始資料!$A165="",17&gt;設定!$B$3,原始資料!T165=""),"",IF(AND(原始資料!S165&lt;&gt;"",原始資料!T165=原始資料!S165),N(Q165)+1,1))</f>
        <v/>
      </c>
      <c r="S165" s="6">
        <f>IF(OR(原始資料!$A165="",18&gt;設定!$B$3,原始資料!U165=""),"",IF(AND(原始資料!T165&lt;&gt;"",原始資料!U165=原始資料!T165),N(R165)+1,1))</f>
        <v/>
      </c>
      <c r="T165" s="6">
        <f>IF(OR(原始資料!$A165="",19&gt;設定!$B$3,原始資料!V165=""),"",IF(AND(原始資料!U165&lt;&gt;"",原始資料!V165=原始資料!U165),N(S165)+1,1))</f>
        <v/>
      </c>
      <c r="U165" s="6">
        <f>IF(OR(原始資料!$A165="",20&gt;設定!$B$3,原始資料!W165=""),"",IF(AND(原始資料!V165&lt;&gt;"",原始資料!W165=原始資料!V165),N(T165)+1,1))</f>
        <v/>
      </c>
      <c r="V165" s="6">
        <f>IF(OR(原始資料!$A165="",21&gt;設定!$B$3,原始資料!X165=""),"",IF(AND(原始資料!W165&lt;&gt;"",原始資料!X165=原始資料!W165),N(U165)+1,1))</f>
        <v/>
      </c>
      <c r="W165" s="6">
        <f>IF(OR(原始資料!$A165="",22&gt;設定!$B$3,原始資料!Y165=""),"",IF(AND(原始資料!X165&lt;&gt;"",原始資料!Y165=原始資料!X165),N(V165)+1,1))</f>
        <v/>
      </c>
      <c r="X165" s="6">
        <f>IF(OR(原始資料!$A165="",23&gt;設定!$B$3,原始資料!Z165=""),"",IF(AND(原始資料!Y165&lt;&gt;"",原始資料!Z165=原始資料!Y165),N(W165)+1,1))</f>
        <v/>
      </c>
      <c r="Y165" s="6">
        <f>IF(OR(原始資料!$A165="",24&gt;設定!$B$3,原始資料!AA165=""),"",IF(AND(原始資料!Z165&lt;&gt;"",原始資料!AA165=原始資料!Z165),N(X165)+1,1))</f>
        <v/>
      </c>
      <c r="Z165" s="6">
        <f>IF(OR(原始資料!$A165="",25&gt;設定!$B$3,原始資料!AB165=""),"",IF(AND(原始資料!AA165&lt;&gt;"",原始資料!AB165=原始資料!AA165),N(Y165)+1,1))</f>
        <v/>
      </c>
      <c r="AA165" s="6">
        <f>IF(OR(原始資料!$A165="",26&gt;設定!$B$3,原始資料!AC165=""),"",IF(AND(原始資料!AB165&lt;&gt;"",原始資料!AC165=原始資料!AB165),N(Z165)+1,1))</f>
        <v/>
      </c>
      <c r="AB165" s="6">
        <f>IF(OR(原始資料!$A165="",27&gt;設定!$B$3,原始資料!AD165=""),"",IF(AND(原始資料!AC165&lt;&gt;"",原始資料!AD165=原始資料!AC165),N(AA165)+1,1))</f>
        <v/>
      </c>
      <c r="AC165" s="6">
        <f>IF(OR(原始資料!$A165="",28&gt;設定!$B$3,原始資料!AE165=""),"",IF(AND(原始資料!AD165&lt;&gt;"",原始資料!AE165=原始資料!AD165),N(AB165)+1,1))</f>
        <v/>
      </c>
      <c r="AD165" s="6">
        <f>IF(OR(原始資料!$A165="",29&gt;設定!$B$3,原始資料!AF165=""),"",IF(AND(原始資料!AE165&lt;&gt;"",原始資料!AF165=原始資料!AE165),N(AC165)+1,1))</f>
        <v/>
      </c>
      <c r="AE165" s="6">
        <f>IF(OR(原始資料!$A165="",30&gt;設定!$B$3,原始資料!AG165=""),"",IF(AND(原始資料!AF165&lt;&gt;"",原始資料!AG165=原始資料!AF165),N(AD165)+1,1))</f>
        <v/>
      </c>
      <c r="AF165" s="6">
        <f>IF(OR(原始資料!$A165="",31&gt;設定!$B$3,原始資料!AH165=""),"",IF(AND(原始資料!AG165&lt;&gt;"",原始資料!AH165=原始資料!AG165),N(AE165)+1,1))</f>
        <v/>
      </c>
      <c r="AG165" s="6">
        <f>IF(OR(原始資料!$A165="",32&gt;設定!$B$3,原始資料!AI165=""),"",IF(AND(原始資料!AH165&lt;&gt;"",原始資料!AI165=原始資料!AH165),N(AF165)+1,1))</f>
        <v/>
      </c>
      <c r="AH165" s="6">
        <f>IF(OR(原始資料!$A165="",33&gt;設定!$B$3,原始資料!AJ165=""),"",IF(AND(原始資料!AI165&lt;&gt;"",原始資料!AJ165=原始資料!AI165),N(AG165)+1,1))</f>
        <v/>
      </c>
      <c r="AI165" s="6">
        <f>IF(OR(原始資料!$A165="",34&gt;設定!$B$3,原始資料!AK165=""),"",IF(AND(原始資料!AJ165&lt;&gt;"",原始資料!AK165=原始資料!AJ165),N(AH165)+1,1))</f>
        <v/>
      </c>
      <c r="AJ165" s="6">
        <f>IF(OR(原始資料!$A165="",35&gt;設定!$B$3,原始資料!AL165=""),"",IF(AND(原始資料!AK165&lt;&gt;"",原始資料!AL165=原始資料!AK165),N(AI165)+1,1))</f>
        <v/>
      </c>
      <c r="AK165" s="6">
        <f>IF(OR(原始資料!$A165="",36&gt;設定!$B$3,原始資料!AM165=""),"",IF(AND(原始資料!AL165&lt;&gt;"",原始資料!AM165=原始資料!AL165),N(AJ165)+1,1))</f>
        <v/>
      </c>
      <c r="AL165" s="6">
        <f>IF(OR(原始資料!$A165="",37&gt;設定!$B$3,原始資料!AN165=""),"",IF(AND(原始資料!AM165&lt;&gt;"",原始資料!AN165=原始資料!AM165),N(AK165)+1,1))</f>
        <v/>
      </c>
      <c r="AM165" s="6">
        <f>IF(OR(原始資料!$A165="",38&gt;設定!$B$3,原始資料!AO165=""),"",IF(AND(原始資料!AN165&lt;&gt;"",原始資料!AO165=原始資料!AN165),N(AL165)+1,1))</f>
        <v/>
      </c>
      <c r="AN165" s="6">
        <f>IF(OR(原始資料!$A165="",39&gt;設定!$B$3,原始資料!AP165=""),"",IF(AND(原始資料!AO165&lt;&gt;"",原始資料!AP165=原始資料!AO165),N(AM165)+1,1))</f>
        <v/>
      </c>
      <c r="AO165" s="6">
        <f>IF(OR(原始資料!$A165="",40&gt;設定!$B$3,原始資料!AQ165=""),"",IF(AND(原始資料!AP165&lt;&gt;"",原始資料!AQ165=原始資料!AP165),N(AN165)+1,1))</f>
        <v/>
      </c>
      <c r="AP165" s="6">
        <f>IF(OR(原始資料!$A165="",41&gt;設定!$B$3,原始資料!AR165=""),"",IF(AND(原始資料!AQ165&lt;&gt;"",原始資料!AR165=原始資料!AQ165),N(AO165)+1,1))</f>
        <v/>
      </c>
      <c r="AQ165" s="6">
        <f>IF(OR(原始資料!$A165="",42&gt;設定!$B$3,原始資料!AS165=""),"",IF(AND(原始資料!AR165&lt;&gt;"",原始資料!AS165=原始資料!AR165),N(AP165)+1,1))</f>
        <v/>
      </c>
      <c r="AR165" s="6">
        <f>IF(OR(原始資料!$A165="",43&gt;設定!$B$3,原始資料!AT165=""),"",IF(AND(原始資料!AS165&lt;&gt;"",原始資料!AT165=原始資料!AS165),N(AQ165)+1,1))</f>
        <v/>
      </c>
      <c r="AS165" s="6">
        <f>IF(OR(原始資料!$A165="",44&gt;設定!$B$3,原始資料!AU165=""),"",IF(AND(原始資料!AT165&lt;&gt;"",原始資料!AU165=原始資料!AT165),N(AR165)+1,1))</f>
        <v/>
      </c>
      <c r="AT165" s="6">
        <f>IF(OR(原始資料!$A165="",45&gt;設定!$B$3,原始資料!AV165=""),"",IF(AND(原始資料!AU165&lt;&gt;"",原始資料!AV165=原始資料!AU165),N(AS165)+1,1))</f>
        <v/>
      </c>
      <c r="AU165" s="6">
        <f>IF(OR(原始資料!$A165="",46&gt;設定!$B$3,原始資料!AW165=""),"",IF(AND(原始資料!AV165&lt;&gt;"",原始資料!AW165=原始資料!AV165),N(AT165)+1,1))</f>
        <v/>
      </c>
      <c r="AV165" s="6">
        <f>IF(OR(原始資料!$A165="",47&gt;設定!$B$3,原始資料!AX165=""),"",IF(AND(原始資料!AW165&lt;&gt;"",原始資料!AX165=原始資料!AW165),N(AU165)+1,1))</f>
        <v/>
      </c>
      <c r="AW165" s="6">
        <f>IF(OR(原始資料!$A165="",48&gt;設定!$B$3,原始資料!AY165=""),"",IF(AND(原始資料!AX165&lt;&gt;"",原始資料!AY165=原始資料!AX165),N(AV165)+1,1))</f>
        <v/>
      </c>
      <c r="AX165" s="6">
        <f>IF(OR(原始資料!$A165="",49&gt;設定!$B$3,原始資料!AZ165=""),"",IF(AND(原始資料!AY165&lt;&gt;"",原始資料!AZ165=原始資料!AY165),N(AW165)+1,1))</f>
        <v/>
      </c>
      <c r="AY165" s="6">
        <f>IF(OR(原始資料!$A165="",50&gt;設定!$B$3,原始資料!BA165=""),"",IF(AND(原始資料!AZ165&lt;&gt;"",原始資料!BA165=原始資料!AZ165),N(AX165)+1,1))</f>
        <v/>
      </c>
      <c r="AZ165" s="6">
        <f>IF(OR(原始資料!$A165="",51&gt;設定!$B$3,原始資料!BB165=""),"",IF(AND(原始資料!BA165&lt;&gt;"",原始資料!BB165=原始資料!BA165),N(AY165)+1,1))</f>
        <v/>
      </c>
      <c r="BA165" s="6">
        <f>IF(OR(原始資料!$A165="",52&gt;設定!$B$3,原始資料!BC165=""),"",IF(AND(原始資料!BB165&lt;&gt;"",原始資料!BC165=原始資料!BB165),N(AZ165)+1,1))</f>
        <v/>
      </c>
      <c r="BB165" s="6">
        <f>IF(OR(原始資料!$A165="",53&gt;設定!$B$3,原始資料!BD165=""),"",IF(AND(原始資料!BC165&lt;&gt;"",原始資料!BD165=原始資料!BC165),N(BA165)+1,1))</f>
        <v/>
      </c>
      <c r="BC165" s="6">
        <f>IF(OR(原始資料!$A165="",54&gt;設定!$B$3,原始資料!BE165=""),"",IF(AND(原始資料!BD165&lt;&gt;"",原始資料!BE165=原始資料!BD165),N(BB165)+1,1))</f>
        <v/>
      </c>
      <c r="BD165" s="6">
        <f>IF(OR(原始資料!$A165="",55&gt;設定!$B$3,原始資料!BF165=""),"",IF(AND(原始資料!BE165&lt;&gt;"",原始資料!BF165=原始資料!BE165),N(BC165)+1,1))</f>
        <v/>
      </c>
      <c r="BE165" s="6">
        <f>IF(OR(原始資料!$A165="",56&gt;設定!$B$3,原始資料!BG165=""),"",IF(AND(原始資料!BF165&lt;&gt;"",原始資料!BG165=原始資料!BF165),N(BD165)+1,1))</f>
        <v/>
      </c>
      <c r="BF165" s="6">
        <f>IF(OR(原始資料!$A165="",57&gt;設定!$B$3,原始資料!BH165=""),"",IF(AND(原始資料!BG165&lt;&gt;"",原始資料!BH165=原始資料!BG165),N(BE165)+1,1))</f>
        <v/>
      </c>
      <c r="BG165" s="6">
        <f>IF(OR(原始資料!$A165="",58&gt;設定!$B$3,原始資料!BI165=""),"",IF(AND(原始資料!BH165&lt;&gt;"",原始資料!BI165=原始資料!BH165),N(BF165)+1,1))</f>
        <v/>
      </c>
      <c r="BH165" s="6">
        <f>IF(OR(原始資料!$A165="",59&gt;設定!$B$3,原始資料!BJ165=""),"",IF(AND(原始資料!BI165&lt;&gt;"",原始資料!BJ165=原始資料!BI165),N(BG165)+1,1))</f>
        <v/>
      </c>
      <c r="BI165" s="6">
        <f>IF(OR(原始資料!$A165="",60&gt;設定!$B$3,原始資料!BK165=""),"",IF(AND(原始資料!BJ165&lt;&gt;"",原始資料!BK165=原始資料!BJ165),N(BH165)+1,1))</f>
        <v/>
      </c>
    </row>
    <row r="166">
      <c r="A166" s="6">
        <f>IF(原始資料!$A166="","",原始資料!$A166)</f>
        <v/>
      </c>
      <c r="B166" s="6">
        <f>IF(OR(原始資料!$A166="",1&gt;設定!$B$3,原始資料!D166=""),"",1)</f>
        <v/>
      </c>
      <c r="C166" s="6">
        <f>IF(OR(原始資料!$A166="",2&gt;設定!$B$3,原始資料!E166=""),"",IF(AND(原始資料!D166&lt;&gt;"",原始資料!E166=原始資料!D166),N(B166)+1,1))</f>
        <v/>
      </c>
      <c r="D166" s="6">
        <f>IF(OR(原始資料!$A166="",3&gt;設定!$B$3,原始資料!F166=""),"",IF(AND(原始資料!E166&lt;&gt;"",原始資料!F166=原始資料!E166),N(C166)+1,1))</f>
        <v/>
      </c>
      <c r="E166" s="6">
        <f>IF(OR(原始資料!$A166="",4&gt;設定!$B$3,原始資料!G166=""),"",IF(AND(原始資料!F166&lt;&gt;"",原始資料!G166=原始資料!F166),N(D166)+1,1))</f>
        <v/>
      </c>
      <c r="F166" s="6">
        <f>IF(OR(原始資料!$A166="",5&gt;設定!$B$3,原始資料!H166=""),"",IF(AND(原始資料!G166&lt;&gt;"",原始資料!H166=原始資料!G166),N(E166)+1,1))</f>
        <v/>
      </c>
      <c r="G166" s="6">
        <f>IF(OR(原始資料!$A166="",6&gt;設定!$B$3,原始資料!I166=""),"",IF(AND(原始資料!H166&lt;&gt;"",原始資料!I166=原始資料!H166),N(F166)+1,1))</f>
        <v/>
      </c>
      <c r="H166" s="6">
        <f>IF(OR(原始資料!$A166="",7&gt;設定!$B$3,原始資料!J166=""),"",IF(AND(原始資料!I166&lt;&gt;"",原始資料!J166=原始資料!I166),N(G166)+1,1))</f>
        <v/>
      </c>
      <c r="I166" s="6">
        <f>IF(OR(原始資料!$A166="",8&gt;設定!$B$3,原始資料!K166=""),"",IF(AND(原始資料!J166&lt;&gt;"",原始資料!K166=原始資料!J166),N(H166)+1,1))</f>
        <v/>
      </c>
      <c r="J166" s="6">
        <f>IF(OR(原始資料!$A166="",9&gt;設定!$B$3,原始資料!L166=""),"",IF(AND(原始資料!K166&lt;&gt;"",原始資料!L166=原始資料!K166),N(I166)+1,1))</f>
        <v/>
      </c>
      <c r="K166" s="6">
        <f>IF(OR(原始資料!$A166="",10&gt;設定!$B$3,原始資料!M166=""),"",IF(AND(原始資料!L166&lt;&gt;"",原始資料!M166=原始資料!L166),N(J166)+1,1))</f>
        <v/>
      </c>
      <c r="L166" s="6">
        <f>IF(OR(原始資料!$A166="",11&gt;設定!$B$3,原始資料!N166=""),"",IF(AND(原始資料!M166&lt;&gt;"",原始資料!N166=原始資料!M166),N(K166)+1,1))</f>
        <v/>
      </c>
      <c r="M166" s="6">
        <f>IF(OR(原始資料!$A166="",12&gt;設定!$B$3,原始資料!O166=""),"",IF(AND(原始資料!N166&lt;&gt;"",原始資料!O166=原始資料!N166),N(L166)+1,1))</f>
        <v/>
      </c>
      <c r="N166" s="6">
        <f>IF(OR(原始資料!$A166="",13&gt;設定!$B$3,原始資料!P166=""),"",IF(AND(原始資料!O166&lt;&gt;"",原始資料!P166=原始資料!O166),N(M166)+1,1))</f>
        <v/>
      </c>
      <c r="O166" s="6">
        <f>IF(OR(原始資料!$A166="",14&gt;設定!$B$3,原始資料!Q166=""),"",IF(AND(原始資料!P166&lt;&gt;"",原始資料!Q166=原始資料!P166),N(N166)+1,1))</f>
        <v/>
      </c>
      <c r="P166" s="6">
        <f>IF(OR(原始資料!$A166="",15&gt;設定!$B$3,原始資料!R166=""),"",IF(AND(原始資料!Q166&lt;&gt;"",原始資料!R166=原始資料!Q166),N(O166)+1,1))</f>
        <v/>
      </c>
      <c r="Q166" s="6">
        <f>IF(OR(原始資料!$A166="",16&gt;設定!$B$3,原始資料!S166=""),"",IF(AND(原始資料!R166&lt;&gt;"",原始資料!S166=原始資料!R166),N(P166)+1,1))</f>
        <v/>
      </c>
      <c r="R166" s="6">
        <f>IF(OR(原始資料!$A166="",17&gt;設定!$B$3,原始資料!T166=""),"",IF(AND(原始資料!S166&lt;&gt;"",原始資料!T166=原始資料!S166),N(Q166)+1,1))</f>
        <v/>
      </c>
      <c r="S166" s="6">
        <f>IF(OR(原始資料!$A166="",18&gt;設定!$B$3,原始資料!U166=""),"",IF(AND(原始資料!T166&lt;&gt;"",原始資料!U166=原始資料!T166),N(R166)+1,1))</f>
        <v/>
      </c>
      <c r="T166" s="6">
        <f>IF(OR(原始資料!$A166="",19&gt;設定!$B$3,原始資料!V166=""),"",IF(AND(原始資料!U166&lt;&gt;"",原始資料!V166=原始資料!U166),N(S166)+1,1))</f>
        <v/>
      </c>
      <c r="U166" s="6">
        <f>IF(OR(原始資料!$A166="",20&gt;設定!$B$3,原始資料!W166=""),"",IF(AND(原始資料!V166&lt;&gt;"",原始資料!W166=原始資料!V166),N(T166)+1,1))</f>
        <v/>
      </c>
      <c r="V166" s="6">
        <f>IF(OR(原始資料!$A166="",21&gt;設定!$B$3,原始資料!X166=""),"",IF(AND(原始資料!W166&lt;&gt;"",原始資料!X166=原始資料!W166),N(U166)+1,1))</f>
        <v/>
      </c>
      <c r="W166" s="6">
        <f>IF(OR(原始資料!$A166="",22&gt;設定!$B$3,原始資料!Y166=""),"",IF(AND(原始資料!X166&lt;&gt;"",原始資料!Y166=原始資料!X166),N(V166)+1,1))</f>
        <v/>
      </c>
      <c r="X166" s="6">
        <f>IF(OR(原始資料!$A166="",23&gt;設定!$B$3,原始資料!Z166=""),"",IF(AND(原始資料!Y166&lt;&gt;"",原始資料!Z166=原始資料!Y166),N(W166)+1,1))</f>
        <v/>
      </c>
      <c r="Y166" s="6">
        <f>IF(OR(原始資料!$A166="",24&gt;設定!$B$3,原始資料!AA166=""),"",IF(AND(原始資料!Z166&lt;&gt;"",原始資料!AA166=原始資料!Z166),N(X166)+1,1))</f>
        <v/>
      </c>
      <c r="Z166" s="6">
        <f>IF(OR(原始資料!$A166="",25&gt;設定!$B$3,原始資料!AB166=""),"",IF(AND(原始資料!AA166&lt;&gt;"",原始資料!AB166=原始資料!AA166),N(Y166)+1,1))</f>
        <v/>
      </c>
      <c r="AA166" s="6">
        <f>IF(OR(原始資料!$A166="",26&gt;設定!$B$3,原始資料!AC166=""),"",IF(AND(原始資料!AB166&lt;&gt;"",原始資料!AC166=原始資料!AB166),N(Z166)+1,1))</f>
        <v/>
      </c>
      <c r="AB166" s="6">
        <f>IF(OR(原始資料!$A166="",27&gt;設定!$B$3,原始資料!AD166=""),"",IF(AND(原始資料!AC166&lt;&gt;"",原始資料!AD166=原始資料!AC166),N(AA166)+1,1))</f>
        <v/>
      </c>
      <c r="AC166" s="6">
        <f>IF(OR(原始資料!$A166="",28&gt;設定!$B$3,原始資料!AE166=""),"",IF(AND(原始資料!AD166&lt;&gt;"",原始資料!AE166=原始資料!AD166),N(AB166)+1,1))</f>
        <v/>
      </c>
      <c r="AD166" s="6">
        <f>IF(OR(原始資料!$A166="",29&gt;設定!$B$3,原始資料!AF166=""),"",IF(AND(原始資料!AE166&lt;&gt;"",原始資料!AF166=原始資料!AE166),N(AC166)+1,1))</f>
        <v/>
      </c>
      <c r="AE166" s="6">
        <f>IF(OR(原始資料!$A166="",30&gt;設定!$B$3,原始資料!AG166=""),"",IF(AND(原始資料!AF166&lt;&gt;"",原始資料!AG166=原始資料!AF166),N(AD166)+1,1))</f>
        <v/>
      </c>
      <c r="AF166" s="6">
        <f>IF(OR(原始資料!$A166="",31&gt;設定!$B$3,原始資料!AH166=""),"",IF(AND(原始資料!AG166&lt;&gt;"",原始資料!AH166=原始資料!AG166),N(AE166)+1,1))</f>
        <v/>
      </c>
      <c r="AG166" s="6">
        <f>IF(OR(原始資料!$A166="",32&gt;設定!$B$3,原始資料!AI166=""),"",IF(AND(原始資料!AH166&lt;&gt;"",原始資料!AI166=原始資料!AH166),N(AF166)+1,1))</f>
        <v/>
      </c>
      <c r="AH166" s="6">
        <f>IF(OR(原始資料!$A166="",33&gt;設定!$B$3,原始資料!AJ166=""),"",IF(AND(原始資料!AI166&lt;&gt;"",原始資料!AJ166=原始資料!AI166),N(AG166)+1,1))</f>
        <v/>
      </c>
      <c r="AI166" s="6">
        <f>IF(OR(原始資料!$A166="",34&gt;設定!$B$3,原始資料!AK166=""),"",IF(AND(原始資料!AJ166&lt;&gt;"",原始資料!AK166=原始資料!AJ166),N(AH166)+1,1))</f>
        <v/>
      </c>
      <c r="AJ166" s="6">
        <f>IF(OR(原始資料!$A166="",35&gt;設定!$B$3,原始資料!AL166=""),"",IF(AND(原始資料!AK166&lt;&gt;"",原始資料!AL166=原始資料!AK166),N(AI166)+1,1))</f>
        <v/>
      </c>
      <c r="AK166" s="6">
        <f>IF(OR(原始資料!$A166="",36&gt;設定!$B$3,原始資料!AM166=""),"",IF(AND(原始資料!AL166&lt;&gt;"",原始資料!AM166=原始資料!AL166),N(AJ166)+1,1))</f>
        <v/>
      </c>
      <c r="AL166" s="6">
        <f>IF(OR(原始資料!$A166="",37&gt;設定!$B$3,原始資料!AN166=""),"",IF(AND(原始資料!AM166&lt;&gt;"",原始資料!AN166=原始資料!AM166),N(AK166)+1,1))</f>
        <v/>
      </c>
      <c r="AM166" s="6">
        <f>IF(OR(原始資料!$A166="",38&gt;設定!$B$3,原始資料!AO166=""),"",IF(AND(原始資料!AN166&lt;&gt;"",原始資料!AO166=原始資料!AN166),N(AL166)+1,1))</f>
        <v/>
      </c>
      <c r="AN166" s="6">
        <f>IF(OR(原始資料!$A166="",39&gt;設定!$B$3,原始資料!AP166=""),"",IF(AND(原始資料!AO166&lt;&gt;"",原始資料!AP166=原始資料!AO166),N(AM166)+1,1))</f>
        <v/>
      </c>
      <c r="AO166" s="6">
        <f>IF(OR(原始資料!$A166="",40&gt;設定!$B$3,原始資料!AQ166=""),"",IF(AND(原始資料!AP166&lt;&gt;"",原始資料!AQ166=原始資料!AP166),N(AN166)+1,1))</f>
        <v/>
      </c>
      <c r="AP166" s="6">
        <f>IF(OR(原始資料!$A166="",41&gt;設定!$B$3,原始資料!AR166=""),"",IF(AND(原始資料!AQ166&lt;&gt;"",原始資料!AR166=原始資料!AQ166),N(AO166)+1,1))</f>
        <v/>
      </c>
      <c r="AQ166" s="6">
        <f>IF(OR(原始資料!$A166="",42&gt;設定!$B$3,原始資料!AS166=""),"",IF(AND(原始資料!AR166&lt;&gt;"",原始資料!AS166=原始資料!AR166),N(AP166)+1,1))</f>
        <v/>
      </c>
      <c r="AR166" s="6">
        <f>IF(OR(原始資料!$A166="",43&gt;設定!$B$3,原始資料!AT166=""),"",IF(AND(原始資料!AS166&lt;&gt;"",原始資料!AT166=原始資料!AS166),N(AQ166)+1,1))</f>
        <v/>
      </c>
      <c r="AS166" s="6">
        <f>IF(OR(原始資料!$A166="",44&gt;設定!$B$3,原始資料!AU166=""),"",IF(AND(原始資料!AT166&lt;&gt;"",原始資料!AU166=原始資料!AT166),N(AR166)+1,1))</f>
        <v/>
      </c>
      <c r="AT166" s="6">
        <f>IF(OR(原始資料!$A166="",45&gt;設定!$B$3,原始資料!AV166=""),"",IF(AND(原始資料!AU166&lt;&gt;"",原始資料!AV166=原始資料!AU166),N(AS166)+1,1))</f>
        <v/>
      </c>
      <c r="AU166" s="6">
        <f>IF(OR(原始資料!$A166="",46&gt;設定!$B$3,原始資料!AW166=""),"",IF(AND(原始資料!AV166&lt;&gt;"",原始資料!AW166=原始資料!AV166),N(AT166)+1,1))</f>
        <v/>
      </c>
      <c r="AV166" s="6">
        <f>IF(OR(原始資料!$A166="",47&gt;設定!$B$3,原始資料!AX166=""),"",IF(AND(原始資料!AW166&lt;&gt;"",原始資料!AX166=原始資料!AW166),N(AU166)+1,1))</f>
        <v/>
      </c>
      <c r="AW166" s="6">
        <f>IF(OR(原始資料!$A166="",48&gt;設定!$B$3,原始資料!AY166=""),"",IF(AND(原始資料!AX166&lt;&gt;"",原始資料!AY166=原始資料!AX166),N(AV166)+1,1))</f>
        <v/>
      </c>
      <c r="AX166" s="6">
        <f>IF(OR(原始資料!$A166="",49&gt;設定!$B$3,原始資料!AZ166=""),"",IF(AND(原始資料!AY166&lt;&gt;"",原始資料!AZ166=原始資料!AY166),N(AW166)+1,1))</f>
        <v/>
      </c>
      <c r="AY166" s="6">
        <f>IF(OR(原始資料!$A166="",50&gt;設定!$B$3,原始資料!BA166=""),"",IF(AND(原始資料!AZ166&lt;&gt;"",原始資料!BA166=原始資料!AZ166),N(AX166)+1,1))</f>
        <v/>
      </c>
      <c r="AZ166" s="6">
        <f>IF(OR(原始資料!$A166="",51&gt;設定!$B$3,原始資料!BB166=""),"",IF(AND(原始資料!BA166&lt;&gt;"",原始資料!BB166=原始資料!BA166),N(AY166)+1,1))</f>
        <v/>
      </c>
      <c r="BA166" s="6">
        <f>IF(OR(原始資料!$A166="",52&gt;設定!$B$3,原始資料!BC166=""),"",IF(AND(原始資料!BB166&lt;&gt;"",原始資料!BC166=原始資料!BB166),N(AZ166)+1,1))</f>
        <v/>
      </c>
      <c r="BB166" s="6">
        <f>IF(OR(原始資料!$A166="",53&gt;設定!$B$3,原始資料!BD166=""),"",IF(AND(原始資料!BC166&lt;&gt;"",原始資料!BD166=原始資料!BC166),N(BA166)+1,1))</f>
        <v/>
      </c>
      <c r="BC166" s="6">
        <f>IF(OR(原始資料!$A166="",54&gt;設定!$B$3,原始資料!BE166=""),"",IF(AND(原始資料!BD166&lt;&gt;"",原始資料!BE166=原始資料!BD166),N(BB166)+1,1))</f>
        <v/>
      </c>
      <c r="BD166" s="6">
        <f>IF(OR(原始資料!$A166="",55&gt;設定!$B$3,原始資料!BF166=""),"",IF(AND(原始資料!BE166&lt;&gt;"",原始資料!BF166=原始資料!BE166),N(BC166)+1,1))</f>
        <v/>
      </c>
      <c r="BE166" s="6">
        <f>IF(OR(原始資料!$A166="",56&gt;設定!$B$3,原始資料!BG166=""),"",IF(AND(原始資料!BF166&lt;&gt;"",原始資料!BG166=原始資料!BF166),N(BD166)+1,1))</f>
        <v/>
      </c>
      <c r="BF166" s="6">
        <f>IF(OR(原始資料!$A166="",57&gt;設定!$B$3,原始資料!BH166=""),"",IF(AND(原始資料!BG166&lt;&gt;"",原始資料!BH166=原始資料!BG166),N(BE166)+1,1))</f>
        <v/>
      </c>
      <c r="BG166" s="6">
        <f>IF(OR(原始資料!$A166="",58&gt;設定!$B$3,原始資料!BI166=""),"",IF(AND(原始資料!BH166&lt;&gt;"",原始資料!BI166=原始資料!BH166),N(BF166)+1,1))</f>
        <v/>
      </c>
      <c r="BH166" s="6">
        <f>IF(OR(原始資料!$A166="",59&gt;設定!$B$3,原始資料!BJ166=""),"",IF(AND(原始資料!BI166&lt;&gt;"",原始資料!BJ166=原始資料!BI166),N(BG166)+1,1))</f>
        <v/>
      </c>
      <c r="BI166" s="6">
        <f>IF(OR(原始資料!$A166="",60&gt;設定!$B$3,原始資料!BK166=""),"",IF(AND(原始資料!BJ166&lt;&gt;"",原始資料!BK166=原始資料!BJ166),N(BH166)+1,1))</f>
        <v/>
      </c>
    </row>
    <row r="167">
      <c r="A167" s="6">
        <f>IF(原始資料!$A167="","",原始資料!$A167)</f>
        <v/>
      </c>
      <c r="B167" s="6">
        <f>IF(OR(原始資料!$A167="",1&gt;設定!$B$3,原始資料!D167=""),"",1)</f>
        <v/>
      </c>
      <c r="C167" s="6">
        <f>IF(OR(原始資料!$A167="",2&gt;設定!$B$3,原始資料!E167=""),"",IF(AND(原始資料!D167&lt;&gt;"",原始資料!E167=原始資料!D167),N(B167)+1,1))</f>
        <v/>
      </c>
      <c r="D167" s="6">
        <f>IF(OR(原始資料!$A167="",3&gt;設定!$B$3,原始資料!F167=""),"",IF(AND(原始資料!E167&lt;&gt;"",原始資料!F167=原始資料!E167),N(C167)+1,1))</f>
        <v/>
      </c>
      <c r="E167" s="6">
        <f>IF(OR(原始資料!$A167="",4&gt;設定!$B$3,原始資料!G167=""),"",IF(AND(原始資料!F167&lt;&gt;"",原始資料!G167=原始資料!F167),N(D167)+1,1))</f>
        <v/>
      </c>
      <c r="F167" s="6">
        <f>IF(OR(原始資料!$A167="",5&gt;設定!$B$3,原始資料!H167=""),"",IF(AND(原始資料!G167&lt;&gt;"",原始資料!H167=原始資料!G167),N(E167)+1,1))</f>
        <v/>
      </c>
      <c r="G167" s="6">
        <f>IF(OR(原始資料!$A167="",6&gt;設定!$B$3,原始資料!I167=""),"",IF(AND(原始資料!H167&lt;&gt;"",原始資料!I167=原始資料!H167),N(F167)+1,1))</f>
        <v/>
      </c>
      <c r="H167" s="6">
        <f>IF(OR(原始資料!$A167="",7&gt;設定!$B$3,原始資料!J167=""),"",IF(AND(原始資料!I167&lt;&gt;"",原始資料!J167=原始資料!I167),N(G167)+1,1))</f>
        <v/>
      </c>
      <c r="I167" s="6">
        <f>IF(OR(原始資料!$A167="",8&gt;設定!$B$3,原始資料!K167=""),"",IF(AND(原始資料!J167&lt;&gt;"",原始資料!K167=原始資料!J167),N(H167)+1,1))</f>
        <v/>
      </c>
      <c r="J167" s="6">
        <f>IF(OR(原始資料!$A167="",9&gt;設定!$B$3,原始資料!L167=""),"",IF(AND(原始資料!K167&lt;&gt;"",原始資料!L167=原始資料!K167),N(I167)+1,1))</f>
        <v/>
      </c>
      <c r="K167" s="6">
        <f>IF(OR(原始資料!$A167="",10&gt;設定!$B$3,原始資料!M167=""),"",IF(AND(原始資料!L167&lt;&gt;"",原始資料!M167=原始資料!L167),N(J167)+1,1))</f>
        <v/>
      </c>
      <c r="L167" s="6">
        <f>IF(OR(原始資料!$A167="",11&gt;設定!$B$3,原始資料!N167=""),"",IF(AND(原始資料!M167&lt;&gt;"",原始資料!N167=原始資料!M167),N(K167)+1,1))</f>
        <v/>
      </c>
      <c r="M167" s="6">
        <f>IF(OR(原始資料!$A167="",12&gt;設定!$B$3,原始資料!O167=""),"",IF(AND(原始資料!N167&lt;&gt;"",原始資料!O167=原始資料!N167),N(L167)+1,1))</f>
        <v/>
      </c>
      <c r="N167" s="6">
        <f>IF(OR(原始資料!$A167="",13&gt;設定!$B$3,原始資料!P167=""),"",IF(AND(原始資料!O167&lt;&gt;"",原始資料!P167=原始資料!O167),N(M167)+1,1))</f>
        <v/>
      </c>
      <c r="O167" s="6">
        <f>IF(OR(原始資料!$A167="",14&gt;設定!$B$3,原始資料!Q167=""),"",IF(AND(原始資料!P167&lt;&gt;"",原始資料!Q167=原始資料!P167),N(N167)+1,1))</f>
        <v/>
      </c>
      <c r="P167" s="6">
        <f>IF(OR(原始資料!$A167="",15&gt;設定!$B$3,原始資料!R167=""),"",IF(AND(原始資料!Q167&lt;&gt;"",原始資料!R167=原始資料!Q167),N(O167)+1,1))</f>
        <v/>
      </c>
      <c r="Q167" s="6">
        <f>IF(OR(原始資料!$A167="",16&gt;設定!$B$3,原始資料!S167=""),"",IF(AND(原始資料!R167&lt;&gt;"",原始資料!S167=原始資料!R167),N(P167)+1,1))</f>
        <v/>
      </c>
      <c r="R167" s="6">
        <f>IF(OR(原始資料!$A167="",17&gt;設定!$B$3,原始資料!T167=""),"",IF(AND(原始資料!S167&lt;&gt;"",原始資料!T167=原始資料!S167),N(Q167)+1,1))</f>
        <v/>
      </c>
      <c r="S167" s="6">
        <f>IF(OR(原始資料!$A167="",18&gt;設定!$B$3,原始資料!U167=""),"",IF(AND(原始資料!T167&lt;&gt;"",原始資料!U167=原始資料!T167),N(R167)+1,1))</f>
        <v/>
      </c>
      <c r="T167" s="6">
        <f>IF(OR(原始資料!$A167="",19&gt;設定!$B$3,原始資料!V167=""),"",IF(AND(原始資料!U167&lt;&gt;"",原始資料!V167=原始資料!U167),N(S167)+1,1))</f>
        <v/>
      </c>
      <c r="U167" s="6">
        <f>IF(OR(原始資料!$A167="",20&gt;設定!$B$3,原始資料!W167=""),"",IF(AND(原始資料!V167&lt;&gt;"",原始資料!W167=原始資料!V167),N(T167)+1,1))</f>
        <v/>
      </c>
      <c r="V167" s="6">
        <f>IF(OR(原始資料!$A167="",21&gt;設定!$B$3,原始資料!X167=""),"",IF(AND(原始資料!W167&lt;&gt;"",原始資料!X167=原始資料!W167),N(U167)+1,1))</f>
        <v/>
      </c>
      <c r="W167" s="6">
        <f>IF(OR(原始資料!$A167="",22&gt;設定!$B$3,原始資料!Y167=""),"",IF(AND(原始資料!X167&lt;&gt;"",原始資料!Y167=原始資料!X167),N(V167)+1,1))</f>
        <v/>
      </c>
      <c r="X167" s="6">
        <f>IF(OR(原始資料!$A167="",23&gt;設定!$B$3,原始資料!Z167=""),"",IF(AND(原始資料!Y167&lt;&gt;"",原始資料!Z167=原始資料!Y167),N(W167)+1,1))</f>
        <v/>
      </c>
      <c r="Y167" s="6">
        <f>IF(OR(原始資料!$A167="",24&gt;設定!$B$3,原始資料!AA167=""),"",IF(AND(原始資料!Z167&lt;&gt;"",原始資料!AA167=原始資料!Z167),N(X167)+1,1))</f>
        <v/>
      </c>
      <c r="Z167" s="6">
        <f>IF(OR(原始資料!$A167="",25&gt;設定!$B$3,原始資料!AB167=""),"",IF(AND(原始資料!AA167&lt;&gt;"",原始資料!AB167=原始資料!AA167),N(Y167)+1,1))</f>
        <v/>
      </c>
      <c r="AA167" s="6">
        <f>IF(OR(原始資料!$A167="",26&gt;設定!$B$3,原始資料!AC167=""),"",IF(AND(原始資料!AB167&lt;&gt;"",原始資料!AC167=原始資料!AB167),N(Z167)+1,1))</f>
        <v/>
      </c>
      <c r="AB167" s="6">
        <f>IF(OR(原始資料!$A167="",27&gt;設定!$B$3,原始資料!AD167=""),"",IF(AND(原始資料!AC167&lt;&gt;"",原始資料!AD167=原始資料!AC167),N(AA167)+1,1))</f>
        <v/>
      </c>
      <c r="AC167" s="6">
        <f>IF(OR(原始資料!$A167="",28&gt;設定!$B$3,原始資料!AE167=""),"",IF(AND(原始資料!AD167&lt;&gt;"",原始資料!AE167=原始資料!AD167),N(AB167)+1,1))</f>
        <v/>
      </c>
      <c r="AD167" s="6">
        <f>IF(OR(原始資料!$A167="",29&gt;設定!$B$3,原始資料!AF167=""),"",IF(AND(原始資料!AE167&lt;&gt;"",原始資料!AF167=原始資料!AE167),N(AC167)+1,1))</f>
        <v/>
      </c>
      <c r="AE167" s="6">
        <f>IF(OR(原始資料!$A167="",30&gt;設定!$B$3,原始資料!AG167=""),"",IF(AND(原始資料!AF167&lt;&gt;"",原始資料!AG167=原始資料!AF167),N(AD167)+1,1))</f>
        <v/>
      </c>
      <c r="AF167" s="6">
        <f>IF(OR(原始資料!$A167="",31&gt;設定!$B$3,原始資料!AH167=""),"",IF(AND(原始資料!AG167&lt;&gt;"",原始資料!AH167=原始資料!AG167),N(AE167)+1,1))</f>
        <v/>
      </c>
      <c r="AG167" s="6">
        <f>IF(OR(原始資料!$A167="",32&gt;設定!$B$3,原始資料!AI167=""),"",IF(AND(原始資料!AH167&lt;&gt;"",原始資料!AI167=原始資料!AH167),N(AF167)+1,1))</f>
        <v/>
      </c>
      <c r="AH167" s="6">
        <f>IF(OR(原始資料!$A167="",33&gt;設定!$B$3,原始資料!AJ167=""),"",IF(AND(原始資料!AI167&lt;&gt;"",原始資料!AJ167=原始資料!AI167),N(AG167)+1,1))</f>
        <v/>
      </c>
      <c r="AI167" s="6">
        <f>IF(OR(原始資料!$A167="",34&gt;設定!$B$3,原始資料!AK167=""),"",IF(AND(原始資料!AJ167&lt;&gt;"",原始資料!AK167=原始資料!AJ167),N(AH167)+1,1))</f>
        <v/>
      </c>
      <c r="AJ167" s="6">
        <f>IF(OR(原始資料!$A167="",35&gt;設定!$B$3,原始資料!AL167=""),"",IF(AND(原始資料!AK167&lt;&gt;"",原始資料!AL167=原始資料!AK167),N(AI167)+1,1))</f>
        <v/>
      </c>
      <c r="AK167" s="6">
        <f>IF(OR(原始資料!$A167="",36&gt;設定!$B$3,原始資料!AM167=""),"",IF(AND(原始資料!AL167&lt;&gt;"",原始資料!AM167=原始資料!AL167),N(AJ167)+1,1))</f>
        <v/>
      </c>
      <c r="AL167" s="6">
        <f>IF(OR(原始資料!$A167="",37&gt;設定!$B$3,原始資料!AN167=""),"",IF(AND(原始資料!AM167&lt;&gt;"",原始資料!AN167=原始資料!AM167),N(AK167)+1,1))</f>
        <v/>
      </c>
      <c r="AM167" s="6">
        <f>IF(OR(原始資料!$A167="",38&gt;設定!$B$3,原始資料!AO167=""),"",IF(AND(原始資料!AN167&lt;&gt;"",原始資料!AO167=原始資料!AN167),N(AL167)+1,1))</f>
        <v/>
      </c>
      <c r="AN167" s="6">
        <f>IF(OR(原始資料!$A167="",39&gt;設定!$B$3,原始資料!AP167=""),"",IF(AND(原始資料!AO167&lt;&gt;"",原始資料!AP167=原始資料!AO167),N(AM167)+1,1))</f>
        <v/>
      </c>
      <c r="AO167" s="6">
        <f>IF(OR(原始資料!$A167="",40&gt;設定!$B$3,原始資料!AQ167=""),"",IF(AND(原始資料!AP167&lt;&gt;"",原始資料!AQ167=原始資料!AP167),N(AN167)+1,1))</f>
        <v/>
      </c>
      <c r="AP167" s="6">
        <f>IF(OR(原始資料!$A167="",41&gt;設定!$B$3,原始資料!AR167=""),"",IF(AND(原始資料!AQ167&lt;&gt;"",原始資料!AR167=原始資料!AQ167),N(AO167)+1,1))</f>
        <v/>
      </c>
      <c r="AQ167" s="6">
        <f>IF(OR(原始資料!$A167="",42&gt;設定!$B$3,原始資料!AS167=""),"",IF(AND(原始資料!AR167&lt;&gt;"",原始資料!AS167=原始資料!AR167),N(AP167)+1,1))</f>
        <v/>
      </c>
      <c r="AR167" s="6">
        <f>IF(OR(原始資料!$A167="",43&gt;設定!$B$3,原始資料!AT167=""),"",IF(AND(原始資料!AS167&lt;&gt;"",原始資料!AT167=原始資料!AS167),N(AQ167)+1,1))</f>
        <v/>
      </c>
      <c r="AS167" s="6">
        <f>IF(OR(原始資料!$A167="",44&gt;設定!$B$3,原始資料!AU167=""),"",IF(AND(原始資料!AT167&lt;&gt;"",原始資料!AU167=原始資料!AT167),N(AR167)+1,1))</f>
        <v/>
      </c>
      <c r="AT167" s="6">
        <f>IF(OR(原始資料!$A167="",45&gt;設定!$B$3,原始資料!AV167=""),"",IF(AND(原始資料!AU167&lt;&gt;"",原始資料!AV167=原始資料!AU167),N(AS167)+1,1))</f>
        <v/>
      </c>
      <c r="AU167" s="6">
        <f>IF(OR(原始資料!$A167="",46&gt;設定!$B$3,原始資料!AW167=""),"",IF(AND(原始資料!AV167&lt;&gt;"",原始資料!AW167=原始資料!AV167),N(AT167)+1,1))</f>
        <v/>
      </c>
      <c r="AV167" s="6">
        <f>IF(OR(原始資料!$A167="",47&gt;設定!$B$3,原始資料!AX167=""),"",IF(AND(原始資料!AW167&lt;&gt;"",原始資料!AX167=原始資料!AW167),N(AU167)+1,1))</f>
        <v/>
      </c>
      <c r="AW167" s="6">
        <f>IF(OR(原始資料!$A167="",48&gt;設定!$B$3,原始資料!AY167=""),"",IF(AND(原始資料!AX167&lt;&gt;"",原始資料!AY167=原始資料!AX167),N(AV167)+1,1))</f>
        <v/>
      </c>
      <c r="AX167" s="6">
        <f>IF(OR(原始資料!$A167="",49&gt;設定!$B$3,原始資料!AZ167=""),"",IF(AND(原始資料!AY167&lt;&gt;"",原始資料!AZ167=原始資料!AY167),N(AW167)+1,1))</f>
        <v/>
      </c>
      <c r="AY167" s="6">
        <f>IF(OR(原始資料!$A167="",50&gt;設定!$B$3,原始資料!BA167=""),"",IF(AND(原始資料!AZ167&lt;&gt;"",原始資料!BA167=原始資料!AZ167),N(AX167)+1,1))</f>
        <v/>
      </c>
      <c r="AZ167" s="6">
        <f>IF(OR(原始資料!$A167="",51&gt;設定!$B$3,原始資料!BB167=""),"",IF(AND(原始資料!BA167&lt;&gt;"",原始資料!BB167=原始資料!BA167),N(AY167)+1,1))</f>
        <v/>
      </c>
      <c r="BA167" s="6">
        <f>IF(OR(原始資料!$A167="",52&gt;設定!$B$3,原始資料!BC167=""),"",IF(AND(原始資料!BB167&lt;&gt;"",原始資料!BC167=原始資料!BB167),N(AZ167)+1,1))</f>
        <v/>
      </c>
      <c r="BB167" s="6">
        <f>IF(OR(原始資料!$A167="",53&gt;設定!$B$3,原始資料!BD167=""),"",IF(AND(原始資料!BC167&lt;&gt;"",原始資料!BD167=原始資料!BC167),N(BA167)+1,1))</f>
        <v/>
      </c>
      <c r="BC167" s="6">
        <f>IF(OR(原始資料!$A167="",54&gt;設定!$B$3,原始資料!BE167=""),"",IF(AND(原始資料!BD167&lt;&gt;"",原始資料!BE167=原始資料!BD167),N(BB167)+1,1))</f>
        <v/>
      </c>
      <c r="BD167" s="6">
        <f>IF(OR(原始資料!$A167="",55&gt;設定!$B$3,原始資料!BF167=""),"",IF(AND(原始資料!BE167&lt;&gt;"",原始資料!BF167=原始資料!BE167),N(BC167)+1,1))</f>
        <v/>
      </c>
      <c r="BE167" s="6">
        <f>IF(OR(原始資料!$A167="",56&gt;設定!$B$3,原始資料!BG167=""),"",IF(AND(原始資料!BF167&lt;&gt;"",原始資料!BG167=原始資料!BF167),N(BD167)+1,1))</f>
        <v/>
      </c>
      <c r="BF167" s="6">
        <f>IF(OR(原始資料!$A167="",57&gt;設定!$B$3,原始資料!BH167=""),"",IF(AND(原始資料!BG167&lt;&gt;"",原始資料!BH167=原始資料!BG167),N(BE167)+1,1))</f>
        <v/>
      </c>
      <c r="BG167" s="6">
        <f>IF(OR(原始資料!$A167="",58&gt;設定!$B$3,原始資料!BI167=""),"",IF(AND(原始資料!BH167&lt;&gt;"",原始資料!BI167=原始資料!BH167),N(BF167)+1,1))</f>
        <v/>
      </c>
      <c r="BH167" s="6">
        <f>IF(OR(原始資料!$A167="",59&gt;設定!$B$3,原始資料!BJ167=""),"",IF(AND(原始資料!BI167&lt;&gt;"",原始資料!BJ167=原始資料!BI167),N(BG167)+1,1))</f>
        <v/>
      </c>
      <c r="BI167" s="6">
        <f>IF(OR(原始資料!$A167="",60&gt;設定!$B$3,原始資料!BK167=""),"",IF(AND(原始資料!BJ167&lt;&gt;"",原始資料!BK167=原始資料!BJ167),N(BH167)+1,1))</f>
        <v/>
      </c>
    </row>
    <row r="168">
      <c r="A168" s="6">
        <f>IF(原始資料!$A168="","",原始資料!$A168)</f>
        <v/>
      </c>
      <c r="B168" s="6">
        <f>IF(OR(原始資料!$A168="",1&gt;設定!$B$3,原始資料!D168=""),"",1)</f>
        <v/>
      </c>
      <c r="C168" s="6">
        <f>IF(OR(原始資料!$A168="",2&gt;設定!$B$3,原始資料!E168=""),"",IF(AND(原始資料!D168&lt;&gt;"",原始資料!E168=原始資料!D168),N(B168)+1,1))</f>
        <v/>
      </c>
      <c r="D168" s="6">
        <f>IF(OR(原始資料!$A168="",3&gt;設定!$B$3,原始資料!F168=""),"",IF(AND(原始資料!E168&lt;&gt;"",原始資料!F168=原始資料!E168),N(C168)+1,1))</f>
        <v/>
      </c>
      <c r="E168" s="6">
        <f>IF(OR(原始資料!$A168="",4&gt;設定!$B$3,原始資料!G168=""),"",IF(AND(原始資料!F168&lt;&gt;"",原始資料!G168=原始資料!F168),N(D168)+1,1))</f>
        <v/>
      </c>
      <c r="F168" s="6">
        <f>IF(OR(原始資料!$A168="",5&gt;設定!$B$3,原始資料!H168=""),"",IF(AND(原始資料!G168&lt;&gt;"",原始資料!H168=原始資料!G168),N(E168)+1,1))</f>
        <v/>
      </c>
      <c r="G168" s="6">
        <f>IF(OR(原始資料!$A168="",6&gt;設定!$B$3,原始資料!I168=""),"",IF(AND(原始資料!H168&lt;&gt;"",原始資料!I168=原始資料!H168),N(F168)+1,1))</f>
        <v/>
      </c>
      <c r="H168" s="6">
        <f>IF(OR(原始資料!$A168="",7&gt;設定!$B$3,原始資料!J168=""),"",IF(AND(原始資料!I168&lt;&gt;"",原始資料!J168=原始資料!I168),N(G168)+1,1))</f>
        <v/>
      </c>
      <c r="I168" s="6">
        <f>IF(OR(原始資料!$A168="",8&gt;設定!$B$3,原始資料!K168=""),"",IF(AND(原始資料!J168&lt;&gt;"",原始資料!K168=原始資料!J168),N(H168)+1,1))</f>
        <v/>
      </c>
      <c r="J168" s="6">
        <f>IF(OR(原始資料!$A168="",9&gt;設定!$B$3,原始資料!L168=""),"",IF(AND(原始資料!K168&lt;&gt;"",原始資料!L168=原始資料!K168),N(I168)+1,1))</f>
        <v/>
      </c>
      <c r="K168" s="6">
        <f>IF(OR(原始資料!$A168="",10&gt;設定!$B$3,原始資料!M168=""),"",IF(AND(原始資料!L168&lt;&gt;"",原始資料!M168=原始資料!L168),N(J168)+1,1))</f>
        <v/>
      </c>
      <c r="L168" s="6">
        <f>IF(OR(原始資料!$A168="",11&gt;設定!$B$3,原始資料!N168=""),"",IF(AND(原始資料!M168&lt;&gt;"",原始資料!N168=原始資料!M168),N(K168)+1,1))</f>
        <v/>
      </c>
      <c r="M168" s="6">
        <f>IF(OR(原始資料!$A168="",12&gt;設定!$B$3,原始資料!O168=""),"",IF(AND(原始資料!N168&lt;&gt;"",原始資料!O168=原始資料!N168),N(L168)+1,1))</f>
        <v/>
      </c>
      <c r="N168" s="6">
        <f>IF(OR(原始資料!$A168="",13&gt;設定!$B$3,原始資料!P168=""),"",IF(AND(原始資料!O168&lt;&gt;"",原始資料!P168=原始資料!O168),N(M168)+1,1))</f>
        <v/>
      </c>
      <c r="O168" s="6">
        <f>IF(OR(原始資料!$A168="",14&gt;設定!$B$3,原始資料!Q168=""),"",IF(AND(原始資料!P168&lt;&gt;"",原始資料!Q168=原始資料!P168),N(N168)+1,1))</f>
        <v/>
      </c>
      <c r="P168" s="6">
        <f>IF(OR(原始資料!$A168="",15&gt;設定!$B$3,原始資料!R168=""),"",IF(AND(原始資料!Q168&lt;&gt;"",原始資料!R168=原始資料!Q168),N(O168)+1,1))</f>
        <v/>
      </c>
      <c r="Q168" s="6">
        <f>IF(OR(原始資料!$A168="",16&gt;設定!$B$3,原始資料!S168=""),"",IF(AND(原始資料!R168&lt;&gt;"",原始資料!S168=原始資料!R168),N(P168)+1,1))</f>
        <v/>
      </c>
      <c r="R168" s="6">
        <f>IF(OR(原始資料!$A168="",17&gt;設定!$B$3,原始資料!T168=""),"",IF(AND(原始資料!S168&lt;&gt;"",原始資料!T168=原始資料!S168),N(Q168)+1,1))</f>
        <v/>
      </c>
      <c r="S168" s="6">
        <f>IF(OR(原始資料!$A168="",18&gt;設定!$B$3,原始資料!U168=""),"",IF(AND(原始資料!T168&lt;&gt;"",原始資料!U168=原始資料!T168),N(R168)+1,1))</f>
        <v/>
      </c>
      <c r="T168" s="6">
        <f>IF(OR(原始資料!$A168="",19&gt;設定!$B$3,原始資料!V168=""),"",IF(AND(原始資料!U168&lt;&gt;"",原始資料!V168=原始資料!U168),N(S168)+1,1))</f>
        <v/>
      </c>
      <c r="U168" s="6">
        <f>IF(OR(原始資料!$A168="",20&gt;設定!$B$3,原始資料!W168=""),"",IF(AND(原始資料!V168&lt;&gt;"",原始資料!W168=原始資料!V168),N(T168)+1,1))</f>
        <v/>
      </c>
      <c r="V168" s="6">
        <f>IF(OR(原始資料!$A168="",21&gt;設定!$B$3,原始資料!X168=""),"",IF(AND(原始資料!W168&lt;&gt;"",原始資料!X168=原始資料!W168),N(U168)+1,1))</f>
        <v/>
      </c>
      <c r="W168" s="6">
        <f>IF(OR(原始資料!$A168="",22&gt;設定!$B$3,原始資料!Y168=""),"",IF(AND(原始資料!X168&lt;&gt;"",原始資料!Y168=原始資料!X168),N(V168)+1,1))</f>
        <v/>
      </c>
      <c r="X168" s="6">
        <f>IF(OR(原始資料!$A168="",23&gt;設定!$B$3,原始資料!Z168=""),"",IF(AND(原始資料!Y168&lt;&gt;"",原始資料!Z168=原始資料!Y168),N(W168)+1,1))</f>
        <v/>
      </c>
      <c r="Y168" s="6">
        <f>IF(OR(原始資料!$A168="",24&gt;設定!$B$3,原始資料!AA168=""),"",IF(AND(原始資料!Z168&lt;&gt;"",原始資料!AA168=原始資料!Z168),N(X168)+1,1))</f>
        <v/>
      </c>
      <c r="Z168" s="6">
        <f>IF(OR(原始資料!$A168="",25&gt;設定!$B$3,原始資料!AB168=""),"",IF(AND(原始資料!AA168&lt;&gt;"",原始資料!AB168=原始資料!AA168),N(Y168)+1,1))</f>
        <v/>
      </c>
      <c r="AA168" s="6">
        <f>IF(OR(原始資料!$A168="",26&gt;設定!$B$3,原始資料!AC168=""),"",IF(AND(原始資料!AB168&lt;&gt;"",原始資料!AC168=原始資料!AB168),N(Z168)+1,1))</f>
        <v/>
      </c>
      <c r="AB168" s="6">
        <f>IF(OR(原始資料!$A168="",27&gt;設定!$B$3,原始資料!AD168=""),"",IF(AND(原始資料!AC168&lt;&gt;"",原始資料!AD168=原始資料!AC168),N(AA168)+1,1))</f>
        <v/>
      </c>
      <c r="AC168" s="6">
        <f>IF(OR(原始資料!$A168="",28&gt;設定!$B$3,原始資料!AE168=""),"",IF(AND(原始資料!AD168&lt;&gt;"",原始資料!AE168=原始資料!AD168),N(AB168)+1,1))</f>
        <v/>
      </c>
      <c r="AD168" s="6">
        <f>IF(OR(原始資料!$A168="",29&gt;設定!$B$3,原始資料!AF168=""),"",IF(AND(原始資料!AE168&lt;&gt;"",原始資料!AF168=原始資料!AE168),N(AC168)+1,1))</f>
        <v/>
      </c>
      <c r="AE168" s="6">
        <f>IF(OR(原始資料!$A168="",30&gt;設定!$B$3,原始資料!AG168=""),"",IF(AND(原始資料!AF168&lt;&gt;"",原始資料!AG168=原始資料!AF168),N(AD168)+1,1))</f>
        <v/>
      </c>
      <c r="AF168" s="6">
        <f>IF(OR(原始資料!$A168="",31&gt;設定!$B$3,原始資料!AH168=""),"",IF(AND(原始資料!AG168&lt;&gt;"",原始資料!AH168=原始資料!AG168),N(AE168)+1,1))</f>
        <v/>
      </c>
      <c r="AG168" s="6">
        <f>IF(OR(原始資料!$A168="",32&gt;設定!$B$3,原始資料!AI168=""),"",IF(AND(原始資料!AH168&lt;&gt;"",原始資料!AI168=原始資料!AH168),N(AF168)+1,1))</f>
        <v/>
      </c>
      <c r="AH168" s="6">
        <f>IF(OR(原始資料!$A168="",33&gt;設定!$B$3,原始資料!AJ168=""),"",IF(AND(原始資料!AI168&lt;&gt;"",原始資料!AJ168=原始資料!AI168),N(AG168)+1,1))</f>
        <v/>
      </c>
      <c r="AI168" s="6">
        <f>IF(OR(原始資料!$A168="",34&gt;設定!$B$3,原始資料!AK168=""),"",IF(AND(原始資料!AJ168&lt;&gt;"",原始資料!AK168=原始資料!AJ168),N(AH168)+1,1))</f>
        <v/>
      </c>
      <c r="AJ168" s="6">
        <f>IF(OR(原始資料!$A168="",35&gt;設定!$B$3,原始資料!AL168=""),"",IF(AND(原始資料!AK168&lt;&gt;"",原始資料!AL168=原始資料!AK168),N(AI168)+1,1))</f>
        <v/>
      </c>
      <c r="AK168" s="6">
        <f>IF(OR(原始資料!$A168="",36&gt;設定!$B$3,原始資料!AM168=""),"",IF(AND(原始資料!AL168&lt;&gt;"",原始資料!AM168=原始資料!AL168),N(AJ168)+1,1))</f>
        <v/>
      </c>
      <c r="AL168" s="6">
        <f>IF(OR(原始資料!$A168="",37&gt;設定!$B$3,原始資料!AN168=""),"",IF(AND(原始資料!AM168&lt;&gt;"",原始資料!AN168=原始資料!AM168),N(AK168)+1,1))</f>
        <v/>
      </c>
      <c r="AM168" s="6">
        <f>IF(OR(原始資料!$A168="",38&gt;設定!$B$3,原始資料!AO168=""),"",IF(AND(原始資料!AN168&lt;&gt;"",原始資料!AO168=原始資料!AN168),N(AL168)+1,1))</f>
        <v/>
      </c>
      <c r="AN168" s="6">
        <f>IF(OR(原始資料!$A168="",39&gt;設定!$B$3,原始資料!AP168=""),"",IF(AND(原始資料!AO168&lt;&gt;"",原始資料!AP168=原始資料!AO168),N(AM168)+1,1))</f>
        <v/>
      </c>
      <c r="AO168" s="6">
        <f>IF(OR(原始資料!$A168="",40&gt;設定!$B$3,原始資料!AQ168=""),"",IF(AND(原始資料!AP168&lt;&gt;"",原始資料!AQ168=原始資料!AP168),N(AN168)+1,1))</f>
        <v/>
      </c>
      <c r="AP168" s="6">
        <f>IF(OR(原始資料!$A168="",41&gt;設定!$B$3,原始資料!AR168=""),"",IF(AND(原始資料!AQ168&lt;&gt;"",原始資料!AR168=原始資料!AQ168),N(AO168)+1,1))</f>
        <v/>
      </c>
      <c r="AQ168" s="6">
        <f>IF(OR(原始資料!$A168="",42&gt;設定!$B$3,原始資料!AS168=""),"",IF(AND(原始資料!AR168&lt;&gt;"",原始資料!AS168=原始資料!AR168),N(AP168)+1,1))</f>
        <v/>
      </c>
      <c r="AR168" s="6">
        <f>IF(OR(原始資料!$A168="",43&gt;設定!$B$3,原始資料!AT168=""),"",IF(AND(原始資料!AS168&lt;&gt;"",原始資料!AT168=原始資料!AS168),N(AQ168)+1,1))</f>
        <v/>
      </c>
      <c r="AS168" s="6">
        <f>IF(OR(原始資料!$A168="",44&gt;設定!$B$3,原始資料!AU168=""),"",IF(AND(原始資料!AT168&lt;&gt;"",原始資料!AU168=原始資料!AT168),N(AR168)+1,1))</f>
        <v/>
      </c>
      <c r="AT168" s="6">
        <f>IF(OR(原始資料!$A168="",45&gt;設定!$B$3,原始資料!AV168=""),"",IF(AND(原始資料!AU168&lt;&gt;"",原始資料!AV168=原始資料!AU168),N(AS168)+1,1))</f>
        <v/>
      </c>
      <c r="AU168" s="6">
        <f>IF(OR(原始資料!$A168="",46&gt;設定!$B$3,原始資料!AW168=""),"",IF(AND(原始資料!AV168&lt;&gt;"",原始資料!AW168=原始資料!AV168),N(AT168)+1,1))</f>
        <v/>
      </c>
      <c r="AV168" s="6">
        <f>IF(OR(原始資料!$A168="",47&gt;設定!$B$3,原始資料!AX168=""),"",IF(AND(原始資料!AW168&lt;&gt;"",原始資料!AX168=原始資料!AW168),N(AU168)+1,1))</f>
        <v/>
      </c>
      <c r="AW168" s="6">
        <f>IF(OR(原始資料!$A168="",48&gt;設定!$B$3,原始資料!AY168=""),"",IF(AND(原始資料!AX168&lt;&gt;"",原始資料!AY168=原始資料!AX168),N(AV168)+1,1))</f>
        <v/>
      </c>
      <c r="AX168" s="6">
        <f>IF(OR(原始資料!$A168="",49&gt;設定!$B$3,原始資料!AZ168=""),"",IF(AND(原始資料!AY168&lt;&gt;"",原始資料!AZ168=原始資料!AY168),N(AW168)+1,1))</f>
        <v/>
      </c>
      <c r="AY168" s="6">
        <f>IF(OR(原始資料!$A168="",50&gt;設定!$B$3,原始資料!BA168=""),"",IF(AND(原始資料!AZ168&lt;&gt;"",原始資料!BA168=原始資料!AZ168),N(AX168)+1,1))</f>
        <v/>
      </c>
      <c r="AZ168" s="6">
        <f>IF(OR(原始資料!$A168="",51&gt;設定!$B$3,原始資料!BB168=""),"",IF(AND(原始資料!BA168&lt;&gt;"",原始資料!BB168=原始資料!BA168),N(AY168)+1,1))</f>
        <v/>
      </c>
      <c r="BA168" s="6">
        <f>IF(OR(原始資料!$A168="",52&gt;設定!$B$3,原始資料!BC168=""),"",IF(AND(原始資料!BB168&lt;&gt;"",原始資料!BC168=原始資料!BB168),N(AZ168)+1,1))</f>
        <v/>
      </c>
      <c r="BB168" s="6">
        <f>IF(OR(原始資料!$A168="",53&gt;設定!$B$3,原始資料!BD168=""),"",IF(AND(原始資料!BC168&lt;&gt;"",原始資料!BD168=原始資料!BC168),N(BA168)+1,1))</f>
        <v/>
      </c>
      <c r="BC168" s="6">
        <f>IF(OR(原始資料!$A168="",54&gt;設定!$B$3,原始資料!BE168=""),"",IF(AND(原始資料!BD168&lt;&gt;"",原始資料!BE168=原始資料!BD168),N(BB168)+1,1))</f>
        <v/>
      </c>
      <c r="BD168" s="6">
        <f>IF(OR(原始資料!$A168="",55&gt;設定!$B$3,原始資料!BF168=""),"",IF(AND(原始資料!BE168&lt;&gt;"",原始資料!BF168=原始資料!BE168),N(BC168)+1,1))</f>
        <v/>
      </c>
      <c r="BE168" s="6">
        <f>IF(OR(原始資料!$A168="",56&gt;設定!$B$3,原始資料!BG168=""),"",IF(AND(原始資料!BF168&lt;&gt;"",原始資料!BG168=原始資料!BF168),N(BD168)+1,1))</f>
        <v/>
      </c>
      <c r="BF168" s="6">
        <f>IF(OR(原始資料!$A168="",57&gt;設定!$B$3,原始資料!BH168=""),"",IF(AND(原始資料!BG168&lt;&gt;"",原始資料!BH168=原始資料!BG168),N(BE168)+1,1))</f>
        <v/>
      </c>
      <c r="BG168" s="6">
        <f>IF(OR(原始資料!$A168="",58&gt;設定!$B$3,原始資料!BI168=""),"",IF(AND(原始資料!BH168&lt;&gt;"",原始資料!BI168=原始資料!BH168),N(BF168)+1,1))</f>
        <v/>
      </c>
      <c r="BH168" s="6">
        <f>IF(OR(原始資料!$A168="",59&gt;設定!$B$3,原始資料!BJ168=""),"",IF(AND(原始資料!BI168&lt;&gt;"",原始資料!BJ168=原始資料!BI168),N(BG168)+1,1))</f>
        <v/>
      </c>
      <c r="BI168" s="6">
        <f>IF(OR(原始資料!$A168="",60&gt;設定!$B$3,原始資料!BK168=""),"",IF(AND(原始資料!BJ168&lt;&gt;"",原始資料!BK168=原始資料!BJ168),N(BH168)+1,1))</f>
        <v/>
      </c>
    </row>
    <row r="169">
      <c r="A169" s="6">
        <f>IF(原始資料!$A169="","",原始資料!$A169)</f>
        <v/>
      </c>
      <c r="B169" s="6">
        <f>IF(OR(原始資料!$A169="",1&gt;設定!$B$3,原始資料!D169=""),"",1)</f>
        <v/>
      </c>
      <c r="C169" s="6">
        <f>IF(OR(原始資料!$A169="",2&gt;設定!$B$3,原始資料!E169=""),"",IF(AND(原始資料!D169&lt;&gt;"",原始資料!E169=原始資料!D169),N(B169)+1,1))</f>
        <v/>
      </c>
      <c r="D169" s="6">
        <f>IF(OR(原始資料!$A169="",3&gt;設定!$B$3,原始資料!F169=""),"",IF(AND(原始資料!E169&lt;&gt;"",原始資料!F169=原始資料!E169),N(C169)+1,1))</f>
        <v/>
      </c>
      <c r="E169" s="6">
        <f>IF(OR(原始資料!$A169="",4&gt;設定!$B$3,原始資料!G169=""),"",IF(AND(原始資料!F169&lt;&gt;"",原始資料!G169=原始資料!F169),N(D169)+1,1))</f>
        <v/>
      </c>
      <c r="F169" s="6">
        <f>IF(OR(原始資料!$A169="",5&gt;設定!$B$3,原始資料!H169=""),"",IF(AND(原始資料!G169&lt;&gt;"",原始資料!H169=原始資料!G169),N(E169)+1,1))</f>
        <v/>
      </c>
      <c r="G169" s="6">
        <f>IF(OR(原始資料!$A169="",6&gt;設定!$B$3,原始資料!I169=""),"",IF(AND(原始資料!H169&lt;&gt;"",原始資料!I169=原始資料!H169),N(F169)+1,1))</f>
        <v/>
      </c>
      <c r="H169" s="6">
        <f>IF(OR(原始資料!$A169="",7&gt;設定!$B$3,原始資料!J169=""),"",IF(AND(原始資料!I169&lt;&gt;"",原始資料!J169=原始資料!I169),N(G169)+1,1))</f>
        <v/>
      </c>
      <c r="I169" s="6">
        <f>IF(OR(原始資料!$A169="",8&gt;設定!$B$3,原始資料!K169=""),"",IF(AND(原始資料!J169&lt;&gt;"",原始資料!K169=原始資料!J169),N(H169)+1,1))</f>
        <v/>
      </c>
      <c r="J169" s="6">
        <f>IF(OR(原始資料!$A169="",9&gt;設定!$B$3,原始資料!L169=""),"",IF(AND(原始資料!K169&lt;&gt;"",原始資料!L169=原始資料!K169),N(I169)+1,1))</f>
        <v/>
      </c>
      <c r="K169" s="6">
        <f>IF(OR(原始資料!$A169="",10&gt;設定!$B$3,原始資料!M169=""),"",IF(AND(原始資料!L169&lt;&gt;"",原始資料!M169=原始資料!L169),N(J169)+1,1))</f>
        <v/>
      </c>
      <c r="L169" s="6">
        <f>IF(OR(原始資料!$A169="",11&gt;設定!$B$3,原始資料!N169=""),"",IF(AND(原始資料!M169&lt;&gt;"",原始資料!N169=原始資料!M169),N(K169)+1,1))</f>
        <v/>
      </c>
      <c r="M169" s="6">
        <f>IF(OR(原始資料!$A169="",12&gt;設定!$B$3,原始資料!O169=""),"",IF(AND(原始資料!N169&lt;&gt;"",原始資料!O169=原始資料!N169),N(L169)+1,1))</f>
        <v/>
      </c>
      <c r="N169" s="6">
        <f>IF(OR(原始資料!$A169="",13&gt;設定!$B$3,原始資料!P169=""),"",IF(AND(原始資料!O169&lt;&gt;"",原始資料!P169=原始資料!O169),N(M169)+1,1))</f>
        <v/>
      </c>
      <c r="O169" s="6">
        <f>IF(OR(原始資料!$A169="",14&gt;設定!$B$3,原始資料!Q169=""),"",IF(AND(原始資料!P169&lt;&gt;"",原始資料!Q169=原始資料!P169),N(N169)+1,1))</f>
        <v/>
      </c>
      <c r="P169" s="6">
        <f>IF(OR(原始資料!$A169="",15&gt;設定!$B$3,原始資料!R169=""),"",IF(AND(原始資料!Q169&lt;&gt;"",原始資料!R169=原始資料!Q169),N(O169)+1,1))</f>
        <v/>
      </c>
      <c r="Q169" s="6">
        <f>IF(OR(原始資料!$A169="",16&gt;設定!$B$3,原始資料!S169=""),"",IF(AND(原始資料!R169&lt;&gt;"",原始資料!S169=原始資料!R169),N(P169)+1,1))</f>
        <v/>
      </c>
      <c r="R169" s="6">
        <f>IF(OR(原始資料!$A169="",17&gt;設定!$B$3,原始資料!T169=""),"",IF(AND(原始資料!S169&lt;&gt;"",原始資料!T169=原始資料!S169),N(Q169)+1,1))</f>
        <v/>
      </c>
      <c r="S169" s="6">
        <f>IF(OR(原始資料!$A169="",18&gt;設定!$B$3,原始資料!U169=""),"",IF(AND(原始資料!T169&lt;&gt;"",原始資料!U169=原始資料!T169),N(R169)+1,1))</f>
        <v/>
      </c>
      <c r="T169" s="6">
        <f>IF(OR(原始資料!$A169="",19&gt;設定!$B$3,原始資料!V169=""),"",IF(AND(原始資料!U169&lt;&gt;"",原始資料!V169=原始資料!U169),N(S169)+1,1))</f>
        <v/>
      </c>
      <c r="U169" s="6">
        <f>IF(OR(原始資料!$A169="",20&gt;設定!$B$3,原始資料!W169=""),"",IF(AND(原始資料!V169&lt;&gt;"",原始資料!W169=原始資料!V169),N(T169)+1,1))</f>
        <v/>
      </c>
      <c r="V169" s="6">
        <f>IF(OR(原始資料!$A169="",21&gt;設定!$B$3,原始資料!X169=""),"",IF(AND(原始資料!W169&lt;&gt;"",原始資料!X169=原始資料!W169),N(U169)+1,1))</f>
        <v/>
      </c>
      <c r="W169" s="6">
        <f>IF(OR(原始資料!$A169="",22&gt;設定!$B$3,原始資料!Y169=""),"",IF(AND(原始資料!X169&lt;&gt;"",原始資料!Y169=原始資料!X169),N(V169)+1,1))</f>
        <v/>
      </c>
      <c r="X169" s="6">
        <f>IF(OR(原始資料!$A169="",23&gt;設定!$B$3,原始資料!Z169=""),"",IF(AND(原始資料!Y169&lt;&gt;"",原始資料!Z169=原始資料!Y169),N(W169)+1,1))</f>
        <v/>
      </c>
      <c r="Y169" s="6">
        <f>IF(OR(原始資料!$A169="",24&gt;設定!$B$3,原始資料!AA169=""),"",IF(AND(原始資料!Z169&lt;&gt;"",原始資料!AA169=原始資料!Z169),N(X169)+1,1))</f>
        <v/>
      </c>
      <c r="Z169" s="6">
        <f>IF(OR(原始資料!$A169="",25&gt;設定!$B$3,原始資料!AB169=""),"",IF(AND(原始資料!AA169&lt;&gt;"",原始資料!AB169=原始資料!AA169),N(Y169)+1,1))</f>
        <v/>
      </c>
      <c r="AA169" s="6">
        <f>IF(OR(原始資料!$A169="",26&gt;設定!$B$3,原始資料!AC169=""),"",IF(AND(原始資料!AB169&lt;&gt;"",原始資料!AC169=原始資料!AB169),N(Z169)+1,1))</f>
        <v/>
      </c>
      <c r="AB169" s="6">
        <f>IF(OR(原始資料!$A169="",27&gt;設定!$B$3,原始資料!AD169=""),"",IF(AND(原始資料!AC169&lt;&gt;"",原始資料!AD169=原始資料!AC169),N(AA169)+1,1))</f>
        <v/>
      </c>
      <c r="AC169" s="6">
        <f>IF(OR(原始資料!$A169="",28&gt;設定!$B$3,原始資料!AE169=""),"",IF(AND(原始資料!AD169&lt;&gt;"",原始資料!AE169=原始資料!AD169),N(AB169)+1,1))</f>
        <v/>
      </c>
      <c r="AD169" s="6">
        <f>IF(OR(原始資料!$A169="",29&gt;設定!$B$3,原始資料!AF169=""),"",IF(AND(原始資料!AE169&lt;&gt;"",原始資料!AF169=原始資料!AE169),N(AC169)+1,1))</f>
        <v/>
      </c>
      <c r="AE169" s="6">
        <f>IF(OR(原始資料!$A169="",30&gt;設定!$B$3,原始資料!AG169=""),"",IF(AND(原始資料!AF169&lt;&gt;"",原始資料!AG169=原始資料!AF169),N(AD169)+1,1))</f>
        <v/>
      </c>
      <c r="AF169" s="6">
        <f>IF(OR(原始資料!$A169="",31&gt;設定!$B$3,原始資料!AH169=""),"",IF(AND(原始資料!AG169&lt;&gt;"",原始資料!AH169=原始資料!AG169),N(AE169)+1,1))</f>
        <v/>
      </c>
      <c r="AG169" s="6">
        <f>IF(OR(原始資料!$A169="",32&gt;設定!$B$3,原始資料!AI169=""),"",IF(AND(原始資料!AH169&lt;&gt;"",原始資料!AI169=原始資料!AH169),N(AF169)+1,1))</f>
        <v/>
      </c>
      <c r="AH169" s="6">
        <f>IF(OR(原始資料!$A169="",33&gt;設定!$B$3,原始資料!AJ169=""),"",IF(AND(原始資料!AI169&lt;&gt;"",原始資料!AJ169=原始資料!AI169),N(AG169)+1,1))</f>
        <v/>
      </c>
      <c r="AI169" s="6">
        <f>IF(OR(原始資料!$A169="",34&gt;設定!$B$3,原始資料!AK169=""),"",IF(AND(原始資料!AJ169&lt;&gt;"",原始資料!AK169=原始資料!AJ169),N(AH169)+1,1))</f>
        <v/>
      </c>
      <c r="AJ169" s="6">
        <f>IF(OR(原始資料!$A169="",35&gt;設定!$B$3,原始資料!AL169=""),"",IF(AND(原始資料!AK169&lt;&gt;"",原始資料!AL169=原始資料!AK169),N(AI169)+1,1))</f>
        <v/>
      </c>
      <c r="AK169" s="6">
        <f>IF(OR(原始資料!$A169="",36&gt;設定!$B$3,原始資料!AM169=""),"",IF(AND(原始資料!AL169&lt;&gt;"",原始資料!AM169=原始資料!AL169),N(AJ169)+1,1))</f>
        <v/>
      </c>
      <c r="AL169" s="6">
        <f>IF(OR(原始資料!$A169="",37&gt;設定!$B$3,原始資料!AN169=""),"",IF(AND(原始資料!AM169&lt;&gt;"",原始資料!AN169=原始資料!AM169),N(AK169)+1,1))</f>
        <v/>
      </c>
      <c r="AM169" s="6">
        <f>IF(OR(原始資料!$A169="",38&gt;設定!$B$3,原始資料!AO169=""),"",IF(AND(原始資料!AN169&lt;&gt;"",原始資料!AO169=原始資料!AN169),N(AL169)+1,1))</f>
        <v/>
      </c>
      <c r="AN169" s="6">
        <f>IF(OR(原始資料!$A169="",39&gt;設定!$B$3,原始資料!AP169=""),"",IF(AND(原始資料!AO169&lt;&gt;"",原始資料!AP169=原始資料!AO169),N(AM169)+1,1))</f>
        <v/>
      </c>
      <c r="AO169" s="6">
        <f>IF(OR(原始資料!$A169="",40&gt;設定!$B$3,原始資料!AQ169=""),"",IF(AND(原始資料!AP169&lt;&gt;"",原始資料!AQ169=原始資料!AP169),N(AN169)+1,1))</f>
        <v/>
      </c>
      <c r="AP169" s="6">
        <f>IF(OR(原始資料!$A169="",41&gt;設定!$B$3,原始資料!AR169=""),"",IF(AND(原始資料!AQ169&lt;&gt;"",原始資料!AR169=原始資料!AQ169),N(AO169)+1,1))</f>
        <v/>
      </c>
      <c r="AQ169" s="6">
        <f>IF(OR(原始資料!$A169="",42&gt;設定!$B$3,原始資料!AS169=""),"",IF(AND(原始資料!AR169&lt;&gt;"",原始資料!AS169=原始資料!AR169),N(AP169)+1,1))</f>
        <v/>
      </c>
      <c r="AR169" s="6">
        <f>IF(OR(原始資料!$A169="",43&gt;設定!$B$3,原始資料!AT169=""),"",IF(AND(原始資料!AS169&lt;&gt;"",原始資料!AT169=原始資料!AS169),N(AQ169)+1,1))</f>
        <v/>
      </c>
      <c r="AS169" s="6">
        <f>IF(OR(原始資料!$A169="",44&gt;設定!$B$3,原始資料!AU169=""),"",IF(AND(原始資料!AT169&lt;&gt;"",原始資料!AU169=原始資料!AT169),N(AR169)+1,1))</f>
        <v/>
      </c>
      <c r="AT169" s="6">
        <f>IF(OR(原始資料!$A169="",45&gt;設定!$B$3,原始資料!AV169=""),"",IF(AND(原始資料!AU169&lt;&gt;"",原始資料!AV169=原始資料!AU169),N(AS169)+1,1))</f>
        <v/>
      </c>
      <c r="AU169" s="6">
        <f>IF(OR(原始資料!$A169="",46&gt;設定!$B$3,原始資料!AW169=""),"",IF(AND(原始資料!AV169&lt;&gt;"",原始資料!AW169=原始資料!AV169),N(AT169)+1,1))</f>
        <v/>
      </c>
      <c r="AV169" s="6">
        <f>IF(OR(原始資料!$A169="",47&gt;設定!$B$3,原始資料!AX169=""),"",IF(AND(原始資料!AW169&lt;&gt;"",原始資料!AX169=原始資料!AW169),N(AU169)+1,1))</f>
        <v/>
      </c>
      <c r="AW169" s="6">
        <f>IF(OR(原始資料!$A169="",48&gt;設定!$B$3,原始資料!AY169=""),"",IF(AND(原始資料!AX169&lt;&gt;"",原始資料!AY169=原始資料!AX169),N(AV169)+1,1))</f>
        <v/>
      </c>
      <c r="AX169" s="6">
        <f>IF(OR(原始資料!$A169="",49&gt;設定!$B$3,原始資料!AZ169=""),"",IF(AND(原始資料!AY169&lt;&gt;"",原始資料!AZ169=原始資料!AY169),N(AW169)+1,1))</f>
        <v/>
      </c>
      <c r="AY169" s="6">
        <f>IF(OR(原始資料!$A169="",50&gt;設定!$B$3,原始資料!BA169=""),"",IF(AND(原始資料!AZ169&lt;&gt;"",原始資料!BA169=原始資料!AZ169),N(AX169)+1,1))</f>
        <v/>
      </c>
      <c r="AZ169" s="6">
        <f>IF(OR(原始資料!$A169="",51&gt;設定!$B$3,原始資料!BB169=""),"",IF(AND(原始資料!BA169&lt;&gt;"",原始資料!BB169=原始資料!BA169),N(AY169)+1,1))</f>
        <v/>
      </c>
      <c r="BA169" s="6">
        <f>IF(OR(原始資料!$A169="",52&gt;設定!$B$3,原始資料!BC169=""),"",IF(AND(原始資料!BB169&lt;&gt;"",原始資料!BC169=原始資料!BB169),N(AZ169)+1,1))</f>
        <v/>
      </c>
      <c r="BB169" s="6">
        <f>IF(OR(原始資料!$A169="",53&gt;設定!$B$3,原始資料!BD169=""),"",IF(AND(原始資料!BC169&lt;&gt;"",原始資料!BD169=原始資料!BC169),N(BA169)+1,1))</f>
        <v/>
      </c>
      <c r="BC169" s="6">
        <f>IF(OR(原始資料!$A169="",54&gt;設定!$B$3,原始資料!BE169=""),"",IF(AND(原始資料!BD169&lt;&gt;"",原始資料!BE169=原始資料!BD169),N(BB169)+1,1))</f>
        <v/>
      </c>
      <c r="BD169" s="6">
        <f>IF(OR(原始資料!$A169="",55&gt;設定!$B$3,原始資料!BF169=""),"",IF(AND(原始資料!BE169&lt;&gt;"",原始資料!BF169=原始資料!BE169),N(BC169)+1,1))</f>
        <v/>
      </c>
      <c r="BE169" s="6">
        <f>IF(OR(原始資料!$A169="",56&gt;設定!$B$3,原始資料!BG169=""),"",IF(AND(原始資料!BF169&lt;&gt;"",原始資料!BG169=原始資料!BF169),N(BD169)+1,1))</f>
        <v/>
      </c>
      <c r="BF169" s="6">
        <f>IF(OR(原始資料!$A169="",57&gt;設定!$B$3,原始資料!BH169=""),"",IF(AND(原始資料!BG169&lt;&gt;"",原始資料!BH169=原始資料!BG169),N(BE169)+1,1))</f>
        <v/>
      </c>
      <c r="BG169" s="6">
        <f>IF(OR(原始資料!$A169="",58&gt;設定!$B$3,原始資料!BI169=""),"",IF(AND(原始資料!BH169&lt;&gt;"",原始資料!BI169=原始資料!BH169),N(BF169)+1,1))</f>
        <v/>
      </c>
      <c r="BH169" s="6">
        <f>IF(OR(原始資料!$A169="",59&gt;設定!$B$3,原始資料!BJ169=""),"",IF(AND(原始資料!BI169&lt;&gt;"",原始資料!BJ169=原始資料!BI169),N(BG169)+1,1))</f>
        <v/>
      </c>
      <c r="BI169" s="6">
        <f>IF(OR(原始資料!$A169="",60&gt;設定!$B$3,原始資料!BK169=""),"",IF(AND(原始資料!BJ169&lt;&gt;"",原始資料!BK169=原始資料!BJ169),N(BH169)+1,1))</f>
        <v/>
      </c>
    </row>
    <row r="170">
      <c r="A170" s="6">
        <f>IF(原始資料!$A170="","",原始資料!$A170)</f>
        <v/>
      </c>
      <c r="B170" s="6">
        <f>IF(OR(原始資料!$A170="",1&gt;設定!$B$3,原始資料!D170=""),"",1)</f>
        <v/>
      </c>
      <c r="C170" s="6">
        <f>IF(OR(原始資料!$A170="",2&gt;設定!$B$3,原始資料!E170=""),"",IF(AND(原始資料!D170&lt;&gt;"",原始資料!E170=原始資料!D170),N(B170)+1,1))</f>
        <v/>
      </c>
      <c r="D170" s="6">
        <f>IF(OR(原始資料!$A170="",3&gt;設定!$B$3,原始資料!F170=""),"",IF(AND(原始資料!E170&lt;&gt;"",原始資料!F170=原始資料!E170),N(C170)+1,1))</f>
        <v/>
      </c>
      <c r="E170" s="6">
        <f>IF(OR(原始資料!$A170="",4&gt;設定!$B$3,原始資料!G170=""),"",IF(AND(原始資料!F170&lt;&gt;"",原始資料!G170=原始資料!F170),N(D170)+1,1))</f>
        <v/>
      </c>
      <c r="F170" s="6">
        <f>IF(OR(原始資料!$A170="",5&gt;設定!$B$3,原始資料!H170=""),"",IF(AND(原始資料!G170&lt;&gt;"",原始資料!H170=原始資料!G170),N(E170)+1,1))</f>
        <v/>
      </c>
      <c r="G170" s="6">
        <f>IF(OR(原始資料!$A170="",6&gt;設定!$B$3,原始資料!I170=""),"",IF(AND(原始資料!H170&lt;&gt;"",原始資料!I170=原始資料!H170),N(F170)+1,1))</f>
        <v/>
      </c>
      <c r="H170" s="6">
        <f>IF(OR(原始資料!$A170="",7&gt;設定!$B$3,原始資料!J170=""),"",IF(AND(原始資料!I170&lt;&gt;"",原始資料!J170=原始資料!I170),N(G170)+1,1))</f>
        <v/>
      </c>
      <c r="I170" s="6">
        <f>IF(OR(原始資料!$A170="",8&gt;設定!$B$3,原始資料!K170=""),"",IF(AND(原始資料!J170&lt;&gt;"",原始資料!K170=原始資料!J170),N(H170)+1,1))</f>
        <v/>
      </c>
      <c r="J170" s="6">
        <f>IF(OR(原始資料!$A170="",9&gt;設定!$B$3,原始資料!L170=""),"",IF(AND(原始資料!K170&lt;&gt;"",原始資料!L170=原始資料!K170),N(I170)+1,1))</f>
        <v/>
      </c>
      <c r="K170" s="6">
        <f>IF(OR(原始資料!$A170="",10&gt;設定!$B$3,原始資料!M170=""),"",IF(AND(原始資料!L170&lt;&gt;"",原始資料!M170=原始資料!L170),N(J170)+1,1))</f>
        <v/>
      </c>
      <c r="L170" s="6">
        <f>IF(OR(原始資料!$A170="",11&gt;設定!$B$3,原始資料!N170=""),"",IF(AND(原始資料!M170&lt;&gt;"",原始資料!N170=原始資料!M170),N(K170)+1,1))</f>
        <v/>
      </c>
      <c r="M170" s="6">
        <f>IF(OR(原始資料!$A170="",12&gt;設定!$B$3,原始資料!O170=""),"",IF(AND(原始資料!N170&lt;&gt;"",原始資料!O170=原始資料!N170),N(L170)+1,1))</f>
        <v/>
      </c>
      <c r="N170" s="6">
        <f>IF(OR(原始資料!$A170="",13&gt;設定!$B$3,原始資料!P170=""),"",IF(AND(原始資料!O170&lt;&gt;"",原始資料!P170=原始資料!O170),N(M170)+1,1))</f>
        <v/>
      </c>
      <c r="O170" s="6">
        <f>IF(OR(原始資料!$A170="",14&gt;設定!$B$3,原始資料!Q170=""),"",IF(AND(原始資料!P170&lt;&gt;"",原始資料!Q170=原始資料!P170),N(N170)+1,1))</f>
        <v/>
      </c>
      <c r="P170" s="6">
        <f>IF(OR(原始資料!$A170="",15&gt;設定!$B$3,原始資料!R170=""),"",IF(AND(原始資料!Q170&lt;&gt;"",原始資料!R170=原始資料!Q170),N(O170)+1,1))</f>
        <v/>
      </c>
      <c r="Q170" s="6">
        <f>IF(OR(原始資料!$A170="",16&gt;設定!$B$3,原始資料!S170=""),"",IF(AND(原始資料!R170&lt;&gt;"",原始資料!S170=原始資料!R170),N(P170)+1,1))</f>
        <v/>
      </c>
      <c r="R170" s="6">
        <f>IF(OR(原始資料!$A170="",17&gt;設定!$B$3,原始資料!T170=""),"",IF(AND(原始資料!S170&lt;&gt;"",原始資料!T170=原始資料!S170),N(Q170)+1,1))</f>
        <v/>
      </c>
      <c r="S170" s="6">
        <f>IF(OR(原始資料!$A170="",18&gt;設定!$B$3,原始資料!U170=""),"",IF(AND(原始資料!T170&lt;&gt;"",原始資料!U170=原始資料!T170),N(R170)+1,1))</f>
        <v/>
      </c>
      <c r="T170" s="6">
        <f>IF(OR(原始資料!$A170="",19&gt;設定!$B$3,原始資料!V170=""),"",IF(AND(原始資料!U170&lt;&gt;"",原始資料!V170=原始資料!U170),N(S170)+1,1))</f>
        <v/>
      </c>
      <c r="U170" s="6">
        <f>IF(OR(原始資料!$A170="",20&gt;設定!$B$3,原始資料!W170=""),"",IF(AND(原始資料!V170&lt;&gt;"",原始資料!W170=原始資料!V170),N(T170)+1,1))</f>
        <v/>
      </c>
      <c r="V170" s="6">
        <f>IF(OR(原始資料!$A170="",21&gt;設定!$B$3,原始資料!X170=""),"",IF(AND(原始資料!W170&lt;&gt;"",原始資料!X170=原始資料!W170),N(U170)+1,1))</f>
        <v/>
      </c>
      <c r="W170" s="6">
        <f>IF(OR(原始資料!$A170="",22&gt;設定!$B$3,原始資料!Y170=""),"",IF(AND(原始資料!X170&lt;&gt;"",原始資料!Y170=原始資料!X170),N(V170)+1,1))</f>
        <v/>
      </c>
      <c r="X170" s="6">
        <f>IF(OR(原始資料!$A170="",23&gt;設定!$B$3,原始資料!Z170=""),"",IF(AND(原始資料!Y170&lt;&gt;"",原始資料!Z170=原始資料!Y170),N(W170)+1,1))</f>
        <v/>
      </c>
      <c r="Y170" s="6">
        <f>IF(OR(原始資料!$A170="",24&gt;設定!$B$3,原始資料!AA170=""),"",IF(AND(原始資料!Z170&lt;&gt;"",原始資料!AA170=原始資料!Z170),N(X170)+1,1))</f>
        <v/>
      </c>
      <c r="Z170" s="6">
        <f>IF(OR(原始資料!$A170="",25&gt;設定!$B$3,原始資料!AB170=""),"",IF(AND(原始資料!AA170&lt;&gt;"",原始資料!AB170=原始資料!AA170),N(Y170)+1,1))</f>
        <v/>
      </c>
      <c r="AA170" s="6">
        <f>IF(OR(原始資料!$A170="",26&gt;設定!$B$3,原始資料!AC170=""),"",IF(AND(原始資料!AB170&lt;&gt;"",原始資料!AC170=原始資料!AB170),N(Z170)+1,1))</f>
        <v/>
      </c>
      <c r="AB170" s="6">
        <f>IF(OR(原始資料!$A170="",27&gt;設定!$B$3,原始資料!AD170=""),"",IF(AND(原始資料!AC170&lt;&gt;"",原始資料!AD170=原始資料!AC170),N(AA170)+1,1))</f>
        <v/>
      </c>
      <c r="AC170" s="6">
        <f>IF(OR(原始資料!$A170="",28&gt;設定!$B$3,原始資料!AE170=""),"",IF(AND(原始資料!AD170&lt;&gt;"",原始資料!AE170=原始資料!AD170),N(AB170)+1,1))</f>
        <v/>
      </c>
      <c r="AD170" s="6">
        <f>IF(OR(原始資料!$A170="",29&gt;設定!$B$3,原始資料!AF170=""),"",IF(AND(原始資料!AE170&lt;&gt;"",原始資料!AF170=原始資料!AE170),N(AC170)+1,1))</f>
        <v/>
      </c>
      <c r="AE170" s="6">
        <f>IF(OR(原始資料!$A170="",30&gt;設定!$B$3,原始資料!AG170=""),"",IF(AND(原始資料!AF170&lt;&gt;"",原始資料!AG170=原始資料!AF170),N(AD170)+1,1))</f>
        <v/>
      </c>
      <c r="AF170" s="6">
        <f>IF(OR(原始資料!$A170="",31&gt;設定!$B$3,原始資料!AH170=""),"",IF(AND(原始資料!AG170&lt;&gt;"",原始資料!AH170=原始資料!AG170),N(AE170)+1,1))</f>
        <v/>
      </c>
      <c r="AG170" s="6">
        <f>IF(OR(原始資料!$A170="",32&gt;設定!$B$3,原始資料!AI170=""),"",IF(AND(原始資料!AH170&lt;&gt;"",原始資料!AI170=原始資料!AH170),N(AF170)+1,1))</f>
        <v/>
      </c>
      <c r="AH170" s="6">
        <f>IF(OR(原始資料!$A170="",33&gt;設定!$B$3,原始資料!AJ170=""),"",IF(AND(原始資料!AI170&lt;&gt;"",原始資料!AJ170=原始資料!AI170),N(AG170)+1,1))</f>
        <v/>
      </c>
      <c r="AI170" s="6">
        <f>IF(OR(原始資料!$A170="",34&gt;設定!$B$3,原始資料!AK170=""),"",IF(AND(原始資料!AJ170&lt;&gt;"",原始資料!AK170=原始資料!AJ170),N(AH170)+1,1))</f>
        <v/>
      </c>
      <c r="AJ170" s="6">
        <f>IF(OR(原始資料!$A170="",35&gt;設定!$B$3,原始資料!AL170=""),"",IF(AND(原始資料!AK170&lt;&gt;"",原始資料!AL170=原始資料!AK170),N(AI170)+1,1))</f>
        <v/>
      </c>
      <c r="AK170" s="6">
        <f>IF(OR(原始資料!$A170="",36&gt;設定!$B$3,原始資料!AM170=""),"",IF(AND(原始資料!AL170&lt;&gt;"",原始資料!AM170=原始資料!AL170),N(AJ170)+1,1))</f>
        <v/>
      </c>
      <c r="AL170" s="6">
        <f>IF(OR(原始資料!$A170="",37&gt;設定!$B$3,原始資料!AN170=""),"",IF(AND(原始資料!AM170&lt;&gt;"",原始資料!AN170=原始資料!AM170),N(AK170)+1,1))</f>
        <v/>
      </c>
      <c r="AM170" s="6">
        <f>IF(OR(原始資料!$A170="",38&gt;設定!$B$3,原始資料!AO170=""),"",IF(AND(原始資料!AN170&lt;&gt;"",原始資料!AO170=原始資料!AN170),N(AL170)+1,1))</f>
        <v/>
      </c>
      <c r="AN170" s="6">
        <f>IF(OR(原始資料!$A170="",39&gt;設定!$B$3,原始資料!AP170=""),"",IF(AND(原始資料!AO170&lt;&gt;"",原始資料!AP170=原始資料!AO170),N(AM170)+1,1))</f>
        <v/>
      </c>
      <c r="AO170" s="6">
        <f>IF(OR(原始資料!$A170="",40&gt;設定!$B$3,原始資料!AQ170=""),"",IF(AND(原始資料!AP170&lt;&gt;"",原始資料!AQ170=原始資料!AP170),N(AN170)+1,1))</f>
        <v/>
      </c>
      <c r="AP170" s="6">
        <f>IF(OR(原始資料!$A170="",41&gt;設定!$B$3,原始資料!AR170=""),"",IF(AND(原始資料!AQ170&lt;&gt;"",原始資料!AR170=原始資料!AQ170),N(AO170)+1,1))</f>
        <v/>
      </c>
      <c r="AQ170" s="6">
        <f>IF(OR(原始資料!$A170="",42&gt;設定!$B$3,原始資料!AS170=""),"",IF(AND(原始資料!AR170&lt;&gt;"",原始資料!AS170=原始資料!AR170),N(AP170)+1,1))</f>
        <v/>
      </c>
      <c r="AR170" s="6">
        <f>IF(OR(原始資料!$A170="",43&gt;設定!$B$3,原始資料!AT170=""),"",IF(AND(原始資料!AS170&lt;&gt;"",原始資料!AT170=原始資料!AS170),N(AQ170)+1,1))</f>
        <v/>
      </c>
      <c r="AS170" s="6">
        <f>IF(OR(原始資料!$A170="",44&gt;設定!$B$3,原始資料!AU170=""),"",IF(AND(原始資料!AT170&lt;&gt;"",原始資料!AU170=原始資料!AT170),N(AR170)+1,1))</f>
        <v/>
      </c>
      <c r="AT170" s="6">
        <f>IF(OR(原始資料!$A170="",45&gt;設定!$B$3,原始資料!AV170=""),"",IF(AND(原始資料!AU170&lt;&gt;"",原始資料!AV170=原始資料!AU170),N(AS170)+1,1))</f>
        <v/>
      </c>
      <c r="AU170" s="6">
        <f>IF(OR(原始資料!$A170="",46&gt;設定!$B$3,原始資料!AW170=""),"",IF(AND(原始資料!AV170&lt;&gt;"",原始資料!AW170=原始資料!AV170),N(AT170)+1,1))</f>
        <v/>
      </c>
      <c r="AV170" s="6">
        <f>IF(OR(原始資料!$A170="",47&gt;設定!$B$3,原始資料!AX170=""),"",IF(AND(原始資料!AW170&lt;&gt;"",原始資料!AX170=原始資料!AW170),N(AU170)+1,1))</f>
        <v/>
      </c>
      <c r="AW170" s="6">
        <f>IF(OR(原始資料!$A170="",48&gt;設定!$B$3,原始資料!AY170=""),"",IF(AND(原始資料!AX170&lt;&gt;"",原始資料!AY170=原始資料!AX170),N(AV170)+1,1))</f>
        <v/>
      </c>
      <c r="AX170" s="6">
        <f>IF(OR(原始資料!$A170="",49&gt;設定!$B$3,原始資料!AZ170=""),"",IF(AND(原始資料!AY170&lt;&gt;"",原始資料!AZ170=原始資料!AY170),N(AW170)+1,1))</f>
        <v/>
      </c>
      <c r="AY170" s="6">
        <f>IF(OR(原始資料!$A170="",50&gt;設定!$B$3,原始資料!BA170=""),"",IF(AND(原始資料!AZ170&lt;&gt;"",原始資料!BA170=原始資料!AZ170),N(AX170)+1,1))</f>
        <v/>
      </c>
      <c r="AZ170" s="6">
        <f>IF(OR(原始資料!$A170="",51&gt;設定!$B$3,原始資料!BB170=""),"",IF(AND(原始資料!BA170&lt;&gt;"",原始資料!BB170=原始資料!BA170),N(AY170)+1,1))</f>
        <v/>
      </c>
      <c r="BA170" s="6">
        <f>IF(OR(原始資料!$A170="",52&gt;設定!$B$3,原始資料!BC170=""),"",IF(AND(原始資料!BB170&lt;&gt;"",原始資料!BC170=原始資料!BB170),N(AZ170)+1,1))</f>
        <v/>
      </c>
      <c r="BB170" s="6">
        <f>IF(OR(原始資料!$A170="",53&gt;設定!$B$3,原始資料!BD170=""),"",IF(AND(原始資料!BC170&lt;&gt;"",原始資料!BD170=原始資料!BC170),N(BA170)+1,1))</f>
        <v/>
      </c>
      <c r="BC170" s="6">
        <f>IF(OR(原始資料!$A170="",54&gt;設定!$B$3,原始資料!BE170=""),"",IF(AND(原始資料!BD170&lt;&gt;"",原始資料!BE170=原始資料!BD170),N(BB170)+1,1))</f>
        <v/>
      </c>
      <c r="BD170" s="6">
        <f>IF(OR(原始資料!$A170="",55&gt;設定!$B$3,原始資料!BF170=""),"",IF(AND(原始資料!BE170&lt;&gt;"",原始資料!BF170=原始資料!BE170),N(BC170)+1,1))</f>
        <v/>
      </c>
      <c r="BE170" s="6">
        <f>IF(OR(原始資料!$A170="",56&gt;設定!$B$3,原始資料!BG170=""),"",IF(AND(原始資料!BF170&lt;&gt;"",原始資料!BG170=原始資料!BF170),N(BD170)+1,1))</f>
        <v/>
      </c>
      <c r="BF170" s="6">
        <f>IF(OR(原始資料!$A170="",57&gt;設定!$B$3,原始資料!BH170=""),"",IF(AND(原始資料!BG170&lt;&gt;"",原始資料!BH170=原始資料!BG170),N(BE170)+1,1))</f>
        <v/>
      </c>
      <c r="BG170" s="6">
        <f>IF(OR(原始資料!$A170="",58&gt;設定!$B$3,原始資料!BI170=""),"",IF(AND(原始資料!BH170&lt;&gt;"",原始資料!BI170=原始資料!BH170),N(BF170)+1,1))</f>
        <v/>
      </c>
      <c r="BH170" s="6">
        <f>IF(OR(原始資料!$A170="",59&gt;設定!$B$3,原始資料!BJ170=""),"",IF(AND(原始資料!BI170&lt;&gt;"",原始資料!BJ170=原始資料!BI170),N(BG170)+1,1))</f>
        <v/>
      </c>
      <c r="BI170" s="6">
        <f>IF(OR(原始資料!$A170="",60&gt;設定!$B$3,原始資料!BK170=""),"",IF(AND(原始資料!BJ170&lt;&gt;"",原始資料!BK170=原始資料!BJ170),N(BH170)+1,1))</f>
        <v/>
      </c>
    </row>
    <row r="171">
      <c r="A171" s="6">
        <f>IF(原始資料!$A171="","",原始資料!$A171)</f>
        <v/>
      </c>
      <c r="B171" s="6">
        <f>IF(OR(原始資料!$A171="",1&gt;設定!$B$3,原始資料!D171=""),"",1)</f>
        <v/>
      </c>
      <c r="C171" s="6">
        <f>IF(OR(原始資料!$A171="",2&gt;設定!$B$3,原始資料!E171=""),"",IF(AND(原始資料!D171&lt;&gt;"",原始資料!E171=原始資料!D171),N(B171)+1,1))</f>
        <v/>
      </c>
      <c r="D171" s="6">
        <f>IF(OR(原始資料!$A171="",3&gt;設定!$B$3,原始資料!F171=""),"",IF(AND(原始資料!E171&lt;&gt;"",原始資料!F171=原始資料!E171),N(C171)+1,1))</f>
        <v/>
      </c>
      <c r="E171" s="6">
        <f>IF(OR(原始資料!$A171="",4&gt;設定!$B$3,原始資料!G171=""),"",IF(AND(原始資料!F171&lt;&gt;"",原始資料!G171=原始資料!F171),N(D171)+1,1))</f>
        <v/>
      </c>
      <c r="F171" s="6">
        <f>IF(OR(原始資料!$A171="",5&gt;設定!$B$3,原始資料!H171=""),"",IF(AND(原始資料!G171&lt;&gt;"",原始資料!H171=原始資料!G171),N(E171)+1,1))</f>
        <v/>
      </c>
      <c r="G171" s="6">
        <f>IF(OR(原始資料!$A171="",6&gt;設定!$B$3,原始資料!I171=""),"",IF(AND(原始資料!H171&lt;&gt;"",原始資料!I171=原始資料!H171),N(F171)+1,1))</f>
        <v/>
      </c>
      <c r="H171" s="6">
        <f>IF(OR(原始資料!$A171="",7&gt;設定!$B$3,原始資料!J171=""),"",IF(AND(原始資料!I171&lt;&gt;"",原始資料!J171=原始資料!I171),N(G171)+1,1))</f>
        <v/>
      </c>
      <c r="I171" s="6">
        <f>IF(OR(原始資料!$A171="",8&gt;設定!$B$3,原始資料!K171=""),"",IF(AND(原始資料!J171&lt;&gt;"",原始資料!K171=原始資料!J171),N(H171)+1,1))</f>
        <v/>
      </c>
      <c r="J171" s="6">
        <f>IF(OR(原始資料!$A171="",9&gt;設定!$B$3,原始資料!L171=""),"",IF(AND(原始資料!K171&lt;&gt;"",原始資料!L171=原始資料!K171),N(I171)+1,1))</f>
        <v/>
      </c>
      <c r="K171" s="6">
        <f>IF(OR(原始資料!$A171="",10&gt;設定!$B$3,原始資料!M171=""),"",IF(AND(原始資料!L171&lt;&gt;"",原始資料!M171=原始資料!L171),N(J171)+1,1))</f>
        <v/>
      </c>
      <c r="L171" s="6">
        <f>IF(OR(原始資料!$A171="",11&gt;設定!$B$3,原始資料!N171=""),"",IF(AND(原始資料!M171&lt;&gt;"",原始資料!N171=原始資料!M171),N(K171)+1,1))</f>
        <v/>
      </c>
      <c r="M171" s="6">
        <f>IF(OR(原始資料!$A171="",12&gt;設定!$B$3,原始資料!O171=""),"",IF(AND(原始資料!N171&lt;&gt;"",原始資料!O171=原始資料!N171),N(L171)+1,1))</f>
        <v/>
      </c>
      <c r="N171" s="6">
        <f>IF(OR(原始資料!$A171="",13&gt;設定!$B$3,原始資料!P171=""),"",IF(AND(原始資料!O171&lt;&gt;"",原始資料!P171=原始資料!O171),N(M171)+1,1))</f>
        <v/>
      </c>
      <c r="O171" s="6">
        <f>IF(OR(原始資料!$A171="",14&gt;設定!$B$3,原始資料!Q171=""),"",IF(AND(原始資料!P171&lt;&gt;"",原始資料!Q171=原始資料!P171),N(N171)+1,1))</f>
        <v/>
      </c>
      <c r="P171" s="6">
        <f>IF(OR(原始資料!$A171="",15&gt;設定!$B$3,原始資料!R171=""),"",IF(AND(原始資料!Q171&lt;&gt;"",原始資料!R171=原始資料!Q171),N(O171)+1,1))</f>
        <v/>
      </c>
      <c r="Q171" s="6">
        <f>IF(OR(原始資料!$A171="",16&gt;設定!$B$3,原始資料!S171=""),"",IF(AND(原始資料!R171&lt;&gt;"",原始資料!S171=原始資料!R171),N(P171)+1,1))</f>
        <v/>
      </c>
      <c r="R171" s="6">
        <f>IF(OR(原始資料!$A171="",17&gt;設定!$B$3,原始資料!T171=""),"",IF(AND(原始資料!S171&lt;&gt;"",原始資料!T171=原始資料!S171),N(Q171)+1,1))</f>
        <v/>
      </c>
      <c r="S171" s="6">
        <f>IF(OR(原始資料!$A171="",18&gt;設定!$B$3,原始資料!U171=""),"",IF(AND(原始資料!T171&lt;&gt;"",原始資料!U171=原始資料!T171),N(R171)+1,1))</f>
        <v/>
      </c>
      <c r="T171" s="6">
        <f>IF(OR(原始資料!$A171="",19&gt;設定!$B$3,原始資料!V171=""),"",IF(AND(原始資料!U171&lt;&gt;"",原始資料!V171=原始資料!U171),N(S171)+1,1))</f>
        <v/>
      </c>
      <c r="U171" s="6">
        <f>IF(OR(原始資料!$A171="",20&gt;設定!$B$3,原始資料!W171=""),"",IF(AND(原始資料!V171&lt;&gt;"",原始資料!W171=原始資料!V171),N(T171)+1,1))</f>
        <v/>
      </c>
      <c r="V171" s="6">
        <f>IF(OR(原始資料!$A171="",21&gt;設定!$B$3,原始資料!X171=""),"",IF(AND(原始資料!W171&lt;&gt;"",原始資料!X171=原始資料!W171),N(U171)+1,1))</f>
        <v/>
      </c>
      <c r="W171" s="6">
        <f>IF(OR(原始資料!$A171="",22&gt;設定!$B$3,原始資料!Y171=""),"",IF(AND(原始資料!X171&lt;&gt;"",原始資料!Y171=原始資料!X171),N(V171)+1,1))</f>
        <v/>
      </c>
      <c r="X171" s="6">
        <f>IF(OR(原始資料!$A171="",23&gt;設定!$B$3,原始資料!Z171=""),"",IF(AND(原始資料!Y171&lt;&gt;"",原始資料!Z171=原始資料!Y171),N(W171)+1,1))</f>
        <v/>
      </c>
      <c r="Y171" s="6">
        <f>IF(OR(原始資料!$A171="",24&gt;設定!$B$3,原始資料!AA171=""),"",IF(AND(原始資料!Z171&lt;&gt;"",原始資料!AA171=原始資料!Z171),N(X171)+1,1))</f>
        <v/>
      </c>
      <c r="Z171" s="6">
        <f>IF(OR(原始資料!$A171="",25&gt;設定!$B$3,原始資料!AB171=""),"",IF(AND(原始資料!AA171&lt;&gt;"",原始資料!AB171=原始資料!AA171),N(Y171)+1,1))</f>
        <v/>
      </c>
      <c r="AA171" s="6">
        <f>IF(OR(原始資料!$A171="",26&gt;設定!$B$3,原始資料!AC171=""),"",IF(AND(原始資料!AB171&lt;&gt;"",原始資料!AC171=原始資料!AB171),N(Z171)+1,1))</f>
        <v/>
      </c>
      <c r="AB171" s="6">
        <f>IF(OR(原始資料!$A171="",27&gt;設定!$B$3,原始資料!AD171=""),"",IF(AND(原始資料!AC171&lt;&gt;"",原始資料!AD171=原始資料!AC171),N(AA171)+1,1))</f>
        <v/>
      </c>
      <c r="AC171" s="6">
        <f>IF(OR(原始資料!$A171="",28&gt;設定!$B$3,原始資料!AE171=""),"",IF(AND(原始資料!AD171&lt;&gt;"",原始資料!AE171=原始資料!AD171),N(AB171)+1,1))</f>
        <v/>
      </c>
      <c r="AD171" s="6">
        <f>IF(OR(原始資料!$A171="",29&gt;設定!$B$3,原始資料!AF171=""),"",IF(AND(原始資料!AE171&lt;&gt;"",原始資料!AF171=原始資料!AE171),N(AC171)+1,1))</f>
        <v/>
      </c>
      <c r="AE171" s="6">
        <f>IF(OR(原始資料!$A171="",30&gt;設定!$B$3,原始資料!AG171=""),"",IF(AND(原始資料!AF171&lt;&gt;"",原始資料!AG171=原始資料!AF171),N(AD171)+1,1))</f>
        <v/>
      </c>
      <c r="AF171" s="6">
        <f>IF(OR(原始資料!$A171="",31&gt;設定!$B$3,原始資料!AH171=""),"",IF(AND(原始資料!AG171&lt;&gt;"",原始資料!AH171=原始資料!AG171),N(AE171)+1,1))</f>
        <v/>
      </c>
      <c r="AG171" s="6">
        <f>IF(OR(原始資料!$A171="",32&gt;設定!$B$3,原始資料!AI171=""),"",IF(AND(原始資料!AH171&lt;&gt;"",原始資料!AI171=原始資料!AH171),N(AF171)+1,1))</f>
        <v/>
      </c>
      <c r="AH171" s="6">
        <f>IF(OR(原始資料!$A171="",33&gt;設定!$B$3,原始資料!AJ171=""),"",IF(AND(原始資料!AI171&lt;&gt;"",原始資料!AJ171=原始資料!AI171),N(AG171)+1,1))</f>
        <v/>
      </c>
      <c r="AI171" s="6">
        <f>IF(OR(原始資料!$A171="",34&gt;設定!$B$3,原始資料!AK171=""),"",IF(AND(原始資料!AJ171&lt;&gt;"",原始資料!AK171=原始資料!AJ171),N(AH171)+1,1))</f>
        <v/>
      </c>
      <c r="AJ171" s="6">
        <f>IF(OR(原始資料!$A171="",35&gt;設定!$B$3,原始資料!AL171=""),"",IF(AND(原始資料!AK171&lt;&gt;"",原始資料!AL171=原始資料!AK171),N(AI171)+1,1))</f>
        <v/>
      </c>
      <c r="AK171" s="6">
        <f>IF(OR(原始資料!$A171="",36&gt;設定!$B$3,原始資料!AM171=""),"",IF(AND(原始資料!AL171&lt;&gt;"",原始資料!AM171=原始資料!AL171),N(AJ171)+1,1))</f>
        <v/>
      </c>
      <c r="AL171" s="6">
        <f>IF(OR(原始資料!$A171="",37&gt;設定!$B$3,原始資料!AN171=""),"",IF(AND(原始資料!AM171&lt;&gt;"",原始資料!AN171=原始資料!AM171),N(AK171)+1,1))</f>
        <v/>
      </c>
      <c r="AM171" s="6">
        <f>IF(OR(原始資料!$A171="",38&gt;設定!$B$3,原始資料!AO171=""),"",IF(AND(原始資料!AN171&lt;&gt;"",原始資料!AO171=原始資料!AN171),N(AL171)+1,1))</f>
        <v/>
      </c>
      <c r="AN171" s="6">
        <f>IF(OR(原始資料!$A171="",39&gt;設定!$B$3,原始資料!AP171=""),"",IF(AND(原始資料!AO171&lt;&gt;"",原始資料!AP171=原始資料!AO171),N(AM171)+1,1))</f>
        <v/>
      </c>
      <c r="AO171" s="6">
        <f>IF(OR(原始資料!$A171="",40&gt;設定!$B$3,原始資料!AQ171=""),"",IF(AND(原始資料!AP171&lt;&gt;"",原始資料!AQ171=原始資料!AP171),N(AN171)+1,1))</f>
        <v/>
      </c>
      <c r="AP171" s="6">
        <f>IF(OR(原始資料!$A171="",41&gt;設定!$B$3,原始資料!AR171=""),"",IF(AND(原始資料!AQ171&lt;&gt;"",原始資料!AR171=原始資料!AQ171),N(AO171)+1,1))</f>
        <v/>
      </c>
      <c r="AQ171" s="6">
        <f>IF(OR(原始資料!$A171="",42&gt;設定!$B$3,原始資料!AS171=""),"",IF(AND(原始資料!AR171&lt;&gt;"",原始資料!AS171=原始資料!AR171),N(AP171)+1,1))</f>
        <v/>
      </c>
      <c r="AR171" s="6">
        <f>IF(OR(原始資料!$A171="",43&gt;設定!$B$3,原始資料!AT171=""),"",IF(AND(原始資料!AS171&lt;&gt;"",原始資料!AT171=原始資料!AS171),N(AQ171)+1,1))</f>
        <v/>
      </c>
      <c r="AS171" s="6">
        <f>IF(OR(原始資料!$A171="",44&gt;設定!$B$3,原始資料!AU171=""),"",IF(AND(原始資料!AT171&lt;&gt;"",原始資料!AU171=原始資料!AT171),N(AR171)+1,1))</f>
        <v/>
      </c>
      <c r="AT171" s="6">
        <f>IF(OR(原始資料!$A171="",45&gt;設定!$B$3,原始資料!AV171=""),"",IF(AND(原始資料!AU171&lt;&gt;"",原始資料!AV171=原始資料!AU171),N(AS171)+1,1))</f>
        <v/>
      </c>
      <c r="AU171" s="6">
        <f>IF(OR(原始資料!$A171="",46&gt;設定!$B$3,原始資料!AW171=""),"",IF(AND(原始資料!AV171&lt;&gt;"",原始資料!AW171=原始資料!AV171),N(AT171)+1,1))</f>
        <v/>
      </c>
      <c r="AV171" s="6">
        <f>IF(OR(原始資料!$A171="",47&gt;設定!$B$3,原始資料!AX171=""),"",IF(AND(原始資料!AW171&lt;&gt;"",原始資料!AX171=原始資料!AW171),N(AU171)+1,1))</f>
        <v/>
      </c>
      <c r="AW171" s="6">
        <f>IF(OR(原始資料!$A171="",48&gt;設定!$B$3,原始資料!AY171=""),"",IF(AND(原始資料!AX171&lt;&gt;"",原始資料!AY171=原始資料!AX171),N(AV171)+1,1))</f>
        <v/>
      </c>
      <c r="AX171" s="6">
        <f>IF(OR(原始資料!$A171="",49&gt;設定!$B$3,原始資料!AZ171=""),"",IF(AND(原始資料!AY171&lt;&gt;"",原始資料!AZ171=原始資料!AY171),N(AW171)+1,1))</f>
        <v/>
      </c>
      <c r="AY171" s="6">
        <f>IF(OR(原始資料!$A171="",50&gt;設定!$B$3,原始資料!BA171=""),"",IF(AND(原始資料!AZ171&lt;&gt;"",原始資料!BA171=原始資料!AZ171),N(AX171)+1,1))</f>
        <v/>
      </c>
      <c r="AZ171" s="6">
        <f>IF(OR(原始資料!$A171="",51&gt;設定!$B$3,原始資料!BB171=""),"",IF(AND(原始資料!BA171&lt;&gt;"",原始資料!BB171=原始資料!BA171),N(AY171)+1,1))</f>
        <v/>
      </c>
      <c r="BA171" s="6">
        <f>IF(OR(原始資料!$A171="",52&gt;設定!$B$3,原始資料!BC171=""),"",IF(AND(原始資料!BB171&lt;&gt;"",原始資料!BC171=原始資料!BB171),N(AZ171)+1,1))</f>
        <v/>
      </c>
      <c r="BB171" s="6">
        <f>IF(OR(原始資料!$A171="",53&gt;設定!$B$3,原始資料!BD171=""),"",IF(AND(原始資料!BC171&lt;&gt;"",原始資料!BD171=原始資料!BC171),N(BA171)+1,1))</f>
        <v/>
      </c>
      <c r="BC171" s="6">
        <f>IF(OR(原始資料!$A171="",54&gt;設定!$B$3,原始資料!BE171=""),"",IF(AND(原始資料!BD171&lt;&gt;"",原始資料!BE171=原始資料!BD171),N(BB171)+1,1))</f>
        <v/>
      </c>
      <c r="BD171" s="6">
        <f>IF(OR(原始資料!$A171="",55&gt;設定!$B$3,原始資料!BF171=""),"",IF(AND(原始資料!BE171&lt;&gt;"",原始資料!BF171=原始資料!BE171),N(BC171)+1,1))</f>
        <v/>
      </c>
      <c r="BE171" s="6">
        <f>IF(OR(原始資料!$A171="",56&gt;設定!$B$3,原始資料!BG171=""),"",IF(AND(原始資料!BF171&lt;&gt;"",原始資料!BG171=原始資料!BF171),N(BD171)+1,1))</f>
        <v/>
      </c>
      <c r="BF171" s="6">
        <f>IF(OR(原始資料!$A171="",57&gt;設定!$B$3,原始資料!BH171=""),"",IF(AND(原始資料!BG171&lt;&gt;"",原始資料!BH171=原始資料!BG171),N(BE171)+1,1))</f>
        <v/>
      </c>
      <c r="BG171" s="6">
        <f>IF(OR(原始資料!$A171="",58&gt;設定!$B$3,原始資料!BI171=""),"",IF(AND(原始資料!BH171&lt;&gt;"",原始資料!BI171=原始資料!BH171),N(BF171)+1,1))</f>
        <v/>
      </c>
      <c r="BH171" s="6">
        <f>IF(OR(原始資料!$A171="",59&gt;設定!$B$3,原始資料!BJ171=""),"",IF(AND(原始資料!BI171&lt;&gt;"",原始資料!BJ171=原始資料!BI171),N(BG171)+1,1))</f>
        <v/>
      </c>
      <c r="BI171" s="6">
        <f>IF(OR(原始資料!$A171="",60&gt;設定!$B$3,原始資料!BK171=""),"",IF(AND(原始資料!BJ171&lt;&gt;"",原始資料!BK171=原始資料!BJ171),N(BH171)+1,1))</f>
        <v/>
      </c>
    </row>
    <row r="172">
      <c r="A172" s="6">
        <f>IF(原始資料!$A172="","",原始資料!$A172)</f>
        <v/>
      </c>
      <c r="B172" s="6">
        <f>IF(OR(原始資料!$A172="",1&gt;設定!$B$3,原始資料!D172=""),"",1)</f>
        <v/>
      </c>
      <c r="C172" s="6">
        <f>IF(OR(原始資料!$A172="",2&gt;設定!$B$3,原始資料!E172=""),"",IF(AND(原始資料!D172&lt;&gt;"",原始資料!E172=原始資料!D172),N(B172)+1,1))</f>
        <v/>
      </c>
      <c r="D172" s="6">
        <f>IF(OR(原始資料!$A172="",3&gt;設定!$B$3,原始資料!F172=""),"",IF(AND(原始資料!E172&lt;&gt;"",原始資料!F172=原始資料!E172),N(C172)+1,1))</f>
        <v/>
      </c>
      <c r="E172" s="6">
        <f>IF(OR(原始資料!$A172="",4&gt;設定!$B$3,原始資料!G172=""),"",IF(AND(原始資料!F172&lt;&gt;"",原始資料!G172=原始資料!F172),N(D172)+1,1))</f>
        <v/>
      </c>
      <c r="F172" s="6">
        <f>IF(OR(原始資料!$A172="",5&gt;設定!$B$3,原始資料!H172=""),"",IF(AND(原始資料!G172&lt;&gt;"",原始資料!H172=原始資料!G172),N(E172)+1,1))</f>
        <v/>
      </c>
      <c r="G172" s="6">
        <f>IF(OR(原始資料!$A172="",6&gt;設定!$B$3,原始資料!I172=""),"",IF(AND(原始資料!H172&lt;&gt;"",原始資料!I172=原始資料!H172),N(F172)+1,1))</f>
        <v/>
      </c>
      <c r="H172" s="6">
        <f>IF(OR(原始資料!$A172="",7&gt;設定!$B$3,原始資料!J172=""),"",IF(AND(原始資料!I172&lt;&gt;"",原始資料!J172=原始資料!I172),N(G172)+1,1))</f>
        <v/>
      </c>
      <c r="I172" s="6">
        <f>IF(OR(原始資料!$A172="",8&gt;設定!$B$3,原始資料!K172=""),"",IF(AND(原始資料!J172&lt;&gt;"",原始資料!K172=原始資料!J172),N(H172)+1,1))</f>
        <v/>
      </c>
      <c r="J172" s="6">
        <f>IF(OR(原始資料!$A172="",9&gt;設定!$B$3,原始資料!L172=""),"",IF(AND(原始資料!K172&lt;&gt;"",原始資料!L172=原始資料!K172),N(I172)+1,1))</f>
        <v/>
      </c>
      <c r="K172" s="6">
        <f>IF(OR(原始資料!$A172="",10&gt;設定!$B$3,原始資料!M172=""),"",IF(AND(原始資料!L172&lt;&gt;"",原始資料!M172=原始資料!L172),N(J172)+1,1))</f>
        <v/>
      </c>
      <c r="L172" s="6">
        <f>IF(OR(原始資料!$A172="",11&gt;設定!$B$3,原始資料!N172=""),"",IF(AND(原始資料!M172&lt;&gt;"",原始資料!N172=原始資料!M172),N(K172)+1,1))</f>
        <v/>
      </c>
      <c r="M172" s="6">
        <f>IF(OR(原始資料!$A172="",12&gt;設定!$B$3,原始資料!O172=""),"",IF(AND(原始資料!N172&lt;&gt;"",原始資料!O172=原始資料!N172),N(L172)+1,1))</f>
        <v/>
      </c>
      <c r="N172" s="6">
        <f>IF(OR(原始資料!$A172="",13&gt;設定!$B$3,原始資料!P172=""),"",IF(AND(原始資料!O172&lt;&gt;"",原始資料!P172=原始資料!O172),N(M172)+1,1))</f>
        <v/>
      </c>
      <c r="O172" s="6">
        <f>IF(OR(原始資料!$A172="",14&gt;設定!$B$3,原始資料!Q172=""),"",IF(AND(原始資料!P172&lt;&gt;"",原始資料!Q172=原始資料!P172),N(N172)+1,1))</f>
        <v/>
      </c>
      <c r="P172" s="6">
        <f>IF(OR(原始資料!$A172="",15&gt;設定!$B$3,原始資料!R172=""),"",IF(AND(原始資料!Q172&lt;&gt;"",原始資料!R172=原始資料!Q172),N(O172)+1,1))</f>
        <v/>
      </c>
      <c r="Q172" s="6">
        <f>IF(OR(原始資料!$A172="",16&gt;設定!$B$3,原始資料!S172=""),"",IF(AND(原始資料!R172&lt;&gt;"",原始資料!S172=原始資料!R172),N(P172)+1,1))</f>
        <v/>
      </c>
      <c r="R172" s="6">
        <f>IF(OR(原始資料!$A172="",17&gt;設定!$B$3,原始資料!T172=""),"",IF(AND(原始資料!S172&lt;&gt;"",原始資料!T172=原始資料!S172),N(Q172)+1,1))</f>
        <v/>
      </c>
      <c r="S172" s="6">
        <f>IF(OR(原始資料!$A172="",18&gt;設定!$B$3,原始資料!U172=""),"",IF(AND(原始資料!T172&lt;&gt;"",原始資料!U172=原始資料!T172),N(R172)+1,1))</f>
        <v/>
      </c>
      <c r="T172" s="6">
        <f>IF(OR(原始資料!$A172="",19&gt;設定!$B$3,原始資料!V172=""),"",IF(AND(原始資料!U172&lt;&gt;"",原始資料!V172=原始資料!U172),N(S172)+1,1))</f>
        <v/>
      </c>
      <c r="U172" s="6">
        <f>IF(OR(原始資料!$A172="",20&gt;設定!$B$3,原始資料!W172=""),"",IF(AND(原始資料!V172&lt;&gt;"",原始資料!W172=原始資料!V172),N(T172)+1,1))</f>
        <v/>
      </c>
      <c r="V172" s="6">
        <f>IF(OR(原始資料!$A172="",21&gt;設定!$B$3,原始資料!X172=""),"",IF(AND(原始資料!W172&lt;&gt;"",原始資料!X172=原始資料!W172),N(U172)+1,1))</f>
        <v/>
      </c>
      <c r="W172" s="6">
        <f>IF(OR(原始資料!$A172="",22&gt;設定!$B$3,原始資料!Y172=""),"",IF(AND(原始資料!X172&lt;&gt;"",原始資料!Y172=原始資料!X172),N(V172)+1,1))</f>
        <v/>
      </c>
      <c r="X172" s="6">
        <f>IF(OR(原始資料!$A172="",23&gt;設定!$B$3,原始資料!Z172=""),"",IF(AND(原始資料!Y172&lt;&gt;"",原始資料!Z172=原始資料!Y172),N(W172)+1,1))</f>
        <v/>
      </c>
      <c r="Y172" s="6">
        <f>IF(OR(原始資料!$A172="",24&gt;設定!$B$3,原始資料!AA172=""),"",IF(AND(原始資料!Z172&lt;&gt;"",原始資料!AA172=原始資料!Z172),N(X172)+1,1))</f>
        <v/>
      </c>
      <c r="Z172" s="6">
        <f>IF(OR(原始資料!$A172="",25&gt;設定!$B$3,原始資料!AB172=""),"",IF(AND(原始資料!AA172&lt;&gt;"",原始資料!AB172=原始資料!AA172),N(Y172)+1,1))</f>
        <v/>
      </c>
      <c r="AA172" s="6">
        <f>IF(OR(原始資料!$A172="",26&gt;設定!$B$3,原始資料!AC172=""),"",IF(AND(原始資料!AB172&lt;&gt;"",原始資料!AC172=原始資料!AB172),N(Z172)+1,1))</f>
        <v/>
      </c>
      <c r="AB172" s="6">
        <f>IF(OR(原始資料!$A172="",27&gt;設定!$B$3,原始資料!AD172=""),"",IF(AND(原始資料!AC172&lt;&gt;"",原始資料!AD172=原始資料!AC172),N(AA172)+1,1))</f>
        <v/>
      </c>
      <c r="AC172" s="6">
        <f>IF(OR(原始資料!$A172="",28&gt;設定!$B$3,原始資料!AE172=""),"",IF(AND(原始資料!AD172&lt;&gt;"",原始資料!AE172=原始資料!AD172),N(AB172)+1,1))</f>
        <v/>
      </c>
      <c r="AD172" s="6">
        <f>IF(OR(原始資料!$A172="",29&gt;設定!$B$3,原始資料!AF172=""),"",IF(AND(原始資料!AE172&lt;&gt;"",原始資料!AF172=原始資料!AE172),N(AC172)+1,1))</f>
        <v/>
      </c>
      <c r="AE172" s="6">
        <f>IF(OR(原始資料!$A172="",30&gt;設定!$B$3,原始資料!AG172=""),"",IF(AND(原始資料!AF172&lt;&gt;"",原始資料!AG172=原始資料!AF172),N(AD172)+1,1))</f>
        <v/>
      </c>
      <c r="AF172" s="6">
        <f>IF(OR(原始資料!$A172="",31&gt;設定!$B$3,原始資料!AH172=""),"",IF(AND(原始資料!AG172&lt;&gt;"",原始資料!AH172=原始資料!AG172),N(AE172)+1,1))</f>
        <v/>
      </c>
      <c r="AG172" s="6">
        <f>IF(OR(原始資料!$A172="",32&gt;設定!$B$3,原始資料!AI172=""),"",IF(AND(原始資料!AH172&lt;&gt;"",原始資料!AI172=原始資料!AH172),N(AF172)+1,1))</f>
        <v/>
      </c>
      <c r="AH172" s="6">
        <f>IF(OR(原始資料!$A172="",33&gt;設定!$B$3,原始資料!AJ172=""),"",IF(AND(原始資料!AI172&lt;&gt;"",原始資料!AJ172=原始資料!AI172),N(AG172)+1,1))</f>
        <v/>
      </c>
      <c r="AI172" s="6">
        <f>IF(OR(原始資料!$A172="",34&gt;設定!$B$3,原始資料!AK172=""),"",IF(AND(原始資料!AJ172&lt;&gt;"",原始資料!AK172=原始資料!AJ172),N(AH172)+1,1))</f>
        <v/>
      </c>
      <c r="AJ172" s="6">
        <f>IF(OR(原始資料!$A172="",35&gt;設定!$B$3,原始資料!AL172=""),"",IF(AND(原始資料!AK172&lt;&gt;"",原始資料!AL172=原始資料!AK172),N(AI172)+1,1))</f>
        <v/>
      </c>
      <c r="AK172" s="6">
        <f>IF(OR(原始資料!$A172="",36&gt;設定!$B$3,原始資料!AM172=""),"",IF(AND(原始資料!AL172&lt;&gt;"",原始資料!AM172=原始資料!AL172),N(AJ172)+1,1))</f>
        <v/>
      </c>
      <c r="AL172" s="6">
        <f>IF(OR(原始資料!$A172="",37&gt;設定!$B$3,原始資料!AN172=""),"",IF(AND(原始資料!AM172&lt;&gt;"",原始資料!AN172=原始資料!AM172),N(AK172)+1,1))</f>
        <v/>
      </c>
      <c r="AM172" s="6">
        <f>IF(OR(原始資料!$A172="",38&gt;設定!$B$3,原始資料!AO172=""),"",IF(AND(原始資料!AN172&lt;&gt;"",原始資料!AO172=原始資料!AN172),N(AL172)+1,1))</f>
        <v/>
      </c>
      <c r="AN172" s="6">
        <f>IF(OR(原始資料!$A172="",39&gt;設定!$B$3,原始資料!AP172=""),"",IF(AND(原始資料!AO172&lt;&gt;"",原始資料!AP172=原始資料!AO172),N(AM172)+1,1))</f>
        <v/>
      </c>
      <c r="AO172" s="6">
        <f>IF(OR(原始資料!$A172="",40&gt;設定!$B$3,原始資料!AQ172=""),"",IF(AND(原始資料!AP172&lt;&gt;"",原始資料!AQ172=原始資料!AP172),N(AN172)+1,1))</f>
        <v/>
      </c>
      <c r="AP172" s="6">
        <f>IF(OR(原始資料!$A172="",41&gt;設定!$B$3,原始資料!AR172=""),"",IF(AND(原始資料!AQ172&lt;&gt;"",原始資料!AR172=原始資料!AQ172),N(AO172)+1,1))</f>
        <v/>
      </c>
      <c r="AQ172" s="6">
        <f>IF(OR(原始資料!$A172="",42&gt;設定!$B$3,原始資料!AS172=""),"",IF(AND(原始資料!AR172&lt;&gt;"",原始資料!AS172=原始資料!AR172),N(AP172)+1,1))</f>
        <v/>
      </c>
      <c r="AR172" s="6">
        <f>IF(OR(原始資料!$A172="",43&gt;設定!$B$3,原始資料!AT172=""),"",IF(AND(原始資料!AS172&lt;&gt;"",原始資料!AT172=原始資料!AS172),N(AQ172)+1,1))</f>
        <v/>
      </c>
      <c r="AS172" s="6">
        <f>IF(OR(原始資料!$A172="",44&gt;設定!$B$3,原始資料!AU172=""),"",IF(AND(原始資料!AT172&lt;&gt;"",原始資料!AU172=原始資料!AT172),N(AR172)+1,1))</f>
        <v/>
      </c>
      <c r="AT172" s="6">
        <f>IF(OR(原始資料!$A172="",45&gt;設定!$B$3,原始資料!AV172=""),"",IF(AND(原始資料!AU172&lt;&gt;"",原始資料!AV172=原始資料!AU172),N(AS172)+1,1))</f>
        <v/>
      </c>
      <c r="AU172" s="6">
        <f>IF(OR(原始資料!$A172="",46&gt;設定!$B$3,原始資料!AW172=""),"",IF(AND(原始資料!AV172&lt;&gt;"",原始資料!AW172=原始資料!AV172),N(AT172)+1,1))</f>
        <v/>
      </c>
      <c r="AV172" s="6">
        <f>IF(OR(原始資料!$A172="",47&gt;設定!$B$3,原始資料!AX172=""),"",IF(AND(原始資料!AW172&lt;&gt;"",原始資料!AX172=原始資料!AW172),N(AU172)+1,1))</f>
        <v/>
      </c>
      <c r="AW172" s="6">
        <f>IF(OR(原始資料!$A172="",48&gt;設定!$B$3,原始資料!AY172=""),"",IF(AND(原始資料!AX172&lt;&gt;"",原始資料!AY172=原始資料!AX172),N(AV172)+1,1))</f>
        <v/>
      </c>
      <c r="AX172" s="6">
        <f>IF(OR(原始資料!$A172="",49&gt;設定!$B$3,原始資料!AZ172=""),"",IF(AND(原始資料!AY172&lt;&gt;"",原始資料!AZ172=原始資料!AY172),N(AW172)+1,1))</f>
        <v/>
      </c>
      <c r="AY172" s="6">
        <f>IF(OR(原始資料!$A172="",50&gt;設定!$B$3,原始資料!BA172=""),"",IF(AND(原始資料!AZ172&lt;&gt;"",原始資料!BA172=原始資料!AZ172),N(AX172)+1,1))</f>
        <v/>
      </c>
      <c r="AZ172" s="6">
        <f>IF(OR(原始資料!$A172="",51&gt;設定!$B$3,原始資料!BB172=""),"",IF(AND(原始資料!BA172&lt;&gt;"",原始資料!BB172=原始資料!BA172),N(AY172)+1,1))</f>
        <v/>
      </c>
      <c r="BA172" s="6">
        <f>IF(OR(原始資料!$A172="",52&gt;設定!$B$3,原始資料!BC172=""),"",IF(AND(原始資料!BB172&lt;&gt;"",原始資料!BC172=原始資料!BB172),N(AZ172)+1,1))</f>
        <v/>
      </c>
      <c r="BB172" s="6">
        <f>IF(OR(原始資料!$A172="",53&gt;設定!$B$3,原始資料!BD172=""),"",IF(AND(原始資料!BC172&lt;&gt;"",原始資料!BD172=原始資料!BC172),N(BA172)+1,1))</f>
        <v/>
      </c>
      <c r="BC172" s="6">
        <f>IF(OR(原始資料!$A172="",54&gt;設定!$B$3,原始資料!BE172=""),"",IF(AND(原始資料!BD172&lt;&gt;"",原始資料!BE172=原始資料!BD172),N(BB172)+1,1))</f>
        <v/>
      </c>
      <c r="BD172" s="6">
        <f>IF(OR(原始資料!$A172="",55&gt;設定!$B$3,原始資料!BF172=""),"",IF(AND(原始資料!BE172&lt;&gt;"",原始資料!BF172=原始資料!BE172),N(BC172)+1,1))</f>
        <v/>
      </c>
      <c r="BE172" s="6">
        <f>IF(OR(原始資料!$A172="",56&gt;設定!$B$3,原始資料!BG172=""),"",IF(AND(原始資料!BF172&lt;&gt;"",原始資料!BG172=原始資料!BF172),N(BD172)+1,1))</f>
        <v/>
      </c>
      <c r="BF172" s="6">
        <f>IF(OR(原始資料!$A172="",57&gt;設定!$B$3,原始資料!BH172=""),"",IF(AND(原始資料!BG172&lt;&gt;"",原始資料!BH172=原始資料!BG172),N(BE172)+1,1))</f>
        <v/>
      </c>
      <c r="BG172" s="6">
        <f>IF(OR(原始資料!$A172="",58&gt;設定!$B$3,原始資料!BI172=""),"",IF(AND(原始資料!BH172&lt;&gt;"",原始資料!BI172=原始資料!BH172),N(BF172)+1,1))</f>
        <v/>
      </c>
      <c r="BH172" s="6">
        <f>IF(OR(原始資料!$A172="",59&gt;設定!$B$3,原始資料!BJ172=""),"",IF(AND(原始資料!BI172&lt;&gt;"",原始資料!BJ172=原始資料!BI172),N(BG172)+1,1))</f>
        <v/>
      </c>
      <c r="BI172" s="6">
        <f>IF(OR(原始資料!$A172="",60&gt;設定!$B$3,原始資料!BK172=""),"",IF(AND(原始資料!BJ172&lt;&gt;"",原始資料!BK172=原始資料!BJ172),N(BH172)+1,1))</f>
        <v/>
      </c>
    </row>
    <row r="173">
      <c r="A173" s="6">
        <f>IF(原始資料!$A173="","",原始資料!$A173)</f>
        <v/>
      </c>
      <c r="B173" s="6">
        <f>IF(OR(原始資料!$A173="",1&gt;設定!$B$3,原始資料!D173=""),"",1)</f>
        <v/>
      </c>
      <c r="C173" s="6">
        <f>IF(OR(原始資料!$A173="",2&gt;設定!$B$3,原始資料!E173=""),"",IF(AND(原始資料!D173&lt;&gt;"",原始資料!E173=原始資料!D173),N(B173)+1,1))</f>
        <v/>
      </c>
      <c r="D173" s="6">
        <f>IF(OR(原始資料!$A173="",3&gt;設定!$B$3,原始資料!F173=""),"",IF(AND(原始資料!E173&lt;&gt;"",原始資料!F173=原始資料!E173),N(C173)+1,1))</f>
        <v/>
      </c>
      <c r="E173" s="6">
        <f>IF(OR(原始資料!$A173="",4&gt;設定!$B$3,原始資料!G173=""),"",IF(AND(原始資料!F173&lt;&gt;"",原始資料!G173=原始資料!F173),N(D173)+1,1))</f>
        <v/>
      </c>
      <c r="F173" s="6">
        <f>IF(OR(原始資料!$A173="",5&gt;設定!$B$3,原始資料!H173=""),"",IF(AND(原始資料!G173&lt;&gt;"",原始資料!H173=原始資料!G173),N(E173)+1,1))</f>
        <v/>
      </c>
      <c r="G173" s="6">
        <f>IF(OR(原始資料!$A173="",6&gt;設定!$B$3,原始資料!I173=""),"",IF(AND(原始資料!H173&lt;&gt;"",原始資料!I173=原始資料!H173),N(F173)+1,1))</f>
        <v/>
      </c>
      <c r="H173" s="6">
        <f>IF(OR(原始資料!$A173="",7&gt;設定!$B$3,原始資料!J173=""),"",IF(AND(原始資料!I173&lt;&gt;"",原始資料!J173=原始資料!I173),N(G173)+1,1))</f>
        <v/>
      </c>
      <c r="I173" s="6">
        <f>IF(OR(原始資料!$A173="",8&gt;設定!$B$3,原始資料!K173=""),"",IF(AND(原始資料!J173&lt;&gt;"",原始資料!K173=原始資料!J173),N(H173)+1,1))</f>
        <v/>
      </c>
      <c r="J173" s="6">
        <f>IF(OR(原始資料!$A173="",9&gt;設定!$B$3,原始資料!L173=""),"",IF(AND(原始資料!K173&lt;&gt;"",原始資料!L173=原始資料!K173),N(I173)+1,1))</f>
        <v/>
      </c>
      <c r="K173" s="6">
        <f>IF(OR(原始資料!$A173="",10&gt;設定!$B$3,原始資料!M173=""),"",IF(AND(原始資料!L173&lt;&gt;"",原始資料!M173=原始資料!L173),N(J173)+1,1))</f>
        <v/>
      </c>
      <c r="L173" s="6">
        <f>IF(OR(原始資料!$A173="",11&gt;設定!$B$3,原始資料!N173=""),"",IF(AND(原始資料!M173&lt;&gt;"",原始資料!N173=原始資料!M173),N(K173)+1,1))</f>
        <v/>
      </c>
      <c r="M173" s="6">
        <f>IF(OR(原始資料!$A173="",12&gt;設定!$B$3,原始資料!O173=""),"",IF(AND(原始資料!N173&lt;&gt;"",原始資料!O173=原始資料!N173),N(L173)+1,1))</f>
        <v/>
      </c>
      <c r="N173" s="6">
        <f>IF(OR(原始資料!$A173="",13&gt;設定!$B$3,原始資料!P173=""),"",IF(AND(原始資料!O173&lt;&gt;"",原始資料!P173=原始資料!O173),N(M173)+1,1))</f>
        <v/>
      </c>
      <c r="O173" s="6">
        <f>IF(OR(原始資料!$A173="",14&gt;設定!$B$3,原始資料!Q173=""),"",IF(AND(原始資料!P173&lt;&gt;"",原始資料!Q173=原始資料!P173),N(N173)+1,1))</f>
        <v/>
      </c>
      <c r="P173" s="6">
        <f>IF(OR(原始資料!$A173="",15&gt;設定!$B$3,原始資料!R173=""),"",IF(AND(原始資料!Q173&lt;&gt;"",原始資料!R173=原始資料!Q173),N(O173)+1,1))</f>
        <v/>
      </c>
      <c r="Q173" s="6">
        <f>IF(OR(原始資料!$A173="",16&gt;設定!$B$3,原始資料!S173=""),"",IF(AND(原始資料!R173&lt;&gt;"",原始資料!S173=原始資料!R173),N(P173)+1,1))</f>
        <v/>
      </c>
      <c r="R173" s="6">
        <f>IF(OR(原始資料!$A173="",17&gt;設定!$B$3,原始資料!T173=""),"",IF(AND(原始資料!S173&lt;&gt;"",原始資料!T173=原始資料!S173),N(Q173)+1,1))</f>
        <v/>
      </c>
      <c r="S173" s="6">
        <f>IF(OR(原始資料!$A173="",18&gt;設定!$B$3,原始資料!U173=""),"",IF(AND(原始資料!T173&lt;&gt;"",原始資料!U173=原始資料!T173),N(R173)+1,1))</f>
        <v/>
      </c>
      <c r="T173" s="6">
        <f>IF(OR(原始資料!$A173="",19&gt;設定!$B$3,原始資料!V173=""),"",IF(AND(原始資料!U173&lt;&gt;"",原始資料!V173=原始資料!U173),N(S173)+1,1))</f>
        <v/>
      </c>
      <c r="U173" s="6">
        <f>IF(OR(原始資料!$A173="",20&gt;設定!$B$3,原始資料!W173=""),"",IF(AND(原始資料!V173&lt;&gt;"",原始資料!W173=原始資料!V173),N(T173)+1,1))</f>
        <v/>
      </c>
      <c r="V173" s="6">
        <f>IF(OR(原始資料!$A173="",21&gt;設定!$B$3,原始資料!X173=""),"",IF(AND(原始資料!W173&lt;&gt;"",原始資料!X173=原始資料!W173),N(U173)+1,1))</f>
        <v/>
      </c>
      <c r="W173" s="6">
        <f>IF(OR(原始資料!$A173="",22&gt;設定!$B$3,原始資料!Y173=""),"",IF(AND(原始資料!X173&lt;&gt;"",原始資料!Y173=原始資料!X173),N(V173)+1,1))</f>
        <v/>
      </c>
      <c r="X173" s="6">
        <f>IF(OR(原始資料!$A173="",23&gt;設定!$B$3,原始資料!Z173=""),"",IF(AND(原始資料!Y173&lt;&gt;"",原始資料!Z173=原始資料!Y173),N(W173)+1,1))</f>
        <v/>
      </c>
      <c r="Y173" s="6">
        <f>IF(OR(原始資料!$A173="",24&gt;設定!$B$3,原始資料!AA173=""),"",IF(AND(原始資料!Z173&lt;&gt;"",原始資料!AA173=原始資料!Z173),N(X173)+1,1))</f>
        <v/>
      </c>
      <c r="Z173" s="6">
        <f>IF(OR(原始資料!$A173="",25&gt;設定!$B$3,原始資料!AB173=""),"",IF(AND(原始資料!AA173&lt;&gt;"",原始資料!AB173=原始資料!AA173),N(Y173)+1,1))</f>
        <v/>
      </c>
      <c r="AA173" s="6">
        <f>IF(OR(原始資料!$A173="",26&gt;設定!$B$3,原始資料!AC173=""),"",IF(AND(原始資料!AB173&lt;&gt;"",原始資料!AC173=原始資料!AB173),N(Z173)+1,1))</f>
        <v/>
      </c>
      <c r="AB173" s="6">
        <f>IF(OR(原始資料!$A173="",27&gt;設定!$B$3,原始資料!AD173=""),"",IF(AND(原始資料!AC173&lt;&gt;"",原始資料!AD173=原始資料!AC173),N(AA173)+1,1))</f>
        <v/>
      </c>
      <c r="AC173" s="6">
        <f>IF(OR(原始資料!$A173="",28&gt;設定!$B$3,原始資料!AE173=""),"",IF(AND(原始資料!AD173&lt;&gt;"",原始資料!AE173=原始資料!AD173),N(AB173)+1,1))</f>
        <v/>
      </c>
      <c r="AD173" s="6">
        <f>IF(OR(原始資料!$A173="",29&gt;設定!$B$3,原始資料!AF173=""),"",IF(AND(原始資料!AE173&lt;&gt;"",原始資料!AF173=原始資料!AE173),N(AC173)+1,1))</f>
        <v/>
      </c>
      <c r="AE173" s="6">
        <f>IF(OR(原始資料!$A173="",30&gt;設定!$B$3,原始資料!AG173=""),"",IF(AND(原始資料!AF173&lt;&gt;"",原始資料!AG173=原始資料!AF173),N(AD173)+1,1))</f>
        <v/>
      </c>
      <c r="AF173" s="6">
        <f>IF(OR(原始資料!$A173="",31&gt;設定!$B$3,原始資料!AH173=""),"",IF(AND(原始資料!AG173&lt;&gt;"",原始資料!AH173=原始資料!AG173),N(AE173)+1,1))</f>
        <v/>
      </c>
      <c r="AG173" s="6">
        <f>IF(OR(原始資料!$A173="",32&gt;設定!$B$3,原始資料!AI173=""),"",IF(AND(原始資料!AH173&lt;&gt;"",原始資料!AI173=原始資料!AH173),N(AF173)+1,1))</f>
        <v/>
      </c>
      <c r="AH173" s="6">
        <f>IF(OR(原始資料!$A173="",33&gt;設定!$B$3,原始資料!AJ173=""),"",IF(AND(原始資料!AI173&lt;&gt;"",原始資料!AJ173=原始資料!AI173),N(AG173)+1,1))</f>
        <v/>
      </c>
      <c r="AI173" s="6">
        <f>IF(OR(原始資料!$A173="",34&gt;設定!$B$3,原始資料!AK173=""),"",IF(AND(原始資料!AJ173&lt;&gt;"",原始資料!AK173=原始資料!AJ173),N(AH173)+1,1))</f>
        <v/>
      </c>
      <c r="AJ173" s="6">
        <f>IF(OR(原始資料!$A173="",35&gt;設定!$B$3,原始資料!AL173=""),"",IF(AND(原始資料!AK173&lt;&gt;"",原始資料!AL173=原始資料!AK173),N(AI173)+1,1))</f>
        <v/>
      </c>
      <c r="AK173" s="6">
        <f>IF(OR(原始資料!$A173="",36&gt;設定!$B$3,原始資料!AM173=""),"",IF(AND(原始資料!AL173&lt;&gt;"",原始資料!AM173=原始資料!AL173),N(AJ173)+1,1))</f>
        <v/>
      </c>
      <c r="AL173" s="6">
        <f>IF(OR(原始資料!$A173="",37&gt;設定!$B$3,原始資料!AN173=""),"",IF(AND(原始資料!AM173&lt;&gt;"",原始資料!AN173=原始資料!AM173),N(AK173)+1,1))</f>
        <v/>
      </c>
      <c r="AM173" s="6">
        <f>IF(OR(原始資料!$A173="",38&gt;設定!$B$3,原始資料!AO173=""),"",IF(AND(原始資料!AN173&lt;&gt;"",原始資料!AO173=原始資料!AN173),N(AL173)+1,1))</f>
        <v/>
      </c>
      <c r="AN173" s="6">
        <f>IF(OR(原始資料!$A173="",39&gt;設定!$B$3,原始資料!AP173=""),"",IF(AND(原始資料!AO173&lt;&gt;"",原始資料!AP173=原始資料!AO173),N(AM173)+1,1))</f>
        <v/>
      </c>
      <c r="AO173" s="6">
        <f>IF(OR(原始資料!$A173="",40&gt;設定!$B$3,原始資料!AQ173=""),"",IF(AND(原始資料!AP173&lt;&gt;"",原始資料!AQ173=原始資料!AP173),N(AN173)+1,1))</f>
        <v/>
      </c>
      <c r="AP173" s="6">
        <f>IF(OR(原始資料!$A173="",41&gt;設定!$B$3,原始資料!AR173=""),"",IF(AND(原始資料!AQ173&lt;&gt;"",原始資料!AR173=原始資料!AQ173),N(AO173)+1,1))</f>
        <v/>
      </c>
      <c r="AQ173" s="6">
        <f>IF(OR(原始資料!$A173="",42&gt;設定!$B$3,原始資料!AS173=""),"",IF(AND(原始資料!AR173&lt;&gt;"",原始資料!AS173=原始資料!AR173),N(AP173)+1,1))</f>
        <v/>
      </c>
      <c r="AR173" s="6">
        <f>IF(OR(原始資料!$A173="",43&gt;設定!$B$3,原始資料!AT173=""),"",IF(AND(原始資料!AS173&lt;&gt;"",原始資料!AT173=原始資料!AS173),N(AQ173)+1,1))</f>
        <v/>
      </c>
      <c r="AS173" s="6">
        <f>IF(OR(原始資料!$A173="",44&gt;設定!$B$3,原始資料!AU173=""),"",IF(AND(原始資料!AT173&lt;&gt;"",原始資料!AU173=原始資料!AT173),N(AR173)+1,1))</f>
        <v/>
      </c>
      <c r="AT173" s="6">
        <f>IF(OR(原始資料!$A173="",45&gt;設定!$B$3,原始資料!AV173=""),"",IF(AND(原始資料!AU173&lt;&gt;"",原始資料!AV173=原始資料!AU173),N(AS173)+1,1))</f>
        <v/>
      </c>
      <c r="AU173" s="6">
        <f>IF(OR(原始資料!$A173="",46&gt;設定!$B$3,原始資料!AW173=""),"",IF(AND(原始資料!AV173&lt;&gt;"",原始資料!AW173=原始資料!AV173),N(AT173)+1,1))</f>
        <v/>
      </c>
      <c r="AV173" s="6">
        <f>IF(OR(原始資料!$A173="",47&gt;設定!$B$3,原始資料!AX173=""),"",IF(AND(原始資料!AW173&lt;&gt;"",原始資料!AX173=原始資料!AW173),N(AU173)+1,1))</f>
        <v/>
      </c>
      <c r="AW173" s="6">
        <f>IF(OR(原始資料!$A173="",48&gt;設定!$B$3,原始資料!AY173=""),"",IF(AND(原始資料!AX173&lt;&gt;"",原始資料!AY173=原始資料!AX173),N(AV173)+1,1))</f>
        <v/>
      </c>
      <c r="AX173" s="6">
        <f>IF(OR(原始資料!$A173="",49&gt;設定!$B$3,原始資料!AZ173=""),"",IF(AND(原始資料!AY173&lt;&gt;"",原始資料!AZ173=原始資料!AY173),N(AW173)+1,1))</f>
        <v/>
      </c>
      <c r="AY173" s="6">
        <f>IF(OR(原始資料!$A173="",50&gt;設定!$B$3,原始資料!BA173=""),"",IF(AND(原始資料!AZ173&lt;&gt;"",原始資料!BA173=原始資料!AZ173),N(AX173)+1,1))</f>
        <v/>
      </c>
      <c r="AZ173" s="6">
        <f>IF(OR(原始資料!$A173="",51&gt;設定!$B$3,原始資料!BB173=""),"",IF(AND(原始資料!BA173&lt;&gt;"",原始資料!BB173=原始資料!BA173),N(AY173)+1,1))</f>
        <v/>
      </c>
      <c r="BA173" s="6">
        <f>IF(OR(原始資料!$A173="",52&gt;設定!$B$3,原始資料!BC173=""),"",IF(AND(原始資料!BB173&lt;&gt;"",原始資料!BC173=原始資料!BB173),N(AZ173)+1,1))</f>
        <v/>
      </c>
      <c r="BB173" s="6">
        <f>IF(OR(原始資料!$A173="",53&gt;設定!$B$3,原始資料!BD173=""),"",IF(AND(原始資料!BC173&lt;&gt;"",原始資料!BD173=原始資料!BC173),N(BA173)+1,1))</f>
        <v/>
      </c>
      <c r="BC173" s="6">
        <f>IF(OR(原始資料!$A173="",54&gt;設定!$B$3,原始資料!BE173=""),"",IF(AND(原始資料!BD173&lt;&gt;"",原始資料!BE173=原始資料!BD173),N(BB173)+1,1))</f>
        <v/>
      </c>
      <c r="BD173" s="6">
        <f>IF(OR(原始資料!$A173="",55&gt;設定!$B$3,原始資料!BF173=""),"",IF(AND(原始資料!BE173&lt;&gt;"",原始資料!BF173=原始資料!BE173),N(BC173)+1,1))</f>
        <v/>
      </c>
      <c r="BE173" s="6">
        <f>IF(OR(原始資料!$A173="",56&gt;設定!$B$3,原始資料!BG173=""),"",IF(AND(原始資料!BF173&lt;&gt;"",原始資料!BG173=原始資料!BF173),N(BD173)+1,1))</f>
        <v/>
      </c>
      <c r="BF173" s="6">
        <f>IF(OR(原始資料!$A173="",57&gt;設定!$B$3,原始資料!BH173=""),"",IF(AND(原始資料!BG173&lt;&gt;"",原始資料!BH173=原始資料!BG173),N(BE173)+1,1))</f>
        <v/>
      </c>
      <c r="BG173" s="6">
        <f>IF(OR(原始資料!$A173="",58&gt;設定!$B$3,原始資料!BI173=""),"",IF(AND(原始資料!BH173&lt;&gt;"",原始資料!BI173=原始資料!BH173),N(BF173)+1,1))</f>
        <v/>
      </c>
      <c r="BH173" s="6">
        <f>IF(OR(原始資料!$A173="",59&gt;設定!$B$3,原始資料!BJ173=""),"",IF(AND(原始資料!BI173&lt;&gt;"",原始資料!BJ173=原始資料!BI173),N(BG173)+1,1))</f>
        <v/>
      </c>
      <c r="BI173" s="6">
        <f>IF(OR(原始資料!$A173="",60&gt;設定!$B$3,原始資料!BK173=""),"",IF(AND(原始資料!BJ173&lt;&gt;"",原始資料!BK173=原始資料!BJ173),N(BH173)+1,1))</f>
        <v/>
      </c>
    </row>
    <row r="174">
      <c r="A174" s="6">
        <f>IF(原始資料!$A174="","",原始資料!$A174)</f>
        <v/>
      </c>
      <c r="B174" s="6">
        <f>IF(OR(原始資料!$A174="",1&gt;設定!$B$3,原始資料!D174=""),"",1)</f>
        <v/>
      </c>
      <c r="C174" s="6">
        <f>IF(OR(原始資料!$A174="",2&gt;設定!$B$3,原始資料!E174=""),"",IF(AND(原始資料!D174&lt;&gt;"",原始資料!E174=原始資料!D174),N(B174)+1,1))</f>
        <v/>
      </c>
      <c r="D174" s="6">
        <f>IF(OR(原始資料!$A174="",3&gt;設定!$B$3,原始資料!F174=""),"",IF(AND(原始資料!E174&lt;&gt;"",原始資料!F174=原始資料!E174),N(C174)+1,1))</f>
        <v/>
      </c>
      <c r="E174" s="6">
        <f>IF(OR(原始資料!$A174="",4&gt;設定!$B$3,原始資料!G174=""),"",IF(AND(原始資料!F174&lt;&gt;"",原始資料!G174=原始資料!F174),N(D174)+1,1))</f>
        <v/>
      </c>
      <c r="F174" s="6">
        <f>IF(OR(原始資料!$A174="",5&gt;設定!$B$3,原始資料!H174=""),"",IF(AND(原始資料!G174&lt;&gt;"",原始資料!H174=原始資料!G174),N(E174)+1,1))</f>
        <v/>
      </c>
      <c r="G174" s="6">
        <f>IF(OR(原始資料!$A174="",6&gt;設定!$B$3,原始資料!I174=""),"",IF(AND(原始資料!H174&lt;&gt;"",原始資料!I174=原始資料!H174),N(F174)+1,1))</f>
        <v/>
      </c>
      <c r="H174" s="6">
        <f>IF(OR(原始資料!$A174="",7&gt;設定!$B$3,原始資料!J174=""),"",IF(AND(原始資料!I174&lt;&gt;"",原始資料!J174=原始資料!I174),N(G174)+1,1))</f>
        <v/>
      </c>
      <c r="I174" s="6">
        <f>IF(OR(原始資料!$A174="",8&gt;設定!$B$3,原始資料!K174=""),"",IF(AND(原始資料!J174&lt;&gt;"",原始資料!K174=原始資料!J174),N(H174)+1,1))</f>
        <v/>
      </c>
      <c r="J174" s="6">
        <f>IF(OR(原始資料!$A174="",9&gt;設定!$B$3,原始資料!L174=""),"",IF(AND(原始資料!K174&lt;&gt;"",原始資料!L174=原始資料!K174),N(I174)+1,1))</f>
        <v/>
      </c>
      <c r="K174" s="6">
        <f>IF(OR(原始資料!$A174="",10&gt;設定!$B$3,原始資料!M174=""),"",IF(AND(原始資料!L174&lt;&gt;"",原始資料!M174=原始資料!L174),N(J174)+1,1))</f>
        <v/>
      </c>
      <c r="L174" s="6">
        <f>IF(OR(原始資料!$A174="",11&gt;設定!$B$3,原始資料!N174=""),"",IF(AND(原始資料!M174&lt;&gt;"",原始資料!N174=原始資料!M174),N(K174)+1,1))</f>
        <v/>
      </c>
      <c r="M174" s="6">
        <f>IF(OR(原始資料!$A174="",12&gt;設定!$B$3,原始資料!O174=""),"",IF(AND(原始資料!N174&lt;&gt;"",原始資料!O174=原始資料!N174),N(L174)+1,1))</f>
        <v/>
      </c>
      <c r="N174" s="6">
        <f>IF(OR(原始資料!$A174="",13&gt;設定!$B$3,原始資料!P174=""),"",IF(AND(原始資料!O174&lt;&gt;"",原始資料!P174=原始資料!O174),N(M174)+1,1))</f>
        <v/>
      </c>
      <c r="O174" s="6">
        <f>IF(OR(原始資料!$A174="",14&gt;設定!$B$3,原始資料!Q174=""),"",IF(AND(原始資料!P174&lt;&gt;"",原始資料!Q174=原始資料!P174),N(N174)+1,1))</f>
        <v/>
      </c>
      <c r="P174" s="6">
        <f>IF(OR(原始資料!$A174="",15&gt;設定!$B$3,原始資料!R174=""),"",IF(AND(原始資料!Q174&lt;&gt;"",原始資料!R174=原始資料!Q174),N(O174)+1,1))</f>
        <v/>
      </c>
      <c r="Q174" s="6">
        <f>IF(OR(原始資料!$A174="",16&gt;設定!$B$3,原始資料!S174=""),"",IF(AND(原始資料!R174&lt;&gt;"",原始資料!S174=原始資料!R174),N(P174)+1,1))</f>
        <v/>
      </c>
      <c r="R174" s="6">
        <f>IF(OR(原始資料!$A174="",17&gt;設定!$B$3,原始資料!T174=""),"",IF(AND(原始資料!S174&lt;&gt;"",原始資料!T174=原始資料!S174),N(Q174)+1,1))</f>
        <v/>
      </c>
      <c r="S174" s="6">
        <f>IF(OR(原始資料!$A174="",18&gt;設定!$B$3,原始資料!U174=""),"",IF(AND(原始資料!T174&lt;&gt;"",原始資料!U174=原始資料!T174),N(R174)+1,1))</f>
        <v/>
      </c>
      <c r="T174" s="6">
        <f>IF(OR(原始資料!$A174="",19&gt;設定!$B$3,原始資料!V174=""),"",IF(AND(原始資料!U174&lt;&gt;"",原始資料!V174=原始資料!U174),N(S174)+1,1))</f>
        <v/>
      </c>
      <c r="U174" s="6">
        <f>IF(OR(原始資料!$A174="",20&gt;設定!$B$3,原始資料!W174=""),"",IF(AND(原始資料!V174&lt;&gt;"",原始資料!W174=原始資料!V174),N(T174)+1,1))</f>
        <v/>
      </c>
      <c r="V174" s="6">
        <f>IF(OR(原始資料!$A174="",21&gt;設定!$B$3,原始資料!X174=""),"",IF(AND(原始資料!W174&lt;&gt;"",原始資料!X174=原始資料!W174),N(U174)+1,1))</f>
        <v/>
      </c>
      <c r="W174" s="6">
        <f>IF(OR(原始資料!$A174="",22&gt;設定!$B$3,原始資料!Y174=""),"",IF(AND(原始資料!X174&lt;&gt;"",原始資料!Y174=原始資料!X174),N(V174)+1,1))</f>
        <v/>
      </c>
      <c r="X174" s="6">
        <f>IF(OR(原始資料!$A174="",23&gt;設定!$B$3,原始資料!Z174=""),"",IF(AND(原始資料!Y174&lt;&gt;"",原始資料!Z174=原始資料!Y174),N(W174)+1,1))</f>
        <v/>
      </c>
      <c r="Y174" s="6">
        <f>IF(OR(原始資料!$A174="",24&gt;設定!$B$3,原始資料!AA174=""),"",IF(AND(原始資料!Z174&lt;&gt;"",原始資料!AA174=原始資料!Z174),N(X174)+1,1))</f>
        <v/>
      </c>
      <c r="Z174" s="6">
        <f>IF(OR(原始資料!$A174="",25&gt;設定!$B$3,原始資料!AB174=""),"",IF(AND(原始資料!AA174&lt;&gt;"",原始資料!AB174=原始資料!AA174),N(Y174)+1,1))</f>
        <v/>
      </c>
      <c r="AA174" s="6">
        <f>IF(OR(原始資料!$A174="",26&gt;設定!$B$3,原始資料!AC174=""),"",IF(AND(原始資料!AB174&lt;&gt;"",原始資料!AC174=原始資料!AB174),N(Z174)+1,1))</f>
        <v/>
      </c>
      <c r="AB174" s="6">
        <f>IF(OR(原始資料!$A174="",27&gt;設定!$B$3,原始資料!AD174=""),"",IF(AND(原始資料!AC174&lt;&gt;"",原始資料!AD174=原始資料!AC174),N(AA174)+1,1))</f>
        <v/>
      </c>
      <c r="AC174" s="6">
        <f>IF(OR(原始資料!$A174="",28&gt;設定!$B$3,原始資料!AE174=""),"",IF(AND(原始資料!AD174&lt;&gt;"",原始資料!AE174=原始資料!AD174),N(AB174)+1,1))</f>
        <v/>
      </c>
      <c r="AD174" s="6">
        <f>IF(OR(原始資料!$A174="",29&gt;設定!$B$3,原始資料!AF174=""),"",IF(AND(原始資料!AE174&lt;&gt;"",原始資料!AF174=原始資料!AE174),N(AC174)+1,1))</f>
        <v/>
      </c>
      <c r="AE174" s="6">
        <f>IF(OR(原始資料!$A174="",30&gt;設定!$B$3,原始資料!AG174=""),"",IF(AND(原始資料!AF174&lt;&gt;"",原始資料!AG174=原始資料!AF174),N(AD174)+1,1))</f>
        <v/>
      </c>
      <c r="AF174" s="6">
        <f>IF(OR(原始資料!$A174="",31&gt;設定!$B$3,原始資料!AH174=""),"",IF(AND(原始資料!AG174&lt;&gt;"",原始資料!AH174=原始資料!AG174),N(AE174)+1,1))</f>
        <v/>
      </c>
      <c r="AG174" s="6">
        <f>IF(OR(原始資料!$A174="",32&gt;設定!$B$3,原始資料!AI174=""),"",IF(AND(原始資料!AH174&lt;&gt;"",原始資料!AI174=原始資料!AH174),N(AF174)+1,1))</f>
        <v/>
      </c>
      <c r="AH174" s="6">
        <f>IF(OR(原始資料!$A174="",33&gt;設定!$B$3,原始資料!AJ174=""),"",IF(AND(原始資料!AI174&lt;&gt;"",原始資料!AJ174=原始資料!AI174),N(AG174)+1,1))</f>
        <v/>
      </c>
      <c r="AI174" s="6">
        <f>IF(OR(原始資料!$A174="",34&gt;設定!$B$3,原始資料!AK174=""),"",IF(AND(原始資料!AJ174&lt;&gt;"",原始資料!AK174=原始資料!AJ174),N(AH174)+1,1))</f>
        <v/>
      </c>
      <c r="AJ174" s="6">
        <f>IF(OR(原始資料!$A174="",35&gt;設定!$B$3,原始資料!AL174=""),"",IF(AND(原始資料!AK174&lt;&gt;"",原始資料!AL174=原始資料!AK174),N(AI174)+1,1))</f>
        <v/>
      </c>
      <c r="AK174" s="6">
        <f>IF(OR(原始資料!$A174="",36&gt;設定!$B$3,原始資料!AM174=""),"",IF(AND(原始資料!AL174&lt;&gt;"",原始資料!AM174=原始資料!AL174),N(AJ174)+1,1))</f>
        <v/>
      </c>
      <c r="AL174" s="6">
        <f>IF(OR(原始資料!$A174="",37&gt;設定!$B$3,原始資料!AN174=""),"",IF(AND(原始資料!AM174&lt;&gt;"",原始資料!AN174=原始資料!AM174),N(AK174)+1,1))</f>
        <v/>
      </c>
      <c r="AM174" s="6">
        <f>IF(OR(原始資料!$A174="",38&gt;設定!$B$3,原始資料!AO174=""),"",IF(AND(原始資料!AN174&lt;&gt;"",原始資料!AO174=原始資料!AN174),N(AL174)+1,1))</f>
        <v/>
      </c>
      <c r="AN174" s="6">
        <f>IF(OR(原始資料!$A174="",39&gt;設定!$B$3,原始資料!AP174=""),"",IF(AND(原始資料!AO174&lt;&gt;"",原始資料!AP174=原始資料!AO174),N(AM174)+1,1))</f>
        <v/>
      </c>
      <c r="AO174" s="6">
        <f>IF(OR(原始資料!$A174="",40&gt;設定!$B$3,原始資料!AQ174=""),"",IF(AND(原始資料!AP174&lt;&gt;"",原始資料!AQ174=原始資料!AP174),N(AN174)+1,1))</f>
        <v/>
      </c>
      <c r="AP174" s="6">
        <f>IF(OR(原始資料!$A174="",41&gt;設定!$B$3,原始資料!AR174=""),"",IF(AND(原始資料!AQ174&lt;&gt;"",原始資料!AR174=原始資料!AQ174),N(AO174)+1,1))</f>
        <v/>
      </c>
      <c r="AQ174" s="6">
        <f>IF(OR(原始資料!$A174="",42&gt;設定!$B$3,原始資料!AS174=""),"",IF(AND(原始資料!AR174&lt;&gt;"",原始資料!AS174=原始資料!AR174),N(AP174)+1,1))</f>
        <v/>
      </c>
      <c r="AR174" s="6">
        <f>IF(OR(原始資料!$A174="",43&gt;設定!$B$3,原始資料!AT174=""),"",IF(AND(原始資料!AS174&lt;&gt;"",原始資料!AT174=原始資料!AS174),N(AQ174)+1,1))</f>
        <v/>
      </c>
      <c r="AS174" s="6">
        <f>IF(OR(原始資料!$A174="",44&gt;設定!$B$3,原始資料!AU174=""),"",IF(AND(原始資料!AT174&lt;&gt;"",原始資料!AU174=原始資料!AT174),N(AR174)+1,1))</f>
        <v/>
      </c>
      <c r="AT174" s="6">
        <f>IF(OR(原始資料!$A174="",45&gt;設定!$B$3,原始資料!AV174=""),"",IF(AND(原始資料!AU174&lt;&gt;"",原始資料!AV174=原始資料!AU174),N(AS174)+1,1))</f>
        <v/>
      </c>
      <c r="AU174" s="6">
        <f>IF(OR(原始資料!$A174="",46&gt;設定!$B$3,原始資料!AW174=""),"",IF(AND(原始資料!AV174&lt;&gt;"",原始資料!AW174=原始資料!AV174),N(AT174)+1,1))</f>
        <v/>
      </c>
      <c r="AV174" s="6">
        <f>IF(OR(原始資料!$A174="",47&gt;設定!$B$3,原始資料!AX174=""),"",IF(AND(原始資料!AW174&lt;&gt;"",原始資料!AX174=原始資料!AW174),N(AU174)+1,1))</f>
        <v/>
      </c>
      <c r="AW174" s="6">
        <f>IF(OR(原始資料!$A174="",48&gt;設定!$B$3,原始資料!AY174=""),"",IF(AND(原始資料!AX174&lt;&gt;"",原始資料!AY174=原始資料!AX174),N(AV174)+1,1))</f>
        <v/>
      </c>
      <c r="AX174" s="6">
        <f>IF(OR(原始資料!$A174="",49&gt;設定!$B$3,原始資料!AZ174=""),"",IF(AND(原始資料!AY174&lt;&gt;"",原始資料!AZ174=原始資料!AY174),N(AW174)+1,1))</f>
        <v/>
      </c>
      <c r="AY174" s="6">
        <f>IF(OR(原始資料!$A174="",50&gt;設定!$B$3,原始資料!BA174=""),"",IF(AND(原始資料!AZ174&lt;&gt;"",原始資料!BA174=原始資料!AZ174),N(AX174)+1,1))</f>
        <v/>
      </c>
      <c r="AZ174" s="6">
        <f>IF(OR(原始資料!$A174="",51&gt;設定!$B$3,原始資料!BB174=""),"",IF(AND(原始資料!BA174&lt;&gt;"",原始資料!BB174=原始資料!BA174),N(AY174)+1,1))</f>
        <v/>
      </c>
      <c r="BA174" s="6">
        <f>IF(OR(原始資料!$A174="",52&gt;設定!$B$3,原始資料!BC174=""),"",IF(AND(原始資料!BB174&lt;&gt;"",原始資料!BC174=原始資料!BB174),N(AZ174)+1,1))</f>
        <v/>
      </c>
      <c r="BB174" s="6">
        <f>IF(OR(原始資料!$A174="",53&gt;設定!$B$3,原始資料!BD174=""),"",IF(AND(原始資料!BC174&lt;&gt;"",原始資料!BD174=原始資料!BC174),N(BA174)+1,1))</f>
        <v/>
      </c>
      <c r="BC174" s="6">
        <f>IF(OR(原始資料!$A174="",54&gt;設定!$B$3,原始資料!BE174=""),"",IF(AND(原始資料!BD174&lt;&gt;"",原始資料!BE174=原始資料!BD174),N(BB174)+1,1))</f>
        <v/>
      </c>
      <c r="BD174" s="6">
        <f>IF(OR(原始資料!$A174="",55&gt;設定!$B$3,原始資料!BF174=""),"",IF(AND(原始資料!BE174&lt;&gt;"",原始資料!BF174=原始資料!BE174),N(BC174)+1,1))</f>
        <v/>
      </c>
      <c r="BE174" s="6">
        <f>IF(OR(原始資料!$A174="",56&gt;設定!$B$3,原始資料!BG174=""),"",IF(AND(原始資料!BF174&lt;&gt;"",原始資料!BG174=原始資料!BF174),N(BD174)+1,1))</f>
        <v/>
      </c>
      <c r="BF174" s="6">
        <f>IF(OR(原始資料!$A174="",57&gt;設定!$B$3,原始資料!BH174=""),"",IF(AND(原始資料!BG174&lt;&gt;"",原始資料!BH174=原始資料!BG174),N(BE174)+1,1))</f>
        <v/>
      </c>
      <c r="BG174" s="6">
        <f>IF(OR(原始資料!$A174="",58&gt;設定!$B$3,原始資料!BI174=""),"",IF(AND(原始資料!BH174&lt;&gt;"",原始資料!BI174=原始資料!BH174),N(BF174)+1,1))</f>
        <v/>
      </c>
      <c r="BH174" s="6">
        <f>IF(OR(原始資料!$A174="",59&gt;設定!$B$3,原始資料!BJ174=""),"",IF(AND(原始資料!BI174&lt;&gt;"",原始資料!BJ174=原始資料!BI174),N(BG174)+1,1))</f>
        <v/>
      </c>
      <c r="BI174" s="6">
        <f>IF(OR(原始資料!$A174="",60&gt;設定!$B$3,原始資料!BK174=""),"",IF(AND(原始資料!BJ174&lt;&gt;"",原始資料!BK174=原始資料!BJ174),N(BH174)+1,1))</f>
        <v/>
      </c>
    </row>
    <row r="175">
      <c r="A175" s="6">
        <f>IF(原始資料!$A175="","",原始資料!$A175)</f>
        <v/>
      </c>
      <c r="B175" s="6">
        <f>IF(OR(原始資料!$A175="",1&gt;設定!$B$3,原始資料!D175=""),"",1)</f>
        <v/>
      </c>
      <c r="C175" s="6">
        <f>IF(OR(原始資料!$A175="",2&gt;設定!$B$3,原始資料!E175=""),"",IF(AND(原始資料!D175&lt;&gt;"",原始資料!E175=原始資料!D175),N(B175)+1,1))</f>
        <v/>
      </c>
      <c r="D175" s="6">
        <f>IF(OR(原始資料!$A175="",3&gt;設定!$B$3,原始資料!F175=""),"",IF(AND(原始資料!E175&lt;&gt;"",原始資料!F175=原始資料!E175),N(C175)+1,1))</f>
        <v/>
      </c>
      <c r="E175" s="6">
        <f>IF(OR(原始資料!$A175="",4&gt;設定!$B$3,原始資料!G175=""),"",IF(AND(原始資料!F175&lt;&gt;"",原始資料!G175=原始資料!F175),N(D175)+1,1))</f>
        <v/>
      </c>
      <c r="F175" s="6">
        <f>IF(OR(原始資料!$A175="",5&gt;設定!$B$3,原始資料!H175=""),"",IF(AND(原始資料!G175&lt;&gt;"",原始資料!H175=原始資料!G175),N(E175)+1,1))</f>
        <v/>
      </c>
      <c r="G175" s="6">
        <f>IF(OR(原始資料!$A175="",6&gt;設定!$B$3,原始資料!I175=""),"",IF(AND(原始資料!H175&lt;&gt;"",原始資料!I175=原始資料!H175),N(F175)+1,1))</f>
        <v/>
      </c>
      <c r="H175" s="6">
        <f>IF(OR(原始資料!$A175="",7&gt;設定!$B$3,原始資料!J175=""),"",IF(AND(原始資料!I175&lt;&gt;"",原始資料!J175=原始資料!I175),N(G175)+1,1))</f>
        <v/>
      </c>
      <c r="I175" s="6">
        <f>IF(OR(原始資料!$A175="",8&gt;設定!$B$3,原始資料!K175=""),"",IF(AND(原始資料!J175&lt;&gt;"",原始資料!K175=原始資料!J175),N(H175)+1,1))</f>
        <v/>
      </c>
      <c r="J175" s="6">
        <f>IF(OR(原始資料!$A175="",9&gt;設定!$B$3,原始資料!L175=""),"",IF(AND(原始資料!K175&lt;&gt;"",原始資料!L175=原始資料!K175),N(I175)+1,1))</f>
        <v/>
      </c>
      <c r="K175" s="6">
        <f>IF(OR(原始資料!$A175="",10&gt;設定!$B$3,原始資料!M175=""),"",IF(AND(原始資料!L175&lt;&gt;"",原始資料!M175=原始資料!L175),N(J175)+1,1))</f>
        <v/>
      </c>
      <c r="L175" s="6">
        <f>IF(OR(原始資料!$A175="",11&gt;設定!$B$3,原始資料!N175=""),"",IF(AND(原始資料!M175&lt;&gt;"",原始資料!N175=原始資料!M175),N(K175)+1,1))</f>
        <v/>
      </c>
      <c r="M175" s="6">
        <f>IF(OR(原始資料!$A175="",12&gt;設定!$B$3,原始資料!O175=""),"",IF(AND(原始資料!N175&lt;&gt;"",原始資料!O175=原始資料!N175),N(L175)+1,1))</f>
        <v/>
      </c>
      <c r="N175" s="6">
        <f>IF(OR(原始資料!$A175="",13&gt;設定!$B$3,原始資料!P175=""),"",IF(AND(原始資料!O175&lt;&gt;"",原始資料!P175=原始資料!O175),N(M175)+1,1))</f>
        <v/>
      </c>
      <c r="O175" s="6">
        <f>IF(OR(原始資料!$A175="",14&gt;設定!$B$3,原始資料!Q175=""),"",IF(AND(原始資料!P175&lt;&gt;"",原始資料!Q175=原始資料!P175),N(N175)+1,1))</f>
        <v/>
      </c>
      <c r="P175" s="6">
        <f>IF(OR(原始資料!$A175="",15&gt;設定!$B$3,原始資料!R175=""),"",IF(AND(原始資料!Q175&lt;&gt;"",原始資料!R175=原始資料!Q175),N(O175)+1,1))</f>
        <v/>
      </c>
      <c r="Q175" s="6">
        <f>IF(OR(原始資料!$A175="",16&gt;設定!$B$3,原始資料!S175=""),"",IF(AND(原始資料!R175&lt;&gt;"",原始資料!S175=原始資料!R175),N(P175)+1,1))</f>
        <v/>
      </c>
      <c r="R175" s="6">
        <f>IF(OR(原始資料!$A175="",17&gt;設定!$B$3,原始資料!T175=""),"",IF(AND(原始資料!S175&lt;&gt;"",原始資料!T175=原始資料!S175),N(Q175)+1,1))</f>
        <v/>
      </c>
      <c r="S175" s="6">
        <f>IF(OR(原始資料!$A175="",18&gt;設定!$B$3,原始資料!U175=""),"",IF(AND(原始資料!T175&lt;&gt;"",原始資料!U175=原始資料!T175),N(R175)+1,1))</f>
        <v/>
      </c>
      <c r="T175" s="6">
        <f>IF(OR(原始資料!$A175="",19&gt;設定!$B$3,原始資料!V175=""),"",IF(AND(原始資料!U175&lt;&gt;"",原始資料!V175=原始資料!U175),N(S175)+1,1))</f>
        <v/>
      </c>
      <c r="U175" s="6">
        <f>IF(OR(原始資料!$A175="",20&gt;設定!$B$3,原始資料!W175=""),"",IF(AND(原始資料!V175&lt;&gt;"",原始資料!W175=原始資料!V175),N(T175)+1,1))</f>
        <v/>
      </c>
      <c r="V175" s="6">
        <f>IF(OR(原始資料!$A175="",21&gt;設定!$B$3,原始資料!X175=""),"",IF(AND(原始資料!W175&lt;&gt;"",原始資料!X175=原始資料!W175),N(U175)+1,1))</f>
        <v/>
      </c>
      <c r="W175" s="6">
        <f>IF(OR(原始資料!$A175="",22&gt;設定!$B$3,原始資料!Y175=""),"",IF(AND(原始資料!X175&lt;&gt;"",原始資料!Y175=原始資料!X175),N(V175)+1,1))</f>
        <v/>
      </c>
      <c r="X175" s="6">
        <f>IF(OR(原始資料!$A175="",23&gt;設定!$B$3,原始資料!Z175=""),"",IF(AND(原始資料!Y175&lt;&gt;"",原始資料!Z175=原始資料!Y175),N(W175)+1,1))</f>
        <v/>
      </c>
      <c r="Y175" s="6">
        <f>IF(OR(原始資料!$A175="",24&gt;設定!$B$3,原始資料!AA175=""),"",IF(AND(原始資料!Z175&lt;&gt;"",原始資料!AA175=原始資料!Z175),N(X175)+1,1))</f>
        <v/>
      </c>
      <c r="Z175" s="6">
        <f>IF(OR(原始資料!$A175="",25&gt;設定!$B$3,原始資料!AB175=""),"",IF(AND(原始資料!AA175&lt;&gt;"",原始資料!AB175=原始資料!AA175),N(Y175)+1,1))</f>
        <v/>
      </c>
      <c r="AA175" s="6">
        <f>IF(OR(原始資料!$A175="",26&gt;設定!$B$3,原始資料!AC175=""),"",IF(AND(原始資料!AB175&lt;&gt;"",原始資料!AC175=原始資料!AB175),N(Z175)+1,1))</f>
        <v/>
      </c>
      <c r="AB175" s="6">
        <f>IF(OR(原始資料!$A175="",27&gt;設定!$B$3,原始資料!AD175=""),"",IF(AND(原始資料!AC175&lt;&gt;"",原始資料!AD175=原始資料!AC175),N(AA175)+1,1))</f>
        <v/>
      </c>
      <c r="AC175" s="6">
        <f>IF(OR(原始資料!$A175="",28&gt;設定!$B$3,原始資料!AE175=""),"",IF(AND(原始資料!AD175&lt;&gt;"",原始資料!AE175=原始資料!AD175),N(AB175)+1,1))</f>
        <v/>
      </c>
      <c r="AD175" s="6">
        <f>IF(OR(原始資料!$A175="",29&gt;設定!$B$3,原始資料!AF175=""),"",IF(AND(原始資料!AE175&lt;&gt;"",原始資料!AF175=原始資料!AE175),N(AC175)+1,1))</f>
        <v/>
      </c>
      <c r="AE175" s="6">
        <f>IF(OR(原始資料!$A175="",30&gt;設定!$B$3,原始資料!AG175=""),"",IF(AND(原始資料!AF175&lt;&gt;"",原始資料!AG175=原始資料!AF175),N(AD175)+1,1))</f>
        <v/>
      </c>
      <c r="AF175" s="6">
        <f>IF(OR(原始資料!$A175="",31&gt;設定!$B$3,原始資料!AH175=""),"",IF(AND(原始資料!AG175&lt;&gt;"",原始資料!AH175=原始資料!AG175),N(AE175)+1,1))</f>
        <v/>
      </c>
      <c r="AG175" s="6">
        <f>IF(OR(原始資料!$A175="",32&gt;設定!$B$3,原始資料!AI175=""),"",IF(AND(原始資料!AH175&lt;&gt;"",原始資料!AI175=原始資料!AH175),N(AF175)+1,1))</f>
        <v/>
      </c>
      <c r="AH175" s="6">
        <f>IF(OR(原始資料!$A175="",33&gt;設定!$B$3,原始資料!AJ175=""),"",IF(AND(原始資料!AI175&lt;&gt;"",原始資料!AJ175=原始資料!AI175),N(AG175)+1,1))</f>
        <v/>
      </c>
      <c r="AI175" s="6">
        <f>IF(OR(原始資料!$A175="",34&gt;設定!$B$3,原始資料!AK175=""),"",IF(AND(原始資料!AJ175&lt;&gt;"",原始資料!AK175=原始資料!AJ175),N(AH175)+1,1))</f>
        <v/>
      </c>
      <c r="AJ175" s="6">
        <f>IF(OR(原始資料!$A175="",35&gt;設定!$B$3,原始資料!AL175=""),"",IF(AND(原始資料!AK175&lt;&gt;"",原始資料!AL175=原始資料!AK175),N(AI175)+1,1))</f>
        <v/>
      </c>
      <c r="AK175" s="6">
        <f>IF(OR(原始資料!$A175="",36&gt;設定!$B$3,原始資料!AM175=""),"",IF(AND(原始資料!AL175&lt;&gt;"",原始資料!AM175=原始資料!AL175),N(AJ175)+1,1))</f>
        <v/>
      </c>
      <c r="AL175" s="6">
        <f>IF(OR(原始資料!$A175="",37&gt;設定!$B$3,原始資料!AN175=""),"",IF(AND(原始資料!AM175&lt;&gt;"",原始資料!AN175=原始資料!AM175),N(AK175)+1,1))</f>
        <v/>
      </c>
      <c r="AM175" s="6">
        <f>IF(OR(原始資料!$A175="",38&gt;設定!$B$3,原始資料!AO175=""),"",IF(AND(原始資料!AN175&lt;&gt;"",原始資料!AO175=原始資料!AN175),N(AL175)+1,1))</f>
        <v/>
      </c>
      <c r="AN175" s="6">
        <f>IF(OR(原始資料!$A175="",39&gt;設定!$B$3,原始資料!AP175=""),"",IF(AND(原始資料!AO175&lt;&gt;"",原始資料!AP175=原始資料!AO175),N(AM175)+1,1))</f>
        <v/>
      </c>
      <c r="AO175" s="6">
        <f>IF(OR(原始資料!$A175="",40&gt;設定!$B$3,原始資料!AQ175=""),"",IF(AND(原始資料!AP175&lt;&gt;"",原始資料!AQ175=原始資料!AP175),N(AN175)+1,1))</f>
        <v/>
      </c>
      <c r="AP175" s="6">
        <f>IF(OR(原始資料!$A175="",41&gt;設定!$B$3,原始資料!AR175=""),"",IF(AND(原始資料!AQ175&lt;&gt;"",原始資料!AR175=原始資料!AQ175),N(AO175)+1,1))</f>
        <v/>
      </c>
      <c r="AQ175" s="6">
        <f>IF(OR(原始資料!$A175="",42&gt;設定!$B$3,原始資料!AS175=""),"",IF(AND(原始資料!AR175&lt;&gt;"",原始資料!AS175=原始資料!AR175),N(AP175)+1,1))</f>
        <v/>
      </c>
      <c r="AR175" s="6">
        <f>IF(OR(原始資料!$A175="",43&gt;設定!$B$3,原始資料!AT175=""),"",IF(AND(原始資料!AS175&lt;&gt;"",原始資料!AT175=原始資料!AS175),N(AQ175)+1,1))</f>
        <v/>
      </c>
      <c r="AS175" s="6">
        <f>IF(OR(原始資料!$A175="",44&gt;設定!$B$3,原始資料!AU175=""),"",IF(AND(原始資料!AT175&lt;&gt;"",原始資料!AU175=原始資料!AT175),N(AR175)+1,1))</f>
        <v/>
      </c>
      <c r="AT175" s="6">
        <f>IF(OR(原始資料!$A175="",45&gt;設定!$B$3,原始資料!AV175=""),"",IF(AND(原始資料!AU175&lt;&gt;"",原始資料!AV175=原始資料!AU175),N(AS175)+1,1))</f>
        <v/>
      </c>
      <c r="AU175" s="6">
        <f>IF(OR(原始資料!$A175="",46&gt;設定!$B$3,原始資料!AW175=""),"",IF(AND(原始資料!AV175&lt;&gt;"",原始資料!AW175=原始資料!AV175),N(AT175)+1,1))</f>
        <v/>
      </c>
      <c r="AV175" s="6">
        <f>IF(OR(原始資料!$A175="",47&gt;設定!$B$3,原始資料!AX175=""),"",IF(AND(原始資料!AW175&lt;&gt;"",原始資料!AX175=原始資料!AW175),N(AU175)+1,1))</f>
        <v/>
      </c>
      <c r="AW175" s="6">
        <f>IF(OR(原始資料!$A175="",48&gt;設定!$B$3,原始資料!AY175=""),"",IF(AND(原始資料!AX175&lt;&gt;"",原始資料!AY175=原始資料!AX175),N(AV175)+1,1))</f>
        <v/>
      </c>
      <c r="AX175" s="6">
        <f>IF(OR(原始資料!$A175="",49&gt;設定!$B$3,原始資料!AZ175=""),"",IF(AND(原始資料!AY175&lt;&gt;"",原始資料!AZ175=原始資料!AY175),N(AW175)+1,1))</f>
        <v/>
      </c>
      <c r="AY175" s="6">
        <f>IF(OR(原始資料!$A175="",50&gt;設定!$B$3,原始資料!BA175=""),"",IF(AND(原始資料!AZ175&lt;&gt;"",原始資料!BA175=原始資料!AZ175),N(AX175)+1,1))</f>
        <v/>
      </c>
      <c r="AZ175" s="6">
        <f>IF(OR(原始資料!$A175="",51&gt;設定!$B$3,原始資料!BB175=""),"",IF(AND(原始資料!BA175&lt;&gt;"",原始資料!BB175=原始資料!BA175),N(AY175)+1,1))</f>
        <v/>
      </c>
      <c r="BA175" s="6">
        <f>IF(OR(原始資料!$A175="",52&gt;設定!$B$3,原始資料!BC175=""),"",IF(AND(原始資料!BB175&lt;&gt;"",原始資料!BC175=原始資料!BB175),N(AZ175)+1,1))</f>
        <v/>
      </c>
      <c r="BB175" s="6">
        <f>IF(OR(原始資料!$A175="",53&gt;設定!$B$3,原始資料!BD175=""),"",IF(AND(原始資料!BC175&lt;&gt;"",原始資料!BD175=原始資料!BC175),N(BA175)+1,1))</f>
        <v/>
      </c>
      <c r="BC175" s="6">
        <f>IF(OR(原始資料!$A175="",54&gt;設定!$B$3,原始資料!BE175=""),"",IF(AND(原始資料!BD175&lt;&gt;"",原始資料!BE175=原始資料!BD175),N(BB175)+1,1))</f>
        <v/>
      </c>
      <c r="BD175" s="6">
        <f>IF(OR(原始資料!$A175="",55&gt;設定!$B$3,原始資料!BF175=""),"",IF(AND(原始資料!BE175&lt;&gt;"",原始資料!BF175=原始資料!BE175),N(BC175)+1,1))</f>
        <v/>
      </c>
      <c r="BE175" s="6">
        <f>IF(OR(原始資料!$A175="",56&gt;設定!$B$3,原始資料!BG175=""),"",IF(AND(原始資料!BF175&lt;&gt;"",原始資料!BG175=原始資料!BF175),N(BD175)+1,1))</f>
        <v/>
      </c>
      <c r="BF175" s="6">
        <f>IF(OR(原始資料!$A175="",57&gt;設定!$B$3,原始資料!BH175=""),"",IF(AND(原始資料!BG175&lt;&gt;"",原始資料!BH175=原始資料!BG175),N(BE175)+1,1))</f>
        <v/>
      </c>
      <c r="BG175" s="6">
        <f>IF(OR(原始資料!$A175="",58&gt;設定!$B$3,原始資料!BI175=""),"",IF(AND(原始資料!BH175&lt;&gt;"",原始資料!BI175=原始資料!BH175),N(BF175)+1,1))</f>
        <v/>
      </c>
      <c r="BH175" s="6">
        <f>IF(OR(原始資料!$A175="",59&gt;設定!$B$3,原始資料!BJ175=""),"",IF(AND(原始資料!BI175&lt;&gt;"",原始資料!BJ175=原始資料!BI175),N(BG175)+1,1))</f>
        <v/>
      </c>
      <c r="BI175" s="6">
        <f>IF(OR(原始資料!$A175="",60&gt;設定!$B$3,原始資料!BK175=""),"",IF(AND(原始資料!BJ175&lt;&gt;"",原始資料!BK175=原始資料!BJ175),N(BH175)+1,1))</f>
        <v/>
      </c>
    </row>
    <row r="176">
      <c r="A176" s="6">
        <f>IF(原始資料!$A176="","",原始資料!$A176)</f>
        <v/>
      </c>
      <c r="B176" s="6">
        <f>IF(OR(原始資料!$A176="",1&gt;設定!$B$3,原始資料!D176=""),"",1)</f>
        <v/>
      </c>
      <c r="C176" s="6">
        <f>IF(OR(原始資料!$A176="",2&gt;設定!$B$3,原始資料!E176=""),"",IF(AND(原始資料!D176&lt;&gt;"",原始資料!E176=原始資料!D176),N(B176)+1,1))</f>
        <v/>
      </c>
      <c r="D176" s="6">
        <f>IF(OR(原始資料!$A176="",3&gt;設定!$B$3,原始資料!F176=""),"",IF(AND(原始資料!E176&lt;&gt;"",原始資料!F176=原始資料!E176),N(C176)+1,1))</f>
        <v/>
      </c>
      <c r="E176" s="6">
        <f>IF(OR(原始資料!$A176="",4&gt;設定!$B$3,原始資料!G176=""),"",IF(AND(原始資料!F176&lt;&gt;"",原始資料!G176=原始資料!F176),N(D176)+1,1))</f>
        <v/>
      </c>
      <c r="F176" s="6">
        <f>IF(OR(原始資料!$A176="",5&gt;設定!$B$3,原始資料!H176=""),"",IF(AND(原始資料!G176&lt;&gt;"",原始資料!H176=原始資料!G176),N(E176)+1,1))</f>
        <v/>
      </c>
      <c r="G176" s="6">
        <f>IF(OR(原始資料!$A176="",6&gt;設定!$B$3,原始資料!I176=""),"",IF(AND(原始資料!H176&lt;&gt;"",原始資料!I176=原始資料!H176),N(F176)+1,1))</f>
        <v/>
      </c>
      <c r="H176" s="6">
        <f>IF(OR(原始資料!$A176="",7&gt;設定!$B$3,原始資料!J176=""),"",IF(AND(原始資料!I176&lt;&gt;"",原始資料!J176=原始資料!I176),N(G176)+1,1))</f>
        <v/>
      </c>
      <c r="I176" s="6">
        <f>IF(OR(原始資料!$A176="",8&gt;設定!$B$3,原始資料!K176=""),"",IF(AND(原始資料!J176&lt;&gt;"",原始資料!K176=原始資料!J176),N(H176)+1,1))</f>
        <v/>
      </c>
      <c r="J176" s="6">
        <f>IF(OR(原始資料!$A176="",9&gt;設定!$B$3,原始資料!L176=""),"",IF(AND(原始資料!K176&lt;&gt;"",原始資料!L176=原始資料!K176),N(I176)+1,1))</f>
        <v/>
      </c>
      <c r="K176" s="6">
        <f>IF(OR(原始資料!$A176="",10&gt;設定!$B$3,原始資料!M176=""),"",IF(AND(原始資料!L176&lt;&gt;"",原始資料!M176=原始資料!L176),N(J176)+1,1))</f>
        <v/>
      </c>
      <c r="L176" s="6">
        <f>IF(OR(原始資料!$A176="",11&gt;設定!$B$3,原始資料!N176=""),"",IF(AND(原始資料!M176&lt;&gt;"",原始資料!N176=原始資料!M176),N(K176)+1,1))</f>
        <v/>
      </c>
      <c r="M176" s="6">
        <f>IF(OR(原始資料!$A176="",12&gt;設定!$B$3,原始資料!O176=""),"",IF(AND(原始資料!N176&lt;&gt;"",原始資料!O176=原始資料!N176),N(L176)+1,1))</f>
        <v/>
      </c>
      <c r="N176" s="6">
        <f>IF(OR(原始資料!$A176="",13&gt;設定!$B$3,原始資料!P176=""),"",IF(AND(原始資料!O176&lt;&gt;"",原始資料!P176=原始資料!O176),N(M176)+1,1))</f>
        <v/>
      </c>
      <c r="O176" s="6">
        <f>IF(OR(原始資料!$A176="",14&gt;設定!$B$3,原始資料!Q176=""),"",IF(AND(原始資料!P176&lt;&gt;"",原始資料!Q176=原始資料!P176),N(N176)+1,1))</f>
        <v/>
      </c>
      <c r="P176" s="6">
        <f>IF(OR(原始資料!$A176="",15&gt;設定!$B$3,原始資料!R176=""),"",IF(AND(原始資料!Q176&lt;&gt;"",原始資料!R176=原始資料!Q176),N(O176)+1,1))</f>
        <v/>
      </c>
      <c r="Q176" s="6">
        <f>IF(OR(原始資料!$A176="",16&gt;設定!$B$3,原始資料!S176=""),"",IF(AND(原始資料!R176&lt;&gt;"",原始資料!S176=原始資料!R176),N(P176)+1,1))</f>
        <v/>
      </c>
      <c r="R176" s="6">
        <f>IF(OR(原始資料!$A176="",17&gt;設定!$B$3,原始資料!T176=""),"",IF(AND(原始資料!S176&lt;&gt;"",原始資料!T176=原始資料!S176),N(Q176)+1,1))</f>
        <v/>
      </c>
      <c r="S176" s="6">
        <f>IF(OR(原始資料!$A176="",18&gt;設定!$B$3,原始資料!U176=""),"",IF(AND(原始資料!T176&lt;&gt;"",原始資料!U176=原始資料!T176),N(R176)+1,1))</f>
        <v/>
      </c>
      <c r="T176" s="6">
        <f>IF(OR(原始資料!$A176="",19&gt;設定!$B$3,原始資料!V176=""),"",IF(AND(原始資料!U176&lt;&gt;"",原始資料!V176=原始資料!U176),N(S176)+1,1))</f>
        <v/>
      </c>
      <c r="U176" s="6">
        <f>IF(OR(原始資料!$A176="",20&gt;設定!$B$3,原始資料!W176=""),"",IF(AND(原始資料!V176&lt;&gt;"",原始資料!W176=原始資料!V176),N(T176)+1,1))</f>
        <v/>
      </c>
      <c r="V176" s="6">
        <f>IF(OR(原始資料!$A176="",21&gt;設定!$B$3,原始資料!X176=""),"",IF(AND(原始資料!W176&lt;&gt;"",原始資料!X176=原始資料!W176),N(U176)+1,1))</f>
        <v/>
      </c>
      <c r="W176" s="6">
        <f>IF(OR(原始資料!$A176="",22&gt;設定!$B$3,原始資料!Y176=""),"",IF(AND(原始資料!X176&lt;&gt;"",原始資料!Y176=原始資料!X176),N(V176)+1,1))</f>
        <v/>
      </c>
      <c r="X176" s="6">
        <f>IF(OR(原始資料!$A176="",23&gt;設定!$B$3,原始資料!Z176=""),"",IF(AND(原始資料!Y176&lt;&gt;"",原始資料!Z176=原始資料!Y176),N(W176)+1,1))</f>
        <v/>
      </c>
      <c r="Y176" s="6">
        <f>IF(OR(原始資料!$A176="",24&gt;設定!$B$3,原始資料!AA176=""),"",IF(AND(原始資料!Z176&lt;&gt;"",原始資料!AA176=原始資料!Z176),N(X176)+1,1))</f>
        <v/>
      </c>
      <c r="Z176" s="6">
        <f>IF(OR(原始資料!$A176="",25&gt;設定!$B$3,原始資料!AB176=""),"",IF(AND(原始資料!AA176&lt;&gt;"",原始資料!AB176=原始資料!AA176),N(Y176)+1,1))</f>
        <v/>
      </c>
      <c r="AA176" s="6">
        <f>IF(OR(原始資料!$A176="",26&gt;設定!$B$3,原始資料!AC176=""),"",IF(AND(原始資料!AB176&lt;&gt;"",原始資料!AC176=原始資料!AB176),N(Z176)+1,1))</f>
        <v/>
      </c>
      <c r="AB176" s="6">
        <f>IF(OR(原始資料!$A176="",27&gt;設定!$B$3,原始資料!AD176=""),"",IF(AND(原始資料!AC176&lt;&gt;"",原始資料!AD176=原始資料!AC176),N(AA176)+1,1))</f>
        <v/>
      </c>
      <c r="AC176" s="6">
        <f>IF(OR(原始資料!$A176="",28&gt;設定!$B$3,原始資料!AE176=""),"",IF(AND(原始資料!AD176&lt;&gt;"",原始資料!AE176=原始資料!AD176),N(AB176)+1,1))</f>
        <v/>
      </c>
      <c r="AD176" s="6">
        <f>IF(OR(原始資料!$A176="",29&gt;設定!$B$3,原始資料!AF176=""),"",IF(AND(原始資料!AE176&lt;&gt;"",原始資料!AF176=原始資料!AE176),N(AC176)+1,1))</f>
        <v/>
      </c>
      <c r="AE176" s="6">
        <f>IF(OR(原始資料!$A176="",30&gt;設定!$B$3,原始資料!AG176=""),"",IF(AND(原始資料!AF176&lt;&gt;"",原始資料!AG176=原始資料!AF176),N(AD176)+1,1))</f>
        <v/>
      </c>
      <c r="AF176" s="6">
        <f>IF(OR(原始資料!$A176="",31&gt;設定!$B$3,原始資料!AH176=""),"",IF(AND(原始資料!AG176&lt;&gt;"",原始資料!AH176=原始資料!AG176),N(AE176)+1,1))</f>
        <v/>
      </c>
      <c r="AG176" s="6">
        <f>IF(OR(原始資料!$A176="",32&gt;設定!$B$3,原始資料!AI176=""),"",IF(AND(原始資料!AH176&lt;&gt;"",原始資料!AI176=原始資料!AH176),N(AF176)+1,1))</f>
        <v/>
      </c>
      <c r="AH176" s="6">
        <f>IF(OR(原始資料!$A176="",33&gt;設定!$B$3,原始資料!AJ176=""),"",IF(AND(原始資料!AI176&lt;&gt;"",原始資料!AJ176=原始資料!AI176),N(AG176)+1,1))</f>
        <v/>
      </c>
      <c r="AI176" s="6">
        <f>IF(OR(原始資料!$A176="",34&gt;設定!$B$3,原始資料!AK176=""),"",IF(AND(原始資料!AJ176&lt;&gt;"",原始資料!AK176=原始資料!AJ176),N(AH176)+1,1))</f>
        <v/>
      </c>
      <c r="AJ176" s="6">
        <f>IF(OR(原始資料!$A176="",35&gt;設定!$B$3,原始資料!AL176=""),"",IF(AND(原始資料!AK176&lt;&gt;"",原始資料!AL176=原始資料!AK176),N(AI176)+1,1))</f>
        <v/>
      </c>
      <c r="AK176" s="6">
        <f>IF(OR(原始資料!$A176="",36&gt;設定!$B$3,原始資料!AM176=""),"",IF(AND(原始資料!AL176&lt;&gt;"",原始資料!AM176=原始資料!AL176),N(AJ176)+1,1))</f>
        <v/>
      </c>
      <c r="AL176" s="6">
        <f>IF(OR(原始資料!$A176="",37&gt;設定!$B$3,原始資料!AN176=""),"",IF(AND(原始資料!AM176&lt;&gt;"",原始資料!AN176=原始資料!AM176),N(AK176)+1,1))</f>
        <v/>
      </c>
      <c r="AM176" s="6">
        <f>IF(OR(原始資料!$A176="",38&gt;設定!$B$3,原始資料!AO176=""),"",IF(AND(原始資料!AN176&lt;&gt;"",原始資料!AO176=原始資料!AN176),N(AL176)+1,1))</f>
        <v/>
      </c>
      <c r="AN176" s="6">
        <f>IF(OR(原始資料!$A176="",39&gt;設定!$B$3,原始資料!AP176=""),"",IF(AND(原始資料!AO176&lt;&gt;"",原始資料!AP176=原始資料!AO176),N(AM176)+1,1))</f>
        <v/>
      </c>
      <c r="AO176" s="6">
        <f>IF(OR(原始資料!$A176="",40&gt;設定!$B$3,原始資料!AQ176=""),"",IF(AND(原始資料!AP176&lt;&gt;"",原始資料!AQ176=原始資料!AP176),N(AN176)+1,1))</f>
        <v/>
      </c>
      <c r="AP176" s="6">
        <f>IF(OR(原始資料!$A176="",41&gt;設定!$B$3,原始資料!AR176=""),"",IF(AND(原始資料!AQ176&lt;&gt;"",原始資料!AR176=原始資料!AQ176),N(AO176)+1,1))</f>
        <v/>
      </c>
      <c r="AQ176" s="6">
        <f>IF(OR(原始資料!$A176="",42&gt;設定!$B$3,原始資料!AS176=""),"",IF(AND(原始資料!AR176&lt;&gt;"",原始資料!AS176=原始資料!AR176),N(AP176)+1,1))</f>
        <v/>
      </c>
      <c r="AR176" s="6">
        <f>IF(OR(原始資料!$A176="",43&gt;設定!$B$3,原始資料!AT176=""),"",IF(AND(原始資料!AS176&lt;&gt;"",原始資料!AT176=原始資料!AS176),N(AQ176)+1,1))</f>
        <v/>
      </c>
      <c r="AS176" s="6">
        <f>IF(OR(原始資料!$A176="",44&gt;設定!$B$3,原始資料!AU176=""),"",IF(AND(原始資料!AT176&lt;&gt;"",原始資料!AU176=原始資料!AT176),N(AR176)+1,1))</f>
        <v/>
      </c>
      <c r="AT176" s="6">
        <f>IF(OR(原始資料!$A176="",45&gt;設定!$B$3,原始資料!AV176=""),"",IF(AND(原始資料!AU176&lt;&gt;"",原始資料!AV176=原始資料!AU176),N(AS176)+1,1))</f>
        <v/>
      </c>
      <c r="AU176" s="6">
        <f>IF(OR(原始資料!$A176="",46&gt;設定!$B$3,原始資料!AW176=""),"",IF(AND(原始資料!AV176&lt;&gt;"",原始資料!AW176=原始資料!AV176),N(AT176)+1,1))</f>
        <v/>
      </c>
      <c r="AV176" s="6">
        <f>IF(OR(原始資料!$A176="",47&gt;設定!$B$3,原始資料!AX176=""),"",IF(AND(原始資料!AW176&lt;&gt;"",原始資料!AX176=原始資料!AW176),N(AU176)+1,1))</f>
        <v/>
      </c>
      <c r="AW176" s="6">
        <f>IF(OR(原始資料!$A176="",48&gt;設定!$B$3,原始資料!AY176=""),"",IF(AND(原始資料!AX176&lt;&gt;"",原始資料!AY176=原始資料!AX176),N(AV176)+1,1))</f>
        <v/>
      </c>
      <c r="AX176" s="6">
        <f>IF(OR(原始資料!$A176="",49&gt;設定!$B$3,原始資料!AZ176=""),"",IF(AND(原始資料!AY176&lt;&gt;"",原始資料!AZ176=原始資料!AY176),N(AW176)+1,1))</f>
        <v/>
      </c>
      <c r="AY176" s="6">
        <f>IF(OR(原始資料!$A176="",50&gt;設定!$B$3,原始資料!BA176=""),"",IF(AND(原始資料!AZ176&lt;&gt;"",原始資料!BA176=原始資料!AZ176),N(AX176)+1,1))</f>
        <v/>
      </c>
      <c r="AZ176" s="6">
        <f>IF(OR(原始資料!$A176="",51&gt;設定!$B$3,原始資料!BB176=""),"",IF(AND(原始資料!BA176&lt;&gt;"",原始資料!BB176=原始資料!BA176),N(AY176)+1,1))</f>
        <v/>
      </c>
      <c r="BA176" s="6">
        <f>IF(OR(原始資料!$A176="",52&gt;設定!$B$3,原始資料!BC176=""),"",IF(AND(原始資料!BB176&lt;&gt;"",原始資料!BC176=原始資料!BB176),N(AZ176)+1,1))</f>
        <v/>
      </c>
      <c r="BB176" s="6">
        <f>IF(OR(原始資料!$A176="",53&gt;設定!$B$3,原始資料!BD176=""),"",IF(AND(原始資料!BC176&lt;&gt;"",原始資料!BD176=原始資料!BC176),N(BA176)+1,1))</f>
        <v/>
      </c>
      <c r="BC176" s="6">
        <f>IF(OR(原始資料!$A176="",54&gt;設定!$B$3,原始資料!BE176=""),"",IF(AND(原始資料!BD176&lt;&gt;"",原始資料!BE176=原始資料!BD176),N(BB176)+1,1))</f>
        <v/>
      </c>
      <c r="BD176" s="6">
        <f>IF(OR(原始資料!$A176="",55&gt;設定!$B$3,原始資料!BF176=""),"",IF(AND(原始資料!BE176&lt;&gt;"",原始資料!BF176=原始資料!BE176),N(BC176)+1,1))</f>
        <v/>
      </c>
      <c r="BE176" s="6">
        <f>IF(OR(原始資料!$A176="",56&gt;設定!$B$3,原始資料!BG176=""),"",IF(AND(原始資料!BF176&lt;&gt;"",原始資料!BG176=原始資料!BF176),N(BD176)+1,1))</f>
        <v/>
      </c>
      <c r="BF176" s="6">
        <f>IF(OR(原始資料!$A176="",57&gt;設定!$B$3,原始資料!BH176=""),"",IF(AND(原始資料!BG176&lt;&gt;"",原始資料!BH176=原始資料!BG176),N(BE176)+1,1))</f>
        <v/>
      </c>
      <c r="BG176" s="6">
        <f>IF(OR(原始資料!$A176="",58&gt;設定!$B$3,原始資料!BI176=""),"",IF(AND(原始資料!BH176&lt;&gt;"",原始資料!BI176=原始資料!BH176),N(BF176)+1,1))</f>
        <v/>
      </c>
      <c r="BH176" s="6">
        <f>IF(OR(原始資料!$A176="",59&gt;設定!$B$3,原始資料!BJ176=""),"",IF(AND(原始資料!BI176&lt;&gt;"",原始資料!BJ176=原始資料!BI176),N(BG176)+1,1))</f>
        <v/>
      </c>
      <c r="BI176" s="6">
        <f>IF(OR(原始資料!$A176="",60&gt;設定!$B$3,原始資料!BK176=""),"",IF(AND(原始資料!BJ176&lt;&gt;"",原始資料!BK176=原始資料!BJ176),N(BH176)+1,1))</f>
        <v/>
      </c>
    </row>
    <row r="177">
      <c r="A177" s="6">
        <f>IF(原始資料!$A177="","",原始資料!$A177)</f>
        <v/>
      </c>
      <c r="B177" s="6">
        <f>IF(OR(原始資料!$A177="",1&gt;設定!$B$3,原始資料!D177=""),"",1)</f>
        <v/>
      </c>
      <c r="C177" s="6">
        <f>IF(OR(原始資料!$A177="",2&gt;設定!$B$3,原始資料!E177=""),"",IF(AND(原始資料!D177&lt;&gt;"",原始資料!E177=原始資料!D177),N(B177)+1,1))</f>
        <v/>
      </c>
      <c r="D177" s="6">
        <f>IF(OR(原始資料!$A177="",3&gt;設定!$B$3,原始資料!F177=""),"",IF(AND(原始資料!E177&lt;&gt;"",原始資料!F177=原始資料!E177),N(C177)+1,1))</f>
        <v/>
      </c>
      <c r="E177" s="6">
        <f>IF(OR(原始資料!$A177="",4&gt;設定!$B$3,原始資料!G177=""),"",IF(AND(原始資料!F177&lt;&gt;"",原始資料!G177=原始資料!F177),N(D177)+1,1))</f>
        <v/>
      </c>
      <c r="F177" s="6">
        <f>IF(OR(原始資料!$A177="",5&gt;設定!$B$3,原始資料!H177=""),"",IF(AND(原始資料!G177&lt;&gt;"",原始資料!H177=原始資料!G177),N(E177)+1,1))</f>
        <v/>
      </c>
      <c r="G177" s="6">
        <f>IF(OR(原始資料!$A177="",6&gt;設定!$B$3,原始資料!I177=""),"",IF(AND(原始資料!H177&lt;&gt;"",原始資料!I177=原始資料!H177),N(F177)+1,1))</f>
        <v/>
      </c>
      <c r="H177" s="6">
        <f>IF(OR(原始資料!$A177="",7&gt;設定!$B$3,原始資料!J177=""),"",IF(AND(原始資料!I177&lt;&gt;"",原始資料!J177=原始資料!I177),N(G177)+1,1))</f>
        <v/>
      </c>
      <c r="I177" s="6">
        <f>IF(OR(原始資料!$A177="",8&gt;設定!$B$3,原始資料!K177=""),"",IF(AND(原始資料!J177&lt;&gt;"",原始資料!K177=原始資料!J177),N(H177)+1,1))</f>
        <v/>
      </c>
      <c r="J177" s="6">
        <f>IF(OR(原始資料!$A177="",9&gt;設定!$B$3,原始資料!L177=""),"",IF(AND(原始資料!K177&lt;&gt;"",原始資料!L177=原始資料!K177),N(I177)+1,1))</f>
        <v/>
      </c>
      <c r="K177" s="6">
        <f>IF(OR(原始資料!$A177="",10&gt;設定!$B$3,原始資料!M177=""),"",IF(AND(原始資料!L177&lt;&gt;"",原始資料!M177=原始資料!L177),N(J177)+1,1))</f>
        <v/>
      </c>
      <c r="L177" s="6">
        <f>IF(OR(原始資料!$A177="",11&gt;設定!$B$3,原始資料!N177=""),"",IF(AND(原始資料!M177&lt;&gt;"",原始資料!N177=原始資料!M177),N(K177)+1,1))</f>
        <v/>
      </c>
      <c r="M177" s="6">
        <f>IF(OR(原始資料!$A177="",12&gt;設定!$B$3,原始資料!O177=""),"",IF(AND(原始資料!N177&lt;&gt;"",原始資料!O177=原始資料!N177),N(L177)+1,1))</f>
        <v/>
      </c>
      <c r="N177" s="6">
        <f>IF(OR(原始資料!$A177="",13&gt;設定!$B$3,原始資料!P177=""),"",IF(AND(原始資料!O177&lt;&gt;"",原始資料!P177=原始資料!O177),N(M177)+1,1))</f>
        <v/>
      </c>
      <c r="O177" s="6">
        <f>IF(OR(原始資料!$A177="",14&gt;設定!$B$3,原始資料!Q177=""),"",IF(AND(原始資料!P177&lt;&gt;"",原始資料!Q177=原始資料!P177),N(N177)+1,1))</f>
        <v/>
      </c>
      <c r="P177" s="6">
        <f>IF(OR(原始資料!$A177="",15&gt;設定!$B$3,原始資料!R177=""),"",IF(AND(原始資料!Q177&lt;&gt;"",原始資料!R177=原始資料!Q177),N(O177)+1,1))</f>
        <v/>
      </c>
      <c r="Q177" s="6">
        <f>IF(OR(原始資料!$A177="",16&gt;設定!$B$3,原始資料!S177=""),"",IF(AND(原始資料!R177&lt;&gt;"",原始資料!S177=原始資料!R177),N(P177)+1,1))</f>
        <v/>
      </c>
      <c r="R177" s="6">
        <f>IF(OR(原始資料!$A177="",17&gt;設定!$B$3,原始資料!T177=""),"",IF(AND(原始資料!S177&lt;&gt;"",原始資料!T177=原始資料!S177),N(Q177)+1,1))</f>
        <v/>
      </c>
      <c r="S177" s="6">
        <f>IF(OR(原始資料!$A177="",18&gt;設定!$B$3,原始資料!U177=""),"",IF(AND(原始資料!T177&lt;&gt;"",原始資料!U177=原始資料!T177),N(R177)+1,1))</f>
        <v/>
      </c>
      <c r="T177" s="6">
        <f>IF(OR(原始資料!$A177="",19&gt;設定!$B$3,原始資料!V177=""),"",IF(AND(原始資料!U177&lt;&gt;"",原始資料!V177=原始資料!U177),N(S177)+1,1))</f>
        <v/>
      </c>
      <c r="U177" s="6">
        <f>IF(OR(原始資料!$A177="",20&gt;設定!$B$3,原始資料!W177=""),"",IF(AND(原始資料!V177&lt;&gt;"",原始資料!W177=原始資料!V177),N(T177)+1,1))</f>
        <v/>
      </c>
      <c r="V177" s="6">
        <f>IF(OR(原始資料!$A177="",21&gt;設定!$B$3,原始資料!X177=""),"",IF(AND(原始資料!W177&lt;&gt;"",原始資料!X177=原始資料!W177),N(U177)+1,1))</f>
        <v/>
      </c>
      <c r="W177" s="6">
        <f>IF(OR(原始資料!$A177="",22&gt;設定!$B$3,原始資料!Y177=""),"",IF(AND(原始資料!X177&lt;&gt;"",原始資料!Y177=原始資料!X177),N(V177)+1,1))</f>
        <v/>
      </c>
      <c r="X177" s="6">
        <f>IF(OR(原始資料!$A177="",23&gt;設定!$B$3,原始資料!Z177=""),"",IF(AND(原始資料!Y177&lt;&gt;"",原始資料!Z177=原始資料!Y177),N(W177)+1,1))</f>
        <v/>
      </c>
      <c r="Y177" s="6">
        <f>IF(OR(原始資料!$A177="",24&gt;設定!$B$3,原始資料!AA177=""),"",IF(AND(原始資料!Z177&lt;&gt;"",原始資料!AA177=原始資料!Z177),N(X177)+1,1))</f>
        <v/>
      </c>
      <c r="Z177" s="6">
        <f>IF(OR(原始資料!$A177="",25&gt;設定!$B$3,原始資料!AB177=""),"",IF(AND(原始資料!AA177&lt;&gt;"",原始資料!AB177=原始資料!AA177),N(Y177)+1,1))</f>
        <v/>
      </c>
      <c r="AA177" s="6">
        <f>IF(OR(原始資料!$A177="",26&gt;設定!$B$3,原始資料!AC177=""),"",IF(AND(原始資料!AB177&lt;&gt;"",原始資料!AC177=原始資料!AB177),N(Z177)+1,1))</f>
        <v/>
      </c>
      <c r="AB177" s="6">
        <f>IF(OR(原始資料!$A177="",27&gt;設定!$B$3,原始資料!AD177=""),"",IF(AND(原始資料!AC177&lt;&gt;"",原始資料!AD177=原始資料!AC177),N(AA177)+1,1))</f>
        <v/>
      </c>
      <c r="AC177" s="6">
        <f>IF(OR(原始資料!$A177="",28&gt;設定!$B$3,原始資料!AE177=""),"",IF(AND(原始資料!AD177&lt;&gt;"",原始資料!AE177=原始資料!AD177),N(AB177)+1,1))</f>
        <v/>
      </c>
      <c r="AD177" s="6">
        <f>IF(OR(原始資料!$A177="",29&gt;設定!$B$3,原始資料!AF177=""),"",IF(AND(原始資料!AE177&lt;&gt;"",原始資料!AF177=原始資料!AE177),N(AC177)+1,1))</f>
        <v/>
      </c>
      <c r="AE177" s="6">
        <f>IF(OR(原始資料!$A177="",30&gt;設定!$B$3,原始資料!AG177=""),"",IF(AND(原始資料!AF177&lt;&gt;"",原始資料!AG177=原始資料!AF177),N(AD177)+1,1))</f>
        <v/>
      </c>
      <c r="AF177" s="6">
        <f>IF(OR(原始資料!$A177="",31&gt;設定!$B$3,原始資料!AH177=""),"",IF(AND(原始資料!AG177&lt;&gt;"",原始資料!AH177=原始資料!AG177),N(AE177)+1,1))</f>
        <v/>
      </c>
      <c r="AG177" s="6">
        <f>IF(OR(原始資料!$A177="",32&gt;設定!$B$3,原始資料!AI177=""),"",IF(AND(原始資料!AH177&lt;&gt;"",原始資料!AI177=原始資料!AH177),N(AF177)+1,1))</f>
        <v/>
      </c>
      <c r="AH177" s="6">
        <f>IF(OR(原始資料!$A177="",33&gt;設定!$B$3,原始資料!AJ177=""),"",IF(AND(原始資料!AI177&lt;&gt;"",原始資料!AJ177=原始資料!AI177),N(AG177)+1,1))</f>
        <v/>
      </c>
      <c r="AI177" s="6">
        <f>IF(OR(原始資料!$A177="",34&gt;設定!$B$3,原始資料!AK177=""),"",IF(AND(原始資料!AJ177&lt;&gt;"",原始資料!AK177=原始資料!AJ177),N(AH177)+1,1))</f>
        <v/>
      </c>
      <c r="AJ177" s="6">
        <f>IF(OR(原始資料!$A177="",35&gt;設定!$B$3,原始資料!AL177=""),"",IF(AND(原始資料!AK177&lt;&gt;"",原始資料!AL177=原始資料!AK177),N(AI177)+1,1))</f>
        <v/>
      </c>
      <c r="AK177" s="6">
        <f>IF(OR(原始資料!$A177="",36&gt;設定!$B$3,原始資料!AM177=""),"",IF(AND(原始資料!AL177&lt;&gt;"",原始資料!AM177=原始資料!AL177),N(AJ177)+1,1))</f>
        <v/>
      </c>
      <c r="AL177" s="6">
        <f>IF(OR(原始資料!$A177="",37&gt;設定!$B$3,原始資料!AN177=""),"",IF(AND(原始資料!AM177&lt;&gt;"",原始資料!AN177=原始資料!AM177),N(AK177)+1,1))</f>
        <v/>
      </c>
      <c r="AM177" s="6">
        <f>IF(OR(原始資料!$A177="",38&gt;設定!$B$3,原始資料!AO177=""),"",IF(AND(原始資料!AN177&lt;&gt;"",原始資料!AO177=原始資料!AN177),N(AL177)+1,1))</f>
        <v/>
      </c>
      <c r="AN177" s="6">
        <f>IF(OR(原始資料!$A177="",39&gt;設定!$B$3,原始資料!AP177=""),"",IF(AND(原始資料!AO177&lt;&gt;"",原始資料!AP177=原始資料!AO177),N(AM177)+1,1))</f>
        <v/>
      </c>
      <c r="AO177" s="6">
        <f>IF(OR(原始資料!$A177="",40&gt;設定!$B$3,原始資料!AQ177=""),"",IF(AND(原始資料!AP177&lt;&gt;"",原始資料!AQ177=原始資料!AP177),N(AN177)+1,1))</f>
        <v/>
      </c>
      <c r="AP177" s="6">
        <f>IF(OR(原始資料!$A177="",41&gt;設定!$B$3,原始資料!AR177=""),"",IF(AND(原始資料!AQ177&lt;&gt;"",原始資料!AR177=原始資料!AQ177),N(AO177)+1,1))</f>
        <v/>
      </c>
      <c r="AQ177" s="6">
        <f>IF(OR(原始資料!$A177="",42&gt;設定!$B$3,原始資料!AS177=""),"",IF(AND(原始資料!AR177&lt;&gt;"",原始資料!AS177=原始資料!AR177),N(AP177)+1,1))</f>
        <v/>
      </c>
      <c r="AR177" s="6">
        <f>IF(OR(原始資料!$A177="",43&gt;設定!$B$3,原始資料!AT177=""),"",IF(AND(原始資料!AS177&lt;&gt;"",原始資料!AT177=原始資料!AS177),N(AQ177)+1,1))</f>
        <v/>
      </c>
      <c r="AS177" s="6">
        <f>IF(OR(原始資料!$A177="",44&gt;設定!$B$3,原始資料!AU177=""),"",IF(AND(原始資料!AT177&lt;&gt;"",原始資料!AU177=原始資料!AT177),N(AR177)+1,1))</f>
        <v/>
      </c>
      <c r="AT177" s="6">
        <f>IF(OR(原始資料!$A177="",45&gt;設定!$B$3,原始資料!AV177=""),"",IF(AND(原始資料!AU177&lt;&gt;"",原始資料!AV177=原始資料!AU177),N(AS177)+1,1))</f>
        <v/>
      </c>
      <c r="AU177" s="6">
        <f>IF(OR(原始資料!$A177="",46&gt;設定!$B$3,原始資料!AW177=""),"",IF(AND(原始資料!AV177&lt;&gt;"",原始資料!AW177=原始資料!AV177),N(AT177)+1,1))</f>
        <v/>
      </c>
      <c r="AV177" s="6">
        <f>IF(OR(原始資料!$A177="",47&gt;設定!$B$3,原始資料!AX177=""),"",IF(AND(原始資料!AW177&lt;&gt;"",原始資料!AX177=原始資料!AW177),N(AU177)+1,1))</f>
        <v/>
      </c>
      <c r="AW177" s="6">
        <f>IF(OR(原始資料!$A177="",48&gt;設定!$B$3,原始資料!AY177=""),"",IF(AND(原始資料!AX177&lt;&gt;"",原始資料!AY177=原始資料!AX177),N(AV177)+1,1))</f>
        <v/>
      </c>
      <c r="AX177" s="6">
        <f>IF(OR(原始資料!$A177="",49&gt;設定!$B$3,原始資料!AZ177=""),"",IF(AND(原始資料!AY177&lt;&gt;"",原始資料!AZ177=原始資料!AY177),N(AW177)+1,1))</f>
        <v/>
      </c>
      <c r="AY177" s="6">
        <f>IF(OR(原始資料!$A177="",50&gt;設定!$B$3,原始資料!BA177=""),"",IF(AND(原始資料!AZ177&lt;&gt;"",原始資料!BA177=原始資料!AZ177),N(AX177)+1,1))</f>
        <v/>
      </c>
      <c r="AZ177" s="6">
        <f>IF(OR(原始資料!$A177="",51&gt;設定!$B$3,原始資料!BB177=""),"",IF(AND(原始資料!BA177&lt;&gt;"",原始資料!BB177=原始資料!BA177),N(AY177)+1,1))</f>
        <v/>
      </c>
      <c r="BA177" s="6">
        <f>IF(OR(原始資料!$A177="",52&gt;設定!$B$3,原始資料!BC177=""),"",IF(AND(原始資料!BB177&lt;&gt;"",原始資料!BC177=原始資料!BB177),N(AZ177)+1,1))</f>
        <v/>
      </c>
      <c r="BB177" s="6">
        <f>IF(OR(原始資料!$A177="",53&gt;設定!$B$3,原始資料!BD177=""),"",IF(AND(原始資料!BC177&lt;&gt;"",原始資料!BD177=原始資料!BC177),N(BA177)+1,1))</f>
        <v/>
      </c>
      <c r="BC177" s="6">
        <f>IF(OR(原始資料!$A177="",54&gt;設定!$B$3,原始資料!BE177=""),"",IF(AND(原始資料!BD177&lt;&gt;"",原始資料!BE177=原始資料!BD177),N(BB177)+1,1))</f>
        <v/>
      </c>
      <c r="BD177" s="6">
        <f>IF(OR(原始資料!$A177="",55&gt;設定!$B$3,原始資料!BF177=""),"",IF(AND(原始資料!BE177&lt;&gt;"",原始資料!BF177=原始資料!BE177),N(BC177)+1,1))</f>
        <v/>
      </c>
      <c r="BE177" s="6">
        <f>IF(OR(原始資料!$A177="",56&gt;設定!$B$3,原始資料!BG177=""),"",IF(AND(原始資料!BF177&lt;&gt;"",原始資料!BG177=原始資料!BF177),N(BD177)+1,1))</f>
        <v/>
      </c>
      <c r="BF177" s="6">
        <f>IF(OR(原始資料!$A177="",57&gt;設定!$B$3,原始資料!BH177=""),"",IF(AND(原始資料!BG177&lt;&gt;"",原始資料!BH177=原始資料!BG177),N(BE177)+1,1))</f>
        <v/>
      </c>
      <c r="BG177" s="6">
        <f>IF(OR(原始資料!$A177="",58&gt;設定!$B$3,原始資料!BI177=""),"",IF(AND(原始資料!BH177&lt;&gt;"",原始資料!BI177=原始資料!BH177),N(BF177)+1,1))</f>
        <v/>
      </c>
      <c r="BH177" s="6">
        <f>IF(OR(原始資料!$A177="",59&gt;設定!$B$3,原始資料!BJ177=""),"",IF(AND(原始資料!BI177&lt;&gt;"",原始資料!BJ177=原始資料!BI177),N(BG177)+1,1))</f>
        <v/>
      </c>
      <c r="BI177" s="6">
        <f>IF(OR(原始資料!$A177="",60&gt;設定!$B$3,原始資料!BK177=""),"",IF(AND(原始資料!BJ177&lt;&gt;"",原始資料!BK177=原始資料!BJ177),N(BH177)+1,1))</f>
        <v/>
      </c>
    </row>
    <row r="178">
      <c r="A178" s="6">
        <f>IF(原始資料!$A178="","",原始資料!$A178)</f>
        <v/>
      </c>
      <c r="B178" s="6">
        <f>IF(OR(原始資料!$A178="",1&gt;設定!$B$3,原始資料!D178=""),"",1)</f>
        <v/>
      </c>
      <c r="C178" s="6">
        <f>IF(OR(原始資料!$A178="",2&gt;設定!$B$3,原始資料!E178=""),"",IF(AND(原始資料!D178&lt;&gt;"",原始資料!E178=原始資料!D178),N(B178)+1,1))</f>
        <v/>
      </c>
      <c r="D178" s="6">
        <f>IF(OR(原始資料!$A178="",3&gt;設定!$B$3,原始資料!F178=""),"",IF(AND(原始資料!E178&lt;&gt;"",原始資料!F178=原始資料!E178),N(C178)+1,1))</f>
        <v/>
      </c>
      <c r="E178" s="6">
        <f>IF(OR(原始資料!$A178="",4&gt;設定!$B$3,原始資料!G178=""),"",IF(AND(原始資料!F178&lt;&gt;"",原始資料!G178=原始資料!F178),N(D178)+1,1))</f>
        <v/>
      </c>
      <c r="F178" s="6">
        <f>IF(OR(原始資料!$A178="",5&gt;設定!$B$3,原始資料!H178=""),"",IF(AND(原始資料!G178&lt;&gt;"",原始資料!H178=原始資料!G178),N(E178)+1,1))</f>
        <v/>
      </c>
      <c r="G178" s="6">
        <f>IF(OR(原始資料!$A178="",6&gt;設定!$B$3,原始資料!I178=""),"",IF(AND(原始資料!H178&lt;&gt;"",原始資料!I178=原始資料!H178),N(F178)+1,1))</f>
        <v/>
      </c>
      <c r="H178" s="6">
        <f>IF(OR(原始資料!$A178="",7&gt;設定!$B$3,原始資料!J178=""),"",IF(AND(原始資料!I178&lt;&gt;"",原始資料!J178=原始資料!I178),N(G178)+1,1))</f>
        <v/>
      </c>
      <c r="I178" s="6">
        <f>IF(OR(原始資料!$A178="",8&gt;設定!$B$3,原始資料!K178=""),"",IF(AND(原始資料!J178&lt;&gt;"",原始資料!K178=原始資料!J178),N(H178)+1,1))</f>
        <v/>
      </c>
      <c r="J178" s="6">
        <f>IF(OR(原始資料!$A178="",9&gt;設定!$B$3,原始資料!L178=""),"",IF(AND(原始資料!K178&lt;&gt;"",原始資料!L178=原始資料!K178),N(I178)+1,1))</f>
        <v/>
      </c>
      <c r="K178" s="6">
        <f>IF(OR(原始資料!$A178="",10&gt;設定!$B$3,原始資料!M178=""),"",IF(AND(原始資料!L178&lt;&gt;"",原始資料!M178=原始資料!L178),N(J178)+1,1))</f>
        <v/>
      </c>
      <c r="L178" s="6">
        <f>IF(OR(原始資料!$A178="",11&gt;設定!$B$3,原始資料!N178=""),"",IF(AND(原始資料!M178&lt;&gt;"",原始資料!N178=原始資料!M178),N(K178)+1,1))</f>
        <v/>
      </c>
      <c r="M178" s="6">
        <f>IF(OR(原始資料!$A178="",12&gt;設定!$B$3,原始資料!O178=""),"",IF(AND(原始資料!N178&lt;&gt;"",原始資料!O178=原始資料!N178),N(L178)+1,1))</f>
        <v/>
      </c>
      <c r="N178" s="6">
        <f>IF(OR(原始資料!$A178="",13&gt;設定!$B$3,原始資料!P178=""),"",IF(AND(原始資料!O178&lt;&gt;"",原始資料!P178=原始資料!O178),N(M178)+1,1))</f>
        <v/>
      </c>
      <c r="O178" s="6">
        <f>IF(OR(原始資料!$A178="",14&gt;設定!$B$3,原始資料!Q178=""),"",IF(AND(原始資料!P178&lt;&gt;"",原始資料!Q178=原始資料!P178),N(N178)+1,1))</f>
        <v/>
      </c>
      <c r="P178" s="6">
        <f>IF(OR(原始資料!$A178="",15&gt;設定!$B$3,原始資料!R178=""),"",IF(AND(原始資料!Q178&lt;&gt;"",原始資料!R178=原始資料!Q178),N(O178)+1,1))</f>
        <v/>
      </c>
      <c r="Q178" s="6">
        <f>IF(OR(原始資料!$A178="",16&gt;設定!$B$3,原始資料!S178=""),"",IF(AND(原始資料!R178&lt;&gt;"",原始資料!S178=原始資料!R178),N(P178)+1,1))</f>
        <v/>
      </c>
      <c r="R178" s="6">
        <f>IF(OR(原始資料!$A178="",17&gt;設定!$B$3,原始資料!T178=""),"",IF(AND(原始資料!S178&lt;&gt;"",原始資料!T178=原始資料!S178),N(Q178)+1,1))</f>
        <v/>
      </c>
      <c r="S178" s="6">
        <f>IF(OR(原始資料!$A178="",18&gt;設定!$B$3,原始資料!U178=""),"",IF(AND(原始資料!T178&lt;&gt;"",原始資料!U178=原始資料!T178),N(R178)+1,1))</f>
        <v/>
      </c>
      <c r="T178" s="6">
        <f>IF(OR(原始資料!$A178="",19&gt;設定!$B$3,原始資料!V178=""),"",IF(AND(原始資料!U178&lt;&gt;"",原始資料!V178=原始資料!U178),N(S178)+1,1))</f>
        <v/>
      </c>
      <c r="U178" s="6">
        <f>IF(OR(原始資料!$A178="",20&gt;設定!$B$3,原始資料!W178=""),"",IF(AND(原始資料!V178&lt;&gt;"",原始資料!W178=原始資料!V178),N(T178)+1,1))</f>
        <v/>
      </c>
      <c r="V178" s="6">
        <f>IF(OR(原始資料!$A178="",21&gt;設定!$B$3,原始資料!X178=""),"",IF(AND(原始資料!W178&lt;&gt;"",原始資料!X178=原始資料!W178),N(U178)+1,1))</f>
        <v/>
      </c>
      <c r="W178" s="6">
        <f>IF(OR(原始資料!$A178="",22&gt;設定!$B$3,原始資料!Y178=""),"",IF(AND(原始資料!X178&lt;&gt;"",原始資料!Y178=原始資料!X178),N(V178)+1,1))</f>
        <v/>
      </c>
      <c r="X178" s="6">
        <f>IF(OR(原始資料!$A178="",23&gt;設定!$B$3,原始資料!Z178=""),"",IF(AND(原始資料!Y178&lt;&gt;"",原始資料!Z178=原始資料!Y178),N(W178)+1,1))</f>
        <v/>
      </c>
      <c r="Y178" s="6">
        <f>IF(OR(原始資料!$A178="",24&gt;設定!$B$3,原始資料!AA178=""),"",IF(AND(原始資料!Z178&lt;&gt;"",原始資料!AA178=原始資料!Z178),N(X178)+1,1))</f>
        <v/>
      </c>
      <c r="Z178" s="6">
        <f>IF(OR(原始資料!$A178="",25&gt;設定!$B$3,原始資料!AB178=""),"",IF(AND(原始資料!AA178&lt;&gt;"",原始資料!AB178=原始資料!AA178),N(Y178)+1,1))</f>
        <v/>
      </c>
      <c r="AA178" s="6">
        <f>IF(OR(原始資料!$A178="",26&gt;設定!$B$3,原始資料!AC178=""),"",IF(AND(原始資料!AB178&lt;&gt;"",原始資料!AC178=原始資料!AB178),N(Z178)+1,1))</f>
        <v/>
      </c>
      <c r="AB178" s="6">
        <f>IF(OR(原始資料!$A178="",27&gt;設定!$B$3,原始資料!AD178=""),"",IF(AND(原始資料!AC178&lt;&gt;"",原始資料!AD178=原始資料!AC178),N(AA178)+1,1))</f>
        <v/>
      </c>
      <c r="AC178" s="6">
        <f>IF(OR(原始資料!$A178="",28&gt;設定!$B$3,原始資料!AE178=""),"",IF(AND(原始資料!AD178&lt;&gt;"",原始資料!AE178=原始資料!AD178),N(AB178)+1,1))</f>
        <v/>
      </c>
      <c r="AD178" s="6">
        <f>IF(OR(原始資料!$A178="",29&gt;設定!$B$3,原始資料!AF178=""),"",IF(AND(原始資料!AE178&lt;&gt;"",原始資料!AF178=原始資料!AE178),N(AC178)+1,1))</f>
        <v/>
      </c>
      <c r="AE178" s="6">
        <f>IF(OR(原始資料!$A178="",30&gt;設定!$B$3,原始資料!AG178=""),"",IF(AND(原始資料!AF178&lt;&gt;"",原始資料!AG178=原始資料!AF178),N(AD178)+1,1))</f>
        <v/>
      </c>
      <c r="AF178" s="6">
        <f>IF(OR(原始資料!$A178="",31&gt;設定!$B$3,原始資料!AH178=""),"",IF(AND(原始資料!AG178&lt;&gt;"",原始資料!AH178=原始資料!AG178),N(AE178)+1,1))</f>
        <v/>
      </c>
      <c r="AG178" s="6">
        <f>IF(OR(原始資料!$A178="",32&gt;設定!$B$3,原始資料!AI178=""),"",IF(AND(原始資料!AH178&lt;&gt;"",原始資料!AI178=原始資料!AH178),N(AF178)+1,1))</f>
        <v/>
      </c>
      <c r="AH178" s="6">
        <f>IF(OR(原始資料!$A178="",33&gt;設定!$B$3,原始資料!AJ178=""),"",IF(AND(原始資料!AI178&lt;&gt;"",原始資料!AJ178=原始資料!AI178),N(AG178)+1,1))</f>
        <v/>
      </c>
      <c r="AI178" s="6">
        <f>IF(OR(原始資料!$A178="",34&gt;設定!$B$3,原始資料!AK178=""),"",IF(AND(原始資料!AJ178&lt;&gt;"",原始資料!AK178=原始資料!AJ178),N(AH178)+1,1))</f>
        <v/>
      </c>
      <c r="AJ178" s="6">
        <f>IF(OR(原始資料!$A178="",35&gt;設定!$B$3,原始資料!AL178=""),"",IF(AND(原始資料!AK178&lt;&gt;"",原始資料!AL178=原始資料!AK178),N(AI178)+1,1))</f>
        <v/>
      </c>
      <c r="AK178" s="6">
        <f>IF(OR(原始資料!$A178="",36&gt;設定!$B$3,原始資料!AM178=""),"",IF(AND(原始資料!AL178&lt;&gt;"",原始資料!AM178=原始資料!AL178),N(AJ178)+1,1))</f>
        <v/>
      </c>
      <c r="AL178" s="6">
        <f>IF(OR(原始資料!$A178="",37&gt;設定!$B$3,原始資料!AN178=""),"",IF(AND(原始資料!AM178&lt;&gt;"",原始資料!AN178=原始資料!AM178),N(AK178)+1,1))</f>
        <v/>
      </c>
      <c r="AM178" s="6">
        <f>IF(OR(原始資料!$A178="",38&gt;設定!$B$3,原始資料!AO178=""),"",IF(AND(原始資料!AN178&lt;&gt;"",原始資料!AO178=原始資料!AN178),N(AL178)+1,1))</f>
        <v/>
      </c>
      <c r="AN178" s="6">
        <f>IF(OR(原始資料!$A178="",39&gt;設定!$B$3,原始資料!AP178=""),"",IF(AND(原始資料!AO178&lt;&gt;"",原始資料!AP178=原始資料!AO178),N(AM178)+1,1))</f>
        <v/>
      </c>
      <c r="AO178" s="6">
        <f>IF(OR(原始資料!$A178="",40&gt;設定!$B$3,原始資料!AQ178=""),"",IF(AND(原始資料!AP178&lt;&gt;"",原始資料!AQ178=原始資料!AP178),N(AN178)+1,1))</f>
        <v/>
      </c>
      <c r="AP178" s="6">
        <f>IF(OR(原始資料!$A178="",41&gt;設定!$B$3,原始資料!AR178=""),"",IF(AND(原始資料!AQ178&lt;&gt;"",原始資料!AR178=原始資料!AQ178),N(AO178)+1,1))</f>
        <v/>
      </c>
      <c r="AQ178" s="6">
        <f>IF(OR(原始資料!$A178="",42&gt;設定!$B$3,原始資料!AS178=""),"",IF(AND(原始資料!AR178&lt;&gt;"",原始資料!AS178=原始資料!AR178),N(AP178)+1,1))</f>
        <v/>
      </c>
      <c r="AR178" s="6">
        <f>IF(OR(原始資料!$A178="",43&gt;設定!$B$3,原始資料!AT178=""),"",IF(AND(原始資料!AS178&lt;&gt;"",原始資料!AT178=原始資料!AS178),N(AQ178)+1,1))</f>
        <v/>
      </c>
      <c r="AS178" s="6">
        <f>IF(OR(原始資料!$A178="",44&gt;設定!$B$3,原始資料!AU178=""),"",IF(AND(原始資料!AT178&lt;&gt;"",原始資料!AU178=原始資料!AT178),N(AR178)+1,1))</f>
        <v/>
      </c>
      <c r="AT178" s="6">
        <f>IF(OR(原始資料!$A178="",45&gt;設定!$B$3,原始資料!AV178=""),"",IF(AND(原始資料!AU178&lt;&gt;"",原始資料!AV178=原始資料!AU178),N(AS178)+1,1))</f>
        <v/>
      </c>
      <c r="AU178" s="6">
        <f>IF(OR(原始資料!$A178="",46&gt;設定!$B$3,原始資料!AW178=""),"",IF(AND(原始資料!AV178&lt;&gt;"",原始資料!AW178=原始資料!AV178),N(AT178)+1,1))</f>
        <v/>
      </c>
      <c r="AV178" s="6">
        <f>IF(OR(原始資料!$A178="",47&gt;設定!$B$3,原始資料!AX178=""),"",IF(AND(原始資料!AW178&lt;&gt;"",原始資料!AX178=原始資料!AW178),N(AU178)+1,1))</f>
        <v/>
      </c>
      <c r="AW178" s="6">
        <f>IF(OR(原始資料!$A178="",48&gt;設定!$B$3,原始資料!AY178=""),"",IF(AND(原始資料!AX178&lt;&gt;"",原始資料!AY178=原始資料!AX178),N(AV178)+1,1))</f>
        <v/>
      </c>
      <c r="AX178" s="6">
        <f>IF(OR(原始資料!$A178="",49&gt;設定!$B$3,原始資料!AZ178=""),"",IF(AND(原始資料!AY178&lt;&gt;"",原始資料!AZ178=原始資料!AY178),N(AW178)+1,1))</f>
        <v/>
      </c>
      <c r="AY178" s="6">
        <f>IF(OR(原始資料!$A178="",50&gt;設定!$B$3,原始資料!BA178=""),"",IF(AND(原始資料!AZ178&lt;&gt;"",原始資料!BA178=原始資料!AZ178),N(AX178)+1,1))</f>
        <v/>
      </c>
      <c r="AZ178" s="6">
        <f>IF(OR(原始資料!$A178="",51&gt;設定!$B$3,原始資料!BB178=""),"",IF(AND(原始資料!BA178&lt;&gt;"",原始資料!BB178=原始資料!BA178),N(AY178)+1,1))</f>
        <v/>
      </c>
      <c r="BA178" s="6">
        <f>IF(OR(原始資料!$A178="",52&gt;設定!$B$3,原始資料!BC178=""),"",IF(AND(原始資料!BB178&lt;&gt;"",原始資料!BC178=原始資料!BB178),N(AZ178)+1,1))</f>
        <v/>
      </c>
      <c r="BB178" s="6">
        <f>IF(OR(原始資料!$A178="",53&gt;設定!$B$3,原始資料!BD178=""),"",IF(AND(原始資料!BC178&lt;&gt;"",原始資料!BD178=原始資料!BC178),N(BA178)+1,1))</f>
        <v/>
      </c>
      <c r="BC178" s="6">
        <f>IF(OR(原始資料!$A178="",54&gt;設定!$B$3,原始資料!BE178=""),"",IF(AND(原始資料!BD178&lt;&gt;"",原始資料!BE178=原始資料!BD178),N(BB178)+1,1))</f>
        <v/>
      </c>
      <c r="BD178" s="6">
        <f>IF(OR(原始資料!$A178="",55&gt;設定!$B$3,原始資料!BF178=""),"",IF(AND(原始資料!BE178&lt;&gt;"",原始資料!BF178=原始資料!BE178),N(BC178)+1,1))</f>
        <v/>
      </c>
      <c r="BE178" s="6">
        <f>IF(OR(原始資料!$A178="",56&gt;設定!$B$3,原始資料!BG178=""),"",IF(AND(原始資料!BF178&lt;&gt;"",原始資料!BG178=原始資料!BF178),N(BD178)+1,1))</f>
        <v/>
      </c>
      <c r="BF178" s="6">
        <f>IF(OR(原始資料!$A178="",57&gt;設定!$B$3,原始資料!BH178=""),"",IF(AND(原始資料!BG178&lt;&gt;"",原始資料!BH178=原始資料!BG178),N(BE178)+1,1))</f>
        <v/>
      </c>
      <c r="BG178" s="6">
        <f>IF(OR(原始資料!$A178="",58&gt;設定!$B$3,原始資料!BI178=""),"",IF(AND(原始資料!BH178&lt;&gt;"",原始資料!BI178=原始資料!BH178),N(BF178)+1,1))</f>
        <v/>
      </c>
      <c r="BH178" s="6">
        <f>IF(OR(原始資料!$A178="",59&gt;設定!$B$3,原始資料!BJ178=""),"",IF(AND(原始資料!BI178&lt;&gt;"",原始資料!BJ178=原始資料!BI178),N(BG178)+1,1))</f>
        <v/>
      </c>
      <c r="BI178" s="6">
        <f>IF(OR(原始資料!$A178="",60&gt;設定!$B$3,原始資料!BK178=""),"",IF(AND(原始資料!BJ178&lt;&gt;"",原始資料!BK178=原始資料!BJ178),N(BH178)+1,1))</f>
        <v/>
      </c>
    </row>
    <row r="179">
      <c r="A179" s="6">
        <f>IF(原始資料!$A179="","",原始資料!$A179)</f>
        <v/>
      </c>
      <c r="B179" s="6">
        <f>IF(OR(原始資料!$A179="",1&gt;設定!$B$3,原始資料!D179=""),"",1)</f>
        <v/>
      </c>
      <c r="C179" s="6">
        <f>IF(OR(原始資料!$A179="",2&gt;設定!$B$3,原始資料!E179=""),"",IF(AND(原始資料!D179&lt;&gt;"",原始資料!E179=原始資料!D179),N(B179)+1,1))</f>
        <v/>
      </c>
      <c r="D179" s="6">
        <f>IF(OR(原始資料!$A179="",3&gt;設定!$B$3,原始資料!F179=""),"",IF(AND(原始資料!E179&lt;&gt;"",原始資料!F179=原始資料!E179),N(C179)+1,1))</f>
        <v/>
      </c>
      <c r="E179" s="6">
        <f>IF(OR(原始資料!$A179="",4&gt;設定!$B$3,原始資料!G179=""),"",IF(AND(原始資料!F179&lt;&gt;"",原始資料!G179=原始資料!F179),N(D179)+1,1))</f>
        <v/>
      </c>
      <c r="F179" s="6">
        <f>IF(OR(原始資料!$A179="",5&gt;設定!$B$3,原始資料!H179=""),"",IF(AND(原始資料!G179&lt;&gt;"",原始資料!H179=原始資料!G179),N(E179)+1,1))</f>
        <v/>
      </c>
      <c r="G179" s="6">
        <f>IF(OR(原始資料!$A179="",6&gt;設定!$B$3,原始資料!I179=""),"",IF(AND(原始資料!H179&lt;&gt;"",原始資料!I179=原始資料!H179),N(F179)+1,1))</f>
        <v/>
      </c>
      <c r="H179" s="6">
        <f>IF(OR(原始資料!$A179="",7&gt;設定!$B$3,原始資料!J179=""),"",IF(AND(原始資料!I179&lt;&gt;"",原始資料!J179=原始資料!I179),N(G179)+1,1))</f>
        <v/>
      </c>
      <c r="I179" s="6">
        <f>IF(OR(原始資料!$A179="",8&gt;設定!$B$3,原始資料!K179=""),"",IF(AND(原始資料!J179&lt;&gt;"",原始資料!K179=原始資料!J179),N(H179)+1,1))</f>
        <v/>
      </c>
      <c r="J179" s="6">
        <f>IF(OR(原始資料!$A179="",9&gt;設定!$B$3,原始資料!L179=""),"",IF(AND(原始資料!K179&lt;&gt;"",原始資料!L179=原始資料!K179),N(I179)+1,1))</f>
        <v/>
      </c>
      <c r="K179" s="6">
        <f>IF(OR(原始資料!$A179="",10&gt;設定!$B$3,原始資料!M179=""),"",IF(AND(原始資料!L179&lt;&gt;"",原始資料!M179=原始資料!L179),N(J179)+1,1))</f>
        <v/>
      </c>
      <c r="L179" s="6">
        <f>IF(OR(原始資料!$A179="",11&gt;設定!$B$3,原始資料!N179=""),"",IF(AND(原始資料!M179&lt;&gt;"",原始資料!N179=原始資料!M179),N(K179)+1,1))</f>
        <v/>
      </c>
      <c r="M179" s="6">
        <f>IF(OR(原始資料!$A179="",12&gt;設定!$B$3,原始資料!O179=""),"",IF(AND(原始資料!N179&lt;&gt;"",原始資料!O179=原始資料!N179),N(L179)+1,1))</f>
        <v/>
      </c>
      <c r="N179" s="6">
        <f>IF(OR(原始資料!$A179="",13&gt;設定!$B$3,原始資料!P179=""),"",IF(AND(原始資料!O179&lt;&gt;"",原始資料!P179=原始資料!O179),N(M179)+1,1))</f>
        <v/>
      </c>
      <c r="O179" s="6">
        <f>IF(OR(原始資料!$A179="",14&gt;設定!$B$3,原始資料!Q179=""),"",IF(AND(原始資料!P179&lt;&gt;"",原始資料!Q179=原始資料!P179),N(N179)+1,1))</f>
        <v/>
      </c>
      <c r="P179" s="6">
        <f>IF(OR(原始資料!$A179="",15&gt;設定!$B$3,原始資料!R179=""),"",IF(AND(原始資料!Q179&lt;&gt;"",原始資料!R179=原始資料!Q179),N(O179)+1,1))</f>
        <v/>
      </c>
      <c r="Q179" s="6">
        <f>IF(OR(原始資料!$A179="",16&gt;設定!$B$3,原始資料!S179=""),"",IF(AND(原始資料!R179&lt;&gt;"",原始資料!S179=原始資料!R179),N(P179)+1,1))</f>
        <v/>
      </c>
      <c r="R179" s="6">
        <f>IF(OR(原始資料!$A179="",17&gt;設定!$B$3,原始資料!T179=""),"",IF(AND(原始資料!S179&lt;&gt;"",原始資料!T179=原始資料!S179),N(Q179)+1,1))</f>
        <v/>
      </c>
      <c r="S179" s="6">
        <f>IF(OR(原始資料!$A179="",18&gt;設定!$B$3,原始資料!U179=""),"",IF(AND(原始資料!T179&lt;&gt;"",原始資料!U179=原始資料!T179),N(R179)+1,1))</f>
        <v/>
      </c>
      <c r="T179" s="6">
        <f>IF(OR(原始資料!$A179="",19&gt;設定!$B$3,原始資料!V179=""),"",IF(AND(原始資料!U179&lt;&gt;"",原始資料!V179=原始資料!U179),N(S179)+1,1))</f>
        <v/>
      </c>
      <c r="U179" s="6">
        <f>IF(OR(原始資料!$A179="",20&gt;設定!$B$3,原始資料!W179=""),"",IF(AND(原始資料!V179&lt;&gt;"",原始資料!W179=原始資料!V179),N(T179)+1,1))</f>
        <v/>
      </c>
      <c r="V179" s="6">
        <f>IF(OR(原始資料!$A179="",21&gt;設定!$B$3,原始資料!X179=""),"",IF(AND(原始資料!W179&lt;&gt;"",原始資料!X179=原始資料!W179),N(U179)+1,1))</f>
        <v/>
      </c>
      <c r="W179" s="6">
        <f>IF(OR(原始資料!$A179="",22&gt;設定!$B$3,原始資料!Y179=""),"",IF(AND(原始資料!X179&lt;&gt;"",原始資料!Y179=原始資料!X179),N(V179)+1,1))</f>
        <v/>
      </c>
      <c r="X179" s="6">
        <f>IF(OR(原始資料!$A179="",23&gt;設定!$B$3,原始資料!Z179=""),"",IF(AND(原始資料!Y179&lt;&gt;"",原始資料!Z179=原始資料!Y179),N(W179)+1,1))</f>
        <v/>
      </c>
      <c r="Y179" s="6">
        <f>IF(OR(原始資料!$A179="",24&gt;設定!$B$3,原始資料!AA179=""),"",IF(AND(原始資料!Z179&lt;&gt;"",原始資料!AA179=原始資料!Z179),N(X179)+1,1))</f>
        <v/>
      </c>
      <c r="Z179" s="6">
        <f>IF(OR(原始資料!$A179="",25&gt;設定!$B$3,原始資料!AB179=""),"",IF(AND(原始資料!AA179&lt;&gt;"",原始資料!AB179=原始資料!AA179),N(Y179)+1,1))</f>
        <v/>
      </c>
      <c r="AA179" s="6">
        <f>IF(OR(原始資料!$A179="",26&gt;設定!$B$3,原始資料!AC179=""),"",IF(AND(原始資料!AB179&lt;&gt;"",原始資料!AC179=原始資料!AB179),N(Z179)+1,1))</f>
        <v/>
      </c>
      <c r="AB179" s="6">
        <f>IF(OR(原始資料!$A179="",27&gt;設定!$B$3,原始資料!AD179=""),"",IF(AND(原始資料!AC179&lt;&gt;"",原始資料!AD179=原始資料!AC179),N(AA179)+1,1))</f>
        <v/>
      </c>
      <c r="AC179" s="6">
        <f>IF(OR(原始資料!$A179="",28&gt;設定!$B$3,原始資料!AE179=""),"",IF(AND(原始資料!AD179&lt;&gt;"",原始資料!AE179=原始資料!AD179),N(AB179)+1,1))</f>
        <v/>
      </c>
      <c r="AD179" s="6">
        <f>IF(OR(原始資料!$A179="",29&gt;設定!$B$3,原始資料!AF179=""),"",IF(AND(原始資料!AE179&lt;&gt;"",原始資料!AF179=原始資料!AE179),N(AC179)+1,1))</f>
        <v/>
      </c>
      <c r="AE179" s="6">
        <f>IF(OR(原始資料!$A179="",30&gt;設定!$B$3,原始資料!AG179=""),"",IF(AND(原始資料!AF179&lt;&gt;"",原始資料!AG179=原始資料!AF179),N(AD179)+1,1))</f>
        <v/>
      </c>
      <c r="AF179" s="6">
        <f>IF(OR(原始資料!$A179="",31&gt;設定!$B$3,原始資料!AH179=""),"",IF(AND(原始資料!AG179&lt;&gt;"",原始資料!AH179=原始資料!AG179),N(AE179)+1,1))</f>
        <v/>
      </c>
      <c r="AG179" s="6">
        <f>IF(OR(原始資料!$A179="",32&gt;設定!$B$3,原始資料!AI179=""),"",IF(AND(原始資料!AH179&lt;&gt;"",原始資料!AI179=原始資料!AH179),N(AF179)+1,1))</f>
        <v/>
      </c>
      <c r="AH179" s="6">
        <f>IF(OR(原始資料!$A179="",33&gt;設定!$B$3,原始資料!AJ179=""),"",IF(AND(原始資料!AI179&lt;&gt;"",原始資料!AJ179=原始資料!AI179),N(AG179)+1,1))</f>
        <v/>
      </c>
      <c r="AI179" s="6">
        <f>IF(OR(原始資料!$A179="",34&gt;設定!$B$3,原始資料!AK179=""),"",IF(AND(原始資料!AJ179&lt;&gt;"",原始資料!AK179=原始資料!AJ179),N(AH179)+1,1))</f>
        <v/>
      </c>
      <c r="AJ179" s="6">
        <f>IF(OR(原始資料!$A179="",35&gt;設定!$B$3,原始資料!AL179=""),"",IF(AND(原始資料!AK179&lt;&gt;"",原始資料!AL179=原始資料!AK179),N(AI179)+1,1))</f>
        <v/>
      </c>
      <c r="AK179" s="6">
        <f>IF(OR(原始資料!$A179="",36&gt;設定!$B$3,原始資料!AM179=""),"",IF(AND(原始資料!AL179&lt;&gt;"",原始資料!AM179=原始資料!AL179),N(AJ179)+1,1))</f>
        <v/>
      </c>
      <c r="AL179" s="6">
        <f>IF(OR(原始資料!$A179="",37&gt;設定!$B$3,原始資料!AN179=""),"",IF(AND(原始資料!AM179&lt;&gt;"",原始資料!AN179=原始資料!AM179),N(AK179)+1,1))</f>
        <v/>
      </c>
      <c r="AM179" s="6">
        <f>IF(OR(原始資料!$A179="",38&gt;設定!$B$3,原始資料!AO179=""),"",IF(AND(原始資料!AN179&lt;&gt;"",原始資料!AO179=原始資料!AN179),N(AL179)+1,1))</f>
        <v/>
      </c>
      <c r="AN179" s="6">
        <f>IF(OR(原始資料!$A179="",39&gt;設定!$B$3,原始資料!AP179=""),"",IF(AND(原始資料!AO179&lt;&gt;"",原始資料!AP179=原始資料!AO179),N(AM179)+1,1))</f>
        <v/>
      </c>
      <c r="AO179" s="6">
        <f>IF(OR(原始資料!$A179="",40&gt;設定!$B$3,原始資料!AQ179=""),"",IF(AND(原始資料!AP179&lt;&gt;"",原始資料!AQ179=原始資料!AP179),N(AN179)+1,1))</f>
        <v/>
      </c>
      <c r="AP179" s="6">
        <f>IF(OR(原始資料!$A179="",41&gt;設定!$B$3,原始資料!AR179=""),"",IF(AND(原始資料!AQ179&lt;&gt;"",原始資料!AR179=原始資料!AQ179),N(AO179)+1,1))</f>
        <v/>
      </c>
      <c r="AQ179" s="6">
        <f>IF(OR(原始資料!$A179="",42&gt;設定!$B$3,原始資料!AS179=""),"",IF(AND(原始資料!AR179&lt;&gt;"",原始資料!AS179=原始資料!AR179),N(AP179)+1,1))</f>
        <v/>
      </c>
      <c r="AR179" s="6">
        <f>IF(OR(原始資料!$A179="",43&gt;設定!$B$3,原始資料!AT179=""),"",IF(AND(原始資料!AS179&lt;&gt;"",原始資料!AT179=原始資料!AS179),N(AQ179)+1,1))</f>
        <v/>
      </c>
      <c r="AS179" s="6">
        <f>IF(OR(原始資料!$A179="",44&gt;設定!$B$3,原始資料!AU179=""),"",IF(AND(原始資料!AT179&lt;&gt;"",原始資料!AU179=原始資料!AT179),N(AR179)+1,1))</f>
        <v/>
      </c>
      <c r="AT179" s="6">
        <f>IF(OR(原始資料!$A179="",45&gt;設定!$B$3,原始資料!AV179=""),"",IF(AND(原始資料!AU179&lt;&gt;"",原始資料!AV179=原始資料!AU179),N(AS179)+1,1))</f>
        <v/>
      </c>
      <c r="AU179" s="6">
        <f>IF(OR(原始資料!$A179="",46&gt;設定!$B$3,原始資料!AW179=""),"",IF(AND(原始資料!AV179&lt;&gt;"",原始資料!AW179=原始資料!AV179),N(AT179)+1,1))</f>
        <v/>
      </c>
      <c r="AV179" s="6">
        <f>IF(OR(原始資料!$A179="",47&gt;設定!$B$3,原始資料!AX179=""),"",IF(AND(原始資料!AW179&lt;&gt;"",原始資料!AX179=原始資料!AW179),N(AU179)+1,1))</f>
        <v/>
      </c>
      <c r="AW179" s="6">
        <f>IF(OR(原始資料!$A179="",48&gt;設定!$B$3,原始資料!AY179=""),"",IF(AND(原始資料!AX179&lt;&gt;"",原始資料!AY179=原始資料!AX179),N(AV179)+1,1))</f>
        <v/>
      </c>
      <c r="AX179" s="6">
        <f>IF(OR(原始資料!$A179="",49&gt;設定!$B$3,原始資料!AZ179=""),"",IF(AND(原始資料!AY179&lt;&gt;"",原始資料!AZ179=原始資料!AY179),N(AW179)+1,1))</f>
        <v/>
      </c>
      <c r="AY179" s="6">
        <f>IF(OR(原始資料!$A179="",50&gt;設定!$B$3,原始資料!BA179=""),"",IF(AND(原始資料!AZ179&lt;&gt;"",原始資料!BA179=原始資料!AZ179),N(AX179)+1,1))</f>
        <v/>
      </c>
      <c r="AZ179" s="6">
        <f>IF(OR(原始資料!$A179="",51&gt;設定!$B$3,原始資料!BB179=""),"",IF(AND(原始資料!BA179&lt;&gt;"",原始資料!BB179=原始資料!BA179),N(AY179)+1,1))</f>
        <v/>
      </c>
      <c r="BA179" s="6">
        <f>IF(OR(原始資料!$A179="",52&gt;設定!$B$3,原始資料!BC179=""),"",IF(AND(原始資料!BB179&lt;&gt;"",原始資料!BC179=原始資料!BB179),N(AZ179)+1,1))</f>
        <v/>
      </c>
      <c r="BB179" s="6">
        <f>IF(OR(原始資料!$A179="",53&gt;設定!$B$3,原始資料!BD179=""),"",IF(AND(原始資料!BC179&lt;&gt;"",原始資料!BD179=原始資料!BC179),N(BA179)+1,1))</f>
        <v/>
      </c>
      <c r="BC179" s="6">
        <f>IF(OR(原始資料!$A179="",54&gt;設定!$B$3,原始資料!BE179=""),"",IF(AND(原始資料!BD179&lt;&gt;"",原始資料!BE179=原始資料!BD179),N(BB179)+1,1))</f>
        <v/>
      </c>
      <c r="BD179" s="6">
        <f>IF(OR(原始資料!$A179="",55&gt;設定!$B$3,原始資料!BF179=""),"",IF(AND(原始資料!BE179&lt;&gt;"",原始資料!BF179=原始資料!BE179),N(BC179)+1,1))</f>
        <v/>
      </c>
      <c r="BE179" s="6">
        <f>IF(OR(原始資料!$A179="",56&gt;設定!$B$3,原始資料!BG179=""),"",IF(AND(原始資料!BF179&lt;&gt;"",原始資料!BG179=原始資料!BF179),N(BD179)+1,1))</f>
        <v/>
      </c>
      <c r="BF179" s="6">
        <f>IF(OR(原始資料!$A179="",57&gt;設定!$B$3,原始資料!BH179=""),"",IF(AND(原始資料!BG179&lt;&gt;"",原始資料!BH179=原始資料!BG179),N(BE179)+1,1))</f>
        <v/>
      </c>
      <c r="BG179" s="6">
        <f>IF(OR(原始資料!$A179="",58&gt;設定!$B$3,原始資料!BI179=""),"",IF(AND(原始資料!BH179&lt;&gt;"",原始資料!BI179=原始資料!BH179),N(BF179)+1,1))</f>
        <v/>
      </c>
      <c r="BH179" s="6">
        <f>IF(OR(原始資料!$A179="",59&gt;設定!$B$3,原始資料!BJ179=""),"",IF(AND(原始資料!BI179&lt;&gt;"",原始資料!BJ179=原始資料!BI179),N(BG179)+1,1))</f>
        <v/>
      </c>
      <c r="BI179" s="6">
        <f>IF(OR(原始資料!$A179="",60&gt;設定!$B$3,原始資料!BK179=""),"",IF(AND(原始資料!BJ179&lt;&gt;"",原始資料!BK179=原始資料!BJ179),N(BH179)+1,1))</f>
        <v/>
      </c>
    </row>
    <row r="180">
      <c r="A180" s="6">
        <f>IF(原始資料!$A180="","",原始資料!$A180)</f>
        <v/>
      </c>
      <c r="B180" s="6">
        <f>IF(OR(原始資料!$A180="",1&gt;設定!$B$3,原始資料!D180=""),"",1)</f>
        <v/>
      </c>
      <c r="C180" s="6">
        <f>IF(OR(原始資料!$A180="",2&gt;設定!$B$3,原始資料!E180=""),"",IF(AND(原始資料!D180&lt;&gt;"",原始資料!E180=原始資料!D180),N(B180)+1,1))</f>
        <v/>
      </c>
      <c r="D180" s="6">
        <f>IF(OR(原始資料!$A180="",3&gt;設定!$B$3,原始資料!F180=""),"",IF(AND(原始資料!E180&lt;&gt;"",原始資料!F180=原始資料!E180),N(C180)+1,1))</f>
        <v/>
      </c>
      <c r="E180" s="6">
        <f>IF(OR(原始資料!$A180="",4&gt;設定!$B$3,原始資料!G180=""),"",IF(AND(原始資料!F180&lt;&gt;"",原始資料!G180=原始資料!F180),N(D180)+1,1))</f>
        <v/>
      </c>
      <c r="F180" s="6">
        <f>IF(OR(原始資料!$A180="",5&gt;設定!$B$3,原始資料!H180=""),"",IF(AND(原始資料!G180&lt;&gt;"",原始資料!H180=原始資料!G180),N(E180)+1,1))</f>
        <v/>
      </c>
      <c r="G180" s="6">
        <f>IF(OR(原始資料!$A180="",6&gt;設定!$B$3,原始資料!I180=""),"",IF(AND(原始資料!H180&lt;&gt;"",原始資料!I180=原始資料!H180),N(F180)+1,1))</f>
        <v/>
      </c>
      <c r="H180" s="6">
        <f>IF(OR(原始資料!$A180="",7&gt;設定!$B$3,原始資料!J180=""),"",IF(AND(原始資料!I180&lt;&gt;"",原始資料!J180=原始資料!I180),N(G180)+1,1))</f>
        <v/>
      </c>
      <c r="I180" s="6">
        <f>IF(OR(原始資料!$A180="",8&gt;設定!$B$3,原始資料!K180=""),"",IF(AND(原始資料!J180&lt;&gt;"",原始資料!K180=原始資料!J180),N(H180)+1,1))</f>
        <v/>
      </c>
      <c r="J180" s="6">
        <f>IF(OR(原始資料!$A180="",9&gt;設定!$B$3,原始資料!L180=""),"",IF(AND(原始資料!K180&lt;&gt;"",原始資料!L180=原始資料!K180),N(I180)+1,1))</f>
        <v/>
      </c>
      <c r="K180" s="6">
        <f>IF(OR(原始資料!$A180="",10&gt;設定!$B$3,原始資料!M180=""),"",IF(AND(原始資料!L180&lt;&gt;"",原始資料!M180=原始資料!L180),N(J180)+1,1))</f>
        <v/>
      </c>
      <c r="L180" s="6">
        <f>IF(OR(原始資料!$A180="",11&gt;設定!$B$3,原始資料!N180=""),"",IF(AND(原始資料!M180&lt;&gt;"",原始資料!N180=原始資料!M180),N(K180)+1,1))</f>
        <v/>
      </c>
      <c r="M180" s="6">
        <f>IF(OR(原始資料!$A180="",12&gt;設定!$B$3,原始資料!O180=""),"",IF(AND(原始資料!N180&lt;&gt;"",原始資料!O180=原始資料!N180),N(L180)+1,1))</f>
        <v/>
      </c>
      <c r="N180" s="6">
        <f>IF(OR(原始資料!$A180="",13&gt;設定!$B$3,原始資料!P180=""),"",IF(AND(原始資料!O180&lt;&gt;"",原始資料!P180=原始資料!O180),N(M180)+1,1))</f>
        <v/>
      </c>
      <c r="O180" s="6">
        <f>IF(OR(原始資料!$A180="",14&gt;設定!$B$3,原始資料!Q180=""),"",IF(AND(原始資料!P180&lt;&gt;"",原始資料!Q180=原始資料!P180),N(N180)+1,1))</f>
        <v/>
      </c>
      <c r="P180" s="6">
        <f>IF(OR(原始資料!$A180="",15&gt;設定!$B$3,原始資料!R180=""),"",IF(AND(原始資料!Q180&lt;&gt;"",原始資料!R180=原始資料!Q180),N(O180)+1,1))</f>
        <v/>
      </c>
      <c r="Q180" s="6">
        <f>IF(OR(原始資料!$A180="",16&gt;設定!$B$3,原始資料!S180=""),"",IF(AND(原始資料!R180&lt;&gt;"",原始資料!S180=原始資料!R180),N(P180)+1,1))</f>
        <v/>
      </c>
      <c r="R180" s="6">
        <f>IF(OR(原始資料!$A180="",17&gt;設定!$B$3,原始資料!T180=""),"",IF(AND(原始資料!S180&lt;&gt;"",原始資料!T180=原始資料!S180),N(Q180)+1,1))</f>
        <v/>
      </c>
      <c r="S180" s="6">
        <f>IF(OR(原始資料!$A180="",18&gt;設定!$B$3,原始資料!U180=""),"",IF(AND(原始資料!T180&lt;&gt;"",原始資料!U180=原始資料!T180),N(R180)+1,1))</f>
        <v/>
      </c>
      <c r="T180" s="6">
        <f>IF(OR(原始資料!$A180="",19&gt;設定!$B$3,原始資料!V180=""),"",IF(AND(原始資料!U180&lt;&gt;"",原始資料!V180=原始資料!U180),N(S180)+1,1))</f>
        <v/>
      </c>
      <c r="U180" s="6">
        <f>IF(OR(原始資料!$A180="",20&gt;設定!$B$3,原始資料!W180=""),"",IF(AND(原始資料!V180&lt;&gt;"",原始資料!W180=原始資料!V180),N(T180)+1,1))</f>
        <v/>
      </c>
      <c r="V180" s="6">
        <f>IF(OR(原始資料!$A180="",21&gt;設定!$B$3,原始資料!X180=""),"",IF(AND(原始資料!W180&lt;&gt;"",原始資料!X180=原始資料!W180),N(U180)+1,1))</f>
        <v/>
      </c>
      <c r="W180" s="6">
        <f>IF(OR(原始資料!$A180="",22&gt;設定!$B$3,原始資料!Y180=""),"",IF(AND(原始資料!X180&lt;&gt;"",原始資料!Y180=原始資料!X180),N(V180)+1,1))</f>
        <v/>
      </c>
      <c r="X180" s="6">
        <f>IF(OR(原始資料!$A180="",23&gt;設定!$B$3,原始資料!Z180=""),"",IF(AND(原始資料!Y180&lt;&gt;"",原始資料!Z180=原始資料!Y180),N(W180)+1,1))</f>
        <v/>
      </c>
      <c r="Y180" s="6">
        <f>IF(OR(原始資料!$A180="",24&gt;設定!$B$3,原始資料!AA180=""),"",IF(AND(原始資料!Z180&lt;&gt;"",原始資料!AA180=原始資料!Z180),N(X180)+1,1))</f>
        <v/>
      </c>
      <c r="Z180" s="6">
        <f>IF(OR(原始資料!$A180="",25&gt;設定!$B$3,原始資料!AB180=""),"",IF(AND(原始資料!AA180&lt;&gt;"",原始資料!AB180=原始資料!AA180),N(Y180)+1,1))</f>
        <v/>
      </c>
      <c r="AA180" s="6">
        <f>IF(OR(原始資料!$A180="",26&gt;設定!$B$3,原始資料!AC180=""),"",IF(AND(原始資料!AB180&lt;&gt;"",原始資料!AC180=原始資料!AB180),N(Z180)+1,1))</f>
        <v/>
      </c>
      <c r="AB180" s="6">
        <f>IF(OR(原始資料!$A180="",27&gt;設定!$B$3,原始資料!AD180=""),"",IF(AND(原始資料!AC180&lt;&gt;"",原始資料!AD180=原始資料!AC180),N(AA180)+1,1))</f>
        <v/>
      </c>
      <c r="AC180" s="6">
        <f>IF(OR(原始資料!$A180="",28&gt;設定!$B$3,原始資料!AE180=""),"",IF(AND(原始資料!AD180&lt;&gt;"",原始資料!AE180=原始資料!AD180),N(AB180)+1,1))</f>
        <v/>
      </c>
      <c r="AD180" s="6">
        <f>IF(OR(原始資料!$A180="",29&gt;設定!$B$3,原始資料!AF180=""),"",IF(AND(原始資料!AE180&lt;&gt;"",原始資料!AF180=原始資料!AE180),N(AC180)+1,1))</f>
        <v/>
      </c>
      <c r="AE180" s="6">
        <f>IF(OR(原始資料!$A180="",30&gt;設定!$B$3,原始資料!AG180=""),"",IF(AND(原始資料!AF180&lt;&gt;"",原始資料!AG180=原始資料!AF180),N(AD180)+1,1))</f>
        <v/>
      </c>
      <c r="AF180" s="6">
        <f>IF(OR(原始資料!$A180="",31&gt;設定!$B$3,原始資料!AH180=""),"",IF(AND(原始資料!AG180&lt;&gt;"",原始資料!AH180=原始資料!AG180),N(AE180)+1,1))</f>
        <v/>
      </c>
      <c r="AG180" s="6">
        <f>IF(OR(原始資料!$A180="",32&gt;設定!$B$3,原始資料!AI180=""),"",IF(AND(原始資料!AH180&lt;&gt;"",原始資料!AI180=原始資料!AH180),N(AF180)+1,1))</f>
        <v/>
      </c>
      <c r="AH180" s="6">
        <f>IF(OR(原始資料!$A180="",33&gt;設定!$B$3,原始資料!AJ180=""),"",IF(AND(原始資料!AI180&lt;&gt;"",原始資料!AJ180=原始資料!AI180),N(AG180)+1,1))</f>
        <v/>
      </c>
      <c r="AI180" s="6">
        <f>IF(OR(原始資料!$A180="",34&gt;設定!$B$3,原始資料!AK180=""),"",IF(AND(原始資料!AJ180&lt;&gt;"",原始資料!AK180=原始資料!AJ180),N(AH180)+1,1))</f>
        <v/>
      </c>
      <c r="AJ180" s="6">
        <f>IF(OR(原始資料!$A180="",35&gt;設定!$B$3,原始資料!AL180=""),"",IF(AND(原始資料!AK180&lt;&gt;"",原始資料!AL180=原始資料!AK180),N(AI180)+1,1))</f>
        <v/>
      </c>
      <c r="AK180" s="6">
        <f>IF(OR(原始資料!$A180="",36&gt;設定!$B$3,原始資料!AM180=""),"",IF(AND(原始資料!AL180&lt;&gt;"",原始資料!AM180=原始資料!AL180),N(AJ180)+1,1))</f>
        <v/>
      </c>
      <c r="AL180" s="6">
        <f>IF(OR(原始資料!$A180="",37&gt;設定!$B$3,原始資料!AN180=""),"",IF(AND(原始資料!AM180&lt;&gt;"",原始資料!AN180=原始資料!AM180),N(AK180)+1,1))</f>
        <v/>
      </c>
      <c r="AM180" s="6">
        <f>IF(OR(原始資料!$A180="",38&gt;設定!$B$3,原始資料!AO180=""),"",IF(AND(原始資料!AN180&lt;&gt;"",原始資料!AO180=原始資料!AN180),N(AL180)+1,1))</f>
        <v/>
      </c>
      <c r="AN180" s="6">
        <f>IF(OR(原始資料!$A180="",39&gt;設定!$B$3,原始資料!AP180=""),"",IF(AND(原始資料!AO180&lt;&gt;"",原始資料!AP180=原始資料!AO180),N(AM180)+1,1))</f>
        <v/>
      </c>
      <c r="AO180" s="6">
        <f>IF(OR(原始資料!$A180="",40&gt;設定!$B$3,原始資料!AQ180=""),"",IF(AND(原始資料!AP180&lt;&gt;"",原始資料!AQ180=原始資料!AP180),N(AN180)+1,1))</f>
        <v/>
      </c>
      <c r="AP180" s="6">
        <f>IF(OR(原始資料!$A180="",41&gt;設定!$B$3,原始資料!AR180=""),"",IF(AND(原始資料!AQ180&lt;&gt;"",原始資料!AR180=原始資料!AQ180),N(AO180)+1,1))</f>
        <v/>
      </c>
      <c r="AQ180" s="6">
        <f>IF(OR(原始資料!$A180="",42&gt;設定!$B$3,原始資料!AS180=""),"",IF(AND(原始資料!AR180&lt;&gt;"",原始資料!AS180=原始資料!AR180),N(AP180)+1,1))</f>
        <v/>
      </c>
      <c r="AR180" s="6">
        <f>IF(OR(原始資料!$A180="",43&gt;設定!$B$3,原始資料!AT180=""),"",IF(AND(原始資料!AS180&lt;&gt;"",原始資料!AT180=原始資料!AS180),N(AQ180)+1,1))</f>
        <v/>
      </c>
      <c r="AS180" s="6">
        <f>IF(OR(原始資料!$A180="",44&gt;設定!$B$3,原始資料!AU180=""),"",IF(AND(原始資料!AT180&lt;&gt;"",原始資料!AU180=原始資料!AT180),N(AR180)+1,1))</f>
        <v/>
      </c>
      <c r="AT180" s="6">
        <f>IF(OR(原始資料!$A180="",45&gt;設定!$B$3,原始資料!AV180=""),"",IF(AND(原始資料!AU180&lt;&gt;"",原始資料!AV180=原始資料!AU180),N(AS180)+1,1))</f>
        <v/>
      </c>
      <c r="AU180" s="6">
        <f>IF(OR(原始資料!$A180="",46&gt;設定!$B$3,原始資料!AW180=""),"",IF(AND(原始資料!AV180&lt;&gt;"",原始資料!AW180=原始資料!AV180),N(AT180)+1,1))</f>
        <v/>
      </c>
      <c r="AV180" s="6">
        <f>IF(OR(原始資料!$A180="",47&gt;設定!$B$3,原始資料!AX180=""),"",IF(AND(原始資料!AW180&lt;&gt;"",原始資料!AX180=原始資料!AW180),N(AU180)+1,1))</f>
        <v/>
      </c>
      <c r="AW180" s="6">
        <f>IF(OR(原始資料!$A180="",48&gt;設定!$B$3,原始資料!AY180=""),"",IF(AND(原始資料!AX180&lt;&gt;"",原始資料!AY180=原始資料!AX180),N(AV180)+1,1))</f>
        <v/>
      </c>
      <c r="AX180" s="6">
        <f>IF(OR(原始資料!$A180="",49&gt;設定!$B$3,原始資料!AZ180=""),"",IF(AND(原始資料!AY180&lt;&gt;"",原始資料!AZ180=原始資料!AY180),N(AW180)+1,1))</f>
        <v/>
      </c>
      <c r="AY180" s="6">
        <f>IF(OR(原始資料!$A180="",50&gt;設定!$B$3,原始資料!BA180=""),"",IF(AND(原始資料!AZ180&lt;&gt;"",原始資料!BA180=原始資料!AZ180),N(AX180)+1,1))</f>
        <v/>
      </c>
      <c r="AZ180" s="6">
        <f>IF(OR(原始資料!$A180="",51&gt;設定!$B$3,原始資料!BB180=""),"",IF(AND(原始資料!BA180&lt;&gt;"",原始資料!BB180=原始資料!BA180),N(AY180)+1,1))</f>
        <v/>
      </c>
      <c r="BA180" s="6">
        <f>IF(OR(原始資料!$A180="",52&gt;設定!$B$3,原始資料!BC180=""),"",IF(AND(原始資料!BB180&lt;&gt;"",原始資料!BC180=原始資料!BB180),N(AZ180)+1,1))</f>
        <v/>
      </c>
      <c r="BB180" s="6">
        <f>IF(OR(原始資料!$A180="",53&gt;設定!$B$3,原始資料!BD180=""),"",IF(AND(原始資料!BC180&lt;&gt;"",原始資料!BD180=原始資料!BC180),N(BA180)+1,1))</f>
        <v/>
      </c>
      <c r="BC180" s="6">
        <f>IF(OR(原始資料!$A180="",54&gt;設定!$B$3,原始資料!BE180=""),"",IF(AND(原始資料!BD180&lt;&gt;"",原始資料!BE180=原始資料!BD180),N(BB180)+1,1))</f>
        <v/>
      </c>
      <c r="BD180" s="6">
        <f>IF(OR(原始資料!$A180="",55&gt;設定!$B$3,原始資料!BF180=""),"",IF(AND(原始資料!BE180&lt;&gt;"",原始資料!BF180=原始資料!BE180),N(BC180)+1,1))</f>
        <v/>
      </c>
      <c r="BE180" s="6">
        <f>IF(OR(原始資料!$A180="",56&gt;設定!$B$3,原始資料!BG180=""),"",IF(AND(原始資料!BF180&lt;&gt;"",原始資料!BG180=原始資料!BF180),N(BD180)+1,1))</f>
        <v/>
      </c>
      <c r="BF180" s="6">
        <f>IF(OR(原始資料!$A180="",57&gt;設定!$B$3,原始資料!BH180=""),"",IF(AND(原始資料!BG180&lt;&gt;"",原始資料!BH180=原始資料!BG180),N(BE180)+1,1))</f>
        <v/>
      </c>
      <c r="BG180" s="6">
        <f>IF(OR(原始資料!$A180="",58&gt;設定!$B$3,原始資料!BI180=""),"",IF(AND(原始資料!BH180&lt;&gt;"",原始資料!BI180=原始資料!BH180),N(BF180)+1,1))</f>
        <v/>
      </c>
      <c r="BH180" s="6">
        <f>IF(OR(原始資料!$A180="",59&gt;設定!$B$3,原始資料!BJ180=""),"",IF(AND(原始資料!BI180&lt;&gt;"",原始資料!BJ180=原始資料!BI180),N(BG180)+1,1))</f>
        <v/>
      </c>
      <c r="BI180" s="6">
        <f>IF(OR(原始資料!$A180="",60&gt;設定!$B$3,原始資料!BK180=""),"",IF(AND(原始資料!BJ180&lt;&gt;"",原始資料!BK180=原始資料!BJ180),N(BH180)+1,1))</f>
        <v/>
      </c>
    </row>
    <row r="181">
      <c r="A181" s="6">
        <f>IF(原始資料!$A181="","",原始資料!$A181)</f>
        <v/>
      </c>
      <c r="B181" s="6">
        <f>IF(OR(原始資料!$A181="",1&gt;設定!$B$3,原始資料!D181=""),"",1)</f>
        <v/>
      </c>
      <c r="C181" s="6">
        <f>IF(OR(原始資料!$A181="",2&gt;設定!$B$3,原始資料!E181=""),"",IF(AND(原始資料!D181&lt;&gt;"",原始資料!E181=原始資料!D181),N(B181)+1,1))</f>
        <v/>
      </c>
      <c r="D181" s="6">
        <f>IF(OR(原始資料!$A181="",3&gt;設定!$B$3,原始資料!F181=""),"",IF(AND(原始資料!E181&lt;&gt;"",原始資料!F181=原始資料!E181),N(C181)+1,1))</f>
        <v/>
      </c>
      <c r="E181" s="6">
        <f>IF(OR(原始資料!$A181="",4&gt;設定!$B$3,原始資料!G181=""),"",IF(AND(原始資料!F181&lt;&gt;"",原始資料!G181=原始資料!F181),N(D181)+1,1))</f>
        <v/>
      </c>
      <c r="F181" s="6">
        <f>IF(OR(原始資料!$A181="",5&gt;設定!$B$3,原始資料!H181=""),"",IF(AND(原始資料!G181&lt;&gt;"",原始資料!H181=原始資料!G181),N(E181)+1,1))</f>
        <v/>
      </c>
      <c r="G181" s="6">
        <f>IF(OR(原始資料!$A181="",6&gt;設定!$B$3,原始資料!I181=""),"",IF(AND(原始資料!H181&lt;&gt;"",原始資料!I181=原始資料!H181),N(F181)+1,1))</f>
        <v/>
      </c>
      <c r="H181" s="6">
        <f>IF(OR(原始資料!$A181="",7&gt;設定!$B$3,原始資料!J181=""),"",IF(AND(原始資料!I181&lt;&gt;"",原始資料!J181=原始資料!I181),N(G181)+1,1))</f>
        <v/>
      </c>
      <c r="I181" s="6">
        <f>IF(OR(原始資料!$A181="",8&gt;設定!$B$3,原始資料!K181=""),"",IF(AND(原始資料!J181&lt;&gt;"",原始資料!K181=原始資料!J181),N(H181)+1,1))</f>
        <v/>
      </c>
      <c r="J181" s="6">
        <f>IF(OR(原始資料!$A181="",9&gt;設定!$B$3,原始資料!L181=""),"",IF(AND(原始資料!K181&lt;&gt;"",原始資料!L181=原始資料!K181),N(I181)+1,1))</f>
        <v/>
      </c>
      <c r="K181" s="6">
        <f>IF(OR(原始資料!$A181="",10&gt;設定!$B$3,原始資料!M181=""),"",IF(AND(原始資料!L181&lt;&gt;"",原始資料!M181=原始資料!L181),N(J181)+1,1))</f>
        <v/>
      </c>
      <c r="L181" s="6">
        <f>IF(OR(原始資料!$A181="",11&gt;設定!$B$3,原始資料!N181=""),"",IF(AND(原始資料!M181&lt;&gt;"",原始資料!N181=原始資料!M181),N(K181)+1,1))</f>
        <v/>
      </c>
      <c r="M181" s="6">
        <f>IF(OR(原始資料!$A181="",12&gt;設定!$B$3,原始資料!O181=""),"",IF(AND(原始資料!N181&lt;&gt;"",原始資料!O181=原始資料!N181),N(L181)+1,1))</f>
        <v/>
      </c>
      <c r="N181" s="6">
        <f>IF(OR(原始資料!$A181="",13&gt;設定!$B$3,原始資料!P181=""),"",IF(AND(原始資料!O181&lt;&gt;"",原始資料!P181=原始資料!O181),N(M181)+1,1))</f>
        <v/>
      </c>
      <c r="O181" s="6">
        <f>IF(OR(原始資料!$A181="",14&gt;設定!$B$3,原始資料!Q181=""),"",IF(AND(原始資料!P181&lt;&gt;"",原始資料!Q181=原始資料!P181),N(N181)+1,1))</f>
        <v/>
      </c>
      <c r="P181" s="6">
        <f>IF(OR(原始資料!$A181="",15&gt;設定!$B$3,原始資料!R181=""),"",IF(AND(原始資料!Q181&lt;&gt;"",原始資料!R181=原始資料!Q181),N(O181)+1,1))</f>
        <v/>
      </c>
      <c r="Q181" s="6">
        <f>IF(OR(原始資料!$A181="",16&gt;設定!$B$3,原始資料!S181=""),"",IF(AND(原始資料!R181&lt;&gt;"",原始資料!S181=原始資料!R181),N(P181)+1,1))</f>
        <v/>
      </c>
      <c r="R181" s="6">
        <f>IF(OR(原始資料!$A181="",17&gt;設定!$B$3,原始資料!T181=""),"",IF(AND(原始資料!S181&lt;&gt;"",原始資料!T181=原始資料!S181),N(Q181)+1,1))</f>
        <v/>
      </c>
      <c r="S181" s="6">
        <f>IF(OR(原始資料!$A181="",18&gt;設定!$B$3,原始資料!U181=""),"",IF(AND(原始資料!T181&lt;&gt;"",原始資料!U181=原始資料!T181),N(R181)+1,1))</f>
        <v/>
      </c>
      <c r="T181" s="6">
        <f>IF(OR(原始資料!$A181="",19&gt;設定!$B$3,原始資料!V181=""),"",IF(AND(原始資料!U181&lt;&gt;"",原始資料!V181=原始資料!U181),N(S181)+1,1))</f>
        <v/>
      </c>
      <c r="U181" s="6">
        <f>IF(OR(原始資料!$A181="",20&gt;設定!$B$3,原始資料!W181=""),"",IF(AND(原始資料!V181&lt;&gt;"",原始資料!W181=原始資料!V181),N(T181)+1,1))</f>
        <v/>
      </c>
      <c r="V181" s="6">
        <f>IF(OR(原始資料!$A181="",21&gt;設定!$B$3,原始資料!X181=""),"",IF(AND(原始資料!W181&lt;&gt;"",原始資料!X181=原始資料!W181),N(U181)+1,1))</f>
        <v/>
      </c>
      <c r="W181" s="6">
        <f>IF(OR(原始資料!$A181="",22&gt;設定!$B$3,原始資料!Y181=""),"",IF(AND(原始資料!X181&lt;&gt;"",原始資料!Y181=原始資料!X181),N(V181)+1,1))</f>
        <v/>
      </c>
      <c r="X181" s="6">
        <f>IF(OR(原始資料!$A181="",23&gt;設定!$B$3,原始資料!Z181=""),"",IF(AND(原始資料!Y181&lt;&gt;"",原始資料!Z181=原始資料!Y181),N(W181)+1,1))</f>
        <v/>
      </c>
      <c r="Y181" s="6">
        <f>IF(OR(原始資料!$A181="",24&gt;設定!$B$3,原始資料!AA181=""),"",IF(AND(原始資料!Z181&lt;&gt;"",原始資料!AA181=原始資料!Z181),N(X181)+1,1))</f>
        <v/>
      </c>
      <c r="Z181" s="6">
        <f>IF(OR(原始資料!$A181="",25&gt;設定!$B$3,原始資料!AB181=""),"",IF(AND(原始資料!AA181&lt;&gt;"",原始資料!AB181=原始資料!AA181),N(Y181)+1,1))</f>
        <v/>
      </c>
      <c r="AA181" s="6">
        <f>IF(OR(原始資料!$A181="",26&gt;設定!$B$3,原始資料!AC181=""),"",IF(AND(原始資料!AB181&lt;&gt;"",原始資料!AC181=原始資料!AB181),N(Z181)+1,1))</f>
        <v/>
      </c>
      <c r="AB181" s="6">
        <f>IF(OR(原始資料!$A181="",27&gt;設定!$B$3,原始資料!AD181=""),"",IF(AND(原始資料!AC181&lt;&gt;"",原始資料!AD181=原始資料!AC181),N(AA181)+1,1))</f>
        <v/>
      </c>
      <c r="AC181" s="6">
        <f>IF(OR(原始資料!$A181="",28&gt;設定!$B$3,原始資料!AE181=""),"",IF(AND(原始資料!AD181&lt;&gt;"",原始資料!AE181=原始資料!AD181),N(AB181)+1,1))</f>
        <v/>
      </c>
      <c r="AD181" s="6">
        <f>IF(OR(原始資料!$A181="",29&gt;設定!$B$3,原始資料!AF181=""),"",IF(AND(原始資料!AE181&lt;&gt;"",原始資料!AF181=原始資料!AE181),N(AC181)+1,1))</f>
        <v/>
      </c>
      <c r="AE181" s="6">
        <f>IF(OR(原始資料!$A181="",30&gt;設定!$B$3,原始資料!AG181=""),"",IF(AND(原始資料!AF181&lt;&gt;"",原始資料!AG181=原始資料!AF181),N(AD181)+1,1))</f>
        <v/>
      </c>
      <c r="AF181" s="6">
        <f>IF(OR(原始資料!$A181="",31&gt;設定!$B$3,原始資料!AH181=""),"",IF(AND(原始資料!AG181&lt;&gt;"",原始資料!AH181=原始資料!AG181),N(AE181)+1,1))</f>
        <v/>
      </c>
      <c r="AG181" s="6">
        <f>IF(OR(原始資料!$A181="",32&gt;設定!$B$3,原始資料!AI181=""),"",IF(AND(原始資料!AH181&lt;&gt;"",原始資料!AI181=原始資料!AH181),N(AF181)+1,1))</f>
        <v/>
      </c>
      <c r="AH181" s="6">
        <f>IF(OR(原始資料!$A181="",33&gt;設定!$B$3,原始資料!AJ181=""),"",IF(AND(原始資料!AI181&lt;&gt;"",原始資料!AJ181=原始資料!AI181),N(AG181)+1,1))</f>
        <v/>
      </c>
      <c r="AI181" s="6">
        <f>IF(OR(原始資料!$A181="",34&gt;設定!$B$3,原始資料!AK181=""),"",IF(AND(原始資料!AJ181&lt;&gt;"",原始資料!AK181=原始資料!AJ181),N(AH181)+1,1))</f>
        <v/>
      </c>
      <c r="AJ181" s="6">
        <f>IF(OR(原始資料!$A181="",35&gt;設定!$B$3,原始資料!AL181=""),"",IF(AND(原始資料!AK181&lt;&gt;"",原始資料!AL181=原始資料!AK181),N(AI181)+1,1))</f>
        <v/>
      </c>
      <c r="AK181" s="6">
        <f>IF(OR(原始資料!$A181="",36&gt;設定!$B$3,原始資料!AM181=""),"",IF(AND(原始資料!AL181&lt;&gt;"",原始資料!AM181=原始資料!AL181),N(AJ181)+1,1))</f>
        <v/>
      </c>
      <c r="AL181" s="6">
        <f>IF(OR(原始資料!$A181="",37&gt;設定!$B$3,原始資料!AN181=""),"",IF(AND(原始資料!AM181&lt;&gt;"",原始資料!AN181=原始資料!AM181),N(AK181)+1,1))</f>
        <v/>
      </c>
      <c r="AM181" s="6">
        <f>IF(OR(原始資料!$A181="",38&gt;設定!$B$3,原始資料!AO181=""),"",IF(AND(原始資料!AN181&lt;&gt;"",原始資料!AO181=原始資料!AN181),N(AL181)+1,1))</f>
        <v/>
      </c>
      <c r="AN181" s="6">
        <f>IF(OR(原始資料!$A181="",39&gt;設定!$B$3,原始資料!AP181=""),"",IF(AND(原始資料!AO181&lt;&gt;"",原始資料!AP181=原始資料!AO181),N(AM181)+1,1))</f>
        <v/>
      </c>
      <c r="AO181" s="6">
        <f>IF(OR(原始資料!$A181="",40&gt;設定!$B$3,原始資料!AQ181=""),"",IF(AND(原始資料!AP181&lt;&gt;"",原始資料!AQ181=原始資料!AP181),N(AN181)+1,1))</f>
        <v/>
      </c>
      <c r="AP181" s="6">
        <f>IF(OR(原始資料!$A181="",41&gt;設定!$B$3,原始資料!AR181=""),"",IF(AND(原始資料!AQ181&lt;&gt;"",原始資料!AR181=原始資料!AQ181),N(AO181)+1,1))</f>
        <v/>
      </c>
      <c r="AQ181" s="6">
        <f>IF(OR(原始資料!$A181="",42&gt;設定!$B$3,原始資料!AS181=""),"",IF(AND(原始資料!AR181&lt;&gt;"",原始資料!AS181=原始資料!AR181),N(AP181)+1,1))</f>
        <v/>
      </c>
      <c r="AR181" s="6">
        <f>IF(OR(原始資料!$A181="",43&gt;設定!$B$3,原始資料!AT181=""),"",IF(AND(原始資料!AS181&lt;&gt;"",原始資料!AT181=原始資料!AS181),N(AQ181)+1,1))</f>
        <v/>
      </c>
      <c r="AS181" s="6">
        <f>IF(OR(原始資料!$A181="",44&gt;設定!$B$3,原始資料!AU181=""),"",IF(AND(原始資料!AT181&lt;&gt;"",原始資料!AU181=原始資料!AT181),N(AR181)+1,1))</f>
        <v/>
      </c>
      <c r="AT181" s="6">
        <f>IF(OR(原始資料!$A181="",45&gt;設定!$B$3,原始資料!AV181=""),"",IF(AND(原始資料!AU181&lt;&gt;"",原始資料!AV181=原始資料!AU181),N(AS181)+1,1))</f>
        <v/>
      </c>
      <c r="AU181" s="6">
        <f>IF(OR(原始資料!$A181="",46&gt;設定!$B$3,原始資料!AW181=""),"",IF(AND(原始資料!AV181&lt;&gt;"",原始資料!AW181=原始資料!AV181),N(AT181)+1,1))</f>
        <v/>
      </c>
      <c r="AV181" s="6">
        <f>IF(OR(原始資料!$A181="",47&gt;設定!$B$3,原始資料!AX181=""),"",IF(AND(原始資料!AW181&lt;&gt;"",原始資料!AX181=原始資料!AW181),N(AU181)+1,1))</f>
        <v/>
      </c>
      <c r="AW181" s="6">
        <f>IF(OR(原始資料!$A181="",48&gt;設定!$B$3,原始資料!AY181=""),"",IF(AND(原始資料!AX181&lt;&gt;"",原始資料!AY181=原始資料!AX181),N(AV181)+1,1))</f>
        <v/>
      </c>
      <c r="AX181" s="6">
        <f>IF(OR(原始資料!$A181="",49&gt;設定!$B$3,原始資料!AZ181=""),"",IF(AND(原始資料!AY181&lt;&gt;"",原始資料!AZ181=原始資料!AY181),N(AW181)+1,1))</f>
        <v/>
      </c>
      <c r="AY181" s="6">
        <f>IF(OR(原始資料!$A181="",50&gt;設定!$B$3,原始資料!BA181=""),"",IF(AND(原始資料!AZ181&lt;&gt;"",原始資料!BA181=原始資料!AZ181),N(AX181)+1,1))</f>
        <v/>
      </c>
      <c r="AZ181" s="6">
        <f>IF(OR(原始資料!$A181="",51&gt;設定!$B$3,原始資料!BB181=""),"",IF(AND(原始資料!BA181&lt;&gt;"",原始資料!BB181=原始資料!BA181),N(AY181)+1,1))</f>
        <v/>
      </c>
      <c r="BA181" s="6">
        <f>IF(OR(原始資料!$A181="",52&gt;設定!$B$3,原始資料!BC181=""),"",IF(AND(原始資料!BB181&lt;&gt;"",原始資料!BC181=原始資料!BB181),N(AZ181)+1,1))</f>
        <v/>
      </c>
      <c r="BB181" s="6">
        <f>IF(OR(原始資料!$A181="",53&gt;設定!$B$3,原始資料!BD181=""),"",IF(AND(原始資料!BC181&lt;&gt;"",原始資料!BD181=原始資料!BC181),N(BA181)+1,1))</f>
        <v/>
      </c>
      <c r="BC181" s="6">
        <f>IF(OR(原始資料!$A181="",54&gt;設定!$B$3,原始資料!BE181=""),"",IF(AND(原始資料!BD181&lt;&gt;"",原始資料!BE181=原始資料!BD181),N(BB181)+1,1))</f>
        <v/>
      </c>
      <c r="BD181" s="6">
        <f>IF(OR(原始資料!$A181="",55&gt;設定!$B$3,原始資料!BF181=""),"",IF(AND(原始資料!BE181&lt;&gt;"",原始資料!BF181=原始資料!BE181),N(BC181)+1,1))</f>
        <v/>
      </c>
      <c r="BE181" s="6">
        <f>IF(OR(原始資料!$A181="",56&gt;設定!$B$3,原始資料!BG181=""),"",IF(AND(原始資料!BF181&lt;&gt;"",原始資料!BG181=原始資料!BF181),N(BD181)+1,1))</f>
        <v/>
      </c>
      <c r="BF181" s="6">
        <f>IF(OR(原始資料!$A181="",57&gt;設定!$B$3,原始資料!BH181=""),"",IF(AND(原始資料!BG181&lt;&gt;"",原始資料!BH181=原始資料!BG181),N(BE181)+1,1))</f>
        <v/>
      </c>
      <c r="BG181" s="6">
        <f>IF(OR(原始資料!$A181="",58&gt;設定!$B$3,原始資料!BI181=""),"",IF(AND(原始資料!BH181&lt;&gt;"",原始資料!BI181=原始資料!BH181),N(BF181)+1,1))</f>
        <v/>
      </c>
      <c r="BH181" s="6">
        <f>IF(OR(原始資料!$A181="",59&gt;設定!$B$3,原始資料!BJ181=""),"",IF(AND(原始資料!BI181&lt;&gt;"",原始資料!BJ181=原始資料!BI181),N(BG181)+1,1))</f>
        <v/>
      </c>
      <c r="BI181" s="6">
        <f>IF(OR(原始資料!$A181="",60&gt;設定!$B$3,原始資料!BK181=""),"",IF(AND(原始資料!BJ181&lt;&gt;"",原始資料!BK181=原始資料!BJ181),N(BH181)+1,1))</f>
        <v/>
      </c>
    </row>
    <row r="182">
      <c r="A182" s="6">
        <f>IF(原始資料!$A182="","",原始資料!$A182)</f>
        <v/>
      </c>
      <c r="B182" s="6">
        <f>IF(OR(原始資料!$A182="",1&gt;設定!$B$3,原始資料!D182=""),"",1)</f>
        <v/>
      </c>
      <c r="C182" s="6">
        <f>IF(OR(原始資料!$A182="",2&gt;設定!$B$3,原始資料!E182=""),"",IF(AND(原始資料!D182&lt;&gt;"",原始資料!E182=原始資料!D182),N(B182)+1,1))</f>
        <v/>
      </c>
      <c r="D182" s="6">
        <f>IF(OR(原始資料!$A182="",3&gt;設定!$B$3,原始資料!F182=""),"",IF(AND(原始資料!E182&lt;&gt;"",原始資料!F182=原始資料!E182),N(C182)+1,1))</f>
        <v/>
      </c>
      <c r="E182" s="6">
        <f>IF(OR(原始資料!$A182="",4&gt;設定!$B$3,原始資料!G182=""),"",IF(AND(原始資料!F182&lt;&gt;"",原始資料!G182=原始資料!F182),N(D182)+1,1))</f>
        <v/>
      </c>
      <c r="F182" s="6">
        <f>IF(OR(原始資料!$A182="",5&gt;設定!$B$3,原始資料!H182=""),"",IF(AND(原始資料!G182&lt;&gt;"",原始資料!H182=原始資料!G182),N(E182)+1,1))</f>
        <v/>
      </c>
      <c r="G182" s="6">
        <f>IF(OR(原始資料!$A182="",6&gt;設定!$B$3,原始資料!I182=""),"",IF(AND(原始資料!H182&lt;&gt;"",原始資料!I182=原始資料!H182),N(F182)+1,1))</f>
        <v/>
      </c>
      <c r="H182" s="6">
        <f>IF(OR(原始資料!$A182="",7&gt;設定!$B$3,原始資料!J182=""),"",IF(AND(原始資料!I182&lt;&gt;"",原始資料!J182=原始資料!I182),N(G182)+1,1))</f>
        <v/>
      </c>
      <c r="I182" s="6">
        <f>IF(OR(原始資料!$A182="",8&gt;設定!$B$3,原始資料!K182=""),"",IF(AND(原始資料!J182&lt;&gt;"",原始資料!K182=原始資料!J182),N(H182)+1,1))</f>
        <v/>
      </c>
      <c r="J182" s="6">
        <f>IF(OR(原始資料!$A182="",9&gt;設定!$B$3,原始資料!L182=""),"",IF(AND(原始資料!K182&lt;&gt;"",原始資料!L182=原始資料!K182),N(I182)+1,1))</f>
        <v/>
      </c>
      <c r="K182" s="6">
        <f>IF(OR(原始資料!$A182="",10&gt;設定!$B$3,原始資料!M182=""),"",IF(AND(原始資料!L182&lt;&gt;"",原始資料!M182=原始資料!L182),N(J182)+1,1))</f>
        <v/>
      </c>
      <c r="L182" s="6">
        <f>IF(OR(原始資料!$A182="",11&gt;設定!$B$3,原始資料!N182=""),"",IF(AND(原始資料!M182&lt;&gt;"",原始資料!N182=原始資料!M182),N(K182)+1,1))</f>
        <v/>
      </c>
      <c r="M182" s="6">
        <f>IF(OR(原始資料!$A182="",12&gt;設定!$B$3,原始資料!O182=""),"",IF(AND(原始資料!N182&lt;&gt;"",原始資料!O182=原始資料!N182),N(L182)+1,1))</f>
        <v/>
      </c>
      <c r="N182" s="6">
        <f>IF(OR(原始資料!$A182="",13&gt;設定!$B$3,原始資料!P182=""),"",IF(AND(原始資料!O182&lt;&gt;"",原始資料!P182=原始資料!O182),N(M182)+1,1))</f>
        <v/>
      </c>
      <c r="O182" s="6">
        <f>IF(OR(原始資料!$A182="",14&gt;設定!$B$3,原始資料!Q182=""),"",IF(AND(原始資料!P182&lt;&gt;"",原始資料!Q182=原始資料!P182),N(N182)+1,1))</f>
        <v/>
      </c>
      <c r="P182" s="6">
        <f>IF(OR(原始資料!$A182="",15&gt;設定!$B$3,原始資料!R182=""),"",IF(AND(原始資料!Q182&lt;&gt;"",原始資料!R182=原始資料!Q182),N(O182)+1,1))</f>
        <v/>
      </c>
      <c r="Q182" s="6">
        <f>IF(OR(原始資料!$A182="",16&gt;設定!$B$3,原始資料!S182=""),"",IF(AND(原始資料!R182&lt;&gt;"",原始資料!S182=原始資料!R182),N(P182)+1,1))</f>
        <v/>
      </c>
      <c r="R182" s="6">
        <f>IF(OR(原始資料!$A182="",17&gt;設定!$B$3,原始資料!T182=""),"",IF(AND(原始資料!S182&lt;&gt;"",原始資料!T182=原始資料!S182),N(Q182)+1,1))</f>
        <v/>
      </c>
      <c r="S182" s="6">
        <f>IF(OR(原始資料!$A182="",18&gt;設定!$B$3,原始資料!U182=""),"",IF(AND(原始資料!T182&lt;&gt;"",原始資料!U182=原始資料!T182),N(R182)+1,1))</f>
        <v/>
      </c>
      <c r="T182" s="6">
        <f>IF(OR(原始資料!$A182="",19&gt;設定!$B$3,原始資料!V182=""),"",IF(AND(原始資料!U182&lt;&gt;"",原始資料!V182=原始資料!U182),N(S182)+1,1))</f>
        <v/>
      </c>
      <c r="U182" s="6">
        <f>IF(OR(原始資料!$A182="",20&gt;設定!$B$3,原始資料!W182=""),"",IF(AND(原始資料!V182&lt;&gt;"",原始資料!W182=原始資料!V182),N(T182)+1,1))</f>
        <v/>
      </c>
      <c r="V182" s="6">
        <f>IF(OR(原始資料!$A182="",21&gt;設定!$B$3,原始資料!X182=""),"",IF(AND(原始資料!W182&lt;&gt;"",原始資料!X182=原始資料!W182),N(U182)+1,1))</f>
        <v/>
      </c>
      <c r="W182" s="6">
        <f>IF(OR(原始資料!$A182="",22&gt;設定!$B$3,原始資料!Y182=""),"",IF(AND(原始資料!X182&lt;&gt;"",原始資料!Y182=原始資料!X182),N(V182)+1,1))</f>
        <v/>
      </c>
      <c r="X182" s="6">
        <f>IF(OR(原始資料!$A182="",23&gt;設定!$B$3,原始資料!Z182=""),"",IF(AND(原始資料!Y182&lt;&gt;"",原始資料!Z182=原始資料!Y182),N(W182)+1,1))</f>
        <v/>
      </c>
      <c r="Y182" s="6">
        <f>IF(OR(原始資料!$A182="",24&gt;設定!$B$3,原始資料!AA182=""),"",IF(AND(原始資料!Z182&lt;&gt;"",原始資料!AA182=原始資料!Z182),N(X182)+1,1))</f>
        <v/>
      </c>
      <c r="Z182" s="6">
        <f>IF(OR(原始資料!$A182="",25&gt;設定!$B$3,原始資料!AB182=""),"",IF(AND(原始資料!AA182&lt;&gt;"",原始資料!AB182=原始資料!AA182),N(Y182)+1,1))</f>
        <v/>
      </c>
      <c r="AA182" s="6">
        <f>IF(OR(原始資料!$A182="",26&gt;設定!$B$3,原始資料!AC182=""),"",IF(AND(原始資料!AB182&lt;&gt;"",原始資料!AC182=原始資料!AB182),N(Z182)+1,1))</f>
        <v/>
      </c>
      <c r="AB182" s="6">
        <f>IF(OR(原始資料!$A182="",27&gt;設定!$B$3,原始資料!AD182=""),"",IF(AND(原始資料!AC182&lt;&gt;"",原始資料!AD182=原始資料!AC182),N(AA182)+1,1))</f>
        <v/>
      </c>
      <c r="AC182" s="6">
        <f>IF(OR(原始資料!$A182="",28&gt;設定!$B$3,原始資料!AE182=""),"",IF(AND(原始資料!AD182&lt;&gt;"",原始資料!AE182=原始資料!AD182),N(AB182)+1,1))</f>
        <v/>
      </c>
      <c r="AD182" s="6">
        <f>IF(OR(原始資料!$A182="",29&gt;設定!$B$3,原始資料!AF182=""),"",IF(AND(原始資料!AE182&lt;&gt;"",原始資料!AF182=原始資料!AE182),N(AC182)+1,1))</f>
        <v/>
      </c>
      <c r="AE182" s="6">
        <f>IF(OR(原始資料!$A182="",30&gt;設定!$B$3,原始資料!AG182=""),"",IF(AND(原始資料!AF182&lt;&gt;"",原始資料!AG182=原始資料!AF182),N(AD182)+1,1))</f>
        <v/>
      </c>
      <c r="AF182" s="6">
        <f>IF(OR(原始資料!$A182="",31&gt;設定!$B$3,原始資料!AH182=""),"",IF(AND(原始資料!AG182&lt;&gt;"",原始資料!AH182=原始資料!AG182),N(AE182)+1,1))</f>
        <v/>
      </c>
      <c r="AG182" s="6">
        <f>IF(OR(原始資料!$A182="",32&gt;設定!$B$3,原始資料!AI182=""),"",IF(AND(原始資料!AH182&lt;&gt;"",原始資料!AI182=原始資料!AH182),N(AF182)+1,1))</f>
        <v/>
      </c>
      <c r="AH182" s="6">
        <f>IF(OR(原始資料!$A182="",33&gt;設定!$B$3,原始資料!AJ182=""),"",IF(AND(原始資料!AI182&lt;&gt;"",原始資料!AJ182=原始資料!AI182),N(AG182)+1,1))</f>
        <v/>
      </c>
      <c r="AI182" s="6">
        <f>IF(OR(原始資料!$A182="",34&gt;設定!$B$3,原始資料!AK182=""),"",IF(AND(原始資料!AJ182&lt;&gt;"",原始資料!AK182=原始資料!AJ182),N(AH182)+1,1))</f>
        <v/>
      </c>
      <c r="AJ182" s="6">
        <f>IF(OR(原始資料!$A182="",35&gt;設定!$B$3,原始資料!AL182=""),"",IF(AND(原始資料!AK182&lt;&gt;"",原始資料!AL182=原始資料!AK182),N(AI182)+1,1))</f>
        <v/>
      </c>
      <c r="AK182" s="6">
        <f>IF(OR(原始資料!$A182="",36&gt;設定!$B$3,原始資料!AM182=""),"",IF(AND(原始資料!AL182&lt;&gt;"",原始資料!AM182=原始資料!AL182),N(AJ182)+1,1))</f>
        <v/>
      </c>
      <c r="AL182" s="6">
        <f>IF(OR(原始資料!$A182="",37&gt;設定!$B$3,原始資料!AN182=""),"",IF(AND(原始資料!AM182&lt;&gt;"",原始資料!AN182=原始資料!AM182),N(AK182)+1,1))</f>
        <v/>
      </c>
      <c r="AM182" s="6">
        <f>IF(OR(原始資料!$A182="",38&gt;設定!$B$3,原始資料!AO182=""),"",IF(AND(原始資料!AN182&lt;&gt;"",原始資料!AO182=原始資料!AN182),N(AL182)+1,1))</f>
        <v/>
      </c>
      <c r="AN182" s="6">
        <f>IF(OR(原始資料!$A182="",39&gt;設定!$B$3,原始資料!AP182=""),"",IF(AND(原始資料!AO182&lt;&gt;"",原始資料!AP182=原始資料!AO182),N(AM182)+1,1))</f>
        <v/>
      </c>
      <c r="AO182" s="6">
        <f>IF(OR(原始資料!$A182="",40&gt;設定!$B$3,原始資料!AQ182=""),"",IF(AND(原始資料!AP182&lt;&gt;"",原始資料!AQ182=原始資料!AP182),N(AN182)+1,1))</f>
        <v/>
      </c>
      <c r="AP182" s="6">
        <f>IF(OR(原始資料!$A182="",41&gt;設定!$B$3,原始資料!AR182=""),"",IF(AND(原始資料!AQ182&lt;&gt;"",原始資料!AR182=原始資料!AQ182),N(AO182)+1,1))</f>
        <v/>
      </c>
      <c r="AQ182" s="6">
        <f>IF(OR(原始資料!$A182="",42&gt;設定!$B$3,原始資料!AS182=""),"",IF(AND(原始資料!AR182&lt;&gt;"",原始資料!AS182=原始資料!AR182),N(AP182)+1,1))</f>
        <v/>
      </c>
      <c r="AR182" s="6">
        <f>IF(OR(原始資料!$A182="",43&gt;設定!$B$3,原始資料!AT182=""),"",IF(AND(原始資料!AS182&lt;&gt;"",原始資料!AT182=原始資料!AS182),N(AQ182)+1,1))</f>
        <v/>
      </c>
      <c r="AS182" s="6">
        <f>IF(OR(原始資料!$A182="",44&gt;設定!$B$3,原始資料!AU182=""),"",IF(AND(原始資料!AT182&lt;&gt;"",原始資料!AU182=原始資料!AT182),N(AR182)+1,1))</f>
        <v/>
      </c>
      <c r="AT182" s="6">
        <f>IF(OR(原始資料!$A182="",45&gt;設定!$B$3,原始資料!AV182=""),"",IF(AND(原始資料!AU182&lt;&gt;"",原始資料!AV182=原始資料!AU182),N(AS182)+1,1))</f>
        <v/>
      </c>
      <c r="AU182" s="6">
        <f>IF(OR(原始資料!$A182="",46&gt;設定!$B$3,原始資料!AW182=""),"",IF(AND(原始資料!AV182&lt;&gt;"",原始資料!AW182=原始資料!AV182),N(AT182)+1,1))</f>
        <v/>
      </c>
      <c r="AV182" s="6">
        <f>IF(OR(原始資料!$A182="",47&gt;設定!$B$3,原始資料!AX182=""),"",IF(AND(原始資料!AW182&lt;&gt;"",原始資料!AX182=原始資料!AW182),N(AU182)+1,1))</f>
        <v/>
      </c>
      <c r="AW182" s="6">
        <f>IF(OR(原始資料!$A182="",48&gt;設定!$B$3,原始資料!AY182=""),"",IF(AND(原始資料!AX182&lt;&gt;"",原始資料!AY182=原始資料!AX182),N(AV182)+1,1))</f>
        <v/>
      </c>
      <c r="AX182" s="6">
        <f>IF(OR(原始資料!$A182="",49&gt;設定!$B$3,原始資料!AZ182=""),"",IF(AND(原始資料!AY182&lt;&gt;"",原始資料!AZ182=原始資料!AY182),N(AW182)+1,1))</f>
        <v/>
      </c>
      <c r="AY182" s="6">
        <f>IF(OR(原始資料!$A182="",50&gt;設定!$B$3,原始資料!BA182=""),"",IF(AND(原始資料!AZ182&lt;&gt;"",原始資料!BA182=原始資料!AZ182),N(AX182)+1,1))</f>
        <v/>
      </c>
      <c r="AZ182" s="6">
        <f>IF(OR(原始資料!$A182="",51&gt;設定!$B$3,原始資料!BB182=""),"",IF(AND(原始資料!BA182&lt;&gt;"",原始資料!BB182=原始資料!BA182),N(AY182)+1,1))</f>
        <v/>
      </c>
      <c r="BA182" s="6">
        <f>IF(OR(原始資料!$A182="",52&gt;設定!$B$3,原始資料!BC182=""),"",IF(AND(原始資料!BB182&lt;&gt;"",原始資料!BC182=原始資料!BB182),N(AZ182)+1,1))</f>
        <v/>
      </c>
      <c r="BB182" s="6">
        <f>IF(OR(原始資料!$A182="",53&gt;設定!$B$3,原始資料!BD182=""),"",IF(AND(原始資料!BC182&lt;&gt;"",原始資料!BD182=原始資料!BC182),N(BA182)+1,1))</f>
        <v/>
      </c>
      <c r="BC182" s="6">
        <f>IF(OR(原始資料!$A182="",54&gt;設定!$B$3,原始資料!BE182=""),"",IF(AND(原始資料!BD182&lt;&gt;"",原始資料!BE182=原始資料!BD182),N(BB182)+1,1))</f>
        <v/>
      </c>
      <c r="BD182" s="6">
        <f>IF(OR(原始資料!$A182="",55&gt;設定!$B$3,原始資料!BF182=""),"",IF(AND(原始資料!BE182&lt;&gt;"",原始資料!BF182=原始資料!BE182),N(BC182)+1,1))</f>
        <v/>
      </c>
      <c r="BE182" s="6">
        <f>IF(OR(原始資料!$A182="",56&gt;設定!$B$3,原始資料!BG182=""),"",IF(AND(原始資料!BF182&lt;&gt;"",原始資料!BG182=原始資料!BF182),N(BD182)+1,1))</f>
        <v/>
      </c>
      <c r="BF182" s="6">
        <f>IF(OR(原始資料!$A182="",57&gt;設定!$B$3,原始資料!BH182=""),"",IF(AND(原始資料!BG182&lt;&gt;"",原始資料!BH182=原始資料!BG182),N(BE182)+1,1))</f>
        <v/>
      </c>
      <c r="BG182" s="6">
        <f>IF(OR(原始資料!$A182="",58&gt;設定!$B$3,原始資料!BI182=""),"",IF(AND(原始資料!BH182&lt;&gt;"",原始資料!BI182=原始資料!BH182),N(BF182)+1,1))</f>
        <v/>
      </c>
      <c r="BH182" s="6">
        <f>IF(OR(原始資料!$A182="",59&gt;設定!$B$3,原始資料!BJ182=""),"",IF(AND(原始資料!BI182&lt;&gt;"",原始資料!BJ182=原始資料!BI182),N(BG182)+1,1))</f>
        <v/>
      </c>
      <c r="BI182" s="6">
        <f>IF(OR(原始資料!$A182="",60&gt;設定!$B$3,原始資料!BK182=""),"",IF(AND(原始資料!BJ182&lt;&gt;"",原始資料!BK182=原始資料!BJ182),N(BH182)+1,1))</f>
        <v/>
      </c>
    </row>
    <row r="183">
      <c r="A183" s="6">
        <f>IF(原始資料!$A183="","",原始資料!$A183)</f>
        <v/>
      </c>
      <c r="B183" s="6">
        <f>IF(OR(原始資料!$A183="",1&gt;設定!$B$3,原始資料!D183=""),"",1)</f>
        <v/>
      </c>
      <c r="C183" s="6">
        <f>IF(OR(原始資料!$A183="",2&gt;設定!$B$3,原始資料!E183=""),"",IF(AND(原始資料!D183&lt;&gt;"",原始資料!E183=原始資料!D183),N(B183)+1,1))</f>
        <v/>
      </c>
      <c r="D183" s="6">
        <f>IF(OR(原始資料!$A183="",3&gt;設定!$B$3,原始資料!F183=""),"",IF(AND(原始資料!E183&lt;&gt;"",原始資料!F183=原始資料!E183),N(C183)+1,1))</f>
        <v/>
      </c>
      <c r="E183" s="6">
        <f>IF(OR(原始資料!$A183="",4&gt;設定!$B$3,原始資料!G183=""),"",IF(AND(原始資料!F183&lt;&gt;"",原始資料!G183=原始資料!F183),N(D183)+1,1))</f>
        <v/>
      </c>
      <c r="F183" s="6">
        <f>IF(OR(原始資料!$A183="",5&gt;設定!$B$3,原始資料!H183=""),"",IF(AND(原始資料!G183&lt;&gt;"",原始資料!H183=原始資料!G183),N(E183)+1,1))</f>
        <v/>
      </c>
      <c r="G183" s="6">
        <f>IF(OR(原始資料!$A183="",6&gt;設定!$B$3,原始資料!I183=""),"",IF(AND(原始資料!H183&lt;&gt;"",原始資料!I183=原始資料!H183),N(F183)+1,1))</f>
        <v/>
      </c>
      <c r="H183" s="6">
        <f>IF(OR(原始資料!$A183="",7&gt;設定!$B$3,原始資料!J183=""),"",IF(AND(原始資料!I183&lt;&gt;"",原始資料!J183=原始資料!I183),N(G183)+1,1))</f>
        <v/>
      </c>
      <c r="I183" s="6">
        <f>IF(OR(原始資料!$A183="",8&gt;設定!$B$3,原始資料!K183=""),"",IF(AND(原始資料!J183&lt;&gt;"",原始資料!K183=原始資料!J183),N(H183)+1,1))</f>
        <v/>
      </c>
      <c r="J183" s="6">
        <f>IF(OR(原始資料!$A183="",9&gt;設定!$B$3,原始資料!L183=""),"",IF(AND(原始資料!K183&lt;&gt;"",原始資料!L183=原始資料!K183),N(I183)+1,1))</f>
        <v/>
      </c>
      <c r="K183" s="6">
        <f>IF(OR(原始資料!$A183="",10&gt;設定!$B$3,原始資料!M183=""),"",IF(AND(原始資料!L183&lt;&gt;"",原始資料!M183=原始資料!L183),N(J183)+1,1))</f>
        <v/>
      </c>
      <c r="L183" s="6">
        <f>IF(OR(原始資料!$A183="",11&gt;設定!$B$3,原始資料!N183=""),"",IF(AND(原始資料!M183&lt;&gt;"",原始資料!N183=原始資料!M183),N(K183)+1,1))</f>
        <v/>
      </c>
      <c r="M183" s="6">
        <f>IF(OR(原始資料!$A183="",12&gt;設定!$B$3,原始資料!O183=""),"",IF(AND(原始資料!N183&lt;&gt;"",原始資料!O183=原始資料!N183),N(L183)+1,1))</f>
        <v/>
      </c>
      <c r="N183" s="6">
        <f>IF(OR(原始資料!$A183="",13&gt;設定!$B$3,原始資料!P183=""),"",IF(AND(原始資料!O183&lt;&gt;"",原始資料!P183=原始資料!O183),N(M183)+1,1))</f>
        <v/>
      </c>
      <c r="O183" s="6">
        <f>IF(OR(原始資料!$A183="",14&gt;設定!$B$3,原始資料!Q183=""),"",IF(AND(原始資料!P183&lt;&gt;"",原始資料!Q183=原始資料!P183),N(N183)+1,1))</f>
        <v/>
      </c>
      <c r="P183" s="6">
        <f>IF(OR(原始資料!$A183="",15&gt;設定!$B$3,原始資料!R183=""),"",IF(AND(原始資料!Q183&lt;&gt;"",原始資料!R183=原始資料!Q183),N(O183)+1,1))</f>
        <v/>
      </c>
      <c r="Q183" s="6">
        <f>IF(OR(原始資料!$A183="",16&gt;設定!$B$3,原始資料!S183=""),"",IF(AND(原始資料!R183&lt;&gt;"",原始資料!S183=原始資料!R183),N(P183)+1,1))</f>
        <v/>
      </c>
      <c r="R183" s="6">
        <f>IF(OR(原始資料!$A183="",17&gt;設定!$B$3,原始資料!T183=""),"",IF(AND(原始資料!S183&lt;&gt;"",原始資料!T183=原始資料!S183),N(Q183)+1,1))</f>
        <v/>
      </c>
      <c r="S183" s="6">
        <f>IF(OR(原始資料!$A183="",18&gt;設定!$B$3,原始資料!U183=""),"",IF(AND(原始資料!T183&lt;&gt;"",原始資料!U183=原始資料!T183),N(R183)+1,1))</f>
        <v/>
      </c>
      <c r="T183" s="6">
        <f>IF(OR(原始資料!$A183="",19&gt;設定!$B$3,原始資料!V183=""),"",IF(AND(原始資料!U183&lt;&gt;"",原始資料!V183=原始資料!U183),N(S183)+1,1))</f>
        <v/>
      </c>
      <c r="U183" s="6">
        <f>IF(OR(原始資料!$A183="",20&gt;設定!$B$3,原始資料!W183=""),"",IF(AND(原始資料!V183&lt;&gt;"",原始資料!W183=原始資料!V183),N(T183)+1,1))</f>
        <v/>
      </c>
      <c r="V183" s="6">
        <f>IF(OR(原始資料!$A183="",21&gt;設定!$B$3,原始資料!X183=""),"",IF(AND(原始資料!W183&lt;&gt;"",原始資料!X183=原始資料!W183),N(U183)+1,1))</f>
        <v/>
      </c>
      <c r="W183" s="6">
        <f>IF(OR(原始資料!$A183="",22&gt;設定!$B$3,原始資料!Y183=""),"",IF(AND(原始資料!X183&lt;&gt;"",原始資料!Y183=原始資料!X183),N(V183)+1,1))</f>
        <v/>
      </c>
      <c r="X183" s="6">
        <f>IF(OR(原始資料!$A183="",23&gt;設定!$B$3,原始資料!Z183=""),"",IF(AND(原始資料!Y183&lt;&gt;"",原始資料!Z183=原始資料!Y183),N(W183)+1,1))</f>
        <v/>
      </c>
      <c r="Y183" s="6">
        <f>IF(OR(原始資料!$A183="",24&gt;設定!$B$3,原始資料!AA183=""),"",IF(AND(原始資料!Z183&lt;&gt;"",原始資料!AA183=原始資料!Z183),N(X183)+1,1))</f>
        <v/>
      </c>
      <c r="Z183" s="6">
        <f>IF(OR(原始資料!$A183="",25&gt;設定!$B$3,原始資料!AB183=""),"",IF(AND(原始資料!AA183&lt;&gt;"",原始資料!AB183=原始資料!AA183),N(Y183)+1,1))</f>
        <v/>
      </c>
      <c r="AA183" s="6">
        <f>IF(OR(原始資料!$A183="",26&gt;設定!$B$3,原始資料!AC183=""),"",IF(AND(原始資料!AB183&lt;&gt;"",原始資料!AC183=原始資料!AB183),N(Z183)+1,1))</f>
        <v/>
      </c>
      <c r="AB183" s="6">
        <f>IF(OR(原始資料!$A183="",27&gt;設定!$B$3,原始資料!AD183=""),"",IF(AND(原始資料!AC183&lt;&gt;"",原始資料!AD183=原始資料!AC183),N(AA183)+1,1))</f>
        <v/>
      </c>
      <c r="AC183" s="6">
        <f>IF(OR(原始資料!$A183="",28&gt;設定!$B$3,原始資料!AE183=""),"",IF(AND(原始資料!AD183&lt;&gt;"",原始資料!AE183=原始資料!AD183),N(AB183)+1,1))</f>
        <v/>
      </c>
      <c r="AD183" s="6">
        <f>IF(OR(原始資料!$A183="",29&gt;設定!$B$3,原始資料!AF183=""),"",IF(AND(原始資料!AE183&lt;&gt;"",原始資料!AF183=原始資料!AE183),N(AC183)+1,1))</f>
        <v/>
      </c>
      <c r="AE183" s="6">
        <f>IF(OR(原始資料!$A183="",30&gt;設定!$B$3,原始資料!AG183=""),"",IF(AND(原始資料!AF183&lt;&gt;"",原始資料!AG183=原始資料!AF183),N(AD183)+1,1))</f>
        <v/>
      </c>
      <c r="AF183" s="6">
        <f>IF(OR(原始資料!$A183="",31&gt;設定!$B$3,原始資料!AH183=""),"",IF(AND(原始資料!AG183&lt;&gt;"",原始資料!AH183=原始資料!AG183),N(AE183)+1,1))</f>
        <v/>
      </c>
      <c r="AG183" s="6">
        <f>IF(OR(原始資料!$A183="",32&gt;設定!$B$3,原始資料!AI183=""),"",IF(AND(原始資料!AH183&lt;&gt;"",原始資料!AI183=原始資料!AH183),N(AF183)+1,1))</f>
        <v/>
      </c>
      <c r="AH183" s="6">
        <f>IF(OR(原始資料!$A183="",33&gt;設定!$B$3,原始資料!AJ183=""),"",IF(AND(原始資料!AI183&lt;&gt;"",原始資料!AJ183=原始資料!AI183),N(AG183)+1,1))</f>
        <v/>
      </c>
      <c r="AI183" s="6">
        <f>IF(OR(原始資料!$A183="",34&gt;設定!$B$3,原始資料!AK183=""),"",IF(AND(原始資料!AJ183&lt;&gt;"",原始資料!AK183=原始資料!AJ183),N(AH183)+1,1))</f>
        <v/>
      </c>
      <c r="AJ183" s="6">
        <f>IF(OR(原始資料!$A183="",35&gt;設定!$B$3,原始資料!AL183=""),"",IF(AND(原始資料!AK183&lt;&gt;"",原始資料!AL183=原始資料!AK183),N(AI183)+1,1))</f>
        <v/>
      </c>
      <c r="AK183" s="6">
        <f>IF(OR(原始資料!$A183="",36&gt;設定!$B$3,原始資料!AM183=""),"",IF(AND(原始資料!AL183&lt;&gt;"",原始資料!AM183=原始資料!AL183),N(AJ183)+1,1))</f>
        <v/>
      </c>
      <c r="AL183" s="6">
        <f>IF(OR(原始資料!$A183="",37&gt;設定!$B$3,原始資料!AN183=""),"",IF(AND(原始資料!AM183&lt;&gt;"",原始資料!AN183=原始資料!AM183),N(AK183)+1,1))</f>
        <v/>
      </c>
      <c r="AM183" s="6">
        <f>IF(OR(原始資料!$A183="",38&gt;設定!$B$3,原始資料!AO183=""),"",IF(AND(原始資料!AN183&lt;&gt;"",原始資料!AO183=原始資料!AN183),N(AL183)+1,1))</f>
        <v/>
      </c>
      <c r="AN183" s="6">
        <f>IF(OR(原始資料!$A183="",39&gt;設定!$B$3,原始資料!AP183=""),"",IF(AND(原始資料!AO183&lt;&gt;"",原始資料!AP183=原始資料!AO183),N(AM183)+1,1))</f>
        <v/>
      </c>
      <c r="AO183" s="6">
        <f>IF(OR(原始資料!$A183="",40&gt;設定!$B$3,原始資料!AQ183=""),"",IF(AND(原始資料!AP183&lt;&gt;"",原始資料!AQ183=原始資料!AP183),N(AN183)+1,1))</f>
        <v/>
      </c>
      <c r="AP183" s="6">
        <f>IF(OR(原始資料!$A183="",41&gt;設定!$B$3,原始資料!AR183=""),"",IF(AND(原始資料!AQ183&lt;&gt;"",原始資料!AR183=原始資料!AQ183),N(AO183)+1,1))</f>
        <v/>
      </c>
      <c r="AQ183" s="6">
        <f>IF(OR(原始資料!$A183="",42&gt;設定!$B$3,原始資料!AS183=""),"",IF(AND(原始資料!AR183&lt;&gt;"",原始資料!AS183=原始資料!AR183),N(AP183)+1,1))</f>
        <v/>
      </c>
      <c r="AR183" s="6">
        <f>IF(OR(原始資料!$A183="",43&gt;設定!$B$3,原始資料!AT183=""),"",IF(AND(原始資料!AS183&lt;&gt;"",原始資料!AT183=原始資料!AS183),N(AQ183)+1,1))</f>
        <v/>
      </c>
      <c r="AS183" s="6">
        <f>IF(OR(原始資料!$A183="",44&gt;設定!$B$3,原始資料!AU183=""),"",IF(AND(原始資料!AT183&lt;&gt;"",原始資料!AU183=原始資料!AT183),N(AR183)+1,1))</f>
        <v/>
      </c>
      <c r="AT183" s="6">
        <f>IF(OR(原始資料!$A183="",45&gt;設定!$B$3,原始資料!AV183=""),"",IF(AND(原始資料!AU183&lt;&gt;"",原始資料!AV183=原始資料!AU183),N(AS183)+1,1))</f>
        <v/>
      </c>
      <c r="AU183" s="6">
        <f>IF(OR(原始資料!$A183="",46&gt;設定!$B$3,原始資料!AW183=""),"",IF(AND(原始資料!AV183&lt;&gt;"",原始資料!AW183=原始資料!AV183),N(AT183)+1,1))</f>
        <v/>
      </c>
      <c r="AV183" s="6">
        <f>IF(OR(原始資料!$A183="",47&gt;設定!$B$3,原始資料!AX183=""),"",IF(AND(原始資料!AW183&lt;&gt;"",原始資料!AX183=原始資料!AW183),N(AU183)+1,1))</f>
        <v/>
      </c>
      <c r="AW183" s="6">
        <f>IF(OR(原始資料!$A183="",48&gt;設定!$B$3,原始資料!AY183=""),"",IF(AND(原始資料!AX183&lt;&gt;"",原始資料!AY183=原始資料!AX183),N(AV183)+1,1))</f>
        <v/>
      </c>
      <c r="AX183" s="6">
        <f>IF(OR(原始資料!$A183="",49&gt;設定!$B$3,原始資料!AZ183=""),"",IF(AND(原始資料!AY183&lt;&gt;"",原始資料!AZ183=原始資料!AY183),N(AW183)+1,1))</f>
        <v/>
      </c>
      <c r="AY183" s="6">
        <f>IF(OR(原始資料!$A183="",50&gt;設定!$B$3,原始資料!BA183=""),"",IF(AND(原始資料!AZ183&lt;&gt;"",原始資料!BA183=原始資料!AZ183),N(AX183)+1,1))</f>
        <v/>
      </c>
      <c r="AZ183" s="6">
        <f>IF(OR(原始資料!$A183="",51&gt;設定!$B$3,原始資料!BB183=""),"",IF(AND(原始資料!BA183&lt;&gt;"",原始資料!BB183=原始資料!BA183),N(AY183)+1,1))</f>
        <v/>
      </c>
      <c r="BA183" s="6">
        <f>IF(OR(原始資料!$A183="",52&gt;設定!$B$3,原始資料!BC183=""),"",IF(AND(原始資料!BB183&lt;&gt;"",原始資料!BC183=原始資料!BB183),N(AZ183)+1,1))</f>
        <v/>
      </c>
      <c r="BB183" s="6">
        <f>IF(OR(原始資料!$A183="",53&gt;設定!$B$3,原始資料!BD183=""),"",IF(AND(原始資料!BC183&lt;&gt;"",原始資料!BD183=原始資料!BC183),N(BA183)+1,1))</f>
        <v/>
      </c>
      <c r="BC183" s="6">
        <f>IF(OR(原始資料!$A183="",54&gt;設定!$B$3,原始資料!BE183=""),"",IF(AND(原始資料!BD183&lt;&gt;"",原始資料!BE183=原始資料!BD183),N(BB183)+1,1))</f>
        <v/>
      </c>
      <c r="BD183" s="6">
        <f>IF(OR(原始資料!$A183="",55&gt;設定!$B$3,原始資料!BF183=""),"",IF(AND(原始資料!BE183&lt;&gt;"",原始資料!BF183=原始資料!BE183),N(BC183)+1,1))</f>
        <v/>
      </c>
      <c r="BE183" s="6">
        <f>IF(OR(原始資料!$A183="",56&gt;設定!$B$3,原始資料!BG183=""),"",IF(AND(原始資料!BF183&lt;&gt;"",原始資料!BG183=原始資料!BF183),N(BD183)+1,1))</f>
        <v/>
      </c>
      <c r="BF183" s="6">
        <f>IF(OR(原始資料!$A183="",57&gt;設定!$B$3,原始資料!BH183=""),"",IF(AND(原始資料!BG183&lt;&gt;"",原始資料!BH183=原始資料!BG183),N(BE183)+1,1))</f>
        <v/>
      </c>
      <c r="BG183" s="6">
        <f>IF(OR(原始資料!$A183="",58&gt;設定!$B$3,原始資料!BI183=""),"",IF(AND(原始資料!BH183&lt;&gt;"",原始資料!BI183=原始資料!BH183),N(BF183)+1,1))</f>
        <v/>
      </c>
      <c r="BH183" s="6">
        <f>IF(OR(原始資料!$A183="",59&gt;設定!$B$3,原始資料!BJ183=""),"",IF(AND(原始資料!BI183&lt;&gt;"",原始資料!BJ183=原始資料!BI183),N(BG183)+1,1))</f>
        <v/>
      </c>
      <c r="BI183" s="6">
        <f>IF(OR(原始資料!$A183="",60&gt;設定!$B$3,原始資料!BK183=""),"",IF(AND(原始資料!BJ183&lt;&gt;"",原始資料!BK183=原始資料!BJ183),N(BH183)+1,1))</f>
        <v/>
      </c>
    </row>
    <row r="184">
      <c r="A184" s="6">
        <f>IF(原始資料!$A184="","",原始資料!$A184)</f>
        <v/>
      </c>
      <c r="B184" s="6">
        <f>IF(OR(原始資料!$A184="",1&gt;設定!$B$3,原始資料!D184=""),"",1)</f>
        <v/>
      </c>
      <c r="C184" s="6">
        <f>IF(OR(原始資料!$A184="",2&gt;設定!$B$3,原始資料!E184=""),"",IF(AND(原始資料!D184&lt;&gt;"",原始資料!E184=原始資料!D184),N(B184)+1,1))</f>
        <v/>
      </c>
      <c r="D184" s="6">
        <f>IF(OR(原始資料!$A184="",3&gt;設定!$B$3,原始資料!F184=""),"",IF(AND(原始資料!E184&lt;&gt;"",原始資料!F184=原始資料!E184),N(C184)+1,1))</f>
        <v/>
      </c>
      <c r="E184" s="6">
        <f>IF(OR(原始資料!$A184="",4&gt;設定!$B$3,原始資料!G184=""),"",IF(AND(原始資料!F184&lt;&gt;"",原始資料!G184=原始資料!F184),N(D184)+1,1))</f>
        <v/>
      </c>
      <c r="F184" s="6">
        <f>IF(OR(原始資料!$A184="",5&gt;設定!$B$3,原始資料!H184=""),"",IF(AND(原始資料!G184&lt;&gt;"",原始資料!H184=原始資料!G184),N(E184)+1,1))</f>
        <v/>
      </c>
      <c r="G184" s="6">
        <f>IF(OR(原始資料!$A184="",6&gt;設定!$B$3,原始資料!I184=""),"",IF(AND(原始資料!H184&lt;&gt;"",原始資料!I184=原始資料!H184),N(F184)+1,1))</f>
        <v/>
      </c>
      <c r="H184" s="6">
        <f>IF(OR(原始資料!$A184="",7&gt;設定!$B$3,原始資料!J184=""),"",IF(AND(原始資料!I184&lt;&gt;"",原始資料!J184=原始資料!I184),N(G184)+1,1))</f>
        <v/>
      </c>
      <c r="I184" s="6">
        <f>IF(OR(原始資料!$A184="",8&gt;設定!$B$3,原始資料!K184=""),"",IF(AND(原始資料!J184&lt;&gt;"",原始資料!K184=原始資料!J184),N(H184)+1,1))</f>
        <v/>
      </c>
      <c r="J184" s="6">
        <f>IF(OR(原始資料!$A184="",9&gt;設定!$B$3,原始資料!L184=""),"",IF(AND(原始資料!K184&lt;&gt;"",原始資料!L184=原始資料!K184),N(I184)+1,1))</f>
        <v/>
      </c>
      <c r="K184" s="6">
        <f>IF(OR(原始資料!$A184="",10&gt;設定!$B$3,原始資料!M184=""),"",IF(AND(原始資料!L184&lt;&gt;"",原始資料!M184=原始資料!L184),N(J184)+1,1))</f>
        <v/>
      </c>
      <c r="L184" s="6">
        <f>IF(OR(原始資料!$A184="",11&gt;設定!$B$3,原始資料!N184=""),"",IF(AND(原始資料!M184&lt;&gt;"",原始資料!N184=原始資料!M184),N(K184)+1,1))</f>
        <v/>
      </c>
      <c r="M184" s="6">
        <f>IF(OR(原始資料!$A184="",12&gt;設定!$B$3,原始資料!O184=""),"",IF(AND(原始資料!N184&lt;&gt;"",原始資料!O184=原始資料!N184),N(L184)+1,1))</f>
        <v/>
      </c>
      <c r="N184" s="6">
        <f>IF(OR(原始資料!$A184="",13&gt;設定!$B$3,原始資料!P184=""),"",IF(AND(原始資料!O184&lt;&gt;"",原始資料!P184=原始資料!O184),N(M184)+1,1))</f>
        <v/>
      </c>
      <c r="O184" s="6">
        <f>IF(OR(原始資料!$A184="",14&gt;設定!$B$3,原始資料!Q184=""),"",IF(AND(原始資料!P184&lt;&gt;"",原始資料!Q184=原始資料!P184),N(N184)+1,1))</f>
        <v/>
      </c>
      <c r="P184" s="6">
        <f>IF(OR(原始資料!$A184="",15&gt;設定!$B$3,原始資料!R184=""),"",IF(AND(原始資料!Q184&lt;&gt;"",原始資料!R184=原始資料!Q184),N(O184)+1,1))</f>
        <v/>
      </c>
      <c r="Q184" s="6">
        <f>IF(OR(原始資料!$A184="",16&gt;設定!$B$3,原始資料!S184=""),"",IF(AND(原始資料!R184&lt;&gt;"",原始資料!S184=原始資料!R184),N(P184)+1,1))</f>
        <v/>
      </c>
      <c r="R184" s="6">
        <f>IF(OR(原始資料!$A184="",17&gt;設定!$B$3,原始資料!T184=""),"",IF(AND(原始資料!S184&lt;&gt;"",原始資料!T184=原始資料!S184),N(Q184)+1,1))</f>
        <v/>
      </c>
      <c r="S184" s="6">
        <f>IF(OR(原始資料!$A184="",18&gt;設定!$B$3,原始資料!U184=""),"",IF(AND(原始資料!T184&lt;&gt;"",原始資料!U184=原始資料!T184),N(R184)+1,1))</f>
        <v/>
      </c>
      <c r="T184" s="6">
        <f>IF(OR(原始資料!$A184="",19&gt;設定!$B$3,原始資料!V184=""),"",IF(AND(原始資料!U184&lt;&gt;"",原始資料!V184=原始資料!U184),N(S184)+1,1))</f>
        <v/>
      </c>
      <c r="U184" s="6">
        <f>IF(OR(原始資料!$A184="",20&gt;設定!$B$3,原始資料!W184=""),"",IF(AND(原始資料!V184&lt;&gt;"",原始資料!W184=原始資料!V184),N(T184)+1,1))</f>
        <v/>
      </c>
      <c r="V184" s="6">
        <f>IF(OR(原始資料!$A184="",21&gt;設定!$B$3,原始資料!X184=""),"",IF(AND(原始資料!W184&lt;&gt;"",原始資料!X184=原始資料!W184),N(U184)+1,1))</f>
        <v/>
      </c>
      <c r="W184" s="6">
        <f>IF(OR(原始資料!$A184="",22&gt;設定!$B$3,原始資料!Y184=""),"",IF(AND(原始資料!X184&lt;&gt;"",原始資料!Y184=原始資料!X184),N(V184)+1,1))</f>
        <v/>
      </c>
      <c r="X184" s="6">
        <f>IF(OR(原始資料!$A184="",23&gt;設定!$B$3,原始資料!Z184=""),"",IF(AND(原始資料!Y184&lt;&gt;"",原始資料!Z184=原始資料!Y184),N(W184)+1,1))</f>
        <v/>
      </c>
      <c r="Y184" s="6">
        <f>IF(OR(原始資料!$A184="",24&gt;設定!$B$3,原始資料!AA184=""),"",IF(AND(原始資料!Z184&lt;&gt;"",原始資料!AA184=原始資料!Z184),N(X184)+1,1))</f>
        <v/>
      </c>
      <c r="Z184" s="6">
        <f>IF(OR(原始資料!$A184="",25&gt;設定!$B$3,原始資料!AB184=""),"",IF(AND(原始資料!AA184&lt;&gt;"",原始資料!AB184=原始資料!AA184),N(Y184)+1,1))</f>
        <v/>
      </c>
      <c r="AA184" s="6">
        <f>IF(OR(原始資料!$A184="",26&gt;設定!$B$3,原始資料!AC184=""),"",IF(AND(原始資料!AB184&lt;&gt;"",原始資料!AC184=原始資料!AB184),N(Z184)+1,1))</f>
        <v/>
      </c>
      <c r="AB184" s="6">
        <f>IF(OR(原始資料!$A184="",27&gt;設定!$B$3,原始資料!AD184=""),"",IF(AND(原始資料!AC184&lt;&gt;"",原始資料!AD184=原始資料!AC184),N(AA184)+1,1))</f>
        <v/>
      </c>
      <c r="AC184" s="6">
        <f>IF(OR(原始資料!$A184="",28&gt;設定!$B$3,原始資料!AE184=""),"",IF(AND(原始資料!AD184&lt;&gt;"",原始資料!AE184=原始資料!AD184),N(AB184)+1,1))</f>
        <v/>
      </c>
      <c r="AD184" s="6">
        <f>IF(OR(原始資料!$A184="",29&gt;設定!$B$3,原始資料!AF184=""),"",IF(AND(原始資料!AE184&lt;&gt;"",原始資料!AF184=原始資料!AE184),N(AC184)+1,1))</f>
        <v/>
      </c>
      <c r="AE184" s="6">
        <f>IF(OR(原始資料!$A184="",30&gt;設定!$B$3,原始資料!AG184=""),"",IF(AND(原始資料!AF184&lt;&gt;"",原始資料!AG184=原始資料!AF184),N(AD184)+1,1))</f>
        <v/>
      </c>
      <c r="AF184" s="6">
        <f>IF(OR(原始資料!$A184="",31&gt;設定!$B$3,原始資料!AH184=""),"",IF(AND(原始資料!AG184&lt;&gt;"",原始資料!AH184=原始資料!AG184),N(AE184)+1,1))</f>
        <v/>
      </c>
      <c r="AG184" s="6">
        <f>IF(OR(原始資料!$A184="",32&gt;設定!$B$3,原始資料!AI184=""),"",IF(AND(原始資料!AH184&lt;&gt;"",原始資料!AI184=原始資料!AH184),N(AF184)+1,1))</f>
        <v/>
      </c>
      <c r="AH184" s="6">
        <f>IF(OR(原始資料!$A184="",33&gt;設定!$B$3,原始資料!AJ184=""),"",IF(AND(原始資料!AI184&lt;&gt;"",原始資料!AJ184=原始資料!AI184),N(AG184)+1,1))</f>
        <v/>
      </c>
      <c r="AI184" s="6">
        <f>IF(OR(原始資料!$A184="",34&gt;設定!$B$3,原始資料!AK184=""),"",IF(AND(原始資料!AJ184&lt;&gt;"",原始資料!AK184=原始資料!AJ184),N(AH184)+1,1))</f>
        <v/>
      </c>
      <c r="AJ184" s="6">
        <f>IF(OR(原始資料!$A184="",35&gt;設定!$B$3,原始資料!AL184=""),"",IF(AND(原始資料!AK184&lt;&gt;"",原始資料!AL184=原始資料!AK184),N(AI184)+1,1))</f>
        <v/>
      </c>
      <c r="AK184" s="6">
        <f>IF(OR(原始資料!$A184="",36&gt;設定!$B$3,原始資料!AM184=""),"",IF(AND(原始資料!AL184&lt;&gt;"",原始資料!AM184=原始資料!AL184),N(AJ184)+1,1))</f>
        <v/>
      </c>
      <c r="AL184" s="6">
        <f>IF(OR(原始資料!$A184="",37&gt;設定!$B$3,原始資料!AN184=""),"",IF(AND(原始資料!AM184&lt;&gt;"",原始資料!AN184=原始資料!AM184),N(AK184)+1,1))</f>
        <v/>
      </c>
      <c r="AM184" s="6">
        <f>IF(OR(原始資料!$A184="",38&gt;設定!$B$3,原始資料!AO184=""),"",IF(AND(原始資料!AN184&lt;&gt;"",原始資料!AO184=原始資料!AN184),N(AL184)+1,1))</f>
        <v/>
      </c>
      <c r="AN184" s="6">
        <f>IF(OR(原始資料!$A184="",39&gt;設定!$B$3,原始資料!AP184=""),"",IF(AND(原始資料!AO184&lt;&gt;"",原始資料!AP184=原始資料!AO184),N(AM184)+1,1))</f>
        <v/>
      </c>
      <c r="AO184" s="6">
        <f>IF(OR(原始資料!$A184="",40&gt;設定!$B$3,原始資料!AQ184=""),"",IF(AND(原始資料!AP184&lt;&gt;"",原始資料!AQ184=原始資料!AP184),N(AN184)+1,1))</f>
        <v/>
      </c>
      <c r="AP184" s="6">
        <f>IF(OR(原始資料!$A184="",41&gt;設定!$B$3,原始資料!AR184=""),"",IF(AND(原始資料!AQ184&lt;&gt;"",原始資料!AR184=原始資料!AQ184),N(AO184)+1,1))</f>
        <v/>
      </c>
      <c r="AQ184" s="6">
        <f>IF(OR(原始資料!$A184="",42&gt;設定!$B$3,原始資料!AS184=""),"",IF(AND(原始資料!AR184&lt;&gt;"",原始資料!AS184=原始資料!AR184),N(AP184)+1,1))</f>
        <v/>
      </c>
      <c r="AR184" s="6">
        <f>IF(OR(原始資料!$A184="",43&gt;設定!$B$3,原始資料!AT184=""),"",IF(AND(原始資料!AS184&lt;&gt;"",原始資料!AT184=原始資料!AS184),N(AQ184)+1,1))</f>
        <v/>
      </c>
      <c r="AS184" s="6">
        <f>IF(OR(原始資料!$A184="",44&gt;設定!$B$3,原始資料!AU184=""),"",IF(AND(原始資料!AT184&lt;&gt;"",原始資料!AU184=原始資料!AT184),N(AR184)+1,1))</f>
        <v/>
      </c>
      <c r="AT184" s="6">
        <f>IF(OR(原始資料!$A184="",45&gt;設定!$B$3,原始資料!AV184=""),"",IF(AND(原始資料!AU184&lt;&gt;"",原始資料!AV184=原始資料!AU184),N(AS184)+1,1))</f>
        <v/>
      </c>
      <c r="AU184" s="6">
        <f>IF(OR(原始資料!$A184="",46&gt;設定!$B$3,原始資料!AW184=""),"",IF(AND(原始資料!AV184&lt;&gt;"",原始資料!AW184=原始資料!AV184),N(AT184)+1,1))</f>
        <v/>
      </c>
      <c r="AV184" s="6">
        <f>IF(OR(原始資料!$A184="",47&gt;設定!$B$3,原始資料!AX184=""),"",IF(AND(原始資料!AW184&lt;&gt;"",原始資料!AX184=原始資料!AW184),N(AU184)+1,1))</f>
        <v/>
      </c>
      <c r="AW184" s="6">
        <f>IF(OR(原始資料!$A184="",48&gt;設定!$B$3,原始資料!AY184=""),"",IF(AND(原始資料!AX184&lt;&gt;"",原始資料!AY184=原始資料!AX184),N(AV184)+1,1))</f>
        <v/>
      </c>
      <c r="AX184" s="6">
        <f>IF(OR(原始資料!$A184="",49&gt;設定!$B$3,原始資料!AZ184=""),"",IF(AND(原始資料!AY184&lt;&gt;"",原始資料!AZ184=原始資料!AY184),N(AW184)+1,1))</f>
        <v/>
      </c>
      <c r="AY184" s="6">
        <f>IF(OR(原始資料!$A184="",50&gt;設定!$B$3,原始資料!BA184=""),"",IF(AND(原始資料!AZ184&lt;&gt;"",原始資料!BA184=原始資料!AZ184),N(AX184)+1,1))</f>
        <v/>
      </c>
      <c r="AZ184" s="6">
        <f>IF(OR(原始資料!$A184="",51&gt;設定!$B$3,原始資料!BB184=""),"",IF(AND(原始資料!BA184&lt;&gt;"",原始資料!BB184=原始資料!BA184),N(AY184)+1,1))</f>
        <v/>
      </c>
      <c r="BA184" s="6">
        <f>IF(OR(原始資料!$A184="",52&gt;設定!$B$3,原始資料!BC184=""),"",IF(AND(原始資料!BB184&lt;&gt;"",原始資料!BC184=原始資料!BB184),N(AZ184)+1,1))</f>
        <v/>
      </c>
      <c r="BB184" s="6">
        <f>IF(OR(原始資料!$A184="",53&gt;設定!$B$3,原始資料!BD184=""),"",IF(AND(原始資料!BC184&lt;&gt;"",原始資料!BD184=原始資料!BC184),N(BA184)+1,1))</f>
        <v/>
      </c>
      <c r="BC184" s="6">
        <f>IF(OR(原始資料!$A184="",54&gt;設定!$B$3,原始資料!BE184=""),"",IF(AND(原始資料!BD184&lt;&gt;"",原始資料!BE184=原始資料!BD184),N(BB184)+1,1))</f>
        <v/>
      </c>
      <c r="BD184" s="6">
        <f>IF(OR(原始資料!$A184="",55&gt;設定!$B$3,原始資料!BF184=""),"",IF(AND(原始資料!BE184&lt;&gt;"",原始資料!BF184=原始資料!BE184),N(BC184)+1,1))</f>
        <v/>
      </c>
      <c r="BE184" s="6">
        <f>IF(OR(原始資料!$A184="",56&gt;設定!$B$3,原始資料!BG184=""),"",IF(AND(原始資料!BF184&lt;&gt;"",原始資料!BG184=原始資料!BF184),N(BD184)+1,1))</f>
        <v/>
      </c>
      <c r="BF184" s="6">
        <f>IF(OR(原始資料!$A184="",57&gt;設定!$B$3,原始資料!BH184=""),"",IF(AND(原始資料!BG184&lt;&gt;"",原始資料!BH184=原始資料!BG184),N(BE184)+1,1))</f>
        <v/>
      </c>
      <c r="BG184" s="6">
        <f>IF(OR(原始資料!$A184="",58&gt;設定!$B$3,原始資料!BI184=""),"",IF(AND(原始資料!BH184&lt;&gt;"",原始資料!BI184=原始資料!BH184),N(BF184)+1,1))</f>
        <v/>
      </c>
      <c r="BH184" s="6">
        <f>IF(OR(原始資料!$A184="",59&gt;設定!$B$3,原始資料!BJ184=""),"",IF(AND(原始資料!BI184&lt;&gt;"",原始資料!BJ184=原始資料!BI184),N(BG184)+1,1))</f>
        <v/>
      </c>
      <c r="BI184" s="6">
        <f>IF(OR(原始資料!$A184="",60&gt;設定!$B$3,原始資料!BK184=""),"",IF(AND(原始資料!BJ184&lt;&gt;"",原始資料!BK184=原始資料!BJ184),N(BH184)+1,1))</f>
        <v/>
      </c>
    </row>
    <row r="185">
      <c r="A185" s="6">
        <f>IF(原始資料!$A185="","",原始資料!$A185)</f>
        <v/>
      </c>
      <c r="B185" s="6">
        <f>IF(OR(原始資料!$A185="",1&gt;設定!$B$3,原始資料!D185=""),"",1)</f>
        <v/>
      </c>
      <c r="C185" s="6">
        <f>IF(OR(原始資料!$A185="",2&gt;設定!$B$3,原始資料!E185=""),"",IF(AND(原始資料!D185&lt;&gt;"",原始資料!E185=原始資料!D185),N(B185)+1,1))</f>
        <v/>
      </c>
      <c r="D185" s="6">
        <f>IF(OR(原始資料!$A185="",3&gt;設定!$B$3,原始資料!F185=""),"",IF(AND(原始資料!E185&lt;&gt;"",原始資料!F185=原始資料!E185),N(C185)+1,1))</f>
        <v/>
      </c>
      <c r="E185" s="6">
        <f>IF(OR(原始資料!$A185="",4&gt;設定!$B$3,原始資料!G185=""),"",IF(AND(原始資料!F185&lt;&gt;"",原始資料!G185=原始資料!F185),N(D185)+1,1))</f>
        <v/>
      </c>
      <c r="F185" s="6">
        <f>IF(OR(原始資料!$A185="",5&gt;設定!$B$3,原始資料!H185=""),"",IF(AND(原始資料!G185&lt;&gt;"",原始資料!H185=原始資料!G185),N(E185)+1,1))</f>
        <v/>
      </c>
      <c r="G185" s="6">
        <f>IF(OR(原始資料!$A185="",6&gt;設定!$B$3,原始資料!I185=""),"",IF(AND(原始資料!H185&lt;&gt;"",原始資料!I185=原始資料!H185),N(F185)+1,1))</f>
        <v/>
      </c>
      <c r="H185" s="6">
        <f>IF(OR(原始資料!$A185="",7&gt;設定!$B$3,原始資料!J185=""),"",IF(AND(原始資料!I185&lt;&gt;"",原始資料!J185=原始資料!I185),N(G185)+1,1))</f>
        <v/>
      </c>
      <c r="I185" s="6">
        <f>IF(OR(原始資料!$A185="",8&gt;設定!$B$3,原始資料!K185=""),"",IF(AND(原始資料!J185&lt;&gt;"",原始資料!K185=原始資料!J185),N(H185)+1,1))</f>
        <v/>
      </c>
      <c r="J185" s="6">
        <f>IF(OR(原始資料!$A185="",9&gt;設定!$B$3,原始資料!L185=""),"",IF(AND(原始資料!K185&lt;&gt;"",原始資料!L185=原始資料!K185),N(I185)+1,1))</f>
        <v/>
      </c>
      <c r="K185" s="6">
        <f>IF(OR(原始資料!$A185="",10&gt;設定!$B$3,原始資料!M185=""),"",IF(AND(原始資料!L185&lt;&gt;"",原始資料!M185=原始資料!L185),N(J185)+1,1))</f>
        <v/>
      </c>
      <c r="L185" s="6">
        <f>IF(OR(原始資料!$A185="",11&gt;設定!$B$3,原始資料!N185=""),"",IF(AND(原始資料!M185&lt;&gt;"",原始資料!N185=原始資料!M185),N(K185)+1,1))</f>
        <v/>
      </c>
      <c r="M185" s="6">
        <f>IF(OR(原始資料!$A185="",12&gt;設定!$B$3,原始資料!O185=""),"",IF(AND(原始資料!N185&lt;&gt;"",原始資料!O185=原始資料!N185),N(L185)+1,1))</f>
        <v/>
      </c>
      <c r="N185" s="6">
        <f>IF(OR(原始資料!$A185="",13&gt;設定!$B$3,原始資料!P185=""),"",IF(AND(原始資料!O185&lt;&gt;"",原始資料!P185=原始資料!O185),N(M185)+1,1))</f>
        <v/>
      </c>
      <c r="O185" s="6">
        <f>IF(OR(原始資料!$A185="",14&gt;設定!$B$3,原始資料!Q185=""),"",IF(AND(原始資料!P185&lt;&gt;"",原始資料!Q185=原始資料!P185),N(N185)+1,1))</f>
        <v/>
      </c>
      <c r="P185" s="6">
        <f>IF(OR(原始資料!$A185="",15&gt;設定!$B$3,原始資料!R185=""),"",IF(AND(原始資料!Q185&lt;&gt;"",原始資料!R185=原始資料!Q185),N(O185)+1,1))</f>
        <v/>
      </c>
      <c r="Q185" s="6">
        <f>IF(OR(原始資料!$A185="",16&gt;設定!$B$3,原始資料!S185=""),"",IF(AND(原始資料!R185&lt;&gt;"",原始資料!S185=原始資料!R185),N(P185)+1,1))</f>
        <v/>
      </c>
      <c r="R185" s="6">
        <f>IF(OR(原始資料!$A185="",17&gt;設定!$B$3,原始資料!T185=""),"",IF(AND(原始資料!S185&lt;&gt;"",原始資料!T185=原始資料!S185),N(Q185)+1,1))</f>
        <v/>
      </c>
      <c r="S185" s="6">
        <f>IF(OR(原始資料!$A185="",18&gt;設定!$B$3,原始資料!U185=""),"",IF(AND(原始資料!T185&lt;&gt;"",原始資料!U185=原始資料!T185),N(R185)+1,1))</f>
        <v/>
      </c>
      <c r="T185" s="6">
        <f>IF(OR(原始資料!$A185="",19&gt;設定!$B$3,原始資料!V185=""),"",IF(AND(原始資料!U185&lt;&gt;"",原始資料!V185=原始資料!U185),N(S185)+1,1))</f>
        <v/>
      </c>
      <c r="U185" s="6">
        <f>IF(OR(原始資料!$A185="",20&gt;設定!$B$3,原始資料!W185=""),"",IF(AND(原始資料!V185&lt;&gt;"",原始資料!W185=原始資料!V185),N(T185)+1,1))</f>
        <v/>
      </c>
      <c r="V185" s="6">
        <f>IF(OR(原始資料!$A185="",21&gt;設定!$B$3,原始資料!X185=""),"",IF(AND(原始資料!W185&lt;&gt;"",原始資料!X185=原始資料!W185),N(U185)+1,1))</f>
        <v/>
      </c>
      <c r="W185" s="6">
        <f>IF(OR(原始資料!$A185="",22&gt;設定!$B$3,原始資料!Y185=""),"",IF(AND(原始資料!X185&lt;&gt;"",原始資料!Y185=原始資料!X185),N(V185)+1,1))</f>
        <v/>
      </c>
      <c r="X185" s="6">
        <f>IF(OR(原始資料!$A185="",23&gt;設定!$B$3,原始資料!Z185=""),"",IF(AND(原始資料!Y185&lt;&gt;"",原始資料!Z185=原始資料!Y185),N(W185)+1,1))</f>
        <v/>
      </c>
      <c r="Y185" s="6">
        <f>IF(OR(原始資料!$A185="",24&gt;設定!$B$3,原始資料!AA185=""),"",IF(AND(原始資料!Z185&lt;&gt;"",原始資料!AA185=原始資料!Z185),N(X185)+1,1))</f>
        <v/>
      </c>
      <c r="Z185" s="6">
        <f>IF(OR(原始資料!$A185="",25&gt;設定!$B$3,原始資料!AB185=""),"",IF(AND(原始資料!AA185&lt;&gt;"",原始資料!AB185=原始資料!AA185),N(Y185)+1,1))</f>
        <v/>
      </c>
      <c r="AA185" s="6">
        <f>IF(OR(原始資料!$A185="",26&gt;設定!$B$3,原始資料!AC185=""),"",IF(AND(原始資料!AB185&lt;&gt;"",原始資料!AC185=原始資料!AB185),N(Z185)+1,1))</f>
        <v/>
      </c>
      <c r="AB185" s="6">
        <f>IF(OR(原始資料!$A185="",27&gt;設定!$B$3,原始資料!AD185=""),"",IF(AND(原始資料!AC185&lt;&gt;"",原始資料!AD185=原始資料!AC185),N(AA185)+1,1))</f>
        <v/>
      </c>
      <c r="AC185" s="6">
        <f>IF(OR(原始資料!$A185="",28&gt;設定!$B$3,原始資料!AE185=""),"",IF(AND(原始資料!AD185&lt;&gt;"",原始資料!AE185=原始資料!AD185),N(AB185)+1,1))</f>
        <v/>
      </c>
      <c r="AD185" s="6">
        <f>IF(OR(原始資料!$A185="",29&gt;設定!$B$3,原始資料!AF185=""),"",IF(AND(原始資料!AE185&lt;&gt;"",原始資料!AF185=原始資料!AE185),N(AC185)+1,1))</f>
        <v/>
      </c>
      <c r="AE185" s="6">
        <f>IF(OR(原始資料!$A185="",30&gt;設定!$B$3,原始資料!AG185=""),"",IF(AND(原始資料!AF185&lt;&gt;"",原始資料!AG185=原始資料!AF185),N(AD185)+1,1))</f>
        <v/>
      </c>
      <c r="AF185" s="6">
        <f>IF(OR(原始資料!$A185="",31&gt;設定!$B$3,原始資料!AH185=""),"",IF(AND(原始資料!AG185&lt;&gt;"",原始資料!AH185=原始資料!AG185),N(AE185)+1,1))</f>
        <v/>
      </c>
      <c r="AG185" s="6">
        <f>IF(OR(原始資料!$A185="",32&gt;設定!$B$3,原始資料!AI185=""),"",IF(AND(原始資料!AH185&lt;&gt;"",原始資料!AI185=原始資料!AH185),N(AF185)+1,1))</f>
        <v/>
      </c>
      <c r="AH185" s="6">
        <f>IF(OR(原始資料!$A185="",33&gt;設定!$B$3,原始資料!AJ185=""),"",IF(AND(原始資料!AI185&lt;&gt;"",原始資料!AJ185=原始資料!AI185),N(AG185)+1,1))</f>
        <v/>
      </c>
      <c r="AI185" s="6">
        <f>IF(OR(原始資料!$A185="",34&gt;設定!$B$3,原始資料!AK185=""),"",IF(AND(原始資料!AJ185&lt;&gt;"",原始資料!AK185=原始資料!AJ185),N(AH185)+1,1))</f>
        <v/>
      </c>
      <c r="AJ185" s="6">
        <f>IF(OR(原始資料!$A185="",35&gt;設定!$B$3,原始資料!AL185=""),"",IF(AND(原始資料!AK185&lt;&gt;"",原始資料!AL185=原始資料!AK185),N(AI185)+1,1))</f>
        <v/>
      </c>
      <c r="AK185" s="6">
        <f>IF(OR(原始資料!$A185="",36&gt;設定!$B$3,原始資料!AM185=""),"",IF(AND(原始資料!AL185&lt;&gt;"",原始資料!AM185=原始資料!AL185),N(AJ185)+1,1))</f>
        <v/>
      </c>
      <c r="AL185" s="6">
        <f>IF(OR(原始資料!$A185="",37&gt;設定!$B$3,原始資料!AN185=""),"",IF(AND(原始資料!AM185&lt;&gt;"",原始資料!AN185=原始資料!AM185),N(AK185)+1,1))</f>
        <v/>
      </c>
      <c r="AM185" s="6">
        <f>IF(OR(原始資料!$A185="",38&gt;設定!$B$3,原始資料!AO185=""),"",IF(AND(原始資料!AN185&lt;&gt;"",原始資料!AO185=原始資料!AN185),N(AL185)+1,1))</f>
        <v/>
      </c>
      <c r="AN185" s="6">
        <f>IF(OR(原始資料!$A185="",39&gt;設定!$B$3,原始資料!AP185=""),"",IF(AND(原始資料!AO185&lt;&gt;"",原始資料!AP185=原始資料!AO185),N(AM185)+1,1))</f>
        <v/>
      </c>
      <c r="AO185" s="6">
        <f>IF(OR(原始資料!$A185="",40&gt;設定!$B$3,原始資料!AQ185=""),"",IF(AND(原始資料!AP185&lt;&gt;"",原始資料!AQ185=原始資料!AP185),N(AN185)+1,1))</f>
        <v/>
      </c>
      <c r="AP185" s="6">
        <f>IF(OR(原始資料!$A185="",41&gt;設定!$B$3,原始資料!AR185=""),"",IF(AND(原始資料!AQ185&lt;&gt;"",原始資料!AR185=原始資料!AQ185),N(AO185)+1,1))</f>
        <v/>
      </c>
      <c r="AQ185" s="6">
        <f>IF(OR(原始資料!$A185="",42&gt;設定!$B$3,原始資料!AS185=""),"",IF(AND(原始資料!AR185&lt;&gt;"",原始資料!AS185=原始資料!AR185),N(AP185)+1,1))</f>
        <v/>
      </c>
      <c r="AR185" s="6">
        <f>IF(OR(原始資料!$A185="",43&gt;設定!$B$3,原始資料!AT185=""),"",IF(AND(原始資料!AS185&lt;&gt;"",原始資料!AT185=原始資料!AS185),N(AQ185)+1,1))</f>
        <v/>
      </c>
      <c r="AS185" s="6">
        <f>IF(OR(原始資料!$A185="",44&gt;設定!$B$3,原始資料!AU185=""),"",IF(AND(原始資料!AT185&lt;&gt;"",原始資料!AU185=原始資料!AT185),N(AR185)+1,1))</f>
        <v/>
      </c>
      <c r="AT185" s="6">
        <f>IF(OR(原始資料!$A185="",45&gt;設定!$B$3,原始資料!AV185=""),"",IF(AND(原始資料!AU185&lt;&gt;"",原始資料!AV185=原始資料!AU185),N(AS185)+1,1))</f>
        <v/>
      </c>
      <c r="AU185" s="6">
        <f>IF(OR(原始資料!$A185="",46&gt;設定!$B$3,原始資料!AW185=""),"",IF(AND(原始資料!AV185&lt;&gt;"",原始資料!AW185=原始資料!AV185),N(AT185)+1,1))</f>
        <v/>
      </c>
      <c r="AV185" s="6">
        <f>IF(OR(原始資料!$A185="",47&gt;設定!$B$3,原始資料!AX185=""),"",IF(AND(原始資料!AW185&lt;&gt;"",原始資料!AX185=原始資料!AW185),N(AU185)+1,1))</f>
        <v/>
      </c>
      <c r="AW185" s="6">
        <f>IF(OR(原始資料!$A185="",48&gt;設定!$B$3,原始資料!AY185=""),"",IF(AND(原始資料!AX185&lt;&gt;"",原始資料!AY185=原始資料!AX185),N(AV185)+1,1))</f>
        <v/>
      </c>
      <c r="AX185" s="6">
        <f>IF(OR(原始資料!$A185="",49&gt;設定!$B$3,原始資料!AZ185=""),"",IF(AND(原始資料!AY185&lt;&gt;"",原始資料!AZ185=原始資料!AY185),N(AW185)+1,1))</f>
        <v/>
      </c>
      <c r="AY185" s="6">
        <f>IF(OR(原始資料!$A185="",50&gt;設定!$B$3,原始資料!BA185=""),"",IF(AND(原始資料!AZ185&lt;&gt;"",原始資料!BA185=原始資料!AZ185),N(AX185)+1,1))</f>
        <v/>
      </c>
      <c r="AZ185" s="6">
        <f>IF(OR(原始資料!$A185="",51&gt;設定!$B$3,原始資料!BB185=""),"",IF(AND(原始資料!BA185&lt;&gt;"",原始資料!BB185=原始資料!BA185),N(AY185)+1,1))</f>
        <v/>
      </c>
      <c r="BA185" s="6">
        <f>IF(OR(原始資料!$A185="",52&gt;設定!$B$3,原始資料!BC185=""),"",IF(AND(原始資料!BB185&lt;&gt;"",原始資料!BC185=原始資料!BB185),N(AZ185)+1,1))</f>
        <v/>
      </c>
      <c r="BB185" s="6">
        <f>IF(OR(原始資料!$A185="",53&gt;設定!$B$3,原始資料!BD185=""),"",IF(AND(原始資料!BC185&lt;&gt;"",原始資料!BD185=原始資料!BC185),N(BA185)+1,1))</f>
        <v/>
      </c>
      <c r="BC185" s="6">
        <f>IF(OR(原始資料!$A185="",54&gt;設定!$B$3,原始資料!BE185=""),"",IF(AND(原始資料!BD185&lt;&gt;"",原始資料!BE185=原始資料!BD185),N(BB185)+1,1))</f>
        <v/>
      </c>
      <c r="BD185" s="6">
        <f>IF(OR(原始資料!$A185="",55&gt;設定!$B$3,原始資料!BF185=""),"",IF(AND(原始資料!BE185&lt;&gt;"",原始資料!BF185=原始資料!BE185),N(BC185)+1,1))</f>
        <v/>
      </c>
      <c r="BE185" s="6">
        <f>IF(OR(原始資料!$A185="",56&gt;設定!$B$3,原始資料!BG185=""),"",IF(AND(原始資料!BF185&lt;&gt;"",原始資料!BG185=原始資料!BF185),N(BD185)+1,1))</f>
        <v/>
      </c>
      <c r="BF185" s="6">
        <f>IF(OR(原始資料!$A185="",57&gt;設定!$B$3,原始資料!BH185=""),"",IF(AND(原始資料!BG185&lt;&gt;"",原始資料!BH185=原始資料!BG185),N(BE185)+1,1))</f>
        <v/>
      </c>
      <c r="BG185" s="6">
        <f>IF(OR(原始資料!$A185="",58&gt;設定!$B$3,原始資料!BI185=""),"",IF(AND(原始資料!BH185&lt;&gt;"",原始資料!BI185=原始資料!BH185),N(BF185)+1,1))</f>
        <v/>
      </c>
      <c r="BH185" s="6">
        <f>IF(OR(原始資料!$A185="",59&gt;設定!$B$3,原始資料!BJ185=""),"",IF(AND(原始資料!BI185&lt;&gt;"",原始資料!BJ185=原始資料!BI185),N(BG185)+1,1))</f>
        <v/>
      </c>
      <c r="BI185" s="6">
        <f>IF(OR(原始資料!$A185="",60&gt;設定!$B$3,原始資料!BK185=""),"",IF(AND(原始資料!BJ185&lt;&gt;"",原始資料!BK185=原始資料!BJ185),N(BH185)+1,1))</f>
        <v/>
      </c>
    </row>
    <row r="186">
      <c r="A186" s="6">
        <f>IF(原始資料!$A186="","",原始資料!$A186)</f>
        <v/>
      </c>
      <c r="B186" s="6">
        <f>IF(OR(原始資料!$A186="",1&gt;設定!$B$3,原始資料!D186=""),"",1)</f>
        <v/>
      </c>
      <c r="C186" s="6">
        <f>IF(OR(原始資料!$A186="",2&gt;設定!$B$3,原始資料!E186=""),"",IF(AND(原始資料!D186&lt;&gt;"",原始資料!E186=原始資料!D186),N(B186)+1,1))</f>
        <v/>
      </c>
      <c r="D186" s="6">
        <f>IF(OR(原始資料!$A186="",3&gt;設定!$B$3,原始資料!F186=""),"",IF(AND(原始資料!E186&lt;&gt;"",原始資料!F186=原始資料!E186),N(C186)+1,1))</f>
        <v/>
      </c>
      <c r="E186" s="6">
        <f>IF(OR(原始資料!$A186="",4&gt;設定!$B$3,原始資料!G186=""),"",IF(AND(原始資料!F186&lt;&gt;"",原始資料!G186=原始資料!F186),N(D186)+1,1))</f>
        <v/>
      </c>
      <c r="F186" s="6">
        <f>IF(OR(原始資料!$A186="",5&gt;設定!$B$3,原始資料!H186=""),"",IF(AND(原始資料!G186&lt;&gt;"",原始資料!H186=原始資料!G186),N(E186)+1,1))</f>
        <v/>
      </c>
      <c r="G186" s="6">
        <f>IF(OR(原始資料!$A186="",6&gt;設定!$B$3,原始資料!I186=""),"",IF(AND(原始資料!H186&lt;&gt;"",原始資料!I186=原始資料!H186),N(F186)+1,1))</f>
        <v/>
      </c>
      <c r="H186" s="6">
        <f>IF(OR(原始資料!$A186="",7&gt;設定!$B$3,原始資料!J186=""),"",IF(AND(原始資料!I186&lt;&gt;"",原始資料!J186=原始資料!I186),N(G186)+1,1))</f>
        <v/>
      </c>
      <c r="I186" s="6">
        <f>IF(OR(原始資料!$A186="",8&gt;設定!$B$3,原始資料!K186=""),"",IF(AND(原始資料!J186&lt;&gt;"",原始資料!K186=原始資料!J186),N(H186)+1,1))</f>
        <v/>
      </c>
      <c r="J186" s="6">
        <f>IF(OR(原始資料!$A186="",9&gt;設定!$B$3,原始資料!L186=""),"",IF(AND(原始資料!K186&lt;&gt;"",原始資料!L186=原始資料!K186),N(I186)+1,1))</f>
        <v/>
      </c>
      <c r="K186" s="6">
        <f>IF(OR(原始資料!$A186="",10&gt;設定!$B$3,原始資料!M186=""),"",IF(AND(原始資料!L186&lt;&gt;"",原始資料!M186=原始資料!L186),N(J186)+1,1))</f>
        <v/>
      </c>
      <c r="L186" s="6">
        <f>IF(OR(原始資料!$A186="",11&gt;設定!$B$3,原始資料!N186=""),"",IF(AND(原始資料!M186&lt;&gt;"",原始資料!N186=原始資料!M186),N(K186)+1,1))</f>
        <v/>
      </c>
      <c r="M186" s="6">
        <f>IF(OR(原始資料!$A186="",12&gt;設定!$B$3,原始資料!O186=""),"",IF(AND(原始資料!N186&lt;&gt;"",原始資料!O186=原始資料!N186),N(L186)+1,1))</f>
        <v/>
      </c>
      <c r="N186" s="6">
        <f>IF(OR(原始資料!$A186="",13&gt;設定!$B$3,原始資料!P186=""),"",IF(AND(原始資料!O186&lt;&gt;"",原始資料!P186=原始資料!O186),N(M186)+1,1))</f>
        <v/>
      </c>
      <c r="O186" s="6">
        <f>IF(OR(原始資料!$A186="",14&gt;設定!$B$3,原始資料!Q186=""),"",IF(AND(原始資料!P186&lt;&gt;"",原始資料!Q186=原始資料!P186),N(N186)+1,1))</f>
        <v/>
      </c>
      <c r="P186" s="6">
        <f>IF(OR(原始資料!$A186="",15&gt;設定!$B$3,原始資料!R186=""),"",IF(AND(原始資料!Q186&lt;&gt;"",原始資料!R186=原始資料!Q186),N(O186)+1,1))</f>
        <v/>
      </c>
      <c r="Q186" s="6">
        <f>IF(OR(原始資料!$A186="",16&gt;設定!$B$3,原始資料!S186=""),"",IF(AND(原始資料!R186&lt;&gt;"",原始資料!S186=原始資料!R186),N(P186)+1,1))</f>
        <v/>
      </c>
      <c r="R186" s="6">
        <f>IF(OR(原始資料!$A186="",17&gt;設定!$B$3,原始資料!T186=""),"",IF(AND(原始資料!S186&lt;&gt;"",原始資料!T186=原始資料!S186),N(Q186)+1,1))</f>
        <v/>
      </c>
      <c r="S186" s="6">
        <f>IF(OR(原始資料!$A186="",18&gt;設定!$B$3,原始資料!U186=""),"",IF(AND(原始資料!T186&lt;&gt;"",原始資料!U186=原始資料!T186),N(R186)+1,1))</f>
        <v/>
      </c>
      <c r="T186" s="6">
        <f>IF(OR(原始資料!$A186="",19&gt;設定!$B$3,原始資料!V186=""),"",IF(AND(原始資料!U186&lt;&gt;"",原始資料!V186=原始資料!U186),N(S186)+1,1))</f>
        <v/>
      </c>
      <c r="U186" s="6">
        <f>IF(OR(原始資料!$A186="",20&gt;設定!$B$3,原始資料!W186=""),"",IF(AND(原始資料!V186&lt;&gt;"",原始資料!W186=原始資料!V186),N(T186)+1,1))</f>
        <v/>
      </c>
      <c r="V186" s="6">
        <f>IF(OR(原始資料!$A186="",21&gt;設定!$B$3,原始資料!X186=""),"",IF(AND(原始資料!W186&lt;&gt;"",原始資料!X186=原始資料!W186),N(U186)+1,1))</f>
        <v/>
      </c>
      <c r="W186" s="6">
        <f>IF(OR(原始資料!$A186="",22&gt;設定!$B$3,原始資料!Y186=""),"",IF(AND(原始資料!X186&lt;&gt;"",原始資料!Y186=原始資料!X186),N(V186)+1,1))</f>
        <v/>
      </c>
      <c r="X186" s="6">
        <f>IF(OR(原始資料!$A186="",23&gt;設定!$B$3,原始資料!Z186=""),"",IF(AND(原始資料!Y186&lt;&gt;"",原始資料!Z186=原始資料!Y186),N(W186)+1,1))</f>
        <v/>
      </c>
      <c r="Y186" s="6">
        <f>IF(OR(原始資料!$A186="",24&gt;設定!$B$3,原始資料!AA186=""),"",IF(AND(原始資料!Z186&lt;&gt;"",原始資料!AA186=原始資料!Z186),N(X186)+1,1))</f>
        <v/>
      </c>
      <c r="Z186" s="6">
        <f>IF(OR(原始資料!$A186="",25&gt;設定!$B$3,原始資料!AB186=""),"",IF(AND(原始資料!AA186&lt;&gt;"",原始資料!AB186=原始資料!AA186),N(Y186)+1,1))</f>
        <v/>
      </c>
      <c r="AA186" s="6">
        <f>IF(OR(原始資料!$A186="",26&gt;設定!$B$3,原始資料!AC186=""),"",IF(AND(原始資料!AB186&lt;&gt;"",原始資料!AC186=原始資料!AB186),N(Z186)+1,1))</f>
        <v/>
      </c>
      <c r="AB186" s="6">
        <f>IF(OR(原始資料!$A186="",27&gt;設定!$B$3,原始資料!AD186=""),"",IF(AND(原始資料!AC186&lt;&gt;"",原始資料!AD186=原始資料!AC186),N(AA186)+1,1))</f>
        <v/>
      </c>
      <c r="AC186" s="6">
        <f>IF(OR(原始資料!$A186="",28&gt;設定!$B$3,原始資料!AE186=""),"",IF(AND(原始資料!AD186&lt;&gt;"",原始資料!AE186=原始資料!AD186),N(AB186)+1,1))</f>
        <v/>
      </c>
      <c r="AD186" s="6">
        <f>IF(OR(原始資料!$A186="",29&gt;設定!$B$3,原始資料!AF186=""),"",IF(AND(原始資料!AE186&lt;&gt;"",原始資料!AF186=原始資料!AE186),N(AC186)+1,1))</f>
        <v/>
      </c>
      <c r="AE186" s="6">
        <f>IF(OR(原始資料!$A186="",30&gt;設定!$B$3,原始資料!AG186=""),"",IF(AND(原始資料!AF186&lt;&gt;"",原始資料!AG186=原始資料!AF186),N(AD186)+1,1))</f>
        <v/>
      </c>
      <c r="AF186" s="6">
        <f>IF(OR(原始資料!$A186="",31&gt;設定!$B$3,原始資料!AH186=""),"",IF(AND(原始資料!AG186&lt;&gt;"",原始資料!AH186=原始資料!AG186),N(AE186)+1,1))</f>
        <v/>
      </c>
      <c r="AG186" s="6">
        <f>IF(OR(原始資料!$A186="",32&gt;設定!$B$3,原始資料!AI186=""),"",IF(AND(原始資料!AH186&lt;&gt;"",原始資料!AI186=原始資料!AH186),N(AF186)+1,1))</f>
        <v/>
      </c>
      <c r="AH186" s="6">
        <f>IF(OR(原始資料!$A186="",33&gt;設定!$B$3,原始資料!AJ186=""),"",IF(AND(原始資料!AI186&lt;&gt;"",原始資料!AJ186=原始資料!AI186),N(AG186)+1,1))</f>
        <v/>
      </c>
      <c r="AI186" s="6">
        <f>IF(OR(原始資料!$A186="",34&gt;設定!$B$3,原始資料!AK186=""),"",IF(AND(原始資料!AJ186&lt;&gt;"",原始資料!AK186=原始資料!AJ186),N(AH186)+1,1))</f>
        <v/>
      </c>
      <c r="AJ186" s="6">
        <f>IF(OR(原始資料!$A186="",35&gt;設定!$B$3,原始資料!AL186=""),"",IF(AND(原始資料!AK186&lt;&gt;"",原始資料!AL186=原始資料!AK186),N(AI186)+1,1))</f>
        <v/>
      </c>
      <c r="AK186" s="6">
        <f>IF(OR(原始資料!$A186="",36&gt;設定!$B$3,原始資料!AM186=""),"",IF(AND(原始資料!AL186&lt;&gt;"",原始資料!AM186=原始資料!AL186),N(AJ186)+1,1))</f>
        <v/>
      </c>
      <c r="AL186" s="6">
        <f>IF(OR(原始資料!$A186="",37&gt;設定!$B$3,原始資料!AN186=""),"",IF(AND(原始資料!AM186&lt;&gt;"",原始資料!AN186=原始資料!AM186),N(AK186)+1,1))</f>
        <v/>
      </c>
      <c r="AM186" s="6">
        <f>IF(OR(原始資料!$A186="",38&gt;設定!$B$3,原始資料!AO186=""),"",IF(AND(原始資料!AN186&lt;&gt;"",原始資料!AO186=原始資料!AN186),N(AL186)+1,1))</f>
        <v/>
      </c>
      <c r="AN186" s="6">
        <f>IF(OR(原始資料!$A186="",39&gt;設定!$B$3,原始資料!AP186=""),"",IF(AND(原始資料!AO186&lt;&gt;"",原始資料!AP186=原始資料!AO186),N(AM186)+1,1))</f>
        <v/>
      </c>
      <c r="AO186" s="6">
        <f>IF(OR(原始資料!$A186="",40&gt;設定!$B$3,原始資料!AQ186=""),"",IF(AND(原始資料!AP186&lt;&gt;"",原始資料!AQ186=原始資料!AP186),N(AN186)+1,1))</f>
        <v/>
      </c>
      <c r="AP186" s="6">
        <f>IF(OR(原始資料!$A186="",41&gt;設定!$B$3,原始資料!AR186=""),"",IF(AND(原始資料!AQ186&lt;&gt;"",原始資料!AR186=原始資料!AQ186),N(AO186)+1,1))</f>
        <v/>
      </c>
      <c r="AQ186" s="6">
        <f>IF(OR(原始資料!$A186="",42&gt;設定!$B$3,原始資料!AS186=""),"",IF(AND(原始資料!AR186&lt;&gt;"",原始資料!AS186=原始資料!AR186),N(AP186)+1,1))</f>
        <v/>
      </c>
      <c r="AR186" s="6">
        <f>IF(OR(原始資料!$A186="",43&gt;設定!$B$3,原始資料!AT186=""),"",IF(AND(原始資料!AS186&lt;&gt;"",原始資料!AT186=原始資料!AS186),N(AQ186)+1,1))</f>
        <v/>
      </c>
      <c r="AS186" s="6">
        <f>IF(OR(原始資料!$A186="",44&gt;設定!$B$3,原始資料!AU186=""),"",IF(AND(原始資料!AT186&lt;&gt;"",原始資料!AU186=原始資料!AT186),N(AR186)+1,1))</f>
        <v/>
      </c>
      <c r="AT186" s="6">
        <f>IF(OR(原始資料!$A186="",45&gt;設定!$B$3,原始資料!AV186=""),"",IF(AND(原始資料!AU186&lt;&gt;"",原始資料!AV186=原始資料!AU186),N(AS186)+1,1))</f>
        <v/>
      </c>
      <c r="AU186" s="6">
        <f>IF(OR(原始資料!$A186="",46&gt;設定!$B$3,原始資料!AW186=""),"",IF(AND(原始資料!AV186&lt;&gt;"",原始資料!AW186=原始資料!AV186),N(AT186)+1,1))</f>
        <v/>
      </c>
      <c r="AV186" s="6">
        <f>IF(OR(原始資料!$A186="",47&gt;設定!$B$3,原始資料!AX186=""),"",IF(AND(原始資料!AW186&lt;&gt;"",原始資料!AX186=原始資料!AW186),N(AU186)+1,1))</f>
        <v/>
      </c>
      <c r="AW186" s="6">
        <f>IF(OR(原始資料!$A186="",48&gt;設定!$B$3,原始資料!AY186=""),"",IF(AND(原始資料!AX186&lt;&gt;"",原始資料!AY186=原始資料!AX186),N(AV186)+1,1))</f>
        <v/>
      </c>
      <c r="AX186" s="6">
        <f>IF(OR(原始資料!$A186="",49&gt;設定!$B$3,原始資料!AZ186=""),"",IF(AND(原始資料!AY186&lt;&gt;"",原始資料!AZ186=原始資料!AY186),N(AW186)+1,1))</f>
        <v/>
      </c>
      <c r="AY186" s="6">
        <f>IF(OR(原始資料!$A186="",50&gt;設定!$B$3,原始資料!BA186=""),"",IF(AND(原始資料!AZ186&lt;&gt;"",原始資料!BA186=原始資料!AZ186),N(AX186)+1,1))</f>
        <v/>
      </c>
      <c r="AZ186" s="6">
        <f>IF(OR(原始資料!$A186="",51&gt;設定!$B$3,原始資料!BB186=""),"",IF(AND(原始資料!BA186&lt;&gt;"",原始資料!BB186=原始資料!BA186),N(AY186)+1,1))</f>
        <v/>
      </c>
      <c r="BA186" s="6">
        <f>IF(OR(原始資料!$A186="",52&gt;設定!$B$3,原始資料!BC186=""),"",IF(AND(原始資料!BB186&lt;&gt;"",原始資料!BC186=原始資料!BB186),N(AZ186)+1,1))</f>
        <v/>
      </c>
      <c r="BB186" s="6">
        <f>IF(OR(原始資料!$A186="",53&gt;設定!$B$3,原始資料!BD186=""),"",IF(AND(原始資料!BC186&lt;&gt;"",原始資料!BD186=原始資料!BC186),N(BA186)+1,1))</f>
        <v/>
      </c>
      <c r="BC186" s="6">
        <f>IF(OR(原始資料!$A186="",54&gt;設定!$B$3,原始資料!BE186=""),"",IF(AND(原始資料!BD186&lt;&gt;"",原始資料!BE186=原始資料!BD186),N(BB186)+1,1))</f>
        <v/>
      </c>
      <c r="BD186" s="6">
        <f>IF(OR(原始資料!$A186="",55&gt;設定!$B$3,原始資料!BF186=""),"",IF(AND(原始資料!BE186&lt;&gt;"",原始資料!BF186=原始資料!BE186),N(BC186)+1,1))</f>
        <v/>
      </c>
      <c r="BE186" s="6">
        <f>IF(OR(原始資料!$A186="",56&gt;設定!$B$3,原始資料!BG186=""),"",IF(AND(原始資料!BF186&lt;&gt;"",原始資料!BG186=原始資料!BF186),N(BD186)+1,1))</f>
        <v/>
      </c>
      <c r="BF186" s="6">
        <f>IF(OR(原始資料!$A186="",57&gt;設定!$B$3,原始資料!BH186=""),"",IF(AND(原始資料!BG186&lt;&gt;"",原始資料!BH186=原始資料!BG186),N(BE186)+1,1))</f>
        <v/>
      </c>
      <c r="BG186" s="6">
        <f>IF(OR(原始資料!$A186="",58&gt;設定!$B$3,原始資料!BI186=""),"",IF(AND(原始資料!BH186&lt;&gt;"",原始資料!BI186=原始資料!BH186),N(BF186)+1,1))</f>
        <v/>
      </c>
      <c r="BH186" s="6">
        <f>IF(OR(原始資料!$A186="",59&gt;設定!$B$3,原始資料!BJ186=""),"",IF(AND(原始資料!BI186&lt;&gt;"",原始資料!BJ186=原始資料!BI186),N(BG186)+1,1))</f>
        <v/>
      </c>
      <c r="BI186" s="6">
        <f>IF(OR(原始資料!$A186="",60&gt;設定!$B$3,原始資料!BK186=""),"",IF(AND(原始資料!BJ186&lt;&gt;"",原始資料!BK186=原始資料!BJ186),N(BH186)+1,1))</f>
        <v/>
      </c>
    </row>
    <row r="187">
      <c r="A187" s="6">
        <f>IF(原始資料!$A187="","",原始資料!$A187)</f>
        <v/>
      </c>
      <c r="B187" s="6">
        <f>IF(OR(原始資料!$A187="",1&gt;設定!$B$3,原始資料!D187=""),"",1)</f>
        <v/>
      </c>
      <c r="C187" s="6">
        <f>IF(OR(原始資料!$A187="",2&gt;設定!$B$3,原始資料!E187=""),"",IF(AND(原始資料!D187&lt;&gt;"",原始資料!E187=原始資料!D187),N(B187)+1,1))</f>
        <v/>
      </c>
      <c r="D187" s="6">
        <f>IF(OR(原始資料!$A187="",3&gt;設定!$B$3,原始資料!F187=""),"",IF(AND(原始資料!E187&lt;&gt;"",原始資料!F187=原始資料!E187),N(C187)+1,1))</f>
        <v/>
      </c>
      <c r="E187" s="6">
        <f>IF(OR(原始資料!$A187="",4&gt;設定!$B$3,原始資料!G187=""),"",IF(AND(原始資料!F187&lt;&gt;"",原始資料!G187=原始資料!F187),N(D187)+1,1))</f>
        <v/>
      </c>
      <c r="F187" s="6">
        <f>IF(OR(原始資料!$A187="",5&gt;設定!$B$3,原始資料!H187=""),"",IF(AND(原始資料!G187&lt;&gt;"",原始資料!H187=原始資料!G187),N(E187)+1,1))</f>
        <v/>
      </c>
      <c r="G187" s="6">
        <f>IF(OR(原始資料!$A187="",6&gt;設定!$B$3,原始資料!I187=""),"",IF(AND(原始資料!H187&lt;&gt;"",原始資料!I187=原始資料!H187),N(F187)+1,1))</f>
        <v/>
      </c>
      <c r="H187" s="6">
        <f>IF(OR(原始資料!$A187="",7&gt;設定!$B$3,原始資料!J187=""),"",IF(AND(原始資料!I187&lt;&gt;"",原始資料!J187=原始資料!I187),N(G187)+1,1))</f>
        <v/>
      </c>
      <c r="I187" s="6">
        <f>IF(OR(原始資料!$A187="",8&gt;設定!$B$3,原始資料!K187=""),"",IF(AND(原始資料!J187&lt;&gt;"",原始資料!K187=原始資料!J187),N(H187)+1,1))</f>
        <v/>
      </c>
      <c r="J187" s="6">
        <f>IF(OR(原始資料!$A187="",9&gt;設定!$B$3,原始資料!L187=""),"",IF(AND(原始資料!K187&lt;&gt;"",原始資料!L187=原始資料!K187),N(I187)+1,1))</f>
        <v/>
      </c>
      <c r="K187" s="6">
        <f>IF(OR(原始資料!$A187="",10&gt;設定!$B$3,原始資料!M187=""),"",IF(AND(原始資料!L187&lt;&gt;"",原始資料!M187=原始資料!L187),N(J187)+1,1))</f>
        <v/>
      </c>
      <c r="L187" s="6">
        <f>IF(OR(原始資料!$A187="",11&gt;設定!$B$3,原始資料!N187=""),"",IF(AND(原始資料!M187&lt;&gt;"",原始資料!N187=原始資料!M187),N(K187)+1,1))</f>
        <v/>
      </c>
      <c r="M187" s="6">
        <f>IF(OR(原始資料!$A187="",12&gt;設定!$B$3,原始資料!O187=""),"",IF(AND(原始資料!N187&lt;&gt;"",原始資料!O187=原始資料!N187),N(L187)+1,1))</f>
        <v/>
      </c>
      <c r="N187" s="6">
        <f>IF(OR(原始資料!$A187="",13&gt;設定!$B$3,原始資料!P187=""),"",IF(AND(原始資料!O187&lt;&gt;"",原始資料!P187=原始資料!O187),N(M187)+1,1))</f>
        <v/>
      </c>
      <c r="O187" s="6">
        <f>IF(OR(原始資料!$A187="",14&gt;設定!$B$3,原始資料!Q187=""),"",IF(AND(原始資料!P187&lt;&gt;"",原始資料!Q187=原始資料!P187),N(N187)+1,1))</f>
        <v/>
      </c>
      <c r="P187" s="6">
        <f>IF(OR(原始資料!$A187="",15&gt;設定!$B$3,原始資料!R187=""),"",IF(AND(原始資料!Q187&lt;&gt;"",原始資料!R187=原始資料!Q187),N(O187)+1,1))</f>
        <v/>
      </c>
      <c r="Q187" s="6">
        <f>IF(OR(原始資料!$A187="",16&gt;設定!$B$3,原始資料!S187=""),"",IF(AND(原始資料!R187&lt;&gt;"",原始資料!S187=原始資料!R187),N(P187)+1,1))</f>
        <v/>
      </c>
      <c r="R187" s="6">
        <f>IF(OR(原始資料!$A187="",17&gt;設定!$B$3,原始資料!T187=""),"",IF(AND(原始資料!S187&lt;&gt;"",原始資料!T187=原始資料!S187),N(Q187)+1,1))</f>
        <v/>
      </c>
      <c r="S187" s="6">
        <f>IF(OR(原始資料!$A187="",18&gt;設定!$B$3,原始資料!U187=""),"",IF(AND(原始資料!T187&lt;&gt;"",原始資料!U187=原始資料!T187),N(R187)+1,1))</f>
        <v/>
      </c>
      <c r="T187" s="6">
        <f>IF(OR(原始資料!$A187="",19&gt;設定!$B$3,原始資料!V187=""),"",IF(AND(原始資料!U187&lt;&gt;"",原始資料!V187=原始資料!U187),N(S187)+1,1))</f>
        <v/>
      </c>
      <c r="U187" s="6">
        <f>IF(OR(原始資料!$A187="",20&gt;設定!$B$3,原始資料!W187=""),"",IF(AND(原始資料!V187&lt;&gt;"",原始資料!W187=原始資料!V187),N(T187)+1,1))</f>
        <v/>
      </c>
      <c r="V187" s="6">
        <f>IF(OR(原始資料!$A187="",21&gt;設定!$B$3,原始資料!X187=""),"",IF(AND(原始資料!W187&lt;&gt;"",原始資料!X187=原始資料!W187),N(U187)+1,1))</f>
        <v/>
      </c>
      <c r="W187" s="6">
        <f>IF(OR(原始資料!$A187="",22&gt;設定!$B$3,原始資料!Y187=""),"",IF(AND(原始資料!X187&lt;&gt;"",原始資料!Y187=原始資料!X187),N(V187)+1,1))</f>
        <v/>
      </c>
      <c r="X187" s="6">
        <f>IF(OR(原始資料!$A187="",23&gt;設定!$B$3,原始資料!Z187=""),"",IF(AND(原始資料!Y187&lt;&gt;"",原始資料!Z187=原始資料!Y187),N(W187)+1,1))</f>
        <v/>
      </c>
      <c r="Y187" s="6">
        <f>IF(OR(原始資料!$A187="",24&gt;設定!$B$3,原始資料!AA187=""),"",IF(AND(原始資料!Z187&lt;&gt;"",原始資料!AA187=原始資料!Z187),N(X187)+1,1))</f>
        <v/>
      </c>
      <c r="Z187" s="6">
        <f>IF(OR(原始資料!$A187="",25&gt;設定!$B$3,原始資料!AB187=""),"",IF(AND(原始資料!AA187&lt;&gt;"",原始資料!AB187=原始資料!AA187),N(Y187)+1,1))</f>
        <v/>
      </c>
      <c r="AA187" s="6">
        <f>IF(OR(原始資料!$A187="",26&gt;設定!$B$3,原始資料!AC187=""),"",IF(AND(原始資料!AB187&lt;&gt;"",原始資料!AC187=原始資料!AB187),N(Z187)+1,1))</f>
        <v/>
      </c>
      <c r="AB187" s="6">
        <f>IF(OR(原始資料!$A187="",27&gt;設定!$B$3,原始資料!AD187=""),"",IF(AND(原始資料!AC187&lt;&gt;"",原始資料!AD187=原始資料!AC187),N(AA187)+1,1))</f>
        <v/>
      </c>
      <c r="AC187" s="6">
        <f>IF(OR(原始資料!$A187="",28&gt;設定!$B$3,原始資料!AE187=""),"",IF(AND(原始資料!AD187&lt;&gt;"",原始資料!AE187=原始資料!AD187),N(AB187)+1,1))</f>
        <v/>
      </c>
      <c r="AD187" s="6">
        <f>IF(OR(原始資料!$A187="",29&gt;設定!$B$3,原始資料!AF187=""),"",IF(AND(原始資料!AE187&lt;&gt;"",原始資料!AF187=原始資料!AE187),N(AC187)+1,1))</f>
        <v/>
      </c>
      <c r="AE187" s="6">
        <f>IF(OR(原始資料!$A187="",30&gt;設定!$B$3,原始資料!AG187=""),"",IF(AND(原始資料!AF187&lt;&gt;"",原始資料!AG187=原始資料!AF187),N(AD187)+1,1))</f>
        <v/>
      </c>
      <c r="AF187" s="6">
        <f>IF(OR(原始資料!$A187="",31&gt;設定!$B$3,原始資料!AH187=""),"",IF(AND(原始資料!AG187&lt;&gt;"",原始資料!AH187=原始資料!AG187),N(AE187)+1,1))</f>
        <v/>
      </c>
      <c r="AG187" s="6">
        <f>IF(OR(原始資料!$A187="",32&gt;設定!$B$3,原始資料!AI187=""),"",IF(AND(原始資料!AH187&lt;&gt;"",原始資料!AI187=原始資料!AH187),N(AF187)+1,1))</f>
        <v/>
      </c>
      <c r="AH187" s="6">
        <f>IF(OR(原始資料!$A187="",33&gt;設定!$B$3,原始資料!AJ187=""),"",IF(AND(原始資料!AI187&lt;&gt;"",原始資料!AJ187=原始資料!AI187),N(AG187)+1,1))</f>
        <v/>
      </c>
      <c r="AI187" s="6">
        <f>IF(OR(原始資料!$A187="",34&gt;設定!$B$3,原始資料!AK187=""),"",IF(AND(原始資料!AJ187&lt;&gt;"",原始資料!AK187=原始資料!AJ187),N(AH187)+1,1))</f>
        <v/>
      </c>
      <c r="AJ187" s="6">
        <f>IF(OR(原始資料!$A187="",35&gt;設定!$B$3,原始資料!AL187=""),"",IF(AND(原始資料!AK187&lt;&gt;"",原始資料!AL187=原始資料!AK187),N(AI187)+1,1))</f>
        <v/>
      </c>
      <c r="AK187" s="6">
        <f>IF(OR(原始資料!$A187="",36&gt;設定!$B$3,原始資料!AM187=""),"",IF(AND(原始資料!AL187&lt;&gt;"",原始資料!AM187=原始資料!AL187),N(AJ187)+1,1))</f>
        <v/>
      </c>
      <c r="AL187" s="6">
        <f>IF(OR(原始資料!$A187="",37&gt;設定!$B$3,原始資料!AN187=""),"",IF(AND(原始資料!AM187&lt;&gt;"",原始資料!AN187=原始資料!AM187),N(AK187)+1,1))</f>
        <v/>
      </c>
      <c r="AM187" s="6">
        <f>IF(OR(原始資料!$A187="",38&gt;設定!$B$3,原始資料!AO187=""),"",IF(AND(原始資料!AN187&lt;&gt;"",原始資料!AO187=原始資料!AN187),N(AL187)+1,1))</f>
        <v/>
      </c>
      <c r="AN187" s="6">
        <f>IF(OR(原始資料!$A187="",39&gt;設定!$B$3,原始資料!AP187=""),"",IF(AND(原始資料!AO187&lt;&gt;"",原始資料!AP187=原始資料!AO187),N(AM187)+1,1))</f>
        <v/>
      </c>
      <c r="AO187" s="6">
        <f>IF(OR(原始資料!$A187="",40&gt;設定!$B$3,原始資料!AQ187=""),"",IF(AND(原始資料!AP187&lt;&gt;"",原始資料!AQ187=原始資料!AP187),N(AN187)+1,1))</f>
        <v/>
      </c>
      <c r="AP187" s="6">
        <f>IF(OR(原始資料!$A187="",41&gt;設定!$B$3,原始資料!AR187=""),"",IF(AND(原始資料!AQ187&lt;&gt;"",原始資料!AR187=原始資料!AQ187),N(AO187)+1,1))</f>
        <v/>
      </c>
      <c r="AQ187" s="6">
        <f>IF(OR(原始資料!$A187="",42&gt;設定!$B$3,原始資料!AS187=""),"",IF(AND(原始資料!AR187&lt;&gt;"",原始資料!AS187=原始資料!AR187),N(AP187)+1,1))</f>
        <v/>
      </c>
      <c r="AR187" s="6">
        <f>IF(OR(原始資料!$A187="",43&gt;設定!$B$3,原始資料!AT187=""),"",IF(AND(原始資料!AS187&lt;&gt;"",原始資料!AT187=原始資料!AS187),N(AQ187)+1,1))</f>
        <v/>
      </c>
      <c r="AS187" s="6">
        <f>IF(OR(原始資料!$A187="",44&gt;設定!$B$3,原始資料!AU187=""),"",IF(AND(原始資料!AT187&lt;&gt;"",原始資料!AU187=原始資料!AT187),N(AR187)+1,1))</f>
        <v/>
      </c>
      <c r="AT187" s="6">
        <f>IF(OR(原始資料!$A187="",45&gt;設定!$B$3,原始資料!AV187=""),"",IF(AND(原始資料!AU187&lt;&gt;"",原始資料!AV187=原始資料!AU187),N(AS187)+1,1))</f>
        <v/>
      </c>
      <c r="AU187" s="6">
        <f>IF(OR(原始資料!$A187="",46&gt;設定!$B$3,原始資料!AW187=""),"",IF(AND(原始資料!AV187&lt;&gt;"",原始資料!AW187=原始資料!AV187),N(AT187)+1,1))</f>
        <v/>
      </c>
      <c r="AV187" s="6">
        <f>IF(OR(原始資料!$A187="",47&gt;設定!$B$3,原始資料!AX187=""),"",IF(AND(原始資料!AW187&lt;&gt;"",原始資料!AX187=原始資料!AW187),N(AU187)+1,1))</f>
        <v/>
      </c>
      <c r="AW187" s="6">
        <f>IF(OR(原始資料!$A187="",48&gt;設定!$B$3,原始資料!AY187=""),"",IF(AND(原始資料!AX187&lt;&gt;"",原始資料!AY187=原始資料!AX187),N(AV187)+1,1))</f>
        <v/>
      </c>
      <c r="AX187" s="6">
        <f>IF(OR(原始資料!$A187="",49&gt;設定!$B$3,原始資料!AZ187=""),"",IF(AND(原始資料!AY187&lt;&gt;"",原始資料!AZ187=原始資料!AY187),N(AW187)+1,1))</f>
        <v/>
      </c>
      <c r="AY187" s="6">
        <f>IF(OR(原始資料!$A187="",50&gt;設定!$B$3,原始資料!BA187=""),"",IF(AND(原始資料!AZ187&lt;&gt;"",原始資料!BA187=原始資料!AZ187),N(AX187)+1,1))</f>
        <v/>
      </c>
      <c r="AZ187" s="6">
        <f>IF(OR(原始資料!$A187="",51&gt;設定!$B$3,原始資料!BB187=""),"",IF(AND(原始資料!BA187&lt;&gt;"",原始資料!BB187=原始資料!BA187),N(AY187)+1,1))</f>
        <v/>
      </c>
      <c r="BA187" s="6">
        <f>IF(OR(原始資料!$A187="",52&gt;設定!$B$3,原始資料!BC187=""),"",IF(AND(原始資料!BB187&lt;&gt;"",原始資料!BC187=原始資料!BB187),N(AZ187)+1,1))</f>
        <v/>
      </c>
      <c r="BB187" s="6">
        <f>IF(OR(原始資料!$A187="",53&gt;設定!$B$3,原始資料!BD187=""),"",IF(AND(原始資料!BC187&lt;&gt;"",原始資料!BD187=原始資料!BC187),N(BA187)+1,1))</f>
        <v/>
      </c>
      <c r="BC187" s="6">
        <f>IF(OR(原始資料!$A187="",54&gt;設定!$B$3,原始資料!BE187=""),"",IF(AND(原始資料!BD187&lt;&gt;"",原始資料!BE187=原始資料!BD187),N(BB187)+1,1))</f>
        <v/>
      </c>
      <c r="BD187" s="6">
        <f>IF(OR(原始資料!$A187="",55&gt;設定!$B$3,原始資料!BF187=""),"",IF(AND(原始資料!BE187&lt;&gt;"",原始資料!BF187=原始資料!BE187),N(BC187)+1,1))</f>
        <v/>
      </c>
      <c r="BE187" s="6">
        <f>IF(OR(原始資料!$A187="",56&gt;設定!$B$3,原始資料!BG187=""),"",IF(AND(原始資料!BF187&lt;&gt;"",原始資料!BG187=原始資料!BF187),N(BD187)+1,1))</f>
        <v/>
      </c>
      <c r="BF187" s="6">
        <f>IF(OR(原始資料!$A187="",57&gt;設定!$B$3,原始資料!BH187=""),"",IF(AND(原始資料!BG187&lt;&gt;"",原始資料!BH187=原始資料!BG187),N(BE187)+1,1))</f>
        <v/>
      </c>
      <c r="BG187" s="6">
        <f>IF(OR(原始資料!$A187="",58&gt;設定!$B$3,原始資料!BI187=""),"",IF(AND(原始資料!BH187&lt;&gt;"",原始資料!BI187=原始資料!BH187),N(BF187)+1,1))</f>
        <v/>
      </c>
      <c r="BH187" s="6">
        <f>IF(OR(原始資料!$A187="",59&gt;設定!$B$3,原始資料!BJ187=""),"",IF(AND(原始資料!BI187&lt;&gt;"",原始資料!BJ187=原始資料!BI187),N(BG187)+1,1))</f>
        <v/>
      </c>
      <c r="BI187" s="6">
        <f>IF(OR(原始資料!$A187="",60&gt;設定!$B$3,原始資料!BK187=""),"",IF(AND(原始資料!BJ187&lt;&gt;"",原始資料!BK187=原始資料!BJ187),N(BH187)+1,1))</f>
        <v/>
      </c>
    </row>
    <row r="188">
      <c r="A188" s="6">
        <f>IF(原始資料!$A188="","",原始資料!$A188)</f>
        <v/>
      </c>
      <c r="B188" s="6">
        <f>IF(OR(原始資料!$A188="",1&gt;設定!$B$3,原始資料!D188=""),"",1)</f>
        <v/>
      </c>
      <c r="C188" s="6">
        <f>IF(OR(原始資料!$A188="",2&gt;設定!$B$3,原始資料!E188=""),"",IF(AND(原始資料!D188&lt;&gt;"",原始資料!E188=原始資料!D188),N(B188)+1,1))</f>
        <v/>
      </c>
      <c r="D188" s="6">
        <f>IF(OR(原始資料!$A188="",3&gt;設定!$B$3,原始資料!F188=""),"",IF(AND(原始資料!E188&lt;&gt;"",原始資料!F188=原始資料!E188),N(C188)+1,1))</f>
        <v/>
      </c>
      <c r="E188" s="6">
        <f>IF(OR(原始資料!$A188="",4&gt;設定!$B$3,原始資料!G188=""),"",IF(AND(原始資料!F188&lt;&gt;"",原始資料!G188=原始資料!F188),N(D188)+1,1))</f>
        <v/>
      </c>
      <c r="F188" s="6">
        <f>IF(OR(原始資料!$A188="",5&gt;設定!$B$3,原始資料!H188=""),"",IF(AND(原始資料!G188&lt;&gt;"",原始資料!H188=原始資料!G188),N(E188)+1,1))</f>
        <v/>
      </c>
      <c r="G188" s="6">
        <f>IF(OR(原始資料!$A188="",6&gt;設定!$B$3,原始資料!I188=""),"",IF(AND(原始資料!H188&lt;&gt;"",原始資料!I188=原始資料!H188),N(F188)+1,1))</f>
        <v/>
      </c>
      <c r="H188" s="6">
        <f>IF(OR(原始資料!$A188="",7&gt;設定!$B$3,原始資料!J188=""),"",IF(AND(原始資料!I188&lt;&gt;"",原始資料!J188=原始資料!I188),N(G188)+1,1))</f>
        <v/>
      </c>
      <c r="I188" s="6">
        <f>IF(OR(原始資料!$A188="",8&gt;設定!$B$3,原始資料!K188=""),"",IF(AND(原始資料!J188&lt;&gt;"",原始資料!K188=原始資料!J188),N(H188)+1,1))</f>
        <v/>
      </c>
      <c r="J188" s="6">
        <f>IF(OR(原始資料!$A188="",9&gt;設定!$B$3,原始資料!L188=""),"",IF(AND(原始資料!K188&lt;&gt;"",原始資料!L188=原始資料!K188),N(I188)+1,1))</f>
        <v/>
      </c>
      <c r="K188" s="6">
        <f>IF(OR(原始資料!$A188="",10&gt;設定!$B$3,原始資料!M188=""),"",IF(AND(原始資料!L188&lt;&gt;"",原始資料!M188=原始資料!L188),N(J188)+1,1))</f>
        <v/>
      </c>
      <c r="L188" s="6">
        <f>IF(OR(原始資料!$A188="",11&gt;設定!$B$3,原始資料!N188=""),"",IF(AND(原始資料!M188&lt;&gt;"",原始資料!N188=原始資料!M188),N(K188)+1,1))</f>
        <v/>
      </c>
      <c r="M188" s="6">
        <f>IF(OR(原始資料!$A188="",12&gt;設定!$B$3,原始資料!O188=""),"",IF(AND(原始資料!N188&lt;&gt;"",原始資料!O188=原始資料!N188),N(L188)+1,1))</f>
        <v/>
      </c>
      <c r="N188" s="6">
        <f>IF(OR(原始資料!$A188="",13&gt;設定!$B$3,原始資料!P188=""),"",IF(AND(原始資料!O188&lt;&gt;"",原始資料!P188=原始資料!O188),N(M188)+1,1))</f>
        <v/>
      </c>
      <c r="O188" s="6">
        <f>IF(OR(原始資料!$A188="",14&gt;設定!$B$3,原始資料!Q188=""),"",IF(AND(原始資料!P188&lt;&gt;"",原始資料!Q188=原始資料!P188),N(N188)+1,1))</f>
        <v/>
      </c>
      <c r="P188" s="6">
        <f>IF(OR(原始資料!$A188="",15&gt;設定!$B$3,原始資料!R188=""),"",IF(AND(原始資料!Q188&lt;&gt;"",原始資料!R188=原始資料!Q188),N(O188)+1,1))</f>
        <v/>
      </c>
      <c r="Q188" s="6">
        <f>IF(OR(原始資料!$A188="",16&gt;設定!$B$3,原始資料!S188=""),"",IF(AND(原始資料!R188&lt;&gt;"",原始資料!S188=原始資料!R188),N(P188)+1,1))</f>
        <v/>
      </c>
      <c r="R188" s="6">
        <f>IF(OR(原始資料!$A188="",17&gt;設定!$B$3,原始資料!T188=""),"",IF(AND(原始資料!S188&lt;&gt;"",原始資料!T188=原始資料!S188),N(Q188)+1,1))</f>
        <v/>
      </c>
      <c r="S188" s="6">
        <f>IF(OR(原始資料!$A188="",18&gt;設定!$B$3,原始資料!U188=""),"",IF(AND(原始資料!T188&lt;&gt;"",原始資料!U188=原始資料!T188),N(R188)+1,1))</f>
        <v/>
      </c>
      <c r="T188" s="6">
        <f>IF(OR(原始資料!$A188="",19&gt;設定!$B$3,原始資料!V188=""),"",IF(AND(原始資料!U188&lt;&gt;"",原始資料!V188=原始資料!U188),N(S188)+1,1))</f>
        <v/>
      </c>
      <c r="U188" s="6">
        <f>IF(OR(原始資料!$A188="",20&gt;設定!$B$3,原始資料!W188=""),"",IF(AND(原始資料!V188&lt;&gt;"",原始資料!W188=原始資料!V188),N(T188)+1,1))</f>
        <v/>
      </c>
      <c r="V188" s="6">
        <f>IF(OR(原始資料!$A188="",21&gt;設定!$B$3,原始資料!X188=""),"",IF(AND(原始資料!W188&lt;&gt;"",原始資料!X188=原始資料!W188),N(U188)+1,1))</f>
        <v/>
      </c>
      <c r="W188" s="6">
        <f>IF(OR(原始資料!$A188="",22&gt;設定!$B$3,原始資料!Y188=""),"",IF(AND(原始資料!X188&lt;&gt;"",原始資料!Y188=原始資料!X188),N(V188)+1,1))</f>
        <v/>
      </c>
      <c r="X188" s="6">
        <f>IF(OR(原始資料!$A188="",23&gt;設定!$B$3,原始資料!Z188=""),"",IF(AND(原始資料!Y188&lt;&gt;"",原始資料!Z188=原始資料!Y188),N(W188)+1,1))</f>
        <v/>
      </c>
      <c r="Y188" s="6">
        <f>IF(OR(原始資料!$A188="",24&gt;設定!$B$3,原始資料!AA188=""),"",IF(AND(原始資料!Z188&lt;&gt;"",原始資料!AA188=原始資料!Z188),N(X188)+1,1))</f>
        <v/>
      </c>
      <c r="Z188" s="6">
        <f>IF(OR(原始資料!$A188="",25&gt;設定!$B$3,原始資料!AB188=""),"",IF(AND(原始資料!AA188&lt;&gt;"",原始資料!AB188=原始資料!AA188),N(Y188)+1,1))</f>
        <v/>
      </c>
      <c r="AA188" s="6">
        <f>IF(OR(原始資料!$A188="",26&gt;設定!$B$3,原始資料!AC188=""),"",IF(AND(原始資料!AB188&lt;&gt;"",原始資料!AC188=原始資料!AB188),N(Z188)+1,1))</f>
        <v/>
      </c>
      <c r="AB188" s="6">
        <f>IF(OR(原始資料!$A188="",27&gt;設定!$B$3,原始資料!AD188=""),"",IF(AND(原始資料!AC188&lt;&gt;"",原始資料!AD188=原始資料!AC188),N(AA188)+1,1))</f>
        <v/>
      </c>
      <c r="AC188" s="6">
        <f>IF(OR(原始資料!$A188="",28&gt;設定!$B$3,原始資料!AE188=""),"",IF(AND(原始資料!AD188&lt;&gt;"",原始資料!AE188=原始資料!AD188),N(AB188)+1,1))</f>
        <v/>
      </c>
      <c r="AD188" s="6">
        <f>IF(OR(原始資料!$A188="",29&gt;設定!$B$3,原始資料!AF188=""),"",IF(AND(原始資料!AE188&lt;&gt;"",原始資料!AF188=原始資料!AE188),N(AC188)+1,1))</f>
        <v/>
      </c>
      <c r="AE188" s="6">
        <f>IF(OR(原始資料!$A188="",30&gt;設定!$B$3,原始資料!AG188=""),"",IF(AND(原始資料!AF188&lt;&gt;"",原始資料!AG188=原始資料!AF188),N(AD188)+1,1))</f>
        <v/>
      </c>
      <c r="AF188" s="6">
        <f>IF(OR(原始資料!$A188="",31&gt;設定!$B$3,原始資料!AH188=""),"",IF(AND(原始資料!AG188&lt;&gt;"",原始資料!AH188=原始資料!AG188),N(AE188)+1,1))</f>
        <v/>
      </c>
      <c r="AG188" s="6">
        <f>IF(OR(原始資料!$A188="",32&gt;設定!$B$3,原始資料!AI188=""),"",IF(AND(原始資料!AH188&lt;&gt;"",原始資料!AI188=原始資料!AH188),N(AF188)+1,1))</f>
        <v/>
      </c>
      <c r="AH188" s="6">
        <f>IF(OR(原始資料!$A188="",33&gt;設定!$B$3,原始資料!AJ188=""),"",IF(AND(原始資料!AI188&lt;&gt;"",原始資料!AJ188=原始資料!AI188),N(AG188)+1,1))</f>
        <v/>
      </c>
      <c r="AI188" s="6">
        <f>IF(OR(原始資料!$A188="",34&gt;設定!$B$3,原始資料!AK188=""),"",IF(AND(原始資料!AJ188&lt;&gt;"",原始資料!AK188=原始資料!AJ188),N(AH188)+1,1))</f>
        <v/>
      </c>
      <c r="AJ188" s="6">
        <f>IF(OR(原始資料!$A188="",35&gt;設定!$B$3,原始資料!AL188=""),"",IF(AND(原始資料!AK188&lt;&gt;"",原始資料!AL188=原始資料!AK188),N(AI188)+1,1))</f>
        <v/>
      </c>
      <c r="AK188" s="6">
        <f>IF(OR(原始資料!$A188="",36&gt;設定!$B$3,原始資料!AM188=""),"",IF(AND(原始資料!AL188&lt;&gt;"",原始資料!AM188=原始資料!AL188),N(AJ188)+1,1))</f>
        <v/>
      </c>
      <c r="AL188" s="6">
        <f>IF(OR(原始資料!$A188="",37&gt;設定!$B$3,原始資料!AN188=""),"",IF(AND(原始資料!AM188&lt;&gt;"",原始資料!AN188=原始資料!AM188),N(AK188)+1,1))</f>
        <v/>
      </c>
      <c r="AM188" s="6">
        <f>IF(OR(原始資料!$A188="",38&gt;設定!$B$3,原始資料!AO188=""),"",IF(AND(原始資料!AN188&lt;&gt;"",原始資料!AO188=原始資料!AN188),N(AL188)+1,1))</f>
        <v/>
      </c>
      <c r="AN188" s="6">
        <f>IF(OR(原始資料!$A188="",39&gt;設定!$B$3,原始資料!AP188=""),"",IF(AND(原始資料!AO188&lt;&gt;"",原始資料!AP188=原始資料!AO188),N(AM188)+1,1))</f>
        <v/>
      </c>
      <c r="AO188" s="6">
        <f>IF(OR(原始資料!$A188="",40&gt;設定!$B$3,原始資料!AQ188=""),"",IF(AND(原始資料!AP188&lt;&gt;"",原始資料!AQ188=原始資料!AP188),N(AN188)+1,1))</f>
        <v/>
      </c>
      <c r="AP188" s="6">
        <f>IF(OR(原始資料!$A188="",41&gt;設定!$B$3,原始資料!AR188=""),"",IF(AND(原始資料!AQ188&lt;&gt;"",原始資料!AR188=原始資料!AQ188),N(AO188)+1,1))</f>
        <v/>
      </c>
      <c r="AQ188" s="6">
        <f>IF(OR(原始資料!$A188="",42&gt;設定!$B$3,原始資料!AS188=""),"",IF(AND(原始資料!AR188&lt;&gt;"",原始資料!AS188=原始資料!AR188),N(AP188)+1,1))</f>
        <v/>
      </c>
      <c r="AR188" s="6">
        <f>IF(OR(原始資料!$A188="",43&gt;設定!$B$3,原始資料!AT188=""),"",IF(AND(原始資料!AS188&lt;&gt;"",原始資料!AT188=原始資料!AS188),N(AQ188)+1,1))</f>
        <v/>
      </c>
      <c r="AS188" s="6">
        <f>IF(OR(原始資料!$A188="",44&gt;設定!$B$3,原始資料!AU188=""),"",IF(AND(原始資料!AT188&lt;&gt;"",原始資料!AU188=原始資料!AT188),N(AR188)+1,1))</f>
        <v/>
      </c>
      <c r="AT188" s="6">
        <f>IF(OR(原始資料!$A188="",45&gt;設定!$B$3,原始資料!AV188=""),"",IF(AND(原始資料!AU188&lt;&gt;"",原始資料!AV188=原始資料!AU188),N(AS188)+1,1))</f>
        <v/>
      </c>
      <c r="AU188" s="6">
        <f>IF(OR(原始資料!$A188="",46&gt;設定!$B$3,原始資料!AW188=""),"",IF(AND(原始資料!AV188&lt;&gt;"",原始資料!AW188=原始資料!AV188),N(AT188)+1,1))</f>
        <v/>
      </c>
      <c r="AV188" s="6">
        <f>IF(OR(原始資料!$A188="",47&gt;設定!$B$3,原始資料!AX188=""),"",IF(AND(原始資料!AW188&lt;&gt;"",原始資料!AX188=原始資料!AW188),N(AU188)+1,1))</f>
        <v/>
      </c>
      <c r="AW188" s="6">
        <f>IF(OR(原始資料!$A188="",48&gt;設定!$B$3,原始資料!AY188=""),"",IF(AND(原始資料!AX188&lt;&gt;"",原始資料!AY188=原始資料!AX188),N(AV188)+1,1))</f>
        <v/>
      </c>
      <c r="AX188" s="6">
        <f>IF(OR(原始資料!$A188="",49&gt;設定!$B$3,原始資料!AZ188=""),"",IF(AND(原始資料!AY188&lt;&gt;"",原始資料!AZ188=原始資料!AY188),N(AW188)+1,1))</f>
        <v/>
      </c>
      <c r="AY188" s="6">
        <f>IF(OR(原始資料!$A188="",50&gt;設定!$B$3,原始資料!BA188=""),"",IF(AND(原始資料!AZ188&lt;&gt;"",原始資料!BA188=原始資料!AZ188),N(AX188)+1,1))</f>
        <v/>
      </c>
      <c r="AZ188" s="6">
        <f>IF(OR(原始資料!$A188="",51&gt;設定!$B$3,原始資料!BB188=""),"",IF(AND(原始資料!BA188&lt;&gt;"",原始資料!BB188=原始資料!BA188),N(AY188)+1,1))</f>
        <v/>
      </c>
      <c r="BA188" s="6">
        <f>IF(OR(原始資料!$A188="",52&gt;設定!$B$3,原始資料!BC188=""),"",IF(AND(原始資料!BB188&lt;&gt;"",原始資料!BC188=原始資料!BB188),N(AZ188)+1,1))</f>
        <v/>
      </c>
      <c r="BB188" s="6">
        <f>IF(OR(原始資料!$A188="",53&gt;設定!$B$3,原始資料!BD188=""),"",IF(AND(原始資料!BC188&lt;&gt;"",原始資料!BD188=原始資料!BC188),N(BA188)+1,1))</f>
        <v/>
      </c>
      <c r="BC188" s="6">
        <f>IF(OR(原始資料!$A188="",54&gt;設定!$B$3,原始資料!BE188=""),"",IF(AND(原始資料!BD188&lt;&gt;"",原始資料!BE188=原始資料!BD188),N(BB188)+1,1))</f>
        <v/>
      </c>
      <c r="BD188" s="6">
        <f>IF(OR(原始資料!$A188="",55&gt;設定!$B$3,原始資料!BF188=""),"",IF(AND(原始資料!BE188&lt;&gt;"",原始資料!BF188=原始資料!BE188),N(BC188)+1,1))</f>
        <v/>
      </c>
      <c r="BE188" s="6">
        <f>IF(OR(原始資料!$A188="",56&gt;設定!$B$3,原始資料!BG188=""),"",IF(AND(原始資料!BF188&lt;&gt;"",原始資料!BG188=原始資料!BF188),N(BD188)+1,1))</f>
        <v/>
      </c>
      <c r="BF188" s="6">
        <f>IF(OR(原始資料!$A188="",57&gt;設定!$B$3,原始資料!BH188=""),"",IF(AND(原始資料!BG188&lt;&gt;"",原始資料!BH188=原始資料!BG188),N(BE188)+1,1))</f>
        <v/>
      </c>
      <c r="BG188" s="6">
        <f>IF(OR(原始資料!$A188="",58&gt;設定!$B$3,原始資料!BI188=""),"",IF(AND(原始資料!BH188&lt;&gt;"",原始資料!BI188=原始資料!BH188),N(BF188)+1,1))</f>
        <v/>
      </c>
      <c r="BH188" s="6">
        <f>IF(OR(原始資料!$A188="",59&gt;設定!$B$3,原始資料!BJ188=""),"",IF(AND(原始資料!BI188&lt;&gt;"",原始資料!BJ188=原始資料!BI188),N(BG188)+1,1))</f>
        <v/>
      </c>
      <c r="BI188" s="6">
        <f>IF(OR(原始資料!$A188="",60&gt;設定!$B$3,原始資料!BK188=""),"",IF(AND(原始資料!BJ188&lt;&gt;"",原始資料!BK188=原始資料!BJ188),N(BH188)+1,1))</f>
        <v/>
      </c>
    </row>
    <row r="189">
      <c r="A189" s="6">
        <f>IF(原始資料!$A189="","",原始資料!$A189)</f>
        <v/>
      </c>
      <c r="B189" s="6">
        <f>IF(OR(原始資料!$A189="",1&gt;設定!$B$3,原始資料!D189=""),"",1)</f>
        <v/>
      </c>
      <c r="C189" s="6">
        <f>IF(OR(原始資料!$A189="",2&gt;設定!$B$3,原始資料!E189=""),"",IF(AND(原始資料!D189&lt;&gt;"",原始資料!E189=原始資料!D189),N(B189)+1,1))</f>
        <v/>
      </c>
      <c r="D189" s="6">
        <f>IF(OR(原始資料!$A189="",3&gt;設定!$B$3,原始資料!F189=""),"",IF(AND(原始資料!E189&lt;&gt;"",原始資料!F189=原始資料!E189),N(C189)+1,1))</f>
        <v/>
      </c>
      <c r="E189" s="6">
        <f>IF(OR(原始資料!$A189="",4&gt;設定!$B$3,原始資料!G189=""),"",IF(AND(原始資料!F189&lt;&gt;"",原始資料!G189=原始資料!F189),N(D189)+1,1))</f>
        <v/>
      </c>
      <c r="F189" s="6">
        <f>IF(OR(原始資料!$A189="",5&gt;設定!$B$3,原始資料!H189=""),"",IF(AND(原始資料!G189&lt;&gt;"",原始資料!H189=原始資料!G189),N(E189)+1,1))</f>
        <v/>
      </c>
      <c r="G189" s="6">
        <f>IF(OR(原始資料!$A189="",6&gt;設定!$B$3,原始資料!I189=""),"",IF(AND(原始資料!H189&lt;&gt;"",原始資料!I189=原始資料!H189),N(F189)+1,1))</f>
        <v/>
      </c>
      <c r="H189" s="6">
        <f>IF(OR(原始資料!$A189="",7&gt;設定!$B$3,原始資料!J189=""),"",IF(AND(原始資料!I189&lt;&gt;"",原始資料!J189=原始資料!I189),N(G189)+1,1))</f>
        <v/>
      </c>
      <c r="I189" s="6">
        <f>IF(OR(原始資料!$A189="",8&gt;設定!$B$3,原始資料!K189=""),"",IF(AND(原始資料!J189&lt;&gt;"",原始資料!K189=原始資料!J189),N(H189)+1,1))</f>
        <v/>
      </c>
      <c r="J189" s="6">
        <f>IF(OR(原始資料!$A189="",9&gt;設定!$B$3,原始資料!L189=""),"",IF(AND(原始資料!K189&lt;&gt;"",原始資料!L189=原始資料!K189),N(I189)+1,1))</f>
        <v/>
      </c>
      <c r="K189" s="6">
        <f>IF(OR(原始資料!$A189="",10&gt;設定!$B$3,原始資料!M189=""),"",IF(AND(原始資料!L189&lt;&gt;"",原始資料!M189=原始資料!L189),N(J189)+1,1))</f>
        <v/>
      </c>
      <c r="L189" s="6">
        <f>IF(OR(原始資料!$A189="",11&gt;設定!$B$3,原始資料!N189=""),"",IF(AND(原始資料!M189&lt;&gt;"",原始資料!N189=原始資料!M189),N(K189)+1,1))</f>
        <v/>
      </c>
      <c r="M189" s="6">
        <f>IF(OR(原始資料!$A189="",12&gt;設定!$B$3,原始資料!O189=""),"",IF(AND(原始資料!N189&lt;&gt;"",原始資料!O189=原始資料!N189),N(L189)+1,1))</f>
        <v/>
      </c>
      <c r="N189" s="6">
        <f>IF(OR(原始資料!$A189="",13&gt;設定!$B$3,原始資料!P189=""),"",IF(AND(原始資料!O189&lt;&gt;"",原始資料!P189=原始資料!O189),N(M189)+1,1))</f>
        <v/>
      </c>
      <c r="O189" s="6">
        <f>IF(OR(原始資料!$A189="",14&gt;設定!$B$3,原始資料!Q189=""),"",IF(AND(原始資料!P189&lt;&gt;"",原始資料!Q189=原始資料!P189),N(N189)+1,1))</f>
        <v/>
      </c>
      <c r="P189" s="6">
        <f>IF(OR(原始資料!$A189="",15&gt;設定!$B$3,原始資料!R189=""),"",IF(AND(原始資料!Q189&lt;&gt;"",原始資料!R189=原始資料!Q189),N(O189)+1,1))</f>
        <v/>
      </c>
      <c r="Q189" s="6">
        <f>IF(OR(原始資料!$A189="",16&gt;設定!$B$3,原始資料!S189=""),"",IF(AND(原始資料!R189&lt;&gt;"",原始資料!S189=原始資料!R189),N(P189)+1,1))</f>
        <v/>
      </c>
      <c r="R189" s="6">
        <f>IF(OR(原始資料!$A189="",17&gt;設定!$B$3,原始資料!T189=""),"",IF(AND(原始資料!S189&lt;&gt;"",原始資料!T189=原始資料!S189),N(Q189)+1,1))</f>
        <v/>
      </c>
      <c r="S189" s="6">
        <f>IF(OR(原始資料!$A189="",18&gt;設定!$B$3,原始資料!U189=""),"",IF(AND(原始資料!T189&lt;&gt;"",原始資料!U189=原始資料!T189),N(R189)+1,1))</f>
        <v/>
      </c>
      <c r="T189" s="6">
        <f>IF(OR(原始資料!$A189="",19&gt;設定!$B$3,原始資料!V189=""),"",IF(AND(原始資料!U189&lt;&gt;"",原始資料!V189=原始資料!U189),N(S189)+1,1))</f>
        <v/>
      </c>
      <c r="U189" s="6">
        <f>IF(OR(原始資料!$A189="",20&gt;設定!$B$3,原始資料!W189=""),"",IF(AND(原始資料!V189&lt;&gt;"",原始資料!W189=原始資料!V189),N(T189)+1,1))</f>
        <v/>
      </c>
      <c r="V189" s="6">
        <f>IF(OR(原始資料!$A189="",21&gt;設定!$B$3,原始資料!X189=""),"",IF(AND(原始資料!W189&lt;&gt;"",原始資料!X189=原始資料!W189),N(U189)+1,1))</f>
        <v/>
      </c>
      <c r="W189" s="6">
        <f>IF(OR(原始資料!$A189="",22&gt;設定!$B$3,原始資料!Y189=""),"",IF(AND(原始資料!X189&lt;&gt;"",原始資料!Y189=原始資料!X189),N(V189)+1,1))</f>
        <v/>
      </c>
      <c r="X189" s="6">
        <f>IF(OR(原始資料!$A189="",23&gt;設定!$B$3,原始資料!Z189=""),"",IF(AND(原始資料!Y189&lt;&gt;"",原始資料!Z189=原始資料!Y189),N(W189)+1,1))</f>
        <v/>
      </c>
      <c r="Y189" s="6">
        <f>IF(OR(原始資料!$A189="",24&gt;設定!$B$3,原始資料!AA189=""),"",IF(AND(原始資料!Z189&lt;&gt;"",原始資料!AA189=原始資料!Z189),N(X189)+1,1))</f>
        <v/>
      </c>
      <c r="Z189" s="6">
        <f>IF(OR(原始資料!$A189="",25&gt;設定!$B$3,原始資料!AB189=""),"",IF(AND(原始資料!AA189&lt;&gt;"",原始資料!AB189=原始資料!AA189),N(Y189)+1,1))</f>
        <v/>
      </c>
      <c r="AA189" s="6">
        <f>IF(OR(原始資料!$A189="",26&gt;設定!$B$3,原始資料!AC189=""),"",IF(AND(原始資料!AB189&lt;&gt;"",原始資料!AC189=原始資料!AB189),N(Z189)+1,1))</f>
        <v/>
      </c>
      <c r="AB189" s="6">
        <f>IF(OR(原始資料!$A189="",27&gt;設定!$B$3,原始資料!AD189=""),"",IF(AND(原始資料!AC189&lt;&gt;"",原始資料!AD189=原始資料!AC189),N(AA189)+1,1))</f>
        <v/>
      </c>
      <c r="AC189" s="6">
        <f>IF(OR(原始資料!$A189="",28&gt;設定!$B$3,原始資料!AE189=""),"",IF(AND(原始資料!AD189&lt;&gt;"",原始資料!AE189=原始資料!AD189),N(AB189)+1,1))</f>
        <v/>
      </c>
      <c r="AD189" s="6">
        <f>IF(OR(原始資料!$A189="",29&gt;設定!$B$3,原始資料!AF189=""),"",IF(AND(原始資料!AE189&lt;&gt;"",原始資料!AF189=原始資料!AE189),N(AC189)+1,1))</f>
        <v/>
      </c>
      <c r="AE189" s="6">
        <f>IF(OR(原始資料!$A189="",30&gt;設定!$B$3,原始資料!AG189=""),"",IF(AND(原始資料!AF189&lt;&gt;"",原始資料!AG189=原始資料!AF189),N(AD189)+1,1))</f>
        <v/>
      </c>
      <c r="AF189" s="6">
        <f>IF(OR(原始資料!$A189="",31&gt;設定!$B$3,原始資料!AH189=""),"",IF(AND(原始資料!AG189&lt;&gt;"",原始資料!AH189=原始資料!AG189),N(AE189)+1,1))</f>
        <v/>
      </c>
      <c r="AG189" s="6">
        <f>IF(OR(原始資料!$A189="",32&gt;設定!$B$3,原始資料!AI189=""),"",IF(AND(原始資料!AH189&lt;&gt;"",原始資料!AI189=原始資料!AH189),N(AF189)+1,1))</f>
        <v/>
      </c>
      <c r="AH189" s="6">
        <f>IF(OR(原始資料!$A189="",33&gt;設定!$B$3,原始資料!AJ189=""),"",IF(AND(原始資料!AI189&lt;&gt;"",原始資料!AJ189=原始資料!AI189),N(AG189)+1,1))</f>
        <v/>
      </c>
      <c r="AI189" s="6">
        <f>IF(OR(原始資料!$A189="",34&gt;設定!$B$3,原始資料!AK189=""),"",IF(AND(原始資料!AJ189&lt;&gt;"",原始資料!AK189=原始資料!AJ189),N(AH189)+1,1))</f>
        <v/>
      </c>
      <c r="AJ189" s="6">
        <f>IF(OR(原始資料!$A189="",35&gt;設定!$B$3,原始資料!AL189=""),"",IF(AND(原始資料!AK189&lt;&gt;"",原始資料!AL189=原始資料!AK189),N(AI189)+1,1))</f>
        <v/>
      </c>
      <c r="AK189" s="6">
        <f>IF(OR(原始資料!$A189="",36&gt;設定!$B$3,原始資料!AM189=""),"",IF(AND(原始資料!AL189&lt;&gt;"",原始資料!AM189=原始資料!AL189),N(AJ189)+1,1))</f>
        <v/>
      </c>
      <c r="AL189" s="6">
        <f>IF(OR(原始資料!$A189="",37&gt;設定!$B$3,原始資料!AN189=""),"",IF(AND(原始資料!AM189&lt;&gt;"",原始資料!AN189=原始資料!AM189),N(AK189)+1,1))</f>
        <v/>
      </c>
      <c r="AM189" s="6">
        <f>IF(OR(原始資料!$A189="",38&gt;設定!$B$3,原始資料!AO189=""),"",IF(AND(原始資料!AN189&lt;&gt;"",原始資料!AO189=原始資料!AN189),N(AL189)+1,1))</f>
        <v/>
      </c>
      <c r="AN189" s="6">
        <f>IF(OR(原始資料!$A189="",39&gt;設定!$B$3,原始資料!AP189=""),"",IF(AND(原始資料!AO189&lt;&gt;"",原始資料!AP189=原始資料!AO189),N(AM189)+1,1))</f>
        <v/>
      </c>
      <c r="AO189" s="6">
        <f>IF(OR(原始資料!$A189="",40&gt;設定!$B$3,原始資料!AQ189=""),"",IF(AND(原始資料!AP189&lt;&gt;"",原始資料!AQ189=原始資料!AP189),N(AN189)+1,1))</f>
        <v/>
      </c>
      <c r="AP189" s="6">
        <f>IF(OR(原始資料!$A189="",41&gt;設定!$B$3,原始資料!AR189=""),"",IF(AND(原始資料!AQ189&lt;&gt;"",原始資料!AR189=原始資料!AQ189),N(AO189)+1,1))</f>
        <v/>
      </c>
      <c r="AQ189" s="6">
        <f>IF(OR(原始資料!$A189="",42&gt;設定!$B$3,原始資料!AS189=""),"",IF(AND(原始資料!AR189&lt;&gt;"",原始資料!AS189=原始資料!AR189),N(AP189)+1,1))</f>
        <v/>
      </c>
      <c r="AR189" s="6">
        <f>IF(OR(原始資料!$A189="",43&gt;設定!$B$3,原始資料!AT189=""),"",IF(AND(原始資料!AS189&lt;&gt;"",原始資料!AT189=原始資料!AS189),N(AQ189)+1,1))</f>
        <v/>
      </c>
      <c r="AS189" s="6">
        <f>IF(OR(原始資料!$A189="",44&gt;設定!$B$3,原始資料!AU189=""),"",IF(AND(原始資料!AT189&lt;&gt;"",原始資料!AU189=原始資料!AT189),N(AR189)+1,1))</f>
        <v/>
      </c>
      <c r="AT189" s="6">
        <f>IF(OR(原始資料!$A189="",45&gt;設定!$B$3,原始資料!AV189=""),"",IF(AND(原始資料!AU189&lt;&gt;"",原始資料!AV189=原始資料!AU189),N(AS189)+1,1))</f>
        <v/>
      </c>
      <c r="AU189" s="6">
        <f>IF(OR(原始資料!$A189="",46&gt;設定!$B$3,原始資料!AW189=""),"",IF(AND(原始資料!AV189&lt;&gt;"",原始資料!AW189=原始資料!AV189),N(AT189)+1,1))</f>
        <v/>
      </c>
      <c r="AV189" s="6">
        <f>IF(OR(原始資料!$A189="",47&gt;設定!$B$3,原始資料!AX189=""),"",IF(AND(原始資料!AW189&lt;&gt;"",原始資料!AX189=原始資料!AW189),N(AU189)+1,1))</f>
        <v/>
      </c>
      <c r="AW189" s="6">
        <f>IF(OR(原始資料!$A189="",48&gt;設定!$B$3,原始資料!AY189=""),"",IF(AND(原始資料!AX189&lt;&gt;"",原始資料!AY189=原始資料!AX189),N(AV189)+1,1))</f>
        <v/>
      </c>
      <c r="AX189" s="6">
        <f>IF(OR(原始資料!$A189="",49&gt;設定!$B$3,原始資料!AZ189=""),"",IF(AND(原始資料!AY189&lt;&gt;"",原始資料!AZ189=原始資料!AY189),N(AW189)+1,1))</f>
        <v/>
      </c>
      <c r="AY189" s="6">
        <f>IF(OR(原始資料!$A189="",50&gt;設定!$B$3,原始資料!BA189=""),"",IF(AND(原始資料!AZ189&lt;&gt;"",原始資料!BA189=原始資料!AZ189),N(AX189)+1,1))</f>
        <v/>
      </c>
      <c r="AZ189" s="6">
        <f>IF(OR(原始資料!$A189="",51&gt;設定!$B$3,原始資料!BB189=""),"",IF(AND(原始資料!BA189&lt;&gt;"",原始資料!BB189=原始資料!BA189),N(AY189)+1,1))</f>
        <v/>
      </c>
      <c r="BA189" s="6">
        <f>IF(OR(原始資料!$A189="",52&gt;設定!$B$3,原始資料!BC189=""),"",IF(AND(原始資料!BB189&lt;&gt;"",原始資料!BC189=原始資料!BB189),N(AZ189)+1,1))</f>
        <v/>
      </c>
      <c r="BB189" s="6">
        <f>IF(OR(原始資料!$A189="",53&gt;設定!$B$3,原始資料!BD189=""),"",IF(AND(原始資料!BC189&lt;&gt;"",原始資料!BD189=原始資料!BC189),N(BA189)+1,1))</f>
        <v/>
      </c>
      <c r="BC189" s="6">
        <f>IF(OR(原始資料!$A189="",54&gt;設定!$B$3,原始資料!BE189=""),"",IF(AND(原始資料!BD189&lt;&gt;"",原始資料!BE189=原始資料!BD189),N(BB189)+1,1))</f>
        <v/>
      </c>
      <c r="BD189" s="6">
        <f>IF(OR(原始資料!$A189="",55&gt;設定!$B$3,原始資料!BF189=""),"",IF(AND(原始資料!BE189&lt;&gt;"",原始資料!BF189=原始資料!BE189),N(BC189)+1,1))</f>
        <v/>
      </c>
      <c r="BE189" s="6">
        <f>IF(OR(原始資料!$A189="",56&gt;設定!$B$3,原始資料!BG189=""),"",IF(AND(原始資料!BF189&lt;&gt;"",原始資料!BG189=原始資料!BF189),N(BD189)+1,1))</f>
        <v/>
      </c>
      <c r="BF189" s="6">
        <f>IF(OR(原始資料!$A189="",57&gt;設定!$B$3,原始資料!BH189=""),"",IF(AND(原始資料!BG189&lt;&gt;"",原始資料!BH189=原始資料!BG189),N(BE189)+1,1))</f>
        <v/>
      </c>
      <c r="BG189" s="6">
        <f>IF(OR(原始資料!$A189="",58&gt;設定!$B$3,原始資料!BI189=""),"",IF(AND(原始資料!BH189&lt;&gt;"",原始資料!BI189=原始資料!BH189),N(BF189)+1,1))</f>
        <v/>
      </c>
      <c r="BH189" s="6">
        <f>IF(OR(原始資料!$A189="",59&gt;設定!$B$3,原始資料!BJ189=""),"",IF(AND(原始資料!BI189&lt;&gt;"",原始資料!BJ189=原始資料!BI189),N(BG189)+1,1))</f>
        <v/>
      </c>
      <c r="BI189" s="6">
        <f>IF(OR(原始資料!$A189="",60&gt;設定!$B$3,原始資料!BK189=""),"",IF(AND(原始資料!BJ189&lt;&gt;"",原始資料!BK189=原始資料!BJ189),N(BH189)+1,1))</f>
        <v/>
      </c>
    </row>
    <row r="190">
      <c r="A190" s="6">
        <f>IF(原始資料!$A190="","",原始資料!$A190)</f>
        <v/>
      </c>
      <c r="B190" s="6">
        <f>IF(OR(原始資料!$A190="",1&gt;設定!$B$3,原始資料!D190=""),"",1)</f>
        <v/>
      </c>
      <c r="C190" s="6">
        <f>IF(OR(原始資料!$A190="",2&gt;設定!$B$3,原始資料!E190=""),"",IF(AND(原始資料!D190&lt;&gt;"",原始資料!E190=原始資料!D190),N(B190)+1,1))</f>
        <v/>
      </c>
      <c r="D190" s="6">
        <f>IF(OR(原始資料!$A190="",3&gt;設定!$B$3,原始資料!F190=""),"",IF(AND(原始資料!E190&lt;&gt;"",原始資料!F190=原始資料!E190),N(C190)+1,1))</f>
        <v/>
      </c>
      <c r="E190" s="6">
        <f>IF(OR(原始資料!$A190="",4&gt;設定!$B$3,原始資料!G190=""),"",IF(AND(原始資料!F190&lt;&gt;"",原始資料!G190=原始資料!F190),N(D190)+1,1))</f>
        <v/>
      </c>
      <c r="F190" s="6">
        <f>IF(OR(原始資料!$A190="",5&gt;設定!$B$3,原始資料!H190=""),"",IF(AND(原始資料!G190&lt;&gt;"",原始資料!H190=原始資料!G190),N(E190)+1,1))</f>
        <v/>
      </c>
      <c r="G190" s="6">
        <f>IF(OR(原始資料!$A190="",6&gt;設定!$B$3,原始資料!I190=""),"",IF(AND(原始資料!H190&lt;&gt;"",原始資料!I190=原始資料!H190),N(F190)+1,1))</f>
        <v/>
      </c>
      <c r="H190" s="6">
        <f>IF(OR(原始資料!$A190="",7&gt;設定!$B$3,原始資料!J190=""),"",IF(AND(原始資料!I190&lt;&gt;"",原始資料!J190=原始資料!I190),N(G190)+1,1))</f>
        <v/>
      </c>
      <c r="I190" s="6">
        <f>IF(OR(原始資料!$A190="",8&gt;設定!$B$3,原始資料!K190=""),"",IF(AND(原始資料!J190&lt;&gt;"",原始資料!K190=原始資料!J190),N(H190)+1,1))</f>
        <v/>
      </c>
      <c r="J190" s="6">
        <f>IF(OR(原始資料!$A190="",9&gt;設定!$B$3,原始資料!L190=""),"",IF(AND(原始資料!K190&lt;&gt;"",原始資料!L190=原始資料!K190),N(I190)+1,1))</f>
        <v/>
      </c>
      <c r="K190" s="6">
        <f>IF(OR(原始資料!$A190="",10&gt;設定!$B$3,原始資料!M190=""),"",IF(AND(原始資料!L190&lt;&gt;"",原始資料!M190=原始資料!L190),N(J190)+1,1))</f>
        <v/>
      </c>
      <c r="L190" s="6">
        <f>IF(OR(原始資料!$A190="",11&gt;設定!$B$3,原始資料!N190=""),"",IF(AND(原始資料!M190&lt;&gt;"",原始資料!N190=原始資料!M190),N(K190)+1,1))</f>
        <v/>
      </c>
      <c r="M190" s="6">
        <f>IF(OR(原始資料!$A190="",12&gt;設定!$B$3,原始資料!O190=""),"",IF(AND(原始資料!N190&lt;&gt;"",原始資料!O190=原始資料!N190),N(L190)+1,1))</f>
        <v/>
      </c>
      <c r="N190" s="6">
        <f>IF(OR(原始資料!$A190="",13&gt;設定!$B$3,原始資料!P190=""),"",IF(AND(原始資料!O190&lt;&gt;"",原始資料!P190=原始資料!O190),N(M190)+1,1))</f>
        <v/>
      </c>
      <c r="O190" s="6">
        <f>IF(OR(原始資料!$A190="",14&gt;設定!$B$3,原始資料!Q190=""),"",IF(AND(原始資料!P190&lt;&gt;"",原始資料!Q190=原始資料!P190),N(N190)+1,1))</f>
        <v/>
      </c>
      <c r="P190" s="6">
        <f>IF(OR(原始資料!$A190="",15&gt;設定!$B$3,原始資料!R190=""),"",IF(AND(原始資料!Q190&lt;&gt;"",原始資料!R190=原始資料!Q190),N(O190)+1,1))</f>
        <v/>
      </c>
      <c r="Q190" s="6">
        <f>IF(OR(原始資料!$A190="",16&gt;設定!$B$3,原始資料!S190=""),"",IF(AND(原始資料!R190&lt;&gt;"",原始資料!S190=原始資料!R190),N(P190)+1,1))</f>
        <v/>
      </c>
      <c r="R190" s="6">
        <f>IF(OR(原始資料!$A190="",17&gt;設定!$B$3,原始資料!T190=""),"",IF(AND(原始資料!S190&lt;&gt;"",原始資料!T190=原始資料!S190),N(Q190)+1,1))</f>
        <v/>
      </c>
      <c r="S190" s="6">
        <f>IF(OR(原始資料!$A190="",18&gt;設定!$B$3,原始資料!U190=""),"",IF(AND(原始資料!T190&lt;&gt;"",原始資料!U190=原始資料!T190),N(R190)+1,1))</f>
        <v/>
      </c>
      <c r="T190" s="6">
        <f>IF(OR(原始資料!$A190="",19&gt;設定!$B$3,原始資料!V190=""),"",IF(AND(原始資料!U190&lt;&gt;"",原始資料!V190=原始資料!U190),N(S190)+1,1))</f>
        <v/>
      </c>
      <c r="U190" s="6">
        <f>IF(OR(原始資料!$A190="",20&gt;設定!$B$3,原始資料!W190=""),"",IF(AND(原始資料!V190&lt;&gt;"",原始資料!W190=原始資料!V190),N(T190)+1,1))</f>
        <v/>
      </c>
      <c r="V190" s="6">
        <f>IF(OR(原始資料!$A190="",21&gt;設定!$B$3,原始資料!X190=""),"",IF(AND(原始資料!W190&lt;&gt;"",原始資料!X190=原始資料!W190),N(U190)+1,1))</f>
        <v/>
      </c>
      <c r="W190" s="6">
        <f>IF(OR(原始資料!$A190="",22&gt;設定!$B$3,原始資料!Y190=""),"",IF(AND(原始資料!X190&lt;&gt;"",原始資料!Y190=原始資料!X190),N(V190)+1,1))</f>
        <v/>
      </c>
      <c r="X190" s="6">
        <f>IF(OR(原始資料!$A190="",23&gt;設定!$B$3,原始資料!Z190=""),"",IF(AND(原始資料!Y190&lt;&gt;"",原始資料!Z190=原始資料!Y190),N(W190)+1,1))</f>
        <v/>
      </c>
      <c r="Y190" s="6">
        <f>IF(OR(原始資料!$A190="",24&gt;設定!$B$3,原始資料!AA190=""),"",IF(AND(原始資料!Z190&lt;&gt;"",原始資料!AA190=原始資料!Z190),N(X190)+1,1))</f>
        <v/>
      </c>
      <c r="Z190" s="6">
        <f>IF(OR(原始資料!$A190="",25&gt;設定!$B$3,原始資料!AB190=""),"",IF(AND(原始資料!AA190&lt;&gt;"",原始資料!AB190=原始資料!AA190),N(Y190)+1,1))</f>
        <v/>
      </c>
      <c r="AA190" s="6">
        <f>IF(OR(原始資料!$A190="",26&gt;設定!$B$3,原始資料!AC190=""),"",IF(AND(原始資料!AB190&lt;&gt;"",原始資料!AC190=原始資料!AB190),N(Z190)+1,1))</f>
        <v/>
      </c>
      <c r="AB190" s="6">
        <f>IF(OR(原始資料!$A190="",27&gt;設定!$B$3,原始資料!AD190=""),"",IF(AND(原始資料!AC190&lt;&gt;"",原始資料!AD190=原始資料!AC190),N(AA190)+1,1))</f>
        <v/>
      </c>
      <c r="AC190" s="6">
        <f>IF(OR(原始資料!$A190="",28&gt;設定!$B$3,原始資料!AE190=""),"",IF(AND(原始資料!AD190&lt;&gt;"",原始資料!AE190=原始資料!AD190),N(AB190)+1,1))</f>
        <v/>
      </c>
      <c r="AD190" s="6">
        <f>IF(OR(原始資料!$A190="",29&gt;設定!$B$3,原始資料!AF190=""),"",IF(AND(原始資料!AE190&lt;&gt;"",原始資料!AF190=原始資料!AE190),N(AC190)+1,1))</f>
        <v/>
      </c>
      <c r="AE190" s="6">
        <f>IF(OR(原始資料!$A190="",30&gt;設定!$B$3,原始資料!AG190=""),"",IF(AND(原始資料!AF190&lt;&gt;"",原始資料!AG190=原始資料!AF190),N(AD190)+1,1))</f>
        <v/>
      </c>
      <c r="AF190" s="6">
        <f>IF(OR(原始資料!$A190="",31&gt;設定!$B$3,原始資料!AH190=""),"",IF(AND(原始資料!AG190&lt;&gt;"",原始資料!AH190=原始資料!AG190),N(AE190)+1,1))</f>
        <v/>
      </c>
      <c r="AG190" s="6">
        <f>IF(OR(原始資料!$A190="",32&gt;設定!$B$3,原始資料!AI190=""),"",IF(AND(原始資料!AH190&lt;&gt;"",原始資料!AI190=原始資料!AH190),N(AF190)+1,1))</f>
        <v/>
      </c>
      <c r="AH190" s="6">
        <f>IF(OR(原始資料!$A190="",33&gt;設定!$B$3,原始資料!AJ190=""),"",IF(AND(原始資料!AI190&lt;&gt;"",原始資料!AJ190=原始資料!AI190),N(AG190)+1,1))</f>
        <v/>
      </c>
      <c r="AI190" s="6">
        <f>IF(OR(原始資料!$A190="",34&gt;設定!$B$3,原始資料!AK190=""),"",IF(AND(原始資料!AJ190&lt;&gt;"",原始資料!AK190=原始資料!AJ190),N(AH190)+1,1))</f>
        <v/>
      </c>
      <c r="AJ190" s="6">
        <f>IF(OR(原始資料!$A190="",35&gt;設定!$B$3,原始資料!AL190=""),"",IF(AND(原始資料!AK190&lt;&gt;"",原始資料!AL190=原始資料!AK190),N(AI190)+1,1))</f>
        <v/>
      </c>
      <c r="AK190" s="6">
        <f>IF(OR(原始資料!$A190="",36&gt;設定!$B$3,原始資料!AM190=""),"",IF(AND(原始資料!AL190&lt;&gt;"",原始資料!AM190=原始資料!AL190),N(AJ190)+1,1))</f>
        <v/>
      </c>
      <c r="AL190" s="6">
        <f>IF(OR(原始資料!$A190="",37&gt;設定!$B$3,原始資料!AN190=""),"",IF(AND(原始資料!AM190&lt;&gt;"",原始資料!AN190=原始資料!AM190),N(AK190)+1,1))</f>
        <v/>
      </c>
      <c r="AM190" s="6">
        <f>IF(OR(原始資料!$A190="",38&gt;設定!$B$3,原始資料!AO190=""),"",IF(AND(原始資料!AN190&lt;&gt;"",原始資料!AO190=原始資料!AN190),N(AL190)+1,1))</f>
        <v/>
      </c>
      <c r="AN190" s="6">
        <f>IF(OR(原始資料!$A190="",39&gt;設定!$B$3,原始資料!AP190=""),"",IF(AND(原始資料!AO190&lt;&gt;"",原始資料!AP190=原始資料!AO190),N(AM190)+1,1))</f>
        <v/>
      </c>
      <c r="AO190" s="6">
        <f>IF(OR(原始資料!$A190="",40&gt;設定!$B$3,原始資料!AQ190=""),"",IF(AND(原始資料!AP190&lt;&gt;"",原始資料!AQ190=原始資料!AP190),N(AN190)+1,1))</f>
        <v/>
      </c>
      <c r="AP190" s="6">
        <f>IF(OR(原始資料!$A190="",41&gt;設定!$B$3,原始資料!AR190=""),"",IF(AND(原始資料!AQ190&lt;&gt;"",原始資料!AR190=原始資料!AQ190),N(AO190)+1,1))</f>
        <v/>
      </c>
      <c r="AQ190" s="6">
        <f>IF(OR(原始資料!$A190="",42&gt;設定!$B$3,原始資料!AS190=""),"",IF(AND(原始資料!AR190&lt;&gt;"",原始資料!AS190=原始資料!AR190),N(AP190)+1,1))</f>
        <v/>
      </c>
      <c r="AR190" s="6">
        <f>IF(OR(原始資料!$A190="",43&gt;設定!$B$3,原始資料!AT190=""),"",IF(AND(原始資料!AS190&lt;&gt;"",原始資料!AT190=原始資料!AS190),N(AQ190)+1,1))</f>
        <v/>
      </c>
      <c r="AS190" s="6">
        <f>IF(OR(原始資料!$A190="",44&gt;設定!$B$3,原始資料!AU190=""),"",IF(AND(原始資料!AT190&lt;&gt;"",原始資料!AU190=原始資料!AT190),N(AR190)+1,1))</f>
        <v/>
      </c>
      <c r="AT190" s="6">
        <f>IF(OR(原始資料!$A190="",45&gt;設定!$B$3,原始資料!AV190=""),"",IF(AND(原始資料!AU190&lt;&gt;"",原始資料!AV190=原始資料!AU190),N(AS190)+1,1))</f>
        <v/>
      </c>
      <c r="AU190" s="6">
        <f>IF(OR(原始資料!$A190="",46&gt;設定!$B$3,原始資料!AW190=""),"",IF(AND(原始資料!AV190&lt;&gt;"",原始資料!AW190=原始資料!AV190),N(AT190)+1,1))</f>
        <v/>
      </c>
      <c r="AV190" s="6">
        <f>IF(OR(原始資料!$A190="",47&gt;設定!$B$3,原始資料!AX190=""),"",IF(AND(原始資料!AW190&lt;&gt;"",原始資料!AX190=原始資料!AW190),N(AU190)+1,1))</f>
        <v/>
      </c>
      <c r="AW190" s="6">
        <f>IF(OR(原始資料!$A190="",48&gt;設定!$B$3,原始資料!AY190=""),"",IF(AND(原始資料!AX190&lt;&gt;"",原始資料!AY190=原始資料!AX190),N(AV190)+1,1))</f>
        <v/>
      </c>
      <c r="AX190" s="6">
        <f>IF(OR(原始資料!$A190="",49&gt;設定!$B$3,原始資料!AZ190=""),"",IF(AND(原始資料!AY190&lt;&gt;"",原始資料!AZ190=原始資料!AY190),N(AW190)+1,1))</f>
        <v/>
      </c>
      <c r="AY190" s="6">
        <f>IF(OR(原始資料!$A190="",50&gt;設定!$B$3,原始資料!BA190=""),"",IF(AND(原始資料!AZ190&lt;&gt;"",原始資料!BA190=原始資料!AZ190),N(AX190)+1,1))</f>
        <v/>
      </c>
      <c r="AZ190" s="6">
        <f>IF(OR(原始資料!$A190="",51&gt;設定!$B$3,原始資料!BB190=""),"",IF(AND(原始資料!BA190&lt;&gt;"",原始資料!BB190=原始資料!BA190),N(AY190)+1,1))</f>
        <v/>
      </c>
      <c r="BA190" s="6">
        <f>IF(OR(原始資料!$A190="",52&gt;設定!$B$3,原始資料!BC190=""),"",IF(AND(原始資料!BB190&lt;&gt;"",原始資料!BC190=原始資料!BB190),N(AZ190)+1,1))</f>
        <v/>
      </c>
      <c r="BB190" s="6">
        <f>IF(OR(原始資料!$A190="",53&gt;設定!$B$3,原始資料!BD190=""),"",IF(AND(原始資料!BC190&lt;&gt;"",原始資料!BD190=原始資料!BC190),N(BA190)+1,1))</f>
        <v/>
      </c>
      <c r="BC190" s="6">
        <f>IF(OR(原始資料!$A190="",54&gt;設定!$B$3,原始資料!BE190=""),"",IF(AND(原始資料!BD190&lt;&gt;"",原始資料!BE190=原始資料!BD190),N(BB190)+1,1))</f>
        <v/>
      </c>
      <c r="BD190" s="6">
        <f>IF(OR(原始資料!$A190="",55&gt;設定!$B$3,原始資料!BF190=""),"",IF(AND(原始資料!BE190&lt;&gt;"",原始資料!BF190=原始資料!BE190),N(BC190)+1,1))</f>
        <v/>
      </c>
      <c r="BE190" s="6">
        <f>IF(OR(原始資料!$A190="",56&gt;設定!$B$3,原始資料!BG190=""),"",IF(AND(原始資料!BF190&lt;&gt;"",原始資料!BG190=原始資料!BF190),N(BD190)+1,1))</f>
        <v/>
      </c>
      <c r="BF190" s="6">
        <f>IF(OR(原始資料!$A190="",57&gt;設定!$B$3,原始資料!BH190=""),"",IF(AND(原始資料!BG190&lt;&gt;"",原始資料!BH190=原始資料!BG190),N(BE190)+1,1))</f>
        <v/>
      </c>
      <c r="BG190" s="6">
        <f>IF(OR(原始資料!$A190="",58&gt;設定!$B$3,原始資料!BI190=""),"",IF(AND(原始資料!BH190&lt;&gt;"",原始資料!BI190=原始資料!BH190),N(BF190)+1,1))</f>
        <v/>
      </c>
      <c r="BH190" s="6">
        <f>IF(OR(原始資料!$A190="",59&gt;設定!$B$3,原始資料!BJ190=""),"",IF(AND(原始資料!BI190&lt;&gt;"",原始資料!BJ190=原始資料!BI190),N(BG190)+1,1))</f>
        <v/>
      </c>
      <c r="BI190" s="6">
        <f>IF(OR(原始資料!$A190="",60&gt;設定!$B$3,原始資料!BK190=""),"",IF(AND(原始資料!BJ190&lt;&gt;"",原始資料!BK190=原始資料!BJ190),N(BH190)+1,1))</f>
        <v/>
      </c>
    </row>
    <row r="191">
      <c r="A191" s="6">
        <f>IF(原始資料!$A191="","",原始資料!$A191)</f>
        <v/>
      </c>
      <c r="B191" s="6">
        <f>IF(OR(原始資料!$A191="",1&gt;設定!$B$3,原始資料!D191=""),"",1)</f>
        <v/>
      </c>
      <c r="C191" s="6">
        <f>IF(OR(原始資料!$A191="",2&gt;設定!$B$3,原始資料!E191=""),"",IF(AND(原始資料!D191&lt;&gt;"",原始資料!E191=原始資料!D191),N(B191)+1,1))</f>
        <v/>
      </c>
      <c r="D191" s="6">
        <f>IF(OR(原始資料!$A191="",3&gt;設定!$B$3,原始資料!F191=""),"",IF(AND(原始資料!E191&lt;&gt;"",原始資料!F191=原始資料!E191),N(C191)+1,1))</f>
        <v/>
      </c>
      <c r="E191" s="6">
        <f>IF(OR(原始資料!$A191="",4&gt;設定!$B$3,原始資料!G191=""),"",IF(AND(原始資料!F191&lt;&gt;"",原始資料!G191=原始資料!F191),N(D191)+1,1))</f>
        <v/>
      </c>
      <c r="F191" s="6">
        <f>IF(OR(原始資料!$A191="",5&gt;設定!$B$3,原始資料!H191=""),"",IF(AND(原始資料!G191&lt;&gt;"",原始資料!H191=原始資料!G191),N(E191)+1,1))</f>
        <v/>
      </c>
      <c r="G191" s="6">
        <f>IF(OR(原始資料!$A191="",6&gt;設定!$B$3,原始資料!I191=""),"",IF(AND(原始資料!H191&lt;&gt;"",原始資料!I191=原始資料!H191),N(F191)+1,1))</f>
        <v/>
      </c>
      <c r="H191" s="6">
        <f>IF(OR(原始資料!$A191="",7&gt;設定!$B$3,原始資料!J191=""),"",IF(AND(原始資料!I191&lt;&gt;"",原始資料!J191=原始資料!I191),N(G191)+1,1))</f>
        <v/>
      </c>
      <c r="I191" s="6">
        <f>IF(OR(原始資料!$A191="",8&gt;設定!$B$3,原始資料!K191=""),"",IF(AND(原始資料!J191&lt;&gt;"",原始資料!K191=原始資料!J191),N(H191)+1,1))</f>
        <v/>
      </c>
      <c r="J191" s="6">
        <f>IF(OR(原始資料!$A191="",9&gt;設定!$B$3,原始資料!L191=""),"",IF(AND(原始資料!K191&lt;&gt;"",原始資料!L191=原始資料!K191),N(I191)+1,1))</f>
        <v/>
      </c>
      <c r="K191" s="6">
        <f>IF(OR(原始資料!$A191="",10&gt;設定!$B$3,原始資料!M191=""),"",IF(AND(原始資料!L191&lt;&gt;"",原始資料!M191=原始資料!L191),N(J191)+1,1))</f>
        <v/>
      </c>
      <c r="L191" s="6">
        <f>IF(OR(原始資料!$A191="",11&gt;設定!$B$3,原始資料!N191=""),"",IF(AND(原始資料!M191&lt;&gt;"",原始資料!N191=原始資料!M191),N(K191)+1,1))</f>
        <v/>
      </c>
      <c r="M191" s="6">
        <f>IF(OR(原始資料!$A191="",12&gt;設定!$B$3,原始資料!O191=""),"",IF(AND(原始資料!N191&lt;&gt;"",原始資料!O191=原始資料!N191),N(L191)+1,1))</f>
        <v/>
      </c>
      <c r="N191" s="6">
        <f>IF(OR(原始資料!$A191="",13&gt;設定!$B$3,原始資料!P191=""),"",IF(AND(原始資料!O191&lt;&gt;"",原始資料!P191=原始資料!O191),N(M191)+1,1))</f>
        <v/>
      </c>
      <c r="O191" s="6">
        <f>IF(OR(原始資料!$A191="",14&gt;設定!$B$3,原始資料!Q191=""),"",IF(AND(原始資料!P191&lt;&gt;"",原始資料!Q191=原始資料!P191),N(N191)+1,1))</f>
        <v/>
      </c>
      <c r="P191" s="6">
        <f>IF(OR(原始資料!$A191="",15&gt;設定!$B$3,原始資料!R191=""),"",IF(AND(原始資料!Q191&lt;&gt;"",原始資料!R191=原始資料!Q191),N(O191)+1,1))</f>
        <v/>
      </c>
      <c r="Q191" s="6">
        <f>IF(OR(原始資料!$A191="",16&gt;設定!$B$3,原始資料!S191=""),"",IF(AND(原始資料!R191&lt;&gt;"",原始資料!S191=原始資料!R191),N(P191)+1,1))</f>
        <v/>
      </c>
      <c r="R191" s="6">
        <f>IF(OR(原始資料!$A191="",17&gt;設定!$B$3,原始資料!T191=""),"",IF(AND(原始資料!S191&lt;&gt;"",原始資料!T191=原始資料!S191),N(Q191)+1,1))</f>
        <v/>
      </c>
      <c r="S191" s="6">
        <f>IF(OR(原始資料!$A191="",18&gt;設定!$B$3,原始資料!U191=""),"",IF(AND(原始資料!T191&lt;&gt;"",原始資料!U191=原始資料!T191),N(R191)+1,1))</f>
        <v/>
      </c>
      <c r="T191" s="6">
        <f>IF(OR(原始資料!$A191="",19&gt;設定!$B$3,原始資料!V191=""),"",IF(AND(原始資料!U191&lt;&gt;"",原始資料!V191=原始資料!U191),N(S191)+1,1))</f>
        <v/>
      </c>
      <c r="U191" s="6">
        <f>IF(OR(原始資料!$A191="",20&gt;設定!$B$3,原始資料!W191=""),"",IF(AND(原始資料!V191&lt;&gt;"",原始資料!W191=原始資料!V191),N(T191)+1,1))</f>
        <v/>
      </c>
      <c r="V191" s="6">
        <f>IF(OR(原始資料!$A191="",21&gt;設定!$B$3,原始資料!X191=""),"",IF(AND(原始資料!W191&lt;&gt;"",原始資料!X191=原始資料!W191),N(U191)+1,1))</f>
        <v/>
      </c>
      <c r="W191" s="6">
        <f>IF(OR(原始資料!$A191="",22&gt;設定!$B$3,原始資料!Y191=""),"",IF(AND(原始資料!X191&lt;&gt;"",原始資料!Y191=原始資料!X191),N(V191)+1,1))</f>
        <v/>
      </c>
      <c r="X191" s="6">
        <f>IF(OR(原始資料!$A191="",23&gt;設定!$B$3,原始資料!Z191=""),"",IF(AND(原始資料!Y191&lt;&gt;"",原始資料!Z191=原始資料!Y191),N(W191)+1,1))</f>
        <v/>
      </c>
      <c r="Y191" s="6">
        <f>IF(OR(原始資料!$A191="",24&gt;設定!$B$3,原始資料!AA191=""),"",IF(AND(原始資料!Z191&lt;&gt;"",原始資料!AA191=原始資料!Z191),N(X191)+1,1))</f>
        <v/>
      </c>
      <c r="Z191" s="6">
        <f>IF(OR(原始資料!$A191="",25&gt;設定!$B$3,原始資料!AB191=""),"",IF(AND(原始資料!AA191&lt;&gt;"",原始資料!AB191=原始資料!AA191),N(Y191)+1,1))</f>
        <v/>
      </c>
      <c r="AA191" s="6">
        <f>IF(OR(原始資料!$A191="",26&gt;設定!$B$3,原始資料!AC191=""),"",IF(AND(原始資料!AB191&lt;&gt;"",原始資料!AC191=原始資料!AB191),N(Z191)+1,1))</f>
        <v/>
      </c>
      <c r="AB191" s="6">
        <f>IF(OR(原始資料!$A191="",27&gt;設定!$B$3,原始資料!AD191=""),"",IF(AND(原始資料!AC191&lt;&gt;"",原始資料!AD191=原始資料!AC191),N(AA191)+1,1))</f>
        <v/>
      </c>
      <c r="AC191" s="6">
        <f>IF(OR(原始資料!$A191="",28&gt;設定!$B$3,原始資料!AE191=""),"",IF(AND(原始資料!AD191&lt;&gt;"",原始資料!AE191=原始資料!AD191),N(AB191)+1,1))</f>
        <v/>
      </c>
      <c r="AD191" s="6">
        <f>IF(OR(原始資料!$A191="",29&gt;設定!$B$3,原始資料!AF191=""),"",IF(AND(原始資料!AE191&lt;&gt;"",原始資料!AF191=原始資料!AE191),N(AC191)+1,1))</f>
        <v/>
      </c>
      <c r="AE191" s="6">
        <f>IF(OR(原始資料!$A191="",30&gt;設定!$B$3,原始資料!AG191=""),"",IF(AND(原始資料!AF191&lt;&gt;"",原始資料!AG191=原始資料!AF191),N(AD191)+1,1))</f>
        <v/>
      </c>
      <c r="AF191" s="6">
        <f>IF(OR(原始資料!$A191="",31&gt;設定!$B$3,原始資料!AH191=""),"",IF(AND(原始資料!AG191&lt;&gt;"",原始資料!AH191=原始資料!AG191),N(AE191)+1,1))</f>
        <v/>
      </c>
      <c r="AG191" s="6">
        <f>IF(OR(原始資料!$A191="",32&gt;設定!$B$3,原始資料!AI191=""),"",IF(AND(原始資料!AH191&lt;&gt;"",原始資料!AI191=原始資料!AH191),N(AF191)+1,1))</f>
        <v/>
      </c>
      <c r="AH191" s="6">
        <f>IF(OR(原始資料!$A191="",33&gt;設定!$B$3,原始資料!AJ191=""),"",IF(AND(原始資料!AI191&lt;&gt;"",原始資料!AJ191=原始資料!AI191),N(AG191)+1,1))</f>
        <v/>
      </c>
      <c r="AI191" s="6">
        <f>IF(OR(原始資料!$A191="",34&gt;設定!$B$3,原始資料!AK191=""),"",IF(AND(原始資料!AJ191&lt;&gt;"",原始資料!AK191=原始資料!AJ191),N(AH191)+1,1))</f>
        <v/>
      </c>
      <c r="AJ191" s="6">
        <f>IF(OR(原始資料!$A191="",35&gt;設定!$B$3,原始資料!AL191=""),"",IF(AND(原始資料!AK191&lt;&gt;"",原始資料!AL191=原始資料!AK191),N(AI191)+1,1))</f>
        <v/>
      </c>
      <c r="AK191" s="6">
        <f>IF(OR(原始資料!$A191="",36&gt;設定!$B$3,原始資料!AM191=""),"",IF(AND(原始資料!AL191&lt;&gt;"",原始資料!AM191=原始資料!AL191),N(AJ191)+1,1))</f>
        <v/>
      </c>
      <c r="AL191" s="6">
        <f>IF(OR(原始資料!$A191="",37&gt;設定!$B$3,原始資料!AN191=""),"",IF(AND(原始資料!AM191&lt;&gt;"",原始資料!AN191=原始資料!AM191),N(AK191)+1,1))</f>
        <v/>
      </c>
      <c r="AM191" s="6">
        <f>IF(OR(原始資料!$A191="",38&gt;設定!$B$3,原始資料!AO191=""),"",IF(AND(原始資料!AN191&lt;&gt;"",原始資料!AO191=原始資料!AN191),N(AL191)+1,1))</f>
        <v/>
      </c>
      <c r="AN191" s="6">
        <f>IF(OR(原始資料!$A191="",39&gt;設定!$B$3,原始資料!AP191=""),"",IF(AND(原始資料!AO191&lt;&gt;"",原始資料!AP191=原始資料!AO191),N(AM191)+1,1))</f>
        <v/>
      </c>
      <c r="AO191" s="6">
        <f>IF(OR(原始資料!$A191="",40&gt;設定!$B$3,原始資料!AQ191=""),"",IF(AND(原始資料!AP191&lt;&gt;"",原始資料!AQ191=原始資料!AP191),N(AN191)+1,1))</f>
        <v/>
      </c>
      <c r="AP191" s="6">
        <f>IF(OR(原始資料!$A191="",41&gt;設定!$B$3,原始資料!AR191=""),"",IF(AND(原始資料!AQ191&lt;&gt;"",原始資料!AR191=原始資料!AQ191),N(AO191)+1,1))</f>
        <v/>
      </c>
      <c r="AQ191" s="6">
        <f>IF(OR(原始資料!$A191="",42&gt;設定!$B$3,原始資料!AS191=""),"",IF(AND(原始資料!AR191&lt;&gt;"",原始資料!AS191=原始資料!AR191),N(AP191)+1,1))</f>
        <v/>
      </c>
      <c r="AR191" s="6">
        <f>IF(OR(原始資料!$A191="",43&gt;設定!$B$3,原始資料!AT191=""),"",IF(AND(原始資料!AS191&lt;&gt;"",原始資料!AT191=原始資料!AS191),N(AQ191)+1,1))</f>
        <v/>
      </c>
      <c r="AS191" s="6">
        <f>IF(OR(原始資料!$A191="",44&gt;設定!$B$3,原始資料!AU191=""),"",IF(AND(原始資料!AT191&lt;&gt;"",原始資料!AU191=原始資料!AT191),N(AR191)+1,1))</f>
        <v/>
      </c>
      <c r="AT191" s="6">
        <f>IF(OR(原始資料!$A191="",45&gt;設定!$B$3,原始資料!AV191=""),"",IF(AND(原始資料!AU191&lt;&gt;"",原始資料!AV191=原始資料!AU191),N(AS191)+1,1))</f>
        <v/>
      </c>
      <c r="AU191" s="6">
        <f>IF(OR(原始資料!$A191="",46&gt;設定!$B$3,原始資料!AW191=""),"",IF(AND(原始資料!AV191&lt;&gt;"",原始資料!AW191=原始資料!AV191),N(AT191)+1,1))</f>
        <v/>
      </c>
      <c r="AV191" s="6">
        <f>IF(OR(原始資料!$A191="",47&gt;設定!$B$3,原始資料!AX191=""),"",IF(AND(原始資料!AW191&lt;&gt;"",原始資料!AX191=原始資料!AW191),N(AU191)+1,1))</f>
        <v/>
      </c>
      <c r="AW191" s="6">
        <f>IF(OR(原始資料!$A191="",48&gt;設定!$B$3,原始資料!AY191=""),"",IF(AND(原始資料!AX191&lt;&gt;"",原始資料!AY191=原始資料!AX191),N(AV191)+1,1))</f>
        <v/>
      </c>
      <c r="AX191" s="6">
        <f>IF(OR(原始資料!$A191="",49&gt;設定!$B$3,原始資料!AZ191=""),"",IF(AND(原始資料!AY191&lt;&gt;"",原始資料!AZ191=原始資料!AY191),N(AW191)+1,1))</f>
        <v/>
      </c>
      <c r="AY191" s="6">
        <f>IF(OR(原始資料!$A191="",50&gt;設定!$B$3,原始資料!BA191=""),"",IF(AND(原始資料!AZ191&lt;&gt;"",原始資料!BA191=原始資料!AZ191),N(AX191)+1,1))</f>
        <v/>
      </c>
      <c r="AZ191" s="6">
        <f>IF(OR(原始資料!$A191="",51&gt;設定!$B$3,原始資料!BB191=""),"",IF(AND(原始資料!BA191&lt;&gt;"",原始資料!BB191=原始資料!BA191),N(AY191)+1,1))</f>
        <v/>
      </c>
      <c r="BA191" s="6">
        <f>IF(OR(原始資料!$A191="",52&gt;設定!$B$3,原始資料!BC191=""),"",IF(AND(原始資料!BB191&lt;&gt;"",原始資料!BC191=原始資料!BB191),N(AZ191)+1,1))</f>
        <v/>
      </c>
      <c r="BB191" s="6">
        <f>IF(OR(原始資料!$A191="",53&gt;設定!$B$3,原始資料!BD191=""),"",IF(AND(原始資料!BC191&lt;&gt;"",原始資料!BD191=原始資料!BC191),N(BA191)+1,1))</f>
        <v/>
      </c>
      <c r="BC191" s="6">
        <f>IF(OR(原始資料!$A191="",54&gt;設定!$B$3,原始資料!BE191=""),"",IF(AND(原始資料!BD191&lt;&gt;"",原始資料!BE191=原始資料!BD191),N(BB191)+1,1))</f>
        <v/>
      </c>
      <c r="BD191" s="6">
        <f>IF(OR(原始資料!$A191="",55&gt;設定!$B$3,原始資料!BF191=""),"",IF(AND(原始資料!BE191&lt;&gt;"",原始資料!BF191=原始資料!BE191),N(BC191)+1,1))</f>
        <v/>
      </c>
      <c r="BE191" s="6">
        <f>IF(OR(原始資料!$A191="",56&gt;設定!$B$3,原始資料!BG191=""),"",IF(AND(原始資料!BF191&lt;&gt;"",原始資料!BG191=原始資料!BF191),N(BD191)+1,1))</f>
        <v/>
      </c>
      <c r="BF191" s="6">
        <f>IF(OR(原始資料!$A191="",57&gt;設定!$B$3,原始資料!BH191=""),"",IF(AND(原始資料!BG191&lt;&gt;"",原始資料!BH191=原始資料!BG191),N(BE191)+1,1))</f>
        <v/>
      </c>
      <c r="BG191" s="6">
        <f>IF(OR(原始資料!$A191="",58&gt;設定!$B$3,原始資料!BI191=""),"",IF(AND(原始資料!BH191&lt;&gt;"",原始資料!BI191=原始資料!BH191),N(BF191)+1,1))</f>
        <v/>
      </c>
      <c r="BH191" s="6">
        <f>IF(OR(原始資料!$A191="",59&gt;設定!$B$3,原始資料!BJ191=""),"",IF(AND(原始資料!BI191&lt;&gt;"",原始資料!BJ191=原始資料!BI191),N(BG191)+1,1))</f>
        <v/>
      </c>
      <c r="BI191" s="6">
        <f>IF(OR(原始資料!$A191="",60&gt;設定!$B$3,原始資料!BK191=""),"",IF(AND(原始資料!BJ191&lt;&gt;"",原始資料!BK191=原始資料!BJ191),N(BH191)+1,1))</f>
        <v/>
      </c>
    </row>
    <row r="192">
      <c r="A192" s="6">
        <f>IF(原始資料!$A192="","",原始資料!$A192)</f>
        <v/>
      </c>
      <c r="B192" s="6">
        <f>IF(OR(原始資料!$A192="",1&gt;設定!$B$3,原始資料!D192=""),"",1)</f>
        <v/>
      </c>
      <c r="C192" s="6">
        <f>IF(OR(原始資料!$A192="",2&gt;設定!$B$3,原始資料!E192=""),"",IF(AND(原始資料!D192&lt;&gt;"",原始資料!E192=原始資料!D192),N(B192)+1,1))</f>
        <v/>
      </c>
      <c r="D192" s="6">
        <f>IF(OR(原始資料!$A192="",3&gt;設定!$B$3,原始資料!F192=""),"",IF(AND(原始資料!E192&lt;&gt;"",原始資料!F192=原始資料!E192),N(C192)+1,1))</f>
        <v/>
      </c>
      <c r="E192" s="6">
        <f>IF(OR(原始資料!$A192="",4&gt;設定!$B$3,原始資料!G192=""),"",IF(AND(原始資料!F192&lt;&gt;"",原始資料!G192=原始資料!F192),N(D192)+1,1))</f>
        <v/>
      </c>
      <c r="F192" s="6">
        <f>IF(OR(原始資料!$A192="",5&gt;設定!$B$3,原始資料!H192=""),"",IF(AND(原始資料!G192&lt;&gt;"",原始資料!H192=原始資料!G192),N(E192)+1,1))</f>
        <v/>
      </c>
      <c r="G192" s="6">
        <f>IF(OR(原始資料!$A192="",6&gt;設定!$B$3,原始資料!I192=""),"",IF(AND(原始資料!H192&lt;&gt;"",原始資料!I192=原始資料!H192),N(F192)+1,1))</f>
        <v/>
      </c>
      <c r="H192" s="6">
        <f>IF(OR(原始資料!$A192="",7&gt;設定!$B$3,原始資料!J192=""),"",IF(AND(原始資料!I192&lt;&gt;"",原始資料!J192=原始資料!I192),N(G192)+1,1))</f>
        <v/>
      </c>
      <c r="I192" s="6">
        <f>IF(OR(原始資料!$A192="",8&gt;設定!$B$3,原始資料!K192=""),"",IF(AND(原始資料!J192&lt;&gt;"",原始資料!K192=原始資料!J192),N(H192)+1,1))</f>
        <v/>
      </c>
      <c r="J192" s="6">
        <f>IF(OR(原始資料!$A192="",9&gt;設定!$B$3,原始資料!L192=""),"",IF(AND(原始資料!K192&lt;&gt;"",原始資料!L192=原始資料!K192),N(I192)+1,1))</f>
        <v/>
      </c>
      <c r="K192" s="6">
        <f>IF(OR(原始資料!$A192="",10&gt;設定!$B$3,原始資料!M192=""),"",IF(AND(原始資料!L192&lt;&gt;"",原始資料!M192=原始資料!L192),N(J192)+1,1))</f>
        <v/>
      </c>
      <c r="L192" s="6">
        <f>IF(OR(原始資料!$A192="",11&gt;設定!$B$3,原始資料!N192=""),"",IF(AND(原始資料!M192&lt;&gt;"",原始資料!N192=原始資料!M192),N(K192)+1,1))</f>
        <v/>
      </c>
      <c r="M192" s="6">
        <f>IF(OR(原始資料!$A192="",12&gt;設定!$B$3,原始資料!O192=""),"",IF(AND(原始資料!N192&lt;&gt;"",原始資料!O192=原始資料!N192),N(L192)+1,1))</f>
        <v/>
      </c>
      <c r="N192" s="6">
        <f>IF(OR(原始資料!$A192="",13&gt;設定!$B$3,原始資料!P192=""),"",IF(AND(原始資料!O192&lt;&gt;"",原始資料!P192=原始資料!O192),N(M192)+1,1))</f>
        <v/>
      </c>
      <c r="O192" s="6">
        <f>IF(OR(原始資料!$A192="",14&gt;設定!$B$3,原始資料!Q192=""),"",IF(AND(原始資料!P192&lt;&gt;"",原始資料!Q192=原始資料!P192),N(N192)+1,1))</f>
        <v/>
      </c>
      <c r="P192" s="6">
        <f>IF(OR(原始資料!$A192="",15&gt;設定!$B$3,原始資料!R192=""),"",IF(AND(原始資料!Q192&lt;&gt;"",原始資料!R192=原始資料!Q192),N(O192)+1,1))</f>
        <v/>
      </c>
      <c r="Q192" s="6">
        <f>IF(OR(原始資料!$A192="",16&gt;設定!$B$3,原始資料!S192=""),"",IF(AND(原始資料!R192&lt;&gt;"",原始資料!S192=原始資料!R192),N(P192)+1,1))</f>
        <v/>
      </c>
      <c r="R192" s="6">
        <f>IF(OR(原始資料!$A192="",17&gt;設定!$B$3,原始資料!T192=""),"",IF(AND(原始資料!S192&lt;&gt;"",原始資料!T192=原始資料!S192),N(Q192)+1,1))</f>
        <v/>
      </c>
      <c r="S192" s="6">
        <f>IF(OR(原始資料!$A192="",18&gt;設定!$B$3,原始資料!U192=""),"",IF(AND(原始資料!T192&lt;&gt;"",原始資料!U192=原始資料!T192),N(R192)+1,1))</f>
        <v/>
      </c>
      <c r="T192" s="6">
        <f>IF(OR(原始資料!$A192="",19&gt;設定!$B$3,原始資料!V192=""),"",IF(AND(原始資料!U192&lt;&gt;"",原始資料!V192=原始資料!U192),N(S192)+1,1))</f>
        <v/>
      </c>
      <c r="U192" s="6">
        <f>IF(OR(原始資料!$A192="",20&gt;設定!$B$3,原始資料!W192=""),"",IF(AND(原始資料!V192&lt;&gt;"",原始資料!W192=原始資料!V192),N(T192)+1,1))</f>
        <v/>
      </c>
      <c r="V192" s="6">
        <f>IF(OR(原始資料!$A192="",21&gt;設定!$B$3,原始資料!X192=""),"",IF(AND(原始資料!W192&lt;&gt;"",原始資料!X192=原始資料!W192),N(U192)+1,1))</f>
        <v/>
      </c>
      <c r="W192" s="6">
        <f>IF(OR(原始資料!$A192="",22&gt;設定!$B$3,原始資料!Y192=""),"",IF(AND(原始資料!X192&lt;&gt;"",原始資料!Y192=原始資料!X192),N(V192)+1,1))</f>
        <v/>
      </c>
      <c r="X192" s="6">
        <f>IF(OR(原始資料!$A192="",23&gt;設定!$B$3,原始資料!Z192=""),"",IF(AND(原始資料!Y192&lt;&gt;"",原始資料!Z192=原始資料!Y192),N(W192)+1,1))</f>
        <v/>
      </c>
      <c r="Y192" s="6">
        <f>IF(OR(原始資料!$A192="",24&gt;設定!$B$3,原始資料!AA192=""),"",IF(AND(原始資料!Z192&lt;&gt;"",原始資料!AA192=原始資料!Z192),N(X192)+1,1))</f>
        <v/>
      </c>
      <c r="Z192" s="6">
        <f>IF(OR(原始資料!$A192="",25&gt;設定!$B$3,原始資料!AB192=""),"",IF(AND(原始資料!AA192&lt;&gt;"",原始資料!AB192=原始資料!AA192),N(Y192)+1,1))</f>
        <v/>
      </c>
      <c r="AA192" s="6">
        <f>IF(OR(原始資料!$A192="",26&gt;設定!$B$3,原始資料!AC192=""),"",IF(AND(原始資料!AB192&lt;&gt;"",原始資料!AC192=原始資料!AB192),N(Z192)+1,1))</f>
        <v/>
      </c>
      <c r="AB192" s="6">
        <f>IF(OR(原始資料!$A192="",27&gt;設定!$B$3,原始資料!AD192=""),"",IF(AND(原始資料!AC192&lt;&gt;"",原始資料!AD192=原始資料!AC192),N(AA192)+1,1))</f>
        <v/>
      </c>
      <c r="AC192" s="6">
        <f>IF(OR(原始資料!$A192="",28&gt;設定!$B$3,原始資料!AE192=""),"",IF(AND(原始資料!AD192&lt;&gt;"",原始資料!AE192=原始資料!AD192),N(AB192)+1,1))</f>
        <v/>
      </c>
      <c r="AD192" s="6">
        <f>IF(OR(原始資料!$A192="",29&gt;設定!$B$3,原始資料!AF192=""),"",IF(AND(原始資料!AE192&lt;&gt;"",原始資料!AF192=原始資料!AE192),N(AC192)+1,1))</f>
        <v/>
      </c>
      <c r="AE192" s="6">
        <f>IF(OR(原始資料!$A192="",30&gt;設定!$B$3,原始資料!AG192=""),"",IF(AND(原始資料!AF192&lt;&gt;"",原始資料!AG192=原始資料!AF192),N(AD192)+1,1))</f>
        <v/>
      </c>
      <c r="AF192" s="6">
        <f>IF(OR(原始資料!$A192="",31&gt;設定!$B$3,原始資料!AH192=""),"",IF(AND(原始資料!AG192&lt;&gt;"",原始資料!AH192=原始資料!AG192),N(AE192)+1,1))</f>
        <v/>
      </c>
      <c r="AG192" s="6">
        <f>IF(OR(原始資料!$A192="",32&gt;設定!$B$3,原始資料!AI192=""),"",IF(AND(原始資料!AH192&lt;&gt;"",原始資料!AI192=原始資料!AH192),N(AF192)+1,1))</f>
        <v/>
      </c>
      <c r="AH192" s="6">
        <f>IF(OR(原始資料!$A192="",33&gt;設定!$B$3,原始資料!AJ192=""),"",IF(AND(原始資料!AI192&lt;&gt;"",原始資料!AJ192=原始資料!AI192),N(AG192)+1,1))</f>
        <v/>
      </c>
      <c r="AI192" s="6">
        <f>IF(OR(原始資料!$A192="",34&gt;設定!$B$3,原始資料!AK192=""),"",IF(AND(原始資料!AJ192&lt;&gt;"",原始資料!AK192=原始資料!AJ192),N(AH192)+1,1))</f>
        <v/>
      </c>
      <c r="AJ192" s="6">
        <f>IF(OR(原始資料!$A192="",35&gt;設定!$B$3,原始資料!AL192=""),"",IF(AND(原始資料!AK192&lt;&gt;"",原始資料!AL192=原始資料!AK192),N(AI192)+1,1))</f>
        <v/>
      </c>
      <c r="AK192" s="6">
        <f>IF(OR(原始資料!$A192="",36&gt;設定!$B$3,原始資料!AM192=""),"",IF(AND(原始資料!AL192&lt;&gt;"",原始資料!AM192=原始資料!AL192),N(AJ192)+1,1))</f>
        <v/>
      </c>
      <c r="AL192" s="6">
        <f>IF(OR(原始資料!$A192="",37&gt;設定!$B$3,原始資料!AN192=""),"",IF(AND(原始資料!AM192&lt;&gt;"",原始資料!AN192=原始資料!AM192),N(AK192)+1,1))</f>
        <v/>
      </c>
      <c r="AM192" s="6">
        <f>IF(OR(原始資料!$A192="",38&gt;設定!$B$3,原始資料!AO192=""),"",IF(AND(原始資料!AN192&lt;&gt;"",原始資料!AO192=原始資料!AN192),N(AL192)+1,1))</f>
        <v/>
      </c>
      <c r="AN192" s="6">
        <f>IF(OR(原始資料!$A192="",39&gt;設定!$B$3,原始資料!AP192=""),"",IF(AND(原始資料!AO192&lt;&gt;"",原始資料!AP192=原始資料!AO192),N(AM192)+1,1))</f>
        <v/>
      </c>
      <c r="AO192" s="6">
        <f>IF(OR(原始資料!$A192="",40&gt;設定!$B$3,原始資料!AQ192=""),"",IF(AND(原始資料!AP192&lt;&gt;"",原始資料!AQ192=原始資料!AP192),N(AN192)+1,1))</f>
        <v/>
      </c>
      <c r="AP192" s="6">
        <f>IF(OR(原始資料!$A192="",41&gt;設定!$B$3,原始資料!AR192=""),"",IF(AND(原始資料!AQ192&lt;&gt;"",原始資料!AR192=原始資料!AQ192),N(AO192)+1,1))</f>
        <v/>
      </c>
      <c r="AQ192" s="6">
        <f>IF(OR(原始資料!$A192="",42&gt;設定!$B$3,原始資料!AS192=""),"",IF(AND(原始資料!AR192&lt;&gt;"",原始資料!AS192=原始資料!AR192),N(AP192)+1,1))</f>
        <v/>
      </c>
      <c r="AR192" s="6">
        <f>IF(OR(原始資料!$A192="",43&gt;設定!$B$3,原始資料!AT192=""),"",IF(AND(原始資料!AS192&lt;&gt;"",原始資料!AT192=原始資料!AS192),N(AQ192)+1,1))</f>
        <v/>
      </c>
      <c r="AS192" s="6">
        <f>IF(OR(原始資料!$A192="",44&gt;設定!$B$3,原始資料!AU192=""),"",IF(AND(原始資料!AT192&lt;&gt;"",原始資料!AU192=原始資料!AT192),N(AR192)+1,1))</f>
        <v/>
      </c>
      <c r="AT192" s="6">
        <f>IF(OR(原始資料!$A192="",45&gt;設定!$B$3,原始資料!AV192=""),"",IF(AND(原始資料!AU192&lt;&gt;"",原始資料!AV192=原始資料!AU192),N(AS192)+1,1))</f>
        <v/>
      </c>
      <c r="AU192" s="6">
        <f>IF(OR(原始資料!$A192="",46&gt;設定!$B$3,原始資料!AW192=""),"",IF(AND(原始資料!AV192&lt;&gt;"",原始資料!AW192=原始資料!AV192),N(AT192)+1,1))</f>
        <v/>
      </c>
      <c r="AV192" s="6">
        <f>IF(OR(原始資料!$A192="",47&gt;設定!$B$3,原始資料!AX192=""),"",IF(AND(原始資料!AW192&lt;&gt;"",原始資料!AX192=原始資料!AW192),N(AU192)+1,1))</f>
        <v/>
      </c>
      <c r="AW192" s="6">
        <f>IF(OR(原始資料!$A192="",48&gt;設定!$B$3,原始資料!AY192=""),"",IF(AND(原始資料!AX192&lt;&gt;"",原始資料!AY192=原始資料!AX192),N(AV192)+1,1))</f>
        <v/>
      </c>
      <c r="AX192" s="6">
        <f>IF(OR(原始資料!$A192="",49&gt;設定!$B$3,原始資料!AZ192=""),"",IF(AND(原始資料!AY192&lt;&gt;"",原始資料!AZ192=原始資料!AY192),N(AW192)+1,1))</f>
        <v/>
      </c>
      <c r="AY192" s="6">
        <f>IF(OR(原始資料!$A192="",50&gt;設定!$B$3,原始資料!BA192=""),"",IF(AND(原始資料!AZ192&lt;&gt;"",原始資料!BA192=原始資料!AZ192),N(AX192)+1,1))</f>
        <v/>
      </c>
      <c r="AZ192" s="6">
        <f>IF(OR(原始資料!$A192="",51&gt;設定!$B$3,原始資料!BB192=""),"",IF(AND(原始資料!BA192&lt;&gt;"",原始資料!BB192=原始資料!BA192),N(AY192)+1,1))</f>
        <v/>
      </c>
      <c r="BA192" s="6">
        <f>IF(OR(原始資料!$A192="",52&gt;設定!$B$3,原始資料!BC192=""),"",IF(AND(原始資料!BB192&lt;&gt;"",原始資料!BC192=原始資料!BB192),N(AZ192)+1,1))</f>
        <v/>
      </c>
      <c r="BB192" s="6">
        <f>IF(OR(原始資料!$A192="",53&gt;設定!$B$3,原始資料!BD192=""),"",IF(AND(原始資料!BC192&lt;&gt;"",原始資料!BD192=原始資料!BC192),N(BA192)+1,1))</f>
        <v/>
      </c>
      <c r="BC192" s="6">
        <f>IF(OR(原始資料!$A192="",54&gt;設定!$B$3,原始資料!BE192=""),"",IF(AND(原始資料!BD192&lt;&gt;"",原始資料!BE192=原始資料!BD192),N(BB192)+1,1))</f>
        <v/>
      </c>
      <c r="BD192" s="6">
        <f>IF(OR(原始資料!$A192="",55&gt;設定!$B$3,原始資料!BF192=""),"",IF(AND(原始資料!BE192&lt;&gt;"",原始資料!BF192=原始資料!BE192),N(BC192)+1,1))</f>
        <v/>
      </c>
      <c r="BE192" s="6">
        <f>IF(OR(原始資料!$A192="",56&gt;設定!$B$3,原始資料!BG192=""),"",IF(AND(原始資料!BF192&lt;&gt;"",原始資料!BG192=原始資料!BF192),N(BD192)+1,1))</f>
        <v/>
      </c>
      <c r="BF192" s="6">
        <f>IF(OR(原始資料!$A192="",57&gt;設定!$B$3,原始資料!BH192=""),"",IF(AND(原始資料!BG192&lt;&gt;"",原始資料!BH192=原始資料!BG192),N(BE192)+1,1))</f>
        <v/>
      </c>
      <c r="BG192" s="6">
        <f>IF(OR(原始資料!$A192="",58&gt;設定!$B$3,原始資料!BI192=""),"",IF(AND(原始資料!BH192&lt;&gt;"",原始資料!BI192=原始資料!BH192),N(BF192)+1,1))</f>
        <v/>
      </c>
      <c r="BH192" s="6">
        <f>IF(OR(原始資料!$A192="",59&gt;設定!$B$3,原始資料!BJ192=""),"",IF(AND(原始資料!BI192&lt;&gt;"",原始資料!BJ192=原始資料!BI192),N(BG192)+1,1))</f>
        <v/>
      </c>
      <c r="BI192" s="6">
        <f>IF(OR(原始資料!$A192="",60&gt;設定!$B$3,原始資料!BK192=""),"",IF(AND(原始資料!BJ192&lt;&gt;"",原始資料!BK192=原始資料!BJ192),N(BH192)+1,1))</f>
        <v/>
      </c>
    </row>
    <row r="193">
      <c r="A193" s="6">
        <f>IF(原始資料!$A193="","",原始資料!$A193)</f>
        <v/>
      </c>
      <c r="B193" s="6">
        <f>IF(OR(原始資料!$A193="",1&gt;設定!$B$3,原始資料!D193=""),"",1)</f>
        <v/>
      </c>
      <c r="C193" s="6">
        <f>IF(OR(原始資料!$A193="",2&gt;設定!$B$3,原始資料!E193=""),"",IF(AND(原始資料!D193&lt;&gt;"",原始資料!E193=原始資料!D193),N(B193)+1,1))</f>
        <v/>
      </c>
      <c r="D193" s="6">
        <f>IF(OR(原始資料!$A193="",3&gt;設定!$B$3,原始資料!F193=""),"",IF(AND(原始資料!E193&lt;&gt;"",原始資料!F193=原始資料!E193),N(C193)+1,1))</f>
        <v/>
      </c>
      <c r="E193" s="6">
        <f>IF(OR(原始資料!$A193="",4&gt;設定!$B$3,原始資料!G193=""),"",IF(AND(原始資料!F193&lt;&gt;"",原始資料!G193=原始資料!F193),N(D193)+1,1))</f>
        <v/>
      </c>
      <c r="F193" s="6">
        <f>IF(OR(原始資料!$A193="",5&gt;設定!$B$3,原始資料!H193=""),"",IF(AND(原始資料!G193&lt;&gt;"",原始資料!H193=原始資料!G193),N(E193)+1,1))</f>
        <v/>
      </c>
      <c r="G193" s="6">
        <f>IF(OR(原始資料!$A193="",6&gt;設定!$B$3,原始資料!I193=""),"",IF(AND(原始資料!H193&lt;&gt;"",原始資料!I193=原始資料!H193),N(F193)+1,1))</f>
        <v/>
      </c>
      <c r="H193" s="6">
        <f>IF(OR(原始資料!$A193="",7&gt;設定!$B$3,原始資料!J193=""),"",IF(AND(原始資料!I193&lt;&gt;"",原始資料!J193=原始資料!I193),N(G193)+1,1))</f>
        <v/>
      </c>
      <c r="I193" s="6">
        <f>IF(OR(原始資料!$A193="",8&gt;設定!$B$3,原始資料!K193=""),"",IF(AND(原始資料!J193&lt;&gt;"",原始資料!K193=原始資料!J193),N(H193)+1,1))</f>
        <v/>
      </c>
      <c r="J193" s="6">
        <f>IF(OR(原始資料!$A193="",9&gt;設定!$B$3,原始資料!L193=""),"",IF(AND(原始資料!K193&lt;&gt;"",原始資料!L193=原始資料!K193),N(I193)+1,1))</f>
        <v/>
      </c>
      <c r="K193" s="6">
        <f>IF(OR(原始資料!$A193="",10&gt;設定!$B$3,原始資料!M193=""),"",IF(AND(原始資料!L193&lt;&gt;"",原始資料!M193=原始資料!L193),N(J193)+1,1))</f>
        <v/>
      </c>
      <c r="L193" s="6">
        <f>IF(OR(原始資料!$A193="",11&gt;設定!$B$3,原始資料!N193=""),"",IF(AND(原始資料!M193&lt;&gt;"",原始資料!N193=原始資料!M193),N(K193)+1,1))</f>
        <v/>
      </c>
      <c r="M193" s="6">
        <f>IF(OR(原始資料!$A193="",12&gt;設定!$B$3,原始資料!O193=""),"",IF(AND(原始資料!N193&lt;&gt;"",原始資料!O193=原始資料!N193),N(L193)+1,1))</f>
        <v/>
      </c>
      <c r="N193" s="6">
        <f>IF(OR(原始資料!$A193="",13&gt;設定!$B$3,原始資料!P193=""),"",IF(AND(原始資料!O193&lt;&gt;"",原始資料!P193=原始資料!O193),N(M193)+1,1))</f>
        <v/>
      </c>
      <c r="O193" s="6">
        <f>IF(OR(原始資料!$A193="",14&gt;設定!$B$3,原始資料!Q193=""),"",IF(AND(原始資料!P193&lt;&gt;"",原始資料!Q193=原始資料!P193),N(N193)+1,1))</f>
        <v/>
      </c>
      <c r="P193" s="6">
        <f>IF(OR(原始資料!$A193="",15&gt;設定!$B$3,原始資料!R193=""),"",IF(AND(原始資料!Q193&lt;&gt;"",原始資料!R193=原始資料!Q193),N(O193)+1,1))</f>
        <v/>
      </c>
      <c r="Q193" s="6">
        <f>IF(OR(原始資料!$A193="",16&gt;設定!$B$3,原始資料!S193=""),"",IF(AND(原始資料!R193&lt;&gt;"",原始資料!S193=原始資料!R193),N(P193)+1,1))</f>
        <v/>
      </c>
      <c r="R193" s="6">
        <f>IF(OR(原始資料!$A193="",17&gt;設定!$B$3,原始資料!T193=""),"",IF(AND(原始資料!S193&lt;&gt;"",原始資料!T193=原始資料!S193),N(Q193)+1,1))</f>
        <v/>
      </c>
      <c r="S193" s="6">
        <f>IF(OR(原始資料!$A193="",18&gt;設定!$B$3,原始資料!U193=""),"",IF(AND(原始資料!T193&lt;&gt;"",原始資料!U193=原始資料!T193),N(R193)+1,1))</f>
        <v/>
      </c>
      <c r="T193" s="6">
        <f>IF(OR(原始資料!$A193="",19&gt;設定!$B$3,原始資料!V193=""),"",IF(AND(原始資料!U193&lt;&gt;"",原始資料!V193=原始資料!U193),N(S193)+1,1))</f>
        <v/>
      </c>
      <c r="U193" s="6">
        <f>IF(OR(原始資料!$A193="",20&gt;設定!$B$3,原始資料!W193=""),"",IF(AND(原始資料!V193&lt;&gt;"",原始資料!W193=原始資料!V193),N(T193)+1,1))</f>
        <v/>
      </c>
      <c r="V193" s="6">
        <f>IF(OR(原始資料!$A193="",21&gt;設定!$B$3,原始資料!X193=""),"",IF(AND(原始資料!W193&lt;&gt;"",原始資料!X193=原始資料!W193),N(U193)+1,1))</f>
        <v/>
      </c>
      <c r="W193" s="6">
        <f>IF(OR(原始資料!$A193="",22&gt;設定!$B$3,原始資料!Y193=""),"",IF(AND(原始資料!X193&lt;&gt;"",原始資料!Y193=原始資料!X193),N(V193)+1,1))</f>
        <v/>
      </c>
      <c r="X193" s="6">
        <f>IF(OR(原始資料!$A193="",23&gt;設定!$B$3,原始資料!Z193=""),"",IF(AND(原始資料!Y193&lt;&gt;"",原始資料!Z193=原始資料!Y193),N(W193)+1,1))</f>
        <v/>
      </c>
      <c r="Y193" s="6">
        <f>IF(OR(原始資料!$A193="",24&gt;設定!$B$3,原始資料!AA193=""),"",IF(AND(原始資料!Z193&lt;&gt;"",原始資料!AA193=原始資料!Z193),N(X193)+1,1))</f>
        <v/>
      </c>
      <c r="Z193" s="6">
        <f>IF(OR(原始資料!$A193="",25&gt;設定!$B$3,原始資料!AB193=""),"",IF(AND(原始資料!AA193&lt;&gt;"",原始資料!AB193=原始資料!AA193),N(Y193)+1,1))</f>
        <v/>
      </c>
      <c r="AA193" s="6">
        <f>IF(OR(原始資料!$A193="",26&gt;設定!$B$3,原始資料!AC193=""),"",IF(AND(原始資料!AB193&lt;&gt;"",原始資料!AC193=原始資料!AB193),N(Z193)+1,1))</f>
        <v/>
      </c>
      <c r="AB193" s="6">
        <f>IF(OR(原始資料!$A193="",27&gt;設定!$B$3,原始資料!AD193=""),"",IF(AND(原始資料!AC193&lt;&gt;"",原始資料!AD193=原始資料!AC193),N(AA193)+1,1))</f>
        <v/>
      </c>
      <c r="AC193" s="6">
        <f>IF(OR(原始資料!$A193="",28&gt;設定!$B$3,原始資料!AE193=""),"",IF(AND(原始資料!AD193&lt;&gt;"",原始資料!AE193=原始資料!AD193),N(AB193)+1,1))</f>
        <v/>
      </c>
      <c r="AD193" s="6">
        <f>IF(OR(原始資料!$A193="",29&gt;設定!$B$3,原始資料!AF193=""),"",IF(AND(原始資料!AE193&lt;&gt;"",原始資料!AF193=原始資料!AE193),N(AC193)+1,1))</f>
        <v/>
      </c>
      <c r="AE193" s="6">
        <f>IF(OR(原始資料!$A193="",30&gt;設定!$B$3,原始資料!AG193=""),"",IF(AND(原始資料!AF193&lt;&gt;"",原始資料!AG193=原始資料!AF193),N(AD193)+1,1))</f>
        <v/>
      </c>
      <c r="AF193" s="6">
        <f>IF(OR(原始資料!$A193="",31&gt;設定!$B$3,原始資料!AH193=""),"",IF(AND(原始資料!AG193&lt;&gt;"",原始資料!AH193=原始資料!AG193),N(AE193)+1,1))</f>
        <v/>
      </c>
      <c r="AG193" s="6">
        <f>IF(OR(原始資料!$A193="",32&gt;設定!$B$3,原始資料!AI193=""),"",IF(AND(原始資料!AH193&lt;&gt;"",原始資料!AI193=原始資料!AH193),N(AF193)+1,1))</f>
        <v/>
      </c>
      <c r="AH193" s="6">
        <f>IF(OR(原始資料!$A193="",33&gt;設定!$B$3,原始資料!AJ193=""),"",IF(AND(原始資料!AI193&lt;&gt;"",原始資料!AJ193=原始資料!AI193),N(AG193)+1,1))</f>
        <v/>
      </c>
      <c r="AI193" s="6">
        <f>IF(OR(原始資料!$A193="",34&gt;設定!$B$3,原始資料!AK193=""),"",IF(AND(原始資料!AJ193&lt;&gt;"",原始資料!AK193=原始資料!AJ193),N(AH193)+1,1))</f>
        <v/>
      </c>
      <c r="AJ193" s="6">
        <f>IF(OR(原始資料!$A193="",35&gt;設定!$B$3,原始資料!AL193=""),"",IF(AND(原始資料!AK193&lt;&gt;"",原始資料!AL193=原始資料!AK193),N(AI193)+1,1))</f>
        <v/>
      </c>
      <c r="AK193" s="6">
        <f>IF(OR(原始資料!$A193="",36&gt;設定!$B$3,原始資料!AM193=""),"",IF(AND(原始資料!AL193&lt;&gt;"",原始資料!AM193=原始資料!AL193),N(AJ193)+1,1))</f>
        <v/>
      </c>
      <c r="AL193" s="6">
        <f>IF(OR(原始資料!$A193="",37&gt;設定!$B$3,原始資料!AN193=""),"",IF(AND(原始資料!AM193&lt;&gt;"",原始資料!AN193=原始資料!AM193),N(AK193)+1,1))</f>
        <v/>
      </c>
      <c r="AM193" s="6">
        <f>IF(OR(原始資料!$A193="",38&gt;設定!$B$3,原始資料!AO193=""),"",IF(AND(原始資料!AN193&lt;&gt;"",原始資料!AO193=原始資料!AN193),N(AL193)+1,1))</f>
        <v/>
      </c>
      <c r="AN193" s="6">
        <f>IF(OR(原始資料!$A193="",39&gt;設定!$B$3,原始資料!AP193=""),"",IF(AND(原始資料!AO193&lt;&gt;"",原始資料!AP193=原始資料!AO193),N(AM193)+1,1))</f>
        <v/>
      </c>
      <c r="AO193" s="6">
        <f>IF(OR(原始資料!$A193="",40&gt;設定!$B$3,原始資料!AQ193=""),"",IF(AND(原始資料!AP193&lt;&gt;"",原始資料!AQ193=原始資料!AP193),N(AN193)+1,1))</f>
        <v/>
      </c>
      <c r="AP193" s="6">
        <f>IF(OR(原始資料!$A193="",41&gt;設定!$B$3,原始資料!AR193=""),"",IF(AND(原始資料!AQ193&lt;&gt;"",原始資料!AR193=原始資料!AQ193),N(AO193)+1,1))</f>
        <v/>
      </c>
      <c r="AQ193" s="6">
        <f>IF(OR(原始資料!$A193="",42&gt;設定!$B$3,原始資料!AS193=""),"",IF(AND(原始資料!AR193&lt;&gt;"",原始資料!AS193=原始資料!AR193),N(AP193)+1,1))</f>
        <v/>
      </c>
      <c r="AR193" s="6">
        <f>IF(OR(原始資料!$A193="",43&gt;設定!$B$3,原始資料!AT193=""),"",IF(AND(原始資料!AS193&lt;&gt;"",原始資料!AT193=原始資料!AS193),N(AQ193)+1,1))</f>
        <v/>
      </c>
      <c r="AS193" s="6">
        <f>IF(OR(原始資料!$A193="",44&gt;設定!$B$3,原始資料!AU193=""),"",IF(AND(原始資料!AT193&lt;&gt;"",原始資料!AU193=原始資料!AT193),N(AR193)+1,1))</f>
        <v/>
      </c>
      <c r="AT193" s="6">
        <f>IF(OR(原始資料!$A193="",45&gt;設定!$B$3,原始資料!AV193=""),"",IF(AND(原始資料!AU193&lt;&gt;"",原始資料!AV193=原始資料!AU193),N(AS193)+1,1))</f>
        <v/>
      </c>
      <c r="AU193" s="6">
        <f>IF(OR(原始資料!$A193="",46&gt;設定!$B$3,原始資料!AW193=""),"",IF(AND(原始資料!AV193&lt;&gt;"",原始資料!AW193=原始資料!AV193),N(AT193)+1,1))</f>
        <v/>
      </c>
      <c r="AV193" s="6">
        <f>IF(OR(原始資料!$A193="",47&gt;設定!$B$3,原始資料!AX193=""),"",IF(AND(原始資料!AW193&lt;&gt;"",原始資料!AX193=原始資料!AW193),N(AU193)+1,1))</f>
        <v/>
      </c>
      <c r="AW193" s="6">
        <f>IF(OR(原始資料!$A193="",48&gt;設定!$B$3,原始資料!AY193=""),"",IF(AND(原始資料!AX193&lt;&gt;"",原始資料!AY193=原始資料!AX193),N(AV193)+1,1))</f>
        <v/>
      </c>
      <c r="AX193" s="6">
        <f>IF(OR(原始資料!$A193="",49&gt;設定!$B$3,原始資料!AZ193=""),"",IF(AND(原始資料!AY193&lt;&gt;"",原始資料!AZ193=原始資料!AY193),N(AW193)+1,1))</f>
        <v/>
      </c>
      <c r="AY193" s="6">
        <f>IF(OR(原始資料!$A193="",50&gt;設定!$B$3,原始資料!BA193=""),"",IF(AND(原始資料!AZ193&lt;&gt;"",原始資料!BA193=原始資料!AZ193),N(AX193)+1,1))</f>
        <v/>
      </c>
      <c r="AZ193" s="6">
        <f>IF(OR(原始資料!$A193="",51&gt;設定!$B$3,原始資料!BB193=""),"",IF(AND(原始資料!BA193&lt;&gt;"",原始資料!BB193=原始資料!BA193),N(AY193)+1,1))</f>
        <v/>
      </c>
      <c r="BA193" s="6">
        <f>IF(OR(原始資料!$A193="",52&gt;設定!$B$3,原始資料!BC193=""),"",IF(AND(原始資料!BB193&lt;&gt;"",原始資料!BC193=原始資料!BB193),N(AZ193)+1,1))</f>
        <v/>
      </c>
      <c r="BB193" s="6">
        <f>IF(OR(原始資料!$A193="",53&gt;設定!$B$3,原始資料!BD193=""),"",IF(AND(原始資料!BC193&lt;&gt;"",原始資料!BD193=原始資料!BC193),N(BA193)+1,1))</f>
        <v/>
      </c>
      <c r="BC193" s="6">
        <f>IF(OR(原始資料!$A193="",54&gt;設定!$B$3,原始資料!BE193=""),"",IF(AND(原始資料!BD193&lt;&gt;"",原始資料!BE193=原始資料!BD193),N(BB193)+1,1))</f>
        <v/>
      </c>
      <c r="BD193" s="6">
        <f>IF(OR(原始資料!$A193="",55&gt;設定!$B$3,原始資料!BF193=""),"",IF(AND(原始資料!BE193&lt;&gt;"",原始資料!BF193=原始資料!BE193),N(BC193)+1,1))</f>
        <v/>
      </c>
      <c r="BE193" s="6">
        <f>IF(OR(原始資料!$A193="",56&gt;設定!$B$3,原始資料!BG193=""),"",IF(AND(原始資料!BF193&lt;&gt;"",原始資料!BG193=原始資料!BF193),N(BD193)+1,1))</f>
        <v/>
      </c>
      <c r="BF193" s="6">
        <f>IF(OR(原始資料!$A193="",57&gt;設定!$B$3,原始資料!BH193=""),"",IF(AND(原始資料!BG193&lt;&gt;"",原始資料!BH193=原始資料!BG193),N(BE193)+1,1))</f>
        <v/>
      </c>
      <c r="BG193" s="6">
        <f>IF(OR(原始資料!$A193="",58&gt;設定!$B$3,原始資料!BI193=""),"",IF(AND(原始資料!BH193&lt;&gt;"",原始資料!BI193=原始資料!BH193),N(BF193)+1,1))</f>
        <v/>
      </c>
      <c r="BH193" s="6">
        <f>IF(OR(原始資料!$A193="",59&gt;設定!$B$3,原始資料!BJ193=""),"",IF(AND(原始資料!BI193&lt;&gt;"",原始資料!BJ193=原始資料!BI193),N(BG193)+1,1))</f>
        <v/>
      </c>
      <c r="BI193" s="6">
        <f>IF(OR(原始資料!$A193="",60&gt;設定!$B$3,原始資料!BK193=""),"",IF(AND(原始資料!BJ193&lt;&gt;"",原始資料!BK193=原始資料!BJ193),N(BH193)+1,1))</f>
        <v/>
      </c>
    </row>
    <row r="194">
      <c r="A194" s="6">
        <f>IF(原始資料!$A194="","",原始資料!$A194)</f>
        <v/>
      </c>
      <c r="B194" s="6">
        <f>IF(OR(原始資料!$A194="",1&gt;設定!$B$3,原始資料!D194=""),"",1)</f>
        <v/>
      </c>
      <c r="C194" s="6">
        <f>IF(OR(原始資料!$A194="",2&gt;設定!$B$3,原始資料!E194=""),"",IF(AND(原始資料!D194&lt;&gt;"",原始資料!E194=原始資料!D194),N(B194)+1,1))</f>
        <v/>
      </c>
      <c r="D194" s="6">
        <f>IF(OR(原始資料!$A194="",3&gt;設定!$B$3,原始資料!F194=""),"",IF(AND(原始資料!E194&lt;&gt;"",原始資料!F194=原始資料!E194),N(C194)+1,1))</f>
        <v/>
      </c>
      <c r="E194" s="6">
        <f>IF(OR(原始資料!$A194="",4&gt;設定!$B$3,原始資料!G194=""),"",IF(AND(原始資料!F194&lt;&gt;"",原始資料!G194=原始資料!F194),N(D194)+1,1))</f>
        <v/>
      </c>
      <c r="F194" s="6">
        <f>IF(OR(原始資料!$A194="",5&gt;設定!$B$3,原始資料!H194=""),"",IF(AND(原始資料!G194&lt;&gt;"",原始資料!H194=原始資料!G194),N(E194)+1,1))</f>
        <v/>
      </c>
      <c r="G194" s="6">
        <f>IF(OR(原始資料!$A194="",6&gt;設定!$B$3,原始資料!I194=""),"",IF(AND(原始資料!H194&lt;&gt;"",原始資料!I194=原始資料!H194),N(F194)+1,1))</f>
        <v/>
      </c>
      <c r="H194" s="6">
        <f>IF(OR(原始資料!$A194="",7&gt;設定!$B$3,原始資料!J194=""),"",IF(AND(原始資料!I194&lt;&gt;"",原始資料!J194=原始資料!I194),N(G194)+1,1))</f>
        <v/>
      </c>
      <c r="I194" s="6">
        <f>IF(OR(原始資料!$A194="",8&gt;設定!$B$3,原始資料!K194=""),"",IF(AND(原始資料!J194&lt;&gt;"",原始資料!K194=原始資料!J194),N(H194)+1,1))</f>
        <v/>
      </c>
      <c r="J194" s="6">
        <f>IF(OR(原始資料!$A194="",9&gt;設定!$B$3,原始資料!L194=""),"",IF(AND(原始資料!K194&lt;&gt;"",原始資料!L194=原始資料!K194),N(I194)+1,1))</f>
        <v/>
      </c>
      <c r="K194" s="6">
        <f>IF(OR(原始資料!$A194="",10&gt;設定!$B$3,原始資料!M194=""),"",IF(AND(原始資料!L194&lt;&gt;"",原始資料!M194=原始資料!L194),N(J194)+1,1))</f>
        <v/>
      </c>
      <c r="L194" s="6">
        <f>IF(OR(原始資料!$A194="",11&gt;設定!$B$3,原始資料!N194=""),"",IF(AND(原始資料!M194&lt;&gt;"",原始資料!N194=原始資料!M194),N(K194)+1,1))</f>
        <v/>
      </c>
      <c r="M194" s="6">
        <f>IF(OR(原始資料!$A194="",12&gt;設定!$B$3,原始資料!O194=""),"",IF(AND(原始資料!N194&lt;&gt;"",原始資料!O194=原始資料!N194),N(L194)+1,1))</f>
        <v/>
      </c>
      <c r="N194" s="6">
        <f>IF(OR(原始資料!$A194="",13&gt;設定!$B$3,原始資料!P194=""),"",IF(AND(原始資料!O194&lt;&gt;"",原始資料!P194=原始資料!O194),N(M194)+1,1))</f>
        <v/>
      </c>
      <c r="O194" s="6">
        <f>IF(OR(原始資料!$A194="",14&gt;設定!$B$3,原始資料!Q194=""),"",IF(AND(原始資料!P194&lt;&gt;"",原始資料!Q194=原始資料!P194),N(N194)+1,1))</f>
        <v/>
      </c>
      <c r="P194" s="6">
        <f>IF(OR(原始資料!$A194="",15&gt;設定!$B$3,原始資料!R194=""),"",IF(AND(原始資料!Q194&lt;&gt;"",原始資料!R194=原始資料!Q194),N(O194)+1,1))</f>
        <v/>
      </c>
      <c r="Q194" s="6">
        <f>IF(OR(原始資料!$A194="",16&gt;設定!$B$3,原始資料!S194=""),"",IF(AND(原始資料!R194&lt;&gt;"",原始資料!S194=原始資料!R194),N(P194)+1,1))</f>
        <v/>
      </c>
      <c r="R194" s="6">
        <f>IF(OR(原始資料!$A194="",17&gt;設定!$B$3,原始資料!T194=""),"",IF(AND(原始資料!S194&lt;&gt;"",原始資料!T194=原始資料!S194),N(Q194)+1,1))</f>
        <v/>
      </c>
      <c r="S194" s="6">
        <f>IF(OR(原始資料!$A194="",18&gt;設定!$B$3,原始資料!U194=""),"",IF(AND(原始資料!T194&lt;&gt;"",原始資料!U194=原始資料!T194),N(R194)+1,1))</f>
        <v/>
      </c>
      <c r="T194" s="6">
        <f>IF(OR(原始資料!$A194="",19&gt;設定!$B$3,原始資料!V194=""),"",IF(AND(原始資料!U194&lt;&gt;"",原始資料!V194=原始資料!U194),N(S194)+1,1))</f>
        <v/>
      </c>
      <c r="U194" s="6">
        <f>IF(OR(原始資料!$A194="",20&gt;設定!$B$3,原始資料!W194=""),"",IF(AND(原始資料!V194&lt;&gt;"",原始資料!W194=原始資料!V194),N(T194)+1,1))</f>
        <v/>
      </c>
      <c r="V194" s="6">
        <f>IF(OR(原始資料!$A194="",21&gt;設定!$B$3,原始資料!X194=""),"",IF(AND(原始資料!W194&lt;&gt;"",原始資料!X194=原始資料!W194),N(U194)+1,1))</f>
        <v/>
      </c>
      <c r="W194" s="6">
        <f>IF(OR(原始資料!$A194="",22&gt;設定!$B$3,原始資料!Y194=""),"",IF(AND(原始資料!X194&lt;&gt;"",原始資料!Y194=原始資料!X194),N(V194)+1,1))</f>
        <v/>
      </c>
      <c r="X194" s="6">
        <f>IF(OR(原始資料!$A194="",23&gt;設定!$B$3,原始資料!Z194=""),"",IF(AND(原始資料!Y194&lt;&gt;"",原始資料!Z194=原始資料!Y194),N(W194)+1,1))</f>
        <v/>
      </c>
      <c r="Y194" s="6">
        <f>IF(OR(原始資料!$A194="",24&gt;設定!$B$3,原始資料!AA194=""),"",IF(AND(原始資料!Z194&lt;&gt;"",原始資料!AA194=原始資料!Z194),N(X194)+1,1))</f>
        <v/>
      </c>
      <c r="Z194" s="6">
        <f>IF(OR(原始資料!$A194="",25&gt;設定!$B$3,原始資料!AB194=""),"",IF(AND(原始資料!AA194&lt;&gt;"",原始資料!AB194=原始資料!AA194),N(Y194)+1,1))</f>
        <v/>
      </c>
      <c r="AA194" s="6">
        <f>IF(OR(原始資料!$A194="",26&gt;設定!$B$3,原始資料!AC194=""),"",IF(AND(原始資料!AB194&lt;&gt;"",原始資料!AC194=原始資料!AB194),N(Z194)+1,1))</f>
        <v/>
      </c>
      <c r="AB194" s="6">
        <f>IF(OR(原始資料!$A194="",27&gt;設定!$B$3,原始資料!AD194=""),"",IF(AND(原始資料!AC194&lt;&gt;"",原始資料!AD194=原始資料!AC194),N(AA194)+1,1))</f>
        <v/>
      </c>
      <c r="AC194" s="6">
        <f>IF(OR(原始資料!$A194="",28&gt;設定!$B$3,原始資料!AE194=""),"",IF(AND(原始資料!AD194&lt;&gt;"",原始資料!AE194=原始資料!AD194),N(AB194)+1,1))</f>
        <v/>
      </c>
      <c r="AD194" s="6">
        <f>IF(OR(原始資料!$A194="",29&gt;設定!$B$3,原始資料!AF194=""),"",IF(AND(原始資料!AE194&lt;&gt;"",原始資料!AF194=原始資料!AE194),N(AC194)+1,1))</f>
        <v/>
      </c>
      <c r="AE194" s="6">
        <f>IF(OR(原始資料!$A194="",30&gt;設定!$B$3,原始資料!AG194=""),"",IF(AND(原始資料!AF194&lt;&gt;"",原始資料!AG194=原始資料!AF194),N(AD194)+1,1))</f>
        <v/>
      </c>
      <c r="AF194" s="6">
        <f>IF(OR(原始資料!$A194="",31&gt;設定!$B$3,原始資料!AH194=""),"",IF(AND(原始資料!AG194&lt;&gt;"",原始資料!AH194=原始資料!AG194),N(AE194)+1,1))</f>
        <v/>
      </c>
      <c r="AG194" s="6">
        <f>IF(OR(原始資料!$A194="",32&gt;設定!$B$3,原始資料!AI194=""),"",IF(AND(原始資料!AH194&lt;&gt;"",原始資料!AI194=原始資料!AH194),N(AF194)+1,1))</f>
        <v/>
      </c>
      <c r="AH194" s="6">
        <f>IF(OR(原始資料!$A194="",33&gt;設定!$B$3,原始資料!AJ194=""),"",IF(AND(原始資料!AI194&lt;&gt;"",原始資料!AJ194=原始資料!AI194),N(AG194)+1,1))</f>
        <v/>
      </c>
      <c r="AI194" s="6">
        <f>IF(OR(原始資料!$A194="",34&gt;設定!$B$3,原始資料!AK194=""),"",IF(AND(原始資料!AJ194&lt;&gt;"",原始資料!AK194=原始資料!AJ194),N(AH194)+1,1))</f>
        <v/>
      </c>
      <c r="AJ194" s="6">
        <f>IF(OR(原始資料!$A194="",35&gt;設定!$B$3,原始資料!AL194=""),"",IF(AND(原始資料!AK194&lt;&gt;"",原始資料!AL194=原始資料!AK194),N(AI194)+1,1))</f>
        <v/>
      </c>
      <c r="AK194" s="6">
        <f>IF(OR(原始資料!$A194="",36&gt;設定!$B$3,原始資料!AM194=""),"",IF(AND(原始資料!AL194&lt;&gt;"",原始資料!AM194=原始資料!AL194),N(AJ194)+1,1))</f>
        <v/>
      </c>
      <c r="AL194" s="6">
        <f>IF(OR(原始資料!$A194="",37&gt;設定!$B$3,原始資料!AN194=""),"",IF(AND(原始資料!AM194&lt;&gt;"",原始資料!AN194=原始資料!AM194),N(AK194)+1,1))</f>
        <v/>
      </c>
      <c r="AM194" s="6">
        <f>IF(OR(原始資料!$A194="",38&gt;設定!$B$3,原始資料!AO194=""),"",IF(AND(原始資料!AN194&lt;&gt;"",原始資料!AO194=原始資料!AN194),N(AL194)+1,1))</f>
        <v/>
      </c>
      <c r="AN194" s="6">
        <f>IF(OR(原始資料!$A194="",39&gt;設定!$B$3,原始資料!AP194=""),"",IF(AND(原始資料!AO194&lt;&gt;"",原始資料!AP194=原始資料!AO194),N(AM194)+1,1))</f>
        <v/>
      </c>
      <c r="AO194" s="6">
        <f>IF(OR(原始資料!$A194="",40&gt;設定!$B$3,原始資料!AQ194=""),"",IF(AND(原始資料!AP194&lt;&gt;"",原始資料!AQ194=原始資料!AP194),N(AN194)+1,1))</f>
        <v/>
      </c>
      <c r="AP194" s="6">
        <f>IF(OR(原始資料!$A194="",41&gt;設定!$B$3,原始資料!AR194=""),"",IF(AND(原始資料!AQ194&lt;&gt;"",原始資料!AR194=原始資料!AQ194),N(AO194)+1,1))</f>
        <v/>
      </c>
      <c r="AQ194" s="6">
        <f>IF(OR(原始資料!$A194="",42&gt;設定!$B$3,原始資料!AS194=""),"",IF(AND(原始資料!AR194&lt;&gt;"",原始資料!AS194=原始資料!AR194),N(AP194)+1,1))</f>
        <v/>
      </c>
      <c r="AR194" s="6">
        <f>IF(OR(原始資料!$A194="",43&gt;設定!$B$3,原始資料!AT194=""),"",IF(AND(原始資料!AS194&lt;&gt;"",原始資料!AT194=原始資料!AS194),N(AQ194)+1,1))</f>
        <v/>
      </c>
      <c r="AS194" s="6">
        <f>IF(OR(原始資料!$A194="",44&gt;設定!$B$3,原始資料!AU194=""),"",IF(AND(原始資料!AT194&lt;&gt;"",原始資料!AU194=原始資料!AT194),N(AR194)+1,1))</f>
        <v/>
      </c>
      <c r="AT194" s="6">
        <f>IF(OR(原始資料!$A194="",45&gt;設定!$B$3,原始資料!AV194=""),"",IF(AND(原始資料!AU194&lt;&gt;"",原始資料!AV194=原始資料!AU194),N(AS194)+1,1))</f>
        <v/>
      </c>
      <c r="AU194" s="6">
        <f>IF(OR(原始資料!$A194="",46&gt;設定!$B$3,原始資料!AW194=""),"",IF(AND(原始資料!AV194&lt;&gt;"",原始資料!AW194=原始資料!AV194),N(AT194)+1,1))</f>
        <v/>
      </c>
      <c r="AV194" s="6">
        <f>IF(OR(原始資料!$A194="",47&gt;設定!$B$3,原始資料!AX194=""),"",IF(AND(原始資料!AW194&lt;&gt;"",原始資料!AX194=原始資料!AW194),N(AU194)+1,1))</f>
        <v/>
      </c>
      <c r="AW194" s="6">
        <f>IF(OR(原始資料!$A194="",48&gt;設定!$B$3,原始資料!AY194=""),"",IF(AND(原始資料!AX194&lt;&gt;"",原始資料!AY194=原始資料!AX194),N(AV194)+1,1))</f>
        <v/>
      </c>
      <c r="AX194" s="6">
        <f>IF(OR(原始資料!$A194="",49&gt;設定!$B$3,原始資料!AZ194=""),"",IF(AND(原始資料!AY194&lt;&gt;"",原始資料!AZ194=原始資料!AY194),N(AW194)+1,1))</f>
        <v/>
      </c>
      <c r="AY194" s="6">
        <f>IF(OR(原始資料!$A194="",50&gt;設定!$B$3,原始資料!BA194=""),"",IF(AND(原始資料!AZ194&lt;&gt;"",原始資料!BA194=原始資料!AZ194),N(AX194)+1,1))</f>
        <v/>
      </c>
      <c r="AZ194" s="6">
        <f>IF(OR(原始資料!$A194="",51&gt;設定!$B$3,原始資料!BB194=""),"",IF(AND(原始資料!BA194&lt;&gt;"",原始資料!BB194=原始資料!BA194),N(AY194)+1,1))</f>
        <v/>
      </c>
      <c r="BA194" s="6">
        <f>IF(OR(原始資料!$A194="",52&gt;設定!$B$3,原始資料!BC194=""),"",IF(AND(原始資料!BB194&lt;&gt;"",原始資料!BC194=原始資料!BB194),N(AZ194)+1,1))</f>
        <v/>
      </c>
      <c r="BB194" s="6">
        <f>IF(OR(原始資料!$A194="",53&gt;設定!$B$3,原始資料!BD194=""),"",IF(AND(原始資料!BC194&lt;&gt;"",原始資料!BD194=原始資料!BC194),N(BA194)+1,1))</f>
        <v/>
      </c>
      <c r="BC194" s="6">
        <f>IF(OR(原始資料!$A194="",54&gt;設定!$B$3,原始資料!BE194=""),"",IF(AND(原始資料!BD194&lt;&gt;"",原始資料!BE194=原始資料!BD194),N(BB194)+1,1))</f>
        <v/>
      </c>
      <c r="BD194" s="6">
        <f>IF(OR(原始資料!$A194="",55&gt;設定!$B$3,原始資料!BF194=""),"",IF(AND(原始資料!BE194&lt;&gt;"",原始資料!BF194=原始資料!BE194),N(BC194)+1,1))</f>
        <v/>
      </c>
      <c r="BE194" s="6">
        <f>IF(OR(原始資料!$A194="",56&gt;設定!$B$3,原始資料!BG194=""),"",IF(AND(原始資料!BF194&lt;&gt;"",原始資料!BG194=原始資料!BF194),N(BD194)+1,1))</f>
        <v/>
      </c>
      <c r="BF194" s="6">
        <f>IF(OR(原始資料!$A194="",57&gt;設定!$B$3,原始資料!BH194=""),"",IF(AND(原始資料!BG194&lt;&gt;"",原始資料!BH194=原始資料!BG194),N(BE194)+1,1))</f>
        <v/>
      </c>
      <c r="BG194" s="6">
        <f>IF(OR(原始資料!$A194="",58&gt;設定!$B$3,原始資料!BI194=""),"",IF(AND(原始資料!BH194&lt;&gt;"",原始資料!BI194=原始資料!BH194),N(BF194)+1,1))</f>
        <v/>
      </c>
      <c r="BH194" s="6">
        <f>IF(OR(原始資料!$A194="",59&gt;設定!$B$3,原始資料!BJ194=""),"",IF(AND(原始資料!BI194&lt;&gt;"",原始資料!BJ194=原始資料!BI194),N(BG194)+1,1))</f>
        <v/>
      </c>
      <c r="BI194" s="6">
        <f>IF(OR(原始資料!$A194="",60&gt;設定!$B$3,原始資料!BK194=""),"",IF(AND(原始資料!BJ194&lt;&gt;"",原始資料!BK194=原始資料!BJ194),N(BH194)+1,1))</f>
        <v/>
      </c>
    </row>
    <row r="195">
      <c r="A195" s="6">
        <f>IF(原始資料!$A195="","",原始資料!$A195)</f>
        <v/>
      </c>
      <c r="B195" s="6">
        <f>IF(OR(原始資料!$A195="",1&gt;設定!$B$3,原始資料!D195=""),"",1)</f>
        <v/>
      </c>
      <c r="C195" s="6">
        <f>IF(OR(原始資料!$A195="",2&gt;設定!$B$3,原始資料!E195=""),"",IF(AND(原始資料!D195&lt;&gt;"",原始資料!E195=原始資料!D195),N(B195)+1,1))</f>
        <v/>
      </c>
      <c r="D195" s="6">
        <f>IF(OR(原始資料!$A195="",3&gt;設定!$B$3,原始資料!F195=""),"",IF(AND(原始資料!E195&lt;&gt;"",原始資料!F195=原始資料!E195),N(C195)+1,1))</f>
        <v/>
      </c>
      <c r="E195" s="6">
        <f>IF(OR(原始資料!$A195="",4&gt;設定!$B$3,原始資料!G195=""),"",IF(AND(原始資料!F195&lt;&gt;"",原始資料!G195=原始資料!F195),N(D195)+1,1))</f>
        <v/>
      </c>
      <c r="F195" s="6">
        <f>IF(OR(原始資料!$A195="",5&gt;設定!$B$3,原始資料!H195=""),"",IF(AND(原始資料!G195&lt;&gt;"",原始資料!H195=原始資料!G195),N(E195)+1,1))</f>
        <v/>
      </c>
      <c r="G195" s="6">
        <f>IF(OR(原始資料!$A195="",6&gt;設定!$B$3,原始資料!I195=""),"",IF(AND(原始資料!H195&lt;&gt;"",原始資料!I195=原始資料!H195),N(F195)+1,1))</f>
        <v/>
      </c>
      <c r="H195" s="6">
        <f>IF(OR(原始資料!$A195="",7&gt;設定!$B$3,原始資料!J195=""),"",IF(AND(原始資料!I195&lt;&gt;"",原始資料!J195=原始資料!I195),N(G195)+1,1))</f>
        <v/>
      </c>
      <c r="I195" s="6">
        <f>IF(OR(原始資料!$A195="",8&gt;設定!$B$3,原始資料!K195=""),"",IF(AND(原始資料!J195&lt;&gt;"",原始資料!K195=原始資料!J195),N(H195)+1,1))</f>
        <v/>
      </c>
      <c r="J195" s="6">
        <f>IF(OR(原始資料!$A195="",9&gt;設定!$B$3,原始資料!L195=""),"",IF(AND(原始資料!K195&lt;&gt;"",原始資料!L195=原始資料!K195),N(I195)+1,1))</f>
        <v/>
      </c>
      <c r="K195" s="6">
        <f>IF(OR(原始資料!$A195="",10&gt;設定!$B$3,原始資料!M195=""),"",IF(AND(原始資料!L195&lt;&gt;"",原始資料!M195=原始資料!L195),N(J195)+1,1))</f>
        <v/>
      </c>
      <c r="L195" s="6">
        <f>IF(OR(原始資料!$A195="",11&gt;設定!$B$3,原始資料!N195=""),"",IF(AND(原始資料!M195&lt;&gt;"",原始資料!N195=原始資料!M195),N(K195)+1,1))</f>
        <v/>
      </c>
      <c r="M195" s="6">
        <f>IF(OR(原始資料!$A195="",12&gt;設定!$B$3,原始資料!O195=""),"",IF(AND(原始資料!N195&lt;&gt;"",原始資料!O195=原始資料!N195),N(L195)+1,1))</f>
        <v/>
      </c>
      <c r="N195" s="6">
        <f>IF(OR(原始資料!$A195="",13&gt;設定!$B$3,原始資料!P195=""),"",IF(AND(原始資料!O195&lt;&gt;"",原始資料!P195=原始資料!O195),N(M195)+1,1))</f>
        <v/>
      </c>
      <c r="O195" s="6">
        <f>IF(OR(原始資料!$A195="",14&gt;設定!$B$3,原始資料!Q195=""),"",IF(AND(原始資料!P195&lt;&gt;"",原始資料!Q195=原始資料!P195),N(N195)+1,1))</f>
        <v/>
      </c>
      <c r="P195" s="6">
        <f>IF(OR(原始資料!$A195="",15&gt;設定!$B$3,原始資料!R195=""),"",IF(AND(原始資料!Q195&lt;&gt;"",原始資料!R195=原始資料!Q195),N(O195)+1,1))</f>
        <v/>
      </c>
      <c r="Q195" s="6">
        <f>IF(OR(原始資料!$A195="",16&gt;設定!$B$3,原始資料!S195=""),"",IF(AND(原始資料!R195&lt;&gt;"",原始資料!S195=原始資料!R195),N(P195)+1,1))</f>
        <v/>
      </c>
      <c r="R195" s="6">
        <f>IF(OR(原始資料!$A195="",17&gt;設定!$B$3,原始資料!T195=""),"",IF(AND(原始資料!S195&lt;&gt;"",原始資料!T195=原始資料!S195),N(Q195)+1,1))</f>
        <v/>
      </c>
      <c r="S195" s="6">
        <f>IF(OR(原始資料!$A195="",18&gt;設定!$B$3,原始資料!U195=""),"",IF(AND(原始資料!T195&lt;&gt;"",原始資料!U195=原始資料!T195),N(R195)+1,1))</f>
        <v/>
      </c>
      <c r="T195" s="6">
        <f>IF(OR(原始資料!$A195="",19&gt;設定!$B$3,原始資料!V195=""),"",IF(AND(原始資料!U195&lt;&gt;"",原始資料!V195=原始資料!U195),N(S195)+1,1))</f>
        <v/>
      </c>
      <c r="U195" s="6">
        <f>IF(OR(原始資料!$A195="",20&gt;設定!$B$3,原始資料!W195=""),"",IF(AND(原始資料!V195&lt;&gt;"",原始資料!W195=原始資料!V195),N(T195)+1,1))</f>
        <v/>
      </c>
      <c r="V195" s="6">
        <f>IF(OR(原始資料!$A195="",21&gt;設定!$B$3,原始資料!X195=""),"",IF(AND(原始資料!W195&lt;&gt;"",原始資料!X195=原始資料!W195),N(U195)+1,1))</f>
        <v/>
      </c>
      <c r="W195" s="6">
        <f>IF(OR(原始資料!$A195="",22&gt;設定!$B$3,原始資料!Y195=""),"",IF(AND(原始資料!X195&lt;&gt;"",原始資料!Y195=原始資料!X195),N(V195)+1,1))</f>
        <v/>
      </c>
      <c r="X195" s="6">
        <f>IF(OR(原始資料!$A195="",23&gt;設定!$B$3,原始資料!Z195=""),"",IF(AND(原始資料!Y195&lt;&gt;"",原始資料!Z195=原始資料!Y195),N(W195)+1,1))</f>
        <v/>
      </c>
      <c r="Y195" s="6">
        <f>IF(OR(原始資料!$A195="",24&gt;設定!$B$3,原始資料!AA195=""),"",IF(AND(原始資料!Z195&lt;&gt;"",原始資料!AA195=原始資料!Z195),N(X195)+1,1))</f>
        <v/>
      </c>
      <c r="Z195" s="6">
        <f>IF(OR(原始資料!$A195="",25&gt;設定!$B$3,原始資料!AB195=""),"",IF(AND(原始資料!AA195&lt;&gt;"",原始資料!AB195=原始資料!AA195),N(Y195)+1,1))</f>
        <v/>
      </c>
      <c r="AA195" s="6">
        <f>IF(OR(原始資料!$A195="",26&gt;設定!$B$3,原始資料!AC195=""),"",IF(AND(原始資料!AB195&lt;&gt;"",原始資料!AC195=原始資料!AB195),N(Z195)+1,1))</f>
        <v/>
      </c>
      <c r="AB195" s="6">
        <f>IF(OR(原始資料!$A195="",27&gt;設定!$B$3,原始資料!AD195=""),"",IF(AND(原始資料!AC195&lt;&gt;"",原始資料!AD195=原始資料!AC195),N(AA195)+1,1))</f>
        <v/>
      </c>
      <c r="AC195" s="6">
        <f>IF(OR(原始資料!$A195="",28&gt;設定!$B$3,原始資料!AE195=""),"",IF(AND(原始資料!AD195&lt;&gt;"",原始資料!AE195=原始資料!AD195),N(AB195)+1,1))</f>
        <v/>
      </c>
      <c r="AD195" s="6">
        <f>IF(OR(原始資料!$A195="",29&gt;設定!$B$3,原始資料!AF195=""),"",IF(AND(原始資料!AE195&lt;&gt;"",原始資料!AF195=原始資料!AE195),N(AC195)+1,1))</f>
        <v/>
      </c>
      <c r="AE195" s="6">
        <f>IF(OR(原始資料!$A195="",30&gt;設定!$B$3,原始資料!AG195=""),"",IF(AND(原始資料!AF195&lt;&gt;"",原始資料!AG195=原始資料!AF195),N(AD195)+1,1))</f>
        <v/>
      </c>
      <c r="AF195" s="6">
        <f>IF(OR(原始資料!$A195="",31&gt;設定!$B$3,原始資料!AH195=""),"",IF(AND(原始資料!AG195&lt;&gt;"",原始資料!AH195=原始資料!AG195),N(AE195)+1,1))</f>
        <v/>
      </c>
      <c r="AG195" s="6">
        <f>IF(OR(原始資料!$A195="",32&gt;設定!$B$3,原始資料!AI195=""),"",IF(AND(原始資料!AH195&lt;&gt;"",原始資料!AI195=原始資料!AH195),N(AF195)+1,1))</f>
        <v/>
      </c>
      <c r="AH195" s="6">
        <f>IF(OR(原始資料!$A195="",33&gt;設定!$B$3,原始資料!AJ195=""),"",IF(AND(原始資料!AI195&lt;&gt;"",原始資料!AJ195=原始資料!AI195),N(AG195)+1,1))</f>
        <v/>
      </c>
      <c r="AI195" s="6">
        <f>IF(OR(原始資料!$A195="",34&gt;設定!$B$3,原始資料!AK195=""),"",IF(AND(原始資料!AJ195&lt;&gt;"",原始資料!AK195=原始資料!AJ195),N(AH195)+1,1))</f>
        <v/>
      </c>
      <c r="AJ195" s="6">
        <f>IF(OR(原始資料!$A195="",35&gt;設定!$B$3,原始資料!AL195=""),"",IF(AND(原始資料!AK195&lt;&gt;"",原始資料!AL195=原始資料!AK195),N(AI195)+1,1))</f>
        <v/>
      </c>
      <c r="AK195" s="6">
        <f>IF(OR(原始資料!$A195="",36&gt;設定!$B$3,原始資料!AM195=""),"",IF(AND(原始資料!AL195&lt;&gt;"",原始資料!AM195=原始資料!AL195),N(AJ195)+1,1))</f>
        <v/>
      </c>
      <c r="AL195" s="6">
        <f>IF(OR(原始資料!$A195="",37&gt;設定!$B$3,原始資料!AN195=""),"",IF(AND(原始資料!AM195&lt;&gt;"",原始資料!AN195=原始資料!AM195),N(AK195)+1,1))</f>
        <v/>
      </c>
      <c r="AM195" s="6">
        <f>IF(OR(原始資料!$A195="",38&gt;設定!$B$3,原始資料!AO195=""),"",IF(AND(原始資料!AN195&lt;&gt;"",原始資料!AO195=原始資料!AN195),N(AL195)+1,1))</f>
        <v/>
      </c>
      <c r="AN195" s="6">
        <f>IF(OR(原始資料!$A195="",39&gt;設定!$B$3,原始資料!AP195=""),"",IF(AND(原始資料!AO195&lt;&gt;"",原始資料!AP195=原始資料!AO195),N(AM195)+1,1))</f>
        <v/>
      </c>
      <c r="AO195" s="6">
        <f>IF(OR(原始資料!$A195="",40&gt;設定!$B$3,原始資料!AQ195=""),"",IF(AND(原始資料!AP195&lt;&gt;"",原始資料!AQ195=原始資料!AP195),N(AN195)+1,1))</f>
        <v/>
      </c>
      <c r="AP195" s="6">
        <f>IF(OR(原始資料!$A195="",41&gt;設定!$B$3,原始資料!AR195=""),"",IF(AND(原始資料!AQ195&lt;&gt;"",原始資料!AR195=原始資料!AQ195),N(AO195)+1,1))</f>
        <v/>
      </c>
      <c r="AQ195" s="6">
        <f>IF(OR(原始資料!$A195="",42&gt;設定!$B$3,原始資料!AS195=""),"",IF(AND(原始資料!AR195&lt;&gt;"",原始資料!AS195=原始資料!AR195),N(AP195)+1,1))</f>
        <v/>
      </c>
      <c r="AR195" s="6">
        <f>IF(OR(原始資料!$A195="",43&gt;設定!$B$3,原始資料!AT195=""),"",IF(AND(原始資料!AS195&lt;&gt;"",原始資料!AT195=原始資料!AS195),N(AQ195)+1,1))</f>
        <v/>
      </c>
      <c r="AS195" s="6">
        <f>IF(OR(原始資料!$A195="",44&gt;設定!$B$3,原始資料!AU195=""),"",IF(AND(原始資料!AT195&lt;&gt;"",原始資料!AU195=原始資料!AT195),N(AR195)+1,1))</f>
        <v/>
      </c>
      <c r="AT195" s="6">
        <f>IF(OR(原始資料!$A195="",45&gt;設定!$B$3,原始資料!AV195=""),"",IF(AND(原始資料!AU195&lt;&gt;"",原始資料!AV195=原始資料!AU195),N(AS195)+1,1))</f>
        <v/>
      </c>
      <c r="AU195" s="6">
        <f>IF(OR(原始資料!$A195="",46&gt;設定!$B$3,原始資料!AW195=""),"",IF(AND(原始資料!AV195&lt;&gt;"",原始資料!AW195=原始資料!AV195),N(AT195)+1,1))</f>
        <v/>
      </c>
      <c r="AV195" s="6">
        <f>IF(OR(原始資料!$A195="",47&gt;設定!$B$3,原始資料!AX195=""),"",IF(AND(原始資料!AW195&lt;&gt;"",原始資料!AX195=原始資料!AW195),N(AU195)+1,1))</f>
        <v/>
      </c>
      <c r="AW195" s="6">
        <f>IF(OR(原始資料!$A195="",48&gt;設定!$B$3,原始資料!AY195=""),"",IF(AND(原始資料!AX195&lt;&gt;"",原始資料!AY195=原始資料!AX195),N(AV195)+1,1))</f>
        <v/>
      </c>
      <c r="AX195" s="6">
        <f>IF(OR(原始資料!$A195="",49&gt;設定!$B$3,原始資料!AZ195=""),"",IF(AND(原始資料!AY195&lt;&gt;"",原始資料!AZ195=原始資料!AY195),N(AW195)+1,1))</f>
        <v/>
      </c>
      <c r="AY195" s="6">
        <f>IF(OR(原始資料!$A195="",50&gt;設定!$B$3,原始資料!BA195=""),"",IF(AND(原始資料!AZ195&lt;&gt;"",原始資料!BA195=原始資料!AZ195),N(AX195)+1,1))</f>
        <v/>
      </c>
      <c r="AZ195" s="6">
        <f>IF(OR(原始資料!$A195="",51&gt;設定!$B$3,原始資料!BB195=""),"",IF(AND(原始資料!BA195&lt;&gt;"",原始資料!BB195=原始資料!BA195),N(AY195)+1,1))</f>
        <v/>
      </c>
      <c r="BA195" s="6">
        <f>IF(OR(原始資料!$A195="",52&gt;設定!$B$3,原始資料!BC195=""),"",IF(AND(原始資料!BB195&lt;&gt;"",原始資料!BC195=原始資料!BB195),N(AZ195)+1,1))</f>
        <v/>
      </c>
      <c r="BB195" s="6">
        <f>IF(OR(原始資料!$A195="",53&gt;設定!$B$3,原始資料!BD195=""),"",IF(AND(原始資料!BC195&lt;&gt;"",原始資料!BD195=原始資料!BC195),N(BA195)+1,1))</f>
        <v/>
      </c>
      <c r="BC195" s="6">
        <f>IF(OR(原始資料!$A195="",54&gt;設定!$B$3,原始資料!BE195=""),"",IF(AND(原始資料!BD195&lt;&gt;"",原始資料!BE195=原始資料!BD195),N(BB195)+1,1))</f>
        <v/>
      </c>
      <c r="BD195" s="6">
        <f>IF(OR(原始資料!$A195="",55&gt;設定!$B$3,原始資料!BF195=""),"",IF(AND(原始資料!BE195&lt;&gt;"",原始資料!BF195=原始資料!BE195),N(BC195)+1,1))</f>
        <v/>
      </c>
      <c r="BE195" s="6">
        <f>IF(OR(原始資料!$A195="",56&gt;設定!$B$3,原始資料!BG195=""),"",IF(AND(原始資料!BF195&lt;&gt;"",原始資料!BG195=原始資料!BF195),N(BD195)+1,1))</f>
        <v/>
      </c>
      <c r="BF195" s="6">
        <f>IF(OR(原始資料!$A195="",57&gt;設定!$B$3,原始資料!BH195=""),"",IF(AND(原始資料!BG195&lt;&gt;"",原始資料!BH195=原始資料!BG195),N(BE195)+1,1))</f>
        <v/>
      </c>
      <c r="BG195" s="6">
        <f>IF(OR(原始資料!$A195="",58&gt;設定!$B$3,原始資料!BI195=""),"",IF(AND(原始資料!BH195&lt;&gt;"",原始資料!BI195=原始資料!BH195),N(BF195)+1,1))</f>
        <v/>
      </c>
      <c r="BH195" s="6">
        <f>IF(OR(原始資料!$A195="",59&gt;設定!$B$3,原始資料!BJ195=""),"",IF(AND(原始資料!BI195&lt;&gt;"",原始資料!BJ195=原始資料!BI195),N(BG195)+1,1))</f>
        <v/>
      </c>
      <c r="BI195" s="6">
        <f>IF(OR(原始資料!$A195="",60&gt;設定!$B$3,原始資料!BK195=""),"",IF(AND(原始資料!BJ195&lt;&gt;"",原始資料!BK195=原始資料!BJ195),N(BH195)+1,1))</f>
        <v/>
      </c>
    </row>
    <row r="196">
      <c r="A196" s="6">
        <f>IF(原始資料!$A196="","",原始資料!$A196)</f>
        <v/>
      </c>
      <c r="B196" s="6">
        <f>IF(OR(原始資料!$A196="",1&gt;設定!$B$3,原始資料!D196=""),"",1)</f>
        <v/>
      </c>
      <c r="C196" s="6">
        <f>IF(OR(原始資料!$A196="",2&gt;設定!$B$3,原始資料!E196=""),"",IF(AND(原始資料!D196&lt;&gt;"",原始資料!E196=原始資料!D196),N(B196)+1,1))</f>
        <v/>
      </c>
      <c r="D196" s="6">
        <f>IF(OR(原始資料!$A196="",3&gt;設定!$B$3,原始資料!F196=""),"",IF(AND(原始資料!E196&lt;&gt;"",原始資料!F196=原始資料!E196),N(C196)+1,1))</f>
        <v/>
      </c>
      <c r="E196" s="6">
        <f>IF(OR(原始資料!$A196="",4&gt;設定!$B$3,原始資料!G196=""),"",IF(AND(原始資料!F196&lt;&gt;"",原始資料!G196=原始資料!F196),N(D196)+1,1))</f>
        <v/>
      </c>
      <c r="F196" s="6">
        <f>IF(OR(原始資料!$A196="",5&gt;設定!$B$3,原始資料!H196=""),"",IF(AND(原始資料!G196&lt;&gt;"",原始資料!H196=原始資料!G196),N(E196)+1,1))</f>
        <v/>
      </c>
      <c r="G196" s="6">
        <f>IF(OR(原始資料!$A196="",6&gt;設定!$B$3,原始資料!I196=""),"",IF(AND(原始資料!H196&lt;&gt;"",原始資料!I196=原始資料!H196),N(F196)+1,1))</f>
        <v/>
      </c>
      <c r="H196" s="6">
        <f>IF(OR(原始資料!$A196="",7&gt;設定!$B$3,原始資料!J196=""),"",IF(AND(原始資料!I196&lt;&gt;"",原始資料!J196=原始資料!I196),N(G196)+1,1))</f>
        <v/>
      </c>
      <c r="I196" s="6">
        <f>IF(OR(原始資料!$A196="",8&gt;設定!$B$3,原始資料!K196=""),"",IF(AND(原始資料!J196&lt;&gt;"",原始資料!K196=原始資料!J196),N(H196)+1,1))</f>
        <v/>
      </c>
      <c r="J196" s="6">
        <f>IF(OR(原始資料!$A196="",9&gt;設定!$B$3,原始資料!L196=""),"",IF(AND(原始資料!K196&lt;&gt;"",原始資料!L196=原始資料!K196),N(I196)+1,1))</f>
        <v/>
      </c>
      <c r="K196" s="6">
        <f>IF(OR(原始資料!$A196="",10&gt;設定!$B$3,原始資料!M196=""),"",IF(AND(原始資料!L196&lt;&gt;"",原始資料!M196=原始資料!L196),N(J196)+1,1))</f>
        <v/>
      </c>
      <c r="L196" s="6">
        <f>IF(OR(原始資料!$A196="",11&gt;設定!$B$3,原始資料!N196=""),"",IF(AND(原始資料!M196&lt;&gt;"",原始資料!N196=原始資料!M196),N(K196)+1,1))</f>
        <v/>
      </c>
      <c r="M196" s="6">
        <f>IF(OR(原始資料!$A196="",12&gt;設定!$B$3,原始資料!O196=""),"",IF(AND(原始資料!N196&lt;&gt;"",原始資料!O196=原始資料!N196),N(L196)+1,1))</f>
        <v/>
      </c>
      <c r="N196" s="6">
        <f>IF(OR(原始資料!$A196="",13&gt;設定!$B$3,原始資料!P196=""),"",IF(AND(原始資料!O196&lt;&gt;"",原始資料!P196=原始資料!O196),N(M196)+1,1))</f>
        <v/>
      </c>
      <c r="O196" s="6">
        <f>IF(OR(原始資料!$A196="",14&gt;設定!$B$3,原始資料!Q196=""),"",IF(AND(原始資料!P196&lt;&gt;"",原始資料!Q196=原始資料!P196),N(N196)+1,1))</f>
        <v/>
      </c>
      <c r="P196" s="6">
        <f>IF(OR(原始資料!$A196="",15&gt;設定!$B$3,原始資料!R196=""),"",IF(AND(原始資料!Q196&lt;&gt;"",原始資料!R196=原始資料!Q196),N(O196)+1,1))</f>
        <v/>
      </c>
      <c r="Q196" s="6">
        <f>IF(OR(原始資料!$A196="",16&gt;設定!$B$3,原始資料!S196=""),"",IF(AND(原始資料!R196&lt;&gt;"",原始資料!S196=原始資料!R196),N(P196)+1,1))</f>
        <v/>
      </c>
      <c r="R196" s="6">
        <f>IF(OR(原始資料!$A196="",17&gt;設定!$B$3,原始資料!T196=""),"",IF(AND(原始資料!S196&lt;&gt;"",原始資料!T196=原始資料!S196),N(Q196)+1,1))</f>
        <v/>
      </c>
      <c r="S196" s="6">
        <f>IF(OR(原始資料!$A196="",18&gt;設定!$B$3,原始資料!U196=""),"",IF(AND(原始資料!T196&lt;&gt;"",原始資料!U196=原始資料!T196),N(R196)+1,1))</f>
        <v/>
      </c>
      <c r="T196" s="6">
        <f>IF(OR(原始資料!$A196="",19&gt;設定!$B$3,原始資料!V196=""),"",IF(AND(原始資料!U196&lt;&gt;"",原始資料!V196=原始資料!U196),N(S196)+1,1))</f>
        <v/>
      </c>
      <c r="U196" s="6">
        <f>IF(OR(原始資料!$A196="",20&gt;設定!$B$3,原始資料!W196=""),"",IF(AND(原始資料!V196&lt;&gt;"",原始資料!W196=原始資料!V196),N(T196)+1,1))</f>
        <v/>
      </c>
      <c r="V196" s="6">
        <f>IF(OR(原始資料!$A196="",21&gt;設定!$B$3,原始資料!X196=""),"",IF(AND(原始資料!W196&lt;&gt;"",原始資料!X196=原始資料!W196),N(U196)+1,1))</f>
        <v/>
      </c>
      <c r="W196" s="6">
        <f>IF(OR(原始資料!$A196="",22&gt;設定!$B$3,原始資料!Y196=""),"",IF(AND(原始資料!X196&lt;&gt;"",原始資料!Y196=原始資料!X196),N(V196)+1,1))</f>
        <v/>
      </c>
      <c r="X196" s="6">
        <f>IF(OR(原始資料!$A196="",23&gt;設定!$B$3,原始資料!Z196=""),"",IF(AND(原始資料!Y196&lt;&gt;"",原始資料!Z196=原始資料!Y196),N(W196)+1,1))</f>
        <v/>
      </c>
      <c r="Y196" s="6">
        <f>IF(OR(原始資料!$A196="",24&gt;設定!$B$3,原始資料!AA196=""),"",IF(AND(原始資料!Z196&lt;&gt;"",原始資料!AA196=原始資料!Z196),N(X196)+1,1))</f>
        <v/>
      </c>
      <c r="Z196" s="6">
        <f>IF(OR(原始資料!$A196="",25&gt;設定!$B$3,原始資料!AB196=""),"",IF(AND(原始資料!AA196&lt;&gt;"",原始資料!AB196=原始資料!AA196),N(Y196)+1,1))</f>
        <v/>
      </c>
      <c r="AA196" s="6">
        <f>IF(OR(原始資料!$A196="",26&gt;設定!$B$3,原始資料!AC196=""),"",IF(AND(原始資料!AB196&lt;&gt;"",原始資料!AC196=原始資料!AB196),N(Z196)+1,1))</f>
        <v/>
      </c>
      <c r="AB196" s="6">
        <f>IF(OR(原始資料!$A196="",27&gt;設定!$B$3,原始資料!AD196=""),"",IF(AND(原始資料!AC196&lt;&gt;"",原始資料!AD196=原始資料!AC196),N(AA196)+1,1))</f>
        <v/>
      </c>
      <c r="AC196" s="6">
        <f>IF(OR(原始資料!$A196="",28&gt;設定!$B$3,原始資料!AE196=""),"",IF(AND(原始資料!AD196&lt;&gt;"",原始資料!AE196=原始資料!AD196),N(AB196)+1,1))</f>
        <v/>
      </c>
      <c r="AD196" s="6">
        <f>IF(OR(原始資料!$A196="",29&gt;設定!$B$3,原始資料!AF196=""),"",IF(AND(原始資料!AE196&lt;&gt;"",原始資料!AF196=原始資料!AE196),N(AC196)+1,1))</f>
        <v/>
      </c>
      <c r="AE196" s="6">
        <f>IF(OR(原始資料!$A196="",30&gt;設定!$B$3,原始資料!AG196=""),"",IF(AND(原始資料!AF196&lt;&gt;"",原始資料!AG196=原始資料!AF196),N(AD196)+1,1))</f>
        <v/>
      </c>
      <c r="AF196" s="6">
        <f>IF(OR(原始資料!$A196="",31&gt;設定!$B$3,原始資料!AH196=""),"",IF(AND(原始資料!AG196&lt;&gt;"",原始資料!AH196=原始資料!AG196),N(AE196)+1,1))</f>
        <v/>
      </c>
      <c r="AG196" s="6">
        <f>IF(OR(原始資料!$A196="",32&gt;設定!$B$3,原始資料!AI196=""),"",IF(AND(原始資料!AH196&lt;&gt;"",原始資料!AI196=原始資料!AH196),N(AF196)+1,1))</f>
        <v/>
      </c>
      <c r="AH196" s="6">
        <f>IF(OR(原始資料!$A196="",33&gt;設定!$B$3,原始資料!AJ196=""),"",IF(AND(原始資料!AI196&lt;&gt;"",原始資料!AJ196=原始資料!AI196),N(AG196)+1,1))</f>
        <v/>
      </c>
      <c r="AI196" s="6">
        <f>IF(OR(原始資料!$A196="",34&gt;設定!$B$3,原始資料!AK196=""),"",IF(AND(原始資料!AJ196&lt;&gt;"",原始資料!AK196=原始資料!AJ196),N(AH196)+1,1))</f>
        <v/>
      </c>
      <c r="AJ196" s="6">
        <f>IF(OR(原始資料!$A196="",35&gt;設定!$B$3,原始資料!AL196=""),"",IF(AND(原始資料!AK196&lt;&gt;"",原始資料!AL196=原始資料!AK196),N(AI196)+1,1))</f>
        <v/>
      </c>
      <c r="AK196" s="6">
        <f>IF(OR(原始資料!$A196="",36&gt;設定!$B$3,原始資料!AM196=""),"",IF(AND(原始資料!AL196&lt;&gt;"",原始資料!AM196=原始資料!AL196),N(AJ196)+1,1))</f>
        <v/>
      </c>
      <c r="AL196" s="6">
        <f>IF(OR(原始資料!$A196="",37&gt;設定!$B$3,原始資料!AN196=""),"",IF(AND(原始資料!AM196&lt;&gt;"",原始資料!AN196=原始資料!AM196),N(AK196)+1,1))</f>
        <v/>
      </c>
      <c r="AM196" s="6">
        <f>IF(OR(原始資料!$A196="",38&gt;設定!$B$3,原始資料!AO196=""),"",IF(AND(原始資料!AN196&lt;&gt;"",原始資料!AO196=原始資料!AN196),N(AL196)+1,1))</f>
        <v/>
      </c>
      <c r="AN196" s="6">
        <f>IF(OR(原始資料!$A196="",39&gt;設定!$B$3,原始資料!AP196=""),"",IF(AND(原始資料!AO196&lt;&gt;"",原始資料!AP196=原始資料!AO196),N(AM196)+1,1))</f>
        <v/>
      </c>
      <c r="AO196" s="6">
        <f>IF(OR(原始資料!$A196="",40&gt;設定!$B$3,原始資料!AQ196=""),"",IF(AND(原始資料!AP196&lt;&gt;"",原始資料!AQ196=原始資料!AP196),N(AN196)+1,1))</f>
        <v/>
      </c>
      <c r="AP196" s="6">
        <f>IF(OR(原始資料!$A196="",41&gt;設定!$B$3,原始資料!AR196=""),"",IF(AND(原始資料!AQ196&lt;&gt;"",原始資料!AR196=原始資料!AQ196),N(AO196)+1,1))</f>
        <v/>
      </c>
      <c r="AQ196" s="6">
        <f>IF(OR(原始資料!$A196="",42&gt;設定!$B$3,原始資料!AS196=""),"",IF(AND(原始資料!AR196&lt;&gt;"",原始資料!AS196=原始資料!AR196),N(AP196)+1,1))</f>
        <v/>
      </c>
      <c r="AR196" s="6">
        <f>IF(OR(原始資料!$A196="",43&gt;設定!$B$3,原始資料!AT196=""),"",IF(AND(原始資料!AS196&lt;&gt;"",原始資料!AT196=原始資料!AS196),N(AQ196)+1,1))</f>
        <v/>
      </c>
      <c r="AS196" s="6">
        <f>IF(OR(原始資料!$A196="",44&gt;設定!$B$3,原始資料!AU196=""),"",IF(AND(原始資料!AT196&lt;&gt;"",原始資料!AU196=原始資料!AT196),N(AR196)+1,1))</f>
        <v/>
      </c>
      <c r="AT196" s="6">
        <f>IF(OR(原始資料!$A196="",45&gt;設定!$B$3,原始資料!AV196=""),"",IF(AND(原始資料!AU196&lt;&gt;"",原始資料!AV196=原始資料!AU196),N(AS196)+1,1))</f>
        <v/>
      </c>
      <c r="AU196" s="6">
        <f>IF(OR(原始資料!$A196="",46&gt;設定!$B$3,原始資料!AW196=""),"",IF(AND(原始資料!AV196&lt;&gt;"",原始資料!AW196=原始資料!AV196),N(AT196)+1,1))</f>
        <v/>
      </c>
      <c r="AV196" s="6">
        <f>IF(OR(原始資料!$A196="",47&gt;設定!$B$3,原始資料!AX196=""),"",IF(AND(原始資料!AW196&lt;&gt;"",原始資料!AX196=原始資料!AW196),N(AU196)+1,1))</f>
        <v/>
      </c>
      <c r="AW196" s="6">
        <f>IF(OR(原始資料!$A196="",48&gt;設定!$B$3,原始資料!AY196=""),"",IF(AND(原始資料!AX196&lt;&gt;"",原始資料!AY196=原始資料!AX196),N(AV196)+1,1))</f>
        <v/>
      </c>
      <c r="AX196" s="6">
        <f>IF(OR(原始資料!$A196="",49&gt;設定!$B$3,原始資料!AZ196=""),"",IF(AND(原始資料!AY196&lt;&gt;"",原始資料!AZ196=原始資料!AY196),N(AW196)+1,1))</f>
        <v/>
      </c>
      <c r="AY196" s="6">
        <f>IF(OR(原始資料!$A196="",50&gt;設定!$B$3,原始資料!BA196=""),"",IF(AND(原始資料!AZ196&lt;&gt;"",原始資料!BA196=原始資料!AZ196),N(AX196)+1,1))</f>
        <v/>
      </c>
      <c r="AZ196" s="6">
        <f>IF(OR(原始資料!$A196="",51&gt;設定!$B$3,原始資料!BB196=""),"",IF(AND(原始資料!BA196&lt;&gt;"",原始資料!BB196=原始資料!BA196),N(AY196)+1,1))</f>
        <v/>
      </c>
      <c r="BA196" s="6">
        <f>IF(OR(原始資料!$A196="",52&gt;設定!$B$3,原始資料!BC196=""),"",IF(AND(原始資料!BB196&lt;&gt;"",原始資料!BC196=原始資料!BB196),N(AZ196)+1,1))</f>
        <v/>
      </c>
      <c r="BB196" s="6">
        <f>IF(OR(原始資料!$A196="",53&gt;設定!$B$3,原始資料!BD196=""),"",IF(AND(原始資料!BC196&lt;&gt;"",原始資料!BD196=原始資料!BC196),N(BA196)+1,1))</f>
        <v/>
      </c>
      <c r="BC196" s="6">
        <f>IF(OR(原始資料!$A196="",54&gt;設定!$B$3,原始資料!BE196=""),"",IF(AND(原始資料!BD196&lt;&gt;"",原始資料!BE196=原始資料!BD196),N(BB196)+1,1))</f>
        <v/>
      </c>
      <c r="BD196" s="6">
        <f>IF(OR(原始資料!$A196="",55&gt;設定!$B$3,原始資料!BF196=""),"",IF(AND(原始資料!BE196&lt;&gt;"",原始資料!BF196=原始資料!BE196),N(BC196)+1,1))</f>
        <v/>
      </c>
      <c r="BE196" s="6">
        <f>IF(OR(原始資料!$A196="",56&gt;設定!$B$3,原始資料!BG196=""),"",IF(AND(原始資料!BF196&lt;&gt;"",原始資料!BG196=原始資料!BF196),N(BD196)+1,1))</f>
        <v/>
      </c>
      <c r="BF196" s="6">
        <f>IF(OR(原始資料!$A196="",57&gt;設定!$B$3,原始資料!BH196=""),"",IF(AND(原始資料!BG196&lt;&gt;"",原始資料!BH196=原始資料!BG196),N(BE196)+1,1))</f>
        <v/>
      </c>
      <c r="BG196" s="6">
        <f>IF(OR(原始資料!$A196="",58&gt;設定!$B$3,原始資料!BI196=""),"",IF(AND(原始資料!BH196&lt;&gt;"",原始資料!BI196=原始資料!BH196),N(BF196)+1,1))</f>
        <v/>
      </c>
      <c r="BH196" s="6">
        <f>IF(OR(原始資料!$A196="",59&gt;設定!$B$3,原始資料!BJ196=""),"",IF(AND(原始資料!BI196&lt;&gt;"",原始資料!BJ196=原始資料!BI196),N(BG196)+1,1))</f>
        <v/>
      </c>
      <c r="BI196" s="6">
        <f>IF(OR(原始資料!$A196="",60&gt;設定!$B$3,原始資料!BK196=""),"",IF(AND(原始資料!BJ196&lt;&gt;"",原始資料!BK196=原始資料!BJ196),N(BH196)+1,1))</f>
        <v/>
      </c>
    </row>
    <row r="197">
      <c r="A197" s="6">
        <f>IF(原始資料!$A197="","",原始資料!$A197)</f>
        <v/>
      </c>
      <c r="B197" s="6">
        <f>IF(OR(原始資料!$A197="",1&gt;設定!$B$3,原始資料!D197=""),"",1)</f>
        <v/>
      </c>
      <c r="C197" s="6">
        <f>IF(OR(原始資料!$A197="",2&gt;設定!$B$3,原始資料!E197=""),"",IF(AND(原始資料!D197&lt;&gt;"",原始資料!E197=原始資料!D197),N(B197)+1,1))</f>
        <v/>
      </c>
      <c r="D197" s="6">
        <f>IF(OR(原始資料!$A197="",3&gt;設定!$B$3,原始資料!F197=""),"",IF(AND(原始資料!E197&lt;&gt;"",原始資料!F197=原始資料!E197),N(C197)+1,1))</f>
        <v/>
      </c>
      <c r="E197" s="6">
        <f>IF(OR(原始資料!$A197="",4&gt;設定!$B$3,原始資料!G197=""),"",IF(AND(原始資料!F197&lt;&gt;"",原始資料!G197=原始資料!F197),N(D197)+1,1))</f>
        <v/>
      </c>
      <c r="F197" s="6">
        <f>IF(OR(原始資料!$A197="",5&gt;設定!$B$3,原始資料!H197=""),"",IF(AND(原始資料!G197&lt;&gt;"",原始資料!H197=原始資料!G197),N(E197)+1,1))</f>
        <v/>
      </c>
      <c r="G197" s="6">
        <f>IF(OR(原始資料!$A197="",6&gt;設定!$B$3,原始資料!I197=""),"",IF(AND(原始資料!H197&lt;&gt;"",原始資料!I197=原始資料!H197),N(F197)+1,1))</f>
        <v/>
      </c>
      <c r="H197" s="6">
        <f>IF(OR(原始資料!$A197="",7&gt;設定!$B$3,原始資料!J197=""),"",IF(AND(原始資料!I197&lt;&gt;"",原始資料!J197=原始資料!I197),N(G197)+1,1))</f>
        <v/>
      </c>
      <c r="I197" s="6">
        <f>IF(OR(原始資料!$A197="",8&gt;設定!$B$3,原始資料!K197=""),"",IF(AND(原始資料!J197&lt;&gt;"",原始資料!K197=原始資料!J197),N(H197)+1,1))</f>
        <v/>
      </c>
      <c r="J197" s="6">
        <f>IF(OR(原始資料!$A197="",9&gt;設定!$B$3,原始資料!L197=""),"",IF(AND(原始資料!K197&lt;&gt;"",原始資料!L197=原始資料!K197),N(I197)+1,1))</f>
        <v/>
      </c>
      <c r="K197" s="6">
        <f>IF(OR(原始資料!$A197="",10&gt;設定!$B$3,原始資料!M197=""),"",IF(AND(原始資料!L197&lt;&gt;"",原始資料!M197=原始資料!L197),N(J197)+1,1))</f>
        <v/>
      </c>
      <c r="L197" s="6">
        <f>IF(OR(原始資料!$A197="",11&gt;設定!$B$3,原始資料!N197=""),"",IF(AND(原始資料!M197&lt;&gt;"",原始資料!N197=原始資料!M197),N(K197)+1,1))</f>
        <v/>
      </c>
      <c r="M197" s="6">
        <f>IF(OR(原始資料!$A197="",12&gt;設定!$B$3,原始資料!O197=""),"",IF(AND(原始資料!N197&lt;&gt;"",原始資料!O197=原始資料!N197),N(L197)+1,1))</f>
        <v/>
      </c>
      <c r="N197" s="6">
        <f>IF(OR(原始資料!$A197="",13&gt;設定!$B$3,原始資料!P197=""),"",IF(AND(原始資料!O197&lt;&gt;"",原始資料!P197=原始資料!O197),N(M197)+1,1))</f>
        <v/>
      </c>
      <c r="O197" s="6">
        <f>IF(OR(原始資料!$A197="",14&gt;設定!$B$3,原始資料!Q197=""),"",IF(AND(原始資料!P197&lt;&gt;"",原始資料!Q197=原始資料!P197),N(N197)+1,1))</f>
        <v/>
      </c>
      <c r="P197" s="6">
        <f>IF(OR(原始資料!$A197="",15&gt;設定!$B$3,原始資料!R197=""),"",IF(AND(原始資料!Q197&lt;&gt;"",原始資料!R197=原始資料!Q197),N(O197)+1,1))</f>
        <v/>
      </c>
      <c r="Q197" s="6">
        <f>IF(OR(原始資料!$A197="",16&gt;設定!$B$3,原始資料!S197=""),"",IF(AND(原始資料!R197&lt;&gt;"",原始資料!S197=原始資料!R197),N(P197)+1,1))</f>
        <v/>
      </c>
      <c r="R197" s="6">
        <f>IF(OR(原始資料!$A197="",17&gt;設定!$B$3,原始資料!T197=""),"",IF(AND(原始資料!S197&lt;&gt;"",原始資料!T197=原始資料!S197),N(Q197)+1,1))</f>
        <v/>
      </c>
      <c r="S197" s="6">
        <f>IF(OR(原始資料!$A197="",18&gt;設定!$B$3,原始資料!U197=""),"",IF(AND(原始資料!T197&lt;&gt;"",原始資料!U197=原始資料!T197),N(R197)+1,1))</f>
        <v/>
      </c>
      <c r="T197" s="6">
        <f>IF(OR(原始資料!$A197="",19&gt;設定!$B$3,原始資料!V197=""),"",IF(AND(原始資料!U197&lt;&gt;"",原始資料!V197=原始資料!U197),N(S197)+1,1))</f>
        <v/>
      </c>
      <c r="U197" s="6">
        <f>IF(OR(原始資料!$A197="",20&gt;設定!$B$3,原始資料!W197=""),"",IF(AND(原始資料!V197&lt;&gt;"",原始資料!W197=原始資料!V197),N(T197)+1,1))</f>
        <v/>
      </c>
      <c r="V197" s="6">
        <f>IF(OR(原始資料!$A197="",21&gt;設定!$B$3,原始資料!X197=""),"",IF(AND(原始資料!W197&lt;&gt;"",原始資料!X197=原始資料!W197),N(U197)+1,1))</f>
        <v/>
      </c>
      <c r="W197" s="6">
        <f>IF(OR(原始資料!$A197="",22&gt;設定!$B$3,原始資料!Y197=""),"",IF(AND(原始資料!X197&lt;&gt;"",原始資料!Y197=原始資料!X197),N(V197)+1,1))</f>
        <v/>
      </c>
      <c r="X197" s="6">
        <f>IF(OR(原始資料!$A197="",23&gt;設定!$B$3,原始資料!Z197=""),"",IF(AND(原始資料!Y197&lt;&gt;"",原始資料!Z197=原始資料!Y197),N(W197)+1,1))</f>
        <v/>
      </c>
      <c r="Y197" s="6">
        <f>IF(OR(原始資料!$A197="",24&gt;設定!$B$3,原始資料!AA197=""),"",IF(AND(原始資料!Z197&lt;&gt;"",原始資料!AA197=原始資料!Z197),N(X197)+1,1))</f>
        <v/>
      </c>
      <c r="Z197" s="6">
        <f>IF(OR(原始資料!$A197="",25&gt;設定!$B$3,原始資料!AB197=""),"",IF(AND(原始資料!AA197&lt;&gt;"",原始資料!AB197=原始資料!AA197),N(Y197)+1,1))</f>
        <v/>
      </c>
      <c r="AA197" s="6">
        <f>IF(OR(原始資料!$A197="",26&gt;設定!$B$3,原始資料!AC197=""),"",IF(AND(原始資料!AB197&lt;&gt;"",原始資料!AC197=原始資料!AB197),N(Z197)+1,1))</f>
        <v/>
      </c>
      <c r="AB197" s="6">
        <f>IF(OR(原始資料!$A197="",27&gt;設定!$B$3,原始資料!AD197=""),"",IF(AND(原始資料!AC197&lt;&gt;"",原始資料!AD197=原始資料!AC197),N(AA197)+1,1))</f>
        <v/>
      </c>
      <c r="AC197" s="6">
        <f>IF(OR(原始資料!$A197="",28&gt;設定!$B$3,原始資料!AE197=""),"",IF(AND(原始資料!AD197&lt;&gt;"",原始資料!AE197=原始資料!AD197),N(AB197)+1,1))</f>
        <v/>
      </c>
      <c r="AD197" s="6">
        <f>IF(OR(原始資料!$A197="",29&gt;設定!$B$3,原始資料!AF197=""),"",IF(AND(原始資料!AE197&lt;&gt;"",原始資料!AF197=原始資料!AE197),N(AC197)+1,1))</f>
        <v/>
      </c>
      <c r="AE197" s="6">
        <f>IF(OR(原始資料!$A197="",30&gt;設定!$B$3,原始資料!AG197=""),"",IF(AND(原始資料!AF197&lt;&gt;"",原始資料!AG197=原始資料!AF197),N(AD197)+1,1))</f>
        <v/>
      </c>
      <c r="AF197" s="6">
        <f>IF(OR(原始資料!$A197="",31&gt;設定!$B$3,原始資料!AH197=""),"",IF(AND(原始資料!AG197&lt;&gt;"",原始資料!AH197=原始資料!AG197),N(AE197)+1,1))</f>
        <v/>
      </c>
      <c r="AG197" s="6">
        <f>IF(OR(原始資料!$A197="",32&gt;設定!$B$3,原始資料!AI197=""),"",IF(AND(原始資料!AH197&lt;&gt;"",原始資料!AI197=原始資料!AH197),N(AF197)+1,1))</f>
        <v/>
      </c>
      <c r="AH197" s="6">
        <f>IF(OR(原始資料!$A197="",33&gt;設定!$B$3,原始資料!AJ197=""),"",IF(AND(原始資料!AI197&lt;&gt;"",原始資料!AJ197=原始資料!AI197),N(AG197)+1,1))</f>
        <v/>
      </c>
      <c r="AI197" s="6">
        <f>IF(OR(原始資料!$A197="",34&gt;設定!$B$3,原始資料!AK197=""),"",IF(AND(原始資料!AJ197&lt;&gt;"",原始資料!AK197=原始資料!AJ197),N(AH197)+1,1))</f>
        <v/>
      </c>
      <c r="AJ197" s="6">
        <f>IF(OR(原始資料!$A197="",35&gt;設定!$B$3,原始資料!AL197=""),"",IF(AND(原始資料!AK197&lt;&gt;"",原始資料!AL197=原始資料!AK197),N(AI197)+1,1))</f>
        <v/>
      </c>
      <c r="AK197" s="6">
        <f>IF(OR(原始資料!$A197="",36&gt;設定!$B$3,原始資料!AM197=""),"",IF(AND(原始資料!AL197&lt;&gt;"",原始資料!AM197=原始資料!AL197),N(AJ197)+1,1))</f>
        <v/>
      </c>
      <c r="AL197" s="6">
        <f>IF(OR(原始資料!$A197="",37&gt;設定!$B$3,原始資料!AN197=""),"",IF(AND(原始資料!AM197&lt;&gt;"",原始資料!AN197=原始資料!AM197),N(AK197)+1,1))</f>
        <v/>
      </c>
      <c r="AM197" s="6">
        <f>IF(OR(原始資料!$A197="",38&gt;設定!$B$3,原始資料!AO197=""),"",IF(AND(原始資料!AN197&lt;&gt;"",原始資料!AO197=原始資料!AN197),N(AL197)+1,1))</f>
        <v/>
      </c>
      <c r="AN197" s="6">
        <f>IF(OR(原始資料!$A197="",39&gt;設定!$B$3,原始資料!AP197=""),"",IF(AND(原始資料!AO197&lt;&gt;"",原始資料!AP197=原始資料!AO197),N(AM197)+1,1))</f>
        <v/>
      </c>
      <c r="AO197" s="6">
        <f>IF(OR(原始資料!$A197="",40&gt;設定!$B$3,原始資料!AQ197=""),"",IF(AND(原始資料!AP197&lt;&gt;"",原始資料!AQ197=原始資料!AP197),N(AN197)+1,1))</f>
        <v/>
      </c>
      <c r="AP197" s="6">
        <f>IF(OR(原始資料!$A197="",41&gt;設定!$B$3,原始資料!AR197=""),"",IF(AND(原始資料!AQ197&lt;&gt;"",原始資料!AR197=原始資料!AQ197),N(AO197)+1,1))</f>
        <v/>
      </c>
      <c r="AQ197" s="6">
        <f>IF(OR(原始資料!$A197="",42&gt;設定!$B$3,原始資料!AS197=""),"",IF(AND(原始資料!AR197&lt;&gt;"",原始資料!AS197=原始資料!AR197),N(AP197)+1,1))</f>
        <v/>
      </c>
      <c r="AR197" s="6">
        <f>IF(OR(原始資料!$A197="",43&gt;設定!$B$3,原始資料!AT197=""),"",IF(AND(原始資料!AS197&lt;&gt;"",原始資料!AT197=原始資料!AS197),N(AQ197)+1,1))</f>
        <v/>
      </c>
      <c r="AS197" s="6">
        <f>IF(OR(原始資料!$A197="",44&gt;設定!$B$3,原始資料!AU197=""),"",IF(AND(原始資料!AT197&lt;&gt;"",原始資料!AU197=原始資料!AT197),N(AR197)+1,1))</f>
        <v/>
      </c>
      <c r="AT197" s="6">
        <f>IF(OR(原始資料!$A197="",45&gt;設定!$B$3,原始資料!AV197=""),"",IF(AND(原始資料!AU197&lt;&gt;"",原始資料!AV197=原始資料!AU197),N(AS197)+1,1))</f>
        <v/>
      </c>
      <c r="AU197" s="6">
        <f>IF(OR(原始資料!$A197="",46&gt;設定!$B$3,原始資料!AW197=""),"",IF(AND(原始資料!AV197&lt;&gt;"",原始資料!AW197=原始資料!AV197),N(AT197)+1,1))</f>
        <v/>
      </c>
      <c r="AV197" s="6">
        <f>IF(OR(原始資料!$A197="",47&gt;設定!$B$3,原始資料!AX197=""),"",IF(AND(原始資料!AW197&lt;&gt;"",原始資料!AX197=原始資料!AW197),N(AU197)+1,1))</f>
        <v/>
      </c>
      <c r="AW197" s="6">
        <f>IF(OR(原始資料!$A197="",48&gt;設定!$B$3,原始資料!AY197=""),"",IF(AND(原始資料!AX197&lt;&gt;"",原始資料!AY197=原始資料!AX197),N(AV197)+1,1))</f>
        <v/>
      </c>
      <c r="AX197" s="6">
        <f>IF(OR(原始資料!$A197="",49&gt;設定!$B$3,原始資料!AZ197=""),"",IF(AND(原始資料!AY197&lt;&gt;"",原始資料!AZ197=原始資料!AY197),N(AW197)+1,1))</f>
        <v/>
      </c>
      <c r="AY197" s="6">
        <f>IF(OR(原始資料!$A197="",50&gt;設定!$B$3,原始資料!BA197=""),"",IF(AND(原始資料!AZ197&lt;&gt;"",原始資料!BA197=原始資料!AZ197),N(AX197)+1,1))</f>
        <v/>
      </c>
      <c r="AZ197" s="6">
        <f>IF(OR(原始資料!$A197="",51&gt;設定!$B$3,原始資料!BB197=""),"",IF(AND(原始資料!BA197&lt;&gt;"",原始資料!BB197=原始資料!BA197),N(AY197)+1,1))</f>
        <v/>
      </c>
      <c r="BA197" s="6">
        <f>IF(OR(原始資料!$A197="",52&gt;設定!$B$3,原始資料!BC197=""),"",IF(AND(原始資料!BB197&lt;&gt;"",原始資料!BC197=原始資料!BB197),N(AZ197)+1,1))</f>
        <v/>
      </c>
      <c r="BB197" s="6">
        <f>IF(OR(原始資料!$A197="",53&gt;設定!$B$3,原始資料!BD197=""),"",IF(AND(原始資料!BC197&lt;&gt;"",原始資料!BD197=原始資料!BC197),N(BA197)+1,1))</f>
        <v/>
      </c>
      <c r="BC197" s="6">
        <f>IF(OR(原始資料!$A197="",54&gt;設定!$B$3,原始資料!BE197=""),"",IF(AND(原始資料!BD197&lt;&gt;"",原始資料!BE197=原始資料!BD197),N(BB197)+1,1))</f>
        <v/>
      </c>
      <c r="BD197" s="6">
        <f>IF(OR(原始資料!$A197="",55&gt;設定!$B$3,原始資料!BF197=""),"",IF(AND(原始資料!BE197&lt;&gt;"",原始資料!BF197=原始資料!BE197),N(BC197)+1,1))</f>
        <v/>
      </c>
      <c r="BE197" s="6">
        <f>IF(OR(原始資料!$A197="",56&gt;設定!$B$3,原始資料!BG197=""),"",IF(AND(原始資料!BF197&lt;&gt;"",原始資料!BG197=原始資料!BF197),N(BD197)+1,1))</f>
        <v/>
      </c>
      <c r="BF197" s="6">
        <f>IF(OR(原始資料!$A197="",57&gt;設定!$B$3,原始資料!BH197=""),"",IF(AND(原始資料!BG197&lt;&gt;"",原始資料!BH197=原始資料!BG197),N(BE197)+1,1))</f>
        <v/>
      </c>
      <c r="BG197" s="6">
        <f>IF(OR(原始資料!$A197="",58&gt;設定!$B$3,原始資料!BI197=""),"",IF(AND(原始資料!BH197&lt;&gt;"",原始資料!BI197=原始資料!BH197),N(BF197)+1,1))</f>
        <v/>
      </c>
      <c r="BH197" s="6">
        <f>IF(OR(原始資料!$A197="",59&gt;設定!$B$3,原始資料!BJ197=""),"",IF(AND(原始資料!BI197&lt;&gt;"",原始資料!BJ197=原始資料!BI197),N(BG197)+1,1))</f>
        <v/>
      </c>
      <c r="BI197" s="6">
        <f>IF(OR(原始資料!$A197="",60&gt;設定!$B$3,原始資料!BK197=""),"",IF(AND(原始資料!BJ197&lt;&gt;"",原始資料!BK197=原始資料!BJ197),N(BH197)+1,1))</f>
        <v/>
      </c>
    </row>
    <row r="198">
      <c r="A198" s="6">
        <f>IF(原始資料!$A198="","",原始資料!$A198)</f>
        <v/>
      </c>
      <c r="B198" s="6">
        <f>IF(OR(原始資料!$A198="",1&gt;設定!$B$3,原始資料!D198=""),"",1)</f>
        <v/>
      </c>
      <c r="C198" s="6">
        <f>IF(OR(原始資料!$A198="",2&gt;設定!$B$3,原始資料!E198=""),"",IF(AND(原始資料!D198&lt;&gt;"",原始資料!E198=原始資料!D198),N(B198)+1,1))</f>
        <v/>
      </c>
      <c r="D198" s="6">
        <f>IF(OR(原始資料!$A198="",3&gt;設定!$B$3,原始資料!F198=""),"",IF(AND(原始資料!E198&lt;&gt;"",原始資料!F198=原始資料!E198),N(C198)+1,1))</f>
        <v/>
      </c>
      <c r="E198" s="6">
        <f>IF(OR(原始資料!$A198="",4&gt;設定!$B$3,原始資料!G198=""),"",IF(AND(原始資料!F198&lt;&gt;"",原始資料!G198=原始資料!F198),N(D198)+1,1))</f>
        <v/>
      </c>
      <c r="F198" s="6">
        <f>IF(OR(原始資料!$A198="",5&gt;設定!$B$3,原始資料!H198=""),"",IF(AND(原始資料!G198&lt;&gt;"",原始資料!H198=原始資料!G198),N(E198)+1,1))</f>
        <v/>
      </c>
      <c r="G198" s="6">
        <f>IF(OR(原始資料!$A198="",6&gt;設定!$B$3,原始資料!I198=""),"",IF(AND(原始資料!H198&lt;&gt;"",原始資料!I198=原始資料!H198),N(F198)+1,1))</f>
        <v/>
      </c>
      <c r="H198" s="6">
        <f>IF(OR(原始資料!$A198="",7&gt;設定!$B$3,原始資料!J198=""),"",IF(AND(原始資料!I198&lt;&gt;"",原始資料!J198=原始資料!I198),N(G198)+1,1))</f>
        <v/>
      </c>
      <c r="I198" s="6">
        <f>IF(OR(原始資料!$A198="",8&gt;設定!$B$3,原始資料!K198=""),"",IF(AND(原始資料!J198&lt;&gt;"",原始資料!K198=原始資料!J198),N(H198)+1,1))</f>
        <v/>
      </c>
      <c r="J198" s="6">
        <f>IF(OR(原始資料!$A198="",9&gt;設定!$B$3,原始資料!L198=""),"",IF(AND(原始資料!K198&lt;&gt;"",原始資料!L198=原始資料!K198),N(I198)+1,1))</f>
        <v/>
      </c>
      <c r="K198" s="6">
        <f>IF(OR(原始資料!$A198="",10&gt;設定!$B$3,原始資料!M198=""),"",IF(AND(原始資料!L198&lt;&gt;"",原始資料!M198=原始資料!L198),N(J198)+1,1))</f>
        <v/>
      </c>
      <c r="L198" s="6">
        <f>IF(OR(原始資料!$A198="",11&gt;設定!$B$3,原始資料!N198=""),"",IF(AND(原始資料!M198&lt;&gt;"",原始資料!N198=原始資料!M198),N(K198)+1,1))</f>
        <v/>
      </c>
      <c r="M198" s="6">
        <f>IF(OR(原始資料!$A198="",12&gt;設定!$B$3,原始資料!O198=""),"",IF(AND(原始資料!N198&lt;&gt;"",原始資料!O198=原始資料!N198),N(L198)+1,1))</f>
        <v/>
      </c>
      <c r="N198" s="6">
        <f>IF(OR(原始資料!$A198="",13&gt;設定!$B$3,原始資料!P198=""),"",IF(AND(原始資料!O198&lt;&gt;"",原始資料!P198=原始資料!O198),N(M198)+1,1))</f>
        <v/>
      </c>
      <c r="O198" s="6">
        <f>IF(OR(原始資料!$A198="",14&gt;設定!$B$3,原始資料!Q198=""),"",IF(AND(原始資料!P198&lt;&gt;"",原始資料!Q198=原始資料!P198),N(N198)+1,1))</f>
        <v/>
      </c>
      <c r="P198" s="6">
        <f>IF(OR(原始資料!$A198="",15&gt;設定!$B$3,原始資料!R198=""),"",IF(AND(原始資料!Q198&lt;&gt;"",原始資料!R198=原始資料!Q198),N(O198)+1,1))</f>
        <v/>
      </c>
      <c r="Q198" s="6">
        <f>IF(OR(原始資料!$A198="",16&gt;設定!$B$3,原始資料!S198=""),"",IF(AND(原始資料!R198&lt;&gt;"",原始資料!S198=原始資料!R198),N(P198)+1,1))</f>
        <v/>
      </c>
      <c r="R198" s="6">
        <f>IF(OR(原始資料!$A198="",17&gt;設定!$B$3,原始資料!T198=""),"",IF(AND(原始資料!S198&lt;&gt;"",原始資料!T198=原始資料!S198),N(Q198)+1,1))</f>
        <v/>
      </c>
      <c r="S198" s="6">
        <f>IF(OR(原始資料!$A198="",18&gt;設定!$B$3,原始資料!U198=""),"",IF(AND(原始資料!T198&lt;&gt;"",原始資料!U198=原始資料!T198),N(R198)+1,1))</f>
        <v/>
      </c>
      <c r="T198" s="6">
        <f>IF(OR(原始資料!$A198="",19&gt;設定!$B$3,原始資料!V198=""),"",IF(AND(原始資料!U198&lt;&gt;"",原始資料!V198=原始資料!U198),N(S198)+1,1))</f>
        <v/>
      </c>
      <c r="U198" s="6">
        <f>IF(OR(原始資料!$A198="",20&gt;設定!$B$3,原始資料!W198=""),"",IF(AND(原始資料!V198&lt;&gt;"",原始資料!W198=原始資料!V198),N(T198)+1,1))</f>
        <v/>
      </c>
      <c r="V198" s="6">
        <f>IF(OR(原始資料!$A198="",21&gt;設定!$B$3,原始資料!X198=""),"",IF(AND(原始資料!W198&lt;&gt;"",原始資料!X198=原始資料!W198),N(U198)+1,1))</f>
        <v/>
      </c>
      <c r="W198" s="6">
        <f>IF(OR(原始資料!$A198="",22&gt;設定!$B$3,原始資料!Y198=""),"",IF(AND(原始資料!X198&lt;&gt;"",原始資料!Y198=原始資料!X198),N(V198)+1,1))</f>
        <v/>
      </c>
      <c r="X198" s="6">
        <f>IF(OR(原始資料!$A198="",23&gt;設定!$B$3,原始資料!Z198=""),"",IF(AND(原始資料!Y198&lt;&gt;"",原始資料!Z198=原始資料!Y198),N(W198)+1,1))</f>
        <v/>
      </c>
      <c r="Y198" s="6">
        <f>IF(OR(原始資料!$A198="",24&gt;設定!$B$3,原始資料!AA198=""),"",IF(AND(原始資料!Z198&lt;&gt;"",原始資料!AA198=原始資料!Z198),N(X198)+1,1))</f>
        <v/>
      </c>
      <c r="Z198" s="6">
        <f>IF(OR(原始資料!$A198="",25&gt;設定!$B$3,原始資料!AB198=""),"",IF(AND(原始資料!AA198&lt;&gt;"",原始資料!AB198=原始資料!AA198),N(Y198)+1,1))</f>
        <v/>
      </c>
      <c r="AA198" s="6">
        <f>IF(OR(原始資料!$A198="",26&gt;設定!$B$3,原始資料!AC198=""),"",IF(AND(原始資料!AB198&lt;&gt;"",原始資料!AC198=原始資料!AB198),N(Z198)+1,1))</f>
        <v/>
      </c>
      <c r="AB198" s="6">
        <f>IF(OR(原始資料!$A198="",27&gt;設定!$B$3,原始資料!AD198=""),"",IF(AND(原始資料!AC198&lt;&gt;"",原始資料!AD198=原始資料!AC198),N(AA198)+1,1))</f>
        <v/>
      </c>
      <c r="AC198" s="6">
        <f>IF(OR(原始資料!$A198="",28&gt;設定!$B$3,原始資料!AE198=""),"",IF(AND(原始資料!AD198&lt;&gt;"",原始資料!AE198=原始資料!AD198),N(AB198)+1,1))</f>
        <v/>
      </c>
      <c r="AD198" s="6">
        <f>IF(OR(原始資料!$A198="",29&gt;設定!$B$3,原始資料!AF198=""),"",IF(AND(原始資料!AE198&lt;&gt;"",原始資料!AF198=原始資料!AE198),N(AC198)+1,1))</f>
        <v/>
      </c>
      <c r="AE198" s="6">
        <f>IF(OR(原始資料!$A198="",30&gt;設定!$B$3,原始資料!AG198=""),"",IF(AND(原始資料!AF198&lt;&gt;"",原始資料!AG198=原始資料!AF198),N(AD198)+1,1))</f>
        <v/>
      </c>
      <c r="AF198" s="6">
        <f>IF(OR(原始資料!$A198="",31&gt;設定!$B$3,原始資料!AH198=""),"",IF(AND(原始資料!AG198&lt;&gt;"",原始資料!AH198=原始資料!AG198),N(AE198)+1,1))</f>
        <v/>
      </c>
      <c r="AG198" s="6">
        <f>IF(OR(原始資料!$A198="",32&gt;設定!$B$3,原始資料!AI198=""),"",IF(AND(原始資料!AH198&lt;&gt;"",原始資料!AI198=原始資料!AH198),N(AF198)+1,1))</f>
        <v/>
      </c>
      <c r="AH198" s="6">
        <f>IF(OR(原始資料!$A198="",33&gt;設定!$B$3,原始資料!AJ198=""),"",IF(AND(原始資料!AI198&lt;&gt;"",原始資料!AJ198=原始資料!AI198),N(AG198)+1,1))</f>
        <v/>
      </c>
      <c r="AI198" s="6">
        <f>IF(OR(原始資料!$A198="",34&gt;設定!$B$3,原始資料!AK198=""),"",IF(AND(原始資料!AJ198&lt;&gt;"",原始資料!AK198=原始資料!AJ198),N(AH198)+1,1))</f>
        <v/>
      </c>
      <c r="AJ198" s="6">
        <f>IF(OR(原始資料!$A198="",35&gt;設定!$B$3,原始資料!AL198=""),"",IF(AND(原始資料!AK198&lt;&gt;"",原始資料!AL198=原始資料!AK198),N(AI198)+1,1))</f>
        <v/>
      </c>
      <c r="AK198" s="6">
        <f>IF(OR(原始資料!$A198="",36&gt;設定!$B$3,原始資料!AM198=""),"",IF(AND(原始資料!AL198&lt;&gt;"",原始資料!AM198=原始資料!AL198),N(AJ198)+1,1))</f>
        <v/>
      </c>
      <c r="AL198" s="6">
        <f>IF(OR(原始資料!$A198="",37&gt;設定!$B$3,原始資料!AN198=""),"",IF(AND(原始資料!AM198&lt;&gt;"",原始資料!AN198=原始資料!AM198),N(AK198)+1,1))</f>
        <v/>
      </c>
      <c r="AM198" s="6">
        <f>IF(OR(原始資料!$A198="",38&gt;設定!$B$3,原始資料!AO198=""),"",IF(AND(原始資料!AN198&lt;&gt;"",原始資料!AO198=原始資料!AN198),N(AL198)+1,1))</f>
        <v/>
      </c>
      <c r="AN198" s="6">
        <f>IF(OR(原始資料!$A198="",39&gt;設定!$B$3,原始資料!AP198=""),"",IF(AND(原始資料!AO198&lt;&gt;"",原始資料!AP198=原始資料!AO198),N(AM198)+1,1))</f>
        <v/>
      </c>
      <c r="AO198" s="6">
        <f>IF(OR(原始資料!$A198="",40&gt;設定!$B$3,原始資料!AQ198=""),"",IF(AND(原始資料!AP198&lt;&gt;"",原始資料!AQ198=原始資料!AP198),N(AN198)+1,1))</f>
        <v/>
      </c>
      <c r="AP198" s="6">
        <f>IF(OR(原始資料!$A198="",41&gt;設定!$B$3,原始資料!AR198=""),"",IF(AND(原始資料!AQ198&lt;&gt;"",原始資料!AR198=原始資料!AQ198),N(AO198)+1,1))</f>
        <v/>
      </c>
      <c r="AQ198" s="6">
        <f>IF(OR(原始資料!$A198="",42&gt;設定!$B$3,原始資料!AS198=""),"",IF(AND(原始資料!AR198&lt;&gt;"",原始資料!AS198=原始資料!AR198),N(AP198)+1,1))</f>
        <v/>
      </c>
      <c r="AR198" s="6">
        <f>IF(OR(原始資料!$A198="",43&gt;設定!$B$3,原始資料!AT198=""),"",IF(AND(原始資料!AS198&lt;&gt;"",原始資料!AT198=原始資料!AS198),N(AQ198)+1,1))</f>
        <v/>
      </c>
      <c r="AS198" s="6">
        <f>IF(OR(原始資料!$A198="",44&gt;設定!$B$3,原始資料!AU198=""),"",IF(AND(原始資料!AT198&lt;&gt;"",原始資料!AU198=原始資料!AT198),N(AR198)+1,1))</f>
        <v/>
      </c>
      <c r="AT198" s="6">
        <f>IF(OR(原始資料!$A198="",45&gt;設定!$B$3,原始資料!AV198=""),"",IF(AND(原始資料!AU198&lt;&gt;"",原始資料!AV198=原始資料!AU198),N(AS198)+1,1))</f>
        <v/>
      </c>
      <c r="AU198" s="6">
        <f>IF(OR(原始資料!$A198="",46&gt;設定!$B$3,原始資料!AW198=""),"",IF(AND(原始資料!AV198&lt;&gt;"",原始資料!AW198=原始資料!AV198),N(AT198)+1,1))</f>
        <v/>
      </c>
      <c r="AV198" s="6">
        <f>IF(OR(原始資料!$A198="",47&gt;設定!$B$3,原始資料!AX198=""),"",IF(AND(原始資料!AW198&lt;&gt;"",原始資料!AX198=原始資料!AW198),N(AU198)+1,1))</f>
        <v/>
      </c>
      <c r="AW198" s="6">
        <f>IF(OR(原始資料!$A198="",48&gt;設定!$B$3,原始資料!AY198=""),"",IF(AND(原始資料!AX198&lt;&gt;"",原始資料!AY198=原始資料!AX198),N(AV198)+1,1))</f>
        <v/>
      </c>
      <c r="AX198" s="6">
        <f>IF(OR(原始資料!$A198="",49&gt;設定!$B$3,原始資料!AZ198=""),"",IF(AND(原始資料!AY198&lt;&gt;"",原始資料!AZ198=原始資料!AY198),N(AW198)+1,1))</f>
        <v/>
      </c>
      <c r="AY198" s="6">
        <f>IF(OR(原始資料!$A198="",50&gt;設定!$B$3,原始資料!BA198=""),"",IF(AND(原始資料!AZ198&lt;&gt;"",原始資料!BA198=原始資料!AZ198),N(AX198)+1,1))</f>
        <v/>
      </c>
      <c r="AZ198" s="6">
        <f>IF(OR(原始資料!$A198="",51&gt;設定!$B$3,原始資料!BB198=""),"",IF(AND(原始資料!BA198&lt;&gt;"",原始資料!BB198=原始資料!BA198),N(AY198)+1,1))</f>
        <v/>
      </c>
      <c r="BA198" s="6">
        <f>IF(OR(原始資料!$A198="",52&gt;設定!$B$3,原始資料!BC198=""),"",IF(AND(原始資料!BB198&lt;&gt;"",原始資料!BC198=原始資料!BB198),N(AZ198)+1,1))</f>
        <v/>
      </c>
      <c r="BB198" s="6">
        <f>IF(OR(原始資料!$A198="",53&gt;設定!$B$3,原始資料!BD198=""),"",IF(AND(原始資料!BC198&lt;&gt;"",原始資料!BD198=原始資料!BC198),N(BA198)+1,1))</f>
        <v/>
      </c>
      <c r="BC198" s="6">
        <f>IF(OR(原始資料!$A198="",54&gt;設定!$B$3,原始資料!BE198=""),"",IF(AND(原始資料!BD198&lt;&gt;"",原始資料!BE198=原始資料!BD198),N(BB198)+1,1))</f>
        <v/>
      </c>
      <c r="BD198" s="6">
        <f>IF(OR(原始資料!$A198="",55&gt;設定!$B$3,原始資料!BF198=""),"",IF(AND(原始資料!BE198&lt;&gt;"",原始資料!BF198=原始資料!BE198),N(BC198)+1,1))</f>
        <v/>
      </c>
      <c r="BE198" s="6">
        <f>IF(OR(原始資料!$A198="",56&gt;設定!$B$3,原始資料!BG198=""),"",IF(AND(原始資料!BF198&lt;&gt;"",原始資料!BG198=原始資料!BF198),N(BD198)+1,1))</f>
        <v/>
      </c>
      <c r="BF198" s="6">
        <f>IF(OR(原始資料!$A198="",57&gt;設定!$B$3,原始資料!BH198=""),"",IF(AND(原始資料!BG198&lt;&gt;"",原始資料!BH198=原始資料!BG198),N(BE198)+1,1))</f>
        <v/>
      </c>
      <c r="BG198" s="6">
        <f>IF(OR(原始資料!$A198="",58&gt;設定!$B$3,原始資料!BI198=""),"",IF(AND(原始資料!BH198&lt;&gt;"",原始資料!BI198=原始資料!BH198),N(BF198)+1,1))</f>
        <v/>
      </c>
      <c r="BH198" s="6">
        <f>IF(OR(原始資料!$A198="",59&gt;設定!$B$3,原始資料!BJ198=""),"",IF(AND(原始資料!BI198&lt;&gt;"",原始資料!BJ198=原始資料!BI198),N(BG198)+1,1))</f>
        <v/>
      </c>
      <c r="BI198" s="6">
        <f>IF(OR(原始資料!$A198="",60&gt;設定!$B$3,原始資料!BK198=""),"",IF(AND(原始資料!BJ198&lt;&gt;"",原始資料!BK198=原始資料!BJ198),N(BH198)+1,1))</f>
        <v/>
      </c>
    </row>
    <row r="199">
      <c r="A199" s="6">
        <f>IF(原始資料!$A199="","",原始資料!$A199)</f>
        <v/>
      </c>
      <c r="B199" s="6">
        <f>IF(OR(原始資料!$A199="",1&gt;設定!$B$3,原始資料!D199=""),"",1)</f>
        <v/>
      </c>
      <c r="C199" s="6">
        <f>IF(OR(原始資料!$A199="",2&gt;設定!$B$3,原始資料!E199=""),"",IF(AND(原始資料!D199&lt;&gt;"",原始資料!E199=原始資料!D199),N(B199)+1,1))</f>
        <v/>
      </c>
      <c r="D199" s="6">
        <f>IF(OR(原始資料!$A199="",3&gt;設定!$B$3,原始資料!F199=""),"",IF(AND(原始資料!E199&lt;&gt;"",原始資料!F199=原始資料!E199),N(C199)+1,1))</f>
        <v/>
      </c>
      <c r="E199" s="6">
        <f>IF(OR(原始資料!$A199="",4&gt;設定!$B$3,原始資料!G199=""),"",IF(AND(原始資料!F199&lt;&gt;"",原始資料!G199=原始資料!F199),N(D199)+1,1))</f>
        <v/>
      </c>
      <c r="F199" s="6">
        <f>IF(OR(原始資料!$A199="",5&gt;設定!$B$3,原始資料!H199=""),"",IF(AND(原始資料!G199&lt;&gt;"",原始資料!H199=原始資料!G199),N(E199)+1,1))</f>
        <v/>
      </c>
      <c r="G199" s="6">
        <f>IF(OR(原始資料!$A199="",6&gt;設定!$B$3,原始資料!I199=""),"",IF(AND(原始資料!H199&lt;&gt;"",原始資料!I199=原始資料!H199),N(F199)+1,1))</f>
        <v/>
      </c>
      <c r="H199" s="6">
        <f>IF(OR(原始資料!$A199="",7&gt;設定!$B$3,原始資料!J199=""),"",IF(AND(原始資料!I199&lt;&gt;"",原始資料!J199=原始資料!I199),N(G199)+1,1))</f>
        <v/>
      </c>
      <c r="I199" s="6">
        <f>IF(OR(原始資料!$A199="",8&gt;設定!$B$3,原始資料!K199=""),"",IF(AND(原始資料!J199&lt;&gt;"",原始資料!K199=原始資料!J199),N(H199)+1,1))</f>
        <v/>
      </c>
      <c r="J199" s="6">
        <f>IF(OR(原始資料!$A199="",9&gt;設定!$B$3,原始資料!L199=""),"",IF(AND(原始資料!K199&lt;&gt;"",原始資料!L199=原始資料!K199),N(I199)+1,1))</f>
        <v/>
      </c>
      <c r="K199" s="6">
        <f>IF(OR(原始資料!$A199="",10&gt;設定!$B$3,原始資料!M199=""),"",IF(AND(原始資料!L199&lt;&gt;"",原始資料!M199=原始資料!L199),N(J199)+1,1))</f>
        <v/>
      </c>
      <c r="L199" s="6">
        <f>IF(OR(原始資料!$A199="",11&gt;設定!$B$3,原始資料!N199=""),"",IF(AND(原始資料!M199&lt;&gt;"",原始資料!N199=原始資料!M199),N(K199)+1,1))</f>
        <v/>
      </c>
      <c r="M199" s="6">
        <f>IF(OR(原始資料!$A199="",12&gt;設定!$B$3,原始資料!O199=""),"",IF(AND(原始資料!N199&lt;&gt;"",原始資料!O199=原始資料!N199),N(L199)+1,1))</f>
        <v/>
      </c>
      <c r="N199" s="6">
        <f>IF(OR(原始資料!$A199="",13&gt;設定!$B$3,原始資料!P199=""),"",IF(AND(原始資料!O199&lt;&gt;"",原始資料!P199=原始資料!O199),N(M199)+1,1))</f>
        <v/>
      </c>
      <c r="O199" s="6">
        <f>IF(OR(原始資料!$A199="",14&gt;設定!$B$3,原始資料!Q199=""),"",IF(AND(原始資料!P199&lt;&gt;"",原始資料!Q199=原始資料!P199),N(N199)+1,1))</f>
        <v/>
      </c>
      <c r="P199" s="6">
        <f>IF(OR(原始資料!$A199="",15&gt;設定!$B$3,原始資料!R199=""),"",IF(AND(原始資料!Q199&lt;&gt;"",原始資料!R199=原始資料!Q199),N(O199)+1,1))</f>
        <v/>
      </c>
      <c r="Q199" s="6">
        <f>IF(OR(原始資料!$A199="",16&gt;設定!$B$3,原始資料!S199=""),"",IF(AND(原始資料!R199&lt;&gt;"",原始資料!S199=原始資料!R199),N(P199)+1,1))</f>
        <v/>
      </c>
      <c r="R199" s="6">
        <f>IF(OR(原始資料!$A199="",17&gt;設定!$B$3,原始資料!T199=""),"",IF(AND(原始資料!S199&lt;&gt;"",原始資料!T199=原始資料!S199),N(Q199)+1,1))</f>
        <v/>
      </c>
      <c r="S199" s="6">
        <f>IF(OR(原始資料!$A199="",18&gt;設定!$B$3,原始資料!U199=""),"",IF(AND(原始資料!T199&lt;&gt;"",原始資料!U199=原始資料!T199),N(R199)+1,1))</f>
        <v/>
      </c>
      <c r="T199" s="6">
        <f>IF(OR(原始資料!$A199="",19&gt;設定!$B$3,原始資料!V199=""),"",IF(AND(原始資料!U199&lt;&gt;"",原始資料!V199=原始資料!U199),N(S199)+1,1))</f>
        <v/>
      </c>
      <c r="U199" s="6">
        <f>IF(OR(原始資料!$A199="",20&gt;設定!$B$3,原始資料!W199=""),"",IF(AND(原始資料!V199&lt;&gt;"",原始資料!W199=原始資料!V199),N(T199)+1,1))</f>
        <v/>
      </c>
      <c r="V199" s="6">
        <f>IF(OR(原始資料!$A199="",21&gt;設定!$B$3,原始資料!X199=""),"",IF(AND(原始資料!W199&lt;&gt;"",原始資料!X199=原始資料!W199),N(U199)+1,1))</f>
        <v/>
      </c>
      <c r="W199" s="6">
        <f>IF(OR(原始資料!$A199="",22&gt;設定!$B$3,原始資料!Y199=""),"",IF(AND(原始資料!X199&lt;&gt;"",原始資料!Y199=原始資料!X199),N(V199)+1,1))</f>
        <v/>
      </c>
      <c r="X199" s="6">
        <f>IF(OR(原始資料!$A199="",23&gt;設定!$B$3,原始資料!Z199=""),"",IF(AND(原始資料!Y199&lt;&gt;"",原始資料!Z199=原始資料!Y199),N(W199)+1,1))</f>
        <v/>
      </c>
      <c r="Y199" s="6">
        <f>IF(OR(原始資料!$A199="",24&gt;設定!$B$3,原始資料!AA199=""),"",IF(AND(原始資料!Z199&lt;&gt;"",原始資料!AA199=原始資料!Z199),N(X199)+1,1))</f>
        <v/>
      </c>
      <c r="Z199" s="6">
        <f>IF(OR(原始資料!$A199="",25&gt;設定!$B$3,原始資料!AB199=""),"",IF(AND(原始資料!AA199&lt;&gt;"",原始資料!AB199=原始資料!AA199),N(Y199)+1,1))</f>
        <v/>
      </c>
      <c r="AA199" s="6">
        <f>IF(OR(原始資料!$A199="",26&gt;設定!$B$3,原始資料!AC199=""),"",IF(AND(原始資料!AB199&lt;&gt;"",原始資料!AC199=原始資料!AB199),N(Z199)+1,1))</f>
        <v/>
      </c>
      <c r="AB199" s="6">
        <f>IF(OR(原始資料!$A199="",27&gt;設定!$B$3,原始資料!AD199=""),"",IF(AND(原始資料!AC199&lt;&gt;"",原始資料!AD199=原始資料!AC199),N(AA199)+1,1))</f>
        <v/>
      </c>
      <c r="AC199" s="6">
        <f>IF(OR(原始資料!$A199="",28&gt;設定!$B$3,原始資料!AE199=""),"",IF(AND(原始資料!AD199&lt;&gt;"",原始資料!AE199=原始資料!AD199),N(AB199)+1,1))</f>
        <v/>
      </c>
      <c r="AD199" s="6">
        <f>IF(OR(原始資料!$A199="",29&gt;設定!$B$3,原始資料!AF199=""),"",IF(AND(原始資料!AE199&lt;&gt;"",原始資料!AF199=原始資料!AE199),N(AC199)+1,1))</f>
        <v/>
      </c>
      <c r="AE199" s="6">
        <f>IF(OR(原始資料!$A199="",30&gt;設定!$B$3,原始資料!AG199=""),"",IF(AND(原始資料!AF199&lt;&gt;"",原始資料!AG199=原始資料!AF199),N(AD199)+1,1))</f>
        <v/>
      </c>
      <c r="AF199" s="6">
        <f>IF(OR(原始資料!$A199="",31&gt;設定!$B$3,原始資料!AH199=""),"",IF(AND(原始資料!AG199&lt;&gt;"",原始資料!AH199=原始資料!AG199),N(AE199)+1,1))</f>
        <v/>
      </c>
      <c r="AG199" s="6">
        <f>IF(OR(原始資料!$A199="",32&gt;設定!$B$3,原始資料!AI199=""),"",IF(AND(原始資料!AH199&lt;&gt;"",原始資料!AI199=原始資料!AH199),N(AF199)+1,1))</f>
        <v/>
      </c>
      <c r="AH199" s="6">
        <f>IF(OR(原始資料!$A199="",33&gt;設定!$B$3,原始資料!AJ199=""),"",IF(AND(原始資料!AI199&lt;&gt;"",原始資料!AJ199=原始資料!AI199),N(AG199)+1,1))</f>
        <v/>
      </c>
      <c r="AI199" s="6">
        <f>IF(OR(原始資料!$A199="",34&gt;設定!$B$3,原始資料!AK199=""),"",IF(AND(原始資料!AJ199&lt;&gt;"",原始資料!AK199=原始資料!AJ199),N(AH199)+1,1))</f>
        <v/>
      </c>
      <c r="AJ199" s="6">
        <f>IF(OR(原始資料!$A199="",35&gt;設定!$B$3,原始資料!AL199=""),"",IF(AND(原始資料!AK199&lt;&gt;"",原始資料!AL199=原始資料!AK199),N(AI199)+1,1))</f>
        <v/>
      </c>
      <c r="AK199" s="6">
        <f>IF(OR(原始資料!$A199="",36&gt;設定!$B$3,原始資料!AM199=""),"",IF(AND(原始資料!AL199&lt;&gt;"",原始資料!AM199=原始資料!AL199),N(AJ199)+1,1))</f>
        <v/>
      </c>
      <c r="AL199" s="6">
        <f>IF(OR(原始資料!$A199="",37&gt;設定!$B$3,原始資料!AN199=""),"",IF(AND(原始資料!AM199&lt;&gt;"",原始資料!AN199=原始資料!AM199),N(AK199)+1,1))</f>
        <v/>
      </c>
      <c r="AM199" s="6">
        <f>IF(OR(原始資料!$A199="",38&gt;設定!$B$3,原始資料!AO199=""),"",IF(AND(原始資料!AN199&lt;&gt;"",原始資料!AO199=原始資料!AN199),N(AL199)+1,1))</f>
        <v/>
      </c>
      <c r="AN199" s="6">
        <f>IF(OR(原始資料!$A199="",39&gt;設定!$B$3,原始資料!AP199=""),"",IF(AND(原始資料!AO199&lt;&gt;"",原始資料!AP199=原始資料!AO199),N(AM199)+1,1))</f>
        <v/>
      </c>
      <c r="AO199" s="6">
        <f>IF(OR(原始資料!$A199="",40&gt;設定!$B$3,原始資料!AQ199=""),"",IF(AND(原始資料!AP199&lt;&gt;"",原始資料!AQ199=原始資料!AP199),N(AN199)+1,1))</f>
        <v/>
      </c>
      <c r="AP199" s="6">
        <f>IF(OR(原始資料!$A199="",41&gt;設定!$B$3,原始資料!AR199=""),"",IF(AND(原始資料!AQ199&lt;&gt;"",原始資料!AR199=原始資料!AQ199),N(AO199)+1,1))</f>
        <v/>
      </c>
      <c r="AQ199" s="6">
        <f>IF(OR(原始資料!$A199="",42&gt;設定!$B$3,原始資料!AS199=""),"",IF(AND(原始資料!AR199&lt;&gt;"",原始資料!AS199=原始資料!AR199),N(AP199)+1,1))</f>
        <v/>
      </c>
      <c r="AR199" s="6">
        <f>IF(OR(原始資料!$A199="",43&gt;設定!$B$3,原始資料!AT199=""),"",IF(AND(原始資料!AS199&lt;&gt;"",原始資料!AT199=原始資料!AS199),N(AQ199)+1,1))</f>
        <v/>
      </c>
      <c r="AS199" s="6">
        <f>IF(OR(原始資料!$A199="",44&gt;設定!$B$3,原始資料!AU199=""),"",IF(AND(原始資料!AT199&lt;&gt;"",原始資料!AU199=原始資料!AT199),N(AR199)+1,1))</f>
        <v/>
      </c>
      <c r="AT199" s="6">
        <f>IF(OR(原始資料!$A199="",45&gt;設定!$B$3,原始資料!AV199=""),"",IF(AND(原始資料!AU199&lt;&gt;"",原始資料!AV199=原始資料!AU199),N(AS199)+1,1))</f>
        <v/>
      </c>
      <c r="AU199" s="6">
        <f>IF(OR(原始資料!$A199="",46&gt;設定!$B$3,原始資料!AW199=""),"",IF(AND(原始資料!AV199&lt;&gt;"",原始資料!AW199=原始資料!AV199),N(AT199)+1,1))</f>
        <v/>
      </c>
      <c r="AV199" s="6">
        <f>IF(OR(原始資料!$A199="",47&gt;設定!$B$3,原始資料!AX199=""),"",IF(AND(原始資料!AW199&lt;&gt;"",原始資料!AX199=原始資料!AW199),N(AU199)+1,1))</f>
        <v/>
      </c>
      <c r="AW199" s="6">
        <f>IF(OR(原始資料!$A199="",48&gt;設定!$B$3,原始資料!AY199=""),"",IF(AND(原始資料!AX199&lt;&gt;"",原始資料!AY199=原始資料!AX199),N(AV199)+1,1))</f>
        <v/>
      </c>
      <c r="AX199" s="6">
        <f>IF(OR(原始資料!$A199="",49&gt;設定!$B$3,原始資料!AZ199=""),"",IF(AND(原始資料!AY199&lt;&gt;"",原始資料!AZ199=原始資料!AY199),N(AW199)+1,1))</f>
        <v/>
      </c>
      <c r="AY199" s="6">
        <f>IF(OR(原始資料!$A199="",50&gt;設定!$B$3,原始資料!BA199=""),"",IF(AND(原始資料!AZ199&lt;&gt;"",原始資料!BA199=原始資料!AZ199),N(AX199)+1,1))</f>
        <v/>
      </c>
      <c r="AZ199" s="6">
        <f>IF(OR(原始資料!$A199="",51&gt;設定!$B$3,原始資料!BB199=""),"",IF(AND(原始資料!BA199&lt;&gt;"",原始資料!BB199=原始資料!BA199),N(AY199)+1,1))</f>
        <v/>
      </c>
      <c r="BA199" s="6">
        <f>IF(OR(原始資料!$A199="",52&gt;設定!$B$3,原始資料!BC199=""),"",IF(AND(原始資料!BB199&lt;&gt;"",原始資料!BC199=原始資料!BB199),N(AZ199)+1,1))</f>
        <v/>
      </c>
      <c r="BB199" s="6">
        <f>IF(OR(原始資料!$A199="",53&gt;設定!$B$3,原始資料!BD199=""),"",IF(AND(原始資料!BC199&lt;&gt;"",原始資料!BD199=原始資料!BC199),N(BA199)+1,1))</f>
        <v/>
      </c>
      <c r="BC199" s="6">
        <f>IF(OR(原始資料!$A199="",54&gt;設定!$B$3,原始資料!BE199=""),"",IF(AND(原始資料!BD199&lt;&gt;"",原始資料!BE199=原始資料!BD199),N(BB199)+1,1))</f>
        <v/>
      </c>
      <c r="BD199" s="6">
        <f>IF(OR(原始資料!$A199="",55&gt;設定!$B$3,原始資料!BF199=""),"",IF(AND(原始資料!BE199&lt;&gt;"",原始資料!BF199=原始資料!BE199),N(BC199)+1,1))</f>
        <v/>
      </c>
      <c r="BE199" s="6">
        <f>IF(OR(原始資料!$A199="",56&gt;設定!$B$3,原始資料!BG199=""),"",IF(AND(原始資料!BF199&lt;&gt;"",原始資料!BG199=原始資料!BF199),N(BD199)+1,1))</f>
        <v/>
      </c>
      <c r="BF199" s="6">
        <f>IF(OR(原始資料!$A199="",57&gt;設定!$B$3,原始資料!BH199=""),"",IF(AND(原始資料!BG199&lt;&gt;"",原始資料!BH199=原始資料!BG199),N(BE199)+1,1))</f>
        <v/>
      </c>
      <c r="BG199" s="6">
        <f>IF(OR(原始資料!$A199="",58&gt;設定!$B$3,原始資料!BI199=""),"",IF(AND(原始資料!BH199&lt;&gt;"",原始資料!BI199=原始資料!BH199),N(BF199)+1,1))</f>
        <v/>
      </c>
      <c r="BH199" s="6">
        <f>IF(OR(原始資料!$A199="",59&gt;設定!$B$3,原始資料!BJ199=""),"",IF(AND(原始資料!BI199&lt;&gt;"",原始資料!BJ199=原始資料!BI199),N(BG199)+1,1))</f>
        <v/>
      </c>
      <c r="BI199" s="6">
        <f>IF(OR(原始資料!$A199="",60&gt;設定!$B$3,原始資料!BK199=""),"",IF(AND(原始資料!BJ199&lt;&gt;"",原始資料!BK199=原始資料!BJ199),N(BH199)+1,1))</f>
        <v/>
      </c>
    </row>
    <row r="200">
      <c r="A200" s="6">
        <f>IF(原始資料!$A200="","",原始資料!$A200)</f>
        <v/>
      </c>
      <c r="B200" s="6">
        <f>IF(OR(原始資料!$A200="",1&gt;設定!$B$3,原始資料!D200=""),"",1)</f>
        <v/>
      </c>
      <c r="C200" s="6">
        <f>IF(OR(原始資料!$A200="",2&gt;設定!$B$3,原始資料!E200=""),"",IF(AND(原始資料!D200&lt;&gt;"",原始資料!E200=原始資料!D200),N(B200)+1,1))</f>
        <v/>
      </c>
      <c r="D200" s="6">
        <f>IF(OR(原始資料!$A200="",3&gt;設定!$B$3,原始資料!F200=""),"",IF(AND(原始資料!E200&lt;&gt;"",原始資料!F200=原始資料!E200),N(C200)+1,1))</f>
        <v/>
      </c>
      <c r="E200" s="6">
        <f>IF(OR(原始資料!$A200="",4&gt;設定!$B$3,原始資料!G200=""),"",IF(AND(原始資料!F200&lt;&gt;"",原始資料!G200=原始資料!F200),N(D200)+1,1))</f>
        <v/>
      </c>
      <c r="F200" s="6">
        <f>IF(OR(原始資料!$A200="",5&gt;設定!$B$3,原始資料!H200=""),"",IF(AND(原始資料!G200&lt;&gt;"",原始資料!H200=原始資料!G200),N(E200)+1,1))</f>
        <v/>
      </c>
      <c r="G200" s="6">
        <f>IF(OR(原始資料!$A200="",6&gt;設定!$B$3,原始資料!I200=""),"",IF(AND(原始資料!H200&lt;&gt;"",原始資料!I200=原始資料!H200),N(F200)+1,1))</f>
        <v/>
      </c>
      <c r="H200" s="6">
        <f>IF(OR(原始資料!$A200="",7&gt;設定!$B$3,原始資料!J200=""),"",IF(AND(原始資料!I200&lt;&gt;"",原始資料!J200=原始資料!I200),N(G200)+1,1))</f>
        <v/>
      </c>
      <c r="I200" s="6">
        <f>IF(OR(原始資料!$A200="",8&gt;設定!$B$3,原始資料!K200=""),"",IF(AND(原始資料!J200&lt;&gt;"",原始資料!K200=原始資料!J200),N(H200)+1,1))</f>
        <v/>
      </c>
      <c r="J200" s="6">
        <f>IF(OR(原始資料!$A200="",9&gt;設定!$B$3,原始資料!L200=""),"",IF(AND(原始資料!K200&lt;&gt;"",原始資料!L200=原始資料!K200),N(I200)+1,1))</f>
        <v/>
      </c>
      <c r="K200" s="6">
        <f>IF(OR(原始資料!$A200="",10&gt;設定!$B$3,原始資料!M200=""),"",IF(AND(原始資料!L200&lt;&gt;"",原始資料!M200=原始資料!L200),N(J200)+1,1))</f>
        <v/>
      </c>
      <c r="L200" s="6">
        <f>IF(OR(原始資料!$A200="",11&gt;設定!$B$3,原始資料!N200=""),"",IF(AND(原始資料!M200&lt;&gt;"",原始資料!N200=原始資料!M200),N(K200)+1,1))</f>
        <v/>
      </c>
      <c r="M200" s="6">
        <f>IF(OR(原始資料!$A200="",12&gt;設定!$B$3,原始資料!O200=""),"",IF(AND(原始資料!N200&lt;&gt;"",原始資料!O200=原始資料!N200),N(L200)+1,1))</f>
        <v/>
      </c>
      <c r="N200" s="6">
        <f>IF(OR(原始資料!$A200="",13&gt;設定!$B$3,原始資料!P200=""),"",IF(AND(原始資料!O200&lt;&gt;"",原始資料!P200=原始資料!O200),N(M200)+1,1))</f>
        <v/>
      </c>
      <c r="O200" s="6">
        <f>IF(OR(原始資料!$A200="",14&gt;設定!$B$3,原始資料!Q200=""),"",IF(AND(原始資料!P200&lt;&gt;"",原始資料!Q200=原始資料!P200),N(N200)+1,1))</f>
        <v/>
      </c>
      <c r="P200" s="6">
        <f>IF(OR(原始資料!$A200="",15&gt;設定!$B$3,原始資料!R200=""),"",IF(AND(原始資料!Q200&lt;&gt;"",原始資料!R200=原始資料!Q200),N(O200)+1,1))</f>
        <v/>
      </c>
      <c r="Q200" s="6">
        <f>IF(OR(原始資料!$A200="",16&gt;設定!$B$3,原始資料!S200=""),"",IF(AND(原始資料!R200&lt;&gt;"",原始資料!S200=原始資料!R200),N(P200)+1,1))</f>
        <v/>
      </c>
      <c r="R200" s="6">
        <f>IF(OR(原始資料!$A200="",17&gt;設定!$B$3,原始資料!T200=""),"",IF(AND(原始資料!S200&lt;&gt;"",原始資料!T200=原始資料!S200),N(Q200)+1,1))</f>
        <v/>
      </c>
      <c r="S200" s="6">
        <f>IF(OR(原始資料!$A200="",18&gt;設定!$B$3,原始資料!U200=""),"",IF(AND(原始資料!T200&lt;&gt;"",原始資料!U200=原始資料!T200),N(R200)+1,1))</f>
        <v/>
      </c>
      <c r="T200" s="6">
        <f>IF(OR(原始資料!$A200="",19&gt;設定!$B$3,原始資料!V200=""),"",IF(AND(原始資料!U200&lt;&gt;"",原始資料!V200=原始資料!U200),N(S200)+1,1))</f>
        <v/>
      </c>
      <c r="U200" s="6">
        <f>IF(OR(原始資料!$A200="",20&gt;設定!$B$3,原始資料!W200=""),"",IF(AND(原始資料!V200&lt;&gt;"",原始資料!W200=原始資料!V200),N(T200)+1,1))</f>
        <v/>
      </c>
      <c r="V200" s="6">
        <f>IF(OR(原始資料!$A200="",21&gt;設定!$B$3,原始資料!X200=""),"",IF(AND(原始資料!W200&lt;&gt;"",原始資料!X200=原始資料!W200),N(U200)+1,1))</f>
        <v/>
      </c>
      <c r="W200" s="6">
        <f>IF(OR(原始資料!$A200="",22&gt;設定!$B$3,原始資料!Y200=""),"",IF(AND(原始資料!X200&lt;&gt;"",原始資料!Y200=原始資料!X200),N(V200)+1,1))</f>
        <v/>
      </c>
      <c r="X200" s="6">
        <f>IF(OR(原始資料!$A200="",23&gt;設定!$B$3,原始資料!Z200=""),"",IF(AND(原始資料!Y200&lt;&gt;"",原始資料!Z200=原始資料!Y200),N(W200)+1,1))</f>
        <v/>
      </c>
      <c r="Y200" s="6">
        <f>IF(OR(原始資料!$A200="",24&gt;設定!$B$3,原始資料!AA200=""),"",IF(AND(原始資料!Z200&lt;&gt;"",原始資料!AA200=原始資料!Z200),N(X200)+1,1))</f>
        <v/>
      </c>
      <c r="Z200" s="6">
        <f>IF(OR(原始資料!$A200="",25&gt;設定!$B$3,原始資料!AB200=""),"",IF(AND(原始資料!AA200&lt;&gt;"",原始資料!AB200=原始資料!AA200),N(Y200)+1,1))</f>
        <v/>
      </c>
      <c r="AA200" s="6">
        <f>IF(OR(原始資料!$A200="",26&gt;設定!$B$3,原始資料!AC200=""),"",IF(AND(原始資料!AB200&lt;&gt;"",原始資料!AC200=原始資料!AB200),N(Z200)+1,1))</f>
        <v/>
      </c>
      <c r="AB200" s="6">
        <f>IF(OR(原始資料!$A200="",27&gt;設定!$B$3,原始資料!AD200=""),"",IF(AND(原始資料!AC200&lt;&gt;"",原始資料!AD200=原始資料!AC200),N(AA200)+1,1))</f>
        <v/>
      </c>
      <c r="AC200" s="6">
        <f>IF(OR(原始資料!$A200="",28&gt;設定!$B$3,原始資料!AE200=""),"",IF(AND(原始資料!AD200&lt;&gt;"",原始資料!AE200=原始資料!AD200),N(AB200)+1,1))</f>
        <v/>
      </c>
      <c r="AD200" s="6">
        <f>IF(OR(原始資料!$A200="",29&gt;設定!$B$3,原始資料!AF200=""),"",IF(AND(原始資料!AE200&lt;&gt;"",原始資料!AF200=原始資料!AE200),N(AC200)+1,1))</f>
        <v/>
      </c>
      <c r="AE200" s="6">
        <f>IF(OR(原始資料!$A200="",30&gt;設定!$B$3,原始資料!AG200=""),"",IF(AND(原始資料!AF200&lt;&gt;"",原始資料!AG200=原始資料!AF200),N(AD200)+1,1))</f>
        <v/>
      </c>
      <c r="AF200" s="6">
        <f>IF(OR(原始資料!$A200="",31&gt;設定!$B$3,原始資料!AH200=""),"",IF(AND(原始資料!AG200&lt;&gt;"",原始資料!AH200=原始資料!AG200),N(AE200)+1,1))</f>
        <v/>
      </c>
      <c r="AG200" s="6">
        <f>IF(OR(原始資料!$A200="",32&gt;設定!$B$3,原始資料!AI200=""),"",IF(AND(原始資料!AH200&lt;&gt;"",原始資料!AI200=原始資料!AH200),N(AF200)+1,1))</f>
        <v/>
      </c>
      <c r="AH200" s="6">
        <f>IF(OR(原始資料!$A200="",33&gt;設定!$B$3,原始資料!AJ200=""),"",IF(AND(原始資料!AI200&lt;&gt;"",原始資料!AJ200=原始資料!AI200),N(AG200)+1,1))</f>
        <v/>
      </c>
      <c r="AI200" s="6">
        <f>IF(OR(原始資料!$A200="",34&gt;設定!$B$3,原始資料!AK200=""),"",IF(AND(原始資料!AJ200&lt;&gt;"",原始資料!AK200=原始資料!AJ200),N(AH200)+1,1))</f>
        <v/>
      </c>
      <c r="AJ200" s="6">
        <f>IF(OR(原始資料!$A200="",35&gt;設定!$B$3,原始資料!AL200=""),"",IF(AND(原始資料!AK200&lt;&gt;"",原始資料!AL200=原始資料!AK200),N(AI200)+1,1))</f>
        <v/>
      </c>
      <c r="AK200" s="6">
        <f>IF(OR(原始資料!$A200="",36&gt;設定!$B$3,原始資料!AM200=""),"",IF(AND(原始資料!AL200&lt;&gt;"",原始資料!AM200=原始資料!AL200),N(AJ200)+1,1))</f>
        <v/>
      </c>
      <c r="AL200" s="6">
        <f>IF(OR(原始資料!$A200="",37&gt;設定!$B$3,原始資料!AN200=""),"",IF(AND(原始資料!AM200&lt;&gt;"",原始資料!AN200=原始資料!AM200),N(AK200)+1,1))</f>
        <v/>
      </c>
      <c r="AM200" s="6">
        <f>IF(OR(原始資料!$A200="",38&gt;設定!$B$3,原始資料!AO200=""),"",IF(AND(原始資料!AN200&lt;&gt;"",原始資料!AO200=原始資料!AN200),N(AL200)+1,1))</f>
        <v/>
      </c>
      <c r="AN200" s="6">
        <f>IF(OR(原始資料!$A200="",39&gt;設定!$B$3,原始資料!AP200=""),"",IF(AND(原始資料!AO200&lt;&gt;"",原始資料!AP200=原始資料!AO200),N(AM200)+1,1))</f>
        <v/>
      </c>
      <c r="AO200" s="6">
        <f>IF(OR(原始資料!$A200="",40&gt;設定!$B$3,原始資料!AQ200=""),"",IF(AND(原始資料!AP200&lt;&gt;"",原始資料!AQ200=原始資料!AP200),N(AN200)+1,1))</f>
        <v/>
      </c>
      <c r="AP200" s="6">
        <f>IF(OR(原始資料!$A200="",41&gt;設定!$B$3,原始資料!AR200=""),"",IF(AND(原始資料!AQ200&lt;&gt;"",原始資料!AR200=原始資料!AQ200),N(AO200)+1,1))</f>
        <v/>
      </c>
      <c r="AQ200" s="6">
        <f>IF(OR(原始資料!$A200="",42&gt;設定!$B$3,原始資料!AS200=""),"",IF(AND(原始資料!AR200&lt;&gt;"",原始資料!AS200=原始資料!AR200),N(AP200)+1,1))</f>
        <v/>
      </c>
      <c r="AR200" s="6">
        <f>IF(OR(原始資料!$A200="",43&gt;設定!$B$3,原始資料!AT200=""),"",IF(AND(原始資料!AS200&lt;&gt;"",原始資料!AT200=原始資料!AS200),N(AQ200)+1,1))</f>
        <v/>
      </c>
      <c r="AS200" s="6">
        <f>IF(OR(原始資料!$A200="",44&gt;設定!$B$3,原始資料!AU200=""),"",IF(AND(原始資料!AT200&lt;&gt;"",原始資料!AU200=原始資料!AT200),N(AR200)+1,1))</f>
        <v/>
      </c>
      <c r="AT200" s="6">
        <f>IF(OR(原始資料!$A200="",45&gt;設定!$B$3,原始資料!AV200=""),"",IF(AND(原始資料!AU200&lt;&gt;"",原始資料!AV200=原始資料!AU200),N(AS200)+1,1))</f>
        <v/>
      </c>
      <c r="AU200" s="6">
        <f>IF(OR(原始資料!$A200="",46&gt;設定!$B$3,原始資料!AW200=""),"",IF(AND(原始資料!AV200&lt;&gt;"",原始資料!AW200=原始資料!AV200),N(AT200)+1,1))</f>
        <v/>
      </c>
      <c r="AV200" s="6">
        <f>IF(OR(原始資料!$A200="",47&gt;設定!$B$3,原始資料!AX200=""),"",IF(AND(原始資料!AW200&lt;&gt;"",原始資料!AX200=原始資料!AW200),N(AU200)+1,1))</f>
        <v/>
      </c>
      <c r="AW200" s="6">
        <f>IF(OR(原始資料!$A200="",48&gt;設定!$B$3,原始資料!AY200=""),"",IF(AND(原始資料!AX200&lt;&gt;"",原始資料!AY200=原始資料!AX200),N(AV200)+1,1))</f>
        <v/>
      </c>
      <c r="AX200" s="6">
        <f>IF(OR(原始資料!$A200="",49&gt;設定!$B$3,原始資料!AZ200=""),"",IF(AND(原始資料!AY200&lt;&gt;"",原始資料!AZ200=原始資料!AY200),N(AW200)+1,1))</f>
        <v/>
      </c>
      <c r="AY200" s="6">
        <f>IF(OR(原始資料!$A200="",50&gt;設定!$B$3,原始資料!BA200=""),"",IF(AND(原始資料!AZ200&lt;&gt;"",原始資料!BA200=原始資料!AZ200),N(AX200)+1,1))</f>
        <v/>
      </c>
      <c r="AZ200" s="6">
        <f>IF(OR(原始資料!$A200="",51&gt;設定!$B$3,原始資料!BB200=""),"",IF(AND(原始資料!BA200&lt;&gt;"",原始資料!BB200=原始資料!BA200),N(AY200)+1,1))</f>
        <v/>
      </c>
      <c r="BA200" s="6">
        <f>IF(OR(原始資料!$A200="",52&gt;設定!$B$3,原始資料!BC200=""),"",IF(AND(原始資料!BB200&lt;&gt;"",原始資料!BC200=原始資料!BB200),N(AZ200)+1,1))</f>
        <v/>
      </c>
      <c r="BB200" s="6">
        <f>IF(OR(原始資料!$A200="",53&gt;設定!$B$3,原始資料!BD200=""),"",IF(AND(原始資料!BC200&lt;&gt;"",原始資料!BD200=原始資料!BC200),N(BA200)+1,1))</f>
        <v/>
      </c>
      <c r="BC200" s="6">
        <f>IF(OR(原始資料!$A200="",54&gt;設定!$B$3,原始資料!BE200=""),"",IF(AND(原始資料!BD200&lt;&gt;"",原始資料!BE200=原始資料!BD200),N(BB200)+1,1))</f>
        <v/>
      </c>
      <c r="BD200" s="6">
        <f>IF(OR(原始資料!$A200="",55&gt;設定!$B$3,原始資料!BF200=""),"",IF(AND(原始資料!BE200&lt;&gt;"",原始資料!BF200=原始資料!BE200),N(BC200)+1,1))</f>
        <v/>
      </c>
      <c r="BE200" s="6">
        <f>IF(OR(原始資料!$A200="",56&gt;設定!$B$3,原始資料!BG200=""),"",IF(AND(原始資料!BF200&lt;&gt;"",原始資料!BG200=原始資料!BF200),N(BD200)+1,1))</f>
        <v/>
      </c>
      <c r="BF200" s="6">
        <f>IF(OR(原始資料!$A200="",57&gt;設定!$B$3,原始資料!BH200=""),"",IF(AND(原始資料!BG200&lt;&gt;"",原始資料!BH200=原始資料!BG200),N(BE200)+1,1))</f>
        <v/>
      </c>
      <c r="BG200" s="6">
        <f>IF(OR(原始資料!$A200="",58&gt;設定!$B$3,原始資料!BI200=""),"",IF(AND(原始資料!BH200&lt;&gt;"",原始資料!BI200=原始資料!BH200),N(BF200)+1,1))</f>
        <v/>
      </c>
      <c r="BH200" s="6">
        <f>IF(OR(原始資料!$A200="",59&gt;設定!$B$3,原始資料!BJ200=""),"",IF(AND(原始資料!BI200&lt;&gt;"",原始資料!BJ200=原始資料!BI200),N(BG200)+1,1))</f>
        <v/>
      </c>
      <c r="BI200" s="6">
        <f>IF(OR(原始資料!$A200="",60&gt;設定!$B$3,原始資料!BK200=""),"",IF(AND(原始資料!BJ200&lt;&gt;"",原始資料!BK200=原始資料!BJ200),N(BH200)+1,1))</f>
        <v/>
      </c>
    </row>
    <row r="201">
      <c r="A201" s="6">
        <f>IF(原始資料!$A201="","",原始資料!$A201)</f>
        <v/>
      </c>
      <c r="B201" s="6">
        <f>IF(OR(原始資料!$A201="",1&gt;設定!$B$3,原始資料!D201=""),"",1)</f>
        <v/>
      </c>
      <c r="C201" s="6">
        <f>IF(OR(原始資料!$A201="",2&gt;設定!$B$3,原始資料!E201=""),"",IF(AND(原始資料!D201&lt;&gt;"",原始資料!E201=原始資料!D201),N(B201)+1,1))</f>
        <v/>
      </c>
      <c r="D201" s="6">
        <f>IF(OR(原始資料!$A201="",3&gt;設定!$B$3,原始資料!F201=""),"",IF(AND(原始資料!E201&lt;&gt;"",原始資料!F201=原始資料!E201),N(C201)+1,1))</f>
        <v/>
      </c>
      <c r="E201" s="6">
        <f>IF(OR(原始資料!$A201="",4&gt;設定!$B$3,原始資料!G201=""),"",IF(AND(原始資料!F201&lt;&gt;"",原始資料!G201=原始資料!F201),N(D201)+1,1))</f>
        <v/>
      </c>
      <c r="F201" s="6">
        <f>IF(OR(原始資料!$A201="",5&gt;設定!$B$3,原始資料!H201=""),"",IF(AND(原始資料!G201&lt;&gt;"",原始資料!H201=原始資料!G201),N(E201)+1,1))</f>
        <v/>
      </c>
      <c r="G201" s="6">
        <f>IF(OR(原始資料!$A201="",6&gt;設定!$B$3,原始資料!I201=""),"",IF(AND(原始資料!H201&lt;&gt;"",原始資料!I201=原始資料!H201),N(F201)+1,1))</f>
        <v/>
      </c>
      <c r="H201" s="6">
        <f>IF(OR(原始資料!$A201="",7&gt;設定!$B$3,原始資料!J201=""),"",IF(AND(原始資料!I201&lt;&gt;"",原始資料!J201=原始資料!I201),N(G201)+1,1))</f>
        <v/>
      </c>
      <c r="I201" s="6">
        <f>IF(OR(原始資料!$A201="",8&gt;設定!$B$3,原始資料!K201=""),"",IF(AND(原始資料!J201&lt;&gt;"",原始資料!K201=原始資料!J201),N(H201)+1,1))</f>
        <v/>
      </c>
      <c r="J201" s="6">
        <f>IF(OR(原始資料!$A201="",9&gt;設定!$B$3,原始資料!L201=""),"",IF(AND(原始資料!K201&lt;&gt;"",原始資料!L201=原始資料!K201),N(I201)+1,1))</f>
        <v/>
      </c>
      <c r="K201" s="6">
        <f>IF(OR(原始資料!$A201="",10&gt;設定!$B$3,原始資料!M201=""),"",IF(AND(原始資料!L201&lt;&gt;"",原始資料!M201=原始資料!L201),N(J201)+1,1))</f>
        <v/>
      </c>
      <c r="L201" s="6">
        <f>IF(OR(原始資料!$A201="",11&gt;設定!$B$3,原始資料!N201=""),"",IF(AND(原始資料!M201&lt;&gt;"",原始資料!N201=原始資料!M201),N(K201)+1,1))</f>
        <v/>
      </c>
      <c r="M201" s="6">
        <f>IF(OR(原始資料!$A201="",12&gt;設定!$B$3,原始資料!O201=""),"",IF(AND(原始資料!N201&lt;&gt;"",原始資料!O201=原始資料!N201),N(L201)+1,1))</f>
        <v/>
      </c>
      <c r="N201" s="6">
        <f>IF(OR(原始資料!$A201="",13&gt;設定!$B$3,原始資料!P201=""),"",IF(AND(原始資料!O201&lt;&gt;"",原始資料!P201=原始資料!O201),N(M201)+1,1))</f>
        <v/>
      </c>
      <c r="O201" s="6">
        <f>IF(OR(原始資料!$A201="",14&gt;設定!$B$3,原始資料!Q201=""),"",IF(AND(原始資料!P201&lt;&gt;"",原始資料!Q201=原始資料!P201),N(N201)+1,1))</f>
        <v/>
      </c>
      <c r="P201" s="6">
        <f>IF(OR(原始資料!$A201="",15&gt;設定!$B$3,原始資料!R201=""),"",IF(AND(原始資料!Q201&lt;&gt;"",原始資料!R201=原始資料!Q201),N(O201)+1,1))</f>
        <v/>
      </c>
      <c r="Q201" s="6">
        <f>IF(OR(原始資料!$A201="",16&gt;設定!$B$3,原始資料!S201=""),"",IF(AND(原始資料!R201&lt;&gt;"",原始資料!S201=原始資料!R201),N(P201)+1,1))</f>
        <v/>
      </c>
      <c r="R201" s="6">
        <f>IF(OR(原始資料!$A201="",17&gt;設定!$B$3,原始資料!T201=""),"",IF(AND(原始資料!S201&lt;&gt;"",原始資料!T201=原始資料!S201),N(Q201)+1,1))</f>
        <v/>
      </c>
      <c r="S201" s="6">
        <f>IF(OR(原始資料!$A201="",18&gt;設定!$B$3,原始資料!U201=""),"",IF(AND(原始資料!T201&lt;&gt;"",原始資料!U201=原始資料!T201),N(R201)+1,1))</f>
        <v/>
      </c>
      <c r="T201" s="6">
        <f>IF(OR(原始資料!$A201="",19&gt;設定!$B$3,原始資料!V201=""),"",IF(AND(原始資料!U201&lt;&gt;"",原始資料!V201=原始資料!U201),N(S201)+1,1))</f>
        <v/>
      </c>
      <c r="U201" s="6">
        <f>IF(OR(原始資料!$A201="",20&gt;設定!$B$3,原始資料!W201=""),"",IF(AND(原始資料!V201&lt;&gt;"",原始資料!W201=原始資料!V201),N(T201)+1,1))</f>
        <v/>
      </c>
      <c r="V201" s="6">
        <f>IF(OR(原始資料!$A201="",21&gt;設定!$B$3,原始資料!X201=""),"",IF(AND(原始資料!W201&lt;&gt;"",原始資料!X201=原始資料!W201),N(U201)+1,1))</f>
        <v/>
      </c>
      <c r="W201" s="6">
        <f>IF(OR(原始資料!$A201="",22&gt;設定!$B$3,原始資料!Y201=""),"",IF(AND(原始資料!X201&lt;&gt;"",原始資料!Y201=原始資料!X201),N(V201)+1,1))</f>
        <v/>
      </c>
      <c r="X201" s="6">
        <f>IF(OR(原始資料!$A201="",23&gt;設定!$B$3,原始資料!Z201=""),"",IF(AND(原始資料!Y201&lt;&gt;"",原始資料!Z201=原始資料!Y201),N(W201)+1,1))</f>
        <v/>
      </c>
      <c r="Y201" s="6">
        <f>IF(OR(原始資料!$A201="",24&gt;設定!$B$3,原始資料!AA201=""),"",IF(AND(原始資料!Z201&lt;&gt;"",原始資料!AA201=原始資料!Z201),N(X201)+1,1))</f>
        <v/>
      </c>
      <c r="Z201" s="6">
        <f>IF(OR(原始資料!$A201="",25&gt;設定!$B$3,原始資料!AB201=""),"",IF(AND(原始資料!AA201&lt;&gt;"",原始資料!AB201=原始資料!AA201),N(Y201)+1,1))</f>
        <v/>
      </c>
      <c r="AA201" s="6">
        <f>IF(OR(原始資料!$A201="",26&gt;設定!$B$3,原始資料!AC201=""),"",IF(AND(原始資料!AB201&lt;&gt;"",原始資料!AC201=原始資料!AB201),N(Z201)+1,1))</f>
        <v/>
      </c>
      <c r="AB201" s="6">
        <f>IF(OR(原始資料!$A201="",27&gt;設定!$B$3,原始資料!AD201=""),"",IF(AND(原始資料!AC201&lt;&gt;"",原始資料!AD201=原始資料!AC201),N(AA201)+1,1))</f>
        <v/>
      </c>
      <c r="AC201" s="6">
        <f>IF(OR(原始資料!$A201="",28&gt;設定!$B$3,原始資料!AE201=""),"",IF(AND(原始資料!AD201&lt;&gt;"",原始資料!AE201=原始資料!AD201),N(AB201)+1,1))</f>
        <v/>
      </c>
      <c r="AD201" s="6">
        <f>IF(OR(原始資料!$A201="",29&gt;設定!$B$3,原始資料!AF201=""),"",IF(AND(原始資料!AE201&lt;&gt;"",原始資料!AF201=原始資料!AE201),N(AC201)+1,1))</f>
        <v/>
      </c>
      <c r="AE201" s="6">
        <f>IF(OR(原始資料!$A201="",30&gt;設定!$B$3,原始資料!AG201=""),"",IF(AND(原始資料!AF201&lt;&gt;"",原始資料!AG201=原始資料!AF201),N(AD201)+1,1))</f>
        <v/>
      </c>
      <c r="AF201" s="6">
        <f>IF(OR(原始資料!$A201="",31&gt;設定!$B$3,原始資料!AH201=""),"",IF(AND(原始資料!AG201&lt;&gt;"",原始資料!AH201=原始資料!AG201),N(AE201)+1,1))</f>
        <v/>
      </c>
      <c r="AG201" s="6">
        <f>IF(OR(原始資料!$A201="",32&gt;設定!$B$3,原始資料!AI201=""),"",IF(AND(原始資料!AH201&lt;&gt;"",原始資料!AI201=原始資料!AH201),N(AF201)+1,1))</f>
        <v/>
      </c>
      <c r="AH201" s="6">
        <f>IF(OR(原始資料!$A201="",33&gt;設定!$B$3,原始資料!AJ201=""),"",IF(AND(原始資料!AI201&lt;&gt;"",原始資料!AJ201=原始資料!AI201),N(AG201)+1,1))</f>
        <v/>
      </c>
      <c r="AI201" s="6">
        <f>IF(OR(原始資料!$A201="",34&gt;設定!$B$3,原始資料!AK201=""),"",IF(AND(原始資料!AJ201&lt;&gt;"",原始資料!AK201=原始資料!AJ201),N(AH201)+1,1))</f>
        <v/>
      </c>
      <c r="AJ201" s="6">
        <f>IF(OR(原始資料!$A201="",35&gt;設定!$B$3,原始資料!AL201=""),"",IF(AND(原始資料!AK201&lt;&gt;"",原始資料!AL201=原始資料!AK201),N(AI201)+1,1))</f>
        <v/>
      </c>
      <c r="AK201" s="6">
        <f>IF(OR(原始資料!$A201="",36&gt;設定!$B$3,原始資料!AM201=""),"",IF(AND(原始資料!AL201&lt;&gt;"",原始資料!AM201=原始資料!AL201),N(AJ201)+1,1))</f>
        <v/>
      </c>
      <c r="AL201" s="6">
        <f>IF(OR(原始資料!$A201="",37&gt;設定!$B$3,原始資料!AN201=""),"",IF(AND(原始資料!AM201&lt;&gt;"",原始資料!AN201=原始資料!AM201),N(AK201)+1,1))</f>
        <v/>
      </c>
      <c r="AM201" s="6">
        <f>IF(OR(原始資料!$A201="",38&gt;設定!$B$3,原始資料!AO201=""),"",IF(AND(原始資料!AN201&lt;&gt;"",原始資料!AO201=原始資料!AN201),N(AL201)+1,1))</f>
        <v/>
      </c>
      <c r="AN201" s="6">
        <f>IF(OR(原始資料!$A201="",39&gt;設定!$B$3,原始資料!AP201=""),"",IF(AND(原始資料!AO201&lt;&gt;"",原始資料!AP201=原始資料!AO201),N(AM201)+1,1))</f>
        <v/>
      </c>
      <c r="AO201" s="6">
        <f>IF(OR(原始資料!$A201="",40&gt;設定!$B$3,原始資料!AQ201=""),"",IF(AND(原始資料!AP201&lt;&gt;"",原始資料!AQ201=原始資料!AP201),N(AN201)+1,1))</f>
        <v/>
      </c>
      <c r="AP201" s="6">
        <f>IF(OR(原始資料!$A201="",41&gt;設定!$B$3,原始資料!AR201=""),"",IF(AND(原始資料!AQ201&lt;&gt;"",原始資料!AR201=原始資料!AQ201),N(AO201)+1,1))</f>
        <v/>
      </c>
      <c r="AQ201" s="6">
        <f>IF(OR(原始資料!$A201="",42&gt;設定!$B$3,原始資料!AS201=""),"",IF(AND(原始資料!AR201&lt;&gt;"",原始資料!AS201=原始資料!AR201),N(AP201)+1,1))</f>
        <v/>
      </c>
      <c r="AR201" s="6">
        <f>IF(OR(原始資料!$A201="",43&gt;設定!$B$3,原始資料!AT201=""),"",IF(AND(原始資料!AS201&lt;&gt;"",原始資料!AT201=原始資料!AS201),N(AQ201)+1,1))</f>
        <v/>
      </c>
      <c r="AS201" s="6">
        <f>IF(OR(原始資料!$A201="",44&gt;設定!$B$3,原始資料!AU201=""),"",IF(AND(原始資料!AT201&lt;&gt;"",原始資料!AU201=原始資料!AT201),N(AR201)+1,1))</f>
        <v/>
      </c>
      <c r="AT201" s="6">
        <f>IF(OR(原始資料!$A201="",45&gt;設定!$B$3,原始資料!AV201=""),"",IF(AND(原始資料!AU201&lt;&gt;"",原始資料!AV201=原始資料!AU201),N(AS201)+1,1))</f>
        <v/>
      </c>
      <c r="AU201" s="6">
        <f>IF(OR(原始資料!$A201="",46&gt;設定!$B$3,原始資料!AW201=""),"",IF(AND(原始資料!AV201&lt;&gt;"",原始資料!AW201=原始資料!AV201),N(AT201)+1,1))</f>
        <v/>
      </c>
      <c r="AV201" s="6">
        <f>IF(OR(原始資料!$A201="",47&gt;設定!$B$3,原始資料!AX201=""),"",IF(AND(原始資料!AW201&lt;&gt;"",原始資料!AX201=原始資料!AW201),N(AU201)+1,1))</f>
        <v/>
      </c>
      <c r="AW201" s="6">
        <f>IF(OR(原始資料!$A201="",48&gt;設定!$B$3,原始資料!AY201=""),"",IF(AND(原始資料!AX201&lt;&gt;"",原始資料!AY201=原始資料!AX201),N(AV201)+1,1))</f>
        <v/>
      </c>
      <c r="AX201" s="6">
        <f>IF(OR(原始資料!$A201="",49&gt;設定!$B$3,原始資料!AZ201=""),"",IF(AND(原始資料!AY201&lt;&gt;"",原始資料!AZ201=原始資料!AY201),N(AW201)+1,1))</f>
        <v/>
      </c>
      <c r="AY201" s="6">
        <f>IF(OR(原始資料!$A201="",50&gt;設定!$B$3,原始資料!BA201=""),"",IF(AND(原始資料!AZ201&lt;&gt;"",原始資料!BA201=原始資料!AZ201),N(AX201)+1,1))</f>
        <v/>
      </c>
      <c r="AZ201" s="6">
        <f>IF(OR(原始資料!$A201="",51&gt;設定!$B$3,原始資料!BB201=""),"",IF(AND(原始資料!BA201&lt;&gt;"",原始資料!BB201=原始資料!BA201),N(AY201)+1,1))</f>
        <v/>
      </c>
      <c r="BA201" s="6">
        <f>IF(OR(原始資料!$A201="",52&gt;設定!$B$3,原始資料!BC201=""),"",IF(AND(原始資料!BB201&lt;&gt;"",原始資料!BC201=原始資料!BB201),N(AZ201)+1,1))</f>
        <v/>
      </c>
      <c r="BB201" s="6">
        <f>IF(OR(原始資料!$A201="",53&gt;設定!$B$3,原始資料!BD201=""),"",IF(AND(原始資料!BC201&lt;&gt;"",原始資料!BD201=原始資料!BC201),N(BA201)+1,1))</f>
        <v/>
      </c>
      <c r="BC201" s="6">
        <f>IF(OR(原始資料!$A201="",54&gt;設定!$B$3,原始資料!BE201=""),"",IF(AND(原始資料!BD201&lt;&gt;"",原始資料!BE201=原始資料!BD201),N(BB201)+1,1))</f>
        <v/>
      </c>
      <c r="BD201" s="6">
        <f>IF(OR(原始資料!$A201="",55&gt;設定!$B$3,原始資料!BF201=""),"",IF(AND(原始資料!BE201&lt;&gt;"",原始資料!BF201=原始資料!BE201),N(BC201)+1,1))</f>
        <v/>
      </c>
      <c r="BE201" s="6">
        <f>IF(OR(原始資料!$A201="",56&gt;設定!$B$3,原始資料!BG201=""),"",IF(AND(原始資料!BF201&lt;&gt;"",原始資料!BG201=原始資料!BF201),N(BD201)+1,1))</f>
        <v/>
      </c>
      <c r="BF201" s="6">
        <f>IF(OR(原始資料!$A201="",57&gt;設定!$B$3,原始資料!BH201=""),"",IF(AND(原始資料!BG201&lt;&gt;"",原始資料!BH201=原始資料!BG201),N(BE201)+1,1))</f>
        <v/>
      </c>
      <c r="BG201" s="6">
        <f>IF(OR(原始資料!$A201="",58&gt;設定!$B$3,原始資料!BI201=""),"",IF(AND(原始資料!BH201&lt;&gt;"",原始資料!BI201=原始資料!BH201),N(BF201)+1,1))</f>
        <v/>
      </c>
      <c r="BH201" s="6">
        <f>IF(OR(原始資料!$A201="",59&gt;設定!$B$3,原始資料!BJ201=""),"",IF(AND(原始資料!BI201&lt;&gt;"",原始資料!BJ201=原始資料!BI201),N(BG201)+1,1))</f>
        <v/>
      </c>
      <c r="BI201" s="6">
        <f>IF(OR(原始資料!$A201="",60&gt;設定!$B$3,原始資料!BK201=""),"",IF(AND(原始資料!BJ201&lt;&gt;"",原始資料!BK201=原始資料!BJ201),N(BH201)+1,1))</f>
        <v/>
      </c>
    </row>
    <row r="202">
      <c r="A202" s="6">
        <f>IF(原始資料!$A202="","",原始資料!$A202)</f>
        <v/>
      </c>
      <c r="B202" s="6">
        <f>IF(OR(原始資料!$A202="",1&gt;設定!$B$3,原始資料!D202=""),"",1)</f>
        <v/>
      </c>
      <c r="C202" s="6">
        <f>IF(OR(原始資料!$A202="",2&gt;設定!$B$3,原始資料!E202=""),"",IF(AND(原始資料!D202&lt;&gt;"",原始資料!E202=原始資料!D202),N(B202)+1,1))</f>
        <v/>
      </c>
      <c r="D202" s="6">
        <f>IF(OR(原始資料!$A202="",3&gt;設定!$B$3,原始資料!F202=""),"",IF(AND(原始資料!E202&lt;&gt;"",原始資料!F202=原始資料!E202),N(C202)+1,1))</f>
        <v/>
      </c>
      <c r="E202" s="6">
        <f>IF(OR(原始資料!$A202="",4&gt;設定!$B$3,原始資料!G202=""),"",IF(AND(原始資料!F202&lt;&gt;"",原始資料!G202=原始資料!F202),N(D202)+1,1))</f>
        <v/>
      </c>
      <c r="F202" s="6">
        <f>IF(OR(原始資料!$A202="",5&gt;設定!$B$3,原始資料!H202=""),"",IF(AND(原始資料!G202&lt;&gt;"",原始資料!H202=原始資料!G202),N(E202)+1,1))</f>
        <v/>
      </c>
      <c r="G202" s="6">
        <f>IF(OR(原始資料!$A202="",6&gt;設定!$B$3,原始資料!I202=""),"",IF(AND(原始資料!H202&lt;&gt;"",原始資料!I202=原始資料!H202),N(F202)+1,1))</f>
        <v/>
      </c>
      <c r="H202" s="6">
        <f>IF(OR(原始資料!$A202="",7&gt;設定!$B$3,原始資料!J202=""),"",IF(AND(原始資料!I202&lt;&gt;"",原始資料!J202=原始資料!I202),N(G202)+1,1))</f>
        <v/>
      </c>
      <c r="I202" s="6">
        <f>IF(OR(原始資料!$A202="",8&gt;設定!$B$3,原始資料!K202=""),"",IF(AND(原始資料!J202&lt;&gt;"",原始資料!K202=原始資料!J202),N(H202)+1,1))</f>
        <v/>
      </c>
      <c r="J202" s="6">
        <f>IF(OR(原始資料!$A202="",9&gt;設定!$B$3,原始資料!L202=""),"",IF(AND(原始資料!K202&lt;&gt;"",原始資料!L202=原始資料!K202),N(I202)+1,1))</f>
        <v/>
      </c>
      <c r="K202" s="6">
        <f>IF(OR(原始資料!$A202="",10&gt;設定!$B$3,原始資料!M202=""),"",IF(AND(原始資料!L202&lt;&gt;"",原始資料!M202=原始資料!L202),N(J202)+1,1))</f>
        <v/>
      </c>
      <c r="L202" s="6">
        <f>IF(OR(原始資料!$A202="",11&gt;設定!$B$3,原始資料!N202=""),"",IF(AND(原始資料!M202&lt;&gt;"",原始資料!N202=原始資料!M202),N(K202)+1,1))</f>
        <v/>
      </c>
      <c r="M202" s="6">
        <f>IF(OR(原始資料!$A202="",12&gt;設定!$B$3,原始資料!O202=""),"",IF(AND(原始資料!N202&lt;&gt;"",原始資料!O202=原始資料!N202),N(L202)+1,1))</f>
        <v/>
      </c>
      <c r="N202" s="6">
        <f>IF(OR(原始資料!$A202="",13&gt;設定!$B$3,原始資料!P202=""),"",IF(AND(原始資料!O202&lt;&gt;"",原始資料!P202=原始資料!O202),N(M202)+1,1))</f>
        <v/>
      </c>
      <c r="O202" s="6">
        <f>IF(OR(原始資料!$A202="",14&gt;設定!$B$3,原始資料!Q202=""),"",IF(AND(原始資料!P202&lt;&gt;"",原始資料!Q202=原始資料!P202),N(N202)+1,1))</f>
        <v/>
      </c>
      <c r="P202" s="6">
        <f>IF(OR(原始資料!$A202="",15&gt;設定!$B$3,原始資料!R202=""),"",IF(AND(原始資料!Q202&lt;&gt;"",原始資料!R202=原始資料!Q202),N(O202)+1,1))</f>
        <v/>
      </c>
      <c r="Q202" s="6">
        <f>IF(OR(原始資料!$A202="",16&gt;設定!$B$3,原始資料!S202=""),"",IF(AND(原始資料!R202&lt;&gt;"",原始資料!S202=原始資料!R202),N(P202)+1,1))</f>
        <v/>
      </c>
      <c r="R202" s="6">
        <f>IF(OR(原始資料!$A202="",17&gt;設定!$B$3,原始資料!T202=""),"",IF(AND(原始資料!S202&lt;&gt;"",原始資料!T202=原始資料!S202),N(Q202)+1,1))</f>
        <v/>
      </c>
      <c r="S202" s="6">
        <f>IF(OR(原始資料!$A202="",18&gt;設定!$B$3,原始資料!U202=""),"",IF(AND(原始資料!T202&lt;&gt;"",原始資料!U202=原始資料!T202),N(R202)+1,1))</f>
        <v/>
      </c>
      <c r="T202" s="6">
        <f>IF(OR(原始資料!$A202="",19&gt;設定!$B$3,原始資料!V202=""),"",IF(AND(原始資料!U202&lt;&gt;"",原始資料!V202=原始資料!U202),N(S202)+1,1))</f>
        <v/>
      </c>
      <c r="U202" s="6">
        <f>IF(OR(原始資料!$A202="",20&gt;設定!$B$3,原始資料!W202=""),"",IF(AND(原始資料!V202&lt;&gt;"",原始資料!W202=原始資料!V202),N(T202)+1,1))</f>
        <v/>
      </c>
      <c r="V202" s="6">
        <f>IF(OR(原始資料!$A202="",21&gt;設定!$B$3,原始資料!X202=""),"",IF(AND(原始資料!W202&lt;&gt;"",原始資料!X202=原始資料!W202),N(U202)+1,1))</f>
        <v/>
      </c>
      <c r="W202" s="6">
        <f>IF(OR(原始資料!$A202="",22&gt;設定!$B$3,原始資料!Y202=""),"",IF(AND(原始資料!X202&lt;&gt;"",原始資料!Y202=原始資料!X202),N(V202)+1,1))</f>
        <v/>
      </c>
      <c r="X202" s="6">
        <f>IF(OR(原始資料!$A202="",23&gt;設定!$B$3,原始資料!Z202=""),"",IF(AND(原始資料!Y202&lt;&gt;"",原始資料!Z202=原始資料!Y202),N(W202)+1,1))</f>
        <v/>
      </c>
      <c r="Y202" s="6">
        <f>IF(OR(原始資料!$A202="",24&gt;設定!$B$3,原始資料!AA202=""),"",IF(AND(原始資料!Z202&lt;&gt;"",原始資料!AA202=原始資料!Z202),N(X202)+1,1))</f>
        <v/>
      </c>
      <c r="Z202" s="6">
        <f>IF(OR(原始資料!$A202="",25&gt;設定!$B$3,原始資料!AB202=""),"",IF(AND(原始資料!AA202&lt;&gt;"",原始資料!AB202=原始資料!AA202),N(Y202)+1,1))</f>
        <v/>
      </c>
      <c r="AA202" s="6">
        <f>IF(OR(原始資料!$A202="",26&gt;設定!$B$3,原始資料!AC202=""),"",IF(AND(原始資料!AB202&lt;&gt;"",原始資料!AC202=原始資料!AB202),N(Z202)+1,1))</f>
        <v/>
      </c>
      <c r="AB202" s="6">
        <f>IF(OR(原始資料!$A202="",27&gt;設定!$B$3,原始資料!AD202=""),"",IF(AND(原始資料!AC202&lt;&gt;"",原始資料!AD202=原始資料!AC202),N(AA202)+1,1))</f>
        <v/>
      </c>
      <c r="AC202" s="6">
        <f>IF(OR(原始資料!$A202="",28&gt;設定!$B$3,原始資料!AE202=""),"",IF(AND(原始資料!AD202&lt;&gt;"",原始資料!AE202=原始資料!AD202),N(AB202)+1,1))</f>
        <v/>
      </c>
      <c r="AD202" s="6">
        <f>IF(OR(原始資料!$A202="",29&gt;設定!$B$3,原始資料!AF202=""),"",IF(AND(原始資料!AE202&lt;&gt;"",原始資料!AF202=原始資料!AE202),N(AC202)+1,1))</f>
        <v/>
      </c>
      <c r="AE202" s="6">
        <f>IF(OR(原始資料!$A202="",30&gt;設定!$B$3,原始資料!AG202=""),"",IF(AND(原始資料!AF202&lt;&gt;"",原始資料!AG202=原始資料!AF202),N(AD202)+1,1))</f>
        <v/>
      </c>
      <c r="AF202" s="6">
        <f>IF(OR(原始資料!$A202="",31&gt;設定!$B$3,原始資料!AH202=""),"",IF(AND(原始資料!AG202&lt;&gt;"",原始資料!AH202=原始資料!AG202),N(AE202)+1,1))</f>
        <v/>
      </c>
      <c r="AG202" s="6">
        <f>IF(OR(原始資料!$A202="",32&gt;設定!$B$3,原始資料!AI202=""),"",IF(AND(原始資料!AH202&lt;&gt;"",原始資料!AI202=原始資料!AH202),N(AF202)+1,1))</f>
        <v/>
      </c>
      <c r="AH202" s="6">
        <f>IF(OR(原始資料!$A202="",33&gt;設定!$B$3,原始資料!AJ202=""),"",IF(AND(原始資料!AI202&lt;&gt;"",原始資料!AJ202=原始資料!AI202),N(AG202)+1,1))</f>
        <v/>
      </c>
      <c r="AI202" s="6">
        <f>IF(OR(原始資料!$A202="",34&gt;設定!$B$3,原始資料!AK202=""),"",IF(AND(原始資料!AJ202&lt;&gt;"",原始資料!AK202=原始資料!AJ202),N(AH202)+1,1))</f>
        <v/>
      </c>
      <c r="AJ202" s="6">
        <f>IF(OR(原始資料!$A202="",35&gt;設定!$B$3,原始資料!AL202=""),"",IF(AND(原始資料!AK202&lt;&gt;"",原始資料!AL202=原始資料!AK202),N(AI202)+1,1))</f>
        <v/>
      </c>
      <c r="AK202" s="6">
        <f>IF(OR(原始資料!$A202="",36&gt;設定!$B$3,原始資料!AM202=""),"",IF(AND(原始資料!AL202&lt;&gt;"",原始資料!AM202=原始資料!AL202),N(AJ202)+1,1))</f>
        <v/>
      </c>
      <c r="AL202" s="6">
        <f>IF(OR(原始資料!$A202="",37&gt;設定!$B$3,原始資料!AN202=""),"",IF(AND(原始資料!AM202&lt;&gt;"",原始資料!AN202=原始資料!AM202),N(AK202)+1,1))</f>
        <v/>
      </c>
      <c r="AM202" s="6">
        <f>IF(OR(原始資料!$A202="",38&gt;設定!$B$3,原始資料!AO202=""),"",IF(AND(原始資料!AN202&lt;&gt;"",原始資料!AO202=原始資料!AN202),N(AL202)+1,1))</f>
        <v/>
      </c>
      <c r="AN202" s="6">
        <f>IF(OR(原始資料!$A202="",39&gt;設定!$B$3,原始資料!AP202=""),"",IF(AND(原始資料!AO202&lt;&gt;"",原始資料!AP202=原始資料!AO202),N(AM202)+1,1))</f>
        <v/>
      </c>
      <c r="AO202" s="6">
        <f>IF(OR(原始資料!$A202="",40&gt;設定!$B$3,原始資料!AQ202=""),"",IF(AND(原始資料!AP202&lt;&gt;"",原始資料!AQ202=原始資料!AP202),N(AN202)+1,1))</f>
        <v/>
      </c>
      <c r="AP202" s="6">
        <f>IF(OR(原始資料!$A202="",41&gt;設定!$B$3,原始資料!AR202=""),"",IF(AND(原始資料!AQ202&lt;&gt;"",原始資料!AR202=原始資料!AQ202),N(AO202)+1,1))</f>
        <v/>
      </c>
      <c r="AQ202" s="6">
        <f>IF(OR(原始資料!$A202="",42&gt;設定!$B$3,原始資料!AS202=""),"",IF(AND(原始資料!AR202&lt;&gt;"",原始資料!AS202=原始資料!AR202),N(AP202)+1,1))</f>
        <v/>
      </c>
      <c r="AR202" s="6">
        <f>IF(OR(原始資料!$A202="",43&gt;設定!$B$3,原始資料!AT202=""),"",IF(AND(原始資料!AS202&lt;&gt;"",原始資料!AT202=原始資料!AS202),N(AQ202)+1,1))</f>
        <v/>
      </c>
      <c r="AS202" s="6">
        <f>IF(OR(原始資料!$A202="",44&gt;設定!$B$3,原始資料!AU202=""),"",IF(AND(原始資料!AT202&lt;&gt;"",原始資料!AU202=原始資料!AT202),N(AR202)+1,1))</f>
        <v/>
      </c>
      <c r="AT202" s="6">
        <f>IF(OR(原始資料!$A202="",45&gt;設定!$B$3,原始資料!AV202=""),"",IF(AND(原始資料!AU202&lt;&gt;"",原始資料!AV202=原始資料!AU202),N(AS202)+1,1))</f>
        <v/>
      </c>
      <c r="AU202" s="6">
        <f>IF(OR(原始資料!$A202="",46&gt;設定!$B$3,原始資料!AW202=""),"",IF(AND(原始資料!AV202&lt;&gt;"",原始資料!AW202=原始資料!AV202),N(AT202)+1,1))</f>
        <v/>
      </c>
      <c r="AV202" s="6">
        <f>IF(OR(原始資料!$A202="",47&gt;設定!$B$3,原始資料!AX202=""),"",IF(AND(原始資料!AW202&lt;&gt;"",原始資料!AX202=原始資料!AW202),N(AU202)+1,1))</f>
        <v/>
      </c>
      <c r="AW202" s="6">
        <f>IF(OR(原始資料!$A202="",48&gt;設定!$B$3,原始資料!AY202=""),"",IF(AND(原始資料!AX202&lt;&gt;"",原始資料!AY202=原始資料!AX202),N(AV202)+1,1))</f>
        <v/>
      </c>
      <c r="AX202" s="6">
        <f>IF(OR(原始資料!$A202="",49&gt;設定!$B$3,原始資料!AZ202=""),"",IF(AND(原始資料!AY202&lt;&gt;"",原始資料!AZ202=原始資料!AY202),N(AW202)+1,1))</f>
        <v/>
      </c>
      <c r="AY202" s="6">
        <f>IF(OR(原始資料!$A202="",50&gt;設定!$B$3,原始資料!BA202=""),"",IF(AND(原始資料!AZ202&lt;&gt;"",原始資料!BA202=原始資料!AZ202),N(AX202)+1,1))</f>
        <v/>
      </c>
      <c r="AZ202" s="6">
        <f>IF(OR(原始資料!$A202="",51&gt;設定!$B$3,原始資料!BB202=""),"",IF(AND(原始資料!BA202&lt;&gt;"",原始資料!BB202=原始資料!BA202),N(AY202)+1,1))</f>
        <v/>
      </c>
      <c r="BA202" s="6">
        <f>IF(OR(原始資料!$A202="",52&gt;設定!$B$3,原始資料!BC202=""),"",IF(AND(原始資料!BB202&lt;&gt;"",原始資料!BC202=原始資料!BB202),N(AZ202)+1,1))</f>
        <v/>
      </c>
      <c r="BB202" s="6">
        <f>IF(OR(原始資料!$A202="",53&gt;設定!$B$3,原始資料!BD202=""),"",IF(AND(原始資料!BC202&lt;&gt;"",原始資料!BD202=原始資料!BC202),N(BA202)+1,1))</f>
        <v/>
      </c>
      <c r="BC202" s="6">
        <f>IF(OR(原始資料!$A202="",54&gt;設定!$B$3,原始資料!BE202=""),"",IF(AND(原始資料!BD202&lt;&gt;"",原始資料!BE202=原始資料!BD202),N(BB202)+1,1))</f>
        <v/>
      </c>
      <c r="BD202" s="6">
        <f>IF(OR(原始資料!$A202="",55&gt;設定!$B$3,原始資料!BF202=""),"",IF(AND(原始資料!BE202&lt;&gt;"",原始資料!BF202=原始資料!BE202),N(BC202)+1,1))</f>
        <v/>
      </c>
      <c r="BE202" s="6">
        <f>IF(OR(原始資料!$A202="",56&gt;設定!$B$3,原始資料!BG202=""),"",IF(AND(原始資料!BF202&lt;&gt;"",原始資料!BG202=原始資料!BF202),N(BD202)+1,1))</f>
        <v/>
      </c>
      <c r="BF202" s="6">
        <f>IF(OR(原始資料!$A202="",57&gt;設定!$B$3,原始資料!BH202=""),"",IF(AND(原始資料!BG202&lt;&gt;"",原始資料!BH202=原始資料!BG202),N(BE202)+1,1))</f>
        <v/>
      </c>
      <c r="BG202" s="6">
        <f>IF(OR(原始資料!$A202="",58&gt;設定!$B$3,原始資料!BI202=""),"",IF(AND(原始資料!BH202&lt;&gt;"",原始資料!BI202=原始資料!BH202),N(BF202)+1,1))</f>
        <v/>
      </c>
      <c r="BH202" s="6">
        <f>IF(OR(原始資料!$A202="",59&gt;設定!$B$3,原始資料!BJ202=""),"",IF(AND(原始資料!BI202&lt;&gt;"",原始資料!BJ202=原始資料!BI202),N(BG202)+1,1))</f>
        <v/>
      </c>
      <c r="BI202" s="6">
        <f>IF(OR(原始資料!$A202="",60&gt;設定!$B$3,原始資料!BK202=""),"",IF(AND(原始資料!BJ202&lt;&gt;"",原始資料!BK202=原始資料!BJ202),N(BH202)+1,1))</f>
        <v/>
      </c>
    </row>
    <row r="203">
      <c r="A203" s="6">
        <f>IF(原始資料!$A203="","",原始資料!$A203)</f>
        <v/>
      </c>
      <c r="B203" s="6">
        <f>IF(OR(原始資料!$A203="",1&gt;設定!$B$3,原始資料!D203=""),"",1)</f>
        <v/>
      </c>
      <c r="C203" s="6">
        <f>IF(OR(原始資料!$A203="",2&gt;設定!$B$3,原始資料!E203=""),"",IF(AND(原始資料!D203&lt;&gt;"",原始資料!E203=原始資料!D203),N(B203)+1,1))</f>
        <v/>
      </c>
      <c r="D203" s="6">
        <f>IF(OR(原始資料!$A203="",3&gt;設定!$B$3,原始資料!F203=""),"",IF(AND(原始資料!E203&lt;&gt;"",原始資料!F203=原始資料!E203),N(C203)+1,1))</f>
        <v/>
      </c>
      <c r="E203" s="6">
        <f>IF(OR(原始資料!$A203="",4&gt;設定!$B$3,原始資料!G203=""),"",IF(AND(原始資料!F203&lt;&gt;"",原始資料!G203=原始資料!F203),N(D203)+1,1))</f>
        <v/>
      </c>
      <c r="F203" s="6">
        <f>IF(OR(原始資料!$A203="",5&gt;設定!$B$3,原始資料!H203=""),"",IF(AND(原始資料!G203&lt;&gt;"",原始資料!H203=原始資料!G203),N(E203)+1,1))</f>
        <v/>
      </c>
      <c r="G203" s="6">
        <f>IF(OR(原始資料!$A203="",6&gt;設定!$B$3,原始資料!I203=""),"",IF(AND(原始資料!H203&lt;&gt;"",原始資料!I203=原始資料!H203),N(F203)+1,1))</f>
        <v/>
      </c>
      <c r="H203" s="6">
        <f>IF(OR(原始資料!$A203="",7&gt;設定!$B$3,原始資料!J203=""),"",IF(AND(原始資料!I203&lt;&gt;"",原始資料!J203=原始資料!I203),N(G203)+1,1))</f>
        <v/>
      </c>
      <c r="I203" s="6">
        <f>IF(OR(原始資料!$A203="",8&gt;設定!$B$3,原始資料!K203=""),"",IF(AND(原始資料!J203&lt;&gt;"",原始資料!K203=原始資料!J203),N(H203)+1,1))</f>
        <v/>
      </c>
      <c r="J203" s="6">
        <f>IF(OR(原始資料!$A203="",9&gt;設定!$B$3,原始資料!L203=""),"",IF(AND(原始資料!K203&lt;&gt;"",原始資料!L203=原始資料!K203),N(I203)+1,1))</f>
        <v/>
      </c>
      <c r="K203" s="6">
        <f>IF(OR(原始資料!$A203="",10&gt;設定!$B$3,原始資料!M203=""),"",IF(AND(原始資料!L203&lt;&gt;"",原始資料!M203=原始資料!L203),N(J203)+1,1))</f>
        <v/>
      </c>
      <c r="L203" s="6">
        <f>IF(OR(原始資料!$A203="",11&gt;設定!$B$3,原始資料!N203=""),"",IF(AND(原始資料!M203&lt;&gt;"",原始資料!N203=原始資料!M203),N(K203)+1,1))</f>
        <v/>
      </c>
      <c r="M203" s="6">
        <f>IF(OR(原始資料!$A203="",12&gt;設定!$B$3,原始資料!O203=""),"",IF(AND(原始資料!N203&lt;&gt;"",原始資料!O203=原始資料!N203),N(L203)+1,1))</f>
        <v/>
      </c>
      <c r="N203" s="6">
        <f>IF(OR(原始資料!$A203="",13&gt;設定!$B$3,原始資料!P203=""),"",IF(AND(原始資料!O203&lt;&gt;"",原始資料!P203=原始資料!O203),N(M203)+1,1))</f>
        <v/>
      </c>
      <c r="O203" s="6">
        <f>IF(OR(原始資料!$A203="",14&gt;設定!$B$3,原始資料!Q203=""),"",IF(AND(原始資料!P203&lt;&gt;"",原始資料!Q203=原始資料!P203),N(N203)+1,1))</f>
        <v/>
      </c>
      <c r="P203" s="6">
        <f>IF(OR(原始資料!$A203="",15&gt;設定!$B$3,原始資料!R203=""),"",IF(AND(原始資料!Q203&lt;&gt;"",原始資料!R203=原始資料!Q203),N(O203)+1,1))</f>
        <v/>
      </c>
      <c r="Q203" s="6">
        <f>IF(OR(原始資料!$A203="",16&gt;設定!$B$3,原始資料!S203=""),"",IF(AND(原始資料!R203&lt;&gt;"",原始資料!S203=原始資料!R203),N(P203)+1,1))</f>
        <v/>
      </c>
      <c r="R203" s="6">
        <f>IF(OR(原始資料!$A203="",17&gt;設定!$B$3,原始資料!T203=""),"",IF(AND(原始資料!S203&lt;&gt;"",原始資料!T203=原始資料!S203),N(Q203)+1,1))</f>
        <v/>
      </c>
      <c r="S203" s="6">
        <f>IF(OR(原始資料!$A203="",18&gt;設定!$B$3,原始資料!U203=""),"",IF(AND(原始資料!T203&lt;&gt;"",原始資料!U203=原始資料!T203),N(R203)+1,1))</f>
        <v/>
      </c>
      <c r="T203" s="6">
        <f>IF(OR(原始資料!$A203="",19&gt;設定!$B$3,原始資料!V203=""),"",IF(AND(原始資料!U203&lt;&gt;"",原始資料!V203=原始資料!U203),N(S203)+1,1))</f>
        <v/>
      </c>
      <c r="U203" s="6">
        <f>IF(OR(原始資料!$A203="",20&gt;設定!$B$3,原始資料!W203=""),"",IF(AND(原始資料!V203&lt;&gt;"",原始資料!W203=原始資料!V203),N(T203)+1,1))</f>
        <v/>
      </c>
      <c r="V203" s="6">
        <f>IF(OR(原始資料!$A203="",21&gt;設定!$B$3,原始資料!X203=""),"",IF(AND(原始資料!W203&lt;&gt;"",原始資料!X203=原始資料!W203),N(U203)+1,1))</f>
        <v/>
      </c>
      <c r="W203" s="6">
        <f>IF(OR(原始資料!$A203="",22&gt;設定!$B$3,原始資料!Y203=""),"",IF(AND(原始資料!X203&lt;&gt;"",原始資料!Y203=原始資料!X203),N(V203)+1,1))</f>
        <v/>
      </c>
      <c r="X203" s="6">
        <f>IF(OR(原始資料!$A203="",23&gt;設定!$B$3,原始資料!Z203=""),"",IF(AND(原始資料!Y203&lt;&gt;"",原始資料!Z203=原始資料!Y203),N(W203)+1,1))</f>
        <v/>
      </c>
      <c r="Y203" s="6">
        <f>IF(OR(原始資料!$A203="",24&gt;設定!$B$3,原始資料!AA203=""),"",IF(AND(原始資料!Z203&lt;&gt;"",原始資料!AA203=原始資料!Z203),N(X203)+1,1))</f>
        <v/>
      </c>
      <c r="Z203" s="6">
        <f>IF(OR(原始資料!$A203="",25&gt;設定!$B$3,原始資料!AB203=""),"",IF(AND(原始資料!AA203&lt;&gt;"",原始資料!AB203=原始資料!AA203),N(Y203)+1,1))</f>
        <v/>
      </c>
      <c r="AA203" s="6">
        <f>IF(OR(原始資料!$A203="",26&gt;設定!$B$3,原始資料!AC203=""),"",IF(AND(原始資料!AB203&lt;&gt;"",原始資料!AC203=原始資料!AB203),N(Z203)+1,1))</f>
        <v/>
      </c>
      <c r="AB203" s="6">
        <f>IF(OR(原始資料!$A203="",27&gt;設定!$B$3,原始資料!AD203=""),"",IF(AND(原始資料!AC203&lt;&gt;"",原始資料!AD203=原始資料!AC203),N(AA203)+1,1))</f>
        <v/>
      </c>
      <c r="AC203" s="6">
        <f>IF(OR(原始資料!$A203="",28&gt;設定!$B$3,原始資料!AE203=""),"",IF(AND(原始資料!AD203&lt;&gt;"",原始資料!AE203=原始資料!AD203),N(AB203)+1,1))</f>
        <v/>
      </c>
      <c r="AD203" s="6">
        <f>IF(OR(原始資料!$A203="",29&gt;設定!$B$3,原始資料!AF203=""),"",IF(AND(原始資料!AE203&lt;&gt;"",原始資料!AF203=原始資料!AE203),N(AC203)+1,1))</f>
        <v/>
      </c>
      <c r="AE203" s="6">
        <f>IF(OR(原始資料!$A203="",30&gt;設定!$B$3,原始資料!AG203=""),"",IF(AND(原始資料!AF203&lt;&gt;"",原始資料!AG203=原始資料!AF203),N(AD203)+1,1))</f>
        <v/>
      </c>
      <c r="AF203" s="6">
        <f>IF(OR(原始資料!$A203="",31&gt;設定!$B$3,原始資料!AH203=""),"",IF(AND(原始資料!AG203&lt;&gt;"",原始資料!AH203=原始資料!AG203),N(AE203)+1,1))</f>
        <v/>
      </c>
      <c r="AG203" s="6">
        <f>IF(OR(原始資料!$A203="",32&gt;設定!$B$3,原始資料!AI203=""),"",IF(AND(原始資料!AH203&lt;&gt;"",原始資料!AI203=原始資料!AH203),N(AF203)+1,1))</f>
        <v/>
      </c>
      <c r="AH203" s="6">
        <f>IF(OR(原始資料!$A203="",33&gt;設定!$B$3,原始資料!AJ203=""),"",IF(AND(原始資料!AI203&lt;&gt;"",原始資料!AJ203=原始資料!AI203),N(AG203)+1,1))</f>
        <v/>
      </c>
      <c r="AI203" s="6">
        <f>IF(OR(原始資料!$A203="",34&gt;設定!$B$3,原始資料!AK203=""),"",IF(AND(原始資料!AJ203&lt;&gt;"",原始資料!AK203=原始資料!AJ203),N(AH203)+1,1))</f>
        <v/>
      </c>
      <c r="AJ203" s="6">
        <f>IF(OR(原始資料!$A203="",35&gt;設定!$B$3,原始資料!AL203=""),"",IF(AND(原始資料!AK203&lt;&gt;"",原始資料!AL203=原始資料!AK203),N(AI203)+1,1))</f>
        <v/>
      </c>
      <c r="AK203" s="6">
        <f>IF(OR(原始資料!$A203="",36&gt;設定!$B$3,原始資料!AM203=""),"",IF(AND(原始資料!AL203&lt;&gt;"",原始資料!AM203=原始資料!AL203),N(AJ203)+1,1))</f>
        <v/>
      </c>
      <c r="AL203" s="6">
        <f>IF(OR(原始資料!$A203="",37&gt;設定!$B$3,原始資料!AN203=""),"",IF(AND(原始資料!AM203&lt;&gt;"",原始資料!AN203=原始資料!AM203),N(AK203)+1,1))</f>
        <v/>
      </c>
      <c r="AM203" s="6">
        <f>IF(OR(原始資料!$A203="",38&gt;設定!$B$3,原始資料!AO203=""),"",IF(AND(原始資料!AN203&lt;&gt;"",原始資料!AO203=原始資料!AN203),N(AL203)+1,1))</f>
        <v/>
      </c>
      <c r="AN203" s="6">
        <f>IF(OR(原始資料!$A203="",39&gt;設定!$B$3,原始資料!AP203=""),"",IF(AND(原始資料!AO203&lt;&gt;"",原始資料!AP203=原始資料!AO203),N(AM203)+1,1))</f>
        <v/>
      </c>
      <c r="AO203" s="6">
        <f>IF(OR(原始資料!$A203="",40&gt;設定!$B$3,原始資料!AQ203=""),"",IF(AND(原始資料!AP203&lt;&gt;"",原始資料!AQ203=原始資料!AP203),N(AN203)+1,1))</f>
        <v/>
      </c>
      <c r="AP203" s="6">
        <f>IF(OR(原始資料!$A203="",41&gt;設定!$B$3,原始資料!AR203=""),"",IF(AND(原始資料!AQ203&lt;&gt;"",原始資料!AR203=原始資料!AQ203),N(AO203)+1,1))</f>
        <v/>
      </c>
      <c r="AQ203" s="6">
        <f>IF(OR(原始資料!$A203="",42&gt;設定!$B$3,原始資料!AS203=""),"",IF(AND(原始資料!AR203&lt;&gt;"",原始資料!AS203=原始資料!AR203),N(AP203)+1,1))</f>
        <v/>
      </c>
      <c r="AR203" s="6">
        <f>IF(OR(原始資料!$A203="",43&gt;設定!$B$3,原始資料!AT203=""),"",IF(AND(原始資料!AS203&lt;&gt;"",原始資料!AT203=原始資料!AS203),N(AQ203)+1,1))</f>
        <v/>
      </c>
      <c r="AS203" s="6">
        <f>IF(OR(原始資料!$A203="",44&gt;設定!$B$3,原始資料!AU203=""),"",IF(AND(原始資料!AT203&lt;&gt;"",原始資料!AU203=原始資料!AT203),N(AR203)+1,1))</f>
        <v/>
      </c>
      <c r="AT203" s="6">
        <f>IF(OR(原始資料!$A203="",45&gt;設定!$B$3,原始資料!AV203=""),"",IF(AND(原始資料!AU203&lt;&gt;"",原始資料!AV203=原始資料!AU203),N(AS203)+1,1))</f>
        <v/>
      </c>
      <c r="AU203" s="6">
        <f>IF(OR(原始資料!$A203="",46&gt;設定!$B$3,原始資料!AW203=""),"",IF(AND(原始資料!AV203&lt;&gt;"",原始資料!AW203=原始資料!AV203),N(AT203)+1,1))</f>
        <v/>
      </c>
      <c r="AV203" s="6">
        <f>IF(OR(原始資料!$A203="",47&gt;設定!$B$3,原始資料!AX203=""),"",IF(AND(原始資料!AW203&lt;&gt;"",原始資料!AX203=原始資料!AW203),N(AU203)+1,1))</f>
        <v/>
      </c>
      <c r="AW203" s="6">
        <f>IF(OR(原始資料!$A203="",48&gt;設定!$B$3,原始資料!AY203=""),"",IF(AND(原始資料!AX203&lt;&gt;"",原始資料!AY203=原始資料!AX203),N(AV203)+1,1))</f>
        <v/>
      </c>
      <c r="AX203" s="6">
        <f>IF(OR(原始資料!$A203="",49&gt;設定!$B$3,原始資料!AZ203=""),"",IF(AND(原始資料!AY203&lt;&gt;"",原始資料!AZ203=原始資料!AY203),N(AW203)+1,1))</f>
        <v/>
      </c>
      <c r="AY203" s="6">
        <f>IF(OR(原始資料!$A203="",50&gt;設定!$B$3,原始資料!BA203=""),"",IF(AND(原始資料!AZ203&lt;&gt;"",原始資料!BA203=原始資料!AZ203),N(AX203)+1,1))</f>
        <v/>
      </c>
      <c r="AZ203" s="6">
        <f>IF(OR(原始資料!$A203="",51&gt;設定!$B$3,原始資料!BB203=""),"",IF(AND(原始資料!BA203&lt;&gt;"",原始資料!BB203=原始資料!BA203),N(AY203)+1,1))</f>
        <v/>
      </c>
      <c r="BA203" s="6">
        <f>IF(OR(原始資料!$A203="",52&gt;設定!$B$3,原始資料!BC203=""),"",IF(AND(原始資料!BB203&lt;&gt;"",原始資料!BC203=原始資料!BB203),N(AZ203)+1,1))</f>
        <v/>
      </c>
      <c r="BB203" s="6">
        <f>IF(OR(原始資料!$A203="",53&gt;設定!$B$3,原始資料!BD203=""),"",IF(AND(原始資料!BC203&lt;&gt;"",原始資料!BD203=原始資料!BC203),N(BA203)+1,1))</f>
        <v/>
      </c>
      <c r="BC203" s="6">
        <f>IF(OR(原始資料!$A203="",54&gt;設定!$B$3,原始資料!BE203=""),"",IF(AND(原始資料!BD203&lt;&gt;"",原始資料!BE203=原始資料!BD203),N(BB203)+1,1))</f>
        <v/>
      </c>
      <c r="BD203" s="6">
        <f>IF(OR(原始資料!$A203="",55&gt;設定!$B$3,原始資料!BF203=""),"",IF(AND(原始資料!BE203&lt;&gt;"",原始資料!BF203=原始資料!BE203),N(BC203)+1,1))</f>
        <v/>
      </c>
      <c r="BE203" s="6">
        <f>IF(OR(原始資料!$A203="",56&gt;設定!$B$3,原始資料!BG203=""),"",IF(AND(原始資料!BF203&lt;&gt;"",原始資料!BG203=原始資料!BF203),N(BD203)+1,1))</f>
        <v/>
      </c>
      <c r="BF203" s="6">
        <f>IF(OR(原始資料!$A203="",57&gt;設定!$B$3,原始資料!BH203=""),"",IF(AND(原始資料!BG203&lt;&gt;"",原始資料!BH203=原始資料!BG203),N(BE203)+1,1))</f>
        <v/>
      </c>
      <c r="BG203" s="6">
        <f>IF(OR(原始資料!$A203="",58&gt;設定!$B$3,原始資料!BI203=""),"",IF(AND(原始資料!BH203&lt;&gt;"",原始資料!BI203=原始資料!BH203),N(BF203)+1,1))</f>
        <v/>
      </c>
      <c r="BH203" s="6">
        <f>IF(OR(原始資料!$A203="",59&gt;設定!$B$3,原始資料!BJ203=""),"",IF(AND(原始資料!BI203&lt;&gt;"",原始資料!BJ203=原始資料!BI203),N(BG203)+1,1))</f>
        <v/>
      </c>
      <c r="BI203" s="6">
        <f>IF(OR(原始資料!$A203="",60&gt;設定!$B$3,原始資料!BK203=""),"",IF(AND(原始資料!BJ203&lt;&gt;"",原始資料!BK203=原始資料!BJ203),N(BH203)+1,1))</f>
        <v/>
      </c>
    </row>
    <row r="204">
      <c r="A204" s="6">
        <f>IF(原始資料!$A204="","",原始資料!$A204)</f>
        <v/>
      </c>
      <c r="B204" s="6">
        <f>IF(OR(原始資料!$A204="",1&gt;設定!$B$3,原始資料!D204=""),"",1)</f>
        <v/>
      </c>
      <c r="C204" s="6">
        <f>IF(OR(原始資料!$A204="",2&gt;設定!$B$3,原始資料!E204=""),"",IF(AND(原始資料!D204&lt;&gt;"",原始資料!E204=原始資料!D204),N(B204)+1,1))</f>
        <v/>
      </c>
      <c r="D204" s="6">
        <f>IF(OR(原始資料!$A204="",3&gt;設定!$B$3,原始資料!F204=""),"",IF(AND(原始資料!E204&lt;&gt;"",原始資料!F204=原始資料!E204),N(C204)+1,1))</f>
        <v/>
      </c>
      <c r="E204" s="6">
        <f>IF(OR(原始資料!$A204="",4&gt;設定!$B$3,原始資料!G204=""),"",IF(AND(原始資料!F204&lt;&gt;"",原始資料!G204=原始資料!F204),N(D204)+1,1))</f>
        <v/>
      </c>
      <c r="F204" s="6">
        <f>IF(OR(原始資料!$A204="",5&gt;設定!$B$3,原始資料!H204=""),"",IF(AND(原始資料!G204&lt;&gt;"",原始資料!H204=原始資料!G204),N(E204)+1,1))</f>
        <v/>
      </c>
      <c r="G204" s="6">
        <f>IF(OR(原始資料!$A204="",6&gt;設定!$B$3,原始資料!I204=""),"",IF(AND(原始資料!H204&lt;&gt;"",原始資料!I204=原始資料!H204),N(F204)+1,1))</f>
        <v/>
      </c>
      <c r="H204" s="6">
        <f>IF(OR(原始資料!$A204="",7&gt;設定!$B$3,原始資料!J204=""),"",IF(AND(原始資料!I204&lt;&gt;"",原始資料!J204=原始資料!I204),N(G204)+1,1))</f>
        <v/>
      </c>
      <c r="I204" s="6">
        <f>IF(OR(原始資料!$A204="",8&gt;設定!$B$3,原始資料!K204=""),"",IF(AND(原始資料!J204&lt;&gt;"",原始資料!K204=原始資料!J204),N(H204)+1,1))</f>
        <v/>
      </c>
      <c r="J204" s="6">
        <f>IF(OR(原始資料!$A204="",9&gt;設定!$B$3,原始資料!L204=""),"",IF(AND(原始資料!K204&lt;&gt;"",原始資料!L204=原始資料!K204),N(I204)+1,1))</f>
        <v/>
      </c>
      <c r="K204" s="6">
        <f>IF(OR(原始資料!$A204="",10&gt;設定!$B$3,原始資料!M204=""),"",IF(AND(原始資料!L204&lt;&gt;"",原始資料!M204=原始資料!L204),N(J204)+1,1))</f>
        <v/>
      </c>
      <c r="L204" s="6">
        <f>IF(OR(原始資料!$A204="",11&gt;設定!$B$3,原始資料!N204=""),"",IF(AND(原始資料!M204&lt;&gt;"",原始資料!N204=原始資料!M204),N(K204)+1,1))</f>
        <v/>
      </c>
      <c r="M204" s="6">
        <f>IF(OR(原始資料!$A204="",12&gt;設定!$B$3,原始資料!O204=""),"",IF(AND(原始資料!N204&lt;&gt;"",原始資料!O204=原始資料!N204),N(L204)+1,1))</f>
        <v/>
      </c>
      <c r="N204" s="6">
        <f>IF(OR(原始資料!$A204="",13&gt;設定!$B$3,原始資料!P204=""),"",IF(AND(原始資料!O204&lt;&gt;"",原始資料!P204=原始資料!O204),N(M204)+1,1))</f>
        <v/>
      </c>
      <c r="O204" s="6">
        <f>IF(OR(原始資料!$A204="",14&gt;設定!$B$3,原始資料!Q204=""),"",IF(AND(原始資料!P204&lt;&gt;"",原始資料!Q204=原始資料!P204),N(N204)+1,1))</f>
        <v/>
      </c>
      <c r="P204" s="6">
        <f>IF(OR(原始資料!$A204="",15&gt;設定!$B$3,原始資料!R204=""),"",IF(AND(原始資料!Q204&lt;&gt;"",原始資料!R204=原始資料!Q204),N(O204)+1,1))</f>
        <v/>
      </c>
      <c r="Q204" s="6">
        <f>IF(OR(原始資料!$A204="",16&gt;設定!$B$3,原始資料!S204=""),"",IF(AND(原始資料!R204&lt;&gt;"",原始資料!S204=原始資料!R204),N(P204)+1,1))</f>
        <v/>
      </c>
      <c r="R204" s="6">
        <f>IF(OR(原始資料!$A204="",17&gt;設定!$B$3,原始資料!T204=""),"",IF(AND(原始資料!S204&lt;&gt;"",原始資料!T204=原始資料!S204),N(Q204)+1,1))</f>
        <v/>
      </c>
      <c r="S204" s="6">
        <f>IF(OR(原始資料!$A204="",18&gt;設定!$B$3,原始資料!U204=""),"",IF(AND(原始資料!T204&lt;&gt;"",原始資料!U204=原始資料!T204),N(R204)+1,1))</f>
        <v/>
      </c>
      <c r="T204" s="6">
        <f>IF(OR(原始資料!$A204="",19&gt;設定!$B$3,原始資料!V204=""),"",IF(AND(原始資料!U204&lt;&gt;"",原始資料!V204=原始資料!U204),N(S204)+1,1))</f>
        <v/>
      </c>
      <c r="U204" s="6">
        <f>IF(OR(原始資料!$A204="",20&gt;設定!$B$3,原始資料!W204=""),"",IF(AND(原始資料!V204&lt;&gt;"",原始資料!W204=原始資料!V204),N(T204)+1,1))</f>
        <v/>
      </c>
      <c r="V204" s="6">
        <f>IF(OR(原始資料!$A204="",21&gt;設定!$B$3,原始資料!X204=""),"",IF(AND(原始資料!W204&lt;&gt;"",原始資料!X204=原始資料!W204),N(U204)+1,1))</f>
        <v/>
      </c>
      <c r="W204" s="6">
        <f>IF(OR(原始資料!$A204="",22&gt;設定!$B$3,原始資料!Y204=""),"",IF(AND(原始資料!X204&lt;&gt;"",原始資料!Y204=原始資料!X204),N(V204)+1,1))</f>
        <v/>
      </c>
      <c r="X204" s="6">
        <f>IF(OR(原始資料!$A204="",23&gt;設定!$B$3,原始資料!Z204=""),"",IF(AND(原始資料!Y204&lt;&gt;"",原始資料!Z204=原始資料!Y204),N(W204)+1,1))</f>
        <v/>
      </c>
      <c r="Y204" s="6">
        <f>IF(OR(原始資料!$A204="",24&gt;設定!$B$3,原始資料!AA204=""),"",IF(AND(原始資料!Z204&lt;&gt;"",原始資料!AA204=原始資料!Z204),N(X204)+1,1))</f>
        <v/>
      </c>
      <c r="Z204" s="6">
        <f>IF(OR(原始資料!$A204="",25&gt;設定!$B$3,原始資料!AB204=""),"",IF(AND(原始資料!AA204&lt;&gt;"",原始資料!AB204=原始資料!AA204),N(Y204)+1,1))</f>
        <v/>
      </c>
      <c r="AA204" s="6">
        <f>IF(OR(原始資料!$A204="",26&gt;設定!$B$3,原始資料!AC204=""),"",IF(AND(原始資料!AB204&lt;&gt;"",原始資料!AC204=原始資料!AB204),N(Z204)+1,1))</f>
        <v/>
      </c>
      <c r="AB204" s="6">
        <f>IF(OR(原始資料!$A204="",27&gt;設定!$B$3,原始資料!AD204=""),"",IF(AND(原始資料!AC204&lt;&gt;"",原始資料!AD204=原始資料!AC204),N(AA204)+1,1))</f>
        <v/>
      </c>
      <c r="AC204" s="6">
        <f>IF(OR(原始資料!$A204="",28&gt;設定!$B$3,原始資料!AE204=""),"",IF(AND(原始資料!AD204&lt;&gt;"",原始資料!AE204=原始資料!AD204),N(AB204)+1,1))</f>
        <v/>
      </c>
      <c r="AD204" s="6">
        <f>IF(OR(原始資料!$A204="",29&gt;設定!$B$3,原始資料!AF204=""),"",IF(AND(原始資料!AE204&lt;&gt;"",原始資料!AF204=原始資料!AE204),N(AC204)+1,1))</f>
        <v/>
      </c>
      <c r="AE204" s="6">
        <f>IF(OR(原始資料!$A204="",30&gt;設定!$B$3,原始資料!AG204=""),"",IF(AND(原始資料!AF204&lt;&gt;"",原始資料!AG204=原始資料!AF204),N(AD204)+1,1))</f>
        <v/>
      </c>
      <c r="AF204" s="6">
        <f>IF(OR(原始資料!$A204="",31&gt;設定!$B$3,原始資料!AH204=""),"",IF(AND(原始資料!AG204&lt;&gt;"",原始資料!AH204=原始資料!AG204),N(AE204)+1,1))</f>
        <v/>
      </c>
      <c r="AG204" s="6">
        <f>IF(OR(原始資料!$A204="",32&gt;設定!$B$3,原始資料!AI204=""),"",IF(AND(原始資料!AH204&lt;&gt;"",原始資料!AI204=原始資料!AH204),N(AF204)+1,1))</f>
        <v/>
      </c>
      <c r="AH204" s="6">
        <f>IF(OR(原始資料!$A204="",33&gt;設定!$B$3,原始資料!AJ204=""),"",IF(AND(原始資料!AI204&lt;&gt;"",原始資料!AJ204=原始資料!AI204),N(AG204)+1,1))</f>
        <v/>
      </c>
      <c r="AI204" s="6">
        <f>IF(OR(原始資料!$A204="",34&gt;設定!$B$3,原始資料!AK204=""),"",IF(AND(原始資料!AJ204&lt;&gt;"",原始資料!AK204=原始資料!AJ204),N(AH204)+1,1))</f>
        <v/>
      </c>
      <c r="AJ204" s="6">
        <f>IF(OR(原始資料!$A204="",35&gt;設定!$B$3,原始資料!AL204=""),"",IF(AND(原始資料!AK204&lt;&gt;"",原始資料!AL204=原始資料!AK204),N(AI204)+1,1))</f>
        <v/>
      </c>
      <c r="AK204" s="6">
        <f>IF(OR(原始資料!$A204="",36&gt;設定!$B$3,原始資料!AM204=""),"",IF(AND(原始資料!AL204&lt;&gt;"",原始資料!AM204=原始資料!AL204),N(AJ204)+1,1))</f>
        <v/>
      </c>
      <c r="AL204" s="6">
        <f>IF(OR(原始資料!$A204="",37&gt;設定!$B$3,原始資料!AN204=""),"",IF(AND(原始資料!AM204&lt;&gt;"",原始資料!AN204=原始資料!AM204),N(AK204)+1,1))</f>
        <v/>
      </c>
      <c r="AM204" s="6">
        <f>IF(OR(原始資料!$A204="",38&gt;設定!$B$3,原始資料!AO204=""),"",IF(AND(原始資料!AN204&lt;&gt;"",原始資料!AO204=原始資料!AN204),N(AL204)+1,1))</f>
        <v/>
      </c>
      <c r="AN204" s="6">
        <f>IF(OR(原始資料!$A204="",39&gt;設定!$B$3,原始資料!AP204=""),"",IF(AND(原始資料!AO204&lt;&gt;"",原始資料!AP204=原始資料!AO204),N(AM204)+1,1))</f>
        <v/>
      </c>
      <c r="AO204" s="6">
        <f>IF(OR(原始資料!$A204="",40&gt;設定!$B$3,原始資料!AQ204=""),"",IF(AND(原始資料!AP204&lt;&gt;"",原始資料!AQ204=原始資料!AP204),N(AN204)+1,1))</f>
        <v/>
      </c>
      <c r="AP204" s="6">
        <f>IF(OR(原始資料!$A204="",41&gt;設定!$B$3,原始資料!AR204=""),"",IF(AND(原始資料!AQ204&lt;&gt;"",原始資料!AR204=原始資料!AQ204),N(AO204)+1,1))</f>
        <v/>
      </c>
      <c r="AQ204" s="6">
        <f>IF(OR(原始資料!$A204="",42&gt;設定!$B$3,原始資料!AS204=""),"",IF(AND(原始資料!AR204&lt;&gt;"",原始資料!AS204=原始資料!AR204),N(AP204)+1,1))</f>
        <v/>
      </c>
      <c r="AR204" s="6">
        <f>IF(OR(原始資料!$A204="",43&gt;設定!$B$3,原始資料!AT204=""),"",IF(AND(原始資料!AS204&lt;&gt;"",原始資料!AT204=原始資料!AS204),N(AQ204)+1,1))</f>
        <v/>
      </c>
      <c r="AS204" s="6">
        <f>IF(OR(原始資料!$A204="",44&gt;設定!$B$3,原始資料!AU204=""),"",IF(AND(原始資料!AT204&lt;&gt;"",原始資料!AU204=原始資料!AT204),N(AR204)+1,1))</f>
        <v/>
      </c>
      <c r="AT204" s="6">
        <f>IF(OR(原始資料!$A204="",45&gt;設定!$B$3,原始資料!AV204=""),"",IF(AND(原始資料!AU204&lt;&gt;"",原始資料!AV204=原始資料!AU204),N(AS204)+1,1))</f>
        <v/>
      </c>
      <c r="AU204" s="6">
        <f>IF(OR(原始資料!$A204="",46&gt;設定!$B$3,原始資料!AW204=""),"",IF(AND(原始資料!AV204&lt;&gt;"",原始資料!AW204=原始資料!AV204),N(AT204)+1,1))</f>
        <v/>
      </c>
      <c r="AV204" s="6">
        <f>IF(OR(原始資料!$A204="",47&gt;設定!$B$3,原始資料!AX204=""),"",IF(AND(原始資料!AW204&lt;&gt;"",原始資料!AX204=原始資料!AW204),N(AU204)+1,1))</f>
        <v/>
      </c>
      <c r="AW204" s="6">
        <f>IF(OR(原始資料!$A204="",48&gt;設定!$B$3,原始資料!AY204=""),"",IF(AND(原始資料!AX204&lt;&gt;"",原始資料!AY204=原始資料!AX204),N(AV204)+1,1))</f>
        <v/>
      </c>
      <c r="AX204" s="6">
        <f>IF(OR(原始資料!$A204="",49&gt;設定!$B$3,原始資料!AZ204=""),"",IF(AND(原始資料!AY204&lt;&gt;"",原始資料!AZ204=原始資料!AY204),N(AW204)+1,1))</f>
        <v/>
      </c>
      <c r="AY204" s="6">
        <f>IF(OR(原始資料!$A204="",50&gt;設定!$B$3,原始資料!BA204=""),"",IF(AND(原始資料!AZ204&lt;&gt;"",原始資料!BA204=原始資料!AZ204),N(AX204)+1,1))</f>
        <v/>
      </c>
      <c r="AZ204" s="6">
        <f>IF(OR(原始資料!$A204="",51&gt;設定!$B$3,原始資料!BB204=""),"",IF(AND(原始資料!BA204&lt;&gt;"",原始資料!BB204=原始資料!BA204),N(AY204)+1,1))</f>
        <v/>
      </c>
      <c r="BA204" s="6">
        <f>IF(OR(原始資料!$A204="",52&gt;設定!$B$3,原始資料!BC204=""),"",IF(AND(原始資料!BB204&lt;&gt;"",原始資料!BC204=原始資料!BB204),N(AZ204)+1,1))</f>
        <v/>
      </c>
      <c r="BB204" s="6">
        <f>IF(OR(原始資料!$A204="",53&gt;設定!$B$3,原始資料!BD204=""),"",IF(AND(原始資料!BC204&lt;&gt;"",原始資料!BD204=原始資料!BC204),N(BA204)+1,1))</f>
        <v/>
      </c>
      <c r="BC204" s="6">
        <f>IF(OR(原始資料!$A204="",54&gt;設定!$B$3,原始資料!BE204=""),"",IF(AND(原始資料!BD204&lt;&gt;"",原始資料!BE204=原始資料!BD204),N(BB204)+1,1))</f>
        <v/>
      </c>
      <c r="BD204" s="6">
        <f>IF(OR(原始資料!$A204="",55&gt;設定!$B$3,原始資料!BF204=""),"",IF(AND(原始資料!BE204&lt;&gt;"",原始資料!BF204=原始資料!BE204),N(BC204)+1,1))</f>
        <v/>
      </c>
      <c r="BE204" s="6">
        <f>IF(OR(原始資料!$A204="",56&gt;設定!$B$3,原始資料!BG204=""),"",IF(AND(原始資料!BF204&lt;&gt;"",原始資料!BG204=原始資料!BF204),N(BD204)+1,1))</f>
        <v/>
      </c>
      <c r="BF204" s="6">
        <f>IF(OR(原始資料!$A204="",57&gt;設定!$B$3,原始資料!BH204=""),"",IF(AND(原始資料!BG204&lt;&gt;"",原始資料!BH204=原始資料!BG204),N(BE204)+1,1))</f>
        <v/>
      </c>
      <c r="BG204" s="6">
        <f>IF(OR(原始資料!$A204="",58&gt;設定!$B$3,原始資料!BI204=""),"",IF(AND(原始資料!BH204&lt;&gt;"",原始資料!BI204=原始資料!BH204),N(BF204)+1,1))</f>
        <v/>
      </c>
      <c r="BH204" s="6">
        <f>IF(OR(原始資料!$A204="",59&gt;設定!$B$3,原始資料!BJ204=""),"",IF(AND(原始資料!BI204&lt;&gt;"",原始資料!BJ204=原始資料!BI204),N(BG204)+1,1))</f>
        <v/>
      </c>
      <c r="BI204" s="6">
        <f>IF(OR(原始資料!$A204="",60&gt;設定!$B$3,原始資料!BK204=""),"",IF(AND(原始資料!BJ204&lt;&gt;"",原始資料!BK204=原始資料!BJ204),N(BH204)+1,1))</f>
        <v/>
      </c>
    </row>
    <row r="205">
      <c r="A205" s="6">
        <f>IF(原始資料!$A205="","",原始資料!$A205)</f>
        <v/>
      </c>
      <c r="B205" s="6">
        <f>IF(OR(原始資料!$A205="",1&gt;設定!$B$3,原始資料!D205=""),"",1)</f>
        <v/>
      </c>
      <c r="C205" s="6">
        <f>IF(OR(原始資料!$A205="",2&gt;設定!$B$3,原始資料!E205=""),"",IF(AND(原始資料!D205&lt;&gt;"",原始資料!E205=原始資料!D205),N(B205)+1,1))</f>
        <v/>
      </c>
      <c r="D205" s="6">
        <f>IF(OR(原始資料!$A205="",3&gt;設定!$B$3,原始資料!F205=""),"",IF(AND(原始資料!E205&lt;&gt;"",原始資料!F205=原始資料!E205),N(C205)+1,1))</f>
        <v/>
      </c>
      <c r="E205" s="6">
        <f>IF(OR(原始資料!$A205="",4&gt;設定!$B$3,原始資料!G205=""),"",IF(AND(原始資料!F205&lt;&gt;"",原始資料!G205=原始資料!F205),N(D205)+1,1))</f>
        <v/>
      </c>
      <c r="F205" s="6">
        <f>IF(OR(原始資料!$A205="",5&gt;設定!$B$3,原始資料!H205=""),"",IF(AND(原始資料!G205&lt;&gt;"",原始資料!H205=原始資料!G205),N(E205)+1,1))</f>
        <v/>
      </c>
      <c r="G205" s="6">
        <f>IF(OR(原始資料!$A205="",6&gt;設定!$B$3,原始資料!I205=""),"",IF(AND(原始資料!H205&lt;&gt;"",原始資料!I205=原始資料!H205),N(F205)+1,1))</f>
        <v/>
      </c>
      <c r="H205" s="6">
        <f>IF(OR(原始資料!$A205="",7&gt;設定!$B$3,原始資料!J205=""),"",IF(AND(原始資料!I205&lt;&gt;"",原始資料!J205=原始資料!I205),N(G205)+1,1))</f>
        <v/>
      </c>
      <c r="I205" s="6">
        <f>IF(OR(原始資料!$A205="",8&gt;設定!$B$3,原始資料!K205=""),"",IF(AND(原始資料!J205&lt;&gt;"",原始資料!K205=原始資料!J205),N(H205)+1,1))</f>
        <v/>
      </c>
      <c r="J205" s="6">
        <f>IF(OR(原始資料!$A205="",9&gt;設定!$B$3,原始資料!L205=""),"",IF(AND(原始資料!K205&lt;&gt;"",原始資料!L205=原始資料!K205),N(I205)+1,1))</f>
        <v/>
      </c>
      <c r="K205" s="6">
        <f>IF(OR(原始資料!$A205="",10&gt;設定!$B$3,原始資料!M205=""),"",IF(AND(原始資料!L205&lt;&gt;"",原始資料!M205=原始資料!L205),N(J205)+1,1))</f>
        <v/>
      </c>
      <c r="L205" s="6">
        <f>IF(OR(原始資料!$A205="",11&gt;設定!$B$3,原始資料!N205=""),"",IF(AND(原始資料!M205&lt;&gt;"",原始資料!N205=原始資料!M205),N(K205)+1,1))</f>
        <v/>
      </c>
      <c r="M205" s="6">
        <f>IF(OR(原始資料!$A205="",12&gt;設定!$B$3,原始資料!O205=""),"",IF(AND(原始資料!N205&lt;&gt;"",原始資料!O205=原始資料!N205),N(L205)+1,1))</f>
        <v/>
      </c>
      <c r="N205" s="6">
        <f>IF(OR(原始資料!$A205="",13&gt;設定!$B$3,原始資料!P205=""),"",IF(AND(原始資料!O205&lt;&gt;"",原始資料!P205=原始資料!O205),N(M205)+1,1))</f>
        <v/>
      </c>
      <c r="O205" s="6">
        <f>IF(OR(原始資料!$A205="",14&gt;設定!$B$3,原始資料!Q205=""),"",IF(AND(原始資料!P205&lt;&gt;"",原始資料!Q205=原始資料!P205),N(N205)+1,1))</f>
        <v/>
      </c>
      <c r="P205" s="6">
        <f>IF(OR(原始資料!$A205="",15&gt;設定!$B$3,原始資料!R205=""),"",IF(AND(原始資料!Q205&lt;&gt;"",原始資料!R205=原始資料!Q205),N(O205)+1,1))</f>
        <v/>
      </c>
      <c r="Q205" s="6">
        <f>IF(OR(原始資料!$A205="",16&gt;設定!$B$3,原始資料!S205=""),"",IF(AND(原始資料!R205&lt;&gt;"",原始資料!S205=原始資料!R205),N(P205)+1,1))</f>
        <v/>
      </c>
      <c r="R205" s="6">
        <f>IF(OR(原始資料!$A205="",17&gt;設定!$B$3,原始資料!T205=""),"",IF(AND(原始資料!S205&lt;&gt;"",原始資料!T205=原始資料!S205),N(Q205)+1,1))</f>
        <v/>
      </c>
      <c r="S205" s="6">
        <f>IF(OR(原始資料!$A205="",18&gt;設定!$B$3,原始資料!U205=""),"",IF(AND(原始資料!T205&lt;&gt;"",原始資料!U205=原始資料!T205),N(R205)+1,1))</f>
        <v/>
      </c>
      <c r="T205" s="6">
        <f>IF(OR(原始資料!$A205="",19&gt;設定!$B$3,原始資料!V205=""),"",IF(AND(原始資料!U205&lt;&gt;"",原始資料!V205=原始資料!U205),N(S205)+1,1))</f>
        <v/>
      </c>
      <c r="U205" s="6">
        <f>IF(OR(原始資料!$A205="",20&gt;設定!$B$3,原始資料!W205=""),"",IF(AND(原始資料!V205&lt;&gt;"",原始資料!W205=原始資料!V205),N(T205)+1,1))</f>
        <v/>
      </c>
      <c r="V205" s="6">
        <f>IF(OR(原始資料!$A205="",21&gt;設定!$B$3,原始資料!X205=""),"",IF(AND(原始資料!W205&lt;&gt;"",原始資料!X205=原始資料!W205),N(U205)+1,1))</f>
        <v/>
      </c>
      <c r="W205" s="6">
        <f>IF(OR(原始資料!$A205="",22&gt;設定!$B$3,原始資料!Y205=""),"",IF(AND(原始資料!X205&lt;&gt;"",原始資料!Y205=原始資料!X205),N(V205)+1,1))</f>
        <v/>
      </c>
      <c r="X205" s="6">
        <f>IF(OR(原始資料!$A205="",23&gt;設定!$B$3,原始資料!Z205=""),"",IF(AND(原始資料!Y205&lt;&gt;"",原始資料!Z205=原始資料!Y205),N(W205)+1,1))</f>
        <v/>
      </c>
      <c r="Y205" s="6">
        <f>IF(OR(原始資料!$A205="",24&gt;設定!$B$3,原始資料!AA205=""),"",IF(AND(原始資料!Z205&lt;&gt;"",原始資料!AA205=原始資料!Z205),N(X205)+1,1))</f>
        <v/>
      </c>
      <c r="Z205" s="6">
        <f>IF(OR(原始資料!$A205="",25&gt;設定!$B$3,原始資料!AB205=""),"",IF(AND(原始資料!AA205&lt;&gt;"",原始資料!AB205=原始資料!AA205),N(Y205)+1,1))</f>
        <v/>
      </c>
      <c r="AA205" s="6">
        <f>IF(OR(原始資料!$A205="",26&gt;設定!$B$3,原始資料!AC205=""),"",IF(AND(原始資料!AB205&lt;&gt;"",原始資料!AC205=原始資料!AB205),N(Z205)+1,1))</f>
        <v/>
      </c>
      <c r="AB205" s="6">
        <f>IF(OR(原始資料!$A205="",27&gt;設定!$B$3,原始資料!AD205=""),"",IF(AND(原始資料!AC205&lt;&gt;"",原始資料!AD205=原始資料!AC205),N(AA205)+1,1))</f>
        <v/>
      </c>
      <c r="AC205" s="6">
        <f>IF(OR(原始資料!$A205="",28&gt;設定!$B$3,原始資料!AE205=""),"",IF(AND(原始資料!AD205&lt;&gt;"",原始資料!AE205=原始資料!AD205),N(AB205)+1,1))</f>
        <v/>
      </c>
      <c r="AD205" s="6">
        <f>IF(OR(原始資料!$A205="",29&gt;設定!$B$3,原始資料!AF205=""),"",IF(AND(原始資料!AE205&lt;&gt;"",原始資料!AF205=原始資料!AE205),N(AC205)+1,1))</f>
        <v/>
      </c>
      <c r="AE205" s="6">
        <f>IF(OR(原始資料!$A205="",30&gt;設定!$B$3,原始資料!AG205=""),"",IF(AND(原始資料!AF205&lt;&gt;"",原始資料!AG205=原始資料!AF205),N(AD205)+1,1))</f>
        <v/>
      </c>
      <c r="AF205" s="6">
        <f>IF(OR(原始資料!$A205="",31&gt;設定!$B$3,原始資料!AH205=""),"",IF(AND(原始資料!AG205&lt;&gt;"",原始資料!AH205=原始資料!AG205),N(AE205)+1,1))</f>
        <v/>
      </c>
      <c r="AG205" s="6">
        <f>IF(OR(原始資料!$A205="",32&gt;設定!$B$3,原始資料!AI205=""),"",IF(AND(原始資料!AH205&lt;&gt;"",原始資料!AI205=原始資料!AH205),N(AF205)+1,1))</f>
        <v/>
      </c>
      <c r="AH205" s="6">
        <f>IF(OR(原始資料!$A205="",33&gt;設定!$B$3,原始資料!AJ205=""),"",IF(AND(原始資料!AI205&lt;&gt;"",原始資料!AJ205=原始資料!AI205),N(AG205)+1,1))</f>
        <v/>
      </c>
      <c r="AI205" s="6">
        <f>IF(OR(原始資料!$A205="",34&gt;設定!$B$3,原始資料!AK205=""),"",IF(AND(原始資料!AJ205&lt;&gt;"",原始資料!AK205=原始資料!AJ205),N(AH205)+1,1))</f>
        <v/>
      </c>
      <c r="AJ205" s="6">
        <f>IF(OR(原始資料!$A205="",35&gt;設定!$B$3,原始資料!AL205=""),"",IF(AND(原始資料!AK205&lt;&gt;"",原始資料!AL205=原始資料!AK205),N(AI205)+1,1))</f>
        <v/>
      </c>
      <c r="AK205" s="6">
        <f>IF(OR(原始資料!$A205="",36&gt;設定!$B$3,原始資料!AM205=""),"",IF(AND(原始資料!AL205&lt;&gt;"",原始資料!AM205=原始資料!AL205),N(AJ205)+1,1))</f>
        <v/>
      </c>
      <c r="AL205" s="6">
        <f>IF(OR(原始資料!$A205="",37&gt;設定!$B$3,原始資料!AN205=""),"",IF(AND(原始資料!AM205&lt;&gt;"",原始資料!AN205=原始資料!AM205),N(AK205)+1,1))</f>
        <v/>
      </c>
      <c r="AM205" s="6">
        <f>IF(OR(原始資料!$A205="",38&gt;設定!$B$3,原始資料!AO205=""),"",IF(AND(原始資料!AN205&lt;&gt;"",原始資料!AO205=原始資料!AN205),N(AL205)+1,1))</f>
        <v/>
      </c>
      <c r="AN205" s="6">
        <f>IF(OR(原始資料!$A205="",39&gt;設定!$B$3,原始資料!AP205=""),"",IF(AND(原始資料!AO205&lt;&gt;"",原始資料!AP205=原始資料!AO205),N(AM205)+1,1))</f>
        <v/>
      </c>
      <c r="AO205" s="6">
        <f>IF(OR(原始資料!$A205="",40&gt;設定!$B$3,原始資料!AQ205=""),"",IF(AND(原始資料!AP205&lt;&gt;"",原始資料!AQ205=原始資料!AP205),N(AN205)+1,1))</f>
        <v/>
      </c>
      <c r="AP205" s="6">
        <f>IF(OR(原始資料!$A205="",41&gt;設定!$B$3,原始資料!AR205=""),"",IF(AND(原始資料!AQ205&lt;&gt;"",原始資料!AR205=原始資料!AQ205),N(AO205)+1,1))</f>
        <v/>
      </c>
      <c r="AQ205" s="6">
        <f>IF(OR(原始資料!$A205="",42&gt;設定!$B$3,原始資料!AS205=""),"",IF(AND(原始資料!AR205&lt;&gt;"",原始資料!AS205=原始資料!AR205),N(AP205)+1,1))</f>
        <v/>
      </c>
      <c r="AR205" s="6">
        <f>IF(OR(原始資料!$A205="",43&gt;設定!$B$3,原始資料!AT205=""),"",IF(AND(原始資料!AS205&lt;&gt;"",原始資料!AT205=原始資料!AS205),N(AQ205)+1,1))</f>
        <v/>
      </c>
      <c r="AS205" s="6">
        <f>IF(OR(原始資料!$A205="",44&gt;設定!$B$3,原始資料!AU205=""),"",IF(AND(原始資料!AT205&lt;&gt;"",原始資料!AU205=原始資料!AT205),N(AR205)+1,1))</f>
        <v/>
      </c>
      <c r="AT205" s="6">
        <f>IF(OR(原始資料!$A205="",45&gt;設定!$B$3,原始資料!AV205=""),"",IF(AND(原始資料!AU205&lt;&gt;"",原始資料!AV205=原始資料!AU205),N(AS205)+1,1))</f>
        <v/>
      </c>
      <c r="AU205" s="6">
        <f>IF(OR(原始資料!$A205="",46&gt;設定!$B$3,原始資料!AW205=""),"",IF(AND(原始資料!AV205&lt;&gt;"",原始資料!AW205=原始資料!AV205),N(AT205)+1,1))</f>
        <v/>
      </c>
      <c r="AV205" s="6">
        <f>IF(OR(原始資料!$A205="",47&gt;設定!$B$3,原始資料!AX205=""),"",IF(AND(原始資料!AW205&lt;&gt;"",原始資料!AX205=原始資料!AW205),N(AU205)+1,1))</f>
        <v/>
      </c>
      <c r="AW205" s="6">
        <f>IF(OR(原始資料!$A205="",48&gt;設定!$B$3,原始資料!AY205=""),"",IF(AND(原始資料!AX205&lt;&gt;"",原始資料!AY205=原始資料!AX205),N(AV205)+1,1))</f>
        <v/>
      </c>
      <c r="AX205" s="6">
        <f>IF(OR(原始資料!$A205="",49&gt;設定!$B$3,原始資料!AZ205=""),"",IF(AND(原始資料!AY205&lt;&gt;"",原始資料!AZ205=原始資料!AY205),N(AW205)+1,1))</f>
        <v/>
      </c>
      <c r="AY205" s="6">
        <f>IF(OR(原始資料!$A205="",50&gt;設定!$B$3,原始資料!BA205=""),"",IF(AND(原始資料!AZ205&lt;&gt;"",原始資料!BA205=原始資料!AZ205),N(AX205)+1,1))</f>
        <v/>
      </c>
      <c r="AZ205" s="6">
        <f>IF(OR(原始資料!$A205="",51&gt;設定!$B$3,原始資料!BB205=""),"",IF(AND(原始資料!BA205&lt;&gt;"",原始資料!BB205=原始資料!BA205),N(AY205)+1,1))</f>
        <v/>
      </c>
      <c r="BA205" s="6">
        <f>IF(OR(原始資料!$A205="",52&gt;設定!$B$3,原始資料!BC205=""),"",IF(AND(原始資料!BB205&lt;&gt;"",原始資料!BC205=原始資料!BB205),N(AZ205)+1,1))</f>
        <v/>
      </c>
      <c r="BB205" s="6">
        <f>IF(OR(原始資料!$A205="",53&gt;設定!$B$3,原始資料!BD205=""),"",IF(AND(原始資料!BC205&lt;&gt;"",原始資料!BD205=原始資料!BC205),N(BA205)+1,1))</f>
        <v/>
      </c>
      <c r="BC205" s="6">
        <f>IF(OR(原始資料!$A205="",54&gt;設定!$B$3,原始資料!BE205=""),"",IF(AND(原始資料!BD205&lt;&gt;"",原始資料!BE205=原始資料!BD205),N(BB205)+1,1))</f>
        <v/>
      </c>
      <c r="BD205" s="6">
        <f>IF(OR(原始資料!$A205="",55&gt;設定!$B$3,原始資料!BF205=""),"",IF(AND(原始資料!BE205&lt;&gt;"",原始資料!BF205=原始資料!BE205),N(BC205)+1,1))</f>
        <v/>
      </c>
      <c r="BE205" s="6">
        <f>IF(OR(原始資料!$A205="",56&gt;設定!$B$3,原始資料!BG205=""),"",IF(AND(原始資料!BF205&lt;&gt;"",原始資料!BG205=原始資料!BF205),N(BD205)+1,1))</f>
        <v/>
      </c>
      <c r="BF205" s="6">
        <f>IF(OR(原始資料!$A205="",57&gt;設定!$B$3,原始資料!BH205=""),"",IF(AND(原始資料!BG205&lt;&gt;"",原始資料!BH205=原始資料!BG205),N(BE205)+1,1))</f>
        <v/>
      </c>
      <c r="BG205" s="6">
        <f>IF(OR(原始資料!$A205="",58&gt;設定!$B$3,原始資料!BI205=""),"",IF(AND(原始資料!BH205&lt;&gt;"",原始資料!BI205=原始資料!BH205),N(BF205)+1,1))</f>
        <v/>
      </c>
      <c r="BH205" s="6">
        <f>IF(OR(原始資料!$A205="",59&gt;設定!$B$3,原始資料!BJ205=""),"",IF(AND(原始資料!BI205&lt;&gt;"",原始資料!BJ205=原始資料!BI205),N(BG205)+1,1))</f>
        <v/>
      </c>
      <c r="BI205" s="6">
        <f>IF(OR(原始資料!$A205="",60&gt;設定!$B$3,原始資料!BK205=""),"",IF(AND(原始資料!BJ205&lt;&gt;"",原始資料!BK205=原始資料!BJ205),N(BH205)+1,1))</f>
        <v/>
      </c>
    </row>
    <row r="206">
      <c r="A206" s="6">
        <f>IF(原始資料!$A206="","",原始資料!$A206)</f>
        <v/>
      </c>
      <c r="B206" s="6">
        <f>IF(OR(原始資料!$A206="",1&gt;設定!$B$3,原始資料!D206=""),"",1)</f>
        <v/>
      </c>
      <c r="C206" s="6">
        <f>IF(OR(原始資料!$A206="",2&gt;設定!$B$3,原始資料!E206=""),"",IF(AND(原始資料!D206&lt;&gt;"",原始資料!E206=原始資料!D206),N(B206)+1,1))</f>
        <v/>
      </c>
      <c r="D206" s="6">
        <f>IF(OR(原始資料!$A206="",3&gt;設定!$B$3,原始資料!F206=""),"",IF(AND(原始資料!E206&lt;&gt;"",原始資料!F206=原始資料!E206),N(C206)+1,1))</f>
        <v/>
      </c>
      <c r="E206" s="6">
        <f>IF(OR(原始資料!$A206="",4&gt;設定!$B$3,原始資料!G206=""),"",IF(AND(原始資料!F206&lt;&gt;"",原始資料!G206=原始資料!F206),N(D206)+1,1))</f>
        <v/>
      </c>
      <c r="F206" s="6">
        <f>IF(OR(原始資料!$A206="",5&gt;設定!$B$3,原始資料!H206=""),"",IF(AND(原始資料!G206&lt;&gt;"",原始資料!H206=原始資料!G206),N(E206)+1,1))</f>
        <v/>
      </c>
      <c r="G206" s="6">
        <f>IF(OR(原始資料!$A206="",6&gt;設定!$B$3,原始資料!I206=""),"",IF(AND(原始資料!H206&lt;&gt;"",原始資料!I206=原始資料!H206),N(F206)+1,1))</f>
        <v/>
      </c>
      <c r="H206" s="6">
        <f>IF(OR(原始資料!$A206="",7&gt;設定!$B$3,原始資料!J206=""),"",IF(AND(原始資料!I206&lt;&gt;"",原始資料!J206=原始資料!I206),N(G206)+1,1))</f>
        <v/>
      </c>
      <c r="I206" s="6">
        <f>IF(OR(原始資料!$A206="",8&gt;設定!$B$3,原始資料!K206=""),"",IF(AND(原始資料!J206&lt;&gt;"",原始資料!K206=原始資料!J206),N(H206)+1,1))</f>
        <v/>
      </c>
      <c r="J206" s="6">
        <f>IF(OR(原始資料!$A206="",9&gt;設定!$B$3,原始資料!L206=""),"",IF(AND(原始資料!K206&lt;&gt;"",原始資料!L206=原始資料!K206),N(I206)+1,1))</f>
        <v/>
      </c>
      <c r="K206" s="6">
        <f>IF(OR(原始資料!$A206="",10&gt;設定!$B$3,原始資料!M206=""),"",IF(AND(原始資料!L206&lt;&gt;"",原始資料!M206=原始資料!L206),N(J206)+1,1))</f>
        <v/>
      </c>
      <c r="L206" s="6">
        <f>IF(OR(原始資料!$A206="",11&gt;設定!$B$3,原始資料!N206=""),"",IF(AND(原始資料!M206&lt;&gt;"",原始資料!N206=原始資料!M206),N(K206)+1,1))</f>
        <v/>
      </c>
      <c r="M206" s="6">
        <f>IF(OR(原始資料!$A206="",12&gt;設定!$B$3,原始資料!O206=""),"",IF(AND(原始資料!N206&lt;&gt;"",原始資料!O206=原始資料!N206),N(L206)+1,1))</f>
        <v/>
      </c>
      <c r="N206" s="6">
        <f>IF(OR(原始資料!$A206="",13&gt;設定!$B$3,原始資料!P206=""),"",IF(AND(原始資料!O206&lt;&gt;"",原始資料!P206=原始資料!O206),N(M206)+1,1))</f>
        <v/>
      </c>
      <c r="O206" s="6">
        <f>IF(OR(原始資料!$A206="",14&gt;設定!$B$3,原始資料!Q206=""),"",IF(AND(原始資料!P206&lt;&gt;"",原始資料!Q206=原始資料!P206),N(N206)+1,1))</f>
        <v/>
      </c>
      <c r="P206" s="6">
        <f>IF(OR(原始資料!$A206="",15&gt;設定!$B$3,原始資料!R206=""),"",IF(AND(原始資料!Q206&lt;&gt;"",原始資料!R206=原始資料!Q206),N(O206)+1,1))</f>
        <v/>
      </c>
      <c r="Q206" s="6">
        <f>IF(OR(原始資料!$A206="",16&gt;設定!$B$3,原始資料!S206=""),"",IF(AND(原始資料!R206&lt;&gt;"",原始資料!S206=原始資料!R206),N(P206)+1,1))</f>
        <v/>
      </c>
      <c r="R206" s="6">
        <f>IF(OR(原始資料!$A206="",17&gt;設定!$B$3,原始資料!T206=""),"",IF(AND(原始資料!S206&lt;&gt;"",原始資料!T206=原始資料!S206),N(Q206)+1,1))</f>
        <v/>
      </c>
      <c r="S206" s="6">
        <f>IF(OR(原始資料!$A206="",18&gt;設定!$B$3,原始資料!U206=""),"",IF(AND(原始資料!T206&lt;&gt;"",原始資料!U206=原始資料!T206),N(R206)+1,1))</f>
        <v/>
      </c>
      <c r="T206" s="6">
        <f>IF(OR(原始資料!$A206="",19&gt;設定!$B$3,原始資料!V206=""),"",IF(AND(原始資料!U206&lt;&gt;"",原始資料!V206=原始資料!U206),N(S206)+1,1))</f>
        <v/>
      </c>
      <c r="U206" s="6">
        <f>IF(OR(原始資料!$A206="",20&gt;設定!$B$3,原始資料!W206=""),"",IF(AND(原始資料!V206&lt;&gt;"",原始資料!W206=原始資料!V206),N(T206)+1,1))</f>
        <v/>
      </c>
      <c r="V206" s="6">
        <f>IF(OR(原始資料!$A206="",21&gt;設定!$B$3,原始資料!X206=""),"",IF(AND(原始資料!W206&lt;&gt;"",原始資料!X206=原始資料!W206),N(U206)+1,1))</f>
        <v/>
      </c>
      <c r="W206" s="6">
        <f>IF(OR(原始資料!$A206="",22&gt;設定!$B$3,原始資料!Y206=""),"",IF(AND(原始資料!X206&lt;&gt;"",原始資料!Y206=原始資料!X206),N(V206)+1,1))</f>
        <v/>
      </c>
      <c r="X206" s="6">
        <f>IF(OR(原始資料!$A206="",23&gt;設定!$B$3,原始資料!Z206=""),"",IF(AND(原始資料!Y206&lt;&gt;"",原始資料!Z206=原始資料!Y206),N(W206)+1,1))</f>
        <v/>
      </c>
      <c r="Y206" s="6">
        <f>IF(OR(原始資料!$A206="",24&gt;設定!$B$3,原始資料!AA206=""),"",IF(AND(原始資料!Z206&lt;&gt;"",原始資料!AA206=原始資料!Z206),N(X206)+1,1))</f>
        <v/>
      </c>
      <c r="Z206" s="6">
        <f>IF(OR(原始資料!$A206="",25&gt;設定!$B$3,原始資料!AB206=""),"",IF(AND(原始資料!AA206&lt;&gt;"",原始資料!AB206=原始資料!AA206),N(Y206)+1,1))</f>
        <v/>
      </c>
      <c r="AA206" s="6">
        <f>IF(OR(原始資料!$A206="",26&gt;設定!$B$3,原始資料!AC206=""),"",IF(AND(原始資料!AB206&lt;&gt;"",原始資料!AC206=原始資料!AB206),N(Z206)+1,1))</f>
        <v/>
      </c>
      <c r="AB206" s="6">
        <f>IF(OR(原始資料!$A206="",27&gt;設定!$B$3,原始資料!AD206=""),"",IF(AND(原始資料!AC206&lt;&gt;"",原始資料!AD206=原始資料!AC206),N(AA206)+1,1))</f>
        <v/>
      </c>
      <c r="AC206" s="6">
        <f>IF(OR(原始資料!$A206="",28&gt;設定!$B$3,原始資料!AE206=""),"",IF(AND(原始資料!AD206&lt;&gt;"",原始資料!AE206=原始資料!AD206),N(AB206)+1,1))</f>
        <v/>
      </c>
      <c r="AD206" s="6">
        <f>IF(OR(原始資料!$A206="",29&gt;設定!$B$3,原始資料!AF206=""),"",IF(AND(原始資料!AE206&lt;&gt;"",原始資料!AF206=原始資料!AE206),N(AC206)+1,1))</f>
        <v/>
      </c>
      <c r="AE206" s="6">
        <f>IF(OR(原始資料!$A206="",30&gt;設定!$B$3,原始資料!AG206=""),"",IF(AND(原始資料!AF206&lt;&gt;"",原始資料!AG206=原始資料!AF206),N(AD206)+1,1))</f>
        <v/>
      </c>
      <c r="AF206" s="6">
        <f>IF(OR(原始資料!$A206="",31&gt;設定!$B$3,原始資料!AH206=""),"",IF(AND(原始資料!AG206&lt;&gt;"",原始資料!AH206=原始資料!AG206),N(AE206)+1,1))</f>
        <v/>
      </c>
      <c r="AG206" s="6">
        <f>IF(OR(原始資料!$A206="",32&gt;設定!$B$3,原始資料!AI206=""),"",IF(AND(原始資料!AH206&lt;&gt;"",原始資料!AI206=原始資料!AH206),N(AF206)+1,1))</f>
        <v/>
      </c>
      <c r="AH206" s="6">
        <f>IF(OR(原始資料!$A206="",33&gt;設定!$B$3,原始資料!AJ206=""),"",IF(AND(原始資料!AI206&lt;&gt;"",原始資料!AJ206=原始資料!AI206),N(AG206)+1,1))</f>
        <v/>
      </c>
      <c r="AI206" s="6">
        <f>IF(OR(原始資料!$A206="",34&gt;設定!$B$3,原始資料!AK206=""),"",IF(AND(原始資料!AJ206&lt;&gt;"",原始資料!AK206=原始資料!AJ206),N(AH206)+1,1))</f>
        <v/>
      </c>
      <c r="AJ206" s="6">
        <f>IF(OR(原始資料!$A206="",35&gt;設定!$B$3,原始資料!AL206=""),"",IF(AND(原始資料!AK206&lt;&gt;"",原始資料!AL206=原始資料!AK206),N(AI206)+1,1))</f>
        <v/>
      </c>
      <c r="AK206" s="6">
        <f>IF(OR(原始資料!$A206="",36&gt;設定!$B$3,原始資料!AM206=""),"",IF(AND(原始資料!AL206&lt;&gt;"",原始資料!AM206=原始資料!AL206),N(AJ206)+1,1))</f>
        <v/>
      </c>
      <c r="AL206" s="6">
        <f>IF(OR(原始資料!$A206="",37&gt;設定!$B$3,原始資料!AN206=""),"",IF(AND(原始資料!AM206&lt;&gt;"",原始資料!AN206=原始資料!AM206),N(AK206)+1,1))</f>
        <v/>
      </c>
      <c r="AM206" s="6">
        <f>IF(OR(原始資料!$A206="",38&gt;設定!$B$3,原始資料!AO206=""),"",IF(AND(原始資料!AN206&lt;&gt;"",原始資料!AO206=原始資料!AN206),N(AL206)+1,1))</f>
        <v/>
      </c>
      <c r="AN206" s="6">
        <f>IF(OR(原始資料!$A206="",39&gt;設定!$B$3,原始資料!AP206=""),"",IF(AND(原始資料!AO206&lt;&gt;"",原始資料!AP206=原始資料!AO206),N(AM206)+1,1))</f>
        <v/>
      </c>
      <c r="AO206" s="6">
        <f>IF(OR(原始資料!$A206="",40&gt;設定!$B$3,原始資料!AQ206=""),"",IF(AND(原始資料!AP206&lt;&gt;"",原始資料!AQ206=原始資料!AP206),N(AN206)+1,1))</f>
        <v/>
      </c>
      <c r="AP206" s="6">
        <f>IF(OR(原始資料!$A206="",41&gt;設定!$B$3,原始資料!AR206=""),"",IF(AND(原始資料!AQ206&lt;&gt;"",原始資料!AR206=原始資料!AQ206),N(AO206)+1,1))</f>
        <v/>
      </c>
      <c r="AQ206" s="6">
        <f>IF(OR(原始資料!$A206="",42&gt;設定!$B$3,原始資料!AS206=""),"",IF(AND(原始資料!AR206&lt;&gt;"",原始資料!AS206=原始資料!AR206),N(AP206)+1,1))</f>
        <v/>
      </c>
      <c r="AR206" s="6">
        <f>IF(OR(原始資料!$A206="",43&gt;設定!$B$3,原始資料!AT206=""),"",IF(AND(原始資料!AS206&lt;&gt;"",原始資料!AT206=原始資料!AS206),N(AQ206)+1,1))</f>
        <v/>
      </c>
      <c r="AS206" s="6">
        <f>IF(OR(原始資料!$A206="",44&gt;設定!$B$3,原始資料!AU206=""),"",IF(AND(原始資料!AT206&lt;&gt;"",原始資料!AU206=原始資料!AT206),N(AR206)+1,1))</f>
        <v/>
      </c>
      <c r="AT206" s="6">
        <f>IF(OR(原始資料!$A206="",45&gt;設定!$B$3,原始資料!AV206=""),"",IF(AND(原始資料!AU206&lt;&gt;"",原始資料!AV206=原始資料!AU206),N(AS206)+1,1))</f>
        <v/>
      </c>
      <c r="AU206" s="6">
        <f>IF(OR(原始資料!$A206="",46&gt;設定!$B$3,原始資料!AW206=""),"",IF(AND(原始資料!AV206&lt;&gt;"",原始資料!AW206=原始資料!AV206),N(AT206)+1,1))</f>
        <v/>
      </c>
      <c r="AV206" s="6">
        <f>IF(OR(原始資料!$A206="",47&gt;設定!$B$3,原始資料!AX206=""),"",IF(AND(原始資料!AW206&lt;&gt;"",原始資料!AX206=原始資料!AW206),N(AU206)+1,1))</f>
        <v/>
      </c>
      <c r="AW206" s="6">
        <f>IF(OR(原始資料!$A206="",48&gt;設定!$B$3,原始資料!AY206=""),"",IF(AND(原始資料!AX206&lt;&gt;"",原始資料!AY206=原始資料!AX206),N(AV206)+1,1))</f>
        <v/>
      </c>
      <c r="AX206" s="6">
        <f>IF(OR(原始資料!$A206="",49&gt;設定!$B$3,原始資料!AZ206=""),"",IF(AND(原始資料!AY206&lt;&gt;"",原始資料!AZ206=原始資料!AY206),N(AW206)+1,1))</f>
        <v/>
      </c>
      <c r="AY206" s="6">
        <f>IF(OR(原始資料!$A206="",50&gt;設定!$B$3,原始資料!BA206=""),"",IF(AND(原始資料!AZ206&lt;&gt;"",原始資料!BA206=原始資料!AZ206),N(AX206)+1,1))</f>
        <v/>
      </c>
      <c r="AZ206" s="6">
        <f>IF(OR(原始資料!$A206="",51&gt;設定!$B$3,原始資料!BB206=""),"",IF(AND(原始資料!BA206&lt;&gt;"",原始資料!BB206=原始資料!BA206),N(AY206)+1,1))</f>
        <v/>
      </c>
      <c r="BA206" s="6">
        <f>IF(OR(原始資料!$A206="",52&gt;設定!$B$3,原始資料!BC206=""),"",IF(AND(原始資料!BB206&lt;&gt;"",原始資料!BC206=原始資料!BB206),N(AZ206)+1,1))</f>
        <v/>
      </c>
      <c r="BB206" s="6">
        <f>IF(OR(原始資料!$A206="",53&gt;設定!$B$3,原始資料!BD206=""),"",IF(AND(原始資料!BC206&lt;&gt;"",原始資料!BD206=原始資料!BC206),N(BA206)+1,1))</f>
        <v/>
      </c>
      <c r="BC206" s="6">
        <f>IF(OR(原始資料!$A206="",54&gt;設定!$B$3,原始資料!BE206=""),"",IF(AND(原始資料!BD206&lt;&gt;"",原始資料!BE206=原始資料!BD206),N(BB206)+1,1))</f>
        <v/>
      </c>
      <c r="BD206" s="6">
        <f>IF(OR(原始資料!$A206="",55&gt;設定!$B$3,原始資料!BF206=""),"",IF(AND(原始資料!BE206&lt;&gt;"",原始資料!BF206=原始資料!BE206),N(BC206)+1,1))</f>
        <v/>
      </c>
      <c r="BE206" s="6">
        <f>IF(OR(原始資料!$A206="",56&gt;設定!$B$3,原始資料!BG206=""),"",IF(AND(原始資料!BF206&lt;&gt;"",原始資料!BG206=原始資料!BF206),N(BD206)+1,1))</f>
        <v/>
      </c>
      <c r="BF206" s="6">
        <f>IF(OR(原始資料!$A206="",57&gt;設定!$B$3,原始資料!BH206=""),"",IF(AND(原始資料!BG206&lt;&gt;"",原始資料!BH206=原始資料!BG206),N(BE206)+1,1))</f>
        <v/>
      </c>
      <c r="BG206" s="6">
        <f>IF(OR(原始資料!$A206="",58&gt;設定!$B$3,原始資料!BI206=""),"",IF(AND(原始資料!BH206&lt;&gt;"",原始資料!BI206=原始資料!BH206),N(BF206)+1,1))</f>
        <v/>
      </c>
      <c r="BH206" s="6">
        <f>IF(OR(原始資料!$A206="",59&gt;設定!$B$3,原始資料!BJ206=""),"",IF(AND(原始資料!BI206&lt;&gt;"",原始資料!BJ206=原始資料!BI206),N(BG206)+1,1))</f>
        <v/>
      </c>
      <c r="BI206" s="6">
        <f>IF(OR(原始資料!$A206="",60&gt;設定!$B$3,原始資料!BK206=""),"",IF(AND(原始資料!BJ206&lt;&gt;"",原始資料!BK206=原始資料!BJ206),N(BH206)+1,1))</f>
        <v/>
      </c>
    </row>
    <row r="207">
      <c r="A207" s="6">
        <f>IF(原始資料!$A207="","",原始資料!$A207)</f>
        <v/>
      </c>
      <c r="B207" s="6">
        <f>IF(OR(原始資料!$A207="",1&gt;設定!$B$3,原始資料!D207=""),"",1)</f>
        <v/>
      </c>
      <c r="C207" s="6">
        <f>IF(OR(原始資料!$A207="",2&gt;設定!$B$3,原始資料!E207=""),"",IF(AND(原始資料!D207&lt;&gt;"",原始資料!E207=原始資料!D207),N(B207)+1,1))</f>
        <v/>
      </c>
      <c r="D207" s="6">
        <f>IF(OR(原始資料!$A207="",3&gt;設定!$B$3,原始資料!F207=""),"",IF(AND(原始資料!E207&lt;&gt;"",原始資料!F207=原始資料!E207),N(C207)+1,1))</f>
        <v/>
      </c>
      <c r="E207" s="6">
        <f>IF(OR(原始資料!$A207="",4&gt;設定!$B$3,原始資料!G207=""),"",IF(AND(原始資料!F207&lt;&gt;"",原始資料!G207=原始資料!F207),N(D207)+1,1))</f>
        <v/>
      </c>
      <c r="F207" s="6">
        <f>IF(OR(原始資料!$A207="",5&gt;設定!$B$3,原始資料!H207=""),"",IF(AND(原始資料!G207&lt;&gt;"",原始資料!H207=原始資料!G207),N(E207)+1,1))</f>
        <v/>
      </c>
      <c r="G207" s="6">
        <f>IF(OR(原始資料!$A207="",6&gt;設定!$B$3,原始資料!I207=""),"",IF(AND(原始資料!H207&lt;&gt;"",原始資料!I207=原始資料!H207),N(F207)+1,1))</f>
        <v/>
      </c>
      <c r="H207" s="6">
        <f>IF(OR(原始資料!$A207="",7&gt;設定!$B$3,原始資料!J207=""),"",IF(AND(原始資料!I207&lt;&gt;"",原始資料!J207=原始資料!I207),N(G207)+1,1))</f>
        <v/>
      </c>
      <c r="I207" s="6">
        <f>IF(OR(原始資料!$A207="",8&gt;設定!$B$3,原始資料!K207=""),"",IF(AND(原始資料!J207&lt;&gt;"",原始資料!K207=原始資料!J207),N(H207)+1,1))</f>
        <v/>
      </c>
      <c r="J207" s="6">
        <f>IF(OR(原始資料!$A207="",9&gt;設定!$B$3,原始資料!L207=""),"",IF(AND(原始資料!K207&lt;&gt;"",原始資料!L207=原始資料!K207),N(I207)+1,1))</f>
        <v/>
      </c>
      <c r="K207" s="6">
        <f>IF(OR(原始資料!$A207="",10&gt;設定!$B$3,原始資料!M207=""),"",IF(AND(原始資料!L207&lt;&gt;"",原始資料!M207=原始資料!L207),N(J207)+1,1))</f>
        <v/>
      </c>
      <c r="L207" s="6">
        <f>IF(OR(原始資料!$A207="",11&gt;設定!$B$3,原始資料!N207=""),"",IF(AND(原始資料!M207&lt;&gt;"",原始資料!N207=原始資料!M207),N(K207)+1,1))</f>
        <v/>
      </c>
      <c r="M207" s="6">
        <f>IF(OR(原始資料!$A207="",12&gt;設定!$B$3,原始資料!O207=""),"",IF(AND(原始資料!N207&lt;&gt;"",原始資料!O207=原始資料!N207),N(L207)+1,1))</f>
        <v/>
      </c>
      <c r="N207" s="6">
        <f>IF(OR(原始資料!$A207="",13&gt;設定!$B$3,原始資料!P207=""),"",IF(AND(原始資料!O207&lt;&gt;"",原始資料!P207=原始資料!O207),N(M207)+1,1))</f>
        <v/>
      </c>
      <c r="O207" s="6">
        <f>IF(OR(原始資料!$A207="",14&gt;設定!$B$3,原始資料!Q207=""),"",IF(AND(原始資料!P207&lt;&gt;"",原始資料!Q207=原始資料!P207),N(N207)+1,1))</f>
        <v/>
      </c>
      <c r="P207" s="6">
        <f>IF(OR(原始資料!$A207="",15&gt;設定!$B$3,原始資料!R207=""),"",IF(AND(原始資料!Q207&lt;&gt;"",原始資料!R207=原始資料!Q207),N(O207)+1,1))</f>
        <v/>
      </c>
      <c r="Q207" s="6">
        <f>IF(OR(原始資料!$A207="",16&gt;設定!$B$3,原始資料!S207=""),"",IF(AND(原始資料!R207&lt;&gt;"",原始資料!S207=原始資料!R207),N(P207)+1,1))</f>
        <v/>
      </c>
      <c r="R207" s="6">
        <f>IF(OR(原始資料!$A207="",17&gt;設定!$B$3,原始資料!T207=""),"",IF(AND(原始資料!S207&lt;&gt;"",原始資料!T207=原始資料!S207),N(Q207)+1,1))</f>
        <v/>
      </c>
      <c r="S207" s="6">
        <f>IF(OR(原始資料!$A207="",18&gt;設定!$B$3,原始資料!U207=""),"",IF(AND(原始資料!T207&lt;&gt;"",原始資料!U207=原始資料!T207),N(R207)+1,1))</f>
        <v/>
      </c>
      <c r="T207" s="6">
        <f>IF(OR(原始資料!$A207="",19&gt;設定!$B$3,原始資料!V207=""),"",IF(AND(原始資料!U207&lt;&gt;"",原始資料!V207=原始資料!U207),N(S207)+1,1))</f>
        <v/>
      </c>
      <c r="U207" s="6">
        <f>IF(OR(原始資料!$A207="",20&gt;設定!$B$3,原始資料!W207=""),"",IF(AND(原始資料!V207&lt;&gt;"",原始資料!W207=原始資料!V207),N(T207)+1,1))</f>
        <v/>
      </c>
      <c r="V207" s="6">
        <f>IF(OR(原始資料!$A207="",21&gt;設定!$B$3,原始資料!X207=""),"",IF(AND(原始資料!W207&lt;&gt;"",原始資料!X207=原始資料!W207),N(U207)+1,1))</f>
        <v/>
      </c>
      <c r="W207" s="6">
        <f>IF(OR(原始資料!$A207="",22&gt;設定!$B$3,原始資料!Y207=""),"",IF(AND(原始資料!X207&lt;&gt;"",原始資料!Y207=原始資料!X207),N(V207)+1,1))</f>
        <v/>
      </c>
      <c r="X207" s="6">
        <f>IF(OR(原始資料!$A207="",23&gt;設定!$B$3,原始資料!Z207=""),"",IF(AND(原始資料!Y207&lt;&gt;"",原始資料!Z207=原始資料!Y207),N(W207)+1,1))</f>
        <v/>
      </c>
      <c r="Y207" s="6">
        <f>IF(OR(原始資料!$A207="",24&gt;設定!$B$3,原始資料!AA207=""),"",IF(AND(原始資料!Z207&lt;&gt;"",原始資料!AA207=原始資料!Z207),N(X207)+1,1))</f>
        <v/>
      </c>
      <c r="Z207" s="6">
        <f>IF(OR(原始資料!$A207="",25&gt;設定!$B$3,原始資料!AB207=""),"",IF(AND(原始資料!AA207&lt;&gt;"",原始資料!AB207=原始資料!AA207),N(Y207)+1,1))</f>
        <v/>
      </c>
      <c r="AA207" s="6">
        <f>IF(OR(原始資料!$A207="",26&gt;設定!$B$3,原始資料!AC207=""),"",IF(AND(原始資料!AB207&lt;&gt;"",原始資料!AC207=原始資料!AB207),N(Z207)+1,1))</f>
        <v/>
      </c>
      <c r="AB207" s="6">
        <f>IF(OR(原始資料!$A207="",27&gt;設定!$B$3,原始資料!AD207=""),"",IF(AND(原始資料!AC207&lt;&gt;"",原始資料!AD207=原始資料!AC207),N(AA207)+1,1))</f>
        <v/>
      </c>
      <c r="AC207" s="6">
        <f>IF(OR(原始資料!$A207="",28&gt;設定!$B$3,原始資料!AE207=""),"",IF(AND(原始資料!AD207&lt;&gt;"",原始資料!AE207=原始資料!AD207),N(AB207)+1,1))</f>
        <v/>
      </c>
      <c r="AD207" s="6">
        <f>IF(OR(原始資料!$A207="",29&gt;設定!$B$3,原始資料!AF207=""),"",IF(AND(原始資料!AE207&lt;&gt;"",原始資料!AF207=原始資料!AE207),N(AC207)+1,1))</f>
        <v/>
      </c>
      <c r="AE207" s="6">
        <f>IF(OR(原始資料!$A207="",30&gt;設定!$B$3,原始資料!AG207=""),"",IF(AND(原始資料!AF207&lt;&gt;"",原始資料!AG207=原始資料!AF207),N(AD207)+1,1))</f>
        <v/>
      </c>
      <c r="AF207" s="6">
        <f>IF(OR(原始資料!$A207="",31&gt;設定!$B$3,原始資料!AH207=""),"",IF(AND(原始資料!AG207&lt;&gt;"",原始資料!AH207=原始資料!AG207),N(AE207)+1,1))</f>
        <v/>
      </c>
      <c r="AG207" s="6">
        <f>IF(OR(原始資料!$A207="",32&gt;設定!$B$3,原始資料!AI207=""),"",IF(AND(原始資料!AH207&lt;&gt;"",原始資料!AI207=原始資料!AH207),N(AF207)+1,1))</f>
        <v/>
      </c>
      <c r="AH207" s="6">
        <f>IF(OR(原始資料!$A207="",33&gt;設定!$B$3,原始資料!AJ207=""),"",IF(AND(原始資料!AI207&lt;&gt;"",原始資料!AJ207=原始資料!AI207),N(AG207)+1,1))</f>
        <v/>
      </c>
      <c r="AI207" s="6">
        <f>IF(OR(原始資料!$A207="",34&gt;設定!$B$3,原始資料!AK207=""),"",IF(AND(原始資料!AJ207&lt;&gt;"",原始資料!AK207=原始資料!AJ207),N(AH207)+1,1))</f>
        <v/>
      </c>
      <c r="AJ207" s="6">
        <f>IF(OR(原始資料!$A207="",35&gt;設定!$B$3,原始資料!AL207=""),"",IF(AND(原始資料!AK207&lt;&gt;"",原始資料!AL207=原始資料!AK207),N(AI207)+1,1))</f>
        <v/>
      </c>
      <c r="AK207" s="6">
        <f>IF(OR(原始資料!$A207="",36&gt;設定!$B$3,原始資料!AM207=""),"",IF(AND(原始資料!AL207&lt;&gt;"",原始資料!AM207=原始資料!AL207),N(AJ207)+1,1))</f>
        <v/>
      </c>
      <c r="AL207" s="6">
        <f>IF(OR(原始資料!$A207="",37&gt;設定!$B$3,原始資料!AN207=""),"",IF(AND(原始資料!AM207&lt;&gt;"",原始資料!AN207=原始資料!AM207),N(AK207)+1,1))</f>
        <v/>
      </c>
      <c r="AM207" s="6">
        <f>IF(OR(原始資料!$A207="",38&gt;設定!$B$3,原始資料!AO207=""),"",IF(AND(原始資料!AN207&lt;&gt;"",原始資料!AO207=原始資料!AN207),N(AL207)+1,1))</f>
        <v/>
      </c>
      <c r="AN207" s="6">
        <f>IF(OR(原始資料!$A207="",39&gt;設定!$B$3,原始資料!AP207=""),"",IF(AND(原始資料!AO207&lt;&gt;"",原始資料!AP207=原始資料!AO207),N(AM207)+1,1))</f>
        <v/>
      </c>
      <c r="AO207" s="6">
        <f>IF(OR(原始資料!$A207="",40&gt;設定!$B$3,原始資料!AQ207=""),"",IF(AND(原始資料!AP207&lt;&gt;"",原始資料!AQ207=原始資料!AP207),N(AN207)+1,1))</f>
        <v/>
      </c>
      <c r="AP207" s="6">
        <f>IF(OR(原始資料!$A207="",41&gt;設定!$B$3,原始資料!AR207=""),"",IF(AND(原始資料!AQ207&lt;&gt;"",原始資料!AR207=原始資料!AQ207),N(AO207)+1,1))</f>
        <v/>
      </c>
      <c r="AQ207" s="6">
        <f>IF(OR(原始資料!$A207="",42&gt;設定!$B$3,原始資料!AS207=""),"",IF(AND(原始資料!AR207&lt;&gt;"",原始資料!AS207=原始資料!AR207),N(AP207)+1,1))</f>
        <v/>
      </c>
      <c r="AR207" s="6">
        <f>IF(OR(原始資料!$A207="",43&gt;設定!$B$3,原始資料!AT207=""),"",IF(AND(原始資料!AS207&lt;&gt;"",原始資料!AT207=原始資料!AS207),N(AQ207)+1,1))</f>
        <v/>
      </c>
      <c r="AS207" s="6">
        <f>IF(OR(原始資料!$A207="",44&gt;設定!$B$3,原始資料!AU207=""),"",IF(AND(原始資料!AT207&lt;&gt;"",原始資料!AU207=原始資料!AT207),N(AR207)+1,1))</f>
        <v/>
      </c>
      <c r="AT207" s="6">
        <f>IF(OR(原始資料!$A207="",45&gt;設定!$B$3,原始資料!AV207=""),"",IF(AND(原始資料!AU207&lt;&gt;"",原始資料!AV207=原始資料!AU207),N(AS207)+1,1))</f>
        <v/>
      </c>
      <c r="AU207" s="6">
        <f>IF(OR(原始資料!$A207="",46&gt;設定!$B$3,原始資料!AW207=""),"",IF(AND(原始資料!AV207&lt;&gt;"",原始資料!AW207=原始資料!AV207),N(AT207)+1,1))</f>
        <v/>
      </c>
      <c r="AV207" s="6">
        <f>IF(OR(原始資料!$A207="",47&gt;設定!$B$3,原始資料!AX207=""),"",IF(AND(原始資料!AW207&lt;&gt;"",原始資料!AX207=原始資料!AW207),N(AU207)+1,1))</f>
        <v/>
      </c>
      <c r="AW207" s="6">
        <f>IF(OR(原始資料!$A207="",48&gt;設定!$B$3,原始資料!AY207=""),"",IF(AND(原始資料!AX207&lt;&gt;"",原始資料!AY207=原始資料!AX207),N(AV207)+1,1))</f>
        <v/>
      </c>
      <c r="AX207" s="6">
        <f>IF(OR(原始資料!$A207="",49&gt;設定!$B$3,原始資料!AZ207=""),"",IF(AND(原始資料!AY207&lt;&gt;"",原始資料!AZ207=原始資料!AY207),N(AW207)+1,1))</f>
        <v/>
      </c>
      <c r="AY207" s="6">
        <f>IF(OR(原始資料!$A207="",50&gt;設定!$B$3,原始資料!BA207=""),"",IF(AND(原始資料!AZ207&lt;&gt;"",原始資料!BA207=原始資料!AZ207),N(AX207)+1,1))</f>
        <v/>
      </c>
      <c r="AZ207" s="6">
        <f>IF(OR(原始資料!$A207="",51&gt;設定!$B$3,原始資料!BB207=""),"",IF(AND(原始資料!BA207&lt;&gt;"",原始資料!BB207=原始資料!BA207),N(AY207)+1,1))</f>
        <v/>
      </c>
      <c r="BA207" s="6">
        <f>IF(OR(原始資料!$A207="",52&gt;設定!$B$3,原始資料!BC207=""),"",IF(AND(原始資料!BB207&lt;&gt;"",原始資料!BC207=原始資料!BB207),N(AZ207)+1,1))</f>
        <v/>
      </c>
      <c r="BB207" s="6">
        <f>IF(OR(原始資料!$A207="",53&gt;設定!$B$3,原始資料!BD207=""),"",IF(AND(原始資料!BC207&lt;&gt;"",原始資料!BD207=原始資料!BC207),N(BA207)+1,1))</f>
        <v/>
      </c>
      <c r="BC207" s="6">
        <f>IF(OR(原始資料!$A207="",54&gt;設定!$B$3,原始資料!BE207=""),"",IF(AND(原始資料!BD207&lt;&gt;"",原始資料!BE207=原始資料!BD207),N(BB207)+1,1))</f>
        <v/>
      </c>
      <c r="BD207" s="6">
        <f>IF(OR(原始資料!$A207="",55&gt;設定!$B$3,原始資料!BF207=""),"",IF(AND(原始資料!BE207&lt;&gt;"",原始資料!BF207=原始資料!BE207),N(BC207)+1,1))</f>
        <v/>
      </c>
      <c r="BE207" s="6">
        <f>IF(OR(原始資料!$A207="",56&gt;設定!$B$3,原始資料!BG207=""),"",IF(AND(原始資料!BF207&lt;&gt;"",原始資料!BG207=原始資料!BF207),N(BD207)+1,1))</f>
        <v/>
      </c>
      <c r="BF207" s="6">
        <f>IF(OR(原始資料!$A207="",57&gt;設定!$B$3,原始資料!BH207=""),"",IF(AND(原始資料!BG207&lt;&gt;"",原始資料!BH207=原始資料!BG207),N(BE207)+1,1))</f>
        <v/>
      </c>
      <c r="BG207" s="6">
        <f>IF(OR(原始資料!$A207="",58&gt;設定!$B$3,原始資料!BI207=""),"",IF(AND(原始資料!BH207&lt;&gt;"",原始資料!BI207=原始資料!BH207),N(BF207)+1,1))</f>
        <v/>
      </c>
      <c r="BH207" s="6">
        <f>IF(OR(原始資料!$A207="",59&gt;設定!$B$3,原始資料!BJ207=""),"",IF(AND(原始資料!BI207&lt;&gt;"",原始資料!BJ207=原始資料!BI207),N(BG207)+1,1))</f>
        <v/>
      </c>
      <c r="BI207" s="6">
        <f>IF(OR(原始資料!$A207="",60&gt;設定!$B$3,原始資料!BK207=""),"",IF(AND(原始資料!BJ207&lt;&gt;"",原始資料!BK207=原始資料!BJ207),N(BH207)+1,1))</f>
        <v/>
      </c>
    </row>
    <row r="208">
      <c r="A208" s="6">
        <f>IF(原始資料!$A208="","",原始資料!$A208)</f>
        <v/>
      </c>
      <c r="B208" s="6">
        <f>IF(OR(原始資料!$A208="",1&gt;設定!$B$3,原始資料!D208=""),"",1)</f>
        <v/>
      </c>
      <c r="C208" s="6">
        <f>IF(OR(原始資料!$A208="",2&gt;設定!$B$3,原始資料!E208=""),"",IF(AND(原始資料!D208&lt;&gt;"",原始資料!E208=原始資料!D208),N(B208)+1,1))</f>
        <v/>
      </c>
      <c r="D208" s="6">
        <f>IF(OR(原始資料!$A208="",3&gt;設定!$B$3,原始資料!F208=""),"",IF(AND(原始資料!E208&lt;&gt;"",原始資料!F208=原始資料!E208),N(C208)+1,1))</f>
        <v/>
      </c>
      <c r="E208" s="6">
        <f>IF(OR(原始資料!$A208="",4&gt;設定!$B$3,原始資料!G208=""),"",IF(AND(原始資料!F208&lt;&gt;"",原始資料!G208=原始資料!F208),N(D208)+1,1))</f>
        <v/>
      </c>
      <c r="F208" s="6">
        <f>IF(OR(原始資料!$A208="",5&gt;設定!$B$3,原始資料!H208=""),"",IF(AND(原始資料!G208&lt;&gt;"",原始資料!H208=原始資料!G208),N(E208)+1,1))</f>
        <v/>
      </c>
      <c r="G208" s="6">
        <f>IF(OR(原始資料!$A208="",6&gt;設定!$B$3,原始資料!I208=""),"",IF(AND(原始資料!H208&lt;&gt;"",原始資料!I208=原始資料!H208),N(F208)+1,1))</f>
        <v/>
      </c>
      <c r="H208" s="6">
        <f>IF(OR(原始資料!$A208="",7&gt;設定!$B$3,原始資料!J208=""),"",IF(AND(原始資料!I208&lt;&gt;"",原始資料!J208=原始資料!I208),N(G208)+1,1))</f>
        <v/>
      </c>
      <c r="I208" s="6">
        <f>IF(OR(原始資料!$A208="",8&gt;設定!$B$3,原始資料!K208=""),"",IF(AND(原始資料!J208&lt;&gt;"",原始資料!K208=原始資料!J208),N(H208)+1,1))</f>
        <v/>
      </c>
      <c r="J208" s="6">
        <f>IF(OR(原始資料!$A208="",9&gt;設定!$B$3,原始資料!L208=""),"",IF(AND(原始資料!K208&lt;&gt;"",原始資料!L208=原始資料!K208),N(I208)+1,1))</f>
        <v/>
      </c>
      <c r="K208" s="6">
        <f>IF(OR(原始資料!$A208="",10&gt;設定!$B$3,原始資料!M208=""),"",IF(AND(原始資料!L208&lt;&gt;"",原始資料!M208=原始資料!L208),N(J208)+1,1))</f>
        <v/>
      </c>
      <c r="L208" s="6">
        <f>IF(OR(原始資料!$A208="",11&gt;設定!$B$3,原始資料!N208=""),"",IF(AND(原始資料!M208&lt;&gt;"",原始資料!N208=原始資料!M208),N(K208)+1,1))</f>
        <v/>
      </c>
      <c r="M208" s="6">
        <f>IF(OR(原始資料!$A208="",12&gt;設定!$B$3,原始資料!O208=""),"",IF(AND(原始資料!N208&lt;&gt;"",原始資料!O208=原始資料!N208),N(L208)+1,1))</f>
        <v/>
      </c>
      <c r="N208" s="6">
        <f>IF(OR(原始資料!$A208="",13&gt;設定!$B$3,原始資料!P208=""),"",IF(AND(原始資料!O208&lt;&gt;"",原始資料!P208=原始資料!O208),N(M208)+1,1))</f>
        <v/>
      </c>
      <c r="O208" s="6">
        <f>IF(OR(原始資料!$A208="",14&gt;設定!$B$3,原始資料!Q208=""),"",IF(AND(原始資料!P208&lt;&gt;"",原始資料!Q208=原始資料!P208),N(N208)+1,1))</f>
        <v/>
      </c>
      <c r="P208" s="6">
        <f>IF(OR(原始資料!$A208="",15&gt;設定!$B$3,原始資料!R208=""),"",IF(AND(原始資料!Q208&lt;&gt;"",原始資料!R208=原始資料!Q208),N(O208)+1,1))</f>
        <v/>
      </c>
      <c r="Q208" s="6">
        <f>IF(OR(原始資料!$A208="",16&gt;設定!$B$3,原始資料!S208=""),"",IF(AND(原始資料!R208&lt;&gt;"",原始資料!S208=原始資料!R208),N(P208)+1,1))</f>
        <v/>
      </c>
      <c r="R208" s="6">
        <f>IF(OR(原始資料!$A208="",17&gt;設定!$B$3,原始資料!T208=""),"",IF(AND(原始資料!S208&lt;&gt;"",原始資料!T208=原始資料!S208),N(Q208)+1,1))</f>
        <v/>
      </c>
      <c r="S208" s="6">
        <f>IF(OR(原始資料!$A208="",18&gt;設定!$B$3,原始資料!U208=""),"",IF(AND(原始資料!T208&lt;&gt;"",原始資料!U208=原始資料!T208),N(R208)+1,1))</f>
        <v/>
      </c>
      <c r="T208" s="6">
        <f>IF(OR(原始資料!$A208="",19&gt;設定!$B$3,原始資料!V208=""),"",IF(AND(原始資料!U208&lt;&gt;"",原始資料!V208=原始資料!U208),N(S208)+1,1))</f>
        <v/>
      </c>
      <c r="U208" s="6">
        <f>IF(OR(原始資料!$A208="",20&gt;設定!$B$3,原始資料!W208=""),"",IF(AND(原始資料!V208&lt;&gt;"",原始資料!W208=原始資料!V208),N(T208)+1,1))</f>
        <v/>
      </c>
      <c r="V208" s="6">
        <f>IF(OR(原始資料!$A208="",21&gt;設定!$B$3,原始資料!X208=""),"",IF(AND(原始資料!W208&lt;&gt;"",原始資料!X208=原始資料!W208),N(U208)+1,1))</f>
        <v/>
      </c>
      <c r="W208" s="6">
        <f>IF(OR(原始資料!$A208="",22&gt;設定!$B$3,原始資料!Y208=""),"",IF(AND(原始資料!X208&lt;&gt;"",原始資料!Y208=原始資料!X208),N(V208)+1,1))</f>
        <v/>
      </c>
      <c r="X208" s="6">
        <f>IF(OR(原始資料!$A208="",23&gt;設定!$B$3,原始資料!Z208=""),"",IF(AND(原始資料!Y208&lt;&gt;"",原始資料!Z208=原始資料!Y208),N(W208)+1,1))</f>
        <v/>
      </c>
      <c r="Y208" s="6">
        <f>IF(OR(原始資料!$A208="",24&gt;設定!$B$3,原始資料!AA208=""),"",IF(AND(原始資料!Z208&lt;&gt;"",原始資料!AA208=原始資料!Z208),N(X208)+1,1))</f>
        <v/>
      </c>
      <c r="Z208" s="6">
        <f>IF(OR(原始資料!$A208="",25&gt;設定!$B$3,原始資料!AB208=""),"",IF(AND(原始資料!AA208&lt;&gt;"",原始資料!AB208=原始資料!AA208),N(Y208)+1,1))</f>
        <v/>
      </c>
      <c r="AA208" s="6">
        <f>IF(OR(原始資料!$A208="",26&gt;設定!$B$3,原始資料!AC208=""),"",IF(AND(原始資料!AB208&lt;&gt;"",原始資料!AC208=原始資料!AB208),N(Z208)+1,1))</f>
        <v/>
      </c>
      <c r="AB208" s="6">
        <f>IF(OR(原始資料!$A208="",27&gt;設定!$B$3,原始資料!AD208=""),"",IF(AND(原始資料!AC208&lt;&gt;"",原始資料!AD208=原始資料!AC208),N(AA208)+1,1))</f>
        <v/>
      </c>
      <c r="AC208" s="6">
        <f>IF(OR(原始資料!$A208="",28&gt;設定!$B$3,原始資料!AE208=""),"",IF(AND(原始資料!AD208&lt;&gt;"",原始資料!AE208=原始資料!AD208),N(AB208)+1,1))</f>
        <v/>
      </c>
      <c r="AD208" s="6">
        <f>IF(OR(原始資料!$A208="",29&gt;設定!$B$3,原始資料!AF208=""),"",IF(AND(原始資料!AE208&lt;&gt;"",原始資料!AF208=原始資料!AE208),N(AC208)+1,1))</f>
        <v/>
      </c>
      <c r="AE208" s="6">
        <f>IF(OR(原始資料!$A208="",30&gt;設定!$B$3,原始資料!AG208=""),"",IF(AND(原始資料!AF208&lt;&gt;"",原始資料!AG208=原始資料!AF208),N(AD208)+1,1))</f>
        <v/>
      </c>
      <c r="AF208" s="6">
        <f>IF(OR(原始資料!$A208="",31&gt;設定!$B$3,原始資料!AH208=""),"",IF(AND(原始資料!AG208&lt;&gt;"",原始資料!AH208=原始資料!AG208),N(AE208)+1,1))</f>
        <v/>
      </c>
      <c r="AG208" s="6">
        <f>IF(OR(原始資料!$A208="",32&gt;設定!$B$3,原始資料!AI208=""),"",IF(AND(原始資料!AH208&lt;&gt;"",原始資料!AI208=原始資料!AH208),N(AF208)+1,1))</f>
        <v/>
      </c>
      <c r="AH208" s="6">
        <f>IF(OR(原始資料!$A208="",33&gt;設定!$B$3,原始資料!AJ208=""),"",IF(AND(原始資料!AI208&lt;&gt;"",原始資料!AJ208=原始資料!AI208),N(AG208)+1,1))</f>
        <v/>
      </c>
      <c r="AI208" s="6">
        <f>IF(OR(原始資料!$A208="",34&gt;設定!$B$3,原始資料!AK208=""),"",IF(AND(原始資料!AJ208&lt;&gt;"",原始資料!AK208=原始資料!AJ208),N(AH208)+1,1))</f>
        <v/>
      </c>
      <c r="AJ208" s="6">
        <f>IF(OR(原始資料!$A208="",35&gt;設定!$B$3,原始資料!AL208=""),"",IF(AND(原始資料!AK208&lt;&gt;"",原始資料!AL208=原始資料!AK208),N(AI208)+1,1))</f>
        <v/>
      </c>
      <c r="AK208" s="6">
        <f>IF(OR(原始資料!$A208="",36&gt;設定!$B$3,原始資料!AM208=""),"",IF(AND(原始資料!AL208&lt;&gt;"",原始資料!AM208=原始資料!AL208),N(AJ208)+1,1))</f>
        <v/>
      </c>
      <c r="AL208" s="6">
        <f>IF(OR(原始資料!$A208="",37&gt;設定!$B$3,原始資料!AN208=""),"",IF(AND(原始資料!AM208&lt;&gt;"",原始資料!AN208=原始資料!AM208),N(AK208)+1,1))</f>
        <v/>
      </c>
      <c r="AM208" s="6">
        <f>IF(OR(原始資料!$A208="",38&gt;設定!$B$3,原始資料!AO208=""),"",IF(AND(原始資料!AN208&lt;&gt;"",原始資料!AO208=原始資料!AN208),N(AL208)+1,1))</f>
        <v/>
      </c>
      <c r="AN208" s="6">
        <f>IF(OR(原始資料!$A208="",39&gt;設定!$B$3,原始資料!AP208=""),"",IF(AND(原始資料!AO208&lt;&gt;"",原始資料!AP208=原始資料!AO208),N(AM208)+1,1))</f>
        <v/>
      </c>
      <c r="AO208" s="6">
        <f>IF(OR(原始資料!$A208="",40&gt;設定!$B$3,原始資料!AQ208=""),"",IF(AND(原始資料!AP208&lt;&gt;"",原始資料!AQ208=原始資料!AP208),N(AN208)+1,1))</f>
        <v/>
      </c>
      <c r="AP208" s="6">
        <f>IF(OR(原始資料!$A208="",41&gt;設定!$B$3,原始資料!AR208=""),"",IF(AND(原始資料!AQ208&lt;&gt;"",原始資料!AR208=原始資料!AQ208),N(AO208)+1,1))</f>
        <v/>
      </c>
      <c r="AQ208" s="6">
        <f>IF(OR(原始資料!$A208="",42&gt;設定!$B$3,原始資料!AS208=""),"",IF(AND(原始資料!AR208&lt;&gt;"",原始資料!AS208=原始資料!AR208),N(AP208)+1,1))</f>
        <v/>
      </c>
      <c r="AR208" s="6">
        <f>IF(OR(原始資料!$A208="",43&gt;設定!$B$3,原始資料!AT208=""),"",IF(AND(原始資料!AS208&lt;&gt;"",原始資料!AT208=原始資料!AS208),N(AQ208)+1,1))</f>
        <v/>
      </c>
      <c r="AS208" s="6">
        <f>IF(OR(原始資料!$A208="",44&gt;設定!$B$3,原始資料!AU208=""),"",IF(AND(原始資料!AT208&lt;&gt;"",原始資料!AU208=原始資料!AT208),N(AR208)+1,1))</f>
        <v/>
      </c>
      <c r="AT208" s="6">
        <f>IF(OR(原始資料!$A208="",45&gt;設定!$B$3,原始資料!AV208=""),"",IF(AND(原始資料!AU208&lt;&gt;"",原始資料!AV208=原始資料!AU208),N(AS208)+1,1))</f>
        <v/>
      </c>
      <c r="AU208" s="6">
        <f>IF(OR(原始資料!$A208="",46&gt;設定!$B$3,原始資料!AW208=""),"",IF(AND(原始資料!AV208&lt;&gt;"",原始資料!AW208=原始資料!AV208),N(AT208)+1,1))</f>
        <v/>
      </c>
      <c r="AV208" s="6">
        <f>IF(OR(原始資料!$A208="",47&gt;設定!$B$3,原始資料!AX208=""),"",IF(AND(原始資料!AW208&lt;&gt;"",原始資料!AX208=原始資料!AW208),N(AU208)+1,1))</f>
        <v/>
      </c>
      <c r="AW208" s="6">
        <f>IF(OR(原始資料!$A208="",48&gt;設定!$B$3,原始資料!AY208=""),"",IF(AND(原始資料!AX208&lt;&gt;"",原始資料!AY208=原始資料!AX208),N(AV208)+1,1))</f>
        <v/>
      </c>
      <c r="AX208" s="6">
        <f>IF(OR(原始資料!$A208="",49&gt;設定!$B$3,原始資料!AZ208=""),"",IF(AND(原始資料!AY208&lt;&gt;"",原始資料!AZ208=原始資料!AY208),N(AW208)+1,1))</f>
        <v/>
      </c>
      <c r="AY208" s="6">
        <f>IF(OR(原始資料!$A208="",50&gt;設定!$B$3,原始資料!BA208=""),"",IF(AND(原始資料!AZ208&lt;&gt;"",原始資料!BA208=原始資料!AZ208),N(AX208)+1,1))</f>
        <v/>
      </c>
      <c r="AZ208" s="6">
        <f>IF(OR(原始資料!$A208="",51&gt;設定!$B$3,原始資料!BB208=""),"",IF(AND(原始資料!BA208&lt;&gt;"",原始資料!BB208=原始資料!BA208),N(AY208)+1,1))</f>
        <v/>
      </c>
      <c r="BA208" s="6">
        <f>IF(OR(原始資料!$A208="",52&gt;設定!$B$3,原始資料!BC208=""),"",IF(AND(原始資料!BB208&lt;&gt;"",原始資料!BC208=原始資料!BB208),N(AZ208)+1,1))</f>
        <v/>
      </c>
      <c r="BB208" s="6">
        <f>IF(OR(原始資料!$A208="",53&gt;設定!$B$3,原始資料!BD208=""),"",IF(AND(原始資料!BC208&lt;&gt;"",原始資料!BD208=原始資料!BC208),N(BA208)+1,1))</f>
        <v/>
      </c>
      <c r="BC208" s="6">
        <f>IF(OR(原始資料!$A208="",54&gt;設定!$B$3,原始資料!BE208=""),"",IF(AND(原始資料!BD208&lt;&gt;"",原始資料!BE208=原始資料!BD208),N(BB208)+1,1))</f>
        <v/>
      </c>
      <c r="BD208" s="6">
        <f>IF(OR(原始資料!$A208="",55&gt;設定!$B$3,原始資料!BF208=""),"",IF(AND(原始資料!BE208&lt;&gt;"",原始資料!BF208=原始資料!BE208),N(BC208)+1,1))</f>
        <v/>
      </c>
      <c r="BE208" s="6">
        <f>IF(OR(原始資料!$A208="",56&gt;設定!$B$3,原始資料!BG208=""),"",IF(AND(原始資料!BF208&lt;&gt;"",原始資料!BG208=原始資料!BF208),N(BD208)+1,1))</f>
        <v/>
      </c>
      <c r="BF208" s="6">
        <f>IF(OR(原始資料!$A208="",57&gt;設定!$B$3,原始資料!BH208=""),"",IF(AND(原始資料!BG208&lt;&gt;"",原始資料!BH208=原始資料!BG208),N(BE208)+1,1))</f>
        <v/>
      </c>
      <c r="BG208" s="6">
        <f>IF(OR(原始資料!$A208="",58&gt;設定!$B$3,原始資料!BI208=""),"",IF(AND(原始資料!BH208&lt;&gt;"",原始資料!BI208=原始資料!BH208),N(BF208)+1,1))</f>
        <v/>
      </c>
      <c r="BH208" s="6">
        <f>IF(OR(原始資料!$A208="",59&gt;設定!$B$3,原始資料!BJ208=""),"",IF(AND(原始資料!BI208&lt;&gt;"",原始資料!BJ208=原始資料!BI208),N(BG208)+1,1))</f>
        <v/>
      </c>
      <c r="BI208" s="6">
        <f>IF(OR(原始資料!$A208="",60&gt;設定!$B$3,原始資料!BK208=""),"",IF(AND(原始資料!BJ208&lt;&gt;"",原始資料!BK208=原始資料!BJ208),N(BH208)+1,1))</f>
        <v/>
      </c>
    </row>
    <row r="209">
      <c r="A209" s="6">
        <f>IF(原始資料!$A209="","",原始資料!$A209)</f>
        <v/>
      </c>
      <c r="B209" s="6">
        <f>IF(OR(原始資料!$A209="",1&gt;設定!$B$3,原始資料!D209=""),"",1)</f>
        <v/>
      </c>
      <c r="C209" s="6">
        <f>IF(OR(原始資料!$A209="",2&gt;設定!$B$3,原始資料!E209=""),"",IF(AND(原始資料!D209&lt;&gt;"",原始資料!E209=原始資料!D209),N(B209)+1,1))</f>
        <v/>
      </c>
      <c r="D209" s="6">
        <f>IF(OR(原始資料!$A209="",3&gt;設定!$B$3,原始資料!F209=""),"",IF(AND(原始資料!E209&lt;&gt;"",原始資料!F209=原始資料!E209),N(C209)+1,1))</f>
        <v/>
      </c>
      <c r="E209" s="6">
        <f>IF(OR(原始資料!$A209="",4&gt;設定!$B$3,原始資料!G209=""),"",IF(AND(原始資料!F209&lt;&gt;"",原始資料!G209=原始資料!F209),N(D209)+1,1))</f>
        <v/>
      </c>
      <c r="F209" s="6">
        <f>IF(OR(原始資料!$A209="",5&gt;設定!$B$3,原始資料!H209=""),"",IF(AND(原始資料!G209&lt;&gt;"",原始資料!H209=原始資料!G209),N(E209)+1,1))</f>
        <v/>
      </c>
      <c r="G209" s="6">
        <f>IF(OR(原始資料!$A209="",6&gt;設定!$B$3,原始資料!I209=""),"",IF(AND(原始資料!H209&lt;&gt;"",原始資料!I209=原始資料!H209),N(F209)+1,1))</f>
        <v/>
      </c>
      <c r="H209" s="6">
        <f>IF(OR(原始資料!$A209="",7&gt;設定!$B$3,原始資料!J209=""),"",IF(AND(原始資料!I209&lt;&gt;"",原始資料!J209=原始資料!I209),N(G209)+1,1))</f>
        <v/>
      </c>
      <c r="I209" s="6">
        <f>IF(OR(原始資料!$A209="",8&gt;設定!$B$3,原始資料!K209=""),"",IF(AND(原始資料!J209&lt;&gt;"",原始資料!K209=原始資料!J209),N(H209)+1,1))</f>
        <v/>
      </c>
      <c r="J209" s="6">
        <f>IF(OR(原始資料!$A209="",9&gt;設定!$B$3,原始資料!L209=""),"",IF(AND(原始資料!K209&lt;&gt;"",原始資料!L209=原始資料!K209),N(I209)+1,1))</f>
        <v/>
      </c>
      <c r="K209" s="6">
        <f>IF(OR(原始資料!$A209="",10&gt;設定!$B$3,原始資料!M209=""),"",IF(AND(原始資料!L209&lt;&gt;"",原始資料!M209=原始資料!L209),N(J209)+1,1))</f>
        <v/>
      </c>
      <c r="L209" s="6">
        <f>IF(OR(原始資料!$A209="",11&gt;設定!$B$3,原始資料!N209=""),"",IF(AND(原始資料!M209&lt;&gt;"",原始資料!N209=原始資料!M209),N(K209)+1,1))</f>
        <v/>
      </c>
      <c r="M209" s="6">
        <f>IF(OR(原始資料!$A209="",12&gt;設定!$B$3,原始資料!O209=""),"",IF(AND(原始資料!N209&lt;&gt;"",原始資料!O209=原始資料!N209),N(L209)+1,1))</f>
        <v/>
      </c>
      <c r="N209" s="6">
        <f>IF(OR(原始資料!$A209="",13&gt;設定!$B$3,原始資料!P209=""),"",IF(AND(原始資料!O209&lt;&gt;"",原始資料!P209=原始資料!O209),N(M209)+1,1))</f>
        <v/>
      </c>
      <c r="O209" s="6">
        <f>IF(OR(原始資料!$A209="",14&gt;設定!$B$3,原始資料!Q209=""),"",IF(AND(原始資料!P209&lt;&gt;"",原始資料!Q209=原始資料!P209),N(N209)+1,1))</f>
        <v/>
      </c>
      <c r="P209" s="6">
        <f>IF(OR(原始資料!$A209="",15&gt;設定!$B$3,原始資料!R209=""),"",IF(AND(原始資料!Q209&lt;&gt;"",原始資料!R209=原始資料!Q209),N(O209)+1,1))</f>
        <v/>
      </c>
      <c r="Q209" s="6">
        <f>IF(OR(原始資料!$A209="",16&gt;設定!$B$3,原始資料!S209=""),"",IF(AND(原始資料!R209&lt;&gt;"",原始資料!S209=原始資料!R209),N(P209)+1,1))</f>
        <v/>
      </c>
      <c r="R209" s="6">
        <f>IF(OR(原始資料!$A209="",17&gt;設定!$B$3,原始資料!T209=""),"",IF(AND(原始資料!S209&lt;&gt;"",原始資料!T209=原始資料!S209),N(Q209)+1,1))</f>
        <v/>
      </c>
      <c r="S209" s="6">
        <f>IF(OR(原始資料!$A209="",18&gt;設定!$B$3,原始資料!U209=""),"",IF(AND(原始資料!T209&lt;&gt;"",原始資料!U209=原始資料!T209),N(R209)+1,1))</f>
        <v/>
      </c>
      <c r="T209" s="6">
        <f>IF(OR(原始資料!$A209="",19&gt;設定!$B$3,原始資料!V209=""),"",IF(AND(原始資料!U209&lt;&gt;"",原始資料!V209=原始資料!U209),N(S209)+1,1))</f>
        <v/>
      </c>
      <c r="U209" s="6">
        <f>IF(OR(原始資料!$A209="",20&gt;設定!$B$3,原始資料!W209=""),"",IF(AND(原始資料!V209&lt;&gt;"",原始資料!W209=原始資料!V209),N(T209)+1,1))</f>
        <v/>
      </c>
      <c r="V209" s="6">
        <f>IF(OR(原始資料!$A209="",21&gt;設定!$B$3,原始資料!X209=""),"",IF(AND(原始資料!W209&lt;&gt;"",原始資料!X209=原始資料!W209),N(U209)+1,1))</f>
        <v/>
      </c>
      <c r="W209" s="6">
        <f>IF(OR(原始資料!$A209="",22&gt;設定!$B$3,原始資料!Y209=""),"",IF(AND(原始資料!X209&lt;&gt;"",原始資料!Y209=原始資料!X209),N(V209)+1,1))</f>
        <v/>
      </c>
      <c r="X209" s="6">
        <f>IF(OR(原始資料!$A209="",23&gt;設定!$B$3,原始資料!Z209=""),"",IF(AND(原始資料!Y209&lt;&gt;"",原始資料!Z209=原始資料!Y209),N(W209)+1,1))</f>
        <v/>
      </c>
      <c r="Y209" s="6">
        <f>IF(OR(原始資料!$A209="",24&gt;設定!$B$3,原始資料!AA209=""),"",IF(AND(原始資料!Z209&lt;&gt;"",原始資料!AA209=原始資料!Z209),N(X209)+1,1))</f>
        <v/>
      </c>
      <c r="Z209" s="6">
        <f>IF(OR(原始資料!$A209="",25&gt;設定!$B$3,原始資料!AB209=""),"",IF(AND(原始資料!AA209&lt;&gt;"",原始資料!AB209=原始資料!AA209),N(Y209)+1,1))</f>
        <v/>
      </c>
      <c r="AA209" s="6">
        <f>IF(OR(原始資料!$A209="",26&gt;設定!$B$3,原始資料!AC209=""),"",IF(AND(原始資料!AB209&lt;&gt;"",原始資料!AC209=原始資料!AB209),N(Z209)+1,1))</f>
        <v/>
      </c>
      <c r="AB209" s="6">
        <f>IF(OR(原始資料!$A209="",27&gt;設定!$B$3,原始資料!AD209=""),"",IF(AND(原始資料!AC209&lt;&gt;"",原始資料!AD209=原始資料!AC209),N(AA209)+1,1))</f>
        <v/>
      </c>
      <c r="AC209" s="6">
        <f>IF(OR(原始資料!$A209="",28&gt;設定!$B$3,原始資料!AE209=""),"",IF(AND(原始資料!AD209&lt;&gt;"",原始資料!AE209=原始資料!AD209),N(AB209)+1,1))</f>
        <v/>
      </c>
      <c r="AD209" s="6">
        <f>IF(OR(原始資料!$A209="",29&gt;設定!$B$3,原始資料!AF209=""),"",IF(AND(原始資料!AE209&lt;&gt;"",原始資料!AF209=原始資料!AE209),N(AC209)+1,1))</f>
        <v/>
      </c>
      <c r="AE209" s="6">
        <f>IF(OR(原始資料!$A209="",30&gt;設定!$B$3,原始資料!AG209=""),"",IF(AND(原始資料!AF209&lt;&gt;"",原始資料!AG209=原始資料!AF209),N(AD209)+1,1))</f>
        <v/>
      </c>
      <c r="AF209" s="6">
        <f>IF(OR(原始資料!$A209="",31&gt;設定!$B$3,原始資料!AH209=""),"",IF(AND(原始資料!AG209&lt;&gt;"",原始資料!AH209=原始資料!AG209),N(AE209)+1,1))</f>
        <v/>
      </c>
      <c r="AG209" s="6">
        <f>IF(OR(原始資料!$A209="",32&gt;設定!$B$3,原始資料!AI209=""),"",IF(AND(原始資料!AH209&lt;&gt;"",原始資料!AI209=原始資料!AH209),N(AF209)+1,1))</f>
        <v/>
      </c>
      <c r="AH209" s="6">
        <f>IF(OR(原始資料!$A209="",33&gt;設定!$B$3,原始資料!AJ209=""),"",IF(AND(原始資料!AI209&lt;&gt;"",原始資料!AJ209=原始資料!AI209),N(AG209)+1,1))</f>
        <v/>
      </c>
      <c r="AI209" s="6">
        <f>IF(OR(原始資料!$A209="",34&gt;設定!$B$3,原始資料!AK209=""),"",IF(AND(原始資料!AJ209&lt;&gt;"",原始資料!AK209=原始資料!AJ209),N(AH209)+1,1))</f>
        <v/>
      </c>
      <c r="AJ209" s="6">
        <f>IF(OR(原始資料!$A209="",35&gt;設定!$B$3,原始資料!AL209=""),"",IF(AND(原始資料!AK209&lt;&gt;"",原始資料!AL209=原始資料!AK209),N(AI209)+1,1))</f>
        <v/>
      </c>
      <c r="AK209" s="6">
        <f>IF(OR(原始資料!$A209="",36&gt;設定!$B$3,原始資料!AM209=""),"",IF(AND(原始資料!AL209&lt;&gt;"",原始資料!AM209=原始資料!AL209),N(AJ209)+1,1))</f>
        <v/>
      </c>
      <c r="AL209" s="6">
        <f>IF(OR(原始資料!$A209="",37&gt;設定!$B$3,原始資料!AN209=""),"",IF(AND(原始資料!AM209&lt;&gt;"",原始資料!AN209=原始資料!AM209),N(AK209)+1,1))</f>
        <v/>
      </c>
      <c r="AM209" s="6">
        <f>IF(OR(原始資料!$A209="",38&gt;設定!$B$3,原始資料!AO209=""),"",IF(AND(原始資料!AN209&lt;&gt;"",原始資料!AO209=原始資料!AN209),N(AL209)+1,1))</f>
        <v/>
      </c>
      <c r="AN209" s="6">
        <f>IF(OR(原始資料!$A209="",39&gt;設定!$B$3,原始資料!AP209=""),"",IF(AND(原始資料!AO209&lt;&gt;"",原始資料!AP209=原始資料!AO209),N(AM209)+1,1))</f>
        <v/>
      </c>
      <c r="AO209" s="6">
        <f>IF(OR(原始資料!$A209="",40&gt;設定!$B$3,原始資料!AQ209=""),"",IF(AND(原始資料!AP209&lt;&gt;"",原始資料!AQ209=原始資料!AP209),N(AN209)+1,1))</f>
        <v/>
      </c>
      <c r="AP209" s="6">
        <f>IF(OR(原始資料!$A209="",41&gt;設定!$B$3,原始資料!AR209=""),"",IF(AND(原始資料!AQ209&lt;&gt;"",原始資料!AR209=原始資料!AQ209),N(AO209)+1,1))</f>
        <v/>
      </c>
      <c r="AQ209" s="6">
        <f>IF(OR(原始資料!$A209="",42&gt;設定!$B$3,原始資料!AS209=""),"",IF(AND(原始資料!AR209&lt;&gt;"",原始資料!AS209=原始資料!AR209),N(AP209)+1,1))</f>
        <v/>
      </c>
      <c r="AR209" s="6">
        <f>IF(OR(原始資料!$A209="",43&gt;設定!$B$3,原始資料!AT209=""),"",IF(AND(原始資料!AS209&lt;&gt;"",原始資料!AT209=原始資料!AS209),N(AQ209)+1,1))</f>
        <v/>
      </c>
      <c r="AS209" s="6">
        <f>IF(OR(原始資料!$A209="",44&gt;設定!$B$3,原始資料!AU209=""),"",IF(AND(原始資料!AT209&lt;&gt;"",原始資料!AU209=原始資料!AT209),N(AR209)+1,1))</f>
        <v/>
      </c>
      <c r="AT209" s="6">
        <f>IF(OR(原始資料!$A209="",45&gt;設定!$B$3,原始資料!AV209=""),"",IF(AND(原始資料!AU209&lt;&gt;"",原始資料!AV209=原始資料!AU209),N(AS209)+1,1))</f>
        <v/>
      </c>
      <c r="AU209" s="6">
        <f>IF(OR(原始資料!$A209="",46&gt;設定!$B$3,原始資料!AW209=""),"",IF(AND(原始資料!AV209&lt;&gt;"",原始資料!AW209=原始資料!AV209),N(AT209)+1,1))</f>
        <v/>
      </c>
      <c r="AV209" s="6">
        <f>IF(OR(原始資料!$A209="",47&gt;設定!$B$3,原始資料!AX209=""),"",IF(AND(原始資料!AW209&lt;&gt;"",原始資料!AX209=原始資料!AW209),N(AU209)+1,1))</f>
        <v/>
      </c>
      <c r="AW209" s="6">
        <f>IF(OR(原始資料!$A209="",48&gt;設定!$B$3,原始資料!AY209=""),"",IF(AND(原始資料!AX209&lt;&gt;"",原始資料!AY209=原始資料!AX209),N(AV209)+1,1))</f>
        <v/>
      </c>
      <c r="AX209" s="6">
        <f>IF(OR(原始資料!$A209="",49&gt;設定!$B$3,原始資料!AZ209=""),"",IF(AND(原始資料!AY209&lt;&gt;"",原始資料!AZ209=原始資料!AY209),N(AW209)+1,1))</f>
        <v/>
      </c>
      <c r="AY209" s="6">
        <f>IF(OR(原始資料!$A209="",50&gt;設定!$B$3,原始資料!BA209=""),"",IF(AND(原始資料!AZ209&lt;&gt;"",原始資料!BA209=原始資料!AZ209),N(AX209)+1,1))</f>
        <v/>
      </c>
      <c r="AZ209" s="6">
        <f>IF(OR(原始資料!$A209="",51&gt;設定!$B$3,原始資料!BB209=""),"",IF(AND(原始資料!BA209&lt;&gt;"",原始資料!BB209=原始資料!BA209),N(AY209)+1,1))</f>
        <v/>
      </c>
      <c r="BA209" s="6">
        <f>IF(OR(原始資料!$A209="",52&gt;設定!$B$3,原始資料!BC209=""),"",IF(AND(原始資料!BB209&lt;&gt;"",原始資料!BC209=原始資料!BB209),N(AZ209)+1,1))</f>
        <v/>
      </c>
      <c r="BB209" s="6">
        <f>IF(OR(原始資料!$A209="",53&gt;設定!$B$3,原始資料!BD209=""),"",IF(AND(原始資料!BC209&lt;&gt;"",原始資料!BD209=原始資料!BC209),N(BA209)+1,1))</f>
        <v/>
      </c>
      <c r="BC209" s="6">
        <f>IF(OR(原始資料!$A209="",54&gt;設定!$B$3,原始資料!BE209=""),"",IF(AND(原始資料!BD209&lt;&gt;"",原始資料!BE209=原始資料!BD209),N(BB209)+1,1))</f>
        <v/>
      </c>
      <c r="BD209" s="6">
        <f>IF(OR(原始資料!$A209="",55&gt;設定!$B$3,原始資料!BF209=""),"",IF(AND(原始資料!BE209&lt;&gt;"",原始資料!BF209=原始資料!BE209),N(BC209)+1,1))</f>
        <v/>
      </c>
      <c r="BE209" s="6">
        <f>IF(OR(原始資料!$A209="",56&gt;設定!$B$3,原始資料!BG209=""),"",IF(AND(原始資料!BF209&lt;&gt;"",原始資料!BG209=原始資料!BF209),N(BD209)+1,1))</f>
        <v/>
      </c>
      <c r="BF209" s="6">
        <f>IF(OR(原始資料!$A209="",57&gt;設定!$B$3,原始資料!BH209=""),"",IF(AND(原始資料!BG209&lt;&gt;"",原始資料!BH209=原始資料!BG209),N(BE209)+1,1))</f>
        <v/>
      </c>
      <c r="BG209" s="6">
        <f>IF(OR(原始資料!$A209="",58&gt;設定!$B$3,原始資料!BI209=""),"",IF(AND(原始資料!BH209&lt;&gt;"",原始資料!BI209=原始資料!BH209),N(BF209)+1,1))</f>
        <v/>
      </c>
      <c r="BH209" s="6">
        <f>IF(OR(原始資料!$A209="",59&gt;設定!$B$3,原始資料!BJ209=""),"",IF(AND(原始資料!BI209&lt;&gt;"",原始資料!BJ209=原始資料!BI209),N(BG209)+1,1))</f>
        <v/>
      </c>
      <c r="BI209" s="6">
        <f>IF(OR(原始資料!$A209="",60&gt;設定!$B$3,原始資料!BK209=""),"",IF(AND(原始資料!BJ209&lt;&gt;"",原始資料!BK209=原始資料!BJ209),N(BH209)+1,1))</f>
        <v/>
      </c>
    </row>
    <row r="210">
      <c r="A210" s="6">
        <f>IF(原始資料!$A210="","",原始資料!$A210)</f>
        <v/>
      </c>
      <c r="B210" s="6">
        <f>IF(OR(原始資料!$A210="",1&gt;設定!$B$3,原始資料!D210=""),"",1)</f>
        <v/>
      </c>
      <c r="C210" s="6">
        <f>IF(OR(原始資料!$A210="",2&gt;設定!$B$3,原始資料!E210=""),"",IF(AND(原始資料!D210&lt;&gt;"",原始資料!E210=原始資料!D210),N(B210)+1,1))</f>
        <v/>
      </c>
      <c r="D210" s="6">
        <f>IF(OR(原始資料!$A210="",3&gt;設定!$B$3,原始資料!F210=""),"",IF(AND(原始資料!E210&lt;&gt;"",原始資料!F210=原始資料!E210),N(C210)+1,1))</f>
        <v/>
      </c>
      <c r="E210" s="6">
        <f>IF(OR(原始資料!$A210="",4&gt;設定!$B$3,原始資料!G210=""),"",IF(AND(原始資料!F210&lt;&gt;"",原始資料!G210=原始資料!F210),N(D210)+1,1))</f>
        <v/>
      </c>
      <c r="F210" s="6">
        <f>IF(OR(原始資料!$A210="",5&gt;設定!$B$3,原始資料!H210=""),"",IF(AND(原始資料!G210&lt;&gt;"",原始資料!H210=原始資料!G210),N(E210)+1,1))</f>
        <v/>
      </c>
      <c r="G210" s="6">
        <f>IF(OR(原始資料!$A210="",6&gt;設定!$B$3,原始資料!I210=""),"",IF(AND(原始資料!H210&lt;&gt;"",原始資料!I210=原始資料!H210),N(F210)+1,1))</f>
        <v/>
      </c>
      <c r="H210" s="6">
        <f>IF(OR(原始資料!$A210="",7&gt;設定!$B$3,原始資料!J210=""),"",IF(AND(原始資料!I210&lt;&gt;"",原始資料!J210=原始資料!I210),N(G210)+1,1))</f>
        <v/>
      </c>
      <c r="I210" s="6">
        <f>IF(OR(原始資料!$A210="",8&gt;設定!$B$3,原始資料!K210=""),"",IF(AND(原始資料!J210&lt;&gt;"",原始資料!K210=原始資料!J210),N(H210)+1,1))</f>
        <v/>
      </c>
      <c r="J210" s="6">
        <f>IF(OR(原始資料!$A210="",9&gt;設定!$B$3,原始資料!L210=""),"",IF(AND(原始資料!K210&lt;&gt;"",原始資料!L210=原始資料!K210),N(I210)+1,1))</f>
        <v/>
      </c>
      <c r="K210" s="6">
        <f>IF(OR(原始資料!$A210="",10&gt;設定!$B$3,原始資料!M210=""),"",IF(AND(原始資料!L210&lt;&gt;"",原始資料!M210=原始資料!L210),N(J210)+1,1))</f>
        <v/>
      </c>
      <c r="L210" s="6">
        <f>IF(OR(原始資料!$A210="",11&gt;設定!$B$3,原始資料!N210=""),"",IF(AND(原始資料!M210&lt;&gt;"",原始資料!N210=原始資料!M210),N(K210)+1,1))</f>
        <v/>
      </c>
      <c r="M210" s="6">
        <f>IF(OR(原始資料!$A210="",12&gt;設定!$B$3,原始資料!O210=""),"",IF(AND(原始資料!N210&lt;&gt;"",原始資料!O210=原始資料!N210),N(L210)+1,1))</f>
        <v/>
      </c>
      <c r="N210" s="6">
        <f>IF(OR(原始資料!$A210="",13&gt;設定!$B$3,原始資料!P210=""),"",IF(AND(原始資料!O210&lt;&gt;"",原始資料!P210=原始資料!O210),N(M210)+1,1))</f>
        <v/>
      </c>
      <c r="O210" s="6">
        <f>IF(OR(原始資料!$A210="",14&gt;設定!$B$3,原始資料!Q210=""),"",IF(AND(原始資料!P210&lt;&gt;"",原始資料!Q210=原始資料!P210),N(N210)+1,1))</f>
        <v/>
      </c>
      <c r="P210" s="6">
        <f>IF(OR(原始資料!$A210="",15&gt;設定!$B$3,原始資料!R210=""),"",IF(AND(原始資料!Q210&lt;&gt;"",原始資料!R210=原始資料!Q210),N(O210)+1,1))</f>
        <v/>
      </c>
      <c r="Q210" s="6">
        <f>IF(OR(原始資料!$A210="",16&gt;設定!$B$3,原始資料!S210=""),"",IF(AND(原始資料!R210&lt;&gt;"",原始資料!S210=原始資料!R210),N(P210)+1,1))</f>
        <v/>
      </c>
      <c r="R210" s="6">
        <f>IF(OR(原始資料!$A210="",17&gt;設定!$B$3,原始資料!T210=""),"",IF(AND(原始資料!S210&lt;&gt;"",原始資料!T210=原始資料!S210),N(Q210)+1,1))</f>
        <v/>
      </c>
      <c r="S210" s="6">
        <f>IF(OR(原始資料!$A210="",18&gt;設定!$B$3,原始資料!U210=""),"",IF(AND(原始資料!T210&lt;&gt;"",原始資料!U210=原始資料!T210),N(R210)+1,1))</f>
        <v/>
      </c>
      <c r="T210" s="6">
        <f>IF(OR(原始資料!$A210="",19&gt;設定!$B$3,原始資料!V210=""),"",IF(AND(原始資料!U210&lt;&gt;"",原始資料!V210=原始資料!U210),N(S210)+1,1))</f>
        <v/>
      </c>
      <c r="U210" s="6">
        <f>IF(OR(原始資料!$A210="",20&gt;設定!$B$3,原始資料!W210=""),"",IF(AND(原始資料!V210&lt;&gt;"",原始資料!W210=原始資料!V210),N(T210)+1,1))</f>
        <v/>
      </c>
      <c r="V210" s="6">
        <f>IF(OR(原始資料!$A210="",21&gt;設定!$B$3,原始資料!X210=""),"",IF(AND(原始資料!W210&lt;&gt;"",原始資料!X210=原始資料!W210),N(U210)+1,1))</f>
        <v/>
      </c>
      <c r="W210" s="6">
        <f>IF(OR(原始資料!$A210="",22&gt;設定!$B$3,原始資料!Y210=""),"",IF(AND(原始資料!X210&lt;&gt;"",原始資料!Y210=原始資料!X210),N(V210)+1,1))</f>
        <v/>
      </c>
      <c r="X210" s="6">
        <f>IF(OR(原始資料!$A210="",23&gt;設定!$B$3,原始資料!Z210=""),"",IF(AND(原始資料!Y210&lt;&gt;"",原始資料!Z210=原始資料!Y210),N(W210)+1,1))</f>
        <v/>
      </c>
      <c r="Y210" s="6">
        <f>IF(OR(原始資料!$A210="",24&gt;設定!$B$3,原始資料!AA210=""),"",IF(AND(原始資料!Z210&lt;&gt;"",原始資料!AA210=原始資料!Z210),N(X210)+1,1))</f>
        <v/>
      </c>
      <c r="Z210" s="6">
        <f>IF(OR(原始資料!$A210="",25&gt;設定!$B$3,原始資料!AB210=""),"",IF(AND(原始資料!AA210&lt;&gt;"",原始資料!AB210=原始資料!AA210),N(Y210)+1,1))</f>
        <v/>
      </c>
      <c r="AA210" s="6">
        <f>IF(OR(原始資料!$A210="",26&gt;設定!$B$3,原始資料!AC210=""),"",IF(AND(原始資料!AB210&lt;&gt;"",原始資料!AC210=原始資料!AB210),N(Z210)+1,1))</f>
        <v/>
      </c>
      <c r="AB210" s="6">
        <f>IF(OR(原始資料!$A210="",27&gt;設定!$B$3,原始資料!AD210=""),"",IF(AND(原始資料!AC210&lt;&gt;"",原始資料!AD210=原始資料!AC210),N(AA210)+1,1))</f>
        <v/>
      </c>
      <c r="AC210" s="6">
        <f>IF(OR(原始資料!$A210="",28&gt;設定!$B$3,原始資料!AE210=""),"",IF(AND(原始資料!AD210&lt;&gt;"",原始資料!AE210=原始資料!AD210),N(AB210)+1,1))</f>
        <v/>
      </c>
      <c r="AD210" s="6">
        <f>IF(OR(原始資料!$A210="",29&gt;設定!$B$3,原始資料!AF210=""),"",IF(AND(原始資料!AE210&lt;&gt;"",原始資料!AF210=原始資料!AE210),N(AC210)+1,1))</f>
        <v/>
      </c>
      <c r="AE210" s="6">
        <f>IF(OR(原始資料!$A210="",30&gt;設定!$B$3,原始資料!AG210=""),"",IF(AND(原始資料!AF210&lt;&gt;"",原始資料!AG210=原始資料!AF210),N(AD210)+1,1))</f>
        <v/>
      </c>
      <c r="AF210" s="6">
        <f>IF(OR(原始資料!$A210="",31&gt;設定!$B$3,原始資料!AH210=""),"",IF(AND(原始資料!AG210&lt;&gt;"",原始資料!AH210=原始資料!AG210),N(AE210)+1,1))</f>
        <v/>
      </c>
      <c r="AG210" s="6">
        <f>IF(OR(原始資料!$A210="",32&gt;設定!$B$3,原始資料!AI210=""),"",IF(AND(原始資料!AH210&lt;&gt;"",原始資料!AI210=原始資料!AH210),N(AF210)+1,1))</f>
        <v/>
      </c>
      <c r="AH210" s="6">
        <f>IF(OR(原始資料!$A210="",33&gt;設定!$B$3,原始資料!AJ210=""),"",IF(AND(原始資料!AI210&lt;&gt;"",原始資料!AJ210=原始資料!AI210),N(AG210)+1,1))</f>
        <v/>
      </c>
      <c r="AI210" s="6">
        <f>IF(OR(原始資料!$A210="",34&gt;設定!$B$3,原始資料!AK210=""),"",IF(AND(原始資料!AJ210&lt;&gt;"",原始資料!AK210=原始資料!AJ210),N(AH210)+1,1))</f>
        <v/>
      </c>
      <c r="AJ210" s="6">
        <f>IF(OR(原始資料!$A210="",35&gt;設定!$B$3,原始資料!AL210=""),"",IF(AND(原始資料!AK210&lt;&gt;"",原始資料!AL210=原始資料!AK210),N(AI210)+1,1))</f>
        <v/>
      </c>
      <c r="AK210" s="6">
        <f>IF(OR(原始資料!$A210="",36&gt;設定!$B$3,原始資料!AM210=""),"",IF(AND(原始資料!AL210&lt;&gt;"",原始資料!AM210=原始資料!AL210),N(AJ210)+1,1))</f>
        <v/>
      </c>
      <c r="AL210" s="6">
        <f>IF(OR(原始資料!$A210="",37&gt;設定!$B$3,原始資料!AN210=""),"",IF(AND(原始資料!AM210&lt;&gt;"",原始資料!AN210=原始資料!AM210),N(AK210)+1,1))</f>
        <v/>
      </c>
      <c r="AM210" s="6">
        <f>IF(OR(原始資料!$A210="",38&gt;設定!$B$3,原始資料!AO210=""),"",IF(AND(原始資料!AN210&lt;&gt;"",原始資料!AO210=原始資料!AN210),N(AL210)+1,1))</f>
        <v/>
      </c>
      <c r="AN210" s="6">
        <f>IF(OR(原始資料!$A210="",39&gt;設定!$B$3,原始資料!AP210=""),"",IF(AND(原始資料!AO210&lt;&gt;"",原始資料!AP210=原始資料!AO210),N(AM210)+1,1))</f>
        <v/>
      </c>
      <c r="AO210" s="6">
        <f>IF(OR(原始資料!$A210="",40&gt;設定!$B$3,原始資料!AQ210=""),"",IF(AND(原始資料!AP210&lt;&gt;"",原始資料!AQ210=原始資料!AP210),N(AN210)+1,1))</f>
        <v/>
      </c>
      <c r="AP210" s="6">
        <f>IF(OR(原始資料!$A210="",41&gt;設定!$B$3,原始資料!AR210=""),"",IF(AND(原始資料!AQ210&lt;&gt;"",原始資料!AR210=原始資料!AQ210),N(AO210)+1,1))</f>
        <v/>
      </c>
      <c r="AQ210" s="6">
        <f>IF(OR(原始資料!$A210="",42&gt;設定!$B$3,原始資料!AS210=""),"",IF(AND(原始資料!AR210&lt;&gt;"",原始資料!AS210=原始資料!AR210),N(AP210)+1,1))</f>
        <v/>
      </c>
      <c r="AR210" s="6">
        <f>IF(OR(原始資料!$A210="",43&gt;設定!$B$3,原始資料!AT210=""),"",IF(AND(原始資料!AS210&lt;&gt;"",原始資料!AT210=原始資料!AS210),N(AQ210)+1,1))</f>
        <v/>
      </c>
      <c r="AS210" s="6">
        <f>IF(OR(原始資料!$A210="",44&gt;設定!$B$3,原始資料!AU210=""),"",IF(AND(原始資料!AT210&lt;&gt;"",原始資料!AU210=原始資料!AT210),N(AR210)+1,1))</f>
        <v/>
      </c>
      <c r="AT210" s="6">
        <f>IF(OR(原始資料!$A210="",45&gt;設定!$B$3,原始資料!AV210=""),"",IF(AND(原始資料!AU210&lt;&gt;"",原始資料!AV210=原始資料!AU210),N(AS210)+1,1))</f>
        <v/>
      </c>
      <c r="AU210" s="6">
        <f>IF(OR(原始資料!$A210="",46&gt;設定!$B$3,原始資料!AW210=""),"",IF(AND(原始資料!AV210&lt;&gt;"",原始資料!AW210=原始資料!AV210),N(AT210)+1,1))</f>
        <v/>
      </c>
      <c r="AV210" s="6">
        <f>IF(OR(原始資料!$A210="",47&gt;設定!$B$3,原始資料!AX210=""),"",IF(AND(原始資料!AW210&lt;&gt;"",原始資料!AX210=原始資料!AW210),N(AU210)+1,1))</f>
        <v/>
      </c>
      <c r="AW210" s="6">
        <f>IF(OR(原始資料!$A210="",48&gt;設定!$B$3,原始資料!AY210=""),"",IF(AND(原始資料!AX210&lt;&gt;"",原始資料!AY210=原始資料!AX210),N(AV210)+1,1))</f>
        <v/>
      </c>
      <c r="AX210" s="6">
        <f>IF(OR(原始資料!$A210="",49&gt;設定!$B$3,原始資料!AZ210=""),"",IF(AND(原始資料!AY210&lt;&gt;"",原始資料!AZ210=原始資料!AY210),N(AW210)+1,1))</f>
        <v/>
      </c>
      <c r="AY210" s="6">
        <f>IF(OR(原始資料!$A210="",50&gt;設定!$B$3,原始資料!BA210=""),"",IF(AND(原始資料!AZ210&lt;&gt;"",原始資料!BA210=原始資料!AZ210),N(AX210)+1,1))</f>
        <v/>
      </c>
      <c r="AZ210" s="6">
        <f>IF(OR(原始資料!$A210="",51&gt;設定!$B$3,原始資料!BB210=""),"",IF(AND(原始資料!BA210&lt;&gt;"",原始資料!BB210=原始資料!BA210),N(AY210)+1,1))</f>
        <v/>
      </c>
      <c r="BA210" s="6">
        <f>IF(OR(原始資料!$A210="",52&gt;設定!$B$3,原始資料!BC210=""),"",IF(AND(原始資料!BB210&lt;&gt;"",原始資料!BC210=原始資料!BB210),N(AZ210)+1,1))</f>
        <v/>
      </c>
      <c r="BB210" s="6">
        <f>IF(OR(原始資料!$A210="",53&gt;設定!$B$3,原始資料!BD210=""),"",IF(AND(原始資料!BC210&lt;&gt;"",原始資料!BD210=原始資料!BC210),N(BA210)+1,1))</f>
        <v/>
      </c>
      <c r="BC210" s="6">
        <f>IF(OR(原始資料!$A210="",54&gt;設定!$B$3,原始資料!BE210=""),"",IF(AND(原始資料!BD210&lt;&gt;"",原始資料!BE210=原始資料!BD210),N(BB210)+1,1))</f>
        <v/>
      </c>
      <c r="BD210" s="6">
        <f>IF(OR(原始資料!$A210="",55&gt;設定!$B$3,原始資料!BF210=""),"",IF(AND(原始資料!BE210&lt;&gt;"",原始資料!BF210=原始資料!BE210),N(BC210)+1,1))</f>
        <v/>
      </c>
      <c r="BE210" s="6">
        <f>IF(OR(原始資料!$A210="",56&gt;設定!$B$3,原始資料!BG210=""),"",IF(AND(原始資料!BF210&lt;&gt;"",原始資料!BG210=原始資料!BF210),N(BD210)+1,1))</f>
        <v/>
      </c>
      <c r="BF210" s="6">
        <f>IF(OR(原始資料!$A210="",57&gt;設定!$B$3,原始資料!BH210=""),"",IF(AND(原始資料!BG210&lt;&gt;"",原始資料!BH210=原始資料!BG210),N(BE210)+1,1))</f>
        <v/>
      </c>
      <c r="BG210" s="6">
        <f>IF(OR(原始資料!$A210="",58&gt;設定!$B$3,原始資料!BI210=""),"",IF(AND(原始資料!BH210&lt;&gt;"",原始資料!BI210=原始資料!BH210),N(BF210)+1,1))</f>
        <v/>
      </c>
      <c r="BH210" s="6">
        <f>IF(OR(原始資料!$A210="",59&gt;設定!$B$3,原始資料!BJ210=""),"",IF(AND(原始資料!BI210&lt;&gt;"",原始資料!BJ210=原始資料!BI210),N(BG210)+1,1))</f>
        <v/>
      </c>
      <c r="BI210" s="6">
        <f>IF(OR(原始資料!$A210="",60&gt;設定!$B$3,原始資料!BK210=""),"",IF(AND(原始資料!BJ210&lt;&gt;"",原始資料!BK210=原始資料!BJ210),N(BH210)+1,1))</f>
        <v/>
      </c>
    </row>
    <row r="211">
      <c r="A211" s="6">
        <f>IF(原始資料!$A211="","",原始資料!$A211)</f>
        <v/>
      </c>
      <c r="B211" s="6">
        <f>IF(OR(原始資料!$A211="",1&gt;設定!$B$3,原始資料!D211=""),"",1)</f>
        <v/>
      </c>
      <c r="C211" s="6">
        <f>IF(OR(原始資料!$A211="",2&gt;設定!$B$3,原始資料!E211=""),"",IF(AND(原始資料!D211&lt;&gt;"",原始資料!E211=原始資料!D211),N(B211)+1,1))</f>
        <v/>
      </c>
      <c r="D211" s="6">
        <f>IF(OR(原始資料!$A211="",3&gt;設定!$B$3,原始資料!F211=""),"",IF(AND(原始資料!E211&lt;&gt;"",原始資料!F211=原始資料!E211),N(C211)+1,1))</f>
        <v/>
      </c>
      <c r="E211" s="6">
        <f>IF(OR(原始資料!$A211="",4&gt;設定!$B$3,原始資料!G211=""),"",IF(AND(原始資料!F211&lt;&gt;"",原始資料!G211=原始資料!F211),N(D211)+1,1))</f>
        <v/>
      </c>
      <c r="F211" s="6">
        <f>IF(OR(原始資料!$A211="",5&gt;設定!$B$3,原始資料!H211=""),"",IF(AND(原始資料!G211&lt;&gt;"",原始資料!H211=原始資料!G211),N(E211)+1,1))</f>
        <v/>
      </c>
      <c r="G211" s="6">
        <f>IF(OR(原始資料!$A211="",6&gt;設定!$B$3,原始資料!I211=""),"",IF(AND(原始資料!H211&lt;&gt;"",原始資料!I211=原始資料!H211),N(F211)+1,1))</f>
        <v/>
      </c>
      <c r="H211" s="6">
        <f>IF(OR(原始資料!$A211="",7&gt;設定!$B$3,原始資料!J211=""),"",IF(AND(原始資料!I211&lt;&gt;"",原始資料!J211=原始資料!I211),N(G211)+1,1))</f>
        <v/>
      </c>
      <c r="I211" s="6">
        <f>IF(OR(原始資料!$A211="",8&gt;設定!$B$3,原始資料!K211=""),"",IF(AND(原始資料!J211&lt;&gt;"",原始資料!K211=原始資料!J211),N(H211)+1,1))</f>
        <v/>
      </c>
      <c r="J211" s="6">
        <f>IF(OR(原始資料!$A211="",9&gt;設定!$B$3,原始資料!L211=""),"",IF(AND(原始資料!K211&lt;&gt;"",原始資料!L211=原始資料!K211),N(I211)+1,1))</f>
        <v/>
      </c>
      <c r="K211" s="6">
        <f>IF(OR(原始資料!$A211="",10&gt;設定!$B$3,原始資料!M211=""),"",IF(AND(原始資料!L211&lt;&gt;"",原始資料!M211=原始資料!L211),N(J211)+1,1))</f>
        <v/>
      </c>
      <c r="L211" s="6">
        <f>IF(OR(原始資料!$A211="",11&gt;設定!$B$3,原始資料!N211=""),"",IF(AND(原始資料!M211&lt;&gt;"",原始資料!N211=原始資料!M211),N(K211)+1,1))</f>
        <v/>
      </c>
      <c r="M211" s="6">
        <f>IF(OR(原始資料!$A211="",12&gt;設定!$B$3,原始資料!O211=""),"",IF(AND(原始資料!N211&lt;&gt;"",原始資料!O211=原始資料!N211),N(L211)+1,1))</f>
        <v/>
      </c>
      <c r="N211" s="6">
        <f>IF(OR(原始資料!$A211="",13&gt;設定!$B$3,原始資料!P211=""),"",IF(AND(原始資料!O211&lt;&gt;"",原始資料!P211=原始資料!O211),N(M211)+1,1))</f>
        <v/>
      </c>
      <c r="O211" s="6">
        <f>IF(OR(原始資料!$A211="",14&gt;設定!$B$3,原始資料!Q211=""),"",IF(AND(原始資料!P211&lt;&gt;"",原始資料!Q211=原始資料!P211),N(N211)+1,1))</f>
        <v/>
      </c>
      <c r="P211" s="6">
        <f>IF(OR(原始資料!$A211="",15&gt;設定!$B$3,原始資料!R211=""),"",IF(AND(原始資料!Q211&lt;&gt;"",原始資料!R211=原始資料!Q211),N(O211)+1,1))</f>
        <v/>
      </c>
      <c r="Q211" s="6">
        <f>IF(OR(原始資料!$A211="",16&gt;設定!$B$3,原始資料!S211=""),"",IF(AND(原始資料!R211&lt;&gt;"",原始資料!S211=原始資料!R211),N(P211)+1,1))</f>
        <v/>
      </c>
      <c r="R211" s="6">
        <f>IF(OR(原始資料!$A211="",17&gt;設定!$B$3,原始資料!T211=""),"",IF(AND(原始資料!S211&lt;&gt;"",原始資料!T211=原始資料!S211),N(Q211)+1,1))</f>
        <v/>
      </c>
      <c r="S211" s="6">
        <f>IF(OR(原始資料!$A211="",18&gt;設定!$B$3,原始資料!U211=""),"",IF(AND(原始資料!T211&lt;&gt;"",原始資料!U211=原始資料!T211),N(R211)+1,1))</f>
        <v/>
      </c>
      <c r="T211" s="6">
        <f>IF(OR(原始資料!$A211="",19&gt;設定!$B$3,原始資料!V211=""),"",IF(AND(原始資料!U211&lt;&gt;"",原始資料!V211=原始資料!U211),N(S211)+1,1))</f>
        <v/>
      </c>
      <c r="U211" s="6">
        <f>IF(OR(原始資料!$A211="",20&gt;設定!$B$3,原始資料!W211=""),"",IF(AND(原始資料!V211&lt;&gt;"",原始資料!W211=原始資料!V211),N(T211)+1,1))</f>
        <v/>
      </c>
      <c r="V211" s="6">
        <f>IF(OR(原始資料!$A211="",21&gt;設定!$B$3,原始資料!X211=""),"",IF(AND(原始資料!W211&lt;&gt;"",原始資料!X211=原始資料!W211),N(U211)+1,1))</f>
        <v/>
      </c>
      <c r="W211" s="6">
        <f>IF(OR(原始資料!$A211="",22&gt;設定!$B$3,原始資料!Y211=""),"",IF(AND(原始資料!X211&lt;&gt;"",原始資料!Y211=原始資料!X211),N(V211)+1,1))</f>
        <v/>
      </c>
      <c r="X211" s="6">
        <f>IF(OR(原始資料!$A211="",23&gt;設定!$B$3,原始資料!Z211=""),"",IF(AND(原始資料!Y211&lt;&gt;"",原始資料!Z211=原始資料!Y211),N(W211)+1,1))</f>
        <v/>
      </c>
      <c r="Y211" s="6">
        <f>IF(OR(原始資料!$A211="",24&gt;設定!$B$3,原始資料!AA211=""),"",IF(AND(原始資料!Z211&lt;&gt;"",原始資料!AA211=原始資料!Z211),N(X211)+1,1))</f>
        <v/>
      </c>
      <c r="Z211" s="6">
        <f>IF(OR(原始資料!$A211="",25&gt;設定!$B$3,原始資料!AB211=""),"",IF(AND(原始資料!AA211&lt;&gt;"",原始資料!AB211=原始資料!AA211),N(Y211)+1,1))</f>
        <v/>
      </c>
      <c r="AA211" s="6">
        <f>IF(OR(原始資料!$A211="",26&gt;設定!$B$3,原始資料!AC211=""),"",IF(AND(原始資料!AB211&lt;&gt;"",原始資料!AC211=原始資料!AB211),N(Z211)+1,1))</f>
        <v/>
      </c>
      <c r="AB211" s="6">
        <f>IF(OR(原始資料!$A211="",27&gt;設定!$B$3,原始資料!AD211=""),"",IF(AND(原始資料!AC211&lt;&gt;"",原始資料!AD211=原始資料!AC211),N(AA211)+1,1))</f>
        <v/>
      </c>
      <c r="AC211" s="6">
        <f>IF(OR(原始資料!$A211="",28&gt;設定!$B$3,原始資料!AE211=""),"",IF(AND(原始資料!AD211&lt;&gt;"",原始資料!AE211=原始資料!AD211),N(AB211)+1,1))</f>
        <v/>
      </c>
      <c r="AD211" s="6">
        <f>IF(OR(原始資料!$A211="",29&gt;設定!$B$3,原始資料!AF211=""),"",IF(AND(原始資料!AE211&lt;&gt;"",原始資料!AF211=原始資料!AE211),N(AC211)+1,1))</f>
        <v/>
      </c>
      <c r="AE211" s="6">
        <f>IF(OR(原始資料!$A211="",30&gt;設定!$B$3,原始資料!AG211=""),"",IF(AND(原始資料!AF211&lt;&gt;"",原始資料!AG211=原始資料!AF211),N(AD211)+1,1))</f>
        <v/>
      </c>
      <c r="AF211" s="6">
        <f>IF(OR(原始資料!$A211="",31&gt;設定!$B$3,原始資料!AH211=""),"",IF(AND(原始資料!AG211&lt;&gt;"",原始資料!AH211=原始資料!AG211),N(AE211)+1,1))</f>
        <v/>
      </c>
      <c r="AG211" s="6">
        <f>IF(OR(原始資料!$A211="",32&gt;設定!$B$3,原始資料!AI211=""),"",IF(AND(原始資料!AH211&lt;&gt;"",原始資料!AI211=原始資料!AH211),N(AF211)+1,1))</f>
        <v/>
      </c>
      <c r="AH211" s="6">
        <f>IF(OR(原始資料!$A211="",33&gt;設定!$B$3,原始資料!AJ211=""),"",IF(AND(原始資料!AI211&lt;&gt;"",原始資料!AJ211=原始資料!AI211),N(AG211)+1,1))</f>
        <v/>
      </c>
      <c r="AI211" s="6">
        <f>IF(OR(原始資料!$A211="",34&gt;設定!$B$3,原始資料!AK211=""),"",IF(AND(原始資料!AJ211&lt;&gt;"",原始資料!AK211=原始資料!AJ211),N(AH211)+1,1))</f>
        <v/>
      </c>
      <c r="AJ211" s="6">
        <f>IF(OR(原始資料!$A211="",35&gt;設定!$B$3,原始資料!AL211=""),"",IF(AND(原始資料!AK211&lt;&gt;"",原始資料!AL211=原始資料!AK211),N(AI211)+1,1))</f>
        <v/>
      </c>
      <c r="AK211" s="6">
        <f>IF(OR(原始資料!$A211="",36&gt;設定!$B$3,原始資料!AM211=""),"",IF(AND(原始資料!AL211&lt;&gt;"",原始資料!AM211=原始資料!AL211),N(AJ211)+1,1))</f>
        <v/>
      </c>
      <c r="AL211" s="6">
        <f>IF(OR(原始資料!$A211="",37&gt;設定!$B$3,原始資料!AN211=""),"",IF(AND(原始資料!AM211&lt;&gt;"",原始資料!AN211=原始資料!AM211),N(AK211)+1,1))</f>
        <v/>
      </c>
      <c r="AM211" s="6">
        <f>IF(OR(原始資料!$A211="",38&gt;設定!$B$3,原始資料!AO211=""),"",IF(AND(原始資料!AN211&lt;&gt;"",原始資料!AO211=原始資料!AN211),N(AL211)+1,1))</f>
        <v/>
      </c>
      <c r="AN211" s="6">
        <f>IF(OR(原始資料!$A211="",39&gt;設定!$B$3,原始資料!AP211=""),"",IF(AND(原始資料!AO211&lt;&gt;"",原始資料!AP211=原始資料!AO211),N(AM211)+1,1))</f>
        <v/>
      </c>
      <c r="AO211" s="6">
        <f>IF(OR(原始資料!$A211="",40&gt;設定!$B$3,原始資料!AQ211=""),"",IF(AND(原始資料!AP211&lt;&gt;"",原始資料!AQ211=原始資料!AP211),N(AN211)+1,1))</f>
        <v/>
      </c>
      <c r="AP211" s="6">
        <f>IF(OR(原始資料!$A211="",41&gt;設定!$B$3,原始資料!AR211=""),"",IF(AND(原始資料!AQ211&lt;&gt;"",原始資料!AR211=原始資料!AQ211),N(AO211)+1,1))</f>
        <v/>
      </c>
      <c r="AQ211" s="6">
        <f>IF(OR(原始資料!$A211="",42&gt;設定!$B$3,原始資料!AS211=""),"",IF(AND(原始資料!AR211&lt;&gt;"",原始資料!AS211=原始資料!AR211),N(AP211)+1,1))</f>
        <v/>
      </c>
      <c r="AR211" s="6">
        <f>IF(OR(原始資料!$A211="",43&gt;設定!$B$3,原始資料!AT211=""),"",IF(AND(原始資料!AS211&lt;&gt;"",原始資料!AT211=原始資料!AS211),N(AQ211)+1,1))</f>
        <v/>
      </c>
      <c r="AS211" s="6">
        <f>IF(OR(原始資料!$A211="",44&gt;設定!$B$3,原始資料!AU211=""),"",IF(AND(原始資料!AT211&lt;&gt;"",原始資料!AU211=原始資料!AT211),N(AR211)+1,1))</f>
        <v/>
      </c>
      <c r="AT211" s="6">
        <f>IF(OR(原始資料!$A211="",45&gt;設定!$B$3,原始資料!AV211=""),"",IF(AND(原始資料!AU211&lt;&gt;"",原始資料!AV211=原始資料!AU211),N(AS211)+1,1))</f>
        <v/>
      </c>
      <c r="AU211" s="6">
        <f>IF(OR(原始資料!$A211="",46&gt;設定!$B$3,原始資料!AW211=""),"",IF(AND(原始資料!AV211&lt;&gt;"",原始資料!AW211=原始資料!AV211),N(AT211)+1,1))</f>
        <v/>
      </c>
      <c r="AV211" s="6">
        <f>IF(OR(原始資料!$A211="",47&gt;設定!$B$3,原始資料!AX211=""),"",IF(AND(原始資料!AW211&lt;&gt;"",原始資料!AX211=原始資料!AW211),N(AU211)+1,1))</f>
        <v/>
      </c>
      <c r="AW211" s="6">
        <f>IF(OR(原始資料!$A211="",48&gt;設定!$B$3,原始資料!AY211=""),"",IF(AND(原始資料!AX211&lt;&gt;"",原始資料!AY211=原始資料!AX211),N(AV211)+1,1))</f>
        <v/>
      </c>
      <c r="AX211" s="6">
        <f>IF(OR(原始資料!$A211="",49&gt;設定!$B$3,原始資料!AZ211=""),"",IF(AND(原始資料!AY211&lt;&gt;"",原始資料!AZ211=原始資料!AY211),N(AW211)+1,1))</f>
        <v/>
      </c>
      <c r="AY211" s="6">
        <f>IF(OR(原始資料!$A211="",50&gt;設定!$B$3,原始資料!BA211=""),"",IF(AND(原始資料!AZ211&lt;&gt;"",原始資料!BA211=原始資料!AZ211),N(AX211)+1,1))</f>
        <v/>
      </c>
      <c r="AZ211" s="6">
        <f>IF(OR(原始資料!$A211="",51&gt;設定!$B$3,原始資料!BB211=""),"",IF(AND(原始資料!BA211&lt;&gt;"",原始資料!BB211=原始資料!BA211),N(AY211)+1,1))</f>
        <v/>
      </c>
      <c r="BA211" s="6">
        <f>IF(OR(原始資料!$A211="",52&gt;設定!$B$3,原始資料!BC211=""),"",IF(AND(原始資料!BB211&lt;&gt;"",原始資料!BC211=原始資料!BB211),N(AZ211)+1,1))</f>
        <v/>
      </c>
      <c r="BB211" s="6">
        <f>IF(OR(原始資料!$A211="",53&gt;設定!$B$3,原始資料!BD211=""),"",IF(AND(原始資料!BC211&lt;&gt;"",原始資料!BD211=原始資料!BC211),N(BA211)+1,1))</f>
        <v/>
      </c>
      <c r="BC211" s="6">
        <f>IF(OR(原始資料!$A211="",54&gt;設定!$B$3,原始資料!BE211=""),"",IF(AND(原始資料!BD211&lt;&gt;"",原始資料!BE211=原始資料!BD211),N(BB211)+1,1))</f>
        <v/>
      </c>
      <c r="BD211" s="6">
        <f>IF(OR(原始資料!$A211="",55&gt;設定!$B$3,原始資料!BF211=""),"",IF(AND(原始資料!BE211&lt;&gt;"",原始資料!BF211=原始資料!BE211),N(BC211)+1,1))</f>
        <v/>
      </c>
      <c r="BE211" s="6">
        <f>IF(OR(原始資料!$A211="",56&gt;設定!$B$3,原始資料!BG211=""),"",IF(AND(原始資料!BF211&lt;&gt;"",原始資料!BG211=原始資料!BF211),N(BD211)+1,1))</f>
        <v/>
      </c>
      <c r="BF211" s="6">
        <f>IF(OR(原始資料!$A211="",57&gt;設定!$B$3,原始資料!BH211=""),"",IF(AND(原始資料!BG211&lt;&gt;"",原始資料!BH211=原始資料!BG211),N(BE211)+1,1))</f>
        <v/>
      </c>
      <c r="BG211" s="6">
        <f>IF(OR(原始資料!$A211="",58&gt;設定!$B$3,原始資料!BI211=""),"",IF(AND(原始資料!BH211&lt;&gt;"",原始資料!BI211=原始資料!BH211),N(BF211)+1,1))</f>
        <v/>
      </c>
      <c r="BH211" s="6">
        <f>IF(OR(原始資料!$A211="",59&gt;設定!$B$3,原始資料!BJ211=""),"",IF(AND(原始資料!BI211&lt;&gt;"",原始資料!BJ211=原始資料!BI211),N(BG211)+1,1))</f>
        <v/>
      </c>
      <c r="BI211" s="6">
        <f>IF(OR(原始資料!$A211="",60&gt;設定!$B$3,原始資料!BK211=""),"",IF(AND(原始資料!BJ211&lt;&gt;"",原始資料!BK211=原始資料!BJ211),N(BH211)+1,1))</f>
        <v/>
      </c>
    </row>
    <row r="212">
      <c r="A212" s="6">
        <f>IF(原始資料!$A212="","",原始資料!$A212)</f>
        <v/>
      </c>
      <c r="B212" s="6">
        <f>IF(OR(原始資料!$A212="",1&gt;設定!$B$3,原始資料!D212=""),"",1)</f>
        <v/>
      </c>
      <c r="C212" s="6">
        <f>IF(OR(原始資料!$A212="",2&gt;設定!$B$3,原始資料!E212=""),"",IF(AND(原始資料!D212&lt;&gt;"",原始資料!E212=原始資料!D212),N(B212)+1,1))</f>
        <v/>
      </c>
      <c r="D212" s="6">
        <f>IF(OR(原始資料!$A212="",3&gt;設定!$B$3,原始資料!F212=""),"",IF(AND(原始資料!E212&lt;&gt;"",原始資料!F212=原始資料!E212),N(C212)+1,1))</f>
        <v/>
      </c>
      <c r="E212" s="6">
        <f>IF(OR(原始資料!$A212="",4&gt;設定!$B$3,原始資料!G212=""),"",IF(AND(原始資料!F212&lt;&gt;"",原始資料!G212=原始資料!F212),N(D212)+1,1))</f>
        <v/>
      </c>
      <c r="F212" s="6">
        <f>IF(OR(原始資料!$A212="",5&gt;設定!$B$3,原始資料!H212=""),"",IF(AND(原始資料!G212&lt;&gt;"",原始資料!H212=原始資料!G212),N(E212)+1,1))</f>
        <v/>
      </c>
      <c r="G212" s="6">
        <f>IF(OR(原始資料!$A212="",6&gt;設定!$B$3,原始資料!I212=""),"",IF(AND(原始資料!H212&lt;&gt;"",原始資料!I212=原始資料!H212),N(F212)+1,1))</f>
        <v/>
      </c>
      <c r="H212" s="6">
        <f>IF(OR(原始資料!$A212="",7&gt;設定!$B$3,原始資料!J212=""),"",IF(AND(原始資料!I212&lt;&gt;"",原始資料!J212=原始資料!I212),N(G212)+1,1))</f>
        <v/>
      </c>
      <c r="I212" s="6">
        <f>IF(OR(原始資料!$A212="",8&gt;設定!$B$3,原始資料!K212=""),"",IF(AND(原始資料!J212&lt;&gt;"",原始資料!K212=原始資料!J212),N(H212)+1,1))</f>
        <v/>
      </c>
      <c r="J212" s="6">
        <f>IF(OR(原始資料!$A212="",9&gt;設定!$B$3,原始資料!L212=""),"",IF(AND(原始資料!K212&lt;&gt;"",原始資料!L212=原始資料!K212),N(I212)+1,1))</f>
        <v/>
      </c>
      <c r="K212" s="6">
        <f>IF(OR(原始資料!$A212="",10&gt;設定!$B$3,原始資料!M212=""),"",IF(AND(原始資料!L212&lt;&gt;"",原始資料!M212=原始資料!L212),N(J212)+1,1))</f>
        <v/>
      </c>
      <c r="L212" s="6">
        <f>IF(OR(原始資料!$A212="",11&gt;設定!$B$3,原始資料!N212=""),"",IF(AND(原始資料!M212&lt;&gt;"",原始資料!N212=原始資料!M212),N(K212)+1,1))</f>
        <v/>
      </c>
      <c r="M212" s="6">
        <f>IF(OR(原始資料!$A212="",12&gt;設定!$B$3,原始資料!O212=""),"",IF(AND(原始資料!N212&lt;&gt;"",原始資料!O212=原始資料!N212),N(L212)+1,1))</f>
        <v/>
      </c>
      <c r="N212" s="6">
        <f>IF(OR(原始資料!$A212="",13&gt;設定!$B$3,原始資料!P212=""),"",IF(AND(原始資料!O212&lt;&gt;"",原始資料!P212=原始資料!O212),N(M212)+1,1))</f>
        <v/>
      </c>
      <c r="O212" s="6">
        <f>IF(OR(原始資料!$A212="",14&gt;設定!$B$3,原始資料!Q212=""),"",IF(AND(原始資料!P212&lt;&gt;"",原始資料!Q212=原始資料!P212),N(N212)+1,1))</f>
        <v/>
      </c>
      <c r="P212" s="6">
        <f>IF(OR(原始資料!$A212="",15&gt;設定!$B$3,原始資料!R212=""),"",IF(AND(原始資料!Q212&lt;&gt;"",原始資料!R212=原始資料!Q212),N(O212)+1,1))</f>
        <v/>
      </c>
      <c r="Q212" s="6">
        <f>IF(OR(原始資料!$A212="",16&gt;設定!$B$3,原始資料!S212=""),"",IF(AND(原始資料!R212&lt;&gt;"",原始資料!S212=原始資料!R212),N(P212)+1,1))</f>
        <v/>
      </c>
      <c r="R212" s="6">
        <f>IF(OR(原始資料!$A212="",17&gt;設定!$B$3,原始資料!T212=""),"",IF(AND(原始資料!S212&lt;&gt;"",原始資料!T212=原始資料!S212),N(Q212)+1,1))</f>
        <v/>
      </c>
      <c r="S212" s="6">
        <f>IF(OR(原始資料!$A212="",18&gt;設定!$B$3,原始資料!U212=""),"",IF(AND(原始資料!T212&lt;&gt;"",原始資料!U212=原始資料!T212),N(R212)+1,1))</f>
        <v/>
      </c>
      <c r="T212" s="6">
        <f>IF(OR(原始資料!$A212="",19&gt;設定!$B$3,原始資料!V212=""),"",IF(AND(原始資料!U212&lt;&gt;"",原始資料!V212=原始資料!U212),N(S212)+1,1))</f>
        <v/>
      </c>
      <c r="U212" s="6">
        <f>IF(OR(原始資料!$A212="",20&gt;設定!$B$3,原始資料!W212=""),"",IF(AND(原始資料!V212&lt;&gt;"",原始資料!W212=原始資料!V212),N(T212)+1,1))</f>
        <v/>
      </c>
      <c r="V212" s="6">
        <f>IF(OR(原始資料!$A212="",21&gt;設定!$B$3,原始資料!X212=""),"",IF(AND(原始資料!W212&lt;&gt;"",原始資料!X212=原始資料!W212),N(U212)+1,1))</f>
        <v/>
      </c>
      <c r="W212" s="6">
        <f>IF(OR(原始資料!$A212="",22&gt;設定!$B$3,原始資料!Y212=""),"",IF(AND(原始資料!X212&lt;&gt;"",原始資料!Y212=原始資料!X212),N(V212)+1,1))</f>
        <v/>
      </c>
      <c r="X212" s="6">
        <f>IF(OR(原始資料!$A212="",23&gt;設定!$B$3,原始資料!Z212=""),"",IF(AND(原始資料!Y212&lt;&gt;"",原始資料!Z212=原始資料!Y212),N(W212)+1,1))</f>
        <v/>
      </c>
      <c r="Y212" s="6">
        <f>IF(OR(原始資料!$A212="",24&gt;設定!$B$3,原始資料!AA212=""),"",IF(AND(原始資料!Z212&lt;&gt;"",原始資料!AA212=原始資料!Z212),N(X212)+1,1))</f>
        <v/>
      </c>
      <c r="Z212" s="6">
        <f>IF(OR(原始資料!$A212="",25&gt;設定!$B$3,原始資料!AB212=""),"",IF(AND(原始資料!AA212&lt;&gt;"",原始資料!AB212=原始資料!AA212),N(Y212)+1,1))</f>
        <v/>
      </c>
      <c r="AA212" s="6">
        <f>IF(OR(原始資料!$A212="",26&gt;設定!$B$3,原始資料!AC212=""),"",IF(AND(原始資料!AB212&lt;&gt;"",原始資料!AC212=原始資料!AB212),N(Z212)+1,1))</f>
        <v/>
      </c>
      <c r="AB212" s="6">
        <f>IF(OR(原始資料!$A212="",27&gt;設定!$B$3,原始資料!AD212=""),"",IF(AND(原始資料!AC212&lt;&gt;"",原始資料!AD212=原始資料!AC212),N(AA212)+1,1))</f>
        <v/>
      </c>
      <c r="AC212" s="6">
        <f>IF(OR(原始資料!$A212="",28&gt;設定!$B$3,原始資料!AE212=""),"",IF(AND(原始資料!AD212&lt;&gt;"",原始資料!AE212=原始資料!AD212),N(AB212)+1,1))</f>
        <v/>
      </c>
      <c r="AD212" s="6">
        <f>IF(OR(原始資料!$A212="",29&gt;設定!$B$3,原始資料!AF212=""),"",IF(AND(原始資料!AE212&lt;&gt;"",原始資料!AF212=原始資料!AE212),N(AC212)+1,1))</f>
        <v/>
      </c>
      <c r="AE212" s="6">
        <f>IF(OR(原始資料!$A212="",30&gt;設定!$B$3,原始資料!AG212=""),"",IF(AND(原始資料!AF212&lt;&gt;"",原始資料!AG212=原始資料!AF212),N(AD212)+1,1))</f>
        <v/>
      </c>
      <c r="AF212" s="6">
        <f>IF(OR(原始資料!$A212="",31&gt;設定!$B$3,原始資料!AH212=""),"",IF(AND(原始資料!AG212&lt;&gt;"",原始資料!AH212=原始資料!AG212),N(AE212)+1,1))</f>
        <v/>
      </c>
      <c r="AG212" s="6">
        <f>IF(OR(原始資料!$A212="",32&gt;設定!$B$3,原始資料!AI212=""),"",IF(AND(原始資料!AH212&lt;&gt;"",原始資料!AI212=原始資料!AH212),N(AF212)+1,1))</f>
        <v/>
      </c>
      <c r="AH212" s="6">
        <f>IF(OR(原始資料!$A212="",33&gt;設定!$B$3,原始資料!AJ212=""),"",IF(AND(原始資料!AI212&lt;&gt;"",原始資料!AJ212=原始資料!AI212),N(AG212)+1,1))</f>
        <v/>
      </c>
      <c r="AI212" s="6">
        <f>IF(OR(原始資料!$A212="",34&gt;設定!$B$3,原始資料!AK212=""),"",IF(AND(原始資料!AJ212&lt;&gt;"",原始資料!AK212=原始資料!AJ212),N(AH212)+1,1))</f>
        <v/>
      </c>
      <c r="AJ212" s="6">
        <f>IF(OR(原始資料!$A212="",35&gt;設定!$B$3,原始資料!AL212=""),"",IF(AND(原始資料!AK212&lt;&gt;"",原始資料!AL212=原始資料!AK212),N(AI212)+1,1))</f>
        <v/>
      </c>
      <c r="AK212" s="6">
        <f>IF(OR(原始資料!$A212="",36&gt;設定!$B$3,原始資料!AM212=""),"",IF(AND(原始資料!AL212&lt;&gt;"",原始資料!AM212=原始資料!AL212),N(AJ212)+1,1))</f>
        <v/>
      </c>
      <c r="AL212" s="6">
        <f>IF(OR(原始資料!$A212="",37&gt;設定!$B$3,原始資料!AN212=""),"",IF(AND(原始資料!AM212&lt;&gt;"",原始資料!AN212=原始資料!AM212),N(AK212)+1,1))</f>
        <v/>
      </c>
      <c r="AM212" s="6">
        <f>IF(OR(原始資料!$A212="",38&gt;設定!$B$3,原始資料!AO212=""),"",IF(AND(原始資料!AN212&lt;&gt;"",原始資料!AO212=原始資料!AN212),N(AL212)+1,1))</f>
        <v/>
      </c>
      <c r="AN212" s="6">
        <f>IF(OR(原始資料!$A212="",39&gt;設定!$B$3,原始資料!AP212=""),"",IF(AND(原始資料!AO212&lt;&gt;"",原始資料!AP212=原始資料!AO212),N(AM212)+1,1))</f>
        <v/>
      </c>
      <c r="AO212" s="6">
        <f>IF(OR(原始資料!$A212="",40&gt;設定!$B$3,原始資料!AQ212=""),"",IF(AND(原始資料!AP212&lt;&gt;"",原始資料!AQ212=原始資料!AP212),N(AN212)+1,1))</f>
        <v/>
      </c>
      <c r="AP212" s="6">
        <f>IF(OR(原始資料!$A212="",41&gt;設定!$B$3,原始資料!AR212=""),"",IF(AND(原始資料!AQ212&lt;&gt;"",原始資料!AR212=原始資料!AQ212),N(AO212)+1,1))</f>
        <v/>
      </c>
      <c r="AQ212" s="6">
        <f>IF(OR(原始資料!$A212="",42&gt;設定!$B$3,原始資料!AS212=""),"",IF(AND(原始資料!AR212&lt;&gt;"",原始資料!AS212=原始資料!AR212),N(AP212)+1,1))</f>
        <v/>
      </c>
      <c r="AR212" s="6">
        <f>IF(OR(原始資料!$A212="",43&gt;設定!$B$3,原始資料!AT212=""),"",IF(AND(原始資料!AS212&lt;&gt;"",原始資料!AT212=原始資料!AS212),N(AQ212)+1,1))</f>
        <v/>
      </c>
      <c r="AS212" s="6">
        <f>IF(OR(原始資料!$A212="",44&gt;設定!$B$3,原始資料!AU212=""),"",IF(AND(原始資料!AT212&lt;&gt;"",原始資料!AU212=原始資料!AT212),N(AR212)+1,1))</f>
        <v/>
      </c>
      <c r="AT212" s="6">
        <f>IF(OR(原始資料!$A212="",45&gt;設定!$B$3,原始資料!AV212=""),"",IF(AND(原始資料!AU212&lt;&gt;"",原始資料!AV212=原始資料!AU212),N(AS212)+1,1))</f>
        <v/>
      </c>
      <c r="AU212" s="6">
        <f>IF(OR(原始資料!$A212="",46&gt;設定!$B$3,原始資料!AW212=""),"",IF(AND(原始資料!AV212&lt;&gt;"",原始資料!AW212=原始資料!AV212),N(AT212)+1,1))</f>
        <v/>
      </c>
      <c r="AV212" s="6">
        <f>IF(OR(原始資料!$A212="",47&gt;設定!$B$3,原始資料!AX212=""),"",IF(AND(原始資料!AW212&lt;&gt;"",原始資料!AX212=原始資料!AW212),N(AU212)+1,1))</f>
        <v/>
      </c>
      <c r="AW212" s="6">
        <f>IF(OR(原始資料!$A212="",48&gt;設定!$B$3,原始資料!AY212=""),"",IF(AND(原始資料!AX212&lt;&gt;"",原始資料!AY212=原始資料!AX212),N(AV212)+1,1))</f>
        <v/>
      </c>
      <c r="AX212" s="6">
        <f>IF(OR(原始資料!$A212="",49&gt;設定!$B$3,原始資料!AZ212=""),"",IF(AND(原始資料!AY212&lt;&gt;"",原始資料!AZ212=原始資料!AY212),N(AW212)+1,1))</f>
        <v/>
      </c>
      <c r="AY212" s="6">
        <f>IF(OR(原始資料!$A212="",50&gt;設定!$B$3,原始資料!BA212=""),"",IF(AND(原始資料!AZ212&lt;&gt;"",原始資料!BA212=原始資料!AZ212),N(AX212)+1,1))</f>
        <v/>
      </c>
      <c r="AZ212" s="6">
        <f>IF(OR(原始資料!$A212="",51&gt;設定!$B$3,原始資料!BB212=""),"",IF(AND(原始資料!BA212&lt;&gt;"",原始資料!BB212=原始資料!BA212),N(AY212)+1,1))</f>
        <v/>
      </c>
      <c r="BA212" s="6">
        <f>IF(OR(原始資料!$A212="",52&gt;設定!$B$3,原始資料!BC212=""),"",IF(AND(原始資料!BB212&lt;&gt;"",原始資料!BC212=原始資料!BB212),N(AZ212)+1,1))</f>
        <v/>
      </c>
      <c r="BB212" s="6">
        <f>IF(OR(原始資料!$A212="",53&gt;設定!$B$3,原始資料!BD212=""),"",IF(AND(原始資料!BC212&lt;&gt;"",原始資料!BD212=原始資料!BC212),N(BA212)+1,1))</f>
        <v/>
      </c>
      <c r="BC212" s="6">
        <f>IF(OR(原始資料!$A212="",54&gt;設定!$B$3,原始資料!BE212=""),"",IF(AND(原始資料!BD212&lt;&gt;"",原始資料!BE212=原始資料!BD212),N(BB212)+1,1))</f>
        <v/>
      </c>
      <c r="BD212" s="6">
        <f>IF(OR(原始資料!$A212="",55&gt;設定!$B$3,原始資料!BF212=""),"",IF(AND(原始資料!BE212&lt;&gt;"",原始資料!BF212=原始資料!BE212),N(BC212)+1,1))</f>
        <v/>
      </c>
      <c r="BE212" s="6">
        <f>IF(OR(原始資料!$A212="",56&gt;設定!$B$3,原始資料!BG212=""),"",IF(AND(原始資料!BF212&lt;&gt;"",原始資料!BG212=原始資料!BF212),N(BD212)+1,1))</f>
        <v/>
      </c>
      <c r="BF212" s="6">
        <f>IF(OR(原始資料!$A212="",57&gt;設定!$B$3,原始資料!BH212=""),"",IF(AND(原始資料!BG212&lt;&gt;"",原始資料!BH212=原始資料!BG212),N(BE212)+1,1))</f>
        <v/>
      </c>
      <c r="BG212" s="6">
        <f>IF(OR(原始資料!$A212="",58&gt;設定!$B$3,原始資料!BI212=""),"",IF(AND(原始資料!BH212&lt;&gt;"",原始資料!BI212=原始資料!BH212),N(BF212)+1,1))</f>
        <v/>
      </c>
      <c r="BH212" s="6">
        <f>IF(OR(原始資料!$A212="",59&gt;設定!$B$3,原始資料!BJ212=""),"",IF(AND(原始資料!BI212&lt;&gt;"",原始資料!BJ212=原始資料!BI212),N(BG212)+1,1))</f>
        <v/>
      </c>
      <c r="BI212" s="6">
        <f>IF(OR(原始資料!$A212="",60&gt;設定!$B$3,原始資料!BK212=""),"",IF(AND(原始資料!BJ212&lt;&gt;"",原始資料!BK212=原始資料!BJ212),N(BH212)+1,1))</f>
        <v/>
      </c>
    </row>
    <row r="213">
      <c r="A213" s="6">
        <f>IF(原始資料!$A213="","",原始資料!$A213)</f>
        <v/>
      </c>
      <c r="B213" s="6">
        <f>IF(OR(原始資料!$A213="",1&gt;設定!$B$3,原始資料!D213=""),"",1)</f>
        <v/>
      </c>
      <c r="C213" s="6">
        <f>IF(OR(原始資料!$A213="",2&gt;設定!$B$3,原始資料!E213=""),"",IF(AND(原始資料!D213&lt;&gt;"",原始資料!E213=原始資料!D213),N(B213)+1,1))</f>
        <v/>
      </c>
      <c r="D213" s="6">
        <f>IF(OR(原始資料!$A213="",3&gt;設定!$B$3,原始資料!F213=""),"",IF(AND(原始資料!E213&lt;&gt;"",原始資料!F213=原始資料!E213),N(C213)+1,1))</f>
        <v/>
      </c>
      <c r="E213" s="6">
        <f>IF(OR(原始資料!$A213="",4&gt;設定!$B$3,原始資料!G213=""),"",IF(AND(原始資料!F213&lt;&gt;"",原始資料!G213=原始資料!F213),N(D213)+1,1))</f>
        <v/>
      </c>
      <c r="F213" s="6">
        <f>IF(OR(原始資料!$A213="",5&gt;設定!$B$3,原始資料!H213=""),"",IF(AND(原始資料!G213&lt;&gt;"",原始資料!H213=原始資料!G213),N(E213)+1,1))</f>
        <v/>
      </c>
      <c r="G213" s="6">
        <f>IF(OR(原始資料!$A213="",6&gt;設定!$B$3,原始資料!I213=""),"",IF(AND(原始資料!H213&lt;&gt;"",原始資料!I213=原始資料!H213),N(F213)+1,1))</f>
        <v/>
      </c>
      <c r="H213" s="6">
        <f>IF(OR(原始資料!$A213="",7&gt;設定!$B$3,原始資料!J213=""),"",IF(AND(原始資料!I213&lt;&gt;"",原始資料!J213=原始資料!I213),N(G213)+1,1))</f>
        <v/>
      </c>
      <c r="I213" s="6">
        <f>IF(OR(原始資料!$A213="",8&gt;設定!$B$3,原始資料!K213=""),"",IF(AND(原始資料!J213&lt;&gt;"",原始資料!K213=原始資料!J213),N(H213)+1,1))</f>
        <v/>
      </c>
      <c r="J213" s="6">
        <f>IF(OR(原始資料!$A213="",9&gt;設定!$B$3,原始資料!L213=""),"",IF(AND(原始資料!K213&lt;&gt;"",原始資料!L213=原始資料!K213),N(I213)+1,1))</f>
        <v/>
      </c>
      <c r="K213" s="6">
        <f>IF(OR(原始資料!$A213="",10&gt;設定!$B$3,原始資料!M213=""),"",IF(AND(原始資料!L213&lt;&gt;"",原始資料!M213=原始資料!L213),N(J213)+1,1))</f>
        <v/>
      </c>
      <c r="L213" s="6">
        <f>IF(OR(原始資料!$A213="",11&gt;設定!$B$3,原始資料!N213=""),"",IF(AND(原始資料!M213&lt;&gt;"",原始資料!N213=原始資料!M213),N(K213)+1,1))</f>
        <v/>
      </c>
      <c r="M213" s="6">
        <f>IF(OR(原始資料!$A213="",12&gt;設定!$B$3,原始資料!O213=""),"",IF(AND(原始資料!N213&lt;&gt;"",原始資料!O213=原始資料!N213),N(L213)+1,1))</f>
        <v/>
      </c>
      <c r="N213" s="6">
        <f>IF(OR(原始資料!$A213="",13&gt;設定!$B$3,原始資料!P213=""),"",IF(AND(原始資料!O213&lt;&gt;"",原始資料!P213=原始資料!O213),N(M213)+1,1))</f>
        <v/>
      </c>
      <c r="O213" s="6">
        <f>IF(OR(原始資料!$A213="",14&gt;設定!$B$3,原始資料!Q213=""),"",IF(AND(原始資料!P213&lt;&gt;"",原始資料!Q213=原始資料!P213),N(N213)+1,1))</f>
        <v/>
      </c>
      <c r="P213" s="6">
        <f>IF(OR(原始資料!$A213="",15&gt;設定!$B$3,原始資料!R213=""),"",IF(AND(原始資料!Q213&lt;&gt;"",原始資料!R213=原始資料!Q213),N(O213)+1,1))</f>
        <v/>
      </c>
      <c r="Q213" s="6">
        <f>IF(OR(原始資料!$A213="",16&gt;設定!$B$3,原始資料!S213=""),"",IF(AND(原始資料!R213&lt;&gt;"",原始資料!S213=原始資料!R213),N(P213)+1,1))</f>
        <v/>
      </c>
      <c r="R213" s="6">
        <f>IF(OR(原始資料!$A213="",17&gt;設定!$B$3,原始資料!T213=""),"",IF(AND(原始資料!S213&lt;&gt;"",原始資料!T213=原始資料!S213),N(Q213)+1,1))</f>
        <v/>
      </c>
      <c r="S213" s="6">
        <f>IF(OR(原始資料!$A213="",18&gt;設定!$B$3,原始資料!U213=""),"",IF(AND(原始資料!T213&lt;&gt;"",原始資料!U213=原始資料!T213),N(R213)+1,1))</f>
        <v/>
      </c>
      <c r="T213" s="6">
        <f>IF(OR(原始資料!$A213="",19&gt;設定!$B$3,原始資料!V213=""),"",IF(AND(原始資料!U213&lt;&gt;"",原始資料!V213=原始資料!U213),N(S213)+1,1))</f>
        <v/>
      </c>
      <c r="U213" s="6">
        <f>IF(OR(原始資料!$A213="",20&gt;設定!$B$3,原始資料!W213=""),"",IF(AND(原始資料!V213&lt;&gt;"",原始資料!W213=原始資料!V213),N(T213)+1,1))</f>
        <v/>
      </c>
      <c r="V213" s="6">
        <f>IF(OR(原始資料!$A213="",21&gt;設定!$B$3,原始資料!X213=""),"",IF(AND(原始資料!W213&lt;&gt;"",原始資料!X213=原始資料!W213),N(U213)+1,1))</f>
        <v/>
      </c>
      <c r="W213" s="6">
        <f>IF(OR(原始資料!$A213="",22&gt;設定!$B$3,原始資料!Y213=""),"",IF(AND(原始資料!X213&lt;&gt;"",原始資料!Y213=原始資料!X213),N(V213)+1,1))</f>
        <v/>
      </c>
      <c r="X213" s="6">
        <f>IF(OR(原始資料!$A213="",23&gt;設定!$B$3,原始資料!Z213=""),"",IF(AND(原始資料!Y213&lt;&gt;"",原始資料!Z213=原始資料!Y213),N(W213)+1,1))</f>
        <v/>
      </c>
      <c r="Y213" s="6">
        <f>IF(OR(原始資料!$A213="",24&gt;設定!$B$3,原始資料!AA213=""),"",IF(AND(原始資料!Z213&lt;&gt;"",原始資料!AA213=原始資料!Z213),N(X213)+1,1))</f>
        <v/>
      </c>
      <c r="Z213" s="6">
        <f>IF(OR(原始資料!$A213="",25&gt;設定!$B$3,原始資料!AB213=""),"",IF(AND(原始資料!AA213&lt;&gt;"",原始資料!AB213=原始資料!AA213),N(Y213)+1,1))</f>
        <v/>
      </c>
      <c r="AA213" s="6">
        <f>IF(OR(原始資料!$A213="",26&gt;設定!$B$3,原始資料!AC213=""),"",IF(AND(原始資料!AB213&lt;&gt;"",原始資料!AC213=原始資料!AB213),N(Z213)+1,1))</f>
        <v/>
      </c>
      <c r="AB213" s="6">
        <f>IF(OR(原始資料!$A213="",27&gt;設定!$B$3,原始資料!AD213=""),"",IF(AND(原始資料!AC213&lt;&gt;"",原始資料!AD213=原始資料!AC213),N(AA213)+1,1))</f>
        <v/>
      </c>
      <c r="AC213" s="6">
        <f>IF(OR(原始資料!$A213="",28&gt;設定!$B$3,原始資料!AE213=""),"",IF(AND(原始資料!AD213&lt;&gt;"",原始資料!AE213=原始資料!AD213),N(AB213)+1,1))</f>
        <v/>
      </c>
      <c r="AD213" s="6">
        <f>IF(OR(原始資料!$A213="",29&gt;設定!$B$3,原始資料!AF213=""),"",IF(AND(原始資料!AE213&lt;&gt;"",原始資料!AF213=原始資料!AE213),N(AC213)+1,1))</f>
        <v/>
      </c>
      <c r="AE213" s="6">
        <f>IF(OR(原始資料!$A213="",30&gt;設定!$B$3,原始資料!AG213=""),"",IF(AND(原始資料!AF213&lt;&gt;"",原始資料!AG213=原始資料!AF213),N(AD213)+1,1))</f>
        <v/>
      </c>
      <c r="AF213" s="6">
        <f>IF(OR(原始資料!$A213="",31&gt;設定!$B$3,原始資料!AH213=""),"",IF(AND(原始資料!AG213&lt;&gt;"",原始資料!AH213=原始資料!AG213),N(AE213)+1,1))</f>
        <v/>
      </c>
      <c r="AG213" s="6">
        <f>IF(OR(原始資料!$A213="",32&gt;設定!$B$3,原始資料!AI213=""),"",IF(AND(原始資料!AH213&lt;&gt;"",原始資料!AI213=原始資料!AH213),N(AF213)+1,1))</f>
        <v/>
      </c>
      <c r="AH213" s="6">
        <f>IF(OR(原始資料!$A213="",33&gt;設定!$B$3,原始資料!AJ213=""),"",IF(AND(原始資料!AI213&lt;&gt;"",原始資料!AJ213=原始資料!AI213),N(AG213)+1,1))</f>
        <v/>
      </c>
      <c r="AI213" s="6">
        <f>IF(OR(原始資料!$A213="",34&gt;設定!$B$3,原始資料!AK213=""),"",IF(AND(原始資料!AJ213&lt;&gt;"",原始資料!AK213=原始資料!AJ213),N(AH213)+1,1))</f>
        <v/>
      </c>
      <c r="AJ213" s="6">
        <f>IF(OR(原始資料!$A213="",35&gt;設定!$B$3,原始資料!AL213=""),"",IF(AND(原始資料!AK213&lt;&gt;"",原始資料!AL213=原始資料!AK213),N(AI213)+1,1))</f>
        <v/>
      </c>
      <c r="AK213" s="6">
        <f>IF(OR(原始資料!$A213="",36&gt;設定!$B$3,原始資料!AM213=""),"",IF(AND(原始資料!AL213&lt;&gt;"",原始資料!AM213=原始資料!AL213),N(AJ213)+1,1))</f>
        <v/>
      </c>
      <c r="AL213" s="6">
        <f>IF(OR(原始資料!$A213="",37&gt;設定!$B$3,原始資料!AN213=""),"",IF(AND(原始資料!AM213&lt;&gt;"",原始資料!AN213=原始資料!AM213),N(AK213)+1,1))</f>
        <v/>
      </c>
      <c r="AM213" s="6">
        <f>IF(OR(原始資料!$A213="",38&gt;設定!$B$3,原始資料!AO213=""),"",IF(AND(原始資料!AN213&lt;&gt;"",原始資料!AO213=原始資料!AN213),N(AL213)+1,1))</f>
        <v/>
      </c>
      <c r="AN213" s="6">
        <f>IF(OR(原始資料!$A213="",39&gt;設定!$B$3,原始資料!AP213=""),"",IF(AND(原始資料!AO213&lt;&gt;"",原始資料!AP213=原始資料!AO213),N(AM213)+1,1))</f>
        <v/>
      </c>
      <c r="AO213" s="6">
        <f>IF(OR(原始資料!$A213="",40&gt;設定!$B$3,原始資料!AQ213=""),"",IF(AND(原始資料!AP213&lt;&gt;"",原始資料!AQ213=原始資料!AP213),N(AN213)+1,1))</f>
        <v/>
      </c>
      <c r="AP213" s="6">
        <f>IF(OR(原始資料!$A213="",41&gt;設定!$B$3,原始資料!AR213=""),"",IF(AND(原始資料!AQ213&lt;&gt;"",原始資料!AR213=原始資料!AQ213),N(AO213)+1,1))</f>
        <v/>
      </c>
      <c r="AQ213" s="6">
        <f>IF(OR(原始資料!$A213="",42&gt;設定!$B$3,原始資料!AS213=""),"",IF(AND(原始資料!AR213&lt;&gt;"",原始資料!AS213=原始資料!AR213),N(AP213)+1,1))</f>
        <v/>
      </c>
      <c r="AR213" s="6">
        <f>IF(OR(原始資料!$A213="",43&gt;設定!$B$3,原始資料!AT213=""),"",IF(AND(原始資料!AS213&lt;&gt;"",原始資料!AT213=原始資料!AS213),N(AQ213)+1,1))</f>
        <v/>
      </c>
      <c r="AS213" s="6">
        <f>IF(OR(原始資料!$A213="",44&gt;設定!$B$3,原始資料!AU213=""),"",IF(AND(原始資料!AT213&lt;&gt;"",原始資料!AU213=原始資料!AT213),N(AR213)+1,1))</f>
        <v/>
      </c>
      <c r="AT213" s="6">
        <f>IF(OR(原始資料!$A213="",45&gt;設定!$B$3,原始資料!AV213=""),"",IF(AND(原始資料!AU213&lt;&gt;"",原始資料!AV213=原始資料!AU213),N(AS213)+1,1))</f>
        <v/>
      </c>
      <c r="AU213" s="6">
        <f>IF(OR(原始資料!$A213="",46&gt;設定!$B$3,原始資料!AW213=""),"",IF(AND(原始資料!AV213&lt;&gt;"",原始資料!AW213=原始資料!AV213),N(AT213)+1,1))</f>
        <v/>
      </c>
      <c r="AV213" s="6">
        <f>IF(OR(原始資料!$A213="",47&gt;設定!$B$3,原始資料!AX213=""),"",IF(AND(原始資料!AW213&lt;&gt;"",原始資料!AX213=原始資料!AW213),N(AU213)+1,1))</f>
        <v/>
      </c>
      <c r="AW213" s="6">
        <f>IF(OR(原始資料!$A213="",48&gt;設定!$B$3,原始資料!AY213=""),"",IF(AND(原始資料!AX213&lt;&gt;"",原始資料!AY213=原始資料!AX213),N(AV213)+1,1))</f>
        <v/>
      </c>
      <c r="AX213" s="6">
        <f>IF(OR(原始資料!$A213="",49&gt;設定!$B$3,原始資料!AZ213=""),"",IF(AND(原始資料!AY213&lt;&gt;"",原始資料!AZ213=原始資料!AY213),N(AW213)+1,1))</f>
        <v/>
      </c>
      <c r="AY213" s="6">
        <f>IF(OR(原始資料!$A213="",50&gt;設定!$B$3,原始資料!BA213=""),"",IF(AND(原始資料!AZ213&lt;&gt;"",原始資料!BA213=原始資料!AZ213),N(AX213)+1,1))</f>
        <v/>
      </c>
      <c r="AZ213" s="6">
        <f>IF(OR(原始資料!$A213="",51&gt;設定!$B$3,原始資料!BB213=""),"",IF(AND(原始資料!BA213&lt;&gt;"",原始資料!BB213=原始資料!BA213),N(AY213)+1,1))</f>
        <v/>
      </c>
      <c r="BA213" s="6">
        <f>IF(OR(原始資料!$A213="",52&gt;設定!$B$3,原始資料!BC213=""),"",IF(AND(原始資料!BB213&lt;&gt;"",原始資料!BC213=原始資料!BB213),N(AZ213)+1,1))</f>
        <v/>
      </c>
      <c r="BB213" s="6">
        <f>IF(OR(原始資料!$A213="",53&gt;設定!$B$3,原始資料!BD213=""),"",IF(AND(原始資料!BC213&lt;&gt;"",原始資料!BD213=原始資料!BC213),N(BA213)+1,1))</f>
        <v/>
      </c>
      <c r="BC213" s="6">
        <f>IF(OR(原始資料!$A213="",54&gt;設定!$B$3,原始資料!BE213=""),"",IF(AND(原始資料!BD213&lt;&gt;"",原始資料!BE213=原始資料!BD213),N(BB213)+1,1))</f>
        <v/>
      </c>
      <c r="BD213" s="6">
        <f>IF(OR(原始資料!$A213="",55&gt;設定!$B$3,原始資料!BF213=""),"",IF(AND(原始資料!BE213&lt;&gt;"",原始資料!BF213=原始資料!BE213),N(BC213)+1,1))</f>
        <v/>
      </c>
      <c r="BE213" s="6">
        <f>IF(OR(原始資料!$A213="",56&gt;設定!$B$3,原始資料!BG213=""),"",IF(AND(原始資料!BF213&lt;&gt;"",原始資料!BG213=原始資料!BF213),N(BD213)+1,1))</f>
        <v/>
      </c>
      <c r="BF213" s="6">
        <f>IF(OR(原始資料!$A213="",57&gt;設定!$B$3,原始資料!BH213=""),"",IF(AND(原始資料!BG213&lt;&gt;"",原始資料!BH213=原始資料!BG213),N(BE213)+1,1))</f>
        <v/>
      </c>
      <c r="BG213" s="6">
        <f>IF(OR(原始資料!$A213="",58&gt;設定!$B$3,原始資料!BI213=""),"",IF(AND(原始資料!BH213&lt;&gt;"",原始資料!BI213=原始資料!BH213),N(BF213)+1,1))</f>
        <v/>
      </c>
      <c r="BH213" s="6">
        <f>IF(OR(原始資料!$A213="",59&gt;設定!$B$3,原始資料!BJ213=""),"",IF(AND(原始資料!BI213&lt;&gt;"",原始資料!BJ213=原始資料!BI213),N(BG213)+1,1))</f>
        <v/>
      </c>
      <c r="BI213" s="6">
        <f>IF(OR(原始資料!$A213="",60&gt;設定!$B$3,原始資料!BK213=""),"",IF(AND(原始資料!BJ213&lt;&gt;"",原始資料!BK213=原始資料!BJ213),N(BH213)+1,1))</f>
        <v/>
      </c>
    </row>
    <row r="214">
      <c r="A214" s="6">
        <f>IF(原始資料!$A214="","",原始資料!$A214)</f>
        <v/>
      </c>
      <c r="B214" s="6">
        <f>IF(OR(原始資料!$A214="",1&gt;設定!$B$3,原始資料!D214=""),"",1)</f>
        <v/>
      </c>
      <c r="C214" s="6">
        <f>IF(OR(原始資料!$A214="",2&gt;設定!$B$3,原始資料!E214=""),"",IF(AND(原始資料!D214&lt;&gt;"",原始資料!E214=原始資料!D214),N(B214)+1,1))</f>
        <v/>
      </c>
      <c r="D214" s="6">
        <f>IF(OR(原始資料!$A214="",3&gt;設定!$B$3,原始資料!F214=""),"",IF(AND(原始資料!E214&lt;&gt;"",原始資料!F214=原始資料!E214),N(C214)+1,1))</f>
        <v/>
      </c>
      <c r="E214" s="6">
        <f>IF(OR(原始資料!$A214="",4&gt;設定!$B$3,原始資料!G214=""),"",IF(AND(原始資料!F214&lt;&gt;"",原始資料!G214=原始資料!F214),N(D214)+1,1))</f>
        <v/>
      </c>
      <c r="F214" s="6">
        <f>IF(OR(原始資料!$A214="",5&gt;設定!$B$3,原始資料!H214=""),"",IF(AND(原始資料!G214&lt;&gt;"",原始資料!H214=原始資料!G214),N(E214)+1,1))</f>
        <v/>
      </c>
      <c r="G214" s="6">
        <f>IF(OR(原始資料!$A214="",6&gt;設定!$B$3,原始資料!I214=""),"",IF(AND(原始資料!H214&lt;&gt;"",原始資料!I214=原始資料!H214),N(F214)+1,1))</f>
        <v/>
      </c>
      <c r="H214" s="6">
        <f>IF(OR(原始資料!$A214="",7&gt;設定!$B$3,原始資料!J214=""),"",IF(AND(原始資料!I214&lt;&gt;"",原始資料!J214=原始資料!I214),N(G214)+1,1))</f>
        <v/>
      </c>
      <c r="I214" s="6">
        <f>IF(OR(原始資料!$A214="",8&gt;設定!$B$3,原始資料!K214=""),"",IF(AND(原始資料!J214&lt;&gt;"",原始資料!K214=原始資料!J214),N(H214)+1,1))</f>
        <v/>
      </c>
      <c r="J214" s="6">
        <f>IF(OR(原始資料!$A214="",9&gt;設定!$B$3,原始資料!L214=""),"",IF(AND(原始資料!K214&lt;&gt;"",原始資料!L214=原始資料!K214),N(I214)+1,1))</f>
        <v/>
      </c>
      <c r="K214" s="6">
        <f>IF(OR(原始資料!$A214="",10&gt;設定!$B$3,原始資料!M214=""),"",IF(AND(原始資料!L214&lt;&gt;"",原始資料!M214=原始資料!L214),N(J214)+1,1))</f>
        <v/>
      </c>
      <c r="L214" s="6">
        <f>IF(OR(原始資料!$A214="",11&gt;設定!$B$3,原始資料!N214=""),"",IF(AND(原始資料!M214&lt;&gt;"",原始資料!N214=原始資料!M214),N(K214)+1,1))</f>
        <v/>
      </c>
      <c r="M214" s="6">
        <f>IF(OR(原始資料!$A214="",12&gt;設定!$B$3,原始資料!O214=""),"",IF(AND(原始資料!N214&lt;&gt;"",原始資料!O214=原始資料!N214),N(L214)+1,1))</f>
        <v/>
      </c>
      <c r="N214" s="6">
        <f>IF(OR(原始資料!$A214="",13&gt;設定!$B$3,原始資料!P214=""),"",IF(AND(原始資料!O214&lt;&gt;"",原始資料!P214=原始資料!O214),N(M214)+1,1))</f>
        <v/>
      </c>
      <c r="O214" s="6">
        <f>IF(OR(原始資料!$A214="",14&gt;設定!$B$3,原始資料!Q214=""),"",IF(AND(原始資料!P214&lt;&gt;"",原始資料!Q214=原始資料!P214),N(N214)+1,1))</f>
        <v/>
      </c>
      <c r="P214" s="6">
        <f>IF(OR(原始資料!$A214="",15&gt;設定!$B$3,原始資料!R214=""),"",IF(AND(原始資料!Q214&lt;&gt;"",原始資料!R214=原始資料!Q214),N(O214)+1,1))</f>
        <v/>
      </c>
      <c r="Q214" s="6">
        <f>IF(OR(原始資料!$A214="",16&gt;設定!$B$3,原始資料!S214=""),"",IF(AND(原始資料!R214&lt;&gt;"",原始資料!S214=原始資料!R214),N(P214)+1,1))</f>
        <v/>
      </c>
      <c r="R214" s="6">
        <f>IF(OR(原始資料!$A214="",17&gt;設定!$B$3,原始資料!T214=""),"",IF(AND(原始資料!S214&lt;&gt;"",原始資料!T214=原始資料!S214),N(Q214)+1,1))</f>
        <v/>
      </c>
      <c r="S214" s="6">
        <f>IF(OR(原始資料!$A214="",18&gt;設定!$B$3,原始資料!U214=""),"",IF(AND(原始資料!T214&lt;&gt;"",原始資料!U214=原始資料!T214),N(R214)+1,1))</f>
        <v/>
      </c>
      <c r="T214" s="6">
        <f>IF(OR(原始資料!$A214="",19&gt;設定!$B$3,原始資料!V214=""),"",IF(AND(原始資料!U214&lt;&gt;"",原始資料!V214=原始資料!U214),N(S214)+1,1))</f>
        <v/>
      </c>
      <c r="U214" s="6">
        <f>IF(OR(原始資料!$A214="",20&gt;設定!$B$3,原始資料!W214=""),"",IF(AND(原始資料!V214&lt;&gt;"",原始資料!W214=原始資料!V214),N(T214)+1,1))</f>
        <v/>
      </c>
      <c r="V214" s="6">
        <f>IF(OR(原始資料!$A214="",21&gt;設定!$B$3,原始資料!X214=""),"",IF(AND(原始資料!W214&lt;&gt;"",原始資料!X214=原始資料!W214),N(U214)+1,1))</f>
        <v/>
      </c>
      <c r="W214" s="6">
        <f>IF(OR(原始資料!$A214="",22&gt;設定!$B$3,原始資料!Y214=""),"",IF(AND(原始資料!X214&lt;&gt;"",原始資料!Y214=原始資料!X214),N(V214)+1,1))</f>
        <v/>
      </c>
      <c r="X214" s="6">
        <f>IF(OR(原始資料!$A214="",23&gt;設定!$B$3,原始資料!Z214=""),"",IF(AND(原始資料!Y214&lt;&gt;"",原始資料!Z214=原始資料!Y214),N(W214)+1,1))</f>
        <v/>
      </c>
      <c r="Y214" s="6">
        <f>IF(OR(原始資料!$A214="",24&gt;設定!$B$3,原始資料!AA214=""),"",IF(AND(原始資料!Z214&lt;&gt;"",原始資料!AA214=原始資料!Z214),N(X214)+1,1))</f>
        <v/>
      </c>
      <c r="Z214" s="6">
        <f>IF(OR(原始資料!$A214="",25&gt;設定!$B$3,原始資料!AB214=""),"",IF(AND(原始資料!AA214&lt;&gt;"",原始資料!AB214=原始資料!AA214),N(Y214)+1,1))</f>
        <v/>
      </c>
      <c r="AA214" s="6">
        <f>IF(OR(原始資料!$A214="",26&gt;設定!$B$3,原始資料!AC214=""),"",IF(AND(原始資料!AB214&lt;&gt;"",原始資料!AC214=原始資料!AB214),N(Z214)+1,1))</f>
        <v/>
      </c>
      <c r="AB214" s="6">
        <f>IF(OR(原始資料!$A214="",27&gt;設定!$B$3,原始資料!AD214=""),"",IF(AND(原始資料!AC214&lt;&gt;"",原始資料!AD214=原始資料!AC214),N(AA214)+1,1))</f>
        <v/>
      </c>
      <c r="AC214" s="6">
        <f>IF(OR(原始資料!$A214="",28&gt;設定!$B$3,原始資料!AE214=""),"",IF(AND(原始資料!AD214&lt;&gt;"",原始資料!AE214=原始資料!AD214),N(AB214)+1,1))</f>
        <v/>
      </c>
      <c r="AD214" s="6">
        <f>IF(OR(原始資料!$A214="",29&gt;設定!$B$3,原始資料!AF214=""),"",IF(AND(原始資料!AE214&lt;&gt;"",原始資料!AF214=原始資料!AE214),N(AC214)+1,1))</f>
        <v/>
      </c>
      <c r="AE214" s="6">
        <f>IF(OR(原始資料!$A214="",30&gt;設定!$B$3,原始資料!AG214=""),"",IF(AND(原始資料!AF214&lt;&gt;"",原始資料!AG214=原始資料!AF214),N(AD214)+1,1))</f>
        <v/>
      </c>
      <c r="AF214" s="6">
        <f>IF(OR(原始資料!$A214="",31&gt;設定!$B$3,原始資料!AH214=""),"",IF(AND(原始資料!AG214&lt;&gt;"",原始資料!AH214=原始資料!AG214),N(AE214)+1,1))</f>
        <v/>
      </c>
      <c r="AG214" s="6">
        <f>IF(OR(原始資料!$A214="",32&gt;設定!$B$3,原始資料!AI214=""),"",IF(AND(原始資料!AH214&lt;&gt;"",原始資料!AI214=原始資料!AH214),N(AF214)+1,1))</f>
        <v/>
      </c>
      <c r="AH214" s="6">
        <f>IF(OR(原始資料!$A214="",33&gt;設定!$B$3,原始資料!AJ214=""),"",IF(AND(原始資料!AI214&lt;&gt;"",原始資料!AJ214=原始資料!AI214),N(AG214)+1,1))</f>
        <v/>
      </c>
      <c r="AI214" s="6">
        <f>IF(OR(原始資料!$A214="",34&gt;設定!$B$3,原始資料!AK214=""),"",IF(AND(原始資料!AJ214&lt;&gt;"",原始資料!AK214=原始資料!AJ214),N(AH214)+1,1))</f>
        <v/>
      </c>
      <c r="AJ214" s="6">
        <f>IF(OR(原始資料!$A214="",35&gt;設定!$B$3,原始資料!AL214=""),"",IF(AND(原始資料!AK214&lt;&gt;"",原始資料!AL214=原始資料!AK214),N(AI214)+1,1))</f>
        <v/>
      </c>
      <c r="AK214" s="6">
        <f>IF(OR(原始資料!$A214="",36&gt;設定!$B$3,原始資料!AM214=""),"",IF(AND(原始資料!AL214&lt;&gt;"",原始資料!AM214=原始資料!AL214),N(AJ214)+1,1))</f>
        <v/>
      </c>
      <c r="AL214" s="6">
        <f>IF(OR(原始資料!$A214="",37&gt;設定!$B$3,原始資料!AN214=""),"",IF(AND(原始資料!AM214&lt;&gt;"",原始資料!AN214=原始資料!AM214),N(AK214)+1,1))</f>
        <v/>
      </c>
      <c r="AM214" s="6">
        <f>IF(OR(原始資料!$A214="",38&gt;設定!$B$3,原始資料!AO214=""),"",IF(AND(原始資料!AN214&lt;&gt;"",原始資料!AO214=原始資料!AN214),N(AL214)+1,1))</f>
        <v/>
      </c>
      <c r="AN214" s="6">
        <f>IF(OR(原始資料!$A214="",39&gt;設定!$B$3,原始資料!AP214=""),"",IF(AND(原始資料!AO214&lt;&gt;"",原始資料!AP214=原始資料!AO214),N(AM214)+1,1))</f>
        <v/>
      </c>
      <c r="AO214" s="6">
        <f>IF(OR(原始資料!$A214="",40&gt;設定!$B$3,原始資料!AQ214=""),"",IF(AND(原始資料!AP214&lt;&gt;"",原始資料!AQ214=原始資料!AP214),N(AN214)+1,1))</f>
        <v/>
      </c>
      <c r="AP214" s="6">
        <f>IF(OR(原始資料!$A214="",41&gt;設定!$B$3,原始資料!AR214=""),"",IF(AND(原始資料!AQ214&lt;&gt;"",原始資料!AR214=原始資料!AQ214),N(AO214)+1,1))</f>
        <v/>
      </c>
      <c r="AQ214" s="6">
        <f>IF(OR(原始資料!$A214="",42&gt;設定!$B$3,原始資料!AS214=""),"",IF(AND(原始資料!AR214&lt;&gt;"",原始資料!AS214=原始資料!AR214),N(AP214)+1,1))</f>
        <v/>
      </c>
      <c r="AR214" s="6">
        <f>IF(OR(原始資料!$A214="",43&gt;設定!$B$3,原始資料!AT214=""),"",IF(AND(原始資料!AS214&lt;&gt;"",原始資料!AT214=原始資料!AS214),N(AQ214)+1,1))</f>
        <v/>
      </c>
      <c r="AS214" s="6">
        <f>IF(OR(原始資料!$A214="",44&gt;設定!$B$3,原始資料!AU214=""),"",IF(AND(原始資料!AT214&lt;&gt;"",原始資料!AU214=原始資料!AT214),N(AR214)+1,1))</f>
        <v/>
      </c>
      <c r="AT214" s="6">
        <f>IF(OR(原始資料!$A214="",45&gt;設定!$B$3,原始資料!AV214=""),"",IF(AND(原始資料!AU214&lt;&gt;"",原始資料!AV214=原始資料!AU214),N(AS214)+1,1))</f>
        <v/>
      </c>
      <c r="AU214" s="6">
        <f>IF(OR(原始資料!$A214="",46&gt;設定!$B$3,原始資料!AW214=""),"",IF(AND(原始資料!AV214&lt;&gt;"",原始資料!AW214=原始資料!AV214),N(AT214)+1,1))</f>
        <v/>
      </c>
      <c r="AV214" s="6">
        <f>IF(OR(原始資料!$A214="",47&gt;設定!$B$3,原始資料!AX214=""),"",IF(AND(原始資料!AW214&lt;&gt;"",原始資料!AX214=原始資料!AW214),N(AU214)+1,1))</f>
        <v/>
      </c>
      <c r="AW214" s="6">
        <f>IF(OR(原始資料!$A214="",48&gt;設定!$B$3,原始資料!AY214=""),"",IF(AND(原始資料!AX214&lt;&gt;"",原始資料!AY214=原始資料!AX214),N(AV214)+1,1))</f>
        <v/>
      </c>
      <c r="AX214" s="6">
        <f>IF(OR(原始資料!$A214="",49&gt;設定!$B$3,原始資料!AZ214=""),"",IF(AND(原始資料!AY214&lt;&gt;"",原始資料!AZ214=原始資料!AY214),N(AW214)+1,1))</f>
        <v/>
      </c>
      <c r="AY214" s="6">
        <f>IF(OR(原始資料!$A214="",50&gt;設定!$B$3,原始資料!BA214=""),"",IF(AND(原始資料!AZ214&lt;&gt;"",原始資料!BA214=原始資料!AZ214),N(AX214)+1,1))</f>
        <v/>
      </c>
      <c r="AZ214" s="6">
        <f>IF(OR(原始資料!$A214="",51&gt;設定!$B$3,原始資料!BB214=""),"",IF(AND(原始資料!BA214&lt;&gt;"",原始資料!BB214=原始資料!BA214),N(AY214)+1,1))</f>
        <v/>
      </c>
      <c r="BA214" s="6">
        <f>IF(OR(原始資料!$A214="",52&gt;設定!$B$3,原始資料!BC214=""),"",IF(AND(原始資料!BB214&lt;&gt;"",原始資料!BC214=原始資料!BB214),N(AZ214)+1,1))</f>
        <v/>
      </c>
      <c r="BB214" s="6">
        <f>IF(OR(原始資料!$A214="",53&gt;設定!$B$3,原始資料!BD214=""),"",IF(AND(原始資料!BC214&lt;&gt;"",原始資料!BD214=原始資料!BC214),N(BA214)+1,1))</f>
        <v/>
      </c>
      <c r="BC214" s="6">
        <f>IF(OR(原始資料!$A214="",54&gt;設定!$B$3,原始資料!BE214=""),"",IF(AND(原始資料!BD214&lt;&gt;"",原始資料!BE214=原始資料!BD214),N(BB214)+1,1))</f>
        <v/>
      </c>
      <c r="BD214" s="6">
        <f>IF(OR(原始資料!$A214="",55&gt;設定!$B$3,原始資料!BF214=""),"",IF(AND(原始資料!BE214&lt;&gt;"",原始資料!BF214=原始資料!BE214),N(BC214)+1,1))</f>
        <v/>
      </c>
      <c r="BE214" s="6">
        <f>IF(OR(原始資料!$A214="",56&gt;設定!$B$3,原始資料!BG214=""),"",IF(AND(原始資料!BF214&lt;&gt;"",原始資料!BG214=原始資料!BF214),N(BD214)+1,1))</f>
        <v/>
      </c>
      <c r="BF214" s="6">
        <f>IF(OR(原始資料!$A214="",57&gt;設定!$B$3,原始資料!BH214=""),"",IF(AND(原始資料!BG214&lt;&gt;"",原始資料!BH214=原始資料!BG214),N(BE214)+1,1))</f>
        <v/>
      </c>
      <c r="BG214" s="6">
        <f>IF(OR(原始資料!$A214="",58&gt;設定!$B$3,原始資料!BI214=""),"",IF(AND(原始資料!BH214&lt;&gt;"",原始資料!BI214=原始資料!BH214),N(BF214)+1,1))</f>
        <v/>
      </c>
      <c r="BH214" s="6">
        <f>IF(OR(原始資料!$A214="",59&gt;設定!$B$3,原始資料!BJ214=""),"",IF(AND(原始資料!BI214&lt;&gt;"",原始資料!BJ214=原始資料!BI214),N(BG214)+1,1))</f>
        <v/>
      </c>
      <c r="BI214" s="6">
        <f>IF(OR(原始資料!$A214="",60&gt;設定!$B$3,原始資料!BK214=""),"",IF(AND(原始資料!BJ214&lt;&gt;"",原始資料!BK214=原始資料!BJ214),N(BH214)+1,1))</f>
        <v/>
      </c>
    </row>
    <row r="215">
      <c r="A215" s="6">
        <f>IF(原始資料!$A215="","",原始資料!$A215)</f>
        <v/>
      </c>
      <c r="B215" s="6">
        <f>IF(OR(原始資料!$A215="",1&gt;設定!$B$3,原始資料!D215=""),"",1)</f>
        <v/>
      </c>
      <c r="C215" s="6">
        <f>IF(OR(原始資料!$A215="",2&gt;設定!$B$3,原始資料!E215=""),"",IF(AND(原始資料!D215&lt;&gt;"",原始資料!E215=原始資料!D215),N(B215)+1,1))</f>
        <v/>
      </c>
      <c r="D215" s="6">
        <f>IF(OR(原始資料!$A215="",3&gt;設定!$B$3,原始資料!F215=""),"",IF(AND(原始資料!E215&lt;&gt;"",原始資料!F215=原始資料!E215),N(C215)+1,1))</f>
        <v/>
      </c>
      <c r="E215" s="6">
        <f>IF(OR(原始資料!$A215="",4&gt;設定!$B$3,原始資料!G215=""),"",IF(AND(原始資料!F215&lt;&gt;"",原始資料!G215=原始資料!F215),N(D215)+1,1))</f>
        <v/>
      </c>
      <c r="F215" s="6">
        <f>IF(OR(原始資料!$A215="",5&gt;設定!$B$3,原始資料!H215=""),"",IF(AND(原始資料!G215&lt;&gt;"",原始資料!H215=原始資料!G215),N(E215)+1,1))</f>
        <v/>
      </c>
      <c r="G215" s="6">
        <f>IF(OR(原始資料!$A215="",6&gt;設定!$B$3,原始資料!I215=""),"",IF(AND(原始資料!H215&lt;&gt;"",原始資料!I215=原始資料!H215),N(F215)+1,1))</f>
        <v/>
      </c>
      <c r="H215" s="6">
        <f>IF(OR(原始資料!$A215="",7&gt;設定!$B$3,原始資料!J215=""),"",IF(AND(原始資料!I215&lt;&gt;"",原始資料!J215=原始資料!I215),N(G215)+1,1))</f>
        <v/>
      </c>
      <c r="I215" s="6">
        <f>IF(OR(原始資料!$A215="",8&gt;設定!$B$3,原始資料!K215=""),"",IF(AND(原始資料!J215&lt;&gt;"",原始資料!K215=原始資料!J215),N(H215)+1,1))</f>
        <v/>
      </c>
      <c r="J215" s="6">
        <f>IF(OR(原始資料!$A215="",9&gt;設定!$B$3,原始資料!L215=""),"",IF(AND(原始資料!K215&lt;&gt;"",原始資料!L215=原始資料!K215),N(I215)+1,1))</f>
        <v/>
      </c>
      <c r="K215" s="6">
        <f>IF(OR(原始資料!$A215="",10&gt;設定!$B$3,原始資料!M215=""),"",IF(AND(原始資料!L215&lt;&gt;"",原始資料!M215=原始資料!L215),N(J215)+1,1))</f>
        <v/>
      </c>
      <c r="L215" s="6">
        <f>IF(OR(原始資料!$A215="",11&gt;設定!$B$3,原始資料!N215=""),"",IF(AND(原始資料!M215&lt;&gt;"",原始資料!N215=原始資料!M215),N(K215)+1,1))</f>
        <v/>
      </c>
      <c r="M215" s="6">
        <f>IF(OR(原始資料!$A215="",12&gt;設定!$B$3,原始資料!O215=""),"",IF(AND(原始資料!N215&lt;&gt;"",原始資料!O215=原始資料!N215),N(L215)+1,1))</f>
        <v/>
      </c>
      <c r="N215" s="6">
        <f>IF(OR(原始資料!$A215="",13&gt;設定!$B$3,原始資料!P215=""),"",IF(AND(原始資料!O215&lt;&gt;"",原始資料!P215=原始資料!O215),N(M215)+1,1))</f>
        <v/>
      </c>
      <c r="O215" s="6">
        <f>IF(OR(原始資料!$A215="",14&gt;設定!$B$3,原始資料!Q215=""),"",IF(AND(原始資料!P215&lt;&gt;"",原始資料!Q215=原始資料!P215),N(N215)+1,1))</f>
        <v/>
      </c>
      <c r="P215" s="6">
        <f>IF(OR(原始資料!$A215="",15&gt;設定!$B$3,原始資料!R215=""),"",IF(AND(原始資料!Q215&lt;&gt;"",原始資料!R215=原始資料!Q215),N(O215)+1,1))</f>
        <v/>
      </c>
      <c r="Q215" s="6">
        <f>IF(OR(原始資料!$A215="",16&gt;設定!$B$3,原始資料!S215=""),"",IF(AND(原始資料!R215&lt;&gt;"",原始資料!S215=原始資料!R215),N(P215)+1,1))</f>
        <v/>
      </c>
      <c r="R215" s="6">
        <f>IF(OR(原始資料!$A215="",17&gt;設定!$B$3,原始資料!T215=""),"",IF(AND(原始資料!S215&lt;&gt;"",原始資料!T215=原始資料!S215),N(Q215)+1,1))</f>
        <v/>
      </c>
      <c r="S215" s="6">
        <f>IF(OR(原始資料!$A215="",18&gt;設定!$B$3,原始資料!U215=""),"",IF(AND(原始資料!T215&lt;&gt;"",原始資料!U215=原始資料!T215),N(R215)+1,1))</f>
        <v/>
      </c>
      <c r="T215" s="6">
        <f>IF(OR(原始資料!$A215="",19&gt;設定!$B$3,原始資料!V215=""),"",IF(AND(原始資料!U215&lt;&gt;"",原始資料!V215=原始資料!U215),N(S215)+1,1))</f>
        <v/>
      </c>
      <c r="U215" s="6">
        <f>IF(OR(原始資料!$A215="",20&gt;設定!$B$3,原始資料!W215=""),"",IF(AND(原始資料!V215&lt;&gt;"",原始資料!W215=原始資料!V215),N(T215)+1,1))</f>
        <v/>
      </c>
      <c r="V215" s="6">
        <f>IF(OR(原始資料!$A215="",21&gt;設定!$B$3,原始資料!X215=""),"",IF(AND(原始資料!W215&lt;&gt;"",原始資料!X215=原始資料!W215),N(U215)+1,1))</f>
        <v/>
      </c>
      <c r="W215" s="6">
        <f>IF(OR(原始資料!$A215="",22&gt;設定!$B$3,原始資料!Y215=""),"",IF(AND(原始資料!X215&lt;&gt;"",原始資料!Y215=原始資料!X215),N(V215)+1,1))</f>
        <v/>
      </c>
      <c r="X215" s="6">
        <f>IF(OR(原始資料!$A215="",23&gt;設定!$B$3,原始資料!Z215=""),"",IF(AND(原始資料!Y215&lt;&gt;"",原始資料!Z215=原始資料!Y215),N(W215)+1,1))</f>
        <v/>
      </c>
      <c r="Y215" s="6">
        <f>IF(OR(原始資料!$A215="",24&gt;設定!$B$3,原始資料!AA215=""),"",IF(AND(原始資料!Z215&lt;&gt;"",原始資料!AA215=原始資料!Z215),N(X215)+1,1))</f>
        <v/>
      </c>
      <c r="Z215" s="6">
        <f>IF(OR(原始資料!$A215="",25&gt;設定!$B$3,原始資料!AB215=""),"",IF(AND(原始資料!AA215&lt;&gt;"",原始資料!AB215=原始資料!AA215),N(Y215)+1,1))</f>
        <v/>
      </c>
      <c r="AA215" s="6">
        <f>IF(OR(原始資料!$A215="",26&gt;設定!$B$3,原始資料!AC215=""),"",IF(AND(原始資料!AB215&lt;&gt;"",原始資料!AC215=原始資料!AB215),N(Z215)+1,1))</f>
        <v/>
      </c>
      <c r="AB215" s="6">
        <f>IF(OR(原始資料!$A215="",27&gt;設定!$B$3,原始資料!AD215=""),"",IF(AND(原始資料!AC215&lt;&gt;"",原始資料!AD215=原始資料!AC215),N(AA215)+1,1))</f>
        <v/>
      </c>
      <c r="AC215" s="6">
        <f>IF(OR(原始資料!$A215="",28&gt;設定!$B$3,原始資料!AE215=""),"",IF(AND(原始資料!AD215&lt;&gt;"",原始資料!AE215=原始資料!AD215),N(AB215)+1,1))</f>
        <v/>
      </c>
      <c r="AD215" s="6">
        <f>IF(OR(原始資料!$A215="",29&gt;設定!$B$3,原始資料!AF215=""),"",IF(AND(原始資料!AE215&lt;&gt;"",原始資料!AF215=原始資料!AE215),N(AC215)+1,1))</f>
        <v/>
      </c>
      <c r="AE215" s="6">
        <f>IF(OR(原始資料!$A215="",30&gt;設定!$B$3,原始資料!AG215=""),"",IF(AND(原始資料!AF215&lt;&gt;"",原始資料!AG215=原始資料!AF215),N(AD215)+1,1))</f>
        <v/>
      </c>
      <c r="AF215" s="6">
        <f>IF(OR(原始資料!$A215="",31&gt;設定!$B$3,原始資料!AH215=""),"",IF(AND(原始資料!AG215&lt;&gt;"",原始資料!AH215=原始資料!AG215),N(AE215)+1,1))</f>
        <v/>
      </c>
      <c r="AG215" s="6">
        <f>IF(OR(原始資料!$A215="",32&gt;設定!$B$3,原始資料!AI215=""),"",IF(AND(原始資料!AH215&lt;&gt;"",原始資料!AI215=原始資料!AH215),N(AF215)+1,1))</f>
        <v/>
      </c>
      <c r="AH215" s="6">
        <f>IF(OR(原始資料!$A215="",33&gt;設定!$B$3,原始資料!AJ215=""),"",IF(AND(原始資料!AI215&lt;&gt;"",原始資料!AJ215=原始資料!AI215),N(AG215)+1,1))</f>
        <v/>
      </c>
      <c r="AI215" s="6">
        <f>IF(OR(原始資料!$A215="",34&gt;設定!$B$3,原始資料!AK215=""),"",IF(AND(原始資料!AJ215&lt;&gt;"",原始資料!AK215=原始資料!AJ215),N(AH215)+1,1))</f>
        <v/>
      </c>
      <c r="AJ215" s="6">
        <f>IF(OR(原始資料!$A215="",35&gt;設定!$B$3,原始資料!AL215=""),"",IF(AND(原始資料!AK215&lt;&gt;"",原始資料!AL215=原始資料!AK215),N(AI215)+1,1))</f>
        <v/>
      </c>
      <c r="AK215" s="6">
        <f>IF(OR(原始資料!$A215="",36&gt;設定!$B$3,原始資料!AM215=""),"",IF(AND(原始資料!AL215&lt;&gt;"",原始資料!AM215=原始資料!AL215),N(AJ215)+1,1))</f>
        <v/>
      </c>
      <c r="AL215" s="6">
        <f>IF(OR(原始資料!$A215="",37&gt;設定!$B$3,原始資料!AN215=""),"",IF(AND(原始資料!AM215&lt;&gt;"",原始資料!AN215=原始資料!AM215),N(AK215)+1,1))</f>
        <v/>
      </c>
      <c r="AM215" s="6">
        <f>IF(OR(原始資料!$A215="",38&gt;設定!$B$3,原始資料!AO215=""),"",IF(AND(原始資料!AN215&lt;&gt;"",原始資料!AO215=原始資料!AN215),N(AL215)+1,1))</f>
        <v/>
      </c>
      <c r="AN215" s="6">
        <f>IF(OR(原始資料!$A215="",39&gt;設定!$B$3,原始資料!AP215=""),"",IF(AND(原始資料!AO215&lt;&gt;"",原始資料!AP215=原始資料!AO215),N(AM215)+1,1))</f>
        <v/>
      </c>
      <c r="AO215" s="6">
        <f>IF(OR(原始資料!$A215="",40&gt;設定!$B$3,原始資料!AQ215=""),"",IF(AND(原始資料!AP215&lt;&gt;"",原始資料!AQ215=原始資料!AP215),N(AN215)+1,1))</f>
        <v/>
      </c>
      <c r="AP215" s="6">
        <f>IF(OR(原始資料!$A215="",41&gt;設定!$B$3,原始資料!AR215=""),"",IF(AND(原始資料!AQ215&lt;&gt;"",原始資料!AR215=原始資料!AQ215),N(AO215)+1,1))</f>
        <v/>
      </c>
      <c r="AQ215" s="6">
        <f>IF(OR(原始資料!$A215="",42&gt;設定!$B$3,原始資料!AS215=""),"",IF(AND(原始資料!AR215&lt;&gt;"",原始資料!AS215=原始資料!AR215),N(AP215)+1,1))</f>
        <v/>
      </c>
      <c r="AR215" s="6">
        <f>IF(OR(原始資料!$A215="",43&gt;設定!$B$3,原始資料!AT215=""),"",IF(AND(原始資料!AS215&lt;&gt;"",原始資料!AT215=原始資料!AS215),N(AQ215)+1,1))</f>
        <v/>
      </c>
      <c r="AS215" s="6">
        <f>IF(OR(原始資料!$A215="",44&gt;設定!$B$3,原始資料!AU215=""),"",IF(AND(原始資料!AT215&lt;&gt;"",原始資料!AU215=原始資料!AT215),N(AR215)+1,1))</f>
        <v/>
      </c>
      <c r="AT215" s="6">
        <f>IF(OR(原始資料!$A215="",45&gt;設定!$B$3,原始資料!AV215=""),"",IF(AND(原始資料!AU215&lt;&gt;"",原始資料!AV215=原始資料!AU215),N(AS215)+1,1))</f>
        <v/>
      </c>
      <c r="AU215" s="6">
        <f>IF(OR(原始資料!$A215="",46&gt;設定!$B$3,原始資料!AW215=""),"",IF(AND(原始資料!AV215&lt;&gt;"",原始資料!AW215=原始資料!AV215),N(AT215)+1,1))</f>
        <v/>
      </c>
      <c r="AV215" s="6">
        <f>IF(OR(原始資料!$A215="",47&gt;設定!$B$3,原始資料!AX215=""),"",IF(AND(原始資料!AW215&lt;&gt;"",原始資料!AX215=原始資料!AW215),N(AU215)+1,1))</f>
        <v/>
      </c>
      <c r="AW215" s="6">
        <f>IF(OR(原始資料!$A215="",48&gt;設定!$B$3,原始資料!AY215=""),"",IF(AND(原始資料!AX215&lt;&gt;"",原始資料!AY215=原始資料!AX215),N(AV215)+1,1))</f>
        <v/>
      </c>
      <c r="AX215" s="6">
        <f>IF(OR(原始資料!$A215="",49&gt;設定!$B$3,原始資料!AZ215=""),"",IF(AND(原始資料!AY215&lt;&gt;"",原始資料!AZ215=原始資料!AY215),N(AW215)+1,1))</f>
        <v/>
      </c>
      <c r="AY215" s="6">
        <f>IF(OR(原始資料!$A215="",50&gt;設定!$B$3,原始資料!BA215=""),"",IF(AND(原始資料!AZ215&lt;&gt;"",原始資料!BA215=原始資料!AZ215),N(AX215)+1,1))</f>
        <v/>
      </c>
      <c r="AZ215" s="6">
        <f>IF(OR(原始資料!$A215="",51&gt;設定!$B$3,原始資料!BB215=""),"",IF(AND(原始資料!BA215&lt;&gt;"",原始資料!BB215=原始資料!BA215),N(AY215)+1,1))</f>
        <v/>
      </c>
      <c r="BA215" s="6">
        <f>IF(OR(原始資料!$A215="",52&gt;設定!$B$3,原始資料!BC215=""),"",IF(AND(原始資料!BB215&lt;&gt;"",原始資料!BC215=原始資料!BB215),N(AZ215)+1,1))</f>
        <v/>
      </c>
      <c r="BB215" s="6">
        <f>IF(OR(原始資料!$A215="",53&gt;設定!$B$3,原始資料!BD215=""),"",IF(AND(原始資料!BC215&lt;&gt;"",原始資料!BD215=原始資料!BC215),N(BA215)+1,1))</f>
        <v/>
      </c>
      <c r="BC215" s="6">
        <f>IF(OR(原始資料!$A215="",54&gt;設定!$B$3,原始資料!BE215=""),"",IF(AND(原始資料!BD215&lt;&gt;"",原始資料!BE215=原始資料!BD215),N(BB215)+1,1))</f>
        <v/>
      </c>
      <c r="BD215" s="6">
        <f>IF(OR(原始資料!$A215="",55&gt;設定!$B$3,原始資料!BF215=""),"",IF(AND(原始資料!BE215&lt;&gt;"",原始資料!BF215=原始資料!BE215),N(BC215)+1,1))</f>
        <v/>
      </c>
      <c r="BE215" s="6">
        <f>IF(OR(原始資料!$A215="",56&gt;設定!$B$3,原始資料!BG215=""),"",IF(AND(原始資料!BF215&lt;&gt;"",原始資料!BG215=原始資料!BF215),N(BD215)+1,1))</f>
        <v/>
      </c>
      <c r="BF215" s="6">
        <f>IF(OR(原始資料!$A215="",57&gt;設定!$B$3,原始資料!BH215=""),"",IF(AND(原始資料!BG215&lt;&gt;"",原始資料!BH215=原始資料!BG215),N(BE215)+1,1))</f>
        <v/>
      </c>
      <c r="BG215" s="6">
        <f>IF(OR(原始資料!$A215="",58&gt;設定!$B$3,原始資料!BI215=""),"",IF(AND(原始資料!BH215&lt;&gt;"",原始資料!BI215=原始資料!BH215),N(BF215)+1,1))</f>
        <v/>
      </c>
      <c r="BH215" s="6">
        <f>IF(OR(原始資料!$A215="",59&gt;設定!$B$3,原始資料!BJ215=""),"",IF(AND(原始資料!BI215&lt;&gt;"",原始資料!BJ215=原始資料!BI215),N(BG215)+1,1))</f>
        <v/>
      </c>
      <c r="BI215" s="6">
        <f>IF(OR(原始資料!$A215="",60&gt;設定!$B$3,原始資料!BK215=""),"",IF(AND(原始資料!BJ215&lt;&gt;"",原始資料!BK215=原始資料!BJ215),N(BH215)+1,1))</f>
        <v/>
      </c>
    </row>
    <row r="216">
      <c r="A216" s="6">
        <f>IF(原始資料!$A216="","",原始資料!$A216)</f>
        <v/>
      </c>
      <c r="B216" s="6">
        <f>IF(OR(原始資料!$A216="",1&gt;設定!$B$3,原始資料!D216=""),"",1)</f>
        <v/>
      </c>
      <c r="C216" s="6">
        <f>IF(OR(原始資料!$A216="",2&gt;設定!$B$3,原始資料!E216=""),"",IF(AND(原始資料!D216&lt;&gt;"",原始資料!E216=原始資料!D216),N(B216)+1,1))</f>
        <v/>
      </c>
      <c r="D216" s="6">
        <f>IF(OR(原始資料!$A216="",3&gt;設定!$B$3,原始資料!F216=""),"",IF(AND(原始資料!E216&lt;&gt;"",原始資料!F216=原始資料!E216),N(C216)+1,1))</f>
        <v/>
      </c>
      <c r="E216" s="6">
        <f>IF(OR(原始資料!$A216="",4&gt;設定!$B$3,原始資料!G216=""),"",IF(AND(原始資料!F216&lt;&gt;"",原始資料!G216=原始資料!F216),N(D216)+1,1))</f>
        <v/>
      </c>
      <c r="F216" s="6">
        <f>IF(OR(原始資料!$A216="",5&gt;設定!$B$3,原始資料!H216=""),"",IF(AND(原始資料!G216&lt;&gt;"",原始資料!H216=原始資料!G216),N(E216)+1,1))</f>
        <v/>
      </c>
      <c r="G216" s="6">
        <f>IF(OR(原始資料!$A216="",6&gt;設定!$B$3,原始資料!I216=""),"",IF(AND(原始資料!H216&lt;&gt;"",原始資料!I216=原始資料!H216),N(F216)+1,1))</f>
        <v/>
      </c>
      <c r="H216" s="6">
        <f>IF(OR(原始資料!$A216="",7&gt;設定!$B$3,原始資料!J216=""),"",IF(AND(原始資料!I216&lt;&gt;"",原始資料!J216=原始資料!I216),N(G216)+1,1))</f>
        <v/>
      </c>
      <c r="I216" s="6">
        <f>IF(OR(原始資料!$A216="",8&gt;設定!$B$3,原始資料!K216=""),"",IF(AND(原始資料!J216&lt;&gt;"",原始資料!K216=原始資料!J216),N(H216)+1,1))</f>
        <v/>
      </c>
      <c r="J216" s="6">
        <f>IF(OR(原始資料!$A216="",9&gt;設定!$B$3,原始資料!L216=""),"",IF(AND(原始資料!K216&lt;&gt;"",原始資料!L216=原始資料!K216),N(I216)+1,1))</f>
        <v/>
      </c>
      <c r="K216" s="6">
        <f>IF(OR(原始資料!$A216="",10&gt;設定!$B$3,原始資料!M216=""),"",IF(AND(原始資料!L216&lt;&gt;"",原始資料!M216=原始資料!L216),N(J216)+1,1))</f>
        <v/>
      </c>
      <c r="L216" s="6">
        <f>IF(OR(原始資料!$A216="",11&gt;設定!$B$3,原始資料!N216=""),"",IF(AND(原始資料!M216&lt;&gt;"",原始資料!N216=原始資料!M216),N(K216)+1,1))</f>
        <v/>
      </c>
      <c r="M216" s="6">
        <f>IF(OR(原始資料!$A216="",12&gt;設定!$B$3,原始資料!O216=""),"",IF(AND(原始資料!N216&lt;&gt;"",原始資料!O216=原始資料!N216),N(L216)+1,1))</f>
        <v/>
      </c>
      <c r="N216" s="6">
        <f>IF(OR(原始資料!$A216="",13&gt;設定!$B$3,原始資料!P216=""),"",IF(AND(原始資料!O216&lt;&gt;"",原始資料!P216=原始資料!O216),N(M216)+1,1))</f>
        <v/>
      </c>
      <c r="O216" s="6">
        <f>IF(OR(原始資料!$A216="",14&gt;設定!$B$3,原始資料!Q216=""),"",IF(AND(原始資料!P216&lt;&gt;"",原始資料!Q216=原始資料!P216),N(N216)+1,1))</f>
        <v/>
      </c>
      <c r="P216" s="6">
        <f>IF(OR(原始資料!$A216="",15&gt;設定!$B$3,原始資料!R216=""),"",IF(AND(原始資料!Q216&lt;&gt;"",原始資料!R216=原始資料!Q216),N(O216)+1,1))</f>
        <v/>
      </c>
      <c r="Q216" s="6">
        <f>IF(OR(原始資料!$A216="",16&gt;設定!$B$3,原始資料!S216=""),"",IF(AND(原始資料!R216&lt;&gt;"",原始資料!S216=原始資料!R216),N(P216)+1,1))</f>
        <v/>
      </c>
      <c r="R216" s="6">
        <f>IF(OR(原始資料!$A216="",17&gt;設定!$B$3,原始資料!T216=""),"",IF(AND(原始資料!S216&lt;&gt;"",原始資料!T216=原始資料!S216),N(Q216)+1,1))</f>
        <v/>
      </c>
      <c r="S216" s="6">
        <f>IF(OR(原始資料!$A216="",18&gt;設定!$B$3,原始資料!U216=""),"",IF(AND(原始資料!T216&lt;&gt;"",原始資料!U216=原始資料!T216),N(R216)+1,1))</f>
        <v/>
      </c>
      <c r="T216" s="6">
        <f>IF(OR(原始資料!$A216="",19&gt;設定!$B$3,原始資料!V216=""),"",IF(AND(原始資料!U216&lt;&gt;"",原始資料!V216=原始資料!U216),N(S216)+1,1))</f>
        <v/>
      </c>
      <c r="U216" s="6">
        <f>IF(OR(原始資料!$A216="",20&gt;設定!$B$3,原始資料!W216=""),"",IF(AND(原始資料!V216&lt;&gt;"",原始資料!W216=原始資料!V216),N(T216)+1,1))</f>
        <v/>
      </c>
      <c r="V216" s="6">
        <f>IF(OR(原始資料!$A216="",21&gt;設定!$B$3,原始資料!X216=""),"",IF(AND(原始資料!W216&lt;&gt;"",原始資料!X216=原始資料!W216),N(U216)+1,1))</f>
        <v/>
      </c>
      <c r="W216" s="6">
        <f>IF(OR(原始資料!$A216="",22&gt;設定!$B$3,原始資料!Y216=""),"",IF(AND(原始資料!X216&lt;&gt;"",原始資料!Y216=原始資料!X216),N(V216)+1,1))</f>
        <v/>
      </c>
      <c r="X216" s="6">
        <f>IF(OR(原始資料!$A216="",23&gt;設定!$B$3,原始資料!Z216=""),"",IF(AND(原始資料!Y216&lt;&gt;"",原始資料!Z216=原始資料!Y216),N(W216)+1,1))</f>
        <v/>
      </c>
      <c r="Y216" s="6">
        <f>IF(OR(原始資料!$A216="",24&gt;設定!$B$3,原始資料!AA216=""),"",IF(AND(原始資料!Z216&lt;&gt;"",原始資料!AA216=原始資料!Z216),N(X216)+1,1))</f>
        <v/>
      </c>
      <c r="Z216" s="6">
        <f>IF(OR(原始資料!$A216="",25&gt;設定!$B$3,原始資料!AB216=""),"",IF(AND(原始資料!AA216&lt;&gt;"",原始資料!AB216=原始資料!AA216),N(Y216)+1,1))</f>
        <v/>
      </c>
      <c r="AA216" s="6">
        <f>IF(OR(原始資料!$A216="",26&gt;設定!$B$3,原始資料!AC216=""),"",IF(AND(原始資料!AB216&lt;&gt;"",原始資料!AC216=原始資料!AB216),N(Z216)+1,1))</f>
        <v/>
      </c>
      <c r="AB216" s="6">
        <f>IF(OR(原始資料!$A216="",27&gt;設定!$B$3,原始資料!AD216=""),"",IF(AND(原始資料!AC216&lt;&gt;"",原始資料!AD216=原始資料!AC216),N(AA216)+1,1))</f>
        <v/>
      </c>
      <c r="AC216" s="6">
        <f>IF(OR(原始資料!$A216="",28&gt;設定!$B$3,原始資料!AE216=""),"",IF(AND(原始資料!AD216&lt;&gt;"",原始資料!AE216=原始資料!AD216),N(AB216)+1,1))</f>
        <v/>
      </c>
      <c r="AD216" s="6">
        <f>IF(OR(原始資料!$A216="",29&gt;設定!$B$3,原始資料!AF216=""),"",IF(AND(原始資料!AE216&lt;&gt;"",原始資料!AF216=原始資料!AE216),N(AC216)+1,1))</f>
        <v/>
      </c>
      <c r="AE216" s="6">
        <f>IF(OR(原始資料!$A216="",30&gt;設定!$B$3,原始資料!AG216=""),"",IF(AND(原始資料!AF216&lt;&gt;"",原始資料!AG216=原始資料!AF216),N(AD216)+1,1))</f>
        <v/>
      </c>
      <c r="AF216" s="6">
        <f>IF(OR(原始資料!$A216="",31&gt;設定!$B$3,原始資料!AH216=""),"",IF(AND(原始資料!AG216&lt;&gt;"",原始資料!AH216=原始資料!AG216),N(AE216)+1,1))</f>
        <v/>
      </c>
      <c r="AG216" s="6">
        <f>IF(OR(原始資料!$A216="",32&gt;設定!$B$3,原始資料!AI216=""),"",IF(AND(原始資料!AH216&lt;&gt;"",原始資料!AI216=原始資料!AH216),N(AF216)+1,1))</f>
        <v/>
      </c>
      <c r="AH216" s="6">
        <f>IF(OR(原始資料!$A216="",33&gt;設定!$B$3,原始資料!AJ216=""),"",IF(AND(原始資料!AI216&lt;&gt;"",原始資料!AJ216=原始資料!AI216),N(AG216)+1,1))</f>
        <v/>
      </c>
      <c r="AI216" s="6">
        <f>IF(OR(原始資料!$A216="",34&gt;設定!$B$3,原始資料!AK216=""),"",IF(AND(原始資料!AJ216&lt;&gt;"",原始資料!AK216=原始資料!AJ216),N(AH216)+1,1))</f>
        <v/>
      </c>
      <c r="AJ216" s="6">
        <f>IF(OR(原始資料!$A216="",35&gt;設定!$B$3,原始資料!AL216=""),"",IF(AND(原始資料!AK216&lt;&gt;"",原始資料!AL216=原始資料!AK216),N(AI216)+1,1))</f>
        <v/>
      </c>
      <c r="AK216" s="6">
        <f>IF(OR(原始資料!$A216="",36&gt;設定!$B$3,原始資料!AM216=""),"",IF(AND(原始資料!AL216&lt;&gt;"",原始資料!AM216=原始資料!AL216),N(AJ216)+1,1))</f>
        <v/>
      </c>
      <c r="AL216" s="6">
        <f>IF(OR(原始資料!$A216="",37&gt;設定!$B$3,原始資料!AN216=""),"",IF(AND(原始資料!AM216&lt;&gt;"",原始資料!AN216=原始資料!AM216),N(AK216)+1,1))</f>
        <v/>
      </c>
      <c r="AM216" s="6">
        <f>IF(OR(原始資料!$A216="",38&gt;設定!$B$3,原始資料!AO216=""),"",IF(AND(原始資料!AN216&lt;&gt;"",原始資料!AO216=原始資料!AN216),N(AL216)+1,1))</f>
        <v/>
      </c>
      <c r="AN216" s="6">
        <f>IF(OR(原始資料!$A216="",39&gt;設定!$B$3,原始資料!AP216=""),"",IF(AND(原始資料!AO216&lt;&gt;"",原始資料!AP216=原始資料!AO216),N(AM216)+1,1))</f>
        <v/>
      </c>
      <c r="AO216" s="6">
        <f>IF(OR(原始資料!$A216="",40&gt;設定!$B$3,原始資料!AQ216=""),"",IF(AND(原始資料!AP216&lt;&gt;"",原始資料!AQ216=原始資料!AP216),N(AN216)+1,1))</f>
        <v/>
      </c>
      <c r="AP216" s="6">
        <f>IF(OR(原始資料!$A216="",41&gt;設定!$B$3,原始資料!AR216=""),"",IF(AND(原始資料!AQ216&lt;&gt;"",原始資料!AR216=原始資料!AQ216),N(AO216)+1,1))</f>
        <v/>
      </c>
      <c r="AQ216" s="6">
        <f>IF(OR(原始資料!$A216="",42&gt;設定!$B$3,原始資料!AS216=""),"",IF(AND(原始資料!AR216&lt;&gt;"",原始資料!AS216=原始資料!AR216),N(AP216)+1,1))</f>
        <v/>
      </c>
      <c r="AR216" s="6">
        <f>IF(OR(原始資料!$A216="",43&gt;設定!$B$3,原始資料!AT216=""),"",IF(AND(原始資料!AS216&lt;&gt;"",原始資料!AT216=原始資料!AS216),N(AQ216)+1,1))</f>
        <v/>
      </c>
      <c r="AS216" s="6">
        <f>IF(OR(原始資料!$A216="",44&gt;設定!$B$3,原始資料!AU216=""),"",IF(AND(原始資料!AT216&lt;&gt;"",原始資料!AU216=原始資料!AT216),N(AR216)+1,1))</f>
        <v/>
      </c>
      <c r="AT216" s="6">
        <f>IF(OR(原始資料!$A216="",45&gt;設定!$B$3,原始資料!AV216=""),"",IF(AND(原始資料!AU216&lt;&gt;"",原始資料!AV216=原始資料!AU216),N(AS216)+1,1))</f>
        <v/>
      </c>
      <c r="AU216" s="6">
        <f>IF(OR(原始資料!$A216="",46&gt;設定!$B$3,原始資料!AW216=""),"",IF(AND(原始資料!AV216&lt;&gt;"",原始資料!AW216=原始資料!AV216),N(AT216)+1,1))</f>
        <v/>
      </c>
      <c r="AV216" s="6">
        <f>IF(OR(原始資料!$A216="",47&gt;設定!$B$3,原始資料!AX216=""),"",IF(AND(原始資料!AW216&lt;&gt;"",原始資料!AX216=原始資料!AW216),N(AU216)+1,1))</f>
        <v/>
      </c>
      <c r="AW216" s="6">
        <f>IF(OR(原始資料!$A216="",48&gt;設定!$B$3,原始資料!AY216=""),"",IF(AND(原始資料!AX216&lt;&gt;"",原始資料!AY216=原始資料!AX216),N(AV216)+1,1))</f>
        <v/>
      </c>
      <c r="AX216" s="6">
        <f>IF(OR(原始資料!$A216="",49&gt;設定!$B$3,原始資料!AZ216=""),"",IF(AND(原始資料!AY216&lt;&gt;"",原始資料!AZ216=原始資料!AY216),N(AW216)+1,1))</f>
        <v/>
      </c>
      <c r="AY216" s="6">
        <f>IF(OR(原始資料!$A216="",50&gt;設定!$B$3,原始資料!BA216=""),"",IF(AND(原始資料!AZ216&lt;&gt;"",原始資料!BA216=原始資料!AZ216),N(AX216)+1,1))</f>
        <v/>
      </c>
      <c r="AZ216" s="6">
        <f>IF(OR(原始資料!$A216="",51&gt;設定!$B$3,原始資料!BB216=""),"",IF(AND(原始資料!BA216&lt;&gt;"",原始資料!BB216=原始資料!BA216),N(AY216)+1,1))</f>
        <v/>
      </c>
      <c r="BA216" s="6">
        <f>IF(OR(原始資料!$A216="",52&gt;設定!$B$3,原始資料!BC216=""),"",IF(AND(原始資料!BB216&lt;&gt;"",原始資料!BC216=原始資料!BB216),N(AZ216)+1,1))</f>
        <v/>
      </c>
      <c r="BB216" s="6">
        <f>IF(OR(原始資料!$A216="",53&gt;設定!$B$3,原始資料!BD216=""),"",IF(AND(原始資料!BC216&lt;&gt;"",原始資料!BD216=原始資料!BC216),N(BA216)+1,1))</f>
        <v/>
      </c>
      <c r="BC216" s="6">
        <f>IF(OR(原始資料!$A216="",54&gt;設定!$B$3,原始資料!BE216=""),"",IF(AND(原始資料!BD216&lt;&gt;"",原始資料!BE216=原始資料!BD216),N(BB216)+1,1))</f>
        <v/>
      </c>
      <c r="BD216" s="6">
        <f>IF(OR(原始資料!$A216="",55&gt;設定!$B$3,原始資料!BF216=""),"",IF(AND(原始資料!BE216&lt;&gt;"",原始資料!BF216=原始資料!BE216),N(BC216)+1,1))</f>
        <v/>
      </c>
      <c r="BE216" s="6">
        <f>IF(OR(原始資料!$A216="",56&gt;設定!$B$3,原始資料!BG216=""),"",IF(AND(原始資料!BF216&lt;&gt;"",原始資料!BG216=原始資料!BF216),N(BD216)+1,1))</f>
        <v/>
      </c>
      <c r="BF216" s="6">
        <f>IF(OR(原始資料!$A216="",57&gt;設定!$B$3,原始資料!BH216=""),"",IF(AND(原始資料!BG216&lt;&gt;"",原始資料!BH216=原始資料!BG216),N(BE216)+1,1))</f>
        <v/>
      </c>
      <c r="BG216" s="6">
        <f>IF(OR(原始資料!$A216="",58&gt;設定!$B$3,原始資料!BI216=""),"",IF(AND(原始資料!BH216&lt;&gt;"",原始資料!BI216=原始資料!BH216),N(BF216)+1,1))</f>
        <v/>
      </c>
      <c r="BH216" s="6">
        <f>IF(OR(原始資料!$A216="",59&gt;設定!$B$3,原始資料!BJ216=""),"",IF(AND(原始資料!BI216&lt;&gt;"",原始資料!BJ216=原始資料!BI216),N(BG216)+1,1))</f>
        <v/>
      </c>
      <c r="BI216" s="6">
        <f>IF(OR(原始資料!$A216="",60&gt;設定!$B$3,原始資料!BK216=""),"",IF(AND(原始資料!BJ216&lt;&gt;"",原始資料!BK216=原始資料!BJ216),N(BH216)+1,1))</f>
        <v/>
      </c>
    </row>
    <row r="217">
      <c r="A217" s="6">
        <f>IF(原始資料!$A217="","",原始資料!$A217)</f>
        <v/>
      </c>
      <c r="B217" s="6">
        <f>IF(OR(原始資料!$A217="",1&gt;設定!$B$3,原始資料!D217=""),"",1)</f>
        <v/>
      </c>
      <c r="C217" s="6">
        <f>IF(OR(原始資料!$A217="",2&gt;設定!$B$3,原始資料!E217=""),"",IF(AND(原始資料!D217&lt;&gt;"",原始資料!E217=原始資料!D217),N(B217)+1,1))</f>
        <v/>
      </c>
      <c r="D217" s="6">
        <f>IF(OR(原始資料!$A217="",3&gt;設定!$B$3,原始資料!F217=""),"",IF(AND(原始資料!E217&lt;&gt;"",原始資料!F217=原始資料!E217),N(C217)+1,1))</f>
        <v/>
      </c>
      <c r="E217" s="6">
        <f>IF(OR(原始資料!$A217="",4&gt;設定!$B$3,原始資料!G217=""),"",IF(AND(原始資料!F217&lt;&gt;"",原始資料!G217=原始資料!F217),N(D217)+1,1))</f>
        <v/>
      </c>
      <c r="F217" s="6">
        <f>IF(OR(原始資料!$A217="",5&gt;設定!$B$3,原始資料!H217=""),"",IF(AND(原始資料!G217&lt;&gt;"",原始資料!H217=原始資料!G217),N(E217)+1,1))</f>
        <v/>
      </c>
      <c r="G217" s="6">
        <f>IF(OR(原始資料!$A217="",6&gt;設定!$B$3,原始資料!I217=""),"",IF(AND(原始資料!H217&lt;&gt;"",原始資料!I217=原始資料!H217),N(F217)+1,1))</f>
        <v/>
      </c>
      <c r="H217" s="6">
        <f>IF(OR(原始資料!$A217="",7&gt;設定!$B$3,原始資料!J217=""),"",IF(AND(原始資料!I217&lt;&gt;"",原始資料!J217=原始資料!I217),N(G217)+1,1))</f>
        <v/>
      </c>
      <c r="I217" s="6">
        <f>IF(OR(原始資料!$A217="",8&gt;設定!$B$3,原始資料!K217=""),"",IF(AND(原始資料!J217&lt;&gt;"",原始資料!K217=原始資料!J217),N(H217)+1,1))</f>
        <v/>
      </c>
      <c r="J217" s="6">
        <f>IF(OR(原始資料!$A217="",9&gt;設定!$B$3,原始資料!L217=""),"",IF(AND(原始資料!K217&lt;&gt;"",原始資料!L217=原始資料!K217),N(I217)+1,1))</f>
        <v/>
      </c>
      <c r="K217" s="6">
        <f>IF(OR(原始資料!$A217="",10&gt;設定!$B$3,原始資料!M217=""),"",IF(AND(原始資料!L217&lt;&gt;"",原始資料!M217=原始資料!L217),N(J217)+1,1))</f>
        <v/>
      </c>
      <c r="L217" s="6">
        <f>IF(OR(原始資料!$A217="",11&gt;設定!$B$3,原始資料!N217=""),"",IF(AND(原始資料!M217&lt;&gt;"",原始資料!N217=原始資料!M217),N(K217)+1,1))</f>
        <v/>
      </c>
      <c r="M217" s="6">
        <f>IF(OR(原始資料!$A217="",12&gt;設定!$B$3,原始資料!O217=""),"",IF(AND(原始資料!N217&lt;&gt;"",原始資料!O217=原始資料!N217),N(L217)+1,1))</f>
        <v/>
      </c>
      <c r="N217" s="6">
        <f>IF(OR(原始資料!$A217="",13&gt;設定!$B$3,原始資料!P217=""),"",IF(AND(原始資料!O217&lt;&gt;"",原始資料!P217=原始資料!O217),N(M217)+1,1))</f>
        <v/>
      </c>
      <c r="O217" s="6">
        <f>IF(OR(原始資料!$A217="",14&gt;設定!$B$3,原始資料!Q217=""),"",IF(AND(原始資料!P217&lt;&gt;"",原始資料!Q217=原始資料!P217),N(N217)+1,1))</f>
        <v/>
      </c>
      <c r="P217" s="6">
        <f>IF(OR(原始資料!$A217="",15&gt;設定!$B$3,原始資料!R217=""),"",IF(AND(原始資料!Q217&lt;&gt;"",原始資料!R217=原始資料!Q217),N(O217)+1,1))</f>
        <v/>
      </c>
      <c r="Q217" s="6">
        <f>IF(OR(原始資料!$A217="",16&gt;設定!$B$3,原始資料!S217=""),"",IF(AND(原始資料!R217&lt;&gt;"",原始資料!S217=原始資料!R217),N(P217)+1,1))</f>
        <v/>
      </c>
      <c r="R217" s="6">
        <f>IF(OR(原始資料!$A217="",17&gt;設定!$B$3,原始資料!T217=""),"",IF(AND(原始資料!S217&lt;&gt;"",原始資料!T217=原始資料!S217),N(Q217)+1,1))</f>
        <v/>
      </c>
      <c r="S217" s="6">
        <f>IF(OR(原始資料!$A217="",18&gt;設定!$B$3,原始資料!U217=""),"",IF(AND(原始資料!T217&lt;&gt;"",原始資料!U217=原始資料!T217),N(R217)+1,1))</f>
        <v/>
      </c>
      <c r="T217" s="6">
        <f>IF(OR(原始資料!$A217="",19&gt;設定!$B$3,原始資料!V217=""),"",IF(AND(原始資料!U217&lt;&gt;"",原始資料!V217=原始資料!U217),N(S217)+1,1))</f>
        <v/>
      </c>
      <c r="U217" s="6">
        <f>IF(OR(原始資料!$A217="",20&gt;設定!$B$3,原始資料!W217=""),"",IF(AND(原始資料!V217&lt;&gt;"",原始資料!W217=原始資料!V217),N(T217)+1,1))</f>
        <v/>
      </c>
      <c r="V217" s="6">
        <f>IF(OR(原始資料!$A217="",21&gt;設定!$B$3,原始資料!X217=""),"",IF(AND(原始資料!W217&lt;&gt;"",原始資料!X217=原始資料!W217),N(U217)+1,1))</f>
        <v/>
      </c>
      <c r="W217" s="6">
        <f>IF(OR(原始資料!$A217="",22&gt;設定!$B$3,原始資料!Y217=""),"",IF(AND(原始資料!X217&lt;&gt;"",原始資料!Y217=原始資料!X217),N(V217)+1,1))</f>
        <v/>
      </c>
      <c r="X217" s="6">
        <f>IF(OR(原始資料!$A217="",23&gt;設定!$B$3,原始資料!Z217=""),"",IF(AND(原始資料!Y217&lt;&gt;"",原始資料!Z217=原始資料!Y217),N(W217)+1,1))</f>
        <v/>
      </c>
      <c r="Y217" s="6">
        <f>IF(OR(原始資料!$A217="",24&gt;設定!$B$3,原始資料!AA217=""),"",IF(AND(原始資料!Z217&lt;&gt;"",原始資料!AA217=原始資料!Z217),N(X217)+1,1))</f>
        <v/>
      </c>
      <c r="Z217" s="6">
        <f>IF(OR(原始資料!$A217="",25&gt;設定!$B$3,原始資料!AB217=""),"",IF(AND(原始資料!AA217&lt;&gt;"",原始資料!AB217=原始資料!AA217),N(Y217)+1,1))</f>
        <v/>
      </c>
      <c r="AA217" s="6">
        <f>IF(OR(原始資料!$A217="",26&gt;設定!$B$3,原始資料!AC217=""),"",IF(AND(原始資料!AB217&lt;&gt;"",原始資料!AC217=原始資料!AB217),N(Z217)+1,1))</f>
        <v/>
      </c>
      <c r="AB217" s="6">
        <f>IF(OR(原始資料!$A217="",27&gt;設定!$B$3,原始資料!AD217=""),"",IF(AND(原始資料!AC217&lt;&gt;"",原始資料!AD217=原始資料!AC217),N(AA217)+1,1))</f>
        <v/>
      </c>
      <c r="AC217" s="6">
        <f>IF(OR(原始資料!$A217="",28&gt;設定!$B$3,原始資料!AE217=""),"",IF(AND(原始資料!AD217&lt;&gt;"",原始資料!AE217=原始資料!AD217),N(AB217)+1,1))</f>
        <v/>
      </c>
      <c r="AD217" s="6">
        <f>IF(OR(原始資料!$A217="",29&gt;設定!$B$3,原始資料!AF217=""),"",IF(AND(原始資料!AE217&lt;&gt;"",原始資料!AF217=原始資料!AE217),N(AC217)+1,1))</f>
        <v/>
      </c>
      <c r="AE217" s="6">
        <f>IF(OR(原始資料!$A217="",30&gt;設定!$B$3,原始資料!AG217=""),"",IF(AND(原始資料!AF217&lt;&gt;"",原始資料!AG217=原始資料!AF217),N(AD217)+1,1))</f>
        <v/>
      </c>
      <c r="AF217" s="6">
        <f>IF(OR(原始資料!$A217="",31&gt;設定!$B$3,原始資料!AH217=""),"",IF(AND(原始資料!AG217&lt;&gt;"",原始資料!AH217=原始資料!AG217),N(AE217)+1,1))</f>
        <v/>
      </c>
      <c r="AG217" s="6">
        <f>IF(OR(原始資料!$A217="",32&gt;設定!$B$3,原始資料!AI217=""),"",IF(AND(原始資料!AH217&lt;&gt;"",原始資料!AI217=原始資料!AH217),N(AF217)+1,1))</f>
        <v/>
      </c>
      <c r="AH217" s="6">
        <f>IF(OR(原始資料!$A217="",33&gt;設定!$B$3,原始資料!AJ217=""),"",IF(AND(原始資料!AI217&lt;&gt;"",原始資料!AJ217=原始資料!AI217),N(AG217)+1,1))</f>
        <v/>
      </c>
      <c r="AI217" s="6">
        <f>IF(OR(原始資料!$A217="",34&gt;設定!$B$3,原始資料!AK217=""),"",IF(AND(原始資料!AJ217&lt;&gt;"",原始資料!AK217=原始資料!AJ217),N(AH217)+1,1))</f>
        <v/>
      </c>
      <c r="AJ217" s="6">
        <f>IF(OR(原始資料!$A217="",35&gt;設定!$B$3,原始資料!AL217=""),"",IF(AND(原始資料!AK217&lt;&gt;"",原始資料!AL217=原始資料!AK217),N(AI217)+1,1))</f>
        <v/>
      </c>
      <c r="AK217" s="6">
        <f>IF(OR(原始資料!$A217="",36&gt;設定!$B$3,原始資料!AM217=""),"",IF(AND(原始資料!AL217&lt;&gt;"",原始資料!AM217=原始資料!AL217),N(AJ217)+1,1))</f>
        <v/>
      </c>
      <c r="AL217" s="6">
        <f>IF(OR(原始資料!$A217="",37&gt;設定!$B$3,原始資料!AN217=""),"",IF(AND(原始資料!AM217&lt;&gt;"",原始資料!AN217=原始資料!AM217),N(AK217)+1,1))</f>
        <v/>
      </c>
      <c r="AM217" s="6">
        <f>IF(OR(原始資料!$A217="",38&gt;設定!$B$3,原始資料!AO217=""),"",IF(AND(原始資料!AN217&lt;&gt;"",原始資料!AO217=原始資料!AN217),N(AL217)+1,1))</f>
        <v/>
      </c>
      <c r="AN217" s="6">
        <f>IF(OR(原始資料!$A217="",39&gt;設定!$B$3,原始資料!AP217=""),"",IF(AND(原始資料!AO217&lt;&gt;"",原始資料!AP217=原始資料!AO217),N(AM217)+1,1))</f>
        <v/>
      </c>
      <c r="AO217" s="6">
        <f>IF(OR(原始資料!$A217="",40&gt;設定!$B$3,原始資料!AQ217=""),"",IF(AND(原始資料!AP217&lt;&gt;"",原始資料!AQ217=原始資料!AP217),N(AN217)+1,1))</f>
        <v/>
      </c>
      <c r="AP217" s="6">
        <f>IF(OR(原始資料!$A217="",41&gt;設定!$B$3,原始資料!AR217=""),"",IF(AND(原始資料!AQ217&lt;&gt;"",原始資料!AR217=原始資料!AQ217),N(AO217)+1,1))</f>
        <v/>
      </c>
      <c r="AQ217" s="6">
        <f>IF(OR(原始資料!$A217="",42&gt;設定!$B$3,原始資料!AS217=""),"",IF(AND(原始資料!AR217&lt;&gt;"",原始資料!AS217=原始資料!AR217),N(AP217)+1,1))</f>
        <v/>
      </c>
      <c r="AR217" s="6">
        <f>IF(OR(原始資料!$A217="",43&gt;設定!$B$3,原始資料!AT217=""),"",IF(AND(原始資料!AS217&lt;&gt;"",原始資料!AT217=原始資料!AS217),N(AQ217)+1,1))</f>
        <v/>
      </c>
      <c r="AS217" s="6">
        <f>IF(OR(原始資料!$A217="",44&gt;設定!$B$3,原始資料!AU217=""),"",IF(AND(原始資料!AT217&lt;&gt;"",原始資料!AU217=原始資料!AT217),N(AR217)+1,1))</f>
        <v/>
      </c>
      <c r="AT217" s="6">
        <f>IF(OR(原始資料!$A217="",45&gt;設定!$B$3,原始資料!AV217=""),"",IF(AND(原始資料!AU217&lt;&gt;"",原始資料!AV217=原始資料!AU217),N(AS217)+1,1))</f>
        <v/>
      </c>
      <c r="AU217" s="6">
        <f>IF(OR(原始資料!$A217="",46&gt;設定!$B$3,原始資料!AW217=""),"",IF(AND(原始資料!AV217&lt;&gt;"",原始資料!AW217=原始資料!AV217),N(AT217)+1,1))</f>
        <v/>
      </c>
      <c r="AV217" s="6">
        <f>IF(OR(原始資料!$A217="",47&gt;設定!$B$3,原始資料!AX217=""),"",IF(AND(原始資料!AW217&lt;&gt;"",原始資料!AX217=原始資料!AW217),N(AU217)+1,1))</f>
        <v/>
      </c>
      <c r="AW217" s="6">
        <f>IF(OR(原始資料!$A217="",48&gt;設定!$B$3,原始資料!AY217=""),"",IF(AND(原始資料!AX217&lt;&gt;"",原始資料!AY217=原始資料!AX217),N(AV217)+1,1))</f>
        <v/>
      </c>
      <c r="AX217" s="6">
        <f>IF(OR(原始資料!$A217="",49&gt;設定!$B$3,原始資料!AZ217=""),"",IF(AND(原始資料!AY217&lt;&gt;"",原始資料!AZ217=原始資料!AY217),N(AW217)+1,1))</f>
        <v/>
      </c>
      <c r="AY217" s="6">
        <f>IF(OR(原始資料!$A217="",50&gt;設定!$B$3,原始資料!BA217=""),"",IF(AND(原始資料!AZ217&lt;&gt;"",原始資料!BA217=原始資料!AZ217),N(AX217)+1,1))</f>
        <v/>
      </c>
      <c r="AZ217" s="6">
        <f>IF(OR(原始資料!$A217="",51&gt;設定!$B$3,原始資料!BB217=""),"",IF(AND(原始資料!BA217&lt;&gt;"",原始資料!BB217=原始資料!BA217),N(AY217)+1,1))</f>
        <v/>
      </c>
      <c r="BA217" s="6">
        <f>IF(OR(原始資料!$A217="",52&gt;設定!$B$3,原始資料!BC217=""),"",IF(AND(原始資料!BB217&lt;&gt;"",原始資料!BC217=原始資料!BB217),N(AZ217)+1,1))</f>
        <v/>
      </c>
      <c r="BB217" s="6">
        <f>IF(OR(原始資料!$A217="",53&gt;設定!$B$3,原始資料!BD217=""),"",IF(AND(原始資料!BC217&lt;&gt;"",原始資料!BD217=原始資料!BC217),N(BA217)+1,1))</f>
        <v/>
      </c>
      <c r="BC217" s="6">
        <f>IF(OR(原始資料!$A217="",54&gt;設定!$B$3,原始資料!BE217=""),"",IF(AND(原始資料!BD217&lt;&gt;"",原始資料!BE217=原始資料!BD217),N(BB217)+1,1))</f>
        <v/>
      </c>
      <c r="BD217" s="6">
        <f>IF(OR(原始資料!$A217="",55&gt;設定!$B$3,原始資料!BF217=""),"",IF(AND(原始資料!BE217&lt;&gt;"",原始資料!BF217=原始資料!BE217),N(BC217)+1,1))</f>
        <v/>
      </c>
      <c r="BE217" s="6">
        <f>IF(OR(原始資料!$A217="",56&gt;設定!$B$3,原始資料!BG217=""),"",IF(AND(原始資料!BF217&lt;&gt;"",原始資料!BG217=原始資料!BF217),N(BD217)+1,1))</f>
        <v/>
      </c>
      <c r="BF217" s="6">
        <f>IF(OR(原始資料!$A217="",57&gt;設定!$B$3,原始資料!BH217=""),"",IF(AND(原始資料!BG217&lt;&gt;"",原始資料!BH217=原始資料!BG217),N(BE217)+1,1))</f>
        <v/>
      </c>
      <c r="BG217" s="6">
        <f>IF(OR(原始資料!$A217="",58&gt;設定!$B$3,原始資料!BI217=""),"",IF(AND(原始資料!BH217&lt;&gt;"",原始資料!BI217=原始資料!BH217),N(BF217)+1,1))</f>
        <v/>
      </c>
      <c r="BH217" s="6">
        <f>IF(OR(原始資料!$A217="",59&gt;設定!$B$3,原始資料!BJ217=""),"",IF(AND(原始資料!BI217&lt;&gt;"",原始資料!BJ217=原始資料!BI217),N(BG217)+1,1))</f>
        <v/>
      </c>
      <c r="BI217" s="6">
        <f>IF(OR(原始資料!$A217="",60&gt;設定!$B$3,原始資料!BK217=""),"",IF(AND(原始資料!BJ217&lt;&gt;"",原始資料!BK217=原始資料!BJ217),N(BH217)+1,1))</f>
        <v/>
      </c>
    </row>
    <row r="218">
      <c r="A218" s="6">
        <f>IF(原始資料!$A218="","",原始資料!$A218)</f>
        <v/>
      </c>
      <c r="B218" s="6">
        <f>IF(OR(原始資料!$A218="",1&gt;設定!$B$3,原始資料!D218=""),"",1)</f>
        <v/>
      </c>
      <c r="C218" s="6">
        <f>IF(OR(原始資料!$A218="",2&gt;設定!$B$3,原始資料!E218=""),"",IF(AND(原始資料!D218&lt;&gt;"",原始資料!E218=原始資料!D218),N(B218)+1,1))</f>
        <v/>
      </c>
      <c r="D218" s="6">
        <f>IF(OR(原始資料!$A218="",3&gt;設定!$B$3,原始資料!F218=""),"",IF(AND(原始資料!E218&lt;&gt;"",原始資料!F218=原始資料!E218),N(C218)+1,1))</f>
        <v/>
      </c>
      <c r="E218" s="6">
        <f>IF(OR(原始資料!$A218="",4&gt;設定!$B$3,原始資料!G218=""),"",IF(AND(原始資料!F218&lt;&gt;"",原始資料!G218=原始資料!F218),N(D218)+1,1))</f>
        <v/>
      </c>
      <c r="F218" s="6">
        <f>IF(OR(原始資料!$A218="",5&gt;設定!$B$3,原始資料!H218=""),"",IF(AND(原始資料!G218&lt;&gt;"",原始資料!H218=原始資料!G218),N(E218)+1,1))</f>
        <v/>
      </c>
      <c r="G218" s="6">
        <f>IF(OR(原始資料!$A218="",6&gt;設定!$B$3,原始資料!I218=""),"",IF(AND(原始資料!H218&lt;&gt;"",原始資料!I218=原始資料!H218),N(F218)+1,1))</f>
        <v/>
      </c>
      <c r="H218" s="6">
        <f>IF(OR(原始資料!$A218="",7&gt;設定!$B$3,原始資料!J218=""),"",IF(AND(原始資料!I218&lt;&gt;"",原始資料!J218=原始資料!I218),N(G218)+1,1))</f>
        <v/>
      </c>
      <c r="I218" s="6">
        <f>IF(OR(原始資料!$A218="",8&gt;設定!$B$3,原始資料!K218=""),"",IF(AND(原始資料!J218&lt;&gt;"",原始資料!K218=原始資料!J218),N(H218)+1,1))</f>
        <v/>
      </c>
      <c r="J218" s="6">
        <f>IF(OR(原始資料!$A218="",9&gt;設定!$B$3,原始資料!L218=""),"",IF(AND(原始資料!K218&lt;&gt;"",原始資料!L218=原始資料!K218),N(I218)+1,1))</f>
        <v/>
      </c>
      <c r="K218" s="6">
        <f>IF(OR(原始資料!$A218="",10&gt;設定!$B$3,原始資料!M218=""),"",IF(AND(原始資料!L218&lt;&gt;"",原始資料!M218=原始資料!L218),N(J218)+1,1))</f>
        <v/>
      </c>
      <c r="L218" s="6">
        <f>IF(OR(原始資料!$A218="",11&gt;設定!$B$3,原始資料!N218=""),"",IF(AND(原始資料!M218&lt;&gt;"",原始資料!N218=原始資料!M218),N(K218)+1,1))</f>
        <v/>
      </c>
      <c r="M218" s="6">
        <f>IF(OR(原始資料!$A218="",12&gt;設定!$B$3,原始資料!O218=""),"",IF(AND(原始資料!N218&lt;&gt;"",原始資料!O218=原始資料!N218),N(L218)+1,1))</f>
        <v/>
      </c>
      <c r="N218" s="6">
        <f>IF(OR(原始資料!$A218="",13&gt;設定!$B$3,原始資料!P218=""),"",IF(AND(原始資料!O218&lt;&gt;"",原始資料!P218=原始資料!O218),N(M218)+1,1))</f>
        <v/>
      </c>
      <c r="O218" s="6">
        <f>IF(OR(原始資料!$A218="",14&gt;設定!$B$3,原始資料!Q218=""),"",IF(AND(原始資料!P218&lt;&gt;"",原始資料!Q218=原始資料!P218),N(N218)+1,1))</f>
        <v/>
      </c>
      <c r="P218" s="6">
        <f>IF(OR(原始資料!$A218="",15&gt;設定!$B$3,原始資料!R218=""),"",IF(AND(原始資料!Q218&lt;&gt;"",原始資料!R218=原始資料!Q218),N(O218)+1,1))</f>
        <v/>
      </c>
      <c r="Q218" s="6">
        <f>IF(OR(原始資料!$A218="",16&gt;設定!$B$3,原始資料!S218=""),"",IF(AND(原始資料!R218&lt;&gt;"",原始資料!S218=原始資料!R218),N(P218)+1,1))</f>
        <v/>
      </c>
      <c r="R218" s="6">
        <f>IF(OR(原始資料!$A218="",17&gt;設定!$B$3,原始資料!T218=""),"",IF(AND(原始資料!S218&lt;&gt;"",原始資料!T218=原始資料!S218),N(Q218)+1,1))</f>
        <v/>
      </c>
      <c r="S218" s="6">
        <f>IF(OR(原始資料!$A218="",18&gt;設定!$B$3,原始資料!U218=""),"",IF(AND(原始資料!T218&lt;&gt;"",原始資料!U218=原始資料!T218),N(R218)+1,1))</f>
        <v/>
      </c>
      <c r="T218" s="6">
        <f>IF(OR(原始資料!$A218="",19&gt;設定!$B$3,原始資料!V218=""),"",IF(AND(原始資料!U218&lt;&gt;"",原始資料!V218=原始資料!U218),N(S218)+1,1))</f>
        <v/>
      </c>
      <c r="U218" s="6">
        <f>IF(OR(原始資料!$A218="",20&gt;設定!$B$3,原始資料!W218=""),"",IF(AND(原始資料!V218&lt;&gt;"",原始資料!W218=原始資料!V218),N(T218)+1,1))</f>
        <v/>
      </c>
      <c r="V218" s="6">
        <f>IF(OR(原始資料!$A218="",21&gt;設定!$B$3,原始資料!X218=""),"",IF(AND(原始資料!W218&lt;&gt;"",原始資料!X218=原始資料!W218),N(U218)+1,1))</f>
        <v/>
      </c>
      <c r="W218" s="6">
        <f>IF(OR(原始資料!$A218="",22&gt;設定!$B$3,原始資料!Y218=""),"",IF(AND(原始資料!X218&lt;&gt;"",原始資料!Y218=原始資料!X218),N(V218)+1,1))</f>
        <v/>
      </c>
      <c r="X218" s="6">
        <f>IF(OR(原始資料!$A218="",23&gt;設定!$B$3,原始資料!Z218=""),"",IF(AND(原始資料!Y218&lt;&gt;"",原始資料!Z218=原始資料!Y218),N(W218)+1,1))</f>
        <v/>
      </c>
      <c r="Y218" s="6">
        <f>IF(OR(原始資料!$A218="",24&gt;設定!$B$3,原始資料!AA218=""),"",IF(AND(原始資料!Z218&lt;&gt;"",原始資料!AA218=原始資料!Z218),N(X218)+1,1))</f>
        <v/>
      </c>
      <c r="Z218" s="6">
        <f>IF(OR(原始資料!$A218="",25&gt;設定!$B$3,原始資料!AB218=""),"",IF(AND(原始資料!AA218&lt;&gt;"",原始資料!AB218=原始資料!AA218),N(Y218)+1,1))</f>
        <v/>
      </c>
      <c r="AA218" s="6">
        <f>IF(OR(原始資料!$A218="",26&gt;設定!$B$3,原始資料!AC218=""),"",IF(AND(原始資料!AB218&lt;&gt;"",原始資料!AC218=原始資料!AB218),N(Z218)+1,1))</f>
        <v/>
      </c>
      <c r="AB218" s="6">
        <f>IF(OR(原始資料!$A218="",27&gt;設定!$B$3,原始資料!AD218=""),"",IF(AND(原始資料!AC218&lt;&gt;"",原始資料!AD218=原始資料!AC218),N(AA218)+1,1))</f>
        <v/>
      </c>
      <c r="AC218" s="6">
        <f>IF(OR(原始資料!$A218="",28&gt;設定!$B$3,原始資料!AE218=""),"",IF(AND(原始資料!AD218&lt;&gt;"",原始資料!AE218=原始資料!AD218),N(AB218)+1,1))</f>
        <v/>
      </c>
      <c r="AD218" s="6">
        <f>IF(OR(原始資料!$A218="",29&gt;設定!$B$3,原始資料!AF218=""),"",IF(AND(原始資料!AE218&lt;&gt;"",原始資料!AF218=原始資料!AE218),N(AC218)+1,1))</f>
        <v/>
      </c>
      <c r="AE218" s="6">
        <f>IF(OR(原始資料!$A218="",30&gt;設定!$B$3,原始資料!AG218=""),"",IF(AND(原始資料!AF218&lt;&gt;"",原始資料!AG218=原始資料!AF218),N(AD218)+1,1))</f>
        <v/>
      </c>
      <c r="AF218" s="6">
        <f>IF(OR(原始資料!$A218="",31&gt;設定!$B$3,原始資料!AH218=""),"",IF(AND(原始資料!AG218&lt;&gt;"",原始資料!AH218=原始資料!AG218),N(AE218)+1,1))</f>
        <v/>
      </c>
      <c r="AG218" s="6">
        <f>IF(OR(原始資料!$A218="",32&gt;設定!$B$3,原始資料!AI218=""),"",IF(AND(原始資料!AH218&lt;&gt;"",原始資料!AI218=原始資料!AH218),N(AF218)+1,1))</f>
        <v/>
      </c>
      <c r="AH218" s="6">
        <f>IF(OR(原始資料!$A218="",33&gt;設定!$B$3,原始資料!AJ218=""),"",IF(AND(原始資料!AI218&lt;&gt;"",原始資料!AJ218=原始資料!AI218),N(AG218)+1,1))</f>
        <v/>
      </c>
      <c r="AI218" s="6">
        <f>IF(OR(原始資料!$A218="",34&gt;設定!$B$3,原始資料!AK218=""),"",IF(AND(原始資料!AJ218&lt;&gt;"",原始資料!AK218=原始資料!AJ218),N(AH218)+1,1))</f>
        <v/>
      </c>
      <c r="AJ218" s="6">
        <f>IF(OR(原始資料!$A218="",35&gt;設定!$B$3,原始資料!AL218=""),"",IF(AND(原始資料!AK218&lt;&gt;"",原始資料!AL218=原始資料!AK218),N(AI218)+1,1))</f>
        <v/>
      </c>
      <c r="AK218" s="6">
        <f>IF(OR(原始資料!$A218="",36&gt;設定!$B$3,原始資料!AM218=""),"",IF(AND(原始資料!AL218&lt;&gt;"",原始資料!AM218=原始資料!AL218),N(AJ218)+1,1))</f>
        <v/>
      </c>
      <c r="AL218" s="6">
        <f>IF(OR(原始資料!$A218="",37&gt;設定!$B$3,原始資料!AN218=""),"",IF(AND(原始資料!AM218&lt;&gt;"",原始資料!AN218=原始資料!AM218),N(AK218)+1,1))</f>
        <v/>
      </c>
      <c r="AM218" s="6">
        <f>IF(OR(原始資料!$A218="",38&gt;設定!$B$3,原始資料!AO218=""),"",IF(AND(原始資料!AN218&lt;&gt;"",原始資料!AO218=原始資料!AN218),N(AL218)+1,1))</f>
        <v/>
      </c>
      <c r="AN218" s="6">
        <f>IF(OR(原始資料!$A218="",39&gt;設定!$B$3,原始資料!AP218=""),"",IF(AND(原始資料!AO218&lt;&gt;"",原始資料!AP218=原始資料!AO218),N(AM218)+1,1))</f>
        <v/>
      </c>
      <c r="AO218" s="6">
        <f>IF(OR(原始資料!$A218="",40&gt;設定!$B$3,原始資料!AQ218=""),"",IF(AND(原始資料!AP218&lt;&gt;"",原始資料!AQ218=原始資料!AP218),N(AN218)+1,1))</f>
        <v/>
      </c>
      <c r="AP218" s="6">
        <f>IF(OR(原始資料!$A218="",41&gt;設定!$B$3,原始資料!AR218=""),"",IF(AND(原始資料!AQ218&lt;&gt;"",原始資料!AR218=原始資料!AQ218),N(AO218)+1,1))</f>
        <v/>
      </c>
      <c r="AQ218" s="6">
        <f>IF(OR(原始資料!$A218="",42&gt;設定!$B$3,原始資料!AS218=""),"",IF(AND(原始資料!AR218&lt;&gt;"",原始資料!AS218=原始資料!AR218),N(AP218)+1,1))</f>
        <v/>
      </c>
      <c r="AR218" s="6">
        <f>IF(OR(原始資料!$A218="",43&gt;設定!$B$3,原始資料!AT218=""),"",IF(AND(原始資料!AS218&lt;&gt;"",原始資料!AT218=原始資料!AS218),N(AQ218)+1,1))</f>
        <v/>
      </c>
      <c r="AS218" s="6">
        <f>IF(OR(原始資料!$A218="",44&gt;設定!$B$3,原始資料!AU218=""),"",IF(AND(原始資料!AT218&lt;&gt;"",原始資料!AU218=原始資料!AT218),N(AR218)+1,1))</f>
        <v/>
      </c>
      <c r="AT218" s="6">
        <f>IF(OR(原始資料!$A218="",45&gt;設定!$B$3,原始資料!AV218=""),"",IF(AND(原始資料!AU218&lt;&gt;"",原始資料!AV218=原始資料!AU218),N(AS218)+1,1))</f>
        <v/>
      </c>
      <c r="AU218" s="6">
        <f>IF(OR(原始資料!$A218="",46&gt;設定!$B$3,原始資料!AW218=""),"",IF(AND(原始資料!AV218&lt;&gt;"",原始資料!AW218=原始資料!AV218),N(AT218)+1,1))</f>
        <v/>
      </c>
      <c r="AV218" s="6">
        <f>IF(OR(原始資料!$A218="",47&gt;設定!$B$3,原始資料!AX218=""),"",IF(AND(原始資料!AW218&lt;&gt;"",原始資料!AX218=原始資料!AW218),N(AU218)+1,1))</f>
        <v/>
      </c>
      <c r="AW218" s="6">
        <f>IF(OR(原始資料!$A218="",48&gt;設定!$B$3,原始資料!AY218=""),"",IF(AND(原始資料!AX218&lt;&gt;"",原始資料!AY218=原始資料!AX218),N(AV218)+1,1))</f>
        <v/>
      </c>
      <c r="AX218" s="6">
        <f>IF(OR(原始資料!$A218="",49&gt;設定!$B$3,原始資料!AZ218=""),"",IF(AND(原始資料!AY218&lt;&gt;"",原始資料!AZ218=原始資料!AY218),N(AW218)+1,1))</f>
        <v/>
      </c>
      <c r="AY218" s="6">
        <f>IF(OR(原始資料!$A218="",50&gt;設定!$B$3,原始資料!BA218=""),"",IF(AND(原始資料!AZ218&lt;&gt;"",原始資料!BA218=原始資料!AZ218),N(AX218)+1,1))</f>
        <v/>
      </c>
      <c r="AZ218" s="6">
        <f>IF(OR(原始資料!$A218="",51&gt;設定!$B$3,原始資料!BB218=""),"",IF(AND(原始資料!BA218&lt;&gt;"",原始資料!BB218=原始資料!BA218),N(AY218)+1,1))</f>
        <v/>
      </c>
      <c r="BA218" s="6">
        <f>IF(OR(原始資料!$A218="",52&gt;設定!$B$3,原始資料!BC218=""),"",IF(AND(原始資料!BB218&lt;&gt;"",原始資料!BC218=原始資料!BB218),N(AZ218)+1,1))</f>
        <v/>
      </c>
      <c r="BB218" s="6">
        <f>IF(OR(原始資料!$A218="",53&gt;設定!$B$3,原始資料!BD218=""),"",IF(AND(原始資料!BC218&lt;&gt;"",原始資料!BD218=原始資料!BC218),N(BA218)+1,1))</f>
        <v/>
      </c>
      <c r="BC218" s="6">
        <f>IF(OR(原始資料!$A218="",54&gt;設定!$B$3,原始資料!BE218=""),"",IF(AND(原始資料!BD218&lt;&gt;"",原始資料!BE218=原始資料!BD218),N(BB218)+1,1))</f>
        <v/>
      </c>
      <c r="BD218" s="6">
        <f>IF(OR(原始資料!$A218="",55&gt;設定!$B$3,原始資料!BF218=""),"",IF(AND(原始資料!BE218&lt;&gt;"",原始資料!BF218=原始資料!BE218),N(BC218)+1,1))</f>
        <v/>
      </c>
      <c r="BE218" s="6">
        <f>IF(OR(原始資料!$A218="",56&gt;設定!$B$3,原始資料!BG218=""),"",IF(AND(原始資料!BF218&lt;&gt;"",原始資料!BG218=原始資料!BF218),N(BD218)+1,1))</f>
        <v/>
      </c>
      <c r="BF218" s="6">
        <f>IF(OR(原始資料!$A218="",57&gt;設定!$B$3,原始資料!BH218=""),"",IF(AND(原始資料!BG218&lt;&gt;"",原始資料!BH218=原始資料!BG218),N(BE218)+1,1))</f>
        <v/>
      </c>
      <c r="BG218" s="6">
        <f>IF(OR(原始資料!$A218="",58&gt;設定!$B$3,原始資料!BI218=""),"",IF(AND(原始資料!BH218&lt;&gt;"",原始資料!BI218=原始資料!BH218),N(BF218)+1,1))</f>
        <v/>
      </c>
      <c r="BH218" s="6">
        <f>IF(OR(原始資料!$A218="",59&gt;設定!$B$3,原始資料!BJ218=""),"",IF(AND(原始資料!BI218&lt;&gt;"",原始資料!BJ218=原始資料!BI218),N(BG218)+1,1))</f>
        <v/>
      </c>
      <c r="BI218" s="6">
        <f>IF(OR(原始資料!$A218="",60&gt;設定!$B$3,原始資料!BK218=""),"",IF(AND(原始資料!BJ218&lt;&gt;"",原始資料!BK218=原始資料!BJ218),N(BH218)+1,1))</f>
        <v/>
      </c>
    </row>
    <row r="219">
      <c r="A219" s="6">
        <f>IF(原始資料!$A219="","",原始資料!$A219)</f>
        <v/>
      </c>
      <c r="B219" s="6">
        <f>IF(OR(原始資料!$A219="",1&gt;設定!$B$3,原始資料!D219=""),"",1)</f>
        <v/>
      </c>
      <c r="C219" s="6">
        <f>IF(OR(原始資料!$A219="",2&gt;設定!$B$3,原始資料!E219=""),"",IF(AND(原始資料!D219&lt;&gt;"",原始資料!E219=原始資料!D219),N(B219)+1,1))</f>
        <v/>
      </c>
      <c r="D219" s="6">
        <f>IF(OR(原始資料!$A219="",3&gt;設定!$B$3,原始資料!F219=""),"",IF(AND(原始資料!E219&lt;&gt;"",原始資料!F219=原始資料!E219),N(C219)+1,1))</f>
        <v/>
      </c>
      <c r="E219" s="6">
        <f>IF(OR(原始資料!$A219="",4&gt;設定!$B$3,原始資料!G219=""),"",IF(AND(原始資料!F219&lt;&gt;"",原始資料!G219=原始資料!F219),N(D219)+1,1))</f>
        <v/>
      </c>
      <c r="F219" s="6">
        <f>IF(OR(原始資料!$A219="",5&gt;設定!$B$3,原始資料!H219=""),"",IF(AND(原始資料!G219&lt;&gt;"",原始資料!H219=原始資料!G219),N(E219)+1,1))</f>
        <v/>
      </c>
      <c r="G219" s="6">
        <f>IF(OR(原始資料!$A219="",6&gt;設定!$B$3,原始資料!I219=""),"",IF(AND(原始資料!H219&lt;&gt;"",原始資料!I219=原始資料!H219),N(F219)+1,1))</f>
        <v/>
      </c>
      <c r="H219" s="6">
        <f>IF(OR(原始資料!$A219="",7&gt;設定!$B$3,原始資料!J219=""),"",IF(AND(原始資料!I219&lt;&gt;"",原始資料!J219=原始資料!I219),N(G219)+1,1))</f>
        <v/>
      </c>
      <c r="I219" s="6">
        <f>IF(OR(原始資料!$A219="",8&gt;設定!$B$3,原始資料!K219=""),"",IF(AND(原始資料!J219&lt;&gt;"",原始資料!K219=原始資料!J219),N(H219)+1,1))</f>
        <v/>
      </c>
      <c r="J219" s="6">
        <f>IF(OR(原始資料!$A219="",9&gt;設定!$B$3,原始資料!L219=""),"",IF(AND(原始資料!K219&lt;&gt;"",原始資料!L219=原始資料!K219),N(I219)+1,1))</f>
        <v/>
      </c>
      <c r="K219" s="6">
        <f>IF(OR(原始資料!$A219="",10&gt;設定!$B$3,原始資料!M219=""),"",IF(AND(原始資料!L219&lt;&gt;"",原始資料!M219=原始資料!L219),N(J219)+1,1))</f>
        <v/>
      </c>
      <c r="L219" s="6">
        <f>IF(OR(原始資料!$A219="",11&gt;設定!$B$3,原始資料!N219=""),"",IF(AND(原始資料!M219&lt;&gt;"",原始資料!N219=原始資料!M219),N(K219)+1,1))</f>
        <v/>
      </c>
      <c r="M219" s="6">
        <f>IF(OR(原始資料!$A219="",12&gt;設定!$B$3,原始資料!O219=""),"",IF(AND(原始資料!N219&lt;&gt;"",原始資料!O219=原始資料!N219),N(L219)+1,1))</f>
        <v/>
      </c>
      <c r="N219" s="6">
        <f>IF(OR(原始資料!$A219="",13&gt;設定!$B$3,原始資料!P219=""),"",IF(AND(原始資料!O219&lt;&gt;"",原始資料!P219=原始資料!O219),N(M219)+1,1))</f>
        <v/>
      </c>
      <c r="O219" s="6">
        <f>IF(OR(原始資料!$A219="",14&gt;設定!$B$3,原始資料!Q219=""),"",IF(AND(原始資料!P219&lt;&gt;"",原始資料!Q219=原始資料!P219),N(N219)+1,1))</f>
        <v/>
      </c>
      <c r="P219" s="6">
        <f>IF(OR(原始資料!$A219="",15&gt;設定!$B$3,原始資料!R219=""),"",IF(AND(原始資料!Q219&lt;&gt;"",原始資料!R219=原始資料!Q219),N(O219)+1,1))</f>
        <v/>
      </c>
      <c r="Q219" s="6">
        <f>IF(OR(原始資料!$A219="",16&gt;設定!$B$3,原始資料!S219=""),"",IF(AND(原始資料!R219&lt;&gt;"",原始資料!S219=原始資料!R219),N(P219)+1,1))</f>
        <v/>
      </c>
      <c r="R219" s="6">
        <f>IF(OR(原始資料!$A219="",17&gt;設定!$B$3,原始資料!T219=""),"",IF(AND(原始資料!S219&lt;&gt;"",原始資料!T219=原始資料!S219),N(Q219)+1,1))</f>
        <v/>
      </c>
      <c r="S219" s="6">
        <f>IF(OR(原始資料!$A219="",18&gt;設定!$B$3,原始資料!U219=""),"",IF(AND(原始資料!T219&lt;&gt;"",原始資料!U219=原始資料!T219),N(R219)+1,1))</f>
        <v/>
      </c>
      <c r="T219" s="6">
        <f>IF(OR(原始資料!$A219="",19&gt;設定!$B$3,原始資料!V219=""),"",IF(AND(原始資料!U219&lt;&gt;"",原始資料!V219=原始資料!U219),N(S219)+1,1))</f>
        <v/>
      </c>
      <c r="U219" s="6">
        <f>IF(OR(原始資料!$A219="",20&gt;設定!$B$3,原始資料!W219=""),"",IF(AND(原始資料!V219&lt;&gt;"",原始資料!W219=原始資料!V219),N(T219)+1,1))</f>
        <v/>
      </c>
      <c r="V219" s="6">
        <f>IF(OR(原始資料!$A219="",21&gt;設定!$B$3,原始資料!X219=""),"",IF(AND(原始資料!W219&lt;&gt;"",原始資料!X219=原始資料!W219),N(U219)+1,1))</f>
        <v/>
      </c>
      <c r="W219" s="6">
        <f>IF(OR(原始資料!$A219="",22&gt;設定!$B$3,原始資料!Y219=""),"",IF(AND(原始資料!X219&lt;&gt;"",原始資料!Y219=原始資料!X219),N(V219)+1,1))</f>
        <v/>
      </c>
      <c r="X219" s="6">
        <f>IF(OR(原始資料!$A219="",23&gt;設定!$B$3,原始資料!Z219=""),"",IF(AND(原始資料!Y219&lt;&gt;"",原始資料!Z219=原始資料!Y219),N(W219)+1,1))</f>
        <v/>
      </c>
      <c r="Y219" s="6">
        <f>IF(OR(原始資料!$A219="",24&gt;設定!$B$3,原始資料!AA219=""),"",IF(AND(原始資料!Z219&lt;&gt;"",原始資料!AA219=原始資料!Z219),N(X219)+1,1))</f>
        <v/>
      </c>
      <c r="Z219" s="6">
        <f>IF(OR(原始資料!$A219="",25&gt;設定!$B$3,原始資料!AB219=""),"",IF(AND(原始資料!AA219&lt;&gt;"",原始資料!AB219=原始資料!AA219),N(Y219)+1,1))</f>
        <v/>
      </c>
      <c r="AA219" s="6">
        <f>IF(OR(原始資料!$A219="",26&gt;設定!$B$3,原始資料!AC219=""),"",IF(AND(原始資料!AB219&lt;&gt;"",原始資料!AC219=原始資料!AB219),N(Z219)+1,1))</f>
        <v/>
      </c>
      <c r="AB219" s="6">
        <f>IF(OR(原始資料!$A219="",27&gt;設定!$B$3,原始資料!AD219=""),"",IF(AND(原始資料!AC219&lt;&gt;"",原始資料!AD219=原始資料!AC219),N(AA219)+1,1))</f>
        <v/>
      </c>
      <c r="AC219" s="6">
        <f>IF(OR(原始資料!$A219="",28&gt;設定!$B$3,原始資料!AE219=""),"",IF(AND(原始資料!AD219&lt;&gt;"",原始資料!AE219=原始資料!AD219),N(AB219)+1,1))</f>
        <v/>
      </c>
      <c r="AD219" s="6">
        <f>IF(OR(原始資料!$A219="",29&gt;設定!$B$3,原始資料!AF219=""),"",IF(AND(原始資料!AE219&lt;&gt;"",原始資料!AF219=原始資料!AE219),N(AC219)+1,1))</f>
        <v/>
      </c>
      <c r="AE219" s="6">
        <f>IF(OR(原始資料!$A219="",30&gt;設定!$B$3,原始資料!AG219=""),"",IF(AND(原始資料!AF219&lt;&gt;"",原始資料!AG219=原始資料!AF219),N(AD219)+1,1))</f>
        <v/>
      </c>
      <c r="AF219" s="6">
        <f>IF(OR(原始資料!$A219="",31&gt;設定!$B$3,原始資料!AH219=""),"",IF(AND(原始資料!AG219&lt;&gt;"",原始資料!AH219=原始資料!AG219),N(AE219)+1,1))</f>
        <v/>
      </c>
      <c r="AG219" s="6">
        <f>IF(OR(原始資料!$A219="",32&gt;設定!$B$3,原始資料!AI219=""),"",IF(AND(原始資料!AH219&lt;&gt;"",原始資料!AI219=原始資料!AH219),N(AF219)+1,1))</f>
        <v/>
      </c>
      <c r="AH219" s="6">
        <f>IF(OR(原始資料!$A219="",33&gt;設定!$B$3,原始資料!AJ219=""),"",IF(AND(原始資料!AI219&lt;&gt;"",原始資料!AJ219=原始資料!AI219),N(AG219)+1,1))</f>
        <v/>
      </c>
      <c r="AI219" s="6">
        <f>IF(OR(原始資料!$A219="",34&gt;設定!$B$3,原始資料!AK219=""),"",IF(AND(原始資料!AJ219&lt;&gt;"",原始資料!AK219=原始資料!AJ219),N(AH219)+1,1))</f>
        <v/>
      </c>
      <c r="AJ219" s="6">
        <f>IF(OR(原始資料!$A219="",35&gt;設定!$B$3,原始資料!AL219=""),"",IF(AND(原始資料!AK219&lt;&gt;"",原始資料!AL219=原始資料!AK219),N(AI219)+1,1))</f>
        <v/>
      </c>
      <c r="AK219" s="6">
        <f>IF(OR(原始資料!$A219="",36&gt;設定!$B$3,原始資料!AM219=""),"",IF(AND(原始資料!AL219&lt;&gt;"",原始資料!AM219=原始資料!AL219),N(AJ219)+1,1))</f>
        <v/>
      </c>
      <c r="AL219" s="6">
        <f>IF(OR(原始資料!$A219="",37&gt;設定!$B$3,原始資料!AN219=""),"",IF(AND(原始資料!AM219&lt;&gt;"",原始資料!AN219=原始資料!AM219),N(AK219)+1,1))</f>
        <v/>
      </c>
      <c r="AM219" s="6">
        <f>IF(OR(原始資料!$A219="",38&gt;設定!$B$3,原始資料!AO219=""),"",IF(AND(原始資料!AN219&lt;&gt;"",原始資料!AO219=原始資料!AN219),N(AL219)+1,1))</f>
        <v/>
      </c>
      <c r="AN219" s="6">
        <f>IF(OR(原始資料!$A219="",39&gt;設定!$B$3,原始資料!AP219=""),"",IF(AND(原始資料!AO219&lt;&gt;"",原始資料!AP219=原始資料!AO219),N(AM219)+1,1))</f>
        <v/>
      </c>
      <c r="AO219" s="6">
        <f>IF(OR(原始資料!$A219="",40&gt;設定!$B$3,原始資料!AQ219=""),"",IF(AND(原始資料!AP219&lt;&gt;"",原始資料!AQ219=原始資料!AP219),N(AN219)+1,1))</f>
        <v/>
      </c>
      <c r="AP219" s="6">
        <f>IF(OR(原始資料!$A219="",41&gt;設定!$B$3,原始資料!AR219=""),"",IF(AND(原始資料!AQ219&lt;&gt;"",原始資料!AR219=原始資料!AQ219),N(AO219)+1,1))</f>
        <v/>
      </c>
      <c r="AQ219" s="6">
        <f>IF(OR(原始資料!$A219="",42&gt;設定!$B$3,原始資料!AS219=""),"",IF(AND(原始資料!AR219&lt;&gt;"",原始資料!AS219=原始資料!AR219),N(AP219)+1,1))</f>
        <v/>
      </c>
      <c r="AR219" s="6">
        <f>IF(OR(原始資料!$A219="",43&gt;設定!$B$3,原始資料!AT219=""),"",IF(AND(原始資料!AS219&lt;&gt;"",原始資料!AT219=原始資料!AS219),N(AQ219)+1,1))</f>
        <v/>
      </c>
      <c r="AS219" s="6">
        <f>IF(OR(原始資料!$A219="",44&gt;設定!$B$3,原始資料!AU219=""),"",IF(AND(原始資料!AT219&lt;&gt;"",原始資料!AU219=原始資料!AT219),N(AR219)+1,1))</f>
        <v/>
      </c>
      <c r="AT219" s="6">
        <f>IF(OR(原始資料!$A219="",45&gt;設定!$B$3,原始資料!AV219=""),"",IF(AND(原始資料!AU219&lt;&gt;"",原始資料!AV219=原始資料!AU219),N(AS219)+1,1))</f>
        <v/>
      </c>
      <c r="AU219" s="6">
        <f>IF(OR(原始資料!$A219="",46&gt;設定!$B$3,原始資料!AW219=""),"",IF(AND(原始資料!AV219&lt;&gt;"",原始資料!AW219=原始資料!AV219),N(AT219)+1,1))</f>
        <v/>
      </c>
      <c r="AV219" s="6">
        <f>IF(OR(原始資料!$A219="",47&gt;設定!$B$3,原始資料!AX219=""),"",IF(AND(原始資料!AW219&lt;&gt;"",原始資料!AX219=原始資料!AW219),N(AU219)+1,1))</f>
        <v/>
      </c>
      <c r="AW219" s="6">
        <f>IF(OR(原始資料!$A219="",48&gt;設定!$B$3,原始資料!AY219=""),"",IF(AND(原始資料!AX219&lt;&gt;"",原始資料!AY219=原始資料!AX219),N(AV219)+1,1))</f>
        <v/>
      </c>
      <c r="AX219" s="6">
        <f>IF(OR(原始資料!$A219="",49&gt;設定!$B$3,原始資料!AZ219=""),"",IF(AND(原始資料!AY219&lt;&gt;"",原始資料!AZ219=原始資料!AY219),N(AW219)+1,1))</f>
        <v/>
      </c>
      <c r="AY219" s="6">
        <f>IF(OR(原始資料!$A219="",50&gt;設定!$B$3,原始資料!BA219=""),"",IF(AND(原始資料!AZ219&lt;&gt;"",原始資料!BA219=原始資料!AZ219),N(AX219)+1,1))</f>
        <v/>
      </c>
      <c r="AZ219" s="6">
        <f>IF(OR(原始資料!$A219="",51&gt;設定!$B$3,原始資料!BB219=""),"",IF(AND(原始資料!BA219&lt;&gt;"",原始資料!BB219=原始資料!BA219),N(AY219)+1,1))</f>
        <v/>
      </c>
      <c r="BA219" s="6">
        <f>IF(OR(原始資料!$A219="",52&gt;設定!$B$3,原始資料!BC219=""),"",IF(AND(原始資料!BB219&lt;&gt;"",原始資料!BC219=原始資料!BB219),N(AZ219)+1,1))</f>
        <v/>
      </c>
      <c r="BB219" s="6">
        <f>IF(OR(原始資料!$A219="",53&gt;設定!$B$3,原始資料!BD219=""),"",IF(AND(原始資料!BC219&lt;&gt;"",原始資料!BD219=原始資料!BC219),N(BA219)+1,1))</f>
        <v/>
      </c>
      <c r="BC219" s="6">
        <f>IF(OR(原始資料!$A219="",54&gt;設定!$B$3,原始資料!BE219=""),"",IF(AND(原始資料!BD219&lt;&gt;"",原始資料!BE219=原始資料!BD219),N(BB219)+1,1))</f>
        <v/>
      </c>
      <c r="BD219" s="6">
        <f>IF(OR(原始資料!$A219="",55&gt;設定!$B$3,原始資料!BF219=""),"",IF(AND(原始資料!BE219&lt;&gt;"",原始資料!BF219=原始資料!BE219),N(BC219)+1,1))</f>
        <v/>
      </c>
      <c r="BE219" s="6">
        <f>IF(OR(原始資料!$A219="",56&gt;設定!$B$3,原始資料!BG219=""),"",IF(AND(原始資料!BF219&lt;&gt;"",原始資料!BG219=原始資料!BF219),N(BD219)+1,1))</f>
        <v/>
      </c>
      <c r="BF219" s="6">
        <f>IF(OR(原始資料!$A219="",57&gt;設定!$B$3,原始資料!BH219=""),"",IF(AND(原始資料!BG219&lt;&gt;"",原始資料!BH219=原始資料!BG219),N(BE219)+1,1))</f>
        <v/>
      </c>
      <c r="BG219" s="6">
        <f>IF(OR(原始資料!$A219="",58&gt;設定!$B$3,原始資料!BI219=""),"",IF(AND(原始資料!BH219&lt;&gt;"",原始資料!BI219=原始資料!BH219),N(BF219)+1,1))</f>
        <v/>
      </c>
      <c r="BH219" s="6">
        <f>IF(OR(原始資料!$A219="",59&gt;設定!$B$3,原始資料!BJ219=""),"",IF(AND(原始資料!BI219&lt;&gt;"",原始資料!BJ219=原始資料!BI219),N(BG219)+1,1))</f>
        <v/>
      </c>
      <c r="BI219" s="6">
        <f>IF(OR(原始資料!$A219="",60&gt;設定!$B$3,原始資料!BK219=""),"",IF(AND(原始資料!BJ219&lt;&gt;"",原始資料!BK219=原始資料!BJ219),N(BH219)+1,1))</f>
        <v/>
      </c>
    </row>
    <row r="220">
      <c r="A220" s="6">
        <f>IF(原始資料!$A220="","",原始資料!$A220)</f>
        <v/>
      </c>
      <c r="B220" s="6">
        <f>IF(OR(原始資料!$A220="",1&gt;設定!$B$3,原始資料!D220=""),"",1)</f>
        <v/>
      </c>
      <c r="C220" s="6">
        <f>IF(OR(原始資料!$A220="",2&gt;設定!$B$3,原始資料!E220=""),"",IF(AND(原始資料!D220&lt;&gt;"",原始資料!E220=原始資料!D220),N(B220)+1,1))</f>
        <v/>
      </c>
      <c r="D220" s="6">
        <f>IF(OR(原始資料!$A220="",3&gt;設定!$B$3,原始資料!F220=""),"",IF(AND(原始資料!E220&lt;&gt;"",原始資料!F220=原始資料!E220),N(C220)+1,1))</f>
        <v/>
      </c>
      <c r="E220" s="6">
        <f>IF(OR(原始資料!$A220="",4&gt;設定!$B$3,原始資料!G220=""),"",IF(AND(原始資料!F220&lt;&gt;"",原始資料!G220=原始資料!F220),N(D220)+1,1))</f>
        <v/>
      </c>
      <c r="F220" s="6">
        <f>IF(OR(原始資料!$A220="",5&gt;設定!$B$3,原始資料!H220=""),"",IF(AND(原始資料!G220&lt;&gt;"",原始資料!H220=原始資料!G220),N(E220)+1,1))</f>
        <v/>
      </c>
      <c r="G220" s="6">
        <f>IF(OR(原始資料!$A220="",6&gt;設定!$B$3,原始資料!I220=""),"",IF(AND(原始資料!H220&lt;&gt;"",原始資料!I220=原始資料!H220),N(F220)+1,1))</f>
        <v/>
      </c>
      <c r="H220" s="6">
        <f>IF(OR(原始資料!$A220="",7&gt;設定!$B$3,原始資料!J220=""),"",IF(AND(原始資料!I220&lt;&gt;"",原始資料!J220=原始資料!I220),N(G220)+1,1))</f>
        <v/>
      </c>
      <c r="I220" s="6">
        <f>IF(OR(原始資料!$A220="",8&gt;設定!$B$3,原始資料!K220=""),"",IF(AND(原始資料!J220&lt;&gt;"",原始資料!K220=原始資料!J220),N(H220)+1,1))</f>
        <v/>
      </c>
      <c r="J220" s="6">
        <f>IF(OR(原始資料!$A220="",9&gt;設定!$B$3,原始資料!L220=""),"",IF(AND(原始資料!K220&lt;&gt;"",原始資料!L220=原始資料!K220),N(I220)+1,1))</f>
        <v/>
      </c>
      <c r="K220" s="6">
        <f>IF(OR(原始資料!$A220="",10&gt;設定!$B$3,原始資料!M220=""),"",IF(AND(原始資料!L220&lt;&gt;"",原始資料!M220=原始資料!L220),N(J220)+1,1))</f>
        <v/>
      </c>
      <c r="L220" s="6">
        <f>IF(OR(原始資料!$A220="",11&gt;設定!$B$3,原始資料!N220=""),"",IF(AND(原始資料!M220&lt;&gt;"",原始資料!N220=原始資料!M220),N(K220)+1,1))</f>
        <v/>
      </c>
      <c r="M220" s="6">
        <f>IF(OR(原始資料!$A220="",12&gt;設定!$B$3,原始資料!O220=""),"",IF(AND(原始資料!N220&lt;&gt;"",原始資料!O220=原始資料!N220),N(L220)+1,1))</f>
        <v/>
      </c>
      <c r="N220" s="6">
        <f>IF(OR(原始資料!$A220="",13&gt;設定!$B$3,原始資料!P220=""),"",IF(AND(原始資料!O220&lt;&gt;"",原始資料!P220=原始資料!O220),N(M220)+1,1))</f>
        <v/>
      </c>
      <c r="O220" s="6">
        <f>IF(OR(原始資料!$A220="",14&gt;設定!$B$3,原始資料!Q220=""),"",IF(AND(原始資料!P220&lt;&gt;"",原始資料!Q220=原始資料!P220),N(N220)+1,1))</f>
        <v/>
      </c>
      <c r="P220" s="6">
        <f>IF(OR(原始資料!$A220="",15&gt;設定!$B$3,原始資料!R220=""),"",IF(AND(原始資料!Q220&lt;&gt;"",原始資料!R220=原始資料!Q220),N(O220)+1,1))</f>
        <v/>
      </c>
      <c r="Q220" s="6">
        <f>IF(OR(原始資料!$A220="",16&gt;設定!$B$3,原始資料!S220=""),"",IF(AND(原始資料!R220&lt;&gt;"",原始資料!S220=原始資料!R220),N(P220)+1,1))</f>
        <v/>
      </c>
      <c r="R220" s="6">
        <f>IF(OR(原始資料!$A220="",17&gt;設定!$B$3,原始資料!T220=""),"",IF(AND(原始資料!S220&lt;&gt;"",原始資料!T220=原始資料!S220),N(Q220)+1,1))</f>
        <v/>
      </c>
      <c r="S220" s="6">
        <f>IF(OR(原始資料!$A220="",18&gt;設定!$B$3,原始資料!U220=""),"",IF(AND(原始資料!T220&lt;&gt;"",原始資料!U220=原始資料!T220),N(R220)+1,1))</f>
        <v/>
      </c>
      <c r="T220" s="6">
        <f>IF(OR(原始資料!$A220="",19&gt;設定!$B$3,原始資料!V220=""),"",IF(AND(原始資料!U220&lt;&gt;"",原始資料!V220=原始資料!U220),N(S220)+1,1))</f>
        <v/>
      </c>
      <c r="U220" s="6">
        <f>IF(OR(原始資料!$A220="",20&gt;設定!$B$3,原始資料!W220=""),"",IF(AND(原始資料!V220&lt;&gt;"",原始資料!W220=原始資料!V220),N(T220)+1,1))</f>
        <v/>
      </c>
      <c r="V220" s="6">
        <f>IF(OR(原始資料!$A220="",21&gt;設定!$B$3,原始資料!X220=""),"",IF(AND(原始資料!W220&lt;&gt;"",原始資料!X220=原始資料!W220),N(U220)+1,1))</f>
        <v/>
      </c>
      <c r="W220" s="6">
        <f>IF(OR(原始資料!$A220="",22&gt;設定!$B$3,原始資料!Y220=""),"",IF(AND(原始資料!X220&lt;&gt;"",原始資料!Y220=原始資料!X220),N(V220)+1,1))</f>
        <v/>
      </c>
      <c r="X220" s="6">
        <f>IF(OR(原始資料!$A220="",23&gt;設定!$B$3,原始資料!Z220=""),"",IF(AND(原始資料!Y220&lt;&gt;"",原始資料!Z220=原始資料!Y220),N(W220)+1,1))</f>
        <v/>
      </c>
      <c r="Y220" s="6">
        <f>IF(OR(原始資料!$A220="",24&gt;設定!$B$3,原始資料!AA220=""),"",IF(AND(原始資料!Z220&lt;&gt;"",原始資料!AA220=原始資料!Z220),N(X220)+1,1))</f>
        <v/>
      </c>
      <c r="Z220" s="6">
        <f>IF(OR(原始資料!$A220="",25&gt;設定!$B$3,原始資料!AB220=""),"",IF(AND(原始資料!AA220&lt;&gt;"",原始資料!AB220=原始資料!AA220),N(Y220)+1,1))</f>
        <v/>
      </c>
      <c r="AA220" s="6">
        <f>IF(OR(原始資料!$A220="",26&gt;設定!$B$3,原始資料!AC220=""),"",IF(AND(原始資料!AB220&lt;&gt;"",原始資料!AC220=原始資料!AB220),N(Z220)+1,1))</f>
        <v/>
      </c>
      <c r="AB220" s="6">
        <f>IF(OR(原始資料!$A220="",27&gt;設定!$B$3,原始資料!AD220=""),"",IF(AND(原始資料!AC220&lt;&gt;"",原始資料!AD220=原始資料!AC220),N(AA220)+1,1))</f>
        <v/>
      </c>
      <c r="AC220" s="6">
        <f>IF(OR(原始資料!$A220="",28&gt;設定!$B$3,原始資料!AE220=""),"",IF(AND(原始資料!AD220&lt;&gt;"",原始資料!AE220=原始資料!AD220),N(AB220)+1,1))</f>
        <v/>
      </c>
      <c r="AD220" s="6">
        <f>IF(OR(原始資料!$A220="",29&gt;設定!$B$3,原始資料!AF220=""),"",IF(AND(原始資料!AE220&lt;&gt;"",原始資料!AF220=原始資料!AE220),N(AC220)+1,1))</f>
        <v/>
      </c>
      <c r="AE220" s="6">
        <f>IF(OR(原始資料!$A220="",30&gt;設定!$B$3,原始資料!AG220=""),"",IF(AND(原始資料!AF220&lt;&gt;"",原始資料!AG220=原始資料!AF220),N(AD220)+1,1))</f>
        <v/>
      </c>
      <c r="AF220" s="6">
        <f>IF(OR(原始資料!$A220="",31&gt;設定!$B$3,原始資料!AH220=""),"",IF(AND(原始資料!AG220&lt;&gt;"",原始資料!AH220=原始資料!AG220),N(AE220)+1,1))</f>
        <v/>
      </c>
      <c r="AG220" s="6">
        <f>IF(OR(原始資料!$A220="",32&gt;設定!$B$3,原始資料!AI220=""),"",IF(AND(原始資料!AH220&lt;&gt;"",原始資料!AI220=原始資料!AH220),N(AF220)+1,1))</f>
        <v/>
      </c>
      <c r="AH220" s="6">
        <f>IF(OR(原始資料!$A220="",33&gt;設定!$B$3,原始資料!AJ220=""),"",IF(AND(原始資料!AI220&lt;&gt;"",原始資料!AJ220=原始資料!AI220),N(AG220)+1,1))</f>
        <v/>
      </c>
      <c r="AI220" s="6">
        <f>IF(OR(原始資料!$A220="",34&gt;設定!$B$3,原始資料!AK220=""),"",IF(AND(原始資料!AJ220&lt;&gt;"",原始資料!AK220=原始資料!AJ220),N(AH220)+1,1))</f>
        <v/>
      </c>
      <c r="AJ220" s="6">
        <f>IF(OR(原始資料!$A220="",35&gt;設定!$B$3,原始資料!AL220=""),"",IF(AND(原始資料!AK220&lt;&gt;"",原始資料!AL220=原始資料!AK220),N(AI220)+1,1))</f>
        <v/>
      </c>
      <c r="AK220" s="6">
        <f>IF(OR(原始資料!$A220="",36&gt;設定!$B$3,原始資料!AM220=""),"",IF(AND(原始資料!AL220&lt;&gt;"",原始資料!AM220=原始資料!AL220),N(AJ220)+1,1))</f>
        <v/>
      </c>
      <c r="AL220" s="6">
        <f>IF(OR(原始資料!$A220="",37&gt;設定!$B$3,原始資料!AN220=""),"",IF(AND(原始資料!AM220&lt;&gt;"",原始資料!AN220=原始資料!AM220),N(AK220)+1,1))</f>
        <v/>
      </c>
      <c r="AM220" s="6">
        <f>IF(OR(原始資料!$A220="",38&gt;設定!$B$3,原始資料!AO220=""),"",IF(AND(原始資料!AN220&lt;&gt;"",原始資料!AO220=原始資料!AN220),N(AL220)+1,1))</f>
        <v/>
      </c>
      <c r="AN220" s="6">
        <f>IF(OR(原始資料!$A220="",39&gt;設定!$B$3,原始資料!AP220=""),"",IF(AND(原始資料!AO220&lt;&gt;"",原始資料!AP220=原始資料!AO220),N(AM220)+1,1))</f>
        <v/>
      </c>
      <c r="AO220" s="6">
        <f>IF(OR(原始資料!$A220="",40&gt;設定!$B$3,原始資料!AQ220=""),"",IF(AND(原始資料!AP220&lt;&gt;"",原始資料!AQ220=原始資料!AP220),N(AN220)+1,1))</f>
        <v/>
      </c>
      <c r="AP220" s="6">
        <f>IF(OR(原始資料!$A220="",41&gt;設定!$B$3,原始資料!AR220=""),"",IF(AND(原始資料!AQ220&lt;&gt;"",原始資料!AR220=原始資料!AQ220),N(AO220)+1,1))</f>
        <v/>
      </c>
      <c r="AQ220" s="6">
        <f>IF(OR(原始資料!$A220="",42&gt;設定!$B$3,原始資料!AS220=""),"",IF(AND(原始資料!AR220&lt;&gt;"",原始資料!AS220=原始資料!AR220),N(AP220)+1,1))</f>
        <v/>
      </c>
      <c r="AR220" s="6">
        <f>IF(OR(原始資料!$A220="",43&gt;設定!$B$3,原始資料!AT220=""),"",IF(AND(原始資料!AS220&lt;&gt;"",原始資料!AT220=原始資料!AS220),N(AQ220)+1,1))</f>
        <v/>
      </c>
      <c r="AS220" s="6">
        <f>IF(OR(原始資料!$A220="",44&gt;設定!$B$3,原始資料!AU220=""),"",IF(AND(原始資料!AT220&lt;&gt;"",原始資料!AU220=原始資料!AT220),N(AR220)+1,1))</f>
        <v/>
      </c>
      <c r="AT220" s="6">
        <f>IF(OR(原始資料!$A220="",45&gt;設定!$B$3,原始資料!AV220=""),"",IF(AND(原始資料!AU220&lt;&gt;"",原始資料!AV220=原始資料!AU220),N(AS220)+1,1))</f>
        <v/>
      </c>
      <c r="AU220" s="6">
        <f>IF(OR(原始資料!$A220="",46&gt;設定!$B$3,原始資料!AW220=""),"",IF(AND(原始資料!AV220&lt;&gt;"",原始資料!AW220=原始資料!AV220),N(AT220)+1,1))</f>
        <v/>
      </c>
      <c r="AV220" s="6">
        <f>IF(OR(原始資料!$A220="",47&gt;設定!$B$3,原始資料!AX220=""),"",IF(AND(原始資料!AW220&lt;&gt;"",原始資料!AX220=原始資料!AW220),N(AU220)+1,1))</f>
        <v/>
      </c>
      <c r="AW220" s="6">
        <f>IF(OR(原始資料!$A220="",48&gt;設定!$B$3,原始資料!AY220=""),"",IF(AND(原始資料!AX220&lt;&gt;"",原始資料!AY220=原始資料!AX220),N(AV220)+1,1))</f>
        <v/>
      </c>
      <c r="AX220" s="6">
        <f>IF(OR(原始資料!$A220="",49&gt;設定!$B$3,原始資料!AZ220=""),"",IF(AND(原始資料!AY220&lt;&gt;"",原始資料!AZ220=原始資料!AY220),N(AW220)+1,1))</f>
        <v/>
      </c>
      <c r="AY220" s="6">
        <f>IF(OR(原始資料!$A220="",50&gt;設定!$B$3,原始資料!BA220=""),"",IF(AND(原始資料!AZ220&lt;&gt;"",原始資料!BA220=原始資料!AZ220),N(AX220)+1,1))</f>
        <v/>
      </c>
      <c r="AZ220" s="6">
        <f>IF(OR(原始資料!$A220="",51&gt;設定!$B$3,原始資料!BB220=""),"",IF(AND(原始資料!BA220&lt;&gt;"",原始資料!BB220=原始資料!BA220),N(AY220)+1,1))</f>
        <v/>
      </c>
      <c r="BA220" s="6">
        <f>IF(OR(原始資料!$A220="",52&gt;設定!$B$3,原始資料!BC220=""),"",IF(AND(原始資料!BB220&lt;&gt;"",原始資料!BC220=原始資料!BB220),N(AZ220)+1,1))</f>
        <v/>
      </c>
      <c r="BB220" s="6">
        <f>IF(OR(原始資料!$A220="",53&gt;設定!$B$3,原始資料!BD220=""),"",IF(AND(原始資料!BC220&lt;&gt;"",原始資料!BD220=原始資料!BC220),N(BA220)+1,1))</f>
        <v/>
      </c>
      <c r="BC220" s="6">
        <f>IF(OR(原始資料!$A220="",54&gt;設定!$B$3,原始資料!BE220=""),"",IF(AND(原始資料!BD220&lt;&gt;"",原始資料!BE220=原始資料!BD220),N(BB220)+1,1))</f>
        <v/>
      </c>
      <c r="BD220" s="6">
        <f>IF(OR(原始資料!$A220="",55&gt;設定!$B$3,原始資料!BF220=""),"",IF(AND(原始資料!BE220&lt;&gt;"",原始資料!BF220=原始資料!BE220),N(BC220)+1,1))</f>
        <v/>
      </c>
      <c r="BE220" s="6">
        <f>IF(OR(原始資料!$A220="",56&gt;設定!$B$3,原始資料!BG220=""),"",IF(AND(原始資料!BF220&lt;&gt;"",原始資料!BG220=原始資料!BF220),N(BD220)+1,1))</f>
        <v/>
      </c>
      <c r="BF220" s="6">
        <f>IF(OR(原始資料!$A220="",57&gt;設定!$B$3,原始資料!BH220=""),"",IF(AND(原始資料!BG220&lt;&gt;"",原始資料!BH220=原始資料!BG220),N(BE220)+1,1))</f>
        <v/>
      </c>
      <c r="BG220" s="6">
        <f>IF(OR(原始資料!$A220="",58&gt;設定!$B$3,原始資料!BI220=""),"",IF(AND(原始資料!BH220&lt;&gt;"",原始資料!BI220=原始資料!BH220),N(BF220)+1,1))</f>
        <v/>
      </c>
      <c r="BH220" s="6">
        <f>IF(OR(原始資料!$A220="",59&gt;設定!$B$3,原始資料!BJ220=""),"",IF(AND(原始資料!BI220&lt;&gt;"",原始資料!BJ220=原始資料!BI220),N(BG220)+1,1))</f>
        <v/>
      </c>
      <c r="BI220" s="6">
        <f>IF(OR(原始資料!$A220="",60&gt;設定!$B$3,原始資料!BK220=""),"",IF(AND(原始資料!BJ220&lt;&gt;"",原始資料!BK220=原始資料!BJ220),N(BH220)+1,1))</f>
        <v/>
      </c>
    </row>
    <row r="221">
      <c r="A221" s="6">
        <f>IF(原始資料!$A221="","",原始資料!$A221)</f>
        <v/>
      </c>
      <c r="B221" s="6">
        <f>IF(OR(原始資料!$A221="",1&gt;設定!$B$3,原始資料!D221=""),"",1)</f>
        <v/>
      </c>
      <c r="C221" s="6">
        <f>IF(OR(原始資料!$A221="",2&gt;設定!$B$3,原始資料!E221=""),"",IF(AND(原始資料!D221&lt;&gt;"",原始資料!E221=原始資料!D221),N(B221)+1,1))</f>
        <v/>
      </c>
      <c r="D221" s="6">
        <f>IF(OR(原始資料!$A221="",3&gt;設定!$B$3,原始資料!F221=""),"",IF(AND(原始資料!E221&lt;&gt;"",原始資料!F221=原始資料!E221),N(C221)+1,1))</f>
        <v/>
      </c>
      <c r="E221" s="6">
        <f>IF(OR(原始資料!$A221="",4&gt;設定!$B$3,原始資料!G221=""),"",IF(AND(原始資料!F221&lt;&gt;"",原始資料!G221=原始資料!F221),N(D221)+1,1))</f>
        <v/>
      </c>
      <c r="F221" s="6">
        <f>IF(OR(原始資料!$A221="",5&gt;設定!$B$3,原始資料!H221=""),"",IF(AND(原始資料!G221&lt;&gt;"",原始資料!H221=原始資料!G221),N(E221)+1,1))</f>
        <v/>
      </c>
      <c r="G221" s="6">
        <f>IF(OR(原始資料!$A221="",6&gt;設定!$B$3,原始資料!I221=""),"",IF(AND(原始資料!H221&lt;&gt;"",原始資料!I221=原始資料!H221),N(F221)+1,1))</f>
        <v/>
      </c>
      <c r="H221" s="6">
        <f>IF(OR(原始資料!$A221="",7&gt;設定!$B$3,原始資料!J221=""),"",IF(AND(原始資料!I221&lt;&gt;"",原始資料!J221=原始資料!I221),N(G221)+1,1))</f>
        <v/>
      </c>
      <c r="I221" s="6">
        <f>IF(OR(原始資料!$A221="",8&gt;設定!$B$3,原始資料!K221=""),"",IF(AND(原始資料!J221&lt;&gt;"",原始資料!K221=原始資料!J221),N(H221)+1,1))</f>
        <v/>
      </c>
      <c r="J221" s="6">
        <f>IF(OR(原始資料!$A221="",9&gt;設定!$B$3,原始資料!L221=""),"",IF(AND(原始資料!K221&lt;&gt;"",原始資料!L221=原始資料!K221),N(I221)+1,1))</f>
        <v/>
      </c>
      <c r="K221" s="6">
        <f>IF(OR(原始資料!$A221="",10&gt;設定!$B$3,原始資料!M221=""),"",IF(AND(原始資料!L221&lt;&gt;"",原始資料!M221=原始資料!L221),N(J221)+1,1))</f>
        <v/>
      </c>
      <c r="L221" s="6">
        <f>IF(OR(原始資料!$A221="",11&gt;設定!$B$3,原始資料!N221=""),"",IF(AND(原始資料!M221&lt;&gt;"",原始資料!N221=原始資料!M221),N(K221)+1,1))</f>
        <v/>
      </c>
      <c r="M221" s="6">
        <f>IF(OR(原始資料!$A221="",12&gt;設定!$B$3,原始資料!O221=""),"",IF(AND(原始資料!N221&lt;&gt;"",原始資料!O221=原始資料!N221),N(L221)+1,1))</f>
        <v/>
      </c>
      <c r="N221" s="6">
        <f>IF(OR(原始資料!$A221="",13&gt;設定!$B$3,原始資料!P221=""),"",IF(AND(原始資料!O221&lt;&gt;"",原始資料!P221=原始資料!O221),N(M221)+1,1))</f>
        <v/>
      </c>
      <c r="O221" s="6">
        <f>IF(OR(原始資料!$A221="",14&gt;設定!$B$3,原始資料!Q221=""),"",IF(AND(原始資料!P221&lt;&gt;"",原始資料!Q221=原始資料!P221),N(N221)+1,1))</f>
        <v/>
      </c>
      <c r="P221" s="6">
        <f>IF(OR(原始資料!$A221="",15&gt;設定!$B$3,原始資料!R221=""),"",IF(AND(原始資料!Q221&lt;&gt;"",原始資料!R221=原始資料!Q221),N(O221)+1,1))</f>
        <v/>
      </c>
      <c r="Q221" s="6">
        <f>IF(OR(原始資料!$A221="",16&gt;設定!$B$3,原始資料!S221=""),"",IF(AND(原始資料!R221&lt;&gt;"",原始資料!S221=原始資料!R221),N(P221)+1,1))</f>
        <v/>
      </c>
      <c r="R221" s="6">
        <f>IF(OR(原始資料!$A221="",17&gt;設定!$B$3,原始資料!T221=""),"",IF(AND(原始資料!S221&lt;&gt;"",原始資料!T221=原始資料!S221),N(Q221)+1,1))</f>
        <v/>
      </c>
      <c r="S221" s="6">
        <f>IF(OR(原始資料!$A221="",18&gt;設定!$B$3,原始資料!U221=""),"",IF(AND(原始資料!T221&lt;&gt;"",原始資料!U221=原始資料!T221),N(R221)+1,1))</f>
        <v/>
      </c>
      <c r="T221" s="6">
        <f>IF(OR(原始資料!$A221="",19&gt;設定!$B$3,原始資料!V221=""),"",IF(AND(原始資料!U221&lt;&gt;"",原始資料!V221=原始資料!U221),N(S221)+1,1))</f>
        <v/>
      </c>
      <c r="U221" s="6">
        <f>IF(OR(原始資料!$A221="",20&gt;設定!$B$3,原始資料!W221=""),"",IF(AND(原始資料!V221&lt;&gt;"",原始資料!W221=原始資料!V221),N(T221)+1,1))</f>
        <v/>
      </c>
      <c r="V221" s="6">
        <f>IF(OR(原始資料!$A221="",21&gt;設定!$B$3,原始資料!X221=""),"",IF(AND(原始資料!W221&lt;&gt;"",原始資料!X221=原始資料!W221),N(U221)+1,1))</f>
        <v/>
      </c>
      <c r="W221" s="6">
        <f>IF(OR(原始資料!$A221="",22&gt;設定!$B$3,原始資料!Y221=""),"",IF(AND(原始資料!X221&lt;&gt;"",原始資料!Y221=原始資料!X221),N(V221)+1,1))</f>
        <v/>
      </c>
      <c r="X221" s="6">
        <f>IF(OR(原始資料!$A221="",23&gt;設定!$B$3,原始資料!Z221=""),"",IF(AND(原始資料!Y221&lt;&gt;"",原始資料!Z221=原始資料!Y221),N(W221)+1,1))</f>
        <v/>
      </c>
      <c r="Y221" s="6">
        <f>IF(OR(原始資料!$A221="",24&gt;設定!$B$3,原始資料!AA221=""),"",IF(AND(原始資料!Z221&lt;&gt;"",原始資料!AA221=原始資料!Z221),N(X221)+1,1))</f>
        <v/>
      </c>
      <c r="Z221" s="6">
        <f>IF(OR(原始資料!$A221="",25&gt;設定!$B$3,原始資料!AB221=""),"",IF(AND(原始資料!AA221&lt;&gt;"",原始資料!AB221=原始資料!AA221),N(Y221)+1,1))</f>
        <v/>
      </c>
      <c r="AA221" s="6">
        <f>IF(OR(原始資料!$A221="",26&gt;設定!$B$3,原始資料!AC221=""),"",IF(AND(原始資料!AB221&lt;&gt;"",原始資料!AC221=原始資料!AB221),N(Z221)+1,1))</f>
        <v/>
      </c>
      <c r="AB221" s="6">
        <f>IF(OR(原始資料!$A221="",27&gt;設定!$B$3,原始資料!AD221=""),"",IF(AND(原始資料!AC221&lt;&gt;"",原始資料!AD221=原始資料!AC221),N(AA221)+1,1))</f>
        <v/>
      </c>
      <c r="AC221" s="6">
        <f>IF(OR(原始資料!$A221="",28&gt;設定!$B$3,原始資料!AE221=""),"",IF(AND(原始資料!AD221&lt;&gt;"",原始資料!AE221=原始資料!AD221),N(AB221)+1,1))</f>
        <v/>
      </c>
      <c r="AD221" s="6">
        <f>IF(OR(原始資料!$A221="",29&gt;設定!$B$3,原始資料!AF221=""),"",IF(AND(原始資料!AE221&lt;&gt;"",原始資料!AF221=原始資料!AE221),N(AC221)+1,1))</f>
        <v/>
      </c>
      <c r="AE221" s="6">
        <f>IF(OR(原始資料!$A221="",30&gt;設定!$B$3,原始資料!AG221=""),"",IF(AND(原始資料!AF221&lt;&gt;"",原始資料!AG221=原始資料!AF221),N(AD221)+1,1))</f>
        <v/>
      </c>
      <c r="AF221" s="6">
        <f>IF(OR(原始資料!$A221="",31&gt;設定!$B$3,原始資料!AH221=""),"",IF(AND(原始資料!AG221&lt;&gt;"",原始資料!AH221=原始資料!AG221),N(AE221)+1,1))</f>
        <v/>
      </c>
      <c r="AG221" s="6">
        <f>IF(OR(原始資料!$A221="",32&gt;設定!$B$3,原始資料!AI221=""),"",IF(AND(原始資料!AH221&lt;&gt;"",原始資料!AI221=原始資料!AH221),N(AF221)+1,1))</f>
        <v/>
      </c>
      <c r="AH221" s="6">
        <f>IF(OR(原始資料!$A221="",33&gt;設定!$B$3,原始資料!AJ221=""),"",IF(AND(原始資料!AI221&lt;&gt;"",原始資料!AJ221=原始資料!AI221),N(AG221)+1,1))</f>
        <v/>
      </c>
      <c r="AI221" s="6">
        <f>IF(OR(原始資料!$A221="",34&gt;設定!$B$3,原始資料!AK221=""),"",IF(AND(原始資料!AJ221&lt;&gt;"",原始資料!AK221=原始資料!AJ221),N(AH221)+1,1))</f>
        <v/>
      </c>
      <c r="AJ221" s="6">
        <f>IF(OR(原始資料!$A221="",35&gt;設定!$B$3,原始資料!AL221=""),"",IF(AND(原始資料!AK221&lt;&gt;"",原始資料!AL221=原始資料!AK221),N(AI221)+1,1))</f>
        <v/>
      </c>
      <c r="AK221" s="6">
        <f>IF(OR(原始資料!$A221="",36&gt;設定!$B$3,原始資料!AM221=""),"",IF(AND(原始資料!AL221&lt;&gt;"",原始資料!AM221=原始資料!AL221),N(AJ221)+1,1))</f>
        <v/>
      </c>
      <c r="AL221" s="6">
        <f>IF(OR(原始資料!$A221="",37&gt;設定!$B$3,原始資料!AN221=""),"",IF(AND(原始資料!AM221&lt;&gt;"",原始資料!AN221=原始資料!AM221),N(AK221)+1,1))</f>
        <v/>
      </c>
      <c r="AM221" s="6">
        <f>IF(OR(原始資料!$A221="",38&gt;設定!$B$3,原始資料!AO221=""),"",IF(AND(原始資料!AN221&lt;&gt;"",原始資料!AO221=原始資料!AN221),N(AL221)+1,1))</f>
        <v/>
      </c>
      <c r="AN221" s="6">
        <f>IF(OR(原始資料!$A221="",39&gt;設定!$B$3,原始資料!AP221=""),"",IF(AND(原始資料!AO221&lt;&gt;"",原始資料!AP221=原始資料!AO221),N(AM221)+1,1))</f>
        <v/>
      </c>
      <c r="AO221" s="6">
        <f>IF(OR(原始資料!$A221="",40&gt;設定!$B$3,原始資料!AQ221=""),"",IF(AND(原始資料!AP221&lt;&gt;"",原始資料!AQ221=原始資料!AP221),N(AN221)+1,1))</f>
        <v/>
      </c>
      <c r="AP221" s="6">
        <f>IF(OR(原始資料!$A221="",41&gt;設定!$B$3,原始資料!AR221=""),"",IF(AND(原始資料!AQ221&lt;&gt;"",原始資料!AR221=原始資料!AQ221),N(AO221)+1,1))</f>
        <v/>
      </c>
      <c r="AQ221" s="6">
        <f>IF(OR(原始資料!$A221="",42&gt;設定!$B$3,原始資料!AS221=""),"",IF(AND(原始資料!AR221&lt;&gt;"",原始資料!AS221=原始資料!AR221),N(AP221)+1,1))</f>
        <v/>
      </c>
      <c r="AR221" s="6">
        <f>IF(OR(原始資料!$A221="",43&gt;設定!$B$3,原始資料!AT221=""),"",IF(AND(原始資料!AS221&lt;&gt;"",原始資料!AT221=原始資料!AS221),N(AQ221)+1,1))</f>
        <v/>
      </c>
      <c r="AS221" s="6">
        <f>IF(OR(原始資料!$A221="",44&gt;設定!$B$3,原始資料!AU221=""),"",IF(AND(原始資料!AT221&lt;&gt;"",原始資料!AU221=原始資料!AT221),N(AR221)+1,1))</f>
        <v/>
      </c>
      <c r="AT221" s="6">
        <f>IF(OR(原始資料!$A221="",45&gt;設定!$B$3,原始資料!AV221=""),"",IF(AND(原始資料!AU221&lt;&gt;"",原始資料!AV221=原始資料!AU221),N(AS221)+1,1))</f>
        <v/>
      </c>
      <c r="AU221" s="6">
        <f>IF(OR(原始資料!$A221="",46&gt;設定!$B$3,原始資料!AW221=""),"",IF(AND(原始資料!AV221&lt;&gt;"",原始資料!AW221=原始資料!AV221),N(AT221)+1,1))</f>
        <v/>
      </c>
      <c r="AV221" s="6">
        <f>IF(OR(原始資料!$A221="",47&gt;設定!$B$3,原始資料!AX221=""),"",IF(AND(原始資料!AW221&lt;&gt;"",原始資料!AX221=原始資料!AW221),N(AU221)+1,1))</f>
        <v/>
      </c>
      <c r="AW221" s="6">
        <f>IF(OR(原始資料!$A221="",48&gt;設定!$B$3,原始資料!AY221=""),"",IF(AND(原始資料!AX221&lt;&gt;"",原始資料!AY221=原始資料!AX221),N(AV221)+1,1))</f>
        <v/>
      </c>
      <c r="AX221" s="6">
        <f>IF(OR(原始資料!$A221="",49&gt;設定!$B$3,原始資料!AZ221=""),"",IF(AND(原始資料!AY221&lt;&gt;"",原始資料!AZ221=原始資料!AY221),N(AW221)+1,1))</f>
        <v/>
      </c>
      <c r="AY221" s="6">
        <f>IF(OR(原始資料!$A221="",50&gt;設定!$B$3,原始資料!BA221=""),"",IF(AND(原始資料!AZ221&lt;&gt;"",原始資料!BA221=原始資料!AZ221),N(AX221)+1,1))</f>
        <v/>
      </c>
      <c r="AZ221" s="6">
        <f>IF(OR(原始資料!$A221="",51&gt;設定!$B$3,原始資料!BB221=""),"",IF(AND(原始資料!BA221&lt;&gt;"",原始資料!BB221=原始資料!BA221),N(AY221)+1,1))</f>
        <v/>
      </c>
      <c r="BA221" s="6">
        <f>IF(OR(原始資料!$A221="",52&gt;設定!$B$3,原始資料!BC221=""),"",IF(AND(原始資料!BB221&lt;&gt;"",原始資料!BC221=原始資料!BB221),N(AZ221)+1,1))</f>
        <v/>
      </c>
      <c r="BB221" s="6">
        <f>IF(OR(原始資料!$A221="",53&gt;設定!$B$3,原始資料!BD221=""),"",IF(AND(原始資料!BC221&lt;&gt;"",原始資料!BD221=原始資料!BC221),N(BA221)+1,1))</f>
        <v/>
      </c>
      <c r="BC221" s="6">
        <f>IF(OR(原始資料!$A221="",54&gt;設定!$B$3,原始資料!BE221=""),"",IF(AND(原始資料!BD221&lt;&gt;"",原始資料!BE221=原始資料!BD221),N(BB221)+1,1))</f>
        <v/>
      </c>
      <c r="BD221" s="6">
        <f>IF(OR(原始資料!$A221="",55&gt;設定!$B$3,原始資料!BF221=""),"",IF(AND(原始資料!BE221&lt;&gt;"",原始資料!BF221=原始資料!BE221),N(BC221)+1,1))</f>
        <v/>
      </c>
      <c r="BE221" s="6">
        <f>IF(OR(原始資料!$A221="",56&gt;設定!$B$3,原始資料!BG221=""),"",IF(AND(原始資料!BF221&lt;&gt;"",原始資料!BG221=原始資料!BF221),N(BD221)+1,1))</f>
        <v/>
      </c>
      <c r="BF221" s="6">
        <f>IF(OR(原始資料!$A221="",57&gt;設定!$B$3,原始資料!BH221=""),"",IF(AND(原始資料!BG221&lt;&gt;"",原始資料!BH221=原始資料!BG221),N(BE221)+1,1))</f>
        <v/>
      </c>
      <c r="BG221" s="6">
        <f>IF(OR(原始資料!$A221="",58&gt;設定!$B$3,原始資料!BI221=""),"",IF(AND(原始資料!BH221&lt;&gt;"",原始資料!BI221=原始資料!BH221),N(BF221)+1,1))</f>
        <v/>
      </c>
      <c r="BH221" s="6">
        <f>IF(OR(原始資料!$A221="",59&gt;設定!$B$3,原始資料!BJ221=""),"",IF(AND(原始資料!BI221&lt;&gt;"",原始資料!BJ221=原始資料!BI221),N(BG221)+1,1))</f>
        <v/>
      </c>
      <c r="BI221" s="6">
        <f>IF(OR(原始資料!$A221="",60&gt;設定!$B$3,原始資料!BK221=""),"",IF(AND(原始資料!BJ221&lt;&gt;"",原始資料!BK221=原始資料!BJ221),N(BH221)+1,1))</f>
        <v/>
      </c>
    </row>
    <row r="222">
      <c r="A222" s="6">
        <f>IF(原始資料!$A222="","",原始資料!$A222)</f>
        <v/>
      </c>
      <c r="B222" s="6">
        <f>IF(OR(原始資料!$A222="",1&gt;設定!$B$3,原始資料!D222=""),"",1)</f>
        <v/>
      </c>
      <c r="C222" s="6">
        <f>IF(OR(原始資料!$A222="",2&gt;設定!$B$3,原始資料!E222=""),"",IF(AND(原始資料!D222&lt;&gt;"",原始資料!E222=原始資料!D222),N(B222)+1,1))</f>
        <v/>
      </c>
      <c r="D222" s="6">
        <f>IF(OR(原始資料!$A222="",3&gt;設定!$B$3,原始資料!F222=""),"",IF(AND(原始資料!E222&lt;&gt;"",原始資料!F222=原始資料!E222),N(C222)+1,1))</f>
        <v/>
      </c>
      <c r="E222" s="6">
        <f>IF(OR(原始資料!$A222="",4&gt;設定!$B$3,原始資料!G222=""),"",IF(AND(原始資料!F222&lt;&gt;"",原始資料!G222=原始資料!F222),N(D222)+1,1))</f>
        <v/>
      </c>
      <c r="F222" s="6">
        <f>IF(OR(原始資料!$A222="",5&gt;設定!$B$3,原始資料!H222=""),"",IF(AND(原始資料!G222&lt;&gt;"",原始資料!H222=原始資料!G222),N(E222)+1,1))</f>
        <v/>
      </c>
      <c r="G222" s="6">
        <f>IF(OR(原始資料!$A222="",6&gt;設定!$B$3,原始資料!I222=""),"",IF(AND(原始資料!H222&lt;&gt;"",原始資料!I222=原始資料!H222),N(F222)+1,1))</f>
        <v/>
      </c>
      <c r="H222" s="6">
        <f>IF(OR(原始資料!$A222="",7&gt;設定!$B$3,原始資料!J222=""),"",IF(AND(原始資料!I222&lt;&gt;"",原始資料!J222=原始資料!I222),N(G222)+1,1))</f>
        <v/>
      </c>
      <c r="I222" s="6">
        <f>IF(OR(原始資料!$A222="",8&gt;設定!$B$3,原始資料!K222=""),"",IF(AND(原始資料!J222&lt;&gt;"",原始資料!K222=原始資料!J222),N(H222)+1,1))</f>
        <v/>
      </c>
      <c r="J222" s="6">
        <f>IF(OR(原始資料!$A222="",9&gt;設定!$B$3,原始資料!L222=""),"",IF(AND(原始資料!K222&lt;&gt;"",原始資料!L222=原始資料!K222),N(I222)+1,1))</f>
        <v/>
      </c>
      <c r="K222" s="6">
        <f>IF(OR(原始資料!$A222="",10&gt;設定!$B$3,原始資料!M222=""),"",IF(AND(原始資料!L222&lt;&gt;"",原始資料!M222=原始資料!L222),N(J222)+1,1))</f>
        <v/>
      </c>
      <c r="L222" s="6">
        <f>IF(OR(原始資料!$A222="",11&gt;設定!$B$3,原始資料!N222=""),"",IF(AND(原始資料!M222&lt;&gt;"",原始資料!N222=原始資料!M222),N(K222)+1,1))</f>
        <v/>
      </c>
      <c r="M222" s="6">
        <f>IF(OR(原始資料!$A222="",12&gt;設定!$B$3,原始資料!O222=""),"",IF(AND(原始資料!N222&lt;&gt;"",原始資料!O222=原始資料!N222),N(L222)+1,1))</f>
        <v/>
      </c>
      <c r="N222" s="6">
        <f>IF(OR(原始資料!$A222="",13&gt;設定!$B$3,原始資料!P222=""),"",IF(AND(原始資料!O222&lt;&gt;"",原始資料!P222=原始資料!O222),N(M222)+1,1))</f>
        <v/>
      </c>
      <c r="O222" s="6">
        <f>IF(OR(原始資料!$A222="",14&gt;設定!$B$3,原始資料!Q222=""),"",IF(AND(原始資料!P222&lt;&gt;"",原始資料!Q222=原始資料!P222),N(N222)+1,1))</f>
        <v/>
      </c>
      <c r="P222" s="6">
        <f>IF(OR(原始資料!$A222="",15&gt;設定!$B$3,原始資料!R222=""),"",IF(AND(原始資料!Q222&lt;&gt;"",原始資料!R222=原始資料!Q222),N(O222)+1,1))</f>
        <v/>
      </c>
      <c r="Q222" s="6">
        <f>IF(OR(原始資料!$A222="",16&gt;設定!$B$3,原始資料!S222=""),"",IF(AND(原始資料!R222&lt;&gt;"",原始資料!S222=原始資料!R222),N(P222)+1,1))</f>
        <v/>
      </c>
      <c r="R222" s="6">
        <f>IF(OR(原始資料!$A222="",17&gt;設定!$B$3,原始資料!T222=""),"",IF(AND(原始資料!S222&lt;&gt;"",原始資料!T222=原始資料!S222),N(Q222)+1,1))</f>
        <v/>
      </c>
      <c r="S222" s="6">
        <f>IF(OR(原始資料!$A222="",18&gt;設定!$B$3,原始資料!U222=""),"",IF(AND(原始資料!T222&lt;&gt;"",原始資料!U222=原始資料!T222),N(R222)+1,1))</f>
        <v/>
      </c>
      <c r="T222" s="6">
        <f>IF(OR(原始資料!$A222="",19&gt;設定!$B$3,原始資料!V222=""),"",IF(AND(原始資料!U222&lt;&gt;"",原始資料!V222=原始資料!U222),N(S222)+1,1))</f>
        <v/>
      </c>
      <c r="U222" s="6">
        <f>IF(OR(原始資料!$A222="",20&gt;設定!$B$3,原始資料!W222=""),"",IF(AND(原始資料!V222&lt;&gt;"",原始資料!W222=原始資料!V222),N(T222)+1,1))</f>
        <v/>
      </c>
      <c r="V222" s="6">
        <f>IF(OR(原始資料!$A222="",21&gt;設定!$B$3,原始資料!X222=""),"",IF(AND(原始資料!W222&lt;&gt;"",原始資料!X222=原始資料!W222),N(U222)+1,1))</f>
        <v/>
      </c>
      <c r="W222" s="6">
        <f>IF(OR(原始資料!$A222="",22&gt;設定!$B$3,原始資料!Y222=""),"",IF(AND(原始資料!X222&lt;&gt;"",原始資料!Y222=原始資料!X222),N(V222)+1,1))</f>
        <v/>
      </c>
      <c r="X222" s="6">
        <f>IF(OR(原始資料!$A222="",23&gt;設定!$B$3,原始資料!Z222=""),"",IF(AND(原始資料!Y222&lt;&gt;"",原始資料!Z222=原始資料!Y222),N(W222)+1,1))</f>
        <v/>
      </c>
      <c r="Y222" s="6">
        <f>IF(OR(原始資料!$A222="",24&gt;設定!$B$3,原始資料!AA222=""),"",IF(AND(原始資料!Z222&lt;&gt;"",原始資料!AA222=原始資料!Z222),N(X222)+1,1))</f>
        <v/>
      </c>
      <c r="Z222" s="6">
        <f>IF(OR(原始資料!$A222="",25&gt;設定!$B$3,原始資料!AB222=""),"",IF(AND(原始資料!AA222&lt;&gt;"",原始資料!AB222=原始資料!AA222),N(Y222)+1,1))</f>
        <v/>
      </c>
      <c r="AA222" s="6">
        <f>IF(OR(原始資料!$A222="",26&gt;設定!$B$3,原始資料!AC222=""),"",IF(AND(原始資料!AB222&lt;&gt;"",原始資料!AC222=原始資料!AB222),N(Z222)+1,1))</f>
        <v/>
      </c>
      <c r="AB222" s="6">
        <f>IF(OR(原始資料!$A222="",27&gt;設定!$B$3,原始資料!AD222=""),"",IF(AND(原始資料!AC222&lt;&gt;"",原始資料!AD222=原始資料!AC222),N(AA222)+1,1))</f>
        <v/>
      </c>
      <c r="AC222" s="6">
        <f>IF(OR(原始資料!$A222="",28&gt;設定!$B$3,原始資料!AE222=""),"",IF(AND(原始資料!AD222&lt;&gt;"",原始資料!AE222=原始資料!AD222),N(AB222)+1,1))</f>
        <v/>
      </c>
      <c r="AD222" s="6">
        <f>IF(OR(原始資料!$A222="",29&gt;設定!$B$3,原始資料!AF222=""),"",IF(AND(原始資料!AE222&lt;&gt;"",原始資料!AF222=原始資料!AE222),N(AC222)+1,1))</f>
        <v/>
      </c>
      <c r="AE222" s="6">
        <f>IF(OR(原始資料!$A222="",30&gt;設定!$B$3,原始資料!AG222=""),"",IF(AND(原始資料!AF222&lt;&gt;"",原始資料!AG222=原始資料!AF222),N(AD222)+1,1))</f>
        <v/>
      </c>
      <c r="AF222" s="6">
        <f>IF(OR(原始資料!$A222="",31&gt;設定!$B$3,原始資料!AH222=""),"",IF(AND(原始資料!AG222&lt;&gt;"",原始資料!AH222=原始資料!AG222),N(AE222)+1,1))</f>
        <v/>
      </c>
      <c r="AG222" s="6">
        <f>IF(OR(原始資料!$A222="",32&gt;設定!$B$3,原始資料!AI222=""),"",IF(AND(原始資料!AH222&lt;&gt;"",原始資料!AI222=原始資料!AH222),N(AF222)+1,1))</f>
        <v/>
      </c>
      <c r="AH222" s="6">
        <f>IF(OR(原始資料!$A222="",33&gt;設定!$B$3,原始資料!AJ222=""),"",IF(AND(原始資料!AI222&lt;&gt;"",原始資料!AJ222=原始資料!AI222),N(AG222)+1,1))</f>
        <v/>
      </c>
      <c r="AI222" s="6">
        <f>IF(OR(原始資料!$A222="",34&gt;設定!$B$3,原始資料!AK222=""),"",IF(AND(原始資料!AJ222&lt;&gt;"",原始資料!AK222=原始資料!AJ222),N(AH222)+1,1))</f>
        <v/>
      </c>
      <c r="AJ222" s="6">
        <f>IF(OR(原始資料!$A222="",35&gt;設定!$B$3,原始資料!AL222=""),"",IF(AND(原始資料!AK222&lt;&gt;"",原始資料!AL222=原始資料!AK222),N(AI222)+1,1))</f>
        <v/>
      </c>
      <c r="AK222" s="6">
        <f>IF(OR(原始資料!$A222="",36&gt;設定!$B$3,原始資料!AM222=""),"",IF(AND(原始資料!AL222&lt;&gt;"",原始資料!AM222=原始資料!AL222),N(AJ222)+1,1))</f>
        <v/>
      </c>
      <c r="AL222" s="6">
        <f>IF(OR(原始資料!$A222="",37&gt;設定!$B$3,原始資料!AN222=""),"",IF(AND(原始資料!AM222&lt;&gt;"",原始資料!AN222=原始資料!AM222),N(AK222)+1,1))</f>
        <v/>
      </c>
      <c r="AM222" s="6">
        <f>IF(OR(原始資料!$A222="",38&gt;設定!$B$3,原始資料!AO222=""),"",IF(AND(原始資料!AN222&lt;&gt;"",原始資料!AO222=原始資料!AN222),N(AL222)+1,1))</f>
        <v/>
      </c>
      <c r="AN222" s="6">
        <f>IF(OR(原始資料!$A222="",39&gt;設定!$B$3,原始資料!AP222=""),"",IF(AND(原始資料!AO222&lt;&gt;"",原始資料!AP222=原始資料!AO222),N(AM222)+1,1))</f>
        <v/>
      </c>
      <c r="AO222" s="6">
        <f>IF(OR(原始資料!$A222="",40&gt;設定!$B$3,原始資料!AQ222=""),"",IF(AND(原始資料!AP222&lt;&gt;"",原始資料!AQ222=原始資料!AP222),N(AN222)+1,1))</f>
        <v/>
      </c>
      <c r="AP222" s="6">
        <f>IF(OR(原始資料!$A222="",41&gt;設定!$B$3,原始資料!AR222=""),"",IF(AND(原始資料!AQ222&lt;&gt;"",原始資料!AR222=原始資料!AQ222),N(AO222)+1,1))</f>
        <v/>
      </c>
      <c r="AQ222" s="6">
        <f>IF(OR(原始資料!$A222="",42&gt;設定!$B$3,原始資料!AS222=""),"",IF(AND(原始資料!AR222&lt;&gt;"",原始資料!AS222=原始資料!AR222),N(AP222)+1,1))</f>
        <v/>
      </c>
      <c r="AR222" s="6">
        <f>IF(OR(原始資料!$A222="",43&gt;設定!$B$3,原始資料!AT222=""),"",IF(AND(原始資料!AS222&lt;&gt;"",原始資料!AT222=原始資料!AS222),N(AQ222)+1,1))</f>
        <v/>
      </c>
      <c r="AS222" s="6">
        <f>IF(OR(原始資料!$A222="",44&gt;設定!$B$3,原始資料!AU222=""),"",IF(AND(原始資料!AT222&lt;&gt;"",原始資料!AU222=原始資料!AT222),N(AR222)+1,1))</f>
        <v/>
      </c>
      <c r="AT222" s="6">
        <f>IF(OR(原始資料!$A222="",45&gt;設定!$B$3,原始資料!AV222=""),"",IF(AND(原始資料!AU222&lt;&gt;"",原始資料!AV222=原始資料!AU222),N(AS222)+1,1))</f>
        <v/>
      </c>
      <c r="AU222" s="6">
        <f>IF(OR(原始資料!$A222="",46&gt;設定!$B$3,原始資料!AW222=""),"",IF(AND(原始資料!AV222&lt;&gt;"",原始資料!AW222=原始資料!AV222),N(AT222)+1,1))</f>
        <v/>
      </c>
      <c r="AV222" s="6">
        <f>IF(OR(原始資料!$A222="",47&gt;設定!$B$3,原始資料!AX222=""),"",IF(AND(原始資料!AW222&lt;&gt;"",原始資料!AX222=原始資料!AW222),N(AU222)+1,1))</f>
        <v/>
      </c>
      <c r="AW222" s="6">
        <f>IF(OR(原始資料!$A222="",48&gt;設定!$B$3,原始資料!AY222=""),"",IF(AND(原始資料!AX222&lt;&gt;"",原始資料!AY222=原始資料!AX222),N(AV222)+1,1))</f>
        <v/>
      </c>
      <c r="AX222" s="6">
        <f>IF(OR(原始資料!$A222="",49&gt;設定!$B$3,原始資料!AZ222=""),"",IF(AND(原始資料!AY222&lt;&gt;"",原始資料!AZ222=原始資料!AY222),N(AW222)+1,1))</f>
        <v/>
      </c>
      <c r="AY222" s="6">
        <f>IF(OR(原始資料!$A222="",50&gt;設定!$B$3,原始資料!BA222=""),"",IF(AND(原始資料!AZ222&lt;&gt;"",原始資料!BA222=原始資料!AZ222),N(AX222)+1,1))</f>
        <v/>
      </c>
      <c r="AZ222" s="6">
        <f>IF(OR(原始資料!$A222="",51&gt;設定!$B$3,原始資料!BB222=""),"",IF(AND(原始資料!BA222&lt;&gt;"",原始資料!BB222=原始資料!BA222),N(AY222)+1,1))</f>
        <v/>
      </c>
      <c r="BA222" s="6">
        <f>IF(OR(原始資料!$A222="",52&gt;設定!$B$3,原始資料!BC222=""),"",IF(AND(原始資料!BB222&lt;&gt;"",原始資料!BC222=原始資料!BB222),N(AZ222)+1,1))</f>
        <v/>
      </c>
      <c r="BB222" s="6">
        <f>IF(OR(原始資料!$A222="",53&gt;設定!$B$3,原始資料!BD222=""),"",IF(AND(原始資料!BC222&lt;&gt;"",原始資料!BD222=原始資料!BC222),N(BA222)+1,1))</f>
        <v/>
      </c>
      <c r="BC222" s="6">
        <f>IF(OR(原始資料!$A222="",54&gt;設定!$B$3,原始資料!BE222=""),"",IF(AND(原始資料!BD222&lt;&gt;"",原始資料!BE222=原始資料!BD222),N(BB222)+1,1))</f>
        <v/>
      </c>
      <c r="BD222" s="6">
        <f>IF(OR(原始資料!$A222="",55&gt;設定!$B$3,原始資料!BF222=""),"",IF(AND(原始資料!BE222&lt;&gt;"",原始資料!BF222=原始資料!BE222),N(BC222)+1,1))</f>
        <v/>
      </c>
      <c r="BE222" s="6">
        <f>IF(OR(原始資料!$A222="",56&gt;設定!$B$3,原始資料!BG222=""),"",IF(AND(原始資料!BF222&lt;&gt;"",原始資料!BG222=原始資料!BF222),N(BD222)+1,1))</f>
        <v/>
      </c>
      <c r="BF222" s="6">
        <f>IF(OR(原始資料!$A222="",57&gt;設定!$B$3,原始資料!BH222=""),"",IF(AND(原始資料!BG222&lt;&gt;"",原始資料!BH222=原始資料!BG222),N(BE222)+1,1))</f>
        <v/>
      </c>
      <c r="BG222" s="6">
        <f>IF(OR(原始資料!$A222="",58&gt;設定!$B$3,原始資料!BI222=""),"",IF(AND(原始資料!BH222&lt;&gt;"",原始資料!BI222=原始資料!BH222),N(BF222)+1,1))</f>
        <v/>
      </c>
      <c r="BH222" s="6">
        <f>IF(OR(原始資料!$A222="",59&gt;設定!$B$3,原始資料!BJ222=""),"",IF(AND(原始資料!BI222&lt;&gt;"",原始資料!BJ222=原始資料!BI222),N(BG222)+1,1))</f>
        <v/>
      </c>
      <c r="BI222" s="6">
        <f>IF(OR(原始資料!$A222="",60&gt;設定!$B$3,原始資料!BK222=""),"",IF(AND(原始資料!BJ222&lt;&gt;"",原始資料!BK222=原始資料!BJ222),N(BH222)+1,1))</f>
        <v/>
      </c>
    </row>
    <row r="223">
      <c r="A223" s="6">
        <f>IF(原始資料!$A223="","",原始資料!$A223)</f>
        <v/>
      </c>
      <c r="B223" s="6">
        <f>IF(OR(原始資料!$A223="",1&gt;設定!$B$3,原始資料!D223=""),"",1)</f>
        <v/>
      </c>
      <c r="C223" s="6">
        <f>IF(OR(原始資料!$A223="",2&gt;設定!$B$3,原始資料!E223=""),"",IF(AND(原始資料!D223&lt;&gt;"",原始資料!E223=原始資料!D223),N(B223)+1,1))</f>
        <v/>
      </c>
      <c r="D223" s="6">
        <f>IF(OR(原始資料!$A223="",3&gt;設定!$B$3,原始資料!F223=""),"",IF(AND(原始資料!E223&lt;&gt;"",原始資料!F223=原始資料!E223),N(C223)+1,1))</f>
        <v/>
      </c>
      <c r="E223" s="6">
        <f>IF(OR(原始資料!$A223="",4&gt;設定!$B$3,原始資料!G223=""),"",IF(AND(原始資料!F223&lt;&gt;"",原始資料!G223=原始資料!F223),N(D223)+1,1))</f>
        <v/>
      </c>
      <c r="F223" s="6">
        <f>IF(OR(原始資料!$A223="",5&gt;設定!$B$3,原始資料!H223=""),"",IF(AND(原始資料!G223&lt;&gt;"",原始資料!H223=原始資料!G223),N(E223)+1,1))</f>
        <v/>
      </c>
      <c r="G223" s="6">
        <f>IF(OR(原始資料!$A223="",6&gt;設定!$B$3,原始資料!I223=""),"",IF(AND(原始資料!H223&lt;&gt;"",原始資料!I223=原始資料!H223),N(F223)+1,1))</f>
        <v/>
      </c>
      <c r="H223" s="6">
        <f>IF(OR(原始資料!$A223="",7&gt;設定!$B$3,原始資料!J223=""),"",IF(AND(原始資料!I223&lt;&gt;"",原始資料!J223=原始資料!I223),N(G223)+1,1))</f>
        <v/>
      </c>
      <c r="I223" s="6">
        <f>IF(OR(原始資料!$A223="",8&gt;設定!$B$3,原始資料!K223=""),"",IF(AND(原始資料!J223&lt;&gt;"",原始資料!K223=原始資料!J223),N(H223)+1,1))</f>
        <v/>
      </c>
      <c r="J223" s="6">
        <f>IF(OR(原始資料!$A223="",9&gt;設定!$B$3,原始資料!L223=""),"",IF(AND(原始資料!K223&lt;&gt;"",原始資料!L223=原始資料!K223),N(I223)+1,1))</f>
        <v/>
      </c>
      <c r="K223" s="6">
        <f>IF(OR(原始資料!$A223="",10&gt;設定!$B$3,原始資料!M223=""),"",IF(AND(原始資料!L223&lt;&gt;"",原始資料!M223=原始資料!L223),N(J223)+1,1))</f>
        <v/>
      </c>
      <c r="L223" s="6">
        <f>IF(OR(原始資料!$A223="",11&gt;設定!$B$3,原始資料!N223=""),"",IF(AND(原始資料!M223&lt;&gt;"",原始資料!N223=原始資料!M223),N(K223)+1,1))</f>
        <v/>
      </c>
      <c r="M223" s="6">
        <f>IF(OR(原始資料!$A223="",12&gt;設定!$B$3,原始資料!O223=""),"",IF(AND(原始資料!N223&lt;&gt;"",原始資料!O223=原始資料!N223),N(L223)+1,1))</f>
        <v/>
      </c>
      <c r="N223" s="6">
        <f>IF(OR(原始資料!$A223="",13&gt;設定!$B$3,原始資料!P223=""),"",IF(AND(原始資料!O223&lt;&gt;"",原始資料!P223=原始資料!O223),N(M223)+1,1))</f>
        <v/>
      </c>
      <c r="O223" s="6">
        <f>IF(OR(原始資料!$A223="",14&gt;設定!$B$3,原始資料!Q223=""),"",IF(AND(原始資料!P223&lt;&gt;"",原始資料!Q223=原始資料!P223),N(N223)+1,1))</f>
        <v/>
      </c>
      <c r="P223" s="6">
        <f>IF(OR(原始資料!$A223="",15&gt;設定!$B$3,原始資料!R223=""),"",IF(AND(原始資料!Q223&lt;&gt;"",原始資料!R223=原始資料!Q223),N(O223)+1,1))</f>
        <v/>
      </c>
      <c r="Q223" s="6">
        <f>IF(OR(原始資料!$A223="",16&gt;設定!$B$3,原始資料!S223=""),"",IF(AND(原始資料!R223&lt;&gt;"",原始資料!S223=原始資料!R223),N(P223)+1,1))</f>
        <v/>
      </c>
      <c r="R223" s="6">
        <f>IF(OR(原始資料!$A223="",17&gt;設定!$B$3,原始資料!T223=""),"",IF(AND(原始資料!S223&lt;&gt;"",原始資料!T223=原始資料!S223),N(Q223)+1,1))</f>
        <v/>
      </c>
      <c r="S223" s="6">
        <f>IF(OR(原始資料!$A223="",18&gt;設定!$B$3,原始資料!U223=""),"",IF(AND(原始資料!T223&lt;&gt;"",原始資料!U223=原始資料!T223),N(R223)+1,1))</f>
        <v/>
      </c>
      <c r="T223" s="6">
        <f>IF(OR(原始資料!$A223="",19&gt;設定!$B$3,原始資料!V223=""),"",IF(AND(原始資料!U223&lt;&gt;"",原始資料!V223=原始資料!U223),N(S223)+1,1))</f>
        <v/>
      </c>
      <c r="U223" s="6">
        <f>IF(OR(原始資料!$A223="",20&gt;設定!$B$3,原始資料!W223=""),"",IF(AND(原始資料!V223&lt;&gt;"",原始資料!W223=原始資料!V223),N(T223)+1,1))</f>
        <v/>
      </c>
      <c r="V223" s="6">
        <f>IF(OR(原始資料!$A223="",21&gt;設定!$B$3,原始資料!X223=""),"",IF(AND(原始資料!W223&lt;&gt;"",原始資料!X223=原始資料!W223),N(U223)+1,1))</f>
        <v/>
      </c>
      <c r="W223" s="6">
        <f>IF(OR(原始資料!$A223="",22&gt;設定!$B$3,原始資料!Y223=""),"",IF(AND(原始資料!X223&lt;&gt;"",原始資料!Y223=原始資料!X223),N(V223)+1,1))</f>
        <v/>
      </c>
      <c r="X223" s="6">
        <f>IF(OR(原始資料!$A223="",23&gt;設定!$B$3,原始資料!Z223=""),"",IF(AND(原始資料!Y223&lt;&gt;"",原始資料!Z223=原始資料!Y223),N(W223)+1,1))</f>
        <v/>
      </c>
      <c r="Y223" s="6">
        <f>IF(OR(原始資料!$A223="",24&gt;設定!$B$3,原始資料!AA223=""),"",IF(AND(原始資料!Z223&lt;&gt;"",原始資料!AA223=原始資料!Z223),N(X223)+1,1))</f>
        <v/>
      </c>
      <c r="Z223" s="6">
        <f>IF(OR(原始資料!$A223="",25&gt;設定!$B$3,原始資料!AB223=""),"",IF(AND(原始資料!AA223&lt;&gt;"",原始資料!AB223=原始資料!AA223),N(Y223)+1,1))</f>
        <v/>
      </c>
      <c r="AA223" s="6">
        <f>IF(OR(原始資料!$A223="",26&gt;設定!$B$3,原始資料!AC223=""),"",IF(AND(原始資料!AB223&lt;&gt;"",原始資料!AC223=原始資料!AB223),N(Z223)+1,1))</f>
        <v/>
      </c>
      <c r="AB223" s="6">
        <f>IF(OR(原始資料!$A223="",27&gt;設定!$B$3,原始資料!AD223=""),"",IF(AND(原始資料!AC223&lt;&gt;"",原始資料!AD223=原始資料!AC223),N(AA223)+1,1))</f>
        <v/>
      </c>
      <c r="AC223" s="6">
        <f>IF(OR(原始資料!$A223="",28&gt;設定!$B$3,原始資料!AE223=""),"",IF(AND(原始資料!AD223&lt;&gt;"",原始資料!AE223=原始資料!AD223),N(AB223)+1,1))</f>
        <v/>
      </c>
      <c r="AD223" s="6">
        <f>IF(OR(原始資料!$A223="",29&gt;設定!$B$3,原始資料!AF223=""),"",IF(AND(原始資料!AE223&lt;&gt;"",原始資料!AF223=原始資料!AE223),N(AC223)+1,1))</f>
        <v/>
      </c>
      <c r="AE223" s="6">
        <f>IF(OR(原始資料!$A223="",30&gt;設定!$B$3,原始資料!AG223=""),"",IF(AND(原始資料!AF223&lt;&gt;"",原始資料!AG223=原始資料!AF223),N(AD223)+1,1))</f>
        <v/>
      </c>
      <c r="AF223" s="6">
        <f>IF(OR(原始資料!$A223="",31&gt;設定!$B$3,原始資料!AH223=""),"",IF(AND(原始資料!AG223&lt;&gt;"",原始資料!AH223=原始資料!AG223),N(AE223)+1,1))</f>
        <v/>
      </c>
      <c r="AG223" s="6">
        <f>IF(OR(原始資料!$A223="",32&gt;設定!$B$3,原始資料!AI223=""),"",IF(AND(原始資料!AH223&lt;&gt;"",原始資料!AI223=原始資料!AH223),N(AF223)+1,1))</f>
        <v/>
      </c>
      <c r="AH223" s="6">
        <f>IF(OR(原始資料!$A223="",33&gt;設定!$B$3,原始資料!AJ223=""),"",IF(AND(原始資料!AI223&lt;&gt;"",原始資料!AJ223=原始資料!AI223),N(AG223)+1,1))</f>
        <v/>
      </c>
      <c r="AI223" s="6">
        <f>IF(OR(原始資料!$A223="",34&gt;設定!$B$3,原始資料!AK223=""),"",IF(AND(原始資料!AJ223&lt;&gt;"",原始資料!AK223=原始資料!AJ223),N(AH223)+1,1))</f>
        <v/>
      </c>
      <c r="AJ223" s="6">
        <f>IF(OR(原始資料!$A223="",35&gt;設定!$B$3,原始資料!AL223=""),"",IF(AND(原始資料!AK223&lt;&gt;"",原始資料!AL223=原始資料!AK223),N(AI223)+1,1))</f>
        <v/>
      </c>
      <c r="AK223" s="6">
        <f>IF(OR(原始資料!$A223="",36&gt;設定!$B$3,原始資料!AM223=""),"",IF(AND(原始資料!AL223&lt;&gt;"",原始資料!AM223=原始資料!AL223),N(AJ223)+1,1))</f>
        <v/>
      </c>
      <c r="AL223" s="6">
        <f>IF(OR(原始資料!$A223="",37&gt;設定!$B$3,原始資料!AN223=""),"",IF(AND(原始資料!AM223&lt;&gt;"",原始資料!AN223=原始資料!AM223),N(AK223)+1,1))</f>
        <v/>
      </c>
      <c r="AM223" s="6">
        <f>IF(OR(原始資料!$A223="",38&gt;設定!$B$3,原始資料!AO223=""),"",IF(AND(原始資料!AN223&lt;&gt;"",原始資料!AO223=原始資料!AN223),N(AL223)+1,1))</f>
        <v/>
      </c>
      <c r="AN223" s="6">
        <f>IF(OR(原始資料!$A223="",39&gt;設定!$B$3,原始資料!AP223=""),"",IF(AND(原始資料!AO223&lt;&gt;"",原始資料!AP223=原始資料!AO223),N(AM223)+1,1))</f>
        <v/>
      </c>
      <c r="AO223" s="6">
        <f>IF(OR(原始資料!$A223="",40&gt;設定!$B$3,原始資料!AQ223=""),"",IF(AND(原始資料!AP223&lt;&gt;"",原始資料!AQ223=原始資料!AP223),N(AN223)+1,1))</f>
        <v/>
      </c>
      <c r="AP223" s="6">
        <f>IF(OR(原始資料!$A223="",41&gt;設定!$B$3,原始資料!AR223=""),"",IF(AND(原始資料!AQ223&lt;&gt;"",原始資料!AR223=原始資料!AQ223),N(AO223)+1,1))</f>
        <v/>
      </c>
      <c r="AQ223" s="6">
        <f>IF(OR(原始資料!$A223="",42&gt;設定!$B$3,原始資料!AS223=""),"",IF(AND(原始資料!AR223&lt;&gt;"",原始資料!AS223=原始資料!AR223),N(AP223)+1,1))</f>
        <v/>
      </c>
      <c r="AR223" s="6">
        <f>IF(OR(原始資料!$A223="",43&gt;設定!$B$3,原始資料!AT223=""),"",IF(AND(原始資料!AS223&lt;&gt;"",原始資料!AT223=原始資料!AS223),N(AQ223)+1,1))</f>
        <v/>
      </c>
      <c r="AS223" s="6">
        <f>IF(OR(原始資料!$A223="",44&gt;設定!$B$3,原始資料!AU223=""),"",IF(AND(原始資料!AT223&lt;&gt;"",原始資料!AU223=原始資料!AT223),N(AR223)+1,1))</f>
        <v/>
      </c>
      <c r="AT223" s="6">
        <f>IF(OR(原始資料!$A223="",45&gt;設定!$B$3,原始資料!AV223=""),"",IF(AND(原始資料!AU223&lt;&gt;"",原始資料!AV223=原始資料!AU223),N(AS223)+1,1))</f>
        <v/>
      </c>
      <c r="AU223" s="6">
        <f>IF(OR(原始資料!$A223="",46&gt;設定!$B$3,原始資料!AW223=""),"",IF(AND(原始資料!AV223&lt;&gt;"",原始資料!AW223=原始資料!AV223),N(AT223)+1,1))</f>
        <v/>
      </c>
      <c r="AV223" s="6">
        <f>IF(OR(原始資料!$A223="",47&gt;設定!$B$3,原始資料!AX223=""),"",IF(AND(原始資料!AW223&lt;&gt;"",原始資料!AX223=原始資料!AW223),N(AU223)+1,1))</f>
        <v/>
      </c>
      <c r="AW223" s="6">
        <f>IF(OR(原始資料!$A223="",48&gt;設定!$B$3,原始資料!AY223=""),"",IF(AND(原始資料!AX223&lt;&gt;"",原始資料!AY223=原始資料!AX223),N(AV223)+1,1))</f>
        <v/>
      </c>
      <c r="AX223" s="6">
        <f>IF(OR(原始資料!$A223="",49&gt;設定!$B$3,原始資料!AZ223=""),"",IF(AND(原始資料!AY223&lt;&gt;"",原始資料!AZ223=原始資料!AY223),N(AW223)+1,1))</f>
        <v/>
      </c>
      <c r="AY223" s="6">
        <f>IF(OR(原始資料!$A223="",50&gt;設定!$B$3,原始資料!BA223=""),"",IF(AND(原始資料!AZ223&lt;&gt;"",原始資料!BA223=原始資料!AZ223),N(AX223)+1,1))</f>
        <v/>
      </c>
      <c r="AZ223" s="6">
        <f>IF(OR(原始資料!$A223="",51&gt;設定!$B$3,原始資料!BB223=""),"",IF(AND(原始資料!BA223&lt;&gt;"",原始資料!BB223=原始資料!BA223),N(AY223)+1,1))</f>
        <v/>
      </c>
      <c r="BA223" s="6">
        <f>IF(OR(原始資料!$A223="",52&gt;設定!$B$3,原始資料!BC223=""),"",IF(AND(原始資料!BB223&lt;&gt;"",原始資料!BC223=原始資料!BB223),N(AZ223)+1,1))</f>
        <v/>
      </c>
      <c r="BB223" s="6">
        <f>IF(OR(原始資料!$A223="",53&gt;設定!$B$3,原始資料!BD223=""),"",IF(AND(原始資料!BC223&lt;&gt;"",原始資料!BD223=原始資料!BC223),N(BA223)+1,1))</f>
        <v/>
      </c>
      <c r="BC223" s="6">
        <f>IF(OR(原始資料!$A223="",54&gt;設定!$B$3,原始資料!BE223=""),"",IF(AND(原始資料!BD223&lt;&gt;"",原始資料!BE223=原始資料!BD223),N(BB223)+1,1))</f>
        <v/>
      </c>
      <c r="BD223" s="6">
        <f>IF(OR(原始資料!$A223="",55&gt;設定!$B$3,原始資料!BF223=""),"",IF(AND(原始資料!BE223&lt;&gt;"",原始資料!BF223=原始資料!BE223),N(BC223)+1,1))</f>
        <v/>
      </c>
      <c r="BE223" s="6">
        <f>IF(OR(原始資料!$A223="",56&gt;設定!$B$3,原始資料!BG223=""),"",IF(AND(原始資料!BF223&lt;&gt;"",原始資料!BG223=原始資料!BF223),N(BD223)+1,1))</f>
        <v/>
      </c>
      <c r="BF223" s="6">
        <f>IF(OR(原始資料!$A223="",57&gt;設定!$B$3,原始資料!BH223=""),"",IF(AND(原始資料!BG223&lt;&gt;"",原始資料!BH223=原始資料!BG223),N(BE223)+1,1))</f>
        <v/>
      </c>
      <c r="BG223" s="6">
        <f>IF(OR(原始資料!$A223="",58&gt;設定!$B$3,原始資料!BI223=""),"",IF(AND(原始資料!BH223&lt;&gt;"",原始資料!BI223=原始資料!BH223),N(BF223)+1,1))</f>
        <v/>
      </c>
      <c r="BH223" s="6">
        <f>IF(OR(原始資料!$A223="",59&gt;設定!$B$3,原始資料!BJ223=""),"",IF(AND(原始資料!BI223&lt;&gt;"",原始資料!BJ223=原始資料!BI223),N(BG223)+1,1))</f>
        <v/>
      </c>
      <c r="BI223" s="6">
        <f>IF(OR(原始資料!$A223="",60&gt;設定!$B$3,原始資料!BK223=""),"",IF(AND(原始資料!BJ223&lt;&gt;"",原始資料!BK223=原始資料!BJ223),N(BH223)+1,1))</f>
        <v/>
      </c>
    </row>
    <row r="224">
      <c r="A224" s="6">
        <f>IF(原始資料!$A224="","",原始資料!$A224)</f>
        <v/>
      </c>
      <c r="B224" s="6">
        <f>IF(OR(原始資料!$A224="",1&gt;設定!$B$3,原始資料!D224=""),"",1)</f>
        <v/>
      </c>
      <c r="C224" s="6">
        <f>IF(OR(原始資料!$A224="",2&gt;設定!$B$3,原始資料!E224=""),"",IF(AND(原始資料!D224&lt;&gt;"",原始資料!E224=原始資料!D224),N(B224)+1,1))</f>
        <v/>
      </c>
      <c r="D224" s="6">
        <f>IF(OR(原始資料!$A224="",3&gt;設定!$B$3,原始資料!F224=""),"",IF(AND(原始資料!E224&lt;&gt;"",原始資料!F224=原始資料!E224),N(C224)+1,1))</f>
        <v/>
      </c>
      <c r="E224" s="6">
        <f>IF(OR(原始資料!$A224="",4&gt;設定!$B$3,原始資料!G224=""),"",IF(AND(原始資料!F224&lt;&gt;"",原始資料!G224=原始資料!F224),N(D224)+1,1))</f>
        <v/>
      </c>
      <c r="F224" s="6">
        <f>IF(OR(原始資料!$A224="",5&gt;設定!$B$3,原始資料!H224=""),"",IF(AND(原始資料!G224&lt;&gt;"",原始資料!H224=原始資料!G224),N(E224)+1,1))</f>
        <v/>
      </c>
      <c r="G224" s="6">
        <f>IF(OR(原始資料!$A224="",6&gt;設定!$B$3,原始資料!I224=""),"",IF(AND(原始資料!H224&lt;&gt;"",原始資料!I224=原始資料!H224),N(F224)+1,1))</f>
        <v/>
      </c>
      <c r="H224" s="6">
        <f>IF(OR(原始資料!$A224="",7&gt;設定!$B$3,原始資料!J224=""),"",IF(AND(原始資料!I224&lt;&gt;"",原始資料!J224=原始資料!I224),N(G224)+1,1))</f>
        <v/>
      </c>
      <c r="I224" s="6">
        <f>IF(OR(原始資料!$A224="",8&gt;設定!$B$3,原始資料!K224=""),"",IF(AND(原始資料!J224&lt;&gt;"",原始資料!K224=原始資料!J224),N(H224)+1,1))</f>
        <v/>
      </c>
      <c r="J224" s="6">
        <f>IF(OR(原始資料!$A224="",9&gt;設定!$B$3,原始資料!L224=""),"",IF(AND(原始資料!K224&lt;&gt;"",原始資料!L224=原始資料!K224),N(I224)+1,1))</f>
        <v/>
      </c>
      <c r="K224" s="6">
        <f>IF(OR(原始資料!$A224="",10&gt;設定!$B$3,原始資料!M224=""),"",IF(AND(原始資料!L224&lt;&gt;"",原始資料!M224=原始資料!L224),N(J224)+1,1))</f>
        <v/>
      </c>
      <c r="L224" s="6">
        <f>IF(OR(原始資料!$A224="",11&gt;設定!$B$3,原始資料!N224=""),"",IF(AND(原始資料!M224&lt;&gt;"",原始資料!N224=原始資料!M224),N(K224)+1,1))</f>
        <v/>
      </c>
      <c r="M224" s="6">
        <f>IF(OR(原始資料!$A224="",12&gt;設定!$B$3,原始資料!O224=""),"",IF(AND(原始資料!N224&lt;&gt;"",原始資料!O224=原始資料!N224),N(L224)+1,1))</f>
        <v/>
      </c>
      <c r="N224" s="6">
        <f>IF(OR(原始資料!$A224="",13&gt;設定!$B$3,原始資料!P224=""),"",IF(AND(原始資料!O224&lt;&gt;"",原始資料!P224=原始資料!O224),N(M224)+1,1))</f>
        <v/>
      </c>
      <c r="O224" s="6">
        <f>IF(OR(原始資料!$A224="",14&gt;設定!$B$3,原始資料!Q224=""),"",IF(AND(原始資料!P224&lt;&gt;"",原始資料!Q224=原始資料!P224),N(N224)+1,1))</f>
        <v/>
      </c>
      <c r="P224" s="6">
        <f>IF(OR(原始資料!$A224="",15&gt;設定!$B$3,原始資料!R224=""),"",IF(AND(原始資料!Q224&lt;&gt;"",原始資料!R224=原始資料!Q224),N(O224)+1,1))</f>
        <v/>
      </c>
      <c r="Q224" s="6">
        <f>IF(OR(原始資料!$A224="",16&gt;設定!$B$3,原始資料!S224=""),"",IF(AND(原始資料!R224&lt;&gt;"",原始資料!S224=原始資料!R224),N(P224)+1,1))</f>
        <v/>
      </c>
      <c r="R224" s="6">
        <f>IF(OR(原始資料!$A224="",17&gt;設定!$B$3,原始資料!T224=""),"",IF(AND(原始資料!S224&lt;&gt;"",原始資料!T224=原始資料!S224),N(Q224)+1,1))</f>
        <v/>
      </c>
      <c r="S224" s="6">
        <f>IF(OR(原始資料!$A224="",18&gt;設定!$B$3,原始資料!U224=""),"",IF(AND(原始資料!T224&lt;&gt;"",原始資料!U224=原始資料!T224),N(R224)+1,1))</f>
        <v/>
      </c>
      <c r="T224" s="6">
        <f>IF(OR(原始資料!$A224="",19&gt;設定!$B$3,原始資料!V224=""),"",IF(AND(原始資料!U224&lt;&gt;"",原始資料!V224=原始資料!U224),N(S224)+1,1))</f>
        <v/>
      </c>
      <c r="U224" s="6">
        <f>IF(OR(原始資料!$A224="",20&gt;設定!$B$3,原始資料!W224=""),"",IF(AND(原始資料!V224&lt;&gt;"",原始資料!W224=原始資料!V224),N(T224)+1,1))</f>
        <v/>
      </c>
      <c r="V224" s="6">
        <f>IF(OR(原始資料!$A224="",21&gt;設定!$B$3,原始資料!X224=""),"",IF(AND(原始資料!W224&lt;&gt;"",原始資料!X224=原始資料!W224),N(U224)+1,1))</f>
        <v/>
      </c>
      <c r="W224" s="6">
        <f>IF(OR(原始資料!$A224="",22&gt;設定!$B$3,原始資料!Y224=""),"",IF(AND(原始資料!X224&lt;&gt;"",原始資料!Y224=原始資料!X224),N(V224)+1,1))</f>
        <v/>
      </c>
      <c r="X224" s="6">
        <f>IF(OR(原始資料!$A224="",23&gt;設定!$B$3,原始資料!Z224=""),"",IF(AND(原始資料!Y224&lt;&gt;"",原始資料!Z224=原始資料!Y224),N(W224)+1,1))</f>
        <v/>
      </c>
      <c r="Y224" s="6">
        <f>IF(OR(原始資料!$A224="",24&gt;設定!$B$3,原始資料!AA224=""),"",IF(AND(原始資料!Z224&lt;&gt;"",原始資料!AA224=原始資料!Z224),N(X224)+1,1))</f>
        <v/>
      </c>
      <c r="Z224" s="6">
        <f>IF(OR(原始資料!$A224="",25&gt;設定!$B$3,原始資料!AB224=""),"",IF(AND(原始資料!AA224&lt;&gt;"",原始資料!AB224=原始資料!AA224),N(Y224)+1,1))</f>
        <v/>
      </c>
      <c r="AA224" s="6">
        <f>IF(OR(原始資料!$A224="",26&gt;設定!$B$3,原始資料!AC224=""),"",IF(AND(原始資料!AB224&lt;&gt;"",原始資料!AC224=原始資料!AB224),N(Z224)+1,1))</f>
        <v/>
      </c>
      <c r="AB224" s="6">
        <f>IF(OR(原始資料!$A224="",27&gt;設定!$B$3,原始資料!AD224=""),"",IF(AND(原始資料!AC224&lt;&gt;"",原始資料!AD224=原始資料!AC224),N(AA224)+1,1))</f>
        <v/>
      </c>
      <c r="AC224" s="6">
        <f>IF(OR(原始資料!$A224="",28&gt;設定!$B$3,原始資料!AE224=""),"",IF(AND(原始資料!AD224&lt;&gt;"",原始資料!AE224=原始資料!AD224),N(AB224)+1,1))</f>
        <v/>
      </c>
      <c r="AD224" s="6">
        <f>IF(OR(原始資料!$A224="",29&gt;設定!$B$3,原始資料!AF224=""),"",IF(AND(原始資料!AE224&lt;&gt;"",原始資料!AF224=原始資料!AE224),N(AC224)+1,1))</f>
        <v/>
      </c>
      <c r="AE224" s="6">
        <f>IF(OR(原始資料!$A224="",30&gt;設定!$B$3,原始資料!AG224=""),"",IF(AND(原始資料!AF224&lt;&gt;"",原始資料!AG224=原始資料!AF224),N(AD224)+1,1))</f>
        <v/>
      </c>
      <c r="AF224" s="6">
        <f>IF(OR(原始資料!$A224="",31&gt;設定!$B$3,原始資料!AH224=""),"",IF(AND(原始資料!AG224&lt;&gt;"",原始資料!AH224=原始資料!AG224),N(AE224)+1,1))</f>
        <v/>
      </c>
      <c r="AG224" s="6">
        <f>IF(OR(原始資料!$A224="",32&gt;設定!$B$3,原始資料!AI224=""),"",IF(AND(原始資料!AH224&lt;&gt;"",原始資料!AI224=原始資料!AH224),N(AF224)+1,1))</f>
        <v/>
      </c>
      <c r="AH224" s="6">
        <f>IF(OR(原始資料!$A224="",33&gt;設定!$B$3,原始資料!AJ224=""),"",IF(AND(原始資料!AI224&lt;&gt;"",原始資料!AJ224=原始資料!AI224),N(AG224)+1,1))</f>
        <v/>
      </c>
      <c r="AI224" s="6">
        <f>IF(OR(原始資料!$A224="",34&gt;設定!$B$3,原始資料!AK224=""),"",IF(AND(原始資料!AJ224&lt;&gt;"",原始資料!AK224=原始資料!AJ224),N(AH224)+1,1))</f>
        <v/>
      </c>
      <c r="AJ224" s="6">
        <f>IF(OR(原始資料!$A224="",35&gt;設定!$B$3,原始資料!AL224=""),"",IF(AND(原始資料!AK224&lt;&gt;"",原始資料!AL224=原始資料!AK224),N(AI224)+1,1))</f>
        <v/>
      </c>
      <c r="AK224" s="6">
        <f>IF(OR(原始資料!$A224="",36&gt;設定!$B$3,原始資料!AM224=""),"",IF(AND(原始資料!AL224&lt;&gt;"",原始資料!AM224=原始資料!AL224),N(AJ224)+1,1))</f>
        <v/>
      </c>
      <c r="AL224" s="6">
        <f>IF(OR(原始資料!$A224="",37&gt;設定!$B$3,原始資料!AN224=""),"",IF(AND(原始資料!AM224&lt;&gt;"",原始資料!AN224=原始資料!AM224),N(AK224)+1,1))</f>
        <v/>
      </c>
      <c r="AM224" s="6">
        <f>IF(OR(原始資料!$A224="",38&gt;設定!$B$3,原始資料!AO224=""),"",IF(AND(原始資料!AN224&lt;&gt;"",原始資料!AO224=原始資料!AN224),N(AL224)+1,1))</f>
        <v/>
      </c>
      <c r="AN224" s="6">
        <f>IF(OR(原始資料!$A224="",39&gt;設定!$B$3,原始資料!AP224=""),"",IF(AND(原始資料!AO224&lt;&gt;"",原始資料!AP224=原始資料!AO224),N(AM224)+1,1))</f>
        <v/>
      </c>
      <c r="AO224" s="6">
        <f>IF(OR(原始資料!$A224="",40&gt;設定!$B$3,原始資料!AQ224=""),"",IF(AND(原始資料!AP224&lt;&gt;"",原始資料!AQ224=原始資料!AP224),N(AN224)+1,1))</f>
        <v/>
      </c>
      <c r="AP224" s="6">
        <f>IF(OR(原始資料!$A224="",41&gt;設定!$B$3,原始資料!AR224=""),"",IF(AND(原始資料!AQ224&lt;&gt;"",原始資料!AR224=原始資料!AQ224),N(AO224)+1,1))</f>
        <v/>
      </c>
      <c r="AQ224" s="6">
        <f>IF(OR(原始資料!$A224="",42&gt;設定!$B$3,原始資料!AS224=""),"",IF(AND(原始資料!AR224&lt;&gt;"",原始資料!AS224=原始資料!AR224),N(AP224)+1,1))</f>
        <v/>
      </c>
      <c r="AR224" s="6">
        <f>IF(OR(原始資料!$A224="",43&gt;設定!$B$3,原始資料!AT224=""),"",IF(AND(原始資料!AS224&lt;&gt;"",原始資料!AT224=原始資料!AS224),N(AQ224)+1,1))</f>
        <v/>
      </c>
      <c r="AS224" s="6">
        <f>IF(OR(原始資料!$A224="",44&gt;設定!$B$3,原始資料!AU224=""),"",IF(AND(原始資料!AT224&lt;&gt;"",原始資料!AU224=原始資料!AT224),N(AR224)+1,1))</f>
        <v/>
      </c>
      <c r="AT224" s="6">
        <f>IF(OR(原始資料!$A224="",45&gt;設定!$B$3,原始資料!AV224=""),"",IF(AND(原始資料!AU224&lt;&gt;"",原始資料!AV224=原始資料!AU224),N(AS224)+1,1))</f>
        <v/>
      </c>
      <c r="AU224" s="6">
        <f>IF(OR(原始資料!$A224="",46&gt;設定!$B$3,原始資料!AW224=""),"",IF(AND(原始資料!AV224&lt;&gt;"",原始資料!AW224=原始資料!AV224),N(AT224)+1,1))</f>
        <v/>
      </c>
      <c r="AV224" s="6">
        <f>IF(OR(原始資料!$A224="",47&gt;設定!$B$3,原始資料!AX224=""),"",IF(AND(原始資料!AW224&lt;&gt;"",原始資料!AX224=原始資料!AW224),N(AU224)+1,1))</f>
        <v/>
      </c>
      <c r="AW224" s="6">
        <f>IF(OR(原始資料!$A224="",48&gt;設定!$B$3,原始資料!AY224=""),"",IF(AND(原始資料!AX224&lt;&gt;"",原始資料!AY224=原始資料!AX224),N(AV224)+1,1))</f>
        <v/>
      </c>
      <c r="AX224" s="6">
        <f>IF(OR(原始資料!$A224="",49&gt;設定!$B$3,原始資料!AZ224=""),"",IF(AND(原始資料!AY224&lt;&gt;"",原始資料!AZ224=原始資料!AY224),N(AW224)+1,1))</f>
        <v/>
      </c>
      <c r="AY224" s="6">
        <f>IF(OR(原始資料!$A224="",50&gt;設定!$B$3,原始資料!BA224=""),"",IF(AND(原始資料!AZ224&lt;&gt;"",原始資料!BA224=原始資料!AZ224),N(AX224)+1,1))</f>
        <v/>
      </c>
      <c r="AZ224" s="6">
        <f>IF(OR(原始資料!$A224="",51&gt;設定!$B$3,原始資料!BB224=""),"",IF(AND(原始資料!BA224&lt;&gt;"",原始資料!BB224=原始資料!BA224),N(AY224)+1,1))</f>
        <v/>
      </c>
      <c r="BA224" s="6">
        <f>IF(OR(原始資料!$A224="",52&gt;設定!$B$3,原始資料!BC224=""),"",IF(AND(原始資料!BB224&lt;&gt;"",原始資料!BC224=原始資料!BB224),N(AZ224)+1,1))</f>
        <v/>
      </c>
      <c r="BB224" s="6">
        <f>IF(OR(原始資料!$A224="",53&gt;設定!$B$3,原始資料!BD224=""),"",IF(AND(原始資料!BC224&lt;&gt;"",原始資料!BD224=原始資料!BC224),N(BA224)+1,1))</f>
        <v/>
      </c>
      <c r="BC224" s="6">
        <f>IF(OR(原始資料!$A224="",54&gt;設定!$B$3,原始資料!BE224=""),"",IF(AND(原始資料!BD224&lt;&gt;"",原始資料!BE224=原始資料!BD224),N(BB224)+1,1))</f>
        <v/>
      </c>
      <c r="BD224" s="6">
        <f>IF(OR(原始資料!$A224="",55&gt;設定!$B$3,原始資料!BF224=""),"",IF(AND(原始資料!BE224&lt;&gt;"",原始資料!BF224=原始資料!BE224),N(BC224)+1,1))</f>
        <v/>
      </c>
      <c r="BE224" s="6">
        <f>IF(OR(原始資料!$A224="",56&gt;設定!$B$3,原始資料!BG224=""),"",IF(AND(原始資料!BF224&lt;&gt;"",原始資料!BG224=原始資料!BF224),N(BD224)+1,1))</f>
        <v/>
      </c>
      <c r="BF224" s="6">
        <f>IF(OR(原始資料!$A224="",57&gt;設定!$B$3,原始資料!BH224=""),"",IF(AND(原始資料!BG224&lt;&gt;"",原始資料!BH224=原始資料!BG224),N(BE224)+1,1))</f>
        <v/>
      </c>
      <c r="BG224" s="6">
        <f>IF(OR(原始資料!$A224="",58&gt;設定!$B$3,原始資料!BI224=""),"",IF(AND(原始資料!BH224&lt;&gt;"",原始資料!BI224=原始資料!BH224),N(BF224)+1,1))</f>
        <v/>
      </c>
      <c r="BH224" s="6">
        <f>IF(OR(原始資料!$A224="",59&gt;設定!$B$3,原始資料!BJ224=""),"",IF(AND(原始資料!BI224&lt;&gt;"",原始資料!BJ224=原始資料!BI224),N(BG224)+1,1))</f>
        <v/>
      </c>
      <c r="BI224" s="6">
        <f>IF(OR(原始資料!$A224="",60&gt;設定!$B$3,原始資料!BK224=""),"",IF(AND(原始資料!BJ224&lt;&gt;"",原始資料!BK224=原始資料!BJ224),N(BH224)+1,1))</f>
        <v/>
      </c>
    </row>
    <row r="225">
      <c r="A225" s="6">
        <f>IF(原始資料!$A225="","",原始資料!$A225)</f>
        <v/>
      </c>
      <c r="B225" s="6">
        <f>IF(OR(原始資料!$A225="",1&gt;設定!$B$3,原始資料!D225=""),"",1)</f>
        <v/>
      </c>
      <c r="C225" s="6">
        <f>IF(OR(原始資料!$A225="",2&gt;設定!$B$3,原始資料!E225=""),"",IF(AND(原始資料!D225&lt;&gt;"",原始資料!E225=原始資料!D225),N(B225)+1,1))</f>
        <v/>
      </c>
      <c r="D225" s="6">
        <f>IF(OR(原始資料!$A225="",3&gt;設定!$B$3,原始資料!F225=""),"",IF(AND(原始資料!E225&lt;&gt;"",原始資料!F225=原始資料!E225),N(C225)+1,1))</f>
        <v/>
      </c>
      <c r="E225" s="6">
        <f>IF(OR(原始資料!$A225="",4&gt;設定!$B$3,原始資料!G225=""),"",IF(AND(原始資料!F225&lt;&gt;"",原始資料!G225=原始資料!F225),N(D225)+1,1))</f>
        <v/>
      </c>
      <c r="F225" s="6">
        <f>IF(OR(原始資料!$A225="",5&gt;設定!$B$3,原始資料!H225=""),"",IF(AND(原始資料!G225&lt;&gt;"",原始資料!H225=原始資料!G225),N(E225)+1,1))</f>
        <v/>
      </c>
      <c r="G225" s="6">
        <f>IF(OR(原始資料!$A225="",6&gt;設定!$B$3,原始資料!I225=""),"",IF(AND(原始資料!H225&lt;&gt;"",原始資料!I225=原始資料!H225),N(F225)+1,1))</f>
        <v/>
      </c>
      <c r="H225" s="6">
        <f>IF(OR(原始資料!$A225="",7&gt;設定!$B$3,原始資料!J225=""),"",IF(AND(原始資料!I225&lt;&gt;"",原始資料!J225=原始資料!I225),N(G225)+1,1))</f>
        <v/>
      </c>
      <c r="I225" s="6">
        <f>IF(OR(原始資料!$A225="",8&gt;設定!$B$3,原始資料!K225=""),"",IF(AND(原始資料!J225&lt;&gt;"",原始資料!K225=原始資料!J225),N(H225)+1,1))</f>
        <v/>
      </c>
      <c r="J225" s="6">
        <f>IF(OR(原始資料!$A225="",9&gt;設定!$B$3,原始資料!L225=""),"",IF(AND(原始資料!K225&lt;&gt;"",原始資料!L225=原始資料!K225),N(I225)+1,1))</f>
        <v/>
      </c>
      <c r="K225" s="6">
        <f>IF(OR(原始資料!$A225="",10&gt;設定!$B$3,原始資料!M225=""),"",IF(AND(原始資料!L225&lt;&gt;"",原始資料!M225=原始資料!L225),N(J225)+1,1))</f>
        <v/>
      </c>
      <c r="L225" s="6">
        <f>IF(OR(原始資料!$A225="",11&gt;設定!$B$3,原始資料!N225=""),"",IF(AND(原始資料!M225&lt;&gt;"",原始資料!N225=原始資料!M225),N(K225)+1,1))</f>
        <v/>
      </c>
      <c r="M225" s="6">
        <f>IF(OR(原始資料!$A225="",12&gt;設定!$B$3,原始資料!O225=""),"",IF(AND(原始資料!N225&lt;&gt;"",原始資料!O225=原始資料!N225),N(L225)+1,1))</f>
        <v/>
      </c>
      <c r="N225" s="6">
        <f>IF(OR(原始資料!$A225="",13&gt;設定!$B$3,原始資料!P225=""),"",IF(AND(原始資料!O225&lt;&gt;"",原始資料!P225=原始資料!O225),N(M225)+1,1))</f>
        <v/>
      </c>
      <c r="O225" s="6">
        <f>IF(OR(原始資料!$A225="",14&gt;設定!$B$3,原始資料!Q225=""),"",IF(AND(原始資料!P225&lt;&gt;"",原始資料!Q225=原始資料!P225),N(N225)+1,1))</f>
        <v/>
      </c>
      <c r="P225" s="6">
        <f>IF(OR(原始資料!$A225="",15&gt;設定!$B$3,原始資料!R225=""),"",IF(AND(原始資料!Q225&lt;&gt;"",原始資料!R225=原始資料!Q225),N(O225)+1,1))</f>
        <v/>
      </c>
      <c r="Q225" s="6">
        <f>IF(OR(原始資料!$A225="",16&gt;設定!$B$3,原始資料!S225=""),"",IF(AND(原始資料!R225&lt;&gt;"",原始資料!S225=原始資料!R225),N(P225)+1,1))</f>
        <v/>
      </c>
      <c r="R225" s="6">
        <f>IF(OR(原始資料!$A225="",17&gt;設定!$B$3,原始資料!T225=""),"",IF(AND(原始資料!S225&lt;&gt;"",原始資料!T225=原始資料!S225),N(Q225)+1,1))</f>
        <v/>
      </c>
      <c r="S225" s="6">
        <f>IF(OR(原始資料!$A225="",18&gt;設定!$B$3,原始資料!U225=""),"",IF(AND(原始資料!T225&lt;&gt;"",原始資料!U225=原始資料!T225),N(R225)+1,1))</f>
        <v/>
      </c>
      <c r="T225" s="6">
        <f>IF(OR(原始資料!$A225="",19&gt;設定!$B$3,原始資料!V225=""),"",IF(AND(原始資料!U225&lt;&gt;"",原始資料!V225=原始資料!U225),N(S225)+1,1))</f>
        <v/>
      </c>
      <c r="U225" s="6">
        <f>IF(OR(原始資料!$A225="",20&gt;設定!$B$3,原始資料!W225=""),"",IF(AND(原始資料!V225&lt;&gt;"",原始資料!W225=原始資料!V225),N(T225)+1,1))</f>
        <v/>
      </c>
      <c r="V225" s="6">
        <f>IF(OR(原始資料!$A225="",21&gt;設定!$B$3,原始資料!X225=""),"",IF(AND(原始資料!W225&lt;&gt;"",原始資料!X225=原始資料!W225),N(U225)+1,1))</f>
        <v/>
      </c>
      <c r="W225" s="6">
        <f>IF(OR(原始資料!$A225="",22&gt;設定!$B$3,原始資料!Y225=""),"",IF(AND(原始資料!X225&lt;&gt;"",原始資料!Y225=原始資料!X225),N(V225)+1,1))</f>
        <v/>
      </c>
      <c r="X225" s="6">
        <f>IF(OR(原始資料!$A225="",23&gt;設定!$B$3,原始資料!Z225=""),"",IF(AND(原始資料!Y225&lt;&gt;"",原始資料!Z225=原始資料!Y225),N(W225)+1,1))</f>
        <v/>
      </c>
      <c r="Y225" s="6">
        <f>IF(OR(原始資料!$A225="",24&gt;設定!$B$3,原始資料!AA225=""),"",IF(AND(原始資料!Z225&lt;&gt;"",原始資料!AA225=原始資料!Z225),N(X225)+1,1))</f>
        <v/>
      </c>
      <c r="Z225" s="6">
        <f>IF(OR(原始資料!$A225="",25&gt;設定!$B$3,原始資料!AB225=""),"",IF(AND(原始資料!AA225&lt;&gt;"",原始資料!AB225=原始資料!AA225),N(Y225)+1,1))</f>
        <v/>
      </c>
      <c r="AA225" s="6">
        <f>IF(OR(原始資料!$A225="",26&gt;設定!$B$3,原始資料!AC225=""),"",IF(AND(原始資料!AB225&lt;&gt;"",原始資料!AC225=原始資料!AB225),N(Z225)+1,1))</f>
        <v/>
      </c>
      <c r="AB225" s="6">
        <f>IF(OR(原始資料!$A225="",27&gt;設定!$B$3,原始資料!AD225=""),"",IF(AND(原始資料!AC225&lt;&gt;"",原始資料!AD225=原始資料!AC225),N(AA225)+1,1))</f>
        <v/>
      </c>
      <c r="AC225" s="6">
        <f>IF(OR(原始資料!$A225="",28&gt;設定!$B$3,原始資料!AE225=""),"",IF(AND(原始資料!AD225&lt;&gt;"",原始資料!AE225=原始資料!AD225),N(AB225)+1,1))</f>
        <v/>
      </c>
      <c r="AD225" s="6">
        <f>IF(OR(原始資料!$A225="",29&gt;設定!$B$3,原始資料!AF225=""),"",IF(AND(原始資料!AE225&lt;&gt;"",原始資料!AF225=原始資料!AE225),N(AC225)+1,1))</f>
        <v/>
      </c>
      <c r="AE225" s="6">
        <f>IF(OR(原始資料!$A225="",30&gt;設定!$B$3,原始資料!AG225=""),"",IF(AND(原始資料!AF225&lt;&gt;"",原始資料!AG225=原始資料!AF225),N(AD225)+1,1))</f>
        <v/>
      </c>
      <c r="AF225" s="6">
        <f>IF(OR(原始資料!$A225="",31&gt;設定!$B$3,原始資料!AH225=""),"",IF(AND(原始資料!AG225&lt;&gt;"",原始資料!AH225=原始資料!AG225),N(AE225)+1,1))</f>
        <v/>
      </c>
      <c r="AG225" s="6">
        <f>IF(OR(原始資料!$A225="",32&gt;設定!$B$3,原始資料!AI225=""),"",IF(AND(原始資料!AH225&lt;&gt;"",原始資料!AI225=原始資料!AH225),N(AF225)+1,1))</f>
        <v/>
      </c>
      <c r="AH225" s="6">
        <f>IF(OR(原始資料!$A225="",33&gt;設定!$B$3,原始資料!AJ225=""),"",IF(AND(原始資料!AI225&lt;&gt;"",原始資料!AJ225=原始資料!AI225),N(AG225)+1,1))</f>
        <v/>
      </c>
      <c r="AI225" s="6">
        <f>IF(OR(原始資料!$A225="",34&gt;設定!$B$3,原始資料!AK225=""),"",IF(AND(原始資料!AJ225&lt;&gt;"",原始資料!AK225=原始資料!AJ225),N(AH225)+1,1))</f>
        <v/>
      </c>
      <c r="AJ225" s="6">
        <f>IF(OR(原始資料!$A225="",35&gt;設定!$B$3,原始資料!AL225=""),"",IF(AND(原始資料!AK225&lt;&gt;"",原始資料!AL225=原始資料!AK225),N(AI225)+1,1))</f>
        <v/>
      </c>
      <c r="AK225" s="6">
        <f>IF(OR(原始資料!$A225="",36&gt;設定!$B$3,原始資料!AM225=""),"",IF(AND(原始資料!AL225&lt;&gt;"",原始資料!AM225=原始資料!AL225),N(AJ225)+1,1))</f>
        <v/>
      </c>
      <c r="AL225" s="6">
        <f>IF(OR(原始資料!$A225="",37&gt;設定!$B$3,原始資料!AN225=""),"",IF(AND(原始資料!AM225&lt;&gt;"",原始資料!AN225=原始資料!AM225),N(AK225)+1,1))</f>
        <v/>
      </c>
      <c r="AM225" s="6">
        <f>IF(OR(原始資料!$A225="",38&gt;設定!$B$3,原始資料!AO225=""),"",IF(AND(原始資料!AN225&lt;&gt;"",原始資料!AO225=原始資料!AN225),N(AL225)+1,1))</f>
        <v/>
      </c>
      <c r="AN225" s="6">
        <f>IF(OR(原始資料!$A225="",39&gt;設定!$B$3,原始資料!AP225=""),"",IF(AND(原始資料!AO225&lt;&gt;"",原始資料!AP225=原始資料!AO225),N(AM225)+1,1))</f>
        <v/>
      </c>
      <c r="AO225" s="6">
        <f>IF(OR(原始資料!$A225="",40&gt;設定!$B$3,原始資料!AQ225=""),"",IF(AND(原始資料!AP225&lt;&gt;"",原始資料!AQ225=原始資料!AP225),N(AN225)+1,1))</f>
        <v/>
      </c>
      <c r="AP225" s="6">
        <f>IF(OR(原始資料!$A225="",41&gt;設定!$B$3,原始資料!AR225=""),"",IF(AND(原始資料!AQ225&lt;&gt;"",原始資料!AR225=原始資料!AQ225),N(AO225)+1,1))</f>
        <v/>
      </c>
      <c r="AQ225" s="6">
        <f>IF(OR(原始資料!$A225="",42&gt;設定!$B$3,原始資料!AS225=""),"",IF(AND(原始資料!AR225&lt;&gt;"",原始資料!AS225=原始資料!AR225),N(AP225)+1,1))</f>
        <v/>
      </c>
      <c r="AR225" s="6">
        <f>IF(OR(原始資料!$A225="",43&gt;設定!$B$3,原始資料!AT225=""),"",IF(AND(原始資料!AS225&lt;&gt;"",原始資料!AT225=原始資料!AS225),N(AQ225)+1,1))</f>
        <v/>
      </c>
      <c r="AS225" s="6">
        <f>IF(OR(原始資料!$A225="",44&gt;設定!$B$3,原始資料!AU225=""),"",IF(AND(原始資料!AT225&lt;&gt;"",原始資料!AU225=原始資料!AT225),N(AR225)+1,1))</f>
        <v/>
      </c>
      <c r="AT225" s="6">
        <f>IF(OR(原始資料!$A225="",45&gt;設定!$B$3,原始資料!AV225=""),"",IF(AND(原始資料!AU225&lt;&gt;"",原始資料!AV225=原始資料!AU225),N(AS225)+1,1))</f>
        <v/>
      </c>
      <c r="AU225" s="6">
        <f>IF(OR(原始資料!$A225="",46&gt;設定!$B$3,原始資料!AW225=""),"",IF(AND(原始資料!AV225&lt;&gt;"",原始資料!AW225=原始資料!AV225),N(AT225)+1,1))</f>
        <v/>
      </c>
      <c r="AV225" s="6">
        <f>IF(OR(原始資料!$A225="",47&gt;設定!$B$3,原始資料!AX225=""),"",IF(AND(原始資料!AW225&lt;&gt;"",原始資料!AX225=原始資料!AW225),N(AU225)+1,1))</f>
        <v/>
      </c>
      <c r="AW225" s="6">
        <f>IF(OR(原始資料!$A225="",48&gt;設定!$B$3,原始資料!AY225=""),"",IF(AND(原始資料!AX225&lt;&gt;"",原始資料!AY225=原始資料!AX225),N(AV225)+1,1))</f>
        <v/>
      </c>
      <c r="AX225" s="6">
        <f>IF(OR(原始資料!$A225="",49&gt;設定!$B$3,原始資料!AZ225=""),"",IF(AND(原始資料!AY225&lt;&gt;"",原始資料!AZ225=原始資料!AY225),N(AW225)+1,1))</f>
        <v/>
      </c>
      <c r="AY225" s="6">
        <f>IF(OR(原始資料!$A225="",50&gt;設定!$B$3,原始資料!BA225=""),"",IF(AND(原始資料!AZ225&lt;&gt;"",原始資料!BA225=原始資料!AZ225),N(AX225)+1,1))</f>
        <v/>
      </c>
      <c r="AZ225" s="6">
        <f>IF(OR(原始資料!$A225="",51&gt;設定!$B$3,原始資料!BB225=""),"",IF(AND(原始資料!BA225&lt;&gt;"",原始資料!BB225=原始資料!BA225),N(AY225)+1,1))</f>
        <v/>
      </c>
      <c r="BA225" s="6">
        <f>IF(OR(原始資料!$A225="",52&gt;設定!$B$3,原始資料!BC225=""),"",IF(AND(原始資料!BB225&lt;&gt;"",原始資料!BC225=原始資料!BB225),N(AZ225)+1,1))</f>
        <v/>
      </c>
      <c r="BB225" s="6">
        <f>IF(OR(原始資料!$A225="",53&gt;設定!$B$3,原始資料!BD225=""),"",IF(AND(原始資料!BC225&lt;&gt;"",原始資料!BD225=原始資料!BC225),N(BA225)+1,1))</f>
        <v/>
      </c>
      <c r="BC225" s="6">
        <f>IF(OR(原始資料!$A225="",54&gt;設定!$B$3,原始資料!BE225=""),"",IF(AND(原始資料!BD225&lt;&gt;"",原始資料!BE225=原始資料!BD225),N(BB225)+1,1))</f>
        <v/>
      </c>
      <c r="BD225" s="6">
        <f>IF(OR(原始資料!$A225="",55&gt;設定!$B$3,原始資料!BF225=""),"",IF(AND(原始資料!BE225&lt;&gt;"",原始資料!BF225=原始資料!BE225),N(BC225)+1,1))</f>
        <v/>
      </c>
      <c r="BE225" s="6">
        <f>IF(OR(原始資料!$A225="",56&gt;設定!$B$3,原始資料!BG225=""),"",IF(AND(原始資料!BF225&lt;&gt;"",原始資料!BG225=原始資料!BF225),N(BD225)+1,1))</f>
        <v/>
      </c>
      <c r="BF225" s="6">
        <f>IF(OR(原始資料!$A225="",57&gt;設定!$B$3,原始資料!BH225=""),"",IF(AND(原始資料!BG225&lt;&gt;"",原始資料!BH225=原始資料!BG225),N(BE225)+1,1))</f>
        <v/>
      </c>
      <c r="BG225" s="6">
        <f>IF(OR(原始資料!$A225="",58&gt;設定!$B$3,原始資料!BI225=""),"",IF(AND(原始資料!BH225&lt;&gt;"",原始資料!BI225=原始資料!BH225),N(BF225)+1,1))</f>
        <v/>
      </c>
      <c r="BH225" s="6">
        <f>IF(OR(原始資料!$A225="",59&gt;設定!$B$3,原始資料!BJ225=""),"",IF(AND(原始資料!BI225&lt;&gt;"",原始資料!BJ225=原始資料!BI225),N(BG225)+1,1))</f>
        <v/>
      </c>
      <c r="BI225" s="6">
        <f>IF(OR(原始資料!$A225="",60&gt;設定!$B$3,原始資料!BK225=""),"",IF(AND(原始資料!BJ225&lt;&gt;"",原始資料!BK225=原始資料!BJ225),N(BH225)+1,1))</f>
        <v/>
      </c>
    </row>
    <row r="226">
      <c r="A226" s="6">
        <f>IF(原始資料!$A226="","",原始資料!$A226)</f>
        <v/>
      </c>
      <c r="B226" s="6">
        <f>IF(OR(原始資料!$A226="",1&gt;設定!$B$3,原始資料!D226=""),"",1)</f>
        <v/>
      </c>
      <c r="C226" s="6">
        <f>IF(OR(原始資料!$A226="",2&gt;設定!$B$3,原始資料!E226=""),"",IF(AND(原始資料!D226&lt;&gt;"",原始資料!E226=原始資料!D226),N(B226)+1,1))</f>
        <v/>
      </c>
      <c r="D226" s="6">
        <f>IF(OR(原始資料!$A226="",3&gt;設定!$B$3,原始資料!F226=""),"",IF(AND(原始資料!E226&lt;&gt;"",原始資料!F226=原始資料!E226),N(C226)+1,1))</f>
        <v/>
      </c>
      <c r="E226" s="6">
        <f>IF(OR(原始資料!$A226="",4&gt;設定!$B$3,原始資料!G226=""),"",IF(AND(原始資料!F226&lt;&gt;"",原始資料!G226=原始資料!F226),N(D226)+1,1))</f>
        <v/>
      </c>
      <c r="F226" s="6">
        <f>IF(OR(原始資料!$A226="",5&gt;設定!$B$3,原始資料!H226=""),"",IF(AND(原始資料!G226&lt;&gt;"",原始資料!H226=原始資料!G226),N(E226)+1,1))</f>
        <v/>
      </c>
      <c r="G226" s="6">
        <f>IF(OR(原始資料!$A226="",6&gt;設定!$B$3,原始資料!I226=""),"",IF(AND(原始資料!H226&lt;&gt;"",原始資料!I226=原始資料!H226),N(F226)+1,1))</f>
        <v/>
      </c>
      <c r="H226" s="6">
        <f>IF(OR(原始資料!$A226="",7&gt;設定!$B$3,原始資料!J226=""),"",IF(AND(原始資料!I226&lt;&gt;"",原始資料!J226=原始資料!I226),N(G226)+1,1))</f>
        <v/>
      </c>
      <c r="I226" s="6">
        <f>IF(OR(原始資料!$A226="",8&gt;設定!$B$3,原始資料!K226=""),"",IF(AND(原始資料!J226&lt;&gt;"",原始資料!K226=原始資料!J226),N(H226)+1,1))</f>
        <v/>
      </c>
      <c r="J226" s="6">
        <f>IF(OR(原始資料!$A226="",9&gt;設定!$B$3,原始資料!L226=""),"",IF(AND(原始資料!K226&lt;&gt;"",原始資料!L226=原始資料!K226),N(I226)+1,1))</f>
        <v/>
      </c>
      <c r="K226" s="6">
        <f>IF(OR(原始資料!$A226="",10&gt;設定!$B$3,原始資料!M226=""),"",IF(AND(原始資料!L226&lt;&gt;"",原始資料!M226=原始資料!L226),N(J226)+1,1))</f>
        <v/>
      </c>
      <c r="L226" s="6">
        <f>IF(OR(原始資料!$A226="",11&gt;設定!$B$3,原始資料!N226=""),"",IF(AND(原始資料!M226&lt;&gt;"",原始資料!N226=原始資料!M226),N(K226)+1,1))</f>
        <v/>
      </c>
      <c r="M226" s="6">
        <f>IF(OR(原始資料!$A226="",12&gt;設定!$B$3,原始資料!O226=""),"",IF(AND(原始資料!N226&lt;&gt;"",原始資料!O226=原始資料!N226),N(L226)+1,1))</f>
        <v/>
      </c>
      <c r="N226" s="6">
        <f>IF(OR(原始資料!$A226="",13&gt;設定!$B$3,原始資料!P226=""),"",IF(AND(原始資料!O226&lt;&gt;"",原始資料!P226=原始資料!O226),N(M226)+1,1))</f>
        <v/>
      </c>
      <c r="O226" s="6">
        <f>IF(OR(原始資料!$A226="",14&gt;設定!$B$3,原始資料!Q226=""),"",IF(AND(原始資料!P226&lt;&gt;"",原始資料!Q226=原始資料!P226),N(N226)+1,1))</f>
        <v/>
      </c>
      <c r="P226" s="6">
        <f>IF(OR(原始資料!$A226="",15&gt;設定!$B$3,原始資料!R226=""),"",IF(AND(原始資料!Q226&lt;&gt;"",原始資料!R226=原始資料!Q226),N(O226)+1,1))</f>
        <v/>
      </c>
      <c r="Q226" s="6">
        <f>IF(OR(原始資料!$A226="",16&gt;設定!$B$3,原始資料!S226=""),"",IF(AND(原始資料!R226&lt;&gt;"",原始資料!S226=原始資料!R226),N(P226)+1,1))</f>
        <v/>
      </c>
      <c r="R226" s="6">
        <f>IF(OR(原始資料!$A226="",17&gt;設定!$B$3,原始資料!T226=""),"",IF(AND(原始資料!S226&lt;&gt;"",原始資料!T226=原始資料!S226),N(Q226)+1,1))</f>
        <v/>
      </c>
      <c r="S226" s="6">
        <f>IF(OR(原始資料!$A226="",18&gt;設定!$B$3,原始資料!U226=""),"",IF(AND(原始資料!T226&lt;&gt;"",原始資料!U226=原始資料!T226),N(R226)+1,1))</f>
        <v/>
      </c>
      <c r="T226" s="6">
        <f>IF(OR(原始資料!$A226="",19&gt;設定!$B$3,原始資料!V226=""),"",IF(AND(原始資料!U226&lt;&gt;"",原始資料!V226=原始資料!U226),N(S226)+1,1))</f>
        <v/>
      </c>
      <c r="U226" s="6">
        <f>IF(OR(原始資料!$A226="",20&gt;設定!$B$3,原始資料!W226=""),"",IF(AND(原始資料!V226&lt;&gt;"",原始資料!W226=原始資料!V226),N(T226)+1,1))</f>
        <v/>
      </c>
      <c r="V226" s="6">
        <f>IF(OR(原始資料!$A226="",21&gt;設定!$B$3,原始資料!X226=""),"",IF(AND(原始資料!W226&lt;&gt;"",原始資料!X226=原始資料!W226),N(U226)+1,1))</f>
        <v/>
      </c>
      <c r="W226" s="6">
        <f>IF(OR(原始資料!$A226="",22&gt;設定!$B$3,原始資料!Y226=""),"",IF(AND(原始資料!X226&lt;&gt;"",原始資料!Y226=原始資料!X226),N(V226)+1,1))</f>
        <v/>
      </c>
      <c r="X226" s="6">
        <f>IF(OR(原始資料!$A226="",23&gt;設定!$B$3,原始資料!Z226=""),"",IF(AND(原始資料!Y226&lt;&gt;"",原始資料!Z226=原始資料!Y226),N(W226)+1,1))</f>
        <v/>
      </c>
      <c r="Y226" s="6">
        <f>IF(OR(原始資料!$A226="",24&gt;設定!$B$3,原始資料!AA226=""),"",IF(AND(原始資料!Z226&lt;&gt;"",原始資料!AA226=原始資料!Z226),N(X226)+1,1))</f>
        <v/>
      </c>
      <c r="Z226" s="6">
        <f>IF(OR(原始資料!$A226="",25&gt;設定!$B$3,原始資料!AB226=""),"",IF(AND(原始資料!AA226&lt;&gt;"",原始資料!AB226=原始資料!AA226),N(Y226)+1,1))</f>
        <v/>
      </c>
      <c r="AA226" s="6">
        <f>IF(OR(原始資料!$A226="",26&gt;設定!$B$3,原始資料!AC226=""),"",IF(AND(原始資料!AB226&lt;&gt;"",原始資料!AC226=原始資料!AB226),N(Z226)+1,1))</f>
        <v/>
      </c>
      <c r="AB226" s="6">
        <f>IF(OR(原始資料!$A226="",27&gt;設定!$B$3,原始資料!AD226=""),"",IF(AND(原始資料!AC226&lt;&gt;"",原始資料!AD226=原始資料!AC226),N(AA226)+1,1))</f>
        <v/>
      </c>
      <c r="AC226" s="6">
        <f>IF(OR(原始資料!$A226="",28&gt;設定!$B$3,原始資料!AE226=""),"",IF(AND(原始資料!AD226&lt;&gt;"",原始資料!AE226=原始資料!AD226),N(AB226)+1,1))</f>
        <v/>
      </c>
      <c r="AD226" s="6">
        <f>IF(OR(原始資料!$A226="",29&gt;設定!$B$3,原始資料!AF226=""),"",IF(AND(原始資料!AE226&lt;&gt;"",原始資料!AF226=原始資料!AE226),N(AC226)+1,1))</f>
        <v/>
      </c>
      <c r="AE226" s="6">
        <f>IF(OR(原始資料!$A226="",30&gt;設定!$B$3,原始資料!AG226=""),"",IF(AND(原始資料!AF226&lt;&gt;"",原始資料!AG226=原始資料!AF226),N(AD226)+1,1))</f>
        <v/>
      </c>
      <c r="AF226" s="6">
        <f>IF(OR(原始資料!$A226="",31&gt;設定!$B$3,原始資料!AH226=""),"",IF(AND(原始資料!AG226&lt;&gt;"",原始資料!AH226=原始資料!AG226),N(AE226)+1,1))</f>
        <v/>
      </c>
      <c r="AG226" s="6">
        <f>IF(OR(原始資料!$A226="",32&gt;設定!$B$3,原始資料!AI226=""),"",IF(AND(原始資料!AH226&lt;&gt;"",原始資料!AI226=原始資料!AH226),N(AF226)+1,1))</f>
        <v/>
      </c>
      <c r="AH226" s="6">
        <f>IF(OR(原始資料!$A226="",33&gt;設定!$B$3,原始資料!AJ226=""),"",IF(AND(原始資料!AI226&lt;&gt;"",原始資料!AJ226=原始資料!AI226),N(AG226)+1,1))</f>
        <v/>
      </c>
      <c r="AI226" s="6">
        <f>IF(OR(原始資料!$A226="",34&gt;設定!$B$3,原始資料!AK226=""),"",IF(AND(原始資料!AJ226&lt;&gt;"",原始資料!AK226=原始資料!AJ226),N(AH226)+1,1))</f>
        <v/>
      </c>
      <c r="AJ226" s="6">
        <f>IF(OR(原始資料!$A226="",35&gt;設定!$B$3,原始資料!AL226=""),"",IF(AND(原始資料!AK226&lt;&gt;"",原始資料!AL226=原始資料!AK226),N(AI226)+1,1))</f>
        <v/>
      </c>
      <c r="AK226" s="6">
        <f>IF(OR(原始資料!$A226="",36&gt;設定!$B$3,原始資料!AM226=""),"",IF(AND(原始資料!AL226&lt;&gt;"",原始資料!AM226=原始資料!AL226),N(AJ226)+1,1))</f>
        <v/>
      </c>
      <c r="AL226" s="6">
        <f>IF(OR(原始資料!$A226="",37&gt;設定!$B$3,原始資料!AN226=""),"",IF(AND(原始資料!AM226&lt;&gt;"",原始資料!AN226=原始資料!AM226),N(AK226)+1,1))</f>
        <v/>
      </c>
      <c r="AM226" s="6">
        <f>IF(OR(原始資料!$A226="",38&gt;設定!$B$3,原始資料!AO226=""),"",IF(AND(原始資料!AN226&lt;&gt;"",原始資料!AO226=原始資料!AN226),N(AL226)+1,1))</f>
        <v/>
      </c>
      <c r="AN226" s="6">
        <f>IF(OR(原始資料!$A226="",39&gt;設定!$B$3,原始資料!AP226=""),"",IF(AND(原始資料!AO226&lt;&gt;"",原始資料!AP226=原始資料!AO226),N(AM226)+1,1))</f>
        <v/>
      </c>
      <c r="AO226" s="6">
        <f>IF(OR(原始資料!$A226="",40&gt;設定!$B$3,原始資料!AQ226=""),"",IF(AND(原始資料!AP226&lt;&gt;"",原始資料!AQ226=原始資料!AP226),N(AN226)+1,1))</f>
        <v/>
      </c>
      <c r="AP226" s="6">
        <f>IF(OR(原始資料!$A226="",41&gt;設定!$B$3,原始資料!AR226=""),"",IF(AND(原始資料!AQ226&lt;&gt;"",原始資料!AR226=原始資料!AQ226),N(AO226)+1,1))</f>
        <v/>
      </c>
      <c r="AQ226" s="6">
        <f>IF(OR(原始資料!$A226="",42&gt;設定!$B$3,原始資料!AS226=""),"",IF(AND(原始資料!AR226&lt;&gt;"",原始資料!AS226=原始資料!AR226),N(AP226)+1,1))</f>
        <v/>
      </c>
      <c r="AR226" s="6">
        <f>IF(OR(原始資料!$A226="",43&gt;設定!$B$3,原始資料!AT226=""),"",IF(AND(原始資料!AS226&lt;&gt;"",原始資料!AT226=原始資料!AS226),N(AQ226)+1,1))</f>
        <v/>
      </c>
      <c r="AS226" s="6">
        <f>IF(OR(原始資料!$A226="",44&gt;設定!$B$3,原始資料!AU226=""),"",IF(AND(原始資料!AT226&lt;&gt;"",原始資料!AU226=原始資料!AT226),N(AR226)+1,1))</f>
        <v/>
      </c>
      <c r="AT226" s="6">
        <f>IF(OR(原始資料!$A226="",45&gt;設定!$B$3,原始資料!AV226=""),"",IF(AND(原始資料!AU226&lt;&gt;"",原始資料!AV226=原始資料!AU226),N(AS226)+1,1))</f>
        <v/>
      </c>
      <c r="AU226" s="6">
        <f>IF(OR(原始資料!$A226="",46&gt;設定!$B$3,原始資料!AW226=""),"",IF(AND(原始資料!AV226&lt;&gt;"",原始資料!AW226=原始資料!AV226),N(AT226)+1,1))</f>
        <v/>
      </c>
      <c r="AV226" s="6">
        <f>IF(OR(原始資料!$A226="",47&gt;設定!$B$3,原始資料!AX226=""),"",IF(AND(原始資料!AW226&lt;&gt;"",原始資料!AX226=原始資料!AW226),N(AU226)+1,1))</f>
        <v/>
      </c>
      <c r="AW226" s="6">
        <f>IF(OR(原始資料!$A226="",48&gt;設定!$B$3,原始資料!AY226=""),"",IF(AND(原始資料!AX226&lt;&gt;"",原始資料!AY226=原始資料!AX226),N(AV226)+1,1))</f>
        <v/>
      </c>
      <c r="AX226" s="6">
        <f>IF(OR(原始資料!$A226="",49&gt;設定!$B$3,原始資料!AZ226=""),"",IF(AND(原始資料!AY226&lt;&gt;"",原始資料!AZ226=原始資料!AY226),N(AW226)+1,1))</f>
        <v/>
      </c>
      <c r="AY226" s="6">
        <f>IF(OR(原始資料!$A226="",50&gt;設定!$B$3,原始資料!BA226=""),"",IF(AND(原始資料!AZ226&lt;&gt;"",原始資料!BA226=原始資料!AZ226),N(AX226)+1,1))</f>
        <v/>
      </c>
      <c r="AZ226" s="6">
        <f>IF(OR(原始資料!$A226="",51&gt;設定!$B$3,原始資料!BB226=""),"",IF(AND(原始資料!BA226&lt;&gt;"",原始資料!BB226=原始資料!BA226),N(AY226)+1,1))</f>
        <v/>
      </c>
      <c r="BA226" s="6">
        <f>IF(OR(原始資料!$A226="",52&gt;設定!$B$3,原始資料!BC226=""),"",IF(AND(原始資料!BB226&lt;&gt;"",原始資料!BC226=原始資料!BB226),N(AZ226)+1,1))</f>
        <v/>
      </c>
      <c r="BB226" s="6">
        <f>IF(OR(原始資料!$A226="",53&gt;設定!$B$3,原始資料!BD226=""),"",IF(AND(原始資料!BC226&lt;&gt;"",原始資料!BD226=原始資料!BC226),N(BA226)+1,1))</f>
        <v/>
      </c>
      <c r="BC226" s="6">
        <f>IF(OR(原始資料!$A226="",54&gt;設定!$B$3,原始資料!BE226=""),"",IF(AND(原始資料!BD226&lt;&gt;"",原始資料!BE226=原始資料!BD226),N(BB226)+1,1))</f>
        <v/>
      </c>
      <c r="BD226" s="6">
        <f>IF(OR(原始資料!$A226="",55&gt;設定!$B$3,原始資料!BF226=""),"",IF(AND(原始資料!BE226&lt;&gt;"",原始資料!BF226=原始資料!BE226),N(BC226)+1,1))</f>
        <v/>
      </c>
      <c r="BE226" s="6">
        <f>IF(OR(原始資料!$A226="",56&gt;設定!$B$3,原始資料!BG226=""),"",IF(AND(原始資料!BF226&lt;&gt;"",原始資料!BG226=原始資料!BF226),N(BD226)+1,1))</f>
        <v/>
      </c>
      <c r="BF226" s="6">
        <f>IF(OR(原始資料!$A226="",57&gt;設定!$B$3,原始資料!BH226=""),"",IF(AND(原始資料!BG226&lt;&gt;"",原始資料!BH226=原始資料!BG226),N(BE226)+1,1))</f>
        <v/>
      </c>
      <c r="BG226" s="6">
        <f>IF(OR(原始資料!$A226="",58&gt;設定!$B$3,原始資料!BI226=""),"",IF(AND(原始資料!BH226&lt;&gt;"",原始資料!BI226=原始資料!BH226),N(BF226)+1,1))</f>
        <v/>
      </c>
      <c r="BH226" s="6">
        <f>IF(OR(原始資料!$A226="",59&gt;設定!$B$3,原始資料!BJ226=""),"",IF(AND(原始資料!BI226&lt;&gt;"",原始資料!BJ226=原始資料!BI226),N(BG226)+1,1))</f>
        <v/>
      </c>
      <c r="BI226" s="6">
        <f>IF(OR(原始資料!$A226="",60&gt;設定!$B$3,原始資料!BK226=""),"",IF(AND(原始資料!BJ226&lt;&gt;"",原始資料!BK226=原始資料!BJ226),N(BH226)+1,1))</f>
        <v/>
      </c>
    </row>
    <row r="227">
      <c r="A227" s="6">
        <f>IF(原始資料!$A227="","",原始資料!$A227)</f>
        <v/>
      </c>
      <c r="B227" s="6">
        <f>IF(OR(原始資料!$A227="",1&gt;設定!$B$3,原始資料!D227=""),"",1)</f>
        <v/>
      </c>
      <c r="C227" s="6">
        <f>IF(OR(原始資料!$A227="",2&gt;設定!$B$3,原始資料!E227=""),"",IF(AND(原始資料!D227&lt;&gt;"",原始資料!E227=原始資料!D227),N(B227)+1,1))</f>
        <v/>
      </c>
      <c r="D227" s="6">
        <f>IF(OR(原始資料!$A227="",3&gt;設定!$B$3,原始資料!F227=""),"",IF(AND(原始資料!E227&lt;&gt;"",原始資料!F227=原始資料!E227),N(C227)+1,1))</f>
        <v/>
      </c>
      <c r="E227" s="6">
        <f>IF(OR(原始資料!$A227="",4&gt;設定!$B$3,原始資料!G227=""),"",IF(AND(原始資料!F227&lt;&gt;"",原始資料!G227=原始資料!F227),N(D227)+1,1))</f>
        <v/>
      </c>
      <c r="F227" s="6">
        <f>IF(OR(原始資料!$A227="",5&gt;設定!$B$3,原始資料!H227=""),"",IF(AND(原始資料!G227&lt;&gt;"",原始資料!H227=原始資料!G227),N(E227)+1,1))</f>
        <v/>
      </c>
      <c r="G227" s="6">
        <f>IF(OR(原始資料!$A227="",6&gt;設定!$B$3,原始資料!I227=""),"",IF(AND(原始資料!H227&lt;&gt;"",原始資料!I227=原始資料!H227),N(F227)+1,1))</f>
        <v/>
      </c>
      <c r="H227" s="6">
        <f>IF(OR(原始資料!$A227="",7&gt;設定!$B$3,原始資料!J227=""),"",IF(AND(原始資料!I227&lt;&gt;"",原始資料!J227=原始資料!I227),N(G227)+1,1))</f>
        <v/>
      </c>
      <c r="I227" s="6">
        <f>IF(OR(原始資料!$A227="",8&gt;設定!$B$3,原始資料!K227=""),"",IF(AND(原始資料!J227&lt;&gt;"",原始資料!K227=原始資料!J227),N(H227)+1,1))</f>
        <v/>
      </c>
      <c r="J227" s="6">
        <f>IF(OR(原始資料!$A227="",9&gt;設定!$B$3,原始資料!L227=""),"",IF(AND(原始資料!K227&lt;&gt;"",原始資料!L227=原始資料!K227),N(I227)+1,1))</f>
        <v/>
      </c>
      <c r="K227" s="6">
        <f>IF(OR(原始資料!$A227="",10&gt;設定!$B$3,原始資料!M227=""),"",IF(AND(原始資料!L227&lt;&gt;"",原始資料!M227=原始資料!L227),N(J227)+1,1))</f>
        <v/>
      </c>
      <c r="L227" s="6">
        <f>IF(OR(原始資料!$A227="",11&gt;設定!$B$3,原始資料!N227=""),"",IF(AND(原始資料!M227&lt;&gt;"",原始資料!N227=原始資料!M227),N(K227)+1,1))</f>
        <v/>
      </c>
      <c r="M227" s="6">
        <f>IF(OR(原始資料!$A227="",12&gt;設定!$B$3,原始資料!O227=""),"",IF(AND(原始資料!N227&lt;&gt;"",原始資料!O227=原始資料!N227),N(L227)+1,1))</f>
        <v/>
      </c>
      <c r="N227" s="6">
        <f>IF(OR(原始資料!$A227="",13&gt;設定!$B$3,原始資料!P227=""),"",IF(AND(原始資料!O227&lt;&gt;"",原始資料!P227=原始資料!O227),N(M227)+1,1))</f>
        <v/>
      </c>
      <c r="O227" s="6">
        <f>IF(OR(原始資料!$A227="",14&gt;設定!$B$3,原始資料!Q227=""),"",IF(AND(原始資料!P227&lt;&gt;"",原始資料!Q227=原始資料!P227),N(N227)+1,1))</f>
        <v/>
      </c>
      <c r="P227" s="6">
        <f>IF(OR(原始資料!$A227="",15&gt;設定!$B$3,原始資料!R227=""),"",IF(AND(原始資料!Q227&lt;&gt;"",原始資料!R227=原始資料!Q227),N(O227)+1,1))</f>
        <v/>
      </c>
      <c r="Q227" s="6">
        <f>IF(OR(原始資料!$A227="",16&gt;設定!$B$3,原始資料!S227=""),"",IF(AND(原始資料!R227&lt;&gt;"",原始資料!S227=原始資料!R227),N(P227)+1,1))</f>
        <v/>
      </c>
      <c r="R227" s="6">
        <f>IF(OR(原始資料!$A227="",17&gt;設定!$B$3,原始資料!T227=""),"",IF(AND(原始資料!S227&lt;&gt;"",原始資料!T227=原始資料!S227),N(Q227)+1,1))</f>
        <v/>
      </c>
      <c r="S227" s="6">
        <f>IF(OR(原始資料!$A227="",18&gt;設定!$B$3,原始資料!U227=""),"",IF(AND(原始資料!T227&lt;&gt;"",原始資料!U227=原始資料!T227),N(R227)+1,1))</f>
        <v/>
      </c>
      <c r="T227" s="6">
        <f>IF(OR(原始資料!$A227="",19&gt;設定!$B$3,原始資料!V227=""),"",IF(AND(原始資料!U227&lt;&gt;"",原始資料!V227=原始資料!U227),N(S227)+1,1))</f>
        <v/>
      </c>
      <c r="U227" s="6">
        <f>IF(OR(原始資料!$A227="",20&gt;設定!$B$3,原始資料!W227=""),"",IF(AND(原始資料!V227&lt;&gt;"",原始資料!W227=原始資料!V227),N(T227)+1,1))</f>
        <v/>
      </c>
      <c r="V227" s="6">
        <f>IF(OR(原始資料!$A227="",21&gt;設定!$B$3,原始資料!X227=""),"",IF(AND(原始資料!W227&lt;&gt;"",原始資料!X227=原始資料!W227),N(U227)+1,1))</f>
        <v/>
      </c>
      <c r="W227" s="6">
        <f>IF(OR(原始資料!$A227="",22&gt;設定!$B$3,原始資料!Y227=""),"",IF(AND(原始資料!X227&lt;&gt;"",原始資料!Y227=原始資料!X227),N(V227)+1,1))</f>
        <v/>
      </c>
      <c r="X227" s="6">
        <f>IF(OR(原始資料!$A227="",23&gt;設定!$B$3,原始資料!Z227=""),"",IF(AND(原始資料!Y227&lt;&gt;"",原始資料!Z227=原始資料!Y227),N(W227)+1,1))</f>
        <v/>
      </c>
      <c r="Y227" s="6">
        <f>IF(OR(原始資料!$A227="",24&gt;設定!$B$3,原始資料!AA227=""),"",IF(AND(原始資料!Z227&lt;&gt;"",原始資料!AA227=原始資料!Z227),N(X227)+1,1))</f>
        <v/>
      </c>
      <c r="Z227" s="6">
        <f>IF(OR(原始資料!$A227="",25&gt;設定!$B$3,原始資料!AB227=""),"",IF(AND(原始資料!AA227&lt;&gt;"",原始資料!AB227=原始資料!AA227),N(Y227)+1,1))</f>
        <v/>
      </c>
      <c r="AA227" s="6">
        <f>IF(OR(原始資料!$A227="",26&gt;設定!$B$3,原始資料!AC227=""),"",IF(AND(原始資料!AB227&lt;&gt;"",原始資料!AC227=原始資料!AB227),N(Z227)+1,1))</f>
        <v/>
      </c>
      <c r="AB227" s="6">
        <f>IF(OR(原始資料!$A227="",27&gt;設定!$B$3,原始資料!AD227=""),"",IF(AND(原始資料!AC227&lt;&gt;"",原始資料!AD227=原始資料!AC227),N(AA227)+1,1))</f>
        <v/>
      </c>
      <c r="AC227" s="6">
        <f>IF(OR(原始資料!$A227="",28&gt;設定!$B$3,原始資料!AE227=""),"",IF(AND(原始資料!AD227&lt;&gt;"",原始資料!AE227=原始資料!AD227),N(AB227)+1,1))</f>
        <v/>
      </c>
      <c r="AD227" s="6">
        <f>IF(OR(原始資料!$A227="",29&gt;設定!$B$3,原始資料!AF227=""),"",IF(AND(原始資料!AE227&lt;&gt;"",原始資料!AF227=原始資料!AE227),N(AC227)+1,1))</f>
        <v/>
      </c>
      <c r="AE227" s="6">
        <f>IF(OR(原始資料!$A227="",30&gt;設定!$B$3,原始資料!AG227=""),"",IF(AND(原始資料!AF227&lt;&gt;"",原始資料!AG227=原始資料!AF227),N(AD227)+1,1))</f>
        <v/>
      </c>
      <c r="AF227" s="6">
        <f>IF(OR(原始資料!$A227="",31&gt;設定!$B$3,原始資料!AH227=""),"",IF(AND(原始資料!AG227&lt;&gt;"",原始資料!AH227=原始資料!AG227),N(AE227)+1,1))</f>
        <v/>
      </c>
      <c r="AG227" s="6">
        <f>IF(OR(原始資料!$A227="",32&gt;設定!$B$3,原始資料!AI227=""),"",IF(AND(原始資料!AH227&lt;&gt;"",原始資料!AI227=原始資料!AH227),N(AF227)+1,1))</f>
        <v/>
      </c>
      <c r="AH227" s="6">
        <f>IF(OR(原始資料!$A227="",33&gt;設定!$B$3,原始資料!AJ227=""),"",IF(AND(原始資料!AI227&lt;&gt;"",原始資料!AJ227=原始資料!AI227),N(AG227)+1,1))</f>
        <v/>
      </c>
      <c r="AI227" s="6">
        <f>IF(OR(原始資料!$A227="",34&gt;設定!$B$3,原始資料!AK227=""),"",IF(AND(原始資料!AJ227&lt;&gt;"",原始資料!AK227=原始資料!AJ227),N(AH227)+1,1))</f>
        <v/>
      </c>
      <c r="AJ227" s="6">
        <f>IF(OR(原始資料!$A227="",35&gt;設定!$B$3,原始資料!AL227=""),"",IF(AND(原始資料!AK227&lt;&gt;"",原始資料!AL227=原始資料!AK227),N(AI227)+1,1))</f>
        <v/>
      </c>
      <c r="AK227" s="6">
        <f>IF(OR(原始資料!$A227="",36&gt;設定!$B$3,原始資料!AM227=""),"",IF(AND(原始資料!AL227&lt;&gt;"",原始資料!AM227=原始資料!AL227),N(AJ227)+1,1))</f>
        <v/>
      </c>
      <c r="AL227" s="6">
        <f>IF(OR(原始資料!$A227="",37&gt;設定!$B$3,原始資料!AN227=""),"",IF(AND(原始資料!AM227&lt;&gt;"",原始資料!AN227=原始資料!AM227),N(AK227)+1,1))</f>
        <v/>
      </c>
      <c r="AM227" s="6">
        <f>IF(OR(原始資料!$A227="",38&gt;設定!$B$3,原始資料!AO227=""),"",IF(AND(原始資料!AN227&lt;&gt;"",原始資料!AO227=原始資料!AN227),N(AL227)+1,1))</f>
        <v/>
      </c>
      <c r="AN227" s="6">
        <f>IF(OR(原始資料!$A227="",39&gt;設定!$B$3,原始資料!AP227=""),"",IF(AND(原始資料!AO227&lt;&gt;"",原始資料!AP227=原始資料!AO227),N(AM227)+1,1))</f>
        <v/>
      </c>
      <c r="AO227" s="6">
        <f>IF(OR(原始資料!$A227="",40&gt;設定!$B$3,原始資料!AQ227=""),"",IF(AND(原始資料!AP227&lt;&gt;"",原始資料!AQ227=原始資料!AP227),N(AN227)+1,1))</f>
        <v/>
      </c>
      <c r="AP227" s="6">
        <f>IF(OR(原始資料!$A227="",41&gt;設定!$B$3,原始資料!AR227=""),"",IF(AND(原始資料!AQ227&lt;&gt;"",原始資料!AR227=原始資料!AQ227),N(AO227)+1,1))</f>
        <v/>
      </c>
      <c r="AQ227" s="6">
        <f>IF(OR(原始資料!$A227="",42&gt;設定!$B$3,原始資料!AS227=""),"",IF(AND(原始資料!AR227&lt;&gt;"",原始資料!AS227=原始資料!AR227),N(AP227)+1,1))</f>
        <v/>
      </c>
      <c r="AR227" s="6">
        <f>IF(OR(原始資料!$A227="",43&gt;設定!$B$3,原始資料!AT227=""),"",IF(AND(原始資料!AS227&lt;&gt;"",原始資料!AT227=原始資料!AS227),N(AQ227)+1,1))</f>
        <v/>
      </c>
      <c r="AS227" s="6">
        <f>IF(OR(原始資料!$A227="",44&gt;設定!$B$3,原始資料!AU227=""),"",IF(AND(原始資料!AT227&lt;&gt;"",原始資料!AU227=原始資料!AT227),N(AR227)+1,1))</f>
        <v/>
      </c>
      <c r="AT227" s="6">
        <f>IF(OR(原始資料!$A227="",45&gt;設定!$B$3,原始資料!AV227=""),"",IF(AND(原始資料!AU227&lt;&gt;"",原始資料!AV227=原始資料!AU227),N(AS227)+1,1))</f>
        <v/>
      </c>
      <c r="AU227" s="6">
        <f>IF(OR(原始資料!$A227="",46&gt;設定!$B$3,原始資料!AW227=""),"",IF(AND(原始資料!AV227&lt;&gt;"",原始資料!AW227=原始資料!AV227),N(AT227)+1,1))</f>
        <v/>
      </c>
      <c r="AV227" s="6">
        <f>IF(OR(原始資料!$A227="",47&gt;設定!$B$3,原始資料!AX227=""),"",IF(AND(原始資料!AW227&lt;&gt;"",原始資料!AX227=原始資料!AW227),N(AU227)+1,1))</f>
        <v/>
      </c>
      <c r="AW227" s="6">
        <f>IF(OR(原始資料!$A227="",48&gt;設定!$B$3,原始資料!AY227=""),"",IF(AND(原始資料!AX227&lt;&gt;"",原始資料!AY227=原始資料!AX227),N(AV227)+1,1))</f>
        <v/>
      </c>
      <c r="AX227" s="6">
        <f>IF(OR(原始資料!$A227="",49&gt;設定!$B$3,原始資料!AZ227=""),"",IF(AND(原始資料!AY227&lt;&gt;"",原始資料!AZ227=原始資料!AY227),N(AW227)+1,1))</f>
        <v/>
      </c>
      <c r="AY227" s="6">
        <f>IF(OR(原始資料!$A227="",50&gt;設定!$B$3,原始資料!BA227=""),"",IF(AND(原始資料!AZ227&lt;&gt;"",原始資料!BA227=原始資料!AZ227),N(AX227)+1,1))</f>
        <v/>
      </c>
      <c r="AZ227" s="6">
        <f>IF(OR(原始資料!$A227="",51&gt;設定!$B$3,原始資料!BB227=""),"",IF(AND(原始資料!BA227&lt;&gt;"",原始資料!BB227=原始資料!BA227),N(AY227)+1,1))</f>
        <v/>
      </c>
      <c r="BA227" s="6">
        <f>IF(OR(原始資料!$A227="",52&gt;設定!$B$3,原始資料!BC227=""),"",IF(AND(原始資料!BB227&lt;&gt;"",原始資料!BC227=原始資料!BB227),N(AZ227)+1,1))</f>
        <v/>
      </c>
      <c r="BB227" s="6">
        <f>IF(OR(原始資料!$A227="",53&gt;設定!$B$3,原始資料!BD227=""),"",IF(AND(原始資料!BC227&lt;&gt;"",原始資料!BD227=原始資料!BC227),N(BA227)+1,1))</f>
        <v/>
      </c>
      <c r="BC227" s="6">
        <f>IF(OR(原始資料!$A227="",54&gt;設定!$B$3,原始資料!BE227=""),"",IF(AND(原始資料!BD227&lt;&gt;"",原始資料!BE227=原始資料!BD227),N(BB227)+1,1))</f>
        <v/>
      </c>
      <c r="BD227" s="6">
        <f>IF(OR(原始資料!$A227="",55&gt;設定!$B$3,原始資料!BF227=""),"",IF(AND(原始資料!BE227&lt;&gt;"",原始資料!BF227=原始資料!BE227),N(BC227)+1,1))</f>
        <v/>
      </c>
      <c r="BE227" s="6">
        <f>IF(OR(原始資料!$A227="",56&gt;設定!$B$3,原始資料!BG227=""),"",IF(AND(原始資料!BF227&lt;&gt;"",原始資料!BG227=原始資料!BF227),N(BD227)+1,1))</f>
        <v/>
      </c>
      <c r="BF227" s="6">
        <f>IF(OR(原始資料!$A227="",57&gt;設定!$B$3,原始資料!BH227=""),"",IF(AND(原始資料!BG227&lt;&gt;"",原始資料!BH227=原始資料!BG227),N(BE227)+1,1))</f>
        <v/>
      </c>
      <c r="BG227" s="6">
        <f>IF(OR(原始資料!$A227="",58&gt;設定!$B$3,原始資料!BI227=""),"",IF(AND(原始資料!BH227&lt;&gt;"",原始資料!BI227=原始資料!BH227),N(BF227)+1,1))</f>
        <v/>
      </c>
      <c r="BH227" s="6">
        <f>IF(OR(原始資料!$A227="",59&gt;設定!$B$3,原始資料!BJ227=""),"",IF(AND(原始資料!BI227&lt;&gt;"",原始資料!BJ227=原始資料!BI227),N(BG227)+1,1))</f>
        <v/>
      </c>
      <c r="BI227" s="6">
        <f>IF(OR(原始資料!$A227="",60&gt;設定!$B$3,原始資料!BK227=""),"",IF(AND(原始資料!BJ227&lt;&gt;"",原始資料!BK227=原始資料!BJ227),N(BH227)+1,1))</f>
        <v/>
      </c>
    </row>
    <row r="228">
      <c r="A228" s="6">
        <f>IF(原始資料!$A228="","",原始資料!$A228)</f>
        <v/>
      </c>
      <c r="B228" s="6">
        <f>IF(OR(原始資料!$A228="",1&gt;設定!$B$3,原始資料!D228=""),"",1)</f>
        <v/>
      </c>
      <c r="C228" s="6">
        <f>IF(OR(原始資料!$A228="",2&gt;設定!$B$3,原始資料!E228=""),"",IF(AND(原始資料!D228&lt;&gt;"",原始資料!E228=原始資料!D228),N(B228)+1,1))</f>
        <v/>
      </c>
      <c r="D228" s="6">
        <f>IF(OR(原始資料!$A228="",3&gt;設定!$B$3,原始資料!F228=""),"",IF(AND(原始資料!E228&lt;&gt;"",原始資料!F228=原始資料!E228),N(C228)+1,1))</f>
        <v/>
      </c>
      <c r="E228" s="6">
        <f>IF(OR(原始資料!$A228="",4&gt;設定!$B$3,原始資料!G228=""),"",IF(AND(原始資料!F228&lt;&gt;"",原始資料!G228=原始資料!F228),N(D228)+1,1))</f>
        <v/>
      </c>
      <c r="F228" s="6">
        <f>IF(OR(原始資料!$A228="",5&gt;設定!$B$3,原始資料!H228=""),"",IF(AND(原始資料!G228&lt;&gt;"",原始資料!H228=原始資料!G228),N(E228)+1,1))</f>
        <v/>
      </c>
      <c r="G228" s="6">
        <f>IF(OR(原始資料!$A228="",6&gt;設定!$B$3,原始資料!I228=""),"",IF(AND(原始資料!H228&lt;&gt;"",原始資料!I228=原始資料!H228),N(F228)+1,1))</f>
        <v/>
      </c>
      <c r="H228" s="6">
        <f>IF(OR(原始資料!$A228="",7&gt;設定!$B$3,原始資料!J228=""),"",IF(AND(原始資料!I228&lt;&gt;"",原始資料!J228=原始資料!I228),N(G228)+1,1))</f>
        <v/>
      </c>
      <c r="I228" s="6">
        <f>IF(OR(原始資料!$A228="",8&gt;設定!$B$3,原始資料!K228=""),"",IF(AND(原始資料!J228&lt;&gt;"",原始資料!K228=原始資料!J228),N(H228)+1,1))</f>
        <v/>
      </c>
      <c r="J228" s="6">
        <f>IF(OR(原始資料!$A228="",9&gt;設定!$B$3,原始資料!L228=""),"",IF(AND(原始資料!K228&lt;&gt;"",原始資料!L228=原始資料!K228),N(I228)+1,1))</f>
        <v/>
      </c>
      <c r="K228" s="6">
        <f>IF(OR(原始資料!$A228="",10&gt;設定!$B$3,原始資料!M228=""),"",IF(AND(原始資料!L228&lt;&gt;"",原始資料!M228=原始資料!L228),N(J228)+1,1))</f>
        <v/>
      </c>
      <c r="L228" s="6">
        <f>IF(OR(原始資料!$A228="",11&gt;設定!$B$3,原始資料!N228=""),"",IF(AND(原始資料!M228&lt;&gt;"",原始資料!N228=原始資料!M228),N(K228)+1,1))</f>
        <v/>
      </c>
      <c r="M228" s="6">
        <f>IF(OR(原始資料!$A228="",12&gt;設定!$B$3,原始資料!O228=""),"",IF(AND(原始資料!N228&lt;&gt;"",原始資料!O228=原始資料!N228),N(L228)+1,1))</f>
        <v/>
      </c>
      <c r="N228" s="6">
        <f>IF(OR(原始資料!$A228="",13&gt;設定!$B$3,原始資料!P228=""),"",IF(AND(原始資料!O228&lt;&gt;"",原始資料!P228=原始資料!O228),N(M228)+1,1))</f>
        <v/>
      </c>
      <c r="O228" s="6">
        <f>IF(OR(原始資料!$A228="",14&gt;設定!$B$3,原始資料!Q228=""),"",IF(AND(原始資料!P228&lt;&gt;"",原始資料!Q228=原始資料!P228),N(N228)+1,1))</f>
        <v/>
      </c>
      <c r="P228" s="6">
        <f>IF(OR(原始資料!$A228="",15&gt;設定!$B$3,原始資料!R228=""),"",IF(AND(原始資料!Q228&lt;&gt;"",原始資料!R228=原始資料!Q228),N(O228)+1,1))</f>
        <v/>
      </c>
      <c r="Q228" s="6">
        <f>IF(OR(原始資料!$A228="",16&gt;設定!$B$3,原始資料!S228=""),"",IF(AND(原始資料!R228&lt;&gt;"",原始資料!S228=原始資料!R228),N(P228)+1,1))</f>
        <v/>
      </c>
      <c r="R228" s="6">
        <f>IF(OR(原始資料!$A228="",17&gt;設定!$B$3,原始資料!T228=""),"",IF(AND(原始資料!S228&lt;&gt;"",原始資料!T228=原始資料!S228),N(Q228)+1,1))</f>
        <v/>
      </c>
      <c r="S228" s="6">
        <f>IF(OR(原始資料!$A228="",18&gt;設定!$B$3,原始資料!U228=""),"",IF(AND(原始資料!T228&lt;&gt;"",原始資料!U228=原始資料!T228),N(R228)+1,1))</f>
        <v/>
      </c>
      <c r="T228" s="6">
        <f>IF(OR(原始資料!$A228="",19&gt;設定!$B$3,原始資料!V228=""),"",IF(AND(原始資料!U228&lt;&gt;"",原始資料!V228=原始資料!U228),N(S228)+1,1))</f>
        <v/>
      </c>
      <c r="U228" s="6">
        <f>IF(OR(原始資料!$A228="",20&gt;設定!$B$3,原始資料!W228=""),"",IF(AND(原始資料!V228&lt;&gt;"",原始資料!W228=原始資料!V228),N(T228)+1,1))</f>
        <v/>
      </c>
      <c r="V228" s="6">
        <f>IF(OR(原始資料!$A228="",21&gt;設定!$B$3,原始資料!X228=""),"",IF(AND(原始資料!W228&lt;&gt;"",原始資料!X228=原始資料!W228),N(U228)+1,1))</f>
        <v/>
      </c>
      <c r="W228" s="6">
        <f>IF(OR(原始資料!$A228="",22&gt;設定!$B$3,原始資料!Y228=""),"",IF(AND(原始資料!X228&lt;&gt;"",原始資料!Y228=原始資料!X228),N(V228)+1,1))</f>
        <v/>
      </c>
      <c r="X228" s="6">
        <f>IF(OR(原始資料!$A228="",23&gt;設定!$B$3,原始資料!Z228=""),"",IF(AND(原始資料!Y228&lt;&gt;"",原始資料!Z228=原始資料!Y228),N(W228)+1,1))</f>
        <v/>
      </c>
      <c r="Y228" s="6">
        <f>IF(OR(原始資料!$A228="",24&gt;設定!$B$3,原始資料!AA228=""),"",IF(AND(原始資料!Z228&lt;&gt;"",原始資料!AA228=原始資料!Z228),N(X228)+1,1))</f>
        <v/>
      </c>
      <c r="Z228" s="6">
        <f>IF(OR(原始資料!$A228="",25&gt;設定!$B$3,原始資料!AB228=""),"",IF(AND(原始資料!AA228&lt;&gt;"",原始資料!AB228=原始資料!AA228),N(Y228)+1,1))</f>
        <v/>
      </c>
      <c r="AA228" s="6">
        <f>IF(OR(原始資料!$A228="",26&gt;設定!$B$3,原始資料!AC228=""),"",IF(AND(原始資料!AB228&lt;&gt;"",原始資料!AC228=原始資料!AB228),N(Z228)+1,1))</f>
        <v/>
      </c>
      <c r="AB228" s="6">
        <f>IF(OR(原始資料!$A228="",27&gt;設定!$B$3,原始資料!AD228=""),"",IF(AND(原始資料!AC228&lt;&gt;"",原始資料!AD228=原始資料!AC228),N(AA228)+1,1))</f>
        <v/>
      </c>
      <c r="AC228" s="6">
        <f>IF(OR(原始資料!$A228="",28&gt;設定!$B$3,原始資料!AE228=""),"",IF(AND(原始資料!AD228&lt;&gt;"",原始資料!AE228=原始資料!AD228),N(AB228)+1,1))</f>
        <v/>
      </c>
      <c r="AD228" s="6">
        <f>IF(OR(原始資料!$A228="",29&gt;設定!$B$3,原始資料!AF228=""),"",IF(AND(原始資料!AE228&lt;&gt;"",原始資料!AF228=原始資料!AE228),N(AC228)+1,1))</f>
        <v/>
      </c>
      <c r="AE228" s="6">
        <f>IF(OR(原始資料!$A228="",30&gt;設定!$B$3,原始資料!AG228=""),"",IF(AND(原始資料!AF228&lt;&gt;"",原始資料!AG228=原始資料!AF228),N(AD228)+1,1))</f>
        <v/>
      </c>
      <c r="AF228" s="6">
        <f>IF(OR(原始資料!$A228="",31&gt;設定!$B$3,原始資料!AH228=""),"",IF(AND(原始資料!AG228&lt;&gt;"",原始資料!AH228=原始資料!AG228),N(AE228)+1,1))</f>
        <v/>
      </c>
      <c r="AG228" s="6">
        <f>IF(OR(原始資料!$A228="",32&gt;設定!$B$3,原始資料!AI228=""),"",IF(AND(原始資料!AH228&lt;&gt;"",原始資料!AI228=原始資料!AH228),N(AF228)+1,1))</f>
        <v/>
      </c>
      <c r="AH228" s="6">
        <f>IF(OR(原始資料!$A228="",33&gt;設定!$B$3,原始資料!AJ228=""),"",IF(AND(原始資料!AI228&lt;&gt;"",原始資料!AJ228=原始資料!AI228),N(AG228)+1,1))</f>
        <v/>
      </c>
      <c r="AI228" s="6">
        <f>IF(OR(原始資料!$A228="",34&gt;設定!$B$3,原始資料!AK228=""),"",IF(AND(原始資料!AJ228&lt;&gt;"",原始資料!AK228=原始資料!AJ228),N(AH228)+1,1))</f>
        <v/>
      </c>
      <c r="AJ228" s="6">
        <f>IF(OR(原始資料!$A228="",35&gt;設定!$B$3,原始資料!AL228=""),"",IF(AND(原始資料!AK228&lt;&gt;"",原始資料!AL228=原始資料!AK228),N(AI228)+1,1))</f>
        <v/>
      </c>
      <c r="AK228" s="6">
        <f>IF(OR(原始資料!$A228="",36&gt;設定!$B$3,原始資料!AM228=""),"",IF(AND(原始資料!AL228&lt;&gt;"",原始資料!AM228=原始資料!AL228),N(AJ228)+1,1))</f>
        <v/>
      </c>
      <c r="AL228" s="6">
        <f>IF(OR(原始資料!$A228="",37&gt;設定!$B$3,原始資料!AN228=""),"",IF(AND(原始資料!AM228&lt;&gt;"",原始資料!AN228=原始資料!AM228),N(AK228)+1,1))</f>
        <v/>
      </c>
      <c r="AM228" s="6">
        <f>IF(OR(原始資料!$A228="",38&gt;設定!$B$3,原始資料!AO228=""),"",IF(AND(原始資料!AN228&lt;&gt;"",原始資料!AO228=原始資料!AN228),N(AL228)+1,1))</f>
        <v/>
      </c>
      <c r="AN228" s="6">
        <f>IF(OR(原始資料!$A228="",39&gt;設定!$B$3,原始資料!AP228=""),"",IF(AND(原始資料!AO228&lt;&gt;"",原始資料!AP228=原始資料!AO228),N(AM228)+1,1))</f>
        <v/>
      </c>
      <c r="AO228" s="6">
        <f>IF(OR(原始資料!$A228="",40&gt;設定!$B$3,原始資料!AQ228=""),"",IF(AND(原始資料!AP228&lt;&gt;"",原始資料!AQ228=原始資料!AP228),N(AN228)+1,1))</f>
        <v/>
      </c>
      <c r="AP228" s="6">
        <f>IF(OR(原始資料!$A228="",41&gt;設定!$B$3,原始資料!AR228=""),"",IF(AND(原始資料!AQ228&lt;&gt;"",原始資料!AR228=原始資料!AQ228),N(AO228)+1,1))</f>
        <v/>
      </c>
      <c r="AQ228" s="6">
        <f>IF(OR(原始資料!$A228="",42&gt;設定!$B$3,原始資料!AS228=""),"",IF(AND(原始資料!AR228&lt;&gt;"",原始資料!AS228=原始資料!AR228),N(AP228)+1,1))</f>
        <v/>
      </c>
      <c r="AR228" s="6">
        <f>IF(OR(原始資料!$A228="",43&gt;設定!$B$3,原始資料!AT228=""),"",IF(AND(原始資料!AS228&lt;&gt;"",原始資料!AT228=原始資料!AS228),N(AQ228)+1,1))</f>
        <v/>
      </c>
      <c r="AS228" s="6">
        <f>IF(OR(原始資料!$A228="",44&gt;設定!$B$3,原始資料!AU228=""),"",IF(AND(原始資料!AT228&lt;&gt;"",原始資料!AU228=原始資料!AT228),N(AR228)+1,1))</f>
        <v/>
      </c>
      <c r="AT228" s="6">
        <f>IF(OR(原始資料!$A228="",45&gt;設定!$B$3,原始資料!AV228=""),"",IF(AND(原始資料!AU228&lt;&gt;"",原始資料!AV228=原始資料!AU228),N(AS228)+1,1))</f>
        <v/>
      </c>
      <c r="AU228" s="6">
        <f>IF(OR(原始資料!$A228="",46&gt;設定!$B$3,原始資料!AW228=""),"",IF(AND(原始資料!AV228&lt;&gt;"",原始資料!AW228=原始資料!AV228),N(AT228)+1,1))</f>
        <v/>
      </c>
      <c r="AV228" s="6">
        <f>IF(OR(原始資料!$A228="",47&gt;設定!$B$3,原始資料!AX228=""),"",IF(AND(原始資料!AW228&lt;&gt;"",原始資料!AX228=原始資料!AW228),N(AU228)+1,1))</f>
        <v/>
      </c>
      <c r="AW228" s="6">
        <f>IF(OR(原始資料!$A228="",48&gt;設定!$B$3,原始資料!AY228=""),"",IF(AND(原始資料!AX228&lt;&gt;"",原始資料!AY228=原始資料!AX228),N(AV228)+1,1))</f>
        <v/>
      </c>
      <c r="AX228" s="6">
        <f>IF(OR(原始資料!$A228="",49&gt;設定!$B$3,原始資料!AZ228=""),"",IF(AND(原始資料!AY228&lt;&gt;"",原始資料!AZ228=原始資料!AY228),N(AW228)+1,1))</f>
        <v/>
      </c>
      <c r="AY228" s="6">
        <f>IF(OR(原始資料!$A228="",50&gt;設定!$B$3,原始資料!BA228=""),"",IF(AND(原始資料!AZ228&lt;&gt;"",原始資料!BA228=原始資料!AZ228),N(AX228)+1,1))</f>
        <v/>
      </c>
      <c r="AZ228" s="6">
        <f>IF(OR(原始資料!$A228="",51&gt;設定!$B$3,原始資料!BB228=""),"",IF(AND(原始資料!BA228&lt;&gt;"",原始資料!BB228=原始資料!BA228),N(AY228)+1,1))</f>
        <v/>
      </c>
      <c r="BA228" s="6">
        <f>IF(OR(原始資料!$A228="",52&gt;設定!$B$3,原始資料!BC228=""),"",IF(AND(原始資料!BB228&lt;&gt;"",原始資料!BC228=原始資料!BB228),N(AZ228)+1,1))</f>
        <v/>
      </c>
      <c r="BB228" s="6">
        <f>IF(OR(原始資料!$A228="",53&gt;設定!$B$3,原始資料!BD228=""),"",IF(AND(原始資料!BC228&lt;&gt;"",原始資料!BD228=原始資料!BC228),N(BA228)+1,1))</f>
        <v/>
      </c>
      <c r="BC228" s="6">
        <f>IF(OR(原始資料!$A228="",54&gt;設定!$B$3,原始資料!BE228=""),"",IF(AND(原始資料!BD228&lt;&gt;"",原始資料!BE228=原始資料!BD228),N(BB228)+1,1))</f>
        <v/>
      </c>
      <c r="BD228" s="6">
        <f>IF(OR(原始資料!$A228="",55&gt;設定!$B$3,原始資料!BF228=""),"",IF(AND(原始資料!BE228&lt;&gt;"",原始資料!BF228=原始資料!BE228),N(BC228)+1,1))</f>
        <v/>
      </c>
      <c r="BE228" s="6">
        <f>IF(OR(原始資料!$A228="",56&gt;設定!$B$3,原始資料!BG228=""),"",IF(AND(原始資料!BF228&lt;&gt;"",原始資料!BG228=原始資料!BF228),N(BD228)+1,1))</f>
        <v/>
      </c>
      <c r="BF228" s="6">
        <f>IF(OR(原始資料!$A228="",57&gt;設定!$B$3,原始資料!BH228=""),"",IF(AND(原始資料!BG228&lt;&gt;"",原始資料!BH228=原始資料!BG228),N(BE228)+1,1))</f>
        <v/>
      </c>
      <c r="BG228" s="6">
        <f>IF(OR(原始資料!$A228="",58&gt;設定!$B$3,原始資料!BI228=""),"",IF(AND(原始資料!BH228&lt;&gt;"",原始資料!BI228=原始資料!BH228),N(BF228)+1,1))</f>
        <v/>
      </c>
      <c r="BH228" s="6">
        <f>IF(OR(原始資料!$A228="",59&gt;設定!$B$3,原始資料!BJ228=""),"",IF(AND(原始資料!BI228&lt;&gt;"",原始資料!BJ228=原始資料!BI228),N(BG228)+1,1))</f>
        <v/>
      </c>
      <c r="BI228" s="6">
        <f>IF(OR(原始資料!$A228="",60&gt;設定!$B$3,原始資料!BK228=""),"",IF(AND(原始資料!BJ228&lt;&gt;"",原始資料!BK228=原始資料!BJ228),N(BH228)+1,1))</f>
        <v/>
      </c>
    </row>
    <row r="229">
      <c r="A229" s="6">
        <f>IF(原始資料!$A229="","",原始資料!$A229)</f>
        <v/>
      </c>
      <c r="B229" s="6">
        <f>IF(OR(原始資料!$A229="",1&gt;設定!$B$3,原始資料!D229=""),"",1)</f>
        <v/>
      </c>
      <c r="C229" s="6">
        <f>IF(OR(原始資料!$A229="",2&gt;設定!$B$3,原始資料!E229=""),"",IF(AND(原始資料!D229&lt;&gt;"",原始資料!E229=原始資料!D229),N(B229)+1,1))</f>
        <v/>
      </c>
      <c r="D229" s="6">
        <f>IF(OR(原始資料!$A229="",3&gt;設定!$B$3,原始資料!F229=""),"",IF(AND(原始資料!E229&lt;&gt;"",原始資料!F229=原始資料!E229),N(C229)+1,1))</f>
        <v/>
      </c>
      <c r="E229" s="6">
        <f>IF(OR(原始資料!$A229="",4&gt;設定!$B$3,原始資料!G229=""),"",IF(AND(原始資料!F229&lt;&gt;"",原始資料!G229=原始資料!F229),N(D229)+1,1))</f>
        <v/>
      </c>
      <c r="F229" s="6">
        <f>IF(OR(原始資料!$A229="",5&gt;設定!$B$3,原始資料!H229=""),"",IF(AND(原始資料!G229&lt;&gt;"",原始資料!H229=原始資料!G229),N(E229)+1,1))</f>
        <v/>
      </c>
      <c r="G229" s="6">
        <f>IF(OR(原始資料!$A229="",6&gt;設定!$B$3,原始資料!I229=""),"",IF(AND(原始資料!H229&lt;&gt;"",原始資料!I229=原始資料!H229),N(F229)+1,1))</f>
        <v/>
      </c>
      <c r="H229" s="6">
        <f>IF(OR(原始資料!$A229="",7&gt;設定!$B$3,原始資料!J229=""),"",IF(AND(原始資料!I229&lt;&gt;"",原始資料!J229=原始資料!I229),N(G229)+1,1))</f>
        <v/>
      </c>
      <c r="I229" s="6">
        <f>IF(OR(原始資料!$A229="",8&gt;設定!$B$3,原始資料!K229=""),"",IF(AND(原始資料!J229&lt;&gt;"",原始資料!K229=原始資料!J229),N(H229)+1,1))</f>
        <v/>
      </c>
      <c r="J229" s="6">
        <f>IF(OR(原始資料!$A229="",9&gt;設定!$B$3,原始資料!L229=""),"",IF(AND(原始資料!K229&lt;&gt;"",原始資料!L229=原始資料!K229),N(I229)+1,1))</f>
        <v/>
      </c>
      <c r="K229" s="6">
        <f>IF(OR(原始資料!$A229="",10&gt;設定!$B$3,原始資料!M229=""),"",IF(AND(原始資料!L229&lt;&gt;"",原始資料!M229=原始資料!L229),N(J229)+1,1))</f>
        <v/>
      </c>
      <c r="L229" s="6">
        <f>IF(OR(原始資料!$A229="",11&gt;設定!$B$3,原始資料!N229=""),"",IF(AND(原始資料!M229&lt;&gt;"",原始資料!N229=原始資料!M229),N(K229)+1,1))</f>
        <v/>
      </c>
      <c r="M229" s="6">
        <f>IF(OR(原始資料!$A229="",12&gt;設定!$B$3,原始資料!O229=""),"",IF(AND(原始資料!N229&lt;&gt;"",原始資料!O229=原始資料!N229),N(L229)+1,1))</f>
        <v/>
      </c>
      <c r="N229" s="6">
        <f>IF(OR(原始資料!$A229="",13&gt;設定!$B$3,原始資料!P229=""),"",IF(AND(原始資料!O229&lt;&gt;"",原始資料!P229=原始資料!O229),N(M229)+1,1))</f>
        <v/>
      </c>
      <c r="O229" s="6">
        <f>IF(OR(原始資料!$A229="",14&gt;設定!$B$3,原始資料!Q229=""),"",IF(AND(原始資料!P229&lt;&gt;"",原始資料!Q229=原始資料!P229),N(N229)+1,1))</f>
        <v/>
      </c>
      <c r="P229" s="6">
        <f>IF(OR(原始資料!$A229="",15&gt;設定!$B$3,原始資料!R229=""),"",IF(AND(原始資料!Q229&lt;&gt;"",原始資料!R229=原始資料!Q229),N(O229)+1,1))</f>
        <v/>
      </c>
      <c r="Q229" s="6">
        <f>IF(OR(原始資料!$A229="",16&gt;設定!$B$3,原始資料!S229=""),"",IF(AND(原始資料!R229&lt;&gt;"",原始資料!S229=原始資料!R229),N(P229)+1,1))</f>
        <v/>
      </c>
      <c r="R229" s="6">
        <f>IF(OR(原始資料!$A229="",17&gt;設定!$B$3,原始資料!T229=""),"",IF(AND(原始資料!S229&lt;&gt;"",原始資料!T229=原始資料!S229),N(Q229)+1,1))</f>
        <v/>
      </c>
      <c r="S229" s="6">
        <f>IF(OR(原始資料!$A229="",18&gt;設定!$B$3,原始資料!U229=""),"",IF(AND(原始資料!T229&lt;&gt;"",原始資料!U229=原始資料!T229),N(R229)+1,1))</f>
        <v/>
      </c>
      <c r="T229" s="6">
        <f>IF(OR(原始資料!$A229="",19&gt;設定!$B$3,原始資料!V229=""),"",IF(AND(原始資料!U229&lt;&gt;"",原始資料!V229=原始資料!U229),N(S229)+1,1))</f>
        <v/>
      </c>
      <c r="U229" s="6">
        <f>IF(OR(原始資料!$A229="",20&gt;設定!$B$3,原始資料!W229=""),"",IF(AND(原始資料!V229&lt;&gt;"",原始資料!W229=原始資料!V229),N(T229)+1,1))</f>
        <v/>
      </c>
      <c r="V229" s="6">
        <f>IF(OR(原始資料!$A229="",21&gt;設定!$B$3,原始資料!X229=""),"",IF(AND(原始資料!W229&lt;&gt;"",原始資料!X229=原始資料!W229),N(U229)+1,1))</f>
        <v/>
      </c>
      <c r="W229" s="6">
        <f>IF(OR(原始資料!$A229="",22&gt;設定!$B$3,原始資料!Y229=""),"",IF(AND(原始資料!X229&lt;&gt;"",原始資料!Y229=原始資料!X229),N(V229)+1,1))</f>
        <v/>
      </c>
      <c r="X229" s="6">
        <f>IF(OR(原始資料!$A229="",23&gt;設定!$B$3,原始資料!Z229=""),"",IF(AND(原始資料!Y229&lt;&gt;"",原始資料!Z229=原始資料!Y229),N(W229)+1,1))</f>
        <v/>
      </c>
      <c r="Y229" s="6">
        <f>IF(OR(原始資料!$A229="",24&gt;設定!$B$3,原始資料!AA229=""),"",IF(AND(原始資料!Z229&lt;&gt;"",原始資料!AA229=原始資料!Z229),N(X229)+1,1))</f>
        <v/>
      </c>
      <c r="Z229" s="6">
        <f>IF(OR(原始資料!$A229="",25&gt;設定!$B$3,原始資料!AB229=""),"",IF(AND(原始資料!AA229&lt;&gt;"",原始資料!AB229=原始資料!AA229),N(Y229)+1,1))</f>
        <v/>
      </c>
      <c r="AA229" s="6">
        <f>IF(OR(原始資料!$A229="",26&gt;設定!$B$3,原始資料!AC229=""),"",IF(AND(原始資料!AB229&lt;&gt;"",原始資料!AC229=原始資料!AB229),N(Z229)+1,1))</f>
        <v/>
      </c>
      <c r="AB229" s="6">
        <f>IF(OR(原始資料!$A229="",27&gt;設定!$B$3,原始資料!AD229=""),"",IF(AND(原始資料!AC229&lt;&gt;"",原始資料!AD229=原始資料!AC229),N(AA229)+1,1))</f>
        <v/>
      </c>
      <c r="AC229" s="6">
        <f>IF(OR(原始資料!$A229="",28&gt;設定!$B$3,原始資料!AE229=""),"",IF(AND(原始資料!AD229&lt;&gt;"",原始資料!AE229=原始資料!AD229),N(AB229)+1,1))</f>
        <v/>
      </c>
      <c r="AD229" s="6">
        <f>IF(OR(原始資料!$A229="",29&gt;設定!$B$3,原始資料!AF229=""),"",IF(AND(原始資料!AE229&lt;&gt;"",原始資料!AF229=原始資料!AE229),N(AC229)+1,1))</f>
        <v/>
      </c>
      <c r="AE229" s="6">
        <f>IF(OR(原始資料!$A229="",30&gt;設定!$B$3,原始資料!AG229=""),"",IF(AND(原始資料!AF229&lt;&gt;"",原始資料!AG229=原始資料!AF229),N(AD229)+1,1))</f>
        <v/>
      </c>
      <c r="AF229" s="6">
        <f>IF(OR(原始資料!$A229="",31&gt;設定!$B$3,原始資料!AH229=""),"",IF(AND(原始資料!AG229&lt;&gt;"",原始資料!AH229=原始資料!AG229),N(AE229)+1,1))</f>
        <v/>
      </c>
      <c r="AG229" s="6">
        <f>IF(OR(原始資料!$A229="",32&gt;設定!$B$3,原始資料!AI229=""),"",IF(AND(原始資料!AH229&lt;&gt;"",原始資料!AI229=原始資料!AH229),N(AF229)+1,1))</f>
        <v/>
      </c>
      <c r="AH229" s="6">
        <f>IF(OR(原始資料!$A229="",33&gt;設定!$B$3,原始資料!AJ229=""),"",IF(AND(原始資料!AI229&lt;&gt;"",原始資料!AJ229=原始資料!AI229),N(AG229)+1,1))</f>
        <v/>
      </c>
      <c r="AI229" s="6">
        <f>IF(OR(原始資料!$A229="",34&gt;設定!$B$3,原始資料!AK229=""),"",IF(AND(原始資料!AJ229&lt;&gt;"",原始資料!AK229=原始資料!AJ229),N(AH229)+1,1))</f>
        <v/>
      </c>
      <c r="AJ229" s="6">
        <f>IF(OR(原始資料!$A229="",35&gt;設定!$B$3,原始資料!AL229=""),"",IF(AND(原始資料!AK229&lt;&gt;"",原始資料!AL229=原始資料!AK229),N(AI229)+1,1))</f>
        <v/>
      </c>
      <c r="AK229" s="6">
        <f>IF(OR(原始資料!$A229="",36&gt;設定!$B$3,原始資料!AM229=""),"",IF(AND(原始資料!AL229&lt;&gt;"",原始資料!AM229=原始資料!AL229),N(AJ229)+1,1))</f>
        <v/>
      </c>
      <c r="AL229" s="6">
        <f>IF(OR(原始資料!$A229="",37&gt;設定!$B$3,原始資料!AN229=""),"",IF(AND(原始資料!AM229&lt;&gt;"",原始資料!AN229=原始資料!AM229),N(AK229)+1,1))</f>
        <v/>
      </c>
      <c r="AM229" s="6">
        <f>IF(OR(原始資料!$A229="",38&gt;設定!$B$3,原始資料!AO229=""),"",IF(AND(原始資料!AN229&lt;&gt;"",原始資料!AO229=原始資料!AN229),N(AL229)+1,1))</f>
        <v/>
      </c>
      <c r="AN229" s="6">
        <f>IF(OR(原始資料!$A229="",39&gt;設定!$B$3,原始資料!AP229=""),"",IF(AND(原始資料!AO229&lt;&gt;"",原始資料!AP229=原始資料!AO229),N(AM229)+1,1))</f>
        <v/>
      </c>
      <c r="AO229" s="6">
        <f>IF(OR(原始資料!$A229="",40&gt;設定!$B$3,原始資料!AQ229=""),"",IF(AND(原始資料!AP229&lt;&gt;"",原始資料!AQ229=原始資料!AP229),N(AN229)+1,1))</f>
        <v/>
      </c>
      <c r="AP229" s="6">
        <f>IF(OR(原始資料!$A229="",41&gt;設定!$B$3,原始資料!AR229=""),"",IF(AND(原始資料!AQ229&lt;&gt;"",原始資料!AR229=原始資料!AQ229),N(AO229)+1,1))</f>
        <v/>
      </c>
      <c r="AQ229" s="6">
        <f>IF(OR(原始資料!$A229="",42&gt;設定!$B$3,原始資料!AS229=""),"",IF(AND(原始資料!AR229&lt;&gt;"",原始資料!AS229=原始資料!AR229),N(AP229)+1,1))</f>
        <v/>
      </c>
      <c r="AR229" s="6">
        <f>IF(OR(原始資料!$A229="",43&gt;設定!$B$3,原始資料!AT229=""),"",IF(AND(原始資料!AS229&lt;&gt;"",原始資料!AT229=原始資料!AS229),N(AQ229)+1,1))</f>
        <v/>
      </c>
      <c r="AS229" s="6">
        <f>IF(OR(原始資料!$A229="",44&gt;設定!$B$3,原始資料!AU229=""),"",IF(AND(原始資料!AT229&lt;&gt;"",原始資料!AU229=原始資料!AT229),N(AR229)+1,1))</f>
        <v/>
      </c>
      <c r="AT229" s="6">
        <f>IF(OR(原始資料!$A229="",45&gt;設定!$B$3,原始資料!AV229=""),"",IF(AND(原始資料!AU229&lt;&gt;"",原始資料!AV229=原始資料!AU229),N(AS229)+1,1))</f>
        <v/>
      </c>
      <c r="AU229" s="6">
        <f>IF(OR(原始資料!$A229="",46&gt;設定!$B$3,原始資料!AW229=""),"",IF(AND(原始資料!AV229&lt;&gt;"",原始資料!AW229=原始資料!AV229),N(AT229)+1,1))</f>
        <v/>
      </c>
      <c r="AV229" s="6">
        <f>IF(OR(原始資料!$A229="",47&gt;設定!$B$3,原始資料!AX229=""),"",IF(AND(原始資料!AW229&lt;&gt;"",原始資料!AX229=原始資料!AW229),N(AU229)+1,1))</f>
        <v/>
      </c>
      <c r="AW229" s="6">
        <f>IF(OR(原始資料!$A229="",48&gt;設定!$B$3,原始資料!AY229=""),"",IF(AND(原始資料!AX229&lt;&gt;"",原始資料!AY229=原始資料!AX229),N(AV229)+1,1))</f>
        <v/>
      </c>
      <c r="AX229" s="6">
        <f>IF(OR(原始資料!$A229="",49&gt;設定!$B$3,原始資料!AZ229=""),"",IF(AND(原始資料!AY229&lt;&gt;"",原始資料!AZ229=原始資料!AY229),N(AW229)+1,1))</f>
        <v/>
      </c>
      <c r="AY229" s="6">
        <f>IF(OR(原始資料!$A229="",50&gt;設定!$B$3,原始資料!BA229=""),"",IF(AND(原始資料!AZ229&lt;&gt;"",原始資料!BA229=原始資料!AZ229),N(AX229)+1,1))</f>
        <v/>
      </c>
      <c r="AZ229" s="6">
        <f>IF(OR(原始資料!$A229="",51&gt;設定!$B$3,原始資料!BB229=""),"",IF(AND(原始資料!BA229&lt;&gt;"",原始資料!BB229=原始資料!BA229),N(AY229)+1,1))</f>
        <v/>
      </c>
      <c r="BA229" s="6">
        <f>IF(OR(原始資料!$A229="",52&gt;設定!$B$3,原始資料!BC229=""),"",IF(AND(原始資料!BB229&lt;&gt;"",原始資料!BC229=原始資料!BB229),N(AZ229)+1,1))</f>
        <v/>
      </c>
      <c r="BB229" s="6">
        <f>IF(OR(原始資料!$A229="",53&gt;設定!$B$3,原始資料!BD229=""),"",IF(AND(原始資料!BC229&lt;&gt;"",原始資料!BD229=原始資料!BC229),N(BA229)+1,1))</f>
        <v/>
      </c>
      <c r="BC229" s="6">
        <f>IF(OR(原始資料!$A229="",54&gt;設定!$B$3,原始資料!BE229=""),"",IF(AND(原始資料!BD229&lt;&gt;"",原始資料!BE229=原始資料!BD229),N(BB229)+1,1))</f>
        <v/>
      </c>
      <c r="BD229" s="6">
        <f>IF(OR(原始資料!$A229="",55&gt;設定!$B$3,原始資料!BF229=""),"",IF(AND(原始資料!BE229&lt;&gt;"",原始資料!BF229=原始資料!BE229),N(BC229)+1,1))</f>
        <v/>
      </c>
      <c r="BE229" s="6">
        <f>IF(OR(原始資料!$A229="",56&gt;設定!$B$3,原始資料!BG229=""),"",IF(AND(原始資料!BF229&lt;&gt;"",原始資料!BG229=原始資料!BF229),N(BD229)+1,1))</f>
        <v/>
      </c>
      <c r="BF229" s="6">
        <f>IF(OR(原始資料!$A229="",57&gt;設定!$B$3,原始資料!BH229=""),"",IF(AND(原始資料!BG229&lt;&gt;"",原始資料!BH229=原始資料!BG229),N(BE229)+1,1))</f>
        <v/>
      </c>
      <c r="BG229" s="6">
        <f>IF(OR(原始資料!$A229="",58&gt;設定!$B$3,原始資料!BI229=""),"",IF(AND(原始資料!BH229&lt;&gt;"",原始資料!BI229=原始資料!BH229),N(BF229)+1,1))</f>
        <v/>
      </c>
      <c r="BH229" s="6">
        <f>IF(OR(原始資料!$A229="",59&gt;設定!$B$3,原始資料!BJ229=""),"",IF(AND(原始資料!BI229&lt;&gt;"",原始資料!BJ229=原始資料!BI229),N(BG229)+1,1))</f>
        <v/>
      </c>
      <c r="BI229" s="6">
        <f>IF(OR(原始資料!$A229="",60&gt;設定!$B$3,原始資料!BK229=""),"",IF(AND(原始資料!BJ229&lt;&gt;"",原始資料!BK229=原始資料!BJ229),N(BH229)+1,1))</f>
        <v/>
      </c>
    </row>
    <row r="230">
      <c r="A230" s="6">
        <f>IF(原始資料!$A230="","",原始資料!$A230)</f>
        <v/>
      </c>
      <c r="B230" s="6">
        <f>IF(OR(原始資料!$A230="",1&gt;設定!$B$3,原始資料!D230=""),"",1)</f>
        <v/>
      </c>
      <c r="C230" s="6">
        <f>IF(OR(原始資料!$A230="",2&gt;設定!$B$3,原始資料!E230=""),"",IF(AND(原始資料!D230&lt;&gt;"",原始資料!E230=原始資料!D230),N(B230)+1,1))</f>
        <v/>
      </c>
      <c r="D230" s="6">
        <f>IF(OR(原始資料!$A230="",3&gt;設定!$B$3,原始資料!F230=""),"",IF(AND(原始資料!E230&lt;&gt;"",原始資料!F230=原始資料!E230),N(C230)+1,1))</f>
        <v/>
      </c>
      <c r="E230" s="6">
        <f>IF(OR(原始資料!$A230="",4&gt;設定!$B$3,原始資料!G230=""),"",IF(AND(原始資料!F230&lt;&gt;"",原始資料!G230=原始資料!F230),N(D230)+1,1))</f>
        <v/>
      </c>
      <c r="F230" s="6">
        <f>IF(OR(原始資料!$A230="",5&gt;設定!$B$3,原始資料!H230=""),"",IF(AND(原始資料!G230&lt;&gt;"",原始資料!H230=原始資料!G230),N(E230)+1,1))</f>
        <v/>
      </c>
      <c r="G230" s="6">
        <f>IF(OR(原始資料!$A230="",6&gt;設定!$B$3,原始資料!I230=""),"",IF(AND(原始資料!H230&lt;&gt;"",原始資料!I230=原始資料!H230),N(F230)+1,1))</f>
        <v/>
      </c>
      <c r="H230" s="6">
        <f>IF(OR(原始資料!$A230="",7&gt;設定!$B$3,原始資料!J230=""),"",IF(AND(原始資料!I230&lt;&gt;"",原始資料!J230=原始資料!I230),N(G230)+1,1))</f>
        <v/>
      </c>
      <c r="I230" s="6">
        <f>IF(OR(原始資料!$A230="",8&gt;設定!$B$3,原始資料!K230=""),"",IF(AND(原始資料!J230&lt;&gt;"",原始資料!K230=原始資料!J230),N(H230)+1,1))</f>
        <v/>
      </c>
      <c r="J230" s="6">
        <f>IF(OR(原始資料!$A230="",9&gt;設定!$B$3,原始資料!L230=""),"",IF(AND(原始資料!K230&lt;&gt;"",原始資料!L230=原始資料!K230),N(I230)+1,1))</f>
        <v/>
      </c>
      <c r="K230" s="6">
        <f>IF(OR(原始資料!$A230="",10&gt;設定!$B$3,原始資料!M230=""),"",IF(AND(原始資料!L230&lt;&gt;"",原始資料!M230=原始資料!L230),N(J230)+1,1))</f>
        <v/>
      </c>
      <c r="L230" s="6">
        <f>IF(OR(原始資料!$A230="",11&gt;設定!$B$3,原始資料!N230=""),"",IF(AND(原始資料!M230&lt;&gt;"",原始資料!N230=原始資料!M230),N(K230)+1,1))</f>
        <v/>
      </c>
      <c r="M230" s="6">
        <f>IF(OR(原始資料!$A230="",12&gt;設定!$B$3,原始資料!O230=""),"",IF(AND(原始資料!N230&lt;&gt;"",原始資料!O230=原始資料!N230),N(L230)+1,1))</f>
        <v/>
      </c>
      <c r="N230" s="6">
        <f>IF(OR(原始資料!$A230="",13&gt;設定!$B$3,原始資料!P230=""),"",IF(AND(原始資料!O230&lt;&gt;"",原始資料!P230=原始資料!O230),N(M230)+1,1))</f>
        <v/>
      </c>
      <c r="O230" s="6">
        <f>IF(OR(原始資料!$A230="",14&gt;設定!$B$3,原始資料!Q230=""),"",IF(AND(原始資料!P230&lt;&gt;"",原始資料!Q230=原始資料!P230),N(N230)+1,1))</f>
        <v/>
      </c>
      <c r="P230" s="6">
        <f>IF(OR(原始資料!$A230="",15&gt;設定!$B$3,原始資料!R230=""),"",IF(AND(原始資料!Q230&lt;&gt;"",原始資料!R230=原始資料!Q230),N(O230)+1,1))</f>
        <v/>
      </c>
      <c r="Q230" s="6">
        <f>IF(OR(原始資料!$A230="",16&gt;設定!$B$3,原始資料!S230=""),"",IF(AND(原始資料!R230&lt;&gt;"",原始資料!S230=原始資料!R230),N(P230)+1,1))</f>
        <v/>
      </c>
      <c r="R230" s="6">
        <f>IF(OR(原始資料!$A230="",17&gt;設定!$B$3,原始資料!T230=""),"",IF(AND(原始資料!S230&lt;&gt;"",原始資料!T230=原始資料!S230),N(Q230)+1,1))</f>
        <v/>
      </c>
      <c r="S230" s="6">
        <f>IF(OR(原始資料!$A230="",18&gt;設定!$B$3,原始資料!U230=""),"",IF(AND(原始資料!T230&lt;&gt;"",原始資料!U230=原始資料!T230),N(R230)+1,1))</f>
        <v/>
      </c>
      <c r="T230" s="6">
        <f>IF(OR(原始資料!$A230="",19&gt;設定!$B$3,原始資料!V230=""),"",IF(AND(原始資料!U230&lt;&gt;"",原始資料!V230=原始資料!U230),N(S230)+1,1))</f>
        <v/>
      </c>
      <c r="U230" s="6">
        <f>IF(OR(原始資料!$A230="",20&gt;設定!$B$3,原始資料!W230=""),"",IF(AND(原始資料!V230&lt;&gt;"",原始資料!W230=原始資料!V230),N(T230)+1,1))</f>
        <v/>
      </c>
      <c r="V230" s="6">
        <f>IF(OR(原始資料!$A230="",21&gt;設定!$B$3,原始資料!X230=""),"",IF(AND(原始資料!W230&lt;&gt;"",原始資料!X230=原始資料!W230),N(U230)+1,1))</f>
        <v/>
      </c>
      <c r="W230" s="6">
        <f>IF(OR(原始資料!$A230="",22&gt;設定!$B$3,原始資料!Y230=""),"",IF(AND(原始資料!X230&lt;&gt;"",原始資料!Y230=原始資料!X230),N(V230)+1,1))</f>
        <v/>
      </c>
      <c r="X230" s="6">
        <f>IF(OR(原始資料!$A230="",23&gt;設定!$B$3,原始資料!Z230=""),"",IF(AND(原始資料!Y230&lt;&gt;"",原始資料!Z230=原始資料!Y230),N(W230)+1,1))</f>
        <v/>
      </c>
      <c r="Y230" s="6">
        <f>IF(OR(原始資料!$A230="",24&gt;設定!$B$3,原始資料!AA230=""),"",IF(AND(原始資料!Z230&lt;&gt;"",原始資料!AA230=原始資料!Z230),N(X230)+1,1))</f>
        <v/>
      </c>
      <c r="Z230" s="6">
        <f>IF(OR(原始資料!$A230="",25&gt;設定!$B$3,原始資料!AB230=""),"",IF(AND(原始資料!AA230&lt;&gt;"",原始資料!AB230=原始資料!AA230),N(Y230)+1,1))</f>
        <v/>
      </c>
      <c r="AA230" s="6">
        <f>IF(OR(原始資料!$A230="",26&gt;設定!$B$3,原始資料!AC230=""),"",IF(AND(原始資料!AB230&lt;&gt;"",原始資料!AC230=原始資料!AB230),N(Z230)+1,1))</f>
        <v/>
      </c>
      <c r="AB230" s="6">
        <f>IF(OR(原始資料!$A230="",27&gt;設定!$B$3,原始資料!AD230=""),"",IF(AND(原始資料!AC230&lt;&gt;"",原始資料!AD230=原始資料!AC230),N(AA230)+1,1))</f>
        <v/>
      </c>
      <c r="AC230" s="6">
        <f>IF(OR(原始資料!$A230="",28&gt;設定!$B$3,原始資料!AE230=""),"",IF(AND(原始資料!AD230&lt;&gt;"",原始資料!AE230=原始資料!AD230),N(AB230)+1,1))</f>
        <v/>
      </c>
      <c r="AD230" s="6">
        <f>IF(OR(原始資料!$A230="",29&gt;設定!$B$3,原始資料!AF230=""),"",IF(AND(原始資料!AE230&lt;&gt;"",原始資料!AF230=原始資料!AE230),N(AC230)+1,1))</f>
        <v/>
      </c>
      <c r="AE230" s="6">
        <f>IF(OR(原始資料!$A230="",30&gt;設定!$B$3,原始資料!AG230=""),"",IF(AND(原始資料!AF230&lt;&gt;"",原始資料!AG230=原始資料!AF230),N(AD230)+1,1))</f>
        <v/>
      </c>
      <c r="AF230" s="6">
        <f>IF(OR(原始資料!$A230="",31&gt;設定!$B$3,原始資料!AH230=""),"",IF(AND(原始資料!AG230&lt;&gt;"",原始資料!AH230=原始資料!AG230),N(AE230)+1,1))</f>
        <v/>
      </c>
      <c r="AG230" s="6">
        <f>IF(OR(原始資料!$A230="",32&gt;設定!$B$3,原始資料!AI230=""),"",IF(AND(原始資料!AH230&lt;&gt;"",原始資料!AI230=原始資料!AH230),N(AF230)+1,1))</f>
        <v/>
      </c>
      <c r="AH230" s="6">
        <f>IF(OR(原始資料!$A230="",33&gt;設定!$B$3,原始資料!AJ230=""),"",IF(AND(原始資料!AI230&lt;&gt;"",原始資料!AJ230=原始資料!AI230),N(AG230)+1,1))</f>
        <v/>
      </c>
      <c r="AI230" s="6">
        <f>IF(OR(原始資料!$A230="",34&gt;設定!$B$3,原始資料!AK230=""),"",IF(AND(原始資料!AJ230&lt;&gt;"",原始資料!AK230=原始資料!AJ230),N(AH230)+1,1))</f>
        <v/>
      </c>
      <c r="AJ230" s="6">
        <f>IF(OR(原始資料!$A230="",35&gt;設定!$B$3,原始資料!AL230=""),"",IF(AND(原始資料!AK230&lt;&gt;"",原始資料!AL230=原始資料!AK230),N(AI230)+1,1))</f>
        <v/>
      </c>
      <c r="AK230" s="6">
        <f>IF(OR(原始資料!$A230="",36&gt;設定!$B$3,原始資料!AM230=""),"",IF(AND(原始資料!AL230&lt;&gt;"",原始資料!AM230=原始資料!AL230),N(AJ230)+1,1))</f>
        <v/>
      </c>
      <c r="AL230" s="6">
        <f>IF(OR(原始資料!$A230="",37&gt;設定!$B$3,原始資料!AN230=""),"",IF(AND(原始資料!AM230&lt;&gt;"",原始資料!AN230=原始資料!AM230),N(AK230)+1,1))</f>
        <v/>
      </c>
      <c r="AM230" s="6">
        <f>IF(OR(原始資料!$A230="",38&gt;設定!$B$3,原始資料!AO230=""),"",IF(AND(原始資料!AN230&lt;&gt;"",原始資料!AO230=原始資料!AN230),N(AL230)+1,1))</f>
        <v/>
      </c>
      <c r="AN230" s="6">
        <f>IF(OR(原始資料!$A230="",39&gt;設定!$B$3,原始資料!AP230=""),"",IF(AND(原始資料!AO230&lt;&gt;"",原始資料!AP230=原始資料!AO230),N(AM230)+1,1))</f>
        <v/>
      </c>
      <c r="AO230" s="6">
        <f>IF(OR(原始資料!$A230="",40&gt;設定!$B$3,原始資料!AQ230=""),"",IF(AND(原始資料!AP230&lt;&gt;"",原始資料!AQ230=原始資料!AP230),N(AN230)+1,1))</f>
        <v/>
      </c>
      <c r="AP230" s="6">
        <f>IF(OR(原始資料!$A230="",41&gt;設定!$B$3,原始資料!AR230=""),"",IF(AND(原始資料!AQ230&lt;&gt;"",原始資料!AR230=原始資料!AQ230),N(AO230)+1,1))</f>
        <v/>
      </c>
      <c r="AQ230" s="6">
        <f>IF(OR(原始資料!$A230="",42&gt;設定!$B$3,原始資料!AS230=""),"",IF(AND(原始資料!AR230&lt;&gt;"",原始資料!AS230=原始資料!AR230),N(AP230)+1,1))</f>
        <v/>
      </c>
      <c r="AR230" s="6">
        <f>IF(OR(原始資料!$A230="",43&gt;設定!$B$3,原始資料!AT230=""),"",IF(AND(原始資料!AS230&lt;&gt;"",原始資料!AT230=原始資料!AS230),N(AQ230)+1,1))</f>
        <v/>
      </c>
      <c r="AS230" s="6">
        <f>IF(OR(原始資料!$A230="",44&gt;設定!$B$3,原始資料!AU230=""),"",IF(AND(原始資料!AT230&lt;&gt;"",原始資料!AU230=原始資料!AT230),N(AR230)+1,1))</f>
        <v/>
      </c>
      <c r="AT230" s="6">
        <f>IF(OR(原始資料!$A230="",45&gt;設定!$B$3,原始資料!AV230=""),"",IF(AND(原始資料!AU230&lt;&gt;"",原始資料!AV230=原始資料!AU230),N(AS230)+1,1))</f>
        <v/>
      </c>
      <c r="AU230" s="6">
        <f>IF(OR(原始資料!$A230="",46&gt;設定!$B$3,原始資料!AW230=""),"",IF(AND(原始資料!AV230&lt;&gt;"",原始資料!AW230=原始資料!AV230),N(AT230)+1,1))</f>
        <v/>
      </c>
      <c r="AV230" s="6">
        <f>IF(OR(原始資料!$A230="",47&gt;設定!$B$3,原始資料!AX230=""),"",IF(AND(原始資料!AW230&lt;&gt;"",原始資料!AX230=原始資料!AW230),N(AU230)+1,1))</f>
        <v/>
      </c>
      <c r="AW230" s="6">
        <f>IF(OR(原始資料!$A230="",48&gt;設定!$B$3,原始資料!AY230=""),"",IF(AND(原始資料!AX230&lt;&gt;"",原始資料!AY230=原始資料!AX230),N(AV230)+1,1))</f>
        <v/>
      </c>
      <c r="AX230" s="6">
        <f>IF(OR(原始資料!$A230="",49&gt;設定!$B$3,原始資料!AZ230=""),"",IF(AND(原始資料!AY230&lt;&gt;"",原始資料!AZ230=原始資料!AY230),N(AW230)+1,1))</f>
        <v/>
      </c>
      <c r="AY230" s="6">
        <f>IF(OR(原始資料!$A230="",50&gt;設定!$B$3,原始資料!BA230=""),"",IF(AND(原始資料!AZ230&lt;&gt;"",原始資料!BA230=原始資料!AZ230),N(AX230)+1,1))</f>
        <v/>
      </c>
      <c r="AZ230" s="6">
        <f>IF(OR(原始資料!$A230="",51&gt;設定!$B$3,原始資料!BB230=""),"",IF(AND(原始資料!BA230&lt;&gt;"",原始資料!BB230=原始資料!BA230),N(AY230)+1,1))</f>
        <v/>
      </c>
      <c r="BA230" s="6">
        <f>IF(OR(原始資料!$A230="",52&gt;設定!$B$3,原始資料!BC230=""),"",IF(AND(原始資料!BB230&lt;&gt;"",原始資料!BC230=原始資料!BB230),N(AZ230)+1,1))</f>
        <v/>
      </c>
      <c r="BB230" s="6">
        <f>IF(OR(原始資料!$A230="",53&gt;設定!$B$3,原始資料!BD230=""),"",IF(AND(原始資料!BC230&lt;&gt;"",原始資料!BD230=原始資料!BC230),N(BA230)+1,1))</f>
        <v/>
      </c>
      <c r="BC230" s="6">
        <f>IF(OR(原始資料!$A230="",54&gt;設定!$B$3,原始資料!BE230=""),"",IF(AND(原始資料!BD230&lt;&gt;"",原始資料!BE230=原始資料!BD230),N(BB230)+1,1))</f>
        <v/>
      </c>
      <c r="BD230" s="6">
        <f>IF(OR(原始資料!$A230="",55&gt;設定!$B$3,原始資料!BF230=""),"",IF(AND(原始資料!BE230&lt;&gt;"",原始資料!BF230=原始資料!BE230),N(BC230)+1,1))</f>
        <v/>
      </c>
      <c r="BE230" s="6">
        <f>IF(OR(原始資料!$A230="",56&gt;設定!$B$3,原始資料!BG230=""),"",IF(AND(原始資料!BF230&lt;&gt;"",原始資料!BG230=原始資料!BF230),N(BD230)+1,1))</f>
        <v/>
      </c>
      <c r="BF230" s="6">
        <f>IF(OR(原始資料!$A230="",57&gt;設定!$B$3,原始資料!BH230=""),"",IF(AND(原始資料!BG230&lt;&gt;"",原始資料!BH230=原始資料!BG230),N(BE230)+1,1))</f>
        <v/>
      </c>
      <c r="BG230" s="6">
        <f>IF(OR(原始資料!$A230="",58&gt;設定!$B$3,原始資料!BI230=""),"",IF(AND(原始資料!BH230&lt;&gt;"",原始資料!BI230=原始資料!BH230),N(BF230)+1,1))</f>
        <v/>
      </c>
      <c r="BH230" s="6">
        <f>IF(OR(原始資料!$A230="",59&gt;設定!$B$3,原始資料!BJ230=""),"",IF(AND(原始資料!BI230&lt;&gt;"",原始資料!BJ230=原始資料!BI230),N(BG230)+1,1))</f>
        <v/>
      </c>
      <c r="BI230" s="6">
        <f>IF(OR(原始資料!$A230="",60&gt;設定!$B$3,原始資料!BK230=""),"",IF(AND(原始資料!BJ230&lt;&gt;"",原始資料!BK230=原始資料!BJ230),N(BH230)+1,1))</f>
        <v/>
      </c>
    </row>
    <row r="231">
      <c r="A231" s="6">
        <f>IF(原始資料!$A231="","",原始資料!$A231)</f>
        <v/>
      </c>
      <c r="B231" s="6">
        <f>IF(OR(原始資料!$A231="",1&gt;設定!$B$3,原始資料!D231=""),"",1)</f>
        <v/>
      </c>
      <c r="C231" s="6">
        <f>IF(OR(原始資料!$A231="",2&gt;設定!$B$3,原始資料!E231=""),"",IF(AND(原始資料!D231&lt;&gt;"",原始資料!E231=原始資料!D231),N(B231)+1,1))</f>
        <v/>
      </c>
      <c r="D231" s="6">
        <f>IF(OR(原始資料!$A231="",3&gt;設定!$B$3,原始資料!F231=""),"",IF(AND(原始資料!E231&lt;&gt;"",原始資料!F231=原始資料!E231),N(C231)+1,1))</f>
        <v/>
      </c>
      <c r="E231" s="6">
        <f>IF(OR(原始資料!$A231="",4&gt;設定!$B$3,原始資料!G231=""),"",IF(AND(原始資料!F231&lt;&gt;"",原始資料!G231=原始資料!F231),N(D231)+1,1))</f>
        <v/>
      </c>
      <c r="F231" s="6">
        <f>IF(OR(原始資料!$A231="",5&gt;設定!$B$3,原始資料!H231=""),"",IF(AND(原始資料!G231&lt;&gt;"",原始資料!H231=原始資料!G231),N(E231)+1,1))</f>
        <v/>
      </c>
      <c r="G231" s="6">
        <f>IF(OR(原始資料!$A231="",6&gt;設定!$B$3,原始資料!I231=""),"",IF(AND(原始資料!H231&lt;&gt;"",原始資料!I231=原始資料!H231),N(F231)+1,1))</f>
        <v/>
      </c>
      <c r="H231" s="6">
        <f>IF(OR(原始資料!$A231="",7&gt;設定!$B$3,原始資料!J231=""),"",IF(AND(原始資料!I231&lt;&gt;"",原始資料!J231=原始資料!I231),N(G231)+1,1))</f>
        <v/>
      </c>
      <c r="I231" s="6">
        <f>IF(OR(原始資料!$A231="",8&gt;設定!$B$3,原始資料!K231=""),"",IF(AND(原始資料!J231&lt;&gt;"",原始資料!K231=原始資料!J231),N(H231)+1,1))</f>
        <v/>
      </c>
      <c r="J231" s="6">
        <f>IF(OR(原始資料!$A231="",9&gt;設定!$B$3,原始資料!L231=""),"",IF(AND(原始資料!K231&lt;&gt;"",原始資料!L231=原始資料!K231),N(I231)+1,1))</f>
        <v/>
      </c>
      <c r="K231" s="6">
        <f>IF(OR(原始資料!$A231="",10&gt;設定!$B$3,原始資料!M231=""),"",IF(AND(原始資料!L231&lt;&gt;"",原始資料!M231=原始資料!L231),N(J231)+1,1))</f>
        <v/>
      </c>
      <c r="L231" s="6">
        <f>IF(OR(原始資料!$A231="",11&gt;設定!$B$3,原始資料!N231=""),"",IF(AND(原始資料!M231&lt;&gt;"",原始資料!N231=原始資料!M231),N(K231)+1,1))</f>
        <v/>
      </c>
      <c r="M231" s="6">
        <f>IF(OR(原始資料!$A231="",12&gt;設定!$B$3,原始資料!O231=""),"",IF(AND(原始資料!N231&lt;&gt;"",原始資料!O231=原始資料!N231),N(L231)+1,1))</f>
        <v/>
      </c>
      <c r="N231" s="6">
        <f>IF(OR(原始資料!$A231="",13&gt;設定!$B$3,原始資料!P231=""),"",IF(AND(原始資料!O231&lt;&gt;"",原始資料!P231=原始資料!O231),N(M231)+1,1))</f>
        <v/>
      </c>
      <c r="O231" s="6">
        <f>IF(OR(原始資料!$A231="",14&gt;設定!$B$3,原始資料!Q231=""),"",IF(AND(原始資料!P231&lt;&gt;"",原始資料!Q231=原始資料!P231),N(N231)+1,1))</f>
        <v/>
      </c>
      <c r="P231" s="6">
        <f>IF(OR(原始資料!$A231="",15&gt;設定!$B$3,原始資料!R231=""),"",IF(AND(原始資料!Q231&lt;&gt;"",原始資料!R231=原始資料!Q231),N(O231)+1,1))</f>
        <v/>
      </c>
      <c r="Q231" s="6">
        <f>IF(OR(原始資料!$A231="",16&gt;設定!$B$3,原始資料!S231=""),"",IF(AND(原始資料!R231&lt;&gt;"",原始資料!S231=原始資料!R231),N(P231)+1,1))</f>
        <v/>
      </c>
      <c r="R231" s="6">
        <f>IF(OR(原始資料!$A231="",17&gt;設定!$B$3,原始資料!T231=""),"",IF(AND(原始資料!S231&lt;&gt;"",原始資料!T231=原始資料!S231),N(Q231)+1,1))</f>
        <v/>
      </c>
      <c r="S231" s="6">
        <f>IF(OR(原始資料!$A231="",18&gt;設定!$B$3,原始資料!U231=""),"",IF(AND(原始資料!T231&lt;&gt;"",原始資料!U231=原始資料!T231),N(R231)+1,1))</f>
        <v/>
      </c>
      <c r="T231" s="6">
        <f>IF(OR(原始資料!$A231="",19&gt;設定!$B$3,原始資料!V231=""),"",IF(AND(原始資料!U231&lt;&gt;"",原始資料!V231=原始資料!U231),N(S231)+1,1))</f>
        <v/>
      </c>
      <c r="U231" s="6">
        <f>IF(OR(原始資料!$A231="",20&gt;設定!$B$3,原始資料!W231=""),"",IF(AND(原始資料!V231&lt;&gt;"",原始資料!W231=原始資料!V231),N(T231)+1,1))</f>
        <v/>
      </c>
      <c r="V231" s="6">
        <f>IF(OR(原始資料!$A231="",21&gt;設定!$B$3,原始資料!X231=""),"",IF(AND(原始資料!W231&lt;&gt;"",原始資料!X231=原始資料!W231),N(U231)+1,1))</f>
        <v/>
      </c>
      <c r="W231" s="6">
        <f>IF(OR(原始資料!$A231="",22&gt;設定!$B$3,原始資料!Y231=""),"",IF(AND(原始資料!X231&lt;&gt;"",原始資料!Y231=原始資料!X231),N(V231)+1,1))</f>
        <v/>
      </c>
      <c r="X231" s="6">
        <f>IF(OR(原始資料!$A231="",23&gt;設定!$B$3,原始資料!Z231=""),"",IF(AND(原始資料!Y231&lt;&gt;"",原始資料!Z231=原始資料!Y231),N(W231)+1,1))</f>
        <v/>
      </c>
      <c r="Y231" s="6">
        <f>IF(OR(原始資料!$A231="",24&gt;設定!$B$3,原始資料!AA231=""),"",IF(AND(原始資料!Z231&lt;&gt;"",原始資料!AA231=原始資料!Z231),N(X231)+1,1))</f>
        <v/>
      </c>
      <c r="Z231" s="6">
        <f>IF(OR(原始資料!$A231="",25&gt;設定!$B$3,原始資料!AB231=""),"",IF(AND(原始資料!AA231&lt;&gt;"",原始資料!AB231=原始資料!AA231),N(Y231)+1,1))</f>
        <v/>
      </c>
      <c r="AA231" s="6">
        <f>IF(OR(原始資料!$A231="",26&gt;設定!$B$3,原始資料!AC231=""),"",IF(AND(原始資料!AB231&lt;&gt;"",原始資料!AC231=原始資料!AB231),N(Z231)+1,1))</f>
        <v/>
      </c>
      <c r="AB231" s="6">
        <f>IF(OR(原始資料!$A231="",27&gt;設定!$B$3,原始資料!AD231=""),"",IF(AND(原始資料!AC231&lt;&gt;"",原始資料!AD231=原始資料!AC231),N(AA231)+1,1))</f>
        <v/>
      </c>
      <c r="AC231" s="6">
        <f>IF(OR(原始資料!$A231="",28&gt;設定!$B$3,原始資料!AE231=""),"",IF(AND(原始資料!AD231&lt;&gt;"",原始資料!AE231=原始資料!AD231),N(AB231)+1,1))</f>
        <v/>
      </c>
      <c r="AD231" s="6">
        <f>IF(OR(原始資料!$A231="",29&gt;設定!$B$3,原始資料!AF231=""),"",IF(AND(原始資料!AE231&lt;&gt;"",原始資料!AF231=原始資料!AE231),N(AC231)+1,1))</f>
        <v/>
      </c>
      <c r="AE231" s="6">
        <f>IF(OR(原始資料!$A231="",30&gt;設定!$B$3,原始資料!AG231=""),"",IF(AND(原始資料!AF231&lt;&gt;"",原始資料!AG231=原始資料!AF231),N(AD231)+1,1))</f>
        <v/>
      </c>
      <c r="AF231" s="6">
        <f>IF(OR(原始資料!$A231="",31&gt;設定!$B$3,原始資料!AH231=""),"",IF(AND(原始資料!AG231&lt;&gt;"",原始資料!AH231=原始資料!AG231),N(AE231)+1,1))</f>
        <v/>
      </c>
      <c r="AG231" s="6">
        <f>IF(OR(原始資料!$A231="",32&gt;設定!$B$3,原始資料!AI231=""),"",IF(AND(原始資料!AH231&lt;&gt;"",原始資料!AI231=原始資料!AH231),N(AF231)+1,1))</f>
        <v/>
      </c>
      <c r="AH231" s="6">
        <f>IF(OR(原始資料!$A231="",33&gt;設定!$B$3,原始資料!AJ231=""),"",IF(AND(原始資料!AI231&lt;&gt;"",原始資料!AJ231=原始資料!AI231),N(AG231)+1,1))</f>
        <v/>
      </c>
      <c r="AI231" s="6">
        <f>IF(OR(原始資料!$A231="",34&gt;設定!$B$3,原始資料!AK231=""),"",IF(AND(原始資料!AJ231&lt;&gt;"",原始資料!AK231=原始資料!AJ231),N(AH231)+1,1))</f>
        <v/>
      </c>
      <c r="AJ231" s="6">
        <f>IF(OR(原始資料!$A231="",35&gt;設定!$B$3,原始資料!AL231=""),"",IF(AND(原始資料!AK231&lt;&gt;"",原始資料!AL231=原始資料!AK231),N(AI231)+1,1))</f>
        <v/>
      </c>
      <c r="AK231" s="6">
        <f>IF(OR(原始資料!$A231="",36&gt;設定!$B$3,原始資料!AM231=""),"",IF(AND(原始資料!AL231&lt;&gt;"",原始資料!AM231=原始資料!AL231),N(AJ231)+1,1))</f>
        <v/>
      </c>
      <c r="AL231" s="6">
        <f>IF(OR(原始資料!$A231="",37&gt;設定!$B$3,原始資料!AN231=""),"",IF(AND(原始資料!AM231&lt;&gt;"",原始資料!AN231=原始資料!AM231),N(AK231)+1,1))</f>
        <v/>
      </c>
      <c r="AM231" s="6">
        <f>IF(OR(原始資料!$A231="",38&gt;設定!$B$3,原始資料!AO231=""),"",IF(AND(原始資料!AN231&lt;&gt;"",原始資料!AO231=原始資料!AN231),N(AL231)+1,1))</f>
        <v/>
      </c>
      <c r="AN231" s="6">
        <f>IF(OR(原始資料!$A231="",39&gt;設定!$B$3,原始資料!AP231=""),"",IF(AND(原始資料!AO231&lt;&gt;"",原始資料!AP231=原始資料!AO231),N(AM231)+1,1))</f>
        <v/>
      </c>
      <c r="AO231" s="6">
        <f>IF(OR(原始資料!$A231="",40&gt;設定!$B$3,原始資料!AQ231=""),"",IF(AND(原始資料!AP231&lt;&gt;"",原始資料!AQ231=原始資料!AP231),N(AN231)+1,1))</f>
        <v/>
      </c>
      <c r="AP231" s="6">
        <f>IF(OR(原始資料!$A231="",41&gt;設定!$B$3,原始資料!AR231=""),"",IF(AND(原始資料!AQ231&lt;&gt;"",原始資料!AR231=原始資料!AQ231),N(AO231)+1,1))</f>
        <v/>
      </c>
      <c r="AQ231" s="6">
        <f>IF(OR(原始資料!$A231="",42&gt;設定!$B$3,原始資料!AS231=""),"",IF(AND(原始資料!AR231&lt;&gt;"",原始資料!AS231=原始資料!AR231),N(AP231)+1,1))</f>
        <v/>
      </c>
      <c r="AR231" s="6">
        <f>IF(OR(原始資料!$A231="",43&gt;設定!$B$3,原始資料!AT231=""),"",IF(AND(原始資料!AS231&lt;&gt;"",原始資料!AT231=原始資料!AS231),N(AQ231)+1,1))</f>
        <v/>
      </c>
      <c r="AS231" s="6">
        <f>IF(OR(原始資料!$A231="",44&gt;設定!$B$3,原始資料!AU231=""),"",IF(AND(原始資料!AT231&lt;&gt;"",原始資料!AU231=原始資料!AT231),N(AR231)+1,1))</f>
        <v/>
      </c>
      <c r="AT231" s="6">
        <f>IF(OR(原始資料!$A231="",45&gt;設定!$B$3,原始資料!AV231=""),"",IF(AND(原始資料!AU231&lt;&gt;"",原始資料!AV231=原始資料!AU231),N(AS231)+1,1))</f>
        <v/>
      </c>
      <c r="AU231" s="6">
        <f>IF(OR(原始資料!$A231="",46&gt;設定!$B$3,原始資料!AW231=""),"",IF(AND(原始資料!AV231&lt;&gt;"",原始資料!AW231=原始資料!AV231),N(AT231)+1,1))</f>
        <v/>
      </c>
      <c r="AV231" s="6">
        <f>IF(OR(原始資料!$A231="",47&gt;設定!$B$3,原始資料!AX231=""),"",IF(AND(原始資料!AW231&lt;&gt;"",原始資料!AX231=原始資料!AW231),N(AU231)+1,1))</f>
        <v/>
      </c>
      <c r="AW231" s="6">
        <f>IF(OR(原始資料!$A231="",48&gt;設定!$B$3,原始資料!AY231=""),"",IF(AND(原始資料!AX231&lt;&gt;"",原始資料!AY231=原始資料!AX231),N(AV231)+1,1))</f>
        <v/>
      </c>
      <c r="AX231" s="6">
        <f>IF(OR(原始資料!$A231="",49&gt;設定!$B$3,原始資料!AZ231=""),"",IF(AND(原始資料!AY231&lt;&gt;"",原始資料!AZ231=原始資料!AY231),N(AW231)+1,1))</f>
        <v/>
      </c>
      <c r="AY231" s="6">
        <f>IF(OR(原始資料!$A231="",50&gt;設定!$B$3,原始資料!BA231=""),"",IF(AND(原始資料!AZ231&lt;&gt;"",原始資料!BA231=原始資料!AZ231),N(AX231)+1,1))</f>
        <v/>
      </c>
      <c r="AZ231" s="6">
        <f>IF(OR(原始資料!$A231="",51&gt;設定!$B$3,原始資料!BB231=""),"",IF(AND(原始資料!BA231&lt;&gt;"",原始資料!BB231=原始資料!BA231),N(AY231)+1,1))</f>
        <v/>
      </c>
      <c r="BA231" s="6">
        <f>IF(OR(原始資料!$A231="",52&gt;設定!$B$3,原始資料!BC231=""),"",IF(AND(原始資料!BB231&lt;&gt;"",原始資料!BC231=原始資料!BB231),N(AZ231)+1,1))</f>
        <v/>
      </c>
      <c r="BB231" s="6">
        <f>IF(OR(原始資料!$A231="",53&gt;設定!$B$3,原始資料!BD231=""),"",IF(AND(原始資料!BC231&lt;&gt;"",原始資料!BD231=原始資料!BC231),N(BA231)+1,1))</f>
        <v/>
      </c>
      <c r="BC231" s="6">
        <f>IF(OR(原始資料!$A231="",54&gt;設定!$B$3,原始資料!BE231=""),"",IF(AND(原始資料!BD231&lt;&gt;"",原始資料!BE231=原始資料!BD231),N(BB231)+1,1))</f>
        <v/>
      </c>
      <c r="BD231" s="6">
        <f>IF(OR(原始資料!$A231="",55&gt;設定!$B$3,原始資料!BF231=""),"",IF(AND(原始資料!BE231&lt;&gt;"",原始資料!BF231=原始資料!BE231),N(BC231)+1,1))</f>
        <v/>
      </c>
      <c r="BE231" s="6">
        <f>IF(OR(原始資料!$A231="",56&gt;設定!$B$3,原始資料!BG231=""),"",IF(AND(原始資料!BF231&lt;&gt;"",原始資料!BG231=原始資料!BF231),N(BD231)+1,1))</f>
        <v/>
      </c>
      <c r="BF231" s="6">
        <f>IF(OR(原始資料!$A231="",57&gt;設定!$B$3,原始資料!BH231=""),"",IF(AND(原始資料!BG231&lt;&gt;"",原始資料!BH231=原始資料!BG231),N(BE231)+1,1))</f>
        <v/>
      </c>
      <c r="BG231" s="6">
        <f>IF(OR(原始資料!$A231="",58&gt;設定!$B$3,原始資料!BI231=""),"",IF(AND(原始資料!BH231&lt;&gt;"",原始資料!BI231=原始資料!BH231),N(BF231)+1,1))</f>
        <v/>
      </c>
      <c r="BH231" s="6">
        <f>IF(OR(原始資料!$A231="",59&gt;設定!$B$3,原始資料!BJ231=""),"",IF(AND(原始資料!BI231&lt;&gt;"",原始資料!BJ231=原始資料!BI231),N(BG231)+1,1))</f>
        <v/>
      </c>
      <c r="BI231" s="6">
        <f>IF(OR(原始資料!$A231="",60&gt;設定!$B$3,原始資料!BK231=""),"",IF(AND(原始資料!BJ231&lt;&gt;"",原始資料!BK231=原始資料!BJ231),N(BH231)+1,1))</f>
        <v/>
      </c>
    </row>
    <row r="232">
      <c r="A232" s="6">
        <f>IF(原始資料!$A232="","",原始資料!$A232)</f>
        <v/>
      </c>
      <c r="B232" s="6">
        <f>IF(OR(原始資料!$A232="",1&gt;設定!$B$3,原始資料!D232=""),"",1)</f>
        <v/>
      </c>
      <c r="C232" s="6">
        <f>IF(OR(原始資料!$A232="",2&gt;設定!$B$3,原始資料!E232=""),"",IF(AND(原始資料!D232&lt;&gt;"",原始資料!E232=原始資料!D232),N(B232)+1,1))</f>
        <v/>
      </c>
      <c r="D232" s="6">
        <f>IF(OR(原始資料!$A232="",3&gt;設定!$B$3,原始資料!F232=""),"",IF(AND(原始資料!E232&lt;&gt;"",原始資料!F232=原始資料!E232),N(C232)+1,1))</f>
        <v/>
      </c>
      <c r="E232" s="6">
        <f>IF(OR(原始資料!$A232="",4&gt;設定!$B$3,原始資料!G232=""),"",IF(AND(原始資料!F232&lt;&gt;"",原始資料!G232=原始資料!F232),N(D232)+1,1))</f>
        <v/>
      </c>
      <c r="F232" s="6">
        <f>IF(OR(原始資料!$A232="",5&gt;設定!$B$3,原始資料!H232=""),"",IF(AND(原始資料!G232&lt;&gt;"",原始資料!H232=原始資料!G232),N(E232)+1,1))</f>
        <v/>
      </c>
      <c r="G232" s="6">
        <f>IF(OR(原始資料!$A232="",6&gt;設定!$B$3,原始資料!I232=""),"",IF(AND(原始資料!H232&lt;&gt;"",原始資料!I232=原始資料!H232),N(F232)+1,1))</f>
        <v/>
      </c>
      <c r="H232" s="6">
        <f>IF(OR(原始資料!$A232="",7&gt;設定!$B$3,原始資料!J232=""),"",IF(AND(原始資料!I232&lt;&gt;"",原始資料!J232=原始資料!I232),N(G232)+1,1))</f>
        <v/>
      </c>
      <c r="I232" s="6">
        <f>IF(OR(原始資料!$A232="",8&gt;設定!$B$3,原始資料!K232=""),"",IF(AND(原始資料!J232&lt;&gt;"",原始資料!K232=原始資料!J232),N(H232)+1,1))</f>
        <v/>
      </c>
      <c r="J232" s="6">
        <f>IF(OR(原始資料!$A232="",9&gt;設定!$B$3,原始資料!L232=""),"",IF(AND(原始資料!K232&lt;&gt;"",原始資料!L232=原始資料!K232),N(I232)+1,1))</f>
        <v/>
      </c>
      <c r="K232" s="6">
        <f>IF(OR(原始資料!$A232="",10&gt;設定!$B$3,原始資料!M232=""),"",IF(AND(原始資料!L232&lt;&gt;"",原始資料!M232=原始資料!L232),N(J232)+1,1))</f>
        <v/>
      </c>
      <c r="L232" s="6">
        <f>IF(OR(原始資料!$A232="",11&gt;設定!$B$3,原始資料!N232=""),"",IF(AND(原始資料!M232&lt;&gt;"",原始資料!N232=原始資料!M232),N(K232)+1,1))</f>
        <v/>
      </c>
      <c r="M232" s="6">
        <f>IF(OR(原始資料!$A232="",12&gt;設定!$B$3,原始資料!O232=""),"",IF(AND(原始資料!N232&lt;&gt;"",原始資料!O232=原始資料!N232),N(L232)+1,1))</f>
        <v/>
      </c>
      <c r="N232" s="6">
        <f>IF(OR(原始資料!$A232="",13&gt;設定!$B$3,原始資料!P232=""),"",IF(AND(原始資料!O232&lt;&gt;"",原始資料!P232=原始資料!O232),N(M232)+1,1))</f>
        <v/>
      </c>
      <c r="O232" s="6">
        <f>IF(OR(原始資料!$A232="",14&gt;設定!$B$3,原始資料!Q232=""),"",IF(AND(原始資料!P232&lt;&gt;"",原始資料!Q232=原始資料!P232),N(N232)+1,1))</f>
        <v/>
      </c>
      <c r="P232" s="6">
        <f>IF(OR(原始資料!$A232="",15&gt;設定!$B$3,原始資料!R232=""),"",IF(AND(原始資料!Q232&lt;&gt;"",原始資料!R232=原始資料!Q232),N(O232)+1,1))</f>
        <v/>
      </c>
      <c r="Q232" s="6">
        <f>IF(OR(原始資料!$A232="",16&gt;設定!$B$3,原始資料!S232=""),"",IF(AND(原始資料!R232&lt;&gt;"",原始資料!S232=原始資料!R232),N(P232)+1,1))</f>
        <v/>
      </c>
      <c r="R232" s="6">
        <f>IF(OR(原始資料!$A232="",17&gt;設定!$B$3,原始資料!T232=""),"",IF(AND(原始資料!S232&lt;&gt;"",原始資料!T232=原始資料!S232),N(Q232)+1,1))</f>
        <v/>
      </c>
      <c r="S232" s="6">
        <f>IF(OR(原始資料!$A232="",18&gt;設定!$B$3,原始資料!U232=""),"",IF(AND(原始資料!T232&lt;&gt;"",原始資料!U232=原始資料!T232),N(R232)+1,1))</f>
        <v/>
      </c>
      <c r="T232" s="6">
        <f>IF(OR(原始資料!$A232="",19&gt;設定!$B$3,原始資料!V232=""),"",IF(AND(原始資料!U232&lt;&gt;"",原始資料!V232=原始資料!U232),N(S232)+1,1))</f>
        <v/>
      </c>
      <c r="U232" s="6">
        <f>IF(OR(原始資料!$A232="",20&gt;設定!$B$3,原始資料!W232=""),"",IF(AND(原始資料!V232&lt;&gt;"",原始資料!W232=原始資料!V232),N(T232)+1,1))</f>
        <v/>
      </c>
      <c r="V232" s="6">
        <f>IF(OR(原始資料!$A232="",21&gt;設定!$B$3,原始資料!X232=""),"",IF(AND(原始資料!W232&lt;&gt;"",原始資料!X232=原始資料!W232),N(U232)+1,1))</f>
        <v/>
      </c>
      <c r="W232" s="6">
        <f>IF(OR(原始資料!$A232="",22&gt;設定!$B$3,原始資料!Y232=""),"",IF(AND(原始資料!X232&lt;&gt;"",原始資料!Y232=原始資料!X232),N(V232)+1,1))</f>
        <v/>
      </c>
      <c r="X232" s="6">
        <f>IF(OR(原始資料!$A232="",23&gt;設定!$B$3,原始資料!Z232=""),"",IF(AND(原始資料!Y232&lt;&gt;"",原始資料!Z232=原始資料!Y232),N(W232)+1,1))</f>
        <v/>
      </c>
      <c r="Y232" s="6">
        <f>IF(OR(原始資料!$A232="",24&gt;設定!$B$3,原始資料!AA232=""),"",IF(AND(原始資料!Z232&lt;&gt;"",原始資料!AA232=原始資料!Z232),N(X232)+1,1))</f>
        <v/>
      </c>
      <c r="Z232" s="6">
        <f>IF(OR(原始資料!$A232="",25&gt;設定!$B$3,原始資料!AB232=""),"",IF(AND(原始資料!AA232&lt;&gt;"",原始資料!AB232=原始資料!AA232),N(Y232)+1,1))</f>
        <v/>
      </c>
      <c r="AA232" s="6">
        <f>IF(OR(原始資料!$A232="",26&gt;設定!$B$3,原始資料!AC232=""),"",IF(AND(原始資料!AB232&lt;&gt;"",原始資料!AC232=原始資料!AB232),N(Z232)+1,1))</f>
        <v/>
      </c>
      <c r="AB232" s="6">
        <f>IF(OR(原始資料!$A232="",27&gt;設定!$B$3,原始資料!AD232=""),"",IF(AND(原始資料!AC232&lt;&gt;"",原始資料!AD232=原始資料!AC232),N(AA232)+1,1))</f>
        <v/>
      </c>
      <c r="AC232" s="6">
        <f>IF(OR(原始資料!$A232="",28&gt;設定!$B$3,原始資料!AE232=""),"",IF(AND(原始資料!AD232&lt;&gt;"",原始資料!AE232=原始資料!AD232),N(AB232)+1,1))</f>
        <v/>
      </c>
      <c r="AD232" s="6">
        <f>IF(OR(原始資料!$A232="",29&gt;設定!$B$3,原始資料!AF232=""),"",IF(AND(原始資料!AE232&lt;&gt;"",原始資料!AF232=原始資料!AE232),N(AC232)+1,1))</f>
        <v/>
      </c>
      <c r="AE232" s="6">
        <f>IF(OR(原始資料!$A232="",30&gt;設定!$B$3,原始資料!AG232=""),"",IF(AND(原始資料!AF232&lt;&gt;"",原始資料!AG232=原始資料!AF232),N(AD232)+1,1))</f>
        <v/>
      </c>
      <c r="AF232" s="6">
        <f>IF(OR(原始資料!$A232="",31&gt;設定!$B$3,原始資料!AH232=""),"",IF(AND(原始資料!AG232&lt;&gt;"",原始資料!AH232=原始資料!AG232),N(AE232)+1,1))</f>
        <v/>
      </c>
      <c r="AG232" s="6">
        <f>IF(OR(原始資料!$A232="",32&gt;設定!$B$3,原始資料!AI232=""),"",IF(AND(原始資料!AH232&lt;&gt;"",原始資料!AI232=原始資料!AH232),N(AF232)+1,1))</f>
        <v/>
      </c>
      <c r="AH232" s="6">
        <f>IF(OR(原始資料!$A232="",33&gt;設定!$B$3,原始資料!AJ232=""),"",IF(AND(原始資料!AI232&lt;&gt;"",原始資料!AJ232=原始資料!AI232),N(AG232)+1,1))</f>
        <v/>
      </c>
      <c r="AI232" s="6">
        <f>IF(OR(原始資料!$A232="",34&gt;設定!$B$3,原始資料!AK232=""),"",IF(AND(原始資料!AJ232&lt;&gt;"",原始資料!AK232=原始資料!AJ232),N(AH232)+1,1))</f>
        <v/>
      </c>
      <c r="AJ232" s="6">
        <f>IF(OR(原始資料!$A232="",35&gt;設定!$B$3,原始資料!AL232=""),"",IF(AND(原始資料!AK232&lt;&gt;"",原始資料!AL232=原始資料!AK232),N(AI232)+1,1))</f>
        <v/>
      </c>
      <c r="AK232" s="6">
        <f>IF(OR(原始資料!$A232="",36&gt;設定!$B$3,原始資料!AM232=""),"",IF(AND(原始資料!AL232&lt;&gt;"",原始資料!AM232=原始資料!AL232),N(AJ232)+1,1))</f>
        <v/>
      </c>
      <c r="AL232" s="6">
        <f>IF(OR(原始資料!$A232="",37&gt;設定!$B$3,原始資料!AN232=""),"",IF(AND(原始資料!AM232&lt;&gt;"",原始資料!AN232=原始資料!AM232),N(AK232)+1,1))</f>
        <v/>
      </c>
      <c r="AM232" s="6">
        <f>IF(OR(原始資料!$A232="",38&gt;設定!$B$3,原始資料!AO232=""),"",IF(AND(原始資料!AN232&lt;&gt;"",原始資料!AO232=原始資料!AN232),N(AL232)+1,1))</f>
        <v/>
      </c>
      <c r="AN232" s="6">
        <f>IF(OR(原始資料!$A232="",39&gt;設定!$B$3,原始資料!AP232=""),"",IF(AND(原始資料!AO232&lt;&gt;"",原始資料!AP232=原始資料!AO232),N(AM232)+1,1))</f>
        <v/>
      </c>
      <c r="AO232" s="6">
        <f>IF(OR(原始資料!$A232="",40&gt;設定!$B$3,原始資料!AQ232=""),"",IF(AND(原始資料!AP232&lt;&gt;"",原始資料!AQ232=原始資料!AP232),N(AN232)+1,1))</f>
        <v/>
      </c>
      <c r="AP232" s="6">
        <f>IF(OR(原始資料!$A232="",41&gt;設定!$B$3,原始資料!AR232=""),"",IF(AND(原始資料!AQ232&lt;&gt;"",原始資料!AR232=原始資料!AQ232),N(AO232)+1,1))</f>
        <v/>
      </c>
      <c r="AQ232" s="6">
        <f>IF(OR(原始資料!$A232="",42&gt;設定!$B$3,原始資料!AS232=""),"",IF(AND(原始資料!AR232&lt;&gt;"",原始資料!AS232=原始資料!AR232),N(AP232)+1,1))</f>
        <v/>
      </c>
      <c r="AR232" s="6">
        <f>IF(OR(原始資料!$A232="",43&gt;設定!$B$3,原始資料!AT232=""),"",IF(AND(原始資料!AS232&lt;&gt;"",原始資料!AT232=原始資料!AS232),N(AQ232)+1,1))</f>
        <v/>
      </c>
      <c r="AS232" s="6">
        <f>IF(OR(原始資料!$A232="",44&gt;設定!$B$3,原始資料!AU232=""),"",IF(AND(原始資料!AT232&lt;&gt;"",原始資料!AU232=原始資料!AT232),N(AR232)+1,1))</f>
        <v/>
      </c>
      <c r="AT232" s="6">
        <f>IF(OR(原始資料!$A232="",45&gt;設定!$B$3,原始資料!AV232=""),"",IF(AND(原始資料!AU232&lt;&gt;"",原始資料!AV232=原始資料!AU232),N(AS232)+1,1))</f>
        <v/>
      </c>
      <c r="AU232" s="6">
        <f>IF(OR(原始資料!$A232="",46&gt;設定!$B$3,原始資料!AW232=""),"",IF(AND(原始資料!AV232&lt;&gt;"",原始資料!AW232=原始資料!AV232),N(AT232)+1,1))</f>
        <v/>
      </c>
      <c r="AV232" s="6">
        <f>IF(OR(原始資料!$A232="",47&gt;設定!$B$3,原始資料!AX232=""),"",IF(AND(原始資料!AW232&lt;&gt;"",原始資料!AX232=原始資料!AW232),N(AU232)+1,1))</f>
        <v/>
      </c>
      <c r="AW232" s="6">
        <f>IF(OR(原始資料!$A232="",48&gt;設定!$B$3,原始資料!AY232=""),"",IF(AND(原始資料!AX232&lt;&gt;"",原始資料!AY232=原始資料!AX232),N(AV232)+1,1))</f>
        <v/>
      </c>
      <c r="AX232" s="6">
        <f>IF(OR(原始資料!$A232="",49&gt;設定!$B$3,原始資料!AZ232=""),"",IF(AND(原始資料!AY232&lt;&gt;"",原始資料!AZ232=原始資料!AY232),N(AW232)+1,1))</f>
        <v/>
      </c>
      <c r="AY232" s="6">
        <f>IF(OR(原始資料!$A232="",50&gt;設定!$B$3,原始資料!BA232=""),"",IF(AND(原始資料!AZ232&lt;&gt;"",原始資料!BA232=原始資料!AZ232),N(AX232)+1,1))</f>
        <v/>
      </c>
      <c r="AZ232" s="6">
        <f>IF(OR(原始資料!$A232="",51&gt;設定!$B$3,原始資料!BB232=""),"",IF(AND(原始資料!BA232&lt;&gt;"",原始資料!BB232=原始資料!BA232),N(AY232)+1,1))</f>
        <v/>
      </c>
      <c r="BA232" s="6">
        <f>IF(OR(原始資料!$A232="",52&gt;設定!$B$3,原始資料!BC232=""),"",IF(AND(原始資料!BB232&lt;&gt;"",原始資料!BC232=原始資料!BB232),N(AZ232)+1,1))</f>
        <v/>
      </c>
      <c r="BB232" s="6">
        <f>IF(OR(原始資料!$A232="",53&gt;設定!$B$3,原始資料!BD232=""),"",IF(AND(原始資料!BC232&lt;&gt;"",原始資料!BD232=原始資料!BC232),N(BA232)+1,1))</f>
        <v/>
      </c>
      <c r="BC232" s="6">
        <f>IF(OR(原始資料!$A232="",54&gt;設定!$B$3,原始資料!BE232=""),"",IF(AND(原始資料!BD232&lt;&gt;"",原始資料!BE232=原始資料!BD232),N(BB232)+1,1))</f>
        <v/>
      </c>
      <c r="BD232" s="6">
        <f>IF(OR(原始資料!$A232="",55&gt;設定!$B$3,原始資料!BF232=""),"",IF(AND(原始資料!BE232&lt;&gt;"",原始資料!BF232=原始資料!BE232),N(BC232)+1,1))</f>
        <v/>
      </c>
      <c r="BE232" s="6">
        <f>IF(OR(原始資料!$A232="",56&gt;設定!$B$3,原始資料!BG232=""),"",IF(AND(原始資料!BF232&lt;&gt;"",原始資料!BG232=原始資料!BF232),N(BD232)+1,1))</f>
        <v/>
      </c>
      <c r="BF232" s="6">
        <f>IF(OR(原始資料!$A232="",57&gt;設定!$B$3,原始資料!BH232=""),"",IF(AND(原始資料!BG232&lt;&gt;"",原始資料!BH232=原始資料!BG232),N(BE232)+1,1))</f>
        <v/>
      </c>
      <c r="BG232" s="6">
        <f>IF(OR(原始資料!$A232="",58&gt;設定!$B$3,原始資料!BI232=""),"",IF(AND(原始資料!BH232&lt;&gt;"",原始資料!BI232=原始資料!BH232),N(BF232)+1,1))</f>
        <v/>
      </c>
      <c r="BH232" s="6">
        <f>IF(OR(原始資料!$A232="",59&gt;設定!$B$3,原始資料!BJ232=""),"",IF(AND(原始資料!BI232&lt;&gt;"",原始資料!BJ232=原始資料!BI232),N(BG232)+1,1))</f>
        <v/>
      </c>
      <c r="BI232" s="6">
        <f>IF(OR(原始資料!$A232="",60&gt;設定!$B$3,原始資料!BK232=""),"",IF(AND(原始資料!BJ232&lt;&gt;"",原始資料!BK232=原始資料!BJ232),N(BH232)+1,1))</f>
        <v/>
      </c>
    </row>
    <row r="233">
      <c r="A233" s="6">
        <f>IF(原始資料!$A233="","",原始資料!$A233)</f>
        <v/>
      </c>
      <c r="B233" s="6">
        <f>IF(OR(原始資料!$A233="",1&gt;設定!$B$3,原始資料!D233=""),"",1)</f>
        <v/>
      </c>
      <c r="C233" s="6">
        <f>IF(OR(原始資料!$A233="",2&gt;設定!$B$3,原始資料!E233=""),"",IF(AND(原始資料!D233&lt;&gt;"",原始資料!E233=原始資料!D233),N(B233)+1,1))</f>
        <v/>
      </c>
      <c r="D233" s="6">
        <f>IF(OR(原始資料!$A233="",3&gt;設定!$B$3,原始資料!F233=""),"",IF(AND(原始資料!E233&lt;&gt;"",原始資料!F233=原始資料!E233),N(C233)+1,1))</f>
        <v/>
      </c>
      <c r="E233" s="6">
        <f>IF(OR(原始資料!$A233="",4&gt;設定!$B$3,原始資料!G233=""),"",IF(AND(原始資料!F233&lt;&gt;"",原始資料!G233=原始資料!F233),N(D233)+1,1))</f>
        <v/>
      </c>
      <c r="F233" s="6">
        <f>IF(OR(原始資料!$A233="",5&gt;設定!$B$3,原始資料!H233=""),"",IF(AND(原始資料!G233&lt;&gt;"",原始資料!H233=原始資料!G233),N(E233)+1,1))</f>
        <v/>
      </c>
      <c r="G233" s="6">
        <f>IF(OR(原始資料!$A233="",6&gt;設定!$B$3,原始資料!I233=""),"",IF(AND(原始資料!H233&lt;&gt;"",原始資料!I233=原始資料!H233),N(F233)+1,1))</f>
        <v/>
      </c>
      <c r="H233" s="6">
        <f>IF(OR(原始資料!$A233="",7&gt;設定!$B$3,原始資料!J233=""),"",IF(AND(原始資料!I233&lt;&gt;"",原始資料!J233=原始資料!I233),N(G233)+1,1))</f>
        <v/>
      </c>
      <c r="I233" s="6">
        <f>IF(OR(原始資料!$A233="",8&gt;設定!$B$3,原始資料!K233=""),"",IF(AND(原始資料!J233&lt;&gt;"",原始資料!K233=原始資料!J233),N(H233)+1,1))</f>
        <v/>
      </c>
      <c r="J233" s="6">
        <f>IF(OR(原始資料!$A233="",9&gt;設定!$B$3,原始資料!L233=""),"",IF(AND(原始資料!K233&lt;&gt;"",原始資料!L233=原始資料!K233),N(I233)+1,1))</f>
        <v/>
      </c>
      <c r="K233" s="6">
        <f>IF(OR(原始資料!$A233="",10&gt;設定!$B$3,原始資料!M233=""),"",IF(AND(原始資料!L233&lt;&gt;"",原始資料!M233=原始資料!L233),N(J233)+1,1))</f>
        <v/>
      </c>
      <c r="L233" s="6">
        <f>IF(OR(原始資料!$A233="",11&gt;設定!$B$3,原始資料!N233=""),"",IF(AND(原始資料!M233&lt;&gt;"",原始資料!N233=原始資料!M233),N(K233)+1,1))</f>
        <v/>
      </c>
      <c r="M233" s="6">
        <f>IF(OR(原始資料!$A233="",12&gt;設定!$B$3,原始資料!O233=""),"",IF(AND(原始資料!N233&lt;&gt;"",原始資料!O233=原始資料!N233),N(L233)+1,1))</f>
        <v/>
      </c>
      <c r="N233" s="6">
        <f>IF(OR(原始資料!$A233="",13&gt;設定!$B$3,原始資料!P233=""),"",IF(AND(原始資料!O233&lt;&gt;"",原始資料!P233=原始資料!O233),N(M233)+1,1))</f>
        <v/>
      </c>
      <c r="O233" s="6">
        <f>IF(OR(原始資料!$A233="",14&gt;設定!$B$3,原始資料!Q233=""),"",IF(AND(原始資料!P233&lt;&gt;"",原始資料!Q233=原始資料!P233),N(N233)+1,1))</f>
        <v/>
      </c>
      <c r="P233" s="6">
        <f>IF(OR(原始資料!$A233="",15&gt;設定!$B$3,原始資料!R233=""),"",IF(AND(原始資料!Q233&lt;&gt;"",原始資料!R233=原始資料!Q233),N(O233)+1,1))</f>
        <v/>
      </c>
      <c r="Q233" s="6">
        <f>IF(OR(原始資料!$A233="",16&gt;設定!$B$3,原始資料!S233=""),"",IF(AND(原始資料!R233&lt;&gt;"",原始資料!S233=原始資料!R233),N(P233)+1,1))</f>
        <v/>
      </c>
      <c r="R233" s="6">
        <f>IF(OR(原始資料!$A233="",17&gt;設定!$B$3,原始資料!T233=""),"",IF(AND(原始資料!S233&lt;&gt;"",原始資料!T233=原始資料!S233),N(Q233)+1,1))</f>
        <v/>
      </c>
      <c r="S233" s="6">
        <f>IF(OR(原始資料!$A233="",18&gt;設定!$B$3,原始資料!U233=""),"",IF(AND(原始資料!T233&lt;&gt;"",原始資料!U233=原始資料!T233),N(R233)+1,1))</f>
        <v/>
      </c>
      <c r="T233" s="6">
        <f>IF(OR(原始資料!$A233="",19&gt;設定!$B$3,原始資料!V233=""),"",IF(AND(原始資料!U233&lt;&gt;"",原始資料!V233=原始資料!U233),N(S233)+1,1))</f>
        <v/>
      </c>
      <c r="U233" s="6">
        <f>IF(OR(原始資料!$A233="",20&gt;設定!$B$3,原始資料!W233=""),"",IF(AND(原始資料!V233&lt;&gt;"",原始資料!W233=原始資料!V233),N(T233)+1,1))</f>
        <v/>
      </c>
      <c r="V233" s="6">
        <f>IF(OR(原始資料!$A233="",21&gt;設定!$B$3,原始資料!X233=""),"",IF(AND(原始資料!W233&lt;&gt;"",原始資料!X233=原始資料!W233),N(U233)+1,1))</f>
        <v/>
      </c>
      <c r="W233" s="6">
        <f>IF(OR(原始資料!$A233="",22&gt;設定!$B$3,原始資料!Y233=""),"",IF(AND(原始資料!X233&lt;&gt;"",原始資料!Y233=原始資料!X233),N(V233)+1,1))</f>
        <v/>
      </c>
      <c r="X233" s="6">
        <f>IF(OR(原始資料!$A233="",23&gt;設定!$B$3,原始資料!Z233=""),"",IF(AND(原始資料!Y233&lt;&gt;"",原始資料!Z233=原始資料!Y233),N(W233)+1,1))</f>
        <v/>
      </c>
      <c r="Y233" s="6">
        <f>IF(OR(原始資料!$A233="",24&gt;設定!$B$3,原始資料!AA233=""),"",IF(AND(原始資料!Z233&lt;&gt;"",原始資料!AA233=原始資料!Z233),N(X233)+1,1))</f>
        <v/>
      </c>
      <c r="Z233" s="6">
        <f>IF(OR(原始資料!$A233="",25&gt;設定!$B$3,原始資料!AB233=""),"",IF(AND(原始資料!AA233&lt;&gt;"",原始資料!AB233=原始資料!AA233),N(Y233)+1,1))</f>
        <v/>
      </c>
      <c r="AA233" s="6">
        <f>IF(OR(原始資料!$A233="",26&gt;設定!$B$3,原始資料!AC233=""),"",IF(AND(原始資料!AB233&lt;&gt;"",原始資料!AC233=原始資料!AB233),N(Z233)+1,1))</f>
        <v/>
      </c>
      <c r="AB233" s="6">
        <f>IF(OR(原始資料!$A233="",27&gt;設定!$B$3,原始資料!AD233=""),"",IF(AND(原始資料!AC233&lt;&gt;"",原始資料!AD233=原始資料!AC233),N(AA233)+1,1))</f>
        <v/>
      </c>
      <c r="AC233" s="6">
        <f>IF(OR(原始資料!$A233="",28&gt;設定!$B$3,原始資料!AE233=""),"",IF(AND(原始資料!AD233&lt;&gt;"",原始資料!AE233=原始資料!AD233),N(AB233)+1,1))</f>
        <v/>
      </c>
      <c r="AD233" s="6">
        <f>IF(OR(原始資料!$A233="",29&gt;設定!$B$3,原始資料!AF233=""),"",IF(AND(原始資料!AE233&lt;&gt;"",原始資料!AF233=原始資料!AE233),N(AC233)+1,1))</f>
        <v/>
      </c>
      <c r="AE233" s="6">
        <f>IF(OR(原始資料!$A233="",30&gt;設定!$B$3,原始資料!AG233=""),"",IF(AND(原始資料!AF233&lt;&gt;"",原始資料!AG233=原始資料!AF233),N(AD233)+1,1))</f>
        <v/>
      </c>
      <c r="AF233" s="6">
        <f>IF(OR(原始資料!$A233="",31&gt;設定!$B$3,原始資料!AH233=""),"",IF(AND(原始資料!AG233&lt;&gt;"",原始資料!AH233=原始資料!AG233),N(AE233)+1,1))</f>
        <v/>
      </c>
      <c r="AG233" s="6">
        <f>IF(OR(原始資料!$A233="",32&gt;設定!$B$3,原始資料!AI233=""),"",IF(AND(原始資料!AH233&lt;&gt;"",原始資料!AI233=原始資料!AH233),N(AF233)+1,1))</f>
        <v/>
      </c>
      <c r="AH233" s="6">
        <f>IF(OR(原始資料!$A233="",33&gt;設定!$B$3,原始資料!AJ233=""),"",IF(AND(原始資料!AI233&lt;&gt;"",原始資料!AJ233=原始資料!AI233),N(AG233)+1,1))</f>
        <v/>
      </c>
      <c r="AI233" s="6">
        <f>IF(OR(原始資料!$A233="",34&gt;設定!$B$3,原始資料!AK233=""),"",IF(AND(原始資料!AJ233&lt;&gt;"",原始資料!AK233=原始資料!AJ233),N(AH233)+1,1))</f>
        <v/>
      </c>
      <c r="AJ233" s="6">
        <f>IF(OR(原始資料!$A233="",35&gt;設定!$B$3,原始資料!AL233=""),"",IF(AND(原始資料!AK233&lt;&gt;"",原始資料!AL233=原始資料!AK233),N(AI233)+1,1))</f>
        <v/>
      </c>
      <c r="AK233" s="6">
        <f>IF(OR(原始資料!$A233="",36&gt;設定!$B$3,原始資料!AM233=""),"",IF(AND(原始資料!AL233&lt;&gt;"",原始資料!AM233=原始資料!AL233),N(AJ233)+1,1))</f>
        <v/>
      </c>
      <c r="AL233" s="6">
        <f>IF(OR(原始資料!$A233="",37&gt;設定!$B$3,原始資料!AN233=""),"",IF(AND(原始資料!AM233&lt;&gt;"",原始資料!AN233=原始資料!AM233),N(AK233)+1,1))</f>
        <v/>
      </c>
      <c r="AM233" s="6">
        <f>IF(OR(原始資料!$A233="",38&gt;設定!$B$3,原始資料!AO233=""),"",IF(AND(原始資料!AN233&lt;&gt;"",原始資料!AO233=原始資料!AN233),N(AL233)+1,1))</f>
        <v/>
      </c>
      <c r="AN233" s="6">
        <f>IF(OR(原始資料!$A233="",39&gt;設定!$B$3,原始資料!AP233=""),"",IF(AND(原始資料!AO233&lt;&gt;"",原始資料!AP233=原始資料!AO233),N(AM233)+1,1))</f>
        <v/>
      </c>
      <c r="AO233" s="6">
        <f>IF(OR(原始資料!$A233="",40&gt;設定!$B$3,原始資料!AQ233=""),"",IF(AND(原始資料!AP233&lt;&gt;"",原始資料!AQ233=原始資料!AP233),N(AN233)+1,1))</f>
        <v/>
      </c>
      <c r="AP233" s="6">
        <f>IF(OR(原始資料!$A233="",41&gt;設定!$B$3,原始資料!AR233=""),"",IF(AND(原始資料!AQ233&lt;&gt;"",原始資料!AR233=原始資料!AQ233),N(AO233)+1,1))</f>
        <v/>
      </c>
      <c r="AQ233" s="6">
        <f>IF(OR(原始資料!$A233="",42&gt;設定!$B$3,原始資料!AS233=""),"",IF(AND(原始資料!AR233&lt;&gt;"",原始資料!AS233=原始資料!AR233),N(AP233)+1,1))</f>
        <v/>
      </c>
      <c r="AR233" s="6">
        <f>IF(OR(原始資料!$A233="",43&gt;設定!$B$3,原始資料!AT233=""),"",IF(AND(原始資料!AS233&lt;&gt;"",原始資料!AT233=原始資料!AS233),N(AQ233)+1,1))</f>
        <v/>
      </c>
      <c r="AS233" s="6">
        <f>IF(OR(原始資料!$A233="",44&gt;設定!$B$3,原始資料!AU233=""),"",IF(AND(原始資料!AT233&lt;&gt;"",原始資料!AU233=原始資料!AT233),N(AR233)+1,1))</f>
        <v/>
      </c>
      <c r="AT233" s="6">
        <f>IF(OR(原始資料!$A233="",45&gt;設定!$B$3,原始資料!AV233=""),"",IF(AND(原始資料!AU233&lt;&gt;"",原始資料!AV233=原始資料!AU233),N(AS233)+1,1))</f>
        <v/>
      </c>
      <c r="AU233" s="6">
        <f>IF(OR(原始資料!$A233="",46&gt;設定!$B$3,原始資料!AW233=""),"",IF(AND(原始資料!AV233&lt;&gt;"",原始資料!AW233=原始資料!AV233),N(AT233)+1,1))</f>
        <v/>
      </c>
      <c r="AV233" s="6">
        <f>IF(OR(原始資料!$A233="",47&gt;設定!$B$3,原始資料!AX233=""),"",IF(AND(原始資料!AW233&lt;&gt;"",原始資料!AX233=原始資料!AW233),N(AU233)+1,1))</f>
        <v/>
      </c>
      <c r="AW233" s="6">
        <f>IF(OR(原始資料!$A233="",48&gt;設定!$B$3,原始資料!AY233=""),"",IF(AND(原始資料!AX233&lt;&gt;"",原始資料!AY233=原始資料!AX233),N(AV233)+1,1))</f>
        <v/>
      </c>
      <c r="AX233" s="6">
        <f>IF(OR(原始資料!$A233="",49&gt;設定!$B$3,原始資料!AZ233=""),"",IF(AND(原始資料!AY233&lt;&gt;"",原始資料!AZ233=原始資料!AY233),N(AW233)+1,1))</f>
        <v/>
      </c>
      <c r="AY233" s="6">
        <f>IF(OR(原始資料!$A233="",50&gt;設定!$B$3,原始資料!BA233=""),"",IF(AND(原始資料!AZ233&lt;&gt;"",原始資料!BA233=原始資料!AZ233),N(AX233)+1,1))</f>
        <v/>
      </c>
      <c r="AZ233" s="6">
        <f>IF(OR(原始資料!$A233="",51&gt;設定!$B$3,原始資料!BB233=""),"",IF(AND(原始資料!BA233&lt;&gt;"",原始資料!BB233=原始資料!BA233),N(AY233)+1,1))</f>
        <v/>
      </c>
      <c r="BA233" s="6">
        <f>IF(OR(原始資料!$A233="",52&gt;設定!$B$3,原始資料!BC233=""),"",IF(AND(原始資料!BB233&lt;&gt;"",原始資料!BC233=原始資料!BB233),N(AZ233)+1,1))</f>
        <v/>
      </c>
      <c r="BB233" s="6">
        <f>IF(OR(原始資料!$A233="",53&gt;設定!$B$3,原始資料!BD233=""),"",IF(AND(原始資料!BC233&lt;&gt;"",原始資料!BD233=原始資料!BC233),N(BA233)+1,1))</f>
        <v/>
      </c>
      <c r="BC233" s="6">
        <f>IF(OR(原始資料!$A233="",54&gt;設定!$B$3,原始資料!BE233=""),"",IF(AND(原始資料!BD233&lt;&gt;"",原始資料!BE233=原始資料!BD233),N(BB233)+1,1))</f>
        <v/>
      </c>
      <c r="BD233" s="6">
        <f>IF(OR(原始資料!$A233="",55&gt;設定!$B$3,原始資料!BF233=""),"",IF(AND(原始資料!BE233&lt;&gt;"",原始資料!BF233=原始資料!BE233),N(BC233)+1,1))</f>
        <v/>
      </c>
      <c r="BE233" s="6">
        <f>IF(OR(原始資料!$A233="",56&gt;設定!$B$3,原始資料!BG233=""),"",IF(AND(原始資料!BF233&lt;&gt;"",原始資料!BG233=原始資料!BF233),N(BD233)+1,1))</f>
        <v/>
      </c>
      <c r="BF233" s="6">
        <f>IF(OR(原始資料!$A233="",57&gt;設定!$B$3,原始資料!BH233=""),"",IF(AND(原始資料!BG233&lt;&gt;"",原始資料!BH233=原始資料!BG233),N(BE233)+1,1))</f>
        <v/>
      </c>
      <c r="BG233" s="6">
        <f>IF(OR(原始資料!$A233="",58&gt;設定!$B$3,原始資料!BI233=""),"",IF(AND(原始資料!BH233&lt;&gt;"",原始資料!BI233=原始資料!BH233),N(BF233)+1,1))</f>
        <v/>
      </c>
      <c r="BH233" s="6">
        <f>IF(OR(原始資料!$A233="",59&gt;設定!$B$3,原始資料!BJ233=""),"",IF(AND(原始資料!BI233&lt;&gt;"",原始資料!BJ233=原始資料!BI233),N(BG233)+1,1))</f>
        <v/>
      </c>
      <c r="BI233" s="6">
        <f>IF(OR(原始資料!$A233="",60&gt;設定!$B$3,原始資料!BK233=""),"",IF(AND(原始資料!BJ233&lt;&gt;"",原始資料!BK233=原始資料!BJ233),N(BH233)+1,1))</f>
        <v/>
      </c>
    </row>
    <row r="234">
      <c r="A234" s="6">
        <f>IF(原始資料!$A234="","",原始資料!$A234)</f>
        <v/>
      </c>
      <c r="B234" s="6">
        <f>IF(OR(原始資料!$A234="",1&gt;設定!$B$3,原始資料!D234=""),"",1)</f>
        <v/>
      </c>
      <c r="C234" s="6">
        <f>IF(OR(原始資料!$A234="",2&gt;設定!$B$3,原始資料!E234=""),"",IF(AND(原始資料!D234&lt;&gt;"",原始資料!E234=原始資料!D234),N(B234)+1,1))</f>
        <v/>
      </c>
      <c r="D234" s="6">
        <f>IF(OR(原始資料!$A234="",3&gt;設定!$B$3,原始資料!F234=""),"",IF(AND(原始資料!E234&lt;&gt;"",原始資料!F234=原始資料!E234),N(C234)+1,1))</f>
        <v/>
      </c>
      <c r="E234" s="6">
        <f>IF(OR(原始資料!$A234="",4&gt;設定!$B$3,原始資料!G234=""),"",IF(AND(原始資料!F234&lt;&gt;"",原始資料!G234=原始資料!F234),N(D234)+1,1))</f>
        <v/>
      </c>
      <c r="F234" s="6">
        <f>IF(OR(原始資料!$A234="",5&gt;設定!$B$3,原始資料!H234=""),"",IF(AND(原始資料!G234&lt;&gt;"",原始資料!H234=原始資料!G234),N(E234)+1,1))</f>
        <v/>
      </c>
      <c r="G234" s="6">
        <f>IF(OR(原始資料!$A234="",6&gt;設定!$B$3,原始資料!I234=""),"",IF(AND(原始資料!H234&lt;&gt;"",原始資料!I234=原始資料!H234),N(F234)+1,1))</f>
        <v/>
      </c>
      <c r="H234" s="6">
        <f>IF(OR(原始資料!$A234="",7&gt;設定!$B$3,原始資料!J234=""),"",IF(AND(原始資料!I234&lt;&gt;"",原始資料!J234=原始資料!I234),N(G234)+1,1))</f>
        <v/>
      </c>
      <c r="I234" s="6">
        <f>IF(OR(原始資料!$A234="",8&gt;設定!$B$3,原始資料!K234=""),"",IF(AND(原始資料!J234&lt;&gt;"",原始資料!K234=原始資料!J234),N(H234)+1,1))</f>
        <v/>
      </c>
      <c r="J234" s="6">
        <f>IF(OR(原始資料!$A234="",9&gt;設定!$B$3,原始資料!L234=""),"",IF(AND(原始資料!K234&lt;&gt;"",原始資料!L234=原始資料!K234),N(I234)+1,1))</f>
        <v/>
      </c>
      <c r="K234" s="6">
        <f>IF(OR(原始資料!$A234="",10&gt;設定!$B$3,原始資料!M234=""),"",IF(AND(原始資料!L234&lt;&gt;"",原始資料!M234=原始資料!L234),N(J234)+1,1))</f>
        <v/>
      </c>
      <c r="L234" s="6">
        <f>IF(OR(原始資料!$A234="",11&gt;設定!$B$3,原始資料!N234=""),"",IF(AND(原始資料!M234&lt;&gt;"",原始資料!N234=原始資料!M234),N(K234)+1,1))</f>
        <v/>
      </c>
      <c r="M234" s="6">
        <f>IF(OR(原始資料!$A234="",12&gt;設定!$B$3,原始資料!O234=""),"",IF(AND(原始資料!N234&lt;&gt;"",原始資料!O234=原始資料!N234),N(L234)+1,1))</f>
        <v/>
      </c>
      <c r="N234" s="6">
        <f>IF(OR(原始資料!$A234="",13&gt;設定!$B$3,原始資料!P234=""),"",IF(AND(原始資料!O234&lt;&gt;"",原始資料!P234=原始資料!O234),N(M234)+1,1))</f>
        <v/>
      </c>
      <c r="O234" s="6">
        <f>IF(OR(原始資料!$A234="",14&gt;設定!$B$3,原始資料!Q234=""),"",IF(AND(原始資料!P234&lt;&gt;"",原始資料!Q234=原始資料!P234),N(N234)+1,1))</f>
        <v/>
      </c>
      <c r="P234" s="6">
        <f>IF(OR(原始資料!$A234="",15&gt;設定!$B$3,原始資料!R234=""),"",IF(AND(原始資料!Q234&lt;&gt;"",原始資料!R234=原始資料!Q234),N(O234)+1,1))</f>
        <v/>
      </c>
      <c r="Q234" s="6">
        <f>IF(OR(原始資料!$A234="",16&gt;設定!$B$3,原始資料!S234=""),"",IF(AND(原始資料!R234&lt;&gt;"",原始資料!S234=原始資料!R234),N(P234)+1,1))</f>
        <v/>
      </c>
      <c r="R234" s="6">
        <f>IF(OR(原始資料!$A234="",17&gt;設定!$B$3,原始資料!T234=""),"",IF(AND(原始資料!S234&lt;&gt;"",原始資料!T234=原始資料!S234),N(Q234)+1,1))</f>
        <v/>
      </c>
      <c r="S234" s="6">
        <f>IF(OR(原始資料!$A234="",18&gt;設定!$B$3,原始資料!U234=""),"",IF(AND(原始資料!T234&lt;&gt;"",原始資料!U234=原始資料!T234),N(R234)+1,1))</f>
        <v/>
      </c>
      <c r="T234" s="6">
        <f>IF(OR(原始資料!$A234="",19&gt;設定!$B$3,原始資料!V234=""),"",IF(AND(原始資料!U234&lt;&gt;"",原始資料!V234=原始資料!U234),N(S234)+1,1))</f>
        <v/>
      </c>
      <c r="U234" s="6">
        <f>IF(OR(原始資料!$A234="",20&gt;設定!$B$3,原始資料!W234=""),"",IF(AND(原始資料!V234&lt;&gt;"",原始資料!W234=原始資料!V234),N(T234)+1,1))</f>
        <v/>
      </c>
      <c r="V234" s="6">
        <f>IF(OR(原始資料!$A234="",21&gt;設定!$B$3,原始資料!X234=""),"",IF(AND(原始資料!W234&lt;&gt;"",原始資料!X234=原始資料!W234),N(U234)+1,1))</f>
        <v/>
      </c>
      <c r="W234" s="6">
        <f>IF(OR(原始資料!$A234="",22&gt;設定!$B$3,原始資料!Y234=""),"",IF(AND(原始資料!X234&lt;&gt;"",原始資料!Y234=原始資料!X234),N(V234)+1,1))</f>
        <v/>
      </c>
      <c r="X234" s="6">
        <f>IF(OR(原始資料!$A234="",23&gt;設定!$B$3,原始資料!Z234=""),"",IF(AND(原始資料!Y234&lt;&gt;"",原始資料!Z234=原始資料!Y234),N(W234)+1,1))</f>
        <v/>
      </c>
      <c r="Y234" s="6">
        <f>IF(OR(原始資料!$A234="",24&gt;設定!$B$3,原始資料!AA234=""),"",IF(AND(原始資料!Z234&lt;&gt;"",原始資料!AA234=原始資料!Z234),N(X234)+1,1))</f>
        <v/>
      </c>
      <c r="Z234" s="6">
        <f>IF(OR(原始資料!$A234="",25&gt;設定!$B$3,原始資料!AB234=""),"",IF(AND(原始資料!AA234&lt;&gt;"",原始資料!AB234=原始資料!AA234),N(Y234)+1,1))</f>
        <v/>
      </c>
      <c r="AA234" s="6">
        <f>IF(OR(原始資料!$A234="",26&gt;設定!$B$3,原始資料!AC234=""),"",IF(AND(原始資料!AB234&lt;&gt;"",原始資料!AC234=原始資料!AB234),N(Z234)+1,1))</f>
        <v/>
      </c>
      <c r="AB234" s="6">
        <f>IF(OR(原始資料!$A234="",27&gt;設定!$B$3,原始資料!AD234=""),"",IF(AND(原始資料!AC234&lt;&gt;"",原始資料!AD234=原始資料!AC234),N(AA234)+1,1))</f>
        <v/>
      </c>
      <c r="AC234" s="6">
        <f>IF(OR(原始資料!$A234="",28&gt;設定!$B$3,原始資料!AE234=""),"",IF(AND(原始資料!AD234&lt;&gt;"",原始資料!AE234=原始資料!AD234),N(AB234)+1,1))</f>
        <v/>
      </c>
      <c r="AD234" s="6">
        <f>IF(OR(原始資料!$A234="",29&gt;設定!$B$3,原始資料!AF234=""),"",IF(AND(原始資料!AE234&lt;&gt;"",原始資料!AF234=原始資料!AE234),N(AC234)+1,1))</f>
        <v/>
      </c>
      <c r="AE234" s="6">
        <f>IF(OR(原始資料!$A234="",30&gt;設定!$B$3,原始資料!AG234=""),"",IF(AND(原始資料!AF234&lt;&gt;"",原始資料!AG234=原始資料!AF234),N(AD234)+1,1))</f>
        <v/>
      </c>
      <c r="AF234" s="6">
        <f>IF(OR(原始資料!$A234="",31&gt;設定!$B$3,原始資料!AH234=""),"",IF(AND(原始資料!AG234&lt;&gt;"",原始資料!AH234=原始資料!AG234),N(AE234)+1,1))</f>
        <v/>
      </c>
      <c r="AG234" s="6">
        <f>IF(OR(原始資料!$A234="",32&gt;設定!$B$3,原始資料!AI234=""),"",IF(AND(原始資料!AH234&lt;&gt;"",原始資料!AI234=原始資料!AH234),N(AF234)+1,1))</f>
        <v/>
      </c>
      <c r="AH234" s="6">
        <f>IF(OR(原始資料!$A234="",33&gt;設定!$B$3,原始資料!AJ234=""),"",IF(AND(原始資料!AI234&lt;&gt;"",原始資料!AJ234=原始資料!AI234),N(AG234)+1,1))</f>
        <v/>
      </c>
      <c r="AI234" s="6">
        <f>IF(OR(原始資料!$A234="",34&gt;設定!$B$3,原始資料!AK234=""),"",IF(AND(原始資料!AJ234&lt;&gt;"",原始資料!AK234=原始資料!AJ234),N(AH234)+1,1))</f>
        <v/>
      </c>
      <c r="AJ234" s="6">
        <f>IF(OR(原始資料!$A234="",35&gt;設定!$B$3,原始資料!AL234=""),"",IF(AND(原始資料!AK234&lt;&gt;"",原始資料!AL234=原始資料!AK234),N(AI234)+1,1))</f>
        <v/>
      </c>
      <c r="AK234" s="6">
        <f>IF(OR(原始資料!$A234="",36&gt;設定!$B$3,原始資料!AM234=""),"",IF(AND(原始資料!AL234&lt;&gt;"",原始資料!AM234=原始資料!AL234),N(AJ234)+1,1))</f>
        <v/>
      </c>
      <c r="AL234" s="6">
        <f>IF(OR(原始資料!$A234="",37&gt;設定!$B$3,原始資料!AN234=""),"",IF(AND(原始資料!AM234&lt;&gt;"",原始資料!AN234=原始資料!AM234),N(AK234)+1,1))</f>
        <v/>
      </c>
      <c r="AM234" s="6">
        <f>IF(OR(原始資料!$A234="",38&gt;設定!$B$3,原始資料!AO234=""),"",IF(AND(原始資料!AN234&lt;&gt;"",原始資料!AO234=原始資料!AN234),N(AL234)+1,1))</f>
        <v/>
      </c>
      <c r="AN234" s="6">
        <f>IF(OR(原始資料!$A234="",39&gt;設定!$B$3,原始資料!AP234=""),"",IF(AND(原始資料!AO234&lt;&gt;"",原始資料!AP234=原始資料!AO234),N(AM234)+1,1))</f>
        <v/>
      </c>
      <c r="AO234" s="6">
        <f>IF(OR(原始資料!$A234="",40&gt;設定!$B$3,原始資料!AQ234=""),"",IF(AND(原始資料!AP234&lt;&gt;"",原始資料!AQ234=原始資料!AP234),N(AN234)+1,1))</f>
        <v/>
      </c>
      <c r="AP234" s="6">
        <f>IF(OR(原始資料!$A234="",41&gt;設定!$B$3,原始資料!AR234=""),"",IF(AND(原始資料!AQ234&lt;&gt;"",原始資料!AR234=原始資料!AQ234),N(AO234)+1,1))</f>
        <v/>
      </c>
      <c r="AQ234" s="6">
        <f>IF(OR(原始資料!$A234="",42&gt;設定!$B$3,原始資料!AS234=""),"",IF(AND(原始資料!AR234&lt;&gt;"",原始資料!AS234=原始資料!AR234),N(AP234)+1,1))</f>
        <v/>
      </c>
      <c r="AR234" s="6">
        <f>IF(OR(原始資料!$A234="",43&gt;設定!$B$3,原始資料!AT234=""),"",IF(AND(原始資料!AS234&lt;&gt;"",原始資料!AT234=原始資料!AS234),N(AQ234)+1,1))</f>
        <v/>
      </c>
      <c r="AS234" s="6">
        <f>IF(OR(原始資料!$A234="",44&gt;設定!$B$3,原始資料!AU234=""),"",IF(AND(原始資料!AT234&lt;&gt;"",原始資料!AU234=原始資料!AT234),N(AR234)+1,1))</f>
        <v/>
      </c>
      <c r="AT234" s="6">
        <f>IF(OR(原始資料!$A234="",45&gt;設定!$B$3,原始資料!AV234=""),"",IF(AND(原始資料!AU234&lt;&gt;"",原始資料!AV234=原始資料!AU234),N(AS234)+1,1))</f>
        <v/>
      </c>
      <c r="AU234" s="6">
        <f>IF(OR(原始資料!$A234="",46&gt;設定!$B$3,原始資料!AW234=""),"",IF(AND(原始資料!AV234&lt;&gt;"",原始資料!AW234=原始資料!AV234),N(AT234)+1,1))</f>
        <v/>
      </c>
      <c r="AV234" s="6">
        <f>IF(OR(原始資料!$A234="",47&gt;設定!$B$3,原始資料!AX234=""),"",IF(AND(原始資料!AW234&lt;&gt;"",原始資料!AX234=原始資料!AW234),N(AU234)+1,1))</f>
        <v/>
      </c>
      <c r="AW234" s="6">
        <f>IF(OR(原始資料!$A234="",48&gt;設定!$B$3,原始資料!AY234=""),"",IF(AND(原始資料!AX234&lt;&gt;"",原始資料!AY234=原始資料!AX234),N(AV234)+1,1))</f>
        <v/>
      </c>
      <c r="AX234" s="6">
        <f>IF(OR(原始資料!$A234="",49&gt;設定!$B$3,原始資料!AZ234=""),"",IF(AND(原始資料!AY234&lt;&gt;"",原始資料!AZ234=原始資料!AY234),N(AW234)+1,1))</f>
        <v/>
      </c>
      <c r="AY234" s="6">
        <f>IF(OR(原始資料!$A234="",50&gt;設定!$B$3,原始資料!BA234=""),"",IF(AND(原始資料!AZ234&lt;&gt;"",原始資料!BA234=原始資料!AZ234),N(AX234)+1,1))</f>
        <v/>
      </c>
      <c r="AZ234" s="6">
        <f>IF(OR(原始資料!$A234="",51&gt;設定!$B$3,原始資料!BB234=""),"",IF(AND(原始資料!BA234&lt;&gt;"",原始資料!BB234=原始資料!BA234),N(AY234)+1,1))</f>
        <v/>
      </c>
      <c r="BA234" s="6">
        <f>IF(OR(原始資料!$A234="",52&gt;設定!$B$3,原始資料!BC234=""),"",IF(AND(原始資料!BB234&lt;&gt;"",原始資料!BC234=原始資料!BB234),N(AZ234)+1,1))</f>
        <v/>
      </c>
      <c r="BB234" s="6">
        <f>IF(OR(原始資料!$A234="",53&gt;設定!$B$3,原始資料!BD234=""),"",IF(AND(原始資料!BC234&lt;&gt;"",原始資料!BD234=原始資料!BC234),N(BA234)+1,1))</f>
        <v/>
      </c>
      <c r="BC234" s="6">
        <f>IF(OR(原始資料!$A234="",54&gt;設定!$B$3,原始資料!BE234=""),"",IF(AND(原始資料!BD234&lt;&gt;"",原始資料!BE234=原始資料!BD234),N(BB234)+1,1))</f>
        <v/>
      </c>
      <c r="BD234" s="6">
        <f>IF(OR(原始資料!$A234="",55&gt;設定!$B$3,原始資料!BF234=""),"",IF(AND(原始資料!BE234&lt;&gt;"",原始資料!BF234=原始資料!BE234),N(BC234)+1,1))</f>
        <v/>
      </c>
      <c r="BE234" s="6">
        <f>IF(OR(原始資料!$A234="",56&gt;設定!$B$3,原始資料!BG234=""),"",IF(AND(原始資料!BF234&lt;&gt;"",原始資料!BG234=原始資料!BF234),N(BD234)+1,1))</f>
        <v/>
      </c>
      <c r="BF234" s="6">
        <f>IF(OR(原始資料!$A234="",57&gt;設定!$B$3,原始資料!BH234=""),"",IF(AND(原始資料!BG234&lt;&gt;"",原始資料!BH234=原始資料!BG234),N(BE234)+1,1))</f>
        <v/>
      </c>
      <c r="BG234" s="6">
        <f>IF(OR(原始資料!$A234="",58&gt;設定!$B$3,原始資料!BI234=""),"",IF(AND(原始資料!BH234&lt;&gt;"",原始資料!BI234=原始資料!BH234),N(BF234)+1,1))</f>
        <v/>
      </c>
      <c r="BH234" s="6">
        <f>IF(OR(原始資料!$A234="",59&gt;設定!$B$3,原始資料!BJ234=""),"",IF(AND(原始資料!BI234&lt;&gt;"",原始資料!BJ234=原始資料!BI234),N(BG234)+1,1))</f>
        <v/>
      </c>
      <c r="BI234" s="6">
        <f>IF(OR(原始資料!$A234="",60&gt;設定!$B$3,原始資料!BK234=""),"",IF(AND(原始資料!BJ234&lt;&gt;"",原始資料!BK234=原始資料!BJ234),N(BH234)+1,1))</f>
        <v/>
      </c>
    </row>
    <row r="235">
      <c r="A235" s="6">
        <f>IF(原始資料!$A235="","",原始資料!$A235)</f>
        <v/>
      </c>
      <c r="B235" s="6">
        <f>IF(OR(原始資料!$A235="",1&gt;設定!$B$3,原始資料!D235=""),"",1)</f>
        <v/>
      </c>
      <c r="C235" s="6">
        <f>IF(OR(原始資料!$A235="",2&gt;設定!$B$3,原始資料!E235=""),"",IF(AND(原始資料!D235&lt;&gt;"",原始資料!E235=原始資料!D235),N(B235)+1,1))</f>
        <v/>
      </c>
      <c r="D235" s="6">
        <f>IF(OR(原始資料!$A235="",3&gt;設定!$B$3,原始資料!F235=""),"",IF(AND(原始資料!E235&lt;&gt;"",原始資料!F235=原始資料!E235),N(C235)+1,1))</f>
        <v/>
      </c>
      <c r="E235" s="6">
        <f>IF(OR(原始資料!$A235="",4&gt;設定!$B$3,原始資料!G235=""),"",IF(AND(原始資料!F235&lt;&gt;"",原始資料!G235=原始資料!F235),N(D235)+1,1))</f>
        <v/>
      </c>
      <c r="F235" s="6">
        <f>IF(OR(原始資料!$A235="",5&gt;設定!$B$3,原始資料!H235=""),"",IF(AND(原始資料!G235&lt;&gt;"",原始資料!H235=原始資料!G235),N(E235)+1,1))</f>
        <v/>
      </c>
      <c r="G235" s="6">
        <f>IF(OR(原始資料!$A235="",6&gt;設定!$B$3,原始資料!I235=""),"",IF(AND(原始資料!H235&lt;&gt;"",原始資料!I235=原始資料!H235),N(F235)+1,1))</f>
        <v/>
      </c>
      <c r="H235" s="6">
        <f>IF(OR(原始資料!$A235="",7&gt;設定!$B$3,原始資料!J235=""),"",IF(AND(原始資料!I235&lt;&gt;"",原始資料!J235=原始資料!I235),N(G235)+1,1))</f>
        <v/>
      </c>
      <c r="I235" s="6">
        <f>IF(OR(原始資料!$A235="",8&gt;設定!$B$3,原始資料!K235=""),"",IF(AND(原始資料!J235&lt;&gt;"",原始資料!K235=原始資料!J235),N(H235)+1,1))</f>
        <v/>
      </c>
      <c r="J235" s="6">
        <f>IF(OR(原始資料!$A235="",9&gt;設定!$B$3,原始資料!L235=""),"",IF(AND(原始資料!K235&lt;&gt;"",原始資料!L235=原始資料!K235),N(I235)+1,1))</f>
        <v/>
      </c>
      <c r="K235" s="6">
        <f>IF(OR(原始資料!$A235="",10&gt;設定!$B$3,原始資料!M235=""),"",IF(AND(原始資料!L235&lt;&gt;"",原始資料!M235=原始資料!L235),N(J235)+1,1))</f>
        <v/>
      </c>
      <c r="L235" s="6">
        <f>IF(OR(原始資料!$A235="",11&gt;設定!$B$3,原始資料!N235=""),"",IF(AND(原始資料!M235&lt;&gt;"",原始資料!N235=原始資料!M235),N(K235)+1,1))</f>
        <v/>
      </c>
      <c r="M235" s="6">
        <f>IF(OR(原始資料!$A235="",12&gt;設定!$B$3,原始資料!O235=""),"",IF(AND(原始資料!N235&lt;&gt;"",原始資料!O235=原始資料!N235),N(L235)+1,1))</f>
        <v/>
      </c>
      <c r="N235" s="6">
        <f>IF(OR(原始資料!$A235="",13&gt;設定!$B$3,原始資料!P235=""),"",IF(AND(原始資料!O235&lt;&gt;"",原始資料!P235=原始資料!O235),N(M235)+1,1))</f>
        <v/>
      </c>
      <c r="O235" s="6">
        <f>IF(OR(原始資料!$A235="",14&gt;設定!$B$3,原始資料!Q235=""),"",IF(AND(原始資料!P235&lt;&gt;"",原始資料!Q235=原始資料!P235),N(N235)+1,1))</f>
        <v/>
      </c>
      <c r="P235" s="6">
        <f>IF(OR(原始資料!$A235="",15&gt;設定!$B$3,原始資料!R235=""),"",IF(AND(原始資料!Q235&lt;&gt;"",原始資料!R235=原始資料!Q235),N(O235)+1,1))</f>
        <v/>
      </c>
      <c r="Q235" s="6">
        <f>IF(OR(原始資料!$A235="",16&gt;設定!$B$3,原始資料!S235=""),"",IF(AND(原始資料!R235&lt;&gt;"",原始資料!S235=原始資料!R235),N(P235)+1,1))</f>
        <v/>
      </c>
      <c r="R235" s="6">
        <f>IF(OR(原始資料!$A235="",17&gt;設定!$B$3,原始資料!T235=""),"",IF(AND(原始資料!S235&lt;&gt;"",原始資料!T235=原始資料!S235),N(Q235)+1,1))</f>
        <v/>
      </c>
      <c r="S235" s="6">
        <f>IF(OR(原始資料!$A235="",18&gt;設定!$B$3,原始資料!U235=""),"",IF(AND(原始資料!T235&lt;&gt;"",原始資料!U235=原始資料!T235),N(R235)+1,1))</f>
        <v/>
      </c>
      <c r="T235" s="6">
        <f>IF(OR(原始資料!$A235="",19&gt;設定!$B$3,原始資料!V235=""),"",IF(AND(原始資料!U235&lt;&gt;"",原始資料!V235=原始資料!U235),N(S235)+1,1))</f>
        <v/>
      </c>
      <c r="U235" s="6">
        <f>IF(OR(原始資料!$A235="",20&gt;設定!$B$3,原始資料!W235=""),"",IF(AND(原始資料!V235&lt;&gt;"",原始資料!W235=原始資料!V235),N(T235)+1,1))</f>
        <v/>
      </c>
      <c r="V235" s="6">
        <f>IF(OR(原始資料!$A235="",21&gt;設定!$B$3,原始資料!X235=""),"",IF(AND(原始資料!W235&lt;&gt;"",原始資料!X235=原始資料!W235),N(U235)+1,1))</f>
        <v/>
      </c>
      <c r="W235" s="6">
        <f>IF(OR(原始資料!$A235="",22&gt;設定!$B$3,原始資料!Y235=""),"",IF(AND(原始資料!X235&lt;&gt;"",原始資料!Y235=原始資料!X235),N(V235)+1,1))</f>
        <v/>
      </c>
      <c r="X235" s="6">
        <f>IF(OR(原始資料!$A235="",23&gt;設定!$B$3,原始資料!Z235=""),"",IF(AND(原始資料!Y235&lt;&gt;"",原始資料!Z235=原始資料!Y235),N(W235)+1,1))</f>
        <v/>
      </c>
      <c r="Y235" s="6">
        <f>IF(OR(原始資料!$A235="",24&gt;設定!$B$3,原始資料!AA235=""),"",IF(AND(原始資料!Z235&lt;&gt;"",原始資料!AA235=原始資料!Z235),N(X235)+1,1))</f>
        <v/>
      </c>
      <c r="Z235" s="6">
        <f>IF(OR(原始資料!$A235="",25&gt;設定!$B$3,原始資料!AB235=""),"",IF(AND(原始資料!AA235&lt;&gt;"",原始資料!AB235=原始資料!AA235),N(Y235)+1,1))</f>
        <v/>
      </c>
      <c r="AA235" s="6">
        <f>IF(OR(原始資料!$A235="",26&gt;設定!$B$3,原始資料!AC235=""),"",IF(AND(原始資料!AB235&lt;&gt;"",原始資料!AC235=原始資料!AB235),N(Z235)+1,1))</f>
        <v/>
      </c>
      <c r="AB235" s="6">
        <f>IF(OR(原始資料!$A235="",27&gt;設定!$B$3,原始資料!AD235=""),"",IF(AND(原始資料!AC235&lt;&gt;"",原始資料!AD235=原始資料!AC235),N(AA235)+1,1))</f>
        <v/>
      </c>
      <c r="AC235" s="6">
        <f>IF(OR(原始資料!$A235="",28&gt;設定!$B$3,原始資料!AE235=""),"",IF(AND(原始資料!AD235&lt;&gt;"",原始資料!AE235=原始資料!AD235),N(AB235)+1,1))</f>
        <v/>
      </c>
      <c r="AD235" s="6">
        <f>IF(OR(原始資料!$A235="",29&gt;設定!$B$3,原始資料!AF235=""),"",IF(AND(原始資料!AE235&lt;&gt;"",原始資料!AF235=原始資料!AE235),N(AC235)+1,1))</f>
        <v/>
      </c>
      <c r="AE235" s="6">
        <f>IF(OR(原始資料!$A235="",30&gt;設定!$B$3,原始資料!AG235=""),"",IF(AND(原始資料!AF235&lt;&gt;"",原始資料!AG235=原始資料!AF235),N(AD235)+1,1))</f>
        <v/>
      </c>
      <c r="AF235" s="6">
        <f>IF(OR(原始資料!$A235="",31&gt;設定!$B$3,原始資料!AH235=""),"",IF(AND(原始資料!AG235&lt;&gt;"",原始資料!AH235=原始資料!AG235),N(AE235)+1,1))</f>
        <v/>
      </c>
      <c r="AG235" s="6">
        <f>IF(OR(原始資料!$A235="",32&gt;設定!$B$3,原始資料!AI235=""),"",IF(AND(原始資料!AH235&lt;&gt;"",原始資料!AI235=原始資料!AH235),N(AF235)+1,1))</f>
        <v/>
      </c>
      <c r="AH235" s="6">
        <f>IF(OR(原始資料!$A235="",33&gt;設定!$B$3,原始資料!AJ235=""),"",IF(AND(原始資料!AI235&lt;&gt;"",原始資料!AJ235=原始資料!AI235),N(AG235)+1,1))</f>
        <v/>
      </c>
      <c r="AI235" s="6">
        <f>IF(OR(原始資料!$A235="",34&gt;設定!$B$3,原始資料!AK235=""),"",IF(AND(原始資料!AJ235&lt;&gt;"",原始資料!AK235=原始資料!AJ235),N(AH235)+1,1))</f>
        <v/>
      </c>
      <c r="AJ235" s="6">
        <f>IF(OR(原始資料!$A235="",35&gt;設定!$B$3,原始資料!AL235=""),"",IF(AND(原始資料!AK235&lt;&gt;"",原始資料!AL235=原始資料!AK235),N(AI235)+1,1))</f>
        <v/>
      </c>
      <c r="AK235" s="6">
        <f>IF(OR(原始資料!$A235="",36&gt;設定!$B$3,原始資料!AM235=""),"",IF(AND(原始資料!AL235&lt;&gt;"",原始資料!AM235=原始資料!AL235),N(AJ235)+1,1))</f>
        <v/>
      </c>
      <c r="AL235" s="6">
        <f>IF(OR(原始資料!$A235="",37&gt;設定!$B$3,原始資料!AN235=""),"",IF(AND(原始資料!AM235&lt;&gt;"",原始資料!AN235=原始資料!AM235),N(AK235)+1,1))</f>
        <v/>
      </c>
      <c r="AM235" s="6">
        <f>IF(OR(原始資料!$A235="",38&gt;設定!$B$3,原始資料!AO235=""),"",IF(AND(原始資料!AN235&lt;&gt;"",原始資料!AO235=原始資料!AN235),N(AL235)+1,1))</f>
        <v/>
      </c>
      <c r="AN235" s="6">
        <f>IF(OR(原始資料!$A235="",39&gt;設定!$B$3,原始資料!AP235=""),"",IF(AND(原始資料!AO235&lt;&gt;"",原始資料!AP235=原始資料!AO235),N(AM235)+1,1))</f>
        <v/>
      </c>
      <c r="AO235" s="6">
        <f>IF(OR(原始資料!$A235="",40&gt;設定!$B$3,原始資料!AQ235=""),"",IF(AND(原始資料!AP235&lt;&gt;"",原始資料!AQ235=原始資料!AP235),N(AN235)+1,1))</f>
        <v/>
      </c>
      <c r="AP235" s="6">
        <f>IF(OR(原始資料!$A235="",41&gt;設定!$B$3,原始資料!AR235=""),"",IF(AND(原始資料!AQ235&lt;&gt;"",原始資料!AR235=原始資料!AQ235),N(AO235)+1,1))</f>
        <v/>
      </c>
      <c r="AQ235" s="6">
        <f>IF(OR(原始資料!$A235="",42&gt;設定!$B$3,原始資料!AS235=""),"",IF(AND(原始資料!AR235&lt;&gt;"",原始資料!AS235=原始資料!AR235),N(AP235)+1,1))</f>
        <v/>
      </c>
      <c r="AR235" s="6">
        <f>IF(OR(原始資料!$A235="",43&gt;設定!$B$3,原始資料!AT235=""),"",IF(AND(原始資料!AS235&lt;&gt;"",原始資料!AT235=原始資料!AS235),N(AQ235)+1,1))</f>
        <v/>
      </c>
      <c r="AS235" s="6">
        <f>IF(OR(原始資料!$A235="",44&gt;設定!$B$3,原始資料!AU235=""),"",IF(AND(原始資料!AT235&lt;&gt;"",原始資料!AU235=原始資料!AT235),N(AR235)+1,1))</f>
        <v/>
      </c>
      <c r="AT235" s="6">
        <f>IF(OR(原始資料!$A235="",45&gt;設定!$B$3,原始資料!AV235=""),"",IF(AND(原始資料!AU235&lt;&gt;"",原始資料!AV235=原始資料!AU235),N(AS235)+1,1))</f>
        <v/>
      </c>
      <c r="AU235" s="6">
        <f>IF(OR(原始資料!$A235="",46&gt;設定!$B$3,原始資料!AW235=""),"",IF(AND(原始資料!AV235&lt;&gt;"",原始資料!AW235=原始資料!AV235),N(AT235)+1,1))</f>
        <v/>
      </c>
      <c r="AV235" s="6">
        <f>IF(OR(原始資料!$A235="",47&gt;設定!$B$3,原始資料!AX235=""),"",IF(AND(原始資料!AW235&lt;&gt;"",原始資料!AX235=原始資料!AW235),N(AU235)+1,1))</f>
        <v/>
      </c>
      <c r="AW235" s="6">
        <f>IF(OR(原始資料!$A235="",48&gt;設定!$B$3,原始資料!AY235=""),"",IF(AND(原始資料!AX235&lt;&gt;"",原始資料!AY235=原始資料!AX235),N(AV235)+1,1))</f>
        <v/>
      </c>
      <c r="AX235" s="6">
        <f>IF(OR(原始資料!$A235="",49&gt;設定!$B$3,原始資料!AZ235=""),"",IF(AND(原始資料!AY235&lt;&gt;"",原始資料!AZ235=原始資料!AY235),N(AW235)+1,1))</f>
        <v/>
      </c>
      <c r="AY235" s="6">
        <f>IF(OR(原始資料!$A235="",50&gt;設定!$B$3,原始資料!BA235=""),"",IF(AND(原始資料!AZ235&lt;&gt;"",原始資料!BA235=原始資料!AZ235),N(AX235)+1,1))</f>
        <v/>
      </c>
      <c r="AZ235" s="6">
        <f>IF(OR(原始資料!$A235="",51&gt;設定!$B$3,原始資料!BB235=""),"",IF(AND(原始資料!BA235&lt;&gt;"",原始資料!BB235=原始資料!BA235),N(AY235)+1,1))</f>
        <v/>
      </c>
      <c r="BA235" s="6">
        <f>IF(OR(原始資料!$A235="",52&gt;設定!$B$3,原始資料!BC235=""),"",IF(AND(原始資料!BB235&lt;&gt;"",原始資料!BC235=原始資料!BB235),N(AZ235)+1,1))</f>
        <v/>
      </c>
      <c r="BB235" s="6">
        <f>IF(OR(原始資料!$A235="",53&gt;設定!$B$3,原始資料!BD235=""),"",IF(AND(原始資料!BC235&lt;&gt;"",原始資料!BD235=原始資料!BC235),N(BA235)+1,1))</f>
        <v/>
      </c>
      <c r="BC235" s="6">
        <f>IF(OR(原始資料!$A235="",54&gt;設定!$B$3,原始資料!BE235=""),"",IF(AND(原始資料!BD235&lt;&gt;"",原始資料!BE235=原始資料!BD235),N(BB235)+1,1))</f>
        <v/>
      </c>
      <c r="BD235" s="6">
        <f>IF(OR(原始資料!$A235="",55&gt;設定!$B$3,原始資料!BF235=""),"",IF(AND(原始資料!BE235&lt;&gt;"",原始資料!BF235=原始資料!BE235),N(BC235)+1,1))</f>
        <v/>
      </c>
      <c r="BE235" s="6">
        <f>IF(OR(原始資料!$A235="",56&gt;設定!$B$3,原始資料!BG235=""),"",IF(AND(原始資料!BF235&lt;&gt;"",原始資料!BG235=原始資料!BF235),N(BD235)+1,1))</f>
        <v/>
      </c>
      <c r="BF235" s="6">
        <f>IF(OR(原始資料!$A235="",57&gt;設定!$B$3,原始資料!BH235=""),"",IF(AND(原始資料!BG235&lt;&gt;"",原始資料!BH235=原始資料!BG235),N(BE235)+1,1))</f>
        <v/>
      </c>
      <c r="BG235" s="6">
        <f>IF(OR(原始資料!$A235="",58&gt;設定!$B$3,原始資料!BI235=""),"",IF(AND(原始資料!BH235&lt;&gt;"",原始資料!BI235=原始資料!BH235),N(BF235)+1,1))</f>
        <v/>
      </c>
      <c r="BH235" s="6">
        <f>IF(OR(原始資料!$A235="",59&gt;設定!$B$3,原始資料!BJ235=""),"",IF(AND(原始資料!BI235&lt;&gt;"",原始資料!BJ235=原始資料!BI235),N(BG235)+1,1))</f>
        <v/>
      </c>
      <c r="BI235" s="6">
        <f>IF(OR(原始資料!$A235="",60&gt;設定!$B$3,原始資料!BK235=""),"",IF(AND(原始資料!BJ235&lt;&gt;"",原始資料!BK235=原始資料!BJ235),N(BH235)+1,1))</f>
        <v/>
      </c>
    </row>
    <row r="236">
      <c r="A236" s="6">
        <f>IF(原始資料!$A236="","",原始資料!$A236)</f>
        <v/>
      </c>
      <c r="B236" s="6">
        <f>IF(OR(原始資料!$A236="",1&gt;設定!$B$3,原始資料!D236=""),"",1)</f>
        <v/>
      </c>
      <c r="C236" s="6">
        <f>IF(OR(原始資料!$A236="",2&gt;設定!$B$3,原始資料!E236=""),"",IF(AND(原始資料!D236&lt;&gt;"",原始資料!E236=原始資料!D236),N(B236)+1,1))</f>
        <v/>
      </c>
      <c r="D236" s="6">
        <f>IF(OR(原始資料!$A236="",3&gt;設定!$B$3,原始資料!F236=""),"",IF(AND(原始資料!E236&lt;&gt;"",原始資料!F236=原始資料!E236),N(C236)+1,1))</f>
        <v/>
      </c>
      <c r="E236" s="6">
        <f>IF(OR(原始資料!$A236="",4&gt;設定!$B$3,原始資料!G236=""),"",IF(AND(原始資料!F236&lt;&gt;"",原始資料!G236=原始資料!F236),N(D236)+1,1))</f>
        <v/>
      </c>
      <c r="F236" s="6">
        <f>IF(OR(原始資料!$A236="",5&gt;設定!$B$3,原始資料!H236=""),"",IF(AND(原始資料!G236&lt;&gt;"",原始資料!H236=原始資料!G236),N(E236)+1,1))</f>
        <v/>
      </c>
      <c r="G236" s="6">
        <f>IF(OR(原始資料!$A236="",6&gt;設定!$B$3,原始資料!I236=""),"",IF(AND(原始資料!H236&lt;&gt;"",原始資料!I236=原始資料!H236),N(F236)+1,1))</f>
        <v/>
      </c>
      <c r="H236" s="6">
        <f>IF(OR(原始資料!$A236="",7&gt;設定!$B$3,原始資料!J236=""),"",IF(AND(原始資料!I236&lt;&gt;"",原始資料!J236=原始資料!I236),N(G236)+1,1))</f>
        <v/>
      </c>
      <c r="I236" s="6">
        <f>IF(OR(原始資料!$A236="",8&gt;設定!$B$3,原始資料!K236=""),"",IF(AND(原始資料!J236&lt;&gt;"",原始資料!K236=原始資料!J236),N(H236)+1,1))</f>
        <v/>
      </c>
      <c r="J236" s="6">
        <f>IF(OR(原始資料!$A236="",9&gt;設定!$B$3,原始資料!L236=""),"",IF(AND(原始資料!K236&lt;&gt;"",原始資料!L236=原始資料!K236),N(I236)+1,1))</f>
        <v/>
      </c>
      <c r="K236" s="6">
        <f>IF(OR(原始資料!$A236="",10&gt;設定!$B$3,原始資料!M236=""),"",IF(AND(原始資料!L236&lt;&gt;"",原始資料!M236=原始資料!L236),N(J236)+1,1))</f>
        <v/>
      </c>
      <c r="L236" s="6">
        <f>IF(OR(原始資料!$A236="",11&gt;設定!$B$3,原始資料!N236=""),"",IF(AND(原始資料!M236&lt;&gt;"",原始資料!N236=原始資料!M236),N(K236)+1,1))</f>
        <v/>
      </c>
      <c r="M236" s="6">
        <f>IF(OR(原始資料!$A236="",12&gt;設定!$B$3,原始資料!O236=""),"",IF(AND(原始資料!N236&lt;&gt;"",原始資料!O236=原始資料!N236),N(L236)+1,1))</f>
        <v/>
      </c>
      <c r="N236" s="6">
        <f>IF(OR(原始資料!$A236="",13&gt;設定!$B$3,原始資料!P236=""),"",IF(AND(原始資料!O236&lt;&gt;"",原始資料!P236=原始資料!O236),N(M236)+1,1))</f>
        <v/>
      </c>
      <c r="O236" s="6">
        <f>IF(OR(原始資料!$A236="",14&gt;設定!$B$3,原始資料!Q236=""),"",IF(AND(原始資料!P236&lt;&gt;"",原始資料!Q236=原始資料!P236),N(N236)+1,1))</f>
        <v/>
      </c>
      <c r="P236" s="6">
        <f>IF(OR(原始資料!$A236="",15&gt;設定!$B$3,原始資料!R236=""),"",IF(AND(原始資料!Q236&lt;&gt;"",原始資料!R236=原始資料!Q236),N(O236)+1,1))</f>
        <v/>
      </c>
      <c r="Q236" s="6">
        <f>IF(OR(原始資料!$A236="",16&gt;設定!$B$3,原始資料!S236=""),"",IF(AND(原始資料!R236&lt;&gt;"",原始資料!S236=原始資料!R236),N(P236)+1,1))</f>
        <v/>
      </c>
      <c r="R236" s="6">
        <f>IF(OR(原始資料!$A236="",17&gt;設定!$B$3,原始資料!T236=""),"",IF(AND(原始資料!S236&lt;&gt;"",原始資料!T236=原始資料!S236),N(Q236)+1,1))</f>
        <v/>
      </c>
      <c r="S236" s="6">
        <f>IF(OR(原始資料!$A236="",18&gt;設定!$B$3,原始資料!U236=""),"",IF(AND(原始資料!T236&lt;&gt;"",原始資料!U236=原始資料!T236),N(R236)+1,1))</f>
        <v/>
      </c>
      <c r="T236" s="6">
        <f>IF(OR(原始資料!$A236="",19&gt;設定!$B$3,原始資料!V236=""),"",IF(AND(原始資料!U236&lt;&gt;"",原始資料!V236=原始資料!U236),N(S236)+1,1))</f>
        <v/>
      </c>
      <c r="U236" s="6">
        <f>IF(OR(原始資料!$A236="",20&gt;設定!$B$3,原始資料!W236=""),"",IF(AND(原始資料!V236&lt;&gt;"",原始資料!W236=原始資料!V236),N(T236)+1,1))</f>
        <v/>
      </c>
      <c r="V236" s="6">
        <f>IF(OR(原始資料!$A236="",21&gt;設定!$B$3,原始資料!X236=""),"",IF(AND(原始資料!W236&lt;&gt;"",原始資料!X236=原始資料!W236),N(U236)+1,1))</f>
        <v/>
      </c>
      <c r="W236" s="6">
        <f>IF(OR(原始資料!$A236="",22&gt;設定!$B$3,原始資料!Y236=""),"",IF(AND(原始資料!X236&lt;&gt;"",原始資料!Y236=原始資料!X236),N(V236)+1,1))</f>
        <v/>
      </c>
      <c r="X236" s="6">
        <f>IF(OR(原始資料!$A236="",23&gt;設定!$B$3,原始資料!Z236=""),"",IF(AND(原始資料!Y236&lt;&gt;"",原始資料!Z236=原始資料!Y236),N(W236)+1,1))</f>
        <v/>
      </c>
      <c r="Y236" s="6">
        <f>IF(OR(原始資料!$A236="",24&gt;設定!$B$3,原始資料!AA236=""),"",IF(AND(原始資料!Z236&lt;&gt;"",原始資料!AA236=原始資料!Z236),N(X236)+1,1))</f>
        <v/>
      </c>
      <c r="Z236" s="6">
        <f>IF(OR(原始資料!$A236="",25&gt;設定!$B$3,原始資料!AB236=""),"",IF(AND(原始資料!AA236&lt;&gt;"",原始資料!AB236=原始資料!AA236),N(Y236)+1,1))</f>
        <v/>
      </c>
      <c r="AA236" s="6">
        <f>IF(OR(原始資料!$A236="",26&gt;設定!$B$3,原始資料!AC236=""),"",IF(AND(原始資料!AB236&lt;&gt;"",原始資料!AC236=原始資料!AB236),N(Z236)+1,1))</f>
        <v/>
      </c>
      <c r="AB236" s="6">
        <f>IF(OR(原始資料!$A236="",27&gt;設定!$B$3,原始資料!AD236=""),"",IF(AND(原始資料!AC236&lt;&gt;"",原始資料!AD236=原始資料!AC236),N(AA236)+1,1))</f>
        <v/>
      </c>
      <c r="AC236" s="6">
        <f>IF(OR(原始資料!$A236="",28&gt;設定!$B$3,原始資料!AE236=""),"",IF(AND(原始資料!AD236&lt;&gt;"",原始資料!AE236=原始資料!AD236),N(AB236)+1,1))</f>
        <v/>
      </c>
      <c r="AD236" s="6">
        <f>IF(OR(原始資料!$A236="",29&gt;設定!$B$3,原始資料!AF236=""),"",IF(AND(原始資料!AE236&lt;&gt;"",原始資料!AF236=原始資料!AE236),N(AC236)+1,1))</f>
        <v/>
      </c>
      <c r="AE236" s="6">
        <f>IF(OR(原始資料!$A236="",30&gt;設定!$B$3,原始資料!AG236=""),"",IF(AND(原始資料!AF236&lt;&gt;"",原始資料!AG236=原始資料!AF236),N(AD236)+1,1))</f>
        <v/>
      </c>
      <c r="AF236" s="6">
        <f>IF(OR(原始資料!$A236="",31&gt;設定!$B$3,原始資料!AH236=""),"",IF(AND(原始資料!AG236&lt;&gt;"",原始資料!AH236=原始資料!AG236),N(AE236)+1,1))</f>
        <v/>
      </c>
      <c r="AG236" s="6">
        <f>IF(OR(原始資料!$A236="",32&gt;設定!$B$3,原始資料!AI236=""),"",IF(AND(原始資料!AH236&lt;&gt;"",原始資料!AI236=原始資料!AH236),N(AF236)+1,1))</f>
        <v/>
      </c>
      <c r="AH236" s="6">
        <f>IF(OR(原始資料!$A236="",33&gt;設定!$B$3,原始資料!AJ236=""),"",IF(AND(原始資料!AI236&lt;&gt;"",原始資料!AJ236=原始資料!AI236),N(AG236)+1,1))</f>
        <v/>
      </c>
      <c r="AI236" s="6">
        <f>IF(OR(原始資料!$A236="",34&gt;設定!$B$3,原始資料!AK236=""),"",IF(AND(原始資料!AJ236&lt;&gt;"",原始資料!AK236=原始資料!AJ236),N(AH236)+1,1))</f>
        <v/>
      </c>
      <c r="AJ236" s="6">
        <f>IF(OR(原始資料!$A236="",35&gt;設定!$B$3,原始資料!AL236=""),"",IF(AND(原始資料!AK236&lt;&gt;"",原始資料!AL236=原始資料!AK236),N(AI236)+1,1))</f>
        <v/>
      </c>
      <c r="AK236" s="6">
        <f>IF(OR(原始資料!$A236="",36&gt;設定!$B$3,原始資料!AM236=""),"",IF(AND(原始資料!AL236&lt;&gt;"",原始資料!AM236=原始資料!AL236),N(AJ236)+1,1))</f>
        <v/>
      </c>
      <c r="AL236" s="6">
        <f>IF(OR(原始資料!$A236="",37&gt;設定!$B$3,原始資料!AN236=""),"",IF(AND(原始資料!AM236&lt;&gt;"",原始資料!AN236=原始資料!AM236),N(AK236)+1,1))</f>
        <v/>
      </c>
      <c r="AM236" s="6">
        <f>IF(OR(原始資料!$A236="",38&gt;設定!$B$3,原始資料!AO236=""),"",IF(AND(原始資料!AN236&lt;&gt;"",原始資料!AO236=原始資料!AN236),N(AL236)+1,1))</f>
        <v/>
      </c>
      <c r="AN236" s="6">
        <f>IF(OR(原始資料!$A236="",39&gt;設定!$B$3,原始資料!AP236=""),"",IF(AND(原始資料!AO236&lt;&gt;"",原始資料!AP236=原始資料!AO236),N(AM236)+1,1))</f>
        <v/>
      </c>
      <c r="AO236" s="6">
        <f>IF(OR(原始資料!$A236="",40&gt;設定!$B$3,原始資料!AQ236=""),"",IF(AND(原始資料!AP236&lt;&gt;"",原始資料!AQ236=原始資料!AP236),N(AN236)+1,1))</f>
        <v/>
      </c>
      <c r="AP236" s="6">
        <f>IF(OR(原始資料!$A236="",41&gt;設定!$B$3,原始資料!AR236=""),"",IF(AND(原始資料!AQ236&lt;&gt;"",原始資料!AR236=原始資料!AQ236),N(AO236)+1,1))</f>
        <v/>
      </c>
      <c r="AQ236" s="6">
        <f>IF(OR(原始資料!$A236="",42&gt;設定!$B$3,原始資料!AS236=""),"",IF(AND(原始資料!AR236&lt;&gt;"",原始資料!AS236=原始資料!AR236),N(AP236)+1,1))</f>
        <v/>
      </c>
      <c r="AR236" s="6">
        <f>IF(OR(原始資料!$A236="",43&gt;設定!$B$3,原始資料!AT236=""),"",IF(AND(原始資料!AS236&lt;&gt;"",原始資料!AT236=原始資料!AS236),N(AQ236)+1,1))</f>
        <v/>
      </c>
      <c r="AS236" s="6">
        <f>IF(OR(原始資料!$A236="",44&gt;設定!$B$3,原始資料!AU236=""),"",IF(AND(原始資料!AT236&lt;&gt;"",原始資料!AU236=原始資料!AT236),N(AR236)+1,1))</f>
        <v/>
      </c>
      <c r="AT236" s="6">
        <f>IF(OR(原始資料!$A236="",45&gt;設定!$B$3,原始資料!AV236=""),"",IF(AND(原始資料!AU236&lt;&gt;"",原始資料!AV236=原始資料!AU236),N(AS236)+1,1))</f>
        <v/>
      </c>
      <c r="AU236" s="6">
        <f>IF(OR(原始資料!$A236="",46&gt;設定!$B$3,原始資料!AW236=""),"",IF(AND(原始資料!AV236&lt;&gt;"",原始資料!AW236=原始資料!AV236),N(AT236)+1,1))</f>
        <v/>
      </c>
      <c r="AV236" s="6">
        <f>IF(OR(原始資料!$A236="",47&gt;設定!$B$3,原始資料!AX236=""),"",IF(AND(原始資料!AW236&lt;&gt;"",原始資料!AX236=原始資料!AW236),N(AU236)+1,1))</f>
        <v/>
      </c>
      <c r="AW236" s="6">
        <f>IF(OR(原始資料!$A236="",48&gt;設定!$B$3,原始資料!AY236=""),"",IF(AND(原始資料!AX236&lt;&gt;"",原始資料!AY236=原始資料!AX236),N(AV236)+1,1))</f>
        <v/>
      </c>
      <c r="AX236" s="6">
        <f>IF(OR(原始資料!$A236="",49&gt;設定!$B$3,原始資料!AZ236=""),"",IF(AND(原始資料!AY236&lt;&gt;"",原始資料!AZ236=原始資料!AY236),N(AW236)+1,1))</f>
        <v/>
      </c>
      <c r="AY236" s="6">
        <f>IF(OR(原始資料!$A236="",50&gt;設定!$B$3,原始資料!BA236=""),"",IF(AND(原始資料!AZ236&lt;&gt;"",原始資料!BA236=原始資料!AZ236),N(AX236)+1,1))</f>
        <v/>
      </c>
      <c r="AZ236" s="6">
        <f>IF(OR(原始資料!$A236="",51&gt;設定!$B$3,原始資料!BB236=""),"",IF(AND(原始資料!BA236&lt;&gt;"",原始資料!BB236=原始資料!BA236),N(AY236)+1,1))</f>
        <v/>
      </c>
      <c r="BA236" s="6">
        <f>IF(OR(原始資料!$A236="",52&gt;設定!$B$3,原始資料!BC236=""),"",IF(AND(原始資料!BB236&lt;&gt;"",原始資料!BC236=原始資料!BB236),N(AZ236)+1,1))</f>
        <v/>
      </c>
      <c r="BB236" s="6">
        <f>IF(OR(原始資料!$A236="",53&gt;設定!$B$3,原始資料!BD236=""),"",IF(AND(原始資料!BC236&lt;&gt;"",原始資料!BD236=原始資料!BC236),N(BA236)+1,1))</f>
        <v/>
      </c>
      <c r="BC236" s="6">
        <f>IF(OR(原始資料!$A236="",54&gt;設定!$B$3,原始資料!BE236=""),"",IF(AND(原始資料!BD236&lt;&gt;"",原始資料!BE236=原始資料!BD236),N(BB236)+1,1))</f>
        <v/>
      </c>
      <c r="BD236" s="6">
        <f>IF(OR(原始資料!$A236="",55&gt;設定!$B$3,原始資料!BF236=""),"",IF(AND(原始資料!BE236&lt;&gt;"",原始資料!BF236=原始資料!BE236),N(BC236)+1,1))</f>
        <v/>
      </c>
      <c r="BE236" s="6">
        <f>IF(OR(原始資料!$A236="",56&gt;設定!$B$3,原始資料!BG236=""),"",IF(AND(原始資料!BF236&lt;&gt;"",原始資料!BG236=原始資料!BF236),N(BD236)+1,1))</f>
        <v/>
      </c>
      <c r="BF236" s="6">
        <f>IF(OR(原始資料!$A236="",57&gt;設定!$B$3,原始資料!BH236=""),"",IF(AND(原始資料!BG236&lt;&gt;"",原始資料!BH236=原始資料!BG236),N(BE236)+1,1))</f>
        <v/>
      </c>
      <c r="BG236" s="6">
        <f>IF(OR(原始資料!$A236="",58&gt;設定!$B$3,原始資料!BI236=""),"",IF(AND(原始資料!BH236&lt;&gt;"",原始資料!BI236=原始資料!BH236),N(BF236)+1,1))</f>
        <v/>
      </c>
      <c r="BH236" s="6">
        <f>IF(OR(原始資料!$A236="",59&gt;設定!$B$3,原始資料!BJ236=""),"",IF(AND(原始資料!BI236&lt;&gt;"",原始資料!BJ236=原始資料!BI236),N(BG236)+1,1))</f>
        <v/>
      </c>
      <c r="BI236" s="6">
        <f>IF(OR(原始資料!$A236="",60&gt;設定!$B$3,原始資料!BK236=""),"",IF(AND(原始資料!BJ236&lt;&gt;"",原始資料!BK236=原始資料!BJ236),N(BH236)+1,1))</f>
        <v/>
      </c>
    </row>
    <row r="237">
      <c r="A237" s="6">
        <f>IF(原始資料!$A237="","",原始資料!$A237)</f>
        <v/>
      </c>
      <c r="B237" s="6">
        <f>IF(OR(原始資料!$A237="",1&gt;設定!$B$3,原始資料!D237=""),"",1)</f>
        <v/>
      </c>
      <c r="C237" s="6">
        <f>IF(OR(原始資料!$A237="",2&gt;設定!$B$3,原始資料!E237=""),"",IF(AND(原始資料!D237&lt;&gt;"",原始資料!E237=原始資料!D237),N(B237)+1,1))</f>
        <v/>
      </c>
      <c r="D237" s="6">
        <f>IF(OR(原始資料!$A237="",3&gt;設定!$B$3,原始資料!F237=""),"",IF(AND(原始資料!E237&lt;&gt;"",原始資料!F237=原始資料!E237),N(C237)+1,1))</f>
        <v/>
      </c>
      <c r="E237" s="6">
        <f>IF(OR(原始資料!$A237="",4&gt;設定!$B$3,原始資料!G237=""),"",IF(AND(原始資料!F237&lt;&gt;"",原始資料!G237=原始資料!F237),N(D237)+1,1))</f>
        <v/>
      </c>
      <c r="F237" s="6">
        <f>IF(OR(原始資料!$A237="",5&gt;設定!$B$3,原始資料!H237=""),"",IF(AND(原始資料!G237&lt;&gt;"",原始資料!H237=原始資料!G237),N(E237)+1,1))</f>
        <v/>
      </c>
      <c r="G237" s="6">
        <f>IF(OR(原始資料!$A237="",6&gt;設定!$B$3,原始資料!I237=""),"",IF(AND(原始資料!H237&lt;&gt;"",原始資料!I237=原始資料!H237),N(F237)+1,1))</f>
        <v/>
      </c>
      <c r="H237" s="6">
        <f>IF(OR(原始資料!$A237="",7&gt;設定!$B$3,原始資料!J237=""),"",IF(AND(原始資料!I237&lt;&gt;"",原始資料!J237=原始資料!I237),N(G237)+1,1))</f>
        <v/>
      </c>
      <c r="I237" s="6">
        <f>IF(OR(原始資料!$A237="",8&gt;設定!$B$3,原始資料!K237=""),"",IF(AND(原始資料!J237&lt;&gt;"",原始資料!K237=原始資料!J237),N(H237)+1,1))</f>
        <v/>
      </c>
      <c r="J237" s="6">
        <f>IF(OR(原始資料!$A237="",9&gt;設定!$B$3,原始資料!L237=""),"",IF(AND(原始資料!K237&lt;&gt;"",原始資料!L237=原始資料!K237),N(I237)+1,1))</f>
        <v/>
      </c>
      <c r="K237" s="6">
        <f>IF(OR(原始資料!$A237="",10&gt;設定!$B$3,原始資料!M237=""),"",IF(AND(原始資料!L237&lt;&gt;"",原始資料!M237=原始資料!L237),N(J237)+1,1))</f>
        <v/>
      </c>
      <c r="L237" s="6">
        <f>IF(OR(原始資料!$A237="",11&gt;設定!$B$3,原始資料!N237=""),"",IF(AND(原始資料!M237&lt;&gt;"",原始資料!N237=原始資料!M237),N(K237)+1,1))</f>
        <v/>
      </c>
      <c r="M237" s="6">
        <f>IF(OR(原始資料!$A237="",12&gt;設定!$B$3,原始資料!O237=""),"",IF(AND(原始資料!N237&lt;&gt;"",原始資料!O237=原始資料!N237),N(L237)+1,1))</f>
        <v/>
      </c>
      <c r="N237" s="6">
        <f>IF(OR(原始資料!$A237="",13&gt;設定!$B$3,原始資料!P237=""),"",IF(AND(原始資料!O237&lt;&gt;"",原始資料!P237=原始資料!O237),N(M237)+1,1))</f>
        <v/>
      </c>
      <c r="O237" s="6">
        <f>IF(OR(原始資料!$A237="",14&gt;設定!$B$3,原始資料!Q237=""),"",IF(AND(原始資料!P237&lt;&gt;"",原始資料!Q237=原始資料!P237),N(N237)+1,1))</f>
        <v/>
      </c>
      <c r="P237" s="6">
        <f>IF(OR(原始資料!$A237="",15&gt;設定!$B$3,原始資料!R237=""),"",IF(AND(原始資料!Q237&lt;&gt;"",原始資料!R237=原始資料!Q237),N(O237)+1,1))</f>
        <v/>
      </c>
      <c r="Q237" s="6">
        <f>IF(OR(原始資料!$A237="",16&gt;設定!$B$3,原始資料!S237=""),"",IF(AND(原始資料!R237&lt;&gt;"",原始資料!S237=原始資料!R237),N(P237)+1,1))</f>
        <v/>
      </c>
      <c r="R237" s="6">
        <f>IF(OR(原始資料!$A237="",17&gt;設定!$B$3,原始資料!T237=""),"",IF(AND(原始資料!S237&lt;&gt;"",原始資料!T237=原始資料!S237),N(Q237)+1,1))</f>
        <v/>
      </c>
      <c r="S237" s="6">
        <f>IF(OR(原始資料!$A237="",18&gt;設定!$B$3,原始資料!U237=""),"",IF(AND(原始資料!T237&lt;&gt;"",原始資料!U237=原始資料!T237),N(R237)+1,1))</f>
        <v/>
      </c>
      <c r="T237" s="6">
        <f>IF(OR(原始資料!$A237="",19&gt;設定!$B$3,原始資料!V237=""),"",IF(AND(原始資料!U237&lt;&gt;"",原始資料!V237=原始資料!U237),N(S237)+1,1))</f>
        <v/>
      </c>
      <c r="U237" s="6">
        <f>IF(OR(原始資料!$A237="",20&gt;設定!$B$3,原始資料!W237=""),"",IF(AND(原始資料!V237&lt;&gt;"",原始資料!W237=原始資料!V237),N(T237)+1,1))</f>
        <v/>
      </c>
      <c r="V237" s="6">
        <f>IF(OR(原始資料!$A237="",21&gt;設定!$B$3,原始資料!X237=""),"",IF(AND(原始資料!W237&lt;&gt;"",原始資料!X237=原始資料!W237),N(U237)+1,1))</f>
        <v/>
      </c>
      <c r="W237" s="6">
        <f>IF(OR(原始資料!$A237="",22&gt;設定!$B$3,原始資料!Y237=""),"",IF(AND(原始資料!X237&lt;&gt;"",原始資料!Y237=原始資料!X237),N(V237)+1,1))</f>
        <v/>
      </c>
      <c r="X237" s="6">
        <f>IF(OR(原始資料!$A237="",23&gt;設定!$B$3,原始資料!Z237=""),"",IF(AND(原始資料!Y237&lt;&gt;"",原始資料!Z237=原始資料!Y237),N(W237)+1,1))</f>
        <v/>
      </c>
      <c r="Y237" s="6">
        <f>IF(OR(原始資料!$A237="",24&gt;設定!$B$3,原始資料!AA237=""),"",IF(AND(原始資料!Z237&lt;&gt;"",原始資料!AA237=原始資料!Z237),N(X237)+1,1))</f>
        <v/>
      </c>
      <c r="Z237" s="6">
        <f>IF(OR(原始資料!$A237="",25&gt;設定!$B$3,原始資料!AB237=""),"",IF(AND(原始資料!AA237&lt;&gt;"",原始資料!AB237=原始資料!AA237),N(Y237)+1,1))</f>
        <v/>
      </c>
      <c r="AA237" s="6">
        <f>IF(OR(原始資料!$A237="",26&gt;設定!$B$3,原始資料!AC237=""),"",IF(AND(原始資料!AB237&lt;&gt;"",原始資料!AC237=原始資料!AB237),N(Z237)+1,1))</f>
        <v/>
      </c>
      <c r="AB237" s="6">
        <f>IF(OR(原始資料!$A237="",27&gt;設定!$B$3,原始資料!AD237=""),"",IF(AND(原始資料!AC237&lt;&gt;"",原始資料!AD237=原始資料!AC237),N(AA237)+1,1))</f>
        <v/>
      </c>
      <c r="AC237" s="6">
        <f>IF(OR(原始資料!$A237="",28&gt;設定!$B$3,原始資料!AE237=""),"",IF(AND(原始資料!AD237&lt;&gt;"",原始資料!AE237=原始資料!AD237),N(AB237)+1,1))</f>
        <v/>
      </c>
      <c r="AD237" s="6">
        <f>IF(OR(原始資料!$A237="",29&gt;設定!$B$3,原始資料!AF237=""),"",IF(AND(原始資料!AE237&lt;&gt;"",原始資料!AF237=原始資料!AE237),N(AC237)+1,1))</f>
        <v/>
      </c>
      <c r="AE237" s="6">
        <f>IF(OR(原始資料!$A237="",30&gt;設定!$B$3,原始資料!AG237=""),"",IF(AND(原始資料!AF237&lt;&gt;"",原始資料!AG237=原始資料!AF237),N(AD237)+1,1))</f>
        <v/>
      </c>
      <c r="AF237" s="6">
        <f>IF(OR(原始資料!$A237="",31&gt;設定!$B$3,原始資料!AH237=""),"",IF(AND(原始資料!AG237&lt;&gt;"",原始資料!AH237=原始資料!AG237),N(AE237)+1,1))</f>
        <v/>
      </c>
      <c r="AG237" s="6">
        <f>IF(OR(原始資料!$A237="",32&gt;設定!$B$3,原始資料!AI237=""),"",IF(AND(原始資料!AH237&lt;&gt;"",原始資料!AI237=原始資料!AH237),N(AF237)+1,1))</f>
        <v/>
      </c>
      <c r="AH237" s="6">
        <f>IF(OR(原始資料!$A237="",33&gt;設定!$B$3,原始資料!AJ237=""),"",IF(AND(原始資料!AI237&lt;&gt;"",原始資料!AJ237=原始資料!AI237),N(AG237)+1,1))</f>
        <v/>
      </c>
      <c r="AI237" s="6">
        <f>IF(OR(原始資料!$A237="",34&gt;設定!$B$3,原始資料!AK237=""),"",IF(AND(原始資料!AJ237&lt;&gt;"",原始資料!AK237=原始資料!AJ237),N(AH237)+1,1))</f>
        <v/>
      </c>
      <c r="AJ237" s="6">
        <f>IF(OR(原始資料!$A237="",35&gt;設定!$B$3,原始資料!AL237=""),"",IF(AND(原始資料!AK237&lt;&gt;"",原始資料!AL237=原始資料!AK237),N(AI237)+1,1))</f>
        <v/>
      </c>
      <c r="AK237" s="6">
        <f>IF(OR(原始資料!$A237="",36&gt;設定!$B$3,原始資料!AM237=""),"",IF(AND(原始資料!AL237&lt;&gt;"",原始資料!AM237=原始資料!AL237),N(AJ237)+1,1))</f>
        <v/>
      </c>
      <c r="AL237" s="6">
        <f>IF(OR(原始資料!$A237="",37&gt;設定!$B$3,原始資料!AN237=""),"",IF(AND(原始資料!AM237&lt;&gt;"",原始資料!AN237=原始資料!AM237),N(AK237)+1,1))</f>
        <v/>
      </c>
      <c r="AM237" s="6">
        <f>IF(OR(原始資料!$A237="",38&gt;設定!$B$3,原始資料!AO237=""),"",IF(AND(原始資料!AN237&lt;&gt;"",原始資料!AO237=原始資料!AN237),N(AL237)+1,1))</f>
        <v/>
      </c>
      <c r="AN237" s="6">
        <f>IF(OR(原始資料!$A237="",39&gt;設定!$B$3,原始資料!AP237=""),"",IF(AND(原始資料!AO237&lt;&gt;"",原始資料!AP237=原始資料!AO237),N(AM237)+1,1))</f>
        <v/>
      </c>
      <c r="AO237" s="6">
        <f>IF(OR(原始資料!$A237="",40&gt;設定!$B$3,原始資料!AQ237=""),"",IF(AND(原始資料!AP237&lt;&gt;"",原始資料!AQ237=原始資料!AP237),N(AN237)+1,1))</f>
        <v/>
      </c>
      <c r="AP237" s="6">
        <f>IF(OR(原始資料!$A237="",41&gt;設定!$B$3,原始資料!AR237=""),"",IF(AND(原始資料!AQ237&lt;&gt;"",原始資料!AR237=原始資料!AQ237),N(AO237)+1,1))</f>
        <v/>
      </c>
      <c r="AQ237" s="6">
        <f>IF(OR(原始資料!$A237="",42&gt;設定!$B$3,原始資料!AS237=""),"",IF(AND(原始資料!AR237&lt;&gt;"",原始資料!AS237=原始資料!AR237),N(AP237)+1,1))</f>
        <v/>
      </c>
      <c r="AR237" s="6">
        <f>IF(OR(原始資料!$A237="",43&gt;設定!$B$3,原始資料!AT237=""),"",IF(AND(原始資料!AS237&lt;&gt;"",原始資料!AT237=原始資料!AS237),N(AQ237)+1,1))</f>
        <v/>
      </c>
      <c r="AS237" s="6">
        <f>IF(OR(原始資料!$A237="",44&gt;設定!$B$3,原始資料!AU237=""),"",IF(AND(原始資料!AT237&lt;&gt;"",原始資料!AU237=原始資料!AT237),N(AR237)+1,1))</f>
        <v/>
      </c>
      <c r="AT237" s="6">
        <f>IF(OR(原始資料!$A237="",45&gt;設定!$B$3,原始資料!AV237=""),"",IF(AND(原始資料!AU237&lt;&gt;"",原始資料!AV237=原始資料!AU237),N(AS237)+1,1))</f>
        <v/>
      </c>
      <c r="AU237" s="6">
        <f>IF(OR(原始資料!$A237="",46&gt;設定!$B$3,原始資料!AW237=""),"",IF(AND(原始資料!AV237&lt;&gt;"",原始資料!AW237=原始資料!AV237),N(AT237)+1,1))</f>
        <v/>
      </c>
      <c r="AV237" s="6">
        <f>IF(OR(原始資料!$A237="",47&gt;設定!$B$3,原始資料!AX237=""),"",IF(AND(原始資料!AW237&lt;&gt;"",原始資料!AX237=原始資料!AW237),N(AU237)+1,1))</f>
        <v/>
      </c>
      <c r="AW237" s="6">
        <f>IF(OR(原始資料!$A237="",48&gt;設定!$B$3,原始資料!AY237=""),"",IF(AND(原始資料!AX237&lt;&gt;"",原始資料!AY237=原始資料!AX237),N(AV237)+1,1))</f>
        <v/>
      </c>
      <c r="AX237" s="6">
        <f>IF(OR(原始資料!$A237="",49&gt;設定!$B$3,原始資料!AZ237=""),"",IF(AND(原始資料!AY237&lt;&gt;"",原始資料!AZ237=原始資料!AY237),N(AW237)+1,1))</f>
        <v/>
      </c>
      <c r="AY237" s="6">
        <f>IF(OR(原始資料!$A237="",50&gt;設定!$B$3,原始資料!BA237=""),"",IF(AND(原始資料!AZ237&lt;&gt;"",原始資料!BA237=原始資料!AZ237),N(AX237)+1,1))</f>
        <v/>
      </c>
      <c r="AZ237" s="6">
        <f>IF(OR(原始資料!$A237="",51&gt;設定!$B$3,原始資料!BB237=""),"",IF(AND(原始資料!BA237&lt;&gt;"",原始資料!BB237=原始資料!BA237),N(AY237)+1,1))</f>
        <v/>
      </c>
      <c r="BA237" s="6">
        <f>IF(OR(原始資料!$A237="",52&gt;設定!$B$3,原始資料!BC237=""),"",IF(AND(原始資料!BB237&lt;&gt;"",原始資料!BC237=原始資料!BB237),N(AZ237)+1,1))</f>
        <v/>
      </c>
      <c r="BB237" s="6">
        <f>IF(OR(原始資料!$A237="",53&gt;設定!$B$3,原始資料!BD237=""),"",IF(AND(原始資料!BC237&lt;&gt;"",原始資料!BD237=原始資料!BC237),N(BA237)+1,1))</f>
        <v/>
      </c>
      <c r="BC237" s="6">
        <f>IF(OR(原始資料!$A237="",54&gt;設定!$B$3,原始資料!BE237=""),"",IF(AND(原始資料!BD237&lt;&gt;"",原始資料!BE237=原始資料!BD237),N(BB237)+1,1))</f>
        <v/>
      </c>
      <c r="BD237" s="6">
        <f>IF(OR(原始資料!$A237="",55&gt;設定!$B$3,原始資料!BF237=""),"",IF(AND(原始資料!BE237&lt;&gt;"",原始資料!BF237=原始資料!BE237),N(BC237)+1,1))</f>
        <v/>
      </c>
      <c r="BE237" s="6">
        <f>IF(OR(原始資料!$A237="",56&gt;設定!$B$3,原始資料!BG237=""),"",IF(AND(原始資料!BF237&lt;&gt;"",原始資料!BG237=原始資料!BF237),N(BD237)+1,1))</f>
        <v/>
      </c>
      <c r="BF237" s="6">
        <f>IF(OR(原始資料!$A237="",57&gt;設定!$B$3,原始資料!BH237=""),"",IF(AND(原始資料!BG237&lt;&gt;"",原始資料!BH237=原始資料!BG237),N(BE237)+1,1))</f>
        <v/>
      </c>
      <c r="BG237" s="6">
        <f>IF(OR(原始資料!$A237="",58&gt;設定!$B$3,原始資料!BI237=""),"",IF(AND(原始資料!BH237&lt;&gt;"",原始資料!BI237=原始資料!BH237),N(BF237)+1,1))</f>
        <v/>
      </c>
      <c r="BH237" s="6">
        <f>IF(OR(原始資料!$A237="",59&gt;設定!$B$3,原始資料!BJ237=""),"",IF(AND(原始資料!BI237&lt;&gt;"",原始資料!BJ237=原始資料!BI237),N(BG237)+1,1))</f>
        <v/>
      </c>
      <c r="BI237" s="6">
        <f>IF(OR(原始資料!$A237="",60&gt;設定!$B$3,原始資料!BK237=""),"",IF(AND(原始資料!BJ237&lt;&gt;"",原始資料!BK237=原始資料!BJ237),N(BH237)+1,1))</f>
        <v/>
      </c>
    </row>
    <row r="238">
      <c r="A238" s="6">
        <f>IF(原始資料!$A238="","",原始資料!$A238)</f>
        <v/>
      </c>
      <c r="B238" s="6">
        <f>IF(OR(原始資料!$A238="",1&gt;設定!$B$3,原始資料!D238=""),"",1)</f>
        <v/>
      </c>
      <c r="C238" s="6">
        <f>IF(OR(原始資料!$A238="",2&gt;設定!$B$3,原始資料!E238=""),"",IF(AND(原始資料!D238&lt;&gt;"",原始資料!E238=原始資料!D238),N(B238)+1,1))</f>
        <v/>
      </c>
      <c r="D238" s="6">
        <f>IF(OR(原始資料!$A238="",3&gt;設定!$B$3,原始資料!F238=""),"",IF(AND(原始資料!E238&lt;&gt;"",原始資料!F238=原始資料!E238),N(C238)+1,1))</f>
        <v/>
      </c>
      <c r="E238" s="6">
        <f>IF(OR(原始資料!$A238="",4&gt;設定!$B$3,原始資料!G238=""),"",IF(AND(原始資料!F238&lt;&gt;"",原始資料!G238=原始資料!F238),N(D238)+1,1))</f>
        <v/>
      </c>
      <c r="F238" s="6">
        <f>IF(OR(原始資料!$A238="",5&gt;設定!$B$3,原始資料!H238=""),"",IF(AND(原始資料!G238&lt;&gt;"",原始資料!H238=原始資料!G238),N(E238)+1,1))</f>
        <v/>
      </c>
      <c r="G238" s="6">
        <f>IF(OR(原始資料!$A238="",6&gt;設定!$B$3,原始資料!I238=""),"",IF(AND(原始資料!H238&lt;&gt;"",原始資料!I238=原始資料!H238),N(F238)+1,1))</f>
        <v/>
      </c>
      <c r="H238" s="6">
        <f>IF(OR(原始資料!$A238="",7&gt;設定!$B$3,原始資料!J238=""),"",IF(AND(原始資料!I238&lt;&gt;"",原始資料!J238=原始資料!I238),N(G238)+1,1))</f>
        <v/>
      </c>
      <c r="I238" s="6">
        <f>IF(OR(原始資料!$A238="",8&gt;設定!$B$3,原始資料!K238=""),"",IF(AND(原始資料!J238&lt;&gt;"",原始資料!K238=原始資料!J238),N(H238)+1,1))</f>
        <v/>
      </c>
      <c r="J238" s="6">
        <f>IF(OR(原始資料!$A238="",9&gt;設定!$B$3,原始資料!L238=""),"",IF(AND(原始資料!K238&lt;&gt;"",原始資料!L238=原始資料!K238),N(I238)+1,1))</f>
        <v/>
      </c>
      <c r="K238" s="6">
        <f>IF(OR(原始資料!$A238="",10&gt;設定!$B$3,原始資料!M238=""),"",IF(AND(原始資料!L238&lt;&gt;"",原始資料!M238=原始資料!L238),N(J238)+1,1))</f>
        <v/>
      </c>
      <c r="L238" s="6">
        <f>IF(OR(原始資料!$A238="",11&gt;設定!$B$3,原始資料!N238=""),"",IF(AND(原始資料!M238&lt;&gt;"",原始資料!N238=原始資料!M238),N(K238)+1,1))</f>
        <v/>
      </c>
      <c r="M238" s="6">
        <f>IF(OR(原始資料!$A238="",12&gt;設定!$B$3,原始資料!O238=""),"",IF(AND(原始資料!N238&lt;&gt;"",原始資料!O238=原始資料!N238),N(L238)+1,1))</f>
        <v/>
      </c>
      <c r="N238" s="6">
        <f>IF(OR(原始資料!$A238="",13&gt;設定!$B$3,原始資料!P238=""),"",IF(AND(原始資料!O238&lt;&gt;"",原始資料!P238=原始資料!O238),N(M238)+1,1))</f>
        <v/>
      </c>
      <c r="O238" s="6">
        <f>IF(OR(原始資料!$A238="",14&gt;設定!$B$3,原始資料!Q238=""),"",IF(AND(原始資料!P238&lt;&gt;"",原始資料!Q238=原始資料!P238),N(N238)+1,1))</f>
        <v/>
      </c>
      <c r="P238" s="6">
        <f>IF(OR(原始資料!$A238="",15&gt;設定!$B$3,原始資料!R238=""),"",IF(AND(原始資料!Q238&lt;&gt;"",原始資料!R238=原始資料!Q238),N(O238)+1,1))</f>
        <v/>
      </c>
      <c r="Q238" s="6">
        <f>IF(OR(原始資料!$A238="",16&gt;設定!$B$3,原始資料!S238=""),"",IF(AND(原始資料!R238&lt;&gt;"",原始資料!S238=原始資料!R238),N(P238)+1,1))</f>
        <v/>
      </c>
      <c r="R238" s="6">
        <f>IF(OR(原始資料!$A238="",17&gt;設定!$B$3,原始資料!T238=""),"",IF(AND(原始資料!S238&lt;&gt;"",原始資料!T238=原始資料!S238),N(Q238)+1,1))</f>
        <v/>
      </c>
      <c r="S238" s="6">
        <f>IF(OR(原始資料!$A238="",18&gt;設定!$B$3,原始資料!U238=""),"",IF(AND(原始資料!T238&lt;&gt;"",原始資料!U238=原始資料!T238),N(R238)+1,1))</f>
        <v/>
      </c>
      <c r="T238" s="6">
        <f>IF(OR(原始資料!$A238="",19&gt;設定!$B$3,原始資料!V238=""),"",IF(AND(原始資料!U238&lt;&gt;"",原始資料!V238=原始資料!U238),N(S238)+1,1))</f>
        <v/>
      </c>
      <c r="U238" s="6">
        <f>IF(OR(原始資料!$A238="",20&gt;設定!$B$3,原始資料!W238=""),"",IF(AND(原始資料!V238&lt;&gt;"",原始資料!W238=原始資料!V238),N(T238)+1,1))</f>
        <v/>
      </c>
      <c r="V238" s="6">
        <f>IF(OR(原始資料!$A238="",21&gt;設定!$B$3,原始資料!X238=""),"",IF(AND(原始資料!W238&lt;&gt;"",原始資料!X238=原始資料!W238),N(U238)+1,1))</f>
        <v/>
      </c>
      <c r="W238" s="6">
        <f>IF(OR(原始資料!$A238="",22&gt;設定!$B$3,原始資料!Y238=""),"",IF(AND(原始資料!X238&lt;&gt;"",原始資料!Y238=原始資料!X238),N(V238)+1,1))</f>
        <v/>
      </c>
      <c r="X238" s="6">
        <f>IF(OR(原始資料!$A238="",23&gt;設定!$B$3,原始資料!Z238=""),"",IF(AND(原始資料!Y238&lt;&gt;"",原始資料!Z238=原始資料!Y238),N(W238)+1,1))</f>
        <v/>
      </c>
      <c r="Y238" s="6">
        <f>IF(OR(原始資料!$A238="",24&gt;設定!$B$3,原始資料!AA238=""),"",IF(AND(原始資料!Z238&lt;&gt;"",原始資料!AA238=原始資料!Z238),N(X238)+1,1))</f>
        <v/>
      </c>
      <c r="Z238" s="6">
        <f>IF(OR(原始資料!$A238="",25&gt;設定!$B$3,原始資料!AB238=""),"",IF(AND(原始資料!AA238&lt;&gt;"",原始資料!AB238=原始資料!AA238),N(Y238)+1,1))</f>
        <v/>
      </c>
      <c r="AA238" s="6">
        <f>IF(OR(原始資料!$A238="",26&gt;設定!$B$3,原始資料!AC238=""),"",IF(AND(原始資料!AB238&lt;&gt;"",原始資料!AC238=原始資料!AB238),N(Z238)+1,1))</f>
        <v/>
      </c>
      <c r="AB238" s="6">
        <f>IF(OR(原始資料!$A238="",27&gt;設定!$B$3,原始資料!AD238=""),"",IF(AND(原始資料!AC238&lt;&gt;"",原始資料!AD238=原始資料!AC238),N(AA238)+1,1))</f>
        <v/>
      </c>
      <c r="AC238" s="6">
        <f>IF(OR(原始資料!$A238="",28&gt;設定!$B$3,原始資料!AE238=""),"",IF(AND(原始資料!AD238&lt;&gt;"",原始資料!AE238=原始資料!AD238),N(AB238)+1,1))</f>
        <v/>
      </c>
      <c r="AD238" s="6">
        <f>IF(OR(原始資料!$A238="",29&gt;設定!$B$3,原始資料!AF238=""),"",IF(AND(原始資料!AE238&lt;&gt;"",原始資料!AF238=原始資料!AE238),N(AC238)+1,1))</f>
        <v/>
      </c>
      <c r="AE238" s="6">
        <f>IF(OR(原始資料!$A238="",30&gt;設定!$B$3,原始資料!AG238=""),"",IF(AND(原始資料!AF238&lt;&gt;"",原始資料!AG238=原始資料!AF238),N(AD238)+1,1))</f>
        <v/>
      </c>
      <c r="AF238" s="6">
        <f>IF(OR(原始資料!$A238="",31&gt;設定!$B$3,原始資料!AH238=""),"",IF(AND(原始資料!AG238&lt;&gt;"",原始資料!AH238=原始資料!AG238),N(AE238)+1,1))</f>
        <v/>
      </c>
      <c r="AG238" s="6">
        <f>IF(OR(原始資料!$A238="",32&gt;設定!$B$3,原始資料!AI238=""),"",IF(AND(原始資料!AH238&lt;&gt;"",原始資料!AI238=原始資料!AH238),N(AF238)+1,1))</f>
        <v/>
      </c>
      <c r="AH238" s="6">
        <f>IF(OR(原始資料!$A238="",33&gt;設定!$B$3,原始資料!AJ238=""),"",IF(AND(原始資料!AI238&lt;&gt;"",原始資料!AJ238=原始資料!AI238),N(AG238)+1,1))</f>
        <v/>
      </c>
      <c r="AI238" s="6">
        <f>IF(OR(原始資料!$A238="",34&gt;設定!$B$3,原始資料!AK238=""),"",IF(AND(原始資料!AJ238&lt;&gt;"",原始資料!AK238=原始資料!AJ238),N(AH238)+1,1))</f>
        <v/>
      </c>
      <c r="AJ238" s="6">
        <f>IF(OR(原始資料!$A238="",35&gt;設定!$B$3,原始資料!AL238=""),"",IF(AND(原始資料!AK238&lt;&gt;"",原始資料!AL238=原始資料!AK238),N(AI238)+1,1))</f>
        <v/>
      </c>
      <c r="AK238" s="6">
        <f>IF(OR(原始資料!$A238="",36&gt;設定!$B$3,原始資料!AM238=""),"",IF(AND(原始資料!AL238&lt;&gt;"",原始資料!AM238=原始資料!AL238),N(AJ238)+1,1))</f>
        <v/>
      </c>
      <c r="AL238" s="6">
        <f>IF(OR(原始資料!$A238="",37&gt;設定!$B$3,原始資料!AN238=""),"",IF(AND(原始資料!AM238&lt;&gt;"",原始資料!AN238=原始資料!AM238),N(AK238)+1,1))</f>
        <v/>
      </c>
      <c r="AM238" s="6">
        <f>IF(OR(原始資料!$A238="",38&gt;設定!$B$3,原始資料!AO238=""),"",IF(AND(原始資料!AN238&lt;&gt;"",原始資料!AO238=原始資料!AN238),N(AL238)+1,1))</f>
        <v/>
      </c>
      <c r="AN238" s="6">
        <f>IF(OR(原始資料!$A238="",39&gt;設定!$B$3,原始資料!AP238=""),"",IF(AND(原始資料!AO238&lt;&gt;"",原始資料!AP238=原始資料!AO238),N(AM238)+1,1))</f>
        <v/>
      </c>
      <c r="AO238" s="6">
        <f>IF(OR(原始資料!$A238="",40&gt;設定!$B$3,原始資料!AQ238=""),"",IF(AND(原始資料!AP238&lt;&gt;"",原始資料!AQ238=原始資料!AP238),N(AN238)+1,1))</f>
        <v/>
      </c>
      <c r="AP238" s="6">
        <f>IF(OR(原始資料!$A238="",41&gt;設定!$B$3,原始資料!AR238=""),"",IF(AND(原始資料!AQ238&lt;&gt;"",原始資料!AR238=原始資料!AQ238),N(AO238)+1,1))</f>
        <v/>
      </c>
      <c r="AQ238" s="6">
        <f>IF(OR(原始資料!$A238="",42&gt;設定!$B$3,原始資料!AS238=""),"",IF(AND(原始資料!AR238&lt;&gt;"",原始資料!AS238=原始資料!AR238),N(AP238)+1,1))</f>
        <v/>
      </c>
      <c r="AR238" s="6">
        <f>IF(OR(原始資料!$A238="",43&gt;設定!$B$3,原始資料!AT238=""),"",IF(AND(原始資料!AS238&lt;&gt;"",原始資料!AT238=原始資料!AS238),N(AQ238)+1,1))</f>
        <v/>
      </c>
      <c r="AS238" s="6">
        <f>IF(OR(原始資料!$A238="",44&gt;設定!$B$3,原始資料!AU238=""),"",IF(AND(原始資料!AT238&lt;&gt;"",原始資料!AU238=原始資料!AT238),N(AR238)+1,1))</f>
        <v/>
      </c>
      <c r="AT238" s="6">
        <f>IF(OR(原始資料!$A238="",45&gt;設定!$B$3,原始資料!AV238=""),"",IF(AND(原始資料!AU238&lt;&gt;"",原始資料!AV238=原始資料!AU238),N(AS238)+1,1))</f>
        <v/>
      </c>
      <c r="AU238" s="6">
        <f>IF(OR(原始資料!$A238="",46&gt;設定!$B$3,原始資料!AW238=""),"",IF(AND(原始資料!AV238&lt;&gt;"",原始資料!AW238=原始資料!AV238),N(AT238)+1,1))</f>
        <v/>
      </c>
      <c r="AV238" s="6">
        <f>IF(OR(原始資料!$A238="",47&gt;設定!$B$3,原始資料!AX238=""),"",IF(AND(原始資料!AW238&lt;&gt;"",原始資料!AX238=原始資料!AW238),N(AU238)+1,1))</f>
        <v/>
      </c>
      <c r="AW238" s="6">
        <f>IF(OR(原始資料!$A238="",48&gt;設定!$B$3,原始資料!AY238=""),"",IF(AND(原始資料!AX238&lt;&gt;"",原始資料!AY238=原始資料!AX238),N(AV238)+1,1))</f>
        <v/>
      </c>
      <c r="AX238" s="6">
        <f>IF(OR(原始資料!$A238="",49&gt;設定!$B$3,原始資料!AZ238=""),"",IF(AND(原始資料!AY238&lt;&gt;"",原始資料!AZ238=原始資料!AY238),N(AW238)+1,1))</f>
        <v/>
      </c>
      <c r="AY238" s="6">
        <f>IF(OR(原始資料!$A238="",50&gt;設定!$B$3,原始資料!BA238=""),"",IF(AND(原始資料!AZ238&lt;&gt;"",原始資料!BA238=原始資料!AZ238),N(AX238)+1,1))</f>
        <v/>
      </c>
      <c r="AZ238" s="6">
        <f>IF(OR(原始資料!$A238="",51&gt;設定!$B$3,原始資料!BB238=""),"",IF(AND(原始資料!BA238&lt;&gt;"",原始資料!BB238=原始資料!BA238),N(AY238)+1,1))</f>
        <v/>
      </c>
      <c r="BA238" s="6">
        <f>IF(OR(原始資料!$A238="",52&gt;設定!$B$3,原始資料!BC238=""),"",IF(AND(原始資料!BB238&lt;&gt;"",原始資料!BC238=原始資料!BB238),N(AZ238)+1,1))</f>
        <v/>
      </c>
      <c r="BB238" s="6">
        <f>IF(OR(原始資料!$A238="",53&gt;設定!$B$3,原始資料!BD238=""),"",IF(AND(原始資料!BC238&lt;&gt;"",原始資料!BD238=原始資料!BC238),N(BA238)+1,1))</f>
        <v/>
      </c>
      <c r="BC238" s="6">
        <f>IF(OR(原始資料!$A238="",54&gt;設定!$B$3,原始資料!BE238=""),"",IF(AND(原始資料!BD238&lt;&gt;"",原始資料!BE238=原始資料!BD238),N(BB238)+1,1))</f>
        <v/>
      </c>
      <c r="BD238" s="6">
        <f>IF(OR(原始資料!$A238="",55&gt;設定!$B$3,原始資料!BF238=""),"",IF(AND(原始資料!BE238&lt;&gt;"",原始資料!BF238=原始資料!BE238),N(BC238)+1,1))</f>
        <v/>
      </c>
      <c r="BE238" s="6">
        <f>IF(OR(原始資料!$A238="",56&gt;設定!$B$3,原始資料!BG238=""),"",IF(AND(原始資料!BF238&lt;&gt;"",原始資料!BG238=原始資料!BF238),N(BD238)+1,1))</f>
        <v/>
      </c>
      <c r="BF238" s="6">
        <f>IF(OR(原始資料!$A238="",57&gt;設定!$B$3,原始資料!BH238=""),"",IF(AND(原始資料!BG238&lt;&gt;"",原始資料!BH238=原始資料!BG238),N(BE238)+1,1))</f>
        <v/>
      </c>
      <c r="BG238" s="6">
        <f>IF(OR(原始資料!$A238="",58&gt;設定!$B$3,原始資料!BI238=""),"",IF(AND(原始資料!BH238&lt;&gt;"",原始資料!BI238=原始資料!BH238),N(BF238)+1,1))</f>
        <v/>
      </c>
      <c r="BH238" s="6">
        <f>IF(OR(原始資料!$A238="",59&gt;設定!$B$3,原始資料!BJ238=""),"",IF(AND(原始資料!BI238&lt;&gt;"",原始資料!BJ238=原始資料!BI238),N(BG238)+1,1))</f>
        <v/>
      </c>
      <c r="BI238" s="6">
        <f>IF(OR(原始資料!$A238="",60&gt;設定!$B$3,原始資料!BK238=""),"",IF(AND(原始資料!BJ238&lt;&gt;"",原始資料!BK238=原始資料!BJ238),N(BH238)+1,1))</f>
        <v/>
      </c>
    </row>
    <row r="239">
      <c r="A239" s="6">
        <f>IF(原始資料!$A239="","",原始資料!$A239)</f>
        <v/>
      </c>
      <c r="B239" s="6">
        <f>IF(OR(原始資料!$A239="",1&gt;設定!$B$3,原始資料!D239=""),"",1)</f>
        <v/>
      </c>
      <c r="C239" s="6">
        <f>IF(OR(原始資料!$A239="",2&gt;設定!$B$3,原始資料!E239=""),"",IF(AND(原始資料!D239&lt;&gt;"",原始資料!E239=原始資料!D239),N(B239)+1,1))</f>
        <v/>
      </c>
      <c r="D239" s="6">
        <f>IF(OR(原始資料!$A239="",3&gt;設定!$B$3,原始資料!F239=""),"",IF(AND(原始資料!E239&lt;&gt;"",原始資料!F239=原始資料!E239),N(C239)+1,1))</f>
        <v/>
      </c>
      <c r="E239" s="6">
        <f>IF(OR(原始資料!$A239="",4&gt;設定!$B$3,原始資料!G239=""),"",IF(AND(原始資料!F239&lt;&gt;"",原始資料!G239=原始資料!F239),N(D239)+1,1))</f>
        <v/>
      </c>
      <c r="F239" s="6">
        <f>IF(OR(原始資料!$A239="",5&gt;設定!$B$3,原始資料!H239=""),"",IF(AND(原始資料!G239&lt;&gt;"",原始資料!H239=原始資料!G239),N(E239)+1,1))</f>
        <v/>
      </c>
      <c r="G239" s="6">
        <f>IF(OR(原始資料!$A239="",6&gt;設定!$B$3,原始資料!I239=""),"",IF(AND(原始資料!H239&lt;&gt;"",原始資料!I239=原始資料!H239),N(F239)+1,1))</f>
        <v/>
      </c>
      <c r="H239" s="6">
        <f>IF(OR(原始資料!$A239="",7&gt;設定!$B$3,原始資料!J239=""),"",IF(AND(原始資料!I239&lt;&gt;"",原始資料!J239=原始資料!I239),N(G239)+1,1))</f>
        <v/>
      </c>
      <c r="I239" s="6">
        <f>IF(OR(原始資料!$A239="",8&gt;設定!$B$3,原始資料!K239=""),"",IF(AND(原始資料!J239&lt;&gt;"",原始資料!K239=原始資料!J239),N(H239)+1,1))</f>
        <v/>
      </c>
      <c r="J239" s="6">
        <f>IF(OR(原始資料!$A239="",9&gt;設定!$B$3,原始資料!L239=""),"",IF(AND(原始資料!K239&lt;&gt;"",原始資料!L239=原始資料!K239),N(I239)+1,1))</f>
        <v/>
      </c>
      <c r="K239" s="6">
        <f>IF(OR(原始資料!$A239="",10&gt;設定!$B$3,原始資料!M239=""),"",IF(AND(原始資料!L239&lt;&gt;"",原始資料!M239=原始資料!L239),N(J239)+1,1))</f>
        <v/>
      </c>
      <c r="L239" s="6">
        <f>IF(OR(原始資料!$A239="",11&gt;設定!$B$3,原始資料!N239=""),"",IF(AND(原始資料!M239&lt;&gt;"",原始資料!N239=原始資料!M239),N(K239)+1,1))</f>
        <v/>
      </c>
      <c r="M239" s="6">
        <f>IF(OR(原始資料!$A239="",12&gt;設定!$B$3,原始資料!O239=""),"",IF(AND(原始資料!N239&lt;&gt;"",原始資料!O239=原始資料!N239),N(L239)+1,1))</f>
        <v/>
      </c>
      <c r="N239" s="6">
        <f>IF(OR(原始資料!$A239="",13&gt;設定!$B$3,原始資料!P239=""),"",IF(AND(原始資料!O239&lt;&gt;"",原始資料!P239=原始資料!O239),N(M239)+1,1))</f>
        <v/>
      </c>
      <c r="O239" s="6">
        <f>IF(OR(原始資料!$A239="",14&gt;設定!$B$3,原始資料!Q239=""),"",IF(AND(原始資料!P239&lt;&gt;"",原始資料!Q239=原始資料!P239),N(N239)+1,1))</f>
        <v/>
      </c>
      <c r="P239" s="6">
        <f>IF(OR(原始資料!$A239="",15&gt;設定!$B$3,原始資料!R239=""),"",IF(AND(原始資料!Q239&lt;&gt;"",原始資料!R239=原始資料!Q239),N(O239)+1,1))</f>
        <v/>
      </c>
      <c r="Q239" s="6">
        <f>IF(OR(原始資料!$A239="",16&gt;設定!$B$3,原始資料!S239=""),"",IF(AND(原始資料!R239&lt;&gt;"",原始資料!S239=原始資料!R239),N(P239)+1,1))</f>
        <v/>
      </c>
      <c r="R239" s="6">
        <f>IF(OR(原始資料!$A239="",17&gt;設定!$B$3,原始資料!T239=""),"",IF(AND(原始資料!S239&lt;&gt;"",原始資料!T239=原始資料!S239),N(Q239)+1,1))</f>
        <v/>
      </c>
      <c r="S239" s="6">
        <f>IF(OR(原始資料!$A239="",18&gt;設定!$B$3,原始資料!U239=""),"",IF(AND(原始資料!T239&lt;&gt;"",原始資料!U239=原始資料!T239),N(R239)+1,1))</f>
        <v/>
      </c>
      <c r="T239" s="6">
        <f>IF(OR(原始資料!$A239="",19&gt;設定!$B$3,原始資料!V239=""),"",IF(AND(原始資料!U239&lt;&gt;"",原始資料!V239=原始資料!U239),N(S239)+1,1))</f>
        <v/>
      </c>
      <c r="U239" s="6">
        <f>IF(OR(原始資料!$A239="",20&gt;設定!$B$3,原始資料!W239=""),"",IF(AND(原始資料!V239&lt;&gt;"",原始資料!W239=原始資料!V239),N(T239)+1,1))</f>
        <v/>
      </c>
      <c r="V239" s="6">
        <f>IF(OR(原始資料!$A239="",21&gt;設定!$B$3,原始資料!X239=""),"",IF(AND(原始資料!W239&lt;&gt;"",原始資料!X239=原始資料!W239),N(U239)+1,1))</f>
        <v/>
      </c>
      <c r="W239" s="6">
        <f>IF(OR(原始資料!$A239="",22&gt;設定!$B$3,原始資料!Y239=""),"",IF(AND(原始資料!X239&lt;&gt;"",原始資料!Y239=原始資料!X239),N(V239)+1,1))</f>
        <v/>
      </c>
      <c r="X239" s="6">
        <f>IF(OR(原始資料!$A239="",23&gt;設定!$B$3,原始資料!Z239=""),"",IF(AND(原始資料!Y239&lt;&gt;"",原始資料!Z239=原始資料!Y239),N(W239)+1,1))</f>
        <v/>
      </c>
      <c r="Y239" s="6">
        <f>IF(OR(原始資料!$A239="",24&gt;設定!$B$3,原始資料!AA239=""),"",IF(AND(原始資料!Z239&lt;&gt;"",原始資料!AA239=原始資料!Z239),N(X239)+1,1))</f>
        <v/>
      </c>
      <c r="Z239" s="6">
        <f>IF(OR(原始資料!$A239="",25&gt;設定!$B$3,原始資料!AB239=""),"",IF(AND(原始資料!AA239&lt;&gt;"",原始資料!AB239=原始資料!AA239),N(Y239)+1,1))</f>
        <v/>
      </c>
      <c r="AA239" s="6">
        <f>IF(OR(原始資料!$A239="",26&gt;設定!$B$3,原始資料!AC239=""),"",IF(AND(原始資料!AB239&lt;&gt;"",原始資料!AC239=原始資料!AB239),N(Z239)+1,1))</f>
        <v/>
      </c>
      <c r="AB239" s="6">
        <f>IF(OR(原始資料!$A239="",27&gt;設定!$B$3,原始資料!AD239=""),"",IF(AND(原始資料!AC239&lt;&gt;"",原始資料!AD239=原始資料!AC239),N(AA239)+1,1))</f>
        <v/>
      </c>
      <c r="AC239" s="6">
        <f>IF(OR(原始資料!$A239="",28&gt;設定!$B$3,原始資料!AE239=""),"",IF(AND(原始資料!AD239&lt;&gt;"",原始資料!AE239=原始資料!AD239),N(AB239)+1,1))</f>
        <v/>
      </c>
      <c r="AD239" s="6">
        <f>IF(OR(原始資料!$A239="",29&gt;設定!$B$3,原始資料!AF239=""),"",IF(AND(原始資料!AE239&lt;&gt;"",原始資料!AF239=原始資料!AE239),N(AC239)+1,1))</f>
        <v/>
      </c>
      <c r="AE239" s="6">
        <f>IF(OR(原始資料!$A239="",30&gt;設定!$B$3,原始資料!AG239=""),"",IF(AND(原始資料!AF239&lt;&gt;"",原始資料!AG239=原始資料!AF239),N(AD239)+1,1))</f>
        <v/>
      </c>
      <c r="AF239" s="6">
        <f>IF(OR(原始資料!$A239="",31&gt;設定!$B$3,原始資料!AH239=""),"",IF(AND(原始資料!AG239&lt;&gt;"",原始資料!AH239=原始資料!AG239),N(AE239)+1,1))</f>
        <v/>
      </c>
      <c r="AG239" s="6">
        <f>IF(OR(原始資料!$A239="",32&gt;設定!$B$3,原始資料!AI239=""),"",IF(AND(原始資料!AH239&lt;&gt;"",原始資料!AI239=原始資料!AH239),N(AF239)+1,1))</f>
        <v/>
      </c>
      <c r="AH239" s="6">
        <f>IF(OR(原始資料!$A239="",33&gt;設定!$B$3,原始資料!AJ239=""),"",IF(AND(原始資料!AI239&lt;&gt;"",原始資料!AJ239=原始資料!AI239),N(AG239)+1,1))</f>
        <v/>
      </c>
      <c r="AI239" s="6">
        <f>IF(OR(原始資料!$A239="",34&gt;設定!$B$3,原始資料!AK239=""),"",IF(AND(原始資料!AJ239&lt;&gt;"",原始資料!AK239=原始資料!AJ239),N(AH239)+1,1))</f>
        <v/>
      </c>
      <c r="AJ239" s="6">
        <f>IF(OR(原始資料!$A239="",35&gt;設定!$B$3,原始資料!AL239=""),"",IF(AND(原始資料!AK239&lt;&gt;"",原始資料!AL239=原始資料!AK239),N(AI239)+1,1))</f>
        <v/>
      </c>
      <c r="AK239" s="6">
        <f>IF(OR(原始資料!$A239="",36&gt;設定!$B$3,原始資料!AM239=""),"",IF(AND(原始資料!AL239&lt;&gt;"",原始資料!AM239=原始資料!AL239),N(AJ239)+1,1))</f>
        <v/>
      </c>
      <c r="AL239" s="6">
        <f>IF(OR(原始資料!$A239="",37&gt;設定!$B$3,原始資料!AN239=""),"",IF(AND(原始資料!AM239&lt;&gt;"",原始資料!AN239=原始資料!AM239),N(AK239)+1,1))</f>
        <v/>
      </c>
      <c r="AM239" s="6">
        <f>IF(OR(原始資料!$A239="",38&gt;設定!$B$3,原始資料!AO239=""),"",IF(AND(原始資料!AN239&lt;&gt;"",原始資料!AO239=原始資料!AN239),N(AL239)+1,1))</f>
        <v/>
      </c>
      <c r="AN239" s="6">
        <f>IF(OR(原始資料!$A239="",39&gt;設定!$B$3,原始資料!AP239=""),"",IF(AND(原始資料!AO239&lt;&gt;"",原始資料!AP239=原始資料!AO239),N(AM239)+1,1))</f>
        <v/>
      </c>
      <c r="AO239" s="6">
        <f>IF(OR(原始資料!$A239="",40&gt;設定!$B$3,原始資料!AQ239=""),"",IF(AND(原始資料!AP239&lt;&gt;"",原始資料!AQ239=原始資料!AP239),N(AN239)+1,1))</f>
        <v/>
      </c>
      <c r="AP239" s="6">
        <f>IF(OR(原始資料!$A239="",41&gt;設定!$B$3,原始資料!AR239=""),"",IF(AND(原始資料!AQ239&lt;&gt;"",原始資料!AR239=原始資料!AQ239),N(AO239)+1,1))</f>
        <v/>
      </c>
      <c r="AQ239" s="6">
        <f>IF(OR(原始資料!$A239="",42&gt;設定!$B$3,原始資料!AS239=""),"",IF(AND(原始資料!AR239&lt;&gt;"",原始資料!AS239=原始資料!AR239),N(AP239)+1,1))</f>
        <v/>
      </c>
      <c r="AR239" s="6">
        <f>IF(OR(原始資料!$A239="",43&gt;設定!$B$3,原始資料!AT239=""),"",IF(AND(原始資料!AS239&lt;&gt;"",原始資料!AT239=原始資料!AS239),N(AQ239)+1,1))</f>
        <v/>
      </c>
      <c r="AS239" s="6">
        <f>IF(OR(原始資料!$A239="",44&gt;設定!$B$3,原始資料!AU239=""),"",IF(AND(原始資料!AT239&lt;&gt;"",原始資料!AU239=原始資料!AT239),N(AR239)+1,1))</f>
        <v/>
      </c>
      <c r="AT239" s="6">
        <f>IF(OR(原始資料!$A239="",45&gt;設定!$B$3,原始資料!AV239=""),"",IF(AND(原始資料!AU239&lt;&gt;"",原始資料!AV239=原始資料!AU239),N(AS239)+1,1))</f>
        <v/>
      </c>
      <c r="AU239" s="6">
        <f>IF(OR(原始資料!$A239="",46&gt;設定!$B$3,原始資料!AW239=""),"",IF(AND(原始資料!AV239&lt;&gt;"",原始資料!AW239=原始資料!AV239),N(AT239)+1,1))</f>
        <v/>
      </c>
      <c r="AV239" s="6">
        <f>IF(OR(原始資料!$A239="",47&gt;設定!$B$3,原始資料!AX239=""),"",IF(AND(原始資料!AW239&lt;&gt;"",原始資料!AX239=原始資料!AW239),N(AU239)+1,1))</f>
        <v/>
      </c>
      <c r="AW239" s="6">
        <f>IF(OR(原始資料!$A239="",48&gt;設定!$B$3,原始資料!AY239=""),"",IF(AND(原始資料!AX239&lt;&gt;"",原始資料!AY239=原始資料!AX239),N(AV239)+1,1))</f>
        <v/>
      </c>
      <c r="AX239" s="6">
        <f>IF(OR(原始資料!$A239="",49&gt;設定!$B$3,原始資料!AZ239=""),"",IF(AND(原始資料!AY239&lt;&gt;"",原始資料!AZ239=原始資料!AY239),N(AW239)+1,1))</f>
        <v/>
      </c>
      <c r="AY239" s="6">
        <f>IF(OR(原始資料!$A239="",50&gt;設定!$B$3,原始資料!BA239=""),"",IF(AND(原始資料!AZ239&lt;&gt;"",原始資料!BA239=原始資料!AZ239),N(AX239)+1,1))</f>
        <v/>
      </c>
      <c r="AZ239" s="6">
        <f>IF(OR(原始資料!$A239="",51&gt;設定!$B$3,原始資料!BB239=""),"",IF(AND(原始資料!BA239&lt;&gt;"",原始資料!BB239=原始資料!BA239),N(AY239)+1,1))</f>
        <v/>
      </c>
      <c r="BA239" s="6">
        <f>IF(OR(原始資料!$A239="",52&gt;設定!$B$3,原始資料!BC239=""),"",IF(AND(原始資料!BB239&lt;&gt;"",原始資料!BC239=原始資料!BB239),N(AZ239)+1,1))</f>
        <v/>
      </c>
      <c r="BB239" s="6">
        <f>IF(OR(原始資料!$A239="",53&gt;設定!$B$3,原始資料!BD239=""),"",IF(AND(原始資料!BC239&lt;&gt;"",原始資料!BD239=原始資料!BC239),N(BA239)+1,1))</f>
        <v/>
      </c>
      <c r="BC239" s="6">
        <f>IF(OR(原始資料!$A239="",54&gt;設定!$B$3,原始資料!BE239=""),"",IF(AND(原始資料!BD239&lt;&gt;"",原始資料!BE239=原始資料!BD239),N(BB239)+1,1))</f>
        <v/>
      </c>
      <c r="BD239" s="6">
        <f>IF(OR(原始資料!$A239="",55&gt;設定!$B$3,原始資料!BF239=""),"",IF(AND(原始資料!BE239&lt;&gt;"",原始資料!BF239=原始資料!BE239),N(BC239)+1,1))</f>
        <v/>
      </c>
      <c r="BE239" s="6">
        <f>IF(OR(原始資料!$A239="",56&gt;設定!$B$3,原始資料!BG239=""),"",IF(AND(原始資料!BF239&lt;&gt;"",原始資料!BG239=原始資料!BF239),N(BD239)+1,1))</f>
        <v/>
      </c>
      <c r="BF239" s="6">
        <f>IF(OR(原始資料!$A239="",57&gt;設定!$B$3,原始資料!BH239=""),"",IF(AND(原始資料!BG239&lt;&gt;"",原始資料!BH239=原始資料!BG239),N(BE239)+1,1))</f>
        <v/>
      </c>
      <c r="BG239" s="6">
        <f>IF(OR(原始資料!$A239="",58&gt;設定!$B$3,原始資料!BI239=""),"",IF(AND(原始資料!BH239&lt;&gt;"",原始資料!BI239=原始資料!BH239),N(BF239)+1,1))</f>
        <v/>
      </c>
      <c r="BH239" s="6">
        <f>IF(OR(原始資料!$A239="",59&gt;設定!$B$3,原始資料!BJ239=""),"",IF(AND(原始資料!BI239&lt;&gt;"",原始資料!BJ239=原始資料!BI239),N(BG239)+1,1))</f>
        <v/>
      </c>
      <c r="BI239" s="6">
        <f>IF(OR(原始資料!$A239="",60&gt;設定!$B$3,原始資料!BK239=""),"",IF(AND(原始資料!BJ239&lt;&gt;"",原始資料!BK239=原始資料!BJ239),N(BH239)+1,1))</f>
        <v/>
      </c>
    </row>
    <row r="240">
      <c r="A240" s="6">
        <f>IF(原始資料!$A240="","",原始資料!$A240)</f>
        <v/>
      </c>
      <c r="B240" s="6">
        <f>IF(OR(原始資料!$A240="",1&gt;設定!$B$3,原始資料!D240=""),"",1)</f>
        <v/>
      </c>
      <c r="C240" s="6">
        <f>IF(OR(原始資料!$A240="",2&gt;設定!$B$3,原始資料!E240=""),"",IF(AND(原始資料!D240&lt;&gt;"",原始資料!E240=原始資料!D240),N(B240)+1,1))</f>
        <v/>
      </c>
      <c r="D240" s="6">
        <f>IF(OR(原始資料!$A240="",3&gt;設定!$B$3,原始資料!F240=""),"",IF(AND(原始資料!E240&lt;&gt;"",原始資料!F240=原始資料!E240),N(C240)+1,1))</f>
        <v/>
      </c>
      <c r="E240" s="6">
        <f>IF(OR(原始資料!$A240="",4&gt;設定!$B$3,原始資料!G240=""),"",IF(AND(原始資料!F240&lt;&gt;"",原始資料!G240=原始資料!F240),N(D240)+1,1))</f>
        <v/>
      </c>
      <c r="F240" s="6">
        <f>IF(OR(原始資料!$A240="",5&gt;設定!$B$3,原始資料!H240=""),"",IF(AND(原始資料!G240&lt;&gt;"",原始資料!H240=原始資料!G240),N(E240)+1,1))</f>
        <v/>
      </c>
      <c r="G240" s="6">
        <f>IF(OR(原始資料!$A240="",6&gt;設定!$B$3,原始資料!I240=""),"",IF(AND(原始資料!H240&lt;&gt;"",原始資料!I240=原始資料!H240),N(F240)+1,1))</f>
        <v/>
      </c>
      <c r="H240" s="6">
        <f>IF(OR(原始資料!$A240="",7&gt;設定!$B$3,原始資料!J240=""),"",IF(AND(原始資料!I240&lt;&gt;"",原始資料!J240=原始資料!I240),N(G240)+1,1))</f>
        <v/>
      </c>
      <c r="I240" s="6">
        <f>IF(OR(原始資料!$A240="",8&gt;設定!$B$3,原始資料!K240=""),"",IF(AND(原始資料!J240&lt;&gt;"",原始資料!K240=原始資料!J240),N(H240)+1,1))</f>
        <v/>
      </c>
      <c r="J240" s="6">
        <f>IF(OR(原始資料!$A240="",9&gt;設定!$B$3,原始資料!L240=""),"",IF(AND(原始資料!K240&lt;&gt;"",原始資料!L240=原始資料!K240),N(I240)+1,1))</f>
        <v/>
      </c>
      <c r="K240" s="6">
        <f>IF(OR(原始資料!$A240="",10&gt;設定!$B$3,原始資料!M240=""),"",IF(AND(原始資料!L240&lt;&gt;"",原始資料!M240=原始資料!L240),N(J240)+1,1))</f>
        <v/>
      </c>
      <c r="L240" s="6">
        <f>IF(OR(原始資料!$A240="",11&gt;設定!$B$3,原始資料!N240=""),"",IF(AND(原始資料!M240&lt;&gt;"",原始資料!N240=原始資料!M240),N(K240)+1,1))</f>
        <v/>
      </c>
      <c r="M240" s="6">
        <f>IF(OR(原始資料!$A240="",12&gt;設定!$B$3,原始資料!O240=""),"",IF(AND(原始資料!N240&lt;&gt;"",原始資料!O240=原始資料!N240),N(L240)+1,1))</f>
        <v/>
      </c>
      <c r="N240" s="6">
        <f>IF(OR(原始資料!$A240="",13&gt;設定!$B$3,原始資料!P240=""),"",IF(AND(原始資料!O240&lt;&gt;"",原始資料!P240=原始資料!O240),N(M240)+1,1))</f>
        <v/>
      </c>
      <c r="O240" s="6">
        <f>IF(OR(原始資料!$A240="",14&gt;設定!$B$3,原始資料!Q240=""),"",IF(AND(原始資料!P240&lt;&gt;"",原始資料!Q240=原始資料!P240),N(N240)+1,1))</f>
        <v/>
      </c>
      <c r="P240" s="6">
        <f>IF(OR(原始資料!$A240="",15&gt;設定!$B$3,原始資料!R240=""),"",IF(AND(原始資料!Q240&lt;&gt;"",原始資料!R240=原始資料!Q240),N(O240)+1,1))</f>
        <v/>
      </c>
      <c r="Q240" s="6">
        <f>IF(OR(原始資料!$A240="",16&gt;設定!$B$3,原始資料!S240=""),"",IF(AND(原始資料!R240&lt;&gt;"",原始資料!S240=原始資料!R240),N(P240)+1,1))</f>
        <v/>
      </c>
      <c r="R240" s="6">
        <f>IF(OR(原始資料!$A240="",17&gt;設定!$B$3,原始資料!T240=""),"",IF(AND(原始資料!S240&lt;&gt;"",原始資料!T240=原始資料!S240),N(Q240)+1,1))</f>
        <v/>
      </c>
      <c r="S240" s="6">
        <f>IF(OR(原始資料!$A240="",18&gt;設定!$B$3,原始資料!U240=""),"",IF(AND(原始資料!T240&lt;&gt;"",原始資料!U240=原始資料!T240),N(R240)+1,1))</f>
        <v/>
      </c>
      <c r="T240" s="6">
        <f>IF(OR(原始資料!$A240="",19&gt;設定!$B$3,原始資料!V240=""),"",IF(AND(原始資料!U240&lt;&gt;"",原始資料!V240=原始資料!U240),N(S240)+1,1))</f>
        <v/>
      </c>
      <c r="U240" s="6">
        <f>IF(OR(原始資料!$A240="",20&gt;設定!$B$3,原始資料!W240=""),"",IF(AND(原始資料!V240&lt;&gt;"",原始資料!W240=原始資料!V240),N(T240)+1,1))</f>
        <v/>
      </c>
      <c r="V240" s="6">
        <f>IF(OR(原始資料!$A240="",21&gt;設定!$B$3,原始資料!X240=""),"",IF(AND(原始資料!W240&lt;&gt;"",原始資料!X240=原始資料!W240),N(U240)+1,1))</f>
        <v/>
      </c>
      <c r="W240" s="6">
        <f>IF(OR(原始資料!$A240="",22&gt;設定!$B$3,原始資料!Y240=""),"",IF(AND(原始資料!X240&lt;&gt;"",原始資料!Y240=原始資料!X240),N(V240)+1,1))</f>
        <v/>
      </c>
      <c r="X240" s="6">
        <f>IF(OR(原始資料!$A240="",23&gt;設定!$B$3,原始資料!Z240=""),"",IF(AND(原始資料!Y240&lt;&gt;"",原始資料!Z240=原始資料!Y240),N(W240)+1,1))</f>
        <v/>
      </c>
      <c r="Y240" s="6">
        <f>IF(OR(原始資料!$A240="",24&gt;設定!$B$3,原始資料!AA240=""),"",IF(AND(原始資料!Z240&lt;&gt;"",原始資料!AA240=原始資料!Z240),N(X240)+1,1))</f>
        <v/>
      </c>
      <c r="Z240" s="6">
        <f>IF(OR(原始資料!$A240="",25&gt;設定!$B$3,原始資料!AB240=""),"",IF(AND(原始資料!AA240&lt;&gt;"",原始資料!AB240=原始資料!AA240),N(Y240)+1,1))</f>
        <v/>
      </c>
      <c r="AA240" s="6">
        <f>IF(OR(原始資料!$A240="",26&gt;設定!$B$3,原始資料!AC240=""),"",IF(AND(原始資料!AB240&lt;&gt;"",原始資料!AC240=原始資料!AB240),N(Z240)+1,1))</f>
        <v/>
      </c>
      <c r="AB240" s="6">
        <f>IF(OR(原始資料!$A240="",27&gt;設定!$B$3,原始資料!AD240=""),"",IF(AND(原始資料!AC240&lt;&gt;"",原始資料!AD240=原始資料!AC240),N(AA240)+1,1))</f>
        <v/>
      </c>
      <c r="AC240" s="6">
        <f>IF(OR(原始資料!$A240="",28&gt;設定!$B$3,原始資料!AE240=""),"",IF(AND(原始資料!AD240&lt;&gt;"",原始資料!AE240=原始資料!AD240),N(AB240)+1,1))</f>
        <v/>
      </c>
      <c r="AD240" s="6">
        <f>IF(OR(原始資料!$A240="",29&gt;設定!$B$3,原始資料!AF240=""),"",IF(AND(原始資料!AE240&lt;&gt;"",原始資料!AF240=原始資料!AE240),N(AC240)+1,1))</f>
        <v/>
      </c>
      <c r="AE240" s="6">
        <f>IF(OR(原始資料!$A240="",30&gt;設定!$B$3,原始資料!AG240=""),"",IF(AND(原始資料!AF240&lt;&gt;"",原始資料!AG240=原始資料!AF240),N(AD240)+1,1))</f>
        <v/>
      </c>
      <c r="AF240" s="6">
        <f>IF(OR(原始資料!$A240="",31&gt;設定!$B$3,原始資料!AH240=""),"",IF(AND(原始資料!AG240&lt;&gt;"",原始資料!AH240=原始資料!AG240),N(AE240)+1,1))</f>
        <v/>
      </c>
      <c r="AG240" s="6">
        <f>IF(OR(原始資料!$A240="",32&gt;設定!$B$3,原始資料!AI240=""),"",IF(AND(原始資料!AH240&lt;&gt;"",原始資料!AI240=原始資料!AH240),N(AF240)+1,1))</f>
        <v/>
      </c>
      <c r="AH240" s="6">
        <f>IF(OR(原始資料!$A240="",33&gt;設定!$B$3,原始資料!AJ240=""),"",IF(AND(原始資料!AI240&lt;&gt;"",原始資料!AJ240=原始資料!AI240),N(AG240)+1,1))</f>
        <v/>
      </c>
      <c r="AI240" s="6">
        <f>IF(OR(原始資料!$A240="",34&gt;設定!$B$3,原始資料!AK240=""),"",IF(AND(原始資料!AJ240&lt;&gt;"",原始資料!AK240=原始資料!AJ240),N(AH240)+1,1))</f>
        <v/>
      </c>
      <c r="AJ240" s="6">
        <f>IF(OR(原始資料!$A240="",35&gt;設定!$B$3,原始資料!AL240=""),"",IF(AND(原始資料!AK240&lt;&gt;"",原始資料!AL240=原始資料!AK240),N(AI240)+1,1))</f>
        <v/>
      </c>
      <c r="AK240" s="6">
        <f>IF(OR(原始資料!$A240="",36&gt;設定!$B$3,原始資料!AM240=""),"",IF(AND(原始資料!AL240&lt;&gt;"",原始資料!AM240=原始資料!AL240),N(AJ240)+1,1))</f>
        <v/>
      </c>
      <c r="AL240" s="6">
        <f>IF(OR(原始資料!$A240="",37&gt;設定!$B$3,原始資料!AN240=""),"",IF(AND(原始資料!AM240&lt;&gt;"",原始資料!AN240=原始資料!AM240),N(AK240)+1,1))</f>
        <v/>
      </c>
      <c r="AM240" s="6">
        <f>IF(OR(原始資料!$A240="",38&gt;設定!$B$3,原始資料!AO240=""),"",IF(AND(原始資料!AN240&lt;&gt;"",原始資料!AO240=原始資料!AN240),N(AL240)+1,1))</f>
        <v/>
      </c>
      <c r="AN240" s="6">
        <f>IF(OR(原始資料!$A240="",39&gt;設定!$B$3,原始資料!AP240=""),"",IF(AND(原始資料!AO240&lt;&gt;"",原始資料!AP240=原始資料!AO240),N(AM240)+1,1))</f>
        <v/>
      </c>
      <c r="AO240" s="6">
        <f>IF(OR(原始資料!$A240="",40&gt;設定!$B$3,原始資料!AQ240=""),"",IF(AND(原始資料!AP240&lt;&gt;"",原始資料!AQ240=原始資料!AP240),N(AN240)+1,1))</f>
        <v/>
      </c>
      <c r="AP240" s="6">
        <f>IF(OR(原始資料!$A240="",41&gt;設定!$B$3,原始資料!AR240=""),"",IF(AND(原始資料!AQ240&lt;&gt;"",原始資料!AR240=原始資料!AQ240),N(AO240)+1,1))</f>
        <v/>
      </c>
      <c r="AQ240" s="6">
        <f>IF(OR(原始資料!$A240="",42&gt;設定!$B$3,原始資料!AS240=""),"",IF(AND(原始資料!AR240&lt;&gt;"",原始資料!AS240=原始資料!AR240),N(AP240)+1,1))</f>
        <v/>
      </c>
      <c r="AR240" s="6">
        <f>IF(OR(原始資料!$A240="",43&gt;設定!$B$3,原始資料!AT240=""),"",IF(AND(原始資料!AS240&lt;&gt;"",原始資料!AT240=原始資料!AS240),N(AQ240)+1,1))</f>
        <v/>
      </c>
      <c r="AS240" s="6">
        <f>IF(OR(原始資料!$A240="",44&gt;設定!$B$3,原始資料!AU240=""),"",IF(AND(原始資料!AT240&lt;&gt;"",原始資料!AU240=原始資料!AT240),N(AR240)+1,1))</f>
        <v/>
      </c>
      <c r="AT240" s="6">
        <f>IF(OR(原始資料!$A240="",45&gt;設定!$B$3,原始資料!AV240=""),"",IF(AND(原始資料!AU240&lt;&gt;"",原始資料!AV240=原始資料!AU240),N(AS240)+1,1))</f>
        <v/>
      </c>
      <c r="AU240" s="6">
        <f>IF(OR(原始資料!$A240="",46&gt;設定!$B$3,原始資料!AW240=""),"",IF(AND(原始資料!AV240&lt;&gt;"",原始資料!AW240=原始資料!AV240),N(AT240)+1,1))</f>
        <v/>
      </c>
      <c r="AV240" s="6">
        <f>IF(OR(原始資料!$A240="",47&gt;設定!$B$3,原始資料!AX240=""),"",IF(AND(原始資料!AW240&lt;&gt;"",原始資料!AX240=原始資料!AW240),N(AU240)+1,1))</f>
        <v/>
      </c>
      <c r="AW240" s="6">
        <f>IF(OR(原始資料!$A240="",48&gt;設定!$B$3,原始資料!AY240=""),"",IF(AND(原始資料!AX240&lt;&gt;"",原始資料!AY240=原始資料!AX240),N(AV240)+1,1))</f>
        <v/>
      </c>
      <c r="AX240" s="6">
        <f>IF(OR(原始資料!$A240="",49&gt;設定!$B$3,原始資料!AZ240=""),"",IF(AND(原始資料!AY240&lt;&gt;"",原始資料!AZ240=原始資料!AY240),N(AW240)+1,1))</f>
        <v/>
      </c>
      <c r="AY240" s="6">
        <f>IF(OR(原始資料!$A240="",50&gt;設定!$B$3,原始資料!BA240=""),"",IF(AND(原始資料!AZ240&lt;&gt;"",原始資料!BA240=原始資料!AZ240),N(AX240)+1,1))</f>
        <v/>
      </c>
      <c r="AZ240" s="6">
        <f>IF(OR(原始資料!$A240="",51&gt;設定!$B$3,原始資料!BB240=""),"",IF(AND(原始資料!BA240&lt;&gt;"",原始資料!BB240=原始資料!BA240),N(AY240)+1,1))</f>
        <v/>
      </c>
      <c r="BA240" s="6">
        <f>IF(OR(原始資料!$A240="",52&gt;設定!$B$3,原始資料!BC240=""),"",IF(AND(原始資料!BB240&lt;&gt;"",原始資料!BC240=原始資料!BB240),N(AZ240)+1,1))</f>
        <v/>
      </c>
      <c r="BB240" s="6">
        <f>IF(OR(原始資料!$A240="",53&gt;設定!$B$3,原始資料!BD240=""),"",IF(AND(原始資料!BC240&lt;&gt;"",原始資料!BD240=原始資料!BC240),N(BA240)+1,1))</f>
        <v/>
      </c>
      <c r="BC240" s="6">
        <f>IF(OR(原始資料!$A240="",54&gt;設定!$B$3,原始資料!BE240=""),"",IF(AND(原始資料!BD240&lt;&gt;"",原始資料!BE240=原始資料!BD240),N(BB240)+1,1))</f>
        <v/>
      </c>
      <c r="BD240" s="6">
        <f>IF(OR(原始資料!$A240="",55&gt;設定!$B$3,原始資料!BF240=""),"",IF(AND(原始資料!BE240&lt;&gt;"",原始資料!BF240=原始資料!BE240),N(BC240)+1,1))</f>
        <v/>
      </c>
      <c r="BE240" s="6">
        <f>IF(OR(原始資料!$A240="",56&gt;設定!$B$3,原始資料!BG240=""),"",IF(AND(原始資料!BF240&lt;&gt;"",原始資料!BG240=原始資料!BF240),N(BD240)+1,1))</f>
        <v/>
      </c>
      <c r="BF240" s="6">
        <f>IF(OR(原始資料!$A240="",57&gt;設定!$B$3,原始資料!BH240=""),"",IF(AND(原始資料!BG240&lt;&gt;"",原始資料!BH240=原始資料!BG240),N(BE240)+1,1))</f>
        <v/>
      </c>
      <c r="BG240" s="6">
        <f>IF(OR(原始資料!$A240="",58&gt;設定!$B$3,原始資料!BI240=""),"",IF(AND(原始資料!BH240&lt;&gt;"",原始資料!BI240=原始資料!BH240),N(BF240)+1,1))</f>
        <v/>
      </c>
      <c r="BH240" s="6">
        <f>IF(OR(原始資料!$A240="",59&gt;設定!$B$3,原始資料!BJ240=""),"",IF(AND(原始資料!BI240&lt;&gt;"",原始資料!BJ240=原始資料!BI240),N(BG240)+1,1))</f>
        <v/>
      </c>
      <c r="BI240" s="6">
        <f>IF(OR(原始資料!$A240="",60&gt;設定!$B$3,原始資料!BK240=""),"",IF(AND(原始資料!BJ240&lt;&gt;"",原始資料!BK240=原始資料!BJ240),N(BH240)+1,1))</f>
        <v/>
      </c>
    </row>
    <row r="241">
      <c r="A241" s="6">
        <f>IF(原始資料!$A241="","",原始資料!$A241)</f>
        <v/>
      </c>
      <c r="B241" s="6">
        <f>IF(OR(原始資料!$A241="",1&gt;設定!$B$3,原始資料!D241=""),"",1)</f>
        <v/>
      </c>
      <c r="C241" s="6">
        <f>IF(OR(原始資料!$A241="",2&gt;設定!$B$3,原始資料!E241=""),"",IF(AND(原始資料!D241&lt;&gt;"",原始資料!E241=原始資料!D241),N(B241)+1,1))</f>
        <v/>
      </c>
      <c r="D241" s="6">
        <f>IF(OR(原始資料!$A241="",3&gt;設定!$B$3,原始資料!F241=""),"",IF(AND(原始資料!E241&lt;&gt;"",原始資料!F241=原始資料!E241),N(C241)+1,1))</f>
        <v/>
      </c>
      <c r="E241" s="6">
        <f>IF(OR(原始資料!$A241="",4&gt;設定!$B$3,原始資料!G241=""),"",IF(AND(原始資料!F241&lt;&gt;"",原始資料!G241=原始資料!F241),N(D241)+1,1))</f>
        <v/>
      </c>
      <c r="F241" s="6">
        <f>IF(OR(原始資料!$A241="",5&gt;設定!$B$3,原始資料!H241=""),"",IF(AND(原始資料!G241&lt;&gt;"",原始資料!H241=原始資料!G241),N(E241)+1,1))</f>
        <v/>
      </c>
      <c r="G241" s="6">
        <f>IF(OR(原始資料!$A241="",6&gt;設定!$B$3,原始資料!I241=""),"",IF(AND(原始資料!H241&lt;&gt;"",原始資料!I241=原始資料!H241),N(F241)+1,1))</f>
        <v/>
      </c>
      <c r="H241" s="6">
        <f>IF(OR(原始資料!$A241="",7&gt;設定!$B$3,原始資料!J241=""),"",IF(AND(原始資料!I241&lt;&gt;"",原始資料!J241=原始資料!I241),N(G241)+1,1))</f>
        <v/>
      </c>
      <c r="I241" s="6">
        <f>IF(OR(原始資料!$A241="",8&gt;設定!$B$3,原始資料!K241=""),"",IF(AND(原始資料!J241&lt;&gt;"",原始資料!K241=原始資料!J241),N(H241)+1,1))</f>
        <v/>
      </c>
      <c r="J241" s="6">
        <f>IF(OR(原始資料!$A241="",9&gt;設定!$B$3,原始資料!L241=""),"",IF(AND(原始資料!K241&lt;&gt;"",原始資料!L241=原始資料!K241),N(I241)+1,1))</f>
        <v/>
      </c>
      <c r="K241" s="6">
        <f>IF(OR(原始資料!$A241="",10&gt;設定!$B$3,原始資料!M241=""),"",IF(AND(原始資料!L241&lt;&gt;"",原始資料!M241=原始資料!L241),N(J241)+1,1))</f>
        <v/>
      </c>
      <c r="L241" s="6">
        <f>IF(OR(原始資料!$A241="",11&gt;設定!$B$3,原始資料!N241=""),"",IF(AND(原始資料!M241&lt;&gt;"",原始資料!N241=原始資料!M241),N(K241)+1,1))</f>
        <v/>
      </c>
      <c r="M241" s="6">
        <f>IF(OR(原始資料!$A241="",12&gt;設定!$B$3,原始資料!O241=""),"",IF(AND(原始資料!N241&lt;&gt;"",原始資料!O241=原始資料!N241),N(L241)+1,1))</f>
        <v/>
      </c>
      <c r="N241" s="6">
        <f>IF(OR(原始資料!$A241="",13&gt;設定!$B$3,原始資料!P241=""),"",IF(AND(原始資料!O241&lt;&gt;"",原始資料!P241=原始資料!O241),N(M241)+1,1))</f>
        <v/>
      </c>
      <c r="O241" s="6">
        <f>IF(OR(原始資料!$A241="",14&gt;設定!$B$3,原始資料!Q241=""),"",IF(AND(原始資料!P241&lt;&gt;"",原始資料!Q241=原始資料!P241),N(N241)+1,1))</f>
        <v/>
      </c>
      <c r="P241" s="6">
        <f>IF(OR(原始資料!$A241="",15&gt;設定!$B$3,原始資料!R241=""),"",IF(AND(原始資料!Q241&lt;&gt;"",原始資料!R241=原始資料!Q241),N(O241)+1,1))</f>
        <v/>
      </c>
      <c r="Q241" s="6">
        <f>IF(OR(原始資料!$A241="",16&gt;設定!$B$3,原始資料!S241=""),"",IF(AND(原始資料!R241&lt;&gt;"",原始資料!S241=原始資料!R241),N(P241)+1,1))</f>
        <v/>
      </c>
      <c r="R241" s="6">
        <f>IF(OR(原始資料!$A241="",17&gt;設定!$B$3,原始資料!T241=""),"",IF(AND(原始資料!S241&lt;&gt;"",原始資料!T241=原始資料!S241),N(Q241)+1,1))</f>
        <v/>
      </c>
      <c r="S241" s="6">
        <f>IF(OR(原始資料!$A241="",18&gt;設定!$B$3,原始資料!U241=""),"",IF(AND(原始資料!T241&lt;&gt;"",原始資料!U241=原始資料!T241),N(R241)+1,1))</f>
        <v/>
      </c>
      <c r="T241" s="6">
        <f>IF(OR(原始資料!$A241="",19&gt;設定!$B$3,原始資料!V241=""),"",IF(AND(原始資料!U241&lt;&gt;"",原始資料!V241=原始資料!U241),N(S241)+1,1))</f>
        <v/>
      </c>
      <c r="U241" s="6">
        <f>IF(OR(原始資料!$A241="",20&gt;設定!$B$3,原始資料!W241=""),"",IF(AND(原始資料!V241&lt;&gt;"",原始資料!W241=原始資料!V241),N(T241)+1,1))</f>
        <v/>
      </c>
      <c r="V241" s="6">
        <f>IF(OR(原始資料!$A241="",21&gt;設定!$B$3,原始資料!X241=""),"",IF(AND(原始資料!W241&lt;&gt;"",原始資料!X241=原始資料!W241),N(U241)+1,1))</f>
        <v/>
      </c>
      <c r="W241" s="6">
        <f>IF(OR(原始資料!$A241="",22&gt;設定!$B$3,原始資料!Y241=""),"",IF(AND(原始資料!X241&lt;&gt;"",原始資料!Y241=原始資料!X241),N(V241)+1,1))</f>
        <v/>
      </c>
      <c r="X241" s="6">
        <f>IF(OR(原始資料!$A241="",23&gt;設定!$B$3,原始資料!Z241=""),"",IF(AND(原始資料!Y241&lt;&gt;"",原始資料!Z241=原始資料!Y241),N(W241)+1,1))</f>
        <v/>
      </c>
      <c r="Y241" s="6">
        <f>IF(OR(原始資料!$A241="",24&gt;設定!$B$3,原始資料!AA241=""),"",IF(AND(原始資料!Z241&lt;&gt;"",原始資料!AA241=原始資料!Z241),N(X241)+1,1))</f>
        <v/>
      </c>
      <c r="Z241" s="6">
        <f>IF(OR(原始資料!$A241="",25&gt;設定!$B$3,原始資料!AB241=""),"",IF(AND(原始資料!AA241&lt;&gt;"",原始資料!AB241=原始資料!AA241),N(Y241)+1,1))</f>
        <v/>
      </c>
      <c r="AA241" s="6">
        <f>IF(OR(原始資料!$A241="",26&gt;設定!$B$3,原始資料!AC241=""),"",IF(AND(原始資料!AB241&lt;&gt;"",原始資料!AC241=原始資料!AB241),N(Z241)+1,1))</f>
        <v/>
      </c>
      <c r="AB241" s="6">
        <f>IF(OR(原始資料!$A241="",27&gt;設定!$B$3,原始資料!AD241=""),"",IF(AND(原始資料!AC241&lt;&gt;"",原始資料!AD241=原始資料!AC241),N(AA241)+1,1))</f>
        <v/>
      </c>
      <c r="AC241" s="6">
        <f>IF(OR(原始資料!$A241="",28&gt;設定!$B$3,原始資料!AE241=""),"",IF(AND(原始資料!AD241&lt;&gt;"",原始資料!AE241=原始資料!AD241),N(AB241)+1,1))</f>
        <v/>
      </c>
      <c r="AD241" s="6">
        <f>IF(OR(原始資料!$A241="",29&gt;設定!$B$3,原始資料!AF241=""),"",IF(AND(原始資料!AE241&lt;&gt;"",原始資料!AF241=原始資料!AE241),N(AC241)+1,1))</f>
        <v/>
      </c>
      <c r="AE241" s="6">
        <f>IF(OR(原始資料!$A241="",30&gt;設定!$B$3,原始資料!AG241=""),"",IF(AND(原始資料!AF241&lt;&gt;"",原始資料!AG241=原始資料!AF241),N(AD241)+1,1))</f>
        <v/>
      </c>
      <c r="AF241" s="6">
        <f>IF(OR(原始資料!$A241="",31&gt;設定!$B$3,原始資料!AH241=""),"",IF(AND(原始資料!AG241&lt;&gt;"",原始資料!AH241=原始資料!AG241),N(AE241)+1,1))</f>
        <v/>
      </c>
      <c r="AG241" s="6">
        <f>IF(OR(原始資料!$A241="",32&gt;設定!$B$3,原始資料!AI241=""),"",IF(AND(原始資料!AH241&lt;&gt;"",原始資料!AI241=原始資料!AH241),N(AF241)+1,1))</f>
        <v/>
      </c>
      <c r="AH241" s="6">
        <f>IF(OR(原始資料!$A241="",33&gt;設定!$B$3,原始資料!AJ241=""),"",IF(AND(原始資料!AI241&lt;&gt;"",原始資料!AJ241=原始資料!AI241),N(AG241)+1,1))</f>
        <v/>
      </c>
      <c r="AI241" s="6">
        <f>IF(OR(原始資料!$A241="",34&gt;設定!$B$3,原始資料!AK241=""),"",IF(AND(原始資料!AJ241&lt;&gt;"",原始資料!AK241=原始資料!AJ241),N(AH241)+1,1))</f>
        <v/>
      </c>
      <c r="AJ241" s="6">
        <f>IF(OR(原始資料!$A241="",35&gt;設定!$B$3,原始資料!AL241=""),"",IF(AND(原始資料!AK241&lt;&gt;"",原始資料!AL241=原始資料!AK241),N(AI241)+1,1))</f>
        <v/>
      </c>
      <c r="AK241" s="6">
        <f>IF(OR(原始資料!$A241="",36&gt;設定!$B$3,原始資料!AM241=""),"",IF(AND(原始資料!AL241&lt;&gt;"",原始資料!AM241=原始資料!AL241),N(AJ241)+1,1))</f>
        <v/>
      </c>
      <c r="AL241" s="6">
        <f>IF(OR(原始資料!$A241="",37&gt;設定!$B$3,原始資料!AN241=""),"",IF(AND(原始資料!AM241&lt;&gt;"",原始資料!AN241=原始資料!AM241),N(AK241)+1,1))</f>
        <v/>
      </c>
      <c r="AM241" s="6">
        <f>IF(OR(原始資料!$A241="",38&gt;設定!$B$3,原始資料!AO241=""),"",IF(AND(原始資料!AN241&lt;&gt;"",原始資料!AO241=原始資料!AN241),N(AL241)+1,1))</f>
        <v/>
      </c>
      <c r="AN241" s="6">
        <f>IF(OR(原始資料!$A241="",39&gt;設定!$B$3,原始資料!AP241=""),"",IF(AND(原始資料!AO241&lt;&gt;"",原始資料!AP241=原始資料!AO241),N(AM241)+1,1))</f>
        <v/>
      </c>
      <c r="AO241" s="6">
        <f>IF(OR(原始資料!$A241="",40&gt;設定!$B$3,原始資料!AQ241=""),"",IF(AND(原始資料!AP241&lt;&gt;"",原始資料!AQ241=原始資料!AP241),N(AN241)+1,1))</f>
        <v/>
      </c>
      <c r="AP241" s="6">
        <f>IF(OR(原始資料!$A241="",41&gt;設定!$B$3,原始資料!AR241=""),"",IF(AND(原始資料!AQ241&lt;&gt;"",原始資料!AR241=原始資料!AQ241),N(AO241)+1,1))</f>
        <v/>
      </c>
      <c r="AQ241" s="6">
        <f>IF(OR(原始資料!$A241="",42&gt;設定!$B$3,原始資料!AS241=""),"",IF(AND(原始資料!AR241&lt;&gt;"",原始資料!AS241=原始資料!AR241),N(AP241)+1,1))</f>
        <v/>
      </c>
      <c r="AR241" s="6">
        <f>IF(OR(原始資料!$A241="",43&gt;設定!$B$3,原始資料!AT241=""),"",IF(AND(原始資料!AS241&lt;&gt;"",原始資料!AT241=原始資料!AS241),N(AQ241)+1,1))</f>
        <v/>
      </c>
      <c r="AS241" s="6">
        <f>IF(OR(原始資料!$A241="",44&gt;設定!$B$3,原始資料!AU241=""),"",IF(AND(原始資料!AT241&lt;&gt;"",原始資料!AU241=原始資料!AT241),N(AR241)+1,1))</f>
        <v/>
      </c>
      <c r="AT241" s="6">
        <f>IF(OR(原始資料!$A241="",45&gt;設定!$B$3,原始資料!AV241=""),"",IF(AND(原始資料!AU241&lt;&gt;"",原始資料!AV241=原始資料!AU241),N(AS241)+1,1))</f>
        <v/>
      </c>
      <c r="AU241" s="6">
        <f>IF(OR(原始資料!$A241="",46&gt;設定!$B$3,原始資料!AW241=""),"",IF(AND(原始資料!AV241&lt;&gt;"",原始資料!AW241=原始資料!AV241),N(AT241)+1,1))</f>
        <v/>
      </c>
      <c r="AV241" s="6">
        <f>IF(OR(原始資料!$A241="",47&gt;設定!$B$3,原始資料!AX241=""),"",IF(AND(原始資料!AW241&lt;&gt;"",原始資料!AX241=原始資料!AW241),N(AU241)+1,1))</f>
        <v/>
      </c>
      <c r="AW241" s="6">
        <f>IF(OR(原始資料!$A241="",48&gt;設定!$B$3,原始資料!AY241=""),"",IF(AND(原始資料!AX241&lt;&gt;"",原始資料!AY241=原始資料!AX241),N(AV241)+1,1))</f>
        <v/>
      </c>
      <c r="AX241" s="6">
        <f>IF(OR(原始資料!$A241="",49&gt;設定!$B$3,原始資料!AZ241=""),"",IF(AND(原始資料!AY241&lt;&gt;"",原始資料!AZ241=原始資料!AY241),N(AW241)+1,1))</f>
        <v/>
      </c>
      <c r="AY241" s="6">
        <f>IF(OR(原始資料!$A241="",50&gt;設定!$B$3,原始資料!BA241=""),"",IF(AND(原始資料!AZ241&lt;&gt;"",原始資料!BA241=原始資料!AZ241),N(AX241)+1,1))</f>
        <v/>
      </c>
      <c r="AZ241" s="6">
        <f>IF(OR(原始資料!$A241="",51&gt;設定!$B$3,原始資料!BB241=""),"",IF(AND(原始資料!BA241&lt;&gt;"",原始資料!BB241=原始資料!BA241),N(AY241)+1,1))</f>
        <v/>
      </c>
      <c r="BA241" s="6">
        <f>IF(OR(原始資料!$A241="",52&gt;設定!$B$3,原始資料!BC241=""),"",IF(AND(原始資料!BB241&lt;&gt;"",原始資料!BC241=原始資料!BB241),N(AZ241)+1,1))</f>
        <v/>
      </c>
      <c r="BB241" s="6">
        <f>IF(OR(原始資料!$A241="",53&gt;設定!$B$3,原始資料!BD241=""),"",IF(AND(原始資料!BC241&lt;&gt;"",原始資料!BD241=原始資料!BC241),N(BA241)+1,1))</f>
        <v/>
      </c>
      <c r="BC241" s="6">
        <f>IF(OR(原始資料!$A241="",54&gt;設定!$B$3,原始資料!BE241=""),"",IF(AND(原始資料!BD241&lt;&gt;"",原始資料!BE241=原始資料!BD241),N(BB241)+1,1))</f>
        <v/>
      </c>
      <c r="BD241" s="6">
        <f>IF(OR(原始資料!$A241="",55&gt;設定!$B$3,原始資料!BF241=""),"",IF(AND(原始資料!BE241&lt;&gt;"",原始資料!BF241=原始資料!BE241),N(BC241)+1,1))</f>
        <v/>
      </c>
      <c r="BE241" s="6">
        <f>IF(OR(原始資料!$A241="",56&gt;設定!$B$3,原始資料!BG241=""),"",IF(AND(原始資料!BF241&lt;&gt;"",原始資料!BG241=原始資料!BF241),N(BD241)+1,1))</f>
        <v/>
      </c>
      <c r="BF241" s="6">
        <f>IF(OR(原始資料!$A241="",57&gt;設定!$B$3,原始資料!BH241=""),"",IF(AND(原始資料!BG241&lt;&gt;"",原始資料!BH241=原始資料!BG241),N(BE241)+1,1))</f>
        <v/>
      </c>
      <c r="BG241" s="6">
        <f>IF(OR(原始資料!$A241="",58&gt;設定!$B$3,原始資料!BI241=""),"",IF(AND(原始資料!BH241&lt;&gt;"",原始資料!BI241=原始資料!BH241),N(BF241)+1,1))</f>
        <v/>
      </c>
      <c r="BH241" s="6">
        <f>IF(OR(原始資料!$A241="",59&gt;設定!$B$3,原始資料!BJ241=""),"",IF(AND(原始資料!BI241&lt;&gt;"",原始資料!BJ241=原始資料!BI241),N(BG241)+1,1))</f>
        <v/>
      </c>
      <c r="BI241" s="6">
        <f>IF(OR(原始資料!$A241="",60&gt;設定!$B$3,原始資料!BK241=""),"",IF(AND(原始資料!BJ241&lt;&gt;"",原始資料!BK241=原始資料!BJ241),N(BH241)+1,1))</f>
        <v/>
      </c>
    </row>
    <row r="242">
      <c r="A242" s="6">
        <f>IF(原始資料!$A242="","",原始資料!$A242)</f>
        <v/>
      </c>
      <c r="B242" s="6">
        <f>IF(OR(原始資料!$A242="",1&gt;設定!$B$3,原始資料!D242=""),"",1)</f>
        <v/>
      </c>
      <c r="C242" s="6">
        <f>IF(OR(原始資料!$A242="",2&gt;設定!$B$3,原始資料!E242=""),"",IF(AND(原始資料!D242&lt;&gt;"",原始資料!E242=原始資料!D242),N(B242)+1,1))</f>
        <v/>
      </c>
      <c r="D242" s="6">
        <f>IF(OR(原始資料!$A242="",3&gt;設定!$B$3,原始資料!F242=""),"",IF(AND(原始資料!E242&lt;&gt;"",原始資料!F242=原始資料!E242),N(C242)+1,1))</f>
        <v/>
      </c>
      <c r="E242" s="6">
        <f>IF(OR(原始資料!$A242="",4&gt;設定!$B$3,原始資料!G242=""),"",IF(AND(原始資料!F242&lt;&gt;"",原始資料!G242=原始資料!F242),N(D242)+1,1))</f>
        <v/>
      </c>
      <c r="F242" s="6">
        <f>IF(OR(原始資料!$A242="",5&gt;設定!$B$3,原始資料!H242=""),"",IF(AND(原始資料!G242&lt;&gt;"",原始資料!H242=原始資料!G242),N(E242)+1,1))</f>
        <v/>
      </c>
      <c r="G242" s="6">
        <f>IF(OR(原始資料!$A242="",6&gt;設定!$B$3,原始資料!I242=""),"",IF(AND(原始資料!H242&lt;&gt;"",原始資料!I242=原始資料!H242),N(F242)+1,1))</f>
        <v/>
      </c>
      <c r="H242" s="6">
        <f>IF(OR(原始資料!$A242="",7&gt;設定!$B$3,原始資料!J242=""),"",IF(AND(原始資料!I242&lt;&gt;"",原始資料!J242=原始資料!I242),N(G242)+1,1))</f>
        <v/>
      </c>
      <c r="I242" s="6">
        <f>IF(OR(原始資料!$A242="",8&gt;設定!$B$3,原始資料!K242=""),"",IF(AND(原始資料!J242&lt;&gt;"",原始資料!K242=原始資料!J242),N(H242)+1,1))</f>
        <v/>
      </c>
      <c r="J242" s="6">
        <f>IF(OR(原始資料!$A242="",9&gt;設定!$B$3,原始資料!L242=""),"",IF(AND(原始資料!K242&lt;&gt;"",原始資料!L242=原始資料!K242),N(I242)+1,1))</f>
        <v/>
      </c>
      <c r="K242" s="6">
        <f>IF(OR(原始資料!$A242="",10&gt;設定!$B$3,原始資料!M242=""),"",IF(AND(原始資料!L242&lt;&gt;"",原始資料!M242=原始資料!L242),N(J242)+1,1))</f>
        <v/>
      </c>
      <c r="L242" s="6">
        <f>IF(OR(原始資料!$A242="",11&gt;設定!$B$3,原始資料!N242=""),"",IF(AND(原始資料!M242&lt;&gt;"",原始資料!N242=原始資料!M242),N(K242)+1,1))</f>
        <v/>
      </c>
      <c r="M242" s="6">
        <f>IF(OR(原始資料!$A242="",12&gt;設定!$B$3,原始資料!O242=""),"",IF(AND(原始資料!N242&lt;&gt;"",原始資料!O242=原始資料!N242),N(L242)+1,1))</f>
        <v/>
      </c>
      <c r="N242" s="6">
        <f>IF(OR(原始資料!$A242="",13&gt;設定!$B$3,原始資料!P242=""),"",IF(AND(原始資料!O242&lt;&gt;"",原始資料!P242=原始資料!O242),N(M242)+1,1))</f>
        <v/>
      </c>
      <c r="O242" s="6">
        <f>IF(OR(原始資料!$A242="",14&gt;設定!$B$3,原始資料!Q242=""),"",IF(AND(原始資料!P242&lt;&gt;"",原始資料!Q242=原始資料!P242),N(N242)+1,1))</f>
        <v/>
      </c>
      <c r="P242" s="6">
        <f>IF(OR(原始資料!$A242="",15&gt;設定!$B$3,原始資料!R242=""),"",IF(AND(原始資料!Q242&lt;&gt;"",原始資料!R242=原始資料!Q242),N(O242)+1,1))</f>
        <v/>
      </c>
      <c r="Q242" s="6">
        <f>IF(OR(原始資料!$A242="",16&gt;設定!$B$3,原始資料!S242=""),"",IF(AND(原始資料!R242&lt;&gt;"",原始資料!S242=原始資料!R242),N(P242)+1,1))</f>
        <v/>
      </c>
      <c r="R242" s="6">
        <f>IF(OR(原始資料!$A242="",17&gt;設定!$B$3,原始資料!T242=""),"",IF(AND(原始資料!S242&lt;&gt;"",原始資料!T242=原始資料!S242),N(Q242)+1,1))</f>
        <v/>
      </c>
      <c r="S242" s="6">
        <f>IF(OR(原始資料!$A242="",18&gt;設定!$B$3,原始資料!U242=""),"",IF(AND(原始資料!T242&lt;&gt;"",原始資料!U242=原始資料!T242),N(R242)+1,1))</f>
        <v/>
      </c>
      <c r="T242" s="6">
        <f>IF(OR(原始資料!$A242="",19&gt;設定!$B$3,原始資料!V242=""),"",IF(AND(原始資料!U242&lt;&gt;"",原始資料!V242=原始資料!U242),N(S242)+1,1))</f>
        <v/>
      </c>
      <c r="U242" s="6">
        <f>IF(OR(原始資料!$A242="",20&gt;設定!$B$3,原始資料!W242=""),"",IF(AND(原始資料!V242&lt;&gt;"",原始資料!W242=原始資料!V242),N(T242)+1,1))</f>
        <v/>
      </c>
      <c r="V242" s="6">
        <f>IF(OR(原始資料!$A242="",21&gt;設定!$B$3,原始資料!X242=""),"",IF(AND(原始資料!W242&lt;&gt;"",原始資料!X242=原始資料!W242),N(U242)+1,1))</f>
        <v/>
      </c>
      <c r="W242" s="6">
        <f>IF(OR(原始資料!$A242="",22&gt;設定!$B$3,原始資料!Y242=""),"",IF(AND(原始資料!X242&lt;&gt;"",原始資料!Y242=原始資料!X242),N(V242)+1,1))</f>
        <v/>
      </c>
      <c r="X242" s="6">
        <f>IF(OR(原始資料!$A242="",23&gt;設定!$B$3,原始資料!Z242=""),"",IF(AND(原始資料!Y242&lt;&gt;"",原始資料!Z242=原始資料!Y242),N(W242)+1,1))</f>
        <v/>
      </c>
      <c r="Y242" s="6">
        <f>IF(OR(原始資料!$A242="",24&gt;設定!$B$3,原始資料!AA242=""),"",IF(AND(原始資料!Z242&lt;&gt;"",原始資料!AA242=原始資料!Z242),N(X242)+1,1))</f>
        <v/>
      </c>
      <c r="Z242" s="6">
        <f>IF(OR(原始資料!$A242="",25&gt;設定!$B$3,原始資料!AB242=""),"",IF(AND(原始資料!AA242&lt;&gt;"",原始資料!AB242=原始資料!AA242),N(Y242)+1,1))</f>
        <v/>
      </c>
      <c r="AA242" s="6">
        <f>IF(OR(原始資料!$A242="",26&gt;設定!$B$3,原始資料!AC242=""),"",IF(AND(原始資料!AB242&lt;&gt;"",原始資料!AC242=原始資料!AB242),N(Z242)+1,1))</f>
        <v/>
      </c>
      <c r="AB242" s="6">
        <f>IF(OR(原始資料!$A242="",27&gt;設定!$B$3,原始資料!AD242=""),"",IF(AND(原始資料!AC242&lt;&gt;"",原始資料!AD242=原始資料!AC242),N(AA242)+1,1))</f>
        <v/>
      </c>
      <c r="AC242" s="6">
        <f>IF(OR(原始資料!$A242="",28&gt;設定!$B$3,原始資料!AE242=""),"",IF(AND(原始資料!AD242&lt;&gt;"",原始資料!AE242=原始資料!AD242),N(AB242)+1,1))</f>
        <v/>
      </c>
      <c r="AD242" s="6">
        <f>IF(OR(原始資料!$A242="",29&gt;設定!$B$3,原始資料!AF242=""),"",IF(AND(原始資料!AE242&lt;&gt;"",原始資料!AF242=原始資料!AE242),N(AC242)+1,1))</f>
        <v/>
      </c>
      <c r="AE242" s="6">
        <f>IF(OR(原始資料!$A242="",30&gt;設定!$B$3,原始資料!AG242=""),"",IF(AND(原始資料!AF242&lt;&gt;"",原始資料!AG242=原始資料!AF242),N(AD242)+1,1))</f>
        <v/>
      </c>
      <c r="AF242" s="6">
        <f>IF(OR(原始資料!$A242="",31&gt;設定!$B$3,原始資料!AH242=""),"",IF(AND(原始資料!AG242&lt;&gt;"",原始資料!AH242=原始資料!AG242),N(AE242)+1,1))</f>
        <v/>
      </c>
      <c r="AG242" s="6">
        <f>IF(OR(原始資料!$A242="",32&gt;設定!$B$3,原始資料!AI242=""),"",IF(AND(原始資料!AH242&lt;&gt;"",原始資料!AI242=原始資料!AH242),N(AF242)+1,1))</f>
        <v/>
      </c>
      <c r="AH242" s="6">
        <f>IF(OR(原始資料!$A242="",33&gt;設定!$B$3,原始資料!AJ242=""),"",IF(AND(原始資料!AI242&lt;&gt;"",原始資料!AJ242=原始資料!AI242),N(AG242)+1,1))</f>
        <v/>
      </c>
      <c r="AI242" s="6">
        <f>IF(OR(原始資料!$A242="",34&gt;設定!$B$3,原始資料!AK242=""),"",IF(AND(原始資料!AJ242&lt;&gt;"",原始資料!AK242=原始資料!AJ242),N(AH242)+1,1))</f>
        <v/>
      </c>
      <c r="AJ242" s="6">
        <f>IF(OR(原始資料!$A242="",35&gt;設定!$B$3,原始資料!AL242=""),"",IF(AND(原始資料!AK242&lt;&gt;"",原始資料!AL242=原始資料!AK242),N(AI242)+1,1))</f>
        <v/>
      </c>
      <c r="AK242" s="6">
        <f>IF(OR(原始資料!$A242="",36&gt;設定!$B$3,原始資料!AM242=""),"",IF(AND(原始資料!AL242&lt;&gt;"",原始資料!AM242=原始資料!AL242),N(AJ242)+1,1))</f>
        <v/>
      </c>
      <c r="AL242" s="6">
        <f>IF(OR(原始資料!$A242="",37&gt;設定!$B$3,原始資料!AN242=""),"",IF(AND(原始資料!AM242&lt;&gt;"",原始資料!AN242=原始資料!AM242),N(AK242)+1,1))</f>
        <v/>
      </c>
      <c r="AM242" s="6">
        <f>IF(OR(原始資料!$A242="",38&gt;設定!$B$3,原始資料!AO242=""),"",IF(AND(原始資料!AN242&lt;&gt;"",原始資料!AO242=原始資料!AN242),N(AL242)+1,1))</f>
        <v/>
      </c>
      <c r="AN242" s="6">
        <f>IF(OR(原始資料!$A242="",39&gt;設定!$B$3,原始資料!AP242=""),"",IF(AND(原始資料!AO242&lt;&gt;"",原始資料!AP242=原始資料!AO242),N(AM242)+1,1))</f>
        <v/>
      </c>
      <c r="AO242" s="6">
        <f>IF(OR(原始資料!$A242="",40&gt;設定!$B$3,原始資料!AQ242=""),"",IF(AND(原始資料!AP242&lt;&gt;"",原始資料!AQ242=原始資料!AP242),N(AN242)+1,1))</f>
        <v/>
      </c>
      <c r="AP242" s="6">
        <f>IF(OR(原始資料!$A242="",41&gt;設定!$B$3,原始資料!AR242=""),"",IF(AND(原始資料!AQ242&lt;&gt;"",原始資料!AR242=原始資料!AQ242),N(AO242)+1,1))</f>
        <v/>
      </c>
      <c r="AQ242" s="6">
        <f>IF(OR(原始資料!$A242="",42&gt;設定!$B$3,原始資料!AS242=""),"",IF(AND(原始資料!AR242&lt;&gt;"",原始資料!AS242=原始資料!AR242),N(AP242)+1,1))</f>
        <v/>
      </c>
      <c r="AR242" s="6">
        <f>IF(OR(原始資料!$A242="",43&gt;設定!$B$3,原始資料!AT242=""),"",IF(AND(原始資料!AS242&lt;&gt;"",原始資料!AT242=原始資料!AS242),N(AQ242)+1,1))</f>
        <v/>
      </c>
      <c r="AS242" s="6">
        <f>IF(OR(原始資料!$A242="",44&gt;設定!$B$3,原始資料!AU242=""),"",IF(AND(原始資料!AT242&lt;&gt;"",原始資料!AU242=原始資料!AT242),N(AR242)+1,1))</f>
        <v/>
      </c>
      <c r="AT242" s="6">
        <f>IF(OR(原始資料!$A242="",45&gt;設定!$B$3,原始資料!AV242=""),"",IF(AND(原始資料!AU242&lt;&gt;"",原始資料!AV242=原始資料!AU242),N(AS242)+1,1))</f>
        <v/>
      </c>
      <c r="AU242" s="6">
        <f>IF(OR(原始資料!$A242="",46&gt;設定!$B$3,原始資料!AW242=""),"",IF(AND(原始資料!AV242&lt;&gt;"",原始資料!AW242=原始資料!AV242),N(AT242)+1,1))</f>
        <v/>
      </c>
      <c r="AV242" s="6">
        <f>IF(OR(原始資料!$A242="",47&gt;設定!$B$3,原始資料!AX242=""),"",IF(AND(原始資料!AW242&lt;&gt;"",原始資料!AX242=原始資料!AW242),N(AU242)+1,1))</f>
        <v/>
      </c>
      <c r="AW242" s="6">
        <f>IF(OR(原始資料!$A242="",48&gt;設定!$B$3,原始資料!AY242=""),"",IF(AND(原始資料!AX242&lt;&gt;"",原始資料!AY242=原始資料!AX242),N(AV242)+1,1))</f>
        <v/>
      </c>
      <c r="AX242" s="6">
        <f>IF(OR(原始資料!$A242="",49&gt;設定!$B$3,原始資料!AZ242=""),"",IF(AND(原始資料!AY242&lt;&gt;"",原始資料!AZ242=原始資料!AY242),N(AW242)+1,1))</f>
        <v/>
      </c>
      <c r="AY242" s="6">
        <f>IF(OR(原始資料!$A242="",50&gt;設定!$B$3,原始資料!BA242=""),"",IF(AND(原始資料!AZ242&lt;&gt;"",原始資料!BA242=原始資料!AZ242),N(AX242)+1,1))</f>
        <v/>
      </c>
      <c r="AZ242" s="6">
        <f>IF(OR(原始資料!$A242="",51&gt;設定!$B$3,原始資料!BB242=""),"",IF(AND(原始資料!BA242&lt;&gt;"",原始資料!BB242=原始資料!BA242),N(AY242)+1,1))</f>
        <v/>
      </c>
      <c r="BA242" s="6">
        <f>IF(OR(原始資料!$A242="",52&gt;設定!$B$3,原始資料!BC242=""),"",IF(AND(原始資料!BB242&lt;&gt;"",原始資料!BC242=原始資料!BB242),N(AZ242)+1,1))</f>
        <v/>
      </c>
      <c r="BB242" s="6">
        <f>IF(OR(原始資料!$A242="",53&gt;設定!$B$3,原始資料!BD242=""),"",IF(AND(原始資料!BC242&lt;&gt;"",原始資料!BD242=原始資料!BC242),N(BA242)+1,1))</f>
        <v/>
      </c>
      <c r="BC242" s="6">
        <f>IF(OR(原始資料!$A242="",54&gt;設定!$B$3,原始資料!BE242=""),"",IF(AND(原始資料!BD242&lt;&gt;"",原始資料!BE242=原始資料!BD242),N(BB242)+1,1))</f>
        <v/>
      </c>
      <c r="BD242" s="6">
        <f>IF(OR(原始資料!$A242="",55&gt;設定!$B$3,原始資料!BF242=""),"",IF(AND(原始資料!BE242&lt;&gt;"",原始資料!BF242=原始資料!BE242),N(BC242)+1,1))</f>
        <v/>
      </c>
      <c r="BE242" s="6">
        <f>IF(OR(原始資料!$A242="",56&gt;設定!$B$3,原始資料!BG242=""),"",IF(AND(原始資料!BF242&lt;&gt;"",原始資料!BG242=原始資料!BF242),N(BD242)+1,1))</f>
        <v/>
      </c>
      <c r="BF242" s="6">
        <f>IF(OR(原始資料!$A242="",57&gt;設定!$B$3,原始資料!BH242=""),"",IF(AND(原始資料!BG242&lt;&gt;"",原始資料!BH242=原始資料!BG242),N(BE242)+1,1))</f>
        <v/>
      </c>
      <c r="BG242" s="6">
        <f>IF(OR(原始資料!$A242="",58&gt;設定!$B$3,原始資料!BI242=""),"",IF(AND(原始資料!BH242&lt;&gt;"",原始資料!BI242=原始資料!BH242),N(BF242)+1,1))</f>
        <v/>
      </c>
      <c r="BH242" s="6">
        <f>IF(OR(原始資料!$A242="",59&gt;設定!$B$3,原始資料!BJ242=""),"",IF(AND(原始資料!BI242&lt;&gt;"",原始資料!BJ242=原始資料!BI242),N(BG242)+1,1))</f>
        <v/>
      </c>
      <c r="BI242" s="6">
        <f>IF(OR(原始資料!$A242="",60&gt;設定!$B$3,原始資料!BK242=""),"",IF(AND(原始資料!BJ242&lt;&gt;"",原始資料!BK242=原始資料!BJ242),N(BH242)+1,1))</f>
        <v/>
      </c>
    </row>
    <row r="243">
      <c r="A243" s="6">
        <f>IF(原始資料!$A243="","",原始資料!$A243)</f>
        <v/>
      </c>
      <c r="B243" s="6">
        <f>IF(OR(原始資料!$A243="",1&gt;設定!$B$3,原始資料!D243=""),"",1)</f>
        <v/>
      </c>
      <c r="C243" s="6">
        <f>IF(OR(原始資料!$A243="",2&gt;設定!$B$3,原始資料!E243=""),"",IF(AND(原始資料!D243&lt;&gt;"",原始資料!E243=原始資料!D243),N(B243)+1,1))</f>
        <v/>
      </c>
      <c r="D243" s="6">
        <f>IF(OR(原始資料!$A243="",3&gt;設定!$B$3,原始資料!F243=""),"",IF(AND(原始資料!E243&lt;&gt;"",原始資料!F243=原始資料!E243),N(C243)+1,1))</f>
        <v/>
      </c>
      <c r="E243" s="6">
        <f>IF(OR(原始資料!$A243="",4&gt;設定!$B$3,原始資料!G243=""),"",IF(AND(原始資料!F243&lt;&gt;"",原始資料!G243=原始資料!F243),N(D243)+1,1))</f>
        <v/>
      </c>
      <c r="F243" s="6">
        <f>IF(OR(原始資料!$A243="",5&gt;設定!$B$3,原始資料!H243=""),"",IF(AND(原始資料!G243&lt;&gt;"",原始資料!H243=原始資料!G243),N(E243)+1,1))</f>
        <v/>
      </c>
      <c r="G243" s="6">
        <f>IF(OR(原始資料!$A243="",6&gt;設定!$B$3,原始資料!I243=""),"",IF(AND(原始資料!H243&lt;&gt;"",原始資料!I243=原始資料!H243),N(F243)+1,1))</f>
        <v/>
      </c>
      <c r="H243" s="6">
        <f>IF(OR(原始資料!$A243="",7&gt;設定!$B$3,原始資料!J243=""),"",IF(AND(原始資料!I243&lt;&gt;"",原始資料!J243=原始資料!I243),N(G243)+1,1))</f>
        <v/>
      </c>
      <c r="I243" s="6">
        <f>IF(OR(原始資料!$A243="",8&gt;設定!$B$3,原始資料!K243=""),"",IF(AND(原始資料!J243&lt;&gt;"",原始資料!K243=原始資料!J243),N(H243)+1,1))</f>
        <v/>
      </c>
      <c r="J243" s="6">
        <f>IF(OR(原始資料!$A243="",9&gt;設定!$B$3,原始資料!L243=""),"",IF(AND(原始資料!K243&lt;&gt;"",原始資料!L243=原始資料!K243),N(I243)+1,1))</f>
        <v/>
      </c>
      <c r="K243" s="6">
        <f>IF(OR(原始資料!$A243="",10&gt;設定!$B$3,原始資料!M243=""),"",IF(AND(原始資料!L243&lt;&gt;"",原始資料!M243=原始資料!L243),N(J243)+1,1))</f>
        <v/>
      </c>
      <c r="L243" s="6">
        <f>IF(OR(原始資料!$A243="",11&gt;設定!$B$3,原始資料!N243=""),"",IF(AND(原始資料!M243&lt;&gt;"",原始資料!N243=原始資料!M243),N(K243)+1,1))</f>
        <v/>
      </c>
      <c r="M243" s="6">
        <f>IF(OR(原始資料!$A243="",12&gt;設定!$B$3,原始資料!O243=""),"",IF(AND(原始資料!N243&lt;&gt;"",原始資料!O243=原始資料!N243),N(L243)+1,1))</f>
        <v/>
      </c>
      <c r="N243" s="6">
        <f>IF(OR(原始資料!$A243="",13&gt;設定!$B$3,原始資料!P243=""),"",IF(AND(原始資料!O243&lt;&gt;"",原始資料!P243=原始資料!O243),N(M243)+1,1))</f>
        <v/>
      </c>
      <c r="O243" s="6">
        <f>IF(OR(原始資料!$A243="",14&gt;設定!$B$3,原始資料!Q243=""),"",IF(AND(原始資料!P243&lt;&gt;"",原始資料!Q243=原始資料!P243),N(N243)+1,1))</f>
        <v/>
      </c>
      <c r="P243" s="6">
        <f>IF(OR(原始資料!$A243="",15&gt;設定!$B$3,原始資料!R243=""),"",IF(AND(原始資料!Q243&lt;&gt;"",原始資料!R243=原始資料!Q243),N(O243)+1,1))</f>
        <v/>
      </c>
      <c r="Q243" s="6">
        <f>IF(OR(原始資料!$A243="",16&gt;設定!$B$3,原始資料!S243=""),"",IF(AND(原始資料!R243&lt;&gt;"",原始資料!S243=原始資料!R243),N(P243)+1,1))</f>
        <v/>
      </c>
      <c r="R243" s="6">
        <f>IF(OR(原始資料!$A243="",17&gt;設定!$B$3,原始資料!T243=""),"",IF(AND(原始資料!S243&lt;&gt;"",原始資料!T243=原始資料!S243),N(Q243)+1,1))</f>
        <v/>
      </c>
      <c r="S243" s="6">
        <f>IF(OR(原始資料!$A243="",18&gt;設定!$B$3,原始資料!U243=""),"",IF(AND(原始資料!T243&lt;&gt;"",原始資料!U243=原始資料!T243),N(R243)+1,1))</f>
        <v/>
      </c>
      <c r="T243" s="6">
        <f>IF(OR(原始資料!$A243="",19&gt;設定!$B$3,原始資料!V243=""),"",IF(AND(原始資料!U243&lt;&gt;"",原始資料!V243=原始資料!U243),N(S243)+1,1))</f>
        <v/>
      </c>
      <c r="U243" s="6">
        <f>IF(OR(原始資料!$A243="",20&gt;設定!$B$3,原始資料!W243=""),"",IF(AND(原始資料!V243&lt;&gt;"",原始資料!W243=原始資料!V243),N(T243)+1,1))</f>
        <v/>
      </c>
      <c r="V243" s="6">
        <f>IF(OR(原始資料!$A243="",21&gt;設定!$B$3,原始資料!X243=""),"",IF(AND(原始資料!W243&lt;&gt;"",原始資料!X243=原始資料!W243),N(U243)+1,1))</f>
        <v/>
      </c>
      <c r="W243" s="6">
        <f>IF(OR(原始資料!$A243="",22&gt;設定!$B$3,原始資料!Y243=""),"",IF(AND(原始資料!X243&lt;&gt;"",原始資料!Y243=原始資料!X243),N(V243)+1,1))</f>
        <v/>
      </c>
      <c r="X243" s="6">
        <f>IF(OR(原始資料!$A243="",23&gt;設定!$B$3,原始資料!Z243=""),"",IF(AND(原始資料!Y243&lt;&gt;"",原始資料!Z243=原始資料!Y243),N(W243)+1,1))</f>
        <v/>
      </c>
      <c r="Y243" s="6">
        <f>IF(OR(原始資料!$A243="",24&gt;設定!$B$3,原始資料!AA243=""),"",IF(AND(原始資料!Z243&lt;&gt;"",原始資料!AA243=原始資料!Z243),N(X243)+1,1))</f>
        <v/>
      </c>
      <c r="Z243" s="6">
        <f>IF(OR(原始資料!$A243="",25&gt;設定!$B$3,原始資料!AB243=""),"",IF(AND(原始資料!AA243&lt;&gt;"",原始資料!AB243=原始資料!AA243),N(Y243)+1,1))</f>
        <v/>
      </c>
      <c r="AA243" s="6">
        <f>IF(OR(原始資料!$A243="",26&gt;設定!$B$3,原始資料!AC243=""),"",IF(AND(原始資料!AB243&lt;&gt;"",原始資料!AC243=原始資料!AB243),N(Z243)+1,1))</f>
        <v/>
      </c>
      <c r="AB243" s="6">
        <f>IF(OR(原始資料!$A243="",27&gt;設定!$B$3,原始資料!AD243=""),"",IF(AND(原始資料!AC243&lt;&gt;"",原始資料!AD243=原始資料!AC243),N(AA243)+1,1))</f>
        <v/>
      </c>
      <c r="AC243" s="6">
        <f>IF(OR(原始資料!$A243="",28&gt;設定!$B$3,原始資料!AE243=""),"",IF(AND(原始資料!AD243&lt;&gt;"",原始資料!AE243=原始資料!AD243),N(AB243)+1,1))</f>
        <v/>
      </c>
      <c r="AD243" s="6">
        <f>IF(OR(原始資料!$A243="",29&gt;設定!$B$3,原始資料!AF243=""),"",IF(AND(原始資料!AE243&lt;&gt;"",原始資料!AF243=原始資料!AE243),N(AC243)+1,1))</f>
        <v/>
      </c>
      <c r="AE243" s="6">
        <f>IF(OR(原始資料!$A243="",30&gt;設定!$B$3,原始資料!AG243=""),"",IF(AND(原始資料!AF243&lt;&gt;"",原始資料!AG243=原始資料!AF243),N(AD243)+1,1))</f>
        <v/>
      </c>
      <c r="AF243" s="6">
        <f>IF(OR(原始資料!$A243="",31&gt;設定!$B$3,原始資料!AH243=""),"",IF(AND(原始資料!AG243&lt;&gt;"",原始資料!AH243=原始資料!AG243),N(AE243)+1,1))</f>
        <v/>
      </c>
      <c r="AG243" s="6">
        <f>IF(OR(原始資料!$A243="",32&gt;設定!$B$3,原始資料!AI243=""),"",IF(AND(原始資料!AH243&lt;&gt;"",原始資料!AI243=原始資料!AH243),N(AF243)+1,1))</f>
        <v/>
      </c>
      <c r="AH243" s="6">
        <f>IF(OR(原始資料!$A243="",33&gt;設定!$B$3,原始資料!AJ243=""),"",IF(AND(原始資料!AI243&lt;&gt;"",原始資料!AJ243=原始資料!AI243),N(AG243)+1,1))</f>
        <v/>
      </c>
      <c r="AI243" s="6">
        <f>IF(OR(原始資料!$A243="",34&gt;設定!$B$3,原始資料!AK243=""),"",IF(AND(原始資料!AJ243&lt;&gt;"",原始資料!AK243=原始資料!AJ243),N(AH243)+1,1))</f>
        <v/>
      </c>
      <c r="AJ243" s="6">
        <f>IF(OR(原始資料!$A243="",35&gt;設定!$B$3,原始資料!AL243=""),"",IF(AND(原始資料!AK243&lt;&gt;"",原始資料!AL243=原始資料!AK243),N(AI243)+1,1))</f>
        <v/>
      </c>
      <c r="AK243" s="6">
        <f>IF(OR(原始資料!$A243="",36&gt;設定!$B$3,原始資料!AM243=""),"",IF(AND(原始資料!AL243&lt;&gt;"",原始資料!AM243=原始資料!AL243),N(AJ243)+1,1))</f>
        <v/>
      </c>
      <c r="AL243" s="6">
        <f>IF(OR(原始資料!$A243="",37&gt;設定!$B$3,原始資料!AN243=""),"",IF(AND(原始資料!AM243&lt;&gt;"",原始資料!AN243=原始資料!AM243),N(AK243)+1,1))</f>
        <v/>
      </c>
      <c r="AM243" s="6">
        <f>IF(OR(原始資料!$A243="",38&gt;設定!$B$3,原始資料!AO243=""),"",IF(AND(原始資料!AN243&lt;&gt;"",原始資料!AO243=原始資料!AN243),N(AL243)+1,1))</f>
        <v/>
      </c>
      <c r="AN243" s="6">
        <f>IF(OR(原始資料!$A243="",39&gt;設定!$B$3,原始資料!AP243=""),"",IF(AND(原始資料!AO243&lt;&gt;"",原始資料!AP243=原始資料!AO243),N(AM243)+1,1))</f>
        <v/>
      </c>
      <c r="AO243" s="6">
        <f>IF(OR(原始資料!$A243="",40&gt;設定!$B$3,原始資料!AQ243=""),"",IF(AND(原始資料!AP243&lt;&gt;"",原始資料!AQ243=原始資料!AP243),N(AN243)+1,1))</f>
        <v/>
      </c>
      <c r="AP243" s="6">
        <f>IF(OR(原始資料!$A243="",41&gt;設定!$B$3,原始資料!AR243=""),"",IF(AND(原始資料!AQ243&lt;&gt;"",原始資料!AR243=原始資料!AQ243),N(AO243)+1,1))</f>
        <v/>
      </c>
      <c r="AQ243" s="6">
        <f>IF(OR(原始資料!$A243="",42&gt;設定!$B$3,原始資料!AS243=""),"",IF(AND(原始資料!AR243&lt;&gt;"",原始資料!AS243=原始資料!AR243),N(AP243)+1,1))</f>
        <v/>
      </c>
      <c r="AR243" s="6">
        <f>IF(OR(原始資料!$A243="",43&gt;設定!$B$3,原始資料!AT243=""),"",IF(AND(原始資料!AS243&lt;&gt;"",原始資料!AT243=原始資料!AS243),N(AQ243)+1,1))</f>
        <v/>
      </c>
      <c r="AS243" s="6">
        <f>IF(OR(原始資料!$A243="",44&gt;設定!$B$3,原始資料!AU243=""),"",IF(AND(原始資料!AT243&lt;&gt;"",原始資料!AU243=原始資料!AT243),N(AR243)+1,1))</f>
        <v/>
      </c>
      <c r="AT243" s="6">
        <f>IF(OR(原始資料!$A243="",45&gt;設定!$B$3,原始資料!AV243=""),"",IF(AND(原始資料!AU243&lt;&gt;"",原始資料!AV243=原始資料!AU243),N(AS243)+1,1))</f>
        <v/>
      </c>
      <c r="AU243" s="6">
        <f>IF(OR(原始資料!$A243="",46&gt;設定!$B$3,原始資料!AW243=""),"",IF(AND(原始資料!AV243&lt;&gt;"",原始資料!AW243=原始資料!AV243),N(AT243)+1,1))</f>
        <v/>
      </c>
      <c r="AV243" s="6">
        <f>IF(OR(原始資料!$A243="",47&gt;設定!$B$3,原始資料!AX243=""),"",IF(AND(原始資料!AW243&lt;&gt;"",原始資料!AX243=原始資料!AW243),N(AU243)+1,1))</f>
        <v/>
      </c>
      <c r="AW243" s="6">
        <f>IF(OR(原始資料!$A243="",48&gt;設定!$B$3,原始資料!AY243=""),"",IF(AND(原始資料!AX243&lt;&gt;"",原始資料!AY243=原始資料!AX243),N(AV243)+1,1))</f>
        <v/>
      </c>
      <c r="AX243" s="6">
        <f>IF(OR(原始資料!$A243="",49&gt;設定!$B$3,原始資料!AZ243=""),"",IF(AND(原始資料!AY243&lt;&gt;"",原始資料!AZ243=原始資料!AY243),N(AW243)+1,1))</f>
        <v/>
      </c>
      <c r="AY243" s="6">
        <f>IF(OR(原始資料!$A243="",50&gt;設定!$B$3,原始資料!BA243=""),"",IF(AND(原始資料!AZ243&lt;&gt;"",原始資料!BA243=原始資料!AZ243),N(AX243)+1,1))</f>
        <v/>
      </c>
      <c r="AZ243" s="6">
        <f>IF(OR(原始資料!$A243="",51&gt;設定!$B$3,原始資料!BB243=""),"",IF(AND(原始資料!BA243&lt;&gt;"",原始資料!BB243=原始資料!BA243),N(AY243)+1,1))</f>
        <v/>
      </c>
      <c r="BA243" s="6">
        <f>IF(OR(原始資料!$A243="",52&gt;設定!$B$3,原始資料!BC243=""),"",IF(AND(原始資料!BB243&lt;&gt;"",原始資料!BC243=原始資料!BB243),N(AZ243)+1,1))</f>
        <v/>
      </c>
      <c r="BB243" s="6">
        <f>IF(OR(原始資料!$A243="",53&gt;設定!$B$3,原始資料!BD243=""),"",IF(AND(原始資料!BC243&lt;&gt;"",原始資料!BD243=原始資料!BC243),N(BA243)+1,1))</f>
        <v/>
      </c>
      <c r="BC243" s="6">
        <f>IF(OR(原始資料!$A243="",54&gt;設定!$B$3,原始資料!BE243=""),"",IF(AND(原始資料!BD243&lt;&gt;"",原始資料!BE243=原始資料!BD243),N(BB243)+1,1))</f>
        <v/>
      </c>
      <c r="BD243" s="6">
        <f>IF(OR(原始資料!$A243="",55&gt;設定!$B$3,原始資料!BF243=""),"",IF(AND(原始資料!BE243&lt;&gt;"",原始資料!BF243=原始資料!BE243),N(BC243)+1,1))</f>
        <v/>
      </c>
      <c r="BE243" s="6">
        <f>IF(OR(原始資料!$A243="",56&gt;設定!$B$3,原始資料!BG243=""),"",IF(AND(原始資料!BF243&lt;&gt;"",原始資料!BG243=原始資料!BF243),N(BD243)+1,1))</f>
        <v/>
      </c>
      <c r="BF243" s="6">
        <f>IF(OR(原始資料!$A243="",57&gt;設定!$B$3,原始資料!BH243=""),"",IF(AND(原始資料!BG243&lt;&gt;"",原始資料!BH243=原始資料!BG243),N(BE243)+1,1))</f>
        <v/>
      </c>
      <c r="BG243" s="6">
        <f>IF(OR(原始資料!$A243="",58&gt;設定!$B$3,原始資料!BI243=""),"",IF(AND(原始資料!BH243&lt;&gt;"",原始資料!BI243=原始資料!BH243),N(BF243)+1,1))</f>
        <v/>
      </c>
      <c r="BH243" s="6">
        <f>IF(OR(原始資料!$A243="",59&gt;設定!$B$3,原始資料!BJ243=""),"",IF(AND(原始資料!BI243&lt;&gt;"",原始資料!BJ243=原始資料!BI243),N(BG243)+1,1))</f>
        <v/>
      </c>
      <c r="BI243" s="6">
        <f>IF(OR(原始資料!$A243="",60&gt;設定!$B$3,原始資料!BK243=""),"",IF(AND(原始資料!BJ243&lt;&gt;"",原始資料!BK243=原始資料!BJ243),N(BH243)+1,1))</f>
        <v/>
      </c>
    </row>
    <row r="244">
      <c r="A244" s="6">
        <f>IF(原始資料!$A244="","",原始資料!$A244)</f>
        <v/>
      </c>
      <c r="B244" s="6">
        <f>IF(OR(原始資料!$A244="",1&gt;設定!$B$3,原始資料!D244=""),"",1)</f>
        <v/>
      </c>
      <c r="C244" s="6">
        <f>IF(OR(原始資料!$A244="",2&gt;設定!$B$3,原始資料!E244=""),"",IF(AND(原始資料!D244&lt;&gt;"",原始資料!E244=原始資料!D244),N(B244)+1,1))</f>
        <v/>
      </c>
      <c r="D244" s="6">
        <f>IF(OR(原始資料!$A244="",3&gt;設定!$B$3,原始資料!F244=""),"",IF(AND(原始資料!E244&lt;&gt;"",原始資料!F244=原始資料!E244),N(C244)+1,1))</f>
        <v/>
      </c>
      <c r="E244" s="6">
        <f>IF(OR(原始資料!$A244="",4&gt;設定!$B$3,原始資料!G244=""),"",IF(AND(原始資料!F244&lt;&gt;"",原始資料!G244=原始資料!F244),N(D244)+1,1))</f>
        <v/>
      </c>
      <c r="F244" s="6">
        <f>IF(OR(原始資料!$A244="",5&gt;設定!$B$3,原始資料!H244=""),"",IF(AND(原始資料!G244&lt;&gt;"",原始資料!H244=原始資料!G244),N(E244)+1,1))</f>
        <v/>
      </c>
      <c r="G244" s="6">
        <f>IF(OR(原始資料!$A244="",6&gt;設定!$B$3,原始資料!I244=""),"",IF(AND(原始資料!H244&lt;&gt;"",原始資料!I244=原始資料!H244),N(F244)+1,1))</f>
        <v/>
      </c>
      <c r="H244" s="6">
        <f>IF(OR(原始資料!$A244="",7&gt;設定!$B$3,原始資料!J244=""),"",IF(AND(原始資料!I244&lt;&gt;"",原始資料!J244=原始資料!I244),N(G244)+1,1))</f>
        <v/>
      </c>
      <c r="I244" s="6">
        <f>IF(OR(原始資料!$A244="",8&gt;設定!$B$3,原始資料!K244=""),"",IF(AND(原始資料!J244&lt;&gt;"",原始資料!K244=原始資料!J244),N(H244)+1,1))</f>
        <v/>
      </c>
      <c r="J244" s="6">
        <f>IF(OR(原始資料!$A244="",9&gt;設定!$B$3,原始資料!L244=""),"",IF(AND(原始資料!K244&lt;&gt;"",原始資料!L244=原始資料!K244),N(I244)+1,1))</f>
        <v/>
      </c>
      <c r="K244" s="6">
        <f>IF(OR(原始資料!$A244="",10&gt;設定!$B$3,原始資料!M244=""),"",IF(AND(原始資料!L244&lt;&gt;"",原始資料!M244=原始資料!L244),N(J244)+1,1))</f>
        <v/>
      </c>
      <c r="L244" s="6">
        <f>IF(OR(原始資料!$A244="",11&gt;設定!$B$3,原始資料!N244=""),"",IF(AND(原始資料!M244&lt;&gt;"",原始資料!N244=原始資料!M244),N(K244)+1,1))</f>
        <v/>
      </c>
      <c r="M244" s="6">
        <f>IF(OR(原始資料!$A244="",12&gt;設定!$B$3,原始資料!O244=""),"",IF(AND(原始資料!N244&lt;&gt;"",原始資料!O244=原始資料!N244),N(L244)+1,1))</f>
        <v/>
      </c>
      <c r="N244" s="6">
        <f>IF(OR(原始資料!$A244="",13&gt;設定!$B$3,原始資料!P244=""),"",IF(AND(原始資料!O244&lt;&gt;"",原始資料!P244=原始資料!O244),N(M244)+1,1))</f>
        <v/>
      </c>
      <c r="O244" s="6">
        <f>IF(OR(原始資料!$A244="",14&gt;設定!$B$3,原始資料!Q244=""),"",IF(AND(原始資料!P244&lt;&gt;"",原始資料!Q244=原始資料!P244),N(N244)+1,1))</f>
        <v/>
      </c>
      <c r="P244" s="6">
        <f>IF(OR(原始資料!$A244="",15&gt;設定!$B$3,原始資料!R244=""),"",IF(AND(原始資料!Q244&lt;&gt;"",原始資料!R244=原始資料!Q244),N(O244)+1,1))</f>
        <v/>
      </c>
      <c r="Q244" s="6">
        <f>IF(OR(原始資料!$A244="",16&gt;設定!$B$3,原始資料!S244=""),"",IF(AND(原始資料!R244&lt;&gt;"",原始資料!S244=原始資料!R244),N(P244)+1,1))</f>
        <v/>
      </c>
      <c r="R244" s="6">
        <f>IF(OR(原始資料!$A244="",17&gt;設定!$B$3,原始資料!T244=""),"",IF(AND(原始資料!S244&lt;&gt;"",原始資料!T244=原始資料!S244),N(Q244)+1,1))</f>
        <v/>
      </c>
      <c r="S244" s="6">
        <f>IF(OR(原始資料!$A244="",18&gt;設定!$B$3,原始資料!U244=""),"",IF(AND(原始資料!T244&lt;&gt;"",原始資料!U244=原始資料!T244),N(R244)+1,1))</f>
        <v/>
      </c>
      <c r="T244" s="6">
        <f>IF(OR(原始資料!$A244="",19&gt;設定!$B$3,原始資料!V244=""),"",IF(AND(原始資料!U244&lt;&gt;"",原始資料!V244=原始資料!U244),N(S244)+1,1))</f>
        <v/>
      </c>
      <c r="U244" s="6">
        <f>IF(OR(原始資料!$A244="",20&gt;設定!$B$3,原始資料!W244=""),"",IF(AND(原始資料!V244&lt;&gt;"",原始資料!W244=原始資料!V244),N(T244)+1,1))</f>
        <v/>
      </c>
      <c r="V244" s="6">
        <f>IF(OR(原始資料!$A244="",21&gt;設定!$B$3,原始資料!X244=""),"",IF(AND(原始資料!W244&lt;&gt;"",原始資料!X244=原始資料!W244),N(U244)+1,1))</f>
        <v/>
      </c>
      <c r="W244" s="6">
        <f>IF(OR(原始資料!$A244="",22&gt;設定!$B$3,原始資料!Y244=""),"",IF(AND(原始資料!X244&lt;&gt;"",原始資料!Y244=原始資料!X244),N(V244)+1,1))</f>
        <v/>
      </c>
      <c r="X244" s="6">
        <f>IF(OR(原始資料!$A244="",23&gt;設定!$B$3,原始資料!Z244=""),"",IF(AND(原始資料!Y244&lt;&gt;"",原始資料!Z244=原始資料!Y244),N(W244)+1,1))</f>
        <v/>
      </c>
      <c r="Y244" s="6">
        <f>IF(OR(原始資料!$A244="",24&gt;設定!$B$3,原始資料!AA244=""),"",IF(AND(原始資料!Z244&lt;&gt;"",原始資料!AA244=原始資料!Z244),N(X244)+1,1))</f>
        <v/>
      </c>
      <c r="Z244" s="6">
        <f>IF(OR(原始資料!$A244="",25&gt;設定!$B$3,原始資料!AB244=""),"",IF(AND(原始資料!AA244&lt;&gt;"",原始資料!AB244=原始資料!AA244),N(Y244)+1,1))</f>
        <v/>
      </c>
      <c r="AA244" s="6">
        <f>IF(OR(原始資料!$A244="",26&gt;設定!$B$3,原始資料!AC244=""),"",IF(AND(原始資料!AB244&lt;&gt;"",原始資料!AC244=原始資料!AB244),N(Z244)+1,1))</f>
        <v/>
      </c>
      <c r="AB244" s="6">
        <f>IF(OR(原始資料!$A244="",27&gt;設定!$B$3,原始資料!AD244=""),"",IF(AND(原始資料!AC244&lt;&gt;"",原始資料!AD244=原始資料!AC244),N(AA244)+1,1))</f>
        <v/>
      </c>
      <c r="AC244" s="6">
        <f>IF(OR(原始資料!$A244="",28&gt;設定!$B$3,原始資料!AE244=""),"",IF(AND(原始資料!AD244&lt;&gt;"",原始資料!AE244=原始資料!AD244),N(AB244)+1,1))</f>
        <v/>
      </c>
      <c r="AD244" s="6">
        <f>IF(OR(原始資料!$A244="",29&gt;設定!$B$3,原始資料!AF244=""),"",IF(AND(原始資料!AE244&lt;&gt;"",原始資料!AF244=原始資料!AE244),N(AC244)+1,1))</f>
        <v/>
      </c>
      <c r="AE244" s="6">
        <f>IF(OR(原始資料!$A244="",30&gt;設定!$B$3,原始資料!AG244=""),"",IF(AND(原始資料!AF244&lt;&gt;"",原始資料!AG244=原始資料!AF244),N(AD244)+1,1))</f>
        <v/>
      </c>
      <c r="AF244" s="6">
        <f>IF(OR(原始資料!$A244="",31&gt;設定!$B$3,原始資料!AH244=""),"",IF(AND(原始資料!AG244&lt;&gt;"",原始資料!AH244=原始資料!AG244),N(AE244)+1,1))</f>
        <v/>
      </c>
      <c r="AG244" s="6">
        <f>IF(OR(原始資料!$A244="",32&gt;設定!$B$3,原始資料!AI244=""),"",IF(AND(原始資料!AH244&lt;&gt;"",原始資料!AI244=原始資料!AH244),N(AF244)+1,1))</f>
        <v/>
      </c>
      <c r="AH244" s="6">
        <f>IF(OR(原始資料!$A244="",33&gt;設定!$B$3,原始資料!AJ244=""),"",IF(AND(原始資料!AI244&lt;&gt;"",原始資料!AJ244=原始資料!AI244),N(AG244)+1,1))</f>
        <v/>
      </c>
      <c r="AI244" s="6">
        <f>IF(OR(原始資料!$A244="",34&gt;設定!$B$3,原始資料!AK244=""),"",IF(AND(原始資料!AJ244&lt;&gt;"",原始資料!AK244=原始資料!AJ244),N(AH244)+1,1))</f>
        <v/>
      </c>
      <c r="AJ244" s="6">
        <f>IF(OR(原始資料!$A244="",35&gt;設定!$B$3,原始資料!AL244=""),"",IF(AND(原始資料!AK244&lt;&gt;"",原始資料!AL244=原始資料!AK244),N(AI244)+1,1))</f>
        <v/>
      </c>
      <c r="AK244" s="6">
        <f>IF(OR(原始資料!$A244="",36&gt;設定!$B$3,原始資料!AM244=""),"",IF(AND(原始資料!AL244&lt;&gt;"",原始資料!AM244=原始資料!AL244),N(AJ244)+1,1))</f>
        <v/>
      </c>
      <c r="AL244" s="6">
        <f>IF(OR(原始資料!$A244="",37&gt;設定!$B$3,原始資料!AN244=""),"",IF(AND(原始資料!AM244&lt;&gt;"",原始資料!AN244=原始資料!AM244),N(AK244)+1,1))</f>
        <v/>
      </c>
      <c r="AM244" s="6">
        <f>IF(OR(原始資料!$A244="",38&gt;設定!$B$3,原始資料!AO244=""),"",IF(AND(原始資料!AN244&lt;&gt;"",原始資料!AO244=原始資料!AN244),N(AL244)+1,1))</f>
        <v/>
      </c>
      <c r="AN244" s="6">
        <f>IF(OR(原始資料!$A244="",39&gt;設定!$B$3,原始資料!AP244=""),"",IF(AND(原始資料!AO244&lt;&gt;"",原始資料!AP244=原始資料!AO244),N(AM244)+1,1))</f>
        <v/>
      </c>
      <c r="AO244" s="6">
        <f>IF(OR(原始資料!$A244="",40&gt;設定!$B$3,原始資料!AQ244=""),"",IF(AND(原始資料!AP244&lt;&gt;"",原始資料!AQ244=原始資料!AP244),N(AN244)+1,1))</f>
        <v/>
      </c>
      <c r="AP244" s="6">
        <f>IF(OR(原始資料!$A244="",41&gt;設定!$B$3,原始資料!AR244=""),"",IF(AND(原始資料!AQ244&lt;&gt;"",原始資料!AR244=原始資料!AQ244),N(AO244)+1,1))</f>
        <v/>
      </c>
      <c r="AQ244" s="6">
        <f>IF(OR(原始資料!$A244="",42&gt;設定!$B$3,原始資料!AS244=""),"",IF(AND(原始資料!AR244&lt;&gt;"",原始資料!AS244=原始資料!AR244),N(AP244)+1,1))</f>
        <v/>
      </c>
      <c r="AR244" s="6">
        <f>IF(OR(原始資料!$A244="",43&gt;設定!$B$3,原始資料!AT244=""),"",IF(AND(原始資料!AS244&lt;&gt;"",原始資料!AT244=原始資料!AS244),N(AQ244)+1,1))</f>
        <v/>
      </c>
      <c r="AS244" s="6">
        <f>IF(OR(原始資料!$A244="",44&gt;設定!$B$3,原始資料!AU244=""),"",IF(AND(原始資料!AT244&lt;&gt;"",原始資料!AU244=原始資料!AT244),N(AR244)+1,1))</f>
        <v/>
      </c>
      <c r="AT244" s="6">
        <f>IF(OR(原始資料!$A244="",45&gt;設定!$B$3,原始資料!AV244=""),"",IF(AND(原始資料!AU244&lt;&gt;"",原始資料!AV244=原始資料!AU244),N(AS244)+1,1))</f>
        <v/>
      </c>
      <c r="AU244" s="6">
        <f>IF(OR(原始資料!$A244="",46&gt;設定!$B$3,原始資料!AW244=""),"",IF(AND(原始資料!AV244&lt;&gt;"",原始資料!AW244=原始資料!AV244),N(AT244)+1,1))</f>
        <v/>
      </c>
      <c r="AV244" s="6">
        <f>IF(OR(原始資料!$A244="",47&gt;設定!$B$3,原始資料!AX244=""),"",IF(AND(原始資料!AW244&lt;&gt;"",原始資料!AX244=原始資料!AW244),N(AU244)+1,1))</f>
        <v/>
      </c>
      <c r="AW244" s="6">
        <f>IF(OR(原始資料!$A244="",48&gt;設定!$B$3,原始資料!AY244=""),"",IF(AND(原始資料!AX244&lt;&gt;"",原始資料!AY244=原始資料!AX244),N(AV244)+1,1))</f>
        <v/>
      </c>
      <c r="AX244" s="6">
        <f>IF(OR(原始資料!$A244="",49&gt;設定!$B$3,原始資料!AZ244=""),"",IF(AND(原始資料!AY244&lt;&gt;"",原始資料!AZ244=原始資料!AY244),N(AW244)+1,1))</f>
        <v/>
      </c>
      <c r="AY244" s="6">
        <f>IF(OR(原始資料!$A244="",50&gt;設定!$B$3,原始資料!BA244=""),"",IF(AND(原始資料!AZ244&lt;&gt;"",原始資料!BA244=原始資料!AZ244),N(AX244)+1,1))</f>
        <v/>
      </c>
      <c r="AZ244" s="6">
        <f>IF(OR(原始資料!$A244="",51&gt;設定!$B$3,原始資料!BB244=""),"",IF(AND(原始資料!BA244&lt;&gt;"",原始資料!BB244=原始資料!BA244),N(AY244)+1,1))</f>
        <v/>
      </c>
      <c r="BA244" s="6">
        <f>IF(OR(原始資料!$A244="",52&gt;設定!$B$3,原始資料!BC244=""),"",IF(AND(原始資料!BB244&lt;&gt;"",原始資料!BC244=原始資料!BB244),N(AZ244)+1,1))</f>
        <v/>
      </c>
      <c r="BB244" s="6">
        <f>IF(OR(原始資料!$A244="",53&gt;設定!$B$3,原始資料!BD244=""),"",IF(AND(原始資料!BC244&lt;&gt;"",原始資料!BD244=原始資料!BC244),N(BA244)+1,1))</f>
        <v/>
      </c>
      <c r="BC244" s="6">
        <f>IF(OR(原始資料!$A244="",54&gt;設定!$B$3,原始資料!BE244=""),"",IF(AND(原始資料!BD244&lt;&gt;"",原始資料!BE244=原始資料!BD244),N(BB244)+1,1))</f>
        <v/>
      </c>
      <c r="BD244" s="6">
        <f>IF(OR(原始資料!$A244="",55&gt;設定!$B$3,原始資料!BF244=""),"",IF(AND(原始資料!BE244&lt;&gt;"",原始資料!BF244=原始資料!BE244),N(BC244)+1,1))</f>
        <v/>
      </c>
      <c r="BE244" s="6">
        <f>IF(OR(原始資料!$A244="",56&gt;設定!$B$3,原始資料!BG244=""),"",IF(AND(原始資料!BF244&lt;&gt;"",原始資料!BG244=原始資料!BF244),N(BD244)+1,1))</f>
        <v/>
      </c>
      <c r="BF244" s="6">
        <f>IF(OR(原始資料!$A244="",57&gt;設定!$B$3,原始資料!BH244=""),"",IF(AND(原始資料!BG244&lt;&gt;"",原始資料!BH244=原始資料!BG244),N(BE244)+1,1))</f>
        <v/>
      </c>
      <c r="BG244" s="6">
        <f>IF(OR(原始資料!$A244="",58&gt;設定!$B$3,原始資料!BI244=""),"",IF(AND(原始資料!BH244&lt;&gt;"",原始資料!BI244=原始資料!BH244),N(BF244)+1,1))</f>
        <v/>
      </c>
      <c r="BH244" s="6">
        <f>IF(OR(原始資料!$A244="",59&gt;設定!$B$3,原始資料!BJ244=""),"",IF(AND(原始資料!BI244&lt;&gt;"",原始資料!BJ244=原始資料!BI244),N(BG244)+1,1))</f>
        <v/>
      </c>
      <c r="BI244" s="6">
        <f>IF(OR(原始資料!$A244="",60&gt;設定!$B$3,原始資料!BK244=""),"",IF(AND(原始資料!BJ244&lt;&gt;"",原始資料!BK244=原始資料!BJ244),N(BH244)+1,1))</f>
        <v/>
      </c>
    </row>
    <row r="245">
      <c r="A245" s="6">
        <f>IF(原始資料!$A245="","",原始資料!$A245)</f>
        <v/>
      </c>
      <c r="B245" s="6">
        <f>IF(OR(原始資料!$A245="",1&gt;設定!$B$3,原始資料!D245=""),"",1)</f>
        <v/>
      </c>
      <c r="C245" s="6">
        <f>IF(OR(原始資料!$A245="",2&gt;設定!$B$3,原始資料!E245=""),"",IF(AND(原始資料!D245&lt;&gt;"",原始資料!E245=原始資料!D245),N(B245)+1,1))</f>
        <v/>
      </c>
      <c r="D245" s="6">
        <f>IF(OR(原始資料!$A245="",3&gt;設定!$B$3,原始資料!F245=""),"",IF(AND(原始資料!E245&lt;&gt;"",原始資料!F245=原始資料!E245),N(C245)+1,1))</f>
        <v/>
      </c>
      <c r="E245" s="6">
        <f>IF(OR(原始資料!$A245="",4&gt;設定!$B$3,原始資料!G245=""),"",IF(AND(原始資料!F245&lt;&gt;"",原始資料!G245=原始資料!F245),N(D245)+1,1))</f>
        <v/>
      </c>
      <c r="F245" s="6">
        <f>IF(OR(原始資料!$A245="",5&gt;設定!$B$3,原始資料!H245=""),"",IF(AND(原始資料!G245&lt;&gt;"",原始資料!H245=原始資料!G245),N(E245)+1,1))</f>
        <v/>
      </c>
      <c r="G245" s="6">
        <f>IF(OR(原始資料!$A245="",6&gt;設定!$B$3,原始資料!I245=""),"",IF(AND(原始資料!H245&lt;&gt;"",原始資料!I245=原始資料!H245),N(F245)+1,1))</f>
        <v/>
      </c>
      <c r="H245" s="6">
        <f>IF(OR(原始資料!$A245="",7&gt;設定!$B$3,原始資料!J245=""),"",IF(AND(原始資料!I245&lt;&gt;"",原始資料!J245=原始資料!I245),N(G245)+1,1))</f>
        <v/>
      </c>
      <c r="I245" s="6">
        <f>IF(OR(原始資料!$A245="",8&gt;設定!$B$3,原始資料!K245=""),"",IF(AND(原始資料!J245&lt;&gt;"",原始資料!K245=原始資料!J245),N(H245)+1,1))</f>
        <v/>
      </c>
      <c r="J245" s="6">
        <f>IF(OR(原始資料!$A245="",9&gt;設定!$B$3,原始資料!L245=""),"",IF(AND(原始資料!K245&lt;&gt;"",原始資料!L245=原始資料!K245),N(I245)+1,1))</f>
        <v/>
      </c>
      <c r="K245" s="6">
        <f>IF(OR(原始資料!$A245="",10&gt;設定!$B$3,原始資料!M245=""),"",IF(AND(原始資料!L245&lt;&gt;"",原始資料!M245=原始資料!L245),N(J245)+1,1))</f>
        <v/>
      </c>
      <c r="L245" s="6">
        <f>IF(OR(原始資料!$A245="",11&gt;設定!$B$3,原始資料!N245=""),"",IF(AND(原始資料!M245&lt;&gt;"",原始資料!N245=原始資料!M245),N(K245)+1,1))</f>
        <v/>
      </c>
      <c r="M245" s="6">
        <f>IF(OR(原始資料!$A245="",12&gt;設定!$B$3,原始資料!O245=""),"",IF(AND(原始資料!N245&lt;&gt;"",原始資料!O245=原始資料!N245),N(L245)+1,1))</f>
        <v/>
      </c>
      <c r="N245" s="6">
        <f>IF(OR(原始資料!$A245="",13&gt;設定!$B$3,原始資料!P245=""),"",IF(AND(原始資料!O245&lt;&gt;"",原始資料!P245=原始資料!O245),N(M245)+1,1))</f>
        <v/>
      </c>
      <c r="O245" s="6">
        <f>IF(OR(原始資料!$A245="",14&gt;設定!$B$3,原始資料!Q245=""),"",IF(AND(原始資料!P245&lt;&gt;"",原始資料!Q245=原始資料!P245),N(N245)+1,1))</f>
        <v/>
      </c>
      <c r="P245" s="6">
        <f>IF(OR(原始資料!$A245="",15&gt;設定!$B$3,原始資料!R245=""),"",IF(AND(原始資料!Q245&lt;&gt;"",原始資料!R245=原始資料!Q245),N(O245)+1,1))</f>
        <v/>
      </c>
      <c r="Q245" s="6">
        <f>IF(OR(原始資料!$A245="",16&gt;設定!$B$3,原始資料!S245=""),"",IF(AND(原始資料!R245&lt;&gt;"",原始資料!S245=原始資料!R245),N(P245)+1,1))</f>
        <v/>
      </c>
      <c r="R245" s="6">
        <f>IF(OR(原始資料!$A245="",17&gt;設定!$B$3,原始資料!T245=""),"",IF(AND(原始資料!S245&lt;&gt;"",原始資料!T245=原始資料!S245),N(Q245)+1,1))</f>
        <v/>
      </c>
      <c r="S245" s="6">
        <f>IF(OR(原始資料!$A245="",18&gt;設定!$B$3,原始資料!U245=""),"",IF(AND(原始資料!T245&lt;&gt;"",原始資料!U245=原始資料!T245),N(R245)+1,1))</f>
        <v/>
      </c>
      <c r="T245" s="6">
        <f>IF(OR(原始資料!$A245="",19&gt;設定!$B$3,原始資料!V245=""),"",IF(AND(原始資料!U245&lt;&gt;"",原始資料!V245=原始資料!U245),N(S245)+1,1))</f>
        <v/>
      </c>
      <c r="U245" s="6">
        <f>IF(OR(原始資料!$A245="",20&gt;設定!$B$3,原始資料!W245=""),"",IF(AND(原始資料!V245&lt;&gt;"",原始資料!W245=原始資料!V245),N(T245)+1,1))</f>
        <v/>
      </c>
      <c r="V245" s="6">
        <f>IF(OR(原始資料!$A245="",21&gt;設定!$B$3,原始資料!X245=""),"",IF(AND(原始資料!W245&lt;&gt;"",原始資料!X245=原始資料!W245),N(U245)+1,1))</f>
        <v/>
      </c>
      <c r="W245" s="6">
        <f>IF(OR(原始資料!$A245="",22&gt;設定!$B$3,原始資料!Y245=""),"",IF(AND(原始資料!X245&lt;&gt;"",原始資料!Y245=原始資料!X245),N(V245)+1,1))</f>
        <v/>
      </c>
      <c r="X245" s="6">
        <f>IF(OR(原始資料!$A245="",23&gt;設定!$B$3,原始資料!Z245=""),"",IF(AND(原始資料!Y245&lt;&gt;"",原始資料!Z245=原始資料!Y245),N(W245)+1,1))</f>
        <v/>
      </c>
      <c r="Y245" s="6">
        <f>IF(OR(原始資料!$A245="",24&gt;設定!$B$3,原始資料!AA245=""),"",IF(AND(原始資料!Z245&lt;&gt;"",原始資料!AA245=原始資料!Z245),N(X245)+1,1))</f>
        <v/>
      </c>
      <c r="Z245" s="6">
        <f>IF(OR(原始資料!$A245="",25&gt;設定!$B$3,原始資料!AB245=""),"",IF(AND(原始資料!AA245&lt;&gt;"",原始資料!AB245=原始資料!AA245),N(Y245)+1,1))</f>
        <v/>
      </c>
      <c r="AA245" s="6">
        <f>IF(OR(原始資料!$A245="",26&gt;設定!$B$3,原始資料!AC245=""),"",IF(AND(原始資料!AB245&lt;&gt;"",原始資料!AC245=原始資料!AB245),N(Z245)+1,1))</f>
        <v/>
      </c>
      <c r="AB245" s="6">
        <f>IF(OR(原始資料!$A245="",27&gt;設定!$B$3,原始資料!AD245=""),"",IF(AND(原始資料!AC245&lt;&gt;"",原始資料!AD245=原始資料!AC245),N(AA245)+1,1))</f>
        <v/>
      </c>
      <c r="AC245" s="6">
        <f>IF(OR(原始資料!$A245="",28&gt;設定!$B$3,原始資料!AE245=""),"",IF(AND(原始資料!AD245&lt;&gt;"",原始資料!AE245=原始資料!AD245),N(AB245)+1,1))</f>
        <v/>
      </c>
      <c r="AD245" s="6">
        <f>IF(OR(原始資料!$A245="",29&gt;設定!$B$3,原始資料!AF245=""),"",IF(AND(原始資料!AE245&lt;&gt;"",原始資料!AF245=原始資料!AE245),N(AC245)+1,1))</f>
        <v/>
      </c>
      <c r="AE245" s="6">
        <f>IF(OR(原始資料!$A245="",30&gt;設定!$B$3,原始資料!AG245=""),"",IF(AND(原始資料!AF245&lt;&gt;"",原始資料!AG245=原始資料!AF245),N(AD245)+1,1))</f>
        <v/>
      </c>
      <c r="AF245" s="6">
        <f>IF(OR(原始資料!$A245="",31&gt;設定!$B$3,原始資料!AH245=""),"",IF(AND(原始資料!AG245&lt;&gt;"",原始資料!AH245=原始資料!AG245),N(AE245)+1,1))</f>
        <v/>
      </c>
      <c r="AG245" s="6">
        <f>IF(OR(原始資料!$A245="",32&gt;設定!$B$3,原始資料!AI245=""),"",IF(AND(原始資料!AH245&lt;&gt;"",原始資料!AI245=原始資料!AH245),N(AF245)+1,1))</f>
        <v/>
      </c>
      <c r="AH245" s="6">
        <f>IF(OR(原始資料!$A245="",33&gt;設定!$B$3,原始資料!AJ245=""),"",IF(AND(原始資料!AI245&lt;&gt;"",原始資料!AJ245=原始資料!AI245),N(AG245)+1,1))</f>
        <v/>
      </c>
      <c r="AI245" s="6">
        <f>IF(OR(原始資料!$A245="",34&gt;設定!$B$3,原始資料!AK245=""),"",IF(AND(原始資料!AJ245&lt;&gt;"",原始資料!AK245=原始資料!AJ245),N(AH245)+1,1))</f>
        <v/>
      </c>
      <c r="AJ245" s="6">
        <f>IF(OR(原始資料!$A245="",35&gt;設定!$B$3,原始資料!AL245=""),"",IF(AND(原始資料!AK245&lt;&gt;"",原始資料!AL245=原始資料!AK245),N(AI245)+1,1))</f>
        <v/>
      </c>
      <c r="AK245" s="6">
        <f>IF(OR(原始資料!$A245="",36&gt;設定!$B$3,原始資料!AM245=""),"",IF(AND(原始資料!AL245&lt;&gt;"",原始資料!AM245=原始資料!AL245),N(AJ245)+1,1))</f>
        <v/>
      </c>
      <c r="AL245" s="6">
        <f>IF(OR(原始資料!$A245="",37&gt;設定!$B$3,原始資料!AN245=""),"",IF(AND(原始資料!AM245&lt;&gt;"",原始資料!AN245=原始資料!AM245),N(AK245)+1,1))</f>
        <v/>
      </c>
      <c r="AM245" s="6">
        <f>IF(OR(原始資料!$A245="",38&gt;設定!$B$3,原始資料!AO245=""),"",IF(AND(原始資料!AN245&lt;&gt;"",原始資料!AO245=原始資料!AN245),N(AL245)+1,1))</f>
        <v/>
      </c>
      <c r="AN245" s="6">
        <f>IF(OR(原始資料!$A245="",39&gt;設定!$B$3,原始資料!AP245=""),"",IF(AND(原始資料!AO245&lt;&gt;"",原始資料!AP245=原始資料!AO245),N(AM245)+1,1))</f>
        <v/>
      </c>
      <c r="AO245" s="6">
        <f>IF(OR(原始資料!$A245="",40&gt;設定!$B$3,原始資料!AQ245=""),"",IF(AND(原始資料!AP245&lt;&gt;"",原始資料!AQ245=原始資料!AP245),N(AN245)+1,1))</f>
        <v/>
      </c>
      <c r="AP245" s="6">
        <f>IF(OR(原始資料!$A245="",41&gt;設定!$B$3,原始資料!AR245=""),"",IF(AND(原始資料!AQ245&lt;&gt;"",原始資料!AR245=原始資料!AQ245),N(AO245)+1,1))</f>
        <v/>
      </c>
      <c r="AQ245" s="6">
        <f>IF(OR(原始資料!$A245="",42&gt;設定!$B$3,原始資料!AS245=""),"",IF(AND(原始資料!AR245&lt;&gt;"",原始資料!AS245=原始資料!AR245),N(AP245)+1,1))</f>
        <v/>
      </c>
      <c r="AR245" s="6">
        <f>IF(OR(原始資料!$A245="",43&gt;設定!$B$3,原始資料!AT245=""),"",IF(AND(原始資料!AS245&lt;&gt;"",原始資料!AT245=原始資料!AS245),N(AQ245)+1,1))</f>
        <v/>
      </c>
      <c r="AS245" s="6">
        <f>IF(OR(原始資料!$A245="",44&gt;設定!$B$3,原始資料!AU245=""),"",IF(AND(原始資料!AT245&lt;&gt;"",原始資料!AU245=原始資料!AT245),N(AR245)+1,1))</f>
        <v/>
      </c>
      <c r="AT245" s="6">
        <f>IF(OR(原始資料!$A245="",45&gt;設定!$B$3,原始資料!AV245=""),"",IF(AND(原始資料!AU245&lt;&gt;"",原始資料!AV245=原始資料!AU245),N(AS245)+1,1))</f>
        <v/>
      </c>
      <c r="AU245" s="6">
        <f>IF(OR(原始資料!$A245="",46&gt;設定!$B$3,原始資料!AW245=""),"",IF(AND(原始資料!AV245&lt;&gt;"",原始資料!AW245=原始資料!AV245),N(AT245)+1,1))</f>
        <v/>
      </c>
      <c r="AV245" s="6">
        <f>IF(OR(原始資料!$A245="",47&gt;設定!$B$3,原始資料!AX245=""),"",IF(AND(原始資料!AW245&lt;&gt;"",原始資料!AX245=原始資料!AW245),N(AU245)+1,1))</f>
        <v/>
      </c>
      <c r="AW245" s="6">
        <f>IF(OR(原始資料!$A245="",48&gt;設定!$B$3,原始資料!AY245=""),"",IF(AND(原始資料!AX245&lt;&gt;"",原始資料!AY245=原始資料!AX245),N(AV245)+1,1))</f>
        <v/>
      </c>
      <c r="AX245" s="6">
        <f>IF(OR(原始資料!$A245="",49&gt;設定!$B$3,原始資料!AZ245=""),"",IF(AND(原始資料!AY245&lt;&gt;"",原始資料!AZ245=原始資料!AY245),N(AW245)+1,1))</f>
        <v/>
      </c>
      <c r="AY245" s="6">
        <f>IF(OR(原始資料!$A245="",50&gt;設定!$B$3,原始資料!BA245=""),"",IF(AND(原始資料!AZ245&lt;&gt;"",原始資料!BA245=原始資料!AZ245),N(AX245)+1,1))</f>
        <v/>
      </c>
      <c r="AZ245" s="6">
        <f>IF(OR(原始資料!$A245="",51&gt;設定!$B$3,原始資料!BB245=""),"",IF(AND(原始資料!BA245&lt;&gt;"",原始資料!BB245=原始資料!BA245),N(AY245)+1,1))</f>
        <v/>
      </c>
      <c r="BA245" s="6">
        <f>IF(OR(原始資料!$A245="",52&gt;設定!$B$3,原始資料!BC245=""),"",IF(AND(原始資料!BB245&lt;&gt;"",原始資料!BC245=原始資料!BB245),N(AZ245)+1,1))</f>
        <v/>
      </c>
      <c r="BB245" s="6">
        <f>IF(OR(原始資料!$A245="",53&gt;設定!$B$3,原始資料!BD245=""),"",IF(AND(原始資料!BC245&lt;&gt;"",原始資料!BD245=原始資料!BC245),N(BA245)+1,1))</f>
        <v/>
      </c>
      <c r="BC245" s="6">
        <f>IF(OR(原始資料!$A245="",54&gt;設定!$B$3,原始資料!BE245=""),"",IF(AND(原始資料!BD245&lt;&gt;"",原始資料!BE245=原始資料!BD245),N(BB245)+1,1))</f>
        <v/>
      </c>
      <c r="BD245" s="6">
        <f>IF(OR(原始資料!$A245="",55&gt;設定!$B$3,原始資料!BF245=""),"",IF(AND(原始資料!BE245&lt;&gt;"",原始資料!BF245=原始資料!BE245),N(BC245)+1,1))</f>
        <v/>
      </c>
      <c r="BE245" s="6">
        <f>IF(OR(原始資料!$A245="",56&gt;設定!$B$3,原始資料!BG245=""),"",IF(AND(原始資料!BF245&lt;&gt;"",原始資料!BG245=原始資料!BF245),N(BD245)+1,1))</f>
        <v/>
      </c>
      <c r="BF245" s="6">
        <f>IF(OR(原始資料!$A245="",57&gt;設定!$B$3,原始資料!BH245=""),"",IF(AND(原始資料!BG245&lt;&gt;"",原始資料!BH245=原始資料!BG245),N(BE245)+1,1))</f>
        <v/>
      </c>
      <c r="BG245" s="6">
        <f>IF(OR(原始資料!$A245="",58&gt;設定!$B$3,原始資料!BI245=""),"",IF(AND(原始資料!BH245&lt;&gt;"",原始資料!BI245=原始資料!BH245),N(BF245)+1,1))</f>
        <v/>
      </c>
      <c r="BH245" s="6">
        <f>IF(OR(原始資料!$A245="",59&gt;設定!$B$3,原始資料!BJ245=""),"",IF(AND(原始資料!BI245&lt;&gt;"",原始資料!BJ245=原始資料!BI245),N(BG245)+1,1))</f>
        <v/>
      </c>
      <c r="BI245" s="6">
        <f>IF(OR(原始資料!$A245="",60&gt;設定!$B$3,原始資料!BK245=""),"",IF(AND(原始資料!BJ245&lt;&gt;"",原始資料!BK245=原始資料!BJ245),N(BH245)+1,1))</f>
        <v/>
      </c>
    </row>
    <row r="246">
      <c r="A246" s="6">
        <f>IF(原始資料!$A246="","",原始資料!$A246)</f>
        <v/>
      </c>
      <c r="B246" s="6">
        <f>IF(OR(原始資料!$A246="",1&gt;設定!$B$3,原始資料!D246=""),"",1)</f>
        <v/>
      </c>
      <c r="C246" s="6">
        <f>IF(OR(原始資料!$A246="",2&gt;設定!$B$3,原始資料!E246=""),"",IF(AND(原始資料!D246&lt;&gt;"",原始資料!E246=原始資料!D246),N(B246)+1,1))</f>
        <v/>
      </c>
      <c r="D246" s="6">
        <f>IF(OR(原始資料!$A246="",3&gt;設定!$B$3,原始資料!F246=""),"",IF(AND(原始資料!E246&lt;&gt;"",原始資料!F246=原始資料!E246),N(C246)+1,1))</f>
        <v/>
      </c>
      <c r="E246" s="6">
        <f>IF(OR(原始資料!$A246="",4&gt;設定!$B$3,原始資料!G246=""),"",IF(AND(原始資料!F246&lt;&gt;"",原始資料!G246=原始資料!F246),N(D246)+1,1))</f>
        <v/>
      </c>
      <c r="F246" s="6">
        <f>IF(OR(原始資料!$A246="",5&gt;設定!$B$3,原始資料!H246=""),"",IF(AND(原始資料!G246&lt;&gt;"",原始資料!H246=原始資料!G246),N(E246)+1,1))</f>
        <v/>
      </c>
      <c r="G246" s="6">
        <f>IF(OR(原始資料!$A246="",6&gt;設定!$B$3,原始資料!I246=""),"",IF(AND(原始資料!H246&lt;&gt;"",原始資料!I246=原始資料!H246),N(F246)+1,1))</f>
        <v/>
      </c>
      <c r="H246" s="6">
        <f>IF(OR(原始資料!$A246="",7&gt;設定!$B$3,原始資料!J246=""),"",IF(AND(原始資料!I246&lt;&gt;"",原始資料!J246=原始資料!I246),N(G246)+1,1))</f>
        <v/>
      </c>
      <c r="I246" s="6">
        <f>IF(OR(原始資料!$A246="",8&gt;設定!$B$3,原始資料!K246=""),"",IF(AND(原始資料!J246&lt;&gt;"",原始資料!K246=原始資料!J246),N(H246)+1,1))</f>
        <v/>
      </c>
      <c r="J246" s="6">
        <f>IF(OR(原始資料!$A246="",9&gt;設定!$B$3,原始資料!L246=""),"",IF(AND(原始資料!K246&lt;&gt;"",原始資料!L246=原始資料!K246),N(I246)+1,1))</f>
        <v/>
      </c>
      <c r="K246" s="6">
        <f>IF(OR(原始資料!$A246="",10&gt;設定!$B$3,原始資料!M246=""),"",IF(AND(原始資料!L246&lt;&gt;"",原始資料!M246=原始資料!L246),N(J246)+1,1))</f>
        <v/>
      </c>
      <c r="L246" s="6">
        <f>IF(OR(原始資料!$A246="",11&gt;設定!$B$3,原始資料!N246=""),"",IF(AND(原始資料!M246&lt;&gt;"",原始資料!N246=原始資料!M246),N(K246)+1,1))</f>
        <v/>
      </c>
      <c r="M246" s="6">
        <f>IF(OR(原始資料!$A246="",12&gt;設定!$B$3,原始資料!O246=""),"",IF(AND(原始資料!N246&lt;&gt;"",原始資料!O246=原始資料!N246),N(L246)+1,1))</f>
        <v/>
      </c>
      <c r="N246" s="6">
        <f>IF(OR(原始資料!$A246="",13&gt;設定!$B$3,原始資料!P246=""),"",IF(AND(原始資料!O246&lt;&gt;"",原始資料!P246=原始資料!O246),N(M246)+1,1))</f>
        <v/>
      </c>
      <c r="O246" s="6">
        <f>IF(OR(原始資料!$A246="",14&gt;設定!$B$3,原始資料!Q246=""),"",IF(AND(原始資料!P246&lt;&gt;"",原始資料!Q246=原始資料!P246),N(N246)+1,1))</f>
        <v/>
      </c>
      <c r="P246" s="6">
        <f>IF(OR(原始資料!$A246="",15&gt;設定!$B$3,原始資料!R246=""),"",IF(AND(原始資料!Q246&lt;&gt;"",原始資料!R246=原始資料!Q246),N(O246)+1,1))</f>
        <v/>
      </c>
      <c r="Q246" s="6">
        <f>IF(OR(原始資料!$A246="",16&gt;設定!$B$3,原始資料!S246=""),"",IF(AND(原始資料!R246&lt;&gt;"",原始資料!S246=原始資料!R246),N(P246)+1,1))</f>
        <v/>
      </c>
      <c r="R246" s="6">
        <f>IF(OR(原始資料!$A246="",17&gt;設定!$B$3,原始資料!T246=""),"",IF(AND(原始資料!S246&lt;&gt;"",原始資料!T246=原始資料!S246),N(Q246)+1,1))</f>
        <v/>
      </c>
      <c r="S246" s="6">
        <f>IF(OR(原始資料!$A246="",18&gt;設定!$B$3,原始資料!U246=""),"",IF(AND(原始資料!T246&lt;&gt;"",原始資料!U246=原始資料!T246),N(R246)+1,1))</f>
        <v/>
      </c>
      <c r="T246" s="6">
        <f>IF(OR(原始資料!$A246="",19&gt;設定!$B$3,原始資料!V246=""),"",IF(AND(原始資料!U246&lt;&gt;"",原始資料!V246=原始資料!U246),N(S246)+1,1))</f>
        <v/>
      </c>
      <c r="U246" s="6">
        <f>IF(OR(原始資料!$A246="",20&gt;設定!$B$3,原始資料!W246=""),"",IF(AND(原始資料!V246&lt;&gt;"",原始資料!W246=原始資料!V246),N(T246)+1,1))</f>
        <v/>
      </c>
      <c r="V246" s="6">
        <f>IF(OR(原始資料!$A246="",21&gt;設定!$B$3,原始資料!X246=""),"",IF(AND(原始資料!W246&lt;&gt;"",原始資料!X246=原始資料!W246),N(U246)+1,1))</f>
        <v/>
      </c>
      <c r="W246" s="6">
        <f>IF(OR(原始資料!$A246="",22&gt;設定!$B$3,原始資料!Y246=""),"",IF(AND(原始資料!X246&lt;&gt;"",原始資料!Y246=原始資料!X246),N(V246)+1,1))</f>
        <v/>
      </c>
      <c r="X246" s="6">
        <f>IF(OR(原始資料!$A246="",23&gt;設定!$B$3,原始資料!Z246=""),"",IF(AND(原始資料!Y246&lt;&gt;"",原始資料!Z246=原始資料!Y246),N(W246)+1,1))</f>
        <v/>
      </c>
      <c r="Y246" s="6">
        <f>IF(OR(原始資料!$A246="",24&gt;設定!$B$3,原始資料!AA246=""),"",IF(AND(原始資料!Z246&lt;&gt;"",原始資料!AA246=原始資料!Z246),N(X246)+1,1))</f>
        <v/>
      </c>
      <c r="Z246" s="6">
        <f>IF(OR(原始資料!$A246="",25&gt;設定!$B$3,原始資料!AB246=""),"",IF(AND(原始資料!AA246&lt;&gt;"",原始資料!AB246=原始資料!AA246),N(Y246)+1,1))</f>
        <v/>
      </c>
      <c r="AA246" s="6">
        <f>IF(OR(原始資料!$A246="",26&gt;設定!$B$3,原始資料!AC246=""),"",IF(AND(原始資料!AB246&lt;&gt;"",原始資料!AC246=原始資料!AB246),N(Z246)+1,1))</f>
        <v/>
      </c>
      <c r="AB246" s="6">
        <f>IF(OR(原始資料!$A246="",27&gt;設定!$B$3,原始資料!AD246=""),"",IF(AND(原始資料!AC246&lt;&gt;"",原始資料!AD246=原始資料!AC246),N(AA246)+1,1))</f>
        <v/>
      </c>
      <c r="AC246" s="6">
        <f>IF(OR(原始資料!$A246="",28&gt;設定!$B$3,原始資料!AE246=""),"",IF(AND(原始資料!AD246&lt;&gt;"",原始資料!AE246=原始資料!AD246),N(AB246)+1,1))</f>
        <v/>
      </c>
      <c r="AD246" s="6">
        <f>IF(OR(原始資料!$A246="",29&gt;設定!$B$3,原始資料!AF246=""),"",IF(AND(原始資料!AE246&lt;&gt;"",原始資料!AF246=原始資料!AE246),N(AC246)+1,1))</f>
        <v/>
      </c>
      <c r="AE246" s="6">
        <f>IF(OR(原始資料!$A246="",30&gt;設定!$B$3,原始資料!AG246=""),"",IF(AND(原始資料!AF246&lt;&gt;"",原始資料!AG246=原始資料!AF246),N(AD246)+1,1))</f>
        <v/>
      </c>
      <c r="AF246" s="6">
        <f>IF(OR(原始資料!$A246="",31&gt;設定!$B$3,原始資料!AH246=""),"",IF(AND(原始資料!AG246&lt;&gt;"",原始資料!AH246=原始資料!AG246),N(AE246)+1,1))</f>
        <v/>
      </c>
      <c r="AG246" s="6">
        <f>IF(OR(原始資料!$A246="",32&gt;設定!$B$3,原始資料!AI246=""),"",IF(AND(原始資料!AH246&lt;&gt;"",原始資料!AI246=原始資料!AH246),N(AF246)+1,1))</f>
        <v/>
      </c>
      <c r="AH246" s="6">
        <f>IF(OR(原始資料!$A246="",33&gt;設定!$B$3,原始資料!AJ246=""),"",IF(AND(原始資料!AI246&lt;&gt;"",原始資料!AJ246=原始資料!AI246),N(AG246)+1,1))</f>
        <v/>
      </c>
      <c r="AI246" s="6">
        <f>IF(OR(原始資料!$A246="",34&gt;設定!$B$3,原始資料!AK246=""),"",IF(AND(原始資料!AJ246&lt;&gt;"",原始資料!AK246=原始資料!AJ246),N(AH246)+1,1))</f>
        <v/>
      </c>
      <c r="AJ246" s="6">
        <f>IF(OR(原始資料!$A246="",35&gt;設定!$B$3,原始資料!AL246=""),"",IF(AND(原始資料!AK246&lt;&gt;"",原始資料!AL246=原始資料!AK246),N(AI246)+1,1))</f>
        <v/>
      </c>
      <c r="AK246" s="6">
        <f>IF(OR(原始資料!$A246="",36&gt;設定!$B$3,原始資料!AM246=""),"",IF(AND(原始資料!AL246&lt;&gt;"",原始資料!AM246=原始資料!AL246),N(AJ246)+1,1))</f>
        <v/>
      </c>
      <c r="AL246" s="6">
        <f>IF(OR(原始資料!$A246="",37&gt;設定!$B$3,原始資料!AN246=""),"",IF(AND(原始資料!AM246&lt;&gt;"",原始資料!AN246=原始資料!AM246),N(AK246)+1,1))</f>
        <v/>
      </c>
      <c r="AM246" s="6">
        <f>IF(OR(原始資料!$A246="",38&gt;設定!$B$3,原始資料!AO246=""),"",IF(AND(原始資料!AN246&lt;&gt;"",原始資料!AO246=原始資料!AN246),N(AL246)+1,1))</f>
        <v/>
      </c>
      <c r="AN246" s="6">
        <f>IF(OR(原始資料!$A246="",39&gt;設定!$B$3,原始資料!AP246=""),"",IF(AND(原始資料!AO246&lt;&gt;"",原始資料!AP246=原始資料!AO246),N(AM246)+1,1))</f>
        <v/>
      </c>
      <c r="AO246" s="6">
        <f>IF(OR(原始資料!$A246="",40&gt;設定!$B$3,原始資料!AQ246=""),"",IF(AND(原始資料!AP246&lt;&gt;"",原始資料!AQ246=原始資料!AP246),N(AN246)+1,1))</f>
        <v/>
      </c>
      <c r="AP246" s="6">
        <f>IF(OR(原始資料!$A246="",41&gt;設定!$B$3,原始資料!AR246=""),"",IF(AND(原始資料!AQ246&lt;&gt;"",原始資料!AR246=原始資料!AQ246),N(AO246)+1,1))</f>
        <v/>
      </c>
      <c r="AQ246" s="6">
        <f>IF(OR(原始資料!$A246="",42&gt;設定!$B$3,原始資料!AS246=""),"",IF(AND(原始資料!AR246&lt;&gt;"",原始資料!AS246=原始資料!AR246),N(AP246)+1,1))</f>
        <v/>
      </c>
      <c r="AR246" s="6">
        <f>IF(OR(原始資料!$A246="",43&gt;設定!$B$3,原始資料!AT246=""),"",IF(AND(原始資料!AS246&lt;&gt;"",原始資料!AT246=原始資料!AS246),N(AQ246)+1,1))</f>
        <v/>
      </c>
      <c r="AS246" s="6">
        <f>IF(OR(原始資料!$A246="",44&gt;設定!$B$3,原始資料!AU246=""),"",IF(AND(原始資料!AT246&lt;&gt;"",原始資料!AU246=原始資料!AT246),N(AR246)+1,1))</f>
        <v/>
      </c>
      <c r="AT246" s="6">
        <f>IF(OR(原始資料!$A246="",45&gt;設定!$B$3,原始資料!AV246=""),"",IF(AND(原始資料!AU246&lt;&gt;"",原始資料!AV246=原始資料!AU246),N(AS246)+1,1))</f>
        <v/>
      </c>
      <c r="AU246" s="6">
        <f>IF(OR(原始資料!$A246="",46&gt;設定!$B$3,原始資料!AW246=""),"",IF(AND(原始資料!AV246&lt;&gt;"",原始資料!AW246=原始資料!AV246),N(AT246)+1,1))</f>
        <v/>
      </c>
      <c r="AV246" s="6">
        <f>IF(OR(原始資料!$A246="",47&gt;設定!$B$3,原始資料!AX246=""),"",IF(AND(原始資料!AW246&lt;&gt;"",原始資料!AX246=原始資料!AW246),N(AU246)+1,1))</f>
        <v/>
      </c>
      <c r="AW246" s="6">
        <f>IF(OR(原始資料!$A246="",48&gt;設定!$B$3,原始資料!AY246=""),"",IF(AND(原始資料!AX246&lt;&gt;"",原始資料!AY246=原始資料!AX246),N(AV246)+1,1))</f>
        <v/>
      </c>
      <c r="AX246" s="6">
        <f>IF(OR(原始資料!$A246="",49&gt;設定!$B$3,原始資料!AZ246=""),"",IF(AND(原始資料!AY246&lt;&gt;"",原始資料!AZ246=原始資料!AY246),N(AW246)+1,1))</f>
        <v/>
      </c>
      <c r="AY246" s="6">
        <f>IF(OR(原始資料!$A246="",50&gt;設定!$B$3,原始資料!BA246=""),"",IF(AND(原始資料!AZ246&lt;&gt;"",原始資料!BA246=原始資料!AZ246),N(AX246)+1,1))</f>
        <v/>
      </c>
      <c r="AZ246" s="6">
        <f>IF(OR(原始資料!$A246="",51&gt;設定!$B$3,原始資料!BB246=""),"",IF(AND(原始資料!BA246&lt;&gt;"",原始資料!BB246=原始資料!BA246),N(AY246)+1,1))</f>
        <v/>
      </c>
      <c r="BA246" s="6">
        <f>IF(OR(原始資料!$A246="",52&gt;設定!$B$3,原始資料!BC246=""),"",IF(AND(原始資料!BB246&lt;&gt;"",原始資料!BC246=原始資料!BB246),N(AZ246)+1,1))</f>
        <v/>
      </c>
      <c r="BB246" s="6">
        <f>IF(OR(原始資料!$A246="",53&gt;設定!$B$3,原始資料!BD246=""),"",IF(AND(原始資料!BC246&lt;&gt;"",原始資料!BD246=原始資料!BC246),N(BA246)+1,1))</f>
        <v/>
      </c>
      <c r="BC246" s="6">
        <f>IF(OR(原始資料!$A246="",54&gt;設定!$B$3,原始資料!BE246=""),"",IF(AND(原始資料!BD246&lt;&gt;"",原始資料!BE246=原始資料!BD246),N(BB246)+1,1))</f>
        <v/>
      </c>
      <c r="BD246" s="6">
        <f>IF(OR(原始資料!$A246="",55&gt;設定!$B$3,原始資料!BF246=""),"",IF(AND(原始資料!BE246&lt;&gt;"",原始資料!BF246=原始資料!BE246),N(BC246)+1,1))</f>
        <v/>
      </c>
      <c r="BE246" s="6">
        <f>IF(OR(原始資料!$A246="",56&gt;設定!$B$3,原始資料!BG246=""),"",IF(AND(原始資料!BF246&lt;&gt;"",原始資料!BG246=原始資料!BF246),N(BD246)+1,1))</f>
        <v/>
      </c>
      <c r="BF246" s="6">
        <f>IF(OR(原始資料!$A246="",57&gt;設定!$B$3,原始資料!BH246=""),"",IF(AND(原始資料!BG246&lt;&gt;"",原始資料!BH246=原始資料!BG246),N(BE246)+1,1))</f>
        <v/>
      </c>
      <c r="BG246" s="6">
        <f>IF(OR(原始資料!$A246="",58&gt;設定!$B$3,原始資料!BI246=""),"",IF(AND(原始資料!BH246&lt;&gt;"",原始資料!BI246=原始資料!BH246),N(BF246)+1,1))</f>
        <v/>
      </c>
      <c r="BH246" s="6">
        <f>IF(OR(原始資料!$A246="",59&gt;設定!$B$3,原始資料!BJ246=""),"",IF(AND(原始資料!BI246&lt;&gt;"",原始資料!BJ246=原始資料!BI246),N(BG246)+1,1))</f>
        <v/>
      </c>
      <c r="BI246" s="6">
        <f>IF(OR(原始資料!$A246="",60&gt;設定!$B$3,原始資料!BK246=""),"",IF(AND(原始資料!BJ246&lt;&gt;"",原始資料!BK246=原始資料!BJ246),N(BH246)+1,1))</f>
        <v/>
      </c>
    </row>
    <row r="247">
      <c r="A247" s="6">
        <f>IF(原始資料!$A247="","",原始資料!$A247)</f>
        <v/>
      </c>
      <c r="B247" s="6">
        <f>IF(OR(原始資料!$A247="",1&gt;設定!$B$3,原始資料!D247=""),"",1)</f>
        <v/>
      </c>
      <c r="C247" s="6">
        <f>IF(OR(原始資料!$A247="",2&gt;設定!$B$3,原始資料!E247=""),"",IF(AND(原始資料!D247&lt;&gt;"",原始資料!E247=原始資料!D247),N(B247)+1,1))</f>
        <v/>
      </c>
      <c r="D247" s="6">
        <f>IF(OR(原始資料!$A247="",3&gt;設定!$B$3,原始資料!F247=""),"",IF(AND(原始資料!E247&lt;&gt;"",原始資料!F247=原始資料!E247),N(C247)+1,1))</f>
        <v/>
      </c>
      <c r="E247" s="6">
        <f>IF(OR(原始資料!$A247="",4&gt;設定!$B$3,原始資料!G247=""),"",IF(AND(原始資料!F247&lt;&gt;"",原始資料!G247=原始資料!F247),N(D247)+1,1))</f>
        <v/>
      </c>
      <c r="F247" s="6">
        <f>IF(OR(原始資料!$A247="",5&gt;設定!$B$3,原始資料!H247=""),"",IF(AND(原始資料!G247&lt;&gt;"",原始資料!H247=原始資料!G247),N(E247)+1,1))</f>
        <v/>
      </c>
      <c r="G247" s="6">
        <f>IF(OR(原始資料!$A247="",6&gt;設定!$B$3,原始資料!I247=""),"",IF(AND(原始資料!H247&lt;&gt;"",原始資料!I247=原始資料!H247),N(F247)+1,1))</f>
        <v/>
      </c>
      <c r="H247" s="6">
        <f>IF(OR(原始資料!$A247="",7&gt;設定!$B$3,原始資料!J247=""),"",IF(AND(原始資料!I247&lt;&gt;"",原始資料!J247=原始資料!I247),N(G247)+1,1))</f>
        <v/>
      </c>
      <c r="I247" s="6">
        <f>IF(OR(原始資料!$A247="",8&gt;設定!$B$3,原始資料!K247=""),"",IF(AND(原始資料!J247&lt;&gt;"",原始資料!K247=原始資料!J247),N(H247)+1,1))</f>
        <v/>
      </c>
      <c r="J247" s="6">
        <f>IF(OR(原始資料!$A247="",9&gt;設定!$B$3,原始資料!L247=""),"",IF(AND(原始資料!K247&lt;&gt;"",原始資料!L247=原始資料!K247),N(I247)+1,1))</f>
        <v/>
      </c>
      <c r="K247" s="6">
        <f>IF(OR(原始資料!$A247="",10&gt;設定!$B$3,原始資料!M247=""),"",IF(AND(原始資料!L247&lt;&gt;"",原始資料!M247=原始資料!L247),N(J247)+1,1))</f>
        <v/>
      </c>
      <c r="L247" s="6">
        <f>IF(OR(原始資料!$A247="",11&gt;設定!$B$3,原始資料!N247=""),"",IF(AND(原始資料!M247&lt;&gt;"",原始資料!N247=原始資料!M247),N(K247)+1,1))</f>
        <v/>
      </c>
      <c r="M247" s="6">
        <f>IF(OR(原始資料!$A247="",12&gt;設定!$B$3,原始資料!O247=""),"",IF(AND(原始資料!N247&lt;&gt;"",原始資料!O247=原始資料!N247),N(L247)+1,1))</f>
        <v/>
      </c>
      <c r="N247" s="6">
        <f>IF(OR(原始資料!$A247="",13&gt;設定!$B$3,原始資料!P247=""),"",IF(AND(原始資料!O247&lt;&gt;"",原始資料!P247=原始資料!O247),N(M247)+1,1))</f>
        <v/>
      </c>
      <c r="O247" s="6">
        <f>IF(OR(原始資料!$A247="",14&gt;設定!$B$3,原始資料!Q247=""),"",IF(AND(原始資料!P247&lt;&gt;"",原始資料!Q247=原始資料!P247),N(N247)+1,1))</f>
        <v/>
      </c>
      <c r="P247" s="6">
        <f>IF(OR(原始資料!$A247="",15&gt;設定!$B$3,原始資料!R247=""),"",IF(AND(原始資料!Q247&lt;&gt;"",原始資料!R247=原始資料!Q247),N(O247)+1,1))</f>
        <v/>
      </c>
      <c r="Q247" s="6">
        <f>IF(OR(原始資料!$A247="",16&gt;設定!$B$3,原始資料!S247=""),"",IF(AND(原始資料!R247&lt;&gt;"",原始資料!S247=原始資料!R247),N(P247)+1,1))</f>
        <v/>
      </c>
      <c r="R247" s="6">
        <f>IF(OR(原始資料!$A247="",17&gt;設定!$B$3,原始資料!T247=""),"",IF(AND(原始資料!S247&lt;&gt;"",原始資料!T247=原始資料!S247),N(Q247)+1,1))</f>
        <v/>
      </c>
      <c r="S247" s="6">
        <f>IF(OR(原始資料!$A247="",18&gt;設定!$B$3,原始資料!U247=""),"",IF(AND(原始資料!T247&lt;&gt;"",原始資料!U247=原始資料!T247),N(R247)+1,1))</f>
        <v/>
      </c>
      <c r="T247" s="6">
        <f>IF(OR(原始資料!$A247="",19&gt;設定!$B$3,原始資料!V247=""),"",IF(AND(原始資料!U247&lt;&gt;"",原始資料!V247=原始資料!U247),N(S247)+1,1))</f>
        <v/>
      </c>
      <c r="U247" s="6">
        <f>IF(OR(原始資料!$A247="",20&gt;設定!$B$3,原始資料!W247=""),"",IF(AND(原始資料!V247&lt;&gt;"",原始資料!W247=原始資料!V247),N(T247)+1,1))</f>
        <v/>
      </c>
      <c r="V247" s="6">
        <f>IF(OR(原始資料!$A247="",21&gt;設定!$B$3,原始資料!X247=""),"",IF(AND(原始資料!W247&lt;&gt;"",原始資料!X247=原始資料!W247),N(U247)+1,1))</f>
        <v/>
      </c>
      <c r="W247" s="6">
        <f>IF(OR(原始資料!$A247="",22&gt;設定!$B$3,原始資料!Y247=""),"",IF(AND(原始資料!X247&lt;&gt;"",原始資料!Y247=原始資料!X247),N(V247)+1,1))</f>
        <v/>
      </c>
      <c r="X247" s="6">
        <f>IF(OR(原始資料!$A247="",23&gt;設定!$B$3,原始資料!Z247=""),"",IF(AND(原始資料!Y247&lt;&gt;"",原始資料!Z247=原始資料!Y247),N(W247)+1,1))</f>
        <v/>
      </c>
      <c r="Y247" s="6">
        <f>IF(OR(原始資料!$A247="",24&gt;設定!$B$3,原始資料!AA247=""),"",IF(AND(原始資料!Z247&lt;&gt;"",原始資料!AA247=原始資料!Z247),N(X247)+1,1))</f>
        <v/>
      </c>
      <c r="Z247" s="6">
        <f>IF(OR(原始資料!$A247="",25&gt;設定!$B$3,原始資料!AB247=""),"",IF(AND(原始資料!AA247&lt;&gt;"",原始資料!AB247=原始資料!AA247),N(Y247)+1,1))</f>
        <v/>
      </c>
      <c r="AA247" s="6">
        <f>IF(OR(原始資料!$A247="",26&gt;設定!$B$3,原始資料!AC247=""),"",IF(AND(原始資料!AB247&lt;&gt;"",原始資料!AC247=原始資料!AB247),N(Z247)+1,1))</f>
        <v/>
      </c>
      <c r="AB247" s="6">
        <f>IF(OR(原始資料!$A247="",27&gt;設定!$B$3,原始資料!AD247=""),"",IF(AND(原始資料!AC247&lt;&gt;"",原始資料!AD247=原始資料!AC247),N(AA247)+1,1))</f>
        <v/>
      </c>
      <c r="AC247" s="6">
        <f>IF(OR(原始資料!$A247="",28&gt;設定!$B$3,原始資料!AE247=""),"",IF(AND(原始資料!AD247&lt;&gt;"",原始資料!AE247=原始資料!AD247),N(AB247)+1,1))</f>
        <v/>
      </c>
      <c r="AD247" s="6">
        <f>IF(OR(原始資料!$A247="",29&gt;設定!$B$3,原始資料!AF247=""),"",IF(AND(原始資料!AE247&lt;&gt;"",原始資料!AF247=原始資料!AE247),N(AC247)+1,1))</f>
        <v/>
      </c>
      <c r="AE247" s="6">
        <f>IF(OR(原始資料!$A247="",30&gt;設定!$B$3,原始資料!AG247=""),"",IF(AND(原始資料!AF247&lt;&gt;"",原始資料!AG247=原始資料!AF247),N(AD247)+1,1))</f>
        <v/>
      </c>
      <c r="AF247" s="6">
        <f>IF(OR(原始資料!$A247="",31&gt;設定!$B$3,原始資料!AH247=""),"",IF(AND(原始資料!AG247&lt;&gt;"",原始資料!AH247=原始資料!AG247),N(AE247)+1,1))</f>
        <v/>
      </c>
      <c r="AG247" s="6">
        <f>IF(OR(原始資料!$A247="",32&gt;設定!$B$3,原始資料!AI247=""),"",IF(AND(原始資料!AH247&lt;&gt;"",原始資料!AI247=原始資料!AH247),N(AF247)+1,1))</f>
        <v/>
      </c>
      <c r="AH247" s="6">
        <f>IF(OR(原始資料!$A247="",33&gt;設定!$B$3,原始資料!AJ247=""),"",IF(AND(原始資料!AI247&lt;&gt;"",原始資料!AJ247=原始資料!AI247),N(AG247)+1,1))</f>
        <v/>
      </c>
      <c r="AI247" s="6">
        <f>IF(OR(原始資料!$A247="",34&gt;設定!$B$3,原始資料!AK247=""),"",IF(AND(原始資料!AJ247&lt;&gt;"",原始資料!AK247=原始資料!AJ247),N(AH247)+1,1))</f>
        <v/>
      </c>
      <c r="AJ247" s="6">
        <f>IF(OR(原始資料!$A247="",35&gt;設定!$B$3,原始資料!AL247=""),"",IF(AND(原始資料!AK247&lt;&gt;"",原始資料!AL247=原始資料!AK247),N(AI247)+1,1))</f>
        <v/>
      </c>
      <c r="AK247" s="6">
        <f>IF(OR(原始資料!$A247="",36&gt;設定!$B$3,原始資料!AM247=""),"",IF(AND(原始資料!AL247&lt;&gt;"",原始資料!AM247=原始資料!AL247),N(AJ247)+1,1))</f>
        <v/>
      </c>
      <c r="AL247" s="6">
        <f>IF(OR(原始資料!$A247="",37&gt;設定!$B$3,原始資料!AN247=""),"",IF(AND(原始資料!AM247&lt;&gt;"",原始資料!AN247=原始資料!AM247),N(AK247)+1,1))</f>
        <v/>
      </c>
      <c r="AM247" s="6">
        <f>IF(OR(原始資料!$A247="",38&gt;設定!$B$3,原始資料!AO247=""),"",IF(AND(原始資料!AN247&lt;&gt;"",原始資料!AO247=原始資料!AN247),N(AL247)+1,1))</f>
        <v/>
      </c>
      <c r="AN247" s="6">
        <f>IF(OR(原始資料!$A247="",39&gt;設定!$B$3,原始資料!AP247=""),"",IF(AND(原始資料!AO247&lt;&gt;"",原始資料!AP247=原始資料!AO247),N(AM247)+1,1))</f>
        <v/>
      </c>
      <c r="AO247" s="6">
        <f>IF(OR(原始資料!$A247="",40&gt;設定!$B$3,原始資料!AQ247=""),"",IF(AND(原始資料!AP247&lt;&gt;"",原始資料!AQ247=原始資料!AP247),N(AN247)+1,1))</f>
        <v/>
      </c>
      <c r="AP247" s="6">
        <f>IF(OR(原始資料!$A247="",41&gt;設定!$B$3,原始資料!AR247=""),"",IF(AND(原始資料!AQ247&lt;&gt;"",原始資料!AR247=原始資料!AQ247),N(AO247)+1,1))</f>
        <v/>
      </c>
      <c r="AQ247" s="6">
        <f>IF(OR(原始資料!$A247="",42&gt;設定!$B$3,原始資料!AS247=""),"",IF(AND(原始資料!AR247&lt;&gt;"",原始資料!AS247=原始資料!AR247),N(AP247)+1,1))</f>
        <v/>
      </c>
      <c r="AR247" s="6">
        <f>IF(OR(原始資料!$A247="",43&gt;設定!$B$3,原始資料!AT247=""),"",IF(AND(原始資料!AS247&lt;&gt;"",原始資料!AT247=原始資料!AS247),N(AQ247)+1,1))</f>
        <v/>
      </c>
      <c r="AS247" s="6">
        <f>IF(OR(原始資料!$A247="",44&gt;設定!$B$3,原始資料!AU247=""),"",IF(AND(原始資料!AT247&lt;&gt;"",原始資料!AU247=原始資料!AT247),N(AR247)+1,1))</f>
        <v/>
      </c>
      <c r="AT247" s="6">
        <f>IF(OR(原始資料!$A247="",45&gt;設定!$B$3,原始資料!AV247=""),"",IF(AND(原始資料!AU247&lt;&gt;"",原始資料!AV247=原始資料!AU247),N(AS247)+1,1))</f>
        <v/>
      </c>
      <c r="AU247" s="6">
        <f>IF(OR(原始資料!$A247="",46&gt;設定!$B$3,原始資料!AW247=""),"",IF(AND(原始資料!AV247&lt;&gt;"",原始資料!AW247=原始資料!AV247),N(AT247)+1,1))</f>
        <v/>
      </c>
      <c r="AV247" s="6">
        <f>IF(OR(原始資料!$A247="",47&gt;設定!$B$3,原始資料!AX247=""),"",IF(AND(原始資料!AW247&lt;&gt;"",原始資料!AX247=原始資料!AW247),N(AU247)+1,1))</f>
        <v/>
      </c>
      <c r="AW247" s="6">
        <f>IF(OR(原始資料!$A247="",48&gt;設定!$B$3,原始資料!AY247=""),"",IF(AND(原始資料!AX247&lt;&gt;"",原始資料!AY247=原始資料!AX247),N(AV247)+1,1))</f>
        <v/>
      </c>
      <c r="AX247" s="6">
        <f>IF(OR(原始資料!$A247="",49&gt;設定!$B$3,原始資料!AZ247=""),"",IF(AND(原始資料!AY247&lt;&gt;"",原始資料!AZ247=原始資料!AY247),N(AW247)+1,1))</f>
        <v/>
      </c>
      <c r="AY247" s="6">
        <f>IF(OR(原始資料!$A247="",50&gt;設定!$B$3,原始資料!BA247=""),"",IF(AND(原始資料!AZ247&lt;&gt;"",原始資料!BA247=原始資料!AZ247),N(AX247)+1,1))</f>
        <v/>
      </c>
      <c r="AZ247" s="6">
        <f>IF(OR(原始資料!$A247="",51&gt;設定!$B$3,原始資料!BB247=""),"",IF(AND(原始資料!BA247&lt;&gt;"",原始資料!BB247=原始資料!BA247),N(AY247)+1,1))</f>
        <v/>
      </c>
      <c r="BA247" s="6">
        <f>IF(OR(原始資料!$A247="",52&gt;設定!$B$3,原始資料!BC247=""),"",IF(AND(原始資料!BB247&lt;&gt;"",原始資料!BC247=原始資料!BB247),N(AZ247)+1,1))</f>
        <v/>
      </c>
      <c r="BB247" s="6">
        <f>IF(OR(原始資料!$A247="",53&gt;設定!$B$3,原始資料!BD247=""),"",IF(AND(原始資料!BC247&lt;&gt;"",原始資料!BD247=原始資料!BC247),N(BA247)+1,1))</f>
        <v/>
      </c>
      <c r="BC247" s="6">
        <f>IF(OR(原始資料!$A247="",54&gt;設定!$B$3,原始資料!BE247=""),"",IF(AND(原始資料!BD247&lt;&gt;"",原始資料!BE247=原始資料!BD247),N(BB247)+1,1))</f>
        <v/>
      </c>
      <c r="BD247" s="6">
        <f>IF(OR(原始資料!$A247="",55&gt;設定!$B$3,原始資料!BF247=""),"",IF(AND(原始資料!BE247&lt;&gt;"",原始資料!BF247=原始資料!BE247),N(BC247)+1,1))</f>
        <v/>
      </c>
      <c r="BE247" s="6">
        <f>IF(OR(原始資料!$A247="",56&gt;設定!$B$3,原始資料!BG247=""),"",IF(AND(原始資料!BF247&lt;&gt;"",原始資料!BG247=原始資料!BF247),N(BD247)+1,1))</f>
        <v/>
      </c>
      <c r="BF247" s="6">
        <f>IF(OR(原始資料!$A247="",57&gt;設定!$B$3,原始資料!BH247=""),"",IF(AND(原始資料!BG247&lt;&gt;"",原始資料!BH247=原始資料!BG247),N(BE247)+1,1))</f>
        <v/>
      </c>
      <c r="BG247" s="6">
        <f>IF(OR(原始資料!$A247="",58&gt;設定!$B$3,原始資料!BI247=""),"",IF(AND(原始資料!BH247&lt;&gt;"",原始資料!BI247=原始資料!BH247),N(BF247)+1,1))</f>
        <v/>
      </c>
      <c r="BH247" s="6">
        <f>IF(OR(原始資料!$A247="",59&gt;設定!$B$3,原始資料!BJ247=""),"",IF(AND(原始資料!BI247&lt;&gt;"",原始資料!BJ247=原始資料!BI247),N(BG247)+1,1))</f>
        <v/>
      </c>
      <c r="BI247" s="6">
        <f>IF(OR(原始資料!$A247="",60&gt;設定!$B$3,原始資料!BK247=""),"",IF(AND(原始資料!BJ247&lt;&gt;"",原始資料!BK247=原始資料!BJ247),N(BH247)+1,1))</f>
        <v/>
      </c>
    </row>
    <row r="248">
      <c r="A248" s="6">
        <f>IF(原始資料!$A248="","",原始資料!$A248)</f>
        <v/>
      </c>
      <c r="B248" s="6">
        <f>IF(OR(原始資料!$A248="",1&gt;設定!$B$3,原始資料!D248=""),"",1)</f>
        <v/>
      </c>
      <c r="C248" s="6">
        <f>IF(OR(原始資料!$A248="",2&gt;設定!$B$3,原始資料!E248=""),"",IF(AND(原始資料!D248&lt;&gt;"",原始資料!E248=原始資料!D248),N(B248)+1,1))</f>
        <v/>
      </c>
      <c r="D248" s="6">
        <f>IF(OR(原始資料!$A248="",3&gt;設定!$B$3,原始資料!F248=""),"",IF(AND(原始資料!E248&lt;&gt;"",原始資料!F248=原始資料!E248),N(C248)+1,1))</f>
        <v/>
      </c>
      <c r="E248" s="6">
        <f>IF(OR(原始資料!$A248="",4&gt;設定!$B$3,原始資料!G248=""),"",IF(AND(原始資料!F248&lt;&gt;"",原始資料!G248=原始資料!F248),N(D248)+1,1))</f>
        <v/>
      </c>
      <c r="F248" s="6">
        <f>IF(OR(原始資料!$A248="",5&gt;設定!$B$3,原始資料!H248=""),"",IF(AND(原始資料!G248&lt;&gt;"",原始資料!H248=原始資料!G248),N(E248)+1,1))</f>
        <v/>
      </c>
      <c r="G248" s="6">
        <f>IF(OR(原始資料!$A248="",6&gt;設定!$B$3,原始資料!I248=""),"",IF(AND(原始資料!H248&lt;&gt;"",原始資料!I248=原始資料!H248),N(F248)+1,1))</f>
        <v/>
      </c>
      <c r="H248" s="6">
        <f>IF(OR(原始資料!$A248="",7&gt;設定!$B$3,原始資料!J248=""),"",IF(AND(原始資料!I248&lt;&gt;"",原始資料!J248=原始資料!I248),N(G248)+1,1))</f>
        <v/>
      </c>
      <c r="I248" s="6">
        <f>IF(OR(原始資料!$A248="",8&gt;設定!$B$3,原始資料!K248=""),"",IF(AND(原始資料!J248&lt;&gt;"",原始資料!K248=原始資料!J248),N(H248)+1,1))</f>
        <v/>
      </c>
      <c r="J248" s="6">
        <f>IF(OR(原始資料!$A248="",9&gt;設定!$B$3,原始資料!L248=""),"",IF(AND(原始資料!K248&lt;&gt;"",原始資料!L248=原始資料!K248),N(I248)+1,1))</f>
        <v/>
      </c>
      <c r="K248" s="6">
        <f>IF(OR(原始資料!$A248="",10&gt;設定!$B$3,原始資料!M248=""),"",IF(AND(原始資料!L248&lt;&gt;"",原始資料!M248=原始資料!L248),N(J248)+1,1))</f>
        <v/>
      </c>
      <c r="L248" s="6">
        <f>IF(OR(原始資料!$A248="",11&gt;設定!$B$3,原始資料!N248=""),"",IF(AND(原始資料!M248&lt;&gt;"",原始資料!N248=原始資料!M248),N(K248)+1,1))</f>
        <v/>
      </c>
      <c r="M248" s="6">
        <f>IF(OR(原始資料!$A248="",12&gt;設定!$B$3,原始資料!O248=""),"",IF(AND(原始資料!N248&lt;&gt;"",原始資料!O248=原始資料!N248),N(L248)+1,1))</f>
        <v/>
      </c>
      <c r="N248" s="6">
        <f>IF(OR(原始資料!$A248="",13&gt;設定!$B$3,原始資料!P248=""),"",IF(AND(原始資料!O248&lt;&gt;"",原始資料!P248=原始資料!O248),N(M248)+1,1))</f>
        <v/>
      </c>
      <c r="O248" s="6">
        <f>IF(OR(原始資料!$A248="",14&gt;設定!$B$3,原始資料!Q248=""),"",IF(AND(原始資料!P248&lt;&gt;"",原始資料!Q248=原始資料!P248),N(N248)+1,1))</f>
        <v/>
      </c>
      <c r="P248" s="6">
        <f>IF(OR(原始資料!$A248="",15&gt;設定!$B$3,原始資料!R248=""),"",IF(AND(原始資料!Q248&lt;&gt;"",原始資料!R248=原始資料!Q248),N(O248)+1,1))</f>
        <v/>
      </c>
      <c r="Q248" s="6">
        <f>IF(OR(原始資料!$A248="",16&gt;設定!$B$3,原始資料!S248=""),"",IF(AND(原始資料!R248&lt;&gt;"",原始資料!S248=原始資料!R248),N(P248)+1,1))</f>
        <v/>
      </c>
      <c r="R248" s="6">
        <f>IF(OR(原始資料!$A248="",17&gt;設定!$B$3,原始資料!T248=""),"",IF(AND(原始資料!S248&lt;&gt;"",原始資料!T248=原始資料!S248),N(Q248)+1,1))</f>
        <v/>
      </c>
      <c r="S248" s="6">
        <f>IF(OR(原始資料!$A248="",18&gt;設定!$B$3,原始資料!U248=""),"",IF(AND(原始資料!T248&lt;&gt;"",原始資料!U248=原始資料!T248),N(R248)+1,1))</f>
        <v/>
      </c>
      <c r="T248" s="6">
        <f>IF(OR(原始資料!$A248="",19&gt;設定!$B$3,原始資料!V248=""),"",IF(AND(原始資料!U248&lt;&gt;"",原始資料!V248=原始資料!U248),N(S248)+1,1))</f>
        <v/>
      </c>
      <c r="U248" s="6">
        <f>IF(OR(原始資料!$A248="",20&gt;設定!$B$3,原始資料!W248=""),"",IF(AND(原始資料!V248&lt;&gt;"",原始資料!W248=原始資料!V248),N(T248)+1,1))</f>
        <v/>
      </c>
      <c r="V248" s="6">
        <f>IF(OR(原始資料!$A248="",21&gt;設定!$B$3,原始資料!X248=""),"",IF(AND(原始資料!W248&lt;&gt;"",原始資料!X248=原始資料!W248),N(U248)+1,1))</f>
        <v/>
      </c>
      <c r="W248" s="6">
        <f>IF(OR(原始資料!$A248="",22&gt;設定!$B$3,原始資料!Y248=""),"",IF(AND(原始資料!X248&lt;&gt;"",原始資料!Y248=原始資料!X248),N(V248)+1,1))</f>
        <v/>
      </c>
      <c r="X248" s="6">
        <f>IF(OR(原始資料!$A248="",23&gt;設定!$B$3,原始資料!Z248=""),"",IF(AND(原始資料!Y248&lt;&gt;"",原始資料!Z248=原始資料!Y248),N(W248)+1,1))</f>
        <v/>
      </c>
      <c r="Y248" s="6">
        <f>IF(OR(原始資料!$A248="",24&gt;設定!$B$3,原始資料!AA248=""),"",IF(AND(原始資料!Z248&lt;&gt;"",原始資料!AA248=原始資料!Z248),N(X248)+1,1))</f>
        <v/>
      </c>
      <c r="Z248" s="6">
        <f>IF(OR(原始資料!$A248="",25&gt;設定!$B$3,原始資料!AB248=""),"",IF(AND(原始資料!AA248&lt;&gt;"",原始資料!AB248=原始資料!AA248),N(Y248)+1,1))</f>
        <v/>
      </c>
      <c r="AA248" s="6">
        <f>IF(OR(原始資料!$A248="",26&gt;設定!$B$3,原始資料!AC248=""),"",IF(AND(原始資料!AB248&lt;&gt;"",原始資料!AC248=原始資料!AB248),N(Z248)+1,1))</f>
        <v/>
      </c>
      <c r="AB248" s="6">
        <f>IF(OR(原始資料!$A248="",27&gt;設定!$B$3,原始資料!AD248=""),"",IF(AND(原始資料!AC248&lt;&gt;"",原始資料!AD248=原始資料!AC248),N(AA248)+1,1))</f>
        <v/>
      </c>
      <c r="AC248" s="6">
        <f>IF(OR(原始資料!$A248="",28&gt;設定!$B$3,原始資料!AE248=""),"",IF(AND(原始資料!AD248&lt;&gt;"",原始資料!AE248=原始資料!AD248),N(AB248)+1,1))</f>
        <v/>
      </c>
      <c r="AD248" s="6">
        <f>IF(OR(原始資料!$A248="",29&gt;設定!$B$3,原始資料!AF248=""),"",IF(AND(原始資料!AE248&lt;&gt;"",原始資料!AF248=原始資料!AE248),N(AC248)+1,1))</f>
        <v/>
      </c>
      <c r="AE248" s="6">
        <f>IF(OR(原始資料!$A248="",30&gt;設定!$B$3,原始資料!AG248=""),"",IF(AND(原始資料!AF248&lt;&gt;"",原始資料!AG248=原始資料!AF248),N(AD248)+1,1))</f>
        <v/>
      </c>
      <c r="AF248" s="6">
        <f>IF(OR(原始資料!$A248="",31&gt;設定!$B$3,原始資料!AH248=""),"",IF(AND(原始資料!AG248&lt;&gt;"",原始資料!AH248=原始資料!AG248),N(AE248)+1,1))</f>
        <v/>
      </c>
      <c r="AG248" s="6">
        <f>IF(OR(原始資料!$A248="",32&gt;設定!$B$3,原始資料!AI248=""),"",IF(AND(原始資料!AH248&lt;&gt;"",原始資料!AI248=原始資料!AH248),N(AF248)+1,1))</f>
        <v/>
      </c>
      <c r="AH248" s="6">
        <f>IF(OR(原始資料!$A248="",33&gt;設定!$B$3,原始資料!AJ248=""),"",IF(AND(原始資料!AI248&lt;&gt;"",原始資料!AJ248=原始資料!AI248),N(AG248)+1,1))</f>
        <v/>
      </c>
      <c r="AI248" s="6">
        <f>IF(OR(原始資料!$A248="",34&gt;設定!$B$3,原始資料!AK248=""),"",IF(AND(原始資料!AJ248&lt;&gt;"",原始資料!AK248=原始資料!AJ248),N(AH248)+1,1))</f>
        <v/>
      </c>
      <c r="AJ248" s="6">
        <f>IF(OR(原始資料!$A248="",35&gt;設定!$B$3,原始資料!AL248=""),"",IF(AND(原始資料!AK248&lt;&gt;"",原始資料!AL248=原始資料!AK248),N(AI248)+1,1))</f>
        <v/>
      </c>
      <c r="AK248" s="6">
        <f>IF(OR(原始資料!$A248="",36&gt;設定!$B$3,原始資料!AM248=""),"",IF(AND(原始資料!AL248&lt;&gt;"",原始資料!AM248=原始資料!AL248),N(AJ248)+1,1))</f>
        <v/>
      </c>
      <c r="AL248" s="6">
        <f>IF(OR(原始資料!$A248="",37&gt;設定!$B$3,原始資料!AN248=""),"",IF(AND(原始資料!AM248&lt;&gt;"",原始資料!AN248=原始資料!AM248),N(AK248)+1,1))</f>
        <v/>
      </c>
      <c r="AM248" s="6">
        <f>IF(OR(原始資料!$A248="",38&gt;設定!$B$3,原始資料!AO248=""),"",IF(AND(原始資料!AN248&lt;&gt;"",原始資料!AO248=原始資料!AN248),N(AL248)+1,1))</f>
        <v/>
      </c>
      <c r="AN248" s="6">
        <f>IF(OR(原始資料!$A248="",39&gt;設定!$B$3,原始資料!AP248=""),"",IF(AND(原始資料!AO248&lt;&gt;"",原始資料!AP248=原始資料!AO248),N(AM248)+1,1))</f>
        <v/>
      </c>
      <c r="AO248" s="6">
        <f>IF(OR(原始資料!$A248="",40&gt;設定!$B$3,原始資料!AQ248=""),"",IF(AND(原始資料!AP248&lt;&gt;"",原始資料!AQ248=原始資料!AP248),N(AN248)+1,1))</f>
        <v/>
      </c>
      <c r="AP248" s="6">
        <f>IF(OR(原始資料!$A248="",41&gt;設定!$B$3,原始資料!AR248=""),"",IF(AND(原始資料!AQ248&lt;&gt;"",原始資料!AR248=原始資料!AQ248),N(AO248)+1,1))</f>
        <v/>
      </c>
      <c r="AQ248" s="6">
        <f>IF(OR(原始資料!$A248="",42&gt;設定!$B$3,原始資料!AS248=""),"",IF(AND(原始資料!AR248&lt;&gt;"",原始資料!AS248=原始資料!AR248),N(AP248)+1,1))</f>
        <v/>
      </c>
      <c r="AR248" s="6">
        <f>IF(OR(原始資料!$A248="",43&gt;設定!$B$3,原始資料!AT248=""),"",IF(AND(原始資料!AS248&lt;&gt;"",原始資料!AT248=原始資料!AS248),N(AQ248)+1,1))</f>
        <v/>
      </c>
      <c r="AS248" s="6">
        <f>IF(OR(原始資料!$A248="",44&gt;設定!$B$3,原始資料!AU248=""),"",IF(AND(原始資料!AT248&lt;&gt;"",原始資料!AU248=原始資料!AT248),N(AR248)+1,1))</f>
        <v/>
      </c>
      <c r="AT248" s="6">
        <f>IF(OR(原始資料!$A248="",45&gt;設定!$B$3,原始資料!AV248=""),"",IF(AND(原始資料!AU248&lt;&gt;"",原始資料!AV248=原始資料!AU248),N(AS248)+1,1))</f>
        <v/>
      </c>
      <c r="AU248" s="6">
        <f>IF(OR(原始資料!$A248="",46&gt;設定!$B$3,原始資料!AW248=""),"",IF(AND(原始資料!AV248&lt;&gt;"",原始資料!AW248=原始資料!AV248),N(AT248)+1,1))</f>
        <v/>
      </c>
      <c r="AV248" s="6">
        <f>IF(OR(原始資料!$A248="",47&gt;設定!$B$3,原始資料!AX248=""),"",IF(AND(原始資料!AW248&lt;&gt;"",原始資料!AX248=原始資料!AW248),N(AU248)+1,1))</f>
        <v/>
      </c>
      <c r="AW248" s="6">
        <f>IF(OR(原始資料!$A248="",48&gt;設定!$B$3,原始資料!AY248=""),"",IF(AND(原始資料!AX248&lt;&gt;"",原始資料!AY248=原始資料!AX248),N(AV248)+1,1))</f>
        <v/>
      </c>
      <c r="AX248" s="6">
        <f>IF(OR(原始資料!$A248="",49&gt;設定!$B$3,原始資料!AZ248=""),"",IF(AND(原始資料!AY248&lt;&gt;"",原始資料!AZ248=原始資料!AY248),N(AW248)+1,1))</f>
        <v/>
      </c>
      <c r="AY248" s="6">
        <f>IF(OR(原始資料!$A248="",50&gt;設定!$B$3,原始資料!BA248=""),"",IF(AND(原始資料!AZ248&lt;&gt;"",原始資料!BA248=原始資料!AZ248),N(AX248)+1,1))</f>
        <v/>
      </c>
      <c r="AZ248" s="6">
        <f>IF(OR(原始資料!$A248="",51&gt;設定!$B$3,原始資料!BB248=""),"",IF(AND(原始資料!BA248&lt;&gt;"",原始資料!BB248=原始資料!BA248),N(AY248)+1,1))</f>
        <v/>
      </c>
      <c r="BA248" s="6">
        <f>IF(OR(原始資料!$A248="",52&gt;設定!$B$3,原始資料!BC248=""),"",IF(AND(原始資料!BB248&lt;&gt;"",原始資料!BC248=原始資料!BB248),N(AZ248)+1,1))</f>
        <v/>
      </c>
      <c r="BB248" s="6">
        <f>IF(OR(原始資料!$A248="",53&gt;設定!$B$3,原始資料!BD248=""),"",IF(AND(原始資料!BC248&lt;&gt;"",原始資料!BD248=原始資料!BC248),N(BA248)+1,1))</f>
        <v/>
      </c>
      <c r="BC248" s="6">
        <f>IF(OR(原始資料!$A248="",54&gt;設定!$B$3,原始資料!BE248=""),"",IF(AND(原始資料!BD248&lt;&gt;"",原始資料!BE248=原始資料!BD248),N(BB248)+1,1))</f>
        <v/>
      </c>
      <c r="BD248" s="6">
        <f>IF(OR(原始資料!$A248="",55&gt;設定!$B$3,原始資料!BF248=""),"",IF(AND(原始資料!BE248&lt;&gt;"",原始資料!BF248=原始資料!BE248),N(BC248)+1,1))</f>
        <v/>
      </c>
      <c r="BE248" s="6">
        <f>IF(OR(原始資料!$A248="",56&gt;設定!$B$3,原始資料!BG248=""),"",IF(AND(原始資料!BF248&lt;&gt;"",原始資料!BG248=原始資料!BF248),N(BD248)+1,1))</f>
        <v/>
      </c>
      <c r="BF248" s="6">
        <f>IF(OR(原始資料!$A248="",57&gt;設定!$B$3,原始資料!BH248=""),"",IF(AND(原始資料!BG248&lt;&gt;"",原始資料!BH248=原始資料!BG248),N(BE248)+1,1))</f>
        <v/>
      </c>
      <c r="BG248" s="6">
        <f>IF(OR(原始資料!$A248="",58&gt;設定!$B$3,原始資料!BI248=""),"",IF(AND(原始資料!BH248&lt;&gt;"",原始資料!BI248=原始資料!BH248),N(BF248)+1,1))</f>
        <v/>
      </c>
      <c r="BH248" s="6">
        <f>IF(OR(原始資料!$A248="",59&gt;設定!$B$3,原始資料!BJ248=""),"",IF(AND(原始資料!BI248&lt;&gt;"",原始資料!BJ248=原始資料!BI248),N(BG248)+1,1))</f>
        <v/>
      </c>
      <c r="BI248" s="6">
        <f>IF(OR(原始資料!$A248="",60&gt;設定!$B$3,原始資料!BK248=""),"",IF(AND(原始資料!BJ248&lt;&gt;"",原始資料!BK248=原始資料!BJ248),N(BH248)+1,1))</f>
        <v/>
      </c>
    </row>
    <row r="249">
      <c r="A249" s="6">
        <f>IF(原始資料!$A249="","",原始資料!$A249)</f>
        <v/>
      </c>
      <c r="B249" s="6">
        <f>IF(OR(原始資料!$A249="",1&gt;設定!$B$3,原始資料!D249=""),"",1)</f>
        <v/>
      </c>
      <c r="C249" s="6">
        <f>IF(OR(原始資料!$A249="",2&gt;設定!$B$3,原始資料!E249=""),"",IF(AND(原始資料!D249&lt;&gt;"",原始資料!E249=原始資料!D249),N(B249)+1,1))</f>
        <v/>
      </c>
      <c r="D249" s="6">
        <f>IF(OR(原始資料!$A249="",3&gt;設定!$B$3,原始資料!F249=""),"",IF(AND(原始資料!E249&lt;&gt;"",原始資料!F249=原始資料!E249),N(C249)+1,1))</f>
        <v/>
      </c>
      <c r="E249" s="6">
        <f>IF(OR(原始資料!$A249="",4&gt;設定!$B$3,原始資料!G249=""),"",IF(AND(原始資料!F249&lt;&gt;"",原始資料!G249=原始資料!F249),N(D249)+1,1))</f>
        <v/>
      </c>
      <c r="F249" s="6">
        <f>IF(OR(原始資料!$A249="",5&gt;設定!$B$3,原始資料!H249=""),"",IF(AND(原始資料!G249&lt;&gt;"",原始資料!H249=原始資料!G249),N(E249)+1,1))</f>
        <v/>
      </c>
      <c r="G249" s="6">
        <f>IF(OR(原始資料!$A249="",6&gt;設定!$B$3,原始資料!I249=""),"",IF(AND(原始資料!H249&lt;&gt;"",原始資料!I249=原始資料!H249),N(F249)+1,1))</f>
        <v/>
      </c>
      <c r="H249" s="6">
        <f>IF(OR(原始資料!$A249="",7&gt;設定!$B$3,原始資料!J249=""),"",IF(AND(原始資料!I249&lt;&gt;"",原始資料!J249=原始資料!I249),N(G249)+1,1))</f>
        <v/>
      </c>
      <c r="I249" s="6">
        <f>IF(OR(原始資料!$A249="",8&gt;設定!$B$3,原始資料!K249=""),"",IF(AND(原始資料!J249&lt;&gt;"",原始資料!K249=原始資料!J249),N(H249)+1,1))</f>
        <v/>
      </c>
      <c r="J249" s="6">
        <f>IF(OR(原始資料!$A249="",9&gt;設定!$B$3,原始資料!L249=""),"",IF(AND(原始資料!K249&lt;&gt;"",原始資料!L249=原始資料!K249),N(I249)+1,1))</f>
        <v/>
      </c>
      <c r="K249" s="6">
        <f>IF(OR(原始資料!$A249="",10&gt;設定!$B$3,原始資料!M249=""),"",IF(AND(原始資料!L249&lt;&gt;"",原始資料!M249=原始資料!L249),N(J249)+1,1))</f>
        <v/>
      </c>
      <c r="L249" s="6">
        <f>IF(OR(原始資料!$A249="",11&gt;設定!$B$3,原始資料!N249=""),"",IF(AND(原始資料!M249&lt;&gt;"",原始資料!N249=原始資料!M249),N(K249)+1,1))</f>
        <v/>
      </c>
      <c r="M249" s="6">
        <f>IF(OR(原始資料!$A249="",12&gt;設定!$B$3,原始資料!O249=""),"",IF(AND(原始資料!N249&lt;&gt;"",原始資料!O249=原始資料!N249),N(L249)+1,1))</f>
        <v/>
      </c>
      <c r="N249" s="6">
        <f>IF(OR(原始資料!$A249="",13&gt;設定!$B$3,原始資料!P249=""),"",IF(AND(原始資料!O249&lt;&gt;"",原始資料!P249=原始資料!O249),N(M249)+1,1))</f>
        <v/>
      </c>
      <c r="O249" s="6">
        <f>IF(OR(原始資料!$A249="",14&gt;設定!$B$3,原始資料!Q249=""),"",IF(AND(原始資料!P249&lt;&gt;"",原始資料!Q249=原始資料!P249),N(N249)+1,1))</f>
        <v/>
      </c>
      <c r="P249" s="6">
        <f>IF(OR(原始資料!$A249="",15&gt;設定!$B$3,原始資料!R249=""),"",IF(AND(原始資料!Q249&lt;&gt;"",原始資料!R249=原始資料!Q249),N(O249)+1,1))</f>
        <v/>
      </c>
      <c r="Q249" s="6">
        <f>IF(OR(原始資料!$A249="",16&gt;設定!$B$3,原始資料!S249=""),"",IF(AND(原始資料!R249&lt;&gt;"",原始資料!S249=原始資料!R249),N(P249)+1,1))</f>
        <v/>
      </c>
      <c r="R249" s="6">
        <f>IF(OR(原始資料!$A249="",17&gt;設定!$B$3,原始資料!T249=""),"",IF(AND(原始資料!S249&lt;&gt;"",原始資料!T249=原始資料!S249),N(Q249)+1,1))</f>
        <v/>
      </c>
      <c r="S249" s="6">
        <f>IF(OR(原始資料!$A249="",18&gt;設定!$B$3,原始資料!U249=""),"",IF(AND(原始資料!T249&lt;&gt;"",原始資料!U249=原始資料!T249),N(R249)+1,1))</f>
        <v/>
      </c>
      <c r="T249" s="6">
        <f>IF(OR(原始資料!$A249="",19&gt;設定!$B$3,原始資料!V249=""),"",IF(AND(原始資料!U249&lt;&gt;"",原始資料!V249=原始資料!U249),N(S249)+1,1))</f>
        <v/>
      </c>
      <c r="U249" s="6">
        <f>IF(OR(原始資料!$A249="",20&gt;設定!$B$3,原始資料!W249=""),"",IF(AND(原始資料!V249&lt;&gt;"",原始資料!W249=原始資料!V249),N(T249)+1,1))</f>
        <v/>
      </c>
      <c r="V249" s="6">
        <f>IF(OR(原始資料!$A249="",21&gt;設定!$B$3,原始資料!X249=""),"",IF(AND(原始資料!W249&lt;&gt;"",原始資料!X249=原始資料!W249),N(U249)+1,1))</f>
        <v/>
      </c>
      <c r="W249" s="6">
        <f>IF(OR(原始資料!$A249="",22&gt;設定!$B$3,原始資料!Y249=""),"",IF(AND(原始資料!X249&lt;&gt;"",原始資料!Y249=原始資料!X249),N(V249)+1,1))</f>
        <v/>
      </c>
      <c r="X249" s="6">
        <f>IF(OR(原始資料!$A249="",23&gt;設定!$B$3,原始資料!Z249=""),"",IF(AND(原始資料!Y249&lt;&gt;"",原始資料!Z249=原始資料!Y249),N(W249)+1,1))</f>
        <v/>
      </c>
      <c r="Y249" s="6">
        <f>IF(OR(原始資料!$A249="",24&gt;設定!$B$3,原始資料!AA249=""),"",IF(AND(原始資料!Z249&lt;&gt;"",原始資料!AA249=原始資料!Z249),N(X249)+1,1))</f>
        <v/>
      </c>
      <c r="Z249" s="6">
        <f>IF(OR(原始資料!$A249="",25&gt;設定!$B$3,原始資料!AB249=""),"",IF(AND(原始資料!AA249&lt;&gt;"",原始資料!AB249=原始資料!AA249),N(Y249)+1,1))</f>
        <v/>
      </c>
      <c r="AA249" s="6">
        <f>IF(OR(原始資料!$A249="",26&gt;設定!$B$3,原始資料!AC249=""),"",IF(AND(原始資料!AB249&lt;&gt;"",原始資料!AC249=原始資料!AB249),N(Z249)+1,1))</f>
        <v/>
      </c>
      <c r="AB249" s="6">
        <f>IF(OR(原始資料!$A249="",27&gt;設定!$B$3,原始資料!AD249=""),"",IF(AND(原始資料!AC249&lt;&gt;"",原始資料!AD249=原始資料!AC249),N(AA249)+1,1))</f>
        <v/>
      </c>
      <c r="AC249" s="6">
        <f>IF(OR(原始資料!$A249="",28&gt;設定!$B$3,原始資料!AE249=""),"",IF(AND(原始資料!AD249&lt;&gt;"",原始資料!AE249=原始資料!AD249),N(AB249)+1,1))</f>
        <v/>
      </c>
      <c r="AD249" s="6">
        <f>IF(OR(原始資料!$A249="",29&gt;設定!$B$3,原始資料!AF249=""),"",IF(AND(原始資料!AE249&lt;&gt;"",原始資料!AF249=原始資料!AE249),N(AC249)+1,1))</f>
        <v/>
      </c>
      <c r="AE249" s="6">
        <f>IF(OR(原始資料!$A249="",30&gt;設定!$B$3,原始資料!AG249=""),"",IF(AND(原始資料!AF249&lt;&gt;"",原始資料!AG249=原始資料!AF249),N(AD249)+1,1))</f>
        <v/>
      </c>
      <c r="AF249" s="6">
        <f>IF(OR(原始資料!$A249="",31&gt;設定!$B$3,原始資料!AH249=""),"",IF(AND(原始資料!AG249&lt;&gt;"",原始資料!AH249=原始資料!AG249),N(AE249)+1,1))</f>
        <v/>
      </c>
      <c r="AG249" s="6">
        <f>IF(OR(原始資料!$A249="",32&gt;設定!$B$3,原始資料!AI249=""),"",IF(AND(原始資料!AH249&lt;&gt;"",原始資料!AI249=原始資料!AH249),N(AF249)+1,1))</f>
        <v/>
      </c>
      <c r="AH249" s="6">
        <f>IF(OR(原始資料!$A249="",33&gt;設定!$B$3,原始資料!AJ249=""),"",IF(AND(原始資料!AI249&lt;&gt;"",原始資料!AJ249=原始資料!AI249),N(AG249)+1,1))</f>
        <v/>
      </c>
      <c r="AI249" s="6">
        <f>IF(OR(原始資料!$A249="",34&gt;設定!$B$3,原始資料!AK249=""),"",IF(AND(原始資料!AJ249&lt;&gt;"",原始資料!AK249=原始資料!AJ249),N(AH249)+1,1))</f>
        <v/>
      </c>
      <c r="AJ249" s="6">
        <f>IF(OR(原始資料!$A249="",35&gt;設定!$B$3,原始資料!AL249=""),"",IF(AND(原始資料!AK249&lt;&gt;"",原始資料!AL249=原始資料!AK249),N(AI249)+1,1))</f>
        <v/>
      </c>
      <c r="AK249" s="6">
        <f>IF(OR(原始資料!$A249="",36&gt;設定!$B$3,原始資料!AM249=""),"",IF(AND(原始資料!AL249&lt;&gt;"",原始資料!AM249=原始資料!AL249),N(AJ249)+1,1))</f>
        <v/>
      </c>
      <c r="AL249" s="6">
        <f>IF(OR(原始資料!$A249="",37&gt;設定!$B$3,原始資料!AN249=""),"",IF(AND(原始資料!AM249&lt;&gt;"",原始資料!AN249=原始資料!AM249),N(AK249)+1,1))</f>
        <v/>
      </c>
      <c r="AM249" s="6">
        <f>IF(OR(原始資料!$A249="",38&gt;設定!$B$3,原始資料!AO249=""),"",IF(AND(原始資料!AN249&lt;&gt;"",原始資料!AO249=原始資料!AN249),N(AL249)+1,1))</f>
        <v/>
      </c>
      <c r="AN249" s="6">
        <f>IF(OR(原始資料!$A249="",39&gt;設定!$B$3,原始資料!AP249=""),"",IF(AND(原始資料!AO249&lt;&gt;"",原始資料!AP249=原始資料!AO249),N(AM249)+1,1))</f>
        <v/>
      </c>
      <c r="AO249" s="6">
        <f>IF(OR(原始資料!$A249="",40&gt;設定!$B$3,原始資料!AQ249=""),"",IF(AND(原始資料!AP249&lt;&gt;"",原始資料!AQ249=原始資料!AP249),N(AN249)+1,1))</f>
        <v/>
      </c>
      <c r="AP249" s="6">
        <f>IF(OR(原始資料!$A249="",41&gt;設定!$B$3,原始資料!AR249=""),"",IF(AND(原始資料!AQ249&lt;&gt;"",原始資料!AR249=原始資料!AQ249),N(AO249)+1,1))</f>
        <v/>
      </c>
      <c r="AQ249" s="6">
        <f>IF(OR(原始資料!$A249="",42&gt;設定!$B$3,原始資料!AS249=""),"",IF(AND(原始資料!AR249&lt;&gt;"",原始資料!AS249=原始資料!AR249),N(AP249)+1,1))</f>
        <v/>
      </c>
      <c r="AR249" s="6">
        <f>IF(OR(原始資料!$A249="",43&gt;設定!$B$3,原始資料!AT249=""),"",IF(AND(原始資料!AS249&lt;&gt;"",原始資料!AT249=原始資料!AS249),N(AQ249)+1,1))</f>
        <v/>
      </c>
      <c r="AS249" s="6">
        <f>IF(OR(原始資料!$A249="",44&gt;設定!$B$3,原始資料!AU249=""),"",IF(AND(原始資料!AT249&lt;&gt;"",原始資料!AU249=原始資料!AT249),N(AR249)+1,1))</f>
        <v/>
      </c>
      <c r="AT249" s="6">
        <f>IF(OR(原始資料!$A249="",45&gt;設定!$B$3,原始資料!AV249=""),"",IF(AND(原始資料!AU249&lt;&gt;"",原始資料!AV249=原始資料!AU249),N(AS249)+1,1))</f>
        <v/>
      </c>
      <c r="AU249" s="6">
        <f>IF(OR(原始資料!$A249="",46&gt;設定!$B$3,原始資料!AW249=""),"",IF(AND(原始資料!AV249&lt;&gt;"",原始資料!AW249=原始資料!AV249),N(AT249)+1,1))</f>
        <v/>
      </c>
      <c r="AV249" s="6">
        <f>IF(OR(原始資料!$A249="",47&gt;設定!$B$3,原始資料!AX249=""),"",IF(AND(原始資料!AW249&lt;&gt;"",原始資料!AX249=原始資料!AW249),N(AU249)+1,1))</f>
        <v/>
      </c>
      <c r="AW249" s="6">
        <f>IF(OR(原始資料!$A249="",48&gt;設定!$B$3,原始資料!AY249=""),"",IF(AND(原始資料!AX249&lt;&gt;"",原始資料!AY249=原始資料!AX249),N(AV249)+1,1))</f>
        <v/>
      </c>
      <c r="AX249" s="6">
        <f>IF(OR(原始資料!$A249="",49&gt;設定!$B$3,原始資料!AZ249=""),"",IF(AND(原始資料!AY249&lt;&gt;"",原始資料!AZ249=原始資料!AY249),N(AW249)+1,1))</f>
        <v/>
      </c>
      <c r="AY249" s="6">
        <f>IF(OR(原始資料!$A249="",50&gt;設定!$B$3,原始資料!BA249=""),"",IF(AND(原始資料!AZ249&lt;&gt;"",原始資料!BA249=原始資料!AZ249),N(AX249)+1,1))</f>
        <v/>
      </c>
      <c r="AZ249" s="6">
        <f>IF(OR(原始資料!$A249="",51&gt;設定!$B$3,原始資料!BB249=""),"",IF(AND(原始資料!BA249&lt;&gt;"",原始資料!BB249=原始資料!BA249),N(AY249)+1,1))</f>
        <v/>
      </c>
      <c r="BA249" s="6">
        <f>IF(OR(原始資料!$A249="",52&gt;設定!$B$3,原始資料!BC249=""),"",IF(AND(原始資料!BB249&lt;&gt;"",原始資料!BC249=原始資料!BB249),N(AZ249)+1,1))</f>
        <v/>
      </c>
      <c r="BB249" s="6">
        <f>IF(OR(原始資料!$A249="",53&gt;設定!$B$3,原始資料!BD249=""),"",IF(AND(原始資料!BC249&lt;&gt;"",原始資料!BD249=原始資料!BC249),N(BA249)+1,1))</f>
        <v/>
      </c>
      <c r="BC249" s="6">
        <f>IF(OR(原始資料!$A249="",54&gt;設定!$B$3,原始資料!BE249=""),"",IF(AND(原始資料!BD249&lt;&gt;"",原始資料!BE249=原始資料!BD249),N(BB249)+1,1))</f>
        <v/>
      </c>
      <c r="BD249" s="6">
        <f>IF(OR(原始資料!$A249="",55&gt;設定!$B$3,原始資料!BF249=""),"",IF(AND(原始資料!BE249&lt;&gt;"",原始資料!BF249=原始資料!BE249),N(BC249)+1,1))</f>
        <v/>
      </c>
      <c r="BE249" s="6">
        <f>IF(OR(原始資料!$A249="",56&gt;設定!$B$3,原始資料!BG249=""),"",IF(AND(原始資料!BF249&lt;&gt;"",原始資料!BG249=原始資料!BF249),N(BD249)+1,1))</f>
        <v/>
      </c>
      <c r="BF249" s="6">
        <f>IF(OR(原始資料!$A249="",57&gt;設定!$B$3,原始資料!BH249=""),"",IF(AND(原始資料!BG249&lt;&gt;"",原始資料!BH249=原始資料!BG249),N(BE249)+1,1))</f>
        <v/>
      </c>
      <c r="BG249" s="6">
        <f>IF(OR(原始資料!$A249="",58&gt;設定!$B$3,原始資料!BI249=""),"",IF(AND(原始資料!BH249&lt;&gt;"",原始資料!BI249=原始資料!BH249),N(BF249)+1,1))</f>
        <v/>
      </c>
      <c r="BH249" s="6">
        <f>IF(OR(原始資料!$A249="",59&gt;設定!$B$3,原始資料!BJ249=""),"",IF(AND(原始資料!BI249&lt;&gt;"",原始資料!BJ249=原始資料!BI249),N(BG249)+1,1))</f>
        <v/>
      </c>
      <c r="BI249" s="6">
        <f>IF(OR(原始資料!$A249="",60&gt;設定!$B$3,原始資料!BK249=""),"",IF(AND(原始資料!BJ249&lt;&gt;"",原始資料!BK249=原始資料!BJ249),N(BH249)+1,1))</f>
        <v/>
      </c>
    </row>
    <row r="250">
      <c r="A250" s="6">
        <f>IF(原始資料!$A250="","",原始資料!$A250)</f>
        <v/>
      </c>
      <c r="B250" s="6">
        <f>IF(OR(原始資料!$A250="",1&gt;設定!$B$3,原始資料!D250=""),"",1)</f>
        <v/>
      </c>
      <c r="C250" s="6">
        <f>IF(OR(原始資料!$A250="",2&gt;設定!$B$3,原始資料!E250=""),"",IF(AND(原始資料!D250&lt;&gt;"",原始資料!E250=原始資料!D250),N(B250)+1,1))</f>
        <v/>
      </c>
      <c r="D250" s="6">
        <f>IF(OR(原始資料!$A250="",3&gt;設定!$B$3,原始資料!F250=""),"",IF(AND(原始資料!E250&lt;&gt;"",原始資料!F250=原始資料!E250),N(C250)+1,1))</f>
        <v/>
      </c>
      <c r="E250" s="6">
        <f>IF(OR(原始資料!$A250="",4&gt;設定!$B$3,原始資料!G250=""),"",IF(AND(原始資料!F250&lt;&gt;"",原始資料!G250=原始資料!F250),N(D250)+1,1))</f>
        <v/>
      </c>
      <c r="F250" s="6">
        <f>IF(OR(原始資料!$A250="",5&gt;設定!$B$3,原始資料!H250=""),"",IF(AND(原始資料!G250&lt;&gt;"",原始資料!H250=原始資料!G250),N(E250)+1,1))</f>
        <v/>
      </c>
      <c r="G250" s="6">
        <f>IF(OR(原始資料!$A250="",6&gt;設定!$B$3,原始資料!I250=""),"",IF(AND(原始資料!H250&lt;&gt;"",原始資料!I250=原始資料!H250),N(F250)+1,1))</f>
        <v/>
      </c>
      <c r="H250" s="6">
        <f>IF(OR(原始資料!$A250="",7&gt;設定!$B$3,原始資料!J250=""),"",IF(AND(原始資料!I250&lt;&gt;"",原始資料!J250=原始資料!I250),N(G250)+1,1))</f>
        <v/>
      </c>
      <c r="I250" s="6">
        <f>IF(OR(原始資料!$A250="",8&gt;設定!$B$3,原始資料!K250=""),"",IF(AND(原始資料!J250&lt;&gt;"",原始資料!K250=原始資料!J250),N(H250)+1,1))</f>
        <v/>
      </c>
      <c r="J250" s="6">
        <f>IF(OR(原始資料!$A250="",9&gt;設定!$B$3,原始資料!L250=""),"",IF(AND(原始資料!K250&lt;&gt;"",原始資料!L250=原始資料!K250),N(I250)+1,1))</f>
        <v/>
      </c>
      <c r="K250" s="6">
        <f>IF(OR(原始資料!$A250="",10&gt;設定!$B$3,原始資料!M250=""),"",IF(AND(原始資料!L250&lt;&gt;"",原始資料!M250=原始資料!L250),N(J250)+1,1))</f>
        <v/>
      </c>
      <c r="L250" s="6">
        <f>IF(OR(原始資料!$A250="",11&gt;設定!$B$3,原始資料!N250=""),"",IF(AND(原始資料!M250&lt;&gt;"",原始資料!N250=原始資料!M250),N(K250)+1,1))</f>
        <v/>
      </c>
      <c r="M250" s="6">
        <f>IF(OR(原始資料!$A250="",12&gt;設定!$B$3,原始資料!O250=""),"",IF(AND(原始資料!N250&lt;&gt;"",原始資料!O250=原始資料!N250),N(L250)+1,1))</f>
        <v/>
      </c>
      <c r="N250" s="6">
        <f>IF(OR(原始資料!$A250="",13&gt;設定!$B$3,原始資料!P250=""),"",IF(AND(原始資料!O250&lt;&gt;"",原始資料!P250=原始資料!O250),N(M250)+1,1))</f>
        <v/>
      </c>
      <c r="O250" s="6">
        <f>IF(OR(原始資料!$A250="",14&gt;設定!$B$3,原始資料!Q250=""),"",IF(AND(原始資料!P250&lt;&gt;"",原始資料!Q250=原始資料!P250),N(N250)+1,1))</f>
        <v/>
      </c>
      <c r="P250" s="6">
        <f>IF(OR(原始資料!$A250="",15&gt;設定!$B$3,原始資料!R250=""),"",IF(AND(原始資料!Q250&lt;&gt;"",原始資料!R250=原始資料!Q250),N(O250)+1,1))</f>
        <v/>
      </c>
      <c r="Q250" s="6">
        <f>IF(OR(原始資料!$A250="",16&gt;設定!$B$3,原始資料!S250=""),"",IF(AND(原始資料!R250&lt;&gt;"",原始資料!S250=原始資料!R250),N(P250)+1,1))</f>
        <v/>
      </c>
      <c r="R250" s="6">
        <f>IF(OR(原始資料!$A250="",17&gt;設定!$B$3,原始資料!T250=""),"",IF(AND(原始資料!S250&lt;&gt;"",原始資料!T250=原始資料!S250),N(Q250)+1,1))</f>
        <v/>
      </c>
      <c r="S250" s="6">
        <f>IF(OR(原始資料!$A250="",18&gt;設定!$B$3,原始資料!U250=""),"",IF(AND(原始資料!T250&lt;&gt;"",原始資料!U250=原始資料!T250),N(R250)+1,1))</f>
        <v/>
      </c>
      <c r="T250" s="6">
        <f>IF(OR(原始資料!$A250="",19&gt;設定!$B$3,原始資料!V250=""),"",IF(AND(原始資料!U250&lt;&gt;"",原始資料!V250=原始資料!U250),N(S250)+1,1))</f>
        <v/>
      </c>
      <c r="U250" s="6">
        <f>IF(OR(原始資料!$A250="",20&gt;設定!$B$3,原始資料!W250=""),"",IF(AND(原始資料!V250&lt;&gt;"",原始資料!W250=原始資料!V250),N(T250)+1,1))</f>
        <v/>
      </c>
      <c r="V250" s="6">
        <f>IF(OR(原始資料!$A250="",21&gt;設定!$B$3,原始資料!X250=""),"",IF(AND(原始資料!W250&lt;&gt;"",原始資料!X250=原始資料!W250),N(U250)+1,1))</f>
        <v/>
      </c>
      <c r="W250" s="6">
        <f>IF(OR(原始資料!$A250="",22&gt;設定!$B$3,原始資料!Y250=""),"",IF(AND(原始資料!X250&lt;&gt;"",原始資料!Y250=原始資料!X250),N(V250)+1,1))</f>
        <v/>
      </c>
      <c r="X250" s="6">
        <f>IF(OR(原始資料!$A250="",23&gt;設定!$B$3,原始資料!Z250=""),"",IF(AND(原始資料!Y250&lt;&gt;"",原始資料!Z250=原始資料!Y250),N(W250)+1,1))</f>
        <v/>
      </c>
      <c r="Y250" s="6">
        <f>IF(OR(原始資料!$A250="",24&gt;設定!$B$3,原始資料!AA250=""),"",IF(AND(原始資料!Z250&lt;&gt;"",原始資料!AA250=原始資料!Z250),N(X250)+1,1))</f>
        <v/>
      </c>
      <c r="Z250" s="6">
        <f>IF(OR(原始資料!$A250="",25&gt;設定!$B$3,原始資料!AB250=""),"",IF(AND(原始資料!AA250&lt;&gt;"",原始資料!AB250=原始資料!AA250),N(Y250)+1,1))</f>
        <v/>
      </c>
      <c r="AA250" s="6">
        <f>IF(OR(原始資料!$A250="",26&gt;設定!$B$3,原始資料!AC250=""),"",IF(AND(原始資料!AB250&lt;&gt;"",原始資料!AC250=原始資料!AB250),N(Z250)+1,1))</f>
        <v/>
      </c>
      <c r="AB250" s="6">
        <f>IF(OR(原始資料!$A250="",27&gt;設定!$B$3,原始資料!AD250=""),"",IF(AND(原始資料!AC250&lt;&gt;"",原始資料!AD250=原始資料!AC250),N(AA250)+1,1))</f>
        <v/>
      </c>
      <c r="AC250" s="6">
        <f>IF(OR(原始資料!$A250="",28&gt;設定!$B$3,原始資料!AE250=""),"",IF(AND(原始資料!AD250&lt;&gt;"",原始資料!AE250=原始資料!AD250),N(AB250)+1,1))</f>
        <v/>
      </c>
      <c r="AD250" s="6">
        <f>IF(OR(原始資料!$A250="",29&gt;設定!$B$3,原始資料!AF250=""),"",IF(AND(原始資料!AE250&lt;&gt;"",原始資料!AF250=原始資料!AE250),N(AC250)+1,1))</f>
        <v/>
      </c>
      <c r="AE250" s="6">
        <f>IF(OR(原始資料!$A250="",30&gt;設定!$B$3,原始資料!AG250=""),"",IF(AND(原始資料!AF250&lt;&gt;"",原始資料!AG250=原始資料!AF250),N(AD250)+1,1))</f>
        <v/>
      </c>
      <c r="AF250" s="6">
        <f>IF(OR(原始資料!$A250="",31&gt;設定!$B$3,原始資料!AH250=""),"",IF(AND(原始資料!AG250&lt;&gt;"",原始資料!AH250=原始資料!AG250),N(AE250)+1,1))</f>
        <v/>
      </c>
      <c r="AG250" s="6">
        <f>IF(OR(原始資料!$A250="",32&gt;設定!$B$3,原始資料!AI250=""),"",IF(AND(原始資料!AH250&lt;&gt;"",原始資料!AI250=原始資料!AH250),N(AF250)+1,1))</f>
        <v/>
      </c>
      <c r="AH250" s="6">
        <f>IF(OR(原始資料!$A250="",33&gt;設定!$B$3,原始資料!AJ250=""),"",IF(AND(原始資料!AI250&lt;&gt;"",原始資料!AJ250=原始資料!AI250),N(AG250)+1,1))</f>
        <v/>
      </c>
      <c r="AI250" s="6">
        <f>IF(OR(原始資料!$A250="",34&gt;設定!$B$3,原始資料!AK250=""),"",IF(AND(原始資料!AJ250&lt;&gt;"",原始資料!AK250=原始資料!AJ250),N(AH250)+1,1))</f>
        <v/>
      </c>
      <c r="AJ250" s="6">
        <f>IF(OR(原始資料!$A250="",35&gt;設定!$B$3,原始資料!AL250=""),"",IF(AND(原始資料!AK250&lt;&gt;"",原始資料!AL250=原始資料!AK250),N(AI250)+1,1))</f>
        <v/>
      </c>
      <c r="AK250" s="6">
        <f>IF(OR(原始資料!$A250="",36&gt;設定!$B$3,原始資料!AM250=""),"",IF(AND(原始資料!AL250&lt;&gt;"",原始資料!AM250=原始資料!AL250),N(AJ250)+1,1))</f>
        <v/>
      </c>
      <c r="AL250" s="6">
        <f>IF(OR(原始資料!$A250="",37&gt;設定!$B$3,原始資料!AN250=""),"",IF(AND(原始資料!AM250&lt;&gt;"",原始資料!AN250=原始資料!AM250),N(AK250)+1,1))</f>
        <v/>
      </c>
      <c r="AM250" s="6">
        <f>IF(OR(原始資料!$A250="",38&gt;設定!$B$3,原始資料!AO250=""),"",IF(AND(原始資料!AN250&lt;&gt;"",原始資料!AO250=原始資料!AN250),N(AL250)+1,1))</f>
        <v/>
      </c>
      <c r="AN250" s="6">
        <f>IF(OR(原始資料!$A250="",39&gt;設定!$B$3,原始資料!AP250=""),"",IF(AND(原始資料!AO250&lt;&gt;"",原始資料!AP250=原始資料!AO250),N(AM250)+1,1))</f>
        <v/>
      </c>
      <c r="AO250" s="6">
        <f>IF(OR(原始資料!$A250="",40&gt;設定!$B$3,原始資料!AQ250=""),"",IF(AND(原始資料!AP250&lt;&gt;"",原始資料!AQ250=原始資料!AP250),N(AN250)+1,1))</f>
        <v/>
      </c>
      <c r="AP250" s="6">
        <f>IF(OR(原始資料!$A250="",41&gt;設定!$B$3,原始資料!AR250=""),"",IF(AND(原始資料!AQ250&lt;&gt;"",原始資料!AR250=原始資料!AQ250),N(AO250)+1,1))</f>
        <v/>
      </c>
      <c r="AQ250" s="6">
        <f>IF(OR(原始資料!$A250="",42&gt;設定!$B$3,原始資料!AS250=""),"",IF(AND(原始資料!AR250&lt;&gt;"",原始資料!AS250=原始資料!AR250),N(AP250)+1,1))</f>
        <v/>
      </c>
      <c r="AR250" s="6">
        <f>IF(OR(原始資料!$A250="",43&gt;設定!$B$3,原始資料!AT250=""),"",IF(AND(原始資料!AS250&lt;&gt;"",原始資料!AT250=原始資料!AS250),N(AQ250)+1,1))</f>
        <v/>
      </c>
      <c r="AS250" s="6">
        <f>IF(OR(原始資料!$A250="",44&gt;設定!$B$3,原始資料!AU250=""),"",IF(AND(原始資料!AT250&lt;&gt;"",原始資料!AU250=原始資料!AT250),N(AR250)+1,1))</f>
        <v/>
      </c>
      <c r="AT250" s="6">
        <f>IF(OR(原始資料!$A250="",45&gt;設定!$B$3,原始資料!AV250=""),"",IF(AND(原始資料!AU250&lt;&gt;"",原始資料!AV250=原始資料!AU250),N(AS250)+1,1))</f>
        <v/>
      </c>
      <c r="AU250" s="6">
        <f>IF(OR(原始資料!$A250="",46&gt;設定!$B$3,原始資料!AW250=""),"",IF(AND(原始資料!AV250&lt;&gt;"",原始資料!AW250=原始資料!AV250),N(AT250)+1,1))</f>
        <v/>
      </c>
      <c r="AV250" s="6">
        <f>IF(OR(原始資料!$A250="",47&gt;設定!$B$3,原始資料!AX250=""),"",IF(AND(原始資料!AW250&lt;&gt;"",原始資料!AX250=原始資料!AW250),N(AU250)+1,1))</f>
        <v/>
      </c>
      <c r="AW250" s="6">
        <f>IF(OR(原始資料!$A250="",48&gt;設定!$B$3,原始資料!AY250=""),"",IF(AND(原始資料!AX250&lt;&gt;"",原始資料!AY250=原始資料!AX250),N(AV250)+1,1))</f>
        <v/>
      </c>
      <c r="AX250" s="6">
        <f>IF(OR(原始資料!$A250="",49&gt;設定!$B$3,原始資料!AZ250=""),"",IF(AND(原始資料!AY250&lt;&gt;"",原始資料!AZ250=原始資料!AY250),N(AW250)+1,1))</f>
        <v/>
      </c>
      <c r="AY250" s="6">
        <f>IF(OR(原始資料!$A250="",50&gt;設定!$B$3,原始資料!BA250=""),"",IF(AND(原始資料!AZ250&lt;&gt;"",原始資料!BA250=原始資料!AZ250),N(AX250)+1,1))</f>
        <v/>
      </c>
      <c r="AZ250" s="6">
        <f>IF(OR(原始資料!$A250="",51&gt;設定!$B$3,原始資料!BB250=""),"",IF(AND(原始資料!BA250&lt;&gt;"",原始資料!BB250=原始資料!BA250),N(AY250)+1,1))</f>
        <v/>
      </c>
      <c r="BA250" s="6">
        <f>IF(OR(原始資料!$A250="",52&gt;設定!$B$3,原始資料!BC250=""),"",IF(AND(原始資料!BB250&lt;&gt;"",原始資料!BC250=原始資料!BB250),N(AZ250)+1,1))</f>
        <v/>
      </c>
      <c r="BB250" s="6">
        <f>IF(OR(原始資料!$A250="",53&gt;設定!$B$3,原始資料!BD250=""),"",IF(AND(原始資料!BC250&lt;&gt;"",原始資料!BD250=原始資料!BC250),N(BA250)+1,1))</f>
        <v/>
      </c>
      <c r="BC250" s="6">
        <f>IF(OR(原始資料!$A250="",54&gt;設定!$B$3,原始資料!BE250=""),"",IF(AND(原始資料!BD250&lt;&gt;"",原始資料!BE250=原始資料!BD250),N(BB250)+1,1))</f>
        <v/>
      </c>
      <c r="BD250" s="6">
        <f>IF(OR(原始資料!$A250="",55&gt;設定!$B$3,原始資料!BF250=""),"",IF(AND(原始資料!BE250&lt;&gt;"",原始資料!BF250=原始資料!BE250),N(BC250)+1,1))</f>
        <v/>
      </c>
      <c r="BE250" s="6">
        <f>IF(OR(原始資料!$A250="",56&gt;設定!$B$3,原始資料!BG250=""),"",IF(AND(原始資料!BF250&lt;&gt;"",原始資料!BG250=原始資料!BF250),N(BD250)+1,1))</f>
        <v/>
      </c>
      <c r="BF250" s="6">
        <f>IF(OR(原始資料!$A250="",57&gt;設定!$B$3,原始資料!BH250=""),"",IF(AND(原始資料!BG250&lt;&gt;"",原始資料!BH250=原始資料!BG250),N(BE250)+1,1))</f>
        <v/>
      </c>
      <c r="BG250" s="6">
        <f>IF(OR(原始資料!$A250="",58&gt;設定!$B$3,原始資料!BI250=""),"",IF(AND(原始資料!BH250&lt;&gt;"",原始資料!BI250=原始資料!BH250),N(BF250)+1,1))</f>
        <v/>
      </c>
      <c r="BH250" s="6">
        <f>IF(OR(原始資料!$A250="",59&gt;設定!$B$3,原始資料!BJ250=""),"",IF(AND(原始資料!BI250&lt;&gt;"",原始資料!BJ250=原始資料!BI250),N(BG250)+1,1))</f>
        <v/>
      </c>
      <c r="BI250" s="6">
        <f>IF(OR(原始資料!$A250="",60&gt;設定!$B$3,原始資料!BK250=""),"",IF(AND(原始資料!BJ250&lt;&gt;"",原始資料!BK250=原始資料!BJ250),N(BH250)+1,1))</f>
        <v/>
      </c>
    </row>
    <row r="251">
      <c r="A251" s="6">
        <f>IF(原始資料!$A251="","",原始資料!$A251)</f>
        <v/>
      </c>
      <c r="B251" s="6">
        <f>IF(OR(原始資料!$A251="",1&gt;設定!$B$3,原始資料!D251=""),"",1)</f>
        <v/>
      </c>
      <c r="C251" s="6">
        <f>IF(OR(原始資料!$A251="",2&gt;設定!$B$3,原始資料!E251=""),"",IF(AND(原始資料!D251&lt;&gt;"",原始資料!E251=原始資料!D251),N(B251)+1,1))</f>
        <v/>
      </c>
      <c r="D251" s="6">
        <f>IF(OR(原始資料!$A251="",3&gt;設定!$B$3,原始資料!F251=""),"",IF(AND(原始資料!E251&lt;&gt;"",原始資料!F251=原始資料!E251),N(C251)+1,1))</f>
        <v/>
      </c>
      <c r="E251" s="6">
        <f>IF(OR(原始資料!$A251="",4&gt;設定!$B$3,原始資料!G251=""),"",IF(AND(原始資料!F251&lt;&gt;"",原始資料!G251=原始資料!F251),N(D251)+1,1))</f>
        <v/>
      </c>
      <c r="F251" s="6">
        <f>IF(OR(原始資料!$A251="",5&gt;設定!$B$3,原始資料!H251=""),"",IF(AND(原始資料!G251&lt;&gt;"",原始資料!H251=原始資料!G251),N(E251)+1,1))</f>
        <v/>
      </c>
      <c r="G251" s="6">
        <f>IF(OR(原始資料!$A251="",6&gt;設定!$B$3,原始資料!I251=""),"",IF(AND(原始資料!H251&lt;&gt;"",原始資料!I251=原始資料!H251),N(F251)+1,1))</f>
        <v/>
      </c>
      <c r="H251" s="6">
        <f>IF(OR(原始資料!$A251="",7&gt;設定!$B$3,原始資料!J251=""),"",IF(AND(原始資料!I251&lt;&gt;"",原始資料!J251=原始資料!I251),N(G251)+1,1))</f>
        <v/>
      </c>
      <c r="I251" s="6">
        <f>IF(OR(原始資料!$A251="",8&gt;設定!$B$3,原始資料!K251=""),"",IF(AND(原始資料!J251&lt;&gt;"",原始資料!K251=原始資料!J251),N(H251)+1,1))</f>
        <v/>
      </c>
      <c r="J251" s="6">
        <f>IF(OR(原始資料!$A251="",9&gt;設定!$B$3,原始資料!L251=""),"",IF(AND(原始資料!K251&lt;&gt;"",原始資料!L251=原始資料!K251),N(I251)+1,1))</f>
        <v/>
      </c>
      <c r="K251" s="6">
        <f>IF(OR(原始資料!$A251="",10&gt;設定!$B$3,原始資料!M251=""),"",IF(AND(原始資料!L251&lt;&gt;"",原始資料!M251=原始資料!L251),N(J251)+1,1))</f>
        <v/>
      </c>
      <c r="L251" s="6">
        <f>IF(OR(原始資料!$A251="",11&gt;設定!$B$3,原始資料!N251=""),"",IF(AND(原始資料!M251&lt;&gt;"",原始資料!N251=原始資料!M251),N(K251)+1,1))</f>
        <v/>
      </c>
      <c r="M251" s="6">
        <f>IF(OR(原始資料!$A251="",12&gt;設定!$B$3,原始資料!O251=""),"",IF(AND(原始資料!N251&lt;&gt;"",原始資料!O251=原始資料!N251),N(L251)+1,1))</f>
        <v/>
      </c>
      <c r="N251" s="6">
        <f>IF(OR(原始資料!$A251="",13&gt;設定!$B$3,原始資料!P251=""),"",IF(AND(原始資料!O251&lt;&gt;"",原始資料!P251=原始資料!O251),N(M251)+1,1))</f>
        <v/>
      </c>
      <c r="O251" s="6">
        <f>IF(OR(原始資料!$A251="",14&gt;設定!$B$3,原始資料!Q251=""),"",IF(AND(原始資料!P251&lt;&gt;"",原始資料!Q251=原始資料!P251),N(N251)+1,1))</f>
        <v/>
      </c>
      <c r="P251" s="6">
        <f>IF(OR(原始資料!$A251="",15&gt;設定!$B$3,原始資料!R251=""),"",IF(AND(原始資料!Q251&lt;&gt;"",原始資料!R251=原始資料!Q251),N(O251)+1,1))</f>
        <v/>
      </c>
      <c r="Q251" s="6">
        <f>IF(OR(原始資料!$A251="",16&gt;設定!$B$3,原始資料!S251=""),"",IF(AND(原始資料!R251&lt;&gt;"",原始資料!S251=原始資料!R251),N(P251)+1,1))</f>
        <v/>
      </c>
      <c r="R251" s="6">
        <f>IF(OR(原始資料!$A251="",17&gt;設定!$B$3,原始資料!T251=""),"",IF(AND(原始資料!S251&lt;&gt;"",原始資料!T251=原始資料!S251),N(Q251)+1,1))</f>
        <v/>
      </c>
      <c r="S251" s="6">
        <f>IF(OR(原始資料!$A251="",18&gt;設定!$B$3,原始資料!U251=""),"",IF(AND(原始資料!T251&lt;&gt;"",原始資料!U251=原始資料!T251),N(R251)+1,1))</f>
        <v/>
      </c>
      <c r="T251" s="6">
        <f>IF(OR(原始資料!$A251="",19&gt;設定!$B$3,原始資料!V251=""),"",IF(AND(原始資料!U251&lt;&gt;"",原始資料!V251=原始資料!U251),N(S251)+1,1))</f>
        <v/>
      </c>
      <c r="U251" s="6">
        <f>IF(OR(原始資料!$A251="",20&gt;設定!$B$3,原始資料!W251=""),"",IF(AND(原始資料!V251&lt;&gt;"",原始資料!W251=原始資料!V251),N(T251)+1,1))</f>
        <v/>
      </c>
      <c r="V251" s="6">
        <f>IF(OR(原始資料!$A251="",21&gt;設定!$B$3,原始資料!X251=""),"",IF(AND(原始資料!W251&lt;&gt;"",原始資料!X251=原始資料!W251),N(U251)+1,1))</f>
        <v/>
      </c>
      <c r="W251" s="6">
        <f>IF(OR(原始資料!$A251="",22&gt;設定!$B$3,原始資料!Y251=""),"",IF(AND(原始資料!X251&lt;&gt;"",原始資料!Y251=原始資料!X251),N(V251)+1,1))</f>
        <v/>
      </c>
      <c r="X251" s="6">
        <f>IF(OR(原始資料!$A251="",23&gt;設定!$B$3,原始資料!Z251=""),"",IF(AND(原始資料!Y251&lt;&gt;"",原始資料!Z251=原始資料!Y251),N(W251)+1,1))</f>
        <v/>
      </c>
      <c r="Y251" s="6">
        <f>IF(OR(原始資料!$A251="",24&gt;設定!$B$3,原始資料!AA251=""),"",IF(AND(原始資料!Z251&lt;&gt;"",原始資料!AA251=原始資料!Z251),N(X251)+1,1))</f>
        <v/>
      </c>
      <c r="Z251" s="6">
        <f>IF(OR(原始資料!$A251="",25&gt;設定!$B$3,原始資料!AB251=""),"",IF(AND(原始資料!AA251&lt;&gt;"",原始資料!AB251=原始資料!AA251),N(Y251)+1,1))</f>
        <v/>
      </c>
      <c r="AA251" s="6">
        <f>IF(OR(原始資料!$A251="",26&gt;設定!$B$3,原始資料!AC251=""),"",IF(AND(原始資料!AB251&lt;&gt;"",原始資料!AC251=原始資料!AB251),N(Z251)+1,1))</f>
        <v/>
      </c>
      <c r="AB251" s="6">
        <f>IF(OR(原始資料!$A251="",27&gt;設定!$B$3,原始資料!AD251=""),"",IF(AND(原始資料!AC251&lt;&gt;"",原始資料!AD251=原始資料!AC251),N(AA251)+1,1))</f>
        <v/>
      </c>
      <c r="AC251" s="6">
        <f>IF(OR(原始資料!$A251="",28&gt;設定!$B$3,原始資料!AE251=""),"",IF(AND(原始資料!AD251&lt;&gt;"",原始資料!AE251=原始資料!AD251),N(AB251)+1,1))</f>
        <v/>
      </c>
      <c r="AD251" s="6">
        <f>IF(OR(原始資料!$A251="",29&gt;設定!$B$3,原始資料!AF251=""),"",IF(AND(原始資料!AE251&lt;&gt;"",原始資料!AF251=原始資料!AE251),N(AC251)+1,1))</f>
        <v/>
      </c>
      <c r="AE251" s="6">
        <f>IF(OR(原始資料!$A251="",30&gt;設定!$B$3,原始資料!AG251=""),"",IF(AND(原始資料!AF251&lt;&gt;"",原始資料!AG251=原始資料!AF251),N(AD251)+1,1))</f>
        <v/>
      </c>
      <c r="AF251" s="6">
        <f>IF(OR(原始資料!$A251="",31&gt;設定!$B$3,原始資料!AH251=""),"",IF(AND(原始資料!AG251&lt;&gt;"",原始資料!AH251=原始資料!AG251),N(AE251)+1,1))</f>
        <v/>
      </c>
      <c r="AG251" s="6">
        <f>IF(OR(原始資料!$A251="",32&gt;設定!$B$3,原始資料!AI251=""),"",IF(AND(原始資料!AH251&lt;&gt;"",原始資料!AI251=原始資料!AH251),N(AF251)+1,1))</f>
        <v/>
      </c>
      <c r="AH251" s="6">
        <f>IF(OR(原始資料!$A251="",33&gt;設定!$B$3,原始資料!AJ251=""),"",IF(AND(原始資料!AI251&lt;&gt;"",原始資料!AJ251=原始資料!AI251),N(AG251)+1,1))</f>
        <v/>
      </c>
      <c r="AI251" s="6">
        <f>IF(OR(原始資料!$A251="",34&gt;設定!$B$3,原始資料!AK251=""),"",IF(AND(原始資料!AJ251&lt;&gt;"",原始資料!AK251=原始資料!AJ251),N(AH251)+1,1))</f>
        <v/>
      </c>
      <c r="AJ251" s="6">
        <f>IF(OR(原始資料!$A251="",35&gt;設定!$B$3,原始資料!AL251=""),"",IF(AND(原始資料!AK251&lt;&gt;"",原始資料!AL251=原始資料!AK251),N(AI251)+1,1))</f>
        <v/>
      </c>
      <c r="AK251" s="6">
        <f>IF(OR(原始資料!$A251="",36&gt;設定!$B$3,原始資料!AM251=""),"",IF(AND(原始資料!AL251&lt;&gt;"",原始資料!AM251=原始資料!AL251),N(AJ251)+1,1))</f>
        <v/>
      </c>
      <c r="AL251" s="6">
        <f>IF(OR(原始資料!$A251="",37&gt;設定!$B$3,原始資料!AN251=""),"",IF(AND(原始資料!AM251&lt;&gt;"",原始資料!AN251=原始資料!AM251),N(AK251)+1,1))</f>
        <v/>
      </c>
      <c r="AM251" s="6">
        <f>IF(OR(原始資料!$A251="",38&gt;設定!$B$3,原始資料!AO251=""),"",IF(AND(原始資料!AN251&lt;&gt;"",原始資料!AO251=原始資料!AN251),N(AL251)+1,1))</f>
        <v/>
      </c>
      <c r="AN251" s="6">
        <f>IF(OR(原始資料!$A251="",39&gt;設定!$B$3,原始資料!AP251=""),"",IF(AND(原始資料!AO251&lt;&gt;"",原始資料!AP251=原始資料!AO251),N(AM251)+1,1))</f>
        <v/>
      </c>
      <c r="AO251" s="6">
        <f>IF(OR(原始資料!$A251="",40&gt;設定!$B$3,原始資料!AQ251=""),"",IF(AND(原始資料!AP251&lt;&gt;"",原始資料!AQ251=原始資料!AP251),N(AN251)+1,1))</f>
        <v/>
      </c>
      <c r="AP251" s="6">
        <f>IF(OR(原始資料!$A251="",41&gt;設定!$B$3,原始資料!AR251=""),"",IF(AND(原始資料!AQ251&lt;&gt;"",原始資料!AR251=原始資料!AQ251),N(AO251)+1,1))</f>
        <v/>
      </c>
      <c r="AQ251" s="6">
        <f>IF(OR(原始資料!$A251="",42&gt;設定!$B$3,原始資料!AS251=""),"",IF(AND(原始資料!AR251&lt;&gt;"",原始資料!AS251=原始資料!AR251),N(AP251)+1,1))</f>
        <v/>
      </c>
      <c r="AR251" s="6">
        <f>IF(OR(原始資料!$A251="",43&gt;設定!$B$3,原始資料!AT251=""),"",IF(AND(原始資料!AS251&lt;&gt;"",原始資料!AT251=原始資料!AS251),N(AQ251)+1,1))</f>
        <v/>
      </c>
      <c r="AS251" s="6">
        <f>IF(OR(原始資料!$A251="",44&gt;設定!$B$3,原始資料!AU251=""),"",IF(AND(原始資料!AT251&lt;&gt;"",原始資料!AU251=原始資料!AT251),N(AR251)+1,1))</f>
        <v/>
      </c>
      <c r="AT251" s="6">
        <f>IF(OR(原始資料!$A251="",45&gt;設定!$B$3,原始資料!AV251=""),"",IF(AND(原始資料!AU251&lt;&gt;"",原始資料!AV251=原始資料!AU251),N(AS251)+1,1))</f>
        <v/>
      </c>
      <c r="AU251" s="6">
        <f>IF(OR(原始資料!$A251="",46&gt;設定!$B$3,原始資料!AW251=""),"",IF(AND(原始資料!AV251&lt;&gt;"",原始資料!AW251=原始資料!AV251),N(AT251)+1,1))</f>
        <v/>
      </c>
      <c r="AV251" s="6">
        <f>IF(OR(原始資料!$A251="",47&gt;設定!$B$3,原始資料!AX251=""),"",IF(AND(原始資料!AW251&lt;&gt;"",原始資料!AX251=原始資料!AW251),N(AU251)+1,1))</f>
        <v/>
      </c>
      <c r="AW251" s="6">
        <f>IF(OR(原始資料!$A251="",48&gt;設定!$B$3,原始資料!AY251=""),"",IF(AND(原始資料!AX251&lt;&gt;"",原始資料!AY251=原始資料!AX251),N(AV251)+1,1))</f>
        <v/>
      </c>
      <c r="AX251" s="6">
        <f>IF(OR(原始資料!$A251="",49&gt;設定!$B$3,原始資料!AZ251=""),"",IF(AND(原始資料!AY251&lt;&gt;"",原始資料!AZ251=原始資料!AY251),N(AW251)+1,1))</f>
        <v/>
      </c>
      <c r="AY251" s="6">
        <f>IF(OR(原始資料!$A251="",50&gt;設定!$B$3,原始資料!BA251=""),"",IF(AND(原始資料!AZ251&lt;&gt;"",原始資料!BA251=原始資料!AZ251),N(AX251)+1,1))</f>
        <v/>
      </c>
      <c r="AZ251" s="6">
        <f>IF(OR(原始資料!$A251="",51&gt;設定!$B$3,原始資料!BB251=""),"",IF(AND(原始資料!BA251&lt;&gt;"",原始資料!BB251=原始資料!BA251),N(AY251)+1,1))</f>
        <v/>
      </c>
      <c r="BA251" s="6">
        <f>IF(OR(原始資料!$A251="",52&gt;設定!$B$3,原始資料!BC251=""),"",IF(AND(原始資料!BB251&lt;&gt;"",原始資料!BC251=原始資料!BB251),N(AZ251)+1,1))</f>
        <v/>
      </c>
      <c r="BB251" s="6">
        <f>IF(OR(原始資料!$A251="",53&gt;設定!$B$3,原始資料!BD251=""),"",IF(AND(原始資料!BC251&lt;&gt;"",原始資料!BD251=原始資料!BC251),N(BA251)+1,1))</f>
        <v/>
      </c>
      <c r="BC251" s="6">
        <f>IF(OR(原始資料!$A251="",54&gt;設定!$B$3,原始資料!BE251=""),"",IF(AND(原始資料!BD251&lt;&gt;"",原始資料!BE251=原始資料!BD251),N(BB251)+1,1))</f>
        <v/>
      </c>
      <c r="BD251" s="6">
        <f>IF(OR(原始資料!$A251="",55&gt;設定!$B$3,原始資料!BF251=""),"",IF(AND(原始資料!BE251&lt;&gt;"",原始資料!BF251=原始資料!BE251),N(BC251)+1,1))</f>
        <v/>
      </c>
      <c r="BE251" s="6">
        <f>IF(OR(原始資料!$A251="",56&gt;設定!$B$3,原始資料!BG251=""),"",IF(AND(原始資料!BF251&lt;&gt;"",原始資料!BG251=原始資料!BF251),N(BD251)+1,1))</f>
        <v/>
      </c>
      <c r="BF251" s="6">
        <f>IF(OR(原始資料!$A251="",57&gt;設定!$B$3,原始資料!BH251=""),"",IF(AND(原始資料!BG251&lt;&gt;"",原始資料!BH251=原始資料!BG251),N(BE251)+1,1))</f>
        <v/>
      </c>
      <c r="BG251" s="6">
        <f>IF(OR(原始資料!$A251="",58&gt;設定!$B$3,原始資料!BI251=""),"",IF(AND(原始資料!BH251&lt;&gt;"",原始資料!BI251=原始資料!BH251),N(BF251)+1,1))</f>
        <v/>
      </c>
      <c r="BH251" s="6">
        <f>IF(OR(原始資料!$A251="",59&gt;設定!$B$3,原始資料!BJ251=""),"",IF(AND(原始資料!BI251&lt;&gt;"",原始資料!BJ251=原始資料!BI251),N(BG251)+1,1))</f>
        <v/>
      </c>
      <c r="BI251" s="6">
        <f>IF(OR(原始資料!$A251="",60&gt;設定!$B$3,原始資料!BK251=""),"",IF(AND(原始資料!BJ251&lt;&gt;"",原始資料!BK251=原始資料!BJ251),N(BH251)+1,1))</f>
        <v/>
      </c>
    </row>
    <row r="252">
      <c r="A252" s="6">
        <f>IF(原始資料!$A252="","",原始資料!$A252)</f>
        <v/>
      </c>
      <c r="B252" s="6">
        <f>IF(OR(原始資料!$A252="",1&gt;設定!$B$3,原始資料!D252=""),"",1)</f>
        <v/>
      </c>
      <c r="C252" s="6">
        <f>IF(OR(原始資料!$A252="",2&gt;設定!$B$3,原始資料!E252=""),"",IF(AND(原始資料!D252&lt;&gt;"",原始資料!E252=原始資料!D252),N(B252)+1,1))</f>
        <v/>
      </c>
      <c r="D252" s="6">
        <f>IF(OR(原始資料!$A252="",3&gt;設定!$B$3,原始資料!F252=""),"",IF(AND(原始資料!E252&lt;&gt;"",原始資料!F252=原始資料!E252),N(C252)+1,1))</f>
        <v/>
      </c>
      <c r="E252" s="6">
        <f>IF(OR(原始資料!$A252="",4&gt;設定!$B$3,原始資料!G252=""),"",IF(AND(原始資料!F252&lt;&gt;"",原始資料!G252=原始資料!F252),N(D252)+1,1))</f>
        <v/>
      </c>
      <c r="F252" s="6">
        <f>IF(OR(原始資料!$A252="",5&gt;設定!$B$3,原始資料!H252=""),"",IF(AND(原始資料!G252&lt;&gt;"",原始資料!H252=原始資料!G252),N(E252)+1,1))</f>
        <v/>
      </c>
      <c r="G252" s="6">
        <f>IF(OR(原始資料!$A252="",6&gt;設定!$B$3,原始資料!I252=""),"",IF(AND(原始資料!H252&lt;&gt;"",原始資料!I252=原始資料!H252),N(F252)+1,1))</f>
        <v/>
      </c>
      <c r="H252" s="6">
        <f>IF(OR(原始資料!$A252="",7&gt;設定!$B$3,原始資料!J252=""),"",IF(AND(原始資料!I252&lt;&gt;"",原始資料!J252=原始資料!I252),N(G252)+1,1))</f>
        <v/>
      </c>
      <c r="I252" s="6">
        <f>IF(OR(原始資料!$A252="",8&gt;設定!$B$3,原始資料!K252=""),"",IF(AND(原始資料!J252&lt;&gt;"",原始資料!K252=原始資料!J252),N(H252)+1,1))</f>
        <v/>
      </c>
      <c r="J252" s="6">
        <f>IF(OR(原始資料!$A252="",9&gt;設定!$B$3,原始資料!L252=""),"",IF(AND(原始資料!K252&lt;&gt;"",原始資料!L252=原始資料!K252),N(I252)+1,1))</f>
        <v/>
      </c>
      <c r="K252" s="6">
        <f>IF(OR(原始資料!$A252="",10&gt;設定!$B$3,原始資料!M252=""),"",IF(AND(原始資料!L252&lt;&gt;"",原始資料!M252=原始資料!L252),N(J252)+1,1))</f>
        <v/>
      </c>
      <c r="L252" s="6">
        <f>IF(OR(原始資料!$A252="",11&gt;設定!$B$3,原始資料!N252=""),"",IF(AND(原始資料!M252&lt;&gt;"",原始資料!N252=原始資料!M252),N(K252)+1,1))</f>
        <v/>
      </c>
      <c r="M252" s="6">
        <f>IF(OR(原始資料!$A252="",12&gt;設定!$B$3,原始資料!O252=""),"",IF(AND(原始資料!N252&lt;&gt;"",原始資料!O252=原始資料!N252),N(L252)+1,1))</f>
        <v/>
      </c>
      <c r="N252" s="6">
        <f>IF(OR(原始資料!$A252="",13&gt;設定!$B$3,原始資料!P252=""),"",IF(AND(原始資料!O252&lt;&gt;"",原始資料!P252=原始資料!O252),N(M252)+1,1))</f>
        <v/>
      </c>
      <c r="O252" s="6">
        <f>IF(OR(原始資料!$A252="",14&gt;設定!$B$3,原始資料!Q252=""),"",IF(AND(原始資料!P252&lt;&gt;"",原始資料!Q252=原始資料!P252),N(N252)+1,1))</f>
        <v/>
      </c>
      <c r="P252" s="6">
        <f>IF(OR(原始資料!$A252="",15&gt;設定!$B$3,原始資料!R252=""),"",IF(AND(原始資料!Q252&lt;&gt;"",原始資料!R252=原始資料!Q252),N(O252)+1,1))</f>
        <v/>
      </c>
      <c r="Q252" s="6">
        <f>IF(OR(原始資料!$A252="",16&gt;設定!$B$3,原始資料!S252=""),"",IF(AND(原始資料!R252&lt;&gt;"",原始資料!S252=原始資料!R252),N(P252)+1,1))</f>
        <v/>
      </c>
      <c r="R252" s="6">
        <f>IF(OR(原始資料!$A252="",17&gt;設定!$B$3,原始資料!T252=""),"",IF(AND(原始資料!S252&lt;&gt;"",原始資料!T252=原始資料!S252),N(Q252)+1,1))</f>
        <v/>
      </c>
      <c r="S252" s="6">
        <f>IF(OR(原始資料!$A252="",18&gt;設定!$B$3,原始資料!U252=""),"",IF(AND(原始資料!T252&lt;&gt;"",原始資料!U252=原始資料!T252),N(R252)+1,1))</f>
        <v/>
      </c>
      <c r="T252" s="6">
        <f>IF(OR(原始資料!$A252="",19&gt;設定!$B$3,原始資料!V252=""),"",IF(AND(原始資料!U252&lt;&gt;"",原始資料!V252=原始資料!U252),N(S252)+1,1))</f>
        <v/>
      </c>
      <c r="U252" s="6">
        <f>IF(OR(原始資料!$A252="",20&gt;設定!$B$3,原始資料!W252=""),"",IF(AND(原始資料!V252&lt;&gt;"",原始資料!W252=原始資料!V252),N(T252)+1,1))</f>
        <v/>
      </c>
      <c r="V252" s="6">
        <f>IF(OR(原始資料!$A252="",21&gt;設定!$B$3,原始資料!X252=""),"",IF(AND(原始資料!W252&lt;&gt;"",原始資料!X252=原始資料!W252),N(U252)+1,1))</f>
        <v/>
      </c>
      <c r="W252" s="6">
        <f>IF(OR(原始資料!$A252="",22&gt;設定!$B$3,原始資料!Y252=""),"",IF(AND(原始資料!X252&lt;&gt;"",原始資料!Y252=原始資料!X252),N(V252)+1,1))</f>
        <v/>
      </c>
      <c r="X252" s="6">
        <f>IF(OR(原始資料!$A252="",23&gt;設定!$B$3,原始資料!Z252=""),"",IF(AND(原始資料!Y252&lt;&gt;"",原始資料!Z252=原始資料!Y252),N(W252)+1,1))</f>
        <v/>
      </c>
      <c r="Y252" s="6">
        <f>IF(OR(原始資料!$A252="",24&gt;設定!$B$3,原始資料!AA252=""),"",IF(AND(原始資料!Z252&lt;&gt;"",原始資料!AA252=原始資料!Z252),N(X252)+1,1))</f>
        <v/>
      </c>
      <c r="Z252" s="6">
        <f>IF(OR(原始資料!$A252="",25&gt;設定!$B$3,原始資料!AB252=""),"",IF(AND(原始資料!AA252&lt;&gt;"",原始資料!AB252=原始資料!AA252),N(Y252)+1,1))</f>
        <v/>
      </c>
      <c r="AA252" s="6">
        <f>IF(OR(原始資料!$A252="",26&gt;設定!$B$3,原始資料!AC252=""),"",IF(AND(原始資料!AB252&lt;&gt;"",原始資料!AC252=原始資料!AB252),N(Z252)+1,1))</f>
        <v/>
      </c>
      <c r="AB252" s="6">
        <f>IF(OR(原始資料!$A252="",27&gt;設定!$B$3,原始資料!AD252=""),"",IF(AND(原始資料!AC252&lt;&gt;"",原始資料!AD252=原始資料!AC252),N(AA252)+1,1))</f>
        <v/>
      </c>
      <c r="AC252" s="6">
        <f>IF(OR(原始資料!$A252="",28&gt;設定!$B$3,原始資料!AE252=""),"",IF(AND(原始資料!AD252&lt;&gt;"",原始資料!AE252=原始資料!AD252),N(AB252)+1,1))</f>
        <v/>
      </c>
      <c r="AD252" s="6">
        <f>IF(OR(原始資料!$A252="",29&gt;設定!$B$3,原始資料!AF252=""),"",IF(AND(原始資料!AE252&lt;&gt;"",原始資料!AF252=原始資料!AE252),N(AC252)+1,1))</f>
        <v/>
      </c>
      <c r="AE252" s="6">
        <f>IF(OR(原始資料!$A252="",30&gt;設定!$B$3,原始資料!AG252=""),"",IF(AND(原始資料!AF252&lt;&gt;"",原始資料!AG252=原始資料!AF252),N(AD252)+1,1))</f>
        <v/>
      </c>
      <c r="AF252" s="6">
        <f>IF(OR(原始資料!$A252="",31&gt;設定!$B$3,原始資料!AH252=""),"",IF(AND(原始資料!AG252&lt;&gt;"",原始資料!AH252=原始資料!AG252),N(AE252)+1,1))</f>
        <v/>
      </c>
      <c r="AG252" s="6">
        <f>IF(OR(原始資料!$A252="",32&gt;設定!$B$3,原始資料!AI252=""),"",IF(AND(原始資料!AH252&lt;&gt;"",原始資料!AI252=原始資料!AH252),N(AF252)+1,1))</f>
        <v/>
      </c>
      <c r="AH252" s="6">
        <f>IF(OR(原始資料!$A252="",33&gt;設定!$B$3,原始資料!AJ252=""),"",IF(AND(原始資料!AI252&lt;&gt;"",原始資料!AJ252=原始資料!AI252),N(AG252)+1,1))</f>
        <v/>
      </c>
      <c r="AI252" s="6">
        <f>IF(OR(原始資料!$A252="",34&gt;設定!$B$3,原始資料!AK252=""),"",IF(AND(原始資料!AJ252&lt;&gt;"",原始資料!AK252=原始資料!AJ252),N(AH252)+1,1))</f>
        <v/>
      </c>
      <c r="AJ252" s="6">
        <f>IF(OR(原始資料!$A252="",35&gt;設定!$B$3,原始資料!AL252=""),"",IF(AND(原始資料!AK252&lt;&gt;"",原始資料!AL252=原始資料!AK252),N(AI252)+1,1))</f>
        <v/>
      </c>
      <c r="AK252" s="6">
        <f>IF(OR(原始資料!$A252="",36&gt;設定!$B$3,原始資料!AM252=""),"",IF(AND(原始資料!AL252&lt;&gt;"",原始資料!AM252=原始資料!AL252),N(AJ252)+1,1))</f>
        <v/>
      </c>
      <c r="AL252" s="6">
        <f>IF(OR(原始資料!$A252="",37&gt;設定!$B$3,原始資料!AN252=""),"",IF(AND(原始資料!AM252&lt;&gt;"",原始資料!AN252=原始資料!AM252),N(AK252)+1,1))</f>
        <v/>
      </c>
      <c r="AM252" s="6">
        <f>IF(OR(原始資料!$A252="",38&gt;設定!$B$3,原始資料!AO252=""),"",IF(AND(原始資料!AN252&lt;&gt;"",原始資料!AO252=原始資料!AN252),N(AL252)+1,1))</f>
        <v/>
      </c>
      <c r="AN252" s="6">
        <f>IF(OR(原始資料!$A252="",39&gt;設定!$B$3,原始資料!AP252=""),"",IF(AND(原始資料!AO252&lt;&gt;"",原始資料!AP252=原始資料!AO252),N(AM252)+1,1))</f>
        <v/>
      </c>
      <c r="AO252" s="6">
        <f>IF(OR(原始資料!$A252="",40&gt;設定!$B$3,原始資料!AQ252=""),"",IF(AND(原始資料!AP252&lt;&gt;"",原始資料!AQ252=原始資料!AP252),N(AN252)+1,1))</f>
        <v/>
      </c>
      <c r="AP252" s="6">
        <f>IF(OR(原始資料!$A252="",41&gt;設定!$B$3,原始資料!AR252=""),"",IF(AND(原始資料!AQ252&lt;&gt;"",原始資料!AR252=原始資料!AQ252),N(AO252)+1,1))</f>
        <v/>
      </c>
      <c r="AQ252" s="6">
        <f>IF(OR(原始資料!$A252="",42&gt;設定!$B$3,原始資料!AS252=""),"",IF(AND(原始資料!AR252&lt;&gt;"",原始資料!AS252=原始資料!AR252),N(AP252)+1,1))</f>
        <v/>
      </c>
      <c r="AR252" s="6">
        <f>IF(OR(原始資料!$A252="",43&gt;設定!$B$3,原始資料!AT252=""),"",IF(AND(原始資料!AS252&lt;&gt;"",原始資料!AT252=原始資料!AS252),N(AQ252)+1,1))</f>
        <v/>
      </c>
      <c r="AS252" s="6">
        <f>IF(OR(原始資料!$A252="",44&gt;設定!$B$3,原始資料!AU252=""),"",IF(AND(原始資料!AT252&lt;&gt;"",原始資料!AU252=原始資料!AT252),N(AR252)+1,1))</f>
        <v/>
      </c>
      <c r="AT252" s="6">
        <f>IF(OR(原始資料!$A252="",45&gt;設定!$B$3,原始資料!AV252=""),"",IF(AND(原始資料!AU252&lt;&gt;"",原始資料!AV252=原始資料!AU252),N(AS252)+1,1))</f>
        <v/>
      </c>
      <c r="AU252" s="6">
        <f>IF(OR(原始資料!$A252="",46&gt;設定!$B$3,原始資料!AW252=""),"",IF(AND(原始資料!AV252&lt;&gt;"",原始資料!AW252=原始資料!AV252),N(AT252)+1,1))</f>
        <v/>
      </c>
      <c r="AV252" s="6">
        <f>IF(OR(原始資料!$A252="",47&gt;設定!$B$3,原始資料!AX252=""),"",IF(AND(原始資料!AW252&lt;&gt;"",原始資料!AX252=原始資料!AW252),N(AU252)+1,1))</f>
        <v/>
      </c>
      <c r="AW252" s="6">
        <f>IF(OR(原始資料!$A252="",48&gt;設定!$B$3,原始資料!AY252=""),"",IF(AND(原始資料!AX252&lt;&gt;"",原始資料!AY252=原始資料!AX252),N(AV252)+1,1))</f>
        <v/>
      </c>
      <c r="AX252" s="6">
        <f>IF(OR(原始資料!$A252="",49&gt;設定!$B$3,原始資料!AZ252=""),"",IF(AND(原始資料!AY252&lt;&gt;"",原始資料!AZ252=原始資料!AY252),N(AW252)+1,1))</f>
        <v/>
      </c>
      <c r="AY252" s="6">
        <f>IF(OR(原始資料!$A252="",50&gt;設定!$B$3,原始資料!BA252=""),"",IF(AND(原始資料!AZ252&lt;&gt;"",原始資料!BA252=原始資料!AZ252),N(AX252)+1,1))</f>
        <v/>
      </c>
      <c r="AZ252" s="6">
        <f>IF(OR(原始資料!$A252="",51&gt;設定!$B$3,原始資料!BB252=""),"",IF(AND(原始資料!BA252&lt;&gt;"",原始資料!BB252=原始資料!BA252),N(AY252)+1,1))</f>
        <v/>
      </c>
      <c r="BA252" s="6">
        <f>IF(OR(原始資料!$A252="",52&gt;設定!$B$3,原始資料!BC252=""),"",IF(AND(原始資料!BB252&lt;&gt;"",原始資料!BC252=原始資料!BB252),N(AZ252)+1,1))</f>
        <v/>
      </c>
      <c r="BB252" s="6">
        <f>IF(OR(原始資料!$A252="",53&gt;設定!$B$3,原始資料!BD252=""),"",IF(AND(原始資料!BC252&lt;&gt;"",原始資料!BD252=原始資料!BC252),N(BA252)+1,1))</f>
        <v/>
      </c>
      <c r="BC252" s="6">
        <f>IF(OR(原始資料!$A252="",54&gt;設定!$B$3,原始資料!BE252=""),"",IF(AND(原始資料!BD252&lt;&gt;"",原始資料!BE252=原始資料!BD252),N(BB252)+1,1))</f>
        <v/>
      </c>
      <c r="BD252" s="6">
        <f>IF(OR(原始資料!$A252="",55&gt;設定!$B$3,原始資料!BF252=""),"",IF(AND(原始資料!BE252&lt;&gt;"",原始資料!BF252=原始資料!BE252),N(BC252)+1,1))</f>
        <v/>
      </c>
      <c r="BE252" s="6">
        <f>IF(OR(原始資料!$A252="",56&gt;設定!$B$3,原始資料!BG252=""),"",IF(AND(原始資料!BF252&lt;&gt;"",原始資料!BG252=原始資料!BF252),N(BD252)+1,1))</f>
        <v/>
      </c>
      <c r="BF252" s="6">
        <f>IF(OR(原始資料!$A252="",57&gt;設定!$B$3,原始資料!BH252=""),"",IF(AND(原始資料!BG252&lt;&gt;"",原始資料!BH252=原始資料!BG252),N(BE252)+1,1))</f>
        <v/>
      </c>
      <c r="BG252" s="6">
        <f>IF(OR(原始資料!$A252="",58&gt;設定!$B$3,原始資料!BI252=""),"",IF(AND(原始資料!BH252&lt;&gt;"",原始資料!BI252=原始資料!BH252),N(BF252)+1,1))</f>
        <v/>
      </c>
      <c r="BH252" s="6">
        <f>IF(OR(原始資料!$A252="",59&gt;設定!$B$3,原始資料!BJ252=""),"",IF(AND(原始資料!BI252&lt;&gt;"",原始資料!BJ252=原始資料!BI252),N(BG252)+1,1))</f>
        <v/>
      </c>
      <c r="BI252" s="6">
        <f>IF(OR(原始資料!$A252="",60&gt;設定!$B$3,原始資料!BK252=""),"",IF(AND(原始資料!BJ252&lt;&gt;"",原始資料!BK252=原始資料!BJ252),N(BH252)+1,1))</f>
        <v/>
      </c>
    </row>
    <row r="253">
      <c r="A253" s="6">
        <f>IF(原始資料!$A253="","",原始資料!$A253)</f>
        <v/>
      </c>
      <c r="B253" s="6">
        <f>IF(OR(原始資料!$A253="",1&gt;設定!$B$3,原始資料!D253=""),"",1)</f>
        <v/>
      </c>
      <c r="C253" s="6">
        <f>IF(OR(原始資料!$A253="",2&gt;設定!$B$3,原始資料!E253=""),"",IF(AND(原始資料!D253&lt;&gt;"",原始資料!E253=原始資料!D253),N(B253)+1,1))</f>
        <v/>
      </c>
      <c r="D253" s="6">
        <f>IF(OR(原始資料!$A253="",3&gt;設定!$B$3,原始資料!F253=""),"",IF(AND(原始資料!E253&lt;&gt;"",原始資料!F253=原始資料!E253),N(C253)+1,1))</f>
        <v/>
      </c>
      <c r="E253" s="6">
        <f>IF(OR(原始資料!$A253="",4&gt;設定!$B$3,原始資料!G253=""),"",IF(AND(原始資料!F253&lt;&gt;"",原始資料!G253=原始資料!F253),N(D253)+1,1))</f>
        <v/>
      </c>
      <c r="F253" s="6">
        <f>IF(OR(原始資料!$A253="",5&gt;設定!$B$3,原始資料!H253=""),"",IF(AND(原始資料!G253&lt;&gt;"",原始資料!H253=原始資料!G253),N(E253)+1,1))</f>
        <v/>
      </c>
      <c r="G253" s="6">
        <f>IF(OR(原始資料!$A253="",6&gt;設定!$B$3,原始資料!I253=""),"",IF(AND(原始資料!H253&lt;&gt;"",原始資料!I253=原始資料!H253),N(F253)+1,1))</f>
        <v/>
      </c>
      <c r="H253" s="6">
        <f>IF(OR(原始資料!$A253="",7&gt;設定!$B$3,原始資料!J253=""),"",IF(AND(原始資料!I253&lt;&gt;"",原始資料!J253=原始資料!I253),N(G253)+1,1))</f>
        <v/>
      </c>
      <c r="I253" s="6">
        <f>IF(OR(原始資料!$A253="",8&gt;設定!$B$3,原始資料!K253=""),"",IF(AND(原始資料!J253&lt;&gt;"",原始資料!K253=原始資料!J253),N(H253)+1,1))</f>
        <v/>
      </c>
      <c r="J253" s="6">
        <f>IF(OR(原始資料!$A253="",9&gt;設定!$B$3,原始資料!L253=""),"",IF(AND(原始資料!K253&lt;&gt;"",原始資料!L253=原始資料!K253),N(I253)+1,1))</f>
        <v/>
      </c>
      <c r="K253" s="6">
        <f>IF(OR(原始資料!$A253="",10&gt;設定!$B$3,原始資料!M253=""),"",IF(AND(原始資料!L253&lt;&gt;"",原始資料!M253=原始資料!L253),N(J253)+1,1))</f>
        <v/>
      </c>
      <c r="L253" s="6">
        <f>IF(OR(原始資料!$A253="",11&gt;設定!$B$3,原始資料!N253=""),"",IF(AND(原始資料!M253&lt;&gt;"",原始資料!N253=原始資料!M253),N(K253)+1,1))</f>
        <v/>
      </c>
      <c r="M253" s="6">
        <f>IF(OR(原始資料!$A253="",12&gt;設定!$B$3,原始資料!O253=""),"",IF(AND(原始資料!N253&lt;&gt;"",原始資料!O253=原始資料!N253),N(L253)+1,1))</f>
        <v/>
      </c>
      <c r="N253" s="6">
        <f>IF(OR(原始資料!$A253="",13&gt;設定!$B$3,原始資料!P253=""),"",IF(AND(原始資料!O253&lt;&gt;"",原始資料!P253=原始資料!O253),N(M253)+1,1))</f>
        <v/>
      </c>
      <c r="O253" s="6">
        <f>IF(OR(原始資料!$A253="",14&gt;設定!$B$3,原始資料!Q253=""),"",IF(AND(原始資料!P253&lt;&gt;"",原始資料!Q253=原始資料!P253),N(N253)+1,1))</f>
        <v/>
      </c>
      <c r="P253" s="6">
        <f>IF(OR(原始資料!$A253="",15&gt;設定!$B$3,原始資料!R253=""),"",IF(AND(原始資料!Q253&lt;&gt;"",原始資料!R253=原始資料!Q253),N(O253)+1,1))</f>
        <v/>
      </c>
      <c r="Q253" s="6">
        <f>IF(OR(原始資料!$A253="",16&gt;設定!$B$3,原始資料!S253=""),"",IF(AND(原始資料!R253&lt;&gt;"",原始資料!S253=原始資料!R253),N(P253)+1,1))</f>
        <v/>
      </c>
      <c r="R253" s="6">
        <f>IF(OR(原始資料!$A253="",17&gt;設定!$B$3,原始資料!T253=""),"",IF(AND(原始資料!S253&lt;&gt;"",原始資料!T253=原始資料!S253),N(Q253)+1,1))</f>
        <v/>
      </c>
      <c r="S253" s="6">
        <f>IF(OR(原始資料!$A253="",18&gt;設定!$B$3,原始資料!U253=""),"",IF(AND(原始資料!T253&lt;&gt;"",原始資料!U253=原始資料!T253),N(R253)+1,1))</f>
        <v/>
      </c>
      <c r="T253" s="6">
        <f>IF(OR(原始資料!$A253="",19&gt;設定!$B$3,原始資料!V253=""),"",IF(AND(原始資料!U253&lt;&gt;"",原始資料!V253=原始資料!U253),N(S253)+1,1))</f>
        <v/>
      </c>
      <c r="U253" s="6">
        <f>IF(OR(原始資料!$A253="",20&gt;設定!$B$3,原始資料!W253=""),"",IF(AND(原始資料!V253&lt;&gt;"",原始資料!W253=原始資料!V253),N(T253)+1,1))</f>
        <v/>
      </c>
      <c r="V253" s="6">
        <f>IF(OR(原始資料!$A253="",21&gt;設定!$B$3,原始資料!X253=""),"",IF(AND(原始資料!W253&lt;&gt;"",原始資料!X253=原始資料!W253),N(U253)+1,1))</f>
        <v/>
      </c>
      <c r="W253" s="6">
        <f>IF(OR(原始資料!$A253="",22&gt;設定!$B$3,原始資料!Y253=""),"",IF(AND(原始資料!X253&lt;&gt;"",原始資料!Y253=原始資料!X253),N(V253)+1,1))</f>
        <v/>
      </c>
      <c r="X253" s="6">
        <f>IF(OR(原始資料!$A253="",23&gt;設定!$B$3,原始資料!Z253=""),"",IF(AND(原始資料!Y253&lt;&gt;"",原始資料!Z253=原始資料!Y253),N(W253)+1,1))</f>
        <v/>
      </c>
      <c r="Y253" s="6">
        <f>IF(OR(原始資料!$A253="",24&gt;設定!$B$3,原始資料!AA253=""),"",IF(AND(原始資料!Z253&lt;&gt;"",原始資料!AA253=原始資料!Z253),N(X253)+1,1))</f>
        <v/>
      </c>
      <c r="Z253" s="6">
        <f>IF(OR(原始資料!$A253="",25&gt;設定!$B$3,原始資料!AB253=""),"",IF(AND(原始資料!AA253&lt;&gt;"",原始資料!AB253=原始資料!AA253),N(Y253)+1,1))</f>
        <v/>
      </c>
      <c r="AA253" s="6">
        <f>IF(OR(原始資料!$A253="",26&gt;設定!$B$3,原始資料!AC253=""),"",IF(AND(原始資料!AB253&lt;&gt;"",原始資料!AC253=原始資料!AB253),N(Z253)+1,1))</f>
        <v/>
      </c>
      <c r="AB253" s="6">
        <f>IF(OR(原始資料!$A253="",27&gt;設定!$B$3,原始資料!AD253=""),"",IF(AND(原始資料!AC253&lt;&gt;"",原始資料!AD253=原始資料!AC253),N(AA253)+1,1))</f>
        <v/>
      </c>
      <c r="AC253" s="6">
        <f>IF(OR(原始資料!$A253="",28&gt;設定!$B$3,原始資料!AE253=""),"",IF(AND(原始資料!AD253&lt;&gt;"",原始資料!AE253=原始資料!AD253),N(AB253)+1,1))</f>
        <v/>
      </c>
      <c r="AD253" s="6">
        <f>IF(OR(原始資料!$A253="",29&gt;設定!$B$3,原始資料!AF253=""),"",IF(AND(原始資料!AE253&lt;&gt;"",原始資料!AF253=原始資料!AE253),N(AC253)+1,1))</f>
        <v/>
      </c>
      <c r="AE253" s="6">
        <f>IF(OR(原始資料!$A253="",30&gt;設定!$B$3,原始資料!AG253=""),"",IF(AND(原始資料!AF253&lt;&gt;"",原始資料!AG253=原始資料!AF253),N(AD253)+1,1))</f>
        <v/>
      </c>
      <c r="AF253" s="6">
        <f>IF(OR(原始資料!$A253="",31&gt;設定!$B$3,原始資料!AH253=""),"",IF(AND(原始資料!AG253&lt;&gt;"",原始資料!AH253=原始資料!AG253),N(AE253)+1,1))</f>
        <v/>
      </c>
      <c r="AG253" s="6">
        <f>IF(OR(原始資料!$A253="",32&gt;設定!$B$3,原始資料!AI253=""),"",IF(AND(原始資料!AH253&lt;&gt;"",原始資料!AI253=原始資料!AH253),N(AF253)+1,1))</f>
        <v/>
      </c>
      <c r="AH253" s="6">
        <f>IF(OR(原始資料!$A253="",33&gt;設定!$B$3,原始資料!AJ253=""),"",IF(AND(原始資料!AI253&lt;&gt;"",原始資料!AJ253=原始資料!AI253),N(AG253)+1,1))</f>
        <v/>
      </c>
      <c r="AI253" s="6">
        <f>IF(OR(原始資料!$A253="",34&gt;設定!$B$3,原始資料!AK253=""),"",IF(AND(原始資料!AJ253&lt;&gt;"",原始資料!AK253=原始資料!AJ253),N(AH253)+1,1))</f>
        <v/>
      </c>
      <c r="AJ253" s="6">
        <f>IF(OR(原始資料!$A253="",35&gt;設定!$B$3,原始資料!AL253=""),"",IF(AND(原始資料!AK253&lt;&gt;"",原始資料!AL253=原始資料!AK253),N(AI253)+1,1))</f>
        <v/>
      </c>
      <c r="AK253" s="6">
        <f>IF(OR(原始資料!$A253="",36&gt;設定!$B$3,原始資料!AM253=""),"",IF(AND(原始資料!AL253&lt;&gt;"",原始資料!AM253=原始資料!AL253),N(AJ253)+1,1))</f>
        <v/>
      </c>
      <c r="AL253" s="6">
        <f>IF(OR(原始資料!$A253="",37&gt;設定!$B$3,原始資料!AN253=""),"",IF(AND(原始資料!AM253&lt;&gt;"",原始資料!AN253=原始資料!AM253),N(AK253)+1,1))</f>
        <v/>
      </c>
      <c r="AM253" s="6">
        <f>IF(OR(原始資料!$A253="",38&gt;設定!$B$3,原始資料!AO253=""),"",IF(AND(原始資料!AN253&lt;&gt;"",原始資料!AO253=原始資料!AN253),N(AL253)+1,1))</f>
        <v/>
      </c>
      <c r="AN253" s="6">
        <f>IF(OR(原始資料!$A253="",39&gt;設定!$B$3,原始資料!AP253=""),"",IF(AND(原始資料!AO253&lt;&gt;"",原始資料!AP253=原始資料!AO253),N(AM253)+1,1))</f>
        <v/>
      </c>
      <c r="AO253" s="6">
        <f>IF(OR(原始資料!$A253="",40&gt;設定!$B$3,原始資料!AQ253=""),"",IF(AND(原始資料!AP253&lt;&gt;"",原始資料!AQ253=原始資料!AP253),N(AN253)+1,1))</f>
        <v/>
      </c>
      <c r="AP253" s="6">
        <f>IF(OR(原始資料!$A253="",41&gt;設定!$B$3,原始資料!AR253=""),"",IF(AND(原始資料!AQ253&lt;&gt;"",原始資料!AR253=原始資料!AQ253),N(AO253)+1,1))</f>
        <v/>
      </c>
      <c r="AQ253" s="6">
        <f>IF(OR(原始資料!$A253="",42&gt;設定!$B$3,原始資料!AS253=""),"",IF(AND(原始資料!AR253&lt;&gt;"",原始資料!AS253=原始資料!AR253),N(AP253)+1,1))</f>
        <v/>
      </c>
      <c r="AR253" s="6">
        <f>IF(OR(原始資料!$A253="",43&gt;設定!$B$3,原始資料!AT253=""),"",IF(AND(原始資料!AS253&lt;&gt;"",原始資料!AT253=原始資料!AS253),N(AQ253)+1,1))</f>
        <v/>
      </c>
      <c r="AS253" s="6">
        <f>IF(OR(原始資料!$A253="",44&gt;設定!$B$3,原始資料!AU253=""),"",IF(AND(原始資料!AT253&lt;&gt;"",原始資料!AU253=原始資料!AT253),N(AR253)+1,1))</f>
        <v/>
      </c>
      <c r="AT253" s="6">
        <f>IF(OR(原始資料!$A253="",45&gt;設定!$B$3,原始資料!AV253=""),"",IF(AND(原始資料!AU253&lt;&gt;"",原始資料!AV253=原始資料!AU253),N(AS253)+1,1))</f>
        <v/>
      </c>
      <c r="AU253" s="6">
        <f>IF(OR(原始資料!$A253="",46&gt;設定!$B$3,原始資料!AW253=""),"",IF(AND(原始資料!AV253&lt;&gt;"",原始資料!AW253=原始資料!AV253),N(AT253)+1,1))</f>
        <v/>
      </c>
      <c r="AV253" s="6">
        <f>IF(OR(原始資料!$A253="",47&gt;設定!$B$3,原始資料!AX253=""),"",IF(AND(原始資料!AW253&lt;&gt;"",原始資料!AX253=原始資料!AW253),N(AU253)+1,1))</f>
        <v/>
      </c>
      <c r="AW253" s="6">
        <f>IF(OR(原始資料!$A253="",48&gt;設定!$B$3,原始資料!AY253=""),"",IF(AND(原始資料!AX253&lt;&gt;"",原始資料!AY253=原始資料!AX253),N(AV253)+1,1))</f>
        <v/>
      </c>
      <c r="AX253" s="6">
        <f>IF(OR(原始資料!$A253="",49&gt;設定!$B$3,原始資料!AZ253=""),"",IF(AND(原始資料!AY253&lt;&gt;"",原始資料!AZ253=原始資料!AY253),N(AW253)+1,1))</f>
        <v/>
      </c>
      <c r="AY253" s="6">
        <f>IF(OR(原始資料!$A253="",50&gt;設定!$B$3,原始資料!BA253=""),"",IF(AND(原始資料!AZ253&lt;&gt;"",原始資料!BA253=原始資料!AZ253),N(AX253)+1,1))</f>
        <v/>
      </c>
      <c r="AZ253" s="6">
        <f>IF(OR(原始資料!$A253="",51&gt;設定!$B$3,原始資料!BB253=""),"",IF(AND(原始資料!BA253&lt;&gt;"",原始資料!BB253=原始資料!BA253),N(AY253)+1,1))</f>
        <v/>
      </c>
      <c r="BA253" s="6">
        <f>IF(OR(原始資料!$A253="",52&gt;設定!$B$3,原始資料!BC253=""),"",IF(AND(原始資料!BB253&lt;&gt;"",原始資料!BC253=原始資料!BB253),N(AZ253)+1,1))</f>
        <v/>
      </c>
      <c r="BB253" s="6">
        <f>IF(OR(原始資料!$A253="",53&gt;設定!$B$3,原始資料!BD253=""),"",IF(AND(原始資料!BC253&lt;&gt;"",原始資料!BD253=原始資料!BC253),N(BA253)+1,1))</f>
        <v/>
      </c>
      <c r="BC253" s="6">
        <f>IF(OR(原始資料!$A253="",54&gt;設定!$B$3,原始資料!BE253=""),"",IF(AND(原始資料!BD253&lt;&gt;"",原始資料!BE253=原始資料!BD253),N(BB253)+1,1))</f>
        <v/>
      </c>
      <c r="BD253" s="6">
        <f>IF(OR(原始資料!$A253="",55&gt;設定!$B$3,原始資料!BF253=""),"",IF(AND(原始資料!BE253&lt;&gt;"",原始資料!BF253=原始資料!BE253),N(BC253)+1,1))</f>
        <v/>
      </c>
      <c r="BE253" s="6">
        <f>IF(OR(原始資料!$A253="",56&gt;設定!$B$3,原始資料!BG253=""),"",IF(AND(原始資料!BF253&lt;&gt;"",原始資料!BG253=原始資料!BF253),N(BD253)+1,1))</f>
        <v/>
      </c>
      <c r="BF253" s="6">
        <f>IF(OR(原始資料!$A253="",57&gt;設定!$B$3,原始資料!BH253=""),"",IF(AND(原始資料!BG253&lt;&gt;"",原始資料!BH253=原始資料!BG253),N(BE253)+1,1))</f>
        <v/>
      </c>
      <c r="BG253" s="6">
        <f>IF(OR(原始資料!$A253="",58&gt;設定!$B$3,原始資料!BI253=""),"",IF(AND(原始資料!BH253&lt;&gt;"",原始資料!BI253=原始資料!BH253),N(BF253)+1,1))</f>
        <v/>
      </c>
      <c r="BH253" s="6">
        <f>IF(OR(原始資料!$A253="",59&gt;設定!$B$3,原始資料!BJ253=""),"",IF(AND(原始資料!BI253&lt;&gt;"",原始資料!BJ253=原始資料!BI253),N(BG253)+1,1))</f>
        <v/>
      </c>
      <c r="BI253" s="6">
        <f>IF(OR(原始資料!$A253="",60&gt;設定!$B$3,原始資料!BK253=""),"",IF(AND(原始資料!BJ253&lt;&gt;"",原始資料!BK253=原始資料!BJ253),N(BH253)+1,1))</f>
        <v/>
      </c>
    </row>
    <row r="254">
      <c r="A254" s="6">
        <f>IF(原始資料!$A254="","",原始資料!$A254)</f>
        <v/>
      </c>
      <c r="B254" s="6">
        <f>IF(OR(原始資料!$A254="",1&gt;設定!$B$3,原始資料!D254=""),"",1)</f>
        <v/>
      </c>
      <c r="C254" s="6">
        <f>IF(OR(原始資料!$A254="",2&gt;設定!$B$3,原始資料!E254=""),"",IF(AND(原始資料!D254&lt;&gt;"",原始資料!E254=原始資料!D254),N(B254)+1,1))</f>
        <v/>
      </c>
      <c r="D254" s="6">
        <f>IF(OR(原始資料!$A254="",3&gt;設定!$B$3,原始資料!F254=""),"",IF(AND(原始資料!E254&lt;&gt;"",原始資料!F254=原始資料!E254),N(C254)+1,1))</f>
        <v/>
      </c>
      <c r="E254" s="6">
        <f>IF(OR(原始資料!$A254="",4&gt;設定!$B$3,原始資料!G254=""),"",IF(AND(原始資料!F254&lt;&gt;"",原始資料!G254=原始資料!F254),N(D254)+1,1))</f>
        <v/>
      </c>
      <c r="F254" s="6">
        <f>IF(OR(原始資料!$A254="",5&gt;設定!$B$3,原始資料!H254=""),"",IF(AND(原始資料!G254&lt;&gt;"",原始資料!H254=原始資料!G254),N(E254)+1,1))</f>
        <v/>
      </c>
      <c r="G254" s="6">
        <f>IF(OR(原始資料!$A254="",6&gt;設定!$B$3,原始資料!I254=""),"",IF(AND(原始資料!H254&lt;&gt;"",原始資料!I254=原始資料!H254),N(F254)+1,1))</f>
        <v/>
      </c>
      <c r="H254" s="6">
        <f>IF(OR(原始資料!$A254="",7&gt;設定!$B$3,原始資料!J254=""),"",IF(AND(原始資料!I254&lt;&gt;"",原始資料!J254=原始資料!I254),N(G254)+1,1))</f>
        <v/>
      </c>
      <c r="I254" s="6">
        <f>IF(OR(原始資料!$A254="",8&gt;設定!$B$3,原始資料!K254=""),"",IF(AND(原始資料!J254&lt;&gt;"",原始資料!K254=原始資料!J254),N(H254)+1,1))</f>
        <v/>
      </c>
      <c r="J254" s="6">
        <f>IF(OR(原始資料!$A254="",9&gt;設定!$B$3,原始資料!L254=""),"",IF(AND(原始資料!K254&lt;&gt;"",原始資料!L254=原始資料!K254),N(I254)+1,1))</f>
        <v/>
      </c>
      <c r="K254" s="6">
        <f>IF(OR(原始資料!$A254="",10&gt;設定!$B$3,原始資料!M254=""),"",IF(AND(原始資料!L254&lt;&gt;"",原始資料!M254=原始資料!L254),N(J254)+1,1))</f>
        <v/>
      </c>
      <c r="L254" s="6">
        <f>IF(OR(原始資料!$A254="",11&gt;設定!$B$3,原始資料!N254=""),"",IF(AND(原始資料!M254&lt;&gt;"",原始資料!N254=原始資料!M254),N(K254)+1,1))</f>
        <v/>
      </c>
      <c r="M254" s="6">
        <f>IF(OR(原始資料!$A254="",12&gt;設定!$B$3,原始資料!O254=""),"",IF(AND(原始資料!N254&lt;&gt;"",原始資料!O254=原始資料!N254),N(L254)+1,1))</f>
        <v/>
      </c>
      <c r="N254" s="6">
        <f>IF(OR(原始資料!$A254="",13&gt;設定!$B$3,原始資料!P254=""),"",IF(AND(原始資料!O254&lt;&gt;"",原始資料!P254=原始資料!O254),N(M254)+1,1))</f>
        <v/>
      </c>
      <c r="O254" s="6">
        <f>IF(OR(原始資料!$A254="",14&gt;設定!$B$3,原始資料!Q254=""),"",IF(AND(原始資料!P254&lt;&gt;"",原始資料!Q254=原始資料!P254),N(N254)+1,1))</f>
        <v/>
      </c>
      <c r="P254" s="6">
        <f>IF(OR(原始資料!$A254="",15&gt;設定!$B$3,原始資料!R254=""),"",IF(AND(原始資料!Q254&lt;&gt;"",原始資料!R254=原始資料!Q254),N(O254)+1,1))</f>
        <v/>
      </c>
      <c r="Q254" s="6">
        <f>IF(OR(原始資料!$A254="",16&gt;設定!$B$3,原始資料!S254=""),"",IF(AND(原始資料!R254&lt;&gt;"",原始資料!S254=原始資料!R254),N(P254)+1,1))</f>
        <v/>
      </c>
      <c r="R254" s="6">
        <f>IF(OR(原始資料!$A254="",17&gt;設定!$B$3,原始資料!T254=""),"",IF(AND(原始資料!S254&lt;&gt;"",原始資料!T254=原始資料!S254),N(Q254)+1,1))</f>
        <v/>
      </c>
      <c r="S254" s="6">
        <f>IF(OR(原始資料!$A254="",18&gt;設定!$B$3,原始資料!U254=""),"",IF(AND(原始資料!T254&lt;&gt;"",原始資料!U254=原始資料!T254),N(R254)+1,1))</f>
        <v/>
      </c>
      <c r="T254" s="6">
        <f>IF(OR(原始資料!$A254="",19&gt;設定!$B$3,原始資料!V254=""),"",IF(AND(原始資料!U254&lt;&gt;"",原始資料!V254=原始資料!U254),N(S254)+1,1))</f>
        <v/>
      </c>
      <c r="U254" s="6">
        <f>IF(OR(原始資料!$A254="",20&gt;設定!$B$3,原始資料!W254=""),"",IF(AND(原始資料!V254&lt;&gt;"",原始資料!W254=原始資料!V254),N(T254)+1,1))</f>
        <v/>
      </c>
      <c r="V254" s="6">
        <f>IF(OR(原始資料!$A254="",21&gt;設定!$B$3,原始資料!X254=""),"",IF(AND(原始資料!W254&lt;&gt;"",原始資料!X254=原始資料!W254),N(U254)+1,1))</f>
        <v/>
      </c>
      <c r="W254" s="6">
        <f>IF(OR(原始資料!$A254="",22&gt;設定!$B$3,原始資料!Y254=""),"",IF(AND(原始資料!X254&lt;&gt;"",原始資料!Y254=原始資料!X254),N(V254)+1,1))</f>
        <v/>
      </c>
      <c r="X254" s="6">
        <f>IF(OR(原始資料!$A254="",23&gt;設定!$B$3,原始資料!Z254=""),"",IF(AND(原始資料!Y254&lt;&gt;"",原始資料!Z254=原始資料!Y254),N(W254)+1,1))</f>
        <v/>
      </c>
      <c r="Y254" s="6">
        <f>IF(OR(原始資料!$A254="",24&gt;設定!$B$3,原始資料!AA254=""),"",IF(AND(原始資料!Z254&lt;&gt;"",原始資料!AA254=原始資料!Z254),N(X254)+1,1))</f>
        <v/>
      </c>
      <c r="Z254" s="6">
        <f>IF(OR(原始資料!$A254="",25&gt;設定!$B$3,原始資料!AB254=""),"",IF(AND(原始資料!AA254&lt;&gt;"",原始資料!AB254=原始資料!AA254),N(Y254)+1,1))</f>
        <v/>
      </c>
      <c r="AA254" s="6">
        <f>IF(OR(原始資料!$A254="",26&gt;設定!$B$3,原始資料!AC254=""),"",IF(AND(原始資料!AB254&lt;&gt;"",原始資料!AC254=原始資料!AB254),N(Z254)+1,1))</f>
        <v/>
      </c>
      <c r="AB254" s="6">
        <f>IF(OR(原始資料!$A254="",27&gt;設定!$B$3,原始資料!AD254=""),"",IF(AND(原始資料!AC254&lt;&gt;"",原始資料!AD254=原始資料!AC254),N(AA254)+1,1))</f>
        <v/>
      </c>
      <c r="AC254" s="6">
        <f>IF(OR(原始資料!$A254="",28&gt;設定!$B$3,原始資料!AE254=""),"",IF(AND(原始資料!AD254&lt;&gt;"",原始資料!AE254=原始資料!AD254),N(AB254)+1,1))</f>
        <v/>
      </c>
      <c r="AD254" s="6">
        <f>IF(OR(原始資料!$A254="",29&gt;設定!$B$3,原始資料!AF254=""),"",IF(AND(原始資料!AE254&lt;&gt;"",原始資料!AF254=原始資料!AE254),N(AC254)+1,1))</f>
        <v/>
      </c>
      <c r="AE254" s="6">
        <f>IF(OR(原始資料!$A254="",30&gt;設定!$B$3,原始資料!AG254=""),"",IF(AND(原始資料!AF254&lt;&gt;"",原始資料!AG254=原始資料!AF254),N(AD254)+1,1))</f>
        <v/>
      </c>
      <c r="AF254" s="6">
        <f>IF(OR(原始資料!$A254="",31&gt;設定!$B$3,原始資料!AH254=""),"",IF(AND(原始資料!AG254&lt;&gt;"",原始資料!AH254=原始資料!AG254),N(AE254)+1,1))</f>
        <v/>
      </c>
      <c r="AG254" s="6">
        <f>IF(OR(原始資料!$A254="",32&gt;設定!$B$3,原始資料!AI254=""),"",IF(AND(原始資料!AH254&lt;&gt;"",原始資料!AI254=原始資料!AH254),N(AF254)+1,1))</f>
        <v/>
      </c>
      <c r="AH254" s="6">
        <f>IF(OR(原始資料!$A254="",33&gt;設定!$B$3,原始資料!AJ254=""),"",IF(AND(原始資料!AI254&lt;&gt;"",原始資料!AJ254=原始資料!AI254),N(AG254)+1,1))</f>
        <v/>
      </c>
      <c r="AI254" s="6">
        <f>IF(OR(原始資料!$A254="",34&gt;設定!$B$3,原始資料!AK254=""),"",IF(AND(原始資料!AJ254&lt;&gt;"",原始資料!AK254=原始資料!AJ254),N(AH254)+1,1))</f>
        <v/>
      </c>
      <c r="AJ254" s="6">
        <f>IF(OR(原始資料!$A254="",35&gt;設定!$B$3,原始資料!AL254=""),"",IF(AND(原始資料!AK254&lt;&gt;"",原始資料!AL254=原始資料!AK254),N(AI254)+1,1))</f>
        <v/>
      </c>
      <c r="AK254" s="6">
        <f>IF(OR(原始資料!$A254="",36&gt;設定!$B$3,原始資料!AM254=""),"",IF(AND(原始資料!AL254&lt;&gt;"",原始資料!AM254=原始資料!AL254),N(AJ254)+1,1))</f>
        <v/>
      </c>
      <c r="AL254" s="6">
        <f>IF(OR(原始資料!$A254="",37&gt;設定!$B$3,原始資料!AN254=""),"",IF(AND(原始資料!AM254&lt;&gt;"",原始資料!AN254=原始資料!AM254),N(AK254)+1,1))</f>
        <v/>
      </c>
      <c r="AM254" s="6">
        <f>IF(OR(原始資料!$A254="",38&gt;設定!$B$3,原始資料!AO254=""),"",IF(AND(原始資料!AN254&lt;&gt;"",原始資料!AO254=原始資料!AN254),N(AL254)+1,1))</f>
        <v/>
      </c>
      <c r="AN254" s="6">
        <f>IF(OR(原始資料!$A254="",39&gt;設定!$B$3,原始資料!AP254=""),"",IF(AND(原始資料!AO254&lt;&gt;"",原始資料!AP254=原始資料!AO254),N(AM254)+1,1))</f>
        <v/>
      </c>
      <c r="AO254" s="6">
        <f>IF(OR(原始資料!$A254="",40&gt;設定!$B$3,原始資料!AQ254=""),"",IF(AND(原始資料!AP254&lt;&gt;"",原始資料!AQ254=原始資料!AP254),N(AN254)+1,1))</f>
        <v/>
      </c>
      <c r="AP254" s="6">
        <f>IF(OR(原始資料!$A254="",41&gt;設定!$B$3,原始資料!AR254=""),"",IF(AND(原始資料!AQ254&lt;&gt;"",原始資料!AR254=原始資料!AQ254),N(AO254)+1,1))</f>
        <v/>
      </c>
      <c r="AQ254" s="6">
        <f>IF(OR(原始資料!$A254="",42&gt;設定!$B$3,原始資料!AS254=""),"",IF(AND(原始資料!AR254&lt;&gt;"",原始資料!AS254=原始資料!AR254),N(AP254)+1,1))</f>
        <v/>
      </c>
      <c r="AR254" s="6">
        <f>IF(OR(原始資料!$A254="",43&gt;設定!$B$3,原始資料!AT254=""),"",IF(AND(原始資料!AS254&lt;&gt;"",原始資料!AT254=原始資料!AS254),N(AQ254)+1,1))</f>
        <v/>
      </c>
      <c r="AS254" s="6">
        <f>IF(OR(原始資料!$A254="",44&gt;設定!$B$3,原始資料!AU254=""),"",IF(AND(原始資料!AT254&lt;&gt;"",原始資料!AU254=原始資料!AT254),N(AR254)+1,1))</f>
        <v/>
      </c>
      <c r="AT254" s="6">
        <f>IF(OR(原始資料!$A254="",45&gt;設定!$B$3,原始資料!AV254=""),"",IF(AND(原始資料!AU254&lt;&gt;"",原始資料!AV254=原始資料!AU254),N(AS254)+1,1))</f>
        <v/>
      </c>
      <c r="AU254" s="6">
        <f>IF(OR(原始資料!$A254="",46&gt;設定!$B$3,原始資料!AW254=""),"",IF(AND(原始資料!AV254&lt;&gt;"",原始資料!AW254=原始資料!AV254),N(AT254)+1,1))</f>
        <v/>
      </c>
      <c r="AV254" s="6">
        <f>IF(OR(原始資料!$A254="",47&gt;設定!$B$3,原始資料!AX254=""),"",IF(AND(原始資料!AW254&lt;&gt;"",原始資料!AX254=原始資料!AW254),N(AU254)+1,1))</f>
        <v/>
      </c>
      <c r="AW254" s="6">
        <f>IF(OR(原始資料!$A254="",48&gt;設定!$B$3,原始資料!AY254=""),"",IF(AND(原始資料!AX254&lt;&gt;"",原始資料!AY254=原始資料!AX254),N(AV254)+1,1))</f>
        <v/>
      </c>
      <c r="AX254" s="6">
        <f>IF(OR(原始資料!$A254="",49&gt;設定!$B$3,原始資料!AZ254=""),"",IF(AND(原始資料!AY254&lt;&gt;"",原始資料!AZ254=原始資料!AY254),N(AW254)+1,1))</f>
        <v/>
      </c>
      <c r="AY254" s="6">
        <f>IF(OR(原始資料!$A254="",50&gt;設定!$B$3,原始資料!BA254=""),"",IF(AND(原始資料!AZ254&lt;&gt;"",原始資料!BA254=原始資料!AZ254),N(AX254)+1,1))</f>
        <v/>
      </c>
      <c r="AZ254" s="6">
        <f>IF(OR(原始資料!$A254="",51&gt;設定!$B$3,原始資料!BB254=""),"",IF(AND(原始資料!BA254&lt;&gt;"",原始資料!BB254=原始資料!BA254),N(AY254)+1,1))</f>
        <v/>
      </c>
      <c r="BA254" s="6">
        <f>IF(OR(原始資料!$A254="",52&gt;設定!$B$3,原始資料!BC254=""),"",IF(AND(原始資料!BB254&lt;&gt;"",原始資料!BC254=原始資料!BB254),N(AZ254)+1,1))</f>
        <v/>
      </c>
      <c r="BB254" s="6">
        <f>IF(OR(原始資料!$A254="",53&gt;設定!$B$3,原始資料!BD254=""),"",IF(AND(原始資料!BC254&lt;&gt;"",原始資料!BD254=原始資料!BC254),N(BA254)+1,1))</f>
        <v/>
      </c>
      <c r="BC254" s="6">
        <f>IF(OR(原始資料!$A254="",54&gt;設定!$B$3,原始資料!BE254=""),"",IF(AND(原始資料!BD254&lt;&gt;"",原始資料!BE254=原始資料!BD254),N(BB254)+1,1))</f>
        <v/>
      </c>
      <c r="BD254" s="6">
        <f>IF(OR(原始資料!$A254="",55&gt;設定!$B$3,原始資料!BF254=""),"",IF(AND(原始資料!BE254&lt;&gt;"",原始資料!BF254=原始資料!BE254),N(BC254)+1,1))</f>
        <v/>
      </c>
      <c r="BE254" s="6">
        <f>IF(OR(原始資料!$A254="",56&gt;設定!$B$3,原始資料!BG254=""),"",IF(AND(原始資料!BF254&lt;&gt;"",原始資料!BG254=原始資料!BF254),N(BD254)+1,1))</f>
        <v/>
      </c>
      <c r="BF254" s="6">
        <f>IF(OR(原始資料!$A254="",57&gt;設定!$B$3,原始資料!BH254=""),"",IF(AND(原始資料!BG254&lt;&gt;"",原始資料!BH254=原始資料!BG254),N(BE254)+1,1))</f>
        <v/>
      </c>
      <c r="BG254" s="6">
        <f>IF(OR(原始資料!$A254="",58&gt;設定!$B$3,原始資料!BI254=""),"",IF(AND(原始資料!BH254&lt;&gt;"",原始資料!BI254=原始資料!BH254),N(BF254)+1,1))</f>
        <v/>
      </c>
      <c r="BH254" s="6">
        <f>IF(OR(原始資料!$A254="",59&gt;設定!$B$3,原始資料!BJ254=""),"",IF(AND(原始資料!BI254&lt;&gt;"",原始資料!BJ254=原始資料!BI254),N(BG254)+1,1))</f>
        <v/>
      </c>
      <c r="BI254" s="6">
        <f>IF(OR(原始資料!$A254="",60&gt;設定!$B$3,原始資料!BK254=""),"",IF(AND(原始資料!BJ254&lt;&gt;"",原始資料!BK254=原始資料!BJ254),N(BH254)+1,1))</f>
        <v/>
      </c>
    </row>
    <row r="255">
      <c r="A255" s="6">
        <f>IF(原始資料!$A255="","",原始資料!$A255)</f>
        <v/>
      </c>
      <c r="B255" s="6">
        <f>IF(OR(原始資料!$A255="",1&gt;設定!$B$3,原始資料!D255=""),"",1)</f>
        <v/>
      </c>
      <c r="C255" s="6">
        <f>IF(OR(原始資料!$A255="",2&gt;設定!$B$3,原始資料!E255=""),"",IF(AND(原始資料!D255&lt;&gt;"",原始資料!E255=原始資料!D255),N(B255)+1,1))</f>
        <v/>
      </c>
      <c r="D255" s="6">
        <f>IF(OR(原始資料!$A255="",3&gt;設定!$B$3,原始資料!F255=""),"",IF(AND(原始資料!E255&lt;&gt;"",原始資料!F255=原始資料!E255),N(C255)+1,1))</f>
        <v/>
      </c>
      <c r="E255" s="6">
        <f>IF(OR(原始資料!$A255="",4&gt;設定!$B$3,原始資料!G255=""),"",IF(AND(原始資料!F255&lt;&gt;"",原始資料!G255=原始資料!F255),N(D255)+1,1))</f>
        <v/>
      </c>
      <c r="F255" s="6">
        <f>IF(OR(原始資料!$A255="",5&gt;設定!$B$3,原始資料!H255=""),"",IF(AND(原始資料!G255&lt;&gt;"",原始資料!H255=原始資料!G255),N(E255)+1,1))</f>
        <v/>
      </c>
      <c r="G255" s="6">
        <f>IF(OR(原始資料!$A255="",6&gt;設定!$B$3,原始資料!I255=""),"",IF(AND(原始資料!H255&lt;&gt;"",原始資料!I255=原始資料!H255),N(F255)+1,1))</f>
        <v/>
      </c>
      <c r="H255" s="6">
        <f>IF(OR(原始資料!$A255="",7&gt;設定!$B$3,原始資料!J255=""),"",IF(AND(原始資料!I255&lt;&gt;"",原始資料!J255=原始資料!I255),N(G255)+1,1))</f>
        <v/>
      </c>
      <c r="I255" s="6">
        <f>IF(OR(原始資料!$A255="",8&gt;設定!$B$3,原始資料!K255=""),"",IF(AND(原始資料!J255&lt;&gt;"",原始資料!K255=原始資料!J255),N(H255)+1,1))</f>
        <v/>
      </c>
      <c r="J255" s="6">
        <f>IF(OR(原始資料!$A255="",9&gt;設定!$B$3,原始資料!L255=""),"",IF(AND(原始資料!K255&lt;&gt;"",原始資料!L255=原始資料!K255),N(I255)+1,1))</f>
        <v/>
      </c>
      <c r="K255" s="6">
        <f>IF(OR(原始資料!$A255="",10&gt;設定!$B$3,原始資料!M255=""),"",IF(AND(原始資料!L255&lt;&gt;"",原始資料!M255=原始資料!L255),N(J255)+1,1))</f>
        <v/>
      </c>
      <c r="L255" s="6">
        <f>IF(OR(原始資料!$A255="",11&gt;設定!$B$3,原始資料!N255=""),"",IF(AND(原始資料!M255&lt;&gt;"",原始資料!N255=原始資料!M255),N(K255)+1,1))</f>
        <v/>
      </c>
      <c r="M255" s="6">
        <f>IF(OR(原始資料!$A255="",12&gt;設定!$B$3,原始資料!O255=""),"",IF(AND(原始資料!N255&lt;&gt;"",原始資料!O255=原始資料!N255),N(L255)+1,1))</f>
        <v/>
      </c>
      <c r="N255" s="6">
        <f>IF(OR(原始資料!$A255="",13&gt;設定!$B$3,原始資料!P255=""),"",IF(AND(原始資料!O255&lt;&gt;"",原始資料!P255=原始資料!O255),N(M255)+1,1))</f>
        <v/>
      </c>
      <c r="O255" s="6">
        <f>IF(OR(原始資料!$A255="",14&gt;設定!$B$3,原始資料!Q255=""),"",IF(AND(原始資料!P255&lt;&gt;"",原始資料!Q255=原始資料!P255),N(N255)+1,1))</f>
        <v/>
      </c>
      <c r="P255" s="6">
        <f>IF(OR(原始資料!$A255="",15&gt;設定!$B$3,原始資料!R255=""),"",IF(AND(原始資料!Q255&lt;&gt;"",原始資料!R255=原始資料!Q255),N(O255)+1,1))</f>
        <v/>
      </c>
      <c r="Q255" s="6">
        <f>IF(OR(原始資料!$A255="",16&gt;設定!$B$3,原始資料!S255=""),"",IF(AND(原始資料!R255&lt;&gt;"",原始資料!S255=原始資料!R255),N(P255)+1,1))</f>
        <v/>
      </c>
      <c r="R255" s="6">
        <f>IF(OR(原始資料!$A255="",17&gt;設定!$B$3,原始資料!T255=""),"",IF(AND(原始資料!S255&lt;&gt;"",原始資料!T255=原始資料!S255),N(Q255)+1,1))</f>
        <v/>
      </c>
      <c r="S255" s="6">
        <f>IF(OR(原始資料!$A255="",18&gt;設定!$B$3,原始資料!U255=""),"",IF(AND(原始資料!T255&lt;&gt;"",原始資料!U255=原始資料!T255),N(R255)+1,1))</f>
        <v/>
      </c>
      <c r="T255" s="6">
        <f>IF(OR(原始資料!$A255="",19&gt;設定!$B$3,原始資料!V255=""),"",IF(AND(原始資料!U255&lt;&gt;"",原始資料!V255=原始資料!U255),N(S255)+1,1))</f>
        <v/>
      </c>
      <c r="U255" s="6">
        <f>IF(OR(原始資料!$A255="",20&gt;設定!$B$3,原始資料!W255=""),"",IF(AND(原始資料!V255&lt;&gt;"",原始資料!W255=原始資料!V255),N(T255)+1,1))</f>
        <v/>
      </c>
      <c r="V255" s="6">
        <f>IF(OR(原始資料!$A255="",21&gt;設定!$B$3,原始資料!X255=""),"",IF(AND(原始資料!W255&lt;&gt;"",原始資料!X255=原始資料!W255),N(U255)+1,1))</f>
        <v/>
      </c>
      <c r="W255" s="6">
        <f>IF(OR(原始資料!$A255="",22&gt;設定!$B$3,原始資料!Y255=""),"",IF(AND(原始資料!X255&lt;&gt;"",原始資料!Y255=原始資料!X255),N(V255)+1,1))</f>
        <v/>
      </c>
      <c r="X255" s="6">
        <f>IF(OR(原始資料!$A255="",23&gt;設定!$B$3,原始資料!Z255=""),"",IF(AND(原始資料!Y255&lt;&gt;"",原始資料!Z255=原始資料!Y255),N(W255)+1,1))</f>
        <v/>
      </c>
      <c r="Y255" s="6">
        <f>IF(OR(原始資料!$A255="",24&gt;設定!$B$3,原始資料!AA255=""),"",IF(AND(原始資料!Z255&lt;&gt;"",原始資料!AA255=原始資料!Z255),N(X255)+1,1))</f>
        <v/>
      </c>
      <c r="Z255" s="6">
        <f>IF(OR(原始資料!$A255="",25&gt;設定!$B$3,原始資料!AB255=""),"",IF(AND(原始資料!AA255&lt;&gt;"",原始資料!AB255=原始資料!AA255),N(Y255)+1,1))</f>
        <v/>
      </c>
      <c r="AA255" s="6">
        <f>IF(OR(原始資料!$A255="",26&gt;設定!$B$3,原始資料!AC255=""),"",IF(AND(原始資料!AB255&lt;&gt;"",原始資料!AC255=原始資料!AB255),N(Z255)+1,1))</f>
        <v/>
      </c>
      <c r="AB255" s="6">
        <f>IF(OR(原始資料!$A255="",27&gt;設定!$B$3,原始資料!AD255=""),"",IF(AND(原始資料!AC255&lt;&gt;"",原始資料!AD255=原始資料!AC255),N(AA255)+1,1))</f>
        <v/>
      </c>
      <c r="AC255" s="6">
        <f>IF(OR(原始資料!$A255="",28&gt;設定!$B$3,原始資料!AE255=""),"",IF(AND(原始資料!AD255&lt;&gt;"",原始資料!AE255=原始資料!AD255),N(AB255)+1,1))</f>
        <v/>
      </c>
      <c r="AD255" s="6">
        <f>IF(OR(原始資料!$A255="",29&gt;設定!$B$3,原始資料!AF255=""),"",IF(AND(原始資料!AE255&lt;&gt;"",原始資料!AF255=原始資料!AE255),N(AC255)+1,1))</f>
        <v/>
      </c>
      <c r="AE255" s="6">
        <f>IF(OR(原始資料!$A255="",30&gt;設定!$B$3,原始資料!AG255=""),"",IF(AND(原始資料!AF255&lt;&gt;"",原始資料!AG255=原始資料!AF255),N(AD255)+1,1))</f>
        <v/>
      </c>
      <c r="AF255" s="6">
        <f>IF(OR(原始資料!$A255="",31&gt;設定!$B$3,原始資料!AH255=""),"",IF(AND(原始資料!AG255&lt;&gt;"",原始資料!AH255=原始資料!AG255),N(AE255)+1,1))</f>
        <v/>
      </c>
      <c r="AG255" s="6">
        <f>IF(OR(原始資料!$A255="",32&gt;設定!$B$3,原始資料!AI255=""),"",IF(AND(原始資料!AH255&lt;&gt;"",原始資料!AI255=原始資料!AH255),N(AF255)+1,1))</f>
        <v/>
      </c>
      <c r="AH255" s="6">
        <f>IF(OR(原始資料!$A255="",33&gt;設定!$B$3,原始資料!AJ255=""),"",IF(AND(原始資料!AI255&lt;&gt;"",原始資料!AJ255=原始資料!AI255),N(AG255)+1,1))</f>
        <v/>
      </c>
      <c r="AI255" s="6">
        <f>IF(OR(原始資料!$A255="",34&gt;設定!$B$3,原始資料!AK255=""),"",IF(AND(原始資料!AJ255&lt;&gt;"",原始資料!AK255=原始資料!AJ255),N(AH255)+1,1))</f>
        <v/>
      </c>
      <c r="AJ255" s="6">
        <f>IF(OR(原始資料!$A255="",35&gt;設定!$B$3,原始資料!AL255=""),"",IF(AND(原始資料!AK255&lt;&gt;"",原始資料!AL255=原始資料!AK255),N(AI255)+1,1))</f>
        <v/>
      </c>
      <c r="AK255" s="6">
        <f>IF(OR(原始資料!$A255="",36&gt;設定!$B$3,原始資料!AM255=""),"",IF(AND(原始資料!AL255&lt;&gt;"",原始資料!AM255=原始資料!AL255),N(AJ255)+1,1))</f>
        <v/>
      </c>
      <c r="AL255" s="6">
        <f>IF(OR(原始資料!$A255="",37&gt;設定!$B$3,原始資料!AN255=""),"",IF(AND(原始資料!AM255&lt;&gt;"",原始資料!AN255=原始資料!AM255),N(AK255)+1,1))</f>
        <v/>
      </c>
      <c r="AM255" s="6">
        <f>IF(OR(原始資料!$A255="",38&gt;設定!$B$3,原始資料!AO255=""),"",IF(AND(原始資料!AN255&lt;&gt;"",原始資料!AO255=原始資料!AN255),N(AL255)+1,1))</f>
        <v/>
      </c>
      <c r="AN255" s="6">
        <f>IF(OR(原始資料!$A255="",39&gt;設定!$B$3,原始資料!AP255=""),"",IF(AND(原始資料!AO255&lt;&gt;"",原始資料!AP255=原始資料!AO255),N(AM255)+1,1))</f>
        <v/>
      </c>
      <c r="AO255" s="6">
        <f>IF(OR(原始資料!$A255="",40&gt;設定!$B$3,原始資料!AQ255=""),"",IF(AND(原始資料!AP255&lt;&gt;"",原始資料!AQ255=原始資料!AP255),N(AN255)+1,1))</f>
        <v/>
      </c>
      <c r="AP255" s="6">
        <f>IF(OR(原始資料!$A255="",41&gt;設定!$B$3,原始資料!AR255=""),"",IF(AND(原始資料!AQ255&lt;&gt;"",原始資料!AR255=原始資料!AQ255),N(AO255)+1,1))</f>
        <v/>
      </c>
      <c r="AQ255" s="6">
        <f>IF(OR(原始資料!$A255="",42&gt;設定!$B$3,原始資料!AS255=""),"",IF(AND(原始資料!AR255&lt;&gt;"",原始資料!AS255=原始資料!AR255),N(AP255)+1,1))</f>
        <v/>
      </c>
      <c r="AR255" s="6">
        <f>IF(OR(原始資料!$A255="",43&gt;設定!$B$3,原始資料!AT255=""),"",IF(AND(原始資料!AS255&lt;&gt;"",原始資料!AT255=原始資料!AS255),N(AQ255)+1,1))</f>
        <v/>
      </c>
      <c r="AS255" s="6">
        <f>IF(OR(原始資料!$A255="",44&gt;設定!$B$3,原始資料!AU255=""),"",IF(AND(原始資料!AT255&lt;&gt;"",原始資料!AU255=原始資料!AT255),N(AR255)+1,1))</f>
        <v/>
      </c>
      <c r="AT255" s="6">
        <f>IF(OR(原始資料!$A255="",45&gt;設定!$B$3,原始資料!AV255=""),"",IF(AND(原始資料!AU255&lt;&gt;"",原始資料!AV255=原始資料!AU255),N(AS255)+1,1))</f>
        <v/>
      </c>
      <c r="AU255" s="6">
        <f>IF(OR(原始資料!$A255="",46&gt;設定!$B$3,原始資料!AW255=""),"",IF(AND(原始資料!AV255&lt;&gt;"",原始資料!AW255=原始資料!AV255),N(AT255)+1,1))</f>
        <v/>
      </c>
      <c r="AV255" s="6">
        <f>IF(OR(原始資料!$A255="",47&gt;設定!$B$3,原始資料!AX255=""),"",IF(AND(原始資料!AW255&lt;&gt;"",原始資料!AX255=原始資料!AW255),N(AU255)+1,1))</f>
        <v/>
      </c>
      <c r="AW255" s="6">
        <f>IF(OR(原始資料!$A255="",48&gt;設定!$B$3,原始資料!AY255=""),"",IF(AND(原始資料!AX255&lt;&gt;"",原始資料!AY255=原始資料!AX255),N(AV255)+1,1))</f>
        <v/>
      </c>
      <c r="AX255" s="6">
        <f>IF(OR(原始資料!$A255="",49&gt;設定!$B$3,原始資料!AZ255=""),"",IF(AND(原始資料!AY255&lt;&gt;"",原始資料!AZ255=原始資料!AY255),N(AW255)+1,1))</f>
        <v/>
      </c>
      <c r="AY255" s="6">
        <f>IF(OR(原始資料!$A255="",50&gt;設定!$B$3,原始資料!BA255=""),"",IF(AND(原始資料!AZ255&lt;&gt;"",原始資料!BA255=原始資料!AZ255),N(AX255)+1,1))</f>
        <v/>
      </c>
      <c r="AZ255" s="6">
        <f>IF(OR(原始資料!$A255="",51&gt;設定!$B$3,原始資料!BB255=""),"",IF(AND(原始資料!BA255&lt;&gt;"",原始資料!BB255=原始資料!BA255),N(AY255)+1,1))</f>
        <v/>
      </c>
      <c r="BA255" s="6">
        <f>IF(OR(原始資料!$A255="",52&gt;設定!$B$3,原始資料!BC255=""),"",IF(AND(原始資料!BB255&lt;&gt;"",原始資料!BC255=原始資料!BB255),N(AZ255)+1,1))</f>
        <v/>
      </c>
      <c r="BB255" s="6">
        <f>IF(OR(原始資料!$A255="",53&gt;設定!$B$3,原始資料!BD255=""),"",IF(AND(原始資料!BC255&lt;&gt;"",原始資料!BD255=原始資料!BC255),N(BA255)+1,1))</f>
        <v/>
      </c>
      <c r="BC255" s="6">
        <f>IF(OR(原始資料!$A255="",54&gt;設定!$B$3,原始資料!BE255=""),"",IF(AND(原始資料!BD255&lt;&gt;"",原始資料!BE255=原始資料!BD255),N(BB255)+1,1))</f>
        <v/>
      </c>
      <c r="BD255" s="6">
        <f>IF(OR(原始資料!$A255="",55&gt;設定!$B$3,原始資料!BF255=""),"",IF(AND(原始資料!BE255&lt;&gt;"",原始資料!BF255=原始資料!BE255),N(BC255)+1,1))</f>
        <v/>
      </c>
      <c r="BE255" s="6">
        <f>IF(OR(原始資料!$A255="",56&gt;設定!$B$3,原始資料!BG255=""),"",IF(AND(原始資料!BF255&lt;&gt;"",原始資料!BG255=原始資料!BF255),N(BD255)+1,1))</f>
        <v/>
      </c>
      <c r="BF255" s="6">
        <f>IF(OR(原始資料!$A255="",57&gt;設定!$B$3,原始資料!BH255=""),"",IF(AND(原始資料!BG255&lt;&gt;"",原始資料!BH255=原始資料!BG255),N(BE255)+1,1))</f>
        <v/>
      </c>
      <c r="BG255" s="6">
        <f>IF(OR(原始資料!$A255="",58&gt;設定!$B$3,原始資料!BI255=""),"",IF(AND(原始資料!BH255&lt;&gt;"",原始資料!BI255=原始資料!BH255),N(BF255)+1,1))</f>
        <v/>
      </c>
      <c r="BH255" s="6">
        <f>IF(OR(原始資料!$A255="",59&gt;設定!$B$3,原始資料!BJ255=""),"",IF(AND(原始資料!BI255&lt;&gt;"",原始資料!BJ255=原始資料!BI255),N(BG255)+1,1))</f>
        <v/>
      </c>
      <c r="BI255" s="6">
        <f>IF(OR(原始資料!$A255="",60&gt;設定!$B$3,原始資料!BK255=""),"",IF(AND(原始資料!BJ255&lt;&gt;"",原始資料!BK255=原始資料!BJ255),N(BH255)+1,1))</f>
        <v/>
      </c>
    </row>
    <row r="256">
      <c r="A256" s="6">
        <f>IF(原始資料!$A256="","",原始資料!$A256)</f>
        <v/>
      </c>
      <c r="B256" s="6">
        <f>IF(OR(原始資料!$A256="",1&gt;設定!$B$3,原始資料!D256=""),"",1)</f>
        <v/>
      </c>
      <c r="C256" s="6">
        <f>IF(OR(原始資料!$A256="",2&gt;設定!$B$3,原始資料!E256=""),"",IF(AND(原始資料!D256&lt;&gt;"",原始資料!E256=原始資料!D256),N(B256)+1,1))</f>
        <v/>
      </c>
      <c r="D256" s="6">
        <f>IF(OR(原始資料!$A256="",3&gt;設定!$B$3,原始資料!F256=""),"",IF(AND(原始資料!E256&lt;&gt;"",原始資料!F256=原始資料!E256),N(C256)+1,1))</f>
        <v/>
      </c>
      <c r="E256" s="6">
        <f>IF(OR(原始資料!$A256="",4&gt;設定!$B$3,原始資料!G256=""),"",IF(AND(原始資料!F256&lt;&gt;"",原始資料!G256=原始資料!F256),N(D256)+1,1))</f>
        <v/>
      </c>
      <c r="F256" s="6">
        <f>IF(OR(原始資料!$A256="",5&gt;設定!$B$3,原始資料!H256=""),"",IF(AND(原始資料!G256&lt;&gt;"",原始資料!H256=原始資料!G256),N(E256)+1,1))</f>
        <v/>
      </c>
      <c r="G256" s="6">
        <f>IF(OR(原始資料!$A256="",6&gt;設定!$B$3,原始資料!I256=""),"",IF(AND(原始資料!H256&lt;&gt;"",原始資料!I256=原始資料!H256),N(F256)+1,1))</f>
        <v/>
      </c>
      <c r="H256" s="6">
        <f>IF(OR(原始資料!$A256="",7&gt;設定!$B$3,原始資料!J256=""),"",IF(AND(原始資料!I256&lt;&gt;"",原始資料!J256=原始資料!I256),N(G256)+1,1))</f>
        <v/>
      </c>
      <c r="I256" s="6">
        <f>IF(OR(原始資料!$A256="",8&gt;設定!$B$3,原始資料!K256=""),"",IF(AND(原始資料!J256&lt;&gt;"",原始資料!K256=原始資料!J256),N(H256)+1,1))</f>
        <v/>
      </c>
      <c r="J256" s="6">
        <f>IF(OR(原始資料!$A256="",9&gt;設定!$B$3,原始資料!L256=""),"",IF(AND(原始資料!K256&lt;&gt;"",原始資料!L256=原始資料!K256),N(I256)+1,1))</f>
        <v/>
      </c>
      <c r="K256" s="6">
        <f>IF(OR(原始資料!$A256="",10&gt;設定!$B$3,原始資料!M256=""),"",IF(AND(原始資料!L256&lt;&gt;"",原始資料!M256=原始資料!L256),N(J256)+1,1))</f>
        <v/>
      </c>
      <c r="L256" s="6">
        <f>IF(OR(原始資料!$A256="",11&gt;設定!$B$3,原始資料!N256=""),"",IF(AND(原始資料!M256&lt;&gt;"",原始資料!N256=原始資料!M256),N(K256)+1,1))</f>
        <v/>
      </c>
      <c r="M256" s="6">
        <f>IF(OR(原始資料!$A256="",12&gt;設定!$B$3,原始資料!O256=""),"",IF(AND(原始資料!N256&lt;&gt;"",原始資料!O256=原始資料!N256),N(L256)+1,1))</f>
        <v/>
      </c>
      <c r="N256" s="6">
        <f>IF(OR(原始資料!$A256="",13&gt;設定!$B$3,原始資料!P256=""),"",IF(AND(原始資料!O256&lt;&gt;"",原始資料!P256=原始資料!O256),N(M256)+1,1))</f>
        <v/>
      </c>
      <c r="O256" s="6">
        <f>IF(OR(原始資料!$A256="",14&gt;設定!$B$3,原始資料!Q256=""),"",IF(AND(原始資料!P256&lt;&gt;"",原始資料!Q256=原始資料!P256),N(N256)+1,1))</f>
        <v/>
      </c>
      <c r="P256" s="6">
        <f>IF(OR(原始資料!$A256="",15&gt;設定!$B$3,原始資料!R256=""),"",IF(AND(原始資料!Q256&lt;&gt;"",原始資料!R256=原始資料!Q256),N(O256)+1,1))</f>
        <v/>
      </c>
      <c r="Q256" s="6">
        <f>IF(OR(原始資料!$A256="",16&gt;設定!$B$3,原始資料!S256=""),"",IF(AND(原始資料!R256&lt;&gt;"",原始資料!S256=原始資料!R256),N(P256)+1,1))</f>
        <v/>
      </c>
      <c r="R256" s="6">
        <f>IF(OR(原始資料!$A256="",17&gt;設定!$B$3,原始資料!T256=""),"",IF(AND(原始資料!S256&lt;&gt;"",原始資料!T256=原始資料!S256),N(Q256)+1,1))</f>
        <v/>
      </c>
      <c r="S256" s="6">
        <f>IF(OR(原始資料!$A256="",18&gt;設定!$B$3,原始資料!U256=""),"",IF(AND(原始資料!T256&lt;&gt;"",原始資料!U256=原始資料!T256),N(R256)+1,1))</f>
        <v/>
      </c>
      <c r="T256" s="6">
        <f>IF(OR(原始資料!$A256="",19&gt;設定!$B$3,原始資料!V256=""),"",IF(AND(原始資料!U256&lt;&gt;"",原始資料!V256=原始資料!U256),N(S256)+1,1))</f>
        <v/>
      </c>
      <c r="U256" s="6">
        <f>IF(OR(原始資料!$A256="",20&gt;設定!$B$3,原始資料!W256=""),"",IF(AND(原始資料!V256&lt;&gt;"",原始資料!W256=原始資料!V256),N(T256)+1,1))</f>
        <v/>
      </c>
      <c r="V256" s="6">
        <f>IF(OR(原始資料!$A256="",21&gt;設定!$B$3,原始資料!X256=""),"",IF(AND(原始資料!W256&lt;&gt;"",原始資料!X256=原始資料!W256),N(U256)+1,1))</f>
        <v/>
      </c>
      <c r="W256" s="6">
        <f>IF(OR(原始資料!$A256="",22&gt;設定!$B$3,原始資料!Y256=""),"",IF(AND(原始資料!X256&lt;&gt;"",原始資料!Y256=原始資料!X256),N(V256)+1,1))</f>
        <v/>
      </c>
      <c r="X256" s="6">
        <f>IF(OR(原始資料!$A256="",23&gt;設定!$B$3,原始資料!Z256=""),"",IF(AND(原始資料!Y256&lt;&gt;"",原始資料!Z256=原始資料!Y256),N(W256)+1,1))</f>
        <v/>
      </c>
      <c r="Y256" s="6">
        <f>IF(OR(原始資料!$A256="",24&gt;設定!$B$3,原始資料!AA256=""),"",IF(AND(原始資料!Z256&lt;&gt;"",原始資料!AA256=原始資料!Z256),N(X256)+1,1))</f>
        <v/>
      </c>
      <c r="Z256" s="6">
        <f>IF(OR(原始資料!$A256="",25&gt;設定!$B$3,原始資料!AB256=""),"",IF(AND(原始資料!AA256&lt;&gt;"",原始資料!AB256=原始資料!AA256),N(Y256)+1,1))</f>
        <v/>
      </c>
      <c r="AA256" s="6">
        <f>IF(OR(原始資料!$A256="",26&gt;設定!$B$3,原始資料!AC256=""),"",IF(AND(原始資料!AB256&lt;&gt;"",原始資料!AC256=原始資料!AB256),N(Z256)+1,1))</f>
        <v/>
      </c>
      <c r="AB256" s="6">
        <f>IF(OR(原始資料!$A256="",27&gt;設定!$B$3,原始資料!AD256=""),"",IF(AND(原始資料!AC256&lt;&gt;"",原始資料!AD256=原始資料!AC256),N(AA256)+1,1))</f>
        <v/>
      </c>
      <c r="AC256" s="6">
        <f>IF(OR(原始資料!$A256="",28&gt;設定!$B$3,原始資料!AE256=""),"",IF(AND(原始資料!AD256&lt;&gt;"",原始資料!AE256=原始資料!AD256),N(AB256)+1,1))</f>
        <v/>
      </c>
      <c r="AD256" s="6">
        <f>IF(OR(原始資料!$A256="",29&gt;設定!$B$3,原始資料!AF256=""),"",IF(AND(原始資料!AE256&lt;&gt;"",原始資料!AF256=原始資料!AE256),N(AC256)+1,1))</f>
        <v/>
      </c>
      <c r="AE256" s="6">
        <f>IF(OR(原始資料!$A256="",30&gt;設定!$B$3,原始資料!AG256=""),"",IF(AND(原始資料!AF256&lt;&gt;"",原始資料!AG256=原始資料!AF256),N(AD256)+1,1))</f>
        <v/>
      </c>
      <c r="AF256" s="6">
        <f>IF(OR(原始資料!$A256="",31&gt;設定!$B$3,原始資料!AH256=""),"",IF(AND(原始資料!AG256&lt;&gt;"",原始資料!AH256=原始資料!AG256),N(AE256)+1,1))</f>
        <v/>
      </c>
      <c r="AG256" s="6">
        <f>IF(OR(原始資料!$A256="",32&gt;設定!$B$3,原始資料!AI256=""),"",IF(AND(原始資料!AH256&lt;&gt;"",原始資料!AI256=原始資料!AH256),N(AF256)+1,1))</f>
        <v/>
      </c>
      <c r="AH256" s="6">
        <f>IF(OR(原始資料!$A256="",33&gt;設定!$B$3,原始資料!AJ256=""),"",IF(AND(原始資料!AI256&lt;&gt;"",原始資料!AJ256=原始資料!AI256),N(AG256)+1,1))</f>
        <v/>
      </c>
      <c r="AI256" s="6">
        <f>IF(OR(原始資料!$A256="",34&gt;設定!$B$3,原始資料!AK256=""),"",IF(AND(原始資料!AJ256&lt;&gt;"",原始資料!AK256=原始資料!AJ256),N(AH256)+1,1))</f>
        <v/>
      </c>
      <c r="AJ256" s="6">
        <f>IF(OR(原始資料!$A256="",35&gt;設定!$B$3,原始資料!AL256=""),"",IF(AND(原始資料!AK256&lt;&gt;"",原始資料!AL256=原始資料!AK256),N(AI256)+1,1))</f>
        <v/>
      </c>
      <c r="AK256" s="6">
        <f>IF(OR(原始資料!$A256="",36&gt;設定!$B$3,原始資料!AM256=""),"",IF(AND(原始資料!AL256&lt;&gt;"",原始資料!AM256=原始資料!AL256),N(AJ256)+1,1))</f>
        <v/>
      </c>
      <c r="AL256" s="6">
        <f>IF(OR(原始資料!$A256="",37&gt;設定!$B$3,原始資料!AN256=""),"",IF(AND(原始資料!AM256&lt;&gt;"",原始資料!AN256=原始資料!AM256),N(AK256)+1,1))</f>
        <v/>
      </c>
      <c r="AM256" s="6">
        <f>IF(OR(原始資料!$A256="",38&gt;設定!$B$3,原始資料!AO256=""),"",IF(AND(原始資料!AN256&lt;&gt;"",原始資料!AO256=原始資料!AN256),N(AL256)+1,1))</f>
        <v/>
      </c>
      <c r="AN256" s="6">
        <f>IF(OR(原始資料!$A256="",39&gt;設定!$B$3,原始資料!AP256=""),"",IF(AND(原始資料!AO256&lt;&gt;"",原始資料!AP256=原始資料!AO256),N(AM256)+1,1))</f>
        <v/>
      </c>
      <c r="AO256" s="6">
        <f>IF(OR(原始資料!$A256="",40&gt;設定!$B$3,原始資料!AQ256=""),"",IF(AND(原始資料!AP256&lt;&gt;"",原始資料!AQ256=原始資料!AP256),N(AN256)+1,1))</f>
        <v/>
      </c>
      <c r="AP256" s="6">
        <f>IF(OR(原始資料!$A256="",41&gt;設定!$B$3,原始資料!AR256=""),"",IF(AND(原始資料!AQ256&lt;&gt;"",原始資料!AR256=原始資料!AQ256),N(AO256)+1,1))</f>
        <v/>
      </c>
      <c r="AQ256" s="6">
        <f>IF(OR(原始資料!$A256="",42&gt;設定!$B$3,原始資料!AS256=""),"",IF(AND(原始資料!AR256&lt;&gt;"",原始資料!AS256=原始資料!AR256),N(AP256)+1,1))</f>
        <v/>
      </c>
      <c r="AR256" s="6">
        <f>IF(OR(原始資料!$A256="",43&gt;設定!$B$3,原始資料!AT256=""),"",IF(AND(原始資料!AS256&lt;&gt;"",原始資料!AT256=原始資料!AS256),N(AQ256)+1,1))</f>
        <v/>
      </c>
      <c r="AS256" s="6">
        <f>IF(OR(原始資料!$A256="",44&gt;設定!$B$3,原始資料!AU256=""),"",IF(AND(原始資料!AT256&lt;&gt;"",原始資料!AU256=原始資料!AT256),N(AR256)+1,1))</f>
        <v/>
      </c>
      <c r="AT256" s="6">
        <f>IF(OR(原始資料!$A256="",45&gt;設定!$B$3,原始資料!AV256=""),"",IF(AND(原始資料!AU256&lt;&gt;"",原始資料!AV256=原始資料!AU256),N(AS256)+1,1))</f>
        <v/>
      </c>
      <c r="AU256" s="6">
        <f>IF(OR(原始資料!$A256="",46&gt;設定!$B$3,原始資料!AW256=""),"",IF(AND(原始資料!AV256&lt;&gt;"",原始資料!AW256=原始資料!AV256),N(AT256)+1,1))</f>
        <v/>
      </c>
      <c r="AV256" s="6">
        <f>IF(OR(原始資料!$A256="",47&gt;設定!$B$3,原始資料!AX256=""),"",IF(AND(原始資料!AW256&lt;&gt;"",原始資料!AX256=原始資料!AW256),N(AU256)+1,1))</f>
        <v/>
      </c>
      <c r="AW256" s="6">
        <f>IF(OR(原始資料!$A256="",48&gt;設定!$B$3,原始資料!AY256=""),"",IF(AND(原始資料!AX256&lt;&gt;"",原始資料!AY256=原始資料!AX256),N(AV256)+1,1))</f>
        <v/>
      </c>
      <c r="AX256" s="6">
        <f>IF(OR(原始資料!$A256="",49&gt;設定!$B$3,原始資料!AZ256=""),"",IF(AND(原始資料!AY256&lt;&gt;"",原始資料!AZ256=原始資料!AY256),N(AW256)+1,1))</f>
        <v/>
      </c>
      <c r="AY256" s="6">
        <f>IF(OR(原始資料!$A256="",50&gt;設定!$B$3,原始資料!BA256=""),"",IF(AND(原始資料!AZ256&lt;&gt;"",原始資料!BA256=原始資料!AZ256),N(AX256)+1,1))</f>
        <v/>
      </c>
      <c r="AZ256" s="6">
        <f>IF(OR(原始資料!$A256="",51&gt;設定!$B$3,原始資料!BB256=""),"",IF(AND(原始資料!BA256&lt;&gt;"",原始資料!BB256=原始資料!BA256),N(AY256)+1,1))</f>
        <v/>
      </c>
      <c r="BA256" s="6">
        <f>IF(OR(原始資料!$A256="",52&gt;設定!$B$3,原始資料!BC256=""),"",IF(AND(原始資料!BB256&lt;&gt;"",原始資料!BC256=原始資料!BB256),N(AZ256)+1,1))</f>
        <v/>
      </c>
      <c r="BB256" s="6">
        <f>IF(OR(原始資料!$A256="",53&gt;設定!$B$3,原始資料!BD256=""),"",IF(AND(原始資料!BC256&lt;&gt;"",原始資料!BD256=原始資料!BC256),N(BA256)+1,1))</f>
        <v/>
      </c>
      <c r="BC256" s="6">
        <f>IF(OR(原始資料!$A256="",54&gt;設定!$B$3,原始資料!BE256=""),"",IF(AND(原始資料!BD256&lt;&gt;"",原始資料!BE256=原始資料!BD256),N(BB256)+1,1))</f>
        <v/>
      </c>
      <c r="BD256" s="6">
        <f>IF(OR(原始資料!$A256="",55&gt;設定!$B$3,原始資料!BF256=""),"",IF(AND(原始資料!BE256&lt;&gt;"",原始資料!BF256=原始資料!BE256),N(BC256)+1,1))</f>
        <v/>
      </c>
      <c r="BE256" s="6">
        <f>IF(OR(原始資料!$A256="",56&gt;設定!$B$3,原始資料!BG256=""),"",IF(AND(原始資料!BF256&lt;&gt;"",原始資料!BG256=原始資料!BF256),N(BD256)+1,1))</f>
        <v/>
      </c>
      <c r="BF256" s="6">
        <f>IF(OR(原始資料!$A256="",57&gt;設定!$B$3,原始資料!BH256=""),"",IF(AND(原始資料!BG256&lt;&gt;"",原始資料!BH256=原始資料!BG256),N(BE256)+1,1))</f>
        <v/>
      </c>
      <c r="BG256" s="6">
        <f>IF(OR(原始資料!$A256="",58&gt;設定!$B$3,原始資料!BI256=""),"",IF(AND(原始資料!BH256&lt;&gt;"",原始資料!BI256=原始資料!BH256),N(BF256)+1,1))</f>
        <v/>
      </c>
      <c r="BH256" s="6">
        <f>IF(OR(原始資料!$A256="",59&gt;設定!$B$3,原始資料!BJ256=""),"",IF(AND(原始資料!BI256&lt;&gt;"",原始資料!BJ256=原始資料!BI256),N(BG256)+1,1))</f>
        <v/>
      </c>
      <c r="BI256" s="6">
        <f>IF(OR(原始資料!$A256="",60&gt;設定!$B$3,原始資料!BK256=""),"",IF(AND(原始資料!BJ256&lt;&gt;"",原始資料!BK256=原始資料!BJ256),N(BH256)+1,1))</f>
        <v/>
      </c>
    </row>
    <row r="257">
      <c r="A257" s="6">
        <f>IF(原始資料!$A257="","",原始資料!$A257)</f>
        <v/>
      </c>
      <c r="B257" s="6">
        <f>IF(OR(原始資料!$A257="",1&gt;設定!$B$3,原始資料!D257=""),"",1)</f>
        <v/>
      </c>
      <c r="C257" s="6">
        <f>IF(OR(原始資料!$A257="",2&gt;設定!$B$3,原始資料!E257=""),"",IF(AND(原始資料!D257&lt;&gt;"",原始資料!E257=原始資料!D257),N(B257)+1,1))</f>
        <v/>
      </c>
      <c r="D257" s="6">
        <f>IF(OR(原始資料!$A257="",3&gt;設定!$B$3,原始資料!F257=""),"",IF(AND(原始資料!E257&lt;&gt;"",原始資料!F257=原始資料!E257),N(C257)+1,1))</f>
        <v/>
      </c>
      <c r="E257" s="6">
        <f>IF(OR(原始資料!$A257="",4&gt;設定!$B$3,原始資料!G257=""),"",IF(AND(原始資料!F257&lt;&gt;"",原始資料!G257=原始資料!F257),N(D257)+1,1))</f>
        <v/>
      </c>
      <c r="F257" s="6">
        <f>IF(OR(原始資料!$A257="",5&gt;設定!$B$3,原始資料!H257=""),"",IF(AND(原始資料!G257&lt;&gt;"",原始資料!H257=原始資料!G257),N(E257)+1,1))</f>
        <v/>
      </c>
      <c r="G257" s="6">
        <f>IF(OR(原始資料!$A257="",6&gt;設定!$B$3,原始資料!I257=""),"",IF(AND(原始資料!H257&lt;&gt;"",原始資料!I257=原始資料!H257),N(F257)+1,1))</f>
        <v/>
      </c>
      <c r="H257" s="6">
        <f>IF(OR(原始資料!$A257="",7&gt;設定!$B$3,原始資料!J257=""),"",IF(AND(原始資料!I257&lt;&gt;"",原始資料!J257=原始資料!I257),N(G257)+1,1))</f>
        <v/>
      </c>
      <c r="I257" s="6">
        <f>IF(OR(原始資料!$A257="",8&gt;設定!$B$3,原始資料!K257=""),"",IF(AND(原始資料!J257&lt;&gt;"",原始資料!K257=原始資料!J257),N(H257)+1,1))</f>
        <v/>
      </c>
      <c r="J257" s="6">
        <f>IF(OR(原始資料!$A257="",9&gt;設定!$B$3,原始資料!L257=""),"",IF(AND(原始資料!K257&lt;&gt;"",原始資料!L257=原始資料!K257),N(I257)+1,1))</f>
        <v/>
      </c>
      <c r="K257" s="6">
        <f>IF(OR(原始資料!$A257="",10&gt;設定!$B$3,原始資料!M257=""),"",IF(AND(原始資料!L257&lt;&gt;"",原始資料!M257=原始資料!L257),N(J257)+1,1))</f>
        <v/>
      </c>
      <c r="L257" s="6">
        <f>IF(OR(原始資料!$A257="",11&gt;設定!$B$3,原始資料!N257=""),"",IF(AND(原始資料!M257&lt;&gt;"",原始資料!N257=原始資料!M257),N(K257)+1,1))</f>
        <v/>
      </c>
      <c r="M257" s="6">
        <f>IF(OR(原始資料!$A257="",12&gt;設定!$B$3,原始資料!O257=""),"",IF(AND(原始資料!N257&lt;&gt;"",原始資料!O257=原始資料!N257),N(L257)+1,1))</f>
        <v/>
      </c>
      <c r="N257" s="6">
        <f>IF(OR(原始資料!$A257="",13&gt;設定!$B$3,原始資料!P257=""),"",IF(AND(原始資料!O257&lt;&gt;"",原始資料!P257=原始資料!O257),N(M257)+1,1))</f>
        <v/>
      </c>
      <c r="O257" s="6">
        <f>IF(OR(原始資料!$A257="",14&gt;設定!$B$3,原始資料!Q257=""),"",IF(AND(原始資料!P257&lt;&gt;"",原始資料!Q257=原始資料!P257),N(N257)+1,1))</f>
        <v/>
      </c>
      <c r="P257" s="6">
        <f>IF(OR(原始資料!$A257="",15&gt;設定!$B$3,原始資料!R257=""),"",IF(AND(原始資料!Q257&lt;&gt;"",原始資料!R257=原始資料!Q257),N(O257)+1,1))</f>
        <v/>
      </c>
      <c r="Q257" s="6">
        <f>IF(OR(原始資料!$A257="",16&gt;設定!$B$3,原始資料!S257=""),"",IF(AND(原始資料!R257&lt;&gt;"",原始資料!S257=原始資料!R257),N(P257)+1,1))</f>
        <v/>
      </c>
      <c r="R257" s="6">
        <f>IF(OR(原始資料!$A257="",17&gt;設定!$B$3,原始資料!T257=""),"",IF(AND(原始資料!S257&lt;&gt;"",原始資料!T257=原始資料!S257),N(Q257)+1,1))</f>
        <v/>
      </c>
      <c r="S257" s="6">
        <f>IF(OR(原始資料!$A257="",18&gt;設定!$B$3,原始資料!U257=""),"",IF(AND(原始資料!T257&lt;&gt;"",原始資料!U257=原始資料!T257),N(R257)+1,1))</f>
        <v/>
      </c>
      <c r="T257" s="6">
        <f>IF(OR(原始資料!$A257="",19&gt;設定!$B$3,原始資料!V257=""),"",IF(AND(原始資料!U257&lt;&gt;"",原始資料!V257=原始資料!U257),N(S257)+1,1))</f>
        <v/>
      </c>
      <c r="U257" s="6">
        <f>IF(OR(原始資料!$A257="",20&gt;設定!$B$3,原始資料!W257=""),"",IF(AND(原始資料!V257&lt;&gt;"",原始資料!W257=原始資料!V257),N(T257)+1,1))</f>
        <v/>
      </c>
      <c r="V257" s="6">
        <f>IF(OR(原始資料!$A257="",21&gt;設定!$B$3,原始資料!X257=""),"",IF(AND(原始資料!W257&lt;&gt;"",原始資料!X257=原始資料!W257),N(U257)+1,1))</f>
        <v/>
      </c>
      <c r="W257" s="6">
        <f>IF(OR(原始資料!$A257="",22&gt;設定!$B$3,原始資料!Y257=""),"",IF(AND(原始資料!X257&lt;&gt;"",原始資料!Y257=原始資料!X257),N(V257)+1,1))</f>
        <v/>
      </c>
      <c r="X257" s="6">
        <f>IF(OR(原始資料!$A257="",23&gt;設定!$B$3,原始資料!Z257=""),"",IF(AND(原始資料!Y257&lt;&gt;"",原始資料!Z257=原始資料!Y257),N(W257)+1,1))</f>
        <v/>
      </c>
      <c r="Y257" s="6">
        <f>IF(OR(原始資料!$A257="",24&gt;設定!$B$3,原始資料!AA257=""),"",IF(AND(原始資料!Z257&lt;&gt;"",原始資料!AA257=原始資料!Z257),N(X257)+1,1))</f>
        <v/>
      </c>
      <c r="Z257" s="6">
        <f>IF(OR(原始資料!$A257="",25&gt;設定!$B$3,原始資料!AB257=""),"",IF(AND(原始資料!AA257&lt;&gt;"",原始資料!AB257=原始資料!AA257),N(Y257)+1,1))</f>
        <v/>
      </c>
      <c r="AA257" s="6">
        <f>IF(OR(原始資料!$A257="",26&gt;設定!$B$3,原始資料!AC257=""),"",IF(AND(原始資料!AB257&lt;&gt;"",原始資料!AC257=原始資料!AB257),N(Z257)+1,1))</f>
        <v/>
      </c>
      <c r="AB257" s="6">
        <f>IF(OR(原始資料!$A257="",27&gt;設定!$B$3,原始資料!AD257=""),"",IF(AND(原始資料!AC257&lt;&gt;"",原始資料!AD257=原始資料!AC257),N(AA257)+1,1))</f>
        <v/>
      </c>
      <c r="AC257" s="6">
        <f>IF(OR(原始資料!$A257="",28&gt;設定!$B$3,原始資料!AE257=""),"",IF(AND(原始資料!AD257&lt;&gt;"",原始資料!AE257=原始資料!AD257),N(AB257)+1,1))</f>
        <v/>
      </c>
      <c r="AD257" s="6">
        <f>IF(OR(原始資料!$A257="",29&gt;設定!$B$3,原始資料!AF257=""),"",IF(AND(原始資料!AE257&lt;&gt;"",原始資料!AF257=原始資料!AE257),N(AC257)+1,1))</f>
        <v/>
      </c>
      <c r="AE257" s="6">
        <f>IF(OR(原始資料!$A257="",30&gt;設定!$B$3,原始資料!AG257=""),"",IF(AND(原始資料!AF257&lt;&gt;"",原始資料!AG257=原始資料!AF257),N(AD257)+1,1))</f>
        <v/>
      </c>
      <c r="AF257" s="6">
        <f>IF(OR(原始資料!$A257="",31&gt;設定!$B$3,原始資料!AH257=""),"",IF(AND(原始資料!AG257&lt;&gt;"",原始資料!AH257=原始資料!AG257),N(AE257)+1,1))</f>
        <v/>
      </c>
      <c r="AG257" s="6">
        <f>IF(OR(原始資料!$A257="",32&gt;設定!$B$3,原始資料!AI257=""),"",IF(AND(原始資料!AH257&lt;&gt;"",原始資料!AI257=原始資料!AH257),N(AF257)+1,1))</f>
        <v/>
      </c>
      <c r="AH257" s="6">
        <f>IF(OR(原始資料!$A257="",33&gt;設定!$B$3,原始資料!AJ257=""),"",IF(AND(原始資料!AI257&lt;&gt;"",原始資料!AJ257=原始資料!AI257),N(AG257)+1,1))</f>
        <v/>
      </c>
      <c r="AI257" s="6">
        <f>IF(OR(原始資料!$A257="",34&gt;設定!$B$3,原始資料!AK257=""),"",IF(AND(原始資料!AJ257&lt;&gt;"",原始資料!AK257=原始資料!AJ257),N(AH257)+1,1))</f>
        <v/>
      </c>
      <c r="AJ257" s="6">
        <f>IF(OR(原始資料!$A257="",35&gt;設定!$B$3,原始資料!AL257=""),"",IF(AND(原始資料!AK257&lt;&gt;"",原始資料!AL257=原始資料!AK257),N(AI257)+1,1))</f>
        <v/>
      </c>
      <c r="AK257" s="6">
        <f>IF(OR(原始資料!$A257="",36&gt;設定!$B$3,原始資料!AM257=""),"",IF(AND(原始資料!AL257&lt;&gt;"",原始資料!AM257=原始資料!AL257),N(AJ257)+1,1))</f>
        <v/>
      </c>
      <c r="AL257" s="6">
        <f>IF(OR(原始資料!$A257="",37&gt;設定!$B$3,原始資料!AN257=""),"",IF(AND(原始資料!AM257&lt;&gt;"",原始資料!AN257=原始資料!AM257),N(AK257)+1,1))</f>
        <v/>
      </c>
      <c r="AM257" s="6">
        <f>IF(OR(原始資料!$A257="",38&gt;設定!$B$3,原始資料!AO257=""),"",IF(AND(原始資料!AN257&lt;&gt;"",原始資料!AO257=原始資料!AN257),N(AL257)+1,1))</f>
        <v/>
      </c>
      <c r="AN257" s="6">
        <f>IF(OR(原始資料!$A257="",39&gt;設定!$B$3,原始資料!AP257=""),"",IF(AND(原始資料!AO257&lt;&gt;"",原始資料!AP257=原始資料!AO257),N(AM257)+1,1))</f>
        <v/>
      </c>
      <c r="AO257" s="6">
        <f>IF(OR(原始資料!$A257="",40&gt;設定!$B$3,原始資料!AQ257=""),"",IF(AND(原始資料!AP257&lt;&gt;"",原始資料!AQ257=原始資料!AP257),N(AN257)+1,1))</f>
        <v/>
      </c>
      <c r="AP257" s="6">
        <f>IF(OR(原始資料!$A257="",41&gt;設定!$B$3,原始資料!AR257=""),"",IF(AND(原始資料!AQ257&lt;&gt;"",原始資料!AR257=原始資料!AQ257),N(AO257)+1,1))</f>
        <v/>
      </c>
      <c r="AQ257" s="6">
        <f>IF(OR(原始資料!$A257="",42&gt;設定!$B$3,原始資料!AS257=""),"",IF(AND(原始資料!AR257&lt;&gt;"",原始資料!AS257=原始資料!AR257),N(AP257)+1,1))</f>
        <v/>
      </c>
      <c r="AR257" s="6">
        <f>IF(OR(原始資料!$A257="",43&gt;設定!$B$3,原始資料!AT257=""),"",IF(AND(原始資料!AS257&lt;&gt;"",原始資料!AT257=原始資料!AS257),N(AQ257)+1,1))</f>
        <v/>
      </c>
      <c r="AS257" s="6">
        <f>IF(OR(原始資料!$A257="",44&gt;設定!$B$3,原始資料!AU257=""),"",IF(AND(原始資料!AT257&lt;&gt;"",原始資料!AU257=原始資料!AT257),N(AR257)+1,1))</f>
        <v/>
      </c>
      <c r="AT257" s="6">
        <f>IF(OR(原始資料!$A257="",45&gt;設定!$B$3,原始資料!AV257=""),"",IF(AND(原始資料!AU257&lt;&gt;"",原始資料!AV257=原始資料!AU257),N(AS257)+1,1))</f>
        <v/>
      </c>
      <c r="AU257" s="6">
        <f>IF(OR(原始資料!$A257="",46&gt;設定!$B$3,原始資料!AW257=""),"",IF(AND(原始資料!AV257&lt;&gt;"",原始資料!AW257=原始資料!AV257),N(AT257)+1,1))</f>
        <v/>
      </c>
      <c r="AV257" s="6">
        <f>IF(OR(原始資料!$A257="",47&gt;設定!$B$3,原始資料!AX257=""),"",IF(AND(原始資料!AW257&lt;&gt;"",原始資料!AX257=原始資料!AW257),N(AU257)+1,1))</f>
        <v/>
      </c>
      <c r="AW257" s="6">
        <f>IF(OR(原始資料!$A257="",48&gt;設定!$B$3,原始資料!AY257=""),"",IF(AND(原始資料!AX257&lt;&gt;"",原始資料!AY257=原始資料!AX257),N(AV257)+1,1))</f>
        <v/>
      </c>
      <c r="AX257" s="6">
        <f>IF(OR(原始資料!$A257="",49&gt;設定!$B$3,原始資料!AZ257=""),"",IF(AND(原始資料!AY257&lt;&gt;"",原始資料!AZ257=原始資料!AY257),N(AW257)+1,1))</f>
        <v/>
      </c>
      <c r="AY257" s="6">
        <f>IF(OR(原始資料!$A257="",50&gt;設定!$B$3,原始資料!BA257=""),"",IF(AND(原始資料!AZ257&lt;&gt;"",原始資料!BA257=原始資料!AZ257),N(AX257)+1,1))</f>
        <v/>
      </c>
      <c r="AZ257" s="6">
        <f>IF(OR(原始資料!$A257="",51&gt;設定!$B$3,原始資料!BB257=""),"",IF(AND(原始資料!BA257&lt;&gt;"",原始資料!BB257=原始資料!BA257),N(AY257)+1,1))</f>
        <v/>
      </c>
      <c r="BA257" s="6">
        <f>IF(OR(原始資料!$A257="",52&gt;設定!$B$3,原始資料!BC257=""),"",IF(AND(原始資料!BB257&lt;&gt;"",原始資料!BC257=原始資料!BB257),N(AZ257)+1,1))</f>
        <v/>
      </c>
      <c r="BB257" s="6">
        <f>IF(OR(原始資料!$A257="",53&gt;設定!$B$3,原始資料!BD257=""),"",IF(AND(原始資料!BC257&lt;&gt;"",原始資料!BD257=原始資料!BC257),N(BA257)+1,1))</f>
        <v/>
      </c>
      <c r="BC257" s="6">
        <f>IF(OR(原始資料!$A257="",54&gt;設定!$B$3,原始資料!BE257=""),"",IF(AND(原始資料!BD257&lt;&gt;"",原始資料!BE257=原始資料!BD257),N(BB257)+1,1))</f>
        <v/>
      </c>
      <c r="BD257" s="6">
        <f>IF(OR(原始資料!$A257="",55&gt;設定!$B$3,原始資料!BF257=""),"",IF(AND(原始資料!BE257&lt;&gt;"",原始資料!BF257=原始資料!BE257),N(BC257)+1,1))</f>
        <v/>
      </c>
      <c r="BE257" s="6">
        <f>IF(OR(原始資料!$A257="",56&gt;設定!$B$3,原始資料!BG257=""),"",IF(AND(原始資料!BF257&lt;&gt;"",原始資料!BG257=原始資料!BF257),N(BD257)+1,1))</f>
        <v/>
      </c>
      <c r="BF257" s="6">
        <f>IF(OR(原始資料!$A257="",57&gt;設定!$B$3,原始資料!BH257=""),"",IF(AND(原始資料!BG257&lt;&gt;"",原始資料!BH257=原始資料!BG257),N(BE257)+1,1))</f>
        <v/>
      </c>
      <c r="BG257" s="6">
        <f>IF(OR(原始資料!$A257="",58&gt;設定!$B$3,原始資料!BI257=""),"",IF(AND(原始資料!BH257&lt;&gt;"",原始資料!BI257=原始資料!BH257),N(BF257)+1,1))</f>
        <v/>
      </c>
      <c r="BH257" s="6">
        <f>IF(OR(原始資料!$A257="",59&gt;設定!$B$3,原始資料!BJ257=""),"",IF(AND(原始資料!BI257&lt;&gt;"",原始資料!BJ257=原始資料!BI257),N(BG257)+1,1))</f>
        <v/>
      </c>
      <c r="BI257" s="6">
        <f>IF(OR(原始資料!$A257="",60&gt;設定!$B$3,原始資料!BK257=""),"",IF(AND(原始資料!BJ257&lt;&gt;"",原始資料!BK257=原始資料!BJ257),N(BH257)+1,1))</f>
        <v/>
      </c>
    </row>
    <row r="258">
      <c r="A258" s="6">
        <f>IF(原始資料!$A258="","",原始資料!$A258)</f>
        <v/>
      </c>
      <c r="B258" s="6">
        <f>IF(OR(原始資料!$A258="",1&gt;設定!$B$3,原始資料!D258=""),"",1)</f>
        <v/>
      </c>
      <c r="C258" s="6">
        <f>IF(OR(原始資料!$A258="",2&gt;設定!$B$3,原始資料!E258=""),"",IF(AND(原始資料!D258&lt;&gt;"",原始資料!E258=原始資料!D258),N(B258)+1,1))</f>
        <v/>
      </c>
      <c r="D258" s="6">
        <f>IF(OR(原始資料!$A258="",3&gt;設定!$B$3,原始資料!F258=""),"",IF(AND(原始資料!E258&lt;&gt;"",原始資料!F258=原始資料!E258),N(C258)+1,1))</f>
        <v/>
      </c>
      <c r="E258" s="6">
        <f>IF(OR(原始資料!$A258="",4&gt;設定!$B$3,原始資料!G258=""),"",IF(AND(原始資料!F258&lt;&gt;"",原始資料!G258=原始資料!F258),N(D258)+1,1))</f>
        <v/>
      </c>
      <c r="F258" s="6">
        <f>IF(OR(原始資料!$A258="",5&gt;設定!$B$3,原始資料!H258=""),"",IF(AND(原始資料!G258&lt;&gt;"",原始資料!H258=原始資料!G258),N(E258)+1,1))</f>
        <v/>
      </c>
      <c r="G258" s="6">
        <f>IF(OR(原始資料!$A258="",6&gt;設定!$B$3,原始資料!I258=""),"",IF(AND(原始資料!H258&lt;&gt;"",原始資料!I258=原始資料!H258),N(F258)+1,1))</f>
        <v/>
      </c>
      <c r="H258" s="6">
        <f>IF(OR(原始資料!$A258="",7&gt;設定!$B$3,原始資料!J258=""),"",IF(AND(原始資料!I258&lt;&gt;"",原始資料!J258=原始資料!I258),N(G258)+1,1))</f>
        <v/>
      </c>
      <c r="I258" s="6">
        <f>IF(OR(原始資料!$A258="",8&gt;設定!$B$3,原始資料!K258=""),"",IF(AND(原始資料!J258&lt;&gt;"",原始資料!K258=原始資料!J258),N(H258)+1,1))</f>
        <v/>
      </c>
      <c r="J258" s="6">
        <f>IF(OR(原始資料!$A258="",9&gt;設定!$B$3,原始資料!L258=""),"",IF(AND(原始資料!K258&lt;&gt;"",原始資料!L258=原始資料!K258),N(I258)+1,1))</f>
        <v/>
      </c>
      <c r="K258" s="6">
        <f>IF(OR(原始資料!$A258="",10&gt;設定!$B$3,原始資料!M258=""),"",IF(AND(原始資料!L258&lt;&gt;"",原始資料!M258=原始資料!L258),N(J258)+1,1))</f>
        <v/>
      </c>
      <c r="L258" s="6">
        <f>IF(OR(原始資料!$A258="",11&gt;設定!$B$3,原始資料!N258=""),"",IF(AND(原始資料!M258&lt;&gt;"",原始資料!N258=原始資料!M258),N(K258)+1,1))</f>
        <v/>
      </c>
      <c r="M258" s="6">
        <f>IF(OR(原始資料!$A258="",12&gt;設定!$B$3,原始資料!O258=""),"",IF(AND(原始資料!N258&lt;&gt;"",原始資料!O258=原始資料!N258),N(L258)+1,1))</f>
        <v/>
      </c>
      <c r="N258" s="6">
        <f>IF(OR(原始資料!$A258="",13&gt;設定!$B$3,原始資料!P258=""),"",IF(AND(原始資料!O258&lt;&gt;"",原始資料!P258=原始資料!O258),N(M258)+1,1))</f>
        <v/>
      </c>
      <c r="O258" s="6">
        <f>IF(OR(原始資料!$A258="",14&gt;設定!$B$3,原始資料!Q258=""),"",IF(AND(原始資料!P258&lt;&gt;"",原始資料!Q258=原始資料!P258),N(N258)+1,1))</f>
        <v/>
      </c>
      <c r="P258" s="6">
        <f>IF(OR(原始資料!$A258="",15&gt;設定!$B$3,原始資料!R258=""),"",IF(AND(原始資料!Q258&lt;&gt;"",原始資料!R258=原始資料!Q258),N(O258)+1,1))</f>
        <v/>
      </c>
      <c r="Q258" s="6">
        <f>IF(OR(原始資料!$A258="",16&gt;設定!$B$3,原始資料!S258=""),"",IF(AND(原始資料!R258&lt;&gt;"",原始資料!S258=原始資料!R258),N(P258)+1,1))</f>
        <v/>
      </c>
      <c r="R258" s="6">
        <f>IF(OR(原始資料!$A258="",17&gt;設定!$B$3,原始資料!T258=""),"",IF(AND(原始資料!S258&lt;&gt;"",原始資料!T258=原始資料!S258),N(Q258)+1,1))</f>
        <v/>
      </c>
      <c r="S258" s="6">
        <f>IF(OR(原始資料!$A258="",18&gt;設定!$B$3,原始資料!U258=""),"",IF(AND(原始資料!T258&lt;&gt;"",原始資料!U258=原始資料!T258),N(R258)+1,1))</f>
        <v/>
      </c>
      <c r="T258" s="6">
        <f>IF(OR(原始資料!$A258="",19&gt;設定!$B$3,原始資料!V258=""),"",IF(AND(原始資料!U258&lt;&gt;"",原始資料!V258=原始資料!U258),N(S258)+1,1))</f>
        <v/>
      </c>
      <c r="U258" s="6">
        <f>IF(OR(原始資料!$A258="",20&gt;設定!$B$3,原始資料!W258=""),"",IF(AND(原始資料!V258&lt;&gt;"",原始資料!W258=原始資料!V258),N(T258)+1,1))</f>
        <v/>
      </c>
      <c r="V258" s="6">
        <f>IF(OR(原始資料!$A258="",21&gt;設定!$B$3,原始資料!X258=""),"",IF(AND(原始資料!W258&lt;&gt;"",原始資料!X258=原始資料!W258),N(U258)+1,1))</f>
        <v/>
      </c>
      <c r="W258" s="6">
        <f>IF(OR(原始資料!$A258="",22&gt;設定!$B$3,原始資料!Y258=""),"",IF(AND(原始資料!X258&lt;&gt;"",原始資料!Y258=原始資料!X258),N(V258)+1,1))</f>
        <v/>
      </c>
      <c r="X258" s="6">
        <f>IF(OR(原始資料!$A258="",23&gt;設定!$B$3,原始資料!Z258=""),"",IF(AND(原始資料!Y258&lt;&gt;"",原始資料!Z258=原始資料!Y258),N(W258)+1,1))</f>
        <v/>
      </c>
      <c r="Y258" s="6">
        <f>IF(OR(原始資料!$A258="",24&gt;設定!$B$3,原始資料!AA258=""),"",IF(AND(原始資料!Z258&lt;&gt;"",原始資料!AA258=原始資料!Z258),N(X258)+1,1))</f>
        <v/>
      </c>
      <c r="Z258" s="6">
        <f>IF(OR(原始資料!$A258="",25&gt;設定!$B$3,原始資料!AB258=""),"",IF(AND(原始資料!AA258&lt;&gt;"",原始資料!AB258=原始資料!AA258),N(Y258)+1,1))</f>
        <v/>
      </c>
      <c r="AA258" s="6">
        <f>IF(OR(原始資料!$A258="",26&gt;設定!$B$3,原始資料!AC258=""),"",IF(AND(原始資料!AB258&lt;&gt;"",原始資料!AC258=原始資料!AB258),N(Z258)+1,1))</f>
        <v/>
      </c>
      <c r="AB258" s="6">
        <f>IF(OR(原始資料!$A258="",27&gt;設定!$B$3,原始資料!AD258=""),"",IF(AND(原始資料!AC258&lt;&gt;"",原始資料!AD258=原始資料!AC258),N(AA258)+1,1))</f>
        <v/>
      </c>
      <c r="AC258" s="6">
        <f>IF(OR(原始資料!$A258="",28&gt;設定!$B$3,原始資料!AE258=""),"",IF(AND(原始資料!AD258&lt;&gt;"",原始資料!AE258=原始資料!AD258),N(AB258)+1,1))</f>
        <v/>
      </c>
      <c r="AD258" s="6">
        <f>IF(OR(原始資料!$A258="",29&gt;設定!$B$3,原始資料!AF258=""),"",IF(AND(原始資料!AE258&lt;&gt;"",原始資料!AF258=原始資料!AE258),N(AC258)+1,1))</f>
        <v/>
      </c>
      <c r="AE258" s="6">
        <f>IF(OR(原始資料!$A258="",30&gt;設定!$B$3,原始資料!AG258=""),"",IF(AND(原始資料!AF258&lt;&gt;"",原始資料!AG258=原始資料!AF258),N(AD258)+1,1))</f>
        <v/>
      </c>
      <c r="AF258" s="6">
        <f>IF(OR(原始資料!$A258="",31&gt;設定!$B$3,原始資料!AH258=""),"",IF(AND(原始資料!AG258&lt;&gt;"",原始資料!AH258=原始資料!AG258),N(AE258)+1,1))</f>
        <v/>
      </c>
      <c r="AG258" s="6">
        <f>IF(OR(原始資料!$A258="",32&gt;設定!$B$3,原始資料!AI258=""),"",IF(AND(原始資料!AH258&lt;&gt;"",原始資料!AI258=原始資料!AH258),N(AF258)+1,1))</f>
        <v/>
      </c>
      <c r="AH258" s="6">
        <f>IF(OR(原始資料!$A258="",33&gt;設定!$B$3,原始資料!AJ258=""),"",IF(AND(原始資料!AI258&lt;&gt;"",原始資料!AJ258=原始資料!AI258),N(AG258)+1,1))</f>
        <v/>
      </c>
      <c r="AI258" s="6">
        <f>IF(OR(原始資料!$A258="",34&gt;設定!$B$3,原始資料!AK258=""),"",IF(AND(原始資料!AJ258&lt;&gt;"",原始資料!AK258=原始資料!AJ258),N(AH258)+1,1))</f>
        <v/>
      </c>
      <c r="AJ258" s="6">
        <f>IF(OR(原始資料!$A258="",35&gt;設定!$B$3,原始資料!AL258=""),"",IF(AND(原始資料!AK258&lt;&gt;"",原始資料!AL258=原始資料!AK258),N(AI258)+1,1))</f>
        <v/>
      </c>
      <c r="AK258" s="6">
        <f>IF(OR(原始資料!$A258="",36&gt;設定!$B$3,原始資料!AM258=""),"",IF(AND(原始資料!AL258&lt;&gt;"",原始資料!AM258=原始資料!AL258),N(AJ258)+1,1))</f>
        <v/>
      </c>
      <c r="AL258" s="6">
        <f>IF(OR(原始資料!$A258="",37&gt;設定!$B$3,原始資料!AN258=""),"",IF(AND(原始資料!AM258&lt;&gt;"",原始資料!AN258=原始資料!AM258),N(AK258)+1,1))</f>
        <v/>
      </c>
      <c r="AM258" s="6">
        <f>IF(OR(原始資料!$A258="",38&gt;設定!$B$3,原始資料!AO258=""),"",IF(AND(原始資料!AN258&lt;&gt;"",原始資料!AO258=原始資料!AN258),N(AL258)+1,1))</f>
        <v/>
      </c>
      <c r="AN258" s="6">
        <f>IF(OR(原始資料!$A258="",39&gt;設定!$B$3,原始資料!AP258=""),"",IF(AND(原始資料!AO258&lt;&gt;"",原始資料!AP258=原始資料!AO258),N(AM258)+1,1))</f>
        <v/>
      </c>
      <c r="AO258" s="6">
        <f>IF(OR(原始資料!$A258="",40&gt;設定!$B$3,原始資料!AQ258=""),"",IF(AND(原始資料!AP258&lt;&gt;"",原始資料!AQ258=原始資料!AP258),N(AN258)+1,1))</f>
        <v/>
      </c>
      <c r="AP258" s="6">
        <f>IF(OR(原始資料!$A258="",41&gt;設定!$B$3,原始資料!AR258=""),"",IF(AND(原始資料!AQ258&lt;&gt;"",原始資料!AR258=原始資料!AQ258),N(AO258)+1,1))</f>
        <v/>
      </c>
      <c r="AQ258" s="6">
        <f>IF(OR(原始資料!$A258="",42&gt;設定!$B$3,原始資料!AS258=""),"",IF(AND(原始資料!AR258&lt;&gt;"",原始資料!AS258=原始資料!AR258),N(AP258)+1,1))</f>
        <v/>
      </c>
      <c r="AR258" s="6">
        <f>IF(OR(原始資料!$A258="",43&gt;設定!$B$3,原始資料!AT258=""),"",IF(AND(原始資料!AS258&lt;&gt;"",原始資料!AT258=原始資料!AS258),N(AQ258)+1,1))</f>
        <v/>
      </c>
      <c r="AS258" s="6">
        <f>IF(OR(原始資料!$A258="",44&gt;設定!$B$3,原始資料!AU258=""),"",IF(AND(原始資料!AT258&lt;&gt;"",原始資料!AU258=原始資料!AT258),N(AR258)+1,1))</f>
        <v/>
      </c>
      <c r="AT258" s="6">
        <f>IF(OR(原始資料!$A258="",45&gt;設定!$B$3,原始資料!AV258=""),"",IF(AND(原始資料!AU258&lt;&gt;"",原始資料!AV258=原始資料!AU258),N(AS258)+1,1))</f>
        <v/>
      </c>
      <c r="AU258" s="6">
        <f>IF(OR(原始資料!$A258="",46&gt;設定!$B$3,原始資料!AW258=""),"",IF(AND(原始資料!AV258&lt;&gt;"",原始資料!AW258=原始資料!AV258),N(AT258)+1,1))</f>
        <v/>
      </c>
      <c r="AV258" s="6">
        <f>IF(OR(原始資料!$A258="",47&gt;設定!$B$3,原始資料!AX258=""),"",IF(AND(原始資料!AW258&lt;&gt;"",原始資料!AX258=原始資料!AW258),N(AU258)+1,1))</f>
        <v/>
      </c>
      <c r="AW258" s="6">
        <f>IF(OR(原始資料!$A258="",48&gt;設定!$B$3,原始資料!AY258=""),"",IF(AND(原始資料!AX258&lt;&gt;"",原始資料!AY258=原始資料!AX258),N(AV258)+1,1))</f>
        <v/>
      </c>
      <c r="AX258" s="6">
        <f>IF(OR(原始資料!$A258="",49&gt;設定!$B$3,原始資料!AZ258=""),"",IF(AND(原始資料!AY258&lt;&gt;"",原始資料!AZ258=原始資料!AY258),N(AW258)+1,1))</f>
        <v/>
      </c>
      <c r="AY258" s="6">
        <f>IF(OR(原始資料!$A258="",50&gt;設定!$B$3,原始資料!BA258=""),"",IF(AND(原始資料!AZ258&lt;&gt;"",原始資料!BA258=原始資料!AZ258),N(AX258)+1,1))</f>
        <v/>
      </c>
      <c r="AZ258" s="6">
        <f>IF(OR(原始資料!$A258="",51&gt;設定!$B$3,原始資料!BB258=""),"",IF(AND(原始資料!BA258&lt;&gt;"",原始資料!BB258=原始資料!BA258),N(AY258)+1,1))</f>
        <v/>
      </c>
      <c r="BA258" s="6">
        <f>IF(OR(原始資料!$A258="",52&gt;設定!$B$3,原始資料!BC258=""),"",IF(AND(原始資料!BB258&lt;&gt;"",原始資料!BC258=原始資料!BB258),N(AZ258)+1,1))</f>
        <v/>
      </c>
      <c r="BB258" s="6">
        <f>IF(OR(原始資料!$A258="",53&gt;設定!$B$3,原始資料!BD258=""),"",IF(AND(原始資料!BC258&lt;&gt;"",原始資料!BD258=原始資料!BC258),N(BA258)+1,1))</f>
        <v/>
      </c>
      <c r="BC258" s="6">
        <f>IF(OR(原始資料!$A258="",54&gt;設定!$B$3,原始資料!BE258=""),"",IF(AND(原始資料!BD258&lt;&gt;"",原始資料!BE258=原始資料!BD258),N(BB258)+1,1))</f>
        <v/>
      </c>
      <c r="BD258" s="6">
        <f>IF(OR(原始資料!$A258="",55&gt;設定!$B$3,原始資料!BF258=""),"",IF(AND(原始資料!BE258&lt;&gt;"",原始資料!BF258=原始資料!BE258),N(BC258)+1,1))</f>
        <v/>
      </c>
      <c r="BE258" s="6">
        <f>IF(OR(原始資料!$A258="",56&gt;設定!$B$3,原始資料!BG258=""),"",IF(AND(原始資料!BF258&lt;&gt;"",原始資料!BG258=原始資料!BF258),N(BD258)+1,1))</f>
        <v/>
      </c>
      <c r="BF258" s="6">
        <f>IF(OR(原始資料!$A258="",57&gt;設定!$B$3,原始資料!BH258=""),"",IF(AND(原始資料!BG258&lt;&gt;"",原始資料!BH258=原始資料!BG258),N(BE258)+1,1))</f>
        <v/>
      </c>
      <c r="BG258" s="6">
        <f>IF(OR(原始資料!$A258="",58&gt;設定!$B$3,原始資料!BI258=""),"",IF(AND(原始資料!BH258&lt;&gt;"",原始資料!BI258=原始資料!BH258),N(BF258)+1,1))</f>
        <v/>
      </c>
      <c r="BH258" s="6">
        <f>IF(OR(原始資料!$A258="",59&gt;設定!$B$3,原始資料!BJ258=""),"",IF(AND(原始資料!BI258&lt;&gt;"",原始資料!BJ258=原始資料!BI258),N(BG258)+1,1))</f>
        <v/>
      </c>
      <c r="BI258" s="6">
        <f>IF(OR(原始資料!$A258="",60&gt;設定!$B$3,原始資料!BK258=""),"",IF(AND(原始資料!BJ258&lt;&gt;"",原始資料!BK258=原始資料!BJ258),N(BH258)+1,1))</f>
        <v/>
      </c>
    </row>
    <row r="259">
      <c r="A259" s="6">
        <f>IF(原始資料!$A259="","",原始資料!$A259)</f>
        <v/>
      </c>
      <c r="B259" s="6">
        <f>IF(OR(原始資料!$A259="",1&gt;設定!$B$3,原始資料!D259=""),"",1)</f>
        <v/>
      </c>
      <c r="C259" s="6">
        <f>IF(OR(原始資料!$A259="",2&gt;設定!$B$3,原始資料!E259=""),"",IF(AND(原始資料!D259&lt;&gt;"",原始資料!E259=原始資料!D259),N(B259)+1,1))</f>
        <v/>
      </c>
      <c r="D259" s="6">
        <f>IF(OR(原始資料!$A259="",3&gt;設定!$B$3,原始資料!F259=""),"",IF(AND(原始資料!E259&lt;&gt;"",原始資料!F259=原始資料!E259),N(C259)+1,1))</f>
        <v/>
      </c>
      <c r="E259" s="6">
        <f>IF(OR(原始資料!$A259="",4&gt;設定!$B$3,原始資料!G259=""),"",IF(AND(原始資料!F259&lt;&gt;"",原始資料!G259=原始資料!F259),N(D259)+1,1))</f>
        <v/>
      </c>
      <c r="F259" s="6">
        <f>IF(OR(原始資料!$A259="",5&gt;設定!$B$3,原始資料!H259=""),"",IF(AND(原始資料!G259&lt;&gt;"",原始資料!H259=原始資料!G259),N(E259)+1,1))</f>
        <v/>
      </c>
      <c r="G259" s="6">
        <f>IF(OR(原始資料!$A259="",6&gt;設定!$B$3,原始資料!I259=""),"",IF(AND(原始資料!H259&lt;&gt;"",原始資料!I259=原始資料!H259),N(F259)+1,1))</f>
        <v/>
      </c>
      <c r="H259" s="6">
        <f>IF(OR(原始資料!$A259="",7&gt;設定!$B$3,原始資料!J259=""),"",IF(AND(原始資料!I259&lt;&gt;"",原始資料!J259=原始資料!I259),N(G259)+1,1))</f>
        <v/>
      </c>
      <c r="I259" s="6">
        <f>IF(OR(原始資料!$A259="",8&gt;設定!$B$3,原始資料!K259=""),"",IF(AND(原始資料!J259&lt;&gt;"",原始資料!K259=原始資料!J259),N(H259)+1,1))</f>
        <v/>
      </c>
      <c r="J259" s="6">
        <f>IF(OR(原始資料!$A259="",9&gt;設定!$B$3,原始資料!L259=""),"",IF(AND(原始資料!K259&lt;&gt;"",原始資料!L259=原始資料!K259),N(I259)+1,1))</f>
        <v/>
      </c>
      <c r="K259" s="6">
        <f>IF(OR(原始資料!$A259="",10&gt;設定!$B$3,原始資料!M259=""),"",IF(AND(原始資料!L259&lt;&gt;"",原始資料!M259=原始資料!L259),N(J259)+1,1))</f>
        <v/>
      </c>
      <c r="L259" s="6">
        <f>IF(OR(原始資料!$A259="",11&gt;設定!$B$3,原始資料!N259=""),"",IF(AND(原始資料!M259&lt;&gt;"",原始資料!N259=原始資料!M259),N(K259)+1,1))</f>
        <v/>
      </c>
      <c r="M259" s="6">
        <f>IF(OR(原始資料!$A259="",12&gt;設定!$B$3,原始資料!O259=""),"",IF(AND(原始資料!N259&lt;&gt;"",原始資料!O259=原始資料!N259),N(L259)+1,1))</f>
        <v/>
      </c>
      <c r="N259" s="6">
        <f>IF(OR(原始資料!$A259="",13&gt;設定!$B$3,原始資料!P259=""),"",IF(AND(原始資料!O259&lt;&gt;"",原始資料!P259=原始資料!O259),N(M259)+1,1))</f>
        <v/>
      </c>
      <c r="O259" s="6">
        <f>IF(OR(原始資料!$A259="",14&gt;設定!$B$3,原始資料!Q259=""),"",IF(AND(原始資料!P259&lt;&gt;"",原始資料!Q259=原始資料!P259),N(N259)+1,1))</f>
        <v/>
      </c>
      <c r="P259" s="6">
        <f>IF(OR(原始資料!$A259="",15&gt;設定!$B$3,原始資料!R259=""),"",IF(AND(原始資料!Q259&lt;&gt;"",原始資料!R259=原始資料!Q259),N(O259)+1,1))</f>
        <v/>
      </c>
      <c r="Q259" s="6">
        <f>IF(OR(原始資料!$A259="",16&gt;設定!$B$3,原始資料!S259=""),"",IF(AND(原始資料!R259&lt;&gt;"",原始資料!S259=原始資料!R259),N(P259)+1,1))</f>
        <v/>
      </c>
      <c r="R259" s="6">
        <f>IF(OR(原始資料!$A259="",17&gt;設定!$B$3,原始資料!T259=""),"",IF(AND(原始資料!S259&lt;&gt;"",原始資料!T259=原始資料!S259),N(Q259)+1,1))</f>
        <v/>
      </c>
      <c r="S259" s="6">
        <f>IF(OR(原始資料!$A259="",18&gt;設定!$B$3,原始資料!U259=""),"",IF(AND(原始資料!T259&lt;&gt;"",原始資料!U259=原始資料!T259),N(R259)+1,1))</f>
        <v/>
      </c>
      <c r="T259" s="6">
        <f>IF(OR(原始資料!$A259="",19&gt;設定!$B$3,原始資料!V259=""),"",IF(AND(原始資料!U259&lt;&gt;"",原始資料!V259=原始資料!U259),N(S259)+1,1))</f>
        <v/>
      </c>
      <c r="U259" s="6">
        <f>IF(OR(原始資料!$A259="",20&gt;設定!$B$3,原始資料!W259=""),"",IF(AND(原始資料!V259&lt;&gt;"",原始資料!W259=原始資料!V259),N(T259)+1,1))</f>
        <v/>
      </c>
      <c r="V259" s="6">
        <f>IF(OR(原始資料!$A259="",21&gt;設定!$B$3,原始資料!X259=""),"",IF(AND(原始資料!W259&lt;&gt;"",原始資料!X259=原始資料!W259),N(U259)+1,1))</f>
        <v/>
      </c>
      <c r="W259" s="6">
        <f>IF(OR(原始資料!$A259="",22&gt;設定!$B$3,原始資料!Y259=""),"",IF(AND(原始資料!X259&lt;&gt;"",原始資料!Y259=原始資料!X259),N(V259)+1,1))</f>
        <v/>
      </c>
      <c r="X259" s="6">
        <f>IF(OR(原始資料!$A259="",23&gt;設定!$B$3,原始資料!Z259=""),"",IF(AND(原始資料!Y259&lt;&gt;"",原始資料!Z259=原始資料!Y259),N(W259)+1,1))</f>
        <v/>
      </c>
      <c r="Y259" s="6">
        <f>IF(OR(原始資料!$A259="",24&gt;設定!$B$3,原始資料!AA259=""),"",IF(AND(原始資料!Z259&lt;&gt;"",原始資料!AA259=原始資料!Z259),N(X259)+1,1))</f>
        <v/>
      </c>
      <c r="Z259" s="6">
        <f>IF(OR(原始資料!$A259="",25&gt;設定!$B$3,原始資料!AB259=""),"",IF(AND(原始資料!AA259&lt;&gt;"",原始資料!AB259=原始資料!AA259),N(Y259)+1,1))</f>
        <v/>
      </c>
      <c r="AA259" s="6">
        <f>IF(OR(原始資料!$A259="",26&gt;設定!$B$3,原始資料!AC259=""),"",IF(AND(原始資料!AB259&lt;&gt;"",原始資料!AC259=原始資料!AB259),N(Z259)+1,1))</f>
        <v/>
      </c>
      <c r="AB259" s="6">
        <f>IF(OR(原始資料!$A259="",27&gt;設定!$B$3,原始資料!AD259=""),"",IF(AND(原始資料!AC259&lt;&gt;"",原始資料!AD259=原始資料!AC259),N(AA259)+1,1))</f>
        <v/>
      </c>
      <c r="AC259" s="6">
        <f>IF(OR(原始資料!$A259="",28&gt;設定!$B$3,原始資料!AE259=""),"",IF(AND(原始資料!AD259&lt;&gt;"",原始資料!AE259=原始資料!AD259),N(AB259)+1,1))</f>
        <v/>
      </c>
      <c r="AD259" s="6">
        <f>IF(OR(原始資料!$A259="",29&gt;設定!$B$3,原始資料!AF259=""),"",IF(AND(原始資料!AE259&lt;&gt;"",原始資料!AF259=原始資料!AE259),N(AC259)+1,1))</f>
        <v/>
      </c>
      <c r="AE259" s="6">
        <f>IF(OR(原始資料!$A259="",30&gt;設定!$B$3,原始資料!AG259=""),"",IF(AND(原始資料!AF259&lt;&gt;"",原始資料!AG259=原始資料!AF259),N(AD259)+1,1))</f>
        <v/>
      </c>
      <c r="AF259" s="6">
        <f>IF(OR(原始資料!$A259="",31&gt;設定!$B$3,原始資料!AH259=""),"",IF(AND(原始資料!AG259&lt;&gt;"",原始資料!AH259=原始資料!AG259),N(AE259)+1,1))</f>
        <v/>
      </c>
      <c r="AG259" s="6">
        <f>IF(OR(原始資料!$A259="",32&gt;設定!$B$3,原始資料!AI259=""),"",IF(AND(原始資料!AH259&lt;&gt;"",原始資料!AI259=原始資料!AH259),N(AF259)+1,1))</f>
        <v/>
      </c>
      <c r="AH259" s="6">
        <f>IF(OR(原始資料!$A259="",33&gt;設定!$B$3,原始資料!AJ259=""),"",IF(AND(原始資料!AI259&lt;&gt;"",原始資料!AJ259=原始資料!AI259),N(AG259)+1,1))</f>
        <v/>
      </c>
      <c r="AI259" s="6">
        <f>IF(OR(原始資料!$A259="",34&gt;設定!$B$3,原始資料!AK259=""),"",IF(AND(原始資料!AJ259&lt;&gt;"",原始資料!AK259=原始資料!AJ259),N(AH259)+1,1))</f>
        <v/>
      </c>
      <c r="AJ259" s="6">
        <f>IF(OR(原始資料!$A259="",35&gt;設定!$B$3,原始資料!AL259=""),"",IF(AND(原始資料!AK259&lt;&gt;"",原始資料!AL259=原始資料!AK259),N(AI259)+1,1))</f>
        <v/>
      </c>
      <c r="AK259" s="6">
        <f>IF(OR(原始資料!$A259="",36&gt;設定!$B$3,原始資料!AM259=""),"",IF(AND(原始資料!AL259&lt;&gt;"",原始資料!AM259=原始資料!AL259),N(AJ259)+1,1))</f>
        <v/>
      </c>
      <c r="AL259" s="6">
        <f>IF(OR(原始資料!$A259="",37&gt;設定!$B$3,原始資料!AN259=""),"",IF(AND(原始資料!AM259&lt;&gt;"",原始資料!AN259=原始資料!AM259),N(AK259)+1,1))</f>
        <v/>
      </c>
      <c r="AM259" s="6">
        <f>IF(OR(原始資料!$A259="",38&gt;設定!$B$3,原始資料!AO259=""),"",IF(AND(原始資料!AN259&lt;&gt;"",原始資料!AO259=原始資料!AN259),N(AL259)+1,1))</f>
        <v/>
      </c>
      <c r="AN259" s="6">
        <f>IF(OR(原始資料!$A259="",39&gt;設定!$B$3,原始資料!AP259=""),"",IF(AND(原始資料!AO259&lt;&gt;"",原始資料!AP259=原始資料!AO259),N(AM259)+1,1))</f>
        <v/>
      </c>
      <c r="AO259" s="6">
        <f>IF(OR(原始資料!$A259="",40&gt;設定!$B$3,原始資料!AQ259=""),"",IF(AND(原始資料!AP259&lt;&gt;"",原始資料!AQ259=原始資料!AP259),N(AN259)+1,1))</f>
        <v/>
      </c>
      <c r="AP259" s="6">
        <f>IF(OR(原始資料!$A259="",41&gt;設定!$B$3,原始資料!AR259=""),"",IF(AND(原始資料!AQ259&lt;&gt;"",原始資料!AR259=原始資料!AQ259),N(AO259)+1,1))</f>
        <v/>
      </c>
      <c r="AQ259" s="6">
        <f>IF(OR(原始資料!$A259="",42&gt;設定!$B$3,原始資料!AS259=""),"",IF(AND(原始資料!AR259&lt;&gt;"",原始資料!AS259=原始資料!AR259),N(AP259)+1,1))</f>
        <v/>
      </c>
      <c r="AR259" s="6">
        <f>IF(OR(原始資料!$A259="",43&gt;設定!$B$3,原始資料!AT259=""),"",IF(AND(原始資料!AS259&lt;&gt;"",原始資料!AT259=原始資料!AS259),N(AQ259)+1,1))</f>
        <v/>
      </c>
      <c r="AS259" s="6">
        <f>IF(OR(原始資料!$A259="",44&gt;設定!$B$3,原始資料!AU259=""),"",IF(AND(原始資料!AT259&lt;&gt;"",原始資料!AU259=原始資料!AT259),N(AR259)+1,1))</f>
        <v/>
      </c>
      <c r="AT259" s="6">
        <f>IF(OR(原始資料!$A259="",45&gt;設定!$B$3,原始資料!AV259=""),"",IF(AND(原始資料!AU259&lt;&gt;"",原始資料!AV259=原始資料!AU259),N(AS259)+1,1))</f>
        <v/>
      </c>
      <c r="AU259" s="6">
        <f>IF(OR(原始資料!$A259="",46&gt;設定!$B$3,原始資料!AW259=""),"",IF(AND(原始資料!AV259&lt;&gt;"",原始資料!AW259=原始資料!AV259),N(AT259)+1,1))</f>
        <v/>
      </c>
      <c r="AV259" s="6">
        <f>IF(OR(原始資料!$A259="",47&gt;設定!$B$3,原始資料!AX259=""),"",IF(AND(原始資料!AW259&lt;&gt;"",原始資料!AX259=原始資料!AW259),N(AU259)+1,1))</f>
        <v/>
      </c>
      <c r="AW259" s="6">
        <f>IF(OR(原始資料!$A259="",48&gt;設定!$B$3,原始資料!AY259=""),"",IF(AND(原始資料!AX259&lt;&gt;"",原始資料!AY259=原始資料!AX259),N(AV259)+1,1))</f>
        <v/>
      </c>
      <c r="AX259" s="6">
        <f>IF(OR(原始資料!$A259="",49&gt;設定!$B$3,原始資料!AZ259=""),"",IF(AND(原始資料!AY259&lt;&gt;"",原始資料!AZ259=原始資料!AY259),N(AW259)+1,1))</f>
        <v/>
      </c>
      <c r="AY259" s="6">
        <f>IF(OR(原始資料!$A259="",50&gt;設定!$B$3,原始資料!BA259=""),"",IF(AND(原始資料!AZ259&lt;&gt;"",原始資料!BA259=原始資料!AZ259),N(AX259)+1,1))</f>
        <v/>
      </c>
      <c r="AZ259" s="6">
        <f>IF(OR(原始資料!$A259="",51&gt;設定!$B$3,原始資料!BB259=""),"",IF(AND(原始資料!BA259&lt;&gt;"",原始資料!BB259=原始資料!BA259),N(AY259)+1,1))</f>
        <v/>
      </c>
      <c r="BA259" s="6">
        <f>IF(OR(原始資料!$A259="",52&gt;設定!$B$3,原始資料!BC259=""),"",IF(AND(原始資料!BB259&lt;&gt;"",原始資料!BC259=原始資料!BB259),N(AZ259)+1,1))</f>
        <v/>
      </c>
      <c r="BB259" s="6">
        <f>IF(OR(原始資料!$A259="",53&gt;設定!$B$3,原始資料!BD259=""),"",IF(AND(原始資料!BC259&lt;&gt;"",原始資料!BD259=原始資料!BC259),N(BA259)+1,1))</f>
        <v/>
      </c>
      <c r="BC259" s="6">
        <f>IF(OR(原始資料!$A259="",54&gt;設定!$B$3,原始資料!BE259=""),"",IF(AND(原始資料!BD259&lt;&gt;"",原始資料!BE259=原始資料!BD259),N(BB259)+1,1))</f>
        <v/>
      </c>
      <c r="BD259" s="6">
        <f>IF(OR(原始資料!$A259="",55&gt;設定!$B$3,原始資料!BF259=""),"",IF(AND(原始資料!BE259&lt;&gt;"",原始資料!BF259=原始資料!BE259),N(BC259)+1,1))</f>
        <v/>
      </c>
      <c r="BE259" s="6">
        <f>IF(OR(原始資料!$A259="",56&gt;設定!$B$3,原始資料!BG259=""),"",IF(AND(原始資料!BF259&lt;&gt;"",原始資料!BG259=原始資料!BF259),N(BD259)+1,1))</f>
        <v/>
      </c>
      <c r="BF259" s="6">
        <f>IF(OR(原始資料!$A259="",57&gt;設定!$B$3,原始資料!BH259=""),"",IF(AND(原始資料!BG259&lt;&gt;"",原始資料!BH259=原始資料!BG259),N(BE259)+1,1))</f>
        <v/>
      </c>
      <c r="BG259" s="6">
        <f>IF(OR(原始資料!$A259="",58&gt;設定!$B$3,原始資料!BI259=""),"",IF(AND(原始資料!BH259&lt;&gt;"",原始資料!BI259=原始資料!BH259),N(BF259)+1,1))</f>
        <v/>
      </c>
      <c r="BH259" s="6">
        <f>IF(OR(原始資料!$A259="",59&gt;設定!$B$3,原始資料!BJ259=""),"",IF(AND(原始資料!BI259&lt;&gt;"",原始資料!BJ259=原始資料!BI259),N(BG259)+1,1))</f>
        <v/>
      </c>
      <c r="BI259" s="6">
        <f>IF(OR(原始資料!$A259="",60&gt;設定!$B$3,原始資料!BK259=""),"",IF(AND(原始資料!BJ259&lt;&gt;"",原始資料!BK259=原始資料!BJ259),N(BH259)+1,1))</f>
        <v/>
      </c>
    </row>
    <row r="260">
      <c r="A260" s="6">
        <f>IF(原始資料!$A260="","",原始資料!$A260)</f>
        <v/>
      </c>
      <c r="B260" s="6">
        <f>IF(OR(原始資料!$A260="",1&gt;設定!$B$3,原始資料!D260=""),"",1)</f>
        <v/>
      </c>
      <c r="C260" s="6">
        <f>IF(OR(原始資料!$A260="",2&gt;設定!$B$3,原始資料!E260=""),"",IF(AND(原始資料!D260&lt;&gt;"",原始資料!E260=原始資料!D260),N(B260)+1,1))</f>
        <v/>
      </c>
      <c r="D260" s="6">
        <f>IF(OR(原始資料!$A260="",3&gt;設定!$B$3,原始資料!F260=""),"",IF(AND(原始資料!E260&lt;&gt;"",原始資料!F260=原始資料!E260),N(C260)+1,1))</f>
        <v/>
      </c>
      <c r="E260" s="6">
        <f>IF(OR(原始資料!$A260="",4&gt;設定!$B$3,原始資料!G260=""),"",IF(AND(原始資料!F260&lt;&gt;"",原始資料!G260=原始資料!F260),N(D260)+1,1))</f>
        <v/>
      </c>
      <c r="F260" s="6">
        <f>IF(OR(原始資料!$A260="",5&gt;設定!$B$3,原始資料!H260=""),"",IF(AND(原始資料!G260&lt;&gt;"",原始資料!H260=原始資料!G260),N(E260)+1,1))</f>
        <v/>
      </c>
      <c r="G260" s="6">
        <f>IF(OR(原始資料!$A260="",6&gt;設定!$B$3,原始資料!I260=""),"",IF(AND(原始資料!H260&lt;&gt;"",原始資料!I260=原始資料!H260),N(F260)+1,1))</f>
        <v/>
      </c>
      <c r="H260" s="6">
        <f>IF(OR(原始資料!$A260="",7&gt;設定!$B$3,原始資料!J260=""),"",IF(AND(原始資料!I260&lt;&gt;"",原始資料!J260=原始資料!I260),N(G260)+1,1))</f>
        <v/>
      </c>
      <c r="I260" s="6">
        <f>IF(OR(原始資料!$A260="",8&gt;設定!$B$3,原始資料!K260=""),"",IF(AND(原始資料!J260&lt;&gt;"",原始資料!K260=原始資料!J260),N(H260)+1,1))</f>
        <v/>
      </c>
      <c r="J260" s="6">
        <f>IF(OR(原始資料!$A260="",9&gt;設定!$B$3,原始資料!L260=""),"",IF(AND(原始資料!K260&lt;&gt;"",原始資料!L260=原始資料!K260),N(I260)+1,1))</f>
        <v/>
      </c>
      <c r="K260" s="6">
        <f>IF(OR(原始資料!$A260="",10&gt;設定!$B$3,原始資料!M260=""),"",IF(AND(原始資料!L260&lt;&gt;"",原始資料!M260=原始資料!L260),N(J260)+1,1))</f>
        <v/>
      </c>
      <c r="L260" s="6">
        <f>IF(OR(原始資料!$A260="",11&gt;設定!$B$3,原始資料!N260=""),"",IF(AND(原始資料!M260&lt;&gt;"",原始資料!N260=原始資料!M260),N(K260)+1,1))</f>
        <v/>
      </c>
      <c r="M260" s="6">
        <f>IF(OR(原始資料!$A260="",12&gt;設定!$B$3,原始資料!O260=""),"",IF(AND(原始資料!N260&lt;&gt;"",原始資料!O260=原始資料!N260),N(L260)+1,1))</f>
        <v/>
      </c>
      <c r="N260" s="6">
        <f>IF(OR(原始資料!$A260="",13&gt;設定!$B$3,原始資料!P260=""),"",IF(AND(原始資料!O260&lt;&gt;"",原始資料!P260=原始資料!O260),N(M260)+1,1))</f>
        <v/>
      </c>
      <c r="O260" s="6">
        <f>IF(OR(原始資料!$A260="",14&gt;設定!$B$3,原始資料!Q260=""),"",IF(AND(原始資料!P260&lt;&gt;"",原始資料!Q260=原始資料!P260),N(N260)+1,1))</f>
        <v/>
      </c>
      <c r="P260" s="6">
        <f>IF(OR(原始資料!$A260="",15&gt;設定!$B$3,原始資料!R260=""),"",IF(AND(原始資料!Q260&lt;&gt;"",原始資料!R260=原始資料!Q260),N(O260)+1,1))</f>
        <v/>
      </c>
      <c r="Q260" s="6">
        <f>IF(OR(原始資料!$A260="",16&gt;設定!$B$3,原始資料!S260=""),"",IF(AND(原始資料!R260&lt;&gt;"",原始資料!S260=原始資料!R260),N(P260)+1,1))</f>
        <v/>
      </c>
      <c r="R260" s="6">
        <f>IF(OR(原始資料!$A260="",17&gt;設定!$B$3,原始資料!T260=""),"",IF(AND(原始資料!S260&lt;&gt;"",原始資料!T260=原始資料!S260),N(Q260)+1,1))</f>
        <v/>
      </c>
      <c r="S260" s="6">
        <f>IF(OR(原始資料!$A260="",18&gt;設定!$B$3,原始資料!U260=""),"",IF(AND(原始資料!T260&lt;&gt;"",原始資料!U260=原始資料!T260),N(R260)+1,1))</f>
        <v/>
      </c>
      <c r="T260" s="6">
        <f>IF(OR(原始資料!$A260="",19&gt;設定!$B$3,原始資料!V260=""),"",IF(AND(原始資料!U260&lt;&gt;"",原始資料!V260=原始資料!U260),N(S260)+1,1))</f>
        <v/>
      </c>
      <c r="U260" s="6">
        <f>IF(OR(原始資料!$A260="",20&gt;設定!$B$3,原始資料!W260=""),"",IF(AND(原始資料!V260&lt;&gt;"",原始資料!W260=原始資料!V260),N(T260)+1,1))</f>
        <v/>
      </c>
      <c r="V260" s="6">
        <f>IF(OR(原始資料!$A260="",21&gt;設定!$B$3,原始資料!X260=""),"",IF(AND(原始資料!W260&lt;&gt;"",原始資料!X260=原始資料!W260),N(U260)+1,1))</f>
        <v/>
      </c>
      <c r="W260" s="6">
        <f>IF(OR(原始資料!$A260="",22&gt;設定!$B$3,原始資料!Y260=""),"",IF(AND(原始資料!X260&lt;&gt;"",原始資料!Y260=原始資料!X260),N(V260)+1,1))</f>
        <v/>
      </c>
      <c r="X260" s="6">
        <f>IF(OR(原始資料!$A260="",23&gt;設定!$B$3,原始資料!Z260=""),"",IF(AND(原始資料!Y260&lt;&gt;"",原始資料!Z260=原始資料!Y260),N(W260)+1,1))</f>
        <v/>
      </c>
      <c r="Y260" s="6">
        <f>IF(OR(原始資料!$A260="",24&gt;設定!$B$3,原始資料!AA260=""),"",IF(AND(原始資料!Z260&lt;&gt;"",原始資料!AA260=原始資料!Z260),N(X260)+1,1))</f>
        <v/>
      </c>
      <c r="Z260" s="6">
        <f>IF(OR(原始資料!$A260="",25&gt;設定!$B$3,原始資料!AB260=""),"",IF(AND(原始資料!AA260&lt;&gt;"",原始資料!AB260=原始資料!AA260),N(Y260)+1,1))</f>
        <v/>
      </c>
      <c r="AA260" s="6">
        <f>IF(OR(原始資料!$A260="",26&gt;設定!$B$3,原始資料!AC260=""),"",IF(AND(原始資料!AB260&lt;&gt;"",原始資料!AC260=原始資料!AB260),N(Z260)+1,1))</f>
        <v/>
      </c>
      <c r="AB260" s="6">
        <f>IF(OR(原始資料!$A260="",27&gt;設定!$B$3,原始資料!AD260=""),"",IF(AND(原始資料!AC260&lt;&gt;"",原始資料!AD260=原始資料!AC260),N(AA260)+1,1))</f>
        <v/>
      </c>
      <c r="AC260" s="6">
        <f>IF(OR(原始資料!$A260="",28&gt;設定!$B$3,原始資料!AE260=""),"",IF(AND(原始資料!AD260&lt;&gt;"",原始資料!AE260=原始資料!AD260),N(AB260)+1,1))</f>
        <v/>
      </c>
      <c r="AD260" s="6">
        <f>IF(OR(原始資料!$A260="",29&gt;設定!$B$3,原始資料!AF260=""),"",IF(AND(原始資料!AE260&lt;&gt;"",原始資料!AF260=原始資料!AE260),N(AC260)+1,1))</f>
        <v/>
      </c>
      <c r="AE260" s="6">
        <f>IF(OR(原始資料!$A260="",30&gt;設定!$B$3,原始資料!AG260=""),"",IF(AND(原始資料!AF260&lt;&gt;"",原始資料!AG260=原始資料!AF260),N(AD260)+1,1))</f>
        <v/>
      </c>
      <c r="AF260" s="6">
        <f>IF(OR(原始資料!$A260="",31&gt;設定!$B$3,原始資料!AH260=""),"",IF(AND(原始資料!AG260&lt;&gt;"",原始資料!AH260=原始資料!AG260),N(AE260)+1,1))</f>
        <v/>
      </c>
      <c r="AG260" s="6">
        <f>IF(OR(原始資料!$A260="",32&gt;設定!$B$3,原始資料!AI260=""),"",IF(AND(原始資料!AH260&lt;&gt;"",原始資料!AI260=原始資料!AH260),N(AF260)+1,1))</f>
        <v/>
      </c>
      <c r="AH260" s="6">
        <f>IF(OR(原始資料!$A260="",33&gt;設定!$B$3,原始資料!AJ260=""),"",IF(AND(原始資料!AI260&lt;&gt;"",原始資料!AJ260=原始資料!AI260),N(AG260)+1,1))</f>
        <v/>
      </c>
      <c r="AI260" s="6">
        <f>IF(OR(原始資料!$A260="",34&gt;設定!$B$3,原始資料!AK260=""),"",IF(AND(原始資料!AJ260&lt;&gt;"",原始資料!AK260=原始資料!AJ260),N(AH260)+1,1))</f>
        <v/>
      </c>
      <c r="AJ260" s="6">
        <f>IF(OR(原始資料!$A260="",35&gt;設定!$B$3,原始資料!AL260=""),"",IF(AND(原始資料!AK260&lt;&gt;"",原始資料!AL260=原始資料!AK260),N(AI260)+1,1))</f>
        <v/>
      </c>
      <c r="AK260" s="6">
        <f>IF(OR(原始資料!$A260="",36&gt;設定!$B$3,原始資料!AM260=""),"",IF(AND(原始資料!AL260&lt;&gt;"",原始資料!AM260=原始資料!AL260),N(AJ260)+1,1))</f>
        <v/>
      </c>
      <c r="AL260" s="6">
        <f>IF(OR(原始資料!$A260="",37&gt;設定!$B$3,原始資料!AN260=""),"",IF(AND(原始資料!AM260&lt;&gt;"",原始資料!AN260=原始資料!AM260),N(AK260)+1,1))</f>
        <v/>
      </c>
      <c r="AM260" s="6">
        <f>IF(OR(原始資料!$A260="",38&gt;設定!$B$3,原始資料!AO260=""),"",IF(AND(原始資料!AN260&lt;&gt;"",原始資料!AO260=原始資料!AN260),N(AL260)+1,1))</f>
        <v/>
      </c>
      <c r="AN260" s="6">
        <f>IF(OR(原始資料!$A260="",39&gt;設定!$B$3,原始資料!AP260=""),"",IF(AND(原始資料!AO260&lt;&gt;"",原始資料!AP260=原始資料!AO260),N(AM260)+1,1))</f>
        <v/>
      </c>
      <c r="AO260" s="6">
        <f>IF(OR(原始資料!$A260="",40&gt;設定!$B$3,原始資料!AQ260=""),"",IF(AND(原始資料!AP260&lt;&gt;"",原始資料!AQ260=原始資料!AP260),N(AN260)+1,1))</f>
        <v/>
      </c>
      <c r="AP260" s="6">
        <f>IF(OR(原始資料!$A260="",41&gt;設定!$B$3,原始資料!AR260=""),"",IF(AND(原始資料!AQ260&lt;&gt;"",原始資料!AR260=原始資料!AQ260),N(AO260)+1,1))</f>
        <v/>
      </c>
      <c r="AQ260" s="6">
        <f>IF(OR(原始資料!$A260="",42&gt;設定!$B$3,原始資料!AS260=""),"",IF(AND(原始資料!AR260&lt;&gt;"",原始資料!AS260=原始資料!AR260),N(AP260)+1,1))</f>
        <v/>
      </c>
      <c r="AR260" s="6">
        <f>IF(OR(原始資料!$A260="",43&gt;設定!$B$3,原始資料!AT260=""),"",IF(AND(原始資料!AS260&lt;&gt;"",原始資料!AT260=原始資料!AS260),N(AQ260)+1,1))</f>
        <v/>
      </c>
      <c r="AS260" s="6">
        <f>IF(OR(原始資料!$A260="",44&gt;設定!$B$3,原始資料!AU260=""),"",IF(AND(原始資料!AT260&lt;&gt;"",原始資料!AU260=原始資料!AT260),N(AR260)+1,1))</f>
        <v/>
      </c>
      <c r="AT260" s="6">
        <f>IF(OR(原始資料!$A260="",45&gt;設定!$B$3,原始資料!AV260=""),"",IF(AND(原始資料!AU260&lt;&gt;"",原始資料!AV260=原始資料!AU260),N(AS260)+1,1))</f>
        <v/>
      </c>
      <c r="AU260" s="6">
        <f>IF(OR(原始資料!$A260="",46&gt;設定!$B$3,原始資料!AW260=""),"",IF(AND(原始資料!AV260&lt;&gt;"",原始資料!AW260=原始資料!AV260),N(AT260)+1,1))</f>
        <v/>
      </c>
      <c r="AV260" s="6">
        <f>IF(OR(原始資料!$A260="",47&gt;設定!$B$3,原始資料!AX260=""),"",IF(AND(原始資料!AW260&lt;&gt;"",原始資料!AX260=原始資料!AW260),N(AU260)+1,1))</f>
        <v/>
      </c>
      <c r="AW260" s="6">
        <f>IF(OR(原始資料!$A260="",48&gt;設定!$B$3,原始資料!AY260=""),"",IF(AND(原始資料!AX260&lt;&gt;"",原始資料!AY260=原始資料!AX260),N(AV260)+1,1))</f>
        <v/>
      </c>
      <c r="AX260" s="6">
        <f>IF(OR(原始資料!$A260="",49&gt;設定!$B$3,原始資料!AZ260=""),"",IF(AND(原始資料!AY260&lt;&gt;"",原始資料!AZ260=原始資料!AY260),N(AW260)+1,1))</f>
        <v/>
      </c>
      <c r="AY260" s="6">
        <f>IF(OR(原始資料!$A260="",50&gt;設定!$B$3,原始資料!BA260=""),"",IF(AND(原始資料!AZ260&lt;&gt;"",原始資料!BA260=原始資料!AZ260),N(AX260)+1,1))</f>
        <v/>
      </c>
      <c r="AZ260" s="6">
        <f>IF(OR(原始資料!$A260="",51&gt;設定!$B$3,原始資料!BB260=""),"",IF(AND(原始資料!BA260&lt;&gt;"",原始資料!BB260=原始資料!BA260),N(AY260)+1,1))</f>
        <v/>
      </c>
      <c r="BA260" s="6">
        <f>IF(OR(原始資料!$A260="",52&gt;設定!$B$3,原始資料!BC260=""),"",IF(AND(原始資料!BB260&lt;&gt;"",原始資料!BC260=原始資料!BB260),N(AZ260)+1,1))</f>
        <v/>
      </c>
      <c r="BB260" s="6">
        <f>IF(OR(原始資料!$A260="",53&gt;設定!$B$3,原始資料!BD260=""),"",IF(AND(原始資料!BC260&lt;&gt;"",原始資料!BD260=原始資料!BC260),N(BA260)+1,1))</f>
        <v/>
      </c>
      <c r="BC260" s="6">
        <f>IF(OR(原始資料!$A260="",54&gt;設定!$B$3,原始資料!BE260=""),"",IF(AND(原始資料!BD260&lt;&gt;"",原始資料!BE260=原始資料!BD260),N(BB260)+1,1))</f>
        <v/>
      </c>
      <c r="BD260" s="6">
        <f>IF(OR(原始資料!$A260="",55&gt;設定!$B$3,原始資料!BF260=""),"",IF(AND(原始資料!BE260&lt;&gt;"",原始資料!BF260=原始資料!BE260),N(BC260)+1,1))</f>
        <v/>
      </c>
      <c r="BE260" s="6">
        <f>IF(OR(原始資料!$A260="",56&gt;設定!$B$3,原始資料!BG260=""),"",IF(AND(原始資料!BF260&lt;&gt;"",原始資料!BG260=原始資料!BF260),N(BD260)+1,1))</f>
        <v/>
      </c>
      <c r="BF260" s="6">
        <f>IF(OR(原始資料!$A260="",57&gt;設定!$B$3,原始資料!BH260=""),"",IF(AND(原始資料!BG260&lt;&gt;"",原始資料!BH260=原始資料!BG260),N(BE260)+1,1))</f>
        <v/>
      </c>
      <c r="BG260" s="6">
        <f>IF(OR(原始資料!$A260="",58&gt;設定!$B$3,原始資料!BI260=""),"",IF(AND(原始資料!BH260&lt;&gt;"",原始資料!BI260=原始資料!BH260),N(BF260)+1,1))</f>
        <v/>
      </c>
      <c r="BH260" s="6">
        <f>IF(OR(原始資料!$A260="",59&gt;設定!$B$3,原始資料!BJ260=""),"",IF(AND(原始資料!BI260&lt;&gt;"",原始資料!BJ260=原始資料!BI260),N(BG260)+1,1))</f>
        <v/>
      </c>
      <c r="BI260" s="6">
        <f>IF(OR(原始資料!$A260="",60&gt;設定!$B$3,原始資料!BK260=""),"",IF(AND(原始資料!BJ260&lt;&gt;"",原始資料!BK260=原始資料!BJ260),N(BH260)+1,1))</f>
        <v/>
      </c>
    </row>
    <row r="261">
      <c r="A261" s="6">
        <f>IF(原始資料!$A261="","",原始資料!$A261)</f>
        <v/>
      </c>
      <c r="B261" s="6">
        <f>IF(OR(原始資料!$A261="",1&gt;設定!$B$3,原始資料!D261=""),"",1)</f>
        <v/>
      </c>
      <c r="C261" s="6">
        <f>IF(OR(原始資料!$A261="",2&gt;設定!$B$3,原始資料!E261=""),"",IF(AND(原始資料!D261&lt;&gt;"",原始資料!E261=原始資料!D261),N(B261)+1,1))</f>
        <v/>
      </c>
      <c r="D261" s="6">
        <f>IF(OR(原始資料!$A261="",3&gt;設定!$B$3,原始資料!F261=""),"",IF(AND(原始資料!E261&lt;&gt;"",原始資料!F261=原始資料!E261),N(C261)+1,1))</f>
        <v/>
      </c>
      <c r="E261" s="6">
        <f>IF(OR(原始資料!$A261="",4&gt;設定!$B$3,原始資料!G261=""),"",IF(AND(原始資料!F261&lt;&gt;"",原始資料!G261=原始資料!F261),N(D261)+1,1))</f>
        <v/>
      </c>
      <c r="F261" s="6">
        <f>IF(OR(原始資料!$A261="",5&gt;設定!$B$3,原始資料!H261=""),"",IF(AND(原始資料!G261&lt;&gt;"",原始資料!H261=原始資料!G261),N(E261)+1,1))</f>
        <v/>
      </c>
      <c r="G261" s="6">
        <f>IF(OR(原始資料!$A261="",6&gt;設定!$B$3,原始資料!I261=""),"",IF(AND(原始資料!H261&lt;&gt;"",原始資料!I261=原始資料!H261),N(F261)+1,1))</f>
        <v/>
      </c>
      <c r="H261" s="6">
        <f>IF(OR(原始資料!$A261="",7&gt;設定!$B$3,原始資料!J261=""),"",IF(AND(原始資料!I261&lt;&gt;"",原始資料!J261=原始資料!I261),N(G261)+1,1))</f>
        <v/>
      </c>
      <c r="I261" s="6">
        <f>IF(OR(原始資料!$A261="",8&gt;設定!$B$3,原始資料!K261=""),"",IF(AND(原始資料!J261&lt;&gt;"",原始資料!K261=原始資料!J261),N(H261)+1,1))</f>
        <v/>
      </c>
      <c r="J261" s="6">
        <f>IF(OR(原始資料!$A261="",9&gt;設定!$B$3,原始資料!L261=""),"",IF(AND(原始資料!K261&lt;&gt;"",原始資料!L261=原始資料!K261),N(I261)+1,1))</f>
        <v/>
      </c>
      <c r="K261" s="6">
        <f>IF(OR(原始資料!$A261="",10&gt;設定!$B$3,原始資料!M261=""),"",IF(AND(原始資料!L261&lt;&gt;"",原始資料!M261=原始資料!L261),N(J261)+1,1))</f>
        <v/>
      </c>
      <c r="L261" s="6">
        <f>IF(OR(原始資料!$A261="",11&gt;設定!$B$3,原始資料!N261=""),"",IF(AND(原始資料!M261&lt;&gt;"",原始資料!N261=原始資料!M261),N(K261)+1,1))</f>
        <v/>
      </c>
      <c r="M261" s="6">
        <f>IF(OR(原始資料!$A261="",12&gt;設定!$B$3,原始資料!O261=""),"",IF(AND(原始資料!N261&lt;&gt;"",原始資料!O261=原始資料!N261),N(L261)+1,1))</f>
        <v/>
      </c>
      <c r="N261" s="6">
        <f>IF(OR(原始資料!$A261="",13&gt;設定!$B$3,原始資料!P261=""),"",IF(AND(原始資料!O261&lt;&gt;"",原始資料!P261=原始資料!O261),N(M261)+1,1))</f>
        <v/>
      </c>
      <c r="O261" s="6">
        <f>IF(OR(原始資料!$A261="",14&gt;設定!$B$3,原始資料!Q261=""),"",IF(AND(原始資料!P261&lt;&gt;"",原始資料!Q261=原始資料!P261),N(N261)+1,1))</f>
        <v/>
      </c>
      <c r="P261" s="6">
        <f>IF(OR(原始資料!$A261="",15&gt;設定!$B$3,原始資料!R261=""),"",IF(AND(原始資料!Q261&lt;&gt;"",原始資料!R261=原始資料!Q261),N(O261)+1,1))</f>
        <v/>
      </c>
      <c r="Q261" s="6">
        <f>IF(OR(原始資料!$A261="",16&gt;設定!$B$3,原始資料!S261=""),"",IF(AND(原始資料!R261&lt;&gt;"",原始資料!S261=原始資料!R261),N(P261)+1,1))</f>
        <v/>
      </c>
      <c r="R261" s="6">
        <f>IF(OR(原始資料!$A261="",17&gt;設定!$B$3,原始資料!T261=""),"",IF(AND(原始資料!S261&lt;&gt;"",原始資料!T261=原始資料!S261),N(Q261)+1,1))</f>
        <v/>
      </c>
      <c r="S261" s="6">
        <f>IF(OR(原始資料!$A261="",18&gt;設定!$B$3,原始資料!U261=""),"",IF(AND(原始資料!T261&lt;&gt;"",原始資料!U261=原始資料!T261),N(R261)+1,1))</f>
        <v/>
      </c>
      <c r="T261" s="6">
        <f>IF(OR(原始資料!$A261="",19&gt;設定!$B$3,原始資料!V261=""),"",IF(AND(原始資料!U261&lt;&gt;"",原始資料!V261=原始資料!U261),N(S261)+1,1))</f>
        <v/>
      </c>
      <c r="U261" s="6">
        <f>IF(OR(原始資料!$A261="",20&gt;設定!$B$3,原始資料!W261=""),"",IF(AND(原始資料!V261&lt;&gt;"",原始資料!W261=原始資料!V261),N(T261)+1,1))</f>
        <v/>
      </c>
      <c r="V261" s="6">
        <f>IF(OR(原始資料!$A261="",21&gt;設定!$B$3,原始資料!X261=""),"",IF(AND(原始資料!W261&lt;&gt;"",原始資料!X261=原始資料!W261),N(U261)+1,1))</f>
        <v/>
      </c>
      <c r="W261" s="6">
        <f>IF(OR(原始資料!$A261="",22&gt;設定!$B$3,原始資料!Y261=""),"",IF(AND(原始資料!X261&lt;&gt;"",原始資料!Y261=原始資料!X261),N(V261)+1,1))</f>
        <v/>
      </c>
      <c r="X261" s="6">
        <f>IF(OR(原始資料!$A261="",23&gt;設定!$B$3,原始資料!Z261=""),"",IF(AND(原始資料!Y261&lt;&gt;"",原始資料!Z261=原始資料!Y261),N(W261)+1,1))</f>
        <v/>
      </c>
      <c r="Y261" s="6">
        <f>IF(OR(原始資料!$A261="",24&gt;設定!$B$3,原始資料!AA261=""),"",IF(AND(原始資料!Z261&lt;&gt;"",原始資料!AA261=原始資料!Z261),N(X261)+1,1))</f>
        <v/>
      </c>
      <c r="Z261" s="6">
        <f>IF(OR(原始資料!$A261="",25&gt;設定!$B$3,原始資料!AB261=""),"",IF(AND(原始資料!AA261&lt;&gt;"",原始資料!AB261=原始資料!AA261),N(Y261)+1,1))</f>
        <v/>
      </c>
      <c r="AA261" s="6">
        <f>IF(OR(原始資料!$A261="",26&gt;設定!$B$3,原始資料!AC261=""),"",IF(AND(原始資料!AB261&lt;&gt;"",原始資料!AC261=原始資料!AB261),N(Z261)+1,1))</f>
        <v/>
      </c>
      <c r="AB261" s="6">
        <f>IF(OR(原始資料!$A261="",27&gt;設定!$B$3,原始資料!AD261=""),"",IF(AND(原始資料!AC261&lt;&gt;"",原始資料!AD261=原始資料!AC261),N(AA261)+1,1))</f>
        <v/>
      </c>
      <c r="AC261" s="6">
        <f>IF(OR(原始資料!$A261="",28&gt;設定!$B$3,原始資料!AE261=""),"",IF(AND(原始資料!AD261&lt;&gt;"",原始資料!AE261=原始資料!AD261),N(AB261)+1,1))</f>
        <v/>
      </c>
      <c r="AD261" s="6">
        <f>IF(OR(原始資料!$A261="",29&gt;設定!$B$3,原始資料!AF261=""),"",IF(AND(原始資料!AE261&lt;&gt;"",原始資料!AF261=原始資料!AE261),N(AC261)+1,1))</f>
        <v/>
      </c>
      <c r="AE261" s="6">
        <f>IF(OR(原始資料!$A261="",30&gt;設定!$B$3,原始資料!AG261=""),"",IF(AND(原始資料!AF261&lt;&gt;"",原始資料!AG261=原始資料!AF261),N(AD261)+1,1))</f>
        <v/>
      </c>
      <c r="AF261" s="6">
        <f>IF(OR(原始資料!$A261="",31&gt;設定!$B$3,原始資料!AH261=""),"",IF(AND(原始資料!AG261&lt;&gt;"",原始資料!AH261=原始資料!AG261),N(AE261)+1,1))</f>
        <v/>
      </c>
      <c r="AG261" s="6">
        <f>IF(OR(原始資料!$A261="",32&gt;設定!$B$3,原始資料!AI261=""),"",IF(AND(原始資料!AH261&lt;&gt;"",原始資料!AI261=原始資料!AH261),N(AF261)+1,1))</f>
        <v/>
      </c>
      <c r="AH261" s="6">
        <f>IF(OR(原始資料!$A261="",33&gt;設定!$B$3,原始資料!AJ261=""),"",IF(AND(原始資料!AI261&lt;&gt;"",原始資料!AJ261=原始資料!AI261),N(AG261)+1,1))</f>
        <v/>
      </c>
      <c r="AI261" s="6">
        <f>IF(OR(原始資料!$A261="",34&gt;設定!$B$3,原始資料!AK261=""),"",IF(AND(原始資料!AJ261&lt;&gt;"",原始資料!AK261=原始資料!AJ261),N(AH261)+1,1))</f>
        <v/>
      </c>
      <c r="AJ261" s="6">
        <f>IF(OR(原始資料!$A261="",35&gt;設定!$B$3,原始資料!AL261=""),"",IF(AND(原始資料!AK261&lt;&gt;"",原始資料!AL261=原始資料!AK261),N(AI261)+1,1))</f>
        <v/>
      </c>
      <c r="AK261" s="6">
        <f>IF(OR(原始資料!$A261="",36&gt;設定!$B$3,原始資料!AM261=""),"",IF(AND(原始資料!AL261&lt;&gt;"",原始資料!AM261=原始資料!AL261),N(AJ261)+1,1))</f>
        <v/>
      </c>
      <c r="AL261" s="6">
        <f>IF(OR(原始資料!$A261="",37&gt;設定!$B$3,原始資料!AN261=""),"",IF(AND(原始資料!AM261&lt;&gt;"",原始資料!AN261=原始資料!AM261),N(AK261)+1,1))</f>
        <v/>
      </c>
      <c r="AM261" s="6">
        <f>IF(OR(原始資料!$A261="",38&gt;設定!$B$3,原始資料!AO261=""),"",IF(AND(原始資料!AN261&lt;&gt;"",原始資料!AO261=原始資料!AN261),N(AL261)+1,1))</f>
        <v/>
      </c>
      <c r="AN261" s="6">
        <f>IF(OR(原始資料!$A261="",39&gt;設定!$B$3,原始資料!AP261=""),"",IF(AND(原始資料!AO261&lt;&gt;"",原始資料!AP261=原始資料!AO261),N(AM261)+1,1))</f>
        <v/>
      </c>
      <c r="AO261" s="6">
        <f>IF(OR(原始資料!$A261="",40&gt;設定!$B$3,原始資料!AQ261=""),"",IF(AND(原始資料!AP261&lt;&gt;"",原始資料!AQ261=原始資料!AP261),N(AN261)+1,1))</f>
        <v/>
      </c>
      <c r="AP261" s="6">
        <f>IF(OR(原始資料!$A261="",41&gt;設定!$B$3,原始資料!AR261=""),"",IF(AND(原始資料!AQ261&lt;&gt;"",原始資料!AR261=原始資料!AQ261),N(AO261)+1,1))</f>
        <v/>
      </c>
      <c r="AQ261" s="6">
        <f>IF(OR(原始資料!$A261="",42&gt;設定!$B$3,原始資料!AS261=""),"",IF(AND(原始資料!AR261&lt;&gt;"",原始資料!AS261=原始資料!AR261),N(AP261)+1,1))</f>
        <v/>
      </c>
      <c r="AR261" s="6">
        <f>IF(OR(原始資料!$A261="",43&gt;設定!$B$3,原始資料!AT261=""),"",IF(AND(原始資料!AS261&lt;&gt;"",原始資料!AT261=原始資料!AS261),N(AQ261)+1,1))</f>
        <v/>
      </c>
      <c r="AS261" s="6">
        <f>IF(OR(原始資料!$A261="",44&gt;設定!$B$3,原始資料!AU261=""),"",IF(AND(原始資料!AT261&lt;&gt;"",原始資料!AU261=原始資料!AT261),N(AR261)+1,1))</f>
        <v/>
      </c>
      <c r="AT261" s="6">
        <f>IF(OR(原始資料!$A261="",45&gt;設定!$B$3,原始資料!AV261=""),"",IF(AND(原始資料!AU261&lt;&gt;"",原始資料!AV261=原始資料!AU261),N(AS261)+1,1))</f>
        <v/>
      </c>
      <c r="AU261" s="6">
        <f>IF(OR(原始資料!$A261="",46&gt;設定!$B$3,原始資料!AW261=""),"",IF(AND(原始資料!AV261&lt;&gt;"",原始資料!AW261=原始資料!AV261),N(AT261)+1,1))</f>
        <v/>
      </c>
      <c r="AV261" s="6">
        <f>IF(OR(原始資料!$A261="",47&gt;設定!$B$3,原始資料!AX261=""),"",IF(AND(原始資料!AW261&lt;&gt;"",原始資料!AX261=原始資料!AW261),N(AU261)+1,1))</f>
        <v/>
      </c>
      <c r="AW261" s="6">
        <f>IF(OR(原始資料!$A261="",48&gt;設定!$B$3,原始資料!AY261=""),"",IF(AND(原始資料!AX261&lt;&gt;"",原始資料!AY261=原始資料!AX261),N(AV261)+1,1))</f>
        <v/>
      </c>
      <c r="AX261" s="6">
        <f>IF(OR(原始資料!$A261="",49&gt;設定!$B$3,原始資料!AZ261=""),"",IF(AND(原始資料!AY261&lt;&gt;"",原始資料!AZ261=原始資料!AY261),N(AW261)+1,1))</f>
        <v/>
      </c>
      <c r="AY261" s="6">
        <f>IF(OR(原始資料!$A261="",50&gt;設定!$B$3,原始資料!BA261=""),"",IF(AND(原始資料!AZ261&lt;&gt;"",原始資料!BA261=原始資料!AZ261),N(AX261)+1,1))</f>
        <v/>
      </c>
      <c r="AZ261" s="6">
        <f>IF(OR(原始資料!$A261="",51&gt;設定!$B$3,原始資料!BB261=""),"",IF(AND(原始資料!BA261&lt;&gt;"",原始資料!BB261=原始資料!BA261),N(AY261)+1,1))</f>
        <v/>
      </c>
      <c r="BA261" s="6">
        <f>IF(OR(原始資料!$A261="",52&gt;設定!$B$3,原始資料!BC261=""),"",IF(AND(原始資料!BB261&lt;&gt;"",原始資料!BC261=原始資料!BB261),N(AZ261)+1,1))</f>
        <v/>
      </c>
      <c r="BB261" s="6">
        <f>IF(OR(原始資料!$A261="",53&gt;設定!$B$3,原始資料!BD261=""),"",IF(AND(原始資料!BC261&lt;&gt;"",原始資料!BD261=原始資料!BC261),N(BA261)+1,1))</f>
        <v/>
      </c>
      <c r="BC261" s="6">
        <f>IF(OR(原始資料!$A261="",54&gt;設定!$B$3,原始資料!BE261=""),"",IF(AND(原始資料!BD261&lt;&gt;"",原始資料!BE261=原始資料!BD261),N(BB261)+1,1))</f>
        <v/>
      </c>
      <c r="BD261" s="6">
        <f>IF(OR(原始資料!$A261="",55&gt;設定!$B$3,原始資料!BF261=""),"",IF(AND(原始資料!BE261&lt;&gt;"",原始資料!BF261=原始資料!BE261),N(BC261)+1,1))</f>
        <v/>
      </c>
      <c r="BE261" s="6">
        <f>IF(OR(原始資料!$A261="",56&gt;設定!$B$3,原始資料!BG261=""),"",IF(AND(原始資料!BF261&lt;&gt;"",原始資料!BG261=原始資料!BF261),N(BD261)+1,1))</f>
        <v/>
      </c>
      <c r="BF261" s="6">
        <f>IF(OR(原始資料!$A261="",57&gt;設定!$B$3,原始資料!BH261=""),"",IF(AND(原始資料!BG261&lt;&gt;"",原始資料!BH261=原始資料!BG261),N(BE261)+1,1))</f>
        <v/>
      </c>
      <c r="BG261" s="6">
        <f>IF(OR(原始資料!$A261="",58&gt;設定!$B$3,原始資料!BI261=""),"",IF(AND(原始資料!BH261&lt;&gt;"",原始資料!BI261=原始資料!BH261),N(BF261)+1,1))</f>
        <v/>
      </c>
      <c r="BH261" s="6">
        <f>IF(OR(原始資料!$A261="",59&gt;設定!$B$3,原始資料!BJ261=""),"",IF(AND(原始資料!BI261&lt;&gt;"",原始資料!BJ261=原始資料!BI261),N(BG261)+1,1))</f>
        <v/>
      </c>
      <c r="BI261" s="6">
        <f>IF(OR(原始資料!$A261="",60&gt;設定!$B$3,原始資料!BK261=""),"",IF(AND(原始資料!BJ261&lt;&gt;"",原始資料!BK261=原始資料!BJ261),N(BH261)+1,1))</f>
        <v/>
      </c>
    </row>
    <row r="262">
      <c r="A262" s="6">
        <f>IF(原始資料!$A262="","",原始資料!$A262)</f>
        <v/>
      </c>
      <c r="B262" s="6">
        <f>IF(OR(原始資料!$A262="",1&gt;設定!$B$3,原始資料!D262=""),"",1)</f>
        <v/>
      </c>
      <c r="C262" s="6">
        <f>IF(OR(原始資料!$A262="",2&gt;設定!$B$3,原始資料!E262=""),"",IF(AND(原始資料!D262&lt;&gt;"",原始資料!E262=原始資料!D262),N(B262)+1,1))</f>
        <v/>
      </c>
      <c r="D262" s="6">
        <f>IF(OR(原始資料!$A262="",3&gt;設定!$B$3,原始資料!F262=""),"",IF(AND(原始資料!E262&lt;&gt;"",原始資料!F262=原始資料!E262),N(C262)+1,1))</f>
        <v/>
      </c>
      <c r="E262" s="6">
        <f>IF(OR(原始資料!$A262="",4&gt;設定!$B$3,原始資料!G262=""),"",IF(AND(原始資料!F262&lt;&gt;"",原始資料!G262=原始資料!F262),N(D262)+1,1))</f>
        <v/>
      </c>
      <c r="F262" s="6">
        <f>IF(OR(原始資料!$A262="",5&gt;設定!$B$3,原始資料!H262=""),"",IF(AND(原始資料!G262&lt;&gt;"",原始資料!H262=原始資料!G262),N(E262)+1,1))</f>
        <v/>
      </c>
      <c r="G262" s="6">
        <f>IF(OR(原始資料!$A262="",6&gt;設定!$B$3,原始資料!I262=""),"",IF(AND(原始資料!H262&lt;&gt;"",原始資料!I262=原始資料!H262),N(F262)+1,1))</f>
        <v/>
      </c>
      <c r="H262" s="6">
        <f>IF(OR(原始資料!$A262="",7&gt;設定!$B$3,原始資料!J262=""),"",IF(AND(原始資料!I262&lt;&gt;"",原始資料!J262=原始資料!I262),N(G262)+1,1))</f>
        <v/>
      </c>
      <c r="I262" s="6">
        <f>IF(OR(原始資料!$A262="",8&gt;設定!$B$3,原始資料!K262=""),"",IF(AND(原始資料!J262&lt;&gt;"",原始資料!K262=原始資料!J262),N(H262)+1,1))</f>
        <v/>
      </c>
      <c r="J262" s="6">
        <f>IF(OR(原始資料!$A262="",9&gt;設定!$B$3,原始資料!L262=""),"",IF(AND(原始資料!K262&lt;&gt;"",原始資料!L262=原始資料!K262),N(I262)+1,1))</f>
        <v/>
      </c>
      <c r="K262" s="6">
        <f>IF(OR(原始資料!$A262="",10&gt;設定!$B$3,原始資料!M262=""),"",IF(AND(原始資料!L262&lt;&gt;"",原始資料!M262=原始資料!L262),N(J262)+1,1))</f>
        <v/>
      </c>
      <c r="L262" s="6">
        <f>IF(OR(原始資料!$A262="",11&gt;設定!$B$3,原始資料!N262=""),"",IF(AND(原始資料!M262&lt;&gt;"",原始資料!N262=原始資料!M262),N(K262)+1,1))</f>
        <v/>
      </c>
      <c r="M262" s="6">
        <f>IF(OR(原始資料!$A262="",12&gt;設定!$B$3,原始資料!O262=""),"",IF(AND(原始資料!N262&lt;&gt;"",原始資料!O262=原始資料!N262),N(L262)+1,1))</f>
        <v/>
      </c>
      <c r="N262" s="6">
        <f>IF(OR(原始資料!$A262="",13&gt;設定!$B$3,原始資料!P262=""),"",IF(AND(原始資料!O262&lt;&gt;"",原始資料!P262=原始資料!O262),N(M262)+1,1))</f>
        <v/>
      </c>
      <c r="O262" s="6">
        <f>IF(OR(原始資料!$A262="",14&gt;設定!$B$3,原始資料!Q262=""),"",IF(AND(原始資料!P262&lt;&gt;"",原始資料!Q262=原始資料!P262),N(N262)+1,1))</f>
        <v/>
      </c>
      <c r="P262" s="6">
        <f>IF(OR(原始資料!$A262="",15&gt;設定!$B$3,原始資料!R262=""),"",IF(AND(原始資料!Q262&lt;&gt;"",原始資料!R262=原始資料!Q262),N(O262)+1,1))</f>
        <v/>
      </c>
      <c r="Q262" s="6">
        <f>IF(OR(原始資料!$A262="",16&gt;設定!$B$3,原始資料!S262=""),"",IF(AND(原始資料!R262&lt;&gt;"",原始資料!S262=原始資料!R262),N(P262)+1,1))</f>
        <v/>
      </c>
      <c r="R262" s="6">
        <f>IF(OR(原始資料!$A262="",17&gt;設定!$B$3,原始資料!T262=""),"",IF(AND(原始資料!S262&lt;&gt;"",原始資料!T262=原始資料!S262),N(Q262)+1,1))</f>
        <v/>
      </c>
      <c r="S262" s="6">
        <f>IF(OR(原始資料!$A262="",18&gt;設定!$B$3,原始資料!U262=""),"",IF(AND(原始資料!T262&lt;&gt;"",原始資料!U262=原始資料!T262),N(R262)+1,1))</f>
        <v/>
      </c>
      <c r="T262" s="6">
        <f>IF(OR(原始資料!$A262="",19&gt;設定!$B$3,原始資料!V262=""),"",IF(AND(原始資料!U262&lt;&gt;"",原始資料!V262=原始資料!U262),N(S262)+1,1))</f>
        <v/>
      </c>
      <c r="U262" s="6">
        <f>IF(OR(原始資料!$A262="",20&gt;設定!$B$3,原始資料!W262=""),"",IF(AND(原始資料!V262&lt;&gt;"",原始資料!W262=原始資料!V262),N(T262)+1,1))</f>
        <v/>
      </c>
      <c r="V262" s="6">
        <f>IF(OR(原始資料!$A262="",21&gt;設定!$B$3,原始資料!X262=""),"",IF(AND(原始資料!W262&lt;&gt;"",原始資料!X262=原始資料!W262),N(U262)+1,1))</f>
        <v/>
      </c>
      <c r="W262" s="6">
        <f>IF(OR(原始資料!$A262="",22&gt;設定!$B$3,原始資料!Y262=""),"",IF(AND(原始資料!X262&lt;&gt;"",原始資料!Y262=原始資料!X262),N(V262)+1,1))</f>
        <v/>
      </c>
      <c r="X262" s="6">
        <f>IF(OR(原始資料!$A262="",23&gt;設定!$B$3,原始資料!Z262=""),"",IF(AND(原始資料!Y262&lt;&gt;"",原始資料!Z262=原始資料!Y262),N(W262)+1,1))</f>
        <v/>
      </c>
      <c r="Y262" s="6">
        <f>IF(OR(原始資料!$A262="",24&gt;設定!$B$3,原始資料!AA262=""),"",IF(AND(原始資料!Z262&lt;&gt;"",原始資料!AA262=原始資料!Z262),N(X262)+1,1))</f>
        <v/>
      </c>
      <c r="Z262" s="6">
        <f>IF(OR(原始資料!$A262="",25&gt;設定!$B$3,原始資料!AB262=""),"",IF(AND(原始資料!AA262&lt;&gt;"",原始資料!AB262=原始資料!AA262),N(Y262)+1,1))</f>
        <v/>
      </c>
      <c r="AA262" s="6">
        <f>IF(OR(原始資料!$A262="",26&gt;設定!$B$3,原始資料!AC262=""),"",IF(AND(原始資料!AB262&lt;&gt;"",原始資料!AC262=原始資料!AB262),N(Z262)+1,1))</f>
        <v/>
      </c>
      <c r="AB262" s="6">
        <f>IF(OR(原始資料!$A262="",27&gt;設定!$B$3,原始資料!AD262=""),"",IF(AND(原始資料!AC262&lt;&gt;"",原始資料!AD262=原始資料!AC262),N(AA262)+1,1))</f>
        <v/>
      </c>
      <c r="AC262" s="6">
        <f>IF(OR(原始資料!$A262="",28&gt;設定!$B$3,原始資料!AE262=""),"",IF(AND(原始資料!AD262&lt;&gt;"",原始資料!AE262=原始資料!AD262),N(AB262)+1,1))</f>
        <v/>
      </c>
      <c r="AD262" s="6">
        <f>IF(OR(原始資料!$A262="",29&gt;設定!$B$3,原始資料!AF262=""),"",IF(AND(原始資料!AE262&lt;&gt;"",原始資料!AF262=原始資料!AE262),N(AC262)+1,1))</f>
        <v/>
      </c>
      <c r="AE262" s="6">
        <f>IF(OR(原始資料!$A262="",30&gt;設定!$B$3,原始資料!AG262=""),"",IF(AND(原始資料!AF262&lt;&gt;"",原始資料!AG262=原始資料!AF262),N(AD262)+1,1))</f>
        <v/>
      </c>
      <c r="AF262" s="6">
        <f>IF(OR(原始資料!$A262="",31&gt;設定!$B$3,原始資料!AH262=""),"",IF(AND(原始資料!AG262&lt;&gt;"",原始資料!AH262=原始資料!AG262),N(AE262)+1,1))</f>
        <v/>
      </c>
      <c r="AG262" s="6">
        <f>IF(OR(原始資料!$A262="",32&gt;設定!$B$3,原始資料!AI262=""),"",IF(AND(原始資料!AH262&lt;&gt;"",原始資料!AI262=原始資料!AH262),N(AF262)+1,1))</f>
        <v/>
      </c>
      <c r="AH262" s="6">
        <f>IF(OR(原始資料!$A262="",33&gt;設定!$B$3,原始資料!AJ262=""),"",IF(AND(原始資料!AI262&lt;&gt;"",原始資料!AJ262=原始資料!AI262),N(AG262)+1,1))</f>
        <v/>
      </c>
      <c r="AI262" s="6">
        <f>IF(OR(原始資料!$A262="",34&gt;設定!$B$3,原始資料!AK262=""),"",IF(AND(原始資料!AJ262&lt;&gt;"",原始資料!AK262=原始資料!AJ262),N(AH262)+1,1))</f>
        <v/>
      </c>
      <c r="AJ262" s="6">
        <f>IF(OR(原始資料!$A262="",35&gt;設定!$B$3,原始資料!AL262=""),"",IF(AND(原始資料!AK262&lt;&gt;"",原始資料!AL262=原始資料!AK262),N(AI262)+1,1))</f>
        <v/>
      </c>
      <c r="AK262" s="6">
        <f>IF(OR(原始資料!$A262="",36&gt;設定!$B$3,原始資料!AM262=""),"",IF(AND(原始資料!AL262&lt;&gt;"",原始資料!AM262=原始資料!AL262),N(AJ262)+1,1))</f>
        <v/>
      </c>
      <c r="AL262" s="6">
        <f>IF(OR(原始資料!$A262="",37&gt;設定!$B$3,原始資料!AN262=""),"",IF(AND(原始資料!AM262&lt;&gt;"",原始資料!AN262=原始資料!AM262),N(AK262)+1,1))</f>
        <v/>
      </c>
      <c r="AM262" s="6">
        <f>IF(OR(原始資料!$A262="",38&gt;設定!$B$3,原始資料!AO262=""),"",IF(AND(原始資料!AN262&lt;&gt;"",原始資料!AO262=原始資料!AN262),N(AL262)+1,1))</f>
        <v/>
      </c>
      <c r="AN262" s="6">
        <f>IF(OR(原始資料!$A262="",39&gt;設定!$B$3,原始資料!AP262=""),"",IF(AND(原始資料!AO262&lt;&gt;"",原始資料!AP262=原始資料!AO262),N(AM262)+1,1))</f>
        <v/>
      </c>
      <c r="AO262" s="6">
        <f>IF(OR(原始資料!$A262="",40&gt;設定!$B$3,原始資料!AQ262=""),"",IF(AND(原始資料!AP262&lt;&gt;"",原始資料!AQ262=原始資料!AP262),N(AN262)+1,1))</f>
        <v/>
      </c>
      <c r="AP262" s="6">
        <f>IF(OR(原始資料!$A262="",41&gt;設定!$B$3,原始資料!AR262=""),"",IF(AND(原始資料!AQ262&lt;&gt;"",原始資料!AR262=原始資料!AQ262),N(AO262)+1,1))</f>
        <v/>
      </c>
      <c r="AQ262" s="6">
        <f>IF(OR(原始資料!$A262="",42&gt;設定!$B$3,原始資料!AS262=""),"",IF(AND(原始資料!AR262&lt;&gt;"",原始資料!AS262=原始資料!AR262),N(AP262)+1,1))</f>
        <v/>
      </c>
      <c r="AR262" s="6">
        <f>IF(OR(原始資料!$A262="",43&gt;設定!$B$3,原始資料!AT262=""),"",IF(AND(原始資料!AS262&lt;&gt;"",原始資料!AT262=原始資料!AS262),N(AQ262)+1,1))</f>
        <v/>
      </c>
      <c r="AS262" s="6">
        <f>IF(OR(原始資料!$A262="",44&gt;設定!$B$3,原始資料!AU262=""),"",IF(AND(原始資料!AT262&lt;&gt;"",原始資料!AU262=原始資料!AT262),N(AR262)+1,1))</f>
        <v/>
      </c>
      <c r="AT262" s="6">
        <f>IF(OR(原始資料!$A262="",45&gt;設定!$B$3,原始資料!AV262=""),"",IF(AND(原始資料!AU262&lt;&gt;"",原始資料!AV262=原始資料!AU262),N(AS262)+1,1))</f>
        <v/>
      </c>
      <c r="AU262" s="6">
        <f>IF(OR(原始資料!$A262="",46&gt;設定!$B$3,原始資料!AW262=""),"",IF(AND(原始資料!AV262&lt;&gt;"",原始資料!AW262=原始資料!AV262),N(AT262)+1,1))</f>
        <v/>
      </c>
      <c r="AV262" s="6">
        <f>IF(OR(原始資料!$A262="",47&gt;設定!$B$3,原始資料!AX262=""),"",IF(AND(原始資料!AW262&lt;&gt;"",原始資料!AX262=原始資料!AW262),N(AU262)+1,1))</f>
        <v/>
      </c>
      <c r="AW262" s="6">
        <f>IF(OR(原始資料!$A262="",48&gt;設定!$B$3,原始資料!AY262=""),"",IF(AND(原始資料!AX262&lt;&gt;"",原始資料!AY262=原始資料!AX262),N(AV262)+1,1))</f>
        <v/>
      </c>
      <c r="AX262" s="6">
        <f>IF(OR(原始資料!$A262="",49&gt;設定!$B$3,原始資料!AZ262=""),"",IF(AND(原始資料!AY262&lt;&gt;"",原始資料!AZ262=原始資料!AY262),N(AW262)+1,1))</f>
        <v/>
      </c>
      <c r="AY262" s="6">
        <f>IF(OR(原始資料!$A262="",50&gt;設定!$B$3,原始資料!BA262=""),"",IF(AND(原始資料!AZ262&lt;&gt;"",原始資料!BA262=原始資料!AZ262),N(AX262)+1,1))</f>
        <v/>
      </c>
      <c r="AZ262" s="6">
        <f>IF(OR(原始資料!$A262="",51&gt;設定!$B$3,原始資料!BB262=""),"",IF(AND(原始資料!BA262&lt;&gt;"",原始資料!BB262=原始資料!BA262),N(AY262)+1,1))</f>
        <v/>
      </c>
      <c r="BA262" s="6">
        <f>IF(OR(原始資料!$A262="",52&gt;設定!$B$3,原始資料!BC262=""),"",IF(AND(原始資料!BB262&lt;&gt;"",原始資料!BC262=原始資料!BB262),N(AZ262)+1,1))</f>
        <v/>
      </c>
      <c r="BB262" s="6">
        <f>IF(OR(原始資料!$A262="",53&gt;設定!$B$3,原始資料!BD262=""),"",IF(AND(原始資料!BC262&lt;&gt;"",原始資料!BD262=原始資料!BC262),N(BA262)+1,1))</f>
        <v/>
      </c>
      <c r="BC262" s="6">
        <f>IF(OR(原始資料!$A262="",54&gt;設定!$B$3,原始資料!BE262=""),"",IF(AND(原始資料!BD262&lt;&gt;"",原始資料!BE262=原始資料!BD262),N(BB262)+1,1))</f>
        <v/>
      </c>
      <c r="BD262" s="6">
        <f>IF(OR(原始資料!$A262="",55&gt;設定!$B$3,原始資料!BF262=""),"",IF(AND(原始資料!BE262&lt;&gt;"",原始資料!BF262=原始資料!BE262),N(BC262)+1,1))</f>
        <v/>
      </c>
      <c r="BE262" s="6">
        <f>IF(OR(原始資料!$A262="",56&gt;設定!$B$3,原始資料!BG262=""),"",IF(AND(原始資料!BF262&lt;&gt;"",原始資料!BG262=原始資料!BF262),N(BD262)+1,1))</f>
        <v/>
      </c>
      <c r="BF262" s="6">
        <f>IF(OR(原始資料!$A262="",57&gt;設定!$B$3,原始資料!BH262=""),"",IF(AND(原始資料!BG262&lt;&gt;"",原始資料!BH262=原始資料!BG262),N(BE262)+1,1))</f>
        <v/>
      </c>
      <c r="BG262" s="6">
        <f>IF(OR(原始資料!$A262="",58&gt;設定!$B$3,原始資料!BI262=""),"",IF(AND(原始資料!BH262&lt;&gt;"",原始資料!BI262=原始資料!BH262),N(BF262)+1,1))</f>
        <v/>
      </c>
      <c r="BH262" s="6">
        <f>IF(OR(原始資料!$A262="",59&gt;設定!$B$3,原始資料!BJ262=""),"",IF(AND(原始資料!BI262&lt;&gt;"",原始資料!BJ262=原始資料!BI262),N(BG262)+1,1))</f>
        <v/>
      </c>
      <c r="BI262" s="6">
        <f>IF(OR(原始資料!$A262="",60&gt;設定!$B$3,原始資料!BK262=""),"",IF(AND(原始資料!BJ262&lt;&gt;"",原始資料!BK262=原始資料!BJ262),N(BH262)+1,1))</f>
        <v/>
      </c>
    </row>
    <row r="263">
      <c r="A263" s="6">
        <f>IF(原始資料!$A263="","",原始資料!$A263)</f>
        <v/>
      </c>
      <c r="B263" s="6">
        <f>IF(OR(原始資料!$A263="",1&gt;設定!$B$3,原始資料!D263=""),"",1)</f>
        <v/>
      </c>
      <c r="C263" s="6">
        <f>IF(OR(原始資料!$A263="",2&gt;設定!$B$3,原始資料!E263=""),"",IF(AND(原始資料!D263&lt;&gt;"",原始資料!E263=原始資料!D263),N(B263)+1,1))</f>
        <v/>
      </c>
      <c r="D263" s="6">
        <f>IF(OR(原始資料!$A263="",3&gt;設定!$B$3,原始資料!F263=""),"",IF(AND(原始資料!E263&lt;&gt;"",原始資料!F263=原始資料!E263),N(C263)+1,1))</f>
        <v/>
      </c>
      <c r="E263" s="6">
        <f>IF(OR(原始資料!$A263="",4&gt;設定!$B$3,原始資料!G263=""),"",IF(AND(原始資料!F263&lt;&gt;"",原始資料!G263=原始資料!F263),N(D263)+1,1))</f>
        <v/>
      </c>
      <c r="F263" s="6">
        <f>IF(OR(原始資料!$A263="",5&gt;設定!$B$3,原始資料!H263=""),"",IF(AND(原始資料!G263&lt;&gt;"",原始資料!H263=原始資料!G263),N(E263)+1,1))</f>
        <v/>
      </c>
      <c r="G263" s="6">
        <f>IF(OR(原始資料!$A263="",6&gt;設定!$B$3,原始資料!I263=""),"",IF(AND(原始資料!H263&lt;&gt;"",原始資料!I263=原始資料!H263),N(F263)+1,1))</f>
        <v/>
      </c>
      <c r="H263" s="6">
        <f>IF(OR(原始資料!$A263="",7&gt;設定!$B$3,原始資料!J263=""),"",IF(AND(原始資料!I263&lt;&gt;"",原始資料!J263=原始資料!I263),N(G263)+1,1))</f>
        <v/>
      </c>
      <c r="I263" s="6">
        <f>IF(OR(原始資料!$A263="",8&gt;設定!$B$3,原始資料!K263=""),"",IF(AND(原始資料!J263&lt;&gt;"",原始資料!K263=原始資料!J263),N(H263)+1,1))</f>
        <v/>
      </c>
      <c r="J263" s="6">
        <f>IF(OR(原始資料!$A263="",9&gt;設定!$B$3,原始資料!L263=""),"",IF(AND(原始資料!K263&lt;&gt;"",原始資料!L263=原始資料!K263),N(I263)+1,1))</f>
        <v/>
      </c>
      <c r="K263" s="6">
        <f>IF(OR(原始資料!$A263="",10&gt;設定!$B$3,原始資料!M263=""),"",IF(AND(原始資料!L263&lt;&gt;"",原始資料!M263=原始資料!L263),N(J263)+1,1))</f>
        <v/>
      </c>
      <c r="L263" s="6">
        <f>IF(OR(原始資料!$A263="",11&gt;設定!$B$3,原始資料!N263=""),"",IF(AND(原始資料!M263&lt;&gt;"",原始資料!N263=原始資料!M263),N(K263)+1,1))</f>
        <v/>
      </c>
      <c r="M263" s="6">
        <f>IF(OR(原始資料!$A263="",12&gt;設定!$B$3,原始資料!O263=""),"",IF(AND(原始資料!N263&lt;&gt;"",原始資料!O263=原始資料!N263),N(L263)+1,1))</f>
        <v/>
      </c>
      <c r="N263" s="6">
        <f>IF(OR(原始資料!$A263="",13&gt;設定!$B$3,原始資料!P263=""),"",IF(AND(原始資料!O263&lt;&gt;"",原始資料!P263=原始資料!O263),N(M263)+1,1))</f>
        <v/>
      </c>
      <c r="O263" s="6">
        <f>IF(OR(原始資料!$A263="",14&gt;設定!$B$3,原始資料!Q263=""),"",IF(AND(原始資料!P263&lt;&gt;"",原始資料!Q263=原始資料!P263),N(N263)+1,1))</f>
        <v/>
      </c>
      <c r="P263" s="6">
        <f>IF(OR(原始資料!$A263="",15&gt;設定!$B$3,原始資料!R263=""),"",IF(AND(原始資料!Q263&lt;&gt;"",原始資料!R263=原始資料!Q263),N(O263)+1,1))</f>
        <v/>
      </c>
      <c r="Q263" s="6">
        <f>IF(OR(原始資料!$A263="",16&gt;設定!$B$3,原始資料!S263=""),"",IF(AND(原始資料!R263&lt;&gt;"",原始資料!S263=原始資料!R263),N(P263)+1,1))</f>
        <v/>
      </c>
      <c r="R263" s="6">
        <f>IF(OR(原始資料!$A263="",17&gt;設定!$B$3,原始資料!T263=""),"",IF(AND(原始資料!S263&lt;&gt;"",原始資料!T263=原始資料!S263),N(Q263)+1,1))</f>
        <v/>
      </c>
      <c r="S263" s="6">
        <f>IF(OR(原始資料!$A263="",18&gt;設定!$B$3,原始資料!U263=""),"",IF(AND(原始資料!T263&lt;&gt;"",原始資料!U263=原始資料!T263),N(R263)+1,1))</f>
        <v/>
      </c>
      <c r="T263" s="6">
        <f>IF(OR(原始資料!$A263="",19&gt;設定!$B$3,原始資料!V263=""),"",IF(AND(原始資料!U263&lt;&gt;"",原始資料!V263=原始資料!U263),N(S263)+1,1))</f>
        <v/>
      </c>
      <c r="U263" s="6">
        <f>IF(OR(原始資料!$A263="",20&gt;設定!$B$3,原始資料!W263=""),"",IF(AND(原始資料!V263&lt;&gt;"",原始資料!W263=原始資料!V263),N(T263)+1,1))</f>
        <v/>
      </c>
      <c r="V263" s="6">
        <f>IF(OR(原始資料!$A263="",21&gt;設定!$B$3,原始資料!X263=""),"",IF(AND(原始資料!W263&lt;&gt;"",原始資料!X263=原始資料!W263),N(U263)+1,1))</f>
        <v/>
      </c>
      <c r="W263" s="6">
        <f>IF(OR(原始資料!$A263="",22&gt;設定!$B$3,原始資料!Y263=""),"",IF(AND(原始資料!X263&lt;&gt;"",原始資料!Y263=原始資料!X263),N(V263)+1,1))</f>
        <v/>
      </c>
      <c r="X263" s="6">
        <f>IF(OR(原始資料!$A263="",23&gt;設定!$B$3,原始資料!Z263=""),"",IF(AND(原始資料!Y263&lt;&gt;"",原始資料!Z263=原始資料!Y263),N(W263)+1,1))</f>
        <v/>
      </c>
      <c r="Y263" s="6">
        <f>IF(OR(原始資料!$A263="",24&gt;設定!$B$3,原始資料!AA263=""),"",IF(AND(原始資料!Z263&lt;&gt;"",原始資料!AA263=原始資料!Z263),N(X263)+1,1))</f>
        <v/>
      </c>
      <c r="Z263" s="6">
        <f>IF(OR(原始資料!$A263="",25&gt;設定!$B$3,原始資料!AB263=""),"",IF(AND(原始資料!AA263&lt;&gt;"",原始資料!AB263=原始資料!AA263),N(Y263)+1,1))</f>
        <v/>
      </c>
      <c r="AA263" s="6">
        <f>IF(OR(原始資料!$A263="",26&gt;設定!$B$3,原始資料!AC263=""),"",IF(AND(原始資料!AB263&lt;&gt;"",原始資料!AC263=原始資料!AB263),N(Z263)+1,1))</f>
        <v/>
      </c>
      <c r="AB263" s="6">
        <f>IF(OR(原始資料!$A263="",27&gt;設定!$B$3,原始資料!AD263=""),"",IF(AND(原始資料!AC263&lt;&gt;"",原始資料!AD263=原始資料!AC263),N(AA263)+1,1))</f>
        <v/>
      </c>
      <c r="AC263" s="6">
        <f>IF(OR(原始資料!$A263="",28&gt;設定!$B$3,原始資料!AE263=""),"",IF(AND(原始資料!AD263&lt;&gt;"",原始資料!AE263=原始資料!AD263),N(AB263)+1,1))</f>
        <v/>
      </c>
      <c r="AD263" s="6">
        <f>IF(OR(原始資料!$A263="",29&gt;設定!$B$3,原始資料!AF263=""),"",IF(AND(原始資料!AE263&lt;&gt;"",原始資料!AF263=原始資料!AE263),N(AC263)+1,1))</f>
        <v/>
      </c>
      <c r="AE263" s="6">
        <f>IF(OR(原始資料!$A263="",30&gt;設定!$B$3,原始資料!AG263=""),"",IF(AND(原始資料!AF263&lt;&gt;"",原始資料!AG263=原始資料!AF263),N(AD263)+1,1))</f>
        <v/>
      </c>
      <c r="AF263" s="6">
        <f>IF(OR(原始資料!$A263="",31&gt;設定!$B$3,原始資料!AH263=""),"",IF(AND(原始資料!AG263&lt;&gt;"",原始資料!AH263=原始資料!AG263),N(AE263)+1,1))</f>
        <v/>
      </c>
      <c r="AG263" s="6">
        <f>IF(OR(原始資料!$A263="",32&gt;設定!$B$3,原始資料!AI263=""),"",IF(AND(原始資料!AH263&lt;&gt;"",原始資料!AI263=原始資料!AH263),N(AF263)+1,1))</f>
        <v/>
      </c>
      <c r="AH263" s="6">
        <f>IF(OR(原始資料!$A263="",33&gt;設定!$B$3,原始資料!AJ263=""),"",IF(AND(原始資料!AI263&lt;&gt;"",原始資料!AJ263=原始資料!AI263),N(AG263)+1,1))</f>
        <v/>
      </c>
      <c r="AI263" s="6">
        <f>IF(OR(原始資料!$A263="",34&gt;設定!$B$3,原始資料!AK263=""),"",IF(AND(原始資料!AJ263&lt;&gt;"",原始資料!AK263=原始資料!AJ263),N(AH263)+1,1))</f>
        <v/>
      </c>
      <c r="AJ263" s="6">
        <f>IF(OR(原始資料!$A263="",35&gt;設定!$B$3,原始資料!AL263=""),"",IF(AND(原始資料!AK263&lt;&gt;"",原始資料!AL263=原始資料!AK263),N(AI263)+1,1))</f>
        <v/>
      </c>
      <c r="AK263" s="6">
        <f>IF(OR(原始資料!$A263="",36&gt;設定!$B$3,原始資料!AM263=""),"",IF(AND(原始資料!AL263&lt;&gt;"",原始資料!AM263=原始資料!AL263),N(AJ263)+1,1))</f>
        <v/>
      </c>
      <c r="AL263" s="6">
        <f>IF(OR(原始資料!$A263="",37&gt;設定!$B$3,原始資料!AN263=""),"",IF(AND(原始資料!AM263&lt;&gt;"",原始資料!AN263=原始資料!AM263),N(AK263)+1,1))</f>
        <v/>
      </c>
      <c r="AM263" s="6">
        <f>IF(OR(原始資料!$A263="",38&gt;設定!$B$3,原始資料!AO263=""),"",IF(AND(原始資料!AN263&lt;&gt;"",原始資料!AO263=原始資料!AN263),N(AL263)+1,1))</f>
        <v/>
      </c>
      <c r="AN263" s="6">
        <f>IF(OR(原始資料!$A263="",39&gt;設定!$B$3,原始資料!AP263=""),"",IF(AND(原始資料!AO263&lt;&gt;"",原始資料!AP263=原始資料!AO263),N(AM263)+1,1))</f>
        <v/>
      </c>
      <c r="AO263" s="6">
        <f>IF(OR(原始資料!$A263="",40&gt;設定!$B$3,原始資料!AQ263=""),"",IF(AND(原始資料!AP263&lt;&gt;"",原始資料!AQ263=原始資料!AP263),N(AN263)+1,1))</f>
        <v/>
      </c>
      <c r="AP263" s="6">
        <f>IF(OR(原始資料!$A263="",41&gt;設定!$B$3,原始資料!AR263=""),"",IF(AND(原始資料!AQ263&lt;&gt;"",原始資料!AR263=原始資料!AQ263),N(AO263)+1,1))</f>
        <v/>
      </c>
      <c r="AQ263" s="6">
        <f>IF(OR(原始資料!$A263="",42&gt;設定!$B$3,原始資料!AS263=""),"",IF(AND(原始資料!AR263&lt;&gt;"",原始資料!AS263=原始資料!AR263),N(AP263)+1,1))</f>
        <v/>
      </c>
      <c r="AR263" s="6">
        <f>IF(OR(原始資料!$A263="",43&gt;設定!$B$3,原始資料!AT263=""),"",IF(AND(原始資料!AS263&lt;&gt;"",原始資料!AT263=原始資料!AS263),N(AQ263)+1,1))</f>
        <v/>
      </c>
      <c r="AS263" s="6">
        <f>IF(OR(原始資料!$A263="",44&gt;設定!$B$3,原始資料!AU263=""),"",IF(AND(原始資料!AT263&lt;&gt;"",原始資料!AU263=原始資料!AT263),N(AR263)+1,1))</f>
        <v/>
      </c>
      <c r="AT263" s="6">
        <f>IF(OR(原始資料!$A263="",45&gt;設定!$B$3,原始資料!AV263=""),"",IF(AND(原始資料!AU263&lt;&gt;"",原始資料!AV263=原始資料!AU263),N(AS263)+1,1))</f>
        <v/>
      </c>
      <c r="AU263" s="6">
        <f>IF(OR(原始資料!$A263="",46&gt;設定!$B$3,原始資料!AW263=""),"",IF(AND(原始資料!AV263&lt;&gt;"",原始資料!AW263=原始資料!AV263),N(AT263)+1,1))</f>
        <v/>
      </c>
      <c r="AV263" s="6">
        <f>IF(OR(原始資料!$A263="",47&gt;設定!$B$3,原始資料!AX263=""),"",IF(AND(原始資料!AW263&lt;&gt;"",原始資料!AX263=原始資料!AW263),N(AU263)+1,1))</f>
        <v/>
      </c>
      <c r="AW263" s="6">
        <f>IF(OR(原始資料!$A263="",48&gt;設定!$B$3,原始資料!AY263=""),"",IF(AND(原始資料!AX263&lt;&gt;"",原始資料!AY263=原始資料!AX263),N(AV263)+1,1))</f>
        <v/>
      </c>
      <c r="AX263" s="6">
        <f>IF(OR(原始資料!$A263="",49&gt;設定!$B$3,原始資料!AZ263=""),"",IF(AND(原始資料!AY263&lt;&gt;"",原始資料!AZ263=原始資料!AY263),N(AW263)+1,1))</f>
        <v/>
      </c>
      <c r="AY263" s="6">
        <f>IF(OR(原始資料!$A263="",50&gt;設定!$B$3,原始資料!BA263=""),"",IF(AND(原始資料!AZ263&lt;&gt;"",原始資料!BA263=原始資料!AZ263),N(AX263)+1,1))</f>
        <v/>
      </c>
      <c r="AZ263" s="6">
        <f>IF(OR(原始資料!$A263="",51&gt;設定!$B$3,原始資料!BB263=""),"",IF(AND(原始資料!BA263&lt;&gt;"",原始資料!BB263=原始資料!BA263),N(AY263)+1,1))</f>
        <v/>
      </c>
      <c r="BA263" s="6">
        <f>IF(OR(原始資料!$A263="",52&gt;設定!$B$3,原始資料!BC263=""),"",IF(AND(原始資料!BB263&lt;&gt;"",原始資料!BC263=原始資料!BB263),N(AZ263)+1,1))</f>
        <v/>
      </c>
      <c r="BB263" s="6">
        <f>IF(OR(原始資料!$A263="",53&gt;設定!$B$3,原始資料!BD263=""),"",IF(AND(原始資料!BC263&lt;&gt;"",原始資料!BD263=原始資料!BC263),N(BA263)+1,1))</f>
        <v/>
      </c>
      <c r="BC263" s="6">
        <f>IF(OR(原始資料!$A263="",54&gt;設定!$B$3,原始資料!BE263=""),"",IF(AND(原始資料!BD263&lt;&gt;"",原始資料!BE263=原始資料!BD263),N(BB263)+1,1))</f>
        <v/>
      </c>
      <c r="BD263" s="6">
        <f>IF(OR(原始資料!$A263="",55&gt;設定!$B$3,原始資料!BF263=""),"",IF(AND(原始資料!BE263&lt;&gt;"",原始資料!BF263=原始資料!BE263),N(BC263)+1,1))</f>
        <v/>
      </c>
      <c r="BE263" s="6">
        <f>IF(OR(原始資料!$A263="",56&gt;設定!$B$3,原始資料!BG263=""),"",IF(AND(原始資料!BF263&lt;&gt;"",原始資料!BG263=原始資料!BF263),N(BD263)+1,1))</f>
        <v/>
      </c>
      <c r="BF263" s="6">
        <f>IF(OR(原始資料!$A263="",57&gt;設定!$B$3,原始資料!BH263=""),"",IF(AND(原始資料!BG263&lt;&gt;"",原始資料!BH263=原始資料!BG263),N(BE263)+1,1))</f>
        <v/>
      </c>
      <c r="BG263" s="6">
        <f>IF(OR(原始資料!$A263="",58&gt;設定!$B$3,原始資料!BI263=""),"",IF(AND(原始資料!BH263&lt;&gt;"",原始資料!BI263=原始資料!BH263),N(BF263)+1,1))</f>
        <v/>
      </c>
      <c r="BH263" s="6">
        <f>IF(OR(原始資料!$A263="",59&gt;設定!$B$3,原始資料!BJ263=""),"",IF(AND(原始資料!BI263&lt;&gt;"",原始資料!BJ263=原始資料!BI263),N(BG263)+1,1))</f>
        <v/>
      </c>
      <c r="BI263" s="6">
        <f>IF(OR(原始資料!$A263="",60&gt;設定!$B$3,原始資料!BK263=""),"",IF(AND(原始資料!BJ263&lt;&gt;"",原始資料!BK263=原始資料!BJ263),N(BH263)+1,1))</f>
        <v/>
      </c>
    </row>
    <row r="264">
      <c r="A264" s="6">
        <f>IF(原始資料!$A264="","",原始資料!$A264)</f>
        <v/>
      </c>
      <c r="B264" s="6">
        <f>IF(OR(原始資料!$A264="",1&gt;設定!$B$3,原始資料!D264=""),"",1)</f>
        <v/>
      </c>
      <c r="C264" s="6">
        <f>IF(OR(原始資料!$A264="",2&gt;設定!$B$3,原始資料!E264=""),"",IF(AND(原始資料!D264&lt;&gt;"",原始資料!E264=原始資料!D264),N(B264)+1,1))</f>
        <v/>
      </c>
      <c r="D264" s="6">
        <f>IF(OR(原始資料!$A264="",3&gt;設定!$B$3,原始資料!F264=""),"",IF(AND(原始資料!E264&lt;&gt;"",原始資料!F264=原始資料!E264),N(C264)+1,1))</f>
        <v/>
      </c>
      <c r="E264" s="6">
        <f>IF(OR(原始資料!$A264="",4&gt;設定!$B$3,原始資料!G264=""),"",IF(AND(原始資料!F264&lt;&gt;"",原始資料!G264=原始資料!F264),N(D264)+1,1))</f>
        <v/>
      </c>
      <c r="F264" s="6">
        <f>IF(OR(原始資料!$A264="",5&gt;設定!$B$3,原始資料!H264=""),"",IF(AND(原始資料!G264&lt;&gt;"",原始資料!H264=原始資料!G264),N(E264)+1,1))</f>
        <v/>
      </c>
      <c r="G264" s="6">
        <f>IF(OR(原始資料!$A264="",6&gt;設定!$B$3,原始資料!I264=""),"",IF(AND(原始資料!H264&lt;&gt;"",原始資料!I264=原始資料!H264),N(F264)+1,1))</f>
        <v/>
      </c>
      <c r="H264" s="6">
        <f>IF(OR(原始資料!$A264="",7&gt;設定!$B$3,原始資料!J264=""),"",IF(AND(原始資料!I264&lt;&gt;"",原始資料!J264=原始資料!I264),N(G264)+1,1))</f>
        <v/>
      </c>
      <c r="I264" s="6">
        <f>IF(OR(原始資料!$A264="",8&gt;設定!$B$3,原始資料!K264=""),"",IF(AND(原始資料!J264&lt;&gt;"",原始資料!K264=原始資料!J264),N(H264)+1,1))</f>
        <v/>
      </c>
      <c r="J264" s="6">
        <f>IF(OR(原始資料!$A264="",9&gt;設定!$B$3,原始資料!L264=""),"",IF(AND(原始資料!K264&lt;&gt;"",原始資料!L264=原始資料!K264),N(I264)+1,1))</f>
        <v/>
      </c>
      <c r="K264" s="6">
        <f>IF(OR(原始資料!$A264="",10&gt;設定!$B$3,原始資料!M264=""),"",IF(AND(原始資料!L264&lt;&gt;"",原始資料!M264=原始資料!L264),N(J264)+1,1))</f>
        <v/>
      </c>
      <c r="L264" s="6">
        <f>IF(OR(原始資料!$A264="",11&gt;設定!$B$3,原始資料!N264=""),"",IF(AND(原始資料!M264&lt;&gt;"",原始資料!N264=原始資料!M264),N(K264)+1,1))</f>
        <v/>
      </c>
      <c r="M264" s="6">
        <f>IF(OR(原始資料!$A264="",12&gt;設定!$B$3,原始資料!O264=""),"",IF(AND(原始資料!N264&lt;&gt;"",原始資料!O264=原始資料!N264),N(L264)+1,1))</f>
        <v/>
      </c>
      <c r="N264" s="6">
        <f>IF(OR(原始資料!$A264="",13&gt;設定!$B$3,原始資料!P264=""),"",IF(AND(原始資料!O264&lt;&gt;"",原始資料!P264=原始資料!O264),N(M264)+1,1))</f>
        <v/>
      </c>
      <c r="O264" s="6">
        <f>IF(OR(原始資料!$A264="",14&gt;設定!$B$3,原始資料!Q264=""),"",IF(AND(原始資料!P264&lt;&gt;"",原始資料!Q264=原始資料!P264),N(N264)+1,1))</f>
        <v/>
      </c>
      <c r="P264" s="6">
        <f>IF(OR(原始資料!$A264="",15&gt;設定!$B$3,原始資料!R264=""),"",IF(AND(原始資料!Q264&lt;&gt;"",原始資料!R264=原始資料!Q264),N(O264)+1,1))</f>
        <v/>
      </c>
      <c r="Q264" s="6">
        <f>IF(OR(原始資料!$A264="",16&gt;設定!$B$3,原始資料!S264=""),"",IF(AND(原始資料!R264&lt;&gt;"",原始資料!S264=原始資料!R264),N(P264)+1,1))</f>
        <v/>
      </c>
      <c r="R264" s="6">
        <f>IF(OR(原始資料!$A264="",17&gt;設定!$B$3,原始資料!T264=""),"",IF(AND(原始資料!S264&lt;&gt;"",原始資料!T264=原始資料!S264),N(Q264)+1,1))</f>
        <v/>
      </c>
      <c r="S264" s="6">
        <f>IF(OR(原始資料!$A264="",18&gt;設定!$B$3,原始資料!U264=""),"",IF(AND(原始資料!T264&lt;&gt;"",原始資料!U264=原始資料!T264),N(R264)+1,1))</f>
        <v/>
      </c>
      <c r="T264" s="6">
        <f>IF(OR(原始資料!$A264="",19&gt;設定!$B$3,原始資料!V264=""),"",IF(AND(原始資料!U264&lt;&gt;"",原始資料!V264=原始資料!U264),N(S264)+1,1))</f>
        <v/>
      </c>
      <c r="U264" s="6">
        <f>IF(OR(原始資料!$A264="",20&gt;設定!$B$3,原始資料!W264=""),"",IF(AND(原始資料!V264&lt;&gt;"",原始資料!W264=原始資料!V264),N(T264)+1,1))</f>
        <v/>
      </c>
      <c r="V264" s="6">
        <f>IF(OR(原始資料!$A264="",21&gt;設定!$B$3,原始資料!X264=""),"",IF(AND(原始資料!W264&lt;&gt;"",原始資料!X264=原始資料!W264),N(U264)+1,1))</f>
        <v/>
      </c>
      <c r="W264" s="6">
        <f>IF(OR(原始資料!$A264="",22&gt;設定!$B$3,原始資料!Y264=""),"",IF(AND(原始資料!X264&lt;&gt;"",原始資料!Y264=原始資料!X264),N(V264)+1,1))</f>
        <v/>
      </c>
      <c r="X264" s="6">
        <f>IF(OR(原始資料!$A264="",23&gt;設定!$B$3,原始資料!Z264=""),"",IF(AND(原始資料!Y264&lt;&gt;"",原始資料!Z264=原始資料!Y264),N(W264)+1,1))</f>
        <v/>
      </c>
      <c r="Y264" s="6">
        <f>IF(OR(原始資料!$A264="",24&gt;設定!$B$3,原始資料!AA264=""),"",IF(AND(原始資料!Z264&lt;&gt;"",原始資料!AA264=原始資料!Z264),N(X264)+1,1))</f>
        <v/>
      </c>
      <c r="Z264" s="6">
        <f>IF(OR(原始資料!$A264="",25&gt;設定!$B$3,原始資料!AB264=""),"",IF(AND(原始資料!AA264&lt;&gt;"",原始資料!AB264=原始資料!AA264),N(Y264)+1,1))</f>
        <v/>
      </c>
      <c r="AA264" s="6">
        <f>IF(OR(原始資料!$A264="",26&gt;設定!$B$3,原始資料!AC264=""),"",IF(AND(原始資料!AB264&lt;&gt;"",原始資料!AC264=原始資料!AB264),N(Z264)+1,1))</f>
        <v/>
      </c>
      <c r="AB264" s="6">
        <f>IF(OR(原始資料!$A264="",27&gt;設定!$B$3,原始資料!AD264=""),"",IF(AND(原始資料!AC264&lt;&gt;"",原始資料!AD264=原始資料!AC264),N(AA264)+1,1))</f>
        <v/>
      </c>
      <c r="AC264" s="6">
        <f>IF(OR(原始資料!$A264="",28&gt;設定!$B$3,原始資料!AE264=""),"",IF(AND(原始資料!AD264&lt;&gt;"",原始資料!AE264=原始資料!AD264),N(AB264)+1,1))</f>
        <v/>
      </c>
      <c r="AD264" s="6">
        <f>IF(OR(原始資料!$A264="",29&gt;設定!$B$3,原始資料!AF264=""),"",IF(AND(原始資料!AE264&lt;&gt;"",原始資料!AF264=原始資料!AE264),N(AC264)+1,1))</f>
        <v/>
      </c>
      <c r="AE264" s="6">
        <f>IF(OR(原始資料!$A264="",30&gt;設定!$B$3,原始資料!AG264=""),"",IF(AND(原始資料!AF264&lt;&gt;"",原始資料!AG264=原始資料!AF264),N(AD264)+1,1))</f>
        <v/>
      </c>
      <c r="AF264" s="6">
        <f>IF(OR(原始資料!$A264="",31&gt;設定!$B$3,原始資料!AH264=""),"",IF(AND(原始資料!AG264&lt;&gt;"",原始資料!AH264=原始資料!AG264),N(AE264)+1,1))</f>
        <v/>
      </c>
      <c r="AG264" s="6">
        <f>IF(OR(原始資料!$A264="",32&gt;設定!$B$3,原始資料!AI264=""),"",IF(AND(原始資料!AH264&lt;&gt;"",原始資料!AI264=原始資料!AH264),N(AF264)+1,1))</f>
        <v/>
      </c>
      <c r="AH264" s="6">
        <f>IF(OR(原始資料!$A264="",33&gt;設定!$B$3,原始資料!AJ264=""),"",IF(AND(原始資料!AI264&lt;&gt;"",原始資料!AJ264=原始資料!AI264),N(AG264)+1,1))</f>
        <v/>
      </c>
      <c r="AI264" s="6">
        <f>IF(OR(原始資料!$A264="",34&gt;設定!$B$3,原始資料!AK264=""),"",IF(AND(原始資料!AJ264&lt;&gt;"",原始資料!AK264=原始資料!AJ264),N(AH264)+1,1))</f>
        <v/>
      </c>
      <c r="AJ264" s="6">
        <f>IF(OR(原始資料!$A264="",35&gt;設定!$B$3,原始資料!AL264=""),"",IF(AND(原始資料!AK264&lt;&gt;"",原始資料!AL264=原始資料!AK264),N(AI264)+1,1))</f>
        <v/>
      </c>
      <c r="AK264" s="6">
        <f>IF(OR(原始資料!$A264="",36&gt;設定!$B$3,原始資料!AM264=""),"",IF(AND(原始資料!AL264&lt;&gt;"",原始資料!AM264=原始資料!AL264),N(AJ264)+1,1))</f>
        <v/>
      </c>
      <c r="AL264" s="6">
        <f>IF(OR(原始資料!$A264="",37&gt;設定!$B$3,原始資料!AN264=""),"",IF(AND(原始資料!AM264&lt;&gt;"",原始資料!AN264=原始資料!AM264),N(AK264)+1,1))</f>
        <v/>
      </c>
      <c r="AM264" s="6">
        <f>IF(OR(原始資料!$A264="",38&gt;設定!$B$3,原始資料!AO264=""),"",IF(AND(原始資料!AN264&lt;&gt;"",原始資料!AO264=原始資料!AN264),N(AL264)+1,1))</f>
        <v/>
      </c>
      <c r="AN264" s="6">
        <f>IF(OR(原始資料!$A264="",39&gt;設定!$B$3,原始資料!AP264=""),"",IF(AND(原始資料!AO264&lt;&gt;"",原始資料!AP264=原始資料!AO264),N(AM264)+1,1))</f>
        <v/>
      </c>
      <c r="AO264" s="6">
        <f>IF(OR(原始資料!$A264="",40&gt;設定!$B$3,原始資料!AQ264=""),"",IF(AND(原始資料!AP264&lt;&gt;"",原始資料!AQ264=原始資料!AP264),N(AN264)+1,1))</f>
        <v/>
      </c>
      <c r="AP264" s="6">
        <f>IF(OR(原始資料!$A264="",41&gt;設定!$B$3,原始資料!AR264=""),"",IF(AND(原始資料!AQ264&lt;&gt;"",原始資料!AR264=原始資料!AQ264),N(AO264)+1,1))</f>
        <v/>
      </c>
      <c r="AQ264" s="6">
        <f>IF(OR(原始資料!$A264="",42&gt;設定!$B$3,原始資料!AS264=""),"",IF(AND(原始資料!AR264&lt;&gt;"",原始資料!AS264=原始資料!AR264),N(AP264)+1,1))</f>
        <v/>
      </c>
      <c r="AR264" s="6">
        <f>IF(OR(原始資料!$A264="",43&gt;設定!$B$3,原始資料!AT264=""),"",IF(AND(原始資料!AS264&lt;&gt;"",原始資料!AT264=原始資料!AS264),N(AQ264)+1,1))</f>
        <v/>
      </c>
      <c r="AS264" s="6">
        <f>IF(OR(原始資料!$A264="",44&gt;設定!$B$3,原始資料!AU264=""),"",IF(AND(原始資料!AT264&lt;&gt;"",原始資料!AU264=原始資料!AT264),N(AR264)+1,1))</f>
        <v/>
      </c>
      <c r="AT264" s="6">
        <f>IF(OR(原始資料!$A264="",45&gt;設定!$B$3,原始資料!AV264=""),"",IF(AND(原始資料!AU264&lt;&gt;"",原始資料!AV264=原始資料!AU264),N(AS264)+1,1))</f>
        <v/>
      </c>
      <c r="AU264" s="6">
        <f>IF(OR(原始資料!$A264="",46&gt;設定!$B$3,原始資料!AW264=""),"",IF(AND(原始資料!AV264&lt;&gt;"",原始資料!AW264=原始資料!AV264),N(AT264)+1,1))</f>
        <v/>
      </c>
      <c r="AV264" s="6">
        <f>IF(OR(原始資料!$A264="",47&gt;設定!$B$3,原始資料!AX264=""),"",IF(AND(原始資料!AW264&lt;&gt;"",原始資料!AX264=原始資料!AW264),N(AU264)+1,1))</f>
        <v/>
      </c>
      <c r="AW264" s="6">
        <f>IF(OR(原始資料!$A264="",48&gt;設定!$B$3,原始資料!AY264=""),"",IF(AND(原始資料!AX264&lt;&gt;"",原始資料!AY264=原始資料!AX264),N(AV264)+1,1))</f>
        <v/>
      </c>
      <c r="AX264" s="6">
        <f>IF(OR(原始資料!$A264="",49&gt;設定!$B$3,原始資料!AZ264=""),"",IF(AND(原始資料!AY264&lt;&gt;"",原始資料!AZ264=原始資料!AY264),N(AW264)+1,1))</f>
        <v/>
      </c>
      <c r="AY264" s="6">
        <f>IF(OR(原始資料!$A264="",50&gt;設定!$B$3,原始資料!BA264=""),"",IF(AND(原始資料!AZ264&lt;&gt;"",原始資料!BA264=原始資料!AZ264),N(AX264)+1,1))</f>
        <v/>
      </c>
      <c r="AZ264" s="6">
        <f>IF(OR(原始資料!$A264="",51&gt;設定!$B$3,原始資料!BB264=""),"",IF(AND(原始資料!BA264&lt;&gt;"",原始資料!BB264=原始資料!BA264),N(AY264)+1,1))</f>
        <v/>
      </c>
      <c r="BA264" s="6">
        <f>IF(OR(原始資料!$A264="",52&gt;設定!$B$3,原始資料!BC264=""),"",IF(AND(原始資料!BB264&lt;&gt;"",原始資料!BC264=原始資料!BB264),N(AZ264)+1,1))</f>
        <v/>
      </c>
      <c r="BB264" s="6">
        <f>IF(OR(原始資料!$A264="",53&gt;設定!$B$3,原始資料!BD264=""),"",IF(AND(原始資料!BC264&lt;&gt;"",原始資料!BD264=原始資料!BC264),N(BA264)+1,1))</f>
        <v/>
      </c>
      <c r="BC264" s="6">
        <f>IF(OR(原始資料!$A264="",54&gt;設定!$B$3,原始資料!BE264=""),"",IF(AND(原始資料!BD264&lt;&gt;"",原始資料!BE264=原始資料!BD264),N(BB264)+1,1))</f>
        <v/>
      </c>
      <c r="BD264" s="6">
        <f>IF(OR(原始資料!$A264="",55&gt;設定!$B$3,原始資料!BF264=""),"",IF(AND(原始資料!BE264&lt;&gt;"",原始資料!BF264=原始資料!BE264),N(BC264)+1,1))</f>
        <v/>
      </c>
      <c r="BE264" s="6">
        <f>IF(OR(原始資料!$A264="",56&gt;設定!$B$3,原始資料!BG264=""),"",IF(AND(原始資料!BF264&lt;&gt;"",原始資料!BG264=原始資料!BF264),N(BD264)+1,1))</f>
        <v/>
      </c>
      <c r="BF264" s="6">
        <f>IF(OR(原始資料!$A264="",57&gt;設定!$B$3,原始資料!BH264=""),"",IF(AND(原始資料!BG264&lt;&gt;"",原始資料!BH264=原始資料!BG264),N(BE264)+1,1))</f>
        <v/>
      </c>
      <c r="BG264" s="6">
        <f>IF(OR(原始資料!$A264="",58&gt;設定!$B$3,原始資料!BI264=""),"",IF(AND(原始資料!BH264&lt;&gt;"",原始資料!BI264=原始資料!BH264),N(BF264)+1,1))</f>
        <v/>
      </c>
      <c r="BH264" s="6">
        <f>IF(OR(原始資料!$A264="",59&gt;設定!$B$3,原始資料!BJ264=""),"",IF(AND(原始資料!BI264&lt;&gt;"",原始資料!BJ264=原始資料!BI264),N(BG264)+1,1))</f>
        <v/>
      </c>
      <c r="BI264" s="6">
        <f>IF(OR(原始資料!$A264="",60&gt;設定!$B$3,原始資料!BK264=""),"",IF(AND(原始資料!BJ264&lt;&gt;"",原始資料!BK264=原始資料!BJ264),N(BH264)+1,1))</f>
        <v/>
      </c>
    </row>
    <row r="265">
      <c r="A265" s="6">
        <f>IF(原始資料!$A265="","",原始資料!$A265)</f>
        <v/>
      </c>
      <c r="B265" s="6">
        <f>IF(OR(原始資料!$A265="",1&gt;設定!$B$3,原始資料!D265=""),"",1)</f>
        <v/>
      </c>
      <c r="C265" s="6">
        <f>IF(OR(原始資料!$A265="",2&gt;設定!$B$3,原始資料!E265=""),"",IF(AND(原始資料!D265&lt;&gt;"",原始資料!E265=原始資料!D265),N(B265)+1,1))</f>
        <v/>
      </c>
      <c r="D265" s="6">
        <f>IF(OR(原始資料!$A265="",3&gt;設定!$B$3,原始資料!F265=""),"",IF(AND(原始資料!E265&lt;&gt;"",原始資料!F265=原始資料!E265),N(C265)+1,1))</f>
        <v/>
      </c>
      <c r="E265" s="6">
        <f>IF(OR(原始資料!$A265="",4&gt;設定!$B$3,原始資料!G265=""),"",IF(AND(原始資料!F265&lt;&gt;"",原始資料!G265=原始資料!F265),N(D265)+1,1))</f>
        <v/>
      </c>
      <c r="F265" s="6">
        <f>IF(OR(原始資料!$A265="",5&gt;設定!$B$3,原始資料!H265=""),"",IF(AND(原始資料!G265&lt;&gt;"",原始資料!H265=原始資料!G265),N(E265)+1,1))</f>
        <v/>
      </c>
      <c r="G265" s="6">
        <f>IF(OR(原始資料!$A265="",6&gt;設定!$B$3,原始資料!I265=""),"",IF(AND(原始資料!H265&lt;&gt;"",原始資料!I265=原始資料!H265),N(F265)+1,1))</f>
        <v/>
      </c>
      <c r="H265" s="6">
        <f>IF(OR(原始資料!$A265="",7&gt;設定!$B$3,原始資料!J265=""),"",IF(AND(原始資料!I265&lt;&gt;"",原始資料!J265=原始資料!I265),N(G265)+1,1))</f>
        <v/>
      </c>
      <c r="I265" s="6">
        <f>IF(OR(原始資料!$A265="",8&gt;設定!$B$3,原始資料!K265=""),"",IF(AND(原始資料!J265&lt;&gt;"",原始資料!K265=原始資料!J265),N(H265)+1,1))</f>
        <v/>
      </c>
      <c r="J265" s="6">
        <f>IF(OR(原始資料!$A265="",9&gt;設定!$B$3,原始資料!L265=""),"",IF(AND(原始資料!K265&lt;&gt;"",原始資料!L265=原始資料!K265),N(I265)+1,1))</f>
        <v/>
      </c>
      <c r="K265" s="6">
        <f>IF(OR(原始資料!$A265="",10&gt;設定!$B$3,原始資料!M265=""),"",IF(AND(原始資料!L265&lt;&gt;"",原始資料!M265=原始資料!L265),N(J265)+1,1))</f>
        <v/>
      </c>
      <c r="L265" s="6">
        <f>IF(OR(原始資料!$A265="",11&gt;設定!$B$3,原始資料!N265=""),"",IF(AND(原始資料!M265&lt;&gt;"",原始資料!N265=原始資料!M265),N(K265)+1,1))</f>
        <v/>
      </c>
      <c r="M265" s="6">
        <f>IF(OR(原始資料!$A265="",12&gt;設定!$B$3,原始資料!O265=""),"",IF(AND(原始資料!N265&lt;&gt;"",原始資料!O265=原始資料!N265),N(L265)+1,1))</f>
        <v/>
      </c>
      <c r="N265" s="6">
        <f>IF(OR(原始資料!$A265="",13&gt;設定!$B$3,原始資料!P265=""),"",IF(AND(原始資料!O265&lt;&gt;"",原始資料!P265=原始資料!O265),N(M265)+1,1))</f>
        <v/>
      </c>
      <c r="O265" s="6">
        <f>IF(OR(原始資料!$A265="",14&gt;設定!$B$3,原始資料!Q265=""),"",IF(AND(原始資料!P265&lt;&gt;"",原始資料!Q265=原始資料!P265),N(N265)+1,1))</f>
        <v/>
      </c>
      <c r="P265" s="6">
        <f>IF(OR(原始資料!$A265="",15&gt;設定!$B$3,原始資料!R265=""),"",IF(AND(原始資料!Q265&lt;&gt;"",原始資料!R265=原始資料!Q265),N(O265)+1,1))</f>
        <v/>
      </c>
      <c r="Q265" s="6">
        <f>IF(OR(原始資料!$A265="",16&gt;設定!$B$3,原始資料!S265=""),"",IF(AND(原始資料!R265&lt;&gt;"",原始資料!S265=原始資料!R265),N(P265)+1,1))</f>
        <v/>
      </c>
      <c r="R265" s="6">
        <f>IF(OR(原始資料!$A265="",17&gt;設定!$B$3,原始資料!T265=""),"",IF(AND(原始資料!S265&lt;&gt;"",原始資料!T265=原始資料!S265),N(Q265)+1,1))</f>
        <v/>
      </c>
      <c r="S265" s="6">
        <f>IF(OR(原始資料!$A265="",18&gt;設定!$B$3,原始資料!U265=""),"",IF(AND(原始資料!T265&lt;&gt;"",原始資料!U265=原始資料!T265),N(R265)+1,1))</f>
        <v/>
      </c>
      <c r="T265" s="6">
        <f>IF(OR(原始資料!$A265="",19&gt;設定!$B$3,原始資料!V265=""),"",IF(AND(原始資料!U265&lt;&gt;"",原始資料!V265=原始資料!U265),N(S265)+1,1))</f>
        <v/>
      </c>
      <c r="U265" s="6">
        <f>IF(OR(原始資料!$A265="",20&gt;設定!$B$3,原始資料!W265=""),"",IF(AND(原始資料!V265&lt;&gt;"",原始資料!W265=原始資料!V265),N(T265)+1,1))</f>
        <v/>
      </c>
      <c r="V265" s="6">
        <f>IF(OR(原始資料!$A265="",21&gt;設定!$B$3,原始資料!X265=""),"",IF(AND(原始資料!W265&lt;&gt;"",原始資料!X265=原始資料!W265),N(U265)+1,1))</f>
        <v/>
      </c>
      <c r="W265" s="6">
        <f>IF(OR(原始資料!$A265="",22&gt;設定!$B$3,原始資料!Y265=""),"",IF(AND(原始資料!X265&lt;&gt;"",原始資料!Y265=原始資料!X265),N(V265)+1,1))</f>
        <v/>
      </c>
      <c r="X265" s="6">
        <f>IF(OR(原始資料!$A265="",23&gt;設定!$B$3,原始資料!Z265=""),"",IF(AND(原始資料!Y265&lt;&gt;"",原始資料!Z265=原始資料!Y265),N(W265)+1,1))</f>
        <v/>
      </c>
      <c r="Y265" s="6">
        <f>IF(OR(原始資料!$A265="",24&gt;設定!$B$3,原始資料!AA265=""),"",IF(AND(原始資料!Z265&lt;&gt;"",原始資料!AA265=原始資料!Z265),N(X265)+1,1))</f>
        <v/>
      </c>
      <c r="Z265" s="6">
        <f>IF(OR(原始資料!$A265="",25&gt;設定!$B$3,原始資料!AB265=""),"",IF(AND(原始資料!AA265&lt;&gt;"",原始資料!AB265=原始資料!AA265),N(Y265)+1,1))</f>
        <v/>
      </c>
      <c r="AA265" s="6">
        <f>IF(OR(原始資料!$A265="",26&gt;設定!$B$3,原始資料!AC265=""),"",IF(AND(原始資料!AB265&lt;&gt;"",原始資料!AC265=原始資料!AB265),N(Z265)+1,1))</f>
        <v/>
      </c>
      <c r="AB265" s="6">
        <f>IF(OR(原始資料!$A265="",27&gt;設定!$B$3,原始資料!AD265=""),"",IF(AND(原始資料!AC265&lt;&gt;"",原始資料!AD265=原始資料!AC265),N(AA265)+1,1))</f>
        <v/>
      </c>
      <c r="AC265" s="6">
        <f>IF(OR(原始資料!$A265="",28&gt;設定!$B$3,原始資料!AE265=""),"",IF(AND(原始資料!AD265&lt;&gt;"",原始資料!AE265=原始資料!AD265),N(AB265)+1,1))</f>
        <v/>
      </c>
      <c r="AD265" s="6">
        <f>IF(OR(原始資料!$A265="",29&gt;設定!$B$3,原始資料!AF265=""),"",IF(AND(原始資料!AE265&lt;&gt;"",原始資料!AF265=原始資料!AE265),N(AC265)+1,1))</f>
        <v/>
      </c>
      <c r="AE265" s="6">
        <f>IF(OR(原始資料!$A265="",30&gt;設定!$B$3,原始資料!AG265=""),"",IF(AND(原始資料!AF265&lt;&gt;"",原始資料!AG265=原始資料!AF265),N(AD265)+1,1))</f>
        <v/>
      </c>
      <c r="AF265" s="6">
        <f>IF(OR(原始資料!$A265="",31&gt;設定!$B$3,原始資料!AH265=""),"",IF(AND(原始資料!AG265&lt;&gt;"",原始資料!AH265=原始資料!AG265),N(AE265)+1,1))</f>
        <v/>
      </c>
      <c r="AG265" s="6">
        <f>IF(OR(原始資料!$A265="",32&gt;設定!$B$3,原始資料!AI265=""),"",IF(AND(原始資料!AH265&lt;&gt;"",原始資料!AI265=原始資料!AH265),N(AF265)+1,1))</f>
        <v/>
      </c>
      <c r="AH265" s="6">
        <f>IF(OR(原始資料!$A265="",33&gt;設定!$B$3,原始資料!AJ265=""),"",IF(AND(原始資料!AI265&lt;&gt;"",原始資料!AJ265=原始資料!AI265),N(AG265)+1,1))</f>
        <v/>
      </c>
      <c r="AI265" s="6">
        <f>IF(OR(原始資料!$A265="",34&gt;設定!$B$3,原始資料!AK265=""),"",IF(AND(原始資料!AJ265&lt;&gt;"",原始資料!AK265=原始資料!AJ265),N(AH265)+1,1))</f>
        <v/>
      </c>
      <c r="AJ265" s="6">
        <f>IF(OR(原始資料!$A265="",35&gt;設定!$B$3,原始資料!AL265=""),"",IF(AND(原始資料!AK265&lt;&gt;"",原始資料!AL265=原始資料!AK265),N(AI265)+1,1))</f>
        <v/>
      </c>
      <c r="AK265" s="6">
        <f>IF(OR(原始資料!$A265="",36&gt;設定!$B$3,原始資料!AM265=""),"",IF(AND(原始資料!AL265&lt;&gt;"",原始資料!AM265=原始資料!AL265),N(AJ265)+1,1))</f>
        <v/>
      </c>
      <c r="AL265" s="6">
        <f>IF(OR(原始資料!$A265="",37&gt;設定!$B$3,原始資料!AN265=""),"",IF(AND(原始資料!AM265&lt;&gt;"",原始資料!AN265=原始資料!AM265),N(AK265)+1,1))</f>
        <v/>
      </c>
      <c r="AM265" s="6">
        <f>IF(OR(原始資料!$A265="",38&gt;設定!$B$3,原始資料!AO265=""),"",IF(AND(原始資料!AN265&lt;&gt;"",原始資料!AO265=原始資料!AN265),N(AL265)+1,1))</f>
        <v/>
      </c>
      <c r="AN265" s="6">
        <f>IF(OR(原始資料!$A265="",39&gt;設定!$B$3,原始資料!AP265=""),"",IF(AND(原始資料!AO265&lt;&gt;"",原始資料!AP265=原始資料!AO265),N(AM265)+1,1))</f>
        <v/>
      </c>
      <c r="AO265" s="6">
        <f>IF(OR(原始資料!$A265="",40&gt;設定!$B$3,原始資料!AQ265=""),"",IF(AND(原始資料!AP265&lt;&gt;"",原始資料!AQ265=原始資料!AP265),N(AN265)+1,1))</f>
        <v/>
      </c>
      <c r="AP265" s="6">
        <f>IF(OR(原始資料!$A265="",41&gt;設定!$B$3,原始資料!AR265=""),"",IF(AND(原始資料!AQ265&lt;&gt;"",原始資料!AR265=原始資料!AQ265),N(AO265)+1,1))</f>
        <v/>
      </c>
      <c r="AQ265" s="6">
        <f>IF(OR(原始資料!$A265="",42&gt;設定!$B$3,原始資料!AS265=""),"",IF(AND(原始資料!AR265&lt;&gt;"",原始資料!AS265=原始資料!AR265),N(AP265)+1,1))</f>
        <v/>
      </c>
      <c r="AR265" s="6">
        <f>IF(OR(原始資料!$A265="",43&gt;設定!$B$3,原始資料!AT265=""),"",IF(AND(原始資料!AS265&lt;&gt;"",原始資料!AT265=原始資料!AS265),N(AQ265)+1,1))</f>
        <v/>
      </c>
      <c r="AS265" s="6">
        <f>IF(OR(原始資料!$A265="",44&gt;設定!$B$3,原始資料!AU265=""),"",IF(AND(原始資料!AT265&lt;&gt;"",原始資料!AU265=原始資料!AT265),N(AR265)+1,1))</f>
        <v/>
      </c>
      <c r="AT265" s="6">
        <f>IF(OR(原始資料!$A265="",45&gt;設定!$B$3,原始資料!AV265=""),"",IF(AND(原始資料!AU265&lt;&gt;"",原始資料!AV265=原始資料!AU265),N(AS265)+1,1))</f>
        <v/>
      </c>
      <c r="AU265" s="6">
        <f>IF(OR(原始資料!$A265="",46&gt;設定!$B$3,原始資料!AW265=""),"",IF(AND(原始資料!AV265&lt;&gt;"",原始資料!AW265=原始資料!AV265),N(AT265)+1,1))</f>
        <v/>
      </c>
      <c r="AV265" s="6">
        <f>IF(OR(原始資料!$A265="",47&gt;設定!$B$3,原始資料!AX265=""),"",IF(AND(原始資料!AW265&lt;&gt;"",原始資料!AX265=原始資料!AW265),N(AU265)+1,1))</f>
        <v/>
      </c>
      <c r="AW265" s="6">
        <f>IF(OR(原始資料!$A265="",48&gt;設定!$B$3,原始資料!AY265=""),"",IF(AND(原始資料!AX265&lt;&gt;"",原始資料!AY265=原始資料!AX265),N(AV265)+1,1))</f>
        <v/>
      </c>
      <c r="AX265" s="6">
        <f>IF(OR(原始資料!$A265="",49&gt;設定!$B$3,原始資料!AZ265=""),"",IF(AND(原始資料!AY265&lt;&gt;"",原始資料!AZ265=原始資料!AY265),N(AW265)+1,1))</f>
        <v/>
      </c>
      <c r="AY265" s="6">
        <f>IF(OR(原始資料!$A265="",50&gt;設定!$B$3,原始資料!BA265=""),"",IF(AND(原始資料!AZ265&lt;&gt;"",原始資料!BA265=原始資料!AZ265),N(AX265)+1,1))</f>
        <v/>
      </c>
      <c r="AZ265" s="6">
        <f>IF(OR(原始資料!$A265="",51&gt;設定!$B$3,原始資料!BB265=""),"",IF(AND(原始資料!BA265&lt;&gt;"",原始資料!BB265=原始資料!BA265),N(AY265)+1,1))</f>
        <v/>
      </c>
      <c r="BA265" s="6">
        <f>IF(OR(原始資料!$A265="",52&gt;設定!$B$3,原始資料!BC265=""),"",IF(AND(原始資料!BB265&lt;&gt;"",原始資料!BC265=原始資料!BB265),N(AZ265)+1,1))</f>
        <v/>
      </c>
      <c r="BB265" s="6">
        <f>IF(OR(原始資料!$A265="",53&gt;設定!$B$3,原始資料!BD265=""),"",IF(AND(原始資料!BC265&lt;&gt;"",原始資料!BD265=原始資料!BC265),N(BA265)+1,1))</f>
        <v/>
      </c>
      <c r="BC265" s="6">
        <f>IF(OR(原始資料!$A265="",54&gt;設定!$B$3,原始資料!BE265=""),"",IF(AND(原始資料!BD265&lt;&gt;"",原始資料!BE265=原始資料!BD265),N(BB265)+1,1))</f>
        <v/>
      </c>
      <c r="BD265" s="6">
        <f>IF(OR(原始資料!$A265="",55&gt;設定!$B$3,原始資料!BF265=""),"",IF(AND(原始資料!BE265&lt;&gt;"",原始資料!BF265=原始資料!BE265),N(BC265)+1,1))</f>
        <v/>
      </c>
      <c r="BE265" s="6">
        <f>IF(OR(原始資料!$A265="",56&gt;設定!$B$3,原始資料!BG265=""),"",IF(AND(原始資料!BF265&lt;&gt;"",原始資料!BG265=原始資料!BF265),N(BD265)+1,1))</f>
        <v/>
      </c>
      <c r="BF265" s="6">
        <f>IF(OR(原始資料!$A265="",57&gt;設定!$B$3,原始資料!BH265=""),"",IF(AND(原始資料!BG265&lt;&gt;"",原始資料!BH265=原始資料!BG265),N(BE265)+1,1))</f>
        <v/>
      </c>
      <c r="BG265" s="6">
        <f>IF(OR(原始資料!$A265="",58&gt;設定!$B$3,原始資料!BI265=""),"",IF(AND(原始資料!BH265&lt;&gt;"",原始資料!BI265=原始資料!BH265),N(BF265)+1,1))</f>
        <v/>
      </c>
      <c r="BH265" s="6">
        <f>IF(OR(原始資料!$A265="",59&gt;設定!$B$3,原始資料!BJ265=""),"",IF(AND(原始資料!BI265&lt;&gt;"",原始資料!BJ265=原始資料!BI265),N(BG265)+1,1))</f>
        <v/>
      </c>
      <c r="BI265" s="6">
        <f>IF(OR(原始資料!$A265="",60&gt;設定!$B$3,原始資料!BK265=""),"",IF(AND(原始資料!BJ265&lt;&gt;"",原始資料!BK265=原始資料!BJ265),N(BH265)+1,1))</f>
        <v/>
      </c>
    </row>
    <row r="266">
      <c r="A266" s="6">
        <f>IF(原始資料!$A266="","",原始資料!$A266)</f>
        <v/>
      </c>
      <c r="B266" s="6">
        <f>IF(OR(原始資料!$A266="",1&gt;設定!$B$3,原始資料!D266=""),"",1)</f>
        <v/>
      </c>
      <c r="C266" s="6">
        <f>IF(OR(原始資料!$A266="",2&gt;設定!$B$3,原始資料!E266=""),"",IF(AND(原始資料!D266&lt;&gt;"",原始資料!E266=原始資料!D266),N(B266)+1,1))</f>
        <v/>
      </c>
      <c r="D266" s="6">
        <f>IF(OR(原始資料!$A266="",3&gt;設定!$B$3,原始資料!F266=""),"",IF(AND(原始資料!E266&lt;&gt;"",原始資料!F266=原始資料!E266),N(C266)+1,1))</f>
        <v/>
      </c>
      <c r="E266" s="6">
        <f>IF(OR(原始資料!$A266="",4&gt;設定!$B$3,原始資料!G266=""),"",IF(AND(原始資料!F266&lt;&gt;"",原始資料!G266=原始資料!F266),N(D266)+1,1))</f>
        <v/>
      </c>
      <c r="F266" s="6">
        <f>IF(OR(原始資料!$A266="",5&gt;設定!$B$3,原始資料!H266=""),"",IF(AND(原始資料!G266&lt;&gt;"",原始資料!H266=原始資料!G266),N(E266)+1,1))</f>
        <v/>
      </c>
      <c r="G266" s="6">
        <f>IF(OR(原始資料!$A266="",6&gt;設定!$B$3,原始資料!I266=""),"",IF(AND(原始資料!H266&lt;&gt;"",原始資料!I266=原始資料!H266),N(F266)+1,1))</f>
        <v/>
      </c>
      <c r="H266" s="6">
        <f>IF(OR(原始資料!$A266="",7&gt;設定!$B$3,原始資料!J266=""),"",IF(AND(原始資料!I266&lt;&gt;"",原始資料!J266=原始資料!I266),N(G266)+1,1))</f>
        <v/>
      </c>
      <c r="I266" s="6">
        <f>IF(OR(原始資料!$A266="",8&gt;設定!$B$3,原始資料!K266=""),"",IF(AND(原始資料!J266&lt;&gt;"",原始資料!K266=原始資料!J266),N(H266)+1,1))</f>
        <v/>
      </c>
      <c r="J266" s="6">
        <f>IF(OR(原始資料!$A266="",9&gt;設定!$B$3,原始資料!L266=""),"",IF(AND(原始資料!K266&lt;&gt;"",原始資料!L266=原始資料!K266),N(I266)+1,1))</f>
        <v/>
      </c>
      <c r="K266" s="6">
        <f>IF(OR(原始資料!$A266="",10&gt;設定!$B$3,原始資料!M266=""),"",IF(AND(原始資料!L266&lt;&gt;"",原始資料!M266=原始資料!L266),N(J266)+1,1))</f>
        <v/>
      </c>
      <c r="L266" s="6">
        <f>IF(OR(原始資料!$A266="",11&gt;設定!$B$3,原始資料!N266=""),"",IF(AND(原始資料!M266&lt;&gt;"",原始資料!N266=原始資料!M266),N(K266)+1,1))</f>
        <v/>
      </c>
      <c r="M266" s="6">
        <f>IF(OR(原始資料!$A266="",12&gt;設定!$B$3,原始資料!O266=""),"",IF(AND(原始資料!N266&lt;&gt;"",原始資料!O266=原始資料!N266),N(L266)+1,1))</f>
        <v/>
      </c>
      <c r="N266" s="6">
        <f>IF(OR(原始資料!$A266="",13&gt;設定!$B$3,原始資料!P266=""),"",IF(AND(原始資料!O266&lt;&gt;"",原始資料!P266=原始資料!O266),N(M266)+1,1))</f>
        <v/>
      </c>
      <c r="O266" s="6">
        <f>IF(OR(原始資料!$A266="",14&gt;設定!$B$3,原始資料!Q266=""),"",IF(AND(原始資料!P266&lt;&gt;"",原始資料!Q266=原始資料!P266),N(N266)+1,1))</f>
        <v/>
      </c>
      <c r="P266" s="6">
        <f>IF(OR(原始資料!$A266="",15&gt;設定!$B$3,原始資料!R266=""),"",IF(AND(原始資料!Q266&lt;&gt;"",原始資料!R266=原始資料!Q266),N(O266)+1,1))</f>
        <v/>
      </c>
      <c r="Q266" s="6">
        <f>IF(OR(原始資料!$A266="",16&gt;設定!$B$3,原始資料!S266=""),"",IF(AND(原始資料!R266&lt;&gt;"",原始資料!S266=原始資料!R266),N(P266)+1,1))</f>
        <v/>
      </c>
      <c r="R266" s="6">
        <f>IF(OR(原始資料!$A266="",17&gt;設定!$B$3,原始資料!T266=""),"",IF(AND(原始資料!S266&lt;&gt;"",原始資料!T266=原始資料!S266),N(Q266)+1,1))</f>
        <v/>
      </c>
      <c r="S266" s="6">
        <f>IF(OR(原始資料!$A266="",18&gt;設定!$B$3,原始資料!U266=""),"",IF(AND(原始資料!T266&lt;&gt;"",原始資料!U266=原始資料!T266),N(R266)+1,1))</f>
        <v/>
      </c>
      <c r="T266" s="6">
        <f>IF(OR(原始資料!$A266="",19&gt;設定!$B$3,原始資料!V266=""),"",IF(AND(原始資料!U266&lt;&gt;"",原始資料!V266=原始資料!U266),N(S266)+1,1))</f>
        <v/>
      </c>
      <c r="U266" s="6">
        <f>IF(OR(原始資料!$A266="",20&gt;設定!$B$3,原始資料!W266=""),"",IF(AND(原始資料!V266&lt;&gt;"",原始資料!W266=原始資料!V266),N(T266)+1,1))</f>
        <v/>
      </c>
      <c r="V266" s="6">
        <f>IF(OR(原始資料!$A266="",21&gt;設定!$B$3,原始資料!X266=""),"",IF(AND(原始資料!W266&lt;&gt;"",原始資料!X266=原始資料!W266),N(U266)+1,1))</f>
        <v/>
      </c>
      <c r="W266" s="6">
        <f>IF(OR(原始資料!$A266="",22&gt;設定!$B$3,原始資料!Y266=""),"",IF(AND(原始資料!X266&lt;&gt;"",原始資料!Y266=原始資料!X266),N(V266)+1,1))</f>
        <v/>
      </c>
      <c r="X266" s="6">
        <f>IF(OR(原始資料!$A266="",23&gt;設定!$B$3,原始資料!Z266=""),"",IF(AND(原始資料!Y266&lt;&gt;"",原始資料!Z266=原始資料!Y266),N(W266)+1,1))</f>
        <v/>
      </c>
      <c r="Y266" s="6">
        <f>IF(OR(原始資料!$A266="",24&gt;設定!$B$3,原始資料!AA266=""),"",IF(AND(原始資料!Z266&lt;&gt;"",原始資料!AA266=原始資料!Z266),N(X266)+1,1))</f>
        <v/>
      </c>
      <c r="Z266" s="6">
        <f>IF(OR(原始資料!$A266="",25&gt;設定!$B$3,原始資料!AB266=""),"",IF(AND(原始資料!AA266&lt;&gt;"",原始資料!AB266=原始資料!AA266),N(Y266)+1,1))</f>
        <v/>
      </c>
      <c r="AA266" s="6">
        <f>IF(OR(原始資料!$A266="",26&gt;設定!$B$3,原始資料!AC266=""),"",IF(AND(原始資料!AB266&lt;&gt;"",原始資料!AC266=原始資料!AB266),N(Z266)+1,1))</f>
        <v/>
      </c>
      <c r="AB266" s="6">
        <f>IF(OR(原始資料!$A266="",27&gt;設定!$B$3,原始資料!AD266=""),"",IF(AND(原始資料!AC266&lt;&gt;"",原始資料!AD266=原始資料!AC266),N(AA266)+1,1))</f>
        <v/>
      </c>
      <c r="AC266" s="6">
        <f>IF(OR(原始資料!$A266="",28&gt;設定!$B$3,原始資料!AE266=""),"",IF(AND(原始資料!AD266&lt;&gt;"",原始資料!AE266=原始資料!AD266),N(AB266)+1,1))</f>
        <v/>
      </c>
      <c r="AD266" s="6">
        <f>IF(OR(原始資料!$A266="",29&gt;設定!$B$3,原始資料!AF266=""),"",IF(AND(原始資料!AE266&lt;&gt;"",原始資料!AF266=原始資料!AE266),N(AC266)+1,1))</f>
        <v/>
      </c>
      <c r="AE266" s="6">
        <f>IF(OR(原始資料!$A266="",30&gt;設定!$B$3,原始資料!AG266=""),"",IF(AND(原始資料!AF266&lt;&gt;"",原始資料!AG266=原始資料!AF266),N(AD266)+1,1))</f>
        <v/>
      </c>
      <c r="AF266" s="6">
        <f>IF(OR(原始資料!$A266="",31&gt;設定!$B$3,原始資料!AH266=""),"",IF(AND(原始資料!AG266&lt;&gt;"",原始資料!AH266=原始資料!AG266),N(AE266)+1,1))</f>
        <v/>
      </c>
      <c r="AG266" s="6">
        <f>IF(OR(原始資料!$A266="",32&gt;設定!$B$3,原始資料!AI266=""),"",IF(AND(原始資料!AH266&lt;&gt;"",原始資料!AI266=原始資料!AH266),N(AF266)+1,1))</f>
        <v/>
      </c>
      <c r="AH266" s="6">
        <f>IF(OR(原始資料!$A266="",33&gt;設定!$B$3,原始資料!AJ266=""),"",IF(AND(原始資料!AI266&lt;&gt;"",原始資料!AJ266=原始資料!AI266),N(AG266)+1,1))</f>
        <v/>
      </c>
      <c r="AI266" s="6">
        <f>IF(OR(原始資料!$A266="",34&gt;設定!$B$3,原始資料!AK266=""),"",IF(AND(原始資料!AJ266&lt;&gt;"",原始資料!AK266=原始資料!AJ266),N(AH266)+1,1))</f>
        <v/>
      </c>
      <c r="AJ266" s="6">
        <f>IF(OR(原始資料!$A266="",35&gt;設定!$B$3,原始資料!AL266=""),"",IF(AND(原始資料!AK266&lt;&gt;"",原始資料!AL266=原始資料!AK266),N(AI266)+1,1))</f>
        <v/>
      </c>
      <c r="AK266" s="6">
        <f>IF(OR(原始資料!$A266="",36&gt;設定!$B$3,原始資料!AM266=""),"",IF(AND(原始資料!AL266&lt;&gt;"",原始資料!AM266=原始資料!AL266),N(AJ266)+1,1))</f>
        <v/>
      </c>
      <c r="AL266" s="6">
        <f>IF(OR(原始資料!$A266="",37&gt;設定!$B$3,原始資料!AN266=""),"",IF(AND(原始資料!AM266&lt;&gt;"",原始資料!AN266=原始資料!AM266),N(AK266)+1,1))</f>
        <v/>
      </c>
      <c r="AM266" s="6">
        <f>IF(OR(原始資料!$A266="",38&gt;設定!$B$3,原始資料!AO266=""),"",IF(AND(原始資料!AN266&lt;&gt;"",原始資料!AO266=原始資料!AN266),N(AL266)+1,1))</f>
        <v/>
      </c>
      <c r="AN266" s="6">
        <f>IF(OR(原始資料!$A266="",39&gt;設定!$B$3,原始資料!AP266=""),"",IF(AND(原始資料!AO266&lt;&gt;"",原始資料!AP266=原始資料!AO266),N(AM266)+1,1))</f>
        <v/>
      </c>
      <c r="AO266" s="6">
        <f>IF(OR(原始資料!$A266="",40&gt;設定!$B$3,原始資料!AQ266=""),"",IF(AND(原始資料!AP266&lt;&gt;"",原始資料!AQ266=原始資料!AP266),N(AN266)+1,1))</f>
        <v/>
      </c>
      <c r="AP266" s="6">
        <f>IF(OR(原始資料!$A266="",41&gt;設定!$B$3,原始資料!AR266=""),"",IF(AND(原始資料!AQ266&lt;&gt;"",原始資料!AR266=原始資料!AQ266),N(AO266)+1,1))</f>
        <v/>
      </c>
      <c r="AQ266" s="6">
        <f>IF(OR(原始資料!$A266="",42&gt;設定!$B$3,原始資料!AS266=""),"",IF(AND(原始資料!AR266&lt;&gt;"",原始資料!AS266=原始資料!AR266),N(AP266)+1,1))</f>
        <v/>
      </c>
      <c r="AR266" s="6">
        <f>IF(OR(原始資料!$A266="",43&gt;設定!$B$3,原始資料!AT266=""),"",IF(AND(原始資料!AS266&lt;&gt;"",原始資料!AT266=原始資料!AS266),N(AQ266)+1,1))</f>
        <v/>
      </c>
      <c r="AS266" s="6">
        <f>IF(OR(原始資料!$A266="",44&gt;設定!$B$3,原始資料!AU266=""),"",IF(AND(原始資料!AT266&lt;&gt;"",原始資料!AU266=原始資料!AT266),N(AR266)+1,1))</f>
        <v/>
      </c>
      <c r="AT266" s="6">
        <f>IF(OR(原始資料!$A266="",45&gt;設定!$B$3,原始資料!AV266=""),"",IF(AND(原始資料!AU266&lt;&gt;"",原始資料!AV266=原始資料!AU266),N(AS266)+1,1))</f>
        <v/>
      </c>
      <c r="AU266" s="6">
        <f>IF(OR(原始資料!$A266="",46&gt;設定!$B$3,原始資料!AW266=""),"",IF(AND(原始資料!AV266&lt;&gt;"",原始資料!AW266=原始資料!AV266),N(AT266)+1,1))</f>
        <v/>
      </c>
      <c r="AV266" s="6">
        <f>IF(OR(原始資料!$A266="",47&gt;設定!$B$3,原始資料!AX266=""),"",IF(AND(原始資料!AW266&lt;&gt;"",原始資料!AX266=原始資料!AW266),N(AU266)+1,1))</f>
        <v/>
      </c>
      <c r="AW266" s="6">
        <f>IF(OR(原始資料!$A266="",48&gt;設定!$B$3,原始資料!AY266=""),"",IF(AND(原始資料!AX266&lt;&gt;"",原始資料!AY266=原始資料!AX266),N(AV266)+1,1))</f>
        <v/>
      </c>
      <c r="AX266" s="6">
        <f>IF(OR(原始資料!$A266="",49&gt;設定!$B$3,原始資料!AZ266=""),"",IF(AND(原始資料!AY266&lt;&gt;"",原始資料!AZ266=原始資料!AY266),N(AW266)+1,1))</f>
        <v/>
      </c>
      <c r="AY266" s="6">
        <f>IF(OR(原始資料!$A266="",50&gt;設定!$B$3,原始資料!BA266=""),"",IF(AND(原始資料!AZ266&lt;&gt;"",原始資料!BA266=原始資料!AZ266),N(AX266)+1,1))</f>
        <v/>
      </c>
      <c r="AZ266" s="6">
        <f>IF(OR(原始資料!$A266="",51&gt;設定!$B$3,原始資料!BB266=""),"",IF(AND(原始資料!BA266&lt;&gt;"",原始資料!BB266=原始資料!BA266),N(AY266)+1,1))</f>
        <v/>
      </c>
      <c r="BA266" s="6">
        <f>IF(OR(原始資料!$A266="",52&gt;設定!$B$3,原始資料!BC266=""),"",IF(AND(原始資料!BB266&lt;&gt;"",原始資料!BC266=原始資料!BB266),N(AZ266)+1,1))</f>
        <v/>
      </c>
      <c r="BB266" s="6">
        <f>IF(OR(原始資料!$A266="",53&gt;設定!$B$3,原始資料!BD266=""),"",IF(AND(原始資料!BC266&lt;&gt;"",原始資料!BD266=原始資料!BC266),N(BA266)+1,1))</f>
        <v/>
      </c>
      <c r="BC266" s="6">
        <f>IF(OR(原始資料!$A266="",54&gt;設定!$B$3,原始資料!BE266=""),"",IF(AND(原始資料!BD266&lt;&gt;"",原始資料!BE266=原始資料!BD266),N(BB266)+1,1))</f>
        <v/>
      </c>
      <c r="BD266" s="6">
        <f>IF(OR(原始資料!$A266="",55&gt;設定!$B$3,原始資料!BF266=""),"",IF(AND(原始資料!BE266&lt;&gt;"",原始資料!BF266=原始資料!BE266),N(BC266)+1,1))</f>
        <v/>
      </c>
      <c r="BE266" s="6">
        <f>IF(OR(原始資料!$A266="",56&gt;設定!$B$3,原始資料!BG266=""),"",IF(AND(原始資料!BF266&lt;&gt;"",原始資料!BG266=原始資料!BF266),N(BD266)+1,1))</f>
        <v/>
      </c>
      <c r="BF266" s="6">
        <f>IF(OR(原始資料!$A266="",57&gt;設定!$B$3,原始資料!BH266=""),"",IF(AND(原始資料!BG266&lt;&gt;"",原始資料!BH266=原始資料!BG266),N(BE266)+1,1))</f>
        <v/>
      </c>
      <c r="BG266" s="6">
        <f>IF(OR(原始資料!$A266="",58&gt;設定!$B$3,原始資料!BI266=""),"",IF(AND(原始資料!BH266&lt;&gt;"",原始資料!BI266=原始資料!BH266),N(BF266)+1,1))</f>
        <v/>
      </c>
      <c r="BH266" s="6">
        <f>IF(OR(原始資料!$A266="",59&gt;設定!$B$3,原始資料!BJ266=""),"",IF(AND(原始資料!BI266&lt;&gt;"",原始資料!BJ266=原始資料!BI266),N(BG266)+1,1))</f>
        <v/>
      </c>
      <c r="BI266" s="6">
        <f>IF(OR(原始資料!$A266="",60&gt;設定!$B$3,原始資料!BK266=""),"",IF(AND(原始資料!BJ266&lt;&gt;"",原始資料!BK266=原始資料!BJ266),N(BH266)+1,1))</f>
        <v/>
      </c>
    </row>
    <row r="267">
      <c r="A267" s="6">
        <f>IF(原始資料!$A267="","",原始資料!$A267)</f>
        <v/>
      </c>
      <c r="B267" s="6">
        <f>IF(OR(原始資料!$A267="",1&gt;設定!$B$3,原始資料!D267=""),"",1)</f>
        <v/>
      </c>
      <c r="C267" s="6">
        <f>IF(OR(原始資料!$A267="",2&gt;設定!$B$3,原始資料!E267=""),"",IF(AND(原始資料!D267&lt;&gt;"",原始資料!E267=原始資料!D267),N(B267)+1,1))</f>
        <v/>
      </c>
      <c r="D267" s="6">
        <f>IF(OR(原始資料!$A267="",3&gt;設定!$B$3,原始資料!F267=""),"",IF(AND(原始資料!E267&lt;&gt;"",原始資料!F267=原始資料!E267),N(C267)+1,1))</f>
        <v/>
      </c>
      <c r="E267" s="6">
        <f>IF(OR(原始資料!$A267="",4&gt;設定!$B$3,原始資料!G267=""),"",IF(AND(原始資料!F267&lt;&gt;"",原始資料!G267=原始資料!F267),N(D267)+1,1))</f>
        <v/>
      </c>
      <c r="F267" s="6">
        <f>IF(OR(原始資料!$A267="",5&gt;設定!$B$3,原始資料!H267=""),"",IF(AND(原始資料!G267&lt;&gt;"",原始資料!H267=原始資料!G267),N(E267)+1,1))</f>
        <v/>
      </c>
      <c r="G267" s="6">
        <f>IF(OR(原始資料!$A267="",6&gt;設定!$B$3,原始資料!I267=""),"",IF(AND(原始資料!H267&lt;&gt;"",原始資料!I267=原始資料!H267),N(F267)+1,1))</f>
        <v/>
      </c>
      <c r="H267" s="6">
        <f>IF(OR(原始資料!$A267="",7&gt;設定!$B$3,原始資料!J267=""),"",IF(AND(原始資料!I267&lt;&gt;"",原始資料!J267=原始資料!I267),N(G267)+1,1))</f>
        <v/>
      </c>
      <c r="I267" s="6">
        <f>IF(OR(原始資料!$A267="",8&gt;設定!$B$3,原始資料!K267=""),"",IF(AND(原始資料!J267&lt;&gt;"",原始資料!K267=原始資料!J267),N(H267)+1,1))</f>
        <v/>
      </c>
      <c r="J267" s="6">
        <f>IF(OR(原始資料!$A267="",9&gt;設定!$B$3,原始資料!L267=""),"",IF(AND(原始資料!K267&lt;&gt;"",原始資料!L267=原始資料!K267),N(I267)+1,1))</f>
        <v/>
      </c>
      <c r="K267" s="6">
        <f>IF(OR(原始資料!$A267="",10&gt;設定!$B$3,原始資料!M267=""),"",IF(AND(原始資料!L267&lt;&gt;"",原始資料!M267=原始資料!L267),N(J267)+1,1))</f>
        <v/>
      </c>
      <c r="L267" s="6">
        <f>IF(OR(原始資料!$A267="",11&gt;設定!$B$3,原始資料!N267=""),"",IF(AND(原始資料!M267&lt;&gt;"",原始資料!N267=原始資料!M267),N(K267)+1,1))</f>
        <v/>
      </c>
      <c r="M267" s="6">
        <f>IF(OR(原始資料!$A267="",12&gt;設定!$B$3,原始資料!O267=""),"",IF(AND(原始資料!N267&lt;&gt;"",原始資料!O267=原始資料!N267),N(L267)+1,1))</f>
        <v/>
      </c>
      <c r="N267" s="6">
        <f>IF(OR(原始資料!$A267="",13&gt;設定!$B$3,原始資料!P267=""),"",IF(AND(原始資料!O267&lt;&gt;"",原始資料!P267=原始資料!O267),N(M267)+1,1))</f>
        <v/>
      </c>
      <c r="O267" s="6">
        <f>IF(OR(原始資料!$A267="",14&gt;設定!$B$3,原始資料!Q267=""),"",IF(AND(原始資料!P267&lt;&gt;"",原始資料!Q267=原始資料!P267),N(N267)+1,1))</f>
        <v/>
      </c>
      <c r="P267" s="6">
        <f>IF(OR(原始資料!$A267="",15&gt;設定!$B$3,原始資料!R267=""),"",IF(AND(原始資料!Q267&lt;&gt;"",原始資料!R267=原始資料!Q267),N(O267)+1,1))</f>
        <v/>
      </c>
      <c r="Q267" s="6">
        <f>IF(OR(原始資料!$A267="",16&gt;設定!$B$3,原始資料!S267=""),"",IF(AND(原始資料!R267&lt;&gt;"",原始資料!S267=原始資料!R267),N(P267)+1,1))</f>
        <v/>
      </c>
      <c r="R267" s="6">
        <f>IF(OR(原始資料!$A267="",17&gt;設定!$B$3,原始資料!T267=""),"",IF(AND(原始資料!S267&lt;&gt;"",原始資料!T267=原始資料!S267),N(Q267)+1,1))</f>
        <v/>
      </c>
      <c r="S267" s="6">
        <f>IF(OR(原始資料!$A267="",18&gt;設定!$B$3,原始資料!U267=""),"",IF(AND(原始資料!T267&lt;&gt;"",原始資料!U267=原始資料!T267),N(R267)+1,1))</f>
        <v/>
      </c>
      <c r="T267" s="6">
        <f>IF(OR(原始資料!$A267="",19&gt;設定!$B$3,原始資料!V267=""),"",IF(AND(原始資料!U267&lt;&gt;"",原始資料!V267=原始資料!U267),N(S267)+1,1))</f>
        <v/>
      </c>
      <c r="U267" s="6">
        <f>IF(OR(原始資料!$A267="",20&gt;設定!$B$3,原始資料!W267=""),"",IF(AND(原始資料!V267&lt;&gt;"",原始資料!W267=原始資料!V267),N(T267)+1,1))</f>
        <v/>
      </c>
      <c r="V267" s="6">
        <f>IF(OR(原始資料!$A267="",21&gt;設定!$B$3,原始資料!X267=""),"",IF(AND(原始資料!W267&lt;&gt;"",原始資料!X267=原始資料!W267),N(U267)+1,1))</f>
        <v/>
      </c>
      <c r="W267" s="6">
        <f>IF(OR(原始資料!$A267="",22&gt;設定!$B$3,原始資料!Y267=""),"",IF(AND(原始資料!X267&lt;&gt;"",原始資料!Y267=原始資料!X267),N(V267)+1,1))</f>
        <v/>
      </c>
      <c r="X267" s="6">
        <f>IF(OR(原始資料!$A267="",23&gt;設定!$B$3,原始資料!Z267=""),"",IF(AND(原始資料!Y267&lt;&gt;"",原始資料!Z267=原始資料!Y267),N(W267)+1,1))</f>
        <v/>
      </c>
      <c r="Y267" s="6">
        <f>IF(OR(原始資料!$A267="",24&gt;設定!$B$3,原始資料!AA267=""),"",IF(AND(原始資料!Z267&lt;&gt;"",原始資料!AA267=原始資料!Z267),N(X267)+1,1))</f>
        <v/>
      </c>
      <c r="Z267" s="6">
        <f>IF(OR(原始資料!$A267="",25&gt;設定!$B$3,原始資料!AB267=""),"",IF(AND(原始資料!AA267&lt;&gt;"",原始資料!AB267=原始資料!AA267),N(Y267)+1,1))</f>
        <v/>
      </c>
      <c r="AA267" s="6">
        <f>IF(OR(原始資料!$A267="",26&gt;設定!$B$3,原始資料!AC267=""),"",IF(AND(原始資料!AB267&lt;&gt;"",原始資料!AC267=原始資料!AB267),N(Z267)+1,1))</f>
        <v/>
      </c>
      <c r="AB267" s="6">
        <f>IF(OR(原始資料!$A267="",27&gt;設定!$B$3,原始資料!AD267=""),"",IF(AND(原始資料!AC267&lt;&gt;"",原始資料!AD267=原始資料!AC267),N(AA267)+1,1))</f>
        <v/>
      </c>
      <c r="AC267" s="6">
        <f>IF(OR(原始資料!$A267="",28&gt;設定!$B$3,原始資料!AE267=""),"",IF(AND(原始資料!AD267&lt;&gt;"",原始資料!AE267=原始資料!AD267),N(AB267)+1,1))</f>
        <v/>
      </c>
      <c r="AD267" s="6">
        <f>IF(OR(原始資料!$A267="",29&gt;設定!$B$3,原始資料!AF267=""),"",IF(AND(原始資料!AE267&lt;&gt;"",原始資料!AF267=原始資料!AE267),N(AC267)+1,1))</f>
        <v/>
      </c>
      <c r="AE267" s="6">
        <f>IF(OR(原始資料!$A267="",30&gt;設定!$B$3,原始資料!AG267=""),"",IF(AND(原始資料!AF267&lt;&gt;"",原始資料!AG267=原始資料!AF267),N(AD267)+1,1))</f>
        <v/>
      </c>
      <c r="AF267" s="6">
        <f>IF(OR(原始資料!$A267="",31&gt;設定!$B$3,原始資料!AH267=""),"",IF(AND(原始資料!AG267&lt;&gt;"",原始資料!AH267=原始資料!AG267),N(AE267)+1,1))</f>
        <v/>
      </c>
      <c r="AG267" s="6">
        <f>IF(OR(原始資料!$A267="",32&gt;設定!$B$3,原始資料!AI267=""),"",IF(AND(原始資料!AH267&lt;&gt;"",原始資料!AI267=原始資料!AH267),N(AF267)+1,1))</f>
        <v/>
      </c>
      <c r="AH267" s="6">
        <f>IF(OR(原始資料!$A267="",33&gt;設定!$B$3,原始資料!AJ267=""),"",IF(AND(原始資料!AI267&lt;&gt;"",原始資料!AJ267=原始資料!AI267),N(AG267)+1,1))</f>
        <v/>
      </c>
      <c r="AI267" s="6">
        <f>IF(OR(原始資料!$A267="",34&gt;設定!$B$3,原始資料!AK267=""),"",IF(AND(原始資料!AJ267&lt;&gt;"",原始資料!AK267=原始資料!AJ267),N(AH267)+1,1))</f>
        <v/>
      </c>
      <c r="AJ267" s="6">
        <f>IF(OR(原始資料!$A267="",35&gt;設定!$B$3,原始資料!AL267=""),"",IF(AND(原始資料!AK267&lt;&gt;"",原始資料!AL267=原始資料!AK267),N(AI267)+1,1))</f>
        <v/>
      </c>
      <c r="AK267" s="6">
        <f>IF(OR(原始資料!$A267="",36&gt;設定!$B$3,原始資料!AM267=""),"",IF(AND(原始資料!AL267&lt;&gt;"",原始資料!AM267=原始資料!AL267),N(AJ267)+1,1))</f>
        <v/>
      </c>
      <c r="AL267" s="6">
        <f>IF(OR(原始資料!$A267="",37&gt;設定!$B$3,原始資料!AN267=""),"",IF(AND(原始資料!AM267&lt;&gt;"",原始資料!AN267=原始資料!AM267),N(AK267)+1,1))</f>
        <v/>
      </c>
      <c r="AM267" s="6">
        <f>IF(OR(原始資料!$A267="",38&gt;設定!$B$3,原始資料!AO267=""),"",IF(AND(原始資料!AN267&lt;&gt;"",原始資料!AO267=原始資料!AN267),N(AL267)+1,1))</f>
        <v/>
      </c>
      <c r="AN267" s="6">
        <f>IF(OR(原始資料!$A267="",39&gt;設定!$B$3,原始資料!AP267=""),"",IF(AND(原始資料!AO267&lt;&gt;"",原始資料!AP267=原始資料!AO267),N(AM267)+1,1))</f>
        <v/>
      </c>
      <c r="AO267" s="6">
        <f>IF(OR(原始資料!$A267="",40&gt;設定!$B$3,原始資料!AQ267=""),"",IF(AND(原始資料!AP267&lt;&gt;"",原始資料!AQ267=原始資料!AP267),N(AN267)+1,1))</f>
        <v/>
      </c>
      <c r="AP267" s="6">
        <f>IF(OR(原始資料!$A267="",41&gt;設定!$B$3,原始資料!AR267=""),"",IF(AND(原始資料!AQ267&lt;&gt;"",原始資料!AR267=原始資料!AQ267),N(AO267)+1,1))</f>
        <v/>
      </c>
      <c r="AQ267" s="6">
        <f>IF(OR(原始資料!$A267="",42&gt;設定!$B$3,原始資料!AS267=""),"",IF(AND(原始資料!AR267&lt;&gt;"",原始資料!AS267=原始資料!AR267),N(AP267)+1,1))</f>
        <v/>
      </c>
      <c r="AR267" s="6">
        <f>IF(OR(原始資料!$A267="",43&gt;設定!$B$3,原始資料!AT267=""),"",IF(AND(原始資料!AS267&lt;&gt;"",原始資料!AT267=原始資料!AS267),N(AQ267)+1,1))</f>
        <v/>
      </c>
      <c r="AS267" s="6">
        <f>IF(OR(原始資料!$A267="",44&gt;設定!$B$3,原始資料!AU267=""),"",IF(AND(原始資料!AT267&lt;&gt;"",原始資料!AU267=原始資料!AT267),N(AR267)+1,1))</f>
        <v/>
      </c>
      <c r="AT267" s="6">
        <f>IF(OR(原始資料!$A267="",45&gt;設定!$B$3,原始資料!AV267=""),"",IF(AND(原始資料!AU267&lt;&gt;"",原始資料!AV267=原始資料!AU267),N(AS267)+1,1))</f>
        <v/>
      </c>
      <c r="AU267" s="6">
        <f>IF(OR(原始資料!$A267="",46&gt;設定!$B$3,原始資料!AW267=""),"",IF(AND(原始資料!AV267&lt;&gt;"",原始資料!AW267=原始資料!AV267),N(AT267)+1,1))</f>
        <v/>
      </c>
      <c r="AV267" s="6">
        <f>IF(OR(原始資料!$A267="",47&gt;設定!$B$3,原始資料!AX267=""),"",IF(AND(原始資料!AW267&lt;&gt;"",原始資料!AX267=原始資料!AW267),N(AU267)+1,1))</f>
        <v/>
      </c>
      <c r="AW267" s="6">
        <f>IF(OR(原始資料!$A267="",48&gt;設定!$B$3,原始資料!AY267=""),"",IF(AND(原始資料!AX267&lt;&gt;"",原始資料!AY267=原始資料!AX267),N(AV267)+1,1))</f>
        <v/>
      </c>
      <c r="AX267" s="6">
        <f>IF(OR(原始資料!$A267="",49&gt;設定!$B$3,原始資料!AZ267=""),"",IF(AND(原始資料!AY267&lt;&gt;"",原始資料!AZ267=原始資料!AY267),N(AW267)+1,1))</f>
        <v/>
      </c>
      <c r="AY267" s="6">
        <f>IF(OR(原始資料!$A267="",50&gt;設定!$B$3,原始資料!BA267=""),"",IF(AND(原始資料!AZ267&lt;&gt;"",原始資料!BA267=原始資料!AZ267),N(AX267)+1,1))</f>
        <v/>
      </c>
      <c r="AZ267" s="6">
        <f>IF(OR(原始資料!$A267="",51&gt;設定!$B$3,原始資料!BB267=""),"",IF(AND(原始資料!BA267&lt;&gt;"",原始資料!BB267=原始資料!BA267),N(AY267)+1,1))</f>
        <v/>
      </c>
      <c r="BA267" s="6">
        <f>IF(OR(原始資料!$A267="",52&gt;設定!$B$3,原始資料!BC267=""),"",IF(AND(原始資料!BB267&lt;&gt;"",原始資料!BC267=原始資料!BB267),N(AZ267)+1,1))</f>
        <v/>
      </c>
      <c r="BB267" s="6">
        <f>IF(OR(原始資料!$A267="",53&gt;設定!$B$3,原始資料!BD267=""),"",IF(AND(原始資料!BC267&lt;&gt;"",原始資料!BD267=原始資料!BC267),N(BA267)+1,1))</f>
        <v/>
      </c>
      <c r="BC267" s="6">
        <f>IF(OR(原始資料!$A267="",54&gt;設定!$B$3,原始資料!BE267=""),"",IF(AND(原始資料!BD267&lt;&gt;"",原始資料!BE267=原始資料!BD267),N(BB267)+1,1))</f>
        <v/>
      </c>
      <c r="BD267" s="6">
        <f>IF(OR(原始資料!$A267="",55&gt;設定!$B$3,原始資料!BF267=""),"",IF(AND(原始資料!BE267&lt;&gt;"",原始資料!BF267=原始資料!BE267),N(BC267)+1,1))</f>
        <v/>
      </c>
      <c r="BE267" s="6">
        <f>IF(OR(原始資料!$A267="",56&gt;設定!$B$3,原始資料!BG267=""),"",IF(AND(原始資料!BF267&lt;&gt;"",原始資料!BG267=原始資料!BF267),N(BD267)+1,1))</f>
        <v/>
      </c>
      <c r="BF267" s="6">
        <f>IF(OR(原始資料!$A267="",57&gt;設定!$B$3,原始資料!BH267=""),"",IF(AND(原始資料!BG267&lt;&gt;"",原始資料!BH267=原始資料!BG267),N(BE267)+1,1))</f>
        <v/>
      </c>
      <c r="BG267" s="6">
        <f>IF(OR(原始資料!$A267="",58&gt;設定!$B$3,原始資料!BI267=""),"",IF(AND(原始資料!BH267&lt;&gt;"",原始資料!BI267=原始資料!BH267),N(BF267)+1,1))</f>
        <v/>
      </c>
      <c r="BH267" s="6">
        <f>IF(OR(原始資料!$A267="",59&gt;設定!$B$3,原始資料!BJ267=""),"",IF(AND(原始資料!BI267&lt;&gt;"",原始資料!BJ267=原始資料!BI267),N(BG267)+1,1))</f>
        <v/>
      </c>
      <c r="BI267" s="6">
        <f>IF(OR(原始資料!$A267="",60&gt;設定!$B$3,原始資料!BK267=""),"",IF(AND(原始資料!BJ267&lt;&gt;"",原始資料!BK267=原始資料!BJ267),N(BH267)+1,1))</f>
        <v/>
      </c>
    </row>
    <row r="268">
      <c r="A268" s="6">
        <f>IF(原始資料!$A268="","",原始資料!$A268)</f>
        <v/>
      </c>
      <c r="B268" s="6">
        <f>IF(OR(原始資料!$A268="",1&gt;設定!$B$3,原始資料!D268=""),"",1)</f>
        <v/>
      </c>
      <c r="C268" s="6">
        <f>IF(OR(原始資料!$A268="",2&gt;設定!$B$3,原始資料!E268=""),"",IF(AND(原始資料!D268&lt;&gt;"",原始資料!E268=原始資料!D268),N(B268)+1,1))</f>
        <v/>
      </c>
      <c r="D268" s="6">
        <f>IF(OR(原始資料!$A268="",3&gt;設定!$B$3,原始資料!F268=""),"",IF(AND(原始資料!E268&lt;&gt;"",原始資料!F268=原始資料!E268),N(C268)+1,1))</f>
        <v/>
      </c>
      <c r="E268" s="6">
        <f>IF(OR(原始資料!$A268="",4&gt;設定!$B$3,原始資料!G268=""),"",IF(AND(原始資料!F268&lt;&gt;"",原始資料!G268=原始資料!F268),N(D268)+1,1))</f>
        <v/>
      </c>
      <c r="F268" s="6">
        <f>IF(OR(原始資料!$A268="",5&gt;設定!$B$3,原始資料!H268=""),"",IF(AND(原始資料!G268&lt;&gt;"",原始資料!H268=原始資料!G268),N(E268)+1,1))</f>
        <v/>
      </c>
      <c r="G268" s="6">
        <f>IF(OR(原始資料!$A268="",6&gt;設定!$B$3,原始資料!I268=""),"",IF(AND(原始資料!H268&lt;&gt;"",原始資料!I268=原始資料!H268),N(F268)+1,1))</f>
        <v/>
      </c>
      <c r="H268" s="6">
        <f>IF(OR(原始資料!$A268="",7&gt;設定!$B$3,原始資料!J268=""),"",IF(AND(原始資料!I268&lt;&gt;"",原始資料!J268=原始資料!I268),N(G268)+1,1))</f>
        <v/>
      </c>
      <c r="I268" s="6">
        <f>IF(OR(原始資料!$A268="",8&gt;設定!$B$3,原始資料!K268=""),"",IF(AND(原始資料!J268&lt;&gt;"",原始資料!K268=原始資料!J268),N(H268)+1,1))</f>
        <v/>
      </c>
      <c r="J268" s="6">
        <f>IF(OR(原始資料!$A268="",9&gt;設定!$B$3,原始資料!L268=""),"",IF(AND(原始資料!K268&lt;&gt;"",原始資料!L268=原始資料!K268),N(I268)+1,1))</f>
        <v/>
      </c>
      <c r="K268" s="6">
        <f>IF(OR(原始資料!$A268="",10&gt;設定!$B$3,原始資料!M268=""),"",IF(AND(原始資料!L268&lt;&gt;"",原始資料!M268=原始資料!L268),N(J268)+1,1))</f>
        <v/>
      </c>
      <c r="L268" s="6">
        <f>IF(OR(原始資料!$A268="",11&gt;設定!$B$3,原始資料!N268=""),"",IF(AND(原始資料!M268&lt;&gt;"",原始資料!N268=原始資料!M268),N(K268)+1,1))</f>
        <v/>
      </c>
      <c r="M268" s="6">
        <f>IF(OR(原始資料!$A268="",12&gt;設定!$B$3,原始資料!O268=""),"",IF(AND(原始資料!N268&lt;&gt;"",原始資料!O268=原始資料!N268),N(L268)+1,1))</f>
        <v/>
      </c>
      <c r="N268" s="6">
        <f>IF(OR(原始資料!$A268="",13&gt;設定!$B$3,原始資料!P268=""),"",IF(AND(原始資料!O268&lt;&gt;"",原始資料!P268=原始資料!O268),N(M268)+1,1))</f>
        <v/>
      </c>
      <c r="O268" s="6">
        <f>IF(OR(原始資料!$A268="",14&gt;設定!$B$3,原始資料!Q268=""),"",IF(AND(原始資料!P268&lt;&gt;"",原始資料!Q268=原始資料!P268),N(N268)+1,1))</f>
        <v/>
      </c>
      <c r="P268" s="6">
        <f>IF(OR(原始資料!$A268="",15&gt;設定!$B$3,原始資料!R268=""),"",IF(AND(原始資料!Q268&lt;&gt;"",原始資料!R268=原始資料!Q268),N(O268)+1,1))</f>
        <v/>
      </c>
      <c r="Q268" s="6">
        <f>IF(OR(原始資料!$A268="",16&gt;設定!$B$3,原始資料!S268=""),"",IF(AND(原始資料!R268&lt;&gt;"",原始資料!S268=原始資料!R268),N(P268)+1,1))</f>
        <v/>
      </c>
      <c r="R268" s="6">
        <f>IF(OR(原始資料!$A268="",17&gt;設定!$B$3,原始資料!T268=""),"",IF(AND(原始資料!S268&lt;&gt;"",原始資料!T268=原始資料!S268),N(Q268)+1,1))</f>
        <v/>
      </c>
      <c r="S268" s="6">
        <f>IF(OR(原始資料!$A268="",18&gt;設定!$B$3,原始資料!U268=""),"",IF(AND(原始資料!T268&lt;&gt;"",原始資料!U268=原始資料!T268),N(R268)+1,1))</f>
        <v/>
      </c>
      <c r="T268" s="6">
        <f>IF(OR(原始資料!$A268="",19&gt;設定!$B$3,原始資料!V268=""),"",IF(AND(原始資料!U268&lt;&gt;"",原始資料!V268=原始資料!U268),N(S268)+1,1))</f>
        <v/>
      </c>
      <c r="U268" s="6">
        <f>IF(OR(原始資料!$A268="",20&gt;設定!$B$3,原始資料!W268=""),"",IF(AND(原始資料!V268&lt;&gt;"",原始資料!W268=原始資料!V268),N(T268)+1,1))</f>
        <v/>
      </c>
      <c r="V268" s="6">
        <f>IF(OR(原始資料!$A268="",21&gt;設定!$B$3,原始資料!X268=""),"",IF(AND(原始資料!W268&lt;&gt;"",原始資料!X268=原始資料!W268),N(U268)+1,1))</f>
        <v/>
      </c>
      <c r="W268" s="6">
        <f>IF(OR(原始資料!$A268="",22&gt;設定!$B$3,原始資料!Y268=""),"",IF(AND(原始資料!X268&lt;&gt;"",原始資料!Y268=原始資料!X268),N(V268)+1,1))</f>
        <v/>
      </c>
      <c r="X268" s="6">
        <f>IF(OR(原始資料!$A268="",23&gt;設定!$B$3,原始資料!Z268=""),"",IF(AND(原始資料!Y268&lt;&gt;"",原始資料!Z268=原始資料!Y268),N(W268)+1,1))</f>
        <v/>
      </c>
      <c r="Y268" s="6">
        <f>IF(OR(原始資料!$A268="",24&gt;設定!$B$3,原始資料!AA268=""),"",IF(AND(原始資料!Z268&lt;&gt;"",原始資料!AA268=原始資料!Z268),N(X268)+1,1))</f>
        <v/>
      </c>
      <c r="Z268" s="6">
        <f>IF(OR(原始資料!$A268="",25&gt;設定!$B$3,原始資料!AB268=""),"",IF(AND(原始資料!AA268&lt;&gt;"",原始資料!AB268=原始資料!AA268),N(Y268)+1,1))</f>
        <v/>
      </c>
      <c r="AA268" s="6">
        <f>IF(OR(原始資料!$A268="",26&gt;設定!$B$3,原始資料!AC268=""),"",IF(AND(原始資料!AB268&lt;&gt;"",原始資料!AC268=原始資料!AB268),N(Z268)+1,1))</f>
        <v/>
      </c>
      <c r="AB268" s="6">
        <f>IF(OR(原始資料!$A268="",27&gt;設定!$B$3,原始資料!AD268=""),"",IF(AND(原始資料!AC268&lt;&gt;"",原始資料!AD268=原始資料!AC268),N(AA268)+1,1))</f>
        <v/>
      </c>
      <c r="AC268" s="6">
        <f>IF(OR(原始資料!$A268="",28&gt;設定!$B$3,原始資料!AE268=""),"",IF(AND(原始資料!AD268&lt;&gt;"",原始資料!AE268=原始資料!AD268),N(AB268)+1,1))</f>
        <v/>
      </c>
      <c r="AD268" s="6">
        <f>IF(OR(原始資料!$A268="",29&gt;設定!$B$3,原始資料!AF268=""),"",IF(AND(原始資料!AE268&lt;&gt;"",原始資料!AF268=原始資料!AE268),N(AC268)+1,1))</f>
        <v/>
      </c>
      <c r="AE268" s="6">
        <f>IF(OR(原始資料!$A268="",30&gt;設定!$B$3,原始資料!AG268=""),"",IF(AND(原始資料!AF268&lt;&gt;"",原始資料!AG268=原始資料!AF268),N(AD268)+1,1))</f>
        <v/>
      </c>
      <c r="AF268" s="6">
        <f>IF(OR(原始資料!$A268="",31&gt;設定!$B$3,原始資料!AH268=""),"",IF(AND(原始資料!AG268&lt;&gt;"",原始資料!AH268=原始資料!AG268),N(AE268)+1,1))</f>
        <v/>
      </c>
      <c r="AG268" s="6">
        <f>IF(OR(原始資料!$A268="",32&gt;設定!$B$3,原始資料!AI268=""),"",IF(AND(原始資料!AH268&lt;&gt;"",原始資料!AI268=原始資料!AH268),N(AF268)+1,1))</f>
        <v/>
      </c>
      <c r="AH268" s="6">
        <f>IF(OR(原始資料!$A268="",33&gt;設定!$B$3,原始資料!AJ268=""),"",IF(AND(原始資料!AI268&lt;&gt;"",原始資料!AJ268=原始資料!AI268),N(AG268)+1,1))</f>
        <v/>
      </c>
      <c r="AI268" s="6">
        <f>IF(OR(原始資料!$A268="",34&gt;設定!$B$3,原始資料!AK268=""),"",IF(AND(原始資料!AJ268&lt;&gt;"",原始資料!AK268=原始資料!AJ268),N(AH268)+1,1))</f>
        <v/>
      </c>
      <c r="AJ268" s="6">
        <f>IF(OR(原始資料!$A268="",35&gt;設定!$B$3,原始資料!AL268=""),"",IF(AND(原始資料!AK268&lt;&gt;"",原始資料!AL268=原始資料!AK268),N(AI268)+1,1))</f>
        <v/>
      </c>
      <c r="AK268" s="6">
        <f>IF(OR(原始資料!$A268="",36&gt;設定!$B$3,原始資料!AM268=""),"",IF(AND(原始資料!AL268&lt;&gt;"",原始資料!AM268=原始資料!AL268),N(AJ268)+1,1))</f>
        <v/>
      </c>
      <c r="AL268" s="6">
        <f>IF(OR(原始資料!$A268="",37&gt;設定!$B$3,原始資料!AN268=""),"",IF(AND(原始資料!AM268&lt;&gt;"",原始資料!AN268=原始資料!AM268),N(AK268)+1,1))</f>
        <v/>
      </c>
      <c r="AM268" s="6">
        <f>IF(OR(原始資料!$A268="",38&gt;設定!$B$3,原始資料!AO268=""),"",IF(AND(原始資料!AN268&lt;&gt;"",原始資料!AO268=原始資料!AN268),N(AL268)+1,1))</f>
        <v/>
      </c>
      <c r="AN268" s="6">
        <f>IF(OR(原始資料!$A268="",39&gt;設定!$B$3,原始資料!AP268=""),"",IF(AND(原始資料!AO268&lt;&gt;"",原始資料!AP268=原始資料!AO268),N(AM268)+1,1))</f>
        <v/>
      </c>
      <c r="AO268" s="6">
        <f>IF(OR(原始資料!$A268="",40&gt;設定!$B$3,原始資料!AQ268=""),"",IF(AND(原始資料!AP268&lt;&gt;"",原始資料!AQ268=原始資料!AP268),N(AN268)+1,1))</f>
        <v/>
      </c>
      <c r="AP268" s="6">
        <f>IF(OR(原始資料!$A268="",41&gt;設定!$B$3,原始資料!AR268=""),"",IF(AND(原始資料!AQ268&lt;&gt;"",原始資料!AR268=原始資料!AQ268),N(AO268)+1,1))</f>
        <v/>
      </c>
      <c r="AQ268" s="6">
        <f>IF(OR(原始資料!$A268="",42&gt;設定!$B$3,原始資料!AS268=""),"",IF(AND(原始資料!AR268&lt;&gt;"",原始資料!AS268=原始資料!AR268),N(AP268)+1,1))</f>
        <v/>
      </c>
      <c r="AR268" s="6">
        <f>IF(OR(原始資料!$A268="",43&gt;設定!$B$3,原始資料!AT268=""),"",IF(AND(原始資料!AS268&lt;&gt;"",原始資料!AT268=原始資料!AS268),N(AQ268)+1,1))</f>
        <v/>
      </c>
      <c r="AS268" s="6">
        <f>IF(OR(原始資料!$A268="",44&gt;設定!$B$3,原始資料!AU268=""),"",IF(AND(原始資料!AT268&lt;&gt;"",原始資料!AU268=原始資料!AT268),N(AR268)+1,1))</f>
        <v/>
      </c>
      <c r="AT268" s="6">
        <f>IF(OR(原始資料!$A268="",45&gt;設定!$B$3,原始資料!AV268=""),"",IF(AND(原始資料!AU268&lt;&gt;"",原始資料!AV268=原始資料!AU268),N(AS268)+1,1))</f>
        <v/>
      </c>
      <c r="AU268" s="6">
        <f>IF(OR(原始資料!$A268="",46&gt;設定!$B$3,原始資料!AW268=""),"",IF(AND(原始資料!AV268&lt;&gt;"",原始資料!AW268=原始資料!AV268),N(AT268)+1,1))</f>
        <v/>
      </c>
      <c r="AV268" s="6">
        <f>IF(OR(原始資料!$A268="",47&gt;設定!$B$3,原始資料!AX268=""),"",IF(AND(原始資料!AW268&lt;&gt;"",原始資料!AX268=原始資料!AW268),N(AU268)+1,1))</f>
        <v/>
      </c>
      <c r="AW268" s="6">
        <f>IF(OR(原始資料!$A268="",48&gt;設定!$B$3,原始資料!AY268=""),"",IF(AND(原始資料!AX268&lt;&gt;"",原始資料!AY268=原始資料!AX268),N(AV268)+1,1))</f>
        <v/>
      </c>
      <c r="AX268" s="6">
        <f>IF(OR(原始資料!$A268="",49&gt;設定!$B$3,原始資料!AZ268=""),"",IF(AND(原始資料!AY268&lt;&gt;"",原始資料!AZ268=原始資料!AY268),N(AW268)+1,1))</f>
        <v/>
      </c>
      <c r="AY268" s="6">
        <f>IF(OR(原始資料!$A268="",50&gt;設定!$B$3,原始資料!BA268=""),"",IF(AND(原始資料!AZ268&lt;&gt;"",原始資料!BA268=原始資料!AZ268),N(AX268)+1,1))</f>
        <v/>
      </c>
      <c r="AZ268" s="6">
        <f>IF(OR(原始資料!$A268="",51&gt;設定!$B$3,原始資料!BB268=""),"",IF(AND(原始資料!BA268&lt;&gt;"",原始資料!BB268=原始資料!BA268),N(AY268)+1,1))</f>
        <v/>
      </c>
      <c r="BA268" s="6">
        <f>IF(OR(原始資料!$A268="",52&gt;設定!$B$3,原始資料!BC268=""),"",IF(AND(原始資料!BB268&lt;&gt;"",原始資料!BC268=原始資料!BB268),N(AZ268)+1,1))</f>
        <v/>
      </c>
      <c r="BB268" s="6">
        <f>IF(OR(原始資料!$A268="",53&gt;設定!$B$3,原始資料!BD268=""),"",IF(AND(原始資料!BC268&lt;&gt;"",原始資料!BD268=原始資料!BC268),N(BA268)+1,1))</f>
        <v/>
      </c>
      <c r="BC268" s="6">
        <f>IF(OR(原始資料!$A268="",54&gt;設定!$B$3,原始資料!BE268=""),"",IF(AND(原始資料!BD268&lt;&gt;"",原始資料!BE268=原始資料!BD268),N(BB268)+1,1))</f>
        <v/>
      </c>
      <c r="BD268" s="6">
        <f>IF(OR(原始資料!$A268="",55&gt;設定!$B$3,原始資料!BF268=""),"",IF(AND(原始資料!BE268&lt;&gt;"",原始資料!BF268=原始資料!BE268),N(BC268)+1,1))</f>
        <v/>
      </c>
      <c r="BE268" s="6">
        <f>IF(OR(原始資料!$A268="",56&gt;設定!$B$3,原始資料!BG268=""),"",IF(AND(原始資料!BF268&lt;&gt;"",原始資料!BG268=原始資料!BF268),N(BD268)+1,1))</f>
        <v/>
      </c>
      <c r="BF268" s="6">
        <f>IF(OR(原始資料!$A268="",57&gt;設定!$B$3,原始資料!BH268=""),"",IF(AND(原始資料!BG268&lt;&gt;"",原始資料!BH268=原始資料!BG268),N(BE268)+1,1))</f>
        <v/>
      </c>
      <c r="BG268" s="6">
        <f>IF(OR(原始資料!$A268="",58&gt;設定!$B$3,原始資料!BI268=""),"",IF(AND(原始資料!BH268&lt;&gt;"",原始資料!BI268=原始資料!BH268),N(BF268)+1,1))</f>
        <v/>
      </c>
      <c r="BH268" s="6">
        <f>IF(OR(原始資料!$A268="",59&gt;設定!$B$3,原始資料!BJ268=""),"",IF(AND(原始資料!BI268&lt;&gt;"",原始資料!BJ268=原始資料!BI268),N(BG268)+1,1))</f>
        <v/>
      </c>
      <c r="BI268" s="6">
        <f>IF(OR(原始資料!$A268="",60&gt;設定!$B$3,原始資料!BK268=""),"",IF(AND(原始資料!BJ268&lt;&gt;"",原始資料!BK268=原始資料!BJ268),N(BH268)+1,1))</f>
        <v/>
      </c>
    </row>
    <row r="269">
      <c r="A269" s="6">
        <f>IF(原始資料!$A269="","",原始資料!$A269)</f>
        <v/>
      </c>
      <c r="B269" s="6">
        <f>IF(OR(原始資料!$A269="",1&gt;設定!$B$3,原始資料!D269=""),"",1)</f>
        <v/>
      </c>
      <c r="C269" s="6">
        <f>IF(OR(原始資料!$A269="",2&gt;設定!$B$3,原始資料!E269=""),"",IF(AND(原始資料!D269&lt;&gt;"",原始資料!E269=原始資料!D269),N(B269)+1,1))</f>
        <v/>
      </c>
      <c r="D269" s="6">
        <f>IF(OR(原始資料!$A269="",3&gt;設定!$B$3,原始資料!F269=""),"",IF(AND(原始資料!E269&lt;&gt;"",原始資料!F269=原始資料!E269),N(C269)+1,1))</f>
        <v/>
      </c>
      <c r="E269" s="6">
        <f>IF(OR(原始資料!$A269="",4&gt;設定!$B$3,原始資料!G269=""),"",IF(AND(原始資料!F269&lt;&gt;"",原始資料!G269=原始資料!F269),N(D269)+1,1))</f>
        <v/>
      </c>
      <c r="F269" s="6">
        <f>IF(OR(原始資料!$A269="",5&gt;設定!$B$3,原始資料!H269=""),"",IF(AND(原始資料!G269&lt;&gt;"",原始資料!H269=原始資料!G269),N(E269)+1,1))</f>
        <v/>
      </c>
      <c r="G269" s="6">
        <f>IF(OR(原始資料!$A269="",6&gt;設定!$B$3,原始資料!I269=""),"",IF(AND(原始資料!H269&lt;&gt;"",原始資料!I269=原始資料!H269),N(F269)+1,1))</f>
        <v/>
      </c>
      <c r="H269" s="6">
        <f>IF(OR(原始資料!$A269="",7&gt;設定!$B$3,原始資料!J269=""),"",IF(AND(原始資料!I269&lt;&gt;"",原始資料!J269=原始資料!I269),N(G269)+1,1))</f>
        <v/>
      </c>
      <c r="I269" s="6">
        <f>IF(OR(原始資料!$A269="",8&gt;設定!$B$3,原始資料!K269=""),"",IF(AND(原始資料!J269&lt;&gt;"",原始資料!K269=原始資料!J269),N(H269)+1,1))</f>
        <v/>
      </c>
      <c r="J269" s="6">
        <f>IF(OR(原始資料!$A269="",9&gt;設定!$B$3,原始資料!L269=""),"",IF(AND(原始資料!K269&lt;&gt;"",原始資料!L269=原始資料!K269),N(I269)+1,1))</f>
        <v/>
      </c>
      <c r="K269" s="6">
        <f>IF(OR(原始資料!$A269="",10&gt;設定!$B$3,原始資料!M269=""),"",IF(AND(原始資料!L269&lt;&gt;"",原始資料!M269=原始資料!L269),N(J269)+1,1))</f>
        <v/>
      </c>
      <c r="L269" s="6">
        <f>IF(OR(原始資料!$A269="",11&gt;設定!$B$3,原始資料!N269=""),"",IF(AND(原始資料!M269&lt;&gt;"",原始資料!N269=原始資料!M269),N(K269)+1,1))</f>
        <v/>
      </c>
      <c r="M269" s="6">
        <f>IF(OR(原始資料!$A269="",12&gt;設定!$B$3,原始資料!O269=""),"",IF(AND(原始資料!N269&lt;&gt;"",原始資料!O269=原始資料!N269),N(L269)+1,1))</f>
        <v/>
      </c>
      <c r="N269" s="6">
        <f>IF(OR(原始資料!$A269="",13&gt;設定!$B$3,原始資料!P269=""),"",IF(AND(原始資料!O269&lt;&gt;"",原始資料!P269=原始資料!O269),N(M269)+1,1))</f>
        <v/>
      </c>
      <c r="O269" s="6">
        <f>IF(OR(原始資料!$A269="",14&gt;設定!$B$3,原始資料!Q269=""),"",IF(AND(原始資料!P269&lt;&gt;"",原始資料!Q269=原始資料!P269),N(N269)+1,1))</f>
        <v/>
      </c>
      <c r="P269" s="6">
        <f>IF(OR(原始資料!$A269="",15&gt;設定!$B$3,原始資料!R269=""),"",IF(AND(原始資料!Q269&lt;&gt;"",原始資料!R269=原始資料!Q269),N(O269)+1,1))</f>
        <v/>
      </c>
      <c r="Q269" s="6">
        <f>IF(OR(原始資料!$A269="",16&gt;設定!$B$3,原始資料!S269=""),"",IF(AND(原始資料!R269&lt;&gt;"",原始資料!S269=原始資料!R269),N(P269)+1,1))</f>
        <v/>
      </c>
      <c r="R269" s="6">
        <f>IF(OR(原始資料!$A269="",17&gt;設定!$B$3,原始資料!T269=""),"",IF(AND(原始資料!S269&lt;&gt;"",原始資料!T269=原始資料!S269),N(Q269)+1,1))</f>
        <v/>
      </c>
      <c r="S269" s="6">
        <f>IF(OR(原始資料!$A269="",18&gt;設定!$B$3,原始資料!U269=""),"",IF(AND(原始資料!T269&lt;&gt;"",原始資料!U269=原始資料!T269),N(R269)+1,1))</f>
        <v/>
      </c>
      <c r="T269" s="6">
        <f>IF(OR(原始資料!$A269="",19&gt;設定!$B$3,原始資料!V269=""),"",IF(AND(原始資料!U269&lt;&gt;"",原始資料!V269=原始資料!U269),N(S269)+1,1))</f>
        <v/>
      </c>
      <c r="U269" s="6">
        <f>IF(OR(原始資料!$A269="",20&gt;設定!$B$3,原始資料!W269=""),"",IF(AND(原始資料!V269&lt;&gt;"",原始資料!W269=原始資料!V269),N(T269)+1,1))</f>
        <v/>
      </c>
      <c r="V269" s="6">
        <f>IF(OR(原始資料!$A269="",21&gt;設定!$B$3,原始資料!X269=""),"",IF(AND(原始資料!W269&lt;&gt;"",原始資料!X269=原始資料!W269),N(U269)+1,1))</f>
        <v/>
      </c>
      <c r="W269" s="6">
        <f>IF(OR(原始資料!$A269="",22&gt;設定!$B$3,原始資料!Y269=""),"",IF(AND(原始資料!X269&lt;&gt;"",原始資料!Y269=原始資料!X269),N(V269)+1,1))</f>
        <v/>
      </c>
      <c r="X269" s="6">
        <f>IF(OR(原始資料!$A269="",23&gt;設定!$B$3,原始資料!Z269=""),"",IF(AND(原始資料!Y269&lt;&gt;"",原始資料!Z269=原始資料!Y269),N(W269)+1,1))</f>
        <v/>
      </c>
      <c r="Y269" s="6">
        <f>IF(OR(原始資料!$A269="",24&gt;設定!$B$3,原始資料!AA269=""),"",IF(AND(原始資料!Z269&lt;&gt;"",原始資料!AA269=原始資料!Z269),N(X269)+1,1))</f>
        <v/>
      </c>
      <c r="Z269" s="6">
        <f>IF(OR(原始資料!$A269="",25&gt;設定!$B$3,原始資料!AB269=""),"",IF(AND(原始資料!AA269&lt;&gt;"",原始資料!AB269=原始資料!AA269),N(Y269)+1,1))</f>
        <v/>
      </c>
      <c r="AA269" s="6">
        <f>IF(OR(原始資料!$A269="",26&gt;設定!$B$3,原始資料!AC269=""),"",IF(AND(原始資料!AB269&lt;&gt;"",原始資料!AC269=原始資料!AB269),N(Z269)+1,1))</f>
        <v/>
      </c>
      <c r="AB269" s="6">
        <f>IF(OR(原始資料!$A269="",27&gt;設定!$B$3,原始資料!AD269=""),"",IF(AND(原始資料!AC269&lt;&gt;"",原始資料!AD269=原始資料!AC269),N(AA269)+1,1))</f>
        <v/>
      </c>
      <c r="AC269" s="6">
        <f>IF(OR(原始資料!$A269="",28&gt;設定!$B$3,原始資料!AE269=""),"",IF(AND(原始資料!AD269&lt;&gt;"",原始資料!AE269=原始資料!AD269),N(AB269)+1,1))</f>
        <v/>
      </c>
      <c r="AD269" s="6">
        <f>IF(OR(原始資料!$A269="",29&gt;設定!$B$3,原始資料!AF269=""),"",IF(AND(原始資料!AE269&lt;&gt;"",原始資料!AF269=原始資料!AE269),N(AC269)+1,1))</f>
        <v/>
      </c>
      <c r="AE269" s="6">
        <f>IF(OR(原始資料!$A269="",30&gt;設定!$B$3,原始資料!AG269=""),"",IF(AND(原始資料!AF269&lt;&gt;"",原始資料!AG269=原始資料!AF269),N(AD269)+1,1))</f>
        <v/>
      </c>
      <c r="AF269" s="6">
        <f>IF(OR(原始資料!$A269="",31&gt;設定!$B$3,原始資料!AH269=""),"",IF(AND(原始資料!AG269&lt;&gt;"",原始資料!AH269=原始資料!AG269),N(AE269)+1,1))</f>
        <v/>
      </c>
      <c r="AG269" s="6">
        <f>IF(OR(原始資料!$A269="",32&gt;設定!$B$3,原始資料!AI269=""),"",IF(AND(原始資料!AH269&lt;&gt;"",原始資料!AI269=原始資料!AH269),N(AF269)+1,1))</f>
        <v/>
      </c>
      <c r="AH269" s="6">
        <f>IF(OR(原始資料!$A269="",33&gt;設定!$B$3,原始資料!AJ269=""),"",IF(AND(原始資料!AI269&lt;&gt;"",原始資料!AJ269=原始資料!AI269),N(AG269)+1,1))</f>
        <v/>
      </c>
      <c r="AI269" s="6">
        <f>IF(OR(原始資料!$A269="",34&gt;設定!$B$3,原始資料!AK269=""),"",IF(AND(原始資料!AJ269&lt;&gt;"",原始資料!AK269=原始資料!AJ269),N(AH269)+1,1))</f>
        <v/>
      </c>
      <c r="AJ269" s="6">
        <f>IF(OR(原始資料!$A269="",35&gt;設定!$B$3,原始資料!AL269=""),"",IF(AND(原始資料!AK269&lt;&gt;"",原始資料!AL269=原始資料!AK269),N(AI269)+1,1))</f>
        <v/>
      </c>
      <c r="AK269" s="6">
        <f>IF(OR(原始資料!$A269="",36&gt;設定!$B$3,原始資料!AM269=""),"",IF(AND(原始資料!AL269&lt;&gt;"",原始資料!AM269=原始資料!AL269),N(AJ269)+1,1))</f>
        <v/>
      </c>
      <c r="AL269" s="6">
        <f>IF(OR(原始資料!$A269="",37&gt;設定!$B$3,原始資料!AN269=""),"",IF(AND(原始資料!AM269&lt;&gt;"",原始資料!AN269=原始資料!AM269),N(AK269)+1,1))</f>
        <v/>
      </c>
      <c r="AM269" s="6">
        <f>IF(OR(原始資料!$A269="",38&gt;設定!$B$3,原始資料!AO269=""),"",IF(AND(原始資料!AN269&lt;&gt;"",原始資料!AO269=原始資料!AN269),N(AL269)+1,1))</f>
        <v/>
      </c>
      <c r="AN269" s="6">
        <f>IF(OR(原始資料!$A269="",39&gt;設定!$B$3,原始資料!AP269=""),"",IF(AND(原始資料!AO269&lt;&gt;"",原始資料!AP269=原始資料!AO269),N(AM269)+1,1))</f>
        <v/>
      </c>
      <c r="AO269" s="6">
        <f>IF(OR(原始資料!$A269="",40&gt;設定!$B$3,原始資料!AQ269=""),"",IF(AND(原始資料!AP269&lt;&gt;"",原始資料!AQ269=原始資料!AP269),N(AN269)+1,1))</f>
        <v/>
      </c>
      <c r="AP269" s="6">
        <f>IF(OR(原始資料!$A269="",41&gt;設定!$B$3,原始資料!AR269=""),"",IF(AND(原始資料!AQ269&lt;&gt;"",原始資料!AR269=原始資料!AQ269),N(AO269)+1,1))</f>
        <v/>
      </c>
      <c r="AQ269" s="6">
        <f>IF(OR(原始資料!$A269="",42&gt;設定!$B$3,原始資料!AS269=""),"",IF(AND(原始資料!AR269&lt;&gt;"",原始資料!AS269=原始資料!AR269),N(AP269)+1,1))</f>
        <v/>
      </c>
      <c r="AR269" s="6">
        <f>IF(OR(原始資料!$A269="",43&gt;設定!$B$3,原始資料!AT269=""),"",IF(AND(原始資料!AS269&lt;&gt;"",原始資料!AT269=原始資料!AS269),N(AQ269)+1,1))</f>
        <v/>
      </c>
      <c r="AS269" s="6">
        <f>IF(OR(原始資料!$A269="",44&gt;設定!$B$3,原始資料!AU269=""),"",IF(AND(原始資料!AT269&lt;&gt;"",原始資料!AU269=原始資料!AT269),N(AR269)+1,1))</f>
        <v/>
      </c>
      <c r="AT269" s="6">
        <f>IF(OR(原始資料!$A269="",45&gt;設定!$B$3,原始資料!AV269=""),"",IF(AND(原始資料!AU269&lt;&gt;"",原始資料!AV269=原始資料!AU269),N(AS269)+1,1))</f>
        <v/>
      </c>
      <c r="AU269" s="6">
        <f>IF(OR(原始資料!$A269="",46&gt;設定!$B$3,原始資料!AW269=""),"",IF(AND(原始資料!AV269&lt;&gt;"",原始資料!AW269=原始資料!AV269),N(AT269)+1,1))</f>
        <v/>
      </c>
      <c r="AV269" s="6">
        <f>IF(OR(原始資料!$A269="",47&gt;設定!$B$3,原始資料!AX269=""),"",IF(AND(原始資料!AW269&lt;&gt;"",原始資料!AX269=原始資料!AW269),N(AU269)+1,1))</f>
        <v/>
      </c>
      <c r="AW269" s="6">
        <f>IF(OR(原始資料!$A269="",48&gt;設定!$B$3,原始資料!AY269=""),"",IF(AND(原始資料!AX269&lt;&gt;"",原始資料!AY269=原始資料!AX269),N(AV269)+1,1))</f>
        <v/>
      </c>
      <c r="AX269" s="6">
        <f>IF(OR(原始資料!$A269="",49&gt;設定!$B$3,原始資料!AZ269=""),"",IF(AND(原始資料!AY269&lt;&gt;"",原始資料!AZ269=原始資料!AY269),N(AW269)+1,1))</f>
        <v/>
      </c>
      <c r="AY269" s="6">
        <f>IF(OR(原始資料!$A269="",50&gt;設定!$B$3,原始資料!BA269=""),"",IF(AND(原始資料!AZ269&lt;&gt;"",原始資料!BA269=原始資料!AZ269),N(AX269)+1,1))</f>
        <v/>
      </c>
      <c r="AZ269" s="6">
        <f>IF(OR(原始資料!$A269="",51&gt;設定!$B$3,原始資料!BB269=""),"",IF(AND(原始資料!BA269&lt;&gt;"",原始資料!BB269=原始資料!BA269),N(AY269)+1,1))</f>
        <v/>
      </c>
      <c r="BA269" s="6">
        <f>IF(OR(原始資料!$A269="",52&gt;設定!$B$3,原始資料!BC269=""),"",IF(AND(原始資料!BB269&lt;&gt;"",原始資料!BC269=原始資料!BB269),N(AZ269)+1,1))</f>
        <v/>
      </c>
      <c r="BB269" s="6">
        <f>IF(OR(原始資料!$A269="",53&gt;設定!$B$3,原始資料!BD269=""),"",IF(AND(原始資料!BC269&lt;&gt;"",原始資料!BD269=原始資料!BC269),N(BA269)+1,1))</f>
        <v/>
      </c>
      <c r="BC269" s="6">
        <f>IF(OR(原始資料!$A269="",54&gt;設定!$B$3,原始資料!BE269=""),"",IF(AND(原始資料!BD269&lt;&gt;"",原始資料!BE269=原始資料!BD269),N(BB269)+1,1))</f>
        <v/>
      </c>
      <c r="BD269" s="6">
        <f>IF(OR(原始資料!$A269="",55&gt;設定!$B$3,原始資料!BF269=""),"",IF(AND(原始資料!BE269&lt;&gt;"",原始資料!BF269=原始資料!BE269),N(BC269)+1,1))</f>
        <v/>
      </c>
      <c r="BE269" s="6">
        <f>IF(OR(原始資料!$A269="",56&gt;設定!$B$3,原始資料!BG269=""),"",IF(AND(原始資料!BF269&lt;&gt;"",原始資料!BG269=原始資料!BF269),N(BD269)+1,1))</f>
        <v/>
      </c>
      <c r="BF269" s="6">
        <f>IF(OR(原始資料!$A269="",57&gt;設定!$B$3,原始資料!BH269=""),"",IF(AND(原始資料!BG269&lt;&gt;"",原始資料!BH269=原始資料!BG269),N(BE269)+1,1))</f>
        <v/>
      </c>
      <c r="BG269" s="6">
        <f>IF(OR(原始資料!$A269="",58&gt;設定!$B$3,原始資料!BI269=""),"",IF(AND(原始資料!BH269&lt;&gt;"",原始資料!BI269=原始資料!BH269),N(BF269)+1,1))</f>
        <v/>
      </c>
      <c r="BH269" s="6">
        <f>IF(OR(原始資料!$A269="",59&gt;設定!$B$3,原始資料!BJ269=""),"",IF(AND(原始資料!BI269&lt;&gt;"",原始資料!BJ269=原始資料!BI269),N(BG269)+1,1))</f>
        <v/>
      </c>
      <c r="BI269" s="6">
        <f>IF(OR(原始資料!$A269="",60&gt;設定!$B$3,原始資料!BK269=""),"",IF(AND(原始資料!BJ269&lt;&gt;"",原始資料!BK269=原始資料!BJ269),N(BH269)+1,1))</f>
        <v/>
      </c>
    </row>
    <row r="270">
      <c r="A270" s="6">
        <f>IF(原始資料!$A270="","",原始資料!$A270)</f>
        <v/>
      </c>
      <c r="B270" s="6">
        <f>IF(OR(原始資料!$A270="",1&gt;設定!$B$3,原始資料!D270=""),"",1)</f>
        <v/>
      </c>
      <c r="C270" s="6">
        <f>IF(OR(原始資料!$A270="",2&gt;設定!$B$3,原始資料!E270=""),"",IF(AND(原始資料!D270&lt;&gt;"",原始資料!E270=原始資料!D270),N(B270)+1,1))</f>
        <v/>
      </c>
      <c r="D270" s="6">
        <f>IF(OR(原始資料!$A270="",3&gt;設定!$B$3,原始資料!F270=""),"",IF(AND(原始資料!E270&lt;&gt;"",原始資料!F270=原始資料!E270),N(C270)+1,1))</f>
        <v/>
      </c>
      <c r="E270" s="6">
        <f>IF(OR(原始資料!$A270="",4&gt;設定!$B$3,原始資料!G270=""),"",IF(AND(原始資料!F270&lt;&gt;"",原始資料!G270=原始資料!F270),N(D270)+1,1))</f>
        <v/>
      </c>
      <c r="F270" s="6">
        <f>IF(OR(原始資料!$A270="",5&gt;設定!$B$3,原始資料!H270=""),"",IF(AND(原始資料!G270&lt;&gt;"",原始資料!H270=原始資料!G270),N(E270)+1,1))</f>
        <v/>
      </c>
      <c r="G270" s="6">
        <f>IF(OR(原始資料!$A270="",6&gt;設定!$B$3,原始資料!I270=""),"",IF(AND(原始資料!H270&lt;&gt;"",原始資料!I270=原始資料!H270),N(F270)+1,1))</f>
        <v/>
      </c>
      <c r="H270" s="6">
        <f>IF(OR(原始資料!$A270="",7&gt;設定!$B$3,原始資料!J270=""),"",IF(AND(原始資料!I270&lt;&gt;"",原始資料!J270=原始資料!I270),N(G270)+1,1))</f>
        <v/>
      </c>
      <c r="I270" s="6">
        <f>IF(OR(原始資料!$A270="",8&gt;設定!$B$3,原始資料!K270=""),"",IF(AND(原始資料!J270&lt;&gt;"",原始資料!K270=原始資料!J270),N(H270)+1,1))</f>
        <v/>
      </c>
      <c r="J270" s="6">
        <f>IF(OR(原始資料!$A270="",9&gt;設定!$B$3,原始資料!L270=""),"",IF(AND(原始資料!K270&lt;&gt;"",原始資料!L270=原始資料!K270),N(I270)+1,1))</f>
        <v/>
      </c>
      <c r="K270" s="6">
        <f>IF(OR(原始資料!$A270="",10&gt;設定!$B$3,原始資料!M270=""),"",IF(AND(原始資料!L270&lt;&gt;"",原始資料!M270=原始資料!L270),N(J270)+1,1))</f>
        <v/>
      </c>
      <c r="L270" s="6">
        <f>IF(OR(原始資料!$A270="",11&gt;設定!$B$3,原始資料!N270=""),"",IF(AND(原始資料!M270&lt;&gt;"",原始資料!N270=原始資料!M270),N(K270)+1,1))</f>
        <v/>
      </c>
      <c r="M270" s="6">
        <f>IF(OR(原始資料!$A270="",12&gt;設定!$B$3,原始資料!O270=""),"",IF(AND(原始資料!N270&lt;&gt;"",原始資料!O270=原始資料!N270),N(L270)+1,1))</f>
        <v/>
      </c>
      <c r="N270" s="6">
        <f>IF(OR(原始資料!$A270="",13&gt;設定!$B$3,原始資料!P270=""),"",IF(AND(原始資料!O270&lt;&gt;"",原始資料!P270=原始資料!O270),N(M270)+1,1))</f>
        <v/>
      </c>
      <c r="O270" s="6">
        <f>IF(OR(原始資料!$A270="",14&gt;設定!$B$3,原始資料!Q270=""),"",IF(AND(原始資料!P270&lt;&gt;"",原始資料!Q270=原始資料!P270),N(N270)+1,1))</f>
        <v/>
      </c>
      <c r="P270" s="6">
        <f>IF(OR(原始資料!$A270="",15&gt;設定!$B$3,原始資料!R270=""),"",IF(AND(原始資料!Q270&lt;&gt;"",原始資料!R270=原始資料!Q270),N(O270)+1,1))</f>
        <v/>
      </c>
      <c r="Q270" s="6">
        <f>IF(OR(原始資料!$A270="",16&gt;設定!$B$3,原始資料!S270=""),"",IF(AND(原始資料!R270&lt;&gt;"",原始資料!S270=原始資料!R270),N(P270)+1,1))</f>
        <v/>
      </c>
      <c r="R270" s="6">
        <f>IF(OR(原始資料!$A270="",17&gt;設定!$B$3,原始資料!T270=""),"",IF(AND(原始資料!S270&lt;&gt;"",原始資料!T270=原始資料!S270),N(Q270)+1,1))</f>
        <v/>
      </c>
      <c r="S270" s="6">
        <f>IF(OR(原始資料!$A270="",18&gt;設定!$B$3,原始資料!U270=""),"",IF(AND(原始資料!T270&lt;&gt;"",原始資料!U270=原始資料!T270),N(R270)+1,1))</f>
        <v/>
      </c>
      <c r="T270" s="6">
        <f>IF(OR(原始資料!$A270="",19&gt;設定!$B$3,原始資料!V270=""),"",IF(AND(原始資料!U270&lt;&gt;"",原始資料!V270=原始資料!U270),N(S270)+1,1))</f>
        <v/>
      </c>
      <c r="U270" s="6">
        <f>IF(OR(原始資料!$A270="",20&gt;設定!$B$3,原始資料!W270=""),"",IF(AND(原始資料!V270&lt;&gt;"",原始資料!W270=原始資料!V270),N(T270)+1,1))</f>
        <v/>
      </c>
      <c r="V270" s="6">
        <f>IF(OR(原始資料!$A270="",21&gt;設定!$B$3,原始資料!X270=""),"",IF(AND(原始資料!W270&lt;&gt;"",原始資料!X270=原始資料!W270),N(U270)+1,1))</f>
        <v/>
      </c>
      <c r="W270" s="6">
        <f>IF(OR(原始資料!$A270="",22&gt;設定!$B$3,原始資料!Y270=""),"",IF(AND(原始資料!X270&lt;&gt;"",原始資料!Y270=原始資料!X270),N(V270)+1,1))</f>
        <v/>
      </c>
      <c r="X270" s="6">
        <f>IF(OR(原始資料!$A270="",23&gt;設定!$B$3,原始資料!Z270=""),"",IF(AND(原始資料!Y270&lt;&gt;"",原始資料!Z270=原始資料!Y270),N(W270)+1,1))</f>
        <v/>
      </c>
      <c r="Y270" s="6">
        <f>IF(OR(原始資料!$A270="",24&gt;設定!$B$3,原始資料!AA270=""),"",IF(AND(原始資料!Z270&lt;&gt;"",原始資料!AA270=原始資料!Z270),N(X270)+1,1))</f>
        <v/>
      </c>
      <c r="Z270" s="6">
        <f>IF(OR(原始資料!$A270="",25&gt;設定!$B$3,原始資料!AB270=""),"",IF(AND(原始資料!AA270&lt;&gt;"",原始資料!AB270=原始資料!AA270),N(Y270)+1,1))</f>
        <v/>
      </c>
      <c r="AA270" s="6">
        <f>IF(OR(原始資料!$A270="",26&gt;設定!$B$3,原始資料!AC270=""),"",IF(AND(原始資料!AB270&lt;&gt;"",原始資料!AC270=原始資料!AB270),N(Z270)+1,1))</f>
        <v/>
      </c>
      <c r="AB270" s="6">
        <f>IF(OR(原始資料!$A270="",27&gt;設定!$B$3,原始資料!AD270=""),"",IF(AND(原始資料!AC270&lt;&gt;"",原始資料!AD270=原始資料!AC270),N(AA270)+1,1))</f>
        <v/>
      </c>
      <c r="AC270" s="6">
        <f>IF(OR(原始資料!$A270="",28&gt;設定!$B$3,原始資料!AE270=""),"",IF(AND(原始資料!AD270&lt;&gt;"",原始資料!AE270=原始資料!AD270),N(AB270)+1,1))</f>
        <v/>
      </c>
      <c r="AD270" s="6">
        <f>IF(OR(原始資料!$A270="",29&gt;設定!$B$3,原始資料!AF270=""),"",IF(AND(原始資料!AE270&lt;&gt;"",原始資料!AF270=原始資料!AE270),N(AC270)+1,1))</f>
        <v/>
      </c>
      <c r="AE270" s="6">
        <f>IF(OR(原始資料!$A270="",30&gt;設定!$B$3,原始資料!AG270=""),"",IF(AND(原始資料!AF270&lt;&gt;"",原始資料!AG270=原始資料!AF270),N(AD270)+1,1))</f>
        <v/>
      </c>
      <c r="AF270" s="6">
        <f>IF(OR(原始資料!$A270="",31&gt;設定!$B$3,原始資料!AH270=""),"",IF(AND(原始資料!AG270&lt;&gt;"",原始資料!AH270=原始資料!AG270),N(AE270)+1,1))</f>
        <v/>
      </c>
      <c r="AG270" s="6">
        <f>IF(OR(原始資料!$A270="",32&gt;設定!$B$3,原始資料!AI270=""),"",IF(AND(原始資料!AH270&lt;&gt;"",原始資料!AI270=原始資料!AH270),N(AF270)+1,1))</f>
        <v/>
      </c>
      <c r="AH270" s="6">
        <f>IF(OR(原始資料!$A270="",33&gt;設定!$B$3,原始資料!AJ270=""),"",IF(AND(原始資料!AI270&lt;&gt;"",原始資料!AJ270=原始資料!AI270),N(AG270)+1,1))</f>
        <v/>
      </c>
      <c r="AI270" s="6">
        <f>IF(OR(原始資料!$A270="",34&gt;設定!$B$3,原始資料!AK270=""),"",IF(AND(原始資料!AJ270&lt;&gt;"",原始資料!AK270=原始資料!AJ270),N(AH270)+1,1))</f>
        <v/>
      </c>
      <c r="AJ270" s="6">
        <f>IF(OR(原始資料!$A270="",35&gt;設定!$B$3,原始資料!AL270=""),"",IF(AND(原始資料!AK270&lt;&gt;"",原始資料!AL270=原始資料!AK270),N(AI270)+1,1))</f>
        <v/>
      </c>
      <c r="AK270" s="6">
        <f>IF(OR(原始資料!$A270="",36&gt;設定!$B$3,原始資料!AM270=""),"",IF(AND(原始資料!AL270&lt;&gt;"",原始資料!AM270=原始資料!AL270),N(AJ270)+1,1))</f>
        <v/>
      </c>
      <c r="AL270" s="6">
        <f>IF(OR(原始資料!$A270="",37&gt;設定!$B$3,原始資料!AN270=""),"",IF(AND(原始資料!AM270&lt;&gt;"",原始資料!AN270=原始資料!AM270),N(AK270)+1,1))</f>
        <v/>
      </c>
      <c r="AM270" s="6">
        <f>IF(OR(原始資料!$A270="",38&gt;設定!$B$3,原始資料!AO270=""),"",IF(AND(原始資料!AN270&lt;&gt;"",原始資料!AO270=原始資料!AN270),N(AL270)+1,1))</f>
        <v/>
      </c>
      <c r="AN270" s="6">
        <f>IF(OR(原始資料!$A270="",39&gt;設定!$B$3,原始資料!AP270=""),"",IF(AND(原始資料!AO270&lt;&gt;"",原始資料!AP270=原始資料!AO270),N(AM270)+1,1))</f>
        <v/>
      </c>
      <c r="AO270" s="6">
        <f>IF(OR(原始資料!$A270="",40&gt;設定!$B$3,原始資料!AQ270=""),"",IF(AND(原始資料!AP270&lt;&gt;"",原始資料!AQ270=原始資料!AP270),N(AN270)+1,1))</f>
        <v/>
      </c>
      <c r="AP270" s="6">
        <f>IF(OR(原始資料!$A270="",41&gt;設定!$B$3,原始資料!AR270=""),"",IF(AND(原始資料!AQ270&lt;&gt;"",原始資料!AR270=原始資料!AQ270),N(AO270)+1,1))</f>
        <v/>
      </c>
      <c r="AQ270" s="6">
        <f>IF(OR(原始資料!$A270="",42&gt;設定!$B$3,原始資料!AS270=""),"",IF(AND(原始資料!AR270&lt;&gt;"",原始資料!AS270=原始資料!AR270),N(AP270)+1,1))</f>
        <v/>
      </c>
      <c r="AR270" s="6">
        <f>IF(OR(原始資料!$A270="",43&gt;設定!$B$3,原始資料!AT270=""),"",IF(AND(原始資料!AS270&lt;&gt;"",原始資料!AT270=原始資料!AS270),N(AQ270)+1,1))</f>
        <v/>
      </c>
      <c r="AS270" s="6">
        <f>IF(OR(原始資料!$A270="",44&gt;設定!$B$3,原始資料!AU270=""),"",IF(AND(原始資料!AT270&lt;&gt;"",原始資料!AU270=原始資料!AT270),N(AR270)+1,1))</f>
        <v/>
      </c>
      <c r="AT270" s="6">
        <f>IF(OR(原始資料!$A270="",45&gt;設定!$B$3,原始資料!AV270=""),"",IF(AND(原始資料!AU270&lt;&gt;"",原始資料!AV270=原始資料!AU270),N(AS270)+1,1))</f>
        <v/>
      </c>
      <c r="AU270" s="6">
        <f>IF(OR(原始資料!$A270="",46&gt;設定!$B$3,原始資料!AW270=""),"",IF(AND(原始資料!AV270&lt;&gt;"",原始資料!AW270=原始資料!AV270),N(AT270)+1,1))</f>
        <v/>
      </c>
      <c r="AV270" s="6">
        <f>IF(OR(原始資料!$A270="",47&gt;設定!$B$3,原始資料!AX270=""),"",IF(AND(原始資料!AW270&lt;&gt;"",原始資料!AX270=原始資料!AW270),N(AU270)+1,1))</f>
        <v/>
      </c>
      <c r="AW270" s="6">
        <f>IF(OR(原始資料!$A270="",48&gt;設定!$B$3,原始資料!AY270=""),"",IF(AND(原始資料!AX270&lt;&gt;"",原始資料!AY270=原始資料!AX270),N(AV270)+1,1))</f>
        <v/>
      </c>
      <c r="AX270" s="6">
        <f>IF(OR(原始資料!$A270="",49&gt;設定!$B$3,原始資料!AZ270=""),"",IF(AND(原始資料!AY270&lt;&gt;"",原始資料!AZ270=原始資料!AY270),N(AW270)+1,1))</f>
        <v/>
      </c>
      <c r="AY270" s="6">
        <f>IF(OR(原始資料!$A270="",50&gt;設定!$B$3,原始資料!BA270=""),"",IF(AND(原始資料!AZ270&lt;&gt;"",原始資料!BA270=原始資料!AZ270),N(AX270)+1,1))</f>
        <v/>
      </c>
      <c r="AZ270" s="6">
        <f>IF(OR(原始資料!$A270="",51&gt;設定!$B$3,原始資料!BB270=""),"",IF(AND(原始資料!BA270&lt;&gt;"",原始資料!BB270=原始資料!BA270),N(AY270)+1,1))</f>
        <v/>
      </c>
      <c r="BA270" s="6">
        <f>IF(OR(原始資料!$A270="",52&gt;設定!$B$3,原始資料!BC270=""),"",IF(AND(原始資料!BB270&lt;&gt;"",原始資料!BC270=原始資料!BB270),N(AZ270)+1,1))</f>
        <v/>
      </c>
      <c r="BB270" s="6">
        <f>IF(OR(原始資料!$A270="",53&gt;設定!$B$3,原始資料!BD270=""),"",IF(AND(原始資料!BC270&lt;&gt;"",原始資料!BD270=原始資料!BC270),N(BA270)+1,1))</f>
        <v/>
      </c>
      <c r="BC270" s="6">
        <f>IF(OR(原始資料!$A270="",54&gt;設定!$B$3,原始資料!BE270=""),"",IF(AND(原始資料!BD270&lt;&gt;"",原始資料!BE270=原始資料!BD270),N(BB270)+1,1))</f>
        <v/>
      </c>
      <c r="BD270" s="6">
        <f>IF(OR(原始資料!$A270="",55&gt;設定!$B$3,原始資料!BF270=""),"",IF(AND(原始資料!BE270&lt;&gt;"",原始資料!BF270=原始資料!BE270),N(BC270)+1,1))</f>
        <v/>
      </c>
      <c r="BE270" s="6">
        <f>IF(OR(原始資料!$A270="",56&gt;設定!$B$3,原始資料!BG270=""),"",IF(AND(原始資料!BF270&lt;&gt;"",原始資料!BG270=原始資料!BF270),N(BD270)+1,1))</f>
        <v/>
      </c>
      <c r="BF270" s="6">
        <f>IF(OR(原始資料!$A270="",57&gt;設定!$B$3,原始資料!BH270=""),"",IF(AND(原始資料!BG270&lt;&gt;"",原始資料!BH270=原始資料!BG270),N(BE270)+1,1))</f>
        <v/>
      </c>
      <c r="BG270" s="6">
        <f>IF(OR(原始資料!$A270="",58&gt;設定!$B$3,原始資料!BI270=""),"",IF(AND(原始資料!BH270&lt;&gt;"",原始資料!BI270=原始資料!BH270),N(BF270)+1,1))</f>
        <v/>
      </c>
      <c r="BH270" s="6">
        <f>IF(OR(原始資料!$A270="",59&gt;設定!$B$3,原始資料!BJ270=""),"",IF(AND(原始資料!BI270&lt;&gt;"",原始資料!BJ270=原始資料!BI270),N(BG270)+1,1))</f>
        <v/>
      </c>
      <c r="BI270" s="6">
        <f>IF(OR(原始資料!$A270="",60&gt;設定!$B$3,原始資料!BK270=""),"",IF(AND(原始資料!BJ270&lt;&gt;"",原始資料!BK270=原始資料!BJ270),N(BH270)+1,1))</f>
        <v/>
      </c>
    </row>
    <row r="271">
      <c r="A271" s="6">
        <f>IF(原始資料!$A271="","",原始資料!$A271)</f>
        <v/>
      </c>
      <c r="B271" s="6">
        <f>IF(OR(原始資料!$A271="",1&gt;設定!$B$3,原始資料!D271=""),"",1)</f>
        <v/>
      </c>
      <c r="C271" s="6">
        <f>IF(OR(原始資料!$A271="",2&gt;設定!$B$3,原始資料!E271=""),"",IF(AND(原始資料!D271&lt;&gt;"",原始資料!E271=原始資料!D271),N(B271)+1,1))</f>
        <v/>
      </c>
      <c r="D271" s="6">
        <f>IF(OR(原始資料!$A271="",3&gt;設定!$B$3,原始資料!F271=""),"",IF(AND(原始資料!E271&lt;&gt;"",原始資料!F271=原始資料!E271),N(C271)+1,1))</f>
        <v/>
      </c>
      <c r="E271" s="6">
        <f>IF(OR(原始資料!$A271="",4&gt;設定!$B$3,原始資料!G271=""),"",IF(AND(原始資料!F271&lt;&gt;"",原始資料!G271=原始資料!F271),N(D271)+1,1))</f>
        <v/>
      </c>
      <c r="F271" s="6">
        <f>IF(OR(原始資料!$A271="",5&gt;設定!$B$3,原始資料!H271=""),"",IF(AND(原始資料!G271&lt;&gt;"",原始資料!H271=原始資料!G271),N(E271)+1,1))</f>
        <v/>
      </c>
      <c r="G271" s="6">
        <f>IF(OR(原始資料!$A271="",6&gt;設定!$B$3,原始資料!I271=""),"",IF(AND(原始資料!H271&lt;&gt;"",原始資料!I271=原始資料!H271),N(F271)+1,1))</f>
        <v/>
      </c>
      <c r="H271" s="6">
        <f>IF(OR(原始資料!$A271="",7&gt;設定!$B$3,原始資料!J271=""),"",IF(AND(原始資料!I271&lt;&gt;"",原始資料!J271=原始資料!I271),N(G271)+1,1))</f>
        <v/>
      </c>
      <c r="I271" s="6">
        <f>IF(OR(原始資料!$A271="",8&gt;設定!$B$3,原始資料!K271=""),"",IF(AND(原始資料!J271&lt;&gt;"",原始資料!K271=原始資料!J271),N(H271)+1,1))</f>
        <v/>
      </c>
      <c r="J271" s="6">
        <f>IF(OR(原始資料!$A271="",9&gt;設定!$B$3,原始資料!L271=""),"",IF(AND(原始資料!K271&lt;&gt;"",原始資料!L271=原始資料!K271),N(I271)+1,1))</f>
        <v/>
      </c>
      <c r="K271" s="6">
        <f>IF(OR(原始資料!$A271="",10&gt;設定!$B$3,原始資料!M271=""),"",IF(AND(原始資料!L271&lt;&gt;"",原始資料!M271=原始資料!L271),N(J271)+1,1))</f>
        <v/>
      </c>
      <c r="L271" s="6">
        <f>IF(OR(原始資料!$A271="",11&gt;設定!$B$3,原始資料!N271=""),"",IF(AND(原始資料!M271&lt;&gt;"",原始資料!N271=原始資料!M271),N(K271)+1,1))</f>
        <v/>
      </c>
      <c r="M271" s="6">
        <f>IF(OR(原始資料!$A271="",12&gt;設定!$B$3,原始資料!O271=""),"",IF(AND(原始資料!N271&lt;&gt;"",原始資料!O271=原始資料!N271),N(L271)+1,1))</f>
        <v/>
      </c>
      <c r="N271" s="6">
        <f>IF(OR(原始資料!$A271="",13&gt;設定!$B$3,原始資料!P271=""),"",IF(AND(原始資料!O271&lt;&gt;"",原始資料!P271=原始資料!O271),N(M271)+1,1))</f>
        <v/>
      </c>
      <c r="O271" s="6">
        <f>IF(OR(原始資料!$A271="",14&gt;設定!$B$3,原始資料!Q271=""),"",IF(AND(原始資料!P271&lt;&gt;"",原始資料!Q271=原始資料!P271),N(N271)+1,1))</f>
        <v/>
      </c>
      <c r="P271" s="6">
        <f>IF(OR(原始資料!$A271="",15&gt;設定!$B$3,原始資料!R271=""),"",IF(AND(原始資料!Q271&lt;&gt;"",原始資料!R271=原始資料!Q271),N(O271)+1,1))</f>
        <v/>
      </c>
      <c r="Q271" s="6">
        <f>IF(OR(原始資料!$A271="",16&gt;設定!$B$3,原始資料!S271=""),"",IF(AND(原始資料!R271&lt;&gt;"",原始資料!S271=原始資料!R271),N(P271)+1,1))</f>
        <v/>
      </c>
      <c r="R271" s="6">
        <f>IF(OR(原始資料!$A271="",17&gt;設定!$B$3,原始資料!T271=""),"",IF(AND(原始資料!S271&lt;&gt;"",原始資料!T271=原始資料!S271),N(Q271)+1,1))</f>
        <v/>
      </c>
      <c r="S271" s="6">
        <f>IF(OR(原始資料!$A271="",18&gt;設定!$B$3,原始資料!U271=""),"",IF(AND(原始資料!T271&lt;&gt;"",原始資料!U271=原始資料!T271),N(R271)+1,1))</f>
        <v/>
      </c>
      <c r="T271" s="6">
        <f>IF(OR(原始資料!$A271="",19&gt;設定!$B$3,原始資料!V271=""),"",IF(AND(原始資料!U271&lt;&gt;"",原始資料!V271=原始資料!U271),N(S271)+1,1))</f>
        <v/>
      </c>
      <c r="U271" s="6">
        <f>IF(OR(原始資料!$A271="",20&gt;設定!$B$3,原始資料!W271=""),"",IF(AND(原始資料!V271&lt;&gt;"",原始資料!W271=原始資料!V271),N(T271)+1,1))</f>
        <v/>
      </c>
      <c r="V271" s="6">
        <f>IF(OR(原始資料!$A271="",21&gt;設定!$B$3,原始資料!X271=""),"",IF(AND(原始資料!W271&lt;&gt;"",原始資料!X271=原始資料!W271),N(U271)+1,1))</f>
        <v/>
      </c>
      <c r="W271" s="6">
        <f>IF(OR(原始資料!$A271="",22&gt;設定!$B$3,原始資料!Y271=""),"",IF(AND(原始資料!X271&lt;&gt;"",原始資料!Y271=原始資料!X271),N(V271)+1,1))</f>
        <v/>
      </c>
      <c r="X271" s="6">
        <f>IF(OR(原始資料!$A271="",23&gt;設定!$B$3,原始資料!Z271=""),"",IF(AND(原始資料!Y271&lt;&gt;"",原始資料!Z271=原始資料!Y271),N(W271)+1,1))</f>
        <v/>
      </c>
      <c r="Y271" s="6">
        <f>IF(OR(原始資料!$A271="",24&gt;設定!$B$3,原始資料!AA271=""),"",IF(AND(原始資料!Z271&lt;&gt;"",原始資料!AA271=原始資料!Z271),N(X271)+1,1))</f>
        <v/>
      </c>
      <c r="Z271" s="6">
        <f>IF(OR(原始資料!$A271="",25&gt;設定!$B$3,原始資料!AB271=""),"",IF(AND(原始資料!AA271&lt;&gt;"",原始資料!AB271=原始資料!AA271),N(Y271)+1,1))</f>
        <v/>
      </c>
      <c r="AA271" s="6">
        <f>IF(OR(原始資料!$A271="",26&gt;設定!$B$3,原始資料!AC271=""),"",IF(AND(原始資料!AB271&lt;&gt;"",原始資料!AC271=原始資料!AB271),N(Z271)+1,1))</f>
        <v/>
      </c>
      <c r="AB271" s="6">
        <f>IF(OR(原始資料!$A271="",27&gt;設定!$B$3,原始資料!AD271=""),"",IF(AND(原始資料!AC271&lt;&gt;"",原始資料!AD271=原始資料!AC271),N(AA271)+1,1))</f>
        <v/>
      </c>
      <c r="AC271" s="6">
        <f>IF(OR(原始資料!$A271="",28&gt;設定!$B$3,原始資料!AE271=""),"",IF(AND(原始資料!AD271&lt;&gt;"",原始資料!AE271=原始資料!AD271),N(AB271)+1,1))</f>
        <v/>
      </c>
      <c r="AD271" s="6">
        <f>IF(OR(原始資料!$A271="",29&gt;設定!$B$3,原始資料!AF271=""),"",IF(AND(原始資料!AE271&lt;&gt;"",原始資料!AF271=原始資料!AE271),N(AC271)+1,1))</f>
        <v/>
      </c>
      <c r="AE271" s="6">
        <f>IF(OR(原始資料!$A271="",30&gt;設定!$B$3,原始資料!AG271=""),"",IF(AND(原始資料!AF271&lt;&gt;"",原始資料!AG271=原始資料!AF271),N(AD271)+1,1))</f>
        <v/>
      </c>
      <c r="AF271" s="6">
        <f>IF(OR(原始資料!$A271="",31&gt;設定!$B$3,原始資料!AH271=""),"",IF(AND(原始資料!AG271&lt;&gt;"",原始資料!AH271=原始資料!AG271),N(AE271)+1,1))</f>
        <v/>
      </c>
      <c r="AG271" s="6">
        <f>IF(OR(原始資料!$A271="",32&gt;設定!$B$3,原始資料!AI271=""),"",IF(AND(原始資料!AH271&lt;&gt;"",原始資料!AI271=原始資料!AH271),N(AF271)+1,1))</f>
        <v/>
      </c>
      <c r="AH271" s="6">
        <f>IF(OR(原始資料!$A271="",33&gt;設定!$B$3,原始資料!AJ271=""),"",IF(AND(原始資料!AI271&lt;&gt;"",原始資料!AJ271=原始資料!AI271),N(AG271)+1,1))</f>
        <v/>
      </c>
      <c r="AI271" s="6">
        <f>IF(OR(原始資料!$A271="",34&gt;設定!$B$3,原始資料!AK271=""),"",IF(AND(原始資料!AJ271&lt;&gt;"",原始資料!AK271=原始資料!AJ271),N(AH271)+1,1))</f>
        <v/>
      </c>
      <c r="AJ271" s="6">
        <f>IF(OR(原始資料!$A271="",35&gt;設定!$B$3,原始資料!AL271=""),"",IF(AND(原始資料!AK271&lt;&gt;"",原始資料!AL271=原始資料!AK271),N(AI271)+1,1))</f>
        <v/>
      </c>
      <c r="AK271" s="6">
        <f>IF(OR(原始資料!$A271="",36&gt;設定!$B$3,原始資料!AM271=""),"",IF(AND(原始資料!AL271&lt;&gt;"",原始資料!AM271=原始資料!AL271),N(AJ271)+1,1))</f>
        <v/>
      </c>
      <c r="AL271" s="6">
        <f>IF(OR(原始資料!$A271="",37&gt;設定!$B$3,原始資料!AN271=""),"",IF(AND(原始資料!AM271&lt;&gt;"",原始資料!AN271=原始資料!AM271),N(AK271)+1,1))</f>
        <v/>
      </c>
      <c r="AM271" s="6">
        <f>IF(OR(原始資料!$A271="",38&gt;設定!$B$3,原始資料!AO271=""),"",IF(AND(原始資料!AN271&lt;&gt;"",原始資料!AO271=原始資料!AN271),N(AL271)+1,1))</f>
        <v/>
      </c>
      <c r="AN271" s="6">
        <f>IF(OR(原始資料!$A271="",39&gt;設定!$B$3,原始資料!AP271=""),"",IF(AND(原始資料!AO271&lt;&gt;"",原始資料!AP271=原始資料!AO271),N(AM271)+1,1))</f>
        <v/>
      </c>
      <c r="AO271" s="6">
        <f>IF(OR(原始資料!$A271="",40&gt;設定!$B$3,原始資料!AQ271=""),"",IF(AND(原始資料!AP271&lt;&gt;"",原始資料!AQ271=原始資料!AP271),N(AN271)+1,1))</f>
        <v/>
      </c>
      <c r="AP271" s="6">
        <f>IF(OR(原始資料!$A271="",41&gt;設定!$B$3,原始資料!AR271=""),"",IF(AND(原始資料!AQ271&lt;&gt;"",原始資料!AR271=原始資料!AQ271),N(AO271)+1,1))</f>
        <v/>
      </c>
      <c r="AQ271" s="6">
        <f>IF(OR(原始資料!$A271="",42&gt;設定!$B$3,原始資料!AS271=""),"",IF(AND(原始資料!AR271&lt;&gt;"",原始資料!AS271=原始資料!AR271),N(AP271)+1,1))</f>
        <v/>
      </c>
      <c r="AR271" s="6">
        <f>IF(OR(原始資料!$A271="",43&gt;設定!$B$3,原始資料!AT271=""),"",IF(AND(原始資料!AS271&lt;&gt;"",原始資料!AT271=原始資料!AS271),N(AQ271)+1,1))</f>
        <v/>
      </c>
      <c r="AS271" s="6">
        <f>IF(OR(原始資料!$A271="",44&gt;設定!$B$3,原始資料!AU271=""),"",IF(AND(原始資料!AT271&lt;&gt;"",原始資料!AU271=原始資料!AT271),N(AR271)+1,1))</f>
        <v/>
      </c>
      <c r="AT271" s="6">
        <f>IF(OR(原始資料!$A271="",45&gt;設定!$B$3,原始資料!AV271=""),"",IF(AND(原始資料!AU271&lt;&gt;"",原始資料!AV271=原始資料!AU271),N(AS271)+1,1))</f>
        <v/>
      </c>
      <c r="AU271" s="6">
        <f>IF(OR(原始資料!$A271="",46&gt;設定!$B$3,原始資料!AW271=""),"",IF(AND(原始資料!AV271&lt;&gt;"",原始資料!AW271=原始資料!AV271),N(AT271)+1,1))</f>
        <v/>
      </c>
      <c r="AV271" s="6">
        <f>IF(OR(原始資料!$A271="",47&gt;設定!$B$3,原始資料!AX271=""),"",IF(AND(原始資料!AW271&lt;&gt;"",原始資料!AX271=原始資料!AW271),N(AU271)+1,1))</f>
        <v/>
      </c>
      <c r="AW271" s="6">
        <f>IF(OR(原始資料!$A271="",48&gt;設定!$B$3,原始資料!AY271=""),"",IF(AND(原始資料!AX271&lt;&gt;"",原始資料!AY271=原始資料!AX271),N(AV271)+1,1))</f>
        <v/>
      </c>
      <c r="AX271" s="6">
        <f>IF(OR(原始資料!$A271="",49&gt;設定!$B$3,原始資料!AZ271=""),"",IF(AND(原始資料!AY271&lt;&gt;"",原始資料!AZ271=原始資料!AY271),N(AW271)+1,1))</f>
        <v/>
      </c>
      <c r="AY271" s="6">
        <f>IF(OR(原始資料!$A271="",50&gt;設定!$B$3,原始資料!BA271=""),"",IF(AND(原始資料!AZ271&lt;&gt;"",原始資料!BA271=原始資料!AZ271),N(AX271)+1,1))</f>
        <v/>
      </c>
      <c r="AZ271" s="6">
        <f>IF(OR(原始資料!$A271="",51&gt;設定!$B$3,原始資料!BB271=""),"",IF(AND(原始資料!BA271&lt;&gt;"",原始資料!BB271=原始資料!BA271),N(AY271)+1,1))</f>
        <v/>
      </c>
      <c r="BA271" s="6">
        <f>IF(OR(原始資料!$A271="",52&gt;設定!$B$3,原始資料!BC271=""),"",IF(AND(原始資料!BB271&lt;&gt;"",原始資料!BC271=原始資料!BB271),N(AZ271)+1,1))</f>
        <v/>
      </c>
      <c r="BB271" s="6">
        <f>IF(OR(原始資料!$A271="",53&gt;設定!$B$3,原始資料!BD271=""),"",IF(AND(原始資料!BC271&lt;&gt;"",原始資料!BD271=原始資料!BC271),N(BA271)+1,1))</f>
        <v/>
      </c>
      <c r="BC271" s="6">
        <f>IF(OR(原始資料!$A271="",54&gt;設定!$B$3,原始資料!BE271=""),"",IF(AND(原始資料!BD271&lt;&gt;"",原始資料!BE271=原始資料!BD271),N(BB271)+1,1))</f>
        <v/>
      </c>
      <c r="BD271" s="6">
        <f>IF(OR(原始資料!$A271="",55&gt;設定!$B$3,原始資料!BF271=""),"",IF(AND(原始資料!BE271&lt;&gt;"",原始資料!BF271=原始資料!BE271),N(BC271)+1,1))</f>
        <v/>
      </c>
      <c r="BE271" s="6">
        <f>IF(OR(原始資料!$A271="",56&gt;設定!$B$3,原始資料!BG271=""),"",IF(AND(原始資料!BF271&lt;&gt;"",原始資料!BG271=原始資料!BF271),N(BD271)+1,1))</f>
        <v/>
      </c>
      <c r="BF271" s="6">
        <f>IF(OR(原始資料!$A271="",57&gt;設定!$B$3,原始資料!BH271=""),"",IF(AND(原始資料!BG271&lt;&gt;"",原始資料!BH271=原始資料!BG271),N(BE271)+1,1))</f>
        <v/>
      </c>
      <c r="BG271" s="6">
        <f>IF(OR(原始資料!$A271="",58&gt;設定!$B$3,原始資料!BI271=""),"",IF(AND(原始資料!BH271&lt;&gt;"",原始資料!BI271=原始資料!BH271),N(BF271)+1,1))</f>
        <v/>
      </c>
      <c r="BH271" s="6">
        <f>IF(OR(原始資料!$A271="",59&gt;設定!$B$3,原始資料!BJ271=""),"",IF(AND(原始資料!BI271&lt;&gt;"",原始資料!BJ271=原始資料!BI271),N(BG271)+1,1))</f>
        <v/>
      </c>
      <c r="BI271" s="6">
        <f>IF(OR(原始資料!$A271="",60&gt;設定!$B$3,原始資料!BK271=""),"",IF(AND(原始資料!BJ271&lt;&gt;"",原始資料!BK271=原始資料!BJ271),N(BH271)+1,1))</f>
        <v/>
      </c>
    </row>
    <row r="272">
      <c r="A272" s="6">
        <f>IF(原始資料!$A272="","",原始資料!$A272)</f>
        <v/>
      </c>
      <c r="B272" s="6">
        <f>IF(OR(原始資料!$A272="",1&gt;設定!$B$3,原始資料!D272=""),"",1)</f>
        <v/>
      </c>
      <c r="C272" s="6">
        <f>IF(OR(原始資料!$A272="",2&gt;設定!$B$3,原始資料!E272=""),"",IF(AND(原始資料!D272&lt;&gt;"",原始資料!E272=原始資料!D272),N(B272)+1,1))</f>
        <v/>
      </c>
      <c r="D272" s="6">
        <f>IF(OR(原始資料!$A272="",3&gt;設定!$B$3,原始資料!F272=""),"",IF(AND(原始資料!E272&lt;&gt;"",原始資料!F272=原始資料!E272),N(C272)+1,1))</f>
        <v/>
      </c>
      <c r="E272" s="6">
        <f>IF(OR(原始資料!$A272="",4&gt;設定!$B$3,原始資料!G272=""),"",IF(AND(原始資料!F272&lt;&gt;"",原始資料!G272=原始資料!F272),N(D272)+1,1))</f>
        <v/>
      </c>
      <c r="F272" s="6">
        <f>IF(OR(原始資料!$A272="",5&gt;設定!$B$3,原始資料!H272=""),"",IF(AND(原始資料!G272&lt;&gt;"",原始資料!H272=原始資料!G272),N(E272)+1,1))</f>
        <v/>
      </c>
      <c r="G272" s="6">
        <f>IF(OR(原始資料!$A272="",6&gt;設定!$B$3,原始資料!I272=""),"",IF(AND(原始資料!H272&lt;&gt;"",原始資料!I272=原始資料!H272),N(F272)+1,1))</f>
        <v/>
      </c>
      <c r="H272" s="6">
        <f>IF(OR(原始資料!$A272="",7&gt;設定!$B$3,原始資料!J272=""),"",IF(AND(原始資料!I272&lt;&gt;"",原始資料!J272=原始資料!I272),N(G272)+1,1))</f>
        <v/>
      </c>
      <c r="I272" s="6">
        <f>IF(OR(原始資料!$A272="",8&gt;設定!$B$3,原始資料!K272=""),"",IF(AND(原始資料!J272&lt;&gt;"",原始資料!K272=原始資料!J272),N(H272)+1,1))</f>
        <v/>
      </c>
      <c r="J272" s="6">
        <f>IF(OR(原始資料!$A272="",9&gt;設定!$B$3,原始資料!L272=""),"",IF(AND(原始資料!K272&lt;&gt;"",原始資料!L272=原始資料!K272),N(I272)+1,1))</f>
        <v/>
      </c>
      <c r="K272" s="6">
        <f>IF(OR(原始資料!$A272="",10&gt;設定!$B$3,原始資料!M272=""),"",IF(AND(原始資料!L272&lt;&gt;"",原始資料!M272=原始資料!L272),N(J272)+1,1))</f>
        <v/>
      </c>
      <c r="L272" s="6">
        <f>IF(OR(原始資料!$A272="",11&gt;設定!$B$3,原始資料!N272=""),"",IF(AND(原始資料!M272&lt;&gt;"",原始資料!N272=原始資料!M272),N(K272)+1,1))</f>
        <v/>
      </c>
      <c r="M272" s="6">
        <f>IF(OR(原始資料!$A272="",12&gt;設定!$B$3,原始資料!O272=""),"",IF(AND(原始資料!N272&lt;&gt;"",原始資料!O272=原始資料!N272),N(L272)+1,1))</f>
        <v/>
      </c>
      <c r="N272" s="6">
        <f>IF(OR(原始資料!$A272="",13&gt;設定!$B$3,原始資料!P272=""),"",IF(AND(原始資料!O272&lt;&gt;"",原始資料!P272=原始資料!O272),N(M272)+1,1))</f>
        <v/>
      </c>
      <c r="O272" s="6">
        <f>IF(OR(原始資料!$A272="",14&gt;設定!$B$3,原始資料!Q272=""),"",IF(AND(原始資料!P272&lt;&gt;"",原始資料!Q272=原始資料!P272),N(N272)+1,1))</f>
        <v/>
      </c>
      <c r="P272" s="6">
        <f>IF(OR(原始資料!$A272="",15&gt;設定!$B$3,原始資料!R272=""),"",IF(AND(原始資料!Q272&lt;&gt;"",原始資料!R272=原始資料!Q272),N(O272)+1,1))</f>
        <v/>
      </c>
      <c r="Q272" s="6">
        <f>IF(OR(原始資料!$A272="",16&gt;設定!$B$3,原始資料!S272=""),"",IF(AND(原始資料!R272&lt;&gt;"",原始資料!S272=原始資料!R272),N(P272)+1,1))</f>
        <v/>
      </c>
      <c r="R272" s="6">
        <f>IF(OR(原始資料!$A272="",17&gt;設定!$B$3,原始資料!T272=""),"",IF(AND(原始資料!S272&lt;&gt;"",原始資料!T272=原始資料!S272),N(Q272)+1,1))</f>
        <v/>
      </c>
      <c r="S272" s="6">
        <f>IF(OR(原始資料!$A272="",18&gt;設定!$B$3,原始資料!U272=""),"",IF(AND(原始資料!T272&lt;&gt;"",原始資料!U272=原始資料!T272),N(R272)+1,1))</f>
        <v/>
      </c>
      <c r="T272" s="6">
        <f>IF(OR(原始資料!$A272="",19&gt;設定!$B$3,原始資料!V272=""),"",IF(AND(原始資料!U272&lt;&gt;"",原始資料!V272=原始資料!U272),N(S272)+1,1))</f>
        <v/>
      </c>
      <c r="U272" s="6">
        <f>IF(OR(原始資料!$A272="",20&gt;設定!$B$3,原始資料!W272=""),"",IF(AND(原始資料!V272&lt;&gt;"",原始資料!W272=原始資料!V272),N(T272)+1,1))</f>
        <v/>
      </c>
      <c r="V272" s="6">
        <f>IF(OR(原始資料!$A272="",21&gt;設定!$B$3,原始資料!X272=""),"",IF(AND(原始資料!W272&lt;&gt;"",原始資料!X272=原始資料!W272),N(U272)+1,1))</f>
        <v/>
      </c>
      <c r="W272" s="6">
        <f>IF(OR(原始資料!$A272="",22&gt;設定!$B$3,原始資料!Y272=""),"",IF(AND(原始資料!X272&lt;&gt;"",原始資料!Y272=原始資料!X272),N(V272)+1,1))</f>
        <v/>
      </c>
      <c r="X272" s="6">
        <f>IF(OR(原始資料!$A272="",23&gt;設定!$B$3,原始資料!Z272=""),"",IF(AND(原始資料!Y272&lt;&gt;"",原始資料!Z272=原始資料!Y272),N(W272)+1,1))</f>
        <v/>
      </c>
      <c r="Y272" s="6">
        <f>IF(OR(原始資料!$A272="",24&gt;設定!$B$3,原始資料!AA272=""),"",IF(AND(原始資料!Z272&lt;&gt;"",原始資料!AA272=原始資料!Z272),N(X272)+1,1))</f>
        <v/>
      </c>
      <c r="Z272" s="6">
        <f>IF(OR(原始資料!$A272="",25&gt;設定!$B$3,原始資料!AB272=""),"",IF(AND(原始資料!AA272&lt;&gt;"",原始資料!AB272=原始資料!AA272),N(Y272)+1,1))</f>
        <v/>
      </c>
      <c r="AA272" s="6">
        <f>IF(OR(原始資料!$A272="",26&gt;設定!$B$3,原始資料!AC272=""),"",IF(AND(原始資料!AB272&lt;&gt;"",原始資料!AC272=原始資料!AB272),N(Z272)+1,1))</f>
        <v/>
      </c>
      <c r="AB272" s="6">
        <f>IF(OR(原始資料!$A272="",27&gt;設定!$B$3,原始資料!AD272=""),"",IF(AND(原始資料!AC272&lt;&gt;"",原始資料!AD272=原始資料!AC272),N(AA272)+1,1))</f>
        <v/>
      </c>
      <c r="AC272" s="6">
        <f>IF(OR(原始資料!$A272="",28&gt;設定!$B$3,原始資料!AE272=""),"",IF(AND(原始資料!AD272&lt;&gt;"",原始資料!AE272=原始資料!AD272),N(AB272)+1,1))</f>
        <v/>
      </c>
      <c r="AD272" s="6">
        <f>IF(OR(原始資料!$A272="",29&gt;設定!$B$3,原始資料!AF272=""),"",IF(AND(原始資料!AE272&lt;&gt;"",原始資料!AF272=原始資料!AE272),N(AC272)+1,1))</f>
        <v/>
      </c>
      <c r="AE272" s="6">
        <f>IF(OR(原始資料!$A272="",30&gt;設定!$B$3,原始資料!AG272=""),"",IF(AND(原始資料!AF272&lt;&gt;"",原始資料!AG272=原始資料!AF272),N(AD272)+1,1))</f>
        <v/>
      </c>
      <c r="AF272" s="6">
        <f>IF(OR(原始資料!$A272="",31&gt;設定!$B$3,原始資料!AH272=""),"",IF(AND(原始資料!AG272&lt;&gt;"",原始資料!AH272=原始資料!AG272),N(AE272)+1,1))</f>
        <v/>
      </c>
      <c r="AG272" s="6">
        <f>IF(OR(原始資料!$A272="",32&gt;設定!$B$3,原始資料!AI272=""),"",IF(AND(原始資料!AH272&lt;&gt;"",原始資料!AI272=原始資料!AH272),N(AF272)+1,1))</f>
        <v/>
      </c>
      <c r="AH272" s="6">
        <f>IF(OR(原始資料!$A272="",33&gt;設定!$B$3,原始資料!AJ272=""),"",IF(AND(原始資料!AI272&lt;&gt;"",原始資料!AJ272=原始資料!AI272),N(AG272)+1,1))</f>
        <v/>
      </c>
      <c r="AI272" s="6">
        <f>IF(OR(原始資料!$A272="",34&gt;設定!$B$3,原始資料!AK272=""),"",IF(AND(原始資料!AJ272&lt;&gt;"",原始資料!AK272=原始資料!AJ272),N(AH272)+1,1))</f>
        <v/>
      </c>
      <c r="AJ272" s="6">
        <f>IF(OR(原始資料!$A272="",35&gt;設定!$B$3,原始資料!AL272=""),"",IF(AND(原始資料!AK272&lt;&gt;"",原始資料!AL272=原始資料!AK272),N(AI272)+1,1))</f>
        <v/>
      </c>
      <c r="AK272" s="6">
        <f>IF(OR(原始資料!$A272="",36&gt;設定!$B$3,原始資料!AM272=""),"",IF(AND(原始資料!AL272&lt;&gt;"",原始資料!AM272=原始資料!AL272),N(AJ272)+1,1))</f>
        <v/>
      </c>
      <c r="AL272" s="6">
        <f>IF(OR(原始資料!$A272="",37&gt;設定!$B$3,原始資料!AN272=""),"",IF(AND(原始資料!AM272&lt;&gt;"",原始資料!AN272=原始資料!AM272),N(AK272)+1,1))</f>
        <v/>
      </c>
      <c r="AM272" s="6">
        <f>IF(OR(原始資料!$A272="",38&gt;設定!$B$3,原始資料!AO272=""),"",IF(AND(原始資料!AN272&lt;&gt;"",原始資料!AO272=原始資料!AN272),N(AL272)+1,1))</f>
        <v/>
      </c>
      <c r="AN272" s="6">
        <f>IF(OR(原始資料!$A272="",39&gt;設定!$B$3,原始資料!AP272=""),"",IF(AND(原始資料!AO272&lt;&gt;"",原始資料!AP272=原始資料!AO272),N(AM272)+1,1))</f>
        <v/>
      </c>
      <c r="AO272" s="6">
        <f>IF(OR(原始資料!$A272="",40&gt;設定!$B$3,原始資料!AQ272=""),"",IF(AND(原始資料!AP272&lt;&gt;"",原始資料!AQ272=原始資料!AP272),N(AN272)+1,1))</f>
        <v/>
      </c>
      <c r="AP272" s="6">
        <f>IF(OR(原始資料!$A272="",41&gt;設定!$B$3,原始資料!AR272=""),"",IF(AND(原始資料!AQ272&lt;&gt;"",原始資料!AR272=原始資料!AQ272),N(AO272)+1,1))</f>
        <v/>
      </c>
      <c r="AQ272" s="6">
        <f>IF(OR(原始資料!$A272="",42&gt;設定!$B$3,原始資料!AS272=""),"",IF(AND(原始資料!AR272&lt;&gt;"",原始資料!AS272=原始資料!AR272),N(AP272)+1,1))</f>
        <v/>
      </c>
      <c r="AR272" s="6">
        <f>IF(OR(原始資料!$A272="",43&gt;設定!$B$3,原始資料!AT272=""),"",IF(AND(原始資料!AS272&lt;&gt;"",原始資料!AT272=原始資料!AS272),N(AQ272)+1,1))</f>
        <v/>
      </c>
      <c r="AS272" s="6">
        <f>IF(OR(原始資料!$A272="",44&gt;設定!$B$3,原始資料!AU272=""),"",IF(AND(原始資料!AT272&lt;&gt;"",原始資料!AU272=原始資料!AT272),N(AR272)+1,1))</f>
        <v/>
      </c>
      <c r="AT272" s="6">
        <f>IF(OR(原始資料!$A272="",45&gt;設定!$B$3,原始資料!AV272=""),"",IF(AND(原始資料!AU272&lt;&gt;"",原始資料!AV272=原始資料!AU272),N(AS272)+1,1))</f>
        <v/>
      </c>
      <c r="AU272" s="6">
        <f>IF(OR(原始資料!$A272="",46&gt;設定!$B$3,原始資料!AW272=""),"",IF(AND(原始資料!AV272&lt;&gt;"",原始資料!AW272=原始資料!AV272),N(AT272)+1,1))</f>
        <v/>
      </c>
      <c r="AV272" s="6">
        <f>IF(OR(原始資料!$A272="",47&gt;設定!$B$3,原始資料!AX272=""),"",IF(AND(原始資料!AW272&lt;&gt;"",原始資料!AX272=原始資料!AW272),N(AU272)+1,1))</f>
        <v/>
      </c>
      <c r="AW272" s="6">
        <f>IF(OR(原始資料!$A272="",48&gt;設定!$B$3,原始資料!AY272=""),"",IF(AND(原始資料!AX272&lt;&gt;"",原始資料!AY272=原始資料!AX272),N(AV272)+1,1))</f>
        <v/>
      </c>
      <c r="AX272" s="6">
        <f>IF(OR(原始資料!$A272="",49&gt;設定!$B$3,原始資料!AZ272=""),"",IF(AND(原始資料!AY272&lt;&gt;"",原始資料!AZ272=原始資料!AY272),N(AW272)+1,1))</f>
        <v/>
      </c>
      <c r="AY272" s="6">
        <f>IF(OR(原始資料!$A272="",50&gt;設定!$B$3,原始資料!BA272=""),"",IF(AND(原始資料!AZ272&lt;&gt;"",原始資料!BA272=原始資料!AZ272),N(AX272)+1,1))</f>
        <v/>
      </c>
      <c r="AZ272" s="6">
        <f>IF(OR(原始資料!$A272="",51&gt;設定!$B$3,原始資料!BB272=""),"",IF(AND(原始資料!BA272&lt;&gt;"",原始資料!BB272=原始資料!BA272),N(AY272)+1,1))</f>
        <v/>
      </c>
      <c r="BA272" s="6">
        <f>IF(OR(原始資料!$A272="",52&gt;設定!$B$3,原始資料!BC272=""),"",IF(AND(原始資料!BB272&lt;&gt;"",原始資料!BC272=原始資料!BB272),N(AZ272)+1,1))</f>
        <v/>
      </c>
      <c r="BB272" s="6">
        <f>IF(OR(原始資料!$A272="",53&gt;設定!$B$3,原始資料!BD272=""),"",IF(AND(原始資料!BC272&lt;&gt;"",原始資料!BD272=原始資料!BC272),N(BA272)+1,1))</f>
        <v/>
      </c>
      <c r="BC272" s="6">
        <f>IF(OR(原始資料!$A272="",54&gt;設定!$B$3,原始資料!BE272=""),"",IF(AND(原始資料!BD272&lt;&gt;"",原始資料!BE272=原始資料!BD272),N(BB272)+1,1))</f>
        <v/>
      </c>
      <c r="BD272" s="6">
        <f>IF(OR(原始資料!$A272="",55&gt;設定!$B$3,原始資料!BF272=""),"",IF(AND(原始資料!BE272&lt;&gt;"",原始資料!BF272=原始資料!BE272),N(BC272)+1,1))</f>
        <v/>
      </c>
      <c r="BE272" s="6">
        <f>IF(OR(原始資料!$A272="",56&gt;設定!$B$3,原始資料!BG272=""),"",IF(AND(原始資料!BF272&lt;&gt;"",原始資料!BG272=原始資料!BF272),N(BD272)+1,1))</f>
        <v/>
      </c>
      <c r="BF272" s="6">
        <f>IF(OR(原始資料!$A272="",57&gt;設定!$B$3,原始資料!BH272=""),"",IF(AND(原始資料!BG272&lt;&gt;"",原始資料!BH272=原始資料!BG272),N(BE272)+1,1))</f>
        <v/>
      </c>
      <c r="BG272" s="6">
        <f>IF(OR(原始資料!$A272="",58&gt;設定!$B$3,原始資料!BI272=""),"",IF(AND(原始資料!BH272&lt;&gt;"",原始資料!BI272=原始資料!BH272),N(BF272)+1,1))</f>
        <v/>
      </c>
      <c r="BH272" s="6">
        <f>IF(OR(原始資料!$A272="",59&gt;設定!$B$3,原始資料!BJ272=""),"",IF(AND(原始資料!BI272&lt;&gt;"",原始資料!BJ272=原始資料!BI272),N(BG272)+1,1))</f>
        <v/>
      </c>
      <c r="BI272" s="6">
        <f>IF(OR(原始資料!$A272="",60&gt;設定!$B$3,原始資料!BK272=""),"",IF(AND(原始資料!BJ272&lt;&gt;"",原始資料!BK272=原始資料!BJ272),N(BH272)+1,1))</f>
        <v/>
      </c>
    </row>
    <row r="273">
      <c r="A273" s="6">
        <f>IF(原始資料!$A273="","",原始資料!$A273)</f>
        <v/>
      </c>
      <c r="B273" s="6">
        <f>IF(OR(原始資料!$A273="",1&gt;設定!$B$3,原始資料!D273=""),"",1)</f>
        <v/>
      </c>
      <c r="C273" s="6">
        <f>IF(OR(原始資料!$A273="",2&gt;設定!$B$3,原始資料!E273=""),"",IF(AND(原始資料!D273&lt;&gt;"",原始資料!E273=原始資料!D273),N(B273)+1,1))</f>
        <v/>
      </c>
      <c r="D273" s="6">
        <f>IF(OR(原始資料!$A273="",3&gt;設定!$B$3,原始資料!F273=""),"",IF(AND(原始資料!E273&lt;&gt;"",原始資料!F273=原始資料!E273),N(C273)+1,1))</f>
        <v/>
      </c>
      <c r="E273" s="6">
        <f>IF(OR(原始資料!$A273="",4&gt;設定!$B$3,原始資料!G273=""),"",IF(AND(原始資料!F273&lt;&gt;"",原始資料!G273=原始資料!F273),N(D273)+1,1))</f>
        <v/>
      </c>
      <c r="F273" s="6">
        <f>IF(OR(原始資料!$A273="",5&gt;設定!$B$3,原始資料!H273=""),"",IF(AND(原始資料!G273&lt;&gt;"",原始資料!H273=原始資料!G273),N(E273)+1,1))</f>
        <v/>
      </c>
      <c r="G273" s="6">
        <f>IF(OR(原始資料!$A273="",6&gt;設定!$B$3,原始資料!I273=""),"",IF(AND(原始資料!H273&lt;&gt;"",原始資料!I273=原始資料!H273),N(F273)+1,1))</f>
        <v/>
      </c>
      <c r="H273" s="6">
        <f>IF(OR(原始資料!$A273="",7&gt;設定!$B$3,原始資料!J273=""),"",IF(AND(原始資料!I273&lt;&gt;"",原始資料!J273=原始資料!I273),N(G273)+1,1))</f>
        <v/>
      </c>
      <c r="I273" s="6">
        <f>IF(OR(原始資料!$A273="",8&gt;設定!$B$3,原始資料!K273=""),"",IF(AND(原始資料!J273&lt;&gt;"",原始資料!K273=原始資料!J273),N(H273)+1,1))</f>
        <v/>
      </c>
      <c r="J273" s="6">
        <f>IF(OR(原始資料!$A273="",9&gt;設定!$B$3,原始資料!L273=""),"",IF(AND(原始資料!K273&lt;&gt;"",原始資料!L273=原始資料!K273),N(I273)+1,1))</f>
        <v/>
      </c>
      <c r="K273" s="6">
        <f>IF(OR(原始資料!$A273="",10&gt;設定!$B$3,原始資料!M273=""),"",IF(AND(原始資料!L273&lt;&gt;"",原始資料!M273=原始資料!L273),N(J273)+1,1))</f>
        <v/>
      </c>
      <c r="L273" s="6">
        <f>IF(OR(原始資料!$A273="",11&gt;設定!$B$3,原始資料!N273=""),"",IF(AND(原始資料!M273&lt;&gt;"",原始資料!N273=原始資料!M273),N(K273)+1,1))</f>
        <v/>
      </c>
      <c r="M273" s="6">
        <f>IF(OR(原始資料!$A273="",12&gt;設定!$B$3,原始資料!O273=""),"",IF(AND(原始資料!N273&lt;&gt;"",原始資料!O273=原始資料!N273),N(L273)+1,1))</f>
        <v/>
      </c>
      <c r="N273" s="6">
        <f>IF(OR(原始資料!$A273="",13&gt;設定!$B$3,原始資料!P273=""),"",IF(AND(原始資料!O273&lt;&gt;"",原始資料!P273=原始資料!O273),N(M273)+1,1))</f>
        <v/>
      </c>
      <c r="O273" s="6">
        <f>IF(OR(原始資料!$A273="",14&gt;設定!$B$3,原始資料!Q273=""),"",IF(AND(原始資料!P273&lt;&gt;"",原始資料!Q273=原始資料!P273),N(N273)+1,1))</f>
        <v/>
      </c>
      <c r="P273" s="6">
        <f>IF(OR(原始資料!$A273="",15&gt;設定!$B$3,原始資料!R273=""),"",IF(AND(原始資料!Q273&lt;&gt;"",原始資料!R273=原始資料!Q273),N(O273)+1,1))</f>
        <v/>
      </c>
      <c r="Q273" s="6">
        <f>IF(OR(原始資料!$A273="",16&gt;設定!$B$3,原始資料!S273=""),"",IF(AND(原始資料!R273&lt;&gt;"",原始資料!S273=原始資料!R273),N(P273)+1,1))</f>
        <v/>
      </c>
      <c r="R273" s="6">
        <f>IF(OR(原始資料!$A273="",17&gt;設定!$B$3,原始資料!T273=""),"",IF(AND(原始資料!S273&lt;&gt;"",原始資料!T273=原始資料!S273),N(Q273)+1,1))</f>
        <v/>
      </c>
      <c r="S273" s="6">
        <f>IF(OR(原始資料!$A273="",18&gt;設定!$B$3,原始資料!U273=""),"",IF(AND(原始資料!T273&lt;&gt;"",原始資料!U273=原始資料!T273),N(R273)+1,1))</f>
        <v/>
      </c>
      <c r="T273" s="6">
        <f>IF(OR(原始資料!$A273="",19&gt;設定!$B$3,原始資料!V273=""),"",IF(AND(原始資料!U273&lt;&gt;"",原始資料!V273=原始資料!U273),N(S273)+1,1))</f>
        <v/>
      </c>
      <c r="U273" s="6">
        <f>IF(OR(原始資料!$A273="",20&gt;設定!$B$3,原始資料!W273=""),"",IF(AND(原始資料!V273&lt;&gt;"",原始資料!W273=原始資料!V273),N(T273)+1,1))</f>
        <v/>
      </c>
      <c r="V273" s="6">
        <f>IF(OR(原始資料!$A273="",21&gt;設定!$B$3,原始資料!X273=""),"",IF(AND(原始資料!W273&lt;&gt;"",原始資料!X273=原始資料!W273),N(U273)+1,1))</f>
        <v/>
      </c>
      <c r="W273" s="6">
        <f>IF(OR(原始資料!$A273="",22&gt;設定!$B$3,原始資料!Y273=""),"",IF(AND(原始資料!X273&lt;&gt;"",原始資料!Y273=原始資料!X273),N(V273)+1,1))</f>
        <v/>
      </c>
      <c r="X273" s="6">
        <f>IF(OR(原始資料!$A273="",23&gt;設定!$B$3,原始資料!Z273=""),"",IF(AND(原始資料!Y273&lt;&gt;"",原始資料!Z273=原始資料!Y273),N(W273)+1,1))</f>
        <v/>
      </c>
      <c r="Y273" s="6">
        <f>IF(OR(原始資料!$A273="",24&gt;設定!$B$3,原始資料!AA273=""),"",IF(AND(原始資料!Z273&lt;&gt;"",原始資料!AA273=原始資料!Z273),N(X273)+1,1))</f>
        <v/>
      </c>
      <c r="Z273" s="6">
        <f>IF(OR(原始資料!$A273="",25&gt;設定!$B$3,原始資料!AB273=""),"",IF(AND(原始資料!AA273&lt;&gt;"",原始資料!AB273=原始資料!AA273),N(Y273)+1,1))</f>
        <v/>
      </c>
      <c r="AA273" s="6">
        <f>IF(OR(原始資料!$A273="",26&gt;設定!$B$3,原始資料!AC273=""),"",IF(AND(原始資料!AB273&lt;&gt;"",原始資料!AC273=原始資料!AB273),N(Z273)+1,1))</f>
        <v/>
      </c>
      <c r="AB273" s="6">
        <f>IF(OR(原始資料!$A273="",27&gt;設定!$B$3,原始資料!AD273=""),"",IF(AND(原始資料!AC273&lt;&gt;"",原始資料!AD273=原始資料!AC273),N(AA273)+1,1))</f>
        <v/>
      </c>
      <c r="AC273" s="6">
        <f>IF(OR(原始資料!$A273="",28&gt;設定!$B$3,原始資料!AE273=""),"",IF(AND(原始資料!AD273&lt;&gt;"",原始資料!AE273=原始資料!AD273),N(AB273)+1,1))</f>
        <v/>
      </c>
      <c r="AD273" s="6">
        <f>IF(OR(原始資料!$A273="",29&gt;設定!$B$3,原始資料!AF273=""),"",IF(AND(原始資料!AE273&lt;&gt;"",原始資料!AF273=原始資料!AE273),N(AC273)+1,1))</f>
        <v/>
      </c>
      <c r="AE273" s="6">
        <f>IF(OR(原始資料!$A273="",30&gt;設定!$B$3,原始資料!AG273=""),"",IF(AND(原始資料!AF273&lt;&gt;"",原始資料!AG273=原始資料!AF273),N(AD273)+1,1))</f>
        <v/>
      </c>
      <c r="AF273" s="6">
        <f>IF(OR(原始資料!$A273="",31&gt;設定!$B$3,原始資料!AH273=""),"",IF(AND(原始資料!AG273&lt;&gt;"",原始資料!AH273=原始資料!AG273),N(AE273)+1,1))</f>
        <v/>
      </c>
      <c r="AG273" s="6">
        <f>IF(OR(原始資料!$A273="",32&gt;設定!$B$3,原始資料!AI273=""),"",IF(AND(原始資料!AH273&lt;&gt;"",原始資料!AI273=原始資料!AH273),N(AF273)+1,1))</f>
        <v/>
      </c>
      <c r="AH273" s="6">
        <f>IF(OR(原始資料!$A273="",33&gt;設定!$B$3,原始資料!AJ273=""),"",IF(AND(原始資料!AI273&lt;&gt;"",原始資料!AJ273=原始資料!AI273),N(AG273)+1,1))</f>
        <v/>
      </c>
      <c r="AI273" s="6">
        <f>IF(OR(原始資料!$A273="",34&gt;設定!$B$3,原始資料!AK273=""),"",IF(AND(原始資料!AJ273&lt;&gt;"",原始資料!AK273=原始資料!AJ273),N(AH273)+1,1))</f>
        <v/>
      </c>
      <c r="AJ273" s="6">
        <f>IF(OR(原始資料!$A273="",35&gt;設定!$B$3,原始資料!AL273=""),"",IF(AND(原始資料!AK273&lt;&gt;"",原始資料!AL273=原始資料!AK273),N(AI273)+1,1))</f>
        <v/>
      </c>
      <c r="AK273" s="6">
        <f>IF(OR(原始資料!$A273="",36&gt;設定!$B$3,原始資料!AM273=""),"",IF(AND(原始資料!AL273&lt;&gt;"",原始資料!AM273=原始資料!AL273),N(AJ273)+1,1))</f>
        <v/>
      </c>
      <c r="AL273" s="6">
        <f>IF(OR(原始資料!$A273="",37&gt;設定!$B$3,原始資料!AN273=""),"",IF(AND(原始資料!AM273&lt;&gt;"",原始資料!AN273=原始資料!AM273),N(AK273)+1,1))</f>
        <v/>
      </c>
      <c r="AM273" s="6">
        <f>IF(OR(原始資料!$A273="",38&gt;設定!$B$3,原始資料!AO273=""),"",IF(AND(原始資料!AN273&lt;&gt;"",原始資料!AO273=原始資料!AN273),N(AL273)+1,1))</f>
        <v/>
      </c>
      <c r="AN273" s="6">
        <f>IF(OR(原始資料!$A273="",39&gt;設定!$B$3,原始資料!AP273=""),"",IF(AND(原始資料!AO273&lt;&gt;"",原始資料!AP273=原始資料!AO273),N(AM273)+1,1))</f>
        <v/>
      </c>
      <c r="AO273" s="6">
        <f>IF(OR(原始資料!$A273="",40&gt;設定!$B$3,原始資料!AQ273=""),"",IF(AND(原始資料!AP273&lt;&gt;"",原始資料!AQ273=原始資料!AP273),N(AN273)+1,1))</f>
        <v/>
      </c>
      <c r="AP273" s="6">
        <f>IF(OR(原始資料!$A273="",41&gt;設定!$B$3,原始資料!AR273=""),"",IF(AND(原始資料!AQ273&lt;&gt;"",原始資料!AR273=原始資料!AQ273),N(AO273)+1,1))</f>
        <v/>
      </c>
      <c r="AQ273" s="6">
        <f>IF(OR(原始資料!$A273="",42&gt;設定!$B$3,原始資料!AS273=""),"",IF(AND(原始資料!AR273&lt;&gt;"",原始資料!AS273=原始資料!AR273),N(AP273)+1,1))</f>
        <v/>
      </c>
      <c r="AR273" s="6">
        <f>IF(OR(原始資料!$A273="",43&gt;設定!$B$3,原始資料!AT273=""),"",IF(AND(原始資料!AS273&lt;&gt;"",原始資料!AT273=原始資料!AS273),N(AQ273)+1,1))</f>
        <v/>
      </c>
      <c r="AS273" s="6">
        <f>IF(OR(原始資料!$A273="",44&gt;設定!$B$3,原始資料!AU273=""),"",IF(AND(原始資料!AT273&lt;&gt;"",原始資料!AU273=原始資料!AT273),N(AR273)+1,1))</f>
        <v/>
      </c>
      <c r="AT273" s="6">
        <f>IF(OR(原始資料!$A273="",45&gt;設定!$B$3,原始資料!AV273=""),"",IF(AND(原始資料!AU273&lt;&gt;"",原始資料!AV273=原始資料!AU273),N(AS273)+1,1))</f>
        <v/>
      </c>
      <c r="AU273" s="6">
        <f>IF(OR(原始資料!$A273="",46&gt;設定!$B$3,原始資料!AW273=""),"",IF(AND(原始資料!AV273&lt;&gt;"",原始資料!AW273=原始資料!AV273),N(AT273)+1,1))</f>
        <v/>
      </c>
      <c r="AV273" s="6">
        <f>IF(OR(原始資料!$A273="",47&gt;設定!$B$3,原始資料!AX273=""),"",IF(AND(原始資料!AW273&lt;&gt;"",原始資料!AX273=原始資料!AW273),N(AU273)+1,1))</f>
        <v/>
      </c>
      <c r="AW273" s="6">
        <f>IF(OR(原始資料!$A273="",48&gt;設定!$B$3,原始資料!AY273=""),"",IF(AND(原始資料!AX273&lt;&gt;"",原始資料!AY273=原始資料!AX273),N(AV273)+1,1))</f>
        <v/>
      </c>
      <c r="AX273" s="6">
        <f>IF(OR(原始資料!$A273="",49&gt;設定!$B$3,原始資料!AZ273=""),"",IF(AND(原始資料!AY273&lt;&gt;"",原始資料!AZ273=原始資料!AY273),N(AW273)+1,1))</f>
        <v/>
      </c>
      <c r="AY273" s="6">
        <f>IF(OR(原始資料!$A273="",50&gt;設定!$B$3,原始資料!BA273=""),"",IF(AND(原始資料!AZ273&lt;&gt;"",原始資料!BA273=原始資料!AZ273),N(AX273)+1,1))</f>
        <v/>
      </c>
      <c r="AZ273" s="6">
        <f>IF(OR(原始資料!$A273="",51&gt;設定!$B$3,原始資料!BB273=""),"",IF(AND(原始資料!BA273&lt;&gt;"",原始資料!BB273=原始資料!BA273),N(AY273)+1,1))</f>
        <v/>
      </c>
      <c r="BA273" s="6">
        <f>IF(OR(原始資料!$A273="",52&gt;設定!$B$3,原始資料!BC273=""),"",IF(AND(原始資料!BB273&lt;&gt;"",原始資料!BC273=原始資料!BB273),N(AZ273)+1,1))</f>
        <v/>
      </c>
      <c r="BB273" s="6">
        <f>IF(OR(原始資料!$A273="",53&gt;設定!$B$3,原始資料!BD273=""),"",IF(AND(原始資料!BC273&lt;&gt;"",原始資料!BD273=原始資料!BC273),N(BA273)+1,1))</f>
        <v/>
      </c>
      <c r="BC273" s="6">
        <f>IF(OR(原始資料!$A273="",54&gt;設定!$B$3,原始資料!BE273=""),"",IF(AND(原始資料!BD273&lt;&gt;"",原始資料!BE273=原始資料!BD273),N(BB273)+1,1))</f>
        <v/>
      </c>
      <c r="BD273" s="6">
        <f>IF(OR(原始資料!$A273="",55&gt;設定!$B$3,原始資料!BF273=""),"",IF(AND(原始資料!BE273&lt;&gt;"",原始資料!BF273=原始資料!BE273),N(BC273)+1,1))</f>
        <v/>
      </c>
      <c r="BE273" s="6">
        <f>IF(OR(原始資料!$A273="",56&gt;設定!$B$3,原始資料!BG273=""),"",IF(AND(原始資料!BF273&lt;&gt;"",原始資料!BG273=原始資料!BF273),N(BD273)+1,1))</f>
        <v/>
      </c>
      <c r="BF273" s="6">
        <f>IF(OR(原始資料!$A273="",57&gt;設定!$B$3,原始資料!BH273=""),"",IF(AND(原始資料!BG273&lt;&gt;"",原始資料!BH273=原始資料!BG273),N(BE273)+1,1))</f>
        <v/>
      </c>
      <c r="BG273" s="6">
        <f>IF(OR(原始資料!$A273="",58&gt;設定!$B$3,原始資料!BI273=""),"",IF(AND(原始資料!BH273&lt;&gt;"",原始資料!BI273=原始資料!BH273),N(BF273)+1,1))</f>
        <v/>
      </c>
      <c r="BH273" s="6">
        <f>IF(OR(原始資料!$A273="",59&gt;設定!$B$3,原始資料!BJ273=""),"",IF(AND(原始資料!BI273&lt;&gt;"",原始資料!BJ273=原始資料!BI273),N(BG273)+1,1))</f>
        <v/>
      </c>
      <c r="BI273" s="6">
        <f>IF(OR(原始資料!$A273="",60&gt;設定!$B$3,原始資料!BK273=""),"",IF(AND(原始資料!BJ273&lt;&gt;"",原始資料!BK273=原始資料!BJ273),N(BH273)+1,1))</f>
        <v/>
      </c>
    </row>
    <row r="274">
      <c r="A274" s="6">
        <f>IF(原始資料!$A274="","",原始資料!$A274)</f>
        <v/>
      </c>
      <c r="B274" s="6">
        <f>IF(OR(原始資料!$A274="",1&gt;設定!$B$3,原始資料!D274=""),"",1)</f>
        <v/>
      </c>
      <c r="C274" s="6">
        <f>IF(OR(原始資料!$A274="",2&gt;設定!$B$3,原始資料!E274=""),"",IF(AND(原始資料!D274&lt;&gt;"",原始資料!E274=原始資料!D274),N(B274)+1,1))</f>
        <v/>
      </c>
      <c r="D274" s="6">
        <f>IF(OR(原始資料!$A274="",3&gt;設定!$B$3,原始資料!F274=""),"",IF(AND(原始資料!E274&lt;&gt;"",原始資料!F274=原始資料!E274),N(C274)+1,1))</f>
        <v/>
      </c>
      <c r="E274" s="6">
        <f>IF(OR(原始資料!$A274="",4&gt;設定!$B$3,原始資料!G274=""),"",IF(AND(原始資料!F274&lt;&gt;"",原始資料!G274=原始資料!F274),N(D274)+1,1))</f>
        <v/>
      </c>
      <c r="F274" s="6">
        <f>IF(OR(原始資料!$A274="",5&gt;設定!$B$3,原始資料!H274=""),"",IF(AND(原始資料!G274&lt;&gt;"",原始資料!H274=原始資料!G274),N(E274)+1,1))</f>
        <v/>
      </c>
      <c r="G274" s="6">
        <f>IF(OR(原始資料!$A274="",6&gt;設定!$B$3,原始資料!I274=""),"",IF(AND(原始資料!H274&lt;&gt;"",原始資料!I274=原始資料!H274),N(F274)+1,1))</f>
        <v/>
      </c>
      <c r="H274" s="6">
        <f>IF(OR(原始資料!$A274="",7&gt;設定!$B$3,原始資料!J274=""),"",IF(AND(原始資料!I274&lt;&gt;"",原始資料!J274=原始資料!I274),N(G274)+1,1))</f>
        <v/>
      </c>
      <c r="I274" s="6">
        <f>IF(OR(原始資料!$A274="",8&gt;設定!$B$3,原始資料!K274=""),"",IF(AND(原始資料!J274&lt;&gt;"",原始資料!K274=原始資料!J274),N(H274)+1,1))</f>
        <v/>
      </c>
      <c r="J274" s="6">
        <f>IF(OR(原始資料!$A274="",9&gt;設定!$B$3,原始資料!L274=""),"",IF(AND(原始資料!K274&lt;&gt;"",原始資料!L274=原始資料!K274),N(I274)+1,1))</f>
        <v/>
      </c>
      <c r="K274" s="6">
        <f>IF(OR(原始資料!$A274="",10&gt;設定!$B$3,原始資料!M274=""),"",IF(AND(原始資料!L274&lt;&gt;"",原始資料!M274=原始資料!L274),N(J274)+1,1))</f>
        <v/>
      </c>
      <c r="L274" s="6">
        <f>IF(OR(原始資料!$A274="",11&gt;設定!$B$3,原始資料!N274=""),"",IF(AND(原始資料!M274&lt;&gt;"",原始資料!N274=原始資料!M274),N(K274)+1,1))</f>
        <v/>
      </c>
      <c r="M274" s="6">
        <f>IF(OR(原始資料!$A274="",12&gt;設定!$B$3,原始資料!O274=""),"",IF(AND(原始資料!N274&lt;&gt;"",原始資料!O274=原始資料!N274),N(L274)+1,1))</f>
        <v/>
      </c>
      <c r="N274" s="6">
        <f>IF(OR(原始資料!$A274="",13&gt;設定!$B$3,原始資料!P274=""),"",IF(AND(原始資料!O274&lt;&gt;"",原始資料!P274=原始資料!O274),N(M274)+1,1))</f>
        <v/>
      </c>
      <c r="O274" s="6">
        <f>IF(OR(原始資料!$A274="",14&gt;設定!$B$3,原始資料!Q274=""),"",IF(AND(原始資料!P274&lt;&gt;"",原始資料!Q274=原始資料!P274),N(N274)+1,1))</f>
        <v/>
      </c>
      <c r="P274" s="6">
        <f>IF(OR(原始資料!$A274="",15&gt;設定!$B$3,原始資料!R274=""),"",IF(AND(原始資料!Q274&lt;&gt;"",原始資料!R274=原始資料!Q274),N(O274)+1,1))</f>
        <v/>
      </c>
      <c r="Q274" s="6">
        <f>IF(OR(原始資料!$A274="",16&gt;設定!$B$3,原始資料!S274=""),"",IF(AND(原始資料!R274&lt;&gt;"",原始資料!S274=原始資料!R274),N(P274)+1,1))</f>
        <v/>
      </c>
      <c r="R274" s="6">
        <f>IF(OR(原始資料!$A274="",17&gt;設定!$B$3,原始資料!T274=""),"",IF(AND(原始資料!S274&lt;&gt;"",原始資料!T274=原始資料!S274),N(Q274)+1,1))</f>
        <v/>
      </c>
      <c r="S274" s="6">
        <f>IF(OR(原始資料!$A274="",18&gt;設定!$B$3,原始資料!U274=""),"",IF(AND(原始資料!T274&lt;&gt;"",原始資料!U274=原始資料!T274),N(R274)+1,1))</f>
        <v/>
      </c>
      <c r="T274" s="6">
        <f>IF(OR(原始資料!$A274="",19&gt;設定!$B$3,原始資料!V274=""),"",IF(AND(原始資料!U274&lt;&gt;"",原始資料!V274=原始資料!U274),N(S274)+1,1))</f>
        <v/>
      </c>
      <c r="U274" s="6">
        <f>IF(OR(原始資料!$A274="",20&gt;設定!$B$3,原始資料!W274=""),"",IF(AND(原始資料!V274&lt;&gt;"",原始資料!W274=原始資料!V274),N(T274)+1,1))</f>
        <v/>
      </c>
      <c r="V274" s="6">
        <f>IF(OR(原始資料!$A274="",21&gt;設定!$B$3,原始資料!X274=""),"",IF(AND(原始資料!W274&lt;&gt;"",原始資料!X274=原始資料!W274),N(U274)+1,1))</f>
        <v/>
      </c>
      <c r="W274" s="6">
        <f>IF(OR(原始資料!$A274="",22&gt;設定!$B$3,原始資料!Y274=""),"",IF(AND(原始資料!X274&lt;&gt;"",原始資料!Y274=原始資料!X274),N(V274)+1,1))</f>
        <v/>
      </c>
      <c r="X274" s="6">
        <f>IF(OR(原始資料!$A274="",23&gt;設定!$B$3,原始資料!Z274=""),"",IF(AND(原始資料!Y274&lt;&gt;"",原始資料!Z274=原始資料!Y274),N(W274)+1,1))</f>
        <v/>
      </c>
      <c r="Y274" s="6">
        <f>IF(OR(原始資料!$A274="",24&gt;設定!$B$3,原始資料!AA274=""),"",IF(AND(原始資料!Z274&lt;&gt;"",原始資料!AA274=原始資料!Z274),N(X274)+1,1))</f>
        <v/>
      </c>
      <c r="Z274" s="6">
        <f>IF(OR(原始資料!$A274="",25&gt;設定!$B$3,原始資料!AB274=""),"",IF(AND(原始資料!AA274&lt;&gt;"",原始資料!AB274=原始資料!AA274),N(Y274)+1,1))</f>
        <v/>
      </c>
      <c r="AA274" s="6">
        <f>IF(OR(原始資料!$A274="",26&gt;設定!$B$3,原始資料!AC274=""),"",IF(AND(原始資料!AB274&lt;&gt;"",原始資料!AC274=原始資料!AB274),N(Z274)+1,1))</f>
        <v/>
      </c>
      <c r="AB274" s="6">
        <f>IF(OR(原始資料!$A274="",27&gt;設定!$B$3,原始資料!AD274=""),"",IF(AND(原始資料!AC274&lt;&gt;"",原始資料!AD274=原始資料!AC274),N(AA274)+1,1))</f>
        <v/>
      </c>
      <c r="AC274" s="6">
        <f>IF(OR(原始資料!$A274="",28&gt;設定!$B$3,原始資料!AE274=""),"",IF(AND(原始資料!AD274&lt;&gt;"",原始資料!AE274=原始資料!AD274),N(AB274)+1,1))</f>
        <v/>
      </c>
      <c r="AD274" s="6">
        <f>IF(OR(原始資料!$A274="",29&gt;設定!$B$3,原始資料!AF274=""),"",IF(AND(原始資料!AE274&lt;&gt;"",原始資料!AF274=原始資料!AE274),N(AC274)+1,1))</f>
        <v/>
      </c>
      <c r="AE274" s="6">
        <f>IF(OR(原始資料!$A274="",30&gt;設定!$B$3,原始資料!AG274=""),"",IF(AND(原始資料!AF274&lt;&gt;"",原始資料!AG274=原始資料!AF274),N(AD274)+1,1))</f>
        <v/>
      </c>
      <c r="AF274" s="6">
        <f>IF(OR(原始資料!$A274="",31&gt;設定!$B$3,原始資料!AH274=""),"",IF(AND(原始資料!AG274&lt;&gt;"",原始資料!AH274=原始資料!AG274),N(AE274)+1,1))</f>
        <v/>
      </c>
      <c r="AG274" s="6">
        <f>IF(OR(原始資料!$A274="",32&gt;設定!$B$3,原始資料!AI274=""),"",IF(AND(原始資料!AH274&lt;&gt;"",原始資料!AI274=原始資料!AH274),N(AF274)+1,1))</f>
        <v/>
      </c>
      <c r="AH274" s="6">
        <f>IF(OR(原始資料!$A274="",33&gt;設定!$B$3,原始資料!AJ274=""),"",IF(AND(原始資料!AI274&lt;&gt;"",原始資料!AJ274=原始資料!AI274),N(AG274)+1,1))</f>
        <v/>
      </c>
      <c r="AI274" s="6">
        <f>IF(OR(原始資料!$A274="",34&gt;設定!$B$3,原始資料!AK274=""),"",IF(AND(原始資料!AJ274&lt;&gt;"",原始資料!AK274=原始資料!AJ274),N(AH274)+1,1))</f>
        <v/>
      </c>
      <c r="AJ274" s="6">
        <f>IF(OR(原始資料!$A274="",35&gt;設定!$B$3,原始資料!AL274=""),"",IF(AND(原始資料!AK274&lt;&gt;"",原始資料!AL274=原始資料!AK274),N(AI274)+1,1))</f>
        <v/>
      </c>
      <c r="AK274" s="6">
        <f>IF(OR(原始資料!$A274="",36&gt;設定!$B$3,原始資料!AM274=""),"",IF(AND(原始資料!AL274&lt;&gt;"",原始資料!AM274=原始資料!AL274),N(AJ274)+1,1))</f>
        <v/>
      </c>
      <c r="AL274" s="6">
        <f>IF(OR(原始資料!$A274="",37&gt;設定!$B$3,原始資料!AN274=""),"",IF(AND(原始資料!AM274&lt;&gt;"",原始資料!AN274=原始資料!AM274),N(AK274)+1,1))</f>
        <v/>
      </c>
      <c r="AM274" s="6">
        <f>IF(OR(原始資料!$A274="",38&gt;設定!$B$3,原始資料!AO274=""),"",IF(AND(原始資料!AN274&lt;&gt;"",原始資料!AO274=原始資料!AN274),N(AL274)+1,1))</f>
        <v/>
      </c>
      <c r="AN274" s="6">
        <f>IF(OR(原始資料!$A274="",39&gt;設定!$B$3,原始資料!AP274=""),"",IF(AND(原始資料!AO274&lt;&gt;"",原始資料!AP274=原始資料!AO274),N(AM274)+1,1))</f>
        <v/>
      </c>
      <c r="AO274" s="6">
        <f>IF(OR(原始資料!$A274="",40&gt;設定!$B$3,原始資料!AQ274=""),"",IF(AND(原始資料!AP274&lt;&gt;"",原始資料!AQ274=原始資料!AP274),N(AN274)+1,1))</f>
        <v/>
      </c>
      <c r="AP274" s="6">
        <f>IF(OR(原始資料!$A274="",41&gt;設定!$B$3,原始資料!AR274=""),"",IF(AND(原始資料!AQ274&lt;&gt;"",原始資料!AR274=原始資料!AQ274),N(AO274)+1,1))</f>
        <v/>
      </c>
      <c r="AQ274" s="6">
        <f>IF(OR(原始資料!$A274="",42&gt;設定!$B$3,原始資料!AS274=""),"",IF(AND(原始資料!AR274&lt;&gt;"",原始資料!AS274=原始資料!AR274),N(AP274)+1,1))</f>
        <v/>
      </c>
      <c r="AR274" s="6">
        <f>IF(OR(原始資料!$A274="",43&gt;設定!$B$3,原始資料!AT274=""),"",IF(AND(原始資料!AS274&lt;&gt;"",原始資料!AT274=原始資料!AS274),N(AQ274)+1,1))</f>
        <v/>
      </c>
      <c r="AS274" s="6">
        <f>IF(OR(原始資料!$A274="",44&gt;設定!$B$3,原始資料!AU274=""),"",IF(AND(原始資料!AT274&lt;&gt;"",原始資料!AU274=原始資料!AT274),N(AR274)+1,1))</f>
        <v/>
      </c>
      <c r="AT274" s="6">
        <f>IF(OR(原始資料!$A274="",45&gt;設定!$B$3,原始資料!AV274=""),"",IF(AND(原始資料!AU274&lt;&gt;"",原始資料!AV274=原始資料!AU274),N(AS274)+1,1))</f>
        <v/>
      </c>
      <c r="AU274" s="6">
        <f>IF(OR(原始資料!$A274="",46&gt;設定!$B$3,原始資料!AW274=""),"",IF(AND(原始資料!AV274&lt;&gt;"",原始資料!AW274=原始資料!AV274),N(AT274)+1,1))</f>
        <v/>
      </c>
      <c r="AV274" s="6">
        <f>IF(OR(原始資料!$A274="",47&gt;設定!$B$3,原始資料!AX274=""),"",IF(AND(原始資料!AW274&lt;&gt;"",原始資料!AX274=原始資料!AW274),N(AU274)+1,1))</f>
        <v/>
      </c>
      <c r="AW274" s="6">
        <f>IF(OR(原始資料!$A274="",48&gt;設定!$B$3,原始資料!AY274=""),"",IF(AND(原始資料!AX274&lt;&gt;"",原始資料!AY274=原始資料!AX274),N(AV274)+1,1))</f>
        <v/>
      </c>
      <c r="AX274" s="6">
        <f>IF(OR(原始資料!$A274="",49&gt;設定!$B$3,原始資料!AZ274=""),"",IF(AND(原始資料!AY274&lt;&gt;"",原始資料!AZ274=原始資料!AY274),N(AW274)+1,1))</f>
        <v/>
      </c>
      <c r="AY274" s="6">
        <f>IF(OR(原始資料!$A274="",50&gt;設定!$B$3,原始資料!BA274=""),"",IF(AND(原始資料!AZ274&lt;&gt;"",原始資料!BA274=原始資料!AZ274),N(AX274)+1,1))</f>
        <v/>
      </c>
      <c r="AZ274" s="6">
        <f>IF(OR(原始資料!$A274="",51&gt;設定!$B$3,原始資料!BB274=""),"",IF(AND(原始資料!BA274&lt;&gt;"",原始資料!BB274=原始資料!BA274),N(AY274)+1,1))</f>
        <v/>
      </c>
      <c r="BA274" s="6">
        <f>IF(OR(原始資料!$A274="",52&gt;設定!$B$3,原始資料!BC274=""),"",IF(AND(原始資料!BB274&lt;&gt;"",原始資料!BC274=原始資料!BB274),N(AZ274)+1,1))</f>
        <v/>
      </c>
      <c r="BB274" s="6">
        <f>IF(OR(原始資料!$A274="",53&gt;設定!$B$3,原始資料!BD274=""),"",IF(AND(原始資料!BC274&lt;&gt;"",原始資料!BD274=原始資料!BC274),N(BA274)+1,1))</f>
        <v/>
      </c>
      <c r="BC274" s="6">
        <f>IF(OR(原始資料!$A274="",54&gt;設定!$B$3,原始資料!BE274=""),"",IF(AND(原始資料!BD274&lt;&gt;"",原始資料!BE274=原始資料!BD274),N(BB274)+1,1))</f>
        <v/>
      </c>
      <c r="BD274" s="6">
        <f>IF(OR(原始資料!$A274="",55&gt;設定!$B$3,原始資料!BF274=""),"",IF(AND(原始資料!BE274&lt;&gt;"",原始資料!BF274=原始資料!BE274),N(BC274)+1,1))</f>
        <v/>
      </c>
      <c r="BE274" s="6">
        <f>IF(OR(原始資料!$A274="",56&gt;設定!$B$3,原始資料!BG274=""),"",IF(AND(原始資料!BF274&lt;&gt;"",原始資料!BG274=原始資料!BF274),N(BD274)+1,1))</f>
        <v/>
      </c>
      <c r="BF274" s="6">
        <f>IF(OR(原始資料!$A274="",57&gt;設定!$B$3,原始資料!BH274=""),"",IF(AND(原始資料!BG274&lt;&gt;"",原始資料!BH274=原始資料!BG274),N(BE274)+1,1))</f>
        <v/>
      </c>
      <c r="BG274" s="6">
        <f>IF(OR(原始資料!$A274="",58&gt;設定!$B$3,原始資料!BI274=""),"",IF(AND(原始資料!BH274&lt;&gt;"",原始資料!BI274=原始資料!BH274),N(BF274)+1,1))</f>
        <v/>
      </c>
      <c r="BH274" s="6">
        <f>IF(OR(原始資料!$A274="",59&gt;設定!$B$3,原始資料!BJ274=""),"",IF(AND(原始資料!BI274&lt;&gt;"",原始資料!BJ274=原始資料!BI274),N(BG274)+1,1))</f>
        <v/>
      </c>
      <c r="BI274" s="6">
        <f>IF(OR(原始資料!$A274="",60&gt;設定!$B$3,原始資料!BK274=""),"",IF(AND(原始資料!BJ274&lt;&gt;"",原始資料!BK274=原始資料!BJ274),N(BH274)+1,1))</f>
        <v/>
      </c>
    </row>
    <row r="275">
      <c r="A275" s="6">
        <f>IF(原始資料!$A275="","",原始資料!$A275)</f>
        <v/>
      </c>
      <c r="B275" s="6">
        <f>IF(OR(原始資料!$A275="",1&gt;設定!$B$3,原始資料!D275=""),"",1)</f>
        <v/>
      </c>
      <c r="C275" s="6">
        <f>IF(OR(原始資料!$A275="",2&gt;設定!$B$3,原始資料!E275=""),"",IF(AND(原始資料!D275&lt;&gt;"",原始資料!E275=原始資料!D275),N(B275)+1,1))</f>
        <v/>
      </c>
      <c r="D275" s="6">
        <f>IF(OR(原始資料!$A275="",3&gt;設定!$B$3,原始資料!F275=""),"",IF(AND(原始資料!E275&lt;&gt;"",原始資料!F275=原始資料!E275),N(C275)+1,1))</f>
        <v/>
      </c>
      <c r="E275" s="6">
        <f>IF(OR(原始資料!$A275="",4&gt;設定!$B$3,原始資料!G275=""),"",IF(AND(原始資料!F275&lt;&gt;"",原始資料!G275=原始資料!F275),N(D275)+1,1))</f>
        <v/>
      </c>
      <c r="F275" s="6">
        <f>IF(OR(原始資料!$A275="",5&gt;設定!$B$3,原始資料!H275=""),"",IF(AND(原始資料!G275&lt;&gt;"",原始資料!H275=原始資料!G275),N(E275)+1,1))</f>
        <v/>
      </c>
      <c r="G275" s="6">
        <f>IF(OR(原始資料!$A275="",6&gt;設定!$B$3,原始資料!I275=""),"",IF(AND(原始資料!H275&lt;&gt;"",原始資料!I275=原始資料!H275),N(F275)+1,1))</f>
        <v/>
      </c>
      <c r="H275" s="6">
        <f>IF(OR(原始資料!$A275="",7&gt;設定!$B$3,原始資料!J275=""),"",IF(AND(原始資料!I275&lt;&gt;"",原始資料!J275=原始資料!I275),N(G275)+1,1))</f>
        <v/>
      </c>
      <c r="I275" s="6">
        <f>IF(OR(原始資料!$A275="",8&gt;設定!$B$3,原始資料!K275=""),"",IF(AND(原始資料!J275&lt;&gt;"",原始資料!K275=原始資料!J275),N(H275)+1,1))</f>
        <v/>
      </c>
      <c r="J275" s="6">
        <f>IF(OR(原始資料!$A275="",9&gt;設定!$B$3,原始資料!L275=""),"",IF(AND(原始資料!K275&lt;&gt;"",原始資料!L275=原始資料!K275),N(I275)+1,1))</f>
        <v/>
      </c>
      <c r="K275" s="6">
        <f>IF(OR(原始資料!$A275="",10&gt;設定!$B$3,原始資料!M275=""),"",IF(AND(原始資料!L275&lt;&gt;"",原始資料!M275=原始資料!L275),N(J275)+1,1))</f>
        <v/>
      </c>
      <c r="L275" s="6">
        <f>IF(OR(原始資料!$A275="",11&gt;設定!$B$3,原始資料!N275=""),"",IF(AND(原始資料!M275&lt;&gt;"",原始資料!N275=原始資料!M275),N(K275)+1,1))</f>
        <v/>
      </c>
      <c r="M275" s="6">
        <f>IF(OR(原始資料!$A275="",12&gt;設定!$B$3,原始資料!O275=""),"",IF(AND(原始資料!N275&lt;&gt;"",原始資料!O275=原始資料!N275),N(L275)+1,1))</f>
        <v/>
      </c>
      <c r="N275" s="6">
        <f>IF(OR(原始資料!$A275="",13&gt;設定!$B$3,原始資料!P275=""),"",IF(AND(原始資料!O275&lt;&gt;"",原始資料!P275=原始資料!O275),N(M275)+1,1))</f>
        <v/>
      </c>
      <c r="O275" s="6">
        <f>IF(OR(原始資料!$A275="",14&gt;設定!$B$3,原始資料!Q275=""),"",IF(AND(原始資料!P275&lt;&gt;"",原始資料!Q275=原始資料!P275),N(N275)+1,1))</f>
        <v/>
      </c>
      <c r="P275" s="6">
        <f>IF(OR(原始資料!$A275="",15&gt;設定!$B$3,原始資料!R275=""),"",IF(AND(原始資料!Q275&lt;&gt;"",原始資料!R275=原始資料!Q275),N(O275)+1,1))</f>
        <v/>
      </c>
      <c r="Q275" s="6">
        <f>IF(OR(原始資料!$A275="",16&gt;設定!$B$3,原始資料!S275=""),"",IF(AND(原始資料!R275&lt;&gt;"",原始資料!S275=原始資料!R275),N(P275)+1,1))</f>
        <v/>
      </c>
      <c r="R275" s="6">
        <f>IF(OR(原始資料!$A275="",17&gt;設定!$B$3,原始資料!T275=""),"",IF(AND(原始資料!S275&lt;&gt;"",原始資料!T275=原始資料!S275),N(Q275)+1,1))</f>
        <v/>
      </c>
      <c r="S275" s="6">
        <f>IF(OR(原始資料!$A275="",18&gt;設定!$B$3,原始資料!U275=""),"",IF(AND(原始資料!T275&lt;&gt;"",原始資料!U275=原始資料!T275),N(R275)+1,1))</f>
        <v/>
      </c>
      <c r="T275" s="6">
        <f>IF(OR(原始資料!$A275="",19&gt;設定!$B$3,原始資料!V275=""),"",IF(AND(原始資料!U275&lt;&gt;"",原始資料!V275=原始資料!U275),N(S275)+1,1))</f>
        <v/>
      </c>
      <c r="U275" s="6">
        <f>IF(OR(原始資料!$A275="",20&gt;設定!$B$3,原始資料!W275=""),"",IF(AND(原始資料!V275&lt;&gt;"",原始資料!W275=原始資料!V275),N(T275)+1,1))</f>
        <v/>
      </c>
      <c r="V275" s="6">
        <f>IF(OR(原始資料!$A275="",21&gt;設定!$B$3,原始資料!X275=""),"",IF(AND(原始資料!W275&lt;&gt;"",原始資料!X275=原始資料!W275),N(U275)+1,1))</f>
        <v/>
      </c>
      <c r="W275" s="6">
        <f>IF(OR(原始資料!$A275="",22&gt;設定!$B$3,原始資料!Y275=""),"",IF(AND(原始資料!X275&lt;&gt;"",原始資料!Y275=原始資料!X275),N(V275)+1,1))</f>
        <v/>
      </c>
      <c r="X275" s="6">
        <f>IF(OR(原始資料!$A275="",23&gt;設定!$B$3,原始資料!Z275=""),"",IF(AND(原始資料!Y275&lt;&gt;"",原始資料!Z275=原始資料!Y275),N(W275)+1,1))</f>
        <v/>
      </c>
      <c r="Y275" s="6">
        <f>IF(OR(原始資料!$A275="",24&gt;設定!$B$3,原始資料!AA275=""),"",IF(AND(原始資料!Z275&lt;&gt;"",原始資料!AA275=原始資料!Z275),N(X275)+1,1))</f>
        <v/>
      </c>
      <c r="Z275" s="6">
        <f>IF(OR(原始資料!$A275="",25&gt;設定!$B$3,原始資料!AB275=""),"",IF(AND(原始資料!AA275&lt;&gt;"",原始資料!AB275=原始資料!AA275),N(Y275)+1,1))</f>
        <v/>
      </c>
      <c r="AA275" s="6">
        <f>IF(OR(原始資料!$A275="",26&gt;設定!$B$3,原始資料!AC275=""),"",IF(AND(原始資料!AB275&lt;&gt;"",原始資料!AC275=原始資料!AB275),N(Z275)+1,1))</f>
        <v/>
      </c>
      <c r="AB275" s="6">
        <f>IF(OR(原始資料!$A275="",27&gt;設定!$B$3,原始資料!AD275=""),"",IF(AND(原始資料!AC275&lt;&gt;"",原始資料!AD275=原始資料!AC275),N(AA275)+1,1))</f>
        <v/>
      </c>
      <c r="AC275" s="6">
        <f>IF(OR(原始資料!$A275="",28&gt;設定!$B$3,原始資料!AE275=""),"",IF(AND(原始資料!AD275&lt;&gt;"",原始資料!AE275=原始資料!AD275),N(AB275)+1,1))</f>
        <v/>
      </c>
      <c r="AD275" s="6">
        <f>IF(OR(原始資料!$A275="",29&gt;設定!$B$3,原始資料!AF275=""),"",IF(AND(原始資料!AE275&lt;&gt;"",原始資料!AF275=原始資料!AE275),N(AC275)+1,1))</f>
        <v/>
      </c>
      <c r="AE275" s="6">
        <f>IF(OR(原始資料!$A275="",30&gt;設定!$B$3,原始資料!AG275=""),"",IF(AND(原始資料!AF275&lt;&gt;"",原始資料!AG275=原始資料!AF275),N(AD275)+1,1))</f>
        <v/>
      </c>
      <c r="AF275" s="6">
        <f>IF(OR(原始資料!$A275="",31&gt;設定!$B$3,原始資料!AH275=""),"",IF(AND(原始資料!AG275&lt;&gt;"",原始資料!AH275=原始資料!AG275),N(AE275)+1,1))</f>
        <v/>
      </c>
      <c r="AG275" s="6">
        <f>IF(OR(原始資料!$A275="",32&gt;設定!$B$3,原始資料!AI275=""),"",IF(AND(原始資料!AH275&lt;&gt;"",原始資料!AI275=原始資料!AH275),N(AF275)+1,1))</f>
        <v/>
      </c>
      <c r="AH275" s="6">
        <f>IF(OR(原始資料!$A275="",33&gt;設定!$B$3,原始資料!AJ275=""),"",IF(AND(原始資料!AI275&lt;&gt;"",原始資料!AJ275=原始資料!AI275),N(AG275)+1,1))</f>
        <v/>
      </c>
      <c r="AI275" s="6">
        <f>IF(OR(原始資料!$A275="",34&gt;設定!$B$3,原始資料!AK275=""),"",IF(AND(原始資料!AJ275&lt;&gt;"",原始資料!AK275=原始資料!AJ275),N(AH275)+1,1))</f>
        <v/>
      </c>
      <c r="AJ275" s="6">
        <f>IF(OR(原始資料!$A275="",35&gt;設定!$B$3,原始資料!AL275=""),"",IF(AND(原始資料!AK275&lt;&gt;"",原始資料!AL275=原始資料!AK275),N(AI275)+1,1))</f>
        <v/>
      </c>
      <c r="AK275" s="6">
        <f>IF(OR(原始資料!$A275="",36&gt;設定!$B$3,原始資料!AM275=""),"",IF(AND(原始資料!AL275&lt;&gt;"",原始資料!AM275=原始資料!AL275),N(AJ275)+1,1))</f>
        <v/>
      </c>
      <c r="AL275" s="6">
        <f>IF(OR(原始資料!$A275="",37&gt;設定!$B$3,原始資料!AN275=""),"",IF(AND(原始資料!AM275&lt;&gt;"",原始資料!AN275=原始資料!AM275),N(AK275)+1,1))</f>
        <v/>
      </c>
      <c r="AM275" s="6">
        <f>IF(OR(原始資料!$A275="",38&gt;設定!$B$3,原始資料!AO275=""),"",IF(AND(原始資料!AN275&lt;&gt;"",原始資料!AO275=原始資料!AN275),N(AL275)+1,1))</f>
        <v/>
      </c>
      <c r="AN275" s="6">
        <f>IF(OR(原始資料!$A275="",39&gt;設定!$B$3,原始資料!AP275=""),"",IF(AND(原始資料!AO275&lt;&gt;"",原始資料!AP275=原始資料!AO275),N(AM275)+1,1))</f>
        <v/>
      </c>
      <c r="AO275" s="6">
        <f>IF(OR(原始資料!$A275="",40&gt;設定!$B$3,原始資料!AQ275=""),"",IF(AND(原始資料!AP275&lt;&gt;"",原始資料!AQ275=原始資料!AP275),N(AN275)+1,1))</f>
        <v/>
      </c>
      <c r="AP275" s="6">
        <f>IF(OR(原始資料!$A275="",41&gt;設定!$B$3,原始資料!AR275=""),"",IF(AND(原始資料!AQ275&lt;&gt;"",原始資料!AR275=原始資料!AQ275),N(AO275)+1,1))</f>
        <v/>
      </c>
      <c r="AQ275" s="6">
        <f>IF(OR(原始資料!$A275="",42&gt;設定!$B$3,原始資料!AS275=""),"",IF(AND(原始資料!AR275&lt;&gt;"",原始資料!AS275=原始資料!AR275),N(AP275)+1,1))</f>
        <v/>
      </c>
      <c r="AR275" s="6">
        <f>IF(OR(原始資料!$A275="",43&gt;設定!$B$3,原始資料!AT275=""),"",IF(AND(原始資料!AS275&lt;&gt;"",原始資料!AT275=原始資料!AS275),N(AQ275)+1,1))</f>
        <v/>
      </c>
      <c r="AS275" s="6">
        <f>IF(OR(原始資料!$A275="",44&gt;設定!$B$3,原始資料!AU275=""),"",IF(AND(原始資料!AT275&lt;&gt;"",原始資料!AU275=原始資料!AT275),N(AR275)+1,1))</f>
        <v/>
      </c>
      <c r="AT275" s="6">
        <f>IF(OR(原始資料!$A275="",45&gt;設定!$B$3,原始資料!AV275=""),"",IF(AND(原始資料!AU275&lt;&gt;"",原始資料!AV275=原始資料!AU275),N(AS275)+1,1))</f>
        <v/>
      </c>
      <c r="AU275" s="6">
        <f>IF(OR(原始資料!$A275="",46&gt;設定!$B$3,原始資料!AW275=""),"",IF(AND(原始資料!AV275&lt;&gt;"",原始資料!AW275=原始資料!AV275),N(AT275)+1,1))</f>
        <v/>
      </c>
      <c r="AV275" s="6">
        <f>IF(OR(原始資料!$A275="",47&gt;設定!$B$3,原始資料!AX275=""),"",IF(AND(原始資料!AW275&lt;&gt;"",原始資料!AX275=原始資料!AW275),N(AU275)+1,1))</f>
        <v/>
      </c>
      <c r="AW275" s="6">
        <f>IF(OR(原始資料!$A275="",48&gt;設定!$B$3,原始資料!AY275=""),"",IF(AND(原始資料!AX275&lt;&gt;"",原始資料!AY275=原始資料!AX275),N(AV275)+1,1))</f>
        <v/>
      </c>
      <c r="AX275" s="6">
        <f>IF(OR(原始資料!$A275="",49&gt;設定!$B$3,原始資料!AZ275=""),"",IF(AND(原始資料!AY275&lt;&gt;"",原始資料!AZ275=原始資料!AY275),N(AW275)+1,1))</f>
        <v/>
      </c>
      <c r="AY275" s="6">
        <f>IF(OR(原始資料!$A275="",50&gt;設定!$B$3,原始資料!BA275=""),"",IF(AND(原始資料!AZ275&lt;&gt;"",原始資料!BA275=原始資料!AZ275),N(AX275)+1,1))</f>
        <v/>
      </c>
      <c r="AZ275" s="6">
        <f>IF(OR(原始資料!$A275="",51&gt;設定!$B$3,原始資料!BB275=""),"",IF(AND(原始資料!BA275&lt;&gt;"",原始資料!BB275=原始資料!BA275),N(AY275)+1,1))</f>
        <v/>
      </c>
      <c r="BA275" s="6">
        <f>IF(OR(原始資料!$A275="",52&gt;設定!$B$3,原始資料!BC275=""),"",IF(AND(原始資料!BB275&lt;&gt;"",原始資料!BC275=原始資料!BB275),N(AZ275)+1,1))</f>
        <v/>
      </c>
      <c r="BB275" s="6">
        <f>IF(OR(原始資料!$A275="",53&gt;設定!$B$3,原始資料!BD275=""),"",IF(AND(原始資料!BC275&lt;&gt;"",原始資料!BD275=原始資料!BC275),N(BA275)+1,1))</f>
        <v/>
      </c>
      <c r="BC275" s="6">
        <f>IF(OR(原始資料!$A275="",54&gt;設定!$B$3,原始資料!BE275=""),"",IF(AND(原始資料!BD275&lt;&gt;"",原始資料!BE275=原始資料!BD275),N(BB275)+1,1))</f>
        <v/>
      </c>
      <c r="BD275" s="6">
        <f>IF(OR(原始資料!$A275="",55&gt;設定!$B$3,原始資料!BF275=""),"",IF(AND(原始資料!BE275&lt;&gt;"",原始資料!BF275=原始資料!BE275),N(BC275)+1,1))</f>
        <v/>
      </c>
      <c r="BE275" s="6">
        <f>IF(OR(原始資料!$A275="",56&gt;設定!$B$3,原始資料!BG275=""),"",IF(AND(原始資料!BF275&lt;&gt;"",原始資料!BG275=原始資料!BF275),N(BD275)+1,1))</f>
        <v/>
      </c>
      <c r="BF275" s="6">
        <f>IF(OR(原始資料!$A275="",57&gt;設定!$B$3,原始資料!BH275=""),"",IF(AND(原始資料!BG275&lt;&gt;"",原始資料!BH275=原始資料!BG275),N(BE275)+1,1))</f>
        <v/>
      </c>
      <c r="BG275" s="6">
        <f>IF(OR(原始資料!$A275="",58&gt;設定!$B$3,原始資料!BI275=""),"",IF(AND(原始資料!BH275&lt;&gt;"",原始資料!BI275=原始資料!BH275),N(BF275)+1,1))</f>
        <v/>
      </c>
      <c r="BH275" s="6">
        <f>IF(OR(原始資料!$A275="",59&gt;設定!$B$3,原始資料!BJ275=""),"",IF(AND(原始資料!BI275&lt;&gt;"",原始資料!BJ275=原始資料!BI275),N(BG275)+1,1))</f>
        <v/>
      </c>
      <c r="BI275" s="6">
        <f>IF(OR(原始資料!$A275="",60&gt;設定!$B$3,原始資料!BK275=""),"",IF(AND(原始資料!BJ275&lt;&gt;"",原始資料!BK275=原始資料!BJ275),N(BH275)+1,1))</f>
        <v/>
      </c>
    </row>
    <row r="276">
      <c r="A276" s="6">
        <f>IF(原始資料!$A276="","",原始資料!$A276)</f>
        <v/>
      </c>
      <c r="B276" s="6">
        <f>IF(OR(原始資料!$A276="",1&gt;設定!$B$3,原始資料!D276=""),"",1)</f>
        <v/>
      </c>
      <c r="C276" s="6">
        <f>IF(OR(原始資料!$A276="",2&gt;設定!$B$3,原始資料!E276=""),"",IF(AND(原始資料!D276&lt;&gt;"",原始資料!E276=原始資料!D276),N(B276)+1,1))</f>
        <v/>
      </c>
      <c r="D276" s="6">
        <f>IF(OR(原始資料!$A276="",3&gt;設定!$B$3,原始資料!F276=""),"",IF(AND(原始資料!E276&lt;&gt;"",原始資料!F276=原始資料!E276),N(C276)+1,1))</f>
        <v/>
      </c>
      <c r="E276" s="6">
        <f>IF(OR(原始資料!$A276="",4&gt;設定!$B$3,原始資料!G276=""),"",IF(AND(原始資料!F276&lt;&gt;"",原始資料!G276=原始資料!F276),N(D276)+1,1))</f>
        <v/>
      </c>
      <c r="F276" s="6">
        <f>IF(OR(原始資料!$A276="",5&gt;設定!$B$3,原始資料!H276=""),"",IF(AND(原始資料!G276&lt;&gt;"",原始資料!H276=原始資料!G276),N(E276)+1,1))</f>
        <v/>
      </c>
      <c r="G276" s="6">
        <f>IF(OR(原始資料!$A276="",6&gt;設定!$B$3,原始資料!I276=""),"",IF(AND(原始資料!H276&lt;&gt;"",原始資料!I276=原始資料!H276),N(F276)+1,1))</f>
        <v/>
      </c>
      <c r="H276" s="6">
        <f>IF(OR(原始資料!$A276="",7&gt;設定!$B$3,原始資料!J276=""),"",IF(AND(原始資料!I276&lt;&gt;"",原始資料!J276=原始資料!I276),N(G276)+1,1))</f>
        <v/>
      </c>
      <c r="I276" s="6">
        <f>IF(OR(原始資料!$A276="",8&gt;設定!$B$3,原始資料!K276=""),"",IF(AND(原始資料!J276&lt;&gt;"",原始資料!K276=原始資料!J276),N(H276)+1,1))</f>
        <v/>
      </c>
      <c r="J276" s="6">
        <f>IF(OR(原始資料!$A276="",9&gt;設定!$B$3,原始資料!L276=""),"",IF(AND(原始資料!K276&lt;&gt;"",原始資料!L276=原始資料!K276),N(I276)+1,1))</f>
        <v/>
      </c>
      <c r="K276" s="6">
        <f>IF(OR(原始資料!$A276="",10&gt;設定!$B$3,原始資料!M276=""),"",IF(AND(原始資料!L276&lt;&gt;"",原始資料!M276=原始資料!L276),N(J276)+1,1))</f>
        <v/>
      </c>
      <c r="L276" s="6">
        <f>IF(OR(原始資料!$A276="",11&gt;設定!$B$3,原始資料!N276=""),"",IF(AND(原始資料!M276&lt;&gt;"",原始資料!N276=原始資料!M276),N(K276)+1,1))</f>
        <v/>
      </c>
      <c r="M276" s="6">
        <f>IF(OR(原始資料!$A276="",12&gt;設定!$B$3,原始資料!O276=""),"",IF(AND(原始資料!N276&lt;&gt;"",原始資料!O276=原始資料!N276),N(L276)+1,1))</f>
        <v/>
      </c>
      <c r="N276" s="6">
        <f>IF(OR(原始資料!$A276="",13&gt;設定!$B$3,原始資料!P276=""),"",IF(AND(原始資料!O276&lt;&gt;"",原始資料!P276=原始資料!O276),N(M276)+1,1))</f>
        <v/>
      </c>
      <c r="O276" s="6">
        <f>IF(OR(原始資料!$A276="",14&gt;設定!$B$3,原始資料!Q276=""),"",IF(AND(原始資料!P276&lt;&gt;"",原始資料!Q276=原始資料!P276),N(N276)+1,1))</f>
        <v/>
      </c>
      <c r="P276" s="6">
        <f>IF(OR(原始資料!$A276="",15&gt;設定!$B$3,原始資料!R276=""),"",IF(AND(原始資料!Q276&lt;&gt;"",原始資料!R276=原始資料!Q276),N(O276)+1,1))</f>
        <v/>
      </c>
      <c r="Q276" s="6">
        <f>IF(OR(原始資料!$A276="",16&gt;設定!$B$3,原始資料!S276=""),"",IF(AND(原始資料!R276&lt;&gt;"",原始資料!S276=原始資料!R276),N(P276)+1,1))</f>
        <v/>
      </c>
      <c r="R276" s="6">
        <f>IF(OR(原始資料!$A276="",17&gt;設定!$B$3,原始資料!T276=""),"",IF(AND(原始資料!S276&lt;&gt;"",原始資料!T276=原始資料!S276),N(Q276)+1,1))</f>
        <v/>
      </c>
      <c r="S276" s="6">
        <f>IF(OR(原始資料!$A276="",18&gt;設定!$B$3,原始資料!U276=""),"",IF(AND(原始資料!T276&lt;&gt;"",原始資料!U276=原始資料!T276),N(R276)+1,1))</f>
        <v/>
      </c>
      <c r="T276" s="6">
        <f>IF(OR(原始資料!$A276="",19&gt;設定!$B$3,原始資料!V276=""),"",IF(AND(原始資料!U276&lt;&gt;"",原始資料!V276=原始資料!U276),N(S276)+1,1))</f>
        <v/>
      </c>
      <c r="U276" s="6">
        <f>IF(OR(原始資料!$A276="",20&gt;設定!$B$3,原始資料!W276=""),"",IF(AND(原始資料!V276&lt;&gt;"",原始資料!W276=原始資料!V276),N(T276)+1,1))</f>
        <v/>
      </c>
      <c r="V276" s="6">
        <f>IF(OR(原始資料!$A276="",21&gt;設定!$B$3,原始資料!X276=""),"",IF(AND(原始資料!W276&lt;&gt;"",原始資料!X276=原始資料!W276),N(U276)+1,1))</f>
        <v/>
      </c>
      <c r="W276" s="6">
        <f>IF(OR(原始資料!$A276="",22&gt;設定!$B$3,原始資料!Y276=""),"",IF(AND(原始資料!X276&lt;&gt;"",原始資料!Y276=原始資料!X276),N(V276)+1,1))</f>
        <v/>
      </c>
      <c r="X276" s="6">
        <f>IF(OR(原始資料!$A276="",23&gt;設定!$B$3,原始資料!Z276=""),"",IF(AND(原始資料!Y276&lt;&gt;"",原始資料!Z276=原始資料!Y276),N(W276)+1,1))</f>
        <v/>
      </c>
      <c r="Y276" s="6">
        <f>IF(OR(原始資料!$A276="",24&gt;設定!$B$3,原始資料!AA276=""),"",IF(AND(原始資料!Z276&lt;&gt;"",原始資料!AA276=原始資料!Z276),N(X276)+1,1))</f>
        <v/>
      </c>
      <c r="Z276" s="6">
        <f>IF(OR(原始資料!$A276="",25&gt;設定!$B$3,原始資料!AB276=""),"",IF(AND(原始資料!AA276&lt;&gt;"",原始資料!AB276=原始資料!AA276),N(Y276)+1,1))</f>
        <v/>
      </c>
      <c r="AA276" s="6">
        <f>IF(OR(原始資料!$A276="",26&gt;設定!$B$3,原始資料!AC276=""),"",IF(AND(原始資料!AB276&lt;&gt;"",原始資料!AC276=原始資料!AB276),N(Z276)+1,1))</f>
        <v/>
      </c>
      <c r="AB276" s="6">
        <f>IF(OR(原始資料!$A276="",27&gt;設定!$B$3,原始資料!AD276=""),"",IF(AND(原始資料!AC276&lt;&gt;"",原始資料!AD276=原始資料!AC276),N(AA276)+1,1))</f>
        <v/>
      </c>
      <c r="AC276" s="6">
        <f>IF(OR(原始資料!$A276="",28&gt;設定!$B$3,原始資料!AE276=""),"",IF(AND(原始資料!AD276&lt;&gt;"",原始資料!AE276=原始資料!AD276),N(AB276)+1,1))</f>
        <v/>
      </c>
      <c r="AD276" s="6">
        <f>IF(OR(原始資料!$A276="",29&gt;設定!$B$3,原始資料!AF276=""),"",IF(AND(原始資料!AE276&lt;&gt;"",原始資料!AF276=原始資料!AE276),N(AC276)+1,1))</f>
        <v/>
      </c>
      <c r="AE276" s="6">
        <f>IF(OR(原始資料!$A276="",30&gt;設定!$B$3,原始資料!AG276=""),"",IF(AND(原始資料!AF276&lt;&gt;"",原始資料!AG276=原始資料!AF276),N(AD276)+1,1))</f>
        <v/>
      </c>
      <c r="AF276" s="6">
        <f>IF(OR(原始資料!$A276="",31&gt;設定!$B$3,原始資料!AH276=""),"",IF(AND(原始資料!AG276&lt;&gt;"",原始資料!AH276=原始資料!AG276),N(AE276)+1,1))</f>
        <v/>
      </c>
      <c r="AG276" s="6">
        <f>IF(OR(原始資料!$A276="",32&gt;設定!$B$3,原始資料!AI276=""),"",IF(AND(原始資料!AH276&lt;&gt;"",原始資料!AI276=原始資料!AH276),N(AF276)+1,1))</f>
        <v/>
      </c>
      <c r="AH276" s="6">
        <f>IF(OR(原始資料!$A276="",33&gt;設定!$B$3,原始資料!AJ276=""),"",IF(AND(原始資料!AI276&lt;&gt;"",原始資料!AJ276=原始資料!AI276),N(AG276)+1,1))</f>
        <v/>
      </c>
      <c r="AI276" s="6">
        <f>IF(OR(原始資料!$A276="",34&gt;設定!$B$3,原始資料!AK276=""),"",IF(AND(原始資料!AJ276&lt;&gt;"",原始資料!AK276=原始資料!AJ276),N(AH276)+1,1))</f>
        <v/>
      </c>
      <c r="AJ276" s="6">
        <f>IF(OR(原始資料!$A276="",35&gt;設定!$B$3,原始資料!AL276=""),"",IF(AND(原始資料!AK276&lt;&gt;"",原始資料!AL276=原始資料!AK276),N(AI276)+1,1))</f>
        <v/>
      </c>
      <c r="AK276" s="6">
        <f>IF(OR(原始資料!$A276="",36&gt;設定!$B$3,原始資料!AM276=""),"",IF(AND(原始資料!AL276&lt;&gt;"",原始資料!AM276=原始資料!AL276),N(AJ276)+1,1))</f>
        <v/>
      </c>
      <c r="AL276" s="6">
        <f>IF(OR(原始資料!$A276="",37&gt;設定!$B$3,原始資料!AN276=""),"",IF(AND(原始資料!AM276&lt;&gt;"",原始資料!AN276=原始資料!AM276),N(AK276)+1,1))</f>
        <v/>
      </c>
      <c r="AM276" s="6">
        <f>IF(OR(原始資料!$A276="",38&gt;設定!$B$3,原始資料!AO276=""),"",IF(AND(原始資料!AN276&lt;&gt;"",原始資料!AO276=原始資料!AN276),N(AL276)+1,1))</f>
        <v/>
      </c>
      <c r="AN276" s="6">
        <f>IF(OR(原始資料!$A276="",39&gt;設定!$B$3,原始資料!AP276=""),"",IF(AND(原始資料!AO276&lt;&gt;"",原始資料!AP276=原始資料!AO276),N(AM276)+1,1))</f>
        <v/>
      </c>
      <c r="AO276" s="6">
        <f>IF(OR(原始資料!$A276="",40&gt;設定!$B$3,原始資料!AQ276=""),"",IF(AND(原始資料!AP276&lt;&gt;"",原始資料!AQ276=原始資料!AP276),N(AN276)+1,1))</f>
        <v/>
      </c>
      <c r="AP276" s="6">
        <f>IF(OR(原始資料!$A276="",41&gt;設定!$B$3,原始資料!AR276=""),"",IF(AND(原始資料!AQ276&lt;&gt;"",原始資料!AR276=原始資料!AQ276),N(AO276)+1,1))</f>
        <v/>
      </c>
      <c r="AQ276" s="6">
        <f>IF(OR(原始資料!$A276="",42&gt;設定!$B$3,原始資料!AS276=""),"",IF(AND(原始資料!AR276&lt;&gt;"",原始資料!AS276=原始資料!AR276),N(AP276)+1,1))</f>
        <v/>
      </c>
      <c r="AR276" s="6">
        <f>IF(OR(原始資料!$A276="",43&gt;設定!$B$3,原始資料!AT276=""),"",IF(AND(原始資料!AS276&lt;&gt;"",原始資料!AT276=原始資料!AS276),N(AQ276)+1,1))</f>
        <v/>
      </c>
      <c r="AS276" s="6">
        <f>IF(OR(原始資料!$A276="",44&gt;設定!$B$3,原始資料!AU276=""),"",IF(AND(原始資料!AT276&lt;&gt;"",原始資料!AU276=原始資料!AT276),N(AR276)+1,1))</f>
        <v/>
      </c>
      <c r="AT276" s="6">
        <f>IF(OR(原始資料!$A276="",45&gt;設定!$B$3,原始資料!AV276=""),"",IF(AND(原始資料!AU276&lt;&gt;"",原始資料!AV276=原始資料!AU276),N(AS276)+1,1))</f>
        <v/>
      </c>
      <c r="AU276" s="6">
        <f>IF(OR(原始資料!$A276="",46&gt;設定!$B$3,原始資料!AW276=""),"",IF(AND(原始資料!AV276&lt;&gt;"",原始資料!AW276=原始資料!AV276),N(AT276)+1,1))</f>
        <v/>
      </c>
      <c r="AV276" s="6">
        <f>IF(OR(原始資料!$A276="",47&gt;設定!$B$3,原始資料!AX276=""),"",IF(AND(原始資料!AW276&lt;&gt;"",原始資料!AX276=原始資料!AW276),N(AU276)+1,1))</f>
        <v/>
      </c>
      <c r="AW276" s="6">
        <f>IF(OR(原始資料!$A276="",48&gt;設定!$B$3,原始資料!AY276=""),"",IF(AND(原始資料!AX276&lt;&gt;"",原始資料!AY276=原始資料!AX276),N(AV276)+1,1))</f>
        <v/>
      </c>
      <c r="AX276" s="6">
        <f>IF(OR(原始資料!$A276="",49&gt;設定!$B$3,原始資料!AZ276=""),"",IF(AND(原始資料!AY276&lt;&gt;"",原始資料!AZ276=原始資料!AY276),N(AW276)+1,1))</f>
        <v/>
      </c>
      <c r="AY276" s="6">
        <f>IF(OR(原始資料!$A276="",50&gt;設定!$B$3,原始資料!BA276=""),"",IF(AND(原始資料!AZ276&lt;&gt;"",原始資料!BA276=原始資料!AZ276),N(AX276)+1,1))</f>
        <v/>
      </c>
      <c r="AZ276" s="6">
        <f>IF(OR(原始資料!$A276="",51&gt;設定!$B$3,原始資料!BB276=""),"",IF(AND(原始資料!BA276&lt;&gt;"",原始資料!BB276=原始資料!BA276),N(AY276)+1,1))</f>
        <v/>
      </c>
      <c r="BA276" s="6">
        <f>IF(OR(原始資料!$A276="",52&gt;設定!$B$3,原始資料!BC276=""),"",IF(AND(原始資料!BB276&lt;&gt;"",原始資料!BC276=原始資料!BB276),N(AZ276)+1,1))</f>
        <v/>
      </c>
      <c r="BB276" s="6">
        <f>IF(OR(原始資料!$A276="",53&gt;設定!$B$3,原始資料!BD276=""),"",IF(AND(原始資料!BC276&lt;&gt;"",原始資料!BD276=原始資料!BC276),N(BA276)+1,1))</f>
        <v/>
      </c>
      <c r="BC276" s="6">
        <f>IF(OR(原始資料!$A276="",54&gt;設定!$B$3,原始資料!BE276=""),"",IF(AND(原始資料!BD276&lt;&gt;"",原始資料!BE276=原始資料!BD276),N(BB276)+1,1))</f>
        <v/>
      </c>
      <c r="BD276" s="6">
        <f>IF(OR(原始資料!$A276="",55&gt;設定!$B$3,原始資料!BF276=""),"",IF(AND(原始資料!BE276&lt;&gt;"",原始資料!BF276=原始資料!BE276),N(BC276)+1,1))</f>
        <v/>
      </c>
      <c r="BE276" s="6">
        <f>IF(OR(原始資料!$A276="",56&gt;設定!$B$3,原始資料!BG276=""),"",IF(AND(原始資料!BF276&lt;&gt;"",原始資料!BG276=原始資料!BF276),N(BD276)+1,1))</f>
        <v/>
      </c>
      <c r="BF276" s="6">
        <f>IF(OR(原始資料!$A276="",57&gt;設定!$B$3,原始資料!BH276=""),"",IF(AND(原始資料!BG276&lt;&gt;"",原始資料!BH276=原始資料!BG276),N(BE276)+1,1))</f>
        <v/>
      </c>
      <c r="BG276" s="6">
        <f>IF(OR(原始資料!$A276="",58&gt;設定!$B$3,原始資料!BI276=""),"",IF(AND(原始資料!BH276&lt;&gt;"",原始資料!BI276=原始資料!BH276),N(BF276)+1,1))</f>
        <v/>
      </c>
      <c r="BH276" s="6">
        <f>IF(OR(原始資料!$A276="",59&gt;設定!$B$3,原始資料!BJ276=""),"",IF(AND(原始資料!BI276&lt;&gt;"",原始資料!BJ276=原始資料!BI276),N(BG276)+1,1))</f>
        <v/>
      </c>
      <c r="BI276" s="6">
        <f>IF(OR(原始資料!$A276="",60&gt;設定!$B$3,原始資料!BK276=""),"",IF(AND(原始資料!BJ276&lt;&gt;"",原始資料!BK276=原始資料!BJ276),N(BH276)+1,1))</f>
        <v/>
      </c>
    </row>
    <row r="277">
      <c r="A277" s="6">
        <f>IF(原始資料!$A277="","",原始資料!$A277)</f>
        <v/>
      </c>
      <c r="B277" s="6">
        <f>IF(OR(原始資料!$A277="",1&gt;設定!$B$3,原始資料!D277=""),"",1)</f>
        <v/>
      </c>
      <c r="C277" s="6">
        <f>IF(OR(原始資料!$A277="",2&gt;設定!$B$3,原始資料!E277=""),"",IF(AND(原始資料!D277&lt;&gt;"",原始資料!E277=原始資料!D277),N(B277)+1,1))</f>
        <v/>
      </c>
      <c r="D277" s="6">
        <f>IF(OR(原始資料!$A277="",3&gt;設定!$B$3,原始資料!F277=""),"",IF(AND(原始資料!E277&lt;&gt;"",原始資料!F277=原始資料!E277),N(C277)+1,1))</f>
        <v/>
      </c>
      <c r="E277" s="6">
        <f>IF(OR(原始資料!$A277="",4&gt;設定!$B$3,原始資料!G277=""),"",IF(AND(原始資料!F277&lt;&gt;"",原始資料!G277=原始資料!F277),N(D277)+1,1))</f>
        <v/>
      </c>
      <c r="F277" s="6">
        <f>IF(OR(原始資料!$A277="",5&gt;設定!$B$3,原始資料!H277=""),"",IF(AND(原始資料!G277&lt;&gt;"",原始資料!H277=原始資料!G277),N(E277)+1,1))</f>
        <v/>
      </c>
      <c r="G277" s="6">
        <f>IF(OR(原始資料!$A277="",6&gt;設定!$B$3,原始資料!I277=""),"",IF(AND(原始資料!H277&lt;&gt;"",原始資料!I277=原始資料!H277),N(F277)+1,1))</f>
        <v/>
      </c>
      <c r="H277" s="6">
        <f>IF(OR(原始資料!$A277="",7&gt;設定!$B$3,原始資料!J277=""),"",IF(AND(原始資料!I277&lt;&gt;"",原始資料!J277=原始資料!I277),N(G277)+1,1))</f>
        <v/>
      </c>
      <c r="I277" s="6">
        <f>IF(OR(原始資料!$A277="",8&gt;設定!$B$3,原始資料!K277=""),"",IF(AND(原始資料!J277&lt;&gt;"",原始資料!K277=原始資料!J277),N(H277)+1,1))</f>
        <v/>
      </c>
      <c r="J277" s="6">
        <f>IF(OR(原始資料!$A277="",9&gt;設定!$B$3,原始資料!L277=""),"",IF(AND(原始資料!K277&lt;&gt;"",原始資料!L277=原始資料!K277),N(I277)+1,1))</f>
        <v/>
      </c>
      <c r="K277" s="6">
        <f>IF(OR(原始資料!$A277="",10&gt;設定!$B$3,原始資料!M277=""),"",IF(AND(原始資料!L277&lt;&gt;"",原始資料!M277=原始資料!L277),N(J277)+1,1))</f>
        <v/>
      </c>
      <c r="L277" s="6">
        <f>IF(OR(原始資料!$A277="",11&gt;設定!$B$3,原始資料!N277=""),"",IF(AND(原始資料!M277&lt;&gt;"",原始資料!N277=原始資料!M277),N(K277)+1,1))</f>
        <v/>
      </c>
      <c r="M277" s="6">
        <f>IF(OR(原始資料!$A277="",12&gt;設定!$B$3,原始資料!O277=""),"",IF(AND(原始資料!N277&lt;&gt;"",原始資料!O277=原始資料!N277),N(L277)+1,1))</f>
        <v/>
      </c>
      <c r="N277" s="6">
        <f>IF(OR(原始資料!$A277="",13&gt;設定!$B$3,原始資料!P277=""),"",IF(AND(原始資料!O277&lt;&gt;"",原始資料!P277=原始資料!O277),N(M277)+1,1))</f>
        <v/>
      </c>
      <c r="O277" s="6">
        <f>IF(OR(原始資料!$A277="",14&gt;設定!$B$3,原始資料!Q277=""),"",IF(AND(原始資料!P277&lt;&gt;"",原始資料!Q277=原始資料!P277),N(N277)+1,1))</f>
        <v/>
      </c>
      <c r="P277" s="6">
        <f>IF(OR(原始資料!$A277="",15&gt;設定!$B$3,原始資料!R277=""),"",IF(AND(原始資料!Q277&lt;&gt;"",原始資料!R277=原始資料!Q277),N(O277)+1,1))</f>
        <v/>
      </c>
      <c r="Q277" s="6">
        <f>IF(OR(原始資料!$A277="",16&gt;設定!$B$3,原始資料!S277=""),"",IF(AND(原始資料!R277&lt;&gt;"",原始資料!S277=原始資料!R277),N(P277)+1,1))</f>
        <v/>
      </c>
      <c r="R277" s="6">
        <f>IF(OR(原始資料!$A277="",17&gt;設定!$B$3,原始資料!T277=""),"",IF(AND(原始資料!S277&lt;&gt;"",原始資料!T277=原始資料!S277),N(Q277)+1,1))</f>
        <v/>
      </c>
      <c r="S277" s="6">
        <f>IF(OR(原始資料!$A277="",18&gt;設定!$B$3,原始資料!U277=""),"",IF(AND(原始資料!T277&lt;&gt;"",原始資料!U277=原始資料!T277),N(R277)+1,1))</f>
        <v/>
      </c>
      <c r="T277" s="6">
        <f>IF(OR(原始資料!$A277="",19&gt;設定!$B$3,原始資料!V277=""),"",IF(AND(原始資料!U277&lt;&gt;"",原始資料!V277=原始資料!U277),N(S277)+1,1))</f>
        <v/>
      </c>
      <c r="U277" s="6">
        <f>IF(OR(原始資料!$A277="",20&gt;設定!$B$3,原始資料!W277=""),"",IF(AND(原始資料!V277&lt;&gt;"",原始資料!W277=原始資料!V277),N(T277)+1,1))</f>
        <v/>
      </c>
      <c r="V277" s="6">
        <f>IF(OR(原始資料!$A277="",21&gt;設定!$B$3,原始資料!X277=""),"",IF(AND(原始資料!W277&lt;&gt;"",原始資料!X277=原始資料!W277),N(U277)+1,1))</f>
        <v/>
      </c>
      <c r="W277" s="6">
        <f>IF(OR(原始資料!$A277="",22&gt;設定!$B$3,原始資料!Y277=""),"",IF(AND(原始資料!X277&lt;&gt;"",原始資料!Y277=原始資料!X277),N(V277)+1,1))</f>
        <v/>
      </c>
      <c r="X277" s="6">
        <f>IF(OR(原始資料!$A277="",23&gt;設定!$B$3,原始資料!Z277=""),"",IF(AND(原始資料!Y277&lt;&gt;"",原始資料!Z277=原始資料!Y277),N(W277)+1,1))</f>
        <v/>
      </c>
      <c r="Y277" s="6">
        <f>IF(OR(原始資料!$A277="",24&gt;設定!$B$3,原始資料!AA277=""),"",IF(AND(原始資料!Z277&lt;&gt;"",原始資料!AA277=原始資料!Z277),N(X277)+1,1))</f>
        <v/>
      </c>
      <c r="Z277" s="6">
        <f>IF(OR(原始資料!$A277="",25&gt;設定!$B$3,原始資料!AB277=""),"",IF(AND(原始資料!AA277&lt;&gt;"",原始資料!AB277=原始資料!AA277),N(Y277)+1,1))</f>
        <v/>
      </c>
      <c r="AA277" s="6">
        <f>IF(OR(原始資料!$A277="",26&gt;設定!$B$3,原始資料!AC277=""),"",IF(AND(原始資料!AB277&lt;&gt;"",原始資料!AC277=原始資料!AB277),N(Z277)+1,1))</f>
        <v/>
      </c>
      <c r="AB277" s="6">
        <f>IF(OR(原始資料!$A277="",27&gt;設定!$B$3,原始資料!AD277=""),"",IF(AND(原始資料!AC277&lt;&gt;"",原始資料!AD277=原始資料!AC277),N(AA277)+1,1))</f>
        <v/>
      </c>
      <c r="AC277" s="6">
        <f>IF(OR(原始資料!$A277="",28&gt;設定!$B$3,原始資料!AE277=""),"",IF(AND(原始資料!AD277&lt;&gt;"",原始資料!AE277=原始資料!AD277),N(AB277)+1,1))</f>
        <v/>
      </c>
      <c r="AD277" s="6">
        <f>IF(OR(原始資料!$A277="",29&gt;設定!$B$3,原始資料!AF277=""),"",IF(AND(原始資料!AE277&lt;&gt;"",原始資料!AF277=原始資料!AE277),N(AC277)+1,1))</f>
        <v/>
      </c>
      <c r="AE277" s="6">
        <f>IF(OR(原始資料!$A277="",30&gt;設定!$B$3,原始資料!AG277=""),"",IF(AND(原始資料!AF277&lt;&gt;"",原始資料!AG277=原始資料!AF277),N(AD277)+1,1))</f>
        <v/>
      </c>
      <c r="AF277" s="6">
        <f>IF(OR(原始資料!$A277="",31&gt;設定!$B$3,原始資料!AH277=""),"",IF(AND(原始資料!AG277&lt;&gt;"",原始資料!AH277=原始資料!AG277),N(AE277)+1,1))</f>
        <v/>
      </c>
      <c r="AG277" s="6">
        <f>IF(OR(原始資料!$A277="",32&gt;設定!$B$3,原始資料!AI277=""),"",IF(AND(原始資料!AH277&lt;&gt;"",原始資料!AI277=原始資料!AH277),N(AF277)+1,1))</f>
        <v/>
      </c>
      <c r="AH277" s="6">
        <f>IF(OR(原始資料!$A277="",33&gt;設定!$B$3,原始資料!AJ277=""),"",IF(AND(原始資料!AI277&lt;&gt;"",原始資料!AJ277=原始資料!AI277),N(AG277)+1,1))</f>
        <v/>
      </c>
      <c r="AI277" s="6">
        <f>IF(OR(原始資料!$A277="",34&gt;設定!$B$3,原始資料!AK277=""),"",IF(AND(原始資料!AJ277&lt;&gt;"",原始資料!AK277=原始資料!AJ277),N(AH277)+1,1))</f>
        <v/>
      </c>
      <c r="AJ277" s="6">
        <f>IF(OR(原始資料!$A277="",35&gt;設定!$B$3,原始資料!AL277=""),"",IF(AND(原始資料!AK277&lt;&gt;"",原始資料!AL277=原始資料!AK277),N(AI277)+1,1))</f>
        <v/>
      </c>
      <c r="AK277" s="6">
        <f>IF(OR(原始資料!$A277="",36&gt;設定!$B$3,原始資料!AM277=""),"",IF(AND(原始資料!AL277&lt;&gt;"",原始資料!AM277=原始資料!AL277),N(AJ277)+1,1))</f>
        <v/>
      </c>
      <c r="AL277" s="6">
        <f>IF(OR(原始資料!$A277="",37&gt;設定!$B$3,原始資料!AN277=""),"",IF(AND(原始資料!AM277&lt;&gt;"",原始資料!AN277=原始資料!AM277),N(AK277)+1,1))</f>
        <v/>
      </c>
      <c r="AM277" s="6">
        <f>IF(OR(原始資料!$A277="",38&gt;設定!$B$3,原始資料!AO277=""),"",IF(AND(原始資料!AN277&lt;&gt;"",原始資料!AO277=原始資料!AN277),N(AL277)+1,1))</f>
        <v/>
      </c>
      <c r="AN277" s="6">
        <f>IF(OR(原始資料!$A277="",39&gt;設定!$B$3,原始資料!AP277=""),"",IF(AND(原始資料!AO277&lt;&gt;"",原始資料!AP277=原始資料!AO277),N(AM277)+1,1))</f>
        <v/>
      </c>
      <c r="AO277" s="6">
        <f>IF(OR(原始資料!$A277="",40&gt;設定!$B$3,原始資料!AQ277=""),"",IF(AND(原始資料!AP277&lt;&gt;"",原始資料!AQ277=原始資料!AP277),N(AN277)+1,1))</f>
        <v/>
      </c>
      <c r="AP277" s="6">
        <f>IF(OR(原始資料!$A277="",41&gt;設定!$B$3,原始資料!AR277=""),"",IF(AND(原始資料!AQ277&lt;&gt;"",原始資料!AR277=原始資料!AQ277),N(AO277)+1,1))</f>
        <v/>
      </c>
      <c r="AQ277" s="6">
        <f>IF(OR(原始資料!$A277="",42&gt;設定!$B$3,原始資料!AS277=""),"",IF(AND(原始資料!AR277&lt;&gt;"",原始資料!AS277=原始資料!AR277),N(AP277)+1,1))</f>
        <v/>
      </c>
      <c r="AR277" s="6">
        <f>IF(OR(原始資料!$A277="",43&gt;設定!$B$3,原始資料!AT277=""),"",IF(AND(原始資料!AS277&lt;&gt;"",原始資料!AT277=原始資料!AS277),N(AQ277)+1,1))</f>
        <v/>
      </c>
      <c r="AS277" s="6">
        <f>IF(OR(原始資料!$A277="",44&gt;設定!$B$3,原始資料!AU277=""),"",IF(AND(原始資料!AT277&lt;&gt;"",原始資料!AU277=原始資料!AT277),N(AR277)+1,1))</f>
        <v/>
      </c>
      <c r="AT277" s="6">
        <f>IF(OR(原始資料!$A277="",45&gt;設定!$B$3,原始資料!AV277=""),"",IF(AND(原始資料!AU277&lt;&gt;"",原始資料!AV277=原始資料!AU277),N(AS277)+1,1))</f>
        <v/>
      </c>
      <c r="AU277" s="6">
        <f>IF(OR(原始資料!$A277="",46&gt;設定!$B$3,原始資料!AW277=""),"",IF(AND(原始資料!AV277&lt;&gt;"",原始資料!AW277=原始資料!AV277),N(AT277)+1,1))</f>
        <v/>
      </c>
      <c r="AV277" s="6">
        <f>IF(OR(原始資料!$A277="",47&gt;設定!$B$3,原始資料!AX277=""),"",IF(AND(原始資料!AW277&lt;&gt;"",原始資料!AX277=原始資料!AW277),N(AU277)+1,1))</f>
        <v/>
      </c>
      <c r="AW277" s="6">
        <f>IF(OR(原始資料!$A277="",48&gt;設定!$B$3,原始資料!AY277=""),"",IF(AND(原始資料!AX277&lt;&gt;"",原始資料!AY277=原始資料!AX277),N(AV277)+1,1))</f>
        <v/>
      </c>
      <c r="AX277" s="6">
        <f>IF(OR(原始資料!$A277="",49&gt;設定!$B$3,原始資料!AZ277=""),"",IF(AND(原始資料!AY277&lt;&gt;"",原始資料!AZ277=原始資料!AY277),N(AW277)+1,1))</f>
        <v/>
      </c>
      <c r="AY277" s="6">
        <f>IF(OR(原始資料!$A277="",50&gt;設定!$B$3,原始資料!BA277=""),"",IF(AND(原始資料!AZ277&lt;&gt;"",原始資料!BA277=原始資料!AZ277),N(AX277)+1,1))</f>
        <v/>
      </c>
      <c r="AZ277" s="6">
        <f>IF(OR(原始資料!$A277="",51&gt;設定!$B$3,原始資料!BB277=""),"",IF(AND(原始資料!BA277&lt;&gt;"",原始資料!BB277=原始資料!BA277),N(AY277)+1,1))</f>
        <v/>
      </c>
      <c r="BA277" s="6">
        <f>IF(OR(原始資料!$A277="",52&gt;設定!$B$3,原始資料!BC277=""),"",IF(AND(原始資料!BB277&lt;&gt;"",原始資料!BC277=原始資料!BB277),N(AZ277)+1,1))</f>
        <v/>
      </c>
      <c r="BB277" s="6">
        <f>IF(OR(原始資料!$A277="",53&gt;設定!$B$3,原始資料!BD277=""),"",IF(AND(原始資料!BC277&lt;&gt;"",原始資料!BD277=原始資料!BC277),N(BA277)+1,1))</f>
        <v/>
      </c>
      <c r="BC277" s="6">
        <f>IF(OR(原始資料!$A277="",54&gt;設定!$B$3,原始資料!BE277=""),"",IF(AND(原始資料!BD277&lt;&gt;"",原始資料!BE277=原始資料!BD277),N(BB277)+1,1))</f>
        <v/>
      </c>
      <c r="BD277" s="6">
        <f>IF(OR(原始資料!$A277="",55&gt;設定!$B$3,原始資料!BF277=""),"",IF(AND(原始資料!BE277&lt;&gt;"",原始資料!BF277=原始資料!BE277),N(BC277)+1,1))</f>
        <v/>
      </c>
      <c r="BE277" s="6">
        <f>IF(OR(原始資料!$A277="",56&gt;設定!$B$3,原始資料!BG277=""),"",IF(AND(原始資料!BF277&lt;&gt;"",原始資料!BG277=原始資料!BF277),N(BD277)+1,1))</f>
        <v/>
      </c>
      <c r="BF277" s="6">
        <f>IF(OR(原始資料!$A277="",57&gt;設定!$B$3,原始資料!BH277=""),"",IF(AND(原始資料!BG277&lt;&gt;"",原始資料!BH277=原始資料!BG277),N(BE277)+1,1))</f>
        <v/>
      </c>
      <c r="BG277" s="6">
        <f>IF(OR(原始資料!$A277="",58&gt;設定!$B$3,原始資料!BI277=""),"",IF(AND(原始資料!BH277&lt;&gt;"",原始資料!BI277=原始資料!BH277),N(BF277)+1,1))</f>
        <v/>
      </c>
      <c r="BH277" s="6">
        <f>IF(OR(原始資料!$A277="",59&gt;設定!$B$3,原始資料!BJ277=""),"",IF(AND(原始資料!BI277&lt;&gt;"",原始資料!BJ277=原始資料!BI277),N(BG277)+1,1))</f>
        <v/>
      </c>
      <c r="BI277" s="6">
        <f>IF(OR(原始資料!$A277="",60&gt;設定!$B$3,原始資料!BK277=""),"",IF(AND(原始資料!BJ277&lt;&gt;"",原始資料!BK277=原始資料!BJ277),N(BH277)+1,1))</f>
        <v/>
      </c>
    </row>
    <row r="278">
      <c r="A278" s="6">
        <f>IF(原始資料!$A278="","",原始資料!$A278)</f>
        <v/>
      </c>
      <c r="B278" s="6">
        <f>IF(OR(原始資料!$A278="",1&gt;設定!$B$3,原始資料!D278=""),"",1)</f>
        <v/>
      </c>
      <c r="C278" s="6">
        <f>IF(OR(原始資料!$A278="",2&gt;設定!$B$3,原始資料!E278=""),"",IF(AND(原始資料!D278&lt;&gt;"",原始資料!E278=原始資料!D278),N(B278)+1,1))</f>
        <v/>
      </c>
      <c r="D278" s="6">
        <f>IF(OR(原始資料!$A278="",3&gt;設定!$B$3,原始資料!F278=""),"",IF(AND(原始資料!E278&lt;&gt;"",原始資料!F278=原始資料!E278),N(C278)+1,1))</f>
        <v/>
      </c>
      <c r="E278" s="6">
        <f>IF(OR(原始資料!$A278="",4&gt;設定!$B$3,原始資料!G278=""),"",IF(AND(原始資料!F278&lt;&gt;"",原始資料!G278=原始資料!F278),N(D278)+1,1))</f>
        <v/>
      </c>
      <c r="F278" s="6">
        <f>IF(OR(原始資料!$A278="",5&gt;設定!$B$3,原始資料!H278=""),"",IF(AND(原始資料!G278&lt;&gt;"",原始資料!H278=原始資料!G278),N(E278)+1,1))</f>
        <v/>
      </c>
      <c r="G278" s="6">
        <f>IF(OR(原始資料!$A278="",6&gt;設定!$B$3,原始資料!I278=""),"",IF(AND(原始資料!H278&lt;&gt;"",原始資料!I278=原始資料!H278),N(F278)+1,1))</f>
        <v/>
      </c>
      <c r="H278" s="6">
        <f>IF(OR(原始資料!$A278="",7&gt;設定!$B$3,原始資料!J278=""),"",IF(AND(原始資料!I278&lt;&gt;"",原始資料!J278=原始資料!I278),N(G278)+1,1))</f>
        <v/>
      </c>
      <c r="I278" s="6">
        <f>IF(OR(原始資料!$A278="",8&gt;設定!$B$3,原始資料!K278=""),"",IF(AND(原始資料!J278&lt;&gt;"",原始資料!K278=原始資料!J278),N(H278)+1,1))</f>
        <v/>
      </c>
      <c r="J278" s="6">
        <f>IF(OR(原始資料!$A278="",9&gt;設定!$B$3,原始資料!L278=""),"",IF(AND(原始資料!K278&lt;&gt;"",原始資料!L278=原始資料!K278),N(I278)+1,1))</f>
        <v/>
      </c>
      <c r="K278" s="6">
        <f>IF(OR(原始資料!$A278="",10&gt;設定!$B$3,原始資料!M278=""),"",IF(AND(原始資料!L278&lt;&gt;"",原始資料!M278=原始資料!L278),N(J278)+1,1))</f>
        <v/>
      </c>
      <c r="L278" s="6">
        <f>IF(OR(原始資料!$A278="",11&gt;設定!$B$3,原始資料!N278=""),"",IF(AND(原始資料!M278&lt;&gt;"",原始資料!N278=原始資料!M278),N(K278)+1,1))</f>
        <v/>
      </c>
      <c r="M278" s="6">
        <f>IF(OR(原始資料!$A278="",12&gt;設定!$B$3,原始資料!O278=""),"",IF(AND(原始資料!N278&lt;&gt;"",原始資料!O278=原始資料!N278),N(L278)+1,1))</f>
        <v/>
      </c>
      <c r="N278" s="6">
        <f>IF(OR(原始資料!$A278="",13&gt;設定!$B$3,原始資料!P278=""),"",IF(AND(原始資料!O278&lt;&gt;"",原始資料!P278=原始資料!O278),N(M278)+1,1))</f>
        <v/>
      </c>
      <c r="O278" s="6">
        <f>IF(OR(原始資料!$A278="",14&gt;設定!$B$3,原始資料!Q278=""),"",IF(AND(原始資料!P278&lt;&gt;"",原始資料!Q278=原始資料!P278),N(N278)+1,1))</f>
        <v/>
      </c>
      <c r="P278" s="6">
        <f>IF(OR(原始資料!$A278="",15&gt;設定!$B$3,原始資料!R278=""),"",IF(AND(原始資料!Q278&lt;&gt;"",原始資料!R278=原始資料!Q278),N(O278)+1,1))</f>
        <v/>
      </c>
      <c r="Q278" s="6">
        <f>IF(OR(原始資料!$A278="",16&gt;設定!$B$3,原始資料!S278=""),"",IF(AND(原始資料!R278&lt;&gt;"",原始資料!S278=原始資料!R278),N(P278)+1,1))</f>
        <v/>
      </c>
      <c r="R278" s="6">
        <f>IF(OR(原始資料!$A278="",17&gt;設定!$B$3,原始資料!T278=""),"",IF(AND(原始資料!S278&lt;&gt;"",原始資料!T278=原始資料!S278),N(Q278)+1,1))</f>
        <v/>
      </c>
      <c r="S278" s="6">
        <f>IF(OR(原始資料!$A278="",18&gt;設定!$B$3,原始資料!U278=""),"",IF(AND(原始資料!T278&lt;&gt;"",原始資料!U278=原始資料!T278),N(R278)+1,1))</f>
        <v/>
      </c>
      <c r="T278" s="6">
        <f>IF(OR(原始資料!$A278="",19&gt;設定!$B$3,原始資料!V278=""),"",IF(AND(原始資料!U278&lt;&gt;"",原始資料!V278=原始資料!U278),N(S278)+1,1))</f>
        <v/>
      </c>
      <c r="U278" s="6">
        <f>IF(OR(原始資料!$A278="",20&gt;設定!$B$3,原始資料!W278=""),"",IF(AND(原始資料!V278&lt;&gt;"",原始資料!W278=原始資料!V278),N(T278)+1,1))</f>
        <v/>
      </c>
      <c r="V278" s="6">
        <f>IF(OR(原始資料!$A278="",21&gt;設定!$B$3,原始資料!X278=""),"",IF(AND(原始資料!W278&lt;&gt;"",原始資料!X278=原始資料!W278),N(U278)+1,1))</f>
        <v/>
      </c>
      <c r="W278" s="6">
        <f>IF(OR(原始資料!$A278="",22&gt;設定!$B$3,原始資料!Y278=""),"",IF(AND(原始資料!X278&lt;&gt;"",原始資料!Y278=原始資料!X278),N(V278)+1,1))</f>
        <v/>
      </c>
      <c r="X278" s="6">
        <f>IF(OR(原始資料!$A278="",23&gt;設定!$B$3,原始資料!Z278=""),"",IF(AND(原始資料!Y278&lt;&gt;"",原始資料!Z278=原始資料!Y278),N(W278)+1,1))</f>
        <v/>
      </c>
      <c r="Y278" s="6">
        <f>IF(OR(原始資料!$A278="",24&gt;設定!$B$3,原始資料!AA278=""),"",IF(AND(原始資料!Z278&lt;&gt;"",原始資料!AA278=原始資料!Z278),N(X278)+1,1))</f>
        <v/>
      </c>
      <c r="Z278" s="6">
        <f>IF(OR(原始資料!$A278="",25&gt;設定!$B$3,原始資料!AB278=""),"",IF(AND(原始資料!AA278&lt;&gt;"",原始資料!AB278=原始資料!AA278),N(Y278)+1,1))</f>
        <v/>
      </c>
      <c r="AA278" s="6">
        <f>IF(OR(原始資料!$A278="",26&gt;設定!$B$3,原始資料!AC278=""),"",IF(AND(原始資料!AB278&lt;&gt;"",原始資料!AC278=原始資料!AB278),N(Z278)+1,1))</f>
        <v/>
      </c>
      <c r="AB278" s="6">
        <f>IF(OR(原始資料!$A278="",27&gt;設定!$B$3,原始資料!AD278=""),"",IF(AND(原始資料!AC278&lt;&gt;"",原始資料!AD278=原始資料!AC278),N(AA278)+1,1))</f>
        <v/>
      </c>
      <c r="AC278" s="6">
        <f>IF(OR(原始資料!$A278="",28&gt;設定!$B$3,原始資料!AE278=""),"",IF(AND(原始資料!AD278&lt;&gt;"",原始資料!AE278=原始資料!AD278),N(AB278)+1,1))</f>
        <v/>
      </c>
      <c r="AD278" s="6">
        <f>IF(OR(原始資料!$A278="",29&gt;設定!$B$3,原始資料!AF278=""),"",IF(AND(原始資料!AE278&lt;&gt;"",原始資料!AF278=原始資料!AE278),N(AC278)+1,1))</f>
        <v/>
      </c>
      <c r="AE278" s="6">
        <f>IF(OR(原始資料!$A278="",30&gt;設定!$B$3,原始資料!AG278=""),"",IF(AND(原始資料!AF278&lt;&gt;"",原始資料!AG278=原始資料!AF278),N(AD278)+1,1))</f>
        <v/>
      </c>
      <c r="AF278" s="6">
        <f>IF(OR(原始資料!$A278="",31&gt;設定!$B$3,原始資料!AH278=""),"",IF(AND(原始資料!AG278&lt;&gt;"",原始資料!AH278=原始資料!AG278),N(AE278)+1,1))</f>
        <v/>
      </c>
      <c r="AG278" s="6">
        <f>IF(OR(原始資料!$A278="",32&gt;設定!$B$3,原始資料!AI278=""),"",IF(AND(原始資料!AH278&lt;&gt;"",原始資料!AI278=原始資料!AH278),N(AF278)+1,1))</f>
        <v/>
      </c>
      <c r="AH278" s="6">
        <f>IF(OR(原始資料!$A278="",33&gt;設定!$B$3,原始資料!AJ278=""),"",IF(AND(原始資料!AI278&lt;&gt;"",原始資料!AJ278=原始資料!AI278),N(AG278)+1,1))</f>
        <v/>
      </c>
      <c r="AI278" s="6">
        <f>IF(OR(原始資料!$A278="",34&gt;設定!$B$3,原始資料!AK278=""),"",IF(AND(原始資料!AJ278&lt;&gt;"",原始資料!AK278=原始資料!AJ278),N(AH278)+1,1))</f>
        <v/>
      </c>
      <c r="AJ278" s="6">
        <f>IF(OR(原始資料!$A278="",35&gt;設定!$B$3,原始資料!AL278=""),"",IF(AND(原始資料!AK278&lt;&gt;"",原始資料!AL278=原始資料!AK278),N(AI278)+1,1))</f>
        <v/>
      </c>
      <c r="AK278" s="6">
        <f>IF(OR(原始資料!$A278="",36&gt;設定!$B$3,原始資料!AM278=""),"",IF(AND(原始資料!AL278&lt;&gt;"",原始資料!AM278=原始資料!AL278),N(AJ278)+1,1))</f>
        <v/>
      </c>
      <c r="AL278" s="6">
        <f>IF(OR(原始資料!$A278="",37&gt;設定!$B$3,原始資料!AN278=""),"",IF(AND(原始資料!AM278&lt;&gt;"",原始資料!AN278=原始資料!AM278),N(AK278)+1,1))</f>
        <v/>
      </c>
      <c r="AM278" s="6">
        <f>IF(OR(原始資料!$A278="",38&gt;設定!$B$3,原始資料!AO278=""),"",IF(AND(原始資料!AN278&lt;&gt;"",原始資料!AO278=原始資料!AN278),N(AL278)+1,1))</f>
        <v/>
      </c>
      <c r="AN278" s="6">
        <f>IF(OR(原始資料!$A278="",39&gt;設定!$B$3,原始資料!AP278=""),"",IF(AND(原始資料!AO278&lt;&gt;"",原始資料!AP278=原始資料!AO278),N(AM278)+1,1))</f>
        <v/>
      </c>
      <c r="AO278" s="6">
        <f>IF(OR(原始資料!$A278="",40&gt;設定!$B$3,原始資料!AQ278=""),"",IF(AND(原始資料!AP278&lt;&gt;"",原始資料!AQ278=原始資料!AP278),N(AN278)+1,1))</f>
        <v/>
      </c>
      <c r="AP278" s="6">
        <f>IF(OR(原始資料!$A278="",41&gt;設定!$B$3,原始資料!AR278=""),"",IF(AND(原始資料!AQ278&lt;&gt;"",原始資料!AR278=原始資料!AQ278),N(AO278)+1,1))</f>
        <v/>
      </c>
      <c r="AQ278" s="6">
        <f>IF(OR(原始資料!$A278="",42&gt;設定!$B$3,原始資料!AS278=""),"",IF(AND(原始資料!AR278&lt;&gt;"",原始資料!AS278=原始資料!AR278),N(AP278)+1,1))</f>
        <v/>
      </c>
      <c r="AR278" s="6">
        <f>IF(OR(原始資料!$A278="",43&gt;設定!$B$3,原始資料!AT278=""),"",IF(AND(原始資料!AS278&lt;&gt;"",原始資料!AT278=原始資料!AS278),N(AQ278)+1,1))</f>
        <v/>
      </c>
      <c r="AS278" s="6">
        <f>IF(OR(原始資料!$A278="",44&gt;設定!$B$3,原始資料!AU278=""),"",IF(AND(原始資料!AT278&lt;&gt;"",原始資料!AU278=原始資料!AT278),N(AR278)+1,1))</f>
        <v/>
      </c>
      <c r="AT278" s="6">
        <f>IF(OR(原始資料!$A278="",45&gt;設定!$B$3,原始資料!AV278=""),"",IF(AND(原始資料!AU278&lt;&gt;"",原始資料!AV278=原始資料!AU278),N(AS278)+1,1))</f>
        <v/>
      </c>
      <c r="AU278" s="6">
        <f>IF(OR(原始資料!$A278="",46&gt;設定!$B$3,原始資料!AW278=""),"",IF(AND(原始資料!AV278&lt;&gt;"",原始資料!AW278=原始資料!AV278),N(AT278)+1,1))</f>
        <v/>
      </c>
      <c r="AV278" s="6">
        <f>IF(OR(原始資料!$A278="",47&gt;設定!$B$3,原始資料!AX278=""),"",IF(AND(原始資料!AW278&lt;&gt;"",原始資料!AX278=原始資料!AW278),N(AU278)+1,1))</f>
        <v/>
      </c>
      <c r="AW278" s="6">
        <f>IF(OR(原始資料!$A278="",48&gt;設定!$B$3,原始資料!AY278=""),"",IF(AND(原始資料!AX278&lt;&gt;"",原始資料!AY278=原始資料!AX278),N(AV278)+1,1))</f>
        <v/>
      </c>
      <c r="AX278" s="6">
        <f>IF(OR(原始資料!$A278="",49&gt;設定!$B$3,原始資料!AZ278=""),"",IF(AND(原始資料!AY278&lt;&gt;"",原始資料!AZ278=原始資料!AY278),N(AW278)+1,1))</f>
        <v/>
      </c>
      <c r="AY278" s="6">
        <f>IF(OR(原始資料!$A278="",50&gt;設定!$B$3,原始資料!BA278=""),"",IF(AND(原始資料!AZ278&lt;&gt;"",原始資料!BA278=原始資料!AZ278),N(AX278)+1,1))</f>
        <v/>
      </c>
      <c r="AZ278" s="6">
        <f>IF(OR(原始資料!$A278="",51&gt;設定!$B$3,原始資料!BB278=""),"",IF(AND(原始資料!BA278&lt;&gt;"",原始資料!BB278=原始資料!BA278),N(AY278)+1,1))</f>
        <v/>
      </c>
      <c r="BA278" s="6">
        <f>IF(OR(原始資料!$A278="",52&gt;設定!$B$3,原始資料!BC278=""),"",IF(AND(原始資料!BB278&lt;&gt;"",原始資料!BC278=原始資料!BB278),N(AZ278)+1,1))</f>
        <v/>
      </c>
      <c r="BB278" s="6">
        <f>IF(OR(原始資料!$A278="",53&gt;設定!$B$3,原始資料!BD278=""),"",IF(AND(原始資料!BC278&lt;&gt;"",原始資料!BD278=原始資料!BC278),N(BA278)+1,1))</f>
        <v/>
      </c>
      <c r="BC278" s="6">
        <f>IF(OR(原始資料!$A278="",54&gt;設定!$B$3,原始資料!BE278=""),"",IF(AND(原始資料!BD278&lt;&gt;"",原始資料!BE278=原始資料!BD278),N(BB278)+1,1))</f>
        <v/>
      </c>
      <c r="BD278" s="6">
        <f>IF(OR(原始資料!$A278="",55&gt;設定!$B$3,原始資料!BF278=""),"",IF(AND(原始資料!BE278&lt;&gt;"",原始資料!BF278=原始資料!BE278),N(BC278)+1,1))</f>
        <v/>
      </c>
      <c r="BE278" s="6">
        <f>IF(OR(原始資料!$A278="",56&gt;設定!$B$3,原始資料!BG278=""),"",IF(AND(原始資料!BF278&lt;&gt;"",原始資料!BG278=原始資料!BF278),N(BD278)+1,1))</f>
        <v/>
      </c>
      <c r="BF278" s="6">
        <f>IF(OR(原始資料!$A278="",57&gt;設定!$B$3,原始資料!BH278=""),"",IF(AND(原始資料!BG278&lt;&gt;"",原始資料!BH278=原始資料!BG278),N(BE278)+1,1))</f>
        <v/>
      </c>
      <c r="BG278" s="6">
        <f>IF(OR(原始資料!$A278="",58&gt;設定!$B$3,原始資料!BI278=""),"",IF(AND(原始資料!BH278&lt;&gt;"",原始資料!BI278=原始資料!BH278),N(BF278)+1,1))</f>
        <v/>
      </c>
      <c r="BH278" s="6">
        <f>IF(OR(原始資料!$A278="",59&gt;設定!$B$3,原始資料!BJ278=""),"",IF(AND(原始資料!BI278&lt;&gt;"",原始資料!BJ278=原始資料!BI278),N(BG278)+1,1))</f>
        <v/>
      </c>
      <c r="BI278" s="6">
        <f>IF(OR(原始資料!$A278="",60&gt;設定!$B$3,原始資料!BK278=""),"",IF(AND(原始資料!BJ278&lt;&gt;"",原始資料!BK278=原始資料!BJ278),N(BH278)+1,1))</f>
        <v/>
      </c>
    </row>
    <row r="279">
      <c r="A279" s="6">
        <f>IF(原始資料!$A279="","",原始資料!$A279)</f>
        <v/>
      </c>
      <c r="B279" s="6">
        <f>IF(OR(原始資料!$A279="",1&gt;設定!$B$3,原始資料!D279=""),"",1)</f>
        <v/>
      </c>
      <c r="C279" s="6">
        <f>IF(OR(原始資料!$A279="",2&gt;設定!$B$3,原始資料!E279=""),"",IF(AND(原始資料!D279&lt;&gt;"",原始資料!E279=原始資料!D279),N(B279)+1,1))</f>
        <v/>
      </c>
      <c r="D279" s="6">
        <f>IF(OR(原始資料!$A279="",3&gt;設定!$B$3,原始資料!F279=""),"",IF(AND(原始資料!E279&lt;&gt;"",原始資料!F279=原始資料!E279),N(C279)+1,1))</f>
        <v/>
      </c>
      <c r="E279" s="6">
        <f>IF(OR(原始資料!$A279="",4&gt;設定!$B$3,原始資料!G279=""),"",IF(AND(原始資料!F279&lt;&gt;"",原始資料!G279=原始資料!F279),N(D279)+1,1))</f>
        <v/>
      </c>
      <c r="F279" s="6">
        <f>IF(OR(原始資料!$A279="",5&gt;設定!$B$3,原始資料!H279=""),"",IF(AND(原始資料!G279&lt;&gt;"",原始資料!H279=原始資料!G279),N(E279)+1,1))</f>
        <v/>
      </c>
      <c r="G279" s="6">
        <f>IF(OR(原始資料!$A279="",6&gt;設定!$B$3,原始資料!I279=""),"",IF(AND(原始資料!H279&lt;&gt;"",原始資料!I279=原始資料!H279),N(F279)+1,1))</f>
        <v/>
      </c>
      <c r="H279" s="6">
        <f>IF(OR(原始資料!$A279="",7&gt;設定!$B$3,原始資料!J279=""),"",IF(AND(原始資料!I279&lt;&gt;"",原始資料!J279=原始資料!I279),N(G279)+1,1))</f>
        <v/>
      </c>
      <c r="I279" s="6">
        <f>IF(OR(原始資料!$A279="",8&gt;設定!$B$3,原始資料!K279=""),"",IF(AND(原始資料!J279&lt;&gt;"",原始資料!K279=原始資料!J279),N(H279)+1,1))</f>
        <v/>
      </c>
      <c r="J279" s="6">
        <f>IF(OR(原始資料!$A279="",9&gt;設定!$B$3,原始資料!L279=""),"",IF(AND(原始資料!K279&lt;&gt;"",原始資料!L279=原始資料!K279),N(I279)+1,1))</f>
        <v/>
      </c>
      <c r="K279" s="6">
        <f>IF(OR(原始資料!$A279="",10&gt;設定!$B$3,原始資料!M279=""),"",IF(AND(原始資料!L279&lt;&gt;"",原始資料!M279=原始資料!L279),N(J279)+1,1))</f>
        <v/>
      </c>
      <c r="L279" s="6">
        <f>IF(OR(原始資料!$A279="",11&gt;設定!$B$3,原始資料!N279=""),"",IF(AND(原始資料!M279&lt;&gt;"",原始資料!N279=原始資料!M279),N(K279)+1,1))</f>
        <v/>
      </c>
      <c r="M279" s="6">
        <f>IF(OR(原始資料!$A279="",12&gt;設定!$B$3,原始資料!O279=""),"",IF(AND(原始資料!N279&lt;&gt;"",原始資料!O279=原始資料!N279),N(L279)+1,1))</f>
        <v/>
      </c>
      <c r="N279" s="6">
        <f>IF(OR(原始資料!$A279="",13&gt;設定!$B$3,原始資料!P279=""),"",IF(AND(原始資料!O279&lt;&gt;"",原始資料!P279=原始資料!O279),N(M279)+1,1))</f>
        <v/>
      </c>
      <c r="O279" s="6">
        <f>IF(OR(原始資料!$A279="",14&gt;設定!$B$3,原始資料!Q279=""),"",IF(AND(原始資料!P279&lt;&gt;"",原始資料!Q279=原始資料!P279),N(N279)+1,1))</f>
        <v/>
      </c>
      <c r="P279" s="6">
        <f>IF(OR(原始資料!$A279="",15&gt;設定!$B$3,原始資料!R279=""),"",IF(AND(原始資料!Q279&lt;&gt;"",原始資料!R279=原始資料!Q279),N(O279)+1,1))</f>
        <v/>
      </c>
      <c r="Q279" s="6">
        <f>IF(OR(原始資料!$A279="",16&gt;設定!$B$3,原始資料!S279=""),"",IF(AND(原始資料!R279&lt;&gt;"",原始資料!S279=原始資料!R279),N(P279)+1,1))</f>
        <v/>
      </c>
      <c r="R279" s="6">
        <f>IF(OR(原始資料!$A279="",17&gt;設定!$B$3,原始資料!T279=""),"",IF(AND(原始資料!S279&lt;&gt;"",原始資料!T279=原始資料!S279),N(Q279)+1,1))</f>
        <v/>
      </c>
      <c r="S279" s="6">
        <f>IF(OR(原始資料!$A279="",18&gt;設定!$B$3,原始資料!U279=""),"",IF(AND(原始資料!T279&lt;&gt;"",原始資料!U279=原始資料!T279),N(R279)+1,1))</f>
        <v/>
      </c>
      <c r="T279" s="6">
        <f>IF(OR(原始資料!$A279="",19&gt;設定!$B$3,原始資料!V279=""),"",IF(AND(原始資料!U279&lt;&gt;"",原始資料!V279=原始資料!U279),N(S279)+1,1))</f>
        <v/>
      </c>
      <c r="U279" s="6">
        <f>IF(OR(原始資料!$A279="",20&gt;設定!$B$3,原始資料!W279=""),"",IF(AND(原始資料!V279&lt;&gt;"",原始資料!W279=原始資料!V279),N(T279)+1,1))</f>
        <v/>
      </c>
      <c r="V279" s="6">
        <f>IF(OR(原始資料!$A279="",21&gt;設定!$B$3,原始資料!X279=""),"",IF(AND(原始資料!W279&lt;&gt;"",原始資料!X279=原始資料!W279),N(U279)+1,1))</f>
        <v/>
      </c>
      <c r="W279" s="6">
        <f>IF(OR(原始資料!$A279="",22&gt;設定!$B$3,原始資料!Y279=""),"",IF(AND(原始資料!X279&lt;&gt;"",原始資料!Y279=原始資料!X279),N(V279)+1,1))</f>
        <v/>
      </c>
      <c r="X279" s="6">
        <f>IF(OR(原始資料!$A279="",23&gt;設定!$B$3,原始資料!Z279=""),"",IF(AND(原始資料!Y279&lt;&gt;"",原始資料!Z279=原始資料!Y279),N(W279)+1,1))</f>
        <v/>
      </c>
      <c r="Y279" s="6">
        <f>IF(OR(原始資料!$A279="",24&gt;設定!$B$3,原始資料!AA279=""),"",IF(AND(原始資料!Z279&lt;&gt;"",原始資料!AA279=原始資料!Z279),N(X279)+1,1))</f>
        <v/>
      </c>
      <c r="Z279" s="6">
        <f>IF(OR(原始資料!$A279="",25&gt;設定!$B$3,原始資料!AB279=""),"",IF(AND(原始資料!AA279&lt;&gt;"",原始資料!AB279=原始資料!AA279),N(Y279)+1,1))</f>
        <v/>
      </c>
      <c r="AA279" s="6">
        <f>IF(OR(原始資料!$A279="",26&gt;設定!$B$3,原始資料!AC279=""),"",IF(AND(原始資料!AB279&lt;&gt;"",原始資料!AC279=原始資料!AB279),N(Z279)+1,1))</f>
        <v/>
      </c>
      <c r="AB279" s="6">
        <f>IF(OR(原始資料!$A279="",27&gt;設定!$B$3,原始資料!AD279=""),"",IF(AND(原始資料!AC279&lt;&gt;"",原始資料!AD279=原始資料!AC279),N(AA279)+1,1))</f>
        <v/>
      </c>
      <c r="AC279" s="6">
        <f>IF(OR(原始資料!$A279="",28&gt;設定!$B$3,原始資料!AE279=""),"",IF(AND(原始資料!AD279&lt;&gt;"",原始資料!AE279=原始資料!AD279),N(AB279)+1,1))</f>
        <v/>
      </c>
      <c r="AD279" s="6">
        <f>IF(OR(原始資料!$A279="",29&gt;設定!$B$3,原始資料!AF279=""),"",IF(AND(原始資料!AE279&lt;&gt;"",原始資料!AF279=原始資料!AE279),N(AC279)+1,1))</f>
        <v/>
      </c>
      <c r="AE279" s="6">
        <f>IF(OR(原始資料!$A279="",30&gt;設定!$B$3,原始資料!AG279=""),"",IF(AND(原始資料!AF279&lt;&gt;"",原始資料!AG279=原始資料!AF279),N(AD279)+1,1))</f>
        <v/>
      </c>
      <c r="AF279" s="6">
        <f>IF(OR(原始資料!$A279="",31&gt;設定!$B$3,原始資料!AH279=""),"",IF(AND(原始資料!AG279&lt;&gt;"",原始資料!AH279=原始資料!AG279),N(AE279)+1,1))</f>
        <v/>
      </c>
      <c r="AG279" s="6">
        <f>IF(OR(原始資料!$A279="",32&gt;設定!$B$3,原始資料!AI279=""),"",IF(AND(原始資料!AH279&lt;&gt;"",原始資料!AI279=原始資料!AH279),N(AF279)+1,1))</f>
        <v/>
      </c>
      <c r="AH279" s="6">
        <f>IF(OR(原始資料!$A279="",33&gt;設定!$B$3,原始資料!AJ279=""),"",IF(AND(原始資料!AI279&lt;&gt;"",原始資料!AJ279=原始資料!AI279),N(AG279)+1,1))</f>
        <v/>
      </c>
      <c r="AI279" s="6">
        <f>IF(OR(原始資料!$A279="",34&gt;設定!$B$3,原始資料!AK279=""),"",IF(AND(原始資料!AJ279&lt;&gt;"",原始資料!AK279=原始資料!AJ279),N(AH279)+1,1))</f>
        <v/>
      </c>
      <c r="AJ279" s="6">
        <f>IF(OR(原始資料!$A279="",35&gt;設定!$B$3,原始資料!AL279=""),"",IF(AND(原始資料!AK279&lt;&gt;"",原始資料!AL279=原始資料!AK279),N(AI279)+1,1))</f>
        <v/>
      </c>
      <c r="AK279" s="6">
        <f>IF(OR(原始資料!$A279="",36&gt;設定!$B$3,原始資料!AM279=""),"",IF(AND(原始資料!AL279&lt;&gt;"",原始資料!AM279=原始資料!AL279),N(AJ279)+1,1))</f>
        <v/>
      </c>
      <c r="AL279" s="6">
        <f>IF(OR(原始資料!$A279="",37&gt;設定!$B$3,原始資料!AN279=""),"",IF(AND(原始資料!AM279&lt;&gt;"",原始資料!AN279=原始資料!AM279),N(AK279)+1,1))</f>
        <v/>
      </c>
      <c r="AM279" s="6">
        <f>IF(OR(原始資料!$A279="",38&gt;設定!$B$3,原始資料!AO279=""),"",IF(AND(原始資料!AN279&lt;&gt;"",原始資料!AO279=原始資料!AN279),N(AL279)+1,1))</f>
        <v/>
      </c>
      <c r="AN279" s="6">
        <f>IF(OR(原始資料!$A279="",39&gt;設定!$B$3,原始資料!AP279=""),"",IF(AND(原始資料!AO279&lt;&gt;"",原始資料!AP279=原始資料!AO279),N(AM279)+1,1))</f>
        <v/>
      </c>
      <c r="AO279" s="6">
        <f>IF(OR(原始資料!$A279="",40&gt;設定!$B$3,原始資料!AQ279=""),"",IF(AND(原始資料!AP279&lt;&gt;"",原始資料!AQ279=原始資料!AP279),N(AN279)+1,1))</f>
        <v/>
      </c>
      <c r="AP279" s="6">
        <f>IF(OR(原始資料!$A279="",41&gt;設定!$B$3,原始資料!AR279=""),"",IF(AND(原始資料!AQ279&lt;&gt;"",原始資料!AR279=原始資料!AQ279),N(AO279)+1,1))</f>
        <v/>
      </c>
      <c r="AQ279" s="6">
        <f>IF(OR(原始資料!$A279="",42&gt;設定!$B$3,原始資料!AS279=""),"",IF(AND(原始資料!AR279&lt;&gt;"",原始資料!AS279=原始資料!AR279),N(AP279)+1,1))</f>
        <v/>
      </c>
      <c r="AR279" s="6">
        <f>IF(OR(原始資料!$A279="",43&gt;設定!$B$3,原始資料!AT279=""),"",IF(AND(原始資料!AS279&lt;&gt;"",原始資料!AT279=原始資料!AS279),N(AQ279)+1,1))</f>
        <v/>
      </c>
      <c r="AS279" s="6">
        <f>IF(OR(原始資料!$A279="",44&gt;設定!$B$3,原始資料!AU279=""),"",IF(AND(原始資料!AT279&lt;&gt;"",原始資料!AU279=原始資料!AT279),N(AR279)+1,1))</f>
        <v/>
      </c>
      <c r="AT279" s="6">
        <f>IF(OR(原始資料!$A279="",45&gt;設定!$B$3,原始資料!AV279=""),"",IF(AND(原始資料!AU279&lt;&gt;"",原始資料!AV279=原始資料!AU279),N(AS279)+1,1))</f>
        <v/>
      </c>
      <c r="AU279" s="6">
        <f>IF(OR(原始資料!$A279="",46&gt;設定!$B$3,原始資料!AW279=""),"",IF(AND(原始資料!AV279&lt;&gt;"",原始資料!AW279=原始資料!AV279),N(AT279)+1,1))</f>
        <v/>
      </c>
      <c r="AV279" s="6">
        <f>IF(OR(原始資料!$A279="",47&gt;設定!$B$3,原始資料!AX279=""),"",IF(AND(原始資料!AW279&lt;&gt;"",原始資料!AX279=原始資料!AW279),N(AU279)+1,1))</f>
        <v/>
      </c>
      <c r="AW279" s="6">
        <f>IF(OR(原始資料!$A279="",48&gt;設定!$B$3,原始資料!AY279=""),"",IF(AND(原始資料!AX279&lt;&gt;"",原始資料!AY279=原始資料!AX279),N(AV279)+1,1))</f>
        <v/>
      </c>
      <c r="AX279" s="6">
        <f>IF(OR(原始資料!$A279="",49&gt;設定!$B$3,原始資料!AZ279=""),"",IF(AND(原始資料!AY279&lt;&gt;"",原始資料!AZ279=原始資料!AY279),N(AW279)+1,1))</f>
        <v/>
      </c>
      <c r="AY279" s="6">
        <f>IF(OR(原始資料!$A279="",50&gt;設定!$B$3,原始資料!BA279=""),"",IF(AND(原始資料!AZ279&lt;&gt;"",原始資料!BA279=原始資料!AZ279),N(AX279)+1,1))</f>
        <v/>
      </c>
      <c r="AZ279" s="6">
        <f>IF(OR(原始資料!$A279="",51&gt;設定!$B$3,原始資料!BB279=""),"",IF(AND(原始資料!BA279&lt;&gt;"",原始資料!BB279=原始資料!BA279),N(AY279)+1,1))</f>
        <v/>
      </c>
      <c r="BA279" s="6">
        <f>IF(OR(原始資料!$A279="",52&gt;設定!$B$3,原始資料!BC279=""),"",IF(AND(原始資料!BB279&lt;&gt;"",原始資料!BC279=原始資料!BB279),N(AZ279)+1,1))</f>
        <v/>
      </c>
      <c r="BB279" s="6">
        <f>IF(OR(原始資料!$A279="",53&gt;設定!$B$3,原始資料!BD279=""),"",IF(AND(原始資料!BC279&lt;&gt;"",原始資料!BD279=原始資料!BC279),N(BA279)+1,1))</f>
        <v/>
      </c>
      <c r="BC279" s="6">
        <f>IF(OR(原始資料!$A279="",54&gt;設定!$B$3,原始資料!BE279=""),"",IF(AND(原始資料!BD279&lt;&gt;"",原始資料!BE279=原始資料!BD279),N(BB279)+1,1))</f>
        <v/>
      </c>
      <c r="BD279" s="6">
        <f>IF(OR(原始資料!$A279="",55&gt;設定!$B$3,原始資料!BF279=""),"",IF(AND(原始資料!BE279&lt;&gt;"",原始資料!BF279=原始資料!BE279),N(BC279)+1,1))</f>
        <v/>
      </c>
      <c r="BE279" s="6">
        <f>IF(OR(原始資料!$A279="",56&gt;設定!$B$3,原始資料!BG279=""),"",IF(AND(原始資料!BF279&lt;&gt;"",原始資料!BG279=原始資料!BF279),N(BD279)+1,1))</f>
        <v/>
      </c>
      <c r="BF279" s="6">
        <f>IF(OR(原始資料!$A279="",57&gt;設定!$B$3,原始資料!BH279=""),"",IF(AND(原始資料!BG279&lt;&gt;"",原始資料!BH279=原始資料!BG279),N(BE279)+1,1))</f>
        <v/>
      </c>
      <c r="BG279" s="6">
        <f>IF(OR(原始資料!$A279="",58&gt;設定!$B$3,原始資料!BI279=""),"",IF(AND(原始資料!BH279&lt;&gt;"",原始資料!BI279=原始資料!BH279),N(BF279)+1,1))</f>
        <v/>
      </c>
      <c r="BH279" s="6">
        <f>IF(OR(原始資料!$A279="",59&gt;設定!$B$3,原始資料!BJ279=""),"",IF(AND(原始資料!BI279&lt;&gt;"",原始資料!BJ279=原始資料!BI279),N(BG279)+1,1))</f>
        <v/>
      </c>
      <c r="BI279" s="6">
        <f>IF(OR(原始資料!$A279="",60&gt;設定!$B$3,原始資料!BK279=""),"",IF(AND(原始資料!BJ279&lt;&gt;"",原始資料!BK279=原始資料!BJ279),N(BH279)+1,1))</f>
        <v/>
      </c>
    </row>
    <row r="280">
      <c r="A280" s="6">
        <f>IF(原始資料!$A280="","",原始資料!$A280)</f>
        <v/>
      </c>
      <c r="B280" s="6">
        <f>IF(OR(原始資料!$A280="",1&gt;設定!$B$3,原始資料!D280=""),"",1)</f>
        <v/>
      </c>
      <c r="C280" s="6">
        <f>IF(OR(原始資料!$A280="",2&gt;設定!$B$3,原始資料!E280=""),"",IF(AND(原始資料!D280&lt;&gt;"",原始資料!E280=原始資料!D280),N(B280)+1,1))</f>
        <v/>
      </c>
      <c r="D280" s="6">
        <f>IF(OR(原始資料!$A280="",3&gt;設定!$B$3,原始資料!F280=""),"",IF(AND(原始資料!E280&lt;&gt;"",原始資料!F280=原始資料!E280),N(C280)+1,1))</f>
        <v/>
      </c>
      <c r="E280" s="6">
        <f>IF(OR(原始資料!$A280="",4&gt;設定!$B$3,原始資料!G280=""),"",IF(AND(原始資料!F280&lt;&gt;"",原始資料!G280=原始資料!F280),N(D280)+1,1))</f>
        <v/>
      </c>
      <c r="F280" s="6">
        <f>IF(OR(原始資料!$A280="",5&gt;設定!$B$3,原始資料!H280=""),"",IF(AND(原始資料!G280&lt;&gt;"",原始資料!H280=原始資料!G280),N(E280)+1,1))</f>
        <v/>
      </c>
      <c r="G280" s="6">
        <f>IF(OR(原始資料!$A280="",6&gt;設定!$B$3,原始資料!I280=""),"",IF(AND(原始資料!H280&lt;&gt;"",原始資料!I280=原始資料!H280),N(F280)+1,1))</f>
        <v/>
      </c>
      <c r="H280" s="6">
        <f>IF(OR(原始資料!$A280="",7&gt;設定!$B$3,原始資料!J280=""),"",IF(AND(原始資料!I280&lt;&gt;"",原始資料!J280=原始資料!I280),N(G280)+1,1))</f>
        <v/>
      </c>
      <c r="I280" s="6">
        <f>IF(OR(原始資料!$A280="",8&gt;設定!$B$3,原始資料!K280=""),"",IF(AND(原始資料!J280&lt;&gt;"",原始資料!K280=原始資料!J280),N(H280)+1,1))</f>
        <v/>
      </c>
      <c r="J280" s="6">
        <f>IF(OR(原始資料!$A280="",9&gt;設定!$B$3,原始資料!L280=""),"",IF(AND(原始資料!K280&lt;&gt;"",原始資料!L280=原始資料!K280),N(I280)+1,1))</f>
        <v/>
      </c>
      <c r="K280" s="6">
        <f>IF(OR(原始資料!$A280="",10&gt;設定!$B$3,原始資料!M280=""),"",IF(AND(原始資料!L280&lt;&gt;"",原始資料!M280=原始資料!L280),N(J280)+1,1))</f>
        <v/>
      </c>
      <c r="L280" s="6">
        <f>IF(OR(原始資料!$A280="",11&gt;設定!$B$3,原始資料!N280=""),"",IF(AND(原始資料!M280&lt;&gt;"",原始資料!N280=原始資料!M280),N(K280)+1,1))</f>
        <v/>
      </c>
      <c r="M280" s="6">
        <f>IF(OR(原始資料!$A280="",12&gt;設定!$B$3,原始資料!O280=""),"",IF(AND(原始資料!N280&lt;&gt;"",原始資料!O280=原始資料!N280),N(L280)+1,1))</f>
        <v/>
      </c>
      <c r="N280" s="6">
        <f>IF(OR(原始資料!$A280="",13&gt;設定!$B$3,原始資料!P280=""),"",IF(AND(原始資料!O280&lt;&gt;"",原始資料!P280=原始資料!O280),N(M280)+1,1))</f>
        <v/>
      </c>
      <c r="O280" s="6">
        <f>IF(OR(原始資料!$A280="",14&gt;設定!$B$3,原始資料!Q280=""),"",IF(AND(原始資料!P280&lt;&gt;"",原始資料!Q280=原始資料!P280),N(N280)+1,1))</f>
        <v/>
      </c>
      <c r="P280" s="6">
        <f>IF(OR(原始資料!$A280="",15&gt;設定!$B$3,原始資料!R280=""),"",IF(AND(原始資料!Q280&lt;&gt;"",原始資料!R280=原始資料!Q280),N(O280)+1,1))</f>
        <v/>
      </c>
      <c r="Q280" s="6">
        <f>IF(OR(原始資料!$A280="",16&gt;設定!$B$3,原始資料!S280=""),"",IF(AND(原始資料!R280&lt;&gt;"",原始資料!S280=原始資料!R280),N(P280)+1,1))</f>
        <v/>
      </c>
      <c r="R280" s="6">
        <f>IF(OR(原始資料!$A280="",17&gt;設定!$B$3,原始資料!T280=""),"",IF(AND(原始資料!S280&lt;&gt;"",原始資料!T280=原始資料!S280),N(Q280)+1,1))</f>
        <v/>
      </c>
      <c r="S280" s="6">
        <f>IF(OR(原始資料!$A280="",18&gt;設定!$B$3,原始資料!U280=""),"",IF(AND(原始資料!T280&lt;&gt;"",原始資料!U280=原始資料!T280),N(R280)+1,1))</f>
        <v/>
      </c>
      <c r="T280" s="6">
        <f>IF(OR(原始資料!$A280="",19&gt;設定!$B$3,原始資料!V280=""),"",IF(AND(原始資料!U280&lt;&gt;"",原始資料!V280=原始資料!U280),N(S280)+1,1))</f>
        <v/>
      </c>
      <c r="U280" s="6">
        <f>IF(OR(原始資料!$A280="",20&gt;設定!$B$3,原始資料!W280=""),"",IF(AND(原始資料!V280&lt;&gt;"",原始資料!W280=原始資料!V280),N(T280)+1,1))</f>
        <v/>
      </c>
      <c r="V280" s="6">
        <f>IF(OR(原始資料!$A280="",21&gt;設定!$B$3,原始資料!X280=""),"",IF(AND(原始資料!W280&lt;&gt;"",原始資料!X280=原始資料!W280),N(U280)+1,1))</f>
        <v/>
      </c>
      <c r="W280" s="6">
        <f>IF(OR(原始資料!$A280="",22&gt;設定!$B$3,原始資料!Y280=""),"",IF(AND(原始資料!X280&lt;&gt;"",原始資料!Y280=原始資料!X280),N(V280)+1,1))</f>
        <v/>
      </c>
      <c r="X280" s="6">
        <f>IF(OR(原始資料!$A280="",23&gt;設定!$B$3,原始資料!Z280=""),"",IF(AND(原始資料!Y280&lt;&gt;"",原始資料!Z280=原始資料!Y280),N(W280)+1,1))</f>
        <v/>
      </c>
      <c r="Y280" s="6">
        <f>IF(OR(原始資料!$A280="",24&gt;設定!$B$3,原始資料!AA280=""),"",IF(AND(原始資料!Z280&lt;&gt;"",原始資料!AA280=原始資料!Z280),N(X280)+1,1))</f>
        <v/>
      </c>
      <c r="Z280" s="6">
        <f>IF(OR(原始資料!$A280="",25&gt;設定!$B$3,原始資料!AB280=""),"",IF(AND(原始資料!AA280&lt;&gt;"",原始資料!AB280=原始資料!AA280),N(Y280)+1,1))</f>
        <v/>
      </c>
      <c r="AA280" s="6">
        <f>IF(OR(原始資料!$A280="",26&gt;設定!$B$3,原始資料!AC280=""),"",IF(AND(原始資料!AB280&lt;&gt;"",原始資料!AC280=原始資料!AB280),N(Z280)+1,1))</f>
        <v/>
      </c>
      <c r="AB280" s="6">
        <f>IF(OR(原始資料!$A280="",27&gt;設定!$B$3,原始資料!AD280=""),"",IF(AND(原始資料!AC280&lt;&gt;"",原始資料!AD280=原始資料!AC280),N(AA280)+1,1))</f>
        <v/>
      </c>
      <c r="AC280" s="6">
        <f>IF(OR(原始資料!$A280="",28&gt;設定!$B$3,原始資料!AE280=""),"",IF(AND(原始資料!AD280&lt;&gt;"",原始資料!AE280=原始資料!AD280),N(AB280)+1,1))</f>
        <v/>
      </c>
      <c r="AD280" s="6">
        <f>IF(OR(原始資料!$A280="",29&gt;設定!$B$3,原始資料!AF280=""),"",IF(AND(原始資料!AE280&lt;&gt;"",原始資料!AF280=原始資料!AE280),N(AC280)+1,1))</f>
        <v/>
      </c>
      <c r="AE280" s="6">
        <f>IF(OR(原始資料!$A280="",30&gt;設定!$B$3,原始資料!AG280=""),"",IF(AND(原始資料!AF280&lt;&gt;"",原始資料!AG280=原始資料!AF280),N(AD280)+1,1))</f>
        <v/>
      </c>
      <c r="AF280" s="6">
        <f>IF(OR(原始資料!$A280="",31&gt;設定!$B$3,原始資料!AH280=""),"",IF(AND(原始資料!AG280&lt;&gt;"",原始資料!AH280=原始資料!AG280),N(AE280)+1,1))</f>
        <v/>
      </c>
      <c r="AG280" s="6">
        <f>IF(OR(原始資料!$A280="",32&gt;設定!$B$3,原始資料!AI280=""),"",IF(AND(原始資料!AH280&lt;&gt;"",原始資料!AI280=原始資料!AH280),N(AF280)+1,1))</f>
        <v/>
      </c>
      <c r="AH280" s="6">
        <f>IF(OR(原始資料!$A280="",33&gt;設定!$B$3,原始資料!AJ280=""),"",IF(AND(原始資料!AI280&lt;&gt;"",原始資料!AJ280=原始資料!AI280),N(AG280)+1,1))</f>
        <v/>
      </c>
      <c r="AI280" s="6">
        <f>IF(OR(原始資料!$A280="",34&gt;設定!$B$3,原始資料!AK280=""),"",IF(AND(原始資料!AJ280&lt;&gt;"",原始資料!AK280=原始資料!AJ280),N(AH280)+1,1))</f>
        <v/>
      </c>
      <c r="AJ280" s="6">
        <f>IF(OR(原始資料!$A280="",35&gt;設定!$B$3,原始資料!AL280=""),"",IF(AND(原始資料!AK280&lt;&gt;"",原始資料!AL280=原始資料!AK280),N(AI280)+1,1))</f>
        <v/>
      </c>
      <c r="AK280" s="6">
        <f>IF(OR(原始資料!$A280="",36&gt;設定!$B$3,原始資料!AM280=""),"",IF(AND(原始資料!AL280&lt;&gt;"",原始資料!AM280=原始資料!AL280),N(AJ280)+1,1))</f>
        <v/>
      </c>
      <c r="AL280" s="6">
        <f>IF(OR(原始資料!$A280="",37&gt;設定!$B$3,原始資料!AN280=""),"",IF(AND(原始資料!AM280&lt;&gt;"",原始資料!AN280=原始資料!AM280),N(AK280)+1,1))</f>
        <v/>
      </c>
      <c r="AM280" s="6">
        <f>IF(OR(原始資料!$A280="",38&gt;設定!$B$3,原始資料!AO280=""),"",IF(AND(原始資料!AN280&lt;&gt;"",原始資料!AO280=原始資料!AN280),N(AL280)+1,1))</f>
        <v/>
      </c>
      <c r="AN280" s="6">
        <f>IF(OR(原始資料!$A280="",39&gt;設定!$B$3,原始資料!AP280=""),"",IF(AND(原始資料!AO280&lt;&gt;"",原始資料!AP280=原始資料!AO280),N(AM280)+1,1))</f>
        <v/>
      </c>
      <c r="AO280" s="6">
        <f>IF(OR(原始資料!$A280="",40&gt;設定!$B$3,原始資料!AQ280=""),"",IF(AND(原始資料!AP280&lt;&gt;"",原始資料!AQ280=原始資料!AP280),N(AN280)+1,1))</f>
        <v/>
      </c>
      <c r="AP280" s="6">
        <f>IF(OR(原始資料!$A280="",41&gt;設定!$B$3,原始資料!AR280=""),"",IF(AND(原始資料!AQ280&lt;&gt;"",原始資料!AR280=原始資料!AQ280),N(AO280)+1,1))</f>
        <v/>
      </c>
      <c r="AQ280" s="6">
        <f>IF(OR(原始資料!$A280="",42&gt;設定!$B$3,原始資料!AS280=""),"",IF(AND(原始資料!AR280&lt;&gt;"",原始資料!AS280=原始資料!AR280),N(AP280)+1,1))</f>
        <v/>
      </c>
      <c r="AR280" s="6">
        <f>IF(OR(原始資料!$A280="",43&gt;設定!$B$3,原始資料!AT280=""),"",IF(AND(原始資料!AS280&lt;&gt;"",原始資料!AT280=原始資料!AS280),N(AQ280)+1,1))</f>
        <v/>
      </c>
      <c r="AS280" s="6">
        <f>IF(OR(原始資料!$A280="",44&gt;設定!$B$3,原始資料!AU280=""),"",IF(AND(原始資料!AT280&lt;&gt;"",原始資料!AU280=原始資料!AT280),N(AR280)+1,1))</f>
        <v/>
      </c>
      <c r="AT280" s="6">
        <f>IF(OR(原始資料!$A280="",45&gt;設定!$B$3,原始資料!AV280=""),"",IF(AND(原始資料!AU280&lt;&gt;"",原始資料!AV280=原始資料!AU280),N(AS280)+1,1))</f>
        <v/>
      </c>
      <c r="AU280" s="6">
        <f>IF(OR(原始資料!$A280="",46&gt;設定!$B$3,原始資料!AW280=""),"",IF(AND(原始資料!AV280&lt;&gt;"",原始資料!AW280=原始資料!AV280),N(AT280)+1,1))</f>
        <v/>
      </c>
      <c r="AV280" s="6">
        <f>IF(OR(原始資料!$A280="",47&gt;設定!$B$3,原始資料!AX280=""),"",IF(AND(原始資料!AW280&lt;&gt;"",原始資料!AX280=原始資料!AW280),N(AU280)+1,1))</f>
        <v/>
      </c>
      <c r="AW280" s="6">
        <f>IF(OR(原始資料!$A280="",48&gt;設定!$B$3,原始資料!AY280=""),"",IF(AND(原始資料!AX280&lt;&gt;"",原始資料!AY280=原始資料!AX280),N(AV280)+1,1))</f>
        <v/>
      </c>
      <c r="AX280" s="6">
        <f>IF(OR(原始資料!$A280="",49&gt;設定!$B$3,原始資料!AZ280=""),"",IF(AND(原始資料!AY280&lt;&gt;"",原始資料!AZ280=原始資料!AY280),N(AW280)+1,1))</f>
        <v/>
      </c>
      <c r="AY280" s="6">
        <f>IF(OR(原始資料!$A280="",50&gt;設定!$B$3,原始資料!BA280=""),"",IF(AND(原始資料!AZ280&lt;&gt;"",原始資料!BA280=原始資料!AZ280),N(AX280)+1,1))</f>
        <v/>
      </c>
      <c r="AZ280" s="6">
        <f>IF(OR(原始資料!$A280="",51&gt;設定!$B$3,原始資料!BB280=""),"",IF(AND(原始資料!BA280&lt;&gt;"",原始資料!BB280=原始資料!BA280),N(AY280)+1,1))</f>
        <v/>
      </c>
      <c r="BA280" s="6">
        <f>IF(OR(原始資料!$A280="",52&gt;設定!$B$3,原始資料!BC280=""),"",IF(AND(原始資料!BB280&lt;&gt;"",原始資料!BC280=原始資料!BB280),N(AZ280)+1,1))</f>
        <v/>
      </c>
      <c r="BB280" s="6">
        <f>IF(OR(原始資料!$A280="",53&gt;設定!$B$3,原始資料!BD280=""),"",IF(AND(原始資料!BC280&lt;&gt;"",原始資料!BD280=原始資料!BC280),N(BA280)+1,1))</f>
        <v/>
      </c>
      <c r="BC280" s="6">
        <f>IF(OR(原始資料!$A280="",54&gt;設定!$B$3,原始資料!BE280=""),"",IF(AND(原始資料!BD280&lt;&gt;"",原始資料!BE280=原始資料!BD280),N(BB280)+1,1))</f>
        <v/>
      </c>
      <c r="BD280" s="6">
        <f>IF(OR(原始資料!$A280="",55&gt;設定!$B$3,原始資料!BF280=""),"",IF(AND(原始資料!BE280&lt;&gt;"",原始資料!BF280=原始資料!BE280),N(BC280)+1,1))</f>
        <v/>
      </c>
      <c r="BE280" s="6">
        <f>IF(OR(原始資料!$A280="",56&gt;設定!$B$3,原始資料!BG280=""),"",IF(AND(原始資料!BF280&lt;&gt;"",原始資料!BG280=原始資料!BF280),N(BD280)+1,1))</f>
        <v/>
      </c>
      <c r="BF280" s="6">
        <f>IF(OR(原始資料!$A280="",57&gt;設定!$B$3,原始資料!BH280=""),"",IF(AND(原始資料!BG280&lt;&gt;"",原始資料!BH280=原始資料!BG280),N(BE280)+1,1))</f>
        <v/>
      </c>
      <c r="BG280" s="6">
        <f>IF(OR(原始資料!$A280="",58&gt;設定!$B$3,原始資料!BI280=""),"",IF(AND(原始資料!BH280&lt;&gt;"",原始資料!BI280=原始資料!BH280),N(BF280)+1,1))</f>
        <v/>
      </c>
      <c r="BH280" s="6">
        <f>IF(OR(原始資料!$A280="",59&gt;設定!$B$3,原始資料!BJ280=""),"",IF(AND(原始資料!BI280&lt;&gt;"",原始資料!BJ280=原始資料!BI280),N(BG280)+1,1))</f>
        <v/>
      </c>
      <c r="BI280" s="6">
        <f>IF(OR(原始資料!$A280="",60&gt;設定!$B$3,原始資料!BK280=""),"",IF(AND(原始資料!BJ280&lt;&gt;"",原始資料!BK280=原始資料!BJ280),N(BH280)+1,1))</f>
        <v/>
      </c>
    </row>
    <row r="281">
      <c r="A281" s="6">
        <f>IF(原始資料!$A281="","",原始資料!$A281)</f>
        <v/>
      </c>
      <c r="B281" s="6">
        <f>IF(OR(原始資料!$A281="",1&gt;設定!$B$3,原始資料!D281=""),"",1)</f>
        <v/>
      </c>
      <c r="C281" s="6">
        <f>IF(OR(原始資料!$A281="",2&gt;設定!$B$3,原始資料!E281=""),"",IF(AND(原始資料!D281&lt;&gt;"",原始資料!E281=原始資料!D281),N(B281)+1,1))</f>
        <v/>
      </c>
      <c r="D281" s="6">
        <f>IF(OR(原始資料!$A281="",3&gt;設定!$B$3,原始資料!F281=""),"",IF(AND(原始資料!E281&lt;&gt;"",原始資料!F281=原始資料!E281),N(C281)+1,1))</f>
        <v/>
      </c>
      <c r="E281" s="6">
        <f>IF(OR(原始資料!$A281="",4&gt;設定!$B$3,原始資料!G281=""),"",IF(AND(原始資料!F281&lt;&gt;"",原始資料!G281=原始資料!F281),N(D281)+1,1))</f>
        <v/>
      </c>
      <c r="F281" s="6">
        <f>IF(OR(原始資料!$A281="",5&gt;設定!$B$3,原始資料!H281=""),"",IF(AND(原始資料!G281&lt;&gt;"",原始資料!H281=原始資料!G281),N(E281)+1,1))</f>
        <v/>
      </c>
      <c r="G281" s="6">
        <f>IF(OR(原始資料!$A281="",6&gt;設定!$B$3,原始資料!I281=""),"",IF(AND(原始資料!H281&lt;&gt;"",原始資料!I281=原始資料!H281),N(F281)+1,1))</f>
        <v/>
      </c>
      <c r="H281" s="6">
        <f>IF(OR(原始資料!$A281="",7&gt;設定!$B$3,原始資料!J281=""),"",IF(AND(原始資料!I281&lt;&gt;"",原始資料!J281=原始資料!I281),N(G281)+1,1))</f>
        <v/>
      </c>
      <c r="I281" s="6">
        <f>IF(OR(原始資料!$A281="",8&gt;設定!$B$3,原始資料!K281=""),"",IF(AND(原始資料!J281&lt;&gt;"",原始資料!K281=原始資料!J281),N(H281)+1,1))</f>
        <v/>
      </c>
      <c r="J281" s="6">
        <f>IF(OR(原始資料!$A281="",9&gt;設定!$B$3,原始資料!L281=""),"",IF(AND(原始資料!K281&lt;&gt;"",原始資料!L281=原始資料!K281),N(I281)+1,1))</f>
        <v/>
      </c>
      <c r="K281" s="6">
        <f>IF(OR(原始資料!$A281="",10&gt;設定!$B$3,原始資料!M281=""),"",IF(AND(原始資料!L281&lt;&gt;"",原始資料!M281=原始資料!L281),N(J281)+1,1))</f>
        <v/>
      </c>
      <c r="L281" s="6">
        <f>IF(OR(原始資料!$A281="",11&gt;設定!$B$3,原始資料!N281=""),"",IF(AND(原始資料!M281&lt;&gt;"",原始資料!N281=原始資料!M281),N(K281)+1,1))</f>
        <v/>
      </c>
      <c r="M281" s="6">
        <f>IF(OR(原始資料!$A281="",12&gt;設定!$B$3,原始資料!O281=""),"",IF(AND(原始資料!N281&lt;&gt;"",原始資料!O281=原始資料!N281),N(L281)+1,1))</f>
        <v/>
      </c>
      <c r="N281" s="6">
        <f>IF(OR(原始資料!$A281="",13&gt;設定!$B$3,原始資料!P281=""),"",IF(AND(原始資料!O281&lt;&gt;"",原始資料!P281=原始資料!O281),N(M281)+1,1))</f>
        <v/>
      </c>
      <c r="O281" s="6">
        <f>IF(OR(原始資料!$A281="",14&gt;設定!$B$3,原始資料!Q281=""),"",IF(AND(原始資料!P281&lt;&gt;"",原始資料!Q281=原始資料!P281),N(N281)+1,1))</f>
        <v/>
      </c>
      <c r="P281" s="6">
        <f>IF(OR(原始資料!$A281="",15&gt;設定!$B$3,原始資料!R281=""),"",IF(AND(原始資料!Q281&lt;&gt;"",原始資料!R281=原始資料!Q281),N(O281)+1,1))</f>
        <v/>
      </c>
      <c r="Q281" s="6">
        <f>IF(OR(原始資料!$A281="",16&gt;設定!$B$3,原始資料!S281=""),"",IF(AND(原始資料!R281&lt;&gt;"",原始資料!S281=原始資料!R281),N(P281)+1,1))</f>
        <v/>
      </c>
      <c r="R281" s="6">
        <f>IF(OR(原始資料!$A281="",17&gt;設定!$B$3,原始資料!T281=""),"",IF(AND(原始資料!S281&lt;&gt;"",原始資料!T281=原始資料!S281),N(Q281)+1,1))</f>
        <v/>
      </c>
      <c r="S281" s="6">
        <f>IF(OR(原始資料!$A281="",18&gt;設定!$B$3,原始資料!U281=""),"",IF(AND(原始資料!T281&lt;&gt;"",原始資料!U281=原始資料!T281),N(R281)+1,1))</f>
        <v/>
      </c>
      <c r="T281" s="6">
        <f>IF(OR(原始資料!$A281="",19&gt;設定!$B$3,原始資料!V281=""),"",IF(AND(原始資料!U281&lt;&gt;"",原始資料!V281=原始資料!U281),N(S281)+1,1))</f>
        <v/>
      </c>
      <c r="U281" s="6">
        <f>IF(OR(原始資料!$A281="",20&gt;設定!$B$3,原始資料!W281=""),"",IF(AND(原始資料!V281&lt;&gt;"",原始資料!W281=原始資料!V281),N(T281)+1,1))</f>
        <v/>
      </c>
      <c r="V281" s="6">
        <f>IF(OR(原始資料!$A281="",21&gt;設定!$B$3,原始資料!X281=""),"",IF(AND(原始資料!W281&lt;&gt;"",原始資料!X281=原始資料!W281),N(U281)+1,1))</f>
        <v/>
      </c>
      <c r="W281" s="6">
        <f>IF(OR(原始資料!$A281="",22&gt;設定!$B$3,原始資料!Y281=""),"",IF(AND(原始資料!X281&lt;&gt;"",原始資料!Y281=原始資料!X281),N(V281)+1,1))</f>
        <v/>
      </c>
      <c r="X281" s="6">
        <f>IF(OR(原始資料!$A281="",23&gt;設定!$B$3,原始資料!Z281=""),"",IF(AND(原始資料!Y281&lt;&gt;"",原始資料!Z281=原始資料!Y281),N(W281)+1,1))</f>
        <v/>
      </c>
      <c r="Y281" s="6">
        <f>IF(OR(原始資料!$A281="",24&gt;設定!$B$3,原始資料!AA281=""),"",IF(AND(原始資料!Z281&lt;&gt;"",原始資料!AA281=原始資料!Z281),N(X281)+1,1))</f>
        <v/>
      </c>
      <c r="Z281" s="6">
        <f>IF(OR(原始資料!$A281="",25&gt;設定!$B$3,原始資料!AB281=""),"",IF(AND(原始資料!AA281&lt;&gt;"",原始資料!AB281=原始資料!AA281),N(Y281)+1,1))</f>
        <v/>
      </c>
      <c r="AA281" s="6">
        <f>IF(OR(原始資料!$A281="",26&gt;設定!$B$3,原始資料!AC281=""),"",IF(AND(原始資料!AB281&lt;&gt;"",原始資料!AC281=原始資料!AB281),N(Z281)+1,1))</f>
        <v/>
      </c>
      <c r="AB281" s="6">
        <f>IF(OR(原始資料!$A281="",27&gt;設定!$B$3,原始資料!AD281=""),"",IF(AND(原始資料!AC281&lt;&gt;"",原始資料!AD281=原始資料!AC281),N(AA281)+1,1))</f>
        <v/>
      </c>
      <c r="AC281" s="6">
        <f>IF(OR(原始資料!$A281="",28&gt;設定!$B$3,原始資料!AE281=""),"",IF(AND(原始資料!AD281&lt;&gt;"",原始資料!AE281=原始資料!AD281),N(AB281)+1,1))</f>
        <v/>
      </c>
      <c r="AD281" s="6">
        <f>IF(OR(原始資料!$A281="",29&gt;設定!$B$3,原始資料!AF281=""),"",IF(AND(原始資料!AE281&lt;&gt;"",原始資料!AF281=原始資料!AE281),N(AC281)+1,1))</f>
        <v/>
      </c>
      <c r="AE281" s="6">
        <f>IF(OR(原始資料!$A281="",30&gt;設定!$B$3,原始資料!AG281=""),"",IF(AND(原始資料!AF281&lt;&gt;"",原始資料!AG281=原始資料!AF281),N(AD281)+1,1))</f>
        <v/>
      </c>
      <c r="AF281" s="6">
        <f>IF(OR(原始資料!$A281="",31&gt;設定!$B$3,原始資料!AH281=""),"",IF(AND(原始資料!AG281&lt;&gt;"",原始資料!AH281=原始資料!AG281),N(AE281)+1,1))</f>
        <v/>
      </c>
      <c r="AG281" s="6">
        <f>IF(OR(原始資料!$A281="",32&gt;設定!$B$3,原始資料!AI281=""),"",IF(AND(原始資料!AH281&lt;&gt;"",原始資料!AI281=原始資料!AH281),N(AF281)+1,1))</f>
        <v/>
      </c>
      <c r="AH281" s="6">
        <f>IF(OR(原始資料!$A281="",33&gt;設定!$B$3,原始資料!AJ281=""),"",IF(AND(原始資料!AI281&lt;&gt;"",原始資料!AJ281=原始資料!AI281),N(AG281)+1,1))</f>
        <v/>
      </c>
      <c r="AI281" s="6">
        <f>IF(OR(原始資料!$A281="",34&gt;設定!$B$3,原始資料!AK281=""),"",IF(AND(原始資料!AJ281&lt;&gt;"",原始資料!AK281=原始資料!AJ281),N(AH281)+1,1))</f>
        <v/>
      </c>
      <c r="AJ281" s="6">
        <f>IF(OR(原始資料!$A281="",35&gt;設定!$B$3,原始資料!AL281=""),"",IF(AND(原始資料!AK281&lt;&gt;"",原始資料!AL281=原始資料!AK281),N(AI281)+1,1))</f>
        <v/>
      </c>
      <c r="AK281" s="6">
        <f>IF(OR(原始資料!$A281="",36&gt;設定!$B$3,原始資料!AM281=""),"",IF(AND(原始資料!AL281&lt;&gt;"",原始資料!AM281=原始資料!AL281),N(AJ281)+1,1))</f>
        <v/>
      </c>
      <c r="AL281" s="6">
        <f>IF(OR(原始資料!$A281="",37&gt;設定!$B$3,原始資料!AN281=""),"",IF(AND(原始資料!AM281&lt;&gt;"",原始資料!AN281=原始資料!AM281),N(AK281)+1,1))</f>
        <v/>
      </c>
      <c r="AM281" s="6">
        <f>IF(OR(原始資料!$A281="",38&gt;設定!$B$3,原始資料!AO281=""),"",IF(AND(原始資料!AN281&lt;&gt;"",原始資料!AO281=原始資料!AN281),N(AL281)+1,1))</f>
        <v/>
      </c>
      <c r="AN281" s="6">
        <f>IF(OR(原始資料!$A281="",39&gt;設定!$B$3,原始資料!AP281=""),"",IF(AND(原始資料!AO281&lt;&gt;"",原始資料!AP281=原始資料!AO281),N(AM281)+1,1))</f>
        <v/>
      </c>
      <c r="AO281" s="6">
        <f>IF(OR(原始資料!$A281="",40&gt;設定!$B$3,原始資料!AQ281=""),"",IF(AND(原始資料!AP281&lt;&gt;"",原始資料!AQ281=原始資料!AP281),N(AN281)+1,1))</f>
        <v/>
      </c>
      <c r="AP281" s="6">
        <f>IF(OR(原始資料!$A281="",41&gt;設定!$B$3,原始資料!AR281=""),"",IF(AND(原始資料!AQ281&lt;&gt;"",原始資料!AR281=原始資料!AQ281),N(AO281)+1,1))</f>
        <v/>
      </c>
      <c r="AQ281" s="6">
        <f>IF(OR(原始資料!$A281="",42&gt;設定!$B$3,原始資料!AS281=""),"",IF(AND(原始資料!AR281&lt;&gt;"",原始資料!AS281=原始資料!AR281),N(AP281)+1,1))</f>
        <v/>
      </c>
      <c r="AR281" s="6">
        <f>IF(OR(原始資料!$A281="",43&gt;設定!$B$3,原始資料!AT281=""),"",IF(AND(原始資料!AS281&lt;&gt;"",原始資料!AT281=原始資料!AS281),N(AQ281)+1,1))</f>
        <v/>
      </c>
      <c r="AS281" s="6">
        <f>IF(OR(原始資料!$A281="",44&gt;設定!$B$3,原始資料!AU281=""),"",IF(AND(原始資料!AT281&lt;&gt;"",原始資料!AU281=原始資料!AT281),N(AR281)+1,1))</f>
        <v/>
      </c>
      <c r="AT281" s="6">
        <f>IF(OR(原始資料!$A281="",45&gt;設定!$B$3,原始資料!AV281=""),"",IF(AND(原始資料!AU281&lt;&gt;"",原始資料!AV281=原始資料!AU281),N(AS281)+1,1))</f>
        <v/>
      </c>
      <c r="AU281" s="6">
        <f>IF(OR(原始資料!$A281="",46&gt;設定!$B$3,原始資料!AW281=""),"",IF(AND(原始資料!AV281&lt;&gt;"",原始資料!AW281=原始資料!AV281),N(AT281)+1,1))</f>
        <v/>
      </c>
      <c r="AV281" s="6">
        <f>IF(OR(原始資料!$A281="",47&gt;設定!$B$3,原始資料!AX281=""),"",IF(AND(原始資料!AW281&lt;&gt;"",原始資料!AX281=原始資料!AW281),N(AU281)+1,1))</f>
        <v/>
      </c>
      <c r="AW281" s="6">
        <f>IF(OR(原始資料!$A281="",48&gt;設定!$B$3,原始資料!AY281=""),"",IF(AND(原始資料!AX281&lt;&gt;"",原始資料!AY281=原始資料!AX281),N(AV281)+1,1))</f>
        <v/>
      </c>
      <c r="AX281" s="6">
        <f>IF(OR(原始資料!$A281="",49&gt;設定!$B$3,原始資料!AZ281=""),"",IF(AND(原始資料!AY281&lt;&gt;"",原始資料!AZ281=原始資料!AY281),N(AW281)+1,1))</f>
        <v/>
      </c>
      <c r="AY281" s="6">
        <f>IF(OR(原始資料!$A281="",50&gt;設定!$B$3,原始資料!BA281=""),"",IF(AND(原始資料!AZ281&lt;&gt;"",原始資料!BA281=原始資料!AZ281),N(AX281)+1,1))</f>
        <v/>
      </c>
      <c r="AZ281" s="6">
        <f>IF(OR(原始資料!$A281="",51&gt;設定!$B$3,原始資料!BB281=""),"",IF(AND(原始資料!BA281&lt;&gt;"",原始資料!BB281=原始資料!BA281),N(AY281)+1,1))</f>
        <v/>
      </c>
      <c r="BA281" s="6">
        <f>IF(OR(原始資料!$A281="",52&gt;設定!$B$3,原始資料!BC281=""),"",IF(AND(原始資料!BB281&lt;&gt;"",原始資料!BC281=原始資料!BB281),N(AZ281)+1,1))</f>
        <v/>
      </c>
      <c r="BB281" s="6">
        <f>IF(OR(原始資料!$A281="",53&gt;設定!$B$3,原始資料!BD281=""),"",IF(AND(原始資料!BC281&lt;&gt;"",原始資料!BD281=原始資料!BC281),N(BA281)+1,1))</f>
        <v/>
      </c>
      <c r="BC281" s="6">
        <f>IF(OR(原始資料!$A281="",54&gt;設定!$B$3,原始資料!BE281=""),"",IF(AND(原始資料!BD281&lt;&gt;"",原始資料!BE281=原始資料!BD281),N(BB281)+1,1))</f>
        <v/>
      </c>
      <c r="BD281" s="6">
        <f>IF(OR(原始資料!$A281="",55&gt;設定!$B$3,原始資料!BF281=""),"",IF(AND(原始資料!BE281&lt;&gt;"",原始資料!BF281=原始資料!BE281),N(BC281)+1,1))</f>
        <v/>
      </c>
      <c r="BE281" s="6">
        <f>IF(OR(原始資料!$A281="",56&gt;設定!$B$3,原始資料!BG281=""),"",IF(AND(原始資料!BF281&lt;&gt;"",原始資料!BG281=原始資料!BF281),N(BD281)+1,1))</f>
        <v/>
      </c>
      <c r="BF281" s="6">
        <f>IF(OR(原始資料!$A281="",57&gt;設定!$B$3,原始資料!BH281=""),"",IF(AND(原始資料!BG281&lt;&gt;"",原始資料!BH281=原始資料!BG281),N(BE281)+1,1))</f>
        <v/>
      </c>
      <c r="BG281" s="6">
        <f>IF(OR(原始資料!$A281="",58&gt;設定!$B$3,原始資料!BI281=""),"",IF(AND(原始資料!BH281&lt;&gt;"",原始資料!BI281=原始資料!BH281),N(BF281)+1,1))</f>
        <v/>
      </c>
      <c r="BH281" s="6">
        <f>IF(OR(原始資料!$A281="",59&gt;設定!$B$3,原始資料!BJ281=""),"",IF(AND(原始資料!BI281&lt;&gt;"",原始資料!BJ281=原始資料!BI281),N(BG281)+1,1))</f>
        <v/>
      </c>
      <c r="BI281" s="6">
        <f>IF(OR(原始資料!$A281="",60&gt;設定!$B$3,原始資料!BK281=""),"",IF(AND(原始資料!BJ281&lt;&gt;"",原始資料!BK281=原始資料!BJ281),N(BH281)+1,1))</f>
        <v/>
      </c>
    </row>
    <row r="282">
      <c r="A282" s="6">
        <f>IF(原始資料!$A282="","",原始資料!$A282)</f>
        <v/>
      </c>
      <c r="B282" s="6">
        <f>IF(OR(原始資料!$A282="",1&gt;設定!$B$3,原始資料!D282=""),"",1)</f>
        <v/>
      </c>
      <c r="C282" s="6">
        <f>IF(OR(原始資料!$A282="",2&gt;設定!$B$3,原始資料!E282=""),"",IF(AND(原始資料!D282&lt;&gt;"",原始資料!E282=原始資料!D282),N(B282)+1,1))</f>
        <v/>
      </c>
      <c r="D282" s="6">
        <f>IF(OR(原始資料!$A282="",3&gt;設定!$B$3,原始資料!F282=""),"",IF(AND(原始資料!E282&lt;&gt;"",原始資料!F282=原始資料!E282),N(C282)+1,1))</f>
        <v/>
      </c>
      <c r="E282" s="6">
        <f>IF(OR(原始資料!$A282="",4&gt;設定!$B$3,原始資料!G282=""),"",IF(AND(原始資料!F282&lt;&gt;"",原始資料!G282=原始資料!F282),N(D282)+1,1))</f>
        <v/>
      </c>
      <c r="F282" s="6">
        <f>IF(OR(原始資料!$A282="",5&gt;設定!$B$3,原始資料!H282=""),"",IF(AND(原始資料!G282&lt;&gt;"",原始資料!H282=原始資料!G282),N(E282)+1,1))</f>
        <v/>
      </c>
      <c r="G282" s="6">
        <f>IF(OR(原始資料!$A282="",6&gt;設定!$B$3,原始資料!I282=""),"",IF(AND(原始資料!H282&lt;&gt;"",原始資料!I282=原始資料!H282),N(F282)+1,1))</f>
        <v/>
      </c>
      <c r="H282" s="6">
        <f>IF(OR(原始資料!$A282="",7&gt;設定!$B$3,原始資料!J282=""),"",IF(AND(原始資料!I282&lt;&gt;"",原始資料!J282=原始資料!I282),N(G282)+1,1))</f>
        <v/>
      </c>
      <c r="I282" s="6">
        <f>IF(OR(原始資料!$A282="",8&gt;設定!$B$3,原始資料!K282=""),"",IF(AND(原始資料!J282&lt;&gt;"",原始資料!K282=原始資料!J282),N(H282)+1,1))</f>
        <v/>
      </c>
      <c r="J282" s="6">
        <f>IF(OR(原始資料!$A282="",9&gt;設定!$B$3,原始資料!L282=""),"",IF(AND(原始資料!K282&lt;&gt;"",原始資料!L282=原始資料!K282),N(I282)+1,1))</f>
        <v/>
      </c>
      <c r="K282" s="6">
        <f>IF(OR(原始資料!$A282="",10&gt;設定!$B$3,原始資料!M282=""),"",IF(AND(原始資料!L282&lt;&gt;"",原始資料!M282=原始資料!L282),N(J282)+1,1))</f>
        <v/>
      </c>
      <c r="L282" s="6">
        <f>IF(OR(原始資料!$A282="",11&gt;設定!$B$3,原始資料!N282=""),"",IF(AND(原始資料!M282&lt;&gt;"",原始資料!N282=原始資料!M282),N(K282)+1,1))</f>
        <v/>
      </c>
      <c r="M282" s="6">
        <f>IF(OR(原始資料!$A282="",12&gt;設定!$B$3,原始資料!O282=""),"",IF(AND(原始資料!N282&lt;&gt;"",原始資料!O282=原始資料!N282),N(L282)+1,1))</f>
        <v/>
      </c>
      <c r="N282" s="6">
        <f>IF(OR(原始資料!$A282="",13&gt;設定!$B$3,原始資料!P282=""),"",IF(AND(原始資料!O282&lt;&gt;"",原始資料!P282=原始資料!O282),N(M282)+1,1))</f>
        <v/>
      </c>
      <c r="O282" s="6">
        <f>IF(OR(原始資料!$A282="",14&gt;設定!$B$3,原始資料!Q282=""),"",IF(AND(原始資料!P282&lt;&gt;"",原始資料!Q282=原始資料!P282),N(N282)+1,1))</f>
        <v/>
      </c>
      <c r="P282" s="6">
        <f>IF(OR(原始資料!$A282="",15&gt;設定!$B$3,原始資料!R282=""),"",IF(AND(原始資料!Q282&lt;&gt;"",原始資料!R282=原始資料!Q282),N(O282)+1,1))</f>
        <v/>
      </c>
      <c r="Q282" s="6">
        <f>IF(OR(原始資料!$A282="",16&gt;設定!$B$3,原始資料!S282=""),"",IF(AND(原始資料!R282&lt;&gt;"",原始資料!S282=原始資料!R282),N(P282)+1,1))</f>
        <v/>
      </c>
      <c r="R282" s="6">
        <f>IF(OR(原始資料!$A282="",17&gt;設定!$B$3,原始資料!T282=""),"",IF(AND(原始資料!S282&lt;&gt;"",原始資料!T282=原始資料!S282),N(Q282)+1,1))</f>
        <v/>
      </c>
      <c r="S282" s="6">
        <f>IF(OR(原始資料!$A282="",18&gt;設定!$B$3,原始資料!U282=""),"",IF(AND(原始資料!T282&lt;&gt;"",原始資料!U282=原始資料!T282),N(R282)+1,1))</f>
        <v/>
      </c>
      <c r="T282" s="6">
        <f>IF(OR(原始資料!$A282="",19&gt;設定!$B$3,原始資料!V282=""),"",IF(AND(原始資料!U282&lt;&gt;"",原始資料!V282=原始資料!U282),N(S282)+1,1))</f>
        <v/>
      </c>
      <c r="U282" s="6">
        <f>IF(OR(原始資料!$A282="",20&gt;設定!$B$3,原始資料!W282=""),"",IF(AND(原始資料!V282&lt;&gt;"",原始資料!W282=原始資料!V282),N(T282)+1,1))</f>
        <v/>
      </c>
      <c r="V282" s="6">
        <f>IF(OR(原始資料!$A282="",21&gt;設定!$B$3,原始資料!X282=""),"",IF(AND(原始資料!W282&lt;&gt;"",原始資料!X282=原始資料!W282),N(U282)+1,1))</f>
        <v/>
      </c>
      <c r="W282" s="6">
        <f>IF(OR(原始資料!$A282="",22&gt;設定!$B$3,原始資料!Y282=""),"",IF(AND(原始資料!X282&lt;&gt;"",原始資料!Y282=原始資料!X282),N(V282)+1,1))</f>
        <v/>
      </c>
      <c r="X282" s="6">
        <f>IF(OR(原始資料!$A282="",23&gt;設定!$B$3,原始資料!Z282=""),"",IF(AND(原始資料!Y282&lt;&gt;"",原始資料!Z282=原始資料!Y282),N(W282)+1,1))</f>
        <v/>
      </c>
      <c r="Y282" s="6">
        <f>IF(OR(原始資料!$A282="",24&gt;設定!$B$3,原始資料!AA282=""),"",IF(AND(原始資料!Z282&lt;&gt;"",原始資料!AA282=原始資料!Z282),N(X282)+1,1))</f>
        <v/>
      </c>
      <c r="Z282" s="6">
        <f>IF(OR(原始資料!$A282="",25&gt;設定!$B$3,原始資料!AB282=""),"",IF(AND(原始資料!AA282&lt;&gt;"",原始資料!AB282=原始資料!AA282),N(Y282)+1,1))</f>
        <v/>
      </c>
      <c r="AA282" s="6">
        <f>IF(OR(原始資料!$A282="",26&gt;設定!$B$3,原始資料!AC282=""),"",IF(AND(原始資料!AB282&lt;&gt;"",原始資料!AC282=原始資料!AB282),N(Z282)+1,1))</f>
        <v/>
      </c>
      <c r="AB282" s="6">
        <f>IF(OR(原始資料!$A282="",27&gt;設定!$B$3,原始資料!AD282=""),"",IF(AND(原始資料!AC282&lt;&gt;"",原始資料!AD282=原始資料!AC282),N(AA282)+1,1))</f>
        <v/>
      </c>
      <c r="AC282" s="6">
        <f>IF(OR(原始資料!$A282="",28&gt;設定!$B$3,原始資料!AE282=""),"",IF(AND(原始資料!AD282&lt;&gt;"",原始資料!AE282=原始資料!AD282),N(AB282)+1,1))</f>
        <v/>
      </c>
      <c r="AD282" s="6">
        <f>IF(OR(原始資料!$A282="",29&gt;設定!$B$3,原始資料!AF282=""),"",IF(AND(原始資料!AE282&lt;&gt;"",原始資料!AF282=原始資料!AE282),N(AC282)+1,1))</f>
        <v/>
      </c>
      <c r="AE282" s="6">
        <f>IF(OR(原始資料!$A282="",30&gt;設定!$B$3,原始資料!AG282=""),"",IF(AND(原始資料!AF282&lt;&gt;"",原始資料!AG282=原始資料!AF282),N(AD282)+1,1))</f>
        <v/>
      </c>
      <c r="AF282" s="6">
        <f>IF(OR(原始資料!$A282="",31&gt;設定!$B$3,原始資料!AH282=""),"",IF(AND(原始資料!AG282&lt;&gt;"",原始資料!AH282=原始資料!AG282),N(AE282)+1,1))</f>
        <v/>
      </c>
      <c r="AG282" s="6">
        <f>IF(OR(原始資料!$A282="",32&gt;設定!$B$3,原始資料!AI282=""),"",IF(AND(原始資料!AH282&lt;&gt;"",原始資料!AI282=原始資料!AH282),N(AF282)+1,1))</f>
        <v/>
      </c>
      <c r="AH282" s="6">
        <f>IF(OR(原始資料!$A282="",33&gt;設定!$B$3,原始資料!AJ282=""),"",IF(AND(原始資料!AI282&lt;&gt;"",原始資料!AJ282=原始資料!AI282),N(AG282)+1,1))</f>
        <v/>
      </c>
      <c r="AI282" s="6">
        <f>IF(OR(原始資料!$A282="",34&gt;設定!$B$3,原始資料!AK282=""),"",IF(AND(原始資料!AJ282&lt;&gt;"",原始資料!AK282=原始資料!AJ282),N(AH282)+1,1))</f>
        <v/>
      </c>
      <c r="AJ282" s="6">
        <f>IF(OR(原始資料!$A282="",35&gt;設定!$B$3,原始資料!AL282=""),"",IF(AND(原始資料!AK282&lt;&gt;"",原始資料!AL282=原始資料!AK282),N(AI282)+1,1))</f>
        <v/>
      </c>
      <c r="AK282" s="6">
        <f>IF(OR(原始資料!$A282="",36&gt;設定!$B$3,原始資料!AM282=""),"",IF(AND(原始資料!AL282&lt;&gt;"",原始資料!AM282=原始資料!AL282),N(AJ282)+1,1))</f>
        <v/>
      </c>
      <c r="AL282" s="6">
        <f>IF(OR(原始資料!$A282="",37&gt;設定!$B$3,原始資料!AN282=""),"",IF(AND(原始資料!AM282&lt;&gt;"",原始資料!AN282=原始資料!AM282),N(AK282)+1,1))</f>
        <v/>
      </c>
      <c r="AM282" s="6">
        <f>IF(OR(原始資料!$A282="",38&gt;設定!$B$3,原始資料!AO282=""),"",IF(AND(原始資料!AN282&lt;&gt;"",原始資料!AO282=原始資料!AN282),N(AL282)+1,1))</f>
        <v/>
      </c>
      <c r="AN282" s="6">
        <f>IF(OR(原始資料!$A282="",39&gt;設定!$B$3,原始資料!AP282=""),"",IF(AND(原始資料!AO282&lt;&gt;"",原始資料!AP282=原始資料!AO282),N(AM282)+1,1))</f>
        <v/>
      </c>
      <c r="AO282" s="6">
        <f>IF(OR(原始資料!$A282="",40&gt;設定!$B$3,原始資料!AQ282=""),"",IF(AND(原始資料!AP282&lt;&gt;"",原始資料!AQ282=原始資料!AP282),N(AN282)+1,1))</f>
        <v/>
      </c>
      <c r="AP282" s="6">
        <f>IF(OR(原始資料!$A282="",41&gt;設定!$B$3,原始資料!AR282=""),"",IF(AND(原始資料!AQ282&lt;&gt;"",原始資料!AR282=原始資料!AQ282),N(AO282)+1,1))</f>
        <v/>
      </c>
      <c r="AQ282" s="6">
        <f>IF(OR(原始資料!$A282="",42&gt;設定!$B$3,原始資料!AS282=""),"",IF(AND(原始資料!AR282&lt;&gt;"",原始資料!AS282=原始資料!AR282),N(AP282)+1,1))</f>
        <v/>
      </c>
      <c r="AR282" s="6">
        <f>IF(OR(原始資料!$A282="",43&gt;設定!$B$3,原始資料!AT282=""),"",IF(AND(原始資料!AS282&lt;&gt;"",原始資料!AT282=原始資料!AS282),N(AQ282)+1,1))</f>
        <v/>
      </c>
      <c r="AS282" s="6">
        <f>IF(OR(原始資料!$A282="",44&gt;設定!$B$3,原始資料!AU282=""),"",IF(AND(原始資料!AT282&lt;&gt;"",原始資料!AU282=原始資料!AT282),N(AR282)+1,1))</f>
        <v/>
      </c>
      <c r="AT282" s="6">
        <f>IF(OR(原始資料!$A282="",45&gt;設定!$B$3,原始資料!AV282=""),"",IF(AND(原始資料!AU282&lt;&gt;"",原始資料!AV282=原始資料!AU282),N(AS282)+1,1))</f>
        <v/>
      </c>
      <c r="AU282" s="6">
        <f>IF(OR(原始資料!$A282="",46&gt;設定!$B$3,原始資料!AW282=""),"",IF(AND(原始資料!AV282&lt;&gt;"",原始資料!AW282=原始資料!AV282),N(AT282)+1,1))</f>
        <v/>
      </c>
      <c r="AV282" s="6">
        <f>IF(OR(原始資料!$A282="",47&gt;設定!$B$3,原始資料!AX282=""),"",IF(AND(原始資料!AW282&lt;&gt;"",原始資料!AX282=原始資料!AW282),N(AU282)+1,1))</f>
        <v/>
      </c>
      <c r="AW282" s="6">
        <f>IF(OR(原始資料!$A282="",48&gt;設定!$B$3,原始資料!AY282=""),"",IF(AND(原始資料!AX282&lt;&gt;"",原始資料!AY282=原始資料!AX282),N(AV282)+1,1))</f>
        <v/>
      </c>
      <c r="AX282" s="6">
        <f>IF(OR(原始資料!$A282="",49&gt;設定!$B$3,原始資料!AZ282=""),"",IF(AND(原始資料!AY282&lt;&gt;"",原始資料!AZ282=原始資料!AY282),N(AW282)+1,1))</f>
        <v/>
      </c>
      <c r="AY282" s="6">
        <f>IF(OR(原始資料!$A282="",50&gt;設定!$B$3,原始資料!BA282=""),"",IF(AND(原始資料!AZ282&lt;&gt;"",原始資料!BA282=原始資料!AZ282),N(AX282)+1,1))</f>
        <v/>
      </c>
      <c r="AZ282" s="6">
        <f>IF(OR(原始資料!$A282="",51&gt;設定!$B$3,原始資料!BB282=""),"",IF(AND(原始資料!BA282&lt;&gt;"",原始資料!BB282=原始資料!BA282),N(AY282)+1,1))</f>
        <v/>
      </c>
      <c r="BA282" s="6">
        <f>IF(OR(原始資料!$A282="",52&gt;設定!$B$3,原始資料!BC282=""),"",IF(AND(原始資料!BB282&lt;&gt;"",原始資料!BC282=原始資料!BB282),N(AZ282)+1,1))</f>
        <v/>
      </c>
      <c r="BB282" s="6">
        <f>IF(OR(原始資料!$A282="",53&gt;設定!$B$3,原始資料!BD282=""),"",IF(AND(原始資料!BC282&lt;&gt;"",原始資料!BD282=原始資料!BC282),N(BA282)+1,1))</f>
        <v/>
      </c>
      <c r="BC282" s="6">
        <f>IF(OR(原始資料!$A282="",54&gt;設定!$B$3,原始資料!BE282=""),"",IF(AND(原始資料!BD282&lt;&gt;"",原始資料!BE282=原始資料!BD282),N(BB282)+1,1))</f>
        <v/>
      </c>
      <c r="BD282" s="6">
        <f>IF(OR(原始資料!$A282="",55&gt;設定!$B$3,原始資料!BF282=""),"",IF(AND(原始資料!BE282&lt;&gt;"",原始資料!BF282=原始資料!BE282),N(BC282)+1,1))</f>
        <v/>
      </c>
      <c r="BE282" s="6">
        <f>IF(OR(原始資料!$A282="",56&gt;設定!$B$3,原始資料!BG282=""),"",IF(AND(原始資料!BF282&lt;&gt;"",原始資料!BG282=原始資料!BF282),N(BD282)+1,1))</f>
        <v/>
      </c>
      <c r="BF282" s="6">
        <f>IF(OR(原始資料!$A282="",57&gt;設定!$B$3,原始資料!BH282=""),"",IF(AND(原始資料!BG282&lt;&gt;"",原始資料!BH282=原始資料!BG282),N(BE282)+1,1))</f>
        <v/>
      </c>
      <c r="BG282" s="6">
        <f>IF(OR(原始資料!$A282="",58&gt;設定!$B$3,原始資料!BI282=""),"",IF(AND(原始資料!BH282&lt;&gt;"",原始資料!BI282=原始資料!BH282),N(BF282)+1,1))</f>
        <v/>
      </c>
      <c r="BH282" s="6">
        <f>IF(OR(原始資料!$A282="",59&gt;設定!$B$3,原始資料!BJ282=""),"",IF(AND(原始資料!BI282&lt;&gt;"",原始資料!BJ282=原始資料!BI282),N(BG282)+1,1))</f>
        <v/>
      </c>
      <c r="BI282" s="6">
        <f>IF(OR(原始資料!$A282="",60&gt;設定!$B$3,原始資料!BK282=""),"",IF(AND(原始資料!BJ282&lt;&gt;"",原始資料!BK282=原始資料!BJ282),N(BH282)+1,1))</f>
        <v/>
      </c>
    </row>
    <row r="283">
      <c r="A283" s="6">
        <f>IF(原始資料!$A283="","",原始資料!$A283)</f>
        <v/>
      </c>
      <c r="B283" s="6">
        <f>IF(OR(原始資料!$A283="",1&gt;設定!$B$3,原始資料!D283=""),"",1)</f>
        <v/>
      </c>
      <c r="C283" s="6">
        <f>IF(OR(原始資料!$A283="",2&gt;設定!$B$3,原始資料!E283=""),"",IF(AND(原始資料!D283&lt;&gt;"",原始資料!E283=原始資料!D283),N(B283)+1,1))</f>
        <v/>
      </c>
      <c r="D283" s="6">
        <f>IF(OR(原始資料!$A283="",3&gt;設定!$B$3,原始資料!F283=""),"",IF(AND(原始資料!E283&lt;&gt;"",原始資料!F283=原始資料!E283),N(C283)+1,1))</f>
        <v/>
      </c>
      <c r="E283" s="6">
        <f>IF(OR(原始資料!$A283="",4&gt;設定!$B$3,原始資料!G283=""),"",IF(AND(原始資料!F283&lt;&gt;"",原始資料!G283=原始資料!F283),N(D283)+1,1))</f>
        <v/>
      </c>
      <c r="F283" s="6">
        <f>IF(OR(原始資料!$A283="",5&gt;設定!$B$3,原始資料!H283=""),"",IF(AND(原始資料!G283&lt;&gt;"",原始資料!H283=原始資料!G283),N(E283)+1,1))</f>
        <v/>
      </c>
      <c r="G283" s="6">
        <f>IF(OR(原始資料!$A283="",6&gt;設定!$B$3,原始資料!I283=""),"",IF(AND(原始資料!H283&lt;&gt;"",原始資料!I283=原始資料!H283),N(F283)+1,1))</f>
        <v/>
      </c>
      <c r="H283" s="6">
        <f>IF(OR(原始資料!$A283="",7&gt;設定!$B$3,原始資料!J283=""),"",IF(AND(原始資料!I283&lt;&gt;"",原始資料!J283=原始資料!I283),N(G283)+1,1))</f>
        <v/>
      </c>
      <c r="I283" s="6">
        <f>IF(OR(原始資料!$A283="",8&gt;設定!$B$3,原始資料!K283=""),"",IF(AND(原始資料!J283&lt;&gt;"",原始資料!K283=原始資料!J283),N(H283)+1,1))</f>
        <v/>
      </c>
      <c r="J283" s="6">
        <f>IF(OR(原始資料!$A283="",9&gt;設定!$B$3,原始資料!L283=""),"",IF(AND(原始資料!K283&lt;&gt;"",原始資料!L283=原始資料!K283),N(I283)+1,1))</f>
        <v/>
      </c>
      <c r="K283" s="6">
        <f>IF(OR(原始資料!$A283="",10&gt;設定!$B$3,原始資料!M283=""),"",IF(AND(原始資料!L283&lt;&gt;"",原始資料!M283=原始資料!L283),N(J283)+1,1))</f>
        <v/>
      </c>
      <c r="L283" s="6">
        <f>IF(OR(原始資料!$A283="",11&gt;設定!$B$3,原始資料!N283=""),"",IF(AND(原始資料!M283&lt;&gt;"",原始資料!N283=原始資料!M283),N(K283)+1,1))</f>
        <v/>
      </c>
      <c r="M283" s="6">
        <f>IF(OR(原始資料!$A283="",12&gt;設定!$B$3,原始資料!O283=""),"",IF(AND(原始資料!N283&lt;&gt;"",原始資料!O283=原始資料!N283),N(L283)+1,1))</f>
        <v/>
      </c>
      <c r="N283" s="6">
        <f>IF(OR(原始資料!$A283="",13&gt;設定!$B$3,原始資料!P283=""),"",IF(AND(原始資料!O283&lt;&gt;"",原始資料!P283=原始資料!O283),N(M283)+1,1))</f>
        <v/>
      </c>
      <c r="O283" s="6">
        <f>IF(OR(原始資料!$A283="",14&gt;設定!$B$3,原始資料!Q283=""),"",IF(AND(原始資料!P283&lt;&gt;"",原始資料!Q283=原始資料!P283),N(N283)+1,1))</f>
        <v/>
      </c>
      <c r="P283" s="6">
        <f>IF(OR(原始資料!$A283="",15&gt;設定!$B$3,原始資料!R283=""),"",IF(AND(原始資料!Q283&lt;&gt;"",原始資料!R283=原始資料!Q283),N(O283)+1,1))</f>
        <v/>
      </c>
      <c r="Q283" s="6">
        <f>IF(OR(原始資料!$A283="",16&gt;設定!$B$3,原始資料!S283=""),"",IF(AND(原始資料!R283&lt;&gt;"",原始資料!S283=原始資料!R283),N(P283)+1,1))</f>
        <v/>
      </c>
      <c r="R283" s="6">
        <f>IF(OR(原始資料!$A283="",17&gt;設定!$B$3,原始資料!T283=""),"",IF(AND(原始資料!S283&lt;&gt;"",原始資料!T283=原始資料!S283),N(Q283)+1,1))</f>
        <v/>
      </c>
      <c r="S283" s="6">
        <f>IF(OR(原始資料!$A283="",18&gt;設定!$B$3,原始資料!U283=""),"",IF(AND(原始資料!T283&lt;&gt;"",原始資料!U283=原始資料!T283),N(R283)+1,1))</f>
        <v/>
      </c>
      <c r="T283" s="6">
        <f>IF(OR(原始資料!$A283="",19&gt;設定!$B$3,原始資料!V283=""),"",IF(AND(原始資料!U283&lt;&gt;"",原始資料!V283=原始資料!U283),N(S283)+1,1))</f>
        <v/>
      </c>
      <c r="U283" s="6">
        <f>IF(OR(原始資料!$A283="",20&gt;設定!$B$3,原始資料!W283=""),"",IF(AND(原始資料!V283&lt;&gt;"",原始資料!W283=原始資料!V283),N(T283)+1,1))</f>
        <v/>
      </c>
      <c r="V283" s="6">
        <f>IF(OR(原始資料!$A283="",21&gt;設定!$B$3,原始資料!X283=""),"",IF(AND(原始資料!W283&lt;&gt;"",原始資料!X283=原始資料!W283),N(U283)+1,1))</f>
        <v/>
      </c>
      <c r="W283" s="6">
        <f>IF(OR(原始資料!$A283="",22&gt;設定!$B$3,原始資料!Y283=""),"",IF(AND(原始資料!X283&lt;&gt;"",原始資料!Y283=原始資料!X283),N(V283)+1,1))</f>
        <v/>
      </c>
      <c r="X283" s="6">
        <f>IF(OR(原始資料!$A283="",23&gt;設定!$B$3,原始資料!Z283=""),"",IF(AND(原始資料!Y283&lt;&gt;"",原始資料!Z283=原始資料!Y283),N(W283)+1,1))</f>
        <v/>
      </c>
      <c r="Y283" s="6">
        <f>IF(OR(原始資料!$A283="",24&gt;設定!$B$3,原始資料!AA283=""),"",IF(AND(原始資料!Z283&lt;&gt;"",原始資料!AA283=原始資料!Z283),N(X283)+1,1))</f>
        <v/>
      </c>
      <c r="Z283" s="6">
        <f>IF(OR(原始資料!$A283="",25&gt;設定!$B$3,原始資料!AB283=""),"",IF(AND(原始資料!AA283&lt;&gt;"",原始資料!AB283=原始資料!AA283),N(Y283)+1,1))</f>
        <v/>
      </c>
      <c r="AA283" s="6">
        <f>IF(OR(原始資料!$A283="",26&gt;設定!$B$3,原始資料!AC283=""),"",IF(AND(原始資料!AB283&lt;&gt;"",原始資料!AC283=原始資料!AB283),N(Z283)+1,1))</f>
        <v/>
      </c>
      <c r="AB283" s="6">
        <f>IF(OR(原始資料!$A283="",27&gt;設定!$B$3,原始資料!AD283=""),"",IF(AND(原始資料!AC283&lt;&gt;"",原始資料!AD283=原始資料!AC283),N(AA283)+1,1))</f>
        <v/>
      </c>
      <c r="AC283" s="6">
        <f>IF(OR(原始資料!$A283="",28&gt;設定!$B$3,原始資料!AE283=""),"",IF(AND(原始資料!AD283&lt;&gt;"",原始資料!AE283=原始資料!AD283),N(AB283)+1,1))</f>
        <v/>
      </c>
      <c r="AD283" s="6">
        <f>IF(OR(原始資料!$A283="",29&gt;設定!$B$3,原始資料!AF283=""),"",IF(AND(原始資料!AE283&lt;&gt;"",原始資料!AF283=原始資料!AE283),N(AC283)+1,1))</f>
        <v/>
      </c>
      <c r="AE283" s="6">
        <f>IF(OR(原始資料!$A283="",30&gt;設定!$B$3,原始資料!AG283=""),"",IF(AND(原始資料!AF283&lt;&gt;"",原始資料!AG283=原始資料!AF283),N(AD283)+1,1))</f>
        <v/>
      </c>
      <c r="AF283" s="6">
        <f>IF(OR(原始資料!$A283="",31&gt;設定!$B$3,原始資料!AH283=""),"",IF(AND(原始資料!AG283&lt;&gt;"",原始資料!AH283=原始資料!AG283),N(AE283)+1,1))</f>
        <v/>
      </c>
      <c r="AG283" s="6">
        <f>IF(OR(原始資料!$A283="",32&gt;設定!$B$3,原始資料!AI283=""),"",IF(AND(原始資料!AH283&lt;&gt;"",原始資料!AI283=原始資料!AH283),N(AF283)+1,1))</f>
        <v/>
      </c>
      <c r="AH283" s="6">
        <f>IF(OR(原始資料!$A283="",33&gt;設定!$B$3,原始資料!AJ283=""),"",IF(AND(原始資料!AI283&lt;&gt;"",原始資料!AJ283=原始資料!AI283),N(AG283)+1,1))</f>
        <v/>
      </c>
      <c r="AI283" s="6">
        <f>IF(OR(原始資料!$A283="",34&gt;設定!$B$3,原始資料!AK283=""),"",IF(AND(原始資料!AJ283&lt;&gt;"",原始資料!AK283=原始資料!AJ283),N(AH283)+1,1))</f>
        <v/>
      </c>
      <c r="AJ283" s="6">
        <f>IF(OR(原始資料!$A283="",35&gt;設定!$B$3,原始資料!AL283=""),"",IF(AND(原始資料!AK283&lt;&gt;"",原始資料!AL283=原始資料!AK283),N(AI283)+1,1))</f>
        <v/>
      </c>
      <c r="AK283" s="6">
        <f>IF(OR(原始資料!$A283="",36&gt;設定!$B$3,原始資料!AM283=""),"",IF(AND(原始資料!AL283&lt;&gt;"",原始資料!AM283=原始資料!AL283),N(AJ283)+1,1))</f>
        <v/>
      </c>
      <c r="AL283" s="6">
        <f>IF(OR(原始資料!$A283="",37&gt;設定!$B$3,原始資料!AN283=""),"",IF(AND(原始資料!AM283&lt;&gt;"",原始資料!AN283=原始資料!AM283),N(AK283)+1,1))</f>
        <v/>
      </c>
      <c r="AM283" s="6">
        <f>IF(OR(原始資料!$A283="",38&gt;設定!$B$3,原始資料!AO283=""),"",IF(AND(原始資料!AN283&lt;&gt;"",原始資料!AO283=原始資料!AN283),N(AL283)+1,1))</f>
        <v/>
      </c>
      <c r="AN283" s="6">
        <f>IF(OR(原始資料!$A283="",39&gt;設定!$B$3,原始資料!AP283=""),"",IF(AND(原始資料!AO283&lt;&gt;"",原始資料!AP283=原始資料!AO283),N(AM283)+1,1))</f>
        <v/>
      </c>
      <c r="AO283" s="6">
        <f>IF(OR(原始資料!$A283="",40&gt;設定!$B$3,原始資料!AQ283=""),"",IF(AND(原始資料!AP283&lt;&gt;"",原始資料!AQ283=原始資料!AP283),N(AN283)+1,1))</f>
        <v/>
      </c>
      <c r="AP283" s="6">
        <f>IF(OR(原始資料!$A283="",41&gt;設定!$B$3,原始資料!AR283=""),"",IF(AND(原始資料!AQ283&lt;&gt;"",原始資料!AR283=原始資料!AQ283),N(AO283)+1,1))</f>
        <v/>
      </c>
      <c r="AQ283" s="6">
        <f>IF(OR(原始資料!$A283="",42&gt;設定!$B$3,原始資料!AS283=""),"",IF(AND(原始資料!AR283&lt;&gt;"",原始資料!AS283=原始資料!AR283),N(AP283)+1,1))</f>
        <v/>
      </c>
      <c r="AR283" s="6">
        <f>IF(OR(原始資料!$A283="",43&gt;設定!$B$3,原始資料!AT283=""),"",IF(AND(原始資料!AS283&lt;&gt;"",原始資料!AT283=原始資料!AS283),N(AQ283)+1,1))</f>
        <v/>
      </c>
      <c r="AS283" s="6">
        <f>IF(OR(原始資料!$A283="",44&gt;設定!$B$3,原始資料!AU283=""),"",IF(AND(原始資料!AT283&lt;&gt;"",原始資料!AU283=原始資料!AT283),N(AR283)+1,1))</f>
        <v/>
      </c>
      <c r="AT283" s="6">
        <f>IF(OR(原始資料!$A283="",45&gt;設定!$B$3,原始資料!AV283=""),"",IF(AND(原始資料!AU283&lt;&gt;"",原始資料!AV283=原始資料!AU283),N(AS283)+1,1))</f>
        <v/>
      </c>
      <c r="AU283" s="6">
        <f>IF(OR(原始資料!$A283="",46&gt;設定!$B$3,原始資料!AW283=""),"",IF(AND(原始資料!AV283&lt;&gt;"",原始資料!AW283=原始資料!AV283),N(AT283)+1,1))</f>
        <v/>
      </c>
      <c r="AV283" s="6">
        <f>IF(OR(原始資料!$A283="",47&gt;設定!$B$3,原始資料!AX283=""),"",IF(AND(原始資料!AW283&lt;&gt;"",原始資料!AX283=原始資料!AW283),N(AU283)+1,1))</f>
        <v/>
      </c>
      <c r="AW283" s="6">
        <f>IF(OR(原始資料!$A283="",48&gt;設定!$B$3,原始資料!AY283=""),"",IF(AND(原始資料!AX283&lt;&gt;"",原始資料!AY283=原始資料!AX283),N(AV283)+1,1))</f>
        <v/>
      </c>
      <c r="AX283" s="6">
        <f>IF(OR(原始資料!$A283="",49&gt;設定!$B$3,原始資料!AZ283=""),"",IF(AND(原始資料!AY283&lt;&gt;"",原始資料!AZ283=原始資料!AY283),N(AW283)+1,1))</f>
        <v/>
      </c>
      <c r="AY283" s="6">
        <f>IF(OR(原始資料!$A283="",50&gt;設定!$B$3,原始資料!BA283=""),"",IF(AND(原始資料!AZ283&lt;&gt;"",原始資料!BA283=原始資料!AZ283),N(AX283)+1,1))</f>
        <v/>
      </c>
      <c r="AZ283" s="6">
        <f>IF(OR(原始資料!$A283="",51&gt;設定!$B$3,原始資料!BB283=""),"",IF(AND(原始資料!BA283&lt;&gt;"",原始資料!BB283=原始資料!BA283),N(AY283)+1,1))</f>
        <v/>
      </c>
      <c r="BA283" s="6">
        <f>IF(OR(原始資料!$A283="",52&gt;設定!$B$3,原始資料!BC283=""),"",IF(AND(原始資料!BB283&lt;&gt;"",原始資料!BC283=原始資料!BB283),N(AZ283)+1,1))</f>
        <v/>
      </c>
      <c r="BB283" s="6">
        <f>IF(OR(原始資料!$A283="",53&gt;設定!$B$3,原始資料!BD283=""),"",IF(AND(原始資料!BC283&lt;&gt;"",原始資料!BD283=原始資料!BC283),N(BA283)+1,1))</f>
        <v/>
      </c>
      <c r="BC283" s="6">
        <f>IF(OR(原始資料!$A283="",54&gt;設定!$B$3,原始資料!BE283=""),"",IF(AND(原始資料!BD283&lt;&gt;"",原始資料!BE283=原始資料!BD283),N(BB283)+1,1))</f>
        <v/>
      </c>
      <c r="BD283" s="6">
        <f>IF(OR(原始資料!$A283="",55&gt;設定!$B$3,原始資料!BF283=""),"",IF(AND(原始資料!BE283&lt;&gt;"",原始資料!BF283=原始資料!BE283),N(BC283)+1,1))</f>
        <v/>
      </c>
      <c r="BE283" s="6">
        <f>IF(OR(原始資料!$A283="",56&gt;設定!$B$3,原始資料!BG283=""),"",IF(AND(原始資料!BF283&lt;&gt;"",原始資料!BG283=原始資料!BF283),N(BD283)+1,1))</f>
        <v/>
      </c>
      <c r="BF283" s="6">
        <f>IF(OR(原始資料!$A283="",57&gt;設定!$B$3,原始資料!BH283=""),"",IF(AND(原始資料!BG283&lt;&gt;"",原始資料!BH283=原始資料!BG283),N(BE283)+1,1))</f>
        <v/>
      </c>
      <c r="BG283" s="6">
        <f>IF(OR(原始資料!$A283="",58&gt;設定!$B$3,原始資料!BI283=""),"",IF(AND(原始資料!BH283&lt;&gt;"",原始資料!BI283=原始資料!BH283),N(BF283)+1,1))</f>
        <v/>
      </c>
      <c r="BH283" s="6">
        <f>IF(OR(原始資料!$A283="",59&gt;設定!$B$3,原始資料!BJ283=""),"",IF(AND(原始資料!BI283&lt;&gt;"",原始資料!BJ283=原始資料!BI283),N(BG283)+1,1))</f>
        <v/>
      </c>
      <c r="BI283" s="6">
        <f>IF(OR(原始資料!$A283="",60&gt;設定!$B$3,原始資料!BK283=""),"",IF(AND(原始資料!BJ283&lt;&gt;"",原始資料!BK283=原始資料!BJ283),N(BH283)+1,1))</f>
        <v/>
      </c>
    </row>
    <row r="284">
      <c r="A284" s="6">
        <f>IF(原始資料!$A284="","",原始資料!$A284)</f>
        <v/>
      </c>
      <c r="B284" s="6">
        <f>IF(OR(原始資料!$A284="",1&gt;設定!$B$3,原始資料!D284=""),"",1)</f>
        <v/>
      </c>
      <c r="C284" s="6">
        <f>IF(OR(原始資料!$A284="",2&gt;設定!$B$3,原始資料!E284=""),"",IF(AND(原始資料!D284&lt;&gt;"",原始資料!E284=原始資料!D284),N(B284)+1,1))</f>
        <v/>
      </c>
      <c r="D284" s="6">
        <f>IF(OR(原始資料!$A284="",3&gt;設定!$B$3,原始資料!F284=""),"",IF(AND(原始資料!E284&lt;&gt;"",原始資料!F284=原始資料!E284),N(C284)+1,1))</f>
        <v/>
      </c>
      <c r="E284" s="6">
        <f>IF(OR(原始資料!$A284="",4&gt;設定!$B$3,原始資料!G284=""),"",IF(AND(原始資料!F284&lt;&gt;"",原始資料!G284=原始資料!F284),N(D284)+1,1))</f>
        <v/>
      </c>
      <c r="F284" s="6">
        <f>IF(OR(原始資料!$A284="",5&gt;設定!$B$3,原始資料!H284=""),"",IF(AND(原始資料!G284&lt;&gt;"",原始資料!H284=原始資料!G284),N(E284)+1,1))</f>
        <v/>
      </c>
      <c r="G284" s="6">
        <f>IF(OR(原始資料!$A284="",6&gt;設定!$B$3,原始資料!I284=""),"",IF(AND(原始資料!H284&lt;&gt;"",原始資料!I284=原始資料!H284),N(F284)+1,1))</f>
        <v/>
      </c>
      <c r="H284" s="6">
        <f>IF(OR(原始資料!$A284="",7&gt;設定!$B$3,原始資料!J284=""),"",IF(AND(原始資料!I284&lt;&gt;"",原始資料!J284=原始資料!I284),N(G284)+1,1))</f>
        <v/>
      </c>
      <c r="I284" s="6">
        <f>IF(OR(原始資料!$A284="",8&gt;設定!$B$3,原始資料!K284=""),"",IF(AND(原始資料!J284&lt;&gt;"",原始資料!K284=原始資料!J284),N(H284)+1,1))</f>
        <v/>
      </c>
      <c r="J284" s="6">
        <f>IF(OR(原始資料!$A284="",9&gt;設定!$B$3,原始資料!L284=""),"",IF(AND(原始資料!K284&lt;&gt;"",原始資料!L284=原始資料!K284),N(I284)+1,1))</f>
        <v/>
      </c>
      <c r="K284" s="6">
        <f>IF(OR(原始資料!$A284="",10&gt;設定!$B$3,原始資料!M284=""),"",IF(AND(原始資料!L284&lt;&gt;"",原始資料!M284=原始資料!L284),N(J284)+1,1))</f>
        <v/>
      </c>
      <c r="L284" s="6">
        <f>IF(OR(原始資料!$A284="",11&gt;設定!$B$3,原始資料!N284=""),"",IF(AND(原始資料!M284&lt;&gt;"",原始資料!N284=原始資料!M284),N(K284)+1,1))</f>
        <v/>
      </c>
      <c r="M284" s="6">
        <f>IF(OR(原始資料!$A284="",12&gt;設定!$B$3,原始資料!O284=""),"",IF(AND(原始資料!N284&lt;&gt;"",原始資料!O284=原始資料!N284),N(L284)+1,1))</f>
        <v/>
      </c>
      <c r="N284" s="6">
        <f>IF(OR(原始資料!$A284="",13&gt;設定!$B$3,原始資料!P284=""),"",IF(AND(原始資料!O284&lt;&gt;"",原始資料!P284=原始資料!O284),N(M284)+1,1))</f>
        <v/>
      </c>
      <c r="O284" s="6">
        <f>IF(OR(原始資料!$A284="",14&gt;設定!$B$3,原始資料!Q284=""),"",IF(AND(原始資料!P284&lt;&gt;"",原始資料!Q284=原始資料!P284),N(N284)+1,1))</f>
        <v/>
      </c>
      <c r="P284" s="6">
        <f>IF(OR(原始資料!$A284="",15&gt;設定!$B$3,原始資料!R284=""),"",IF(AND(原始資料!Q284&lt;&gt;"",原始資料!R284=原始資料!Q284),N(O284)+1,1))</f>
        <v/>
      </c>
      <c r="Q284" s="6">
        <f>IF(OR(原始資料!$A284="",16&gt;設定!$B$3,原始資料!S284=""),"",IF(AND(原始資料!R284&lt;&gt;"",原始資料!S284=原始資料!R284),N(P284)+1,1))</f>
        <v/>
      </c>
      <c r="R284" s="6">
        <f>IF(OR(原始資料!$A284="",17&gt;設定!$B$3,原始資料!T284=""),"",IF(AND(原始資料!S284&lt;&gt;"",原始資料!T284=原始資料!S284),N(Q284)+1,1))</f>
        <v/>
      </c>
      <c r="S284" s="6">
        <f>IF(OR(原始資料!$A284="",18&gt;設定!$B$3,原始資料!U284=""),"",IF(AND(原始資料!T284&lt;&gt;"",原始資料!U284=原始資料!T284),N(R284)+1,1))</f>
        <v/>
      </c>
      <c r="T284" s="6">
        <f>IF(OR(原始資料!$A284="",19&gt;設定!$B$3,原始資料!V284=""),"",IF(AND(原始資料!U284&lt;&gt;"",原始資料!V284=原始資料!U284),N(S284)+1,1))</f>
        <v/>
      </c>
      <c r="U284" s="6">
        <f>IF(OR(原始資料!$A284="",20&gt;設定!$B$3,原始資料!W284=""),"",IF(AND(原始資料!V284&lt;&gt;"",原始資料!W284=原始資料!V284),N(T284)+1,1))</f>
        <v/>
      </c>
      <c r="V284" s="6">
        <f>IF(OR(原始資料!$A284="",21&gt;設定!$B$3,原始資料!X284=""),"",IF(AND(原始資料!W284&lt;&gt;"",原始資料!X284=原始資料!W284),N(U284)+1,1))</f>
        <v/>
      </c>
      <c r="W284" s="6">
        <f>IF(OR(原始資料!$A284="",22&gt;設定!$B$3,原始資料!Y284=""),"",IF(AND(原始資料!X284&lt;&gt;"",原始資料!Y284=原始資料!X284),N(V284)+1,1))</f>
        <v/>
      </c>
      <c r="X284" s="6">
        <f>IF(OR(原始資料!$A284="",23&gt;設定!$B$3,原始資料!Z284=""),"",IF(AND(原始資料!Y284&lt;&gt;"",原始資料!Z284=原始資料!Y284),N(W284)+1,1))</f>
        <v/>
      </c>
      <c r="Y284" s="6">
        <f>IF(OR(原始資料!$A284="",24&gt;設定!$B$3,原始資料!AA284=""),"",IF(AND(原始資料!Z284&lt;&gt;"",原始資料!AA284=原始資料!Z284),N(X284)+1,1))</f>
        <v/>
      </c>
      <c r="Z284" s="6">
        <f>IF(OR(原始資料!$A284="",25&gt;設定!$B$3,原始資料!AB284=""),"",IF(AND(原始資料!AA284&lt;&gt;"",原始資料!AB284=原始資料!AA284),N(Y284)+1,1))</f>
        <v/>
      </c>
      <c r="AA284" s="6">
        <f>IF(OR(原始資料!$A284="",26&gt;設定!$B$3,原始資料!AC284=""),"",IF(AND(原始資料!AB284&lt;&gt;"",原始資料!AC284=原始資料!AB284),N(Z284)+1,1))</f>
        <v/>
      </c>
      <c r="AB284" s="6">
        <f>IF(OR(原始資料!$A284="",27&gt;設定!$B$3,原始資料!AD284=""),"",IF(AND(原始資料!AC284&lt;&gt;"",原始資料!AD284=原始資料!AC284),N(AA284)+1,1))</f>
        <v/>
      </c>
      <c r="AC284" s="6">
        <f>IF(OR(原始資料!$A284="",28&gt;設定!$B$3,原始資料!AE284=""),"",IF(AND(原始資料!AD284&lt;&gt;"",原始資料!AE284=原始資料!AD284),N(AB284)+1,1))</f>
        <v/>
      </c>
      <c r="AD284" s="6">
        <f>IF(OR(原始資料!$A284="",29&gt;設定!$B$3,原始資料!AF284=""),"",IF(AND(原始資料!AE284&lt;&gt;"",原始資料!AF284=原始資料!AE284),N(AC284)+1,1))</f>
        <v/>
      </c>
      <c r="AE284" s="6">
        <f>IF(OR(原始資料!$A284="",30&gt;設定!$B$3,原始資料!AG284=""),"",IF(AND(原始資料!AF284&lt;&gt;"",原始資料!AG284=原始資料!AF284),N(AD284)+1,1))</f>
        <v/>
      </c>
      <c r="AF284" s="6">
        <f>IF(OR(原始資料!$A284="",31&gt;設定!$B$3,原始資料!AH284=""),"",IF(AND(原始資料!AG284&lt;&gt;"",原始資料!AH284=原始資料!AG284),N(AE284)+1,1))</f>
        <v/>
      </c>
      <c r="AG284" s="6">
        <f>IF(OR(原始資料!$A284="",32&gt;設定!$B$3,原始資料!AI284=""),"",IF(AND(原始資料!AH284&lt;&gt;"",原始資料!AI284=原始資料!AH284),N(AF284)+1,1))</f>
        <v/>
      </c>
      <c r="AH284" s="6">
        <f>IF(OR(原始資料!$A284="",33&gt;設定!$B$3,原始資料!AJ284=""),"",IF(AND(原始資料!AI284&lt;&gt;"",原始資料!AJ284=原始資料!AI284),N(AG284)+1,1))</f>
        <v/>
      </c>
      <c r="AI284" s="6">
        <f>IF(OR(原始資料!$A284="",34&gt;設定!$B$3,原始資料!AK284=""),"",IF(AND(原始資料!AJ284&lt;&gt;"",原始資料!AK284=原始資料!AJ284),N(AH284)+1,1))</f>
        <v/>
      </c>
      <c r="AJ284" s="6">
        <f>IF(OR(原始資料!$A284="",35&gt;設定!$B$3,原始資料!AL284=""),"",IF(AND(原始資料!AK284&lt;&gt;"",原始資料!AL284=原始資料!AK284),N(AI284)+1,1))</f>
        <v/>
      </c>
      <c r="AK284" s="6">
        <f>IF(OR(原始資料!$A284="",36&gt;設定!$B$3,原始資料!AM284=""),"",IF(AND(原始資料!AL284&lt;&gt;"",原始資料!AM284=原始資料!AL284),N(AJ284)+1,1))</f>
        <v/>
      </c>
      <c r="AL284" s="6">
        <f>IF(OR(原始資料!$A284="",37&gt;設定!$B$3,原始資料!AN284=""),"",IF(AND(原始資料!AM284&lt;&gt;"",原始資料!AN284=原始資料!AM284),N(AK284)+1,1))</f>
        <v/>
      </c>
      <c r="AM284" s="6">
        <f>IF(OR(原始資料!$A284="",38&gt;設定!$B$3,原始資料!AO284=""),"",IF(AND(原始資料!AN284&lt;&gt;"",原始資料!AO284=原始資料!AN284),N(AL284)+1,1))</f>
        <v/>
      </c>
      <c r="AN284" s="6">
        <f>IF(OR(原始資料!$A284="",39&gt;設定!$B$3,原始資料!AP284=""),"",IF(AND(原始資料!AO284&lt;&gt;"",原始資料!AP284=原始資料!AO284),N(AM284)+1,1))</f>
        <v/>
      </c>
      <c r="AO284" s="6">
        <f>IF(OR(原始資料!$A284="",40&gt;設定!$B$3,原始資料!AQ284=""),"",IF(AND(原始資料!AP284&lt;&gt;"",原始資料!AQ284=原始資料!AP284),N(AN284)+1,1))</f>
        <v/>
      </c>
      <c r="AP284" s="6">
        <f>IF(OR(原始資料!$A284="",41&gt;設定!$B$3,原始資料!AR284=""),"",IF(AND(原始資料!AQ284&lt;&gt;"",原始資料!AR284=原始資料!AQ284),N(AO284)+1,1))</f>
        <v/>
      </c>
      <c r="AQ284" s="6">
        <f>IF(OR(原始資料!$A284="",42&gt;設定!$B$3,原始資料!AS284=""),"",IF(AND(原始資料!AR284&lt;&gt;"",原始資料!AS284=原始資料!AR284),N(AP284)+1,1))</f>
        <v/>
      </c>
      <c r="AR284" s="6">
        <f>IF(OR(原始資料!$A284="",43&gt;設定!$B$3,原始資料!AT284=""),"",IF(AND(原始資料!AS284&lt;&gt;"",原始資料!AT284=原始資料!AS284),N(AQ284)+1,1))</f>
        <v/>
      </c>
      <c r="AS284" s="6">
        <f>IF(OR(原始資料!$A284="",44&gt;設定!$B$3,原始資料!AU284=""),"",IF(AND(原始資料!AT284&lt;&gt;"",原始資料!AU284=原始資料!AT284),N(AR284)+1,1))</f>
        <v/>
      </c>
      <c r="AT284" s="6">
        <f>IF(OR(原始資料!$A284="",45&gt;設定!$B$3,原始資料!AV284=""),"",IF(AND(原始資料!AU284&lt;&gt;"",原始資料!AV284=原始資料!AU284),N(AS284)+1,1))</f>
        <v/>
      </c>
      <c r="AU284" s="6">
        <f>IF(OR(原始資料!$A284="",46&gt;設定!$B$3,原始資料!AW284=""),"",IF(AND(原始資料!AV284&lt;&gt;"",原始資料!AW284=原始資料!AV284),N(AT284)+1,1))</f>
        <v/>
      </c>
      <c r="AV284" s="6">
        <f>IF(OR(原始資料!$A284="",47&gt;設定!$B$3,原始資料!AX284=""),"",IF(AND(原始資料!AW284&lt;&gt;"",原始資料!AX284=原始資料!AW284),N(AU284)+1,1))</f>
        <v/>
      </c>
      <c r="AW284" s="6">
        <f>IF(OR(原始資料!$A284="",48&gt;設定!$B$3,原始資料!AY284=""),"",IF(AND(原始資料!AX284&lt;&gt;"",原始資料!AY284=原始資料!AX284),N(AV284)+1,1))</f>
        <v/>
      </c>
      <c r="AX284" s="6">
        <f>IF(OR(原始資料!$A284="",49&gt;設定!$B$3,原始資料!AZ284=""),"",IF(AND(原始資料!AY284&lt;&gt;"",原始資料!AZ284=原始資料!AY284),N(AW284)+1,1))</f>
        <v/>
      </c>
      <c r="AY284" s="6">
        <f>IF(OR(原始資料!$A284="",50&gt;設定!$B$3,原始資料!BA284=""),"",IF(AND(原始資料!AZ284&lt;&gt;"",原始資料!BA284=原始資料!AZ284),N(AX284)+1,1))</f>
        <v/>
      </c>
      <c r="AZ284" s="6">
        <f>IF(OR(原始資料!$A284="",51&gt;設定!$B$3,原始資料!BB284=""),"",IF(AND(原始資料!BA284&lt;&gt;"",原始資料!BB284=原始資料!BA284),N(AY284)+1,1))</f>
        <v/>
      </c>
      <c r="BA284" s="6">
        <f>IF(OR(原始資料!$A284="",52&gt;設定!$B$3,原始資料!BC284=""),"",IF(AND(原始資料!BB284&lt;&gt;"",原始資料!BC284=原始資料!BB284),N(AZ284)+1,1))</f>
        <v/>
      </c>
      <c r="BB284" s="6">
        <f>IF(OR(原始資料!$A284="",53&gt;設定!$B$3,原始資料!BD284=""),"",IF(AND(原始資料!BC284&lt;&gt;"",原始資料!BD284=原始資料!BC284),N(BA284)+1,1))</f>
        <v/>
      </c>
      <c r="BC284" s="6">
        <f>IF(OR(原始資料!$A284="",54&gt;設定!$B$3,原始資料!BE284=""),"",IF(AND(原始資料!BD284&lt;&gt;"",原始資料!BE284=原始資料!BD284),N(BB284)+1,1))</f>
        <v/>
      </c>
      <c r="BD284" s="6">
        <f>IF(OR(原始資料!$A284="",55&gt;設定!$B$3,原始資料!BF284=""),"",IF(AND(原始資料!BE284&lt;&gt;"",原始資料!BF284=原始資料!BE284),N(BC284)+1,1))</f>
        <v/>
      </c>
      <c r="BE284" s="6">
        <f>IF(OR(原始資料!$A284="",56&gt;設定!$B$3,原始資料!BG284=""),"",IF(AND(原始資料!BF284&lt;&gt;"",原始資料!BG284=原始資料!BF284),N(BD284)+1,1))</f>
        <v/>
      </c>
      <c r="BF284" s="6">
        <f>IF(OR(原始資料!$A284="",57&gt;設定!$B$3,原始資料!BH284=""),"",IF(AND(原始資料!BG284&lt;&gt;"",原始資料!BH284=原始資料!BG284),N(BE284)+1,1))</f>
        <v/>
      </c>
      <c r="BG284" s="6">
        <f>IF(OR(原始資料!$A284="",58&gt;設定!$B$3,原始資料!BI284=""),"",IF(AND(原始資料!BH284&lt;&gt;"",原始資料!BI284=原始資料!BH284),N(BF284)+1,1))</f>
        <v/>
      </c>
      <c r="BH284" s="6">
        <f>IF(OR(原始資料!$A284="",59&gt;設定!$B$3,原始資料!BJ284=""),"",IF(AND(原始資料!BI284&lt;&gt;"",原始資料!BJ284=原始資料!BI284),N(BG284)+1,1))</f>
        <v/>
      </c>
      <c r="BI284" s="6">
        <f>IF(OR(原始資料!$A284="",60&gt;設定!$B$3,原始資料!BK284=""),"",IF(AND(原始資料!BJ284&lt;&gt;"",原始資料!BK284=原始資料!BJ284),N(BH284)+1,1))</f>
        <v/>
      </c>
    </row>
    <row r="285">
      <c r="A285" s="6">
        <f>IF(原始資料!$A285="","",原始資料!$A285)</f>
        <v/>
      </c>
      <c r="B285" s="6">
        <f>IF(OR(原始資料!$A285="",1&gt;設定!$B$3,原始資料!D285=""),"",1)</f>
        <v/>
      </c>
      <c r="C285" s="6">
        <f>IF(OR(原始資料!$A285="",2&gt;設定!$B$3,原始資料!E285=""),"",IF(AND(原始資料!D285&lt;&gt;"",原始資料!E285=原始資料!D285),N(B285)+1,1))</f>
        <v/>
      </c>
      <c r="D285" s="6">
        <f>IF(OR(原始資料!$A285="",3&gt;設定!$B$3,原始資料!F285=""),"",IF(AND(原始資料!E285&lt;&gt;"",原始資料!F285=原始資料!E285),N(C285)+1,1))</f>
        <v/>
      </c>
      <c r="E285" s="6">
        <f>IF(OR(原始資料!$A285="",4&gt;設定!$B$3,原始資料!G285=""),"",IF(AND(原始資料!F285&lt;&gt;"",原始資料!G285=原始資料!F285),N(D285)+1,1))</f>
        <v/>
      </c>
      <c r="F285" s="6">
        <f>IF(OR(原始資料!$A285="",5&gt;設定!$B$3,原始資料!H285=""),"",IF(AND(原始資料!G285&lt;&gt;"",原始資料!H285=原始資料!G285),N(E285)+1,1))</f>
        <v/>
      </c>
      <c r="G285" s="6">
        <f>IF(OR(原始資料!$A285="",6&gt;設定!$B$3,原始資料!I285=""),"",IF(AND(原始資料!H285&lt;&gt;"",原始資料!I285=原始資料!H285),N(F285)+1,1))</f>
        <v/>
      </c>
      <c r="H285" s="6">
        <f>IF(OR(原始資料!$A285="",7&gt;設定!$B$3,原始資料!J285=""),"",IF(AND(原始資料!I285&lt;&gt;"",原始資料!J285=原始資料!I285),N(G285)+1,1))</f>
        <v/>
      </c>
      <c r="I285" s="6">
        <f>IF(OR(原始資料!$A285="",8&gt;設定!$B$3,原始資料!K285=""),"",IF(AND(原始資料!J285&lt;&gt;"",原始資料!K285=原始資料!J285),N(H285)+1,1))</f>
        <v/>
      </c>
      <c r="J285" s="6">
        <f>IF(OR(原始資料!$A285="",9&gt;設定!$B$3,原始資料!L285=""),"",IF(AND(原始資料!K285&lt;&gt;"",原始資料!L285=原始資料!K285),N(I285)+1,1))</f>
        <v/>
      </c>
      <c r="K285" s="6">
        <f>IF(OR(原始資料!$A285="",10&gt;設定!$B$3,原始資料!M285=""),"",IF(AND(原始資料!L285&lt;&gt;"",原始資料!M285=原始資料!L285),N(J285)+1,1))</f>
        <v/>
      </c>
      <c r="L285" s="6">
        <f>IF(OR(原始資料!$A285="",11&gt;設定!$B$3,原始資料!N285=""),"",IF(AND(原始資料!M285&lt;&gt;"",原始資料!N285=原始資料!M285),N(K285)+1,1))</f>
        <v/>
      </c>
      <c r="M285" s="6">
        <f>IF(OR(原始資料!$A285="",12&gt;設定!$B$3,原始資料!O285=""),"",IF(AND(原始資料!N285&lt;&gt;"",原始資料!O285=原始資料!N285),N(L285)+1,1))</f>
        <v/>
      </c>
      <c r="N285" s="6">
        <f>IF(OR(原始資料!$A285="",13&gt;設定!$B$3,原始資料!P285=""),"",IF(AND(原始資料!O285&lt;&gt;"",原始資料!P285=原始資料!O285),N(M285)+1,1))</f>
        <v/>
      </c>
      <c r="O285" s="6">
        <f>IF(OR(原始資料!$A285="",14&gt;設定!$B$3,原始資料!Q285=""),"",IF(AND(原始資料!P285&lt;&gt;"",原始資料!Q285=原始資料!P285),N(N285)+1,1))</f>
        <v/>
      </c>
      <c r="P285" s="6">
        <f>IF(OR(原始資料!$A285="",15&gt;設定!$B$3,原始資料!R285=""),"",IF(AND(原始資料!Q285&lt;&gt;"",原始資料!R285=原始資料!Q285),N(O285)+1,1))</f>
        <v/>
      </c>
      <c r="Q285" s="6">
        <f>IF(OR(原始資料!$A285="",16&gt;設定!$B$3,原始資料!S285=""),"",IF(AND(原始資料!R285&lt;&gt;"",原始資料!S285=原始資料!R285),N(P285)+1,1))</f>
        <v/>
      </c>
      <c r="R285" s="6">
        <f>IF(OR(原始資料!$A285="",17&gt;設定!$B$3,原始資料!T285=""),"",IF(AND(原始資料!S285&lt;&gt;"",原始資料!T285=原始資料!S285),N(Q285)+1,1))</f>
        <v/>
      </c>
      <c r="S285" s="6">
        <f>IF(OR(原始資料!$A285="",18&gt;設定!$B$3,原始資料!U285=""),"",IF(AND(原始資料!T285&lt;&gt;"",原始資料!U285=原始資料!T285),N(R285)+1,1))</f>
        <v/>
      </c>
      <c r="T285" s="6">
        <f>IF(OR(原始資料!$A285="",19&gt;設定!$B$3,原始資料!V285=""),"",IF(AND(原始資料!U285&lt;&gt;"",原始資料!V285=原始資料!U285),N(S285)+1,1))</f>
        <v/>
      </c>
      <c r="U285" s="6">
        <f>IF(OR(原始資料!$A285="",20&gt;設定!$B$3,原始資料!W285=""),"",IF(AND(原始資料!V285&lt;&gt;"",原始資料!W285=原始資料!V285),N(T285)+1,1))</f>
        <v/>
      </c>
      <c r="V285" s="6">
        <f>IF(OR(原始資料!$A285="",21&gt;設定!$B$3,原始資料!X285=""),"",IF(AND(原始資料!W285&lt;&gt;"",原始資料!X285=原始資料!W285),N(U285)+1,1))</f>
        <v/>
      </c>
      <c r="W285" s="6">
        <f>IF(OR(原始資料!$A285="",22&gt;設定!$B$3,原始資料!Y285=""),"",IF(AND(原始資料!X285&lt;&gt;"",原始資料!Y285=原始資料!X285),N(V285)+1,1))</f>
        <v/>
      </c>
      <c r="X285" s="6">
        <f>IF(OR(原始資料!$A285="",23&gt;設定!$B$3,原始資料!Z285=""),"",IF(AND(原始資料!Y285&lt;&gt;"",原始資料!Z285=原始資料!Y285),N(W285)+1,1))</f>
        <v/>
      </c>
      <c r="Y285" s="6">
        <f>IF(OR(原始資料!$A285="",24&gt;設定!$B$3,原始資料!AA285=""),"",IF(AND(原始資料!Z285&lt;&gt;"",原始資料!AA285=原始資料!Z285),N(X285)+1,1))</f>
        <v/>
      </c>
      <c r="Z285" s="6">
        <f>IF(OR(原始資料!$A285="",25&gt;設定!$B$3,原始資料!AB285=""),"",IF(AND(原始資料!AA285&lt;&gt;"",原始資料!AB285=原始資料!AA285),N(Y285)+1,1))</f>
        <v/>
      </c>
      <c r="AA285" s="6">
        <f>IF(OR(原始資料!$A285="",26&gt;設定!$B$3,原始資料!AC285=""),"",IF(AND(原始資料!AB285&lt;&gt;"",原始資料!AC285=原始資料!AB285),N(Z285)+1,1))</f>
        <v/>
      </c>
      <c r="AB285" s="6">
        <f>IF(OR(原始資料!$A285="",27&gt;設定!$B$3,原始資料!AD285=""),"",IF(AND(原始資料!AC285&lt;&gt;"",原始資料!AD285=原始資料!AC285),N(AA285)+1,1))</f>
        <v/>
      </c>
      <c r="AC285" s="6">
        <f>IF(OR(原始資料!$A285="",28&gt;設定!$B$3,原始資料!AE285=""),"",IF(AND(原始資料!AD285&lt;&gt;"",原始資料!AE285=原始資料!AD285),N(AB285)+1,1))</f>
        <v/>
      </c>
      <c r="AD285" s="6">
        <f>IF(OR(原始資料!$A285="",29&gt;設定!$B$3,原始資料!AF285=""),"",IF(AND(原始資料!AE285&lt;&gt;"",原始資料!AF285=原始資料!AE285),N(AC285)+1,1))</f>
        <v/>
      </c>
      <c r="AE285" s="6">
        <f>IF(OR(原始資料!$A285="",30&gt;設定!$B$3,原始資料!AG285=""),"",IF(AND(原始資料!AF285&lt;&gt;"",原始資料!AG285=原始資料!AF285),N(AD285)+1,1))</f>
        <v/>
      </c>
      <c r="AF285" s="6">
        <f>IF(OR(原始資料!$A285="",31&gt;設定!$B$3,原始資料!AH285=""),"",IF(AND(原始資料!AG285&lt;&gt;"",原始資料!AH285=原始資料!AG285),N(AE285)+1,1))</f>
        <v/>
      </c>
      <c r="AG285" s="6">
        <f>IF(OR(原始資料!$A285="",32&gt;設定!$B$3,原始資料!AI285=""),"",IF(AND(原始資料!AH285&lt;&gt;"",原始資料!AI285=原始資料!AH285),N(AF285)+1,1))</f>
        <v/>
      </c>
      <c r="AH285" s="6">
        <f>IF(OR(原始資料!$A285="",33&gt;設定!$B$3,原始資料!AJ285=""),"",IF(AND(原始資料!AI285&lt;&gt;"",原始資料!AJ285=原始資料!AI285),N(AG285)+1,1))</f>
        <v/>
      </c>
      <c r="AI285" s="6">
        <f>IF(OR(原始資料!$A285="",34&gt;設定!$B$3,原始資料!AK285=""),"",IF(AND(原始資料!AJ285&lt;&gt;"",原始資料!AK285=原始資料!AJ285),N(AH285)+1,1))</f>
        <v/>
      </c>
      <c r="AJ285" s="6">
        <f>IF(OR(原始資料!$A285="",35&gt;設定!$B$3,原始資料!AL285=""),"",IF(AND(原始資料!AK285&lt;&gt;"",原始資料!AL285=原始資料!AK285),N(AI285)+1,1))</f>
        <v/>
      </c>
      <c r="AK285" s="6">
        <f>IF(OR(原始資料!$A285="",36&gt;設定!$B$3,原始資料!AM285=""),"",IF(AND(原始資料!AL285&lt;&gt;"",原始資料!AM285=原始資料!AL285),N(AJ285)+1,1))</f>
        <v/>
      </c>
      <c r="AL285" s="6">
        <f>IF(OR(原始資料!$A285="",37&gt;設定!$B$3,原始資料!AN285=""),"",IF(AND(原始資料!AM285&lt;&gt;"",原始資料!AN285=原始資料!AM285),N(AK285)+1,1))</f>
        <v/>
      </c>
      <c r="AM285" s="6">
        <f>IF(OR(原始資料!$A285="",38&gt;設定!$B$3,原始資料!AO285=""),"",IF(AND(原始資料!AN285&lt;&gt;"",原始資料!AO285=原始資料!AN285),N(AL285)+1,1))</f>
        <v/>
      </c>
      <c r="AN285" s="6">
        <f>IF(OR(原始資料!$A285="",39&gt;設定!$B$3,原始資料!AP285=""),"",IF(AND(原始資料!AO285&lt;&gt;"",原始資料!AP285=原始資料!AO285),N(AM285)+1,1))</f>
        <v/>
      </c>
      <c r="AO285" s="6">
        <f>IF(OR(原始資料!$A285="",40&gt;設定!$B$3,原始資料!AQ285=""),"",IF(AND(原始資料!AP285&lt;&gt;"",原始資料!AQ285=原始資料!AP285),N(AN285)+1,1))</f>
        <v/>
      </c>
      <c r="AP285" s="6">
        <f>IF(OR(原始資料!$A285="",41&gt;設定!$B$3,原始資料!AR285=""),"",IF(AND(原始資料!AQ285&lt;&gt;"",原始資料!AR285=原始資料!AQ285),N(AO285)+1,1))</f>
        <v/>
      </c>
      <c r="AQ285" s="6">
        <f>IF(OR(原始資料!$A285="",42&gt;設定!$B$3,原始資料!AS285=""),"",IF(AND(原始資料!AR285&lt;&gt;"",原始資料!AS285=原始資料!AR285),N(AP285)+1,1))</f>
        <v/>
      </c>
      <c r="AR285" s="6">
        <f>IF(OR(原始資料!$A285="",43&gt;設定!$B$3,原始資料!AT285=""),"",IF(AND(原始資料!AS285&lt;&gt;"",原始資料!AT285=原始資料!AS285),N(AQ285)+1,1))</f>
        <v/>
      </c>
      <c r="AS285" s="6">
        <f>IF(OR(原始資料!$A285="",44&gt;設定!$B$3,原始資料!AU285=""),"",IF(AND(原始資料!AT285&lt;&gt;"",原始資料!AU285=原始資料!AT285),N(AR285)+1,1))</f>
        <v/>
      </c>
      <c r="AT285" s="6">
        <f>IF(OR(原始資料!$A285="",45&gt;設定!$B$3,原始資料!AV285=""),"",IF(AND(原始資料!AU285&lt;&gt;"",原始資料!AV285=原始資料!AU285),N(AS285)+1,1))</f>
        <v/>
      </c>
      <c r="AU285" s="6">
        <f>IF(OR(原始資料!$A285="",46&gt;設定!$B$3,原始資料!AW285=""),"",IF(AND(原始資料!AV285&lt;&gt;"",原始資料!AW285=原始資料!AV285),N(AT285)+1,1))</f>
        <v/>
      </c>
      <c r="AV285" s="6">
        <f>IF(OR(原始資料!$A285="",47&gt;設定!$B$3,原始資料!AX285=""),"",IF(AND(原始資料!AW285&lt;&gt;"",原始資料!AX285=原始資料!AW285),N(AU285)+1,1))</f>
        <v/>
      </c>
      <c r="AW285" s="6">
        <f>IF(OR(原始資料!$A285="",48&gt;設定!$B$3,原始資料!AY285=""),"",IF(AND(原始資料!AX285&lt;&gt;"",原始資料!AY285=原始資料!AX285),N(AV285)+1,1))</f>
        <v/>
      </c>
      <c r="AX285" s="6">
        <f>IF(OR(原始資料!$A285="",49&gt;設定!$B$3,原始資料!AZ285=""),"",IF(AND(原始資料!AY285&lt;&gt;"",原始資料!AZ285=原始資料!AY285),N(AW285)+1,1))</f>
        <v/>
      </c>
      <c r="AY285" s="6">
        <f>IF(OR(原始資料!$A285="",50&gt;設定!$B$3,原始資料!BA285=""),"",IF(AND(原始資料!AZ285&lt;&gt;"",原始資料!BA285=原始資料!AZ285),N(AX285)+1,1))</f>
        <v/>
      </c>
      <c r="AZ285" s="6">
        <f>IF(OR(原始資料!$A285="",51&gt;設定!$B$3,原始資料!BB285=""),"",IF(AND(原始資料!BA285&lt;&gt;"",原始資料!BB285=原始資料!BA285),N(AY285)+1,1))</f>
        <v/>
      </c>
      <c r="BA285" s="6">
        <f>IF(OR(原始資料!$A285="",52&gt;設定!$B$3,原始資料!BC285=""),"",IF(AND(原始資料!BB285&lt;&gt;"",原始資料!BC285=原始資料!BB285),N(AZ285)+1,1))</f>
        <v/>
      </c>
      <c r="BB285" s="6">
        <f>IF(OR(原始資料!$A285="",53&gt;設定!$B$3,原始資料!BD285=""),"",IF(AND(原始資料!BC285&lt;&gt;"",原始資料!BD285=原始資料!BC285),N(BA285)+1,1))</f>
        <v/>
      </c>
      <c r="BC285" s="6">
        <f>IF(OR(原始資料!$A285="",54&gt;設定!$B$3,原始資料!BE285=""),"",IF(AND(原始資料!BD285&lt;&gt;"",原始資料!BE285=原始資料!BD285),N(BB285)+1,1))</f>
        <v/>
      </c>
      <c r="BD285" s="6">
        <f>IF(OR(原始資料!$A285="",55&gt;設定!$B$3,原始資料!BF285=""),"",IF(AND(原始資料!BE285&lt;&gt;"",原始資料!BF285=原始資料!BE285),N(BC285)+1,1))</f>
        <v/>
      </c>
      <c r="BE285" s="6">
        <f>IF(OR(原始資料!$A285="",56&gt;設定!$B$3,原始資料!BG285=""),"",IF(AND(原始資料!BF285&lt;&gt;"",原始資料!BG285=原始資料!BF285),N(BD285)+1,1))</f>
        <v/>
      </c>
      <c r="BF285" s="6">
        <f>IF(OR(原始資料!$A285="",57&gt;設定!$B$3,原始資料!BH285=""),"",IF(AND(原始資料!BG285&lt;&gt;"",原始資料!BH285=原始資料!BG285),N(BE285)+1,1))</f>
        <v/>
      </c>
      <c r="BG285" s="6">
        <f>IF(OR(原始資料!$A285="",58&gt;設定!$B$3,原始資料!BI285=""),"",IF(AND(原始資料!BH285&lt;&gt;"",原始資料!BI285=原始資料!BH285),N(BF285)+1,1))</f>
        <v/>
      </c>
      <c r="BH285" s="6">
        <f>IF(OR(原始資料!$A285="",59&gt;設定!$B$3,原始資料!BJ285=""),"",IF(AND(原始資料!BI285&lt;&gt;"",原始資料!BJ285=原始資料!BI285),N(BG285)+1,1))</f>
        <v/>
      </c>
      <c r="BI285" s="6">
        <f>IF(OR(原始資料!$A285="",60&gt;設定!$B$3,原始資料!BK285=""),"",IF(AND(原始資料!BJ285&lt;&gt;"",原始資料!BK285=原始資料!BJ285),N(BH285)+1,1))</f>
        <v/>
      </c>
    </row>
    <row r="286">
      <c r="A286" s="6">
        <f>IF(原始資料!$A286="","",原始資料!$A286)</f>
        <v/>
      </c>
      <c r="B286" s="6">
        <f>IF(OR(原始資料!$A286="",1&gt;設定!$B$3,原始資料!D286=""),"",1)</f>
        <v/>
      </c>
      <c r="C286" s="6">
        <f>IF(OR(原始資料!$A286="",2&gt;設定!$B$3,原始資料!E286=""),"",IF(AND(原始資料!D286&lt;&gt;"",原始資料!E286=原始資料!D286),N(B286)+1,1))</f>
        <v/>
      </c>
      <c r="D286" s="6">
        <f>IF(OR(原始資料!$A286="",3&gt;設定!$B$3,原始資料!F286=""),"",IF(AND(原始資料!E286&lt;&gt;"",原始資料!F286=原始資料!E286),N(C286)+1,1))</f>
        <v/>
      </c>
      <c r="E286" s="6">
        <f>IF(OR(原始資料!$A286="",4&gt;設定!$B$3,原始資料!G286=""),"",IF(AND(原始資料!F286&lt;&gt;"",原始資料!G286=原始資料!F286),N(D286)+1,1))</f>
        <v/>
      </c>
      <c r="F286" s="6">
        <f>IF(OR(原始資料!$A286="",5&gt;設定!$B$3,原始資料!H286=""),"",IF(AND(原始資料!G286&lt;&gt;"",原始資料!H286=原始資料!G286),N(E286)+1,1))</f>
        <v/>
      </c>
      <c r="G286" s="6">
        <f>IF(OR(原始資料!$A286="",6&gt;設定!$B$3,原始資料!I286=""),"",IF(AND(原始資料!H286&lt;&gt;"",原始資料!I286=原始資料!H286),N(F286)+1,1))</f>
        <v/>
      </c>
      <c r="H286" s="6">
        <f>IF(OR(原始資料!$A286="",7&gt;設定!$B$3,原始資料!J286=""),"",IF(AND(原始資料!I286&lt;&gt;"",原始資料!J286=原始資料!I286),N(G286)+1,1))</f>
        <v/>
      </c>
      <c r="I286" s="6">
        <f>IF(OR(原始資料!$A286="",8&gt;設定!$B$3,原始資料!K286=""),"",IF(AND(原始資料!J286&lt;&gt;"",原始資料!K286=原始資料!J286),N(H286)+1,1))</f>
        <v/>
      </c>
      <c r="J286" s="6">
        <f>IF(OR(原始資料!$A286="",9&gt;設定!$B$3,原始資料!L286=""),"",IF(AND(原始資料!K286&lt;&gt;"",原始資料!L286=原始資料!K286),N(I286)+1,1))</f>
        <v/>
      </c>
      <c r="K286" s="6">
        <f>IF(OR(原始資料!$A286="",10&gt;設定!$B$3,原始資料!M286=""),"",IF(AND(原始資料!L286&lt;&gt;"",原始資料!M286=原始資料!L286),N(J286)+1,1))</f>
        <v/>
      </c>
      <c r="L286" s="6">
        <f>IF(OR(原始資料!$A286="",11&gt;設定!$B$3,原始資料!N286=""),"",IF(AND(原始資料!M286&lt;&gt;"",原始資料!N286=原始資料!M286),N(K286)+1,1))</f>
        <v/>
      </c>
      <c r="M286" s="6">
        <f>IF(OR(原始資料!$A286="",12&gt;設定!$B$3,原始資料!O286=""),"",IF(AND(原始資料!N286&lt;&gt;"",原始資料!O286=原始資料!N286),N(L286)+1,1))</f>
        <v/>
      </c>
      <c r="N286" s="6">
        <f>IF(OR(原始資料!$A286="",13&gt;設定!$B$3,原始資料!P286=""),"",IF(AND(原始資料!O286&lt;&gt;"",原始資料!P286=原始資料!O286),N(M286)+1,1))</f>
        <v/>
      </c>
      <c r="O286" s="6">
        <f>IF(OR(原始資料!$A286="",14&gt;設定!$B$3,原始資料!Q286=""),"",IF(AND(原始資料!P286&lt;&gt;"",原始資料!Q286=原始資料!P286),N(N286)+1,1))</f>
        <v/>
      </c>
      <c r="P286" s="6">
        <f>IF(OR(原始資料!$A286="",15&gt;設定!$B$3,原始資料!R286=""),"",IF(AND(原始資料!Q286&lt;&gt;"",原始資料!R286=原始資料!Q286),N(O286)+1,1))</f>
        <v/>
      </c>
      <c r="Q286" s="6">
        <f>IF(OR(原始資料!$A286="",16&gt;設定!$B$3,原始資料!S286=""),"",IF(AND(原始資料!R286&lt;&gt;"",原始資料!S286=原始資料!R286),N(P286)+1,1))</f>
        <v/>
      </c>
      <c r="R286" s="6">
        <f>IF(OR(原始資料!$A286="",17&gt;設定!$B$3,原始資料!T286=""),"",IF(AND(原始資料!S286&lt;&gt;"",原始資料!T286=原始資料!S286),N(Q286)+1,1))</f>
        <v/>
      </c>
      <c r="S286" s="6">
        <f>IF(OR(原始資料!$A286="",18&gt;設定!$B$3,原始資料!U286=""),"",IF(AND(原始資料!T286&lt;&gt;"",原始資料!U286=原始資料!T286),N(R286)+1,1))</f>
        <v/>
      </c>
      <c r="T286" s="6">
        <f>IF(OR(原始資料!$A286="",19&gt;設定!$B$3,原始資料!V286=""),"",IF(AND(原始資料!U286&lt;&gt;"",原始資料!V286=原始資料!U286),N(S286)+1,1))</f>
        <v/>
      </c>
      <c r="U286" s="6">
        <f>IF(OR(原始資料!$A286="",20&gt;設定!$B$3,原始資料!W286=""),"",IF(AND(原始資料!V286&lt;&gt;"",原始資料!W286=原始資料!V286),N(T286)+1,1))</f>
        <v/>
      </c>
      <c r="V286" s="6">
        <f>IF(OR(原始資料!$A286="",21&gt;設定!$B$3,原始資料!X286=""),"",IF(AND(原始資料!W286&lt;&gt;"",原始資料!X286=原始資料!W286),N(U286)+1,1))</f>
        <v/>
      </c>
      <c r="W286" s="6">
        <f>IF(OR(原始資料!$A286="",22&gt;設定!$B$3,原始資料!Y286=""),"",IF(AND(原始資料!X286&lt;&gt;"",原始資料!Y286=原始資料!X286),N(V286)+1,1))</f>
        <v/>
      </c>
      <c r="X286" s="6">
        <f>IF(OR(原始資料!$A286="",23&gt;設定!$B$3,原始資料!Z286=""),"",IF(AND(原始資料!Y286&lt;&gt;"",原始資料!Z286=原始資料!Y286),N(W286)+1,1))</f>
        <v/>
      </c>
      <c r="Y286" s="6">
        <f>IF(OR(原始資料!$A286="",24&gt;設定!$B$3,原始資料!AA286=""),"",IF(AND(原始資料!Z286&lt;&gt;"",原始資料!AA286=原始資料!Z286),N(X286)+1,1))</f>
        <v/>
      </c>
      <c r="Z286" s="6">
        <f>IF(OR(原始資料!$A286="",25&gt;設定!$B$3,原始資料!AB286=""),"",IF(AND(原始資料!AA286&lt;&gt;"",原始資料!AB286=原始資料!AA286),N(Y286)+1,1))</f>
        <v/>
      </c>
      <c r="AA286" s="6">
        <f>IF(OR(原始資料!$A286="",26&gt;設定!$B$3,原始資料!AC286=""),"",IF(AND(原始資料!AB286&lt;&gt;"",原始資料!AC286=原始資料!AB286),N(Z286)+1,1))</f>
        <v/>
      </c>
      <c r="AB286" s="6">
        <f>IF(OR(原始資料!$A286="",27&gt;設定!$B$3,原始資料!AD286=""),"",IF(AND(原始資料!AC286&lt;&gt;"",原始資料!AD286=原始資料!AC286),N(AA286)+1,1))</f>
        <v/>
      </c>
      <c r="AC286" s="6">
        <f>IF(OR(原始資料!$A286="",28&gt;設定!$B$3,原始資料!AE286=""),"",IF(AND(原始資料!AD286&lt;&gt;"",原始資料!AE286=原始資料!AD286),N(AB286)+1,1))</f>
        <v/>
      </c>
      <c r="AD286" s="6">
        <f>IF(OR(原始資料!$A286="",29&gt;設定!$B$3,原始資料!AF286=""),"",IF(AND(原始資料!AE286&lt;&gt;"",原始資料!AF286=原始資料!AE286),N(AC286)+1,1))</f>
        <v/>
      </c>
      <c r="AE286" s="6">
        <f>IF(OR(原始資料!$A286="",30&gt;設定!$B$3,原始資料!AG286=""),"",IF(AND(原始資料!AF286&lt;&gt;"",原始資料!AG286=原始資料!AF286),N(AD286)+1,1))</f>
        <v/>
      </c>
      <c r="AF286" s="6">
        <f>IF(OR(原始資料!$A286="",31&gt;設定!$B$3,原始資料!AH286=""),"",IF(AND(原始資料!AG286&lt;&gt;"",原始資料!AH286=原始資料!AG286),N(AE286)+1,1))</f>
        <v/>
      </c>
      <c r="AG286" s="6">
        <f>IF(OR(原始資料!$A286="",32&gt;設定!$B$3,原始資料!AI286=""),"",IF(AND(原始資料!AH286&lt;&gt;"",原始資料!AI286=原始資料!AH286),N(AF286)+1,1))</f>
        <v/>
      </c>
      <c r="AH286" s="6">
        <f>IF(OR(原始資料!$A286="",33&gt;設定!$B$3,原始資料!AJ286=""),"",IF(AND(原始資料!AI286&lt;&gt;"",原始資料!AJ286=原始資料!AI286),N(AG286)+1,1))</f>
        <v/>
      </c>
      <c r="AI286" s="6">
        <f>IF(OR(原始資料!$A286="",34&gt;設定!$B$3,原始資料!AK286=""),"",IF(AND(原始資料!AJ286&lt;&gt;"",原始資料!AK286=原始資料!AJ286),N(AH286)+1,1))</f>
        <v/>
      </c>
      <c r="AJ286" s="6">
        <f>IF(OR(原始資料!$A286="",35&gt;設定!$B$3,原始資料!AL286=""),"",IF(AND(原始資料!AK286&lt;&gt;"",原始資料!AL286=原始資料!AK286),N(AI286)+1,1))</f>
        <v/>
      </c>
      <c r="AK286" s="6">
        <f>IF(OR(原始資料!$A286="",36&gt;設定!$B$3,原始資料!AM286=""),"",IF(AND(原始資料!AL286&lt;&gt;"",原始資料!AM286=原始資料!AL286),N(AJ286)+1,1))</f>
        <v/>
      </c>
      <c r="AL286" s="6">
        <f>IF(OR(原始資料!$A286="",37&gt;設定!$B$3,原始資料!AN286=""),"",IF(AND(原始資料!AM286&lt;&gt;"",原始資料!AN286=原始資料!AM286),N(AK286)+1,1))</f>
        <v/>
      </c>
      <c r="AM286" s="6">
        <f>IF(OR(原始資料!$A286="",38&gt;設定!$B$3,原始資料!AO286=""),"",IF(AND(原始資料!AN286&lt;&gt;"",原始資料!AO286=原始資料!AN286),N(AL286)+1,1))</f>
        <v/>
      </c>
      <c r="AN286" s="6">
        <f>IF(OR(原始資料!$A286="",39&gt;設定!$B$3,原始資料!AP286=""),"",IF(AND(原始資料!AO286&lt;&gt;"",原始資料!AP286=原始資料!AO286),N(AM286)+1,1))</f>
        <v/>
      </c>
      <c r="AO286" s="6">
        <f>IF(OR(原始資料!$A286="",40&gt;設定!$B$3,原始資料!AQ286=""),"",IF(AND(原始資料!AP286&lt;&gt;"",原始資料!AQ286=原始資料!AP286),N(AN286)+1,1))</f>
        <v/>
      </c>
      <c r="AP286" s="6">
        <f>IF(OR(原始資料!$A286="",41&gt;設定!$B$3,原始資料!AR286=""),"",IF(AND(原始資料!AQ286&lt;&gt;"",原始資料!AR286=原始資料!AQ286),N(AO286)+1,1))</f>
        <v/>
      </c>
      <c r="AQ286" s="6">
        <f>IF(OR(原始資料!$A286="",42&gt;設定!$B$3,原始資料!AS286=""),"",IF(AND(原始資料!AR286&lt;&gt;"",原始資料!AS286=原始資料!AR286),N(AP286)+1,1))</f>
        <v/>
      </c>
      <c r="AR286" s="6">
        <f>IF(OR(原始資料!$A286="",43&gt;設定!$B$3,原始資料!AT286=""),"",IF(AND(原始資料!AS286&lt;&gt;"",原始資料!AT286=原始資料!AS286),N(AQ286)+1,1))</f>
        <v/>
      </c>
      <c r="AS286" s="6">
        <f>IF(OR(原始資料!$A286="",44&gt;設定!$B$3,原始資料!AU286=""),"",IF(AND(原始資料!AT286&lt;&gt;"",原始資料!AU286=原始資料!AT286),N(AR286)+1,1))</f>
        <v/>
      </c>
      <c r="AT286" s="6">
        <f>IF(OR(原始資料!$A286="",45&gt;設定!$B$3,原始資料!AV286=""),"",IF(AND(原始資料!AU286&lt;&gt;"",原始資料!AV286=原始資料!AU286),N(AS286)+1,1))</f>
        <v/>
      </c>
      <c r="AU286" s="6">
        <f>IF(OR(原始資料!$A286="",46&gt;設定!$B$3,原始資料!AW286=""),"",IF(AND(原始資料!AV286&lt;&gt;"",原始資料!AW286=原始資料!AV286),N(AT286)+1,1))</f>
        <v/>
      </c>
      <c r="AV286" s="6">
        <f>IF(OR(原始資料!$A286="",47&gt;設定!$B$3,原始資料!AX286=""),"",IF(AND(原始資料!AW286&lt;&gt;"",原始資料!AX286=原始資料!AW286),N(AU286)+1,1))</f>
        <v/>
      </c>
      <c r="AW286" s="6">
        <f>IF(OR(原始資料!$A286="",48&gt;設定!$B$3,原始資料!AY286=""),"",IF(AND(原始資料!AX286&lt;&gt;"",原始資料!AY286=原始資料!AX286),N(AV286)+1,1))</f>
        <v/>
      </c>
      <c r="AX286" s="6">
        <f>IF(OR(原始資料!$A286="",49&gt;設定!$B$3,原始資料!AZ286=""),"",IF(AND(原始資料!AY286&lt;&gt;"",原始資料!AZ286=原始資料!AY286),N(AW286)+1,1))</f>
        <v/>
      </c>
      <c r="AY286" s="6">
        <f>IF(OR(原始資料!$A286="",50&gt;設定!$B$3,原始資料!BA286=""),"",IF(AND(原始資料!AZ286&lt;&gt;"",原始資料!BA286=原始資料!AZ286),N(AX286)+1,1))</f>
        <v/>
      </c>
      <c r="AZ286" s="6">
        <f>IF(OR(原始資料!$A286="",51&gt;設定!$B$3,原始資料!BB286=""),"",IF(AND(原始資料!BA286&lt;&gt;"",原始資料!BB286=原始資料!BA286),N(AY286)+1,1))</f>
        <v/>
      </c>
      <c r="BA286" s="6">
        <f>IF(OR(原始資料!$A286="",52&gt;設定!$B$3,原始資料!BC286=""),"",IF(AND(原始資料!BB286&lt;&gt;"",原始資料!BC286=原始資料!BB286),N(AZ286)+1,1))</f>
        <v/>
      </c>
      <c r="BB286" s="6">
        <f>IF(OR(原始資料!$A286="",53&gt;設定!$B$3,原始資料!BD286=""),"",IF(AND(原始資料!BC286&lt;&gt;"",原始資料!BD286=原始資料!BC286),N(BA286)+1,1))</f>
        <v/>
      </c>
      <c r="BC286" s="6">
        <f>IF(OR(原始資料!$A286="",54&gt;設定!$B$3,原始資料!BE286=""),"",IF(AND(原始資料!BD286&lt;&gt;"",原始資料!BE286=原始資料!BD286),N(BB286)+1,1))</f>
        <v/>
      </c>
      <c r="BD286" s="6">
        <f>IF(OR(原始資料!$A286="",55&gt;設定!$B$3,原始資料!BF286=""),"",IF(AND(原始資料!BE286&lt;&gt;"",原始資料!BF286=原始資料!BE286),N(BC286)+1,1))</f>
        <v/>
      </c>
      <c r="BE286" s="6">
        <f>IF(OR(原始資料!$A286="",56&gt;設定!$B$3,原始資料!BG286=""),"",IF(AND(原始資料!BF286&lt;&gt;"",原始資料!BG286=原始資料!BF286),N(BD286)+1,1))</f>
        <v/>
      </c>
      <c r="BF286" s="6">
        <f>IF(OR(原始資料!$A286="",57&gt;設定!$B$3,原始資料!BH286=""),"",IF(AND(原始資料!BG286&lt;&gt;"",原始資料!BH286=原始資料!BG286),N(BE286)+1,1))</f>
        <v/>
      </c>
      <c r="BG286" s="6">
        <f>IF(OR(原始資料!$A286="",58&gt;設定!$B$3,原始資料!BI286=""),"",IF(AND(原始資料!BH286&lt;&gt;"",原始資料!BI286=原始資料!BH286),N(BF286)+1,1))</f>
        <v/>
      </c>
      <c r="BH286" s="6">
        <f>IF(OR(原始資料!$A286="",59&gt;設定!$B$3,原始資料!BJ286=""),"",IF(AND(原始資料!BI286&lt;&gt;"",原始資料!BJ286=原始資料!BI286),N(BG286)+1,1))</f>
        <v/>
      </c>
      <c r="BI286" s="6">
        <f>IF(OR(原始資料!$A286="",60&gt;設定!$B$3,原始資料!BK286=""),"",IF(AND(原始資料!BJ286&lt;&gt;"",原始資料!BK286=原始資料!BJ286),N(BH286)+1,1))</f>
        <v/>
      </c>
    </row>
    <row r="287">
      <c r="A287" s="6">
        <f>IF(原始資料!$A287="","",原始資料!$A287)</f>
        <v/>
      </c>
      <c r="B287" s="6">
        <f>IF(OR(原始資料!$A287="",1&gt;設定!$B$3,原始資料!D287=""),"",1)</f>
        <v/>
      </c>
      <c r="C287" s="6">
        <f>IF(OR(原始資料!$A287="",2&gt;設定!$B$3,原始資料!E287=""),"",IF(AND(原始資料!D287&lt;&gt;"",原始資料!E287=原始資料!D287),N(B287)+1,1))</f>
        <v/>
      </c>
      <c r="D287" s="6">
        <f>IF(OR(原始資料!$A287="",3&gt;設定!$B$3,原始資料!F287=""),"",IF(AND(原始資料!E287&lt;&gt;"",原始資料!F287=原始資料!E287),N(C287)+1,1))</f>
        <v/>
      </c>
      <c r="E287" s="6">
        <f>IF(OR(原始資料!$A287="",4&gt;設定!$B$3,原始資料!G287=""),"",IF(AND(原始資料!F287&lt;&gt;"",原始資料!G287=原始資料!F287),N(D287)+1,1))</f>
        <v/>
      </c>
      <c r="F287" s="6">
        <f>IF(OR(原始資料!$A287="",5&gt;設定!$B$3,原始資料!H287=""),"",IF(AND(原始資料!G287&lt;&gt;"",原始資料!H287=原始資料!G287),N(E287)+1,1))</f>
        <v/>
      </c>
      <c r="G287" s="6">
        <f>IF(OR(原始資料!$A287="",6&gt;設定!$B$3,原始資料!I287=""),"",IF(AND(原始資料!H287&lt;&gt;"",原始資料!I287=原始資料!H287),N(F287)+1,1))</f>
        <v/>
      </c>
      <c r="H287" s="6">
        <f>IF(OR(原始資料!$A287="",7&gt;設定!$B$3,原始資料!J287=""),"",IF(AND(原始資料!I287&lt;&gt;"",原始資料!J287=原始資料!I287),N(G287)+1,1))</f>
        <v/>
      </c>
      <c r="I287" s="6">
        <f>IF(OR(原始資料!$A287="",8&gt;設定!$B$3,原始資料!K287=""),"",IF(AND(原始資料!J287&lt;&gt;"",原始資料!K287=原始資料!J287),N(H287)+1,1))</f>
        <v/>
      </c>
      <c r="J287" s="6">
        <f>IF(OR(原始資料!$A287="",9&gt;設定!$B$3,原始資料!L287=""),"",IF(AND(原始資料!K287&lt;&gt;"",原始資料!L287=原始資料!K287),N(I287)+1,1))</f>
        <v/>
      </c>
      <c r="K287" s="6">
        <f>IF(OR(原始資料!$A287="",10&gt;設定!$B$3,原始資料!M287=""),"",IF(AND(原始資料!L287&lt;&gt;"",原始資料!M287=原始資料!L287),N(J287)+1,1))</f>
        <v/>
      </c>
      <c r="L287" s="6">
        <f>IF(OR(原始資料!$A287="",11&gt;設定!$B$3,原始資料!N287=""),"",IF(AND(原始資料!M287&lt;&gt;"",原始資料!N287=原始資料!M287),N(K287)+1,1))</f>
        <v/>
      </c>
      <c r="M287" s="6">
        <f>IF(OR(原始資料!$A287="",12&gt;設定!$B$3,原始資料!O287=""),"",IF(AND(原始資料!N287&lt;&gt;"",原始資料!O287=原始資料!N287),N(L287)+1,1))</f>
        <v/>
      </c>
      <c r="N287" s="6">
        <f>IF(OR(原始資料!$A287="",13&gt;設定!$B$3,原始資料!P287=""),"",IF(AND(原始資料!O287&lt;&gt;"",原始資料!P287=原始資料!O287),N(M287)+1,1))</f>
        <v/>
      </c>
      <c r="O287" s="6">
        <f>IF(OR(原始資料!$A287="",14&gt;設定!$B$3,原始資料!Q287=""),"",IF(AND(原始資料!P287&lt;&gt;"",原始資料!Q287=原始資料!P287),N(N287)+1,1))</f>
        <v/>
      </c>
      <c r="P287" s="6">
        <f>IF(OR(原始資料!$A287="",15&gt;設定!$B$3,原始資料!R287=""),"",IF(AND(原始資料!Q287&lt;&gt;"",原始資料!R287=原始資料!Q287),N(O287)+1,1))</f>
        <v/>
      </c>
      <c r="Q287" s="6">
        <f>IF(OR(原始資料!$A287="",16&gt;設定!$B$3,原始資料!S287=""),"",IF(AND(原始資料!R287&lt;&gt;"",原始資料!S287=原始資料!R287),N(P287)+1,1))</f>
        <v/>
      </c>
      <c r="R287" s="6">
        <f>IF(OR(原始資料!$A287="",17&gt;設定!$B$3,原始資料!T287=""),"",IF(AND(原始資料!S287&lt;&gt;"",原始資料!T287=原始資料!S287),N(Q287)+1,1))</f>
        <v/>
      </c>
      <c r="S287" s="6">
        <f>IF(OR(原始資料!$A287="",18&gt;設定!$B$3,原始資料!U287=""),"",IF(AND(原始資料!T287&lt;&gt;"",原始資料!U287=原始資料!T287),N(R287)+1,1))</f>
        <v/>
      </c>
      <c r="T287" s="6">
        <f>IF(OR(原始資料!$A287="",19&gt;設定!$B$3,原始資料!V287=""),"",IF(AND(原始資料!U287&lt;&gt;"",原始資料!V287=原始資料!U287),N(S287)+1,1))</f>
        <v/>
      </c>
      <c r="U287" s="6">
        <f>IF(OR(原始資料!$A287="",20&gt;設定!$B$3,原始資料!W287=""),"",IF(AND(原始資料!V287&lt;&gt;"",原始資料!W287=原始資料!V287),N(T287)+1,1))</f>
        <v/>
      </c>
      <c r="V287" s="6">
        <f>IF(OR(原始資料!$A287="",21&gt;設定!$B$3,原始資料!X287=""),"",IF(AND(原始資料!W287&lt;&gt;"",原始資料!X287=原始資料!W287),N(U287)+1,1))</f>
        <v/>
      </c>
      <c r="W287" s="6">
        <f>IF(OR(原始資料!$A287="",22&gt;設定!$B$3,原始資料!Y287=""),"",IF(AND(原始資料!X287&lt;&gt;"",原始資料!Y287=原始資料!X287),N(V287)+1,1))</f>
        <v/>
      </c>
      <c r="X287" s="6">
        <f>IF(OR(原始資料!$A287="",23&gt;設定!$B$3,原始資料!Z287=""),"",IF(AND(原始資料!Y287&lt;&gt;"",原始資料!Z287=原始資料!Y287),N(W287)+1,1))</f>
        <v/>
      </c>
      <c r="Y287" s="6">
        <f>IF(OR(原始資料!$A287="",24&gt;設定!$B$3,原始資料!AA287=""),"",IF(AND(原始資料!Z287&lt;&gt;"",原始資料!AA287=原始資料!Z287),N(X287)+1,1))</f>
        <v/>
      </c>
      <c r="Z287" s="6">
        <f>IF(OR(原始資料!$A287="",25&gt;設定!$B$3,原始資料!AB287=""),"",IF(AND(原始資料!AA287&lt;&gt;"",原始資料!AB287=原始資料!AA287),N(Y287)+1,1))</f>
        <v/>
      </c>
      <c r="AA287" s="6">
        <f>IF(OR(原始資料!$A287="",26&gt;設定!$B$3,原始資料!AC287=""),"",IF(AND(原始資料!AB287&lt;&gt;"",原始資料!AC287=原始資料!AB287),N(Z287)+1,1))</f>
        <v/>
      </c>
      <c r="AB287" s="6">
        <f>IF(OR(原始資料!$A287="",27&gt;設定!$B$3,原始資料!AD287=""),"",IF(AND(原始資料!AC287&lt;&gt;"",原始資料!AD287=原始資料!AC287),N(AA287)+1,1))</f>
        <v/>
      </c>
      <c r="AC287" s="6">
        <f>IF(OR(原始資料!$A287="",28&gt;設定!$B$3,原始資料!AE287=""),"",IF(AND(原始資料!AD287&lt;&gt;"",原始資料!AE287=原始資料!AD287),N(AB287)+1,1))</f>
        <v/>
      </c>
      <c r="AD287" s="6">
        <f>IF(OR(原始資料!$A287="",29&gt;設定!$B$3,原始資料!AF287=""),"",IF(AND(原始資料!AE287&lt;&gt;"",原始資料!AF287=原始資料!AE287),N(AC287)+1,1))</f>
        <v/>
      </c>
      <c r="AE287" s="6">
        <f>IF(OR(原始資料!$A287="",30&gt;設定!$B$3,原始資料!AG287=""),"",IF(AND(原始資料!AF287&lt;&gt;"",原始資料!AG287=原始資料!AF287),N(AD287)+1,1))</f>
        <v/>
      </c>
      <c r="AF287" s="6">
        <f>IF(OR(原始資料!$A287="",31&gt;設定!$B$3,原始資料!AH287=""),"",IF(AND(原始資料!AG287&lt;&gt;"",原始資料!AH287=原始資料!AG287),N(AE287)+1,1))</f>
        <v/>
      </c>
      <c r="AG287" s="6">
        <f>IF(OR(原始資料!$A287="",32&gt;設定!$B$3,原始資料!AI287=""),"",IF(AND(原始資料!AH287&lt;&gt;"",原始資料!AI287=原始資料!AH287),N(AF287)+1,1))</f>
        <v/>
      </c>
      <c r="AH287" s="6">
        <f>IF(OR(原始資料!$A287="",33&gt;設定!$B$3,原始資料!AJ287=""),"",IF(AND(原始資料!AI287&lt;&gt;"",原始資料!AJ287=原始資料!AI287),N(AG287)+1,1))</f>
        <v/>
      </c>
      <c r="AI287" s="6">
        <f>IF(OR(原始資料!$A287="",34&gt;設定!$B$3,原始資料!AK287=""),"",IF(AND(原始資料!AJ287&lt;&gt;"",原始資料!AK287=原始資料!AJ287),N(AH287)+1,1))</f>
        <v/>
      </c>
      <c r="AJ287" s="6">
        <f>IF(OR(原始資料!$A287="",35&gt;設定!$B$3,原始資料!AL287=""),"",IF(AND(原始資料!AK287&lt;&gt;"",原始資料!AL287=原始資料!AK287),N(AI287)+1,1))</f>
        <v/>
      </c>
      <c r="AK287" s="6">
        <f>IF(OR(原始資料!$A287="",36&gt;設定!$B$3,原始資料!AM287=""),"",IF(AND(原始資料!AL287&lt;&gt;"",原始資料!AM287=原始資料!AL287),N(AJ287)+1,1))</f>
        <v/>
      </c>
      <c r="AL287" s="6">
        <f>IF(OR(原始資料!$A287="",37&gt;設定!$B$3,原始資料!AN287=""),"",IF(AND(原始資料!AM287&lt;&gt;"",原始資料!AN287=原始資料!AM287),N(AK287)+1,1))</f>
        <v/>
      </c>
      <c r="AM287" s="6">
        <f>IF(OR(原始資料!$A287="",38&gt;設定!$B$3,原始資料!AO287=""),"",IF(AND(原始資料!AN287&lt;&gt;"",原始資料!AO287=原始資料!AN287),N(AL287)+1,1))</f>
        <v/>
      </c>
      <c r="AN287" s="6">
        <f>IF(OR(原始資料!$A287="",39&gt;設定!$B$3,原始資料!AP287=""),"",IF(AND(原始資料!AO287&lt;&gt;"",原始資料!AP287=原始資料!AO287),N(AM287)+1,1))</f>
        <v/>
      </c>
      <c r="AO287" s="6">
        <f>IF(OR(原始資料!$A287="",40&gt;設定!$B$3,原始資料!AQ287=""),"",IF(AND(原始資料!AP287&lt;&gt;"",原始資料!AQ287=原始資料!AP287),N(AN287)+1,1))</f>
        <v/>
      </c>
      <c r="AP287" s="6">
        <f>IF(OR(原始資料!$A287="",41&gt;設定!$B$3,原始資料!AR287=""),"",IF(AND(原始資料!AQ287&lt;&gt;"",原始資料!AR287=原始資料!AQ287),N(AO287)+1,1))</f>
        <v/>
      </c>
      <c r="AQ287" s="6">
        <f>IF(OR(原始資料!$A287="",42&gt;設定!$B$3,原始資料!AS287=""),"",IF(AND(原始資料!AR287&lt;&gt;"",原始資料!AS287=原始資料!AR287),N(AP287)+1,1))</f>
        <v/>
      </c>
      <c r="AR287" s="6">
        <f>IF(OR(原始資料!$A287="",43&gt;設定!$B$3,原始資料!AT287=""),"",IF(AND(原始資料!AS287&lt;&gt;"",原始資料!AT287=原始資料!AS287),N(AQ287)+1,1))</f>
        <v/>
      </c>
      <c r="AS287" s="6">
        <f>IF(OR(原始資料!$A287="",44&gt;設定!$B$3,原始資料!AU287=""),"",IF(AND(原始資料!AT287&lt;&gt;"",原始資料!AU287=原始資料!AT287),N(AR287)+1,1))</f>
        <v/>
      </c>
      <c r="AT287" s="6">
        <f>IF(OR(原始資料!$A287="",45&gt;設定!$B$3,原始資料!AV287=""),"",IF(AND(原始資料!AU287&lt;&gt;"",原始資料!AV287=原始資料!AU287),N(AS287)+1,1))</f>
        <v/>
      </c>
      <c r="AU287" s="6">
        <f>IF(OR(原始資料!$A287="",46&gt;設定!$B$3,原始資料!AW287=""),"",IF(AND(原始資料!AV287&lt;&gt;"",原始資料!AW287=原始資料!AV287),N(AT287)+1,1))</f>
        <v/>
      </c>
      <c r="AV287" s="6">
        <f>IF(OR(原始資料!$A287="",47&gt;設定!$B$3,原始資料!AX287=""),"",IF(AND(原始資料!AW287&lt;&gt;"",原始資料!AX287=原始資料!AW287),N(AU287)+1,1))</f>
        <v/>
      </c>
      <c r="AW287" s="6">
        <f>IF(OR(原始資料!$A287="",48&gt;設定!$B$3,原始資料!AY287=""),"",IF(AND(原始資料!AX287&lt;&gt;"",原始資料!AY287=原始資料!AX287),N(AV287)+1,1))</f>
        <v/>
      </c>
      <c r="AX287" s="6">
        <f>IF(OR(原始資料!$A287="",49&gt;設定!$B$3,原始資料!AZ287=""),"",IF(AND(原始資料!AY287&lt;&gt;"",原始資料!AZ287=原始資料!AY287),N(AW287)+1,1))</f>
        <v/>
      </c>
      <c r="AY287" s="6">
        <f>IF(OR(原始資料!$A287="",50&gt;設定!$B$3,原始資料!BA287=""),"",IF(AND(原始資料!AZ287&lt;&gt;"",原始資料!BA287=原始資料!AZ287),N(AX287)+1,1))</f>
        <v/>
      </c>
      <c r="AZ287" s="6">
        <f>IF(OR(原始資料!$A287="",51&gt;設定!$B$3,原始資料!BB287=""),"",IF(AND(原始資料!BA287&lt;&gt;"",原始資料!BB287=原始資料!BA287),N(AY287)+1,1))</f>
        <v/>
      </c>
      <c r="BA287" s="6">
        <f>IF(OR(原始資料!$A287="",52&gt;設定!$B$3,原始資料!BC287=""),"",IF(AND(原始資料!BB287&lt;&gt;"",原始資料!BC287=原始資料!BB287),N(AZ287)+1,1))</f>
        <v/>
      </c>
      <c r="BB287" s="6">
        <f>IF(OR(原始資料!$A287="",53&gt;設定!$B$3,原始資料!BD287=""),"",IF(AND(原始資料!BC287&lt;&gt;"",原始資料!BD287=原始資料!BC287),N(BA287)+1,1))</f>
        <v/>
      </c>
      <c r="BC287" s="6">
        <f>IF(OR(原始資料!$A287="",54&gt;設定!$B$3,原始資料!BE287=""),"",IF(AND(原始資料!BD287&lt;&gt;"",原始資料!BE287=原始資料!BD287),N(BB287)+1,1))</f>
        <v/>
      </c>
      <c r="BD287" s="6">
        <f>IF(OR(原始資料!$A287="",55&gt;設定!$B$3,原始資料!BF287=""),"",IF(AND(原始資料!BE287&lt;&gt;"",原始資料!BF287=原始資料!BE287),N(BC287)+1,1))</f>
        <v/>
      </c>
      <c r="BE287" s="6">
        <f>IF(OR(原始資料!$A287="",56&gt;設定!$B$3,原始資料!BG287=""),"",IF(AND(原始資料!BF287&lt;&gt;"",原始資料!BG287=原始資料!BF287),N(BD287)+1,1))</f>
        <v/>
      </c>
      <c r="BF287" s="6">
        <f>IF(OR(原始資料!$A287="",57&gt;設定!$B$3,原始資料!BH287=""),"",IF(AND(原始資料!BG287&lt;&gt;"",原始資料!BH287=原始資料!BG287),N(BE287)+1,1))</f>
        <v/>
      </c>
      <c r="BG287" s="6">
        <f>IF(OR(原始資料!$A287="",58&gt;設定!$B$3,原始資料!BI287=""),"",IF(AND(原始資料!BH287&lt;&gt;"",原始資料!BI287=原始資料!BH287),N(BF287)+1,1))</f>
        <v/>
      </c>
      <c r="BH287" s="6">
        <f>IF(OR(原始資料!$A287="",59&gt;設定!$B$3,原始資料!BJ287=""),"",IF(AND(原始資料!BI287&lt;&gt;"",原始資料!BJ287=原始資料!BI287),N(BG287)+1,1))</f>
        <v/>
      </c>
      <c r="BI287" s="6">
        <f>IF(OR(原始資料!$A287="",60&gt;設定!$B$3,原始資料!BK287=""),"",IF(AND(原始資料!BJ287&lt;&gt;"",原始資料!BK287=原始資料!BJ287),N(BH287)+1,1))</f>
        <v/>
      </c>
    </row>
    <row r="288">
      <c r="A288" s="6">
        <f>IF(原始資料!$A288="","",原始資料!$A288)</f>
        <v/>
      </c>
      <c r="B288" s="6">
        <f>IF(OR(原始資料!$A288="",1&gt;設定!$B$3,原始資料!D288=""),"",1)</f>
        <v/>
      </c>
      <c r="C288" s="6">
        <f>IF(OR(原始資料!$A288="",2&gt;設定!$B$3,原始資料!E288=""),"",IF(AND(原始資料!D288&lt;&gt;"",原始資料!E288=原始資料!D288),N(B288)+1,1))</f>
        <v/>
      </c>
      <c r="D288" s="6">
        <f>IF(OR(原始資料!$A288="",3&gt;設定!$B$3,原始資料!F288=""),"",IF(AND(原始資料!E288&lt;&gt;"",原始資料!F288=原始資料!E288),N(C288)+1,1))</f>
        <v/>
      </c>
      <c r="E288" s="6">
        <f>IF(OR(原始資料!$A288="",4&gt;設定!$B$3,原始資料!G288=""),"",IF(AND(原始資料!F288&lt;&gt;"",原始資料!G288=原始資料!F288),N(D288)+1,1))</f>
        <v/>
      </c>
      <c r="F288" s="6">
        <f>IF(OR(原始資料!$A288="",5&gt;設定!$B$3,原始資料!H288=""),"",IF(AND(原始資料!G288&lt;&gt;"",原始資料!H288=原始資料!G288),N(E288)+1,1))</f>
        <v/>
      </c>
      <c r="G288" s="6">
        <f>IF(OR(原始資料!$A288="",6&gt;設定!$B$3,原始資料!I288=""),"",IF(AND(原始資料!H288&lt;&gt;"",原始資料!I288=原始資料!H288),N(F288)+1,1))</f>
        <v/>
      </c>
      <c r="H288" s="6">
        <f>IF(OR(原始資料!$A288="",7&gt;設定!$B$3,原始資料!J288=""),"",IF(AND(原始資料!I288&lt;&gt;"",原始資料!J288=原始資料!I288),N(G288)+1,1))</f>
        <v/>
      </c>
      <c r="I288" s="6">
        <f>IF(OR(原始資料!$A288="",8&gt;設定!$B$3,原始資料!K288=""),"",IF(AND(原始資料!J288&lt;&gt;"",原始資料!K288=原始資料!J288),N(H288)+1,1))</f>
        <v/>
      </c>
      <c r="J288" s="6">
        <f>IF(OR(原始資料!$A288="",9&gt;設定!$B$3,原始資料!L288=""),"",IF(AND(原始資料!K288&lt;&gt;"",原始資料!L288=原始資料!K288),N(I288)+1,1))</f>
        <v/>
      </c>
      <c r="K288" s="6">
        <f>IF(OR(原始資料!$A288="",10&gt;設定!$B$3,原始資料!M288=""),"",IF(AND(原始資料!L288&lt;&gt;"",原始資料!M288=原始資料!L288),N(J288)+1,1))</f>
        <v/>
      </c>
      <c r="L288" s="6">
        <f>IF(OR(原始資料!$A288="",11&gt;設定!$B$3,原始資料!N288=""),"",IF(AND(原始資料!M288&lt;&gt;"",原始資料!N288=原始資料!M288),N(K288)+1,1))</f>
        <v/>
      </c>
      <c r="M288" s="6">
        <f>IF(OR(原始資料!$A288="",12&gt;設定!$B$3,原始資料!O288=""),"",IF(AND(原始資料!N288&lt;&gt;"",原始資料!O288=原始資料!N288),N(L288)+1,1))</f>
        <v/>
      </c>
      <c r="N288" s="6">
        <f>IF(OR(原始資料!$A288="",13&gt;設定!$B$3,原始資料!P288=""),"",IF(AND(原始資料!O288&lt;&gt;"",原始資料!P288=原始資料!O288),N(M288)+1,1))</f>
        <v/>
      </c>
      <c r="O288" s="6">
        <f>IF(OR(原始資料!$A288="",14&gt;設定!$B$3,原始資料!Q288=""),"",IF(AND(原始資料!P288&lt;&gt;"",原始資料!Q288=原始資料!P288),N(N288)+1,1))</f>
        <v/>
      </c>
      <c r="P288" s="6">
        <f>IF(OR(原始資料!$A288="",15&gt;設定!$B$3,原始資料!R288=""),"",IF(AND(原始資料!Q288&lt;&gt;"",原始資料!R288=原始資料!Q288),N(O288)+1,1))</f>
        <v/>
      </c>
      <c r="Q288" s="6">
        <f>IF(OR(原始資料!$A288="",16&gt;設定!$B$3,原始資料!S288=""),"",IF(AND(原始資料!R288&lt;&gt;"",原始資料!S288=原始資料!R288),N(P288)+1,1))</f>
        <v/>
      </c>
      <c r="R288" s="6">
        <f>IF(OR(原始資料!$A288="",17&gt;設定!$B$3,原始資料!T288=""),"",IF(AND(原始資料!S288&lt;&gt;"",原始資料!T288=原始資料!S288),N(Q288)+1,1))</f>
        <v/>
      </c>
      <c r="S288" s="6">
        <f>IF(OR(原始資料!$A288="",18&gt;設定!$B$3,原始資料!U288=""),"",IF(AND(原始資料!T288&lt;&gt;"",原始資料!U288=原始資料!T288),N(R288)+1,1))</f>
        <v/>
      </c>
      <c r="T288" s="6">
        <f>IF(OR(原始資料!$A288="",19&gt;設定!$B$3,原始資料!V288=""),"",IF(AND(原始資料!U288&lt;&gt;"",原始資料!V288=原始資料!U288),N(S288)+1,1))</f>
        <v/>
      </c>
      <c r="U288" s="6">
        <f>IF(OR(原始資料!$A288="",20&gt;設定!$B$3,原始資料!W288=""),"",IF(AND(原始資料!V288&lt;&gt;"",原始資料!W288=原始資料!V288),N(T288)+1,1))</f>
        <v/>
      </c>
      <c r="V288" s="6">
        <f>IF(OR(原始資料!$A288="",21&gt;設定!$B$3,原始資料!X288=""),"",IF(AND(原始資料!W288&lt;&gt;"",原始資料!X288=原始資料!W288),N(U288)+1,1))</f>
        <v/>
      </c>
      <c r="W288" s="6">
        <f>IF(OR(原始資料!$A288="",22&gt;設定!$B$3,原始資料!Y288=""),"",IF(AND(原始資料!X288&lt;&gt;"",原始資料!Y288=原始資料!X288),N(V288)+1,1))</f>
        <v/>
      </c>
      <c r="X288" s="6">
        <f>IF(OR(原始資料!$A288="",23&gt;設定!$B$3,原始資料!Z288=""),"",IF(AND(原始資料!Y288&lt;&gt;"",原始資料!Z288=原始資料!Y288),N(W288)+1,1))</f>
        <v/>
      </c>
      <c r="Y288" s="6">
        <f>IF(OR(原始資料!$A288="",24&gt;設定!$B$3,原始資料!AA288=""),"",IF(AND(原始資料!Z288&lt;&gt;"",原始資料!AA288=原始資料!Z288),N(X288)+1,1))</f>
        <v/>
      </c>
      <c r="Z288" s="6">
        <f>IF(OR(原始資料!$A288="",25&gt;設定!$B$3,原始資料!AB288=""),"",IF(AND(原始資料!AA288&lt;&gt;"",原始資料!AB288=原始資料!AA288),N(Y288)+1,1))</f>
        <v/>
      </c>
      <c r="AA288" s="6">
        <f>IF(OR(原始資料!$A288="",26&gt;設定!$B$3,原始資料!AC288=""),"",IF(AND(原始資料!AB288&lt;&gt;"",原始資料!AC288=原始資料!AB288),N(Z288)+1,1))</f>
        <v/>
      </c>
      <c r="AB288" s="6">
        <f>IF(OR(原始資料!$A288="",27&gt;設定!$B$3,原始資料!AD288=""),"",IF(AND(原始資料!AC288&lt;&gt;"",原始資料!AD288=原始資料!AC288),N(AA288)+1,1))</f>
        <v/>
      </c>
      <c r="AC288" s="6">
        <f>IF(OR(原始資料!$A288="",28&gt;設定!$B$3,原始資料!AE288=""),"",IF(AND(原始資料!AD288&lt;&gt;"",原始資料!AE288=原始資料!AD288),N(AB288)+1,1))</f>
        <v/>
      </c>
      <c r="AD288" s="6">
        <f>IF(OR(原始資料!$A288="",29&gt;設定!$B$3,原始資料!AF288=""),"",IF(AND(原始資料!AE288&lt;&gt;"",原始資料!AF288=原始資料!AE288),N(AC288)+1,1))</f>
        <v/>
      </c>
      <c r="AE288" s="6">
        <f>IF(OR(原始資料!$A288="",30&gt;設定!$B$3,原始資料!AG288=""),"",IF(AND(原始資料!AF288&lt;&gt;"",原始資料!AG288=原始資料!AF288),N(AD288)+1,1))</f>
        <v/>
      </c>
      <c r="AF288" s="6">
        <f>IF(OR(原始資料!$A288="",31&gt;設定!$B$3,原始資料!AH288=""),"",IF(AND(原始資料!AG288&lt;&gt;"",原始資料!AH288=原始資料!AG288),N(AE288)+1,1))</f>
        <v/>
      </c>
      <c r="AG288" s="6">
        <f>IF(OR(原始資料!$A288="",32&gt;設定!$B$3,原始資料!AI288=""),"",IF(AND(原始資料!AH288&lt;&gt;"",原始資料!AI288=原始資料!AH288),N(AF288)+1,1))</f>
        <v/>
      </c>
      <c r="AH288" s="6">
        <f>IF(OR(原始資料!$A288="",33&gt;設定!$B$3,原始資料!AJ288=""),"",IF(AND(原始資料!AI288&lt;&gt;"",原始資料!AJ288=原始資料!AI288),N(AG288)+1,1))</f>
        <v/>
      </c>
      <c r="AI288" s="6">
        <f>IF(OR(原始資料!$A288="",34&gt;設定!$B$3,原始資料!AK288=""),"",IF(AND(原始資料!AJ288&lt;&gt;"",原始資料!AK288=原始資料!AJ288),N(AH288)+1,1))</f>
        <v/>
      </c>
      <c r="AJ288" s="6">
        <f>IF(OR(原始資料!$A288="",35&gt;設定!$B$3,原始資料!AL288=""),"",IF(AND(原始資料!AK288&lt;&gt;"",原始資料!AL288=原始資料!AK288),N(AI288)+1,1))</f>
        <v/>
      </c>
      <c r="AK288" s="6">
        <f>IF(OR(原始資料!$A288="",36&gt;設定!$B$3,原始資料!AM288=""),"",IF(AND(原始資料!AL288&lt;&gt;"",原始資料!AM288=原始資料!AL288),N(AJ288)+1,1))</f>
        <v/>
      </c>
      <c r="AL288" s="6">
        <f>IF(OR(原始資料!$A288="",37&gt;設定!$B$3,原始資料!AN288=""),"",IF(AND(原始資料!AM288&lt;&gt;"",原始資料!AN288=原始資料!AM288),N(AK288)+1,1))</f>
        <v/>
      </c>
      <c r="AM288" s="6">
        <f>IF(OR(原始資料!$A288="",38&gt;設定!$B$3,原始資料!AO288=""),"",IF(AND(原始資料!AN288&lt;&gt;"",原始資料!AO288=原始資料!AN288),N(AL288)+1,1))</f>
        <v/>
      </c>
      <c r="AN288" s="6">
        <f>IF(OR(原始資料!$A288="",39&gt;設定!$B$3,原始資料!AP288=""),"",IF(AND(原始資料!AO288&lt;&gt;"",原始資料!AP288=原始資料!AO288),N(AM288)+1,1))</f>
        <v/>
      </c>
      <c r="AO288" s="6">
        <f>IF(OR(原始資料!$A288="",40&gt;設定!$B$3,原始資料!AQ288=""),"",IF(AND(原始資料!AP288&lt;&gt;"",原始資料!AQ288=原始資料!AP288),N(AN288)+1,1))</f>
        <v/>
      </c>
      <c r="AP288" s="6">
        <f>IF(OR(原始資料!$A288="",41&gt;設定!$B$3,原始資料!AR288=""),"",IF(AND(原始資料!AQ288&lt;&gt;"",原始資料!AR288=原始資料!AQ288),N(AO288)+1,1))</f>
        <v/>
      </c>
      <c r="AQ288" s="6">
        <f>IF(OR(原始資料!$A288="",42&gt;設定!$B$3,原始資料!AS288=""),"",IF(AND(原始資料!AR288&lt;&gt;"",原始資料!AS288=原始資料!AR288),N(AP288)+1,1))</f>
        <v/>
      </c>
      <c r="AR288" s="6">
        <f>IF(OR(原始資料!$A288="",43&gt;設定!$B$3,原始資料!AT288=""),"",IF(AND(原始資料!AS288&lt;&gt;"",原始資料!AT288=原始資料!AS288),N(AQ288)+1,1))</f>
        <v/>
      </c>
      <c r="AS288" s="6">
        <f>IF(OR(原始資料!$A288="",44&gt;設定!$B$3,原始資料!AU288=""),"",IF(AND(原始資料!AT288&lt;&gt;"",原始資料!AU288=原始資料!AT288),N(AR288)+1,1))</f>
        <v/>
      </c>
      <c r="AT288" s="6">
        <f>IF(OR(原始資料!$A288="",45&gt;設定!$B$3,原始資料!AV288=""),"",IF(AND(原始資料!AU288&lt;&gt;"",原始資料!AV288=原始資料!AU288),N(AS288)+1,1))</f>
        <v/>
      </c>
      <c r="AU288" s="6">
        <f>IF(OR(原始資料!$A288="",46&gt;設定!$B$3,原始資料!AW288=""),"",IF(AND(原始資料!AV288&lt;&gt;"",原始資料!AW288=原始資料!AV288),N(AT288)+1,1))</f>
        <v/>
      </c>
      <c r="AV288" s="6">
        <f>IF(OR(原始資料!$A288="",47&gt;設定!$B$3,原始資料!AX288=""),"",IF(AND(原始資料!AW288&lt;&gt;"",原始資料!AX288=原始資料!AW288),N(AU288)+1,1))</f>
        <v/>
      </c>
      <c r="AW288" s="6">
        <f>IF(OR(原始資料!$A288="",48&gt;設定!$B$3,原始資料!AY288=""),"",IF(AND(原始資料!AX288&lt;&gt;"",原始資料!AY288=原始資料!AX288),N(AV288)+1,1))</f>
        <v/>
      </c>
      <c r="AX288" s="6">
        <f>IF(OR(原始資料!$A288="",49&gt;設定!$B$3,原始資料!AZ288=""),"",IF(AND(原始資料!AY288&lt;&gt;"",原始資料!AZ288=原始資料!AY288),N(AW288)+1,1))</f>
        <v/>
      </c>
      <c r="AY288" s="6">
        <f>IF(OR(原始資料!$A288="",50&gt;設定!$B$3,原始資料!BA288=""),"",IF(AND(原始資料!AZ288&lt;&gt;"",原始資料!BA288=原始資料!AZ288),N(AX288)+1,1))</f>
        <v/>
      </c>
      <c r="AZ288" s="6">
        <f>IF(OR(原始資料!$A288="",51&gt;設定!$B$3,原始資料!BB288=""),"",IF(AND(原始資料!BA288&lt;&gt;"",原始資料!BB288=原始資料!BA288),N(AY288)+1,1))</f>
        <v/>
      </c>
      <c r="BA288" s="6">
        <f>IF(OR(原始資料!$A288="",52&gt;設定!$B$3,原始資料!BC288=""),"",IF(AND(原始資料!BB288&lt;&gt;"",原始資料!BC288=原始資料!BB288),N(AZ288)+1,1))</f>
        <v/>
      </c>
      <c r="BB288" s="6">
        <f>IF(OR(原始資料!$A288="",53&gt;設定!$B$3,原始資料!BD288=""),"",IF(AND(原始資料!BC288&lt;&gt;"",原始資料!BD288=原始資料!BC288),N(BA288)+1,1))</f>
        <v/>
      </c>
      <c r="BC288" s="6">
        <f>IF(OR(原始資料!$A288="",54&gt;設定!$B$3,原始資料!BE288=""),"",IF(AND(原始資料!BD288&lt;&gt;"",原始資料!BE288=原始資料!BD288),N(BB288)+1,1))</f>
        <v/>
      </c>
      <c r="BD288" s="6">
        <f>IF(OR(原始資料!$A288="",55&gt;設定!$B$3,原始資料!BF288=""),"",IF(AND(原始資料!BE288&lt;&gt;"",原始資料!BF288=原始資料!BE288),N(BC288)+1,1))</f>
        <v/>
      </c>
      <c r="BE288" s="6">
        <f>IF(OR(原始資料!$A288="",56&gt;設定!$B$3,原始資料!BG288=""),"",IF(AND(原始資料!BF288&lt;&gt;"",原始資料!BG288=原始資料!BF288),N(BD288)+1,1))</f>
        <v/>
      </c>
      <c r="BF288" s="6">
        <f>IF(OR(原始資料!$A288="",57&gt;設定!$B$3,原始資料!BH288=""),"",IF(AND(原始資料!BG288&lt;&gt;"",原始資料!BH288=原始資料!BG288),N(BE288)+1,1))</f>
        <v/>
      </c>
      <c r="BG288" s="6">
        <f>IF(OR(原始資料!$A288="",58&gt;設定!$B$3,原始資料!BI288=""),"",IF(AND(原始資料!BH288&lt;&gt;"",原始資料!BI288=原始資料!BH288),N(BF288)+1,1))</f>
        <v/>
      </c>
      <c r="BH288" s="6">
        <f>IF(OR(原始資料!$A288="",59&gt;設定!$B$3,原始資料!BJ288=""),"",IF(AND(原始資料!BI288&lt;&gt;"",原始資料!BJ288=原始資料!BI288),N(BG288)+1,1))</f>
        <v/>
      </c>
      <c r="BI288" s="6">
        <f>IF(OR(原始資料!$A288="",60&gt;設定!$B$3,原始資料!BK288=""),"",IF(AND(原始資料!BJ288&lt;&gt;"",原始資料!BK288=原始資料!BJ288),N(BH288)+1,1))</f>
        <v/>
      </c>
    </row>
    <row r="289">
      <c r="A289" s="6">
        <f>IF(原始資料!$A289="","",原始資料!$A289)</f>
        <v/>
      </c>
      <c r="B289" s="6">
        <f>IF(OR(原始資料!$A289="",1&gt;設定!$B$3,原始資料!D289=""),"",1)</f>
        <v/>
      </c>
      <c r="C289" s="6">
        <f>IF(OR(原始資料!$A289="",2&gt;設定!$B$3,原始資料!E289=""),"",IF(AND(原始資料!D289&lt;&gt;"",原始資料!E289=原始資料!D289),N(B289)+1,1))</f>
        <v/>
      </c>
      <c r="D289" s="6">
        <f>IF(OR(原始資料!$A289="",3&gt;設定!$B$3,原始資料!F289=""),"",IF(AND(原始資料!E289&lt;&gt;"",原始資料!F289=原始資料!E289),N(C289)+1,1))</f>
        <v/>
      </c>
      <c r="E289" s="6">
        <f>IF(OR(原始資料!$A289="",4&gt;設定!$B$3,原始資料!G289=""),"",IF(AND(原始資料!F289&lt;&gt;"",原始資料!G289=原始資料!F289),N(D289)+1,1))</f>
        <v/>
      </c>
      <c r="F289" s="6">
        <f>IF(OR(原始資料!$A289="",5&gt;設定!$B$3,原始資料!H289=""),"",IF(AND(原始資料!G289&lt;&gt;"",原始資料!H289=原始資料!G289),N(E289)+1,1))</f>
        <v/>
      </c>
      <c r="G289" s="6">
        <f>IF(OR(原始資料!$A289="",6&gt;設定!$B$3,原始資料!I289=""),"",IF(AND(原始資料!H289&lt;&gt;"",原始資料!I289=原始資料!H289),N(F289)+1,1))</f>
        <v/>
      </c>
      <c r="H289" s="6">
        <f>IF(OR(原始資料!$A289="",7&gt;設定!$B$3,原始資料!J289=""),"",IF(AND(原始資料!I289&lt;&gt;"",原始資料!J289=原始資料!I289),N(G289)+1,1))</f>
        <v/>
      </c>
      <c r="I289" s="6">
        <f>IF(OR(原始資料!$A289="",8&gt;設定!$B$3,原始資料!K289=""),"",IF(AND(原始資料!J289&lt;&gt;"",原始資料!K289=原始資料!J289),N(H289)+1,1))</f>
        <v/>
      </c>
      <c r="J289" s="6">
        <f>IF(OR(原始資料!$A289="",9&gt;設定!$B$3,原始資料!L289=""),"",IF(AND(原始資料!K289&lt;&gt;"",原始資料!L289=原始資料!K289),N(I289)+1,1))</f>
        <v/>
      </c>
      <c r="K289" s="6">
        <f>IF(OR(原始資料!$A289="",10&gt;設定!$B$3,原始資料!M289=""),"",IF(AND(原始資料!L289&lt;&gt;"",原始資料!M289=原始資料!L289),N(J289)+1,1))</f>
        <v/>
      </c>
      <c r="L289" s="6">
        <f>IF(OR(原始資料!$A289="",11&gt;設定!$B$3,原始資料!N289=""),"",IF(AND(原始資料!M289&lt;&gt;"",原始資料!N289=原始資料!M289),N(K289)+1,1))</f>
        <v/>
      </c>
      <c r="M289" s="6">
        <f>IF(OR(原始資料!$A289="",12&gt;設定!$B$3,原始資料!O289=""),"",IF(AND(原始資料!N289&lt;&gt;"",原始資料!O289=原始資料!N289),N(L289)+1,1))</f>
        <v/>
      </c>
      <c r="N289" s="6">
        <f>IF(OR(原始資料!$A289="",13&gt;設定!$B$3,原始資料!P289=""),"",IF(AND(原始資料!O289&lt;&gt;"",原始資料!P289=原始資料!O289),N(M289)+1,1))</f>
        <v/>
      </c>
      <c r="O289" s="6">
        <f>IF(OR(原始資料!$A289="",14&gt;設定!$B$3,原始資料!Q289=""),"",IF(AND(原始資料!P289&lt;&gt;"",原始資料!Q289=原始資料!P289),N(N289)+1,1))</f>
        <v/>
      </c>
      <c r="P289" s="6">
        <f>IF(OR(原始資料!$A289="",15&gt;設定!$B$3,原始資料!R289=""),"",IF(AND(原始資料!Q289&lt;&gt;"",原始資料!R289=原始資料!Q289),N(O289)+1,1))</f>
        <v/>
      </c>
      <c r="Q289" s="6">
        <f>IF(OR(原始資料!$A289="",16&gt;設定!$B$3,原始資料!S289=""),"",IF(AND(原始資料!R289&lt;&gt;"",原始資料!S289=原始資料!R289),N(P289)+1,1))</f>
        <v/>
      </c>
      <c r="R289" s="6">
        <f>IF(OR(原始資料!$A289="",17&gt;設定!$B$3,原始資料!T289=""),"",IF(AND(原始資料!S289&lt;&gt;"",原始資料!T289=原始資料!S289),N(Q289)+1,1))</f>
        <v/>
      </c>
      <c r="S289" s="6">
        <f>IF(OR(原始資料!$A289="",18&gt;設定!$B$3,原始資料!U289=""),"",IF(AND(原始資料!T289&lt;&gt;"",原始資料!U289=原始資料!T289),N(R289)+1,1))</f>
        <v/>
      </c>
      <c r="T289" s="6">
        <f>IF(OR(原始資料!$A289="",19&gt;設定!$B$3,原始資料!V289=""),"",IF(AND(原始資料!U289&lt;&gt;"",原始資料!V289=原始資料!U289),N(S289)+1,1))</f>
        <v/>
      </c>
      <c r="U289" s="6">
        <f>IF(OR(原始資料!$A289="",20&gt;設定!$B$3,原始資料!W289=""),"",IF(AND(原始資料!V289&lt;&gt;"",原始資料!W289=原始資料!V289),N(T289)+1,1))</f>
        <v/>
      </c>
      <c r="V289" s="6">
        <f>IF(OR(原始資料!$A289="",21&gt;設定!$B$3,原始資料!X289=""),"",IF(AND(原始資料!W289&lt;&gt;"",原始資料!X289=原始資料!W289),N(U289)+1,1))</f>
        <v/>
      </c>
      <c r="W289" s="6">
        <f>IF(OR(原始資料!$A289="",22&gt;設定!$B$3,原始資料!Y289=""),"",IF(AND(原始資料!X289&lt;&gt;"",原始資料!Y289=原始資料!X289),N(V289)+1,1))</f>
        <v/>
      </c>
      <c r="X289" s="6">
        <f>IF(OR(原始資料!$A289="",23&gt;設定!$B$3,原始資料!Z289=""),"",IF(AND(原始資料!Y289&lt;&gt;"",原始資料!Z289=原始資料!Y289),N(W289)+1,1))</f>
        <v/>
      </c>
      <c r="Y289" s="6">
        <f>IF(OR(原始資料!$A289="",24&gt;設定!$B$3,原始資料!AA289=""),"",IF(AND(原始資料!Z289&lt;&gt;"",原始資料!AA289=原始資料!Z289),N(X289)+1,1))</f>
        <v/>
      </c>
      <c r="Z289" s="6">
        <f>IF(OR(原始資料!$A289="",25&gt;設定!$B$3,原始資料!AB289=""),"",IF(AND(原始資料!AA289&lt;&gt;"",原始資料!AB289=原始資料!AA289),N(Y289)+1,1))</f>
        <v/>
      </c>
      <c r="AA289" s="6">
        <f>IF(OR(原始資料!$A289="",26&gt;設定!$B$3,原始資料!AC289=""),"",IF(AND(原始資料!AB289&lt;&gt;"",原始資料!AC289=原始資料!AB289),N(Z289)+1,1))</f>
        <v/>
      </c>
      <c r="AB289" s="6">
        <f>IF(OR(原始資料!$A289="",27&gt;設定!$B$3,原始資料!AD289=""),"",IF(AND(原始資料!AC289&lt;&gt;"",原始資料!AD289=原始資料!AC289),N(AA289)+1,1))</f>
        <v/>
      </c>
      <c r="AC289" s="6">
        <f>IF(OR(原始資料!$A289="",28&gt;設定!$B$3,原始資料!AE289=""),"",IF(AND(原始資料!AD289&lt;&gt;"",原始資料!AE289=原始資料!AD289),N(AB289)+1,1))</f>
        <v/>
      </c>
      <c r="AD289" s="6">
        <f>IF(OR(原始資料!$A289="",29&gt;設定!$B$3,原始資料!AF289=""),"",IF(AND(原始資料!AE289&lt;&gt;"",原始資料!AF289=原始資料!AE289),N(AC289)+1,1))</f>
        <v/>
      </c>
      <c r="AE289" s="6">
        <f>IF(OR(原始資料!$A289="",30&gt;設定!$B$3,原始資料!AG289=""),"",IF(AND(原始資料!AF289&lt;&gt;"",原始資料!AG289=原始資料!AF289),N(AD289)+1,1))</f>
        <v/>
      </c>
      <c r="AF289" s="6">
        <f>IF(OR(原始資料!$A289="",31&gt;設定!$B$3,原始資料!AH289=""),"",IF(AND(原始資料!AG289&lt;&gt;"",原始資料!AH289=原始資料!AG289),N(AE289)+1,1))</f>
        <v/>
      </c>
      <c r="AG289" s="6">
        <f>IF(OR(原始資料!$A289="",32&gt;設定!$B$3,原始資料!AI289=""),"",IF(AND(原始資料!AH289&lt;&gt;"",原始資料!AI289=原始資料!AH289),N(AF289)+1,1))</f>
        <v/>
      </c>
      <c r="AH289" s="6">
        <f>IF(OR(原始資料!$A289="",33&gt;設定!$B$3,原始資料!AJ289=""),"",IF(AND(原始資料!AI289&lt;&gt;"",原始資料!AJ289=原始資料!AI289),N(AG289)+1,1))</f>
        <v/>
      </c>
      <c r="AI289" s="6">
        <f>IF(OR(原始資料!$A289="",34&gt;設定!$B$3,原始資料!AK289=""),"",IF(AND(原始資料!AJ289&lt;&gt;"",原始資料!AK289=原始資料!AJ289),N(AH289)+1,1))</f>
        <v/>
      </c>
      <c r="AJ289" s="6">
        <f>IF(OR(原始資料!$A289="",35&gt;設定!$B$3,原始資料!AL289=""),"",IF(AND(原始資料!AK289&lt;&gt;"",原始資料!AL289=原始資料!AK289),N(AI289)+1,1))</f>
        <v/>
      </c>
      <c r="AK289" s="6">
        <f>IF(OR(原始資料!$A289="",36&gt;設定!$B$3,原始資料!AM289=""),"",IF(AND(原始資料!AL289&lt;&gt;"",原始資料!AM289=原始資料!AL289),N(AJ289)+1,1))</f>
        <v/>
      </c>
      <c r="AL289" s="6">
        <f>IF(OR(原始資料!$A289="",37&gt;設定!$B$3,原始資料!AN289=""),"",IF(AND(原始資料!AM289&lt;&gt;"",原始資料!AN289=原始資料!AM289),N(AK289)+1,1))</f>
        <v/>
      </c>
      <c r="AM289" s="6">
        <f>IF(OR(原始資料!$A289="",38&gt;設定!$B$3,原始資料!AO289=""),"",IF(AND(原始資料!AN289&lt;&gt;"",原始資料!AO289=原始資料!AN289),N(AL289)+1,1))</f>
        <v/>
      </c>
      <c r="AN289" s="6">
        <f>IF(OR(原始資料!$A289="",39&gt;設定!$B$3,原始資料!AP289=""),"",IF(AND(原始資料!AO289&lt;&gt;"",原始資料!AP289=原始資料!AO289),N(AM289)+1,1))</f>
        <v/>
      </c>
      <c r="AO289" s="6">
        <f>IF(OR(原始資料!$A289="",40&gt;設定!$B$3,原始資料!AQ289=""),"",IF(AND(原始資料!AP289&lt;&gt;"",原始資料!AQ289=原始資料!AP289),N(AN289)+1,1))</f>
        <v/>
      </c>
      <c r="AP289" s="6">
        <f>IF(OR(原始資料!$A289="",41&gt;設定!$B$3,原始資料!AR289=""),"",IF(AND(原始資料!AQ289&lt;&gt;"",原始資料!AR289=原始資料!AQ289),N(AO289)+1,1))</f>
        <v/>
      </c>
      <c r="AQ289" s="6">
        <f>IF(OR(原始資料!$A289="",42&gt;設定!$B$3,原始資料!AS289=""),"",IF(AND(原始資料!AR289&lt;&gt;"",原始資料!AS289=原始資料!AR289),N(AP289)+1,1))</f>
        <v/>
      </c>
      <c r="AR289" s="6">
        <f>IF(OR(原始資料!$A289="",43&gt;設定!$B$3,原始資料!AT289=""),"",IF(AND(原始資料!AS289&lt;&gt;"",原始資料!AT289=原始資料!AS289),N(AQ289)+1,1))</f>
        <v/>
      </c>
      <c r="AS289" s="6">
        <f>IF(OR(原始資料!$A289="",44&gt;設定!$B$3,原始資料!AU289=""),"",IF(AND(原始資料!AT289&lt;&gt;"",原始資料!AU289=原始資料!AT289),N(AR289)+1,1))</f>
        <v/>
      </c>
      <c r="AT289" s="6">
        <f>IF(OR(原始資料!$A289="",45&gt;設定!$B$3,原始資料!AV289=""),"",IF(AND(原始資料!AU289&lt;&gt;"",原始資料!AV289=原始資料!AU289),N(AS289)+1,1))</f>
        <v/>
      </c>
      <c r="AU289" s="6">
        <f>IF(OR(原始資料!$A289="",46&gt;設定!$B$3,原始資料!AW289=""),"",IF(AND(原始資料!AV289&lt;&gt;"",原始資料!AW289=原始資料!AV289),N(AT289)+1,1))</f>
        <v/>
      </c>
      <c r="AV289" s="6">
        <f>IF(OR(原始資料!$A289="",47&gt;設定!$B$3,原始資料!AX289=""),"",IF(AND(原始資料!AW289&lt;&gt;"",原始資料!AX289=原始資料!AW289),N(AU289)+1,1))</f>
        <v/>
      </c>
      <c r="AW289" s="6">
        <f>IF(OR(原始資料!$A289="",48&gt;設定!$B$3,原始資料!AY289=""),"",IF(AND(原始資料!AX289&lt;&gt;"",原始資料!AY289=原始資料!AX289),N(AV289)+1,1))</f>
        <v/>
      </c>
      <c r="AX289" s="6">
        <f>IF(OR(原始資料!$A289="",49&gt;設定!$B$3,原始資料!AZ289=""),"",IF(AND(原始資料!AY289&lt;&gt;"",原始資料!AZ289=原始資料!AY289),N(AW289)+1,1))</f>
        <v/>
      </c>
      <c r="AY289" s="6">
        <f>IF(OR(原始資料!$A289="",50&gt;設定!$B$3,原始資料!BA289=""),"",IF(AND(原始資料!AZ289&lt;&gt;"",原始資料!BA289=原始資料!AZ289),N(AX289)+1,1))</f>
        <v/>
      </c>
      <c r="AZ289" s="6">
        <f>IF(OR(原始資料!$A289="",51&gt;設定!$B$3,原始資料!BB289=""),"",IF(AND(原始資料!BA289&lt;&gt;"",原始資料!BB289=原始資料!BA289),N(AY289)+1,1))</f>
        <v/>
      </c>
      <c r="BA289" s="6">
        <f>IF(OR(原始資料!$A289="",52&gt;設定!$B$3,原始資料!BC289=""),"",IF(AND(原始資料!BB289&lt;&gt;"",原始資料!BC289=原始資料!BB289),N(AZ289)+1,1))</f>
        <v/>
      </c>
      <c r="BB289" s="6">
        <f>IF(OR(原始資料!$A289="",53&gt;設定!$B$3,原始資料!BD289=""),"",IF(AND(原始資料!BC289&lt;&gt;"",原始資料!BD289=原始資料!BC289),N(BA289)+1,1))</f>
        <v/>
      </c>
      <c r="BC289" s="6">
        <f>IF(OR(原始資料!$A289="",54&gt;設定!$B$3,原始資料!BE289=""),"",IF(AND(原始資料!BD289&lt;&gt;"",原始資料!BE289=原始資料!BD289),N(BB289)+1,1))</f>
        <v/>
      </c>
      <c r="BD289" s="6">
        <f>IF(OR(原始資料!$A289="",55&gt;設定!$B$3,原始資料!BF289=""),"",IF(AND(原始資料!BE289&lt;&gt;"",原始資料!BF289=原始資料!BE289),N(BC289)+1,1))</f>
        <v/>
      </c>
      <c r="BE289" s="6">
        <f>IF(OR(原始資料!$A289="",56&gt;設定!$B$3,原始資料!BG289=""),"",IF(AND(原始資料!BF289&lt;&gt;"",原始資料!BG289=原始資料!BF289),N(BD289)+1,1))</f>
        <v/>
      </c>
      <c r="BF289" s="6">
        <f>IF(OR(原始資料!$A289="",57&gt;設定!$B$3,原始資料!BH289=""),"",IF(AND(原始資料!BG289&lt;&gt;"",原始資料!BH289=原始資料!BG289),N(BE289)+1,1))</f>
        <v/>
      </c>
      <c r="BG289" s="6">
        <f>IF(OR(原始資料!$A289="",58&gt;設定!$B$3,原始資料!BI289=""),"",IF(AND(原始資料!BH289&lt;&gt;"",原始資料!BI289=原始資料!BH289),N(BF289)+1,1))</f>
        <v/>
      </c>
      <c r="BH289" s="6">
        <f>IF(OR(原始資料!$A289="",59&gt;設定!$B$3,原始資料!BJ289=""),"",IF(AND(原始資料!BI289&lt;&gt;"",原始資料!BJ289=原始資料!BI289),N(BG289)+1,1))</f>
        <v/>
      </c>
      <c r="BI289" s="6">
        <f>IF(OR(原始資料!$A289="",60&gt;設定!$B$3,原始資料!BK289=""),"",IF(AND(原始資料!BJ289&lt;&gt;"",原始資料!BK289=原始資料!BJ289),N(BH289)+1,1))</f>
        <v/>
      </c>
    </row>
    <row r="290">
      <c r="A290" s="6">
        <f>IF(原始資料!$A290="","",原始資料!$A290)</f>
        <v/>
      </c>
      <c r="B290" s="6">
        <f>IF(OR(原始資料!$A290="",1&gt;設定!$B$3,原始資料!D290=""),"",1)</f>
        <v/>
      </c>
      <c r="C290" s="6">
        <f>IF(OR(原始資料!$A290="",2&gt;設定!$B$3,原始資料!E290=""),"",IF(AND(原始資料!D290&lt;&gt;"",原始資料!E290=原始資料!D290),N(B290)+1,1))</f>
        <v/>
      </c>
      <c r="D290" s="6">
        <f>IF(OR(原始資料!$A290="",3&gt;設定!$B$3,原始資料!F290=""),"",IF(AND(原始資料!E290&lt;&gt;"",原始資料!F290=原始資料!E290),N(C290)+1,1))</f>
        <v/>
      </c>
      <c r="E290" s="6">
        <f>IF(OR(原始資料!$A290="",4&gt;設定!$B$3,原始資料!G290=""),"",IF(AND(原始資料!F290&lt;&gt;"",原始資料!G290=原始資料!F290),N(D290)+1,1))</f>
        <v/>
      </c>
      <c r="F290" s="6">
        <f>IF(OR(原始資料!$A290="",5&gt;設定!$B$3,原始資料!H290=""),"",IF(AND(原始資料!G290&lt;&gt;"",原始資料!H290=原始資料!G290),N(E290)+1,1))</f>
        <v/>
      </c>
      <c r="G290" s="6">
        <f>IF(OR(原始資料!$A290="",6&gt;設定!$B$3,原始資料!I290=""),"",IF(AND(原始資料!H290&lt;&gt;"",原始資料!I290=原始資料!H290),N(F290)+1,1))</f>
        <v/>
      </c>
      <c r="H290" s="6">
        <f>IF(OR(原始資料!$A290="",7&gt;設定!$B$3,原始資料!J290=""),"",IF(AND(原始資料!I290&lt;&gt;"",原始資料!J290=原始資料!I290),N(G290)+1,1))</f>
        <v/>
      </c>
      <c r="I290" s="6">
        <f>IF(OR(原始資料!$A290="",8&gt;設定!$B$3,原始資料!K290=""),"",IF(AND(原始資料!J290&lt;&gt;"",原始資料!K290=原始資料!J290),N(H290)+1,1))</f>
        <v/>
      </c>
      <c r="J290" s="6">
        <f>IF(OR(原始資料!$A290="",9&gt;設定!$B$3,原始資料!L290=""),"",IF(AND(原始資料!K290&lt;&gt;"",原始資料!L290=原始資料!K290),N(I290)+1,1))</f>
        <v/>
      </c>
      <c r="K290" s="6">
        <f>IF(OR(原始資料!$A290="",10&gt;設定!$B$3,原始資料!M290=""),"",IF(AND(原始資料!L290&lt;&gt;"",原始資料!M290=原始資料!L290),N(J290)+1,1))</f>
        <v/>
      </c>
      <c r="L290" s="6">
        <f>IF(OR(原始資料!$A290="",11&gt;設定!$B$3,原始資料!N290=""),"",IF(AND(原始資料!M290&lt;&gt;"",原始資料!N290=原始資料!M290),N(K290)+1,1))</f>
        <v/>
      </c>
      <c r="M290" s="6">
        <f>IF(OR(原始資料!$A290="",12&gt;設定!$B$3,原始資料!O290=""),"",IF(AND(原始資料!N290&lt;&gt;"",原始資料!O290=原始資料!N290),N(L290)+1,1))</f>
        <v/>
      </c>
      <c r="N290" s="6">
        <f>IF(OR(原始資料!$A290="",13&gt;設定!$B$3,原始資料!P290=""),"",IF(AND(原始資料!O290&lt;&gt;"",原始資料!P290=原始資料!O290),N(M290)+1,1))</f>
        <v/>
      </c>
      <c r="O290" s="6">
        <f>IF(OR(原始資料!$A290="",14&gt;設定!$B$3,原始資料!Q290=""),"",IF(AND(原始資料!P290&lt;&gt;"",原始資料!Q290=原始資料!P290),N(N290)+1,1))</f>
        <v/>
      </c>
      <c r="P290" s="6">
        <f>IF(OR(原始資料!$A290="",15&gt;設定!$B$3,原始資料!R290=""),"",IF(AND(原始資料!Q290&lt;&gt;"",原始資料!R290=原始資料!Q290),N(O290)+1,1))</f>
        <v/>
      </c>
      <c r="Q290" s="6">
        <f>IF(OR(原始資料!$A290="",16&gt;設定!$B$3,原始資料!S290=""),"",IF(AND(原始資料!R290&lt;&gt;"",原始資料!S290=原始資料!R290),N(P290)+1,1))</f>
        <v/>
      </c>
      <c r="R290" s="6">
        <f>IF(OR(原始資料!$A290="",17&gt;設定!$B$3,原始資料!T290=""),"",IF(AND(原始資料!S290&lt;&gt;"",原始資料!T290=原始資料!S290),N(Q290)+1,1))</f>
        <v/>
      </c>
      <c r="S290" s="6">
        <f>IF(OR(原始資料!$A290="",18&gt;設定!$B$3,原始資料!U290=""),"",IF(AND(原始資料!T290&lt;&gt;"",原始資料!U290=原始資料!T290),N(R290)+1,1))</f>
        <v/>
      </c>
      <c r="T290" s="6">
        <f>IF(OR(原始資料!$A290="",19&gt;設定!$B$3,原始資料!V290=""),"",IF(AND(原始資料!U290&lt;&gt;"",原始資料!V290=原始資料!U290),N(S290)+1,1))</f>
        <v/>
      </c>
      <c r="U290" s="6">
        <f>IF(OR(原始資料!$A290="",20&gt;設定!$B$3,原始資料!W290=""),"",IF(AND(原始資料!V290&lt;&gt;"",原始資料!W290=原始資料!V290),N(T290)+1,1))</f>
        <v/>
      </c>
      <c r="V290" s="6">
        <f>IF(OR(原始資料!$A290="",21&gt;設定!$B$3,原始資料!X290=""),"",IF(AND(原始資料!W290&lt;&gt;"",原始資料!X290=原始資料!W290),N(U290)+1,1))</f>
        <v/>
      </c>
      <c r="W290" s="6">
        <f>IF(OR(原始資料!$A290="",22&gt;設定!$B$3,原始資料!Y290=""),"",IF(AND(原始資料!X290&lt;&gt;"",原始資料!Y290=原始資料!X290),N(V290)+1,1))</f>
        <v/>
      </c>
      <c r="X290" s="6">
        <f>IF(OR(原始資料!$A290="",23&gt;設定!$B$3,原始資料!Z290=""),"",IF(AND(原始資料!Y290&lt;&gt;"",原始資料!Z290=原始資料!Y290),N(W290)+1,1))</f>
        <v/>
      </c>
      <c r="Y290" s="6">
        <f>IF(OR(原始資料!$A290="",24&gt;設定!$B$3,原始資料!AA290=""),"",IF(AND(原始資料!Z290&lt;&gt;"",原始資料!AA290=原始資料!Z290),N(X290)+1,1))</f>
        <v/>
      </c>
      <c r="Z290" s="6">
        <f>IF(OR(原始資料!$A290="",25&gt;設定!$B$3,原始資料!AB290=""),"",IF(AND(原始資料!AA290&lt;&gt;"",原始資料!AB290=原始資料!AA290),N(Y290)+1,1))</f>
        <v/>
      </c>
      <c r="AA290" s="6">
        <f>IF(OR(原始資料!$A290="",26&gt;設定!$B$3,原始資料!AC290=""),"",IF(AND(原始資料!AB290&lt;&gt;"",原始資料!AC290=原始資料!AB290),N(Z290)+1,1))</f>
        <v/>
      </c>
      <c r="AB290" s="6">
        <f>IF(OR(原始資料!$A290="",27&gt;設定!$B$3,原始資料!AD290=""),"",IF(AND(原始資料!AC290&lt;&gt;"",原始資料!AD290=原始資料!AC290),N(AA290)+1,1))</f>
        <v/>
      </c>
      <c r="AC290" s="6">
        <f>IF(OR(原始資料!$A290="",28&gt;設定!$B$3,原始資料!AE290=""),"",IF(AND(原始資料!AD290&lt;&gt;"",原始資料!AE290=原始資料!AD290),N(AB290)+1,1))</f>
        <v/>
      </c>
      <c r="AD290" s="6">
        <f>IF(OR(原始資料!$A290="",29&gt;設定!$B$3,原始資料!AF290=""),"",IF(AND(原始資料!AE290&lt;&gt;"",原始資料!AF290=原始資料!AE290),N(AC290)+1,1))</f>
        <v/>
      </c>
      <c r="AE290" s="6">
        <f>IF(OR(原始資料!$A290="",30&gt;設定!$B$3,原始資料!AG290=""),"",IF(AND(原始資料!AF290&lt;&gt;"",原始資料!AG290=原始資料!AF290),N(AD290)+1,1))</f>
        <v/>
      </c>
      <c r="AF290" s="6">
        <f>IF(OR(原始資料!$A290="",31&gt;設定!$B$3,原始資料!AH290=""),"",IF(AND(原始資料!AG290&lt;&gt;"",原始資料!AH290=原始資料!AG290),N(AE290)+1,1))</f>
        <v/>
      </c>
      <c r="AG290" s="6">
        <f>IF(OR(原始資料!$A290="",32&gt;設定!$B$3,原始資料!AI290=""),"",IF(AND(原始資料!AH290&lt;&gt;"",原始資料!AI290=原始資料!AH290),N(AF290)+1,1))</f>
        <v/>
      </c>
      <c r="AH290" s="6">
        <f>IF(OR(原始資料!$A290="",33&gt;設定!$B$3,原始資料!AJ290=""),"",IF(AND(原始資料!AI290&lt;&gt;"",原始資料!AJ290=原始資料!AI290),N(AG290)+1,1))</f>
        <v/>
      </c>
      <c r="AI290" s="6">
        <f>IF(OR(原始資料!$A290="",34&gt;設定!$B$3,原始資料!AK290=""),"",IF(AND(原始資料!AJ290&lt;&gt;"",原始資料!AK290=原始資料!AJ290),N(AH290)+1,1))</f>
        <v/>
      </c>
      <c r="AJ290" s="6">
        <f>IF(OR(原始資料!$A290="",35&gt;設定!$B$3,原始資料!AL290=""),"",IF(AND(原始資料!AK290&lt;&gt;"",原始資料!AL290=原始資料!AK290),N(AI290)+1,1))</f>
        <v/>
      </c>
      <c r="AK290" s="6">
        <f>IF(OR(原始資料!$A290="",36&gt;設定!$B$3,原始資料!AM290=""),"",IF(AND(原始資料!AL290&lt;&gt;"",原始資料!AM290=原始資料!AL290),N(AJ290)+1,1))</f>
        <v/>
      </c>
      <c r="AL290" s="6">
        <f>IF(OR(原始資料!$A290="",37&gt;設定!$B$3,原始資料!AN290=""),"",IF(AND(原始資料!AM290&lt;&gt;"",原始資料!AN290=原始資料!AM290),N(AK290)+1,1))</f>
        <v/>
      </c>
      <c r="AM290" s="6">
        <f>IF(OR(原始資料!$A290="",38&gt;設定!$B$3,原始資料!AO290=""),"",IF(AND(原始資料!AN290&lt;&gt;"",原始資料!AO290=原始資料!AN290),N(AL290)+1,1))</f>
        <v/>
      </c>
      <c r="AN290" s="6">
        <f>IF(OR(原始資料!$A290="",39&gt;設定!$B$3,原始資料!AP290=""),"",IF(AND(原始資料!AO290&lt;&gt;"",原始資料!AP290=原始資料!AO290),N(AM290)+1,1))</f>
        <v/>
      </c>
      <c r="AO290" s="6">
        <f>IF(OR(原始資料!$A290="",40&gt;設定!$B$3,原始資料!AQ290=""),"",IF(AND(原始資料!AP290&lt;&gt;"",原始資料!AQ290=原始資料!AP290),N(AN290)+1,1))</f>
        <v/>
      </c>
      <c r="AP290" s="6">
        <f>IF(OR(原始資料!$A290="",41&gt;設定!$B$3,原始資料!AR290=""),"",IF(AND(原始資料!AQ290&lt;&gt;"",原始資料!AR290=原始資料!AQ290),N(AO290)+1,1))</f>
        <v/>
      </c>
      <c r="AQ290" s="6">
        <f>IF(OR(原始資料!$A290="",42&gt;設定!$B$3,原始資料!AS290=""),"",IF(AND(原始資料!AR290&lt;&gt;"",原始資料!AS290=原始資料!AR290),N(AP290)+1,1))</f>
        <v/>
      </c>
      <c r="AR290" s="6">
        <f>IF(OR(原始資料!$A290="",43&gt;設定!$B$3,原始資料!AT290=""),"",IF(AND(原始資料!AS290&lt;&gt;"",原始資料!AT290=原始資料!AS290),N(AQ290)+1,1))</f>
        <v/>
      </c>
      <c r="AS290" s="6">
        <f>IF(OR(原始資料!$A290="",44&gt;設定!$B$3,原始資料!AU290=""),"",IF(AND(原始資料!AT290&lt;&gt;"",原始資料!AU290=原始資料!AT290),N(AR290)+1,1))</f>
        <v/>
      </c>
      <c r="AT290" s="6">
        <f>IF(OR(原始資料!$A290="",45&gt;設定!$B$3,原始資料!AV290=""),"",IF(AND(原始資料!AU290&lt;&gt;"",原始資料!AV290=原始資料!AU290),N(AS290)+1,1))</f>
        <v/>
      </c>
      <c r="AU290" s="6">
        <f>IF(OR(原始資料!$A290="",46&gt;設定!$B$3,原始資料!AW290=""),"",IF(AND(原始資料!AV290&lt;&gt;"",原始資料!AW290=原始資料!AV290),N(AT290)+1,1))</f>
        <v/>
      </c>
      <c r="AV290" s="6">
        <f>IF(OR(原始資料!$A290="",47&gt;設定!$B$3,原始資料!AX290=""),"",IF(AND(原始資料!AW290&lt;&gt;"",原始資料!AX290=原始資料!AW290),N(AU290)+1,1))</f>
        <v/>
      </c>
      <c r="AW290" s="6">
        <f>IF(OR(原始資料!$A290="",48&gt;設定!$B$3,原始資料!AY290=""),"",IF(AND(原始資料!AX290&lt;&gt;"",原始資料!AY290=原始資料!AX290),N(AV290)+1,1))</f>
        <v/>
      </c>
      <c r="AX290" s="6">
        <f>IF(OR(原始資料!$A290="",49&gt;設定!$B$3,原始資料!AZ290=""),"",IF(AND(原始資料!AY290&lt;&gt;"",原始資料!AZ290=原始資料!AY290),N(AW290)+1,1))</f>
        <v/>
      </c>
      <c r="AY290" s="6">
        <f>IF(OR(原始資料!$A290="",50&gt;設定!$B$3,原始資料!BA290=""),"",IF(AND(原始資料!AZ290&lt;&gt;"",原始資料!BA290=原始資料!AZ290),N(AX290)+1,1))</f>
        <v/>
      </c>
      <c r="AZ290" s="6">
        <f>IF(OR(原始資料!$A290="",51&gt;設定!$B$3,原始資料!BB290=""),"",IF(AND(原始資料!BA290&lt;&gt;"",原始資料!BB290=原始資料!BA290),N(AY290)+1,1))</f>
        <v/>
      </c>
      <c r="BA290" s="6">
        <f>IF(OR(原始資料!$A290="",52&gt;設定!$B$3,原始資料!BC290=""),"",IF(AND(原始資料!BB290&lt;&gt;"",原始資料!BC290=原始資料!BB290),N(AZ290)+1,1))</f>
        <v/>
      </c>
      <c r="BB290" s="6">
        <f>IF(OR(原始資料!$A290="",53&gt;設定!$B$3,原始資料!BD290=""),"",IF(AND(原始資料!BC290&lt;&gt;"",原始資料!BD290=原始資料!BC290),N(BA290)+1,1))</f>
        <v/>
      </c>
      <c r="BC290" s="6">
        <f>IF(OR(原始資料!$A290="",54&gt;設定!$B$3,原始資料!BE290=""),"",IF(AND(原始資料!BD290&lt;&gt;"",原始資料!BE290=原始資料!BD290),N(BB290)+1,1))</f>
        <v/>
      </c>
      <c r="BD290" s="6">
        <f>IF(OR(原始資料!$A290="",55&gt;設定!$B$3,原始資料!BF290=""),"",IF(AND(原始資料!BE290&lt;&gt;"",原始資料!BF290=原始資料!BE290),N(BC290)+1,1))</f>
        <v/>
      </c>
      <c r="BE290" s="6">
        <f>IF(OR(原始資料!$A290="",56&gt;設定!$B$3,原始資料!BG290=""),"",IF(AND(原始資料!BF290&lt;&gt;"",原始資料!BG290=原始資料!BF290),N(BD290)+1,1))</f>
        <v/>
      </c>
      <c r="BF290" s="6">
        <f>IF(OR(原始資料!$A290="",57&gt;設定!$B$3,原始資料!BH290=""),"",IF(AND(原始資料!BG290&lt;&gt;"",原始資料!BH290=原始資料!BG290),N(BE290)+1,1))</f>
        <v/>
      </c>
      <c r="BG290" s="6">
        <f>IF(OR(原始資料!$A290="",58&gt;設定!$B$3,原始資料!BI290=""),"",IF(AND(原始資料!BH290&lt;&gt;"",原始資料!BI290=原始資料!BH290),N(BF290)+1,1))</f>
        <v/>
      </c>
      <c r="BH290" s="6">
        <f>IF(OR(原始資料!$A290="",59&gt;設定!$B$3,原始資料!BJ290=""),"",IF(AND(原始資料!BI290&lt;&gt;"",原始資料!BJ290=原始資料!BI290),N(BG290)+1,1))</f>
        <v/>
      </c>
      <c r="BI290" s="6">
        <f>IF(OR(原始資料!$A290="",60&gt;設定!$B$3,原始資料!BK290=""),"",IF(AND(原始資料!BJ290&lt;&gt;"",原始資料!BK290=原始資料!BJ290),N(BH290)+1,1))</f>
        <v/>
      </c>
    </row>
    <row r="291">
      <c r="A291" s="6">
        <f>IF(原始資料!$A291="","",原始資料!$A291)</f>
        <v/>
      </c>
      <c r="B291" s="6">
        <f>IF(OR(原始資料!$A291="",1&gt;設定!$B$3,原始資料!D291=""),"",1)</f>
        <v/>
      </c>
      <c r="C291" s="6">
        <f>IF(OR(原始資料!$A291="",2&gt;設定!$B$3,原始資料!E291=""),"",IF(AND(原始資料!D291&lt;&gt;"",原始資料!E291=原始資料!D291),N(B291)+1,1))</f>
        <v/>
      </c>
      <c r="D291" s="6">
        <f>IF(OR(原始資料!$A291="",3&gt;設定!$B$3,原始資料!F291=""),"",IF(AND(原始資料!E291&lt;&gt;"",原始資料!F291=原始資料!E291),N(C291)+1,1))</f>
        <v/>
      </c>
      <c r="E291" s="6">
        <f>IF(OR(原始資料!$A291="",4&gt;設定!$B$3,原始資料!G291=""),"",IF(AND(原始資料!F291&lt;&gt;"",原始資料!G291=原始資料!F291),N(D291)+1,1))</f>
        <v/>
      </c>
      <c r="F291" s="6">
        <f>IF(OR(原始資料!$A291="",5&gt;設定!$B$3,原始資料!H291=""),"",IF(AND(原始資料!G291&lt;&gt;"",原始資料!H291=原始資料!G291),N(E291)+1,1))</f>
        <v/>
      </c>
      <c r="G291" s="6">
        <f>IF(OR(原始資料!$A291="",6&gt;設定!$B$3,原始資料!I291=""),"",IF(AND(原始資料!H291&lt;&gt;"",原始資料!I291=原始資料!H291),N(F291)+1,1))</f>
        <v/>
      </c>
      <c r="H291" s="6">
        <f>IF(OR(原始資料!$A291="",7&gt;設定!$B$3,原始資料!J291=""),"",IF(AND(原始資料!I291&lt;&gt;"",原始資料!J291=原始資料!I291),N(G291)+1,1))</f>
        <v/>
      </c>
      <c r="I291" s="6">
        <f>IF(OR(原始資料!$A291="",8&gt;設定!$B$3,原始資料!K291=""),"",IF(AND(原始資料!J291&lt;&gt;"",原始資料!K291=原始資料!J291),N(H291)+1,1))</f>
        <v/>
      </c>
      <c r="J291" s="6">
        <f>IF(OR(原始資料!$A291="",9&gt;設定!$B$3,原始資料!L291=""),"",IF(AND(原始資料!K291&lt;&gt;"",原始資料!L291=原始資料!K291),N(I291)+1,1))</f>
        <v/>
      </c>
      <c r="K291" s="6">
        <f>IF(OR(原始資料!$A291="",10&gt;設定!$B$3,原始資料!M291=""),"",IF(AND(原始資料!L291&lt;&gt;"",原始資料!M291=原始資料!L291),N(J291)+1,1))</f>
        <v/>
      </c>
      <c r="L291" s="6">
        <f>IF(OR(原始資料!$A291="",11&gt;設定!$B$3,原始資料!N291=""),"",IF(AND(原始資料!M291&lt;&gt;"",原始資料!N291=原始資料!M291),N(K291)+1,1))</f>
        <v/>
      </c>
      <c r="M291" s="6">
        <f>IF(OR(原始資料!$A291="",12&gt;設定!$B$3,原始資料!O291=""),"",IF(AND(原始資料!N291&lt;&gt;"",原始資料!O291=原始資料!N291),N(L291)+1,1))</f>
        <v/>
      </c>
      <c r="N291" s="6">
        <f>IF(OR(原始資料!$A291="",13&gt;設定!$B$3,原始資料!P291=""),"",IF(AND(原始資料!O291&lt;&gt;"",原始資料!P291=原始資料!O291),N(M291)+1,1))</f>
        <v/>
      </c>
      <c r="O291" s="6">
        <f>IF(OR(原始資料!$A291="",14&gt;設定!$B$3,原始資料!Q291=""),"",IF(AND(原始資料!P291&lt;&gt;"",原始資料!Q291=原始資料!P291),N(N291)+1,1))</f>
        <v/>
      </c>
      <c r="P291" s="6">
        <f>IF(OR(原始資料!$A291="",15&gt;設定!$B$3,原始資料!R291=""),"",IF(AND(原始資料!Q291&lt;&gt;"",原始資料!R291=原始資料!Q291),N(O291)+1,1))</f>
        <v/>
      </c>
      <c r="Q291" s="6">
        <f>IF(OR(原始資料!$A291="",16&gt;設定!$B$3,原始資料!S291=""),"",IF(AND(原始資料!R291&lt;&gt;"",原始資料!S291=原始資料!R291),N(P291)+1,1))</f>
        <v/>
      </c>
      <c r="R291" s="6">
        <f>IF(OR(原始資料!$A291="",17&gt;設定!$B$3,原始資料!T291=""),"",IF(AND(原始資料!S291&lt;&gt;"",原始資料!T291=原始資料!S291),N(Q291)+1,1))</f>
        <v/>
      </c>
      <c r="S291" s="6">
        <f>IF(OR(原始資料!$A291="",18&gt;設定!$B$3,原始資料!U291=""),"",IF(AND(原始資料!T291&lt;&gt;"",原始資料!U291=原始資料!T291),N(R291)+1,1))</f>
        <v/>
      </c>
      <c r="T291" s="6">
        <f>IF(OR(原始資料!$A291="",19&gt;設定!$B$3,原始資料!V291=""),"",IF(AND(原始資料!U291&lt;&gt;"",原始資料!V291=原始資料!U291),N(S291)+1,1))</f>
        <v/>
      </c>
      <c r="U291" s="6">
        <f>IF(OR(原始資料!$A291="",20&gt;設定!$B$3,原始資料!W291=""),"",IF(AND(原始資料!V291&lt;&gt;"",原始資料!W291=原始資料!V291),N(T291)+1,1))</f>
        <v/>
      </c>
      <c r="V291" s="6">
        <f>IF(OR(原始資料!$A291="",21&gt;設定!$B$3,原始資料!X291=""),"",IF(AND(原始資料!W291&lt;&gt;"",原始資料!X291=原始資料!W291),N(U291)+1,1))</f>
        <v/>
      </c>
      <c r="W291" s="6">
        <f>IF(OR(原始資料!$A291="",22&gt;設定!$B$3,原始資料!Y291=""),"",IF(AND(原始資料!X291&lt;&gt;"",原始資料!Y291=原始資料!X291),N(V291)+1,1))</f>
        <v/>
      </c>
      <c r="X291" s="6">
        <f>IF(OR(原始資料!$A291="",23&gt;設定!$B$3,原始資料!Z291=""),"",IF(AND(原始資料!Y291&lt;&gt;"",原始資料!Z291=原始資料!Y291),N(W291)+1,1))</f>
        <v/>
      </c>
      <c r="Y291" s="6">
        <f>IF(OR(原始資料!$A291="",24&gt;設定!$B$3,原始資料!AA291=""),"",IF(AND(原始資料!Z291&lt;&gt;"",原始資料!AA291=原始資料!Z291),N(X291)+1,1))</f>
        <v/>
      </c>
      <c r="Z291" s="6">
        <f>IF(OR(原始資料!$A291="",25&gt;設定!$B$3,原始資料!AB291=""),"",IF(AND(原始資料!AA291&lt;&gt;"",原始資料!AB291=原始資料!AA291),N(Y291)+1,1))</f>
        <v/>
      </c>
      <c r="AA291" s="6">
        <f>IF(OR(原始資料!$A291="",26&gt;設定!$B$3,原始資料!AC291=""),"",IF(AND(原始資料!AB291&lt;&gt;"",原始資料!AC291=原始資料!AB291),N(Z291)+1,1))</f>
        <v/>
      </c>
      <c r="AB291" s="6">
        <f>IF(OR(原始資料!$A291="",27&gt;設定!$B$3,原始資料!AD291=""),"",IF(AND(原始資料!AC291&lt;&gt;"",原始資料!AD291=原始資料!AC291),N(AA291)+1,1))</f>
        <v/>
      </c>
      <c r="AC291" s="6">
        <f>IF(OR(原始資料!$A291="",28&gt;設定!$B$3,原始資料!AE291=""),"",IF(AND(原始資料!AD291&lt;&gt;"",原始資料!AE291=原始資料!AD291),N(AB291)+1,1))</f>
        <v/>
      </c>
      <c r="AD291" s="6">
        <f>IF(OR(原始資料!$A291="",29&gt;設定!$B$3,原始資料!AF291=""),"",IF(AND(原始資料!AE291&lt;&gt;"",原始資料!AF291=原始資料!AE291),N(AC291)+1,1))</f>
        <v/>
      </c>
      <c r="AE291" s="6">
        <f>IF(OR(原始資料!$A291="",30&gt;設定!$B$3,原始資料!AG291=""),"",IF(AND(原始資料!AF291&lt;&gt;"",原始資料!AG291=原始資料!AF291),N(AD291)+1,1))</f>
        <v/>
      </c>
      <c r="AF291" s="6">
        <f>IF(OR(原始資料!$A291="",31&gt;設定!$B$3,原始資料!AH291=""),"",IF(AND(原始資料!AG291&lt;&gt;"",原始資料!AH291=原始資料!AG291),N(AE291)+1,1))</f>
        <v/>
      </c>
      <c r="AG291" s="6">
        <f>IF(OR(原始資料!$A291="",32&gt;設定!$B$3,原始資料!AI291=""),"",IF(AND(原始資料!AH291&lt;&gt;"",原始資料!AI291=原始資料!AH291),N(AF291)+1,1))</f>
        <v/>
      </c>
      <c r="AH291" s="6">
        <f>IF(OR(原始資料!$A291="",33&gt;設定!$B$3,原始資料!AJ291=""),"",IF(AND(原始資料!AI291&lt;&gt;"",原始資料!AJ291=原始資料!AI291),N(AG291)+1,1))</f>
        <v/>
      </c>
      <c r="AI291" s="6">
        <f>IF(OR(原始資料!$A291="",34&gt;設定!$B$3,原始資料!AK291=""),"",IF(AND(原始資料!AJ291&lt;&gt;"",原始資料!AK291=原始資料!AJ291),N(AH291)+1,1))</f>
        <v/>
      </c>
      <c r="AJ291" s="6">
        <f>IF(OR(原始資料!$A291="",35&gt;設定!$B$3,原始資料!AL291=""),"",IF(AND(原始資料!AK291&lt;&gt;"",原始資料!AL291=原始資料!AK291),N(AI291)+1,1))</f>
        <v/>
      </c>
      <c r="AK291" s="6">
        <f>IF(OR(原始資料!$A291="",36&gt;設定!$B$3,原始資料!AM291=""),"",IF(AND(原始資料!AL291&lt;&gt;"",原始資料!AM291=原始資料!AL291),N(AJ291)+1,1))</f>
        <v/>
      </c>
      <c r="AL291" s="6">
        <f>IF(OR(原始資料!$A291="",37&gt;設定!$B$3,原始資料!AN291=""),"",IF(AND(原始資料!AM291&lt;&gt;"",原始資料!AN291=原始資料!AM291),N(AK291)+1,1))</f>
        <v/>
      </c>
      <c r="AM291" s="6">
        <f>IF(OR(原始資料!$A291="",38&gt;設定!$B$3,原始資料!AO291=""),"",IF(AND(原始資料!AN291&lt;&gt;"",原始資料!AO291=原始資料!AN291),N(AL291)+1,1))</f>
        <v/>
      </c>
      <c r="AN291" s="6">
        <f>IF(OR(原始資料!$A291="",39&gt;設定!$B$3,原始資料!AP291=""),"",IF(AND(原始資料!AO291&lt;&gt;"",原始資料!AP291=原始資料!AO291),N(AM291)+1,1))</f>
        <v/>
      </c>
      <c r="AO291" s="6">
        <f>IF(OR(原始資料!$A291="",40&gt;設定!$B$3,原始資料!AQ291=""),"",IF(AND(原始資料!AP291&lt;&gt;"",原始資料!AQ291=原始資料!AP291),N(AN291)+1,1))</f>
        <v/>
      </c>
      <c r="AP291" s="6">
        <f>IF(OR(原始資料!$A291="",41&gt;設定!$B$3,原始資料!AR291=""),"",IF(AND(原始資料!AQ291&lt;&gt;"",原始資料!AR291=原始資料!AQ291),N(AO291)+1,1))</f>
        <v/>
      </c>
      <c r="AQ291" s="6">
        <f>IF(OR(原始資料!$A291="",42&gt;設定!$B$3,原始資料!AS291=""),"",IF(AND(原始資料!AR291&lt;&gt;"",原始資料!AS291=原始資料!AR291),N(AP291)+1,1))</f>
        <v/>
      </c>
      <c r="AR291" s="6">
        <f>IF(OR(原始資料!$A291="",43&gt;設定!$B$3,原始資料!AT291=""),"",IF(AND(原始資料!AS291&lt;&gt;"",原始資料!AT291=原始資料!AS291),N(AQ291)+1,1))</f>
        <v/>
      </c>
      <c r="AS291" s="6">
        <f>IF(OR(原始資料!$A291="",44&gt;設定!$B$3,原始資料!AU291=""),"",IF(AND(原始資料!AT291&lt;&gt;"",原始資料!AU291=原始資料!AT291),N(AR291)+1,1))</f>
        <v/>
      </c>
      <c r="AT291" s="6">
        <f>IF(OR(原始資料!$A291="",45&gt;設定!$B$3,原始資料!AV291=""),"",IF(AND(原始資料!AU291&lt;&gt;"",原始資料!AV291=原始資料!AU291),N(AS291)+1,1))</f>
        <v/>
      </c>
      <c r="AU291" s="6">
        <f>IF(OR(原始資料!$A291="",46&gt;設定!$B$3,原始資料!AW291=""),"",IF(AND(原始資料!AV291&lt;&gt;"",原始資料!AW291=原始資料!AV291),N(AT291)+1,1))</f>
        <v/>
      </c>
      <c r="AV291" s="6">
        <f>IF(OR(原始資料!$A291="",47&gt;設定!$B$3,原始資料!AX291=""),"",IF(AND(原始資料!AW291&lt;&gt;"",原始資料!AX291=原始資料!AW291),N(AU291)+1,1))</f>
        <v/>
      </c>
      <c r="AW291" s="6">
        <f>IF(OR(原始資料!$A291="",48&gt;設定!$B$3,原始資料!AY291=""),"",IF(AND(原始資料!AX291&lt;&gt;"",原始資料!AY291=原始資料!AX291),N(AV291)+1,1))</f>
        <v/>
      </c>
      <c r="AX291" s="6">
        <f>IF(OR(原始資料!$A291="",49&gt;設定!$B$3,原始資料!AZ291=""),"",IF(AND(原始資料!AY291&lt;&gt;"",原始資料!AZ291=原始資料!AY291),N(AW291)+1,1))</f>
        <v/>
      </c>
      <c r="AY291" s="6">
        <f>IF(OR(原始資料!$A291="",50&gt;設定!$B$3,原始資料!BA291=""),"",IF(AND(原始資料!AZ291&lt;&gt;"",原始資料!BA291=原始資料!AZ291),N(AX291)+1,1))</f>
        <v/>
      </c>
      <c r="AZ291" s="6">
        <f>IF(OR(原始資料!$A291="",51&gt;設定!$B$3,原始資料!BB291=""),"",IF(AND(原始資料!BA291&lt;&gt;"",原始資料!BB291=原始資料!BA291),N(AY291)+1,1))</f>
        <v/>
      </c>
      <c r="BA291" s="6">
        <f>IF(OR(原始資料!$A291="",52&gt;設定!$B$3,原始資料!BC291=""),"",IF(AND(原始資料!BB291&lt;&gt;"",原始資料!BC291=原始資料!BB291),N(AZ291)+1,1))</f>
        <v/>
      </c>
      <c r="BB291" s="6">
        <f>IF(OR(原始資料!$A291="",53&gt;設定!$B$3,原始資料!BD291=""),"",IF(AND(原始資料!BC291&lt;&gt;"",原始資料!BD291=原始資料!BC291),N(BA291)+1,1))</f>
        <v/>
      </c>
      <c r="BC291" s="6">
        <f>IF(OR(原始資料!$A291="",54&gt;設定!$B$3,原始資料!BE291=""),"",IF(AND(原始資料!BD291&lt;&gt;"",原始資料!BE291=原始資料!BD291),N(BB291)+1,1))</f>
        <v/>
      </c>
      <c r="BD291" s="6">
        <f>IF(OR(原始資料!$A291="",55&gt;設定!$B$3,原始資料!BF291=""),"",IF(AND(原始資料!BE291&lt;&gt;"",原始資料!BF291=原始資料!BE291),N(BC291)+1,1))</f>
        <v/>
      </c>
      <c r="BE291" s="6">
        <f>IF(OR(原始資料!$A291="",56&gt;設定!$B$3,原始資料!BG291=""),"",IF(AND(原始資料!BF291&lt;&gt;"",原始資料!BG291=原始資料!BF291),N(BD291)+1,1))</f>
        <v/>
      </c>
      <c r="BF291" s="6">
        <f>IF(OR(原始資料!$A291="",57&gt;設定!$B$3,原始資料!BH291=""),"",IF(AND(原始資料!BG291&lt;&gt;"",原始資料!BH291=原始資料!BG291),N(BE291)+1,1))</f>
        <v/>
      </c>
      <c r="BG291" s="6">
        <f>IF(OR(原始資料!$A291="",58&gt;設定!$B$3,原始資料!BI291=""),"",IF(AND(原始資料!BH291&lt;&gt;"",原始資料!BI291=原始資料!BH291),N(BF291)+1,1))</f>
        <v/>
      </c>
      <c r="BH291" s="6">
        <f>IF(OR(原始資料!$A291="",59&gt;設定!$B$3,原始資料!BJ291=""),"",IF(AND(原始資料!BI291&lt;&gt;"",原始資料!BJ291=原始資料!BI291),N(BG291)+1,1))</f>
        <v/>
      </c>
      <c r="BI291" s="6">
        <f>IF(OR(原始資料!$A291="",60&gt;設定!$B$3,原始資料!BK291=""),"",IF(AND(原始資料!BJ291&lt;&gt;"",原始資料!BK291=原始資料!BJ291),N(BH291)+1,1))</f>
        <v/>
      </c>
    </row>
    <row r="292">
      <c r="A292" s="6">
        <f>IF(原始資料!$A292="","",原始資料!$A292)</f>
        <v/>
      </c>
      <c r="B292" s="6">
        <f>IF(OR(原始資料!$A292="",1&gt;設定!$B$3,原始資料!D292=""),"",1)</f>
        <v/>
      </c>
      <c r="C292" s="6">
        <f>IF(OR(原始資料!$A292="",2&gt;設定!$B$3,原始資料!E292=""),"",IF(AND(原始資料!D292&lt;&gt;"",原始資料!E292=原始資料!D292),N(B292)+1,1))</f>
        <v/>
      </c>
      <c r="D292" s="6">
        <f>IF(OR(原始資料!$A292="",3&gt;設定!$B$3,原始資料!F292=""),"",IF(AND(原始資料!E292&lt;&gt;"",原始資料!F292=原始資料!E292),N(C292)+1,1))</f>
        <v/>
      </c>
      <c r="E292" s="6">
        <f>IF(OR(原始資料!$A292="",4&gt;設定!$B$3,原始資料!G292=""),"",IF(AND(原始資料!F292&lt;&gt;"",原始資料!G292=原始資料!F292),N(D292)+1,1))</f>
        <v/>
      </c>
      <c r="F292" s="6">
        <f>IF(OR(原始資料!$A292="",5&gt;設定!$B$3,原始資料!H292=""),"",IF(AND(原始資料!G292&lt;&gt;"",原始資料!H292=原始資料!G292),N(E292)+1,1))</f>
        <v/>
      </c>
      <c r="G292" s="6">
        <f>IF(OR(原始資料!$A292="",6&gt;設定!$B$3,原始資料!I292=""),"",IF(AND(原始資料!H292&lt;&gt;"",原始資料!I292=原始資料!H292),N(F292)+1,1))</f>
        <v/>
      </c>
      <c r="H292" s="6">
        <f>IF(OR(原始資料!$A292="",7&gt;設定!$B$3,原始資料!J292=""),"",IF(AND(原始資料!I292&lt;&gt;"",原始資料!J292=原始資料!I292),N(G292)+1,1))</f>
        <v/>
      </c>
      <c r="I292" s="6">
        <f>IF(OR(原始資料!$A292="",8&gt;設定!$B$3,原始資料!K292=""),"",IF(AND(原始資料!J292&lt;&gt;"",原始資料!K292=原始資料!J292),N(H292)+1,1))</f>
        <v/>
      </c>
      <c r="J292" s="6">
        <f>IF(OR(原始資料!$A292="",9&gt;設定!$B$3,原始資料!L292=""),"",IF(AND(原始資料!K292&lt;&gt;"",原始資料!L292=原始資料!K292),N(I292)+1,1))</f>
        <v/>
      </c>
      <c r="K292" s="6">
        <f>IF(OR(原始資料!$A292="",10&gt;設定!$B$3,原始資料!M292=""),"",IF(AND(原始資料!L292&lt;&gt;"",原始資料!M292=原始資料!L292),N(J292)+1,1))</f>
        <v/>
      </c>
      <c r="L292" s="6">
        <f>IF(OR(原始資料!$A292="",11&gt;設定!$B$3,原始資料!N292=""),"",IF(AND(原始資料!M292&lt;&gt;"",原始資料!N292=原始資料!M292),N(K292)+1,1))</f>
        <v/>
      </c>
      <c r="M292" s="6">
        <f>IF(OR(原始資料!$A292="",12&gt;設定!$B$3,原始資料!O292=""),"",IF(AND(原始資料!N292&lt;&gt;"",原始資料!O292=原始資料!N292),N(L292)+1,1))</f>
        <v/>
      </c>
      <c r="N292" s="6">
        <f>IF(OR(原始資料!$A292="",13&gt;設定!$B$3,原始資料!P292=""),"",IF(AND(原始資料!O292&lt;&gt;"",原始資料!P292=原始資料!O292),N(M292)+1,1))</f>
        <v/>
      </c>
      <c r="O292" s="6">
        <f>IF(OR(原始資料!$A292="",14&gt;設定!$B$3,原始資料!Q292=""),"",IF(AND(原始資料!P292&lt;&gt;"",原始資料!Q292=原始資料!P292),N(N292)+1,1))</f>
        <v/>
      </c>
      <c r="P292" s="6">
        <f>IF(OR(原始資料!$A292="",15&gt;設定!$B$3,原始資料!R292=""),"",IF(AND(原始資料!Q292&lt;&gt;"",原始資料!R292=原始資料!Q292),N(O292)+1,1))</f>
        <v/>
      </c>
      <c r="Q292" s="6">
        <f>IF(OR(原始資料!$A292="",16&gt;設定!$B$3,原始資料!S292=""),"",IF(AND(原始資料!R292&lt;&gt;"",原始資料!S292=原始資料!R292),N(P292)+1,1))</f>
        <v/>
      </c>
      <c r="R292" s="6">
        <f>IF(OR(原始資料!$A292="",17&gt;設定!$B$3,原始資料!T292=""),"",IF(AND(原始資料!S292&lt;&gt;"",原始資料!T292=原始資料!S292),N(Q292)+1,1))</f>
        <v/>
      </c>
      <c r="S292" s="6">
        <f>IF(OR(原始資料!$A292="",18&gt;設定!$B$3,原始資料!U292=""),"",IF(AND(原始資料!T292&lt;&gt;"",原始資料!U292=原始資料!T292),N(R292)+1,1))</f>
        <v/>
      </c>
      <c r="T292" s="6">
        <f>IF(OR(原始資料!$A292="",19&gt;設定!$B$3,原始資料!V292=""),"",IF(AND(原始資料!U292&lt;&gt;"",原始資料!V292=原始資料!U292),N(S292)+1,1))</f>
        <v/>
      </c>
      <c r="U292" s="6">
        <f>IF(OR(原始資料!$A292="",20&gt;設定!$B$3,原始資料!W292=""),"",IF(AND(原始資料!V292&lt;&gt;"",原始資料!W292=原始資料!V292),N(T292)+1,1))</f>
        <v/>
      </c>
      <c r="V292" s="6">
        <f>IF(OR(原始資料!$A292="",21&gt;設定!$B$3,原始資料!X292=""),"",IF(AND(原始資料!W292&lt;&gt;"",原始資料!X292=原始資料!W292),N(U292)+1,1))</f>
        <v/>
      </c>
      <c r="W292" s="6">
        <f>IF(OR(原始資料!$A292="",22&gt;設定!$B$3,原始資料!Y292=""),"",IF(AND(原始資料!X292&lt;&gt;"",原始資料!Y292=原始資料!X292),N(V292)+1,1))</f>
        <v/>
      </c>
      <c r="X292" s="6">
        <f>IF(OR(原始資料!$A292="",23&gt;設定!$B$3,原始資料!Z292=""),"",IF(AND(原始資料!Y292&lt;&gt;"",原始資料!Z292=原始資料!Y292),N(W292)+1,1))</f>
        <v/>
      </c>
      <c r="Y292" s="6">
        <f>IF(OR(原始資料!$A292="",24&gt;設定!$B$3,原始資料!AA292=""),"",IF(AND(原始資料!Z292&lt;&gt;"",原始資料!AA292=原始資料!Z292),N(X292)+1,1))</f>
        <v/>
      </c>
      <c r="Z292" s="6">
        <f>IF(OR(原始資料!$A292="",25&gt;設定!$B$3,原始資料!AB292=""),"",IF(AND(原始資料!AA292&lt;&gt;"",原始資料!AB292=原始資料!AA292),N(Y292)+1,1))</f>
        <v/>
      </c>
      <c r="AA292" s="6">
        <f>IF(OR(原始資料!$A292="",26&gt;設定!$B$3,原始資料!AC292=""),"",IF(AND(原始資料!AB292&lt;&gt;"",原始資料!AC292=原始資料!AB292),N(Z292)+1,1))</f>
        <v/>
      </c>
      <c r="AB292" s="6">
        <f>IF(OR(原始資料!$A292="",27&gt;設定!$B$3,原始資料!AD292=""),"",IF(AND(原始資料!AC292&lt;&gt;"",原始資料!AD292=原始資料!AC292),N(AA292)+1,1))</f>
        <v/>
      </c>
      <c r="AC292" s="6">
        <f>IF(OR(原始資料!$A292="",28&gt;設定!$B$3,原始資料!AE292=""),"",IF(AND(原始資料!AD292&lt;&gt;"",原始資料!AE292=原始資料!AD292),N(AB292)+1,1))</f>
        <v/>
      </c>
      <c r="AD292" s="6">
        <f>IF(OR(原始資料!$A292="",29&gt;設定!$B$3,原始資料!AF292=""),"",IF(AND(原始資料!AE292&lt;&gt;"",原始資料!AF292=原始資料!AE292),N(AC292)+1,1))</f>
        <v/>
      </c>
      <c r="AE292" s="6">
        <f>IF(OR(原始資料!$A292="",30&gt;設定!$B$3,原始資料!AG292=""),"",IF(AND(原始資料!AF292&lt;&gt;"",原始資料!AG292=原始資料!AF292),N(AD292)+1,1))</f>
        <v/>
      </c>
      <c r="AF292" s="6">
        <f>IF(OR(原始資料!$A292="",31&gt;設定!$B$3,原始資料!AH292=""),"",IF(AND(原始資料!AG292&lt;&gt;"",原始資料!AH292=原始資料!AG292),N(AE292)+1,1))</f>
        <v/>
      </c>
      <c r="AG292" s="6">
        <f>IF(OR(原始資料!$A292="",32&gt;設定!$B$3,原始資料!AI292=""),"",IF(AND(原始資料!AH292&lt;&gt;"",原始資料!AI292=原始資料!AH292),N(AF292)+1,1))</f>
        <v/>
      </c>
      <c r="AH292" s="6">
        <f>IF(OR(原始資料!$A292="",33&gt;設定!$B$3,原始資料!AJ292=""),"",IF(AND(原始資料!AI292&lt;&gt;"",原始資料!AJ292=原始資料!AI292),N(AG292)+1,1))</f>
        <v/>
      </c>
      <c r="AI292" s="6">
        <f>IF(OR(原始資料!$A292="",34&gt;設定!$B$3,原始資料!AK292=""),"",IF(AND(原始資料!AJ292&lt;&gt;"",原始資料!AK292=原始資料!AJ292),N(AH292)+1,1))</f>
        <v/>
      </c>
      <c r="AJ292" s="6">
        <f>IF(OR(原始資料!$A292="",35&gt;設定!$B$3,原始資料!AL292=""),"",IF(AND(原始資料!AK292&lt;&gt;"",原始資料!AL292=原始資料!AK292),N(AI292)+1,1))</f>
        <v/>
      </c>
      <c r="AK292" s="6">
        <f>IF(OR(原始資料!$A292="",36&gt;設定!$B$3,原始資料!AM292=""),"",IF(AND(原始資料!AL292&lt;&gt;"",原始資料!AM292=原始資料!AL292),N(AJ292)+1,1))</f>
        <v/>
      </c>
      <c r="AL292" s="6">
        <f>IF(OR(原始資料!$A292="",37&gt;設定!$B$3,原始資料!AN292=""),"",IF(AND(原始資料!AM292&lt;&gt;"",原始資料!AN292=原始資料!AM292),N(AK292)+1,1))</f>
        <v/>
      </c>
      <c r="AM292" s="6">
        <f>IF(OR(原始資料!$A292="",38&gt;設定!$B$3,原始資料!AO292=""),"",IF(AND(原始資料!AN292&lt;&gt;"",原始資料!AO292=原始資料!AN292),N(AL292)+1,1))</f>
        <v/>
      </c>
      <c r="AN292" s="6">
        <f>IF(OR(原始資料!$A292="",39&gt;設定!$B$3,原始資料!AP292=""),"",IF(AND(原始資料!AO292&lt;&gt;"",原始資料!AP292=原始資料!AO292),N(AM292)+1,1))</f>
        <v/>
      </c>
      <c r="AO292" s="6">
        <f>IF(OR(原始資料!$A292="",40&gt;設定!$B$3,原始資料!AQ292=""),"",IF(AND(原始資料!AP292&lt;&gt;"",原始資料!AQ292=原始資料!AP292),N(AN292)+1,1))</f>
        <v/>
      </c>
      <c r="AP292" s="6">
        <f>IF(OR(原始資料!$A292="",41&gt;設定!$B$3,原始資料!AR292=""),"",IF(AND(原始資料!AQ292&lt;&gt;"",原始資料!AR292=原始資料!AQ292),N(AO292)+1,1))</f>
        <v/>
      </c>
      <c r="AQ292" s="6">
        <f>IF(OR(原始資料!$A292="",42&gt;設定!$B$3,原始資料!AS292=""),"",IF(AND(原始資料!AR292&lt;&gt;"",原始資料!AS292=原始資料!AR292),N(AP292)+1,1))</f>
        <v/>
      </c>
      <c r="AR292" s="6">
        <f>IF(OR(原始資料!$A292="",43&gt;設定!$B$3,原始資料!AT292=""),"",IF(AND(原始資料!AS292&lt;&gt;"",原始資料!AT292=原始資料!AS292),N(AQ292)+1,1))</f>
        <v/>
      </c>
      <c r="AS292" s="6">
        <f>IF(OR(原始資料!$A292="",44&gt;設定!$B$3,原始資料!AU292=""),"",IF(AND(原始資料!AT292&lt;&gt;"",原始資料!AU292=原始資料!AT292),N(AR292)+1,1))</f>
        <v/>
      </c>
      <c r="AT292" s="6">
        <f>IF(OR(原始資料!$A292="",45&gt;設定!$B$3,原始資料!AV292=""),"",IF(AND(原始資料!AU292&lt;&gt;"",原始資料!AV292=原始資料!AU292),N(AS292)+1,1))</f>
        <v/>
      </c>
      <c r="AU292" s="6">
        <f>IF(OR(原始資料!$A292="",46&gt;設定!$B$3,原始資料!AW292=""),"",IF(AND(原始資料!AV292&lt;&gt;"",原始資料!AW292=原始資料!AV292),N(AT292)+1,1))</f>
        <v/>
      </c>
      <c r="AV292" s="6">
        <f>IF(OR(原始資料!$A292="",47&gt;設定!$B$3,原始資料!AX292=""),"",IF(AND(原始資料!AW292&lt;&gt;"",原始資料!AX292=原始資料!AW292),N(AU292)+1,1))</f>
        <v/>
      </c>
      <c r="AW292" s="6">
        <f>IF(OR(原始資料!$A292="",48&gt;設定!$B$3,原始資料!AY292=""),"",IF(AND(原始資料!AX292&lt;&gt;"",原始資料!AY292=原始資料!AX292),N(AV292)+1,1))</f>
        <v/>
      </c>
      <c r="AX292" s="6">
        <f>IF(OR(原始資料!$A292="",49&gt;設定!$B$3,原始資料!AZ292=""),"",IF(AND(原始資料!AY292&lt;&gt;"",原始資料!AZ292=原始資料!AY292),N(AW292)+1,1))</f>
        <v/>
      </c>
      <c r="AY292" s="6">
        <f>IF(OR(原始資料!$A292="",50&gt;設定!$B$3,原始資料!BA292=""),"",IF(AND(原始資料!AZ292&lt;&gt;"",原始資料!BA292=原始資料!AZ292),N(AX292)+1,1))</f>
        <v/>
      </c>
      <c r="AZ292" s="6">
        <f>IF(OR(原始資料!$A292="",51&gt;設定!$B$3,原始資料!BB292=""),"",IF(AND(原始資料!BA292&lt;&gt;"",原始資料!BB292=原始資料!BA292),N(AY292)+1,1))</f>
        <v/>
      </c>
      <c r="BA292" s="6">
        <f>IF(OR(原始資料!$A292="",52&gt;設定!$B$3,原始資料!BC292=""),"",IF(AND(原始資料!BB292&lt;&gt;"",原始資料!BC292=原始資料!BB292),N(AZ292)+1,1))</f>
        <v/>
      </c>
      <c r="BB292" s="6">
        <f>IF(OR(原始資料!$A292="",53&gt;設定!$B$3,原始資料!BD292=""),"",IF(AND(原始資料!BC292&lt;&gt;"",原始資料!BD292=原始資料!BC292),N(BA292)+1,1))</f>
        <v/>
      </c>
      <c r="BC292" s="6">
        <f>IF(OR(原始資料!$A292="",54&gt;設定!$B$3,原始資料!BE292=""),"",IF(AND(原始資料!BD292&lt;&gt;"",原始資料!BE292=原始資料!BD292),N(BB292)+1,1))</f>
        <v/>
      </c>
      <c r="BD292" s="6">
        <f>IF(OR(原始資料!$A292="",55&gt;設定!$B$3,原始資料!BF292=""),"",IF(AND(原始資料!BE292&lt;&gt;"",原始資料!BF292=原始資料!BE292),N(BC292)+1,1))</f>
        <v/>
      </c>
      <c r="BE292" s="6">
        <f>IF(OR(原始資料!$A292="",56&gt;設定!$B$3,原始資料!BG292=""),"",IF(AND(原始資料!BF292&lt;&gt;"",原始資料!BG292=原始資料!BF292),N(BD292)+1,1))</f>
        <v/>
      </c>
      <c r="BF292" s="6">
        <f>IF(OR(原始資料!$A292="",57&gt;設定!$B$3,原始資料!BH292=""),"",IF(AND(原始資料!BG292&lt;&gt;"",原始資料!BH292=原始資料!BG292),N(BE292)+1,1))</f>
        <v/>
      </c>
      <c r="BG292" s="6">
        <f>IF(OR(原始資料!$A292="",58&gt;設定!$B$3,原始資料!BI292=""),"",IF(AND(原始資料!BH292&lt;&gt;"",原始資料!BI292=原始資料!BH292),N(BF292)+1,1))</f>
        <v/>
      </c>
      <c r="BH292" s="6">
        <f>IF(OR(原始資料!$A292="",59&gt;設定!$B$3,原始資料!BJ292=""),"",IF(AND(原始資料!BI292&lt;&gt;"",原始資料!BJ292=原始資料!BI292),N(BG292)+1,1))</f>
        <v/>
      </c>
      <c r="BI292" s="6">
        <f>IF(OR(原始資料!$A292="",60&gt;設定!$B$3,原始資料!BK292=""),"",IF(AND(原始資料!BJ292&lt;&gt;"",原始資料!BK292=原始資料!BJ292),N(BH292)+1,1))</f>
        <v/>
      </c>
    </row>
    <row r="293">
      <c r="A293" s="6">
        <f>IF(原始資料!$A293="","",原始資料!$A293)</f>
        <v/>
      </c>
      <c r="B293" s="6">
        <f>IF(OR(原始資料!$A293="",1&gt;設定!$B$3,原始資料!D293=""),"",1)</f>
        <v/>
      </c>
      <c r="C293" s="6">
        <f>IF(OR(原始資料!$A293="",2&gt;設定!$B$3,原始資料!E293=""),"",IF(AND(原始資料!D293&lt;&gt;"",原始資料!E293=原始資料!D293),N(B293)+1,1))</f>
        <v/>
      </c>
      <c r="D293" s="6">
        <f>IF(OR(原始資料!$A293="",3&gt;設定!$B$3,原始資料!F293=""),"",IF(AND(原始資料!E293&lt;&gt;"",原始資料!F293=原始資料!E293),N(C293)+1,1))</f>
        <v/>
      </c>
      <c r="E293" s="6">
        <f>IF(OR(原始資料!$A293="",4&gt;設定!$B$3,原始資料!G293=""),"",IF(AND(原始資料!F293&lt;&gt;"",原始資料!G293=原始資料!F293),N(D293)+1,1))</f>
        <v/>
      </c>
      <c r="F293" s="6">
        <f>IF(OR(原始資料!$A293="",5&gt;設定!$B$3,原始資料!H293=""),"",IF(AND(原始資料!G293&lt;&gt;"",原始資料!H293=原始資料!G293),N(E293)+1,1))</f>
        <v/>
      </c>
      <c r="G293" s="6">
        <f>IF(OR(原始資料!$A293="",6&gt;設定!$B$3,原始資料!I293=""),"",IF(AND(原始資料!H293&lt;&gt;"",原始資料!I293=原始資料!H293),N(F293)+1,1))</f>
        <v/>
      </c>
      <c r="H293" s="6">
        <f>IF(OR(原始資料!$A293="",7&gt;設定!$B$3,原始資料!J293=""),"",IF(AND(原始資料!I293&lt;&gt;"",原始資料!J293=原始資料!I293),N(G293)+1,1))</f>
        <v/>
      </c>
      <c r="I293" s="6">
        <f>IF(OR(原始資料!$A293="",8&gt;設定!$B$3,原始資料!K293=""),"",IF(AND(原始資料!J293&lt;&gt;"",原始資料!K293=原始資料!J293),N(H293)+1,1))</f>
        <v/>
      </c>
      <c r="J293" s="6">
        <f>IF(OR(原始資料!$A293="",9&gt;設定!$B$3,原始資料!L293=""),"",IF(AND(原始資料!K293&lt;&gt;"",原始資料!L293=原始資料!K293),N(I293)+1,1))</f>
        <v/>
      </c>
      <c r="K293" s="6">
        <f>IF(OR(原始資料!$A293="",10&gt;設定!$B$3,原始資料!M293=""),"",IF(AND(原始資料!L293&lt;&gt;"",原始資料!M293=原始資料!L293),N(J293)+1,1))</f>
        <v/>
      </c>
      <c r="L293" s="6">
        <f>IF(OR(原始資料!$A293="",11&gt;設定!$B$3,原始資料!N293=""),"",IF(AND(原始資料!M293&lt;&gt;"",原始資料!N293=原始資料!M293),N(K293)+1,1))</f>
        <v/>
      </c>
      <c r="M293" s="6">
        <f>IF(OR(原始資料!$A293="",12&gt;設定!$B$3,原始資料!O293=""),"",IF(AND(原始資料!N293&lt;&gt;"",原始資料!O293=原始資料!N293),N(L293)+1,1))</f>
        <v/>
      </c>
      <c r="N293" s="6">
        <f>IF(OR(原始資料!$A293="",13&gt;設定!$B$3,原始資料!P293=""),"",IF(AND(原始資料!O293&lt;&gt;"",原始資料!P293=原始資料!O293),N(M293)+1,1))</f>
        <v/>
      </c>
      <c r="O293" s="6">
        <f>IF(OR(原始資料!$A293="",14&gt;設定!$B$3,原始資料!Q293=""),"",IF(AND(原始資料!P293&lt;&gt;"",原始資料!Q293=原始資料!P293),N(N293)+1,1))</f>
        <v/>
      </c>
      <c r="P293" s="6">
        <f>IF(OR(原始資料!$A293="",15&gt;設定!$B$3,原始資料!R293=""),"",IF(AND(原始資料!Q293&lt;&gt;"",原始資料!R293=原始資料!Q293),N(O293)+1,1))</f>
        <v/>
      </c>
      <c r="Q293" s="6">
        <f>IF(OR(原始資料!$A293="",16&gt;設定!$B$3,原始資料!S293=""),"",IF(AND(原始資料!R293&lt;&gt;"",原始資料!S293=原始資料!R293),N(P293)+1,1))</f>
        <v/>
      </c>
      <c r="R293" s="6">
        <f>IF(OR(原始資料!$A293="",17&gt;設定!$B$3,原始資料!T293=""),"",IF(AND(原始資料!S293&lt;&gt;"",原始資料!T293=原始資料!S293),N(Q293)+1,1))</f>
        <v/>
      </c>
      <c r="S293" s="6">
        <f>IF(OR(原始資料!$A293="",18&gt;設定!$B$3,原始資料!U293=""),"",IF(AND(原始資料!T293&lt;&gt;"",原始資料!U293=原始資料!T293),N(R293)+1,1))</f>
        <v/>
      </c>
      <c r="T293" s="6">
        <f>IF(OR(原始資料!$A293="",19&gt;設定!$B$3,原始資料!V293=""),"",IF(AND(原始資料!U293&lt;&gt;"",原始資料!V293=原始資料!U293),N(S293)+1,1))</f>
        <v/>
      </c>
      <c r="U293" s="6">
        <f>IF(OR(原始資料!$A293="",20&gt;設定!$B$3,原始資料!W293=""),"",IF(AND(原始資料!V293&lt;&gt;"",原始資料!W293=原始資料!V293),N(T293)+1,1))</f>
        <v/>
      </c>
      <c r="V293" s="6">
        <f>IF(OR(原始資料!$A293="",21&gt;設定!$B$3,原始資料!X293=""),"",IF(AND(原始資料!W293&lt;&gt;"",原始資料!X293=原始資料!W293),N(U293)+1,1))</f>
        <v/>
      </c>
      <c r="W293" s="6">
        <f>IF(OR(原始資料!$A293="",22&gt;設定!$B$3,原始資料!Y293=""),"",IF(AND(原始資料!X293&lt;&gt;"",原始資料!Y293=原始資料!X293),N(V293)+1,1))</f>
        <v/>
      </c>
      <c r="X293" s="6">
        <f>IF(OR(原始資料!$A293="",23&gt;設定!$B$3,原始資料!Z293=""),"",IF(AND(原始資料!Y293&lt;&gt;"",原始資料!Z293=原始資料!Y293),N(W293)+1,1))</f>
        <v/>
      </c>
      <c r="Y293" s="6">
        <f>IF(OR(原始資料!$A293="",24&gt;設定!$B$3,原始資料!AA293=""),"",IF(AND(原始資料!Z293&lt;&gt;"",原始資料!AA293=原始資料!Z293),N(X293)+1,1))</f>
        <v/>
      </c>
      <c r="Z293" s="6">
        <f>IF(OR(原始資料!$A293="",25&gt;設定!$B$3,原始資料!AB293=""),"",IF(AND(原始資料!AA293&lt;&gt;"",原始資料!AB293=原始資料!AA293),N(Y293)+1,1))</f>
        <v/>
      </c>
      <c r="AA293" s="6">
        <f>IF(OR(原始資料!$A293="",26&gt;設定!$B$3,原始資料!AC293=""),"",IF(AND(原始資料!AB293&lt;&gt;"",原始資料!AC293=原始資料!AB293),N(Z293)+1,1))</f>
        <v/>
      </c>
      <c r="AB293" s="6">
        <f>IF(OR(原始資料!$A293="",27&gt;設定!$B$3,原始資料!AD293=""),"",IF(AND(原始資料!AC293&lt;&gt;"",原始資料!AD293=原始資料!AC293),N(AA293)+1,1))</f>
        <v/>
      </c>
      <c r="AC293" s="6">
        <f>IF(OR(原始資料!$A293="",28&gt;設定!$B$3,原始資料!AE293=""),"",IF(AND(原始資料!AD293&lt;&gt;"",原始資料!AE293=原始資料!AD293),N(AB293)+1,1))</f>
        <v/>
      </c>
      <c r="AD293" s="6">
        <f>IF(OR(原始資料!$A293="",29&gt;設定!$B$3,原始資料!AF293=""),"",IF(AND(原始資料!AE293&lt;&gt;"",原始資料!AF293=原始資料!AE293),N(AC293)+1,1))</f>
        <v/>
      </c>
      <c r="AE293" s="6">
        <f>IF(OR(原始資料!$A293="",30&gt;設定!$B$3,原始資料!AG293=""),"",IF(AND(原始資料!AF293&lt;&gt;"",原始資料!AG293=原始資料!AF293),N(AD293)+1,1))</f>
        <v/>
      </c>
      <c r="AF293" s="6">
        <f>IF(OR(原始資料!$A293="",31&gt;設定!$B$3,原始資料!AH293=""),"",IF(AND(原始資料!AG293&lt;&gt;"",原始資料!AH293=原始資料!AG293),N(AE293)+1,1))</f>
        <v/>
      </c>
      <c r="AG293" s="6">
        <f>IF(OR(原始資料!$A293="",32&gt;設定!$B$3,原始資料!AI293=""),"",IF(AND(原始資料!AH293&lt;&gt;"",原始資料!AI293=原始資料!AH293),N(AF293)+1,1))</f>
        <v/>
      </c>
      <c r="AH293" s="6">
        <f>IF(OR(原始資料!$A293="",33&gt;設定!$B$3,原始資料!AJ293=""),"",IF(AND(原始資料!AI293&lt;&gt;"",原始資料!AJ293=原始資料!AI293),N(AG293)+1,1))</f>
        <v/>
      </c>
      <c r="AI293" s="6">
        <f>IF(OR(原始資料!$A293="",34&gt;設定!$B$3,原始資料!AK293=""),"",IF(AND(原始資料!AJ293&lt;&gt;"",原始資料!AK293=原始資料!AJ293),N(AH293)+1,1))</f>
        <v/>
      </c>
      <c r="AJ293" s="6">
        <f>IF(OR(原始資料!$A293="",35&gt;設定!$B$3,原始資料!AL293=""),"",IF(AND(原始資料!AK293&lt;&gt;"",原始資料!AL293=原始資料!AK293),N(AI293)+1,1))</f>
        <v/>
      </c>
      <c r="AK293" s="6">
        <f>IF(OR(原始資料!$A293="",36&gt;設定!$B$3,原始資料!AM293=""),"",IF(AND(原始資料!AL293&lt;&gt;"",原始資料!AM293=原始資料!AL293),N(AJ293)+1,1))</f>
        <v/>
      </c>
      <c r="AL293" s="6">
        <f>IF(OR(原始資料!$A293="",37&gt;設定!$B$3,原始資料!AN293=""),"",IF(AND(原始資料!AM293&lt;&gt;"",原始資料!AN293=原始資料!AM293),N(AK293)+1,1))</f>
        <v/>
      </c>
      <c r="AM293" s="6">
        <f>IF(OR(原始資料!$A293="",38&gt;設定!$B$3,原始資料!AO293=""),"",IF(AND(原始資料!AN293&lt;&gt;"",原始資料!AO293=原始資料!AN293),N(AL293)+1,1))</f>
        <v/>
      </c>
      <c r="AN293" s="6">
        <f>IF(OR(原始資料!$A293="",39&gt;設定!$B$3,原始資料!AP293=""),"",IF(AND(原始資料!AO293&lt;&gt;"",原始資料!AP293=原始資料!AO293),N(AM293)+1,1))</f>
        <v/>
      </c>
      <c r="AO293" s="6">
        <f>IF(OR(原始資料!$A293="",40&gt;設定!$B$3,原始資料!AQ293=""),"",IF(AND(原始資料!AP293&lt;&gt;"",原始資料!AQ293=原始資料!AP293),N(AN293)+1,1))</f>
        <v/>
      </c>
      <c r="AP293" s="6">
        <f>IF(OR(原始資料!$A293="",41&gt;設定!$B$3,原始資料!AR293=""),"",IF(AND(原始資料!AQ293&lt;&gt;"",原始資料!AR293=原始資料!AQ293),N(AO293)+1,1))</f>
        <v/>
      </c>
      <c r="AQ293" s="6">
        <f>IF(OR(原始資料!$A293="",42&gt;設定!$B$3,原始資料!AS293=""),"",IF(AND(原始資料!AR293&lt;&gt;"",原始資料!AS293=原始資料!AR293),N(AP293)+1,1))</f>
        <v/>
      </c>
      <c r="AR293" s="6">
        <f>IF(OR(原始資料!$A293="",43&gt;設定!$B$3,原始資料!AT293=""),"",IF(AND(原始資料!AS293&lt;&gt;"",原始資料!AT293=原始資料!AS293),N(AQ293)+1,1))</f>
        <v/>
      </c>
      <c r="AS293" s="6">
        <f>IF(OR(原始資料!$A293="",44&gt;設定!$B$3,原始資料!AU293=""),"",IF(AND(原始資料!AT293&lt;&gt;"",原始資料!AU293=原始資料!AT293),N(AR293)+1,1))</f>
        <v/>
      </c>
      <c r="AT293" s="6">
        <f>IF(OR(原始資料!$A293="",45&gt;設定!$B$3,原始資料!AV293=""),"",IF(AND(原始資料!AU293&lt;&gt;"",原始資料!AV293=原始資料!AU293),N(AS293)+1,1))</f>
        <v/>
      </c>
      <c r="AU293" s="6">
        <f>IF(OR(原始資料!$A293="",46&gt;設定!$B$3,原始資料!AW293=""),"",IF(AND(原始資料!AV293&lt;&gt;"",原始資料!AW293=原始資料!AV293),N(AT293)+1,1))</f>
        <v/>
      </c>
      <c r="AV293" s="6">
        <f>IF(OR(原始資料!$A293="",47&gt;設定!$B$3,原始資料!AX293=""),"",IF(AND(原始資料!AW293&lt;&gt;"",原始資料!AX293=原始資料!AW293),N(AU293)+1,1))</f>
        <v/>
      </c>
      <c r="AW293" s="6">
        <f>IF(OR(原始資料!$A293="",48&gt;設定!$B$3,原始資料!AY293=""),"",IF(AND(原始資料!AX293&lt;&gt;"",原始資料!AY293=原始資料!AX293),N(AV293)+1,1))</f>
        <v/>
      </c>
      <c r="AX293" s="6">
        <f>IF(OR(原始資料!$A293="",49&gt;設定!$B$3,原始資料!AZ293=""),"",IF(AND(原始資料!AY293&lt;&gt;"",原始資料!AZ293=原始資料!AY293),N(AW293)+1,1))</f>
        <v/>
      </c>
      <c r="AY293" s="6">
        <f>IF(OR(原始資料!$A293="",50&gt;設定!$B$3,原始資料!BA293=""),"",IF(AND(原始資料!AZ293&lt;&gt;"",原始資料!BA293=原始資料!AZ293),N(AX293)+1,1))</f>
        <v/>
      </c>
      <c r="AZ293" s="6">
        <f>IF(OR(原始資料!$A293="",51&gt;設定!$B$3,原始資料!BB293=""),"",IF(AND(原始資料!BA293&lt;&gt;"",原始資料!BB293=原始資料!BA293),N(AY293)+1,1))</f>
        <v/>
      </c>
      <c r="BA293" s="6">
        <f>IF(OR(原始資料!$A293="",52&gt;設定!$B$3,原始資料!BC293=""),"",IF(AND(原始資料!BB293&lt;&gt;"",原始資料!BC293=原始資料!BB293),N(AZ293)+1,1))</f>
        <v/>
      </c>
      <c r="BB293" s="6">
        <f>IF(OR(原始資料!$A293="",53&gt;設定!$B$3,原始資料!BD293=""),"",IF(AND(原始資料!BC293&lt;&gt;"",原始資料!BD293=原始資料!BC293),N(BA293)+1,1))</f>
        <v/>
      </c>
      <c r="BC293" s="6">
        <f>IF(OR(原始資料!$A293="",54&gt;設定!$B$3,原始資料!BE293=""),"",IF(AND(原始資料!BD293&lt;&gt;"",原始資料!BE293=原始資料!BD293),N(BB293)+1,1))</f>
        <v/>
      </c>
      <c r="BD293" s="6">
        <f>IF(OR(原始資料!$A293="",55&gt;設定!$B$3,原始資料!BF293=""),"",IF(AND(原始資料!BE293&lt;&gt;"",原始資料!BF293=原始資料!BE293),N(BC293)+1,1))</f>
        <v/>
      </c>
      <c r="BE293" s="6">
        <f>IF(OR(原始資料!$A293="",56&gt;設定!$B$3,原始資料!BG293=""),"",IF(AND(原始資料!BF293&lt;&gt;"",原始資料!BG293=原始資料!BF293),N(BD293)+1,1))</f>
        <v/>
      </c>
      <c r="BF293" s="6">
        <f>IF(OR(原始資料!$A293="",57&gt;設定!$B$3,原始資料!BH293=""),"",IF(AND(原始資料!BG293&lt;&gt;"",原始資料!BH293=原始資料!BG293),N(BE293)+1,1))</f>
        <v/>
      </c>
      <c r="BG293" s="6">
        <f>IF(OR(原始資料!$A293="",58&gt;設定!$B$3,原始資料!BI293=""),"",IF(AND(原始資料!BH293&lt;&gt;"",原始資料!BI293=原始資料!BH293),N(BF293)+1,1))</f>
        <v/>
      </c>
      <c r="BH293" s="6">
        <f>IF(OR(原始資料!$A293="",59&gt;設定!$B$3,原始資料!BJ293=""),"",IF(AND(原始資料!BI293&lt;&gt;"",原始資料!BJ293=原始資料!BI293),N(BG293)+1,1))</f>
        <v/>
      </c>
      <c r="BI293" s="6">
        <f>IF(OR(原始資料!$A293="",60&gt;設定!$B$3,原始資料!BK293=""),"",IF(AND(原始資料!BJ293&lt;&gt;"",原始資料!BK293=原始資料!BJ293),N(BH293)+1,1))</f>
        <v/>
      </c>
    </row>
    <row r="294">
      <c r="A294" s="6">
        <f>IF(原始資料!$A294="","",原始資料!$A294)</f>
        <v/>
      </c>
      <c r="B294" s="6">
        <f>IF(OR(原始資料!$A294="",1&gt;設定!$B$3,原始資料!D294=""),"",1)</f>
        <v/>
      </c>
      <c r="C294" s="6">
        <f>IF(OR(原始資料!$A294="",2&gt;設定!$B$3,原始資料!E294=""),"",IF(AND(原始資料!D294&lt;&gt;"",原始資料!E294=原始資料!D294),N(B294)+1,1))</f>
        <v/>
      </c>
      <c r="D294" s="6">
        <f>IF(OR(原始資料!$A294="",3&gt;設定!$B$3,原始資料!F294=""),"",IF(AND(原始資料!E294&lt;&gt;"",原始資料!F294=原始資料!E294),N(C294)+1,1))</f>
        <v/>
      </c>
      <c r="E294" s="6">
        <f>IF(OR(原始資料!$A294="",4&gt;設定!$B$3,原始資料!G294=""),"",IF(AND(原始資料!F294&lt;&gt;"",原始資料!G294=原始資料!F294),N(D294)+1,1))</f>
        <v/>
      </c>
      <c r="F294" s="6">
        <f>IF(OR(原始資料!$A294="",5&gt;設定!$B$3,原始資料!H294=""),"",IF(AND(原始資料!G294&lt;&gt;"",原始資料!H294=原始資料!G294),N(E294)+1,1))</f>
        <v/>
      </c>
      <c r="G294" s="6">
        <f>IF(OR(原始資料!$A294="",6&gt;設定!$B$3,原始資料!I294=""),"",IF(AND(原始資料!H294&lt;&gt;"",原始資料!I294=原始資料!H294),N(F294)+1,1))</f>
        <v/>
      </c>
      <c r="H294" s="6">
        <f>IF(OR(原始資料!$A294="",7&gt;設定!$B$3,原始資料!J294=""),"",IF(AND(原始資料!I294&lt;&gt;"",原始資料!J294=原始資料!I294),N(G294)+1,1))</f>
        <v/>
      </c>
      <c r="I294" s="6">
        <f>IF(OR(原始資料!$A294="",8&gt;設定!$B$3,原始資料!K294=""),"",IF(AND(原始資料!J294&lt;&gt;"",原始資料!K294=原始資料!J294),N(H294)+1,1))</f>
        <v/>
      </c>
      <c r="J294" s="6">
        <f>IF(OR(原始資料!$A294="",9&gt;設定!$B$3,原始資料!L294=""),"",IF(AND(原始資料!K294&lt;&gt;"",原始資料!L294=原始資料!K294),N(I294)+1,1))</f>
        <v/>
      </c>
      <c r="K294" s="6">
        <f>IF(OR(原始資料!$A294="",10&gt;設定!$B$3,原始資料!M294=""),"",IF(AND(原始資料!L294&lt;&gt;"",原始資料!M294=原始資料!L294),N(J294)+1,1))</f>
        <v/>
      </c>
      <c r="L294" s="6">
        <f>IF(OR(原始資料!$A294="",11&gt;設定!$B$3,原始資料!N294=""),"",IF(AND(原始資料!M294&lt;&gt;"",原始資料!N294=原始資料!M294),N(K294)+1,1))</f>
        <v/>
      </c>
      <c r="M294" s="6">
        <f>IF(OR(原始資料!$A294="",12&gt;設定!$B$3,原始資料!O294=""),"",IF(AND(原始資料!N294&lt;&gt;"",原始資料!O294=原始資料!N294),N(L294)+1,1))</f>
        <v/>
      </c>
      <c r="N294" s="6">
        <f>IF(OR(原始資料!$A294="",13&gt;設定!$B$3,原始資料!P294=""),"",IF(AND(原始資料!O294&lt;&gt;"",原始資料!P294=原始資料!O294),N(M294)+1,1))</f>
        <v/>
      </c>
      <c r="O294" s="6">
        <f>IF(OR(原始資料!$A294="",14&gt;設定!$B$3,原始資料!Q294=""),"",IF(AND(原始資料!P294&lt;&gt;"",原始資料!Q294=原始資料!P294),N(N294)+1,1))</f>
        <v/>
      </c>
      <c r="P294" s="6">
        <f>IF(OR(原始資料!$A294="",15&gt;設定!$B$3,原始資料!R294=""),"",IF(AND(原始資料!Q294&lt;&gt;"",原始資料!R294=原始資料!Q294),N(O294)+1,1))</f>
        <v/>
      </c>
      <c r="Q294" s="6">
        <f>IF(OR(原始資料!$A294="",16&gt;設定!$B$3,原始資料!S294=""),"",IF(AND(原始資料!R294&lt;&gt;"",原始資料!S294=原始資料!R294),N(P294)+1,1))</f>
        <v/>
      </c>
      <c r="R294" s="6">
        <f>IF(OR(原始資料!$A294="",17&gt;設定!$B$3,原始資料!T294=""),"",IF(AND(原始資料!S294&lt;&gt;"",原始資料!T294=原始資料!S294),N(Q294)+1,1))</f>
        <v/>
      </c>
      <c r="S294" s="6">
        <f>IF(OR(原始資料!$A294="",18&gt;設定!$B$3,原始資料!U294=""),"",IF(AND(原始資料!T294&lt;&gt;"",原始資料!U294=原始資料!T294),N(R294)+1,1))</f>
        <v/>
      </c>
      <c r="T294" s="6">
        <f>IF(OR(原始資料!$A294="",19&gt;設定!$B$3,原始資料!V294=""),"",IF(AND(原始資料!U294&lt;&gt;"",原始資料!V294=原始資料!U294),N(S294)+1,1))</f>
        <v/>
      </c>
      <c r="U294" s="6">
        <f>IF(OR(原始資料!$A294="",20&gt;設定!$B$3,原始資料!W294=""),"",IF(AND(原始資料!V294&lt;&gt;"",原始資料!W294=原始資料!V294),N(T294)+1,1))</f>
        <v/>
      </c>
      <c r="V294" s="6">
        <f>IF(OR(原始資料!$A294="",21&gt;設定!$B$3,原始資料!X294=""),"",IF(AND(原始資料!W294&lt;&gt;"",原始資料!X294=原始資料!W294),N(U294)+1,1))</f>
        <v/>
      </c>
      <c r="W294" s="6">
        <f>IF(OR(原始資料!$A294="",22&gt;設定!$B$3,原始資料!Y294=""),"",IF(AND(原始資料!X294&lt;&gt;"",原始資料!Y294=原始資料!X294),N(V294)+1,1))</f>
        <v/>
      </c>
      <c r="X294" s="6">
        <f>IF(OR(原始資料!$A294="",23&gt;設定!$B$3,原始資料!Z294=""),"",IF(AND(原始資料!Y294&lt;&gt;"",原始資料!Z294=原始資料!Y294),N(W294)+1,1))</f>
        <v/>
      </c>
      <c r="Y294" s="6">
        <f>IF(OR(原始資料!$A294="",24&gt;設定!$B$3,原始資料!AA294=""),"",IF(AND(原始資料!Z294&lt;&gt;"",原始資料!AA294=原始資料!Z294),N(X294)+1,1))</f>
        <v/>
      </c>
      <c r="Z294" s="6">
        <f>IF(OR(原始資料!$A294="",25&gt;設定!$B$3,原始資料!AB294=""),"",IF(AND(原始資料!AA294&lt;&gt;"",原始資料!AB294=原始資料!AA294),N(Y294)+1,1))</f>
        <v/>
      </c>
      <c r="AA294" s="6">
        <f>IF(OR(原始資料!$A294="",26&gt;設定!$B$3,原始資料!AC294=""),"",IF(AND(原始資料!AB294&lt;&gt;"",原始資料!AC294=原始資料!AB294),N(Z294)+1,1))</f>
        <v/>
      </c>
      <c r="AB294" s="6">
        <f>IF(OR(原始資料!$A294="",27&gt;設定!$B$3,原始資料!AD294=""),"",IF(AND(原始資料!AC294&lt;&gt;"",原始資料!AD294=原始資料!AC294),N(AA294)+1,1))</f>
        <v/>
      </c>
      <c r="AC294" s="6">
        <f>IF(OR(原始資料!$A294="",28&gt;設定!$B$3,原始資料!AE294=""),"",IF(AND(原始資料!AD294&lt;&gt;"",原始資料!AE294=原始資料!AD294),N(AB294)+1,1))</f>
        <v/>
      </c>
      <c r="AD294" s="6">
        <f>IF(OR(原始資料!$A294="",29&gt;設定!$B$3,原始資料!AF294=""),"",IF(AND(原始資料!AE294&lt;&gt;"",原始資料!AF294=原始資料!AE294),N(AC294)+1,1))</f>
        <v/>
      </c>
      <c r="AE294" s="6">
        <f>IF(OR(原始資料!$A294="",30&gt;設定!$B$3,原始資料!AG294=""),"",IF(AND(原始資料!AF294&lt;&gt;"",原始資料!AG294=原始資料!AF294),N(AD294)+1,1))</f>
        <v/>
      </c>
      <c r="AF294" s="6">
        <f>IF(OR(原始資料!$A294="",31&gt;設定!$B$3,原始資料!AH294=""),"",IF(AND(原始資料!AG294&lt;&gt;"",原始資料!AH294=原始資料!AG294),N(AE294)+1,1))</f>
        <v/>
      </c>
      <c r="AG294" s="6">
        <f>IF(OR(原始資料!$A294="",32&gt;設定!$B$3,原始資料!AI294=""),"",IF(AND(原始資料!AH294&lt;&gt;"",原始資料!AI294=原始資料!AH294),N(AF294)+1,1))</f>
        <v/>
      </c>
      <c r="AH294" s="6">
        <f>IF(OR(原始資料!$A294="",33&gt;設定!$B$3,原始資料!AJ294=""),"",IF(AND(原始資料!AI294&lt;&gt;"",原始資料!AJ294=原始資料!AI294),N(AG294)+1,1))</f>
        <v/>
      </c>
      <c r="AI294" s="6">
        <f>IF(OR(原始資料!$A294="",34&gt;設定!$B$3,原始資料!AK294=""),"",IF(AND(原始資料!AJ294&lt;&gt;"",原始資料!AK294=原始資料!AJ294),N(AH294)+1,1))</f>
        <v/>
      </c>
      <c r="AJ294" s="6">
        <f>IF(OR(原始資料!$A294="",35&gt;設定!$B$3,原始資料!AL294=""),"",IF(AND(原始資料!AK294&lt;&gt;"",原始資料!AL294=原始資料!AK294),N(AI294)+1,1))</f>
        <v/>
      </c>
      <c r="AK294" s="6">
        <f>IF(OR(原始資料!$A294="",36&gt;設定!$B$3,原始資料!AM294=""),"",IF(AND(原始資料!AL294&lt;&gt;"",原始資料!AM294=原始資料!AL294),N(AJ294)+1,1))</f>
        <v/>
      </c>
      <c r="AL294" s="6">
        <f>IF(OR(原始資料!$A294="",37&gt;設定!$B$3,原始資料!AN294=""),"",IF(AND(原始資料!AM294&lt;&gt;"",原始資料!AN294=原始資料!AM294),N(AK294)+1,1))</f>
        <v/>
      </c>
      <c r="AM294" s="6">
        <f>IF(OR(原始資料!$A294="",38&gt;設定!$B$3,原始資料!AO294=""),"",IF(AND(原始資料!AN294&lt;&gt;"",原始資料!AO294=原始資料!AN294),N(AL294)+1,1))</f>
        <v/>
      </c>
      <c r="AN294" s="6">
        <f>IF(OR(原始資料!$A294="",39&gt;設定!$B$3,原始資料!AP294=""),"",IF(AND(原始資料!AO294&lt;&gt;"",原始資料!AP294=原始資料!AO294),N(AM294)+1,1))</f>
        <v/>
      </c>
      <c r="AO294" s="6">
        <f>IF(OR(原始資料!$A294="",40&gt;設定!$B$3,原始資料!AQ294=""),"",IF(AND(原始資料!AP294&lt;&gt;"",原始資料!AQ294=原始資料!AP294),N(AN294)+1,1))</f>
        <v/>
      </c>
      <c r="AP294" s="6">
        <f>IF(OR(原始資料!$A294="",41&gt;設定!$B$3,原始資料!AR294=""),"",IF(AND(原始資料!AQ294&lt;&gt;"",原始資料!AR294=原始資料!AQ294),N(AO294)+1,1))</f>
        <v/>
      </c>
      <c r="AQ294" s="6">
        <f>IF(OR(原始資料!$A294="",42&gt;設定!$B$3,原始資料!AS294=""),"",IF(AND(原始資料!AR294&lt;&gt;"",原始資料!AS294=原始資料!AR294),N(AP294)+1,1))</f>
        <v/>
      </c>
      <c r="AR294" s="6">
        <f>IF(OR(原始資料!$A294="",43&gt;設定!$B$3,原始資料!AT294=""),"",IF(AND(原始資料!AS294&lt;&gt;"",原始資料!AT294=原始資料!AS294),N(AQ294)+1,1))</f>
        <v/>
      </c>
      <c r="AS294" s="6">
        <f>IF(OR(原始資料!$A294="",44&gt;設定!$B$3,原始資料!AU294=""),"",IF(AND(原始資料!AT294&lt;&gt;"",原始資料!AU294=原始資料!AT294),N(AR294)+1,1))</f>
        <v/>
      </c>
      <c r="AT294" s="6">
        <f>IF(OR(原始資料!$A294="",45&gt;設定!$B$3,原始資料!AV294=""),"",IF(AND(原始資料!AU294&lt;&gt;"",原始資料!AV294=原始資料!AU294),N(AS294)+1,1))</f>
        <v/>
      </c>
      <c r="AU294" s="6">
        <f>IF(OR(原始資料!$A294="",46&gt;設定!$B$3,原始資料!AW294=""),"",IF(AND(原始資料!AV294&lt;&gt;"",原始資料!AW294=原始資料!AV294),N(AT294)+1,1))</f>
        <v/>
      </c>
      <c r="AV294" s="6">
        <f>IF(OR(原始資料!$A294="",47&gt;設定!$B$3,原始資料!AX294=""),"",IF(AND(原始資料!AW294&lt;&gt;"",原始資料!AX294=原始資料!AW294),N(AU294)+1,1))</f>
        <v/>
      </c>
      <c r="AW294" s="6">
        <f>IF(OR(原始資料!$A294="",48&gt;設定!$B$3,原始資料!AY294=""),"",IF(AND(原始資料!AX294&lt;&gt;"",原始資料!AY294=原始資料!AX294),N(AV294)+1,1))</f>
        <v/>
      </c>
      <c r="AX294" s="6">
        <f>IF(OR(原始資料!$A294="",49&gt;設定!$B$3,原始資料!AZ294=""),"",IF(AND(原始資料!AY294&lt;&gt;"",原始資料!AZ294=原始資料!AY294),N(AW294)+1,1))</f>
        <v/>
      </c>
      <c r="AY294" s="6">
        <f>IF(OR(原始資料!$A294="",50&gt;設定!$B$3,原始資料!BA294=""),"",IF(AND(原始資料!AZ294&lt;&gt;"",原始資料!BA294=原始資料!AZ294),N(AX294)+1,1))</f>
        <v/>
      </c>
      <c r="AZ294" s="6">
        <f>IF(OR(原始資料!$A294="",51&gt;設定!$B$3,原始資料!BB294=""),"",IF(AND(原始資料!BA294&lt;&gt;"",原始資料!BB294=原始資料!BA294),N(AY294)+1,1))</f>
        <v/>
      </c>
      <c r="BA294" s="6">
        <f>IF(OR(原始資料!$A294="",52&gt;設定!$B$3,原始資料!BC294=""),"",IF(AND(原始資料!BB294&lt;&gt;"",原始資料!BC294=原始資料!BB294),N(AZ294)+1,1))</f>
        <v/>
      </c>
      <c r="BB294" s="6">
        <f>IF(OR(原始資料!$A294="",53&gt;設定!$B$3,原始資料!BD294=""),"",IF(AND(原始資料!BC294&lt;&gt;"",原始資料!BD294=原始資料!BC294),N(BA294)+1,1))</f>
        <v/>
      </c>
      <c r="BC294" s="6">
        <f>IF(OR(原始資料!$A294="",54&gt;設定!$B$3,原始資料!BE294=""),"",IF(AND(原始資料!BD294&lt;&gt;"",原始資料!BE294=原始資料!BD294),N(BB294)+1,1))</f>
        <v/>
      </c>
      <c r="BD294" s="6">
        <f>IF(OR(原始資料!$A294="",55&gt;設定!$B$3,原始資料!BF294=""),"",IF(AND(原始資料!BE294&lt;&gt;"",原始資料!BF294=原始資料!BE294),N(BC294)+1,1))</f>
        <v/>
      </c>
      <c r="BE294" s="6">
        <f>IF(OR(原始資料!$A294="",56&gt;設定!$B$3,原始資料!BG294=""),"",IF(AND(原始資料!BF294&lt;&gt;"",原始資料!BG294=原始資料!BF294),N(BD294)+1,1))</f>
        <v/>
      </c>
      <c r="BF294" s="6">
        <f>IF(OR(原始資料!$A294="",57&gt;設定!$B$3,原始資料!BH294=""),"",IF(AND(原始資料!BG294&lt;&gt;"",原始資料!BH294=原始資料!BG294),N(BE294)+1,1))</f>
        <v/>
      </c>
      <c r="BG294" s="6">
        <f>IF(OR(原始資料!$A294="",58&gt;設定!$B$3,原始資料!BI294=""),"",IF(AND(原始資料!BH294&lt;&gt;"",原始資料!BI294=原始資料!BH294),N(BF294)+1,1))</f>
        <v/>
      </c>
      <c r="BH294" s="6">
        <f>IF(OR(原始資料!$A294="",59&gt;設定!$B$3,原始資料!BJ294=""),"",IF(AND(原始資料!BI294&lt;&gt;"",原始資料!BJ294=原始資料!BI294),N(BG294)+1,1))</f>
        <v/>
      </c>
      <c r="BI294" s="6">
        <f>IF(OR(原始資料!$A294="",60&gt;設定!$B$3,原始資料!BK294=""),"",IF(AND(原始資料!BJ294&lt;&gt;"",原始資料!BK294=原始資料!BJ294),N(BH294)+1,1))</f>
        <v/>
      </c>
    </row>
    <row r="295">
      <c r="A295" s="6">
        <f>IF(原始資料!$A295="","",原始資料!$A295)</f>
        <v/>
      </c>
      <c r="B295" s="6">
        <f>IF(OR(原始資料!$A295="",1&gt;設定!$B$3,原始資料!D295=""),"",1)</f>
        <v/>
      </c>
      <c r="C295" s="6">
        <f>IF(OR(原始資料!$A295="",2&gt;設定!$B$3,原始資料!E295=""),"",IF(AND(原始資料!D295&lt;&gt;"",原始資料!E295=原始資料!D295),N(B295)+1,1))</f>
        <v/>
      </c>
      <c r="D295" s="6">
        <f>IF(OR(原始資料!$A295="",3&gt;設定!$B$3,原始資料!F295=""),"",IF(AND(原始資料!E295&lt;&gt;"",原始資料!F295=原始資料!E295),N(C295)+1,1))</f>
        <v/>
      </c>
      <c r="E295" s="6">
        <f>IF(OR(原始資料!$A295="",4&gt;設定!$B$3,原始資料!G295=""),"",IF(AND(原始資料!F295&lt;&gt;"",原始資料!G295=原始資料!F295),N(D295)+1,1))</f>
        <v/>
      </c>
      <c r="F295" s="6">
        <f>IF(OR(原始資料!$A295="",5&gt;設定!$B$3,原始資料!H295=""),"",IF(AND(原始資料!G295&lt;&gt;"",原始資料!H295=原始資料!G295),N(E295)+1,1))</f>
        <v/>
      </c>
      <c r="G295" s="6">
        <f>IF(OR(原始資料!$A295="",6&gt;設定!$B$3,原始資料!I295=""),"",IF(AND(原始資料!H295&lt;&gt;"",原始資料!I295=原始資料!H295),N(F295)+1,1))</f>
        <v/>
      </c>
      <c r="H295" s="6">
        <f>IF(OR(原始資料!$A295="",7&gt;設定!$B$3,原始資料!J295=""),"",IF(AND(原始資料!I295&lt;&gt;"",原始資料!J295=原始資料!I295),N(G295)+1,1))</f>
        <v/>
      </c>
      <c r="I295" s="6">
        <f>IF(OR(原始資料!$A295="",8&gt;設定!$B$3,原始資料!K295=""),"",IF(AND(原始資料!J295&lt;&gt;"",原始資料!K295=原始資料!J295),N(H295)+1,1))</f>
        <v/>
      </c>
      <c r="J295" s="6">
        <f>IF(OR(原始資料!$A295="",9&gt;設定!$B$3,原始資料!L295=""),"",IF(AND(原始資料!K295&lt;&gt;"",原始資料!L295=原始資料!K295),N(I295)+1,1))</f>
        <v/>
      </c>
      <c r="K295" s="6">
        <f>IF(OR(原始資料!$A295="",10&gt;設定!$B$3,原始資料!M295=""),"",IF(AND(原始資料!L295&lt;&gt;"",原始資料!M295=原始資料!L295),N(J295)+1,1))</f>
        <v/>
      </c>
      <c r="L295" s="6">
        <f>IF(OR(原始資料!$A295="",11&gt;設定!$B$3,原始資料!N295=""),"",IF(AND(原始資料!M295&lt;&gt;"",原始資料!N295=原始資料!M295),N(K295)+1,1))</f>
        <v/>
      </c>
      <c r="M295" s="6">
        <f>IF(OR(原始資料!$A295="",12&gt;設定!$B$3,原始資料!O295=""),"",IF(AND(原始資料!N295&lt;&gt;"",原始資料!O295=原始資料!N295),N(L295)+1,1))</f>
        <v/>
      </c>
      <c r="N295" s="6">
        <f>IF(OR(原始資料!$A295="",13&gt;設定!$B$3,原始資料!P295=""),"",IF(AND(原始資料!O295&lt;&gt;"",原始資料!P295=原始資料!O295),N(M295)+1,1))</f>
        <v/>
      </c>
      <c r="O295" s="6">
        <f>IF(OR(原始資料!$A295="",14&gt;設定!$B$3,原始資料!Q295=""),"",IF(AND(原始資料!P295&lt;&gt;"",原始資料!Q295=原始資料!P295),N(N295)+1,1))</f>
        <v/>
      </c>
      <c r="P295" s="6">
        <f>IF(OR(原始資料!$A295="",15&gt;設定!$B$3,原始資料!R295=""),"",IF(AND(原始資料!Q295&lt;&gt;"",原始資料!R295=原始資料!Q295),N(O295)+1,1))</f>
        <v/>
      </c>
      <c r="Q295" s="6">
        <f>IF(OR(原始資料!$A295="",16&gt;設定!$B$3,原始資料!S295=""),"",IF(AND(原始資料!R295&lt;&gt;"",原始資料!S295=原始資料!R295),N(P295)+1,1))</f>
        <v/>
      </c>
      <c r="R295" s="6">
        <f>IF(OR(原始資料!$A295="",17&gt;設定!$B$3,原始資料!T295=""),"",IF(AND(原始資料!S295&lt;&gt;"",原始資料!T295=原始資料!S295),N(Q295)+1,1))</f>
        <v/>
      </c>
      <c r="S295" s="6">
        <f>IF(OR(原始資料!$A295="",18&gt;設定!$B$3,原始資料!U295=""),"",IF(AND(原始資料!T295&lt;&gt;"",原始資料!U295=原始資料!T295),N(R295)+1,1))</f>
        <v/>
      </c>
      <c r="T295" s="6">
        <f>IF(OR(原始資料!$A295="",19&gt;設定!$B$3,原始資料!V295=""),"",IF(AND(原始資料!U295&lt;&gt;"",原始資料!V295=原始資料!U295),N(S295)+1,1))</f>
        <v/>
      </c>
      <c r="U295" s="6">
        <f>IF(OR(原始資料!$A295="",20&gt;設定!$B$3,原始資料!W295=""),"",IF(AND(原始資料!V295&lt;&gt;"",原始資料!W295=原始資料!V295),N(T295)+1,1))</f>
        <v/>
      </c>
      <c r="V295" s="6">
        <f>IF(OR(原始資料!$A295="",21&gt;設定!$B$3,原始資料!X295=""),"",IF(AND(原始資料!W295&lt;&gt;"",原始資料!X295=原始資料!W295),N(U295)+1,1))</f>
        <v/>
      </c>
      <c r="W295" s="6">
        <f>IF(OR(原始資料!$A295="",22&gt;設定!$B$3,原始資料!Y295=""),"",IF(AND(原始資料!X295&lt;&gt;"",原始資料!Y295=原始資料!X295),N(V295)+1,1))</f>
        <v/>
      </c>
      <c r="X295" s="6">
        <f>IF(OR(原始資料!$A295="",23&gt;設定!$B$3,原始資料!Z295=""),"",IF(AND(原始資料!Y295&lt;&gt;"",原始資料!Z295=原始資料!Y295),N(W295)+1,1))</f>
        <v/>
      </c>
      <c r="Y295" s="6">
        <f>IF(OR(原始資料!$A295="",24&gt;設定!$B$3,原始資料!AA295=""),"",IF(AND(原始資料!Z295&lt;&gt;"",原始資料!AA295=原始資料!Z295),N(X295)+1,1))</f>
        <v/>
      </c>
      <c r="Z295" s="6">
        <f>IF(OR(原始資料!$A295="",25&gt;設定!$B$3,原始資料!AB295=""),"",IF(AND(原始資料!AA295&lt;&gt;"",原始資料!AB295=原始資料!AA295),N(Y295)+1,1))</f>
        <v/>
      </c>
      <c r="AA295" s="6">
        <f>IF(OR(原始資料!$A295="",26&gt;設定!$B$3,原始資料!AC295=""),"",IF(AND(原始資料!AB295&lt;&gt;"",原始資料!AC295=原始資料!AB295),N(Z295)+1,1))</f>
        <v/>
      </c>
      <c r="AB295" s="6">
        <f>IF(OR(原始資料!$A295="",27&gt;設定!$B$3,原始資料!AD295=""),"",IF(AND(原始資料!AC295&lt;&gt;"",原始資料!AD295=原始資料!AC295),N(AA295)+1,1))</f>
        <v/>
      </c>
      <c r="AC295" s="6">
        <f>IF(OR(原始資料!$A295="",28&gt;設定!$B$3,原始資料!AE295=""),"",IF(AND(原始資料!AD295&lt;&gt;"",原始資料!AE295=原始資料!AD295),N(AB295)+1,1))</f>
        <v/>
      </c>
      <c r="AD295" s="6">
        <f>IF(OR(原始資料!$A295="",29&gt;設定!$B$3,原始資料!AF295=""),"",IF(AND(原始資料!AE295&lt;&gt;"",原始資料!AF295=原始資料!AE295),N(AC295)+1,1))</f>
        <v/>
      </c>
      <c r="AE295" s="6">
        <f>IF(OR(原始資料!$A295="",30&gt;設定!$B$3,原始資料!AG295=""),"",IF(AND(原始資料!AF295&lt;&gt;"",原始資料!AG295=原始資料!AF295),N(AD295)+1,1))</f>
        <v/>
      </c>
      <c r="AF295" s="6">
        <f>IF(OR(原始資料!$A295="",31&gt;設定!$B$3,原始資料!AH295=""),"",IF(AND(原始資料!AG295&lt;&gt;"",原始資料!AH295=原始資料!AG295),N(AE295)+1,1))</f>
        <v/>
      </c>
      <c r="AG295" s="6">
        <f>IF(OR(原始資料!$A295="",32&gt;設定!$B$3,原始資料!AI295=""),"",IF(AND(原始資料!AH295&lt;&gt;"",原始資料!AI295=原始資料!AH295),N(AF295)+1,1))</f>
        <v/>
      </c>
      <c r="AH295" s="6">
        <f>IF(OR(原始資料!$A295="",33&gt;設定!$B$3,原始資料!AJ295=""),"",IF(AND(原始資料!AI295&lt;&gt;"",原始資料!AJ295=原始資料!AI295),N(AG295)+1,1))</f>
        <v/>
      </c>
      <c r="AI295" s="6">
        <f>IF(OR(原始資料!$A295="",34&gt;設定!$B$3,原始資料!AK295=""),"",IF(AND(原始資料!AJ295&lt;&gt;"",原始資料!AK295=原始資料!AJ295),N(AH295)+1,1))</f>
        <v/>
      </c>
      <c r="AJ295" s="6">
        <f>IF(OR(原始資料!$A295="",35&gt;設定!$B$3,原始資料!AL295=""),"",IF(AND(原始資料!AK295&lt;&gt;"",原始資料!AL295=原始資料!AK295),N(AI295)+1,1))</f>
        <v/>
      </c>
      <c r="AK295" s="6">
        <f>IF(OR(原始資料!$A295="",36&gt;設定!$B$3,原始資料!AM295=""),"",IF(AND(原始資料!AL295&lt;&gt;"",原始資料!AM295=原始資料!AL295),N(AJ295)+1,1))</f>
        <v/>
      </c>
      <c r="AL295" s="6">
        <f>IF(OR(原始資料!$A295="",37&gt;設定!$B$3,原始資料!AN295=""),"",IF(AND(原始資料!AM295&lt;&gt;"",原始資料!AN295=原始資料!AM295),N(AK295)+1,1))</f>
        <v/>
      </c>
      <c r="AM295" s="6">
        <f>IF(OR(原始資料!$A295="",38&gt;設定!$B$3,原始資料!AO295=""),"",IF(AND(原始資料!AN295&lt;&gt;"",原始資料!AO295=原始資料!AN295),N(AL295)+1,1))</f>
        <v/>
      </c>
      <c r="AN295" s="6">
        <f>IF(OR(原始資料!$A295="",39&gt;設定!$B$3,原始資料!AP295=""),"",IF(AND(原始資料!AO295&lt;&gt;"",原始資料!AP295=原始資料!AO295),N(AM295)+1,1))</f>
        <v/>
      </c>
      <c r="AO295" s="6">
        <f>IF(OR(原始資料!$A295="",40&gt;設定!$B$3,原始資料!AQ295=""),"",IF(AND(原始資料!AP295&lt;&gt;"",原始資料!AQ295=原始資料!AP295),N(AN295)+1,1))</f>
        <v/>
      </c>
      <c r="AP295" s="6">
        <f>IF(OR(原始資料!$A295="",41&gt;設定!$B$3,原始資料!AR295=""),"",IF(AND(原始資料!AQ295&lt;&gt;"",原始資料!AR295=原始資料!AQ295),N(AO295)+1,1))</f>
        <v/>
      </c>
      <c r="AQ295" s="6">
        <f>IF(OR(原始資料!$A295="",42&gt;設定!$B$3,原始資料!AS295=""),"",IF(AND(原始資料!AR295&lt;&gt;"",原始資料!AS295=原始資料!AR295),N(AP295)+1,1))</f>
        <v/>
      </c>
      <c r="AR295" s="6">
        <f>IF(OR(原始資料!$A295="",43&gt;設定!$B$3,原始資料!AT295=""),"",IF(AND(原始資料!AS295&lt;&gt;"",原始資料!AT295=原始資料!AS295),N(AQ295)+1,1))</f>
        <v/>
      </c>
      <c r="AS295" s="6">
        <f>IF(OR(原始資料!$A295="",44&gt;設定!$B$3,原始資料!AU295=""),"",IF(AND(原始資料!AT295&lt;&gt;"",原始資料!AU295=原始資料!AT295),N(AR295)+1,1))</f>
        <v/>
      </c>
      <c r="AT295" s="6">
        <f>IF(OR(原始資料!$A295="",45&gt;設定!$B$3,原始資料!AV295=""),"",IF(AND(原始資料!AU295&lt;&gt;"",原始資料!AV295=原始資料!AU295),N(AS295)+1,1))</f>
        <v/>
      </c>
      <c r="AU295" s="6">
        <f>IF(OR(原始資料!$A295="",46&gt;設定!$B$3,原始資料!AW295=""),"",IF(AND(原始資料!AV295&lt;&gt;"",原始資料!AW295=原始資料!AV295),N(AT295)+1,1))</f>
        <v/>
      </c>
      <c r="AV295" s="6">
        <f>IF(OR(原始資料!$A295="",47&gt;設定!$B$3,原始資料!AX295=""),"",IF(AND(原始資料!AW295&lt;&gt;"",原始資料!AX295=原始資料!AW295),N(AU295)+1,1))</f>
        <v/>
      </c>
      <c r="AW295" s="6">
        <f>IF(OR(原始資料!$A295="",48&gt;設定!$B$3,原始資料!AY295=""),"",IF(AND(原始資料!AX295&lt;&gt;"",原始資料!AY295=原始資料!AX295),N(AV295)+1,1))</f>
        <v/>
      </c>
      <c r="AX295" s="6">
        <f>IF(OR(原始資料!$A295="",49&gt;設定!$B$3,原始資料!AZ295=""),"",IF(AND(原始資料!AY295&lt;&gt;"",原始資料!AZ295=原始資料!AY295),N(AW295)+1,1))</f>
        <v/>
      </c>
      <c r="AY295" s="6">
        <f>IF(OR(原始資料!$A295="",50&gt;設定!$B$3,原始資料!BA295=""),"",IF(AND(原始資料!AZ295&lt;&gt;"",原始資料!BA295=原始資料!AZ295),N(AX295)+1,1))</f>
        <v/>
      </c>
      <c r="AZ295" s="6">
        <f>IF(OR(原始資料!$A295="",51&gt;設定!$B$3,原始資料!BB295=""),"",IF(AND(原始資料!BA295&lt;&gt;"",原始資料!BB295=原始資料!BA295),N(AY295)+1,1))</f>
        <v/>
      </c>
      <c r="BA295" s="6">
        <f>IF(OR(原始資料!$A295="",52&gt;設定!$B$3,原始資料!BC295=""),"",IF(AND(原始資料!BB295&lt;&gt;"",原始資料!BC295=原始資料!BB295),N(AZ295)+1,1))</f>
        <v/>
      </c>
      <c r="BB295" s="6">
        <f>IF(OR(原始資料!$A295="",53&gt;設定!$B$3,原始資料!BD295=""),"",IF(AND(原始資料!BC295&lt;&gt;"",原始資料!BD295=原始資料!BC295),N(BA295)+1,1))</f>
        <v/>
      </c>
      <c r="BC295" s="6">
        <f>IF(OR(原始資料!$A295="",54&gt;設定!$B$3,原始資料!BE295=""),"",IF(AND(原始資料!BD295&lt;&gt;"",原始資料!BE295=原始資料!BD295),N(BB295)+1,1))</f>
        <v/>
      </c>
      <c r="BD295" s="6">
        <f>IF(OR(原始資料!$A295="",55&gt;設定!$B$3,原始資料!BF295=""),"",IF(AND(原始資料!BE295&lt;&gt;"",原始資料!BF295=原始資料!BE295),N(BC295)+1,1))</f>
        <v/>
      </c>
      <c r="BE295" s="6">
        <f>IF(OR(原始資料!$A295="",56&gt;設定!$B$3,原始資料!BG295=""),"",IF(AND(原始資料!BF295&lt;&gt;"",原始資料!BG295=原始資料!BF295),N(BD295)+1,1))</f>
        <v/>
      </c>
      <c r="BF295" s="6">
        <f>IF(OR(原始資料!$A295="",57&gt;設定!$B$3,原始資料!BH295=""),"",IF(AND(原始資料!BG295&lt;&gt;"",原始資料!BH295=原始資料!BG295),N(BE295)+1,1))</f>
        <v/>
      </c>
      <c r="BG295" s="6">
        <f>IF(OR(原始資料!$A295="",58&gt;設定!$B$3,原始資料!BI295=""),"",IF(AND(原始資料!BH295&lt;&gt;"",原始資料!BI295=原始資料!BH295),N(BF295)+1,1))</f>
        <v/>
      </c>
      <c r="BH295" s="6">
        <f>IF(OR(原始資料!$A295="",59&gt;設定!$B$3,原始資料!BJ295=""),"",IF(AND(原始資料!BI295&lt;&gt;"",原始資料!BJ295=原始資料!BI295),N(BG295)+1,1))</f>
        <v/>
      </c>
      <c r="BI295" s="6">
        <f>IF(OR(原始資料!$A295="",60&gt;設定!$B$3,原始資料!BK295=""),"",IF(AND(原始資料!BJ295&lt;&gt;"",原始資料!BK295=原始資料!BJ295),N(BH295)+1,1))</f>
        <v/>
      </c>
    </row>
    <row r="296">
      <c r="A296" s="6">
        <f>IF(原始資料!$A296="","",原始資料!$A296)</f>
        <v/>
      </c>
      <c r="B296" s="6">
        <f>IF(OR(原始資料!$A296="",1&gt;設定!$B$3,原始資料!D296=""),"",1)</f>
        <v/>
      </c>
      <c r="C296" s="6">
        <f>IF(OR(原始資料!$A296="",2&gt;設定!$B$3,原始資料!E296=""),"",IF(AND(原始資料!D296&lt;&gt;"",原始資料!E296=原始資料!D296),N(B296)+1,1))</f>
        <v/>
      </c>
      <c r="D296" s="6">
        <f>IF(OR(原始資料!$A296="",3&gt;設定!$B$3,原始資料!F296=""),"",IF(AND(原始資料!E296&lt;&gt;"",原始資料!F296=原始資料!E296),N(C296)+1,1))</f>
        <v/>
      </c>
      <c r="E296" s="6">
        <f>IF(OR(原始資料!$A296="",4&gt;設定!$B$3,原始資料!G296=""),"",IF(AND(原始資料!F296&lt;&gt;"",原始資料!G296=原始資料!F296),N(D296)+1,1))</f>
        <v/>
      </c>
      <c r="F296" s="6">
        <f>IF(OR(原始資料!$A296="",5&gt;設定!$B$3,原始資料!H296=""),"",IF(AND(原始資料!G296&lt;&gt;"",原始資料!H296=原始資料!G296),N(E296)+1,1))</f>
        <v/>
      </c>
      <c r="G296" s="6">
        <f>IF(OR(原始資料!$A296="",6&gt;設定!$B$3,原始資料!I296=""),"",IF(AND(原始資料!H296&lt;&gt;"",原始資料!I296=原始資料!H296),N(F296)+1,1))</f>
        <v/>
      </c>
      <c r="H296" s="6">
        <f>IF(OR(原始資料!$A296="",7&gt;設定!$B$3,原始資料!J296=""),"",IF(AND(原始資料!I296&lt;&gt;"",原始資料!J296=原始資料!I296),N(G296)+1,1))</f>
        <v/>
      </c>
      <c r="I296" s="6">
        <f>IF(OR(原始資料!$A296="",8&gt;設定!$B$3,原始資料!K296=""),"",IF(AND(原始資料!J296&lt;&gt;"",原始資料!K296=原始資料!J296),N(H296)+1,1))</f>
        <v/>
      </c>
      <c r="J296" s="6">
        <f>IF(OR(原始資料!$A296="",9&gt;設定!$B$3,原始資料!L296=""),"",IF(AND(原始資料!K296&lt;&gt;"",原始資料!L296=原始資料!K296),N(I296)+1,1))</f>
        <v/>
      </c>
      <c r="K296" s="6">
        <f>IF(OR(原始資料!$A296="",10&gt;設定!$B$3,原始資料!M296=""),"",IF(AND(原始資料!L296&lt;&gt;"",原始資料!M296=原始資料!L296),N(J296)+1,1))</f>
        <v/>
      </c>
      <c r="L296" s="6">
        <f>IF(OR(原始資料!$A296="",11&gt;設定!$B$3,原始資料!N296=""),"",IF(AND(原始資料!M296&lt;&gt;"",原始資料!N296=原始資料!M296),N(K296)+1,1))</f>
        <v/>
      </c>
      <c r="M296" s="6">
        <f>IF(OR(原始資料!$A296="",12&gt;設定!$B$3,原始資料!O296=""),"",IF(AND(原始資料!N296&lt;&gt;"",原始資料!O296=原始資料!N296),N(L296)+1,1))</f>
        <v/>
      </c>
      <c r="N296" s="6">
        <f>IF(OR(原始資料!$A296="",13&gt;設定!$B$3,原始資料!P296=""),"",IF(AND(原始資料!O296&lt;&gt;"",原始資料!P296=原始資料!O296),N(M296)+1,1))</f>
        <v/>
      </c>
      <c r="O296" s="6">
        <f>IF(OR(原始資料!$A296="",14&gt;設定!$B$3,原始資料!Q296=""),"",IF(AND(原始資料!P296&lt;&gt;"",原始資料!Q296=原始資料!P296),N(N296)+1,1))</f>
        <v/>
      </c>
      <c r="P296" s="6">
        <f>IF(OR(原始資料!$A296="",15&gt;設定!$B$3,原始資料!R296=""),"",IF(AND(原始資料!Q296&lt;&gt;"",原始資料!R296=原始資料!Q296),N(O296)+1,1))</f>
        <v/>
      </c>
      <c r="Q296" s="6">
        <f>IF(OR(原始資料!$A296="",16&gt;設定!$B$3,原始資料!S296=""),"",IF(AND(原始資料!R296&lt;&gt;"",原始資料!S296=原始資料!R296),N(P296)+1,1))</f>
        <v/>
      </c>
      <c r="R296" s="6">
        <f>IF(OR(原始資料!$A296="",17&gt;設定!$B$3,原始資料!T296=""),"",IF(AND(原始資料!S296&lt;&gt;"",原始資料!T296=原始資料!S296),N(Q296)+1,1))</f>
        <v/>
      </c>
      <c r="S296" s="6">
        <f>IF(OR(原始資料!$A296="",18&gt;設定!$B$3,原始資料!U296=""),"",IF(AND(原始資料!T296&lt;&gt;"",原始資料!U296=原始資料!T296),N(R296)+1,1))</f>
        <v/>
      </c>
      <c r="T296" s="6">
        <f>IF(OR(原始資料!$A296="",19&gt;設定!$B$3,原始資料!V296=""),"",IF(AND(原始資料!U296&lt;&gt;"",原始資料!V296=原始資料!U296),N(S296)+1,1))</f>
        <v/>
      </c>
      <c r="U296" s="6">
        <f>IF(OR(原始資料!$A296="",20&gt;設定!$B$3,原始資料!W296=""),"",IF(AND(原始資料!V296&lt;&gt;"",原始資料!W296=原始資料!V296),N(T296)+1,1))</f>
        <v/>
      </c>
      <c r="V296" s="6">
        <f>IF(OR(原始資料!$A296="",21&gt;設定!$B$3,原始資料!X296=""),"",IF(AND(原始資料!W296&lt;&gt;"",原始資料!X296=原始資料!W296),N(U296)+1,1))</f>
        <v/>
      </c>
      <c r="W296" s="6">
        <f>IF(OR(原始資料!$A296="",22&gt;設定!$B$3,原始資料!Y296=""),"",IF(AND(原始資料!X296&lt;&gt;"",原始資料!Y296=原始資料!X296),N(V296)+1,1))</f>
        <v/>
      </c>
      <c r="X296" s="6">
        <f>IF(OR(原始資料!$A296="",23&gt;設定!$B$3,原始資料!Z296=""),"",IF(AND(原始資料!Y296&lt;&gt;"",原始資料!Z296=原始資料!Y296),N(W296)+1,1))</f>
        <v/>
      </c>
      <c r="Y296" s="6">
        <f>IF(OR(原始資料!$A296="",24&gt;設定!$B$3,原始資料!AA296=""),"",IF(AND(原始資料!Z296&lt;&gt;"",原始資料!AA296=原始資料!Z296),N(X296)+1,1))</f>
        <v/>
      </c>
      <c r="Z296" s="6">
        <f>IF(OR(原始資料!$A296="",25&gt;設定!$B$3,原始資料!AB296=""),"",IF(AND(原始資料!AA296&lt;&gt;"",原始資料!AB296=原始資料!AA296),N(Y296)+1,1))</f>
        <v/>
      </c>
      <c r="AA296" s="6">
        <f>IF(OR(原始資料!$A296="",26&gt;設定!$B$3,原始資料!AC296=""),"",IF(AND(原始資料!AB296&lt;&gt;"",原始資料!AC296=原始資料!AB296),N(Z296)+1,1))</f>
        <v/>
      </c>
      <c r="AB296" s="6">
        <f>IF(OR(原始資料!$A296="",27&gt;設定!$B$3,原始資料!AD296=""),"",IF(AND(原始資料!AC296&lt;&gt;"",原始資料!AD296=原始資料!AC296),N(AA296)+1,1))</f>
        <v/>
      </c>
      <c r="AC296" s="6">
        <f>IF(OR(原始資料!$A296="",28&gt;設定!$B$3,原始資料!AE296=""),"",IF(AND(原始資料!AD296&lt;&gt;"",原始資料!AE296=原始資料!AD296),N(AB296)+1,1))</f>
        <v/>
      </c>
      <c r="AD296" s="6">
        <f>IF(OR(原始資料!$A296="",29&gt;設定!$B$3,原始資料!AF296=""),"",IF(AND(原始資料!AE296&lt;&gt;"",原始資料!AF296=原始資料!AE296),N(AC296)+1,1))</f>
        <v/>
      </c>
      <c r="AE296" s="6">
        <f>IF(OR(原始資料!$A296="",30&gt;設定!$B$3,原始資料!AG296=""),"",IF(AND(原始資料!AF296&lt;&gt;"",原始資料!AG296=原始資料!AF296),N(AD296)+1,1))</f>
        <v/>
      </c>
      <c r="AF296" s="6">
        <f>IF(OR(原始資料!$A296="",31&gt;設定!$B$3,原始資料!AH296=""),"",IF(AND(原始資料!AG296&lt;&gt;"",原始資料!AH296=原始資料!AG296),N(AE296)+1,1))</f>
        <v/>
      </c>
      <c r="AG296" s="6">
        <f>IF(OR(原始資料!$A296="",32&gt;設定!$B$3,原始資料!AI296=""),"",IF(AND(原始資料!AH296&lt;&gt;"",原始資料!AI296=原始資料!AH296),N(AF296)+1,1))</f>
        <v/>
      </c>
      <c r="AH296" s="6">
        <f>IF(OR(原始資料!$A296="",33&gt;設定!$B$3,原始資料!AJ296=""),"",IF(AND(原始資料!AI296&lt;&gt;"",原始資料!AJ296=原始資料!AI296),N(AG296)+1,1))</f>
        <v/>
      </c>
      <c r="AI296" s="6">
        <f>IF(OR(原始資料!$A296="",34&gt;設定!$B$3,原始資料!AK296=""),"",IF(AND(原始資料!AJ296&lt;&gt;"",原始資料!AK296=原始資料!AJ296),N(AH296)+1,1))</f>
        <v/>
      </c>
      <c r="AJ296" s="6">
        <f>IF(OR(原始資料!$A296="",35&gt;設定!$B$3,原始資料!AL296=""),"",IF(AND(原始資料!AK296&lt;&gt;"",原始資料!AL296=原始資料!AK296),N(AI296)+1,1))</f>
        <v/>
      </c>
      <c r="AK296" s="6">
        <f>IF(OR(原始資料!$A296="",36&gt;設定!$B$3,原始資料!AM296=""),"",IF(AND(原始資料!AL296&lt;&gt;"",原始資料!AM296=原始資料!AL296),N(AJ296)+1,1))</f>
        <v/>
      </c>
      <c r="AL296" s="6">
        <f>IF(OR(原始資料!$A296="",37&gt;設定!$B$3,原始資料!AN296=""),"",IF(AND(原始資料!AM296&lt;&gt;"",原始資料!AN296=原始資料!AM296),N(AK296)+1,1))</f>
        <v/>
      </c>
      <c r="AM296" s="6">
        <f>IF(OR(原始資料!$A296="",38&gt;設定!$B$3,原始資料!AO296=""),"",IF(AND(原始資料!AN296&lt;&gt;"",原始資料!AO296=原始資料!AN296),N(AL296)+1,1))</f>
        <v/>
      </c>
      <c r="AN296" s="6">
        <f>IF(OR(原始資料!$A296="",39&gt;設定!$B$3,原始資料!AP296=""),"",IF(AND(原始資料!AO296&lt;&gt;"",原始資料!AP296=原始資料!AO296),N(AM296)+1,1))</f>
        <v/>
      </c>
      <c r="AO296" s="6">
        <f>IF(OR(原始資料!$A296="",40&gt;設定!$B$3,原始資料!AQ296=""),"",IF(AND(原始資料!AP296&lt;&gt;"",原始資料!AQ296=原始資料!AP296),N(AN296)+1,1))</f>
        <v/>
      </c>
      <c r="AP296" s="6">
        <f>IF(OR(原始資料!$A296="",41&gt;設定!$B$3,原始資料!AR296=""),"",IF(AND(原始資料!AQ296&lt;&gt;"",原始資料!AR296=原始資料!AQ296),N(AO296)+1,1))</f>
        <v/>
      </c>
      <c r="AQ296" s="6">
        <f>IF(OR(原始資料!$A296="",42&gt;設定!$B$3,原始資料!AS296=""),"",IF(AND(原始資料!AR296&lt;&gt;"",原始資料!AS296=原始資料!AR296),N(AP296)+1,1))</f>
        <v/>
      </c>
      <c r="AR296" s="6">
        <f>IF(OR(原始資料!$A296="",43&gt;設定!$B$3,原始資料!AT296=""),"",IF(AND(原始資料!AS296&lt;&gt;"",原始資料!AT296=原始資料!AS296),N(AQ296)+1,1))</f>
        <v/>
      </c>
      <c r="AS296" s="6">
        <f>IF(OR(原始資料!$A296="",44&gt;設定!$B$3,原始資料!AU296=""),"",IF(AND(原始資料!AT296&lt;&gt;"",原始資料!AU296=原始資料!AT296),N(AR296)+1,1))</f>
        <v/>
      </c>
      <c r="AT296" s="6">
        <f>IF(OR(原始資料!$A296="",45&gt;設定!$B$3,原始資料!AV296=""),"",IF(AND(原始資料!AU296&lt;&gt;"",原始資料!AV296=原始資料!AU296),N(AS296)+1,1))</f>
        <v/>
      </c>
      <c r="AU296" s="6">
        <f>IF(OR(原始資料!$A296="",46&gt;設定!$B$3,原始資料!AW296=""),"",IF(AND(原始資料!AV296&lt;&gt;"",原始資料!AW296=原始資料!AV296),N(AT296)+1,1))</f>
        <v/>
      </c>
      <c r="AV296" s="6">
        <f>IF(OR(原始資料!$A296="",47&gt;設定!$B$3,原始資料!AX296=""),"",IF(AND(原始資料!AW296&lt;&gt;"",原始資料!AX296=原始資料!AW296),N(AU296)+1,1))</f>
        <v/>
      </c>
      <c r="AW296" s="6">
        <f>IF(OR(原始資料!$A296="",48&gt;設定!$B$3,原始資料!AY296=""),"",IF(AND(原始資料!AX296&lt;&gt;"",原始資料!AY296=原始資料!AX296),N(AV296)+1,1))</f>
        <v/>
      </c>
      <c r="AX296" s="6">
        <f>IF(OR(原始資料!$A296="",49&gt;設定!$B$3,原始資料!AZ296=""),"",IF(AND(原始資料!AY296&lt;&gt;"",原始資料!AZ296=原始資料!AY296),N(AW296)+1,1))</f>
        <v/>
      </c>
      <c r="AY296" s="6">
        <f>IF(OR(原始資料!$A296="",50&gt;設定!$B$3,原始資料!BA296=""),"",IF(AND(原始資料!AZ296&lt;&gt;"",原始資料!BA296=原始資料!AZ296),N(AX296)+1,1))</f>
        <v/>
      </c>
      <c r="AZ296" s="6">
        <f>IF(OR(原始資料!$A296="",51&gt;設定!$B$3,原始資料!BB296=""),"",IF(AND(原始資料!BA296&lt;&gt;"",原始資料!BB296=原始資料!BA296),N(AY296)+1,1))</f>
        <v/>
      </c>
      <c r="BA296" s="6">
        <f>IF(OR(原始資料!$A296="",52&gt;設定!$B$3,原始資料!BC296=""),"",IF(AND(原始資料!BB296&lt;&gt;"",原始資料!BC296=原始資料!BB296),N(AZ296)+1,1))</f>
        <v/>
      </c>
      <c r="BB296" s="6">
        <f>IF(OR(原始資料!$A296="",53&gt;設定!$B$3,原始資料!BD296=""),"",IF(AND(原始資料!BC296&lt;&gt;"",原始資料!BD296=原始資料!BC296),N(BA296)+1,1))</f>
        <v/>
      </c>
      <c r="BC296" s="6">
        <f>IF(OR(原始資料!$A296="",54&gt;設定!$B$3,原始資料!BE296=""),"",IF(AND(原始資料!BD296&lt;&gt;"",原始資料!BE296=原始資料!BD296),N(BB296)+1,1))</f>
        <v/>
      </c>
      <c r="BD296" s="6">
        <f>IF(OR(原始資料!$A296="",55&gt;設定!$B$3,原始資料!BF296=""),"",IF(AND(原始資料!BE296&lt;&gt;"",原始資料!BF296=原始資料!BE296),N(BC296)+1,1))</f>
        <v/>
      </c>
      <c r="BE296" s="6">
        <f>IF(OR(原始資料!$A296="",56&gt;設定!$B$3,原始資料!BG296=""),"",IF(AND(原始資料!BF296&lt;&gt;"",原始資料!BG296=原始資料!BF296),N(BD296)+1,1))</f>
        <v/>
      </c>
      <c r="BF296" s="6">
        <f>IF(OR(原始資料!$A296="",57&gt;設定!$B$3,原始資料!BH296=""),"",IF(AND(原始資料!BG296&lt;&gt;"",原始資料!BH296=原始資料!BG296),N(BE296)+1,1))</f>
        <v/>
      </c>
      <c r="BG296" s="6">
        <f>IF(OR(原始資料!$A296="",58&gt;設定!$B$3,原始資料!BI296=""),"",IF(AND(原始資料!BH296&lt;&gt;"",原始資料!BI296=原始資料!BH296),N(BF296)+1,1))</f>
        <v/>
      </c>
      <c r="BH296" s="6">
        <f>IF(OR(原始資料!$A296="",59&gt;設定!$B$3,原始資料!BJ296=""),"",IF(AND(原始資料!BI296&lt;&gt;"",原始資料!BJ296=原始資料!BI296),N(BG296)+1,1))</f>
        <v/>
      </c>
      <c r="BI296" s="6">
        <f>IF(OR(原始資料!$A296="",60&gt;設定!$B$3,原始資料!BK296=""),"",IF(AND(原始資料!BJ296&lt;&gt;"",原始資料!BK296=原始資料!BJ296),N(BH296)+1,1))</f>
        <v/>
      </c>
    </row>
    <row r="297">
      <c r="A297" s="6">
        <f>IF(原始資料!$A297="","",原始資料!$A297)</f>
        <v/>
      </c>
      <c r="B297" s="6">
        <f>IF(OR(原始資料!$A297="",1&gt;設定!$B$3,原始資料!D297=""),"",1)</f>
        <v/>
      </c>
      <c r="C297" s="6">
        <f>IF(OR(原始資料!$A297="",2&gt;設定!$B$3,原始資料!E297=""),"",IF(AND(原始資料!D297&lt;&gt;"",原始資料!E297=原始資料!D297),N(B297)+1,1))</f>
        <v/>
      </c>
      <c r="D297" s="6">
        <f>IF(OR(原始資料!$A297="",3&gt;設定!$B$3,原始資料!F297=""),"",IF(AND(原始資料!E297&lt;&gt;"",原始資料!F297=原始資料!E297),N(C297)+1,1))</f>
        <v/>
      </c>
      <c r="E297" s="6">
        <f>IF(OR(原始資料!$A297="",4&gt;設定!$B$3,原始資料!G297=""),"",IF(AND(原始資料!F297&lt;&gt;"",原始資料!G297=原始資料!F297),N(D297)+1,1))</f>
        <v/>
      </c>
      <c r="F297" s="6">
        <f>IF(OR(原始資料!$A297="",5&gt;設定!$B$3,原始資料!H297=""),"",IF(AND(原始資料!G297&lt;&gt;"",原始資料!H297=原始資料!G297),N(E297)+1,1))</f>
        <v/>
      </c>
      <c r="G297" s="6">
        <f>IF(OR(原始資料!$A297="",6&gt;設定!$B$3,原始資料!I297=""),"",IF(AND(原始資料!H297&lt;&gt;"",原始資料!I297=原始資料!H297),N(F297)+1,1))</f>
        <v/>
      </c>
      <c r="H297" s="6">
        <f>IF(OR(原始資料!$A297="",7&gt;設定!$B$3,原始資料!J297=""),"",IF(AND(原始資料!I297&lt;&gt;"",原始資料!J297=原始資料!I297),N(G297)+1,1))</f>
        <v/>
      </c>
      <c r="I297" s="6">
        <f>IF(OR(原始資料!$A297="",8&gt;設定!$B$3,原始資料!K297=""),"",IF(AND(原始資料!J297&lt;&gt;"",原始資料!K297=原始資料!J297),N(H297)+1,1))</f>
        <v/>
      </c>
      <c r="J297" s="6">
        <f>IF(OR(原始資料!$A297="",9&gt;設定!$B$3,原始資料!L297=""),"",IF(AND(原始資料!K297&lt;&gt;"",原始資料!L297=原始資料!K297),N(I297)+1,1))</f>
        <v/>
      </c>
      <c r="K297" s="6">
        <f>IF(OR(原始資料!$A297="",10&gt;設定!$B$3,原始資料!M297=""),"",IF(AND(原始資料!L297&lt;&gt;"",原始資料!M297=原始資料!L297),N(J297)+1,1))</f>
        <v/>
      </c>
      <c r="L297" s="6">
        <f>IF(OR(原始資料!$A297="",11&gt;設定!$B$3,原始資料!N297=""),"",IF(AND(原始資料!M297&lt;&gt;"",原始資料!N297=原始資料!M297),N(K297)+1,1))</f>
        <v/>
      </c>
      <c r="M297" s="6">
        <f>IF(OR(原始資料!$A297="",12&gt;設定!$B$3,原始資料!O297=""),"",IF(AND(原始資料!N297&lt;&gt;"",原始資料!O297=原始資料!N297),N(L297)+1,1))</f>
        <v/>
      </c>
      <c r="N297" s="6">
        <f>IF(OR(原始資料!$A297="",13&gt;設定!$B$3,原始資料!P297=""),"",IF(AND(原始資料!O297&lt;&gt;"",原始資料!P297=原始資料!O297),N(M297)+1,1))</f>
        <v/>
      </c>
      <c r="O297" s="6">
        <f>IF(OR(原始資料!$A297="",14&gt;設定!$B$3,原始資料!Q297=""),"",IF(AND(原始資料!P297&lt;&gt;"",原始資料!Q297=原始資料!P297),N(N297)+1,1))</f>
        <v/>
      </c>
      <c r="P297" s="6">
        <f>IF(OR(原始資料!$A297="",15&gt;設定!$B$3,原始資料!R297=""),"",IF(AND(原始資料!Q297&lt;&gt;"",原始資料!R297=原始資料!Q297),N(O297)+1,1))</f>
        <v/>
      </c>
      <c r="Q297" s="6">
        <f>IF(OR(原始資料!$A297="",16&gt;設定!$B$3,原始資料!S297=""),"",IF(AND(原始資料!R297&lt;&gt;"",原始資料!S297=原始資料!R297),N(P297)+1,1))</f>
        <v/>
      </c>
      <c r="R297" s="6">
        <f>IF(OR(原始資料!$A297="",17&gt;設定!$B$3,原始資料!T297=""),"",IF(AND(原始資料!S297&lt;&gt;"",原始資料!T297=原始資料!S297),N(Q297)+1,1))</f>
        <v/>
      </c>
      <c r="S297" s="6">
        <f>IF(OR(原始資料!$A297="",18&gt;設定!$B$3,原始資料!U297=""),"",IF(AND(原始資料!T297&lt;&gt;"",原始資料!U297=原始資料!T297),N(R297)+1,1))</f>
        <v/>
      </c>
      <c r="T297" s="6">
        <f>IF(OR(原始資料!$A297="",19&gt;設定!$B$3,原始資料!V297=""),"",IF(AND(原始資料!U297&lt;&gt;"",原始資料!V297=原始資料!U297),N(S297)+1,1))</f>
        <v/>
      </c>
      <c r="U297" s="6">
        <f>IF(OR(原始資料!$A297="",20&gt;設定!$B$3,原始資料!W297=""),"",IF(AND(原始資料!V297&lt;&gt;"",原始資料!W297=原始資料!V297),N(T297)+1,1))</f>
        <v/>
      </c>
      <c r="V297" s="6">
        <f>IF(OR(原始資料!$A297="",21&gt;設定!$B$3,原始資料!X297=""),"",IF(AND(原始資料!W297&lt;&gt;"",原始資料!X297=原始資料!W297),N(U297)+1,1))</f>
        <v/>
      </c>
      <c r="W297" s="6">
        <f>IF(OR(原始資料!$A297="",22&gt;設定!$B$3,原始資料!Y297=""),"",IF(AND(原始資料!X297&lt;&gt;"",原始資料!Y297=原始資料!X297),N(V297)+1,1))</f>
        <v/>
      </c>
      <c r="X297" s="6">
        <f>IF(OR(原始資料!$A297="",23&gt;設定!$B$3,原始資料!Z297=""),"",IF(AND(原始資料!Y297&lt;&gt;"",原始資料!Z297=原始資料!Y297),N(W297)+1,1))</f>
        <v/>
      </c>
      <c r="Y297" s="6">
        <f>IF(OR(原始資料!$A297="",24&gt;設定!$B$3,原始資料!AA297=""),"",IF(AND(原始資料!Z297&lt;&gt;"",原始資料!AA297=原始資料!Z297),N(X297)+1,1))</f>
        <v/>
      </c>
      <c r="Z297" s="6">
        <f>IF(OR(原始資料!$A297="",25&gt;設定!$B$3,原始資料!AB297=""),"",IF(AND(原始資料!AA297&lt;&gt;"",原始資料!AB297=原始資料!AA297),N(Y297)+1,1))</f>
        <v/>
      </c>
      <c r="AA297" s="6">
        <f>IF(OR(原始資料!$A297="",26&gt;設定!$B$3,原始資料!AC297=""),"",IF(AND(原始資料!AB297&lt;&gt;"",原始資料!AC297=原始資料!AB297),N(Z297)+1,1))</f>
        <v/>
      </c>
      <c r="AB297" s="6">
        <f>IF(OR(原始資料!$A297="",27&gt;設定!$B$3,原始資料!AD297=""),"",IF(AND(原始資料!AC297&lt;&gt;"",原始資料!AD297=原始資料!AC297),N(AA297)+1,1))</f>
        <v/>
      </c>
      <c r="AC297" s="6">
        <f>IF(OR(原始資料!$A297="",28&gt;設定!$B$3,原始資料!AE297=""),"",IF(AND(原始資料!AD297&lt;&gt;"",原始資料!AE297=原始資料!AD297),N(AB297)+1,1))</f>
        <v/>
      </c>
      <c r="AD297" s="6">
        <f>IF(OR(原始資料!$A297="",29&gt;設定!$B$3,原始資料!AF297=""),"",IF(AND(原始資料!AE297&lt;&gt;"",原始資料!AF297=原始資料!AE297),N(AC297)+1,1))</f>
        <v/>
      </c>
      <c r="AE297" s="6">
        <f>IF(OR(原始資料!$A297="",30&gt;設定!$B$3,原始資料!AG297=""),"",IF(AND(原始資料!AF297&lt;&gt;"",原始資料!AG297=原始資料!AF297),N(AD297)+1,1))</f>
        <v/>
      </c>
      <c r="AF297" s="6">
        <f>IF(OR(原始資料!$A297="",31&gt;設定!$B$3,原始資料!AH297=""),"",IF(AND(原始資料!AG297&lt;&gt;"",原始資料!AH297=原始資料!AG297),N(AE297)+1,1))</f>
        <v/>
      </c>
      <c r="AG297" s="6">
        <f>IF(OR(原始資料!$A297="",32&gt;設定!$B$3,原始資料!AI297=""),"",IF(AND(原始資料!AH297&lt;&gt;"",原始資料!AI297=原始資料!AH297),N(AF297)+1,1))</f>
        <v/>
      </c>
      <c r="AH297" s="6">
        <f>IF(OR(原始資料!$A297="",33&gt;設定!$B$3,原始資料!AJ297=""),"",IF(AND(原始資料!AI297&lt;&gt;"",原始資料!AJ297=原始資料!AI297),N(AG297)+1,1))</f>
        <v/>
      </c>
      <c r="AI297" s="6">
        <f>IF(OR(原始資料!$A297="",34&gt;設定!$B$3,原始資料!AK297=""),"",IF(AND(原始資料!AJ297&lt;&gt;"",原始資料!AK297=原始資料!AJ297),N(AH297)+1,1))</f>
        <v/>
      </c>
      <c r="AJ297" s="6">
        <f>IF(OR(原始資料!$A297="",35&gt;設定!$B$3,原始資料!AL297=""),"",IF(AND(原始資料!AK297&lt;&gt;"",原始資料!AL297=原始資料!AK297),N(AI297)+1,1))</f>
        <v/>
      </c>
      <c r="AK297" s="6">
        <f>IF(OR(原始資料!$A297="",36&gt;設定!$B$3,原始資料!AM297=""),"",IF(AND(原始資料!AL297&lt;&gt;"",原始資料!AM297=原始資料!AL297),N(AJ297)+1,1))</f>
        <v/>
      </c>
      <c r="AL297" s="6">
        <f>IF(OR(原始資料!$A297="",37&gt;設定!$B$3,原始資料!AN297=""),"",IF(AND(原始資料!AM297&lt;&gt;"",原始資料!AN297=原始資料!AM297),N(AK297)+1,1))</f>
        <v/>
      </c>
      <c r="AM297" s="6">
        <f>IF(OR(原始資料!$A297="",38&gt;設定!$B$3,原始資料!AO297=""),"",IF(AND(原始資料!AN297&lt;&gt;"",原始資料!AO297=原始資料!AN297),N(AL297)+1,1))</f>
        <v/>
      </c>
      <c r="AN297" s="6">
        <f>IF(OR(原始資料!$A297="",39&gt;設定!$B$3,原始資料!AP297=""),"",IF(AND(原始資料!AO297&lt;&gt;"",原始資料!AP297=原始資料!AO297),N(AM297)+1,1))</f>
        <v/>
      </c>
      <c r="AO297" s="6">
        <f>IF(OR(原始資料!$A297="",40&gt;設定!$B$3,原始資料!AQ297=""),"",IF(AND(原始資料!AP297&lt;&gt;"",原始資料!AQ297=原始資料!AP297),N(AN297)+1,1))</f>
        <v/>
      </c>
      <c r="AP297" s="6">
        <f>IF(OR(原始資料!$A297="",41&gt;設定!$B$3,原始資料!AR297=""),"",IF(AND(原始資料!AQ297&lt;&gt;"",原始資料!AR297=原始資料!AQ297),N(AO297)+1,1))</f>
        <v/>
      </c>
      <c r="AQ297" s="6">
        <f>IF(OR(原始資料!$A297="",42&gt;設定!$B$3,原始資料!AS297=""),"",IF(AND(原始資料!AR297&lt;&gt;"",原始資料!AS297=原始資料!AR297),N(AP297)+1,1))</f>
        <v/>
      </c>
      <c r="AR297" s="6">
        <f>IF(OR(原始資料!$A297="",43&gt;設定!$B$3,原始資料!AT297=""),"",IF(AND(原始資料!AS297&lt;&gt;"",原始資料!AT297=原始資料!AS297),N(AQ297)+1,1))</f>
        <v/>
      </c>
      <c r="AS297" s="6">
        <f>IF(OR(原始資料!$A297="",44&gt;設定!$B$3,原始資料!AU297=""),"",IF(AND(原始資料!AT297&lt;&gt;"",原始資料!AU297=原始資料!AT297),N(AR297)+1,1))</f>
        <v/>
      </c>
      <c r="AT297" s="6">
        <f>IF(OR(原始資料!$A297="",45&gt;設定!$B$3,原始資料!AV297=""),"",IF(AND(原始資料!AU297&lt;&gt;"",原始資料!AV297=原始資料!AU297),N(AS297)+1,1))</f>
        <v/>
      </c>
      <c r="AU297" s="6">
        <f>IF(OR(原始資料!$A297="",46&gt;設定!$B$3,原始資料!AW297=""),"",IF(AND(原始資料!AV297&lt;&gt;"",原始資料!AW297=原始資料!AV297),N(AT297)+1,1))</f>
        <v/>
      </c>
      <c r="AV297" s="6">
        <f>IF(OR(原始資料!$A297="",47&gt;設定!$B$3,原始資料!AX297=""),"",IF(AND(原始資料!AW297&lt;&gt;"",原始資料!AX297=原始資料!AW297),N(AU297)+1,1))</f>
        <v/>
      </c>
      <c r="AW297" s="6">
        <f>IF(OR(原始資料!$A297="",48&gt;設定!$B$3,原始資料!AY297=""),"",IF(AND(原始資料!AX297&lt;&gt;"",原始資料!AY297=原始資料!AX297),N(AV297)+1,1))</f>
        <v/>
      </c>
      <c r="AX297" s="6">
        <f>IF(OR(原始資料!$A297="",49&gt;設定!$B$3,原始資料!AZ297=""),"",IF(AND(原始資料!AY297&lt;&gt;"",原始資料!AZ297=原始資料!AY297),N(AW297)+1,1))</f>
        <v/>
      </c>
      <c r="AY297" s="6">
        <f>IF(OR(原始資料!$A297="",50&gt;設定!$B$3,原始資料!BA297=""),"",IF(AND(原始資料!AZ297&lt;&gt;"",原始資料!BA297=原始資料!AZ297),N(AX297)+1,1))</f>
        <v/>
      </c>
      <c r="AZ297" s="6">
        <f>IF(OR(原始資料!$A297="",51&gt;設定!$B$3,原始資料!BB297=""),"",IF(AND(原始資料!BA297&lt;&gt;"",原始資料!BB297=原始資料!BA297),N(AY297)+1,1))</f>
        <v/>
      </c>
      <c r="BA297" s="6">
        <f>IF(OR(原始資料!$A297="",52&gt;設定!$B$3,原始資料!BC297=""),"",IF(AND(原始資料!BB297&lt;&gt;"",原始資料!BC297=原始資料!BB297),N(AZ297)+1,1))</f>
        <v/>
      </c>
      <c r="BB297" s="6">
        <f>IF(OR(原始資料!$A297="",53&gt;設定!$B$3,原始資料!BD297=""),"",IF(AND(原始資料!BC297&lt;&gt;"",原始資料!BD297=原始資料!BC297),N(BA297)+1,1))</f>
        <v/>
      </c>
      <c r="BC297" s="6">
        <f>IF(OR(原始資料!$A297="",54&gt;設定!$B$3,原始資料!BE297=""),"",IF(AND(原始資料!BD297&lt;&gt;"",原始資料!BE297=原始資料!BD297),N(BB297)+1,1))</f>
        <v/>
      </c>
      <c r="BD297" s="6">
        <f>IF(OR(原始資料!$A297="",55&gt;設定!$B$3,原始資料!BF297=""),"",IF(AND(原始資料!BE297&lt;&gt;"",原始資料!BF297=原始資料!BE297),N(BC297)+1,1))</f>
        <v/>
      </c>
      <c r="BE297" s="6">
        <f>IF(OR(原始資料!$A297="",56&gt;設定!$B$3,原始資料!BG297=""),"",IF(AND(原始資料!BF297&lt;&gt;"",原始資料!BG297=原始資料!BF297),N(BD297)+1,1))</f>
        <v/>
      </c>
      <c r="BF297" s="6">
        <f>IF(OR(原始資料!$A297="",57&gt;設定!$B$3,原始資料!BH297=""),"",IF(AND(原始資料!BG297&lt;&gt;"",原始資料!BH297=原始資料!BG297),N(BE297)+1,1))</f>
        <v/>
      </c>
      <c r="BG297" s="6">
        <f>IF(OR(原始資料!$A297="",58&gt;設定!$B$3,原始資料!BI297=""),"",IF(AND(原始資料!BH297&lt;&gt;"",原始資料!BI297=原始資料!BH297),N(BF297)+1,1))</f>
        <v/>
      </c>
      <c r="BH297" s="6">
        <f>IF(OR(原始資料!$A297="",59&gt;設定!$B$3,原始資料!BJ297=""),"",IF(AND(原始資料!BI297&lt;&gt;"",原始資料!BJ297=原始資料!BI297),N(BG297)+1,1))</f>
        <v/>
      </c>
      <c r="BI297" s="6">
        <f>IF(OR(原始資料!$A297="",60&gt;設定!$B$3,原始資料!BK297=""),"",IF(AND(原始資料!BJ297&lt;&gt;"",原始資料!BK297=原始資料!BJ297),N(BH297)+1,1))</f>
        <v/>
      </c>
    </row>
    <row r="298">
      <c r="A298" s="6">
        <f>IF(原始資料!$A298="","",原始資料!$A298)</f>
        <v/>
      </c>
      <c r="B298" s="6">
        <f>IF(OR(原始資料!$A298="",1&gt;設定!$B$3,原始資料!D298=""),"",1)</f>
        <v/>
      </c>
      <c r="C298" s="6">
        <f>IF(OR(原始資料!$A298="",2&gt;設定!$B$3,原始資料!E298=""),"",IF(AND(原始資料!D298&lt;&gt;"",原始資料!E298=原始資料!D298),N(B298)+1,1))</f>
        <v/>
      </c>
      <c r="D298" s="6">
        <f>IF(OR(原始資料!$A298="",3&gt;設定!$B$3,原始資料!F298=""),"",IF(AND(原始資料!E298&lt;&gt;"",原始資料!F298=原始資料!E298),N(C298)+1,1))</f>
        <v/>
      </c>
      <c r="E298" s="6">
        <f>IF(OR(原始資料!$A298="",4&gt;設定!$B$3,原始資料!G298=""),"",IF(AND(原始資料!F298&lt;&gt;"",原始資料!G298=原始資料!F298),N(D298)+1,1))</f>
        <v/>
      </c>
      <c r="F298" s="6">
        <f>IF(OR(原始資料!$A298="",5&gt;設定!$B$3,原始資料!H298=""),"",IF(AND(原始資料!G298&lt;&gt;"",原始資料!H298=原始資料!G298),N(E298)+1,1))</f>
        <v/>
      </c>
      <c r="G298" s="6">
        <f>IF(OR(原始資料!$A298="",6&gt;設定!$B$3,原始資料!I298=""),"",IF(AND(原始資料!H298&lt;&gt;"",原始資料!I298=原始資料!H298),N(F298)+1,1))</f>
        <v/>
      </c>
      <c r="H298" s="6">
        <f>IF(OR(原始資料!$A298="",7&gt;設定!$B$3,原始資料!J298=""),"",IF(AND(原始資料!I298&lt;&gt;"",原始資料!J298=原始資料!I298),N(G298)+1,1))</f>
        <v/>
      </c>
      <c r="I298" s="6">
        <f>IF(OR(原始資料!$A298="",8&gt;設定!$B$3,原始資料!K298=""),"",IF(AND(原始資料!J298&lt;&gt;"",原始資料!K298=原始資料!J298),N(H298)+1,1))</f>
        <v/>
      </c>
      <c r="J298" s="6">
        <f>IF(OR(原始資料!$A298="",9&gt;設定!$B$3,原始資料!L298=""),"",IF(AND(原始資料!K298&lt;&gt;"",原始資料!L298=原始資料!K298),N(I298)+1,1))</f>
        <v/>
      </c>
      <c r="K298" s="6">
        <f>IF(OR(原始資料!$A298="",10&gt;設定!$B$3,原始資料!M298=""),"",IF(AND(原始資料!L298&lt;&gt;"",原始資料!M298=原始資料!L298),N(J298)+1,1))</f>
        <v/>
      </c>
      <c r="L298" s="6">
        <f>IF(OR(原始資料!$A298="",11&gt;設定!$B$3,原始資料!N298=""),"",IF(AND(原始資料!M298&lt;&gt;"",原始資料!N298=原始資料!M298),N(K298)+1,1))</f>
        <v/>
      </c>
      <c r="M298" s="6">
        <f>IF(OR(原始資料!$A298="",12&gt;設定!$B$3,原始資料!O298=""),"",IF(AND(原始資料!N298&lt;&gt;"",原始資料!O298=原始資料!N298),N(L298)+1,1))</f>
        <v/>
      </c>
      <c r="N298" s="6">
        <f>IF(OR(原始資料!$A298="",13&gt;設定!$B$3,原始資料!P298=""),"",IF(AND(原始資料!O298&lt;&gt;"",原始資料!P298=原始資料!O298),N(M298)+1,1))</f>
        <v/>
      </c>
      <c r="O298" s="6">
        <f>IF(OR(原始資料!$A298="",14&gt;設定!$B$3,原始資料!Q298=""),"",IF(AND(原始資料!P298&lt;&gt;"",原始資料!Q298=原始資料!P298),N(N298)+1,1))</f>
        <v/>
      </c>
      <c r="P298" s="6">
        <f>IF(OR(原始資料!$A298="",15&gt;設定!$B$3,原始資料!R298=""),"",IF(AND(原始資料!Q298&lt;&gt;"",原始資料!R298=原始資料!Q298),N(O298)+1,1))</f>
        <v/>
      </c>
      <c r="Q298" s="6">
        <f>IF(OR(原始資料!$A298="",16&gt;設定!$B$3,原始資料!S298=""),"",IF(AND(原始資料!R298&lt;&gt;"",原始資料!S298=原始資料!R298),N(P298)+1,1))</f>
        <v/>
      </c>
      <c r="R298" s="6">
        <f>IF(OR(原始資料!$A298="",17&gt;設定!$B$3,原始資料!T298=""),"",IF(AND(原始資料!S298&lt;&gt;"",原始資料!T298=原始資料!S298),N(Q298)+1,1))</f>
        <v/>
      </c>
      <c r="S298" s="6">
        <f>IF(OR(原始資料!$A298="",18&gt;設定!$B$3,原始資料!U298=""),"",IF(AND(原始資料!T298&lt;&gt;"",原始資料!U298=原始資料!T298),N(R298)+1,1))</f>
        <v/>
      </c>
      <c r="T298" s="6">
        <f>IF(OR(原始資料!$A298="",19&gt;設定!$B$3,原始資料!V298=""),"",IF(AND(原始資料!U298&lt;&gt;"",原始資料!V298=原始資料!U298),N(S298)+1,1))</f>
        <v/>
      </c>
      <c r="U298" s="6">
        <f>IF(OR(原始資料!$A298="",20&gt;設定!$B$3,原始資料!W298=""),"",IF(AND(原始資料!V298&lt;&gt;"",原始資料!W298=原始資料!V298),N(T298)+1,1))</f>
        <v/>
      </c>
      <c r="V298" s="6">
        <f>IF(OR(原始資料!$A298="",21&gt;設定!$B$3,原始資料!X298=""),"",IF(AND(原始資料!W298&lt;&gt;"",原始資料!X298=原始資料!W298),N(U298)+1,1))</f>
        <v/>
      </c>
      <c r="W298" s="6">
        <f>IF(OR(原始資料!$A298="",22&gt;設定!$B$3,原始資料!Y298=""),"",IF(AND(原始資料!X298&lt;&gt;"",原始資料!Y298=原始資料!X298),N(V298)+1,1))</f>
        <v/>
      </c>
      <c r="X298" s="6">
        <f>IF(OR(原始資料!$A298="",23&gt;設定!$B$3,原始資料!Z298=""),"",IF(AND(原始資料!Y298&lt;&gt;"",原始資料!Z298=原始資料!Y298),N(W298)+1,1))</f>
        <v/>
      </c>
      <c r="Y298" s="6">
        <f>IF(OR(原始資料!$A298="",24&gt;設定!$B$3,原始資料!AA298=""),"",IF(AND(原始資料!Z298&lt;&gt;"",原始資料!AA298=原始資料!Z298),N(X298)+1,1))</f>
        <v/>
      </c>
      <c r="Z298" s="6">
        <f>IF(OR(原始資料!$A298="",25&gt;設定!$B$3,原始資料!AB298=""),"",IF(AND(原始資料!AA298&lt;&gt;"",原始資料!AB298=原始資料!AA298),N(Y298)+1,1))</f>
        <v/>
      </c>
      <c r="AA298" s="6">
        <f>IF(OR(原始資料!$A298="",26&gt;設定!$B$3,原始資料!AC298=""),"",IF(AND(原始資料!AB298&lt;&gt;"",原始資料!AC298=原始資料!AB298),N(Z298)+1,1))</f>
        <v/>
      </c>
      <c r="AB298" s="6">
        <f>IF(OR(原始資料!$A298="",27&gt;設定!$B$3,原始資料!AD298=""),"",IF(AND(原始資料!AC298&lt;&gt;"",原始資料!AD298=原始資料!AC298),N(AA298)+1,1))</f>
        <v/>
      </c>
      <c r="AC298" s="6">
        <f>IF(OR(原始資料!$A298="",28&gt;設定!$B$3,原始資料!AE298=""),"",IF(AND(原始資料!AD298&lt;&gt;"",原始資料!AE298=原始資料!AD298),N(AB298)+1,1))</f>
        <v/>
      </c>
      <c r="AD298" s="6">
        <f>IF(OR(原始資料!$A298="",29&gt;設定!$B$3,原始資料!AF298=""),"",IF(AND(原始資料!AE298&lt;&gt;"",原始資料!AF298=原始資料!AE298),N(AC298)+1,1))</f>
        <v/>
      </c>
      <c r="AE298" s="6">
        <f>IF(OR(原始資料!$A298="",30&gt;設定!$B$3,原始資料!AG298=""),"",IF(AND(原始資料!AF298&lt;&gt;"",原始資料!AG298=原始資料!AF298),N(AD298)+1,1))</f>
        <v/>
      </c>
      <c r="AF298" s="6">
        <f>IF(OR(原始資料!$A298="",31&gt;設定!$B$3,原始資料!AH298=""),"",IF(AND(原始資料!AG298&lt;&gt;"",原始資料!AH298=原始資料!AG298),N(AE298)+1,1))</f>
        <v/>
      </c>
      <c r="AG298" s="6">
        <f>IF(OR(原始資料!$A298="",32&gt;設定!$B$3,原始資料!AI298=""),"",IF(AND(原始資料!AH298&lt;&gt;"",原始資料!AI298=原始資料!AH298),N(AF298)+1,1))</f>
        <v/>
      </c>
      <c r="AH298" s="6">
        <f>IF(OR(原始資料!$A298="",33&gt;設定!$B$3,原始資料!AJ298=""),"",IF(AND(原始資料!AI298&lt;&gt;"",原始資料!AJ298=原始資料!AI298),N(AG298)+1,1))</f>
        <v/>
      </c>
      <c r="AI298" s="6">
        <f>IF(OR(原始資料!$A298="",34&gt;設定!$B$3,原始資料!AK298=""),"",IF(AND(原始資料!AJ298&lt;&gt;"",原始資料!AK298=原始資料!AJ298),N(AH298)+1,1))</f>
        <v/>
      </c>
      <c r="AJ298" s="6">
        <f>IF(OR(原始資料!$A298="",35&gt;設定!$B$3,原始資料!AL298=""),"",IF(AND(原始資料!AK298&lt;&gt;"",原始資料!AL298=原始資料!AK298),N(AI298)+1,1))</f>
        <v/>
      </c>
      <c r="AK298" s="6">
        <f>IF(OR(原始資料!$A298="",36&gt;設定!$B$3,原始資料!AM298=""),"",IF(AND(原始資料!AL298&lt;&gt;"",原始資料!AM298=原始資料!AL298),N(AJ298)+1,1))</f>
        <v/>
      </c>
      <c r="AL298" s="6">
        <f>IF(OR(原始資料!$A298="",37&gt;設定!$B$3,原始資料!AN298=""),"",IF(AND(原始資料!AM298&lt;&gt;"",原始資料!AN298=原始資料!AM298),N(AK298)+1,1))</f>
        <v/>
      </c>
      <c r="AM298" s="6">
        <f>IF(OR(原始資料!$A298="",38&gt;設定!$B$3,原始資料!AO298=""),"",IF(AND(原始資料!AN298&lt;&gt;"",原始資料!AO298=原始資料!AN298),N(AL298)+1,1))</f>
        <v/>
      </c>
      <c r="AN298" s="6">
        <f>IF(OR(原始資料!$A298="",39&gt;設定!$B$3,原始資料!AP298=""),"",IF(AND(原始資料!AO298&lt;&gt;"",原始資料!AP298=原始資料!AO298),N(AM298)+1,1))</f>
        <v/>
      </c>
      <c r="AO298" s="6">
        <f>IF(OR(原始資料!$A298="",40&gt;設定!$B$3,原始資料!AQ298=""),"",IF(AND(原始資料!AP298&lt;&gt;"",原始資料!AQ298=原始資料!AP298),N(AN298)+1,1))</f>
        <v/>
      </c>
      <c r="AP298" s="6">
        <f>IF(OR(原始資料!$A298="",41&gt;設定!$B$3,原始資料!AR298=""),"",IF(AND(原始資料!AQ298&lt;&gt;"",原始資料!AR298=原始資料!AQ298),N(AO298)+1,1))</f>
        <v/>
      </c>
      <c r="AQ298" s="6">
        <f>IF(OR(原始資料!$A298="",42&gt;設定!$B$3,原始資料!AS298=""),"",IF(AND(原始資料!AR298&lt;&gt;"",原始資料!AS298=原始資料!AR298),N(AP298)+1,1))</f>
        <v/>
      </c>
      <c r="AR298" s="6">
        <f>IF(OR(原始資料!$A298="",43&gt;設定!$B$3,原始資料!AT298=""),"",IF(AND(原始資料!AS298&lt;&gt;"",原始資料!AT298=原始資料!AS298),N(AQ298)+1,1))</f>
        <v/>
      </c>
      <c r="AS298" s="6">
        <f>IF(OR(原始資料!$A298="",44&gt;設定!$B$3,原始資料!AU298=""),"",IF(AND(原始資料!AT298&lt;&gt;"",原始資料!AU298=原始資料!AT298),N(AR298)+1,1))</f>
        <v/>
      </c>
      <c r="AT298" s="6">
        <f>IF(OR(原始資料!$A298="",45&gt;設定!$B$3,原始資料!AV298=""),"",IF(AND(原始資料!AU298&lt;&gt;"",原始資料!AV298=原始資料!AU298),N(AS298)+1,1))</f>
        <v/>
      </c>
      <c r="AU298" s="6">
        <f>IF(OR(原始資料!$A298="",46&gt;設定!$B$3,原始資料!AW298=""),"",IF(AND(原始資料!AV298&lt;&gt;"",原始資料!AW298=原始資料!AV298),N(AT298)+1,1))</f>
        <v/>
      </c>
      <c r="AV298" s="6">
        <f>IF(OR(原始資料!$A298="",47&gt;設定!$B$3,原始資料!AX298=""),"",IF(AND(原始資料!AW298&lt;&gt;"",原始資料!AX298=原始資料!AW298),N(AU298)+1,1))</f>
        <v/>
      </c>
      <c r="AW298" s="6">
        <f>IF(OR(原始資料!$A298="",48&gt;設定!$B$3,原始資料!AY298=""),"",IF(AND(原始資料!AX298&lt;&gt;"",原始資料!AY298=原始資料!AX298),N(AV298)+1,1))</f>
        <v/>
      </c>
      <c r="AX298" s="6">
        <f>IF(OR(原始資料!$A298="",49&gt;設定!$B$3,原始資料!AZ298=""),"",IF(AND(原始資料!AY298&lt;&gt;"",原始資料!AZ298=原始資料!AY298),N(AW298)+1,1))</f>
        <v/>
      </c>
      <c r="AY298" s="6">
        <f>IF(OR(原始資料!$A298="",50&gt;設定!$B$3,原始資料!BA298=""),"",IF(AND(原始資料!AZ298&lt;&gt;"",原始資料!BA298=原始資料!AZ298),N(AX298)+1,1))</f>
        <v/>
      </c>
      <c r="AZ298" s="6">
        <f>IF(OR(原始資料!$A298="",51&gt;設定!$B$3,原始資料!BB298=""),"",IF(AND(原始資料!BA298&lt;&gt;"",原始資料!BB298=原始資料!BA298),N(AY298)+1,1))</f>
        <v/>
      </c>
      <c r="BA298" s="6">
        <f>IF(OR(原始資料!$A298="",52&gt;設定!$B$3,原始資料!BC298=""),"",IF(AND(原始資料!BB298&lt;&gt;"",原始資料!BC298=原始資料!BB298),N(AZ298)+1,1))</f>
        <v/>
      </c>
      <c r="BB298" s="6">
        <f>IF(OR(原始資料!$A298="",53&gt;設定!$B$3,原始資料!BD298=""),"",IF(AND(原始資料!BC298&lt;&gt;"",原始資料!BD298=原始資料!BC298),N(BA298)+1,1))</f>
        <v/>
      </c>
      <c r="BC298" s="6">
        <f>IF(OR(原始資料!$A298="",54&gt;設定!$B$3,原始資料!BE298=""),"",IF(AND(原始資料!BD298&lt;&gt;"",原始資料!BE298=原始資料!BD298),N(BB298)+1,1))</f>
        <v/>
      </c>
      <c r="BD298" s="6">
        <f>IF(OR(原始資料!$A298="",55&gt;設定!$B$3,原始資料!BF298=""),"",IF(AND(原始資料!BE298&lt;&gt;"",原始資料!BF298=原始資料!BE298),N(BC298)+1,1))</f>
        <v/>
      </c>
      <c r="BE298" s="6">
        <f>IF(OR(原始資料!$A298="",56&gt;設定!$B$3,原始資料!BG298=""),"",IF(AND(原始資料!BF298&lt;&gt;"",原始資料!BG298=原始資料!BF298),N(BD298)+1,1))</f>
        <v/>
      </c>
      <c r="BF298" s="6">
        <f>IF(OR(原始資料!$A298="",57&gt;設定!$B$3,原始資料!BH298=""),"",IF(AND(原始資料!BG298&lt;&gt;"",原始資料!BH298=原始資料!BG298),N(BE298)+1,1))</f>
        <v/>
      </c>
      <c r="BG298" s="6">
        <f>IF(OR(原始資料!$A298="",58&gt;設定!$B$3,原始資料!BI298=""),"",IF(AND(原始資料!BH298&lt;&gt;"",原始資料!BI298=原始資料!BH298),N(BF298)+1,1))</f>
        <v/>
      </c>
      <c r="BH298" s="6">
        <f>IF(OR(原始資料!$A298="",59&gt;設定!$B$3,原始資料!BJ298=""),"",IF(AND(原始資料!BI298&lt;&gt;"",原始資料!BJ298=原始資料!BI298),N(BG298)+1,1))</f>
        <v/>
      </c>
      <c r="BI298" s="6">
        <f>IF(OR(原始資料!$A298="",60&gt;設定!$B$3,原始資料!BK298=""),"",IF(AND(原始資料!BJ298&lt;&gt;"",原始資料!BK298=原始資料!BJ298),N(BH298)+1,1))</f>
        <v/>
      </c>
    </row>
    <row r="299">
      <c r="A299" s="6">
        <f>IF(原始資料!$A299="","",原始資料!$A299)</f>
        <v/>
      </c>
      <c r="B299" s="6">
        <f>IF(OR(原始資料!$A299="",1&gt;設定!$B$3,原始資料!D299=""),"",1)</f>
        <v/>
      </c>
      <c r="C299" s="6">
        <f>IF(OR(原始資料!$A299="",2&gt;設定!$B$3,原始資料!E299=""),"",IF(AND(原始資料!D299&lt;&gt;"",原始資料!E299=原始資料!D299),N(B299)+1,1))</f>
        <v/>
      </c>
      <c r="D299" s="6">
        <f>IF(OR(原始資料!$A299="",3&gt;設定!$B$3,原始資料!F299=""),"",IF(AND(原始資料!E299&lt;&gt;"",原始資料!F299=原始資料!E299),N(C299)+1,1))</f>
        <v/>
      </c>
      <c r="E299" s="6">
        <f>IF(OR(原始資料!$A299="",4&gt;設定!$B$3,原始資料!G299=""),"",IF(AND(原始資料!F299&lt;&gt;"",原始資料!G299=原始資料!F299),N(D299)+1,1))</f>
        <v/>
      </c>
      <c r="F299" s="6">
        <f>IF(OR(原始資料!$A299="",5&gt;設定!$B$3,原始資料!H299=""),"",IF(AND(原始資料!G299&lt;&gt;"",原始資料!H299=原始資料!G299),N(E299)+1,1))</f>
        <v/>
      </c>
      <c r="G299" s="6">
        <f>IF(OR(原始資料!$A299="",6&gt;設定!$B$3,原始資料!I299=""),"",IF(AND(原始資料!H299&lt;&gt;"",原始資料!I299=原始資料!H299),N(F299)+1,1))</f>
        <v/>
      </c>
      <c r="H299" s="6">
        <f>IF(OR(原始資料!$A299="",7&gt;設定!$B$3,原始資料!J299=""),"",IF(AND(原始資料!I299&lt;&gt;"",原始資料!J299=原始資料!I299),N(G299)+1,1))</f>
        <v/>
      </c>
      <c r="I299" s="6">
        <f>IF(OR(原始資料!$A299="",8&gt;設定!$B$3,原始資料!K299=""),"",IF(AND(原始資料!J299&lt;&gt;"",原始資料!K299=原始資料!J299),N(H299)+1,1))</f>
        <v/>
      </c>
      <c r="J299" s="6">
        <f>IF(OR(原始資料!$A299="",9&gt;設定!$B$3,原始資料!L299=""),"",IF(AND(原始資料!K299&lt;&gt;"",原始資料!L299=原始資料!K299),N(I299)+1,1))</f>
        <v/>
      </c>
      <c r="K299" s="6">
        <f>IF(OR(原始資料!$A299="",10&gt;設定!$B$3,原始資料!M299=""),"",IF(AND(原始資料!L299&lt;&gt;"",原始資料!M299=原始資料!L299),N(J299)+1,1))</f>
        <v/>
      </c>
      <c r="L299" s="6">
        <f>IF(OR(原始資料!$A299="",11&gt;設定!$B$3,原始資料!N299=""),"",IF(AND(原始資料!M299&lt;&gt;"",原始資料!N299=原始資料!M299),N(K299)+1,1))</f>
        <v/>
      </c>
      <c r="M299" s="6">
        <f>IF(OR(原始資料!$A299="",12&gt;設定!$B$3,原始資料!O299=""),"",IF(AND(原始資料!N299&lt;&gt;"",原始資料!O299=原始資料!N299),N(L299)+1,1))</f>
        <v/>
      </c>
      <c r="N299" s="6">
        <f>IF(OR(原始資料!$A299="",13&gt;設定!$B$3,原始資料!P299=""),"",IF(AND(原始資料!O299&lt;&gt;"",原始資料!P299=原始資料!O299),N(M299)+1,1))</f>
        <v/>
      </c>
      <c r="O299" s="6">
        <f>IF(OR(原始資料!$A299="",14&gt;設定!$B$3,原始資料!Q299=""),"",IF(AND(原始資料!P299&lt;&gt;"",原始資料!Q299=原始資料!P299),N(N299)+1,1))</f>
        <v/>
      </c>
      <c r="P299" s="6">
        <f>IF(OR(原始資料!$A299="",15&gt;設定!$B$3,原始資料!R299=""),"",IF(AND(原始資料!Q299&lt;&gt;"",原始資料!R299=原始資料!Q299),N(O299)+1,1))</f>
        <v/>
      </c>
      <c r="Q299" s="6">
        <f>IF(OR(原始資料!$A299="",16&gt;設定!$B$3,原始資料!S299=""),"",IF(AND(原始資料!R299&lt;&gt;"",原始資料!S299=原始資料!R299),N(P299)+1,1))</f>
        <v/>
      </c>
      <c r="R299" s="6">
        <f>IF(OR(原始資料!$A299="",17&gt;設定!$B$3,原始資料!T299=""),"",IF(AND(原始資料!S299&lt;&gt;"",原始資料!T299=原始資料!S299),N(Q299)+1,1))</f>
        <v/>
      </c>
      <c r="S299" s="6">
        <f>IF(OR(原始資料!$A299="",18&gt;設定!$B$3,原始資料!U299=""),"",IF(AND(原始資料!T299&lt;&gt;"",原始資料!U299=原始資料!T299),N(R299)+1,1))</f>
        <v/>
      </c>
      <c r="T299" s="6">
        <f>IF(OR(原始資料!$A299="",19&gt;設定!$B$3,原始資料!V299=""),"",IF(AND(原始資料!U299&lt;&gt;"",原始資料!V299=原始資料!U299),N(S299)+1,1))</f>
        <v/>
      </c>
      <c r="U299" s="6">
        <f>IF(OR(原始資料!$A299="",20&gt;設定!$B$3,原始資料!W299=""),"",IF(AND(原始資料!V299&lt;&gt;"",原始資料!W299=原始資料!V299),N(T299)+1,1))</f>
        <v/>
      </c>
      <c r="V299" s="6">
        <f>IF(OR(原始資料!$A299="",21&gt;設定!$B$3,原始資料!X299=""),"",IF(AND(原始資料!W299&lt;&gt;"",原始資料!X299=原始資料!W299),N(U299)+1,1))</f>
        <v/>
      </c>
      <c r="W299" s="6">
        <f>IF(OR(原始資料!$A299="",22&gt;設定!$B$3,原始資料!Y299=""),"",IF(AND(原始資料!X299&lt;&gt;"",原始資料!Y299=原始資料!X299),N(V299)+1,1))</f>
        <v/>
      </c>
      <c r="X299" s="6">
        <f>IF(OR(原始資料!$A299="",23&gt;設定!$B$3,原始資料!Z299=""),"",IF(AND(原始資料!Y299&lt;&gt;"",原始資料!Z299=原始資料!Y299),N(W299)+1,1))</f>
        <v/>
      </c>
      <c r="Y299" s="6">
        <f>IF(OR(原始資料!$A299="",24&gt;設定!$B$3,原始資料!AA299=""),"",IF(AND(原始資料!Z299&lt;&gt;"",原始資料!AA299=原始資料!Z299),N(X299)+1,1))</f>
        <v/>
      </c>
      <c r="Z299" s="6">
        <f>IF(OR(原始資料!$A299="",25&gt;設定!$B$3,原始資料!AB299=""),"",IF(AND(原始資料!AA299&lt;&gt;"",原始資料!AB299=原始資料!AA299),N(Y299)+1,1))</f>
        <v/>
      </c>
      <c r="AA299" s="6">
        <f>IF(OR(原始資料!$A299="",26&gt;設定!$B$3,原始資料!AC299=""),"",IF(AND(原始資料!AB299&lt;&gt;"",原始資料!AC299=原始資料!AB299),N(Z299)+1,1))</f>
        <v/>
      </c>
      <c r="AB299" s="6">
        <f>IF(OR(原始資料!$A299="",27&gt;設定!$B$3,原始資料!AD299=""),"",IF(AND(原始資料!AC299&lt;&gt;"",原始資料!AD299=原始資料!AC299),N(AA299)+1,1))</f>
        <v/>
      </c>
      <c r="AC299" s="6">
        <f>IF(OR(原始資料!$A299="",28&gt;設定!$B$3,原始資料!AE299=""),"",IF(AND(原始資料!AD299&lt;&gt;"",原始資料!AE299=原始資料!AD299),N(AB299)+1,1))</f>
        <v/>
      </c>
      <c r="AD299" s="6">
        <f>IF(OR(原始資料!$A299="",29&gt;設定!$B$3,原始資料!AF299=""),"",IF(AND(原始資料!AE299&lt;&gt;"",原始資料!AF299=原始資料!AE299),N(AC299)+1,1))</f>
        <v/>
      </c>
      <c r="AE299" s="6">
        <f>IF(OR(原始資料!$A299="",30&gt;設定!$B$3,原始資料!AG299=""),"",IF(AND(原始資料!AF299&lt;&gt;"",原始資料!AG299=原始資料!AF299),N(AD299)+1,1))</f>
        <v/>
      </c>
      <c r="AF299" s="6">
        <f>IF(OR(原始資料!$A299="",31&gt;設定!$B$3,原始資料!AH299=""),"",IF(AND(原始資料!AG299&lt;&gt;"",原始資料!AH299=原始資料!AG299),N(AE299)+1,1))</f>
        <v/>
      </c>
      <c r="AG299" s="6">
        <f>IF(OR(原始資料!$A299="",32&gt;設定!$B$3,原始資料!AI299=""),"",IF(AND(原始資料!AH299&lt;&gt;"",原始資料!AI299=原始資料!AH299),N(AF299)+1,1))</f>
        <v/>
      </c>
      <c r="AH299" s="6">
        <f>IF(OR(原始資料!$A299="",33&gt;設定!$B$3,原始資料!AJ299=""),"",IF(AND(原始資料!AI299&lt;&gt;"",原始資料!AJ299=原始資料!AI299),N(AG299)+1,1))</f>
        <v/>
      </c>
      <c r="AI299" s="6">
        <f>IF(OR(原始資料!$A299="",34&gt;設定!$B$3,原始資料!AK299=""),"",IF(AND(原始資料!AJ299&lt;&gt;"",原始資料!AK299=原始資料!AJ299),N(AH299)+1,1))</f>
        <v/>
      </c>
      <c r="AJ299" s="6">
        <f>IF(OR(原始資料!$A299="",35&gt;設定!$B$3,原始資料!AL299=""),"",IF(AND(原始資料!AK299&lt;&gt;"",原始資料!AL299=原始資料!AK299),N(AI299)+1,1))</f>
        <v/>
      </c>
      <c r="AK299" s="6">
        <f>IF(OR(原始資料!$A299="",36&gt;設定!$B$3,原始資料!AM299=""),"",IF(AND(原始資料!AL299&lt;&gt;"",原始資料!AM299=原始資料!AL299),N(AJ299)+1,1))</f>
        <v/>
      </c>
      <c r="AL299" s="6">
        <f>IF(OR(原始資料!$A299="",37&gt;設定!$B$3,原始資料!AN299=""),"",IF(AND(原始資料!AM299&lt;&gt;"",原始資料!AN299=原始資料!AM299),N(AK299)+1,1))</f>
        <v/>
      </c>
      <c r="AM299" s="6">
        <f>IF(OR(原始資料!$A299="",38&gt;設定!$B$3,原始資料!AO299=""),"",IF(AND(原始資料!AN299&lt;&gt;"",原始資料!AO299=原始資料!AN299),N(AL299)+1,1))</f>
        <v/>
      </c>
      <c r="AN299" s="6">
        <f>IF(OR(原始資料!$A299="",39&gt;設定!$B$3,原始資料!AP299=""),"",IF(AND(原始資料!AO299&lt;&gt;"",原始資料!AP299=原始資料!AO299),N(AM299)+1,1))</f>
        <v/>
      </c>
      <c r="AO299" s="6">
        <f>IF(OR(原始資料!$A299="",40&gt;設定!$B$3,原始資料!AQ299=""),"",IF(AND(原始資料!AP299&lt;&gt;"",原始資料!AQ299=原始資料!AP299),N(AN299)+1,1))</f>
        <v/>
      </c>
      <c r="AP299" s="6">
        <f>IF(OR(原始資料!$A299="",41&gt;設定!$B$3,原始資料!AR299=""),"",IF(AND(原始資料!AQ299&lt;&gt;"",原始資料!AR299=原始資料!AQ299),N(AO299)+1,1))</f>
        <v/>
      </c>
      <c r="AQ299" s="6">
        <f>IF(OR(原始資料!$A299="",42&gt;設定!$B$3,原始資料!AS299=""),"",IF(AND(原始資料!AR299&lt;&gt;"",原始資料!AS299=原始資料!AR299),N(AP299)+1,1))</f>
        <v/>
      </c>
      <c r="AR299" s="6">
        <f>IF(OR(原始資料!$A299="",43&gt;設定!$B$3,原始資料!AT299=""),"",IF(AND(原始資料!AS299&lt;&gt;"",原始資料!AT299=原始資料!AS299),N(AQ299)+1,1))</f>
        <v/>
      </c>
      <c r="AS299" s="6">
        <f>IF(OR(原始資料!$A299="",44&gt;設定!$B$3,原始資料!AU299=""),"",IF(AND(原始資料!AT299&lt;&gt;"",原始資料!AU299=原始資料!AT299),N(AR299)+1,1))</f>
        <v/>
      </c>
      <c r="AT299" s="6">
        <f>IF(OR(原始資料!$A299="",45&gt;設定!$B$3,原始資料!AV299=""),"",IF(AND(原始資料!AU299&lt;&gt;"",原始資料!AV299=原始資料!AU299),N(AS299)+1,1))</f>
        <v/>
      </c>
      <c r="AU299" s="6">
        <f>IF(OR(原始資料!$A299="",46&gt;設定!$B$3,原始資料!AW299=""),"",IF(AND(原始資料!AV299&lt;&gt;"",原始資料!AW299=原始資料!AV299),N(AT299)+1,1))</f>
        <v/>
      </c>
      <c r="AV299" s="6">
        <f>IF(OR(原始資料!$A299="",47&gt;設定!$B$3,原始資料!AX299=""),"",IF(AND(原始資料!AW299&lt;&gt;"",原始資料!AX299=原始資料!AW299),N(AU299)+1,1))</f>
        <v/>
      </c>
      <c r="AW299" s="6">
        <f>IF(OR(原始資料!$A299="",48&gt;設定!$B$3,原始資料!AY299=""),"",IF(AND(原始資料!AX299&lt;&gt;"",原始資料!AY299=原始資料!AX299),N(AV299)+1,1))</f>
        <v/>
      </c>
      <c r="AX299" s="6">
        <f>IF(OR(原始資料!$A299="",49&gt;設定!$B$3,原始資料!AZ299=""),"",IF(AND(原始資料!AY299&lt;&gt;"",原始資料!AZ299=原始資料!AY299),N(AW299)+1,1))</f>
        <v/>
      </c>
      <c r="AY299" s="6">
        <f>IF(OR(原始資料!$A299="",50&gt;設定!$B$3,原始資料!BA299=""),"",IF(AND(原始資料!AZ299&lt;&gt;"",原始資料!BA299=原始資料!AZ299),N(AX299)+1,1))</f>
        <v/>
      </c>
      <c r="AZ299" s="6">
        <f>IF(OR(原始資料!$A299="",51&gt;設定!$B$3,原始資料!BB299=""),"",IF(AND(原始資料!BA299&lt;&gt;"",原始資料!BB299=原始資料!BA299),N(AY299)+1,1))</f>
        <v/>
      </c>
      <c r="BA299" s="6">
        <f>IF(OR(原始資料!$A299="",52&gt;設定!$B$3,原始資料!BC299=""),"",IF(AND(原始資料!BB299&lt;&gt;"",原始資料!BC299=原始資料!BB299),N(AZ299)+1,1))</f>
        <v/>
      </c>
      <c r="BB299" s="6">
        <f>IF(OR(原始資料!$A299="",53&gt;設定!$B$3,原始資料!BD299=""),"",IF(AND(原始資料!BC299&lt;&gt;"",原始資料!BD299=原始資料!BC299),N(BA299)+1,1))</f>
        <v/>
      </c>
      <c r="BC299" s="6">
        <f>IF(OR(原始資料!$A299="",54&gt;設定!$B$3,原始資料!BE299=""),"",IF(AND(原始資料!BD299&lt;&gt;"",原始資料!BE299=原始資料!BD299),N(BB299)+1,1))</f>
        <v/>
      </c>
      <c r="BD299" s="6">
        <f>IF(OR(原始資料!$A299="",55&gt;設定!$B$3,原始資料!BF299=""),"",IF(AND(原始資料!BE299&lt;&gt;"",原始資料!BF299=原始資料!BE299),N(BC299)+1,1))</f>
        <v/>
      </c>
      <c r="BE299" s="6">
        <f>IF(OR(原始資料!$A299="",56&gt;設定!$B$3,原始資料!BG299=""),"",IF(AND(原始資料!BF299&lt;&gt;"",原始資料!BG299=原始資料!BF299),N(BD299)+1,1))</f>
        <v/>
      </c>
      <c r="BF299" s="6">
        <f>IF(OR(原始資料!$A299="",57&gt;設定!$B$3,原始資料!BH299=""),"",IF(AND(原始資料!BG299&lt;&gt;"",原始資料!BH299=原始資料!BG299),N(BE299)+1,1))</f>
        <v/>
      </c>
      <c r="BG299" s="6">
        <f>IF(OR(原始資料!$A299="",58&gt;設定!$B$3,原始資料!BI299=""),"",IF(AND(原始資料!BH299&lt;&gt;"",原始資料!BI299=原始資料!BH299),N(BF299)+1,1))</f>
        <v/>
      </c>
      <c r="BH299" s="6">
        <f>IF(OR(原始資料!$A299="",59&gt;設定!$B$3,原始資料!BJ299=""),"",IF(AND(原始資料!BI299&lt;&gt;"",原始資料!BJ299=原始資料!BI299),N(BG299)+1,1))</f>
        <v/>
      </c>
      <c r="BI299" s="6">
        <f>IF(OR(原始資料!$A299="",60&gt;設定!$B$3,原始資料!BK299=""),"",IF(AND(原始資料!BJ299&lt;&gt;"",原始資料!BK299=原始資料!BJ299),N(BH299)+1,1))</f>
        <v/>
      </c>
    </row>
    <row r="300">
      <c r="A300" s="6">
        <f>IF(原始資料!$A300="","",原始資料!$A300)</f>
        <v/>
      </c>
      <c r="B300" s="6">
        <f>IF(OR(原始資料!$A300="",1&gt;設定!$B$3,原始資料!D300=""),"",1)</f>
        <v/>
      </c>
      <c r="C300" s="6">
        <f>IF(OR(原始資料!$A300="",2&gt;設定!$B$3,原始資料!E300=""),"",IF(AND(原始資料!D300&lt;&gt;"",原始資料!E300=原始資料!D300),N(B300)+1,1))</f>
        <v/>
      </c>
      <c r="D300" s="6">
        <f>IF(OR(原始資料!$A300="",3&gt;設定!$B$3,原始資料!F300=""),"",IF(AND(原始資料!E300&lt;&gt;"",原始資料!F300=原始資料!E300),N(C300)+1,1))</f>
        <v/>
      </c>
      <c r="E300" s="6">
        <f>IF(OR(原始資料!$A300="",4&gt;設定!$B$3,原始資料!G300=""),"",IF(AND(原始資料!F300&lt;&gt;"",原始資料!G300=原始資料!F300),N(D300)+1,1))</f>
        <v/>
      </c>
      <c r="F300" s="6">
        <f>IF(OR(原始資料!$A300="",5&gt;設定!$B$3,原始資料!H300=""),"",IF(AND(原始資料!G300&lt;&gt;"",原始資料!H300=原始資料!G300),N(E300)+1,1))</f>
        <v/>
      </c>
      <c r="G300" s="6">
        <f>IF(OR(原始資料!$A300="",6&gt;設定!$B$3,原始資料!I300=""),"",IF(AND(原始資料!H300&lt;&gt;"",原始資料!I300=原始資料!H300),N(F300)+1,1))</f>
        <v/>
      </c>
      <c r="H300" s="6">
        <f>IF(OR(原始資料!$A300="",7&gt;設定!$B$3,原始資料!J300=""),"",IF(AND(原始資料!I300&lt;&gt;"",原始資料!J300=原始資料!I300),N(G300)+1,1))</f>
        <v/>
      </c>
      <c r="I300" s="6">
        <f>IF(OR(原始資料!$A300="",8&gt;設定!$B$3,原始資料!K300=""),"",IF(AND(原始資料!J300&lt;&gt;"",原始資料!K300=原始資料!J300),N(H300)+1,1))</f>
        <v/>
      </c>
      <c r="J300" s="6">
        <f>IF(OR(原始資料!$A300="",9&gt;設定!$B$3,原始資料!L300=""),"",IF(AND(原始資料!K300&lt;&gt;"",原始資料!L300=原始資料!K300),N(I300)+1,1))</f>
        <v/>
      </c>
      <c r="K300" s="6">
        <f>IF(OR(原始資料!$A300="",10&gt;設定!$B$3,原始資料!M300=""),"",IF(AND(原始資料!L300&lt;&gt;"",原始資料!M300=原始資料!L300),N(J300)+1,1))</f>
        <v/>
      </c>
      <c r="L300" s="6">
        <f>IF(OR(原始資料!$A300="",11&gt;設定!$B$3,原始資料!N300=""),"",IF(AND(原始資料!M300&lt;&gt;"",原始資料!N300=原始資料!M300),N(K300)+1,1))</f>
        <v/>
      </c>
      <c r="M300" s="6">
        <f>IF(OR(原始資料!$A300="",12&gt;設定!$B$3,原始資料!O300=""),"",IF(AND(原始資料!N300&lt;&gt;"",原始資料!O300=原始資料!N300),N(L300)+1,1))</f>
        <v/>
      </c>
      <c r="N300" s="6">
        <f>IF(OR(原始資料!$A300="",13&gt;設定!$B$3,原始資料!P300=""),"",IF(AND(原始資料!O300&lt;&gt;"",原始資料!P300=原始資料!O300),N(M300)+1,1))</f>
        <v/>
      </c>
      <c r="O300" s="6">
        <f>IF(OR(原始資料!$A300="",14&gt;設定!$B$3,原始資料!Q300=""),"",IF(AND(原始資料!P300&lt;&gt;"",原始資料!Q300=原始資料!P300),N(N300)+1,1))</f>
        <v/>
      </c>
      <c r="P300" s="6">
        <f>IF(OR(原始資料!$A300="",15&gt;設定!$B$3,原始資料!R300=""),"",IF(AND(原始資料!Q300&lt;&gt;"",原始資料!R300=原始資料!Q300),N(O300)+1,1))</f>
        <v/>
      </c>
      <c r="Q300" s="6">
        <f>IF(OR(原始資料!$A300="",16&gt;設定!$B$3,原始資料!S300=""),"",IF(AND(原始資料!R300&lt;&gt;"",原始資料!S300=原始資料!R300),N(P300)+1,1))</f>
        <v/>
      </c>
      <c r="R300" s="6">
        <f>IF(OR(原始資料!$A300="",17&gt;設定!$B$3,原始資料!T300=""),"",IF(AND(原始資料!S300&lt;&gt;"",原始資料!T300=原始資料!S300),N(Q300)+1,1))</f>
        <v/>
      </c>
      <c r="S300" s="6">
        <f>IF(OR(原始資料!$A300="",18&gt;設定!$B$3,原始資料!U300=""),"",IF(AND(原始資料!T300&lt;&gt;"",原始資料!U300=原始資料!T300),N(R300)+1,1))</f>
        <v/>
      </c>
      <c r="T300" s="6">
        <f>IF(OR(原始資料!$A300="",19&gt;設定!$B$3,原始資料!V300=""),"",IF(AND(原始資料!U300&lt;&gt;"",原始資料!V300=原始資料!U300),N(S300)+1,1))</f>
        <v/>
      </c>
      <c r="U300" s="6">
        <f>IF(OR(原始資料!$A300="",20&gt;設定!$B$3,原始資料!W300=""),"",IF(AND(原始資料!V300&lt;&gt;"",原始資料!W300=原始資料!V300),N(T300)+1,1))</f>
        <v/>
      </c>
      <c r="V300" s="6">
        <f>IF(OR(原始資料!$A300="",21&gt;設定!$B$3,原始資料!X300=""),"",IF(AND(原始資料!W300&lt;&gt;"",原始資料!X300=原始資料!W300),N(U300)+1,1))</f>
        <v/>
      </c>
      <c r="W300" s="6">
        <f>IF(OR(原始資料!$A300="",22&gt;設定!$B$3,原始資料!Y300=""),"",IF(AND(原始資料!X300&lt;&gt;"",原始資料!Y300=原始資料!X300),N(V300)+1,1))</f>
        <v/>
      </c>
      <c r="X300" s="6">
        <f>IF(OR(原始資料!$A300="",23&gt;設定!$B$3,原始資料!Z300=""),"",IF(AND(原始資料!Y300&lt;&gt;"",原始資料!Z300=原始資料!Y300),N(W300)+1,1))</f>
        <v/>
      </c>
      <c r="Y300" s="6">
        <f>IF(OR(原始資料!$A300="",24&gt;設定!$B$3,原始資料!AA300=""),"",IF(AND(原始資料!Z300&lt;&gt;"",原始資料!AA300=原始資料!Z300),N(X300)+1,1))</f>
        <v/>
      </c>
      <c r="Z300" s="6">
        <f>IF(OR(原始資料!$A300="",25&gt;設定!$B$3,原始資料!AB300=""),"",IF(AND(原始資料!AA300&lt;&gt;"",原始資料!AB300=原始資料!AA300),N(Y300)+1,1))</f>
        <v/>
      </c>
      <c r="AA300" s="6">
        <f>IF(OR(原始資料!$A300="",26&gt;設定!$B$3,原始資料!AC300=""),"",IF(AND(原始資料!AB300&lt;&gt;"",原始資料!AC300=原始資料!AB300),N(Z300)+1,1))</f>
        <v/>
      </c>
      <c r="AB300" s="6">
        <f>IF(OR(原始資料!$A300="",27&gt;設定!$B$3,原始資料!AD300=""),"",IF(AND(原始資料!AC300&lt;&gt;"",原始資料!AD300=原始資料!AC300),N(AA300)+1,1))</f>
        <v/>
      </c>
      <c r="AC300" s="6">
        <f>IF(OR(原始資料!$A300="",28&gt;設定!$B$3,原始資料!AE300=""),"",IF(AND(原始資料!AD300&lt;&gt;"",原始資料!AE300=原始資料!AD300),N(AB300)+1,1))</f>
        <v/>
      </c>
      <c r="AD300" s="6">
        <f>IF(OR(原始資料!$A300="",29&gt;設定!$B$3,原始資料!AF300=""),"",IF(AND(原始資料!AE300&lt;&gt;"",原始資料!AF300=原始資料!AE300),N(AC300)+1,1))</f>
        <v/>
      </c>
      <c r="AE300" s="6">
        <f>IF(OR(原始資料!$A300="",30&gt;設定!$B$3,原始資料!AG300=""),"",IF(AND(原始資料!AF300&lt;&gt;"",原始資料!AG300=原始資料!AF300),N(AD300)+1,1))</f>
        <v/>
      </c>
      <c r="AF300" s="6">
        <f>IF(OR(原始資料!$A300="",31&gt;設定!$B$3,原始資料!AH300=""),"",IF(AND(原始資料!AG300&lt;&gt;"",原始資料!AH300=原始資料!AG300),N(AE300)+1,1))</f>
        <v/>
      </c>
      <c r="AG300" s="6">
        <f>IF(OR(原始資料!$A300="",32&gt;設定!$B$3,原始資料!AI300=""),"",IF(AND(原始資料!AH300&lt;&gt;"",原始資料!AI300=原始資料!AH300),N(AF300)+1,1))</f>
        <v/>
      </c>
      <c r="AH300" s="6">
        <f>IF(OR(原始資料!$A300="",33&gt;設定!$B$3,原始資料!AJ300=""),"",IF(AND(原始資料!AI300&lt;&gt;"",原始資料!AJ300=原始資料!AI300),N(AG300)+1,1))</f>
        <v/>
      </c>
      <c r="AI300" s="6">
        <f>IF(OR(原始資料!$A300="",34&gt;設定!$B$3,原始資料!AK300=""),"",IF(AND(原始資料!AJ300&lt;&gt;"",原始資料!AK300=原始資料!AJ300),N(AH300)+1,1))</f>
        <v/>
      </c>
      <c r="AJ300" s="6">
        <f>IF(OR(原始資料!$A300="",35&gt;設定!$B$3,原始資料!AL300=""),"",IF(AND(原始資料!AK300&lt;&gt;"",原始資料!AL300=原始資料!AK300),N(AI300)+1,1))</f>
        <v/>
      </c>
      <c r="AK300" s="6">
        <f>IF(OR(原始資料!$A300="",36&gt;設定!$B$3,原始資料!AM300=""),"",IF(AND(原始資料!AL300&lt;&gt;"",原始資料!AM300=原始資料!AL300),N(AJ300)+1,1))</f>
        <v/>
      </c>
      <c r="AL300" s="6">
        <f>IF(OR(原始資料!$A300="",37&gt;設定!$B$3,原始資料!AN300=""),"",IF(AND(原始資料!AM300&lt;&gt;"",原始資料!AN300=原始資料!AM300),N(AK300)+1,1))</f>
        <v/>
      </c>
      <c r="AM300" s="6">
        <f>IF(OR(原始資料!$A300="",38&gt;設定!$B$3,原始資料!AO300=""),"",IF(AND(原始資料!AN300&lt;&gt;"",原始資料!AO300=原始資料!AN300),N(AL300)+1,1))</f>
        <v/>
      </c>
      <c r="AN300" s="6">
        <f>IF(OR(原始資料!$A300="",39&gt;設定!$B$3,原始資料!AP300=""),"",IF(AND(原始資料!AO300&lt;&gt;"",原始資料!AP300=原始資料!AO300),N(AM300)+1,1))</f>
        <v/>
      </c>
      <c r="AO300" s="6">
        <f>IF(OR(原始資料!$A300="",40&gt;設定!$B$3,原始資料!AQ300=""),"",IF(AND(原始資料!AP300&lt;&gt;"",原始資料!AQ300=原始資料!AP300),N(AN300)+1,1))</f>
        <v/>
      </c>
      <c r="AP300" s="6">
        <f>IF(OR(原始資料!$A300="",41&gt;設定!$B$3,原始資料!AR300=""),"",IF(AND(原始資料!AQ300&lt;&gt;"",原始資料!AR300=原始資料!AQ300),N(AO300)+1,1))</f>
        <v/>
      </c>
      <c r="AQ300" s="6">
        <f>IF(OR(原始資料!$A300="",42&gt;設定!$B$3,原始資料!AS300=""),"",IF(AND(原始資料!AR300&lt;&gt;"",原始資料!AS300=原始資料!AR300),N(AP300)+1,1))</f>
        <v/>
      </c>
      <c r="AR300" s="6">
        <f>IF(OR(原始資料!$A300="",43&gt;設定!$B$3,原始資料!AT300=""),"",IF(AND(原始資料!AS300&lt;&gt;"",原始資料!AT300=原始資料!AS300),N(AQ300)+1,1))</f>
        <v/>
      </c>
      <c r="AS300" s="6">
        <f>IF(OR(原始資料!$A300="",44&gt;設定!$B$3,原始資料!AU300=""),"",IF(AND(原始資料!AT300&lt;&gt;"",原始資料!AU300=原始資料!AT300),N(AR300)+1,1))</f>
        <v/>
      </c>
      <c r="AT300" s="6">
        <f>IF(OR(原始資料!$A300="",45&gt;設定!$B$3,原始資料!AV300=""),"",IF(AND(原始資料!AU300&lt;&gt;"",原始資料!AV300=原始資料!AU300),N(AS300)+1,1))</f>
        <v/>
      </c>
      <c r="AU300" s="6">
        <f>IF(OR(原始資料!$A300="",46&gt;設定!$B$3,原始資料!AW300=""),"",IF(AND(原始資料!AV300&lt;&gt;"",原始資料!AW300=原始資料!AV300),N(AT300)+1,1))</f>
        <v/>
      </c>
      <c r="AV300" s="6">
        <f>IF(OR(原始資料!$A300="",47&gt;設定!$B$3,原始資料!AX300=""),"",IF(AND(原始資料!AW300&lt;&gt;"",原始資料!AX300=原始資料!AW300),N(AU300)+1,1))</f>
        <v/>
      </c>
      <c r="AW300" s="6">
        <f>IF(OR(原始資料!$A300="",48&gt;設定!$B$3,原始資料!AY300=""),"",IF(AND(原始資料!AX300&lt;&gt;"",原始資料!AY300=原始資料!AX300),N(AV300)+1,1))</f>
        <v/>
      </c>
      <c r="AX300" s="6">
        <f>IF(OR(原始資料!$A300="",49&gt;設定!$B$3,原始資料!AZ300=""),"",IF(AND(原始資料!AY300&lt;&gt;"",原始資料!AZ300=原始資料!AY300),N(AW300)+1,1))</f>
        <v/>
      </c>
      <c r="AY300" s="6">
        <f>IF(OR(原始資料!$A300="",50&gt;設定!$B$3,原始資料!BA300=""),"",IF(AND(原始資料!AZ300&lt;&gt;"",原始資料!BA300=原始資料!AZ300),N(AX300)+1,1))</f>
        <v/>
      </c>
      <c r="AZ300" s="6">
        <f>IF(OR(原始資料!$A300="",51&gt;設定!$B$3,原始資料!BB300=""),"",IF(AND(原始資料!BA300&lt;&gt;"",原始資料!BB300=原始資料!BA300),N(AY300)+1,1))</f>
        <v/>
      </c>
      <c r="BA300" s="6">
        <f>IF(OR(原始資料!$A300="",52&gt;設定!$B$3,原始資料!BC300=""),"",IF(AND(原始資料!BB300&lt;&gt;"",原始資料!BC300=原始資料!BB300),N(AZ300)+1,1))</f>
        <v/>
      </c>
      <c r="BB300" s="6">
        <f>IF(OR(原始資料!$A300="",53&gt;設定!$B$3,原始資料!BD300=""),"",IF(AND(原始資料!BC300&lt;&gt;"",原始資料!BD300=原始資料!BC300),N(BA300)+1,1))</f>
        <v/>
      </c>
      <c r="BC300" s="6">
        <f>IF(OR(原始資料!$A300="",54&gt;設定!$B$3,原始資料!BE300=""),"",IF(AND(原始資料!BD300&lt;&gt;"",原始資料!BE300=原始資料!BD300),N(BB300)+1,1))</f>
        <v/>
      </c>
      <c r="BD300" s="6">
        <f>IF(OR(原始資料!$A300="",55&gt;設定!$B$3,原始資料!BF300=""),"",IF(AND(原始資料!BE300&lt;&gt;"",原始資料!BF300=原始資料!BE300),N(BC300)+1,1))</f>
        <v/>
      </c>
      <c r="BE300" s="6">
        <f>IF(OR(原始資料!$A300="",56&gt;設定!$B$3,原始資料!BG300=""),"",IF(AND(原始資料!BF300&lt;&gt;"",原始資料!BG300=原始資料!BF300),N(BD300)+1,1))</f>
        <v/>
      </c>
      <c r="BF300" s="6">
        <f>IF(OR(原始資料!$A300="",57&gt;設定!$B$3,原始資料!BH300=""),"",IF(AND(原始資料!BG300&lt;&gt;"",原始資料!BH300=原始資料!BG300),N(BE300)+1,1))</f>
        <v/>
      </c>
      <c r="BG300" s="6">
        <f>IF(OR(原始資料!$A300="",58&gt;設定!$B$3,原始資料!BI300=""),"",IF(AND(原始資料!BH300&lt;&gt;"",原始資料!BI300=原始資料!BH300),N(BF300)+1,1))</f>
        <v/>
      </c>
      <c r="BH300" s="6">
        <f>IF(OR(原始資料!$A300="",59&gt;設定!$B$3,原始資料!BJ300=""),"",IF(AND(原始資料!BI300&lt;&gt;"",原始資料!BJ300=原始資料!BI300),N(BG300)+1,1))</f>
        <v/>
      </c>
      <c r="BI300" s="6">
        <f>IF(OR(原始資料!$A300="",60&gt;設定!$B$3,原始資料!BK300=""),"",IF(AND(原始資料!BJ300&lt;&gt;"",原始資料!BK300=原始資料!BJ300),N(BH300)+1,1))</f>
        <v/>
      </c>
    </row>
    <row r="301">
      <c r="A301" s="6">
        <f>IF(原始資料!$A301="","",原始資料!$A301)</f>
        <v/>
      </c>
      <c r="B301" s="6">
        <f>IF(OR(原始資料!$A301="",1&gt;設定!$B$3,原始資料!D301=""),"",1)</f>
        <v/>
      </c>
      <c r="C301" s="6">
        <f>IF(OR(原始資料!$A301="",2&gt;設定!$B$3,原始資料!E301=""),"",IF(AND(原始資料!D301&lt;&gt;"",原始資料!E301=原始資料!D301),N(B301)+1,1))</f>
        <v/>
      </c>
      <c r="D301" s="6">
        <f>IF(OR(原始資料!$A301="",3&gt;設定!$B$3,原始資料!F301=""),"",IF(AND(原始資料!E301&lt;&gt;"",原始資料!F301=原始資料!E301),N(C301)+1,1))</f>
        <v/>
      </c>
      <c r="E301" s="6">
        <f>IF(OR(原始資料!$A301="",4&gt;設定!$B$3,原始資料!G301=""),"",IF(AND(原始資料!F301&lt;&gt;"",原始資料!G301=原始資料!F301),N(D301)+1,1))</f>
        <v/>
      </c>
      <c r="F301" s="6">
        <f>IF(OR(原始資料!$A301="",5&gt;設定!$B$3,原始資料!H301=""),"",IF(AND(原始資料!G301&lt;&gt;"",原始資料!H301=原始資料!G301),N(E301)+1,1))</f>
        <v/>
      </c>
      <c r="G301" s="6">
        <f>IF(OR(原始資料!$A301="",6&gt;設定!$B$3,原始資料!I301=""),"",IF(AND(原始資料!H301&lt;&gt;"",原始資料!I301=原始資料!H301),N(F301)+1,1))</f>
        <v/>
      </c>
      <c r="H301" s="6">
        <f>IF(OR(原始資料!$A301="",7&gt;設定!$B$3,原始資料!J301=""),"",IF(AND(原始資料!I301&lt;&gt;"",原始資料!J301=原始資料!I301),N(G301)+1,1))</f>
        <v/>
      </c>
      <c r="I301" s="6">
        <f>IF(OR(原始資料!$A301="",8&gt;設定!$B$3,原始資料!K301=""),"",IF(AND(原始資料!J301&lt;&gt;"",原始資料!K301=原始資料!J301),N(H301)+1,1))</f>
        <v/>
      </c>
      <c r="J301" s="6">
        <f>IF(OR(原始資料!$A301="",9&gt;設定!$B$3,原始資料!L301=""),"",IF(AND(原始資料!K301&lt;&gt;"",原始資料!L301=原始資料!K301),N(I301)+1,1))</f>
        <v/>
      </c>
      <c r="K301" s="6">
        <f>IF(OR(原始資料!$A301="",10&gt;設定!$B$3,原始資料!M301=""),"",IF(AND(原始資料!L301&lt;&gt;"",原始資料!M301=原始資料!L301),N(J301)+1,1))</f>
        <v/>
      </c>
      <c r="L301" s="6">
        <f>IF(OR(原始資料!$A301="",11&gt;設定!$B$3,原始資料!N301=""),"",IF(AND(原始資料!M301&lt;&gt;"",原始資料!N301=原始資料!M301),N(K301)+1,1))</f>
        <v/>
      </c>
      <c r="M301" s="6">
        <f>IF(OR(原始資料!$A301="",12&gt;設定!$B$3,原始資料!O301=""),"",IF(AND(原始資料!N301&lt;&gt;"",原始資料!O301=原始資料!N301),N(L301)+1,1))</f>
        <v/>
      </c>
      <c r="N301" s="6">
        <f>IF(OR(原始資料!$A301="",13&gt;設定!$B$3,原始資料!P301=""),"",IF(AND(原始資料!O301&lt;&gt;"",原始資料!P301=原始資料!O301),N(M301)+1,1))</f>
        <v/>
      </c>
      <c r="O301" s="6">
        <f>IF(OR(原始資料!$A301="",14&gt;設定!$B$3,原始資料!Q301=""),"",IF(AND(原始資料!P301&lt;&gt;"",原始資料!Q301=原始資料!P301),N(N301)+1,1))</f>
        <v/>
      </c>
      <c r="P301" s="6">
        <f>IF(OR(原始資料!$A301="",15&gt;設定!$B$3,原始資料!R301=""),"",IF(AND(原始資料!Q301&lt;&gt;"",原始資料!R301=原始資料!Q301),N(O301)+1,1))</f>
        <v/>
      </c>
      <c r="Q301" s="6">
        <f>IF(OR(原始資料!$A301="",16&gt;設定!$B$3,原始資料!S301=""),"",IF(AND(原始資料!R301&lt;&gt;"",原始資料!S301=原始資料!R301),N(P301)+1,1))</f>
        <v/>
      </c>
      <c r="R301" s="6">
        <f>IF(OR(原始資料!$A301="",17&gt;設定!$B$3,原始資料!T301=""),"",IF(AND(原始資料!S301&lt;&gt;"",原始資料!T301=原始資料!S301),N(Q301)+1,1))</f>
        <v/>
      </c>
      <c r="S301" s="6">
        <f>IF(OR(原始資料!$A301="",18&gt;設定!$B$3,原始資料!U301=""),"",IF(AND(原始資料!T301&lt;&gt;"",原始資料!U301=原始資料!T301),N(R301)+1,1))</f>
        <v/>
      </c>
      <c r="T301" s="6">
        <f>IF(OR(原始資料!$A301="",19&gt;設定!$B$3,原始資料!V301=""),"",IF(AND(原始資料!U301&lt;&gt;"",原始資料!V301=原始資料!U301),N(S301)+1,1))</f>
        <v/>
      </c>
      <c r="U301" s="6">
        <f>IF(OR(原始資料!$A301="",20&gt;設定!$B$3,原始資料!W301=""),"",IF(AND(原始資料!V301&lt;&gt;"",原始資料!W301=原始資料!V301),N(T301)+1,1))</f>
        <v/>
      </c>
      <c r="V301" s="6">
        <f>IF(OR(原始資料!$A301="",21&gt;設定!$B$3,原始資料!X301=""),"",IF(AND(原始資料!W301&lt;&gt;"",原始資料!X301=原始資料!W301),N(U301)+1,1))</f>
        <v/>
      </c>
      <c r="W301" s="6">
        <f>IF(OR(原始資料!$A301="",22&gt;設定!$B$3,原始資料!Y301=""),"",IF(AND(原始資料!X301&lt;&gt;"",原始資料!Y301=原始資料!X301),N(V301)+1,1))</f>
        <v/>
      </c>
      <c r="X301" s="6">
        <f>IF(OR(原始資料!$A301="",23&gt;設定!$B$3,原始資料!Z301=""),"",IF(AND(原始資料!Y301&lt;&gt;"",原始資料!Z301=原始資料!Y301),N(W301)+1,1))</f>
        <v/>
      </c>
      <c r="Y301" s="6">
        <f>IF(OR(原始資料!$A301="",24&gt;設定!$B$3,原始資料!AA301=""),"",IF(AND(原始資料!Z301&lt;&gt;"",原始資料!AA301=原始資料!Z301),N(X301)+1,1))</f>
        <v/>
      </c>
      <c r="Z301" s="6">
        <f>IF(OR(原始資料!$A301="",25&gt;設定!$B$3,原始資料!AB301=""),"",IF(AND(原始資料!AA301&lt;&gt;"",原始資料!AB301=原始資料!AA301),N(Y301)+1,1))</f>
        <v/>
      </c>
      <c r="AA301" s="6">
        <f>IF(OR(原始資料!$A301="",26&gt;設定!$B$3,原始資料!AC301=""),"",IF(AND(原始資料!AB301&lt;&gt;"",原始資料!AC301=原始資料!AB301),N(Z301)+1,1))</f>
        <v/>
      </c>
      <c r="AB301" s="6">
        <f>IF(OR(原始資料!$A301="",27&gt;設定!$B$3,原始資料!AD301=""),"",IF(AND(原始資料!AC301&lt;&gt;"",原始資料!AD301=原始資料!AC301),N(AA301)+1,1))</f>
        <v/>
      </c>
      <c r="AC301" s="6">
        <f>IF(OR(原始資料!$A301="",28&gt;設定!$B$3,原始資料!AE301=""),"",IF(AND(原始資料!AD301&lt;&gt;"",原始資料!AE301=原始資料!AD301),N(AB301)+1,1))</f>
        <v/>
      </c>
      <c r="AD301" s="6">
        <f>IF(OR(原始資料!$A301="",29&gt;設定!$B$3,原始資料!AF301=""),"",IF(AND(原始資料!AE301&lt;&gt;"",原始資料!AF301=原始資料!AE301),N(AC301)+1,1))</f>
        <v/>
      </c>
      <c r="AE301" s="6">
        <f>IF(OR(原始資料!$A301="",30&gt;設定!$B$3,原始資料!AG301=""),"",IF(AND(原始資料!AF301&lt;&gt;"",原始資料!AG301=原始資料!AF301),N(AD301)+1,1))</f>
        <v/>
      </c>
      <c r="AF301" s="6">
        <f>IF(OR(原始資料!$A301="",31&gt;設定!$B$3,原始資料!AH301=""),"",IF(AND(原始資料!AG301&lt;&gt;"",原始資料!AH301=原始資料!AG301),N(AE301)+1,1))</f>
        <v/>
      </c>
      <c r="AG301" s="6">
        <f>IF(OR(原始資料!$A301="",32&gt;設定!$B$3,原始資料!AI301=""),"",IF(AND(原始資料!AH301&lt;&gt;"",原始資料!AI301=原始資料!AH301),N(AF301)+1,1))</f>
        <v/>
      </c>
      <c r="AH301" s="6">
        <f>IF(OR(原始資料!$A301="",33&gt;設定!$B$3,原始資料!AJ301=""),"",IF(AND(原始資料!AI301&lt;&gt;"",原始資料!AJ301=原始資料!AI301),N(AG301)+1,1))</f>
        <v/>
      </c>
      <c r="AI301" s="6">
        <f>IF(OR(原始資料!$A301="",34&gt;設定!$B$3,原始資料!AK301=""),"",IF(AND(原始資料!AJ301&lt;&gt;"",原始資料!AK301=原始資料!AJ301),N(AH301)+1,1))</f>
        <v/>
      </c>
      <c r="AJ301" s="6">
        <f>IF(OR(原始資料!$A301="",35&gt;設定!$B$3,原始資料!AL301=""),"",IF(AND(原始資料!AK301&lt;&gt;"",原始資料!AL301=原始資料!AK301),N(AI301)+1,1))</f>
        <v/>
      </c>
      <c r="AK301" s="6">
        <f>IF(OR(原始資料!$A301="",36&gt;設定!$B$3,原始資料!AM301=""),"",IF(AND(原始資料!AL301&lt;&gt;"",原始資料!AM301=原始資料!AL301),N(AJ301)+1,1))</f>
        <v/>
      </c>
      <c r="AL301" s="6">
        <f>IF(OR(原始資料!$A301="",37&gt;設定!$B$3,原始資料!AN301=""),"",IF(AND(原始資料!AM301&lt;&gt;"",原始資料!AN301=原始資料!AM301),N(AK301)+1,1))</f>
        <v/>
      </c>
      <c r="AM301" s="6">
        <f>IF(OR(原始資料!$A301="",38&gt;設定!$B$3,原始資料!AO301=""),"",IF(AND(原始資料!AN301&lt;&gt;"",原始資料!AO301=原始資料!AN301),N(AL301)+1,1))</f>
        <v/>
      </c>
      <c r="AN301" s="6">
        <f>IF(OR(原始資料!$A301="",39&gt;設定!$B$3,原始資料!AP301=""),"",IF(AND(原始資料!AO301&lt;&gt;"",原始資料!AP301=原始資料!AO301),N(AM301)+1,1))</f>
        <v/>
      </c>
      <c r="AO301" s="6">
        <f>IF(OR(原始資料!$A301="",40&gt;設定!$B$3,原始資料!AQ301=""),"",IF(AND(原始資料!AP301&lt;&gt;"",原始資料!AQ301=原始資料!AP301),N(AN301)+1,1))</f>
        <v/>
      </c>
      <c r="AP301" s="6">
        <f>IF(OR(原始資料!$A301="",41&gt;設定!$B$3,原始資料!AR301=""),"",IF(AND(原始資料!AQ301&lt;&gt;"",原始資料!AR301=原始資料!AQ301),N(AO301)+1,1))</f>
        <v/>
      </c>
      <c r="AQ301" s="6">
        <f>IF(OR(原始資料!$A301="",42&gt;設定!$B$3,原始資料!AS301=""),"",IF(AND(原始資料!AR301&lt;&gt;"",原始資料!AS301=原始資料!AR301),N(AP301)+1,1))</f>
        <v/>
      </c>
      <c r="AR301" s="6">
        <f>IF(OR(原始資料!$A301="",43&gt;設定!$B$3,原始資料!AT301=""),"",IF(AND(原始資料!AS301&lt;&gt;"",原始資料!AT301=原始資料!AS301),N(AQ301)+1,1))</f>
        <v/>
      </c>
      <c r="AS301" s="6">
        <f>IF(OR(原始資料!$A301="",44&gt;設定!$B$3,原始資料!AU301=""),"",IF(AND(原始資料!AT301&lt;&gt;"",原始資料!AU301=原始資料!AT301),N(AR301)+1,1))</f>
        <v/>
      </c>
      <c r="AT301" s="6">
        <f>IF(OR(原始資料!$A301="",45&gt;設定!$B$3,原始資料!AV301=""),"",IF(AND(原始資料!AU301&lt;&gt;"",原始資料!AV301=原始資料!AU301),N(AS301)+1,1))</f>
        <v/>
      </c>
      <c r="AU301" s="6">
        <f>IF(OR(原始資料!$A301="",46&gt;設定!$B$3,原始資料!AW301=""),"",IF(AND(原始資料!AV301&lt;&gt;"",原始資料!AW301=原始資料!AV301),N(AT301)+1,1))</f>
        <v/>
      </c>
      <c r="AV301" s="6">
        <f>IF(OR(原始資料!$A301="",47&gt;設定!$B$3,原始資料!AX301=""),"",IF(AND(原始資料!AW301&lt;&gt;"",原始資料!AX301=原始資料!AW301),N(AU301)+1,1))</f>
        <v/>
      </c>
      <c r="AW301" s="6">
        <f>IF(OR(原始資料!$A301="",48&gt;設定!$B$3,原始資料!AY301=""),"",IF(AND(原始資料!AX301&lt;&gt;"",原始資料!AY301=原始資料!AX301),N(AV301)+1,1))</f>
        <v/>
      </c>
      <c r="AX301" s="6">
        <f>IF(OR(原始資料!$A301="",49&gt;設定!$B$3,原始資料!AZ301=""),"",IF(AND(原始資料!AY301&lt;&gt;"",原始資料!AZ301=原始資料!AY301),N(AW301)+1,1))</f>
        <v/>
      </c>
      <c r="AY301" s="6">
        <f>IF(OR(原始資料!$A301="",50&gt;設定!$B$3,原始資料!BA301=""),"",IF(AND(原始資料!AZ301&lt;&gt;"",原始資料!BA301=原始資料!AZ301),N(AX301)+1,1))</f>
        <v/>
      </c>
      <c r="AZ301" s="6">
        <f>IF(OR(原始資料!$A301="",51&gt;設定!$B$3,原始資料!BB301=""),"",IF(AND(原始資料!BA301&lt;&gt;"",原始資料!BB301=原始資料!BA301),N(AY301)+1,1))</f>
        <v/>
      </c>
      <c r="BA301" s="6">
        <f>IF(OR(原始資料!$A301="",52&gt;設定!$B$3,原始資料!BC301=""),"",IF(AND(原始資料!BB301&lt;&gt;"",原始資料!BC301=原始資料!BB301),N(AZ301)+1,1))</f>
        <v/>
      </c>
      <c r="BB301" s="6">
        <f>IF(OR(原始資料!$A301="",53&gt;設定!$B$3,原始資料!BD301=""),"",IF(AND(原始資料!BC301&lt;&gt;"",原始資料!BD301=原始資料!BC301),N(BA301)+1,1))</f>
        <v/>
      </c>
      <c r="BC301" s="6">
        <f>IF(OR(原始資料!$A301="",54&gt;設定!$B$3,原始資料!BE301=""),"",IF(AND(原始資料!BD301&lt;&gt;"",原始資料!BE301=原始資料!BD301),N(BB301)+1,1))</f>
        <v/>
      </c>
      <c r="BD301" s="6">
        <f>IF(OR(原始資料!$A301="",55&gt;設定!$B$3,原始資料!BF301=""),"",IF(AND(原始資料!BE301&lt;&gt;"",原始資料!BF301=原始資料!BE301),N(BC301)+1,1))</f>
        <v/>
      </c>
      <c r="BE301" s="6">
        <f>IF(OR(原始資料!$A301="",56&gt;設定!$B$3,原始資料!BG301=""),"",IF(AND(原始資料!BF301&lt;&gt;"",原始資料!BG301=原始資料!BF301),N(BD301)+1,1))</f>
        <v/>
      </c>
      <c r="BF301" s="6">
        <f>IF(OR(原始資料!$A301="",57&gt;設定!$B$3,原始資料!BH301=""),"",IF(AND(原始資料!BG301&lt;&gt;"",原始資料!BH301=原始資料!BG301),N(BE301)+1,1))</f>
        <v/>
      </c>
      <c r="BG301" s="6">
        <f>IF(OR(原始資料!$A301="",58&gt;設定!$B$3,原始資料!BI301=""),"",IF(AND(原始資料!BH301&lt;&gt;"",原始資料!BI301=原始資料!BH301),N(BF301)+1,1))</f>
        <v/>
      </c>
      <c r="BH301" s="6">
        <f>IF(OR(原始資料!$A301="",59&gt;設定!$B$3,原始資料!BJ301=""),"",IF(AND(原始資料!BI301&lt;&gt;"",原始資料!BJ301=原始資料!BI301),N(BG301)+1,1))</f>
        <v/>
      </c>
      <c r="BI301" s="6">
        <f>IF(OR(原始資料!$A301="",60&gt;設定!$B$3,原始資料!BK301=""),"",IF(AND(原始資料!BJ301&lt;&gt;"",原始資料!BK301=原始資料!BJ301),N(BH301)+1,1))</f>
        <v/>
      </c>
    </row>
    <row r="302">
      <c r="A302" s="6">
        <f>IF(原始資料!$A302="","",原始資料!$A302)</f>
        <v/>
      </c>
      <c r="B302" s="6">
        <f>IF(OR(原始資料!$A302="",1&gt;設定!$B$3,原始資料!D302=""),"",1)</f>
        <v/>
      </c>
      <c r="C302" s="6">
        <f>IF(OR(原始資料!$A302="",2&gt;設定!$B$3,原始資料!E302=""),"",IF(AND(原始資料!D302&lt;&gt;"",原始資料!E302=原始資料!D302),N(B302)+1,1))</f>
        <v/>
      </c>
      <c r="D302" s="6">
        <f>IF(OR(原始資料!$A302="",3&gt;設定!$B$3,原始資料!F302=""),"",IF(AND(原始資料!E302&lt;&gt;"",原始資料!F302=原始資料!E302),N(C302)+1,1))</f>
        <v/>
      </c>
      <c r="E302" s="6">
        <f>IF(OR(原始資料!$A302="",4&gt;設定!$B$3,原始資料!G302=""),"",IF(AND(原始資料!F302&lt;&gt;"",原始資料!G302=原始資料!F302),N(D302)+1,1))</f>
        <v/>
      </c>
      <c r="F302" s="6">
        <f>IF(OR(原始資料!$A302="",5&gt;設定!$B$3,原始資料!H302=""),"",IF(AND(原始資料!G302&lt;&gt;"",原始資料!H302=原始資料!G302),N(E302)+1,1))</f>
        <v/>
      </c>
      <c r="G302" s="6">
        <f>IF(OR(原始資料!$A302="",6&gt;設定!$B$3,原始資料!I302=""),"",IF(AND(原始資料!H302&lt;&gt;"",原始資料!I302=原始資料!H302),N(F302)+1,1))</f>
        <v/>
      </c>
      <c r="H302" s="6">
        <f>IF(OR(原始資料!$A302="",7&gt;設定!$B$3,原始資料!J302=""),"",IF(AND(原始資料!I302&lt;&gt;"",原始資料!J302=原始資料!I302),N(G302)+1,1))</f>
        <v/>
      </c>
      <c r="I302" s="6">
        <f>IF(OR(原始資料!$A302="",8&gt;設定!$B$3,原始資料!K302=""),"",IF(AND(原始資料!J302&lt;&gt;"",原始資料!K302=原始資料!J302),N(H302)+1,1))</f>
        <v/>
      </c>
      <c r="J302" s="6">
        <f>IF(OR(原始資料!$A302="",9&gt;設定!$B$3,原始資料!L302=""),"",IF(AND(原始資料!K302&lt;&gt;"",原始資料!L302=原始資料!K302),N(I302)+1,1))</f>
        <v/>
      </c>
      <c r="K302" s="6">
        <f>IF(OR(原始資料!$A302="",10&gt;設定!$B$3,原始資料!M302=""),"",IF(AND(原始資料!L302&lt;&gt;"",原始資料!M302=原始資料!L302),N(J302)+1,1))</f>
        <v/>
      </c>
      <c r="L302" s="6">
        <f>IF(OR(原始資料!$A302="",11&gt;設定!$B$3,原始資料!N302=""),"",IF(AND(原始資料!M302&lt;&gt;"",原始資料!N302=原始資料!M302),N(K302)+1,1))</f>
        <v/>
      </c>
      <c r="M302" s="6">
        <f>IF(OR(原始資料!$A302="",12&gt;設定!$B$3,原始資料!O302=""),"",IF(AND(原始資料!N302&lt;&gt;"",原始資料!O302=原始資料!N302),N(L302)+1,1))</f>
        <v/>
      </c>
      <c r="N302" s="6">
        <f>IF(OR(原始資料!$A302="",13&gt;設定!$B$3,原始資料!P302=""),"",IF(AND(原始資料!O302&lt;&gt;"",原始資料!P302=原始資料!O302),N(M302)+1,1))</f>
        <v/>
      </c>
      <c r="O302" s="6">
        <f>IF(OR(原始資料!$A302="",14&gt;設定!$B$3,原始資料!Q302=""),"",IF(AND(原始資料!P302&lt;&gt;"",原始資料!Q302=原始資料!P302),N(N302)+1,1))</f>
        <v/>
      </c>
      <c r="P302" s="6">
        <f>IF(OR(原始資料!$A302="",15&gt;設定!$B$3,原始資料!R302=""),"",IF(AND(原始資料!Q302&lt;&gt;"",原始資料!R302=原始資料!Q302),N(O302)+1,1))</f>
        <v/>
      </c>
      <c r="Q302" s="6">
        <f>IF(OR(原始資料!$A302="",16&gt;設定!$B$3,原始資料!S302=""),"",IF(AND(原始資料!R302&lt;&gt;"",原始資料!S302=原始資料!R302),N(P302)+1,1))</f>
        <v/>
      </c>
      <c r="R302" s="6">
        <f>IF(OR(原始資料!$A302="",17&gt;設定!$B$3,原始資料!T302=""),"",IF(AND(原始資料!S302&lt;&gt;"",原始資料!T302=原始資料!S302),N(Q302)+1,1))</f>
        <v/>
      </c>
      <c r="S302" s="6">
        <f>IF(OR(原始資料!$A302="",18&gt;設定!$B$3,原始資料!U302=""),"",IF(AND(原始資料!T302&lt;&gt;"",原始資料!U302=原始資料!T302),N(R302)+1,1))</f>
        <v/>
      </c>
      <c r="T302" s="6">
        <f>IF(OR(原始資料!$A302="",19&gt;設定!$B$3,原始資料!V302=""),"",IF(AND(原始資料!U302&lt;&gt;"",原始資料!V302=原始資料!U302),N(S302)+1,1))</f>
        <v/>
      </c>
      <c r="U302" s="6">
        <f>IF(OR(原始資料!$A302="",20&gt;設定!$B$3,原始資料!W302=""),"",IF(AND(原始資料!V302&lt;&gt;"",原始資料!W302=原始資料!V302),N(T302)+1,1))</f>
        <v/>
      </c>
      <c r="V302" s="6">
        <f>IF(OR(原始資料!$A302="",21&gt;設定!$B$3,原始資料!X302=""),"",IF(AND(原始資料!W302&lt;&gt;"",原始資料!X302=原始資料!W302),N(U302)+1,1))</f>
        <v/>
      </c>
      <c r="W302" s="6">
        <f>IF(OR(原始資料!$A302="",22&gt;設定!$B$3,原始資料!Y302=""),"",IF(AND(原始資料!X302&lt;&gt;"",原始資料!Y302=原始資料!X302),N(V302)+1,1))</f>
        <v/>
      </c>
      <c r="X302" s="6">
        <f>IF(OR(原始資料!$A302="",23&gt;設定!$B$3,原始資料!Z302=""),"",IF(AND(原始資料!Y302&lt;&gt;"",原始資料!Z302=原始資料!Y302),N(W302)+1,1))</f>
        <v/>
      </c>
      <c r="Y302" s="6">
        <f>IF(OR(原始資料!$A302="",24&gt;設定!$B$3,原始資料!AA302=""),"",IF(AND(原始資料!Z302&lt;&gt;"",原始資料!AA302=原始資料!Z302),N(X302)+1,1))</f>
        <v/>
      </c>
      <c r="Z302" s="6">
        <f>IF(OR(原始資料!$A302="",25&gt;設定!$B$3,原始資料!AB302=""),"",IF(AND(原始資料!AA302&lt;&gt;"",原始資料!AB302=原始資料!AA302),N(Y302)+1,1))</f>
        <v/>
      </c>
      <c r="AA302" s="6">
        <f>IF(OR(原始資料!$A302="",26&gt;設定!$B$3,原始資料!AC302=""),"",IF(AND(原始資料!AB302&lt;&gt;"",原始資料!AC302=原始資料!AB302),N(Z302)+1,1))</f>
        <v/>
      </c>
      <c r="AB302" s="6">
        <f>IF(OR(原始資料!$A302="",27&gt;設定!$B$3,原始資料!AD302=""),"",IF(AND(原始資料!AC302&lt;&gt;"",原始資料!AD302=原始資料!AC302),N(AA302)+1,1))</f>
        <v/>
      </c>
      <c r="AC302" s="6">
        <f>IF(OR(原始資料!$A302="",28&gt;設定!$B$3,原始資料!AE302=""),"",IF(AND(原始資料!AD302&lt;&gt;"",原始資料!AE302=原始資料!AD302),N(AB302)+1,1))</f>
        <v/>
      </c>
      <c r="AD302" s="6">
        <f>IF(OR(原始資料!$A302="",29&gt;設定!$B$3,原始資料!AF302=""),"",IF(AND(原始資料!AE302&lt;&gt;"",原始資料!AF302=原始資料!AE302),N(AC302)+1,1))</f>
        <v/>
      </c>
      <c r="AE302" s="6">
        <f>IF(OR(原始資料!$A302="",30&gt;設定!$B$3,原始資料!AG302=""),"",IF(AND(原始資料!AF302&lt;&gt;"",原始資料!AG302=原始資料!AF302),N(AD302)+1,1))</f>
        <v/>
      </c>
      <c r="AF302" s="6">
        <f>IF(OR(原始資料!$A302="",31&gt;設定!$B$3,原始資料!AH302=""),"",IF(AND(原始資料!AG302&lt;&gt;"",原始資料!AH302=原始資料!AG302),N(AE302)+1,1))</f>
        <v/>
      </c>
      <c r="AG302" s="6">
        <f>IF(OR(原始資料!$A302="",32&gt;設定!$B$3,原始資料!AI302=""),"",IF(AND(原始資料!AH302&lt;&gt;"",原始資料!AI302=原始資料!AH302),N(AF302)+1,1))</f>
        <v/>
      </c>
      <c r="AH302" s="6">
        <f>IF(OR(原始資料!$A302="",33&gt;設定!$B$3,原始資料!AJ302=""),"",IF(AND(原始資料!AI302&lt;&gt;"",原始資料!AJ302=原始資料!AI302),N(AG302)+1,1))</f>
        <v/>
      </c>
      <c r="AI302" s="6">
        <f>IF(OR(原始資料!$A302="",34&gt;設定!$B$3,原始資料!AK302=""),"",IF(AND(原始資料!AJ302&lt;&gt;"",原始資料!AK302=原始資料!AJ302),N(AH302)+1,1))</f>
        <v/>
      </c>
      <c r="AJ302" s="6">
        <f>IF(OR(原始資料!$A302="",35&gt;設定!$B$3,原始資料!AL302=""),"",IF(AND(原始資料!AK302&lt;&gt;"",原始資料!AL302=原始資料!AK302),N(AI302)+1,1))</f>
        <v/>
      </c>
      <c r="AK302" s="6">
        <f>IF(OR(原始資料!$A302="",36&gt;設定!$B$3,原始資料!AM302=""),"",IF(AND(原始資料!AL302&lt;&gt;"",原始資料!AM302=原始資料!AL302),N(AJ302)+1,1))</f>
        <v/>
      </c>
      <c r="AL302" s="6">
        <f>IF(OR(原始資料!$A302="",37&gt;設定!$B$3,原始資料!AN302=""),"",IF(AND(原始資料!AM302&lt;&gt;"",原始資料!AN302=原始資料!AM302),N(AK302)+1,1))</f>
        <v/>
      </c>
      <c r="AM302" s="6">
        <f>IF(OR(原始資料!$A302="",38&gt;設定!$B$3,原始資料!AO302=""),"",IF(AND(原始資料!AN302&lt;&gt;"",原始資料!AO302=原始資料!AN302),N(AL302)+1,1))</f>
        <v/>
      </c>
      <c r="AN302" s="6">
        <f>IF(OR(原始資料!$A302="",39&gt;設定!$B$3,原始資料!AP302=""),"",IF(AND(原始資料!AO302&lt;&gt;"",原始資料!AP302=原始資料!AO302),N(AM302)+1,1))</f>
        <v/>
      </c>
      <c r="AO302" s="6">
        <f>IF(OR(原始資料!$A302="",40&gt;設定!$B$3,原始資料!AQ302=""),"",IF(AND(原始資料!AP302&lt;&gt;"",原始資料!AQ302=原始資料!AP302),N(AN302)+1,1))</f>
        <v/>
      </c>
      <c r="AP302" s="6">
        <f>IF(OR(原始資料!$A302="",41&gt;設定!$B$3,原始資料!AR302=""),"",IF(AND(原始資料!AQ302&lt;&gt;"",原始資料!AR302=原始資料!AQ302),N(AO302)+1,1))</f>
        <v/>
      </c>
      <c r="AQ302" s="6">
        <f>IF(OR(原始資料!$A302="",42&gt;設定!$B$3,原始資料!AS302=""),"",IF(AND(原始資料!AR302&lt;&gt;"",原始資料!AS302=原始資料!AR302),N(AP302)+1,1))</f>
        <v/>
      </c>
      <c r="AR302" s="6">
        <f>IF(OR(原始資料!$A302="",43&gt;設定!$B$3,原始資料!AT302=""),"",IF(AND(原始資料!AS302&lt;&gt;"",原始資料!AT302=原始資料!AS302),N(AQ302)+1,1))</f>
        <v/>
      </c>
      <c r="AS302" s="6">
        <f>IF(OR(原始資料!$A302="",44&gt;設定!$B$3,原始資料!AU302=""),"",IF(AND(原始資料!AT302&lt;&gt;"",原始資料!AU302=原始資料!AT302),N(AR302)+1,1))</f>
        <v/>
      </c>
      <c r="AT302" s="6">
        <f>IF(OR(原始資料!$A302="",45&gt;設定!$B$3,原始資料!AV302=""),"",IF(AND(原始資料!AU302&lt;&gt;"",原始資料!AV302=原始資料!AU302),N(AS302)+1,1))</f>
        <v/>
      </c>
      <c r="AU302" s="6">
        <f>IF(OR(原始資料!$A302="",46&gt;設定!$B$3,原始資料!AW302=""),"",IF(AND(原始資料!AV302&lt;&gt;"",原始資料!AW302=原始資料!AV302),N(AT302)+1,1))</f>
        <v/>
      </c>
      <c r="AV302" s="6">
        <f>IF(OR(原始資料!$A302="",47&gt;設定!$B$3,原始資料!AX302=""),"",IF(AND(原始資料!AW302&lt;&gt;"",原始資料!AX302=原始資料!AW302),N(AU302)+1,1))</f>
        <v/>
      </c>
      <c r="AW302" s="6">
        <f>IF(OR(原始資料!$A302="",48&gt;設定!$B$3,原始資料!AY302=""),"",IF(AND(原始資料!AX302&lt;&gt;"",原始資料!AY302=原始資料!AX302),N(AV302)+1,1))</f>
        <v/>
      </c>
      <c r="AX302" s="6">
        <f>IF(OR(原始資料!$A302="",49&gt;設定!$B$3,原始資料!AZ302=""),"",IF(AND(原始資料!AY302&lt;&gt;"",原始資料!AZ302=原始資料!AY302),N(AW302)+1,1))</f>
        <v/>
      </c>
      <c r="AY302" s="6">
        <f>IF(OR(原始資料!$A302="",50&gt;設定!$B$3,原始資料!BA302=""),"",IF(AND(原始資料!AZ302&lt;&gt;"",原始資料!BA302=原始資料!AZ302),N(AX302)+1,1))</f>
        <v/>
      </c>
      <c r="AZ302" s="6">
        <f>IF(OR(原始資料!$A302="",51&gt;設定!$B$3,原始資料!BB302=""),"",IF(AND(原始資料!BA302&lt;&gt;"",原始資料!BB302=原始資料!BA302),N(AY302)+1,1))</f>
        <v/>
      </c>
      <c r="BA302" s="6">
        <f>IF(OR(原始資料!$A302="",52&gt;設定!$B$3,原始資料!BC302=""),"",IF(AND(原始資料!BB302&lt;&gt;"",原始資料!BC302=原始資料!BB302),N(AZ302)+1,1))</f>
        <v/>
      </c>
      <c r="BB302" s="6">
        <f>IF(OR(原始資料!$A302="",53&gt;設定!$B$3,原始資料!BD302=""),"",IF(AND(原始資料!BC302&lt;&gt;"",原始資料!BD302=原始資料!BC302),N(BA302)+1,1))</f>
        <v/>
      </c>
      <c r="BC302" s="6">
        <f>IF(OR(原始資料!$A302="",54&gt;設定!$B$3,原始資料!BE302=""),"",IF(AND(原始資料!BD302&lt;&gt;"",原始資料!BE302=原始資料!BD302),N(BB302)+1,1))</f>
        <v/>
      </c>
      <c r="BD302" s="6">
        <f>IF(OR(原始資料!$A302="",55&gt;設定!$B$3,原始資料!BF302=""),"",IF(AND(原始資料!BE302&lt;&gt;"",原始資料!BF302=原始資料!BE302),N(BC302)+1,1))</f>
        <v/>
      </c>
      <c r="BE302" s="6">
        <f>IF(OR(原始資料!$A302="",56&gt;設定!$B$3,原始資料!BG302=""),"",IF(AND(原始資料!BF302&lt;&gt;"",原始資料!BG302=原始資料!BF302),N(BD302)+1,1))</f>
        <v/>
      </c>
      <c r="BF302" s="6">
        <f>IF(OR(原始資料!$A302="",57&gt;設定!$B$3,原始資料!BH302=""),"",IF(AND(原始資料!BG302&lt;&gt;"",原始資料!BH302=原始資料!BG302),N(BE302)+1,1))</f>
        <v/>
      </c>
      <c r="BG302" s="6">
        <f>IF(OR(原始資料!$A302="",58&gt;設定!$B$3,原始資料!BI302=""),"",IF(AND(原始資料!BH302&lt;&gt;"",原始資料!BI302=原始資料!BH302),N(BF302)+1,1))</f>
        <v/>
      </c>
      <c r="BH302" s="6">
        <f>IF(OR(原始資料!$A302="",59&gt;設定!$B$3,原始資料!BJ302=""),"",IF(AND(原始資料!BI302&lt;&gt;"",原始資料!BJ302=原始資料!BI302),N(BG302)+1,1))</f>
        <v/>
      </c>
      <c r="BI302" s="6">
        <f>IF(OR(原始資料!$A302="",60&gt;設定!$B$3,原始資料!BK302=""),"",IF(AND(原始資料!BJ302&lt;&gt;"",原始資料!BK302=原始資料!BJ302),N(BH302)+1,1))</f>
        <v/>
      </c>
    </row>
    <row r="303">
      <c r="A303" s="6">
        <f>IF(原始資料!$A303="","",原始資料!$A303)</f>
        <v/>
      </c>
      <c r="B303" s="6">
        <f>IF(OR(原始資料!$A303="",1&gt;設定!$B$3,原始資料!D303=""),"",1)</f>
        <v/>
      </c>
      <c r="C303" s="6">
        <f>IF(OR(原始資料!$A303="",2&gt;設定!$B$3,原始資料!E303=""),"",IF(AND(原始資料!D303&lt;&gt;"",原始資料!E303=原始資料!D303),N(B303)+1,1))</f>
        <v/>
      </c>
      <c r="D303" s="6">
        <f>IF(OR(原始資料!$A303="",3&gt;設定!$B$3,原始資料!F303=""),"",IF(AND(原始資料!E303&lt;&gt;"",原始資料!F303=原始資料!E303),N(C303)+1,1))</f>
        <v/>
      </c>
      <c r="E303" s="6">
        <f>IF(OR(原始資料!$A303="",4&gt;設定!$B$3,原始資料!G303=""),"",IF(AND(原始資料!F303&lt;&gt;"",原始資料!G303=原始資料!F303),N(D303)+1,1))</f>
        <v/>
      </c>
      <c r="F303" s="6">
        <f>IF(OR(原始資料!$A303="",5&gt;設定!$B$3,原始資料!H303=""),"",IF(AND(原始資料!G303&lt;&gt;"",原始資料!H303=原始資料!G303),N(E303)+1,1))</f>
        <v/>
      </c>
      <c r="G303" s="6">
        <f>IF(OR(原始資料!$A303="",6&gt;設定!$B$3,原始資料!I303=""),"",IF(AND(原始資料!H303&lt;&gt;"",原始資料!I303=原始資料!H303),N(F303)+1,1))</f>
        <v/>
      </c>
      <c r="H303" s="6">
        <f>IF(OR(原始資料!$A303="",7&gt;設定!$B$3,原始資料!J303=""),"",IF(AND(原始資料!I303&lt;&gt;"",原始資料!J303=原始資料!I303),N(G303)+1,1))</f>
        <v/>
      </c>
      <c r="I303" s="6">
        <f>IF(OR(原始資料!$A303="",8&gt;設定!$B$3,原始資料!K303=""),"",IF(AND(原始資料!J303&lt;&gt;"",原始資料!K303=原始資料!J303),N(H303)+1,1))</f>
        <v/>
      </c>
      <c r="J303" s="6">
        <f>IF(OR(原始資料!$A303="",9&gt;設定!$B$3,原始資料!L303=""),"",IF(AND(原始資料!K303&lt;&gt;"",原始資料!L303=原始資料!K303),N(I303)+1,1))</f>
        <v/>
      </c>
      <c r="K303" s="6">
        <f>IF(OR(原始資料!$A303="",10&gt;設定!$B$3,原始資料!M303=""),"",IF(AND(原始資料!L303&lt;&gt;"",原始資料!M303=原始資料!L303),N(J303)+1,1))</f>
        <v/>
      </c>
      <c r="L303" s="6">
        <f>IF(OR(原始資料!$A303="",11&gt;設定!$B$3,原始資料!N303=""),"",IF(AND(原始資料!M303&lt;&gt;"",原始資料!N303=原始資料!M303),N(K303)+1,1))</f>
        <v/>
      </c>
      <c r="M303" s="6">
        <f>IF(OR(原始資料!$A303="",12&gt;設定!$B$3,原始資料!O303=""),"",IF(AND(原始資料!N303&lt;&gt;"",原始資料!O303=原始資料!N303),N(L303)+1,1))</f>
        <v/>
      </c>
      <c r="N303" s="6">
        <f>IF(OR(原始資料!$A303="",13&gt;設定!$B$3,原始資料!P303=""),"",IF(AND(原始資料!O303&lt;&gt;"",原始資料!P303=原始資料!O303),N(M303)+1,1))</f>
        <v/>
      </c>
      <c r="O303" s="6">
        <f>IF(OR(原始資料!$A303="",14&gt;設定!$B$3,原始資料!Q303=""),"",IF(AND(原始資料!P303&lt;&gt;"",原始資料!Q303=原始資料!P303),N(N303)+1,1))</f>
        <v/>
      </c>
      <c r="P303" s="6">
        <f>IF(OR(原始資料!$A303="",15&gt;設定!$B$3,原始資料!R303=""),"",IF(AND(原始資料!Q303&lt;&gt;"",原始資料!R303=原始資料!Q303),N(O303)+1,1))</f>
        <v/>
      </c>
      <c r="Q303" s="6">
        <f>IF(OR(原始資料!$A303="",16&gt;設定!$B$3,原始資料!S303=""),"",IF(AND(原始資料!R303&lt;&gt;"",原始資料!S303=原始資料!R303),N(P303)+1,1))</f>
        <v/>
      </c>
      <c r="R303" s="6">
        <f>IF(OR(原始資料!$A303="",17&gt;設定!$B$3,原始資料!T303=""),"",IF(AND(原始資料!S303&lt;&gt;"",原始資料!T303=原始資料!S303),N(Q303)+1,1))</f>
        <v/>
      </c>
      <c r="S303" s="6">
        <f>IF(OR(原始資料!$A303="",18&gt;設定!$B$3,原始資料!U303=""),"",IF(AND(原始資料!T303&lt;&gt;"",原始資料!U303=原始資料!T303),N(R303)+1,1))</f>
        <v/>
      </c>
      <c r="T303" s="6">
        <f>IF(OR(原始資料!$A303="",19&gt;設定!$B$3,原始資料!V303=""),"",IF(AND(原始資料!U303&lt;&gt;"",原始資料!V303=原始資料!U303),N(S303)+1,1))</f>
        <v/>
      </c>
      <c r="U303" s="6">
        <f>IF(OR(原始資料!$A303="",20&gt;設定!$B$3,原始資料!W303=""),"",IF(AND(原始資料!V303&lt;&gt;"",原始資料!W303=原始資料!V303),N(T303)+1,1))</f>
        <v/>
      </c>
      <c r="V303" s="6">
        <f>IF(OR(原始資料!$A303="",21&gt;設定!$B$3,原始資料!X303=""),"",IF(AND(原始資料!W303&lt;&gt;"",原始資料!X303=原始資料!W303),N(U303)+1,1))</f>
        <v/>
      </c>
      <c r="W303" s="6">
        <f>IF(OR(原始資料!$A303="",22&gt;設定!$B$3,原始資料!Y303=""),"",IF(AND(原始資料!X303&lt;&gt;"",原始資料!Y303=原始資料!X303),N(V303)+1,1))</f>
        <v/>
      </c>
      <c r="X303" s="6">
        <f>IF(OR(原始資料!$A303="",23&gt;設定!$B$3,原始資料!Z303=""),"",IF(AND(原始資料!Y303&lt;&gt;"",原始資料!Z303=原始資料!Y303),N(W303)+1,1))</f>
        <v/>
      </c>
      <c r="Y303" s="6">
        <f>IF(OR(原始資料!$A303="",24&gt;設定!$B$3,原始資料!AA303=""),"",IF(AND(原始資料!Z303&lt;&gt;"",原始資料!AA303=原始資料!Z303),N(X303)+1,1))</f>
        <v/>
      </c>
      <c r="Z303" s="6">
        <f>IF(OR(原始資料!$A303="",25&gt;設定!$B$3,原始資料!AB303=""),"",IF(AND(原始資料!AA303&lt;&gt;"",原始資料!AB303=原始資料!AA303),N(Y303)+1,1))</f>
        <v/>
      </c>
      <c r="AA303" s="6">
        <f>IF(OR(原始資料!$A303="",26&gt;設定!$B$3,原始資料!AC303=""),"",IF(AND(原始資料!AB303&lt;&gt;"",原始資料!AC303=原始資料!AB303),N(Z303)+1,1))</f>
        <v/>
      </c>
      <c r="AB303" s="6">
        <f>IF(OR(原始資料!$A303="",27&gt;設定!$B$3,原始資料!AD303=""),"",IF(AND(原始資料!AC303&lt;&gt;"",原始資料!AD303=原始資料!AC303),N(AA303)+1,1))</f>
        <v/>
      </c>
      <c r="AC303" s="6">
        <f>IF(OR(原始資料!$A303="",28&gt;設定!$B$3,原始資料!AE303=""),"",IF(AND(原始資料!AD303&lt;&gt;"",原始資料!AE303=原始資料!AD303),N(AB303)+1,1))</f>
        <v/>
      </c>
      <c r="AD303" s="6">
        <f>IF(OR(原始資料!$A303="",29&gt;設定!$B$3,原始資料!AF303=""),"",IF(AND(原始資料!AE303&lt;&gt;"",原始資料!AF303=原始資料!AE303),N(AC303)+1,1))</f>
        <v/>
      </c>
      <c r="AE303" s="6">
        <f>IF(OR(原始資料!$A303="",30&gt;設定!$B$3,原始資料!AG303=""),"",IF(AND(原始資料!AF303&lt;&gt;"",原始資料!AG303=原始資料!AF303),N(AD303)+1,1))</f>
        <v/>
      </c>
      <c r="AF303" s="6">
        <f>IF(OR(原始資料!$A303="",31&gt;設定!$B$3,原始資料!AH303=""),"",IF(AND(原始資料!AG303&lt;&gt;"",原始資料!AH303=原始資料!AG303),N(AE303)+1,1))</f>
        <v/>
      </c>
      <c r="AG303" s="6">
        <f>IF(OR(原始資料!$A303="",32&gt;設定!$B$3,原始資料!AI303=""),"",IF(AND(原始資料!AH303&lt;&gt;"",原始資料!AI303=原始資料!AH303),N(AF303)+1,1))</f>
        <v/>
      </c>
      <c r="AH303" s="6">
        <f>IF(OR(原始資料!$A303="",33&gt;設定!$B$3,原始資料!AJ303=""),"",IF(AND(原始資料!AI303&lt;&gt;"",原始資料!AJ303=原始資料!AI303),N(AG303)+1,1))</f>
        <v/>
      </c>
      <c r="AI303" s="6">
        <f>IF(OR(原始資料!$A303="",34&gt;設定!$B$3,原始資料!AK303=""),"",IF(AND(原始資料!AJ303&lt;&gt;"",原始資料!AK303=原始資料!AJ303),N(AH303)+1,1))</f>
        <v/>
      </c>
      <c r="AJ303" s="6">
        <f>IF(OR(原始資料!$A303="",35&gt;設定!$B$3,原始資料!AL303=""),"",IF(AND(原始資料!AK303&lt;&gt;"",原始資料!AL303=原始資料!AK303),N(AI303)+1,1))</f>
        <v/>
      </c>
      <c r="AK303" s="6">
        <f>IF(OR(原始資料!$A303="",36&gt;設定!$B$3,原始資料!AM303=""),"",IF(AND(原始資料!AL303&lt;&gt;"",原始資料!AM303=原始資料!AL303),N(AJ303)+1,1))</f>
        <v/>
      </c>
      <c r="AL303" s="6">
        <f>IF(OR(原始資料!$A303="",37&gt;設定!$B$3,原始資料!AN303=""),"",IF(AND(原始資料!AM303&lt;&gt;"",原始資料!AN303=原始資料!AM303),N(AK303)+1,1))</f>
        <v/>
      </c>
      <c r="AM303" s="6">
        <f>IF(OR(原始資料!$A303="",38&gt;設定!$B$3,原始資料!AO303=""),"",IF(AND(原始資料!AN303&lt;&gt;"",原始資料!AO303=原始資料!AN303),N(AL303)+1,1))</f>
        <v/>
      </c>
      <c r="AN303" s="6">
        <f>IF(OR(原始資料!$A303="",39&gt;設定!$B$3,原始資料!AP303=""),"",IF(AND(原始資料!AO303&lt;&gt;"",原始資料!AP303=原始資料!AO303),N(AM303)+1,1))</f>
        <v/>
      </c>
      <c r="AO303" s="6">
        <f>IF(OR(原始資料!$A303="",40&gt;設定!$B$3,原始資料!AQ303=""),"",IF(AND(原始資料!AP303&lt;&gt;"",原始資料!AQ303=原始資料!AP303),N(AN303)+1,1))</f>
        <v/>
      </c>
      <c r="AP303" s="6">
        <f>IF(OR(原始資料!$A303="",41&gt;設定!$B$3,原始資料!AR303=""),"",IF(AND(原始資料!AQ303&lt;&gt;"",原始資料!AR303=原始資料!AQ303),N(AO303)+1,1))</f>
        <v/>
      </c>
      <c r="AQ303" s="6">
        <f>IF(OR(原始資料!$A303="",42&gt;設定!$B$3,原始資料!AS303=""),"",IF(AND(原始資料!AR303&lt;&gt;"",原始資料!AS303=原始資料!AR303),N(AP303)+1,1))</f>
        <v/>
      </c>
      <c r="AR303" s="6">
        <f>IF(OR(原始資料!$A303="",43&gt;設定!$B$3,原始資料!AT303=""),"",IF(AND(原始資料!AS303&lt;&gt;"",原始資料!AT303=原始資料!AS303),N(AQ303)+1,1))</f>
        <v/>
      </c>
      <c r="AS303" s="6">
        <f>IF(OR(原始資料!$A303="",44&gt;設定!$B$3,原始資料!AU303=""),"",IF(AND(原始資料!AT303&lt;&gt;"",原始資料!AU303=原始資料!AT303),N(AR303)+1,1))</f>
        <v/>
      </c>
      <c r="AT303" s="6">
        <f>IF(OR(原始資料!$A303="",45&gt;設定!$B$3,原始資料!AV303=""),"",IF(AND(原始資料!AU303&lt;&gt;"",原始資料!AV303=原始資料!AU303),N(AS303)+1,1))</f>
        <v/>
      </c>
      <c r="AU303" s="6">
        <f>IF(OR(原始資料!$A303="",46&gt;設定!$B$3,原始資料!AW303=""),"",IF(AND(原始資料!AV303&lt;&gt;"",原始資料!AW303=原始資料!AV303),N(AT303)+1,1))</f>
        <v/>
      </c>
      <c r="AV303" s="6">
        <f>IF(OR(原始資料!$A303="",47&gt;設定!$B$3,原始資料!AX303=""),"",IF(AND(原始資料!AW303&lt;&gt;"",原始資料!AX303=原始資料!AW303),N(AU303)+1,1))</f>
        <v/>
      </c>
      <c r="AW303" s="6">
        <f>IF(OR(原始資料!$A303="",48&gt;設定!$B$3,原始資料!AY303=""),"",IF(AND(原始資料!AX303&lt;&gt;"",原始資料!AY303=原始資料!AX303),N(AV303)+1,1))</f>
        <v/>
      </c>
      <c r="AX303" s="6">
        <f>IF(OR(原始資料!$A303="",49&gt;設定!$B$3,原始資料!AZ303=""),"",IF(AND(原始資料!AY303&lt;&gt;"",原始資料!AZ303=原始資料!AY303),N(AW303)+1,1))</f>
        <v/>
      </c>
      <c r="AY303" s="6">
        <f>IF(OR(原始資料!$A303="",50&gt;設定!$B$3,原始資料!BA303=""),"",IF(AND(原始資料!AZ303&lt;&gt;"",原始資料!BA303=原始資料!AZ303),N(AX303)+1,1))</f>
        <v/>
      </c>
      <c r="AZ303" s="6">
        <f>IF(OR(原始資料!$A303="",51&gt;設定!$B$3,原始資料!BB303=""),"",IF(AND(原始資料!BA303&lt;&gt;"",原始資料!BB303=原始資料!BA303),N(AY303)+1,1))</f>
        <v/>
      </c>
      <c r="BA303" s="6">
        <f>IF(OR(原始資料!$A303="",52&gt;設定!$B$3,原始資料!BC303=""),"",IF(AND(原始資料!BB303&lt;&gt;"",原始資料!BC303=原始資料!BB303),N(AZ303)+1,1))</f>
        <v/>
      </c>
      <c r="BB303" s="6">
        <f>IF(OR(原始資料!$A303="",53&gt;設定!$B$3,原始資料!BD303=""),"",IF(AND(原始資料!BC303&lt;&gt;"",原始資料!BD303=原始資料!BC303),N(BA303)+1,1))</f>
        <v/>
      </c>
      <c r="BC303" s="6">
        <f>IF(OR(原始資料!$A303="",54&gt;設定!$B$3,原始資料!BE303=""),"",IF(AND(原始資料!BD303&lt;&gt;"",原始資料!BE303=原始資料!BD303),N(BB303)+1,1))</f>
        <v/>
      </c>
      <c r="BD303" s="6">
        <f>IF(OR(原始資料!$A303="",55&gt;設定!$B$3,原始資料!BF303=""),"",IF(AND(原始資料!BE303&lt;&gt;"",原始資料!BF303=原始資料!BE303),N(BC303)+1,1))</f>
        <v/>
      </c>
      <c r="BE303" s="6">
        <f>IF(OR(原始資料!$A303="",56&gt;設定!$B$3,原始資料!BG303=""),"",IF(AND(原始資料!BF303&lt;&gt;"",原始資料!BG303=原始資料!BF303),N(BD303)+1,1))</f>
        <v/>
      </c>
      <c r="BF303" s="6">
        <f>IF(OR(原始資料!$A303="",57&gt;設定!$B$3,原始資料!BH303=""),"",IF(AND(原始資料!BG303&lt;&gt;"",原始資料!BH303=原始資料!BG303),N(BE303)+1,1))</f>
        <v/>
      </c>
      <c r="BG303" s="6">
        <f>IF(OR(原始資料!$A303="",58&gt;設定!$B$3,原始資料!BI303=""),"",IF(AND(原始資料!BH303&lt;&gt;"",原始資料!BI303=原始資料!BH303),N(BF303)+1,1))</f>
        <v/>
      </c>
      <c r="BH303" s="6">
        <f>IF(OR(原始資料!$A303="",59&gt;設定!$B$3,原始資料!BJ303=""),"",IF(AND(原始資料!BI303&lt;&gt;"",原始資料!BJ303=原始資料!BI303),N(BG303)+1,1))</f>
        <v/>
      </c>
      <c r="BI303" s="6">
        <f>IF(OR(原始資料!$A303="",60&gt;設定!$B$3,原始資料!BK303=""),"",IF(AND(原始資料!BJ303&lt;&gt;"",原始資料!BK303=原始資料!BJ303),N(BH303)+1,1))</f>
        <v/>
      </c>
    </row>
    <row r="304">
      <c r="A304" s="6">
        <f>IF(原始資料!$A304="","",原始資料!$A304)</f>
        <v/>
      </c>
      <c r="B304" s="6">
        <f>IF(OR(原始資料!$A304="",1&gt;設定!$B$3,原始資料!D304=""),"",1)</f>
        <v/>
      </c>
      <c r="C304" s="6">
        <f>IF(OR(原始資料!$A304="",2&gt;設定!$B$3,原始資料!E304=""),"",IF(AND(原始資料!D304&lt;&gt;"",原始資料!E304=原始資料!D304),N(B304)+1,1))</f>
        <v/>
      </c>
      <c r="D304" s="6">
        <f>IF(OR(原始資料!$A304="",3&gt;設定!$B$3,原始資料!F304=""),"",IF(AND(原始資料!E304&lt;&gt;"",原始資料!F304=原始資料!E304),N(C304)+1,1))</f>
        <v/>
      </c>
      <c r="E304" s="6">
        <f>IF(OR(原始資料!$A304="",4&gt;設定!$B$3,原始資料!G304=""),"",IF(AND(原始資料!F304&lt;&gt;"",原始資料!G304=原始資料!F304),N(D304)+1,1))</f>
        <v/>
      </c>
      <c r="F304" s="6">
        <f>IF(OR(原始資料!$A304="",5&gt;設定!$B$3,原始資料!H304=""),"",IF(AND(原始資料!G304&lt;&gt;"",原始資料!H304=原始資料!G304),N(E304)+1,1))</f>
        <v/>
      </c>
      <c r="G304" s="6">
        <f>IF(OR(原始資料!$A304="",6&gt;設定!$B$3,原始資料!I304=""),"",IF(AND(原始資料!H304&lt;&gt;"",原始資料!I304=原始資料!H304),N(F304)+1,1))</f>
        <v/>
      </c>
      <c r="H304" s="6">
        <f>IF(OR(原始資料!$A304="",7&gt;設定!$B$3,原始資料!J304=""),"",IF(AND(原始資料!I304&lt;&gt;"",原始資料!J304=原始資料!I304),N(G304)+1,1))</f>
        <v/>
      </c>
      <c r="I304" s="6">
        <f>IF(OR(原始資料!$A304="",8&gt;設定!$B$3,原始資料!K304=""),"",IF(AND(原始資料!J304&lt;&gt;"",原始資料!K304=原始資料!J304),N(H304)+1,1))</f>
        <v/>
      </c>
      <c r="J304" s="6">
        <f>IF(OR(原始資料!$A304="",9&gt;設定!$B$3,原始資料!L304=""),"",IF(AND(原始資料!K304&lt;&gt;"",原始資料!L304=原始資料!K304),N(I304)+1,1))</f>
        <v/>
      </c>
      <c r="K304" s="6">
        <f>IF(OR(原始資料!$A304="",10&gt;設定!$B$3,原始資料!M304=""),"",IF(AND(原始資料!L304&lt;&gt;"",原始資料!M304=原始資料!L304),N(J304)+1,1))</f>
        <v/>
      </c>
      <c r="L304" s="6">
        <f>IF(OR(原始資料!$A304="",11&gt;設定!$B$3,原始資料!N304=""),"",IF(AND(原始資料!M304&lt;&gt;"",原始資料!N304=原始資料!M304),N(K304)+1,1))</f>
        <v/>
      </c>
      <c r="M304" s="6">
        <f>IF(OR(原始資料!$A304="",12&gt;設定!$B$3,原始資料!O304=""),"",IF(AND(原始資料!N304&lt;&gt;"",原始資料!O304=原始資料!N304),N(L304)+1,1))</f>
        <v/>
      </c>
      <c r="N304" s="6">
        <f>IF(OR(原始資料!$A304="",13&gt;設定!$B$3,原始資料!P304=""),"",IF(AND(原始資料!O304&lt;&gt;"",原始資料!P304=原始資料!O304),N(M304)+1,1))</f>
        <v/>
      </c>
      <c r="O304" s="6">
        <f>IF(OR(原始資料!$A304="",14&gt;設定!$B$3,原始資料!Q304=""),"",IF(AND(原始資料!P304&lt;&gt;"",原始資料!Q304=原始資料!P304),N(N304)+1,1))</f>
        <v/>
      </c>
      <c r="P304" s="6">
        <f>IF(OR(原始資料!$A304="",15&gt;設定!$B$3,原始資料!R304=""),"",IF(AND(原始資料!Q304&lt;&gt;"",原始資料!R304=原始資料!Q304),N(O304)+1,1))</f>
        <v/>
      </c>
      <c r="Q304" s="6">
        <f>IF(OR(原始資料!$A304="",16&gt;設定!$B$3,原始資料!S304=""),"",IF(AND(原始資料!R304&lt;&gt;"",原始資料!S304=原始資料!R304),N(P304)+1,1))</f>
        <v/>
      </c>
      <c r="R304" s="6">
        <f>IF(OR(原始資料!$A304="",17&gt;設定!$B$3,原始資料!T304=""),"",IF(AND(原始資料!S304&lt;&gt;"",原始資料!T304=原始資料!S304),N(Q304)+1,1))</f>
        <v/>
      </c>
      <c r="S304" s="6">
        <f>IF(OR(原始資料!$A304="",18&gt;設定!$B$3,原始資料!U304=""),"",IF(AND(原始資料!T304&lt;&gt;"",原始資料!U304=原始資料!T304),N(R304)+1,1))</f>
        <v/>
      </c>
      <c r="T304" s="6">
        <f>IF(OR(原始資料!$A304="",19&gt;設定!$B$3,原始資料!V304=""),"",IF(AND(原始資料!U304&lt;&gt;"",原始資料!V304=原始資料!U304),N(S304)+1,1))</f>
        <v/>
      </c>
      <c r="U304" s="6">
        <f>IF(OR(原始資料!$A304="",20&gt;設定!$B$3,原始資料!W304=""),"",IF(AND(原始資料!V304&lt;&gt;"",原始資料!W304=原始資料!V304),N(T304)+1,1))</f>
        <v/>
      </c>
      <c r="V304" s="6">
        <f>IF(OR(原始資料!$A304="",21&gt;設定!$B$3,原始資料!X304=""),"",IF(AND(原始資料!W304&lt;&gt;"",原始資料!X304=原始資料!W304),N(U304)+1,1))</f>
        <v/>
      </c>
      <c r="W304" s="6">
        <f>IF(OR(原始資料!$A304="",22&gt;設定!$B$3,原始資料!Y304=""),"",IF(AND(原始資料!X304&lt;&gt;"",原始資料!Y304=原始資料!X304),N(V304)+1,1))</f>
        <v/>
      </c>
      <c r="X304" s="6">
        <f>IF(OR(原始資料!$A304="",23&gt;設定!$B$3,原始資料!Z304=""),"",IF(AND(原始資料!Y304&lt;&gt;"",原始資料!Z304=原始資料!Y304),N(W304)+1,1))</f>
        <v/>
      </c>
      <c r="Y304" s="6">
        <f>IF(OR(原始資料!$A304="",24&gt;設定!$B$3,原始資料!AA304=""),"",IF(AND(原始資料!Z304&lt;&gt;"",原始資料!AA304=原始資料!Z304),N(X304)+1,1))</f>
        <v/>
      </c>
      <c r="Z304" s="6">
        <f>IF(OR(原始資料!$A304="",25&gt;設定!$B$3,原始資料!AB304=""),"",IF(AND(原始資料!AA304&lt;&gt;"",原始資料!AB304=原始資料!AA304),N(Y304)+1,1))</f>
        <v/>
      </c>
      <c r="AA304" s="6">
        <f>IF(OR(原始資料!$A304="",26&gt;設定!$B$3,原始資料!AC304=""),"",IF(AND(原始資料!AB304&lt;&gt;"",原始資料!AC304=原始資料!AB304),N(Z304)+1,1))</f>
        <v/>
      </c>
      <c r="AB304" s="6">
        <f>IF(OR(原始資料!$A304="",27&gt;設定!$B$3,原始資料!AD304=""),"",IF(AND(原始資料!AC304&lt;&gt;"",原始資料!AD304=原始資料!AC304),N(AA304)+1,1))</f>
        <v/>
      </c>
      <c r="AC304" s="6">
        <f>IF(OR(原始資料!$A304="",28&gt;設定!$B$3,原始資料!AE304=""),"",IF(AND(原始資料!AD304&lt;&gt;"",原始資料!AE304=原始資料!AD304),N(AB304)+1,1))</f>
        <v/>
      </c>
      <c r="AD304" s="6">
        <f>IF(OR(原始資料!$A304="",29&gt;設定!$B$3,原始資料!AF304=""),"",IF(AND(原始資料!AE304&lt;&gt;"",原始資料!AF304=原始資料!AE304),N(AC304)+1,1))</f>
        <v/>
      </c>
      <c r="AE304" s="6">
        <f>IF(OR(原始資料!$A304="",30&gt;設定!$B$3,原始資料!AG304=""),"",IF(AND(原始資料!AF304&lt;&gt;"",原始資料!AG304=原始資料!AF304),N(AD304)+1,1))</f>
        <v/>
      </c>
      <c r="AF304" s="6">
        <f>IF(OR(原始資料!$A304="",31&gt;設定!$B$3,原始資料!AH304=""),"",IF(AND(原始資料!AG304&lt;&gt;"",原始資料!AH304=原始資料!AG304),N(AE304)+1,1))</f>
        <v/>
      </c>
      <c r="AG304" s="6">
        <f>IF(OR(原始資料!$A304="",32&gt;設定!$B$3,原始資料!AI304=""),"",IF(AND(原始資料!AH304&lt;&gt;"",原始資料!AI304=原始資料!AH304),N(AF304)+1,1))</f>
        <v/>
      </c>
      <c r="AH304" s="6">
        <f>IF(OR(原始資料!$A304="",33&gt;設定!$B$3,原始資料!AJ304=""),"",IF(AND(原始資料!AI304&lt;&gt;"",原始資料!AJ304=原始資料!AI304),N(AG304)+1,1))</f>
        <v/>
      </c>
      <c r="AI304" s="6">
        <f>IF(OR(原始資料!$A304="",34&gt;設定!$B$3,原始資料!AK304=""),"",IF(AND(原始資料!AJ304&lt;&gt;"",原始資料!AK304=原始資料!AJ304),N(AH304)+1,1))</f>
        <v/>
      </c>
      <c r="AJ304" s="6">
        <f>IF(OR(原始資料!$A304="",35&gt;設定!$B$3,原始資料!AL304=""),"",IF(AND(原始資料!AK304&lt;&gt;"",原始資料!AL304=原始資料!AK304),N(AI304)+1,1))</f>
        <v/>
      </c>
      <c r="AK304" s="6">
        <f>IF(OR(原始資料!$A304="",36&gt;設定!$B$3,原始資料!AM304=""),"",IF(AND(原始資料!AL304&lt;&gt;"",原始資料!AM304=原始資料!AL304),N(AJ304)+1,1))</f>
        <v/>
      </c>
      <c r="AL304" s="6">
        <f>IF(OR(原始資料!$A304="",37&gt;設定!$B$3,原始資料!AN304=""),"",IF(AND(原始資料!AM304&lt;&gt;"",原始資料!AN304=原始資料!AM304),N(AK304)+1,1))</f>
        <v/>
      </c>
      <c r="AM304" s="6">
        <f>IF(OR(原始資料!$A304="",38&gt;設定!$B$3,原始資料!AO304=""),"",IF(AND(原始資料!AN304&lt;&gt;"",原始資料!AO304=原始資料!AN304),N(AL304)+1,1))</f>
        <v/>
      </c>
      <c r="AN304" s="6">
        <f>IF(OR(原始資料!$A304="",39&gt;設定!$B$3,原始資料!AP304=""),"",IF(AND(原始資料!AO304&lt;&gt;"",原始資料!AP304=原始資料!AO304),N(AM304)+1,1))</f>
        <v/>
      </c>
      <c r="AO304" s="6">
        <f>IF(OR(原始資料!$A304="",40&gt;設定!$B$3,原始資料!AQ304=""),"",IF(AND(原始資料!AP304&lt;&gt;"",原始資料!AQ304=原始資料!AP304),N(AN304)+1,1))</f>
        <v/>
      </c>
      <c r="AP304" s="6">
        <f>IF(OR(原始資料!$A304="",41&gt;設定!$B$3,原始資料!AR304=""),"",IF(AND(原始資料!AQ304&lt;&gt;"",原始資料!AR304=原始資料!AQ304),N(AO304)+1,1))</f>
        <v/>
      </c>
      <c r="AQ304" s="6">
        <f>IF(OR(原始資料!$A304="",42&gt;設定!$B$3,原始資料!AS304=""),"",IF(AND(原始資料!AR304&lt;&gt;"",原始資料!AS304=原始資料!AR304),N(AP304)+1,1))</f>
        <v/>
      </c>
      <c r="AR304" s="6">
        <f>IF(OR(原始資料!$A304="",43&gt;設定!$B$3,原始資料!AT304=""),"",IF(AND(原始資料!AS304&lt;&gt;"",原始資料!AT304=原始資料!AS304),N(AQ304)+1,1))</f>
        <v/>
      </c>
      <c r="AS304" s="6">
        <f>IF(OR(原始資料!$A304="",44&gt;設定!$B$3,原始資料!AU304=""),"",IF(AND(原始資料!AT304&lt;&gt;"",原始資料!AU304=原始資料!AT304),N(AR304)+1,1))</f>
        <v/>
      </c>
      <c r="AT304" s="6">
        <f>IF(OR(原始資料!$A304="",45&gt;設定!$B$3,原始資料!AV304=""),"",IF(AND(原始資料!AU304&lt;&gt;"",原始資料!AV304=原始資料!AU304),N(AS304)+1,1))</f>
        <v/>
      </c>
      <c r="AU304" s="6">
        <f>IF(OR(原始資料!$A304="",46&gt;設定!$B$3,原始資料!AW304=""),"",IF(AND(原始資料!AV304&lt;&gt;"",原始資料!AW304=原始資料!AV304),N(AT304)+1,1))</f>
        <v/>
      </c>
      <c r="AV304" s="6">
        <f>IF(OR(原始資料!$A304="",47&gt;設定!$B$3,原始資料!AX304=""),"",IF(AND(原始資料!AW304&lt;&gt;"",原始資料!AX304=原始資料!AW304),N(AU304)+1,1))</f>
        <v/>
      </c>
      <c r="AW304" s="6">
        <f>IF(OR(原始資料!$A304="",48&gt;設定!$B$3,原始資料!AY304=""),"",IF(AND(原始資料!AX304&lt;&gt;"",原始資料!AY304=原始資料!AX304),N(AV304)+1,1))</f>
        <v/>
      </c>
      <c r="AX304" s="6">
        <f>IF(OR(原始資料!$A304="",49&gt;設定!$B$3,原始資料!AZ304=""),"",IF(AND(原始資料!AY304&lt;&gt;"",原始資料!AZ304=原始資料!AY304),N(AW304)+1,1))</f>
        <v/>
      </c>
      <c r="AY304" s="6">
        <f>IF(OR(原始資料!$A304="",50&gt;設定!$B$3,原始資料!BA304=""),"",IF(AND(原始資料!AZ304&lt;&gt;"",原始資料!BA304=原始資料!AZ304),N(AX304)+1,1))</f>
        <v/>
      </c>
      <c r="AZ304" s="6">
        <f>IF(OR(原始資料!$A304="",51&gt;設定!$B$3,原始資料!BB304=""),"",IF(AND(原始資料!BA304&lt;&gt;"",原始資料!BB304=原始資料!BA304),N(AY304)+1,1))</f>
        <v/>
      </c>
      <c r="BA304" s="6">
        <f>IF(OR(原始資料!$A304="",52&gt;設定!$B$3,原始資料!BC304=""),"",IF(AND(原始資料!BB304&lt;&gt;"",原始資料!BC304=原始資料!BB304),N(AZ304)+1,1))</f>
        <v/>
      </c>
      <c r="BB304" s="6">
        <f>IF(OR(原始資料!$A304="",53&gt;設定!$B$3,原始資料!BD304=""),"",IF(AND(原始資料!BC304&lt;&gt;"",原始資料!BD304=原始資料!BC304),N(BA304)+1,1))</f>
        <v/>
      </c>
      <c r="BC304" s="6">
        <f>IF(OR(原始資料!$A304="",54&gt;設定!$B$3,原始資料!BE304=""),"",IF(AND(原始資料!BD304&lt;&gt;"",原始資料!BE304=原始資料!BD304),N(BB304)+1,1))</f>
        <v/>
      </c>
      <c r="BD304" s="6">
        <f>IF(OR(原始資料!$A304="",55&gt;設定!$B$3,原始資料!BF304=""),"",IF(AND(原始資料!BE304&lt;&gt;"",原始資料!BF304=原始資料!BE304),N(BC304)+1,1))</f>
        <v/>
      </c>
      <c r="BE304" s="6">
        <f>IF(OR(原始資料!$A304="",56&gt;設定!$B$3,原始資料!BG304=""),"",IF(AND(原始資料!BF304&lt;&gt;"",原始資料!BG304=原始資料!BF304),N(BD304)+1,1))</f>
        <v/>
      </c>
      <c r="BF304" s="6">
        <f>IF(OR(原始資料!$A304="",57&gt;設定!$B$3,原始資料!BH304=""),"",IF(AND(原始資料!BG304&lt;&gt;"",原始資料!BH304=原始資料!BG304),N(BE304)+1,1))</f>
        <v/>
      </c>
      <c r="BG304" s="6">
        <f>IF(OR(原始資料!$A304="",58&gt;設定!$B$3,原始資料!BI304=""),"",IF(AND(原始資料!BH304&lt;&gt;"",原始資料!BI304=原始資料!BH304),N(BF304)+1,1))</f>
        <v/>
      </c>
      <c r="BH304" s="6">
        <f>IF(OR(原始資料!$A304="",59&gt;設定!$B$3,原始資料!BJ304=""),"",IF(AND(原始資料!BI304&lt;&gt;"",原始資料!BJ304=原始資料!BI304),N(BG304)+1,1))</f>
        <v/>
      </c>
      <c r="BI304" s="6">
        <f>IF(OR(原始資料!$A304="",60&gt;設定!$B$3,原始資料!BK304=""),"",IF(AND(原始資料!BJ304&lt;&gt;"",原始資料!BK304=原始資料!BJ304),N(BH304)+1,1))</f>
        <v/>
      </c>
    </row>
    <row r="305">
      <c r="A305" s="6">
        <f>IF(原始資料!$A305="","",原始資料!$A305)</f>
        <v/>
      </c>
      <c r="B305" s="6">
        <f>IF(OR(原始資料!$A305="",1&gt;設定!$B$3,原始資料!D305=""),"",1)</f>
        <v/>
      </c>
      <c r="C305" s="6">
        <f>IF(OR(原始資料!$A305="",2&gt;設定!$B$3,原始資料!E305=""),"",IF(AND(原始資料!D305&lt;&gt;"",原始資料!E305=原始資料!D305),N(B305)+1,1))</f>
        <v/>
      </c>
      <c r="D305" s="6">
        <f>IF(OR(原始資料!$A305="",3&gt;設定!$B$3,原始資料!F305=""),"",IF(AND(原始資料!E305&lt;&gt;"",原始資料!F305=原始資料!E305),N(C305)+1,1))</f>
        <v/>
      </c>
      <c r="E305" s="6">
        <f>IF(OR(原始資料!$A305="",4&gt;設定!$B$3,原始資料!G305=""),"",IF(AND(原始資料!F305&lt;&gt;"",原始資料!G305=原始資料!F305),N(D305)+1,1))</f>
        <v/>
      </c>
      <c r="F305" s="6">
        <f>IF(OR(原始資料!$A305="",5&gt;設定!$B$3,原始資料!H305=""),"",IF(AND(原始資料!G305&lt;&gt;"",原始資料!H305=原始資料!G305),N(E305)+1,1))</f>
        <v/>
      </c>
      <c r="G305" s="6">
        <f>IF(OR(原始資料!$A305="",6&gt;設定!$B$3,原始資料!I305=""),"",IF(AND(原始資料!H305&lt;&gt;"",原始資料!I305=原始資料!H305),N(F305)+1,1))</f>
        <v/>
      </c>
      <c r="H305" s="6">
        <f>IF(OR(原始資料!$A305="",7&gt;設定!$B$3,原始資料!J305=""),"",IF(AND(原始資料!I305&lt;&gt;"",原始資料!J305=原始資料!I305),N(G305)+1,1))</f>
        <v/>
      </c>
      <c r="I305" s="6">
        <f>IF(OR(原始資料!$A305="",8&gt;設定!$B$3,原始資料!K305=""),"",IF(AND(原始資料!J305&lt;&gt;"",原始資料!K305=原始資料!J305),N(H305)+1,1))</f>
        <v/>
      </c>
      <c r="J305" s="6">
        <f>IF(OR(原始資料!$A305="",9&gt;設定!$B$3,原始資料!L305=""),"",IF(AND(原始資料!K305&lt;&gt;"",原始資料!L305=原始資料!K305),N(I305)+1,1))</f>
        <v/>
      </c>
      <c r="K305" s="6">
        <f>IF(OR(原始資料!$A305="",10&gt;設定!$B$3,原始資料!M305=""),"",IF(AND(原始資料!L305&lt;&gt;"",原始資料!M305=原始資料!L305),N(J305)+1,1))</f>
        <v/>
      </c>
      <c r="L305" s="6">
        <f>IF(OR(原始資料!$A305="",11&gt;設定!$B$3,原始資料!N305=""),"",IF(AND(原始資料!M305&lt;&gt;"",原始資料!N305=原始資料!M305),N(K305)+1,1))</f>
        <v/>
      </c>
      <c r="M305" s="6">
        <f>IF(OR(原始資料!$A305="",12&gt;設定!$B$3,原始資料!O305=""),"",IF(AND(原始資料!N305&lt;&gt;"",原始資料!O305=原始資料!N305),N(L305)+1,1))</f>
        <v/>
      </c>
      <c r="N305" s="6">
        <f>IF(OR(原始資料!$A305="",13&gt;設定!$B$3,原始資料!P305=""),"",IF(AND(原始資料!O305&lt;&gt;"",原始資料!P305=原始資料!O305),N(M305)+1,1))</f>
        <v/>
      </c>
      <c r="O305" s="6">
        <f>IF(OR(原始資料!$A305="",14&gt;設定!$B$3,原始資料!Q305=""),"",IF(AND(原始資料!P305&lt;&gt;"",原始資料!Q305=原始資料!P305),N(N305)+1,1))</f>
        <v/>
      </c>
      <c r="P305" s="6">
        <f>IF(OR(原始資料!$A305="",15&gt;設定!$B$3,原始資料!R305=""),"",IF(AND(原始資料!Q305&lt;&gt;"",原始資料!R305=原始資料!Q305),N(O305)+1,1))</f>
        <v/>
      </c>
      <c r="Q305" s="6">
        <f>IF(OR(原始資料!$A305="",16&gt;設定!$B$3,原始資料!S305=""),"",IF(AND(原始資料!R305&lt;&gt;"",原始資料!S305=原始資料!R305),N(P305)+1,1))</f>
        <v/>
      </c>
      <c r="R305" s="6">
        <f>IF(OR(原始資料!$A305="",17&gt;設定!$B$3,原始資料!T305=""),"",IF(AND(原始資料!S305&lt;&gt;"",原始資料!T305=原始資料!S305),N(Q305)+1,1))</f>
        <v/>
      </c>
      <c r="S305" s="6">
        <f>IF(OR(原始資料!$A305="",18&gt;設定!$B$3,原始資料!U305=""),"",IF(AND(原始資料!T305&lt;&gt;"",原始資料!U305=原始資料!T305),N(R305)+1,1))</f>
        <v/>
      </c>
      <c r="T305" s="6">
        <f>IF(OR(原始資料!$A305="",19&gt;設定!$B$3,原始資料!V305=""),"",IF(AND(原始資料!U305&lt;&gt;"",原始資料!V305=原始資料!U305),N(S305)+1,1))</f>
        <v/>
      </c>
      <c r="U305" s="6">
        <f>IF(OR(原始資料!$A305="",20&gt;設定!$B$3,原始資料!W305=""),"",IF(AND(原始資料!V305&lt;&gt;"",原始資料!W305=原始資料!V305),N(T305)+1,1))</f>
        <v/>
      </c>
      <c r="V305" s="6">
        <f>IF(OR(原始資料!$A305="",21&gt;設定!$B$3,原始資料!X305=""),"",IF(AND(原始資料!W305&lt;&gt;"",原始資料!X305=原始資料!W305),N(U305)+1,1))</f>
        <v/>
      </c>
      <c r="W305" s="6">
        <f>IF(OR(原始資料!$A305="",22&gt;設定!$B$3,原始資料!Y305=""),"",IF(AND(原始資料!X305&lt;&gt;"",原始資料!Y305=原始資料!X305),N(V305)+1,1))</f>
        <v/>
      </c>
      <c r="X305" s="6">
        <f>IF(OR(原始資料!$A305="",23&gt;設定!$B$3,原始資料!Z305=""),"",IF(AND(原始資料!Y305&lt;&gt;"",原始資料!Z305=原始資料!Y305),N(W305)+1,1))</f>
        <v/>
      </c>
      <c r="Y305" s="6">
        <f>IF(OR(原始資料!$A305="",24&gt;設定!$B$3,原始資料!AA305=""),"",IF(AND(原始資料!Z305&lt;&gt;"",原始資料!AA305=原始資料!Z305),N(X305)+1,1))</f>
        <v/>
      </c>
      <c r="Z305" s="6">
        <f>IF(OR(原始資料!$A305="",25&gt;設定!$B$3,原始資料!AB305=""),"",IF(AND(原始資料!AA305&lt;&gt;"",原始資料!AB305=原始資料!AA305),N(Y305)+1,1))</f>
        <v/>
      </c>
      <c r="AA305" s="6">
        <f>IF(OR(原始資料!$A305="",26&gt;設定!$B$3,原始資料!AC305=""),"",IF(AND(原始資料!AB305&lt;&gt;"",原始資料!AC305=原始資料!AB305),N(Z305)+1,1))</f>
        <v/>
      </c>
      <c r="AB305" s="6">
        <f>IF(OR(原始資料!$A305="",27&gt;設定!$B$3,原始資料!AD305=""),"",IF(AND(原始資料!AC305&lt;&gt;"",原始資料!AD305=原始資料!AC305),N(AA305)+1,1))</f>
        <v/>
      </c>
      <c r="AC305" s="6">
        <f>IF(OR(原始資料!$A305="",28&gt;設定!$B$3,原始資料!AE305=""),"",IF(AND(原始資料!AD305&lt;&gt;"",原始資料!AE305=原始資料!AD305),N(AB305)+1,1))</f>
        <v/>
      </c>
      <c r="AD305" s="6">
        <f>IF(OR(原始資料!$A305="",29&gt;設定!$B$3,原始資料!AF305=""),"",IF(AND(原始資料!AE305&lt;&gt;"",原始資料!AF305=原始資料!AE305),N(AC305)+1,1))</f>
        <v/>
      </c>
      <c r="AE305" s="6">
        <f>IF(OR(原始資料!$A305="",30&gt;設定!$B$3,原始資料!AG305=""),"",IF(AND(原始資料!AF305&lt;&gt;"",原始資料!AG305=原始資料!AF305),N(AD305)+1,1))</f>
        <v/>
      </c>
      <c r="AF305" s="6">
        <f>IF(OR(原始資料!$A305="",31&gt;設定!$B$3,原始資料!AH305=""),"",IF(AND(原始資料!AG305&lt;&gt;"",原始資料!AH305=原始資料!AG305),N(AE305)+1,1))</f>
        <v/>
      </c>
      <c r="AG305" s="6">
        <f>IF(OR(原始資料!$A305="",32&gt;設定!$B$3,原始資料!AI305=""),"",IF(AND(原始資料!AH305&lt;&gt;"",原始資料!AI305=原始資料!AH305),N(AF305)+1,1))</f>
        <v/>
      </c>
      <c r="AH305" s="6">
        <f>IF(OR(原始資料!$A305="",33&gt;設定!$B$3,原始資料!AJ305=""),"",IF(AND(原始資料!AI305&lt;&gt;"",原始資料!AJ305=原始資料!AI305),N(AG305)+1,1))</f>
        <v/>
      </c>
      <c r="AI305" s="6">
        <f>IF(OR(原始資料!$A305="",34&gt;設定!$B$3,原始資料!AK305=""),"",IF(AND(原始資料!AJ305&lt;&gt;"",原始資料!AK305=原始資料!AJ305),N(AH305)+1,1))</f>
        <v/>
      </c>
      <c r="AJ305" s="6">
        <f>IF(OR(原始資料!$A305="",35&gt;設定!$B$3,原始資料!AL305=""),"",IF(AND(原始資料!AK305&lt;&gt;"",原始資料!AL305=原始資料!AK305),N(AI305)+1,1))</f>
        <v/>
      </c>
      <c r="AK305" s="6">
        <f>IF(OR(原始資料!$A305="",36&gt;設定!$B$3,原始資料!AM305=""),"",IF(AND(原始資料!AL305&lt;&gt;"",原始資料!AM305=原始資料!AL305),N(AJ305)+1,1))</f>
        <v/>
      </c>
      <c r="AL305" s="6">
        <f>IF(OR(原始資料!$A305="",37&gt;設定!$B$3,原始資料!AN305=""),"",IF(AND(原始資料!AM305&lt;&gt;"",原始資料!AN305=原始資料!AM305),N(AK305)+1,1))</f>
        <v/>
      </c>
      <c r="AM305" s="6">
        <f>IF(OR(原始資料!$A305="",38&gt;設定!$B$3,原始資料!AO305=""),"",IF(AND(原始資料!AN305&lt;&gt;"",原始資料!AO305=原始資料!AN305),N(AL305)+1,1))</f>
        <v/>
      </c>
      <c r="AN305" s="6">
        <f>IF(OR(原始資料!$A305="",39&gt;設定!$B$3,原始資料!AP305=""),"",IF(AND(原始資料!AO305&lt;&gt;"",原始資料!AP305=原始資料!AO305),N(AM305)+1,1))</f>
        <v/>
      </c>
      <c r="AO305" s="6">
        <f>IF(OR(原始資料!$A305="",40&gt;設定!$B$3,原始資料!AQ305=""),"",IF(AND(原始資料!AP305&lt;&gt;"",原始資料!AQ305=原始資料!AP305),N(AN305)+1,1))</f>
        <v/>
      </c>
      <c r="AP305" s="6">
        <f>IF(OR(原始資料!$A305="",41&gt;設定!$B$3,原始資料!AR305=""),"",IF(AND(原始資料!AQ305&lt;&gt;"",原始資料!AR305=原始資料!AQ305),N(AO305)+1,1))</f>
        <v/>
      </c>
      <c r="AQ305" s="6">
        <f>IF(OR(原始資料!$A305="",42&gt;設定!$B$3,原始資料!AS305=""),"",IF(AND(原始資料!AR305&lt;&gt;"",原始資料!AS305=原始資料!AR305),N(AP305)+1,1))</f>
        <v/>
      </c>
      <c r="AR305" s="6">
        <f>IF(OR(原始資料!$A305="",43&gt;設定!$B$3,原始資料!AT305=""),"",IF(AND(原始資料!AS305&lt;&gt;"",原始資料!AT305=原始資料!AS305),N(AQ305)+1,1))</f>
        <v/>
      </c>
      <c r="AS305" s="6">
        <f>IF(OR(原始資料!$A305="",44&gt;設定!$B$3,原始資料!AU305=""),"",IF(AND(原始資料!AT305&lt;&gt;"",原始資料!AU305=原始資料!AT305),N(AR305)+1,1))</f>
        <v/>
      </c>
      <c r="AT305" s="6">
        <f>IF(OR(原始資料!$A305="",45&gt;設定!$B$3,原始資料!AV305=""),"",IF(AND(原始資料!AU305&lt;&gt;"",原始資料!AV305=原始資料!AU305),N(AS305)+1,1))</f>
        <v/>
      </c>
      <c r="AU305" s="6">
        <f>IF(OR(原始資料!$A305="",46&gt;設定!$B$3,原始資料!AW305=""),"",IF(AND(原始資料!AV305&lt;&gt;"",原始資料!AW305=原始資料!AV305),N(AT305)+1,1))</f>
        <v/>
      </c>
      <c r="AV305" s="6">
        <f>IF(OR(原始資料!$A305="",47&gt;設定!$B$3,原始資料!AX305=""),"",IF(AND(原始資料!AW305&lt;&gt;"",原始資料!AX305=原始資料!AW305),N(AU305)+1,1))</f>
        <v/>
      </c>
      <c r="AW305" s="6">
        <f>IF(OR(原始資料!$A305="",48&gt;設定!$B$3,原始資料!AY305=""),"",IF(AND(原始資料!AX305&lt;&gt;"",原始資料!AY305=原始資料!AX305),N(AV305)+1,1))</f>
        <v/>
      </c>
      <c r="AX305" s="6">
        <f>IF(OR(原始資料!$A305="",49&gt;設定!$B$3,原始資料!AZ305=""),"",IF(AND(原始資料!AY305&lt;&gt;"",原始資料!AZ305=原始資料!AY305),N(AW305)+1,1))</f>
        <v/>
      </c>
      <c r="AY305" s="6">
        <f>IF(OR(原始資料!$A305="",50&gt;設定!$B$3,原始資料!BA305=""),"",IF(AND(原始資料!AZ305&lt;&gt;"",原始資料!BA305=原始資料!AZ305),N(AX305)+1,1))</f>
        <v/>
      </c>
      <c r="AZ305" s="6">
        <f>IF(OR(原始資料!$A305="",51&gt;設定!$B$3,原始資料!BB305=""),"",IF(AND(原始資料!BA305&lt;&gt;"",原始資料!BB305=原始資料!BA305),N(AY305)+1,1))</f>
        <v/>
      </c>
      <c r="BA305" s="6">
        <f>IF(OR(原始資料!$A305="",52&gt;設定!$B$3,原始資料!BC305=""),"",IF(AND(原始資料!BB305&lt;&gt;"",原始資料!BC305=原始資料!BB305),N(AZ305)+1,1))</f>
        <v/>
      </c>
      <c r="BB305" s="6">
        <f>IF(OR(原始資料!$A305="",53&gt;設定!$B$3,原始資料!BD305=""),"",IF(AND(原始資料!BC305&lt;&gt;"",原始資料!BD305=原始資料!BC305),N(BA305)+1,1))</f>
        <v/>
      </c>
      <c r="BC305" s="6">
        <f>IF(OR(原始資料!$A305="",54&gt;設定!$B$3,原始資料!BE305=""),"",IF(AND(原始資料!BD305&lt;&gt;"",原始資料!BE305=原始資料!BD305),N(BB305)+1,1))</f>
        <v/>
      </c>
      <c r="BD305" s="6">
        <f>IF(OR(原始資料!$A305="",55&gt;設定!$B$3,原始資料!BF305=""),"",IF(AND(原始資料!BE305&lt;&gt;"",原始資料!BF305=原始資料!BE305),N(BC305)+1,1))</f>
        <v/>
      </c>
      <c r="BE305" s="6">
        <f>IF(OR(原始資料!$A305="",56&gt;設定!$B$3,原始資料!BG305=""),"",IF(AND(原始資料!BF305&lt;&gt;"",原始資料!BG305=原始資料!BF305),N(BD305)+1,1))</f>
        <v/>
      </c>
      <c r="BF305" s="6">
        <f>IF(OR(原始資料!$A305="",57&gt;設定!$B$3,原始資料!BH305=""),"",IF(AND(原始資料!BG305&lt;&gt;"",原始資料!BH305=原始資料!BG305),N(BE305)+1,1))</f>
        <v/>
      </c>
      <c r="BG305" s="6">
        <f>IF(OR(原始資料!$A305="",58&gt;設定!$B$3,原始資料!BI305=""),"",IF(AND(原始資料!BH305&lt;&gt;"",原始資料!BI305=原始資料!BH305),N(BF305)+1,1))</f>
        <v/>
      </c>
      <c r="BH305" s="6">
        <f>IF(OR(原始資料!$A305="",59&gt;設定!$B$3,原始資料!BJ305=""),"",IF(AND(原始資料!BI305&lt;&gt;"",原始資料!BJ305=原始資料!BI305),N(BG305)+1,1))</f>
        <v/>
      </c>
      <c r="BI305" s="6">
        <f>IF(OR(原始資料!$A305="",60&gt;設定!$B$3,原始資料!BK305=""),"",IF(AND(原始資料!BJ305&lt;&gt;"",原始資料!BK305=原始資料!BJ305),N(BH305)+1,1))</f>
        <v/>
      </c>
    </row>
    <row r="306">
      <c r="A306" s="6">
        <f>IF(原始資料!$A306="","",原始資料!$A306)</f>
        <v/>
      </c>
      <c r="B306" s="6">
        <f>IF(OR(原始資料!$A306="",1&gt;設定!$B$3,原始資料!D306=""),"",1)</f>
        <v/>
      </c>
      <c r="C306" s="6">
        <f>IF(OR(原始資料!$A306="",2&gt;設定!$B$3,原始資料!E306=""),"",IF(AND(原始資料!D306&lt;&gt;"",原始資料!E306=原始資料!D306),N(B306)+1,1))</f>
        <v/>
      </c>
      <c r="D306" s="6">
        <f>IF(OR(原始資料!$A306="",3&gt;設定!$B$3,原始資料!F306=""),"",IF(AND(原始資料!E306&lt;&gt;"",原始資料!F306=原始資料!E306),N(C306)+1,1))</f>
        <v/>
      </c>
      <c r="E306" s="6">
        <f>IF(OR(原始資料!$A306="",4&gt;設定!$B$3,原始資料!G306=""),"",IF(AND(原始資料!F306&lt;&gt;"",原始資料!G306=原始資料!F306),N(D306)+1,1))</f>
        <v/>
      </c>
      <c r="F306" s="6">
        <f>IF(OR(原始資料!$A306="",5&gt;設定!$B$3,原始資料!H306=""),"",IF(AND(原始資料!G306&lt;&gt;"",原始資料!H306=原始資料!G306),N(E306)+1,1))</f>
        <v/>
      </c>
      <c r="G306" s="6">
        <f>IF(OR(原始資料!$A306="",6&gt;設定!$B$3,原始資料!I306=""),"",IF(AND(原始資料!H306&lt;&gt;"",原始資料!I306=原始資料!H306),N(F306)+1,1))</f>
        <v/>
      </c>
      <c r="H306" s="6">
        <f>IF(OR(原始資料!$A306="",7&gt;設定!$B$3,原始資料!J306=""),"",IF(AND(原始資料!I306&lt;&gt;"",原始資料!J306=原始資料!I306),N(G306)+1,1))</f>
        <v/>
      </c>
      <c r="I306" s="6">
        <f>IF(OR(原始資料!$A306="",8&gt;設定!$B$3,原始資料!K306=""),"",IF(AND(原始資料!J306&lt;&gt;"",原始資料!K306=原始資料!J306),N(H306)+1,1))</f>
        <v/>
      </c>
      <c r="J306" s="6">
        <f>IF(OR(原始資料!$A306="",9&gt;設定!$B$3,原始資料!L306=""),"",IF(AND(原始資料!K306&lt;&gt;"",原始資料!L306=原始資料!K306),N(I306)+1,1))</f>
        <v/>
      </c>
      <c r="K306" s="6">
        <f>IF(OR(原始資料!$A306="",10&gt;設定!$B$3,原始資料!M306=""),"",IF(AND(原始資料!L306&lt;&gt;"",原始資料!M306=原始資料!L306),N(J306)+1,1))</f>
        <v/>
      </c>
      <c r="L306" s="6">
        <f>IF(OR(原始資料!$A306="",11&gt;設定!$B$3,原始資料!N306=""),"",IF(AND(原始資料!M306&lt;&gt;"",原始資料!N306=原始資料!M306),N(K306)+1,1))</f>
        <v/>
      </c>
      <c r="M306" s="6">
        <f>IF(OR(原始資料!$A306="",12&gt;設定!$B$3,原始資料!O306=""),"",IF(AND(原始資料!N306&lt;&gt;"",原始資料!O306=原始資料!N306),N(L306)+1,1))</f>
        <v/>
      </c>
      <c r="N306" s="6">
        <f>IF(OR(原始資料!$A306="",13&gt;設定!$B$3,原始資料!P306=""),"",IF(AND(原始資料!O306&lt;&gt;"",原始資料!P306=原始資料!O306),N(M306)+1,1))</f>
        <v/>
      </c>
      <c r="O306" s="6">
        <f>IF(OR(原始資料!$A306="",14&gt;設定!$B$3,原始資料!Q306=""),"",IF(AND(原始資料!P306&lt;&gt;"",原始資料!Q306=原始資料!P306),N(N306)+1,1))</f>
        <v/>
      </c>
      <c r="P306" s="6">
        <f>IF(OR(原始資料!$A306="",15&gt;設定!$B$3,原始資料!R306=""),"",IF(AND(原始資料!Q306&lt;&gt;"",原始資料!R306=原始資料!Q306),N(O306)+1,1))</f>
        <v/>
      </c>
      <c r="Q306" s="6">
        <f>IF(OR(原始資料!$A306="",16&gt;設定!$B$3,原始資料!S306=""),"",IF(AND(原始資料!R306&lt;&gt;"",原始資料!S306=原始資料!R306),N(P306)+1,1))</f>
        <v/>
      </c>
      <c r="R306" s="6">
        <f>IF(OR(原始資料!$A306="",17&gt;設定!$B$3,原始資料!T306=""),"",IF(AND(原始資料!S306&lt;&gt;"",原始資料!T306=原始資料!S306),N(Q306)+1,1))</f>
        <v/>
      </c>
      <c r="S306" s="6">
        <f>IF(OR(原始資料!$A306="",18&gt;設定!$B$3,原始資料!U306=""),"",IF(AND(原始資料!T306&lt;&gt;"",原始資料!U306=原始資料!T306),N(R306)+1,1))</f>
        <v/>
      </c>
      <c r="T306" s="6">
        <f>IF(OR(原始資料!$A306="",19&gt;設定!$B$3,原始資料!V306=""),"",IF(AND(原始資料!U306&lt;&gt;"",原始資料!V306=原始資料!U306),N(S306)+1,1))</f>
        <v/>
      </c>
      <c r="U306" s="6">
        <f>IF(OR(原始資料!$A306="",20&gt;設定!$B$3,原始資料!W306=""),"",IF(AND(原始資料!V306&lt;&gt;"",原始資料!W306=原始資料!V306),N(T306)+1,1))</f>
        <v/>
      </c>
      <c r="V306" s="6">
        <f>IF(OR(原始資料!$A306="",21&gt;設定!$B$3,原始資料!X306=""),"",IF(AND(原始資料!W306&lt;&gt;"",原始資料!X306=原始資料!W306),N(U306)+1,1))</f>
        <v/>
      </c>
      <c r="W306" s="6">
        <f>IF(OR(原始資料!$A306="",22&gt;設定!$B$3,原始資料!Y306=""),"",IF(AND(原始資料!X306&lt;&gt;"",原始資料!Y306=原始資料!X306),N(V306)+1,1))</f>
        <v/>
      </c>
      <c r="X306" s="6">
        <f>IF(OR(原始資料!$A306="",23&gt;設定!$B$3,原始資料!Z306=""),"",IF(AND(原始資料!Y306&lt;&gt;"",原始資料!Z306=原始資料!Y306),N(W306)+1,1))</f>
        <v/>
      </c>
      <c r="Y306" s="6">
        <f>IF(OR(原始資料!$A306="",24&gt;設定!$B$3,原始資料!AA306=""),"",IF(AND(原始資料!Z306&lt;&gt;"",原始資料!AA306=原始資料!Z306),N(X306)+1,1))</f>
        <v/>
      </c>
      <c r="Z306" s="6">
        <f>IF(OR(原始資料!$A306="",25&gt;設定!$B$3,原始資料!AB306=""),"",IF(AND(原始資料!AA306&lt;&gt;"",原始資料!AB306=原始資料!AA306),N(Y306)+1,1))</f>
        <v/>
      </c>
      <c r="AA306" s="6">
        <f>IF(OR(原始資料!$A306="",26&gt;設定!$B$3,原始資料!AC306=""),"",IF(AND(原始資料!AB306&lt;&gt;"",原始資料!AC306=原始資料!AB306),N(Z306)+1,1))</f>
        <v/>
      </c>
      <c r="AB306" s="6">
        <f>IF(OR(原始資料!$A306="",27&gt;設定!$B$3,原始資料!AD306=""),"",IF(AND(原始資料!AC306&lt;&gt;"",原始資料!AD306=原始資料!AC306),N(AA306)+1,1))</f>
        <v/>
      </c>
      <c r="AC306" s="6">
        <f>IF(OR(原始資料!$A306="",28&gt;設定!$B$3,原始資料!AE306=""),"",IF(AND(原始資料!AD306&lt;&gt;"",原始資料!AE306=原始資料!AD306),N(AB306)+1,1))</f>
        <v/>
      </c>
      <c r="AD306" s="6">
        <f>IF(OR(原始資料!$A306="",29&gt;設定!$B$3,原始資料!AF306=""),"",IF(AND(原始資料!AE306&lt;&gt;"",原始資料!AF306=原始資料!AE306),N(AC306)+1,1))</f>
        <v/>
      </c>
      <c r="AE306" s="6">
        <f>IF(OR(原始資料!$A306="",30&gt;設定!$B$3,原始資料!AG306=""),"",IF(AND(原始資料!AF306&lt;&gt;"",原始資料!AG306=原始資料!AF306),N(AD306)+1,1))</f>
        <v/>
      </c>
      <c r="AF306" s="6">
        <f>IF(OR(原始資料!$A306="",31&gt;設定!$B$3,原始資料!AH306=""),"",IF(AND(原始資料!AG306&lt;&gt;"",原始資料!AH306=原始資料!AG306),N(AE306)+1,1))</f>
        <v/>
      </c>
      <c r="AG306" s="6">
        <f>IF(OR(原始資料!$A306="",32&gt;設定!$B$3,原始資料!AI306=""),"",IF(AND(原始資料!AH306&lt;&gt;"",原始資料!AI306=原始資料!AH306),N(AF306)+1,1))</f>
        <v/>
      </c>
      <c r="AH306" s="6">
        <f>IF(OR(原始資料!$A306="",33&gt;設定!$B$3,原始資料!AJ306=""),"",IF(AND(原始資料!AI306&lt;&gt;"",原始資料!AJ306=原始資料!AI306),N(AG306)+1,1))</f>
        <v/>
      </c>
      <c r="AI306" s="6">
        <f>IF(OR(原始資料!$A306="",34&gt;設定!$B$3,原始資料!AK306=""),"",IF(AND(原始資料!AJ306&lt;&gt;"",原始資料!AK306=原始資料!AJ306),N(AH306)+1,1))</f>
        <v/>
      </c>
      <c r="AJ306" s="6">
        <f>IF(OR(原始資料!$A306="",35&gt;設定!$B$3,原始資料!AL306=""),"",IF(AND(原始資料!AK306&lt;&gt;"",原始資料!AL306=原始資料!AK306),N(AI306)+1,1))</f>
        <v/>
      </c>
      <c r="AK306" s="6">
        <f>IF(OR(原始資料!$A306="",36&gt;設定!$B$3,原始資料!AM306=""),"",IF(AND(原始資料!AL306&lt;&gt;"",原始資料!AM306=原始資料!AL306),N(AJ306)+1,1))</f>
        <v/>
      </c>
      <c r="AL306" s="6">
        <f>IF(OR(原始資料!$A306="",37&gt;設定!$B$3,原始資料!AN306=""),"",IF(AND(原始資料!AM306&lt;&gt;"",原始資料!AN306=原始資料!AM306),N(AK306)+1,1))</f>
        <v/>
      </c>
      <c r="AM306" s="6">
        <f>IF(OR(原始資料!$A306="",38&gt;設定!$B$3,原始資料!AO306=""),"",IF(AND(原始資料!AN306&lt;&gt;"",原始資料!AO306=原始資料!AN306),N(AL306)+1,1))</f>
        <v/>
      </c>
      <c r="AN306" s="6">
        <f>IF(OR(原始資料!$A306="",39&gt;設定!$B$3,原始資料!AP306=""),"",IF(AND(原始資料!AO306&lt;&gt;"",原始資料!AP306=原始資料!AO306),N(AM306)+1,1))</f>
        <v/>
      </c>
      <c r="AO306" s="6">
        <f>IF(OR(原始資料!$A306="",40&gt;設定!$B$3,原始資料!AQ306=""),"",IF(AND(原始資料!AP306&lt;&gt;"",原始資料!AQ306=原始資料!AP306),N(AN306)+1,1))</f>
        <v/>
      </c>
      <c r="AP306" s="6">
        <f>IF(OR(原始資料!$A306="",41&gt;設定!$B$3,原始資料!AR306=""),"",IF(AND(原始資料!AQ306&lt;&gt;"",原始資料!AR306=原始資料!AQ306),N(AO306)+1,1))</f>
        <v/>
      </c>
      <c r="AQ306" s="6">
        <f>IF(OR(原始資料!$A306="",42&gt;設定!$B$3,原始資料!AS306=""),"",IF(AND(原始資料!AR306&lt;&gt;"",原始資料!AS306=原始資料!AR306),N(AP306)+1,1))</f>
        <v/>
      </c>
      <c r="AR306" s="6">
        <f>IF(OR(原始資料!$A306="",43&gt;設定!$B$3,原始資料!AT306=""),"",IF(AND(原始資料!AS306&lt;&gt;"",原始資料!AT306=原始資料!AS306),N(AQ306)+1,1))</f>
        <v/>
      </c>
      <c r="AS306" s="6">
        <f>IF(OR(原始資料!$A306="",44&gt;設定!$B$3,原始資料!AU306=""),"",IF(AND(原始資料!AT306&lt;&gt;"",原始資料!AU306=原始資料!AT306),N(AR306)+1,1))</f>
        <v/>
      </c>
      <c r="AT306" s="6">
        <f>IF(OR(原始資料!$A306="",45&gt;設定!$B$3,原始資料!AV306=""),"",IF(AND(原始資料!AU306&lt;&gt;"",原始資料!AV306=原始資料!AU306),N(AS306)+1,1))</f>
        <v/>
      </c>
      <c r="AU306" s="6">
        <f>IF(OR(原始資料!$A306="",46&gt;設定!$B$3,原始資料!AW306=""),"",IF(AND(原始資料!AV306&lt;&gt;"",原始資料!AW306=原始資料!AV306),N(AT306)+1,1))</f>
        <v/>
      </c>
      <c r="AV306" s="6">
        <f>IF(OR(原始資料!$A306="",47&gt;設定!$B$3,原始資料!AX306=""),"",IF(AND(原始資料!AW306&lt;&gt;"",原始資料!AX306=原始資料!AW306),N(AU306)+1,1))</f>
        <v/>
      </c>
      <c r="AW306" s="6">
        <f>IF(OR(原始資料!$A306="",48&gt;設定!$B$3,原始資料!AY306=""),"",IF(AND(原始資料!AX306&lt;&gt;"",原始資料!AY306=原始資料!AX306),N(AV306)+1,1))</f>
        <v/>
      </c>
      <c r="AX306" s="6">
        <f>IF(OR(原始資料!$A306="",49&gt;設定!$B$3,原始資料!AZ306=""),"",IF(AND(原始資料!AY306&lt;&gt;"",原始資料!AZ306=原始資料!AY306),N(AW306)+1,1))</f>
        <v/>
      </c>
      <c r="AY306" s="6">
        <f>IF(OR(原始資料!$A306="",50&gt;設定!$B$3,原始資料!BA306=""),"",IF(AND(原始資料!AZ306&lt;&gt;"",原始資料!BA306=原始資料!AZ306),N(AX306)+1,1))</f>
        <v/>
      </c>
      <c r="AZ306" s="6">
        <f>IF(OR(原始資料!$A306="",51&gt;設定!$B$3,原始資料!BB306=""),"",IF(AND(原始資料!BA306&lt;&gt;"",原始資料!BB306=原始資料!BA306),N(AY306)+1,1))</f>
        <v/>
      </c>
      <c r="BA306" s="6">
        <f>IF(OR(原始資料!$A306="",52&gt;設定!$B$3,原始資料!BC306=""),"",IF(AND(原始資料!BB306&lt;&gt;"",原始資料!BC306=原始資料!BB306),N(AZ306)+1,1))</f>
        <v/>
      </c>
      <c r="BB306" s="6">
        <f>IF(OR(原始資料!$A306="",53&gt;設定!$B$3,原始資料!BD306=""),"",IF(AND(原始資料!BC306&lt;&gt;"",原始資料!BD306=原始資料!BC306),N(BA306)+1,1))</f>
        <v/>
      </c>
      <c r="BC306" s="6">
        <f>IF(OR(原始資料!$A306="",54&gt;設定!$B$3,原始資料!BE306=""),"",IF(AND(原始資料!BD306&lt;&gt;"",原始資料!BE306=原始資料!BD306),N(BB306)+1,1))</f>
        <v/>
      </c>
      <c r="BD306" s="6">
        <f>IF(OR(原始資料!$A306="",55&gt;設定!$B$3,原始資料!BF306=""),"",IF(AND(原始資料!BE306&lt;&gt;"",原始資料!BF306=原始資料!BE306),N(BC306)+1,1))</f>
        <v/>
      </c>
      <c r="BE306" s="6">
        <f>IF(OR(原始資料!$A306="",56&gt;設定!$B$3,原始資料!BG306=""),"",IF(AND(原始資料!BF306&lt;&gt;"",原始資料!BG306=原始資料!BF306),N(BD306)+1,1))</f>
        <v/>
      </c>
      <c r="BF306" s="6">
        <f>IF(OR(原始資料!$A306="",57&gt;設定!$B$3,原始資料!BH306=""),"",IF(AND(原始資料!BG306&lt;&gt;"",原始資料!BH306=原始資料!BG306),N(BE306)+1,1))</f>
        <v/>
      </c>
      <c r="BG306" s="6">
        <f>IF(OR(原始資料!$A306="",58&gt;設定!$B$3,原始資料!BI306=""),"",IF(AND(原始資料!BH306&lt;&gt;"",原始資料!BI306=原始資料!BH306),N(BF306)+1,1))</f>
        <v/>
      </c>
      <c r="BH306" s="6">
        <f>IF(OR(原始資料!$A306="",59&gt;設定!$B$3,原始資料!BJ306=""),"",IF(AND(原始資料!BI306&lt;&gt;"",原始資料!BJ306=原始資料!BI306),N(BG306)+1,1))</f>
        <v/>
      </c>
      <c r="BI306" s="6">
        <f>IF(OR(原始資料!$A306="",60&gt;設定!$B$3,原始資料!BK306=""),"",IF(AND(原始資料!BJ306&lt;&gt;"",原始資料!BK306=原始資料!BJ306),N(BH306)+1,1))</f>
        <v/>
      </c>
    </row>
    <row r="307">
      <c r="A307" s="6">
        <f>IF(原始資料!$A307="","",原始資料!$A307)</f>
        <v/>
      </c>
      <c r="B307" s="6">
        <f>IF(OR(原始資料!$A307="",1&gt;設定!$B$3,原始資料!D307=""),"",1)</f>
        <v/>
      </c>
      <c r="C307" s="6">
        <f>IF(OR(原始資料!$A307="",2&gt;設定!$B$3,原始資料!E307=""),"",IF(AND(原始資料!D307&lt;&gt;"",原始資料!E307=原始資料!D307),N(B307)+1,1))</f>
        <v/>
      </c>
      <c r="D307" s="6">
        <f>IF(OR(原始資料!$A307="",3&gt;設定!$B$3,原始資料!F307=""),"",IF(AND(原始資料!E307&lt;&gt;"",原始資料!F307=原始資料!E307),N(C307)+1,1))</f>
        <v/>
      </c>
      <c r="E307" s="6">
        <f>IF(OR(原始資料!$A307="",4&gt;設定!$B$3,原始資料!G307=""),"",IF(AND(原始資料!F307&lt;&gt;"",原始資料!G307=原始資料!F307),N(D307)+1,1))</f>
        <v/>
      </c>
      <c r="F307" s="6">
        <f>IF(OR(原始資料!$A307="",5&gt;設定!$B$3,原始資料!H307=""),"",IF(AND(原始資料!G307&lt;&gt;"",原始資料!H307=原始資料!G307),N(E307)+1,1))</f>
        <v/>
      </c>
      <c r="G307" s="6">
        <f>IF(OR(原始資料!$A307="",6&gt;設定!$B$3,原始資料!I307=""),"",IF(AND(原始資料!H307&lt;&gt;"",原始資料!I307=原始資料!H307),N(F307)+1,1))</f>
        <v/>
      </c>
      <c r="H307" s="6">
        <f>IF(OR(原始資料!$A307="",7&gt;設定!$B$3,原始資料!J307=""),"",IF(AND(原始資料!I307&lt;&gt;"",原始資料!J307=原始資料!I307),N(G307)+1,1))</f>
        <v/>
      </c>
      <c r="I307" s="6">
        <f>IF(OR(原始資料!$A307="",8&gt;設定!$B$3,原始資料!K307=""),"",IF(AND(原始資料!J307&lt;&gt;"",原始資料!K307=原始資料!J307),N(H307)+1,1))</f>
        <v/>
      </c>
      <c r="J307" s="6">
        <f>IF(OR(原始資料!$A307="",9&gt;設定!$B$3,原始資料!L307=""),"",IF(AND(原始資料!K307&lt;&gt;"",原始資料!L307=原始資料!K307),N(I307)+1,1))</f>
        <v/>
      </c>
      <c r="K307" s="6">
        <f>IF(OR(原始資料!$A307="",10&gt;設定!$B$3,原始資料!M307=""),"",IF(AND(原始資料!L307&lt;&gt;"",原始資料!M307=原始資料!L307),N(J307)+1,1))</f>
        <v/>
      </c>
      <c r="L307" s="6">
        <f>IF(OR(原始資料!$A307="",11&gt;設定!$B$3,原始資料!N307=""),"",IF(AND(原始資料!M307&lt;&gt;"",原始資料!N307=原始資料!M307),N(K307)+1,1))</f>
        <v/>
      </c>
      <c r="M307" s="6">
        <f>IF(OR(原始資料!$A307="",12&gt;設定!$B$3,原始資料!O307=""),"",IF(AND(原始資料!N307&lt;&gt;"",原始資料!O307=原始資料!N307),N(L307)+1,1))</f>
        <v/>
      </c>
      <c r="N307" s="6">
        <f>IF(OR(原始資料!$A307="",13&gt;設定!$B$3,原始資料!P307=""),"",IF(AND(原始資料!O307&lt;&gt;"",原始資料!P307=原始資料!O307),N(M307)+1,1))</f>
        <v/>
      </c>
      <c r="O307" s="6">
        <f>IF(OR(原始資料!$A307="",14&gt;設定!$B$3,原始資料!Q307=""),"",IF(AND(原始資料!P307&lt;&gt;"",原始資料!Q307=原始資料!P307),N(N307)+1,1))</f>
        <v/>
      </c>
      <c r="P307" s="6">
        <f>IF(OR(原始資料!$A307="",15&gt;設定!$B$3,原始資料!R307=""),"",IF(AND(原始資料!Q307&lt;&gt;"",原始資料!R307=原始資料!Q307),N(O307)+1,1))</f>
        <v/>
      </c>
      <c r="Q307" s="6">
        <f>IF(OR(原始資料!$A307="",16&gt;設定!$B$3,原始資料!S307=""),"",IF(AND(原始資料!R307&lt;&gt;"",原始資料!S307=原始資料!R307),N(P307)+1,1))</f>
        <v/>
      </c>
      <c r="R307" s="6">
        <f>IF(OR(原始資料!$A307="",17&gt;設定!$B$3,原始資料!T307=""),"",IF(AND(原始資料!S307&lt;&gt;"",原始資料!T307=原始資料!S307),N(Q307)+1,1))</f>
        <v/>
      </c>
      <c r="S307" s="6">
        <f>IF(OR(原始資料!$A307="",18&gt;設定!$B$3,原始資料!U307=""),"",IF(AND(原始資料!T307&lt;&gt;"",原始資料!U307=原始資料!T307),N(R307)+1,1))</f>
        <v/>
      </c>
      <c r="T307" s="6">
        <f>IF(OR(原始資料!$A307="",19&gt;設定!$B$3,原始資料!V307=""),"",IF(AND(原始資料!U307&lt;&gt;"",原始資料!V307=原始資料!U307),N(S307)+1,1))</f>
        <v/>
      </c>
      <c r="U307" s="6">
        <f>IF(OR(原始資料!$A307="",20&gt;設定!$B$3,原始資料!W307=""),"",IF(AND(原始資料!V307&lt;&gt;"",原始資料!W307=原始資料!V307),N(T307)+1,1))</f>
        <v/>
      </c>
      <c r="V307" s="6">
        <f>IF(OR(原始資料!$A307="",21&gt;設定!$B$3,原始資料!X307=""),"",IF(AND(原始資料!W307&lt;&gt;"",原始資料!X307=原始資料!W307),N(U307)+1,1))</f>
        <v/>
      </c>
      <c r="W307" s="6">
        <f>IF(OR(原始資料!$A307="",22&gt;設定!$B$3,原始資料!Y307=""),"",IF(AND(原始資料!X307&lt;&gt;"",原始資料!Y307=原始資料!X307),N(V307)+1,1))</f>
        <v/>
      </c>
      <c r="X307" s="6">
        <f>IF(OR(原始資料!$A307="",23&gt;設定!$B$3,原始資料!Z307=""),"",IF(AND(原始資料!Y307&lt;&gt;"",原始資料!Z307=原始資料!Y307),N(W307)+1,1))</f>
        <v/>
      </c>
      <c r="Y307" s="6">
        <f>IF(OR(原始資料!$A307="",24&gt;設定!$B$3,原始資料!AA307=""),"",IF(AND(原始資料!Z307&lt;&gt;"",原始資料!AA307=原始資料!Z307),N(X307)+1,1))</f>
        <v/>
      </c>
      <c r="Z307" s="6">
        <f>IF(OR(原始資料!$A307="",25&gt;設定!$B$3,原始資料!AB307=""),"",IF(AND(原始資料!AA307&lt;&gt;"",原始資料!AB307=原始資料!AA307),N(Y307)+1,1))</f>
        <v/>
      </c>
      <c r="AA307" s="6">
        <f>IF(OR(原始資料!$A307="",26&gt;設定!$B$3,原始資料!AC307=""),"",IF(AND(原始資料!AB307&lt;&gt;"",原始資料!AC307=原始資料!AB307),N(Z307)+1,1))</f>
        <v/>
      </c>
      <c r="AB307" s="6">
        <f>IF(OR(原始資料!$A307="",27&gt;設定!$B$3,原始資料!AD307=""),"",IF(AND(原始資料!AC307&lt;&gt;"",原始資料!AD307=原始資料!AC307),N(AA307)+1,1))</f>
        <v/>
      </c>
      <c r="AC307" s="6">
        <f>IF(OR(原始資料!$A307="",28&gt;設定!$B$3,原始資料!AE307=""),"",IF(AND(原始資料!AD307&lt;&gt;"",原始資料!AE307=原始資料!AD307),N(AB307)+1,1))</f>
        <v/>
      </c>
      <c r="AD307" s="6">
        <f>IF(OR(原始資料!$A307="",29&gt;設定!$B$3,原始資料!AF307=""),"",IF(AND(原始資料!AE307&lt;&gt;"",原始資料!AF307=原始資料!AE307),N(AC307)+1,1))</f>
        <v/>
      </c>
      <c r="AE307" s="6">
        <f>IF(OR(原始資料!$A307="",30&gt;設定!$B$3,原始資料!AG307=""),"",IF(AND(原始資料!AF307&lt;&gt;"",原始資料!AG307=原始資料!AF307),N(AD307)+1,1))</f>
        <v/>
      </c>
      <c r="AF307" s="6">
        <f>IF(OR(原始資料!$A307="",31&gt;設定!$B$3,原始資料!AH307=""),"",IF(AND(原始資料!AG307&lt;&gt;"",原始資料!AH307=原始資料!AG307),N(AE307)+1,1))</f>
        <v/>
      </c>
      <c r="AG307" s="6">
        <f>IF(OR(原始資料!$A307="",32&gt;設定!$B$3,原始資料!AI307=""),"",IF(AND(原始資料!AH307&lt;&gt;"",原始資料!AI307=原始資料!AH307),N(AF307)+1,1))</f>
        <v/>
      </c>
      <c r="AH307" s="6">
        <f>IF(OR(原始資料!$A307="",33&gt;設定!$B$3,原始資料!AJ307=""),"",IF(AND(原始資料!AI307&lt;&gt;"",原始資料!AJ307=原始資料!AI307),N(AG307)+1,1))</f>
        <v/>
      </c>
      <c r="AI307" s="6">
        <f>IF(OR(原始資料!$A307="",34&gt;設定!$B$3,原始資料!AK307=""),"",IF(AND(原始資料!AJ307&lt;&gt;"",原始資料!AK307=原始資料!AJ307),N(AH307)+1,1))</f>
        <v/>
      </c>
      <c r="AJ307" s="6">
        <f>IF(OR(原始資料!$A307="",35&gt;設定!$B$3,原始資料!AL307=""),"",IF(AND(原始資料!AK307&lt;&gt;"",原始資料!AL307=原始資料!AK307),N(AI307)+1,1))</f>
        <v/>
      </c>
      <c r="AK307" s="6">
        <f>IF(OR(原始資料!$A307="",36&gt;設定!$B$3,原始資料!AM307=""),"",IF(AND(原始資料!AL307&lt;&gt;"",原始資料!AM307=原始資料!AL307),N(AJ307)+1,1))</f>
        <v/>
      </c>
      <c r="AL307" s="6">
        <f>IF(OR(原始資料!$A307="",37&gt;設定!$B$3,原始資料!AN307=""),"",IF(AND(原始資料!AM307&lt;&gt;"",原始資料!AN307=原始資料!AM307),N(AK307)+1,1))</f>
        <v/>
      </c>
      <c r="AM307" s="6">
        <f>IF(OR(原始資料!$A307="",38&gt;設定!$B$3,原始資料!AO307=""),"",IF(AND(原始資料!AN307&lt;&gt;"",原始資料!AO307=原始資料!AN307),N(AL307)+1,1))</f>
        <v/>
      </c>
      <c r="AN307" s="6">
        <f>IF(OR(原始資料!$A307="",39&gt;設定!$B$3,原始資料!AP307=""),"",IF(AND(原始資料!AO307&lt;&gt;"",原始資料!AP307=原始資料!AO307),N(AM307)+1,1))</f>
        <v/>
      </c>
      <c r="AO307" s="6">
        <f>IF(OR(原始資料!$A307="",40&gt;設定!$B$3,原始資料!AQ307=""),"",IF(AND(原始資料!AP307&lt;&gt;"",原始資料!AQ307=原始資料!AP307),N(AN307)+1,1))</f>
        <v/>
      </c>
      <c r="AP307" s="6">
        <f>IF(OR(原始資料!$A307="",41&gt;設定!$B$3,原始資料!AR307=""),"",IF(AND(原始資料!AQ307&lt;&gt;"",原始資料!AR307=原始資料!AQ307),N(AO307)+1,1))</f>
        <v/>
      </c>
      <c r="AQ307" s="6">
        <f>IF(OR(原始資料!$A307="",42&gt;設定!$B$3,原始資料!AS307=""),"",IF(AND(原始資料!AR307&lt;&gt;"",原始資料!AS307=原始資料!AR307),N(AP307)+1,1))</f>
        <v/>
      </c>
      <c r="AR307" s="6">
        <f>IF(OR(原始資料!$A307="",43&gt;設定!$B$3,原始資料!AT307=""),"",IF(AND(原始資料!AS307&lt;&gt;"",原始資料!AT307=原始資料!AS307),N(AQ307)+1,1))</f>
        <v/>
      </c>
      <c r="AS307" s="6">
        <f>IF(OR(原始資料!$A307="",44&gt;設定!$B$3,原始資料!AU307=""),"",IF(AND(原始資料!AT307&lt;&gt;"",原始資料!AU307=原始資料!AT307),N(AR307)+1,1))</f>
        <v/>
      </c>
      <c r="AT307" s="6">
        <f>IF(OR(原始資料!$A307="",45&gt;設定!$B$3,原始資料!AV307=""),"",IF(AND(原始資料!AU307&lt;&gt;"",原始資料!AV307=原始資料!AU307),N(AS307)+1,1))</f>
        <v/>
      </c>
      <c r="AU307" s="6">
        <f>IF(OR(原始資料!$A307="",46&gt;設定!$B$3,原始資料!AW307=""),"",IF(AND(原始資料!AV307&lt;&gt;"",原始資料!AW307=原始資料!AV307),N(AT307)+1,1))</f>
        <v/>
      </c>
      <c r="AV307" s="6">
        <f>IF(OR(原始資料!$A307="",47&gt;設定!$B$3,原始資料!AX307=""),"",IF(AND(原始資料!AW307&lt;&gt;"",原始資料!AX307=原始資料!AW307),N(AU307)+1,1))</f>
        <v/>
      </c>
      <c r="AW307" s="6">
        <f>IF(OR(原始資料!$A307="",48&gt;設定!$B$3,原始資料!AY307=""),"",IF(AND(原始資料!AX307&lt;&gt;"",原始資料!AY307=原始資料!AX307),N(AV307)+1,1))</f>
        <v/>
      </c>
      <c r="AX307" s="6">
        <f>IF(OR(原始資料!$A307="",49&gt;設定!$B$3,原始資料!AZ307=""),"",IF(AND(原始資料!AY307&lt;&gt;"",原始資料!AZ307=原始資料!AY307),N(AW307)+1,1))</f>
        <v/>
      </c>
      <c r="AY307" s="6">
        <f>IF(OR(原始資料!$A307="",50&gt;設定!$B$3,原始資料!BA307=""),"",IF(AND(原始資料!AZ307&lt;&gt;"",原始資料!BA307=原始資料!AZ307),N(AX307)+1,1))</f>
        <v/>
      </c>
      <c r="AZ307" s="6">
        <f>IF(OR(原始資料!$A307="",51&gt;設定!$B$3,原始資料!BB307=""),"",IF(AND(原始資料!BA307&lt;&gt;"",原始資料!BB307=原始資料!BA307),N(AY307)+1,1))</f>
        <v/>
      </c>
      <c r="BA307" s="6">
        <f>IF(OR(原始資料!$A307="",52&gt;設定!$B$3,原始資料!BC307=""),"",IF(AND(原始資料!BB307&lt;&gt;"",原始資料!BC307=原始資料!BB307),N(AZ307)+1,1))</f>
        <v/>
      </c>
      <c r="BB307" s="6">
        <f>IF(OR(原始資料!$A307="",53&gt;設定!$B$3,原始資料!BD307=""),"",IF(AND(原始資料!BC307&lt;&gt;"",原始資料!BD307=原始資料!BC307),N(BA307)+1,1))</f>
        <v/>
      </c>
      <c r="BC307" s="6">
        <f>IF(OR(原始資料!$A307="",54&gt;設定!$B$3,原始資料!BE307=""),"",IF(AND(原始資料!BD307&lt;&gt;"",原始資料!BE307=原始資料!BD307),N(BB307)+1,1))</f>
        <v/>
      </c>
      <c r="BD307" s="6">
        <f>IF(OR(原始資料!$A307="",55&gt;設定!$B$3,原始資料!BF307=""),"",IF(AND(原始資料!BE307&lt;&gt;"",原始資料!BF307=原始資料!BE307),N(BC307)+1,1))</f>
        <v/>
      </c>
      <c r="BE307" s="6">
        <f>IF(OR(原始資料!$A307="",56&gt;設定!$B$3,原始資料!BG307=""),"",IF(AND(原始資料!BF307&lt;&gt;"",原始資料!BG307=原始資料!BF307),N(BD307)+1,1))</f>
        <v/>
      </c>
      <c r="BF307" s="6">
        <f>IF(OR(原始資料!$A307="",57&gt;設定!$B$3,原始資料!BH307=""),"",IF(AND(原始資料!BG307&lt;&gt;"",原始資料!BH307=原始資料!BG307),N(BE307)+1,1))</f>
        <v/>
      </c>
      <c r="BG307" s="6">
        <f>IF(OR(原始資料!$A307="",58&gt;設定!$B$3,原始資料!BI307=""),"",IF(AND(原始資料!BH307&lt;&gt;"",原始資料!BI307=原始資料!BH307),N(BF307)+1,1))</f>
        <v/>
      </c>
      <c r="BH307" s="6">
        <f>IF(OR(原始資料!$A307="",59&gt;設定!$B$3,原始資料!BJ307=""),"",IF(AND(原始資料!BI307&lt;&gt;"",原始資料!BJ307=原始資料!BI307),N(BG307)+1,1))</f>
        <v/>
      </c>
      <c r="BI307" s="6">
        <f>IF(OR(原始資料!$A307="",60&gt;設定!$B$3,原始資料!BK307=""),"",IF(AND(原始資料!BJ307&lt;&gt;"",原始資料!BK307=原始資料!BJ307),N(BH307)+1,1))</f>
        <v/>
      </c>
    </row>
    <row r="308">
      <c r="A308" s="6">
        <f>IF(原始資料!$A308="","",原始資料!$A308)</f>
        <v/>
      </c>
      <c r="B308" s="6">
        <f>IF(OR(原始資料!$A308="",1&gt;設定!$B$3,原始資料!D308=""),"",1)</f>
        <v/>
      </c>
      <c r="C308" s="6">
        <f>IF(OR(原始資料!$A308="",2&gt;設定!$B$3,原始資料!E308=""),"",IF(AND(原始資料!D308&lt;&gt;"",原始資料!E308=原始資料!D308),N(B308)+1,1))</f>
        <v/>
      </c>
      <c r="D308" s="6">
        <f>IF(OR(原始資料!$A308="",3&gt;設定!$B$3,原始資料!F308=""),"",IF(AND(原始資料!E308&lt;&gt;"",原始資料!F308=原始資料!E308),N(C308)+1,1))</f>
        <v/>
      </c>
      <c r="E308" s="6">
        <f>IF(OR(原始資料!$A308="",4&gt;設定!$B$3,原始資料!G308=""),"",IF(AND(原始資料!F308&lt;&gt;"",原始資料!G308=原始資料!F308),N(D308)+1,1))</f>
        <v/>
      </c>
      <c r="F308" s="6">
        <f>IF(OR(原始資料!$A308="",5&gt;設定!$B$3,原始資料!H308=""),"",IF(AND(原始資料!G308&lt;&gt;"",原始資料!H308=原始資料!G308),N(E308)+1,1))</f>
        <v/>
      </c>
      <c r="G308" s="6">
        <f>IF(OR(原始資料!$A308="",6&gt;設定!$B$3,原始資料!I308=""),"",IF(AND(原始資料!H308&lt;&gt;"",原始資料!I308=原始資料!H308),N(F308)+1,1))</f>
        <v/>
      </c>
      <c r="H308" s="6">
        <f>IF(OR(原始資料!$A308="",7&gt;設定!$B$3,原始資料!J308=""),"",IF(AND(原始資料!I308&lt;&gt;"",原始資料!J308=原始資料!I308),N(G308)+1,1))</f>
        <v/>
      </c>
      <c r="I308" s="6">
        <f>IF(OR(原始資料!$A308="",8&gt;設定!$B$3,原始資料!K308=""),"",IF(AND(原始資料!J308&lt;&gt;"",原始資料!K308=原始資料!J308),N(H308)+1,1))</f>
        <v/>
      </c>
      <c r="J308" s="6">
        <f>IF(OR(原始資料!$A308="",9&gt;設定!$B$3,原始資料!L308=""),"",IF(AND(原始資料!K308&lt;&gt;"",原始資料!L308=原始資料!K308),N(I308)+1,1))</f>
        <v/>
      </c>
      <c r="K308" s="6">
        <f>IF(OR(原始資料!$A308="",10&gt;設定!$B$3,原始資料!M308=""),"",IF(AND(原始資料!L308&lt;&gt;"",原始資料!M308=原始資料!L308),N(J308)+1,1))</f>
        <v/>
      </c>
      <c r="L308" s="6">
        <f>IF(OR(原始資料!$A308="",11&gt;設定!$B$3,原始資料!N308=""),"",IF(AND(原始資料!M308&lt;&gt;"",原始資料!N308=原始資料!M308),N(K308)+1,1))</f>
        <v/>
      </c>
      <c r="M308" s="6">
        <f>IF(OR(原始資料!$A308="",12&gt;設定!$B$3,原始資料!O308=""),"",IF(AND(原始資料!N308&lt;&gt;"",原始資料!O308=原始資料!N308),N(L308)+1,1))</f>
        <v/>
      </c>
      <c r="N308" s="6">
        <f>IF(OR(原始資料!$A308="",13&gt;設定!$B$3,原始資料!P308=""),"",IF(AND(原始資料!O308&lt;&gt;"",原始資料!P308=原始資料!O308),N(M308)+1,1))</f>
        <v/>
      </c>
      <c r="O308" s="6">
        <f>IF(OR(原始資料!$A308="",14&gt;設定!$B$3,原始資料!Q308=""),"",IF(AND(原始資料!P308&lt;&gt;"",原始資料!Q308=原始資料!P308),N(N308)+1,1))</f>
        <v/>
      </c>
      <c r="P308" s="6">
        <f>IF(OR(原始資料!$A308="",15&gt;設定!$B$3,原始資料!R308=""),"",IF(AND(原始資料!Q308&lt;&gt;"",原始資料!R308=原始資料!Q308),N(O308)+1,1))</f>
        <v/>
      </c>
      <c r="Q308" s="6">
        <f>IF(OR(原始資料!$A308="",16&gt;設定!$B$3,原始資料!S308=""),"",IF(AND(原始資料!R308&lt;&gt;"",原始資料!S308=原始資料!R308),N(P308)+1,1))</f>
        <v/>
      </c>
      <c r="R308" s="6">
        <f>IF(OR(原始資料!$A308="",17&gt;設定!$B$3,原始資料!T308=""),"",IF(AND(原始資料!S308&lt;&gt;"",原始資料!T308=原始資料!S308),N(Q308)+1,1))</f>
        <v/>
      </c>
      <c r="S308" s="6">
        <f>IF(OR(原始資料!$A308="",18&gt;設定!$B$3,原始資料!U308=""),"",IF(AND(原始資料!T308&lt;&gt;"",原始資料!U308=原始資料!T308),N(R308)+1,1))</f>
        <v/>
      </c>
      <c r="T308" s="6">
        <f>IF(OR(原始資料!$A308="",19&gt;設定!$B$3,原始資料!V308=""),"",IF(AND(原始資料!U308&lt;&gt;"",原始資料!V308=原始資料!U308),N(S308)+1,1))</f>
        <v/>
      </c>
      <c r="U308" s="6">
        <f>IF(OR(原始資料!$A308="",20&gt;設定!$B$3,原始資料!W308=""),"",IF(AND(原始資料!V308&lt;&gt;"",原始資料!W308=原始資料!V308),N(T308)+1,1))</f>
        <v/>
      </c>
      <c r="V308" s="6">
        <f>IF(OR(原始資料!$A308="",21&gt;設定!$B$3,原始資料!X308=""),"",IF(AND(原始資料!W308&lt;&gt;"",原始資料!X308=原始資料!W308),N(U308)+1,1))</f>
        <v/>
      </c>
      <c r="W308" s="6">
        <f>IF(OR(原始資料!$A308="",22&gt;設定!$B$3,原始資料!Y308=""),"",IF(AND(原始資料!X308&lt;&gt;"",原始資料!Y308=原始資料!X308),N(V308)+1,1))</f>
        <v/>
      </c>
      <c r="X308" s="6">
        <f>IF(OR(原始資料!$A308="",23&gt;設定!$B$3,原始資料!Z308=""),"",IF(AND(原始資料!Y308&lt;&gt;"",原始資料!Z308=原始資料!Y308),N(W308)+1,1))</f>
        <v/>
      </c>
      <c r="Y308" s="6">
        <f>IF(OR(原始資料!$A308="",24&gt;設定!$B$3,原始資料!AA308=""),"",IF(AND(原始資料!Z308&lt;&gt;"",原始資料!AA308=原始資料!Z308),N(X308)+1,1))</f>
        <v/>
      </c>
      <c r="Z308" s="6">
        <f>IF(OR(原始資料!$A308="",25&gt;設定!$B$3,原始資料!AB308=""),"",IF(AND(原始資料!AA308&lt;&gt;"",原始資料!AB308=原始資料!AA308),N(Y308)+1,1))</f>
        <v/>
      </c>
      <c r="AA308" s="6">
        <f>IF(OR(原始資料!$A308="",26&gt;設定!$B$3,原始資料!AC308=""),"",IF(AND(原始資料!AB308&lt;&gt;"",原始資料!AC308=原始資料!AB308),N(Z308)+1,1))</f>
        <v/>
      </c>
      <c r="AB308" s="6">
        <f>IF(OR(原始資料!$A308="",27&gt;設定!$B$3,原始資料!AD308=""),"",IF(AND(原始資料!AC308&lt;&gt;"",原始資料!AD308=原始資料!AC308),N(AA308)+1,1))</f>
        <v/>
      </c>
      <c r="AC308" s="6">
        <f>IF(OR(原始資料!$A308="",28&gt;設定!$B$3,原始資料!AE308=""),"",IF(AND(原始資料!AD308&lt;&gt;"",原始資料!AE308=原始資料!AD308),N(AB308)+1,1))</f>
        <v/>
      </c>
      <c r="AD308" s="6">
        <f>IF(OR(原始資料!$A308="",29&gt;設定!$B$3,原始資料!AF308=""),"",IF(AND(原始資料!AE308&lt;&gt;"",原始資料!AF308=原始資料!AE308),N(AC308)+1,1))</f>
        <v/>
      </c>
      <c r="AE308" s="6">
        <f>IF(OR(原始資料!$A308="",30&gt;設定!$B$3,原始資料!AG308=""),"",IF(AND(原始資料!AF308&lt;&gt;"",原始資料!AG308=原始資料!AF308),N(AD308)+1,1))</f>
        <v/>
      </c>
      <c r="AF308" s="6">
        <f>IF(OR(原始資料!$A308="",31&gt;設定!$B$3,原始資料!AH308=""),"",IF(AND(原始資料!AG308&lt;&gt;"",原始資料!AH308=原始資料!AG308),N(AE308)+1,1))</f>
        <v/>
      </c>
      <c r="AG308" s="6">
        <f>IF(OR(原始資料!$A308="",32&gt;設定!$B$3,原始資料!AI308=""),"",IF(AND(原始資料!AH308&lt;&gt;"",原始資料!AI308=原始資料!AH308),N(AF308)+1,1))</f>
        <v/>
      </c>
      <c r="AH308" s="6">
        <f>IF(OR(原始資料!$A308="",33&gt;設定!$B$3,原始資料!AJ308=""),"",IF(AND(原始資料!AI308&lt;&gt;"",原始資料!AJ308=原始資料!AI308),N(AG308)+1,1))</f>
        <v/>
      </c>
      <c r="AI308" s="6">
        <f>IF(OR(原始資料!$A308="",34&gt;設定!$B$3,原始資料!AK308=""),"",IF(AND(原始資料!AJ308&lt;&gt;"",原始資料!AK308=原始資料!AJ308),N(AH308)+1,1))</f>
        <v/>
      </c>
      <c r="AJ308" s="6">
        <f>IF(OR(原始資料!$A308="",35&gt;設定!$B$3,原始資料!AL308=""),"",IF(AND(原始資料!AK308&lt;&gt;"",原始資料!AL308=原始資料!AK308),N(AI308)+1,1))</f>
        <v/>
      </c>
      <c r="AK308" s="6">
        <f>IF(OR(原始資料!$A308="",36&gt;設定!$B$3,原始資料!AM308=""),"",IF(AND(原始資料!AL308&lt;&gt;"",原始資料!AM308=原始資料!AL308),N(AJ308)+1,1))</f>
        <v/>
      </c>
      <c r="AL308" s="6">
        <f>IF(OR(原始資料!$A308="",37&gt;設定!$B$3,原始資料!AN308=""),"",IF(AND(原始資料!AM308&lt;&gt;"",原始資料!AN308=原始資料!AM308),N(AK308)+1,1))</f>
        <v/>
      </c>
      <c r="AM308" s="6">
        <f>IF(OR(原始資料!$A308="",38&gt;設定!$B$3,原始資料!AO308=""),"",IF(AND(原始資料!AN308&lt;&gt;"",原始資料!AO308=原始資料!AN308),N(AL308)+1,1))</f>
        <v/>
      </c>
      <c r="AN308" s="6">
        <f>IF(OR(原始資料!$A308="",39&gt;設定!$B$3,原始資料!AP308=""),"",IF(AND(原始資料!AO308&lt;&gt;"",原始資料!AP308=原始資料!AO308),N(AM308)+1,1))</f>
        <v/>
      </c>
      <c r="AO308" s="6">
        <f>IF(OR(原始資料!$A308="",40&gt;設定!$B$3,原始資料!AQ308=""),"",IF(AND(原始資料!AP308&lt;&gt;"",原始資料!AQ308=原始資料!AP308),N(AN308)+1,1))</f>
        <v/>
      </c>
      <c r="AP308" s="6">
        <f>IF(OR(原始資料!$A308="",41&gt;設定!$B$3,原始資料!AR308=""),"",IF(AND(原始資料!AQ308&lt;&gt;"",原始資料!AR308=原始資料!AQ308),N(AO308)+1,1))</f>
        <v/>
      </c>
      <c r="AQ308" s="6">
        <f>IF(OR(原始資料!$A308="",42&gt;設定!$B$3,原始資料!AS308=""),"",IF(AND(原始資料!AR308&lt;&gt;"",原始資料!AS308=原始資料!AR308),N(AP308)+1,1))</f>
        <v/>
      </c>
      <c r="AR308" s="6">
        <f>IF(OR(原始資料!$A308="",43&gt;設定!$B$3,原始資料!AT308=""),"",IF(AND(原始資料!AS308&lt;&gt;"",原始資料!AT308=原始資料!AS308),N(AQ308)+1,1))</f>
        <v/>
      </c>
      <c r="AS308" s="6">
        <f>IF(OR(原始資料!$A308="",44&gt;設定!$B$3,原始資料!AU308=""),"",IF(AND(原始資料!AT308&lt;&gt;"",原始資料!AU308=原始資料!AT308),N(AR308)+1,1))</f>
        <v/>
      </c>
      <c r="AT308" s="6">
        <f>IF(OR(原始資料!$A308="",45&gt;設定!$B$3,原始資料!AV308=""),"",IF(AND(原始資料!AU308&lt;&gt;"",原始資料!AV308=原始資料!AU308),N(AS308)+1,1))</f>
        <v/>
      </c>
      <c r="AU308" s="6">
        <f>IF(OR(原始資料!$A308="",46&gt;設定!$B$3,原始資料!AW308=""),"",IF(AND(原始資料!AV308&lt;&gt;"",原始資料!AW308=原始資料!AV308),N(AT308)+1,1))</f>
        <v/>
      </c>
      <c r="AV308" s="6">
        <f>IF(OR(原始資料!$A308="",47&gt;設定!$B$3,原始資料!AX308=""),"",IF(AND(原始資料!AW308&lt;&gt;"",原始資料!AX308=原始資料!AW308),N(AU308)+1,1))</f>
        <v/>
      </c>
      <c r="AW308" s="6">
        <f>IF(OR(原始資料!$A308="",48&gt;設定!$B$3,原始資料!AY308=""),"",IF(AND(原始資料!AX308&lt;&gt;"",原始資料!AY308=原始資料!AX308),N(AV308)+1,1))</f>
        <v/>
      </c>
      <c r="AX308" s="6">
        <f>IF(OR(原始資料!$A308="",49&gt;設定!$B$3,原始資料!AZ308=""),"",IF(AND(原始資料!AY308&lt;&gt;"",原始資料!AZ308=原始資料!AY308),N(AW308)+1,1))</f>
        <v/>
      </c>
      <c r="AY308" s="6">
        <f>IF(OR(原始資料!$A308="",50&gt;設定!$B$3,原始資料!BA308=""),"",IF(AND(原始資料!AZ308&lt;&gt;"",原始資料!BA308=原始資料!AZ308),N(AX308)+1,1))</f>
        <v/>
      </c>
      <c r="AZ308" s="6">
        <f>IF(OR(原始資料!$A308="",51&gt;設定!$B$3,原始資料!BB308=""),"",IF(AND(原始資料!BA308&lt;&gt;"",原始資料!BB308=原始資料!BA308),N(AY308)+1,1))</f>
        <v/>
      </c>
      <c r="BA308" s="6">
        <f>IF(OR(原始資料!$A308="",52&gt;設定!$B$3,原始資料!BC308=""),"",IF(AND(原始資料!BB308&lt;&gt;"",原始資料!BC308=原始資料!BB308),N(AZ308)+1,1))</f>
        <v/>
      </c>
      <c r="BB308" s="6">
        <f>IF(OR(原始資料!$A308="",53&gt;設定!$B$3,原始資料!BD308=""),"",IF(AND(原始資料!BC308&lt;&gt;"",原始資料!BD308=原始資料!BC308),N(BA308)+1,1))</f>
        <v/>
      </c>
      <c r="BC308" s="6">
        <f>IF(OR(原始資料!$A308="",54&gt;設定!$B$3,原始資料!BE308=""),"",IF(AND(原始資料!BD308&lt;&gt;"",原始資料!BE308=原始資料!BD308),N(BB308)+1,1))</f>
        <v/>
      </c>
      <c r="BD308" s="6">
        <f>IF(OR(原始資料!$A308="",55&gt;設定!$B$3,原始資料!BF308=""),"",IF(AND(原始資料!BE308&lt;&gt;"",原始資料!BF308=原始資料!BE308),N(BC308)+1,1))</f>
        <v/>
      </c>
      <c r="BE308" s="6">
        <f>IF(OR(原始資料!$A308="",56&gt;設定!$B$3,原始資料!BG308=""),"",IF(AND(原始資料!BF308&lt;&gt;"",原始資料!BG308=原始資料!BF308),N(BD308)+1,1))</f>
        <v/>
      </c>
      <c r="BF308" s="6">
        <f>IF(OR(原始資料!$A308="",57&gt;設定!$B$3,原始資料!BH308=""),"",IF(AND(原始資料!BG308&lt;&gt;"",原始資料!BH308=原始資料!BG308),N(BE308)+1,1))</f>
        <v/>
      </c>
      <c r="BG308" s="6">
        <f>IF(OR(原始資料!$A308="",58&gt;設定!$B$3,原始資料!BI308=""),"",IF(AND(原始資料!BH308&lt;&gt;"",原始資料!BI308=原始資料!BH308),N(BF308)+1,1))</f>
        <v/>
      </c>
      <c r="BH308" s="6">
        <f>IF(OR(原始資料!$A308="",59&gt;設定!$B$3,原始資料!BJ308=""),"",IF(AND(原始資料!BI308&lt;&gt;"",原始資料!BJ308=原始資料!BI308),N(BG308)+1,1))</f>
        <v/>
      </c>
      <c r="BI308" s="6">
        <f>IF(OR(原始資料!$A308="",60&gt;設定!$B$3,原始資料!BK308=""),"",IF(AND(原始資料!BJ308&lt;&gt;"",原始資料!BK308=原始資料!BJ308),N(BH308)+1,1))</f>
        <v/>
      </c>
    </row>
    <row r="309">
      <c r="A309" s="6">
        <f>IF(原始資料!$A309="","",原始資料!$A309)</f>
        <v/>
      </c>
      <c r="B309" s="6">
        <f>IF(OR(原始資料!$A309="",1&gt;設定!$B$3,原始資料!D309=""),"",1)</f>
        <v/>
      </c>
      <c r="C309" s="6">
        <f>IF(OR(原始資料!$A309="",2&gt;設定!$B$3,原始資料!E309=""),"",IF(AND(原始資料!D309&lt;&gt;"",原始資料!E309=原始資料!D309),N(B309)+1,1))</f>
        <v/>
      </c>
      <c r="D309" s="6">
        <f>IF(OR(原始資料!$A309="",3&gt;設定!$B$3,原始資料!F309=""),"",IF(AND(原始資料!E309&lt;&gt;"",原始資料!F309=原始資料!E309),N(C309)+1,1))</f>
        <v/>
      </c>
      <c r="E309" s="6">
        <f>IF(OR(原始資料!$A309="",4&gt;設定!$B$3,原始資料!G309=""),"",IF(AND(原始資料!F309&lt;&gt;"",原始資料!G309=原始資料!F309),N(D309)+1,1))</f>
        <v/>
      </c>
      <c r="F309" s="6">
        <f>IF(OR(原始資料!$A309="",5&gt;設定!$B$3,原始資料!H309=""),"",IF(AND(原始資料!G309&lt;&gt;"",原始資料!H309=原始資料!G309),N(E309)+1,1))</f>
        <v/>
      </c>
      <c r="G309" s="6">
        <f>IF(OR(原始資料!$A309="",6&gt;設定!$B$3,原始資料!I309=""),"",IF(AND(原始資料!H309&lt;&gt;"",原始資料!I309=原始資料!H309),N(F309)+1,1))</f>
        <v/>
      </c>
      <c r="H309" s="6">
        <f>IF(OR(原始資料!$A309="",7&gt;設定!$B$3,原始資料!J309=""),"",IF(AND(原始資料!I309&lt;&gt;"",原始資料!J309=原始資料!I309),N(G309)+1,1))</f>
        <v/>
      </c>
      <c r="I309" s="6">
        <f>IF(OR(原始資料!$A309="",8&gt;設定!$B$3,原始資料!K309=""),"",IF(AND(原始資料!J309&lt;&gt;"",原始資料!K309=原始資料!J309),N(H309)+1,1))</f>
        <v/>
      </c>
      <c r="J309" s="6">
        <f>IF(OR(原始資料!$A309="",9&gt;設定!$B$3,原始資料!L309=""),"",IF(AND(原始資料!K309&lt;&gt;"",原始資料!L309=原始資料!K309),N(I309)+1,1))</f>
        <v/>
      </c>
      <c r="K309" s="6">
        <f>IF(OR(原始資料!$A309="",10&gt;設定!$B$3,原始資料!M309=""),"",IF(AND(原始資料!L309&lt;&gt;"",原始資料!M309=原始資料!L309),N(J309)+1,1))</f>
        <v/>
      </c>
      <c r="L309" s="6">
        <f>IF(OR(原始資料!$A309="",11&gt;設定!$B$3,原始資料!N309=""),"",IF(AND(原始資料!M309&lt;&gt;"",原始資料!N309=原始資料!M309),N(K309)+1,1))</f>
        <v/>
      </c>
      <c r="M309" s="6">
        <f>IF(OR(原始資料!$A309="",12&gt;設定!$B$3,原始資料!O309=""),"",IF(AND(原始資料!N309&lt;&gt;"",原始資料!O309=原始資料!N309),N(L309)+1,1))</f>
        <v/>
      </c>
      <c r="N309" s="6">
        <f>IF(OR(原始資料!$A309="",13&gt;設定!$B$3,原始資料!P309=""),"",IF(AND(原始資料!O309&lt;&gt;"",原始資料!P309=原始資料!O309),N(M309)+1,1))</f>
        <v/>
      </c>
      <c r="O309" s="6">
        <f>IF(OR(原始資料!$A309="",14&gt;設定!$B$3,原始資料!Q309=""),"",IF(AND(原始資料!P309&lt;&gt;"",原始資料!Q309=原始資料!P309),N(N309)+1,1))</f>
        <v/>
      </c>
      <c r="P309" s="6">
        <f>IF(OR(原始資料!$A309="",15&gt;設定!$B$3,原始資料!R309=""),"",IF(AND(原始資料!Q309&lt;&gt;"",原始資料!R309=原始資料!Q309),N(O309)+1,1))</f>
        <v/>
      </c>
      <c r="Q309" s="6">
        <f>IF(OR(原始資料!$A309="",16&gt;設定!$B$3,原始資料!S309=""),"",IF(AND(原始資料!R309&lt;&gt;"",原始資料!S309=原始資料!R309),N(P309)+1,1))</f>
        <v/>
      </c>
      <c r="R309" s="6">
        <f>IF(OR(原始資料!$A309="",17&gt;設定!$B$3,原始資料!T309=""),"",IF(AND(原始資料!S309&lt;&gt;"",原始資料!T309=原始資料!S309),N(Q309)+1,1))</f>
        <v/>
      </c>
      <c r="S309" s="6">
        <f>IF(OR(原始資料!$A309="",18&gt;設定!$B$3,原始資料!U309=""),"",IF(AND(原始資料!T309&lt;&gt;"",原始資料!U309=原始資料!T309),N(R309)+1,1))</f>
        <v/>
      </c>
      <c r="T309" s="6">
        <f>IF(OR(原始資料!$A309="",19&gt;設定!$B$3,原始資料!V309=""),"",IF(AND(原始資料!U309&lt;&gt;"",原始資料!V309=原始資料!U309),N(S309)+1,1))</f>
        <v/>
      </c>
      <c r="U309" s="6">
        <f>IF(OR(原始資料!$A309="",20&gt;設定!$B$3,原始資料!W309=""),"",IF(AND(原始資料!V309&lt;&gt;"",原始資料!W309=原始資料!V309),N(T309)+1,1))</f>
        <v/>
      </c>
      <c r="V309" s="6">
        <f>IF(OR(原始資料!$A309="",21&gt;設定!$B$3,原始資料!X309=""),"",IF(AND(原始資料!W309&lt;&gt;"",原始資料!X309=原始資料!W309),N(U309)+1,1))</f>
        <v/>
      </c>
      <c r="W309" s="6">
        <f>IF(OR(原始資料!$A309="",22&gt;設定!$B$3,原始資料!Y309=""),"",IF(AND(原始資料!X309&lt;&gt;"",原始資料!Y309=原始資料!X309),N(V309)+1,1))</f>
        <v/>
      </c>
      <c r="X309" s="6">
        <f>IF(OR(原始資料!$A309="",23&gt;設定!$B$3,原始資料!Z309=""),"",IF(AND(原始資料!Y309&lt;&gt;"",原始資料!Z309=原始資料!Y309),N(W309)+1,1))</f>
        <v/>
      </c>
      <c r="Y309" s="6">
        <f>IF(OR(原始資料!$A309="",24&gt;設定!$B$3,原始資料!AA309=""),"",IF(AND(原始資料!Z309&lt;&gt;"",原始資料!AA309=原始資料!Z309),N(X309)+1,1))</f>
        <v/>
      </c>
      <c r="Z309" s="6">
        <f>IF(OR(原始資料!$A309="",25&gt;設定!$B$3,原始資料!AB309=""),"",IF(AND(原始資料!AA309&lt;&gt;"",原始資料!AB309=原始資料!AA309),N(Y309)+1,1))</f>
        <v/>
      </c>
      <c r="AA309" s="6">
        <f>IF(OR(原始資料!$A309="",26&gt;設定!$B$3,原始資料!AC309=""),"",IF(AND(原始資料!AB309&lt;&gt;"",原始資料!AC309=原始資料!AB309),N(Z309)+1,1))</f>
        <v/>
      </c>
      <c r="AB309" s="6">
        <f>IF(OR(原始資料!$A309="",27&gt;設定!$B$3,原始資料!AD309=""),"",IF(AND(原始資料!AC309&lt;&gt;"",原始資料!AD309=原始資料!AC309),N(AA309)+1,1))</f>
        <v/>
      </c>
      <c r="AC309" s="6">
        <f>IF(OR(原始資料!$A309="",28&gt;設定!$B$3,原始資料!AE309=""),"",IF(AND(原始資料!AD309&lt;&gt;"",原始資料!AE309=原始資料!AD309),N(AB309)+1,1))</f>
        <v/>
      </c>
      <c r="AD309" s="6">
        <f>IF(OR(原始資料!$A309="",29&gt;設定!$B$3,原始資料!AF309=""),"",IF(AND(原始資料!AE309&lt;&gt;"",原始資料!AF309=原始資料!AE309),N(AC309)+1,1))</f>
        <v/>
      </c>
      <c r="AE309" s="6">
        <f>IF(OR(原始資料!$A309="",30&gt;設定!$B$3,原始資料!AG309=""),"",IF(AND(原始資料!AF309&lt;&gt;"",原始資料!AG309=原始資料!AF309),N(AD309)+1,1))</f>
        <v/>
      </c>
      <c r="AF309" s="6">
        <f>IF(OR(原始資料!$A309="",31&gt;設定!$B$3,原始資料!AH309=""),"",IF(AND(原始資料!AG309&lt;&gt;"",原始資料!AH309=原始資料!AG309),N(AE309)+1,1))</f>
        <v/>
      </c>
      <c r="AG309" s="6">
        <f>IF(OR(原始資料!$A309="",32&gt;設定!$B$3,原始資料!AI309=""),"",IF(AND(原始資料!AH309&lt;&gt;"",原始資料!AI309=原始資料!AH309),N(AF309)+1,1))</f>
        <v/>
      </c>
      <c r="AH309" s="6">
        <f>IF(OR(原始資料!$A309="",33&gt;設定!$B$3,原始資料!AJ309=""),"",IF(AND(原始資料!AI309&lt;&gt;"",原始資料!AJ309=原始資料!AI309),N(AG309)+1,1))</f>
        <v/>
      </c>
      <c r="AI309" s="6">
        <f>IF(OR(原始資料!$A309="",34&gt;設定!$B$3,原始資料!AK309=""),"",IF(AND(原始資料!AJ309&lt;&gt;"",原始資料!AK309=原始資料!AJ309),N(AH309)+1,1))</f>
        <v/>
      </c>
      <c r="AJ309" s="6">
        <f>IF(OR(原始資料!$A309="",35&gt;設定!$B$3,原始資料!AL309=""),"",IF(AND(原始資料!AK309&lt;&gt;"",原始資料!AL309=原始資料!AK309),N(AI309)+1,1))</f>
        <v/>
      </c>
      <c r="AK309" s="6">
        <f>IF(OR(原始資料!$A309="",36&gt;設定!$B$3,原始資料!AM309=""),"",IF(AND(原始資料!AL309&lt;&gt;"",原始資料!AM309=原始資料!AL309),N(AJ309)+1,1))</f>
        <v/>
      </c>
      <c r="AL309" s="6">
        <f>IF(OR(原始資料!$A309="",37&gt;設定!$B$3,原始資料!AN309=""),"",IF(AND(原始資料!AM309&lt;&gt;"",原始資料!AN309=原始資料!AM309),N(AK309)+1,1))</f>
        <v/>
      </c>
      <c r="AM309" s="6">
        <f>IF(OR(原始資料!$A309="",38&gt;設定!$B$3,原始資料!AO309=""),"",IF(AND(原始資料!AN309&lt;&gt;"",原始資料!AO309=原始資料!AN309),N(AL309)+1,1))</f>
        <v/>
      </c>
      <c r="AN309" s="6">
        <f>IF(OR(原始資料!$A309="",39&gt;設定!$B$3,原始資料!AP309=""),"",IF(AND(原始資料!AO309&lt;&gt;"",原始資料!AP309=原始資料!AO309),N(AM309)+1,1))</f>
        <v/>
      </c>
      <c r="AO309" s="6">
        <f>IF(OR(原始資料!$A309="",40&gt;設定!$B$3,原始資料!AQ309=""),"",IF(AND(原始資料!AP309&lt;&gt;"",原始資料!AQ309=原始資料!AP309),N(AN309)+1,1))</f>
        <v/>
      </c>
      <c r="AP309" s="6">
        <f>IF(OR(原始資料!$A309="",41&gt;設定!$B$3,原始資料!AR309=""),"",IF(AND(原始資料!AQ309&lt;&gt;"",原始資料!AR309=原始資料!AQ309),N(AO309)+1,1))</f>
        <v/>
      </c>
      <c r="AQ309" s="6">
        <f>IF(OR(原始資料!$A309="",42&gt;設定!$B$3,原始資料!AS309=""),"",IF(AND(原始資料!AR309&lt;&gt;"",原始資料!AS309=原始資料!AR309),N(AP309)+1,1))</f>
        <v/>
      </c>
      <c r="AR309" s="6">
        <f>IF(OR(原始資料!$A309="",43&gt;設定!$B$3,原始資料!AT309=""),"",IF(AND(原始資料!AS309&lt;&gt;"",原始資料!AT309=原始資料!AS309),N(AQ309)+1,1))</f>
        <v/>
      </c>
      <c r="AS309" s="6">
        <f>IF(OR(原始資料!$A309="",44&gt;設定!$B$3,原始資料!AU309=""),"",IF(AND(原始資料!AT309&lt;&gt;"",原始資料!AU309=原始資料!AT309),N(AR309)+1,1))</f>
        <v/>
      </c>
      <c r="AT309" s="6">
        <f>IF(OR(原始資料!$A309="",45&gt;設定!$B$3,原始資料!AV309=""),"",IF(AND(原始資料!AU309&lt;&gt;"",原始資料!AV309=原始資料!AU309),N(AS309)+1,1))</f>
        <v/>
      </c>
      <c r="AU309" s="6">
        <f>IF(OR(原始資料!$A309="",46&gt;設定!$B$3,原始資料!AW309=""),"",IF(AND(原始資料!AV309&lt;&gt;"",原始資料!AW309=原始資料!AV309),N(AT309)+1,1))</f>
        <v/>
      </c>
      <c r="AV309" s="6">
        <f>IF(OR(原始資料!$A309="",47&gt;設定!$B$3,原始資料!AX309=""),"",IF(AND(原始資料!AW309&lt;&gt;"",原始資料!AX309=原始資料!AW309),N(AU309)+1,1))</f>
        <v/>
      </c>
      <c r="AW309" s="6">
        <f>IF(OR(原始資料!$A309="",48&gt;設定!$B$3,原始資料!AY309=""),"",IF(AND(原始資料!AX309&lt;&gt;"",原始資料!AY309=原始資料!AX309),N(AV309)+1,1))</f>
        <v/>
      </c>
      <c r="AX309" s="6">
        <f>IF(OR(原始資料!$A309="",49&gt;設定!$B$3,原始資料!AZ309=""),"",IF(AND(原始資料!AY309&lt;&gt;"",原始資料!AZ309=原始資料!AY309),N(AW309)+1,1))</f>
        <v/>
      </c>
      <c r="AY309" s="6">
        <f>IF(OR(原始資料!$A309="",50&gt;設定!$B$3,原始資料!BA309=""),"",IF(AND(原始資料!AZ309&lt;&gt;"",原始資料!BA309=原始資料!AZ309),N(AX309)+1,1))</f>
        <v/>
      </c>
      <c r="AZ309" s="6">
        <f>IF(OR(原始資料!$A309="",51&gt;設定!$B$3,原始資料!BB309=""),"",IF(AND(原始資料!BA309&lt;&gt;"",原始資料!BB309=原始資料!BA309),N(AY309)+1,1))</f>
        <v/>
      </c>
      <c r="BA309" s="6">
        <f>IF(OR(原始資料!$A309="",52&gt;設定!$B$3,原始資料!BC309=""),"",IF(AND(原始資料!BB309&lt;&gt;"",原始資料!BC309=原始資料!BB309),N(AZ309)+1,1))</f>
        <v/>
      </c>
      <c r="BB309" s="6">
        <f>IF(OR(原始資料!$A309="",53&gt;設定!$B$3,原始資料!BD309=""),"",IF(AND(原始資料!BC309&lt;&gt;"",原始資料!BD309=原始資料!BC309),N(BA309)+1,1))</f>
        <v/>
      </c>
      <c r="BC309" s="6">
        <f>IF(OR(原始資料!$A309="",54&gt;設定!$B$3,原始資料!BE309=""),"",IF(AND(原始資料!BD309&lt;&gt;"",原始資料!BE309=原始資料!BD309),N(BB309)+1,1))</f>
        <v/>
      </c>
      <c r="BD309" s="6">
        <f>IF(OR(原始資料!$A309="",55&gt;設定!$B$3,原始資料!BF309=""),"",IF(AND(原始資料!BE309&lt;&gt;"",原始資料!BF309=原始資料!BE309),N(BC309)+1,1))</f>
        <v/>
      </c>
      <c r="BE309" s="6">
        <f>IF(OR(原始資料!$A309="",56&gt;設定!$B$3,原始資料!BG309=""),"",IF(AND(原始資料!BF309&lt;&gt;"",原始資料!BG309=原始資料!BF309),N(BD309)+1,1))</f>
        <v/>
      </c>
      <c r="BF309" s="6">
        <f>IF(OR(原始資料!$A309="",57&gt;設定!$B$3,原始資料!BH309=""),"",IF(AND(原始資料!BG309&lt;&gt;"",原始資料!BH309=原始資料!BG309),N(BE309)+1,1))</f>
        <v/>
      </c>
      <c r="BG309" s="6">
        <f>IF(OR(原始資料!$A309="",58&gt;設定!$B$3,原始資料!BI309=""),"",IF(AND(原始資料!BH309&lt;&gt;"",原始資料!BI309=原始資料!BH309),N(BF309)+1,1))</f>
        <v/>
      </c>
      <c r="BH309" s="6">
        <f>IF(OR(原始資料!$A309="",59&gt;設定!$B$3,原始資料!BJ309=""),"",IF(AND(原始資料!BI309&lt;&gt;"",原始資料!BJ309=原始資料!BI309),N(BG309)+1,1))</f>
        <v/>
      </c>
      <c r="BI309" s="6">
        <f>IF(OR(原始資料!$A309="",60&gt;設定!$B$3,原始資料!BK309=""),"",IF(AND(原始資料!BJ309&lt;&gt;"",原始資料!BK309=原始資料!BJ309),N(BH309)+1,1))</f>
        <v/>
      </c>
    </row>
    <row r="310">
      <c r="A310" s="6">
        <f>IF(原始資料!$A310="","",原始資料!$A310)</f>
        <v/>
      </c>
      <c r="B310" s="6">
        <f>IF(OR(原始資料!$A310="",1&gt;設定!$B$3,原始資料!D310=""),"",1)</f>
        <v/>
      </c>
      <c r="C310" s="6">
        <f>IF(OR(原始資料!$A310="",2&gt;設定!$B$3,原始資料!E310=""),"",IF(AND(原始資料!D310&lt;&gt;"",原始資料!E310=原始資料!D310),N(B310)+1,1))</f>
        <v/>
      </c>
      <c r="D310" s="6">
        <f>IF(OR(原始資料!$A310="",3&gt;設定!$B$3,原始資料!F310=""),"",IF(AND(原始資料!E310&lt;&gt;"",原始資料!F310=原始資料!E310),N(C310)+1,1))</f>
        <v/>
      </c>
      <c r="E310" s="6">
        <f>IF(OR(原始資料!$A310="",4&gt;設定!$B$3,原始資料!G310=""),"",IF(AND(原始資料!F310&lt;&gt;"",原始資料!G310=原始資料!F310),N(D310)+1,1))</f>
        <v/>
      </c>
      <c r="F310" s="6">
        <f>IF(OR(原始資料!$A310="",5&gt;設定!$B$3,原始資料!H310=""),"",IF(AND(原始資料!G310&lt;&gt;"",原始資料!H310=原始資料!G310),N(E310)+1,1))</f>
        <v/>
      </c>
      <c r="G310" s="6">
        <f>IF(OR(原始資料!$A310="",6&gt;設定!$B$3,原始資料!I310=""),"",IF(AND(原始資料!H310&lt;&gt;"",原始資料!I310=原始資料!H310),N(F310)+1,1))</f>
        <v/>
      </c>
      <c r="H310" s="6">
        <f>IF(OR(原始資料!$A310="",7&gt;設定!$B$3,原始資料!J310=""),"",IF(AND(原始資料!I310&lt;&gt;"",原始資料!J310=原始資料!I310),N(G310)+1,1))</f>
        <v/>
      </c>
      <c r="I310" s="6">
        <f>IF(OR(原始資料!$A310="",8&gt;設定!$B$3,原始資料!K310=""),"",IF(AND(原始資料!J310&lt;&gt;"",原始資料!K310=原始資料!J310),N(H310)+1,1))</f>
        <v/>
      </c>
      <c r="J310" s="6">
        <f>IF(OR(原始資料!$A310="",9&gt;設定!$B$3,原始資料!L310=""),"",IF(AND(原始資料!K310&lt;&gt;"",原始資料!L310=原始資料!K310),N(I310)+1,1))</f>
        <v/>
      </c>
      <c r="K310" s="6">
        <f>IF(OR(原始資料!$A310="",10&gt;設定!$B$3,原始資料!M310=""),"",IF(AND(原始資料!L310&lt;&gt;"",原始資料!M310=原始資料!L310),N(J310)+1,1))</f>
        <v/>
      </c>
      <c r="L310" s="6">
        <f>IF(OR(原始資料!$A310="",11&gt;設定!$B$3,原始資料!N310=""),"",IF(AND(原始資料!M310&lt;&gt;"",原始資料!N310=原始資料!M310),N(K310)+1,1))</f>
        <v/>
      </c>
      <c r="M310" s="6">
        <f>IF(OR(原始資料!$A310="",12&gt;設定!$B$3,原始資料!O310=""),"",IF(AND(原始資料!N310&lt;&gt;"",原始資料!O310=原始資料!N310),N(L310)+1,1))</f>
        <v/>
      </c>
      <c r="N310" s="6">
        <f>IF(OR(原始資料!$A310="",13&gt;設定!$B$3,原始資料!P310=""),"",IF(AND(原始資料!O310&lt;&gt;"",原始資料!P310=原始資料!O310),N(M310)+1,1))</f>
        <v/>
      </c>
      <c r="O310" s="6">
        <f>IF(OR(原始資料!$A310="",14&gt;設定!$B$3,原始資料!Q310=""),"",IF(AND(原始資料!P310&lt;&gt;"",原始資料!Q310=原始資料!P310),N(N310)+1,1))</f>
        <v/>
      </c>
      <c r="P310" s="6">
        <f>IF(OR(原始資料!$A310="",15&gt;設定!$B$3,原始資料!R310=""),"",IF(AND(原始資料!Q310&lt;&gt;"",原始資料!R310=原始資料!Q310),N(O310)+1,1))</f>
        <v/>
      </c>
      <c r="Q310" s="6">
        <f>IF(OR(原始資料!$A310="",16&gt;設定!$B$3,原始資料!S310=""),"",IF(AND(原始資料!R310&lt;&gt;"",原始資料!S310=原始資料!R310),N(P310)+1,1))</f>
        <v/>
      </c>
      <c r="R310" s="6">
        <f>IF(OR(原始資料!$A310="",17&gt;設定!$B$3,原始資料!T310=""),"",IF(AND(原始資料!S310&lt;&gt;"",原始資料!T310=原始資料!S310),N(Q310)+1,1))</f>
        <v/>
      </c>
      <c r="S310" s="6">
        <f>IF(OR(原始資料!$A310="",18&gt;設定!$B$3,原始資料!U310=""),"",IF(AND(原始資料!T310&lt;&gt;"",原始資料!U310=原始資料!T310),N(R310)+1,1))</f>
        <v/>
      </c>
      <c r="T310" s="6">
        <f>IF(OR(原始資料!$A310="",19&gt;設定!$B$3,原始資料!V310=""),"",IF(AND(原始資料!U310&lt;&gt;"",原始資料!V310=原始資料!U310),N(S310)+1,1))</f>
        <v/>
      </c>
      <c r="U310" s="6">
        <f>IF(OR(原始資料!$A310="",20&gt;設定!$B$3,原始資料!W310=""),"",IF(AND(原始資料!V310&lt;&gt;"",原始資料!W310=原始資料!V310),N(T310)+1,1))</f>
        <v/>
      </c>
      <c r="V310" s="6">
        <f>IF(OR(原始資料!$A310="",21&gt;設定!$B$3,原始資料!X310=""),"",IF(AND(原始資料!W310&lt;&gt;"",原始資料!X310=原始資料!W310),N(U310)+1,1))</f>
        <v/>
      </c>
      <c r="W310" s="6">
        <f>IF(OR(原始資料!$A310="",22&gt;設定!$B$3,原始資料!Y310=""),"",IF(AND(原始資料!X310&lt;&gt;"",原始資料!Y310=原始資料!X310),N(V310)+1,1))</f>
        <v/>
      </c>
      <c r="X310" s="6">
        <f>IF(OR(原始資料!$A310="",23&gt;設定!$B$3,原始資料!Z310=""),"",IF(AND(原始資料!Y310&lt;&gt;"",原始資料!Z310=原始資料!Y310),N(W310)+1,1))</f>
        <v/>
      </c>
      <c r="Y310" s="6">
        <f>IF(OR(原始資料!$A310="",24&gt;設定!$B$3,原始資料!AA310=""),"",IF(AND(原始資料!Z310&lt;&gt;"",原始資料!AA310=原始資料!Z310),N(X310)+1,1))</f>
        <v/>
      </c>
      <c r="Z310" s="6">
        <f>IF(OR(原始資料!$A310="",25&gt;設定!$B$3,原始資料!AB310=""),"",IF(AND(原始資料!AA310&lt;&gt;"",原始資料!AB310=原始資料!AA310),N(Y310)+1,1))</f>
        <v/>
      </c>
      <c r="AA310" s="6">
        <f>IF(OR(原始資料!$A310="",26&gt;設定!$B$3,原始資料!AC310=""),"",IF(AND(原始資料!AB310&lt;&gt;"",原始資料!AC310=原始資料!AB310),N(Z310)+1,1))</f>
        <v/>
      </c>
      <c r="AB310" s="6">
        <f>IF(OR(原始資料!$A310="",27&gt;設定!$B$3,原始資料!AD310=""),"",IF(AND(原始資料!AC310&lt;&gt;"",原始資料!AD310=原始資料!AC310),N(AA310)+1,1))</f>
        <v/>
      </c>
      <c r="AC310" s="6">
        <f>IF(OR(原始資料!$A310="",28&gt;設定!$B$3,原始資料!AE310=""),"",IF(AND(原始資料!AD310&lt;&gt;"",原始資料!AE310=原始資料!AD310),N(AB310)+1,1))</f>
        <v/>
      </c>
      <c r="AD310" s="6">
        <f>IF(OR(原始資料!$A310="",29&gt;設定!$B$3,原始資料!AF310=""),"",IF(AND(原始資料!AE310&lt;&gt;"",原始資料!AF310=原始資料!AE310),N(AC310)+1,1))</f>
        <v/>
      </c>
      <c r="AE310" s="6">
        <f>IF(OR(原始資料!$A310="",30&gt;設定!$B$3,原始資料!AG310=""),"",IF(AND(原始資料!AF310&lt;&gt;"",原始資料!AG310=原始資料!AF310),N(AD310)+1,1))</f>
        <v/>
      </c>
      <c r="AF310" s="6">
        <f>IF(OR(原始資料!$A310="",31&gt;設定!$B$3,原始資料!AH310=""),"",IF(AND(原始資料!AG310&lt;&gt;"",原始資料!AH310=原始資料!AG310),N(AE310)+1,1))</f>
        <v/>
      </c>
      <c r="AG310" s="6">
        <f>IF(OR(原始資料!$A310="",32&gt;設定!$B$3,原始資料!AI310=""),"",IF(AND(原始資料!AH310&lt;&gt;"",原始資料!AI310=原始資料!AH310),N(AF310)+1,1))</f>
        <v/>
      </c>
      <c r="AH310" s="6">
        <f>IF(OR(原始資料!$A310="",33&gt;設定!$B$3,原始資料!AJ310=""),"",IF(AND(原始資料!AI310&lt;&gt;"",原始資料!AJ310=原始資料!AI310),N(AG310)+1,1))</f>
        <v/>
      </c>
      <c r="AI310" s="6">
        <f>IF(OR(原始資料!$A310="",34&gt;設定!$B$3,原始資料!AK310=""),"",IF(AND(原始資料!AJ310&lt;&gt;"",原始資料!AK310=原始資料!AJ310),N(AH310)+1,1))</f>
        <v/>
      </c>
      <c r="AJ310" s="6">
        <f>IF(OR(原始資料!$A310="",35&gt;設定!$B$3,原始資料!AL310=""),"",IF(AND(原始資料!AK310&lt;&gt;"",原始資料!AL310=原始資料!AK310),N(AI310)+1,1))</f>
        <v/>
      </c>
      <c r="AK310" s="6">
        <f>IF(OR(原始資料!$A310="",36&gt;設定!$B$3,原始資料!AM310=""),"",IF(AND(原始資料!AL310&lt;&gt;"",原始資料!AM310=原始資料!AL310),N(AJ310)+1,1))</f>
        <v/>
      </c>
      <c r="AL310" s="6">
        <f>IF(OR(原始資料!$A310="",37&gt;設定!$B$3,原始資料!AN310=""),"",IF(AND(原始資料!AM310&lt;&gt;"",原始資料!AN310=原始資料!AM310),N(AK310)+1,1))</f>
        <v/>
      </c>
      <c r="AM310" s="6">
        <f>IF(OR(原始資料!$A310="",38&gt;設定!$B$3,原始資料!AO310=""),"",IF(AND(原始資料!AN310&lt;&gt;"",原始資料!AO310=原始資料!AN310),N(AL310)+1,1))</f>
        <v/>
      </c>
      <c r="AN310" s="6">
        <f>IF(OR(原始資料!$A310="",39&gt;設定!$B$3,原始資料!AP310=""),"",IF(AND(原始資料!AO310&lt;&gt;"",原始資料!AP310=原始資料!AO310),N(AM310)+1,1))</f>
        <v/>
      </c>
      <c r="AO310" s="6">
        <f>IF(OR(原始資料!$A310="",40&gt;設定!$B$3,原始資料!AQ310=""),"",IF(AND(原始資料!AP310&lt;&gt;"",原始資料!AQ310=原始資料!AP310),N(AN310)+1,1))</f>
        <v/>
      </c>
      <c r="AP310" s="6">
        <f>IF(OR(原始資料!$A310="",41&gt;設定!$B$3,原始資料!AR310=""),"",IF(AND(原始資料!AQ310&lt;&gt;"",原始資料!AR310=原始資料!AQ310),N(AO310)+1,1))</f>
        <v/>
      </c>
      <c r="AQ310" s="6">
        <f>IF(OR(原始資料!$A310="",42&gt;設定!$B$3,原始資料!AS310=""),"",IF(AND(原始資料!AR310&lt;&gt;"",原始資料!AS310=原始資料!AR310),N(AP310)+1,1))</f>
        <v/>
      </c>
      <c r="AR310" s="6">
        <f>IF(OR(原始資料!$A310="",43&gt;設定!$B$3,原始資料!AT310=""),"",IF(AND(原始資料!AS310&lt;&gt;"",原始資料!AT310=原始資料!AS310),N(AQ310)+1,1))</f>
        <v/>
      </c>
      <c r="AS310" s="6">
        <f>IF(OR(原始資料!$A310="",44&gt;設定!$B$3,原始資料!AU310=""),"",IF(AND(原始資料!AT310&lt;&gt;"",原始資料!AU310=原始資料!AT310),N(AR310)+1,1))</f>
        <v/>
      </c>
      <c r="AT310" s="6">
        <f>IF(OR(原始資料!$A310="",45&gt;設定!$B$3,原始資料!AV310=""),"",IF(AND(原始資料!AU310&lt;&gt;"",原始資料!AV310=原始資料!AU310),N(AS310)+1,1))</f>
        <v/>
      </c>
      <c r="AU310" s="6">
        <f>IF(OR(原始資料!$A310="",46&gt;設定!$B$3,原始資料!AW310=""),"",IF(AND(原始資料!AV310&lt;&gt;"",原始資料!AW310=原始資料!AV310),N(AT310)+1,1))</f>
        <v/>
      </c>
      <c r="AV310" s="6">
        <f>IF(OR(原始資料!$A310="",47&gt;設定!$B$3,原始資料!AX310=""),"",IF(AND(原始資料!AW310&lt;&gt;"",原始資料!AX310=原始資料!AW310),N(AU310)+1,1))</f>
        <v/>
      </c>
      <c r="AW310" s="6">
        <f>IF(OR(原始資料!$A310="",48&gt;設定!$B$3,原始資料!AY310=""),"",IF(AND(原始資料!AX310&lt;&gt;"",原始資料!AY310=原始資料!AX310),N(AV310)+1,1))</f>
        <v/>
      </c>
      <c r="AX310" s="6">
        <f>IF(OR(原始資料!$A310="",49&gt;設定!$B$3,原始資料!AZ310=""),"",IF(AND(原始資料!AY310&lt;&gt;"",原始資料!AZ310=原始資料!AY310),N(AW310)+1,1))</f>
        <v/>
      </c>
      <c r="AY310" s="6">
        <f>IF(OR(原始資料!$A310="",50&gt;設定!$B$3,原始資料!BA310=""),"",IF(AND(原始資料!AZ310&lt;&gt;"",原始資料!BA310=原始資料!AZ310),N(AX310)+1,1))</f>
        <v/>
      </c>
      <c r="AZ310" s="6">
        <f>IF(OR(原始資料!$A310="",51&gt;設定!$B$3,原始資料!BB310=""),"",IF(AND(原始資料!BA310&lt;&gt;"",原始資料!BB310=原始資料!BA310),N(AY310)+1,1))</f>
        <v/>
      </c>
      <c r="BA310" s="6">
        <f>IF(OR(原始資料!$A310="",52&gt;設定!$B$3,原始資料!BC310=""),"",IF(AND(原始資料!BB310&lt;&gt;"",原始資料!BC310=原始資料!BB310),N(AZ310)+1,1))</f>
        <v/>
      </c>
      <c r="BB310" s="6">
        <f>IF(OR(原始資料!$A310="",53&gt;設定!$B$3,原始資料!BD310=""),"",IF(AND(原始資料!BC310&lt;&gt;"",原始資料!BD310=原始資料!BC310),N(BA310)+1,1))</f>
        <v/>
      </c>
      <c r="BC310" s="6">
        <f>IF(OR(原始資料!$A310="",54&gt;設定!$B$3,原始資料!BE310=""),"",IF(AND(原始資料!BD310&lt;&gt;"",原始資料!BE310=原始資料!BD310),N(BB310)+1,1))</f>
        <v/>
      </c>
      <c r="BD310" s="6">
        <f>IF(OR(原始資料!$A310="",55&gt;設定!$B$3,原始資料!BF310=""),"",IF(AND(原始資料!BE310&lt;&gt;"",原始資料!BF310=原始資料!BE310),N(BC310)+1,1))</f>
        <v/>
      </c>
      <c r="BE310" s="6">
        <f>IF(OR(原始資料!$A310="",56&gt;設定!$B$3,原始資料!BG310=""),"",IF(AND(原始資料!BF310&lt;&gt;"",原始資料!BG310=原始資料!BF310),N(BD310)+1,1))</f>
        <v/>
      </c>
      <c r="BF310" s="6">
        <f>IF(OR(原始資料!$A310="",57&gt;設定!$B$3,原始資料!BH310=""),"",IF(AND(原始資料!BG310&lt;&gt;"",原始資料!BH310=原始資料!BG310),N(BE310)+1,1))</f>
        <v/>
      </c>
      <c r="BG310" s="6">
        <f>IF(OR(原始資料!$A310="",58&gt;設定!$B$3,原始資料!BI310=""),"",IF(AND(原始資料!BH310&lt;&gt;"",原始資料!BI310=原始資料!BH310),N(BF310)+1,1))</f>
        <v/>
      </c>
      <c r="BH310" s="6">
        <f>IF(OR(原始資料!$A310="",59&gt;設定!$B$3,原始資料!BJ310=""),"",IF(AND(原始資料!BI310&lt;&gt;"",原始資料!BJ310=原始資料!BI310),N(BG310)+1,1))</f>
        <v/>
      </c>
      <c r="BI310" s="6">
        <f>IF(OR(原始資料!$A310="",60&gt;設定!$B$3,原始資料!BK310=""),"",IF(AND(原始資料!BJ310&lt;&gt;"",原始資料!BK310=原始資料!BJ310),N(BH310)+1,1))</f>
        <v/>
      </c>
    </row>
    <row r="311">
      <c r="A311" s="6">
        <f>IF(原始資料!$A311="","",原始資料!$A311)</f>
        <v/>
      </c>
      <c r="B311" s="6">
        <f>IF(OR(原始資料!$A311="",1&gt;設定!$B$3,原始資料!D311=""),"",1)</f>
        <v/>
      </c>
      <c r="C311" s="6">
        <f>IF(OR(原始資料!$A311="",2&gt;設定!$B$3,原始資料!E311=""),"",IF(AND(原始資料!D311&lt;&gt;"",原始資料!E311=原始資料!D311),N(B311)+1,1))</f>
        <v/>
      </c>
      <c r="D311" s="6">
        <f>IF(OR(原始資料!$A311="",3&gt;設定!$B$3,原始資料!F311=""),"",IF(AND(原始資料!E311&lt;&gt;"",原始資料!F311=原始資料!E311),N(C311)+1,1))</f>
        <v/>
      </c>
      <c r="E311" s="6">
        <f>IF(OR(原始資料!$A311="",4&gt;設定!$B$3,原始資料!G311=""),"",IF(AND(原始資料!F311&lt;&gt;"",原始資料!G311=原始資料!F311),N(D311)+1,1))</f>
        <v/>
      </c>
      <c r="F311" s="6">
        <f>IF(OR(原始資料!$A311="",5&gt;設定!$B$3,原始資料!H311=""),"",IF(AND(原始資料!G311&lt;&gt;"",原始資料!H311=原始資料!G311),N(E311)+1,1))</f>
        <v/>
      </c>
      <c r="G311" s="6">
        <f>IF(OR(原始資料!$A311="",6&gt;設定!$B$3,原始資料!I311=""),"",IF(AND(原始資料!H311&lt;&gt;"",原始資料!I311=原始資料!H311),N(F311)+1,1))</f>
        <v/>
      </c>
      <c r="H311" s="6">
        <f>IF(OR(原始資料!$A311="",7&gt;設定!$B$3,原始資料!J311=""),"",IF(AND(原始資料!I311&lt;&gt;"",原始資料!J311=原始資料!I311),N(G311)+1,1))</f>
        <v/>
      </c>
      <c r="I311" s="6">
        <f>IF(OR(原始資料!$A311="",8&gt;設定!$B$3,原始資料!K311=""),"",IF(AND(原始資料!J311&lt;&gt;"",原始資料!K311=原始資料!J311),N(H311)+1,1))</f>
        <v/>
      </c>
      <c r="J311" s="6">
        <f>IF(OR(原始資料!$A311="",9&gt;設定!$B$3,原始資料!L311=""),"",IF(AND(原始資料!K311&lt;&gt;"",原始資料!L311=原始資料!K311),N(I311)+1,1))</f>
        <v/>
      </c>
      <c r="K311" s="6">
        <f>IF(OR(原始資料!$A311="",10&gt;設定!$B$3,原始資料!M311=""),"",IF(AND(原始資料!L311&lt;&gt;"",原始資料!M311=原始資料!L311),N(J311)+1,1))</f>
        <v/>
      </c>
      <c r="L311" s="6">
        <f>IF(OR(原始資料!$A311="",11&gt;設定!$B$3,原始資料!N311=""),"",IF(AND(原始資料!M311&lt;&gt;"",原始資料!N311=原始資料!M311),N(K311)+1,1))</f>
        <v/>
      </c>
      <c r="M311" s="6">
        <f>IF(OR(原始資料!$A311="",12&gt;設定!$B$3,原始資料!O311=""),"",IF(AND(原始資料!N311&lt;&gt;"",原始資料!O311=原始資料!N311),N(L311)+1,1))</f>
        <v/>
      </c>
      <c r="N311" s="6">
        <f>IF(OR(原始資料!$A311="",13&gt;設定!$B$3,原始資料!P311=""),"",IF(AND(原始資料!O311&lt;&gt;"",原始資料!P311=原始資料!O311),N(M311)+1,1))</f>
        <v/>
      </c>
      <c r="O311" s="6">
        <f>IF(OR(原始資料!$A311="",14&gt;設定!$B$3,原始資料!Q311=""),"",IF(AND(原始資料!P311&lt;&gt;"",原始資料!Q311=原始資料!P311),N(N311)+1,1))</f>
        <v/>
      </c>
      <c r="P311" s="6">
        <f>IF(OR(原始資料!$A311="",15&gt;設定!$B$3,原始資料!R311=""),"",IF(AND(原始資料!Q311&lt;&gt;"",原始資料!R311=原始資料!Q311),N(O311)+1,1))</f>
        <v/>
      </c>
      <c r="Q311" s="6">
        <f>IF(OR(原始資料!$A311="",16&gt;設定!$B$3,原始資料!S311=""),"",IF(AND(原始資料!R311&lt;&gt;"",原始資料!S311=原始資料!R311),N(P311)+1,1))</f>
        <v/>
      </c>
      <c r="R311" s="6">
        <f>IF(OR(原始資料!$A311="",17&gt;設定!$B$3,原始資料!T311=""),"",IF(AND(原始資料!S311&lt;&gt;"",原始資料!T311=原始資料!S311),N(Q311)+1,1))</f>
        <v/>
      </c>
      <c r="S311" s="6">
        <f>IF(OR(原始資料!$A311="",18&gt;設定!$B$3,原始資料!U311=""),"",IF(AND(原始資料!T311&lt;&gt;"",原始資料!U311=原始資料!T311),N(R311)+1,1))</f>
        <v/>
      </c>
      <c r="T311" s="6">
        <f>IF(OR(原始資料!$A311="",19&gt;設定!$B$3,原始資料!V311=""),"",IF(AND(原始資料!U311&lt;&gt;"",原始資料!V311=原始資料!U311),N(S311)+1,1))</f>
        <v/>
      </c>
      <c r="U311" s="6">
        <f>IF(OR(原始資料!$A311="",20&gt;設定!$B$3,原始資料!W311=""),"",IF(AND(原始資料!V311&lt;&gt;"",原始資料!W311=原始資料!V311),N(T311)+1,1))</f>
        <v/>
      </c>
      <c r="V311" s="6">
        <f>IF(OR(原始資料!$A311="",21&gt;設定!$B$3,原始資料!X311=""),"",IF(AND(原始資料!W311&lt;&gt;"",原始資料!X311=原始資料!W311),N(U311)+1,1))</f>
        <v/>
      </c>
      <c r="W311" s="6">
        <f>IF(OR(原始資料!$A311="",22&gt;設定!$B$3,原始資料!Y311=""),"",IF(AND(原始資料!X311&lt;&gt;"",原始資料!Y311=原始資料!X311),N(V311)+1,1))</f>
        <v/>
      </c>
      <c r="X311" s="6">
        <f>IF(OR(原始資料!$A311="",23&gt;設定!$B$3,原始資料!Z311=""),"",IF(AND(原始資料!Y311&lt;&gt;"",原始資料!Z311=原始資料!Y311),N(W311)+1,1))</f>
        <v/>
      </c>
      <c r="Y311" s="6">
        <f>IF(OR(原始資料!$A311="",24&gt;設定!$B$3,原始資料!AA311=""),"",IF(AND(原始資料!Z311&lt;&gt;"",原始資料!AA311=原始資料!Z311),N(X311)+1,1))</f>
        <v/>
      </c>
      <c r="Z311" s="6">
        <f>IF(OR(原始資料!$A311="",25&gt;設定!$B$3,原始資料!AB311=""),"",IF(AND(原始資料!AA311&lt;&gt;"",原始資料!AB311=原始資料!AA311),N(Y311)+1,1))</f>
        <v/>
      </c>
      <c r="AA311" s="6">
        <f>IF(OR(原始資料!$A311="",26&gt;設定!$B$3,原始資料!AC311=""),"",IF(AND(原始資料!AB311&lt;&gt;"",原始資料!AC311=原始資料!AB311),N(Z311)+1,1))</f>
        <v/>
      </c>
      <c r="AB311" s="6">
        <f>IF(OR(原始資料!$A311="",27&gt;設定!$B$3,原始資料!AD311=""),"",IF(AND(原始資料!AC311&lt;&gt;"",原始資料!AD311=原始資料!AC311),N(AA311)+1,1))</f>
        <v/>
      </c>
      <c r="AC311" s="6">
        <f>IF(OR(原始資料!$A311="",28&gt;設定!$B$3,原始資料!AE311=""),"",IF(AND(原始資料!AD311&lt;&gt;"",原始資料!AE311=原始資料!AD311),N(AB311)+1,1))</f>
        <v/>
      </c>
      <c r="AD311" s="6">
        <f>IF(OR(原始資料!$A311="",29&gt;設定!$B$3,原始資料!AF311=""),"",IF(AND(原始資料!AE311&lt;&gt;"",原始資料!AF311=原始資料!AE311),N(AC311)+1,1))</f>
        <v/>
      </c>
      <c r="AE311" s="6">
        <f>IF(OR(原始資料!$A311="",30&gt;設定!$B$3,原始資料!AG311=""),"",IF(AND(原始資料!AF311&lt;&gt;"",原始資料!AG311=原始資料!AF311),N(AD311)+1,1))</f>
        <v/>
      </c>
      <c r="AF311" s="6">
        <f>IF(OR(原始資料!$A311="",31&gt;設定!$B$3,原始資料!AH311=""),"",IF(AND(原始資料!AG311&lt;&gt;"",原始資料!AH311=原始資料!AG311),N(AE311)+1,1))</f>
        <v/>
      </c>
      <c r="AG311" s="6">
        <f>IF(OR(原始資料!$A311="",32&gt;設定!$B$3,原始資料!AI311=""),"",IF(AND(原始資料!AH311&lt;&gt;"",原始資料!AI311=原始資料!AH311),N(AF311)+1,1))</f>
        <v/>
      </c>
      <c r="AH311" s="6">
        <f>IF(OR(原始資料!$A311="",33&gt;設定!$B$3,原始資料!AJ311=""),"",IF(AND(原始資料!AI311&lt;&gt;"",原始資料!AJ311=原始資料!AI311),N(AG311)+1,1))</f>
        <v/>
      </c>
      <c r="AI311" s="6">
        <f>IF(OR(原始資料!$A311="",34&gt;設定!$B$3,原始資料!AK311=""),"",IF(AND(原始資料!AJ311&lt;&gt;"",原始資料!AK311=原始資料!AJ311),N(AH311)+1,1))</f>
        <v/>
      </c>
      <c r="AJ311" s="6">
        <f>IF(OR(原始資料!$A311="",35&gt;設定!$B$3,原始資料!AL311=""),"",IF(AND(原始資料!AK311&lt;&gt;"",原始資料!AL311=原始資料!AK311),N(AI311)+1,1))</f>
        <v/>
      </c>
      <c r="AK311" s="6">
        <f>IF(OR(原始資料!$A311="",36&gt;設定!$B$3,原始資料!AM311=""),"",IF(AND(原始資料!AL311&lt;&gt;"",原始資料!AM311=原始資料!AL311),N(AJ311)+1,1))</f>
        <v/>
      </c>
      <c r="AL311" s="6">
        <f>IF(OR(原始資料!$A311="",37&gt;設定!$B$3,原始資料!AN311=""),"",IF(AND(原始資料!AM311&lt;&gt;"",原始資料!AN311=原始資料!AM311),N(AK311)+1,1))</f>
        <v/>
      </c>
      <c r="AM311" s="6">
        <f>IF(OR(原始資料!$A311="",38&gt;設定!$B$3,原始資料!AO311=""),"",IF(AND(原始資料!AN311&lt;&gt;"",原始資料!AO311=原始資料!AN311),N(AL311)+1,1))</f>
        <v/>
      </c>
      <c r="AN311" s="6">
        <f>IF(OR(原始資料!$A311="",39&gt;設定!$B$3,原始資料!AP311=""),"",IF(AND(原始資料!AO311&lt;&gt;"",原始資料!AP311=原始資料!AO311),N(AM311)+1,1))</f>
        <v/>
      </c>
      <c r="AO311" s="6">
        <f>IF(OR(原始資料!$A311="",40&gt;設定!$B$3,原始資料!AQ311=""),"",IF(AND(原始資料!AP311&lt;&gt;"",原始資料!AQ311=原始資料!AP311),N(AN311)+1,1))</f>
        <v/>
      </c>
      <c r="AP311" s="6">
        <f>IF(OR(原始資料!$A311="",41&gt;設定!$B$3,原始資料!AR311=""),"",IF(AND(原始資料!AQ311&lt;&gt;"",原始資料!AR311=原始資料!AQ311),N(AO311)+1,1))</f>
        <v/>
      </c>
      <c r="AQ311" s="6">
        <f>IF(OR(原始資料!$A311="",42&gt;設定!$B$3,原始資料!AS311=""),"",IF(AND(原始資料!AR311&lt;&gt;"",原始資料!AS311=原始資料!AR311),N(AP311)+1,1))</f>
        <v/>
      </c>
      <c r="AR311" s="6">
        <f>IF(OR(原始資料!$A311="",43&gt;設定!$B$3,原始資料!AT311=""),"",IF(AND(原始資料!AS311&lt;&gt;"",原始資料!AT311=原始資料!AS311),N(AQ311)+1,1))</f>
        <v/>
      </c>
      <c r="AS311" s="6">
        <f>IF(OR(原始資料!$A311="",44&gt;設定!$B$3,原始資料!AU311=""),"",IF(AND(原始資料!AT311&lt;&gt;"",原始資料!AU311=原始資料!AT311),N(AR311)+1,1))</f>
        <v/>
      </c>
      <c r="AT311" s="6">
        <f>IF(OR(原始資料!$A311="",45&gt;設定!$B$3,原始資料!AV311=""),"",IF(AND(原始資料!AU311&lt;&gt;"",原始資料!AV311=原始資料!AU311),N(AS311)+1,1))</f>
        <v/>
      </c>
      <c r="AU311" s="6">
        <f>IF(OR(原始資料!$A311="",46&gt;設定!$B$3,原始資料!AW311=""),"",IF(AND(原始資料!AV311&lt;&gt;"",原始資料!AW311=原始資料!AV311),N(AT311)+1,1))</f>
        <v/>
      </c>
      <c r="AV311" s="6">
        <f>IF(OR(原始資料!$A311="",47&gt;設定!$B$3,原始資料!AX311=""),"",IF(AND(原始資料!AW311&lt;&gt;"",原始資料!AX311=原始資料!AW311),N(AU311)+1,1))</f>
        <v/>
      </c>
      <c r="AW311" s="6">
        <f>IF(OR(原始資料!$A311="",48&gt;設定!$B$3,原始資料!AY311=""),"",IF(AND(原始資料!AX311&lt;&gt;"",原始資料!AY311=原始資料!AX311),N(AV311)+1,1))</f>
        <v/>
      </c>
      <c r="AX311" s="6">
        <f>IF(OR(原始資料!$A311="",49&gt;設定!$B$3,原始資料!AZ311=""),"",IF(AND(原始資料!AY311&lt;&gt;"",原始資料!AZ311=原始資料!AY311),N(AW311)+1,1))</f>
        <v/>
      </c>
      <c r="AY311" s="6">
        <f>IF(OR(原始資料!$A311="",50&gt;設定!$B$3,原始資料!BA311=""),"",IF(AND(原始資料!AZ311&lt;&gt;"",原始資料!BA311=原始資料!AZ311),N(AX311)+1,1))</f>
        <v/>
      </c>
      <c r="AZ311" s="6">
        <f>IF(OR(原始資料!$A311="",51&gt;設定!$B$3,原始資料!BB311=""),"",IF(AND(原始資料!BA311&lt;&gt;"",原始資料!BB311=原始資料!BA311),N(AY311)+1,1))</f>
        <v/>
      </c>
      <c r="BA311" s="6">
        <f>IF(OR(原始資料!$A311="",52&gt;設定!$B$3,原始資料!BC311=""),"",IF(AND(原始資料!BB311&lt;&gt;"",原始資料!BC311=原始資料!BB311),N(AZ311)+1,1))</f>
        <v/>
      </c>
      <c r="BB311" s="6">
        <f>IF(OR(原始資料!$A311="",53&gt;設定!$B$3,原始資料!BD311=""),"",IF(AND(原始資料!BC311&lt;&gt;"",原始資料!BD311=原始資料!BC311),N(BA311)+1,1))</f>
        <v/>
      </c>
      <c r="BC311" s="6">
        <f>IF(OR(原始資料!$A311="",54&gt;設定!$B$3,原始資料!BE311=""),"",IF(AND(原始資料!BD311&lt;&gt;"",原始資料!BE311=原始資料!BD311),N(BB311)+1,1))</f>
        <v/>
      </c>
      <c r="BD311" s="6">
        <f>IF(OR(原始資料!$A311="",55&gt;設定!$B$3,原始資料!BF311=""),"",IF(AND(原始資料!BE311&lt;&gt;"",原始資料!BF311=原始資料!BE311),N(BC311)+1,1))</f>
        <v/>
      </c>
      <c r="BE311" s="6">
        <f>IF(OR(原始資料!$A311="",56&gt;設定!$B$3,原始資料!BG311=""),"",IF(AND(原始資料!BF311&lt;&gt;"",原始資料!BG311=原始資料!BF311),N(BD311)+1,1))</f>
        <v/>
      </c>
      <c r="BF311" s="6">
        <f>IF(OR(原始資料!$A311="",57&gt;設定!$B$3,原始資料!BH311=""),"",IF(AND(原始資料!BG311&lt;&gt;"",原始資料!BH311=原始資料!BG311),N(BE311)+1,1))</f>
        <v/>
      </c>
      <c r="BG311" s="6">
        <f>IF(OR(原始資料!$A311="",58&gt;設定!$B$3,原始資料!BI311=""),"",IF(AND(原始資料!BH311&lt;&gt;"",原始資料!BI311=原始資料!BH311),N(BF311)+1,1))</f>
        <v/>
      </c>
      <c r="BH311" s="6">
        <f>IF(OR(原始資料!$A311="",59&gt;設定!$B$3,原始資料!BJ311=""),"",IF(AND(原始資料!BI311&lt;&gt;"",原始資料!BJ311=原始資料!BI311),N(BG311)+1,1))</f>
        <v/>
      </c>
      <c r="BI311" s="6">
        <f>IF(OR(原始資料!$A311="",60&gt;設定!$B$3,原始資料!BK311=""),"",IF(AND(原始資料!BJ311&lt;&gt;"",原始資料!BK311=原始資料!BJ311),N(BH311)+1,1))</f>
        <v/>
      </c>
    </row>
    <row r="312">
      <c r="A312" s="6">
        <f>IF(原始資料!$A312="","",原始資料!$A312)</f>
        <v/>
      </c>
      <c r="B312" s="6">
        <f>IF(OR(原始資料!$A312="",1&gt;設定!$B$3,原始資料!D312=""),"",1)</f>
        <v/>
      </c>
      <c r="C312" s="6">
        <f>IF(OR(原始資料!$A312="",2&gt;設定!$B$3,原始資料!E312=""),"",IF(AND(原始資料!D312&lt;&gt;"",原始資料!E312=原始資料!D312),N(B312)+1,1))</f>
        <v/>
      </c>
      <c r="D312" s="6">
        <f>IF(OR(原始資料!$A312="",3&gt;設定!$B$3,原始資料!F312=""),"",IF(AND(原始資料!E312&lt;&gt;"",原始資料!F312=原始資料!E312),N(C312)+1,1))</f>
        <v/>
      </c>
      <c r="E312" s="6">
        <f>IF(OR(原始資料!$A312="",4&gt;設定!$B$3,原始資料!G312=""),"",IF(AND(原始資料!F312&lt;&gt;"",原始資料!G312=原始資料!F312),N(D312)+1,1))</f>
        <v/>
      </c>
      <c r="F312" s="6">
        <f>IF(OR(原始資料!$A312="",5&gt;設定!$B$3,原始資料!H312=""),"",IF(AND(原始資料!G312&lt;&gt;"",原始資料!H312=原始資料!G312),N(E312)+1,1))</f>
        <v/>
      </c>
      <c r="G312" s="6">
        <f>IF(OR(原始資料!$A312="",6&gt;設定!$B$3,原始資料!I312=""),"",IF(AND(原始資料!H312&lt;&gt;"",原始資料!I312=原始資料!H312),N(F312)+1,1))</f>
        <v/>
      </c>
      <c r="H312" s="6">
        <f>IF(OR(原始資料!$A312="",7&gt;設定!$B$3,原始資料!J312=""),"",IF(AND(原始資料!I312&lt;&gt;"",原始資料!J312=原始資料!I312),N(G312)+1,1))</f>
        <v/>
      </c>
      <c r="I312" s="6">
        <f>IF(OR(原始資料!$A312="",8&gt;設定!$B$3,原始資料!K312=""),"",IF(AND(原始資料!J312&lt;&gt;"",原始資料!K312=原始資料!J312),N(H312)+1,1))</f>
        <v/>
      </c>
      <c r="J312" s="6">
        <f>IF(OR(原始資料!$A312="",9&gt;設定!$B$3,原始資料!L312=""),"",IF(AND(原始資料!K312&lt;&gt;"",原始資料!L312=原始資料!K312),N(I312)+1,1))</f>
        <v/>
      </c>
      <c r="K312" s="6">
        <f>IF(OR(原始資料!$A312="",10&gt;設定!$B$3,原始資料!M312=""),"",IF(AND(原始資料!L312&lt;&gt;"",原始資料!M312=原始資料!L312),N(J312)+1,1))</f>
        <v/>
      </c>
      <c r="L312" s="6">
        <f>IF(OR(原始資料!$A312="",11&gt;設定!$B$3,原始資料!N312=""),"",IF(AND(原始資料!M312&lt;&gt;"",原始資料!N312=原始資料!M312),N(K312)+1,1))</f>
        <v/>
      </c>
      <c r="M312" s="6">
        <f>IF(OR(原始資料!$A312="",12&gt;設定!$B$3,原始資料!O312=""),"",IF(AND(原始資料!N312&lt;&gt;"",原始資料!O312=原始資料!N312),N(L312)+1,1))</f>
        <v/>
      </c>
      <c r="N312" s="6">
        <f>IF(OR(原始資料!$A312="",13&gt;設定!$B$3,原始資料!P312=""),"",IF(AND(原始資料!O312&lt;&gt;"",原始資料!P312=原始資料!O312),N(M312)+1,1))</f>
        <v/>
      </c>
      <c r="O312" s="6">
        <f>IF(OR(原始資料!$A312="",14&gt;設定!$B$3,原始資料!Q312=""),"",IF(AND(原始資料!P312&lt;&gt;"",原始資料!Q312=原始資料!P312),N(N312)+1,1))</f>
        <v/>
      </c>
      <c r="P312" s="6">
        <f>IF(OR(原始資料!$A312="",15&gt;設定!$B$3,原始資料!R312=""),"",IF(AND(原始資料!Q312&lt;&gt;"",原始資料!R312=原始資料!Q312),N(O312)+1,1))</f>
        <v/>
      </c>
      <c r="Q312" s="6">
        <f>IF(OR(原始資料!$A312="",16&gt;設定!$B$3,原始資料!S312=""),"",IF(AND(原始資料!R312&lt;&gt;"",原始資料!S312=原始資料!R312),N(P312)+1,1))</f>
        <v/>
      </c>
      <c r="R312" s="6">
        <f>IF(OR(原始資料!$A312="",17&gt;設定!$B$3,原始資料!T312=""),"",IF(AND(原始資料!S312&lt;&gt;"",原始資料!T312=原始資料!S312),N(Q312)+1,1))</f>
        <v/>
      </c>
      <c r="S312" s="6">
        <f>IF(OR(原始資料!$A312="",18&gt;設定!$B$3,原始資料!U312=""),"",IF(AND(原始資料!T312&lt;&gt;"",原始資料!U312=原始資料!T312),N(R312)+1,1))</f>
        <v/>
      </c>
      <c r="T312" s="6">
        <f>IF(OR(原始資料!$A312="",19&gt;設定!$B$3,原始資料!V312=""),"",IF(AND(原始資料!U312&lt;&gt;"",原始資料!V312=原始資料!U312),N(S312)+1,1))</f>
        <v/>
      </c>
      <c r="U312" s="6">
        <f>IF(OR(原始資料!$A312="",20&gt;設定!$B$3,原始資料!W312=""),"",IF(AND(原始資料!V312&lt;&gt;"",原始資料!W312=原始資料!V312),N(T312)+1,1))</f>
        <v/>
      </c>
      <c r="V312" s="6">
        <f>IF(OR(原始資料!$A312="",21&gt;設定!$B$3,原始資料!X312=""),"",IF(AND(原始資料!W312&lt;&gt;"",原始資料!X312=原始資料!W312),N(U312)+1,1))</f>
        <v/>
      </c>
      <c r="W312" s="6">
        <f>IF(OR(原始資料!$A312="",22&gt;設定!$B$3,原始資料!Y312=""),"",IF(AND(原始資料!X312&lt;&gt;"",原始資料!Y312=原始資料!X312),N(V312)+1,1))</f>
        <v/>
      </c>
      <c r="X312" s="6">
        <f>IF(OR(原始資料!$A312="",23&gt;設定!$B$3,原始資料!Z312=""),"",IF(AND(原始資料!Y312&lt;&gt;"",原始資料!Z312=原始資料!Y312),N(W312)+1,1))</f>
        <v/>
      </c>
      <c r="Y312" s="6">
        <f>IF(OR(原始資料!$A312="",24&gt;設定!$B$3,原始資料!AA312=""),"",IF(AND(原始資料!Z312&lt;&gt;"",原始資料!AA312=原始資料!Z312),N(X312)+1,1))</f>
        <v/>
      </c>
      <c r="Z312" s="6">
        <f>IF(OR(原始資料!$A312="",25&gt;設定!$B$3,原始資料!AB312=""),"",IF(AND(原始資料!AA312&lt;&gt;"",原始資料!AB312=原始資料!AA312),N(Y312)+1,1))</f>
        <v/>
      </c>
      <c r="AA312" s="6">
        <f>IF(OR(原始資料!$A312="",26&gt;設定!$B$3,原始資料!AC312=""),"",IF(AND(原始資料!AB312&lt;&gt;"",原始資料!AC312=原始資料!AB312),N(Z312)+1,1))</f>
        <v/>
      </c>
      <c r="AB312" s="6">
        <f>IF(OR(原始資料!$A312="",27&gt;設定!$B$3,原始資料!AD312=""),"",IF(AND(原始資料!AC312&lt;&gt;"",原始資料!AD312=原始資料!AC312),N(AA312)+1,1))</f>
        <v/>
      </c>
      <c r="AC312" s="6">
        <f>IF(OR(原始資料!$A312="",28&gt;設定!$B$3,原始資料!AE312=""),"",IF(AND(原始資料!AD312&lt;&gt;"",原始資料!AE312=原始資料!AD312),N(AB312)+1,1))</f>
        <v/>
      </c>
      <c r="AD312" s="6">
        <f>IF(OR(原始資料!$A312="",29&gt;設定!$B$3,原始資料!AF312=""),"",IF(AND(原始資料!AE312&lt;&gt;"",原始資料!AF312=原始資料!AE312),N(AC312)+1,1))</f>
        <v/>
      </c>
      <c r="AE312" s="6">
        <f>IF(OR(原始資料!$A312="",30&gt;設定!$B$3,原始資料!AG312=""),"",IF(AND(原始資料!AF312&lt;&gt;"",原始資料!AG312=原始資料!AF312),N(AD312)+1,1))</f>
        <v/>
      </c>
      <c r="AF312" s="6">
        <f>IF(OR(原始資料!$A312="",31&gt;設定!$B$3,原始資料!AH312=""),"",IF(AND(原始資料!AG312&lt;&gt;"",原始資料!AH312=原始資料!AG312),N(AE312)+1,1))</f>
        <v/>
      </c>
      <c r="AG312" s="6">
        <f>IF(OR(原始資料!$A312="",32&gt;設定!$B$3,原始資料!AI312=""),"",IF(AND(原始資料!AH312&lt;&gt;"",原始資料!AI312=原始資料!AH312),N(AF312)+1,1))</f>
        <v/>
      </c>
      <c r="AH312" s="6">
        <f>IF(OR(原始資料!$A312="",33&gt;設定!$B$3,原始資料!AJ312=""),"",IF(AND(原始資料!AI312&lt;&gt;"",原始資料!AJ312=原始資料!AI312),N(AG312)+1,1))</f>
        <v/>
      </c>
      <c r="AI312" s="6">
        <f>IF(OR(原始資料!$A312="",34&gt;設定!$B$3,原始資料!AK312=""),"",IF(AND(原始資料!AJ312&lt;&gt;"",原始資料!AK312=原始資料!AJ312),N(AH312)+1,1))</f>
        <v/>
      </c>
      <c r="AJ312" s="6">
        <f>IF(OR(原始資料!$A312="",35&gt;設定!$B$3,原始資料!AL312=""),"",IF(AND(原始資料!AK312&lt;&gt;"",原始資料!AL312=原始資料!AK312),N(AI312)+1,1))</f>
        <v/>
      </c>
      <c r="AK312" s="6">
        <f>IF(OR(原始資料!$A312="",36&gt;設定!$B$3,原始資料!AM312=""),"",IF(AND(原始資料!AL312&lt;&gt;"",原始資料!AM312=原始資料!AL312),N(AJ312)+1,1))</f>
        <v/>
      </c>
      <c r="AL312" s="6">
        <f>IF(OR(原始資料!$A312="",37&gt;設定!$B$3,原始資料!AN312=""),"",IF(AND(原始資料!AM312&lt;&gt;"",原始資料!AN312=原始資料!AM312),N(AK312)+1,1))</f>
        <v/>
      </c>
      <c r="AM312" s="6">
        <f>IF(OR(原始資料!$A312="",38&gt;設定!$B$3,原始資料!AO312=""),"",IF(AND(原始資料!AN312&lt;&gt;"",原始資料!AO312=原始資料!AN312),N(AL312)+1,1))</f>
        <v/>
      </c>
      <c r="AN312" s="6">
        <f>IF(OR(原始資料!$A312="",39&gt;設定!$B$3,原始資料!AP312=""),"",IF(AND(原始資料!AO312&lt;&gt;"",原始資料!AP312=原始資料!AO312),N(AM312)+1,1))</f>
        <v/>
      </c>
      <c r="AO312" s="6">
        <f>IF(OR(原始資料!$A312="",40&gt;設定!$B$3,原始資料!AQ312=""),"",IF(AND(原始資料!AP312&lt;&gt;"",原始資料!AQ312=原始資料!AP312),N(AN312)+1,1))</f>
        <v/>
      </c>
      <c r="AP312" s="6">
        <f>IF(OR(原始資料!$A312="",41&gt;設定!$B$3,原始資料!AR312=""),"",IF(AND(原始資料!AQ312&lt;&gt;"",原始資料!AR312=原始資料!AQ312),N(AO312)+1,1))</f>
        <v/>
      </c>
      <c r="AQ312" s="6">
        <f>IF(OR(原始資料!$A312="",42&gt;設定!$B$3,原始資料!AS312=""),"",IF(AND(原始資料!AR312&lt;&gt;"",原始資料!AS312=原始資料!AR312),N(AP312)+1,1))</f>
        <v/>
      </c>
      <c r="AR312" s="6">
        <f>IF(OR(原始資料!$A312="",43&gt;設定!$B$3,原始資料!AT312=""),"",IF(AND(原始資料!AS312&lt;&gt;"",原始資料!AT312=原始資料!AS312),N(AQ312)+1,1))</f>
        <v/>
      </c>
      <c r="AS312" s="6">
        <f>IF(OR(原始資料!$A312="",44&gt;設定!$B$3,原始資料!AU312=""),"",IF(AND(原始資料!AT312&lt;&gt;"",原始資料!AU312=原始資料!AT312),N(AR312)+1,1))</f>
        <v/>
      </c>
      <c r="AT312" s="6">
        <f>IF(OR(原始資料!$A312="",45&gt;設定!$B$3,原始資料!AV312=""),"",IF(AND(原始資料!AU312&lt;&gt;"",原始資料!AV312=原始資料!AU312),N(AS312)+1,1))</f>
        <v/>
      </c>
      <c r="AU312" s="6">
        <f>IF(OR(原始資料!$A312="",46&gt;設定!$B$3,原始資料!AW312=""),"",IF(AND(原始資料!AV312&lt;&gt;"",原始資料!AW312=原始資料!AV312),N(AT312)+1,1))</f>
        <v/>
      </c>
      <c r="AV312" s="6">
        <f>IF(OR(原始資料!$A312="",47&gt;設定!$B$3,原始資料!AX312=""),"",IF(AND(原始資料!AW312&lt;&gt;"",原始資料!AX312=原始資料!AW312),N(AU312)+1,1))</f>
        <v/>
      </c>
      <c r="AW312" s="6">
        <f>IF(OR(原始資料!$A312="",48&gt;設定!$B$3,原始資料!AY312=""),"",IF(AND(原始資料!AX312&lt;&gt;"",原始資料!AY312=原始資料!AX312),N(AV312)+1,1))</f>
        <v/>
      </c>
      <c r="AX312" s="6">
        <f>IF(OR(原始資料!$A312="",49&gt;設定!$B$3,原始資料!AZ312=""),"",IF(AND(原始資料!AY312&lt;&gt;"",原始資料!AZ312=原始資料!AY312),N(AW312)+1,1))</f>
        <v/>
      </c>
      <c r="AY312" s="6">
        <f>IF(OR(原始資料!$A312="",50&gt;設定!$B$3,原始資料!BA312=""),"",IF(AND(原始資料!AZ312&lt;&gt;"",原始資料!BA312=原始資料!AZ312),N(AX312)+1,1))</f>
        <v/>
      </c>
      <c r="AZ312" s="6">
        <f>IF(OR(原始資料!$A312="",51&gt;設定!$B$3,原始資料!BB312=""),"",IF(AND(原始資料!BA312&lt;&gt;"",原始資料!BB312=原始資料!BA312),N(AY312)+1,1))</f>
        <v/>
      </c>
      <c r="BA312" s="6">
        <f>IF(OR(原始資料!$A312="",52&gt;設定!$B$3,原始資料!BC312=""),"",IF(AND(原始資料!BB312&lt;&gt;"",原始資料!BC312=原始資料!BB312),N(AZ312)+1,1))</f>
        <v/>
      </c>
      <c r="BB312" s="6">
        <f>IF(OR(原始資料!$A312="",53&gt;設定!$B$3,原始資料!BD312=""),"",IF(AND(原始資料!BC312&lt;&gt;"",原始資料!BD312=原始資料!BC312),N(BA312)+1,1))</f>
        <v/>
      </c>
      <c r="BC312" s="6">
        <f>IF(OR(原始資料!$A312="",54&gt;設定!$B$3,原始資料!BE312=""),"",IF(AND(原始資料!BD312&lt;&gt;"",原始資料!BE312=原始資料!BD312),N(BB312)+1,1))</f>
        <v/>
      </c>
      <c r="BD312" s="6">
        <f>IF(OR(原始資料!$A312="",55&gt;設定!$B$3,原始資料!BF312=""),"",IF(AND(原始資料!BE312&lt;&gt;"",原始資料!BF312=原始資料!BE312),N(BC312)+1,1))</f>
        <v/>
      </c>
      <c r="BE312" s="6">
        <f>IF(OR(原始資料!$A312="",56&gt;設定!$B$3,原始資料!BG312=""),"",IF(AND(原始資料!BF312&lt;&gt;"",原始資料!BG312=原始資料!BF312),N(BD312)+1,1))</f>
        <v/>
      </c>
      <c r="BF312" s="6">
        <f>IF(OR(原始資料!$A312="",57&gt;設定!$B$3,原始資料!BH312=""),"",IF(AND(原始資料!BG312&lt;&gt;"",原始資料!BH312=原始資料!BG312),N(BE312)+1,1))</f>
        <v/>
      </c>
      <c r="BG312" s="6">
        <f>IF(OR(原始資料!$A312="",58&gt;設定!$B$3,原始資料!BI312=""),"",IF(AND(原始資料!BH312&lt;&gt;"",原始資料!BI312=原始資料!BH312),N(BF312)+1,1))</f>
        <v/>
      </c>
      <c r="BH312" s="6">
        <f>IF(OR(原始資料!$A312="",59&gt;設定!$B$3,原始資料!BJ312=""),"",IF(AND(原始資料!BI312&lt;&gt;"",原始資料!BJ312=原始資料!BI312),N(BG312)+1,1))</f>
        <v/>
      </c>
      <c r="BI312" s="6">
        <f>IF(OR(原始資料!$A312="",60&gt;設定!$B$3,原始資料!BK312=""),"",IF(AND(原始資料!BJ312&lt;&gt;"",原始資料!BK312=原始資料!BJ312),N(BH312)+1,1))</f>
        <v/>
      </c>
    </row>
    <row r="313">
      <c r="A313" s="6">
        <f>IF(原始資料!$A313="","",原始資料!$A313)</f>
        <v/>
      </c>
      <c r="B313" s="6">
        <f>IF(OR(原始資料!$A313="",1&gt;設定!$B$3,原始資料!D313=""),"",1)</f>
        <v/>
      </c>
      <c r="C313" s="6">
        <f>IF(OR(原始資料!$A313="",2&gt;設定!$B$3,原始資料!E313=""),"",IF(AND(原始資料!D313&lt;&gt;"",原始資料!E313=原始資料!D313),N(B313)+1,1))</f>
        <v/>
      </c>
      <c r="D313" s="6">
        <f>IF(OR(原始資料!$A313="",3&gt;設定!$B$3,原始資料!F313=""),"",IF(AND(原始資料!E313&lt;&gt;"",原始資料!F313=原始資料!E313),N(C313)+1,1))</f>
        <v/>
      </c>
      <c r="E313" s="6">
        <f>IF(OR(原始資料!$A313="",4&gt;設定!$B$3,原始資料!G313=""),"",IF(AND(原始資料!F313&lt;&gt;"",原始資料!G313=原始資料!F313),N(D313)+1,1))</f>
        <v/>
      </c>
      <c r="F313" s="6">
        <f>IF(OR(原始資料!$A313="",5&gt;設定!$B$3,原始資料!H313=""),"",IF(AND(原始資料!G313&lt;&gt;"",原始資料!H313=原始資料!G313),N(E313)+1,1))</f>
        <v/>
      </c>
      <c r="G313" s="6">
        <f>IF(OR(原始資料!$A313="",6&gt;設定!$B$3,原始資料!I313=""),"",IF(AND(原始資料!H313&lt;&gt;"",原始資料!I313=原始資料!H313),N(F313)+1,1))</f>
        <v/>
      </c>
      <c r="H313" s="6">
        <f>IF(OR(原始資料!$A313="",7&gt;設定!$B$3,原始資料!J313=""),"",IF(AND(原始資料!I313&lt;&gt;"",原始資料!J313=原始資料!I313),N(G313)+1,1))</f>
        <v/>
      </c>
      <c r="I313" s="6">
        <f>IF(OR(原始資料!$A313="",8&gt;設定!$B$3,原始資料!K313=""),"",IF(AND(原始資料!J313&lt;&gt;"",原始資料!K313=原始資料!J313),N(H313)+1,1))</f>
        <v/>
      </c>
      <c r="J313" s="6">
        <f>IF(OR(原始資料!$A313="",9&gt;設定!$B$3,原始資料!L313=""),"",IF(AND(原始資料!K313&lt;&gt;"",原始資料!L313=原始資料!K313),N(I313)+1,1))</f>
        <v/>
      </c>
      <c r="K313" s="6">
        <f>IF(OR(原始資料!$A313="",10&gt;設定!$B$3,原始資料!M313=""),"",IF(AND(原始資料!L313&lt;&gt;"",原始資料!M313=原始資料!L313),N(J313)+1,1))</f>
        <v/>
      </c>
      <c r="L313" s="6">
        <f>IF(OR(原始資料!$A313="",11&gt;設定!$B$3,原始資料!N313=""),"",IF(AND(原始資料!M313&lt;&gt;"",原始資料!N313=原始資料!M313),N(K313)+1,1))</f>
        <v/>
      </c>
      <c r="M313" s="6">
        <f>IF(OR(原始資料!$A313="",12&gt;設定!$B$3,原始資料!O313=""),"",IF(AND(原始資料!N313&lt;&gt;"",原始資料!O313=原始資料!N313),N(L313)+1,1))</f>
        <v/>
      </c>
      <c r="N313" s="6">
        <f>IF(OR(原始資料!$A313="",13&gt;設定!$B$3,原始資料!P313=""),"",IF(AND(原始資料!O313&lt;&gt;"",原始資料!P313=原始資料!O313),N(M313)+1,1))</f>
        <v/>
      </c>
      <c r="O313" s="6">
        <f>IF(OR(原始資料!$A313="",14&gt;設定!$B$3,原始資料!Q313=""),"",IF(AND(原始資料!P313&lt;&gt;"",原始資料!Q313=原始資料!P313),N(N313)+1,1))</f>
        <v/>
      </c>
      <c r="P313" s="6">
        <f>IF(OR(原始資料!$A313="",15&gt;設定!$B$3,原始資料!R313=""),"",IF(AND(原始資料!Q313&lt;&gt;"",原始資料!R313=原始資料!Q313),N(O313)+1,1))</f>
        <v/>
      </c>
      <c r="Q313" s="6">
        <f>IF(OR(原始資料!$A313="",16&gt;設定!$B$3,原始資料!S313=""),"",IF(AND(原始資料!R313&lt;&gt;"",原始資料!S313=原始資料!R313),N(P313)+1,1))</f>
        <v/>
      </c>
      <c r="R313" s="6">
        <f>IF(OR(原始資料!$A313="",17&gt;設定!$B$3,原始資料!T313=""),"",IF(AND(原始資料!S313&lt;&gt;"",原始資料!T313=原始資料!S313),N(Q313)+1,1))</f>
        <v/>
      </c>
      <c r="S313" s="6">
        <f>IF(OR(原始資料!$A313="",18&gt;設定!$B$3,原始資料!U313=""),"",IF(AND(原始資料!T313&lt;&gt;"",原始資料!U313=原始資料!T313),N(R313)+1,1))</f>
        <v/>
      </c>
      <c r="T313" s="6">
        <f>IF(OR(原始資料!$A313="",19&gt;設定!$B$3,原始資料!V313=""),"",IF(AND(原始資料!U313&lt;&gt;"",原始資料!V313=原始資料!U313),N(S313)+1,1))</f>
        <v/>
      </c>
      <c r="U313" s="6">
        <f>IF(OR(原始資料!$A313="",20&gt;設定!$B$3,原始資料!W313=""),"",IF(AND(原始資料!V313&lt;&gt;"",原始資料!W313=原始資料!V313),N(T313)+1,1))</f>
        <v/>
      </c>
      <c r="V313" s="6">
        <f>IF(OR(原始資料!$A313="",21&gt;設定!$B$3,原始資料!X313=""),"",IF(AND(原始資料!W313&lt;&gt;"",原始資料!X313=原始資料!W313),N(U313)+1,1))</f>
        <v/>
      </c>
      <c r="W313" s="6">
        <f>IF(OR(原始資料!$A313="",22&gt;設定!$B$3,原始資料!Y313=""),"",IF(AND(原始資料!X313&lt;&gt;"",原始資料!Y313=原始資料!X313),N(V313)+1,1))</f>
        <v/>
      </c>
      <c r="X313" s="6">
        <f>IF(OR(原始資料!$A313="",23&gt;設定!$B$3,原始資料!Z313=""),"",IF(AND(原始資料!Y313&lt;&gt;"",原始資料!Z313=原始資料!Y313),N(W313)+1,1))</f>
        <v/>
      </c>
      <c r="Y313" s="6">
        <f>IF(OR(原始資料!$A313="",24&gt;設定!$B$3,原始資料!AA313=""),"",IF(AND(原始資料!Z313&lt;&gt;"",原始資料!AA313=原始資料!Z313),N(X313)+1,1))</f>
        <v/>
      </c>
      <c r="Z313" s="6">
        <f>IF(OR(原始資料!$A313="",25&gt;設定!$B$3,原始資料!AB313=""),"",IF(AND(原始資料!AA313&lt;&gt;"",原始資料!AB313=原始資料!AA313),N(Y313)+1,1))</f>
        <v/>
      </c>
      <c r="AA313" s="6">
        <f>IF(OR(原始資料!$A313="",26&gt;設定!$B$3,原始資料!AC313=""),"",IF(AND(原始資料!AB313&lt;&gt;"",原始資料!AC313=原始資料!AB313),N(Z313)+1,1))</f>
        <v/>
      </c>
      <c r="AB313" s="6">
        <f>IF(OR(原始資料!$A313="",27&gt;設定!$B$3,原始資料!AD313=""),"",IF(AND(原始資料!AC313&lt;&gt;"",原始資料!AD313=原始資料!AC313),N(AA313)+1,1))</f>
        <v/>
      </c>
      <c r="AC313" s="6">
        <f>IF(OR(原始資料!$A313="",28&gt;設定!$B$3,原始資料!AE313=""),"",IF(AND(原始資料!AD313&lt;&gt;"",原始資料!AE313=原始資料!AD313),N(AB313)+1,1))</f>
        <v/>
      </c>
      <c r="AD313" s="6">
        <f>IF(OR(原始資料!$A313="",29&gt;設定!$B$3,原始資料!AF313=""),"",IF(AND(原始資料!AE313&lt;&gt;"",原始資料!AF313=原始資料!AE313),N(AC313)+1,1))</f>
        <v/>
      </c>
      <c r="AE313" s="6">
        <f>IF(OR(原始資料!$A313="",30&gt;設定!$B$3,原始資料!AG313=""),"",IF(AND(原始資料!AF313&lt;&gt;"",原始資料!AG313=原始資料!AF313),N(AD313)+1,1))</f>
        <v/>
      </c>
      <c r="AF313" s="6">
        <f>IF(OR(原始資料!$A313="",31&gt;設定!$B$3,原始資料!AH313=""),"",IF(AND(原始資料!AG313&lt;&gt;"",原始資料!AH313=原始資料!AG313),N(AE313)+1,1))</f>
        <v/>
      </c>
      <c r="AG313" s="6">
        <f>IF(OR(原始資料!$A313="",32&gt;設定!$B$3,原始資料!AI313=""),"",IF(AND(原始資料!AH313&lt;&gt;"",原始資料!AI313=原始資料!AH313),N(AF313)+1,1))</f>
        <v/>
      </c>
      <c r="AH313" s="6">
        <f>IF(OR(原始資料!$A313="",33&gt;設定!$B$3,原始資料!AJ313=""),"",IF(AND(原始資料!AI313&lt;&gt;"",原始資料!AJ313=原始資料!AI313),N(AG313)+1,1))</f>
        <v/>
      </c>
      <c r="AI313" s="6">
        <f>IF(OR(原始資料!$A313="",34&gt;設定!$B$3,原始資料!AK313=""),"",IF(AND(原始資料!AJ313&lt;&gt;"",原始資料!AK313=原始資料!AJ313),N(AH313)+1,1))</f>
        <v/>
      </c>
      <c r="AJ313" s="6">
        <f>IF(OR(原始資料!$A313="",35&gt;設定!$B$3,原始資料!AL313=""),"",IF(AND(原始資料!AK313&lt;&gt;"",原始資料!AL313=原始資料!AK313),N(AI313)+1,1))</f>
        <v/>
      </c>
      <c r="AK313" s="6">
        <f>IF(OR(原始資料!$A313="",36&gt;設定!$B$3,原始資料!AM313=""),"",IF(AND(原始資料!AL313&lt;&gt;"",原始資料!AM313=原始資料!AL313),N(AJ313)+1,1))</f>
        <v/>
      </c>
      <c r="AL313" s="6">
        <f>IF(OR(原始資料!$A313="",37&gt;設定!$B$3,原始資料!AN313=""),"",IF(AND(原始資料!AM313&lt;&gt;"",原始資料!AN313=原始資料!AM313),N(AK313)+1,1))</f>
        <v/>
      </c>
      <c r="AM313" s="6">
        <f>IF(OR(原始資料!$A313="",38&gt;設定!$B$3,原始資料!AO313=""),"",IF(AND(原始資料!AN313&lt;&gt;"",原始資料!AO313=原始資料!AN313),N(AL313)+1,1))</f>
        <v/>
      </c>
      <c r="AN313" s="6">
        <f>IF(OR(原始資料!$A313="",39&gt;設定!$B$3,原始資料!AP313=""),"",IF(AND(原始資料!AO313&lt;&gt;"",原始資料!AP313=原始資料!AO313),N(AM313)+1,1))</f>
        <v/>
      </c>
      <c r="AO313" s="6">
        <f>IF(OR(原始資料!$A313="",40&gt;設定!$B$3,原始資料!AQ313=""),"",IF(AND(原始資料!AP313&lt;&gt;"",原始資料!AQ313=原始資料!AP313),N(AN313)+1,1))</f>
        <v/>
      </c>
      <c r="AP313" s="6">
        <f>IF(OR(原始資料!$A313="",41&gt;設定!$B$3,原始資料!AR313=""),"",IF(AND(原始資料!AQ313&lt;&gt;"",原始資料!AR313=原始資料!AQ313),N(AO313)+1,1))</f>
        <v/>
      </c>
      <c r="AQ313" s="6">
        <f>IF(OR(原始資料!$A313="",42&gt;設定!$B$3,原始資料!AS313=""),"",IF(AND(原始資料!AR313&lt;&gt;"",原始資料!AS313=原始資料!AR313),N(AP313)+1,1))</f>
        <v/>
      </c>
      <c r="AR313" s="6">
        <f>IF(OR(原始資料!$A313="",43&gt;設定!$B$3,原始資料!AT313=""),"",IF(AND(原始資料!AS313&lt;&gt;"",原始資料!AT313=原始資料!AS313),N(AQ313)+1,1))</f>
        <v/>
      </c>
      <c r="AS313" s="6">
        <f>IF(OR(原始資料!$A313="",44&gt;設定!$B$3,原始資料!AU313=""),"",IF(AND(原始資料!AT313&lt;&gt;"",原始資料!AU313=原始資料!AT313),N(AR313)+1,1))</f>
        <v/>
      </c>
      <c r="AT313" s="6">
        <f>IF(OR(原始資料!$A313="",45&gt;設定!$B$3,原始資料!AV313=""),"",IF(AND(原始資料!AU313&lt;&gt;"",原始資料!AV313=原始資料!AU313),N(AS313)+1,1))</f>
        <v/>
      </c>
      <c r="AU313" s="6">
        <f>IF(OR(原始資料!$A313="",46&gt;設定!$B$3,原始資料!AW313=""),"",IF(AND(原始資料!AV313&lt;&gt;"",原始資料!AW313=原始資料!AV313),N(AT313)+1,1))</f>
        <v/>
      </c>
      <c r="AV313" s="6">
        <f>IF(OR(原始資料!$A313="",47&gt;設定!$B$3,原始資料!AX313=""),"",IF(AND(原始資料!AW313&lt;&gt;"",原始資料!AX313=原始資料!AW313),N(AU313)+1,1))</f>
        <v/>
      </c>
      <c r="AW313" s="6">
        <f>IF(OR(原始資料!$A313="",48&gt;設定!$B$3,原始資料!AY313=""),"",IF(AND(原始資料!AX313&lt;&gt;"",原始資料!AY313=原始資料!AX313),N(AV313)+1,1))</f>
        <v/>
      </c>
      <c r="AX313" s="6">
        <f>IF(OR(原始資料!$A313="",49&gt;設定!$B$3,原始資料!AZ313=""),"",IF(AND(原始資料!AY313&lt;&gt;"",原始資料!AZ313=原始資料!AY313),N(AW313)+1,1))</f>
        <v/>
      </c>
      <c r="AY313" s="6">
        <f>IF(OR(原始資料!$A313="",50&gt;設定!$B$3,原始資料!BA313=""),"",IF(AND(原始資料!AZ313&lt;&gt;"",原始資料!BA313=原始資料!AZ313),N(AX313)+1,1))</f>
        <v/>
      </c>
      <c r="AZ313" s="6">
        <f>IF(OR(原始資料!$A313="",51&gt;設定!$B$3,原始資料!BB313=""),"",IF(AND(原始資料!BA313&lt;&gt;"",原始資料!BB313=原始資料!BA313),N(AY313)+1,1))</f>
        <v/>
      </c>
      <c r="BA313" s="6">
        <f>IF(OR(原始資料!$A313="",52&gt;設定!$B$3,原始資料!BC313=""),"",IF(AND(原始資料!BB313&lt;&gt;"",原始資料!BC313=原始資料!BB313),N(AZ313)+1,1))</f>
        <v/>
      </c>
      <c r="BB313" s="6">
        <f>IF(OR(原始資料!$A313="",53&gt;設定!$B$3,原始資料!BD313=""),"",IF(AND(原始資料!BC313&lt;&gt;"",原始資料!BD313=原始資料!BC313),N(BA313)+1,1))</f>
        <v/>
      </c>
      <c r="BC313" s="6">
        <f>IF(OR(原始資料!$A313="",54&gt;設定!$B$3,原始資料!BE313=""),"",IF(AND(原始資料!BD313&lt;&gt;"",原始資料!BE313=原始資料!BD313),N(BB313)+1,1))</f>
        <v/>
      </c>
      <c r="BD313" s="6">
        <f>IF(OR(原始資料!$A313="",55&gt;設定!$B$3,原始資料!BF313=""),"",IF(AND(原始資料!BE313&lt;&gt;"",原始資料!BF313=原始資料!BE313),N(BC313)+1,1))</f>
        <v/>
      </c>
      <c r="BE313" s="6">
        <f>IF(OR(原始資料!$A313="",56&gt;設定!$B$3,原始資料!BG313=""),"",IF(AND(原始資料!BF313&lt;&gt;"",原始資料!BG313=原始資料!BF313),N(BD313)+1,1))</f>
        <v/>
      </c>
      <c r="BF313" s="6">
        <f>IF(OR(原始資料!$A313="",57&gt;設定!$B$3,原始資料!BH313=""),"",IF(AND(原始資料!BG313&lt;&gt;"",原始資料!BH313=原始資料!BG313),N(BE313)+1,1))</f>
        <v/>
      </c>
      <c r="BG313" s="6">
        <f>IF(OR(原始資料!$A313="",58&gt;設定!$B$3,原始資料!BI313=""),"",IF(AND(原始資料!BH313&lt;&gt;"",原始資料!BI313=原始資料!BH313),N(BF313)+1,1))</f>
        <v/>
      </c>
      <c r="BH313" s="6">
        <f>IF(OR(原始資料!$A313="",59&gt;設定!$B$3,原始資料!BJ313=""),"",IF(AND(原始資料!BI313&lt;&gt;"",原始資料!BJ313=原始資料!BI313),N(BG313)+1,1))</f>
        <v/>
      </c>
      <c r="BI313" s="6">
        <f>IF(OR(原始資料!$A313="",60&gt;設定!$B$3,原始資料!BK313=""),"",IF(AND(原始資料!BJ313&lt;&gt;"",原始資料!BK313=原始資料!BJ313),N(BH313)+1,1))</f>
        <v/>
      </c>
    </row>
    <row r="314">
      <c r="A314" s="6">
        <f>IF(原始資料!$A314="","",原始資料!$A314)</f>
        <v/>
      </c>
      <c r="B314" s="6">
        <f>IF(OR(原始資料!$A314="",1&gt;設定!$B$3,原始資料!D314=""),"",1)</f>
        <v/>
      </c>
      <c r="C314" s="6">
        <f>IF(OR(原始資料!$A314="",2&gt;設定!$B$3,原始資料!E314=""),"",IF(AND(原始資料!D314&lt;&gt;"",原始資料!E314=原始資料!D314),N(B314)+1,1))</f>
        <v/>
      </c>
      <c r="D314" s="6">
        <f>IF(OR(原始資料!$A314="",3&gt;設定!$B$3,原始資料!F314=""),"",IF(AND(原始資料!E314&lt;&gt;"",原始資料!F314=原始資料!E314),N(C314)+1,1))</f>
        <v/>
      </c>
      <c r="E314" s="6">
        <f>IF(OR(原始資料!$A314="",4&gt;設定!$B$3,原始資料!G314=""),"",IF(AND(原始資料!F314&lt;&gt;"",原始資料!G314=原始資料!F314),N(D314)+1,1))</f>
        <v/>
      </c>
      <c r="F314" s="6">
        <f>IF(OR(原始資料!$A314="",5&gt;設定!$B$3,原始資料!H314=""),"",IF(AND(原始資料!G314&lt;&gt;"",原始資料!H314=原始資料!G314),N(E314)+1,1))</f>
        <v/>
      </c>
      <c r="G314" s="6">
        <f>IF(OR(原始資料!$A314="",6&gt;設定!$B$3,原始資料!I314=""),"",IF(AND(原始資料!H314&lt;&gt;"",原始資料!I314=原始資料!H314),N(F314)+1,1))</f>
        <v/>
      </c>
      <c r="H314" s="6">
        <f>IF(OR(原始資料!$A314="",7&gt;設定!$B$3,原始資料!J314=""),"",IF(AND(原始資料!I314&lt;&gt;"",原始資料!J314=原始資料!I314),N(G314)+1,1))</f>
        <v/>
      </c>
      <c r="I314" s="6">
        <f>IF(OR(原始資料!$A314="",8&gt;設定!$B$3,原始資料!K314=""),"",IF(AND(原始資料!J314&lt;&gt;"",原始資料!K314=原始資料!J314),N(H314)+1,1))</f>
        <v/>
      </c>
      <c r="J314" s="6">
        <f>IF(OR(原始資料!$A314="",9&gt;設定!$B$3,原始資料!L314=""),"",IF(AND(原始資料!K314&lt;&gt;"",原始資料!L314=原始資料!K314),N(I314)+1,1))</f>
        <v/>
      </c>
      <c r="K314" s="6">
        <f>IF(OR(原始資料!$A314="",10&gt;設定!$B$3,原始資料!M314=""),"",IF(AND(原始資料!L314&lt;&gt;"",原始資料!M314=原始資料!L314),N(J314)+1,1))</f>
        <v/>
      </c>
      <c r="L314" s="6">
        <f>IF(OR(原始資料!$A314="",11&gt;設定!$B$3,原始資料!N314=""),"",IF(AND(原始資料!M314&lt;&gt;"",原始資料!N314=原始資料!M314),N(K314)+1,1))</f>
        <v/>
      </c>
      <c r="M314" s="6">
        <f>IF(OR(原始資料!$A314="",12&gt;設定!$B$3,原始資料!O314=""),"",IF(AND(原始資料!N314&lt;&gt;"",原始資料!O314=原始資料!N314),N(L314)+1,1))</f>
        <v/>
      </c>
      <c r="N314" s="6">
        <f>IF(OR(原始資料!$A314="",13&gt;設定!$B$3,原始資料!P314=""),"",IF(AND(原始資料!O314&lt;&gt;"",原始資料!P314=原始資料!O314),N(M314)+1,1))</f>
        <v/>
      </c>
      <c r="O314" s="6">
        <f>IF(OR(原始資料!$A314="",14&gt;設定!$B$3,原始資料!Q314=""),"",IF(AND(原始資料!P314&lt;&gt;"",原始資料!Q314=原始資料!P314),N(N314)+1,1))</f>
        <v/>
      </c>
      <c r="P314" s="6">
        <f>IF(OR(原始資料!$A314="",15&gt;設定!$B$3,原始資料!R314=""),"",IF(AND(原始資料!Q314&lt;&gt;"",原始資料!R314=原始資料!Q314),N(O314)+1,1))</f>
        <v/>
      </c>
      <c r="Q314" s="6">
        <f>IF(OR(原始資料!$A314="",16&gt;設定!$B$3,原始資料!S314=""),"",IF(AND(原始資料!R314&lt;&gt;"",原始資料!S314=原始資料!R314),N(P314)+1,1))</f>
        <v/>
      </c>
      <c r="R314" s="6">
        <f>IF(OR(原始資料!$A314="",17&gt;設定!$B$3,原始資料!T314=""),"",IF(AND(原始資料!S314&lt;&gt;"",原始資料!T314=原始資料!S314),N(Q314)+1,1))</f>
        <v/>
      </c>
      <c r="S314" s="6">
        <f>IF(OR(原始資料!$A314="",18&gt;設定!$B$3,原始資料!U314=""),"",IF(AND(原始資料!T314&lt;&gt;"",原始資料!U314=原始資料!T314),N(R314)+1,1))</f>
        <v/>
      </c>
      <c r="T314" s="6">
        <f>IF(OR(原始資料!$A314="",19&gt;設定!$B$3,原始資料!V314=""),"",IF(AND(原始資料!U314&lt;&gt;"",原始資料!V314=原始資料!U314),N(S314)+1,1))</f>
        <v/>
      </c>
      <c r="U314" s="6">
        <f>IF(OR(原始資料!$A314="",20&gt;設定!$B$3,原始資料!W314=""),"",IF(AND(原始資料!V314&lt;&gt;"",原始資料!W314=原始資料!V314),N(T314)+1,1))</f>
        <v/>
      </c>
      <c r="V314" s="6">
        <f>IF(OR(原始資料!$A314="",21&gt;設定!$B$3,原始資料!X314=""),"",IF(AND(原始資料!W314&lt;&gt;"",原始資料!X314=原始資料!W314),N(U314)+1,1))</f>
        <v/>
      </c>
      <c r="W314" s="6">
        <f>IF(OR(原始資料!$A314="",22&gt;設定!$B$3,原始資料!Y314=""),"",IF(AND(原始資料!X314&lt;&gt;"",原始資料!Y314=原始資料!X314),N(V314)+1,1))</f>
        <v/>
      </c>
      <c r="X314" s="6">
        <f>IF(OR(原始資料!$A314="",23&gt;設定!$B$3,原始資料!Z314=""),"",IF(AND(原始資料!Y314&lt;&gt;"",原始資料!Z314=原始資料!Y314),N(W314)+1,1))</f>
        <v/>
      </c>
      <c r="Y314" s="6">
        <f>IF(OR(原始資料!$A314="",24&gt;設定!$B$3,原始資料!AA314=""),"",IF(AND(原始資料!Z314&lt;&gt;"",原始資料!AA314=原始資料!Z314),N(X314)+1,1))</f>
        <v/>
      </c>
      <c r="Z314" s="6">
        <f>IF(OR(原始資料!$A314="",25&gt;設定!$B$3,原始資料!AB314=""),"",IF(AND(原始資料!AA314&lt;&gt;"",原始資料!AB314=原始資料!AA314),N(Y314)+1,1))</f>
        <v/>
      </c>
      <c r="AA314" s="6">
        <f>IF(OR(原始資料!$A314="",26&gt;設定!$B$3,原始資料!AC314=""),"",IF(AND(原始資料!AB314&lt;&gt;"",原始資料!AC314=原始資料!AB314),N(Z314)+1,1))</f>
        <v/>
      </c>
      <c r="AB314" s="6">
        <f>IF(OR(原始資料!$A314="",27&gt;設定!$B$3,原始資料!AD314=""),"",IF(AND(原始資料!AC314&lt;&gt;"",原始資料!AD314=原始資料!AC314),N(AA314)+1,1))</f>
        <v/>
      </c>
      <c r="AC314" s="6">
        <f>IF(OR(原始資料!$A314="",28&gt;設定!$B$3,原始資料!AE314=""),"",IF(AND(原始資料!AD314&lt;&gt;"",原始資料!AE314=原始資料!AD314),N(AB314)+1,1))</f>
        <v/>
      </c>
      <c r="AD314" s="6">
        <f>IF(OR(原始資料!$A314="",29&gt;設定!$B$3,原始資料!AF314=""),"",IF(AND(原始資料!AE314&lt;&gt;"",原始資料!AF314=原始資料!AE314),N(AC314)+1,1))</f>
        <v/>
      </c>
      <c r="AE314" s="6">
        <f>IF(OR(原始資料!$A314="",30&gt;設定!$B$3,原始資料!AG314=""),"",IF(AND(原始資料!AF314&lt;&gt;"",原始資料!AG314=原始資料!AF314),N(AD314)+1,1))</f>
        <v/>
      </c>
      <c r="AF314" s="6">
        <f>IF(OR(原始資料!$A314="",31&gt;設定!$B$3,原始資料!AH314=""),"",IF(AND(原始資料!AG314&lt;&gt;"",原始資料!AH314=原始資料!AG314),N(AE314)+1,1))</f>
        <v/>
      </c>
      <c r="AG314" s="6">
        <f>IF(OR(原始資料!$A314="",32&gt;設定!$B$3,原始資料!AI314=""),"",IF(AND(原始資料!AH314&lt;&gt;"",原始資料!AI314=原始資料!AH314),N(AF314)+1,1))</f>
        <v/>
      </c>
      <c r="AH314" s="6">
        <f>IF(OR(原始資料!$A314="",33&gt;設定!$B$3,原始資料!AJ314=""),"",IF(AND(原始資料!AI314&lt;&gt;"",原始資料!AJ314=原始資料!AI314),N(AG314)+1,1))</f>
        <v/>
      </c>
      <c r="AI314" s="6">
        <f>IF(OR(原始資料!$A314="",34&gt;設定!$B$3,原始資料!AK314=""),"",IF(AND(原始資料!AJ314&lt;&gt;"",原始資料!AK314=原始資料!AJ314),N(AH314)+1,1))</f>
        <v/>
      </c>
      <c r="AJ314" s="6">
        <f>IF(OR(原始資料!$A314="",35&gt;設定!$B$3,原始資料!AL314=""),"",IF(AND(原始資料!AK314&lt;&gt;"",原始資料!AL314=原始資料!AK314),N(AI314)+1,1))</f>
        <v/>
      </c>
      <c r="AK314" s="6">
        <f>IF(OR(原始資料!$A314="",36&gt;設定!$B$3,原始資料!AM314=""),"",IF(AND(原始資料!AL314&lt;&gt;"",原始資料!AM314=原始資料!AL314),N(AJ314)+1,1))</f>
        <v/>
      </c>
      <c r="AL314" s="6">
        <f>IF(OR(原始資料!$A314="",37&gt;設定!$B$3,原始資料!AN314=""),"",IF(AND(原始資料!AM314&lt;&gt;"",原始資料!AN314=原始資料!AM314),N(AK314)+1,1))</f>
        <v/>
      </c>
      <c r="AM314" s="6">
        <f>IF(OR(原始資料!$A314="",38&gt;設定!$B$3,原始資料!AO314=""),"",IF(AND(原始資料!AN314&lt;&gt;"",原始資料!AO314=原始資料!AN314),N(AL314)+1,1))</f>
        <v/>
      </c>
      <c r="AN314" s="6">
        <f>IF(OR(原始資料!$A314="",39&gt;設定!$B$3,原始資料!AP314=""),"",IF(AND(原始資料!AO314&lt;&gt;"",原始資料!AP314=原始資料!AO314),N(AM314)+1,1))</f>
        <v/>
      </c>
      <c r="AO314" s="6">
        <f>IF(OR(原始資料!$A314="",40&gt;設定!$B$3,原始資料!AQ314=""),"",IF(AND(原始資料!AP314&lt;&gt;"",原始資料!AQ314=原始資料!AP314),N(AN314)+1,1))</f>
        <v/>
      </c>
      <c r="AP314" s="6">
        <f>IF(OR(原始資料!$A314="",41&gt;設定!$B$3,原始資料!AR314=""),"",IF(AND(原始資料!AQ314&lt;&gt;"",原始資料!AR314=原始資料!AQ314),N(AO314)+1,1))</f>
        <v/>
      </c>
      <c r="AQ314" s="6">
        <f>IF(OR(原始資料!$A314="",42&gt;設定!$B$3,原始資料!AS314=""),"",IF(AND(原始資料!AR314&lt;&gt;"",原始資料!AS314=原始資料!AR314),N(AP314)+1,1))</f>
        <v/>
      </c>
      <c r="AR314" s="6">
        <f>IF(OR(原始資料!$A314="",43&gt;設定!$B$3,原始資料!AT314=""),"",IF(AND(原始資料!AS314&lt;&gt;"",原始資料!AT314=原始資料!AS314),N(AQ314)+1,1))</f>
        <v/>
      </c>
      <c r="AS314" s="6">
        <f>IF(OR(原始資料!$A314="",44&gt;設定!$B$3,原始資料!AU314=""),"",IF(AND(原始資料!AT314&lt;&gt;"",原始資料!AU314=原始資料!AT314),N(AR314)+1,1))</f>
        <v/>
      </c>
      <c r="AT314" s="6">
        <f>IF(OR(原始資料!$A314="",45&gt;設定!$B$3,原始資料!AV314=""),"",IF(AND(原始資料!AU314&lt;&gt;"",原始資料!AV314=原始資料!AU314),N(AS314)+1,1))</f>
        <v/>
      </c>
      <c r="AU314" s="6">
        <f>IF(OR(原始資料!$A314="",46&gt;設定!$B$3,原始資料!AW314=""),"",IF(AND(原始資料!AV314&lt;&gt;"",原始資料!AW314=原始資料!AV314),N(AT314)+1,1))</f>
        <v/>
      </c>
      <c r="AV314" s="6">
        <f>IF(OR(原始資料!$A314="",47&gt;設定!$B$3,原始資料!AX314=""),"",IF(AND(原始資料!AW314&lt;&gt;"",原始資料!AX314=原始資料!AW314),N(AU314)+1,1))</f>
        <v/>
      </c>
      <c r="AW314" s="6">
        <f>IF(OR(原始資料!$A314="",48&gt;設定!$B$3,原始資料!AY314=""),"",IF(AND(原始資料!AX314&lt;&gt;"",原始資料!AY314=原始資料!AX314),N(AV314)+1,1))</f>
        <v/>
      </c>
      <c r="AX314" s="6">
        <f>IF(OR(原始資料!$A314="",49&gt;設定!$B$3,原始資料!AZ314=""),"",IF(AND(原始資料!AY314&lt;&gt;"",原始資料!AZ314=原始資料!AY314),N(AW314)+1,1))</f>
        <v/>
      </c>
      <c r="AY314" s="6">
        <f>IF(OR(原始資料!$A314="",50&gt;設定!$B$3,原始資料!BA314=""),"",IF(AND(原始資料!AZ314&lt;&gt;"",原始資料!BA314=原始資料!AZ314),N(AX314)+1,1))</f>
        <v/>
      </c>
      <c r="AZ314" s="6">
        <f>IF(OR(原始資料!$A314="",51&gt;設定!$B$3,原始資料!BB314=""),"",IF(AND(原始資料!BA314&lt;&gt;"",原始資料!BB314=原始資料!BA314),N(AY314)+1,1))</f>
        <v/>
      </c>
      <c r="BA314" s="6">
        <f>IF(OR(原始資料!$A314="",52&gt;設定!$B$3,原始資料!BC314=""),"",IF(AND(原始資料!BB314&lt;&gt;"",原始資料!BC314=原始資料!BB314),N(AZ314)+1,1))</f>
        <v/>
      </c>
      <c r="BB314" s="6">
        <f>IF(OR(原始資料!$A314="",53&gt;設定!$B$3,原始資料!BD314=""),"",IF(AND(原始資料!BC314&lt;&gt;"",原始資料!BD314=原始資料!BC314),N(BA314)+1,1))</f>
        <v/>
      </c>
      <c r="BC314" s="6">
        <f>IF(OR(原始資料!$A314="",54&gt;設定!$B$3,原始資料!BE314=""),"",IF(AND(原始資料!BD314&lt;&gt;"",原始資料!BE314=原始資料!BD314),N(BB314)+1,1))</f>
        <v/>
      </c>
      <c r="BD314" s="6">
        <f>IF(OR(原始資料!$A314="",55&gt;設定!$B$3,原始資料!BF314=""),"",IF(AND(原始資料!BE314&lt;&gt;"",原始資料!BF314=原始資料!BE314),N(BC314)+1,1))</f>
        <v/>
      </c>
      <c r="BE314" s="6">
        <f>IF(OR(原始資料!$A314="",56&gt;設定!$B$3,原始資料!BG314=""),"",IF(AND(原始資料!BF314&lt;&gt;"",原始資料!BG314=原始資料!BF314),N(BD314)+1,1))</f>
        <v/>
      </c>
      <c r="BF314" s="6">
        <f>IF(OR(原始資料!$A314="",57&gt;設定!$B$3,原始資料!BH314=""),"",IF(AND(原始資料!BG314&lt;&gt;"",原始資料!BH314=原始資料!BG314),N(BE314)+1,1))</f>
        <v/>
      </c>
      <c r="BG314" s="6">
        <f>IF(OR(原始資料!$A314="",58&gt;設定!$B$3,原始資料!BI314=""),"",IF(AND(原始資料!BH314&lt;&gt;"",原始資料!BI314=原始資料!BH314),N(BF314)+1,1))</f>
        <v/>
      </c>
      <c r="BH314" s="6">
        <f>IF(OR(原始資料!$A314="",59&gt;設定!$B$3,原始資料!BJ314=""),"",IF(AND(原始資料!BI314&lt;&gt;"",原始資料!BJ314=原始資料!BI314),N(BG314)+1,1))</f>
        <v/>
      </c>
      <c r="BI314" s="6">
        <f>IF(OR(原始資料!$A314="",60&gt;設定!$B$3,原始資料!BK314=""),"",IF(AND(原始資料!BJ314&lt;&gt;"",原始資料!BK314=原始資料!BJ314),N(BH314)+1,1))</f>
        <v/>
      </c>
    </row>
    <row r="315">
      <c r="A315" s="6">
        <f>IF(原始資料!$A315="","",原始資料!$A315)</f>
        <v/>
      </c>
      <c r="B315" s="6">
        <f>IF(OR(原始資料!$A315="",1&gt;設定!$B$3,原始資料!D315=""),"",1)</f>
        <v/>
      </c>
      <c r="C315" s="6">
        <f>IF(OR(原始資料!$A315="",2&gt;設定!$B$3,原始資料!E315=""),"",IF(AND(原始資料!D315&lt;&gt;"",原始資料!E315=原始資料!D315),N(B315)+1,1))</f>
        <v/>
      </c>
      <c r="D315" s="6">
        <f>IF(OR(原始資料!$A315="",3&gt;設定!$B$3,原始資料!F315=""),"",IF(AND(原始資料!E315&lt;&gt;"",原始資料!F315=原始資料!E315),N(C315)+1,1))</f>
        <v/>
      </c>
      <c r="E315" s="6">
        <f>IF(OR(原始資料!$A315="",4&gt;設定!$B$3,原始資料!G315=""),"",IF(AND(原始資料!F315&lt;&gt;"",原始資料!G315=原始資料!F315),N(D315)+1,1))</f>
        <v/>
      </c>
      <c r="F315" s="6">
        <f>IF(OR(原始資料!$A315="",5&gt;設定!$B$3,原始資料!H315=""),"",IF(AND(原始資料!G315&lt;&gt;"",原始資料!H315=原始資料!G315),N(E315)+1,1))</f>
        <v/>
      </c>
      <c r="G315" s="6">
        <f>IF(OR(原始資料!$A315="",6&gt;設定!$B$3,原始資料!I315=""),"",IF(AND(原始資料!H315&lt;&gt;"",原始資料!I315=原始資料!H315),N(F315)+1,1))</f>
        <v/>
      </c>
      <c r="H315" s="6">
        <f>IF(OR(原始資料!$A315="",7&gt;設定!$B$3,原始資料!J315=""),"",IF(AND(原始資料!I315&lt;&gt;"",原始資料!J315=原始資料!I315),N(G315)+1,1))</f>
        <v/>
      </c>
      <c r="I315" s="6">
        <f>IF(OR(原始資料!$A315="",8&gt;設定!$B$3,原始資料!K315=""),"",IF(AND(原始資料!J315&lt;&gt;"",原始資料!K315=原始資料!J315),N(H315)+1,1))</f>
        <v/>
      </c>
      <c r="J315" s="6">
        <f>IF(OR(原始資料!$A315="",9&gt;設定!$B$3,原始資料!L315=""),"",IF(AND(原始資料!K315&lt;&gt;"",原始資料!L315=原始資料!K315),N(I315)+1,1))</f>
        <v/>
      </c>
      <c r="K315" s="6">
        <f>IF(OR(原始資料!$A315="",10&gt;設定!$B$3,原始資料!M315=""),"",IF(AND(原始資料!L315&lt;&gt;"",原始資料!M315=原始資料!L315),N(J315)+1,1))</f>
        <v/>
      </c>
      <c r="L315" s="6">
        <f>IF(OR(原始資料!$A315="",11&gt;設定!$B$3,原始資料!N315=""),"",IF(AND(原始資料!M315&lt;&gt;"",原始資料!N315=原始資料!M315),N(K315)+1,1))</f>
        <v/>
      </c>
      <c r="M315" s="6">
        <f>IF(OR(原始資料!$A315="",12&gt;設定!$B$3,原始資料!O315=""),"",IF(AND(原始資料!N315&lt;&gt;"",原始資料!O315=原始資料!N315),N(L315)+1,1))</f>
        <v/>
      </c>
      <c r="N315" s="6">
        <f>IF(OR(原始資料!$A315="",13&gt;設定!$B$3,原始資料!P315=""),"",IF(AND(原始資料!O315&lt;&gt;"",原始資料!P315=原始資料!O315),N(M315)+1,1))</f>
        <v/>
      </c>
      <c r="O315" s="6">
        <f>IF(OR(原始資料!$A315="",14&gt;設定!$B$3,原始資料!Q315=""),"",IF(AND(原始資料!P315&lt;&gt;"",原始資料!Q315=原始資料!P315),N(N315)+1,1))</f>
        <v/>
      </c>
      <c r="P315" s="6">
        <f>IF(OR(原始資料!$A315="",15&gt;設定!$B$3,原始資料!R315=""),"",IF(AND(原始資料!Q315&lt;&gt;"",原始資料!R315=原始資料!Q315),N(O315)+1,1))</f>
        <v/>
      </c>
      <c r="Q315" s="6">
        <f>IF(OR(原始資料!$A315="",16&gt;設定!$B$3,原始資料!S315=""),"",IF(AND(原始資料!R315&lt;&gt;"",原始資料!S315=原始資料!R315),N(P315)+1,1))</f>
        <v/>
      </c>
      <c r="R315" s="6">
        <f>IF(OR(原始資料!$A315="",17&gt;設定!$B$3,原始資料!T315=""),"",IF(AND(原始資料!S315&lt;&gt;"",原始資料!T315=原始資料!S315),N(Q315)+1,1))</f>
        <v/>
      </c>
      <c r="S315" s="6">
        <f>IF(OR(原始資料!$A315="",18&gt;設定!$B$3,原始資料!U315=""),"",IF(AND(原始資料!T315&lt;&gt;"",原始資料!U315=原始資料!T315),N(R315)+1,1))</f>
        <v/>
      </c>
      <c r="T315" s="6">
        <f>IF(OR(原始資料!$A315="",19&gt;設定!$B$3,原始資料!V315=""),"",IF(AND(原始資料!U315&lt;&gt;"",原始資料!V315=原始資料!U315),N(S315)+1,1))</f>
        <v/>
      </c>
      <c r="U315" s="6">
        <f>IF(OR(原始資料!$A315="",20&gt;設定!$B$3,原始資料!W315=""),"",IF(AND(原始資料!V315&lt;&gt;"",原始資料!W315=原始資料!V315),N(T315)+1,1))</f>
        <v/>
      </c>
      <c r="V315" s="6">
        <f>IF(OR(原始資料!$A315="",21&gt;設定!$B$3,原始資料!X315=""),"",IF(AND(原始資料!W315&lt;&gt;"",原始資料!X315=原始資料!W315),N(U315)+1,1))</f>
        <v/>
      </c>
      <c r="W315" s="6">
        <f>IF(OR(原始資料!$A315="",22&gt;設定!$B$3,原始資料!Y315=""),"",IF(AND(原始資料!X315&lt;&gt;"",原始資料!Y315=原始資料!X315),N(V315)+1,1))</f>
        <v/>
      </c>
      <c r="X315" s="6">
        <f>IF(OR(原始資料!$A315="",23&gt;設定!$B$3,原始資料!Z315=""),"",IF(AND(原始資料!Y315&lt;&gt;"",原始資料!Z315=原始資料!Y315),N(W315)+1,1))</f>
        <v/>
      </c>
      <c r="Y315" s="6">
        <f>IF(OR(原始資料!$A315="",24&gt;設定!$B$3,原始資料!AA315=""),"",IF(AND(原始資料!Z315&lt;&gt;"",原始資料!AA315=原始資料!Z315),N(X315)+1,1))</f>
        <v/>
      </c>
      <c r="Z315" s="6">
        <f>IF(OR(原始資料!$A315="",25&gt;設定!$B$3,原始資料!AB315=""),"",IF(AND(原始資料!AA315&lt;&gt;"",原始資料!AB315=原始資料!AA315),N(Y315)+1,1))</f>
        <v/>
      </c>
      <c r="AA315" s="6">
        <f>IF(OR(原始資料!$A315="",26&gt;設定!$B$3,原始資料!AC315=""),"",IF(AND(原始資料!AB315&lt;&gt;"",原始資料!AC315=原始資料!AB315),N(Z315)+1,1))</f>
        <v/>
      </c>
      <c r="AB315" s="6">
        <f>IF(OR(原始資料!$A315="",27&gt;設定!$B$3,原始資料!AD315=""),"",IF(AND(原始資料!AC315&lt;&gt;"",原始資料!AD315=原始資料!AC315),N(AA315)+1,1))</f>
        <v/>
      </c>
      <c r="AC315" s="6">
        <f>IF(OR(原始資料!$A315="",28&gt;設定!$B$3,原始資料!AE315=""),"",IF(AND(原始資料!AD315&lt;&gt;"",原始資料!AE315=原始資料!AD315),N(AB315)+1,1))</f>
        <v/>
      </c>
      <c r="AD315" s="6">
        <f>IF(OR(原始資料!$A315="",29&gt;設定!$B$3,原始資料!AF315=""),"",IF(AND(原始資料!AE315&lt;&gt;"",原始資料!AF315=原始資料!AE315),N(AC315)+1,1))</f>
        <v/>
      </c>
      <c r="AE315" s="6">
        <f>IF(OR(原始資料!$A315="",30&gt;設定!$B$3,原始資料!AG315=""),"",IF(AND(原始資料!AF315&lt;&gt;"",原始資料!AG315=原始資料!AF315),N(AD315)+1,1))</f>
        <v/>
      </c>
      <c r="AF315" s="6">
        <f>IF(OR(原始資料!$A315="",31&gt;設定!$B$3,原始資料!AH315=""),"",IF(AND(原始資料!AG315&lt;&gt;"",原始資料!AH315=原始資料!AG315),N(AE315)+1,1))</f>
        <v/>
      </c>
      <c r="AG315" s="6">
        <f>IF(OR(原始資料!$A315="",32&gt;設定!$B$3,原始資料!AI315=""),"",IF(AND(原始資料!AH315&lt;&gt;"",原始資料!AI315=原始資料!AH315),N(AF315)+1,1))</f>
        <v/>
      </c>
      <c r="AH315" s="6">
        <f>IF(OR(原始資料!$A315="",33&gt;設定!$B$3,原始資料!AJ315=""),"",IF(AND(原始資料!AI315&lt;&gt;"",原始資料!AJ315=原始資料!AI315),N(AG315)+1,1))</f>
        <v/>
      </c>
      <c r="AI315" s="6">
        <f>IF(OR(原始資料!$A315="",34&gt;設定!$B$3,原始資料!AK315=""),"",IF(AND(原始資料!AJ315&lt;&gt;"",原始資料!AK315=原始資料!AJ315),N(AH315)+1,1))</f>
        <v/>
      </c>
      <c r="AJ315" s="6">
        <f>IF(OR(原始資料!$A315="",35&gt;設定!$B$3,原始資料!AL315=""),"",IF(AND(原始資料!AK315&lt;&gt;"",原始資料!AL315=原始資料!AK315),N(AI315)+1,1))</f>
        <v/>
      </c>
      <c r="AK315" s="6">
        <f>IF(OR(原始資料!$A315="",36&gt;設定!$B$3,原始資料!AM315=""),"",IF(AND(原始資料!AL315&lt;&gt;"",原始資料!AM315=原始資料!AL315),N(AJ315)+1,1))</f>
        <v/>
      </c>
      <c r="AL315" s="6">
        <f>IF(OR(原始資料!$A315="",37&gt;設定!$B$3,原始資料!AN315=""),"",IF(AND(原始資料!AM315&lt;&gt;"",原始資料!AN315=原始資料!AM315),N(AK315)+1,1))</f>
        <v/>
      </c>
      <c r="AM315" s="6">
        <f>IF(OR(原始資料!$A315="",38&gt;設定!$B$3,原始資料!AO315=""),"",IF(AND(原始資料!AN315&lt;&gt;"",原始資料!AO315=原始資料!AN315),N(AL315)+1,1))</f>
        <v/>
      </c>
      <c r="AN315" s="6">
        <f>IF(OR(原始資料!$A315="",39&gt;設定!$B$3,原始資料!AP315=""),"",IF(AND(原始資料!AO315&lt;&gt;"",原始資料!AP315=原始資料!AO315),N(AM315)+1,1))</f>
        <v/>
      </c>
      <c r="AO315" s="6">
        <f>IF(OR(原始資料!$A315="",40&gt;設定!$B$3,原始資料!AQ315=""),"",IF(AND(原始資料!AP315&lt;&gt;"",原始資料!AQ315=原始資料!AP315),N(AN315)+1,1))</f>
        <v/>
      </c>
      <c r="AP315" s="6">
        <f>IF(OR(原始資料!$A315="",41&gt;設定!$B$3,原始資料!AR315=""),"",IF(AND(原始資料!AQ315&lt;&gt;"",原始資料!AR315=原始資料!AQ315),N(AO315)+1,1))</f>
        <v/>
      </c>
      <c r="AQ315" s="6">
        <f>IF(OR(原始資料!$A315="",42&gt;設定!$B$3,原始資料!AS315=""),"",IF(AND(原始資料!AR315&lt;&gt;"",原始資料!AS315=原始資料!AR315),N(AP315)+1,1))</f>
        <v/>
      </c>
      <c r="AR315" s="6">
        <f>IF(OR(原始資料!$A315="",43&gt;設定!$B$3,原始資料!AT315=""),"",IF(AND(原始資料!AS315&lt;&gt;"",原始資料!AT315=原始資料!AS315),N(AQ315)+1,1))</f>
        <v/>
      </c>
      <c r="AS315" s="6">
        <f>IF(OR(原始資料!$A315="",44&gt;設定!$B$3,原始資料!AU315=""),"",IF(AND(原始資料!AT315&lt;&gt;"",原始資料!AU315=原始資料!AT315),N(AR315)+1,1))</f>
        <v/>
      </c>
      <c r="AT315" s="6">
        <f>IF(OR(原始資料!$A315="",45&gt;設定!$B$3,原始資料!AV315=""),"",IF(AND(原始資料!AU315&lt;&gt;"",原始資料!AV315=原始資料!AU315),N(AS315)+1,1))</f>
        <v/>
      </c>
      <c r="AU315" s="6">
        <f>IF(OR(原始資料!$A315="",46&gt;設定!$B$3,原始資料!AW315=""),"",IF(AND(原始資料!AV315&lt;&gt;"",原始資料!AW315=原始資料!AV315),N(AT315)+1,1))</f>
        <v/>
      </c>
      <c r="AV315" s="6">
        <f>IF(OR(原始資料!$A315="",47&gt;設定!$B$3,原始資料!AX315=""),"",IF(AND(原始資料!AW315&lt;&gt;"",原始資料!AX315=原始資料!AW315),N(AU315)+1,1))</f>
        <v/>
      </c>
      <c r="AW315" s="6">
        <f>IF(OR(原始資料!$A315="",48&gt;設定!$B$3,原始資料!AY315=""),"",IF(AND(原始資料!AX315&lt;&gt;"",原始資料!AY315=原始資料!AX315),N(AV315)+1,1))</f>
        <v/>
      </c>
      <c r="AX315" s="6">
        <f>IF(OR(原始資料!$A315="",49&gt;設定!$B$3,原始資料!AZ315=""),"",IF(AND(原始資料!AY315&lt;&gt;"",原始資料!AZ315=原始資料!AY315),N(AW315)+1,1))</f>
        <v/>
      </c>
      <c r="AY315" s="6">
        <f>IF(OR(原始資料!$A315="",50&gt;設定!$B$3,原始資料!BA315=""),"",IF(AND(原始資料!AZ315&lt;&gt;"",原始資料!BA315=原始資料!AZ315),N(AX315)+1,1))</f>
        <v/>
      </c>
      <c r="AZ315" s="6">
        <f>IF(OR(原始資料!$A315="",51&gt;設定!$B$3,原始資料!BB315=""),"",IF(AND(原始資料!BA315&lt;&gt;"",原始資料!BB315=原始資料!BA315),N(AY315)+1,1))</f>
        <v/>
      </c>
      <c r="BA315" s="6">
        <f>IF(OR(原始資料!$A315="",52&gt;設定!$B$3,原始資料!BC315=""),"",IF(AND(原始資料!BB315&lt;&gt;"",原始資料!BC315=原始資料!BB315),N(AZ315)+1,1))</f>
        <v/>
      </c>
      <c r="BB315" s="6">
        <f>IF(OR(原始資料!$A315="",53&gt;設定!$B$3,原始資料!BD315=""),"",IF(AND(原始資料!BC315&lt;&gt;"",原始資料!BD315=原始資料!BC315),N(BA315)+1,1))</f>
        <v/>
      </c>
      <c r="BC315" s="6">
        <f>IF(OR(原始資料!$A315="",54&gt;設定!$B$3,原始資料!BE315=""),"",IF(AND(原始資料!BD315&lt;&gt;"",原始資料!BE315=原始資料!BD315),N(BB315)+1,1))</f>
        <v/>
      </c>
      <c r="BD315" s="6">
        <f>IF(OR(原始資料!$A315="",55&gt;設定!$B$3,原始資料!BF315=""),"",IF(AND(原始資料!BE315&lt;&gt;"",原始資料!BF315=原始資料!BE315),N(BC315)+1,1))</f>
        <v/>
      </c>
      <c r="BE315" s="6">
        <f>IF(OR(原始資料!$A315="",56&gt;設定!$B$3,原始資料!BG315=""),"",IF(AND(原始資料!BF315&lt;&gt;"",原始資料!BG315=原始資料!BF315),N(BD315)+1,1))</f>
        <v/>
      </c>
      <c r="BF315" s="6">
        <f>IF(OR(原始資料!$A315="",57&gt;設定!$B$3,原始資料!BH315=""),"",IF(AND(原始資料!BG315&lt;&gt;"",原始資料!BH315=原始資料!BG315),N(BE315)+1,1))</f>
        <v/>
      </c>
      <c r="BG315" s="6">
        <f>IF(OR(原始資料!$A315="",58&gt;設定!$B$3,原始資料!BI315=""),"",IF(AND(原始資料!BH315&lt;&gt;"",原始資料!BI315=原始資料!BH315),N(BF315)+1,1))</f>
        <v/>
      </c>
      <c r="BH315" s="6">
        <f>IF(OR(原始資料!$A315="",59&gt;設定!$B$3,原始資料!BJ315=""),"",IF(AND(原始資料!BI315&lt;&gt;"",原始資料!BJ315=原始資料!BI315),N(BG315)+1,1))</f>
        <v/>
      </c>
      <c r="BI315" s="6">
        <f>IF(OR(原始資料!$A315="",60&gt;設定!$B$3,原始資料!BK315=""),"",IF(AND(原始資料!BJ315&lt;&gt;"",原始資料!BK315=原始資料!BJ315),N(BH315)+1,1))</f>
        <v/>
      </c>
    </row>
    <row r="316">
      <c r="A316" s="6">
        <f>IF(原始資料!$A316="","",原始資料!$A316)</f>
        <v/>
      </c>
      <c r="B316" s="6">
        <f>IF(OR(原始資料!$A316="",1&gt;設定!$B$3,原始資料!D316=""),"",1)</f>
        <v/>
      </c>
      <c r="C316" s="6">
        <f>IF(OR(原始資料!$A316="",2&gt;設定!$B$3,原始資料!E316=""),"",IF(AND(原始資料!D316&lt;&gt;"",原始資料!E316=原始資料!D316),N(B316)+1,1))</f>
        <v/>
      </c>
      <c r="D316" s="6">
        <f>IF(OR(原始資料!$A316="",3&gt;設定!$B$3,原始資料!F316=""),"",IF(AND(原始資料!E316&lt;&gt;"",原始資料!F316=原始資料!E316),N(C316)+1,1))</f>
        <v/>
      </c>
      <c r="E316" s="6">
        <f>IF(OR(原始資料!$A316="",4&gt;設定!$B$3,原始資料!G316=""),"",IF(AND(原始資料!F316&lt;&gt;"",原始資料!G316=原始資料!F316),N(D316)+1,1))</f>
        <v/>
      </c>
      <c r="F316" s="6">
        <f>IF(OR(原始資料!$A316="",5&gt;設定!$B$3,原始資料!H316=""),"",IF(AND(原始資料!G316&lt;&gt;"",原始資料!H316=原始資料!G316),N(E316)+1,1))</f>
        <v/>
      </c>
      <c r="G316" s="6">
        <f>IF(OR(原始資料!$A316="",6&gt;設定!$B$3,原始資料!I316=""),"",IF(AND(原始資料!H316&lt;&gt;"",原始資料!I316=原始資料!H316),N(F316)+1,1))</f>
        <v/>
      </c>
      <c r="H316" s="6">
        <f>IF(OR(原始資料!$A316="",7&gt;設定!$B$3,原始資料!J316=""),"",IF(AND(原始資料!I316&lt;&gt;"",原始資料!J316=原始資料!I316),N(G316)+1,1))</f>
        <v/>
      </c>
      <c r="I316" s="6">
        <f>IF(OR(原始資料!$A316="",8&gt;設定!$B$3,原始資料!K316=""),"",IF(AND(原始資料!J316&lt;&gt;"",原始資料!K316=原始資料!J316),N(H316)+1,1))</f>
        <v/>
      </c>
      <c r="J316" s="6">
        <f>IF(OR(原始資料!$A316="",9&gt;設定!$B$3,原始資料!L316=""),"",IF(AND(原始資料!K316&lt;&gt;"",原始資料!L316=原始資料!K316),N(I316)+1,1))</f>
        <v/>
      </c>
      <c r="K316" s="6">
        <f>IF(OR(原始資料!$A316="",10&gt;設定!$B$3,原始資料!M316=""),"",IF(AND(原始資料!L316&lt;&gt;"",原始資料!M316=原始資料!L316),N(J316)+1,1))</f>
        <v/>
      </c>
      <c r="L316" s="6">
        <f>IF(OR(原始資料!$A316="",11&gt;設定!$B$3,原始資料!N316=""),"",IF(AND(原始資料!M316&lt;&gt;"",原始資料!N316=原始資料!M316),N(K316)+1,1))</f>
        <v/>
      </c>
      <c r="M316" s="6">
        <f>IF(OR(原始資料!$A316="",12&gt;設定!$B$3,原始資料!O316=""),"",IF(AND(原始資料!N316&lt;&gt;"",原始資料!O316=原始資料!N316),N(L316)+1,1))</f>
        <v/>
      </c>
      <c r="N316" s="6">
        <f>IF(OR(原始資料!$A316="",13&gt;設定!$B$3,原始資料!P316=""),"",IF(AND(原始資料!O316&lt;&gt;"",原始資料!P316=原始資料!O316),N(M316)+1,1))</f>
        <v/>
      </c>
      <c r="O316" s="6">
        <f>IF(OR(原始資料!$A316="",14&gt;設定!$B$3,原始資料!Q316=""),"",IF(AND(原始資料!P316&lt;&gt;"",原始資料!Q316=原始資料!P316),N(N316)+1,1))</f>
        <v/>
      </c>
      <c r="P316" s="6">
        <f>IF(OR(原始資料!$A316="",15&gt;設定!$B$3,原始資料!R316=""),"",IF(AND(原始資料!Q316&lt;&gt;"",原始資料!R316=原始資料!Q316),N(O316)+1,1))</f>
        <v/>
      </c>
      <c r="Q316" s="6">
        <f>IF(OR(原始資料!$A316="",16&gt;設定!$B$3,原始資料!S316=""),"",IF(AND(原始資料!R316&lt;&gt;"",原始資料!S316=原始資料!R316),N(P316)+1,1))</f>
        <v/>
      </c>
      <c r="R316" s="6">
        <f>IF(OR(原始資料!$A316="",17&gt;設定!$B$3,原始資料!T316=""),"",IF(AND(原始資料!S316&lt;&gt;"",原始資料!T316=原始資料!S316),N(Q316)+1,1))</f>
        <v/>
      </c>
      <c r="S316" s="6">
        <f>IF(OR(原始資料!$A316="",18&gt;設定!$B$3,原始資料!U316=""),"",IF(AND(原始資料!T316&lt;&gt;"",原始資料!U316=原始資料!T316),N(R316)+1,1))</f>
        <v/>
      </c>
      <c r="T316" s="6">
        <f>IF(OR(原始資料!$A316="",19&gt;設定!$B$3,原始資料!V316=""),"",IF(AND(原始資料!U316&lt;&gt;"",原始資料!V316=原始資料!U316),N(S316)+1,1))</f>
        <v/>
      </c>
      <c r="U316" s="6">
        <f>IF(OR(原始資料!$A316="",20&gt;設定!$B$3,原始資料!W316=""),"",IF(AND(原始資料!V316&lt;&gt;"",原始資料!W316=原始資料!V316),N(T316)+1,1))</f>
        <v/>
      </c>
      <c r="V316" s="6">
        <f>IF(OR(原始資料!$A316="",21&gt;設定!$B$3,原始資料!X316=""),"",IF(AND(原始資料!W316&lt;&gt;"",原始資料!X316=原始資料!W316),N(U316)+1,1))</f>
        <v/>
      </c>
      <c r="W316" s="6">
        <f>IF(OR(原始資料!$A316="",22&gt;設定!$B$3,原始資料!Y316=""),"",IF(AND(原始資料!X316&lt;&gt;"",原始資料!Y316=原始資料!X316),N(V316)+1,1))</f>
        <v/>
      </c>
      <c r="X316" s="6">
        <f>IF(OR(原始資料!$A316="",23&gt;設定!$B$3,原始資料!Z316=""),"",IF(AND(原始資料!Y316&lt;&gt;"",原始資料!Z316=原始資料!Y316),N(W316)+1,1))</f>
        <v/>
      </c>
      <c r="Y316" s="6">
        <f>IF(OR(原始資料!$A316="",24&gt;設定!$B$3,原始資料!AA316=""),"",IF(AND(原始資料!Z316&lt;&gt;"",原始資料!AA316=原始資料!Z316),N(X316)+1,1))</f>
        <v/>
      </c>
      <c r="Z316" s="6">
        <f>IF(OR(原始資料!$A316="",25&gt;設定!$B$3,原始資料!AB316=""),"",IF(AND(原始資料!AA316&lt;&gt;"",原始資料!AB316=原始資料!AA316),N(Y316)+1,1))</f>
        <v/>
      </c>
      <c r="AA316" s="6">
        <f>IF(OR(原始資料!$A316="",26&gt;設定!$B$3,原始資料!AC316=""),"",IF(AND(原始資料!AB316&lt;&gt;"",原始資料!AC316=原始資料!AB316),N(Z316)+1,1))</f>
        <v/>
      </c>
      <c r="AB316" s="6">
        <f>IF(OR(原始資料!$A316="",27&gt;設定!$B$3,原始資料!AD316=""),"",IF(AND(原始資料!AC316&lt;&gt;"",原始資料!AD316=原始資料!AC316),N(AA316)+1,1))</f>
        <v/>
      </c>
      <c r="AC316" s="6">
        <f>IF(OR(原始資料!$A316="",28&gt;設定!$B$3,原始資料!AE316=""),"",IF(AND(原始資料!AD316&lt;&gt;"",原始資料!AE316=原始資料!AD316),N(AB316)+1,1))</f>
        <v/>
      </c>
      <c r="AD316" s="6">
        <f>IF(OR(原始資料!$A316="",29&gt;設定!$B$3,原始資料!AF316=""),"",IF(AND(原始資料!AE316&lt;&gt;"",原始資料!AF316=原始資料!AE316),N(AC316)+1,1))</f>
        <v/>
      </c>
      <c r="AE316" s="6">
        <f>IF(OR(原始資料!$A316="",30&gt;設定!$B$3,原始資料!AG316=""),"",IF(AND(原始資料!AF316&lt;&gt;"",原始資料!AG316=原始資料!AF316),N(AD316)+1,1))</f>
        <v/>
      </c>
      <c r="AF316" s="6">
        <f>IF(OR(原始資料!$A316="",31&gt;設定!$B$3,原始資料!AH316=""),"",IF(AND(原始資料!AG316&lt;&gt;"",原始資料!AH316=原始資料!AG316),N(AE316)+1,1))</f>
        <v/>
      </c>
      <c r="AG316" s="6">
        <f>IF(OR(原始資料!$A316="",32&gt;設定!$B$3,原始資料!AI316=""),"",IF(AND(原始資料!AH316&lt;&gt;"",原始資料!AI316=原始資料!AH316),N(AF316)+1,1))</f>
        <v/>
      </c>
      <c r="AH316" s="6">
        <f>IF(OR(原始資料!$A316="",33&gt;設定!$B$3,原始資料!AJ316=""),"",IF(AND(原始資料!AI316&lt;&gt;"",原始資料!AJ316=原始資料!AI316),N(AG316)+1,1))</f>
        <v/>
      </c>
      <c r="AI316" s="6">
        <f>IF(OR(原始資料!$A316="",34&gt;設定!$B$3,原始資料!AK316=""),"",IF(AND(原始資料!AJ316&lt;&gt;"",原始資料!AK316=原始資料!AJ316),N(AH316)+1,1))</f>
        <v/>
      </c>
      <c r="AJ316" s="6">
        <f>IF(OR(原始資料!$A316="",35&gt;設定!$B$3,原始資料!AL316=""),"",IF(AND(原始資料!AK316&lt;&gt;"",原始資料!AL316=原始資料!AK316),N(AI316)+1,1))</f>
        <v/>
      </c>
      <c r="AK316" s="6">
        <f>IF(OR(原始資料!$A316="",36&gt;設定!$B$3,原始資料!AM316=""),"",IF(AND(原始資料!AL316&lt;&gt;"",原始資料!AM316=原始資料!AL316),N(AJ316)+1,1))</f>
        <v/>
      </c>
      <c r="AL316" s="6">
        <f>IF(OR(原始資料!$A316="",37&gt;設定!$B$3,原始資料!AN316=""),"",IF(AND(原始資料!AM316&lt;&gt;"",原始資料!AN316=原始資料!AM316),N(AK316)+1,1))</f>
        <v/>
      </c>
      <c r="AM316" s="6">
        <f>IF(OR(原始資料!$A316="",38&gt;設定!$B$3,原始資料!AO316=""),"",IF(AND(原始資料!AN316&lt;&gt;"",原始資料!AO316=原始資料!AN316),N(AL316)+1,1))</f>
        <v/>
      </c>
      <c r="AN316" s="6">
        <f>IF(OR(原始資料!$A316="",39&gt;設定!$B$3,原始資料!AP316=""),"",IF(AND(原始資料!AO316&lt;&gt;"",原始資料!AP316=原始資料!AO316),N(AM316)+1,1))</f>
        <v/>
      </c>
      <c r="AO316" s="6">
        <f>IF(OR(原始資料!$A316="",40&gt;設定!$B$3,原始資料!AQ316=""),"",IF(AND(原始資料!AP316&lt;&gt;"",原始資料!AQ316=原始資料!AP316),N(AN316)+1,1))</f>
        <v/>
      </c>
      <c r="AP316" s="6">
        <f>IF(OR(原始資料!$A316="",41&gt;設定!$B$3,原始資料!AR316=""),"",IF(AND(原始資料!AQ316&lt;&gt;"",原始資料!AR316=原始資料!AQ316),N(AO316)+1,1))</f>
        <v/>
      </c>
      <c r="AQ316" s="6">
        <f>IF(OR(原始資料!$A316="",42&gt;設定!$B$3,原始資料!AS316=""),"",IF(AND(原始資料!AR316&lt;&gt;"",原始資料!AS316=原始資料!AR316),N(AP316)+1,1))</f>
        <v/>
      </c>
      <c r="AR316" s="6">
        <f>IF(OR(原始資料!$A316="",43&gt;設定!$B$3,原始資料!AT316=""),"",IF(AND(原始資料!AS316&lt;&gt;"",原始資料!AT316=原始資料!AS316),N(AQ316)+1,1))</f>
        <v/>
      </c>
      <c r="AS316" s="6">
        <f>IF(OR(原始資料!$A316="",44&gt;設定!$B$3,原始資料!AU316=""),"",IF(AND(原始資料!AT316&lt;&gt;"",原始資料!AU316=原始資料!AT316),N(AR316)+1,1))</f>
        <v/>
      </c>
      <c r="AT316" s="6">
        <f>IF(OR(原始資料!$A316="",45&gt;設定!$B$3,原始資料!AV316=""),"",IF(AND(原始資料!AU316&lt;&gt;"",原始資料!AV316=原始資料!AU316),N(AS316)+1,1))</f>
        <v/>
      </c>
      <c r="AU316" s="6">
        <f>IF(OR(原始資料!$A316="",46&gt;設定!$B$3,原始資料!AW316=""),"",IF(AND(原始資料!AV316&lt;&gt;"",原始資料!AW316=原始資料!AV316),N(AT316)+1,1))</f>
        <v/>
      </c>
      <c r="AV316" s="6">
        <f>IF(OR(原始資料!$A316="",47&gt;設定!$B$3,原始資料!AX316=""),"",IF(AND(原始資料!AW316&lt;&gt;"",原始資料!AX316=原始資料!AW316),N(AU316)+1,1))</f>
        <v/>
      </c>
      <c r="AW316" s="6">
        <f>IF(OR(原始資料!$A316="",48&gt;設定!$B$3,原始資料!AY316=""),"",IF(AND(原始資料!AX316&lt;&gt;"",原始資料!AY316=原始資料!AX316),N(AV316)+1,1))</f>
        <v/>
      </c>
      <c r="AX316" s="6">
        <f>IF(OR(原始資料!$A316="",49&gt;設定!$B$3,原始資料!AZ316=""),"",IF(AND(原始資料!AY316&lt;&gt;"",原始資料!AZ316=原始資料!AY316),N(AW316)+1,1))</f>
        <v/>
      </c>
      <c r="AY316" s="6">
        <f>IF(OR(原始資料!$A316="",50&gt;設定!$B$3,原始資料!BA316=""),"",IF(AND(原始資料!AZ316&lt;&gt;"",原始資料!BA316=原始資料!AZ316),N(AX316)+1,1))</f>
        <v/>
      </c>
      <c r="AZ316" s="6">
        <f>IF(OR(原始資料!$A316="",51&gt;設定!$B$3,原始資料!BB316=""),"",IF(AND(原始資料!BA316&lt;&gt;"",原始資料!BB316=原始資料!BA316),N(AY316)+1,1))</f>
        <v/>
      </c>
      <c r="BA316" s="6">
        <f>IF(OR(原始資料!$A316="",52&gt;設定!$B$3,原始資料!BC316=""),"",IF(AND(原始資料!BB316&lt;&gt;"",原始資料!BC316=原始資料!BB316),N(AZ316)+1,1))</f>
        <v/>
      </c>
      <c r="BB316" s="6">
        <f>IF(OR(原始資料!$A316="",53&gt;設定!$B$3,原始資料!BD316=""),"",IF(AND(原始資料!BC316&lt;&gt;"",原始資料!BD316=原始資料!BC316),N(BA316)+1,1))</f>
        <v/>
      </c>
      <c r="BC316" s="6">
        <f>IF(OR(原始資料!$A316="",54&gt;設定!$B$3,原始資料!BE316=""),"",IF(AND(原始資料!BD316&lt;&gt;"",原始資料!BE316=原始資料!BD316),N(BB316)+1,1))</f>
        <v/>
      </c>
      <c r="BD316" s="6">
        <f>IF(OR(原始資料!$A316="",55&gt;設定!$B$3,原始資料!BF316=""),"",IF(AND(原始資料!BE316&lt;&gt;"",原始資料!BF316=原始資料!BE316),N(BC316)+1,1))</f>
        <v/>
      </c>
      <c r="BE316" s="6">
        <f>IF(OR(原始資料!$A316="",56&gt;設定!$B$3,原始資料!BG316=""),"",IF(AND(原始資料!BF316&lt;&gt;"",原始資料!BG316=原始資料!BF316),N(BD316)+1,1))</f>
        <v/>
      </c>
      <c r="BF316" s="6">
        <f>IF(OR(原始資料!$A316="",57&gt;設定!$B$3,原始資料!BH316=""),"",IF(AND(原始資料!BG316&lt;&gt;"",原始資料!BH316=原始資料!BG316),N(BE316)+1,1))</f>
        <v/>
      </c>
      <c r="BG316" s="6">
        <f>IF(OR(原始資料!$A316="",58&gt;設定!$B$3,原始資料!BI316=""),"",IF(AND(原始資料!BH316&lt;&gt;"",原始資料!BI316=原始資料!BH316),N(BF316)+1,1))</f>
        <v/>
      </c>
      <c r="BH316" s="6">
        <f>IF(OR(原始資料!$A316="",59&gt;設定!$B$3,原始資料!BJ316=""),"",IF(AND(原始資料!BI316&lt;&gt;"",原始資料!BJ316=原始資料!BI316),N(BG316)+1,1))</f>
        <v/>
      </c>
      <c r="BI316" s="6">
        <f>IF(OR(原始資料!$A316="",60&gt;設定!$B$3,原始資料!BK316=""),"",IF(AND(原始資料!BJ316&lt;&gt;"",原始資料!BK316=原始資料!BJ316),N(BH316)+1,1))</f>
        <v/>
      </c>
    </row>
    <row r="317">
      <c r="A317" s="6">
        <f>IF(原始資料!$A317="","",原始資料!$A317)</f>
        <v/>
      </c>
      <c r="B317" s="6">
        <f>IF(OR(原始資料!$A317="",1&gt;設定!$B$3,原始資料!D317=""),"",1)</f>
        <v/>
      </c>
      <c r="C317" s="6">
        <f>IF(OR(原始資料!$A317="",2&gt;設定!$B$3,原始資料!E317=""),"",IF(AND(原始資料!D317&lt;&gt;"",原始資料!E317=原始資料!D317),N(B317)+1,1))</f>
        <v/>
      </c>
      <c r="D317" s="6">
        <f>IF(OR(原始資料!$A317="",3&gt;設定!$B$3,原始資料!F317=""),"",IF(AND(原始資料!E317&lt;&gt;"",原始資料!F317=原始資料!E317),N(C317)+1,1))</f>
        <v/>
      </c>
      <c r="E317" s="6">
        <f>IF(OR(原始資料!$A317="",4&gt;設定!$B$3,原始資料!G317=""),"",IF(AND(原始資料!F317&lt;&gt;"",原始資料!G317=原始資料!F317),N(D317)+1,1))</f>
        <v/>
      </c>
      <c r="F317" s="6">
        <f>IF(OR(原始資料!$A317="",5&gt;設定!$B$3,原始資料!H317=""),"",IF(AND(原始資料!G317&lt;&gt;"",原始資料!H317=原始資料!G317),N(E317)+1,1))</f>
        <v/>
      </c>
      <c r="G317" s="6">
        <f>IF(OR(原始資料!$A317="",6&gt;設定!$B$3,原始資料!I317=""),"",IF(AND(原始資料!H317&lt;&gt;"",原始資料!I317=原始資料!H317),N(F317)+1,1))</f>
        <v/>
      </c>
      <c r="H317" s="6">
        <f>IF(OR(原始資料!$A317="",7&gt;設定!$B$3,原始資料!J317=""),"",IF(AND(原始資料!I317&lt;&gt;"",原始資料!J317=原始資料!I317),N(G317)+1,1))</f>
        <v/>
      </c>
      <c r="I317" s="6">
        <f>IF(OR(原始資料!$A317="",8&gt;設定!$B$3,原始資料!K317=""),"",IF(AND(原始資料!J317&lt;&gt;"",原始資料!K317=原始資料!J317),N(H317)+1,1))</f>
        <v/>
      </c>
      <c r="J317" s="6">
        <f>IF(OR(原始資料!$A317="",9&gt;設定!$B$3,原始資料!L317=""),"",IF(AND(原始資料!K317&lt;&gt;"",原始資料!L317=原始資料!K317),N(I317)+1,1))</f>
        <v/>
      </c>
      <c r="K317" s="6">
        <f>IF(OR(原始資料!$A317="",10&gt;設定!$B$3,原始資料!M317=""),"",IF(AND(原始資料!L317&lt;&gt;"",原始資料!M317=原始資料!L317),N(J317)+1,1))</f>
        <v/>
      </c>
      <c r="L317" s="6">
        <f>IF(OR(原始資料!$A317="",11&gt;設定!$B$3,原始資料!N317=""),"",IF(AND(原始資料!M317&lt;&gt;"",原始資料!N317=原始資料!M317),N(K317)+1,1))</f>
        <v/>
      </c>
      <c r="M317" s="6">
        <f>IF(OR(原始資料!$A317="",12&gt;設定!$B$3,原始資料!O317=""),"",IF(AND(原始資料!N317&lt;&gt;"",原始資料!O317=原始資料!N317),N(L317)+1,1))</f>
        <v/>
      </c>
      <c r="N317" s="6">
        <f>IF(OR(原始資料!$A317="",13&gt;設定!$B$3,原始資料!P317=""),"",IF(AND(原始資料!O317&lt;&gt;"",原始資料!P317=原始資料!O317),N(M317)+1,1))</f>
        <v/>
      </c>
      <c r="O317" s="6">
        <f>IF(OR(原始資料!$A317="",14&gt;設定!$B$3,原始資料!Q317=""),"",IF(AND(原始資料!P317&lt;&gt;"",原始資料!Q317=原始資料!P317),N(N317)+1,1))</f>
        <v/>
      </c>
      <c r="P317" s="6">
        <f>IF(OR(原始資料!$A317="",15&gt;設定!$B$3,原始資料!R317=""),"",IF(AND(原始資料!Q317&lt;&gt;"",原始資料!R317=原始資料!Q317),N(O317)+1,1))</f>
        <v/>
      </c>
      <c r="Q317" s="6">
        <f>IF(OR(原始資料!$A317="",16&gt;設定!$B$3,原始資料!S317=""),"",IF(AND(原始資料!R317&lt;&gt;"",原始資料!S317=原始資料!R317),N(P317)+1,1))</f>
        <v/>
      </c>
      <c r="R317" s="6">
        <f>IF(OR(原始資料!$A317="",17&gt;設定!$B$3,原始資料!T317=""),"",IF(AND(原始資料!S317&lt;&gt;"",原始資料!T317=原始資料!S317),N(Q317)+1,1))</f>
        <v/>
      </c>
      <c r="S317" s="6">
        <f>IF(OR(原始資料!$A317="",18&gt;設定!$B$3,原始資料!U317=""),"",IF(AND(原始資料!T317&lt;&gt;"",原始資料!U317=原始資料!T317),N(R317)+1,1))</f>
        <v/>
      </c>
      <c r="T317" s="6">
        <f>IF(OR(原始資料!$A317="",19&gt;設定!$B$3,原始資料!V317=""),"",IF(AND(原始資料!U317&lt;&gt;"",原始資料!V317=原始資料!U317),N(S317)+1,1))</f>
        <v/>
      </c>
      <c r="U317" s="6">
        <f>IF(OR(原始資料!$A317="",20&gt;設定!$B$3,原始資料!W317=""),"",IF(AND(原始資料!V317&lt;&gt;"",原始資料!W317=原始資料!V317),N(T317)+1,1))</f>
        <v/>
      </c>
      <c r="V317" s="6">
        <f>IF(OR(原始資料!$A317="",21&gt;設定!$B$3,原始資料!X317=""),"",IF(AND(原始資料!W317&lt;&gt;"",原始資料!X317=原始資料!W317),N(U317)+1,1))</f>
        <v/>
      </c>
      <c r="W317" s="6">
        <f>IF(OR(原始資料!$A317="",22&gt;設定!$B$3,原始資料!Y317=""),"",IF(AND(原始資料!X317&lt;&gt;"",原始資料!Y317=原始資料!X317),N(V317)+1,1))</f>
        <v/>
      </c>
      <c r="X317" s="6">
        <f>IF(OR(原始資料!$A317="",23&gt;設定!$B$3,原始資料!Z317=""),"",IF(AND(原始資料!Y317&lt;&gt;"",原始資料!Z317=原始資料!Y317),N(W317)+1,1))</f>
        <v/>
      </c>
      <c r="Y317" s="6">
        <f>IF(OR(原始資料!$A317="",24&gt;設定!$B$3,原始資料!AA317=""),"",IF(AND(原始資料!Z317&lt;&gt;"",原始資料!AA317=原始資料!Z317),N(X317)+1,1))</f>
        <v/>
      </c>
      <c r="Z317" s="6">
        <f>IF(OR(原始資料!$A317="",25&gt;設定!$B$3,原始資料!AB317=""),"",IF(AND(原始資料!AA317&lt;&gt;"",原始資料!AB317=原始資料!AA317),N(Y317)+1,1))</f>
        <v/>
      </c>
      <c r="AA317" s="6">
        <f>IF(OR(原始資料!$A317="",26&gt;設定!$B$3,原始資料!AC317=""),"",IF(AND(原始資料!AB317&lt;&gt;"",原始資料!AC317=原始資料!AB317),N(Z317)+1,1))</f>
        <v/>
      </c>
      <c r="AB317" s="6">
        <f>IF(OR(原始資料!$A317="",27&gt;設定!$B$3,原始資料!AD317=""),"",IF(AND(原始資料!AC317&lt;&gt;"",原始資料!AD317=原始資料!AC317),N(AA317)+1,1))</f>
        <v/>
      </c>
      <c r="AC317" s="6">
        <f>IF(OR(原始資料!$A317="",28&gt;設定!$B$3,原始資料!AE317=""),"",IF(AND(原始資料!AD317&lt;&gt;"",原始資料!AE317=原始資料!AD317),N(AB317)+1,1))</f>
        <v/>
      </c>
      <c r="AD317" s="6">
        <f>IF(OR(原始資料!$A317="",29&gt;設定!$B$3,原始資料!AF317=""),"",IF(AND(原始資料!AE317&lt;&gt;"",原始資料!AF317=原始資料!AE317),N(AC317)+1,1))</f>
        <v/>
      </c>
      <c r="AE317" s="6">
        <f>IF(OR(原始資料!$A317="",30&gt;設定!$B$3,原始資料!AG317=""),"",IF(AND(原始資料!AF317&lt;&gt;"",原始資料!AG317=原始資料!AF317),N(AD317)+1,1))</f>
        <v/>
      </c>
      <c r="AF317" s="6">
        <f>IF(OR(原始資料!$A317="",31&gt;設定!$B$3,原始資料!AH317=""),"",IF(AND(原始資料!AG317&lt;&gt;"",原始資料!AH317=原始資料!AG317),N(AE317)+1,1))</f>
        <v/>
      </c>
      <c r="AG317" s="6">
        <f>IF(OR(原始資料!$A317="",32&gt;設定!$B$3,原始資料!AI317=""),"",IF(AND(原始資料!AH317&lt;&gt;"",原始資料!AI317=原始資料!AH317),N(AF317)+1,1))</f>
        <v/>
      </c>
      <c r="AH317" s="6">
        <f>IF(OR(原始資料!$A317="",33&gt;設定!$B$3,原始資料!AJ317=""),"",IF(AND(原始資料!AI317&lt;&gt;"",原始資料!AJ317=原始資料!AI317),N(AG317)+1,1))</f>
        <v/>
      </c>
      <c r="AI317" s="6">
        <f>IF(OR(原始資料!$A317="",34&gt;設定!$B$3,原始資料!AK317=""),"",IF(AND(原始資料!AJ317&lt;&gt;"",原始資料!AK317=原始資料!AJ317),N(AH317)+1,1))</f>
        <v/>
      </c>
      <c r="AJ317" s="6">
        <f>IF(OR(原始資料!$A317="",35&gt;設定!$B$3,原始資料!AL317=""),"",IF(AND(原始資料!AK317&lt;&gt;"",原始資料!AL317=原始資料!AK317),N(AI317)+1,1))</f>
        <v/>
      </c>
      <c r="AK317" s="6">
        <f>IF(OR(原始資料!$A317="",36&gt;設定!$B$3,原始資料!AM317=""),"",IF(AND(原始資料!AL317&lt;&gt;"",原始資料!AM317=原始資料!AL317),N(AJ317)+1,1))</f>
        <v/>
      </c>
      <c r="AL317" s="6">
        <f>IF(OR(原始資料!$A317="",37&gt;設定!$B$3,原始資料!AN317=""),"",IF(AND(原始資料!AM317&lt;&gt;"",原始資料!AN317=原始資料!AM317),N(AK317)+1,1))</f>
        <v/>
      </c>
      <c r="AM317" s="6">
        <f>IF(OR(原始資料!$A317="",38&gt;設定!$B$3,原始資料!AO317=""),"",IF(AND(原始資料!AN317&lt;&gt;"",原始資料!AO317=原始資料!AN317),N(AL317)+1,1))</f>
        <v/>
      </c>
      <c r="AN317" s="6">
        <f>IF(OR(原始資料!$A317="",39&gt;設定!$B$3,原始資料!AP317=""),"",IF(AND(原始資料!AO317&lt;&gt;"",原始資料!AP317=原始資料!AO317),N(AM317)+1,1))</f>
        <v/>
      </c>
      <c r="AO317" s="6">
        <f>IF(OR(原始資料!$A317="",40&gt;設定!$B$3,原始資料!AQ317=""),"",IF(AND(原始資料!AP317&lt;&gt;"",原始資料!AQ317=原始資料!AP317),N(AN317)+1,1))</f>
        <v/>
      </c>
      <c r="AP317" s="6">
        <f>IF(OR(原始資料!$A317="",41&gt;設定!$B$3,原始資料!AR317=""),"",IF(AND(原始資料!AQ317&lt;&gt;"",原始資料!AR317=原始資料!AQ317),N(AO317)+1,1))</f>
        <v/>
      </c>
      <c r="AQ317" s="6">
        <f>IF(OR(原始資料!$A317="",42&gt;設定!$B$3,原始資料!AS317=""),"",IF(AND(原始資料!AR317&lt;&gt;"",原始資料!AS317=原始資料!AR317),N(AP317)+1,1))</f>
        <v/>
      </c>
      <c r="AR317" s="6">
        <f>IF(OR(原始資料!$A317="",43&gt;設定!$B$3,原始資料!AT317=""),"",IF(AND(原始資料!AS317&lt;&gt;"",原始資料!AT317=原始資料!AS317),N(AQ317)+1,1))</f>
        <v/>
      </c>
      <c r="AS317" s="6">
        <f>IF(OR(原始資料!$A317="",44&gt;設定!$B$3,原始資料!AU317=""),"",IF(AND(原始資料!AT317&lt;&gt;"",原始資料!AU317=原始資料!AT317),N(AR317)+1,1))</f>
        <v/>
      </c>
      <c r="AT317" s="6">
        <f>IF(OR(原始資料!$A317="",45&gt;設定!$B$3,原始資料!AV317=""),"",IF(AND(原始資料!AU317&lt;&gt;"",原始資料!AV317=原始資料!AU317),N(AS317)+1,1))</f>
        <v/>
      </c>
      <c r="AU317" s="6">
        <f>IF(OR(原始資料!$A317="",46&gt;設定!$B$3,原始資料!AW317=""),"",IF(AND(原始資料!AV317&lt;&gt;"",原始資料!AW317=原始資料!AV317),N(AT317)+1,1))</f>
        <v/>
      </c>
      <c r="AV317" s="6">
        <f>IF(OR(原始資料!$A317="",47&gt;設定!$B$3,原始資料!AX317=""),"",IF(AND(原始資料!AW317&lt;&gt;"",原始資料!AX317=原始資料!AW317),N(AU317)+1,1))</f>
        <v/>
      </c>
      <c r="AW317" s="6">
        <f>IF(OR(原始資料!$A317="",48&gt;設定!$B$3,原始資料!AY317=""),"",IF(AND(原始資料!AX317&lt;&gt;"",原始資料!AY317=原始資料!AX317),N(AV317)+1,1))</f>
        <v/>
      </c>
      <c r="AX317" s="6">
        <f>IF(OR(原始資料!$A317="",49&gt;設定!$B$3,原始資料!AZ317=""),"",IF(AND(原始資料!AY317&lt;&gt;"",原始資料!AZ317=原始資料!AY317),N(AW317)+1,1))</f>
        <v/>
      </c>
      <c r="AY317" s="6">
        <f>IF(OR(原始資料!$A317="",50&gt;設定!$B$3,原始資料!BA317=""),"",IF(AND(原始資料!AZ317&lt;&gt;"",原始資料!BA317=原始資料!AZ317),N(AX317)+1,1))</f>
        <v/>
      </c>
      <c r="AZ317" s="6">
        <f>IF(OR(原始資料!$A317="",51&gt;設定!$B$3,原始資料!BB317=""),"",IF(AND(原始資料!BA317&lt;&gt;"",原始資料!BB317=原始資料!BA317),N(AY317)+1,1))</f>
        <v/>
      </c>
      <c r="BA317" s="6">
        <f>IF(OR(原始資料!$A317="",52&gt;設定!$B$3,原始資料!BC317=""),"",IF(AND(原始資料!BB317&lt;&gt;"",原始資料!BC317=原始資料!BB317),N(AZ317)+1,1))</f>
        <v/>
      </c>
      <c r="BB317" s="6">
        <f>IF(OR(原始資料!$A317="",53&gt;設定!$B$3,原始資料!BD317=""),"",IF(AND(原始資料!BC317&lt;&gt;"",原始資料!BD317=原始資料!BC317),N(BA317)+1,1))</f>
        <v/>
      </c>
      <c r="BC317" s="6">
        <f>IF(OR(原始資料!$A317="",54&gt;設定!$B$3,原始資料!BE317=""),"",IF(AND(原始資料!BD317&lt;&gt;"",原始資料!BE317=原始資料!BD317),N(BB317)+1,1))</f>
        <v/>
      </c>
      <c r="BD317" s="6">
        <f>IF(OR(原始資料!$A317="",55&gt;設定!$B$3,原始資料!BF317=""),"",IF(AND(原始資料!BE317&lt;&gt;"",原始資料!BF317=原始資料!BE317),N(BC317)+1,1))</f>
        <v/>
      </c>
      <c r="BE317" s="6">
        <f>IF(OR(原始資料!$A317="",56&gt;設定!$B$3,原始資料!BG317=""),"",IF(AND(原始資料!BF317&lt;&gt;"",原始資料!BG317=原始資料!BF317),N(BD317)+1,1))</f>
        <v/>
      </c>
      <c r="BF317" s="6">
        <f>IF(OR(原始資料!$A317="",57&gt;設定!$B$3,原始資料!BH317=""),"",IF(AND(原始資料!BG317&lt;&gt;"",原始資料!BH317=原始資料!BG317),N(BE317)+1,1))</f>
        <v/>
      </c>
      <c r="BG317" s="6">
        <f>IF(OR(原始資料!$A317="",58&gt;設定!$B$3,原始資料!BI317=""),"",IF(AND(原始資料!BH317&lt;&gt;"",原始資料!BI317=原始資料!BH317),N(BF317)+1,1))</f>
        <v/>
      </c>
      <c r="BH317" s="6">
        <f>IF(OR(原始資料!$A317="",59&gt;設定!$B$3,原始資料!BJ317=""),"",IF(AND(原始資料!BI317&lt;&gt;"",原始資料!BJ317=原始資料!BI317),N(BG317)+1,1))</f>
        <v/>
      </c>
      <c r="BI317" s="6">
        <f>IF(OR(原始資料!$A317="",60&gt;設定!$B$3,原始資料!BK317=""),"",IF(AND(原始資料!BJ317&lt;&gt;"",原始資料!BK317=原始資料!BJ317),N(BH317)+1,1))</f>
        <v/>
      </c>
    </row>
    <row r="318">
      <c r="A318" s="6">
        <f>IF(原始資料!$A318="","",原始資料!$A318)</f>
        <v/>
      </c>
      <c r="B318" s="6">
        <f>IF(OR(原始資料!$A318="",1&gt;設定!$B$3,原始資料!D318=""),"",1)</f>
        <v/>
      </c>
      <c r="C318" s="6">
        <f>IF(OR(原始資料!$A318="",2&gt;設定!$B$3,原始資料!E318=""),"",IF(AND(原始資料!D318&lt;&gt;"",原始資料!E318=原始資料!D318),N(B318)+1,1))</f>
        <v/>
      </c>
      <c r="D318" s="6">
        <f>IF(OR(原始資料!$A318="",3&gt;設定!$B$3,原始資料!F318=""),"",IF(AND(原始資料!E318&lt;&gt;"",原始資料!F318=原始資料!E318),N(C318)+1,1))</f>
        <v/>
      </c>
      <c r="E318" s="6">
        <f>IF(OR(原始資料!$A318="",4&gt;設定!$B$3,原始資料!G318=""),"",IF(AND(原始資料!F318&lt;&gt;"",原始資料!G318=原始資料!F318),N(D318)+1,1))</f>
        <v/>
      </c>
      <c r="F318" s="6">
        <f>IF(OR(原始資料!$A318="",5&gt;設定!$B$3,原始資料!H318=""),"",IF(AND(原始資料!G318&lt;&gt;"",原始資料!H318=原始資料!G318),N(E318)+1,1))</f>
        <v/>
      </c>
      <c r="G318" s="6">
        <f>IF(OR(原始資料!$A318="",6&gt;設定!$B$3,原始資料!I318=""),"",IF(AND(原始資料!H318&lt;&gt;"",原始資料!I318=原始資料!H318),N(F318)+1,1))</f>
        <v/>
      </c>
      <c r="H318" s="6">
        <f>IF(OR(原始資料!$A318="",7&gt;設定!$B$3,原始資料!J318=""),"",IF(AND(原始資料!I318&lt;&gt;"",原始資料!J318=原始資料!I318),N(G318)+1,1))</f>
        <v/>
      </c>
      <c r="I318" s="6">
        <f>IF(OR(原始資料!$A318="",8&gt;設定!$B$3,原始資料!K318=""),"",IF(AND(原始資料!J318&lt;&gt;"",原始資料!K318=原始資料!J318),N(H318)+1,1))</f>
        <v/>
      </c>
      <c r="J318" s="6">
        <f>IF(OR(原始資料!$A318="",9&gt;設定!$B$3,原始資料!L318=""),"",IF(AND(原始資料!K318&lt;&gt;"",原始資料!L318=原始資料!K318),N(I318)+1,1))</f>
        <v/>
      </c>
      <c r="K318" s="6">
        <f>IF(OR(原始資料!$A318="",10&gt;設定!$B$3,原始資料!M318=""),"",IF(AND(原始資料!L318&lt;&gt;"",原始資料!M318=原始資料!L318),N(J318)+1,1))</f>
        <v/>
      </c>
      <c r="L318" s="6">
        <f>IF(OR(原始資料!$A318="",11&gt;設定!$B$3,原始資料!N318=""),"",IF(AND(原始資料!M318&lt;&gt;"",原始資料!N318=原始資料!M318),N(K318)+1,1))</f>
        <v/>
      </c>
      <c r="M318" s="6">
        <f>IF(OR(原始資料!$A318="",12&gt;設定!$B$3,原始資料!O318=""),"",IF(AND(原始資料!N318&lt;&gt;"",原始資料!O318=原始資料!N318),N(L318)+1,1))</f>
        <v/>
      </c>
      <c r="N318" s="6">
        <f>IF(OR(原始資料!$A318="",13&gt;設定!$B$3,原始資料!P318=""),"",IF(AND(原始資料!O318&lt;&gt;"",原始資料!P318=原始資料!O318),N(M318)+1,1))</f>
        <v/>
      </c>
      <c r="O318" s="6">
        <f>IF(OR(原始資料!$A318="",14&gt;設定!$B$3,原始資料!Q318=""),"",IF(AND(原始資料!P318&lt;&gt;"",原始資料!Q318=原始資料!P318),N(N318)+1,1))</f>
        <v/>
      </c>
      <c r="P318" s="6">
        <f>IF(OR(原始資料!$A318="",15&gt;設定!$B$3,原始資料!R318=""),"",IF(AND(原始資料!Q318&lt;&gt;"",原始資料!R318=原始資料!Q318),N(O318)+1,1))</f>
        <v/>
      </c>
      <c r="Q318" s="6">
        <f>IF(OR(原始資料!$A318="",16&gt;設定!$B$3,原始資料!S318=""),"",IF(AND(原始資料!R318&lt;&gt;"",原始資料!S318=原始資料!R318),N(P318)+1,1))</f>
        <v/>
      </c>
      <c r="R318" s="6">
        <f>IF(OR(原始資料!$A318="",17&gt;設定!$B$3,原始資料!T318=""),"",IF(AND(原始資料!S318&lt;&gt;"",原始資料!T318=原始資料!S318),N(Q318)+1,1))</f>
        <v/>
      </c>
      <c r="S318" s="6">
        <f>IF(OR(原始資料!$A318="",18&gt;設定!$B$3,原始資料!U318=""),"",IF(AND(原始資料!T318&lt;&gt;"",原始資料!U318=原始資料!T318),N(R318)+1,1))</f>
        <v/>
      </c>
      <c r="T318" s="6">
        <f>IF(OR(原始資料!$A318="",19&gt;設定!$B$3,原始資料!V318=""),"",IF(AND(原始資料!U318&lt;&gt;"",原始資料!V318=原始資料!U318),N(S318)+1,1))</f>
        <v/>
      </c>
      <c r="U318" s="6">
        <f>IF(OR(原始資料!$A318="",20&gt;設定!$B$3,原始資料!W318=""),"",IF(AND(原始資料!V318&lt;&gt;"",原始資料!W318=原始資料!V318),N(T318)+1,1))</f>
        <v/>
      </c>
      <c r="V318" s="6">
        <f>IF(OR(原始資料!$A318="",21&gt;設定!$B$3,原始資料!X318=""),"",IF(AND(原始資料!W318&lt;&gt;"",原始資料!X318=原始資料!W318),N(U318)+1,1))</f>
        <v/>
      </c>
      <c r="W318" s="6">
        <f>IF(OR(原始資料!$A318="",22&gt;設定!$B$3,原始資料!Y318=""),"",IF(AND(原始資料!X318&lt;&gt;"",原始資料!Y318=原始資料!X318),N(V318)+1,1))</f>
        <v/>
      </c>
      <c r="X318" s="6">
        <f>IF(OR(原始資料!$A318="",23&gt;設定!$B$3,原始資料!Z318=""),"",IF(AND(原始資料!Y318&lt;&gt;"",原始資料!Z318=原始資料!Y318),N(W318)+1,1))</f>
        <v/>
      </c>
      <c r="Y318" s="6">
        <f>IF(OR(原始資料!$A318="",24&gt;設定!$B$3,原始資料!AA318=""),"",IF(AND(原始資料!Z318&lt;&gt;"",原始資料!AA318=原始資料!Z318),N(X318)+1,1))</f>
        <v/>
      </c>
      <c r="Z318" s="6">
        <f>IF(OR(原始資料!$A318="",25&gt;設定!$B$3,原始資料!AB318=""),"",IF(AND(原始資料!AA318&lt;&gt;"",原始資料!AB318=原始資料!AA318),N(Y318)+1,1))</f>
        <v/>
      </c>
      <c r="AA318" s="6">
        <f>IF(OR(原始資料!$A318="",26&gt;設定!$B$3,原始資料!AC318=""),"",IF(AND(原始資料!AB318&lt;&gt;"",原始資料!AC318=原始資料!AB318),N(Z318)+1,1))</f>
        <v/>
      </c>
      <c r="AB318" s="6">
        <f>IF(OR(原始資料!$A318="",27&gt;設定!$B$3,原始資料!AD318=""),"",IF(AND(原始資料!AC318&lt;&gt;"",原始資料!AD318=原始資料!AC318),N(AA318)+1,1))</f>
        <v/>
      </c>
      <c r="AC318" s="6">
        <f>IF(OR(原始資料!$A318="",28&gt;設定!$B$3,原始資料!AE318=""),"",IF(AND(原始資料!AD318&lt;&gt;"",原始資料!AE318=原始資料!AD318),N(AB318)+1,1))</f>
        <v/>
      </c>
      <c r="AD318" s="6">
        <f>IF(OR(原始資料!$A318="",29&gt;設定!$B$3,原始資料!AF318=""),"",IF(AND(原始資料!AE318&lt;&gt;"",原始資料!AF318=原始資料!AE318),N(AC318)+1,1))</f>
        <v/>
      </c>
      <c r="AE318" s="6">
        <f>IF(OR(原始資料!$A318="",30&gt;設定!$B$3,原始資料!AG318=""),"",IF(AND(原始資料!AF318&lt;&gt;"",原始資料!AG318=原始資料!AF318),N(AD318)+1,1))</f>
        <v/>
      </c>
      <c r="AF318" s="6">
        <f>IF(OR(原始資料!$A318="",31&gt;設定!$B$3,原始資料!AH318=""),"",IF(AND(原始資料!AG318&lt;&gt;"",原始資料!AH318=原始資料!AG318),N(AE318)+1,1))</f>
        <v/>
      </c>
      <c r="AG318" s="6">
        <f>IF(OR(原始資料!$A318="",32&gt;設定!$B$3,原始資料!AI318=""),"",IF(AND(原始資料!AH318&lt;&gt;"",原始資料!AI318=原始資料!AH318),N(AF318)+1,1))</f>
        <v/>
      </c>
      <c r="AH318" s="6">
        <f>IF(OR(原始資料!$A318="",33&gt;設定!$B$3,原始資料!AJ318=""),"",IF(AND(原始資料!AI318&lt;&gt;"",原始資料!AJ318=原始資料!AI318),N(AG318)+1,1))</f>
        <v/>
      </c>
      <c r="AI318" s="6">
        <f>IF(OR(原始資料!$A318="",34&gt;設定!$B$3,原始資料!AK318=""),"",IF(AND(原始資料!AJ318&lt;&gt;"",原始資料!AK318=原始資料!AJ318),N(AH318)+1,1))</f>
        <v/>
      </c>
      <c r="AJ318" s="6">
        <f>IF(OR(原始資料!$A318="",35&gt;設定!$B$3,原始資料!AL318=""),"",IF(AND(原始資料!AK318&lt;&gt;"",原始資料!AL318=原始資料!AK318),N(AI318)+1,1))</f>
        <v/>
      </c>
      <c r="AK318" s="6">
        <f>IF(OR(原始資料!$A318="",36&gt;設定!$B$3,原始資料!AM318=""),"",IF(AND(原始資料!AL318&lt;&gt;"",原始資料!AM318=原始資料!AL318),N(AJ318)+1,1))</f>
        <v/>
      </c>
      <c r="AL318" s="6">
        <f>IF(OR(原始資料!$A318="",37&gt;設定!$B$3,原始資料!AN318=""),"",IF(AND(原始資料!AM318&lt;&gt;"",原始資料!AN318=原始資料!AM318),N(AK318)+1,1))</f>
        <v/>
      </c>
      <c r="AM318" s="6">
        <f>IF(OR(原始資料!$A318="",38&gt;設定!$B$3,原始資料!AO318=""),"",IF(AND(原始資料!AN318&lt;&gt;"",原始資料!AO318=原始資料!AN318),N(AL318)+1,1))</f>
        <v/>
      </c>
      <c r="AN318" s="6">
        <f>IF(OR(原始資料!$A318="",39&gt;設定!$B$3,原始資料!AP318=""),"",IF(AND(原始資料!AO318&lt;&gt;"",原始資料!AP318=原始資料!AO318),N(AM318)+1,1))</f>
        <v/>
      </c>
      <c r="AO318" s="6">
        <f>IF(OR(原始資料!$A318="",40&gt;設定!$B$3,原始資料!AQ318=""),"",IF(AND(原始資料!AP318&lt;&gt;"",原始資料!AQ318=原始資料!AP318),N(AN318)+1,1))</f>
        <v/>
      </c>
      <c r="AP318" s="6">
        <f>IF(OR(原始資料!$A318="",41&gt;設定!$B$3,原始資料!AR318=""),"",IF(AND(原始資料!AQ318&lt;&gt;"",原始資料!AR318=原始資料!AQ318),N(AO318)+1,1))</f>
        <v/>
      </c>
      <c r="AQ318" s="6">
        <f>IF(OR(原始資料!$A318="",42&gt;設定!$B$3,原始資料!AS318=""),"",IF(AND(原始資料!AR318&lt;&gt;"",原始資料!AS318=原始資料!AR318),N(AP318)+1,1))</f>
        <v/>
      </c>
      <c r="AR318" s="6">
        <f>IF(OR(原始資料!$A318="",43&gt;設定!$B$3,原始資料!AT318=""),"",IF(AND(原始資料!AS318&lt;&gt;"",原始資料!AT318=原始資料!AS318),N(AQ318)+1,1))</f>
        <v/>
      </c>
      <c r="AS318" s="6">
        <f>IF(OR(原始資料!$A318="",44&gt;設定!$B$3,原始資料!AU318=""),"",IF(AND(原始資料!AT318&lt;&gt;"",原始資料!AU318=原始資料!AT318),N(AR318)+1,1))</f>
        <v/>
      </c>
      <c r="AT318" s="6">
        <f>IF(OR(原始資料!$A318="",45&gt;設定!$B$3,原始資料!AV318=""),"",IF(AND(原始資料!AU318&lt;&gt;"",原始資料!AV318=原始資料!AU318),N(AS318)+1,1))</f>
        <v/>
      </c>
      <c r="AU318" s="6">
        <f>IF(OR(原始資料!$A318="",46&gt;設定!$B$3,原始資料!AW318=""),"",IF(AND(原始資料!AV318&lt;&gt;"",原始資料!AW318=原始資料!AV318),N(AT318)+1,1))</f>
        <v/>
      </c>
      <c r="AV318" s="6">
        <f>IF(OR(原始資料!$A318="",47&gt;設定!$B$3,原始資料!AX318=""),"",IF(AND(原始資料!AW318&lt;&gt;"",原始資料!AX318=原始資料!AW318),N(AU318)+1,1))</f>
        <v/>
      </c>
      <c r="AW318" s="6">
        <f>IF(OR(原始資料!$A318="",48&gt;設定!$B$3,原始資料!AY318=""),"",IF(AND(原始資料!AX318&lt;&gt;"",原始資料!AY318=原始資料!AX318),N(AV318)+1,1))</f>
        <v/>
      </c>
      <c r="AX318" s="6">
        <f>IF(OR(原始資料!$A318="",49&gt;設定!$B$3,原始資料!AZ318=""),"",IF(AND(原始資料!AY318&lt;&gt;"",原始資料!AZ318=原始資料!AY318),N(AW318)+1,1))</f>
        <v/>
      </c>
      <c r="AY318" s="6">
        <f>IF(OR(原始資料!$A318="",50&gt;設定!$B$3,原始資料!BA318=""),"",IF(AND(原始資料!AZ318&lt;&gt;"",原始資料!BA318=原始資料!AZ318),N(AX318)+1,1))</f>
        <v/>
      </c>
      <c r="AZ318" s="6">
        <f>IF(OR(原始資料!$A318="",51&gt;設定!$B$3,原始資料!BB318=""),"",IF(AND(原始資料!BA318&lt;&gt;"",原始資料!BB318=原始資料!BA318),N(AY318)+1,1))</f>
        <v/>
      </c>
      <c r="BA318" s="6">
        <f>IF(OR(原始資料!$A318="",52&gt;設定!$B$3,原始資料!BC318=""),"",IF(AND(原始資料!BB318&lt;&gt;"",原始資料!BC318=原始資料!BB318),N(AZ318)+1,1))</f>
        <v/>
      </c>
      <c r="BB318" s="6">
        <f>IF(OR(原始資料!$A318="",53&gt;設定!$B$3,原始資料!BD318=""),"",IF(AND(原始資料!BC318&lt;&gt;"",原始資料!BD318=原始資料!BC318),N(BA318)+1,1))</f>
        <v/>
      </c>
      <c r="BC318" s="6">
        <f>IF(OR(原始資料!$A318="",54&gt;設定!$B$3,原始資料!BE318=""),"",IF(AND(原始資料!BD318&lt;&gt;"",原始資料!BE318=原始資料!BD318),N(BB318)+1,1))</f>
        <v/>
      </c>
      <c r="BD318" s="6">
        <f>IF(OR(原始資料!$A318="",55&gt;設定!$B$3,原始資料!BF318=""),"",IF(AND(原始資料!BE318&lt;&gt;"",原始資料!BF318=原始資料!BE318),N(BC318)+1,1))</f>
        <v/>
      </c>
      <c r="BE318" s="6">
        <f>IF(OR(原始資料!$A318="",56&gt;設定!$B$3,原始資料!BG318=""),"",IF(AND(原始資料!BF318&lt;&gt;"",原始資料!BG318=原始資料!BF318),N(BD318)+1,1))</f>
        <v/>
      </c>
      <c r="BF318" s="6">
        <f>IF(OR(原始資料!$A318="",57&gt;設定!$B$3,原始資料!BH318=""),"",IF(AND(原始資料!BG318&lt;&gt;"",原始資料!BH318=原始資料!BG318),N(BE318)+1,1))</f>
        <v/>
      </c>
      <c r="BG318" s="6">
        <f>IF(OR(原始資料!$A318="",58&gt;設定!$B$3,原始資料!BI318=""),"",IF(AND(原始資料!BH318&lt;&gt;"",原始資料!BI318=原始資料!BH318),N(BF318)+1,1))</f>
        <v/>
      </c>
      <c r="BH318" s="6">
        <f>IF(OR(原始資料!$A318="",59&gt;設定!$B$3,原始資料!BJ318=""),"",IF(AND(原始資料!BI318&lt;&gt;"",原始資料!BJ318=原始資料!BI318),N(BG318)+1,1))</f>
        <v/>
      </c>
      <c r="BI318" s="6">
        <f>IF(OR(原始資料!$A318="",60&gt;設定!$B$3,原始資料!BK318=""),"",IF(AND(原始資料!BJ318&lt;&gt;"",原始資料!BK318=原始資料!BJ318),N(BH318)+1,1))</f>
        <v/>
      </c>
    </row>
    <row r="319">
      <c r="A319" s="6">
        <f>IF(原始資料!$A319="","",原始資料!$A319)</f>
        <v/>
      </c>
      <c r="B319" s="6">
        <f>IF(OR(原始資料!$A319="",1&gt;設定!$B$3,原始資料!D319=""),"",1)</f>
        <v/>
      </c>
      <c r="C319" s="6">
        <f>IF(OR(原始資料!$A319="",2&gt;設定!$B$3,原始資料!E319=""),"",IF(AND(原始資料!D319&lt;&gt;"",原始資料!E319=原始資料!D319),N(B319)+1,1))</f>
        <v/>
      </c>
      <c r="D319" s="6">
        <f>IF(OR(原始資料!$A319="",3&gt;設定!$B$3,原始資料!F319=""),"",IF(AND(原始資料!E319&lt;&gt;"",原始資料!F319=原始資料!E319),N(C319)+1,1))</f>
        <v/>
      </c>
      <c r="E319" s="6">
        <f>IF(OR(原始資料!$A319="",4&gt;設定!$B$3,原始資料!G319=""),"",IF(AND(原始資料!F319&lt;&gt;"",原始資料!G319=原始資料!F319),N(D319)+1,1))</f>
        <v/>
      </c>
      <c r="F319" s="6">
        <f>IF(OR(原始資料!$A319="",5&gt;設定!$B$3,原始資料!H319=""),"",IF(AND(原始資料!G319&lt;&gt;"",原始資料!H319=原始資料!G319),N(E319)+1,1))</f>
        <v/>
      </c>
      <c r="G319" s="6">
        <f>IF(OR(原始資料!$A319="",6&gt;設定!$B$3,原始資料!I319=""),"",IF(AND(原始資料!H319&lt;&gt;"",原始資料!I319=原始資料!H319),N(F319)+1,1))</f>
        <v/>
      </c>
      <c r="H319" s="6">
        <f>IF(OR(原始資料!$A319="",7&gt;設定!$B$3,原始資料!J319=""),"",IF(AND(原始資料!I319&lt;&gt;"",原始資料!J319=原始資料!I319),N(G319)+1,1))</f>
        <v/>
      </c>
      <c r="I319" s="6">
        <f>IF(OR(原始資料!$A319="",8&gt;設定!$B$3,原始資料!K319=""),"",IF(AND(原始資料!J319&lt;&gt;"",原始資料!K319=原始資料!J319),N(H319)+1,1))</f>
        <v/>
      </c>
      <c r="J319" s="6">
        <f>IF(OR(原始資料!$A319="",9&gt;設定!$B$3,原始資料!L319=""),"",IF(AND(原始資料!K319&lt;&gt;"",原始資料!L319=原始資料!K319),N(I319)+1,1))</f>
        <v/>
      </c>
      <c r="K319" s="6">
        <f>IF(OR(原始資料!$A319="",10&gt;設定!$B$3,原始資料!M319=""),"",IF(AND(原始資料!L319&lt;&gt;"",原始資料!M319=原始資料!L319),N(J319)+1,1))</f>
        <v/>
      </c>
      <c r="L319" s="6">
        <f>IF(OR(原始資料!$A319="",11&gt;設定!$B$3,原始資料!N319=""),"",IF(AND(原始資料!M319&lt;&gt;"",原始資料!N319=原始資料!M319),N(K319)+1,1))</f>
        <v/>
      </c>
      <c r="M319" s="6">
        <f>IF(OR(原始資料!$A319="",12&gt;設定!$B$3,原始資料!O319=""),"",IF(AND(原始資料!N319&lt;&gt;"",原始資料!O319=原始資料!N319),N(L319)+1,1))</f>
        <v/>
      </c>
      <c r="N319" s="6">
        <f>IF(OR(原始資料!$A319="",13&gt;設定!$B$3,原始資料!P319=""),"",IF(AND(原始資料!O319&lt;&gt;"",原始資料!P319=原始資料!O319),N(M319)+1,1))</f>
        <v/>
      </c>
      <c r="O319" s="6">
        <f>IF(OR(原始資料!$A319="",14&gt;設定!$B$3,原始資料!Q319=""),"",IF(AND(原始資料!P319&lt;&gt;"",原始資料!Q319=原始資料!P319),N(N319)+1,1))</f>
        <v/>
      </c>
      <c r="P319" s="6">
        <f>IF(OR(原始資料!$A319="",15&gt;設定!$B$3,原始資料!R319=""),"",IF(AND(原始資料!Q319&lt;&gt;"",原始資料!R319=原始資料!Q319),N(O319)+1,1))</f>
        <v/>
      </c>
      <c r="Q319" s="6">
        <f>IF(OR(原始資料!$A319="",16&gt;設定!$B$3,原始資料!S319=""),"",IF(AND(原始資料!R319&lt;&gt;"",原始資料!S319=原始資料!R319),N(P319)+1,1))</f>
        <v/>
      </c>
      <c r="R319" s="6">
        <f>IF(OR(原始資料!$A319="",17&gt;設定!$B$3,原始資料!T319=""),"",IF(AND(原始資料!S319&lt;&gt;"",原始資料!T319=原始資料!S319),N(Q319)+1,1))</f>
        <v/>
      </c>
      <c r="S319" s="6">
        <f>IF(OR(原始資料!$A319="",18&gt;設定!$B$3,原始資料!U319=""),"",IF(AND(原始資料!T319&lt;&gt;"",原始資料!U319=原始資料!T319),N(R319)+1,1))</f>
        <v/>
      </c>
      <c r="T319" s="6">
        <f>IF(OR(原始資料!$A319="",19&gt;設定!$B$3,原始資料!V319=""),"",IF(AND(原始資料!U319&lt;&gt;"",原始資料!V319=原始資料!U319),N(S319)+1,1))</f>
        <v/>
      </c>
      <c r="U319" s="6">
        <f>IF(OR(原始資料!$A319="",20&gt;設定!$B$3,原始資料!W319=""),"",IF(AND(原始資料!V319&lt;&gt;"",原始資料!W319=原始資料!V319),N(T319)+1,1))</f>
        <v/>
      </c>
      <c r="V319" s="6">
        <f>IF(OR(原始資料!$A319="",21&gt;設定!$B$3,原始資料!X319=""),"",IF(AND(原始資料!W319&lt;&gt;"",原始資料!X319=原始資料!W319),N(U319)+1,1))</f>
        <v/>
      </c>
      <c r="W319" s="6">
        <f>IF(OR(原始資料!$A319="",22&gt;設定!$B$3,原始資料!Y319=""),"",IF(AND(原始資料!X319&lt;&gt;"",原始資料!Y319=原始資料!X319),N(V319)+1,1))</f>
        <v/>
      </c>
      <c r="X319" s="6">
        <f>IF(OR(原始資料!$A319="",23&gt;設定!$B$3,原始資料!Z319=""),"",IF(AND(原始資料!Y319&lt;&gt;"",原始資料!Z319=原始資料!Y319),N(W319)+1,1))</f>
        <v/>
      </c>
      <c r="Y319" s="6">
        <f>IF(OR(原始資料!$A319="",24&gt;設定!$B$3,原始資料!AA319=""),"",IF(AND(原始資料!Z319&lt;&gt;"",原始資料!AA319=原始資料!Z319),N(X319)+1,1))</f>
        <v/>
      </c>
      <c r="Z319" s="6">
        <f>IF(OR(原始資料!$A319="",25&gt;設定!$B$3,原始資料!AB319=""),"",IF(AND(原始資料!AA319&lt;&gt;"",原始資料!AB319=原始資料!AA319),N(Y319)+1,1))</f>
        <v/>
      </c>
      <c r="AA319" s="6">
        <f>IF(OR(原始資料!$A319="",26&gt;設定!$B$3,原始資料!AC319=""),"",IF(AND(原始資料!AB319&lt;&gt;"",原始資料!AC319=原始資料!AB319),N(Z319)+1,1))</f>
        <v/>
      </c>
      <c r="AB319" s="6">
        <f>IF(OR(原始資料!$A319="",27&gt;設定!$B$3,原始資料!AD319=""),"",IF(AND(原始資料!AC319&lt;&gt;"",原始資料!AD319=原始資料!AC319),N(AA319)+1,1))</f>
        <v/>
      </c>
      <c r="AC319" s="6">
        <f>IF(OR(原始資料!$A319="",28&gt;設定!$B$3,原始資料!AE319=""),"",IF(AND(原始資料!AD319&lt;&gt;"",原始資料!AE319=原始資料!AD319),N(AB319)+1,1))</f>
        <v/>
      </c>
      <c r="AD319" s="6">
        <f>IF(OR(原始資料!$A319="",29&gt;設定!$B$3,原始資料!AF319=""),"",IF(AND(原始資料!AE319&lt;&gt;"",原始資料!AF319=原始資料!AE319),N(AC319)+1,1))</f>
        <v/>
      </c>
      <c r="AE319" s="6">
        <f>IF(OR(原始資料!$A319="",30&gt;設定!$B$3,原始資料!AG319=""),"",IF(AND(原始資料!AF319&lt;&gt;"",原始資料!AG319=原始資料!AF319),N(AD319)+1,1))</f>
        <v/>
      </c>
      <c r="AF319" s="6">
        <f>IF(OR(原始資料!$A319="",31&gt;設定!$B$3,原始資料!AH319=""),"",IF(AND(原始資料!AG319&lt;&gt;"",原始資料!AH319=原始資料!AG319),N(AE319)+1,1))</f>
        <v/>
      </c>
      <c r="AG319" s="6">
        <f>IF(OR(原始資料!$A319="",32&gt;設定!$B$3,原始資料!AI319=""),"",IF(AND(原始資料!AH319&lt;&gt;"",原始資料!AI319=原始資料!AH319),N(AF319)+1,1))</f>
        <v/>
      </c>
      <c r="AH319" s="6">
        <f>IF(OR(原始資料!$A319="",33&gt;設定!$B$3,原始資料!AJ319=""),"",IF(AND(原始資料!AI319&lt;&gt;"",原始資料!AJ319=原始資料!AI319),N(AG319)+1,1))</f>
        <v/>
      </c>
      <c r="AI319" s="6">
        <f>IF(OR(原始資料!$A319="",34&gt;設定!$B$3,原始資料!AK319=""),"",IF(AND(原始資料!AJ319&lt;&gt;"",原始資料!AK319=原始資料!AJ319),N(AH319)+1,1))</f>
        <v/>
      </c>
      <c r="AJ319" s="6">
        <f>IF(OR(原始資料!$A319="",35&gt;設定!$B$3,原始資料!AL319=""),"",IF(AND(原始資料!AK319&lt;&gt;"",原始資料!AL319=原始資料!AK319),N(AI319)+1,1))</f>
        <v/>
      </c>
      <c r="AK319" s="6">
        <f>IF(OR(原始資料!$A319="",36&gt;設定!$B$3,原始資料!AM319=""),"",IF(AND(原始資料!AL319&lt;&gt;"",原始資料!AM319=原始資料!AL319),N(AJ319)+1,1))</f>
        <v/>
      </c>
      <c r="AL319" s="6">
        <f>IF(OR(原始資料!$A319="",37&gt;設定!$B$3,原始資料!AN319=""),"",IF(AND(原始資料!AM319&lt;&gt;"",原始資料!AN319=原始資料!AM319),N(AK319)+1,1))</f>
        <v/>
      </c>
      <c r="AM319" s="6">
        <f>IF(OR(原始資料!$A319="",38&gt;設定!$B$3,原始資料!AO319=""),"",IF(AND(原始資料!AN319&lt;&gt;"",原始資料!AO319=原始資料!AN319),N(AL319)+1,1))</f>
        <v/>
      </c>
      <c r="AN319" s="6">
        <f>IF(OR(原始資料!$A319="",39&gt;設定!$B$3,原始資料!AP319=""),"",IF(AND(原始資料!AO319&lt;&gt;"",原始資料!AP319=原始資料!AO319),N(AM319)+1,1))</f>
        <v/>
      </c>
      <c r="AO319" s="6">
        <f>IF(OR(原始資料!$A319="",40&gt;設定!$B$3,原始資料!AQ319=""),"",IF(AND(原始資料!AP319&lt;&gt;"",原始資料!AQ319=原始資料!AP319),N(AN319)+1,1))</f>
        <v/>
      </c>
      <c r="AP319" s="6">
        <f>IF(OR(原始資料!$A319="",41&gt;設定!$B$3,原始資料!AR319=""),"",IF(AND(原始資料!AQ319&lt;&gt;"",原始資料!AR319=原始資料!AQ319),N(AO319)+1,1))</f>
        <v/>
      </c>
      <c r="AQ319" s="6">
        <f>IF(OR(原始資料!$A319="",42&gt;設定!$B$3,原始資料!AS319=""),"",IF(AND(原始資料!AR319&lt;&gt;"",原始資料!AS319=原始資料!AR319),N(AP319)+1,1))</f>
        <v/>
      </c>
      <c r="AR319" s="6">
        <f>IF(OR(原始資料!$A319="",43&gt;設定!$B$3,原始資料!AT319=""),"",IF(AND(原始資料!AS319&lt;&gt;"",原始資料!AT319=原始資料!AS319),N(AQ319)+1,1))</f>
        <v/>
      </c>
      <c r="AS319" s="6">
        <f>IF(OR(原始資料!$A319="",44&gt;設定!$B$3,原始資料!AU319=""),"",IF(AND(原始資料!AT319&lt;&gt;"",原始資料!AU319=原始資料!AT319),N(AR319)+1,1))</f>
        <v/>
      </c>
      <c r="AT319" s="6">
        <f>IF(OR(原始資料!$A319="",45&gt;設定!$B$3,原始資料!AV319=""),"",IF(AND(原始資料!AU319&lt;&gt;"",原始資料!AV319=原始資料!AU319),N(AS319)+1,1))</f>
        <v/>
      </c>
      <c r="AU319" s="6">
        <f>IF(OR(原始資料!$A319="",46&gt;設定!$B$3,原始資料!AW319=""),"",IF(AND(原始資料!AV319&lt;&gt;"",原始資料!AW319=原始資料!AV319),N(AT319)+1,1))</f>
        <v/>
      </c>
      <c r="AV319" s="6">
        <f>IF(OR(原始資料!$A319="",47&gt;設定!$B$3,原始資料!AX319=""),"",IF(AND(原始資料!AW319&lt;&gt;"",原始資料!AX319=原始資料!AW319),N(AU319)+1,1))</f>
        <v/>
      </c>
      <c r="AW319" s="6">
        <f>IF(OR(原始資料!$A319="",48&gt;設定!$B$3,原始資料!AY319=""),"",IF(AND(原始資料!AX319&lt;&gt;"",原始資料!AY319=原始資料!AX319),N(AV319)+1,1))</f>
        <v/>
      </c>
      <c r="AX319" s="6">
        <f>IF(OR(原始資料!$A319="",49&gt;設定!$B$3,原始資料!AZ319=""),"",IF(AND(原始資料!AY319&lt;&gt;"",原始資料!AZ319=原始資料!AY319),N(AW319)+1,1))</f>
        <v/>
      </c>
      <c r="AY319" s="6">
        <f>IF(OR(原始資料!$A319="",50&gt;設定!$B$3,原始資料!BA319=""),"",IF(AND(原始資料!AZ319&lt;&gt;"",原始資料!BA319=原始資料!AZ319),N(AX319)+1,1))</f>
        <v/>
      </c>
      <c r="AZ319" s="6">
        <f>IF(OR(原始資料!$A319="",51&gt;設定!$B$3,原始資料!BB319=""),"",IF(AND(原始資料!BA319&lt;&gt;"",原始資料!BB319=原始資料!BA319),N(AY319)+1,1))</f>
        <v/>
      </c>
      <c r="BA319" s="6">
        <f>IF(OR(原始資料!$A319="",52&gt;設定!$B$3,原始資料!BC319=""),"",IF(AND(原始資料!BB319&lt;&gt;"",原始資料!BC319=原始資料!BB319),N(AZ319)+1,1))</f>
        <v/>
      </c>
      <c r="BB319" s="6">
        <f>IF(OR(原始資料!$A319="",53&gt;設定!$B$3,原始資料!BD319=""),"",IF(AND(原始資料!BC319&lt;&gt;"",原始資料!BD319=原始資料!BC319),N(BA319)+1,1))</f>
        <v/>
      </c>
      <c r="BC319" s="6">
        <f>IF(OR(原始資料!$A319="",54&gt;設定!$B$3,原始資料!BE319=""),"",IF(AND(原始資料!BD319&lt;&gt;"",原始資料!BE319=原始資料!BD319),N(BB319)+1,1))</f>
        <v/>
      </c>
      <c r="BD319" s="6">
        <f>IF(OR(原始資料!$A319="",55&gt;設定!$B$3,原始資料!BF319=""),"",IF(AND(原始資料!BE319&lt;&gt;"",原始資料!BF319=原始資料!BE319),N(BC319)+1,1))</f>
        <v/>
      </c>
      <c r="BE319" s="6">
        <f>IF(OR(原始資料!$A319="",56&gt;設定!$B$3,原始資料!BG319=""),"",IF(AND(原始資料!BF319&lt;&gt;"",原始資料!BG319=原始資料!BF319),N(BD319)+1,1))</f>
        <v/>
      </c>
      <c r="BF319" s="6">
        <f>IF(OR(原始資料!$A319="",57&gt;設定!$B$3,原始資料!BH319=""),"",IF(AND(原始資料!BG319&lt;&gt;"",原始資料!BH319=原始資料!BG319),N(BE319)+1,1))</f>
        <v/>
      </c>
      <c r="BG319" s="6">
        <f>IF(OR(原始資料!$A319="",58&gt;設定!$B$3,原始資料!BI319=""),"",IF(AND(原始資料!BH319&lt;&gt;"",原始資料!BI319=原始資料!BH319),N(BF319)+1,1))</f>
        <v/>
      </c>
      <c r="BH319" s="6">
        <f>IF(OR(原始資料!$A319="",59&gt;設定!$B$3,原始資料!BJ319=""),"",IF(AND(原始資料!BI319&lt;&gt;"",原始資料!BJ319=原始資料!BI319),N(BG319)+1,1))</f>
        <v/>
      </c>
      <c r="BI319" s="6">
        <f>IF(OR(原始資料!$A319="",60&gt;設定!$B$3,原始資料!BK319=""),"",IF(AND(原始資料!BJ319&lt;&gt;"",原始資料!BK319=原始資料!BJ319),N(BH319)+1,1))</f>
        <v/>
      </c>
    </row>
    <row r="320">
      <c r="A320" s="6">
        <f>IF(原始資料!$A320="","",原始資料!$A320)</f>
        <v/>
      </c>
      <c r="B320" s="6">
        <f>IF(OR(原始資料!$A320="",1&gt;設定!$B$3,原始資料!D320=""),"",1)</f>
        <v/>
      </c>
      <c r="C320" s="6">
        <f>IF(OR(原始資料!$A320="",2&gt;設定!$B$3,原始資料!E320=""),"",IF(AND(原始資料!D320&lt;&gt;"",原始資料!E320=原始資料!D320),N(B320)+1,1))</f>
        <v/>
      </c>
      <c r="D320" s="6">
        <f>IF(OR(原始資料!$A320="",3&gt;設定!$B$3,原始資料!F320=""),"",IF(AND(原始資料!E320&lt;&gt;"",原始資料!F320=原始資料!E320),N(C320)+1,1))</f>
        <v/>
      </c>
      <c r="E320" s="6">
        <f>IF(OR(原始資料!$A320="",4&gt;設定!$B$3,原始資料!G320=""),"",IF(AND(原始資料!F320&lt;&gt;"",原始資料!G320=原始資料!F320),N(D320)+1,1))</f>
        <v/>
      </c>
      <c r="F320" s="6">
        <f>IF(OR(原始資料!$A320="",5&gt;設定!$B$3,原始資料!H320=""),"",IF(AND(原始資料!G320&lt;&gt;"",原始資料!H320=原始資料!G320),N(E320)+1,1))</f>
        <v/>
      </c>
      <c r="G320" s="6">
        <f>IF(OR(原始資料!$A320="",6&gt;設定!$B$3,原始資料!I320=""),"",IF(AND(原始資料!H320&lt;&gt;"",原始資料!I320=原始資料!H320),N(F320)+1,1))</f>
        <v/>
      </c>
      <c r="H320" s="6">
        <f>IF(OR(原始資料!$A320="",7&gt;設定!$B$3,原始資料!J320=""),"",IF(AND(原始資料!I320&lt;&gt;"",原始資料!J320=原始資料!I320),N(G320)+1,1))</f>
        <v/>
      </c>
      <c r="I320" s="6">
        <f>IF(OR(原始資料!$A320="",8&gt;設定!$B$3,原始資料!K320=""),"",IF(AND(原始資料!J320&lt;&gt;"",原始資料!K320=原始資料!J320),N(H320)+1,1))</f>
        <v/>
      </c>
      <c r="J320" s="6">
        <f>IF(OR(原始資料!$A320="",9&gt;設定!$B$3,原始資料!L320=""),"",IF(AND(原始資料!K320&lt;&gt;"",原始資料!L320=原始資料!K320),N(I320)+1,1))</f>
        <v/>
      </c>
      <c r="K320" s="6">
        <f>IF(OR(原始資料!$A320="",10&gt;設定!$B$3,原始資料!M320=""),"",IF(AND(原始資料!L320&lt;&gt;"",原始資料!M320=原始資料!L320),N(J320)+1,1))</f>
        <v/>
      </c>
      <c r="L320" s="6">
        <f>IF(OR(原始資料!$A320="",11&gt;設定!$B$3,原始資料!N320=""),"",IF(AND(原始資料!M320&lt;&gt;"",原始資料!N320=原始資料!M320),N(K320)+1,1))</f>
        <v/>
      </c>
      <c r="M320" s="6">
        <f>IF(OR(原始資料!$A320="",12&gt;設定!$B$3,原始資料!O320=""),"",IF(AND(原始資料!N320&lt;&gt;"",原始資料!O320=原始資料!N320),N(L320)+1,1))</f>
        <v/>
      </c>
      <c r="N320" s="6">
        <f>IF(OR(原始資料!$A320="",13&gt;設定!$B$3,原始資料!P320=""),"",IF(AND(原始資料!O320&lt;&gt;"",原始資料!P320=原始資料!O320),N(M320)+1,1))</f>
        <v/>
      </c>
      <c r="O320" s="6">
        <f>IF(OR(原始資料!$A320="",14&gt;設定!$B$3,原始資料!Q320=""),"",IF(AND(原始資料!P320&lt;&gt;"",原始資料!Q320=原始資料!P320),N(N320)+1,1))</f>
        <v/>
      </c>
      <c r="P320" s="6">
        <f>IF(OR(原始資料!$A320="",15&gt;設定!$B$3,原始資料!R320=""),"",IF(AND(原始資料!Q320&lt;&gt;"",原始資料!R320=原始資料!Q320),N(O320)+1,1))</f>
        <v/>
      </c>
      <c r="Q320" s="6">
        <f>IF(OR(原始資料!$A320="",16&gt;設定!$B$3,原始資料!S320=""),"",IF(AND(原始資料!R320&lt;&gt;"",原始資料!S320=原始資料!R320),N(P320)+1,1))</f>
        <v/>
      </c>
      <c r="R320" s="6">
        <f>IF(OR(原始資料!$A320="",17&gt;設定!$B$3,原始資料!T320=""),"",IF(AND(原始資料!S320&lt;&gt;"",原始資料!T320=原始資料!S320),N(Q320)+1,1))</f>
        <v/>
      </c>
      <c r="S320" s="6">
        <f>IF(OR(原始資料!$A320="",18&gt;設定!$B$3,原始資料!U320=""),"",IF(AND(原始資料!T320&lt;&gt;"",原始資料!U320=原始資料!T320),N(R320)+1,1))</f>
        <v/>
      </c>
      <c r="T320" s="6">
        <f>IF(OR(原始資料!$A320="",19&gt;設定!$B$3,原始資料!V320=""),"",IF(AND(原始資料!U320&lt;&gt;"",原始資料!V320=原始資料!U320),N(S320)+1,1))</f>
        <v/>
      </c>
      <c r="U320" s="6">
        <f>IF(OR(原始資料!$A320="",20&gt;設定!$B$3,原始資料!W320=""),"",IF(AND(原始資料!V320&lt;&gt;"",原始資料!W320=原始資料!V320),N(T320)+1,1))</f>
        <v/>
      </c>
      <c r="V320" s="6">
        <f>IF(OR(原始資料!$A320="",21&gt;設定!$B$3,原始資料!X320=""),"",IF(AND(原始資料!W320&lt;&gt;"",原始資料!X320=原始資料!W320),N(U320)+1,1))</f>
        <v/>
      </c>
      <c r="W320" s="6">
        <f>IF(OR(原始資料!$A320="",22&gt;設定!$B$3,原始資料!Y320=""),"",IF(AND(原始資料!X320&lt;&gt;"",原始資料!Y320=原始資料!X320),N(V320)+1,1))</f>
        <v/>
      </c>
      <c r="X320" s="6">
        <f>IF(OR(原始資料!$A320="",23&gt;設定!$B$3,原始資料!Z320=""),"",IF(AND(原始資料!Y320&lt;&gt;"",原始資料!Z320=原始資料!Y320),N(W320)+1,1))</f>
        <v/>
      </c>
      <c r="Y320" s="6">
        <f>IF(OR(原始資料!$A320="",24&gt;設定!$B$3,原始資料!AA320=""),"",IF(AND(原始資料!Z320&lt;&gt;"",原始資料!AA320=原始資料!Z320),N(X320)+1,1))</f>
        <v/>
      </c>
      <c r="Z320" s="6">
        <f>IF(OR(原始資料!$A320="",25&gt;設定!$B$3,原始資料!AB320=""),"",IF(AND(原始資料!AA320&lt;&gt;"",原始資料!AB320=原始資料!AA320),N(Y320)+1,1))</f>
        <v/>
      </c>
      <c r="AA320" s="6">
        <f>IF(OR(原始資料!$A320="",26&gt;設定!$B$3,原始資料!AC320=""),"",IF(AND(原始資料!AB320&lt;&gt;"",原始資料!AC320=原始資料!AB320),N(Z320)+1,1))</f>
        <v/>
      </c>
      <c r="AB320" s="6">
        <f>IF(OR(原始資料!$A320="",27&gt;設定!$B$3,原始資料!AD320=""),"",IF(AND(原始資料!AC320&lt;&gt;"",原始資料!AD320=原始資料!AC320),N(AA320)+1,1))</f>
        <v/>
      </c>
      <c r="AC320" s="6">
        <f>IF(OR(原始資料!$A320="",28&gt;設定!$B$3,原始資料!AE320=""),"",IF(AND(原始資料!AD320&lt;&gt;"",原始資料!AE320=原始資料!AD320),N(AB320)+1,1))</f>
        <v/>
      </c>
      <c r="AD320" s="6">
        <f>IF(OR(原始資料!$A320="",29&gt;設定!$B$3,原始資料!AF320=""),"",IF(AND(原始資料!AE320&lt;&gt;"",原始資料!AF320=原始資料!AE320),N(AC320)+1,1))</f>
        <v/>
      </c>
      <c r="AE320" s="6">
        <f>IF(OR(原始資料!$A320="",30&gt;設定!$B$3,原始資料!AG320=""),"",IF(AND(原始資料!AF320&lt;&gt;"",原始資料!AG320=原始資料!AF320),N(AD320)+1,1))</f>
        <v/>
      </c>
      <c r="AF320" s="6">
        <f>IF(OR(原始資料!$A320="",31&gt;設定!$B$3,原始資料!AH320=""),"",IF(AND(原始資料!AG320&lt;&gt;"",原始資料!AH320=原始資料!AG320),N(AE320)+1,1))</f>
        <v/>
      </c>
      <c r="AG320" s="6">
        <f>IF(OR(原始資料!$A320="",32&gt;設定!$B$3,原始資料!AI320=""),"",IF(AND(原始資料!AH320&lt;&gt;"",原始資料!AI320=原始資料!AH320),N(AF320)+1,1))</f>
        <v/>
      </c>
      <c r="AH320" s="6">
        <f>IF(OR(原始資料!$A320="",33&gt;設定!$B$3,原始資料!AJ320=""),"",IF(AND(原始資料!AI320&lt;&gt;"",原始資料!AJ320=原始資料!AI320),N(AG320)+1,1))</f>
        <v/>
      </c>
      <c r="AI320" s="6">
        <f>IF(OR(原始資料!$A320="",34&gt;設定!$B$3,原始資料!AK320=""),"",IF(AND(原始資料!AJ320&lt;&gt;"",原始資料!AK320=原始資料!AJ320),N(AH320)+1,1))</f>
        <v/>
      </c>
      <c r="AJ320" s="6">
        <f>IF(OR(原始資料!$A320="",35&gt;設定!$B$3,原始資料!AL320=""),"",IF(AND(原始資料!AK320&lt;&gt;"",原始資料!AL320=原始資料!AK320),N(AI320)+1,1))</f>
        <v/>
      </c>
      <c r="AK320" s="6">
        <f>IF(OR(原始資料!$A320="",36&gt;設定!$B$3,原始資料!AM320=""),"",IF(AND(原始資料!AL320&lt;&gt;"",原始資料!AM320=原始資料!AL320),N(AJ320)+1,1))</f>
        <v/>
      </c>
      <c r="AL320" s="6">
        <f>IF(OR(原始資料!$A320="",37&gt;設定!$B$3,原始資料!AN320=""),"",IF(AND(原始資料!AM320&lt;&gt;"",原始資料!AN320=原始資料!AM320),N(AK320)+1,1))</f>
        <v/>
      </c>
      <c r="AM320" s="6">
        <f>IF(OR(原始資料!$A320="",38&gt;設定!$B$3,原始資料!AO320=""),"",IF(AND(原始資料!AN320&lt;&gt;"",原始資料!AO320=原始資料!AN320),N(AL320)+1,1))</f>
        <v/>
      </c>
      <c r="AN320" s="6">
        <f>IF(OR(原始資料!$A320="",39&gt;設定!$B$3,原始資料!AP320=""),"",IF(AND(原始資料!AO320&lt;&gt;"",原始資料!AP320=原始資料!AO320),N(AM320)+1,1))</f>
        <v/>
      </c>
      <c r="AO320" s="6">
        <f>IF(OR(原始資料!$A320="",40&gt;設定!$B$3,原始資料!AQ320=""),"",IF(AND(原始資料!AP320&lt;&gt;"",原始資料!AQ320=原始資料!AP320),N(AN320)+1,1))</f>
        <v/>
      </c>
      <c r="AP320" s="6">
        <f>IF(OR(原始資料!$A320="",41&gt;設定!$B$3,原始資料!AR320=""),"",IF(AND(原始資料!AQ320&lt;&gt;"",原始資料!AR320=原始資料!AQ320),N(AO320)+1,1))</f>
        <v/>
      </c>
      <c r="AQ320" s="6">
        <f>IF(OR(原始資料!$A320="",42&gt;設定!$B$3,原始資料!AS320=""),"",IF(AND(原始資料!AR320&lt;&gt;"",原始資料!AS320=原始資料!AR320),N(AP320)+1,1))</f>
        <v/>
      </c>
      <c r="AR320" s="6">
        <f>IF(OR(原始資料!$A320="",43&gt;設定!$B$3,原始資料!AT320=""),"",IF(AND(原始資料!AS320&lt;&gt;"",原始資料!AT320=原始資料!AS320),N(AQ320)+1,1))</f>
        <v/>
      </c>
      <c r="AS320" s="6">
        <f>IF(OR(原始資料!$A320="",44&gt;設定!$B$3,原始資料!AU320=""),"",IF(AND(原始資料!AT320&lt;&gt;"",原始資料!AU320=原始資料!AT320),N(AR320)+1,1))</f>
        <v/>
      </c>
      <c r="AT320" s="6">
        <f>IF(OR(原始資料!$A320="",45&gt;設定!$B$3,原始資料!AV320=""),"",IF(AND(原始資料!AU320&lt;&gt;"",原始資料!AV320=原始資料!AU320),N(AS320)+1,1))</f>
        <v/>
      </c>
      <c r="AU320" s="6">
        <f>IF(OR(原始資料!$A320="",46&gt;設定!$B$3,原始資料!AW320=""),"",IF(AND(原始資料!AV320&lt;&gt;"",原始資料!AW320=原始資料!AV320),N(AT320)+1,1))</f>
        <v/>
      </c>
      <c r="AV320" s="6">
        <f>IF(OR(原始資料!$A320="",47&gt;設定!$B$3,原始資料!AX320=""),"",IF(AND(原始資料!AW320&lt;&gt;"",原始資料!AX320=原始資料!AW320),N(AU320)+1,1))</f>
        <v/>
      </c>
      <c r="AW320" s="6">
        <f>IF(OR(原始資料!$A320="",48&gt;設定!$B$3,原始資料!AY320=""),"",IF(AND(原始資料!AX320&lt;&gt;"",原始資料!AY320=原始資料!AX320),N(AV320)+1,1))</f>
        <v/>
      </c>
      <c r="AX320" s="6">
        <f>IF(OR(原始資料!$A320="",49&gt;設定!$B$3,原始資料!AZ320=""),"",IF(AND(原始資料!AY320&lt;&gt;"",原始資料!AZ320=原始資料!AY320),N(AW320)+1,1))</f>
        <v/>
      </c>
      <c r="AY320" s="6">
        <f>IF(OR(原始資料!$A320="",50&gt;設定!$B$3,原始資料!BA320=""),"",IF(AND(原始資料!AZ320&lt;&gt;"",原始資料!BA320=原始資料!AZ320),N(AX320)+1,1))</f>
        <v/>
      </c>
      <c r="AZ320" s="6">
        <f>IF(OR(原始資料!$A320="",51&gt;設定!$B$3,原始資料!BB320=""),"",IF(AND(原始資料!BA320&lt;&gt;"",原始資料!BB320=原始資料!BA320),N(AY320)+1,1))</f>
        <v/>
      </c>
      <c r="BA320" s="6">
        <f>IF(OR(原始資料!$A320="",52&gt;設定!$B$3,原始資料!BC320=""),"",IF(AND(原始資料!BB320&lt;&gt;"",原始資料!BC320=原始資料!BB320),N(AZ320)+1,1))</f>
        <v/>
      </c>
      <c r="BB320" s="6">
        <f>IF(OR(原始資料!$A320="",53&gt;設定!$B$3,原始資料!BD320=""),"",IF(AND(原始資料!BC320&lt;&gt;"",原始資料!BD320=原始資料!BC320),N(BA320)+1,1))</f>
        <v/>
      </c>
      <c r="BC320" s="6">
        <f>IF(OR(原始資料!$A320="",54&gt;設定!$B$3,原始資料!BE320=""),"",IF(AND(原始資料!BD320&lt;&gt;"",原始資料!BE320=原始資料!BD320),N(BB320)+1,1))</f>
        <v/>
      </c>
      <c r="BD320" s="6">
        <f>IF(OR(原始資料!$A320="",55&gt;設定!$B$3,原始資料!BF320=""),"",IF(AND(原始資料!BE320&lt;&gt;"",原始資料!BF320=原始資料!BE320),N(BC320)+1,1))</f>
        <v/>
      </c>
      <c r="BE320" s="6">
        <f>IF(OR(原始資料!$A320="",56&gt;設定!$B$3,原始資料!BG320=""),"",IF(AND(原始資料!BF320&lt;&gt;"",原始資料!BG320=原始資料!BF320),N(BD320)+1,1))</f>
        <v/>
      </c>
      <c r="BF320" s="6">
        <f>IF(OR(原始資料!$A320="",57&gt;設定!$B$3,原始資料!BH320=""),"",IF(AND(原始資料!BG320&lt;&gt;"",原始資料!BH320=原始資料!BG320),N(BE320)+1,1))</f>
        <v/>
      </c>
      <c r="BG320" s="6">
        <f>IF(OR(原始資料!$A320="",58&gt;設定!$B$3,原始資料!BI320=""),"",IF(AND(原始資料!BH320&lt;&gt;"",原始資料!BI320=原始資料!BH320),N(BF320)+1,1))</f>
        <v/>
      </c>
      <c r="BH320" s="6">
        <f>IF(OR(原始資料!$A320="",59&gt;設定!$B$3,原始資料!BJ320=""),"",IF(AND(原始資料!BI320&lt;&gt;"",原始資料!BJ320=原始資料!BI320),N(BG320)+1,1))</f>
        <v/>
      </c>
      <c r="BI320" s="6">
        <f>IF(OR(原始資料!$A320="",60&gt;設定!$B$3,原始資料!BK320=""),"",IF(AND(原始資料!BJ320&lt;&gt;"",原始資料!BK320=原始資料!BJ320),N(BH320)+1,1))</f>
        <v/>
      </c>
    </row>
    <row r="321">
      <c r="A321" s="6">
        <f>IF(原始資料!$A321="","",原始資料!$A321)</f>
        <v/>
      </c>
      <c r="B321" s="6">
        <f>IF(OR(原始資料!$A321="",1&gt;設定!$B$3,原始資料!D321=""),"",1)</f>
        <v/>
      </c>
      <c r="C321" s="6">
        <f>IF(OR(原始資料!$A321="",2&gt;設定!$B$3,原始資料!E321=""),"",IF(AND(原始資料!D321&lt;&gt;"",原始資料!E321=原始資料!D321),N(B321)+1,1))</f>
        <v/>
      </c>
      <c r="D321" s="6">
        <f>IF(OR(原始資料!$A321="",3&gt;設定!$B$3,原始資料!F321=""),"",IF(AND(原始資料!E321&lt;&gt;"",原始資料!F321=原始資料!E321),N(C321)+1,1))</f>
        <v/>
      </c>
      <c r="E321" s="6">
        <f>IF(OR(原始資料!$A321="",4&gt;設定!$B$3,原始資料!G321=""),"",IF(AND(原始資料!F321&lt;&gt;"",原始資料!G321=原始資料!F321),N(D321)+1,1))</f>
        <v/>
      </c>
      <c r="F321" s="6">
        <f>IF(OR(原始資料!$A321="",5&gt;設定!$B$3,原始資料!H321=""),"",IF(AND(原始資料!G321&lt;&gt;"",原始資料!H321=原始資料!G321),N(E321)+1,1))</f>
        <v/>
      </c>
      <c r="G321" s="6">
        <f>IF(OR(原始資料!$A321="",6&gt;設定!$B$3,原始資料!I321=""),"",IF(AND(原始資料!H321&lt;&gt;"",原始資料!I321=原始資料!H321),N(F321)+1,1))</f>
        <v/>
      </c>
      <c r="H321" s="6">
        <f>IF(OR(原始資料!$A321="",7&gt;設定!$B$3,原始資料!J321=""),"",IF(AND(原始資料!I321&lt;&gt;"",原始資料!J321=原始資料!I321),N(G321)+1,1))</f>
        <v/>
      </c>
      <c r="I321" s="6">
        <f>IF(OR(原始資料!$A321="",8&gt;設定!$B$3,原始資料!K321=""),"",IF(AND(原始資料!J321&lt;&gt;"",原始資料!K321=原始資料!J321),N(H321)+1,1))</f>
        <v/>
      </c>
      <c r="J321" s="6">
        <f>IF(OR(原始資料!$A321="",9&gt;設定!$B$3,原始資料!L321=""),"",IF(AND(原始資料!K321&lt;&gt;"",原始資料!L321=原始資料!K321),N(I321)+1,1))</f>
        <v/>
      </c>
      <c r="K321" s="6">
        <f>IF(OR(原始資料!$A321="",10&gt;設定!$B$3,原始資料!M321=""),"",IF(AND(原始資料!L321&lt;&gt;"",原始資料!M321=原始資料!L321),N(J321)+1,1))</f>
        <v/>
      </c>
      <c r="L321" s="6">
        <f>IF(OR(原始資料!$A321="",11&gt;設定!$B$3,原始資料!N321=""),"",IF(AND(原始資料!M321&lt;&gt;"",原始資料!N321=原始資料!M321),N(K321)+1,1))</f>
        <v/>
      </c>
      <c r="M321" s="6">
        <f>IF(OR(原始資料!$A321="",12&gt;設定!$B$3,原始資料!O321=""),"",IF(AND(原始資料!N321&lt;&gt;"",原始資料!O321=原始資料!N321),N(L321)+1,1))</f>
        <v/>
      </c>
      <c r="N321" s="6">
        <f>IF(OR(原始資料!$A321="",13&gt;設定!$B$3,原始資料!P321=""),"",IF(AND(原始資料!O321&lt;&gt;"",原始資料!P321=原始資料!O321),N(M321)+1,1))</f>
        <v/>
      </c>
      <c r="O321" s="6">
        <f>IF(OR(原始資料!$A321="",14&gt;設定!$B$3,原始資料!Q321=""),"",IF(AND(原始資料!P321&lt;&gt;"",原始資料!Q321=原始資料!P321),N(N321)+1,1))</f>
        <v/>
      </c>
      <c r="P321" s="6">
        <f>IF(OR(原始資料!$A321="",15&gt;設定!$B$3,原始資料!R321=""),"",IF(AND(原始資料!Q321&lt;&gt;"",原始資料!R321=原始資料!Q321),N(O321)+1,1))</f>
        <v/>
      </c>
      <c r="Q321" s="6">
        <f>IF(OR(原始資料!$A321="",16&gt;設定!$B$3,原始資料!S321=""),"",IF(AND(原始資料!R321&lt;&gt;"",原始資料!S321=原始資料!R321),N(P321)+1,1))</f>
        <v/>
      </c>
      <c r="R321" s="6">
        <f>IF(OR(原始資料!$A321="",17&gt;設定!$B$3,原始資料!T321=""),"",IF(AND(原始資料!S321&lt;&gt;"",原始資料!T321=原始資料!S321),N(Q321)+1,1))</f>
        <v/>
      </c>
      <c r="S321" s="6">
        <f>IF(OR(原始資料!$A321="",18&gt;設定!$B$3,原始資料!U321=""),"",IF(AND(原始資料!T321&lt;&gt;"",原始資料!U321=原始資料!T321),N(R321)+1,1))</f>
        <v/>
      </c>
      <c r="T321" s="6">
        <f>IF(OR(原始資料!$A321="",19&gt;設定!$B$3,原始資料!V321=""),"",IF(AND(原始資料!U321&lt;&gt;"",原始資料!V321=原始資料!U321),N(S321)+1,1))</f>
        <v/>
      </c>
      <c r="U321" s="6">
        <f>IF(OR(原始資料!$A321="",20&gt;設定!$B$3,原始資料!W321=""),"",IF(AND(原始資料!V321&lt;&gt;"",原始資料!W321=原始資料!V321),N(T321)+1,1))</f>
        <v/>
      </c>
      <c r="V321" s="6">
        <f>IF(OR(原始資料!$A321="",21&gt;設定!$B$3,原始資料!X321=""),"",IF(AND(原始資料!W321&lt;&gt;"",原始資料!X321=原始資料!W321),N(U321)+1,1))</f>
        <v/>
      </c>
      <c r="W321" s="6">
        <f>IF(OR(原始資料!$A321="",22&gt;設定!$B$3,原始資料!Y321=""),"",IF(AND(原始資料!X321&lt;&gt;"",原始資料!Y321=原始資料!X321),N(V321)+1,1))</f>
        <v/>
      </c>
      <c r="X321" s="6">
        <f>IF(OR(原始資料!$A321="",23&gt;設定!$B$3,原始資料!Z321=""),"",IF(AND(原始資料!Y321&lt;&gt;"",原始資料!Z321=原始資料!Y321),N(W321)+1,1))</f>
        <v/>
      </c>
      <c r="Y321" s="6">
        <f>IF(OR(原始資料!$A321="",24&gt;設定!$B$3,原始資料!AA321=""),"",IF(AND(原始資料!Z321&lt;&gt;"",原始資料!AA321=原始資料!Z321),N(X321)+1,1))</f>
        <v/>
      </c>
      <c r="Z321" s="6">
        <f>IF(OR(原始資料!$A321="",25&gt;設定!$B$3,原始資料!AB321=""),"",IF(AND(原始資料!AA321&lt;&gt;"",原始資料!AB321=原始資料!AA321),N(Y321)+1,1))</f>
        <v/>
      </c>
      <c r="AA321" s="6">
        <f>IF(OR(原始資料!$A321="",26&gt;設定!$B$3,原始資料!AC321=""),"",IF(AND(原始資料!AB321&lt;&gt;"",原始資料!AC321=原始資料!AB321),N(Z321)+1,1))</f>
        <v/>
      </c>
      <c r="AB321" s="6">
        <f>IF(OR(原始資料!$A321="",27&gt;設定!$B$3,原始資料!AD321=""),"",IF(AND(原始資料!AC321&lt;&gt;"",原始資料!AD321=原始資料!AC321),N(AA321)+1,1))</f>
        <v/>
      </c>
      <c r="AC321" s="6">
        <f>IF(OR(原始資料!$A321="",28&gt;設定!$B$3,原始資料!AE321=""),"",IF(AND(原始資料!AD321&lt;&gt;"",原始資料!AE321=原始資料!AD321),N(AB321)+1,1))</f>
        <v/>
      </c>
      <c r="AD321" s="6">
        <f>IF(OR(原始資料!$A321="",29&gt;設定!$B$3,原始資料!AF321=""),"",IF(AND(原始資料!AE321&lt;&gt;"",原始資料!AF321=原始資料!AE321),N(AC321)+1,1))</f>
        <v/>
      </c>
      <c r="AE321" s="6">
        <f>IF(OR(原始資料!$A321="",30&gt;設定!$B$3,原始資料!AG321=""),"",IF(AND(原始資料!AF321&lt;&gt;"",原始資料!AG321=原始資料!AF321),N(AD321)+1,1))</f>
        <v/>
      </c>
      <c r="AF321" s="6">
        <f>IF(OR(原始資料!$A321="",31&gt;設定!$B$3,原始資料!AH321=""),"",IF(AND(原始資料!AG321&lt;&gt;"",原始資料!AH321=原始資料!AG321),N(AE321)+1,1))</f>
        <v/>
      </c>
      <c r="AG321" s="6">
        <f>IF(OR(原始資料!$A321="",32&gt;設定!$B$3,原始資料!AI321=""),"",IF(AND(原始資料!AH321&lt;&gt;"",原始資料!AI321=原始資料!AH321),N(AF321)+1,1))</f>
        <v/>
      </c>
      <c r="AH321" s="6">
        <f>IF(OR(原始資料!$A321="",33&gt;設定!$B$3,原始資料!AJ321=""),"",IF(AND(原始資料!AI321&lt;&gt;"",原始資料!AJ321=原始資料!AI321),N(AG321)+1,1))</f>
        <v/>
      </c>
      <c r="AI321" s="6">
        <f>IF(OR(原始資料!$A321="",34&gt;設定!$B$3,原始資料!AK321=""),"",IF(AND(原始資料!AJ321&lt;&gt;"",原始資料!AK321=原始資料!AJ321),N(AH321)+1,1))</f>
        <v/>
      </c>
      <c r="AJ321" s="6">
        <f>IF(OR(原始資料!$A321="",35&gt;設定!$B$3,原始資料!AL321=""),"",IF(AND(原始資料!AK321&lt;&gt;"",原始資料!AL321=原始資料!AK321),N(AI321)+1,1))</f>
        <v/>
      </c>
      <c r="AK321" s="6">
        <f>IF(OR(原始資料!$A321="",36&gt;設定!$B$3,原始資料!AM321=""),"",IF(AND(原始資料!AL321&lt;&gt;"",原始資料!AM321=原始資料!AL321),N(AJ321)+1,1))</f>
        <v/>
      </c>
      <c r="AL321" s="6">
        <f>IF(OR(原始資料!$A321="",37&gt;設定!$B$3,原始資料!AN321=""),"",IF(AND(原始資料!AM321&lt;&gt;"",原始資料!AN321=原始資料!AM321),N(AK321)+1,1))</f>
        <v/>
      </c>
      <c r="AM321" s="6">
        <f>IF(OR(原始資料!$A321="",38&gt;設定!$B$3,原始資料!AO321=""),"",IF(AND(原始資料!AN321&lt;&gt;"",原始資料!AO321=原始資料!AN321),N(AL321)+1,1))</f>
        <v/>
      </c>
      <c r="AN321" s="6">
        <f>IF(OR(原始資料!$A321="",39&gt;設定!$B$3,原始資料!AP321=""),"",IF(AND(原始資料!AO321&lt;&gt;"",原始資料!AP321=原始資料!AO321),N(AM321)+1,1))</f>
        <v/>
      </c>
      <c r="AO321" s="6">
        <f>IF(OR(原始資料!$A321="",40&gt;設定!$B$3,原始資料!AQ321=""),"",IF(AND(原始資料!AP321&lt;&gt;"",原始資料!AQ321=原始資料!AP321),N(AN321)+1,1))</f>
        <v/>
      </c>
      <c r="AP321" s="6">
        <f>IF(OR(原始資料!$A321="",41&gt;設定!$B$3,原始資料!AR321=""),"",IF(AND(原始資料!AQ321&lt;&gt;"",原始資料!AR321=原始資料!AQ321),N(AO321)+1,1))</f>
        <v/>
      </c>
      <c r="AQ321" s="6">
        <f>IF(OR(原始資料!$A321="",42&gt;設定!$B$3,原始資料!AS321=""),"",IF(AND(原始資料!AR321&lt;&gt;"",原始資料!AS321=原始資料!AR321),N(AP321)+1,1))</f>
        <v/>
      </c>
      <c r="AR321" s="6">
        <f>IF(OR(原始資料!$A321="",43&gt;設定!$B$3,原始資料!AT321=""),"",IF(AND(原始資料!AS321&lt;&gt;"",原始資料!AT321=原始資料!AS321),N(AQ321)+1,1))</f>
        <v/>
      </c>
      <c r="AS321" s="6">
        <f>IF(OR(原始資料!$A321="",44&gt;設定!$B$3,原始資料!AU321=""),"",IF(AND(原始資料!AT321&lt;&gt;"",原始資料!AU321=原始資料!AT321),N(AR321)+1,1))</f>
        <v/>
      </c>
      <c r="AT321" s="6">
        <f>IF(OR(原始資料!$A321="",45&gt;設定!$B$3,原始資料!AV321=""),"",IF(AND(原始資料!AU321&lt;&gt;"",原始資料!AV321=原始資料!AU321),N(AS321)+1,1))</f>
        <v/>
      </c>
      <c r="AU321" s="6">
        <f>IF(OR(原始資料!$A321="",46&gt;設定!$B$3,原始資料!AW321=""),"",IF(AND(原始資料!AV321&lt;&gt;"",原始資料!AW321=原始資料!AV321),N(AT321)+1,1))</f>
        <v/>
      </c>
      <c r="AV321" s="6">
        <f>IF(OR(原始資料!$A321="",47&gt;設定!$B$3,原始資料!AX321=""),"",IF(AND(原始資料!AW321&lt;&gt;"",原始資料!AX321=原始資料!AW321),N(AU321)+1,1))</f>
        <v/>
      </c>
      <c r="AW321" s="6">
        <f>IF(OR(原始資料!$A321="",48&gt;設定!$B$3,原始資料!AY321=""),"",IF(AND(原始資料!AX321&lt;&gt;"",原始資料!AY321=原始資料!AX321),N(AV321)+1,1))</f>
        <v/>
      </c>
      <c r="AX321" s="6">
        <f>IF(OR(原始資料!$A321="",49&gt;設定!$B$3,原始資料!AZ321=""),"",IF(AND(原始資料!AY321&lt;&gt;"",原始資料!AZ321=原始資料!AY321),N(AW321)+1,1))</f>
        <v/>
      </c>
      <c r="AY321" s="6">
        <f>IF(OR(原始資料!$A321="",50&gt;設定!$B$3,原始資料!BA321=""),"",IF(AND(原始資料!AZ321&lt;&gt;"",原始資料!BA321=原始資料!AZ321),N(AX321)+1,1))</f>
        <v/>
      </c>
      <c r="AZ321" s="6">
        <f>IF(OR(原始資料!$A321="",51&gt;設定!$B$3,原始資料!BB321=""),"",IF(AND(原始資料!BA321&lt;&gt;"",原始資料!BB321=原始資料!BA321),N(AY321)+1,1))</f>
        <v/>
      </c>
      <c r="BA321" s="6">
        <f>IF(OR(原始資料!$A321="",52&gt;設定!$B$3,原始資料!BC321=""),"",IF(AND(原始資料!BB321&lt;&gt;"",原始資料!BC321=原始資料!BB321),N(AZ321)+1,1))</f>
        <v/>
      </c>
      <c r="BB321" s="6">
        <f>IF(OR(原始資料!$A321="",53&gt;設定!$B$3,原始資料!BD321=""),"",IF(AND(原始資料!BC321&lt;&gt;"",原始資料!BD321=原始資料!BC321),N(BA321)+1,1))</f>
        <v/>
      </c>
      <c r="BC321" s="6">
        <f>IF(OR(原始資料!$A321="",54&gt;設定!$B$3,原始資料!BE321=""),"",IF(AND(原始資料!BD321&lt;&gt;"",原始資料!BE321=原始資料!BD321),N(BB321)+1,1))</f>
        <v/>
      </c>
      <c r="BD321" s="6">
        <f>IF(OR(原始資料!$A321="",55&gt;設定!$B$3,原始資料!BF321=""),"",IF(AND(原始資料!BE321&lt;&gt;"",原始資料!BF321=原始資料!BE321),N(BC321)+1,1))</f>
        <v/>
      </c>
      <c r="BE321" s="6">
        <f>IF(OR(原始資料!$A321="",56&gt;設定!$B$3,原始資料!BG321=""),"",IF(AND(原始資料!BF321&lt;&gt;"",原始資料!BG321=原始資料!BF321),N(BD321)+1,1))</f>
        <v/>
      </c>
      <c r="BF321" s="6">
        <f>IF(OR(原始資料!$A321="",57&gt;設定!$B$3,原始資料!BH321=""),"",IF(AND(原始資料!BG321&lt;&gt;"",原始資料!BH321=原始資料!BG321),N(BE321)+1,1))</f>
        <v/>
      </c>
      <c r="BG321" s="6">
        <f>IF(OR(原始資料!$A321="",58&gt;設定!$B$3,原始資料!BI321=""),"",IF(AND(原始資料!BH321&lt;&gt;"",原始資料!BI321=原始資料!BH321),N(BF321)+1,1))</f>
        <v/>
      </c>
      <c r="BH321" s="6">
        <f>IF(OR(原始資料!$A321="",59&gt;設定!$B$3,原始資料!BJ321=""),"",IF(AND(原始資料!BI321&lt;&gt;"",原始資料!BJ321=原始資料!BI321),N(BG321)+1,1))</f>
        <v/>
      </c>
      <c r="BI321" s="6">
        <f>IF(OR(原始資料!$A321="",60&gt;設定!$B$3,原始資料!BK321=""),"",IF(AND(原始資料!BJ321&lt;&gt;"",原始資料!BK321=原始資料!BJ321),N(BH321)+1,1))</f>
        <v/>
      </c>
    </row>
    <row r="322">
      <c r="A322" s="6">
        <f>IF(原始資料!$A322="","",原始資料!$A322)</f>
        <v/>
      </c>
      <c r="B322" s="6">
        <f>IF(OR(原始資料!$A322="",1&gt;設定!$B$3,原始資料!D322=""),"",1)</f>
        <v/>
      </c>
      <c r="C322" s="6">
        <f>IF(OR(原始資料!$A322="",2&gt;設定!$B$3,原始資料!E322=""),"",IF(AND(原始資料!D322&lt;&gt;"",原始資料!E322=原始資料!D322),N(B322)+1,1))</f>
        <v/>
      </c>
      <c r="D322" s="6">
        <f>IF(OR(原始資料!$A322="",3&gt;設定!$B$3,原始資料!F322=""),"",IF(AND(原始資料!E322&lt;&gt;"",原始資料!F322=原始資料!E322),N(C322)+1,1))</f>
        <v/>
      </c>
      <c r="E322" s="6">
        <f>IF(OR(原始資料!$A322="",4&gt;設定!$B$3,原始資料!G322=""),"",IF(AND(原始資料!F322&lt;&gt;"",原始資料!G322=原始資料!F322),N(D322)+1,1))</f>
        <v/>
      </c>
      <c r="F322" s="6">
        <f>IF(OR(原始資料!$A322="",5&gt;設定!$B$3,原始資料!H322=""),"",IF(AND(原始資料!G322&lt;&gt;"",原始資料!H322=原始資料!G322),N(E322)+1,1))</f>
        <v/>
      </c>
      <c r="G322" s="6">
        <f>IF(OR(原始資料!$A322="",6&gt;設定!$B$3,原始資料!I322=""),"",IF(AND(原始資料!H322&lt;&gt;"",原始資料!I322=原始資料!H322),N(F322)+1,1))</f>
        <v/>
      </c>
      <c r="H322" s="6">
        <f>IF(OR(原始資料!$A322="",7&gt;設定!$B$3,原始資料!J322=""),"",IF(AND(原始資料!I322&lt;&gt;"",原始資料!J322=原始資料!I322),N(G322)+1,1))</f>
        <v/>
      </c>
      <c r="I322" s="6">
        <f>IF(OR(原始資料!$A322="",8&gt;設定!$B$3,原始資料!K322=""),"",IF(AND(原始資料!J322&lt;&gt;"",原始資料!K322=原始資料!J322),N(H322)+1,1))</f>
        <v/>
      </c>
      <c r="J322" s="6">
        <f>IF(OR(原始資料!$A322="",9&gt;設定!$B$3,原始資料!L322=""),"",IF(AND(原始資料!K322&lt;&gt;"",原始資料!L322=原始資料!K322),N(I322)+1,1))</f>
        <v/>
      </c>
      <c r="K322" s="6">
        <f>IF(OR(原始資料!$A322="",10&gt;設定!$B$3,原始資料!M322=""),"",IF(AND(原始資料!L322&lt;&gt;"",原始資料!M322=原始資料!L322),N(J322)+1,1))</f>
        <v/>
      </c>
      <c r="L322" s="6">
        <f>IF(OR(原始資料!$A322="",11&gt;設定!$B$3,原始資料!N322=""),"",IF(AND(原始資料!M322&lt;&gt;"",原始資料!N322=原始資料!M322),N(K322)+1,1))</f>
        <v/>
      </c>
      <c r="M322" s="6">
        <f>IF(OR(原始資料!$A322="",12&gt;設定!$B$3,原始資料!O322=""),"",IF(AND(原始資料!N322&lt;&gt;"",原始資料!O322=原始資料!N322),N(L322)+1,1))</f>
        <v/>
      </c>
      <c r="N322" s="6">
        <f>IF(OR(原始資料!$A322="",13&gt;設定!$B$3,原始資料!P322=""),"",IF(AND(原始資料!O322&lt;&gt;"",原始資料!P322=原始資料!O322),N(M322)+1,1))</f>
        <v/>
      </c>
      <c r="O322" s="6">
        <f>IF(OR(原始資料!$A322="",14&gt;設定!$B$3,原始資料!Q322=""),"",IF(AND(原始資料!P322&lt;&gt;"",原始資料!Q322=原始資料!P322),N(N322)+1,1))</f>
        <v/>
      </c>
      <c r="P322" s="6">
        <f>IF(OR(原始資料!$A322="",15&gt;設定!$B$3,原始資料!R322=""),"",IF(AND(原始資料!Q322&lt;&gt;"",原始資料!R322=原始資料!Q322),N(O322)+1,1))</f>
        <v/>
      </c>
      <c r="Q322" s="6">
        <f>IF(OR(原始資料!$A322="",16&gt;設定!$B$3,原始資料!S322=""),"",IF(AND(原始資料!R322&lt;&gt;"",原始資料!S322=原始資料!R322),N(P322)+1,1))</f>
        <v/>
      </c>
      <c r="R322" s="6">
        <f>IF(OR(原始資料!$A322="",17&gt;設定!$B$3,原始資料!T322=""),"",IF(AND(原始資料!S322&lt;&gt;"",原始資料!T322=原始資料!S322),N(Q322)+1,1))</f>
        <v/>
      </c>
      <c r="S322" s="6">
        <f>IF(OR(原始資料!$A322="",18&gt;設定!$B$3,原始資料!U322=""),"",IF(AND(原始資料!T322&lt;&gt;"",原始資料!U322=原始資料!T322),N(R322)+1,1))</f>
        <v/>
      </c>
      <c r="T322" s="6">
        <f>IF(OR(原始資料!$A322="",19&gt;設定!$B$3,原始資料!V322=""),"",IF(AND(原始資料!U322&lt;&gt;"",原始資料!V322=原始資料!U322),N(S322)+1,1))</f>
        <v/>
      </c>
      <c r="U322" s="6">
        <f>IF(OR(原始資料!$A322="",20&gt;設定!$B$3,原始資料!W322=""),"",IF(AND(原始資料!V322&lt;&gt;"",原始資料!W322=原始資料!V322),N(T322)+1,1))</f>
        <v/>
      </c>
      <c r="V322" s="6">
        <f>IF(OR(原始資料!$A322="",21&gt;設定!$B$3,原始資料!X322=""),"",IF(AND(原始資料!W322&lt;&gt;"",原始資料!X322=原始資料!W322),N(U322)+1,1))</f>
        <v/>
      </c>
      <c r="W322" s="6">
        <f>IF(OR(原始資料!$A322="",22&gt;設定!$B$3,原始資料!Y322=""),"",IF(AND(原始資料!X322&lt;&gt;"",原始資料!Y322=原始資料!X322),N(V322)+1,1))</f>
        <v/>
      </c>
      <c r="X322" s="6">
        <f>IF(OR(原始資料!$A322="",23&gt;設定!$B$3,原始資料!Z322=""),"",IF(AND(原始資料!Y322&lt;&gt;"",原始資料!Z322=原始資料!Y322),N(W322)+1,1))</f>
        <v/>
      </c>
      <c r="Y322" s="6">
        <f>IF(OR(原始資料!$A322="",24&gt;設定!$B$3,原始資料!AA322=""),"",IF(AND(原始資料!Z322&lt;&gt;"",原始資料!AA322=原始資料!Z322),N(X322)+1,1))</f>
        <v/>
      </c>
      <c r="Z322" s="6">
        <f>IF(OR(原始資料!$A322="",25&gt;設定!$B$3,原始資料!AB322=""),"",IF(AND(原始資料!AA322&lt;&gt;"",原始資料!AB322=原始資料!AA322),N(Y322)+1,1))</f>
        <v/>
      </c>
      <c r="AA322" s="6">
        <f>IF(OR(原始資料!$A322="",26&gt;設定!$B$3,原始資料!AC322=""),"",IF(AND(原始資料!AB322&lt;&gt;"",原始資料!AC322=原始資料!AB322),N(Z322)+1,1))</f>
        <v/>
      </c>
      <c r="AB322" s="6">
        <f>IF(OR(原始資料!$A322="",27&gt;設定!$B$3,原始資料!AD322=""),"",IF(AND(原始資料!AC322&lt;&gt;"",原始資料!AD322=原始資料!AC322),N(AA322)+1,1))</f>
        <v/>
      </c>
      <c r="AC322" s="6">
        <f>IF(OR(原始資料!$A322="",28&gt;設定!$B$3,原始資料!AE322=""),"",IF(AND(原始資料!AD322&lt;&gt;"",原始資料!AE322=原始資料!AD322),N(AB322)+1,1))</f>
        <v/>
      </c>
      <c r="AD322" s="6">
        <f>IF(OR(原始資料!$A322="",29&gt;設定!$B$3,原始資料!AF322=""),"",IF(AND(原始資料!AE322&lt;&gt;"",原始資料!AF322=原始資料!AE322),N(AC322)+1,1))</f>
        <v/>
      </c>
      <c r="AE322" s="6">
        <f>IF(OR(原始資料!$A322="",30&gt;設定!$B$3,原始資料!AG322=""),"",IF(AND(原始資料!AF322&lt;&gt;"",原始資料!AG322=原始資料!AF322),N(AD322)+1,1))</f>
        <v/>
      </c>
      <c r="AF322" s="6">
        <f>IF(OR(原始資料!$A322="",31&gt;設定!$B$3,原始資料!AH322=""),"",IF(AND(原始資料!AG322&lt;&gt;"",原始資料!AH322=原始資料!AG322),N(AE322)+1,1))</f>
        <v/>
      </c>
      <c r="AG322" s="6">
        <f>IF(OR(原始資料!$A322="",32&gt;設定!$B$3,原始資料!AI322=""),"",IF(AND(原始資料!AH322&lt;&gt;"",原始資料!AI322=原始資料!AH322),N(AF322)+1,1))</f>
        <v/>
      </c>
      <c r="AH322" s="6">
        <f>IF(OR(原始資料!$A322="",33&gt;設定!$B$3,原始資料!AJ322=""),"",IF(AND(原始資料!AI322&lt;&gt;"",原始資料!AJ322=原始資料!AI322),N(AG322)+1,1))</f>
        <v/>
      </c>
      <c r="AI322" s="6">
        <f>IF(OR(原始資料!$A322="",34&gt;設定!$B$3,原始資料!AK322=""),"",IF(AND(原始資料!AJ322&lt;&gt;"",原始資料!AK322=原始資料!AJ322),N(AH322)+1,1))</f>
        <v/>
      </c>
      <c r="AJ322" s="6">
        <f>IF(OR(原始資料!$A322="",35&gt;設定!$B$3,原始資料!AL322=""),"",IF(AND(原始資料!AK322&lt;&gt;"",原始資料!AL322=原始資料!AK322),N(AI322)+1,1))</f>
        <v/>
      </c>
      <c r="AK322" s="6">
        <f>IF(OR(原始資料!$A322="",36&gt;設定!$B$3,原始資料!AM322=""),"",IF(AND(原始資料!AL322&lt;&gt;"",原始資料!AM322=原始資料!AL322),N(AJ322)+1,1))</f>
        <v/>
      </c>
      <c r="AL322" s="6">
        <f>IF(OR(原始資料!$A322="",37&gt;設定!$B$3,原始資料!AN322=""),"",IF(AND(原始資料!AM322&lt;&gt;"",原始資料!AN322=原始資料!AM322),N(AK322)+1,1))</f>
        <v/>
      </c>
      <c r="AM322" s="6">
        <f>IF(OR(原始資料!$A322="",38&gt;設定!$B$3,原始資料!AO322=""),"",IF(AND(原始資料!AN322&lt;&gt;"",原始資料!AO322=原始資料!AN322),N(AL322)+1,1))</f>
        <v/>
      </c>
      <c r="AN322" s="6">
        <f>IF(OR(原始資料!$A322="",39&gt;設定!$B$3,原始資料!AP322=""),"",IF(AND(原始資料!AO322&lt;&gt;"",原始資料!AP322=原始資料!AO322),N(AM322)+1,1))</f>
        <v/>
      </c>
      <c r="AO322" s="6">
        <f>IF(OR(原始資料!$A322="",40&gt;設定!$B$3,原始資料!AQ322=""),"",IF(AND(原始資料!AP322&lt;&gt;"",原始資料!AQ322=原始資料!AP322),N(AN322)+1,1))</f>
        <v/>
      </c>
      <c r="AP322" s="6">
        <f>IF(OR(原始資料!$A322="",41&gt;設定!$B$3,原始資料!AR322=""),"",IF(AND(原始資料!AQ322&lt;&gt;"",原始資料!AR322=原始資料!AQ322),N(AO322)+1,1))</f>
        <v/>
      </c>
      <c r="AQ322" s="6">
        <f>IF(OR(原始資料!$A322="",42&gt;設定!$B$3,原始資料!AS322=""),"",IF(AND(原始資料!AR322&lt;&gt;"",原始資料!AS322=原始資料!AR322),N(AP322)+1,1))</f>
        <v/>
      </c>
      <c r="AR322" s="6">
        <f>IF(OR(原始資料!$A322="",43&gt;設定!$B$3,原始資料!AT322=""),"",IF(AND(原始資料!AS322&lt;&gt;"",原始資料!AT322=原始資料!AS322),N(AQ322)+1,1))</f>
        <v/>
      </c>
      <c r="AS322" s="6">
        <f>IF(OR(原始資料!$A322="",44&gt;設定!$B$3,原始資料!AU322=""),"",IF(AND(原始資料!AT322&lt;&gt;"",原始資料!AU322=原始資料!AT322),N(AR322)+1,1))</f>
        <v/>
      </c>
      <c r="AT322" s="6">
        <f>IF(OR(原始資料!$A322="",45&gt;設定!$B$3,原始資料!AV322=""),"",IF(AND(原始資料!AU322&lt;&gt;"",原始資料!AV322=原始資料!AU322),N(AS322)+1,1))</f>
        <v/>
      </c>
      <c r="AU322" s="6">
        <f>IF(OR(原始資料!$A322="",46&gt;設定!$B$3,原始資料!AW322=""),"",IF(AND(原始資料!AV322&lt;&gt;"",原始資料!AW322=原始資料!AV322),N(AT322)+1,1))</f>
        <v/>
      </c>
      <c r="AV322" s="6">
        <f>IF(OR(原始資料!$A322="",47&gt;設定!$B$3,原始資料!AX322=""),"",IF(AND(原始資料!AW322&lt;&gt;"",原始資料!AX322=原始資料!AW322),N(AU322)+1,1))</f>
        <v/>
      </c>
      <c r="AW322" s="6">
        <f>IF(OR(原始資料!$A322="",48&gt;設定!$B$3,原始資料!AY322=""),"",IF(AND(原始資料!AX322&lt;&gt;"",原始資料!AY322=原始資料!AX322),N(AV322)+1,1))</f>
        <v/>
      </c>
      <c r="AX322" s="6">
        <f>IF(OR(原始資料!$A322="",49&gt;設定!$B$3,原始資料!AZ322=""),"",IF(AND(原始資料!AY322&lt;&gt;"",原始資料!AZ322=原始資料!AY322),N(AW322)+1,1))</f>
        <v/>
      </c>
      <c r="AY322" s="6">
        <f>IF(OR(原始資料!$A322="",50&gt;設定!$B$3,原始資料!BA322=""),"",IF(AND(原始資料!AZ322&lt;&gt;"",原始資料!BA322=原始資料!AZ322),N(AX322)+1,1))</f>
        <v/>
      </c>
      <c r="AZ322" s="6">
        <f>IF(OR(原始資料!$A322="",51&gt;設定!$B$3,原始資料!BB322=""),"",IF(AND(原始資料!BA322&lt;&gt;"",原始資料!BB322=原始資料!BA322),N(AY322)+1,1))</f>
        <v/>
      </c>
      <c r="BA322" s="6">
        <f>IF(OR(原始資料!$A322="",52&gt;設定!$B$3,原始資料!BC322=""),"",IF(AND(原始資料!BB322&lt;&gt;"",原始資料!BC322=原始資料!BB322),N(AZ322)+1,1))</f>
        <v/>
      </c>
      <c r="BB322" s="6">
        <f>IF(OR(原始資料!$A322="",53&gt;設定!$B$3,原始資料!BD322=""),"",IF(AND(原始資料!BC322&lt;&gt;"",原始資料!BD322=原始資料!BC322),N(BA322)+1,1))</f>
        <v/>
      </c>
      <c r="BC322" s="6">
        <f>IF(OR(原始資料!$A322="",54&gt;設定!$B$3,原始資料!BE322=""),"",IF(AND(原始資料!BD322&lt;&gt;"",原始資料!BE322=原始資料!BD322),N(BB322)+1,1))</f>
        <v/>
      </c>
      <c r="BD322" s="6">
        <f>IF(OR(原始資料!$A322="",55&gt;設定!$B$3,原始資料!BF322=""),"",IF(AND(原始資料!BE322&lt;&gt;"",原始資料!BF322=原始資料!BE322),N(BC322)+1,1))</f>
        <v/>
      </c>
      <c r="BE322" s="6">
        <f>IF(OR(原始資料!$A322="",56&gt;設定!$B$3,原始資料!BG322=""),"",IF(AND(原始資料!BF322&lt;&gt;"",原始資料!BG322=原始資料!BF322),N(BD322)+1,1))</f>
        <v/>
      </c>
      <c r="BF322" s="6">
        <f>IF(OR(原始資料!$A322="",57&gt;設定!$B$3,原始資料!BH322=""),"",IF(AND(原始資料!BG322&lt;&gt;"",原始資料!BH322=原始資料!BG322),N(BE322)+1,1))</f>
        <v/>
      </c>
      <c r="BG322" s="6">
        <f>IF(OR(原始資料!$A322="",58&gt;設定!$B$3,原始資料!BI322=""),"",IF(AND(原始資料!BH322&lt;&gt;"",原始資料!BI322=原始資料!BH322),N(BF322)+1,1))</f>
        <v/>
      </c>
      <c r="BH322" s="6">
        <f>IF(OR(原始資料!$A322="",59&gt;設定!$B$3,原始資料!BJ322=""),"",IF(AND(原始資料!BI322&lt;&gt;"",原始資料!BJ322=原始資料!BI322),N(BG322)+1,1))</f>
        <v/>
      </c>
      <c r="BI322" s="6">
        <f>IF(OR(原始資料!$A322="",60&gt;設定!$B$3,原始資料!BK322=""),"",IF(AND(原始資料!BJ322&lt;&gt;"",原始資料!BK322=原始資料!BJ322),N(BH322)+1,1))</f>
        <v/>
      </c>
    </row>
    <row r="323">
      <c r="A323" s="6">
        <f>IF(原始資料!$A323="","",原始資料!$A323)</f>
        <v/>
      </c>
      <c r="B323" s="6">
        <f>IF(OR(原始資料!$A323="",1&gt;設定!$B$3,原始資料!D323=""),"",1)</f>
        <v/>
      </c>
      <c r="C323" s="6">
        <f>IF(OR(原始資料!$A323="",2&gt;設定!$B$3,原始資料!E323=""),"",IF(AND(原始資料!D323&lt;&gt;"",原始資料!E323=原始資料!D323),N(B323)+1,1))</f>
        <v/>
      </c>
      <c r="D323" s="6">
        <f>IF(OR(原始資料!$A323="",3&gt;設定!$B$3,原始資料!F323=""),"",IF(AND(原始資料!E323&lt;&gt;"",原始資料!F323=原始資料!E323),N(C323)+1,1))</f>
        <v/>
      </c>
      <c r="E323" s="6">
        <f>IF(OR(原始資料!$A323="",4&gt;設定!$B$3,原始資料!G323=""),"",IF(AND(原始資料!F323&lt;&gt;"",原始資料!G323=原始資料!F323),N(D323)+1,1))</f>
        <v/>
      </c>
      <c r="F323" s="6">
        <f>IF(OR(原始資料!$A323="",5&gt;設定!$B$3,原始資料!H323=""),"",IF(AND(原始資料!G323&lt;&gt;"",原始資料!H323=原始資料!G323),N(E323)+1,1))</f>
        <v/>
      </c>
      <c r="G323" s="6">
        <f>IF(OR(原始資料!$A323="",6&gt;設定!$B$3,原始資料!I323=""),"",IF(AND(原始資料!H323&lt;&gt;"",原始資料!I323=原始資料!H323),N(F323)+1,1))</f>
        <v/>
      </c>
      <c r="H323" s="6">
        <f>IF(OR(原始資料!$A323="",7&gt;設定!$B$3,原始資料!J323=""),"",IF(AND(原始資料!I323&lt;&gt;"",原始資料!J323=原始資料!I323),N(G323)+1,1))</f>
        <v/>
      </c>
      <c r="I323" s="6">
        <f>IF(OR(原始資料!$A323="",8&gt;設定!$B$3,原始資料!K323=""),"",IF(AND(原始資料!J323&lt;&gt;"",原始資料!K323=原始資料!J323),N(H323)+1,1))</f>
        <v/>
      </c>
      <c r="J323" s="6">
        <f>IF(OR(原始資料!$A323="",9&gt;設定!$B$3,原始資料!L323=""),"",IF(AND(原始資料!K323&lt;&gt;"",原始資料!L323=原始資料!K323),N(I323)+1,1))</f>
        <v/>
      </c>
      <c r="K323" s="6">
        <f>IF(OR(原始資料!$A323="",10&gt;設定!$B$3,原始資料!M323=""),"",IF(AND(原始資料!L323&lt;&gt;"",原始資料!M323=原始資料!L323),N(J323)+1,1))</f>
        <v/>
      </c>
      <c r="L323" s="6">
        <f>IF(OR(原始資料!$A323="",11&gt;設定!$B$3,原始資料!N323=""),"",IF(AND(原始資料!M323&lt;&gt;"",原始資料!N323=原始資料!M323),N(K323)+1,1))</f>
        <v/>
      </c>
      <c r="M323" s="6">
        <f>IF(OR(原始資料!$A323="",12&gt;設定!$B$3,原始資料!O323=""),"",IF(AND(原始資料!N323&lt;&gt;"",原始資料!O323=原始資料!N323),N(L323)+1,1))</f>
        <v/>
      </c>
      <c r="N323" s="6">
        <f>IF(OR(原始資料!$A323="",13&gt;設定!$B$3,原始資料!P323=""),"",IF(AND(原始資料!O323&lt;&gt;"",原始資料!P323=原始資料!O323),N(M323)+1,1))</f>
        <v/>
      </c>
      <c r="O323" s="6">
        <f>IF(OR(原始資料!$A323="",14&gt;設定!$B$3,原始資料!Q323=""),"",IF(AND(原始資料!P323&lt;&gt;"",原始資料!Q323=原始資料!P323),N(N323)+1,1))</f>
        <v/>
      </c>
      <c r="P323" s="6">
        <f>IF(OR(原始資料!$A323="",15&gt;設定!$B$3,原始資料!R323=""),"",IF(AND(原始資料!Q323&lt;&gt;"",原始資料!R323=原始資料!Q323),N(O323)+1,1))</f>
        <v/>
      </c>
      <c r="Q323" s="6">
        <f>IF(OR(原始資料!$A323="",16&gt;設定!$B$3,原始資料!S323=""),"",IF(AND(原始資料!R323&lt;&gt;"",原始資料!S323=原始資料!R323),N(P323)+1,1))</f>
        <v/>
      </c>
      <c r="R323" s="6">
        <f>IF(OR(原始資料!$A323="",17&gt;設定!$B$3,原始資料!T323=""),"",IF(AND(原始資料!S323&lt;&gt;"",原始資料!T323=原始資料!S323),N(Q323)+1,1))</f>
        <v/>
      </c>
      <c r="S323" s="6">
        <f>IF(OR(原始資料!$A323="",18&gt;設定!$B$3,原始資料!U323=""),"",IF(AND(原始資料!T323&lt;&gt;"",原始資料!U323=原始資料!T323),N(R323)+1,1))</f>
        <v/>
      </c>
      <c r="T323" s="6">
        <f>IF(OR(原始資料!$A323="",19&gt;設定!$B$3,原始資料!V323=""),"",IF(AND(原始資料!U323&lt;&gt;"",原始資料!V323=原始資料!U323),N(S323)+1,1))</f>
        <v/>
      </c>
      <c r="U323" s="6">
        <f>IF(OR(原始資料!$A323="",20&gt;設定!$B$3,原始資料!W323=""),"",IF(AND(原始資料!V323&lt;&gt;"",原始資料!W323=原始資料!V323),N(T323)+1,1))</f>
        <v/>
      </c>
      <c r="V323" s="6">
        <f>IF(OR(原始資料!$A323="",21&gt;設定!$B$3,原始資料!X323=""),"",IF(AND(原始資料!W323&lt;&gt;"",原始資料!X323=原始資料!W323),N(U323)+1,1))</f>
        <v/>
      </c>
      <c r="W323" s="6">
        <f>IF(OR(原始資料!$A323="",22&gt;設定!$B$3,原始資料!Y323=""),"",IF(AND(原始資料!X323&lt;&gt;"",原始資料!Y323=原始資料!X323),N(V323)+1,1))</f>
        <v/>
      </c>
      <c r="X323" s="6">
        <f>IF(OR(原始資料!$A323="",23&gt;設定!$B$3,原始資料!Z323=""),"",IF(AND(原始資料!Y323&lt;&gt;"",原始資料!Z323=原始資料!Y323),N(W323)+1,1))</f>
        <v/>
      </c>
      <c r="Y323" s="6">
        <f>IF(OR(原始資料!$A323="",24&gt;設定!$B$3,原始資料!AA323=""),"",IF(AND(原始資料!Z323&lt;&gt;"",原始資料!AA323=原始資料!Z323),N(X323)+1,1))</f>
        <v/>
      </c>
      <c r="Z323" s="6">
        <f>IF(OR(原始資料!$A323="",25&gt;設定!$B$3,原始資料!AB323=""),"",IF(AND(原始資料!AA323&lt;&gt;"",原始資料!AB323=原始資料!AA323),N(Y323)+1,1))</f>
        <v/>
      </c>
      <c r="AA323" s="6">
        <f>IF(OR(原始資料!$A323="",26&gt;設定!$B$3,原始資料!AC323=""),"",IF(AND(原始資料!AB323&lt;&gt;"",原始資料!AC323=原始資料!AB323),N(Z323)+1,1))</f>
        <v/>
      </c>
      <c r="AB323" s="6">
        <f>IF(OR(原始資料!$A323="",27&gt;設定!$B$3,原始資料!AD323=""),"",IF(AND(原始資料!AC323&lt;&gt;"",原始資料!AD323=原始資料!AC323),N(AA323)+1,1))</f>
        <v/>
      </c>
      <c r="AC323" s="6">
        <f>IF(OR(原始資料!$A323="",28&gt;設定!$B$3,原始資料!AE323=""),"",IF(AND(原始資料!AD323&lt;&gt;"",原始資料!AE323=原始資料!AD323),N(AB323)+1,1))</f>
        <v/>
      </c>
      <c r="AD323" s="6">
        <f>IF(OR(原始資料!$A323="",29&gt;設定!$B$3,原始資料!AF323=""),"",IF(AND(原始資料!AE323&lt;&gt;"",原始資料!AF323=原始資料!AE323),N(AC323)+1,1))</f>
        <v/>
      </c>
      <c r="AE323" s="6">
        <f>IF(OR(原始資料!$A323="",30&gt;設定!$B$3,原始資料!AG323=""),"",IF(AND(原始資料!AF323&lt;&gt;"",原始資料!AG323=原始資料!AF323),N(AD323)+1,1))</f>
        <v/>
      </c>
      <c r="AF323" s="6">
        <f>IF(OR(原始資料!$A323="",31&gt;設定!$B$3,原始資料!AH323=""),"",IF(AND(原始資料!AG323&lt;&gt;"",原始資料!AH323=原始資料!AG323),N(AE323)+1,1))</f>
        <v/>
      </c>
      <c r="AG323" s="6">
        <f>IF(OR(原始資料!$A323="",32&gt;設定!$B$3,原始資料!AI323=""),"",IF(AND(原始資料!AH323&lt;&gt;"",原始資料!AI323=原始資料!AH323),N(AF323)+1,1))</f>
        <v/>
      </c>
      <c r="AH323" s="6">
        <f>IF(OR(原始資料!$A323="",33&gt;設定!$B$3,原始資料!AJ323=""),"",IF(AND(原始資料!AI323&lt;&gt;"",原始資料!AJ323=原始資料!AI323),N(AG323)+1,1))</f>
        <v/>
      </c>
      <c r="AI323" s="6">
        <f>IF(OR(原始資料!$A323="",34&gt;設定!$B$3,原始資料!AK323=""),"",IF(AND(原始資料!AJ323&lt;&gt;"",原始資料!AK323=原始資料!AJ323),N(AH323)+1,1))</f>
        <v/>
      </c>
      <c r="AJ323" s="6">
        <f>IF(OR(原始資料!$A323="",35&gt;設定!$B$3,原始資料!AL323=""),"",IF(AND(原始資料!AK323&lt;&gt;"",原始資料!AL323=原始資料!AK323),N(AI323)+1,1))</f>
        <v/>
      </c>
      <c r="AK323" s="6">
        <f>IF(OR(原始資料!$A323="",36&gt;設定!$B$3,原始資料!AM323=""),"",IF(AND(原始資料!AL323&lt;&gt;"",原始資料!AM323=原始資料!AL323),N(AJ323)+1,1))</f>
        <v/>
      </c>
      <c r="AL323" s="6">
        <f>IF(OR(原始資料!$A323="",37&gt;設定!$B$3,原始資料!AN323=""),"",IF(AND(原始資料!AM323&lt;&gt;"",原始資料!AN323=原始資料!AM323),N(AK323)+1,1))</f>
        <v/>
      </c>
      <c r="AM323" s="6">
        <f>IF(OR(原始資料!$A323="",38&gt;設定!$B$3,原始資料!AO323=""),"",IF(AND(原始資料!AN323&lt;&gt;"",原始資料!AO323=原始資料!AN323),N(AL323)+1,1))</f>
        <v/>
      </c>
      <c r="AN323" s="6">
        <f>IF(OR(原始資料!$A323="",39&gt;設定!$B$3,原始資料!AP323=""),"",IF(AND(原始資料!AO323&lt;&gt;"",原始資料!AP323=原始資料!AO323),N(AM323)+1,1))</f>
        <v/>
      </c>
      <c r="AO323" s="6">
        <f>IF(OR(原始資料!$A323="",40&gt;設定!$B$3,原始資料!AQ323=""),"",IF(AND(原始資料!AP323&lt;&gt;"",原始資料!AQ323=原始資料!AP323),N(AN323)+1,1))</f>
        <v/>
      </c>
      <c r="AP323" s="6">
        <f>IF(OR(原始資料!$A323="",41&gt;設定!$B$3,原始資料!AR323=""),"",IF(AND(原始資料!AQ323&lt;&gt;"",原始資料!AR323=原始資料!AQ323),N(AO323)+1,1))</f>
        <v/>
      </c>
      <c r="AQ323" s="6">
        <f>IF(OR(原始資料!$A323="",42&gt;設定!$B$3,原始資料!AS323=""),"",IF(AND(原始資料!AR323&lt;&gt;"",原始資料!AS323=原始資料!AR323),N(AP323)+1,1))</f>
        <v/>
      </c>
      <c r="AR323" s="6">
        <f>IF(OR(原始資料!$A323="",43&gt;設定!$B$3,原始資料!AT323=""),"",IF(AND(原始資料!AS323&lt;&gt;"",原始資料!AT323=原始資料!AS323),N(AQ323)+1,1))</f>
        <v/>
      </c>
      <c r="AS323" s="6">
        <f>IF(OR(原始資料!$A323="",44&gt;設定!$B$3,原始資料!AU323=""),"",IF(AND(原始資料!AT323&lt;&gt;"",原始資料!AU323=原始資料!AT323),N(AR323)+1,1))</f>
        <v/>
      </c>
      <c r="AT323" s="6">
        <f>IF(OR(原始資料!$A323="",45&gt;設定!$B$3,原始資料!AV323=""),"",IF(AND(原始資料!AU323&lt;&gt;"",原始資料!AV323=原始資料!AU323),N(AS323)+1,1))</f>
        <v/>
      </c>
      <c r="AU323" s="6">
        <f>IF(OR(原始資料!$A323="",46&gt;設定!$B$3,原始資料!AW323=""),"",IF(AND(原始資料!AV323&lt;&gt;"",原始資料!AW323=原始資料!AV323),N(AT323)+1,1))</f>
        <v/>
      </c>
      <c r="AV323" s="6">
        <f>IF(OR(原始資料!$A323="",47&gt;設定!$B$3,原始資料!AX323=""),"",IF(AND(原始資料!AW323&lt;&gt;"",原始資料!AX323=原始資料!AW323),N(AU323)+1,1))</f>
        <v/>
      </c>
      <c r="AW323" s="6">
        <f>IF(OR(原始資料!$A323="",48&gt;設定!$B$3,原始資料!AY323=""),"",IF(AND(原始資料!AX323&lt;&gt;"",原始資料!AY323=原始資料!AX323),N(AV323)+1,1))</f>
        <v/>
      </c>
      <c r="AX323" s="6">
        <f>IF(OR(原始資料!$A323="",49&gt;設定!$B$3,原始資料!AZ323=""),"",IF(AND(原始資料!AY323&lt;&gt;"",原始資料!AZ323=原始資料!AY323),N(AW323)+1,1))</f>
        <v/>
      </c>
      <c r="AY323" s="6">
        <f>IF(OR(原始資料!$A323="",50&gt;設定!$B$3,原始資料!BA323=""),"",IF(AND(原始資料!AZ323&lt;&gt;"",原始資料!BA323=原始資料!AZ323),N(AX323)+1,1))</f>
        <v/>
      </c>
      <c r="AZ323" s="6">
        <f>IF(OR(原始資料!$A323="",51&gt;設定!$B$3,原始資料!BB323=""),"",IF(AND(原始資料!BA323&lt;&gt;"",原始資料!BB323=原始資料!BA323),N(AY323)+1,1))</f>
        <v/>
      </c>
      <c r="BA323" s="6">
        <f>IF(OR(原始資料!$A323="",52&gt;設定!$B$3,原始資料!BC323=""),"",IF(AND(原始資料!BB323&lt;&gt;"",原始資料!BC323=原始資料!BB323),N(AZ323)+1,1))</f>
        <v/>
      </c>
      <c r="BB323" s="6">
        <f>IF(OR(原始資料!$A323="",53&gt;設定!$B$3,原始資料!BD323=""),"",IF(AND(原始資料!BC323&lt;&gt;"",原始資料!BD323=原始資料!BC323),N(BA323)+1,1))</f>
        <v/>
      </c>
      <c r="BC323" s="6">
        <f>IF(OR(原始資料!$A323="",54&gt;設定!$B$3,原始資料!BE323=""),"",IF(AND(原始資料!BD323&lt;&gt;"",原始資料!BE323=原始資料!BD323),N(BB323)+1,1))</f>
        <v/>
      </c>
      <c r="BD323" s="6">
        <f>IF(OR(原始資料!$A323="",55&gt;設定!$B$3,原始資料!BF323=""),"",IF(AND(原始資料!BE323&lt;&gt;"",原始資料!BF323=原始資料!BE323),N(BC323)+1,1))</f>
        <v/>
      </c>
      <c r="BE323" s="6">
        <f>IF(OR(原始資料!$A323="",56&gt;設定!$B$3,原始資料!BG323=""),"",IF(AND(原始資料!BF323&lt;&gt;"",原始資料!BG323=原始資料!BF323),N(BD323)+1,1))</f>
        <v/>
      </c>
      <c r="BF323" s="6">
        <f>IF(OR(原始資料!$A323="",57&gt;設定!$B$3,原始資料!BH323=""),"",IF(AND(原始資料!BG323&lt;&gt;"",原始資料!BH323=原始資料!BG323),N(BE323)+1,1))</f>
        <v/>
      </c>
      <c r="BG323" s="6">
        <f>IF(OR(原始資料!$A323="",58&gt;設定!$B$3,原始資料!BI323=""),"",IF(AND(原始資料!BH323&lt;&gt;"",原始資料!BI323=原始資料!BH323),N(BF323)+1,1))</f>
        <v/>
      </c>
      <c r="BH323" s="6">
        <f>IF(OR(原始資料!$A323="",59&gt;設定!$B$3,原始資料!BJ323=""),"",IF(AND(原始資料!BI323&lt;&gt;"",原始資料!BJ323=原始資料!BI323),N(BG323)+1,1))</f>
        <v/>
      </c>
      <c r="BI323" s="6">
        <f>IF(OR(原始資料!$A323="",60&gt;設定!$B$3,原始資料!BK323=""),"",IF(AND(原始資料!BJ323&lt;&gt;"",原始資料!BK323=原始資料!BJ323),N(BH323)+1,1))</f>
        <v/>
      </c>
    </row>
    <row r="324">
      <c r="A324" s="6">
        <f>IF(原始資料!$A324="","",原始資料!$A324)</f>
        <v/>
      </c>
      <c r="B324" s="6">
        <f>IF(OR(原始資料!$A324="",1&gt;設定!$B$3,原始資料!D324=""),"",1)</f>
        <v/>
      </c>
      <c r="C324" s="6">
        <f>IF(OR(原始資料!$A324="",2&gt;設定!$B$3,原始資料!E324=""),"",IF(AND(原始資料!D324&lt;&gt;"",原始資料!E324=原始資料!D324),N(B324)+1,1))</f>
        <v/>
      </c>
      <c r="D324" s="6">
        <f>IF(OR(原始資料!$A324="",3&gt;設定!$B$3,原始資料!F324=""),"",IF(AND(原始資料!E324&lt;&gt;"",原始資料!F324=原始資料!E324),N(C324)+1,1))</f>
        <v/>
      </c>
      <c r="E324" s="6">
        <f>IF(OR(原始資料!$A324="",4&gt;設定!$B$3,原始資料!G324=""),"",IF(AND(原始資料!F324&lt;&gt;"",原始資料!G324=原始資料!F324),N(D324)+1,1))</f>
        <v/>
      </c>
      <c r="F324" s="6">
        <f>IF(OR(原始資料!$A324="",5&gt;設定!$B$3,原始資料!H324=""),"",IF(AND(原始資料!G324&lt;&gt;"",原始資料!H324=原始資料!G324),N(E324)+1,1))</f>
        <v/>
      </c>
      <c r="G324" s="6">
        <f>IF(OR(原始資料!$A324="",6&gt;設定!$B$3,原始資料!I324=""),"",IF(AND(原始資料!H324&lt;&gt;"",原始資料!I324=原始資料!H324),N(F324)+1,1))</f>
        <v/>
      </c>
      <c r="H324" s="6">
        <f>IF(OR(原始資料!$A324="",7&gt;設定!$B$3,原始資料!J324=""),"",IF(AND(原始資料!I324&lt;&gt;"",原始資料!J324=原始資料!I324),N(G324)+1,1))</f>
        <v/>
      </c>
      <c r="I324" s="6">
        <f>IF(OR(原始資料!$A324="",8&gt;設定!$B$3,原始資料!K324=""),"",IF(AND(原始資料!J324&lt;&gt;"",原始資料!K324=原始資料!J324),N(H324)+1,1))</f>
        <v/>
      </c>
      <c r="J324" s="6">
        <f>IF(OR(原始資料!$A324="",9&gt;設定!$B$3,原始資料!L324=""),"",IF(AND(原始資料!K324&lt;&gt;"",原始資料!L324=原始資料!K324),N(I324)+1,1))</f>
        <v/>
      </c>
      <c r="K324" s="6">
        <f>IF(OR(原始資料!$A324="",10&gt;設定!$B$3,原始資料!M324=""),"",IF(AND(原始資料!L324&lt;&gt;"",原始資料!M324=原始資料!L324),N(J324)+1,1))</f>
        <v/>
      </c>
      <c r="L324" s="6">
        <f>IF(OR(原始資料!$A324="",11&gt;設定!$B$3,原始資料!N324=""),"",IF(AND(原始資料!M324&lt;&gt;"",原始資料!N324=原始資料!M324),N(K324)+1,1))</f>
        <v/>
      </c>
      <c r="M324" s="6">
        <f>IF(OR(原始資料!$A324="",12&gt;設定!$B$3,原始資料!O324=""),"",IF(AND(原始資料!N324&lt;&gt;"",原始資料!O324=原始資料!N324),N(L324)+1,1))</f>
        <v/>
      </c>
      <c r="N324" s="6">
        <f>IF(OR(原始資料!$A324="",13&gt;設定!$B$3,原始資料!P324=""),"",IF(AND(原始資料!O324&lt;&gt;"",原始資料!P324=原始資料!O324),N(M324)+1,1))</f>
        <v/>
      </c>
      <c r="O324" s="6">
        <f>IF(OR(原始資料!$A324="",14&gt;設定!$B$3,原始資料!Q324=""),"",IF(AND(原始資料!P324&lt;&gt;"",原始資料!Q324=原始資料!P324),N(N324)+1,1))</f>
        <v/>
      </c>
      <c r="P324" s="6">
        <f>IF(OR(原始資料!$A324="",15&gt;設定!$B$3,原始資料!R324=""),"",IF(AND(原始資料!Q324&lt;&gt;"",原始資料!R324=原始資料!Q324),N(O324)+1,1))</f>
        <v/>
      </c>
      <c r="Q324" s="6">
        <f>IF(OR(原始資料!$A324="",16&gt;設定!$B$3,原始資料!S324=""),"",IF(AND(原始資料!R324&lt;&gt;"",原始資料!S324=原始資料!R324),N(P324)+1,1))</f>
        <v/>
      </c>
      <c r="R324" s="6">
        <f>IF(OR(原始資料!$A324="",17&gt;設定!$B$3,原始資料!T324=""),"",IF(AND(原始資料!S324&lt;&gt;"",原始資料!T324=原始資料!S324),N(Q324)+1,1))</f>
        <v/>
      </c>
      <c r="S324" s="6">
        <f>IF(OR(原始資料!$A324="",18&gt;設定!$B$3,原始資料!U324=""),"",IF(AND(原始資料!T324&lt;&gt;"",原始資料!U324=原始資料!T324),N(R324)+1,1))</f>
        <v/>
      </c>
      <c r="T324" s="6">
        <f>IF(OR(原始資料!$A324="",19&gt;設定!$B$3,原始資料!V324=""),"",IF(AND(原始資料!U324&lt;&gt;"",原始資料!V324=原始資料!U324),N(S324)+1,1))</f>
        <v/>
      </c>
      <c r="U324" s="6">
        <f>IF(OR(原始資料!$A324="",20&gt;設定!$B$3,原始資料!W324=""),"",IF(AND(原始資料!V324&lt;&gt;"",原始資料!W324=原始資料!V324),N(T324)+1,1))</f>
        <v/>
      </c>
      <c r="V324" s="6">
        <f>IF(OR(原始資料!$A324="",21&gt;設定!$B$3,原始資料!X324=""),"",IF(AND(原始資料!W324&lt;&gt;"",原始資料!X324=原始資料!W324),N(U324)+1,1))</f>
        <v/>
      </c>
      <c r="W324" s="6">
        <f>IF(OR(原始資料!$A324="",22&gt;設定!$B$3,原始資料!Y324=""),"",IF(AND(原始資料!X324&lt;&gt;"",原始資料!Y324=原始資料!X324),N(V324)+1,1))</f>
        <v/>
      </c>
      <c r="X324" s="6">
        <f>IF(OR(原始資料!$A324="",23&gt;設定!$B$3,原始資料!Z324=""),"",IF(AND(原始資料!Y324&lt;&gt;"",原始資料!Z324=原始資料!Y324),N(W324)+1,1))</f>
        <v/>
      </c>
      <c r="Y324" s="6">
        <f>IF(OR(原始資料!$A324="",24&gt;設定!$B$3,原始資料!AA324=""),"",IF(AND(原始資料!Z324&lt;&gt;"",原始資料!AA324=原始資料!Z324),N(X324)+1,1))</f>
        <v/>
      </c>
      <c r="Z324" s="6">
        <f>IF(OR(原始資料!$A324="",25&gt;設定!$B$3,原始資料!AB324=""),"",IF(AND(原始資料!AA324&lt;&gt;"",原始資料!AB324=原始資料!AA324),N(Y324)+1,1))</f>
        <v/>
      </c>
      <c r="AA324" s="6">
        <f>IF(OR(原始資料!$A324="",26&gt;設定!$B$3,原始資料!AC324=""),"",IF(AND(原始資料!AB324&lt;&gt;"",原始資料!AC324=原始資料!AB324),N(Z324)+1,1))</f>
        <v/>
      </c>
      <c r="AB324" s="6">
        <f>IF(OR(原始資料!$A324="",27&gt;設定!$B$3,原始資料!AD324=""),"",IF(AND(原始資料!AC324&lt;&gt;"",原始資料!AD324=原始資料!AC324),N(AA324)+1,1))</f>
        <v/>
      </c>
      <c r="AC324" s="6">
        <f>IF(OR(原始資料!$A324="",28&gt;設定!$B$3,原始資料!AE324=""),"",IF(AND(原始資料!AD324&lt;&gt;"",原始資料!AE324=原始資料!AD324),N(AB324)+1,1))</f>
        <v/>
      </c>
      <c r="AD324" s="6">
        <f>IF(OR(原始資料!$A324="",29&gt;設定!$B$3,原始資料!AF324=""),"",IF(AND(原始資料!AE324&lt;&gt;"",原始資料!AF324=原始資料!AE324),N(AC324)+1,1))</f>
        <v/>
      </c>
      <c r="AE324" s="6">
        <f>IF(OR(原始資料!$A324="",30&gt;設定!$B$3,原始資料!AG324=""),"",IF(AND(原始資料!AF324&lt;&gt;"",原始資料!AG324=原始資料!AF324),N(AD324)+1,1))</f>
        <v/>
      </c>
      <c r="AF324" s="6">
        <f>IF(OR(原始資料!$A324="",31&gt;設定!$B$3,原始資料!AH324=""),"",IF(AND(原始資料!AG324&lt;&gt;"",原始資料!AH324=原始資料!AG324),N(AE324)+1,1))</f>
        <v/>
      </c>
      <c r="AG324" s="6">
        <f>IF(OR(原始資料!$A324="",32&gt;設定!$B$3,原始資料!AI324=""),"",IF(AND(原始資料!AH324&lt;&gt;"",原始資料!AI324=原始資料!AH324),N(AF324)+1,1))</f>
        <v/>
      </c>
      <c r="AH324" s="6">
        <f>IF(OR(原始資料!$A324="",33&gt;設定!$B$3,原始資料!AJ324=""),"",IF(AND(原始資料!AI324&lt;&gt;"",原始資料!AJ324=原始資料!AI324),N(AG324)+1,1))</f>
        <v/>
      </c>
      <c r="AI324" s="6">
        <f>IF(OR(原始資料!$A324="",34&gt;設定!$B$3,原始資料!AK324=""),"",IF(AND(原始資料!AJ324&lt;&gt;"",原始資料!AK324=原始資料!AJ324),N(AH324)+1,1))</f>
        <v/>
      </c>
      <c r="AJ324" s="6">
        <f>IF(OR(原始資料!$A324="",35&gt;設定!$B$3,原始資料!AL324=""),"",IF(AND(原始資料!AK324&lt;&gt;"",原始資料!AL324=原始資料!AK324),N(AI324)+1,1))</f>
        <v/>
      </c>
      <c r="AK324" s="6">
        <f>IF(OR(原始資料!$A324="",36&gt;設定!$B$3,原始資料!AM324=""),"",IF(AND(原始資料!AL324&lt;&gt;"",原始資料!AM324=原始資料!AL324),N(AJ324)+1,1))</f>
        <v/>
      </c>
      <c r="AL324" s="6">
        <f>IF(OR(原始資料!$A324="",37&gt;設定!$B$3,原始資料!AN324=""),"",IF(AND(原始資料!AM324&lt;&gt;"",原始資料!AN324=原始資料!AM324),N(AK324)+1,1))</f>
        <v/>
      </c>
      <c r="AM324" s="6">
        <f>IF(OR(原始資料!$A324="",38&gt;設定!$B$3,原始資料!AO324=""),"",IF(AND(原始資料!AN324&lt;&gt;"",原始資料!AO324=原始資料!AN324),N(AL324)+1,1))</f>
        <v/>
      </c>
      <c r="AN324" s="6">
        <f>IF(OR(原始資料!$A324="",39&gt;設定!$B$3,原始資料!AP324=""),"",IF(AND(原始資料!AO324&lt;&gt;"",原始資料!AP324=原始資料!AO324),N(AM324)+1,1))</f>
        <v/>
      </c>
      <c r="AO324" s="6">
        <f>IF(OR(原始資料!$A324="",40&gt;設定!$B$3,原始資料!AQ324=""),"",IF(AND(原始資料!AP324&lt;&gt;"",原始資料!AQ324=原始資料!AP324),N(AN324)+1,1))</f>
        <v/>
      </c>
      <c r="AP324" s="6">
        <f>IF(OR(原始資料!$A324="",41&gt;設定!$B$3,原始資料!AR324=""),"",IF(AND(原始資料!AQ324&lt;&gt;"",原始資料!AR324=原始資料!AQ324),N(AO324)+1,1))</f>
        <v/>
      </c>
      <c r="AQ324" s="6">
        <f>IF(OR(原始資料!$A324="",42&gt;設定!$B$3,原始資料!AS324=""),"",IF(AND(原始資料!AR324&lt;&gt;"",原始資料!AS324=原始資料!AR324),N(AP324)+1,1))</f>
        <v/>
      </c>
      <c r="AR324" s="6">
        <f>IF(OR(原始資料!$A324="",43&gt;設定!$B$3,原始資料!AT324=""),"",IF(AND(原始資料!AS324&lt;&gt;"",原始資料!AT324=原始資料!AS324),N(AQ324)+1,1))</f>
        <v/>
      </c>
      <c r="AS324" s="6">
        <f>IF(OR(原始資料!$A324="",44&gt;設定!$B$3,原始資料!AU324=""),"",IF(AND(原始資料!AT324&lt;&gt;"",原始資料!AU324=原始資料!AT324),N(AR324)+1,1))</f>
        <v/>
      </c>
      <c r="AT324" s="6">
        <f>IF(OR(原始資料!$A324="",45&gt;設定!$B$3,原始資料!AV324=""),"",IF(AND(原始資料!AU324&lt;&gt;"",原始資料!AV324=原始資料!AU324),N(AS324)+1,1))</f>
        <v/>
      </c>
      <c r="AU324" s="6">
        <f>IF(OR(原始資料!$A324="",46&gt;設定!$B$3,原始資料!AW324=""),"",IF(AND(原始資料!AV324&lt;&gt;"",原始資料!AW324=原始資料!AV324),N(AT324)+1,1))</f>
        <v/>
      </c>
      <c r="AV324" s="6">
        <f>IF(OR(原始資料!$A324="",47&gt;設定!$B$3,原始資料!AX324=""),"",IF(AND(原始資料!AW324&lt;&gt;"",原始資料!AX324=原始資料!AW324),N(AU324)+1,1))</f>
        <v/>
      </c>
      <c r="AW324" s="6">
        <f>IF(OR(原始資料!$A324="",48&gt;設定!$B$3,原始資料!AY324=""),"",IF(AND(原始資料!AX324&lt;&gt;"",原始資料!AY324=原始資料!AX324),N(AV324)+1,1))</f>
        <v/>
      </c>
      <c r="AX324" s="6">
        <f>IF(OR(原始資料!$A324="",49&gt;設定!$B$3,原始資料!AZ324=""),"",IF(AND(原始資料!AY324&lt;&gt;"",原始資料!AZ324=原始資料!AY324),N(AW324)+1,1))</f>
        <v/>
      </c>
      <c r="AY324" s="6">
        <f>IF(OR(原始資料!$A324="",50&gt;設定!$B$3,原始資料!BA324=""),"",IF(AND(原始資料!AZ324&lt;&gt;"",原始資料!BA324=原始資料!AZ324),N(AX324)+1,1))</f>
        <v/>
      </c>
      <c r="AZ324" s="6">
        <f>IF(OR(原始資料!$A324="",51&gt;設定!$B$3,原始資料!BB324=""),"",IF(AND(原始資料!BA324&lt;&gt;"",原始資料!BB324=原始資料!BA324),N(AY324)+1,1))</f>
        <v/>
      </c>
      <c r="BA324" s="6">
        <f>IF(OR(原始資料!$A324="",52&gt;設定!$B$3,原始資料!BC324=""),"",IF(AND(原始資料!BB324&lt;&gt;"",原始資料!BC324=原始資料!BB324),N(AZ324)+1,1))</f>
        <v/>
      </c>
      <c r="BB324" s="6">
        <f>IF(OR(原始資料!$A324="",53&gt;設定!$B$3,原始資料!BD324=""),"",IF(AND(原始資料!BC324&lt;&gt;"",原始資料!BD324=原始資料!BC324),N(BA324)+1,1))</f>
        <v/>
      </c>
      <c r="BC324" s="6">
        <f>IF(OR(原始資料!$A324="",54&gt;設定!$B$3,原始資料!BE324=""),"",IF(AND(原始資料!BD324&lt;&gt;"",原始資料!BE324=原始資料!BD324),N(BB324)+1,1))</f>
        <v/>
      </c>
      <c r="BD324" s="6">
        <f>IF(OR(原始資料!$A324="",55&gt;設定!$B$3,原始資料!BF324=""),"",IF(AND(原始資料!BE324&lt;&gt;"",原始資料!BF324=原始資料!BE324),N(BC324)+1,1))</f>
        <v/>
      </c>
      <c r="BE324" s="6">
        <f>IF(OR(原始資料!$A324="",56&gt;設定!$B$3,原始資料!BG324=""),"",IF(AND(原始資料!BF324&lt;&gt;"",原始資料!BG324=原始資料!BF324),N(BD324)+1,1))</f>
        <v/>
      </c>
      <c r="BF324" s="6">
        <f>IF(OR(原始資料!$A324="",57&gt;設定!$B$3,原始資料!BH324=""),"",IF(AND(原始資料!BG324&lt;&gt;"",原始資料!BH324=原始資料!BG324),N(BE324)+1,1))</f>
        <v/>
      </c>
      <c r="BG324" s="6">
        <f>IF(OR(原始資料!$A324="",58&gt;設定!$B$3,原始資料!BI324=""),"",IF(AND(原始資料!BH324&lt;&gt;"",原始資料!BI324=原始資料!BH324),N(BF324)+1,1))</f>
        <v/>
      </c>
      <c r="BH324" s="6">
        <f>IF(OR(原始資料!$A324="",59&gt;設定!$B$3,原始資料!BJ324=""),"",IF(AND(原始資料!BI324&lt;&gt;"",原始資料!BJ324=原始資料!BI324),N(BG324)+1,1))</f>
        <v/>
      </c>
      <c r="BI324" s="6">
        <f>IF(OR(原始資料!$A324="",60&gt;設定!$B$3,原始資料!BK324=""),"",IF(AND(原始資料!BJ324&lt;&gt;"",原始資料!BK324=原始資料!BJ324),N(BH324)+1,1))</f>
        <v/>
      </c>
    </row>
    <row r="325">
      <c r="A325" s="6">
        <f>IF(原始資料!$A325="","",原始資料!$A325)</f>
        <v/>
      </c>
      <c r="B325" s="6">
        <f>IF(OR(原始資料!$A325="",1&gt;設定!$B$3,原始資料!D325=""),"",1)</f>
        <v/>
      </c>
      <c r="C325" s="6">
        <f>IF(OR(原始資料!$A325="",2&gt;設定!$B$3,原始資料!E325=""),"",IF(AND(原始資料!D325&lt;&gt;"",原始資料!E325=原始資料!D325),N(B325)+1,1))</f>
        <v/>
      </c>
      <c r="D325" s="6">
        <f>IF(OR(原始資料!$A325="",3&gt;設定!$B$3,原始資料!F325=""),"",IF(AND(原始資料!E325&lt;&gt;"",原始資料!F325=原始資料!E325),N(C325)+1,1))</f>
        <v/>
      </c>
      <c r="E325" s="6">
        <f>IF(OR(原始資料!$A325="",4&gt;設定!$B$3,原始資料!G325=""),"",IF(AND(原始資料!F325&lt;&gt;"",原始資料!G325=原始資料!F325),N(D325)+1,1))</f>
        <v/>
      </c>
      <c r="F325" s="6">
        <f>IF(OR(原始資料!$A325="",5&gt;設定!$B$3,原始資料!H325=""),"",IF(AND(原始資料!G325&lt;&gt;"",原始資料!H325=原始資料!G325),N(E325)+1,1))</f>
        <v/>
      </c>
      <c r="G325" s="6">
        <f>IF(OR(原始資料!$A325="",6&gt;設定!$B$3,原始資料!I325=""),"",IF(AND(原始資料!H325&lt;&gt;"",原始資料!I325=原始資料!H325),N(F325)+1,1))</f>
        <v/>
      </c>
      <c r="H325" s="6">
        <f>IF(OR(原始資料!$A325="",7&gt;設定!$B$3,原始資料!J325=""),"",IF(AND(原始資料!I325&lt;&gt;"",原始資料!J325=原始資料!I325),N(G325)+1,1))</f>
        <v/>
      </c>
      <c r="I325" s="6">
        <f>IF(OR(原始資料!$A325="",8&gt;設定!$B$3,原始資料!K325=""),"",IF(AND(原始資料!J325&lt;&gt;"",原始資料!K325=原始資料!J325),N(H325)+1,1))</f>
        <v/>
      </c>
      <c r="J325" s="6">
        <f>IF(OR(原始資料!$A325="",9&gt;設定!$B$3,原始資料!L325=""),"",IF(AND(原始資料!K325&lt;&gt;"",原始資料!L325=原始資料!K325),N(I325)+1,1))</f>
        <v/>
      </c>
      <c r="K325" s="6">
        <f>IF(OR(原始資料!$A325="",10&gt;設定!$B$3,原始資料!M325=""),"",IF(AND(原始資料!L325&lt;&gt;"",原始資料!M325=原始資料!L325),N(J325)+1,1))</f>
        <v/>
      </c>
      <c r="L325" s="6">
        <f>IF(OR(原始資料!$A325="",11&gt;設定!$B$3,原始資料!N325=""),"",IF(AND(原始資料!M325&lt;&gt;"",原始資料!N325=原始資料!M325),N(K325)+1,1))</f>
        <v/>
      </c>
      <c r="M325" s="6">
        <f>IF(OR(原始資料!$A325="",12&gt;設定!$B$3,原始資料!O325=""),"",IF(AND(原始資料!N325&lt;&gt;"",原始資料!O325=原始資料!N325),N(L325)+1,1))</f>
        <v/>
      </c>
      <c r="N325" s="6">
        <f>IF(OR(原始資料!$A325="",13&gt;設定!$B$3,原始資料!P325=""),"",IF(AND(原始資料!O325&lt;&gt;"",原始資料!P325=原始資料!O325),N(M325)+1,1))</f>
        <v/>
      </c>
      <c r="O325" s="6">
        <f>IF(OR(原始資料!$A325="",14&gt;設定!$B$3,原始資料!Q325=""),"",IF(AND(原始資料!P325&lt;&gt;"",原始資料!Q325=原始資料!P325),N(N325)+1,1))</f>
        <v/>
      </c>
      <c r="P325" s="6">
        <f>IF(OR(原始資料!$A325="",15&gt;設定!$B$3,原始資料!R325=""),"",IF(AND(原始資料!Q325&lt;&gt;"",原始資料!R325=原始資料!Q325),N(O325)+1,1))</f>
        <v/>
      </c>
      <c r="Q325" s="6">
        <f>IF(OR(原始資料!$A325="",16&gt;設定!$B$3,原始資料!S325=""),"",IF(AND(原始資料!R325&lt;&gt;"",原始資料!S325=原始資料!R325),N(P325)+1,1))</f>
        <v/>
      </c>
      <c r="R325" s="6">
        <f>IF(OR(原始資料!$A325="",17&gt;設定!$B$3,原始資料!T325=""),"",IF(AND(原始資料!S325&lt;&gt;"",原始資料!T325=原始資料!S325),N(Q325)+1,1))</f>
        <v/>
      </c>
      <c r="S325" s="6">
        <f>IF(OR(原始資料!$A325="",18&gt;設定!$B$3,原始資料!U325=""),"",IF(AND(原始資料!T325&lt;&gt;"",原始資料!U325=原始資料!T325),N(R325)+1,1))</f>
        <v/>
      </c>
      <c r="T325" s="6">
        <f>IF(OR(原始資料!$A325="",19&gt;設定!$B$3,原始資料!V325=""),"",IF(AND(原始資料!U325&lt;&gt;"",原始資料!V325=原始資料!U325),N(S325)+1,1))</f>
        <v/>
      </c>
      <c r="U325" s="6">
        <f>IF(OR(原始資料!$A325="",20&gt;設定!$B$3,原始資料!W325=""),"",IF(AND(原始資料!V325&lt;&gt;"",原始資料!W325=原始資料!V325),N(T325)+1,1))</f>
        <v/>
      </c>
      <c r="V325" s="6">
        <f>IF(OR(原始資料!$A325="",21&gt;設定!$B$3,原始資料!X325=""),"",IF(AND(原始資料!W325&lt;&gt;"",原始資料!X325=原始資料!W325),N(U325)+1,1))</f>
        <v/>
      </c>
      <c r="W325" s="6">
        <f>IF(OR(原始資料!$A325="",22&gt;設定!$B$3,原始資料!Y325=""),"",IF(AND(原始資料!X325&lt;&gt;"",原始資料!Y325=原始資料!X325),N(V325)+1,1))</f>
        <v/>
      </c>
      <c r="X325" s="6">
        <f>IF(OR(原始資料!$A325="",23&gt;設定!$B$3,原始資料!Z325=""),"",IF(AND(原始資料!Y325&lt;&gt;"",原始資料!Z325=原始資料!Y325),N(W325)+1,1))</f>
        <v/>
      </c>
      <c r="Y325" s="6">
        <f>IF(OR(原始資料!$A325="",24&gt;設定!$B$3,原始資料!AA325=""),"",IF(AND(原始資料!Z325&lt;&gt;"",原始資料!AA325=原始資料!Z325),N(X325)+1,1))</f>
        <v/>
      </c>
      <c r="Z325" s="6">
        <f>IF(OR(原始資料!$A325="",25&gt;設定!$B$3,原始資料!AB325=""),"",IF(AND(原始資料!AA325&lt;&gt;"",原始資料!AB325=原始資料!AA325),N(Y325)+1,1))</f>
        <v/>
      </c>
      <c r="AA325" s="6">
        <f>IF(OR(原始資料!$A325="",26&gt;設定!$B$3,原始資料!AC325=""),"",IF(AND(原始資料!AB325&lt;&gt;"",原始資料!AC325=原始資料!AB325),N(Z325)+1,1))</f>
        <v/>
      </c>
      <c r="AB325" s="6">
        <f>IF(OR(原始資料!$A325="",27&gt;設定!$B$3,原始資料!AD325=""),"",IF(AND(原始資料!AC325&lt;&gt;"",原始資料!AD325=原始資料!AC325),N(AA325)+1,1))</f>
        <v/>
      </c>
      <c r="AC325" s="6">
        <f>IF(OR(原始資料!$A325="",28&gt;設定!$B$3,原始資料!AE325=""),"",IF(AND(原始資料!AD325&lt;&gt;"",原始資料!AE325=原始資料!AD325),N(AB325)+1,1))</f>
        <v/>
      </c>
      <c r="AD325" s="6">
        <f>IF(OR(原始資料!$A325="",29&gt;設定!$B$3,原始資料!AF325=""),"",IF(AND(原始資料!AE325&lt;&gt;"",原始資料!AF325=原始資料!AE325),N(AC325)+1,1))</f>
        <v/>
      </c>
      <c r="AE325" s="6">
        <f>IF(OR(原始資料!$A325="",30&gt;設定!$B$3,原始資料!AG325=""),"",IF(AND(原始資料!AF325&lt;&gt;"",原始資料!AG325=原始資料!AF325),N(AD325)+1,1))</f>
        <v/>
      </c>
      <c r="AF325" s="6">
        <f>IF(OR(原始資料!$A325="",31&gt;設定!$B$3,原始資料!AH325=""),"",IF(AND(原始資料!AG325&lt;&gt;"",原始資料!AH325=原始資料!AG325),N(AE325)+1,1))</f>
        <v/>
      </c>
      <c r="AG325" s="6">
        <f>IF(OR(原始資料!$A325="",32&gt;設定!$B$3,原始資料!AI325=""),"",IF(AND(原始資料!AH325&lt;&gt;"",原始資料!AI325=原始資料!AH325),N(AF325)+1,1))</f>
        <v/>
      </c>
      <c r="AH325" s="6">
        <f>IF(OR(原始資料!$A325="",33&gt;設定!$B$3,原始資料!AJ325=""),"",IF(AND(原始資料!AI325&lt;&gt;"",原始資料!AJ325=原始資料!AI325),N(AG325)+1,1))</f>
        <v/>
      </c>
      <c r="AI325" s="6">
        <f>IF(OR(原始資料!$A325="",34&gt;設定!$B$3,原始資料!AK325=""),"",IF(AND(原始資料!AJ325&lt;&gt;"",原始資料!AK325=原始資料!AJ325),N(AH325)+1,1))</f>
        <v/>
      </c>
      <c r="AJ325" s="6">
        <f>IF(OR(原始資料!$A325="",35&gt;設定!$B$3,原始資料!AL325=""),"",IF(AND(原始資料!AK325&lt;&gt;"",原始資料!AL325=原始資料!AK325),N(AI325)+1,1))</f>
        <v/>
      </c>
      <c r="AK325" s="6">
        <f>IF(OR(原始資料!$A325="",36&gt;設定!$B$3,原始資料!AM325=""),"",IF(AND(原始資料!AL325&lt;&gt;"",原始資料!AM325=原始資料!AL325),N(AJ325)+1,1))</f>
        <v/>
      </c>
      <c r="AL325" s="6">
        <f>IF(OR(原始資料!$A325="",37&gt;設定!$B$3,原始資料!AN325=""),"",IF(AND(原始資料!AM325&lt;&gt;"",原始資料!AN325=原始資料!AM325),N(AK325)+1,1))</f>
        <v/>
      </c>
      <c r="AM325" s="6">
        <f>IF(OR(原始資料!$A325="",38&gt;設定!$B$3,原始資料!AO325=""),"",IF(AND(原始資料!AN325&lt;&gt;"",原始資料!AO325=原始資料!AN325),N(AL325)+1,1))</f>
        <v/>
      </c>
      <c r="AN325" s="6">
        <f>IF(OR(原始資料!$A325="",39&gt;設定!$B$3,原始資料!AP325=""),"",IF(AND(原始資料!AO325&lt;&gt;"",原始資料!AP325=原始資料!AO325),N(AM325)+1,1))</f>
        <v/>
      </c>
      <c r="AO325" s="6">
        <f>IF(OR(原始資料!$A325="",40&gt;設定!$B$3,原始資料!AQ325=""),"",IF(AND(原始資料!AP325&lt;&gt;"",原始資料!AQ325=原始資料!AP325),N(AN325)+1,1))</f>
        <v/>
      </c>
      <c r="AP325" s="6">
        <f>IF(OR(原始資料!$A325="",41&gt;設定!$B$3,原始資料!AR325=""),"",IF(AND(原始資料!AQ325&lt;&gt;"",原始資料!AR325=原始資料!AQ325),N(AO325)+1,1))</f>
        <v/>
      </c>
      <c r="AQ325" s="6">
        <f>IF(OR(原始資料!$A325="",42&gt;設定!$B$3,原始資料!AS325=""),"",IF(AND(原始資料!AR325&lt;&gt;"",原始資料!AS325=原始資料!AR325),N(AP325)+1,1))</f>
        <v/>
      </c>
      <c r="AR325" s="6">
        <f>IF(OR(原始資料!$A325="",43&gt;設定!$B$3,原始資料!AT325=""),"",IF(AND(原始資料!AS325&lt;&gt;"",原始資料!AT325=原始資料!AS325),N(AQ325)+1,1))</f>
        <v/>
      </c>
      <c r="AS325" s="6">
        <f>IF(OR(原始資料!$A325="",44&gt;設定!$B$3,原始資料!AU325=""),"",IF(AND(原始資料!AT325&lt;&gt;"",原始資料!AU325=原始資料!AT325),N(AR325)+1,1))</f>
        <v/>
      </c>
      <c r="AT325" s="6">
        <f>IF(OR(原始資料!$A325="",45&gt;設定!$B$3,原始資料!AV325=""),"",IF(AND(原始資料!AU325&lt;&gt;"",原始資料!AV325=原始資料!AU325),N(AS325)+1,1))</f>
        <v/>
      </c>
      <c r="AU325" s="6">
        <f>IF(OR(原始資料!$A325="",46&gt;設定!$B$3,原始資料!AW325=""),"",IF(AND(原始資料!AV325&lt;&gt;"",原始資料!AW325=原始資料!AV325),N(AT325)+1,1))</f>
        <v/>
      </c>
      <c r="AV325" s="6">
        <f>IF(OR(原始資料!$A325="",47&gt;設定!$B$3,原始資料!AX325=""),"",IF(AND(原始資料!AW325&lt;&gt;"",原始資料!AX325=原始資料!AW325),N(AU325)+1,1))</f>
        <v/>
      </c>
      <c r="AW325" s="6">
        <f>IF(OR(原始資料!$A325="",48&gt;設定!$B$3,原始資料!AY325=""),"",IF(AND(原始資料!AX325&lt;&gt;"",原始資料!AY325=原始資料!AX325),N(AV325)+1,1))</f>
        <v/>
      </c>
      <c r="AX325" s="6">
        <f>IF(OR(原始資料!$A325="",49&gt;設定!$B$3,原始資料!AZ325=""),"",IF(AND(原始資料!AY325&lt;&gt;"",原始資料!AZ325=原始資料!AY325),N(AW325)+1,1))</f>
        <v/>
      </c>
      <c r="AY325" s="6">
        <f>IF(OR(原始資料!$A325="",50&gt;設定!$B$3,原始資料!BA325=""),"",IF(AND(原始資料!AZ325&lt;&gt;"",原始資料!BA325=原始資料!AZ325),N(AX325)+1,1))</f>
        <v/>
      </c>
      <c r="AZ325" s="6">
        <f>IF(OR(原始資料!$A325="",51&gt;設定!$B$3,原始資料!BB325=""),"",IF(AND(原始資料!BA325&lt;&gt;"",原始資料!BB325=原始資料!BA325),N(AY325)+1,1))</f>
        <v/>
      </c>
      <c r="BA325" s="6">
        <f>IF(OR(原始資料!$A325="",52&gt;設定!$B$3,原始資料!BC325=""),"",IF(AND(原始資料!BB325&lt;&gt;"",原始資料!BC325=原始資料!BB325),N(AZ325)+1,1))</f>
        <v/>
      </c>
      <c r="BB325" s="6">
        <f>IF(OR(原始資料!$A325="",53&gt;設定!$B$3,原始資料!BD325=""),"",IF(AND(原始資料!BC325&lt;&gt;"",原始資料!BD325=原始資料!BC325),N(BA325)+1,1))</f>
        <v/>
      </c>
      <c r="BC325" s="6">
        <f>IF(OR(原始資料!$A325="",54&gt;設定!$B$3,原始資料!BE325=""),"",IF(AND(原始資料!BD325&lt;&gt;"",原始資料!BE325=原始資料!BD325),N(BB325)+1,1))</f>
        <v/>
      </c>
      <c r="BD325" s="6">
        <f>IF(OR(原始資料!$A325="",55&gt;設定!$B$3,原始資料!BF325=""),"",IF(AND(原始資料!BE325&lt;&gt;"",原始資料!BF325=原始資料!BE325),N(BC325)+1,1))</f>
        <v/>
      </c>
      <c r="BE325" s="6">
        <f>IF(OR(原始資料!$A325="",56&gt;設定!$B$3,原始資料!BG325=""),"",IF(AND(原始資料!BF325&lt;&gt;"",原始資料!BG325=原始資料!BF325),N(BD325)+1,1))</f>
        <v/>
      </c>
      <c r="BF325" s="6">
        <f>IF(OR(原始資料!$A325="",57&gt;設定!$B$3,原始資料!BH325=""),"",IF(AND(原始資料!BG325&lt;&gt;"",原始資料!BH325=原始資料!BG325),N(BE325)+1,1))</f>
        <v/>
      </c>
      <c r="BG325" s="6">
        <f>IF(OR(原始資料!$A325="",58&gt;設定!$B$3,原始資料!BI325=""),"",IF(AND(原始資料!BH325&lt;&gt;"",原始資料!BI325=原始資料!BH325),N(BF325)+1,1))</f>
        <v/>
      </c>
      <c r="BH325" s="6">
        <f>IF(OR(原始資料!$A325="",59&gt;設定!$B$3,原始資料!BJ325=""),"",IF(AND(原始資料!BI325&lt;&gt;"",原始資料!BJ325=原始資料!BI325),N(BG325)+1,1))</f>
        <v/>
      </c>
      <c r="BI325" s="6">
        <f>IF(OR(原始資料!$A325="",60&gt;設定!$B$3,原始資料!BK325=""),"",IF(AND(原始資料!BJ325&lt;&gt;"",原始資料!BK325=原始資料!BJ325),N(BH325)+1,1))</f>
        <v/>
      </c>
    </row>
    <row r="326">
      <c r="A326" s="6">
        <f>IF(原始資料!$A326="","",原始資料!$A326)</f>
        <v/>
      </c>
      <c r="B326" s="6">
        <f>IF(OR(原始資料!$A326="",1&gt;設定!$B$3,原始資料!D326=""),"",1)</f>
        <v/>
      </c>
      <c r="C326" s="6">
        <f>IF(OR(原始資料!$A326="",2&gt;設定!$B$3,原始資料!E326=""),"",IF(AND(原始資料!D326&lt;&gt;"",原始資料!E326=原始資料!D326),N(B326)+1,1))</f>
        <v/>
      </c>
      <c r="D326" s="6">
        <f>IF(OR(原始資料!$A326="",3&gt;設定!$B$3,原始資料!F326=""),"",IF(AND(原始資料!E326&lt;&gt;"",原始資料!F326=原始資料!E326),N(C326)+1,1))</f>
        <v/>
      </c>
      <c r="E326" s="6">
        <f>IF(OR(原始資料!$A326="",4&gt;設定!$B$3,原始資料!G326=""),"",IF(AND(原始資料!F326&lt;&gt;"",原始資料!G326=原始資料!F326),N(D326)+1,1))</f>
        <v/>
      </c>
      <c r="F326" s="6">
        <f>IF(OR(原始資料!$A326="",5&gt;設定!$B$3,原始資料!H326=""),"",IF(AND(原始資料!G326&lt;&gt;"",原始資料!H326=原始資料!G326),N(E326)+1,1))</f>
        <v/>
      </c>
      <c r="G326" s="6">
        <f>IF(OR(原始資料!$A326="",6&gt;設定!$B$3,原始資料!I326=""),"",IF(AND(原始資料!H326&lt;&gt;"",原始資料!I326=原始資料!H326),N(F326)+1,1))</f>
        <v/>
      </c>
      <c r="H326" s="6">
        <f>IF(OR(原始資料!$A326="",7&gt;設定!$B$3,原始資料!J326=""),"",IF(AND(原始資料!I326&lt;&gt;"",原始資料!J326=原始資料!I326),N(G326)+1,1))</f>
        <v/>
      </c>
      <c r="I326" s="6">
        <f>IF(OR(原始資料!$A326="",8&gt;設定!$B$3,原始資料!K326=""),"",IF(AND(原始資料!J326&lt;&gt;"",原始資料!K326=原始資料!J326),N(H326)+1,1))</f>
        <v/>
      </c>
      <c r="J326" s="6">
        <f>IF(OR(原始資料!$A326="",9&gt;設定!$B$3,原始資料!L326=""),"",IF(AND(原始資料!K326&lt;&gt;"",原始資料!L326=原始資料!K326),N(I326)+1,1))</f>
        <v/>
      </c>
      <c r="K326" s="6">
        <f>IF(OR(原始資料!$A326="",10&gt;設定!$B$3,原始資料!M326=""),"",IF(AND(原始資料!L326&lt;&gt;"",原始資料!M326=原始資料!L326),N(J326)+1,1))</f>
        <v/>
      </c>
      <c r="L326" s="6">
        <f>IF(OR(原始資料!$A326="",11&gt;設定!$B$3,原始資料!N326=""),"",IF(AND(原始資料!M326&lt;&gt;"",原始資料!N326=原始資料!M326),N(K326)+1,1))</f>
        <v/>
      </c>
      <c r="M326" s="6">
        <f>IF(OR(原始資料!$A326="",12&gt;設定!$B$3,原始資料!O326=""),"",IF(AND(原始資料!N326&lt;&gt;"",原始資料!O326=原始資料!N326),N(L326)+1,1))</f>
        <v/>
      </c>
      <c r="N326" s="6">
        <f>IF(OR(原始資料!$A326="",13&gt;設定!$B$3,原始資料!P326=""),"",IF(AND(原始資料!O326&lt;&gt;"",原始資料!P326=原始資料!O326),N(M326)+1,1))</f>
        <v/>
      </c>
      <c r="O326" s="6">
        <f>IF(OR(原始資料!$A326="",14&gt;設定!$B$3,原始資料!Q326=""),"",IF(AND(原始資料!P326&lt;&gt;"",原始資料!Q326=原始資料!P326),N(N326)+1,1))</f>
        <v/>
      </c>
      <c r="P326" s="6">
        <f>IF(OR(原始資料!$A326="",15&gt;設定!$B$3,原始資料!R326=""),"",IF(AND(原始資料!Q326&lt;&gt;"",原始資料!R326=原始資料!Q326),N(O326)+1,1))</f>
        <v/>
      </c>
      <c r="Q326" s="6">
        <f>IF(OR(原始資料!$A326="",16&gt;設定!$B$3,原始資料!S326=""),"",IF(AND(原始資料!R326&lt;&gt;"",原始資料!S326=原始資料!R326),N(P326)+1,1))</f>
        <v/>
      </c>
      <c r="R326" s="6">
        <f>IF(OR(原始資料!$A326="",17&gt;設定!$B$3,原始資料!T326=""),"",IF(AND(原始資料!S326&lt;&gt;"",原始資料!T326=原始資料!S326),N(Q326)+1,1))</f>
        <v/>
      </c>
      <c r="S326" s="6">
        <f>IF(OR(原始資料!$A326="",18&gt;設定!$B$3,原始資料!U326=""),"",IF(AND(原始資料!T326&lt;&gt;"",原始資料!U326=原始資料!T326),N(R326)+1,1))</f>
        <v/>
      </c>
      <c r="T326" s="6">
        <f>IF(OR(原始資料!$A326="",19&gt;設定!$B$3,原始資料!V326=""),"",IF(AND(原始資料!U326&lt;&gt;"",原始資料!V326=原始資料!U326),N(S326)+1,1))</f>
        <v/>
      </c>
      <c r="U326" s="6">
        <f>IF(OR(原始資料!$A326="",20&gt;設定!$B$3,原始資料!W326=""),"",IF(AND(原始資料!V326&lt;&gt;"",原始資料!W326=原始資料!V326),N(T326)+1,1))</f>
        <v/>
      </c>
      <c r="V326" s="6">
        <f>IF(OR(原始資料!$A326="",21&gt;設定!$B$3,原始資料!X326=""),"",IF(AND(原始資料!W326&lt;&gt;"",原始資料!X326=原始資料!W326),N(U326)+1,1))</f>
        <v/>
      </c>
      <c r="W326" s="6">
        <f>IF(OR(原始資料!$A326="",22&gt;設定!$B$3,原始資料!Y326=""),"",IF(AND(原始資料!X326&lt;&gt;"",原始資料!Y326=原始資料!X326),N(V326)+1,1))</f>
        <v/>
      </c>
      <c r="X326" s="6">
        <f>IF(OR(原始資料!$A326="",23&gt;設定!$B$3,原始資料!Z326=""),"",IF(AND(原始資料!Y326&lt;&gt;"",原始資料!Z326=原始資料!Y326),N(W326)+1,1))</f>
        <v/>
      </c>
      <c r="Y326" s="6">
        <f>IF(OR(原始資料!$A326="",24&gt;設定!$B$3,原始資料!AA326=""),"",IF(AND(原始資料!Z326&lt;&gt;"",原始資料!AA326=原始資料!Z326),N(X326)+1,1))</f>
        <v/>
      </c>
      <c r="Z326" s="6">
        <f>IF(OR(原始資料!$A326="",25&gt;設定!$B$3,原始資料!AB326=""),"",IF(AND(原始資料!AA326&lt;&gt;"",原始資料!AB326=原始資料!AA326),N(Y326)+1,1))</f>
        <v/>
      </c>
      <c r="AA326" s="6">
        <f>IF(OR(原始資料!$A326="",26&gt;設定!$B$3,原始資料!AC326=""),"",IF(AND(原始資料!AB326&lt;&gt;"",原始資料!AC326=原始資料!AB326),N(Z326)+1,1))</f>
        <v/>
      </c>
      <c r="AB326" s="6">
        <f>IF(OR(原始資料!$A326="",27&gt;設定!$B$3,原始資料!AD326=""),"",IF(AND(原始資料!AC326&lt;&gt;"",原始資料!AD326=原始資料!AC326),N(AA326)+1,1))</f>
        <v/>
      </c>
      <c r="AC326" s="6">
        <f>IF(OR(原始資料!$A326="",28&gt;設定!$B$3,原始資料!AE326=""),"",IF(AND(原始資料!AD326&lt;&gt;"",原始資料!AE326=原始資料!AD326),N(AB326)+1,1))</f>
        <v/>
      </c>
      <c r="AD326" s="6">
        <f>IF(OR(原始資料!$A326="",29&gt;設定!$B$3,原始資料!AF326=""),"",IF(AND(原始資料!AE326&lt;&gt;"",原始資料!AF326=原始資料!AE326),N(AC326)+1,1))</f>
        <v/>
      </c>
      <c r="AE326" s="6">
        <f>IF(OR(原始資料!$A326="",30&gt;設定!$B$3,原始資料!AG326=""),"",IF(AND(原始資料!AF326&lt;&gt;"",原始資料!AG326=原始資料!AF326),N(AD326)+1,1))</f>
        <v/>
      </c>
      <c r="AF326" s="6">
        <f>IF(OR(原始資料!$A326="",31&gt;設定!$B$3,原始資料!AH326=""),"",IF(AND(原始資料!AG326&lt;&gt;"",原始資料!AH326=原始資料!AG326),N(AE326)+1,1))</f>
        <v/>
      </c>
      <c r="AG326" s="6">
        <f>IF(OR(原始資料!$A326="",32&gt;設定!$B$3,原始資料!AI326=""),"",IF(AND(原始資料!AH326&lt;&gt;"",原始資料!AI326=原始資料!AH326),N(AF326)+1,1))</f>
        <v/>
      </c>
      <c r="AH326" s="6">
        <f>IF(OR(原始資料!$A326="",33&gt;設定!$B$3,原始資料!AJ326=""),"",IF(AND(原始資料!AI326&lt;&gt;"",原始資料!AJ326=原始資料!AI326),N(AG326)+1,1))</f>
        <v/>
      </c>
      <c r="AI326" s="6">
        <f>IF(OR(原始資料!$A326="",34&gt;設定!$B$3,原始資料!AK326=""),"",IF(AND(原始資料!AJ326&lt;&gt;"",原始資料!AK326=原始資料!AJ326),N(AH326)+1,1))</f>
        <v/>
      </c>
      <c r="AJ326" s="6">
        <f>IF(OR(原始資料!$A326="",35&gt;設定!$B$3,原始資料!AL326=""),"",IF(AND(原始資料!AK326&lt;&gt;"",原始資料!AL326=原始資料!AK326),N(AI326)+1,1))</f>
        <v/>
      </c>
      <c r="AK326" s="6">
        <f>IF(OR(原始資料!$A326="",36&gt;設定!$B$3,原始資料!AM326=""),"",IF(AND(原始資料!AL326&lt;&gt;"",原始資料!AM326=原始資料!AL326),N(AJ326)+1,1))</f>
        <v/>
      </c>
      <c r="AL326" s="6">
        <f>IF(OR(原始資料!$A326="",37&gt;設定!$B$3,原始資料!AN326=""),"",IF(AND(原始資料!AM326&lt;&gt;"",原始資料!AN326=原始資料!AM326),N(AK326)+1,1))</f>
        <v/>
      </c>
      <c r="AM326" s="6">
        <f>IF(OR(原始資料!$A326="",38&gt;設定!$B$3,原始資料!AO326=""),"",IF(AND(原始資料!AN326&lt;&gt;"",原始資料!AO326=原始資料!AN326),N(AL326)+1,1))</f>
        <v/>
      </c>
      <c r="AN326" s="6">
        <f>IF(OR(原始資料!$A326="",39&gt;設定!$B$3,原始資料!AP326=""),"",IF(AND(原始資料!AO326&lt;&gt;"",原始資料!AP326=原始資料!AO326),N(AM326)+1,1))</f>
        <v/>
      </c>
      <c r="AO326" s="6">
        <f>IF(OR(原始資料!$A326="",40&gt;設定!$B$3,原始資料!AQ326=""),"",IF(AND(原始資料!AP326&lt;&gt;"",原始資料!AQ326=原始資料!AP326),N(AN326)+1,1))</f>
        <v/>
      </c>
      <c r="AP326" s="6">
        <f>IF(OR(原始資料!$A326="",41&gt;設定!$B$3,原始資料!AR326=""),"",IF(AND(原始資料!AQ326&lt;&gt;"",原始資料!AR326=原始資料!AQ326),N(AO326)+1,1))</f>
        <v/>
      </c>
      <c r="AQ326" s="6">
        <f>IF(OR(原始資料!$A326="",42&gt;設定!$B$3,原始資料!AS326=""),"",IF(AND(原始資料!AR326&lt;&gt;"",原始資料!AS326=原始資料!AR326),N(AP326)+1,1))</f>
        <v/>
      </c>
      <c r="AR326" s="6">
        <f>IF(OR(原始資料!$A326="",43&gt;設定!$B$3,原始資料!AT326=""),"",IF(AND(原始資料!AS326&lt;&gt;"",原始資料!AT326=原始資料!AS326),N(AQ326)+1,1))</f>
        <v/>
      </c>
      <c r="AS326" s="6">
        <f>IF(OR(原始資料!$A326="",44&gt;設定!$B$3,原始資料!AU326=""),"",IF(AND(原始資料!AT326&lt;&gt;"",原始資料!AU326=原始資料!AT326),N(AR326)+1,1))</f>
        <v/>
      </c>
      <c r="AT326" s="6">
        <f>IF(OR(原始資料!$A326="",45&gt;設定!$B$3,原始資料!AV326=""),"",IF(AND(原始資料!AU326&lt;&gt;"",原始資料!AV326=原始資料!AU326),N(AS326)+1,1))</f>
        <v/>
      </c>
      <c r="AU326" s="6">
        <f>IF(OR(原始資料!$A326="",46&gt;設定!$B$3,原始資料!AW326=""),"",IF(AND(原始資料!AV326&lt;&gt;"",原始資料!AW326=原始資料!AV326),N(AT326)+1,1))</f>
        <v/>
      </c>
      <c r="AV326" s="6">
        <f>IF(OR(原始資料!$A326="",47&gt;設定!$B$3,原始資料!AX326=""),"",IF(AND(原始資料!AW326&lt;&gt;"",原始資料!AX326=原始資料!AW326),N(AU326)+1,1))</f>
        <v/>
      </c>
      <c r="AW326" s="6">
        <f>IF(OR(原始資料!$A326="",48&gt;設定!$B$3,原始資料!AY326=""),"",IF(AND(原始資料!AX326&lt;&gt;"",原始資料!AY326=原始資料!AX326),N(AV326)+1,1))</f>
        <v/>
      </c>
      <c r="AX326" s="6">
        <f>IF(OR(原始資料!$A326="",49&gt;設定!$B$3,原始資料!AZ326=""),"",IF(AND(原始資料!AY326&lt;&gt;"",原始資料!AZ326=原始資料!AY326),N(AW326)+1,1))</f>
        <v/>
      </c>
      <c r="AY326" s="6">
        <f>IF(OR(原始資料!$A326="",50&gt;設定!$B$3,原始資料!BA326=""),"",IF(AND(原始資料!AZ326&lt;&gt;"",原始資料!BA326=原始資料!AZ326),N(AX326)+1,1))</f>
        <v/>
      </c>
      <c r="AZ326" s="6">
        <f>IF(OR(原始資料!$A326="",51&gt;設定!$B$3,原始資料!BB326=""),"",IF(AND(原始資料!BA326&lt;&gt;"",原始資料!BB326=原始資料!BA326),N(AY326)+1,1))</f>
        <v/>
      </c>
      <c r="BA326" s="6">
        <f>IF(OR(原始資料!$A326="",52&gt;設定!$B$3,原始資料!BC326=""),"",IF(AND(原始資料!BB326&lt;&gt;"",原始資料!BC326=原始資料!BB326),N(AZ326)+1,1))</f>
        <v/>
      </c>
      <c r="BB326" s="6">
        <f>IF(OR(原始資料!$A326="",53&gt;設定!$B$3,原始資料!BD326=""),"",IF(AND(原始資料!BC326&lt;&gt;"",原始資料!BD326=原始資料!BC326),N(BA326)+1,1))</f>
        <v/>
      </c>
      <c r="BC326" s="6">
        <f>IF(OR(原始資料!$A326="",54&gt;設定!$B$3,原始資料!BE326=""),"",IF(AND(原始資料!BD326&lt;&gt;"",原始資料!BE326=原始資料!BD326),N(BB326)+1,1))</f>
        <v/>
      </c>
      <c r="BD326" s="6">
        <f>IF(OR(原始資料!$A326="",55&gt;設定!$B$3,原始資料!BF326=""),"",IF(AND(原始資料!BE326&lt;&gt;"",原始資料!BF326=原始資料!BE326),N(BC326)+1,1))</f>
        <v/>
      </c>
      <c r="BE326" s="6">
        <f>IF(OR(原始資料!$A326="",56&gt;設定!$B$3,原始資料!BG326=""),"",IF(AND(原始資料!BF326&lt;&gt;"",原始資料!BG326=原始資料!BF326),N(BD326)+1,1))</f>
        <v/>
      </c>
      <c r="BF326" s="6">
        <f>IF(OR(原始資料!$A326="",57&gt;設定!$B$3,原始資料!BH326=""),"",IF(AND(原始資料!BG326&lt;&gt;"",原始資料!BH326=原始資料!BG326),N(BE326)+1,1))</f>
        <v/>
      </c>
      <c r="BG326" s="6">
        <f>IF(OR(原始資料!$A326="",58&gt;設定!$B$3,原始資料!BI326=""),"",IF(AND(原始資料!BH326&lt;&gt;"",原始資料!BI326=原始資料!BH326),N(BF326)+1,1))</f>
        <v/>
      </c>
      <c r="BH326" s="6">
        <f>IF(OR(原始資料!$A326="",59&gt;設定!$B$3,原始資料!BJ326=""),"",IF(AND(原始資料!BI326&lt;&gt;"",原始資料!BJ326=原始資料!BI326),N(BG326)+1,1))</f>
        <v/>
      </c>
      <c r="BI326" s="6">
        <f>IF(OR(原始資料!$A326="",60&gt;設定!$B$3,原始資料!BK326=""),"",IF(AND(原始資料!BJ326&lt;&gt;"",原始資料!BK326=原始資料!BJ326),N(BH326)+1,1))</f>
        <v/>
      </c>
    </row>
    <row r="327">
      <c r="A327" s="6">
        <f>IF(原始資料!$A327="","",原始資料!$A327)</f>
        <v/>
      </c>
      <c r="B327" s="6">
        <f>IF(OR(原始資料!$A327="",1&gt;設定!$B$3,原始資料!D327=""),"",1)</f>
        <v/>
      </c>
      <c r="C327" s="6">
        <f>IF(OR(原始資料!$A327="",2&gt;設定!$B$3,原始資料!E327=""),"",IF(AND(原始資料!D327&lt;&gt;"",原始資料!E327=原始資料!D327),N(B327)+1,1))</f>
        <v/>
      </c>
      <c r="D327" s="6">
        <f>IF(OR(原始資料!$A327="",3&gt;設定!$B$3,原始資料!F327=""),"",IF(AND(原始資料!E327&lt;&gt;"",原始資料!F327=原始資料!E327),N(C327)+1,1))</f>
        <v/>
      </c>
      <c r="E327" s="6">
        <f>IF(OR(原始資料!$A327="",4&gt;設定!$B$3,原始資料!G327=""),"",IF(AND(原始資料!F327&lt;&gt;"",原始資料!G327=原始資料!F327),N(D327)+1,1))</f>
        <v/>
      </c>
      <c r="F327" s="6">
        <f>IF(OR(原始資料!$A327="",5&gt;設定!$B$3,原始資料!H327=""),"",IF(AND(原始資料!G327&lt;&gt;"",原始資料!H327=原始資料!G327),N(E327)+1,1))</f>
        <v/>
      </c>
      <c r="G327" s="6">
        <f>IF(OR(原始資料!$A327="",6&gt;設定!$B$3,原始資料!I327=""),"",IF(AND(原始資料!H327&lt;&gt;"",原始資料!I327=原始資料!H327),N(F327)+1,1))</f>
        <v/>
      </c>
      <c r="H327" s="6">
        <f>IF(OR(原始資料!$A327="",7&gt;設定!$B$3,原始資料!J327=""),"",IF(AND(原始資料!I327&lt;&gt;"",原始資料!J327=原始資料!I327),N(G327)+1,1))</f>
        <v/>
      </c>
      <c r="I327" s="6">
        <f>IF(OR(原始資料!$A327="",8&gt;設定!$B$3,原始資料!K327=""),"",IF(AND(原始資料!J327&lt;&gt;"",原始資料!K327=原始資料!J327),N(H327)+1,1))</f>
        <v/>
      </c>
      <c r="J327" s="6">
        <f>IF(OR(原始資料!$A327="",9&gt;設定!$B$3,原始資料!L327=""),"",IF(AND(原始資料!K327&lt;&gt;"",原始資料!L327=原始資料!K327),N(I327)+1,1))</f>
        <v/>
      </c>
      <c r="K327" s="6">
        <f>IF(OR(原始資料!$A327="",10&gt;設定!$B$3,原始資料!M327=""),"",IF(AND(原始資料!L327&lt;&gt;"",原始資料!M327=原始資料!L327),N(J327)+1,1))</f>
        <v/>
      </c>
      <c r="L327" s="6">
        <f>IF(OR(原始資料!$A327="",11&gt;設定!$B$3,原始資料!N327=""),"",IF(AND(原始資料!M327&lt;&gt;"",原始資料!N327=原始資料!M327),N(K327)+1,1))</f>
        <v/>
      </c>
      <c r="M327" s="6">
        <f>IF(OR(原始資料!$A327="",12&gt;設定!$B$3,原始資料!O327=""),"",IF(AND(原始資料!N327&lt;&gt;"",原始資料!O327=原始資料!N327),N(L327)+1,1))</f>
        <v/>
      </c>
      <c r="N327" s="6">
        <f>IF(OR(原始資料!$A327="",13&gt;設定!$B$3,原始資料!P327=""),"",IF(AND(原始資料!O327&lt;&gt;"",原始資料!P327=原始資料!O327),N(M327)+1,1))</f>
        <v/>
      </c>
      <c r="O327" s="6">
        <f>IF(OR(原始資料!$A327="",14&gt;設定!$B$3,原始資料!Q327=""),"",IF(AND(原始資料!P327&lt;&gt;"",原始資料!Q327=原始資料!P327),N(N327)+1,1))</f>
        <v/>
      </c>
      <c r="P327" s="6">
        <f>IF(OR(原始資料!$A327="",15&gt;設定!$B$3,原始資料!R327=""),"",IF(AND(原始資料!Q327&lt;&gt;"",原始資料!R327=原始資料!Q327),N(O327)+1,1))</f>
        <v/>
      </c>
      <c r="Q327" s="6">
        <f>IF(OR(原始資料!$A327="",16&gt;設定!$B$3,原始資料!S327=""),"",IF(AND(原始資料!R327&lt;&gt;"",原始資料!S327=原始資料!R327),N(P327)+1,1))</f>
        <v/>
      </c>
      <c r="R327" s="6">
        <f>IF(OR(原始資料!$A327="",17&gt;設定!$B$3,原始資料!T327=""),"",IF(AND(原始資料!S327&lt;&gt;"",原始資料!T327=原始資料!S327),N(Q327)+1,1))</f>
        <v/>
      </c>
      <c r="S327" s="6">
        <f>IF(OR(原始資料!$A327="",18&gt;設定!$B$3,原始資料!U327=""),"",IF(AND(原始資料!T327&lt;&gt;"",原始資料!U327=原始資料!T327),N(R327)+1,1))</f>
        <v/>
      </c>
      <c r="T327" s="6">
        <f>IF(OR(原始資料!$A327="",19&gt;設定!$B$3,原始資料!V327=""),"",IF(AND(原始資料!U327&lt;&gt;"",原始資料!V327=原始資料!U327),N(S327)+1,1))</f>
        <v/>
      </c>
      <c r="U327" s="6">
        <f>IF(OR(原始資料!$A327="",20&gt;設定!$B$3,原始資料!W327=""),"",IF(AND(原始資料!V327&lt;&gt;"",原始資料!W327=原始資料!V327),N(T327)+1,1))</f>
        <v/>
      </c>
      <c r="V327" s="6">
        <f>IF(OR(原始資料!$A327="",21&gt;設定!$B$3,原始資料!X327=""),"",IF(AND(原始資料!W327&lt;&gt;"",原始資料!X327=原始資料!W327),N(U327)+1,1))</f>
        <v/>
      </c>
      <c r="W327" s="6">
        <f>IF(OR(原始資料!$A327="",22&gt;設定!$B$3,原始資料!Y327=""),"",IF(AND(原始資料!X327&lt;&gt;"",原始資料!Y327=原始資料!X327),N(V327)+1,1))</f>
        <v/>
      </c>
      <c r="X327" s="6">
        <f>IF(OR(原始資料!$A327="",23&gt;設定!$B$3,原始資料!Z327=""),"",IF(AND(原始資料!Y327&lt;&gt;"",原始資料!Z327=原始資料!Y327),N(W327)+1,1))</f>
        <v/>
      </c>
      <c r="Y327" s="6">
        <f>IF(OR(原始資料!$A327="",24&gt;設定!$B$3,原始資料!AA327=""),"",IF(AND(原始資料!Z327&lt;&gt;"",原始資料!AA327=原始資料!Z327),N(X327)+1,1))</f>
        <v/>
      </c>
      <c r="Z327" s="6">
        <f>IF(OR(原始資料!$A327="",25&gt;設定!$B$3,原始資料!AB327=""),"",IF(AND(原始資料!AA327&lt;&gt;"",原始資料!AB327=原始資料!AA327),N(Y327)+1,1))</f>
        <v/>
      </c>
      <c r="AA327" s="6">
        <f>IF(OR(原始資料!$A327="",26&gt;設定!$B$3,原始資料!AC327=""),"",IF(AND(原始資料!AB327&lt;&gt;"",原始資料!AC327=原始資料!AB327),N(Z327)+1,1))</f>
        <v/>
      </c>
      <c r="AB327" s="6">
        <f>IF(OR(原始資料!$A327="",27&gt;設定!$B$3,原始資料!AD327=""),"",IF(AND(原始資料!AC327&lt;&gt;"",原始資料!AD327=原始資料!AC327),N(AA327)+1,1))</f>
        <v/>
      </c>
      <c r="AC327" s="6">
        <f>IF(OR(原始資料!$A327="",28&gt;設定!$B$3,原始資料!AE327=""),"",IF(AND(原始資料!AD327&lt;&gt;"",原始資料!AE327=原始資料!AD327),N(AB327)+1,1))</f>
        <v/>
      </c>
      <c r="AD327" s="6">
        <f>IF(OR(原始資料!$A327="",29&gt;設定!$B$3,原始資料!AF327=""),"",IF(AND(原始資料!AE327&lt;&gt;"",原始資料!AF327=原始資料!AE327),N(AC327)+1,1))</f>
        <v/>
      </c>
      <c r="AE327" s="6">
        <f>IF(OR(原始資料!$A327="",30&gt;設定!$B$3,原始資料!AG327=""),"",IF(AND(原始資料!AF327&lt;&gt;"",原始資料!AG327=原始資料!AF327),N(AD327)+1,1))</f>
        <v/>
      </c>
      <c r="AF327" s="6">
        <f>IF(OR(原始資料!$A327="",31&gt;設定!$B$3,原始資料!AH327=""),"",IF(AND(原始資料!AG327&lt;&gt;"",原始資料!AH327=原始資料!AG327),N(AE327)+1,1))</f>
        <v/>
      </c>
      <c r="AG327" s="6">
        <f>IF(OR(原始資料!$A327="",32&gt;設定!$B$3,原始資料!AI327=""),"",IF(AND(原始資料!AH327&lt;&gt;"",原始資料!AI327=原始資料!AH327),N(AF327)+1,1))</f>
        <v/>
      </c>
      <c r="AH327" s="6">
        <f>IF(OR(原始資料!$A327="",33&gt;設定!$B$3,原始資料!AJ327=""),"",IF(AND(原始資料!AI327&lt;&gt;"",原始資料!AJ327=原始資料!AI327),N(AG327)+1,1))</f>
        <v/>
      </c>
      <c r="AI327" s="6">
        <f>IF(OR(原始資料!$A327="",34&gt;設定!$B$3,原始資料!AK327=""),"",IF(AND(原始資料!AJ327&lt;&gt;"",原始資料!AK327=原始資料!AJ327),N(AH327)+1,1))</f>
        <v/>
      </c>
      <c r="AJ327" s="6">
        <f>IF(OR(原始資料!$A327="",35&gt;設定!$B$3,原始資料!AL327=""),"",IF(AND(原始資料!AK327&lt;&gt;"",原始資料!AL327=原始資料!AK327),N(AI327)+1,1))</f>
        <v/>
      </c>
      <c r="AK327" s="6">
        <f>IF(OR(原始資料!$A327="",36&gt;設定!$B$3,原始資料!AM327=""),"",IF(AND(原始資料!AL327&lt;&gt;"",原始資料!AM327=原始資料!AL327),N(AJ327)+1,1))</f>
        <v/>
      </c>
      <c r="AL327" s="6">
        <f>IF(OR(原始資料!$A327="",37&gt;設定!$B$3,原始資料!AN327=""),"",IF(AND(原始資料!AM327&lt;&gt;"",原始資料!AN327=原始資料!AM327),N(AK327)+1,1))</f>
        <v/>
      </c>
      <c r="AM327" s="6">
        <f>IF(OR(原始資料!$A327="",38&gt;設定!$B$3,原始資料!AO327=""),"",IF(AND(原始資料!AN327&lt;&gt;"",原始資料!AO327=原始資料!AN327),N(AL327)+1,1))</f>
        <v/>
      </c>
      <c r="AN327" s="6">
        <f>IF(OR(原始資料!$A327="",39&gt;設定!$B$3,原始資料!AP327=""),"",IF(AND(原始資料!AO327&lt;&gt;"",原始資料!AP327=原始資料!AO327),N(AM327)+1,1))</f>
        <v/>
      </c>
      <c r="AO327" s="6">
        <f>IF(OR(原始資料!$A327="",40&gt;設定!$B$3,原始資料!AQ327=""),"",IF(AND(原始資料!AP327&lt;&gt;"",原始資料!AQ327=原始資料!AP327),N(AN327)+1,1))</f>
        <v/>
      </c>
      <c r="AP327" s="6">
        <f>IF(OR(原始資料!$A327="",41&gt;設定!$B$3,原始資料!AR327=""),"",IF(AND(原始資料!AQ327&lt;&gt;"",原始資料!AR327=原始資料!AQ327),N(AO327)+1,1))</f>
        <v/>
      </c>
      <c r="AQ327" s="6">
        <f>IF(OR(原始資料!$A327="",42&gt;設定!$B$3,原始資料!AS327=""),"",IF(AND(原始資料!AR327&lt;&gt;"",原始資料!AS327=原始資料!AR327),N(AP327)+1,1))</f>
        <v/>
      </c>
      <c r="AR327" s="6">
        <f>IF(OR(原始資料!$A327="",43&gt;設定!$B$3,原始資料!AT327=""),"",IF(AND(原始資料!AS327&lt;&gt;"",原始資料!AT327=原始資料!AS327),N(AQ327)+1,1))</f>
        <v/>
      </c>
      <c r="AS327" s="6">
        <f>IF(OR(原始資料!$A327="",44&gt;設定!$B$3,原始資料!AU327=""),"",IF(AND(原始資料!AT327&lt;&gt;"",原始資料!AU327=原始資料!AT327),N(AR327)+1,1))</f>
        <v/>
      </c>
      <c r="AT327" s="6">
        <f>IF(OR(原始資料!$A327="",45&gt;設定!$B$3,原始資料!AV327=""),"",IF(AND(原始資料!AU327&lt;&gt;"",原始資料!AV327=原始資料!AU327),N(AS327)+1,1))</f>
        <v/>
      </c>
      <c r="AU327" s="6">
        <f>IF(OR(原始資料!$A327="",46&gt;設定!$B$3,原始資料!AW327=""),"",IF(AND(原始資料!AV327&lt;&gt;"",原始資料!AW327=原始資料!AV327),N(AT327)+1,1))</f>
        <v/>
      </c>
      <c r="AV327" s="6">
        <f>IF(OR(原始資料!$A327="",47&gt;設定!$B$3,原始資料!AX327=""),"",IF(AND(原始資料!AW327&lt;&gt;"",原始資料!AX327=原始資料!AW327),N(AU327)+1,1))</f>
        <v/>
      </c>
      <c r="AW327" s="6">
        <f>IF(OR(原始資料!$A327="",48&gt;設定!$B$3,原始資料!AY327=""),"",IF(AND(原始資料!AX327&lt;&gt;"",原始資料!AY327=原始資料!AX327),N(AV327)+1,1))</f>
        <v/>
      </c>
      <c r="AX327" s="6">
        <f>IF(OR(原始資料!$A327="",49&gt;設定!$B$3,原始資料!AZ327=""),"",IF(AND(原始資料!AY327&lt;&gt;"",原始資料!AZ327=原始資料!AY327),N(AW327)+1,1))</f>
        <v/>
      </c>
      <c r="AY327" s="6">
        <f>IF(OR(原始資料!$A327="",50&gt;設定!$B$3,原始資料!BA327=""),"",IF(AND(原始資料!AZ327&lt;&gt;"",原始資料!BA327=原始資料!AZ327),N(AX327)+1,1))</f>
        <v/>
      </c>
      <c r="AZ327" s="6">
        <f>IF(OR(原始資料!$A327="",51&gt;設定!$B$3,原始資料!BB327=""),"",IF(AND(原始資料!BA327&lt;&gt;"",原始資料!BB327=原始資料!BA327),N(AY327)+1,1))</f>
        <v/>
      </c>
      <c r="BA327" s="6">
        <f>IF(OR(原始資料!$A327="",52&gt;設定!$B$3,原始資料!BC327=""),"",IF(AND(原始資料!BB327&lt;&gt;"",原始資料!BC327=原始資料!BB327),N(AZ327)+1,1))</f>
        <v/>
      </c>
      <c r="BB327" s="6">
        <f>IF(OR(原始資料!$A327="",53&gt;設定!$B$3,原始資料!BD327=""),"",IF(AND(原始資料!BC327&lt;&gt;"",原始資料!BD327=原始資料!BC327),N(BA327)+1,1))</f>
        <v/>
      </c>
      <c r="BC327" s="6">
        <f>IF(OR(原始資料!$A327="",54&gt;設定!$B$3,原始資料!BE327=""),"",IF(AND(原始資料!BD327&lt;&gt;"",原始資料!BE327=原始資料!BD327),N(BB327)+1,1))</f>
        <v/>
      </c>
      <c r="BD327" s="6">
        <f>IF(OR(原始資料!$A327="",55&gt;設定!$B$3,原始資料!BF327=""),"",IF(AND(原始資料!BE327&lt;&gt;"",原始資料!BF327=原始資料!BE327),N(BC327)+1,1))</f>
        <v/>
      </c>
      <c r="BE327" s="6">
        <f>IF(OR(原始資料!$A327="",56&gt;設定!$B$3,原始資料!BG327=""),"",IF(AND(原始資料!BF327&lt;&gt;"",原始資料!BG327=原始資料!BF327),N(BD327)+1,1))</f>
        <v/>
      </c>
      <c r="BF327" s="6">
        <f>IF(OR(原始資料!$A327="",57&gt;設定!$B$3,原始資料!BH327=""),"",IF(AND(原始資料!BG327&lt;&gt;"",原始資料!BH327=原始資料!BG327),N(BE327)+1,1))</f>
        <v/>
      </c>
      <c r="BG327" s="6">
        <f>IF(OR(原始資料!$A327="",58&gt;設定!$B$3,原始資料!BI327=""),"",IF(AND(原始資料!BH327&lt;&gt;"",原始資料!BI327=原始資料!BH327),N(BF327)+1,1))</f>
        <v/>
      </c>
      <c r="BH327" s="6">
        <f>IF(OR(原始資料!$A327="",59&gt;設定!$B$3,原始資料!BJ327=""),"",IF(AND(原始資料!BI327&lt;&gt;"",原始資料!BJ327=原始資料!BI327),N(BG327)+1,1))</f>
        <v/>
      </c>
      <c r="BI327" s="6">
        <f>IF(OR(原始資料!$A327="",60&gt;設定!$B$3,原始資料!BK327=""),"",IF(AND(原始資料!BJ327&lt;&gt;"",原始資料!BK327=原始資料!BJ327),N(BH327)+1,1))</f>
        <v/>
      </c>
    </row>
    <row r="328">
      <c r="A328" s="6">
        <f>IF(原始資料!$A328="","",原始資料!$A328)</f>
        <v/>
      </c>
      <c r="B328" s="6">
        <f>IF(OR(原始資料!$A328="",1&gt;設定!$B$3,原始資料!D328=""),"",1)</f>
        <v/>
      </c>
      <c r="C328" s="6">
        <f>IF(OR(原始資料!$A328="",2&gt;設定!$B$3,原始資料!E328=""),"",IF(AND(原始資料!D328&lt;&gt;"",原始資料!E328=原始資料!D328),N(B328)+1,1))</f>
        <v/>
      </c>
      <c r="D328" s="6">
        <f>IF(OR(原始資料!$A328="",3&gt;設定!$B$3,原始資料!F328=""),"",IF(AND(原始資料!E328&lt;&gt;"",原始資料!F328=原始資料!E328),N(C328)+1,1))</f>
        <v/>
      </c>
      <c r="E328" s="6">
        <f>IF(OR(原始資料!$A328="",4&gt;設定!$B$3,原始資料!G328=""),"",IF(AND(原始資料!F328&lt;&gt;"",原始資料!G328=原始資料!F328),N(D328)+1,1))</f>
        <v/>
      </c>
      <c r="F328" s="6">
        <f>IF(OR(原始資料!$A328="",5&gt;設定!$B$3,原始資料!H328=""),"",IF(AND(原始資料!G328&lt;&gt;"",原始資料!H328=原始資料!G328),N(E328)+1,1))</f>
        <v/>
      </c>
      <c r="G328" s="6">
        <f>IF(OR(原始資料!$A328="",6&gt;設定!$B$3,原始資料!I328=""),"",IF(AND(原始資料!H328&lt;&gt;"",原始資料!I328=原始資料!H328),N(F328)+1,1))</f>
        <v/>
      </c>
      <c r="H328" s="6">
        <f>IF(OR(原始資料!$A328="",7&gt;設定!$B$3,原始資料!J328=""),"",IF(AND(原始資料!I328&lt;&gt;"",原始資料!J328=原始資料!I328),N(G328)+1,1))</f>
        <v/>
      </c>
      <c r="I328" s="6">
        <f>IF(OR(原始資料!$A328="",8&gt;設定!$B$3,原始資料!K328=""),"",IF(AND(原始資料!J328&lt;&gt;"",原始資料!K328=原始資料!J328),N(H328)+1,1))</f>
        <v/>
      </c>
      <c r="J328" s="6">
        <f>IF(OR(原始資料!$A328="",9&gt;設定!$B$3,原始資料!L328=""),"",IF(AND(原始資料!K328&lt;&gt;"",原始資料!L328=原始資料!K328),N(I328)+1,1))</f>
        <v/>
      </c>
      <c r="K328" s="6">
        <f>IF(OR(原始資料!$A328="",10&gt;設定!$B$3,原始資料!M328=""),"",IF(AND(原始資料!L328&lt;&gt;"",原始資料!M328=原始資料!L328),N(J328)+1,1))</f>
        <v/>
      </c>
      <c r="L328" s="6">
        <f>IF(OR(原始資料!$A328="",11&gt;設定!$B$3,原始資料!N328=""),"",IF(AND(原始資料!M328&lt;&gt;"",原始資料!N328=原始資料!M328),N(K328)+1,1))</f>
        <v/>
      </c>
      <c r="M328" s="6">
        <f>IF(OR(原始資料!$A328="",12&gt;設定!$B$3,原始資料!O328=""),"",IF(AND(原始資料!N328&lt;&gt;"",原始資料!O328=原始資料!N328),N(L328)+1,1))</f>
        <v/>
      </c>
      <c r="N328" s="6">
        <f>IF(OR(原始資料!$A328="",13&gt;設定!$B$3,原始資料!P328=""),"",IF(AND(原始資料!O328&lt;&gt;"",原始資料!P328=原始資料!O328),N(M328)+1,1))</f>
        <v/>
      </c>
      <c r="O328" s="6">
        <f>IF(OR(原始資料!$A328="",14&gt;設定!$B$3,原始資料!Q328=""),"",IF(AND(原始資料!P328&lt;&gt;"",原始資料!Q328=原始資料!P328),N(N328)+1,1))</f>
        <v/>
      </c>
      <c r="P328" s="6">
        <f>IF(OR(原始資料!$A328="",15&gt;設定!$B$3,原始資料!R328=""),"",IF(AND(原始資料!Q328&lt;&gt;"",原始資料!R328=原始資料!Q328),N(O328)+1,1))</f>
        <v/>
      </c>
      <c r="Q328" s="6">
        <f>IF(OR(原始資料!$A328="",16&gt;設定!$B$3,原始資料!S328=""),"",IF(AND(原始資料!R328&lt;&gt;"",原始資料!S328=原始資料!R328),N(P328)+1,1))</f>
        <v/>
      </c>
      <c r="R328" s="6">
        <f>IF(OR(原始資料!$A328="",17&gt;設定!$B$3,原始資料!T328=""),"",IF(AND(原始資料!S328&lt;&gt;"",原始資料!T328=原始資料!S328),N(Q328)+1,1))</f>
        <v/>
      </c>
      <c r="S328" s="6">
        <f>IF(OR(原始資料!$A328="",18&gt;設定!$B$3,原始資料!U328=""),"",IF(AND(原始資料!T328&lt;&gt;"",原始資料!U328=原始資料!T328),N(R328)+1,1))</f>
        <v/>
      </c>
      <c r="T328" s="6">
        <f>IF(OR(原始資料!$A328="",19&gt;設定!$B$3,原始資料!V328=""),"",IF(AND(原始資料!U328&lt;&gt;"",原始資料!V328=原始資料!U328),N(S328)+1,1))</f>
        <v/>
      </c>
      <c r="U328" s="6">
        <f>IF(OR(原始資料!$A328="",20&gt;設定!$B$3,原始資料!W328=""),"",IF(AND(原始資料!V328&lt;&gt;"",原始資料!W328=原始資料!V328),N(T328)+1,1))</f>
        <v/>
      </c>
      <c r="V328" s="6">
        <f>IF(OR(原始資料!$A328="",21&gt;設定!$B$3,原始資料!X328=""),"",IF(AND(原始資料!W328&lt;&gt;"",原始資料!X328=原始資料!W328),N(U328)+1,1))</f>
        <v/>
      </c>
      <c r="W328" s="6">
        <f>IF(OR(原始資料!$A328="",22&gt;設定!$B$3,原始資料!Y328=""),"",IF(AND(原始資料!X328&lt;&gt;"",原始資料!Y328=原始資料!X328),N(V328)+1,1))</f>
        <v/>
      </c>
      <c r="X328" s="6">
        <f>IF(OR(原始資料!$A328="",23&gt;設定!$B$3,原始資料!Z328=""),"",IF(AND(原始資料!Y328&lt;&gt;"",原始資料!Z328=原始資料!Y328),N(W328)+1,1))</f>
        <v/>
      </c>
      <c r="Y328" s="6">
        <f>IF(OR(原始資料!$A328="",24&gt;設定!$B$3,原始資料!AA328=""),"",IF(AND(原始資料!Z328&lt;&gt;"",原始資料!AA328=原始資料!Z328),N(X328)+1,1))</f>
        <v/>
      </c>
      <c r="Z328" s="6">
        <f>IF(OR(原始資料!$A328="",25&gt;設定!$B$3,原始資料!AB328=""),"",IF(AND(原始資料!AA328&lt;&gt;"",原始資料!AB328=原始資料!AA328),N(Y328)+1,1))</f>
        <v/>
      </c>
      <c r="AA328" s="6">
        <f>IF(OR(原始資料!$A328="",26&gt;設定!$B$3,原始資料!AC328=""),"",IF(AND(原始資料!AB328&lt;&gt;"",原始資料!AC328=原始資料!AB328),N(Z328)+1,1))</f>
        <v/>
      </c>
      <c r="AB328" s="6">
        <f>IF(OR(原始資料!$A328="",27&gt;設定!$B$3,原始資料!AD328=""),"",IF(AND(原始資料!AC328&lt;&gt;"",原始資料!AD328=原始資料!AC328),N(AA328)+1,1))</f>
        <v/>
      </c>
      <c r="AC328" s="6">
        <f>IF(OR(原始資料!$A328="",28&gt;設定!$B$3,原始資料!AE328=""),"",IF(AND(原始資料!AD328&lt;&gt;"",原始資料!AE328=原始資料!AD328),N(AB328)+1,1))</f>
        <v/>
      </c>
      <c r="AD328" s="6">
        <f>IF(OR(原始資料!$A328="",29&gt;設定!$B$3,原始資料!AF328=""),"",IF(AND(原始資料!AE328&lt;&gt;"",原始資料!AF328=原始資料!AE328),N(AC328)+1,1))</f>
        <v/>
      </c>
      <c r="AE328" s="6">
        <f>IF(OR(原始資料!$A328="",30&gt;設定!$B$3,原始資料!AG328=""),"",IF(AND(原始資料!AF328&lt;&gt;"",原始資料!AG328=原始資料!AF328),N(AD328)+1,1))</f>
        <v/>
      </c>
      <c r="AF328" s="6">
        <f>IF(OR(原始資料!$A328="",31&gt;設定!$B$3,原始資料!AH328=""),"",IF(AND(原始資料!AG328&lt;&gt;"",原始資料!AH328=原始資料!AG328),N(AE328)+1,1))</f>
        <v/>
      </c>
      <c r="AG328" s="6">
        <f>IF(OR(原始資料!$A328="",32&gt;設定!$B$3,原始資料!AI328=""),"",IF(AND(原始資料!AH328&lt;&gt;"",原始資料!AI328=原始資料!AH328),N(AF328)+1,1))</f>
        <v/>
      </c>
      <c r="AH328" s="6">
        <f>IF(OR(原始資料!$A328="",33&gt;設定!$B$3,原始資料!AJ328=""),"",IF(AND(原始資料!AI328&lt;&gt;"",原始資料!AJ328=原始資料!AI328),N(AG328)+1,1))</f>
        <v/>
      </c>
      <c r="AI328" s="6">
        <f>IF(OR(原始資料!$A328="",34&gt;設定!$B$3,原始資料!AK328=""),"",IF(AND(原始資料!AJ328&lt;&gt;"",原始資料!AK328=原始資料!AJ328),N(AH328)+1,1))</f>
        <v/>
      </c>
      <c r="AJ328" s="6">
        <f>IF(OR(原始資料!$A328="",35&gt;設定!$B$3,原始資料!AL328=""),"",IF(AND(原始資料!AK328&lt;&gt;"",原始資料!AL328=原始資料!AK328),N(AI328)+1,1))</f>
        <v/>
      </c>
      <c r="AK328" s="6">
        <f>IF(OR(原始資料!$A328="",36&gt;設定!$B$3,原始資料!AM328=""),"",IF(AND(原始資料!AL328&lt;&gt;"",原始資料!AM328=原始資料!AL328),N(AJ328)+1,1))</f>
        <v/>
      </c>
      <c r="AL328" s="6">
        <f>IF(OR(原始資料!$A328="",37&gt;設定!$B$3,原始資料!AN328=""),"",IF(AND(原始資料!AM328&lt;&gt;"",原始資料!AN328=原始資料!AM328),N(AK328)+1,1))</f>
        <v/>
      </c>
      <c r="AM328" s="6">
        <f>IF(OR(原始資料!$A328="",38&gt;設定!$B$3,原始資料!AO328=""),"",IF(AND(原始資料!AN328&lt;&gt;"",原始資料!AO328=原始資料!AN328),N(AL328)+1,1))</f>
        <v/>
      </c>
      <c r="AN328" s="6">
        <f>IF(OR(原始資料!$A328="",39&gt;設定!$B$3,原始資料!AP328=""),"",IF(AND(原始資料!AO328&lt;&gt;"",原始資料!AP328=原始資料!AO328),N(AM328)+1,1))</f>
        <v/>
      </c>
      <c r="AO328" s="6">
        <f>IF(OR(原始資料!$A328="",40&gt;設定!$B$3,原始資料!AQ328=""),"",IF(AND(原始資料!AP328&lt;&gt;"",原始資料!AQ328=原始資料!AP328),N(AN328)+1,1))</f>
        <v/>
      </c>
      <c r="AP328" s="6">
        <f>IF(OR(原始資料!$A328="",41&gt;設定!$B$3,原始資料!AR328=""),"",IF(AND(原始資料!AQ328&lt;&gt;"",原始資料!AR328=原始資料!AQ328),N(AO328)+1,1))</f>
        <v/>
      </c>
      <c r="AQ328" s="6">
        <f>IF(OR(原始資料!$A328="",42&gt;設定!$B$3,原始資料!AS328=""),"",IF(AND(原始資料!AR328&lt;&gt;"",原始資料!AS328=原始資料!AR328),N(AP328)+1,1))</f>
        <v/>
      </c>
      <c r="AR328" s="6">
        <f>IF(OR(原始資料!$A328="",43&gt;設定!$B$3,原始資料!AT328=""),"",IF(AND(原始資料!AS328&lt;&gt;"",原始資料!AT328=原始資料!AS328),N(AQ328)+1,1))</f>
        <v/>
      </c>
      <c r="AS328" s="6">
        <f>IF(OR(原始資料!$A328="",44&gt;設定!$B$3,原始資料!AU328=""),"",IF(AND(原始資料!AT328&lt;&gt;"",原始資料!AU328=原始資料!AT328),N(AR328)+1,1))</f>
        <v/>
      </c>
      <c r="AT328" s="6">
        <f>IF(OR(原始資料!$A328="",45&gt;設定!$B$3,原始資料!AV328=""),"",IF(AND(原始資料!AU328&lt;&gt;"",原始資料!AV328=原始資料!AU328),N(AS328)+1,1))</f>
        <v/>
      </c>
      <c r="AU328" s="6">
        <f>IF(OR(原始資料!$A328="",46&gt;設定!$B$3,原始資料!AW328=""),"",IF(AND(原始資料!AV328&lt;&gt;"",原始資料!AW328=原始資料!AV328),N(AT328)+1,1))</f>
        <v/>
      </c>
      <c r="AV328" s="6">
        <f>IF(OR(原始資料!$A328="",47&gt;設定!$B$3,原始資料!AX328=""),"",IF(AND(原始資料!AW328&lt;&gt;"",原始資料!AX328=原始資料!AW328),N(AU328)+1,1))</f>
        <v/>
      </c>
      <c r="AW328" s="6">
        <f>IF(OR(原始資料!$A328="",48&gt;設定!$B$3,原始資料!AY328=""),"",IF(AND(原始資料!AX328&lt;&gt;"",原始資料!AY328=原始資料!AX328),N(AV328)+1,1))</f>
        <v/>
      </c>
      <c r="AX328" s="6">
        <f>IF(OR(原始資料!$A328="",49&gt;設定!$B$3,原始資料!AZ328=""),"",IF(AND(原始資料!AY328&lt;&gt;"",原始資料!AZ328=原始資料!AY328),N(AW328)+1,1))</f>
        <v/>
      </c>
      <c r="AY328" s="6">
        <f>IF(OR(原始資料!$A328="",50&gt;設定!$B$3,原始資料!BA328=""),"",IF(AND(原始資料!AZ328&lt;&gt;"",原始資料!BA328=原始資料!AZ328),N(AX328)+1,1))</f>
        <v/>
      </c>
      <c r="AZ328" s="6">
        <f>IF(OR(原始資料!$A328="",51&gt;設定!$B$3,原始資料!BB328=""),"",IF(AND(原始資料!BA328&lt;&gt;"",原始資料!BB328=原始資料!BA328),N(AY328)+1,1))</f>
        <v/>
      </c>
      <c r="BA328" s="6">
        <f>IF(OR(原始資料!$A328="",52&gt;設定!$B$3,原始資料!BC328=""),"",IF(AND(原始資料!BB328&lt;&gt;"",原始資料!BC328=原始資料!BB328),N(AZ328)+1,1))</f>
        <v/>
      </c>
      <c r="BB328" s="6">
        <f>IF(OR(原始資料!$A328="",53&gt;設定!$B$3,原始資料!BD328=""),"",IF(AND(原始資料!BC328&lt;&gt;"",原始資料!BD328=原始資料!BC328),N(BA328)+1,1))</f>
        <v/>
      </c>
      <c r="BC328" s="6">
        <f>IF(OR(原始資料!$A328="",54&gt;設定!$B$3,原始資料!BE328=""),"",IF(AND(原始資料!BD328&lt;&gt;"",原始資料!BE328=原始資料!BD328),N(BB328)+1,1))</f>
        <v/>
      </c>
      <c r="BD328" s="6">
        <f>IF(OR(原始資料!$A328="",55&gt;設定!$B$3,原始資料!BF328=""),"",IF(AND(原始資料!BE328&lt;&gt;"",原始資料!BF328=原始資料!BE328),N(BC328)+1,1))</f>
        <v/>
      </c>
      <c r="BE328" s="6">
        <f>IF(OR(原始資料!$A328="",56&gt;設定!$B$3,原始資料!BG328=""),"",IF(AND(原始資料!BF328&lt;&gt;"",原始資料!BG328=原始資料!BF328),N(BD328)+1,1))</f>
        <v/>
      </c>
      <c r="BF328" s="6">
        <f>IF(OR(原始資料!$A328="",57&gt;設定!$B$3,原始資料!BH328=""),"",IF(AND(原始資料!BG328&lt;&gt;"",原始資料!BH328=原始資料!BG328),N(BE328)+1,1))</f>
        <v/>
      </c>
      <c r="BG328" s="6">
        <f>IF(OR(原始資料!$A328="",58&gt;設定!$B$3,原始資料!BI328=""),"",IF(AND(原始資料!BH328&lt;&gt;"",原始資料!BI328=原始資料!BH328),N(BF328)+1,1))</f>
        <v/>
      </c>
      <c r="BH328" s="6">
        <f>IF(OR(原始資料!$A328="",59&gt;設定!$B$3,原始資料!BJ328=""),"",IF(AND(原始資料!BI328&lt;&gt;"",原始資料!BJ328=原始資料!BI328),N(BG328)+1,1))</f>
        <v/>
      </c>
      <c r="BI328" s="6">
        <f>IF(OR(原始資料!$A328="",60&gt;設定!$B$3,原始資料!BK328=""),"",IF(AND(原始資料!BJ328&lt;&gt;"",原始資料!BK328=原始資料!BJ328),N(BH328)+1,1))</f>
        <v/>
      </c>
    </row>
    <row r="329">
      <c r="A329" s="6">
        <f>IF(原始資料!$A329="","",原始資料!$A329)</f>
        <v/>
      </c>
      <c r="B329" s="6">
        <f>IF(OR(原始資料!$A329="",1&gt;設定!$B$3,原始資料!D329=""),"",1)</f>
        <v/>
      </c>
      <c r="C329" s="6">
        <f>IF(OR(原始資料!$A329="",2&gt;設定!$B$3,原始資料!E329=""),"",IF(AND(原始資料!D329&lt;&gt;"",原始資料!E329=原始資料!D329),N(B329)+1,1))</f>
        <v/>
      </c>
      <c r="D329" s="6">
        <f>IF(OR(原始資料!$A329="",3&gt;設定!$B$3,原始資料!F329=""),"",IF(AND(原始資料!E329&lt;&gt;"",原始資料!F329=原始資料!E329),N(C329)+1,1))</f>
        <v/>
      </c>
      <c r="E329" s="6">
        <f>IF(OR(原始資料!$A329="",4&gt;設定!$B$3,原始資料!G329=""),"",IF(AND(原始資料!F329&lt;&gt;"",原始資料!G329=原始資料!F329),N(D329)+1,1))</f>
        <v/>
      </c>
      <c r="F329" s="6">
        <f>IF(OR(原始資料!$A329="",5&gt;設定!$B$3,原始資料!H329=""),"",IF(AND(原始資料!G329&lt;&gt;"",原始資料!H329=原始資料!G329),N(E329)+1,1))</f>
        <v/>
      </c>
      <c r="G329" s="6">
        <f>IF(OR(原始資料!$A329="",6&gt;設定!$B$3,原始資料!I329=""),"",IF(AND(原始資料!H329&lt;&gt;"",原始資料!I329=原始資料!H329),N(F329)+1,1))</f>
        <v/>
      </c>
      <c r="H329" s="6">
        <f>IF(OR(原始資料!$A329="",7&gt;設定!$B$3,原始資料!J329=""),"",IF(AND(原始資料!I329&lt;&gt;"",原始資料!J329=原始資料!I329),N(G329)+1,1))</f>
        <v/>
      </c>
      <c r="I329" s="6">
        <f>IF(OR(原始資料!$A329="",8&gt;設定!$B$3,原始資料!K329=""),"",IF(AND(原始資料!J329&lt;&gt;"",原始資料!K329=原始資料!J329),N(H329)+1,1))</f>
        <v/>
      </c>
      <c r="J329" s="6">
        <f>IF(OR(原始資料!$A329="",9&gt;設定!$B$3,原始資料!L329=""),"",IF(AND(原始資料!K329&lt;&gt;"",原始資料!L329=原始資料!K329),N(I329)+1,1))</f>
        <v/>
      </c>
      <c r="K329" s="6">
        <f>IF(OR(原始資料!$A329="",10&gt;設定!$B$3,原始資料!M329=""),"",IF(AND(原始資料!L329&lt;&gt;"",原始資料!M329=原始資料!L329),N(J329)+1,1))</f>
        <v/>
      </c>
      <c r="L329" s="6">
        <f>IF(OR(原始資料!$A329="",11&gt;設定!$B$3,原始資料!N329=""),"",IF(AND(原始資料!M329&lt;&gt;"",原始資料!N329=原始資料!M329),N(K329)+1,1))</f>
        <v/>
      </c>
      <c r="M329" s="6">
        <f>IF(OR(原始資料!$A329="",12&gt;設定!$B$3,原始資料!O329=""),"",IF(AND(原始資料!N329&lt;&gt;"",原始資料!O329=原始資料!N329),N(L329)+1,1))</f>
        <v/>
      </c>
      <c r="N329" s="6">
        <f>IF(OR(原始資料!$A329="",13&gt;設定!$B$3,原始資料!P329=""),"",IF(AND(原始資料!O329&lt;&gt;"",原始資料!P329=原始資料!O329),N(M329)+1,1))</f>
        <v/>
      </c>
      <c r="O329" s="6">
        <f>IF(OR(原始資料!$A329="",14&gt;設定!$B$3,原始資料!Q329=""),"",IF(AND(原始資料!P329&lt;&gt;"",原始資料!Q329=原始資料!P329),N(N329)+1,1))</f>
        <v/>
      </c>
      <c r="P329" s="6">
        <f>IF(OR(原始資料!$A329="",15&gt;設定!$B$3,原始資料!R329=""),"",IF(AND(原始資料!Q329&lt;&gt;"",原始資料!R329=原始資料!Q329),N(O329)+1,1))</f>
        <v/>
      </c>
      <c r="Q329" s="6">
        <f>IF(OR(原始資料!$A329="",16&gt;設定!$B$3,原始資料!S329=""),"",IF(AND(原始資料!R329&lt;&gt;"",原始資料!S329=原始資料!R329),N(P329)+1,1))</f>
        <v/>
      </c>
      <c r="R329" s="6">
        <f>IF(OR(原始資料!$A329="",17&gt;設定!$B$3,原始資料!T329=""),"",IF(AND(原始資料!S329&lt;&gt;"",原始資料!T329=原始資料!S329),N(Q329)+1,1))</f>
        <v/>
      </c>
      <c r="S329" s="6">
        <f>IF(OR(原始資料!$A329="",18&gt;設定!$B$3,原始資料!U329=""),"",IF(AND(原始資料!T329&lt;&gt;"",原始資料!U329=原始資料!T329),N(R329)+1,1))</f>
        <v/>
      </c>
      <c r="T329" s="6">
        <f>IF(OR(原始資料!$A329="",19&gt;設定!$B$3,原始資料!V329=""),"",IF(AND(原始資料!U329&lt;&gt;"",原始資料!V329=原始資料!U329),N(S329)+1,1))</f>
        <v/>
      </c>
      <c r="U329" s="6">
        <f>IF(OR(原始資料!$A329="",20&gt;設定!$B$3,原始資料!W329=""),"",IF(AND(原始資料!V329&lt;&gt;"",原始資料!W329=原始資料!V329),N(T329)+1,1))</f>
        <v/>
      </c>
      <c r="V329" s="6">
        <f>IF(OR(原始資料!$A329="",21&gt;設定!$B$3,原始資料!X329=""),"",IF(AND(原始資料!W329&lt;&gt;"",原始資料!X329=原始資料!W329),N(U329)+1,1))</f>
        <v/>
      </c>
      <c r="W329" s="6">
        <f>IF(OR(原始資料!$A329="",22&gt;設定!$B$3,原始資料!Y329=""),"",IF(AND(原始資料!X329&lt;&gt;"",原始資料!Y329=原始資料!X329),N(V329)+1,1))</f>
        <v/>
      </c>
      <c r="X329" s="6">
        <f>IF(OR(原始資料!$A329="",23&gt;設定!$B$3,原始資料!Z329=""),"",IF(AND(原始資料!Y329&lt;&gt;"",原始資料!Z329=原始資料!Y329),N(W329)+1,1))</f>
        <v/>
      </c>
      <c r="Y329" s="6">
        <f>IF(OR(原始資料!$A329="",24&gt;設定!$B$3,原始資料!AA329=""),"",IF(AND(原始資料!Z329&lt;&gt;"",原始資料!AA329=原始資料!Z329),N(X329)+1,1))</f>
        <v/>
      </c>
      <c r="Z329" s="6">
        <f>IF(OR(原始資料!$A329="",25&gt;設定!$B$3,原始資料!AB329=""),"",IF(AND(原始資料!AA329&lt;&gt;"",原始資料!AB329=原始資料!AA329),N(Y329)+1,1))</f>
        <v/>
      </c>
      <c r="AA329" s="6">
        <f>IF(OR(原始資料!$A329="",26&gt;設定!$B$3,原始資料!AC329=""),"",IF(AND(原始資料!AB329&lt;&gt;"",原始資料!AC329=原始資料!AB329),N(Z329)+1,1))</f>
        <v/>
      </c>
      <c r="AB329" s="6">
        <f>IF(OR(原始資料!$A329="",27&gt;設定!$B$3,原始資料!AD329=""),"",IF(AND(原始資料!AC329&lt;&gt;"",原始資料!AD329=原始資料!AC329),N(AA329)+1,1))</f>
        <v/>
      </c>
      <c r="AC329" s="6">
        <f>IF(OR(原始資料!$A329="",28&gt;設定!$B$3,原始資料!AE329=""),"",IF(AND(原始資料!AD329&lt;&gt;"",原始資料!AE329=原始資料!AD329),N(AB329)+1,1))</f>
        <v/>
      </c>
      <c r="AD329" s="6">
        <f>IF(OR(原始資料!$A329="",29&gt;設定!$B$3,原始資料!AF329=""),"",IF(AND(原始資料!AE329&lt;&gt;"",原始資料!AF329=原始資料!AE329),N(AC329)+1,1))</f>
        <v/>
      </c>
      <c r="AE329" s="6">
        <f>IF(OR(原始資料!$A329="",30&gt;設定!$B$3,原始資料!AG329=""),"",IF(AND(原始資料!AF329&lt;&gt;"",原始資料!AG329=原始資料!AF329),N(AD329)+1,1))</f>
        <v/>
      </c>
      <c r="AF329" s="6">
        <f>IF(OR(原始資料!$A329="",31&gt;設定!$B$3,原始資料!AH329=""),"",IF(AND(原始資料!AG329&lt;&gt;"",原始資料!AH329=原始資料!AG329),N(AE329)+1,1))</f>
        <v/>
      </c>
      <c r="AG329" s="6">
        <f>IF(OR(原始資料!$A329="",32&gt;設定!$B$3,原始資料!AI329=""),"",IF(AND(原始資料!AH329&lt;&gt;"",原始資料!AI329=原始資料!AH329),N(AF329)+1,1))</f>
        <v/>
      </c>
      <c r="AH329" s="6">
        <f>IF(OR(原始資料!$A329="",33&gt;設定!$B$3,原始資料!AJ329=""),"",IF(AND(原始資料!AI329&lt;&gt;"",原始資料!AJ329=原始資料!AI329),N(AG329)+1,1))</f>
        <v/>
      </c>
      <c r="AI329" s="6">
        <f>IF(OR(原始資料!$A329="",34&gt;設定!$B$3,原始資料!AK329=""),"",IF(AND(原始資料!AJ329&lt;&gt;"",原始資料!AK329=原始資料!AJ329),N(AH329)+1,1))</f>
        <v/>
      </c>
      <c r="AJ329" s="6">
        <f>IF(OR(原始資料!$A329="",35&gt;設定!$B$3,原始資料!AL329=""),"",IF(AND(原始資料!AK329&lt;&gt;"",原始資料!AL329=原始資料!AK329),N(AI329)+1,1))</f>
        <v/>
      </c>
      <c r="AK329" s="6">
        <f>IF(OR(原始資料!$A329="",36&gt;設定!$B$3,原始資料!AM329=""),"",IF(AND(原始資料!AL329&lt;&gt;"",原始資料!AM329=原始資料!AL329),N(AJ329)+1,1))</f>
        <v/>
      </c>
      <c r="AL329" s="6">
        <f>IF(OR(原始資料!$A329="",37&gt;設定!$B$3,原始資料!AN329=""),"",IF(AND(原始資料!AM329&lt;&gt;"",原始資料!AN329=原始資料!AM329),N(AK329)+1,1))</f>
        <v/>
      </c>
      <c r="AM329" s="6">
        <f>IF(OR(原始資料!$A329="",38&gt;設定!$B$3,原始資料!AO329=""),"",IF(AND(原始資料!AN329&lt;&gt;"",原始資料!AO329=原始資料!AN329),N(AL329)+1,1))</f>
        <v/>
      </c>
      <c r="AN329" s="6">
        <f>IF(OR(原始資料!$A329="",39&gt;設定!$B$3,原始資料!AP329=""),"",IF(AND(原始資料!AO329&lt;&gt;"",原始資料!AP329=原始資料!AO329),N(AM329)+1,1))</f>
        <v/>
      </c>
      <c r="AO329" s="6">
        <f>IF(OR(原始資料!$A329="",40&gt;設定!$B$3,原始資料!AQ329=""),"",IF(AND(原始資料!AP329&lt;&gt;"",原始資料!AQ329=原始資料!AP329),N(AN329)+1,1))</f>
        <v/>
      </c>
      <c r="AP329" s="6">
        <f>IF(OR(原始資料!$A329="",41&gt;設定!$B$3,原始資料!AR329=""),"",IF(AND(原始資料!AQ329&lt;&gt;"",原始資料!AR329=原始資料!AQ329),N(AO329)+1,1))</f>
        <v/>
      </c>
      <c r="AQ329" s="6">
        <f>IF(OR(原始資料!$A329="",42&gt;設定!$B$3,原始資料!AS329=""),"",IF(AND(原始資料!AR329&lt;&gt;"",原始資料!AS329=原始資料!AR329),N(AP329)+1,1))</f>
        <v/>
      </c>
      <c r="AR329" s="6">
        <f>IF(OR(原始資料!$A329="",43&gt;設定!$B$3,原始資料!AT329=""),"",IF(AND(原始資料!AS329&lt;&gt;"",原始資料!AT329=原始資料!AS329),N(AQ329)+1,1))</f>
        <v/>
      </c>
      <c r="AS329" s="6">
        <f>IF(OR(原始資料!$A329="",44&gt;設定!$B$3,原始資料!AU329=""),"",IF(AND(原始資料!AT329&lt;&gt;"",原始資料!AU329=原始資料!AT329),N(AR329)+1,1))</f>
        <v/>
      </c>
      <c r="AT329" s="6">
        <f>IF(OR(原始資料!$A329="",45&gt;設定!$B$3,原始資料!AV329=""),"",IF(AND(原始資料!AU329&lt;&gt;"",原始資料!AV329=原始資料!AU329),N(AS329)+1,1))</f>
        <v/>
      </c>
      <c r="AU329" s="6">
        <f>IF(OR(原始資料!$A329="",46&gt;設定!$B$3,原始資料!AW329=""),"",IF(AND(原始資料!AV329&lt;&gt;"",原始資料!AW329=原始資料!AV329),N(AT329)+1,1))</f>
        <v/>
      </c>
      <c r="AV329" s="6">
        <f>IF(OR(原始資料!$A329="",47&gt;設定!$B$3,原始資料!AX329=""),"",IF(AND(原始資料!AW329&lt;&gt;"",原始資料!AX329=原始資料!AW329),N(AU329)+1,1))</f>
        <v/>
      </c>
      <c r="AW329" s="6">
        <f>IF(OR(原始資料!$A329="",48&gt;設定!$B$3,原始資料!AY329=""),"",IF(AND(原始資料!AX329&lt;&gt;"",原始資料!AY329=原始資料!AX329),N(AV329)+1,1))</f>
        <v/>
      </c>
      <c r="AX329" s="6">
        <f>IF(OR(原始資料!$A329="",49&gt;設定!$B$3,原始資料!AZ329=""),"",IF(AND(原始資料!AY329&lt;&gt;"",原始資料!AZ329=原始資料!AY329),N(AW329)+1,1))</f>
        <v/>
      </c>
      <c r="AY329" s="6">
        <f>IF(OR(原始資料!$A329="",50&gt;設定!$B$3,原始資料!BA329=""),"",IF(AND(原始資料!AZ329&lt;&gt;"",原始資料!BA329=原始資料!AZ329),N(AX329)+1,1))</f>
        <v/>
      </c>
      <c r="AZ329" s="6">
        <f>IF(OR(原始資料!$A329="",51&gt;設定!$B$3,原始資料!BB329=""),"",IF(AND(原始資料!BA329&lt;&gt;"",原始資料!BB329=原始資料!BA329),N(AY329)+1,1))</f>
        <v/>
      </c>
      <c r="BA329" s="6">
        <f>IF(OR(原始資料!$A329="",52&gt;設定!$B$3,原始資料!BC329=""),"",IF(AND(原始資料!BB329&lt;&gt;"",原始資料!BC329=原始資料!BB329),N(AZ329)+1,1))</f>
        <v/>
      </c>
      <c r="BB329" s="6">
        <f>IF(OR(原始資料!$A329="",53&gt;設定!$B$3,原始資料!BD329=""),"",IF(AND(原始資料!BC329&lt;&gt;"",原始資料!BD329=原始資料!BC329),N(BA329)+1,1))</f>
        <v/>
      </c>
      <c r="BC329" s="6">
        <f>IF(OR(原始資料!$A329="",54&gt;設定!$B$3,原始資料!BE329=""),"",IF(AND(原始資料!BD329&lt;&gt;"",原始資料!BE329=原始資料!BD329),N(BB329)+1,1))</f>
        <v/>
      </c>
      <c r="BD329" s="6">
        <f>IF(OR(原始資料!$A329="",55&gt;設定!$B$3,原始資料!BF329=""),"",IF(AND(原始資料!BE329&lt;&gt;"",原始資料!BF329=原始資料!BE329),N(BC329)+1,1))</f>
        <v/>
      </c>
      <c r="BE329" s="6">
        <f>IF(OR(原始資料!$A329="",56&gt;設定!$B$3,原始資料!BG329=""),"",IF(AND(原始資料!BF329&lt;&gt;"",原始資料!BG329=原始資料!BF329),N(BD329)+1,1))</f>
        <v/>
      </c>
      <c r="BF329" s="6">
        <f>IF(OR(原始資料!$A329="",57&gt;設定!$B$3,原始資料!BH329=""),"",IF(AND(原始資料!BG329&lt;&gt;"",原始資料!BH329=原始資料!BG329),N(BE329)+1,1))</f>
        <v/>
      </c>
      <c r="BG329" s="6">
        <f>IF(OR(原始資料!$A329="",58&gt;設定!$B$3,原始資料!BI329=""),"",IF(AND(原始資料!BH329&lt;&gt;"",原始資料!BI329=原始資料!BH329),N(BF329)+1,1))</f>
        <v/>
      </c>
      <c r="BH329" s="6">
        <f>IF(OR(原始資料!$A329="",59&gt;設定!$B$3,原始資料!BJ329=""),"",IF(AND(原始資料!BI329&lt;&gt;"",原始資料!BJ329=原始資料!BI329),N(BG329)+1,1))</f>
        <v/>
      </c>
      <c r="BI329" s="6">
        <f>IF(OR(原始資料!$A329="",60&gt;設定!$B$3,原始資料!BK329=""),"",IF(AND(原始資料!BJ329&lt;&gt;"",原始資料!BK329=原始資料!BJ329),N(BH329)+1,1))</f>
        <v/>
      </c>
    </row>
    <row r="330">
      <c r="A330" s="6">
        <f>IF(原始資料!$A330="","",原始資料!$A330)</f>
        <v/>
      </c>
      <c r="B330" s="6">
        <f>IF(OR(原始資料!$A330="",1&gt;設定!$B$3,原始資料!D330=""),"",1)</f>
        <v/>
      </c>
      <c r="C330" s="6">
        <f>IF(OR(原始資料!$A330="",2&gt;設定!$B$3,原始資料!E330=""),"",IF(AND(原始資料!D330&lt;&gt;"",原始資料!E330=原始資料!D330),N(B330)+1,1))</f>
        <v/>
      </c>
      <c r="D330" s="6">
        <f>IF(OR(原始資料!$A330="",3&gt;設定!$B$3,原始資料!F330=""),"",IF(AND(原始資料!E330&lt;&gt;"",原始資料!F330=原始資料!E330),N(C330)+1,1))</f>
        <v/>
      </c>
      <c r="E330" s="6">
        <f>IF(OR(原始資料!$A330="",4&gt;設定!$B$3,原始資料!G330=""),"",IF(AND(原始資料!F330&lt;&gt;"",原始資料!G330=原始資料!F330),N(D330)+1,1))</f>
        <v/>
      </c>
      <c r="F330" s="6">
        <f>IF(OR(原始資料!$A330="",5&gt;設定!$B$3,原始資料!H330=""),"",IF(AND(原始資料!G330&lt;&gt;"",原始資料!H330=原始資料!G330),N(E330)+1,1))</f>
        <v/>
      </c>
      <c r="G330" s="6">
        <f>IF(OR(原始資料!$A330="",6&gt;設定!$B$3,原始資料!I330=""),"",IF(AND(原始資料!H330&lt;&gt;"",原始資料!I330=原始資料!H330),N(F330)+1,1))</f>
        <v/>
      </c>
      <c r="H330" s="6">
        <f>IF(OR(原始資料!$A330="",7&gt;設定!$B$3,原始資料!J330=""),"",IF(AND(原始資料!I330&lt;&gt;"",原始資料!J330=原始資料!I330),N(G330)+1,1))</f>
        <v/>
      </c>
      <c r="I330" s="6">
        <f>IF(OR(原始資料!$A330="",8&gt;設定!$B$3,原始資料!K330=""),"",IF(AND(原始資料!J330&lt;&gt;"",原始資料!K330=原始資料!J330),N(H330)+1,1))</f>
        <v/>
      </c>
      <c r="J330" s="6">
        <f>IF(OR(原始資料!$A330="",9&gt;設定!$B$3,原始資料!L330=""),"",IF(AND(原始資料!K330&lt;&gt;"",原始資料!L330=原始資料!K330),N(I330)+1,1))</f>
        <v/>
      </c>
      <c r="K330" s="6">
        <f>IF(OR(原始資料!$A330="",10&gt;設定!$B$3,原始資料!M330=""),"",IF(AND(原始資料!L330&lt;&gt;"",原始資料!M330=原始資料!L330),N(J330)+1,1))</f>
        <v/>
      </c>
      <c r="L330" s="6">
        <f>IF(OR(原始資料!$A330="",11&gt;設定!$B$3,原始資料!N330=""),"",IF(AND(原始資料!M330&lt;&gt;"",原始資料!N330=原始資料!M330),N(K330)+1,1))</f>
        <v/>
      </c>
      <c r="M330" s="6">
        <f>IF(OR(原始資料!$A330="",12&gt;設定!$B$3,原始資料!O330=""),"",IF(AND(原始資料!N330&lt;&gt;"",原始資料!O330=原始資料!N330),N(L330)+1,1))</f>
        <v/>
      </c>
      <c r="N330" s="6">
        <f>IF(OR(原始資料!$A330="",13&gt;設定!$B$3,原始資料!P330=""),"",IF(AND(原始資料!O330&lt;&gt;"",原始資料!P330=原始資料!O330),N(M330)+1,1))</f>
        <v/>
      </c>
      <c r="O330" s="6">
        <f>IF(OR(原始資料!$A330="",14&gt;設定!$B$3,原始資料!Q330=""),"",IF(AND(原始資料!P330&lt;&gt;"",原始資料!Q330=原始資料!P330),N(N330)+1,1))</f>
        <v/>
      </c>
      <c r="P330" s="6">
        <f>IF(OR(原始資料!$A330="",15&gt;設定!$B$3,原始資料!R330=""),"",IF(AND(原始資料!Q330&lt;&gt;"",原始資料!R330=原始資料!Q330),N(O330)+1,1))</f>
        <v/>
      </c>
      <c r="Q330" s="6">
        <f>IF(OR(原始資料!$A330="",16&gt;設定!$B$3,原始資料!S330=""),"",IF(AND(原始資料!R330&lt;&gt;"",原始資料!S330=原始資料!R330),N(P330)+1,1))</f>
        <v/>
      </c>
      <c r="R330" s="6">
        <f>IF(OR(原始資料!$A330="",17&gt;設定!$B$3,原始資料!T330=""),"",IF(AND(原始資料!S330&lt;&gt;"",原始資料!T330=原始資料!S330),N(Q330)+1,1))</f>
        <v/>
      </c>
      <c r="S330" s="6">
        <f>IF(OR(原始資料!$A330="",18&gt;設定!$B$3,原始資料!U330=""),"",IF(AND(原始資料!T330&lt;&gt;"",原始資料!U330=原始資料!T330),N(R330)+1,1))</f>
        <v/>
      </c>
      <c r="T330" s="6">
        <f>IF(OR(原始資料!$A330="",19&gt;設定!$B$3,原始資料!V330=""),"",IF(AND(原始資料!U330&lt;&gt;"",原始資料!V330=原始資料!U330),N(S330)+1,1))</f>
        <v/>
      </c>
      <c r="U330" s="6">
        <f>IF(OR(原始資料!$A330="",20&gt;設定!$B$3,原始資料!W330=""),"",IF(AND(原始資料!V330&lt;&gt;"",原始資料!W330=原始資料!V330),N(T330)+1,1))</f>
        <v/>
      </c>
      <c r="V330" s="6">
        <f>IF(OR(原始資料!$A330="",21&gt;設定!$B$3,原始資料!X330=""),"",IF(AND(原始資料!W330&lt;&gt;"",原始資料!X330=原始資料!W330),N(U330)+1,1))</f>
        <v/>
      </c>
      <c r="W330" s="6">
        <f>IF(OR(原始資料!$A330="",22&gt;設定!$B$3,原始資料!Y330=""),"",IF(AND(原始資料!X330&lt;&gt;"",原始資料!Y330=原始資料!X330),N(V330)+1,1))</f>
        <v/>
      </c>
      <c r="X330" s="6">
        <f>IF(OR(原始資料!$A330="",23&gt;設定!$B$3,原始資料!Z330=""),"",IF(AND(原始資料!Y330&lt;&gt;"",原始資料!Z330=原始資料!Y330),N(W330)+1,1))</f>
        <v/>
      </c>
      <c r="Y330" s="6">
        <f>IF(OR(原始資料!$A330="",24&gt;設定!$B$3,原始資料!AA330=""),"",IF(AND(原始資料!Z330&lt;&gt;"",原始資料!AA330=原始資料!Z330),N(X330)+1,1))</f>
        <v/>
      </c>
      <c r="Z330" s="6">
        <f>IF(OR(原始資料!$A330="",25&gt;設定!$B$3,原始資料!AB330=""),"",IF(AND(原始資料!AA330&lt;&gt;"",原始資料!AB330=原始資料!AA330),N(Y330)+1,1))</f>
        <v/>
      </c>
      <c r="AA330" s="6">
        <f>IF(OR(原始資料!$A330="",26&gt;設定!$B$3,原始資料!AC330=""),"",IF(AND(原始資料!AB330&lt;&gt;"",原始資料!AC330=原始資料!AB330),N(Z330)+1,1))</f>
        <v/>
      </c>
      <c r="AB330" s="6">
        <f>IF(OR(原始資料!$A330="",27&gt;設定!$B$3,原始資料!AD330=""),"",IF(AND(原始資料!AC330&lt;&gt;"",原始資料!AD330=原始資料!AC330),N(AA330)+1,1))</f>
        <v/>
      </c>
      <c r="AC330" s="6">
        <f>IF(OR(原始資料!$A330="",28&gt;設定!$B$3,原始資料!AE330=""),"",IF(AND(原始資料!AD330&lt;&gt;"",原始資料!AE330=原始資料!AD330),N(AB330)+1,1))</f>
        <v/>
      </c>
      <c r="AD330" s="6">
        <f>IF(OR(原始資料!$A330="",29&gt;設定!$B$3,原始資料!AF330=""),"",IF(AND(原始資料!AE330&lt;&gt;"",原始資料!AF330=原始資料!AE330),N(AC330)+1,1))</f>
        <v/>
      </c>
      <c r="AE330" s="6">
        <f>IF(OR(原始資料!$A330="",30&gt;設定!$B$3,原始資料!AG330=""),"",IF(AND(原始資料!AF330&lt;&gt;"",原始資料!AG330=原始資料!AF330),N(AD330)+1,1))</f>
        <v/>
      </c>
      <c r="AF330" s="6">
        <f>IF(OR(原始資料!$A330="",31&gt;設定!$B$3,原始資料!AH330=""),"",IF(AND(原始資料!AG330&lt;&gt;"",原始資料!AH330=原始資料!AG330),N(AE330)+1,1))</f>
        <v/>
      </c>
      <c r="AG330" s="6">
        <f>IF(OR(原始資料!$A330="",32&gt;設定!$B$3,原始資料!AI330=""),"",IF(AND(原始資料!AH330&lt;&gt;"",原始資料!AI330=原始資料!AH330),N(AF330)+1,1))</f>
        <v/>
      </c>
      <c r="AH330" s="6">
        <f>IF(OR(原始資料!$A330="",33&gt;設定!$B$3,原始資料!AJ330=""),"",IF(AND(原始資料!AI330&lt;&gt;"",原始資料!AJ330=原始資料!AI330),N(AG330)+1,1))</f>
        <v/>
      </c>
      <c r="AI330" s="6">
        <f>IF(OR(原始資料!$A330="",34&gt;設定!$B$3,原始資料!AK330=""),"",IF(AND(原始資料!AJ330&lt;&gt;"",原始資料!AK330=原始資料!AJ330),N(AH330)+1,1))</f>
        <v/>
      </c>
      <c r="AJ330" s="6">
        <f>IF(OR(原始資料!$A330="",35&gt;設定!$B$3,原始資料!AL330=""),"",IF(AND(原始資料!AK330&lt;&gt;"",原始資料!AL330=原始資料!AK330),N(AI330)+1,1))</f>
        <v/>
      </c>
      <c r="AK330" s="6">
        <f>IF(OR(原始資料!$A330="",36&gt;設定!$B$3,原始資料!AM330=""),"",IF(AND(原始資料!AL330&lt;&gt;"",原始資料!AM330=原始資料!AL330),N(AJ330)+1,1))</f>
        <v/>
      </c>
      <c r="AL330" s="6">
        <f>IF(OR(原始資料!$A330="",37&gt;設定!$B$3,原始資料!AN330=""),"",IF(AND(原始資料!AM330&lt;&gt;"",原始資料!AN330=原始資料!AM330),N(AK330)+1,1))</f>
        <v/>
      </c>
      <c r="AM330" s="6">
        <f>IF(OR(原始資料!$A330="",38&gt;設定!$B$3,原始資料!AO330=""),"",IF(AND(原始資料!AN330&lt;&gt;"",原始資料!AO330=原始資料!AN330),N(AL330)+1,1))</f>
        <v/>
      </c>
      <c r="AN330" s="6">
        <f>IF(OR(原始資料!$A330="",39&gt;設定!$B$3,原始資料!AP330=""),"",IF(AND(原始資料!AO330&lt;&gt;"",原始資料!AP330=原始資料!AO330),N(AM330)+1,1))</f>
        <v/>
      </c>
      <c r="AO330" s="6">
        <f>IF(OR(原始資料!$A330="",40&gt;設定!$B$3,原始資料!AQ330=""),"",IF(AND(原始資料!AP330&lt;&gt;"",原始資料!AQ330=原始資料!AP330),N(AN330)+1,1))</f>
        <v/>
      </c>
      <c r="AP330" s="6">
        <f>IF(OR(原始資料!$A330="",41&gt;設定!$B$3,原始資料!AR330=""),"",IF(AND(原始資料!AQ330&lt;&gt;"",原始資料!AR330=原始資料!AQ330),N(AO330)+1,1))</f>
        <v/>
      </c>
      <c r="AQ330" s="6">
        <f>IF(OR(原始資料!$A330="",42&gt;設定!$B$3,原始資料!AS330=""),"",IF(AND(原始資料!AR330&lt;&gt;"",原始資料!AS330=原始資料!AR330),N(AP330)+1,1))</f>
        <v/>
      </c>
      <c r="AR330" s="6">
        <f>IF(OR(原始資料!$A330="",43&gt;設定!$B$3,原始資料!AT330=""),"",IF(AND(原始資料!AS330&lt;&gt;"",原始資料!AT330=原始資料!AS330),N(AQ330)+1,1))</f>
        <v/>
      </c>
      <c r="AS330" s="6">
        <f>IF(OR(原始資料!$A330="",44&gt;設定!$B$3,原始資料!AU330=""),"",IF(AND(原始資料!AT330&lt;&gt;"",原始資料!AU330=原始資料!AT330),N(AR330)+1,1))</f>
        <v/>
      </c>
      <c r="AT330" s="6">
        <f>IF(OR(原始資料!$A330="",45&gt;設定!$B$3,原始資料!AV330=""),"",IF(AND(原始資料!AU330&lt;&gt;"",原始資料!AV330=原始資料!AU330),N(AS330)+1,1))</f>
        <v/>
      </c>
      <c r="AU330" s="6">
        <f>IF(OR(原始資料!$A330="",46&gt;設定!$B$3,原始資料!AW330=""),"",IF(AND(原始資料!AV330&lt;&gt;"",原始資料!AW330=原始資料!AV330),N(AT330)+1,1))</f>
        <v/>
      </c>
      <c r="AV330" s="6">
        <f>IF(OR(原始資料!$A330="",47&gt;設定!$B$3,原始資料!AX330=""),"",IF(AND(原始資料!AW330&lt;&gt;"",原始資料!AX330=原始資料!AW330),N(AU330)+1,1))</f>
        <v/>
      </c>
      <c r="AW330" s="6">
        <f>IF(OR(原始資料!$A330="",48&gt;設定!$B$3,原始資料!AY330=""),"",IF(AND(原始資料!AX330&lt;&gt;"",原始資料!AY330=原始資料!AX330),N(AV330)+1,1))</f>
        <v/>
      </c>
      <c r="AX330" s="6">
        <f>IF(OR(原始資料!$A330="",49&gt;設定!$B$3,原始資料!AZ330=""),"",IF(AND(原始資料!AY330&lt;&gt;"",原始資料!AZ330=原始資料!AY330),N(AW330)+1,1))</f>
        <v/>
      </c>
      <c r="AY330" s="6">
        <f>IF(OR(原始資料!$A330="",50&gt;設定!$B$3,原始資料!BA330=""),"",IF(AND(原始資料!AZ330&lt;&gt;"",原始資料!BA330=原始資料!AZ330),N(AX330)+1,1))</f>
        <v/>
      </c>
      <c r="AZ330" s="6">
        <f>IF(OR(原始資料!$A330="",51&gt;設定!$B$3,原始資料!BB330=""),"",IF(AND(原始資料!BA330&lt;&gt;"",原始資料!BB330=原始資料!BA330),N(AY330)+1,1))</f>
        <v/>
      </c>
      <c r="BA330" s="6">
        <f>IF(OR(原始資料!$A330="",52&gt;設定!$B$3,原始資料!BC330=""),"",IF(AND(原始資料!BB330&lt;&gt;"",原始資料!BC330=原始資料!BB330),N(AZ330)+1,1))</f>
        <v/>
      </c>
      <c r="BB330" s="6">
        <f>IF(OR(原始資料!$A330="",53&gt;設定!$B$3,原始資料!BD330=""),"",IF(AND(原始資料!BC330&lt;&gt;"",原始資料!BD330=原始資料!BC330),N(BA330)+1,1))</f>
        <v/>
      </c>
      <c r="BC330" s="6">
        <f>IF(OR(原始資料!$A330="",54&gt;設定!$B$3,原始資料!BE330=""),"",IF(AND(原始資料!BD330&lt;&gt;"",原始資料!BE330=原始資料!BD330),N(BB330)+1,1))</f>
        <v/>
      </c>
      <c r="BD330" s="6">
        <f>IF(OR(原始資料!$A330="",55&gt;設定!$B$3,原始資料!BF330=""),"",IF(AND(原始資料!BE330&lt;&gt;"",原始資料!BF330=原始資料!BE330),N(BC330)+1,1))</f>
        <v/>
      </c>
      <c r="BE330" s="6">
        <f>IF(OR(原始資料!$A330="",56&gt;設定!$B$3,原始資料!BG330=""),"",IF(AND(原始資料!BF330&lt;&gt;"",原始資料!BG330=原始資料!BF330),N(BD330)+1,1))</f>
        <v/>
      </c>
      <c r="BF330" s="6">
        <f>IF(OR(原始資料!$A330="",57&gt;設定!$B$3,原始資料!BH330=""),"",IF(AND(原始資料!BG330&lt;&gt;"",原始資料!BH330=原始資料!BG330),N(BE330)+1,1))</f>
        <v/>
      </c>
      <c r="BG330" s="6">
        <f>IF(OR(原始資料!$A330="",58&gt;設定!$B$3,原始資料!BI330=""),"",IF(AND(原始資料!BH330&lt;&gt;"",原始資料!BI330=原始資料!BH330),N(BF330)+1,1))</f>
        <v/>
      </c>
      <c r="BH330" s="6">
        <f>IF(OR(原始資料!$A330="",59&gt;設定!$B$3,原始資料!BJ330=""),"",IF(AND(原始資料!BI330&lt;&gt;"",原始資料!BJ330=原始資料!BI330),N(BG330)+1,1))</f>
        <v/>
      </c>
      <c r="BI330" s="6">
        <f>IF(OR(原始資料!$A330="",60&gt;設定!$B$3,原始資料!BK330=""),"",IF(AND(原始資料!BJ330&lt;&gt;"",原始資料!BK330=原始資料!BJ330),N(BH330)+1,1))</f>
        <v/>
      </c>
    </row>
    <row r="331">
      <c r="A331" s="6">
        <f>IF(原始資料!$A331="","",原始資料!$A331)</f>
        <v/>
      </c>
      <c r="B331" s="6">
        <f>IF(OR(原始資料!$A331="",1&gt;設定!$B$3,原始資料!D331=""),"",1)</f>
        <v/>
      </c>
      <c r="C331" s="6">
        <f>IF(OR(原始資料!$A331="",2&gt;設定!$B$3,原始資料!E331=""),"",IF(AND(原始資料!D331&lt;&gt;"",原始資料!E331=原始資料!D331),N(B331)+1,1))</f>
        <v/>
      </c>
      <c r="D331" s="6">
        <f>IF(OR(原始資料!$A331="",3&gt;設定!$B$3,原始資料!F331=""),"",IF(AND(原始資料!E331&lt;&gt;"",原始資料!F331=原始資料!E331),N(C331)+1,1))</f>
        <v/>
      </c>
      <c r="E331" s="6">
        <f>IF(OR(原始資料!$A331="",4&gt;設定!$B$3,原始資料!G331=""),"",IF(AND(原始資料!F331&lt;&gt;"",原始資料!G331=原始資料!F331),N(D331)+1,1))</f>
        <v/>
      </c>
      <c r="F331" s="6">
        <f>IF(OR(原始資料!$A331="",5&gt;設定!$B$3,原始資料!H331=""),"",IF(AND(原始資料!G331&lt;&gt;"",原始資料!H331=原始資料!G331),N(E331)+1,1))</f>
        <v/>
      </c>
      <c r="G331" s="6">
        <f>IF(OR(原始資料!$A331="",6&gt;設定!$B$3,原始資料!I331=""),"",IF(AND(原始資料!H331&lt;&gt;"",原始資料!I331=原始資料!H331),N(F331)+1,1))</f>
        <v/>
      </c>
      <c r="H331" s="6">
        <f>IF(OR(原始資料!$A331="",7&gt;設定!$B$3,原始資料!J331=""),"",IF(AND(原始資料!I331&lt;&gt;"",原始資料!J331=原始資料!I331),N(G331)+1,1))</f>
        <v/>
      </c>
      <c r="I331" s="6">
        <f>IF(OR(原始資料!$A331="",8&gt;設定!$B$3,原始資料!K331=""),"",IF(AND(原始資料!J331&lt;&gt;"",原始資料!K331=原始資料!J331),N(H331)+1,1))</f>
        <v/>
      </c>
      <c r="J331" s="6">
        <f>IF(OR(原始資料!$A331="",9&gt;設定!$B$3,原始資料!L331=""),"",IF(AND(原始資料!K331&lt;&gt;"",原始資料!L331=原始資料!K331),N(I331)+1,1))</f>
        <v/>
      </c>
      <c r="K331" s="6">
        <f>IF(OR(原始資料!$A331="",10&gt;設定!$B$3,原始資料!M331=""),"",IF(AND(原始資料!L331&lt;&gt;"",原始資料!M331=原始資料!L331),N(J331)+1,1))</f>
        <v/>
      </c>
      <c r="L331" s="6">
        <f>IF(OR(原始資料!$A331="",11&gt;設定!$B$3,原始資料!N331=""),"",IF(AND(原始資料!M331&lt;&gt;"",原始資料!N331=原始資料!M331),N(K331)+1,1))</f>
        <v/>
      </c>
      <c r="M331" s="6">
        <f>IF(OR(原始資料!$A331="",12&gt;設定!$B$3,原始資料!O331=""),"",IF(AND(原始資料!N331&lt;&gt;"",原始資料!O331=原始資料!N331),N(L331)+1,1))</f>
        <v/>
      </c>
      <c r="N331" s="6">
        <f>IF(OR(原始資料!$A331="",13&gt;設定!$B$3,原始資料!P331=""),"",IF(AND(原始資料!O331&lt;&gt;"",原始資料!P331=原始資料!O331),N(M331)+1,1))</f>
        <v/>
      </c>
      <c r="O331" s="6">
        <f>IF(OR(原始資料!$A331="",14&gt;設定!$B$3,原始資料!Q331=""),"",IF(AND(原始資料!P331&lt;&gt;"",原始資料!Q331=原始資料!P331),N(N331)+1,1))</f>
        <v/>
      </c>
      <c r="P331" s="6">
        <f>IF(OR(原始資料!$A331="",15&gt;設定!$B$3,原始資料!R331=""),"",IF(AND(原始資料!Q331&lt;&gt;"",原始資料!R331=原始資料!Q331),N(O331)+1,1))</f>
        <v/>
      </c>
      <c r="Q331" s="6">
        <f>IF(OR(原始資料!$A331="",16&gt;設定!$B$3,原始資料!S331=""),"",IF(AND(原始資料!R331&lt;&gt;"",原始資料!S331=原始資料!R331),N(P331)+1,1))</f>
        <v/>
      </c>
      <c r="R331" s="6">
        <f>IF(OR(原始資料!$A331="",17&gt;設定!$B$3,原始資料!T331=""),"",IF(AND(原始資料!S331&lt;&gt;"",原始資料!T331=原始資料!S331),N(Q331)+1,1))</f>
        <v/>
      </c>
      <c r="S331" s="6">
        <f>IF(OR(原始資料!$A331="",18&gt;設定!$B$3,原始資料!U331=""),"",IF(AND(原始資料!T331&lt;&gt;"",原始資料!U331=原始資料!T331),N(R331)+1,1))</f>
        <v/>
      </c>
      <c r="T331" s="6">
        <f>IF(OR(原始資料!$A331="",19&gt;設定!$B$3,原始資料!V331=""),"",IF(AND(原始資料!U331&lt;&gt;"",原始資料!V331=原始資料!U331),N(S331)+1,1))</f>
        <v/>
      </c>
      <c r="U331" s="6">
        <f>IF(OR(原始資料!$A331="",20&gt;設定!$B$3,原始資料!W331=""),"",IF(AND(原始資料!V331&lt;&gt;"",原始資料!W331=原始資料!V331),N(T331)+1,1))</f>
        <v/>
      </c>
      <c r="V331" s="6">
        <f>IF(OR(原始資料!$A331="",21&gt;設定!$B$3,原始資料!X331=""),"",IF(AND(原始資料!W331&lt;&gt;"",原始資料!X331=原始資料!W331),N(U331)+1,1))</f>
        <v/>
      </c>
      <c r="W331" s="6">
        <f>IF(OR(原始資料!$A331="",22&gt;設定!$B$3,原始資料!Y331=""),"",IF(AND(原始資料!X331&lt;&gt;"",原始資料!Y331=原始資料!X331),N(V331)+1,1))</f>
        <v/>
      </c>
      <c r="X331" s="6">
        <f>IF(OR(原始資料!$A331="",23&gt;設定!$B$3,原始資料!Z331=""),"",IF(AND(原始資料!Y331&lt;&gt;"",原始資料!Z331=原始資料!Y331),N(W331)+1,1))</f>
        <v/>
      </c>
      <c r="Y331" s="6">
        <f>IF(OR(原始資料!$A331="",24&gt;設定!$B$3,原始資料!AA331=""),"",IF(AND(原始資料!Z331&lt;&gt;"",原始資料!AA331=原始資料!Z331),N(X331)+1,1))</f>
        <v/>
      </c>
      <c r="Z331" s="6">
        <f>IF(OR(原始資料!$A331="",25&gt;設定!$B$3,原始資料!AB331=""),"",IF(AND(原始資料!AA331&lt;&gt;"",原始資料!AB331=原始資料!AA331),N(Y331)+1,1))</f>
        <v/>
      </c>
      <c r="AA331" s="6">
        <f>IF(OR(原始資料!$A331="",26&gt;設定!$B$3,原始資料!AC331=""),"",IF(AND(原始資料!AB331&lt;&gt;"",原始資料!AC331=原始資料!AB331),N(Z331)+1,1))</f>
        <v/>
      </c>
      <c r="AB331" s="6">
        <f>IF(OR(原始資料!$A331="",27&gt;設定!$B$3,原始資料!AD331=""),"",IF(AND(原始資料!AC331&lt;&gt;"",原始資料!AD331=原始資料!AC331),N(AA331)+1,1))</f>
        <v/>
      </c>
      <c r="AC331" s="6">
        <f>IF(OR(原始資料!$A331="",28&gt;設定!$B$3,原始資料!AE331=""),"",IF(AND(原始資料!AD331&lt;&gt;"",原始資料!AE331=原始資料!AD331),N(AB331)+1,1))</f>
        <v/>
      </c>
      <c r="AD331" s="6">
        <f>IF(OR(原始資料!$A331="",29&gt;設定!$B$3,原始資料!AF331=""),"",IF(AND(原始資料!AE331&lt;&gt;"",原始資料!AF331=原始資料!AE331),N(AC331)+1,1))</f>
        <v/>
      </c>
      <c r="AE331" s="6">
        <f>IF(OR(原始資料!$A331="",30&gt;設定!$B$3,原始資料!AG331=""),"",IF(AND(原始資料!AF331&lt;&gt;"",原始資料!AG331=原始資料!AF331),N(AD331)+1,1))</f>
        <v/>
      </c>
      <c r="AF331" s="6">
        <f>IF(OR(原始資料!$A331="",31&gt;設定!$B$3,原始資料!AH331=""),"",IF(AND(原始資料!AG331&lt;&gt;"",原始資料!AH331=原始資料!AG331),N(AE331)+1,1))</f>
        <v/>
      </c>
      <c r="AG331" s="6">
        <f>IF(OR(原始資料!$A331="",32&gt;設定!$B$3,原始資料!AI331=""),"",IF(AND(原始資料!AH331&lt;&gt;"",原始資料!AI331=原始資料!AH331),N(AF331)+1,1))</f>
        <v/>
      </c>
      <c r="AH331" s="6">
        <f>IF(OR(原始資料!$A331="",33&gt;設定!$B$3,原始資料!AJ331=""),"",IF(AND(原始資料!AI331&lt;&gt;"",原始資料!AJ331=原始資料!AI331),N(AG331)+1,1))</f>
        <v/>
      </c>
      <c r="AI331" s="6">
        <f>IF(OR(原始資料!$A331="",34&gt;設定!$B$3,原始資料!AK331=""),"",IF(AND(原始資料!AJ331&lt;&gt;"",原始資料!AK331=原始資料!AJ331),N(AH331)+1,1))</f>
        <v/>
      </c>
      <c r="AJ331" s="6">
        <f>IF(OR(原始資料!$A331="",35&gt;設定!$B$3,原始資料!AL331=""),"",IF(AND(原始資料!AK331&lt;&gt;"",原始資料!AL331=原始資料!AK331),N(AI331)+1,1))</f>
        <v/>
      </c>
      <c r="AK331" s="6">
        <f>IF(OR(原始資料!$A331="",36&gt;設定!$B$3,原始資料!AM331=""),"",IF(AND(原始資料!AL331&lt;&gt;"",原始資料!AM331=原始資料!AL331),N(AJ331)+1,1))</f>
        <v/>
      </c>
      <c r="AL331" s="6">
        <f>IF(OR(原始資料!$A331="",37&gt;設定!$B$3,原始資料!AN331=""),"",IF(AND(原始資料!AM331&lt;&gt;"",原始資料!AN331=原始資料!AM331),N(AK331)+1,1))</f>
        <v/>
      </c>
      <c r="AM331" s="6">
        <f>IF(OR(原始資料!$A331="",38&gt;設定!$B$3,原始資料!AO331=""),"",IF(AND(原始資料!AN331&lt;&gt;"",原始資料!AO331=原始資料!AN331),N(AL331)+1,1))</f>
        <v/>
      </c>
      <c r="AN331" s="6">
        <f>IF(OR(原始資料!$A331="",39&gt;設定!$B$3,原始資料!AP331=""),"",IF(AND(原始資料!AO331&lt;&gt;"",原始資料!AP331=原始資料!AO331),N(AM331)+1,1))</f>
        <v/>
      </c>
      <c r="AO331" s="6">
        <f>IF(OR(原始資料!$A331="",40&gt;設定!$B$3,原始資料!AQ331=""),"",IF(AND(原始資料!AP331&lt;&gt;"",原始資料!AQ331=原始資料!AP331),N(AN331)+1,1))</f>
        <v/>
      </c>
      <c r="AP331" s="6">
        <f>IF(OR(原始資料!$A331="",41&gt;設定!$B$3,原始資料!AR331=""),"",IF(AND(原始資料!AQ331&lt;&gt;"",原始資料!AR331=原始資料!AQ331),N(AO331)+1,1))</f>
        <v/>
      </c>
      <c r="AQ331" s="6">
        <f>IF(OR(原始資料!$A331="",42&gt;設定!$B$3,原始資料!AS331=""),"",IF(AND(原始資料!AR331&lt;&gt;"",原始資料!AS331=原始資料!AR331),N(AP331)+1,1))</f>
        <v/>
      </c>
      <c r="AR331" s="6">
        <f>IF(OR(原始資料!$A331="",43&gt;設定!$B$3,原始資料!AT331=""),"",IF(AND(原始資料!AS331&lt;&gt;"",原始資料!AT331=原始資料!AS331),N(AQ331)+1,1))</f>
        <v/>
      </c>
      <c r="AS331" s="6">
        <f>IF(OR(原始資料!$A331="",44&gt;設定!$B$3,原始資料!AU331=""),"",IF(AND(原始資料!AT331&lt;&gt;"",原始資料!AU331=原始資料!AT331),N(AR331)+1,1))</f>
        <v/>
      </c>
      <c r="AT331" s="6">
        <f>IF(OR(原始資料!$A331="",45&gt;設定!$B$3,原始資料!AV331=""),"",IF(AND(原始資料!AU331&lt;&gt;"",原始資料!AV331=原始資料!AU331),N(AS331)+1,1))</f>
        <v/>
      </c>
      <c r="AU331" s="6">
        <f>IF(OR(原始資料!$A331="",46&gt;設定!$B$3,原始資料!AW331=""),"",IF(AND(原始資料!AV331&lt;&gt;"",原始資料!AW331=原始資料!AV331),N(AT331)+1,1))</f>
        <v/>
      </c>
      <c r="AV331" s="6">
        <f>IF(OR(原始資料!$A331="",47&gt;設定!$B$3,原始資料!AX331=""),"",IF(AND(原始資料!AW331&lt;&gt;"",原始資料!AX331=原始資料!AW331),N(AU331)+1,1))</f>
        <v/>
      </c>
      <c r="AW331" s="6">
        <f>IF(OR(原始資料!$A331="",48&gt;設定!$B$3,原始資料!AY331=""),"",IF(AND(原始資料!AX331&lt;&gt;"",原始資料!AY331=原始資料!AX331),N(AV331)+1,1))</f>
        <v/>
      </c>
      <c r="AX331" s="6">
        <f>IF(OR(原始資料!$A331="",49&gt;設定!$B$3,原始資料!AZ331=""),"",IF(AND(原始資料!AY331&lt;&gt;"",原始資料!AZ331=原始資料!AY331),N(AW331)+1,1))</f>
        <v/>
      </c>
      <c r="AY331" s="6">
        <f>IF(OR(原始資料!$A331="",50&gt;設定!$B$3,原始資料!BA331=""),"",IF(AND(原始資料!AZ331&lt;&gt;"",原始資料!BA331=原始資料!AZ331),N(AX331)+1,1))</f>
        <v/>
      </c>
      <c r="AZ331" s="6">
        <f>IF(OR(原始資料!$A331="",51&gt;設定!$B$3,原始資料!BB331=""),"",IF(AND(原始資料!BA331&lt;&gt;"",原始資料!BB331=原始資料!BA331),N(AY331)+1,1))</f>
        <v/>
      </c>
      <c r="BA331" s="6">
        <f>IF(OR(原始資料!$A331="",52&gt;設定!$B$3,原始資料!BC331=""),"",IF(AND(原始資料!BB331&lt;&gt;"",原始資料!BC331=原始資料!BB331),N(AZ331)+1,1))</f>
        <v/>
      </c>
      <c r="BB331" s="6">
        <f>IF(OR(原始資料!$A331="",53&gt;設定!$B$3,原始資料!BD331=""),"",IF(AND(原始資料!BC331&lt;&gt;"",原始資料!BD331=原始資料!BC331),N(BA331)+1,1))</f>
        <v/>
      </c>
      <c r="BC331" s="6">
        <f>IF(OR(原始資料!$A331="",54&gt;設定!$B$3,原始資料!BE331=""),"",IF(AND(原始資料!BD331&lt;&gt;"",原始資料!BE331=原始資料!BD331),N(BB331)+1,1))</f>
        <v/>
      </c>
      <c r="BD331" s="6">
        <f>IF(OR(原始資料!$A331="",55&gt;設定!$B$3,原始資料!BF331=""),"",IF(AND(原始資料!BE331&lt;&gt;"",原始資料!BF331=原始資料!BE331),N(BC331)+1,1))</f>
        <v/>
      </c>
      <c r="BE331" s="6">
        <f>IF(OR(原始資料!$A331="",56&gt;設定!$B$3,原始資料!BG331=""),"",IF(AND(原始資料!BF331&lt;&gt;"",原始資料!BG331=原始資料!BF331),N(BD331)+1,1))</f>
        <v/>
      </c>
      <c r="BF331" s="6">
        <f>IF(OR(原始資料!$A331="",57&gt;設定!$B$3,原始資料!BH331=""),"",IF(AND(原始資料!BG331&lt;&gt;"",原始資料!BH331=原始資料!BG331),N(BE331)+1,1))</f>
        <v/>
      </c>
      <c r="BG331" s="6">
        <f>IF(OR(原始資料!$A331="",58&gt;設定!$B$3,原始資料!BI331=""),"",IF(AND(原始資料!BH331&lt;&gt;"",原始資料!BI331=原始資料!BH331),N(BF331)+1,1))</f>
        <v/>
      </c>
      <c r="BH331" s="6">
        <f>IF(OR(原始資料!$A331="",59&gt;設定!$B$3,原始資料!BJ331=""),"",IF(AND(原始資料!BI331&lt;&gt;"",原始資料!BJ331=原始資料!BI331),N(BG331)+1,1))</f>
        <v/>
      </c>
      <c r="BI331" s="6">
        <f>IF(OR(原始資料!$A331="",60&gt;設定!$B$3,原始資料!BK331=""),"",IF(AND(原始資料!BJ331&lt;&gt;"",原始資料!BK331=原始資料!BJ331),N(BH331)+1,1))</f>
        <v/>
      </c>
    </row>
    <row r="332">
      <c r="A332" s="6">
        <f>IF(原始資料!$A332="","",原始資料!$A332)</f>
        <v/>
      </c>
      <c r="B332" s="6">
        <f>IF(OR(原始資料!$A332="",1&gt;設定!$B$3,原始資料!D332=""),"",1)</f>
        <v/>
      </c>
      <c r="C332" s="6">
        <f>IF(OR(原始資料!$A332="",2&gt;設定!$B$3,原始資料!E332=""),"",IF(AND(原始資料!D332&lt;&gt;"",原始資料!E332=原始資料!D332),N(B332)+1,1))</f>
        <v/>
      </c>
      <c r="D332" s="6">
        <f>IF(OR(原始資料!$A332="",3&gt;設定!$B$3,原始資料!F332=""),"",IF(AND(原始資料!E332&lt;&gt;"",原始資料!F332=原始資料!E332),N(C332)+1,1))</f>
        <v/>
      </c>
      <c r="E332" s="6">
        <f>IF(OR(原始資料!$A332="",4&gt;設定!$B$3,原始資料!G332=""),"",IF(AND(原始資料!F332&lt;&gt;"",原始資料!G332=原始資料!F332),N(D332)+1,1))</f>
        <v/>
      </c>
      <c r="F332" s="6">
        <f>IF(OR(原始資料!$A332="",5&gt;設定!$B$3,原始資料!H332=""),"",IF(AND(原始資料!G332&lt;&gt;"",原始資料!H332=原始資料!G332),N(E332)+1,1))</f>
        <v/>
      </c>
      <c r="G332" s="6">
        <f>IF(OR(原始資料!$A332="",6&gt;設定!$B$3,原始資料!I332=""),"",IF(AND(原始資料!H332&lt;&gt;"",原始資料!I332=原始資料!H332),N(F332)+1,1))</f>
        <v/>
      </c>
      <c r="H332" s="6">
        <f>IF(OR(原始資料!$A332="",7&gt;設定!$B$3,原始資料!J332=""),"",IF(AND(原始資料!I332&lt;&gt;"",原始資料!J332=原始資料!I332),N(G332)+1,1))</f>
        <v/>
      </c>
      <c r="I332" s="6">
        <f>IF(OR(原始資料!$A332="",8&gt;設定!$B$3,原始資料!K332=""),"",IF(AND(原始資料!J332&lt;&gt;"",原始資料!K332=原始資料!J332),N(H332)+1,1))</f>
        <v/>
      </c>
      <c r="J332" s="6">
        <f>IF(OR(原始資料!$A332="",9&gt;設定!$B$3,原始資料!L332=""),"",IF(AND(原始資料!K332&lt;&gt;"",原始資料!L332=原始資料!K332),N(I332)+1,1))</f>
        <v/>
      </c>
      <c r="K332" s="6">
        <f>IF(OR(原始資料!$A332="",10&gt;設定!$B$3,原始資料!M332=""),"",IF(AND(原始資料!L332&lt;&gt;"",原始資料!M332=原始資料!L332),N(J332)+1,1))</f>
        <v/>
      </c>
      <c r="L332" s="6">
        <f>IF(OR(原始資料!$A332="",11&gt;設定!$B$3,原始資料!N332=""),"",IF(AND(原始資料!M332&lt;&gt;"",原始資料!N332=原始資料!M332),N(K332)+1,1))</f>
        <v/>
      </c>
      <c r="M332" s="6">
        <f>IF(OR(原始資料!$A332="",12&gt;設定!$B$3,原始資料!O332=""),"",IF(AND(原始資料!N332&lt;&gt;"",原始資料!O332=原始資料!N332),N(L332)+1,1))</f>
        <v/>
      </c>
      <c r="N332" s="6">
        <f>IF(OR(原始資料!$A332="",13&gt;設定!$B$3,原始資料!P332=""),"",IF(AND(原始資料!O332&lt;&gt;"",原始資料!P332=原始資料!O332),N(M332)+1,1))</f>
        <v/>
      </c>
      <c r="O332" s="6">
        <f>IF(OR(原始資料!$A332="",14&gt;設定!$B$3,原始資料!Q332=""),"",IF(AND(原始資料!P332&lt;&gt;"",原始資料!Q332=原始資料!P332),N(N332)+1,1))</f>
        <v/>
      </c>
      <c r="P332" s="6">
        <f>IF(OR(原始資料!$A332="",15&gt;設定!$B$3,原始資料!R332=""),"",IF(AND(原始資料!Q332&lt;&gt;"",原始資料!R332=原始資料!Q332),N(O332)+1,1))</f>
        <v/>
      </c>
      <c r="Q332" s="6">
        <f>IF(OR(原始資料!$A332="",16&gt;設定!$B$3,原始資料!S332=""),"",IF(AND(原始資料!R332&lt;&gt;"",原始資料!S332=原始資料!R332),N(P332)+1,1))</f>
        <v/>
      </c>
      <c r="R332" s="6">
        <f>IF(OR(原始資料!$A332="",17&gt;設定!$B$3,原始資料!T332=""),"",IF(AND(原始資料!S332&lt;&gt;"",原始資料!T332=原始資料!S332),N(Q332)+1,1))</f>
        <v/>
      </c>
      <c r="S332" s="6">
        <f>IF(OR(原始資料!$A332="",18&gt;設定!$B$3,原始資料!U332=""),"",IF(AND(原始資料!T332&lt;&gt;"",原始資料!U332=原始資料!T332),N(R332)+1,1))</f>
        <v/>
      </c>
      <c r="T332" s="6">
        <f>IF(OR(原始資料!$A332="",19&gt;設定!$B$3,原始資料!V332=""),"",IF(AND(原始資料!U332&lt;&gt;"",原始資料!V332=原始資料!U332),N(S332)+1,1))</f>
        <v/>
      </c>
      <c r="U332" s="6">
        <f>IF(OR(原始資料!$A332="",20&gt;設定!$B$3,原始資料!W332=""),"",IF(AND(原始資料!V332&lt;&gt;"",原始資料!W332=原始資料!V332),N(T332)+1,1))</f>
        <v/>
      </c>
      <c r="V332" s="6">
        <f>IF(OR(原始資料!$A332="",21&gt;設定!$B$3,原始資料!X332=""),"",IF(AND(原始資料!W332&lt;&gt;"",原始資料!X332=原始資料!W332),N(U332)+1,1))</f>
        <v/>
      </c>
      <c r="W332" s="6">
        <f>IF(OR(原始資料!$A332="",22&gt;設定!$B$3,原始資料!Y332=""),"",IF(AND(原始資料!X332&lt;&gt;"",原始資料!Y332=原始資料!X332),N(V332)+1,1))</f>
        <v/>
      </c>
      <c r="X332" s="6">
        <f>IF(OR(原始資料!$A332="",23&gt;設定!$B$3,原始資料!Z332=""),"",IF(AND(原始資料!Y332&lt;&gt;"",原始資料!Z332=原始資料!Y332),N(W332)+1,1))</f>
        <v/>
      </c>
      <c r="Y332" s="6">
        <f>IF(OR(原始資料!$A332="",24&gt;設定!$B$3,原始資料!AA332=""),"",IF(AND(原始資料!Z332&lt;&gt;"",原始資料!AA332=原始資料!Z332),N(X332)+1,1))</f>
        <v/>
      </c>
      <c r="Z332" s="6">
        <f>IF(OR(原始資料!$A332="",25&gt;設定!$B$3,原始資料!AB332=""),"",IF(AND(原始資料!AA332&lt;&gt;"",原始資料!AB332=原始資料!AA332),N(Y332)+1,1))</f>
        <v/>
      </c>
      <c r="AA332" s="6">
        <f>IF(OR(原始資料!$A332="",26&gt;設定!$B$3,原始資料!AC332=""),"",IF(AND(原始資料!AB332&lt;&gt;"",原始資料!AC332=原始資料!AB332),N(Z332)+1,1))</f>
        <v/>
      </c>
      <c r="AB332" s="6">
        <f>IF(OR(原始資料!$A332="",27&gt;設定!$B$3,原始資料!AD332=""),"",IF(AND(原始資料!AC332&lt;&gt;"",原始資料!AD332=原始資料!AC332),N(AA332)+1,1))</f>
        <v/>
      </c>
      <c r="AC332" s="6">
        <f>IF(OR(原始資料!$A332="",28&gt;設定!$B$3,原始資料!AE332=""),"",IF(AND(原始資料!AD332&lt;&gt;"",原始資料!AE332=原始資料!AD332),N(AB332)+1,1))</f>
        <v/>
      </c>
      <c r="AD332" s="6">
        <f>IF(OR(原始資料!$A332="",29&gt;設定!$B$3,原始資料!AF332=""),"",IF(AND(原始資料!AE332&lt;&gt;"",原始資料!AF332=原始資料!AE332),N(AC332)+1,1))</f>
        <v/>
      </c>
      <c r="AE332" s="6">
        <f>IF(OR(原始資料!$A332="",30&gt;設定!$B$3,原始資料!AG332=""),"",IF(AND(原始資料!AF332&lt;&gt;"",原始資料!AG332=原始資料!AF332),N(AD332)+1,1))</f>
        <v/>
      </c>
      <c r="AF332" s="6">
        <f>IF(OR(原始資料!$A332="",31&gt;設定!$B$3,原始資料!AH332=""),"",IF(AND(原始資料!AG332&lt;&gt;"",原始資料!AH332=原始資料!AG332),N(AE332)+1,1))</f>
        <v/>
      </c>
      <c r="AG332" s="6">
        <f>IF(OR(原始資料!$A332="",32&gt;設定!$B$3,原始資料!AI332=""),"",IF(AND(原始資料!AH332&lt;&gt;"",原始資料!AI332=原始資料!AH332),N(AF332)+1,1))</f>
        <v/>
      </c>
      <c r="AH332" s="6">
        <f>IF(OR(原始資料!$A332="",33&gt;設定!$B$3,原始資料!AJ332=""),"",IF(AND(原始資料!AI332&lt;&gt;"",原始資料!AJ332=原始資料!AI332),N(AG332)+1,1))</f>
        <v/>
      </c>
      <c r="AI332" s="6">
        <f>IF(OR(原始資料!$A332="",34&gt;設定!$B$3,原始資料!AK332=""),"",IF(AND(原始資料!AJ332&lt;&gt;"",原始資料!AK332=原始資料!AJ332),N(AH332)+1,1))</f>
        <v/>
      </c>
      <c r="AJ332" s="6">
        <f>IF(OR(原始資料!$A332="",35&gt;設定!$B$3,原始資料!AL332=""),"",IF(AND(原始資料!AK332&lt;&gt;"",原始資料!AL332=原始資料!AK332),N(AI332)+1,1))</f>
        <v/>
      </c>
      <c r="AK332" s="6">
        <f>IF(OR(原始資料!$A332="",36&gt;設定!$B$3,原始資料!AM332=""),"",IF(AND(原始資料!AL332&lt;&gt;"",原始資料!AM332=原始資料!AL332),N(AJ332)+1,1))</f>
        <v/>
      </c>
      <c r="AL332" s="6">
        <f>IF(OR(原始資料!$A332="",37&gt;設定!$B$3,原始資料!AN332=""),"",IF(AND(原始資料!AM332&lt;&gt;"",原始資料!AN332=原始資料!AM332),N(AK332)+1,1))</f>
        <v/>
      </c>
      <c r="AM332" s="6">
        <f>IF(OR(原始資料!$A332="",38&gt;設定!$B$3,原始資料!AO332=""),"",IF(AND(原始資料!AN332&lt;&gt;"",原始資料!AO332=原始資料!AN332),N(AL332)+1,1))</f>
        <v/>
      </c>
      <c r="AN332" s="6">
        <f>IF(OR(原始資料!$A332="",39&gt;設定!$B$3,原始資料!AP332=""),"",IF(AND(原始資料!AO332&lt;&gt;"",原始資料!AP332=原始資料!AO332),N(AM332)+1,1))</f>
        <v/>
      </c>
      <c r="AO332" s="6">
        <f>IF(OR(原始資料!$A332="",40&gt;設定!$B$3,原始資料!AQ332=""),"",IF(AND(原始資料!AP332&lt;&gt;"",原始資料!AQ332=原始資料!AP332),N(AN332)+1,1))</f>
        <v/>
      </c>
      <c r="AP332" s="6">
        <f>IF(OR(原始資料!$A332="",41&gt;設定!$B$3,原始資料!AR332=""),"",IF(AND(原始資料!AQ332&lt;&gt;"",原始資料!AR332=原始資料!AQ332),N(AO332)+1,1))</f>
        <v/>
      </c>
      <c r="AQ332" s="6">
        <f>IF(OR(原始資料!$A332="",42&gt;設定!$B$3,原始資料!AS332=""),"",IF(AND(原始資料!AR332&lt;&gt;"",原始資料!AS332=原始資料!AR332),N(AP332)+1,1))</f>
        <v/>
      </c>
      <c r="AR332" s="6">
        <f>IF(OR(原始資料!$A332="",43&gt;設定!$B$3,原始資料!AT332=""),"",IF(AND(原始資料!AS332&lt;&gt;"",原始資料!AT332=原始資料!AS332),N(AQ332)+1,1))</f>
        <v/>
      </c>
      <c r="AS332" s="6">
        <f>IF(OR(原始資料!$A332="",44&gt;設定!$B$3,原始資料!AU332=""),"",IF(AND(原始資料!AT332&lt;&gt;"",原始資料!AU332=原始資料!AT332),N(AR332)+1,1))</f>
        <v/>
      </c>
      <c r="AT332" s="6">
        <f>IF(OR(原始資料!$A332="",45&gt;設定!$B$3,原始資料!AV332=""),"",IF(AND(原始資料!AU332&lt;&gt;"",原始資料!AV332=原始資料!AU332),N(AS332)+1,1))</f>
        <v/>
      </c>
      <c r="AU332" s="6">
        <f>IF(OR(原始資料!$A332="",46&gt;設定!$B$3,原始資料!AW332=""),"",IF(AND(原始資料!AV332&lt;&gt;"",原始資料!AW332=原始資料!AV332),N(AT332)+1,1))</f>
        <v/>
      </c>
      <c r="AV332" s="6">
        <f>IF(OR(原始資料!$A332="",47&gt;設定!$B$3,原始資料!AX332=""),"",IF(AND(原始資料!AW332&lt;&gt;"",原始資料!AX332=原始資料!AW332),N(AU332)+1,1))</f>
        <v/>
      </c>
      <c r="AW332" s="6">
        <f>IF(OR(原始資料!$A332="",48&gt;設定!$B$3,原始資料!AY332=""),"",IF(AND(原始資料!AX332&lt;&gt;"",原始資料!AY332=原始資料!AX332),N(AV332)+1,1))</f>
        <v/>
      </c>
      <c r="AX332" s="6">
        <f>IF(OR(原始資料!$A332="",49&gt;設定!$B$3,原始資料!AZ332=""),"",IF(AND(原始資料!AY332&lt;&gt;"",原始資料!AZ332=原始資料!AY332),N(AW332)+1,1))</f>
        <v/>
      </c>
      <c r="AY332" s="6">
        <f>IF(OR(原始資料!$A332="",50&gt;設定!$B$3,原始資料!BA332=""),"",IF(AND(原始資料!AZ332&lt;&gt;"",原始資料!BA332=原始資料!AZ332),N(AX332)+1,1))</f>
        <v/>
      </c>
      <c r="AZ332" s="6">
        <f>IF(OR(原始資料!$A332="",51&gt;設定!$B$3,原始資料!BB332=""),"",IF(AND(原始資料!BA332&lt;&gt;"",原始資料!BB332=原始資料!BA332),N(AY332)+1,1))</f>
        <v/>
      </c>
      <c r="BA332" s="6">
        <f>IF(OR(原始資料!$A332="",52&gt;設定!$B$3,原始資料!BC332=""),"",IF(AND(原始資料!BB332&lt;&gt;"",原始資料!BC332=原始資料!BB332),N(AZ332)+1,1))</f>
        <v/>
      </c>
      <c r="BB332" s="6">
        <f>IF(OR(原始資料!$A332="",53&gt;設定!$B$3,原始資料!BD332=""),"",IF(AND(原始資料!BC332&lt;&gt;"",原始資料!BD332=原始資料!BC332),N(BA332)+1,1))</f>
        <v/>
      </c>
      <c r="BC332" s="6">
        <f>IF(OR(原始資料!$A332="",54&gt;設定!$B$3,原始資料!BE332=""),"",IF(AND(原始資料!BD332&lt;&gt;"",原始資料!BE332=原始資料!BD332),N(BB332)+1,1))</f>
        <v/>
      </c>
      <c r="BD332" s="6">
        <f>IF(OR(原始資料!$A332="",55&gt;設定!$B$3,原始資料!BF332=""),"",IF(AND(原始資料!BE332&lt;&gt;"",原始資料!BF332=原始資料!BE332),N(BC332)+1,1))</f>
        <v/>
      </c>
      <c r="BE332" s="6">
        <f>IF(OR(原始資料!$A332="",56&gt;設定!$B$3,原始資料!BG332=""),"",IF(AND(原始資料!BF332&lt;&gt;"",原始資料!BG332=原始資料!BF332),N(BD332)+1,1))</f>
        <v/>
      </c>
      <c r="BF332" s="6">
        <f>IF(OR(原始資料!$A332="",57&gt;設定!$B$3,原始資料!BH332=""),"",IF(AND(原始資料!BG332&lt;&gt;"",原始資料!BH332=原始資料!BG332),N(BE332)+1,1))</f>
        <v/>
      </c>
      <c r="BG332" s="6">
        <f>IF(OR(原始資料!$A332="",58&gt;設定!$B$3,原始資料!BI332=""),"",IF(AND(原始資料!BH332&lt;&gt;"",原始資料!BI332=原始資料!BH332),N(BF332)+1,1))</f>
        <v/>
      </c>
      <c r="BH332" s="6">
        <f>IF(OR(原始資料!$A332="",59&gt;設定!$B$3,原始資料!BJ332=""),"",IF(AND(原始資料!BI332&lt;&gt;"",原始資料!BJ332=原始資料!BI332),N(BG332)+1,1))</f>
        <v/>
      </c>
      <c r="BI332" s="6">
        <f>IF(OR(原始資料!$A332="",60&gt;設定!$B$3,原始資料!BK332=""),"",IF(AND(原始資料!BJ332&lt;&gt;"",原始資料!BK332=原始資料!BJ332),N(BH332)+1,1))</f>
        <v/>
      </c>
    </row>
    <row r="333">
      <c r="A333" s="6">
        <f>IF(原始資料!$A333="","",原始資料!$A333)</f>
        <v/>
      </c>
      <c r="B333" s="6">
        <f>IF(OR(原始資料!$A333="",1&gt;設定!$B$3,原始資料!D333=""),"",1)</f>
        <v/>
      </c>
      <c r="C333" s="6">
        <f>IF(OR(原始資料!$A333="",2&gt;設定!$B$3,原始資料!E333=""),"",IF(AND(原始資料!D333&lt;&gt;"",原始資料!E333=原始資料!D333),N(B333)+1,1))</f>
        <v/>
      </c>
      <c r="D333" s="6">
        <f>IF(OR(原始資料!$A333="",3&gt;設定!$B$3,原始資料!F333=""),"",IF(AND(原始資料!E333&lt;&gt;"",原始資料!F333=原始資料!E333),N(C333)+1,1))</f>
        <v/>
      </c>
      <c r="E333" s="6">
        <f>IF(OR(原始資料!$A333="",4&gt;設定!$B$3,原始資料!G333=""),"",IF(AND(原始資料!F333&lt;&gt;"",原始資料!G333=原始資料!F333),N(D333)+1,1))</f>
        <v/>
      </c>
      <c r="F333" s="6">
        <f>IF(OR(原始資料!$A333="",5&gt;設定!$B$3,原始資料!H333=""),"",IF(AND(原始資料!G333&lt;&gt;"",原始資料!H333=原始資料!G333),N(E333)+1,1))</f>
        <v/>
      </c>
      <c r="G333" s="6">
        <f>IF(OR(原始資料!$A333="",6&gt;設定!$B$3,原始資料!I333=""),"",IF(AND(原始資料!H333&lt;&gt;"",原始資料!I333=原始資料!H333),N(F333)+1,1))</f>
        <v/>
      </c>
      <c r="H333" s="6">
        <f>IF(OR(原始資料!$A333="",7&gt;設定!$B$3,原始資料!J333=""),"",IF(AND(原始資料!I333&lt;&gt;"",原始資料!J333=原始資料!I333),N(G333)+1,1))</f>
        <v/>
      </c>
      <c r="I333" s="6">
        <f>IF(OR(原始資料!$A333="",8&gt;設定!$B$3,原始資料!K333=""),"",IF(AND(原始資料!J333&lt;&gt;"",原始資料!K333=原始資料!J333),N(H333)+1,1))</f>
        <v/>
      </c>
      <c r="J333" s="6">
        <f>IF(OR(原始資料!$A333="",9&gt;設定!$B$3,原始資料!L333=""),"",IF(AND(原始資料!K333&lt;&gt;"",原始資料!L333=原始資料!K333),N(I333)+1,1))</f>
        <v/>
      </c>
      <c r="K333" s="6">
        <f>IF(OR(原始資料!$A333="",10&gt;設定!$B$3,原始資料!M333=""),"",IF(AND(原始資料!L333&lt;&gt;"",原始資料!M333=原始資料!L333),N(J333)+1,1))</f>
        <v/>
      </c>
      <c r="L333" s="6">
        <f>IF(OR(原始資料!$A333="",11&gt;設定!$B$3,原始資料!N333=""),"",IF(AND(原始資料!M333&lt;&gt;"",原始資料!N333=原始資料!M333),N(K333)+1,1))</f>
        <v/>
      </c>
      <c r="M333" s="6">
        <f>IF(OR(原始資料!$A333="",12&gt;設定!$B$3,原始資料!O333=""),"",IF(AND(原始資料!N333&lt;&gt;"",原始資料!O333=原始資料!N333),N(L333)+1,1))</f>
        <v/>
      </c>
      <c r="N333" s="6">
        <f>IF(OR(原始資料!$A333="",13&gt;設定!$B$3,原始資料!P333=""),"",IF(AND(原始資料!O333&lt;&gt;"",原始資料!P333=原始資料!O333),N(M333)+1,1))</f>
        <v/>
      </c>
      <c r="O333" s="6">
        <f>IF(OR(原始資料!$A333="",14&gt;設定!$B$3,原始資料!Q333=""),"",IF(AND(原始資料!P333&lt;&gt;"",原始資料!Q333=原始資料!P333),N(N333)+1,1))</f>
        <v/>
      </c>
      <c r="P333" s="6">
        <f>IF(OR(原始資料!$A333="",15&gt;設定!$B$3,原始資料!R333=""),"",IF(AND(原始資料!Q333&lt;&gt;"",原始資料!R333=原始資料!Q333),N(O333)+1,1))</f>
        <v/>
      </c>
      <c r="Q333" s="6">
        <f>IF(OR(原始資料!$A333="",16&gt;設定!$B$3,原始資料!S333=""),"",IF(AND(原始資料!R333&lt;&gt;"",原始資料!S333=原始資料!R333),N(P333)+1,1))</f>
        <v/>
      </c>
      <c r="R333" s="6">
        <f>IF(OR(原始資料!$A333="",17&gt;設定!$B$3,原始資料!T333=""),"",IF(AND(原始資料!S333&lt;&gt;"",原始資料!T333=原始資料!S333),N(Q333)+1,1))</f>
        <v/>
      </c>
      <c r="S333" s="6">
        <f>IF(OR(原始資料!$A333="",18&gt;設定!$B$3,原始資料!U333=""),"",IF(AND(原始資料!T333&lt;&gt;"",原始資料!U333=原始資料!T333),N(R333)+1,1))</f>
        <v/>
      </c>
      <c r="T333" s="6">
        <f>IF(OR(原始資料!$A333="",19&gt;設定!$B$3,原始資料!V333=""),"",IF(AND(原始資料!U333&lt;&gt;"",原始資料!V333=原始資料!U333),N(S333)+1,1))</f>
        <v/>
      </c>
      <c r="U333" s="6">
        <f>IF(OR(原始資料!$A333="",20&gt;設定!$B$3,原始資料!W333=""),"",IF(AND(原始資料!V333&lt;&gt;"",原始資料!W333=原始資料!V333),N(T333)+1,1))</f>
        <v/>
      </c>
      <c r="V333" s="6">
        <f>IF(OR(原始資料!$A333="",21&gt;設定!$B$3,原始資料!X333=""),"",IF(AND(原始資料!W333&lt;&gt;"",原始資料!X333=原始資料!W333),N(U333)+1,1))</f>
        <v/>
      </c>
      <c r="W333" s="6">
        <f>IF(OR(原始資料!$A333="",22&gt;設定!$B$3,原始資料!Y333=""),"",IF(AND(原始資料!X333&lt;&gt;"",原始資料!Y333=原始資料!X333),N(V333)+1,1))</f>
        <v/>
      </c>
      <c r="X333" s="6">
        <f>IF(OR(原始資料!$A333="",23&gt;設定!$B$3,原始資料!Z333=""),"",IF(AND(原始資料!Y333&lt;&gt;"",原始資料!Z333=原始資料!Y333),N(W333)+1,1))</f>
        <v/>
      </c>
      <c r="Y333" s="6">
        <f>IF(OR(原始資料!$A333="",24&gt;設定!$B$3,原始資料!AA333=""),"",IF(AND(原始資料!Z333&lt;&gt;"",原始資料!AA333=原始資料!Z333),N(X333)+1,1))</f>
        <v/>
      </c>
      <c r="Z333" s="6">
        <f>IF(OR(原始資料!$A333="",25&gt;設定!$B$3,原始資料!AB333=""),"",IF(AND(原始資料!AA333&lt;&gt;"",原始資料!AB333=原始資料!AA333),N(Y333)+1,1))</f>
        <v/>
      </c>
      <c r="AA333" s="6">
        <f>IF(OR(原始資料!$A333="",26&gt;設定!$B$3,原始資料!AC333=""),"",IF(AND(原始資料!AB333&lt;&gt;"",原始資料!AC333=原始資料!AB333),N(Z333)+1,1))</f>
        <v/>
      </c>
      <c r="AB333" s="6">
        <f>IF(OR(原始資料!$A333="",27&gt;設定!$B$3,原始資料!AD333=""),"",IF(AND(原始資料!AC333&lt;&gt;"",原始資料!AD333=原始資料!AC333),N(AA333)+1,1))</f>
        <v/>
      </c>
      <c r="AC333" s="6">
        <f>IF(OR(原始資料!$A333="",28&gt;設定!$B$3,原始資料!AE333=""),"",IF(AND(原始資料!AD333&lt;&gt;"",原始資料!AE333=原始資料!AD333),N(AB333)+1,1))</f>
        <v/>
      </c>
      <c r="AD333" s="6">
        <f>IF(OR(原始資料!$A333="",29&gt;設定!$B$3,原始資料!AF333=""),"",IF(AND(原始資料!AE333&lt;&gt;"",原始資料!AF333=原始資料!AE333),N(AC333)+1,1))</f>
        <v/>
      </c>
      <c r="AE333" s="6">
        <f>IF(OR(原始資料!$A333="",30&gt;設定!$B$3,原始資料!AG333=""),"",IF(AND(原始資料!AF333&lt;&gt;"",原始資料!AG333=原始資料!AF333),N(AD333)+1,1))</f>
        <v/>
      </c>
      <c r="AF333" s="6">
        <f>IF(OR(原始資料!$A333="",31&gt;設定!$B$3,原始資料!AH333=""),"",IF(AND(原始資料!AG333&lt;&gt;"",原始資料!AH333=原始資料!AG333),N(AE333)+1,1))</f>
        <v/>
      </c>
      <c r="AG333" s="6">
        <f>IF(OR(原始資料!$A333="",32&gt;設定!$B$3,原始資料!AI333=""),"",IF(AND(原始資料!AH333&lt;&gt;"",原始資料!AI333=原始資料!AH333),N(AF333)+1,1))</f>
        <v/>
      </c>
      <c r="AH333" s="6">
        <f>IF(OR(原始資料!$A333="",33&gt;設定!$B$3,原始資料!AJ333=""),"",IF(AND(原始資料!AI333&lt;&gt;"",原始資料!AJ333=原始資料!AI333),N(AG333)+1,1))</f>
        <v/>
      </c>
      <c r="AI333" s="6">
        <f>IF(OR(原始資料!$A333="",34&gt;設定!$B$3,原始資料!AK333=""),"",IF(AND(原始資料!AJ333&lt;&gt;"",原始資料!AK333=原始資料!AJ333),N(AH333)+1,1))</f>
        <v/>
      </c>
      <c r="AJ333" s="6">
        <f>IF(OR(原始資料!$A333="",35&gt;設定!$B$3,原始資料!AL333=""),"",IF(AND(原始資料!AK333&lt;&gt;"",原始資料!AL333=原始資料!AK333),N(AI333)+1,1))</f>
        <v/>
      </c>
      <c r="AK333" s="6">
        <f>IF(OR(原始資料!$A333="",36&gt;設定!$B$3,原始資料!AM333=""),"",IF(AND(原始資料!AL333&lt;&gt;"",原始資料!AM333=原始資料!AL333),N(AJ333)+1,1))</f>
        <v/>
      </c>
      <c r="AL333" s="6">
        <f>IF(OR(原始資料!$A333="",37&gt;設定!$B$3,原始資料!AN333=""),"",IF(AND(原始資料!AM333&lt;&gt;"",原始資料!AN333=原始資料!AM333),N(AK333)+1,1))</f>
        <v/>
      </c>
      <c r="AM333" s="6">
        <f>IF(OR(原始資料!$A333="",38&gt;設定!$B$3,原始資料!AO333=""),"",IF(AND(原始資料!AN333&lt;&gt;"",原始資料!AO333=原始資料!AN333),N(AL333)+1,1))</f>
        <v/>
      </c>
      <c r="AN333" s="6">
        <f>IF(OR(原始資料!$A333="",39&gt;設定!$B$3,原始資料!AP333=""),"",IF(AND(原始資料!AO333&lt;&gt;"",原始資料!AP333=原始資料!AO333),N(AM333)+1,1))</f>
        <v/>
      </c>
      <c r="AO333" s="6">
        <f>IF(OR(原始資料!$A333="",40&gt;設定!$B$3,原始資料!AQ333=""),"",IF(AND(原始資料!AP333&lt;&gt;"",原始資料!AQ333=原始資料!AP333),N(AN333)+1,1))</f>
        <v/>
      </c>
      <c r="AP333" s="6">
        <f>IF(OR(原始資料!$A333="",41&gt;設定!$B$3,原始資料!AR333=""),"",IF(AND(原始資料!AQ333&lt;&gt;"",原始資料!AR333=原始資料!AQ333),N(AO333)+1,1))</f>
        <v/>
      </c>
      <c r="AQ333" s="6">
        <f>IF(OR(原始資料!$A333="",42&gt;設定!$B$3,原始資料!AS333=""),"",IF(AND(原始資料!AR333&lt;&gt;"",原始資料!AS333=原始資料!AR333),N(AP333)+1,1))</f>
        <v/>
      </c>
      <c r="AR333" s="6">
        <f>IF(OR(原始資料!$A333="",43&gt;設定!$B$3,原始資料!AT333=""),"",IF(AND(原始資料!AS333&lt;&gt;"",原始資料!AT333=原始資料!AS333),N(AQ333)+1,1))</f>
        <v/>
      </c>
      <c r="AS333" s="6">
        <f>IF(OR(原始資料!$A333="",44&gt;設定!$B$3,原始資料!AU333=""),"",IF(AND(原始資料!AT333&lt;&gt;"",原始資料!AU333=原始資料!AT333),N(AR333)+1,1))</f>
        <v/>
      </c>
      <c r="AT333" s="6">
        <f>IF(OR(原始資料!$A333="",45&gt;設定!$B$3,原始資料!AV333=""),"",IF(AND(原始資料!AU333&lt;&gt;"",原始資料!AV333=原始資料!AU333),N(AS333)+1,1))</f>
        <v/>
      </c>
      <c r="AU333" s="6">
        <f>IF(OR(原始資料!$A333="",46&gt;設定!$B$3,原始資料!AW333=""),"",IF(AND(原始資料!AV333&lt;&gt;"",原始資料!AW333=原始資料!AV333),N(AT333)+1,1))</f>
        <v/>
      </c>
      <c r="AV333" s="6">
        <f>IF(OR(原始資料!$A333="",47&gt;設定!$B$3,原始資料!AX333=""),"",IF(AND(原始資料!AW333&lt;&gt;"",原始資料!AX333=原始資料!AW333),N(AU333)+1,1))</f>
        <v/>
      </c>
      <c r="AW333" s="6">
        <f>IF(OR(原始資料!$A333="",48&gt;設定!$B$3,原始資料!AY333=""),"",IF(AND(原始資料!AX333&lt;&gt;"",原始資料!AY333=原始資料!AX333),N(AV333)+1,1))</f>
        <v/>
      </c>
      <c r="AX333" s="6">
        <f>IF(OR(原始資料!$A333="",49&gt;設定!$B$3,原始資料!AZ333=""),"",IF(AND(原始資料!AY333&lt;&gt;"",原始資料!AZ333=原始資料!AY333),N(AW333)+1,1))</f>
        <v/>
      </c>
      <c r="AY333" s="6">
        <f>IF(OR(原始資料!$A333="",50&gt;設定!$B$3,原始資料!BA333=""),"",IF(AND(原始資料!AZ333&lt;&gt;"",原始資料!BA333=原始資料!AZ333),N(AX333)+1,1))</f>
        <v/>
      </c>
      <c r="AZ333" s="6">
        <f>IF(OR(原始資料!$A333="",51&gt;設定!$B$3,原始資料!BB333=""),"",IF(AND(原始資料!BA333&lt;&gt;"",原始資料!BB333=原始資料!BA333),N(AY333)+1,1))</f>
        <v/>
      </c>
      <c r="BA333" s="6">
        <f>IF(OR(原始資料!$A333="",52&gt;設定!$B$3,原始資料!BC333=""),"",IF(AND(原始資料!BB333&lt;&gt;"",原始資料!BC333=原始資料!BB333),N(AZ333)+1,1))</f>
        <v/>
      </c>
      <c r="BB333" s="6">
        <f>IF(OR(原始資料!$A333="",53&gt;設定!$B$3,原始資料!BD333=""),"",IF(AND(原始資料!BC333&lt;&gt;"",原始資料!BD333=原始資料!BC333),N(BA333)+1,1))</f>
        <v/>
      </c>
      <c r="BC333" s="6">
        <f>IF(OR(原始資料!$A333="",54&gt;設定!$B$3,原始資料!BE333=""),"",IF(AND(原始資料!BD333&lt;&gt;"",原始資料!BE333=原始資料!BD333),N(BB333)+1,1))</f>
        <v/>
      </c>
      <c r="BD333" s="6">
        <f>IF(OR(原始資料!$A333="",55&gt;設定!$B$3,原始資料!BF333=""),"",IF(AND(原始資料!BE333&lt;&gt;"",原始資料!BF333=原始資料!BE333),N(BC333)+1,1))</f>
        <v/>
      </c>
      <c r="BE333" s="6">
        <f>IF(OR(原始資料!$A333="",56&gt;設定!$B$3,原始資料!BG333=""),"",IF(AND(原始資料!BF333&lt;&gt;"",原始資料!BG333=原始資料!BF333),N(BD333)+1,1))</f>
        <v/>
      </c>
      <c r="BF333" s="6">
        <f>IF(OR(原始資料!$A333="",57&gt;設定!$B$3,原始資料!BH333=""),"",IF(AND(原始資料!BG333&lt;&gt;"",原始資料!BH333=原始資料!BG333),N(BE333)+1,1))</f>
        <v/>
      </c>
      <c r="BG333" s="6">
        <f>IF(OR(原始資料!$A333="",58&gt;設定!$B$3,原始資料!BI333=""),"",IF(AND(原始資料!BH333&lt;&gt;"",原始資料!BI333=原始資料!BH333),N(BF333)+1,1))</f>
        <v/>
      </c>
      <c r="BH333" s="6">
        <f>IF(OR(原始資料!$A333="",59&gt;設定!$B$3,原始資料!BJ333=""),"",IF(AND(原始資料!BI333&lt;&gt;"",原始資料!BJ333=原始資料!BI333),N(BG333)+1,1))</f>
        <v/>
      </c>
      <c r="BI333" s="6">
        <f>IF(OR(原始資料!$A333="",60&gt;設定!$B$3,原始資料!BK333=""),"",IF(AND(原始資料!BJ333&lt;&gt;"",原始資料!BK333=原始資料!BJ333),N(BH333)+1,1))</f>
        <v/>
      </c>
    </row>
    <row r="334">
      <c r="A334" s="6">
        <f>IF(原始資料!$A334="","",原始資料!$A334)</f>
        <v/>
      </c>
      <c r="B334" s="6">
        <f>IF(OR(原始資料!$A334="",1&gt;設定!$B$3,原始資料!D334=""),"",1)</f>
        <v/>
      </c>
      <c r="C334" s="6">
        <f>IF(OR(原始資料!$A334="",2&gt;設定!$B$3,原始資料!E334=""),"",IF(AND(原始資料!D334&lt;&gt;"",原始資料!E334=原始資料!D334),N(B334)+1,1))</f>
        <v/>
      </c>
      <c r="D334" s="6">
        <f>IF(OR(原始資料!$A334="",3&gt;設定!$B$3,原始資料!F334=""),"",IF(AND(原始資料!E334&lt;&gt;"",原始資料!F334=原始資料!E334),N(C334)+1,1))</f>
        <v/>
      </c>
      <c r="E334" s="6">
        <f>IF(OR(原始資料!$A334="",4&gt;設定!$B$3,原始資料!G334=""),"",IF(AND(原始資料!F334&lt;&gt;"",原始資料!G334=原始資料!F334),N(D334)+1,1))</f>
        <v/>
      </c>
      <c r="F334" s="6">
        <f>IF(OR(原始資料!$A334="",5&gt;設定!$B$3,原始資料!H334=""),"",IF(AND(原始資料!G334&lt;&gt;"",原始資料!H334=原始資料!G334),N(E334)+1,1))</f>
        <v/>
      </c>
      <c r="G334" s="6">
        <f>IF(OR(原始資料!$A334="",6&gt;設定!$B$3,原始資料!I334=""),"",IF(AND(原始資料!H334&lt;&gt;"",原始資料!I334=原始資料!H334),N(F334)+1,1))</f>
        <v/>
      </c>
      <c r="H334" s="6">
        <f>IF(OR(原始資料!$A334="",7&gt;設定!$B$3,原始資料!J334=""),"",IF(AND(原始資料!I334&lt;&gt;"",原始資料!J334=原始資料!I334),N(G334)+1,1))</f>
        <v/>
      </c>
      <c r="I334" s="6">
        <f>IF(OR(原始資料!$A334="",8&gt;設定!$B$3,原始資料!K334=""),"",IF(AND(原始資料!J334&lt;&gt;"",原始資料!K334=原始資料!J334),N(H334)+1,1))</f>
        <v/>
      </c>
      <c r="J334" s="6">
        <f>IF(OR(原始資料!$A334="",9&gt;設定!$B$3,原始資料!L334=""),"",IF(AND(原始資料!K334&lt;&gt;"",原始資料!L334=原始資料!K334),N(I334)+1,1))</f>
        <v/>
      </c>
      <c r="K334" s="6">
        <f>IF(OR(原始資料!$A334="",10&gt;設定!$B$3,原始資料!M334=""),"",IF(AND(原始資料!L334&lt;&gt;"",原始資料!M334=原始資料!L334),N(J334)+1,1))</f>
        <v/>
      </c>
      <c r="L334" s="6">
        <f>IF(OR(原始資料!$A334="",11&gt;設定!$B$3,原始資料!N334=""),"",IF(AND(原始資料!M334&lt;&gt;"",原始資料!N334=原始資料!M334),N(K334)+1,1))</f>
        <v/>
      </c>
      <c r="M334" s="6">
        <f>IF(OR(原始資料!$A334="",12&gt;設定!$B$3,原始資料!O334=""),"",IF(AND(原始資料!N334&lt;&gt;"",原始資料!O334=原始資料!N334),N(L334)+1,1))</f>
        <v/>
      </c>
      <c r="N334" s="6">
        <f>IF(OR(原始資料!$A334="",13&gt;設定!$B$3,原始資料!P334=""),"",IF(AND(原始資料!O334&lt;&gt;"",原始資料!P334=原始資料!O334),N(M334)+1,1))</f>
        <v/>
      </c>
      <c r="O334" s="6">
        <f>IF(OR(原始資料!$A334="",14&gt;設定!$B$3,原始資料!Q334=""),"",IF(AND(原始資料!P334&lt;&gt;"",原始資料!Q334=原始資料!P334),N(N334)+1,1))</f>
        <v/>
      </c>
      <c r="P334" s="6">
        <f>IF(OR(原始資料!$A334="",15&gt;設定!$B$3,原始資料!R334=""),"",IF(AND(原始資料!Q334&lt;&gt;"",原始資料!R334=原始資料!Q334),N(O334)+1,1))</f>
        <v/>
      </c>
      <c r="Q334" s="6">
        <f>IF(OR(原始資料!$A334="",16&gt;設定!$B$3,原始資料!S334=""),"",IF(AND(原始資料!R334&lt;&gt;"",原始資料!S334=原始資料!R334),N(P334)+1,1))</f>
        <v/>
      </c>
      <c r="R334" s="6">
        <f>IF(OR(原始資料!$A334="",17&gt;設定!$B$3,原始資料!T334=""),"",IF(AND(原始資料!S334&lt;&gt;"",原始資料!T334=原始資料!S334),N(Q334)+1,1))</f>
        <v/>
      </c>
      <c r="S334" s="6">
        <f>IF(OR(原始資料!$A334="",18&gt;設定!$B$3,原始資料!U334=""),"",IF(AND(原始資料!T334&lt;&gt;"",原始資料!U334=原始資料!T334),N(R334)+1,1))</f>
        <v/>
      </c>
      <c r="T334" s="6">
        <f>IF(OR(原始資料!$A334="",19&gt;設定!$B$3,原始資料!V334=""),"",IF(AND(原始資料!U334&lt;&gt;"",原始資料!V334=原始資料!U334),N(S334)+1,1))</f>
        <v/>
      </c>
      <c r="U334" s="6">
        <f>IF(OR(原始資料!$A334="",20&gt;設定!$B$3,原始資料!W334=""),"",IF(AND(原始資料!V334&lt;&gt;"",原始資料!W334=原始資料!V334),N(T334)+1,1))</f>
        <v/>
      </c>
      <c r="V334" s="6">
        <f>IF(OR(原始資料!$A334="",21&gt;設定!$B$3,原始資料!X334=""),"",IF(AND(原始資料!W334&lt;&gt;"",原始資料!X334=原始資料!W334),N(U334)+1,1))</f>
        <v/>
      </c>
      <c r="W334" s="6">
        <f>IF(OR(原始資料!$A334="",22&gt;設定!$B$3,原始資料!Y334=""),"",IF(AND(原始資料!X334&lt;&gt;"",原始資料!Y334=原始資料!X334),N(V334)+1,1))</f>
        <v/>
      </c>
      <c r="X334" s="6">
        <f>IF(OR(原始資料!$A334="",23&gt;設定!$B$3,原始資料!Z334=""),"",IF(AND(原始資料!Y334&lt;&gt;"",原始資料!Z334=原始資料!Y334),N(W334)+1,1))</f>
        <v/>
      </c>
      <c r="Y334" s="6">
        <f>IF(OR(原始資料!$A334="",24&gt;設定!$B$3,原始資料!AA334=""),"",IF(AND(原始資料!Z334&lt;&gt;"",原始資料!AA334=原始資料!Z334),N(X334)+1,1))</f>
        <v/>
      </c>
      <c r="Z334" s="6">
        <f>IF(OR(原始資料!$A334="",25&gt;設定!$B$3,原始資料!AB334=""),"",IF(AND(原始資料!AA334&lt;&gt;"",原始資料!AB334=原始資料!AA334),N(Y334)+1,1))</f>
        <v/>
      </c>
      <c r="AA334" s="6">
        <f>IF(OR(原始資料!$A334="",26&gt;設定!$B$3,原始資料!AC334=""),"",IF(AND(原始資料!AB334&lt;&gt;"",原始資料!AC334=原始資料!AB334),N(Z334)+1,1))</f>
        <v/>
      </c>
      <c r="AB334" s="6">
        <f>IF(OR(原始資料!$A334="",27&gt;設定!$B$3,原始資料!AD334=""),"",IF(AND(原始資料!AC334&lt;&gt;"",原始資料!AD334=原始資料!AC334),N(AA334)+1,1))</f>
        <v/>
      </c>
      <c r="AC334" s="6">
        <f>IF(OR(原始資料!$A334="",28&gt;設定!$B$3,原始資料!AE334=""),"",IF(AND(原始資料!AD334&lt;&gt;"",原始資料!AE334=原始資料!AD334),N(AB334)+1,1))</f>
        <v/>
      </c>
      <c r="AD334" s="6">
        <f>IF(OR(原始資料!$A334="",29&gt;設定!$B$3,原始資料!AF334=""),"",IF(AND(原始資料!AE334&lt;&gt;"",原始資料!AF334=原始資料!AE334),N(AC334)+1,1))</f>
        <v/>
      </c>
      <c r="AE334" s="6">
        <f>IF(OR(原始資料!$A334="",30&gt;設定!$B$3,原始資料!AG334=""),"",IF(AND(原始資料!AF334&lt;&gt;"",原始資料!AG334=原始資料!AF334),N(AD334)+1,1))</f>
        <v/>
      </c>
      <c r="AF334" s="6">
        <f>IF(OR(原始資料!$A334="",31&gt;設定!$B$3,原始資料!AH334=""),"",IF(AND(原始資料!AG334&lt;&gt;"",原始資料!AH334=原始資料!AG334),N(AE334)+1,1))</f>
        <v/>
      </c>
      <c r="AG334" s="6">
        <f>IF(OR(原始資料!$A334="",32&gt;設定!$B$3,原始資料!AI334=""),"",IF(AND(原始資料!AH334&lt;&gt;"",原始資料!AI334=原始資料!AH334),N(AF334)+1,1))</f>
        <v/>
      </c>
      <c r="AH334" s="6">
        <f>IF(OR(原始資料!$A334="",33&gt;設定!$B$3,原始資料!AJ334=""),"",IF(AND(原始資料!AI334&lt;&gt;"",原始資料!AJ334=原始資料!AI334),N(AG334)+1,1))</f>
        <v/>
      </c>
      <c r="AI334" s="6">
        <f>IF(OR(原始資料!$A334="",34&gt;設定!$B$3,原始資料!AK334=""),"",IF(AND(原始資料!AJ334&lt;&gt;"",原始資料!AK334=原始資料!AJ334),N(AH334)+1,1))</f>
        <v/>
      </c>
      <c r="AJ334" s="6">
        <f>IF(OR(原始資料!$A334="",35&gt;設定!$B$3,原始資料!AL334=""),"",IF(AND(原始資料!AK334&lt;&gt;"",原始資料!AL334=原始資料!AK334),N(AI334)+1,1))</f>
        <v/>
      </c>
      <c r="AK334" s="6">
        <f>IF(OR(原始資料!$A334="",36&gt;設定!$B$3,原始資料!AM334=""),"",IF(AND(原始資料!AL334&lt;&gt;"",原始資料!AM334=原始資料!AL334),N(AJ334)+1,1))</f>
        <v/>
      </c>
      <c r="AL334" s="6">
        <f>IF(OR(原始資料!$A334="",37&gt;設定!$B$3,原始資料!AN334=""),"",IF(AND(原始資料!AM334&lt;&gt;"",原始資料!AN334=原始資料!AM334),N(AK334)+1,1))</f>
        <v/>
      </c>
      <c r="AM334" s="6">
        <f>IF(OR(原始資料!$A334="",38&gt;設定!$B$3,原始資料!AO334=""),"",IF(AND(原始資料!AN334&lt;&gt;"",原始資料!AO334=原始資料!AN334),N(AL334)+1,1))</f>
        <v/>
      </c>
      <c r="AN334" s="6">
        <f>IF(OR(原始資料!$A334="",39&gt;設定!$B$3,原始資料!AP334=""),"",IF(AND(原始資料!AO334&lt;&gt;"",原始資料!AP334=原始資料!AO334),N(AM334)+1,1))</f>
        <v/>
      </c>
      <c r="AO334" s="6">
        <f>IF(OR(原始資料!$A334="",40&gt;設定!$B$3,原始資料!AQ334=""),"",IF(AND(原始資料!AP334&lt;&gt;"",原始資料!AQ334=原始資料!AP334),N(AN334)+1,1))</f>
        <v/>
      </c>
      <c r="AP334" s="6">
        <f>IF(OR(原始資料!$A334="",41&gt;設定!$B$3,原始資料!AR334=""),"",IF(AND(原始資料!AQ334&lt;&gt;"",原始資料!AR334=原始資料!AQ334),N(AO334)+1,1))</f>
        <v/>
      </c>
      <c r="AQ334" s="6">
        <f>IF(OR(原始資料!$A334="",42&gt;設定!$B$3,原始資料!AS334=""),"",IF(AND(原始資料!AR334&lt;&gt;"",原始資料!AS334=原始資料!AR334),N(AP334)+1,1))</f>
        <v/>
      </c>
      <c r="AR334" s="6">
        <f>IF(OR(原始資料!$A334="",43&gt;設定!$B$3,原始資料!AT334=""),"",IF(AND(原始資料!AS334&lt;&gt;"",原始資料!AT334=原始資料!AS334),N(AQ334)+1,1))</f>
        <v/>
      </c>
      <c r="AS334" s="6">
        <f>IF(OR(原始資料!$A334="",44&gt;設定!$B$3,原始資料!AU334=""),"",IF(AND(原始資料!AT334&lt;&gt;"",原始資料!AU334=原始資料!AT334),N(AR334)+1,1))</f>
        <v/>
      </c>
      <c r="AT334" s="6">
        <f>IF(OR(原始資料!$A334="",45&gt;設定!$B$3,原始資料!AV334=""),"",IF(AND(原始資料!AU334&lt;&gt;"",原始資料!AV334=原始資料!AU334),N(AS334)+1,1))</f>
        <v/>
      </c>
      <c r="AU334" s="6">
        <f>IF(OR(原始資料!$A334="",46&gt;設定!$B$3,原始資料!AW334=""),"",IF(AND(原始資料!AV334&lt;&gt;"",原始資料!AW334=原始資料!AV334),N(AT334)+1,1))</f>
        <v/>
      </c>
      <c r="AV334" s="6">
        <f>IF(OR(原始資料!$A334="",47&gt;設定!$B$3,原始資料!AX334=""),"",IF(AND(原始資料!AW334&lt;&gt;"",原始資料!AX334=原始資料!AW334),N(AU334)+1,1))</f>
        <v/>
      </c>
      <c r="AW334" s="6">
        <f>IF(OR(原始資料!$A334="",48&gt;設定!$B$3,原始資料!AY334=""),"",IF(AND(原始資料!AX334&lt;&gt;"",原始資料!AY334=原始資料!AX334),N(AV334)+1,1))</f>
        <v/>
      </c>
      <c r="AX334" s="6">
        <f>IF(OR(原始資料!$A334="",49&gt;設定!$B$3,原始資料!AZ334=""),"",IF(AND(原始資料!AY334&lt;&gt;"",原始資料!AZ334=原始資料!AY334),N(AW334)+1,1))</f>
        <v/>
      </c>
      <c r="AY334" s="6">
        <f>IF(OR(原始資料!$A334="",50&gt;設定!$B$3,原始資料!BA334=""),"",IF(AND(原始資料!AZ334&lt;&gt;"",原始資料!BA334=原始資料!AZ334),N(AX334)+1,1))</f>
        <v/>
      </c>
      <c r="AZ334" s="6">
        <f>IF(OR(原始資料!$A334="",51&gt;設定!$B$3,原始資料!BB334=""),"",IF(AND(原始資料!BA334&lt;&gt;"",原始資料!BB334=原始資料!BA334),N(AY334)+1,1))</f>
        <v/>
      </c>
      <c r="BA334" s="6">
        <f>IF(OR(原始資料!$A334="",52&gt;設定!$B$3,原始資料!BC334=""),"",IF(AND(原始資料!BB334&lt;&gt;"",原始資料!BC334=原始資料!BB334),N(AZ334)+1,1))</f>
        <v/>
      </c>
      <c r="BB334" s="6">
        <f>IF(OR(原始資料!$A334="",53&gt;設定!$B$3,原始資料!BD334=""),"",IF(AND(原始資料!BC334&lt;&gt;"",原始資料!BD334=原始資料!BC334),N(BA334)+1,1))</f>
        <v/>
      </c>
      <c r="BC334" s="6">
        <f>IF(OR(原始資料!$A334="",54&gt;設定!$B$3,原始資料!BE334=""),"",IF(AND(原始資料!BD334&lt;&gt;"",原始資料!BE334=原始資料!BD334),N(BB334)+1,1))</f>
        <v/>
      </c>
      <c r="BD334" s="6">
        <f>IF(OR(原始資料!$A334="",55&gt;設定!$B$3,原始資料!BF334=""),"",IF(AND(原始資料!BE334&lt;&gt;"",原始資料!BF334=原始資料!BE334),N(BC334)+1,1))</f>
        <v/>
      </c>
      <c r="BE334" s="6">
        <f>IF(OR(原始資料!$A334="",56&gt;設定!$B$3,原始資料!BG334=""),"",IF(AND(原始資料!BF334&lt;&gt;"",原始資料!BG334=原始資料!BF334),N(BD334)+1,1))</f>
        <v/>
      </c>
      <c r="BF334" s="6">
        <f>IF(OR(原始資料!$A334="",57&gt;設定!$B$3,原始資料!BH334=""),"",IF(AND(原始資料!BG334&lt;&gt;"",原始資料!BH334=原始資料!BG334),N(BE334)+1,1))</f>
        <v/>
      </c>
      <c r="BG334" s="6">
        <f>IF(OR(原始資料!$A334="",58&gt;設定!$B$3,原始資料!BI334=""),"",IF(AND(原始資料!BH334&lt;&gt;"",原始資料!BI334=原始資料!BH334),N(BF334)+1,1))</f>
        <v/>
      </c>
      <c r="BH334" s="6">
        <f>IF(OR(原始資料!$A334="",59&gt;設定!$B$3,原始資料!BJ334=""),"",IF(AND(原始資料!BI334&lt;&gt;"",原始資料!BJ334=原始資料!BI334),N(BG334)+1,1))</f>
        <v/>
      </c>
      <c r="BI334" s="6">
        <f>IF(OR(原始資料!$A334="",60&gt;設定!$B$3,原始資料!BK334=""),"",IF(AND(原始資料!BJ334&lt;&gt;"",原始資料!BK334=原始資料!BJ334),N(BH334)+1,1))</f>
        <v/>
      </c>
    </row>
    <row r="335">
      <c r="A335" s="6">
        <f>IF(原始資料!$A335="","",原始資料!$A335)</f>
        <v/>
      </c>
      <c r="B335" s="6">
        <f>IF(OR(原始資料!$A335="",1&gt;設定!$B$3,原始資料!D335=""),"",1)</f>
        <v/>
      </c>
      <c r="C335" s="6">
        <f>IF(OR(原始資料!$A335="",2&gt;設定!$B$3,原始資料!E335=""),"",IF(AND(原始資料!D335&lt;&gt;"",原始資料!E335=原始資料!D335),N(B335)+1,1))</f>
        <v/>
      </c>
      <c r="D335" s="6">
        <f>IF(OR(原始資料!$A335="",3&gt;設定!$B$3,原始資料!F335=""),"",IF(AND(原始資料!E335&lt;&gt;"",原始資料!F335=原始資料!E335),N(C335)+1,1))</f>
        <v/>
      </c>
      <c r="E335" s="6">
        <f>IF(OR(原始資料!$A335="",4&gt;設定!$B$3,原始資料!G335=""),"",IF(AND(原始資料!F335&lt;&gt;"",原始資料!G335=原始資料!F335),N(D335)+1,1))</f>
        <v/>
      </c>
      <c r="F335" s="6">
        <f>IF(OR(原始資料!$A335="",5&gt;設定!$B$3,原始資料!H335=""),"",IF(AND(原始資料!G335&lt;&gt;"",原始資料!H335=原始資料!G335),N(E335)+1,1))</f>
        <v/>
      </c>
      <c r="G335" s="6">
        <f>IF(OR(原始資料!$A335="",6&gt;設定!$B$3,原始資料!I335=""),"",IF(AND(原始資料!H335&lt;&gt;"",原始資料!I335=原始資料!H335),N(F335)+1,1))</f>
        <v/>
      </c>
      <c r="H335" s="6">
        <f>IF(OR(原始資料!$A335="",7&gt;設定!$B$3,原始資料!J335=""),"",IF(AND(原始資料!I335&lt;&gt;"",原始資料!J335=原始資料!I335),N(G335)+1,1))</f>
        <v/>
      </c>
      <c r="I335" s="6">
        <f>IF(OR(原始資料!$A335="",8&gt;設定!$B$3,原始資料!K335=""),"",IF(AND(原始資料!J335&lt;&gt;"",原始資料!K335=原始資料!J335),N(H335)+1,1))</f>
        <v/>
      </c>
      <c r="J335" s="6">
        <f>IF(OR(原始資料!$A335="",9&gt;設定!$B$3,原始資料!L335=""),"",IF(AND(原始資料!K335&lt;&gt;"",原始資料!L335=原始資料!K335),N(I335)+1,1))</f>
        <v/>
      </c>
      <c r="K335" s="6">
        <f>IF(OR(原始資料!$A335="",10&gt;設定!$B$3,原始資料!M335=""),"",IF(AND(原始資料!L335&lt;&gt;"",原始資料!M335=原始資料!L335),N(J335)+1,1))</f>
        <v/>
      </c>
      <c r="L335" s="6">
        <f>IF(OR(原始資料!$A335="",11&gt;設定!$B$3,原始資料!N335=""),"",IF(AND(原始資料!M335&lt;&gt;"",原始資料!N335=原始資料!M335),N(K335)+1,1))</f>
        <v/>
      </c>
      <c r="M335" s="6">
        <f>IF(OR(原始資料!$A335="",12&gt;設定!$B$3,原始資料!O335=""),"",IF(AND(原始資料!N335&lt;&gt;"",原始資料!O335=原始資料!N335),N(L335)+1,1))</f>
        <v/>
      </c>
      <c r="N335" s="6">
        <f>IF(OR(原始資料!$A335="",13&gt;設定!$B$3,原始資料!P335=""),"",IF(AND(原始資料!O335&lt;&gt;"",原始資料!P335=原始資料!O335),N(M335)+1,1))</f>
        <v/>
      </c>
      <c r="O335" s="6">
        <f>IF(OR(原始資料!$A335="",14&gt;設定!$B$3,原始資料!Q335=""),"",IF(AND(原始資料!P335&lt;&gt;"",原始資料!Q335=原始資料!P335),N(N335)+1,1))</f>
        <v/>
      </c>
      <c r="P335" s="6">
        <f>IF(OR(原始資料!$A335="",15&gt;設定!$B$3,原始資料!R335=""),"",IF(AND(原始資料!Q335&lt;&gt;"",原始資料!R335=原始資料!Q335),N(O335)+1,1))</f>
        <v/>
      </c>
      <c r="Q335" s="6">
        <f>IF(OR(原始資料!$A335="",16&gt;設定!$B$3,原始資料!S335=""),"",IF(AND(原始資料!R335&lt;&gt;"",原始資料!S335=原始資料!R335),N(P335)+1,1))</f>
        <v/>
      </c>
      <c r="R335" s="6">
        <f>IF(OR(原始資料!$A335="",17&gt;設定!$B$3,原始資料!T335=""),"",IF(AND(原始資料!S335&lt;&gt;"",原始資料!T335=原始資料!S335),N(Q335)+1,1))</f>
        <v/>
      </c>
      <c r="S335" s="6">
        <f>IF(OR(原始資料!$A335="",18&gt;設定!$B$3,原始資料!U335=""),"",IF(AND(原始資料!T335&lt;&gt;"",原始資料!U335=原始資料!T335),N(R335)+1,1))</f>
        <v/>
      </c>
      <c r="T335" s="6">
        <f>IF(OR(原始資料!$A335="",19&gt;設定!$B$3,原始資料!V335=""),"",IF(AND(原始資料!U335&lt;&gt;"",原始資料!V335=原始資料!U335),N(S335)+1,1))</f>
        <v/>
      </c>
      <c r="U335" s="6">
        <f>IF(OR(原始資料!$A335="",20&gt;設定!$B$3,原始資料!W335=""),"",IF(AND(原始資料!V335&lt;&gt;"",原始資料!W335=原始資料!V335),N(T335)+1,1))</f>
        <v/>
      </c>
      <c r="V335" s="6">
        <f>IF(OR(原始資料!$A335="",21&gt;設定!$B$3,原始資料!X335=""),"",IF(AND(原始資料!W335&lt;&gt;"",原始資料!X335=原始資料!W335),N(U335)+1,1))</f>
        <v/>
      </c>
      <c r="W335" s="6">
        <f>IF(OR(原始資料!$A335="",22&gt;設定!$B$3,原始資料!Y335=""),"",IF(AND(原始資料!X335&lt;&gt;"",原始資料!Y335=原始資料!X335),N(V335)+1,1))</f>
        <v/>
      </c>
      <c r="X335" s="6">
        <f>IF(OR(原始資料!$A335="",23&gt;設定!$B$3,原始資料!Z335=""),"",IF(AND(原始資料!Y335&lt;&gt;"",原始資料!Z335=原始資料!Y335),N(W335)+1,1))</f>
        <v/>
      </c>
      <c r="Y335" s="6">
        <f>IF(OR(原始資料!$A335="",24&gt;設定!$B$3,原始資料!AA335=""),"",IF(AND(原始資料!Z335&lt;&gt;"",原始資料!AA335=原始資料!Z335),N(X335)+1,1))</f>
        <v/>
      </c>
      <c r="Z335" s="6">
        <f>IF(OR(原始資料!$A335="",25&gt;設定!$B$3,原始資料!AB335=""),"",IF(AND(原始資料!AA335&lt;&gt;"",原始資料!AB335=原始資料!AA335),N(Y335)+1,1))</f>
        <v/>
      </c>
      <c r="AA335" s="6">
        <f>IF(OR(原始資料!$A335="",26&gt;設定!$B$3,原始資料!AC335=""),"",IF(AND(原始資料!AB335&lt;&gt;"",原始資料!AC335=原始資料!AB335),N(Z335)+1,1))</f>
        <v/>
      </c>
      <c r="AB335" s="6">
        <f>IF(OR(原始資料!$A335="",27&gt;設定!$B$3,原始資料!AD335=""),"",IF(AND(原始資料!AC335&lt;&gt;"",原始資料!AD335=原始資料!AC335),N(AA335)+1,1))</f>
        <v/>
      </c>
      <c r="AC335" s="6">
        <f>IF(OR(原始資料!$A335="",28&gt;設定!$B$3,原始資料!AE335=""),"",IF(AND(原始資料!AD335&lt;&gt;"",原始資料!AE335=原始資料!AD335),N(AB335)+1,1))</f>
        <v/>
      </c>
      <c r="AD335" s="6">
        <f>IF(OR(原始資料!$A335="",29&gt;設定!$B$3,原始資料!AF335=""),"",IF(AND(原始資料!AE335&lt;&gt;"",原始資料!AF335=原始資料!AE335),N(AC335)+1,1))</f>
        <v/>
      </c>
      <c r="AE335" s="6">
        <f>IF(OR(原始資料!$A335="",30&gt;設定!$B$3,原始資料!AG335=""),"",IF(AND(原始資料!AF335&lt;&gt;"",原始資料!AG335=原始資料!AF335),N(AD335)+1,1))</f>
        <v/>
      </c>
      <c r="AF335" s="6">
        <f>IF(OR(原始資料!$A335="",31&gt;設定!$B$3,原始資料!AH335=""),"",IF(AND(原始資料!AG335&lt;&gt;"",原始資料!AH335=原始資料!AG335),N(AE335)+1,1))</f>
        <v/>
      </c>
      <c r="AG335" s="6">
        <f>IF(OR(原始資料!$A335="",32&gt;設定!$B$3,原始資料!AI335=""),"",IF(AND(原始資料!AH335&lt;&gt;"",原始資料!AI335=原始資料!AH335),N(AF335)+1,1))</f>
        <v/>
      </c>
      <c r="AH335" s="6">
        <f>IF(OR(原始資料!$A335="",33&gt;設定!$B$3,原始資料!AJ335=""),"",IF(AND(原始資料!AI335&lt;&gt;"",原始資料!AJ335=原始資料!AI335),N(AG335)+1,1))</f>
        <v/>
      </c>
      <c r="AI335" s="6">
        <f>IF(OR(原始資料!$A335="",34&gt;設定!$B$3,原始資料!AK335=""),"",IF(AND(原始資料!AJ335&lt;&gt;"",原始資料!AK335=原始資料!AJ335),N(AH335)+1,1))</f>
        <v/>
      </c>
      <c r="AJ335" s="6">
        <f>IF(OR(原始資料!$A335="",35&gt;設定!$B$3,原始資料!AL335=""),"",IF(AND(原始資料!AK335&lt;&gt;"",原始資料!AL335=原始資料!AK335),N(AI335)+1,1))</f>
        <v/>
      </c>
      <c r="AK335" s="6">
        <f>IF(OR(原始資料!$A335="",36&gt;設定!$B$3,原始資料!AM335=""),"",IF(AND(原始資料!AL335&lt;&gt;"",原始資料!AM335=原始資料!AL335),N(AJ335)+1,1))</f>
        <v/>
      </c>
      <c r="AL335" s="6">
        <f>IF(OR(原始資料!$A335="",37&gt;設定!$B$3,原始資料!AN335=""),"",IF(AND(原始資料!AM335&lt;&gt;"",原始資料!AN335=原始資料!AM335),N(AK335)+1,1))</f>
        <v/>
      </c>
      <c r="AM335" s="6">
        <f>IF(OR(原始資料!$A335="",38&gt;設定!$B$3,原始資料!AO335=""),"",IF(AND(原始資料!AN335&lt;&gt;"",原始資料!AO335=原始資料!AN335),N(AL335)+1,1))</f>
        <v/>
      </c>
      <c r="AN335" s="6">
        <f>IF(OR(原始資料!$A335="",39&gt;設定!$B$3,原始資料!AP335=""),"",IF(AND(原始資料!AO335&lt;&gt;"",原始資料!AP335=原始資料!AO335),N(AM335)+1,1))</f>
        <v/>
      </c>
      <c r="AO335" s="6">
        <f>IF(OR(原始資料!$A335="",40&gt;設定!$B$3,原始資料!AQ335=""),"",IF(AND(原始資料!AP335&lt;&gt;"",原始資料!AQ335=原始資料!AP335),N(AN335)+1,1))</f>
        <v/>
      </c>
      <c r="AP335" s="6">
        <f>IF(OR(原始資料!$A335="",41&gt;設定!$B$3,原始資料!AR335=""),"",IF(AND(原始資料!AQ335&lt;&gt;"",原始資料!AR335=原始資料!AQ335),N(AO335)+1,1))</f>
        <v/>
      </c>
      <c r="AQ335" s="6">
        <f>IF(OR(原始資料!$A335="",42&gt;設定!$B$3,原始資料!AS335=""),"",IF(AND(原始資料!AR335&lt;&gt;"",原始資料!AS335=原始資料!AR335),N(AP335)+1,1))</f>
        <v/>
      </c>
      <c r="AR335" s="6">
        <f>IF(OR(原始資料!$A335="",43&gt;設定!$B$3,原始資料!AT335=""),"",IF(AND(原始資料!AS335&lt;&gt;"",原始資料!AT335=原始資料!AS335),N(AQ335)+1,1))</f>
        <v/>
      </c>
      <c r="AS335" s="6">
        <f>IF(OR(原始資料!$A335="",44&gt;設定!$B$3,原始資料!AU335=""),"",IF(AND(原始資料!AT335&lt;&gt;"",原始資料!AU335=原始資料!AT335),N(AR335)+1,1))</f>
        <v/>
      </c>
      <c r="AT335" s="6">
        <f>IF(OR(原始資料!$A335="",45&gt;設定!$B$3,原始資料!AV335=""),"",IF(AND(原始資料!AU335&lt;&gt;"",原始資料!AV335=原始資料!AU335),N(AS335)+1,1))</f>
        <v/>
      </c>
      <c r="AU335" s="6">
        <f>IF(OR(原始資料!$A335="",46&gt;設定!$B$3,原始資料!AW335=""),"",IF(AND(原始資料!AV335&lt;&gt;"",原始資料!AW335=原始資料!AV335),N(AT335)+1,1))</f>
        <v/>
      </c>
      <c r="AV335" s="6">
        <f>IF(OR(原始資料!$A335="",47&gt;設定!$B$3,原始資料!AX335=""),"",IF(AND(原始資料!AW335&lt;&gt;"",原始資料!AX335=原始資料!AW335),N(AU335)+1,1))</f>
        <v/>
      </c>
      <c r="AW335" s="6">
        <f>IF(OR(原始資料!$A335="",48&gt;設定!$B$3,原始資料!AY335=""),"",IF(AND(原始資料!AX335&lt;&gt;"",原始資料!AY335=原始資料!AX335),N(AV335)+1,1))</f>
        <v/>
      </c>
      <c r="AX335" s="6">
        <f>IF(OR(原始資料!$A335="",49&gt;設定!$B$3,原始資料!AZ335=""),"",IF(AND(原始資料!AY335&lt;&gt;"",原始資料!AZ335=原始資料!AY335),N(AW335)+1,1))</f>
        <v/>
      </c>
      <c r="AY335" s="6">
        <f>IF(OR(原始資料!$A335="",50&gt;設定!$B$3,原始資料!BA335=""),"",IF(AND(原始資料!AZ335&lt;&gt;"",原始資料!BA335=原始資料!AZ335),N(AX335)+1,1))</f>
        <v/>
      </c>
      <c r="AZ335" s="6">
        <f>IF(OR(原始資料!$A335="",51&gt;設定!$B$3,原始資料!BB335=""),"",IF(AND(原始資料!BA335&lt;&gt;"",原始資料!BB335=原始資料!BA335),N(AY335)+1,1))</f>
        <v/>
      </c>
      <c r="BA335" s="6">
        <f>IF(OR(原始資料!$A335="",52&gt;設定!$B$3,原始資料!BC335=""),"",IF(AND(原始資料!BB335&lt;&gt;"",原始資料!BC335=原始資料!BB335),N(AZ335)+1,1))</f>
        <v/>
      </c>
      <c r="BB335" s="6">
        <f>IF(OR(原始資料!$A335="",53&gt;設定!$B$3,原始資料!BD335=""),"",IF(AND(原始資料!BC335&lt;&gt;"",原始資料!BD335=原始資料!BC335),N(BA335)+1,1))</f>
        <v/>
      </c>
      <c r="BC335" s="6">
        <f>IF(OR(原始資料!$A335="",54&gt;設定!$B$3,原始資料!BE335=""),"",IF(AND(原始資料!BD335&lt;&gt;"",原始資料!BE335=原始資料!BD335),N(BB335)+1,1))</f>
        <v/>
      </c>
      <c r="BD335" s="6">
        <f>IF(OR(原始資料!$A335="",55&gt;設定!$B$3,原始資料!BF335=""),"",IF(AND(原始資料!BE335&lt;&gt;"",原始資料!BF335=原始資料!BE335),N(BC335)+1,1))</f>
        <v/>
      </c>
      <c r="BE335" s="6">
        <f>IF(OR(原始資料!$A335="",56&gt;設定!$B$3,原始資料!BG335=""),"",IF(AND(原始資料!BF335&lt;&gt;"",原始資料!BG335=原始資料!BF335),N(BD335)+1,1))</f>
        <v/>
      </c>
      <c r="BF335" s="6">
        <f>IF(OR(原始資料!$A335="",57&gt;設定!$B$3,原始資料!BH335=""),"",IF(AND(原始資料!BG335&lt;&gt;"",原始資料!BH335=原始資料!BG335),N(BE335)+1,1))</f>
        <v/>
      </c>
      <c r="BG335" s="6">
        <f>IF(OR(原始資料!$A335="",58&gt;設定!$B$3,原始資料!BI335=""),"",IF(AND(原始資料!BH335&lt;&gt;"",原始資料!BI335=原始資料!BH335),N(BF335)+1,1))</f>
        <v/>
      </c>
      <c r="BH335" s="6">
        <f>IF(OR(原始資料!$A335="",59&gt;設定!$B$3,原始資料!BJ335=""),"",IF(AND(原始資料!BI335&lt;&gt;"",原始資料!BJ335=原始資料!BI335),N(BG335)+1,1))</f>
        <v/>
      </c>
      <c r="BI335" s="6">
        <f>IF(OR(原始資料!$A335="",60&gt;設定!$B$3,原始資料!BK335=""),"",IF(AND(原始資料!BJ335&lt;&gt;"",原始資料!BK335=原始資料!BJ335),N(BH335)+1,1))</f>
        <v/>
      </c>
    </row>
    <row r="336">
      <c r="A336" s="6">
        <f>IF(原始資料!$A336="","",原始資料!$A336)</f>
        <v/>
      </c>
      <c r="B336" s="6">
        <f>IF(OR(原始資料!$A336="",1&gt;設定!$B$3,原始資料!D336=""),"",1)</f>
        <v/>
      </c>
      <c r="C336" s="6">
        <f>IF(OR(原始資料!$A336="",2&gt;設定!$B$3,原始資料!E336=""),"",IF(AND(原始資料!D336&lt;&gt;"",原始資料!E336=原始資料!D336),N(B336)+1,1))</f>
        <v/>
      </c>
      <c r="D336" s="6">
        <f>IF(OR(原始資料!$A336="",3&gt;設定!$B$3,原始資料!F336=""),"",IF(AND(原始資料!E336&lt;&gt;"",原始資料!F336=原始資料!E336),N(C336)+1,1))</f>
        <v/>
      </c>
      <c r="E336" s="6">
        <f>IF(OR(原始資料!$A336="",4&gt;設定!$B$3,原始資料!G336=""),"",IF(AND(原始資料!F336&lt;&gt;"",原始資料!G336=原始資料!F336),N(D336)+1,1))</f>
        <v/>
      </c>
      <c r="F336" s="6">
        <f>IF(OR(原始資料!$A336="",5&gt;設定!$B$3,原始資料!H336=""),"",IF(AND(原始資料!G336&lt;&gt;"",原始資料!H336=原始資料!G336),N(E336)+1,1))</f>
        <v/>
      </c>
      <c r="G336" s="6">
        <f>IF(OR(原始資料!$A336="",6&gt;設定!$B$3,原始資料!I336=""),"",IF(AND(原始資料!H336&lt;&gt;"",原始資料!I336=原始資料!H336),N(F336)+1,1))</f>
        <v/>
      </c>
      <c r="H336" s="6">
        <f>IF(OR(原始資料!$A336="",7&gt;設定!$B$3,原始資料!J336=""),"",IF(AND(原始資料!I336&lt;&gt;"",原始資料!J336=原始資料!I336),N(G336)+1,1))</f>
        <v/>
      </c>
      <c r="I336" s="6">
        <f>IF(OR(原始資料!$A336="",8&gt;設定!$B$3,原始資料!K336=""),"",IF(AND(原始資料!J336&lt;&gt;"",原始資料!K336=原始資料!J336),N(H336)+1,1))</f>
        <v/>
      </c>
      <c r="J336" s="6">
        <f>IF(OR(原始資料!$A336="",9&gt;設定!$B$3,原始資料!L336=""),"",IF(AND(原始資料!K336&lt;&gt;"",原始資料!L336=原始資料!K336),N(I336)+1,1))</f>
        <v/>
      </c>
      <c r="K336" s="6">
        <f>IF(OR(原始資料!$A336="",10&gt;設定!$B$3,原始資料!M336=""),"",IF(AND(原始資料!L336&lt;&gt;"",原始資料!M336=原始資料!L336),N(J336)+1,1))</f>
        <v/>
      </c>
      <c r="L336" s="6">
        <f>IF(OR(原始資料!$A336="",11&gt;設定!$B$3,原始資料!N336=""),"",IF(AND(原始資料!M336&lt;&gt;"",原始資料!N336=原始資料!M336),N(K336)+1,1))</f>
        <v/>
      </c>
      <c r="M336" s="6">
        <f>IF(OR(原始資料!$A336="",12&gt;設定!$B$3,原始資料!O336=""),"",IF(AND(原始資料!N336&lt;&gt;"",原始資料!O336=原始資料!N336),N(L336)+1,1))</f>
        <v/>
      </c>
      <c r="N336" s="6">
        <f>IF(OR(原始資料!$A336="",13&gt;設定!$B$3,原始資料!P336=""),"",IF(AND(原始資料!O336&lt;&gt;"",原始資料!P336=原始資料!O336),N(M336)+1,1))</f>
        <v/>
      </c>
      <c r="O336" s="6">
        <f>IF(OR(原始資料!$A336="",14&gt;設定!$B$3,原始資料!Q336=""),"",IF(AND(原始資料!P336&lt;&gt;"",原始資料!Q336=原始資料!P336),N(N336)+1,1))</f>
        <v/>
      </c>
      <c r="P336" s="6">
        <f>IF(OR(原始資料!$A336="",15&gt;設定!$B$3,原始資料!R336=""),"",IF(AND(原始資料!Q336&lt;&gt;"",原始資料!R336=原始資料!Q336),N(O336)+1,1))</f>
        <v/>
      </c>
      <c r="Q336" s="6">
        <f>IF(OR(原始資料!$A336="",16&gt;設定!$B$3,原始資料!S336=""),"",IF(AND(原始資料!R336&lt;&gt;"",原始資料!S336=原始資料!R336),N(P336)+1,1))</f>
        <v/>
      </c>
      <c r="R336" s="6">
        <f>IF(OR(原始資料!$A336="",17&gt;設定!$B$3,原始資料!T336=""),"",IF(AND(原始資料!S336&lt;&gt;"",原始資料!T336=原始資料!S336),N(Q336)+1,1))</f>
        <v/>
      </c>
      <c r="S336" s="6">
        <f>IF(OR(原始資料!$A336="",18&gt;設定!$B$3,原始資料!U336=""),"",IF(AND(原始資料!T336&lt;&gt;"",原始資料!U336=原始資料!T336),N(R336)+1,1))</f>
        <v/>
      </c>
      <c r="T336" s="6">
        <f>IF(OR(原始資料!$A336="",19&gt;設定!$B$3,原始資料!V336=""),"",IF(AND(原始資料!U336&lt;&gt;"",原始資料!V336=原始資料!U336),N(S336)+1,1))</f>
        <v/>
      </c>
      <c r="U336" s="6">
        <f>IF(OR(原始資料!$A336="",20&gt;設定!$B$3,原始資料!W336=""),"",IF(AND(原始資料!V336&lt;&gt;"",原始資料!W336=原始資料!V336),N(T336)+1,1))</f>
        <v/>
      </c>
      <c r="V336" s="6">
        <f>IF(OR(原始資料!$A336="",21&gt;設定!$B$3,原始資料!X336=""),"",IF(AND(原始資料!W336&lt;&gt;"",原始資料!X336=原始資料!W336),N(U336)+1,1))</f>
        <v/>
      </c>
      <c r="W336" s="6">
        <f>IF(OR(原始資料!$A336="",22&gt;設定!$B$3,原始資料!Y336=""),"",IF(AND(原始資料!X336&lt;&gt;"",原始資料!Y336=原始資料!X336),N(V336)+1,1))</f>
        <v/>
      </c>
      <c r="X336" s="6">
        <f>IF(OR(原始資料!$A336="",23&gt;設定!$B$3,原始資料!Z336=""),"",IF(AND(原始資料!Y336&lt;&gt;"",原始資料!Z336=原始資料!Y336),N(W336)+1,1))</f>
        <v/>
      </c>
      <c r="Y336" s="6">
        <f>IF(OR(原始資料!$A336="",24&gt;設定!$B$3,原始資料!AA336=""),"",IF(AND(原始資料!Z336&lt;&gt;"",原始資料!AA336=原始資料!Z336),N(X336)+1,1))</f>
        <v/>
      </c>
      <c r="Z336" s="6">
        <f>IF(OR(原始資料!$A336="",25&gt;設定!$B$3,原始資料!AB336=""),"",IF(AND(原始資料!AA336&lt;&gt;"",原始資料!AB336=原始資料!AA336),N(Y336)+1,1))</f>
        <v/>
      </c>
      <c r="AA336" s="6">
        <f>IF(OR(原始資料!$A336="",26&gt;設定!$B$3,原始資料!AC336=""),"",IF(AND(原始資料!AB336&lt;&gt;"",原始資料!AC336=原始資料!AB336),N(Z336)+1,1))</f>
        <v/>
      </c>
      <c r="AB336" s="6">
        <f>IF(OR(原始資料!$A336="",27&gt;設定!$B$3,原始資料!AD336=""),"",IF(AND(原始資料!AC336&lt;&gt;"",原始資料!AD336=原始資料!AC336),N(AA336)+1,1))</f>
        <v/>
      </c>
      <c r="AC336" s="6">
        <f>IF(OR(原始資料!$A336="",28&gt;設定!$B$3,原始資料!AE336=""),"",IF(AND(原始資料!AD336&lt;&gt;"",原始資料!AE336=原始資料!AD336),N(AB336)+1,1))</f>
        <v/>
      </c>
      <c r="AD336" s="6">
        <f>IF(OR(原始資料!$A336="",29&gt;設定!$B$3,原始資料!AF336=""),"",IF(AND(原始資料!AE336&lt;&gt;"",原始資料!AF336=原始資料!AE336),N(AC336)+1,1))</f>
        <v/>
      </c>
      <c r="AE336" s="6">
        <f>IF(OR(原始資料!$A336="",30&gt;設定!$B$3,原始資料!AG336=""),"",IF(AND(原始資料!AF336&lt;&gt;"",原始資料!AG336=原始資料!AF336),N(AD336)+1,1))</f>
        <v/>
      </c>
      <c r="AF336" s="6">
        <f>IF(OR(原始資料!$A336="",31&gt;設定!$B$3,原始資料!AH336=""),"",IF(AND(原始資料!AG336&lt;&gt;"",原始資料!AH336=原始資料!AG336),N(AE336)+1,1))</f>
        <v/>
      </c>
      <c r="AG336" s="6">
        <f>IF(OR(原始資料!$A336="",32&gt;設定!$B$3,原始資料!AI336=""),"",IF(AND(原始資料!AH336&lt;&gt;"",原始資料!AI336=原始資料!AH336),N(AF336)+1,1))</f>
        <v/>
      </c>
      <c r="AH336" s="6">
        <f>IF(OR(原始資料!$A336="",33&gt;設定!$B$3,原始資料!AJ336=""),"",IF(AND(原始資料!AI336&lt;&gt;"",原始資料!AJ336=原始資料!AI336),N(AG336)+1,1))</f>
        <v/>
      </c>
      <c r="AI336" s="6">
        <f>IF(OR(原始資料!$A336="",34&gt;設定!$B$3,原始資料!AK336=""),"",IF(AND(原始資料!AJ336&lt;&gt;"",原始資料!AK336=原始資料!AJ336),N(AH336)+1,1))</f>
        <v/>
      </c>
      <c r="AJ336" s="6">
        <f>IF(OR(原始資料!$A336="",35&gt;設定!$B$3,原始資料!AL336=""),"",IF(AND(原始資料!AK336&lt;&gt;"",原始資料!AL336=原始資料!AK336),N(AI336)+1,1))</f>
        <v/>
      </c>
      <c r="AK336" s="6">
        <f>IF(OR(原始資料!$A336="",36&gt;設定!$B$3,原始資料!AM336=""),"",IF(AND(原始資料!AL336&lt;&gt;"",原始資料!AM336=原始資料!AL336),N(AJ336)+1,1))</f>
        <v/>
      </c>
      <c r="AL336" s="6">
        <f>IF(OR(原始資料!$A336="",37&gt;設定!$B$3,原始資料!AN336=""),"",IF(AND(原始資料!AM336&lt;&gt;"",原始資料!AN336=原始資料!AM336),N(AK336)+1,1))</f>
        <v/>
      </c>
      <c r="AM336" s="6">
        <f>IF(OR(原始資料!$A336="",38&gt;設定!$B$3,原始資料!AO336=""),"",IF(AND(原始資料!AN336&lt;&gt;"",原始資料!AO336=原始資料!AN336),N(AL336)+1,1))</f>
        <v/>
      </c>
      <c r="AN336" s="6">
        <f>IF(OR(原始資料!$A336="",39&gt;設定!$B$3,原始資料!AP336=""),"",IF(AND(原始資料!AO336&lt;&gt;"",原始資料!AP336=原始資料!AO336),N(AM336)+1,1))</f>
        <v/>
      </c>
      <c r="AO336" s="6">
        <f>IF(OR(原始資料!$A336="",40&gt;設定!$B$3,原始資料!AQ336=""),"",IF(AND(原始資料!AP336&lt;&gt;"",原始資料!AQ336=原始資料!AP336),N(AN336)+1,1))</f>
        <v/>
      </c>
      <c r="AP336" s="6">
        <f>IF(OR(原始資料!$A336="",41&gt;設定!$B$3,原始資料!AR336=""),"",IF(AND(原始資料!AQ336&lt;&gt;"",原始資料!AR336=原始資料!AQ336),N(AO336)+1,1))</f>
        <v/>
      </c>
      <c r="AQ336" s="6">
        <f>IF(OR(原始資料!$A336="",42&gt;設定!$B$3,原始資料!AS336=""),"",IF(AND(原始資料!AR336&lt;&gt;"",原始資料!AS336=原始資料!AR336),N(AP336)+1,1))</f>
        <v/>
      </c>
      <c r="AR336" s="6">
        <f>IF(OR(原始資料!$A336="",43&gt;設定!$B$3,原始資料!AT336=""),"",IF(AND(原始資料!AS336&lt;&gt;"",原始資料!AT336=原始資料!AS336),N(AQ336)+1,1))</f>
        <v/>
      </c>
      <c r="AS336" s="6">
        <f>IF(OR(原始資料!$A336="",44&gt;設定!$B$3,原始資料!AU336=""),"",IF(AND(原始資料!AT336&lt;&gt;"",原始資料!AU336=原始資料!AT336),N(AR336)+1,1))</f>
        <v/>
      </c>
      <c r="AT336" s="6">
        <f>IF(OR(原始資料!$A336="",45&gt;設定!$B$3,原始資料!AV336=""),"",IF(AND(原始資料!AU336&lt;&gt;"",原始資料!AV336=原始資料!AU336),N(AS336)+1,1))</f>
        <v/>
      </c>
      <c r="AU336" s="6">
        <f>IF(OR(原始資料!$A336="",46&gt;設定!$B$3,原始資料!AW336=""),"",IF(AND(原始資料!AV336&lt;&gt;"",原始資料!AW336=原始資料!AV336),N(AT336)+1,1))</f>
        <v/>
      </c>
      <c r="AV336" s="6">
        <f>IF(OR(原始資料!$A336="",47&gt;設定!$B$3,原始資料!AX336=""),"",IF(AND(原始資料!AW336&lt;&gt;"",原始資料!AX336=原始資料!AW336),N(AU336)+1,1))</f>
        <v/>
      </c>
      <c r="AW336" s="6">
        <f>IF(OR(原始資料!$A336="",48&gt;設定!$B$3,原始資料!AY336=""),"",IF(AND(原始資料!AX336&lt;&gt;"",原始資料!AY336=原始資料!AX336),N(AV336)+1,1))</f>
        <v/>
      </c>
      <c r="AX336" s="6">
        <f>IF(OR(原始資料!$A336="",49&gt;設定!$B$3,原始資料!AZ336=""),"",IF(AND(原始資料!AY336&lt;&gt;"",原始資料!AZ336=原始資料!AY336),N(AW336)+1,1))</f>
        <v/>
      </c>
      <c r="AY336" s="6">
        <f>IF(OR(原始資料!$A336="",50&gt;設定!$B$3,原始資料!BA336=""),"",IF(AND(原始資料!AZ336&lt;&gt;"",原始資料!BA336=原始資料!AZ336),N(AX336)+1,1))</f>
        <v/>
      </c>
      <c r="AZ336" s="6">
        <f>IF(OR(原始資料!$A336="",51&gt;設定!$B$3,原始資料!BB336=""),"",IF(AND(原始資料!BA336&lt;&gt;"",原始資料!BB336=原始資料!BA336),N(AY336)+1,1))</f>
        <v/>
      </c>
      <c r="BA336" s="6">
        <f>IF(OR(原始資料!$A336="",52&gt;設定!$B$3,原始資料!BC336=""),"",IF(AND(原始資料!BB336&lt;&gt;"",原始資料!BC336=原始資料!BB336),N(AZ336)+1,1))</f>
        <v/>
      </c>
      <c r="BB336" s="6">
        <f>IF(OR(原始資料!$A336="",53&gt;設定!$B$3,原始資料!BD336=""),"",IF(AND(原始資料!BC336&lt;&gt;"",原始資料!BD336=原始資料!BC336),N(BA336)+1,1))</f>
        <v/>
      </c>
      <c r="BC336" s="6">
        <f>IF(OR(原始資料!$A336="",54&gt;設定!$B$3,原始資料!BE336=""),"",IF(AND(原始資料!BD336&lt;&gt;"",原始資料!BE336=原始資料!BD336),N(BB336)+1,1))</f>
        <v/>
      </c>
      <c r="BD336" s="6">
        <f>IF(OR(原始資料!$A336="",55&gt;設定!$B$3,原始資料!BF336=""),"",IF(AND(原始資料!BE336&lt;&gt;"",原始資料!BF336=原始資料!BE336),N(BC336)+1,1))</f>
        <v/>
      </c>
      <c r="BE336" s="6">
        <f>IF(OR(原始資料!$A336="",56&gt;設定!$B$3,原始資料!BG336=""),"",IF(AND(原始資料!BF336&lt;&gt;"",原始資料!BG336=原始資料!BF336),N(BD336)+1,1))</f>
        <v/>
      </c>
      <c r="BF336" s="6">
        <f>IF(OR(原始資料!$A336="",57&gt;設定!$B$3,原始資料!BH336=""),"",IF(AND(原始資料!BG336&lt;&gt;"",原始資料!BH336=原始資料!BG336),N(BE336)+1,1))</f>
        <v/>
      </c>
      <c r="BG336" s="6">
        <f>IF(OR(原始資料!$A336="",58&gt;設定!$B$3,原始資料!BI336=""),"",IF(AND(原始資料!BH336&lt;&gt;"",原始資料!BI336=原始資料!BH336),N(BF336)+1,1))</f>
        <v/>
      </c>
      <c r="BH336" s="6">
        <f>IF(OR(原始資料!$A336="",59&gt;設定!$B$3,原始資料!BJ336=""),"",IF(AND(原始資料!BI336&lt;&gt;"",原始資料!BJ336=原始資料!BI336),N(BG336)+1,1))</f>
        <v/>
      </c>
      <c r="BI336" s="6">
        <f>IF(OR(原始資料!$A336="",60&gt;設定!$B$3,原始資料!BK336=""),"",IF(AND(原始資料!BJ336&lt;&gt;"",原始資料!BK336=原始資料!BJ336),N(BH336)+1,1))</f>
        <v/>
      </c>
    </row>
    <row r="337">
      <c r="A337" s="6">
        <f>IF(原始資料!$A337="","",原始資料!$A337)</f>
        <v/>
      </c>
      <c r="B337" s="6">
        <f>IF(OR(原始資料!$A337="",1&gt;設定!$B$3,原始資料!D337=""),"",1)</f>
        <v/>
      </c>
      <c r="C337" s="6">
        <f>IF(OR(原始資料!$A337="",2&gt;設定!$B$3,原始資料!E337=""),"",IF(AND(原始資料!D337&lt;&gt;"",原始資料!E337=原始資料!D337),N(B337)+1,1))</f>
        <v/>
      </c>
      <c r="D337" s="6">
        <f>IF(OR(原始資料!$A337="",3&gt;設定!$B$3,原始資料!F337=""),"",IF(AND(原始資料!E337&lt;&gt;"",原始資料!F337=原始資料!E337),N(C337)+1,1))</f>
        <v/>
      </c>
      <c r="E337" s="6">
        <f>IF(OR(原始資料!$A337="",4&gt;設定!$B$3,原始資料!G337=""),"",IF(AND(原始資料!F337&lt;&gt;"",原始資料!G337=原始資料!F337),N(D337)+1,1))</f>
        <v/>
      </c>
      <c r="F337" s="6">
        <f>IF(OR(原始資料!$A337="",5&gt;設定!$B$3,原始資料!H337=""),"",IF(AND(原始資料!G337&lt;&gt;"",原始資料!H337=原始資料!G337),N(E337)+1,1))</f>
        <v/>
      </c>
      <c r="G337" s="6">
        <f>IF(OR(原始資料!$A337="",6&gt;設定!$B$3,原始資料!I337=""),"",IF(AND(原始資料!H337&lt;&gt;"",原始資料!I337=原始資料!H337),N(F337)+1,1))</f>
        <v/>
      </c>
      <c r="H337" s="6">
        <f>IF(OR(原始資料!$A337="",7&gt;設定!$B$3,原始資料!J337=""),"",IF(AND(原始資料!I337&lt;&gt;"",原始資料!J337=原始資料!I337),N(G337)+1,1))</f>
        <v/>
      </c>
      <c r="I337" s="6">
        <f>IF(OR(原始資料!$A337="",8&gt;設定!$B$3,原始資料!K337=""),"",IF(AND(原始資料!J337&lt;&gt;"",原始資料!K337=原始資料!J337),N(H337)+1,1))</f>
        <v/>
      </c>
      <c r="J337" s="6">
        <f>IF(OR(原始資料!$A337="",9&gt;設定!$B$3,原始資料!L337=""),"",IF(AND(原始資料!K337&lt;&gt;"",原始資料!L337=原始資料!K337),N(I337)+1,1))</f>
        <v/>
      </c>
      <c r="K337" s="6">
        <f>IF(OR(原始資料!$A337="",10&gt;設定!$B$3,原始資料!M337=""),"",IF(AND(原始資料!L337&lt;&gt;"",原始資料!M337=原始資料!L337),N(J337)+1,1))</f>
        <v/>
      </c>
      <c r="L337" s="6">
        <f>IF(OR(原始資料!$A337="",11&gt;設定!$B$3,原始資料!N337=""),"",IF(AND(原始資料!M337&lt;&gt;"",原始資料!N337=原始資料!M337),N(K337)+1,1))</f>
        <v/>
      </c>
      <c r="M337" s="6">
        <f>IF(OR(原始資料!$A337="",12&gt;設定!$B$3,原始資料!O337=""),"",IF(AND(原始資料!N337&lt;&gt;"",原始資料!O337=原始資料!N337),N(L337)+1,1))</f>
        <v/>
      </c>
      <c r="N337" s="6">
        <f>IF(OR(原始資料!$A337="",13&gt;設定!$B$3,原始資料!P337=""),"",IF(AND(原始資料!O337&lt;&gt;"",原始資料!P337=原始資料!O337),N(M337)+1,1))</f>
        <v/>
      </c>
      <c r="O337" s="6">
        <f>IF(OR(原始資料!$A337="",14&gt;設定!$B$3,原始資料!Q337=""),"",IF(AND(原始資料!P337&lt;&gt;"",原始資料!Q337=原始資料!P337),N(N337)+1,1))</f>
        <v/>
      </c>
      <c r="P337" s="6">
        <f>IF(OR(原始資料!$A337="",15&gt;設定!$B$3,原始資料!R337=""),"",IF(AND(原始資料!Q337&lt;&gt;"",原始資料!R337=原始資料!Q337),N(O337)+1,1))</f>
        <v/>
      </c>
      <c r="Q337" s="6">
        <f>IF(OR(原始資料!$A337="",16&gt;設定!$B$3,原始資料!S337=""),"",IF(AND(原始資料!R337&lt;&gt;"",原始資料!S337=原始資料!R337),N(P337)+1,1))</f>
        <v/>
      </c>
      <c r="R337" s="6">
        <f>IF(OR(原始資料!$A337="",17&gt;設定!$B$3,原始資料!T337=""),"",IF(AND(原始資料!S337&lt;&gt;"",原始資料!T337=原始資料!S337),N(Q337)+1,1))</f>
        <v/>
      </c>
      <c r="S337" s="6">
        <f>IF(OR(原始資料!$A337="",18&gt;設定!$B$3,原始資料!U337=""),"",IF(AND(原始資料!T337&lt;&gt;"",原始資料!U337=原始資料!T337),N(R337)+1,1))</f>
        <v/>
      </c>
      <c r="T337" s="6">
        <f>IF(OR(原始資料!$A337="",19&gt;設定!$B$3,原始資料!V337=""),"",IF(AND(原始資料!U337&lt;&gt;"",原始資料!V337=原始資料!U337),N(S337)+1,1))</f>
        <v/>
      </c>
      <c r="U337" s="6">
        <f>IF(OR(原始資料!$A337="",20&gt;設定!$B$3,原始資料!W337=""),"",IF(AND(原始資料!V337&lt;&gt;"",原始資料!W337=原始資料!V337),N(T337)+1,1))</f>
        <v/>
      </c>
      <c r="V337" s="6">
        <f>IF(OR(原始資料!$A337="",21&gt;設定!$B$3,原始資料!X337=""),"",IF(AND(原始資料!W337&lt;&gt;"",原始資料!X337=原始資料!W337),N(U337)+1,1))</f>
        <v/>
      </c>
      <c r="W337" s="6">
        <f>IF(OR(原始資料!$A337="",22&gt;設定!$B$3,原始資料!Y337=""),"",IF(AND(原始資料!X337&lt;&gt;"",原始資料!Y337=原始資料!X337),N(V337)+1,1))</f>
        <v/>
      </c>
      <c r="X337" s="6">
        <f>IF(OR(原始資料!$A337="",23&gt;設定!$B$3,原始資料!Z337=""),"",IF(AND(原始資料!Y337&lt;&gt;"",原始資料!Z337=原始資料!Y337),N(W337)+1,1))</f>
        <v/>
      </c>
      <c r="Y337" s="6">
        <f>IF(OR(原始資料!$A337="",24&gt;設定!$B$3,原始資料!AA337=""),"",IF(AND(原始資料!Z337&lt;&gt;"",原始資料!AA337=原始資料!Z337),N(X337)+1,1))</f>
        <v/>
      </c>
      <c r="Z337" s="6">
        <f>IF(OR(原始資料!$A337="",25&gt;設定!$B$3,原始資料!AB337=""),"",IF(AND(原始資料!AA337&lt;&gt;"",原始資料!AB337=原始資料!AA337),N(Y337)+1,1))</f>
        <v/>
      </c>
      <c r="AA337" s="6">
        <f>IF(OR(原始資料!$A337="",26&gt;設定!$B$3,原始資料!AC337=""),"",IF(AND(原始資料!AB337&lt;&gt;"",原始資料!AC337=原始資料!AB337),N(Z337)+1,1))</f>
        <v/>
      </c>
      <c r="AB337" s="6">
        <f>IF(OR(原始資料!$A337="",27&gt;設定!$B$3,原始資料!AD337=""),"",IF(AND(原始資料!AC337&lt;&gt;"",原始資料!AD337=原始資料!AC337),N(AA337)+1,1))</f>
        <v/>
      </c>
      <c r="AC337" s="6">
        <f>IF(OR(原始資料!$A337="",28&gt;設定!$B$3,原始資料!AE337=""),"",IF(AND(原始資料!AD337&lt;&gt;"",原始資料!AE337=原始資料!AD337),N(AB337)+1,1))</f>
        <v/>
      </c>
      <c r="AD337" s="6">
        <f>IF(OR(原始資料!$A337="",29&gt;設定!$B$3,原始資料!AF337=""),"",IF(AND(原始資料!AE337&lt;&gt;"",原始資料!AF337=原始資料!AE337),N(AC337)+1,1))</f>
        <v/>
      </c>
      <c r="AE337" s="6">
        <f>IF(OR(原始資料!$A337="",30&gt;設定!$B$3,原始資料!AG337=""),"",IF(AND(原始資料!AF337&lt;&gt;"",原始資料!AG337=原始資料!AF337),N(AD337)+1,1))</f>
        <v/>
      </c>
      <c r="AF337" s="6">
        <f>IF(OR(原始資料!$A337="",31&gt;設定!$B$3,原始資料!AH337=""),"",IF(AND(原始資料!AG337&lt;&gt;"",原始資料!AH337=原始資料!AG337),N(AE337)+1,1))</f>
        <v/>
      </c>
      <c r="AG337" s="6">
        <f>IF(OR(原始資料!$A337="",32&gt;設定!$B$3,原始資料!AI337=""),"",IF(AND(原始資料!AH337&lt;&gt;"",原始資料!AI337=原始資料!AH337),N(AF337)+1,1))</f>
        <v/>
      </c>
      <c r="AH337" s="6">
        <f>IF(OR(原始資料!$A337="",33&gt;設定!$B$3,原始資料!AJ337=""),"",IF(AND(原始資料!AI337&lt;&gt;"",原始資料!AJ337=原始資料!AI337),N(AG337)+1,1))</f>
        <v/>
      </c>
      <c r="AI337" s="6">
        <f>IF(OR(原始資料!$A337="",34&gt;設定!$B$3,原始資料!AK337=""),"",IF(AND(原始資料!AJ337&lt;&gt;"",原始資料!AK337=原始資料!AJ337),N(AH337)+1,1))</f>
        <v/>
      </c>
      <c r="AJ337" s="6">
        <f>IF(OR(原始資料!$A337="",35&gt;設定!$B$3,原始資料!AL337=""),"",IF(AND(原始資料!AK337&lt;&gt;"",原始資料!AL337=原始資料!AK337),N(AI337)+1,1))</f>
        <v/>
      </c>
      <c r="AK337" s="6">
        <f>IF(OR(原始資料!$A337="",36&gt;設定!$B$3,原始資料!AM337=""),"",IF(AND(原始資料!AL337&lt;&gt;"",原始資料!AM337=原始資料!AL337),N(AJ337)+1,1))</f>
        <v/>
      </c>
      <c r="AL337" s="6">
        <f>IF(OR(原始資料!$A337="",37&gt;設定!$B$3,原始資料!AN337=""),"",IF(AND(原始資料!AM337&lt;&gt;"",原始資料!AN337=原始資料!AM337),N(AK337)+1,1))</f>
        <v/>
      </c>
      <c r="AM337" s="6">
        <f>IF(OR(原始資料!$A337="",38&gt;設定!$B$3,原始資料!AO337=""),"",IF(AND(原始資料!AN337&lt;&gt;"",原始資料!AO337=原始資料!AN337),N(AL337)+1,1))</f>
        <v/>
      </c>
      <c r="AN337" s="6">
        <f>IF(OR(原始資料!$A337="",39&gt;設定!$B$3,原始資料!AP337=""),"",IF(AND(原始資料!AO337&lt;&gt;"",原始資料!AP337=原始資料!AO337),N(AM337)+1,1))</f>
        <v/>
      </c>
      <c r="AO337" s="6">
        <f>IF(OR(原始資料!$A337="",40&gt;設定!$B$3,原始資料!AQ337=""),"",IF(AND(原始資料!AP337&lt;&gt;"",原始資料!AQ337=原始資料!AP337),N(AN337)+1,1))</f>
        <v/>
      </c>
      <c r="AP337" s="6">
        <f>IF(OR(原始資料!$A337="",41&gt;設定!$B$3,原始資料!AR337=""),"",IF(AND(原始資料!AQ337&lt;&gt;"",原始資料!AR337=原始資料!AQ337),N(AO337)+1,1))</f>
        <v/>
      </c>
      <c r="AQ337" s="6">
        <f>IF(OR(原始資料!$A337="",42&gt;設定!$B$3,原始資料!AS337=""),"",IF(AND(原始資料!AR337&lt;&gt;"",原始資料!AS337=原始資料!AR337),N(AP337)+1,1))</f>
        <v/>
      </c>
      <c r="AR337" s="6">
        <f>IF(OR(原始資料!$A337="",43&gt;設定!$B$3,原始資料!AT337=""),"",IF(AND(原始資料!AS337&lt;&gt;"",原始資料!AT337=原始資料!AS337),N(AQ337)+1,1))</f>
        <v/>
      </c>
      <c r="AS337" s="6">
        <f>IF(OR(原始資料!$A337="",44&gt;設定!$B$3,原始資料!AU337=""),"",IF(AND(原始資料!AT337&lt;&gt;"",原始資料!AU337=原始資料!AT337),N(AR337)+1,1))</f>
        <v/>
      </c>
      <c r="AT337" s="6">
        <f>IF(OR(原始資料!$A337="",45&gt;設定!$B$3,原始資料!AV337=""),"",IF(AND(原始資料!AU337&lt;&gt;"",原始資料!AV337=原始資料!AU337),N(AS337)+1,1))</f>
        <v/>
      </c>
      <c r="AU337" s="6">
        <f>IF(OR(原始資料!$A337="",46&gt;設定!$B$3,原始資料!AW337=""),"",IF(AND(原始資料!AV337&lt;&gt;"",原始資料!AW337=原始資料!AV337),N(AT337)+1,1))</f>
        <v/>
      </c>
      <c r="AV337" s="6">
        <f>IF(OR(原始資料!$A337="",47&gt;設定!$B$3,原始資料!AX337=""),"",IF(AND(原始資料!AW337&lt;&gt;"",原始資料!AX337=原始資料!AW337),N(AU337)+1,1))</f>
        <v/>
      </c>
      <c r="AW337" s="6">
        <f>IF(OR(原始資料!$A337="",48&gt;設定!$B$3,原始資料!AY337=""),"",IF(AND(原始資料!AX337&lt;&gt;"",原始資料!AY337=原始資料!AX337),N(AV337)+1,1))</f>
        <v/>
      </c>
      <c r="AX337" s="6">
        <f>IF(OR(原始資料!$A337="",49&gt;設定!$B$3,原始資料!AZ337=""),"",IF(AND(原始資料!AY337&lt;&gt;"",原始資料!AZ337=原始資料!AY337),N(AW337)+1,1))</f>
        <v/>
      </c>
      <c r="AY337" s="6">
        <f>IF(OR(原始資料!$A337="",50&gt;設定!$B$3,原始資料!BA337=""),"",IF(AND(原始資料!AZ337&lt;&gt;"",原始資料!BA337=原始資料!AZ337),N(AX337)+1,1))</f>
        <v/>
      </c>
      <c r="AZ337" s="6">
        <f>IF(OR(原始資料!$A337="",51&gt;設定!$B$3,原始資料!BB337=""),"",IF(AND(原始資料!BA337&lt;&gt;"",原始資料!BB337=原始資料!BA337),N(AY337)+1,1))</f>
        <v/>
      </c>
      <c r="BA337" s="6">
        <f>IF(OR(原始資料!$A337="",52&gt;設定!$B$3,原始資料!BC337=""),"",IF(AND(原始資料!BB337&lt;&gt;"",原始資料!BC337=原始資料!BB337),N(AZ337)+1,1))</f>
        <v/>
      </c>
      <c r="BB337" s="6">
        <f>IF(OR(原始資料!$A337="",53&gt;設定!$B$3,原始資料!BD337=""),"",IF(AND(原始資料!BC337&lt;&gt;"",原始資料!BD337=原始資料!BC337),N(BA337)+1,1))</f>
        <v/>
      </c>
      <c r="BC337" s="6">
        <f>IF(OR(原始資料!$A337="",54&gt;設定!$B$3,原始資料!BE337=""),"",IF(AND(原始資料!BD337&lt;&gt;"",原始資料!BE337=原始資料!BD337),N(BB337)+1,1))</f>
        <v/>
      </c>
      <c r="BD337" s="6">
        <f>IF(OR(原始資料!$A337="",55&gt;設定!$B$3,原始資料!BF337=""),"",IF(AND(原始資料!BE337&lt;&gt;"",原始資料!BF337=原始資料!BE337),N(BC337)+1,1))</f>
        <v/>
      </c>
      <c r="BE337" s="6">
        <f>IF(OR(原始資料!$A337="",56&gt;設定!$B$3,原始資料!BG337=""),"",IF(AND(原始資料!BF337&lt;&gt;"",原始資料!BG337=原始資料!BF337),N(BD337)+1,1))</f>
        <v/>
      </c>
      <c r="BF337" s="6">
        <f>IF(OR(原始資料!$A337="",57&gt;設定!$B$3,原始資料!BH337=""),"",IF(AND(原始資料!BG337&lt;&gt;"",原始資料!BH337=原始資料!BG337),N(BE337)+1,1))</f>
        <v/>
      </c>
      <c r="BG337" s="6">
        <f>IF(OR(原始資料!$A337="",58&gt;設定!$B$3,原始資料!BI337=""),"",IF(AND(原始資料!BH337&lt;&gt;"",原始資料!BI337=原始資料!BH337),N(BF337)+1,1))</f>
        <v/>
      </c>
      <c r="BH337" s="6">
        <f>IF(OR(原始資料!$A337="",59&gt;設定!$B$3,原始資料!BJ337=""),"",IF(AND(原始資料!BI337&lt;&gt;"",原始資料!BJ337=原始資料!BI337),N(BG337)+1,1))</f>
        <v/>
      </c>
      <c r="BI337" s="6">
        <f>IF(OR(原始資料!$A337="",60&gt;設定!$B$3,原始資料!BK337=""),"",IF(AND(原始資料!BJ337&lt;&gt;"",原始資料!BK337=原始資料!BJ337),N(BH337)+1,1))</f>
        <v/>
      </c>
    </row>
    <row r="338">
      <c r="A338" s="6">
        <f>IF(原始資料!$A338="","",原始資料!$A338)</f>
        <v/>
      </c>
      <c r="B338" s="6">
        <f>IF(OR(原始資料!$A338="",1&gt;設定!$B$3,原始資料!D338=""),"",1)</f>
        <v/>
      </c>
      <c r="C338" s="6">
        <f>IF(OR(原始資料!$A338="",2&gt;設定!$B$3,原始資料!E338=""),"",IF(AND(原始資料!D338&lt;&gt;"",原始資料!E338=原始資料!D338),N(B338)+1,1))</f>
        <v/>
      </c>
      <c r="D338" s="6">
        <f>IF(OR(原始資料!$A338="",3&gt;設定!$B$3,原始資料!F338=""),"",IF(AND(原始資料!E338&lt;&gt;"",原始資料!F338=原始資料!E338),N(C338)+1,1))</f>
        <v/>
      </c>
      <c r="E338" s="6">
        <f>IF(OR(原始資料!$A338="",4&gt;設定!$B$3,原始資料!G338=""),"",IF(AND(原始資料!F338&lt;&gt;"",原始資料!G338=原始資料!F338),N(D338)+1,1))</f>
        <v/>
      </c>
      <c r="F338" s="6">
        <f>IF(OR(原始資料!$A338="",5&gt;設定!$B$3,原始資料!H338=""),"",IF(AND(原始資料!G338&lt;&gt;"",原始資料!H338=原始資料!G338),N(E338)+1,1))</f>
        <v/>
      </c>
      <c r="G338" s="6">
        <f>IF(OR(原始資料!$A338="",6&gt;設定!$B$3,原始資料!I338=""),"",IF(AND(原始資料!H338&lt;&gt;"",原始資料!I338=原始資料!H338),N(F338)+1,1))</f>
        <v/>
      </c>
      <c r="H338" s="6">
        <f>IF(OR(原始資料!$A338="",7&gt;設定!$B$3,原始資料!J338=""),"",IF(AND(原始資料!I338&lt;&gt;"",原始資料!J338=原始資料!I338),N(G338)+1,1))</f>
        <v/>
      </c>
      <c r="I338" s="6">
        <f>IF(OR(原始資料!$A338="",8&gt;設定!$B$3,原始資料!K338=""),"",IF(AND(原始資料!J338&lt;&gt;"",原始資料!K338=原始資料!J338),N(H338)+1,1))</f>
        <v/>
      </c>
      <c r="J338" s="6">
        <f>IF(OR(原始資料!$A338="",9&gt;設定!$B$3,原始資料!L338=""),"",IF(AND(原始資料!K338&lt;&gt;"",原始資料!L338=原始資料!K338),N(I338)+1,1))</f>
        <v/>
      </c>
      <c r="K338" s="6">
        <f>IF(OR(原始資料!$A338="",10&gt;設定!$B$3,原始資料!M338=""),"",IF(AND(原始資料!L338&lt;&gt;"",原始資料!M338=原始資料!L338),N(J338)+1,1))</f>
        <v/>
      </c>
      <c r="L338" s="6">
        <f>IF(OR(原始資料!$A338="",11&gt;設定!$B$3,原始資料!N338=""),"",IF(AND(原始資料!M338&lt;&gt;"",原始資料!N338=原始資料!M338),N(K338)+1,1))</f>
        <v/>
      </c>
      <c r="M338" s="6">
        <f>IF(OR(原始資料!$A338="",12&gt;設定!$B$3,原始資料!O338=""),"",IF(AND(原始資料!N338&lt;&gt;"",原始資料!O338=原始資料!N338),N(L338)+1,1))</f>
        <v/>
      </c>
      <c r="N338" s="6">
        <f>IF(OR(原始資料!$A338="",13&gt;設定!$B$3,原始資料!P338=""),"",IF(AND(原始資料!O338&lt;&gt;"",原始資料!P338=原始資料!O338),N(M338)+1,1))</f>
        <v/>
      </c>
      <c r="O338" s="6">
        <f>IF(OR(原始資料!$A338="",14&gt;設定!$B$3,原始資料!Q338=""),"",IF(AND(原始資料!P338&lt;&gt;"",原始資料!Q338=原始資料!P338),N(N338)+1,1))</f>
        <v/>
      </c>
      <c r="P338" s="6">
        <f>IF(OR(原始資料!$A338="",15&gt;設定!$B$3,原始資料!R338=""),"",IF(AND(原始資料!Q338&lt;&gt;"",原始資料!R338=原始資料!Q338),N(O338)+1,1))</f>
        <v/>
      </c>
      <c r="Q338" s="6">
        <f>IF(OR(原始資料!$A338="",16&gt;設定!$B$3,原始資料!S338=""),"",IF(AND(原始資料!R338&lt;&gt;"",原始資料!S338=原始資料!R338),N(P338)+1,1))</f>
        <v/>
      </c>
      <c r="R338" s="6">
        <f>IF(OR(原始資料!$A338="",17&gt;設定!$B$3,原始資料!T338=""),"",IF(AND(原始資料!S338&lt;&gt;"",原始資料!T338=原始資料!S338),N(Q338)+1,1))</f>
        <v/>
      </c>
      <c r="S338" s="6">
        <f>IF(OR(原始資料!$A338="",18&gt;設定!$B$3,原始資料!U338=""),"",IF(AND(原始資料!T338&lt;&gt;"",原始資料!U338=原始資料!T338),N(R338)+1,1))</f>
        <v/>
      </c>
      <c r="T338" s="6">
        <f>IF(OR(原始資料!$A338="",19&gt;設定!$B$3,原始資料!V338=""),"",IF(AND(原始資料!U338&lt;&gt;"",原始資料!V338=原始資料!U338),N(S338)+1,1))</f>
        <v/>
      </c>
      <c r="U338" s="6">
        <f>IF(OR(原始資料!$A338="",20&gt;設定!$B$3,原始資料!W338=""),"",IF(AND(原始資料!V338&lt;&gt;"",原始資料!W338=原始資料!V338),N(T338)+1,1))</f>
        <v/>
      </c>
      <c r="V338" s="6">
        <f>IF(OR(原始資料!$A338="",21&gt;設定!$B$3,原始資料!X338=""),"",IF(AND(原始資料!W338&lt;&gt;"",原始資料!X338=原始資料!W338),N(U338)+1,1))</f>
        <v/>
      </c>
      <c r="W338" s="6">
        <f>IF(OR(原始資料!$A338="",22&gt;設定!$B$3,原始資料!Y338=""),"",IF(AND(原始資料!X338&lt;&gt;"",原始資料!Y338=原始資料!X338),N(V338)+1,1))</f>
        <v/>
      </c>
      <c r="X338" s="6">
        <f>IF(OR(原始資料!$A338="",23&gt;設定!$B$3,原始資料!Z338=""),"",IF(AND(原始資料!Y338&lt;&gt;"",原始資料!Z338=原始資料!Y338),N(W338)+1,1))</f>
        <v/>
      </c>
      <c r="Y338" s="6">
        <f>IF(OR(原始資料!$A338="",24&gt;設定!$B$3,原始資料!AA338=""),"",IF(AND(原始資料!Z338&lt;&gt;"",原始資料!AA338=原始資料!Z338),N(X338)+1,1))</f>
        <v/>
      </c>
      <c r="Z338" s="6">
        <f>IF(OR(原始資料!$A338="",25&gt;設定!$B$3,原始資料!AB338=""),"",IF(AND(原始資料!AA338&lt;&gt;"",原始資料!AB338=原始資料!AA338),N(Y338)+1,1))</f>
        <v/>
      </c>
      <c r="AA338" s="6">
        <f>IF(OR(原始資料!$A338="",26&gt;設定!$B$3,原始資料!AC338=""),"",IF(AND(原始資料!AB338&lt;&gt;"",原始資料!AC338=原始資料!AB338),N(Z338)+1,1))</f>
        <v/>
      </c>
      <c r="AB338" s="6">
        <f>IF(OR(原始資料!$A338="",27&gt;設定!$B$3,原始資料!AD338=""),"",IF(AND(原始資料!AC338&lt;&gt;"",原始資料!AD338=原始資料!AC338),N(AA338)+1,1))</f>
        <v/>
      </c>
      <c r="AC338" s="6">
        <f>IF(OR(原始資料!$A338="",28&gt;設定!$B$3,原始資料!AE338=""),"",IF(AND(原始資料!AD338&lt;&gt;"",原始資料!AE338=原始資料!AD338),N(AB338)+1,1))</f>
        <v/>
      </c>
      <c r="AD338" s="6">
        <f>IF(OR(原始資料!$A338="",29&gt;設定!$B$3,原始資料!AF338=""),"",IF(AND(原始資料!AE338&lt;&gt;"",原始資料!AF338=原始資料!AE338),N(AC338)+1,1))</f>
        <v/>
      </c>
      <c r="AE338" s="6">
        <f>IF(OR(原始資料!$A338="",30&gt;設定!$B$3,原始資料!AG338=""),"",IF(AND(原始資料!AF338&lt;&gt;"",原始資料!AG338=原始資料!AF338),N(AD338)+1,1))</f>
        <v/>
      </c>
      <c r="AF338" s="6">
        <f>IF(OR(原始資料!$A338="",31&gt;設定!$B$3,原始資料!AH338=""),"",IF(AND(原始資料!AG338&lt;&gt;"",原始資料!AH338=原始資料!AG338),N(AE338)+1,1))</f>
        <v/>
      </c>
      <c r="AG338" s="6">
        <f>IF(OR(原始資料!$A338="",32&gt;設定!$B$3,原始資料!AI338=""),"",IF(AND(原始資料!AH338&lt;&gt;"",原始資料!AI338=原始資料!AH338),N(AF338)+1,1))</f>
        <v/>
      </c>
      <c r="AH338" s="6">
        <f>IF(OR(原始資料!$A338="",33&gt;設定!$B$3,原始資料!AJ338=""),"",IF(AND(原始資料!AI338&lt;&gt;"",原始資料!AJ338=原始資料!AI338),N(AG338)+1,1))</f>
        <v/>
      </c>
      <c r="AI338" s="6">
        <f>IF(OR(原始資料!$A338="",34&gt;設定!$B$3,原始資料!AK338=""),"",IF(AND(原始資料!AJ338&lt;&gt;"",原始資料!AK338=原始資料!AJ338),N(AH338)+1,1))</f>
        <v/>
      </c>
      <c r="AJ338" s="6">
        <f>IF(OR(原始資料!$A338="",35&gt;設定!$B$3,原始資料!AL338=""),"",IF(AND(原始資料!AK338&lt;&gt;"",原始資料!AL338=原始資料!AK338),N(AI338)+1,1))</f>
        <v/>
      </c>
      <c r="AK338" s="6">
        <f>IF(OR(原始資料!$A338="",36&gt;設定!$B$3,原始資料!AM338=""),"",IF(AND(原始資料!AL338&lt;&gt;"",原始資料!AM338=原始資料!AL338),N(AJ338)+1,1))</f>
        <v/>
      </c>
      <c r="AL338" s="6">
        <f>IF(OR(原始資料!$A338="",37&gt;設定!$B$3,原始資料!AN338=""),"",IF(AND(原始資料!AM338&lt;&gt;"",原始資料!AN338=原始資料!AM338),N(AK338)+1,1))</f>
        <v/>
      </c>
      <c r="AM338" s="6">
        <f>IF(OR(原始資料!$A338="",38&gt;設定!$B$3,原始資料!AO338=""),"",IF(AND(原始資料!AN338&lt;&gt;"",原始資料!AO338=原始資料!AN338),N(AL338)+1,1))</f>
        <v/>
      </c>
      <c r="AN338" s="6">
        <f>IF(OR(原始資料!$A338="",39&gt;設定!$B$3,原始資料!AP338=""),"",IF(AND(原始資料!AO338&lt;&gt;"",原始資料!AP338=原始資料!AO338),N(AM338)+1,1))</f>
        <v/>
      </c>
      <c r="AO338" s="6">
        <f>IF(OR(原始資料!$A338="",40&gt;設定!$B$3,原始資料!AQ338=""),"",IF(AND(原始資料!AP338&lt;&gt;"",原始資料!AQ338=原始資料!AP338),N(AN338)+1,1))</f>
        <v/>
      </c>
      <c r="AP338" s="6">
        <f>IF(OR(原始資料!$A338="",41&gt;設定!$B$3,原始資料!AR338=""),"",IF(AND(原始資料!AQ338&lt;&gt;"",原始資料!AR338=原始資料!AQ338),N(AO338)+1,1))</f>
        <v/>
      </c>
      <c r="AQ338" s="6">
        <f>IF(OR(原始資料!$A338="",42&gt;設定!$B$3,原始資料!AS338=""),"",IF(AND(原始資料!AR338&lt;&gt;"",原始資料!AS338=原始資料!AR338),N(AP338)+1,1))</f>
        <v/>
      </c>
      <c r="AR338" s="6">
        <f>IF(OR(原始資料!$A338="",43&gt;設定!$B$3,原始資料!AT338=""),"",IF(AND(原始資料!AS338&lt;&gt;"",原始資料!AT338=原始資料!AS338),N(AQ338)+1,1))</f>
        <v/>
      </c>
      <c r="AS338" s="6">
        <f>IF(OR(原始資料!$A338="",44&gt;設定!$B$3,原始資料!AU338=""),"",IF(AND(原始資料!AT338&lt;&gt;"",原始資料!AU338=原始資料!AT338),N(AR338)+1,1))</f>
        <v/>
      </c>
      <c r="AT338" s="6">
        <f>IF(OR(原始資料!$A338="",45&gt;設定!$B$3,原始資料!AV338=""),"",IF(AND(原始資料!AU338&lt;&gt;"",原始資料!AV338=原始資料!AU338),N(AS338)+1,1))</f>
        <v/>
      </c>
      <c r="AU338" s="6">
        <f>IF(OR(原始資料!$A338="",46&gt;設定!$B$3,原始資料!AW338=""),"",IF(AND(原始資料!AV338&lt;&gt;"",原始資料!AW338=原始資料!AV338),N(AT338)+1,1))</f>
        <v/>
      </c>
      <c r="AV338" s="6">
        <f>IF(OR(原始資料!$A338="",47&gt;設定!$B$3,原始資料!AX338=""),"",IF(AND(原始資料!AW338&lt;&gt;"",原始資料!AX338=原始資料!AW338),N(AU338)+1,1))</f>
        <v/>
      </c>
      <c r="AW338" s="6">
        <f>IF(OR(原始資料!$A338="",48&gt;設定!$B$3,原始資料!AY338=""),"",IF(AND(原始資料!AX338&lt;&gt;"",原始資料!AY338=原始資料!AX338),N(AV338)+1,1))</f>
        <v/>
      </c>
      <c r="AX338" s="6">
        <f>IF(OR(原始資料!$A338="",49&gt;設定!$B$3,原始資料!AZ338=""),"",IF(AND(原始資料!AY338&lt;&gt;"",原始資料!AZ338=原始資料!AY338),N(AW338)+1,1))</f>
        <v/>
      </c>
      <c r="AY338" s="6">
        <f>IF(OR(原始資料!$A338="",50&gt;設定!$B$3,原始資料!BA338=""),"",IF(AND(原始資料!AZ338&lt;&gt;"",原始資料!BA338=原始資料!AZ338),N(AX338)+1,1))</f>
        <v/>
      </c>
      <c r="AZ338" s="6">
        <f>IF(OR(原始資料!$A338="",51&gt;設定!$B$3,原始資料!BB338=""),"",IF(AND(原始資料!BA338&lt;&gt;"",原始資料!BB338=原始資料!BA338),N(AY338)+1,1))</f>
        <v/>
      </c>
      <c r="BA338" s="6">
        <f>IF(OR(原始資料!$A338="",52&gt;設定!$B$3,原始資料!BC338=""),"",IF(AND(原始資料!BB338&lt;&gt;"",原始資料!BC338=原始資料!BB338),N(AZ338)+1,1))</f>
        <v/>
      </c>
      <c r="BB338" s="6">
        <f>IF(OR(原始資料!$A338="",53&gt;設定!$B$3,原始資料!BD338=""),"",IF(AND(原始資料!BC338&lt;&gt;"",原始資料!BD338=原始資料!BC338),N(BA338)+1,1))</f>
        <v/>
      </c>
      <c r="BC338" s="6">
        <f>IF(OR(原始資料!$A338="",54&gt;設定!$B$3,原始資料!BE338=""),"",IF(AND(原始資料!BD338&lt;&gt;"",原始資料!BE338=原始資料!BD338),N(BB338)+1,1))</f>
        <v/>
      </c>
      <c r="BD338" s="6">
        <f>IF(OR(原始資料!$A338="",55&gt;設定!$B$3,原始資料!BF338=""),"",IF(AND(原始資料!BE338&lt;&gt;"",原始資料!BF338=原始資料!BE338),N(BC338)+1,1))</f>
        <v/>
      </c>
      <c r="BE338" s="6">
        <f>IF(OR(原始資料!$A338="",56&gt;設定!$B$3,原始資料!BG338=""),"",IF(AND(原始資料!BF338&lt;&gt;"",原始資料!BG338=原始資料!BF338),N(BD338)+1,1))</f>
        <v/>
      </c>
      <c r="BF338" s="6">
        <f>IF(OR(原始資料!$A338="",57&gt;設定!$B$3,原始資料!BH338=""),"",IF(AND(原始資料!BG338&lt;&gt;"",原始資料!BH338=原始資料!BG338),N(BE338)+1,1))</f>
        <v/>
      </c>
      <c r="BG338" s="6">
        <f>IF(OR(原始資料!$A338="",58&gt;設定!$B$3,原始資料!BI338=""),"",IF(AND(原始資料!BH338&lt;&gt;"",原始資料!BI338=原始資料!BH338),N(BF338)+1,1))</f>
        <v/>
      </c>
      <c r="BH338" s="6">
        <f>IF(OR(原始資料!$A338="",59&gt;設定!$B$3,原始資料!BJ338=""),"",IF(AND(原始資料!BI338&lt;&gt;"",原始資料!BJ338=原始資料!BI338),N(BG338)+1,1))</f>
        <v/>
      </c>
      <c r="BI338" s="6">
        <f>IF(OR(原始資料!$A338="",60&gt;設定!$B$3,原始資料!BK338=""),"",IF(AND(原始資料!BJ338&lt;&gt;"",原始資料!BK338=原始資料!BJ338),N(BH338)+1,1))</f>
        <v/>
      </c>
    </row>
    <row r="339">
      <c r="A339" s="6">
        <f>IF(原始資料!$A339="","",原始資料!$A339)</f>
        <v/>
      </c>
      <c r="B339" s="6">
        <f>IF(OR(原始資料!$A339="",1&gt;設定!$B$3,原始資料!D339=""),"",1)</f>
        <v/>
      </c>
      <c r="C339" s="6">
        <f>IF(OR(原始資料!$A339="",2&gt;設定!$B$3,原始資料!E339=""),"",IF(AND(原始資料!D339&lt;&gt;"",原始資料!E339=原始資料!D339),N(B339)+1,1))</f>
        <v/>
      </c>
      <c r="D339" s="6">
        <f>IF(OR(原始資料!$A339="",3&gt;設定!$B$3,原始資料!F339=""),"",IF(AND(原始資料!E339&lt;&gt;"",原始資料!F339=原始資料!E339),N(C339)+1,1))</f>
        <v/>
      </c>
      <c r="E339" s="6">
        <f>IF(OR(原始資料!$A339="",4&gt;設定!$B$3,原始資料!G339=""),"",IF(AND(原始資料!F339&lt;&gt;"",原始資料!G339=原始資料!F339),N(D339)+1,1))</f>
        <v/>
      </c>
      <c r="F339" s="6">
        <f>IF(OR(原始資料!$A339="",5&gt;設定!$B$3,原始資料!H339=""),"",IF(AND(原始資料!G339&lt;&gt;"",原始資料!H339=原始資料!G339),N(E339)+1,1))</f>
        <v/>
      </c>
      <c r="G339" s="6">
        <f>IF(OR(原始資料!$A339="",6&gt;設定!$B$3,原始資料!I339=""),"",IF(AND(原始資料!H339&lt;&gt;"",原始資料!I339=原始資料!H339),N(F339)+1,1))</f>
        <v/>
      </c>
      <c r="H339" s="6">
        <f>IF(OR(原始資料!$A339="",7&gt;設定!$B$3,原始資料!J339=""),"",IF(AND(原始資料!I339&lt;&gt;"",原始資料!J339=原始資料!I339),N(G339)+1,1))</f>
        <v/>
      </c>
      <c r="I339" s="6">
        <f>IF(OR(原始資料!$A339="",8&gt;設定!$B$3,原始資料!K339=""),"",IF(AND(原始資料!J339&lt;&gt;"",原始資料!K339=原始資料!J339),N(H339)+1,1))</f>
        <v/>
      </c>
      <c r="J339" s="6">
        <f>IF(OR(原始資料!$A339="",9&gt;設定!$B$3,原始資料!L339=""),"",IF(AND(原始資料!K339&lt;&gt;"",原始資料!L339=原始資料!K339),N(I339)+1,1))</f>
        <v/>
      </c>
      <c r="K339" s="6">
        <f>IF(OR(原始資料!$A339="",10&gt;設定!$B$3,原始資料!M339=""),"",IF(AND(原始資料!L339&lt;&gt;"",原始資料!M339=原始資料!L339),N(J339)+1,1))</f>
        <v/>
      </c>
      <c r="L339" s="6">
        <f>IF(OR(原始資料!$A339="",11&gt;設定!$B$3,原始資料!N339=""),"",IF(AND(原始資料!M339&lt;&gt;"",原始資料!N339=原始資料!M339),N(K339)+1,1))</f>
        <v/>
      </c>
      <c r="M339" s="6">
        <f>IF(OR(原始資料!$A339="",12&gt;設定!$B$3,原始資料!O339=""),"",IF(AND(原始資料!N339&lt;&gt;"",原始資料!O339=原始資料!N339),N(L339)+1,1))</f>
        <v/>
      </c>
      <c r="N339" s="6">
        <f>IF(OR(原始資料!$A339="",13&gt;設定!$B$3,原始資料!P339=""),"",IF(AND(原始資料!O339&lt;&gt;"",原始資料!P339=原始資料!O339),N(M339)+1,1))</f>
        <v/>
      </c>
      <c r="O339" s="6">
        <f>IF(OR(原始資料!$A339="",14&gt;設定!$B$3,原始資料!Q339=""),"",IF(AND(原始資料!P339&lt;&gt;"",原始資料!Q339=原始資料!P339),N(N339)+1,1))</f>
        <v/>
      </c>
      <c r="P339" s="6">
        <f>IF(OR(原始資料!$A339="",15&gt;設定!$B$3,原始資料!R339=""),"",IF(AND(原始資料!Q339&lt;&gt;"",原始資料!R339=原始資料!Q339),N(O339)+1,1))</f>
        <v/>
      </c>
      <c r="Q339" s="6">
        <f>IF(OR(原始資料!$A339="",16&gt;設定!$B$3,原始資料!S339=""),"",IF(AND(原始資料!R339&lt;&gt;"",原始資料!S339=原始資料!R339),N(P339)+1,1))</f>
        <v/>
      </c>
      <c r="R339" s="6">
        <f>IF(OR(原始資料!$A339="",17&gt;設定!$B$3,原始資料!T339=""),"",IF(AND(原始資料!S339&lt;&gt;"",原始資料!T339=原始資料!S339),N(Q339)+1,1))</f>
        <v/>
      </c>
      <c r="S339" s="6">
        <f>IF(OR(原始資料!$A339="",18&gt;設定!$B$3,原始資料!U339=""),"",IF(AND(原始資料!T339&lt;&gt;"",原始資料!U339=原始資料!T339),N(R339)+1,1))</f>
        <v/>
      </c>
      <c r="T339" s="6">
        <f>IF(OR(原始資料!$A339="",19&gt;設定!$B$3,原始資料!V339=""),"",IF(AND(原始資料!U339&lt;&gt;"",原始資料!V339=原始資料!U339),N(S339)+1,1))</f>
        <v/>
      </c>
      <c r="U339" s="6">
        <f>IF(OR(原始資料!$A339="",20&gt;設定!$B$3,原始資料!W339=""),"",IF(AND(原始資料!V339&lt;&gt;"",原始資料!W339=原始資料!V339),N(T339)+1,1))</f>
        <v/>
      </c>
      <c r="V339" s="6">
        <f>IF(OR(原始資料!$A339="",21&gt;設定!$B$3,原始資料!X339=""),"",IF(AND(原始資料!W339&lt;&gt;"",原始資料!X339=原始資料!W339),N(U339)+1,1))</f>
        <v/>
      </c>
      <c r="W339" s="6">
        <f>IF(OR(原始資料!$A339="",22&gt;設定!$B$3,原始資料!Y339=""),"",IF(AND(原始資料!X339&lt;&gt;"",原始資料!Y339=原始資料!X339),N(V339)+1,1))</f>
        <v/>
      </c>
      <c r="X339" s="6">
        <f>IF(OR(原始資料!$A339="",23&gt;設定!$B$3,原始資料!Z339=""),"",IF(AND(原始資料!Y339&lt;&gt;"",原始資料!Z339=原始資料!Y339),N(W339)+1,1))</f>
        <v/>
      </c>
      <c r="Y339" s="6">
        <f>IF(OR(原始資料!$A339="",24&gt;設定!$B$3,原始資料!AA339=""),"",IF(AND(原始資料!Z339&lt;&gt;"",原始資料!AA339=原始資料!Z339),N(X339)+1,1))</f>
        <v/>
      </c>
      <c r="Z339" s="6">
        <f>IF(OR(原始資料!$A339="",25&gt;設定!$B$3,原始資料!AB339=""),"",IF(AND(原始資料!AA339&lt;&gt;"",原始資料!AB339=原始資料!AA339),N(Y339)+1,1))</f>
        <v/>
      </c>
      <c r="AA339" s="6">
        <f>IF(OR(原始資料!$A339="",26&gt;設定!$B$3,原始資料!AC339=""),"",IF(AND(原始資料!AB339&lt;&gt;"",原始資料!AC339=原始資料!AB339),N(Z339)+1,1))</f>
        <v/>
      </c>
      <c r="AB339" s="6">
        <f>IF(OR(原始資料!$A339="",27&gt;設定!$B$3,原始資料!AD339=""),"",IF(AND(原始資料!AC339&lt;&gt;"",原始資料!AD339=原始資料!AC339),N(AA339)+1,1))</f>
        <v/>
      </c>
      <c r="AC339" s="6">
        <f>IF(OR(原始資料!$A339="",28&gt;設定!$B$3,原始資料!AE339=""),"",IF(AND(原始資料!AD339&lt;&gt;"",原始資料!AE339=原始資料!AD339),N(AB339)+1,1))</f>
        <v/>
      </c>
      <c r="AD339" s="6">
        <f>IF(OR(原始資料!$A339="",29&gt;設定!$B$3,原始資料!AF339=""),"",IF(AND(原始資料!AE339&lt;&gt;"",原始資料!AF339=原始資料!AE339),N(AC339)+1,1))</f>
        <v/>
      </c>
      <c r="AE339" s="6">
        <f>IF(OR(原始資料!$A339="",30&gt;設定!$B$3,原始資料!AG339=""),"",IF(AND(原始資料!AF339&lt;&gt;"",原始資料!AG339=原始資料!AF339),N(AD339)+1,1))</f>
        <v/>
      </c>
      <c r="AF339" s="6">
        <f>IF(OR(原始資料!$A339="",31&gt;設定!$B$3,原始資料!AH339=""),"",IF(AND(原始資料!AG339&lt;&gt;"",原始資料!AH339=原始資料!AG339),N(AE339)+1,1))</f>
        <v/>
      </c>
      <c r="AG339" s="6">
        <f>IF(OR(原始資料!$A339="",32&gt;設定!$B$3,原始資料!AI339=""),"",IF(AND(原始資料!AH339&lt;&gt;"",原始資料!AI339=原始資料!AH339),N(AF339)+1,1))</f>
        <v/>
      </c>
      <c r="AH339" s="6">
        <f>IF(OR(原始資料!$A339="",33&gt;設定!$B$3,原始資料!AJ339=""),"",IF(AND(原始資料!AI339&lt;&gt;"",原始資料!AJ339=原始資料!AI339),N(AG339)+1,1))</f>
        <v/>
      </c>
      <c r="AI339" s="6">
        <f>IF(OR(原始資料!$A339="",34&gt;設定!$B$3,原始資料!AK339=""),"",IF(AND(原始資料!AJ339&lt;&gt;"",原始資料!AK339=原始資料!AJ339),N(AH339)+1,1))</f>
        <v/>
      </c>
      <c r="AJ339" s="6">
        <f>IF(OR(原始資料!$A339="",35&gt;設定!$B$3,原始資料!AL339=""),"",IF(AND(原始資料!AK339&lt;&gt;"",原始資料!AL339=原始資料!AK339),N(AI339)+1,1))</f>
        <v/>
      </c>
      <c r="AK339" s="6">
        <f>IF(OR(原始資料!$A339="",36&gt;設定!$B$3,原始資料!AM339=""),"",IF(AND(原始資料!AL339&lt;&gt;"",原始資料!AM339=原始資料!AL339),N(AJ339)+1,1))</f>
        <v/>
      </c>
      <c r="AL339" s="6">
        <f>IF(OR(原始資料!$A339="",37&gt;設定!$B$3,原始資料!AN339=""),"",IF(AND(原始資料!AM339&lt;&gt;"",原始資料!AN339=原始資料!AM339),N(AK339)+1,1))</f>
        <v/>
      </c>
      <c r="AM339" s="6">
        <f>IF(OR(原始資料!$A339="",38&gt;設定!$B$3,原始資料!AO339=""),"",IF(AND(原始資料!AN339&lt;&gt;"",原始資料!AO339=原始資料!AN339),N(AL339)+1,1))</f>
        <v/>
      </c>
      <c r="AN339" s="6">
        <f>IF(OR(原始資料!$A339="",39&gt;設定!$B$3,原始資料!AP339=""),"",IF(AND(原始資料!AO339&lt;&gt;"",原始資料!AP339=原始資料!AO339),N(AM339)+1,1))</f>
        <v/>
      </c>
      <c r="AO339" s="6">
        <f>IF(OR(原始資料!$A339="",40&gt;設定!$B$3,原始資料!AQ339=""),"",IF(AND(原始資料!AP339&lt;&gt;"",原始資料!AQ339=原始資料!AP339),N(AN339)+1,1))</f>
        <v/>
      </c>
      <c r="AP339" s="6">
        <f>IF(OR(原始資料!$A339="",41&gt;設定!$B$3,原始資料!AR339=""),"",IF(AND(原始資料!AQ339&lt;&gt;"",原始資料!AR339=原始資料!AQ339),N(AO339)+1,1))</f>
        <v/>
      </c>
      <c r="AQ339" s="6">
        <f>IF(OR(原始資料!$A339="",42&gt;設定!$B$3,原始資料!AS339=""),"",IF(AND(原始資料!AR339&lt;&gt;"",原始資料!AS339=原始資料!AR339),N(AP339)+1,1))</f>
        <v/>
      </c>
      <c r="AR339" s="6">
        <f>IF(OR(原始資料!$A339="",43&gt;設定!$B$3,原始資料!AT339=""),"",IF(AND(原始資料!AS339&lt;&gt;"",原始資料!AT339=原始資料!AS339),N(AQ339)+1,1))</f>
        <v/>
      </c>
      <c r="AS339" s="6">
        <f>IF(OR(原始資料!$A339="",44&gt;設定!$B$3,原始資料!AU339=""),"",IF(AND(原始資料!AT339&lt;&gt;"",原始資料!AU339=原始資料!AT339),N(AR339)+1,1))</f>
        <v/>
      </c>
      <c r="AT339" s="6">
        <f>IF(OR(原始資料!$A339="",45&gt;設定!$B$3,原始資料!AV339=""),"",IF(AND(原始資料!AU339&lt;&gt;"",原始資料!AV339=原始資料!AU339),N(AS339)+1,1))</f>
        <v/>
      </c>
      <c r="AU339" s="6">
        <f>IF(OR(原始資料!$A339="",46&gt;設定!$B$3,原始資料!AW339=""),"",IF(AND(原始資料!AV339&lt;&gt;"",原始資料!AW339=原始資料!AV339),N(AT339)+1,1))</f>
        <v/>
      </c>
      <c r="AV339" s="6">
        <f>IF(OR(原始資料!$A339="",47&gt;設定!$B$3,原始資料!AX339=""),"",IF(AND(原始資料!AW339&lt;&gt;"",原始資料!AX339=原始資料!AW339),N(AU339)+1,1))</f>
        <v/>
      </c>
      <c r="AW339" s="6">
        <f>IF(OR(原始資料!$A339="",48&gt;設定!$B$3,原始資料!AY339=""),"",IF(AND(原始資料!AX339&lt;&gt;"",原始資料!AY339=原始資料!AX339),N(AV339)+1,1))</f>
        <v/>
      </c>
      <c r="AX339" s="6">
        <f>IF(OR(原始資料!$A339="",49&gt;設定!$B$3,原始資料!AZ339=""),"",IF(AND(原始資料!AY339&lt;&gt;"",原始資料!AZ339=原始資料!AY339),N(AW339)+1,1))</f>
        <v/>
      </c>
      <c r="AY339" s="6">
        <f>IF(OR(原始資料!$A339="",50&gt;設定!$B$3,原始資料!BA339=""),"",IF(AND(原始資料!AZ339&lt;&gt;"",原始資料!BA339=原始資料!AZ339),N(AX339)+1,1))</f>
        <v/>
      </c>
      <c r="AZ339" s="6">
        <f>IF(OR(原始資料!$A339="",51&gt;設定!$B$3,原始資料!BB339=""),"",IF(AND(原始資料!BA339&lt;&gt;"",原始資料!BB339=原始資料!BA339),N(AY339)+1,1))</f>
        <v/>
      </c>
      <c r="BA339" s="6">
        <f>IF(OR(原始資料!$A339="",52&gt;設定!$B$3,原始資料!BC339=""),"",IF(AND(原始資料!BB339&lt;&gt;"",原始資料!BC339=原始資料!BB339),N(AZ339)+1,1))</f>
        <v/>
      </c>
      <c r="BB339" s="6">
        <f>IF(OR(原始資料!$A339="",53&gt;設定!$B$3,原始資料!BD339=""),"",IF(AND(原始資料!BC339&lt;&gt;"",原始資料!BD339=原始資料!BC339),N(BA339)+1,1))</f>
        <v/>
      </c>
      <c r="BC339" s="6">
        <f>IF(OR(原始資料!$A339="",54&gt;設定!$B$3,原始資料!BE339=""),"",IF(AND(原始資料!BD339&lt;&gt;"",原始資料!BE339=原始資料!BD339),N(BB339)+1,1))</f>
        <v/>
      </c>
      <c r="BD339" s="6">
        <f>IF(OR(原始資料!$A339="",55&gt;設定!$B$3,原始資料!BF339=""),"",IF(AND(原始資料!BE339&lt;&gt;"",原始資料!BF339=原始資料!BE339),N(BC339)+1,1))</f>
        <v/>
      </c>
      <c r="BE339" s="6">
        <f>IF(OR(原始資料!$A339="",56&gt;設定!$B$3,原始資料!BG339=""),"",IF(AND(原始資料!BF339&lt;&gt;"",原始資料!BG339=原始資料!BF339),N(BD339)+1,1))</f>
        <v/>
      </c>
      <c r="BF339" s="6">
        <f>IF(OR(原始資料!$A339="",57&gt;設定!$B$3,原始資料!BH339=""),"",IF(AND(原始資料!BG339&lt;&gt;"",原始資料!BH339=原始資料!BG339),N(BE339)+1,1))</f>
        <v/>
      </c>
      <c r="BG339" s="6">
        <f>IF(OR(原始資料!$A339="",58&gt;設定!$B$3,原始資料!BI339=""),"",IF(AND(原始資料!BH339&lt;&gt;"",原始資料!BI339=原始資料!BH339),N(BF339)+1,1))</f>
        <v/>
      </c>
      <c r="BH339" s="6">
        <f>IF(OR(原始資料!$A339="",59&gt;設定!$B$3,原始資料!BJ339=""),"",IF(AND(原始資料!BI339&lt;&gt;"",原始資料!BJ339=原始資料!BI339),N(BG339)+1,1))</f>
        <v/>
      </c>
      <c r="BI339" s="6">
        <f>IF(OR(原始資料!$A339="",60&gt;設定!$B$3,原始資料!BK339=""),"",IF(AND(原始資料!BJ339&lt;&gt;"",原始資料!BK339=原始資料!BJ339),N(BH339)+1,1))</f>
        <v/>
      </c>
    </row>
    <row r="340">
      <c r="A340" s="6">
        <f>IF(原始資料!$A340="","",原始資料!$A340)</f>
        <v/>
      </c>
      <c r="B340" s="6">
        <f>IF(OR(原始資料!$A340="",1&gt;設定!$B$3,原始資料!D340=""),"",1)</f>
        <v/>
      </c>
      <c r="C340" s="6">
        <f>IF(OR(原始資料!$A340="",2&gt;設定!$B$3,原始資料!E340=""),"",IF(AND(原始資料!D340&lt;&gt;"",原始資料!E340=原始資料!D340),N(B340)+1,1))</f>
        <v/>
      </c>
      <c r="D340" s="6">
        <f>IF(OR(原始資料!$A340="",3&gt;設定!$B$3,原始資料!F340=""),"",IF(AND(原始資料!E340&lt;&gt;"",原始資料!F340=原始資料!E340),N(C340)+1,1))</f>
        <v/>
      </c>
      <c r="E340" s="6">
        <f>IF(OR(原始資料!$A340="",4&gt;設定!$B$3,原始資料!G340=""),"",IF(AND(原始資料!F340&lt;&gt;"",原始資料!G340=原始資料!F340),N(D340)+1,1))</f>
        <v/>
      </c>
      <c r="F340" s="6">
        <f>IF(OR(原始資料!$A340="",5&gt;設定!$B$3,原始資料!H340=""),"",IF(AND(原始資料!G340&lt;&gt;"",原始資料!H340=原始資料!G340),N(E340)+1,1))</f>
        <v/>
      </c>
      <c r="G340" s="6">
        <f>IF(OR(原始資料!$A340="",6&gt;設定!$B$3,原始資料!I340=""),"",IF(AND(原始資料!H340&lt;&gt;"",原始資料!I340=原始資料!H340),N(F340)+1,1))</f>
        <v/>
      </c>
      <c r="H340" s="6">
        <f>IF(OR(原始資料!$A340="",7&gt;設定!$B$3,原始資料!J340=""),"",IF(AND(原始資料!I340&lt;&gt;"",原始資料!J340=原始資料!I340),N(G340)+1,1))</f>
        <v/>
      </c>
      <c r="I340" s="6">
        <f>IF(OR(原始資料!$A340="",8&gt;設定!$B$3,原始資料!K340=""),"",IF(AND(原始資料!J340&lt;&gt;"",原始資料!K340=原始資料!J340),N(H340)+1,1))</f>
        <v/>
      </c>
      <c r="J340" s="6">
        <f>IF(OR(原始資料!$A340="",9&gt;設定!$B$3,原始資料!L340=""),"",IF(AND(原始資料!K340&lt;&gt;"",原始資料!L340=原始資料!K340),N(I340)+1,1))</f>
        <v/>
      </c>
      <c r="K340" s="6">
        <f>IF(OR(原始資料!$A340="",10&gt;設定!$B$3,原始資料!M340=""),"",IF(AND(原始資料!L340&lt;&gt;"",原始資料!M340=原始資料!L340),N(J340)+1,1))</f>
        <v/>
      </c>
      <c r="L340" s="6">
        <f>IF(OR(原始資料!$A340="",11&gt;設定!$B$3,原始資料!N340=""),"",IF(AND(原始資料!M340&lt;&gt;"",原始資料!N340=原始資料!M340),N(K340)+1,1))</f>
        <v/>
      </c>
      <c r="M340" s="6">
        <f>IF(OR(原始資料!$A340="",12&gt;設定!$B$3,原始資料!O340=""),"",IF(AND(原始資料!N340&lt;&gt;"",原始資料!O340=原始資料!N340),N(L340)+1,1))</f>
        <v/>
      </c>
      <c r="N340" s="6">
        <f>IF(OR(原始資料!$A340="",13&gt;設定!$B$3,原始資料!P340=""),"",IF(AND(原始資料!O340&lt;&gt;"",原始資料!P340=原始資料!O340),N(M340)+1,1))</f>
        <v/>
      </c>
      <c r="O340" s="6">
        <f>IF(OR(原始資料!$A340="",14&gt;設定!$B$3,原始資料!Q340=""),"",IF(AND(原始資料!P340&lt;&gt;"",原始資料!Q340=原始資料!P340),N(N340)+1,1))</f>
        <v/>
      </c>
      <c r="P340" s="6">
        <f>IF(OR(原始資料!$A340="",15&gt;設定!$B$3,原始資料!R340=""),"",IF(AND(原始資料!Q340&lt;&gt;"",原始資料!R340=原始資料!Q340),N(O340)+1,1))</f>
        <v/>
      </c>
      <c r="Q340" s="6">
        <f>IF(OR(原始資料!$A340="",16&gt;設定!$B$3,原始資料!S340=""),"",IF(AND(原始資料!R340&lt;&gt;"",原始資料!S340=原始資料!R340),N(P340)+1,1))</f>
        <v/>
      </c>
      <c r="R340" s="6">
        <f>IF(OR(原始資料!$A340="",17&gt;設定!$B$3,原始資料!T340=""),"",IF(AND(原始資料!S340&lt;&gt;"",原始資料!T340=原始資料!S340),N(Q340)+1,1))</f>
        <v/>
      </c>
      <c r="S340" s="6">
        <f>IF(OR(原始資料!$A340="",18&gt;設定!$B$3,原始資料!U340=""),"",IF(AND(原始資料!T340&lt;&gt;"",原始資料!U340=原始資料!T340),N(R340)+1,1))</f>
        <v/>
      </c>
      <c r="T340" s="6">
        <f>IF(OR(原始資料!$A340="",19&gt;設定!$B$3,原始資料!V340=""),"",IF(AND(原始資料!U340&lt;&gt;"",原始資料!V340=原始資料!U340),N(S340)+1,1))</f>
        <v/>
      </c>
      <c r="U340" s="6">
        <f>IF(OR(原始資料!$A340="",20&gt;設定!$B$3,原始資料!W340=""),"",IF(AND(原始資料!V340&lt;&gt;"",原始資料!W340=原始資料!V340),N(T340)+1,1))</f>
        <v/>
      </c>
      <c r="V340" s="6">
        <f>IF(OR(原始資料!$A340="",21&gt;設定!$B$3,原始資料!X340=""),"",IF(AND(原始資料!W340&lt;&gt;"",原始資料!X340=原始資料!W340),N(U340)+1,1))</f>
        <v/>
      </c>
      <c r="W340" s="6">
        <f>IF(OR(原始資料!$A340="",22&gt;設定!$B$3,原始資料!Y340=""),"",IF(AND(原始資料!X340&lt;&gt;"",原始資料!Y340=原始資料!X340),N(V340)+1,1))</f>
        <v/>
      </c>
      <c r="X340" s="6">
        <f>IF(OR(原始資料!$A340="",23&gt;設定!$B$3,原始資料!Z340=""),"",IF(AND(原始資料!Y340&lt;&gt;"",原始資料!Z340=原始資料!Y340),N(W340)+1,1))</f>
        <v/>
      </c>
      <c r="Y340" s="6">
        <f>IF(OR(原始資料!$A340="",24&gt;設定!$B$3,原始資料!AA340=""),"",IF(AND(原始資料!Z340&lt;&gt;"",原始資料!AA340=原始資料!Z340),N(X340)+1,1))</f>
        <v/>
      </c>
      <c r="Z340" s="6">
        <f>IF(OR(原始資料!$A340="",25&gt;設定!$B$3,原始資料!AB340=""),"",IF(AND(原始資料!AA340&lt;&gt;"",原始資料!AB340=原始資料!AA340),N(Y340)+1,1))</f>
        <v/>
      </c>
      <c r="AA340" s="6">
        <f>IF(OR(原始資料!$A340="",26&gt;設定!$B$3,原始資料!AC340=""),"",IF(AND(原始資料!AB340&lt;&gt;"",原始資料!AC340=原始資料!AB340),N(Z340)+1,1))</f>
        <v/>
      </c>
      <c r="AB340" s="6">
        <f>IF(OR(原始資料!$A340="",27&gt;設定!$B$3,原始資料!AD340=""),"",IF(AND(原始資料!AC340&lt;&gt;"",原始資料!AD340=原始資料!AC340),N(AA340)+1,1))</f>
        <v/>
      </c>
      <c r="AC340" s="6">
        <f>IF(OR(原始資料!$A340="",28&gt;設定!$B$3,原始資料!AE340=""),"",IF(AND(原始資料!AD340&lt;&gt;"",原始資料!AE340=原始資料!AD340),N(AB340)+1,1))</f>
        <v/>
      </c>
      <c r="AD340" s="6">
        <f>IF(OR(原始資料!$A340="",29&gt;設定!$B$3,原始資料!AF340=""),"",IF(AND(原始資料!AE340&lt;&gt;"",原始資料!AF340=原始資料!AE340),N(AC340)+1,1))</f>
        <v/>
      </c>
      <c r="AE340" s="6">
        <f>IF(OR(原始資料!$A340="",30&gt;設定!$B$3,原始資料!AG340=""),"",IF(AND(原始資料!AF340&lt;&gt;"",原始資料!AG340=原始資料!AF340),N(AD340)+1,1))</f>
        <v/>
      </c>
      <c r="AF340" s="6">
        <f>IF(OR(原始資料!$A340="",31&gt;設定!$B$3,原始資料!AH340=""),"",IF(AND(原始資料!AG340&lt;&gt;"",原始資料!AH340=原始資料!AG340),N(AE340)+1,1))</f>
        <v/>
      </c>
      <c r="AG340" s="6">
        <f>IF(OR(原始資料!$A340="",32&gt;設定!$B$3,原始資料!AI340=""),"",IF(AND(原始資料!AH340&lt;&gt;"",原始資料!AI340=原始資料!AH340),N(AF340)+1,1))</f>
        <v/>
      </c>
      <c r="AH340" s="6">
        <f>IF(OR(原始資料!$A340="",33&gt;設定!$B$3,原始資料!AJ340=""),"",IF(AND(原始資料!AI340&lt;&gt;"",原始資料!AJ340=原始資料!AI340),N(AG340)+1,1))</f>
        <v/>
      </c>
      <c r="AI340" s="6">
        <f>IF(OR(原始資料!$A340="",34&gt;設定!$B$3,原始資料!AK340=""),"",IF(AND(原始資料!AJ340&lt;&gt;"",原始資料!AK340=原始資料!AJ340),N(AH340)+1,1))</f>
        <v/>
      </c>
      <c r="AJ340" s="6">
        <f>IF(OR(原始資料!$A340="",35&gt;設定!$B$3,原始資料!AL340=""),"",IF(AND(原始資料!AK340&lt;&gt;"",原始資料!AL340=原始資料!AK340),N(AI340)+1,1))</f>
        <v/>
      </c>
      <c r="AK340" s="6">
        <f>IF(OR(原始資料!$A340="",36&gt;設定!$B$3,原始資料!AM340=""),"",IF(AND(原始資料!AL340&lt;&gt;"",原始資料!AM340=原始資料!AL340),N(AJ340)+1,1))</f>
        <v/>
      </c>
      <c r="AL340" s="6">
        <f>IF(OR(原始資料!$A340="",37&gt;設定!$B$3,原始資料!AN340=""),"",IF(AND(原始資料!AM340&lt;&gt;"",原始資料!AN340=原始資料!AM340),N(AK340)+1,1))</f>
        <v/>
      </c>
      <c r="AM340" s="6">
        <f>IF(OR(原始資料!$A340="",38&gt;設定!$B$3,原始資料!AO340=""),"",IF(AND(原始資料!AN340&lt;&gt;"",原始資料!AO340=原始資料!AN340),N(AL340)+1,1))</f>
        <v/>
      </c>
      <c r="AN340" s="6">
        <f>IF(OR(原始資料!$A340="",39&gt;設定!$B$3,原始資料!AP340=""),"",IF(AND(原始資料!AO340&lt;&gt;"",原始資料!AP340=原始資料!AO340),N(AM340)+1,1))</f>
        <v/>
      </c>
      <c r="AO340" s="6">
        <f>IF(OR(原始資料!$A340="",40&gt;設定!$B$3,原始資料!AQ340=""),"",IF(AND(原始資料!AP340&lt;&gt;"",原始資料!AQ340=原始資料!AP340),N(AN340)+1,1))</f>
        <v/>
      </c>
      <c r="AP340" s="6">
        <f>IF(OR(原始資料!$A340="",41&gt;設定!$B$3,原始資料!AR340=""),"",IF(AND(原始資料!AQ340&lt;&gt;"",原始資料!AR340=原始資料!AQ340),N(AO340)+1,1))</f>
        <v/>
      </c>
      <c r="AQ340" s="6">
        <f>IF(OR(原始資料!$A340="",42&gt;設定!$B$3,原始資料!AS340=""),"",IF(AND(原始資料!AR340&lt;&gt;"",原始資料!AS340=原始資料!AR340),N(AP340)+1,1))</f>
        <v/>
      </c>
      <c r="AR340" s="6">
        <f>IF(OR(原始資料!$A340="",43&gt;設定!$B$3,原始資料!AT340=""),"",IF(AND(原始資料!AS340&lt;&gt;"",原始資料!AT340=原始資料!AS340),N(AQ340)+1,1))</f>
        <v/>
      </c>
      <c r="AS340" s="6">
        <f>IF(OR(原始資料!$A340="",44&gt;設定!$B$3,原始資料!AU340=""),"",IF(AND(原始資料!AT340&lt;&gt;"",原始資料!AU340=原始資料!AT340),N(AR340)+1,1))</f>
        <v/>
      </c>
      <c r="AT340" s="6">
        <f>IF(OR(原始資料!$A340="",45&gt;設定!$B$3,原始資料!AV340=""),"",IF(AND(原始資料!AU340&lt;&gt;"",原始資料!AV340=原始資料!AU340),N(AS340)+1,1))</f>
        <v/>
      </c>
      <c r="AU340" s="6">
        <f>IF(OR(原始資料!$A340="",46&gt;設定!$B$3,原始資料!AW340=""),"",IF(AND(原始資料!AV340&lt;&gt;"",原始資料!AW340=原始資料!AV340),N(AT340)+1,1))</f>
        <v/>
      </c>
      <c r="AV340" s="6">
        <f>IF(OR(原始資料!$A340="",47&gt;設定!$B$3,原始資料!AX340=""),"",IF(AND(原始資料!AW340&lt;&gt;"",原始資料!AX340=原始資料!AW340),N(AU340)+1,1))</f>
        <v/>
      </c>
      <c r="AW340" s="6">
        <f>IF(OR(原始資料!$A340="",48&gt;設定!$B$3,原始資料!AY340=""),"",IF(AND(原始資料!AX340&lt;&gt;"",原始資料!AY340=原始資料!AX340),N(AV340)+1,1))</f>
        <v/>
      </c>
      <c r="AX340" s="6">
        <f>IF(OR(原始資料!$A340="",49&gt;設定!$B$3,原始資料!AZ340=""),"",IF(AND(原始資料!AY340&lt;&gt;"",原始資料!AZ340=原始資料!AY340),N(AW340)+1,1))</f>
        <v/>
      </c>
      <c r="AY340" s="6">
        <f>IF(OR(原始資料!$A340="",50&gt;設定!$B$3,原始資料!BA340=""),"",IF(AND(原始資料!AZ340&lt;&gt;"",原始資料!BA340=原始資料!AZ340),N(AX340)+1,1))</f>
        <v/>
      </c>
      <c r="AZ340" s="6">
        <f>IF(OR(原始資料!$A340="",51&gt;設定!$B$3,原始資料!BB340=""),"",IF(AND(原始資料!BA340&lt;&gt;"",原始資料!BB340=原始資料!BA340),N(AY340)+1,1))</f>
        <v/>
      </c>
      <c r="BA340" s="6">
        <f>IF(OR(原始資料!$A340="",52&gt;設定!$B$3,原始資料!BC340=""),"",IF(AND(原始資料!BB340&lt;&gt;"",原始資料!BC340=原始資料!BB340),N(AZ340)+1,1))</f>
        <v/>
      </c>
      <c r="BB340" s="6">
        <f>IF(OR(原始資料!$A340="",53&gt;設定!$B$3,原始資料!BD340=""),"",IF(AND(原始資料!BC340&lt;&gt;"",原始資料!BD340=原始資料!BC340),N(BA340)+1,1))</f>
        <v/>
      </c>
      <c r="BC340" s="6">
        <f>IF(OR(原始資料!$A340="",54&gt;設定!$B$3,原始資料!BE340=""),"",IF(AND(原始資料!BD340&lt;&gt;"",原始資料!BE340=原始資料!BD340),N(BB340)+1,1))</f>
        <v/>
      </c>
      <c r="BD340" s="6">
        <f>IF(OR(原始資料!$A340="",55&gt;設定!$B$3,原始資料!BF340=""),"",IF(AND(原始資料!BE340&lt;&gt;"",原始資料!BF340=原始資料!BE340),N(BC340)+1,1))</f>
        <v/>
      </c>
      <c r="BE340" s="6">
        <f>IF(OR(原始資料!$A340="",56&gt;設定!$B$3,原始資料!BG340=""),"",IF(AND(原始資料!BF340&lt;&gt;"",原始資料!BG340=原始資料!BF340),N(BD340)+1,1))</f>
        <v/>
      </c>
      <c r="BF340" s="6">
        <f>IF(OR(原始資料!$A340="",57&gt;設定!$B$3,原始資料!BH340=""),"",IF(AND(原始資料!BG340&lt;&gt;"",原始資料!BH340=原始資料!BG340),N(BE340)+1,1))</f>
        <v/>
      </c>
      <c r="BG340" s="6">
        <f>IF(OR(原始資料!$A340="",58&gt;設定!$B$3,原始資料!BI340=""),"",IF(AND(原始資料!BH340&lt;&gt;"",原始資料!BI340=原始資料!BH340),N(BF340)+1,1))</f>
        <v/>
      </c>
      <c r="BH340" s="6">
        <f>IF(OR(原始資料!$A340="",59&gt;設定!$B$3,原始資料!BJ340=""),"",IF(AND(原始資料!BI340&lt;&gt;"",原始資料!BJ340=原始資料!BI340),N(BG340)+1,1))</f>
        <v/>
      </c>
      <c r="BI340" s="6">
        <f>IF(OR(原始資料!$A340="",60&gt;設定!$B$3,原始資料!BK340=""),"",IF(AND(原始資料!BJ340&lt;&gt;"",原始資料!BK340=原始資料!BJ340),N(BH340)+1,1))</f>
        <v/>
      </c>
    </row>
    <row r="341">
      <c r="A341" s="6">
        <f>IF(原始資料!$A341="","",原始資料!$A341)</f>
        <v/>
      </c>
      <c r="B341" s="6">
        <f>IF(OR(原始資料!$A341="",1&gt;設定!$B$3,原始資料!D341=""),"",1)</f>
        <v/>
      </c>
      <c r="C341" s="6">
        <f>IF(OR(原始資料!$A341="",2&gt;設定!$B$3,原始資料!E341=""),"",IF(AND(原始資料!D341&lt;&gt;"",原始資料!E341=原始資料!D341),N(B341)+1,1))</f>
        <v/>
      </c>
      <c r="D341" s="6">
        <f>IF(OR(原始資料!$A341="",3&gt;設定!$B$3,原始資料!F341=""),"",IF(AND(原始資料!E341&lt;&gt;"",原始資料!F341=原始資料!E341),N(C341)+1,1))</f>
        <v/>
      </c>
      <c r="E341" s="6">
        <f>IF(OR(原始資料!$A341="",4&gt;設定!$B$3,原始資料!G341=""),"",IF(AND(原始資料!F341&lt;&gt;"",原始資料!G341=原始資料!F341),N(D341)+1,1))</f>
        <v/>
      </c>
      <c r="F341" s="6">
        <f>IF(OR(原始資料!$A341="",5&gt;設定!$B$3,原始資料!H341=""),"",IF(AND(原始資料!G341&lt;&gt;"",原始資料!H341=原始資料!G341),N(E341)+1,1))</f>
        <v/>
      </c>
      <c r="G341" s="6">
        <f>IF(OR(原始資料!$A341="",6&gt;設定!$B$3,原始資料!I341=""),"",IF(AND(原始資料!H341&lt;&gt;"",原始資料!I341=原始資料!H341),N(F341)+1,1))</f>
        <v/>
      </c>
      <c r="H341" s="6">
        <f>IF(OR(原始資料!$A341="",7&gt;設定!$B$3,原始資料!J341=""),"",IF(AND(原始資料!I341&lt;&gt;"",原始資料!J341=原始資料!I341),N(G341)+1,1))</f>
        <v/>
      </c>
      <c r="I341" s="6">
        <f>IF(OR(原始資料!$A341="",8&gt;設定!$B$3,原始資料!K341=""),"",IF(AND(原始資料!J341&lt;&gt;"",原始資料!K341=原始資料!J341),N(H341)+1,1))</f>
        <v/>
      </c>
      <c r="J341" s="6">
        <f>IF(OR(原始資料!$A341="",9&gt;設定!$B$3,原始資料!L341=""),"",IF(AND(原始資料!K341&lt;&gt;"",原始資料!L341=原始資料!K341),N(I341)+1,1))</f>
        <v/>
      </c>
      <c r="K341" s="6">
        <f>IF(OR(原始資料!$A341="",10&gt;設定!$B$3,原始資料!M341=""),"",IF(AND(原始資料!L341&lt;&gt;"",原始資料!M341=原始資料!L341),N(J341)+1,1))</f>
        <v/>
      </c>
      <c r="L341" s="6">
        <f>IF(OR(原始資料!$A341="",11&gt;設定!$B$3,原始資料!N341=""),"",IF(AND(原始資料!M341&lt;&gt;"",原始資料!N341=原始資料!M341),N(K341)+1,1))</f>
        <v/>
      </c>
      <c r="M341" s="6">
        <f>IF(OR(原始資料!$A341="",12&gt;設定!$B$3,原始資料!O341=""),"",IF(AND(原始資料!N341&lt;&gt;"",原始資料!O341=原始資料!N341),N(L341)+1,1))</f>
        <v/>
      </c>
      <c r="N341" s="6">
        <f>IF(OR(原始資料!$A341="",13&gt;設定!$B$3,原始資料!P341=""),"",IF(AND(原始資料!O341&lt;&gt;"",原始資料!P341=原始資料!O341),N(M341)+1,1))</f>
        <v/>
      </c>
      <c r="O341" s="6">
        <f>IF(OR(原始資料!$A341="",14&gt;設定!$B$3,原始資料!Q341=""),"",IF(AND(原始資料!P341&lt;&gt;"",原始資料!Q341=原始資料!P341),N(N341)+1,1))</f>
        <v/>
      </c>
      <c r="P341" s="6">
        <f>IF(OR(原始資料!$A341="",15&gt;設定!$B$3,原始資料!R341=""),"",IF(AND(原始資料!Q341&lt;&gt;"",原始資料!R341=原始資料!Q341),N(O341)+1,1))</f>
        <v/>
      </c>
      <c r="Q341" s="6">
        <f>IF(OR(原始資料!$A341="",16&gt;設定!$B$3,原始資料!S341=""),"",IF(AND(原始資料!R341&lt;&gt;"",原始資料!S341=原始資料!R341),N(P341)+1,1))</f>
        <v/>
      </c>
      <c r="R341" s="6">
        <f>IF(OR(原始資料!$A341="",17&gt;設定!$B$3,原始資料!T341=""),"",IF(AND(原始資料!S341&lt;&gt;"",原始資料!T341=原始資料!S341),N(Q341)+1,1))</f>
        <v/>
      </c>
      <c r="S341" s="6">
        <f>IF(OR(原始資料!$A341="",18&gt;設定!$B$3,原始資料!U341=""),"",IF(AND(原始資料!T341&lt;&gt;"",原始資料!U341=原始資料!T341),N(R341)+1,1))</f>
        <v/>
      </c>
      <c r="T341" s="6">
        <f>IF(OR(原始資料!$A341="",19&gt;設定!$B$3,原始資料!V341=""),"",IF(AND(原始資料!U341&lt;&gt;"",原始資料!V341=原始資料!U341),N(S341)+1,1))</f>
        <v/>
      </c>
      <c r="U341" s="6">
        <f>IF(OR(原始資料!$A341="",20&gt;設定!$B$3,原始資料!W341=""),"",IF(AND(原始資料!V341&lt;&gt;"",原始資料!W341=原始資料!V341),N(T341)+1,1))</f>
        <v/>
      </c>
      <c r="V341" s="6">
        <f>IF(OR(原始資料!$A341="",21&gt;設定!$B$3,原始資料!X341=""),"",IF(AND(原始資料!W341&lt;&gt;"",原始資料!X341=原始資料!W341),N(U341)+1,1))</f>
        <v/>
      </c>
      <c r="W341" s="6">
        <f>IF(OR(原始資料!$A341="",22&gt;設定!$B$3,原始資料!Y341=""),"",IF(AND(原始資料!X341&lt;&gt;"",原始資料!Y341=原始資料!X341),N(V341)+1,1))</f>
        <v/>
      </c>
      <c r="X341" s="6">
        <f>IF(OR(原始資料!$A341="",23&gt;設定!$B$3,原始資料!Z341=""),"",IF(AND(原始資料!Y341&lt;&gt;"",原始資料!Z341=原始資料!Y341),N(W341)+1,1))</f>
        <v/>
      </c>
      <c r="Y341" s="6">
        <f>IF(OR(原始資料!$A341="",24&gt;設定!$B$3,原始資料!AA341=""),"",IF(AND(原始資料!Z341&lt;&gt;"",原始資料!AA341=原始資料!Z341),N(X341)+1,1))</f>
        <v/>
      </c>
      <c r="Z341" s="6">
        <f>IF(OR(原始資料!$A341="",25&gt;設定!$B$3,原始資料!AB341=""),"",IF(AND(原始資料!AA341&lt;&gt;"",原始資料!AB341=原始資料!AA341),N(Y341)+1,1))</f>
        <v/>
      </c>
      <c r="AA341" s="6">
        <f>IF(OR(原始資料!$A341="",26&gt;設定!$B$3,原始資料!AC341=""),"",IF(AND(原始資料!AB341&lt;&gt;"",原始資料!AC341=原始資料!AB341),N(Z341)+1,1))</f>
        <v/>
      </c>
      <c r="AB341" s="6">
        <f>IF(OR(原始資料!$A341="",27&gt;設定!$B$3,原始資料!AD341=""),"",IF(AND(原始資料!AC341&lt;&gt;"",原始資料!AD341=原始資料!AC341),N(AA341)+1,1))</f>
        <v/>
      </c>
      <c r="AC341" s="6">
        <f>IF(OR(原始資料!$A341="",28&gt;設定!$B$3,原始資料!AE341=""),"",IF(AND(原始資料!AD341&lt;&gt;"",原始資料!AE341=原始資料!AD341),N(AB341)+1,1))</f>
        <v/>
      </c>
      <c r="AD341" s="6">
        <f>IF(OR(原始資料!$A341="",29&gt;設定!$B$3,原始資料!AF341=""),"",IF(AND(原始資料!AE341&lt;&gt;"",原始資料!AF341=原始資料!AE341),N(AC341)+1,1))</f>
        <v/>
      </c>
      <c r="AE341" s="6">
        <f>IF(OR(原始資料!$A341="",30&gt;設定!$B$3,原始資料!AG341=""),"",IF(AND(原始資料!AF341&lt;&gt;"",原始資料!AG341=原始資料!AF341),N(AD341)+1,1))</f>
        <v/>
      </c>
      <c r="AF341" s="6">
        <f>IF(OR(原始資料!$A341="",31&gt;設定!$B$3,原始資料!AH341=""),"",IF(AND(原始資料!AG341&lt;&gt;"",原始資料!AH341=原始資料!AG341),N(AE341)+1,1))</f>
        <v/>
      </c>
      <c r="AG341" s="6">
        <f>IF(OR(原始資料!$A341="",32&gt;設定!$B$3,原始資料!AI341=""),"",IF(AND(原始資料!AH341&lt;&gt;"",原始資料!AI341=原始資料!AH341),N(AF341)+1,1))</f>
        <v/>
      </c>
      <c r="AH341" s="6">
        <f>IF(OR(原始資料!$A341="",33&gt;設定!$B$3,原始資料!AJ341=""),"",IF(AND(原始資料!AI341&lt;&gt;"",原始資料!AJ341=原始資料!AI341),N(AG341)+1,1))</f>
        <v/>
      </c>
      <c r="AI341" s="6">
        <f>IF(OR(原始資料!$A341="",34&gt;設定!$B$3,原始資料!AK341=""),"",IF(AND(原始資料!AJ341&lt;&gt;"",原始資料!AK341=原始資料!AJ341),N(AH341)+1,1))</f>
        <v/>
      </c>
      <c r="AJ341" s="6">
        <f>IF(OR(原始資料!$A341="",35&gt;設定!$B$3,原始資料!AL341=""),"",IF(AND(原始資料!AK341&lt;&gt;"",原始資料!AL341=原始資料!AK341),N(AI341)+1,1))</f>
        <v/>
      </c>
      <c r="AK341" s="6">
        <f>IF(OR(原始資料!$A341="",36&gt;設定!$B$3,原始資料!AM341=""),"",IF(AND(原始資料!AL341&lt;&gt;"",原始資料!AM341=原始資料!AL341),N(AJ341)+1,1))</f>
        <v/>
      </c>
      <c r="AL341" s="6">
        <f>IF(OR(原始資料!$A341="",37&gt;設定!$B$3,原始資料!AN341=""),"",IF(AND(原始資料!AM341&lt;&gt;"",原始資料!AN341=原始資料!AM341),N(AK341)+1,1))</f>
        <v/>
      </c>
      <c r="AM341" s="6">
        <f>IF(OR(原始資料!$A341="",38&gt;設定!$B$3,原始資料!AO341=""),"",IF(AND(原始資料!AN341&lt;&gt;"",原始資料!AO341=原始資料!AN341),N(AL341)+1,1))</f>
        <v/>
      </c>
      <c r="AN341" s="6">
        <f>IF(OR(原始資料!$A341="",39&gt;設定!$B$3,原始資料!AP341=""),"",IF(AND(原始資料!AO341&lt;&gt;"",原始資料!AP341=原始資料!AO341),N(AM341)+1,1))</f>
        <v/>
      </c>
      <c r="AO341" s="6">
        <f>IF(OR(原始資料!$A341="",40&gt;設定!$B$3,原始資料!AQ341=""),"",IF(AND(原始資料!AP341&lt;&gt;"",原始資料!AQ341=原始資料!AP341),N(AN341)+1,1))</f>
        <v/>
      </c>
      <c r="AP341" s="6">
        <f>IF(OR(原始資料!$A341="",41&gt;設定!$B$3,原始資料!AR341=""),"",IF(AND(原始資料!AQ341&lt;&gt;"",原始資料!AR341=原始資料!AQ341),N(AO341)+1,1))</f>
        <v/>
      </c>
      <c r="AQ341" s="6">
        <f>IF(OR(原始資料!$A341="",42&gt;設定!$B$3,原始資料!AS341=""),"",IF(AND(原始資料!AR341&lt;&gt;"",原始資料!AS341=原始資料!AR341),N(AP341)+1,1))</f>
        <v/>
      </c>
      <c r="AR341" s="6">
        <f>IF(OR(原始資料!$A341="",43&gt;設定!$B$3,原始資料!AT341=""),"",IF(AND(原始資料!AS341&lt;&gt;"",原始資料!AT341=原始資料!AS341),N(AQ341)+1,1))</f>
        <v/>
      </c>
      <c r="AS341" s="6">
        <f>IF(OR(原始資料!$A341="",44&gt;設定!$B$3,原始資料!AU341=""),"",IF(AND(原始資料!AT341&lt;&gt;"",原始資料!AU341=原始資料!AT341),N(AR341)+1,1))</f>
        <v/>
      </c>
      <c r="AT341" s="6">
        <f>IF(OR(原始資料!$A341="",45&gt;設定!$B$3,原始資料!AV341=""),"",IF(AND(原始資料!AU341&lt;&gt;"",原始資料!AV341=原始資料!AU341),N(AS341)+1,1))</f>
        <v/>
      </c>
      <c r="AU341" s="6">
        <f>IF(OR(原始資料!$A341="",46&gt;設定!$B$3,原始資料!AW341=""),"",IF(AND(原始資料!AV341&lt;&gt;"",原始資料!AW341=原始資料!AV341),N(AT341)+1,1))</f>
        <v/>
      </c>
      <c r="AV341" s="6">
        <f>IF(OR(原始資料!$A341="",47&gt;設定!$B$3,原始資料!AX341=""),"",IF(AND(原始資料!AW341&lt;&gt;"",原始資料!AX341=原始資料!AW341),N(AU341)+1,1))</f>
        <v/>
      </c>
      <c r="AW341" s="6">
        <f>IF(OR(原始資料!$A341="",48&gt;設定!$B$3,原始資料!AY341=""),"",IF(AND(原始資料!AX341&lt;&gt;"",原始資料!AY341=原始資料!AX341),N(AV341)+1,1))</f>
        <v/>
      </c>
      <c r="AX341" s="6">
        <f>IF(OR(原始資料!$A341="",49&gt;設定!$B$3,原始資料!AZ341=""),"",IF(AND(原始資料!AY341&lt;&gt;"",原始資料!AZ341=原始資料!AY341),N(AW341)+1,1))</f>
        <v/>
      </c>
      <c r="AY341" s="6">
        <f>IF(OR(原始資料!$A341="",50&gt;設定!$B$3,原始資料!BA341=""),"",IF(AND(原始資料!AZ341&lt;&gt;"",原始資料!BA341=原始資料!AZ341),N(AX341)+1,1))</f>
        <v/>
      </c>
      <c r="AZ341" s="6">
        <f>IF(OR(原始資料!$A341="",51&gt;設定!$B$3,原始資料!BB341=""),"",IF(AND(原始資料!BA341&lt;&gt;"",原始資料!BB341=原始資料!BA341),N(AY341)+1,1))</f>
        <v/>
      </c>
      <c r="BA341" s="6">
        <f>IF(OR(原始資料!$A341="",52&gt;設定!$B$3,原始資料!BC341=""),"",IF(AND(原始資料!BB341&lt;&gt;"",原始資料!BC341=原始資料!BB341),N(AZ341)+1,1))</f>
        <v/>
      </c>
      <c r="BB341" s="6">
        <f>IF(OR(原始資料!$A341="",53&gt;設定!$B$3,原始資料!BD341=""),"",IF(AND(原始資料!BC341&lt;&gt;"",原始資料!BD341=原始資料!BC341),N(BA341)+1,1))</f>
        <v/>
      </c>
      <c r="BC341" s="6">
        <f>IF(OR(原始資料!$A341="",54&gt;設定!$B$3,原始資料!BE341=""),"",IF(AND(原始資料!BD341&lt;&gt;"",原始資料!BE341=原始資料!BD341),N(BB341)+1,1))</f>
        <v/>
      </c>
      <c r="BD341" s="6">
        <f>IF(OR(原始資料!$A341="",55&gt;設定!$B$3,原始資料!BF341=""),"",IF(AND(原始資料!BE341&lt;&gt;"",原始資料!BF341=原始資料!BE341),N(BC341)+1,1))</f>
        <v/>
      </c>
      <c r="BE341" s="6">
        <f>IF(OR(原始資料!$A341="",56&gt;設定!$B$3,原始資料!BG341=""),"",IF(AND(原始資料!BF341&lt;&gt;"",原始資料!BG341=原始資料!BF341),N(BD341)+1,1))</f>
        <v/>
      </c>
      <c r="BF341" s="6">
        <f>IF(OR(原始資料!$A341="",57&gt;設定!$B$3,原始資料!BH341=""),"",IF(AND(原始資料!BG341&lt;&gt;"",原始資料!BH341=原始資料!BG341),N(BE341)+1,1))</f>
        <v/>
      </c>
      <c r="BG341" s="6">
        <f>IF(OR(原始資料!$A341="",58&gt;設定!$B$3,原始資料!BI341=""),"",IF(AND(原始資料!BH341&lt;&gt;"",原始資料!BI341=原始資料!BH341),N(BF341)+1,1))</f>
        <v/>
      </c>
      <c r="BH341" s="6">
        <f>IF(OR(原始資料!$A341="",59&gt;設定!$B$3,原始資料!BJ341=""),"",IF(AND(原始資料!BI341&lt;&gt;"",原始資料!BJ341=原始資料!BI341),N(BG341)+1,1))</f>
        <v/>
      </c>
      <c r="BI341" s="6">
        <f>IF(OR(原始資料!$A341="",60&gt;設定!$B$3,原始資料!BK341=""),"",IF(AND(原始資料!BJ341&lt;&gt;"",原始資料!BK341=原始資料!BJ341),N(BH341)+1,1))</f>
        <v/>
      </c>
    </row>
    <row r="342">
      <c r="A342" s="6">
        <f>IF(原始資料!$A342="","",原始資料!$A342)</f>
        <v/>
      </c>
      <c r="B342" s="6">
        <f>IF(OR(原始資料!$A342="",1&gt;設定!$B$3,原始資料!D342=""),"",1)</f>
        <v/>
      </c>
      <c r="C342" s="6">
        <f>IF(OR(原始資料!$A342="",2&gt;設定!$B$3,原始資料!E342=""),"",IF(AND(原始資料!D342&lt;&gt;"",原始資料!E342=原始資料!D342),N(B342)+1,1))</f>
        <v/>
      </c>
      <c r="D342" s="6">
        <f>IF(OR(原始資料!$A342="",3&gt;設定!$B$3,原始資料!F342=""),"",IF(AND(原始資料!E342&lt;&gt;"",原始資料!F342=原始資料!E342),N(C342)+1,1))</f>
        <v/>
      </c>
      <c r="E342" s="6">
        <f>IF(OR(原始資料!$A342="",4&gt;設定!$B$3,原始資料!G342=""),"",IF(AND(原始資料!F342&lt;&gt;"",原始資料!G342=原始資料!F342),N(D342)+1,1))</f>
        <v/>
      </c>
      <c r="F342" s="6">
        <f>IF(OR(原始資料!$A342="",5&gt;設定!$B$3,原始資料!H342=""),"",IF(AND(原始資料!G342&lt;&gt;"",原始資料!H342=原始資料!G342),N(E342)+1,1))</f>
        <v/>
      </c>
      <c r="G342" s="6">
        <f>IF(OR(原始資料!$A342="",6&gt;設定!$B$3,原始資料!I342=""),"",IF(AND(原始資料!H342&lt;&gt;"",原始資料!I342=原始資料!H342),N(F342)+1,1))</f>
        <v/>
      </c>
      <c r="H342" s="6">
        <f>IF(OR(原始資料!$A342="",7&gt;設定!$B$3,原始資料!J342=""),"",IF(AND(原始資料!I342&lt;&gt;"",原始資料!J342=原始資料!I342),N(G342)+1,1))</f>
        <v/>
      </c>
      <c r="I342" s="6">
        <f>IF(OR(原始資料!$A342="",8&gt;設定!$B$3,原始資料!K342=""),"",IF(AND(原始資料!J342&lt;&gt;"",原始資料!K342=原始資料!J342),N(H342)+1,1))</f>
        <v/>
      </c>
      <c r="J342" s="6">
        <f>IF(OR(原始資料!$A342="",9&gt;設定!$B$3,原始資料!L342=""),"",IF(AND(原始資料!K342&lt;&gt;"",原始資料!L342=原始資料!K342),N(I342)+1,1))</f>
        <v/>
      </c>
      <c r="K342" s="6">
        <f>IF(OR(原始資料!$A342="",10&gt;設定!$B$3,原始資料!M342=""),"",IF(AND(原始資料!L342&lt;&gt;"",原始資料!M342=原始資料!L342),N(J342)+1,1))</f>
        <v/>
      </c>
      <c r="L342" s="6">
        <f>IF(OR(原始資料!$A342="",11&gt;設定!$B$3,原始資料!N342=""),"",IF(AND(原始資料!M342&lt;&gt;"",原始資料!N342=原始資料!M342),N(K342)+1,1))</f>
        <v/>
      </c>
      <c r="M342" s="6">
        <f>IF(OR(原始資料!$A342="",12&gt;設定!$B$3,原始資料!O342=""),"",IF(AND(原始資料!N342&lt;&gt;"",原始資料!O342=原始資料!N342),N(L342)+1,1))</f>
        <v/>
      </c>
      <c r="N342" s="6">
        <f>IF(OR(原始資料!$A342="",13&gt;設定!$B$3,原始資料!P342=""),"",IF(AND(原始資料!O342&lt;&gt;"",原始資料!P342=原始資料!O342),N(M342)+1,1))</f>
        <v/>
      </c>
      <c r="O342" s="6">
        <f>IF(OR(原始資料!$A342="",14&gt;設定!$B$3,原始資料!Q342=""),"",IF(AND(原始資料!P342&lt;&gt;"",原始資料!Q342=原始資料!P342),N(N342)+1,1))</f>
        <v/>
      </c>
      <c r="P342" s="6">
        <f>IF(OR(原始資料!$A342="",15&gt;設定!$B$3,原始資料!R342=""),"",IF(AND(原始資料!Q342&lt;&gt;"",原始資料!R342=原始資料!Q342),N(O342)+1,1))</f>
        <v/>
      </c>
      <c r="Q342" s="6">
        <f>IF(OR(原始資料!$A342="",16&gt;設定!$B$3,原始資料!S342=""),"",IF(AND(原始資料!R342&lt;&gt;"",原始資料!S342=原始資料!R342),N(P342)+1,1))</f>
        <v/>
      </c>
      <c r="R342" s="6">
        <f>IF(OR(原始資料!$A342="",17&gt;設定!$B$3,原始資料!T342=""),"",IF(AND(原始資料!S342&lt;&gt;"",原始資料!T342=原始資料!S342),N(Q342)+1,1))</f>
        <v/>
      </c>
      <c r="S342" s="6">
        <f>IF(OR(原始資料!$A342="",18&gt;設定!$B$3,原始資料!U342=""),"",IF(AND(原始資料!T342&lt;&gt;"",原始資料!U342=原始資料!T342),N(R342)+1,1))</f>
        <v/>
      </c>
      <c r="T342" s="6">
        <f>IF(OR(原始資料!$A342="",19&gt;設定!$B$3,原始資料!V342=""),"",IF(AND(原始資料!U342&lt;&gt;"",原始資料!V342=原始資料!U342),N(S342)+1,1))</f>
        <v/>
      </c>
      <c r="U342" s="6">
        <f>IF(OR(原始資料!$A342="",20&gt;設定!$B$3,原始資料!W342=""),"",IF(AND(原始資料!V342&lt;&gt;"",原始資料!W342=原始資料!V342),N(T342)+1,1))</f>
        <v/>
      </c>
      <c r="V342" s="6">
        <f>IF(OR(原始資料!$A342="",21&gt;設定!$B$3,原始資料!X342=""),"",IF(AND(原始資料!W342&lt;&gt;"",原始資料!X342=原始資料!W342),N(U342)+1,1))</f>
        <v/>
      </c>
      <c r="W342" s="6">
        <f>IF(OR(原始資料!$A342="",22&gt;設定!$B$3,原始資料!Y342=""),"",IF(AND(原始資料!X342&lt;&gt;"",原始資料!Y342=原始資料!X342),N(V342)+1,1))</f>
        <v/>
      </c>
      <c r="X342" s="6">
        <f>IF(OR(原始資料!$A342="",23&gt;設定!$B$3,原始資料!Z342=""),"",IF(AND(原始資料!Y342&lt;&gt;"",原始資料!Z342=原始資料!Y342),N(W342)+1,1))</f>
        <v/>
      </c>
      <c r="Y342" s="6">
        <f>IF(OR(原始資料!$A342="",24&gt;設定!$B$3,原始資料!AA342=""),"",IF(AND(原始資料!Z342&lt;&gt;"",原始資料!AA342=原始資料!Z342),N(X342)+1,1))</f>
        <v/>
      </c>
      <c r="Z342" s="6">
        <f>IF(OR(原始資料!$A342="",25&gt;設定!$B$3,原始資料!AB342=""),"",IF(AND(原始資料!AA342&lt;&gt;"",原始資料!AB342=原始資料!AA342),N(Y342)+1,1))</f>
        <v/>
      </c>
      <c r="AA342" s="6">
        <f>IF(OR(原始資料!$A342="",26&gt;設定!$B$3,原始資料!AC342=""),"",IF(AND(原始資料!AB342&lt;&gt;"",原始資料!AC342=原始資料!AB342),N(Z342)+1,1))</f>
        <v/>
      </c>
      <c r="AB342" s="6">
        <f>IF(OR(原始資料!$A342="",27&gt;設定!$B$3,原始資料!AD342=""),"",IF(AND(原始資料!AC342&lt;&gt;"",原始資料!AD342=原始資料!AC342),N(AA342)+1,1))</f>
        <v/>
      </c>
      <c r="AC342" s="6">
        <f>IF(OR(原始資料!$A342="",28&gt;設定!$B$3,原始資料!AE342=""),"",IF(AND(原始資料!AD342&lt;&gt;"",原始資料!AE342=原始資料!AD342),N(AB342)+1,1))</f>
        <v/>
      </c>
      <c r="AD342" s="6">
        <f>IF(OR(原始資料!$A342="",29&gt;設定!$B$3,原始資料!AF342=""),"",IF(AND(原始資料!AE342&lt;&gt;"",原始資料!AF342=原始資料!AE342),N(AC342)+1,1))</f>
        <v/>
      </c>
      <c r="AE342" s="6">
        <f>IF(OR(原始資料!$A342="",30&gt;設定!$B$3,原始資料!AG342=""),"",IF(AND(原始資料!AF342&lt;&gt;"",原始資料!AG342=原始資料!AF342),N(AD342)+1,1))</f>
        <v/>
      </c>
      <c r="AF342" s="6">
        <f>IF(OR(原始資料!$A342="",31&gt;設定!$B$3,原始資料!AH342=""),"",IF(AND(原始資料!AG342&lt;&gt;"",原始資料!AH342=原始資料!AG342),N(AE342)+1,1))</f>
        <v/>
      </c>
      <c r="AG342" s="6">
        <f>IF(OR(原始資料!$A342="",32&gt;設定!$B$3,原始資料!AI342=""),"",IF(AND(原始資料!AH342&lt;&gt;"",原始資料!AI342=原始資料!AH342),N(AF342)+1,1))</f>
        <v/>
      </c>
      <c r="AH342" s="6">
        <f>IF(OR(原始資料!$A342="",33&gt;設定!$B$3,原始資料!AJ342=""),"",IF(AND(原始資料!AI342&lt;&gt;"",原始資料!AJ342=原始資料!AI342),N(AG342)+1,1))</f>
        <v/>
      </c>
      <c r="AI342" s="6">
        <f>IF(OR(原始資料!$A342="",34&gt;設定!$B$3,原始資料!AK342=""),"",IF(AND(原始資料!AJ342&lt;&gt;"",原始資料!AK342=原始資料!AJ342),N(AH342)+1,1))</f>
        <v/>
      </c>
      <c r="AJ342" s="6">
        <f>IF(OR(原始資料!$A342="",35&gt;設定!$B$3,原始資料!AL342=""),"",IF(AND(原始資料!AK342&lt;&gt;"",原始資料!AL342=原始資料!AK342),N(AI342)+1,1))</f>
        <v/>
      </c>
      <c r="AK342" s="6">
        <f>IF(OR(原始資料!$A342="",36&gt;設定!$B$3,原始資料!AM342=""),"",IF(AND(原始資料!AL342&lt;&gt;"",原始資料!AM342=原始資料!AL342),N(AJ342)+1,1))</f>
        <v/>
      </c>
      <c r="AL342" s="6">
        <f>IF(OR(原始資料!$A342="",37&gt;設定!$B$3,原始資料!AN342=""),"",IF(AND(原始資料!AM342&lt;&gt;"",原始資料!AN342=原始資料!AM342),N(AK342)+1,1))</f>
        <v/>
      </c>
      <c r="AM342" s="6">
        <f>IF(OR(原始資料!$A342="",38&gt;設定!$B$3,原始資料!AO342=""),"",IF(AND(原始資料!AN342&lt;&gt;"",原始資料!AO342=原始資料!AN342),N(AL342)+1,1))</f>
        <v/>
      </c>
      <c r="AN342" s="6">
        <f>IF(OR(原始資料!$A342="",39&gt;設定!$B$3,原始資料!AP342=""),"",IF(AND(原始資料!AO342&lt;&gt;"",原始資料!AP342=原始資料!AO342),N(AM342)+1,1))</f>
        <v/>
      </c>
      <c r="AO342" s="6">
        <f>IF(OR(原始資料!$A342="",40&gt;設定!$B$3,原始資料!AQ342=""),"",IF(AND(原始資料!AP342&lt;&gt;"",原始資料!AQ342=原始資料!AP342),N(AN342)+1,1))</f>
        <v/>
      </c>
      <c r="AP342" s="6">
        <f>IF(OR(原始資料!$A342="",41&gt;設定!$B$3,原始資料!AR342=""),"",IF(AND(原始資料!AQ342&lt;&gt;"",原始資料!AR342=原始資料!AQ342),N(AO342)+1,1))</f>
        <v/>
      </c>
      <c r="AQ342" s="6">
        <f>IF(OR(原始資料!$A342="",42&gt;設定!$B$3,原始資料!AS342=""),"",IF(AND(原始資料!AR342&lt;&gt;"",原始資料!AS342=原始資料!AR342),N(AP342)+1,1))</f>
        <v/>
      </c>
      <c r="AR342" s="6">
        <f>IF(OR(原始資料!$A342="",43&gt;設定!$B$3,原始資料!AT342=""),"",IF(AND(原始資料!AS342&lt;&gt;"",原始資料!AT342=原始資料!AS342),N(AQ342)+1,1))</f>
        <v/>
      </c>
      <c r="AS342" s="6">
        <f>IF(OR(原始資料!$A342="",44&gt;設定!$B$3,原始資料!AU342=""),"",IF(AND(原始資料!AT342&lt;&gt;"",原始資料!AU342=原始資料!AT342),N(AR342)+1,1))</f>
        <v/>
      </c>
      <c r="AT342" s="6">
        <f>IF(OR(原始資料!$A342="",45&gt;設定!$B$3,原始資料!AV342=""),"",IF(AND(原始資料!AU342&lt;&gt;"",原始資料!AV342=原始資料!AU342),N(AS342)+1,1))</f>
        <v/>
      </c>
      <c r="AU342" s="6">
        <f>IF(OR(原始資料!$A342="",46&gt;設定!$B$3,原始資料!AW342=""),"",IF(AND(原始資料!AV342&lt;&gt;"",原始資料!AW342=原始資料!AV342),N(AT342)+1,1))</f>
        <v/>
      </c>
      <c r="AV342" s="6">
        <f>IF(OR(原始資料!$A342="",47&gt;設定!$B$3,原始資料!AX342=""),"",IF(AND(原始資料!AW342&lt;&gt;"",原始資料!AX342=原始資料!AW342),N(AU342)+1,1))</f>
        <v/>
      </c>
      <c r="AW342" s="6">
        <f>IF(OR(原始資料!$A342="",48&gt;設定!$B$3,原始資料!AY342=""),"",IF(AND(原始資料!AX342&lt;&gt;"",原始資料!AY342=原始資料!AX342),N(AV342)+1,1))</f>
        <v/>
      </c>
      <c r="AX342" s="6">
        <f>IF(OR(原始資料!$A342="",49&gt;設定!$B$3,原始資料!AZ342=""),"",IF(AND(原始資料!AY342&lt;&gt;"",原始資料!AZ342=原始資料!AY342),N(AW342)+1,1))</f>
        <v/>
      </c>
      <c r="AY342" s="6">
        <f>IF(OR(原始資料!$A342="",50&gt;設定!$B$3,原始資料!BA342=""),"",IF(AND(原始資料!AZ342&lt;&gt;"",原始資料!BA342=原始資料!AZ342),N(AX342)+1,1))</f>
        <v/>
      </c>
      <c r="AZ342" s="6">
        <f>IF(OR(原始資料!$A342="",51&gt;設定!$B$3,原始資料!BB342=""),"",IF(AND(原始資料!BA342&lt;&gt;"",原始資料!BB342=原始資料!BA342),N(AY342)+1,1))</f>
        <v/>
      </c>
      <c r="BA342" s="6">
        <f>IF(OR(原始資料!$A342="",52&gt;設定!$B$3,原始資料!BC342=""),"",IF(AND(原始資料!BB342&lt;&gt;"",原始資料!BC342=原始資料!BB342),N(AZ342)+1,1))</f>
        <v/>
      </c>
      <c r="BB342" s="6">
        <f>IF(OR(原始資料!$A342="",53&gt;設定!$B$3,原始資料!BD342=""),"",IF(AND(原始資料!BC342&lt;&gt;"",原始資料!BD342=原始資料!BC342),N(BA342)+1,1))</f>
        <v/>
      </c>
      <c r="BC342" s="6">
        <f>IF(OR(原始資料!$A342="",54&gt;設定!$B$3,原始資料!BE342=""),"",IF(AND(原始資料!BD342&lt;&gt;"",原始資料!BE342=原始資料!BD342),N(BB342)+1,1))</f>
        <v/>
      </c>
      <c r="BD342" s="6">
        <f>IF(OR(原始資料!$A342="",55&gt;設定!$B$3,原始資料!BF342=""),"",IF(AND(原始資料!BE342&lt;&gt;"",原始資料!BF342=原始資料!BE342),N(BC342)+1,1))</f>
        <v/>
      </c>
      <c r="BE342" s="6">
        <f>IF(OR(原始資料!$A342="",56&gt;設定!$B$3,原始資料!BG342=""),"",IF(AND(原始資料!BF342&lt;&gt;"",原始資料!BG342=原始資料!BF342),N(BD342)+1,1))</f>
        <v/>
      </c>
      <c r="BF342" s="6">
        <f>IF(OR(原始資料!$A342="",57&gt;設定!$B$3,原始資料!BH342=""),"",IF(AND(原始資料!BG342&lt;&gt;"",原始資料!BH342=原始資料!BG342),N(BE342)+1,1))</f>
        <v/>
      </c>
      <c r="BG342" s="6">
        <f>IF(OR(原始資料!$A342="",58&gt;設定!$B$3,原始資料!BI342=""),"",IF(AND(原始資料!BH342&lt;&gt;"",原始資料!BI342=原始資料!BH342),N(BF342)+1,1))</f>
        <v/>
      </c>
      <c r="BH342" s="6">
        <f>IF(OR(原始資料!$A342="",59&gt;設定!$B$3,原始資料!BJ342=""),"",IF(AND(原始資料!BI342&lt;&gt;"",原始資料!BJ342=原始資料!BI342),N(BG342)+1,1))</f>
        <v/>
      </c>
      <c r="BI342" s="6">
        <f>IF(OR(原始資料!$A342="",60&gt;設定!$B$3,原始資料!BK342=""),"",IF(AND(原始資料!BJ342&lt;&gt;"",原始資料!BK342=原始資料!BJ342),N(BH342)+1,1))</f>
        <v/>
      </c>
    </row>
    <row r="343">
      <c r="A343" s="6">
        <f>IF(原始資料!$A343="","",原始資料!$A343)</f>
        <v/>
      </c>
      <c r="B343" s="6">
        <f>IF(OR(原始資料!$A343="",1&gt;設定!$B$3,原始資料!D343=""),"",1)</f>
        <v/>
      </c>
      <c r="C343" s="6">
        <f>IF(OR(原始資料!$A343="",2&gt;設定!$B$3,原始資料!E343=""),"",IF(AND(原始資料!D343&lt;&gt;"",原始資料!E343=原始資料!D343),N(B343)+1,1))</f>
        <v/>
      </c>
      <c r="D343" s="6">
        <f>IF(OR(原始資料!$A343="",3&gt;設定!$B$3,原始資料!F343=""),"",IF(AND(原始資料!E343&lt;&gt;"",原始資料!F343=原始資料!E343),N(C343)+1,1))</f>
        <v/>
      </c>
      <c r="E343" s="6">
        <f>IF(OR(原始資料!$A343="",4&gt;設定!$B$3,原始資料!G343=""),"",IF(AND(原始資料!F343&lt;&gt;"",原始資料!G343=原始資料!F343),N(D343)+1,1))</f>
        <v/>
      </c>
      <c r="F343" s="6">
        <f>IF(OR(原始資料!$A343="",5&gt;設定!$B$3,原始資料!H343=""),"",IF(AND(原始資料!G343&lt;&gt;"",原始資料!H343=原始資料!G343),N(E343)+1,1))</f>
        <v/>
      </c>
      <c r="G343" s="6">
        <f>IF(OR(原始資料!$A343="",6&gt;設定!$B$3,原始資料!I343=""),"",IF(AND(原始資料!H343&lt;&gt;"",原始資料!I343=原始資料!H343),N(F343)+1,1))</f>
        <v/>
      </c>
      <c r="H343" s="6">
        <f>IF(OR(原始資料!$A343="",7&gt;設定!$B$3,原始資料!J343=""),"",IF(AND(原始資料!I343&lt;&gt;"",原始資料!J343=原始資料!I343),N(G343)+1,1))</f>
        <v/>
      </c>
      <c r="I343" s="6">
        <f>IF(OR(原始資料!$A343="",8&gt;設定!$B$3,原始資料!K343=""),"",IF(AND(原始資料!J343&lt;&gt;"",原始資料!K343=原始資料!J343),N(H343)+1,1))</f>
        <v/>
      </c>
      <c r="J343" s="6">
        <f>IF(OR(原始資料!$A343="",9&gt;設定!$B$3,原始資料!L343=""),"",IF(AND(原始資料!K343&lt;&gt;"",原始資料!L343=原始資料!K343),N(I343)+1,1))</f>
        <v/>
      </c>
      <c r="K343" s="6">
        <f>IF(OR(原始資料!$A343="",10&gt;設定!$B$3,原始資料!M343=""),"",IF(AND(原始資料!L343&lt;&gt;"",原始資料!M343=原始資料!L343),N(J343)+1,1))</f>
        <v/>
      </c>
      <c r="L343" s="6">
        <f>IF(OR(原始資料!$A343="",11&gt;設定!$B$3,原始資料!N343=""),"",IF(AND(原始資料!M343&lt;&gt;"",原始資料!N343=原始資料!M343),N(K343)+1,1))</f>
        <v/>
      </c>
      <c r="M343" s="6">
        <f>IF(OR(原始資料!$A343="",12&gt;設定!$B$3,原始資料!O343=""),"",IF(AND(原始資料!N343&lt;&gt;"",原始資料!O343=原始資料!N343),N(L343)+1,1))</f>
        <v/>
      </c>
      <c r="N343" s="6">
        <f>IF(OR(原始資料!$A343="",13&gt;設定!$B$3,原始資料!P343=""),"",IF(AND(原始資料!O343&lt;&gt;"",原始資料!P343=原始資料!O343),N(M343)+1,1))</f>
        <v/>
      </c>
      <c r="O343" s="6">
        <f>IF(OR(原始資料!$A343="",14&gt;設定!$B$3,原始資料!Q343=""),"",IF(AND(原始資料!P343&lt;&gt;"",原始資料!Q343=原始資料!P343),N(N343)+1,1))</f>
        <v/>
      </c>
      <c r="P343" s="6">
        <f>IF(OR(原始資料!$A343="",15&gt;設定!$B$3,原始資料!R343=""),"",IF(AND(原始資料!Q343&lt;&gt;"",原始資料!R343=原始資料!Q343),N(O343)+1,1))</f>
        <v/>
      </c>
      <c r="Q343" s="6">
        <f>IF(OR(原始資料!$A343="",16&gt;設定!$B$3,原始資料!S343=""),"",IF(AND(原始資料!R343&lt;&gt;"",原始資料!S343=原始資料!R343),N(P343)+1,1))</f>
        <v/>
      </c>
      <c r="R343" s="6">
        <f>IF(OR(原始資料!$A343="",17&gt;設定!$B$3,原始資料!T343=""),"",IF(AND(原始資料!S343&lt;&gt;"",原始資料!T343=原始資料!S343),N(Q343)+1,1))</f>
        <v/>
      </c>
      <c r="S343" s="6">
        <f>IF(OR(原始資料!$A343="",18&gt;設定!$B$3,原始資料!U343=""),"",IF(AND(原始資料!T343&lt;&gt;"",原始資料!U343=原始資料!T343),N(R343)+1,1))</f>
        <v/>
      </c>
      <c r="T343" s="6">
        <f>IF(OR(原始資料!$A343="",19&gt;設定!$B$3,原始資料!V343=""),"",IF(AND(原始資料!U343&lt;&gt;"",原始資料!V343=原始資料!U343),N(S343)+1,1))</f>
        <v/>
      </c>
      <c r="U343" s="6">
        <f>IF(OR(原始資料!$A343="",20&gt;設定!$B$3,原始資料!W343=""),"",IF(AND(原始資料!V343&lt;&gt;"",原始資料!W343=原始資料!V343),N(T343)+1,1))</f>
        <v/>
      </c>
      <c r="V343" s="6">
        <f>IF(OR(原始資料!$A343="",21&gt;設定!$B$3,原始資料!X343=""),"",IF(AND(原始資料!W343&lt;&gt;"",原始資料!X343=原始資料!W343),N(U343)+1,1))</f>
        <v/>
      </c>
      <c r="W343" s="6">
        <f>IF(OR(原始資料!$A343="",22&gt;設定!$B$3,原始資料!Y343=""),"",IF(AND(原始資料!X343&lt;&gt;"",原始資料!Y343=原始資料!X343),N(V343)+1,1))</f>
        <v/>
      </c>
      <c r="X343" s="6">
        <f>IF(OR(原始資料!$A343="",23&gt;設定!$B$3,原始資料!Z343=""),"",IF(AND(原始資料!Y343&lt;&gt;"",原始資料!Z343=原始資料!Y343),N(W343)+1,1))</f>
        <v/>
      </c>
      <c r="Y343" s="6">
        <f>IF(OR(原始資料!$A343="",24&gt;設定!$B$3,原始資料!AA343=""),"",IF(AND(原始資料!Z343&lt;&gt;"",原始資料!AA343=原始資料!Z343),N(X343)+1,1))</f>
        <v/>
      </c>
      <c r="Z343" s="6">
        <f>IF(OR(原始資料!$A343="",25&gt;設定!$B$3,原始資料!AB343=""),"",IF(AND(原始資料!AA343&lt;&gt;"",原始資料!AB343=原始資料!AA343),N(Y343)+1,1))</f>
        <v/>
      </c>
      <c r="AA343" s="6">
        <f>IF(OR(原始資料!$A343="",26&gt;設定!$B$3,原始資料!AC343=""),"",IF(AND(原始資料!AB343&lt;&gt;"",原始資料!AC343=原始資料!AB343),N(Z343)+1,1))</f>
        <v/>
      </c>
      <c r="AB343" s="6">
        <f>IF(OR(原始資料!$A343="",27&gt;設定!$B$3,原始資料!AD343=""),"",IF(AND(原始資料!AC343&lt;&gt;"",原始資料!AD343=原始資料!AC343),N(AA343)+1,1))</f>
        <v/>
      </c>
      <c r="AC343" s="6">
        <f>IF(OR(原始資料!$A343="",28&gt;設定!$B$3,原始資料!AE343=""),"",IF(AND(原始資料!AD343&lt;&gt;"",原始資料!AE343=原始資料!AD343),N(AB343)+1,1))</f>
        <v/>
      </c>
      <c r="AD343" s="6">
        <f>IF(OR(原始資料!$A343="",29&gt;設定!$B$3,原始資料!AF343=""),"",IF(AND(原始資料!AE343&lt;&gt;"",原始資料!AF343=原始資料!AE343),N(AC343)+1,1))</f>
        <v/>
      </c>
      <c r="AE343" s="6">
        <f>IF(OR(原始資料!$A343="",30&gt;設定!$B$3,原始資料!AG343=""),"",IF(AND(原始資料!AF343&lt;&gt;"",原始資料!AG343=原始資料!AF343),N(AD343)+1,1))</f>
        <v/>
      </c>
      <c r="AF343" s="6">
        <f>IF(OR(原始資料!$A343="",31&gt;設定!$B$3,原始資料!AH343=""),"",IF(AND(原始資料!AG343&lt;&gt;"",原始資料!AH343=原始資料!AG343),N(AE343)+1,1))</f>
        <v/>
      </c>
      <c r="AG343" s="6">
        <f>IF(OR(原始資料!$A343="",32&gt;設定!$B$3,原始資料!AI343=""),"",IF(AND(原始資料!AH343&lt;&gt;"",原始資料!AI343=原始資料!AH343),N(AF343)+1,1))</f>
        <v/>
      </c>
      <c r="AH343" s="6">
        <f>IF(OR(原始資料!$A343="",33&gt;設定!$B$3,原始資料!AJ343=""),"",IF(AND(原始資料!AI343&lt;&gt;"",原始資料!AJ343=原始資料!AI343),N(AG343)+1,1))</f>
        <v/>
      </c>
      <c r="AI343" s="6">
        <f>IF(OR(原始資料!$A343="",34&gt;設定!$B$3,原始資料!AK343=""),"",IF(AND(原始資料!AJ343&lt;&gt;"",原始資料!AK343=原始資料!AJ343),N(AH343)+1,1))</f>
        <v/>
      </c>
      <c r="AJ343" s="6">
        <f>IF(OR(原始資料!$A343="",35&gt;設定!$B$3,原始資料!AL343=""),"",IF(AND(原始資料!AK343&lt;&gt;"",原始資料!AL343=原始資料!AK343),N(AI343)+1,1))</f>
        <v/>
      </c>
      <c r="AK343" s="6">
        <f>IF(OR(原始資料!$A343="",36&gt;設定!$B$3,原始資料!AM343=""),"",IF(AND(原始資料!AL343&lt;&gt;"",原始資料!AM343=原始資料!AL343),N(AJ343)+1,1))</f>
        <v/>
      </c>
      <c r="AL343" s="6">
        <f>IF(OR(原始資料!$A343="",37&gt;設定!$B$3,原始資料!AN343=""),"",IF(AND(原始資料!AM343&lt;&gt;"",原始資料!AN343=原始資料!AM343),N(AK343)+1,1))</f>
        <v/>
      </c>
      <c r="AM343" s="6">
        <f>IF(OR(原始資料!$A343="",38&gt;設定!$B$3,原始資料!AO343=""),"",IF(AND(原始資料!AN343&lt;&gt;"",原始資料!AO343=原始資料!AN343),N(AL343)+1,1))</f>
        <v/>
      </c>
      <c r="AN343" s="6">
        <f>IF(OR(原始資料!$A343="",39&gt;設定!$B$3,原始資料!AP343=""),"",IF(AND(原始資料!AO343&lt;&gt;"",原始資料!AP343=原始資料!AO343),N(AM343)+1,1))</f>
        <v/>
      </c>
      <c r="AO343" s="6">
        <f>IF(OR(原始資料!$A343="",40&gt;設定!$B$3,原始資料!AQ343=""),"",IF(AND(原始資料!AP343&lt;&gt;"",原始資料!AQ343=原始資料!AP343),N(AN343)+1,1))</f>
        <v/>
      </c>
      <c r="AP343" s="6">
        <f>IF(OR(原始資料!$A343="",41&gt;設定!$B$3,原始資料!AR343=""),"",IF(AND(原始資料!AQ343&lt;&gt;"",原始資料!AR343=原始資料!AQ343),N(AO343)+1,1))</f>
        <v/>
      </c>
      <c r="AQ343" s="6">
        <f>IF(OR(原始資料!$A343="",42&gt;設定!$B$3,原始資料!AS343=""),"",IF(AND(原始資料!AR343&lt;&gt;"",原始資料!AS343=原始資料!AR343),N(AP343)+1,1))</f>
        <v/>
      </c>
      <c r="AR343" s="6">
        <f>IF(OR(原始資料!$A343="",43&gt;設定!$B$3,原始資料!AT343=""),"",IF(AND(原始資料!AS343&lt;&gt;"",原始資料!AT343=原始資料!AS343),N(AQ343)+1,1))</f>
        <v/>
      </c>
      <c r="AS343" s="6">
        <f>IF(OR(原始資料!$A343="",44&gt;設定!$B$3,原始資料!AU343=""),"",IF(AND(原始資料!AT343&lt;&gt;"",原始資料!AU343=原始資料!AT343),N(AR343)+1,1))</f>
        <v/>
      </c>
      <c r="AT343" s="6">
        <f>IF(OR(原始資料!$A343="",45&gt;設定!$B$3,原始資料!AV343=""),"",IF(AND(原始資料!AU343&lt;&gt;"",原始資料!AV343=原始資料!AU343),N(AS343)+1,1))</f>
        <v/>
      </c>
      <c r="AU343" s="6">
        <f>IF(OR(原始資料!$A343="",46&gt;設定!$B$3,原始資料!AW343=""),"",IF(AND(原始資料!AV343&lt;&gt;"",原始資料!AW343=原始資料!AV343),N(AT343)+1,1))</f>
        <v/>
      </c>
      <c r="AV343" s="6">
        <f>IF(OR(原始資料!$A343="",47&gt;設定!$B$3,原始資料!AX343=""),"",IF(AND(原始資料!AW343&lt;&gt;"",原始資料!AX343=原始資料!AW343),N(AU343)+1,1))</f>
        <v/>
      </c>
      <c r="AW343" s="6">
        <f>IF(OR(原始資料!$A343="",48&gt;設定!$B$3,原始資料!AY343=""),"",IF(AND(原始資料!AX343&lt;&gt;"",原始資料!AY343=原始資料!AX343),N(AV343)+1,1))</f>
        <v/>
      </c>
      <c r="AX343" s="6">
        <f>IF(OR(原始資料!$A343="",49&gt;設定!$B$3,原始資料!AZ343=""),"",IF(AND(原始資料!AY343&lt;&gt;"",原始資料!AZ343=原始資料!AY343),N(AW343)+1,1))</f>
        <v/>
      </c>
      <c r="AY343" s="6">
        <f>IF(OR(原始資料!$A343="",50&gt;設定!$B$3,原始資料!BA343=""),"",IF(AND(原始資料!AZ343&lt;&gt;"",原始資料!BA343=原始資料!AZ343),N(AX343)+1,1))</f>
        <v/>
      </c>
      <c r="AZ343" s="6">
        <f>IF(OR(原始資料!$A343="",51&gt;設定!$B$3,原始資料!BB343=""),"",IF(AND(原始資料!BA343&lt;&gt;"",原始資料!BB343=原始資料!BA343),N(AY343)+1,1))</f>
        <v/>
      </c>
      <c r="BA343" s="6">
        <f>IF(OR(原始資料!$A343="",52&gt;設定!$B$3,原始資料!BC343=""),"",IF(AND(原始資料!BB343&lt;&gt;"",原始資料!BC343=原始資料!BB343),N(AZ343)+1,1))</f>
        <v/>
      </c>
      <c r="BB343" s="6">
        <f>IF(OR(原始資料!$A343="",53&gt;設定!$B$3,原始資料!BD343=""),"",IF(AND(原始資料!BC343&lt;&gt;"",原始資料!BD343=原始資料!BC343),N(BA343)+1,1))</f>
        <v/>
      </c>
      <c r="BC343" s="6">
        <f>IF(OR(原始資料!$A343="",54&gt;設定!$B$3,原始資料!BE343=""),"",IF(AND(原始資料!BD343&lt;&gt;"",原始資料!BE343=原始資料!BD343),N(BB343)+1,1))</f>
        <v/>
      </c>
      <c r="BD343" s="6">
        <f>IF(OR(原始資料!$A343="",55&gt;設定!$B$3,原始資料!BF343=""),"",IF(AND(原始資料!BE343&lt;&gt;"",原始資料!BF343=原始資料!BE343),N(BC343)+1,1))</f>
        <v/>
      </c>
      <c r="BE343" s="6">
        <f>IF(OR(原始資料!$A343="",56&gt;設定!$B$3,原始資料!BG343=""),"",IF(AND(原始資料!BF343&lt;&gt;"",原始資料!BG343=原始資料!BF343),N(BD343)+1,1))</f>
        <v/>
      </c>
      <c r="BF343" s="6">
        <f>IF(OR(原始資料!$A343="",57&gt;設定!$B$3,原始資料!BH343=""),"",IF(AND(原始資料!BG343&lt;&gt;"",原始資料!BH343=原始資料!BG343),N(BE343)+1,1))</f>
        <v/>
      </c>
      <c r="BG343" s="6">
        <f>IF(OR(原始資料!$A343="",58&gt;設定!$B$3,原始資料!BI343=""),"",IF(AND(原始資料!BH343&lt;&gt;"",原始資料!BI343=原始資料!BH343),N(BF343)+1,1))</f>
        <v/>
      </c>
      <c r="BH343" s="6">
        <f>IF(OR(原始資料!$A343="",59&gt;設定!$B$3,原始資料!BJ343=""),"",IF(AND(原始資料!BI343&lt;&gt;"",原始資料!BJ343=原始資料!BI343),N(BG343)+1,1))</f>
        <v/>
      </c>
      <c r="BI343" s="6">
        <f>IF(OR(原始資料!$A343="",60&gt;設定!$B$3,原始資料!BK343=""),"",IF(AND(原始資料!BJ343&lt;&gt;"",原始資料!BK343=原始資料!BJ343),N(BH343)+1,1))</f>
        <v/>
      </c>
    </row>
    <row r="344">
      <c r="A344" s="6">
        <f>IF(原始資料!$A344="","",原始資料!$A344)</f>
        <v/>
      </c>
      <c r="B344" s="6">
        <f>IF(OR(原始資料!$A344="",1&gt;設定!$B$3,原始資料!D344=""),"",1)</f>
        <v/>
      </c>
      <c r="C344" s="6">
        <f>IF(OR(原始資料!$A344="",2&gt;設定!$B$3,原始資料!E344=""),"",IF(AND(原始資料!D344&lt;&gt;"",原始資料!E344=原始資料!D344),N(B344)+1,1))</f>
        <v/>
      </c>
      <c r="D344" s="6">
        <f>IF(OR(原始資料!$A344="",3&gt;設定!$B$3,原始資料!F344=""),"",IF(AND(原始資料!E344&lt;&gt;"",原始資料!F344=原始資料!E344),N(C344)+1,1))</f>
        <v/>
      </c>
      <c r="E344" s="6">
        <f>IF(OR(原始資料!$A344="",4&gt;設定!$B$3,原始資料!G344=""),"",IF(AND(原始資料!F344&lt;&gt;"",原始資料!G344=原始資料!F344),N(D344)+1,1))</f>
        <v/>
      </c>
      <c r="F344" s="6">
        <f>IF(OR(原始資料!$A344="",5&gt;設定!$B$3,原始資料!H344=""),"",IF(AND(原始資料!G344&lt;&gt;"",原始資料!H344=原始資料!G344),N(E344)+1,1))</f>
        <v/>
      </c>
      <c r="G344" s="6">
        <f>IF(OR(原始資料!$A344="",6&gt;設定!$B$3,原始資料!I344=""),"",IF(AND(原始資料!H344&lt;&gt;"",原始資料!I344=原始資料!H344),N(F344)+1,1))</f>
        <v/>
      </c>
      <c r="H344" s="6">
        <f>IF(OR(原始資料!$A344="",7&gt;設定!$B$3,原始資料!J344=""),"",IF(AND(原始資料!I344&lt;&gt;"",原始資料!J344=原始資料!I344),N(G344)+1,1))</f>
        <v/>
      </c>
      <c r="I344" s="6">
        <f>IF(OR(原始資料!$A344="",8&gt;設定!$B$3,原始資料!K344=""),"",IF(AND(原始資料!J344&lt;&gt;"",原始資料!K344=原始資料!J344),N(H344)+1,1))</f>
        <v/>
      </c>
      <c r="J344" s="6">
        <f>IF(OR(原始資料!$A344="",9&gt;設定!$B$3,原始資料!L344=""),"",IF(AND(原始資料!K344&lt;&gt;"",原始資料!L344=原始資料!K344),N(I344)+1,1))</f>
        <v/>
      </c>
      <c r="K344" s="6">
        <f>IF(OR(原始資料!$A344="",10&gt;設定!$B$3,原始資料!M344=""),"",IF(AND(原始資料!L344&lt;&gt;"",原始資料!M344=原始資料!L344),N(J344)+1,1))</f>
        <v/>
      </c>
      <c r="L344" s="6">
        <f>IF(OR(原始資料!$A344="",11&gt;設定!$B$3,原始資料!N344=""),"",IF(AND(原始資料!M344&lt;&gt;"",原始資料!N344=原始資料!M344),N(K344)+1,1))</f>
        <v/>
      </c>
      <c r="M344" s="6">
        <f>IF(OR(原始資料!$A344="",12&gt;設定!$B$3,原始資料!O344=""),"",IF(AND(原始資料!N344&lt;&gt;"",原始資料!O344=原始資料!N344),N(L344)+1,1))</f>
        <v/>
      </c>
      <c r="N344" s="6">
        <f>IF(OR(原始資料!$A344="",13&gt;設定!$B$3,原始資料!P344=""),"",IF(AND(原始資料!O344&lt;&gt;"",原始資料!P344=原始資料!O344),N(M344)+1,1))</f>
        <v/>
      </c>
      <c r="O344" s="6">
        <f>IF(OR(原始資料!$A344="",14&gt;設定!$B$3,原始資料!Q344=""),"",IF(AND(原始資料!P344&lt;&gt;"",原始資料!Q344=原始資料!P344),N(N344)+1,1))</f>
        <v/>
      </c>
      <c r="P344" s="6">
        <f>IF(OR(原始資料!$A344="",15&gt;設定!$B$3,原始資料!R344=""),"",IF(AND(原始資料!Q344&lt;&gt;"",原始資料!R344=原始資料!Q344),N(O344)+1,1))</f>
        <v/>
      </c>
      <c r="Q344" s="6">
        <f>IF(OR(原始資料!$A344="",16&gt;設定!$B$3,原始資料!S344=""),"",IF(AND(原始資料!R344&lt;&gt;"",原始資料!S344=原始資料!R344),N(P344)+1,1))</f>
        <v/>
      </c>
      <c r="R344" s="6">
        <f>IF(OR(原始資料!$A344="",17&gt;設定!$B$3,原始資料!T344=""),"",IF(AND(原始資料!S344&lt;&gt;"",原始資料!T344=原始資料!S344),N(Q344)+1,1))</f>
        <v/>
      </c>
      <c r="S344" s="6">
        <f>IF(OR(原始資料!$A344="",18&gt;設定!$B$3,原始資料!U344=""),"",IF(AND(原始資料!T344&lt;&gt;"",原始資料!U344=原始資料!T344),N(R344)+1,1))</f>
        <v/>
      </c>
      <c r="T344" s="6">
        <f>IF(OR(原始資料!$A344="",19&gt;設定!$B$3,原始資料!V344=""),"",IF(AND(原始資料!U344&lt;&gt;"",原始資料!V344=原始資料!U344),N(S344)+1,1))</f>
        <v/>
      </c>
      <c r="U344" s="6">
        <f>IF(OR(原始資料!$A344="",20&gt;設定!$B$3,原始資料!W344=""),"",IF(AND(原始資料!V344&lt;&gt;"",原始資料!W344=原始資料!V344),N(T344)+1,1))</f>
        <v/>
      </c>
      <c r="V344" s="6">
        <f>IF(OR(原始資料!$A344="",21&gt;設定!$B$3,原始資料!X344=""),"",IF(AND(原始資料!W344&lt;&gt;"",原始資料!X344=原始資料!W344),N(U344)+1,1))</f>
        <v/>
      </c>
      <c r="W344" s="6">
        <f>IF(OR(原始資料!$A344="",22&gt;設定!$B$3,原始資料!Y344=""),"",IF(AND(原始資料!X344&lt;&gt;"",原始資料!Y344=原始資料!X344),N(V344)+1,1))</f>
        <v/>
      </c>
      <c r="X344" s="6">
        <f>IF(OR(原始資料!$A344="",23&gt;設定!$B$3,原始資料!Z344=""),"",IF(AND(原始資料!Y344&lt;&gt;"",原始資料!Z344=原始資料!Y344),N(W344)+1,1))</f>
        <v/>
      </c>
      <c r="Y344" s="6">
        <f>IF(OR(原始資料!$A344="",24&gt;設定!$B$3,原始資料!AA344=""),"",IF(AND(原始資料!Z344&lt;&gt;"",原始資料!AA344=原始資料!Z344),N(X344)+1,1))</f>
        <v/>
      </c>
      <c r="Z344" s="6">
        <f>IF(OR(原始資料!$A344="",25&gt;設定!$B$3,原始資料!AB344=""),"",IF(AND(原始資料!AA344&lt;&gt;"",原始資料!AB344=原始資料!AA344),N(Y344)+1,1))</f>
        <v/>
      </c>
      <c r="AA344" s="6">
        <f>IF(OR(原始資料!$A344="",26&gt;設定!$B$3,原始資料!AC344=""),"",IF(AND(原始資料!AB344&lt;&gt;"",原始資料!AC344=原始資料!AB344),N(Z344)+1,1))</f>
        <v/>
      </c>
      <c r="AB344" s="6">
        <f>IF(OR(原始資料!$A344="",27&gt;設定!$B$3,原始資料!AD344=""),"",IF(AND(原始資料!AC344&lt;&gt;"",原始資料!AD344=原始資料!AC344),N(AA344)+1,1))</f>
        <v/>
      </c>
      <c r="AC344" s="6">
        <f>IF(OR(原始資料!$A344="",28&gt;設定!$B$3,原始資料!AE344=""),"",IF(AND(原始資料!AD344&lt;&gt;"",原始資料!AE344=原始資料!AD344),N(AB344)+1,1))</f>
        <v/>
      </c>
      <c r="AD344" s="6">
        <f>IF(OR(原始資料!$A344="",29&gt;設定!$B$3,原始資料!AF344=""),"",IF(AND(原始資料!AE344&lt;&gt;"",原始資料!AF344=原始資料!AE344),N(AC344)+1,1))</f>
        <v/>
      </c>
      <c r="AE344" s="6">
        <f>IF(OR(原始資料!$A344="",30&gt;設定!$B$3,原始資料!AG344=""),"",IF(AND(原始資料!AF344&lt;&gt;"",原始資料!AG344=原始資料!AF344),N(AD344)+1,1))</f>
        <v/>
      </c>
      <c r="AF344" s="6">
        <f>IF(OR(原始資料!$A344="",31&gt;設定!$B$3,原始資料!AH344=""),"",IF(AND(原始資料!AG344&lt;&gt;"",原始資料!AH344=原始資料!AG344),N(AE344)+1,1))</f>
        <v/>
      </c>
      <c r="AG344" s="6">
        <f>IF(OR(原始資料!$A344="",32&gt;設定!$B$3,原始資料!AI344=""),"",IF(AND(原始資料!AH344&lt;&gt;"",原始資料!AI344=原始資料!AH344),N(AF344)+1,1))</f>
        <v/>
      </c>
      <c r="AH344" s="6">
        <f>IF(OR(原始資料!$A344="",33&gt;設定!$B$3,原始資料!AJ344=""),"",IF(AND(原始資料!AI344&lt;&gt;"",原始資料!AJ344=原始資料!AI344),N(AG344)+1,1))</f>
        <v/>
      </c>
      <c r="AI344" s="6">
        <f>IF(OR(原始資料!$A344="",34&gt;設定!$B$3,原始資料!AK344=""),"",IF(AND(原始資料!AJ344&lt;&gt;"",原始資料!AK344=原始資料!AJ344),N(AH344)+1,1))</f>
        <v/>
      </c>
      <c r="AJ344" s="6">
        <f>IF(OR(原始資料!$A344="",35&gt;設定!$B$3,原始資料!AL344=""),"",IF(AND(原始資料!AK344&lt;&gt;"",原始資料!AL344=原始資料!AK344),N(AI344)+1,1))</f>
        <v/>
      </c>
      <c r="AK344" s="6">
        <f>IF(OR(原始資料!$A344="",36&gt;設定!$B$3,原始資料!AM344=""),"",IF(AND(原始資料!AL344&lt;&gt;"",原始資料!AM344=原始資料!AL344),N(AJ344)+1,1))</f>
        <v/>
      </c>
      <c r="AL344" s="6">
        <f>IF(OR(原始資料!$A344="",37&gt;設定!$B$3,原始資料!AN344=""),"",IF(AND(原始資料!AM344&lt;&gt;"",原始資料!AN344=原始資料!AM344),N(AK344)+1,1))</f>
        <v/>
      </c>
      <c r="AM344" s="6">
        <f>IF(OR(原始資料!$A344="",38&gt;設定!$B$3,原始資料!AO344=""),"",IF(AND(原始資料!AN344&lt;&gt;"",原始資料!AO344=原始資料!AN344),N(AL344)+1,1))</f>
        <v/>
      </c>
      <c r="AN344" s="6">
        <f>IF(OR(原始資料!$A344="",39&gt;設定!$B$3,原始資料!AP344=""),"",IF(AND(原始資料!AO344&lt;&gt;"",原始資料!AP344=原始資料!AO344),N(AM344)+1,1))</f>
        <v/>
      </c>
      <c r="AO344" s="6">
        <f>IF(OR(原始資料!$A344="",40&gt;設定!$B$3,原始資料!AQ344=""),"",IF(AND(原始資料!AP344&lt;&gt;"",原始資料!AQ344=原始資料!AP344),N(AN344)+1,1))</f>
        <v/>
      </c>
      <c r="AP344" s="6">
        <f>IF(OR(原始資料!$A344="",41&gt;設定!$B$3,原始資料!AR344=""),"",IF(AND(原始資料!AQ344&lt;&gt;"",原始資料!AR344=原始資料!AQ344),N(AO344)+1,1))</f>
        <v/>
      </c>
      <c r="AQ344" s="6">
        <f>IF(OR(原始資料!$A344="",42&gt;設定!$B$3,原始資料!AS344=""),"",IF(AND(原始資料!AR344&lt;&gt;"",原始資料!AS344=原始資料!AR344),N(AP344)+1,1))</f>
        <v/>
      </c>
      <c r="AR344" s="6">
        <f>IF(OR(原始資料!$A344="",43&gt;設定!$B$3,原始資料!AT344=""),"",IF(AND(原始資料!AS344&lt;&gt;"",原始資料!AT344=原始資料!AS344),N(AQ344)+1,1))</f>
        <v/>
      </c>
      <c r="AS344" s="6">
        <f>IF(OR(原始資料!$A344="",44&gt;設定!$B$3,原始資料!AU344=""),"",IF(AND(原始資料!AT344&lt;&gt;"",原始資料!AU344=原始資料!AT344),N(AR344)+1,1))</f>
        <v/>
      </c>
      <c r="AT344" s="6">
        <f>IF(OR(原始資料!$A344="",45&gt;設定!$B$3,原始資料!AV344=""),"",IF(AND(原始資料!AU344&lt;&gt;"",原始資料!AV344=原始資料!AU344),N(AS344)+1,1))</f>
        <v/>
      </c>
      <c r="AU344" s="6">
        <f>IF(OR(原始資料!$A344="",46&gt;設定!$B$3,原始資料!AW344=""),"",IF(AND(原始資料!AV344&lt;&gt;"",原始資料!AW344=原始資料!AV344),N(AT344)+1,1))</f>
        <v/>
      </c>
      <c r="AV344" s="6">
        <f>IF(OR(原始資料!$A344="",47&gt;設定!$B$3,原始資料!AX344=""),"",IF(AND(原始資料!AW344&lt;&gt;"",原始資料!AX344=原始資料!AW344),N(AU344)+1,1))</f>
        <v/>
      </c>
      <c r="AW344" s="6">
        <f>IF(OR(原始資料!$A344="",48&gt;設定!$B$3,原始資料!AY344=""),"",IF(AND(原始資料!AX344&lt;&gt;"",原始資料!AY344=原始資料!AX344),N(AV344)+1,1))</f>
        <v/>
      </c>
      <c r="AX344" s="6">
        <f>IF(OR(原始資料!$A344="",49&gt;設定!$B$3,原始資料!AZ344=""),"",IF(AND(原始資料!AY344&lt;&gt;"",原始資料!AZ344=原始資料!AY344),N(AW344)+1,1))</f>
        <v/>
      </c>
      <c r="AY344" s="6">
        <f>IF(OR(原始資料!$A344="",50&gt;設定!$B$3,原始資料!BA344=""),"",IF(AND(原始資料!AZ344&lt;&gt;"",原始資料!BA344=原始資料!AZ344),N(AX344)+1,1))</f>
        <v/>
      </c>
      <c r="AZ344" s="6">
        <f>IF(OR(原始資料!$A344="",51&gt;設定!$B$3,原始資料!BB344=""),"",IF(AND(原始資料!BA344&lt;&gt;"",原始資料!BB344=原始資料!BA344),N(AY344)+1,1))</f>
        <v/>
      </c>
      <c r="BA344" s="6">
        <f>IF(OR(原始資料!$A344="",52&gt;設定!$B$3,原始資料!BC344=""),"",IF(AND(原始資料!BB344&lt;&gt;"",原始資料!BC344=原始資料!BB344),N(AZ344)+1,1))</f>
        <v/>
      </c>
      <c r="BB344" s="6">
        <f>IF(OR(原始資料!$A344="",53&gt;設定!$B$3,原始資料!BD344=""),"",IF(AND(原始資料!BC344&lt;&gt;"",原始資料!BD344=原始資料!BC344),N(BA344)+1,1))</f>
        <v/>
      </c>
      <c r="BC344" s="6">
        <f>IF(OR(原始資料!$A344="",54&gt;設定!$B$3,原始資料!BE344=""),"",IF(AND(原始資料!BD344&lt;&gt;"",原始資料!BE344=原始資料!BD344),N(BB344)+1,1))</f>
        <v/>
      </c>
      <c r="BD344" s="6">
        <f>IF(OR(原始資料!$A344="",55&gt;設定!$B$3,原始資料!BF344=""),"",IF(AND(原始資料!BE344&lt;&gt;"",原始資料!BF344=原始資料!BE344),N(BC344)+1,1))</f>
        <v/>
      </c>
      <c r="BE344" s="6">
        <f>IF(OR(原始資料!$A344="",56&gt;設定!$B$3,原始資料!BG344=""),"",IF(AND(原始資料!BF344&lt;&gt;"",原始資料!BG344=原始資料!BF344),N(BD344)+1,1))</f>
        <v/>
      </c>
      <c r="BF344" s="6">
        <f>IF(OR(原始資料!$A344="",57&gt;設定!$B$3,原始資料!BH344=""),"",IF(AND(原始資料!BG344&lt;&gt;"",原始資料!BH344=原始資料!BG344),N(BE344)+1,1))</f>
        <v/>
      </c>
      <c r="BG344" s="6">
        <f>IF(OR(原始資料!$A344="",58&gt;設定!$B$3,原始資料!BI344=""),"",IF(AND(原始資料!BH344&lt;&gt;"",原始資料!BI344=原始資料!BH344),N(BF344)+1,1))</f>
        <v/>
      </c>
      <c r="BH344" s="6">
        <f>IF(OR(原始資料!$A344="",59&gt;設定!$B$3,原始資料!BJ344=""),"",IF(AND(原始資料!BI344&lt;&gt;"",原始資料!BJ344=原始資料!BI344),N(BG344)+1,1))</f>
        <v/>
      </c>
      <c r="BI344" s="6">
        <f>IF(OR(原始資料!$A344="",60&gt;設定!$B$3,原始資料!BK344=""),"",IF(AND(原始資料!BJ344&lt;&gt;"",原始資料!BK344=原始資料!BJ344),N(BH344)+1,1))</f>
        <v/>
      </c>
    </row>
    <row r="345">
      <c r="A345" s="6">
        <f>IF(原始資料!$A345="","",原始資料!$A345)</f>
        <v/>
      </c>
      <c r="B345" s="6">
        <f>IF(OR(原始資料!$A345="",1&gt;設定!$B$3,原始資料!D345=""),"",1)</f>
        <v/>
      </c>
      <c r="C345" s="6">
        <f>IF(OR(原始資料!$A345="",2&gt;設定!$B$3,原始資料!E345=""),"",IF(AND(原始資料!D345&lt;&gt;"",原始資料!E345=原始資料!D345),N(B345)+1,1))</f>
        <v/>
      </c>
      <c r="D345" s="6">
        <f>IF(OR(原始資料!$A345="",3&gt;設定!$B$3,原始資料!F345=""),"",IF(AND(原始資料!E345&lt;&gt;"",原始資料!F345=原始資料!E345),N(C345)+1,1))</f>
        <v/>
      </c>
      <c r="E345" s="6">
        <f>IF(OR(原始資料!$A345="",4&gt;設定!$B$3,原始資料!G345=""),"",IF(AND(原始資料!F345&lt;&gt;"",原始資料!G345=原始資料!F345),N(D345)+1,1))</f>
        <v/>
      </c>
      <c r="F345" s="6">
        <f>IF(OR(原始資料!$A345="",5&gt;設定!$B$3,原始資料!H345=""),"",IF(AND(原始資料!G345&lt;&gt;"",原始資料!H345=原始資料!G345),N(E345)+1,1))</f>
        <v/>
      </c>
      <c r="G345" s="6">
        <f>IF(OR(原始資料!$A345="",6&gt;設定!$B$3,原始資料!I345=""),"",IF(AND(原始資料!H345&lt;&gt;"",原始資料!I345=原始資料!H345),N(F345)+1,1))</f>
        <v/>
      </c>
      <c r="H345" s="6">
        <f>IF(OR(原始資料!$A345="",7&gt;設定!$B$3,原始資料!J345=""),"",IF(AND(原始資料!I345&lt;&gt;"",原始資料!J345=原始資料!I345),N(G345)+1,1))</f>
        <v/>
      </c>
      <c r="I345" s="6">
        <f>IF(OR(原始資料!$A345="",8&gt;設定!$B$3,原始資料!K345=""),"",IF(AND(原始資料!J345&lt;&gt;"",原始資料!K345=原始資料!J345),N(H345)+1,1))</f>
        <v/>
      </c>
      <c r="J345" s="6">
        <f>IF(OR(原始資料!$A345="",9&gt;設定!$B$3,原始資料!L345=""),"",IF(AND(原始資料!K345&lt;&gt;"",原始資料!L345=原始資料!K345),N(I345)+1,1))</f>
        <v/>
      </c>
      <c r="K345" s="6">
        <f>IF(OR(原始資料!$A345="",10&gt;設定!$B$3,原始資料!M345=""),"",IF(AND(原始資料!L345&lt;&gt;"",原始資料!M345=原始資料!L345),N(J345)+1,1))</f>
        <v/>
      </c>
      <c r="L345" s="6">
        <f>IF(OR(原始資料!$A345="",11&gt;設定!$B$3,原始資料!N345=""),"",IF(AND(原始資料!M345&lt;&gt;"",原始資料!N345=原始資料!M345),N(K345)+1,1))</f>
        <v/>
      </c>
      <c r="M345" s="6">
        <f>IF(OR(原始資料!$A345="",12&gt;設定!$B$3,原始資料!O345=""),"",IF(AND(原始資料!N345&lt;&gt;"",原始資料!O345=原始資料!N345),N(L345)+1,1))</f>
        <v/>
      </c>
      <c r="N345" s="6">
        <f>IF(OR(原始資料!$A345="",13&gt;設定!$B$3,原始資料!P345=""),"",IF(AND(原始資料!O345&lt;&gt;"",原始資料!P345=原始資料!O345),N(M345)+1,1))</f>
        <v/>
      </c>
      <c r="O345" s="6">
        <f>IF(OR(原始資料!$A345="",14&gt;設定!$B$3,原始資料!Q345=""),"",IF(AND(原始資料!P345&lt;&gt;"",原始資料!Q345=原始資料!P345),N(N345)+1,1))</f>
        <v/>
      </c>
      <c r="P345" s="6">
        <f>IF(OR(原始資料!$A345="",15&gt;設定!$B$3,原始資料!R345=""),"",IF(AND(原始資料!Q345&lt;&gt;"",原始資料!R345=原始資料!Q345),N(O345)+1,1))</f>
        <v/>
      </c>
      <c r="Q345" s="6">
        <f>IF(OR(原始資料!$A345="",16&gt;設定!$B$3,原始資料!S345=""),"",IF(AND(原始資料!R345&lt;&gt;"",原始資料!S345=原始資料!R345),N(P345)+1,1))</f>
        <v/>
      </c>
      <c r="R345" s="6">
        <f>IF(OR(原始資料!$A345="",17&gt;設定!$B$3,原始資料!T345=""),"",IF(AND(原始資料!S345&lt;&gt;"",原始資料!T345=原始資料!S345),N(Q345)+1,1))</f>
        <v/>
      </c>
      <c r="S345" s="6">
        <f>IF(OR(原始資料!$A345="",18&gt;設定!$B$3,原始資料!U345=""),"",IF(AND(原始資料!T345&lt;&gt;"",原始資料!U345=原始資料!T345),N(R345)+1,1))</f>
        <v/>
      </c>
      <c r="T345" s="6">
        <f>IF(OR(原始資料!$A345="",19&gt;設定!$B$3,原始資料!V345=""),"",IF(AND(原始資料!U345&lt;&gt;"",原始資料!V345=原始資料!U345),N(S345)+1,1))</f>
        <v/>
      </c>
      <c r="U345" s="6">
        <f>IF(OR(原始資料!$A345="",20&gt;設定!$B$3,原始資料!W345=""),"",IF(AND(原始資料!V345&lt;&gt;"",原始資料!W345=原始資料!V345),N(T345)+1,1))</f>
        <v/>
      </c>
      <c r="V345" s="6">
        <f>IF(OR(原始資料!$A345="",21&gt;設定!$B$3,原始資料!X345=""),"",IF(AND(原始資料!W345&lt;&gt;"",原始資料!X345=原始資料!W345),N(U345)+1,1))</f>
        <v/>
      </c>
      <c r="W345" s="6">
        <f>IF(OR(原始資料!$A345="",22&gt;設定!$B$3,原始資料!Y345=""),"",IF(AND(原始資料!X345&lt;&gt;"",原始資料!Y345=原始資料!X345),N(V345)+1,1))</f>
        <v/>
      </c>
      <c r="X345" s="6">
        <f>IF(OR(原始資料!$A345="",23&gt;設定!$B$3,原始資料!Z345=""),"",IF(AND(原始資料!Y345&lt;&gt;"",原始資料!Z345=原始資料!Y345),N(W345)+1,1))</f>
        <v/>
      </c>
      <c r="Y345" s="6">
        <f>IF(OR(原始資料!$A345="",24&gt;設定!$B$3,原始資料!AA345=""),"",IF(AND(原始資料!Z345&lt;&gt;"",原始資料!AA345=原始資料!Z345),N(X345)+1,1))</f>
        <v/>
      </c>
      <c r="Z345" s="6">
        <f>IF(OR(原始資料!$A345="",25&gt;設定!$B$3,原始資料!AB345=""),"",IF(AND(原始資料!AA345&lt;&gt;"",原始資料!AB345=原始資料!AA345),N(Y345)+1,1))</f>
        <v/>
      </c>
      <c r="AA345" s="6">
        <f>IF(OR(原始資料!$A345="",26&gt;設定!$B$3,原始資料!AC345=""),"",IF(AND(原始資料!AB345&lt;&gt;"",原始資料!AC345=原始資料!AB345),N(Z345)+1,1))</f>
        <v/>
      </c>
      <c r="AB345" s="6">
        <f>IF(OR(原始資料!$A345="",27&gt;設定!$B$3,原始資料!AD345=""),"",IF(AND(原始資料!AC345&lt;&gt;"",原始資料!AD345=原始資料!AC345),N(AA345)+1,1))</f>
        <v/>
      </c>
      <c r="AC345" s="6">
        <f>IF(OR(原始資料!$A345="",28&gt;設定!$B$3,原始資料!AE345=""),"",IF(AND(原始資料!AD345&lt;&gt;"",原始資料!AE345=原始資料!AD345),N(AB345)+1,1))</f>
        <v/>
      </c>
      <c r="AD345" s="6">
        <f>IF(OR(原始資料!$A345="",29&gt;設定!$B$3,原始資料!AF345=""),"",IF(AND(原始資料!AE345&lt;&gt;"",原始資料!AF345=原始資料!AE345),N(AC345)+1,1))</f>
        <v/>
      </c>
      <c r="AE345" s="6">
        <f>IF(OR(原始資料!$A345="",30&gt;設定!$B$3,原始資料!AG345=""),"",IF(AND(原始資料!AF345&lt;&gt;"",原始資料!AG345=原始資料!AF345),N(AD345)+1,1))</f>
        <v/>
      </c>
      <c r="AF345" s="6">
        <f>IF(OR(原始資料!$A345="",31&gt;設定!$B$3,原始資料!AH345=""),"",IF(AND(原始資料!AG345&lt;&gt;"",原始資料!AH345=原始資料!AG345),N(AE345)+1,1))</f>
        <v/>
      </c>
      <c r="AG345" s="6">
        <f>IF(OR(原始資料!$A345="",32&gt;設定!$B$3,原始資料!AI345=""),"",IF(AND(原始資料!AH345&lt;&gt;"",原始資料!AI345=原始資料!AH345),N(AF345)+1,1))</f>
        <v/>
      </c>
      <c r="AH345" s="6">
        <f>IF(OR(原始資料!$A345="",33&gt;設定!$B$3,原始資料!AJ345=""),"",IF(AND(原始資料!AI345&lt;&gt;"",原始資料!AJ345=原始資料!AI345),N(AG345)+1,1))</f>
        <v/>
      </c>
      <c r="AI345" s="6">
        <f>IF(OR(原始資料!$A345="",34&gt;設定!$B$3,原始資料!AK345=""),"",IF(AND(原始資料!AJ345&lt;&gt;"",原始資料!AK345=原始資料!AJ345),N(AH345)+1,1))</f>
        <v/>
      </c>
      <c r="AJ345" s="6">
        <f>IF(OR(原始資料!$A345="",35&gt;設定!$B$3,原始資料!AL345=""),"",IF(AND(原始資料!AK345&lt;&gt;"",原始資料!AL345=原始資料!AK345),N(AI345)+1,1))</f>
        <v/>
      </c>
      <c r="AK345" s="6">
        <f>IF(OR(原始資料!$A345="",36&gt;設定!$B$3,原始資料!AM345=""),"",IF(AND(原始資料!AL345&lt;&gt;"",原始資料!AM345=原始資料!AL345),N(AJ345)+1,1))</f>
        <v/>
      </c>
      <c r="AL345" s="6">
        <f>IF(OR(原始資料!$A345="",37&gt;設定!$B$3,原始資料!AN345=""),"",IF(AND(原始資料!AM345&lt;&gt;"",原始資料!AN345=原始資料!AM345),N(AK345)+1,1))</f>
        <v/>
      </c>
      <c r="AM345" s="6">
        <f>IF(OR(原始資料!$A345="",38&gt;設定!$B$3,原始資料!AO345=""),"",IF(AND(原始資料!AN345&lt;&gt;"",原始資料!AO345=原始資料!AN345),N(AL345)+1,1))</f>
        <v/>
      </c>
      <c r="AN345" s="6">
        <f>IF(OR(原始資料!$A345="",39&gt;設定!$B$3,原始資料!AP345=""),"",IF(AND(原始資料!AO345&lt;&gt;"",原始資料!AP345=原始資料!AO345),N(AM345)+1,1))</f>
        <v/>
      </c>
      <c r="AO345" s="6">
        <f>IF(OR(原始資料!$A345="",40&gt;設定!$B$3,原始資料!AQ345=""),"",IF(AND(原始資料!AP345&lt;&gt;"",原始資料!AQ345=原始資料!AP345),N(AN345)+1,1))</f>
        <v/>
      </c>
      <c r="AP345" s="6">
        <f>IF(OR(原始資料!$A345="",41&gt;設定!$B$3,原始資料!AR345=""),"",IF(AND(原始資料!AQ345&lt;&gt;"",原始資料!AR345=原始資料!AQ345),N(AO345)+1,1))</f>
        <v/>
      </c>
      <c r="AQ345" s="6">
        <f>IF(OR(原始資料!$A345="",42&gt;設定!$B$3,原始資料!AS345=""),"",IF(AND(原始資料!AR345&lt;&gt;"",原始資料!AS345=原始資料!AR345),N(AP345)+1,1))</f>
        <v/>
      </c>
      <c r="AR345" s="6">
        <f>IF(OR(原始資料!$A345="",43&gt;設定!$B$3,原始資料!AT345=""),"",IF(AND(原始資料!AS345&lt;&gt;"",原始資料!AT345=原始資料!AS345),N(AQ345)+1,1))</f>
        <v/>
      </c>
      <c r="AS345" s="6">
        <f>IF(OR(原始資料!$A345="",44&gt;設定!$B$3,原始資料!AU345=""),"",IF(AND(原始資料!AT345&lt;&gt;"",原始資料!AU345=原始資料!AT345),N(AR345)+1,1))</f>
        <v/>
      </c>
      <c r="AT345" s="6">
        <f>IF(OR(原始資料!$A345="",45&gt;設定!$B$3,原始資料!AV345=""),"",IF(AND(原始資料!AU345&lt;&gt;"",原始資料!AV345=原始資料!AU345),N(AS345)+1,1))</f>
        <v/>
      </c>
      <c r="AU345" s="6">
        <f>IF(OR(原始資料!$A345="",46&gt;設定!$B$3,原始資料!AW345=""),"",IF(AND(原始資料!AV345&lt;&gt;"",原始資料!AW345=原始資料!AV345),N(AT345)+1,1))</f>
        <v/>
      </c>
      <c r="AV345" s="6">
        <f>IF(OR(原始資料!$A345="",47&gt;設定!$B$3,原始資料!AX345=""),"",IF(AND(原始資料!AW345&lt;&gt;"",原始資料!AX345=原始資料!AW345),N(AU345)+1,1))</f>
        <v/>
      </c>
      <c r="AW345" s="6">
        <f>IF(OR(原始資料!$A345="",48&gt;設定!$B$3,原始資料!AY345=""),"",IF(AND(原始資料!AX345&lt;&gt;"",原始資料!AY345=原始資料!AX345),N(AV345)+1,1))</f>
        <v/>
      </c>
      <c r="AX345" s="6">
        <f>IF(OR(原始資料!$A345="",49&gt;設定!$B$3,原始資料!AZ345=""),"",IF(AND(原始資料!AY345&lt;&gt;"",原始資料!AZ345=原始資料!AY345),N(AW345)+1,1))</f>
        <v/>
      </c>
      <c r="AY345" s="6">
        <f>IF(OR(原始資料!$A345="",50&gt;設定!$B$3,原始資料!BA345=""),"",IF(AND(原始資料!AZ345&lt;&gt;"",原始資料!BA345=原始資料!AZ345),N(AX345)+1,1))</f>
        <v/>
      </c>
      <c r="AZ345" s="6">
        <f>IF(OR(原始資料!$A345="",51&gt;設定!$B$3,原始資料!BB345=""),"",IF(AND(原始資料!BA345&lt;&gt;"",原始資料!BB345=原始資料!BA345),N(AY345)+1,1))</f>
        <v/>
      </c>
      <c r="BA345" s="6">
        <f>IF(OR(原始資料!$A345="",52&gt;設定!$B$3,原始資料!BC345=""),"",IF(AND(原始資料!BB345&lt;&gt;"",原始資料!BC345=原始資料!BB345),N(AZ345)+1,1))</f>
        <v/>
      </c>
      <c r="BB345" s="6">
        <f>IF(OR(原始資料!$A345="",53&gt;設定!$B$3,原始資料!BD345=""),"",IF(AND(原始資料!BC345&lt;&gt;"",原始資料!BD345=原始資料!BC345),N(BA345)+1,1))</f>
        <v/>
      </c>
      <c r="BC345" s="6">
        <f>IF(OR(原始資料!$A345="",54&gt;設定!$B$3,原始資料!BE345=""),"",IF(AND(原始資料!BD345&lt;&gt;"",原始資料!BE345=原始資料!BD345),N(BB345)+1,1))</f>
        <v/>
      </c>
      <c r="BD345" s="6">
        <f>IF(OR(原始資料!$A345="",55&gt;設定!$B$3,原始資料!BF345=""),"",IF(AND(原始資料!BE345&lt;&gt;"",原始資料!BF345=原始資料!BE345),N(BC345)+1,1))</f>
        <v/>
      </c>
      <c r="BE345" s="6">
        <f>IF(OR(原始資料!$A345="",56&gt;設定!$B$3,原始資料!BG345=""),"",IF(AND(原始資料!BF345&lt;&gt;"",原始資料!BG345=原始資料!BF345),N(BD345)+1,1))</f>
        <v/>
      </c>
      <c r="BF345" s="6">
        <f>IF(OR(原始資料!$A345="",57&gt;設定!$B$3,原始資料!BH345=""),"",IF(AND(原始資料!BG345&lt;&gt;"",原始資料!BH345=原始資料!BG345),N(BE345)+1,1))</f>
        <v/>
      </c>
      <c r="BG345" s="6">
        <f>IF(OR(原始資料!$A345="",58&gt;設定!$B$3,原始資料!BI345=""),"",IF(AND(原始資料!BH345&lt;&gt;"",原始資料!BI345=原始資料!BH345),N(BF345)+1,1))</f>
        <v/>
      </c>
      <c r="BH345" s="6">
        <f>IF(OR(原始資料!$A345="",59&gt;設定!$B$3,原始資料!BJ345=""),"",IF(AND(原始資料!BI345&lt;&gt;"",原始資料!BJ345=原始資料!BI345),N(BG345)+1,1))</f>
        <v/>
      </c>
      <c r="BI345" s="6">
        <f>IF(OR(原始資料!$A345="",60&gt;設定!$B$3,原始資料!BK345=""),"",IF(AND(原始資料!BJ345&lt;&gt;"",原始資料!BK345=原始資料!BJ345),N(BH345)+1,1))</f>
        <v/>
      </c>
    </row>
    <row r="346">
      <c r="A346" s="6">
        <f>IF(原始資料!$A346="","",原始資料!$A346)</f>
        <v/>
      </c>
      <c r="B346" s="6">
        <f>IF(OR(原始資料!$A346="",1&gt;設定!$B$3,原始資料!D346=""),"",1)</f>
        <v/>
      </c>
      <c r="C346" s="6">
        <f>IF(OR(原始資料!$A346="",2&gt;設定!$B$3,原始資料!E346=""),"",IF(AND(原始資料!D346&lt;&gt;"",原始資料!E346=原始資料!D346),N(B346)+1,1))</f>
        <v/>
      </c>
      <c r="D346" s="6">
        <f>IF(OR(原始資料!$A346="",3&gt;設定!$B$3,原始資料!F346=""),"",IF(AND(原始資料!E346&lt;&gt;"",原始資料!F346=原始資料!E346),N(C346)+1,1))</f>
        <v/>
      </c>
      <c r="E346" s="6">
        <f>IF(OR(原始資料!$A346="",4&gt;設定!$B$3,原始資料!G346=""),"",IF(AND(原始資料!F346&lt;&gt;"",原始資料!G346=原始資料!F346),N(D346)+1,1))</f>
        <v/>
      </c>
      <c r="F346" s="6">
        <f>IF(OR(原始資料!$A346="",5&gt;設定!$B$3,原始資料!H346=""),"",IF(AND(原始資料!G346&lt;&gt;"",原始資料!H346=原始資料!G346),N(E346)+1,1))</f>
        <v/>
      </c>
      <c r="G346" s="6">
        <f>IF(OR(原始資料!$A346="",6&gt;設定!$B$3,原始資料!I346=""),"",IF(AND(原始資料!H346&lt;&gt;"",原始資料!I346=原始資料!H346),N(F346)+1,1))</f>
        <v/>
      </c>
      <c r="H346" s="6">
        <f>IF(OR(原始資料!$A346="",7&gt;設定!$B$3,原始資料!J346=""),"",IF(AND(原始資料!I346&lt;&gt;"",原始資料!J346=原始資料!I346),N(G346)+1,1))</f>
        <v/>
      </c>
      <c r="I346" s="6">
        <f>IF(OR(原始資料!$A346="",8&gt;設定!$B$3,原始資料!K346=""),"",IF(AND(原始資料!J346&lt;&gt;"",原始資料!K346=原始資料!J346),N(H346)+1,1))</f>
        <v/>
      </c>
      <c r="J346" s="6">
        <f>IF(OR(原始資料!$A346="",9&gt;設定!$B$3,原始資料!L346=""),"",IF(AND(原始資料!K346&lt;&gt;"",原始資料!L346=原始資料!K346),N(I346)+1,1))</f>
        <v/>
      </c>
      <c r="K346" s="6">
        <f>IF(OR(原始資料!$A346="",10&gt;設定!$B$3,原始資料!M346=""),"",IF(AND(原始資料!L346&lt;&gt;"",原始資料!M346=原始資料!L346),N(J346)+1,1))</f>
        <v/>
      </c>
      <c r="L346" s="6">
        <f>IF(OR(原始資料!$A346="",11&gt;設定!$B$3,原始資料!N346=""),"",IF(AND(原始資料!M346&lt;&gt;"",原始資料!N346=原始資料!M346),N(K346)+1,1))</f>
        <v/>
      </c>
      <c r="M346" s="6">
        <f>IF(OR(原始資料!$A346="",12&gt;設定!$B$3,原始資料!O346=""),"",IF(AND(原始資料!N346&lt;&gt;"",原始資料!O346=原始資料!N346),N(L346)+1,1))</f>
        <v/>
      </c>
      <c r="N346" s="6">
        <f>IF(OR(原始資料!$A346="",13&gt;設定!$B$3,原始資料!P346=""),"",IF(AND(原始資料!O346&lt;&gt;"",原始資料!P346=原始資料!O346),N(M346)+1,1))</f>
        <v/>
      </c>
      <c r="O346" s="6">
        <f>IF(OR(原始資料!$A346="",14&gt;設定!$B$3,原始資料!Q346=""),"",IF(AND(原始資料!P346&lt;&gt;"",原始資料!Q346=原始資料!P346),N(N346)+1,1))</f>
        <v/>
      </c>
      <c r="P346" s="6">
        <f>IF(OR(原始資料!$A346="",15&gt;設定!$B$3,原始資料!R346=""),"",IF(AND(原始資料!Q346&lt;&gt;"",原始資料!R346=原始資料!Q346),N(O346)+1,1))</f>
        <v/>
      </c>
      <c r="Q346" s="6">
        <f>IF(OR(原始資料!$A346="",16&gt;設定!$B$3,原始資料!S346=""),"",IF(AND(原始資料!R346&lt;&gt;"",原始資料!S346=原始資料!R346),N(P346)+1,1))</f>
        <v/>
      </c>
      <c r="R346" s="6">
        <f>IF(OR(原始資料!$A346="",17&gt;設定!$B$3,原始資料!T346=""),"",IF(AND(原始資料!S346&lt;&gt;"",原始資料!T346=原始資料!S346),N(Q346)+1,1))</f>
        <v/>
      </c>
      <c r="S346" s="6">
        <f>IF(OR(原始資料!$A346="",18&gt;設定!$B$3,原始資料!U346=""),"",IF(AND(原始資料!T346&lt;&gt;"",原始資料!U346=原始資料!T346),N(R346)+1,1))</f>
        <v/>
      </c>
      <c r="T346" s="6">
        <f>IF(OR(原始資料!$A346="",19&gt;設定!$B$3,原始資料!V346=""),"",IF(AND(原始資料!U346&lt;&gt;"",原始資料!V346=原始資料!U346),N(S346)+1,1))</f>
        <v/>
      </c>
      <c r="U346" s="6">
        <f>IF(OR(原始資料!$A346="",20&gt;設定!$B$3,原始資料!W346=""),"",IF(AND(原始資料!V346&lt;&gt;"",原始資料!W346=原始資料!V346),N(T346)+1,1))</f>
        <v/>
      </c>
      <c r="V346" s="6">
        <f>IF(OR(原始資料!$A346="",21&gt;設定!$B$3,原始資料!X346=""),"",IF(AND(原始資料!W346&lt;&gt;"",原始資料!X346=原始資料!W346),N(U346)+1,1))</f>
        <v/>
      </c>
      <c r="W346" s="6">
        <f>IF(OR(原始資料!$A346="",22&gt;設定!$B$3,原始資料!Y346=""),"",IF(AND(原始資料!X346&lt;&gt;"",原始資料!Y346=原始資料!X346),N(V346)+1,1))</f>
        <v/>
      </c>
      <c r="X346" s="6">
        <f>IF(OR(原始資料!$A346="",23&gt;設定!$B$3,原始資料!Z346=""),"",IF(AND(原始資料!Y346&lt;&gt;"",原始資料!Z346=原始資料!Y346),N(W346)+1,1))</f>
        <v/>
      </c>
      <c r="Y346" s="6">
        <f>IF(OR(原始資料!$A346="",24&gt;設定!$B$3,原始資料!AA346=""),"",IF(AND(原始資料!Z346&lt;&gt;"",原始資料!AA346=原始資料!Z346),N(X346)+1,1))</f>
        <v/>
      </c>
      <c r="Z346" s="6">
        <f>IF(OR(原始資料!$A346="",25&gt;設定!$B$3,原始資料!AB346=""),"",IF(AND(原始資料!AA346&lt;&gt;"",原始資料!AB346=原始資料!AA346),N(Y346)+1,1))</f>
        <v/>
      </c>
      <c r="AA346" s="6">
        <f>IF(OR(原始資料!$A346="",26&gt;設定!$B$3,原始資料!AC346=""),"",IF(AND(原始資料!AB346&lt;&gt;"",原始資料!AC346=原始資料!AB346),N(Z346)+1,1))</f>
        <v/>
      </c>
      <c r="AB346" s="6">
        <f>IF(OR(原始資料!$A346="",27&gt;設定!$B$3,原始資料!AD346=""),"",IF(AND(原始資料!AC346&lt;&gt;"",原始資料!AD346=原始資料!AC346),N(AA346)+1,1))</f>
        <v/>
      </c>
      <c r="AC346" s="6">
        <f>IF(OR(原始資料!$A346="",28&gt;設定!$B$3,原始資料!AE346=""),"",IF(AND(原始資料!AD346&lt;&gt;"",原始資料!AE346=原始資料!AD346),N(AB346)+1,1))</f>
        <v/>
      </c>
      <c r="AD346" s="6">
        <f>IF(OR(原始資料!$A346="",29&gt;設定!$B$3,原始資料!AF346=""),"",IF(AND(原始資料!AE346&lt;&gt;"",原始資料!AF346=原始資料!AE346),N(AC346)+1,1))</f>
        <v/>
      </c>
      <c r="AE346" s="6">
        <f>IF(OR(原始資料!$A346="",30&gt;設定!$B$3,原始資料!AG346=""),"",IF(AND(原始資料!AF346&lt;&gt;"",原始資料!AG346=原始資料!AF346),N(AD346)+1,1))</f>
        <v/>
      </c>
      <c r="AF346" s="6">
        <f>IF(OR(原始資料!$A346="",31&gt;設定!$B$3,原始資料!AH346=""),"",IF(AND(原始資料!AG346&lt;&gt;"",原始資料!AH346=原始資料!AG346),N(AE346)+1,1))</f>
        <v/>
      </c>
      <c r="AG346" s="6">
        <f>IF(OR(原始資料!$A346="",32&gt;設定!$B$3,原始資料!AI346=""),"",IF(AND(原始資料!AH346&lt;&gt;"",原始資料!AI346=原始資料!AH346),N(AF346)+1,1))</f>
        <v/>
      </c>
      <c r="AH346" s="6">
        <f>IF(OR(原始資料!$A346="",33&gt;設定!$B$3,原始資料!AJ346=""),"",IF(AND(原始資料!AI346&lt;&gt;"",原始資料!AJ346=原始資料!AI346),N(AG346)+1,1))</f>
        <v/>
      </c>
      <c r="AI346" s="6">
        <f>IF(OR(原始資料!$A346="",34&gt;設定!$B$3,原始資料!AK346=""),"",IF(AND(原始資料!AJ346&lt;&gt;"",原始資料!AK346=原始資料!AJ346),N(AH346)+1,1))</f>
        <v/>
      </c>
      <c r="AJ346" s="6">
        <f>IF(OR(原始資料!$A346="",35&gt;設定!$B$3,原始資料!AL346=""),"",IF(AND(原始資料!AK346&lt;&gt;"",原始資料!AL346=原始資料!AK346),N(AI346)+1,1))</f>
        <v/>
      </c>
      <c r="AK346" s="6">
        <f>IF(OR(原始資料!$A346="",36&gt;設定!$B$3,原始資料!AM346=""),"",IF(AND(原始資料!AL346&lt;&gt;"",原始資料!AM346=原始資料!AL346),N(AJ346)+1,1))</f>
        <v/>
      </c>
      <c r="AL346" s="6">
        <f>IF(OR(原始資料!$A346="",37&gt;設定!$B$3,原始資料!AN346=""),"",IF(AND(原始資料!AM346&lt;&gt;"",原始資料!AN346=原始資料!AM346),N(AK346)+1,1))</f>
        <v/>
      </c>
      <c r="AM346" s="6">
        <f>IF(OR(原始資料!$A346="",38&gt;設定!$B$3,原始資料!AO346=""),"",IF(AND(原始資料!AN346&lt;&gt;"",原始資料!AO346=原始資料!AN346),N(AL346)+1,1))</f>
        <v/>
      </c>
      <c r="AN346" s="6">
        <f>IF(OR(原始資料!$A346="",39&gt;設定!$B$3,原始資料!AP346=""),"",IF(AND(原始資料!AO346&lt;&gt;"",原始資料!AP346=原始資料!AO346),N(AM346)+1,1))</f>
        <v/>
      </c>
      <c r="AO346" s="6">
        <f>IF(OR(原始資料!$A346="",40&gt;設定!$B$3,原始資料!AQ346=""),"",IF(AND(原始資料!AP346&lt;&gt;"",原始資料!AQ346=原始資料!AP346),N(AN346)+1,1))</f>
        <v/>
      </c>
      <c r="AP346" s="6">
        <f>IF(OR(原始資料!$A346="",41&gt;設定!$B$3,原始資料!AR346=""),"",IF(AND(原始資料!AQ346&lt;&gt;"",原始資料!AR346=原始資料!AQ346),N(AO346)+1,1))</f>
        <v/>
      </c>
      <c r="AQ346" s="6">
        <f>IF(OR(原始資料!$A346="",42&gt;設定!$B$3,原始資料!AS346=""),"",IF(AND(原始資料!AR346&lt;&gt;"",原始資料!AS346=原始資料!AR346),N(AP346)+1,1))</f>
        <v/>
      </c>
      <c r="AR346" s="6">
        <f>IF(OR(原始資料!$A346="",43&gt;設定!$B$3,原始資料!AT346=""),"",IF(AND(原始資料!AS346&lt;&gt;"",原始資料!AT346=原始資料!AS346),N(AQ346)+1,1))</f>
        <v/>
      </c>
      <c r="AS346" s="6">
        <f>IF(OR(原始資料!$A346="",44&gt;設定!$B$3,原始資料!AU346=""),"",IF(AND(原始資料!AT346&lt;&gt;"",原始資料!AU346=原始資料!AT346),N(AR346)+1,1))</f>
        <v/>
      </c>
      <c r="AT346" s="6">
        <f>IF(OR(原始資料!$A346="",45&gt;設定!$B$3,原始資料!AV346=""),"",IF(AND(原始資料!AU346&lt;&gt;"",原始資料!AV346=原始資料!AU346),N(AS346)+1,1))</f>
        <v/>
      </c>
      <c r="AU346" s="6">
        <f>IF(OR(原始資料!$A346="",46&gt;設定!$B$3,原始資料!AW346=""),"",IF(AND(原始資料!AV346&lt;&gt;"",原始資料!AW346=原始資料!AV346),N(AT346)+1,1))</f>
        <v/>
      </c>
      <c r="AV346" s="6">
        <f>IF(OR(原始資料!$A346="",47&gt;設定!$B$3,原始資料!AX346=""),"",IF(AND(原始資料!AW346&lt;&gt;"",原始資料!AX346=原始資料!AW346),N(AU346)+1,1))</f>
        <v/>
      </c>
      <c r="AW346" s="6">
        <f>IF(OR(原始資料!$A346="",48&gt;設定!$B$3,原始資料!AY346=""),"",IF(AND(原始資料!AX346&lt;&gt;"",原始資料!AY346=原始資料!AX346),N(AV346)+1,1))</f>
        <v/>
      </c>
      <c r="AX346" s="6">
        <f>IF(OR(原始資料!$A346="",49&gt;設定!$B$3,原始資料!AZ346=""),"",IF(AND(原始資料!AY346&lt;&gt;"",原始資料!AZ346=原始資料!AY346),N(AW346)+1,1))</f>
        <v/>
      </c>
      <c r="AY346" s="6">
        <f>IF(OR(原始資料!$A346="",50&gt;設定!$B$3,原始資料!BA346=""),"",IF(AND(原始資料!AZ346&lt;&gt;"",原始資料!BA346=原始資料!AZ346),N(AX346)+1,1))</f>
        <v/>
      </c>
      <c r="AZ346" s="6">
        <f>IF(OR(原始資料!$A346="",51&gt;設定!$B$3,原始資料!BB346=""),"",IF(AND(原始資料!BA346&lt;&gt;"",原始資料!BB346=原始資料!BA346),N(AY346)+1,1))</f>
        <v/>
      </c>
      <c r="BA346" s="6">
        <f>IF(OR(原始資料!$A346="",52&gt;設定!$B$3,原始資料!BC346=""),"",IF(AND(原始資料!BB346&lt;&gt;"",原始資料!BC346=原始資料!BB346),N(AZ346)+1,1))</f>
        <v/>
      </c>
      <c r="BB346" s="6">
        <f>IF(OR(原始資料!$A346="",53&gt;設定!$B$3,原始資料!BD346=""),"",IF(AND(原始資料!BC346&lt;&gt;"",原始資料!BD346=原始資料!BC346),N(BA346)+1,1))</f>
        <v/>
      </c>
      <c r="BC346" s="6">
        <f>IF(OR(原始資料!$A346="",54&gt;設定!$B$3,原始資料!BE346=""),"",IF(AND(原始資料!BD346&lt;&gt;"",原始資料!BE346=原始資料!BD346),N(BB346)+1,1))</f>
        <v/>
      </c>
      <c r="BD346" s="6">
        <f>IF(OR(原始資料!$A346="",55&gt;設定!$B$3,原始資料!BF346=""),"",IF(AND(原始資料!BE346&lt;&gt;"",原始資料!BF346=原始資料!BE346),N(BC346)+1,1))</f>
        <v/>
      </c>
      <c r="BE346" s="6">
        <f>IF(OR(原始資料!$A346="",56&gt;設定!$B$3,原始資料!BG346=""),"",IF(AND(原始資料!BF346&lt;&gt;"",原始資料!BG346=原始資料!BF346),N(BD346)+1,1))</f>
        <v/>
      </c>
      <c r="BF346" s="6">
        <f>IF(OR(原始資料!$A346="",57&gt;設定!$B$3,原始資料!BH346=""),"",IF(AND(原始資料!BG346&lt;&gt;"",原始資料!BH346=原始資料!BG346),N(BE346)+1,1))</f>
        <v/>
      </c>
      <c r="BG346" s="6">
        <f>IF(OR(原始資料!$A346="",58&gt;設定!$B$3,原始資料!BI346=""),"",IF(AND(原始資料!BH346&lt;&gt;"",原始資料!BI346=原始資料!BH346),N(BF346)+1,1))</f>
        <v/>
      </c>
      <c r="BH346" s="6">
        <f>IF(OR(原始資料!$A346="",59&gt;設定!$B$3,原始資料!BJ346=""),"",IF(AND(原始資料!BI346&lt;&gt;"",原始資料!BJ346=原始資料!BI346),N(BG346)+1,1))</f>
        <v/>
      </c>
      <c r="BI346" s="6">
        <f>IF(OR(原始資料!$A346="",60&gt;設定!$B$3,原始資料!BK346=""),"",IF(AND(原始資料!BJ346&lt;&gt;"",原始資料!BK346=原始資料!BJ346),N(BH346)+1,1))</f>
        <v/>
      </c>
    </row>
    <row r="347">
      <c r="A347" s="6">
        <f>IF(原始資料!$A347="","",原始資料!$A347)</f>
        <v/>
      </c>
      <c r="B347" s="6">
        <f>IF(OR(原始資料!$A347="",1&gt;設定!$B$3,原始資料!D347=""),"",1)</f>
        <v/>
      </c>
      <c r="C347" s="6">
        <f>IF(OR(原始資料!$A347="",2&gt;設定!$B$3,原始資料!E347=""),"",IF(AND(原始資料!D347&lt;&gt;"",原始資料!E347=原始資料!D347),N(B347)+1,1))</f>
        <v/>
      </c>
      <c r="D347" s="6">
        <f>IF(OR(原始資料!$A347="",3&gt;設定!$B$3,原始資料!F347=""),"",IF(AND(原始資料!E347&lt;&gt;"",原始資料!F347=原始資料!E347),N(C347)+1,1))</f>
        <v/>
      </c>
      <c r="E347" s="6">
        <f>IF(OR(原始資料!$A347="",4&gt;設定!$B$3,原始資料!G347=""),"",IF(AND(原始資料!F347&lt;&gt;"",原始資料!G347=原始資料!F347),N(D347)+1,1))</f>
        <v/>
      </c>
      <c r="F347" s="6">
        <f>IF(OR(原始資料!$A347="",5&gt;設定!$B$3,原始資料!H347=""),"",IF(AND(原始資料!G347&lt;&gt;"",原始資料!H347=原始資料!G347),N(E347)+1,1))</f>
        <v/>
      </c>
      <c r="G347" s="6">
        <f>IF(OR(原始資料!$A347="",6&gt;設定!$B$3,原始資料!I347=""),"",IF(AND(原始資料!H347&lt;&gt;"",原始資料!I347=原始資料!H347),N(F347)+1,1))</f>
        <v/>
      </c>
      <c r="H347" s="6">
        <f>IF(OR(原始資料!$A347="",7&gt;設定!$B$3,原始資料!J347=""),"",IF(AND(原始資料!I347&lt;&gt;"",原始資料!J347=原始資料!I347),N(G347)+1,1))</f>
        <v/>
      </c>
      <c r="I347" s="6">
        <f>IF(OR(原始資料!$A347="",8&gt;設定!$B$3,原始資料!K347=""),"",IF(AND(原始資料!J347&lt;&gt;"",原始資料!K347=原始資料!J347),N(H347)+1,1))</f>
        <v/>
      </c>
      <c r="J347" s="6">
        <f>IF(OR(原始資料!$A347="",9&gt;設定!$B$3,原始資料!L347=""),"",IF(AND(原始資料!K347&lt;&gt;"",原始資料!L347=原始資料!K347),N(I347)+1,1))</f>
        <v/>
      </c>
      <c r="K347" s="6">
        <f>IF(OR(原始資料!$A347="",10&gt;設定!$B$3,原始資料!M347=""),"",IF(AND(原始資料!L347&lt;&gt;"",原始資料!M347=原始資料!L347),N(J347)+1,1))</f>
        <v/>
      </c>
      <c r="L347" s="6">
        <f>IF(OR(原始資料!$A347="",11&gt;設定!$B$3,原始資料!N347=""),"",IF(AND(原始資料!M347&lt;&gt;"",原始資料!N347=原始資料!M347),N(K347)+1,1))</f>
        <v/>
      </c>
      <c r="M347" s="6">
        <f>IF(OR(原始資料!$A347="",12&gt;設定!$B$3,原始資料!O347=""),"",IF(AND(原始資料!N347&lt;&gt;"",原始資料!O347=原始資料!N347),N(L347)+1,1))</f>
        <v/>
      </c>
      <c r="N347" s="6">
        <f>IF(OR(原始資料!$A347="",13&gt;設定!$B$3,原始資料!P347=""),"",IF(AND(原始資料!O347&lt;&gt;"",原始資料!P347=原始資料!O347),N(M347)+1,1))</f>
        <v/>
      </c>
      <c r="O347" s="6">
        <f>IF(OR(原始資料!$A347="",14&gt;設定!$B$3,原始資料!Q347=""),"",IF(AND(原始資料!P347&lt;&gt;"",原始資料!Q347=原始資料!P347),N(N347)+1,1))</f>
        <v/>
      </c>
      <c r="P347" s="6">
        <f>IF(OR(原始資料!$A347="",15&gt;設定!$B$3,原始資料!R347=""),"",IF(AND(原始資料!Q347&lt;&gt;"",原始資料!R347=原始資料!Q347),N(O347)+1,1))</f>
        <v/>
      </c>
      <c r="Q347" s="6">
        <f>IF(OR(原始資料!$A347="",16&gt;設定!$B$3,原始資料!S347=""),"",IF(AND(原始資料!R347&lt;&gt;"",原始資料!S347=原始資料!R347),N(P347)+1,1))</f>
        <v/>
      </c>
      <c r="R347" s="6">
        <f>IF(OR(原始資料!$A347="",17&gt;設定!$B$3,原始資料!T347=""),"",IF(AND(原始資料!S347&lt;&gt;"",原始資料!T347=原始資料!S347),N(Q347)+1,1))</f>
        <v/>
      </c>
      <c r="S347" s="6">
        <f>IF(OR(原始資料!$A347="",18&gt;設定!$B$3,原始資料!U347=""),"",IF(AND(原始資料!T347&lt;&gt;"",原始資料!U347=原始資料!T347),N(R347)+1,1))</f>
        <v/>
      </c>
      <c r="T347" s="6">
        <f>IF(OR(原始資料!$A347="",19&gt;設定!$B$3,原始資料!V347=""),"",IF(AND(原始資料!U347&lt;&gt;"",原始資料!V347=原始資料!U347),N(S347)+1,1))</f>
        <v/>
      </c>
      <c r="U347" s="6">
        <f>IF(OR(原始資料!$A347="",20&gt;設定!$B$3,原始資料!W347=""),"",IF(AND(原始資料!V347&lt;&gt;"",原始資料!W347=原始資料!V347),N(T347)+1,1))</f>
        <v/>
      </c>
      <c r="V347" s="6">
        <f>IF(OR(原始資料!$A347="",21&gt;設定!$B$3,原始資料!X347=""),"",IF(AND(原始資料!W347&lt;&gt;"",原始資料!X347=原始資料!W347),N(U347)+1,1))</f>
        <v/>
      </c>
      <c r="W347" s="6">
        <f>IF(OR(原始資料!$A347="",22&gt;設定!$B$3,原始資料!Y347=""),"",IF(AND(原始資料!X347&lt;&gt;"",原始資料!Y347=原始資料!X347),N(V347)+1,1))</f>
        <v/>
      </c>
      <c r="X347" s="6">
        <f>IF(OR(原始資料!$A347="",23&gt;設定!$B$3,原始資料!Z347=""),"",IF(AND(原始資料!Y347&lt;&gt;"",原始資料!Z347=原始資料!Y347),N(W347)+1,1))</f>
        <v/>
      </c>
      <c r="Y347" s="6">
        <f>IF(OR(原始資料!$A347="",24&gt;設定!$B$3,原始資料!AA347=""),"",IF(AND(原始資料!Z347&lt;&gt;"",原始資料!AA347=原始資料!Z347),N(X347)+1,1))</f>
        <v/>
      </c>
      <c r="Z347" s="6">
        <f>IF(OR(原始資料!$A347="",25&gt;設定!$B$3,原始資料!AB347=""),"",IF(AND(原始資料!AA347&lt;&gt;"",原始資料!AB347=原始資料!AA347),N(Y347)+1,1))</f>
        <v/>
      </c>
      <c r="AA347" s="6">
        <f>IF(OR(原始資料!$A347="",26&gt;設定!$B$3,原始資料!AC347=""),"",IF(AND(原始資料!AB347&lt;&gt;"",原始資料!AC347=原始資料!AB347),N(Z347)+1,1))</f>
        <v/>
      </c>
      <c r="AB347" s="6">
        <f>IF(OR(原始資料!$A347="",27&gt;設定!$B$3,原始資料!AD347=""),"",IF(AND(原始資料!AC347&lt;&gt;"",原始資料!AD347=原始資料!AC347),N(AA347)+1,1))</f>
        <v/>
      </c>
      <c r="AC347" s="6">
        <f>IF(OR(原始資料!$A347="",28&gt;設定!$B$3,原始資料!AE347=""),"",IF(AND(原始資料!AD347&lt;&gt;"",原始資料!AE347=原始資料!AD347),N(AB347)+1,1))</f>
        <v/>
      </c>
      <c r="AD347" s="6">
        <f>IF(OR(原始資料!$A347="",29&gt;設定!$B$3,原始資料!AF347=""),"",IF(AND(原始資料!AE347&lt;&gt;"",原始資料!AF347=原始資料!AE347),N(AC347)+1,1))</f>
        <v/>
      </c>
      <c r="AE347" s="6">
        <f>IF(OR(原始資料!$A347="",30&gt;設定!$B$3,原始資料!AG347=""),"",IF(AND(原始資料!AF347&lt;&gt;"",原始資料!AG347=原始資料!AF347),N(AD347)+1,1))</f>
        <v/>
      </c>
      <c r="AF347" s="6">
        <f>IF(OR(原始資料!$A347="",31&gt;設定!$B$3,原始資料!AH347=""),"",IF(AND(原始資料!AG347&lt;&gt;"",原始資料!AH347=原始資料!AG347),N(AE347)+1,1))</f>
        <v/>
      </c>
      <c r="AG347" s="6">
        <f>IF(OR(原始資料!$A347="",32&gt;設定!$B$3,原始資料!AI347=""),"",IF(AND(原始資料!AH347&lt;&gt;"",原始資料!AI347=原始資料!AH347),N(AF347)+1,1))</f>
        <v/>
      </c>
      <c r="AH347" s="6">
        <f>IF(OR(原始資料!$A347="",33&gt;設定!$B$3,原始資料!AJ347=""),"",IF(AND(原始資料!AI347&lt;&gt;"",原始資料!AJ347=原始資料!AI347),N(AG347)+1,1))</f>
        <v/>
      </c>
      <c r="AI347" s="6">
        <f>IF(OR(原始資料!$A347="",34&gt;設定!$B$3,原始資料!AK347=""),"",IF(AND(原始資料!AJ347&lt;&gt;"",原始資料!AK347=原始資料!AJ347),N(AH347)+1,1))</f>
        <v/>
      </c>
      <c r="AJ347" s="6">
        <f>IF(OR(原始資料!$A347="",35&gt;設定!$B$3,原始資料!AL347=""),"",IF(AND(原始資料!AK347&lt;&gt;"",原始資料!AL347=原始資料!AK347),N(AI347)+1,1))</f>
        <v/>
      </c>
      <c r="AK347" s="6">
        <f>IF(OR(原始資料!$A347="",36&gt;設定!$B$3,原始資料!AM347=""),"",IF(AND(原始資料!AL347&lt;&gt;"",原始資料!AM347=原始資料!AL347),N(AJ347)+1,1))</f>
        <v/>
      </c>
      <c r="AL347" s="6">
        <f>IF(OR(原始資料!$A347="",37&gt;設定!$B$3,原始資料!AN347=""),"",IF(AND(原始資料!AM347&lt;&gt;"",原始資料!AN347=原始資料!AM347),N(AK347)+1,1))</f>
        <v/>
      </c>
      <c r="AM347" s="6">
        <f>IF(OR(原始資料!$A347="",38&gt;設定!$B$3,原始資料!AO347=""),"",IF(AND(原始資料!AN347&lt;&gt;"",原始資料!AO347=原始資料!AN347),N(AL347)+1,1))</f>
        <v/>
      </c>
      <c r="AN347" s="6">
        <f>IF(OR(原始資料!$A347="",39&gt;設定!$B$3,原始資料!AP347=""),"",IF(AND(原始資料!AO347&lt;&gt;"",原始資料!AP347=原始資料!AO347),N(AM347)+1,1))</f>
        <v/>
      </c>
      <c r="AO347" s="6">
        <f>IF(OR(原始資料!$A347="",40&gt;設定!$B$3,原始資料!AQ347=""),"",IF(AND(原始資料!AP347&lt;&gt;"",原始資料!AQ347=原始資料!AP347),N(AN347)+1,1))</f>
        <v/>
      </c>
      <c r="AP347" s="6">
        <f>IF(OR(原始資料!$A347="",41&gt;設定!$B$3,原始資料!AR347=""),"",IF(AND(原始資料!AQ347&lt;&gt;"",原始資料!AR347=原始資料!AQ347),N(AO347)+1,1))</f>
        <v/>
      </c>
      <c r="AQ347" s="6">
        <f>IF(OR(原始資料!$A347="",42&gt;設定!$B$3,原始資料!AS347=""),"",IF(AND(原始資料!AR347&lt;&gt;"",原始資料!AS347=原始資料!AR347),N(AP347)+1,1))</f>
        <v/>
      </c>
      <c r="AR347" s="6">
        <f>IF(OR(原始資料!$A347="",43&gt;設定!$B$3,原始資料!AT347=""),"",IF(AND(原始資料!AS347&lt;&gt;"",原始資料!AT347=原始資料!AS347),N(AQ347)+1,1))</f>
        <v/>
      </c>
      <c r="AS347" s="6">
        <f>IF(OR(原始資料!$A347="",44&gt;設定!$B$3,原始資料!AU347=""),"",IF(AND(原始資料!AT347&lt;&gt;"",原始資料!AU347=原始資料!AT347),N(AR347)+1,1))</f>
        <v/>
      </c>
      <c r="AT347" s="6">
        <f>IF(OR(原始資料!$A347="",45&gt;設定!$B$3,原始資料!AV347=""),"",IF(AND(原始資料!AU347&lt;&gt;"",原始資料!AV347=原始資料!AU347),N(AS347)+1,1))</f>
        <v/>
      </c>
      <c r="AU347" s="6">
        <f>IF(OR(原始資料!$A347="",46&gt;設定!$B$3,原始資料!AW347=""),"",IF(AND(原始資料!AV347&lt;&gt;"",原始資料!AW347=原始資料!AV347),N(AT347)+1,1))</f>
        <v/>
      </c>
      <c r="AV347" s="6">
        <f>IF(OR(原始資料!$A347="",47&gt;設定!$B$3,原始資料!AX347=""),"",IF(AND(原始資料!AW347&lt;&gt;"",原始資料!AX347=原始資料!AW347),N(AU347)+1,1))</f>
        <v/>
      </c>
      <c r="AW347" s="6">
        <f>IF(OR(原始資料!$A347="",48&gt;設定!$B$3,原始資料!AY347=""),"",IF(AND(原始資料!AX347&lt;&gt;"",原始資料!AY347=原始資料!AX347),N(AV347)+1,1))</f>
        <v/>
      </c>
      <c r="AX347" s="6">
        <f>IF(OR(原始資料!$A347="",49&gt;設定!$B$3,原始資料!AZ347=""),"",IF(AND(原始資料!AY347&lt;&gt;"",原始資料!AZ347=原始資料!AY347),N(AW347)+1,1))</f>
        <v/>
      </c>
      <c r="AY347" s="6">
        <f>IF(OR(原始資料!$A347="",50&gt;設定!$B$3,原始資料!BA347=""),"",IF(AND(原始資料!AZ347&lt;&gt;"",原始資料!BA347=原始資料!AZ347),N(AX347)+1,1))</f>
        <v/>
      </c>
      <c r="AZ347" s="6">
        <f>IF(OR(原始資料!$A347="",51&gt;設定!$B$3,原始資料!BB347=""),"",IF(AND(原始資料!BA347&lt;&gt;"",原始資料!BB347=原始資料!BA347),N(AY347)+1,1))</f>
        <v/>
      </c>
      <c r="BA347" s="6">
        <f>IF(OR(原始資料!$A347="",52&gt;設定!$B$3,原始資料!BC347=""),"",IF(AND(原始資料!BB347&lt;&gt;"",原始資料!BC347=原始資料!BB347),N(AZ347)+1,1))</f>
        <v/>
      </c>
      <c r="BB347" s="6">
        <f>IF(OR(原始資料!$A347="",53&gt;設定!$B$3,原始資料!BD347=""),"",IF(AND(原始資料!BC347&lt;&gt;"",原始資料!BD347=原始資料!BC347),N(BA347)+1,1))</f>
        <v/>
      </c>
      <c r="BC347" s="6">
        <f>IF(OR(原始資料!$A347="",54&gt;設定!$B$3,原始資料!BE347=""),"",IF(AND(原始資料!BD347&lt;&gt;"",原始資料!BE347=原始資料!BD347),N(BB347)+1,1))</f>
        <v/>
      </c>
      <c r="BD347" s="6">
        <f>IF(OR(原始資料!$A347="",55&gt;設定!$B$3,原始資料!BF347=""),"",IF(AND(原始資料!BE347&lt;&gt;"",原始資料!BF347=原始資料!BE347),N(BC347)+1,1))</f>
        <v/>
      </c>
      <c r="BE347" s="6">
        <f>IF(OR(原始資料!$A347="",56&gt;設定!$B$3,原始資料!BG347=""),"",IF(AND(原始資料!BF347&lt;&gt;"",原始資料!BG347=原始資料!BF347),N(BD347)+1,1))</f>
        <v/>
      </c>
      <c r="BF347" s="6">
        <f>IF(OR(原始資料!$A347="",57&gt;設定!$B$3,原始資料!BH347=""),"",IF(AND(原始資料!BG347&lt;&gt;"",原始資料!BH347=原始資料!BG347),N(BE347)+1,1))</f>
        <v/>
      </c>
      <c r="BG347" s="6">
        <f>IF(OR(原始資料!$A347="",58&gt;設定!$B$3,原始資料!BI347=""),"",IF(AND(原始資料!BH347&lt;&gt;"",原始資料!BI347=原始資料!BH347),N(BF347)+1,1))</f>
        <v/>
      </c>
      <c r="BH347" s="6">
        <f>IF(OR(原始資料!$A347="",59&gt;設定!$B$3,原始資料!BJ347=""),"",IF(AND(原始資料!BI347&lt;&gt;"",原始資料!BJ347=原始資料!BI347),N(BG347)+1,1))</f>
        <v/>
      </c>
      <c r="BI347" s="6">
        <f>IF(OR(原始資料!$A347="",60&gt;設定!$B$3,原始資料!BK347=""),"",IF(AND(原始資料!BJ347&lt;&gt;"",原始資料!BK347=原始資料!BJ347),N(BH347)+1,1))</f>
        <v/>
      </c>
    </row>
    <row r="348">
      <c r="A348" s="6">
        <f>IF(原始資料!$A348="","",原始資料!$A348)</f>
        <v/>
      </c>
      <c r="B348" s="6">
        <f>IF(OR(原始資料!$A348="",1&gt;設定!$B$3,原始資料!D348=""),"",1)</f>
        <v/>
      </c>
      <c r="C348" s="6">
        <f>IF(OR(原始資料!$A348="",2&gt;設定!$B$3,原始資料!E348=""),"",IF(AND(原始資料!D348&lt;&gt;"",原始資料!E348=原始資料!D348),N(B348)+1,1))</f>
        <v/>
      </c>
      <c r="D348" s="6">
        <f>IF(OR(原始資料!$A348="",3&gt;設定!$B$3,原始資料!F348=""),"",IF(AND(原始資料!E348&lt;&gt;"",原始資料!F348=原始資料!E348),N(C348)+1,1))</f>
        <v/>
      </c>
      <c r="E348" s="6">
        <f>IF(OR(原始資料!$A348="",4&gt;設定!$B$3,原始資料!G348=""),"",IF(AND(原始資料!F348&lt;&gt;"",原始資料!G348=原始資料!F348),N(D348)+1,1))</f>
        <v/>
      </c>
      <c r="F348" s="6">
        <f>IF(OR(原始資料!$A348="",5&gt;設定!$B$3,原始資料!H348=""),"",IF(AND(原始資料!G348&lt;&gt;"",原始資料!H348=原始資料!G348),N(E348)+1,1))</f>
        <v/>
      </c>
      <c r="G348" s="6">
        <f>IF(OR(原始資料!$A348="",6&gt;設定!$B$3,原始資料!I348=""),"",IF(AND(原始資料!H348&lt;&gt;"",原始資料!I348=原始資料!H348),N(F348)+1,1))</f>
        <v/>
      </c>
      <c r="H348" s="6">
        <f>IF(OR(原始資料!$A348="",7&gt;設定!$B$3,原始資料!J348=""),"",IF(AND(原始資料!I348&lt;&gt;"",原始資料!J348=原始資料!I348),N(G348)+1,1))</f>
        <v/>
      </c>
      <c r="I348" s="6">
        <f>IF(OR(原始資料!$A348="",8&gt;設定!$B$3,原始資料!K348=""),"",IF(AND(原始資料!J348&lt;&gt;"",原始資料!K348=原始資料!J348),N(H348)+1,1))</f>
        <v/>
      </c>
      <c r="J348" s="6">
        <f>IF(OR(原始資料!$A348="",9&gt;設定!$B$3,原始資料!L348=""),"",IF(AND(原始資料!K348&lt;&gt;"",原始資料!L348=原始資料!K348),N(I348)+1,1))</f>
        <v/>
      </c>
      <c r="K348" s="6">
        <f>IF(OR(原始資料!$A348="",10&gt;設定!$B$3,原始資料!M348=""),"",IF(AND(原始資料!L348&lt;&gt;"",原始資料!M348=原始資料!L348),N(J348)+1,1))</f>
        <v/>
      </c>
      <c r="L348" s="6">
        <f>IF(OR(原始資料!$A348="",11&gt;設定!$B$3,原始資料!N348=""),"",IF(AND(原始資料!M348&lt;&gt;"",原始資料!N348=原始資料!M348),N(K348)+1,1))</f>
        <v/>
      </c>
      <c r="M348" s="6">
        <f>IF(OR(原始資料!$A348="",12&gt;設定!$B$3,原始資料!O348=""),"",IF(AND(原始資料!N348&lt;&gt;"",原始資料!O348=原始資料!N348),N(L348)+1,1))</f>
        <v/>
      </c>
      <c r="N348" s="6">
        <f>IF(OR(原始資料!$A348="",13&gt;設定!$B$3,原始資料!P348=""),"",IF(AND(原始資料!O348&lt;&gt;"",原始資料!P348=原始資料!O348),N(M348)+1,1))</f>
        <v/>
      </c>
      <c r="O348" s="6">
        <f>IF(OR(原始資料!$A348="",14&gt;設定!$B$3,原始資料!Q348=""),"",IF(AND(原始資料!P348&lt;&gt;"",原始資料!Q348=原始資料!P348),N(N348)+1,1))</f>
        <v/>
      </c>
      <c r="P348" s="6">
        <f>IF(OR(原始資料!$A348="",15&gt;設定!$B$3,原始資料!R348=""),"",IF(AND(原始資料!Q348&lt;&gt;"",原始資料!R348=原始資料!Q348),N(O348)+1,1))</f>
        <v/>
      </c>
      <c r="Q348" s="6">
        <f>IF(OR(原始資料!$A348="",16&gt;設定!$B$3,原始資料!S348=""),"",IF(AND(原始資料!R348&lt;&gt;"",原始資料!S348=原始資料!R348),N(P348)+1,1))</f>
        <v/>
      </c>
      <c r="R348" s="6">
        <f>IF(OR(原始資料!$A348="",17&gt;設定!$B$3,原始資料!T348=""),"",IF(AND(原始資料!S348&lt;&gt;"",原始資料!T348=原始資料!S348),N(Q348)+1,1))</f>
        <v/>
      </c>
      <c r="S348" s="6">
        <f>IF(OR(原始資料!$A348="",18&gt;設定!$B$3,原始資料!U348=""),"",IF(AND(原始資料!T348&lt;&gt;"",原始資料!U348=原始資料!T348),N(R348)+1,1))</f>
        <v/>
      </c>
      <c r="T348" s="6">
        <f>IF(OR(原始資料!$A348="",19&gt;設定!$B$3,原始資料!V348=""),"",IF(AND(原始資料!U348&lt;&gt;"",原始資料!V348=原始資料!U348),N(S348)+1,1))</f>
        <v/>
      </c>
      <c r="U348" s="6">
        <f>IF(OR(原始資料!$A348="",20&gt;設定!$B$3,原始資料!W348=""),"",IF(AND(原始資料!V348&lt;&gt;"",原始資料!W348=原始資料!V348),N(T348)+1,1))</f>
        <v/>
      </c>
      <c r="V348" s="6">
        <f>IF(OR(原始資料!$A348="",21&gt;設定!$B$3,原始資料!X348=""),"",IF(AND(原始資料!W348&lt;&gt;"",原始資料!X348=原始資料!W348),N(U348)+1,1))</f>
        <v/>
      </c>
      <c r="W348" s="6">
        <f>IF(OR(原始資料!$A348="",22&gt;設定!$B$3,原始資料!Y348=""),"",IF(AND(原始資料!X348&lt;&gt;"",原始資料!Y348=原始資料!X348),N(V348)+1,1))</f>
        <v/>
      </c>
      <c r="X348" s="6">
        <f>IF(OR(原始資料!$A348="",23&gt;設定!$B$3,原始資料!Z348=""),"",IF(AND(原始資料!Y348&lt;&gt;"",原始資料!Z348=原始資料!Y348),N(W348)+1,1))</f>
        <v/>
      </c>
      <c r="Y348" s="6">
        <f>IF(OR(原始資料!$A348="",24&gt;設定!$B$3,原始資料!AA348=""),"",IF(AND(原始資料!Z348&lt;&gt;"",原始資料!AA348=原始資料!Z348),N(X348)+1,1))</f>
        <v/>
      </c>
      <c r="Z348" s="6">
        <f>IF(OR(原始資料!$A348="",25&gt;設定!$B$3,原始資料!AB348=""),"",IF(AND(原始資料!AA348&lt;&gt;"",原始資料!AB348=原始資料!AA348),N(Y348)+1,1))</f>
        <v/>
      </c>
      <c r="AA348" s="6">
        <f>IF(OR(原始資料!$A348="",26&gt;設定!$B$3,原始資料!AC348=""),"",IF(AND(原始資料!AB348&lt;&gt;"",原始資料!AC348=原始資料!AB348),N(Z348)+1,1))</f>
        <v/>
      </c>
      <c r="AB348" s="6">
        <f>IF(OR(原始資料!$A348="",27&gt;設定!$B$3,原始資料!AD348=""),"",IF(AND(原始資料!AC348&lt;&gt;"",原始資料!AD348=原始資料!AC348),N(AA348)+1,1))</f>
        <v/>
      </c>
      <c r="AC348" s="6">
        <f>IF(OR(原始資料!$A348="",28&gt;設定!$B$3,原始資料!AE348=""),"",IF(AND(原始資料!AD348&lt;&gt;"",原始資料!AE348=原始資料!AD348),N(AB348)+1,1))</f>
        <v/>
      </c>
      <c r="AD348" s="6">
        <f>IF(OR(原始資料!$A348="",29&gt;設定!$B$3,原始資料!AF348=""),"",IF(AND(原始資料!AE348&lt;&gt;"",原始資料!AF348=原始資料!AE348),N(AC348)+1,1))</f>
        <v/>
      </c>
      <c r="AE348" s="6">
        <f>IF(OR(原始資料!$A348="",30&gt;設定!$B$3,原始資料!AG348=""),"",IF(AND(原始資料!AF348&lt;&gt;"",原始資料!AG348=原始資料!AF348),N(AD348)+1,1))</f>
        <v/>
      </c>
      <c r="AF348" s="6">
        <f>IF(OR(原始資料!$A348="",31&gt;設定!$B$3,原始資料!AH348=""),"",IF(AND(原始資料!AG348&lt;&gt;"",原始資料!AH348=原始資料!AG348),N(AE348)+1,1))</f>
        <v/>
      </c>
      <c r="AG348" s="6">
        <f>IF(OR(原始資料!$A348="",32&gt;設定!$B$3,原始資料!AI348=""),"",IF(AND(原始資料!AH348&lt;&gt;"",原始資料!AI348=原始資料!AH348),N(AF348)+1,1))</f>
        <v/>
      </c>
      <c r="AH348" s="6">
        <f>IF(OR(原始資料!$A348="",33&gt;設定!$B$3,原始資料!AJ348=""),"",IF(AND(原始資料!AI348&lt;&gt;"",原始資料!AJ348=原始資料!AI348),N(AG348)+1,1))</f>
        <v/>
      </c>
      <c r="AI348" s="6">
        <f>IF(OR(原始資料!$A348="",34&gt;設定!$B$3,原始資料!AK348=""),"",IF(AND(原始資料!AJ348&lt;&gt;"",原始資料!AK348=原始資料!AJ348),N(AH348)+1,1))</f>
        <v/>
      </c>
      <c r="AJ348" s="6">
        <f>IF(OR(原始資料!$A348="",35&gt;設定!$B$3,原始資料!AL348=""),"",IF(AND(原始資料!AK348&lt;&gt;"",原始資料!AL348=原始資料!AK348),N(AI348)+1,1))</f>
        <v/>
      </c>
      <c r="AK348" s="6">
        <f>IF(OR(原始資料!$A348="",36&gt;設定!$B$3,原始資料!AM348=""),"",IF(AND(原始資料!AL348&lt;&gt;"",原始資料!AM348=原始資料!AL348),N(AJ348)+1,1))</f>
        <v/>
      </c>
      <c r="AL348" s="6">
        <f>IF(OR(原始資料!$A348="",37&gt;設定!$B$3,原始資料!AN348=""),"",IF(AND(原始資料!AM348&lt;&gt;"",原始資料!AN348=原始資料!AM348),N(AK348)+1,1))</f>
        <v/>
      </c>
      <c r="AM348" s="6">
        <f>IF(OR(原始資料!$A348="",38&gt;設定!$B$3,原始資料!AO348=""),"",IF(AND(原始資料!AN348&lt;&gt;"",原始資料!AO348=原始資料!AN348),N(AL348)+1,1))</f>
        <v/>
      </c>
      <c r="AN348" s="6">
        <f>IF(OR(原始資料!$A348="",39&gt;設定!$B$3,原始資料!AP348=""),"",IF(AND(原始資料!AO348&lt;&gt;"",原始資料!AP348=原始資料!AO348),N(AM348)+1,1))</f>
        <v/>
      </c>
      <c r="AO348" s="6">
        <f>IF(OR(原始資料!$A348="",40&gt;設定!$B$3,原始資料!AQ348=""),"",IF(AND(原始資料!AP348&lt;&gt;"",原始資料!AQ348=原始資料!AP348),N(AN348)+1,1))</f>
        <v/>
      </c>
      <c r="AP348" s="6">
        <f>IF(OR(原始資料!$A348="",41&gt;設定!$B$3,原始資料!AR348=""),"",IF(AND(原始資料!AQ348&lt;&gt;"",原始資料!AR348=原始資料!AQ348),N(AO348)+1,1))</f>
        <v/>
      </c>
      <c r="AQ348" s="6">
        <f>IF(OR(原始資料!$A348="",42&gt;設定!$B$3,原始資料!AS348=""),"",IF(AND(原始資料!AR348&lt;&gt;"",原始資料!AS348=原始資料!AR348),N(AP348)+1,1))</f>
        <v/>
      </c>
      <c r="AR348" s="6">
        <f>IF(OR(原始資料!$A348="",43&gt;設定!$B$3,原始資料!AT348=""),"",IF(AND(原始資料!AS348&lt;&gt;"",原始資料!AT348=原始資料!AS348),N(AQ348)+1,1))</f>
        <v/>
      </c>
      <c r="AS348" s="6">
        <f>IF(OR(原始資料!$A348="",44&gt;設定!$B$3,原始資料!AU348=""),"",IF(AND(原始資料!AT348&lt;&gt;"",原始資料!AU348=原始資料!AT348),N(AR348)+1,1))</f>
        <v/>
      </c>
      <c r="AT348" s="6">
        <f>IF(OR(原始資料!$A348="",45&gt;設定!$B$3,原始資料!AV348=""),"",IF(AND(原始資料!AU348&lt;&gt;"",原始資料!AV348=原始資料!AU348),N(AS348)+1,1))</f>
        <v/>
      </c>
      <c r="AU348" s="6">
        <f>IF(OR(原始資料!$A348="",46&gt;設定!$B$3,原始資料!AW348=""),"",IF(AND(原始資料!AV348&lt;&gt;"",原始資料!AW348=原始資料!AV348),N(AT348)+1,1))</f>
        <v/>
      </c>
      <c r="AV348" s="6">
        <f>IF(OR(原始資料!$A348="",47&gt;設定!$B$3,原始資料!AX348=""),"",IF(AND(原始資料!AW348&lt;&gt;"",原始資料!AX348=原始資料!AW348),N(AU348)+1,1))</f>
        <v/>
      </c>
      <c r="AW348" s="6">
        <f>IF(OR(原始資料!$A348="",48&gt;設定!$B$3,原始資料!AY348=""),"",IF(AND(原始資料!AX348&lt;&gt;"",原始資料!AY348=原始資料!AX348),N(AV348)+1,1))</f>
        <v/>
      </c>
      <c r="AX348" s="6">
        <f>IF(OR(原始資料!$A348="",49&gt;設定!$B$3,原始資料!AZ348=""),"",IF(AND(原始資料!AY348&lt;&gt;"",原始資料!AZ348=原始資料!AY348),N(AW348)+1,1))</f>
        <v/>
      </c>
      <c r="AY348" s="6">
        <f>IF(OR(原始資料!$A348="",50&gt;設定!$B$3,原始資料!BA348=""),"",IF(AND(原始資料!AZ348&lt;&gt;"",原始資料!BA348=原始資料!AZ348),N(AX348)+1,1))</f>
        <v/>
      </c>
      <c r="AZ348" s="6">
        <f>IF(OR(原始資料!$A348="",51&gt;設定!$B$3,原始資料!BB348=""),"",IF(AND(原始資料!BA348&lt;&gt;"",原始資料!BB348=原始資料!BA348),N(AY348)+1,1))</f>
        <v/>
      </c>
      <c r="BA348" s="6">
        <f>IF(OR(原始資料!$A348="",52&gt;設定!$B$3,原始資料!BC348=""),"",IF(AND(原始資料!BB348&lt;&gt;"",原始資料!BC348=原始資料!BB348),N(AZ348)+1,1))</f>
        <v/>
      </c>
      <c r="BB348" s="6">
        <f>IF(OR(原始資料!$A348="",53&gt;設定!$B$3,原始資料!BD348=""),"",IF(AND(原始資料!BC348&lt;&gt;"",原始資料!BD348=原始資料!BC348),N(BA348)+1,1))</f>
        <v/>
      </c>
      <c r="BC348" s="6">
        <f>IF(OR(原始資料!$A348="",54&gt;設定!$B$3,原始資料!BE348=""),"",IF(AND(原始資料!BD348&lt;&gt;"",原始資料!BE348=原始資料!BD348),N(BB348)+1,1))</f>
        <v/>
      </c>
      <c r="BD348" s="6">
        <f>IF(OR(原始資料!$A348="",55&gt;設定!$B$3,原始資料!BF348=""),"",IF(AND(原始資料!BE348&lt;&gt;"",原始資料!BF348=原始資料!BE348),N(BC348)+1,1))</f>
        <v/>
      </c>
      <c r="BE348" s="6">
        <f>IF(OR(原始資料!$A348="",56&gt;設定!$B$3,原始資料!BG348=""),"",IF(AND(原始資料!BF348&lt;&gt;"",原始資料!BG348=原始資料!BF348),N(BD348)+1,1))</f>
        <v/>
      </c>
      <c r="BF348" s="6">
        <f>IF(OR(原始資料!$A348="",57&gt;設定!$B$3,原始資料!BH348=""),"",IF(AND(原始資料!BG348&lt;&gt;"",原始資料!BH348=原始資料!BG348),N(BE348)+1,1))</f>
        <v/>
      </c>
      <c r="BG348" s="6">
        <f>IF(OR(原始資料!$A348="",58&gt;設定!$B$3,原始資料!BI348=""),"",IF(AND(原始資料!BH348&lt;&gt;"",原始資料!BI348=原始資料!BH348),N(BF348)+1,1))</f>
        <v/>
      </c>
      <c r="BH348" s="6">
        <f>IF(OR(原始資料!$A348="",59&gt;設定!$B$3,原始資料!BJ348=""),"",IF(AND(原始資料!BI348&lt;&gt;"",原始資料!BJ348=原始資料!BI348),N(BG348)+1,1))</f>
        <v/>
      </c>
      <c r="BI348" s="6">
        <f>IF(OR(原始資料!$A348="",60&gt;設定!$B$3,原始資料!BK348=""),"",IF(AND(原始資料!BJ348&lt;&gt;"",原始資料!BK348=原始資料!BJ348),N(BH348)+1,1))</f>
        <v/>
      </c>
    </row>
    <row r="349">
      <c r="A349" s="6">
        <f>IF(原始資料!$A349="","",原始資料!$A349)</f>
        <v/>
      </c>
      <c r="B349" s="6">
        <f>IF(OR(原始資料!$A349="",1&gt;設定!$B$3,原始資料!D349=""),"",1)</f>
        <v/>
      </c>
      <c r="C349" s="6">
        <f>IF(OR(原始資料!$A349="",2&gt;設定!$B$3,原始資料!E349=""),"",IF(AND(原始資料!D349&lt;&gt;"",原始資料!E349=原始資料!D349),N(B349)+1,1))</f>
        <v/>
      </c>
      <c r="D349" s="6">
        <f>IF(OR(原始資料!$A349="",3&gt;設定!$B$3,原始資料!F349=""),"",IF(AND(原始資料!E349&lt;&gt;"",原始資料!F349=原始資料!E349),N(C349)+1,1))</f>
        <v/>
      </c>
      <c r="E349" s="6">
        <f>IF(OR(原始資料!$A349="",4&gt;設定!$B$3,原始資料!G349=""),"",IF(AND(原始資料!F349&lt;&gt;"",原始資料!G349=原始資料!F349),N(D349)+1,1))</f>
        <v/>
      </c>
      <c r="F349" s="6">
        <f>IF(OR(原始資料!$A349="",5&gt;設定!$B$3,原始資料!H349=""),"",IF(AND(原始資料!G349&lt;&gt;"",原始資料!H349=原始資料!G349),N(E349)+1,1))</f>
        <v/>
      </c>
      <c r="G349" s="6">
        <f>IF(OR(原始資料!$A349="",6&gt;設定!$B$3,原始資料!I349=""),"",IF(AND(原始資料!H349&lt;&gt;"",原始資料!I349=原始資料!H349),N(F349)+1,1))</f>
        <v/>
      </c>
      <c r="H349" s="6">
        <f>IF(OR(原始資料!$A349="",7&gt;設定!$B$3,原始資料!J349=""),"",IF(AND(原始資料!I349&lt;&gt;"",原始資料!J349=原始資料!I349),N(G349)+1,1))</f>
        <v/>
      </c>
      <c r="I349" s="6">
        <f>IF(OR(原始資料!$A349="",8&gt;設定!$B$3,原始資料!K349=""),"",IF(AND(原始資料!J349&lt;&gt;"",原始資料!K349=原始資料!J349),N(H349)+1,1))</f>
        <v/>
      </c>
      <c r="J349" s="6">
        <f>IF(OR(原始資料!$A349="",9&gt;設定!$B$3,原始資料!L349=""),"",IF(AND(原始資料!K349&lt;&gt;"",原始資料!L349=原始資料!K349),N(I349)+1,1))</f>
        <v/>
      </c>
      <c r="K349" s="6">
        <f>IF(OR(原始資料!$A349="",10&gt;設定!$B$3,原始資料!M349=""),"",IF(AND(原始資料!L349&lt;&gt;"",原始資料!M349=原始資料!L349),N(J349)+1,1))</f>
        <v/>
      </c>
      <c r="L349" s="6">
        <f>IF(OR(原始資料!$A349="",11&gt;設定!$B$3,原始資料!N349=""),"",IF(AND(原始資料!M349&lt;&gt;"",原始資料!N349=原始資料!M349),N(K349)+1,1))</f>
        <v/>
      </c>
      <c r="M349" s="6">
        <f>IF(OR(原始資料!$A349="",12&gt;設定!$B$3,原始資料!O349=""),"",IF(AND(原始資料!N349&lt;&gt;"",原始資料!O349=原始資料!N349),N(L349)+1,1))</f>
        <v/>
      </c>
      <c r="N349" s="6">
        <f>IF(OR(原始資料!$A349="",13&gt;設定!$B$3,原始資料!P349=""),"",IF(AND(原始資料!O349&lt;&gt;"",原始資料!P349=原始資料!O349),N(M349)+1,1))</f>
        <v/>
      </c>
      <c r="O349" s="6">
        <f>IF(OR(原始資料!$A349="",14&gt;設定!$B$3,原始資料!Q349=""),"",IF(AND(原始資料!P349&lt;&gt;"",原始資料!Q349=原始資料!P349),N(N349)+1,1))</f>
        <v/>
      </c>
      <c r="P349" s="6">
        <f>IF(OR(原始資料!$A349="",15&gt;設定!$B$3,原始資料!R349=""),"",IF(AND(原始資料!Q349&lt;&gt;"",原始資料!R349=原始資料!Q349),N(O349)+1,1))</f>
        <v/>
      </c>
      <c r="Q349" s="6">
        <f>IF(OR(原始資料!$A349="",16&gt;設定!$B$3,原始資料!S349=""),"",IF(AND(原始資料!R349&lt;&gt;"",原始資料!S349=原始資料!R349),N(P349)+1,1))</f>
        <v/>
      </c>
      <c r="R349" s="6">
        <f>IF(OR(原始資料!$A349="",17&gt;設定!$B$3,原始資料!T349=""),"",IF(AND(原始資料!S349&lt;&gt;"",原始資料!T349=原始資料!S349),N(Q349)+1,1))</f>
        <v/>
      </c>
      <c r="S349" s="6">
        <f>IF(OR(原始資料!$A349="",18&gt;設定!$B$3,原始資料!U349=""),"",IF(AND(原始資料!T349&lt;&gt;"",原始資料!U349=原始資料!T349),N(R349)+1,1))</f>
        <v/>
      </c>
      <c r="T349" s="6">
        <f>IF(OR(原始資料!$A349="",19&gt;設定!$B$3,原始資料!V349=""),"",IF(AND(原始資料!U349&lt;&gt;"",原始資料!V349=原始資料!U349),N(S349)+1,1))</f>
        <v/>
      </c>
      <c r="U349" s="6">
        <f>IF(OR(原始資料!$A349="",20&gt;設定!$B$3,原始資料!W349=""),"",IF(AND(原始資料!V349&lt;&gt;"",原始資料!W349=原始資料!V349),N(T349)+1,1))</f>
        <v/>
      </c>
      <c r="V349" s="6">
        <f>IF(OR(原始資料!$A349="",21&gt;設定!$B$3,原始資料!X349=""),"",IF(AND(原始資料!W349&lt;&gt;"",原始資料!X349=原始資料!W349),N(U349)+1,1))</f>
        <v/>
      </c>
      <c r="W349" s="6">
        <f>IF(OR(原始資料!$A349="",22&gt;設定!$B$3,原始資料!Y349=""),"",IF(AND(原始資料!X349&lt;&gt;"",原始資料!Y349=原始資料!X349),N(V349)+1,1))</f>
        <v/>
      </c>
      <c r="X349" s="6">
        <f>IF(OR(原始資料!$A349="",23&gt;設定!$B$3,原始資料!Z349=""),"",IF(AND(原始資料!Y349&lt;&gt;"",原始資料!Z349=原始資料!Y349),N(W349)+1,1))</f>
        <v/>
      </c>
      <c r="Y349" s="6">
        <f>IF(OR(原始資料!$A349="",24&gt;設定!$B$3,原始資料!AA349=""),"",IF(AND(原始資料!Z349&lt;&gt;"",原始資料!AA349=原始資料!Z349),N(X349)+1,1))</f>
        <v/>
      </c>
      <c r="Z349" s="6">
        <f>IF(OR(原始資料!$A349="",25&gt;設定!$B$3,原始資料!AB349=""),"",IF(AND(原始資料!AA349&lt;&gt;"",原始資料!AB349=原始資料!AA349),N(Y349)+1,1))</f>
        <v/>
      </c>
      <c r="AA349" s="6">
        <f>IF(OR(原始資料!$A349="",26&gt;設定!$B$3,原始資料!AC349=""),"",IF(AND(原始資料!AB349&lt;&gt;"",原始資料!AC349=原始資料!AB349),N(Z349)+1,1))</f>
        <v/>
      </c>
      <c r="AB349" s="6">
        <f>IF(OR(原始資料!$A349="",27&gt;設定!$B$3,原始資料!AD349=""),"",IF(AND(原始資料!AC349&lt;&gt;"",原始資料!AD349=原始資料!AC349),N(AA349)+1,1))</f>
        <v/>
      </c>
      <c r="AC349" s="6">
        <f>IF(OR(原始資料!$A349="",28&gt;設定!$B$3,原始資料!AE349=""),"",IF(AND(原始資料!AD349&lt;&gt;"",原始資料!AE349=原始資料!AD349),N(AB349)+1,1))</f>
        <v/>
      </c>
      <c r="AD349" s="6">
        <f>IF(OR(原始資料!$A349="",29&gt;設定!$B$3,原始資料!AF349=""),"",IF(AND(原始資料!AE349&lt;&gt;"",原始資料!AF349=原始資料!AE349),N(AC349)+1,1))</f>
        <v/>
      </c>
      <c r="AE349" s="6">
        <f>IF(OR(原始資料!$A349="",30&gt;設定!$B$3,原始資料!AG349=""),"",IF(AND(原始資料!AF349&lt;&gt;"",原始資料!AG349=原始資料!AF349),N(AD349)+1,1))</f>
        <v/>
      </c>
      <c r="AF349" s="6">
        <f>IF(OR(原始資料!$A349="",31&gt;設定!$B$3,原始資料!AH349=""),"",IF(AND(原始資料!AG349&lt;&gt;"",原始資料!AH349=原始資料!AG349),N(AE349)+1,1))</f>
        <v/>
      </c>
      <c r="AG349" s="6">
        <f>IF(OR(原始資料!$A349="",32&gt;設定!$B$3,原始資料!AI349=""),"",IF(AND(原始資料!AH349&lt;&gt;"",原始資料!AI349=原始資料!AH349),N(AF349)+1,1))</f>
        <v/>
      </c>
      <c r="AH349" s="6">
        <f>IF(OR(原始資料!$A349="",33&gt;設定!$B$3,原始資料!AJ349=""),"",IF(AND(原始資料!AI349&lt;&gt;"",原始資料!AJ349=原始資料!AI349),N(AG349)+1,1))</f>
        <v/>
      </c>
      <c r="AI349" s="6">
        <f>IF(OR(原始資料!$A349="",34&gt;設定!$B$3,原始資料!AK349=""),"",IF(AND(原始資料!AJ349&lt;&gt;"",原始資料!AK349=原始資料!AJ349),N(AH349)+1,1))</f>
        <v/>
      </c>
      <c r="AJ349" s="6">
        <f>IF(OR(原始資料!$A349="",35&gt;設定!$B$3,原始資料!AL349=""),"",IF(AND(原始資料!AK349&lt;&gt;"",原始資料!AL349=原始資料!AK349),N(AI349)+1,1))</f>
        <v/>
      </c>
      <c r="AK349" s="6">
        <f>IF(OR(原始資料!$A349="",36&gt;設定!$B$3,原始資料!AM349=""),"",IF(AND(原始資料!AL349&lt;&gt;"",原始資料!AM349=原始資料!AL349),N(AJ349)+1,1))</f>
        <v/>
      </c>
      <c r="AL349" s="6">
        <f>IF(OR(原始資料!$A349="",37&gt;設定!$B$3,原始資料!AN349=""),"",IF(AND(原始資料!AM349&lt;&gt;"",原始資料!AN349=原始資料!AM349),N(AK349)+1,1))</f>
        <v/>
      </c>
      <c r="AM349" s="6">
        <f>IF(OR(原始資料!$A349="",38&gt;設定!$B$3,原始資料!AO349=""),"",IF(AND(原始資料!AN349&lt;&gt;"",原始資料!AO349=原始資料!AN349),N(AL349)+1,1))</f>
        <v/>
      </c>
      <c r="AN349" s="6">
        <f>IF(OR(原始資料!$A349="",39&gt;設定!$B$3,原始資料!AP349=""),"",IF(AND(原始資料!AO349&lt;&gt;"",原始資料!AP349=原始資料!AO349),N(AM349)+1,1))</f>
        <v/>
      </c>
      <c r="AO349" s="6">
        <f>IF(OR(原始資料!$A349="",40&gt;設定!$B$3,原始資料!AQ349=""),"",IF(AND(原始資料!AP349&lt;&gt;"",原始資料!AQ349=原始資料!AP349),N(AN349)+1,1))</f>
        <v/>
      </c>
      <c r="AP349" s="6">
        <f>IF(OR(原始資料!$A349="",41&gt;設定!$B$3,原始資料!AR349=""),"",IF(AND(原始資料!AQ349&lt;&gt;"",原始資料!AR349=原始資料!AQ349),N(AO349)+1,1))</f>
        <v/>
      </c>
      <c r="AQ349" s="6">
        <f>IF(OR(原始資料!$A349="",42&gt;設定!$B$3,原始資料!AS349=""),"",IF(AND(原始資料!AR349&lt;&gt;"",原始資料!AS349=原始資料!AR349),N(AP349)+1,1))</f>
        <v/>
      </c>
      <c r="AR349" s="6">
        <f>IF(OR(原始資料!$A349="",43&gt;設定!$B$3,原始資料!AT349=""),"",IF(AND(原始資料!AS349&lt;&gt;"",原始資料!AT349=原始資料!AS349),N(AQ349)+1,1))</f>
        <v/>
      </c>
      <c r="AS349" s="6">
        <f>IF(OR(原始資料!$A349="",44&gt;設定!$B$3,原始資料!AU349=""),"",IF(AND(原始資料!AT349&lt;&gt;"",原始資料!AU349=原始資料!AT349),N(AR349)+1,1))</f>
        <v/>
      </c>
      <c r="AT349" s="6">
        <f>IF(OR(原始資料!$A349="",45&gt;設定!$B$3,原始資料!AV349=""),"",IF(AND(原始資料!AU349&lt;&gt;"",原始資料!AV349=原始資料!AU349),N(AS349)+1,1))</f>
        <v/>
      </c>
      <c r="AU349" s="6">
        <f>IF(OR(原始資料!$A349="",46&gt;設定!$B$3,原始資料!AW349=""),"",IF(AND(原始資料!AV349&lt;&gt;"",原始資料!AW349=原始資料!AV349),N(AT349)+1,1))</f>
        <v/>
      </c>
      <c r="AV349" s="6">
        <f>IF(OR(原始資料!$A349="",47&gt;設定!$B$3,原始資料!AX349=""),"",IF(AND(原始資料!AW349&lt;&gt;"",原始資料!AX349=原始資料!AW349),N(AU349)+1,1))</f>
        <v/>
      </c>
      <c r="AW349" s="6">
        <f>IF(OR(原始資料!$A349="",48&gt;設定!$B$3,原始資料!AY349=""),"",IF(AND(原始資料!AX349&lt;&gt;"",原始資料!AY349=原始資料!AX349),N(AV349)+1,1))</f>
        <v/>
      </c>
      <c r="AX349" s="6">
        <f>IF(OR(原始資料!$A349="",49&gt;設定!$B$3,原始資料!AZ349=""),"",IF(AND(原始資料!AY349&lt;&gt;"",原始資料!AZ349=原始資料!AY349),N(AW349)+1,1))</f>
        <v/>
      </c>
      <c r="AY349" s="6">
        <f>IF(OR(原始資料!$A349="",50&gt;設定!$B$3,原始資料!BA349=""),"",IF(AND(原始資料!AZ349&lt;&gt;"",原始資料!BA349=原始資料!AZ349),N(AX349)+1,1))</f>
        <v/>
      </c>
      <c r="AZ349" s="6">
        <f>IF(OR(原始資料!$A349="",51&gt;設定!$B$3,原始資料!BB349=""),"",IF(AND(原始資料!BA349&lt;&gt;"",原始資料!BB349=原始資料!BA349),N(AY349)+1,1))</f>
        <v/>
      </c>
      <c r="BA349" s="6">
        <f>IF(OR(原始資料!$A349="",52&gt;設定!$B$3,原始資料!BC349=""),"",IF(AND(原始資料!BB349&lt;&gt;"",原始資料!BC349=原始資料!BB349),N(AZ349)+1,1))</f>
        <v/>
      </c>
      <c r="BB349" s="6">
        <f>IF(OR(原始資料!$A349="",53&gt;設定!$B$3,原始資料!BD349=""),"",IF(AND(原始資料!BC349&lt;&gt;"",原始資料!BD349=原始資料!BC349),N(BA349)+1,1))</f>
        <v/>
      </c>
      <c r="BC349" s="6">
        <f>IF(OR(原始資料!$A349="",54&gt;設定!$B$3,原始資料!BE349=""),"",IF(AND(原始資料!BD349&lt;&gt;"",原始資料!BE349=原始資料!BD349),N(BB349)+1,1))</f>
        <v/>
      </c>
      <c r="BD349" s="6">
        <f>IF(OR(原始資料!$A349="",55&gt;設定!$B$3,原始資料!BF349=""),"",IF(AND(原始資料!BE349&lt;&gt;"",原始資料!BF349=原始資料!BE349),N(BC349)+1,1))</f>
        <v/>
      </c>
      <c r="BE349" s="6">
        <f>IF(OR(原始資料!$A349="",56&gt;設定!$B$3,原始資料!BG349=""),"",IF(AND(原始資料!BF349&lt;&gt;"",原始資料!BG349=原始資料!BF349),N(BD349)+1,1))</f>
        <v/>
      </c>
      <c r="BF349" s="6">
        <f>IF(OR(原始資料!$A349="",57&gt;設定!$B$3,原始資料!BH349=""),"",IF(AND(原始資料!BG349&lt;&gt;"",原始資料!BH349=原始資料!BG349),N(BE349)+1,1))</f>
        <v/>
      </c>
      <c r="BG349" s="6">
        <f>IF(OR(原始資料!$A349="",58&gt;設定!$B$3,原始資料!BI349=""),"",IF(AND(原始資料!BH349&lt;&gt;"",原始資料!BI349=原始資料!BH349),N(BF349)+1,1))</f>
        <v/>
      </c>
      <c r="BH349" s="6">
        <f>IF(OR(原始資料!$A349="",59&gt;設定!$B$3,原始資料!BJ349=""),"",IF(AND(原始資料!BI349&lt;&gt;"",原始資料!BJ349=原始資料!BI349),N(BG349)+1,1))</f>
        <v/>
      </c>
      <c r="BI349" s="6">
        <f>IF(OR(原始資料!$A349="",60&gt;設定!$B$3,原始資料!BK349=""),"",IF(AND(原始資料!BJ349&lt;&gt;"",原始資料!BK349=原始資料!BJ349),N(BH349)+1,1))</f>
        <v/>
      </c>
    </row>
    <row r="350">
      <c r="A350" s="6">
        <f>IF(原始資料!$A350="","",原始資料!$A350)</f>
        <v/>
      </c>
      <c r="B350" s="6">
        <f>IF(OR(原始資料!$A350="",1&gt;設定!$B$3,原始資料!D350=""),"",1)</f>
        <v/>
      </c>
      <c r="C350" s="6">
        <f>IF(OR(原始資料!$A350="",2&gt;設定!$B$3,原始資料!E350=""),"",IF(AND(原始資料!D350&lt;&gt;"",原始資料!E350=原始資料!D350),N(B350)+1,1))</f>
        <v/>
      </c>
      <c r="D350" s="6">
        <f>IF(OR(原始資料!$A350="",3&gt;設定!$B$3,原始資料!F350=""),"",IF(AND(原始資料!E350&lt;&gt;"",原始資料!F350=原始資料!E350),N(C350)+1,1))</f>
        <v/>
      </c>
      <c r="E350" s="6">
        <f>IF(OR(原始資料!$A350="",4&gt;設定!$B$3,原始資料!G350=""),"",IF(AND(原始資料!F350&lt;&gt;"",原始資料!G350=原始資料!F350),N(D350)+1,1))</f>
        <v/>
      </c>
      <c r="F350" s="6">
        <f>IF(OR(原始資料!$A350="",5&gt;設定!$B$3,原始資料!H350=""),"",IF(AND(原始資料!G350&lt;&gt;"",原始資料!H350=原始資料!G350),N(E350)+1,1))</f>
        <v/>
      </c>
      <c r="G350" s="6">
        <f>IF(OR(原始資料!$A350="",6&gt;設定!$B$3,原始資料!I350=""),"",IF(AND(原始資料!H350&lt;&gt;"",原始資料!I350=原始資料!H350),N(F350)+1,1))</f>
        <v/>
      </c>
      <c r="H350" s="6">
        <f>IF(OR(原始資料!$A350="",7&gt;設定!$B$3,原始資料!J350=""),"",IF(AND(原始資料!I350&lt;&gt;"",原始資料!J350=原始資料!I350),N(G350)+1,1))</f>
        <v/>
      </c>
      <c r="I350" s="6">
        <f>IF(OR(原始資料!$A350="",8&gt;設定!$B$3,原始資料!K350=""),"",IF(AND(原始資料!J350&lt;&gt;"",原始資料!K350=原始資料!J350),N(H350)+1,1))</f>
        <v/>
      </c>
      <c r="J350" s="6">
        <f>IF(OR(原始資料!$A350="",9&gt;設定!$B$3,原始資料!L350=""),"",IF(AND(原始資料!K350&lt;&gt;"",原始資料!L350=原始資料!K350),N(I350)+1,1))</f>
        <v/>
      </c>
      <c r="K350" s="6">
        <f>IF(OR(原始資料!$A350="",10&gt;設定!$B$3,原始資料!M350=""),"",IF(AND(原始資料!L350&lt;&gt;"",原始資料!M350=原始資料!L350),N(J350)+1,1))</f>
        <v/>
      </c>
      <c r="L350" s="6">
        <f>IF(OR(原始資料!$A350="",11&gt;設定!$B$3,原始資料!N350=""),"",IF(AND(原始資料!M350&lt;&gt;"",原始資料!N350=原始資料!M350),N(K350)+1,1))</f>
        <v/>
      </c>
      <c r="M350" s="6">
        <f>IF(OR(原始資料!$A350="",12&gt;設定!$B$3,原始資料!O350=""),"",IF(AND(原始資料!N350&lt;&gt;"",原始資料!O350=原始資料!N350),N(L350)+1,1))</f>
        <v/>
      </c>
      <c r="N350" s="6">
        <f>IF(OR(原始資料!$A350="",13&gt;設定!$B$3,原始資料!P350=""),"",IF(AND(原始資料!O350&lt;&gt;"",原始資料!P350=原始資料!O350),N(M350)+1,1))</f>
        <v/>
      </c>
      <c r="O350" s="6">
        <f>IF(OR(原始資料!$A350="",14&gt;設定!$B$3,原始資料!Q350=""),"",IF(AND(原始資料!P350&lt;&gt;"",原始資料!Q350=原始資料!P350),N(N350)+1,1))</f>
        <v/>
      </c>
      <c r="P350" s="6">
        <f>IF(OR(原始資料!$A350="",15&gt;設定!$B$3,原始資料!R350=""),"",IF(AND(原始資料!Q350&lt;&gt;"",原始資料!R350=原始資料!Q350),N(O350)+1,1))</f>
        <v/>
      </c>
      <c r="Q350" s="6">
        <f>IF(OR(原始資料!$A350="",16&gt;設定!$B$3,原始資料!S350=""),"",IF(AND(原始資料!R350&lt;&gt;"",原始資料!S350=原始資料!R350),N(P350)+1,1))</f>
        <v/>
      </c>
      <c r="R350" s="6">
        <f>IF(OR(原始資料!$A350="",17&gt;設定!$B$3,原始資料!T350=""),"",IF(AND(原始資料!S350&lt;&gt;"",原始資料!T350=原始資料!S350),N(Q350)+1,1))</f>
        <v/>
      </c>
      <c r="S350" s="6">
        <f>IF(OR(原始資料!$A350="",18&gt;設定!$B$3,原始資料!U350=""),"",IF(AND(原始資料!T350&lt;&gt;"",原始資料!U350=原始資料!T350),N(R350)+1,1))</f>
        <v/>
      </c>
      <c r="T350" s="6">
        <f>IF(OR(原始資料!$A350="",19&gt;設定!$B$3,原始資料!V350=""),"",IF(AND(原始資料!U350&lt;&gt;"",原始資料!V350=原始資料!U350),N(S350)+1,1))</f>
        <v/>
      </c>
      <c r="U350" s="6">
        <f>IF(OR(原始資料!$A350="",20&gt;設定!$B$3,原始資料!W350=""),"",IF(AND(原始資料!V350&lt;&gt;"",原始資料!W350=原始資料!V350),N(T350)+1,1))</f>
        <v/>
      </c>
      <c r="V350" s="6">
        <f>IF(OR(原始資料!$A350="",21&gt;設定!$B$3,原始資料!X350=""),"",IF(AND(原始資料!W350&lt;&gt;"",原始資料!X350=原始資料!W350),N(U350)+1,1))</f>
        <v/>
      </c>
      <c r="W350" s="6">
        <f>IF(OR(原始資料!$A350="",22&gt;設定!$B$3,原始資料!Y350=""),"",IF(AND(原始資料!X350&lt;&gt;"",原始資料!Y350=原始資料!X350),N(V350)+1,1))</f>
        <v/>
      </c>
      <c r="X350" s="6">
        <f>IF(OR(原始資料!$A350="",23&gt;設定!$B$3,原始資料!Z350=""),"",IF(AND(原始資料!Y350&lt;&gt;"",原始資料!Z350=原始資料!Y350),N(W350)+1,1))</f>
        <v/>
      </c>
      <c r="Y350" s="6">
        <f>IF(OR(原始資料!$A350="",24&gt;設定!$B$3,原始資料!AA350=""),"",IF(AND(原始資料!Z350&lt;&gt;"",原始資料!AA350=原始資料!Z350),N(X350)+1,1))</f>
        <v/>
      </c>
      <c r="Z350" s="6">
        <f>IF(OR(原始資料!$A350="",25&gt;設定!$B$3,原始資料!AB350=""),"",IF(AND(原始資料!AA350&lt;&gt;"",原始資料!AB350=原始資料!AA350),N(Y350)+1,1))</f>
        <v/>
      </c>
      <c r="AA350" s="6">
        <f>IF(OR(原始資料!$A350="",26&gt;設定!$B$3,原始資料!AC350=""),"",IF(AND(原始資料!AB350&lt;&gt;"",原始資料!AC350=原始資料!AB350),N(Z350)+1,1))</f>
        <v/>
      </c>
      <c r="AB350" s="6">
        <f>IF(OR(原始資料!$A350="",27&gt;設定!$B$3,原始資料!AD350=""),"",IF(AND(原始資料!AC350&lt;&gt;"",原始資料!AD350=原始資料!AC350),N(AA350)+1,1))</f>
        <v/>
      </c>
      <c r="AC350" s="6">
        <f>IF(OR(原始資料!$A350="",28&gt;設定!$B$3,原始資料!AE350=""),"",IF(AND(原始資料!AD350&lt;&gt;"",原始資料!AE350=原始資料!AD350),N(AB350)+1,1))</f>
        <v/>
      </c>
      <c r="AD350" s="6">
        <f>IF(OR(原始資料!$A350="",29&gt;設定!$B$3,原始資料!AF350=""),"",IF(AND(原始資料!AE350&lt;&gt;"",原始資料!AF350=原始資料!AE350),N(AC350)+1,1))</f>
        <v/>
      </c>
      <c r="AE350" s="6">
        <f>IF(OR(原始資料!$A350="",30&gt;設定!$B$3,原始資料!AG350=""),"",IF(AND(原始資料!AF350&lt;&gt;"",原始資料!AG350=原始資料!AF350),N(AD350)+1,1))</f>
        <v/>
      </c>
      <c r="AF350" s="6">
        <f>IF(OR(原始資料!$A350="",31&gt;設定!$B$3,原始資料!AH350=""),"",IF(AND(原始資料!AG350&lt;&gt;"",原始資料!AH350=原始資料!AG350),N(AE350)+1,1))</f>
        <v/>
      </c>
      <c r="AG350" s="6">
        <f>IF(OR(原始資料!$A350="",32&gt;設定!$B$3,原始資料!AI350=""),"",IF(AND(原始資料!AH350&lt;&gt;"",原始資料!AI350=原始資料!AH350),N(AF350)+1,1))</f>
        <v/>
      </c>
      <c r="AH350" s="6">
        <f>IF(OR(原始資料!$A350="",33&gt;設定!$B$3,原始資料!AJ350=""),"",IF(AND(原始資料!AI350&lt;&gt;"",原始資料!AJ350=原始資料!AI350),N(AG350)+1,1))</f>
        <v/>
      </c>
      <c r="AI350" s="6">
        <f>IF(OR(原始資料!$A350="",34&gt;設定!$B$3,原始資料!AK350=""),"",IF(AND(原始資料!AJ350&lt;&gt;"",原始資料!AK350=原始資料!AJ350),N(AH350)+1,1))</f>
        <v/>
      </c>
      <c r="AJ350" s="6">
        <f>IF(OR(原始資料!$A350="",35&gt;設定!$B$3,原始資料!AL350=""),"",IF(AND(原始資料!AK350&lt;&gt;"",原始資料!AL350=原始資料!AK350),N(AI350)+1,1))</f>
        <v/>
      </c>
      <c r="AK350" s="6">
        <f>IF(OR(原始資料!$A350="",36&gt;設定!$B$3,原始資料!AM350=""),"",IF(AND(原始資料!AL350&lt;&gt;"",原始資料!AM350=原始資料!AL350),N(AJ350)+1,1))</f>
        <v/>
      </c>
      <c r="AL350" s="6">
        <f>IF(OR(原始資料!$A350="",37&gt;設定!$B$3,原始資料!AN350=""),"",IF(AND(原始資料!AM350&lt;&gt;"",原始資料!AN350=原始資料!AM350),N(AK350)+1,1))</f>
        <v/>
      </c>
      <c r="AM350" s="6">
        <f>IF(OR(原始資料!$A350="",38&gt;設定!$B$3,原始資料!AO350=""),"",IF(AND(原始資料!AN350&lt;&gt;"",原始資料!AO350=原始資料!AN350),N(AL350)+1,1))</f>
        <v/>
      </c>
      <c r="AN350" s="6">
        <f>IF(OR(原始資料!$A350="",39&gt;設定!$B$3,原始資料!AP350=""),"",IF(AND(原始資料!AO350&lt;&gt;"",原始資料!AP350=原始資料!AO350),N(AM350)+1,1))</f>
        <v/>
      </c>
      <c r="AO350" s="6">
        <f>IF(OR(原始資料!$A350="",40&gt;設定!$B$3,原始資料!AQ350=""),"",IF(AND(原始資料!AP350&lt;&gt;"",原始資料!AQ350=原始資料!AP350),N(AN350)+1,1))</f>
        <v/>
      </c>
      <c r="AP350" s="6">
        <f>IF(OR(原始資料!$A350="",41&gt;設定!$B$3,原始資料!AR350=""),"",IF(AND(原始資料!AQ350&lt;&gt;"",原始資料!AR350=原始資料!AQ350),N(AO350)+1,1))</f>
        <v/>
      </c>
      <c r="AQ350" s="6">
        <f>IF(OR(原始資料!$A350="",42&gt;設定!$B$3,原始資料!AS350=""),"",IF(AND(原始資料!AR350&lt;&gt;"",原始資料!AS350=原始資料!AR350),N(AP350)+1,1))</f>
        <v/>
      </c>
      <c r="AR350" s="6">
        <f>IF(OR(原始資料!$A350="",43&gt;設定!$B$3,原始資料!AT350=""),"",IF(AND(原始資料!AS350&lt;&gt;"",原始資料!AT350=原始資料!AS350),N(AQ350)+1,1))</f>
        <v/>
      </c>
      <c r="AS350" s="6">
        <f>IF(OR(原始資料!$A350="",44&gt;設定!$B$3,原始資料!AU350=""),"",IF(AND(原始資料!AT350&lt;&gt;"",原始資料!AU350=原始資料!AT350),N(AR350)+1,1))</f>
        <v/>
      </c>
      <c r="AT350" s="6">
        <f>IF(OR(原始資料!$A350="",45&gt;設定!$B$3,原始資料!AV350=""),"",IF(AND(原始資料!AU350&lt;&gt;"",原始資料!AV350=原始資料!AU350),N(AS350)+1,1))</f>
        <v/>
      </c>
      <c r="AU350" s="6">
        <f>IF(OR(原始資料!$A350="",46&gt;設定!$B$3,原始資料!AW350=""),"",IF(AND(原始資料!AV350&lt;&gt;"",原始資料!AW350=原始資料!AV350),N(AT350)+1,1))</f>
        <v/>
      </c>
      <c r="AV350" s="6">
        <f>IF(OR(原始資料!$A350="",47&gt;設定!$B$3,原始資料!AX350=""),"",IF(AND(原始資料!AW350&lt;&gt;"",原始資料!AX350=原始資料!AW350),N(AU350)+1,1))</f>
        <v/>
      </c>
      <c r="AW350" s="6">
        <f>IF(OR(原始資料!$A350="",48&gt;設定!$B$3,原始資料!AY350=""),"",IF(AND(原始資料!AX350&lt;&gt;"",原始資料!AY350=原始資料!AX350),N(AV350)+1,1))</f>
        <v/>
      </c>
      <c r="AX350" s="6">
        <f>IF(OR(原始資料!$A350="",49&gt;設定!$B$3,原始資料!AZ350=""),"",IF(AND(原始資料!AY350&lt;&gt;"",原始資料!AZ350=原始資料!AY350),N(AW350)+1,1))</f>
        <v/>
      </c>
      <c r="AY350" s="6">
        <f>IF(OR(原始資料!$A350="",50&gt;設定!$B$3,原始資料!BA350=""),"",IF(AND(原始資料!AZ350&lt;&gt;"",原始資料!BA350=原始資料!AZ350),N(AX350)+1,1))</f>
        <v/>
      </c>
      <c r="AZ350" s="6">
        <f>IF(OR(原始資料!$A350="",51&gt;設定!$B$3,原始資料!BB350=""),"",IF(AND(原始資料!BA350&lt;&gt;"",原始資料!BB350=原始資料!BA350),N(AY350)+1,1))</f>
        <v/>
      </c>
      <c r="BA350" s="6">
        <f>IF(OR(原始資料!$A350="",52&gt;設定!$B$3,原始資料!BC350=""),"",IF(AND(原始資料!BB350&lt;&gt;"",原始資料!BC350=原始資料!BB350),N(AZ350)+1,1))</f>
        <v/>
      </c>
      <c r="BB350" s="6">
        <f>IF(OR(原始資料!$A350="",53&gt;設定!$B$3,原始資料!BD350=""),"",IF(AND(原始資料!BC350&lt;&gt;"",原始資料!BD350=原始資料!BC350),N(BA350)+1,1))</f>
        <v/>
      </c>
      <c r="BC350" s="6">
        <f>IF(OR(原始資料!$A350="",54&gt;設定!$B$3,原始資料!BE350=""),"",IF(AND(原始資料!BD350&lt;&gt;"",原始資料!BE350=原始資料!BD350),N(BB350)+1,1))</f>
        <v/>
      </c>
      <c r="BD350" s="6">
        <f>IF(OR(原始資料!$A350="",55&gt;設定!$B$3,原始資料!BF350=""),"",IF(AND(原始資料!BE350&lt;&gt;"",原始資料!BF350=原始資料!BE350),N(BC350)+1,1))</f>
        <v/>
      </c>
      <c r="BE350" s="6">
        <f>IF(OR(原始資料!$A350="",56&gt;設定!$B$3,原始資料!BG350=""),"",IF(AND(原始資料!BF350&lt;&gt;"",原始資料!BG350=原始資料!BF350),N(BD350)+1,1))</f>
        <v/>
      </c>
      <c r="BF350" s="6">
        <f>IF(OR(原始資料!$A350="",57&gt;設定!$B$3,原始資料!BH350=""),"",IF(AND(原始資料!BG350&lt;&gt;"",原始資料!BH350=原始資料!BG350),N(BE350)+1,1))</f>
        <v/>
      </c>
      <c r="BG350" s="6">
        <f>IF(OR(原始資料!$A350="",58&gt;設定!$B$3,原始資料!BI350=""),"",IF(AND(原始資料!BH350&lt;&gt;"",原始資料!BI350=原始資料!BH350),N(BF350)+1,1))</f>
        <v/>
      </c>
      <c r="BH350" s="6">
        <f>IF(OR(原始資料!$A350="",59&gt;設定!$B$3,原始資料!BJ350=""),"",IF(AND(原始資料!BI350&lt;&gt;"",原始資料!BJ350=原始資料!BI350),N(BG350)+1,1))</f>
        <v/>
      </c>
      <c r="BI350" s="6">
        <f>IF(OR(原始資料!$A350="",60&gt;設定!$B$3,原始資料!BK350=""),"",IF(AND(原始資料!BJ350&lt;&gt;"",原始資料!BK350=原始資料!BJ350),N(BH350)+1,1))</f>
        <v/>
      </c>
    </row>
    <row r="351">
      <c r="A351" s="6">
        <f>IF(原始資料!$A351="","",原始資料!$A351)</f>
        <v/>
      </c>
      <c r="B351" s="6">
        <f>IF(OR(原始資料!$A351="",1&gt;設定!$B$3,原始資料!D351=""),"",1)</f>
        <v/>
      </c>
      <c r="C351" s="6">
        <f>IF(OR(原始資料!$A351="",2&gt;設定!$B$3,原始資料!E351=""),"",IF(AND(原始資料!D351&lt;&gt;"",原始資料!E351=原始資料!D351),N(B351)+1,1))</f>
        <v/>
      </c>
      <c r="D351" s="6">
        <f>IF(OR(原始資料!$A351="",3&gt;設定!$B$3,原始資料!F351=""),"",IF(AND(原始資料!E351&lt;&gt;"",原始資料!F351=原始資料!E351),N(C351)+1,1))</f>
        <v/>
      </c>
      <c r="E351" s="6">
        <f>IF(OR(原始資料!$A351="",4&gt;設定!$B$3,原始資料!G351=""),"",IF(AND(原始資料!F351&lt;&gt;"",原始資料!G351=原始資料!F351),N(D351)+1,1))</f>
        <v/>
      </c>
      <c r="F351" s="6">
        <f>IF(OR(原始資料!$A351="",5&gt;設定!$B$3,原始資料!H351=""),"",IF(AND(原始資料!G351&lt;&gt;"",原始資料!H351=原始資料!G351),N(E351)+1,1))</f>
        <v/>
      </c>
      <c r="G351" s="6">
        <f>IF(OR(原始資料!$A351="",6&gt;設定!$B$3,原始資料!I351=""),"",IF(AND(原始資料!H351&lt;&gt;"",原始資料!I351=原始資料!H351),N(F351)+1,1))</f>
        <v/>
      </c>
      <c r="H351" s="6">
        <f>IF(OR(原始資料!$A351="",7&gt;設定!$B$3,原始資料!J351=""),"",IF(AND(原始資料!I351&lt;&gt;"",原始資料!J351=原始資料!I351),N(G351)+1,1))</f>
        <v/>
      </c>
      <c r="I351" s="6">
        <f>IF(OR(原始資料!$A351="",8&gt;設定!$B$3,原始資料!K351=""),"",IF(AND(原始資料!J351&lt;&gt;"",原始資料!K351=原始資料!J351),N(H351)+1,1))</f>
        <v/>
      </c>
      <c r="J351" s="6">
        <f>IF(OR(原始資料!$A351="",9&gt;設定!$B$3,原始資料!L351=""),"",IF(AND(原始資料!K351&lt;&gt;"",原始資料!L351=原始資料!K351),N(I351)+1,1))</f>
        <v/>
      </c>
      <c r="K351" s="6">
        <f>IF(OR(原始資料!$A351="",10&gt;設定!$B$3,原始資料!M351=""),"",IF(AND(原始資料!L351&lt;&gt;"",原始資料!M351=原始資料!L351),N(J351)+1,1))</f>
        <v/>
      </c>
      <c r="L351" s="6">
        <f>IF(OR(原始資料!$A351="",11&gt;設定!$B$3,原始資料!N351=""),"",IF(AND(原始資料!M351&lt;&gt;"",原始資料!N351=原始資料!M351),N(K351)+1,1))</f>
        <v/>
      </c>
      <c r="M351" s="6">
        <f>IF(OR(原始資料!$A351="",12&gt;設定!$B$3,原始資料!O351=""),"",IF(AND(原始資料!N351&lt;&gt;"",原始資料!O351=原始資料!N351),N(L351)+1,1))</f>
        <v/>
      </c>
      <c r="N351" s="6">
        <f>IF(OR(原始資料!$A351="",13&gt;設定!$B$3,原始資料!P351=""),"",IF(AND(原始資料!O351&lt;&gt;"",原始資料!P351=原始資料!O351),N(M351)+1,1))</f>
        <v/>
      </c>
      <c r="O351" s="6">
        <f>IF(OR(原始資料!$A351="",14&gt;設定!$B$3,原始資料!Q351=""),"",IF(AND(原始資料!P351&lt;&gt;"",原始資料!Q351=原始資料!P351),N(N351)+1,1))</f>
        <v/>
      </c>
      <c r="P351" s="6">
        <f>IF(OR(原始資料!$A351="",15&gt;設定!$B$3,原始資料!R351=""),"",IF(AND(原始資料!Q351&lt;&gt;"",原始資料!R351=原始資料!Q351),N(O351)+1,1))</f>
        <v/>
      </c>
      <c r="Q351" s="6">
        <f>IF(OR(原始資料!$A351="",16&gt;設定!$B$3,原始資料!S351=""),"",IF(AND(原始資料!R351&lt;&gt;"",原始資料!S351=原始資料!R351),N(P351)+1,1))</f>
        <v/>
      </c>
      <c r="R351" s="6">
        <f>IF(OR(原始資料!$A351="",17&gt;設定!$B$3,原始資料!T351=""),"",IF(AND(原始資料!S351&lt;&gt;"",原始資料!T351=原始資料!S351),N(Q351)+1,1))</f>
        <v/>
      </c>
      <c r="S351" s="6">
        <f>IF(OR(原始資料!$A351="",18&gt;設定!$B$3,原始資料!U351=""),"",IF(AND(原始資料!T351&lt;&gt;"",原始資料!U351=原始資料!T351),N(R351)+1,1))</f>
        <v/>
      </c>
      <c r="T351" s="6">
        <f>IF(OR(原始資料!$A351="",19&gt;設定!$B$3,原始資料!V351=""),"",IF(AND(原始資料!U351&lt;&gt;"",原始資料!V351=原始資料!U351),N(S351)+1,1))</f>
        <v/>
      </c>
      <c r="U351" s="6">
        <f>IF(OR(原始資料!$A351="",20&gt;設定!$B$3,原始資料!W351=""),"",IF(AND(原始資料!V351&lt;&gt;"",原始資料!W351=原始資料!V351),N(T351)+1,1))</f>
        <v/>
      </c>
      <c r="V351" s="6">
        <f>IF(OR(原始資料!$A351="",21&gt;設定!$B$3,原始資料!X351=""),"",IF(AND(原始資料!W351&lt;&gt;"",原始資料!X351=原始資料!W351),N(U351)+1,1))</f>
        <v/>
      </c>
      <c r="W351" s="6">
        <f>IF(OR(原始資料!$A351="",22&gt;設定!$B$3,原始資料!Y351=""),"",IF(AND(原始資料!X351&lt;&gt;"",原始資料!Y351=原始資料!X351),N(V351)+1,1))</f>
        <v/>
      </c>
      <c r="X351" s="6">
        <f>IF(OR(原始資料!$A351="",23&gt;設定!$B$3,原始資料!Z351=""),"",IF(AND(原始資料!Y351&lt;&gt;"",原始資料!Z351=原始資料!Y351),N(W351)+1,1))</f>
        <v/>
      </c>
      <c r="Y351" s="6">
        <f>IF(OR(原始資料!$A351="",24&gt;設定!$B$3,原始資料!AA351=""),"",IF(AND(原始資料!Z351&lt;&gt;"",原始資料!AA351=原始資料!Z351),N(X351)+1,1))</f>
        <v/>
      </c>
      <c r="Z351" s="6">
        <f>IF(OR(原始資料!$A351="",25&gt;設定!$B$3,原始資料!AB351=""),"",IF(AND(原始資料!AA351&lt;&gt;"",原始資料!AB351=原始資料!AA351),N(Y351)+1,1))</f>
        <v/>
      </c>
      <c r="AA351" s="6">
        <f>IF(OR(原始資料!$A351="",26&gt;設定!$B$3,原始資料!AC351=""),"",IF(AND(原始資料!AB351&lt;&gt;"",原始資料!AC351=原始資料!AB351),N(Z351)+1,1))</f>
        <v/>
      </c>
      <c r="AB351" s="6">
        <f>IF(OR(原始資料!$A351="",27&gt;設定!$B$3,原始資料!AD351=""),"",IF(AND(原始資料!AC351&lt;&gt;"",原始資料!AD351=原始資料!AC351),N(AA351)+1,1))</f>
        <v/>
      </c>
      <c r="AC351" s="6">
        <f>IF(OR(原始資料!$A351="",28&gt;設定!$B$3,原始資料!AE351=""),"",IF(AND(原始資料!AD351&lt;&gt;"",原始資料!AE351=原始資料!AD351),N(AB351)+1,1))</f>
        <v/>
      </c>
      <c r="AD351" s="6">
        <f>IF(OR(原始資料!$A351="",29&gt;設定!$B$3,原始資料!AF351=""),"",IF(AND(原始資料!AE351&lt;&gt;"",原始資料!AF351=原始資料!AE351),N(AC351)+1,1))</f>
        <v/>
      </c>
      <c r="AE351" s="6">
        <f>IF(OR(原始資料!$A351="",30&gt;設定!$B$3,原始資料!AG351=""),"",IF(AND(原始資料!AF351&lt;&gt;"",原始資料!AG351=原始資料!AF351),N(AD351)+1,1))</f>
        <v/>
      </c>
      <c r="AF351" s="6">
        <f>IF(OR(原始資料!$A351="",31&gt;設定!$B$3,原始資料!AH351=""),"",IF(AND(原始資料!AG351&lt;&gt;"",原始資料!AH351=原始資料!AG351),N(AE351)+1,1))</f>
        <v/>
      </c>
      <c r="AG351" s="6">
        <f>IF(OR(原始資料!$A351="",32&gt;設定!$B$3,原始資料!AI351=""),"",IF(AND(原始資料!AH351&lt;&gt;"",原始資料!AI351=原始資料!AH351),N(AF351)+1,1))</f>
        <v/>
      </c>
      <c r="AH351" s="6">
        <f>IF(OR(原始資料!$A351="",33&gt;設定!$B$3,原始資料!AJ351=""),"",IF(AND(原始資料!AI351&lt;&gt;"",原始資料!AJ351=原始資料!AI351),N(AG351)+1,1))</f>
        <v/>
      </c>
      <c r="AI351" s="6">
        <f>IF(OR(原始資料!$A351="",34&gt;設定!$B$3,原始資料!AK351=""),"",IF(AND(原始資料!AJ351&lt;&gt;"",原始資料!AK351=原始資料!AJ351),N(AH351)+1,1))</f>
        <v/>
      </c>
      <c r="AJ351" s="6">
        <f>IF(OR(原始資料!$A351="",35&gt;設定!$B$3,原始資料!AL351=""),"",IF(AND(原始資料!AK351&lt;&gt;"",原始資料!AL351=原始資料!AK351),N(AI351)+1,1))</f>
        <v/>
      </c>
      <c r="AK351" s="6">
        <f>IF(OR(原始資料!$A351="",36&gt;設定!$B$3,原始資料!AM351=""),"",IF(AND(原始資料!AL351&lt;&gt;"",原始資料!AM351=原始資料!AL351),N(AJ351)+1,1))</f>
        <v/>
      </c>
      <c r="AL351" s="6">
        <f>IF(OR(原始資料!$A351="",37&gt;設定!$B$3,原始資料!AN351=""),"",IF(AND(原始資料!AM351&lt;&gt;"",原始資料!AN351=原始資料!AM351),N(AK351)+1,1))</f>
        <v/>
      </c>
      <c r="AM351" s="6">
        <f>IF(OR(原始資料!$A351="",38&gt;設定!$B$3,原始資料!AO351=""),"",IF(AND(原始資料!AN351&lt;&gt;"",原始資料!AO351=原始資料!AN351),N(AL351)+1,1))</f>
        <v/>
      </c>
      <c r="AN351" s="6">
        <f>IF(OR(原始資料!$A351="",39&gt;設定!$B$3,原始資料!AP351=""),"",IF(AND(原始資料!AO351&lt;&gt;"",原始資料!AP351=原始資料!AO351),N(AM351)+1,1))</f>
        <v/>
      </c>
      <c r="AO351" s="6">
        <f>IF(OR(原始資料!$A351="",40&gt;設定!$B$3,原始資料!AQ351=""),"",IF(AND(原始資料!AP351&lt;&gt;"",原始資料!AQ351=原始資料!AP351),N(AN351)+1,1))</f>
        <v/>
      </c>
      <c r="AP351" s="6">
        <f>IF(OR(原始資料!$A351="",41&gt;設定!$B$3,原始資料!AR351=""),"",IF(AND(原始資料!AQ351&lt;&gt;"",原始資料!AR351=原始資料!AQ351),N(AO351)+1,1))</f>
        <v/>
      </c>
      <c r="AQ351" s="6">
        <f>IF(OR(原始資料!$A351="",42&gt;設定!$B$3,原始資料!AS351=""),"",IF(AND(原始資料!AR351&lt;&gt;"",原始資料!AS351=原始資料!AR351),N(AP351)+1,1))</f>
        <v/>
      </c>
      <c r="AR351" s="6">
        <f>IF(OR(原始資料!$A351="",43&gt;設定!$B$3,原始資料!AT351=""),"",IF(AND(原始資料!AS351&lt;&gt;"",原始資料!AT351=原始資料!AS351),N(AQ351)+1,1))</f>
        <v/>
      </c>
      <c r="AS351" s="6">
        <f>IF(OR(原始資料!$A351="",44&gt;設定!$B$3,原始資料!AU351=""),"",IF(AND(原始資料!AT351&lt;&gt;"",原始資料!AU351=原始資料!AT351),N(AR351)+1,1))</f>
        <v/>
      </c>
      <c r="AT351" s="6">
        <f>IF(OR(原始資料!$A351="",45&gt;設定!$B$3,原始資料!AV351=""),"",IF(AND(原始資料!AU351&lt;&gt;"",原始資料!AV351=原始資料!AU351),N(AS351)+1,1))</f>
        <v/>
      </c>
      <c r="AU351" s="6">
        <f>IF(OR(原始資料!$A351="",46&gt;設定!$B$3,原始資料!AW351=""),"",IF(AND(原始資料!AV351&lt;&gt;"",原始資料!AW351=原始資料!AV351),N(AT351)+1,1))</f>
        <v/>
      </c>
      <c r="AV351" s="6">
        <f>IF(OR(原始資料!$A351="",47&gt;設定!$B$3,原始資料!AX351=""),"",IF(AND(原始資料!AW351&lt;&gt;"",原始資料!AX351=原始資料!AW351),N(AU351)+1,1))</f>
        <v/>
      </c>
      <c r="AW351" s="6">
        <f>IF(OR(原始資料!$A351="",48&gt;設定!$B$3,原始資料!AY351=""),"",IF(AND(原始資料!AX351&lt;&gt;"",原始資料!AY351=原始資料!AX351),N(AV351)+1,1))</f>
        <v/>
      </c>
      <c r="AX351" s="6">
        <f>IF(OR(原始資料!$A351="",49&gt;設定!$B$3,原始資料!AZ351=""),"",IF(AND(原始資料!AY351&lt;&gt;"",原始資料!AZ351=原始資料!AY351),N(AW351)+1,1))</f>
        <v/>
      </c>
      <c r="AY351" s="6">
        <f>IF(OR(原始資料!$A351="",50&gt;設定!$B$3,原始資料!BA351=""),"",IF(AND(原始資料!AZ351&lt;&gt;"",原始資料!BA351=原始資料!AZ351),N(AX351)+1,1))</f>
        <v/>
      </c>
      <c r="AZ351" s="6">
        <f>IF(OR(原始資料!$A351="",51&gt;設定!$B$3,原始資料!BB351=""),"",IF(AND(原始資料!BA351&lt;&gt;"",原始資料!BB351=原始資料!BA351),N(AY351)+1,1))</f>
        <v/>
      </c>
      <c r="BA351" s="6">
        <f>IF(OR(原始資料!$A351="",52&gt;設定!$B$3,原始資料!BC351=""),"",IF(AND(原始資料!BB351&lt;&gt;"",原始資料!BC351=原始資料!BB351),N(AZ351)+1,1))</f>
        <v/>
      </c>
      <c r="BB351" s="6">
        <f>IF(OR(原始資料!$A351="",53&gt;設定!$B$3,原始資料!BD351=""),"",IF(AND(原始資料!BC351&lt;&gt;"",原始資料!BD351=原始資料!BC351),N(BA351)+1,1))</f>
        <v/>
      </c>
      <c r="BC351" s="6">
        <f>IF(OR(原始資料!$A351="",54&gt;設定!$B$3,原始資料!BE351=""),"",IF(AND(原始資料!BD351&lt;&gt;"",原始資料!BE351=原始資料!BD351),N(BB351)+1,1))</f>
        <v/>
      </c>
      <c r="BD351" s="6">
        <f>IF(OR(原始資料!$A351="",55&gt;設定!$B$3,原始資料!BF351=""),"",IF(AND(原始資料!BE351&lt;&gt;"",原始資料!BF351=原始資料!BE351),N(BC351)+1,1))</f>
        <v/>
      </c>
      <c r="BE351" s="6">
        <f>IF(OR(原始資料!$A351="",56&gt;設定!$B$3,原始資料!BG351=""),"",IF(AND(原始資料!BF351&lt;&gt;"",原始資料!BG351=原始資料!BF351),N(BD351)+1,1))</f>
        <v/>
      </c>
      <c r="BF351" s="6">
        <f>IF(OR(原始資料!$A351="",57&gt;設定!$B$3,原始資料!BH351=""),"",IF(AND(原始資料!BG351&lt;&gt;"",原始資料!BH351=原始資料!BG351),N(BE351)+1,1))</f>
        <v/>
      </c>
      <c r="BG351" s="6">
        <f>IF(OR(原始資料!$A351="",58&gt;設定!$B$3,原始資料!BI351=""),"",IF(AND(原始資料!BH351&lt;&gt;"",原始資料!BI351=原始資料!BH351),N(BF351)+1,1))</f>
        <v/>
      </c>
      <c r="BH351" s="6">
        <f>IF(OR(原始資料!$A351="",59&gt;設定!$B$3,原始資料!BJ351=""),"",IF(AND(原始資料!BI351&lt;&gt;"",原始資料!BJ351=原始資料!BI351),N(BG351)+1,1))</f>
        <v/>
      </c>
      <c r="BI351" s="6">
        <f>IF(OR(原始資料!$A351="",60&gt;設定!$B$3,原始資料!BK351=""),"",IF(AND(原始資料!BJ351&lt;&gt;"",原始資料!BK351=原始資料!BJ351),N(BH351)+1,1))</f>
        <v/>
      </c>
    </row>
    <row r="352">
      <c r="A352" s="6">
        <f>IF(原始資料!$A352="","",原始資料!$A352)</f>
        <v/>
      </c>
      <c r="B352" s="6">
        <f>IF(OR(原始資料!$A352="",1&gt;設定!$B$3,原始資料!D352=""),"",1)</f>
        <v/>
      </c>
      <c r="C352" s="6">
        <f>IF(OR(原始資料!$A352="",2&gt;設定!$B$3,原始資料!E352=""),"",IF(AND(原始資料!D352&lt;&gt;"",原始資料!E352=原始資料!D352),N(B352)+1,1))</f>
        <v/>
      </c>
      <c r="D352" s="6">
        <f>IF(OR(原始資料!$A352="",3&gt;設定!$B$3,原始資料!F352=""),"",IF(AND(原始資料!E352&lt;&gt;"",原始資料!F352=原始資料!E352),N(C352)+1,1))</f>
        <v/>
      </c>
      <c r="E352" s="6">
        <f>IF(OR(原始資料!$A352="",4&gt;設定!$B$3,原始資料!G352=""),"",IF(AND(原始資料!F352&lt;&gt;"",原始資料!G352=原始資料!F352),N(D352)+1,1))</f>
        <v/>
      </c>
      <c r="F352" s="6">
        <f>IF(OR(原始資料!$A352="",5&gt;設定!$B$3,原始資料!H352=""),"",IF(AND(原始資料!G352&lt;&gt;"",原始資料!H352=原始資料!G352),N(E352)+1,1))</f>
        <v/>
      </c>
      <c r="G352" s="6">
        <f>IF(OR(原始資料!$A352="",6&gt;設定!$B$3,原始資料!I352=""),"",IF(AND(原始資料!H352&lt;&gt;"",原始資料!I352=原始資料!H352),N(F352)+1,1))</f>
        <v/>
      </c>
      <c r="H352" s="6">
        <f>IF(OR(原始資料!$A352="",7&gt;設定!$B$3,原始資料!J352=""),"",IF(AND(原始資料!I352&lt;&gt;"",原始資料!J352=原始資料!I352),N(G352)+1,1))</f>
        <v/>
      </c>
      <c r="I352" s="6">
        <f>IF(OR(原始資料!$A352="",8&gt;設定!$B$3,原始資料!K352=""),"",IF(AND(原始資料!J352&lt;&gt;"",原始資料!K352=原始資料!J352),N(H352)+1,1))</f>
        <v/>
      </c>
      <c r="J352" s="6">
        <f>IF(OR(原始資料!$A352="",9&gt;設定!$B$3,原始資料!L352=""),"",IF(AND(原始資料!K352&lt;&gt;"",原始資料!L352=原始資料!K352),N(I352)+1,1))</f>
        <v/>
      </c>
      <c r="K352" s="6">
        <f>IF(OR(原始資料!$A352="",10&gt;設定!$B$3,原始資料!M352=""),"",IF(AND(原始資料!L352&lt;&gt;"",原始資料!M352=原始資料!L352),N(J352)+1,1))</f>
        <v/>
      </c>
      <c r="L352" s="6">
        <f>IF(OR(原始資料!$A352="",11&gt;設定!$B$3,原始資料!N352=""),"",IF(AND(原始資料!M352&lt;&gt;"",原始資料!N352=原始資料!M352),N(K352)+1,1))</f>
        <v/>
      </c>
      <c r="M352" s="6">
        <f>IF(OR(原始資料!$A352="",12&gt;設定!$B$3,原始資料!O352=""),"",IF(AND(原始資料!N352&lt;&gt;"",原始資料!O352=原始資料!N352),N(L352)+1,1))</f>
        <v/>
      </c>
      <c r="N352" s="6">
        <f>IF(OR(原始資料!$A352="",13&gt;設定!$B$3,原始資料!P352=""),"",IF(AND(原始資料!O352&lt;&gt;"",原始資料!P352=原始資料!O352),N(M352)+1,1))</f>
        <v/>
      </c>
      <c r="O352" s="6">
        <f>IF(OR(原始資料!$A352="",14&gt;設定!$B$3,原始資料!Q352=""),"",IF(AND(原始資料!P352&lt;&gt;"",原始資料!Q352=原始資料!P352),N(N352)+1,1))</f>
        <v/>
      </c>
      <c r="P352" s="6">
        <f>IF(OR(原始資料!$A352="",15&gt;設定!$B$3,原始資料!R352=""),"",IF(AND(原始資料!Q352&lt;&gt;"",原始資料!R352=原始資料!Q352),N(O352)+1,1))</f>
        <v/>
      </c>
      <c r="Q352" s="6">
        <f>IF(OR(原始資料!$A352="",16&gt;設定!$B$3,原始資料!S352=""),"",IF(AND(原始資料!R352&lt;&gt;"",原始資料!S352=原始資料!R352),N(P352)+1,1))</f>
        <v/>
      </c>
      <c r="R352" s="6">
        <f>IF(OR(原始資料!$A352="",17&gt;設定!$B$3,原始資料!T352=""),"",IF(AND(原始資料!S352&lt;&gt;"",原始資料!T352=原始資料!S352),N(Q352)+1,1))</f>
        <v/>
      </c>
      <c r="S352" s="6">
        <f>IF(OR(原始資料!$A352="",18&gt;設定!$B$3,原始資料!U352=""),"",IF(AND(原始資料!T352&lt;&gt;"",原始資料!U352=原始資料!T352),N(R352)+1,1))</f>
        <v/>
      </c>
      <c r="T352" s="6">
        <f>IF(OR(原始資料!$A352="",19&gt;設定!$B$3,原始資料!V352=""),"",IF(AND(原始資料!U352&lt;&gt;"",原始資料!V352=原始資料!U352),N(S352)+1,1))</f>
        <v/>
      </c>
      <c r="U352" s="6">
        <f>IF(OR(原始資料!$A352="",20&gt;設定!$B$3,原始資料!W352=""),"",IF(AND(原始資料!V352&lt;&gt;"",原始資料!W352=原始資料!V352),N(T352)+1,1))</f>
        <v/>
      </c>
      <c r="V352" s="6">
        <f>IF(OR(原始資料!$A352="",21&gt;設定!$B$3,原始資料!X352=""),"",IF(AND(原始資料!W352&lt;&gt;"",原始資料!X352=原始資料!W352),N(U352)+1,1))</f>
        <v/>
      </c>
      <c r="W352" s="6">
        <f>IF(OR(原始資料!$A352="",22&gt;設定!$B$3,原始資料!Y352=""),"",IF(AND(原始資料!X352&lt;&gt;"",原始資料!Y352=原始資料!X352),N(V352)+1,1))</f>
        <v/>
      </c>
      <c r="X352" s="6">
        <f>IF(OR(原始資料!$A352="",23&gt;設定!$B$3,原始資料!Z352=""),"",IF(AND(原始資料!Y352&lt;&gt;"",原始資料!Z352=原始資料!Y352),N(W352)+1,1))</f>
        <v/>
      </c>
      <c r="Y352" s="6">
        <f>IF(OR(原始資料!$A352="",24&gt;設定!$B$3,原始資料!AA352=""),"",IF(AND(原始資料!Z352&lt;&gt;"",原始資料!AA352=原始資料!Z352),N(X352)+1,1))</f>
        <v/>
      </c>
      <c r="Z352" s="6">
        <f>IF(OR(原始資料!$A352="",25&gt;設定!$B$3,原始資料!AB352=""),"",IF(AND(原始資料!AA352&lt;&gt;"",原始資料!AB352=原始資料!AA352),N(Y352)+1,1))</f>
        <v/>
      </c>
      <c r="AA352" s="6">
        <f>IF(OR(原始資料!$A352="",26&gt;設定!$B$3,原始資料!AC352=""),"",IF(AND(原始資料!AB352&lt;&gt;"",原始資料!AC352=原始資料!AB352),N(Z352)+1,1))</f>
        <v/>
      </c>
      <c r="AB352" s="6">
        <f>IF(OR(原始資料!$A352="",27&gt;設定!$B$3,原始資料!AD352=""),"",IF(AND(原始資料!AC352&lt;&gt;"",原始資料!AD352=原始資料!AC352),N(AA352)+1,1))</f>
        <v/>
      </c>
      <c r="AC352" s="6">
        <f>IF(OR(原始資料!$A352="",28&gt;設定!$B$3,原始資料!AE352=""),"",IF(AND(原始資料!AD352&lt;&gt;"",原始資料!AE352=原始資料!AD352),N(AB352)+1,1))</f>
        <v/>
      </c>
      <c r="AD352" s="6">
        <f>IF(OR(原始資料!$A352="",29&gt;設定!$B$3,原始資料!AF352=""),"",IF(AND(原始資料!AE352&lt;&gt;"",原始資料!AF352=原始資料!AE352),N(AC352)+1,1))</f>
        <v/>
      </c>
      <c r="AE352" s="6">
        <f>IF(OR(原始資料!$A352="",30&gt;設定!$B$3,原始資料!AG352=""),"",IF(AND(原始資料!AF352&lt;&gt;"",原始資料!AG352=原始資料!AF352),N(AD352)+1,1))</f>
        <v/>
      </c>
      <c r="AF352" s="6">
        <f>IF(OR(原始資料!$A352="",31&gt;設定!$B$3,原始資料!AH352=""),"",IF(AND(原始資料!AG352&lt;&gt;"",原始資料!AH352=原始資料!AG352),N(AE352)+1,1))</f>
        <v/>
      </c>
      <c r="AG352" s="6">
        <f>IF(OR(原始資料!$A352="",32&gt;設定!$B$3,原始資料!AI352=""),"",IF(AND(原始資料!AH352&lt;&gt;"",原始資料!AI352=原始資料!AH352),N(AF352)+1,1))</f>
        <v/>
      </c>
      <c r="AH352" s="6">
        <f>IF(OR(原始資料!$A352="",33&gt;設定!$B$3,原始資料!AJ352=""),"",IF(AND(原始資料!AI352&lt;&gt;"",原始資料!AJ352=原始資料!AI352),N(AG352)+1,1))</f>
        <v/>
      </c>
      <c r="AI352" s="6">
        <f>IF(OR(原始資料!$A352="",34&gt;設定!$B$3,原始資料!AK352=""),"",IF(AND(原始資料!AJ352&lt;&gt;"",原始資料!AK352=原始資料!AJ352),N(AH352)+1,1))</f>
        <v/>
      </c>
      <c r="AJ352" s="6">
        <f>IF(OR(原始資料!$A352="",35&gt;設定!$B$3,原始資料!AL352=""),"",IF(AND(原始資料!AK352&lt;&gt;"",原始資料!AL352=原始資料!AK352),N(AI352)+1,1))</f>
        <v/>
      </c>
      <c r="AK352" s="6">
        <f>IF(OR(原始資料!$A352="",36&gt;設定!$B$3,原始資料!AM352=""),"",IF(AND(原始資料!AL352&lt;&gt;"",原始資料!AM352=原始資料!AL352),N(AJ352)+1,1))</f>
        <v/>
      </c>
      <c r="AL352" s="6">
        <f>IF(OR(原始資料!$A352="",37&gt;設定!$B$3,原始資料!AN352=""),"",IF(AND(原始資料!AM352&lt;&gt;"",原始資料!AN352=原始資料!AM352),N(AK352)+1,1))</f>
        <v/>
      </c>
      <c r="AM352" s="6">
        <f>IF(OR(原始資料!$A352="",38&gt;設定!$B$3,原始資料!AO352=""),"",IF(AND(原始資料!AN352&lt;&gt;"",原始資料!AO352=原始資料!AN352),N(AL352)+1,1))</f>
        <v/>
      </c>
      <c r="AN352" s="6">
        <f>IF(OR(原始資料!$A352="",39&gt;設定!$B$3,原始資料!AP352=""),"",IF(AND(原始資料!AO352&lt;&gt;"",原始資料!AP352=原始資料!AO352),N(AM352)+1,1))</f>
        <v/>
      </c>
      <c r="AO352" s="6">
        <f>IF(OR(原始資料!$A352="",40&gt;設定!$B$3,原始資料!AQ352=""),"",IF(AND(原始資料!AP352&lt;&gt;"",原始資料!AQ352=原始資料!AP352),N(AN352)+1,1))</f>
        <v/>
      </c>
      <c r="AP352" s="6">
        <f>IF(OR(原始資料!$A352="",41&gt;設定!$B$3,原始資料!AR352=""),"",IF(AND(原始資料!AQ352&lt;&gt;"",原始資料!AR352=原始資料!AQ352),N(AO352)+1,1))</f>
        <v/>
      </c>
      <c r="AQ352" s="6">
        <f>IF(OR(原始資料!$A352="",42&gt;設定!$B$3,原始資料!AS352=""),"",IF(AND(原始資料!AR352&lt;&gt;"",原始資料!AS352=原始資料!AR352),N(AP352)+1,1))</f>
        <v/>
      </c>
      <c r="AR352" s="6">
        <f>IF(OR(原始資料!$A352="",43&gt;設定!$B$3,原始資料!AT352=""),"",IF(AND(原始資料!AS352&lt;&gt;"",原始資料!AT352=原始資料!AS352),N(AQ352)+1,1))</f>
        <v/>
      </c>
      <c r="AS352" s="6">
        <f>IF(OR(原始資料!$A352="",44&gt;設定!$B$3,原始資料!AU352=""),"",IF(AND(原始資料!AT352&lt;&gt;"",原始資料!AU352=原始資料!AT352),N(AR352)+1,1))</f>
        <v/>
      </c>
      <c r="AT352" s="6">
        <f>IF(OR(原始資料!$A352="",45&gt;設定!$B$3,原始資料!AV352=""),"",IF(AND(原始資料!AU352&lt;&gt;"",原始資料!AV352=原始資料!AU352),N(AS352)+1,1))</f>
        <v/>
      </c>
      <c r="AU352" s="6">
        <f>IF(OR(原始資料!$A352="",46&gt;設定!$B$3,原始資料!AW352=""),"",IF(AND(原始資料!AV352&lt;&gt;"",原始資料!AW352=原始資料!AV352),N(AT352)+1,1))</f>
        <v/>
      </c>
      <c r="AV352" s="6">
        <f>IF(OR(原始資料!$A352="",47&gt;設定!$B$3,原始資料!AX352=""),"",IF(AND(原始資料!AW352&lt;&gt;"",原始資料!AX352=原始資料!AW352),N(AU352)+1,1))</f>
        <v/>
      </c>
      <c r="AW352" s="6">
        <f>IF(OR(原始資料!$A352="",48&gt;設定!$B$3,原始資料!AY352=""),"",IF(AND(原始資料!AX352&lt;&gt;"",原始資料!AY352=原始資料!AX352),N(AV352)+1,1))</f>
        <v/>
      </c>
      <c r="AX352" s="6">
        <f>IF(OR(原始資料!$A352="",49&gt;設定!$B$3,原始資料!AZ352=""),"",IF(AND(原始資料!AY352&lt;&gt;"",原始資料!AZ352=原始資料!AY352),N(AW352)+1,1))</f>
        <v/>
      </c>
      <c r="AY352" s="6">
        <f>IF(OR(原始資料!$A352="",50&gt;設定!$B$3,原始資料!BA352=""),"",IF(AND(原始資料!AZ352&lt;&gt;"",原始資料!BA352=原始資料!AZ352),N(AX352)+1,1))</f>
        <v/>
      </c>
      <c r="AZ352" s="6">
        <f>IF(OR(原始資料!$A352="",51&gt;設定!$B$3,原始資料!BB352=""),"",IF(AND(原始資料!BA352&lt;&gt;"",原始資料!BB352=原始資料!BA352),N(AY352)+1,1))</f>
        <v/>
      </c>
      <c r="BA352" s="6">
        <f>IF(OR(原始資料!$A352="",52&gt;設定!$B$3,原始資料!BC352=""),"",IF(AND(原始資料!BB352&lt;&gt;"",原始資料!BC352=原始資料!BB352),N(AZ352)+1,1))</f>
        <v/>
      </c>
      <c r="BB352" s="6">
        <f>IF(OR(原始資料!$A352="",53&gt;設定!$B$3,原始資料!BD352=""),"",IF(AND(原始資料!BC352&lt;&gt;"",原始資料!BD352=原始資料!BC352),N(BA352)+1,1))</f>
        <v/>
      </c>
      <c r="BC352" s="6">
        <f>IF(OR(原始資料!$A352="",54&gt;設定!$B$3,原始資料!BE352=""),"",IF(AND(原始資料!BD352&lt;&gt;"",原始資料!BE352=原始資料!BD352),N(BB352)+1,1))</f>
        <v/>
      </c>
      <c r="BD352" s="6">
        <f>IF(OR(原始資料!$A352="",55&gt;設定!$B$3,原始資料!BF352=""),"",IF(AND(原始資料!BE352&lt;&gt;"",原始資料!BF352=原始資料!BE352),N(BC352)+1,1))</f>
        <v/>
      </c>
      <c r="BE352" s="6">
        <f>IF(OR(原始資料!$A352="",56&gt;設定!$B$3,原始資料!BG352=""),"",IF(AND(原始資料!BF352&lt;&gt;"",原始資料!BG352=原始資料!BF352),N(BD352)+1,1))</f>
        <v/>
      </c>
      <c r="BF352" s="6">
        <f>IF(OR(原始資料!$A352="",57&gt;設定!$B$3,原始資料!BH352=""),"",IF(AND(原始資料!BG352&lt;&gt;"",原始資料!BH352=原始資料!BG352),N(BE352)+1,1))</f>
        <v/>
      </c>
      <c r="BG352" s="6">
        <f>IF(OR(原始資料!$A352="",58&gt;設定!$B$3,原始資料!BI352=""),"",IF(AND(原始資料!BH352&lt;&gt;"",原始資料!BI352=原始資料!BH352),N(BF352)+1,1))</f>
        <v/>
      </c>
      <c r="BH352" s="6">
        <f>IF(OR(原始資料!$A352="",59&gt;設定!$B$3,原始資料!BJ352=""),"",IF(AND(原始資料!BI352&lt;&gt;"",原始資料!BJ352=原始資料!BI352),N(BG352)+1,1))</f>
        <v/>
      </c>
      <c r="BI352" s="6">
        <f>IF(OR(原始資料!$A352="",60&gt;設定!$B$3,原始資料!BK352=""),"",IF(AND(原始資料!BJ352&lt;&gt;"",原始資料!BK352=原始資料!BJ352),N(BH352)+1,1))</f>
        <v/>
      </c>
    </row>
    <row r="353">
      <c r="A353" s="6">
        <f>IF(原始資料!$A353="","",原始資料!$A353)</f>
        <v/>
      </c>
      <c r="B353" s="6">
        <f>IF(OR(原始資料!$A353="",1&gt;設定!$B$3,原始資料!D353=""),"",1)</f>
        <v/>
      </c>
      <c r="C353" s="6">
        <f>IF(OR(原始資料!$A353="",2&gt;設定!$B$3,原始資料!E353=""),"",IF(AND(原始資料!D353&lt;&gt;"",原始資料!E353=原始資料!D353),N(B353)+1,1))</f>
        <v/>
      </c>
      <c r="D353" s="6">
        <f>IF(OR(原始資料!$A353="",3&gt;設定!$B$3,原始資料!F353=""),"",IF(AND(原始資料!E353&lt;&gt;"",原始資料!F353=原始資料!E353),N(C353)+1,1))</f>
        <v/>
      </c>
      <c r="E353" s="6">
        <f>IF(OR(原始資料!$A353="",4&gt;設定!$B$3,原始資料!G353=""),"",IF(AND(原始資料!F353&lt;&gt;"",原始資料!G353=原始資料!F353),N(D353)+1,1))</f>
        <v/>
      </c>
      <c r="F353" s="6">
        <f>IF(OR(原始資料!$A353="",5&gt;設定!$B$3,原始資料!H353=""),"",IF(AND(原始資料!G353&lt;&gt;"",原始資料!H353=原始資料!G353),N(E353)+1,1))</f>
        <v/>
      </c>
      <c r="G353" s="6">
        <f>IF(OR(原始資料!$A353="",6&gt;設定!$B$3,原始資料!I353=""),"",IF(AND(原始資料!H353&lt;&gt;"",原始資料!I353=原始資料!H353),N(F353)+1,1))</f>
        <v/>
      </c>
      <c r="H353" s="6">
        <f>IF(OR(原始資料!$A353="",7&gt;設定!$B$3,原始資料!J353=""),"",IF(AND(原始資料!I353&lt;&gt;"",原始資料!J353=原始資料!I353),N(G353)+1,1))</f>
        <v/>
      </c>
      <c r="I353" s="6">
        <f>IF(OR(原始資料!$A353="",8&gt;設定!$B$3,原始資料!K353=""),"",IF(AND(原始資料!J353&lt;&gt;"",原始資料!K353=原始資料!J353),N(H353)+1,1))</f>
        <v/>
      </c>
      <c r="J353" s="6">
        <f>IF(OR(原始資料!$A353="",9&gt;設定!$B$3,原始資料!L353=""),"",IF(AND(原始資料!K353&lt;&gt;"",原始資料!L353=原始資料!K353),N(I353)+1,1))</f>
        <v/>
      </c>
      <c r="K353" s="6">
        <f>IF(OR(原始資料!$A353="",10&gt;設定!$B$3,原始資料!M353=""),"",IF(AND(原始資料!L353&lt;&gt;"",原始資料!M353=原始資料!L353),N(J353)+1,1))</f>
        <v/>
      </c>
      <c r="L353" s="6">
        <f>IF(OR(原始資料!$A353="",11&gt;設定!$B$3,原始資料!N353=""),"",IF(AND(原始資料!M353&lt;&gt;"",原始資料!N353=原始資料!M353),N(K353)+1,1))</f>
        <v/>
      </c>
      <c r="M353" s="6">
        <f>IF(OR(原始資料!$A353="",12&gt;設定!$B$3,原始資料!O353=""),"",IF(AND(原始資料!N353&lt;&gt;"",原始資料!O353=原始資料!N353),N(L353)+1,1))</f>
        <v/>
      </c>
      <c r="N353" s="6">
        <f>IF(OR(原始資料!$A353="",13&gt;設定!$B$3,原始資料!P353=""),"",IF(AND(原始資料!O353&lt;&gt;"",原始資料!P353=原始資料!O353),N(M353)+1,1))</f>
        <v/>
      </c>
      <c r="O353" s="6">
        <f>IF(OR(原始資料!$A353="",14&gt;設定!$B$3,原始資料!Q353=""),"",IF(AND(原始資料!P353&lt;&gt;"",原始資料!Q353=原始資料!P353),N(N353)+1,1))</f>
        <v/>
      </c>
      <c r="P353" s="6">
        <f>IF(OR(原始資料!$A353="",15&gt;設定!$B$3,原始資料!R353=""),"",IF(AND(原始資料!Q353&lt;&gt;"",原始資料!R353=原始資料!Q353),N(O353)+1,1))</f>
        <v/>
      </c>
      <c r="Q353" s="6">
        <f>IF(OR(原始資料!$A353="",16&gt;設定!$B$3,原始資料!S353=""),"",IF(AND(原始資料!R353&lt;&gt;"",原始資料!S353=原始資料!R353),N(P353)+1,1))</f>
        <v/>
      </c>
      <c r="R353" s="6">
        <f>IF(OR(原始資料!$A353="",17&gt;設定!$B$3,原始資料!T353=""),"",IF(AND(原始資料!S353&lt;&gt;"",原始資料!T353=原始資料!S353),N(Q353)+1,1))</f>
        <v/>
      </c>
      <c r="S353" s="6">
        <f>IF(OR(原始資料!$A353="",18&gt;設定!$B$3,原始資料!U353=""),"",IF(AND(原始資料!T353&lt;&gt;"",原始資料!U353=原始資料!T353),N(R353)+1,1))</f>
        <v/>
      </c>
      <c r="T353" s="6">
        <f>IF(OR(原始資料!$A353="",19&gt;設定!$B$3,原始資料!V353=""),"",IF(AND(原始資料!U353&lt;&gt;"",原始資料!V353=原始資料!U353),N(S353)+1,1))</f>
        <v/>
      </c>
      <c r="U353" s="6">
        <f>IF(OR(原始資料!$A353="",20&gt;設定!$B$3,原始資料!W353=""),"",IF(AND(原始資料!V353&lt;&gt;"",原始資料!W353=原始資料!V353),N(T353)+1,1))</f>
        <v/>
      </c>
      <c r="V353" s="6">
        <f>IF(OR(原始資料!$A353="",21&gt;設定!$B$3,原始資料!X353=""),"",IF(AND(原始資料!W353&lt;&gt;"",原始資料!X353=原始資料!W353),N(U353)+1,1))</f>
        <v/>
      </c>
      <c r="W353" s="6">
        <f>IF(OR(原始資料!$A353="",22&gt;設定!$B$3,原始資料!Y353=""),"",IF(AND(原始資料!X353&lt;&gt;"",原始資料!Y353=原始資料!X353),N(V353)+1,1))</f>
        <v/>
      </c>
      <c r="X353" s="6">
        <f>IF(OR(原始資料!$A353="",23&gt;設定!$B$3,原始資料!Z353=""),"",IF(AND(原始資料!Y353&lt;&gt;"",原始資料!Z353=原始資料!Y353),N(W353)+1,1))</f>
        <v/>
      </c>
      <c r="Y353" s="6">
        <f>IF(OR(原始資料!$A353="",24&gt;設定!$B$3,原始資料!AA353=""),"",IF(AND(原始資料!Z353&lt;&gt;"",原始資料!AA353=原始資料!Z353),N(X353)+1,1))</f>
        <v/>
      </c>
      <c r="Z353" s="6">
        <f>IF(OR(原始資料!$A353="",25&gt;設定!$B$3,原始資料!AB353=""),"",IF(AND(原始資料!AA353&lt;&gt;"",原始資料!AB353=原始資料!AA353),N(Y353)+1,1))</f>
        <v/>
      </c>
      <c r="AA353" s="6">
        <f>IF(OR(原始資料!$A353="",26&gt;設定!$B$3,原始資料!AC353=""),"",IF(AND(原始資料!AB353&lt;&gt;"",原始資料!AC353=原始資料!AB353),N(Z353)+1,1))</f>
        <v/>
      </c>
      <c r="AB353" s="6">
        <f>IF(OR(原始資料!$A353="",27&gt;設定!$B$3,原始資料!AD353=""),"",IF(AND(原始資料!AC353&lt;&gt;"",原始資料!AD353=原始資料!AC353),N(AA353)+1,1))</f>
        <v/>
      </c>
      <c r="AC353" s="6">
        <f>IF(OR(原始資料!$A353="",28&gt;設定!$B$3,原始資料!AE353=""),"",IF(AND(原始資料!AD353&lt;&gt;"",原始資料!AE353=原始資料!AD353),N(AB353)+1,1))</f>
        <v/>
      </c>
      <c r="AD353" s="6">
        <f>IF(OR(原始資料!$A353="",29&gt;設定!$B$3,原始資料!AF353=""),"",IF(AND(原始資料!AE353&lt;&gt;"",原始資料!AF353=原始資料!AE353),N(AC353)+1,1))</f>
        <v/>
      </c>
      <c r="AE353" s="6">
        <f>IF(OR(原始資料!$A353="",30&gt;設定!$B$3,原始資料!AG353=""),"",IF(AND(原始資料!AF353&lt;&gt;"",原始資料!AG353=原始資料!AF353),N(AD353)+1,1))</f>
        <v/>
      </c>
      <c r="AF353" s="6">
        <f>IF(OR(原始資料!$A353="",31&gt;設定!$B$3,原始資料!AH353=""),"",IF(AND(原始資料!AG353&lt;&gt;"",原始資料!AH353=原始資料!AG353),N(AE353)+1,1))</f>
        <v/>
      </c>
      <c r="AG353" s="6">
        <f>IF(OR(原始資料!$A353="",32&gt;設定!$B$3,原始資料!AI353=""),"",IF(AND(原始資料!AH353&lt;&gt;"",原始資料!AI353=原始資料!AH353),N(AF353)+1,1))</f>
        <v/>
      </c>
      <c r="AH353" s="6">
        <f>IF(OR(原始資料!$A353="",33&gt;設定!$B$3,原始資料!AJ353=""),"",IF(AND(原始資料!AI353&lt;&gt;"",原始資料!AJ353=原始資料!AI353),N(AG353)+1,1))</f>
        <v/>
      </c>
      <c r="AI353" s="6">
        <f>IF(OR(原始資料!$A353="",34&gt;設定!$B$3,原始資料!AK353=""),"",IF(AND(原始資料!AJ353&lt;&gt;"",原始資料!AK353=原始資料!AJ353),N(AH353)+1,1))</f>
        <v/>
      </c>
      <c r="AJ353" s="6">
        <f>IF(OR(原始資料!$A353="",35&gt;設定!$B$3,原始資料!AL353=""),"",IF(AND(原始資料!AK353&lt;&gt;"",原始資料!AL353=原始資料!AK353),N(AI353)+1,1))</f>
        <v/>
      </c>
      <c r="AK353" s="6">
        <f>IF(OR(原始資料!$A353="",36&gt;設定!$B$3,原始資料!AM353=""),"",IF(AND(原始資料!AL353&lt;&gt;"",原始資料!AM353=原始資料!AL353),N(AJ353)+1,1))</f>
        <v/>
      </c>
      <c r="AL353" s="6">
        <f>IF(OR(原始資料!$A353="",37&gt;設定!$B$3,原始資料!AN353=""),"",IF(AND(原始資料!AM353&lt;&gt;"",原始資料!AN353=原始資料!AM353),N(AK353)+1,1))</f>
        <v/>
      </c>
      <c r="AM353" s="6">
        <f>IF(OR(原始資料!$A353="",38&gt;設定!$B$3,原始資料!AO353=""),"",IF(AND(原始資料!AN353&lt;&gt;"",原始資料!AO353=原始資料!AN353),N(AL353)+1,1))</f>
        <v/>
      </c>
      <c r="AN353" s="6">
        <f>IF(OR(原始資料!$A353="",39&gt;設定!$B$3,原始資料!AP353=""),"",IF(AND(原始資料!AO353&lt;&gt;"",原始資料!AP353=原始資料!AO353),N(AM353)+1,1))</f>
        <v/>
      </c>
      <c r="AO353" s="6">
        <f>IF(OR(原始資料!$A353="",40&gt;設定!$B$3,原始資料!AQ353=""),"",IF(AND(原始資料!AP353&lt;&gt;"",原始資料!AQ353=原始資料!AP353),N(AN353)+1,1))</f>
        <v/>
      </c>
      <c r="AP353" s="6">
        <f>IF(OR(原始資料!$A353="",41&gt;設定!$B$3,原始資料!AR353=""),"",IF(AND(原始資料!AQ353&lt;&gt;"",原始資料!AR353=原始資料!AQ353),N(AO353)+1,1))</f>
        <v/>
      </c>
      <c r="AQ353" s="6">
        <f>IF(OR(原始資料!$A353="",42&gt;設定!$B$3,原始資料!AS353=""),"",IF(AND(原始資料!AR353&lt;&gt;"",原始資料!AS353=原始資料!AR353),N(AP353)+1,1))</f>
        <v/>
      </c>
      <c r="AR353" s="6">
        <f>IF(OR(原始資料!$A353="",43&gt;設定!$B$3,原始資料!AT353=""),"",IF(AND(原始資料!AS353&lt;&gt;"",原始資料!AT353=原始資料!AS353),N(AQ353)+1,1))</f>
        <v/>
      </c>
      <c r="AS353" s="6">
        <f>IF(OR(原始資料!$A353="",44&gt;設定!$B$3,原始資料!AU353=""),"",IF(AND(原始資料!AT353&lt;&gt;"",原始資料!AU353=原始資料!AT353),N(AR353)+1,1))</f>
        <v/>
      </c>
      <c r="AT353" s="6">
        <f>IF(OR(原始資料!$A353="",45&gt;設定!$B$3,原始資料!AV353=""),"",IF(AND(原始資料!AU353&lt;&gt;"",原始資料!AV353=原始資料!AU353),N(AS353)+1,1))</f>
        <v/>
      </c>
      <c r="AU353" s="6">
        <f>IF(OR(原始資料!$A353="",46&gt;設定!$B$3,原始資料!AW353=""),"",IF(AND(原始資料!AV353&lt;&gt;"",原始資料!AW353=原始資料!AV353),N(AT353)+1,1))</f>
        <v/>
      </c>
      <c r="AV353" s="6">
        <f>IF(OR(原始資料!$A353="",47&gt;設定!$B$3,原始資料!AX353=""),"",IF(AND(原始資料!AW353&lt;&gt;"",原始資料!AX353=原始資料!AW353),N(AU353)+1,1))</f>
        <v/>
      </c>
      <c r="AW353" s="6">
        <f>IF(OR(原始資料!$A353="",48&gt;設定!$B$3,原始資料!AY353=""),"",IF(AND(原始資料!AX353&lt;&gt;"",原始資料!AY353=原始資料!AX353),N(AV353)+1,1))</f>
        <v/>
      </c>
      <c r="AX353" s="6">
        <f>IF(OR(原始資料!$A353="",49&gt;設定!$B$3,原始資料!AZ353=""),"",IF(AND(原始資料!AY353&lt;&gt;"",原始資料!AZ353=原始資料!AY353),N(AW353)+1,1))</f>
        <v/>
      </c>
      <c r="AY353" s="6">
        <f>IF(OR(原始資料!$A353="",50&gt;設定!$B$3,原始資料!BA353=""),"",IF(AND(原始資料!AZ353&lt;&gt;"",原始資料!BA353=原始資料!AZ353),N(AX353)+1,1))</f>
        <v/>
      </c>
      <c r="AZ353" s="6">
        <f>IF(OR(原始資料!$A353="",51&gt;設定!$B$3,原始資料!BB353=""),"",IF(AND(原始資料!BA353&lt;&gt;"",原始資料!BB353=原始資料!BA353),N(AY353)+1,1))</f>
        <v/>
      </c>
      <c r="BA353" s="6">
        <f>IF(OR(原始資料!$A353="",52&gt;設定!$B$3,原始資料!BC353=""),"",IF(AND(原始資料!BB353&lt;&gt;"",原始資料!BC353=原始資料!BB353),N(AZ353)+1,1))</f>
        <v/>
      </c>
      <c r="BB353" s="6">
        <f>IF(OR(原始資料!$A353="",53&gt;設定!$B$3,原始資料!BD353=""),"",IF(AND(原始資料!BC353&lt;&gt;"",原始資料!BD353=原始資料!BC353),N(BA353)+1,1))</f>
        <v/>
      </c>
      <c r="BC353" s="6">
        <f>IF(OR(原始資料!$A353="",54&gt;設定!$B$3,原始資料!BE353=""),"",IF(AND(原始資料!BD353&lt;&gt;"",原始資料!BE353=原始資料!BD353),N(BB353)+1,1))</f>
        <v/>
      </c>
      <c r="BD353" s="6">
        <f>IF(OR(原始資料!$A353="",55&gt;設定!$B$3,原始資料!BF353=""),"",IF(AND(原始資料!BE353&lt;&gt;"",原始資料!BF353=原始資料!BE353),N(BC353)+1,1))</f>
        <v/>
      </c>
      <c r="BE353" s="6">
        <f>IF(OR(原始資料!$A353="",56&gt;設定!$B$3,原始資料!BG353=""),"",IF(AND(原始資料!BF353&lt;&gt;"",原始資料!BG353=原始資料!BF353),N(BD353)+1,1))</f>
        <v/>
      </c>
      <c r="BF353" s="6">
        <f>IF(OR(原始資料!$A353="",57&gt;設定!$B$3,原始資料!BH353=""),"",IF(AND(原始資料!BG353&lt;&gt;"",原始資料!BH353=原始資料!BG353),N(BE353)+1,1))</f>
        <v/>
      </c>
      <c r="BG353" s="6">
        <f>IF(OR(原始資料!$A353="",58&gt;設定!$B$3,原始資料!BI353=""),"",IF(AND(原始資料!BH353&lt;&gt;"",原始資料!BI353=原始資料!BH353),N(BF353)+1,1))</f>
        <v/>
      </c>
      <c r="BH353" s="6">
        <f>IF(OR(原始資料!$A353="",59&gt;設定!$B$3,原始資料!BJ353=""),"",IF(AND(原始資料!BI353&lt;&gt;"",原始資料!BJ353=原始資料!BI353),N(BG353)+1,1))</f>
        <v/>
      </c>
      <c r="BI353" s="6">
        <f>IF(OR(原始資料!$A353="",60&gt;設定!$B$3,原始資料!BK353=""),"",IF(AND(原始資料!BJ353&lt;&gt;"",原始資料!BK353=原始資料!BJ353),N(BH353)+1,1))</f>
        <v/>
      </c>
    </row>
    <row r="354">
      <c r="A354" s="6">
        <f>IF(原始資料!$A354="","",原始資料!$A354)</f>
        <v/>
      </c>
      <c r="B354" s="6">
        <f>IF(OR(原始資料!$A354="",1&gt;設定!$B$3,原始資料!D354=""),"",1)</f>
        <v/>
      </c>
      <c r="C354" s="6">
        <f>IF(OR(原始資料!$A354="",2&gt;設定!$B$3,原始資料!E354=""),"",IF(AND(原始資料!D354&lt;&gt;"",原始資料!E354=原始資料!D354),N(B354)+1,1))</f>
        <v/>
      </c>
      <c r="D354" s="6">
        <f>IF(OR(原始資料!$A354="",3&gt;設定!$B$3,原始資料!F354=""),"",IF(AND(原始資料!E354&lt;&gt;"",原始資料!F354=原始資料!E354),N(C354)+1,1))</f>
        <v/>
      </c>
      <c r="E354" s="6">
        <f>IF(OR(原始資料!$A354="",4&gt;設定!$B$3,原始資料!G354=""),"",IF(AND(原始資料!F354&lt;&gt;"",原始資料!G354=原始資料!F354),N(D354)+1,1))</f>
        <v/>
      </c>
      <c r="F354" s="6">
        <f>IF(OR(原始資料!$A354="",5&gt;設定!$B$3,原始資料!H354=""),"",IF(AND(原始資料!G354&lt;&gt;"",原始資料!H354=原始資料!G354),N(E354)+1,1))</f>
        <v/>
      </c>
      <c r="G354" s="6">
        <f>IF(OR(原始資料!$A354="",6&gt;設定!$B$3,原始資料!I354=""),"",IF(AND(原始資料!H354&lt;&gt;"",原始資料!I354=原始資料!H354),N(F354)+1,1))</f>
        <v/>
      </c>
      <c r="H354" s="6">
        <f>IF(OR(原始資料!$A354="",7&gt;設定!$B$3,原始資料!J354=""),"",IF(AND(原始資料!I354&lt;&gt;"",原始資料!J354=原始資料!I354),N(G354)+1,1))</f>
        <v/>
      </c>
      <c r="I354" s="6">
        <f>IF(OR(原始資料!$A354="",8&gt;設定!$B$3,原始資料!K354=""),"",IF(AND(原始資料!J354&lt;&gt;"",原始資料!K354=原始資料!J354),N(H354)+1,1))</f>
        <v/>
      </c>
      <c r="J354" s="6">
        <f>IF(OR(原始資料!$A354="",9&gt;設定!$B$3,原始資料!L354=""),"",IF(AND(原始資料!K354&lt;&gt;"",原始資料!L354=原始資料!K354),N(I354)+1,1))</f>
        <v/>
      </c>
      <c r="K354" s="6">
        <f>IF(OR(原始資料!$A354="",10&gt;設定!$B$3,原始資料!M354=""),"",IF(AND(原始資料!L354&lt;&gt;"",原始資料!M354=原始資料!L354),N(J354)+1,1))</f>
        <v/>
      </c>
      <c r="L354" s="6">
        <f>IF(OR(原始資料!$A354="",11&gt;設定!$B$3,原始資料!N354=""),"",IF(AND(原始資料!M354&lt;&gt;"",原始資料!N354=原始資料!M354),N(K354)+1,1))</f>
        <v/>
      </c>
      <c r="M354" s="6">
        <f>IF(OR(原始資料!$A354="",12&gt;設定!$B$3,原始資料!O354=""),"",IF(AND(原始資料!N354&lt;&gt;"",原始資料!O354=原始資料!N354),N(L354)+1,1))</f>
        <v/>
      </c>
      <c r="N354" s="6">
        <f>IF(OR(原始資料!$A354="",13&gt;設定!$B$3,原始資料!P354=""),"",IF(AND(原始資料!O354&lt;&gt;"",原始資料!P354=原始資料!O354),N(M354)+1,1))</f>
        <v/>
      </c>
      <c r="O354" s="6">
        <f>IF(OR(原始資料!$A354="",14&gt;設定!$B$3,原始資料!Q354=""),"",IF(AND(原始資料!P354&lt;&gt;"",原始資料!Q354=原始資料!P354),N(N354)+1,1))</f>
        <v/>
      </c>
      <c r="P354" s="6">
        <f>IF(OR(原始資料!$A354="",15&gt;設定!$B$3,原始資料!R354=""),"",IF(AND(原始資料!Q354&lt;&gt;"",原始資料!R354=原始資料!Q354),N(O354)+1,1))</f>
        <v/>
      </c>
      <c r="Q354" s="6">
        <f>IF(OR(原始資料!$A354="",16&gt;設定!$B$3,原始資料!S354=""),"",IF(AND(原始資料!R354&lt;&gt;"",原始資料!S354=原始資料!R354),N(P354)+1,1))</f>
        <v/>
      </c>
      <c r="R354" s="6">
        <f>IF(OR(原始資料!$A354="",17&gt;設定!$B$3,原始資料!T354=""),"",IF(AND(原始資料!S354&lt;&gt;"",原始資料!T354=原始資料!S354),N(Q354)+1,1))</f>
        <v/>
      </c>
      <c r="S354" s="6">
        <f>IF(OR(原始資料!$A354="",18&gt;設定!$B$3,原始資料!U354=""),"",IF(AND(原始資料!T354&lt;&gt;"",原始資料!U354=原始資料!T354),N(R354)+1,1))</f>
        <v/>
      </c>
      <c r="T354" s="6">
        <f>IF(OR(原始資料!$A354="",19&gt;設定!$B$3,原始資料!V354=""),"",IF(AND(原始資料!U354&lt;&gt;"",原始資料!V354=原始資料!U354),N(S354)+1,1))</f>
        <v/>
      </c>
      <c r="U354" s="6">
        <f>IF(OR(原始資料!$A354="",20&gt;設定!$B$3,原始資料!W354=""),"",IF(AND(原始資料!V354&lt;&gt;"",原始資料!W354=原始資料!V354),N(T354)+1,1))</f>
        <v/>
      </c>
      <c r="V354" s="6">
        <f>IF(OR(原始資料!$A354="",21&gt;設定!$B$3,原始資料!X354=""),"",IF(AND(原始資料!W354&lt;&gt;"",原始資料!X354=原始資料!W354),N(U354)+1,1))</f>
        <v/>
      </c>
      <c r="W354" s="6">
        <f>IF(OR(原始資料!$A354="",22&gt;設定!$B$3,原始資料!Y354=""),"",IF(AND(原始資料!X354&lt;&gt;"",原始資料!Y354=原始資料!X354),N(V354)+1,1))</f>
        <v/>
      </c>
      <c r="X354" s="6">
        <f>IF(OR(原始資料!$A354="",23&gt;設定!$B$3,原始資料!Z354=""),"",IF(AND(原始資料!Y354&lt;&gt;"",原始資料!Z354=原始資料!Y354),N(W354)+1,1))</f>
        <v/>
      </c>
      <c r="Y354" s="6">
        <f>IF(OR(原始資料!$A354="",24&gt;設定!$B$3,原始資料!AA354=""),"",IF(AND(原始資料!Z354&lt;&gt;"",原始資料!AA354=原始資料!Z354),N(X354)+1,1))</f>
        <v/>
      </c>
      <c r="Z354" s="6">
        <f>IF(OR(原始資料!$A354="",25&gt;設定!$B$3,原始資料!AB354=""),"",IF(AND(原始資料!AA354&lt;&gt;"",原始資料!AB354=原始資料!AA354),N(Y354)+1,1))</f>
        <v/>
      </c>
      <c r="AA354" s="6">
        <f>IF(OR(原始資料!$A354="",26&gt;設定!$B$3,原始資料!AC354=""),"",IF(AND(原始資料!AB354&lt;&gt;"",原始資料!AC354=原始資料!AB354),N(Z354)+1,1))</f>
        <v/>
      </c>
      <c r="AB354" s="6">
        <f>IF(OR(原始資料!$A354="",27&gt;設定!$B$3,原始資料!AD354=""),"",IF(AND(原始資料!AC354&lt;&gt;"",原始資料!AD354=原始資料!AC354),N(AA354)+1,1))</f>
        <v/>
      </c>
      <c r="AC354" s="6">
        <f>IF(OR(原始資料!$A354="",28&gt;設定!$B$3,原始資料!AE354=""),"",IF(AND(原始資料!AD354&lt;&gt;"",原始資料!AE354=原始資料!AD354),N(AB354)+1,1))</f>
        <v/>
      </c>
      <c r="AD354" s="6">
        <f>IF(OR(原始資料!$A354="",29&gt;設定!$B$3,原始資料!AF354=""),"",IF(AND(原始資料!AE354&lt;&gt;"",原始資料!AF354=原始資料!AE354),N(AC354)+1,1))</f>
        <v/>
      </c>
      <c r="AE354" s="6">
        <f>IF(OR(原始資料!$A354="",30&gt;設定!$B$3,原始資料!AG354=""),"",IF(AND(原始資料!AF354&lt;&gt;"",原始資料!AG354=原始資料!AF354),N(AD354)+1,1))</f>
        <v/>
      </c>
      <c r="AF354" s="6">
        <f>IF(OR(原始資料!$A354="",31&gt;設定!$B$3,原始資料!AH354=""),"",IF(AND(原始資料!AG354&lt;&gt;"",原始資料!AH354=原始資料!AG354),N(AE354)+1,1))</f>
        <v/>
      </c>
      <c r="AG354" s="6">
        <f>IF(OR(原始資料!$A354="",32&gt;設定!$B$3,原始資料!AI354=""),"",IF(AND(原始資料!AH354&lt;&gt;"",原始資料!AI354=原始資料!AH354),N(AF354)+1,1))</f>
        <v/>
      </c>
      <c r="AH354" s="6">
        <f>IF(OR(原始資料!$A354="",33&gt;設定!$B$3,原始資料!AJ354=""),"",IF(AND(原始資料!AI354&lt;&gt;"",原始資料!AJ354=原始資料!AI354),N(AG354)+1,1))</f>
        <v/>
      </c>
      <c r="AI354" s="6">
        <f>IF(OR(原始資料!$A354="",34&gt;設定!$B$3,原始資料!AK354=""),"",IF(AND(原始資料!AJ354&lt;&gt;"",原始資料!AK354=原始資料!AJ354),N(AH354)+1,1))</f>
        <v/>
      </c>
      <c r="AJ354" s="6">
        <f>IF(OR(原始資料!$A354="",35&gt;設定!$B$3,原始資料!AL354=""),"",IF(AND(原始資料!AK354&lt;&gt;"",原始資料!AL354=原始資料!AK354),N(AI354)+1,1))</f>
        <v/>
      </c>
      <c r="AK354" s="6">
        <f>IF(OR(原始資料!$A354="",36&gt;設定!$B$3,原始資料!AM354=""),"",IF(AND(原始資料!AL354&lt;&gt;"",原始資料!AM354=原始資料!AL354),N(AJ354)+1,1))</f>
        <v/>
      </c>
      <c r="AL354" s="6">
        <f>IF(OR(原始資料!$A354="",37&gt;設定!$B$3,原始資料!AN354=""),"",IF(AND(原始資料!AM354&lt;&gt;"",原始資料!AN354=原始資料!AM354),N(AK354)+1,1))</f>
        <v/>
      </c>
      <c r="AM354" s="6">
        <f>IF(OR(原始資料!$A354="",38&gt;設定!$B$3,原始資料!AO354=""),"",IF(AND(原始資料!AN354&lt;&gt;"",原始資料!AO354=原始資料!AN354),N(AL354)+1,1))</f>
        <v/>
      </c>
      <c r="AN354" s="6">
        <f>IF(OR(原始資料!$A354="",39&gt;設定!$B$3,原始資料!AP354=""),"",IF(AND(原始資料!AO354&lt;&gt;"",原始資料!AP354=原始資料!AO354),N(AM354)+1,1))</f>
        <v/>
      </c>
      <c r="AO354" s="6">
        <f>IF(OR(原始資料!$A354="",40&gt;設定!$B$3,原始資料!AQ354=""),"",IF(AND(原始資料!AP354&lt;&gt;"",原始資料!AQ354=原始資料!AP354),N(AN354)+1,1))</f>
        <v/>
      </c>
      <c r="AP354" s="6">
        <f>IF(OR(原始資料!$A354="",41&gt;設定!$B$3,原始資料!AR354=""),"",IF(AND(原始資料!AQ354&lt;&gt;"",原始資料!AR354=原始資料!AQ354),N(AO354)+1,1))</f>
        <v/>
      </c>
      <c r="AQ354" s="6">
        <f>IF(OR(原始資料!$A354="",42&gt;設定!$B$3,原始資料!AS354=""),"",IF(AND(原始資料!AR354&lt;&gt;"",原始資料!AS354=原始資料!AR354),N(AP354)+1,1))</f>
        <v/>
      </c>
      <c r="AR354" s="6">
        <f>IF(OR(原始資料!$A354="",43&gt;設定!$B$3,原始資料!AT354=""),"",IF(AND(原始資料!AS354&lt;&gt;"",原始資料!AT354=原始資料!AS354),N(AQ354)+1,1))</f>
        <v/>
      </c>
      <c r="AS354" s="6">
        <f>IF(OR(原始資料!$A354="",44&gt;設定!$B$3,原始資料!AU354=""),"",IF(AND(原始資料!AT354&lt;&gt;"",原始資料!AU354=原始資料!AT354),N(AR354)+1,1))</f>
        <v/>
      </c>
      <c r="AT354" s="6">
        <f>IF(OR(原始資料!$A354="",45&gt;設定!$B$3,原始資料!AV354=""),"",IF(AND(原始資料!AU354&lt;&gt;"",原始資料!AV354=原始資料!AU354),N(AS354)+1,1))</f>
        <v/>
      </c>
      <c r="AU354" s="6">
        <f>IF(OR(原始資料!$A354="",46&gt;設定!$B$3,原始資料!AW354=""),"",IF(AND(原始資料!AV354&lt;&gt;"",原始資料!AW354=原始資料!AV354),N(AT354)+1,1))</f>
        <v/>
      </c>
      <c r="AV354" s="6">
        <f>IF(OR(原始資料!$A354="",47&gt;設定!$B$3,原始資料!AX354=""),"",IF(AND(原始資料!AW354&lt;&gt;"",原始資料!AX354=原始資料!AW354),N(AU354)+1,1))</f>
        <v/>
      </c>
      <c r="AW354" s="6">
        <f>IF(OR(原始資料!$A354="",48&gt;設定!$B$3,原始資料!AY354=""),"",IF(AND(原始資料!AX354&lt;&gt;"",原始資料!AY354=原始資料!AX354),N(AV354)+1,1))</f>
        <v/>
      </c>
      <c r="AX354" s="6">
        <f>IF(OR(原始資料!$A354="",49&gt;設定!$B$3,原始資料!AZ354=""),"",IF(AND(原始資料!AY354&lt;&gt;"",原始資料!AZ354=原始資料!AY354),N(AW354)+1,1))</f>
        <v/>
      </c>
      <c r="AY354" s="6">
        <f>IF(OR(原始資料!$A354="",50&gt;設定!$B$3,原始資料!BA354=""),"",IF(AND(原始資料!AZ354&lt;&gt;"",原始資料!BA354=原始資料!AZ354),N(AX354)+1,1))</f>
        <v/>
      </c>
      <c r="AZ354" s="6">
        <f>IF(OR(原始資料!$A354="",51&gt;設定!$B$3,原始資料!BB354=""),"",IF(AND(原始資料!BA354&lt;&gt;"",原始資料!BB354=原始資料!BA354),N(AY354)+1,1))</f>
        <v/>
      </c>
      <c r="BA354" s="6">
        <f>IF(OR(原始資料!$A354="",52&gt;設定!$B$3,原始資料!BC354=""),"",IF(AND(原始資料!BB354&lt;&gt;"",原始資料!BC354=原始資料!BB354),N(AZ354)+1,1))</f>
        <v/>
      </c>
      <c r="BB354" s="6">
        <f>IF(OR(原始資料!$A354="",53&gt;設定!$B$3,原始資料!BD354=""),"",IF(AND(原始資料!BC354&lt;&gt;"",原始資料!BD354=原始資料!BC354),N(BA354)+1,1))</f>
        <v/>
      </c>
      <c r="BC354" s="6">
        <f>IF(OR(原始資料!$A354="",54&gt;設定!$B$3,原始資料!BE354=""),"",IF(AND(原始資料!BD354&lt;&gt;"",原始資料!BE354=原始資料!BD354),N(BB354)+1,1))</f>
        <v/>
      </c>
      <c r="BD354" s="6">
        <f>IF(OR(原始資料!$A354="",55&gt;設定!$B$3,原始資料!BF354=""),"",IF(AND(原始資料!BE354&lt;&gt;"",原始資料!BF354=原始資料!BE354),N(BC354)+1,1))</f>
        <v/>
      </c>
      <c r="BE354" s="6">
        <f>IF(OR(原始資料!$A354="",56&gt;設定!$B$3,原始資料!BG354=""),"",IF(AND(原始資料!BF354&lt;&gt;"",原始資料!BG354=原始資料!BF354),N(BD354)+1,1))</f>
        <v/>
      </c>
      <c r="BF354" s="6">
        <f>IF(OR(原始資料!$A354="",57&gt;設定!$B$3,原始資料!BH354=""),"",IF(AND(原始資料!BG354&lt;&gt;"",原始資料!BH354=原始資料!BG354),N(BE354)+1,1))</f>
        <v/>
      </c>
      <c r="BG354" s="6">
        <f>IF(OR(原始資料!$A354="",58&gt;設定!$B$3,原始資料!BI354=""),"",IF(AND(原始資料!BH354&lt;&gt;"",原始資料!BI354=原始資料!BH354),N(BF354)+1,1))</f>
        <v/>
      </c>
      <c r="BH354" s="6">
        <f>IF(OR(原始資料!$A354="",59&gt;設定!$B$3,原始資料!BJ354=""),"",IF(AND(原始資料!BI354&lt;&gt;"",原始資料!BJ354=原始資料!BI354),N(BG354)+1,1))</f>
        <v/>
      </c>
      <c r="BI354" s="6">
        <f>IF(OR(原始資料!$A354="",60&gt;設定!$B$3,原始資料!BK354=""),"",IF(AND(原始資料!BJ354&lt;&gt;"",原始資料!BK354=原始資料!BJ354),N(BH354)+1,1))</f>
        <v/>
      </c>
    </row>
    <row r="355">
      <c r="A355" s="6">
        <f>IF(原始資料!$A355="","",原始資料!$A355)</f>
        <v/>
      </c>
      <c r="B355" s="6">
        <f>IF(OR(原始資料!$A355="",1&gt;設定!$B$3,原始資料!D355=""),"",1)</f>
        <v/>
      </c>
      <c r="C355" s="6">
        <f>IF(OR(原始資料!$A355="",2&gt;設定!$B$3,原始資料!E355=""),"",IF(AND(原始資料!D355&lt;&gt;"",原始資料!E355=原始資料!D355),N(B355)+1,1))</f>
        <v/>
      </c>
      <c r="D355" s="6">
        <f>IF(OR(原始資料!$A355="",3&gt;設定!$B$3,原始資料!F355=""),"",IF(AND(原始資料!E355&lt;&gt;"",原始資料!F355=原始資料!E355),N(C355)+1,1))</f>
        <v/>
      </c>
      <c r="E355" s="6">
        <f>IF(OR(原始資料!$A355="",4&gt;設定!$B$3,原始資料!G355=""),"",IF(AND(原始資料!F355&lt;&gt;"",原始資料!G355=原始資料!F355),N(D355)+1,1))</f>
        <v/>
      </c>
      <c r="F355" s="6">
        <f>IF(OR(原始資料!$A355="",5&gt;設定!$B$3,原始資料!H355=""),"",IF(AND(原始資料!G355&lt;&gt;"",原始資料!H355=原始資料!G355),N(E355)+1,1))</f>
        <v/>
      </c>
      <c r="G355" s="6">
        <f>IF(OR(原始資料!$A355="",6&gt;設定!$B$3,原始資料!I355=""),"",IF(AND(原始資料!H355&lt;&gt;"",原始資料!I355=原始資料!H355),N(F355)+1,1))</f>
        <v/>
      </c>
      <c r="H355" s="6">
        <f>IF(OR(原始資料!$A355="",7&gt;設定!$B$3,原始資料!J355=""),"",IF(AND(原始資料!I355&lt;&gt;"",原始資料!J355=原始資料!I355),N(G355)+1,1))</f>
        <v/>
      </c>
      <c r="I355" s="6">
        <f>IF(OR(原始資料!$A355="",8&gt;設定!$B$3,原始資料!K355=""),"",IF(AND(原始資料!J355&lt;&gt;"",原始資料!K355=原始資料!J355),N(H355)+1,1))</f>
        <v/>
      </c>
      <c r="J355" s="6">
        <f>IF(OR(原始資料!$A355="",9&gt;設定!$B$3,原始資料!L355=""),"",IF(AND(原始資料!K355&lt;&gt;"",原始資料!L355=原始資料!K355),N(I355)+1,1))</f>
        <v/>
      </c>
      <c r="K355" s="6">
        <f>IF(OR(原始資料!$A355="",10&gt;設定!$B$3,原始資料!M355=""),"",IF(AND(原始資料!L355&lt;&gt;"",原始資料!M355=原始資料!L355),N(J355)+1,1))</f>
        <v/>
      </c>
      <c r="L355" s="6">
        <f>IF(OR(原始資料!$A355="",11&gt;設定!$B$3,原始資料!N355=""),"",IF(AND(原始資料!M355&lt;&gt;"",原始資料!N355=原始資料!M355),N(K355)+1,1))</f>
        <v/>
      </c>
      <c r="M355" s="6">
        <f>IF(OR(原始資料!$A355="",12&gt;設定!$B$3,原始資料!O355=""),"",IF(AND(原始資料!N355&lt;&gt;"",原始資料!O355=原始資料!N355),N(L355)+1,1))</f>
        <v/>
      </c>
      <c r="N355" s="6">
        <f>IF(OR(原始資料!$A355="",13&gt;設定!$B$3,原始資料!P355=""),"",IF(AND(原始資料!O355&lt;&gt;"",原始資料!P355=原始資料!O355),N(M355)+1,1))</f>
        <v/>
      </c>
      <c r="O355" s="6">
        <f>IF(OR(原始資料!$A355="",14&gt;設定!$B$3,原始資料!Q355=""),"",IF(AND(原始資料!P355&lt;&gt;"",原始資料!Q355=原始資料!P355),N(N355)+1,1))</f>
        <v/>
      </c>
      <c r="P355" s="6">
        <f>IF(OR(原始資料!$A355="",15&gt;設定!$B$3,原始資料!R355=""),"",IF(AND(原始資料!Q355&lt;&gt;"",原始資料!R355=原始資料!Q355),N(O355)+1,1))</f>
        <v/>
      </c>
      <c r="Q355" s="6">
        <f>IF(OR(原始資料!$A355="",16&gt;設定!$B$3,原始資料!S355=""),"",IF(AND(原始資料!R355&lt;&gt;"",原始資料!S355=原始資料!R355),N(P355)+1,1))</f>
        <v/>
      </c>
      <c r="R355" s="6">
        <f>IF(OR(原始資料!$A355="",17&gt;設定!$B$3,原始資料!T355=""),"",IF(AND(原始資料!S355&lt;&gt;"",原始資料!T355=原始資料!S355),N(Q355)+1,1))</f>
        <v/>
      </c>
      <c r="S355" s="6">
        <f>IF(OR(原始資料!$A355="",18&gt;設定!$B$3,原始資料!U355=""),"",IF(AND(原始資料!T355&lt;&gt;"",原始資料!U355=原始資料!T355),N(R355)+1,1))</f>
        <v/>
      </c>
      <c r="T355" s="6">
        <f>IF(OR(原始資料!$A355="",19&gt;設定!$B$3,原始資料!V355=""),"",IF(AND(原始資料!U355&lt;&gt;"",原始資料!V355=原始資料!U355),N(S355)+1,1))</f>
        <v/>
      </c>
      <c r="U355" s="6">
        <f>IF(OR(原始資料!$A355="",20&gt;設定!$B$3,原始資料!W355=""),"",IF(AND(原始資料!V355&lt;&gt;"",原始資料!W355=原始資料!V355),N(T355)+1,1))</f>
        <v/>
      </c>
      <c r="V355" s="6">
        <f>IF(OR(原始資料!$A355="",21&gt;設定!$B$3,原始資料!X355=""),"",IF(AND(原始資料!W355&lt;&gt;"",原始資料!X355=原始資料!W355),N(U355)+1,1))</f>
        <v/>
      </c>
      <c r="W355" s="6">
        <f>IF(OR(原始資料!$A355="",22&gt;設定!$B$3,原始資料!Y355=""),"",IF(AND(原始資料!X355&lt;&gt;"",原始資料!Y355=原始資料!X355),N(V355)+1,1))</f>
        <v/>
      </c>
      <c r="X355" s="6">
        <f>IF(OR(原始資料!$A355="",23&gt;設定!$B$3,原始資料!Z355=""),"",IF(AND(原始資料!Y355&lt;&gt;"",原始資料!Z355=原始資料!Y355),N(W355)+1,1))</f>
        <v/>
      </c>
      <c r="Y355" s="6">
        <f>IF(OR(原始資料!$A355="",24&gt;設定!$B$3,原始資料!AA355=""),"",IF(AND(原始資料!Z355&lt;&gt;"",原始資料!AA355=原始資料!Z355),N(X355)+1,1))</f>
        <v/>
      </c>
      <c r="Z355" s="6">
        <f>IF(OR(原始資料!$A355="",25&gt;設定!$B$3,原始資料!AB355=""),"",IF(AND(原始資料!AA355&lt;&gt;"",原始資料!AB355=原始資料!AA355),N(Y355)+1,1))</f>
        <v/>
      </c>
      <c r="AA355" s="6">
        <f>IF(OR(原始資料!$A355="",26&gt;設定!$B$3,原始資料!AC355=""),"",IF(AND(原始資料!AB355&lt;&gt;"",原始資料!AC355=原始資料!AB355),N(Z355)+1,1))</f>
        <v/>
      </c>
      <c r="AB355" s="6">
        <f>IF(OR(原始資料!$A355="",27&gt;設定!$B$3,原始資料!AD355=""),"",IF(AND(原始資料!AC355&lt;&gt;"",原始資料!AD355=原始資料!AC355),N(AA355)+1,1))</f>
        <v/>
      </c>
      <c r="AC355" s="6">
        <f>IF(OR(原始資料!$A355="",28&gt;設定!$B$3,原始資料!AE355=""),"",IF(AND(原始資料!AD355&lt;&gt;"",原始資料!AE355=原始資料!AD355),N(AB355)+1,1))</f>
        <v/>
      </c>
      <c r="AD355" s="6">
        <f>IF(OR(原始資料!$A355="",29&gt;設定!$B$3,原始資料!AF355=""),"",IF(AND(原始資料!AE355&lt;&gt;"",原始資料!AF355=原始資料!AE355),N(AC355)+1,1))</f>
        <v/>
      </c>
      <c r="AE355" s="6">
        <f>IF(OR(原始資料!$A355="",30&gt;設定!$B$3,原始資料!AG355=""),"",IF(AND(原始資料!AF355&lt;&gt;"",原始資料!AG355=原始資料!AF355),N(AD355)+1,1))</f>
        <v/>
      </c>
      <c r="AF355" s="6">
        <f>IF(OR(原始資料!$A355="",31&gt;設定!$B$3,原始資料!AH355=""),"",IF(AND(原始資料!AG355&lt;&gt;"",原始資料!AH355=原始資料!AG355),N(AE355)+1,1))</f>
        <v/>
      </c>
      <c r="AG355" s="6">
        <f>IF(OR(原始資料!$A355="",32&gt;設定!$B$3,原始資料!AI355=""),"",IF(AND(原始資料!AH355&lt;&gt;"",原始資料!AI355=原始資料!AH355),N(AF355)+1,1))</f>
        <v/>
      </c>
      <c r="AH355" s="6">
        <f>IF(OR(原始資料!$A355="",33&gt;設定!$B$3,原始資料!AJ355=""),"",IF(AND(原始資料!AI355&lt;&gt;"",原始資料!AJ355=原始資料!AI355),N(AG355)+1,1))</f>
        <v/>
      </c>
      <c r="AI355" s="6">
        <f>IF(OR(原始資料!$A355="",34&gt;設定!$B$3,原始資料!AK355=""),"",IF(AND(原始資料!AJ355&lt;&gt;"",原始資料!AK355=原始資料!AJ355),N(AH355)+1,1))</f>
        <v/>
      </c>
      <c r="AJ355" s="6">
        <f>IF(OR(原始資料!$A355="",35&gt;設定!$B$3,原始資料!AL355=""),"",IF(AND(原始資料!AK355&lt;&gt;"",原始資料!AL355=原始資料!AK355),N(AI355)+1,1))</f>
        <v/>
      </c>
      <c r="AK355" s="6">
        <f>IF(OR(原始資料!$A355="",36&gt;設定!$B$3,原始資料!AM355=""),"",IF(AND(原始資料!AL355&lt;&gt;"",原始資料!AM355=原始資料!AL355),N(AJ355)+1,1))</f>
        <v/>
      </c>
      <c r="AL355" s="6">
        <f>IF(OR(原始資料!$A355="",37&gt;設定!$B$3,原始資料!AN355=""),"",IF(AND(原始資料!AM355&lt;&gt;"",原始資料!AN355=原始資料!AM355),N(AK355)+1,1))</f>
        <v/>
      </c>
      <c r="AM355" s="6">
        <f>IF(OR(原始資料!$A355="",38&gt;設定!$B$3,原始資料!AO355=""),"",IF(AND(原始資料!AN355&lt;&gt;"",原始資料!AO355=原始資料!AN355),N(AL355)+1,1))</f>
        <v/>
      </c>
      <c r="AN355" s="6">
        <f>IF(OR(原始資料!$A355="",39&gt;設定!$B$3,原始資料!AP355=""),"",IF(AND(原始資料!AO355&lt;&gt;"",原始資料!AP355=原始資料!AO355),N(AM355)+1,1))</f>
        <v/>
      </c>
      <c r="AO355" s="6">
        <f>IF(OR(原始資料!$A355="",40&gt;設定!$B$3,原始資料!AQ355=""),"",IF(AND(原始資料!AP355&lt;&gt;"",原始資料!AQ355=原始資料!AP355),N(AN355)+1,1))</f>
        <v/>
      </c>
      <c r="AP355" s="6">
        <f>IF(OR(原始資料!$A355="",41&gt;設定!$B$3,原始資料!AR355=""),"",IF(AND(原始資料!AQ355&lt;&gt;"",原始資料!AR355=原始資料!AQ355),N(AO355)+1,1))</f>
        <v/>
      </c>
      <c r="AQ355" s="6">
        <f>IF(OR(原始資料!$A355="",42&gt;設定!$B$3,原始資料!AS355=""),"",IF(AND(原始資料!AR355&lt;&gt;"",原始資料!AS355=原始資料!AR355),N(AP355)+1,1))</f>
        <v/>
      </c>
      <c r="AR355" s="6">
        <f>IF(OR(原始資料!$A355="",43&gt;設定!$B$3,原始資料!AT355=""),"",IF(AND(原始資料!AS355&lt;&gt;"",原始資料!AT355=原始資料!AS355),N(AQ355)+1,1))</f>
        <v/>
      </c>
      <c r="AS355" s="6">
        <f>IF(OR(原始資料!$A355="",44&gt;設定!$B$3,原始資料!AU355=""),"",IF(AND(原始資料!AT355&lt;&gt;"",原始資料!AU355=原始資料!AT355),N(AR355)+1,1))</f>
        <v/>
      </c>
      <c r="AT355" s="6">
        <f>IF(OR(原始資料!$A355="",45&gt;設定!$B$3,原始資料!AV355=""),"",IF(AND(原始資料!AU355&lt;&gt;"",原始資料!AV355=原始資料!AU355),N(AS355)+1,1))</f>
        <v/>
      </c>
      <c r="AU355" s="6">
        <f>IF(OR(原始資料!$A355="",46&gt;設定!$B$3,原始資料!AW355=""),"",IF(AND(原始資料!AV355&lt;&gt;"",原始資料!AW355=原始資料!AV355),N(AT355)+1,1))</f>
        <v/>
      </c>
      <c r="AV355" s="6">
        <f>IF(OR(原始資料!$A355="",47&gt;設定!$B$3,原始資料!AX355=""),"",IF(AND(原始資料!AW355&lt;&gt;"",原始資料!AX355=原始資料!AW355),N(AU355)+1,1))</f>
        <v/>
      </c>
      <c r="AW355" s="6">
        <f>IF(OR(原始資料!$A355="",48&gt;設定!$B$3,原始資料!AY355=""),"",IF(AND(原始資料!AX355&lt;&gt;"",原始資料!AY355=原始資料!AX355),N(AV355)+1,1))</f>
        <v/>
      </c>
      <c r="AX355" s="6">
        <f>IF(OR(原始資料!$A355="",49&gt;設定!$B$3,原始資料!AZ355=""),"",IF(AND(原始資料!AY355&lt;&gt;"",原始資料!AZ355=原始資料!AY355),N(AW355)+1,1))</f>
        <v/>
      </c>
      <c r="AY355" s="6">
        <f>IF(OR(原始資料!$A355="",50&gt;設定!$B$3,原始資料!BA355=""),"",IF(AND(原始資料!AZ355&lt;&gt;"",原始資料!BA355=原始資料!AZ355),N(AX355)+1,1))</f>
        <v/>
      </c>
      <c r="AZ355" s="6">
        <f>IF(OR(原始資料!$A355="",51&gt;設定!$B$3,原始資料!BB355=""),"",IF(AND(原始資料!BA355&lt;&gt;"",原始資料!BB355=原始資料!BA355),N(AY355)+1,1))</f>
        <v/>
      </c>
      <c r="BA355" s="6">
        <f>IF(OR(原始資料!$A355="",52&gt;設定!$B$3,原始資料!BC355=""),"",IF(AND(原始資料!BB355&lt;&gt;"",原始資料!BC355=原始資料!BB355),N(AZ355)+1,1))</f>
        <v/>
      </c>
      <c r="BB355" s="6">
        <f>IF(OR(原始資料!$A355="",53&gt;設定!$B$3,原始資料!BD355=""),"",IF(AND(原始資料!BC355&lt;&gt;"",原始資料!BD355=原始資料!BC355),N(BA355)+1,1))</f>
        <v/>
      </c>
      <c r="BC355" s="6">
        <f>IF(OR(原始資料!$A355="",54&gt;設定!$B$3,原始資料!BE355=""),"",IF(AND(原始資料!BD355&lt;&gt;"",原始資料!BE355=原始資料!BD355),N(BB355)+1,1))</f>
        <v/>
      </c>
      <c r="BD355" s="6">
        <f>IF(OR(原始資料!$A355="",55&gt;設定!$B$3,原始資料!BF355=""),"",IF(AND(原始資料!BE355&lt;&gt;"",原始資料!BF355=原始資料!BE355),N(BC355)+1,1))</f>
        <v/>
      </c>
      <c r="BE355" s="6">
        <f>IF(OR(原始資料!$A355="",56&gt;設定!$B$3,原始資料!BG355=""),"",IF(AND(原始資料!BF355&lt;&gt;"",原始資料!BG355=原始資料!BF355),N(BD355)+1,1))</f>
        <v/>
      </c>
      <c r="BF355" s="6">
        <f>IF(OR(原始資料!$A355="",57&gt;設定!$B$3,原始資料!BH355=""),"",IF(AND(原始資料!BG355&lt;&gt;"",原始資料!BH355=原始資料!BG355),N(BE355)+1,1))</f>
        <v/>
      </c>
      <c r="BG355" s="6">
        <f>IF(OR(原始資料!$A355="",58&gt;設定!$B$3,原始資料!BI355=""),"",IF(AND(原始資料!BH355&lt;&gt;"",原始資料!BI355=原始資料!BH355),N(BF355)+1,1))</f>
        <v/>
      </c>
      <c r="BH355" s="6">
        <f>IF(OR(原始資料!$A355="",59&gt;設定!$B$3,原始資料!BJ355=""),"",IF(AND(原始資料!BI355&lt;&gt;"",原始資料!BJ355=原始資料!BI355),N(BG355)+1,1))</f>
        <v/>
      </c>
      <c r="BI355" s="6">
        <f>IF(OR(原始資料!$A355="",60&gt;設定!$B$3,原始資料!BK355=""),"",IF(AND(原始資料!BJ355&lt;&gt;"",原始資料!BK355=原始資料!BJ355),N(BH355)+1,1))</f>
        <v/>
      </c>
    </row>
    <row r="356">
      <c r="A356" s="6">
        <f>IF(原始資料!$A356="","",原始資料!$A356)</f>
        <v/>
      </c>
      <c r="B356" s="6">
        <f>IF(OR(原始資料!$A356="",1&gt;設定!$B$3,原始資料!D356=""),"",1)</f>
        <v/>
      </c>
      <c r="C356" s="6">
        <f>IF(OR(原始資料!$A356="",2&gt;設定!$B$3,原始資料!E356=""),"",IF(AND(原始資料!D356&lt;&gt;"",原始資料!E356=原始資料!D356),N(B356)+1,1))</f>
        <v/>
      </c>
      <c r="D356" s="6">
        <f>IF(OR(原始資料!$A356="",3&gt;設定!$B$3,原始資料!F356=""),"",IF(AND(原始資料!E356&lt;&gt;"",原始資料!F356=原始資料!E356),N(C356)+1,1))</f>
        <v/>
      </c>
      <c r="E356" s="6">
        <f>IF(OR(原始資料!$A356="",4&gt;設定!$B$3,原始資料!G356=""),"",IF(AND(原始資料!F356&lt;&gt;"",原始資料!G356=原始資料!F356),N(D356)+1,1))</f>
        <v/>
      </c>
      <c r="F356" s="6">
        <f>IF(OR(原始資料!$A356="",5&gt;設定!$B$3,原始資料!H356=""),"",IF(AND(原始資料!G356&lt;&gt;"",原始資料!H356=原始資料!G356),N(E356)+1,1))</f>
        <v/>
      </c>
      <c r="G356" s="6">
        <f>IF(OR(原始資料!$A356="",6&gt;設定!$B$3,原始資料!I356=""),"",IF(AND(原始資料!H356&lt;&gt;"",原始資料!I356=原始資料!H356),N(F356)+1,1))</f>
        <v/>
      </c>
      <c r="H356" s="6">
        <f>IF(OR(原始資料!$A356="",7&gt;設定!$B$3,原始資料!J356=""),"",IF(AND(原始資料!I356&lt;&gt;"",原始資料!J356=原始資料!I356),N(G356)+1,1))</f>
        <v/>
      </c>
      <c r="I356" s="6">
        <f>IF(OR(原始資料!$A356="",8&gt;設定!$B$3,原始資料!K356=""),"",IF(AND(原始資料!J356&lt;&gt;"",原始資料!K356=原始資料!J356),N(H356)+1,1))</f>
        <v/>
      </c>
      <c r="J356" s="6">
        <f>IF(OR(原始資料!$A356="",9&gt;設定!$B$3,原始資料!L356=""),"",IF(AND(原始資料!K356&lt;&gt;"",原始資料!L356=原始資料!K356),N(I356)+1,1))</f>
        <v/>
      </c>
      <c r="K356" s="6">
        <f>IF(OR(原始資料!$A356="",10&gt;設定!$B$3,原始資料!M356=""),"",IF(AND(原始資料!L356&lt;&gt;"",原始資料!M356=原始資料!L356),N(J356)+1,1))</f>
        <v/>
      </c>
      <c r="L356" s="6">
        <f>IF(OR(原始資料!$A356="",11&gt;設定!$B$3,原始資料!N356=""),"",IF(AND(原始資料!M356&lt;&gt;"",原始資料!N356=原始資料!M356),N(K356)+1,1))</f>
        <v/>
      </c>
      <c r="M356" s="6">
        <f>IF(OR(原始資料!$A356="",12&gt;設定!$B$3,原始資料!O356=""),"",IF(AND(原始資料!N356&lt;&gt;"",原始資料!O356=原始資料!N356),N(L356)+1,1))</f>
        <v/>
      </c>
      <c r="N356" s="6">
        <f>IF(OR(原始資料!$A356="",13&gt;設定!$B$3,原始資料!P356=""),"",IF(AND(原始資料!O356&lt;&gt;"",原始資料!P356=原始資料!O356),N(M356)+1,1))</f>
        <v/>
      </c>
      <c r="O356" s="6">
        <f>IF(OR(原始資料!$A356="",14&gt;設定!$B$3,原始資料!Q356=""),"",IF(AND(原始資料!P356&lt;&gt;"",原始資料!Q356=原始資料!P356),N(N356)+1,1))</f>
        <v/>
      </c>
      <c r="P356" s="6">
        <f>IF(OR(原始資料!$A356="",15&gt;設定!$B$3,原始資料!R356=""),"",IF(AND(原始資料!Q356&lt;&gt;"",原始資料!R356=原始資料!Q356),N(O356)+1,1))</f>
        <v/>
      </c>
      <c r="Q356" s="6">
        <f>IF(OR(原始資料!$A356="",16&gt;設定!$B$3,原始資料!S356=""),"",IF(AND(原始資料!R356&lt;&gt;"",原始資料!S356=原始資料!R356),N(P356)+1,1))</f>
        <v/>
      </c>
      <c r="R356" s="6">
        <f>IF(OR(原始資料!$A356="",17&gt;設定!$B$3,原始資料!T356=""),"",IF(AND(原始資料!S356&lt;&gt;"",原始資料!T356=原始資料!S356),N(Q356)+1,1))</f>
        <v/>
      </c>
      <c r="S356" s="6">
        <f>IF(OR(原始資料!$A356="",18&gt;設定!$B$3,原始資料!U356=""),"",IF(AND(原始資料!T356&lt;&gt;"",原始資料!U356=原始資料!T356),N(R356)+1,1))</f>
        <v/>
      </c>
      <c r="T356" s="6">
        <f>IF(OR(原始資料!$A356="",19&gt;設定!$B$3,原始資料!V356=""),"",IF(AND(原始資料!U356&lt;&gt;"",原始資料!V356=原始資料!U356),N(S356)+1,1))</f>
        <v/>
      </c>
      <c r="U356" s="6">
        <f>IF(OR(原始資料!$A356="",20&gt;設定!$B$3,原始資料!W356=""),"",IF(AND(原始資料!V356&lt;&gt;"",原始資料!W356=原始資料!V356),N(T356)+1,1))</f>
        <v/>
      </c>
      <c r="V356" s="6">
        <f>IF(OR(原始資料!$A356="",21&gt;設定!$B$3,原始資料!X356=""),"",IF(AND(原始資料!W356&lt;&gt;"",原始資料!X356=原始資料!W356),N(U356)+1,1))</f>
        <v/>
      </c>
      <c r="W356" s="6">
        <f>IF(OR(原始資料!$A356="",22&gt;設定!$B$3,原始資料!Y356=""),"",IF(AND(原始資料!X356&lt;&gt;"",原始資料!Y356=原始資料!X356),N(V356)+1,1))</f>
        <v/>
      </c>
      <c r="X356" s="6">
        <f>IF(OR(原始資料!$A356="",23&gt;設定!$B$3,原始資料!Z356=""),"",IF(AND(原始資料!Y356&lt;&gt;"",原始資料!Z356=原始資料!Y356),N(W356)+1,1))</f>
        <v/>
      </c>
      <c r="Y356" s="6">
        <f>IF(OR(原始資料!$A356="",24&gt;設定!$B$3,原始資料!AA356=""),"",IF(AND(原始資料!Z356&lt;&gt;"",原始資料!AA356=原始資料!Z356),N(X356)+1,1))</f>
        <v/>
      </c>
      <c r="Z356" s="6">
        <f>IF(OR(原始資料!$A356="",25&gt;設定!$B$3,原始資料!AB356=""),"",IF(AND(原始資料!AA356&lt;&gt;"",原始資料!AB356=原始資料!AA356),N(Y356)+1,1))</f>
        <v/>
      </c>
      <c r="AA356" s="6">
        <f>IF(OR(原始資料!$A356="",26&gt;設定!$B$3,原始資料!AC356=""),"",IF(AND(原始資料!AB356&lt;&gt;"",原始資料!AC356=原始資料!AB356),N(Z356)+1,1))</f>
        <v/>
      </c>
      <c r="AB356" s="6">
        <f>IF(OR(原始資料!$A356="",27&gt;設定!$B$3,原始資料!AD356=""),"",IF(AND(原始資料!AC356&lt;&gt;"",原始資料!AD356=原始資料!AC356),N(AA356)+1,1))</f>
        <v/>
      </c>
      <c r="AC356" s="6">
        <f>IF(OR(原始資料!$A356="",28&gt;設定!$B$3,原始資料!AE356=""),"",IF(AND(原始資料!AD356&lt;&gt;"",原始資料!AE356=原始資料!AD356),N(AB356)+1,1))</f>
        <v/>
      </c>
      <c r="AD356" s="6">
        <f>IF(OR(原始資料!$A356="",29&gt;設定!$B$3,原始資料!AF356=""),"",IF(AND(原始資料!AE356&lt;&gt;"",原始資料!AF356=原始資料!AE356),N(AC356)+1,1))</f>
        <v/>
      </c>
      <c r="AE356" s="6">
        <f>IF(OR(原始資料!$A356="",30&gt;設定!$B$3,原始資料!AG356=""),"",IF(AND(原始資料!AF356&lt;&gt;"",原始資料!AG356=原始資料!AF356),N(AD356)+1,1))</f>
        <v/>
      </c>
      <c r="AF356" s="6">
        <f>IF(OR(原始資料!$A356="",31&gt;設定!$B$3,原始資料!AH356=""),"",IF(AND(原始資料!AG356&lt;&gt;"",原始資料!AH356=原始資料!AG356),N(AE356)+1,1))</f>
        <v/>
      </c>
      <c r="AG356" s="6">
        <f>IF(OR(原始資料!$A356="",32&gt;設定!$B$3,原始資料!AI356=""),"",IF(AND(原始資料!AH356&lt;&gt;"",原始資料!AI356=原始資料!AH356),N(AF356)+1,1))</f>
        <v/>
      </c>
      <c r="AH356" s="6">
        <f>IF(OR(原始資料!$A356="",33&gt;設定!$B$3,原始資料!AJ356=""),"",IF(AND(原始資料!AI356&lt;&gt;"",原始資料!AJ356=原始資料!AI356),N(AG356)+1,1))</f>
        <v/>
      </c>
      <c r="AI356" s="6">
        <f>IF(OR(原始資料!$A356="",34&gt;設定!$B$3,原始資料!AK356=""),"",IF(AND(原始資料!AJ356&lt;&gt;"",原始資料!AK356=原始資料!AJ356),N(AH356)+1,1))</f>
        <v/>
      </c>
      <c r="AJ356" s="6">
        <f>IF(OR(原始資料!$A356="",35&gt;設定!$B$3,原始資料!AL356=""),"",IF(AND(原始資料!AK356&lt;&gt;"",原始資料!AL356=原始資料!AK356),N(AI356)+1,1))</f>
        <v/>
      </c>
      <c r="AK356" s="6">
        <f>IF(OR(原始資料!$A356="",36&gt;設定!$B$3,原始資料!AM356=""),"",IF(AND(原始資料!AL356&lt;&gt;"",原始資料!AM356=原始資料!AL356),N(AJ356)+1,1))</f>
        <v/>
      </c>
      <c r="AL356" s="6">
        <f>IF(OR(原始資料!$A356="",37&gt;設定!$B$3,原始資料!AN356=""),"",IF(AND(原始資料!AM356&lt;&gt;"",原始資料!AN356=原始資料!AM356),N(AK356)+1,1))</f>
        <v/>
      </c>
      <c r="AM356" s="6">
        <f>IF(OR(原始資料!$A356="",38&gt;設定!$B$3,原始資料!AO356=""),"",IF(AND(原始資料!AN356&lt;&gt;"",原始資料!AO356=原始資料!AN356),N(AL356)+1,1))</f>
        <v/>
      </c>
      <c r="AN356" s="6">
        <f>IF(OR(原始資料!$A356="",39&gt;設定!$B$3,原始資料!AP356=""),"",IF(AND(原始資料!AO356&lt;&gt;"",原始資料!AP356=原始資料!AO356),N(AM356)+1,1))</f>
        <v/>
      </c>
      <c r="AO356" s="6">
        <f>IF(OR(原始資料!$A356="",40&gt;設定!$B$3,原始資料!AQ356=""),"",IF(AND(原始資料!AP356&lt;&gt;"",原始資料!AQ356=原始資料!AP356),N(AN356)+1,1))</f>
        <v/>
      </c>
      <c r="AP356" s="6">
        <f>IF(OR(原始資料!$A356="",41&gt;設定!$B$3,原始資料!AR356=""),"",IF(AND(原始資料!AQ356&lt;&gt;"",原始資料!AR356=原始資料!AQ356),N(AO356)+1,1))</f>
        <v/>
      </c>
      <c r="AQ356" s="6">
        <f>IF(OR(原始資料!$A356="",42&gt;設定!$B$3,原始資料!AS356=""),"",IF(AND(原始資料!AR356&lt;&gt;"",原始資料!AS356=原始資料!AR356),N(AP356)+1,1))</f>
        <v/>
      </c>
      <c r="AR356" s="6">
        <f>IF(OR(原始資料!$A356="",43&gt;設定!$B$3,原始資料!AT356=""),"",IF(AND(原始資料!AS356&lt;&gt;"",原始資料!AT356=原始資料!AS356),N(AQ356)+1,1))</f>
        <v/>
      </c>
      <c r="AS356" s="6">
        <f>IF(OR(原始資料!$A356="",44&gt;設定!$B$3,原始資料!AU356=""),"",IF(AND(原始資料!AT356&lt;&gt;"",原始資料!AU356=原始資料!AT356),N(AR356)+1,1))</f>
        <v/>
      </c>
      <c r="AT356" s="6">
        <f>IF(OR(原始資料!$A356="",45&gt;設定!$B$3,原始資料!AV356=""),"",IF(AND(原始資料!AU356&lt;&gt;"",原始資料!AV356=原始資料!AU356),N(AS356)+1,1))</f>
        <v/>
      </c>
      <c r="AU356" s="6">
        <f>IF(OR(原始資料!$A356="",46&gt;設定!$B$3,原始資料!AW356=""),"",IF(AND(原始資料!AV356&lt;&gt;"",原始資料!AW356=原始資料!AV356),N(AT356)+1,1))</f>
        <v/>
      </c>
      <c r="AV356" s="6">
        <f>IF(OR(原始資料!$A356="",47&gt;設定!$B$3,原始資料!AX356=""),"",IF(AND(原始資料!AW356&lt;&gt;"",原始資料!AX356=原始資料!AW356),N(AU356)+1,1))</f>
        <v/>
      </c>
      <c r="AW356" s="6">
        <f>IF(OR(原始資料!$A356="",48&gt;設定!$B$3,原始資料!AY356=""),"",IF(AND(原始資料!AX356&lt;&gt;"",原始資料!AY356=原始資料!AX356),N(AV356)+1,1))</f>
        <v/>
      </c>
      <c r="AX356" s="6">
        <f>IF(OR(原始資料!$A356="",49&gt;設定!$B$3,原始資料!AZ356=""),"",IF(AND(原始資料!AY356&lt;&gt;"",原始資料!AZ356=原始資料!AY356),N(AW356)+1,1))</f>
        <v/>
      </c>
      <c r="AY356" s="6">
        <f>IF(OR(原始資料!$A356="",50&gt;設定!$B$3,原始資料!BA356=""),"",IF(AND(原始資料!AZ356&lt;&gt;"",原始資料!BA356=原始資料!AZ356),N(AX356)+1,1))</f>
        <v/>
      </c>
      <c r="AZ356" s="6">
        <f>IF(OR(原始資料!$A356="",51&gt;設定!$B$3,原始資料!BB356=""),"",IF(AND(原始資料!BA356&lt;&gt;"",原始資料!BB356=原始資料!BA356),N(AY356)+1,1))</f>
        <v/>
      </c>
      <c r="BA356" s="6">
        <f>IF(OR(原始資料!$A356="",52&gt;設定!$B$3,原始資料!BC356=""),"",IF(AND(原始資料!BB356&lt;&gt;"",原始資料!BC356=原始資料!BB356),N(AZ356)+1,1))</f>
        <v/>
      </c>
      <c r="BB356" s="6">
        <f>IF(OR(原始資料!$A356="",53&gt;設定!$B$3,原始資料!BD356=""),"",IF(AND(原始資料!BC356&lt;&gt;"",原始資料!BD356=原始資料!BC356),N(BA356)+1,1))</f>
        <v/>
      </c>
      <c r="BC356" s="6">
        <f>IF(OR(原始資料!$A356="",54&gt;設定!$B$3,原始資料!BE356=""),"",IF(AND(原始資料!BD356&lt;&gt;"",原始資料!BE356=原始資料!BD356),N(BB356)+1,1))</f>
        <v/>
      </c>
      <c r="BD356" s="6">
        <f>IF(OR(原始資料!$A356="",55&gt;設定!$B$3,原始資料!BF356=""),"",IF(AND(原始資料!BE356&lt;&gt;"",原始資料!BF356=原始資料!BE356),N(BC356)+1,1))</f>
        <v/>
      </c>
      <c r="BE356" s="6">
        <f>IF(OR(原始資料!$A356="",56&gt;設定!$B$3,原始資料!BG356=""),"",IF(AND(原始資料!BF356&lt;&gt;"",原始資料!BG356=原始資料!BF356),N(BD356)+1,1))</f>
        <v/>
      </c>
      <c r="BF356" s="6">
        <f>IF(OR(原始資料!$A356="",57&gt;設定!$B$3,原始資料!BH356=""),"",IF(AND(原始資料!BG356&lt;&gt;"",原始資料!BH356=原始資料!BG356),N(BE356)+1,1))</f>
        <v/>
      </c>
      <c r="BG356" s="6">
        <f>IF(OR(原始資料!$A356="",58&gt;設定!$B$3,原始資料!BI356=""),"",IF(AND(原始資料!BH356&lt;&gt;"",原始資料!BI356=原始資料!BH356),N(BF356)+1,1))</f>
        <v/>
      </c>
      <c r="BH356" s="6">
        <f>IF(OR(原始資料!$A356="",59&gt;設定!$B$3,原始資料!BJ356=""),"",IF(AND(原始資料!BI356&lt;&gt;"",原始資料!BJ356=原始資料!BI356),N(BG356)+1,1))</f>
        <v/>
      </c>
      <c r="BI356" s="6">
        <f>IF(OR(原始資料!$A356="",60&gt;設定!$B$3,原始資料!BK356=""),"",IF(AND(原始資料!BJ356&lt;&gt;"",原始資料!BK356=原始資料!BJ356),N(BH356)+1,1))</f>
        <v/>
      </c>
    </row>
    <row r="357">
      <c r="A357" s="6">
        <f>IF(原始資料!$A357="","",原始資料!$A357)</f>
        <v/>
      </c>
      <c r="B357" s="6">
        <f>IF(OR(原始資料!$A357="",1&gt;設定!$B$3,原始資料!D357=""),"",1)</f>
        <v/>
      </c>
      <c r="C357" s="6">
        <f>IF(OR(原始資料!$A357="",2&gt;設定!$B$3,原始資料!E357=""),"",IF(AND(原始資料!D357&lt;&gt;"",原始資料!E357=原始資料!D357),N(B357)+1,1))</f>
        <v/>
      </c>
      <c r="D357" s="6">
        <f>IF(OR(原始資料!$A357="",3&gt;設定!$B$3,原始資料!F357=""),"",IF(AND(原始資料!E357&lt;&gt;"",原始資料!F357=原始資料!E357),N(C357)+1,1))</f>
        <v/>
      </c>
      <c r="E357" s="6">
        <f>IF(OR(原始資料!$A357="",4&gt;設定!$B$3,原始資料!G357=""),"",IF(AND(原始資料!F357&lt;&gt;"",原始資料!G357=原始資料!F357),N(D357)+1,1))</f>
        <v/>
      </c>
      <c r="F357" s="6">
        <f>IF(OR(原始資料!$A357="",5&gt;設定!$B$3,原始資料!H357=""),"",IF(AND(原始資料!G357&lt;&gt;"",原始資料!H357=原始資料!G357),N(E357)+1,1))</f>
        <v/>
      </c>
      <c r="G357" s="6">
        <f>IF(OR(原始資料!$A357="",6&gt;設定!$B$3,原始資料!I357=""),"",IF(AND(原始資料!H357&lt;&gt;"",原始資料!I357=原始資料!H357),N(F357)+1,1))</f>
        <v/>
      </c>
      <c r="H357" s="6">
        <f>IF(OR(原始資料!$A357="",7&gt;設定!$B$3,原始資料!J357=""),"",IF(AND(原始資料!I357&lt;&gt;"",原始資料!J357=原始資料!I357),N(G357)+1,1))</f>
        <v/>
      </c>
      <c r="I357" s="6">
        <f>IF(OR(原始資料!$A357="",8&gt;設定!$B$3,原始資料!K357=""),"",IF(AND(原始資料!J357&lt;&gt;"",原始資料!K357=原始資料!J357),N(H357)+1,1))</f>
        <v/>
      </c>
      <c r="J357" s="6">
        <f>IF(OR(原始資料!$A357="",9&gt;設定!$B$3,原始資料!L357=""),"",IF(AND(原始資料!K357&lt;&gt;"",原始資料!L357=原始資料!K357),N(I357)+1,1))</f>
        <v/>
      </c>
      <c r="K357" s="6">
        <f>IF(OR(原始資料!$A357="",10&gt;設定!$B$3,原始資料!M357=""),"",IF(AND(原始資料!L357&lt;&gt;"",原始資料!M357=原始資料!L357),N(J357)+1,1))</f>
        <v/>
      </c>
      <c r="L357" s="6">
        <f>IF(OR(原始資料!$A357="",11&gt;設定!$B$3,原始資料!N357=""),"",IF(AND(原始資料!M357&lt;&gt;"",原始資料!N357=原始資料!M357),N(K357)+1,1))</f>
        <v/>
      </c>
      <c r="M357" s="6">
        <f>IF(OR(原始資料!$A357="",12&gt;設定!$B$3,原始資料!O357=""),"",IF(AND(原始資料!N357&lt;&gt;"",原始資料!O357=原始資料!N357),N(L357)+1,1))</f>
        <v/>
      </c>
      <c r="N357" s="6">
        <f>IF(OR(原始資料!$A357="",13&gt;設定!$B$3,原始資料!P357=""),"",IF(AND(原始資料!O357&lt;&gt;"",原始資料!P357=原始資料!O357),N(M357)+1,1))</f>
        <v/>
      </c>
      <c r="O357" s="6">
        <f>IF(OR(原始資料!$A357="",14&gt;設定!$B$3,原始資料!Q357=""),"",IF(AND(原始資料!P357&lt;&gt;"",原始資料!Q357=原始資料!P357),N(N357)+1,1))</f>
        <v/>
      </c>
      <c r="P357" s="6">
        <f>IF(OR(原始資料!$A357="",15&gt;設定!$B$3,原始資料!R357=""),"",IF(AND(原始資料!Q357&lt;&gt;"",原始資料!R357=原始資料!Q357),N(O357)+1,1))</f>
        <v/>
      </c>
      <c r="Q357" s="6">
        <f>IF(OR(原始資料!$A357="",16&gt;設定!$B$3,原始資料!S357=""),"",IF(AND(原始資料!R357&lt;&gt;"",原始資料!S357=原始資料!R357),N(P357)+1,1))</f>
        <v/>
      </c>
      <c r="R357" s="6">
        <f>IF(OR(原始資料!$A357="",17&gt;設定!$B$3,原始資料!T357=""),"",IF(AND(原始資料!S357&lt;&gt;"",原始資料!T357=原始資料!S357),N(Q357)+1,1))</f>
        <v/>
      </c>
      <c r="S357" s="6">
        <f>IF(OR(原始資料!$A357="",18&gt;設定!$B$3,原始資料!U357=""),"",IF(AND(原始資料!T357&lt;&gt;"",原始資料!U357=原始資料!T357),N(R357)+1,1))</f>
        <v/>
      </c>
      <c r="T357" s="6">
        <f>IF(OR(原始資料!$A357="",19&gt;設定!$B$3,原始資料!V357=""),"",IF(AND(原始資料!U357&lt;&gt;"",原始資料!V357=原始資料!U357),N(S357)+1,1))</f>
        <v/>
      </c>
      <c r="U357" s="6">
        <f>IF(OR(原始資料!$A357="",20&gt;設定!$B$3,原始資料!W357=""),"",IF(AND(原始資料!V357&lt;&gt;"",原始資料!W357=原始資料!V357),N(T357)+1,1))</f>
        <v/>
      </c>
      <c r="V357" s="6">
        <f>IF(OR(原始資料!$A357="",21&gt;設定!$B$3,原始資料!X357=""),"",IF(AND(原始資料!W357&lt;&gt;"",原始資料!X357=原始資料!W357),N(U357)+1,1))</f>
        <v/>
      </c>
      <c r="W357" s="6">
        <f>IF(OR(原始資料!$A357="",22&gt;設定!$B$3,原始資料!Y357=""),"",IF(AND(原始資料!X357&lt;&gt;"",原始資料!Y357=原始資料!X357),N(V357)+1,1))</f>
        <v/>
      </c>
      <c r="X357" s="6">
        <f>IF(OR(原始資料!$A357="",23&gt;設定!$B$3,原始資料!Z357=""),"",IF(AND(原始資料!Y357&lt;&gt;"",原始資料!Z357=原始資料!Y357),N(W357)+1,1))</f>
        <v/>
      </c>
      <c r="Y357" s="6">
        <f>IF(OR(原始資料!$A357="",24&gt;設定!$B$3,原始資料!AA357=""),"",IF(AND(原始資料!Z357&lt;&gt;"",原始資料!AA357=原始資料!Z357),N(X357)+1,1))</f>
        <v/>
      </c>
      <c r="Z357" s="6">
        <f>IF(OR(原始資料!$A357="",25&gt;設定!$B$3,原始資料!AB357=""),"",IF(AND(原始資料!AA357&lt;&gt;"",原始資料!AB357=原始資料!AA357),N(Y357)+1,1))</f>
        <v/>
      </c>
      <c r="AA357" s="6">
        <f>IF(OR(原始資料!$A357="",26&gt;設定!$B$3,原始資料!AC357=""),"",IF(AND(原始資料!AB357&lt;&gt;"",原始資料!AC357=原始資料!AB357),N(Z357)+1,1))</f>
        <v/>
      </c>
      <c r="AB357" s="6">
        <f>IF(OR(原始資料!$A357="",27&gt;設定!$B$3,原始資料!AD357=""),"",IF(AND(原始資料!AC357&lt;&gt;"",原始資料!AD357=原始資料!AC357),N(AA357)+1,1))</f>
        <v/>
      </c>
      <c r="AC357" s="6">
        <f>IF(OR(原始資料!$A357="",28&gt;設定!$B$3,原始資料!AE357=""),"",IF(AND(原始資料!AD357&lt;&gt;"",原始資料!AE357=原始資料!AD357),N(AB357)+1,1))</f>
        <v/>
      </c>
      <c r="AD357" s="6">
        <f>IF(OR(原始資料!$A357="",29&gt;設定!$B$3,原始資料!AF357=""),"",IF(AND(原始資料!AE357&lt;&gt;"",原始資料!AF357=原始資料!AE357),N(AC357)+1,1))</f>
        <v/>
      </c>
      <c r="AE357" s="6">
        <f>IF(OR(原始資料!$A357="",30&gt;設定!$B$3,原始資料!AG357=""),"",IF(AND(原始資料!AF357&lt;&gt;"",原始資料!AG357=原始資料!AF357),N(AD357)+1,1))</f>
        <v/>
      </c>
      <c r="AF357" s="6">
        <f>IF(OR(原始資料!$A357="",31&gt;設定!$B$3,原始資料!AH357=""),"",IF(AND(原始資料!AG357&lt;&gt;"",原始資料!AH357=原始資料!AG357),N(AE357)+1,1))</f>
        <v/>
      </c>
      <c r="AG357" s="6">
        <f>IF(OR(原始資料!$A357="",32&gt;設定!$B$3,原始資料!AI357=""),"",IF(AND(原始資料!AH357&lt;&gt;"",原始資料!AI357=原始資料!AH357),N(AF357)+1,1))</f>
        <v/>
      </c>
      <c r="AH357" s="6">
        <f>IF(OR(原始資料!$A357="",33&gt;設定!$B$3,原始資料!AJ357=""),"",IF(AND(原始資料!AI357&lt;&gt;"",原始資料!AJ357=原始資料!AI357),N(AG357)+1,1))</f>
        <v/>
      </c>
      <c r="AI357" s="6">
        <f>IF(OR(原始資料!$A357="",34&gt;設定!$B$3,原始資料!AK357=""),"",IF(AND(原始資料!AJ357&lt;&gt;"",原始資料!AK357=原始資料!AJ357),N(AH357)+1,1))</f>
        <v/>
      </c>
      <c r="AJ357" s="6">
        <f>IF(OR(原始資料!$A357="",35&gt;設定!$B$3,原始資料!AL357=""),"",IF(AND(原始資料!AK357&lt;&gt;"",原始資料!AL357=原始資料!AK357),N(AI357)+1,1))</f>
        <v/>
      </c>
      <c r="AK357" s="6">
        <f>IF(OR(原始資料!$A357="",36&gt;設定!$B$3,原始資料!AM357=""),"",IF(AND(原始資料!AL357&lt;&gt;"",原始資料!AM357=原始資料!AL357),N(AJ357)+1,1))</f>
        <v/>
      </c>
      <c r="AL357" s="6">
        <f>IF(OR(原始資料!$A357="",37&gt;設定!$B$3,原始資料!AN357=""),"",IF(AND(原始資料!AM357&lt;&gt;"",原始資料!AN357=原始資料!AM357),N(AK357)+1,1))</f>
        <v/>
      </c>
      <c r="AM357" s="6">
        <f>IF(OR(原始資料!$A357="",38&gt;設定!$B$3,原始資料!AO357=""),"",IF(AND(原始資料!AN357&lt;&gt;"",原始資料!AO357=原始資料!AN357),N(AL357)+1,1))</f>
        <v/>
      </c>
      <c r="AN357" s="6">
        <f>IF(OR(原始資料!$A357="",39&gt;設定!$B$3,原始資料!AP357=""),"",IF(AND(原始資料!AO357&lt;&gt;"",原始資料!AP357=原始資料!AO357),N(AM357)+1,1))</f>
        <v/>
      </c>
      <c r="AO357" s="6">
        <f>IF(OR(原始資料!$A357="",40&gt;設定!$B$3,原始資料!AQ357=""),"",IF(AND(原始資料!AP357&lt;&gt;"",原始資料!AQ357=原始資料!AP357),N(AN357)+1,1))</f>
        <v/>
      </c>
      <c r="AP357" s="6">
        <f>IF(OR(原始資料!$A357="",41&gt;設定!$B$3,原始資料!AR357=""),"",IF(AND(原始資料!AQ357&lt;&gt;"",原始資料!AR357=原始資料!AQ357),N(AO357)+1,1))</f>
        <v/>
      </c>
      <c r="AQ357" s="6">
        <f>IF(OR(原始資料!$A357="",42&gt;設定!$B$3,原始資料!AS357=""),"",IF(AND(原始資料!AR357&lt;&gt;"",原始資料!AS357=原始資料!AR357),N(AP357)+1,1))</f>
        <v/>
      </c>
      <c r="AR357" s="6">
        <f>IF(OR(原始資料!$A357="",43&gt;設定!$B$3,原始資料!AT357=""),"",IF(AND(原始資料!AS357&lt;&gt;"",原始資料!AT357=原始資料!AS357),N(AQ357)+1,1))</f>
        <v/>
      </c>
      <c r="AS357" s="6">
        <f>IF(OR(原始資料!$A357="",44&gt;設定!$B$3,原始資料!AU357=""),"",IF(AND(原始資料!AT357&lt;&gt;"",原始資料!AU357=原始資料!AT357),N(AR357)+1,1))</f>
        <v/>
      </c>
      <c r="AT357" s="6">
        <f>IF(OR(原始資料!$A357="",45&gt;設定!$B$3,原始資料!AV357=""),"",IF(AND(原始資料!AU357&lt;&gt;"",原始資料!AV357=原始資料!AU357),N(AS357)+1,1))</f>
        <v/>
      </c>
      <c r="AU357" s="6">
        <f>IF(OR(原始資料!$A357="",46&gt;設定!$B$3,原始資料!AW357=""),"",IF(AND(原始資料!AV357&lt;&gt;"",原始資料!AW357=原始資料!AV357),N(AT357)+1,1))</f>
        <v/>
      </c>
      <c r="AV357" s="6">
        <f>IF(OR(原始資料!$A357="",47&gt;設定!$B$3,原始資料!AX357=""),"",IF(AND(原始資料!AW357&lt;&gt;"",原始資料!AX357=原始資料!AW357),N(AU357)+1,1))</f>
        <v/>
      </c>
      <c r="AW357" s="6">
        <f>IF(OR(原始資料!$A357="",48&gt;設定!$B$3,原始資料!AY357=""),"",IF(AND(原始資料!AX357&lt;&gt;"",原始資料!AY357=原始資料!AX357),N(AV357)+1,1))</f>
        <v/>
      </c>
      <c r="AX357" s="6">
        <f>IF(OR(原始資料!$A357="",49&gt;設定!$B$3,原始資料!AZ357=""),"",IF(AND(原始資料!AY357&lt;&gt;"",原始資料!AZ357=原始資料!AY357),N(AW357)+1,1))</f>
        <v/>
      </c>
      <c r="AY357" s="6">
        <f>IF(OR(原始資料!$A357="",50&gt;設定!$B$3,原始資料!BA357=""),"",IF(AND(原始資料!AZ357&lt;&gt;"",原始資料!BA357=原始資料!AZ357),N(AX357)+1,1))</f>
        <v/>
      </c>
      <c r="AZ357" s="6">
        <f>IF(OR(原始資料!$A357="",51&gt;設定!$B$3,原始資料!BB357=""),"",IF(AND(原始資料!BA357&lt;&gt;"",原始資料!BB357=原始資料!BA357),N(AY357)+1,1))</f>
        <v/>
      </c>
      <c r="BA357" s="6">
        <f>IF(OR(原始資料!$A357="",52&gt;設定!$B$3,原始資料!BC357=""),"",IF(AND(原始資料!BB357&lt;&gt;"",原始資料!BC357=原始資料!BB357),N(AZ357)+1,1))</f>
        <v/>
      </c>
      <c r="BB357" s="6">
        <f>IF(OR(原始資料!$A357="",53&gt;設定!$B$3,原始資料!BD357=""),"",IF(AND(原始資料!BC357&lt;&gt;"",原始資料!BD357=原始資料!BC357),N(BA357)+1,1))</f>
        <v/>
      </c>
      <c r="BC357" s="6">
        <f>IF(OR(原始資料!$A357="",54&gt;設定!$B$3,原始資料!BE357=""),"",IF(AND(原始資料!BD357&lt;&gt;"",原始資料!BE357=原始資料!BD357),N(BB357)+1,1))</f>
        <v/>
      </c>
      <c r="BD357" s="6">
        <f>IF(OR(原始資料!$A357="",55&gt;設定!$B$3,原始資料!BF357=""),"",IF(AND(原始資料!BE357&lt;&gt;"",原始資料!BF357=原始資料!BE357),N(BC357)+1,1))</f>
        <v/>
      </c>
      <c r="BE357" s="6">
        <f>IF(OR(原始資料!$A357="",56&gt;設定!$B$3,原始資料!BG357=""),"",IF(AND(原始資料!BF357&lt;&gt;"",原始資料!BG357=原始資料!BF357),N(BD357)+1,1))</f>
        <v/>
      </c>
      <c r="BF357" s="6">
        <f>IF(OR(原始資料!$A357="",57&gt;設定!$B$3,原始資料!BH357=""),"",IF(AND(原始資料!BG357&lt;&gt;"",原始資料!BH357=原始資料!BG357),N(BE357)+1,1))</f>
        <v/>
      </c>
      <c r="BG357" s="6">
        <f>IF(OR(原始資料!$A357="",58&gt;設定!$B$3,原始資料!BI357=""),"",IF(AND(原始資料!BH357&lt;&gt;"",原始資料!BI357=原始資料!BH357),N(BF357)+1,1))</f>
        <v/>
      </c>
      <c r="BH357" s="6">
        <f>IF(OR(原始資料!$A357="",59&gt;設定!$B$3,原始資料!BJ357=""),"",IF(AND(原始資料!BI357&lt;&gt;"",原始資料!BJ357=原始資料!BI357),N(BG357)+1,1))</f>
        <v/>
      </c>
      <c r="BI357" s="6">
        <f>IF(OR(原始資料!$A357="",60&gt;設定!$B$3,原始資料!BK357=""),"",IF(AND(原始資料!BJ357&lt;&gt;"",原始資料!BK357=原始資料!BJ357),N(BH357)+1,1))</f>
        <v/>
      </c>
    </row>
    <row r="358">
      <c r="A358" s="6">
        <f>IF(原始資料!$A358="","",原始資料!$A358)</f>
        <v/>
      </c>
      <c r="B358" s="6">
        <f>IF(OR(原始資料!$A358="",1&gt;設定!$B$3,原始資料!D358=""),"",1)</f>
        <v/>
      </c>
      <c r="C358" s="6">
        <f>IF(OR(原始資料!$A358="",2&gt;設定!$B$3,原始資料!E358=""),"",IF(AND(原始資料!D358&lt;&gt;"",原始資料!E358=原始資料!D358),N(B358)+1,1))</f>
        <v/>
      </c>
      <c r="D358" s="6">
        <f>IF(OR(原始資料!$A358="",3&gt;設定!$B$3,原始資料!F358=""),"",IF(AND(原始資料!E358&lt;&gt;"",原始資料!F358=原始資料!E358),N(C358)+1,1))</f>
        <v/>
      </c>
      <c r="E358" s="6">
        <f>IF(OR(原始資料!$A358="",4&gt;設定!$B$3,原始資料!G358=""),"",IF(AND(原始資料!F358&lt;&gt;"",原始資料!G358=原始資料!F358),N(D358)+1,1))</f>
        <v/>
      </c>
      <c r="F358" s="6">
        <f>IF(OR(原始資料!$A358="",5&gt;設定!$B$3,原始資料!H358=""),"",IF(AND(原始資料!G358&lt;&gt;"",原始資料!H358=原始資料!G358),N(E358)+1,1))</f>
        <v/>
      </c>
      <c r="G358" s="6">
        <f>IF(OR(原始資料!$A358="",6&gt;設定!$B$3,原始資料!I358=""),"",IF(AND(原始資料!H358&lt;&gt;"",原始資料!I358=原始資料!H358),N(F358)+1,1))</f>
        <v/>
      </c>
      <c r="H358" s="6">
        <f>IF(OR(原始資料!$A358="",7&gt;設定!$B$3,原始資料!J358=""),"",IF(AND(原始資料!I358&lt;&gt;"",原始資料!J358=原始資料!I358),N(G358)+1,1))</f>
        <v/>
      </c>
      <c r="I358" s="6">
        <f>IF(OR(原始資料!$A358="",8&gt;設定!$B$3,原始資料!K358=""),"",IF(AND(原始資料!J358&lt;&gt;"",原始資料!K358=原始資料!J358),N(H358)+1,1))</f>
        <v/>
      </c>
      <c r="J358" s="6">
        <f>IF(OR(原始資料!$A358="",9&gt;設定!$B$3,原始資料!L358=""),"",IF(AND(原始資料!K358&lt;&gt;"",原始資料!L358=原始資料!K358),N(I358)+1,1))</f>
        <v/>
      </c>
      <c r="K358" s="6">
        <f>IF(OR(原始資料!$A358="",10&gt;設定!$B$3,原始資料!M358=""),"",IF(AND(原始資料!L358&lt;&gt;"",原始資料!M358=原始資料!L358),N(J358)+1,1))</f>
        <v/>
      </c>
      <c r="L358" s="6">
        <f>IF(OR(原始資料!$A358="",11&gt;設定!$B$3,原始資料!N358=""),"",IF(AND(原始資料!M358&lt;&gt;"",原始資料!N358=原始資料!M358),N(K358)+1,1))</f>
        <v/>
      </c>
      <c r="M358" s="6">
        <f>IF(OR(原始資料!$A358="",12&gt;設定!$B$3,原始資料!O358=""),"",IF(AND(原始資料!N358&lt;&gt;"",原始資料!O358=原始資料!N358),N(L358)+1,1))</f>
        <v/>
      </c>
      <c r="N358" s="6">
        <f>IF(OR(原始資料!$A358="",13&gt;設定!$B$3,原始資料!P358=""),"",IF(AND(原始資料!O358&lt;&gt;"",原始資料!P358=原始資料!O358),N(M358)+1,1))</f>
        <v/>
      </c>
      <c r="O358" s="6">
        <f>IF(OR(原始資料!$A358="",14&gt;設定!$B$3,原始資料!Q358=""),"",IF(AND(原始資料!P358&lt;&gt;"",原始資料!Q358=原始資料!P358),N(N358)+1,1))</f>
        <v/>
      </c>
      <c r="P358" s="6">
        <f>IF(OR(原始資料!$A358="",15&gt;設定!$B$3,原始資料!R358=""),"",IF(AND(原始資料!Q358&lt;&gt;"",原始資料!R358=原始資料!Q358),N(O358)+1,1))</f>
        <v/>
      </c>
      <c r="Q358" s="6">
        <f>IF(OR(原始資料!$A358="",16&gt;設定!$B$3,原始資料!S358=""),"",IF(AND(原始資料!R358&lt;&gt;"",原始資料!S358=原始資料!R358),N(P358)+1,1))</f>
        <v/>
      </c>
      <c r="R358" s="6">
        <f>IF(OR(原始資料!$A358="",17&gt;設定!$B$3,原始資料!T358=""),"",IF(AND(原始資料!S358&lt;&gt;"",原始資料!T358=原始資料!S358),N(Q358)+1,1))</f>
        <v/>
      </c>
      <c r="S358" s="6">
        <f>IF(OR(原始資料!$A358="",18&gt;設定!$B$3,原始資料!U358=""),"",IF(AND(原始資料!T358&lt;&gt;"",原始資料!U358=原始資料!T358),N(R358)+1,1))</f>
        <v/>
      </c>
      <c r="T358" s="6">
        <f>IF(OR(原始資料!$A358="",19&gt;設定!$B$3,原始資料!V358=""),"",IF(AND(原始資料!U358&lt;&gt;"",原始資料!V358=原始資料!U358),N(S358)+1,1))</f>
        <v/>
      </c>
      <c r="U358" s="6">
        <f>IF(OR(原始資料!$A358="",20&gt;設定!$B$3,原始資料!W358=""),"",IF(AND(原始資料!V358&lt;&gt;"",原始資料!W358=原始資料!V358),N(T358)+1,1))</f>
        <v/>
      </c>
      <c r="V358" s="6">
        <f>IF(OR(原始資料!$A358="",21&gt;設定!$B$3,原始資料!X358=""),"",IF(AND(原始資料!W358&lt;&gt;"",原始資料!X358=原始資料!W358),N(U358)+1,1))</f>
        <v/>
      </c>
      <c r="W358" s="6">
        <f>IF(OR(原始資料!$A358="",22&gt;設定!$B$3,原始資料!Y358=""),"",IF(AND(原始資料!X358&lt;&gt;"",原始資料!Y358=原始資料!X358),N(V358)+1,1))</f>
        <v/>
      </c>
      <c r="X358" s="6">
        <f>IF(OR(原始資料!$A358="",23&gt;設定!$B$3,原始資料!Z358=""),"",IF(AND(原始資料!Y358&lt;&gt;"",原始資料!Z358=原始資料!Y358),N(W358)+1,1))</f>
        <v/>
      </c>
      <c r="Y358" s="6">
        <f>IF(OR(原始資料!$A358="",24&gt;設定!$B$3,原始資料!AA358=""),"",IF(AND(原始資料!Z358&lt;&gt;"",原始資料!AA358=原始資料!Z358),N(X358)+1,1))</f>
        <v/>
      </c>
      <c r="Z358" s="6">
        <f>IF(OR(原始資料!$A358="",25&gt;設定!$B$3,原始資料!AB358=""),"",IF(AND(原始資料!AA358&lt;&gt;"",原始資料!AB358=原始資料!AA358),N(Y358)+1,1))</f>
        <v/>
      </c>
      <c r="AA358" s="6">
        <f>IF(OR(原始資料!$A358="",26&gt;設定!$B$3,原始資料!AC358=""),"",IF(AND(原始資料!AB358&lt;&gt;"",原始資料!AC358=原始資料!AB358),N(Z358)+1,1))</f>
        <v/>
      </c>
      <c r="AB358" s="6">
        <f>IF(OR(原始資料!$A358="",27&gt;設定!$B$3,原始資料!AD358=""),"",IF(AND(原始資料!AC358&lt;&gt;"",原始資料!AD358=原始資料!AC358),N(AA358)+1,1))</f>
        <v/>
      </c>
      <c r="AC358" s="6">
        <f>IF(OR(原始資料!$A358="",28&gt;設定!$B$3,原始資料!AE358=""),"",IF(AND(原始資料!AD358&lt;&gt;"",原始資料!AE358=原始資料!AD358),N(AB358)+1,1))</f>
        <v/>
      </c>
      <c r="AD358" s="6">
        <f>IF(OR(原始資料!$A358="",29&gt;設定!$B$3,原始資料!AF358=""),"",IF(AND(原始資料!AE358&lt;&gt;"",原始資料!AF358=原始資料!AE358),N(AC358)+1,1))</f>
        <v/>
      </c>
      <c r="AE358" s="6">
        <f>IF(OR(原始資料!$A358="",30&gt;設定!$B$3,原始資料!AG358=""),"",IF(AND(原始資料!AF358&lt;&gt;"",原始資料!AG358=原始資料!AF358),N(AD358)+1,1))</f>
        <v/>
      </c>
      <c r="AF358" s="6">
        <f>IF(OR(原始資料!$A358="",31&gt;設定!$B$3,原始資料!AH358=""),"",IF(AND(原始資料!AG358&lt;&gt;"",原始資料!AH358=原始資料!AG358),N(AE358)+1,1))</f>
        <v/>
      </c>
      <c r="AG358" s="6">
        <f>IF(OR(原始資料!$A358="",32&gt;設定!$B$3,原始資料!AI358=""),"",IF(AND(原始資料!AH358&lt;&gt;"",原始資料!AI358=原始資料!AH358),N(AF358)+1,1))</f>
        <v/>
      </c>
      <c r="AH358" s="6">
        <f>IF(OR(原始資料!$A358="",33&gt;設定!$B$3,原始資料!AJ358=""),"",IF(AND(原始資料!AI358&lt;&gt;"",原始資料!AJ358=原始資料!AI358),N(AG358)+1,1))</f>
        <v/>
      </c>
      <c r="AI358" s="6">
        <f>IF(OR(原始資料!$A358="",34&gt;設定!$B$3,原始資料!AK358=""),"",IF(AND(原始資料!AJ358&lt;&gt;"",原始資料!AK358=原始資料!AJ358),N(AH358)+1,1))</f>
        <v/>
      </c>
      <c r="AJ358" s="6">
        <f>IF(OR(原始資料!$A358="",35&gt;設定!$B$3,原始資料!AL358=""),"",IF(AND(原始資料!AK358&lt;&gt;"",原始資料!AL358=原始資料!AK358),N(AI358)+1,1))</f>
        <v/>
      </c>
      <c r="AK358" s="6">
        <f>IF(OR(原始資料!$A358="",36&gt;設定!$B$3,原始資料!AM358=""),"",IF(AND(原始資料!AL358&lt;&gt;"",原始資料!AM358=原始資料!AL358),N(AJ358)+1,1))</f>
        <v/>
      </c>
      <c r="AL358" s="6">
        <f>IF(OR(原始資料!$A358="",37&gt;設定!$B$3,原始資料!AN358=""),"",IF(AND(原始資料!AM358&lt;&gt;"",原始資料!AN358=原始資料!AM358),N(AK358)+1,1))</f>
        <v/>
      </c>
      <c r="AM358" s="6">
        <f>IF(OR(原始資料!$A358="",38&gt;設定!$B$3,原始資料!AO358=""),"",IF(AND(原始資料!AN358&lt;&gt;"",原始資料!AO358=原始資料!AN358),N(AL358)+1,1))</f>
        <v/>
      </c>
      <c r="AN358" s="6">
        <f>IF(OR(原始資料!$A358="",39&gt;設定!$B$3,原始資料!AP358=""),"",IF(AND(原始資料!AO358&lt;&gt;"",原始資料!AP358=原始資料!AO358),N(AM358)+1,1))</f>
        <v/>
      </c>
      <c r="AO358" s="6">
        <f>IF(OR(原始資料!$A358="",40&gt;設定!$B$3,原始資料!AQ358=""),"",IF(AND(原始資料!AP358&lt;&gt;"",原始資料!AQ358=原始資料!AP358),N(AN358)+1,1))</f>
        <v/>
      </c>
      <c r="AP358" s="6">
        <f>IF(OR(原始資料!$A358="",41&gt;設定!$B$3,原始資料!AR358=""),"",IF(AND(原始資料!AQ358&lt;&gt;"",原始資料!AR358=原始資料!AQ358),N(AO358)+1,1))</f>
        <v/>
      </c>
      <c r="AQ358" s="6">
        <f>IF(OR(原始資料!$A358="",42&gt;設定!$B$3,原始資料!AS358=""),"",IF(AND(原始資料!AR358&lt;&gt;"",原始資料!AS358=原始資料!AR358),N(AP358)+1,1))</f>
        <v/>
      </c>
      <c r="AR358" s="6">
        <f>IF(OR(原始資料!$A358="",43&gt;設定!$B$3,原始資料!AT358=""),"",IF(AND(原始資料!AS358&lt;&gt;"",原始資料!AT358=原始資料!AS358),N(AQ358)+1,1))</f>
        <v/>
      </c>
      <c r="AS358" s="6">
        <f>IF(OR(原始資料!$A358="",44&gt;設定!$B$3,原始資料!AU358=""),"",IF(AND(原始資料!AT358&lt;&gt;"",原始資料!AU358=原始資料!AT358),N(AR358)+1,1))</f>
        <v/>
      </c>
      <c r="AT358" s="6">
        <f>IF(OR(原始資料!$A358="",45&gt;設定!$B$3,原始資料!AV358=""),"",IF(AND(原始資料!AU358&lt;&gt;"",原始資料!AV358=原始資料!AU358),N(AS358)+1,1))</f>
        <v/>
      </c>
      <c r="AU358" s="6">
        <f>IF(OR(原始資料!$A358="",46&gt;設定!$B$3,原始資料!AW358=""),"",IF(AND(原始資料!AV358&lt;&gt;"",原始資料!AW358=原始資料!AV358),N(AT358)+1,1))</f>
        <v/>
      </c>
      <c r="AV358" s="6">
        <f>IF(OR(原始資料!$A358="",47&gt;設定!$B$3,原始資料!AX358=""),"",IF(AND(原始資料!AW358&lt;&gt;"",原始資料!AX358=原始資料!AW358),N(AU358)+1,1))</f>
        <v/>
      </c>
      <c r="AW358" s="6">
        <f>IF(OR(原始資料!$A358="",48&gt;設定!$B$3,原始資料!AY358=""),"",IF(AND(原始資料!AX358&lt;&gt;"",原始資料!AY358=原始資料!AX358),N(AV358)+1,1))</f>
        <v/>
      </c>
      <c r="AX358" s="6">
        <f>IF(OR(原始資料!$A358="",49&gt;設定!$B$3,原始資料!AZ358=""),"",IF(AND(原始資料!AY358&lt;&gt;"",原始資料!AZ358=原始資料!AY358),N(AW358)+1,1))</f>
        <v/>
      </c>
      <c r="AY358" s="6">
        <f>IF(OR(原始資料!$A358="",50&gt;設定!$B$3,原始資料!BA358=""),"",IF(AND(原始資料!AZ358&lt;&gt;"",原始資料!BA358=原始資料!AZ358),N(AX358)+1,1))</f>
        <v/>
      </c>
      <c r="AZ358" s="6">
        <f>IF(OR(原始資料!$A358="",51&gt;設定!$B$3,原始資料!BB358=""),"",IF(AND(原始資料!BA358&lt;&gt;"",原始資料!BB358=原始資料!BA358),N(AY358)+1,1))</f>
        <v/>
      </c>
      <c r="BA358" s="6">
        <f>IF(OR(原始資料!$A358="",52&gt;設定!$B$3,原始資料!BC358=""),"",IF(AND(原始資料!BB358&lt;&gt;"",原始資料!BC358=原始資料!BB358),N(AZ358)+1,1))</f>
        <v/>
      </c>
      <c r="BB358" s="6">
        <f>IF(OR(原始資料!$A358="",53&gt;設定!$B$3,原始資料!BD358=""),"",IF(AND(原始資料!BC358&lt;&gt;"",原始資料!BD358=原始資料!BC358),N(BA358)+1,1))</f>
        <v/>
      </c>
      <c r="BC358" s="6">
        <f>IF(OR(原始資料!$A358="",54&gt;設定!$B$3,原始資料!BE358=""),"",IF(AND(原始資料!BD358&lt;&gt;"",原始資料!BE358=原始資料!BD358),N(BB358)+1,1))</f>
        <v/>
      </c>
      <c r="BD358" s="6">
        <f>IF(OR(原始資料!$A358="",55&gt;設定!$B$3,原始資料!BF358=""),"",IF(AND(原始資料!BE358&lt;&gt;"",原始資料!BF358=原始資料!BE358),N(BC358)+1,1))</f>
        <v/>
      </c>
      <c r="BE358" s="6">
        <f>IF(OR(原始資料!$A358="",56&gt;設定!$B$3,原始資料!BG358=""),"",IF(AND(原始資料!BF358&lt;&gt;"",原始資料!BG358=原始資料!BF358),N(BD358)+1,1))</f>
        <v/>
      </c>
      <c r="BF358" s="6">
        <f>IF(OR(原始資料!$A358="",57&gt;設定!$B$3,原始資料!BH358=""),"",IF(AND(原始資料!BG358&lt;&gt;"",原始資料!BH358=原始資料!BG358),N(BE358)+1,1))</f>
        <v/>
      </c>
      <c r="BG358" s="6">
        <f>IF(OR(原始資料!$A358="",58&gt;設定!$B$3,原始資料!BI358=""),"",IF(AND(原始資料!BH358&lt;&gt;"",原始資料!BI358=原始資料!BH358),N(BF358)+1,1))</f>
        <v/>
      </c>
      <c r="BH358" s="6">
        <f>IF(OR(原始資料!$A358="",59&gt;設定!$B$3,原始資料!BJ358=""),"",IF(AND(原始資料!BI358&lt;&gt;"",原始資料!BJ358=原始資料!BI358),N(BG358)+1,1))</f>
        <v/>
      </c>
      <c r="BI358" s="6">
        <f>IF(OR(原始資料!$A358="",60&gt;設定!$B$3,原始資料!BK358=""),"",IF(AND(原始資料!BJ358&lt;&gt;"",原始資料!BK358=原始資料!BJ358),N(BH358)+1,1))</f>
        <v/>
      </c>
    </row>
    <row r="359">
      <c r="A359" s="6">
        <f>IF(原始資料!$A359="","",原始資料!$A359)</f>
        <v/>
      </c>
      <c r="B359" s="6">
        <f>IF(OR(原始資料!$A359="",1&gt;設定!$B$3,原始資料!D359=""),"",1)</f>
        <v/>
      </c>
      <c r="C359" s="6">
        <f>IF(OR(原始資料!$A359="",2&gt;設定!$B$3,原始資料!E359=""),"",IF(AND(原始資料!D359&lt;&gt;"",原始資料!E359=原始資料!D359),N(B359)+1,1))</f>
        <v/>
      </c>
      <c r="D359" s="6">
        <f>IF(OR(原始資料!$A359="",3&gt;設定!$B$3,原始資料!F359=""),"",IF(AND(原始資料!E359&lt;&gt;"",原始資料!F359=原始資料!E359),N(C359)+1,1))</f>
        <v/>
      </c>
      <c r="E359" s="6">
        <f>IF(OR(原始資料!$A359="",4&gt;設定!$B$3,原始資料!G359=""),"",IF(AND(原始資料!F359&lt;&gt;"",原始資料!G359=原始資料!F359),N(D359)+1,1))</f>
        <v/>
      </c>
      <c r="F359" s="6">
        <f>IF(OR(原始資料!$A359="",5&gt;設定!$B$3,原始資料!H359=""),"",IF(AND(原始資料!G359&lt;&gt;"",原始資料!H359=原始資料!G359),N(E359)+1,1))</f>
        <v/>
      </c>
      <c r="G359" s="6">
        <f>IF(OR(原始資料!$A359="",6&gt;設定!$B$3,原始資料!I359=""),"",IF(AND(原始資料!H359&lt;&gt;"",原始資料!I359=原始資料!H359),N(F359)+1,1))</f>
        <v/>
      </c>
      <c r="H359" s="6">
        <f>IF(OR(原始資料!$A359="",7&gt;設定!$B$3,原始資料!J359=""),"",IF(AND(原始資料!I359&lt;&gt;"",原始資料!J359=原始資料!I359),N(G359)+1,1))</f>
        <v/>
      </c>
      <c r="I359" s="6">
        <f>IF(OR(原始資料!$A359="",8&gt;設定!$B$3,原始資料!K359=""),"",IF(AND(原始資料!J359&lt;&gt;"",原始資料!K359=原始資料!J359),N(H359)+1,1))</f>
        <v/>
      </c>
      <c r="J359" s="6">
        <f>IF(OR(原始資料!$A359="",9&gt;設定!$B$3,原始資料!L359=""),"",IF(AND(原始資料!K359&lt;&gt;"",原始資料!L359=原始資料!K359),N(I359)+1,1))</f>
        <v/>
      </c>
      <c r="K359" s="6">
        <f>IF(OR(原始資料!$A359="",10&gt;設定!$B$3,原始資料!M359=""),"",IF(AND(原始資料!L359&lt;&gt;"",原始資料!M359=原始資料!L359),N(J359)+1,1))</f>
        <v/>
      </c>
      <c r="L359" s="6">
        <f>IF(OR(原始資料!$A359="",11&gt;設定!$B$3,原始資料!N359=""),"",IF(AND(原始資料!M359&lt;&gt;"",原始資料!N359=原始資料!M359),N(K359)+1,1))</f>
        <v/>
      </c>
      <c r="M359" s="6">
        <f>IF(OR(原始資料!$A359="",12&gt;設定!$B$3,原始資料!O359=""),"",IF(AND(原始資料!N359&lt;&gt;"",原始資料!O359=原始資料!N359),N(L359)+1,1))</f>
        <v/>
      </c>
      <c r="N359" s="6">
        <f>IF(OR(原始資料!$A359="",13&gt;設定!$B$3,原始資料!P359=""),"",IF(AND(原始資料!O359&lt;&gt;"",原始資料!P359=原始資料!O359),N(M359)+1,1))</f>
        <v/>
      </c>
      <c r="O359" s="6">
        <f>IF(OR(原始資料!$A359="",14&gt;設定!$B$3,原始資料!Q359=""),"",IF(AND(原始資料!P359&lt;&gt;"",原始資料!Q359=原始資料!P359),N(N359)+1,1))</f>
        <v/>
      </c>
      <c r="P359" s="6">
        <f>IF(OR(原始資料!$A359="",15&gt;設定!$B$3,原始資料!R359=""),"",IF(AND(原始資料!Q359&lt;&gt;"",原始資料!R359=原始資料!Q359),N(O359)+1,1))</f>
        <v/>
      </c>
      <c r="Q359" s="6">
        <f>IF(OR(原始資料!$A359="",16&gt;設定!$B$3,原始資料!S359=""),"",IF(AND(原始資料!R359&lt;&gt;"",原始資料!S359=原始資料!R359),N(P359)+1,1))</f>
        <v/>
      </c>
      <c r="R359" s="6">
        <f>IF(OR(原始資料!$A359="",17&gt;設定!$B$3,原始資料!T359=""),"",IF(AND(原始資料!S359&lt;&gt;"",原始資料!T359=原始資料!S359),N(Q359)+1,1))</f>
        <v/>
      </c>
      <c r="S359" s="6">
        <f>IF(OR(原始資料!$A359="",18&gt;設定!$B$3,原始資料!U359=""),"",IF(AND(原始資料!T359&lt;&gt;"",原始資料!U359=原始資料!T359),N(R359)+1,1))</f>
        <v/>
      </c>
      <c r="T359" s="6">
        <f>IF(OR(原始資料!$A359="",19&gt;設定!$B$3,原始資料!V359=""),"",IF(AND(原始資料!U359&lt;&gt;"",原始資料!V359=原始資料!U359),N(S359)+1,1))</f>
        <v/>
      </c>
      <c r="U359" s="6">
        <f>IF(OR(原始資料!$A359="",20&gt;設定!$B$3,原始資料!W359=""),"",IF(AND(原始資料!V359&lt;&gt;"",原始資料!W359=原始資料!V359),N(T359)+1,1))</f>
        <v/>
      </c>
      <c r="V359" s="6">
        <f>IF(OR(原始資料!$A359="",21&gt;設定!$B$3,原始資料!X359=""),"",IF(AND(原始資料!W359&lt;&gt;"",原始資料!X359=原始資料!W359),N(U359)+1,1))</f>
        <v/>
      </c>
      <c r="W359" s="6">
        <f>IF(OR(原始資料!$A359="",22&gt;設定!$B$3,原始資料!Y359=""),"",IF(AND(原始資料!X359&lt;&gt;"",原始資料!Y359=原始資料!X359),N(V359)+1,1))</f>
        <v/>
      </c>
      <c r="X359" s="6">
        <f>IF(OR(原始資料!$A359="",23&gt;設定!$B$3,原始資料!Z359=""),"",IF(AND(原始資料!Y359&lt;&gt;"",原始資料!Z359=原始資料!Y359),N(W359)+1,1))</f>
        <v/>
      </c>
      <c r="Y359" s="6">
        <f>IF(OR(原始資料!$A359="",24&gt;設定!$B$3,原始資料!AA359=""),"",IF(AND(原始資料!Z359&lt;&gt;"",原始資料!AA359=原始資料!Z359),N(X359)+1,1))</f>
        <v/>
      </c>
      <c r="Z359" s="6">
        <f>IF(OR(原始資料!$A359="",25&gt;設定!$B$3,原始資料!AB359=""),"",IF(AND(原始資料!AA359&lt;&gt;"",原始資料!AB359=原始資料!AA359),N(Y359)+1,1))</f>
        <v/>
      </c>
      <c r="AA359" s="6">
        <f>IF(OR(原始資料!$A359="",26&gt;設定!$B$3,原始資料!AC359=""),"",IF(AND(原始資料!AB359&lt;&gt;"",原始資料!AC359=原始資料!AB359),N(Z359)+1,1))</f>
        <v/>
      </c>
      <c r="AB359" s="6">
        <f>IF(OR(原始資料!$A359="",27&gt;設定!$B$3,原始資料!AD359=""),"",IF(AND(原始資料!AC359&lt;&gt;"",原始資料!AD359=原始資料!AC359),N(AA359)+1,1))</f>
        <v/>
      </c>
      <c r="AC359" s="6">
        <f>IF(OR(原始資料!$A359="",28&gt;設定!$B$3,原始資料!AE359=""),"",IF(AND(原始資料!AD359&lt;&gt;"",原始資料!AE359=原始資料!AD359),N(AB359)+1,1))</f>
        <v/>
      </c>
      <c r="AD359" s="6">
        <f>IF(OR(原始資料!$A359="",29&gt;設定!$B$3,原始資料!AF359=""),"",IF(AND(原始資料!AE359&lt;&gt;"",原始資料!AF359=原始資料!AE359),N(AC359)+1,1))</f>
        <v/>
      </c>
      <c r="AE359" s="6">
        <f>IF(OR(原始資料!$A359="",30&gt;設定!$B$3,原始資料!AG359=""),"",IF(AND(原始資料!AF359&lt;&gt;"",原始資料!AG359=原始資料!AF359),N(AD359)+1,1))</f>
        <v/>
      </c>
      <c r="AF359" s="6">
        <f>IF(OR(原始資料!$A359="",31&gt;設定!$B$3,原始資料!AH359=""),"",IF(AND(原始資料!AG359&lt;&gt;"",原始資料!AH359=原始資料!AG359),N(AE359)+1,1))</f>
        <v/>
      </c>
      <c r="AG359" s="6">
        <f>IF(OR(原始資料!$A359="",32&gt;設定!$B$3,原始資料!AI359=""),"",IF(AND(原始資料!AH359&lt;&gt;"",原始資料!AI359=原始資料!AH359),N(AF359)+1,1))</f>
        <v/>
      </c>
      <c r="AH359" s="6">
        <f>IF(OR(原始資料!$A359="",33&gt;設定!$B$3,原始資料!AJ359=""),"",IF(AND(原始資料!AI359&lt;&gt;"",原始資料!AJ359=原始資料!AI359),N(AG359)+1,1))</f>
        <v/>
      </c>
      <c r="AI359" s="6">
        <f>IF(OR(原始資料!$A359="",34&gt;設定!$B$3,原始資料!AK359=""),"",IF(AND(原始資料!AJ359&lt;&gt;"",原始資料!AK359=原始資料!AJ359),N(AH359)+1,1))</f>
        <v/>
      </c>
      <c r="AJ359" s="6">
        <f>IF(OR(原始資料!$A359="",35&gt;設定!$B$3,原始資料!AL359=""),"",IF(AND(原始資料!AK359&lt;&gt;"",原始資料!AL359=原始資料!AK359),N(AI359)+1,1))</f>
        <v/>
      </c>
      <c r="AK359" s="6">
        <f>IF(OR(原始資料!$A359="",36&gt;設定!$B$3,原始資料!AM359=""),"",IF(AND(原始資料!AL359&lt;&gt;"",原始資料!AM359=原始資料!AL359),N(AJ359)+1,1))</f>
        <v/>
      </c>
      <c r="AL359" s="6">
        <f>IF(OR(原始資料!$A359="",37&gt;設定!$B$3,原始資料!AN359=""),"",IF(AND(原始資料!AM359&lt;&gt;"",原始資料!AN359=原始資料!AM359),N(AK359)+1,1))</f>
        <v/>
      </c>
      <c r="AM359" s="6">
        <f>IF(OR(原始資料!$A359="",38&gt;設定!$B$3,原始資料!AO359=""),"",IF(AND(原始資料!AN359&lt;&gt;"",原始資料!AO359=原始資料!AN359),N(AL359)+1,1))</f>
        <v/>
      </c>
      <c r="AN359" s="6">
        <f>IF(OR(原始資料!$A359="",39&gt;設定!$B$3,原始資料!AP359=""),"",IF(AND(原始資料!AO359&lt;&gt;"",原始資料!AP359=原始資料!AO359),N(AM359)+1,1))</f>
        <v/>
      </c>
      <c r="AO359" s="6">
        <f>IF(OR(原始資料!$A359="",40&gt;設定!$B$3,原始資料!AQ359=""),"",IF(AND(原始資料!AP359&lt;&gt;"",原始資料!AQ359=原始資料!AP359),N(AN359)+1,1))</f>
        <v/>
      </c>
      <c r="AP359" s="6">
        <f>IF(OR(原始資料!$A359="",41&gt;設定!$B$3,原始資料!AR359=""),"",IF(AND(原始資料!AQ359&lt;&gt;"",原始資料!AR359=原始資料!AQ359),N(AO359)+1,1))</f>
        <v/>
      </c>
      <c r="AQ359" s="6">
        <f>IF(OR(原始資料!$A359="",42&gt;設定!$B$3,原始資料!AS359=""),"",IF(AND(原始資料!AR359&lt;&gt;"",原始資料!AS359=原始資料!AR359),N(AP359)+1,1))</f>
        <v/>
      </c>
      <c r="AR359" s="6">
        <f>IF(OR(原始資料!$A359="",43&gt;設定!$B$3,原始資料!AT359=""),"",IF(AND(原始資料!AS359&lt;&gt;"",原始資料!AT359=原始資料!AS359),N(AQ359)+1,1))</f>
        <v/>
      </c>
      <c r="AS359" s="6">
        <f>IF(OR(原始資料!$A359="",44&gt;設定!$B$3,原始資料!AU359=""),"",IF(AND(原始資料!AT359&lt;&gt;"",原始資料!AU359=原始資料!AT359),N(AR359)+1,1))</f>
        <v/>
      </c>
      <c r="AT359" s="6">
        <f>IF(OR(原始資料!$A359="",45&gt;設定!$B$3,原始資料!AV359=""),"",IF(AND(原始資料!AU359&lt;&gt;"",原始資料!AV359=原始資料!AU359),N(AS359)+1,1))</f>
        <v/>
      </c>
      <c r="AU359" s="6">
        <f>IF(OR(原始資料!$A359="",46&gt;設定!$B$3,原始資料!AW359=""),"",IF(AND(原始資料!AV359&lt;&gt;"",原始資料!AW359=原始資料!AV359),N(AT359)+1,1))</f>
        <v/>
      </c>
      <c r="AV359" s="6">
        <f>IF(OR(原始資料!$A359="",47&gt;設定!$B$3,原始資料!AX359=""),"",IF(AND(原始資料!AW359&lt;&gt;"",原始資料!AX359=原始資料!AW359),N(AU359)+1,1))</f>
        <v/>
      </c>
      <c r="AW359" s="6">
        <f>IF(OR(原始資料!$A359="",48&gt;設定!$B$3,原始資料!AY359=""),"",IF(AND(原始資料!AX359&lt;&gt;"",原始資料!AY359=原始資料!AX359),N(AV359)+1,1))</f>
        <v/>
      </c>
      <c r="AX359" s="6">
        <f>IF(OR(原始資料!$A359="",49&gt;設定!$B$3,原始資料!AZ359=""),"",IF(AND(原始資料!AY359&lt;&gt;"",原始資料!AZ359=原始資料!AY359),N(AW359)+1,1))</f>
        <v/>
      </c>
      <c r="AY359" s="6">
        <f>IF(OR(原始資料!$A359="",50&gt;設定!$B$3,原始資料!BA359=""),"",IF(AND(原始資料!AZ359&lt;&gt;"",原始資料!BA359=原始資料!AZ359),N(AX359)+1,1))</f>
        <v/>
      </c>
      <c r="AZ359" s="6">
        <f>IF(OR(原始資料!$A359="",51&gt;設定!$B$3,原始資料!BB359=""),"",IF(AND(原始資料!BA359&lt;&gt;"",原始資料!BB359=原始資料!BA359),N(AY359)+1,1))</f>
        <v/>
      </c>
      <c r="BA359" s="6">
        <f>IF(OR(原始資料!$A359="",52&gt;設定!$B$3,原始資料!BC359=""),"",IF(AND(原始資料!BB359&lt;&gt;"",原始資料!BC359=原始資料!BB359),N(AZ359)+1,1))</f>
        <v/>
      </c>
      <c r="BB359" s="6">
        <f>IF(OR(原始資料!$A359="",53&gt;設定!$B$3,原始資料!BD359=""),"",IF(AND(原始資料!BC359&lt;&gt;"",原始資料!BD359=原始資料!BC359),N(BA359)+1,1))</f>
        <v/>
      </c>
      <c r="BC359" s="6">
        <f>IF(OR(原始資料!$A359="",54&gt;設定!$B$3,原始資料!BE359=""),"",IF(AND(原始資料!BD359&lt;&gt;"",原始資料!BE359=原始資料!BD359),N(BB359)+1,1))</f>
        <v/>
      </c>
      <c r="BD359" s="6">
        <f>IF(OR(原始資料!$A359="",55&gt;設定!$B$3,原始資料!BF359=""),"",IF(AND(原始資料!BE359&lt;&gt;"",原始資料!BF359=原始資料!BE359),N(BC359)+1,1))</f>
        <v/>
      </c>
      <c r="BE359" s="6">
        <f>IF(OR(原始資料!$A359="",56&gt;設定!$B$3,原始資料!BG359=""),"",IF(AND(原始資料!BF359&lt;&gt;"",原始資料!BG359=原始資料!BF359),N(BD359)+1,1))</f>
        <v/>
      </c>
      <c r="BF359" s="6">
        <f>IF(OR(原始資料!$A359="",57&gt;設定!$B$3,原始資料!BH359=""),"",IF(AND(原始資料!BG359&lt;&gt;"",原始資料!BH359=原始資料!BG359),N(BE359)+1,1))</f>
        <v/>
      </c>
      <c r="BG359" s="6">
        <f>IF(OR(原始資料!$A359="",58&gt;設定!$B$3,原始資料!BI359=""),"",IF(AND(原始資料!BH359&lt;&gt;"",原始資料!BI359=原始資料!BH359),N(BF359)+1,1))</f>
        <v/>
      </c>
      <c r="BH359" s="6">
        <f>IF(OR(原始資料!$A359="",59&gt;設定!$B$3,原始資料!BJ359=""),"",IF(AND(原始資料!BI359&lt;&gt;"",原始資料!BJ359=原始資料!BI359),N(BG359)+1,1))</f>
        <v/>
      </c>
      <c r="BI359" s="6">
        <f>IF(OR(原始資料!$A359="",60&gt;設定!$B$3,原始資料!BK359=""),"",IF(AND(原始資料!BJ359&lt;&gt;"",原始資料!BK359=原始資料!BJ359),N(BH359)+1,1))</f>
        <v/>
      </c>
    </row>
    <row r="360">
      <c r="A360" s="6">
        <f>IF(原始資料!$A360="","",原始資料!$A360)</f>
        <v/>
      </c>
      <c r="B360" s="6">
        <f>IF(OR(原始資料!$A360="",1&gt;設定!$B$3,原始資料!D360=""),"",1)</f>
        <v/>
      </c>
      <c r="C360" s="6">
        <f>IF(OR(原始資料!$A360="",2&gt;設定!$B$3,原始資料!E360=""),"",IF(AND(原始資料!D360&lt;&gt;"",原始資料!E360=原始資料!D360),N(B360)+1,1))</f>
        <v/>
      </c>
      <c r="D360" s="6">
        <f>IF(OR(原始資料!$A360="",3&gt;設定!$B$3,原始資料!F360=""),"",IF(AND(原始資料!E360&lt;&gt;"",原始資料!F360=原始資料!E360),N(C360)+1,1))</f>
        <v/>
      </c>
      <c r="E360" s="6">
        <f>IF(OR(原始資料!$A360="",4&gt;設定!$B$3,原始資料!G360=""),"",IF(AND(原始資料!F360&lt;&gt;"",原始資料!G360=原始資料!F360),N(D360)+1,1))</f>
        <v/>
      </c>
      <c r="F360" s="6">
        <f>IF(OR(原始資料!$A360="",5&gt;設定!$B$3,原始資料!H360=""),"",IF(AND(原始資料!G360&lt;&gt;"",原始資料!H360=原始資料!G360),N(E360)+1,1))</f>
        <v/>
      </c>
      <c r="G360" s="6">
        <f>IF(OR(原始資料!$A360="",6&gt;設定!$B$3,原始資料!I360=""),"",IF(AND(原始資料!H360&lt;&gt;"",原始資料!I360=原始資料!H360),N(F360)+1,1))</f>
        <v/>
      </c>
      <c r="H360" s="6">
        <f>IF(OR(原始資料!$A360="",7&gt;設定!$B$3,原始資料!J360=""),"",IF(AND(原始資料!I360&lt;&gt;"",原始資料!J360=原始資料!I360),N(G360)+1,1))</f>
        <v/>
      </c>
      <c r="I360" s="6">
        <f>IF(OR(原始資料!$A360="",8&gt;設定!$B$3,原始資料!K360=""),"",IF(AND(原始資料!J360&lt;&gt;"",原始資料!K360=原始資料!J360),N(H360)+1,1))</f>
        <v/>
      </c>
      <c r="J360" s="6">
        <f>IF(OR(原始資料!$A360="",9&gt;設定!$B$3,原始資料!L360=""),"",IF(AND(原始資料!K360&lt;&gt;"",原始資料!L360=原始資料!K360),N(I360)+1,1))</f>
        <v/>
      </c>
      <c r="K360" s="6">
        <f>IF(OR(原始資料!$A360="",10&gt;設定!$B$3,原始資料!M360=""),"",IF(AND(原始資料!L360&lt;&gt;"",原始資料!M360=原始資料!L360),N(J360)+1,1))</f>
        <v/>
      </c>
      <c r="L360" s="6">
        <f>IF(OR(原始資料!$A360="",11&gt;設定!$B$3,原始資料!N360=""),"",IF(AND(原始資料!M360&lt;&gt;"",原始資料!N360=原始資料!M360),N(K360)+1,1))</f>
        <v/>
      </c>
      <c r="M360" s="6">
        <f>IF(OR(原始資料!$A360="",12&gt;設定!$B$3,原始資料!O360=""),"",IF(AND(原始資料!N360&lt;&gt;"",原始資料!O360=原始資料!N360),N(L360)+1,1))</f>
        <v/>
      </c>
      <c r="N360" s="6">
        <f>IF(OR(原始資料!$A360="",13&gt;設定!$B$3,原始資料!P360=""),"",IF(AND(原始資料!O360&lt;&gt;"",原始資料!P360=原始資料!O360),N(M360)+1,1))</f>
        <v/>
      </c>
      <c r="O360" s="6">
        <f>IF(OR(原始資料!$A360="",14&gt;設定!$B$3,原始資料!Q360=""),"",IF(AND(原始資料!P360&lt;&gt;"",原始資料!Q360=原始資料!P360),N(N360)+1,1))</f>
        <v/>
      </c>
      <c r="P360" s="6">
        <f>IF(OR(原始資料!$A360="",15&gt;設定!$B$3,原始資料!R360=""),"",IF(AND(原始資料!Q360&lt;&gt;"",原始資料!R360=原始資料!Q360),N(O360)+1,1))</f>
        <v/>
      </c>
      <c r="Q360" s="6">
        <f>IF(OR(原始資料!$A360="",16&gt;設定!$B$3,原始資料!S360=""),"",IF(AND(原始資料!R360&lt;&gt;"",原始資料!S360=原始資料!R360),N(P360)+1,1))</f>
        <v/>
      </c>
      <c r="R360" s="6">
        <f>IF(OR(原始資料!$A360="",17&gt;設定!$B$3,原始資料!T360=""),"",IF(AND(原始資料!S360&lt;&gt;"",原始資料!T360=原始資料!S360),N(Q360)+1,1))</f>
        <v/>
      </c>
      <c r="S360" s="6">
        <f>IF(OR(原始資料!$A360="",18&gt;設定!$B$3,原始資料!U360=""),"",IF(AND(原始資料!T360&lt;&gt;"",原始資料!U360=原始資料!T360),N(R360)+1,1))</f>
        <v/>
      </c>
      <c r="T360" s="6">
        <f>IF(OR(原始資料!$A360="",19&gt;設定!$B$3,原始資料!V360=""),"",IF(AND(原始資料!U360&lt;&gt;"",原始資料!V360=原始資料!U360),N(S360)+1,1))</f>
        <v/>
      </c>
      <c r="U360" s="6">
        <f>IF(OR(原始資料!$A360="",20&gt;設定!$B$3,原始資料!W360=""),"",IF(AND(原始資料!V360&lt;&gt;"",原始資料!W360=原始資料!V360),N(T360)+1,1))</f>
        <v/>
      </c>
      <c r="V360" s="6">
        <f>IF(OR(原始資料!$A360="",21&gt;設定!$B$3,原始資料!X360=""),"",IF(AND(原始資料!W360&lt;&gt;"",原始資料!X360=原始資料!W360),N(U360)+1,1))</f>
        <v/>
      </c>
      <c r="W360" s="6">
        <f>IF(OR(原始資料!$A360="",22&gt;設定!$B$3,原始資料!Y360=""),"",IF(AND(原始資料!X360&lt;&gt;"",原始資料!Y360=原始資料!X360),N(V360)+1,1))</f>
        <v/>
      </c>
      <c r="X360" s="6">
        <f>IF(OR(原始資料!$A360="",23&gt;設定!$B$3,原始資料!Z360=""),"",IF(AND(原始資料!Y360&lt;&gt;"",原始資料!Z360=原始資料!Y360),N(W360)+1,1))</f>
        <v/>
      </c>
      <c r="Y360" s="6">
        <f>IF(OR(原始資料!$A360="",24&gt;設定!$B$3,原始資料!AA360=""),"",IF(AND(原始資料!Z360&lt;&gt;"",原始資料!AA360=原始資料!Z360),N(X360)+1,1))</f>
        <v/>
      </c>
      <c r="Z360" s="6">
        <f>IF(OR(原始資料!$A360="",25&gt;設定!$B$3,原始資料!AB360=""),"",IF(AND(原始資料!AA360&lt;&gt;"",原始資料!AB360=原始資料!AA360),N(Y360)+1,1))</f>
        <v/>
      </c>
      <c r="AA360" s="6">
        <f>IF(OR(原始資料!$A360="",26&gt;設定!$B$3,原始資料!AC360=""),"",IF(AND(原始資料!AB360&lt;&gt;"",原始資料!AC360=原始資料!AB360),N(Z360)+1,1))</f>
        <v/>
      </c>
      <c r="AB360" s="6">
        <f>IF(OR(原始資料!$A360="",27&gt;設定!$B$3,原始資料!AD360=""),"",IF(AND(原始資料!AC360&lt;&gt;"",原始資料!AD360=原始資料!AC360),N(AA360)+1,1))</f>
        <v/>
      </c>
      <c r="AC360" s="6">
        <f>IF(OR(原始資料!$A360="",28&gt;設定!$B$3,原始資料!AE360=""),"",IF(AND(原始資料!AD360&lt;&gt;"",原始資料!AE360=原始資料!AD360),N(AB360)+1,1))</f>
        <v/>
      </c>
      <c r="AD360" s="6">
        <f>IF(OR(原始資料!$A360="",29&gt;設定!$B$3,原始資料!AF360=""),"",IF(AND(原始資料!AE360&lt;&gt;"",原始資料!AF360=原始資料!AE360),N(AC360)+1,1))</f>
        <v/>
      </c>
      <c r="AE360" s="6">
        <f>IF(OR(原始資料!$A360="",30&gt;設定!$B$3,原始資料!AG360=""),"",IF(AND(原始資料!AF360&lt;&gt;"",原始資料!AG360=原始資料!AF360),N(AD360)+1,1))</f>
        <v/>
      </c>
      <c r="AF360" s="6">
        <f>IF(OR(原始資料!$A360="",31&gt;設定!$B$3,原始資料!AH360=""),"",IF(AND(原始資料!AG360&lt;&gt;"",原始資料!AH360=原始資料!AG360),N(AE360)+1,1))</f>
        <v/>
      </c>
      <c r="AG360" s="6">
        <f>IF(OR(原始資料!$A360="",32&gt;設定!$B$3,原始資料!AI360=""),"",IF(AND(原始資料!AH360&lt;&gt;"",原始資料!AI360=原始資料!AH360),N(AF360)+1,1))</f>
        <v/>
      </c>
      <c r="AH360" s="6">
        <f>IF(OR(原始資料!$A360="",33&gt;設定!$B$3,原始資料!AJ360=""),"",IF(AND(原始資料!AI360&lt;&gt;"",原始資料!AJ360=原始資料!AI360),N(AG360)+1,1))</f>
        <v/>
      </c>
      <c r="AI360" s="6">
        <f>IF(OR(原始資料!$A360="",34&gt;設定!$B$3,原始資料!AK360=""),"",IF(AND(原始資料!AJ360&lt;&gt;"",原始資料!AK360=原始資料!AJ360),N(AH360)+1,1))</f>
        <v/>
      </c>
      <c r="AJ360" s="6">
        <f>IF(OR(原始資料!$A360="",35&gt;設定!$B$3,原始資料!AL360=""),"",IF(AND(原始資料!AK360&lt;&gt;"",原始資料!AL360=原始資料!AK360),N(AI360)+1,1))</f>
        <v/>
      </c>
      <c r="AK360" s="6">
        <f>IF(OR(原始資料!$A360="",36&gt;設定!$B$3,原始資料!AM360=""),"",IF(AND(原始資料!AL360&lt;&gt;"",原始資料!AM360=原始資料!AL360),N(AJ360)+1,1))</f>
        <v/>
      </c>
      <c r="AL360" s="6">
        <f>IF(OR(原始資料!$A360="",37&gt;設定!$B$3,原始資料!AN360=""),"",IF(AND(原始資料!AM360&lt;&gt;"",原始資料!AN360=原始資料!AM360),N(AK360)+1,1))</f>
        <v/>
      </c>
      <c r="AM360" s="6">
        <f>IF(OR(原始資料!$A360="",38&gt;設定!$B$3,原始資料!AO360=""),"",IF(AND(原始資料!AN360&lt;&gt;"",原始資料!AO360=原始資料!AN360),N(AL360)+1,1))</f>
        <v/>
      </c>
      <c r="AN360" s="6">
        <f>IF(OR(原始資料!$A360="",39&gt;設定!$B$3,原始資料!AP360=""),"",IF(AND(原始資料!AO360&lt;&gt;"",原始資料!AP360=原始資料!AO360),N(AM360)+1,1))</f>
        <v/>
      </c>
      <c r="AO360" s="6">
        <f>IF(OR(原始資料!$A360="",40&gt;設定!$B$3,原始資料!AQ360=""),"",IF(AND(原始資料!AP360&lt;&gt;"",原始資料!AQ360=原始資料!AP360),N(AN360)+1,1))</f>
        <v/>
      </c>
      <c r="AP360" s="6">
        <f>IF(OR(原始資料!$A360="",41&gt;設定!$B$3,原始資料!AR360=""),"",IF(AND(原始資料!AQ360&lt;&gt;"",原始資料!AR360=原始資料!AQ360),N(AO360)+1,1))</f>
        <v/>
      </c>
      <c r="AQ360" s="6">
        <f>IF(OR(原始資料!$A360="",42&gt;設定!$B$3,原始資料!AS360=""),"",IF(AND(原始資料!AR360&lt;&gt;"",原始資料!AS360=原始資料!AR360),N(AP360)+1,1))</f>
        <v/>
      </c>
      <c r="AR360" s="6">
        <f>IF(OR(原始資料!$A360="",43&gt;設定!$B$3,原始資料!AT360=""),"",IF(AND(原始資料!AS360&lt;&gt;"",原始資料!AT360=原始資料!AS360),N(AQ360)+1,1))</f>
        <v/>
      </c>
      <c r="AS360" s="6">
        <f>IF(OR(原始資料!$A360="",44&gt;設定!$B$3,原始資料!AU360=""),"",IF(AND(原始資料!AT360&lt;&gt;"",原始資料!AU360=原始資料!AT360),N(AR360)+1,1))</f>
        <v/>
      </c>
      <c r="AT360" s="6">
        <f>IF(OR(原始資料!$A360="",45&gt;設定!$B$3,原始資料!AV360=""),"",IF(AND(原始資料!AU360&lt;&gt;"",原始資料!AV360=原始資料!AU360),N(AS360)+1,1))</f>
        <v/>
      </c>
      <c r="AU360" s="6">
        <f>IF(OR(原始資料!$A360="",46&gt;設定!$B$3,原始資料!AW360=""),"",IF(AND(原始資料!AV360&lt;&gt;"",原始資料!AW360=原始資料!AV360),N(AT360)+1,1))</f>
        <v/>
      </c>
      <c r="AV360" s="6">
        <f>IF(OR(原始資料!$A360="",47&gt;設定!$B$3,原始資料!AX360=""),"",IF(AND(原始資料!AW360&lt;&gt;"",原始資料!AX360=原始資料!AW360),N(AU360)+1,1))</f>
        <v/>
      </c>
      <c r="AW360" s="6">
        <f>IF(OR(原始資料!$A360="",48&gt;設定!$B$3,原始資料!AY360=""),"",IF(AND(原始資料!AX360&lt;&gt;"",原始資料!AY360=原始資料!AX360),N(AV360)+1,1))</f>
        <v/>
      </c>
      <c r="AX360" s="6">
        <f>IF(OR(原始資料!$A360="",49&gt;設定!$B$3,原始資料!AZ360=""),"",IF(AND(原始資料!AY360&lt;&gt;"",原始資料!AZ360=原始資料!AY360),N(AW360)+1,1))</f>
        <v/>
      </c>
      <c r="AY360" s="6">
        <f>IF(OR(原始資料!$A360="",50&gt;設定!$B$3,原始資料!BA360=""),"",IF(AND(原始資料!AZ360&lt;&gt;"",原始資料!BA360=原始資料!AZ360),N(AX360)+1,1))</f>
        <v/>
      </c>
      <c r="AZ360" s="6">
        <f>IF(OR(原始資料!$A360="",51&gt;設定!$B$3,原始資料!BB360=""),"",IF(AND(原始資料!BA360&lt;&gt;"",原始資料!BB360=原始資料!BA360),N(AY360)+1,1))</f>
        <v/>
      </c>
      <c r="BA360" s="6">
        <f>IF(OR(原始資料!$A360="",52&gt;設定!$B$3,原始資料!BC360=""),"",IF(AND(原始資料!BB360&lt;&gt;"",原始資料!BC360=原始資料!BB360),N(AZ360)+1,1))</f>
        <v/>
      </c>
      <c r="BB360" s="6">
        <f>IF(OR(原始資料!$A360="",53&gt;設定!$B$3,原始資料!BD360=""),"",IF(AND(原始資料!BC360&lt;&gt;"",原始資料!BD360=原始資料!BC360),N(BA360)+1,1))</f>
        <v/>
      </c>
      <c r="BC360" s="6">
        <f>IF(OR(原始資料!$A360="",54&gt;設定!$B$3,原始資料!BE360=""),"",IF(AND(原始資料!BD360&lt;&gt;"",原始資料!BE360=原始資料!BD360),N(BB360)+1,1))</f>
        <v/>
      </c>
      <c r="BD360" s="6">
        <f>IF(OR(原始資料!$A360="",55&gt;設定!$B$3,原始資料!BF360=""),"",IF(AND(原始資料!BE360&lt;&gt;"",原始資料!BF360=原始資料!BE360),N(BC360)+1,1))</f>
        <v/>
      </c>
      <c r="BE360" s="6">
        <f>IF(OR(原始資料!$A360="",56&gt;設定!$B$3,原始資料!BG360=""),"",IF(AND(原始資料!BF360&lt;&gt;"",原始資料!BG360=原始資料!BF360),N(BD360)+1,1))</f>
        <v/>
      </c>
      <c r="BF360" s="6">
        <f>IF(OR(原始資料!$A360="",57&gt;設定!$B$3,原始資料!BH360=""),"",IF(AND(原始資料!BG360&lt;&gt;"",原始資料!BH360=原始資料!BG360),N(BE360)+1,1))</f>
        <v/>
      </c>
      <c r="BG360" s="6">
        <f>IF(OR(原始資料!$A360="",58&gt;設定!$B$3,原始資料!BI360=""),"",IF(AND(原始資料!BH360&lt;&gt;"",原始資料!BI360=原始資料!BH360),N(BF360)+1,1))</f>
        <v/>
      </c>
      <c r="BH360" s="6">
        <f>IF(OR(原始資料!$A360="",59&gt;設定!$B$3,原始資料!BJ360=""),"",IF(AND(原始資料!BI360&lt;&gt;"",原始資料!BJ360=原始資料!BI360),N(BG360)+1,1))</f>
        <v/>
      </c>
      <c r="BI360" s="6">
        <f>IF(OR(原始資料!$A360="",60&gt;設定!$B$3,原始資料!BK360=""),"",IF(AND(原始資料!BJ360&lt;&gt;"",原始資料!BK360=原始資料!BJ360),N(BH360)+1,1))</f>
        <v/>
      </c>
    </row>
    <row r="361">
      <c r="A361" s="6">
        <f>IF(原始資料!$A361="","",原始資料!$A361)</f>
        <v/>
      </c>
      <c r="B361" s="6">
        <f>IF(OR(原始資料!$A361="",1&gt;設定!$B$3,原始資料!D361=""),"",1)</f>
        <v/>
      </c>
      <c r="C361" s="6">
        <f>IF(OR(原始資料!$A361="",2&gt;設定!$B$3,原始資料!E361=""),"",IF(AND(原始資料!D361&lt;&gt;"",原始資料!E361=原始資料!D361),N(B361)+1,1))</f>
        <v/>
      </c>
      <c r="D361" s="6">
        <f>IF(OR(原始資料!$A361="",3&gt;設定!$B$3,原始資料!F361=""),"",IF(AND(原始資料!E361&lt;&gt;"",原始資料!F361=原始資料!E361),N(C361)+1,1))</f>
        <v/>
      </c>
      <c r="E361" s="6">
        <f>IF(OR(原始資料!$A361="",4&gt;設定!$B$3,原始資料!G361=""),"",IF(AND(原始資料!F361&lt;&gt;"",原始資料!G361=原始資料!F361),N(D361)+1,1))</f>
        <v/>
      </c>
      <c r="F361" s="6">
        <f>IF(OR(原始資料!$A361="",5&gt;設定!$B$3,原始資料!H361=""),"",IF(AND(原始資料!G361&lt;&gt;"",原始資料!H361=原始資料!G361),N(E361)+1,1))</f>
        <v/>
      </c>
      <c r="G361" s="6">
        <f>IF(OR(原始資料!$A361="",6&gt;設定!$B$3,原始資料!I361=""),"",IF(AND(原始資料!H361&lt;&gt;"",原始資料!I361=原始資料!H361),N(F361)+1,1))</f>
        <v/>
      </c>
      <c r="H361" s="6">
        <f>IF(OR(原始資料!$A361="",7&gt;設定!$B$3,原始資料!J361=""),"",IF(AND(原始資料!I361&lt;&gt;"",原始資料!J361=原始資料!I361),N(G361)+1,1))</f>
        <v/>
      </c>
      <c r="I361" s="6">
        <f>IF(OR(原始資料!$A361="",8&gt;設定!$B$3,原始資料!K361=""),"",IF(AND(原始資料!J361&lt;&gt;"",原始資料!K361=原始資料!J361),N(H361)+1,1))</f>
        <v/>
      </c>
      <c r="J361" s="6">
        <f>IF(OR(原始資料!$A361="",9&gt;設定!$B$3,原始資料!L361=""),"",IF(AND(原始資料!K361&lt;&gt;"",原始資料!L361=原始資料!K361),N(I361)+1,1))</f>
        <v/>
      </c>
      <c r="K361" s="6">
        <f>IF(OR(原始資料!$A361="",10&gt;設定!$B$3,原始資料!M361=""),"",IF(AND(原始資料!L361&lt;&gt;"",原始資料!M361=原始資料!L361),N(J361)+1,1))</f>
        <v/>
      </c>
      <c r="L361" s="6">
        <f>IF(OR(原始資料!$A361="",11&gt;設定!$B$3,原始資料!N361=""),"",IF(AND(原始資料!M361&lt;&gt;"",原始資料!N361=原始資料!M361),N(K361)+1,1))</f>
        <v/>
      </c>
      <c r="M361" s="6">
        <f>IF(OR(原始資料!$A361="",12&gt;設定!$B$3,原始資料!O361=""),"",IF(AND(原始資料!N361&lt;&gt;"",原始資料!O361=原始資料!N361),N(L361)+1,1))</f>
        <v/>
      </c>
      <c r="N361" s="6">
        <f>IF(OR(原始資料!$A361="",13&gt;設定!$B$3,原始資料!P361=""),"",IF(AND(原始資料!O361&lt;&gt;"",原始資料!P361=原始資料!O361),N(M361)+1,1))</f>
        <v/>
      </c>
      <c r="O361" s="6">
        <f>IF(OR(原始資料!$A361="",14&gt;設定!$B$3,原始資料!Q361=""),"",IF(AND(原始資料!P361&lt;&gt;"",原始資料!Q361=原始資料!P361),N(N361)+1,1))</f>
        <v/>
      </c>
      <c r="P361" s="6">
        <f>IF(OR(原始資料!$A361="",15&gt;設定!$B$3,原始資料!R361=""),"",IF(AND(原始資料!Q361&lt;&gt;"",原始資料!R361=原始資料!Q361),N(O361)+1,1))</f>
        <v/>
      </c>
      <c r="Q361" s="6">
        <f>IF(OR(原始資料!$A361="",16&gt;設定!$B$3,原始資料!S361=""),"",IF(AND(原始資料!R361&lt;&gt;"",原始資料!S361=原始資料!R361),N(P361)+1,1))</f>
        <v/>
      </c>
      <c r="R361" s="6">
        <f>IF(OR(原始資料!$A361="",17&gt;設定!$B$3,原始資料!T361=""),"",IF(AND(原始資料!S361&lt;&gt;"",原始資料!T361=原始資料!S361),N(Q361)+1,1))</f>
        <v/>
      </c>
      <c r="S361" s="6">
        <f>IF(OR(原始資料!$A361="",18&gt;設定!$B$3,原始資料!U361=""),"",IF(AND(原始資料!T361&lt;&gt;"",原始資料!U361=原始資料!T361),N(R361)+1,1))</f>
        <v/>
      </c>
      <c r="T361" s="6">
        <f>IF(OR(原始資料!$A361="",19&gt;設定!$B$3,原始資料!V361=""),"",IF(AND(原始資料!U361&lt;&gt;"",原始資料!V361=原始資料!U361),N(S361)+1,1))</f>
        <v/>
      </c>
      <c r="U361" s="6">
        <f>IF(OR(原始資料!$A361="",20&gt;設定!$B$3,原始資料!W361=""),"",IF(AND(原始資料!V361&lt;&gt;"",原始資料!W361=原始資料!V361),N(T361)+1,1))</f>
        <v/>
      </c>
      <c r="V361" s="6">
        <f>IF(OR(原始資料!$A361="",21&gt;設定!$B$3,原始資料!X361=""),"",IF(AND(原始資料!W361&lt;&gt;"",原始資料!X361=原始資料!W361),N(U361)+1,1))</f>
        <v/>
      </c>
      <c r="W361" s="6">
        <f>IF(OR(原始資料!$A361="",22&gt;設定!$B$3,原始資料!Y361=""),"",IF(AND(原始資料!X361&lt;&gt;"",原始資料!Y361=原始資料!X361),N(V361)+1,1))</f>
        <v/>
      </c>
      <c r="X361" s="6">
        <f>IF(OR(原始資料!$A361="",23&gt;設定!$B$3,原始資料!Z361=""),"",IF(AND(原始資料!Y361&lt;&gt;"",原始資料!Z361=原始資料!Y361),N(W361)+1,1))</f>
        <v/>
      </c>
      <c r="Y361" s="6">
        <f>IF(OR(原始資料!$A361="",24&gt;設定!$B$3,原始資料!AA361=""),"",IF(AND(原始資料!Z361&lt;&gt;"",原始資料!AA361=原始資料!Z361),N(X361)+1,1))</f>
        <v/>
      </c>
      <c r="Z361" s="6">
        <f>IF(OR(原始資料!$A361="",25&gt;設定!$B$3,原始資料!AB361=""),"",IF(AND(原始資料!AA361&lt;&gt;"",原始資料!AB361=原始資料!AA361),N(Y361)+1,1))</f>
        <v/>
      </c>
      <c r="AA361" s="6">
        <f>IF(OR(原始資料!$A361="",26&gt;設定!$B$3,原始資料!AC361=""),"",IF(AND(原始資料!AB361&lt;&gt;"",原始資料!AC361=原始資料!AB361),N(Z361)+1,1))</f>
        <v/>
      </c>
      <c r="AB361" s="6">
        <f>IF(OR(原始資料!$A361="",27&gt;設定!$B$3,原始資料!AD361=""),"",IF(AND(原始資料!AC361&lt;&gt;"",原始資料!AD361=原始資料!AC361),N(AA361)+1,1))</f>
        <v/>
      </c>
      <c r="AC361" s="6">
        <f>IF(OR(原始資料!$A361="",28&gt;設定!$B$3,原始資料!AE361=""),"",IF(AND(原始資料!AD361&lt;&gt;"",原始資料!AE361=原始資料!AD361),N(AB361)+1,1))</f>
        <v/>
      </c>
      <c r="AD361" s="6">
        <f>IF(OR(原始資料!$A361="",29&gt;設定!$B$3,原始資料!AF361=""),"",IF(AND(原始資料!AE361&lt;&gt;"",原始資料!AF361=原始資料!AE361),N(AC361)+1,1))</f>
        <v/>
      </c>
      <c r="AE361" s="6">
        <f>IF(OR(原始資料!$A361="",30&gt;設定!$B$3,原始資料!AG361=""),"",IF(AND(原始資料!AF361&lt;&gt;"",原始資料!AG361=原始資料!AF361),N(AD361)+1,1))</f>
        <v/>
      </c>
      <c r="AF361" s="6">
        <f>IF(OR(原始資料!$A361="",31&gt;設定!$B$3,原始資料!AH361=""),"",IF(AND(原始資料!AG361&lt;&gt;"",原始資料!AH361=原始資料!AG361),N(AE361)+1,1))</f>
        <v/>
      </c>
      <c r="AG361" s="6">
        <f>IF(OR(原始資料!$A361="",32&gt;設定!$B$3,原始資料!AI361=""),"",IF(AND(原始資料!AH361&lt;&gt;"",原始資料!AI361=原始資料!AH361),N(AF361)+1,1))</f>
        <v/>
      </c>
      <c r="AH361" s="6">
        <f>IF(OR(原始資料!$A361="",33&gt;設定!$B$3,原始資料!AJ361=""),"",IF(AND(原始資料!AI361&lt;&gt;"",原始資料!AJ361=原始資料!AI361),N(AG361)+1,1))</f>
        <v/>
      </c>
      <c r="AI361" s="6">
        <f>IF(OR(原始資料!$A361="",34&gt;設定!$B$3,原始資料!AK361=""),"",IF(AND(原始資料!AJ361&lt;&gt;"",原始資料!AK361=原始資料!AJ361),N(AH361)+1,1))</f>
        <v/>
      </c>
      <c r="AJ361" s="6">
        <f>IF(OR(原始資料!$A361="",35&gt;設定!$B$3,原始資料!AL361=""),"",IF(AND(原始資料!AK361&lt;&gt;"",原始資料!AL361=原始資料!AK361),N(AI361)+1,1))</f>
        <v/>
      </c>
      <c r="AK361" s="6">
        <f>IF(OR(原始資料!$A361="",36&gt;設定!$B$3,原始資料!AM361=""),"",IF(AND(原始資料!AL361&lt;&gt;"",原始資料!AM361=原始資料!AL361),N(AJ361)+1,1))</f>
        <v/>
      </c>
      <c r="AL361" s="6">
        <f>IF(OR(原始資料!$A361="",37&gt;設定!$B$3,原始資料!AN361=""),"",IF(AND(原始資料!AM361&lt;&gt;"",原始資料!AN361=原始資料!AM361),N(AK361)+1,1))</f>
        <v/>
      </c>
      <c r="AM361" s="6">
        <f>IF(OR(原始資料!$A361="",38&gt;設定!$B$3,原始資料!AO361=""),"",IF(AND(原始資料!AN361&lt;&gt;"",原始資料!AO361=原始資料!AN361),N(AL361)+1,1))</f>
        <v/>
      </c>
      <c r="AN361" s="6">
        <f>IF(OR(原始資料!$A361="",39&gt;設定!$B$3,原始資料!AP361=""),"",IF(AND(原始資料!AO361&lt;&gt;"",原始資料!AP361=原始資料!AO361),N(AM361)+1,1))</f>
        <v/>
      </c>
      <c r="AO361" s="6">
        <f>IF(OR(原始資料!$A361="",40&gt;設定!$B$3,原始資料!AQ361=""),"",IF(AND(原始資料!AP361&lt;&gt;"",原始資料!AQ361=原始資料!AP361),N(AN361)+1,1))</f>
        <v/>
      </c>
      <c r="AP361" s="6">
        <f>IF(OR(原始資料!$A361="",41&gt;設定!$B$3,原始資料!AR361=""),"",IF(AND(原始資料!AQ361&lt;&gt;"",原始資料!AR361=原始資料!AQ361),N(AO361)+1,1))</f>
        <v/>
      </c>
      <c r="AQ361" s="6">
        <f>IF(OR(原始資料!$A361="",42&gt;設定!$B$3,原始資料!AS361=""),"",IF(AND(原始資料!AR361&lt;&gt;"",原始資料!AS361=原始資料!AR361),N(AP361)+1,1))</f>
        <v/>
      </c>
      <c r="AR361" s="6">
        <f>IF(OR(原始資料!$A361="",43&gt;設定!$B$3,原始資料!AT361=""),"",IF(AND(原始資料!AS361&lt;&gt;"",原始資料!AT361=原始資料!AS361),N(AQ361)+1,1))</f>
        <v/>
      </c>
      <c r="AS361" s="6">
        <f>IF(OR(原始資料!$A361="",44&gt;設定!$B$3,原始資料!AU361=""),"",IF(AND(原始資料!AT361&lt;&gt;"",原始資料!AU361=原始資料!AT361),N(AR361)+1,1))</f>
        <v/>
      </c>
      <c r="AT361" s="6">
        <f>IF(OR(原始資料!$A361="",45&gt;設定!$B$3,原始資料!AV361=""),"",IF(AND(原始資料!AU361&lt;&gt;"",原始資料!AV361=原始資料!AU361),N(AS361)+1,1))</f>
        <v/>
      </c>
      <c r="AU361" s="6">
        <f>IF(OR(原始資料!$A361="",46&gt;設定!$B$3,原始資料!AW361=""),"",IF(AND(原始資料!AV361&lt;&gt;"",原始資料!AW361=原始資料!AV361),N(AT361)+1,1))</f>
        <v/>
      </c>
      <c r="AV361" s="6">
        <f>IF(OR(原始資料!$A361="",47&gt;設定!$B$3,原始資料!AX361=""),"",IF(AND(原始資料!AW361&lt;&gt;"",原始資料!AX361=原始資料!AW361),N(AU361)+1,1))</f>
        <v/>
      </c>
      <c r="AW361" s="6">
        <f>IF(OR(原始資料!$A361="",48&gt;設定!$B$3,原始資料!AY361=""),"",IF(AND(原始資料!AX361&lt;&gt;"",原始資料!AY361=原始資料!AX361),N(AV361)+1,1))</f>
        <v/>
      </c>
      <c r="AX361" s="6">
        <f>IF(OR(原始資料!$A361="",49&gt;設定!$B$3,原始資料!AZ361=""),"",IF(AND(原始資料!AY361&lt;&gt;"",原始資料!AZ361=原始資料!AY361),N(AW361)+1,1))</f>
        <v/>
      </c>
      <c r="AY361" s="6">
        <f>IF(OR(原始資料!$A361="",50&gt;設定!$B$3,原始資料!BA361=""),"",IF(AND(原始資料!AZ361&lt;&gt;"",原始資料!BA361=原始資料!AZ361),N(AX361)+1,1))</f>
        <v/>
      </c>
      <c r="AZ361" s="6">
        <f>IF(OR(原始資料!$A361="",51&gt;設定!$B$3,原始資料!BB361=""),"",IF(AND(原始資料!BA361&lt;&gt;"",原始資料!BB361=原始資料!BA361),N(AY361)+1,1))</f>
        <v/>
      </c>
      <c r="BA361" s="6">
        <f>IF(OR(原始資料!$A361="",52&gt;設定!$B$3,原始資料!BC361=""),"",IF(AND(原始資料!BB361&lt;&gt;"",原始資料!BC361=原始資料!BB361),N(AZ361)+1,1))</f>
        <v/>
      </c>
      <c r="BB361" s="6">
        <f>IF(OR(原始資料!$A361="",53&gt;設定!$B$3,原始資料!BD361=""),"",IF(AND(原始資料!BC361&lt;&gt;"",原始資料!BD361=原始資料!BC361),N(BA361)+1,1))</f>
        <v/>
      </c>
      <c r="BC361" s="6">
        <f>IF(OR(原始資料!$A361="",54&gt;設定!$B$3,原始資料!BE361=""),"",IF(AND(原始資料!BD361&lt;&gt;"",原始資料!BE361=原始資料!BD361),N(BB361)+1,1))</f>
        <v/>
      </c>
      <c r="BD361" s="6">
        <f>IF(OR(原始資料!$A361="",55&gt;設定!$B$3,原始資料!BF361=""),"",IF(AND(原始資料!BE361&lt;&gt;"",原始資料!BF361=原始資料!BE361),N(BC361)+1,1))</f>
        <v/>
      </c>
      <c r="BE361" s="6">
        <f>IF(OR(原始資料!$A361="",56&gt;設定!$B$3,原始資料!BG361=""),"",IF(AND(原始資料!BF361&lt;&gt;"",原始資料!BG361=原始資料!BF361),N(BD361)+1,1))</f>
        <v/>
      </c>
      <c r="BF361" s="6">
        <f>IF(OR(原始資料!$A361="",57&gt;設定!$B$3,原始資料!BH361=""),"",IF(AND(原始資料!BG361&lt;&gt;"",原始資料!BH361=原始資料!BG361),N(BE361)+1,1))</f>
        <v/>
      </c>
      <c r="BG361" s="6">
        <f>IF(OR(原始資料!$A361="",58&gt;設定!$B$3,原始資料!BI361=""),"",IF(AND(原始資料!BH361&lt;&gt;"",原始資料!BI361=原始資料!BH361),N(BF361)+1,1))</f>
        <v/>
      </c>
      <c r="BH361" s="6">
        <f>IF(OR(原始資料!$A361="",59&gt;設定!$B$3,原始資料!BJ361=""),"",IF(AND(原始資料!BI361&lt;&gt;"",原始資料!BJ361=原始資料!BI361),N(BG361)+1,1))</f>
        <v/>
      </c>
      <c r="BI361" s="6">
        <f>IF(OR(原始資料!$A361="",60&gt;設定!$B$3,原始資料!BK361=""),"",IF(AND(原始資料!BJ361&lt;&gt;"",原始資料!BK361=原始資料!BJ361),N(BH361)+1,1))</f>
        <v/>
      </c>
    </row>
    <row r="362">
      <c r="A362" s="6">
        <f>IF(原始資料!$A362="","",原始資料!$A362)</f>
        <v/>
      </c>
      <c r="B362" s="6">
        <f>IF(OR(原始資料!$A362="",1&gt;設定!$B$3,原始資料!D362=""),"",1)</f>
        <v/>
      </c>
      <c r="C362" s="6">
        <f>IF(OR(原始資料!$A362="",2&gt;設定!$B$3,原始資料!E362=""),"",IF(AND(原始資料!D362&lt;&gt;"",原始資料!E362=原始資料!D362),N(B362)+1,1))</f>
        <v/>
      </c>
      <c r="D362" s="6">
        <f>IF(OR(原始資料!$A362="",3&gt;設定!$B$3,原始資料!F362=""),"",IF(AND(原始資料!E362&lt;&gt;"",原始資料!F362=原始資料!E362),N(C362)+1,1))</f>
        <v/>
      </c>
      <c r="E362" s="6">
        <f>IF(OR(原始資料!$A362="",4&gt;設定!$B$3,原始資料!G362=""),"",IF(AND(原始資料!F362&lt;&gt;"",原始資料!G362=原始資料!F362),N(D362)+1,1))</f>
        <v/>
      </c>
      <c r="F362" s="6">
        <f>IF(OR(原始資料!$A362="",5&gt;設定!$B$3,原始資料!H362=""),"",IF(AND(原始資料!G362&lt;&gt;"",原始資料!H362=原始資料!G362),N(E362)+1,1))</f>
        <v/>
      </c>
      <c r="G362" s="6">
        <f>IF(OR(原始資料!$A362="",6&gt;設定!$B$3,原始資料!I362=""),"",IF(AND(原始資料!H362&lt;&gt;"",原始資料!I362=原始資料!H362),N(F362)+1,1))</f>
        <v/>
      </c>
      <c r="H362" s="6">
        <f>IF(OR(原始資料!$A362="",7&gt;設定!$B$3,原始資料!J362=""),"",IF(AND(原始資料!I362&lt;&gt;"",原始資料!J362=原始資料!I362),N(G362)+1,1))</f>
        <v/>
      </c>
      <c r="I362" s="6">
        <f>IF(OR(原始資料!$A362="",8&gt;設定!$B$3,原始資料!K362=""),"",IF(AND(原始資料!J362&lt;&gt;"",原始資料!K362=原始資料!J362),N(H362)+1,1))</f>
        <v/>
      </c>
      <c r="J362" s="6">
        <f>IF(OR(原始資料!$A362="",9&gt;設定!$B$3,原始資料!L362=""),"",IF(AND(原始資料!K362&lt;&gt;"",原始資料!L362=原始資料!K362),N(I362)+1,1))</f>
        <v/>
      </c>
      <c r="K362" s="6">
        <f>IF(OR(原始資料!$A362="",10&gt;設定!$B$3,原始資料!M362=""),"",IF(AND(原始資料!L362&lt;&gt;"",原始資料!M362=原始資料!L362),N(J362)+1,1))</f>
        <v/>
      </c>
      <c r="L362" s="6">
        <f>IF(OR(原始資料!$A362="",11&gt;設定!$B$3,原始資料!N362=""),"",IF(AND(原始資料!M362&lt;&gt;"",原始資料!N362=原始資料!M362),N(K362)+1,1))</f>
        <v/>
      </c>
      <c r="M362" s="6">
        <f>IF(OR(原始資料!$A362="",12&gt;設定!$B$3,原始資料!O362=""),"",IF(AND(原始資料!N362&lt;&gt;"",原始資料!O362=原始資料!N362),N(L362)+1,1))</f>
        <v/>
      </c>
      <c r="N362" s="6">
        <f>IF(OR(原始資料!$A362="",13&gt;設定!$B$3,原始資料!P362=""),"",IF(AND(原始資料!O362&lt;&gt;"",原始資料!P362=原始資料!O362),N(M362)+1,1))</f>
        <v/>
      </c>
      <c r="O362" s="6">
        <f>IF(OR(原始資料!$A362="",14&gt;設定!$B$3,原始資料!Q362=""),"",IF(AND(原始資料!P362&lt;&gt;"",原始資料!Q362=原始資料!P362),N(N362)+1,1))</f>
        <v/>
      </c>
      <c r="P362" s="6">
        <f>IF(OR(原始資料!$A362="",15&gt;設定!$B$3,原始資料!R362=""),"",IF(AND(原始資料!Q362&lt;&gt;"",原始資料!R362=原始資料!Q362),N(O362)+1,1))</f>
        <v/>
      </c>
      <c r="Q362" s="6">
        <f>IF(OR(原始資料!$A362="",16&gt;設定!$B$3,原始資料!S362=""),"",IF(AND(原始資料!R362&lt;&gt;"",原始資料!S362=原始資料!R362),N(P362)+1,1))</f>
        <v/>
      </c>
      <c r="R362" s="6">
        <f>IF(OR(原始資料!$A362="",17&gt;設定!$B$3,原始資料!T362=""),"",IF(AND(原始資料!S362&lt;&gt;"",原始資料!T362=原始資料!S362),N(Q362)+1,1))</f>
        <v/>
      </c>
      <c r="S362" s="6">
        <f>IF(OR(原始資料!$A362="",18&gt;設定!$B$3,原始資料!U362=""),"",IF(AND(原始資料!T362&lt;&gt;"",原始資料!U362=原始資料!T362),N(R362)+1,1))</f>
        <v/>
      </c>
      <c r="T362" s="6">
        <f>IF(OR(原始資料!$A362="",19&gt;設定!$B$3,原始資料!V362=""),"",IF(AND(原始資料!U362&lt;&gt;"",原始資料!V362=原始資料!U362),N(S362)+1,1))</f>
        <v/>
      </c>
      <c r="U362" s="6">
        <f>IF(OR(原始資料!$A362="",20&gt;設定!$B$3,原始資料!W362=""),"",IF(AND(原始資料!V362&lt;&gt;"",原始資料!W362=原始資料!V362),N(T362)+1,1))</f>
        <v/>
      </c>
      <c r="V362" s="6">
        <f>IF(OR(原始資料!$A362="",21&gt;設定!$B$3,原始資料!X362=""),"",IF(AND(原始資料!W362&lt;&gt;"",原始資料!X362=原始資料!W362),N(U362)+1,1))</f>
        <v/>
      </c>
      <c r="W362" s="6">
        <f>IF(OR(原始資料!$A362="",22&gt;設定!$B$3,原始資料!Y362=""),"",IF(AND(原始資料!X362&lt;&gt;"",原始資料!Y362=原始資料!X362),N(V362)+1,1))</f>
        <v/>
      </c>
      <c r="X362" s="6">
        <f>IF(OR(原始資料!$A362="",23&gt;設定!$B$3,原始資料!Z362=""),"",IF(AND(原始資料!Y362&lt;&gt;"",原始資料!Z362=原始資料!Y362),N(W362)+1,1))</f>
        <v/>
      </c>
      <c r="Y362" s="6">
        <f>IF(OR(原始資料!$A362="",24&gt;設定!$B$3,原始資料!AA362=""),"",IF(AND(原始資料!Z362&lt;&gt;"",原始資料!AA362=原始資料!Z362),N(X362)+1,1))</f>
        <v/>
      </c>
      <c r="Z362" s="6">
        <f>IF(OR(原始資料!$A362="",25&gt;設定!$B$3,原始資料!AB362=""),"",IF(AND(原始資料!AA362&lt;&gt;"",原始資料!AB362=原始資料!AA362),N(Y362)+1,1))</f>
        <v/>
      </c>
      <c r="AA362" s="6">
        <f>IF(OR(原始資料!$A362="",26&gt;設定!$B$3,原始資料!AC362=""),"",IF(AND(原始資料!AB362&lt;&gt;"",原始資料!AC362=原始資料!AB362),N(Z362)+1,1))</f>
        <v/>
      </c>
      <c r="AB362" s="6">
        <f>IF(OR(原始資料!$A362="",27&gt;設定!$B$3,原始資料!AD362=""),"",IF(AND(原始資料!AC362&lt;&gt;"",原始資料!AD362=原始資料!AC362),N(AA362)+1,1))</f>
        <v/>
      </c>
      <c r="AC362" s="6">
        <f>IF(OR(原始資料!$A362="",28&gt;設定!$B$3,原始資料!AE362=""),"",IF(AND(原始資料!AD362&lt;&gt;"",原始資料!AE362=原始資料!AD362),N(AB362)+1,1))</f>
        <v/>
      </c>
      <c r="AD362" s="6">
        <f>IF(OR(原始資料!$A362="",29&gt;設定!$B$3,原始資料!AF362=""),"",IF(AND(原始資料!AE362&lt;&gt;"",原始資料!AF362=原始資料!AE362),N(AC362)+1,1))</f>
        <v/>
      </c>
      <c r="AE362" s="6">
        <f>IF(OR(原始資料!$A362="",30&gt;設定!$B$3,原始資料!AG362=""),"",IF(AND(原始資料!AF362&lt;&gt;"",原始資料!AG362=原始資料!AF362),N(AD362)+1,1))</f>
        <v/>
      </c>
      <c r="AF362" s="6">
        <f>IF(OR(原始資料!$A362="",31&gt;設定!$B$3,原始資料!AH362=""),"",IF(AND(原始資料!AG362&lt;&gt;"",原始資料!AH362=原始資料!AG362),N(AE362)+1,1))</f>
        <v/>
      </c>
      <c r="AG362" s="6">
        <f>IF(OR(原始資料!$A362="",32&gt;設定!$B$3,原始資料!AI362=""),"",IF(AND(原始資料!AH362&lt;&gt;"",原始資料!AI362=原始資料!AH362),N(AF362)+1,1))</f>
        <v/>
      </c>
      <c r="AH362" s="6">
        <f>IF(OR(原始資料!$A362="",33&gt;設定!$B$3,原始資料!AJ362=""),"",IF(AND(原始資料!AI362&lt;&gt;"",原始資料!AJ362=原始資料!AI362),N(AG362)+1,1))</f>
        <v/>
      </c>
      <c r="AI362" s="6">
        <f>IF(OR(原始資料!$A362="",34&gt;設定!$B$3,原始資料!AK362=""),"",IF(AND(原始資料!AJ362&lt;&gt;"",原始資料!AK362=原始資料!AJ362),N(AH362)+1,1))</f>
        <v/>
      </c>
      <c r="AJ362" s="6">
        <f>IF(OR(原始資料!$A362="",35&gt;設定!$B$3,原始資料!AL362=""),"",IF(AND(原始資料!AK362&lt;&gt;"",原始資料!AL362=原始資料!AK362),N(AI362)+1,1))</f>
        <v/>
      </c>
      <c r="AK362" s="6">
        <f>IF(OR(原始資料!$A362="",36&gt;設定!$B$3,原始資料!AM362=""),"",IF(AND(原始資料!AL362&lt;&gt;"",原始資料!AM362=原始資料!AL362),N(AJ362)+1,1))</f>
        <v/>
      </c>
      <c r="AL362" s="6">
        <f>IF(OR(原始資料!$A362="",37&gt;設定!$B$3,原始資料!AN362=""),"",IF(AND(原始資料!AM362&lt;&gt;"",原始資料!AN362=原始資料!AM362),N(AK362)+1,1))</f>
        <v/>
      </c>
      <c r="AM362" s="6">
        <f>IF(OR(原始資料!$A362="",38&gt;設定!$B$3,原始資料!AO362=""),"",IF(AND(原始資料!AN362&lt;&gt;"",原始資料!AO362=原始資料!AN362),N(AL362)+1,1))</f>
        <v/>
      </c>
      <c r="AN362" s="6">
        <f>IF(OR(原始資料!$A362="",39&gt;設定!$B$3,原始資料!AP362=""),"",IF(AND(原始資料!AO362&lt;&gt;"",原始資料!AP362=原始資料!AO362),N(AM362)+1,1))</f>
        <v/>
      </c>
      <c r="AO362" s="6">
        <f>IF(OR(原始資料!$A362="",40&gt;設定!$B$3,原始資料!AQ362=""),"",IF(AND(原始資料!AP362&lt;&gt;"",原始資料!AQ362=原始資料!AP362),N(AN362)+1,1))</f>
        <v/>
      </c>
      <c r="AP362" s="6">
        <f>IF(OR(原始資料!$A362="",41&gt;設定!$B$3,原始資料!AR362=""),"",IF(AND(原始資料!AQ362&lt;&gt;"",原始資料!AR362=原始資料!AQ362),N(AO362)+1,1))</f>
        <v/>
      </c>
      <c r="AQ362" s="6">
        <f>IF(OR(原始資料!$A362="",42&gt;設定!$B$3,原始資料!AS362=""),"",IF(AND(原始資料!AR362&lt;&gt;"",原始資料!AS362=原始資料!AR362),N(AP362)+1,1))</f>
        <v/>
      </c>
      <c r="AR362" s="6">
        <f>IF(OR(原始資料!$A362="",43&gt;設定!$B$3,原始資料!AT362=""),"",IF(AND(原始資料!AS362&lt;&gt;"",原始資料!AT362=原始資料!AS362),N(AQ362)+1,1))</f>
        <v/>
      </c>
      <c r="AS362" s="6">
        <f>IF(OR(原始資料!$A362="",44&gt;設定!$B$3,原始資料!AU362=""),"",IF(AND(原始資料!AT362&lt;&gt;"",原始資料!AU362=原始資料!AT362),N(AR362)+1,1))</f>
        <v/>
      </c>
      <c r="AT362" s="6">
        <f>IF(OR(原始資料!$A362="",45&gt;設定!$B$3,原始資料!AV362=""),"",IF(AND(原始資料!AU362&lt;&gt;"",原始資料!AV362=原始資料!AU362),N(AS362)+1,1))</f>
        <v/>
      </c>
      <c r="AU362" s="6">
        <f>IF(OR(原始資料!$A362="",46&gt;設定!$B$3,原始資料!AW362=""),"",IF(AND(原始資料!AV362&lt;&gt;"",原始資料!AW362=原始資料!AV362),N(AT362)+1,1))</f>
        <v/>
      </c>
      <c r="AV362" s="6">
        <f>IF(OR(原始資料!$A362="",47&gt;設定!$B$3,原始資料!AX362=""),"",IF(AND(原始資料!AW362&lt;&gt;"",原始資料!AX362=原始資料!AW362),N(AU362)+1,1))</f>
        <v/>
      </c>
      <c r="AW362" s="6">
        <f>IF(OR(原始資料!$A362="",48&gt;設定!$B$3,原始資料!AY362=""),"",IF(AND(原始資料!AX362&lt;&gt;"",原始資料!AY362=原始資料!AX362),N(AV362)+1,1))</f>
        <v/>
      </c>
      <c r="AX362" s="6">
        <f>IF(OR(原始資料!$A362="",49&gt;設定!$B$3,原始資料!AZ362=""),"",IF(AND(原始資料!AY362&lt;&gt;"",原始資料!AZ362=原始資料!AY362),N(AW362)+1,1))</f>
        <v/>
      </c>
      <c r="AY362" s="6">
        <f>IF(OR(原始資料!$A362="",50&gt;設定!$B$3,原始資料!BA362=""),"",IF(AND(原始資料!AZ362&lt;&gt;"",原始資料!BA362=原始資料!AZ362),N(AX362)+1,1))</f>
        <v/>
      </c>
      <c r="AZ362" s="6">
        <f>IF(OR(原始資料!$A362="",51&gt;設定!$B$3,原始資料!BB362=""),"",IF(AND(原始資料!BA362&lt;&gt;"",原始資料!BB362=原始資料!BA362),N(AY362)+1,1))</f>
        <v/>
      </c>
      <c r="BA362" s="6">
        <f>IF(OR(原始資料!$A362="",52&gt;設定!$B$3,原始資料!BC362=""),"",IF(AND(原始資料!BB362&lt;&gt;"",原始資料!BC362=原始資料!BB362),N(AZ362)+1,1))</f>
        <v/>
      </c>
      <c r="BB362" s="6">
        <f>IF(OR(原始資料!$A362="",53&gt;設定!$B$3,原始資料!BD362=""),"",IF(AND(原始資料!BC362&lt;&gt;"",原始資料!BD362=原始資料!BC362),N(BA362)+1,1))</f>
        <v/>
      </c>
      <c r="BC362" s="6">
        <f>IF(OR(原始資料!$A362="",54&gt;設定!$B$3,原始資料!BE362=""),"",IF(AND(原始資料!BD362&lt;&gt;"",原始資料!BE362=原始資料!BD362),N(BB362)+1,1))</f>
        <v/>
      </c>
      <c r="BD362" s="6">
        <f>IF(OR(原始資料!$A362="",55&gt;設定!$B$3,原始資料!BF362=""),"",IF(AND(原始資料!BE362&lt;&gt;"",原始資料!BF362=原始資料!BE362),N(BC362)+1,1))</f>
        <v/>
      </c>
      <c r="BE362" s="6">
        <f>IF(OR(原始資料!$A362="",56&gt;設定!$B$3,原始資料!BG362=""),"",IF(AND(原始資料!BF362&lt;&gt;"",原始資料!BG362=原始資料!BF362),N(BD362)+1,1))</f>
        <v/>
      </c>
      <c r="BF362" s="6">
        <f>IF(OR(原始資料!$A362="",57&gt;設定!$B$3,原始資料!BH362=""),"",IF(AND(原始資料!BG362&lt;&gt;"",原始資料!BH362=原始資料!BG362),N(BE362)+1,1))</f>
        <v/>
      </c>
      <c r="BG362" s="6">
        <f>IF(OR(原始資料!$A362="",58&gt;設定!$B$3,原始資料!BI362=""),"",IF(AND(原始資料!BH362&lt;&gt;"",原始資料!BI362=原始資料!BH362),N(BF362)+1,1))</f>
        <v/>
      </c>
      <c r="BH362" s="6">
        <f>IF(OR(原始資料!$A362="",59&gt;設定!$B$3,原始資料!BJ362=""),"",IF(AND(原始資料!BI362&lt;&gt;"",原始資料!BJ362=原始資料!BI362),N(BG362)+1,1))</f>
        <v/>
      </c>
      <c r="BI362" s="6">
        <f>IF(OR(原始資料!$A362="",60&gt;設定!$B$3,原始資料!BK362=""),"",IF(AND(原始資料!BJ362&lt;&gt;"",原始資料!BK362=原始資料!BJ362),N(BH362)+1,1))</f>
        <v/>
      </c>
    </row>
    <row r="363">
      <c r="A363" s="6">
        <f>IF(原始資料!$A363="","",原始資料!$A363)</f>
        <v/>
      </c>
      <c r="B363" s="6">
        <f>IF(OR(原始資料!$A363="",1&gt;設定!$B$3,原始資料!D363=""),"",1)</f>
        <v/>
      </c>
      <c r="C363" s="6">
        <f>IF(OR(原始資料!$A363="",2&gt;設定!$B$3,原始資料!E363=""),"",IF(AND(原始資料!D363&lt;&gt;"",原始資料!E363=原始資料!D363),N(B363)+1,1))</f>
        <v/>
      </c>
      <c r="D363" s="6">
        <f>IF(OR(原始資料!$A363="",3&gt;設定!$B$3,原始資料!F363=""),"",IF(AND(原始資料!E363&lt;&gt;"",原始資料!F363=原始資料!E363),N(C363)+1,1))</f>
        <v/>
      </c>
      <c r="E363" s="6">
        <f>IF(OR(原始資料!$A363="",4&gt;設定!$B$3,原始資料!G363=""),"",IF(AND(原始資料!F363&lt;&gt;"",原始資料!G363=原始資料!F363),N(D363)+1,1))</f>
        <v/>
      </c>
      <c r="F363" s="6">
        <f>IF(OR(原始資料!$A363="",5&gt;設定!$B$3,原始資料!H363=""),"",IF(AND(原始資料!G363&lt;&gt;"",原始資料!H363=原始資料!G363),N(E363)+1,1))</f>
        <v/>
      </c>
      <c r="G363" s="6">
        <f>IF(OR(原始資料!$A363="",6&gt;設定!$B$3,原始資料!I363=""),"",IF(AND(原始資料!H363&lt;&gt;"",原始資料!I363=原始資料!H363),N(F363)+1,1))</f>
        <v/>
      </c>
      <c r="H363" s="6">
        <f>IF(OR(原始資料!$A363="",7&gt;設定!$B$3,原始資料!J363=""),"",IF(AND(原始資料!I363&lt;&gt;"",原始資料!J363=原始資料!I363),N(G363)+1,1))</f>
        <v/>
      </c>
      <c r="I363" s="6">
        <f>IF(OR(原始資料!$A363="",8&gt;設定!$B$3,原始資料!K363=""),"",IF(AND(原始資料!J363&lt;&gt;"",原始資料!K363=原始資料!J363),N(H363)+1,1))</f>
        <v/>
      </c>
      <c r="J363" s="6">
        <f>IF(OR(原始資料!$A363="",9&gt;設定!$B$3,原始資料!L363=""),"",IF(AND(原始資料!K363&lt;&gt;"",原始資料!L363=原始資料!K363),N(I363)+1,1))</f>
        <v/>
      </c>
      <c r="K363" s="6">
        <f>IF(OR(原始資料!$A363="",10&gt;設定!$B$3,原始資料!M363=""),"",IF(AND(原始資料!L363&lt;&gt;"",原始資料!M363=原始資料!L363),N(J363)+1,1))</f>
        <v/>
      </c>
      <c r="L363" s="6">
        <f>IF(OR(原始資料!$A363="",11&gt;設定!$B$3,原始資料!N363=""),"",IF(AND(原始資料!M363&lt;&gt;"",原始資料!N363=原始資料!M363),N(K363)+1,1))</f>
        <v/>
      </c>
      <c r="M363" s="6">
        <f>IF(OR(原始資料!$A363="",12&gt;設定!$B$3,原始資料!O363=""),"",IF(AND(原始資料!N363&lt;&gt;"",原始資料!O363=原始資料!N363),N(L363)+1,1))</f>
        <v/>
      </c>
      <c r="N363" s="6">
        <f>IF(OR(原始資料!$A363="",13&gt;設定!$B$3,原始資料!P363=""),"",IF(AND(原始資料!O363&lt;&gt;"",原始資料!P363=原始資料!O363),N(M363)+1,1))</f>
        <v/>
      </c>
      <c r="O363" s="6">
        <f>IF(OR(原始資料!$A363="",14&gt;設定!$B$3,原始資料!Q363=""),"",IF(AND(原始資料!P363&lt;&gt;"",原始資料!Q363=原始資料!P363),N(N363)+1,1))</f>
        <v/>
      </c>
      <c r="P363" s="6">
        <f>IF(OR(原始資料!$A363="",15&gt;設定!$B$3,原始資料!R363=""),"",IF(AND(原始資料!Q363&lt;&gt;"",原始資料!R363=原始資料!Q363),N(O363)+1,1))</f>
        <v/>
      </c>
      <c r="Q363" s="6">
        <f>IF(OR(原始資料!$A363="",16&gt;設定!$B$3,原始資料!S363=""),"",IF(AND(原始資料!R363&lt;&gt;"",原始資料!S363=原始資料!R363),N(P363)+1,1))</f>
        <v/>
      </c>
      <c r="R363" s="6">
        <f>IF(OR(原始資料!$A363="",17&gt;設定!$B$3,原始資料!T363=""),"",IF(AND(原始資料!S363&lt;&gt;"",原始資料!T363=原始資料!S363),N(Q363)+1,1))</f>
        <v/>
      </c>
      <c r="S363" s="6">
        <f>IF(OR(原始資料!$A363="",18&gt;設定!$B$3,原始資料!U363=""),"",IF(AND(原始資料!T363&lt;&gt;"",原始資料!U363=原始資料!T363),N(R363)+1,1))</f>
        <v/>
      </c>
      <c r="T363" s="6">
        <f>IF(OR(原始資料!$A363="",19&gt;設定!$B$3,原始資料!V363=""),"",IF(AND(原始資料!U363&lt;&gt;"",原始資料!V363=原始資料!U363),N(S363)+1,1))</f>
        <v/>
      </c>
      <c r="U363" s="6">
        <f>IF(OR(原始資料!$A363="",20&gt;設定!$B$3,原始資料!W363=""),"",IF(AND(原始資料!V363&lt;&gt;"",原始資料!W363=原始資料!V363),N(T363)+1,1))</f>
        <v/>
      </c>
      <c r="V363" s="6">
        <f>IF(OR(原始資料!$A363="",21&gt;設定!$B$3,原始資料!X363=""),"",IF(AND(原始資料!W363&lt;&gt;"",原始資料!X363=原始資料!W363),N(U363)+1,1))</f>
        <v/>
      </c>
      <c r="W363" s="6">
        <f>IF(OR(原始資料!$A363="",22&gt;設定!$B$3,原始資料!Y363=""),"",IF(AND(原始資料!X363&lt;&gt;"",原始資料!Y363=原始資料!X363),N(V363)+1,1))</f>
        <v/>
      </c>
      <c r="X363" s="6">
        <f>IF(OR(原始資料!$A363="",23&gt;設定!$B$3,原始資料!Z363=""),"",IF(AND(原始資料!Y363&lt;&gt;"",原始資料!Z363=原始資料!Y363),N(W363)+1,1))</f>
        <v/>
      </c>
      <c r="Y363" s="6">
        <f>IF(OR(原始資料!$A363="",24&gt;設定!$B$3,原始資料!AA363=""),"",IF(AND(原始資料!Z363&lt;&gt;"",原始資料!AA363=原始資料!Z363),N(X363)+1,1))</f>
        <v/>
      </c>
      <c r="Z363" s="6">
        <f>IF(OR(原始資料!$A363="",25&gt;設定!$B$3,原始資料!AB363=""),"",IF(AND(原始資料!AA363&lt;&gt;"",原始資料!AB363=原始資料!AA363),N(Y363)+1,1))</f>
        <v/>
      </c>
      <c r="AA363" s="6">
        <f>IF(OR(原始資料!$A363="",26&gt;設定!$B$3,原始資料!AC363=""),"",IF(AND(原始資料!AB363&lt;&gt;"",原始資料!AC363=原始資料!AB363),N(Z363)+1,1))</f>
        <v/>
      </c>
      <c r="AB363" s="6">
        <f>IF(OR(原始資料!$A363="",27&gt;設定!$B$3,原始資料!AD363=""),"",IF(AND(原始資料!AC363&lt;&gt;"",原始資料!AD363=原始資料!AC363),N(AA363)+1,1))</f>
        <v/>
      </c>
      <c r="AC363" s="6">
        <f>IF(OR(原始資料!$A363="",28&gt;設定!$B$3,原始資料!AE363=""),"",IF(AND(原始資料!AD363&lt;&gt;"",原始資料!AE363=原始資料!AD363),N(AB363)+1,1))</f>
        <v/>
      </c>
      <c r="AD363" s="6">
        <f>IF(OR(原始資料!$A363="",29&gt;設定!$B$3,原始資料!AF363=""),"",IF(AND(原始資料!AE363&lt;&gt;"",原始資料!AF363=原始資料!AE363),N(AC363)+1,1))</f>
        <v/>
      </c>
      <c r="AE363" s="6">
        <f>IF(OR(原始資料!$A363="",30&gt;設定!$B$3,原始資料!AG363=""),"",IF(AND(原始資料!AF363&lt;&gt;"",原始資料!AG363=原始資料!AF363),N(AD363)+1,1))</f>
        <v/>
      </c>
      <c r="AF363" s="6">
        <f>IF(OR(原始資料!$A363="",31&gt;設定!$B$3,原始資料!AH363=""),"",IF(AND(原始資料!AG363&lt;&gt;"",原始資料!AH363=原始資料!AG363),N(AE363)+1,1))</f>
        <v/>
      </c>
      <c r="AG363" s="6">
        <f>IF(OR(原始資料!$A363="",32&gt;設定!$B$3,原始資料!AI363=""),"",IF(AND(原始資料!AH363&lt;&gt;"",原始資料!AI363=原始資料!AH363),N(AF363)+1,1))</f>
        <v/>
      </c>
      <c r="AH363" s="6">
        <f>IF(OR(原始資料!$A363="",33&gt;設定!$B$3,原始資料!AJ363=""),"",IF(AND(原始資料!AI363&lt;&gt;"",原始資料!AJ363=原始資料!AI363),N(AG363)+1,1))</f>
        <v/>
      </c>
      <c r="AI363" s="6">
        <f>IF(OR(原始資料!$A363="",34&gt;設定!$B$3,原始資料!AK363=""),"",IF(AND(原始資料!AJ363&lt;&gt;"",原始資料!AK363=原始資料!AJ363),N(AH363)+1,1))</f>
        <v/>
      </c>
      <c r="AJ363" s="6">
        <f>IF(OR(原始資料!$A363="",35&gt;設定!$B$3,原始資料!AL363=""),"",IF(AND(原始資料!AK363&lt;&gt;"",原始資料!AL363=原始資料!AK363),N(AI363)+1,1))</f>
        <v/>
      </c>
      <c r="AK363" s="6">
        <f>IF(OR(原始資料!$A363="",36&gt;設定!$B$3,原始資料!AM363=""),"",IF(AND(原始資料!AL363&lt;&gt;"",原始資料!AM363=原始資料!AL363),N(AJ363)+1,1))</f>
        <v/>
      </c>
      <c r="AL363" s="6">
        <f>IF(OR(原始資料!$A363="",37&gt;設定!$B$3,原始資料!AN363=""),"",IF(AND(原始資料!AM363&lt;&gt;"",原始資料!AN363=原始資料!AM363),N(AK363)+1,1))</f>
        <v/>
      </c>
      <c r="AM363" s="6">
        <f>IF(OR(原始資料!$A363="",38&gt;設定!$B$3,原始資料!AO363=""),"",IF(AND(原始資料!AN363&lt;&gt;"",原始資料!AO363=原始資料!AN363),N(AL363)+1,1))</f>
        <v/>
      </c>
      <c r="AN363" s="6">
        <f>IF(OR(原始資料!$A363="",39&gt;設定!$B$3,原始資料!AP363=""),"",IF(AND(原始資料!AO363&lt;&gt;"",原始資料!AP363=原始資料!AO363),N(AM363)+1,1))</f>
        <v/>
      </c>
      <c r="AO363" s="6">
        <f>IF(OR(原始資料!$A363="",40&gt;設定!$B$3,原始資料!AQ363=""),"",IF(AND(原始資料!AP363&lt;&gt;"",原始資料!AQ363=原始資料!AP363),N(AN363)+1,1))</f>
        <v/>
      </c>
      <c r="AP363" s="6">
        <f>IF(OR(原始資料!$A363="",41&gt;設定!$B$3,原始資料!AR363=""),"",IF(AND(原始資料!AQ363&lt;&gt;"",原始資料!AR363=原始資料!AQ363),N(AO363)+1,1))</f>
        <v/>
      </c>
      <c r="AQ363" s="6">
        <f>IF(OR(原始資料!$A363="",42&gt;設定!$B$3,原始資料!AS363=""),"",IF(AND(原始資料!AR363&lt;&gt;"",原始資料!AS363=原始資料!AR363),N(AP363)+1,1))</f>
        <v/>
      </c>
      <c r="AR363" s="6">
        <f>IF(OR(原始資料!$A363="",43&gt;設定!$B$3,原始資料!AT363=""),"",IF(AND(原始資料!AS363&lt;&gt;"",原始資料!AT363=原始資料!AS363),N(AQ363)+1,1))</f>
        <v/>
      </c>
      <c r="AS363" s="6">
        <f>IF(OR(原始資料!$A363="",44&gt;設定!$B$3,原始資料!AU363=""),"",IF(AND(原始資料!AT363&lt;&gt;"",原始資料!AU363=原始資料!AT363),N(AR363)+1,1))</f>
        <v/>
      </c>
      <c r="AT363" s="6">
        <f>IF(OR(原始資料!$A363="",45&gt;設定!$B$3,原始資料!AV363=""),"",IF(AND(原始資料!AU363&lt;&gt;"",原始資料!AV363=原始資料!AU363),N(AS363)+1,1))</f>
        <v/>
      </c>
      <c r="AU363" s="6">
        <f>IF(OR(原始資料!$A363="",46&gt;設定!$B$3,原始資料!AW363=""),"",IF(AND(原始資料!AV363&lt;&gt;"",原始資料!AW363=原始資料!AV363),N(AT363)+1,1))</f>
        <v/>
      </c>
      <c r="AV363" s="6">
        <f>IF(OR(原始資料!$A363="",47&gt;設定!$B$3,原始資料!AX363=""),"",IF(AND(原始資料!AW363&lt;&gt;"",原始資料!AX363=原始資料!AW363),N(AU363)+1,1))</f>
        <v/>
      </c>
      <c r="AW363" s="6">
        <f>IF(OR(原始資料!$A363="",48&gt;設定!$B$3,原始資料!AY363=""),"",IF(AND(原始資料!AX363&lt;&gt;"",原始資料!AY363=原始資料!AX363),N(AV363)+1,1))</f>
        <v/>
      </c>
      <c r="AX363" s="6">
        <f>IF(OR(原始資料!$A363="",49&gt;設定!$B$3,原始資料!AZ363=""),"",IF(AND(原始資料!AY363&lt;&gt;"",原始資料!AZ363=原始資料!AY363),N(AW363)+1,1))</f>
        <v/>
      </c>
      <c r="AY363" s="6">
        <f>IF(OR(原始資料!$A363="",50&gt;設定!$B$3,原始資料!BA363=""),"",IF(AND(原始資料!AZ363&lt;&gt;"",原始資料!BA363=原始資料!AZ363),N(AX363)+1,1))</f>
        <v/>
      </c>
      <c r="AZ363" s="6">
        <f>IF(OR(原始資料!$A363="",51&gt;設定!$B$3,原始資料!BB363=""),"",IF(AND(原始資料!BA363&lt;&gt;"",原始資料!BB363=原始資料!BA363),N(AY363)+1,1))</f>
        <v/>
      </c>
      <c r="BA363" s="6">
        <f>IF(OR(原始資料!$A363="",52&gt;設定!$B$3,原始資料!BC363=""),"",IF(AND(原始資料!BB363&lt;&gt;"",原始資料!BC363=原始資料!BB363),N(AZ363)+1,1))</f>
        <v/>
      </c>
      <c r="BB363" s="6">
        <f>IF(OR(原始資料!$A363="",53&gt;設定!$B$3,原始資料!BD363=""),"",IF(AND(原始資料!BC363&lt;&gt;"",原始資料!BD363=原始資料!BC363),N(BA363)+1,1))</f>
        <v/>
      </c>
      <c r="BC363" s="6">
        <f>IF(OR(原始資料!$A363="",54&gt;設定!$B$3,原始資料!BE363=""),"",IF(AND(原始資料!BD363&lt;&gt;"",原始資料!BE363=原始資料!BD363),N(BB363)+1,1))</f>
        <v/>
      </c>
      <c r="BD363" s="6">
        <f>IF(OR(原始資料!$A363="",55&gt;設定!$B$3,原始資料!BF363=""),"",IF(AND(原始資料!BE363&lt;&gt;"",原始資料!BF363=原始資料!BE363),N(BC363)+1,1))</f>
        <v/>
      </c>
      <c r="BE363" s="6">
        <f>IF(OR(原始資料!$A363="",56&gt;設定!$B$3,原始資料!BG363=""),"",IF(AND(原始資料!BF363&lt;&gt;"",原始資料!BG363=原始資料!BF363),N(BD363)+1,1))</f>
        <v/>
      </c>
      <c r="BF363" s="6">
        <f>IF(OR(原始資料!$A363="",57&gt;設定!$B$3,原始資料!BH363=""),"",IF(AND(原始資料!BG363&lt;&gt;"",原始資料!BH363=原始資料!BG363),N(BE363)+1,1))</f>
        <v/>
      </c>
      <c r="BG363" s="6">
        <f>IF(OR(原始資料!$A363="",58&gt;設定!$B$3,原始資料!BI363=""),"",IF(AND(原始資料!BH363&lt;&gt;"",原始資料!BI363=原始資料!BH363),N(BF363)+1,1))</f>
        <v/>
      </c>
      <c r="BH363" s="6">
        <f>IF(OR(原始資料!$A363="",59&gt;設定!$B$3,原始資料!BJ363=""),"",IF(AND(原始資料!BI363&lt;&gt;"",原始資料!BJ363=原始資料!BI363),N(BG363)+1,1))</f>
        <v/>
      </c>
      <c r="BI363" s="6">
        <f>IF(OR(原始資料!$A363="",60&gt;設定!$B$3,原始資料!BK363=""),"",IF(AND(原始資料!BJ363&lt;&gt;"",原始資料!BK363=原始資料!BJ363),N(BH363)+1,1))</f>
        <v/>
      </c>
    </row>
    <row r="364">
      <c r="A364" s="6">
        <f>IF(原始資料!$A364="","",原始資料!$A364)</f>
        <v/>
      </c>
      <c r="B364" s="6">
        <f>IF(OR(原始資料!$A364="",1&gt;設定!$B$3,原始資料!D364=""),"",1)</f>
        <v/>
      </c>
      <c r="C364" s="6">
        <f>IF(OR(原始資料!$A364="",2&gt;設定!$B$3,原始資料!E364=""),"",IF(AND(原始資料!D364&lt;&gt;"",原始資料!E364=原始資料!D364),N(B364)+1,1))</f>
        <v/>
      </c>
      <c r="D364" s="6">
        <f>IF(OR(原始資料!$A364="",3&gt;設定!$B$3,原始資料!F364=""),"",IF(AND(原始資料!E364&lt;&gt;"",原始資料!F364=原始資料!E364),N(C364)+1,1))</f>
        <v/>
      </c>
      <c r="E364" s="6">
        <f>IF(OR(原始資料!$A364="",4&gt;設定!$B$3,原始資料!G364=""),"",IF(AND(原始資料!F364&lt;&gt;"",原始資料!G364=原始資料!F364),N(D364)+1,1))</f>
        <v/>
      </c>
      <c r="F364" s="6">
        <f>IF(OR(原始資料!$A364="",5&gt;設定!$B$3,原始資料!H364=""),"",IF(AND(原始資料!G364&lt;&gt;"",原始資料!H364=原始資料!G364),N(E364)+1,1))</f>
        <v/>
      </c>
      <c r="G364" s="6">
        <f>IF(OR(原始資料!$A364="",6&gt;設定!$B$3,原始資料!I364=""),"",IF(AND(原始資料!H364&lt;&gt;"",原始資料!I364=原始資料!H364),N(F364)+1,1))</f>
        <v/>
      </c>
      <c r="H364" s="6">
        <f>IF(OR(原始資料!$A364="",7&gt;設定!$B$3,原始資料!J364=""),"",IF(AND(原始資料!I364&lt;&gt;"",原始資料!J364=原始資料!I364),N(G364)+1,1))</f>
        <v/>
      </c>
      <c r="I364" s="6">
        <f>IF(OR(原始資料!$A364="",8&gt;設定!$B$3,原始資料!K364=""),"",IF(AND(原始資料!J364&lt;&gt;"",原始資料!K364=原始資料!J364),N(H364)+1,1))</f>
        <v/>
      </c>
      <c r="J364" s="6">
        <f>IF(OR(原始資料!$A364="",9&gt;設定!$B$3,原始資料!L364=""),"",IF(AND(原始資料!K364&lt;&gt;"",原始資料!L364=原始資料!K364),N(I364)+1,1))</f>
        <v/>
      </c>
      <c r="K364" s="6">
        <f>IF(OR(原始資料!$A364="",10&gt;設定!$B$3,原始資料!M364=""),"",IF(AND(原始資料!L364&lt;&gt;"",原始資料!M364=原始資料!L364),N(J364)+1,1))</f>
        <v/>
      </c>
      <c r="L364" s="6">
        <f>IF(OR(原始資料!$A364="",11&gt;設定!$B$3,原始資料!N364=""),"",IF(AND(原始資料!M364&lt;&gt;"",原始資料!N364=原始資料!M364),N(K364)+1,1))</f>
        <v/>
      </c>
      <c r="M364" s="6">
        <f>IF(OR(原始資料!$A364="",12&gt;設定!$B$3,原始資料!O364=""),"",IF(AND(原始資料!N364&lt;&gt;"",原始資料!O364=原始資料!N364),N(L364)+1,1))</f>
        <v/>
      </c>
      <c r="N364" s="6">
        <f>IF(OR(原始資料!$A364="",13&gt;設定!$B$3,原始資料!P364=""),"",IF(AND(原始資料!O364&lt;&gt;"",原始資料!P364=原始資料!O364),N(M364)+1,1))</f>
        <v/>
      </c>
      <c r="O364" s="6">
        <f>IF(OR(原始資料!$A364="",14&gt;設定!$B$3,原始資料!Q364=""),"",IF(AND(原始資料!P364&lt;&gt;"",原始資料!Q364=原始資料!P364),N(N364)+1,1))</f>
        <v/>
      </c>
      <c r="P364" s="6">
        <f>IF(OR(原始資料!$A364="",15&gt;設定!$B$3,原始資料!R364=""),"",IF(AND(原始資料!Q364&lt;&gt;"",原始資料!R364=原始資料!Q364),N(O364)+1,1))</f>
        <v/>
      </c>
      <c r="Q364" s="6">
        <f>IF(OR(原始資料!$A364="",16&gt;設定!$B$3,原始資料!S364=""),"",IF(AND(原始資料!R364&lt;&gt;"",原始資料!S364=原始資料!R364),N(P364)+1,1))</f>
        <v/>
      </c>
      <c r="R364" s="6">
        <f>IF(OR(原始資料!$A364="",17&gt;設定!$B$3,原始資料!T364=""),"",IF(AND(原始資料!S364&lt;&gt;"",原始資料!T364=原始資料!S364),N(Q364)+1,1))</f>
        <v/>
      </c>
      <c r="S364" s="6">
        <f>IF(OR(原始資料!$A364="",18&gt;設定!$B$3,原始資料!U364=""),"",IF(AND(原始資料!T364&lt;&gt;"",原始資料!U364=原始資料!T364),N(R364)+1,1))</f>
        <v/>
      </c>
      <c r="T364" s="6">
        <f>IF(OR(原始資料!$A364="",19&gt;設定!$B$3,原始資料!V364=""),"",IF(AND(原始資料!U364&lt;&gt;"",原始資料!V364=原始資料!U364),N(S364)+1,1))</f>
        <v/>
      </c>
      <c r="U364" s="6">
        <f>IF(OR(原始資料!$A364="",20&gt;設定!$B$3,原始資料!W364=""),"",IF(AND(原始資料!V364&lt;&gt;"",原始資料!W364=原始資料!V364),N(T364)+1,1))</f>
        <v/>
      </c>
      <c r="V364" s="6">
        <f>IF(OR(原始資料!$A364="",21&gt;設定!$B$3,原始資料!X364=""),"",IF(AND(原始資料!W364&lt;&gt;"",原始資料!X364=原始資料!W364),N(U364)+1,1))</f>
        <v/>
      </c>
      <c r="W364" s="6">
        <f>IF(OR(原始資料!$A364="",22&gt;設定!$B$3,原始資料!Y364=""),"",IF(AND(原始資料!X364&lt;&gt;"",原始資料!Y364=原始資料!X364),N(V364)+1,1))</f>
        <v/>
      </c>
      <c r="X364" s="6">
        <f>IF(OR(原始資料!$A364="",23&gt;設定!$B$3,原始資料!Z364=""),"",IF(AND(原始資料!Y364&lt;&gt;"",原始資料!Z364=原始資料!Y364),N(W364)+1,1))</f>
        <v/>
      </c>
      <c r="Y364" s="6">
        <f>IF(OR(原始資料!$A364="",24&gt;設定!$B$3,原始資料!AA364=""),"",IF(AND(原始資料!Z364&lt;&gt;"",原始資料!AA364=原始資料!Z364),N(X364)+1,1))</f>
        <v/>
      </c>
      <c r="Z364" s="6">
        <f>IF(OR(原始資料!$A364="",25&gt;設定!$B$3,原始資料!AB364=""),"",IF(AND(原始資料!AA364&lt;&gt;"",原始資料!AB364=原始資料!AA364),N(Y364)+1,1))</f>
        <v/>
      </c>
      <c r="AA364" s="6">
        <f>IF(OR(原始資料!$A364="",26&gt;設定!$B$3,原始資料!AC364=""),"",IF(AND(原始資料!AB364&lt;&gt;"",原始資料!AC364=原始資料!AB364),N(Z364)+1,1))</f>
        <v/>
      </c>
      <c r="AB364" s="6">
        <f>IF(OR(原始資料!$A364="",27&gt;設定!$B$3,原始資料!AD364=""),"",IF(AND(原始資料!AC364&lt;&gt;"",原始資料!AD364=原始資料!AC364),N(AA364)+1,1))</f>
        <v/>
      </c>
      <c r="AC364" s="6">
        <f>IF(OR(原始資料!$A364="",28&gt;設定!$B$3,原始資料!AE364=""),"",IF(AND(原始資料!AD364&lt;&gt;"",原始資料!AE364=原始資料!AD364),N(AB364)+1,1))</f>
        <v/>
      </c>
      <c r="AD364" s="6">
        <f>IF(OR(原始資料!$A364="",29&gt;設定!$B$3,原始資料!AF364=""),"",IF(AND(原始資料!AE364&lt;&gt;"",原始資料!AF364=原始資料!AE364),N(AC364)+1,1))</f>
        <v/>
      </c>
      <c r="AE364" s="6">
        <f>IF(OR(原始資料!$A364="",30&gt;設定!$B$3,原始資料!AG364=""),"",IF(AND(原始資料!AF364&lt;&gt;"",原始資料!AG364=原始資料!AF364),N(AD364)+1,1))</f>
        <v/>
      </c>
      <c r="AF364" s="6">
        <f>IF(OR(原始資料!$A364="",31&gt;設定!$B$3,原始資料!AH364=""),"",IF(AND(原始資料!AG364&lt;&gt;"",原始資料!AH364=原始資料!AG364),N(AE364)+1,1))</f>
        <v/>
      </c>
      <c r="AG364" s="6">
        <f>IF(OR(原始資料!$A364="",32&gt;設定!$B$3,原始資料!AI364=""),"",IF(AND(原始資料!AH364&lt;&gt;"",原始資料!AI364=原始資料!AH364),N(AF364)+1,1))</f>
        <v/>
      </c>
      <c r="AH364" s="6">
        <f>IF(OR(原始資料!$A364="",33&gt;設定!$B$3,原始資料!AJ364=""),"",IF(AND(原始資料!AI364&lt;&gt;"",原始資料!AJ364=原始資料!AI364),N(AG364)+1,1))</f>
        <v/>
      </c>
      <c r="AI364" s="6">
        <f>IF(OR(原始資料!$A364="",34&gt;設定!$B$3,原始資料!AK364=""),"",IF(AND(原始資料!AJ364&lt;&gt;"",原始資料!AK364=原始資料!AJ364),N(AH364)+1,1))</f>
        <v/>
      </c>
      <c r="AJ364" s="6">
        <f>IF(OR(原始資料!$A364="",35&gt;設定!$B$3,原始資料!AL364=""),"",IF(AND(原始資料!AK364&lt;&gt;"",原始資料!AL364=原始資料!AK364),N(AI364)+1,1))</f>
        <v/>
      </c>
      <c r="AK364" s="6">
        <f>IF(OR(原始資料!$A364="",36&gt;設定!$B$3,原始資料!AM364=""),"",IF(AND(原始資料!AL364&lt;&gt;"",原始資料!AM364=原始資料!AL364),N(AJ364)+1,1))</f>
        <v/>
      </c>
      <c r="AL364" s="6">
        <f>IF(OR(原始資料!$A364="",37&gt;設定!$B$3,原始資料!AN364=""),"",IF(AND(原始資料!AM364&lt;&gt;"",原始資料!AN364=原始資料!AM364),N(AK364)+1,1))</f>
        <v/>
      </c>
      <c r="AM364" s="6">
        <f>IF(OR(原始資料!$A364="",38&gt;設定!$B$3,原始資料!AO364=""),"",IF(AND(原始資料!AN364&lt;&gt;"",原始資料!AO364=原始資料!AN364),N(AL364)+1,1))</f>
        <v/>
      </c>
      <c r="AN364" s="6">
        <f>IF(OR(原始資料!$A364="",39&gt;設定!$B$3,原始資料!AP364=""),"",IF(AND(原始資料!AO364&lt;&gt;"",原始資料!AP364=原始資料!AO364),N(AM364)+1,1))</f>
        <v/>
      </c>
      <c r="AO364" s="6">
        <f>IF(OR(原始資料!$A364="",40&gt;設定!$B$3,原始資料!AQ364=""),"",IF(AND(原始資料!AP364&lt;&gt;"",原始資料!AQ364=原始資料!AP364),N(AN364)+1,1))</f>
        <v/>
      </c>
      <c r="AP364" s="6">
        <f>IF(OR(原始資料!$A364="",41&gt;設定!$B$3,原始資料!AR364=""),"",IF(AND(原始資料!AQ364&lt;&gt;"",原始資料!AR364=原始資料!AQ364),N(AO364)+1,1))</f>
        <v/>
      </c>
      <c r="AQ364" s="6">
        <f>IF(OR(原始資料!$A364="",42&gt;設定!$B$3,原始資料!AS364=""),"",IF(AND(原始資料!AR364&lt;&gt;"",原始資料!AS364=原始資料!AR364),N(AP364)+1,1))</f>
        <v/>
      </c>
      <c r="AR364" s="6">
        <f>IF(OR(原始資料!$A364="",43&gt;設定!$B$3,原始資料!AT364=""),"",IF(AND(原始資料!AS364&lt;&gt;"",原始資料!AT364=原始資料!AS364),N(AQ364)+1,1))</f>
        <v/>
      </c>
      <c r="AS364" s="6">
        <f>IF(OR(原始資料!$A364="",44&gt;設定!$B$3,原始資料!AU364=""),"",IF(AND(原始資料!AT364&lt;&gt;"",原始資料!AU364=原始資料!AT364),N(AR364)+1,1))</f>
        <v/>
      </c>
      <c r="AT364" s="6">
        <f>IF(OR(原始資料!$A364="",45&gt;設定!$B$3,原始資料!AV364=""),"",IF(AND(原始資料!AU364&lt;&gt;"",原始資料!AV364=原始資料!AU364),N(AS364)+1,1))</f>
        <v/>
      </c>
      <c r="AU364" s="6">
        <f>IF(OR(原始資料!$A364="",46&gt;設定!$B$3,原始資料!AW364=""),"",IF(AND(原始資料!AV364&lt;&gt;"",原始資料!AW364=原始資料!AV364),N(AT364)+1,1))</f>
        <v/>
      </c>
      <c r="AV364" s="6">
        <f>IF(OR(原始資料!$A364="",47&gt;設定!$B$3,原始資料!AX364=""),"",IF(AND(原始資料!AW364&lt;&gt;"",原始資料!AX364=原始資料!AW364),N(AU364)+1,1))</f>
        <v/>
      </c>
      <c r="AW364" s="6">
        <f>IF(OR(原始資料!$A364="",48&gt;設定!$B$3,原始資料!AY364=""),"",IF(AND(原始資料!AX364&lt;&gt;"",原始資料!AY364=原始資料!AX364),N(AV364)+1,1))</f>
        <v/>
      </c>
      <c r="AX364" s="6">
        <f>IF(OR(原始資料!$A364="",49&gt;設定!$B$3,原始資料!AZ364=""),"",IF(AND(原始資料!AY364&lt;&gt;"",原始資料!AZ364=原始資料!AY364),N(AW364)+1,1))</f>
        <v/>
      </c>
      <c r="AY364" s="6">
        <f>IF(OR(原始資料!$A364="",50&gt;設定!$B$3,原始資料!BA364=""),"",IF(AND(原始資料!AZ364&lt;&gt;"",原始資料!BA364=原始資料!AZ364),N(AX364)+1,1))</f>
        <v/>
      </c>
      <c r="AZ364" s="6">
        <f>IF(OR(原始資料!$A364="",51&gt;設定!$B$3,原始資料!BB364=""),"",IF(AND(原始資料!BA364&lt;&gt;"",原始資料!BB364=原始資料!BA364),N(AY364)+1,1))</f>
        <v/>
      </c>
      <c r="BA364" s="6">
        <f>IF(OR(原始資料!$A364="",52&gt;設定!$B$3,原始資料!BC364=""),"",IF(AND(原始資料!BB364&lt;&gt;"",原始資料!BC364=原始資料!BB364),N(AZ364)+1,1))</f>
        <v/>
      </c>
      <c r="BB364" s="6">
        <f>IF(OR(原始資料!$A364="",53&gt;設定!$B$3,原始資料!BD364=""),"",IF(AND(原始資料!BC364&lt;&gt;"",原始資料!BD364=原始資料!BC364),N(BA364)+1,1))</f>
        <v/>
      </c>
      <c r="BC364" s="6">
        <f>IF(OR(原始資料!$A364="",54&gt;設定!$B$3,原始資料!BE364=""),"",IF(AND(原始資料!BD364&lt;&gt;"",原始資料!BE364=原始資料!BD364),N(BB364)+1,1))</f>
        <v/>
      </c>
      <c r="BD364" s="6">
        <f>IF(OR(原始資料!$A364="",55&gt;設定!$B$3,原始資料!BF364=""),"",IF(AND(原始資料!BE364&lt;&gt;"",原始資料!BF364=原始資料!BE364),N(BC364)+1,1))</f>
        <v/>
      </c>
      <c r="BE364" s="6">
        <f>IF(OR(原始資料!$A364="",56&gt;設定!$B$3,原始資料!BG364=""),"",IF(AND(原始資料!BF364&lt;&gt;"",原始資料!BG364=原始資料!BF364),N(BD364)+1,1))</f>
        <v/>
      </c>
      <c r="BF364" s="6">
        <f>IF(OR(原始資料!$A364="",57&gt;設定!$B$3,原始資料!BH364=""),"",IF(AND(原始資料!BG364&lt;&gt;"",原始資料!BH364=原始資料!BG364),N(BE364)+1,1))</f>
        <v/>
      </c>
      <c r="BG364" s="6">
        <f>IF(OR(原始資料!$A364="",58&gt;設定!$B$3,原始資料!BI364=""),"",IF(AND(原始資料!BH364&lt;&gt;"",原始資料!BI364=原始資料!BH364),N(BF364)+1,1))</f>
        <v/>
      </c>
      <c r="BH364" s="6">
        <f>IF(OR(原始資料!$A364="",59&gt;設定!$B$3,原始資料!BJ364=""),"",IF(AND(原始資料!BI364&lt;&gt;"",原始資料!BJ364=原始資料!BI364),N(BG364)+1,1))</f>
        <v/>
      </c>
      <c r="BI364" s="6">
        <f>IF(OR(原始資料!$A364="",60&gt;設定!$B$3,原始資料!BK364=""),"",IF(AND(原始資料!BJ364&lt;&gt;"",原始資料!BK364=原始資料!BJ364),N(BH364)+1,1))</f>
        <v/>
      </c>
    </row>
    <row r="365">
      <c r="A365" s="6">
        <f>IF(原始資料!$A365="","",原始資料!$A365)</f>
        <v/>
      </c>
      <c r="B365" s="6">
        <f>IF(OR(原始資料!$A365="",1&gt;設定!$B$3,原始資料!D365=""),"",1)</f>
        <v/>
      </c>
      <c r="C365" s="6">
        <f>IF(OR(原始資料!$A365="",2&gt;設定!$B$3,原始資料!E365=""),"",IF(AND(原始資料!D365&lt;&gt;"",原始資料!E365=原始資料!D365),N(B365)+1,1))</f>
        <v/>
      </c>
      <c r="D365" s="6">
        <f>IF(OR(原始資料!$A365="",3&gt;設定!$B$3,原始資料!F365=""),"",IF(AND(原始資料!E365&lt;&gt;"",原始資料!F365=原始資料!E365),N(C365)+1,1))</f>
        <v/>
      </c>
      <c r="E365" s="6">
        <f>IF(OR(原始資料!$A365="",4&gt;設定!$B$3,原始資料!G365=""),"",IF(AND(原始資料!F365&lt;&gt;"",原始資料!G365=原始資料!F365),N(D365)+1,1))</f>
        <v/>
      </c>
      <c r="F365" s="6">
        <f>IF(OR(原始資料!$A365="",5&gt;設定!$B$3,原始資料!H365=""),"",IF(AND(原始資料!G365&lt;&gt;"",原始資料!H365=原始資料!G365),N(E365)+1,1))</f>
        <v/>
      </c>
      <c r="G365" s="6">
        <f>IF(OR(原始資料!$A365="",6&gt;設定!$B$3,原始資料!I365=""),"",IF(AND(原始資料!H365&lt;&gt;"",原始資料!I365=原始資料!H365),N(F365)+1,1))</f>
        <v/>
      </c>
      <c r="H365" s="6">
        <f>IF(OR(原始資料!$A365="",7&gt;設定!$B$3,原始資料!J365=""),"",IF(AND(原始資料!I365&lt;&gt;"",原始資料!J365=原始資料!I365),N(G365)+1,1))</f>
        <v/>
      </c>
      <c r="I365" s="6">
        <f>IF(OR(原始資料!$A365="",8&gt;設定!$B$3,原始資料!K365=""),"",IF(AND(原始資料!J365&lt;&gt;"",原始資料!K365=原始資料!J365),N(H365)+1,1))</f>
        <v/>
      </c>
      <c r="J365" s="6">
        <f>IF(OR(原始資料!$A365="",9&gt;設定!$B$3,原始資料!L365=""),"",IF(AND(原始資料!K365&lt;&gt;"",原始資料!L365=原始資料!K365),N(I365)+1,1))</f>
        <v/>
      </c>
      <c r="K365" s="6">
        <f>IF(OR(原始資料!$A365="",10&gt;設定!$B$3,原始資料!M365=""),"",IF(AND(原始資料!L365&lt;&gt;"",原始資料!M365=原始資料!L365),N(J365)+1,1))</f>
        <v/>
      </c>
      <c r="L365" s="6">
        <f>IF(OR(原始資料!$A365="",11&gt;設定!$B$3,原始資料!N365=""),"",IF(AND(原始資料!M365&lt;&gt;"",原始資料!N365=原始資料!M365),N(K365)+1,1))</f>
        <v/>
      </c>
      <c r="M365" s="6">
        <f>IF(OR(原始資料!$A365="",12&gt;設定!$B$3,原始資料!O365=""),"",IF(AND(原始資料!N365&lt;&gt;"",原始資料!O365=原始資料!N365),N(L365)+1,1))</f>
        <v/>
      </c>
      <c r="N365" s="6">
        <f>IF(OR(原始資料!$A365="",13&gt;設定!$B$3,原始資料!P365=""),"",IF(AND(原始資料!O365&lt;&gt;"",原始資料!P365=原始資料!O365),N(M365)+1,1))</f>
        <v/>
      </c>
      <c r="O365" s="6">
        <f>IF(OR(原始資料!$A365="",14&gt;設定!$B$3,原始資料!Q365=""),"",IF(AND(原始資料!P365&lt;&gt;"",原始資料!Q365=原始資料!P365),N(N365)+1,1))</f>
        <v/>
      </c>
      <c r="P365" s="6">
        <f>IF(OR(原始資料!$A365="",15&gt;設定!$B$3,原始資料!R365=""),"",IF(AND(原始資料!Q365&lt;&gt;"",原始資料!R365=原始資料!Q365),N(O365)+1,1))</f>
        <v/>
      </c>
      <c r="Q365" s="6">
        <f>IF(OR(原始資料!$A365="",16&gt;設定!$B$3,原始資料!S365=""),"",IF(AND(原始資料!R365&lt;&gt;"",原始資料!S365=原始資料!R365),N(P365)+1,1))</f>
        <v/>
      </c>
      <c r="R365" s="6">
        <f>IF(OR(原始資料!$A365="",17&gt;設定!$B$3,原始資料!T365=""),"",IF(AND(原始資料!S365&lt;&gt;"",原始資料!T365=原始資料!S365),N(Q365)+1,1))</f>
        <v/>
      </c>
      <c r="S365" s="6">
        <f>IF(OR(原始資料!$A365="",18&gt;設定!$B$3,原始資料!U365=""),"",IF(AND(原始資料!T365&lt;&gt;"",原始資料!U365=原始資料!T365),N(R365)+1,1))</f>
        <v/>
      </c>
      <c r="T365" s="6">
        <f>IF(OR(原始資料!$A365="",19&gt;設定!$B$3,原始資料!V365=""),"",IF(AND(原始資料!U365&lt;&gt;"",原始資料!V365=原始資料!U365),N(S365)+1,1))</f>
        <v/>
      </c>
      <c r="U365" s="6">
        <f>IF(OR(原始資料!$A365="",20&gt;設定!$B$3,原始資料!W365=""),"",IF(AND(原始資料!V365&lt;&gt;"",原始資料!W365=原始資料!V365),N(T365)+1,1))</f>
        <v/>
      </c>
      <c r="V365" s="6">
        <f>IF(OR(原始資料!$A365="",21&gt;設定!$B$3,原始資料!X365=""),"",IF(AND(原始資料!W365&lt;&gt;"",原始資料!X365=原始資料!W365),N(U365)+1,1))</f>
        <v/>
      </c>
      <c r="W365" s="6">
        <f>IF(OR(原始資料!$A365="",22&gt;設定!$B$3,原始資料!Y365=""),"",IF(AND(原始資料!X365&lt;&gt;"",原始資料!Y365=原始資料!X365),N(V365)+1,1))</f>
        <v/>
      </c>
      <c r="X365" s="6">
        <f>IF(OR(原始資料!$A365="",23&gt;設定!$B$3,原始資料!Z365=""),"",IF(AND(原始資料!Y365&lt;&gt;"",原始資料!Z365=原始資料!Y365),N(W365)+1,1))</f>
        <v/>
      </c>
      <c r="Y365" s="6">
        <f>IF(OR(原始資料!$A365="",24&gt;設定!$B$3,原始資料!AA365=""),"",IF(AND(原始資料!Z365&lt;&gt;"",原始資料!AA365=原始資料!Z365),N(X365)+1,1))</f>
        <v/>
      </c>
      <c r="Z365" s="6">
        <f>IF(OR(原始資料!$A365="",25&gt;設定!$B$3,原始資料!AB365=""),"",IF(AND(原始資料!AA365&lt;&gt;"",原始資料!AB365=原始資料!AA365),N(Y365)+1,1))</f>
        <v/>
      </c>
      <c r="AA365" s="6">
        <f>IF(OR(原始資料!$A365="",26&gt;設定!$B$3,原始資料!AC365=""),"",IF(AND(原始資料!AB365&lt;&gt;"",原始資料!AC365=原始資料!AB365),N(Z365)+1,1))</f>
        <v/>
      </c>
      <c r="AB365" s="6">
        <f>IF(OR(原始資料!$A365="",27&gt;設定!$B$3,原始資料!AD365=""),"",IF(AND(原始資料!AC365&lt;&gt;"",原始資料!AD365=原始資料!AC365),N(AA365)+1,1))</f>
        <v/>
      </c>
      <c r="AC365" s="6">
        <f>IF(OR(原始資料!$A365="",28&gt;設定!$B$3,原始資料!AE365=""),"",IF(AND(原始資料!AD365&lt;&gt;"",原始資料!AE365=原始資料!AD365),N(AB365)+1,1))</f>
        <v/>
      </c>
      <c r="AD365" s="6">
        <f>IF(OR(原始資料!$A365="",29&gt;設定!$B$3,原始資料!AF365=""),"",IF(AND(原始資料!AE365&lt;&gt;"",原始資料!AF365=原始資料!AE365),N(AC365)+1,1))</f>
        <v/>
      </c>
      <c r="AE365" s="6">
        <f>IF(OR(原始資料!$A365="",30&gt;設定!$B$3,原始資料!AG365=""),"",IF(AND(原始資料!AF365&lt;&gt;"",原始資料!AG365=原始資料!AF365),N(AD365)+1,1))</f>
        <v/>
      </c>
      <c r="AF365" s="6">
        <f>IF(OR(原始資料!$A365="",31&gt;設定!$B$3,原始資料!AH365=""),"",IF(AND(原始資料!AG365&lt;&gt;"",原始資料!AH365=原始資料!AG365),N(AE365)+1,1))</f>
        <v/>
      </c>
      <c r="AG365" s="6">
        <f>IF(OR(原始資料!$A365="",32&gt;設定!$B$3,原始資料!AI365=""),"",IF(AND(原始資料!AH365&lt;&gt;"",原始資料!AI365=原始資料!AH365),N(AF365)+1,1))</f>
        <v/>
      </c>
      <c r="AH365" s="6">
        <f>IF(OR(原始資料!$A365="",33&gt;設定!$B$3,原始資料!AJ365=""),"",IF(AND(原始資料!AI365&lt;&gt;"",原始資料!AJ365=原始資料!AI365),N(AG365)+1,1))</f>
        <v/>
      </c>
      <c r="AI365" s="6">
        <f>IF(OR(原始資料!$A365="",34&gt;設定!$B$3,原始資料!AK365=""),"",IF(AND(原始資料!AJ365&lt;&gt;"",原始資料!AK365=原始資料!AJ365),N(AH365)+1,1))</f>
        <v/>
      </c>
      <c r="AJ365" s="6">
        <f>IF(OR(原始資料!$A365="",35&gt;設定!$B$3,原始資料!AL365=""),"",IF(AND(原始資料!AK365&lt;&gt;"",原始資料!AL365=原始資料!AK365),N(AI365)+1,1))</f>
        <v/>
      </c>
      <c r="AK365" s="6">
        <f>IF(OR(原始資料!$A365="",36&gt;設定!$B$3,原始資料!AM365=""),"",IF(AND(原始資料!AL365&lt;&gt;"",原始資料!AM365=原始資料!AL365),N(AJ365)+1,1))</f>
        <v/>
      </c>
      <c r="AL365" s="6">
        <f>IF(OR(原始資料!$A365="",37&gt;設定!$B$3,原始資料!AN365=""),"",IF(AND(原始資料!AM365&lt;&gt;"",原始資料!AN365=原始資料!AM365),N(AK365)+1,1))</f>
        <v/>
      </c>
      <c r="AM365" s="6">
        <f>IF(OR(原始資料!$A365="",38&gt;設定!$B$3,原始資料!AO365=""),"",IF(AND(原始資料!AN365&lt;&gt;"",原始資料!AO365=原始資料!AN365),N(AL365)+1,1))</f>
        <v/>
      </c>
      <c r="AN365" s="6">
        <f>IF(OR(原始資料!$A365="",39&gt;設定!$B$3,原始資料!AP365=""),"",IF(AND(原始資料!AO365&lt;&gt;"",原始資料!AP365=原始資料!AO365),N(AM365)+1,1))</f>
        <v/>
      </c>
      <c r="AO365" s="6">
        <f>IF(OR(原始資料!$A365="",40&gt;設定!$B$3,原始資料!AQ365=""),"",IF(AND(原始資料!AP365&lt;&gt;"",原始資料!AQ365=原始資料!AP365),N(AN365)+1,1))</f>
        <v/>
      </c>
      <c r="AP365" s="6">
        <f>IF(OR(原始資料!$A365="",41&gt;設定!$B$3,原始資料!AR365=""),"",IF(AND(原始資料!AQ365&lt;&gt;"",原始資料!AR365=原始資料!AQ365),N(AO365)+1,1))</f>
        <v/>
      </c>
      <c r="AQ365" s="6">
        <f>IF(OR(原始資料!$A365="",42&gt;設定!$B$3,原始資料!AS365=""),"",IF(AND(原始資料!AR365&lt;&gt;"",原始資料!AS365=原始資料!AR365),N(AP365)+1,1))</f>
        <v/>
      </c>
      <c r="AR365" s="6">
        <f>IF(OR(原始資料!$A365="",43&gt;設定!$B$3,原始資料!AT365=""),"",IF(AND(原始資料!AS365&lt;&gt;"",原始資料!AT365=原始資料!AS365),N(AQ365)+1,1))</f>
        <v/>
      </c>
      <c r="AS365" s="6">
        <f>IF(OR(原始資料!$A365="",44&gt;設定!$B$3,原始資料!AU365=""),"",IF(AND(原始資料!AT365&lt;&gt;"",原始資料!AU365=原始資料!AT365),N(AR365)+1,1))</f>
        <v/>
      </c>
      <c r="AT365" s="6">
        <f>IF(OR(原始資料!$A365="",45&gt;設定!$B$3,原始資料!AV365=""),"",IF(AND(原始資料!AU365&lt;&gt;"",原始資料!AV365=原始資料!AU365),N(AS365)+1,1))</f>
        <v/>
      </c>
      <c r="AU365" s="6">
        <f>IF(OR(原始資料!$A365="",46&gt;設定!$B$3,原始資料!AW365=""),"",IF(AND(原始資料!AV365&lt;&gt;"",原始資料!AW365=原始資料!AV365),N(AT365)+1,1))</f>
        <v/>
      </c>
      <c r="AV365" s="6">
        <f>IF(OR(原始資料!$A365="",47&gt;設定!$B$3,原始資料!AX365=""),"",IF(AND(原始資料!AW365&lt;&gt;"",原始資料!AX365=原始資料!AW365),N(AU365)+1,1))</f>
        <v/>
      </c>
      <c r="AW365" s="6">
        <f>IF(OR(原始資料!$A365="",48&gt;設定!$B$3,原始資料!AY365=""),"",IF(AND(原始資料!AX365&lt;&gt;"",原始資料!AY365=原始資料!AX365),N(AV365)+1,1))</f>
        <v/>
      </c>
      <c r="AX365" s="6">
        <f>IF(OR(原始資料!$A365="",49&gt;設定!$B$3,原始資料!AZ365=""),"",IF(AND(原始資料!AY365&lt;&gt;"",原始資料!AZ365=原始資料!AY365),N(AW365)+1,1))</f>
        <v/>
      </c>
      <c r="AY365" s="6">
        <f>IF(OR(原始資料!$A365="",50&gt;設定!$B$3,原始資料!BA365=""),"",IF(AND(原始資料!AZ365&lt;&gt;"",原始資料!BA365=原始資料!AZ365),N(AX365)+1,1))</f>
        <v/>
      </c>
      <c r="AZ365" s="6">
        <f>IF(OR(原始資料!$A365="",51&gt;設定!$B$3,原始資料!BB365=""),"",IF(AND(原始資料!BA365&lt;&gt;"",原始資料!BB365=原始資料!BA365),N(AY365)+1,1))</f>
        <v/>
      </c>
      <c r="BA365" s="6">
        <f>IF(OR(原始資料!$A365="",52&gt;設定!$B$3,原始資料!BC365=""),"",IF(AND(原始資料!BB365&lt;&gt;"",原始資料!BC365=原始資料!BB365),N(AZ365)+1,1))</f>
        <v/>
      </c>
      <c r="BB365" s="6">
        <f>IF(OR(原始資料!$A365="",53&gt;設定!$B$3,原始資料!BD365=""),"",IF(AND(原始資料!BC365&lt;&gt;"",原始資料!BD365=原始資料!BC365),N(BA365)+1,1))</f>
        <v/>
      </c>
      <c r="BC365" s="6">
        <f>IF(OR(原始資料!$A365="",54&gt;設定!$B$3,原始資料!BE365=""),"",IF(AND(原始資料!BD365&lt;&gt;"",原始資料!BE365=原始資料!BD365),N(BB365)+1,1))</f>
        <v/>
      </c>
      <c r="BD365" s="6">
        <f>IF(OR(原始資料!$A365="",55&gt;設定!$B$3,原始資料!BF365=""),"",IF(AND(原始資料!BE365&lt;&gt;"",原始資料!BF365=原始資料!BE365),N(BC365)+1,1))</f>
        <v/>
      </c>
      <c r="BE365" s="6">
        <f>IF(OR(原始資料!$A365="",56&gt;設定!$B$3,原始資料!BG365=""),"",IF(AND(原始資料!BF365&lt;&gt;"",原始資料!BG365=原始資料!BF365),N(BD365)+1,1))</f>
        <v/>
      </c>
      <c r="BF365" s="6">
        <f>IF(OR(原始資料!$A365="",57&gt;設定!$B$3,原始資料!BH365=""),"",IF(AND(原始資料!BG365&lt;&gt;"",原始資料!BH365=原始資料!BG365),N(BE365)+1,1))</f>
        <v/>
      </c>
      <c r="BG365" s="6">
        <f>IF(OR(原始資料!$A365="",58&gt;設定!$B$3,原始資料!BI365=""),"",IF(AND(原始資料!BH365&lt;&gt;"",原始資料!BI365=原始資料!BH365),N(BF365)+1,1))</f>
        <v/>
      </c>
      <c r="BH365" s="6">
        <f>IF(OR(原始資料!$A365="",59&gt;設定!$B$3,原始資料!BJ365=""),"",IF(AND(原始資料!BI365&lt;&gt;"",原始資料!BJ365=原始資料!BI365),N(BG365)+1,1))</f>
        <v/>
      </c>
      <c r="BI365" s="6">
        <f>IF(OR(原始資料!$A365="",60&gt;設定!$B$3,原始資料!BK365=""),"",IF(AND(原始資料!BJ365&lt;&gt;"",原始資料!BK365=原始資料!BJ365),N(BH365)+1,1))</f>
        <v/>
      </c>
    </row>
    <row r="366">
      <c r="A366" s="6">
        <f>IF(原始資料!$A366="","",原始資料!$A366)</f>
        <v/>
      </c>
      <c r="B366" s="6">
        <f>IF(OR(原始資料!$A366="",1&gt;設定!$B$3,原始資料!D366=""),"",1)</f>
        <v/>
      </c>
      <c r="C366" s="6">
        <f>IF(OR(原始資料!$A366="",2&gt;設定!$B$3,原始資料!E366=""),"",IF(AND(原始資料!D366&lt;&gt;"",原始資料!E366=原始資料!D366),N(B366)+1,1))</f>
        <v/>
      </c>
      <c r="D366" s="6">
        <f>IF(OR(原始資料!$A366="",3&gt;設定!$B$3,原始資料!F366=""),"",IF(AND(原始資料!E366&lt;&gt;"",原始資料!F366=原始資料!E366),N(C366)+1,1))</f>
        <v/>
      </c>
      <c r="E366" s="6">
        <f>IF(OR(原始資料!$A366="",4&gt;設定!$B$3,原始資料!G366=""),"",IF(AND(原始資料!F366&lt;&gt;"",原始資料!G366=原始資料!F366),N(D366)+1,1))</f>
        <v/>
      </c>
      <c r="F366" s="6">
        <f>IF(OR(原始資料!$A366="",5&gt;設定!$B$3,原始資料!H366=""),"",IF(AND(原始資料!G366&lt;&gt;"",原始資料!H366=原始資料!G366),N(E366)+1,1))</f>
        <v/>
      </c>
      <c r="G366" s="6">
        <f>IF(OR(原始資料!$A366="",6&gt;設定!$B$3,原始資料!I366=""),"",IF(AND(原始資料!H366&lt;&gt;"",原始資料!I366=原始資料!H366),N(F366)+1,1))</f>
        <v/>
      </c>
      <c r="H366" s="6">
        <f>IF(OR(原始資料!$A366="",7&gt;設定!$B$3,原始資料!J366=""),"",IF(AND(原始資料!I366&lt;&gt;"",原始資料!J366=原始資料!I366),N(G366)+1,1))</f>
        <v/>
      </c>
      <c r="I366" s="6">
        <f>IF(OR(原始資料!$A366="",8&gt;設定!$B$3,原始資料!K366=""),"",IF(AND(原始資料!J366&lt;&gt;"",原始資料!K366=原始資料!J366),N(H366)+1,1))</f>
        <v/>
      </c>
      <c r="J366" s="6">
        <f>IF(OR(原始資料!$A366="",9&gt;設定!$B$3,原始資料!L366=""),"",IF(AND(原始資料!K366&lt;&gt;"",原始資料!L366=原始資料!K366),N(I366)+1,1))</f>
        <v/>
      </c>
      <c r="K366" s="6">
        <f>IF(OR(原始資料!$A366="",10&gt;設定!$B$3,原始資料!M366=""),"",IF(AND(原始資料!L366&lt;&gt;"",原始資料!M366=原始資料!L366),N(J366)+1,1))</f>
        <v/>
      </c>
      <c r="L366" s="6">
        <f>IF(OR(原始資料!$A366="",11&gt;設定!$B$3,原始資料!N366=""),"",IF(AND(原始資料!M366&lt;&gt;"",原始資料!N366=原始資料!M366),N(K366)+1,1))</f>
        <v/>
      </c>
      <c r="M366" s="6">
        <f>IF(OR(原始資料!$A366="",12&gt;設定!$B$3,原始資料!O366=""),"",IF(AND(原始資料!N366&lt;&gt;"",原始資料!O366=原始資料!N366),N(L366)+1,1))</f>
        <v/>
      </c>
      <c r="N366" s="6">
        <f>IF(OR(原始資料!$A366="",13&gt;設定!$B$3,原始資料!P366=""),"",IF(AND(原始資料!O366&lt;&gt;"",原始資料!P366=原始資料!O366),N(M366)+1,1))</f>
        <v/>
      </c>
      <c r="O366" s="6">
        <f>IF(OR(原始資料!$A366="",14&gt;設定!$B$3,原始資料!Q366=""),"",IF(AND(原始資料!P366&lt;&gt;"",原始資料!Q366=原始資料!P366),N(N366)+1,1))</f>
        <v/>
      </c>
      <c r="P366" s="6">
        <f>IF(OR(原始資料!$A366="",15&gt;設定!$B$3,原始資料!R366=""),"",IF(AND(原始資料!Q366&lt;&gt;"",原始資料!R366=原始資料!Q366),N(O366)+1,1))</f>
        <v/>
      </c>
      <c r="Q366" s="6">
        <f>IF(OR(原始資料!$A366="",16&gt;設定!$B$3,原始資料!S366=""),"",IF(AND(原始資料!R366&lt;&gt;"",原始資料!S366=原始資料!R366),N(P366)+1,1))</f>
        <v/>
      </c>
      <c r="R366" s="6">
        <f>IF(OR(原始資料!$A366="",17&gt;設定!$B$3,原始資料!T366=""),"",IF(AND(原始資料!S366&lt;&gt;"",原始資料!T366=原始資料!S366),N(Q366)+1,1))</f>
        <v/>
      </c>
      <c r="S366" s="6">
        <f>IF(OR(原始資料!$A366="",18&gt;設定!$B$3,原始資料!U366=""),"",IF(AND(原始資料!T366&lt;&gt;"",原始資料!U366=原始資料!T366),N(R366)+1,1))</f>
        <v/>
      </c>
      <c r="T366" s="6">
        <f>IF(OR(原始資料!$A366="",19&gt;設定!$B$3,原始資料!V366=""),"",IF(AND(原始資料!U366&lt;&gt;"",原始資料!V366=原始資料!U366),N(S366)+1,1))</f>
        <v/>
      </c>
      <c r="U366" s="6">
        <f>IF(OR(原始資料!$A366="",20&gt;設定!$B$3,原始資料!W366=""),"",IF(AND(原始資料!V366&lt;&gt;"",原始資料!W366=原始資料!V366),N(T366)+1,1))</f>
        <v/>
      </c>
      <c r="V366" s="6">
        <f>IF(OR(原始資料!$A366="",21&gt;設定!$B$3,原始資料!X366=""),"",IF(AND(原始資料!W366&lt;&gt;"",原始資料!X366=原始資料!W366),N(U366)+1,1))</f>
        <v/>
      </c>
      <c r="W366" s="6">
        <f>IF(OR(原始資料!$A366="",22&gt;設定!$B$3,原始資料!Y366=""),"",IF(AND(原始資料!X366&lt;&gt;"",原始資料!Y366=原始資料!X366),N(V366)+1,1))</f>
        <v/>
      </c>
      <c r="X366" s="6">
        <f>IF(OR(原始資料!$A366="",23&gt;設定!$B$3,原始資料!Z366=""),"",IF(AND(原始資料!Y366&lt;&gt;"",原始資料!Z366=原始資料!Y366),N(W366)+1,1))</f>
        <v/>
      </c>
      <c r="Y366" s="6">
        <f>IF(OR(原始資料!$A366="",24&gt;設定!$B$3,原始資料!AA366=""),"",IF(AND(原始資料!Z366&lt;&gt;"",原始資料!AA366=原始資料!Z366),N(X366)+1,1))</f>
        <v/>
      </c>
      <c r="Z366" s="6">
        <f>IF(OR(原始資料!$A366="",25&gt;設定!$B$3,原始資料!AB366=""),"",IF(AND(原始資料!AA366&lt;&gt;"",原始資料!AB366=原始資料!AA366),N(Y366)+1,1))</f>
        <v/>
      </c>
      <c r="AA366" s="6">
        <f>IF(OR(原始資料!$A366="",26&gt;設定!$B$3,原始資料!AC366=""),"",IF(AND(原始資料!AB366&lt;&gt;"",原始資料!AC366=原始資料!AB366),N(Z366)+1,1))</f>
        <v/>
      </c>
      <c r="AB366" s="6">
        <f>IF(OR(原始資料!$A366="",27&gt;設定!$B$3,原始資料!AD366=""),"",IF(AND(原始資料!AC366&lt;&gt;"",原始資料!AD366=原始資料!AC366),N(AA366)+1,1))</f>
        <v/>
      </c>
      <c r="AC366" s="6">
        <f>IF(OR(原始資料!$A366="",28&gt;設定!$B$3,原始資料!AE366=""),"",IF(AND(原始資料!AD366&lt;&gt;"",原始資料!AE366=原始資料!AD366),N(AB366)+1,1))</f>
        <v/>
      </c>
      <c r="AD366" s="6">
        <f>IF(OR(原始資料!$A366="",29&gt;設定!$B$3,原始資料!AF366=""),"",IF(AND(原始資料!AE366&lt;&gt;"",原始資料!AF366=原始資料!AE366),N(AC366)+1,1))</f>
        <v/>
      </c>
      <c r="AE366" s="6">
        <f>IF(OR(原始資料!$A366="",30&gt;設定!$B$3,原始資料!AG366=""),"",IF(AND(原始資料!AF366&lt;&gt;"",原始資料!AG366=原始資料!AF366),N(AD366)+1,1))</f>
        <v/>
      </c>
      <c r="AF366" s="6">
        <f>IF(OR(原始資料!$A366="",31&gt;設定!$B$3,原始資料!AH366=""),"",IF(AND(原始資料!AG366&lt;&gt;"",原始資料!AH366=原始資料!AG366),N(AE366)+1,1))</f>
        <v/>
      </c>
      <c r="AG366" s="6">
        <f>IF(OR(原始資料!$A366="",32&gt;設定!$B$3,原始資料!AI366=""),"",IF(AND(原始資料!AH366&lt;&gt;"",原始資料!AI366=原始資料!AH366),N(AF366)+1,1))</f>
        <v/>
      </c>
      <c r="AH366" s="6">
        <f>IF(OR(原始資料!$A366="",33&gt;設定!$B$3,原始資料!AJ366=""),"",IF(AND(原始資料!AI366&lt;&gt;"",原始資料!AJ366=原始資料!AI366),N(AG366)+1,1))</f>
        <v/>
      </c>
      <c r="AI366" s="6">
        <f>IF(OR(原始資料!$A366="",34&gt;設定!$B$3,原始資料!AK366=""),"",IF(AND(原始資料!AJ366&lt;&gt;"",原始資料!AK366=原始資料!AJ366),N(AH366)+1,1))</f>
        <v/>
      </c>
      <c r="AJ366" s="6">
        <f>IF(OR(原始資料!$A366="",35&gt;設定!$B$3,原始資料!AL366=""),"",IF(AND(原始資料!AK366&lt;&gt;"",原始資料!AL366=原始資料!AK366),N(AI366)+1,1))</f>
        <v/>
      </c>
      <c r="AK366" s="6">
        <f>IF(OR(原始資料!$A366="",36&gt;設定!$B$3,原始資料!AM366=""),"",IF(AND(原始資料!AL366&lt;&gt;"",原始資料!AM366=原始資料!AL366),N(AJ366)+1,1))</f>
        <v/>
      </c>
      <c r="AL366" s="6">
        <f>IF(OR(原始資料!$A366="",37&gt;設定!$B$3,原始資料!AN366=""),"",IF(AND(原始資料!AM366&lt;&gt;"",原始資料!AN366=原始資料!AM366),N(AK366)+1,1))</f>
        <v/>
      </c>
      <c r="AM366" s="6">
        <f>IF(OR(原始資料!$A366="",38&gt;設定!$B$3,原始資料!AO366=""),"",IF(AND(原始資料!AN366&lt;&gt;"",原始資料!AO366=原始資料!AN366),N(AL366)+1,1))</f>
        <v/>
      </c>
      <c r="AN366" s="6">
        <f>IF(OR(原始資料!$A366="",39&gt;設定!$B$3,原始資料!AP366=""),"",IF(AND(原始資料!AO366&lt;&gt;"",原始資料!AP366=原始資料!AO366),N(AM366)+1,1))</f>
        <v/>
      </c>
      <c r="AO366" s="6">
        <f>IF(OR(原始資料!$A366="",40&gt;設定!$B$3,原始資料!AQ366=""),"",IF(AND(原始資料!AP366&lt;&gt;"",原始資料!AQ366=原始資料!AP366),N(AN366)+1,1))</f>
        <v/>
      </c>
      <c r="AP366" s="6">
        <f>IF(OR(原始資料!$A366="",41&gt;設定!$B$3,原始資料!AR366=""),"",IF(AND(原始資料!AQ366&lt;&gt;"",原始資料!AR366=原始資料!AQ366),N(AO366)+1,1))</f>
        <v/>
      </c>
      <c r="AQ366" s="6">
        <f>IF(OR(原始資料!$A366="",42&gt;設定!$B$3,原始資料!AS366=""),"",IF(AND(原始資料!AR366&lt;&gt;"",原始資料!AS366=原始資料!AR366),N(AP366)+1,1))</f>
        <v/>
      </c>
      <c r="AR366" s="6">
        <f>IF(OR(原始資料!$A366="",43&gt;設定!$B$3,原始資料!AT366=""),"",IF(AND(原始資料!AS366&lt;&gt;"",原始資料!AT366=原始資料!AS366),N(AQ366)+1,1))</f>
        <v/>
      </c>
      <c r="AS366" s="6">
        <f>IF(OR(原始資料!$A366="",44&gt;設定!$B$3,原始資料!AU366=""),"",IF(AND(原始資料!AT366&lt;&gt;"",原始資料!AU366=原始資料!AT366),N(AR366)+1,1))</f>
        <v/>
      </c>
      <c r="AT366" s="6">
        <f>IF(OR(原始資料!$A366="",45&gt;設定!$B$3,原始資料!AV366=""),"",IF(AND(原始資料!AU366&lt;&gt;"",原始資料!AV366=原始資料!AU366),N(AS366)+1,1))</f>
        <v/>
      </c>
      <c r="AU366" s="6">
        <f>IF(OR(原始資料!$A366="",46&gt;設定!$B$3,原始資料!AW366=""),"",IF(AND(原始資料!AV366&lt;&gt;"",原始資料!AW366=原始資料!AV366),N(AT366)+1,1))</f>
        <v/>
      </c>
      <c r="AV366" s="6">
        <f>IF(OR(原始資料!$A366="",47&gt;設定!$B$3,原始資料!AX366=""),"",IF(AND(原始資料!AW366&lt;&gt;"",原始資料!AX366=原始資料!AW366),N(AU366)+1,1))</f>
        <v/>
      </c>
      <c r="AW366" s="6">
        <f>IF(OR(原始資料!$A366="",48&gt;設定!$B$3,原始資料!AY366=""),"",IF(AND(原始資料!AX366&lt;&gt;"",原始資料!AY366=原始資料!AX366),N(AV366)+1,1))</f>
        <v/>
      </c>
      <c r="AX366" s="6">
        <f>IF(OR(原始資料!$A366="",49&gt;設定!$B$3,原始資料!AZ366=""),"",IF(AND(原始資料!AY366&lt;&gt;"",原始資料!AZ366=原始資料!AY366),N(AW366)+1,1))</f>
        <v/>
      </c>
      <c r="AY366" s="6">
        <f>IF(OR(原始資料!$A366="",50&gt;設定!$B$3,原始資料!BA366=""),"",IF(AND(原始資料!AZ366&lt;&gt;"",原始資料!BA366=原始資料!AZ366),N(AX366)+1,1))</f>
        <v/>
      </c>
      <c r="AZ366" s="6">
        <f>IF(OR(原始資料!$A366="",51&gt;設定!$B$3,原始資料!BB366=""),"",IF(AND(原始資料!BA366&lt;&gt;"",原始資料!BB366=原始資料!BA366),N(AY366)+1,1))</f>
        <v/>
      </c>
      <c r="BA366" s="6">
        <f>IF(OR(原始資料!$A366="",52&gt;設定!$B$3,原始資料!BC366=""),"",IF(AND(原始資料!BB366&lt;&gt;"",原始資料!BC366=原始資料!BB366),N(AZ366)+1,1))</f>
        <v/>
      </c>
      <c r="BB366" s="6">
        <f>IF(OR(原始資料!$A366="",53&gt;設定!$B$3,原始資料!BD366=""),"",IF(AND(原始資料!BC366&lt;&gt;"",原始資料!BD366=原始資料!BC366),N(BA366)+1,1))</f>
        <v/>
      </c>
      <c r="BC366" s="6">
        <f>IF(OR(原始資料!$A366="",54&gt;設定!$B$3,原始資料!BE366=""),"",IF(AND(原始資料!BD366&lt;&gt;"",原始資料!BE366=原始資料!BD366),N(BB366)+1,1))</f>
        <v/>
      </c>
      <c r="BD366" s="6">
        <f>IF(OR(原始資料!$A366="",55&gt;設定!$B$3,原始資料!BF366=""),"",IF(AND(原始資料!BE366&lt;&gt;"",原始資料!BF366=原始資料!BE366),N(BC366)+1,1))</f>
        <v/>
      </c>
      <c r="BE366" s="6">
        <f>IF(OR(原始資料!$A366="",56&gt;設定!$B$3,原始資料!BG366=""),"",IF(AND(原始資料!BF366&lt;&gt;"",原始資料!BG366=原始資料!BF366),N(BD366)+1,1))</f>
        <v/>
      </c>
      <c r="BF366" s="6">
        <f>IF(OR(原始資料!$A366="",57&gt;設定!$B$3,原始資料!BH366=""),"",IF(AND(原始資料!BG366&lt;&gt;"",原始資料!BH366=原始資料!BG366),N(BE366)+1,1))</f>
        <v/>
      </c>
      <c r="BG366" s="6">
        <f>IF(OR(原始資料!$A366="",58&gt;設定!$B$3,原始資料!BI366=""),"",IF(AND(原始資料!BH366&lt;&gt;"",原始資料!BI366=原始資料!BH366),N(BF366)+1,1))</f>
        <v/>
      </c>
      <c r="BH366" s="6">
        <f>IF(OR(原始資料!$A366="",59&gt;設定!$B$3,原始資料!BJ366=""),"",IF(AND(原始資料!BI366&lt;&gt;"",原始資料!BJ366=原始資料!BI366),N(BG366)+1,1))</f>
        <v/>
      </c>
      <c r="BI366" s="6">
        <f>IF(OR(原始資料!$A366="",60&gt;設定!$B$3,原始資料!BK366=""),"",IF(AND(原始資料!BJ366&lt;&gt;"",原始資料!BK366=原始資料!BJ366),N(BH366)+1,1))</f>
        <v/>
      </c>
    </row>
    <row r="367">
      <c r="A367" s="6">
        <f>IF(原始資料!$A367="","",原始資料!$A367)</f>
        <v/>
      </c>
      <c r="B367" s="6">
        <f>IF(OR(原始資料!$A367="",1&gt;設定!$B$3,原始資料!D367=""),"",1)</f>
        <v/>
      </c>
      <c r="C367" s="6">
        <f>IF(OR(原始資料!$A367="",2&gt;設定!$B$3,原始資料!E367=""),"",IF(AND(原始資料!D367&lt;&gt;"",原始資料!E367=原始資料!D367),N(B367)+1,1))</f>
        <v/>
      </c>
      <c r="D367" s="6">
        <f>IF(OR(原始資料!$A367="",3&gt;設定!$B$3,原始資料!F367=""),"",IF(AND(原始資料!E367&lt;&gt;"",原始資料!F367=原始資料!E367),N(C367)+1,1))</f>
        <v/>
      </c>
      <c r="E367" s="6">
        <f>IF(OR(原始資料!$A367="",4&gt;設定!$B$3,原始資料!G367=""),"",IF(AND(原始資料!F367&lt;&gt;"",原始資料!G367=原始資料!F367),N(D367)+1,1))</f>
        <v/>
      </c>
      <c r="F367" s="6">
        <f>IF(OR(原始資料!$A367="",5&gt;設定!$B$3,原始資料!H367=""),"",IF(AND(原始資料!G367&lt;&gt;"",原始資料!H367=原始資料!G367),N(E367)+1,1))</f>
        <v/>
      </c>
      <c r="G367" s="6">
        <f>IF(OR(原始資料!$A367="",6&gt;設定!$B$3,原始資料!I367=""),"",IF(AND(原始資料!H367&lt;&gt;"",原始資料!I367=原始資料!H367),N(F367)+1,1))</f>
        <v/>
      </c>
      <c r="H367" s="6">
        <f>IF(OR(原始資料!$A367="",7&gt;設定!$B$3,原始資料!J367=""),"",IF(AND(原始資料!I367&lt;&gt;"",原始資料!J367=原始資料!I367),N(G367)+1,1))</f>
        <v/>
      </c>
      <c r="I367" s="6">
        <f>IF(OR(原始資料!$A367="",8&gt;設定!$B$3,原始資料!K367=""),"",IF(AND(原始資料!J367&lt;&gt;"",原始資料!K367=原始資料!J367),N(H367)+1,1))</f>
        <v/>
      </c>
      <c r="J367" s="6">
        <f>IF(OR(原始資料!$A367="",9&gt;設定!$B$3,原始資料!L367=""),"",IF(AND(原始資料!K367&lt;&gt;"",原始資料!L367=原始資料!K367),N(I367)+1,1))</f>
        <v/>
      </c>
      <c r="K367" s="6">
        <f>IF(OR(原始資料!$A367="",10&gt;設定!$B$3,原始資料!M367=""),"",IF(AND(原始資料!L367&lt;&gt;"",原始資料!M367=原始資料!L367),N(J367)+1,1))</f>
        <v/>
      </c>
      <c r="L367" s="6">
        <f>IF(OR(原始資料!$A367="",11&gt;設定!$B$3,原始資料!N367=""),"",IF(AND(原始資料!M367&lt;&gt;"",原始資料!N367=原始資料!M367),N(K367)+1,1))</f>
        <v/>
      </c>
      <c r="M367" s="6">
        <f>IF(OR(原始資料!$A367="",12&gt;設定!$B$3,原始資料!O367=""),"",IF(AND(原始資料!N367&lt;&gt;"",原始資料!O367=原始資料!N367),N(L367)+1,1))</f>
        <v/>
      </c>
      <c r="N367" s="6">
        <f>IF(OR(原始資料!$A367="",13&gt;設定!$B$3,原始資料!P367=""),"",IF(AND(原始資料!O367&lt;&gt;"",原始資料!P367=原始資料!O367),N(M367)+1,1))</f>
        <v/>
      </c>
      <c r="O367" s="6">
        <f>IF(OR(原始資料!$A367="",14&gt;設定!$B$3,原始資料!Q367=""),"",IF(AND(原始資料!P367&lt;&gt;"",原始資料!Q367=原始資料!P367),N(N367)+1,1))</f>
        <v/>
      </c>
      <c r="P367" s="6">
        <f>IF(OR(原始資料!$A367="",15&gt;設定!$B$3,原始資料!R367=""),"",IF(AND(原始資料!Q367&lt;&gt;"",原始資料!R367=原始資料!Q367),N(O367)+1,1))</f>
        <v/>
      </c>
      <c r="Q367" s="6">
        <f>IF(OR(原始資料!$A367="",16&gt;設定!$B$3,原始資料!S367=""),"",IF(AND(原始資料!R367&lt;&gt;"",原始資料!S367=原始資料!R367),N(P367)+1,1))</f>
        <v/>
      </c>
      <c r="R367" s="6">
        <f>IF(OR(原始資料!$A367="",17&gt;設定!$B$3,原始資料!T367=""),"",IF(AND(原始資料!S367&lt;&gt;"",原始資料!T367=原始資料!S367),N(Q367)+1,1))</f>
        <v/>
      </c>
      <c r="S367" s="6">
        <f>IF(OR(原始資料!$A367="",18&gt;設定!$B$3,原始資料!U367=""),"",IF(AND(原始資料!T367&lt;&gt;"",原始資料!U367=原始資料!T367),N(R367)+1,1))</f>
        <v/>
      </c>
      <c r="T367" s="6">
        <f>IF(OR(原始資料!$A367="",19&gt;設定!$B$3,原始資料!V367=""),"",IF(AND(原始資料!U367&lt;&gt;"",原始資料!V367=原始資料!U367),N(S367)+1,1))</f>
        <v/>
      </c>
      <c r="U367" s="6">
        <f>IF(OR(原始資料!$A367="",20&gt;設定!$B$3,原始資料!W367=""),"",IF(AND(原始資料!V367&lt;&gt;"",原始資料!W367=原始資料!V367),N(T367)+1,1))</f>
        <v/>
      </c>
      <c r="V367" s="6">
        <f>IF(OR(原始資料!$A367="",21&gt;設定!$B$3,原始資料!X367=""),"",IF(AND(原始資料!W367&lt;&gt;"",原始資料!X367=原始資料!W367),N(U367)+1,1))</f>
        <v/>
      </c>
      <c r="W367" s="6">
        <f>IF(OR(原始資料!$A367="",22&gt;設定!$B$3,原始資料!Y367=""),"",IF(AND(原始資料!X367&lt;&gt;"",原始資料!Y367=原始資料!X367),N(V367)+1,1))</f>
        <v/>
      </c>
      <c r="X367" s="6">
        <f>IF(OR(原始資料!$A367="",23&gt;設定!$B$3,原始資料!Z367=""),"",IF(AND(原始資料!Y367&lt;&gt;"",原始資料!Z367=原始資料!Y367),N(W367)+1,1))</f>
        <v/>
      </c>
      <c r="Y367" s="6">
        <f>IF(OR(原始資料!$A367="",24&gt;設定!$B$3,原始資料!AA367=""),"",IF(AND(原始資料!Z367&lt;&gt;"",原始資料!AA367=原始資料!Z367),N(X367)+1,1))</f>
        <v/>
      </c>
      <c r="Z367" s="6">
        <f>IF(OR(原始資料!$A367="",25&gt;設定!$B$3,原始資料!AB367=""),"",IF(AND(原始資料!AA367&lt;&gt;"",原始資料!AB367=原始資料!AA367),N(Y367)+1,1))</f>
        <v/>
      </c>
      <c r="AA367" s="6">
        <f>IF(OR(原始資料!$A367="",26&gt;設定!$B$3,原始資料!AC367=""),"",IF(AND(原始資料!AB367&lt;&gt;"",原始資料!AC367=原始資料!AB367),N(Z367)+1,1))</f>
        <v/>
      </c>
      <c r="AB367" s="6">
        <f>IF(OR(原始資料!$A367="",27&gt;設定!$B$3,原始資料!AD367=""),"",IF(AND(原始資料!AC367&lt;&gt;"",原始資料!AD367=原始資料!AC367),N(AA367)+1,1))</f>
        <v/>
      </c>
      <c r="AC367" s="6">
        <f>IF(OR(原始資料!$A367="",28&gt;設定!$B$3,原始資料!AE367=""),"",IF(AND(原始資料!AD367&lt;&gt;"",原始資料!AE367=原始資料!AD367),N(AB367)+1,1))</f>
        <v/>
      </c>
      <c r="AD367" s="6">
        <f>IF(OR(原始資料!$A367="",29&gt;設定!$B$3,原始資料!AF367=""),"",IF(AND(原始資料!AE367&lt;&gt;"",原始資料!AF367=原始資料!AE367),N(AC367)+1,1))</f>
        <v/>
      </c>
      <c r="AE367" s="6">
        <f>IF(OR(原始資料!$A367="",30&gt;設定!$B$3,原始資料!AG367=""),"",IF(AND(原始資料!AF367&lt;&gt;"",原始資料!AG367=原始資料!AF367),N(AD367)+1,1))</f>
        <v/>
      </c>
      <c r="AF367" s="6">
        <f>IF(OR(原始資料!$A367="",31&gt;設定!$B$3,原始資料!AH367=""),"",IF(AND(原始資料!AG367&lt;&gt;"",原始資料!AH367=原始資料!AG367),N(AE367)+1,1))</f>
        <v/>
      </c>
      <c r="AG367" s="6">
        <f>IF(OR(原始資料!$A367="",32&gt;設定!$B$3,原始資料!AI367=""),"",IF(AND(原始資料!AH367&lt;&gt;"",原始資料!AI367=原始資料!AH367),N(AF367)+1,1))</f>
        <v/>
      </c>
      <c r="AH367" s="6">
        <f>IF(OR(原始資料!$A367="",33&gt;設定!$B$3,原始資料!AJ367=""),"",IF(AND(原始資料!AI367&lt;&gt;"",原始資料!AJ367=原始資料!AI367),N(AG367)+1,1))</f>
        <v/>
      </c>
      <c r="AI367" s="6">
        <f>IF(OR(原始資料!$A367="",34&gt;設定!$B$3,原始資料!AK367=""),"",IF(AND(原始資料!AJ367&lt;&gt;"",原始資料!AK367=原始資料!AJ367),N(AH367)+1,1))</f>
        <v/>
      </c>
      <c r="AJ367" s="6">
        <f>IF(OR(原始資料!$A367="",35&gt;設定!$B$3,原始資料!AL367=""),"",IF(AND(原始資料!AK367&lt;&gt;"",原始資料!AL367=原始資料!AK367),N(AI367)+1,1))</f>
        <v/>
      </c>
      <c r="AK367" s="6">
        <f>IF(OR(原始資料!$A367="",36&gt;設定!$B$3,原始資料!AM367=""),"",IF(AND(原始資料!AL367&lt;&gt;"",原始資料!AM367=原始資料!AL367),N(AJ367)+1,1))</f>
        <v/>
      </c>
      <c r="AL367" s="6">
        <f>IF(OR(原始資料!$A367="",37&gt;設定!$B$3,原始資料!AN367=""),"",IF(AND(原始資料!AM367&lt;&gt;"",原始資料!AN367=原始資料!AM367),N(AK367)+1,1))</f>
        <v/>
      </c>
      <c r="AM367" s="6">
        <f>IF(OR(原始資料!$A367="",38&gt;設定!$B$3,原始資料!AO367=""),"",IF(AND(原始資料!AN367&lt;&gt;"",原始資料!AO367=原始資料!AN367),N(AL367)+1,1))</f>
        <v/>
      </c>
      <c r="AN367" s="6">
        <f>IF(OR(原始資料!$A367="",39&gt;設定!$B$3,原始資料!AP367=""),"",IF(AND(原始資料!AO367&lt;&gt;"",原始資料!AP367=原始資料!AO367),N(AM367)+1,1))</f>
        <v/>
      </c>
      <c r="AO367" s="6">
        <f>IF(OR(原始資料!$A367="",40&gt;設定!$B$3,原始資料!AQ367=""),"",IF(AND(原始資料!AP367&lt;&gt;"",原始資料!AQ367=原始資料!AP367),N(AN367)+1,1))</f>
        <v/>
      </c>
      <c r="AP367" s="6">
        <f>IF(OR(原始資料!$A367="",41&gt;設定!$B$3,原始資料!AR367=""),"",IF(AND(原始資料!AQ367&lt;&gt;"",原始資料!AR367=原始資料!AQ367),N(AO367)+1,1))</f>
        <v/>
      </c>
      <c r="AQ367" s="6">
        <f>IF(OR(原始資料!$A367="",42&gt;設定!$B$3,原始資料!AS367=""),"",IF(AND(原始資料!AR367&lt;&gt;"",原始資料!AS367=原始資料!AR367),N(AP367)+1,1))</f>
        <v/>
      </c>
      <c r="AR367" s="6">
        <f>IF(OR(原始資料!$A367="",43&gt;設定!$B$3,原始資料!AT367=""),"",IF(AND(原始資料!AS367&lt;&gt;"",原始資料!AT367=原始資料!AS367),N(AQ367)+1,1))</f>
        <v/>
      </c>
      <c r="AS367" s="6">
        <f>IF(OR(原始資料!$A367="",44&gt;設定!$B$3,原始資料!AU367=""),"",IF(AND(原始資料!AT367&lt;&gt;"",原始資料!AU367=原始資料!AT367),N(AR367)+1,1))</f>
        <v/>
      </c>
      <c r="AT367" s="6">
        <f>IF(OR(原始資料!$A367="",45&gt;設定!$B$3,原始資料!AV367=""),"",IF(AND(原始資料!AU367&lt;&gt;"",原始資料!AV367=原始資料!AU367),N(AS367)+1,1))</f>
        <v/>
      </c>
      <c r="AU367" s="6">
        <f>IF(OR(原始資料!$A367="",46&gt;設定!$B$3,原始資料!AW367=""),"",IF(AND(原始資料!AV367&lt;&gt;"",原始資料!AW367=原始資料!AV367),N(AT367)+1,1))</f>
        <v/>
      </c>
      <c r="AV367" s="6">
        <f>IF(OR(原始資料!$A367="",47&gt;設定!$B$3,原始資料!AX367=""),"",IF(AND(原始資料!AW367&lt;&gt;"",原始資料!AX367=原始資料!AW367),N(AU367)+1,1))</f>
        <v/>
      </c>
      <c r="AW367" s="6">
        <f>IF(OR(原始資料!$A367="",48&gt;設定!$B$3,原始資料!AY367=""),"",IF(AND(原始資料!AX367&lt;&gt;"",原始資料!AY367=原始資料!AX367),N(AV367)+1,1))</f>
        <v/>
      </c>
      <c r="AX367" s="6">
        <f>IF(OR(原始資料!$A367="",49&gt;設定!$B$3,原始資料!AZ367=""),"",IF(AND(原始資料!AY367&lt;&gt;"",原始資料!AZ367=原始資料!AY367),N(AW367)+1,1))</f>
        <v/>
      </c>
      <c r="AY367" s="6">
        <f>IF(OR(原始資料!$A367="",50&gt;設定!$B$3,原始資料!BA367=""),"",IF(AND(原始資料!AZ367&lt;&gt;"",原始資料!BA367=原始資料!AZ367),N(AX367)+1,1))</f>
        <v/>
      </c>
      <c r="AZ367" s="6">
        <f>IF(OR(原始資料!$A367="",51&gt;設定!$B$3,原始資料!BB367=""),"",IF(AND(原始資料!BA367&lt;&gt;"",原始資料!BB367=原始資料!BA367),N(AY367)+1,1))</f>
        <v/>
      </c>
      <c r="BA367" s="6">
        <f>IF(OR(原始資料!$A367="",52&gt;設定!$B$3,原始資料!BC367=""),"",IF(AND(原始資料!BB367&lt;&gt;"",原始資料!BC367=原始資料!BB367),N(AZ367)+1,1))</f>
        <v/>
      </c>
      <c r="BB367" s="6">
        <f>IF(OR(原始資料!$A367="",53&gt;設定!$B$3,原始資料!BD367=""),"",IF(AND(原始資料!BC367&lt;&gt;"",原始資料!BD367=原始資料!BC367),N(BA367)+1,1))</f>
        <v/>
      </c>
      <c r="BC367" s="6">
        <f>IF(OR(原始資料!$A367="",54&gt;設定!$B$3,原始資料!BE367=""),"",IF(AND(原始資料!BD367&lt;&gt;"",原始資料!BE367=原始資料!BD367),N(BB367)+1,1))</f>
        <v/>
      </c>
      <c r="BD367" s="6">
        <f>IF(OR(原始資料!$A367="",55&gt;設定!$B$3,原始資料!BF367=""),"",IF(AND(原始資料!BE367&lt;&gt;"",原始資料!BF367=原始資料!BE367),N(BC367)+1,1))</f>
        <v/>
      </c>
      <c r="BE367" s="6">
        <f>IF(OR(原始資料!$A367="",56&gt;設定!$B$3,原始資料!BG367=""),"",IF(AND(原始資料!BF367&lt;&gt;"",原始資料!BG367=原始資料!BF367),N(BD367)+1,1))</f>
        <v/>
      </c>
      <c r="BF367" s="6">
        <f>IF(OR(原始資料!$A367="",57&gt;設定!$B$3,原始資料!BH367=""),"",IF(AND(原始資料!BG367&lt;&gt;"",原始資料!BH367=原始資料!BG367),N(BE367)+1,1))</f>
        <v/>
      </c>
      <c r="BG367" s="6">
        <f>IF(OR(原始資料!$A367="",58&gt;設定!$B$3,原始資料!BI367=""),"",IF(AND(原始資料!BH367&lt;&gt;"",原始資料!BI367=原始資料!BH367),N(BF367)+1,1))</f>
        <v/>
      </c>
      <c r="BH367" s="6">
        <f>IF(OR(原始資料!$A367="",59&gt;設定!$B$3,原始資料!BJ367=""),"",IF(AND(原始資料!BI367&lt;&gt;"",原始資料!BJ367=原始資料!BI367),N(BG367)+1,1))</f>
        <v/>
      </c>
      <c r="BI367" s="6">
        <f>IF(OR(原始資料!$A367="",60&gt;設定!$B$3,原始資料!BK367=""),"",IF(AND(原始資料!BJ367&lt;&gt;"",原始資料!BK367=原始資料!BJ367),N(BH367)+1,1))</f>
        <v/>
      </c>
    </row>
    <row r="368">
      <c r="A368" s="6">
        <f>IF(原始資料!$A368="","",原始資料!$A368)</f>
        <v/>
      </c>
      <c r="B368" s="6">
        <f>IF(OR(原始資料!$A368="",1&gt;設定!$B$3,原始資料!D368=""),"",1)</f>
        <v/>
      </c>
      <c r="C368" s="6">
        <f>IF(OR(原始資料!$A368="",2&gt;設定!$B$3,原始資料!E368=""),"",IF(AND(原始資料!D368&lt;&gt;"",原始資料!E368=原始資料!D368),N(B368)+1,1))</f>
        <v/>
      </c>
      <c r="D368" s="6">
        <f>IF(OR(原始資料!$A368="",3&gt;設定!$B$3,原始資料!F368=""),"",IF(AND(原始資料!E368&lt;&gt;"",原始資料!F368=原始資料!E368),N(C368)+1,1))</f>
        <v/>
      </c>
      <c r="E368" s="6">
        <f>IF(OR(原始資料!$A368="",4&gt;設定!$B$3,原始資料!G368=""),"",IF(AND(原始資料!F368&lt;&gt;"",原始資料!G368=原始資料!F368),N(D368)+1,1))</f>
        <v/>
      </c>
      <c r="F368" s="6">
        <f>IF(OR(原始資料!$A368="",5&gt;設定!$B$3,原始資料!H368=""),"",IF(AND(原始資料!G368&lt;&gt;"",原始資料!H368=原始資料!G368),N(E368)+1,1))</f>
        <v/>
      </c>
      <c r="G368" s="6">
        <f>IF(OR(原始資料!$A368="",6&gt;設定!$B$3,原始資料!I368=""),"",IF(AND(原始資料!H368&lt;&gt;"",原始資料!I368=原始資料!H368),N(F368)+1,1))</f>
        <v/>
      </c>
      <c r="H368" s="6">
        <f>IF(OR(原始資料!$A368="",7&gt;設定!$B$3,原始資料!J368=""),"",IF(AND(原始資料!I368&lt;&gt;"",原始資料!J368=原始資料!I368),N(G368)+1,1))</f>
        <v/>
      </c>
      <c r="I368" s="6">
        <f>IF(OR(原始資料!$A368="",8&gt;設定!$B$3,原始資料!K368=""),"",IF(AND(原始資料!J368&lt;&gt;"",原始資料!K368=原始資料!J368),N(H368)+1,1))</f>
        <v/>
      </c>
      <c r="J368" s="6">
        <f>IF(OR(原始資料!$A368="",9&gt;設定!$B$3,原始資料!L368=""),"",IF(AND(原始資料!K368&lt;&gt;"",原始資料!L368=原始資料!K368),N(I368)+1,1))</f>
        <v/>
      </c>
      <c r="K368" s="6">
        <f>IF(OR(原始資料!$A368="",10&gt;設定!$B$3,原始資料!M368=""),"",IF(AND(原始資料!L368&lt;&gt;"",原始資料!M368=原始資料!L368),N(J368)+1,1))</f>
        <v/>
      </c>
      <c r="L368" s="6">
        <f>IF(OR(原始資料!$A368="",11&gt;設定!$B$3,原始資料!N368=""),"",IF(AND(原始資料!M368&lt;&gt;"",原始資料!N368=原始資料!M368),N(K368)+1,1))</f>
        <v/>
      </c>
      <c r="M368" s="6">
        <f>IF(OR(原始資料!$A368="",12&gt;設定!$B$3,原始資料!O368=""),"",IF(AND(原始資料!N368&lt;&gt;"",原始資料!O368=原始資料!N368),N(L368)+1,1))</f>
        <v/>
      </c>
      <c r="N368" s="6">
        <f>IF(OR(原始資料!$A368="",13&gt;設定!$B$3,原始資料!P368=""),"",IF(AND(原始資料!O368&lt;&gt;"",原始資料!P368=原始資料!O368),N(M368)+1,1))</f>
        <v/>
      </c>
      <c r="O368" s="6">
        <f>IF(OR(原始資料!$A368="",14&gt;設定!$B$3,原始資料!Q368=""),"",IF(AND(原始資料!P368&lt;&gt;"",原始資料!Q368=原始資料!P368),N(N368)+1,1))</f>
        <v/>
      </c>
      <c r="P368" s="6">
        <f>IF(OR(原始資料!$A368="",15&gt;設定!$B$3,原始資料!R368=""),"",IF(AND(原始資料!Q368&lt;&gt;"",原始資料!R368=原始資料!Q368),N(O368)+1,1))</f>
        <v/>
      </c>
      <c r="Q368" s="6">
        <f>IF(OR(原始資料!$A368="",16&gt;設定!$B$3,原始資料!S368=""),"",IF(AND(原始資料!R368&lt;&gt;"",原始資料!S368=原始資料!R368),N(P368)+1,1))</f>
        <v/>
      </c>
      <c r="R368" s="6">
        <f>IF(OR(原始資料!$A368="",17&gt;設定!$B$3,原始資料!T368=""),"",IF(AND(原始資料!S368&lt;&gt;"",原始資料!T368=原始資料!S368),N(Q368)+1,1))</f>
        <v/>
      </c>
      <c r="S368" s="6">
        <f>IF(OR(原始資料!$A368="",18&gt;設定!$B$3,原始資料!U368=""),"",IF(AND(原始資料!T368&lt;&gt;"",原始資料!U368=原始資料!T368),N(R368)+1,1))</f>
        <v/>
      </c>
      <c r="T368" s="6">
        <f>IF(OR(原始資料!$A368="",19&gt;設定!$B$3,原始資料!V368=""),"",IF(AND(原始資料!U368&lt;&gt;"",原始資料!V368=原始資料!U368),N(S368)+1,1))</f>
        <v/>
      </c>
      <c r="U368" s="6">
        <f>IF(OR(原始資料!$A368="",20&gt;設定!$B$3,原始資料!W368=""),"",IF(AND(原始資料!V368&lt;&gt;"",原始資料!W368=原始資料!V368),N(T368)+1,1))</f>
        <v/>
      </c>
      <c r="V368" s="6">
        <f>IF(OR(原始資料!$A368="",21&gt;設定!$B$3,原始資料!X368=""),"",IF(AND(原始資料!W368&lt;&gt;"",原始資料!X368=原始資料!W368),N(U368)+1,1))</f>
        <v/>
      </c>
      <c r="W368" s="6">
        <f>IF(OR(原始資料!$A368="",22&gt;設定!$B$3,原始資料!Y368=""),"",IF(AND(原始資料!X368&lt;&gt;"",原始資料!Y368=原始資料!X368),N(V368)+1,1))</f>
        <v/>
      </c>
      <c r="X368" s="6">
        <f>IF(OR(原始資料!$A368="",23&gt;設定!$B$3,原始資料!Z368=""),"",IF(AND(原始資料!Y368&lt;&gt;"",原始資料!Z368=原始資料!Y368),N(W368)+1,1))</f>
        <v/>
      </c>
      <c r="Y368" s="6">
        <f>IF(OR(原始資料!$A368="",24&gt;設定!$B$3,原始資料!AA368=""),"",IF(AND(原始資料!Z368&lt;&gt;"",原始資料!AA368=原始資料!Z368),N(X368)+1,1))</f>
        <v/>
      </c>
      <c r="Z368" s="6">
        <f>IF(OR(原始資料!$A368="",25&gt;設定!$B$3,原始資料!AB368=""),"",IF(AND(原始資料!AA368&lt;&gt;"",原始資料!AB368=原始資料!AA368),N(Y368)+1,1))</f>
        <v/>
      </c>
      <c r="AA368" s="6">
        <f>IF(OR(原始資料!$A368="",26&gt;設定!$B$3,原始資料!AC368=""),"",IF(AND(原始資料!AB368&lt;&gt;"",原始資料!AC368=原始資料!AB368),N(Z368)+1,1))</f>
        <v/>
      </c>
      <c r="AB368" s="6">
        <f>IF(OR(原始資料!$A368="",27&gt;設定!$B$3,原始資料!AD368=""),"",IF(AND(原始資料!AC368&lt;&gt;"",原始資料!AD368=原始資料!AC368),N(AA368)+1,1))</f>
        <v/>
      </c>
      <c r="AC368" s="6">
        <f>IF(OR(原始資料!$A368="",28&gt;設定!$B$3,原始資料!AE368=""),"",IF(AND(原始資料!AD368&lt;&gt;"",原始資料!AE368=原始資料!AD368),N(AB368)+1,1))</f>
        <v/>
      </c>
      <c r="AD368" s="6">
        <f>IF(OR(原始資料!$A368="",29&gt;設定!$B$3,原始資料!AF368=""),"",IF(AND(原始資料!AE368&lt;&gt;"",原始資料!AF368=原始資料!AE368),N(AC368)+1,1))</f>
        <v/>
      </c>
      <c r="AE368" s="6">
        <f>IF(OR(原始資料!$A368="",30&gt;設定!$B$3,原始資料!AG368=""),"",IF(AND(原始資料!AF368&lt;&gt;"",原始資料!AG368=原始資料!AF368),N(AD368)+1,1))</f>
        <v/>
      </c>
      <c r="AF368" s="6">
        <f>IF(OR(原始資料!$A368="",31&gt;設定!$B$3,原始資料!AH368=""),"",IF(AND(原始資料!AG368&lt;&gt;"",原始資料!AH368=原始資料!AG368),N(AE368)+1,1))</f>
        <v/>
      </c>
      <c r="AG368" s="6">
        <f>IF(OR(原始資料!$A368="",32&gt;設定!$B$3,原始資料!AI368=""),"",IF(AND(原始資料!AH368&lt;&gt;"",原始資料!AI368=原始資料!AH368),N(AF368)+1,1))</f>
        <v/>
      </c>
      <c r="AH368" s="6">
        <f>IF(OR(原始資料!$A368="",33&gt;設定!$B$3,原始資料!AJ368=""),"",IF(AND(原始資料!AI368&lt;&gt;"",原始資料!AJ368=原始資料!AI368),N(AG368)+1,1))</f>
        <v/>
      </c>
      <c r="AI368" s="6">
        <f>IF(OR(原始資料!$A368="",34&gt;設定!$B$3,原始資料!AK368=""),"",IF(AND(原始資料!AJ368&lt;&gt;"",原始資料!AK368=原始資料!AJ368),N(AH368)+1,1))</f>
        <v/>
      </c>
      <c r="AJ368" s="6">
        <f>IF(OR(原始資料!$A368="",35&gt;設定!$B$3,原始資料!AL368=""),"",IF(AND(原始資料!AK368&lt;&gt;"",原始資料!AL368=原始資料!AK368),N(AI368)+1,1))</f>
        <v/>
      </c>
      <c r="AK368" s="6">
        <f>IF(OR(原始資料!$A368="",36&gt;設定!$B$3,原始資料!AM368=""),"",IF(AND(原始資料!AL368&lt;&gt;"",原始資料!AM368=原始資料!AL368),N(AJ368)+1,1))</f>
        <v/>
      </c>
      <c r="AL368" s="6">
        <f>IF(OR(原始資料!$A368="",37&gt;設定!$B$3,原始資料!AN368=""),"",IF(AND(原始資料!AM368&lt;&gt;"",原始資料!AN368=原始資料!AM368),N(AK368)+1,1))</f>
        <v/>
      </c>
      <c r="AM368" s="6">
        <f>IF(OR(原始資料!$A368="",38&gt;設定!$B$3,原始資料!AO368=""),"",IF(AND(原始資料!AN368&lt;&gt;"",原始資料!AO368=原始資料!AN368),N(AL368)+1,1))</f>
        <v/>
      </c>
      <c r="AN368" s="6">
        <f>IF(OR(原始資料!$A368="",39&gt;設定!$B$3,原始資料!AP368=""),"",IF(AND(原始資料!AO368&lt;&gt;"",原始資料!AP368=原始資料!AO368),N(AM368)+1,1))</f>
        <v/>
      </c>
      <c r="AO368" s="6">
        <f>IF(OR(原始資料!$A368="",40&gt;設定!$B$3,原始資料!AQ368=""),"",IF(AND(原始資料!AP368&lt;&gt;"",原始資料!AQ368=原始資料!AP368),N(AN368)+1,1))</f>
        <v/>
      </c>
      <c r="AP368" s="6">
        <f>IF(OR(原始資料!$A368="",41&gt;設定!$B$3,原始資料!AR368=""),"",IF(AND(原始資料!AQ368&lt;&gt;"",原始資料!AR368=原始資料!AQ368),N(AO368)+1,1))</f>
        <v/>
      </c>
      <c r="AQ368" s="6">
        <f>IF(OR(原始資料!$A368="",42&gt;設定!$B$3,原始資料!AS368=""),"",IF(AND(原始資料!AR368&lt;&gt;"",原始資料!AS368=原始資料!AR368),N(AP368)+1,1))</f>
        <v/>
      </c>
      <c r="AR368" s="6">
        <f>IF(OR(原始資料!$A368="",43&gt;設定!$B$3,原始資料!AT368=""),"",IF(AND(原始資料!AS368&lt;&gt;"",原始資料!AT368=原始資料!AS368),N(AQ368)+1,1))</f>
        <v/>
      </c>
      <c r="AS368" s="6">
        <f>IF(OR(原始資料!$A368="",44&gt;設定!$B$3,原始資料!AU368=""),"",IF(AND(原始資料!AT368&lt;&gt;"",原始資料!AU368=原始資料!AT368),N(AR368)+1,1))</f>
        <v/>
      </c>
      <c r="AT368" s="6">
        <f>IF(OR(原始資料!$A368="",45&gt;設定!$B$3,原始資料!AV368=""),"",IF(AND(原始資料!AU368&lt;&gt;"",原始資料!AV368=原始資料!AU368),N(AS368)+1,1))</f>
        <v/>
      </c>
      <c r="AU368" s="6">
        <f>IF(OR(原始資料!$A368="",46&gt;設定!$B$3,原始資料!AW368=""),"",IF(AND(原始資料!AV368&lt;&gt;"",原始資料!AW368=原始資料!AV368),N(AT368)+1,1))</f>
        <v/>
      </c>
      <c r="AV368" s="6">
        <f>IF(OR(原始資料!$A368="",47&gt;設定!$B$3,原始資料!AX368=""),"",IF(AND(原始資料!AW368&lt;&gt;"",原始資料!AX368=原始資料!AW368),N(AU368)+1,1))</f>
        <v/>
      </c>
      <c r="AW368" s="6">
        <f>IF(OR(原始資料!$A368="",48&gt;設定!$B$3,原始資料!AY368=""),"",IF(AND(原始資料!AX368&lt;&gt;"",原始資料!AY368=原始資料!AX368),N(AV368)+1,1))</f>
        <v/>
      </c>
      <c r="AX368" s="6">
        <f>IF(OR(原始資料!$A368="",49&gt;設定!$B$3,原始資料!AZ368=""),"",IF(AND(原始資料!AY368&lt;&gt;"",原始資料!AZ368=原始資料!AY368),N(AW368)+1,1))</f>
        <v/>
      </c>
      <c r="AY368" s="6">
        <f>IF(OR(原始資料!$A368="",50&gt;設定!$B$3,原始資料!BA368=""),"",IF(AND(原始資料!AZ368&lt;&gt;"",原始資料!BA368=原始資料!AZ368),N(AX368)+1,1))</f>
        <v/>
      </c>
      <c r="AZ368" s="6">
        <f>IF(OR(原始資料!$A368="",51&gt;設定!$B$3,原始資料!BB368=""),"",IF(AND(原始資料!BA368&lt;&gt;"",原始資料!BB368=原始資料!BA368),N(AY368)+1,1))</f>
        <v/>
      </c>
      <c r="BA368" s="6">
        <f>IF(OR(原始資料!$A368="",52&gt;設定!$B$3,原始資料!BC368=""),"",IF(AND(原始資料!BB368&lt;&gt;"",原始資料!BC368=原始資料!BB368),N(AZ368)+1,1))</f>
        <v/>
      </c>
      <c r="BB368" s="6">
        <f>IF(OR(原始資料!$A368="",53&gt;設定!$B$3,原始資料!BD368=""),"",IF(AND(原始資料!BC368&lt;&gt;"",原始資料!BD368=原始資料!BC368),N(BA368)+1,1))</f>
        <v/>
      </c>
      <c r="BC368" s="6">
        <f>IF(OR(原始資料!$A368="",54&gt;設定!$B$3,原始資料!BE368=""),"",IF(AND(原始資料!BD368&lt;&gt;"",原始資料!BE368=原始資料!BD368),N(BB368)+1,1))</f>
        <v/>
      </c>
      <c r="BD368" s="6">
        <f>IF(OR(原始資料!$A368="",55&gt;設定!$B$3,原始資料!BF368=""),"",IF(AND(原始資料!BE368&lt;&gt;"",原始資料!BF368=原始資料!BE368),N(BC368)+1,1))</f>
        <v/>
      </c>
      <c r="BE368" s="6">
        <f>IF(OR(原始資料!$A368="",56&gt;設定!$B$3,原始資料!BG368=""),"",IF(AND(原始資料!BF368&lt;&gt;"",原始資料!BG368=原始資料!BF368),N(BD368)+1,1))</f>
        <v/>
      </c>
      <c r="BF368" s="6">
        <f>IF(OR(原始資料!$A368="",57&gt;設定!$B$3,原始資料!BH368=""),"",IF(AND(原始資料!BG368&lt;&gt;"",原始資料!BH368=原始資料!BG368),N(BE368)+1,1))</f>
        <v/>
      </c>
      <c r="BG368" s="6">
        <f>IF(OR(原始資料!$A368="",58&gt;設定!$B$3,原始資料!BI368=""),"",IF(AND(原始資料!BH368&lt;&gt;"",原始資料!BI368=原始資料!BH368),N(BF368)+1,1))</f>
        <v/>
      </c>
      <c r="BH368" s="6">
        <f>IF(OR(原始資料!$A368="",59&gt;設定!$B$3,原始資料!BJ368=""),"",IF(AND(原始資料!BI368&lt;&gt;"",原始資料!BJ368=原始資料!BI368),N(BG368)+1,1))</f>
        <v/>
      </c>
      <c r="BI368" s="6">
        <f>IF(OR(原始資料!$A368="",60&gt;設定!$B$3,原始資料!BK368=""),"",IF(AND(原始資料!BJ368&lt;&gt;"",原始資料!BK368=原始資料!BJ368),N(BH368)+1,1))</f>
        <v/>
      </c>
    </row>
    <row r="369">
      <c r="A369" s="6">
        <f>IF(原始資料!$A369="","",原始資料!$A369)</f>
        <v/>
      </c>
      <c r="B369" s="6">
        <f>IF(OR(原始資料!$A369="",1&gt;設定!$B$3,原始資料!D369=""),"",1)</f>
        <v/>
      </c>
      <c r="C369" s="6">
        <f>IF(OR(原始資料!$A369="",2&gt;設定!$B$3,原始資料!E369=""),"",IF(AND(原始資料!D369&lt;&gt;"",原始資料!E369=原始資料!D369),N(B369)+1,1))</f>
        <v/>
      </c>
      <c r="D369" s="6">
        <f>IF(OR(原始資料!$A369="",3&gt;設定!$B$3,原始資料!F369=""),"",IF(AND(原始資料!E369&lt;&gt;"",原始資料!F369=原始資料!E369),N(C369)+1,1))</f>
        <v/>
      </c>
      <c r="E369" s="6">
        <f>IF(OR(原始資料!$A369="",4&gt;設定!$B$3,原始資料!G369=""),"",IF(AND(原始資料!F369&lt;&gt;"",原始資料!G369=原始資料!F369),N(D369)+1,1))</f>
        <v/>
      </c>
      <c r="F369" s="6">
        <f>IF(OR(原始資料!$A369="",5&gt;設定!$B$3,原始資料!H369=""),"",IF(AND(原始資料!G369&lt;&gt;"",原始資料!H369=原始資料!G369),N(E369)+1,1))</f>
        <v/>
      </c>
      <c r="G369" s="6">
        <f>IF(OR(原始資料!$A369="",6&gt;設定!$B$3,原始資料!I369=""),"",IF(AND(原始資料!H369&lt;&gt;"",原始資料!I369=原始資料!H369),N(F369)+1,1))</f>
        <v/>
      </c>
      <c r="H369" s="6">
        <f>IF(OR(原始資料!$A369="",7&gt;設定!$B$3,原始資料!J369=""),"",IF(AND(原始資料!I369&lt;&gt;"",原始資料!J369=原始資料!I369),N(G369)+1,1))</f>
        <v/>
      </c>
      <c r="I369" s="6">
        <f>IF(OR(原始資料!$A369="",8&gt;設定!$B$3,原始資料!K369=""),"",IF(AND(原始資料!J369&lt;&gt;"",原始資料!K369=原始資料!J369),N(H369)+1,1))</f>
        <v/>
      </c>
      <c r="J369" s="6">
        <f>IF(OR(原始資料!$A369="",9&gt;設定!$B$3,原始資料!L369=""),"",IF(AND(原始資料!K369&lt;&gt;"",原始資料!L369=原始資料!K369),N(I369)+1,1))</f>
        <v/>
      </c>
      <c r="K369" s="6">
        <f>IF(OR(原始資料!$A369="",10&gt;設定!$B$3,原始資料!M369=""),"",IF(AND(原始資料!L369&lt;&gt;"",原始資料!M369=原始資料!L369),N(J369)+1,1))</f>
        <v/>
      </c>
      <c r="L369" s="6">
        <f>IF(OR(原始資料!$A369="",11&gt;設定!$B$3,原始資料!N369=""),"",IF(AND(原始資料!M369&lt;&gt;"",原始資料!N369=原始資料!M369),N(K369)+1,1))</f>
        <v/>
      </c>
      <c r="M369" s="6">
        <f>IF(OR(原始資料!$A369="",12&gt;設定!$B$3,原始資料!O369=""),"",IF(AND(原始資料!N369&lt;&gt;"",原始資料!O369=原始資料!N369),N(L369)+1,1))</f>
        <v/>
      </c>
      <c r="N369" s="6">
        <f>IF(OR(原始資料!$A369="",13&gt;設定!$B$3,原始資料!P369=""),"",IF(AND(原始資料!O369&lt;&gt;"",原始資料!P369=原始資料!O369),N(M369)+1,1))</f>
        <v/>
      </c>
      <c r="O369" s="6">
        <f>IF(OR(原始資料!$A369="",14&gt;設定!$B$3,原始資料!Q369=""),"",IF(AND(原始資料!P369&lt;&gt;"",原始資料!Q369=原始資料!P369),N(N369)+1,1))</f>
        <v/>
      </c>
      <c r="P369" s="6">
        <f>IF(OR(原始資料!$A369="",15&gt;設定!$B$3,原始資料!R369=""),"",IF(AND(原始資料!Q369&lt;&gt;"",原始資料!R369=原始資料!Q369),N(O369)+1,1))</f>
        <v/>
      </c>
      <c r="Q369" s="6">
        <f>IF(OR(原始資料!$A369="",16&gt;設定!$B$3,原始資料!S369=""),"",IF(AND(原始資料!R369&lt;&gt;"",原始資料!S369=原始資料!R369),N(P369)+1,1))</f>
        <v/>
      </c>
      <c r="R369" s="6">
        <f>IF(OR(原始資料!$A369="",17&gt;設定!$B$3,原始資料!T369=""),"",IF(AND(原始資料!S369&lt;&gt;"",原始資料!T369=原始資料!S369),N(Q369)+1,1))</f>
        <v/>
      </c>
      <c r="S369" s="6">
        <f>IF(OR(原始資料!$A369="",18&gt;設定!$B$3,原始資料!U369=""),"",IF(AND(原始資料!T369&lt;&gt;"",原始資料!U369=原始資料!T369),N(R369)+1,1))</f>
        <v/>
      </c>
      <c r="T369" s="6">
        <f>IF(OR(原始資料!$A369="",19&gt;設定!$B$3,原始資料!V369=""),"",IF(AND(原始資料!U369&lt;&gt;"",原始資料!V369=原始資料!U369),N(S369)+1,1))</f>
        <v/>
      </c>
      <c r="U369" s="6">
        <f>IF(OR(原始資料!$A369="",20&gt;設定!$B$3,原始資料!W369=""),"",IF(AND(原始資料!V369&lt;&gt;"",原始資料!W369=原始資料!V369),N(T369)+1,1))</f>
        <v/>
      </c>
      <c r="V369" s="6">
        <f>IF(OR(原始資料!$A369="",21&gt;設定!$B$3,原始資料!X369=""),"",IF(AND(原始資料!W369&lt;&gt;"",原始資料!X369=原始資料!W369),N(U369)+1,1))</f>
        <v/>
      </c>
      <c r="W369" s="6">
        <f>IF(OR(原始資料!$A369="",22&gt;設定!$B$3,原始資料!Y369=""),"",IF(AND(原始資料!X369&lt;&gt;"",原始資料!Y369=原始資料!X369),N(V369)+1,1))</f>
        <v/>
      </c>
      <c r="X369" s="6">
        <f>IF(OR(原始資料!$A369="",23&gt;設定!$B$3,原始資料!Z369=""),"",IF(AND(原始資料!Y369&lt;&gt;"",原始資料!Z369=原始資料!Y369),N(W369)+1,1))</f>
        <v/>
      </c>
      <c r="Y369" s="6">
        <f>IF(OR(原始資料!$A369="",24&gt;設定!$B$3,原始資料!AA369=""),"",IF(AND(原始資料!Z369&lt;&gt;"",原始資料!AA369=原始資料!Z369),N(X369)+1,1))</f>
        <v/>
      </c>
      <c r="Z369" s="6">
        <f>IF(OR(原始資料!$A369="",25&gt;設定!$B$3,原始資料!AB369=""),"",IF(AND(原始資料!AA369&lt;&gt;"",原始資料!AB369=原始資料!AA369),N(Y369)+1,1))</f>
        <v/>
      </c>
      <c r="AA369" s="6">
        <f>IF(OR(原始資料!$A369="",26&gt;設定!$B$3,原始資料!AC369=""),"",IF(AND(原始資料!AB369&lt;&gt;"",原始資料!AC369=原始資料!AB369),N(Z369)+1,1))</f>
        <v/>
      </c>
      <c r="AB369" s="6">
        <f>IF(OR(原始資料!$A369="",27&gt;設定!$B$3,原始資料!AD369=""),"",IF(AND(原始資料!AC369&lt;&gt;"",原始資料!AD369=原始資料!AC369),N(AA369)+1,1))</f>
        <v/>
      </c>
      <c r="AC369" s="6">
        <f>IF(OR(原始資料!$A369="",28&gt;設定!$B$3,原始資料!AE369=""),"",IF(AND(原始資料!AD369&lt;&gt;"",原始資料!AE369=原始資料!AD369),N(AB369)+1,1))</f>
        <v/>
      </c>
      <c r="AD369" s="6">
        <f>IF(OR(原始資料!$A369="",29&gt;設定!$B$3,原始資料!AF369=""),"",IF(AND(原始資料!AE369&lt;&gt;"",原始資料!AF369=原始資料!AE369),N(AC369)+1,1))</f>
        <v/>
      </c>
      <c r="AE369" s="6">
        <f>IF(OR(原始資料!$A369="",30&gt;設定!$B$3,原始資料!AG369=""),"",IF(AND(原始資料!AF369&lt;&gt;"",原始資料!AG369=原始資料!AF369),N(AD369)+1,1))</f>
        <v/>
      </c>
      <c r="AF369" s="6">
        <f>IF(OR(原始資料!$A369="",31&gt;設定!$B$3,原始資料!AH369=""),"",IF(AND(原始資料!AG369&lt;&gt;"",原始資料!AH369=原始資料!AG369),N(AE369)+1,1))</f>
        <v/>
      </c>
      <c r="AG369" s="6">
        <f>IF(OR(原始資料!$A369="",32&gt;設定!$B$3,原始資料!AI369=""),"",IF(AND(原始資料!AH369&lt;&gt;"",原始資料!AI369=原始資料!AH369),N(AF369)+1,1))</f>
        <v/>
      </c>
      <c r="AH369" s="6">
        <f>IF(OR(原始資料!$A369="",33&gt;設定!$B$3,原始資料!AJ369=""),"",IF(AND(原始資料!AI369&lt;&gt;"",原始資料!AJ369=原始資料!AI369),N(AG369)+1,1))</f>
        <v/>
      </c>
      <c r="AI369" s="6">
        <f>IF(OR(原始資料!$A369="",34&gt;設定!$B$3,原始資料!AK369=""),"",IF(AND(原始資料!AJ369&lt;&gt;"",原始資料!AK369=原始資料!AJ369),N(AH369)+1,1))</f>
        <v/>
      </c>
      <c r="AJ369" s="6">
        <f>IF(OR(原始資料!$A369="",35&gt;設定!$B$3,原始資料!AL369=""),"",IF(AND(原始資料!AK369&lt;&gt;"",原始資料!AL369=原始資料!AK369),N(AI369)+1,1))</f>
        <v/>
      </c>
      <c r="AK369" s="6">
        <f>IF(OR(原始資料!$A369="",36&gt;設定!$B$3,原始資料!AM369=""),"",IF(AND(原始資料!AL369&lt;&gt;"",原始資料!AM369=原始資料!AL369),N(AJ369)+1,1))</f>
        <v/>
      </c>
      <c r="AL369" s="6">
        <f>IF(OR(原始資料!$A369="",37&gt;設定!$B$3,原始資料!AN369=""),"",IF(AND(原始資料!AM369&lt;&gt;"",原始資料!AN369=原始資料!AM369),N(AK369)+1,1))</f>
        <v/>
      </c>
      <c r="AM369" s="6">
        <f>IF(OR(原始資料!$A369="",38&gt;設定!$B$3,原始資料!AO369=""),"",IF(AND(原始資料!AN369&lt;&gt;"",原始資料!AO369=原始資料!AN369),N(AL369)+1,1))</f>
        <v/>
      </c>
      <c r="AN369" s="6">
        <f>IF(OR(原始資料!$A369="",39&gt;設定!$B$3,原始資料!AP369=""),"",IF(AND(原始資料!AO369&lt;&gt;"",原始資料!AP369=原始資料!AO369),N(AM369)+1,1))</f>
        <v/>
      </c>
      <c r="AO369" s="6">
        <f>IF(OR(原始資料!$A369="",40&gt;設定!$B$3,原始資料!AQ369=""),"",IF(AND(原始資料!AP369&lt;&gt;"",原始資料!AQ369=原始資料!AP369),N(AN369)+1,1))</f>
        <v/>
      </c>
      <c r="AP369" s="6">
        <f>IF(OR(原始資料!$A369="",41&gt;設定!$B$3,原始資料!AR369=""),"",IF(AND(原始資料!AQ369&lt;&gt;"",原始資料!AR369=原始資料!AQ369),N(AO369)+1,1))</f>
        <v/>
      </c>
      <c r="AQ369" s="6">
        <f>IF(OR(原始資料!$A369="",42&gt;設定!$B$3,原始資料!AS369=""),"",IF(AND(原始資料!AR369&lt;&gt;"",原始資料!AS369=原始資料!AR369),N(AP369)+1,1))</f>
        <v/>
      </c>
      <c r="AR369" s="6">
        <f>IF(OR(原始資料!$A369="",43&gt;設定!$B$3,原始資料!AT369=""),"",IF(AND(原始資料!AS369&lt;&gt;"",原始資料!AT369=原始資料!AS369),N(AQ369)+1,1))</f>
        <v/>
      </c>
      <c r="AS369" s="6">
        <f>IF(OR(原始資料!$A369="",44&gt;設定!$B$3,原始資料!AU369=""),"",IF(AND(原始資料!AT369&lt;&gt;"",原始資料!AU369=原始資料!AT369),N(AR369)+1,1))</f>
        <v/>
      </c>
      <c r="AT369" s="6">
        <f>IF(OR(原始資料!$A369="",45&gt;設定!$B$3,原始資料!AV369=""),"",IF(AND(原始資料!AU369&lt;&gt;"",原始資料!AV369=原始資料!AU369),N(AS369)+1,1))</f>
        <v/>
      </c>
      <c r="AU369" s="6">
        <f>IF(OR(原始資料!$A369="",46&gt;設定!$B$3,原始資料!AW369=""),"",IF(AND(原始資料!AV369&lt;&gt;"",原始資料!AW369=原始資料!AV369),N(AT369)+1,1))</f>
        <v/>
      </c>
      <c r="AV369" s="6">
        <f>IF(OR(原始資料!$A369="",47&gt;設定!$B$3,原始資料!AX369=""),"",IF(AND(原始資料!AW369&lt;&gt;"",原始資料!AX369=原始資料!AW369),N(AU369)+1,1))</f>
        <v/>
      </c>
      <c r="AW369" s="6">
        <f>IF(OR(原始資料!$A369="",48&gt;設定!$B$3,原始資料!AY369=""),"",IF(AND(原始資料!AX369&lt;&gt;"",原始資料!AY369=原始資料!AX369),N(AV369)+1,1))</f>
        <v/>
      </c>
      <c r="AX369" s="6">
        <f>IF(OR(原始資料!$A369="",49&gt;設定!$B$3,原始資料!AZ369=""),"",IF(AND(原始資料!AY369&lt;&gt;"",原始資料!AZ369=原始資料!AY369),N(AW369)+1,1))</f>
        <v/>
      </c>
      <c r="AY369" s="6">
        <f>IF(OR(原始資料!$A369="",50&gt;設定!$B$3,原始資料!BA369=""),"",IF(AND(原始資料!AZ369&lt;&gt;"",原始資料!BA369=原始資料!AZ369),N(AX369)+1,1))</f>
        <v/>
      </c>
      <c r="AZ369" s="6">
        <f>IF(OR(原始資料!$A369="",51&gt;設定!$B$3,原始資料!BB369=""),"",IF(AND(原始資料!BA369&lt;&gt;"",原始資料!BB369=原始資料!BA369),N(AY369)+1,1))</f>
        <v/>
      </c>
      <c r="BA369" s="6">
        <f>IF(OR(原始資料!$A369="",52&gt;設定!$B$3,原始資料!BC369=""),"",IF(AND(原始資料!BB369&lt;&gt;"",原始資料!BC369=原始資料!BB369),N(AZ369)+1,1))</f>
        <v/>
      </c>
      <c r="BB369" s="6">
        <f>IF(OR(原始資料!$A369="",53&gt;設定!$B$3,原始資料!BD369=""),"",IF(AND(原始資料!BC369&lt;&gt;"",原始資料!BD369=原始資料!BC369),N(BA369)+1,1))</f>
        <v/>
      </c>
      <c r="BC369" s="6">
        <f>IF(OR(原始資料!$A369="",54&gt;設定!$B$3,原始資料!BE369=""),"",IF(AND(原始資料!BD369&lt;&gt;"",原始資料!BE369=原始資料!BD369),N(BB369)+1,1))</f>
        <v/>
      </c>
      <c r="BD369" s="6">
        <f>IF(OR(原始資料!$A369="",55&gt;設定!$B$3,原始資料!BF369=""),"",IF(AND(原始資料!BE369&lt;&gt;"",原始資料!BF369=原始資料!BE369),N(BC369)+1,1))</f>
        <v/>
      </c>
      <c r="BE369" s="6">
        <f>IF(OR(原始資料!$A369="",56&gt;設定!$B$3,原始資料!BG369=""),"",IF(AND(原始資料!BF369&lt;&gt;"",原始資料!BG369=原始資料!BF369),N(BD369)+1,1))</f>
        <v/>
      </c>
      <c r="BF369" s="6">
        <f>IF(OR(原始資料!$A369="",57&gt;設定!$B$3,原始資料!BH369=""),"",IF(AND(原始資料!BG369&lt;&gt;"",原始資料!BH369=原始資料!BG369),N(BE369)+1,1))</f>
        <v/>
      </c>
      <c r="BG369" s="6">
        <f>IF(OR(原始資料!$A369="",58&gt;設定!$B$3,原始資料!BI369=""),"",IF(AND(原始資料!BH369&lt;&gt;"",原始資料!BI369=原始資料!BH369),N(BF369)+1,1))</f>
        <v/>
      </c>
      <c r="BH369" s="6">
        <f>IF(OR(原始資料!$A369="",59&gt;設定!$B$3,原始資料!BJ369=""),"",IF(AND(原始資料!BI369&lt;&gt;"",原始資料!BJ369=原始資料!BI369),N(BG369)+1,1))</f>
        <v/>
      </c>
      <c r="BI369" s="6">
        <f>IF(OR(原始資料!$A369="",60&gt;設定!$B$3,原始資料!BK369=""),"",IF(AND(原始資料!BJ369&lt;&gt;"",原始資料!BK369=原始資料!BJ369),N(BH369)+1,1))</f>
        <v/>
      </c>
    </row>
    <row r="370">
      <c r="A370" s="6">
        <f>IF(原始資料!$A370="","",原始資料!$A370)</f>
        <v/>
      </c>
      <c r="B370" s="6">
        <f>IF(OR(原始資料!$A370="",1&gt;設定!$B$3,原始資料!D370=""),"",1)</f>
        <v/>
      </c>
      <c r="C370" s="6">
        <f>IF(OR(原始資料!$A370="",2&gt;設定!$B$3,原始資料!E370=""),"",IF(AND(原始資料!D370&lt;&gt;"",原始資料!E370=原始資料!D370),N(B370)+1,1))</f>
        <v/>
      </c>
      <c r="D370" s="6">
        <f>IF(OR(原始資料!$A370="",3&gt;設定!$B$3,原始資料!F370=""),"",IF(AND(原始資料!E370&lt;&gt;"",原始資料!F370=原始資料!E370),N(C370)+1,1))</f>
        <v/>
      </c>
      <c r="E370" s="6">
        <f>IF(OR(原始資料!$A370="",4&gt;設定!$B$3,原始資料!G370=""),"",IF(AND(原始資料!F370&lt;&gt;"",原始資料!G370=原始資料!F370),N(D370)+1,1))</f>
        <v/>
      </c>
      <c r="F370" s="6">
        <f>IF(OR(原始資料!$A370="",5&gt;設定!$B$3,原始資料!H370=""),"",IF(AND(原始資料!G370&lt;&gt;"",原始資料!H370=原始資料!G370),N(E370)+1,1))</f>
        <v/>
      </c>
      <c r="G370" s="6">
        <f>IF(OR(原始資料!$A370="",6&gt;設定!$B$3,原始資料!I370=""),"",IF(AND(原始資料!H370&lt;&gt;"",原始資料!I370=原始資料!H370),N(F370)+1,1))</f>
        <v/>
      </c>
      <c r="H370" s="6">
        <f>IF(OR(原始資料!$A370="",7&gt;設定!$B$3,原始資料!J370=""),"",IF(AND(原始資料!I370&lt;&gt;"",原始資料!J370=原始資料!I370),N(G370)+1,1))</f>
        <v/>
      </c>
      <c r="I370" s="6">
        <f>IF(OR(原始資料!$A370="",8&gt;設定!$B$3,原始資料!K370=""),"",IF(AND(原始資料!J370&lt;&gt;"",原始資料!K370=原始資料!J370),N(H370)+1,1))</f>
        <v/>
      </c>
      <c r="J370" s="6">
        <f>IF(OR(原始資料!$A370="",9&gt;設定!$B$3,原始資料!L370=""),"",IF(AND(原始資料!K370&lt;&gt;"",原始資料!L370=原始資料!K370),N(I370)+1,1))</f>
        <v/>
      </c>
      <c r="K370" s="6">
        <f>IF(OR(原始資料!$A370="",10&gt;設定!$B$3,原始資料!M370=""),"",IF(AND(原始資料!L370&lt;&gt;"",原始資料!M370=原始資料!L370),N(J370)+1,1))</f>
        <v/>
      </c>
      <c r="L370" s="6">
        <f>IF(OR(原始資料!$A370="",11&gt;設定!$B$3,原始資料!N370=""),"",IF(AND(原始資料!M370&lt;&gt;"",原始資料!N370=原始資料!M370),N(K370)+1,1))</f>
        <v/>
      </c>
      <c r="M370" s="6">
        <f>IF(OR(原始資料!$A370="",12&gt;設定!$B$3,原始資料!O370=""),"",IF(AND(原始資料!N370&lt;&gt;"",原始資料!O370=原始資料!N370),N(L370)+1,1))</f>
        <v/>
      </c>
      <c r="N370" s="6">
        <f>IF(OR(原始資料!$A370="",13&gt;設定!$B$3,原始資料!P370=""),"",IF(AND(原始資料!O370&lt;&gt;"",原始資料!P370=原始資料!O370),N(M370)+1,1))</f>
        <v/>
      </c>
      <c r="O370" s="6">
        <f>IF(OR(原始資料!$A370="",14&gt;設定!$B$3,原始資料!Q370=""),"",IF(AND(原始資料!P370&lt;&gt;"",原始資料!Q370=原始資料!P370),N(N370)+1,1))</f>
        <v/>
      </c>
      <c r="P370" s="6">
        <f>IF(OR(原始資料!$A370="",15&gt;設定!$B$3,原始資料!R370=""),"",IF(AND(原始資料!Q370&lt;&gt;"",原始資料!R370=原始資料!Q370),N(O370)+1,1))</f>
        <v/>
      </c>
      <c r="Q370" s="6">
        <f>IF(OR(原始資料!$A370="",16&gt;設定!$B$3,原始資料!S370=""),"",IF(AND(原始資料!R370&lt;&gt;"",原始資料!S370=原始資料!R370),N(P370)+1,1))</f>
        <v/>
      </c>
      <c r="R370" s="6">
        <f>IF(OR(原始資料!$A370="",17&gt;設定!$B$3,原始資料!T370=""),"",IF(AND(原始資料!S370&lt;&gt;"",原始資料!T370=原始資料!S370),N(Q370)+1,1))</f>
        <v/>
      </c>
      <c r="S370" s="6">
        <f>IF(OR(原始資料!$A370="",18&gt;設定!$B$3,原始資料!U370=""),"",IF(AND(原始資料!T370&lt;&gt;"",原始資料!U370=原始資料!T370),N(R370)+1,1))</f>
        <v/>
      </c>
      <c r="T370" s="6">
        <f>IF(OR(原始資料!$A370="",19&gt;設定!$B$3,原始資料!V370=""),"",IF(AND(原始資料!U370&lt;&gt;"",原始資料!V370=原始資料!U370),N(S370)+1,1))</f>
        <v/>
      </c>
      <c r="U370" s="6">
        <f>IF(OR(原始資料!$A370="",20&gt;設定!$B$3,原始資料!W370=""),"",IF(AND(原始資料!V370&lt;&gt;"",原始資料!W370=原始資料!V370),N(T370)+1,1))</f>
        <v/>
      </c>
      <c r="V370" s="6">
        <f>IF(OR(原始資料!$A370="",21&gt;設定!$B$3,原始資料!X370=""),"",IF(AND(原始資料!W370&lt;&gt;"",原始資料!X370=原始資料!W370),N(U370)+1,1))</f>
        <v/>
      </c>
      <c r="W370" s="6">
        <f>IF(OR(原始資料!$A370="",22&gt;設定!$B$3,原始資料!Y370=""),"",IF(AND(原始資料!X370&lt;&gt;"",原始資料!Y370=原始資料!X370),N(V370)+1,1))</f>
        <v/>
      </c>
      <c r="X370" s="6">
        <f>IF(OR(原始資料!$A370="",23&gt;設定!$B$3,原始資料!Z370=""),"",IF(AND(原始資料!Y370&lt;&gt;"",原始資料!Z370=原始資料!Y370),N(W370)+1,1))</f>
        <v/>
      </c>
      <c r="Y370" s="6">
        <f>IF(OR(原始資料!$A370="",24&gt;設定!$B$3,原始資料!AA370=""),"",IF(AND(原始資料!Z370&lt;&gt;"",原始資料!AA370=原始資料!Z370),N(X370)+1,1))</f>
        <v/>
      </c>
      <c r="Z370" s="6">
        <f>IF(OR(原始資料!$A370="",25&gt;設定!$B$3,原始資料!AB370=""),"",IF(AND(原始資料!AA370&lt;&gt;"",原始資料!AB370=原始資料!AA370),N(Y370)+1,1))</f>
        <v/>
      </c>
      <c r="AA370" s="6">
        <f>IF(OR(原始資料!$A370="",26&gt;設定!$B$3,原始資料!AC370=""),"",IF(AND(原始資料!AB370&lt;&gt;"",原始資料!AC370=原始資料!AB370),N(Z370)+1,1))</f>
        <v/>
      </c>
      <c r="AB370" s="6">
        <f>IF(OR(原始資料!$A370="",27&gt;設定!$B$3,原始資料!AD370=""),"",IF(AND(原始資料!AC370&lt;&gt;"",原始資料!AD370=原始資料!AC370),N(AA370)+1,1))</f>
        <v/>
      </c>
      <c r="AC370" s="6">
        <f>IF(OR(原始資料!$A370="",28&gt;設定!$B$3,原始資料!AE370=""),"",IF(AND(原始資料!AD370&lt;&gt;"",原始資料!AE370=原始資料!AD370),N(AB370)+1,1))</f>
        <v/>
      </c>
      <c r="AD370" s="6">
        <f>IF(OR(原始資料!$A370="",29&gt;設定!$B$3,原始資料!AF370=""),"",IF(AND(原始資料!AE370&lt;&gt;"",原始資料!AF370=原始資料!AE370),N(AC370)+1,1))</f>
        <v/>
      </c>
      <c r="AE370" s="6">
        <f>IF(OR(原始資料!$A370="",30&gt;設定!$B$3,原始資料!AG370=""),"",IF(AND(原始資料!AF370&lt;&gt;"",原始資料!AG370=原始資料!AF370),N(AD370)+1,1))</f>
        <v/>
      </c>
      <c r="AF370" s="6">
        <f>IF(OR(原始資料!$A370="",31&gt;設定!$B$3,原始資料!AH370=""),"",IF(AND(原始資料!AG370&lt;&gt;"",原始資料!AH370=原始資料!AG370),N(AE370)+1,1))</f>
        <v/>
      </c>
      <c r="AG370" s="6">
        <f>IF(OR(原始資料!$A370="",32&gt;設定!$B$3,原始資料!AI370=""),"",IF(AND(原始資料!AH370&lt;&gt;"",原始資料!AI370=原始資料!AH370),N(AF370)+1,1))</f>
        <v/>
      </c>
      <c r="AH370" s="6">
        <f>IF(OR(原始資料!$A370="",33&gt;設定!$B$3,原始資料!AJ370=""),"",IF(AND(原始資料!AI370&lt;&gt;"",原始資料!AJ370=原始資料!AI370),N(AG370)+1,1))</f>
        <v/>
      </c>
      <c r="AI370" s="6">
        <f>IF(OR(原始資料!$A370="",34&gt;設定!$B$3,原始資料!AK370=""),"",IF(AND(原始資料!AJ370&lt;&gt;"",原始資料!AK370=原始資料!AJ370),N(AH370)+1,1))</f>
        <v/>
      </c>
      <c r="AJ370" s="6">
        <f>IF(OR(原始資料!$A370="",35&gt;設定!$B$3,原始資料!AL370=""),"",IF(AND(原始資料!AK370&lt;&gt;"",原始資料!AL370=原始資料!AK370),N(AI370)+1,1))</f>
        <v/>
      </c>
      <c r="AK370" s="6">
        <f>IF(OR(原始資料!$A370="",36&gt;設定!$B$3,原始資料!AM370=""),"",IF(AND(原始資料!AL370&lt;&gt;"",原始資料!AM370=原始資料!AL370),N(AJ370)+1,1))</f>
        <v/>
      </c>
      <c r="AL370" s="6">
        <f>IF(OR(原始資料!$A370="",37&gt;設定!$B$3,原始資料!AN370=""),"",IF(AND(原始資料!AM370&lt;&gt;"",原始資料!AN370=原始資料!AM370),N(AK370)+1,1))</f>
        <v/>
      </c>
      <c r="AM370" s="6">
        <f>IF(OR(原始資料!$A370="",38&gt;設定!$B$3,原始資料!AO370=""),"",IF(AND(原始資料!AN370&lt;&gt;"",原始資料!AO370=原始資料!AN370),N(AL370)+1,1))</f>
        <v/>
      </c>
      <c r="AN370" s="6">
        <f>IF(OR(原始資料!$A370="",39&gt;設定!$B$3,原始資料!AP370=""),"",IF(AND(原始資料!AO370&lt;&gt;"",原始資料!AP370=原始資料!AO370),N(AM370)+1,1))</f>
        <v/>
      </c>
      <c r="AO370" s="6">
        <f>IF(OR(原始資料!$A370="",40&gt;設定!$B$3,原始資料!AQ370=""),"",IF(AND(原始資料!AP370&lt;&gt;"",原始資料!AQ370=原始資料!AP370),N(AN370)+1,1))</f>
        <v/>
      </c>
      <c r="AP370" s="6">
        <f>IF(OR(原始資料!$A370="",41&gt;設定!$B$3,原始資料!AR370=""),"",IF(AND(原始資料!AQ370&lt;&gt;"",原始資料!AR370=原始資料!AQ370),N(AO370)+1,1))</f>
        <v/>
      </c>
      <c r="AQ370" s="6">
        <f>IF(OR(原始資料!$A370="",42&gt;設定!$B$3,原始資料!AS370=""),"",IF(AND(原始資料!AR370&lt;&gt;"",原始資料!AS370=原始資料!AR370),N(AP370)+1,1))</f>
        <v/>
      </c>
      <c r="AR370" s="6">
        <f>IF(OR(原始資料!$A370="",43&gt;設定!$B$3,原始資料!AT370=""),"",IF(AND(原始資料!AS370&lt;&gt;"",原始資料!AT370=原始資料!AS370),N(AQ370)+1,1))</f>
        <v/>
      </c>
      <c r="AS370" s="6">
        <f>IF(OR(原始資料!$A370="",44&gt;設定!$B$3,原始資料!AU370=""),"",IF(AND(原始資料!AT370&lt;&gt;"",原始資料!AU370=原始資料!AT370),N(AR370)+1,1))</f>
        <v/>
      </c>
      <c r="AT370" s="6">
        <f>IF(OR(原始資料!$A370="",45&gt;設定!$B$3,原始資料!AV370=""),"",IF(AND(原始資料!AU370&lt;&gt;"",原始資料!AV370=原始資料!AU370),N(AS370)+1,1))</f>
        <v/>
      </c>
      <c r="AU370" s="6">
        <f>IF(OR(原始資料!$A370="",46&gt;設定!$B$3,原始資料!AW370=""),"",IF(AND(原始資料!AV370&lt;&gt;"",原始資料!AW370=原始資料!AV370),N(AT370)+1,1))</f>
        <v/>
      </c>
      <c r="AV370" s="6">
        <f>IF(OR(原始資料!$A370="",47&gt;設定!$B$3,原始資料!AX370=""),"",IF(AND(原始資料!AW370&lt;&gt;"",原始資料!AX370=原始資料!AW370),N(AU370)+1,1))</f>
        <v/>
      </c>
      <c r="AW370" s="6">
        <f>IF(OR(原始資料!$A370="",48&gt;設定!$B$3,原始資料!AY370=""),"",IF(AND(原始資料!AX370&lt;&gt;"",原始資料!AY370=原始資料!AX370),N(AV370)+1,1))</f>
        <v/>
      </c>
      <c r="AX370" s="6">
        <f>IF(OR(原始資料!$A370="",49&gt;設定!$B$3,原始資料!AZ370=""),"",IF(AND(原始資料!AY370&lt;&gt;"",原始資料!AZ370=原始資料!AY370),N(AW370)+1,1))</f>
        <v/>
      </c>
      <c r="AY370" s="6">
        <f>IF(OR(原始資料!$A370="",50&gt;設定!$B$3,原始資料!BA370=""),"",IF(AND(原始資料!AZ370&lt;&gt;"",原始資料!BA370=原始資料!AZ370),N(AX370)+1,1))</f>
        <v/>
      </c>
      <c r="AZ370" s="6">
        <f>IF(OR(原始資料!$A370="",51&gt;設定!$B$3,原始資料!BB370=""),"",IF(AND(原始資料!BA370&lt;&gt;"",原始資料!BB370=原始資料!BA370),N(AY370)+1,1))</f>
        <v/>
      </c>
      <c r="BA370" s="6">
        <f>IF(OR(原始資料!$A370="",52&gt;設定!$B$3,原始資料!BC370=""),"",IF(AND(原始資料!BB370&lt;&gt;"",原始資料!BC370=原始資料!BB370),N(AZ370)+1,1))</f>
        <v/>
      </c>
      <c r="BB370" s="6">
        <f>IF(OR(原始資料!$A370="",53&gt;設定!$B$3,原始資料!BD370=""),"",IF(AND(原始資料!BC370&lt;&gt;"",原始資料!BD370=原始資料!BC370),N(BA370)+1,1))</f>
        <v/>
      </c>
      <c r="BC370" s="6">
        <f>IF(OR(原始資料!$A370="",54&gt;設定!$B$3,原始資料!BE370=""),"",IF(AND(原始資料!BD370&lt;&gt;"",原始資料!BE370=原始資料!BD370),N(BB370)+1,1))</f>
        <v/>
      </c>
      <c r="BD370" s="6">
        <f>IF(OR(原始資料!$A370="",55&gt;設定!$B$3,原始資料!BF370=""),"",IF(AND(原始資料!BE370&lt;&gt;"",原始資料!BF370=原始資料!BE370),N(BC370)+1,1))</f>
        <v/>
      </c>
      <c r="BE370" s="6">
        <f>IF(OR(原始資料!$A370="",56&gt;設定!$B$3,原始資料!BG370=""),"",IF(AND(原始資料!BF370&lt;&gt;"",原始資料!BG370=原始資料!BF370),N(BD370)+1,1))</f>
        <v/>
      </c>
      <c r="BF370" s="6">
        <f>IF(OR(原始資料!$A370="",57&gt;設定!$B$3,原始資料!BH370=""),"",IF(AND(原始資料!BG370&lt;&gt;"",原始資料!BH370=原始資料!BG370),N(BE370)+1,1))</f>
        <v/>
      </c>
      <c r="BG370" s="6">
        <f>IF(OR(原始資料!$A370="",58&gt;設定!$B$3,原始資料!BI370=""),"",IF(AND(原始資料!BH370&lt;&gt;"",原始資料!BI370=原始資料!BH370),N(BF370)+1,1))</f>
        <v/>
      </c>
      <c r="BH370" s="6">
        <f>IF(OR(原始資料!$A370="",59&gt;設定!$B$3,原始資料!BJ370=""),"",IF(AND(原始資料!BI370&lt;&gt;"",原始資料!BJ370=原始資料!BI370),N(BG370)+1,1))</f>
        <v/>
      </c>
      <c r="BI370" s="6">
        <f>IF(OR(原始資料!$A370="",60&gt;設定!$B$3,原始資料!BK370=""),"",IF(AND(原始資料!BJ370&lt;&gt;"",原始資料!BK370=原始資料!BJ370),N(BH370)+1,1))</f>
        <v/>
      </c>
    </row>
    <row r="371">
      <c r="A371" s="6">
        <f>IF(原始資料!$A371="","",原始資料!$A371)</f>
        <v/>
      </c>
      <c r="B371" s="6">
        <f>IF(OR(原始資料!$A371="",1&gt;設定!$B$3,原始資料!D371=""),"",1)</f>
        <v/>
      </c>
      <c r="C371" s="6">
        <f>IF(OR(原始資料!$A371="",2&gt;設定!$B$3,原始資料!E371=""),"",IF(AND(原始資料!D371&lt;&gt;"",原始資料!E371=原始資料!D371),N(B371)+1,1))</f>
        <v/>
      </c>
      <c r="D371" s="6">
        <f>IF(OR(原始資料!$A371="",3&gt;設定!$B$3,原始資料!F371=""),"",IF(AND(原始資料!E371&lt;&gt;"",原始資料!F371=原始資料!E371),N(C371)+1,1))</f>
        <v/>
      </c>
      <c r="E371" s="6">
        <f>IF(OR(原始資料!$A371="",4&gt;設定!$B$3,原始資料!G371=""),"",IF(AND(原始資料!F371&lt;&gt;"",原始資料!G371=原始資料!F371),N(D371)+1,1))</f>
        <v/>
      </c>
      <c r="F371" s="6">
        <f>IF(OR(原始資料!$A371="",5&gt;設定!$B$3,原始資料!H371=""),"",IF(AND(原始資料!G371&lt;&gt;"",原始資料!H371=原始資料!G371),N(E371)+1,1))</f>
        <v/>
      </c>
      <c r="G371" s="6">
        <f>IF(OR(原始資料!$A371="",6&gt;設定!$B$3,原始資料!I371=""),"",IF(AND(原始資料!H371&lt;&gt;"",原始資料!I371=原始資料!H371),N(F371)+1,1))</f>
        <v/>
      </c>
      <c r="H371" s="6">
        <f>IF(OR(原始資料!$A371="",7&gt;設定!$B$3,原始資料!J371=""),"",IF(AND(原始資料!I371&lt;&gt;"",原始資料!J371=原始資料!I371),N(G371)+1,1))</f>
        <v/>
      </c>
      <c r="I371" s="6">
        <f>IF(OR(原始資料!$A371="",8&gt;設定!$B$3,原始資料!K371=""),"",IF(AND(原始資料!J371&lt;&gt;"",原始資料!K371=原始資料!J371),N(H371)+1,1))</f>
        <v/>
      </c>
      <c r="J371" s="6">
        <f>IF(OR(原始資料!$A371="",9&gt;設定!$B$3,原始資料!L371=""),"",IF(AND(原始資料!K371&lt;&gt;"",原始資料!L371=原始資料!K371),N(I371)+1,1))</f>
        <v/>
      </c>
      <c r="K371" s="6">
        <f>IF(OR(原始資料!$A371="",10&gt;設定!$B$3,原始資料!M371=""),"",IF(AND(原始資料!L371&lt;&gt;"",原始資料!M371=原始資料!L371),N(J371)+1,1))</f>
        <v/>
      </c>
      <c r="L371" s="6">
        <f>IF(OR(原始資料!$A371="",11&gt;設定!$B$3,原始資料!N371=""),"",IF(AND(原始資料!M371&lt;&gt;"",原始資料!N371=原始資料!M371),N(K371)+1,1))</f>
        <v/>
      </c>
      <c r="M371" s="6">
        <f>IF(OR(原始資料!$A371="",12&gt;設定!$B$3,原始資料!O371=""),"",IF(AND(原始資料!N371&lt;&gt;"",原始資料!O371=原始資料!N371),N(L371)+1,1))</f>
        <v/>
      </c>
      <c r="N371" s="6">
        <f>IF(OR(原始資料!$A371="",13&gt;設定!$B$3,原始資料!P371=""),"",IF(AND(原始資料!O371&lt;&gt;"",原始資料!P371=原始資料!O371),N(M371)+1,1))</f>
        <v/>
      </c>
      <c r="O371" s="6">
        <f>IF(OR(原始資料!$A371="",14&gt;設定!$B$3,原始資料!Q371=""),"",IF(AND(原始資料!P371&lt;&gt;"",原始資料!Q371=原始資料!P371),N(N371)+1,1))</f>
        <v/>
      </c>
      <c r="P371" s="6">
        <f>IF(OR(原始資料!$A371="",15&gt;設定!$B$3,原始資料!R371=""),"",IF(AND(原始資料!Q371&lt;&gt;"",原始資料!R371=原始資料!Q371),N(O371)+1,1))</f>
        <v/>
      </c>
      <c r="Q371" s="6">
        <f>IF(OR(原始資料!$A371="",16&gt;設定!$B$3,原始資料!S371=""),"",IF(AND(原始資料!R371&lt;&gt;"",原始資料!S371=原始資料!R371),N(P371)+1,1))</f>
        <v/>
      </c>
      <c r="R371" s="6">
        <f>IF(OR(原始資料!$A371="",17&gt;設定!$B$3,原始資料!T371=""),"",IF(AND(原始資料!S371&lt;&gt;"",原始資料!T371=原始資料!S371),N(Q371)+1,1))</f>
        <v/>
      </c>
      <c r="S371" s="6">
        <f>IF(OR(原始資料!$A371="",18&gt;設定!$B$3,原始資料!U371=""),"",IF(AND(原始資料!T371&lt;&gt;"",原始資料!U371=原始資料!T371),N(R371)+1,1))</f>
        <v/>
      </c>
      <c r="T371" s="6">
        <f>IF(OR(原始資料!$A371="",19&gt;設定!$B$3,原始資料!V371=""),"",IF(AND(原始資料!U371&lt;&gt;"",原始資料!V371=原始資料!U371),N(S371)+1,1))</f>
        <v/>
      </c>
      <c r="U371" s="6">
        <f>IF(OR(原始資料!$A371="",20&gt;設定!$B$3,原始資料!W371=""),"",IF(AND(原始資料!V371&lt;&gt;"",原始資料!W371=原始資料!V371),N(T371)+1,1))</f>
        <v/>
      </c>
      <c r="V371" s="6">
        <f>IF(OR(原始資料!$A371="",21&gt;設定!$B$3,原始資料!X371=""),"",IF(AND(原始資料!W371&lt;&gt;"",原始資料!X371=原始資料!W371),N(U371)+1,1))</f>
        <v/>
      </c>
      <c r="W371" s="6">
        <f>IF(OR(原始資料!$A371="",22&gt;設定!$B$3,原始資料!Y371=""),"",IF(AND(原始資料!X371&lt;&gt;"",原始資料!Y371=原始資料!X371),N(V371)+1,1))</f>
        <v/>
      </c>
      <c r="X371" s="6">
        <f>IF(OR(原始資料!$A371="",23&gt;設定!$B$3,原始資料!Z371=""),"",IF(AND(原始資料!Y371&lt;&gt;"",原始資料!Z371=原始資料!Y371),N(W371)+1,1))</f>
        <v/>
      </c>
      <c r="Y371" s="6">
        <f>IF(OR(原始資料!$A371="",24&gt;設定!$B$3,原始資料!AA371=""),"",IF(AND(原始資料!Z371&lt;&gt;"",原始資料!AA371=原始資料!Z371),N(X371)+1,1))</f>
        <v/>
      </c>
      <c r="Z371" s="6">
        <f>IF(OR(原始資料!$A371="",25&gt;設定!$B$3,原始資料!AB371=""),"",IF(AND(原始資料!AA371&lt;&gt;"",原始資料!AB371=原始資料!AA371),N(Y371)+1,1))</f>
        <v/>
      </c>
      <c r="AA371" s="6">
        <f>IF(OR(原始資料!$A371="",26&gt;設定!$B$3,原始資料!AC371=""),"",IF(AND(原始資料!AB371&lt;&gt;"",原始資料!AC371=原始資料!AB371),N(Z371)+1,1))</f>
        <v/>
      </c>
      <c r="AB371" s="6">
        <f>IF(OR(原始資料!$A371="",27&gt;設定!$B$3,原始資料!AD371=""),"",IF(AND(原始資料!AC371&lt;&gt;"",原始資料!AD371=原始資料!AC371),N(AA371)+1,1))</f>
        <v/>
      </c>
      <c r="AC371" s="6">
        <f>IF(OR(原始資料!$A371="",28&gt;設定!$B$3,原始資料!AE371=""),"",IF(AND(原始資料!AD371&lt;&gt;"",原始資料!AE371=原始資料!AD371),N(AB371)+1,1))</f>
        <v/>
      </c>
      <c r="AD371" s="6">
        <f>IF(OR(原始資料!$A371="",29&gt;設定!$B$3,原始資料!AF371=""),"",IF(AND(原始資料!AE371&lt;&gt;"",原始資料!AF371=原始資料!AE371),N(AC371)+1,1))</f>
        <v/>
      </c>
      <c r="AE371" s="6">
        <f>IF(OR(原始資料!$A371="",30&gt;設定!$B$3,原始資料!AG371=""),"",IF(AND(原始資料!AF371&lt;&gt;"",原始資料!AG371=原始資料!AF371),N(AD371)+1,1))</f>
        <v/>
      </c>
      <c r="AF371" s="6">
        <f>IF(OR(原始資料!$A371="",31&gt;設定!$B$3,原始資料!AH371=""),"",IF(AND(原始資料!AG371&lt;&gt;"",原始資料!AH371=原始資料!AG371),N(AE371)+1,1))</f>
        <v/>
      </c>
      <c r="AG371" s="6">
        <f>IF(OR(原始資料!$A371="",32&gt;設定!$B$3,原始資料!AI371=""),"",IF(AND(原始資料!AH371&lt;&gt;"",原始資料!AI371=原始資料!AH371),N(AF371)+1,1))</f>
        <v/>
      </c>
      <c r="AH371" s="6">
        <f>IF(OR(原始資料!$A371="",33&gt;設定!$B$3,原始資料!AJ371=""),"",IF(AND(原始資料!AI371&lt;&gt;"",原始資料!AJ371=原始資料!AI371),N(AG371)+1,1))</f>
        <v/>
      </c>
      <c r="AI371" s="6">
        <f>IF(OR(原始資料!$A371="",34&gt;設定!$B$3,原始資料!AK371=""),"",IF(AND(原始資料!AJ371&lt;&gt;"",原始資料!AK371=原始資料!AJ371),N(AH371)+1,1))</f>
        <v/>
      </c>
      <c r="AJ371" s="6">
        <f>IF(OR(原始資料!$A371="",35&gt;設定!$B$3,原始資料!AL371=""),"",IF(AND(原始資料!AK371&lt;&gt;"",原始資料!AL371=原始資料!AK371),N(AI371)+1,1))</f>
        <v/>
      </c>
      <c r="AK371" s="6">
        <f>IF(OR(原始資料!$A371="",36&gt;設定!$B$3,原始資料!AM371=""),"",IF(AND(原始資料!AL371&lt;&gt;"",原始資料!AM371=原始資料!AL371),N(AJ371)+1,1))</f>
        <v/>
      </c>
      <c r="AL371" s="6">
        <f>IF(OR(原始資料!$A371="",37&gt;設定!$B$3,原始資料!AN371=""),"",IF(AND(原始資料!AM371&lt;&gt;"",原始資料!AN371=原始資料!AM371),N(AK371)+1,1))</f>
        <v/>
      </c>
      <c r="AM371" s="6">
        <f>IF(OR(原始資料!$A371="",38&gt;設定!$B$3,原始資料!AO371=""),"",IF(AND(原始資料!AN371&lt;&gt;"",原始資料!AO371=原始資料!AN371),N(AL371)+1,1))</f>
        <v/>
      </c>
      <c r="AN371" s="6">
        <f>IF(OR(原始資料!$A371="",39&gt;設定!$B$3,原始資料!AP371=""),"",IF(AND(原始資料!AO371&lt;&gt;"",原始資料!AP371=原始資料!AO371),N(AM371)+1,1))</f>
        <v/>
      </c>
      <c r="AO371" s="6">
        <f>IF(OR(原始資料!$A371="",40&gt;設定!$B$3,原始資料!AQ371=""),"",IF(AND(原始資料!AP371&lt;&gt;"",原始資料!AQ371=原始資料!AP371),N(AN371)+1,1))</f>
        <v/>
      </c>
      <c r="AP371" s="6">
        <f>IF(OR(原始資料!$A371="",41&gt;設定!$B$3,原始資料!AR371=""),"",IF(AND(原始資料!AQ371&lt;&gt;"",原始資料!AR371=原始資料!AQ371),N(AO371)+1,1))</f>
        <v/>
      </c>
      <c r="AQ371" s="6">
        <f>IF(OR(原始資料!$A371="",42&gt;設定!$B$3,原始資料!AS371=""),"",IF(AND(原始資料!AR371&lt;&gt;"",原始資料!AS371=原始資料!AR371),N(AP371)+1,1))</f>
        <v/>
      </c>
      <c r="AR371" s="6">
        <f>IF(OR(原始資料!$A371="",43&gt;設定!$B$3,原始資料!AT371=""),"",IF(AND(原始資料!AS371&lt;&gt;"",原始資料!AT371=原始資料!AS371),N(AQ371)+1,1))</f>
        <v/>
      </c>
      <c r="AS371" s="6">
        <f>IF(OR(原始資料!$A371="",44&gt;設定!$B$3,原始資料!AU371=""),"",IF(AND(原始資料!AT371&lt;&gt;"",原始資料!AU371=原始資料!AT371),N(AR371)+1,1))</f>
        <v/>
      </c>
      <c r="AT371" s="6">
        <f>IF(OR(原始資料!$A371="",45&gt;設定!$B$3,原始資料!AV371=""),"",IF(AND(原始資料!AU371&lt;&gt;"",原始資料!AV371=原始資料!AU371),N(AS371)+1,1))</f>
        <v/>
      </c>
      <c r="AU371" s="6">
        <f>IF(OR(原始資料!$A371="",46&gt;設定!$B$3,原始資料!AW371=""),"",IF(AND(原始資料!AV371&lt;&gt;"",原始資料!AW371=原始資料!AV371),N(AT371)+1,1))</f>
        <v/>
      </c>
      <c r="AV371" s="6">
        <f>IF(OR(原始資料!$A371="",47&gt;設定!$B$3,原始資料!AX371=""),"",IF(AND(原始資料!AW371&lt;&gt;"",原始資料!AX371=原始資料!AW371),N(AU371)+1,1))</f>
        <v/>
      </c>
      <c r="AW371" s="6">
        <f>IF(OR(原始資料!$A371="",48&gt;設定!$B$3,原始資料!AY371=""),"",IF(AND(原始資料!AX371&lt;&gt;"",原始資料!AY371=原始資料!AX371),N(AV371)+1,1))</f>
        <v/>
      </c>
      <c r="AX371" s="6">
        <f>IF(OR(原始資料!$A371="",49&gt;設定!$B$3,原始資料!AZ371=""),"",IF(AND(原始資料!AY371&lt;&gt;"",原始資料!AZ371=原始資料!AY371),N(AW371)+1,1))</f>
        <v/>
      </c>
      <c r="AY371" s="6">
        <f>IF(OR(原始資料!$A371="",50&gt;設定!$B$3,原始資料!BA371=""),"",IF(AND(原始資料!AZ371&lt;&gt;"",原始資料!BA371=原始資料!AZ371),N(AX371)+1,1))</f>
        <v/>
      </c>
      <c r="AZ371" s="6">
        <f>IF(OR(原始資料!$A371="",51&gt;設定!$B$3,原始資料!BB371=""),"",IF(AND(原始資料!BA371&lt;&gt;"",原始資料!BB371=原始資料!BA371),N(AY371)+1,1))</f>
        <v/>
      </c>
      <c r="BA371" s="6">
        <f>IF(OR(原始資料!$A371="",52&gt;設定!$B$3,原始資料!BC371=""),"",IF(AND(原始資料!BB371&lt;&gt;"",原始資料!BC371=原始資料!BB371),N(AZ371)+1,1))</f>
        <v/>
      </c>
      <c r="BB371" s="6">
        <f>IF(OR(原始資料!$A371="",53&gt;設定!$B$3,原始資料!BD371=""),"",IF(AND(原始資料!BC371&lt;&gt;"",原始資料!BD371=原始資料!BC371),N(BA371)+1,1))</f>
        <v/>
      </c>
      <c r="BC371" s="6">
        <f>IF(OR(原始資料!$A371="",54&gt;設定!$B$3,原始資料!BE371=""),"",IF(AND(原始資料!BD371&lt;&gt;"",原始資料!BE371=原始資料!BD371),N(BB371)+1,1))</f>
        <v/>
      </c>
      <c r="BD371" s="6">
        <f>IF(OR(原始資料!$A371="",55&gt;設定!$B$3,原始資料!BF371=""),"",IF(AND(原始資料!BE371&lt;&gt;"",原始資料!BF371=原始資料!BE371),N(BC371)+1,1))</f>
        <v/>
      </c>
      <c r="BE371" s="6">
        <f>IF(OR(原始資料!$A371="",56&gt;設定!$B$3,原始資料!BG371=""),"",IF(AND(原始資料!BF371&lt;&gt;"",原始資料!BG371=原始資料!BF371),N(BD371)+1,1))</f>
        <v/>
      </c>
      <c r="BF371" s="6">
        <f>IF(OR(原始資料!$A371="",57&gt;設定!$B$3,原始資料!BH371=""),"",IF(AND(原始資料!BG371&lt;&gt;"",原始資料!BH371=原始資料!BG371),N(BE371)+1,1))</f>
        <v/>
      </c>
      <c r="BG371" s="6">
        <f>IF(OR(原始資料!$A371="",58&gt;設定!$B$3,原始資料!BI371=""),"",IF(AND(原始資料!BH371&lt;&gt;"",原始資料!BI371=原始資料!BH371),N(BF371)+1,1))</f>
        <v/>
      </c>
      <c r="BH371" s="6">
        <f>IF(OR(原始資料!$A371="",59&gt;設定!$B$3,原始資料!BJ371=""),"",IF(AND(原始資料!BI371&lt;&gt;"",原始資料!BJ371=原始資料!BI371),N(BG371)+1,1))</f>
        <v/>
      </c>
      <c r="BI371" s="6">
        <f>IF(OR(原始資料!$A371="",60&gt;設定!$B$3,原始資料!BK371=""),"",IF(AND(原始資料!BJ371&lt;&gt;"",原始資料!BK371=原始資料!BJ371),N(BH371)+1,1))</f>
        <v/>
      </c>
    </row>
    <row r="372">
      <c r="A372" s="6">
        <f>IF(原始資料!$A372="","",原始資料!$A372)</f>
        <v/>
      </c>
      <c r="B372" s="6">
        <f>IF(OR(原始資料!$A372="",1&gt;設定!$B$3,原始資料!D372=""),"",1)</f>
        <v/>
      </c>
      <c r="C372" s="6">
        <f>IF(OR(原始資料!$A372="",2&gt;設定!$B$3,原始資料!E372=""),"",IF(AND(原始資料!D372&lt;&gt;"",原始資料!E372=原始資料!D372),N(B372)+1,1))</f>
        <v/>
      </c>
      <c r="D372" s="6">
        <f>IF(OR(原始資料!$A372="",3&gt;設定!$B$3,原始資料!F372=""),"",IF(AND(原始資料!E372&lt;&gt;"",原始資料!F372=原始資料!E372),N(C372)+1,1))</f>
        <v/>
      </c>
      <c r="E372" s="6">
        <f>IF(OR(原始資料!$A372="",4&gt;設定!$B$3,原始資料!G372=""),"",IF(AND(原始資料!F372&lt;&gt;"",原始資料!G372=原始資料!F372),N(D372)+1,1))</f>
        <v/>
      </c>
      <c r="F372" s="6">
        <f>IF(OR(原始資料!$A372="",5&gt;設定!$B$3,原始資料!H372=""),"",IF(AND(原始資料!G372&lt;&gt;"",原始資料!H372=原始資料!G372),N(E372)+1,1))</f>
        <v/>
      </c>
      <c r="G372" s="6">
        <f>IF(OR(原始資料!$A372="",6&gt;設定!$B$3,原始資料!I372=""),"",IF(AND(原始資料!H372&lt;&gt;"",原始資料!I372=原始資料!H372),N(F372)+1,1))</f>
        <v/>
      </c>
      <c r="H372" s="6">
        <f>IF(OR(原始資料!$A372="",7&gt;設定!$B$3,原始資料!J372=""),"",IF(AND(原始資料!I372&lt;&gt;"",原始資料!J372=原始資料!I372),N(G372)+1,1))</f>
        <v/>
      </c>
      <c r="I372" s="6">
        <f>IF(OR(原始資料!$A372="",8&gt;設定!$B$3,原始資料!K372=""),"",IF(AND(原始資料!J372&lt;&gt;"",原始資料!K372=原始資料!J372),N(H372)+1,1))</f>
        <v/>
      </c>
      <c r="J372" s="6">
        <f>IF(OR(原始資料!$A372="",9&gt;設定!$B$3,原始資料!L372=""),"",IF(AND(原始資料!K372&lt;&gt;"",原始資料!L372=原始資料!K372),N(I372)+1,1))</f>
        <v/>
      </c>
      <c r="K372" s="6">
        <f>IF(OR(原始資料!$A372="",10&gt;設定!$B$3,原始資料!M372=""),"",IF(AND(原始資料!L372&lt;&gt;"",原始資料!M372=原始資料!L372),N(J372)+1,1))</f>
        <v/>
      </c>
      <c r="L372" s="6">
        <f>IF(OR(原始資料!$A372="",11&gt;設定!$B$3,原始資料!N372=""),"",IF(AND(原始資料!M372&lt;&gt;"",原始資料!N372=原始資料!M372),N(K372)+1,1))</f>
        <v/>
      </c>
      <c r="M372" s="6">
        <f>IF(OR(原始資料!$A372="",12&gt;設定!$B$3,原始資料!O372=""),"",IF(AND(原始資料!N372&lt;&gt;"",原始資料!O372=原始資料!N372),N(L372)+1,1))</f>
        <v/>
      </c>
      <c r="N372" s="6">
        <f>IF(OR(原始資料!$A372="",13&gt;設定!$B$3,原始資料!P372=""),"",IF(AND(原始資料!O372&lt;&gt;"",原始資料!P372=原始資料!O372),N(M372)+1,1))</f>
        <v/>
      </c>
      <c r="O372" s="6">
        <f>IF(OR(原始資料!$A372="",14&gt;設定!$B$3,原始資料!Q372=""),"",IF(AND(原始資料!P372&lt;&gt;"",原始資料!Q372=原始資料!P372),N(N372)+1,1))</f>
        <v/>
      </c>
      <c r="P372" s="6">
        <f>IF(OR(原始資料!$A372="",15&gt;設定!$B$3,原始資料!R372=""),"",IF(AND(原始資料!Q372&lt;&gt;"",原始資料!R372=原始資料!Q372),N(O372)+1,1))</f>
        <v/>
      </c>
      <c r="Q372" s="6">
        <f>IF(OR(原始資料!$A372="",16&gt;設定!$B$3,原始資料!S372=""),"",IF(AND(原始資料!R372&lt;&gt;"",原始資料!S372=原始資料!R372),N(P372)+1,1))</f>
        <v/>
      </c>
      <c r="R372" s="6">
        <f>IF(OR(原始資料!$A372="",17&gt;設定!$B$3,原始資料!T372=""),"",IF(AND(原始資料!S372&lt;&gt;"",原始資料!T372=原始資料!S372),N(Q372)+1,1))</f>
        <v/>
      </c>
      <c r="S372" s="6">
        <f>IF(OR(原始資料!$A372="",18&gt;設定!$B$3,原始資料!U372=""),"",IF(AND(原始資料!T372&lt;&gt;"",原始資料!U372=原始資料!T372),N(R372)+1,1))</f>
        <v/>
      </c>
      <c r="T372" s="6">
        <f>IF(OR(原始資料!$A372="",19&gt;設定!$B$3,原始資料!V372=""),"",IF(AND(原始資料!U372&lt;&gt;"",原始資料!V372=原始資料!U372),N(S372)+1,1))</f>
        <v/>
      </c>
      <c r="U372" s="6">
        <f>IF(OR(原始資料!$A372="",20&gt;設定!$B$3,原始資料!W372=""),"",IF(AND(原始資料!V372&lt;&gt;"",原始資料!W372=原始資料!V372),N(T372)+1,1))</f>
        <v/>
      </c>
      <c r="V372" s="6">
        <f>IF(OR(原始資料!$A372="",21&gt;設定!$B$3,原始資料!X372=""),"",IF(AND(原始資料!W372&lt;&gt;"",原始資料!X372=原始資料!W372),N(U372)+1,1))</f>
        <v/>
      </c>
      <c r="W372" s="6">
        <f>IF(OR(原始資料!$A372="",22&gt;設定!$B$3,原始資料!Y372=""),"",IF(AND(原始資料!X372&lt;&gt;"",原始資料!Y372=原始資料!X372),N(V372)+1,1))</f>
        <v/>
      </c>
      <c r="X372" s="6">
        <f>IF(OR(原始資料!$A372="",23&gt;設定!$B$3,原始資料!Z372=""),"",IF(AND(原始資料!Y372&lt;&gt;"",原始資料!Z372=原始資料!Y372),N(W372)+1,1))</f>
        <v/>
      </c>
      <c r="Y372" s="6">
        <f>IF(OR(原始資料!$A372="",24&gt;設定!$B$3,原始資料!AA372=""),"",IF(AND(原始資料!Z372&lt;&gt;"",原始資料!AA372=原始資料!Z372),N(X372)+1,1))</f>
        <v/>
      </c>
      <c r="Z372" s="6">
        <f>IF(OR(原始資料!$A372="",25&gt;設定!$B$3,原始資料!AB372=""),"",IF(AND(原始資料!AA372&lt;&gt;"",原始資料!AB372=原始資料!AA372),N(Y372)+1,1))</f>
        <v/>
      </c>
      <c r="AA372" s="6">
        <f>IF(OR(原始資料!$A372="",26&gt;設定!$B$3,原始資料!AC372=""),"",IF(AND(原始資料!AB372&lt;&gt;"",原始資料!AC372=原始資料!AB372),N(Z372)+1,1))</f>
        <v/>
      </c>
      <c r="AB372" s="6">
        <f>IF(OR(原始資料!$A372="",27&gt;設定!$B$3,原始資料!AD372=""),"",IF(AND(原始資料!AC372&lt;&gt;"",原始資料!AD372=原始資料!AC372),N(AA372)+1,1))</f>
        <v/>
      </c>
      <c r="AC372" s="6">
        <f>IF(OR(原始資料!$A372="",28&gt;設定!$B$3,原始資料!AE372=""),"",IF(AND(原始資料!AD372&lt;&gt;"",原始資料!AE372=原始資料!AD372),N(AB372)+1,1))</f>
        <v/>
      </c>
      <c r="AD372" s="6">
        <f>IF(OR(原始資料!$A372="",29&gt;設定!$B$3,原始資料!AF372=""),"",IF(AND(原始資料!AE372&lt;&gt;"",原始資料!AF372=原始資料!AE372),N(AC372)+1,1))</f>
        <v/>
      </c>
      <c r="AE372" s="6">
        <f>IF(OR(原始資料!$A372="",30&gt;設定!$B$3,原始資料!AG372=""),"",IF(AND(原始資料!AF372&lt;&gt;"",原始資料!AG372=原始資料!AF372),N(AD372)+1,1))</f>
        <v/>
      </c>
      <c r="AF372" s="6">
        <f>IF(OR(原始資料!$A372="",31&gt;設定!$B$3,原始資料!AH372=""),"",IF(AND(原始資料!AG372&lt;&gt;"",原始資料!AH372=原始資料!AG372),N(AE372)+1,1))</f>
        <v/>
      </c>
      <c r="AG372" s="6">
        <f>IF(OR(原始資料!$A372="",32&gt;設定!$B$3,原始資料!AI372=""),"",IF(AND(原始資料!AH372&lt;&gt;"",原始資料!AI372=原始資料!AH372),N(AF372)+1,1))</f>
        <v/>
      </c>
      <c r="AH372" s="6">
        <f>IF(OR(原始資料!$A372="",33&gt;設定!$B$3,原始資料!AJ372=""),"",IF(AND(原始資料!AI372&lt;&gt;"",原始資料!AJ372=原始資料!AI372),N(AG372)+1,1))</f>
        <v/>
      </c>
      <c r="AI372" s="6">
        <f>IF(OR(原始資料!$A372="",34&gt;設定!$B$3,原始資料!AK372=""),"",IF(AND(原始資料!AJ372&lt;&gt;"",原始資料!AK372=原始資料!AJ372),N(AH372)+1,1))</f>
        <v/>
      </c>
      <c r="AJ372" s="6">
        <f>IF(OR(原始資料!$A372="",35&gt;設定!$B$3,原始資料!AL372=""),"",IF(AND(原始資料!AK372&lt;&gt;"",原始資料!AL372=原始資料!AK372),N(AI372)+1,1))</f>
        <v/>
      </c>
      <c r="AK372" s="6">
        <f>IF(OR(原始資料!$A372="",36&gt;設定!$B$3,原始資料!AM372=""),"",IF(AND(原始資料!AL372&lt;&gt;"",原始資料!AM372=原始資料!AL372),N(AJ372)+1,1))</f>
        <v/>
      </c>
      <c r="AL372" s="6">
        <f>IF(OR(原始資料!$A372="",37&gt;設定!$B$3,原始資料!AN372=""),"",IF(AND(原始資料!AM372&lt;&gt;"",原始資料!AN372=原始資料!AM372),N(AK372)+1,1))</f>
        <v/>
      </c>
      <c r="AM372" s="6">
        <f>IF(OR(原始資料!$A372="",38&gt;設定!$B$3,原始資料!AO372=""),"",IF(AND(原始資料!AN372&lt;&gt;"",原始資料!AO372=原始資料!AN372),N(AL372)+1,1))</f>
        <v/>
      </c>
      <c r="AN372" s="6">
        <f>IF(OR(原始資料!$A372="",39&gt;設定!$B$3,原始資料!AP372=""),"",IF(AND(原始資料!AO372&lt;&gt;"",原始資料!AP372=原始資料!AO372),N(AM372)+1,1))</f>
        <v/>
      </c>
      <c r="AO372" s="6">
        <f>IF(OR(原始資料!$A372="",40&gt;設定!$B$3,原始資料!AQ372=""),"",IF(AND(原始資料!AP372&lt;&gt;"",原始資料!AQ372=原始資料!AP372),N(AN372)+1,1))</f>
        <v/>
      </c>
      <c r="AP372" s="6">
        <f>IF(OR(原始資料!$A372="",41&gt;設定!$B$3,原始資料!AR372=""),"",IF(AND(原始資料!AQ372&lt;&gt;"",原始資料!AR372=原始資料!AQ372),N(AO372)+1,1))</f>
        <v/>
      </c>
      <c r="AQ372" s="6">
        <f>IF(OR(原始資料!$A372="",42&gt;設定!$B$3,原始資料!AS372=""),"",IF(AND(原始資料!AR372&lt;&gt;"",原始資料!AS372=原始資料!AR372),N(AP372)+1,1))</f>
        <v/>
      </c>
      <c r="AR372" s="6">
        <f>IF(OR(原始資料!$A372="",43&gt;設定!$B$3,原始資料!AT372=""),"",IF(AND(原始資料!AS372&lt;&gt;"",原始資料!AT372=原始資料!AS372),N(AQ372)+1,1))</f>
        <v/>
      </c>
      <c r="AS372" s="6">
        <f>IF(OR(原始資料!$A372="",44&gt;設定!$B$3,原始資料!AU372=""),"",IF(AND(原始資料!AT372&lt;&gt;"",原始資料!AU372=原始資料!AT372),N(AR372)+1,1))</f>
        <v/>
      </c>
      <c r="AT372" s="6">
        <f>IF(OR(原始資料!$A372="",45&gt;設定!$B$3,原始資料!AV372=""),"",IF(AND(原始資料!AU372&lt;&gt;"",原始資料!AV372=原始資料!AU372),N(AS372)+1,1))</f>
        <v/>
      </c>
      <c r="AU372" s="6">
        <f>IF(OR(原始資料!$A372="",46&gt;設定!$B$3,原始資料!AW372=""),"",IF(AND(原始資料!AV372&lt;&gt;"",原始資料!AW372=原始資料!AV372),N(AT372)+1,1))</f>
        <v/>
      </c>
      <c r="AV372" s="6">
        <f>IF(OR(原始資料!$A372="",47&gt;設定!$B$3,原始資料!AX372=""),"",IF(AND(原始資料!AW372&lt;&gt;"",原始資料!AX372=原始資料!AW372),N(AU372)+1,1))</f>
        <v/>
      </c>
      <c r="AW372" s="6">
        <f>IF(OR(原始資料!$A372="",48&gt;設定!$B$3,原始資料!AY372=""),"",IF(AND(原始資料!AX372&lt;&gt;"",原始資料!AY372=原始資料!AX372),N(AV372)+1,1))</f>
        <v/>
      </c>
      <c r="AX372" s="6">
        <f>IF(OR(原始資料!$A372="",49&gt;設定!$B$3,原始資料!AZ372=""),"",IF(AND(原始資料!AY372&lt;&gt;"",原始資料!AZ372=原始資料!AY372),N(AW372)+1,1))</f>
        <v/>
      </c>
      <c r="AY372" s="6">
        <f>IF(OR(原始資料!$A372="",50&gt;設定!$B$3,原始資料!BA372=""),"",IF(AND(原始資料!AZ372&lt;&gt;"",原始資料!BA372=原始資料!AZ372),N(AX372)+1,1))</f>
        <v/>
      </c>
      <c r="AZ372" s="6">
        <f>IF(OR(原始資料!$A372="",51&gt;設定!$B$3,原始資料!BB372=""),"",IF(AND(原始資料!BA372&lt;&gt;"",原始資料!BB372=原始資料!BA372),N(AY372)+1,1))</f>
        <v/>
      </c>
      <c r="BA372" s="6">
        <f>IF(OR(原始資料!$A372="",52&gt;設定!$B$3,原始資料!BC372=""),"",IF(AND(原始資料!BB372&lt;&gt;"",原始資料!BC372=原始資料!BB372),N(AZ372)+1,1))</f>
        <v/>
      </c>
      <c r="BB372" s="6">
        <f>IF(OR(原始資料!$A372="",53&gt;設定!$B$3,原始資料!BD372=""),"",IF(AND(原始資料!BC372&lt;&gt;"",原始資料!BD372=原始資料!BC372),N(BA372)+1,1))</f>
        <v/>
      </c>
      <c r="BC372" s="6">
        <f>IF(OR(原始資料!$A372="",54&gt;設定!$B$3,原始資料!BE372=""),"",IF(AND(原始資料!BD372&lt;&gt;"",原始資料!BE372=原始資料!BD372),N(BB372)+1,1))</f>
        <v/>
      </c>
      <c r="BD372" s="6">
        <f>IF(OR(原始資料!$A372="",55&gt;設定!$B$3,原始資料!BF372=""),"",IF(AND(原始資料!BE372&lt;&gt;"",原始資料!BF372=原始資料!BE372),N(BC372)+1,1))</f>
        <v/>
      </c>
      <c r="BE372" s="6">
        <f>IF(OR(原始資料!$A372="",56&gt;設定!$B$3,原始資料!BG372=""),"",IF(AND(原始資料!BF372&lt;&gt;"",原始資料!BG372=原始資料!BF372),N(BD372)+1,1))</f>
        <v/>
      </c>
      <c r="BF372" s="6">
        <f>IF(OR(原始資料!$A372="",57&gt;設定!$B$3,原始資料!BH372=""),"",IF(AND(原始資料!BG372&lt;&gt;"",原始資料!BH372=原始資料!BG372),N(BE372)+1,1))</f>
        <v/>
      </c>
      <c r="BG372" s="6">
        <f>IF(OR(原始資料!$A372="",58&gt;設定!$B$3,原始資料!BI372=""),"",IF(AND(原始資料!BH372&lt;&gt;"",原始資料!BI372=原始資料!BH372),N(BF372)+1,1))</f>
        <v/>
      </c>
      <c r="BH372" s="6">
        <f>IF(OR(原始資料!$A372="",59&gt;設定!$B$3,原始資料!BJ372=""),"",IF(AND(原始資料!BI372&lt;&gt;"",原始資料!BJ372=原始資料!BI372),N(BG372)+1,1))</f>
        <v/>
      </c>
      <c r="BI372" s="6">
        <f>IF(OR(原始資料!$A372="",60&gt;設定!$B$3,原始資料!BK372=""),"",IF(AND(原始資料!BJ372&lt;&gt;"",原始資料!BK372=原始資料!BJ372),N(BH372)+1,1))</f>
        <v/>
      </c>
    </row>
    <row r="373">
      <c r="A373" s="6">
        <f>IF(原始資料!$A373="","",原始資料!$A373)</f>
        <v/>
      </c>
      <c r="B373" s="6">
        <f>IF(OR(原始資料!$A373="",1&gt;設定!$B$3,原始資料!D373=""),"",1)</f>
        <v/>
      </c>
      <c r="C373" s="6">
        <f>IF(OR(原始資料!$A373="",2&gt;設定!$B$3,原始資料!E373=""),"",IF(AND(原始資料!D373&lt;&gt;"",原始資料!E373=原始資料!D373),N(B373)+1,1))</f>
        <v/>
      </c>
      <c r="D373" s="6">
        <f>IF(OR(原始資料!$A373="",3&gt;設定!$B$3,原始資料!F373=""),"",IF(AND(原始資料!E373&lt;&gt;"",原始資料!F373=原始資料!E373),N(C373)+1,1))</f>
        <v/>
      </c>
      <c r="E373" s="6">
        <f>IF(OR(原始資料!$A373="",4&gt;設定!$B$3,原始資料!G373=""),"",IF(AND(原始資料!F373&lt;&gt;"",原始資料!G373=原始資料!F373),N(D373)+1,1))</f>
        <v/>
      </c>
      <c r="F373" s="6">
        <f>IF(OR(原始資料!$A373="",5&gt;設定!$B$3,原始資料!H373=""),"",IF(AND(原始資料!G373&lt;&gt;"",原始資料!H373=原始資料!G373),N(E373)+1,1))</f>
        <v/>
      </c>
      <c r="G373" s="6">
        <f>IF(OR(原始資料!$A373="",6&gt;設定!$B$3,原始資料!I373=""),"",IF(AND(原始資料!H373&lt;&gt;"",原始資料!I373=原始資料!H373),N(F373)+1,1))</f>
        <v/>
      </c>
      <c r="H373" s="6">
        <f>IF(OR(原始資料!$A373="",7&gt;設定!$B$3,原始資料!J373=""),"",IF(AND(原始資料!I373&lt;&gt;"",原始資料!J373=原始資料!I373),N(G373)+1,1))</f>
        <v/>
      </c>
      <c r="I373" s="6">
        <f>IF(OR(原始資料!$A373="",8&gt;設定!$B$3,原始資料!K373=""),"",IF(AND(原始資料!J373&lt;&gt;"",原始資料!K373=原始資料!J373),N(H373)+1,1))</f>
        <v/>
      </c>
      <c r="J373" s="6">
        <f>IF(OR(原始資料!$A373="",9&gt;設定!$B$3,原始資料!L373=""),"",IF(AND(原始資料!K373&lt;&gt;"",原始資料!L373=原始資料!K373),N(I373)+1,1))</f>
        <v/>
      </c>
      <c r="K373" s="6">
        <f>IF(OR(原始資料!$A373="",10&gt;設定!$B$3,原始資料!M373=""),"",IF(AND(原始資料!L373&lt;&gt;"",原始資料!M373=原始資料!L373),N(J373)+1,1))</f>
        <v/>
      </c>
      <c r="L373" s="6">
        <f>IF(OR(原始資料!$A373="",11&gt;設定!$B$3,原始資料!N373=""),"",IF(AND(原始資料!M373&lt;&gt;"",原始資料!N373=原始資料!M373),N(K373)+1,1))</f>
        <v/>
      </c>
      <c r="M373" s="6">
        <f>IF(OR(原始資料!$A373="",12&gt;設定!$B$3,原始資料!O373=""),"",IF(AND(原始資料!N373&lt;&gt;"",原始資料!O373=原始資料!N373),N(L373)+1,1))</f>
        <v/>
      </c>
      <c r="N373" s="6">
        <f>IF(OR(原始資料!$A373="",13&gt;設定!$B$3,原始資料!P373=""),"",IF(AND(原始資料!O373&lt;&gt;"",原始資料!P373=原始資料!O373),N(M373)+1,1))</f>
        <v/>
      </c>
      <c r="O373" s="6">
        <f>IF(OR(原始資料!$A373="",14&gt;設定!$B$3,原始資料!Q373=""),"",IF(AND(原始資料!P373&lt;&gt;"",原始資料!Q373=原始資料!P373),N(N373)+1,1))</f>
        <v/>
      </c>
      <c r="P373" s="6">
        <f>IF(OR(原始資料!$A373="",15&gt;設定!$B$3,原始資料!R373=""),"",IF(AND(原始資料!Q373&lt;&gt;"",原始資料!R373=原始資料!Q373),N(O373)+1,1))</f>
        <v/>
      </c>
      <c r="Q373" s="6">
        <f>IF(OR(原始資料!$A373="",16&gt;設定!$B$3,原始資料!S373=""),"",IF(AND(原始資料!R373&lt;&gt;"",原始資料!S373=原始資料!R373),N(P373)+1,1))</f>
        <v/>
      </c>
      <c r="R373" s="6">
        <f>IF(OR(原始資料!$A373="",17&gt;設定!$B$3,原始資料!T373=""),"",IF(AND(原始資料!S373&lt;&gt;"",原始資料!T373=原始資料!S373),N(Q373)+1,1))</f>
        <v/>
      </c>
      <c r="S373" s="6">
        <f>IF(OR(原始資料!$A373="",18&gt;設定!$B$3,原始資料!U373=""),"",IF(AND(原始資料!T373&lt;&gt;"",原始資料!U373=原始資料!T373),N(R373)+1,1))</f>
        <v/>
      </c>
      <c r="T373" s="6">
        <f>IF(OR(原始資料!$A373="",19&gt;設定!$B$3,原始資料!V373=""),"",IF(AND(原始資料!U373&lt;&gt;"",原始資料!V373=原始資料!U373),N(S373)+1,1))</f>
        <v/>
      </c>
      <c r="U373" s="6">
        <f>IF(OR(原始資料!$A373="",20&gt;設定!$B$3,原始資料!W373=""),"",IF(AND(原始資料!V373&lt;&gt;"",原始資料!W373=原始資料!V373),N(T373)+1,1))</f>
        <v/>
      </c>
      <c r="V373" s="6">
        <f>IF(OR(原始資料!$A373="",21&gt;設定!$B$3,原始資料!X373=""),"",IF(AND(原始資料!W373&lt;&gt;"",原始資料!X373=原始資料!W373),N(U373)+1,1))</f>
        <v/>
      </c>
      <c r="W373" s="6">
        <f>IF(OR(原始資料!$A373="",22&gt;設定!$B$3,原始資料!Y373=""),"",IF(AND(原始資料!X373&lt;&gt;"",原始資料!Y373=原始資料!X373),N(V373)+1,1))</f>
        <v/>
      </c>
      <c r="X373" s="6">
        <f>IF(OR(原始資料!$A373="",23&gt;設定!$B$3,原始資料!Z373=""),"",IF(AND(原始資料!Y373&lt;&gt;"",原始資料!Z373=原始資料!Y373),N(W373)+1,1))</f>
        <v/>
      </c>
      <c r="Y373" s="6">
        <f>IF(OR(原始資料!$A373="",24&gt;設定!$B$3,原始資料!AA373=""),"",IF(AND(原始資料!Z373&lt;&gt;"",原始資料!AA373=原始資料!Z373),N(X373)+1,1))</f>
        <v/>
      </c>
      <c r="Z373" s="6">
        <f>IF(OR(原始資料!$A373="",25&gt;設定!$B$3,原始資料!AB373=""),"",IF(AND(原始資料!AA373&lt;&gt;"",原始資料!AB373=原始資料!AA373),N(Y373)+1,1))</f>
        <v/>
      </c>
      <c r="AA373" s="6">
        <f>IF(OR(原始資料!$A373="",26&gt;設定!$B$3,原始資料!AC373=""),"",IF(AND(原始資料!AB373&lt;&gt;"",原始資料!AC373=原始資料!AB373),N(Z373)+1,1))</f>
        <v/>
      </c>
      <c r="AB373" s="6">
        <f>IF(OR(原始資料!$A373="",27&gt;設定!$B$3,原始資料!AD373=""),"",IF(AND(原始資料!AC373&lt;&gt;"",原始資料!AD373=原始資料!AC373),N(AA373)+1,1))</f>
        <v/>
      </c>
      <c r="AC373" s="6">
        <f>IF(OR(原始資料!$A373="",28&gt;設定!$B$3,原始資料!AE373=""),"",IF(AND(原始資料!AD373&lt;&gt;"",原始資料!AE373=原始資料!AD373),N(AB373)+1,1))</f>
        <v/>
      </c>
      <c r="AD373" s="6">
        <f>IF(OR(原始資料!$A373="",29&gt;設定!$B$3,原始資料!AF373=""),"",IF(AND(原始資料!AE373&lt;&gt;"",原始資料!AF373=原始資料!AE373),N(AC373)+1,1))</f>
        <v/>
      </c>
      <c r="AE373" s="6">
        <f>IF(OR(原始資料!$A373="",30&gt;設定!$B$3,原始資料!AG373=""),"",IF(AND(原始資料!AF373&lt;&gt;"",原始資料!AG373=原始資料!AF373),N(AD373)+1,1))</f>
        <v/>
      </c>
      <c r="AF373" s="6">
        <f>IF(OR(原始資料!$A373="",31&gt;設定!$B$3,原始資料!AH373=""),"",IF(AND(原始資料!AG373&lt;&gt;"",原始資料!AH373=原始資料!AG373),N(AE373)+1,1))</f>
        <v/>
      </c>
      <c r="AG373" s="6">
        <f>IF(OR(原始資料!$A373="",32&gt;設定!$B$3,原始資料!AI373=""),"",IF(AND(原始資料!AH373&lt;&gt;"",原始資料!AI373=原始資料!AH373),N(AF373)+1,1))</f>
        <v/>
      </c>
      <c r="AH373" s="6">
        <f>IF(OR(原始資料!$A373="",33&gt;設定!$B$3,原始資料!AJ373=""),"",IF(AND(原始資料!AI373&lt;&gt;"",原始資料!AJ373=原始資料!AI373),N(AG373)+1,1))</f>
        <v/>
      </c>
      <c r="AI373" s="6">
        <f>IF(OR(原始資料!$A373="",34&gt;設定!$B$3,原始資料!AK373=""),"",IF(AND(原始資料!AJ373&lt;&gt;"",原始資料!AK373=原始資料!AJ373),N(AH373)+1,1))</f>
        <v/>
      </c>
      <c r="AJ373" s="6">
        <f>IF(OR(原始資料!$A373="",35&gt;設定!$B$3,原始資料!AL373=""),"",IF(AND(原始資料!AK373&lt;&gt;"",原始資料!AL373=原始資料!AK373),N(AI373)+1,1))</f>
        <v/>
      </c>
      <c r="AK373" s="6">
        <f>IF(OR(原始資料!$A373="",36&gt;設定!$B$3,原始資料!AM373=""),"",IF(AND(原始資料!AL373&lt;&gt;"",原始資料!AM373=原始資料!AL373),N(AJ373)+1,1))</f>
        <v/>
      </c>
      <c r="AL373" s="6">
        <f>IF(OR(原始資料!$A373="",37&gt;設定!$B$3,原始資料!AN373=""),"",IF(AND(原始資料!AM373&lt;&gt;"",原始資料!AN373=原始資料!AM373),N(AK373)+1,1))</f>
        <v/>
      </c>
      <c r="AM373" s="6">
        <f>IF(OR(原始資料!$A373="",38&gt;設定!$B$3,原始資料!AO373=""),"",IF(AND(原始資料!AN373&lt;&gt;"",原始資料!AO373=原始資料!AN373),N(AL373)+1,1))</f>
        <v/>
      </c>
      <c r="AN373" s="6">
        <f>IF(OR(原始資料!$A373="",39&gt;設定!$B$3,原始資料!AP373=""),"",IF(AND(原始資料!AO373&lt;&gt;"",原始資料!AP373=原始資料!AO373),N(AM373)+1,1))</f>
        <v/>
      </c>
      <c r="AO373" s="6">
        <f>IF(OR(原始資料!$A373="",40&gt;設定!$B$3,原始資料!AQ373=""),"",IF(AND(原始資料!AP373&lt;&gt;"",原始資料!AQ373=原始資料!AP373),N(AN373)+1,1))</f>
        <v/>
      </c>
      <c r="AP373" s="6">
        <f>IF(OR(原始資料!$A373="",41&gt;設定!$B$3,原始資料!AR373=""),"",IF(AND(原始資料!AQ373&lt;&gt;"",原始資料!AR373=原始資料!AQ373),N(AO373)+1,1))</f>
        <v/>
      </c>
      <c r="AQ373" s="6">
        <f>IF(OR(原始資料!$A373="",42&gt;設定!$B$3,原始資料!AS373=""),"",IF(AND(原始資料!AR373&lt;&gt;"",原始資料!AS373=原始資料!AR373),N(AP373)+1,1))</f>
        <v/>
      </c>
      <c r="AR373" s="6">
        <f>IF(OR(原始資料!$A373="",43&gt;設定!$B$3,原始資料!AT373=""),"",IF(AND(原始資料!AS373&lt;&gt;"",原始資料!AT373=原始資料!AS373),N(AQ373)+1,1))</f>
        <v/>
      </c>
      <c r="AS373" s="6">
        <f>IF(OR(原始資料!$A373="",44&gt;設定!$B$3,原始資料!AU373=""),"",IF(AND(原始資料!AT373&lt;&gt;"",原始資料!AU373=原始資料!AT373),N(AR373)+1,1))</f>
        <v/>
      </c>
      <c r="AT373" s="6">
        <f>IF(OR(原始資料!$A373="",45&gt;設定!$B$3,原始資料!AV373=""),"",IF(AND(原始資料!AU373&lt;&gt;"",原始資料!AV373=原始資料!AU373),N(AS373)+1,1))</f>
        <v/>
      </c>
      <c r="AU373" s="6">
        <f>IF(OR(原始資料!$A373="",46&gt;設定!$B$3,原始資料!AW373=""),"",IF(AND(原始資料!AV373&lt;&gt;"",原始資料!AW373=原始資料!AV373),N(AT373)+1,1))</f>
        <v/>
      </c>
      <c r="AV373" s="6">
        <f>IF(OR(原始資料!$A373="",47&gt;設定!$B$3,原始資料!AX373=""),"",IF(AND(原始資料!AW373&lt;&gt;"",原始資料!AX373=原始資料!AW373),N(AU373)+1,1))</f>
        <v/>
      </c>
      <c r="AW373" s="6">
        <f>IF(OR(原始資料!$A373="",48&gt;設定!$B$3,原始資料!AY373=""),"",IF(AND(原始資料!AX373&lt;&gt;"",原始資料!AY373=原始資料!AX373),N(AV373)+1,1))</f>
        <v/>
      </c>
      <c r="AX373" s="6">
        <f>IF(OR(原始資料!$A373="",49&gt;設定!$B$3,原始資料!AZ373=""),"",IF(AND(原始資料!AY373&lt;&gt;"",原始資料!AZ373=原始資料!AY373),N(AW373)+1,1))</f>
        <v/>
      </c>
      <c r="AY373" s="6">
        <f>IF(OR(原始資料!$A373="",50&gt;設定!$B$3,原始資料!BA373=""),"",IF(AND(原始資料!AZ373&lt;&gt;"",原始資料!BA373=原始資料!AZ373),N(AX373)+1,1))</f>
        <v/>
      </c>
      <c r="AZ373" s="6">
        <f>IF(OR(原始資料!$A373="",51&gt;設定!$B$3,原始資料!BB373=""),"",IF(AND(原始資料!BA373&lt;&gt;"",原始資料!BB373=原始資料!BA373),N(AY373)+1,1))</f>
        <v/>
      </c>
      <c r="BA373" s="6">
        <f>IF(OR(原始資料!$A373="",52&gt;設定!$B$3,原始資料!BC373=""),"",IF(AND(原始資料!BB373&lt;&gt;"",原始資料!BC373=原始資料!BB373),N(AZ373)+1,1))</f>
        <v/>
      </c>
      <c r="BB373" s="6">
        <f>IF(OR(原始資料!$A373="",53&gt;設定!$B$3,原始資料!BD373=""),"",IF(AND(原始資料!BC373&lt;&gt;"",原始資料!BD373=原始資料!BC373),N(BA373)+1,1))</f>
        <v/>
      </c>
      <c r="BC373" s="6">
        <f>IF(OR(原始資料!$A373="",54&gt;設定!$B$3,原始資料!BE373=""),"",IF(AND(原始資料!BD373&lt;&gt;"",原始資料!BE373=原始資料!BD373),N(BB373)+1,1))</f>
        <v/>
      </c>
      <c r="BD373" s="6">
        <f>IF(OR(原始資料!$A373="",55&gt;設定!$B$3,原始資料!BF373=""),"",IF(AND(原始資料!BE373&lt;&gt;"",原始資料!BF373=原始資料!BE373),N(BC373)+1,1))</f>
        <v/>
      </c>
      <c r="BE373" s="6">
        <f>IF(OR(原始資料!$A373="",56&gt;設定!$B$3,原始資料!BG373=""),"",IF(AND(原始資料!BF373&lt;&gt;"",原始資料!BG373=原始資料!BF373),N(BD373)+1,1))</f>
        <v/>
      </c>
      <c r="BF373" s="6">
        <f>IF(OR(原始資料!$A373="",57&gt;設定!$B$3,原始資料!BH373=""),"",IF(AND(原始資料!BG373&lt;&gt;"",原始資料!BH373=原始資料!BG373),N(BE373)+1,1))</f>
        <v/>
      </c>
      <c r="BG373" s="6">
        <f>IF(OR(原始資料!$A373="",58&gt;設定!$B$3,原始資料!BI373=""),"",IF(AND(原始資料!BH373&lt;&gt;"",原始資料!BI373=原始資料!BH373),N(BF373)+1,1))</f>
        <v/>
      </c>
      <c r="BH373" s="6">
        <f>IF(OR(原始資料!$A373="",59&gt;設定!$B$3,原始資料!BJ373=""),"",IF(AND(原始資料!BI373&lt;&gt;"",原始資料!BJ373=原始資料!BI373),N(BG373)+1,1))</f>
        <v/>
      </c>
      <c r="BI373" s="6">
        <f>IF(OR(原始資料!$A373="",60&gt;設定!$B$3,原始資料!BK373=""),"",IF(AND(原始資料!BJ373&lt;&gt;"",原始資料!BK373=原始資料!BJ373),N(BH373)+1,1))</f>
        <v/>
      </c>
    </row>
    <row r="374">
      <c r="A374" s="6">
        <f>IF(原始資料!$A374="","",原始資料!$A374)</f>
        <v/>
      </c>
      <c r="B374" s="6">
        <f>IF(OR(原始資料!$A374="",1&gt;設定!$B$3,原始資料!D374=""),"",1)</f>
        <v/>
      </c>
      <c r="C374" s="6">
        <f>IF(OR(原始資料!$A374="",2&gt;設定!$B$3,原始資料!E374=""),"",IF(AND(原始資料!D374&lt;&gt;"",原始資料!E374=原始資料!D374),N(B374)+1,1))</f>
        <v/>
      </c>
      <c r="D374" s="6">
        <f>IF(OR(原始資料!$A374="",3&gt;設定!$B$3,原始資料!F374=""),"",IF(AND(原始資料!E374&lt;&gt;"",原始資料!F374=原始資料!E374),N(C374)+1,1))</f>
        <v/>
      </c>
      <c r="E374" s="6">
        <f>IF(OR(原始資料!$A374="",4&gt;設定!$B$3,原始資料!G374=""),"",IF(AND(原始資料!F374&lt;&gt;"",原始資料!G374=原始資料!F374),N(D374)+1,1))</f>
        <v/>
      </c>
      <c r="F374" s="6">
        <f>IF(OR(原始資料!$A374="",5&gt;設定!$B$3,原始資料!H374=""),"",IF(AND(原始資料!G374&lt;&gt;"",原始資料!H374=原始資料!G374),N(E374)+1,1))</f>
        <v/>
      </c>
      <c r="G374" s="6">
        <f>IF(OR(原始資料!$A374="",6&gt;設定!$B$3,原始資料!I374=""),"",IF(AND(原始資料!H374&lt;&gt;"",原始資料!I374=原始資料!H374),N(F374)+1,1))</f>
        <v/>
      </c>
      <c r="H374" s="6">
        <f>IF(OR(原始資料!$A374="",7&gt;設定!$B$3,原始資料!J374=""),"",IF(AND(原始資料!I374&lt;&gt;"",原始資料!J374=原始資料!I374),N(G374)+1,1))</f>
        <v/>
      </c>
      <c r="I374" s="6">
        <f>IF(OR(原始資料!$A374="",8&gt;設定!$B$3,原始資料!K374=""),"",IF(AND(原始資料!J374&lt;&gt;"",原始資料!K374=原始資料!J374),N(H374)+1,1))</f>
        <v/>
      </c>
      <c r="J374" s="6">
        <f>IF(OR(原始資料!$A374="",9&gt;設定!$B$3,原始資料!L374=""),"",IF(AND(原始資料!K374&lt;&gt;"",原始資料!L374=原始資料!K374),N(I374)+1,1))</f>
        <v/>
      </c>
      <c r="K374" s="6">
        <f>IF(OR(原始資料!$A374="",10&gt;設定!$B$3,原始資料!M374=""),"",IF(AND(原始資料!L374&lt;&gt;"",原始資料!M374=原始資料!L374),N(J374)+1,1))</f>
        <v/>
      </c>
      <c r="L374" s="6">
        <f>IF(OR(原始資料!$A374="",11&gt;設定!$B$3,原始資料!N374=""),"",IF(AND(原始資料!M374&lt;&gt;"",原始資料!N374=原始資料!M374),N(K374)+1,1))</f>
        <v/>
      </c>
      <c r="M374" s="6">
        <f>IF(OR(原始資料!$A374="",12&gt;設定!$B$3,原始資料!O374=""),"",IF(AND(原始資料!N374&lt;&gt;"",原始資料!O374=原始資料!N374),N(L374)+1,1))</f>
        <v/>
      </c>
      <c r="N374" s="6">
        <f>IF(OR(原始資料!$A374="",13&gt;設定!$B$3,原始資料!P374=""),"",IF(AND(原始資料!O374&lt;&gt;"",原始資料!P374=原始資料!O374),N(M374)+1,1))</f>
        <v/>
      </c>
      <c r="O374" s="6">
        <f>IF(OR(原始資料!$A374="",14&gt;設定!$B$3,原始資料!Q374=""),"",IF(AND(原始資料!P374&lt;&gt;"",原始資料!Q374=原始資料!P374),N(N374)+1,1))</f>
        <v/>
      </c>
      <c r="P374" s="6">
        <f>IF(OR(原始資料!$A374="",15&gt;設定!$B$3,原始資料!R374=""),"",IF(AND(原始資料!Q374&lt;&gt;"",原始資料!R374=原始資料!Q374),N(O374)+1,1))</f>
        <v/>
      </c>
      <c r="Q374" s="6">
        <f>IF(OR(原始資料!$A374="",16&gt;設定!$B$3,原始資料!S374=""),"",IF(AND(原始資料!R374&lt;&gt;"",原始資料!S374=原始資料!R374),N(P374)+1,1))</f>
        <v/>
      </c>
      <c r="R374" s="6">
        <f>IF(OR(原始資料!$A374="",17&gt;設定!$B$3,原始資料!T374=""),"",IF(AND(原始資料!S374&lt;&gt;"",原始資料!T374=原始資料!S374),N(Q374)+1,1))</f>
        <v/>
      </c>
      <c r="S374" s="6">
        <f>IF(OR(原始資料!$A374="",18&gt;設定!$B$3,原始資料!U374=""),"",IF(AND(原始資料!T374&lt;&gt;"",原始資料!U374=原始資料!T374),N(R374)+1,1))</f>
        <v/>
      </c>
      <c r="T374" s="6">
        <f>IF(OR(原始資料!$A374="",19&gt;設定!$B$3,原始資料!V374=""),"",IF(AND(原始資料!U374&lt;&gt;"",原始資料!V374=原始資料!U374),N(S374)+1,1))</f>
        <v/>
      </c>
      <c r="U374" s="6">
        <f>IF(OR(原始資料!$A374="",20&gt;設定!$B$3,原始資料!W374=""),"",IF(AND(原始資料!V374&lt;&gt;"",原始資料!W374=原始資料!V374),N(T374)+1,1))</f>
        <v/>
      </c>
      <c r="V374" s="6">
        <f>IF(OR(原始資料!$A374="",21&gt;設定!$B$3,原始資料!X374=""),"",IF(AND(原始資料!W374&lt;&gt;"",原始資料!X374=原始資料!W374),N(U374)+1,1))</f>
        <v/>
      </c>
      <c r="W374" s="6">
        <f>IF(OR(原始資料!$A374="",22&gt;設定!$B$3,原始資料!Y374=""),"",IF(AND(原始資料!X374&lt;&gt;"",原始資料!Y374=原始資料!X374),N(V374)+1,1))</f>
        <v/>
      </c>
      <c r="X374" s="6">
        <f>IF(OR(原始資料!$A374="",23&gt;設定!$B$3,原始資料!Z374=""),"",IF(AND(原始資料!Y374&lt;&gt;"",原始資料!Z374=原始資料!Y374),N(W374)+1,1))</f>
        <v/>
      </c>
      <c r="Y374" s="6">
        <f>IF(OR(原始資料!$A374="",24&gt;設定!$B$3,原始資料!AA374=""),"",IF(AND(原始資料!Z374&lt;&gt;"",原始資料!AA374=原始資料!Z374),N(X374)+1,1))</f>
        <v/>
      </c>
      <c r="Z374" s="6">
        <f>IF(OR(原始資料!$A374="",25&gt;設定!$B$3,原始資料!AB374=""),"",IF(AND(原始資料!AA374&lt;&gt;"",原始資料!AB374=原始資料!AA374),N(Y374)+1,1))</f>
        <v/>
      </c>
      <c r="AA374" s="6">
        <f>IF(OR(原始資料!$A374="",26&gt;設定!$B$3,原始資料!AC374=""),"",IF(AND(原始資料!AB374&lt;&gt;"",原始資料!AC374=原始資料!AB374),N(Z374)+1,1))</f>
        <v/>
      </c>
      <c r="AB374" s="6">
        <f>IF(OR(原始資料!$A374="",27&gt;設定!$B$3,原始資料!AD374=""),"",IF(AND(原始資料!AC374&lt;&gt;"",原始資料!AD374=原始資料!AC374),N(AA374)+1,1))</f>
        <v/>
      </c>
      <c r="AC374" s="6">
        <f>IF(OR(原始資料!$A374="",28&gt;設定!$B$3,原始資料!AE374=""),"",IF(AND(原始資料!AD374&lt;&gt;"",原始資料!AE374=原始資料!AD374),N(AB374)+1,1))</f>
        <v/>
      </c>
      <c r="AD374" s="6">
        <f>IF(OR(原始資料!$A374="",29&gt;設定!$B$3,原始資料!AF374=""),"",IF(AND(原始資料!AE374&lt;&gt;"",原始資料!AF374=原始資料!AE374),N(AC374)+1,1))</f>
        <v/>
      </c>
      <c r="AE374" s="6">
        <f>IF(OR(原始資料!$A374="",30&gt;設定!$B$3,原始資料!AG374=""),"",IF(AND(原始資料!AF374&lt;&gt;"",原始資料!AG374=原始資料!AF374),N(AD374)+1,1))</f>
        <v/>
      </c>
      <c r="AF374" s="6">
        <f>IF(OR(原始資料!$A374="",31&gt;設定!$B$3,原始資料!AH374=""),"",IF(AND(原始資料!AG374&lt;&gt;"",原始資料!AH374=原始資料!AG374),N(AE374)+1,1))</f>
        <v/>
      </c>
      <c r="AG374" s="6">
        <f>IF(OR(原始資料!$A374="",32&gt;設定!$B$3,原始資料!AI374=""),"",IF(AND(原始資料!AH374&lt;&gt;"",原始資料!AI374=原始資料!AH374),N(AF374)+1,1))</f>
        <v/>
      </c>
      <c r="AH374" s="6">
        <f>IF(OR(原始資料!$A374="",33&gt;設定!$B$3,原始資料!AJ374=""),"",IF(AND(原始資料!AI374&lt;&gt;"",原始資料!AJ374=原始資料!AI374),N(AG374)+1,1))</f>
        <v/>
      </c>
      <c r="AI374" s="6">
        <f>IF(OR(原始資料!$A374="",34&gt;設定!$B$3,原始資料!AK374=""),"",IF(AND(原始資料!AJ374&lt;&gt;"",原始資料!AK374=原始資料!AJ374),N(AH374)+1,1))</f>
        <v/>
      </c>
      <c r="AJ374" s="6">
        <f>IF(OR(原始資料!$A374="",35&gt;設定!$B$3,原始資料!AL374=""),"",IF(AND(原始資料!AK374&lt;&gt;"",原始資料!AL374=原始資料!AK374),N(AI374)+1,1))</f>
        <v/>
      </c>
      <c r="AK374" s="6">
        <f>IF(OR(原始資料!$A374="",36&gt;設定!$B$3,原始資料!AM374=""),"",IF(AND(原始資料!AL374&lt;&gt;"",原始資料!AM374=原始資料!AL374),N(AJ374)+1,1))</f>
        <v/>
      </c>
      <c r="AL374" s="6">
        <f>IF(OR(原始資料!$A374="",37&gt;設定!$B$3,原始資料!AN374=""),"",IF(AND(原始資料!AM374&lt;&gt;"",原始資料!AN374=原始資料!AM374),N(AK374)+1,1))</f>
        <v/>
      </c>
      <c r="AM374" s="6">
        <f>IF(OR(原始資料!$A374="",38&gt;設定!$B$3,原始資料!AO374=""),"",IF(AND(原始資料!AN374&lt;&gt;"",原始資料!AO374=原始資料!AN374),N(AL374)+1,1))</f>
        <v/>
      </c>
      <c r="AN374" s="6">
        <f>IF(OR(原始資料!$A374="",39&gt;設定!$B$3,原始資料!AP374=""),"",IF(AND(原始資料!AO374&lt;&gt;"",原始資料!AP374=原始資料!AO374),N(AM374)+1,1))</f>
        <v/>
      </c>
      <c r="AO374" s="6">
        <f>IF(OR(原始資料!$A374="",40&gt;設定!$B$3,原始資料!AQ374=""),"",IF(AND(原始資料!AP374&lt;&gt;"",原始資料!AQ374=原始資料!AP374),N(AN374)+1,1))</f>
        <v/>
      </c>
      <c r="AP374" s="6">
        <f>IF(OR(原始資料!$A374="",41&gt;設定!$B$3,原始資料!AR374=""),"",IF(AND(原始資料!AQ374&lt;&gt;"",原始資料!AR374=原始資料!AQ374),N(AO374)+1,1))</f>
        <v/>
      </c>
      <c r="AQ374" s="6">
        <f>IF(OR(原始資料!$A374="",42&gt;設定!$B$3,原始資料!AS374=""),"",IF(AND(原始資料!AR374&lt;&gt;"",原始資料!AS374=原始資料!AR374),N(AP374)+1,1))</f>
        <v/>
      </c>
      <c r="AR374" s="6">
        <f>IF(OR(原始資料!$A374="",43&gt;設定!$B$3,原始資料!AT374=""),"",IF(AND(原始資料!AS374&lt;&gt;"",原始資料!AT374=原始資料!AS374),N(AQ374)+1,1))</f>
        <v/>
      </c>
      <c r="AS374" s="6">
        <f>IF(OR(原始資料!$A374="",44&gt;設定!$B$3,原始資料!AU374=""),"",IF(AND(原始資料!AT374&lt;&gt;"",原始資料!AU374=原始資料!AT374),N(AR374)+1,1))</f>
        <v/>
      </c>
      <c r="AT374" s="6">
        <f>IF(OR(原始資料!$A374="",45&gt;設定!$B$3,原始資料!AV374=""),"",IF(AND(原始資料!AU374&lt;&gt;"",原始資料!AV374=原始資料!AU374),N(AS374)+1,1))</f>
        <v/>
      </c>
      <c r="AU374" s="6">
        <f>IF(OR(原始資料!$A374="",46&gt;設定!$B$3,原始資料!AW374=""),"",IF(AND(原始資料!AV374&lt;&gt;"",原始資料!AW374=原始資料!AV374),N(AT374)+1,1))</f>
        <v/>
      </c>
      <c r="AV374" s="6">
        <f>IF(OR(原始資料!$A374="",47&gt;設定!$B$3,原始資料!AX374=""),"",IF(AND(原始資料!AW374&lt;&gt;"",原始資料!AX374=原始資料!AW374),N(AU374)+1,1))</f>
        <v/>
      </c>
      <c r="AW374" s="6">
        <f>IF(OR(原始資料!$A374="",48&gt;設定!$B$3,原始資料!AY374=""),"",IF(AND(原始資料!AX374&lt;&gt;"",原始資料!AY374=原始資料!AX374),N(AV374)+1,1))</f>
        <v/>
      </c>
      <c r="AX374" s="6">
        <f>IF(OR(原始資料!$A374="",49&gt;設定!$B$3,原始資料!AZ374=""),"",IF(AND(原始資料!AY374&lt;&gt;"",原始資料!AZ374=原始資料!AY374),N(AW374)+1,1))</f>
        <v/>
      </c>
      <c r="AY374" s="6">
        <f>IF(OR(原始資料!$A374="",50&gt;設定!$B$3,原始資料!BA374=""),"",IF(AND(原始資料!AZ374&lt;&gt;"",原始資料!BA374=原始資料!AZ374),N(AX374)+1,1))</f>
        <v/>
      </c>
      <c r="AZ374" s="6">
        <f>IF(OR(原始資料!$A374="",51&gt;設定!$B$3,原始資料!BB374=""),"",IF(AND(原始資料!BA374&lt;&gt;"",原始資料!BB374=原始資料!BA374),N(AY374)+1,1))</f>
        <v/>
      </c>
      <c r="BA374" s="6">
        <f>IF(OR(原始資料!$A374="",52&gt;設定!$B$3,原始資料!BC374=""),"",IF(AND(原始資料!BB374&lt;&gt;"",原始資料!BC374=原始資料!BB374),N(AZ374)+1,1))</f>
        <v/>
      </c>
      <c r="BB374" s="6">
        <f>IF(OR(原始資料!$A374="",53&gt;設定!$B$3,原始資料!BD374=""),"",IF(AND(原始資料!BC374&lt;&gt;"",原始資料!BD374=原始資料!BC374),N(BA374)+1,1))</f>
        <v/>
      </c>
      <c r="BC374" s="6">
        <f>IF(OR(原始資料!$A374="",54&gt;設定!$B$3,原始資料!BE374=""),"",IF(AND(原始資料!BD374&lt;&gt;"",原始資料!BE374=原始資料!BD374),N(BB374)+1,1))</f>
        <v/>
      </c>
      <c r="BD374" s="6">
        <f>IF(OR(原始資料!$A374="",55&gt;設定!$B$3,原始資料!BF374=""),"",IF(AND(原始資料!BE374&lt;&gt;"",原始資料!BF374=原始資料!BE374),N(BC374)+1,1))</f>
        <v/>
      </c>
      <c r="BE374" s="6">
        <f>IF(OR(原始資料!$A374="",56&gt;設定!$B$3,原始資料!BG374=""),"",IF(AND(原始資料!BF374&lt;&gt;"",原始資料!BG374=原始資料!BF374),N(BD374)+1,1))</f>
        <v/>
      </c>
      <c r="BF374" s="6">
        <f>IF(OR(原始資料!$A374="",57&gt;設定!$B$3,原始資料!BH374=""),"",IF(AND(原始資料!BG374&lt;&gt;"",原始資料!BH374=原始資料!BG374),N(BE374)+1,1))</f>
        <v/>
      </c>
      <c r="BG374" s="6">
        <f>IF(OR(原始資料!$A374="",58&gt;設定!$B$3,原始資料!BI374=""),"",IF(AND(原始資料!BH374&lt;&gt;"",原始資料!BI374=原始資料!BH374),N(BF374)+1,1))</f>
        <v/>
      </c>
      <c r="BH374" s="6">
        <f>IF(OR(原始資料!$A374="",59&gt;設定!$B$3,原始資料!BJ374=""),"",IF(AND(原始資料!BI374&lt;&gt;"",原始資料!BJ374=原始資料!BI374),N(BG374)+1,1))</f>
        <v/>
      </c>
      <c r="BI374" s="6">
        <f>IF(OR(原始資料!$A374="",60&gt;設定!$B$3,原始資料!BK374=""),"",IF(AND(原始資料!BJ374&lt;&gt;"",原始資料!BK374=原始資料!BJ374),N(BH374)+1,1))</f>
        <v/>
      </c>
    </row>
    <row r="375">
      <c r="A375" s="6">
        <f>IF(原始資料!$A375="","",原始資料!$A375)</f>
        <v/>
      </c>
      <c r="B375" s="6">
        <f>IF(OR(原始資料!$A375="",1&gt;設定!$B$3,原始資料!D375=""),"",1)</f>
        <v/>
      </c>
      <c r="C375" s="6">
        <f>IF(OR(原始資料!$A375="",2&gt;設定!$B$3,原始資料!E375=""),"",IF(AND(原始資料!D375&lt;&gt;"",原始資料!E375=原始資料!D375),N(B375)+1,1))</f>
        <v/>
      </c>
      <c r="D375" s="6">
        <f>IF(OR(原始資料!$A375="",3&gt;設定!$B$3,原始資料!F375=""),"",IF(AND(原始資料!E375&lt;&gt;"",原始資料!F375=原始資料!E375),N(C375)+1,1))</f>
        <v/>
      </c>
      <c r="E375" s="6">
        <f>IF(OR(原始資料!$A375="",4&gt;設定!$B$3,原始資料!G375=""),"",IF(AND(原始資料!F375&lt;&gt;"",原始資料!G375=原始資料!F375),N(D375)+1,1))</f>
        <v/>
      </c>
      <c r="F375" s="6">
        <f>IF(OR(原始資料!$A375="",5&gt;設定!$B$3,原始資料!H375=""),"",IF(AND(原始資料!G375&lt;&gt;"",原始資料!H375=原始資料!G375),N(E375)+1,1))</f>
        <v/>
      </c>
      <c r="G375" s="6">
        <f>IF(OR(原始資料!$A375="",6&gt;設定!$B$3,原始資料!I375=""),"",IF(AND(原始資料!H375&lt;&gt;"",原始資料!I375=原始資料!H375),N(F375)+1,1))</f>
        <v/>
      </c>
      <c r="H375" s="6">
        <f>IF(OR(原始資料!$A375="",7&gt;設定!$B$3,原始資料!J375=""),"",IF(AND(原始資料!I375&lt;&gt;"",原始資料!J375=原始資料!I375),N(G375)+1,1))</f>
        <v/>
      </c>
      <c r="I375" s="6">
        <f>IF(OR(原始資料!$A375="",8&gt;設定!$B$3,原始資料!K375=""),"",IF(AND(原始資料!J375&lt;&gt;"",原始資料!K375=原始資料!J375),N(H375)+1,1))</f>
        <v/>
      </c>
      <c r="J375" s="6">
        <f>IF(OR(原始資料!$A375="",9&gt;設定!$B$3,原始資料!L375=""),"",IF(AND(原始資料!K375&lt;&gt;"",原始資料!L375=原始資料!K375),N(I375)+1,1))</f>
        <v/>
      </c>
      <c r="K375" s="6">
        <f>IF(OR(原始資料!$A375="",10&gt;設定!$B$3,原始資料!M375=""),"",IF(AND(原始資料!L375&lt;&gt;"",原始資料!M375=原始資料!L375),N(J375)+1,1))</f>
        <v/>
      </c>
      <c r="L375" s="6">
        <f>IF(OR(原始資料!$A375="",11&gt;設定!$B$3,原始資料!N375=""),"",IF(AND(原始資料!M375&lt;&gt;"",原始資料!N375=原始資料!M375),N(K375)+1,1))</f>
        <v/>
      </c>
      <c r="M375" s="6">
        <f>IF(OR(原始資料!$A375="",12&gt;設定!$B$3,原始資料!O375=""),"",IF(AND(原始資料!N375&lt;&gt;"",原始資料!O375=原始資料!N375),N(L375)+1,1))</f>
        <v/>
      </c>
      <c r="N375" s="6">
        <f>IF(OR(原始資料!$A375="",13&gt;設定!$B$3,原始資料!P375=""),"",IF(AND(原始資料!O375&lt;&gt;"",原始資料!P375=原始資料!O375),N(M375)+1,1))</f>
        <v/>
      </c>
      <c r="O375" s="6">
        <f>IF(OR(原始資料!$A375="",14&gt;設定!$B$3,原始資料!Q375=""),"",IF(AND(原始資料!P375&lt;&gt;"",原始資料!Q375=原始資料!P375),N(N375)+1,1))</f>
        <v/>
      </c>
      <c r="P375" s="6">
        <f>IF(OR(原始資料!$A375="",15&gt;設定!$B$3,原始資料!R375=""),"",IF(AND(原始資料!Q375&lt;&gt;"",原始資料!R375=原始資料!Q375),N(O375)+1,1))</f>
        <v/>
      </c>
      <c r="Q375" s="6">
        <f>IF(OR(原始資料!$A375="",16&gt;設定!$B$3,原始資料!S375=""),"",IF(AND(原始資料!R375&lt;&gt;"",原始資料!S375=原始資料!R375),N(P375)+1,1))</f>
        <v/>
      </c>
      <c r="R375" s="6">
        <f>IF(OR(原始資料!$A375="",17&gt;設定!$B$3,原始資料!T375=""),"",IF(AND(原始資料!S375&lt;&gt;"",原始資料!T375=原始資料!S375),N(Q375)+1,1))</f>
        <v/>
      </c>
      <c r="S375" s="6">
        <f>IF(OR(原始資料!$A375="",18&gt;設定!$B$3,原始資料!U375=""),"",IF(AND(原始資料!T375&lt;&gt;"",原始資料!U375=原始資料!T375),N(R375)+1,1))</f>
        <v/>
      </c>
      <c r="T375" s="6">
        <f>IF(OR(原始資料!$A375="",19&gt;設定!$B$3,原始資料!V375=""),"",IF(AND(原始資料!U375&lt;&gt;"",原始資料!V375=原始資料!U375),N(S375)+1,1))</f>
        <v/>
      </c>
      <c r="U375" s="6">
        <f>IF(OR(原始資料!$A375="",20&gt;設定!$B$3,原始資料!W375=""),"",IF(AND(原始資料!V375&lt;&gt;"",原始資料!W375=原始資料!V375),N(T375)+1,1))</f>
        <v/>
      </c>
      <c r="V375" s="6">
        <f>IF(OR(原始資料!$A375="",21&gt;設定!$B$3,原始資料!X375=""),"",IF(AND(原始資料!W375&lt;&gt;"",原始資料!X375=原始資料!W375),N(U375)+1,1))</f>
        <v/>
      </c>
      <c r="W375" s="6">
        <f>IF(OR(原始資料!$A375="",22&gt;設定!$B$3,原始資料!Y375=""),"",IF(AND(原始資料!X375&lt;&gt;"",原始資料!Y375=原始資料!X375),N(V375)+1,1))</f>
        <v/>
      </c>
      <c r="X375" s="6">
        <f>IF(OR(原始資料!$A375="",23&gt;設定!$B$3,原始資料!Z375=""),"",IF(AND(原始資料!Y375&lt;&gt;"",原始資料!Z375=原始資料!Y375),N(W375)+1,1))</f>
        <v/>
      </c>
      <c r="Y375" s="6">
        <f>IF(OR(原始資料!$A375="",24&gt;設定!$B$3,原始資料!AA375=""),"",IF(AND(原始資料!Z375&lt;&gt;"",原始資料!AA375=原始資料!Z375),N(X375)+1,1))</f>
        <v/>
      </c>
      <c r="Z375" s="6">
        <f>IF(OR(原始資料!$A375="",25&gt;設定!$B$3,原始資料!AB375=""),"",IF(AND(原始資料!AA375&lt;&gt;"",原始資料!AB375=原始資料!AA375),N(Y375)+1,1))</f>
        <v/>
      </c>
      <c r="AA375" s="6">
        <f>IF(OR(原始資料!$A375="",26&gt;設定!$B$3,原始資料!AC375=""),"",IF(AND(原始資料!AB375&lt;&gt;"",原始資料!AC375=原始資料!AB375),N(Z375)+1,1))</f>
        <v/>
      </c>
      <c r="AB375" s="6">
        <f>IF(OR(原始資料!$A375="",27&gt;設定!$B$3,原始資料!AD375=""),"",IF(AND(原始資料!AC375&lt;&gt;"",原始資料!AD375=原始資料!AC375),N(AA375)+1,1))</f>
        <v/>
      </c>
      <c r="AC375" s="6">
        <f>IF(OR(原始資料!$A375="",28&gt;設定!$B$3,原始資料!AE375=""),"",IF(AND(原始資料!AD375&lt;&gt;"",原始資料!AE375=原始資料!AD375),N(AB375)+1,1))</f>
        <v/>
      </c>
      <c r="AD375" s="6">
        <f>IF(OR(原始資料!$A375="",29&gt;設定!$B$3,原始資料!AF375=""),"",IF(AND(原始資料!AE375&lt;&gt;"",原始資料!AF375=原始資料!AE375),N(AC375)+1,1))</f>
        <v/>
      </c>
      <c r="AE375" s="6">
        <f>IF(OR(原始資料!$A375="",30&gt;設定!$B$3,原始資料!AG375=""),"",IF(AND(原始資料!AF375&lt;&gt;"",原始資料!AG375=原始資料!AF375),N(AD375)+1,1))</f>
        <v/>
      </c>
      <c r="AF375" s="6">
        <f>IF(OR(原始資料!$A375="",31&gt;設定!$B$3,原始資料!AH375=""),"",IF(AND(原始資料!AG375&lt;&gt;"",原始資料!AH375=原始資料!AG375),N(AE375)+1,1))</f>
        <v/>
      </c>
      <c r="AG375" s="6">
        <f>IF(OR(原始資料!$A375="",32&gt;設定!$B$3,原始資料!AI375=""),"",IF(AND(原始資料!AH375&lt;&gt;"",原始資料!AI375=原始資料!AH375),N(AF375)+1,1))</f>
        <v/>
      </c>
      <c r="AH375" s="6">
        <f>IF(OR(原始資料!$A375="",33&gt;設定!$B$3,原始資料!AJ375=""),"",IF(AND(原始資料!AI375&lt;&gt;"",原始資料!AJ375=原始資料!AI375),N(AG375)+1,1))</f>
        <v/>
      </c>
      <c r="AI375" s="6">
        <f>IF(OR(原始資料!$A375="",34&gt;設定!$B$3,原始資料!AK375=""),"",IF(AND(原始資料!AJ375&lt;&gt;"",原始資料!AK375=原始資料!AJ375),N(AH375)+1,1))</f>
        <v/>
      </c>
      <c r="AJ375" s="6">
        <f>IF(OR(原始資料!$A375="",35&gt;設定!$B$3,原始資料!AL375=""),"",IF(AND(原始資料!AK375&lt;&gt;"",原始資料!AL375=原始資料!AK375),N(AI375)+1,1))</f>
        <v/>
      </c>
      <c r="AK375" s="6">
        <f>IF(OR(原始資料!$A375="",36&gt;設定!$B$3,原始資料!AM375=""),"",IF(AND(原始資料!AL375&lt;&gt;"",原始資料!AM375=原始資料!AL375),N(AJ375)+1,1))</f>
        <v/>
      </c>
      <c r="AL375" s="6">
        <f>IF(OR(原始資料!$A375="",37&gt;設定!$B$3,原始資料!AN375=""),"",IF(AND(原始資料!AM375&lt;&gt;"",原始資料!AN375=原始資料!AM375),N(AK375)+1,1))</f>
        <v/>
      </c>
      <c r="AM375" s="6">
        <f>IF(OR(原始資料!$A375="",38&gt;設定!$B$3,原始資料!AO375=""),"",IF(AND(原始資料!AN375&lt;&gt;"",原始資料!AO375=原始資料!AN375),N(AL375)+1,1))</f>
        <v/>
      </c>
      <c r="AN375" s="6">
        <f>IF(OR(原始資料!$A375="",39&gt;設定!$B$3,原始資料!AP375=""),"",IF(AND(原始資料!AO375&lt;&gt;"",原始資料!AP375=原始資料!AO375),N(AM375)+1,1))</f>
        <v/>
      </c>
      <c r="AO375" s="6">
        <f>IF(OR(原始資料!$A375="",40&gt;設定!$B$3,原始資料!AQ375=""),"",IF(AND(原始資料!AP375&lt;&gt;"",原始資料!AQ375=原始資料!AP375),N(AN375)+1,1))</f>
        <v/>
      </c>
      <c r="AP375" s="6">
        <f>IF(OR(原始資料!$A375="",41&gt;設定!$B$3,原始資料!AR375=""),"",IF(AND(原始資料!AQ375&lt;&gt;"",原始資料!AR375=原始資料!AQ375),N(AO375)+1,1))</f>
        <v/>
      </c>
      <c r="AQ375" s="6">
        <f>IF(OR(原始資料!$A375="",42&gt;設定!$B$3,原始資料!AS375=""),"",IF(AND(原始資料!AR375&lt;&gt;"",原始資料!AS375=原始資料!AR375),N(AP375)+1,1))</f>
        <v/>
      </c>
      <c r="AR375" s="6">
        <f>IF(OR(原始資料!$A375="",43&gt;設定!$B$3,原始資料!AT375=""),"",IF(AND(原始資料!AS375&lt;&gt;"",原始資料!AT375=原始資料!AS375),N(AQ375)+1,1))</f>
        <v/>
      </c>
      <c r="AS375" s="6">
        <f>IF(OR(原始資料!$A375="",44&gt;設定!$B$3,原始資料!AU375=""),"",IF(AND(原始資料!AT375&lt;&gt;"",原始資料!AU375=原始資料!AT375),N(AR375)+1,1))</f>
        <v/>
      </c>
      <c r="AT375" s="6">
        <f>IF(OR(原始資料!$A375="",45&gt;設定!$B$3,原始資料!AV375=""),"",IF(AND(原始資料!AU375&lt;&gt;"",原始資料!AV375=原始資料!AU375),N(AS375)+1,1))</f>
        <v/>
      </c>
      <c r="AU375" s="6">
        <f>IF(OR(原始資料!$A375="",46&gt;設定!$B$3,原始資料!AW375=""),"",IF(AND(原始資料!AV375&lt;&gt;"",原始資料!AW375=原始資料!AV375),N(AT375)+1,1))</f>
        <v/>
      </c>
      <c r="AV375" s="6">
        <f>IF(OR(原始資料!$A375="",47&gt;設定!$B$3,原始資料!AX375=""),"",IF(AND(原始資料!AW375&lt;&gt;"",原始資料!AX375=原始資料!AW375),N(AU375)+1,1))</f>
        <v/>
      </c>
      <c r="AW375" s="6">
        <f>IF(OR(原始資料!$A375="",48&gt;設定!$B$3,原始資料!AY375=""),"",IF(AND(原始資料!AX375&lt;&gt;"",原始資料!AY375=原始資料!AX375),N(AV375)+1,1))</f>
        <v/>
      </c>
      <c r="AX375" s="6">
        <f>IF(OR(原始資料!$A375="",49&gt;設定!$B$3,原始資料!AZ375=""),"",IF(AND(原始資料!AY375&lt;&gt;"",原始資料!AZ375=原始資料!AY375),N(AW375)+1,1))</f>
        <v/>
      </c>
      <c r="AY375" s="6">
        <f>IF(OR(原始資料!$A375="",50&gt;設定!$B$3,原始資料!BA375=""),"",IF(AND(原始資料!AZ375&lt;&gt;"",原始資料!BA375=原始資料!AZ375),N(AX375)+1,1))</f>
        <v/>
      </c>
      <c r="AZ375" s="6">
        <f>IF(OR(原始資料!$A375="",51&gt;設定!$B$3,原始資料!BB375=""),"",IF(AND(原始資料!BA375&lt;&gt;"",原始資料!BB375=原始資料!BA375),N(AY375)+1,1))</f>
        <v/>
      </c>
      <c r="BA375" s="6">
        <f>IF(OR(原始資料!$A375="",52&gt;設定!$B$3,原始資料!BC375=""),"",IF(AND(原始資料!BB375&lt;&gt;"",原始資料!BC375=原始資料!BB375),N(AZ375)+1,1))</f>
        <v/>
      </c>
      <c r="BB375" s="6">
        <f>IF(OR(原始資料!$A375="",53&gt;設定!$B$3,原始資料!BD375=""),"",IF(AND(原始資料!BC375&lt;&gt;"",原始資料!BD375=原始資料!BC375),N(BA375)+1,1))</f>
        <v/>
      </c>
      <c r="BC375" s="6">
        <f>IF(OR(原始資料!$A375="",54&gt;設定!$B$3,原始資料!BE375=""),"",IF(AND(原始資料!BD375&lt;&gt;"",原始資料!BE375=原始資料!BD375),N(BB375)+1,1))</f>
        <v/>
      </c>
      <c r="BD375" s="6">
        <f>IF(OR(原始資料!$A375="",55&gt;設定!$B$3,原始資料!BF375=""),"",IF(AND(原始資料!BE375&lt;&gt;"",原始資料!BF375=原始資料!BE375),N(BC375)+1,1))</f>
        <v/>
      </c>
      <c r="BE375" s="6">
        <f>IF(OR(原始資料!$A375="",56&gt;設定!$B$3,原始資料!BG375=""),"",IF(AND(原始資料!BF375&lt;&gt;"",原始資料!BG375=原始資料!BF375),N(BD375)+1,1))</f>
        <v/>
      </c>
      <c r="BF375" s="6">
        <f>IF(OR(原始資料!$A375="",57&gt;設定!$B$3,原始資料!BH375=""),"",IF(AND(原始資料!BG375&lt;&gt;"",原始資料!BH375=原始資料!BG375),N(BE375)+1,1))</f>
        <v/>
      </c>
      <c r="BG375" s="6">
        <f>IF(OR(原始資料!$A375="",58&gt;設定!$B$3,原始資料!BI375=""),"",IF(AND(原始資料!BH375&lt;&gt;"",原始資料!BI375=原始資料!BH375),N(BF375)+1,1))</f>
        <v/>
      </c>
      <c r="BH375" s="6">
        <f>IF(OR(原始資料!$A375="",59&gt;設定!$B$3,原始資料!BJ375=""),"",IF(AND(原始資料!BI375&lt;&gt;"",原始資料!BJ375=原始資料!BI375),N(BG375)+1,1))</f>
        <v/>
      </c>
      <c r="BI375" s="6">
        <f>IF(OR(原始資料!$A375="",60&gt;設定!$B$3,原始資料!BK375=""),"",IF(AND(原始資料!BJ375&lt;&gt;"",原始資料!BK375=原始資料!BJ375),N(BH375)+1,1))</f>
        <v/>
      </c>
    </row>
    <row r="376">
      <c r="A376" s="6">
        <f>IF(原始資料!$A376="","",原始資料!$A376)</f>
        <v/>
      </c>
      <c r="B376" s="6">
        <f>IF(OR(原始資料!$A376="",1&gt;設定!$B$3,原始資料!D376=""),"",1)</f>
        <v/>
      </c>
      <c r="C376" s="6">
        <f>IF(OR(原始資料!$A376="",2&gt;設定!$B$3,原始資料!E376=""),"",IF(AND(原始資料!D376&lt;&gt;"",原始資料!E376=原始資料!D376),N(B376)+1,1))</f>
        <v/>
      </c>
      <c r="D376" s="6">
        <f>IF(OR(原始資料!$A376="",3&gt;設定!$B$3,原始資料!F376=""),"",IF(AND(原始資料!E376&lt;&gt;"",原始資料!F376=原始資料!E376),N(C376)+1,1))</f>
        <v/>
      </c>
      <c r="E376" s="6">
        <f>IF(OR(原始資料!$A376="",4&gt;設定!$B$3,原始資料!G376=""),"",IF(AND(原始資料!F376&lt;&gt;"",原始資料!G376=原始資料!F376),N(D376)+1,1))</f>
        <v/>
      </c>
      <c r="F376" s="6">
        <f>IF(OR(原始資料!$A376="",5&gt;設定!$B$3,原始資料!H376=""),"",IF(AND(原始資料!G376&lt;&gt;"",原始資料!H376=原始資料!G376),N(E376)+1,1))</f>
        <v/>
      </c>
      <c r="G376" s="6">
        <f>IF(OR(原始資料!$A376="",6&gt;設定!$B$3,原始資料!I376=""),"",IF(AND(原始資料!H376&lt;&gt;"",原始資料!I376=原始資料!H376),N(F376)+1,1))</f>
        <v/>
      </c>
      <c r="H376" s="6">
        <f>IF(OR(原始資料!$A376="",7&gt;設定!$B$3,原始資料!J376=""),"",IF(AND(原始資料!I376&lt;&gt;"",原始資料!J376=原始資料!I376),N(G376)+1,1))</f>
        <v/>
      </c>
      <c r="I376" s="6">
        <f>IF(OR(原始資料!$A376="",8&gt;設定!$B$3,原始資料!K376=""),"",IF(AND(原始資料!J376&lt;&gt;"",原始資料!K376=原始資料!J376),N(H376)+1,1))</f>
        <v/>
      </c>
      <c r="J376" s="6">
        <f>IF(OR(原始資料!$A376="",9&gt;設定!$B$3,原始資料!L376=""),"",IF(AND(原始資料!K376&lt;&gt;"",原始資料!L376=原始資料!K376),N(I376)+1,1))</f>
        <v/>
      </c>
      <c r="K376" s="6">
        <f>IF(OR(原始資料!$A376="",10&gt;設定!$B$3,原始資料!M376=""),"",IF(AND(原始資料!L376&lt;&gt;"",原始資料!M376=原始資料!L376),N(J376)+1,1))</f>
        <v/>
      </c>
      <c r="L376" s="6">
        <f>IF(OR(原始資料!$A376="",11&gt;設定!$B$3,原始資料!N376=""),"",IF(AND(原始資料!M376&lt;&gt;"",原始資料!N376=原始資料!M376),N(K376)+1,1))</f>
        <v/>
      </c>
      <c r="M376" s="6">
        <f>IF(OR(原始資料!$A376="",12&gt;設定!$B$3,原始資料!O376=""),"",IF(AND(原始資料!N376&lt;&gt;"",原始資料!O376=原始資料!N376),N(L376)+1,1))</f>
        <v/>
      </c>
      <c r="N376" s="6">
        <f>IF(OR(原始資料!$A376="",13&gt;設定!$B$3,原始資料!P376=""),"",IF(AND(原始資料!O376&lt;&gt;"",原始資料!P376=原始資料!O376),N(M376)+1,1))</f>
        <v/>
      </c>
      <c r="O376" s="6">
        <f>IF(OR(原始資料!$A376="",14&gt;設定!$B$3,原始資料!Q376=""),"",IF(AND(原始資料!P376&lt;&gt;"",原始資料!Q376=原始資料!P376),N(N376)+1,1))</f>
        <v/>
      </c>
      <c r="P376" s="6">
        <f>IF(OR(原始資料!$A376="",15&gt;設定!$B$3,原始資料!R376=""),"",IF(AND(原始資料!Q376&lt;&gt;"",原始資料!R376=原始資料!Q376),N(O376)+1,1))</f>
        <v/>
      </c>
      <c r="Q376" s="6">
        <f>IF(OR(原始資料!$A376="",16&gt;設定!$B$3,原始資料!S376=""),"",IF(AND(原始資料!R376&lt;&gt;"",原始資料!S376=原始資料!R376),N(P376)+1,1))</f>
        <v/>
      </c>
      <c r="R376" s="6">
        <f>IF(OR(原始資料!$A376="",17&gt;設定!$B$3,原始資料!T376=""),"",IF(AND(原始資料!S376&lt;&gt;"",原始資料!T376=原始資料!S376),N(Q376)+1,1))</f>
        <v/>
      </c>
      <c r="S376" s="6">
        <f>IF(OR(原始資料!$A376="",18&gt;設定!$B$3,原始資料!U376=""),"",IF(AND(原始資料!T376&lt;&gt;"",原始資料!U376=原始資料!T376),N(R376)+1,1))</f>
        <v/>
      </c>
      <c r="T376" s="6">
        <f>IF(OR(原始資料!$A376="",19&gt;設定!$B$3,原始資料!V376=""),"",IF(AND(原始資料!U376&lt;&gt;"",原始資料!V376=原始資料!U376),N(S376)+1,1))</f>
        <v/>
      </c>
      <c r="U376" s="6">
        <f>IF(OR(原始資料!$A376="",20&gt;設定!$B$3,原始資料!W376=""),"",IF(AND(原始資料!V376&lt;&gt;"",原始資料!W376=原始資料!V376),N(T376)+1,1))</f>
        <v/>
      </c>
      <c r="V376" s="6">
        <f>IF(OR(原始資料!$A376="",21&gt;設定!$B$3,原始資料!X376=""),"",IF(AND(原始資料!W376&lt;&gt;"",原始資料!X376=原始資料!W376),N(U376)+1,1))</f>
        <v/>
      </c>
      <c r="W376" s="6">
        <f>IF(OR(原始資料!$A376="",22&gt;設定!$B$3,原始資料!Y376=""),"",IF(AND(原始資料!X376&lt;&gt;"",原始資料!Y376=原始資料!X376),N(V376)+1,1))</f>
        <v/>
      </c>
      <c r="X376" s="6">
        <f>IF(OR(原始資料!$A376="",23&gt;設定!$B$3,原始資料!Z376=""),"",IF(AND(原始資料!Y376&lt;&gt;"",原始資料!Z376=原始資料!Y376),N(W376)+1,1))</f>
        <v/>
      </c>
      <c r="Y376" s="6">
        <f>IF(OR(原始資料!$A376="",24&gt;設定!$B$3,原始資料!AA376=""),"",IF(AND(原始資料!Z376&lt;&gt;"",原始資料!AA376=原始資料!Z376),N(X376)+1,1))</f>
        <v/>
      </c>
      <c r="Z376" s="6">
        <f>IF(OR(原始資料!$A376="",25&gt;設定!$B$3,原始資料!AB376=""),"",IF(AND(原始資料!AA376&lt;&gt;"",原始資料!AB376=原始資料!AA376),N(Y376)+1,1))</f>
        <v/>
      </c>
      <c r="AA376" s="6">
        <f>IF(OR(原始資料!$A376="",26&gt;設定!$B$3,原始資料!AC376=""),"",IF(AND(原始資料!AB376&lt;&gt;"",原始資料!AC376=原始資料!AB376),N(Z376)+1,1))</f>
        <v/>
      </c>
      <c r="AB376" s="6">
        <f>IF(OR(原始資料!$A376="",27&gt;設定!$B$3,原始資料!AD376=""),"",IF(AND(原始資料!AC376&lt;&gt;"",原始資料!AD376=原始資料!AC376),N(AA376)+1,1))</f>
        <v/>
      </c>
      <c r="AC376" s="6">
        <f>IF(OR(原始資料!$A376="",28&gt;設定!$B$3,原始資料!AE376=""),"",IF(AND(原始資料!AD376&lt;&gt;"",原始資料!AE376=原始資料!AD376),N(AB376)+1,1))</f>
        <v/>
      </c>
      <c r="AD376" s="6">
        <f>IF(OR(原始資料!$A376="",29&gt;設定!$B$3,原始資料!AF376=""),"",IF(AND(原始資料!AE376&lt;&gt;"",原始資料!AF376=原始資料!AE376),N(AC376)+1,1))</f>
        <v/>
      </c>
      <c r="AE376" s="6">
        <f>IF(OR(原始資料!$A376="",30&gt;設定!$B$3,原始資料!AG376=""),"",IF(AND(原始資料!AF376&lt;&gt;"",原始資料!AG376=原始資料!AF376),N(AD376)+1,1))</f>
        <v/>
      </c>
      <c r="AF376" s="6">
        <f>IF(OR(原始資料!$A376="",31&gt;設定!$B$3,原始資料!AH376=""),"",IF(AND(原始資料!AG376&lt;&gt;"",原始資料!AH376=原始資料!AG376),N(AE376)+1,1))</f>
        <v/>
      </c>
      <c r="AG376" s="6">
        <f>IF(OR(原始資料!$A376="",32&gt;設定!$B$3,原始資料!AI376=""),"",IF(AND(原始資料!AH376&lt;&gt;"",原始資料!AI376=原始資料!AH376),N(AF376)+1,1))</f>
        <v/>
      </c>
      <c r="AH376" s="6">
        <f>IF(OR(原始資料!$A376="",33&gt;設定!$B$3,原始資料!AJ376=""),"",IF(AND(原始資料!AI376&lt;&gt;"",原始資料!AJ376=原始資料!AI376),N(AG376)+1,1))</f>
        <v/>
      </c>
      <c r="AI376" s="6">
        <f>IF(OR(原始資料!$A376="",34&gt;設定!$B$3,原始資料!AK376=""),"",IF(AND(原始資料!AJ376&lt;&gt;"",原始資料!AK376=原始資料!AJ376),N(AH376)+1,1))</f>
        <v/>
      </c>
      <c r="AJ376" s="6">
        <f>IF(OR(原始資料!$A376="",35&gt;設定!$B$3,原始資料!AL376=""),"",IF(AND(原始資料!AK376&lt;&gt;"",原始資料!AL376=原始資料!AK376),N(AI376)+1,1))</f>
        <v/>
      </c>
      <c r="AK376" s="6">
        <f>IF(OR(原始資料!$A376="",36&gt;設定!$B$3,原始資料!AM376=""),"",IF(AND(原始資料!AL376&lt;&gt;"",原始資料!AM376=原始資料!AL376),N(AJ376)+1,1))</f>
        <v/>
      </c>
      <c r="AL376" s="6">
        <f>IF(OR(原始資料!$A376="",37&gt;設定!$B$3,原始資料!AN376=""),"",IF(AND(原始資料!AM376&lt;&gt;"",原始資料!AN376=原始資料!AM376),N(AK376)+1,1))</f>
        <v/>
      </c>
      <c r="AM376" s="6">
        <f>IF(OR(原始資料!$A376="",38&gt;設定!$B$3,原始資料!AO376=""),"",IF(AND(原始資料!AN376&lt;&gt;"",原始資料!AO376=原始資料!AN376),N(AL376)+1,1))</f>
        <v/>
      </c>
      <c r="AN376" s="6">
        <f>IF(OR(原始資料!$A376="",39&gt;設定!$B$3,原始資料!AP376=""),"",IF(AND(原始資料!AO376&lt;&gt;"",原始資料!AP376=原始資料!AO376),N(AM376)+1,1))</f>
        <v/>
      </c>
      <c r="AO376" s="6">
        <f>IF(OR(原始資料!$A376="",40&gt;設定!$B$3,原始資料!AQ376=""),"",IF(AND(原始資料!AP376&lt;&gt;"",原始資料!AQ376=原始資料!AP376),N(AN376)+1,1))</f>
        <v/>
      </c>
      <c r="AP376" s="6">
        <f>IF(OR(原始資料!$A376="",41&gt;設定!$B$3,原始資料!AR376=""),"",IF(AND(原始資料!AQ376&lt;&gt;"",原始資料!AR376=原始資料!AQ376),N(AO376)+1,1))</f>
        <v/>
      </c>
      <c r="AQ376" s="6">
        <f>IF(OR(原始資料!$A376="",42&gt;設定!$B$3,原始資料!AS376=""),"",IF(AND(原始資料!AR376&lt;&gt;"",原始資料!AS376=原始資料!AR376),N(AP376)+1,1))</f>
        <v/>
      </c>
      <c r="AR376" s="6">
        <f>IF(OR(原始資料!$A376="",43&gt;設定!$B$3,原始資料!AT376=""),"",IF(AND(原始資料!AS376&lt;&gt;"",原始資料!AT376=原始資料!AS376),N(AQ376)+1,1))</f>
        <v/>
      </c>
      <c r="AS376" s="6">
        <f>IF(OR(原始資料!$A376="",44&gt;設定!$B$3,原始資料!AU376=""),"",IF(AND(原始資料!AT376&lt;&gt;"",原始資料!AU376=原始資料!AT376),N(AR376)+1,1))</f>
        <v/>
      </c>
      <c r="AT376" s="6">
        <f>IF(OR(原始資料!$A376="",45&gt;設定!$B$3,原始資料!AV376=""),"",IF(AND(原始資料!AU376&lt;&gt;"",原始資料!AV376=原始資料!AU376),N(AS376)+1,1))</f>
        <v/>
      </c>
      <c r="AU376" s="6">
        <f>IF(OR(原始資料!$A376="",46&gt;設定!$B$3,原始資料!AW376=""),"",IF(AND(原始資料!AV376&lt;&gt;"",原始資料!AW376=原始資料!AV376),N(AT376)+1,1))</f>
        <v/>
      </c>
      <c r="AV376" s="6">
        <f>IF(OR(原始資料!$A376="",47&gt;設定!$B$3,原始資料!AX376=""),"",IF(AND(原始資料!AW376&lt;&gt;"",原始資料!AX376=原始資料!AW376),N(AU376)+1,1))</f>
        <v/>
      </c>
      <c r="AW376" s="6">
        <f>IF(OR(原始資料!$A376="",48&gt;設定!$B$3,原始資料!AY376=""),"",IF(AND(原始資料!AX376&lt;&gt;"",原始資料!AY376=原始資料!AX376),N(AV376)+1,1))</f>
        <v/>
      </c>
      <c r="AX376" s="6">
        <f>IF(OR(原始資料!$A376="",49&gt;設定!$B$3,原始資料!AZ376=""),"",IF(AND(原始資料!AY376&lt;&gt;"",原始資料!AZ376=原始資料!AY376),N(AW376)+1,1))</f>
        <v/>
      </c>
      <c r="AY376" s="6">
        <f>IF(OR(原始資料!$A376="",50&gt;設定!$B$3,原始資料!BA376=""),"",IF(AND(原始資料!AZ376&lt;&gt;"",原始資料!BA376=原始資料!AZ376),N(AX376)+1,1))</f>
        <v/>
      </c>
      <c r="AZ376" s="6">
        <f>IF(OR(原始資料!$A376="",51&gt;設定!$B$3,原始資料!BB376=""),"",IF(AND(原始資料!BA376&lt;&gt;"",原始資料!BB376=原始資料!BA376),N(AY376)+1,1))</f>
        <v/>
      </c>
      <c r="BA376" s="6">
        <f>IF(OR(原始資料!$A376="",52&gt;設定!$B$3,原始資料!BC376=""),"",IF(AND(原始資料!BB376&lt;&gt;"",原始資料!BC376=原始資料!BB376),N(AZ376)+1,1))</f>
        <v/>
      </c>
      <c r="BB376" s="6">
        <f>IF(OR(原始資料!$A376="",53&gt;設定!$B$3,原始資料!BD376=""),"",IF(AND(原始資料!BC376&lt;&gt;"",原始資料!BD376=原始資料!BC376),N(BA376)+1,1))</f>
        <v/>
      </c>
      <c r="BC376" s="6">
        <f>IF(OR(原始資料!$A376="",54&gt;設定!$B$3,原始資料!BE376=""),"",IF(AND(原始資料!BD376&lt;&gt;"",原始資料!BE376=原始資料!BD376),N(BB376)+1,1))</f>
        <v/>
      </c>
      <c r="BD376" s="6">
        <f>IF(OR(原始資料!$A376="",55&gt;設定!$B$3,原始資料!BF376=""),"",IF(AND(原始資料!BE376&lt;&gt;"",原始資料!BF376=原始資料!BE376),N(BC376)+1,1))</f>
        <v/>
      </c>
      <c r="BE376" s="6">
        <f>IF(OR(原始資料!$A376="",56&gt;設定!$B$3,原始資料!BG376=""),"",IF(AND(原始資料!BF376&lt;&gt;"",原始資料!BG376=原始資料!BF376),N(BD376)+1,1))</f>
        <v/>
      </c>
      <c r="BF376" s="6">
        <f>IF(OR(原始資料!$A376="",57&gt;設定!$B$3,原始資料!BH376=""),"",IF(AND(原始資料!BG376&lt;&gt;"",原始資料!BH376=原始資料!BG376),N(BE376)+1,1))</f>
        <v/>
      </c>
      <c r="BG376" s="6">
        <f>IF(OR(原始資料!$A376="",58&gt;設定!$B$3,原始資料!BI376=""),"",IF(AND(原始資料!BH376&lt;&gt;"",原始資料!BI376=原始資料!BH376),N(BF376)+1,1))</f>
        <v/>
      </c>
      <c r="BH376" s="6">
        <f>IF(OR(原始資料!$A376="",59&gt;設定!$B$3,原始資料!BJ376=""),"",IF(AND(原始資料!BI376&lt;&gt;"",原始資料!BJ376=原始資料!BI376),N(BG376)+1,1))</f>
        <v/>
      </c>
      <c r="BI376" s="6">
        <f>IF(OR(原始資料!$A376="",60&gt;設定!$B$3,原始資料!BK376=""),"",IF(AND(原始資料!BJ376&lt;&gt;"",原始資料!BK376=原始資料!BJ376),N(BH376)+1,1))</f>
        <v/>
      </c>
    </row>
    <row r="377">
      <c r="A377" s="6">
        <f>IF(原始資料!$A377="","",原始資料!$A377)</f>
        <v/>
      </c>
      <c r="B377" s="6">
        <f>IF(OR(原始資料!$A377="",1&gt;設定!$B$3,原始資料!D377=""),"",1)</f>
        <v/>
      </c>
      <c r="C377" s="6">
        <f>IF(OR(原始資料!$A377="",2&gt;設定!$B$3,原始資料!E377=""),"",IF(AND(原始資料!D377&lt;&gt;"",原始資料!E377=原始資料!D377),N(B377)+1,1))</f>
        <v/>
      </c>
      <c r="D377" s="6">
        <f>IF(OR(原始資料!$A377="",3&gt;設定!$B$3,原始資料!F377=""),"",IF(AND(原始資料!E377&lt;&gt;"",原始資料!F377=原始資料!E377),N(C377)+1,1))</f>
        <v/>
      </c>
      <c r="E377" s="6">
        <f>IF(OR(原始資料!$A377="",4&gt;設定!$B$3,原始資料!G377=""),"",IF(AND(原始資料!F377&lt;&gt;"",原始資料!G377=原始資料!F377),N(D377)+1,1))</f>
        <v/>
      </c>
      <c r="F377" s="6">
        <f>IF(OR(原始資料!$A377="",5&gt;設定!$B$3,原始資料!H377=""),"",IF(AND(原始資料!G377&lt;&gt;"",原始資料!H377=原始資料!G377),N(E377)+1,1))</f>
        <v/>
      </c>
      <c r="G377" s="6">
        <f>IF(OR(原始資料!$A377="",6&gt;設定!$B$3,原始資料!I377=""),"",IF(AND(原始資料!H377&lt;&gt;"",原始資料!I377=原始資料!H377),N(F377)+1,1))</f>
        <v/>
      </c>
      <c r="H377" s="6">
        <f>IF(OR(原始資料!$A377="",7&gt;設定!$B$3,原始資料!J377=""),"",IF(AND(原始資料!I377&lt;&gt;"",原始資料!J377=原始資料!I377),N(G377)+1,1))</f>
        <v/>
      </c>
      <c r="I377" s="6">
        <f>IF(OR(原始資料!$A377="",8&gt;設定!$B$3,原始資料!K377=""),"",IF(AND(原始資料!J377&lt;&gt;"",原始資料!K377=原始資料!J377),N(H377)+1,1))</f>
        <v/>
      </c>
      <c r="J377" s="6">
        <f>IF(OR(原始資料!$A377="",9&gt;設定!$B$3,原始資料!L377=""),"",IF(AND(原始資料!K377&lt;&gt;"",原始資料!L377=原始資料!K377),N(I377)+1,1))</f>
        <v/>
      </c>
      <c r="K377" s="6">
        <f>IF(OR(原始資料!$A377="",10&gt;設定!$B$3,原始資料!M377=""),"",IF(AND(原始資料!L377&lt;&gt;"",原始資料!M377=原始資料!L377),N(J377)+1,1))</f>
        <v/>
      </c>
      <c r="L377" s="6">
        <f>IF(OR(原始資料!$A377="",11&gt;設定!$B$3,原始資料!N377=""),"",IF(AND(原始資料!M377&lt;&gt;"",原始資料!N377=原始資料!M377),N(K377)+1,1))</f>
        <v/>
      </c>
      <c r="M377" s="6">
        <f>IF(OR(原始資料!$A377="",12&gt;設定!$B$3,原始資料!O377=""),"",IF(AND(原始資料!N377&lt;&gt;"",原始資料!O377=原始資料!N377),N(L377)+1,1))</f>
        <v/>
      </c>
      <c r="N377" s="6">
        <f>IF(OR(原始資料!$A377="",13&gt;設定!$B$3,原始資料!P377=""),"",IF(AND(原始資料!O377&lt;&gt;"",原始資料!P377=原始資料!O377),N(M377)+1,1))</f>
        <v/>
      </c>
      <c r="O377" s="6">
        <f>IF(OR(原始資料!$A377="",14&gt;設定!$B$3,原始資料!Q377=""),"",IF(AND(原始資料!P377&lt;&gt;"",原始資料!Q377=原始資料!P377),N(N377)+1,1))</f>
        <v/>
      </c>
      <c r="P377" s="6">
        <f>IF(OR(原始資料!$A377="",15&gt;設定!$B$3,原始資料!R377=""),"",IF(AND(原始資料!Q377&lt;&gt;"",原始資料!R377=原始資料!Q377),N(O377)+1,1))</f>
        <v/>
      </c>
      <c r="Q377" s="6">
        <f>IF(OR(原始資料!$A377="",16&gt;設定!$B$3,原始資料!S377=""),"",IF(AND(原始資料!R377&lt;&gt;"",原始資料!S377=原始資料!R377),N(P377)+1,1))</f>
        <v/>
      </c>
      <c r="R377" s="6">
        <f>IF(OR(原始資料!$A377="",17&gt;設定!$B$3,原始資料!T377=""),"",IF(AND(原始資料!S377&lt;&gt;"",原始資料!T377=原始資料!S377),N(Q377)+1,1))</f>
        <v/>
      </c>
      <c r="S377" s="6">
        <f>IF(OR(原始資料!$A377="",18&gt;設定!$B$3,原始資料!U377=""),"",IF(AND(原始資料!T377&lt;&gt;"",原始資料!U377=原始資料!T377),N(R377)+1,1))</f>
        <v/>
      </c>
      <c r="T377" s="6">
        <f>IF(OR(原始資料!$A377="",19&gt;設定!$B$3,原始資料!V377=""),"",IF(AND(原始資料!U377&lt;&gt;"",原始資料!V377=原始資料!U377),N(S377)+1,1))</f>
        <v/>
      </c>
      <c r="U377" s="6">
        <f>IF(OR(原始資料!$A377="",20&gt;設定!$B$3,原始資料!W377=""),"",IF(AND(原始資料!V377&lt;&gt;"",原始資料!W377=原始資料!V377),N(T377)+1,1))</f>
        <v/>
      </c>
      <c r="V377" s="6">
        <f>IF(OR(原始資料!$A377="",21&gt;設定!$B$3,原始資料!X377=""),"",IF(AND(原始資料!W377&lt;&gt;"",原始資料!X377=原始資料!W377),N(U377)+1,1))</f>
        <v/>
      </c>
      <c r="W377" s="6">
        <f>IF(OR(原始資料!$A377="",22&gt;設定!$B$3,原始資料!Y377=""),"",IF(AND(原始資料!X377&lt;&gt;"",原始資料!Y377=原始資料!X377),N(V377)+1,1))</f>
        <v/>
      </c>
      <c r="X377" s="6">
        <f>IF(OR(原始資料!$A377="",23&gt;設定!$B$3,原始資料!Z377=""),"",IF(AND(原始資料!Y377&lt;&gt;"",原始資料!Z377=原始資料!Y377),N(W377)+1,1))</f>
        <v/>
      </c>
      <c r="Y377" s="6">
        <f>IF(OR(原始資料!$A377="",24&gt;設定!$B$3,原始資料!AA377=""),"",IF(AND(原始資料!Z377&lt;&gt;"",原始資料!AA377=原始資料!Z377),N(X377)+1,1))</f>
        <v/>
      </c>
      <c r="Z377" s="6">
        <f>IF(OR(原始資料!$A377="",25&gt;設定!$B$3,原始資料!AB377=""),"",IF(AND(原始資料!AA377&lt;&gt;"",原始資料!AB377=原始資料!AA377),N(Y377)+1,1))</f>
        <v/>
      </c>
      <c r="AA377" s="6">
        <f>IF(OR(原始資料!$A377="",26&gt;設定!$B$3,原始資料!AC377=""),"",IF(AND(原始資料!AB377&lt;&gt;"",原始資料!AC377=原始資料!AB377),N(Z377)+1,1))</f>
        <v/>
      </c>
      <c r="AB377" s="6">
        <f>IF(OR(原始資料!$A377="",27&gt;設定!$B$3,原始資料!AD377=""),"",IF(AND(原始資料!AC377&lt;&gt;"",原始資料!AD377=原始資料!AC377),N(AA377)+1,1))</f>
        <v/>
      </c>
      <c r="AC377" s="6">
        <f>IF(OR(原始資料!$A377="",28&gt;設定!$B$3,原始資料!AE377=""),"",IF(AND(原始資料!AD377&lt;&gt;"",原始資料!AE377=原始資料!AD377),N(AB377)+1,1))</f>
        <v/>
      </c>
      <c r="AD377" s="6">
        <f>IF(OR(原始資料!$A377="",29&gt;設定!$B$3,原始資料!AF377=""),"",IF(AND(原始資料!AE377&lt;&gt;"",原始資料!AF377=原始資料!AE377),N(AC377)+1,1))</f>
        <v/>
      </c>
      <c r="AE377" s="6">
        <f>IF(OR(原始資料!$A377="",30&gt;設定!$B$3,原始資料!AG377=""),"",IF(AND(原始資料!AF377&lt;&gt;"",原始資料!AG377=原始資料!AF377),N(AD377)+1,1))</f>
        <v/>
      </c>
      <c r="AF377" s="6">
        <f>IF(OR(原始資料!$A377="",31&gt;設定!$B$3,原始資料!AH377=""),"",IF(AND(原始資料!AG377&lt;&gt;"",原始資料!AH377=原始資料!AG377),N(AE377)+1,1))</f>
        <v/>
      </c>
      <c r="AG377" s="6">
        <f>IF(OR(原始資料!$A377="",32&gt;設定!$B$3,原始資料!AI377=""),"",IF(AND(原始資料!AH377&lt;&gt;"",原始資料!AI377=原始資料!AH377),N(AF377)+1,1))</f>
        <v/>
      </c>
      <c r="AH377" s="6">
        <f>IF(OR(原始資料!$A377="",33&gt;設定!$B$3,原始資料!AJ377=""),"",IF(AND(原始資料!AI377&lt;&gt;"",原始資料!AJ377=原始資料!AI377),N(AG377)+1,1))</f>
        <v/>
      </c>
      <c r="AI377" s="6">
        <f>IF(OR(原始資料!$A377="",34&gt;設定!$B$3,原始資料!AK377=""),"",IF(AND(原始資料!AJ377&lt;&gt;"",原始資料!AK377=原始資料!AJ377),N(AH377)+1,1))</f>
        <v/>
      </c>
      <c r="AJ377" s="6">
        <f>IF(OR(原始資料!$A377="",35&gt;設定!$B$3,原始資料!AL377=""),"",IF(AND(原始資料!AK377&lt;&gt;"",原始資料!AL377=原始資料!AK377),N(AI377)+1,1))</f>
        <v/>
      </c>
      <c r="AK377" s="6">
        <f>IF(OR(原始資料!$A377="",36&gt;設定!$B$3,原始資料!AM377=""),"",IF(AND(原始資料!AL377&lt;&gt;"",原始資料!AM377=原始資料!AL377),N(AJ377)+1,1))</f>
        <v/>
      </c>
      <c r="AL377" s="6">
        <f>IF(OR(原始資料!$A377="",37&gt;設定!$B$3,原始資料!AN377=""),"",IF(AND(原始資料!AM377&lt;&gt;"",原始資料!AN377=原始資料!AM377),N(AK377)+1,1))</f>
        <v/>
      </c>
      <c r="AM377" s="6">
        <f>IF(OR(原始資料!$A377="",38&gt;設定!$B$3,原始資料!AO377=""),"",IF(AND(原始資料!AN377&lt;&gt;"",原始資料!AO377=原始資料!AN377),N(AL377)+1,1))</f>
        <v/>
      </c>
      <c r="AN377" s="6">
        <f>IF(OR(原始資料!$A377="",39&gt;設定!$B$3,原始資料!AP377=""),"",IF(AND(原始資料!AO377&lt;&gt;"",原始資料!AP377=原始資料!AO377),N(AM377)+1,1))</f>
        <v/>
      </c>
      <c r="AO377" s="6">
        <f>IF(OR(原始資料!$A377="",40&gt;設定!$B$3,原始資料!AQ377=""),"",IF(AND(原始資料!AP377&lt;&gt;"",原始資料!AQ377=原始資料!AP377),N(AN377)+1,1))</f>
        <v/>
      </c>
      <c r="AP377" s="6">
        <f>IF(OR(原始資料!$A377="",41&gt;設定!$B$3,原始資料!AR377=""),"",IF(AND(原始資料!AQ377&lt;&gt;"",原始資料!AR377=原始資料!AQ377),N(AO377)+1,1))</f>
        <v/>
      </c>
      <c r="AQ377" s="6">
        <f>IF(OR(原始資料!$A377="",42&gt;設定!$B$3,原始資料!AS377=""),"",IF(AND(原始資料!AR377&lt;&gt;"",原始資料!AS377=原始資料!AR377),N(AP377)+1,1))</f>
        <v/>
      </c>
      <c r="AR377" s="6">
        <f>IF(OR(原始資料!$A377="",43&gt;設定!$B$3,原始資料!AT377=""),"",IF(AND(原始資料!AS377&lt;&gt;"",原始資料!AT377=原始資料!AS377),N(AQ377)+1,1))</f>
        <v/>
      </c>
      <c r="AS377" s="6">
        <f>IF(OR(原始資料!$A377="",44&gt;設定!$B$3,原始資料!AU377=""),"",IF(AND(原始資料!AT377&lt;&gt;"",原始資料!AU377=原始資料!AT377),N(AR377)+1,1))</f>
        <v/>
      </c>
      <c r="AT377" s="6">
        <f>IF(OR(原始資料!$A377="",45&gt;設定!$B$3,原始資料!AV377=""),"",IF(AND(原始資料!AU377&lt;&gt;"",原始資料!AV377=原始資料!AU377),N(AS377)+1,1))</f>
        <v/>
      </c>
      <c r="AU377" s="6">
        <f>IF(OR(原始資料!$A377="",46&gt;設定!$B$3,原始資料!AW377=""),"",IF(AND(原始資料!AV377&lt;&gt;"",原始資料!AW377=原始資料!AV377),N(AT377)+1,1))</f>
        <v/>
      </c>
      <c r="AV377" s="6">
        <f>IF(OR(原始資料!$A377="",47&gt;設定!$B$3,原始資料!AX377=""),"",IF(AND(原始資料!AW377&lt;&gt;"",原始資料!AX377=原始資料!AW377),N(AU377)+1,1))</f>
        <v/>
      </c>
      <c r="AW377" s="6">
        <f>IF(OR(原始資料!$A377="",48&gt;設定!$B$3,原始資料!AY377=""),"",IF(AND(原始資料!AX377&lt;&gt;"",原始資料!AY377=原始資料!AX377),N(AV377)+1,1))</f>
        <v/>
      </c>
      <c r="AX377" s="6">
        <f>IF(OR(原始資料!$A377="",49&gt;設定!$B$3,原始資料!AZ377=""),"",IF(AND(原始資料!AY377&lt;&gt;"",原始資料!AZ377=原始資料!AY377),N(AW377)+1,1))</f>
        <v/>
      </c>
      <c r="AY377" s="6">
        <f>IF(OR(原始資料!$A377="",50&gt;設定!$B$3,原始資料!BA377=""),"",IF(AND(原始資料!AZ377&lt;&gt;"",原始資料!BA377=原始資料!AZ377),N(AX377)+1,1))</f>
        <v/>
      </c>
      <c r="AZ377" s="6">
        <f>IF(OR(原始資料!$A377="",51&gt;設定!$B$3,原始資料!BB377=""),"",IF(AND(原始資料!BA377&lt;&gt;"",原始資料!BB377=原始資料!BA377),N(AY377)+1,1))</f>
        <v/>
      </c>
      <c r="BA377" s="6">
        <f>IF(OR(原始資料!$A377="",52&gt;設定!$B$3,原始資料!BC377=""),"",IF(AND(原始資料!BB377&lt;&gt;"",原始資料!BC377=原始資料!BB377),N(AZ377)+1,1))</f>
        <v/>
      </c>
      <c r="BB377" s="6">
        <f>IF(OR(原始資料!$A377="",53&gt;設定!$B$3,原始資料!BD377=""),"",IF(AND(原始資料!BC377&lt;&gt;"",原始資料!BD377=原始資料!BC377),N(BA377)+1,1))</f>
        <v/>
      </c>
      <c r="BC377" s="6">
        <f>IF(OR(原始資料!$A377="",54&gt;設定!$B$3,原始資料!BE377=""),"",IF(AND(原始資料!BD377&lt;&gt;"",原始資料!BE377=原始資料!BD377),N(BB377)+1,1))</f>
        <v/>
      </c>
      <c r="BD377" s="6">
        <f>IF(OR(原始資料!$A377="",55&gt;設定!$B$3,原始資料!BF377=""),"",IF(AND(原始資料!BE377&lt;&gt;"",原始資料!BF377=原始資料!BE377),N(BC377)+1,1))</f>
        <v/>
      </c>
      <c r="BE377" s="6">
        <f>IF(OR(原始資料!$A377="",56&gt;設定!$B$3,原始資料!BG377=""),"",IF(AND(原始資料!BF377&lt;&gt;"",原始資料!BG377=原始資料!BF377),N(BD377)+1,1))</f>
        <v/>
      </c>
      <c r="BF377" s="6">
        <f>IF(OR(原始資料!$A377="",57&gt;設定!$B$3,原始資料!BH377=""),"",IF(AND(原始資料!BG377&lt;&gt;"",原始資料!BH377=原始資料!BG377),N(BE377)+1,1))</f>
        <v/>
      </c>
      <c r="BG377" s="6">
        <f>IF(OR(原始資料!$A377="",58&gt;設定!$B$3,原始資料!BI377=""),"",IF(AND(原始資料!BH377&lt;&gt;"",原始資料!BI377=原始資料!BH377),N(BF377)+1,1))</f>
        <v/>
      </c>
      <c r="BH377" s="6">
        <f>IF(OR(原始資料!$A377="",59&gt;設定!$B$3,原始資料!BJ377=""),"",IF(AND(原始資料!BI377&lt;&gt;"",原始資料!BJ377=原始資料!BI377),N(BG377)+1,1))</f>
        <v/>
      </c>
      <c r="BI377" s="6">
        <f>IF(OR(原始資料!$A377="",60&gt;設定!$B$3,原始資料!BK377=""),"",IF(AND(原始資料!BJ377&lt;&gt;"",原始資料!BK377=原始資料!BJ377),N(BH377)+1,1))</f>
        <v/>
      </c>
    </row>
    <row r="378">
      <c r="A378" s="6">
        <f>IF(原始資料!$A378="","",原始資料!$A378)</f>
        <v/>
      </c>
      <c r="B378" s="6">
        <f>IF(OR(原始資料!$A378="",1&gt;設定!$B$3,原始資料!D378=""),"",1)</f>
        <v/>
      </c>
      <c r="C378" s="6">
        <f>IF(OR(原始資料!$A378="",2&gt;設定!$B$3,原始資料!E378=""),"",IF(AND(原始資料!D378&lt;&gt;"",原始資料!E378=原始資料!D378),N(B378)+1,1))</f>
        <v/>
      </c>
      <c r="D378" s="6">
        <f>IF(OR(原始資料!$A378="",3&gt;設定!$B$3,原始資料!F378=""),"",IF(AND(原始資料!E378&lt;&gt;"",原始資料!F378=原始資料!E378),N(C378)+1,1))</f>
        <v/>
      </c>
      <c r="E378" s="6">
        <f>IF(OR(原始資料!$A378="",4&gt;設定!$B$3,原始資料!G378=""),"",IF(AND(原始資料!F378&lt;&gt;"",原始資料!G378=原始資料!F378),N(D378)+1,1))</f>
        <v/>
      </c>
      <c r="F378" s="6">
        <f>IF(OR(原始資料!$A378="",5&gt;設定!$B$3,原始資料!H378=""),"",IF(AND(原始資料!G378&lt;&gt;"",原始資料!H378=原始資料!G378),N(E378)+1,1))</f>
        <v/>
      </c>
      <c r="G378" s="6">
        <f>IF(OR(原始資料!$A378="",6&gt;設定!$B$3,原始資料!I378=""),"",IF(AND(原始資料!H378&lt;&gt;"",原始資料!I378=原始資料!H378),N(F378)+1,1))</f>
        <v/>
      </c>
      <c r="H378" s="6">
        <f>IF(OR(原始資料!$A378="",7&gt;設定!$B$3,原始資料!J378=""),"",IF(AND(原始資料!I378&lt;&gt;"",原始資料!J378=原始資料!I378),N(G378)+1,1))</f>
        <v/>
      </c>
      <c r="I378" s="6">
        <f>IF(OR(原始資料!$A378="",8&gt;設定!$B$3,原始資料!K378=""),"",IF(AND(原始資料!J378&lt;&gt;"",原始資料!K378=原始資料!J378),N(H378)+1,1))</f>
        <v/>
      </c>
      <c r="J378" s="6">
        <f>IF(OR(原始資料!$A378="",9&gt;設定!$B$3,原始資料!L378=""),"",IF(AND(原始資料!K378&lt;&gt;"",原始資料!L378=原始資料!K378),N(I378)+1,1))</f>
        <v/>
      </c>
      <c r="K378" s="6">
        <f>IF(OR(原始資料!$A378="",10&gt;設定!$B$3,原始資料!M378=""),"",IF(AND(原始資料!L378&lt;&gt;"",原始資料!M378=原始資料!L378),N(J378)+1,1))</f>
        <v/>
      </c>
      <c r="L378" s="6">
        <f>IF(OR(原始資料!$A378="",11&gt;設定!$B$3,原始資料!N378=""),"",IF(AND(原始資料!M378&lt;&gt;"",原始資料!N378=原始資料!M378),N(K378)+1,1))</f>
        <v/>
      </c>
      <c r="M378" s="6">
        <f>IF(OR(原始資料!$A378="",12&gt;設定!$B$3,原始資料!O378=""),"",IF(AND(原始資料!N378&lt;&gt;"",原始資料!O378=原始資料!N378),N(L378)+1,1))</f>
        <v/>
      </c>
      <c r="N378" s="6">
        <f>IF(OR(原始資料!$A378="",13&gt;設定!$B$3,原始資料!P378=""),"",IF(AND(原始資料!O378&lt;&gt;"",原始資料!P378=原始資料!O378),N(M378)+1,1))</f>
        <v/>
      </c>
      <c r="O378" s="6">
        <f>IF(OR(原始資料!$A378="",14&gt;設定!$B$3,原始資料!Q378=""),"",IF(AND(原始資料!P378&lt;&gt;"",原始資料!Q378=原始資料!P378),N(N378)+1,1))</f>
        <v/>
      </c>
      <c r="P378" s="6">
        <f>IF(OR(原始資料!$A378="",15&gt;設定!$B$3,原始資料!R378=""),"",IF(AND(原始資料!Q378&lt;&gt;"",原始資料!R378=原始資料!Q378),N(O378)+1,1))</f>
        <v/>
      </c>
      <c r="Q378" s="6">
        <f>IF(OR(原始資料!$A378="",16&gt;設定!$B$3,原始資料!S378=""),"",IF(AND(原始資料!R378&lt;&gt;"",原始資料!S378=原始資料!R378),N(P378)+1,1))</f>
        <v/>
      </c>
      <c r="R378" s="6">
        <f>IF(OR(原始資料!$A378="",17&gt;設定!$B$3,原始資料!T378=""),"",IF(AND(原始資料!S378&lt;&gt;"",原始資料!T378=原始資料!S378),N(Q378)+1,1))</f>
        <v/>
      </c>
      <c r="S378" s="6">
        <f>IF(OR(原始資料!$A378="",18&gt;設定!$B$3,原始資料!U378=""),"",IF(AND(原始資料!T378&lt;&gt;"",原始資料!U378=原始資料!T378),N(R378)+1,1))</f>
        <v/>
      </c>
      <c r="T378" s="6">
        <f>IF(OR(原始資料!$A378="",19&gt;設定!$B$3,原始資料!V378=""),"",IF(AND(原始資料!U378&lt;&gt;"",原始資料!V378=原始資料!U378),N(S378)+1,1))</f>
        <v/>
      </c>
      <c r="U378" s="6">
        <f>IF(OR(原始資料!$A378="",20&gt;設定!$B$3,原始資料!W378=""),"",IF(AND(原始資料!V378&lt;&gt;"",原始資料!W378=原始資料!V378),N(T378)+1,1))</f>
        <v/>
      </c>
      <c r="V378" s="6">
        <f>IF(OR(原始資料!$A378="",21&gt;設定!$B$3,原始資料!X378=""),"",IF(AND(原始資料!W378&lt;&gt;"",原始資料!X378=原始資料!W378),N(U378)+1,1))</f>
        <v/>
      </c>
      <c r="W378" s="6">
        <f>IF(OR(原始資料!$A378="",22&gt;設定!$B$3,原始資料!Y378=""),"",IF(AND(原始資料!X378&lt;&gt;"",原始資料!Y378=原始資料!X378),N(V378)+1,1))</f>
        <v/>
      </c>
      <c r="X378" s="6">
        <f>IF(OR(原始資料!$A378="",23&gt;設定!$B$3,原始資料!Z378=""),"",IF(AND(原始資料!Y378&lt;&gt;"",原始資料!Z378=原始資料!Y378),N(W378)+1,1))</f>
        <v/>
      </c>
      <c r="Y378" s="6">
        <f>IF(OR(原始資料!$A378="",24&gt;設定!$B$3,原始資料!AA378=""),"",IF(AND(原始資料!Z378&lt;&gt;"",原始資料!AA378=原始資料!Z378),N(X378)+1,1))</f>
        <v/>
      </c>
      <c r="Z378" s="6">
        <f>IF(OR(原始資料!$A378="",25&gt;設定!$B$3,原始資料!AB378=""),"",IF(AND(原始資料!AA378&lt;&gt;"",原始資料!AB378=原始資料!AA378),N(Y378)+1,1))</f>
        <v/>
      </c>
      <c r="AA378" s="6">
        <f>IF(OR(原始資料!$A378="",26&gt;設定!$B$3,原始資料!AC378=""),"",IF(AND(原始資料!AB378&lt;&gt;"",原始資料!AC378=原始資料!AB378),N(Z378)+1,1))</f>
        <v/>
      </c>
      <c r="AB378" s="6">
        <f>IF(OR(原始資料!$A378="",27&gt;設定!$B$3,原始資料!AD378=""),"",IF(AND(原始資料!AC378&lt;&gt;"",原始資料!AD378=原始資料!AC378),N(AA378)+1,1))</f>
        <v/>
      </c>
      <c r="AC378" s="6">
        <f>IF(OR(原始資料!$A378="",28&gt;設定!$B$3,原始資料!AE378=""),"",IF(AND(原始資料!AD378&lt;&gt;"",原始資料!AE378=原始資料!AD378),N(AB378)+1,1))</f>
        <v/>
      </c>
      <c r="AD378" s="6">
        <f>IF(OR(原始資料!$A378="",29&gt;設定!$B$3,原始資料!AF378=""),"",IF(AND(原始資料!AE378&lt;&gt;"",原始資料!AF378=原始資料!AE378),N(AC378)+1,1))</f>
        <v/>
      </c>
      <c r="AE378" s="6">
        <f>IF(OR(原始資料!$A378="",30&gt;設定!$B$3,原始資料!AG378=""),"",IF(AND(原始資料!AF378&lt;&gt;"",原始資料!AG378=原始資料!AF378),N(AD378)+1,1))</f>
        <v/>
      </c>
      <c r="AF378" s="6">
        <f>IF(OR(原始資料!$A378="",31&gt;設定!$B$3,原始資料!AH378=""),"",IF(AND(原始資料!AG378&lt;&gt;"",原始資料!AH378=原始資料!AG378),N(AE378)+1,1))</f>
        <v/>
      </c>
      <c r="AG378" s="6">
        <f>IF(OR(原始資料!$A378="",32&gt;設定!$B$3,原始資料!AI378=""),"",IF(AND(原始資料!AH378&lt;&gt;"",原始資料!AI378=原始資料!AH378),N(AF378)+1,1))</f>
        <v/>
      </c>
      <c r="AH378" s="6">
        <f>IF(OR(原始資料!$A378="",33&gt;設定!$B$3,原始資料!AJ378=""),"",IF(AND(原始資料!AI378&lt;&gt;"",原始資料!AJ378=原始資料!AI378),N(AG378)+1,1))</f>
        <v/>
      </c>
      <c r="AI378" s="6">
        <f>IF(OR(原始資料!$A378="",34&gt;設定!$B$3,原始資料!AK378=""),"",IF(AND(原始資料!AJ378&lt;&gt;"",原始資料!AK378=原始資料!AJ378),N(AH378)+1,1))</f>
        <v/>
      </c>
      <c r="AJ378" s="6">
        <f>IF(OR(原始資料!$A378="",35&gt;設定!$B$3,原始資料!AL378=""),"",IF(AND(原始資料!AK378&lt;&gt;"",原始資料!AL378=原始資料!AK378),N(AI378)+1,1))</f>
        <v/>
      </c>
      <c r="AK378" s="6">
        <f>IF(OR(原始資料!$A378="",36&gt;設定!$B$3,原始資料!AM378=""),"",IF(AND(原始資料!AL378&lt;&gt;"",原始資料!AM378=原始資料!AL378),N(AJ378)+1,1))</f>
        <v/>
      </c>
      <c r="AL378" s="6">
        <f>IF(OR(原始資料!$A378="",37&gt;設定!$B$3,原始資料!AN378=""),"",IF(AND(原始資料!AM378&lt;&gt;"",原始資料!AN378=原始資料!AM378),N(AK378)+1,1))</f>
        <v/>
      </c>
      <c r="AM378" s="6">
        <f>IF(OR(原始資料!$A378="",38&gt;設定!$B$3,原始資料!AO378=""),"",IF(AND(原始資料!AN378&lt;&gt;"",原始資料!AO378=原始資料!AN378),N(AL378)+1,1))</f>
        <v/>
      </c>
      <c r="AN378" s="6">
        <f>IF(OR(原始資料!$A378="",39&gt;設定!$B$3,原始資料!AP378=""),"",IF(AND(原始資料!AO378&lt;&gt;"",原始資料!AP378=原始資料!AO378),N(AM378)+1,1))</f>
        <v/>
      </c>
      <c r="AO378" s="6">
        <f>IF(OR(原始資料!$A378="",40&gt;設定!$B$3,原始資料!AQ378=""),"",IF(AND(原始資料!AP378&lt;&gt;"",原始資料!AQ378=原始資料!AP378),N(AN378)+1,1))</f>
        <v/>
      </c>
      <c r="AP378" s="6">
        <f>IF(OR(原始資料!$A378="",41&gt;設定!$B$3,原始資料!AR378=""),"",IF(AND(原始資料!AQ378&lt;&gt;"",原始資料!AR378=原始資料!AQ378),N(AO378)+1,1))</f>
        <v/>
      </c>
      <c r="AQ378" s="6">
        <f>IF(OR(原始資料!$A378="",42&gt;設定!$B$3,原始資料!AS378=""),"",IF(AND(原始資料!AR378&lt;&gt;"",原始資料!AS378=原始資料!AR378),N(AP378)+1,1))</f>
        <v/>
      </c>
      <c r="AR378" s="6">
        <f>IF(OR(原始資料!$A378="",43&gt;設定!$B$3,原始資料!AT378=""),"",IF(AND(原始資料!AS378&lt;&gt;"",原始資料!AT378=原始資料!AS378),N(AQ378)+1,1))</f>
        <v/>
      </c>
      <c r="AS378" s="6">
        <f>IF(OR(原始資料!$A378="",44&gt;設定!$B$3,原始資料!AU378=""),"",IF(AND(原始資料!AT378&lt;&gt;"",原始資料!AU378=原始資料!AT378),N(AR378)+1,1))</f>
        <v/>
      </c>
      <c r="AT378" s="6">
        <f>IF(OR(原始資料!$A378="",45&gt;設定!$B$3,原始資料!AV378=""),"",IF(AND(原始資料!AU378&lt;&gt;"",原始資料!AV378=原始資料!AU378),N(AS378)+1,1))</f>
        <v/>
      </c>
      <c r="AU378" s="6">
        <f>IF(OR(原始資料!$A378="",46&gt;設定!$B$3,原始資料!AW378=""),"",IF(AND(原始資料!AV378&lt;&gt;"",原始資料!AW378=原始資料!AV378),N(AT378)+1,1))</f>
        <v/>
      </c>
      <c r="AV378" s="6">
        <f>IF(OR(原始資料!$A378="",47&gt;設定!$B$3,原始資料!AX378=""),"",IF(AND(原始資料!AW378&lt;&gt;"",原始資料!AX378=原始資料!AW378),N(AU378)+1,1))</f>
        <v/>
      </c>
      <c r="AW378" s="6">
        <f>IF(OR(原始資料!$A378="",48&gt;設定!$B$3,原始資料!AY378=""),"",IF(AND(原始資料!AX378&lt;&gt;"",原始資料!AY378=原始資料!AX378),N(AV378)+1,1))</f>
        <v/>
      </c>
      <c r="AX378" s="6">
        <f>IF(OR(原始資料!$A378="",49&gt;設定!$B$3,原始資料!AZ378=""),"",IF(AND(原始資料!AY378&lt;&gt;"",原始資料!AZ378=原始資料!AY378),N(AW378)+1,1))</f>
        <v/>
      </c>
      <c r="AY378" s="6">
        <f>IF(OR(原始資料!$A378="",50&gt;設定!$B$3,原始資料!BA378=""),"",IF(AND(原始資料!AZ378&lt;&gt;"",原始資料!BA378=原始資料!AZ378),N(AX378)+1,1))</f>
        <v/>
      </c>
      <c r="AZ378" s="6">
        <f>IF(OR(原始資料!$A378="",51&gt;設定!$B$3,原始資料!BB378=""),"",IF(AND(原始資料!BA378&lt;&gt;"",原始資料!BB378=原始資料!BA378),N(AY378)+1,1))</f>
        <v/>
      </c>
      <c r="BA378" s="6">
        <f>IF(OR(原始資料!$A378="",52&gt;設定!$B$3,原始資料!BC378=""),"",IF(AND(原始資料!BB378&lt;&gt;"",原始資料!BC378=原始資料!BB378),N(AZ378)+1,1))</f>
        <v/>
      </c>
      <c r="BB378" s="6">
        <f>IF(OR(原始資料!$A378="",53&gt;設定!$B$3,原始資料!BD378=""),"",IF(AND(原始資料!BC378&lt;&gt;"",原始資料!BD378=原始資料!BC378),N(BA378)+1,1))</f>
        <v/>
      </c>
      <c r="BC378" s="6">
        <f>IF(OR(原始資料!$A378="",54&gt;設定!$B$3,原始資料!BE378=""),"",IF(AND(原始資料!BD378&lt;&gt;"",原始資料!BE378=原始資料!BD378),N(BB378)+1,1))</f>
        <v/>
      </c>
      <c r="BD378" s="6">
        <f>IF(OR(原始資料!$A378="",55&gt;設定!$B$3,原始資料!BF378=""),"",IF(AND(原始資料!BE378&lt;&gt;"",原始資料!BF378=原始資料!BE378),N(BC378)+1,1))</f>
        <v/>
      </c>
      <c r="BE378" s="6">
        <f>IF(OR(原始資料!$A378="",56&gt;設定!$B$3,原始資料!BG378=""),"",IF(AND(原始資料!BF378&lt;&gt;"",原始資料!BG378=原始資料!BF378),N(BD378)+1,1))</f>
        <v/>
      </c>
      <c r="BF378" s="6">
        <f>IF(OR(原始資料!$A378="",57&gt;設定!$B$3,原始資料!BH378=""),"",IF(AND(原始資料!BG378&lt;&gt;"",原始資料!BH378=原始資料!BG378),N(BE378)+1,1))</f>
        <v/>
      </c>
      <c r="BG378" s="6">
        <f>IF(OR(原始資料!$A378="",58&gt;設定!$B$3,原始資料!BI378=""),"",IF(AND(原始資料!BH378&lt;&gt;"",原始資料!BI378=原始資料!BH378),N(BF378)+1,1))</f>
        <v/>
      </c>
      <c r="BH378" s="6">
        <f>IF(OR(原始資料!$A378="",59&gt;設定!$B$3,原始資料!BJ378=""),"",IF(AND(原始資料!BI378&lt;&gt;"",原始資料!BJ378=原始資料!BI378),N(BG378)+1,1))</f>
        <v/>
      </c>
      <c r="BI378" s="6">
        <f>IF(OR(原始資料!$A378="",60&gt;設定!$B$3,原始資料!BK378=""),"",IF(AND(原始資料!BJ378&lt;&gt;"",原始資料!BK378=原始資料!BJ378),N(BH378)+1,1))</f>
        <v/>
      </c>
    </row>
    <row r="379">
      <c r="A379" s="6">
        <f>IF(原始資料!$A379="","",原始資料!$A379)</f>
        <v/>
      </c>
      <c r="B379" s="6">
        <f>IF(OR(原始資料!$A379="",1&gt;設定!$B$3,原始資料!D379=""),"",1)</f>
        <v/>
      </c>
      <c r="C379" s="6">
        <f>IF(OR(原始資料!$A379="",2&gt;設定!$B$3,原始資料!E379=""),"",IF(AND(原始資料!D379&lt;&gt;"",原始資料!E379=原始資料!D379),N(B379)+1,1))</f>
        <v/>
      </c>
      <c r="D379" s="6">
        <f>IF(OR(原始資料!$A379="",3&gt;設定!$B$3,原始資料!F379=""),"",IF(AND(原始資料!E379&lt;&gt;"",原始資料!F379=原始資料!E379),N(C379)+1,1))</f>
        <v/>
      </c>
      <c r="E379" s="6">
        <f>IF(OR(原始資料!$A379="",4&gt;設定!$B$3,原始資料!G379=""),"",IF(AND(原始資料!F379&lt;&gt;"",原始資料!G379=原始資料!F379),N(D379)+1,1))</f>
        <v/>
      </c>
      <c r="F379" s="6">
        <f>IF(OR(原始資料!$A379="",5&gt;設定!$B$3,原始資料!H379=""),"",IF(AND(原始資料!G379&lt;&gt;"",原始資料!H379=原始資料!G379),N(E379)+1,1))</f>
        <v/>
      </c>
      <c r="G379" s="6">
        <f>IF(OR(原始資料!$A379="",6&gt;設定!$B$3,原始資料!I379=""),"",IF(AND(原始資料!H379&lt;&gt;"",原始資料!I379=原始資料!H379),N(F379)+1,1))</f>
        <v/>
      </c>
      <c r="H379" s="6">
        <f>IF(OR(原始資料!$A379="",7&gt;設定!$B$3,原始資料!J379=""),"",IF(AND(原始資料!I379&lt;&gt;"",原始資料!J379=原始資料!I379),N(G379)+1,1))</f>
        <v/>
      </c>
      <c r="I379" s="6">
        <f>IF(OR(原始資料!$A379="",8&gt;設定!$B$3,原始資料!K379=""),"",IF(AND(原始資料!J379&lt;&gt;"",原始資料!K379=原始資料!J379),N(H379)+1,1))</f>
        <v/>
      </c>
      <c r="J379" s="6">
        <f>IF(OR(原始資料!$A379="",9&gt;設定!$B$3,原始資料!L379=""),"",IF(AND(原始資料!K379&lt;&gt;"",原始資料!L379=原始資料!K379),N(I379)+1,1))</f>
        <v/>
      </c>
      <c r="K379" s="6">
        <f>IF(OR(原始資料!$A379="",10&gt;設定!$B$3,原始資料!M379=""),"",IF(AND(原始資料!L379&lt;&gt;"",原始資料!M379=原始資料!L379),N(J379)+1,1))</f>
        <v/>
      </c>
      <c r="L379" s="6">
        <f>IF(OR(原始資料!$A379="",11&gt;設定!$B$3,原始資料!N379=""),"",IF(AND(原始資料!M379&lt;&gt;"",原始資料!N379=原始資料!M379),N(K379)+1,1))</f>
        <v/>
      </c>
      <c r="M379" s="6">
        <f>IF(OR(原始資料!$A379="",12&gt;設定!$B$3,原始資料!O379=""),"",IF(AND(原始資料!N379&lt;&gt;"",原始資料!O379=原始資料!N379),N(L379)+1,1))</f>
        <v/>
      </c>
      <c r="N379" s="6">
        <f>IF(OR(原始資料!$A379="",13&gt;設定!$B$3,原始資料!P379=""),"",IF(AND(原始資料!O379&lt;&gt;"",原始資料!P379=原始資料!O379),N(M379)+1,1))</f>
        <v/>
      </c>
      <c r="O379" s="6">
        <f>IF(OR(原始資料!$A379="",14&gt;設定!$B$3,原始資料!Q379=""),"",IF(AND(原始資料!P379&lt;&gt;"",原始資料!Q379=原始資料!P379),N(N379)+1,1))</f>
        <v/>
      </c>
      <c r="P379" s="6">
        <f>IF(OR(原始資料!$A379="",15&gt;設定!$B$3,原始資料!R379=""),"",IF(AND(原始資料!Q379&lt;&gt;"",原始資料!R379=原始資料!Q379),N(O379)+1,1))</f>
        <v/>
      </c>
      <c r="Q379" s="6">
        <f>IF(OR(原始資料!$A379="",16&gt;設定!$B$3,原始資料!S379=""),"",IF(AND(原始資料!R379&lt;&gt;"",原始資料!S379=原始資料!R379),N(P379)+1,1))</f>
        <v/>
      </c>
      <c r="R379" s="6">
        <f>IF(OR(原始資料!$A379="",17&gt;設定!$B$3,原始資料!T379=""),"",IF(AND(原始資料!S379&lt;&gt;"",原始資料!T379=原始資料!S379),N(Q379)+1,1))</f>
        <v/>
      </c>
      <c r="S379" s="6">
        <f>IF(OR(原始資料!$A379="",18&gt;設定!$B$3,原始資料!U379=""),"",IF(AND(原始資料!T379&lt;&gt;"",原始資料!U379=原始資料!T379),N(R379)+1,1))</f>
        <v/>
      </c>
      <c r="T379" s="6">
        <f>IF(OR(原始資料!$A379="",19&gt;設定!$B$3,原始資料!V379=""),"",IF(AND(原始資料!U379&lt;&gt;"",原始資料!V379=原始資料!U379),N(S379)+1,1))</f>
        <v/>
      </c>
      <c r="U379" s="6">
        <f>IF(OR(原始資料!$A379="",20&gt;設定!$B$3,原始資料!W379=""),"",IF(AND(原始資料!V379&lt;&gt;"",原始資料!W379=原始資料!V379),N(T379)+1,1))</f>
        <v/>
      </c>
      <c r="V379" s="6">
        <f>IF(OR(原始資料!$A379="",21&gt;設定!$B$3,原始資料!X379=""),"",IF(AND(原始資料!W379&lt;&gt;"",原始資料!X379=原始資料!W379),N(U379)+1,1))</f>
        <v/>
      </c>
      <c r="W379" s="6">
        <f>IF(OR(原始資料!$A379="",22&gt;設定!$B$3,原始資料!Y379=""),"",IF(AND(原始資料!X379&lt;&gt;"",原始資料!Y379=原始資料!X379),N(V379)+1,1))</f>
        <v/>
      </c>
      <c r="X379" s="6">
        <f>IF(OR(原始資料!$A379="",23&gt;設定!$B$3,原始資料!Z379=""),"",IF(AND(原始資料!Y379&lt;&gt;"",原始資料!Z379=原始資料!Y379),N(W379)+1,1))</f>
        <v/>
      </c>
      <c r="Y379" s="6">
        <f>IF(OR(原始資料!$A379="",24&gt;設定!$B$3,原始資料!AA379=""),"",IF(AND(原始資料!Z379&lt;&gt;"",原始資料!AA379=原始資料!Z379),N(X379)+1,1))</f>
        <v/>
      </c>
      <c r="Z379" s="6">
        <f>IF(OR(原始資料!$A379="",25&gt;設定!$B$3,原始資料!AB379=""),"",IF(AND(原始資料!AA379&lt;&gt;"",原始資料!AB379=原始資料!AA379),N(Y379)+1,1))</f>
        <v/>
      </c>
      <c r="AA379" s="6">
        <f>IF(OR(原始資料!$A379="",26&gt;設定!$B$3,原始資料!AC379=""),"",IF(AND(原始資料!AB379&lt;&gt;"",原始資料!AC379=原始資料!AB379),N(Z379)+1,1))</f>
        <v/>
      </c>
      <c r="AB379" s="6">
        <f>IF(OR(原始資料!$A379="",27&gt;設定!$B$3,原始資料!AD379=""),"",IF(AND(原始資料!AC379&lt;&gt;"",原始資料!AD379=原始資料!AC379),N(AA379)+1,1))</f>
        <v/>
      </c>
      <c r="AC379" s="6">
        <f>IF(OR(原始資料!$A379="",28&gt;設定!$B$3,原始資料!AE379=""),"",IF(AND(原始資料!AD379&lt;&gt;"",原始資料!AE379=原始資料!AD379),N(AB379)+1,1))</f>
        <v/>
      </c>
      <c r="AD379" s="6">
        <f>IF(OR(原始資料!$A379="",29&gt;設定!$B$3,原始資料!AF379=""),"",IF(AND(原始資料!AE379&lt;&gt;"",原始資料!AF379=原始資料!AE379),N(AC379)+1,1))</f>
        <v/>
      </c>
      <c r="AE379" s="6">
        <f>IF(OR(原始資料!$A379="",30&gt;設定!$B$3,原始資料!AG379=""),"",IF(AND(原始資料!AF379&lt;&gt;"",原始資料!AG379=原始資料!AF379),N(AD379)+1,1))</f>
        <v/>
      </c>
      <c r="AF379" s="6">
        <f>IF(OR(原始資料!$A379="",31&gt;設定!$B$3,原始資料!AH379=""),"",IF(AND(原始資料!AG379&lt;&gt;"",原始資料!AH379=原始資料!AG379),N(AE379)+1,1))</f>
        <v/>
      </c>
      <c r="AG379" s="6">
        <f>IF(OR(原始資料!$A379="",32&gt;設定!$B$3,原始資料!AI379=""),"",IF(AND(原始資料!AH379&lt;&gt;"",原始資料!AI379=原始資料!AH379),N(AF379)+1,1))</f>
        <v/>
      </c>
      <c r="AH379" s="6">
        <f>IF(OR(原始資料!$A379="",33&gt;設定!$B$3,原始資料!AJ379=""),"",IF(AND(原始資料!AI379&lt;&gt;"",原始資料!AJ379=原始資料!AI379),N(AG379)+1,1))</f>
        <v/>
      </c>
      <c r="AI379" s="6">
        <f>IF(OR(原始資料!$A379="",34&gt;設定!$B$3,原始資料!AK379=""),"",IF(AND(原始資料!AJ379&lt;&gt;"",原始資料!AK379=原始資料!AJ379),N(AH379)+1,1))</f>
        <v/>
      </c>
      <c r="AJ379" s="6">
        <f>IF(OR(原始資料!$A379="",35&gt;設定!$B$3,原始資料!AL379=""),"",IF(AND(原始資料!AK379&lt;&gt;"",原始資料!AL379=原始資料!AK379),N(AI379)+1,1))</f>
        <v/>
      </c>
      <c r="AK379" s="6">
        <f>IF(OR(原始資料!$A379="",36&gt;設定!$B$3,原始資料!AM379=""),"",IF(AND(原始資料!AL379&lt;&gt;"",原始資料!AM379=原始資料!AL379),N(AJ379)+1,1))</f>
        <v/>
      </c>
      <c r="AL379" s="6">
        <f>IF(OR(原始資料!$A379="",37&gt;設定!$B$3,原始資料!AN379=""),"",IF(AND(原始資料!AM379&lt;&gt;"",原始資料!AN379=原始資料!AM379),N(AK379)+1,1))</f>
        <v/>
      </c>
      <c r="AM379" s="6">
        <f>IF(OR(原始資料!$A379="",38&gt;設定!$B$3,原始資料!AO379=""),"",IF(AND(原始資料!AN379&lt;&gt;"",原始資料!AO379=原始資料!AN379),N(AL379)+1,1))</f>
        <v/>
      </c>
      <c r="AN379" s="6">
        <f>IF(OR(原始資料!$A379="",39&gt;設定!$B$3,原始資料!AP379=""),"",IF(AND(原始資料!AO379&lt;&gt;"",原始資料!AP379=原始資料!AO379),N(AM379)+1,1))</f>
        <v/>
      </c>
      <c r="AO379" s="6">
        <f>IF(OR(原始資料!$A379="",40&gt;設定!$B$3,原始資料!AQ379=""),"",IF(AND(原始資料!AP379&lt;&gt;"",原始資料!AQ379=原始資料!AP379),N(AN379)+1,1))</f>
        <v/>
      </c>
      <c r="AP379" s="6">
        <f>IF(OR(原始資料!$A379="",41&gt;設定!$B$3,原始資料!AR379=""),"",IF(AND(原始資料!AQ379&lt;&gt;"",原始資料!AR379=原始資料!AQ379),N(AO379)+1,1))</f>
        <v/>
      </c>
      <c r="AQ379" s="6">
        <f>IF(OR(原始資料!$A379="",42&gt;設定!$B$3,原始資料!AS379=""),"",IF(AND(原始資料!AR379&lt;&gt;"",原始資料!AS379=原始資料!AR379),N(AP379)+1,1))</f>
        <v/>
      </c>
      <c r="AR379" s="6">
        <f>IF(OR(原始資料!$A379="",43&gt;設定!$B$3,原始資料!AT379=""),"",IF(AND(原始資料!AS379&lt;&gt;"",原始資料!AT379=原始資料!AS379),N(AQ379)+1,1))</f>
        <v/>
      </c>
      <c r="AS379" s="6">
        <f>IF(OR(原始資料!$A379="",44&gt;設定!$B$3,原始資料!AU379=""),"",IF(AND(原始資料!AT379&lt;&gt;"",原始資料!AU379=原始資料!AT379),N(AR379)+1,1))</f>
        <v/>
      </c>
      <c r="AT379" s="6">
        <f>IF(OR(原始資料!$A379="",45&gt;設定!$B$3,原始資料!AV379=""),"",IF(AND(原始資料!AU379&lt;&gt;"",原始資料!AV379=原始資料!AU379),N(AS379)+1,1))</f>
        <v/>
      </c>
      <c r="AU379" s="6">
        <f>IF(OR(原始資料!$A379="",46&gt;設定!$B$3,原始資料!AW379=""),"",IF(AND(原始資料!AV379&lt;&gt;"",原始資料!AW379=原始資料!AV379),N(AT379)+1,1))</f>
        <v/>
      </c>
      <c r="AV379" s="6">
        <f>IF(OR(原始資料!$A379="",47&gt;設定!$B$3,原始資料!AX379=""),"",IF(AND(原始資料!AW379&lt;&gt;"",原始資料!AX379=原始資料!AW379),N(AU379)+1,1))</f>
        <v/>
      </c>
      <c r="AW379" s="6">
        <f>IF(OR(原始資料!$A379="",48&gt;設定!$B$3,原始資料!AY379=""),"",IF(AND(原始資料!AX379&lt;&gt;"",原始資料!AY379=原始資料!AX379),N(AV379)+1,1))</f>
        <v/>
      </c>
      <c r="AX379" s="6">
        <f>IF(OR(原始資料!$A379="",49&gt;設定!$B$3,原始資料!AZ379=""),"",IF(AND(原始資料!AY379&lt;&gt;"",原始資料!AZ379=原始資料!AY379),N(AW379)+1,1))</f>
        <v/>
      </c>
      <c r="AY379" s="6">
        <f>IF(OR(原始資料!$A379="",50&gt;設定!$B$3,原始資料!BA379=""),"",IF(AND(原始資料!AZ379&lt;&gt;"",原始資料!BA379=原始資料!AZ379),N(AX379)+1,1))</f>
        <v/>
      </c>
      <c r="AZ379" s="6">
        <f>IF(OR(原始資料!$A379="",51&gt;設定!$B$3,原始資料!BB379=""),"",IF(AND(原始資料!BA379&lt;&gt;"",原始資料!BB379=原始資料!BA379),N(AY379)+1,1))</f>
        <v/>
      </c>
      <c r="BA379" s="6">
        <f>IF(OR(原始資料!$A379="",52&gt;設定!$B$3,原始資料!BC379=""),"",IF(AND(原始資料!BB379&lt;&gt;"",原始資料!BC379=原始資料!BB379),N(AZ379)+1,1))</f>
        <v/>
      </c>
      <c r="BB379" s="6">
        <f>IF(OR(原始資料!$A379="",53&gt;設定!$B$3,原始資料!BD379=""),"",IF(AND(原始資料!BC379&lt;&gt;"",原始資料!BD379=原始資料!BC379),N(BA379)+1,1))</f>
        <v/>
      </c>
      <c r="BC379" s="6">
        <f>IF(OR(原始資料!$A379="",54&gt;設定!$B$3,原始資料!BE379=""),"",IF(AND(原始資料!BD379&lt;&gt;"",原始資料!BE379=原始資料!BD379),N(BB379)+1,1))</f>
        <v/>
      </c>
      <c r="BD379" s="6">
        <f>IF(OR(原始資料!$A379="",55&gt;設定!$B$3,原始資料!BF379=""),"",IF(AND(原始資料!BE379&lt;&gt;"",原始資料!BF379=原始資料!BE379),N(BC379)+1,1))</f>
        <v/>
      </c>
      <c r="BE379" s="6">
        <f>IF(OR(原始資料!$A379="",56&gt;設定!$B$3,原始資料!BG379=""),"",IF(AND(原始資料!BF379&lt;&gt;"",原始資料!BG379=原始資料!BF379),N(BD379)+1,1))</f>
        <v/>
      </c>
      <c r="BF379" s="6">
        <f>IF(OR(原始資料!$A379="",57&gt;設定!$B$3,原始資料!BH379=""),"",IF(AND(原始資料!BG379&lt;&gt;"",原始資料!BH379=原始資料!BG379),N(BE379)+1,1))</f>
        <v/>
      </c>
      <c r="BG379" s="6">
        <f>IF(OR(原始資料!$A379="",58&gt;設定!$B$3,原始資料!BI379=""),"",IF(AND(原始資料!BH379&lt;&gt;"",原始資料!BI379=原始資料!BH379),N(BF379)+1,1))</f>
        <v/>
      </c>
      <c r="BH379" s="6">
        <f>IF(OR(原始資料!$A379="",59&gt;設定!$B$3,原始資料!BJ379=""),"",IF(AND(原始資料!BI379&lt;&gt;"",原始資料!BJ379=原始資料!BI379),N(BG379)+1,1))</f>
        <v/>
      </c>
      <c r="BI379" s="6">
        <f>IF(OR(原始資料!$A379="",60&gt;設定!$B$3,原始資料!BK379=""),"",IF(AND(原始資料!BJ379&lt;&gt;"",原始資料!BK379=原始資料!BJ379),N(BH379)+1,1))</f>
        <v/>
      </c>
    </row>
    <row r="380">
      <c r="A380" s="6">
        <f>IF(原始資料!$A380="","",原始資料!$A380)</f>
        <v/>
      </c>
      <c r="B380" s="6">
        <f>IF(OR(原始資料!$A380="",1&gt;設定!$B$3,原始資料!D380=""),"",1)</f>
        <v/>
      </c>
      <c r="C380" s="6">
        <f>IF(OR(原始資料!$A380="",2&gt;設定!$B$3,原始資料!E380=""),"",IF(AND(原始資料!D380&lt;&gt;"",原始資料!E380=原始資料!D380),N(B380)+1,1))</f>
        <v/>
      </c>
      <c r="D380" s="6">
        <f>IF(OR(原始資料!$A380="",3&gt;設定!$B$3,原始資料!F380=""),"",IF(AND(原始資料!E380&lt;&gt;"",原始資料!F380=原始資料!E380),N(C380)+1,1))</f>
        <v/>
      </c>
      <c r="E380" s="6">
        <f>IF(OR(原始資料!$A380="",4&gt;設定!$B$3,原始資料!G380=""),"",IF(AND(原始資料!F380&lt;&gt;"",原始資料!G380=原始資料!F380),N(D380)+1,1))</f>
        <v/>
      </c>
      <c r="F380" s="6">
        <f>IF(OR(原始資料!$A380="",5&gt;設定!$B$3,原始資料!H380=""),"",IF(AND(原始資料!G380&lt;&gt;"",原始資料!H380=原始資料!G380),N(E380)+1,1))</f>
        <v/>
      </c>
      <c r="G380" s="6">
        <f>IF(OR(原始資料!$A380="",6&gt;設定!$B$3,原始資料!I380=""),"",IF(AND(原始資料!H380&lt;&gt;"",原始資料!I380=原始資料!H380),N(F380)+1,1))</f>
        <v/>
      </c>
      <c r="H380" s="6">
        <f>IF(OR(原始資料!$A380="",7&gt;設定!$B$3,原始資料!J380=""),"",IF(AND(原始資料!I380&lt;&gt;"",原始資料!J380=原始資料!I380),N(G380)+1,1))</f>
        <v/>
      </c>
      <c r="I380" s="6">
        <f>IF(OR(原始資料!$A380="",8&gt;設定!$B$3,原始資料!K380=""),"",IF(AND(原始資料!J380&lt;&gt;"",原始資料!K380=原始資料!J380),N(H380)+1,1))</f>
        <v/>
      </c>
      <c r="J380" s="6">
        <f>IF(OR(原始資料!$A380="",9&gt;設定!$B$3,原始資料!L380=""),"",IF(AND(原始資料!K380&lt;&gt;"",原始資料!L380=原始資料!K380),N(I380)+1,1))</f>
        <v/>
      </c>
      <c r="K380" s="6">
        <f>IF(OR(原始資料!$A380="",10&gt;設定!$B$3,原始資料!M380=""),"",IF(AND(原始資料!L380&lt;&gt;"",原始資料!M380=原始資料!L380),N(J380)+1,1))</f>
        <v/>
      </c>
      <c r="L380" s="6">
        <f>IF(OR(原始資料!$A380="",11&gt;設定!$B$3,原始資料!N380=""),"",IF(AND(原始資料!M380&lt;&gt;"",原始資料!N380=原始資料!M380),N(K380)+1,1))</f>
        <v/>
      </c>
      <c r="M380" s="6">
        <f>IF(OR(原始資料!$A380="",12&gt;設定!$B$3,原始資料!O380=""),"",IF(AND(原始資料!N380&lt;&gt;"",原始資料!O380=原始資料!N380),N(L380)+1,1))</f>
        <v/>
      </c>
      <c r="N380" s="6">
        <f>IF(OR(原始資料!$A380="",13&gt;設定!$B$3,原始資料!P380=""),"",IF(AND(原始資料!O380&lt;&gt;"",原始資料!P380=原始資料!O380),N(M380)+1,1))</f>
        <v/>
      </c>
      <c r="O380" s="6">
        <f>IF(OR(原始資料!$A380="",14&gt;設定!$B$3,原始資料!Q380=""),"",IF(AND(原始資料!P380&lt;&gt;"",原始資料!Q380=原始資料!P380),N(N380)+1,1))</f>
        <v/>
      </c>
      <c r="P380" s="6">
        <f>IF(OR(原始資料!$A380="",15&gt;設定!$B$3,原始資料!R380=""),"",IF(AND(原始資料!Q380&lt;&gt;"",原始資料!R380=原始資料!Q380),N(O380)+1,1))</f>
        <v/>
      </c>
      <c r="Q380" s="6">
        <f>IF(OR(原始資料!$A380="",16&gt;設定!$B$3,原始資料!S380=""),"",IF(AND(原始資料!R380&lt;&gt;"",原始資料!S380=原始資料!R380),N(P380)+1,1))</f>
        <v/>
      </c>
      <c r="R380" s="6">
        <f>IF(OR(原始資料!$A380="",17&gt;設定!$B$3,原始資料!T380=""),"",IF(AND(原始資料!S380&lt;&gt;"",原始資料!T380=原始資料!S380),N(Q380)+1,1))</f>
        <v/>
      </c>
      <c r="S380" s="6">
        <f>IF(OR(原始資料!$A380="",18&gt;設定!$B$3,原始資料!U380=""),"",IF(AND(原始資料!T380&lt;&gt;"",原始資料!U380=原始資料!T380),N(R380)+1,1))</f>
        <v/>
      </c>
      <c r="T380" s="6">
        <f>IF(OR(原始資料!$A380="",19&gt;設定!$B$3,原始資料!V380=""),"",IF(AND(原始資料!U380&lt;&gt;"",原始資料!V380=原始資料!U380),N(S380)+1,1))</f>
        <v/>
      </c>
      <c r="U380" s="6">
        <f>IF(OR(原始資料!$A380="",20&gt;設定!$B$3,原始資料!W380=""),"",IF(AND(原始資料!V380&lt;&gt;"",原始資料!W380=原始資料!V380),N(T380)+1,1))</f>
        <v/>
      </c>
      <c r="V380" s="6">
        <f>IF(OR(原始資料!$A380="",21&gt;設定!$B$3,原始資料!X380=""),"",IF(AND(原始資料!W380&lt;&gt;"",原始資料!X380=原始資料!W380),N(U380)+1,1))</f>
        <v/>
      </c>
      <c r="W380" s="6">
        <f>IF(OR(原始資料!$A380="",22&gt;設定!$B$3,原始資料!Y380=""),"",IF(AND(原始資料!X380&lt;&gt;"",原始資料!Y380=原始資料!X380),N(V380)+1,1))</f>
        <v/>
      </c>
      <c r="X380" s="6">
        <f>IF(OR(原始資料!$A380="",23&gt;設定!$B$3,原始資料!Z380=""),"",IF(AND(原始資料!Y380&lt;&gt;"",原始資料!Z380=原始資料!Y380),N(W380)+1,1))</f>
        <v/>
      </c>
      <c r="Y380" s="6">
        <f>IF(OR(原始資料!$A380="",24&gt;設定!$B$3,原始資料!AA380=""),"",IF(AND(原始資料!Z380&lt;&gt;"",原始資料!AA380=原始資料!Z380),N(X380)+1,1))</f>
        <v/>
      </c>
      <c r="Z380" s="6">
        <f>IF(OR(原始資料!$A380="",25&gt;設定!$B$3,原始資料!AB380=""),"",IF(AND(原始資料!AA380&lt;&gt;"",原始資料!AB380=原始資料!AA380),N(Y380)+1,1))</f>
        <v/>
      </c>
      <c r="AA380" s="6">
        <f>IF(OR(原始資料!$A380="",26&gt;設定!$B$3,原始資料!AC380=""),"",IF(AND(原始資料!AB380&lt;&gt;"",原始資料!AC380=原始資料!AB380),N(Z380)+1,1))</f>
        <v/>
      </c>
      <c r="AB380" s="6">
        <f>IF(OR(原始資料!$A380="",27&gt;設定!$B$3,原始資料!AD380=""),"",IF(AND(原始資料!AC380&lt;&gt;"",原始資料!AD380=原始資料!AC380),N(AA380)+1,1))</f>
        <v/>
      </c>
      <c r="AC380" s="6">
        <f>IF(OR(原始資料!$A380="",28&gt;設定!$B$3,原始資料!AE380=""),"",IF(AND(原始資料!AD380&lt;&gt;"",原始資料!AE380=原始資料!AD380),N(AB380)+1,1))</f>
        <v/>
      </c>
      <c r="AD380" s="6">
        <f>IF(OR(原始資料!$A380="",29&gt;設定!$B$3,原始資料!AF380=""),"",IF(AND(原始資料!AE380&lt;&gt;"",原始資料!AF380=原始資料!AE380),N(AC380)+1,1))</f>
        <v/>
      </c>
      <c r="AE380" s="6">
        <f>IF(OR(原始資料!$A380="",30&gt;設定!$B$3,原始資料!AG380=""),"",IF(AND(原始資料!AF380&lt;&gt;"",原始資料!AG380=原始資料!AF380),N(AD380)+1,1))</f>
        <v/>
      </c>
      <c r="AF380" s="6">
        <f>IF(OR(原始資料!$A380="",31&gt;設定!$B$3,原始資料!AH380=""),"",IF(AND(原始資料!AG380&lt;&gt;"",原始資料!AH380=原始資料!AG380),N(AE380)+1,1))</f>
        <v/>
      </c>
      <c r="AG380" s="6">
        <f>IF(OR(原始資料!$A380="",32&gt;設定!$B$3,原始資料!AI380=""),"",IF(AND(原始資料!AH380&lt;&gt;"",原始資料!AI380=原始資料!AH380),N(AF380)+1,1))</f>
        <v/>
      </c>
      <c r="AH380" s="6">
        <f>IF(OR(原始資料!$A380="",33&gt;設定!$B$3,原始資料!AJ380=""),"",IF(AND(原始資料!AI380&lt;&gt;"",原始資料!AJ380=原始資料!AI380),N(AG380)+1,1))</f>
        <v/>
      </c>
      <c r="AI380" s="6">
        <f>IF(OR(原始資料!$A380="",34&gt;設定!$B$3,原始資料!AK380=""),"",IF(AND(原始資料!AJ380&lt;&gt;"",原始資料!AK380=原始資料!AJ380),N(AH380)+1,1))</f>
        <v/>
      </c>
      <c r="AJ380" s="6">
        <f>IF(OR(原始資料!$A380="",35&gt;設定!$B$3,原始資料!AL380=""),"",IF(AND(原始資料!AK380&lt;&gt;"",原始資料!AL380=原始資料!AK380),N(AI380)+1,1))</f>
        <v/>
      </c>
      <c r="AK380" s="6">
        <f>IF(OR(原始資料!$A380="",36&gt;設定!$B$3,原始資料!AM380=""),"",IF(AND(原始資料!AL380&lt;&gt;"",原始資料!AM380=原始資料!AL380),N(AJ380)+1,1))</f>
        <v/>
      </c>
      <c r="AL380" s="6">
        <f>IF(OR(原始資料!$A380="",37&gt;設定!$B$3,原始資料!AN380=""),"",IF(AND(原始資料!AM380&lt;&gt;"",原始資料!AN380=原始資料!AM380),N(AK380)+1,1))</f>
        <v/>
      </c>
      <c r="AM380" s="6">
        <f>IF(OR(原始資料!$A380="",38&gt;設定!$B$3,原始資料!AO380=""),"",IF(AND(原始資料!AN380&lt;&gt;"",原始資料!AO380=原始資料!AN380),N(AL380)+1,1))</f>
        <v/>
      </c>
      <c r="AN380" s="6">
        <f>IF(OR(原始資料!$A380="",39&gt;設定!$B$3,原始資料!AP380=""),"",IF(AND(原始資料!AO380&lt;&gt;"",原始資料!AP380=原始資料!AO380),N(AM380)+1,1))</f>
        <v/>
      </c>
      <c r="AO380" s="6">
        <f>IF(OR(原始資料!$A380="",40&gt;設定!$B$3,原始資料!AQ380=""),"",IF(AND(原始資料!AP380&lt;&gt;"",原始資料!AQ380=原始資料!AP380),N(AN380)+1,1))</f>
        <v/>
      </c>
      <c r="AP380" s="6">
        <f>IF(OR(原始資料!$A380="",41&gt;設定!$B$3,原始資料!AR380=""),"",IF(AND(原始資料!AQ380&lt;&gt;"",原始資料!AR380=原始資料!AQ380),N(AO380)+1,1))</f>
        <v/>
      </c>
      <c r="AQ380" s="6">
        <f>IF(OR(原始資料!$A380="",42&gt;設定!$B$3,原始資料!AS380=""),"",IF(AND(原始資料!AR380&lt;&gt;"",原始資料!AS380=原始資料!AR380),N(AP380)+1,1))</f>
        <v/>
      </c>
      <c r="AR380" s="6">
        <f>IF(OR(原始資料!$A380="",43&gt;設定!$B$3,原始資料!AT380=""),"",IF(AND(原始資料!AS380&lt;&gt;"",原始資料!AT380=原始資料!AS380),N(AQ380)+1,1))</f>
        <v/>
      </c>
      <c r="AS380" s="6">
        <f>IF(OR(原始資料!$A380="",44&gt;設定!$B$3,原始資料!AU380=""),"",IF(AND(原始資料!AT380&lt;&gt;"",原始資料!AU380=原始資料!AT380),N(AR380)+1,1))</f>
        <v/>
      </c>
      <c r="AT380" s="6">
        <f>IF(OR(原始資料!$A380="",45&gt;設定!$B$3,原始資料!AV380=""),"",IF(AND(原始資料!AU380&lt;&gt;"",原始資料!AV380=原始資料!AU380),N(AS380)+1,1))</f>
        <v/>
      </c>
      <c r="AU380" s="6">
        <f>IF(OR(原始資料!$A380="",46&gt;設定!$B$3,原始資料!AW380=""),"",IF(AND(原始資料!AV380&lt;&gt;"",原始資料!AW380=原始資料!AV380),N(AT380)+1,1))</f>
        <v/>
      </c>
      <c r="AV380" s="6">
        <f>IF(OR(原始資料!$A380="",47&gt;設定!$B$3,原始資料!AX380=""),"",IF(AND(原始資料!AW380&lt;&gt;"",原始資料!AX380=原始資料!AW380),N(AU380)+1,1))</f>
        <v/>
      </c>
      <c r="AW380" s="6">
        <f>IF(OR(原始資料!$A380="",48&gt;設定!$B$3,原始資料!AY380=""),"",IF(AND(原始資料!AX380&lt;&gt;"",原始資料!AY380=原始資料!AX380),N(AV380)+1,1))</f>
        <v/>
      </c>
      <c r="AX380" s="6">
        <f>IF(OR(原始資料!$A380="",49&gt;設定!$B$3,原始資料!AZ380=""),"",IF(AND(原始資料!AY380&lt;&gt;"",原始資料!AZ380=原始資料!AY380),N(AW380)+1,1))</f>
        <v/>
      </c>
      <c r="AY380" s="6">
        <f>IF(OR(原始資料!$A380="",50&gt;設定!$B$3,原始資料!BA380=""),"",IF(AND(原始資料!AZ380&lt;&gt;"",原始資料!BA380=原始資料!AZ380),N(AX380)+1,1))</f>
        <v/>
      </c>
      <c r="AZ380" s="6">
        <f>IF(OR(原始資料!$A380="",51&gt;設定!$B$3,原始資料!BB380=""),"",IF(AND(原始資料!BA380&lt;&gt;"",原始資料!BB380=原始資料!BA380),N(AY380)+1,1))</f>
        <v/>
      </c>
      <c r="BA380" s="6">
        <f>IF(OR(原始資料!$A380="",52&gt;設定!$B$3,原始資料!BC380=""),"",IF(AND(原始資料!BB380&lt;&gt;"",原始資料!BC380=原始資料!BB380),N(AZ380)+1,1))</f>
        <v/>
      </c>
      <c r="BB380" s="6">
        <f>IF(OR(原始資料!$A380="",53&gt;設定!$B$3,原始資料!BD380=""),"",IF(AND(原始資料!BC380&lt;&gt;"",原始資料!BD380=原始資料!BC380),N(BA380)+1,1))</f>
        <v/>
      </c>
      <c r="BC380" s="6">
        <f>IF(OR(原始資料!$A380="",54&gt;設定!$B$3,原始資料!BE380=""),"",IF(AND(原始資料!BD380&lt;&gt;"",原始資料!BE380=原始資料!BD380),N(BB380)+1,1))</f>
        <v/>
      </c>
      <c r="BD380" s="6">
        <f>IF(OR(原始資料!$A380="",55&gt;設定!$B$3,原始資料!BF380=""),"",IF(AND(原始資料!BE380&lt;&gt;"",原始資料!BF380=原始資料!BE380),N(BC380)+1,1))</f>
        <v/>
      </c>
      <c r="BE380" s="6">
        <f>IF(OR(原始資料!$A380="",56&gt;設定!$B$3,原始資料!BG380=""),"",IF(AND(原始資料!BF380&lt;&gt;"",原始資料!BG380=原始資料!BF380),N(BD380)+1,1))</f>
        <v/>
      </c>
      <c r="BF380" s="6">
        <f>IF(OR(原始資料!$A380="",57&gt;設定!$B$3,原始資料!BH380=""),"",IF(AND(原始資料!BG380&lt;&gt;"",原始資料!BH380=原始資料!BG380),N(BE380)+1,1))</f>
        <v/>
      </c>
      <c r="BG380" s="6">
        <f>IF(OR(原始資料!$A380="",58&gt;設定!$B$3,原始資料!BI380=""),"",IF(AND(原始資料!BH380&lt;&gt;"",原始資料!BI380=原始資料!BH380),N(BF380)+1,1))</f>
        <v/>
      </c>
      <c r="BH380" s="6">
        <f>IF(OR(原始資料!$A380="",59&gt;設定!$B$3,原始資料!BJ380=""),"",IF(AND(原始資料!BI380&lt;&gt;"",原始資料!BJ380=原始資料!BI380),N(BG380)+1,1))</f>
        <v/>
      </c>
      <c r="BI380" s="6">
        <f>IF(OR(原始資料!$A380="",60&gt;設定!$B$3,原始資料!BK380=""),"",IF(AND(原始資料!BJ380&lt;&gt;"",原始資料!BK380=原始資料!BJ380),N(BH380)+1,1))</f>
        <v/>
      </c>
    </row>
    <row r="381">
      <c r="A381" s="6">
        <f>IF(原始資料!$A381="","",原始資料!$A381)</f>
        <v/>
      </c>
      <c r="B381" s="6">
        <f>IF(OR(原始資料!$A381="",1&gt;設定!$B$3,原始資料!D381=""),"",1)</f>
        <v/>
      </c>
      <c r="C381" s="6">
        <f>IF(OR(原始資料!$A381="",2&gt;設定!$B$3,原始資料!E381=""),"",IF(AND(原始資料!D381&lt;&gt;"",原始資料!E381=原始資料!D381),N(B381)+1,1))</f>
        <v/>
      </c>
      <c r="D381" s="6">
        <f>IF(OR(原始資料!$A381="",3&gt;設定!$B$3,原始資料!F381=""),"",IF(AND(原始資料!E381&lt;&gt;"",原始資料!F381=原始資料!E381),N(C381)+1,1))</f>
        <v/>
      </c>
      <c r="E381" s="6">
        <f>IF(OR(原始資料!$A381="",4&gt;設定!$B$3,原始資料!G381=""),"",IF(AND(原始資料!F381&lt;&gt;"",原始資料!G381=原始資料!F381),N(D381)+1,1))</f>
        <v/>
      </c>
      <c r="F381" s="6">
        <f>IF(OR(原始資料!$A381="",5&gt;設定!$B$3,原始資料!H381=""),"",IF(AND(原始資料!G381&lt;&gt;"",原始資料!H381=原始資料!G381),N(E381)+1,1))</f>
        <v/>
      </c>
      <c r="G381" s="6">
        <f>IF(OR(原始資料!$A381="",6&gt;設定!$B$3,原始資料!I381=""),"",IF(AND(原始資料!H381&lt;&gt;"",原始資料!I381=原始資料!H381),N(F381)+1,1))</f>
        <v/>
      </c>
      <c r="H381" s="6">
        <f>IF(OR(原始資料!$A381="",7&gt;設定!$B$3,原始資料!J381=""),"",IF(AND(原始資料!I381&lt;&gt;"",原始資料!J381=原始資料!I381),N(G381)+1,1))</f>
        <v/>
      </c>
      <c r="I381" s="6">
        <f>IF(OR(原始資料!$A381="",8&gt;設定!$B$3,原始資料!K381=""),"",IF(AND(原始資料!J381&lt;&gt;"",原始資料!K381=原始資料!J381),N(H381)+1,1))</f>
        <v/>
      </c>
      <c r="J381" s="6">
        <f>IF(OR(原始資料!$A381="",9&gt;設定!$B$3,原始資料!L381=""),"",IF(AND(原始資料!K381&lt;&gt;"",原始資料!L381=原始資料!K381),N(I381)+1,1))</f>
        <v/>
      </c>
      <c r="K381" s="6">
        <f>IF(OR(原始資料!$A381="",10&gt;設定!$B$3,原始資料!M381=""),"",IF(AND(原始資料!L381&lt;&gt;"",原始資料!M381=原始資料!L381),N(J381)+1,1))</f>
        <v/>
      </c>
      <c r="L381" s="6">
        <f>IF(OR(原始資料!$A381="",11&gt;設定!$B$3,原始資料!N381=""),"",IF(AND(原始資料!M381&lt;&gt;"",原始資料!N381=原始資料!M381),N(K381)+1,1))</f>
        <v/>
      </c>
      <c r="M381" s="6">
        <f>IF(OR(原始資料!$A381="",12&gt;設定!$B$3,原始資料!O381=""),"",IF(AND(原始資料!N381&lt;&gt;"",原始資料!O381=原始資料!N381),N(L381)+1,1))</f>
        <v/>
      </c>
      <c r="N381" s="6">
        <f>IF(OR(原始資料!$A381="",13&gt;設定!$B$3,原始資料!P381=""),"",IF(AND(原始資料!O381&lt;&gt;"",原始資料!P381=原始資料!O381),N(M381)+1,1))</f>
        <v/>
      </c>
      <c r="O381" s="6">
        <f>IF(OR(原始資料!$A381="",14&gt;設定!$B$3,原始資料!Q381=""),"",IF(AND(原始資料!P381&lt;&gt;"",原始資料!Q381=原始資料!P381),N(N381)+1,1))</f>
        <v/>
      </c>
      <c r="P381" s="6">
        <f>IF(OR(原始資料!$A381="",15&gt;設定!$B$3,原始資料!R381=""),"",IF(AND(原始資料!Q381&lt;&gt;"",原始資料!R381=原始資料!Q381),N(O381)+1,1))</f>
        <v/>
      </c>
      <c r="Q381" s="6">
        <f>IF(OR(原始資料!$A381="",16&gt;設定!$B$3,原始資料!S381=""),"",IF(AND(原始資料!R381&lt;&gt;"",原始資料!S381=原始資料!R381),N(P381)+1,1))</f>
        <v/>
      </c>
      <c r="R381" s="6">
        <f>IF(OR(原始資料!$A381="",17&gt;設定!$B$3,原始資料!T381=""),"",IF(AND(原始資料!S381&lt;&gt;"",原始資料!T381=原始資料!S381),N(Q381)+1,1))</f>
        <v/>
      </c>
      <c r="S381" s="6">
        <f>IF(OR(原始資料!$A381="",18&gt;設定!$B$3,原始資料!U381=""),"",IF(AND(原始資料!T381&lt;&gt;"",原始資料!U381=原始資料!T381),N(R381)+1,1))</f>
        <v/>
      </c>
      <c r="T381" s="6">
        <f>IF(OR(原始資料!$A381="",19&gt;設定!$B$3,原始資料!V381=""),"",IF(AND(原始資料!U381&lt;&gt;"",原始資料!V381=原始資料!U381),N(S381)+1,1))</f>
        <v/>
      </c>
      <c r="U381" s="6">
        <f>IF(OR(原始資料!$A381="",20&gt;設定!$B$3,原始資料!W381=""),"",IF(AND(原始資料!V381&lt;&gt;"",原始資料!W381=原始資料!V381),N(T381)+1,1))</f>
        <v/>
      </c>
      <c r="V381" s="6">
        <f>IF(OR(原始資料!$A381="",21&gt;設定!$B$3,原始資料!X381=""),"",IF(AND(原始資料!W381&lt;&gt;"",原始資料!X381=原始資料!W381),N(U381)+1,1))</f>
        <v/>
      </c>
      <c r="W381" s="6">
        <f>IF(OR(原始資料!$A381="",22&gt;設定!$B$3,原始資料!Y381=""),"",IF(AND(原始資料!X381&lt;&gt;"",原始資料!Y381=原始資料!X381),N(V381)+1,1))</f>
        <v/>
      </c>
      <c r="X381" s="6">
        <f>IF(OR(原始資料!$A381="",23&gt;設定!$B$3,原始資料!Z381=""),"",IF(AND(原始資料!Y381&lt;&gt;"",原始資料!Z381=原始資料!Y381),N(W381)+1,1))</f>
        <v/>
      </c>
      <c r="Y381" s="6">
        <f>IF(OR(原始資料!$A381="",24&gt;設定!$B$3,原始資料!AA381=""),"",IF(AND(原始資料!Z381&lt;&gt;"",原始資料!AA381=原始資料!Z381),N(X381)+1,1))</f>
        <v/>
      </c>
      <c r="Z381" s="6">
        <f>IF(OR(原始資料!$A381="",25&gt;設定!$B$3,原始資料!AB381=""),"",IF(AND(原始資料!AA381&lt;&gt;"",原始資料!AB381=原始資料!AA381),N(Y381)+1,1))</f>
        <v/>
      </c>
      <c r="AA381" s="6">
        <f>IF(OR(原始資料!$A381="",26&gt;設定!$B$3,原始資料!AC381=""),"",IF(AND(原始資料!AB381&lt;&gt;"",原始資料!AC381=原始資料!AB381),N(Z381)+1,1))</f>
        <v/>
      </c>
      <c r="AB381" s="6">
        <f>IF(OR(原始資料!$A381="",27&gt;設定!$B$3,原始資料!AD381=""),"",IF(AND(原始資料!AC381&lt;&gt;"",原始資料!AD381=原始資料!AC381),N(AA381)+1,1))</f>
        <v/>
      </c>
      <c r="AC381" s="6">
        <f>IF(OR(原始資料!$A381="",28&gt;設定!$B$3,原始資料!AE381=""),"",IF(AND(原始資料!AD381&lt;&gt;"",原始資料!AE381=原始資料!AD381),N(AB381)+1,1))</f>
        <v/>
      </c>
      <c r="AD381" s="6">
        <f>IF(OR(原始資料!$A381="",29&gt;設定!$B$3,原始資料!AF381=""),"",IF(AND(原始資料!AE381&lt;&gt;"",原始資料!AF381=原始資料!AE381),N(AC381)+1,1))</f>
        <v/>
      </c>
      <c r="AE381" s="6">
        <f>IF(OR(原始資料!$A381="",30&gt;設定!$B$3,原始資料!AG381=""),"",IF(AND(原始資料!AF381&lt;&gt;"",原始資料!AG381=原始資料!AF381),N(AD381)+1,1))</f>
        <v/>
      </c>
      <c r="AF381" s="6">
        <f>IF(OR(原始資料!$A381="",31&gt;設定!$B$3,原始資料!AH381=""),"",IF(AND(原始資料!AG381&lt;&gt;"",原始資料!AH381=原始資料!AG381),N(AE381)+1,1))</f>
        <v/>
      </c>
      <c r="AG381" s="6">
        <f>IF(OR(原始資料!$A381="",32&gt;設定!$B$3,原始資料!AI381=""),"",IF(AND(原始資料!AH381&lt;&gt;"",原始資料!AI381=原始資料!AH381),N(AF381)+1,1))</f>
        <v/>
      </c>
      <c r="AH381" s="6">
        <f>IF(OR(原始資料!$A381="",33&gt;設定!$B$3,原始資料!AJ381=""),"",IF(AND(原始資料!AI381&lt;&gt;"",原始資料!AJ381=原始資料!AI381),N(AG381)+1,1))</f>
        <v/>
      </c>
      <c r="AI381" s="6">
        <f>IF(OR(原始資料!$A381="",34&gt;設定!$B$3,原始資料!AK381=""),"",IF(AND(原始資料!AJ381&lt;&gt;"",原始資料!AK381=原始資料!AJ381),N(AH381)+1,1))</f>
        <v/>
      </c>
      <c r="AJ381" s="6">
        <f>IF(OR(原始資料!$A381="",35&gt;設定!$B$3,原始資料!AL381=""),"",IF(AND(原始資料!AK381&lt;&gt;"",原始資料!AL381=原始資料!AK381),N(AI381)+1,1))</f>
        <v/>
      </c>
      <c r="AK381" s="6">
        <f>IF(OR(原始資料!$A381="",36&gt;設定!$B$3,原始資料!AM381=""),"",IF(AND(原始資料!AL381&lt;&gt;"",原始資料!AM381=原始資料!AL381),N(AJ381)+1,1))</f>
        <v/>
      </c>
      <c r="AL381" s="6">
        <f>IF(OR(原始資料!$A381="",37&gt;設定!$B$3,原始資料!AN381=""),"",IF(AND(原始資料!AM381&lt;&gt;"",原始資料!AN381=原始資料!AM381),N(AK381)+1,1))</f>
        <v/>
      </c>
      <c r="AM381" s="6">
        <f>IF(OR(原始資料!$A381="",38&gt;設定!$B$3,原始資料!AO381=""),"",IF(AND(原始資料!AN381&lt;&gt;"",原始資料!AO381=原始資料!AN381),N(AL381)+1,1))</f>
        <v/>
      </c>
      <c r="AN381" s="6">
        <f>IF(OR(原始資料!$A381="",39&gt;設定!$B$3,原始資料!AP381=""),"",IF(AND(原始資料!AO381&lt;&gt;"",原始資料!AP381=原始資料!AO381),N(AM381)+1,1))</f>
        <v/>
      </c>
      <c r="AO381" s="6">
        <f>IF(OR(原始資料!$A381="",40&gt;設定!$B$3,原始資料!AQ381=""),"",IF(AND(原始資料!AP381&lt;&gt;"",原始資料!AQ381=原始資料!AP381),N(AN381)+1,1))</f>
        <v/>
      </c>
      <c r="AP381" s="6">
        <f>IF(OR(原始資料!$A381="",41&gt;設定!$B$3,原始資料!AR381=""),"",IF(AND(原始資料!AQ381&lt;&gt;"",原始資料!AR381=原始資料!AQ381),N(AO381)+1,1))</f>
        <v/>
      </c>
      <c r="AQ381" s="6">
        <f>IF(OR(原始資料!$A381="",42&gt;設定!$B$3,原始資料!AS381=""),"",IF(AND(原始資料!AR381&lt;&gt;"",原始資料!AS381=原始資料!AR381),N(AP381)+1,1))</f>
        <v/>
      </c>
      <c r="AR381" s="6">
        <f>IF(OR(原始資料!$A381="",43&gt;設定!$B$3,原始資料!AT381=""),"",IF(AND(原始資料!AS381&lt;&gt;"",原始資料!AT381=原始資料!AS381),N(AQ381)+1,1))</f>
        <v/>
      </c>
      <c r="AS381" s="6">
        <f>IF(OR(原始資料!$A381="",44&gt;設定!$B$3,原始資料!AU381=""),"",IF(AND(原始資料!AT381&lt;&gt;"",原始資料!AU381=原始資料!AT381),N(AR381)+1,1))</f>
        <v/>
      </c>
      <c r="AT381" s="6">
        <f>IF(OR(原始資料!$A381="",45&gt;設定!$B$3,原始資料!AV381=""),"",IF(AND(原始資料!AU381&lt;&gt;"",原始資料!AV381=原始資料!AU381),N(AS381)+1,1))</f>
        <v/>
      </c>
      <c r="AU381" s="6">
        <f>IF(OR(原始資料!$A381="",46&gt;設定!$B$3,原始資料!AW381=""),"",IF(AND(原始資料!AV381&lt;&gt;"",原始資料!AW381=原始資料!AV381),N(AT381)+1,1))</f>
        <v/>
      </c>
      <c r="AV381" s="6">
        <f>IF(OR(原始資料!$A381="",47&gt;設定!$B$3,原始資料!AX381=""),"",IF(AND(原始資料!AW381&lt;&gt;"",原始資料!AX381=原始資料!AW381),N(AU381)+1,1))</f>
        <v/>
      </c>
      <c r="AW381" s="6">
        <f>IF(OR(原始資料!$A381="",48&gt;設定!$B$3,原始資料!AY381=""),"",IF(AND(原始資料!AX381&lt;&gt;"",原始資料!AY381=原始資料!AX381),N(AV381)+1,1))</f>
        <v/>
      </c>
      <c r="AX381" s="6">
        <f>IF(OR(原始資料!$A381="",49&gt;設定!$B$3,原始資料!AZ381=""),"",IF(AND(原始資料!AY381&lt;&gt;"",原始資料!AZ381=原始資料!AY381),N(AW381)+1,1))</f>
        <v/>
      </c>
      <c r="AY381" s="6">
        <f>IF(OR(原始資料!$A381="",50&gt;設定!$B$3,原始資料!BA381=""),"",IF(AND(原始資料!AZ381&lt;&gt;"",原始資料!BA381=原始資料!AZ381),N(AX381)+1,1))</f>
        <v/>
      </c>
      <c r="AZ381" s="6">
        <f>IF(OR(原始資料!$A381="",51&gt;設定!$B$3,原始資料!BB381=""),"",IF(AND(原始資料!BA381&lt;&gt;"",原始資料!BB381=原始資料!BA381),N(AY381)+1,1))</f>
        <v/>
      </c>
      <c r="BA381" s="6">
        <f>IF(OR(原始資料!$A381="",52&gt;設定!$B$3,原始資料!BC381=""),"",IF(AND(原始資料!BB381&lt;&gt;"",原始資料!BC381=原始資料!BB381),N(AZ381)+1,1))</f>
        <v/>
      </c>
      <c r="BB381" s="6">
        <f>IF(OR(原始資料!$A381="",53&gt;設定!$B$3,原始資料!BD381=""),"",IF(AND(原始資料!BC381&lt;&gt;"",原始資料!BD381=原始資料!BC381),N(BA381)+1,1))</f>
        <v/>
      </c>
      <c r="BC381" s="6">
        <f>IF(OR(原始資料!$A381="",54&gt;設定!$B$3,原始資料!BE381=""),"",IF(AND(原始資料!BD381&lt;&gt;"",原始資料!BE381=原始資料!BD381),N(BB381)+1,1))</f>
        <v/>
      </c>
      <c r="BD381" s="6">
        <f>IF(OR(原始資料!$A381="",55&gt;設定!$B$3,原始資料!BF381=""),"",IF(AND(原始資料!BE381&lt;&gt;"",原始資料!BF381=原始資料!BE381),N(BC381)+1,1))</f>
        <v/>
      </c>
      <c r="BE381" s="6">
        <f>IF(OR(原始資料!$A381="",56&gt;設定!$B$3,原始資料!BG381=""),"",IF(AND(原始資料!BF381&lt;&gt;"",原始資料!BG381=原始資料!BF381),N(BD381)+1,1))</f>
        <v/>
      </c>
      <c r="BF381" s="6">
        <f>IF(OR(原始資料!$A381="",57&gt;設定!$B$3,原始資料!BH381=""),"",IF(AND(原始資料!BG381&lt;&gt;"",原始資料!BH381=原始資料!BG381),N(BE381)+1,1))</f>
        <v/>
      </c>
      <c r="BG381" s="6">
        <f>IF(OR(原始資料!$A381="",58&gt;設定!$B$3,原始資料!BI381=""),"",IF(AND(原始資料!BH381&lt;&gt;"",原始資料!BI381=原始資料!BH381),N(BF381)+1,1))</f>
        <v/>
      </c>
      <c r="BH381" s="6">
        <f>IF(OR(原始資料!$A381="",59&gt;設定!$B$3,原始資料!BJ381=""),"",IF(AND(原始資料!BI381&lt;&gt;"",原始資料!BJ381=原始資料!BI381),N(BG381)+1,1))</f>
        <v/>
      </c>
      <c r="BI381" s="6">
        <f>IF(OR(原始資料!$A381="",60&gt;設定!$B$3,原始資料!BK381=""),"",IF(AND(原始資料!BJ381&lt;&gt;"",原始資料!BK381=原始資料!BJ381),N(BH381)+1,1))</f>
        <v/>
      </c>
    </row>
    <row r="382">
      <c r="A382" s="6">
        <f>IF(原始資料!$A382="","",原始資料!$A382)</f>
        <v/>
      </c>
      <c r="B382" s="6">
        <f>IF(OR(原始資料!$A382="",1&gt;設定!$B$3,原始資料!D382=""),"",1)</f>
        <v/>
      </c>
      <c r="C382" s="6">
        <f>IF(OR(原始資料!$A382="",2&gt;設定!$B$3,原始資料!E382=""),"",IF(AND(原始資料!D382&lt;&gt;"",原始資料!E382=原始資料!D382),N(B382)+1,1))</f>
        <v/>
      </c>
      <c r="D382" s="6">
        <f>IF(OR(原始資料!$A382="",3&gt;設定!$B$3,原始資料!F382=""),"",IF(AND(原始資料!E382&lt;&gt;"",原始資料!F382=原始資料!E382),N(C382)+1,1))</f>
        <v/>
      </c>
      <c r="E382" s="6">
        <f>IF(OR(原始資料!$A382="",4&gt;設定!$B$3,原始資料!G382=""),"",IF(AND(原始資料!F382&lt;&gt;"",原始資料!G382=原始資料!F382),N(D382)+1,1))</f>
        <v/>
      </c>
      <c r="F382" s="6">
        <f>IF(OR(原始資料!$A382="",5&gt;設定!$B$3,原始資料!H382=""),"",IF(AND(原始資料!G382&lt;&gt;"",原始資料!H382=原始資料!G382),N(E382)+1,1))</f>
        <v/>
      </c>
      <c r="G382" s="6">
        <f>IF(OR(原始資料!$A382="",6&gt;設定!$B$3,原始資料!I382=""),"",IF(AND(原始資料!H382&lt;&gt;"",原始資料!I382=原始資料!H382),N(F382)+1,1))</f>
        <v/>
      </c>
      <c r="H382" s="6">
        <f>IF(OR(原始資料!$A382="",7&gt;設定!$B$3,原始資料!J382=""),"",IF(AND(原始資料!I382&lt;&gt;"",原始資料!J382=原始資料!I382),N(G382)+1,1))</f>
        <v/>
      </c>
      <c r="I382" s="6">
        <f>IF(OR(原始資料!$A382="",8&gt;設定!$B$3,原始資料!K382=""),"",IF(AND(原始資料!J382&lt;&gt;"",原始資料!K382=原始資料!J382),N(H382)+1,1))</f>
        <v/>
      </c>
      <c r="J382" s="6">
        <f>IF(OR(原始資料!$A382="",9&gt;設定!$B$3,原始資料!L382=""),"",IF(AND(原始資料!K382&lt;&gt;"",原始資料!L382=原始資料!K382),N(I382)+1,1))</f>
        <v/>
      </c>
      <c r="K382" s="6">
        <f>IF(OR(原始資料!$A382="",10&gt;設定!$B$3,原始資料!M382=""),"",IF(AND(原始資料!L382&lt;&gt;"",原始資料!M382=原始資料!L382),N(J382)+1,1))</f>
        <v/>
      </c>
      <c r="L382" s="6">
        <f>IF(OR(原始資料!$A382="",11&gt;設定!$B$3,原始資料!N382=""),"",IF(AND(原始資料!M382&lt;&gt;"",原始資料!N382=原始資料!M382),N(K382)+1,1))</f>
        <v/>
      </c>
      <c r="M382" s="6">
        <f>IF(OR(原始資料!$A382="",12&gt;設定!$B$3,原始資料!O382=""),"",IF(AND(原始資料!N382&lt;&gt;"",原始資料!O382=原始資料!N382),N(L382)+1,1))</f>
        <v/>
      </c>
      <c r="N382" s="6">
        <f>IF(OR(原始資料!$A382="",13&gt;設定!$B$3,原始資料!P382=""),"",IF(AND(原始資料!O382&lt;&gt;"",原始資料!P382=原始資料!O382),N(M382)+1,1))</f>
        <v/>
      </c>
      <c r="O382" s="6">
        <f>IF(OR(原始資料!$A382="",14&gt;設定!$B$3,原始資料!Q382=""),"",IF(AND(原始資料!P382&lt;&gt;"",原始資料!Q382=原始資料!P382),N(N382)+1,1))</f>
        <v/>
      </c>
      <c r="P382" s="6">
        <f>IF(OR(原始資料!$A382="",15&gt;設定!$B$3,原始資料!R382=""),"",IF(AND(原始資料!Q382&lt;&gt;"",原始資料!R382=原始資料!Q382),N(O382)+1,1))</f>
        <v/>
      </c>
      <c r="Q382" s="6">
        <f>IF(OR(原始資料!$A382="",16&gt;設定!$B$3,原始資料!S382=""),"",IF(AND(原始資料!R382&lt;&gt;"",原始資料!S382=原始資料!R382),N(P382)+1,1))</f>
        <v/>
      </c>
      <c r="R382" s="6">
        <f>IF(OR(原始資料!$A382="",17&gt;設定!$B$3,原始資料!T382=""),"",IF(AND(原始資料!S382&lt;&gt;"",原始資料!T382=原始資料!S382),N(Q382)+1,1))</f>
        <v/>
      </c>
      <c r="S382" s="6">
        <f>IF(OR(原始資料!$A382="",18&gt;設定!$B$3,原始資料!U382=""),"",IF(AND(原始資料!T382&lt;&gt;"",原始資料!U382=原始資料!T382),N(R382)+1,1))</f>
        <v/>
      </c>
      <c r="T382" s="6">
        <f>IF(OR(原始資料!$A382="",19&gt;設定!$B$3,原始資料!V382=""),"",IF(AND(原始資料!U382&lt;&gt;"",原始資料!V382=原始資料!U382),N(S382)+1,1))</f>
        <v/>
      </c>
      <c r="U382" s="6">
        <f>IF(OR(原始資料!$A382="",20&gt;設定!$B$3,原始資料!W382=""),"",IF(AND(原始資料!V382&lt;&gt;"",原始資料!W382=原始資料!V382),N(T382)+1,1))</f>
        <v/>
      </c>
      <c r="V382" s="6">
        <f>IF(OR(原始資料!$A382="",21&gt;設定!$B$3,原始資料!X382=""),"",IF(AND(原始資料!W382&lt;&gt;"",原始資料!X382=原始資料!W382),N(U382)+1,1))</f>
        <v/>
      </c>
      <c r="W382" s="6">
        <f>IF(OR(原始資料!$A382="",22&gt;設定!$B$3,原始資料!Y382=""),"",IF(AND(原始資料!X382&lt;&gt;"",原始資料!Y382=原始資料!X382),N(V382)+1,1))</f>
        <v/>
      </c>
      <c r="X382" s="6">
        <f>IF(OR(原始資料!$A382="",23&gt;設定!$B$3,原始資料!Z382=""),"",IF(AND(原始資料!Y382&lt;&gt;"",原始資料!Z382=原始資料!Y382),N(W382)+1,1))</f>
        <v/>
      </c>
      <c r="Y382" s="6">
        <f>IF(OR(原始資料!$A382="",24&gt;設定!$B$3,原始資料!AA382=""),"",IF(AND(原始資料!Z382&lt;&gt;"",原始資料!AA382=原始資料!Z382),N(X382)+1,1))</f>
        <v/>
      </c>
      <c r="Z382" s="6">
        <f>IF(OR(原始資料!$A382="",25&gt;設定!$B$3,原始資料!AB382=""),"",IF(AND(原始資料!AA382&lt;&gt;"",原始資料!AB382=原始資料!AA382),N(Y382)+1,1))</f>
        <v/>
      </c>
      <c r="AA382" s="6">
        <f>IF(OR(原始資料!$A382="",26&gt;設定!$B$3,原始資料!AC382=""),"",IF(AND(原始資料!AB382&lt;&gt;"",原始資料!AC382=原始資料!AB382),N(Z382)+1,1))</f>
        <v/>
      </c>
      <c r="AB382" s="6">
        <f>IF(OR(原始資料!$A382="",27&gt;設定!$B$3,原始資料!AD382=""),"",IF(AND(原始資料!AC382&lt;&gt;"",原始資料!AD382=原始資料!AC382),N(AA382)+1,1))</f>
        <v/>
      </c>
      <c r="AC382" s="6">
        <f>IF(OR(原始資料!$A382="",28&gt;設定!$B$3,原始資料!AE382=""),"",IF(AND(原始資料!AD382&lt;&gt;"",原始資料!AE382=原始資料!AD382),N(AB382)+1,1))</f>
        <v/>
      </c>
      <c r="AD382" s="6">
        <f>IF(OR(原始資料!$A382="",29&gt;設定!$B$3,原始資料!AF382=""),"",IF(AND(原始資料!AE382&lt;&gt;"",原始資料!AF382=原始資料!AE382),N(AC382)+1,1))</f>
        <v/>
      </c>
      <c r="AE382" s="6">
        <f>IF(OR(原始資料!$A382="",30&gt;設定!$B$3,原始資料!AG382=""),"",IF(AND(原始資料!AF382&lt;&gt;"",原始資料!AG382=原始資料!AF382),N(AD382)+1,1))</f>
        <v/>
      </c>
      <c r="AF382" s="6">
        <f>IF(OR(原始資料!$A382="",31&gt;設定!$B$3,原始資料!AH382=""),"",IF(AND(原始資料!AG382&lt;&gt;"",原始資料!AH382=原始資料!AG382),N(AE382)+1,1))</f>
        <v/>
      </c>
      <c r="AG382" s="6">
        <f>IF(OR(原始資料!$A382="",32&gt;設定!$B$3,原始資料!AI382=""),"",IF(AND(原始資料!AH382&lt;&gt;"",原始資料!AI382=原始資料!AH382),N(AF382)+1,1))</f>
        <v/>
      </c>
      <c r="AH382" s="6">
        <f>IF(OR(原始資料!$A382="",33&gt;設定!$B$3,原始資料!AJ382=""),"",IF(AND(原始資料!AI382&lt;&gt;"",原始資料!AJ382=原始資料!AI382),N(AG382)+1,1))</f>
        <v/>
      </c>
      <c r="AI382" s="6">
        <f>IF(OR(原始資料!$A382="",34&gt;設定!$B$3,原始資料!AK382=""),"",IF(AND(原始資料!AJ382&lt;&gt;"",原始資料!AK382=原始資料!AJ382),N(AH382)+1,1))</f>
        <v/>
      </c>
      <c r="AJ382" s="6">
        <f>IF(OR(原始資料!$A382="",35&gt;設定!$B$3,原始資料!AL382=""),"",IF(AND(原始資料!AK382&lt;&gt;"",原始資料!AL382=原始資料!AK382),N(AI382)+1,1))</f>
        <v/>
      </c>
      <c r="AK382" s="6">
        <f>IF(OR(原始資料!$A382="",36&gt;設定!$B$3,原始資料!AM382=""),"",IF(AND(原始資料!AL382&lt;&gt;"",原始資料!AM382=原始資料!AL382),N(AJ382)+1,1))</f>
        <v/>
      </c>
      <c r="AL382" s="6">
        <f>IF(OR(原始資料!$A382="",37&gt;設定!$B$3,原始資料!AN382=""),"",IF(AND(原始資料!AM382&lt;&gt;"",原始資料!AN382=原始資料!AM382),N(AK382)+1,1))</f>
        <v/>
      </c>
      <c r="AM382" s="6">
        <f>IF(OR(原始資料!$A382="",38&gt;設定!$B$3,原始資料!AO382=""),"",IF(AND(原始資料!AN382&lt;&gt;"",原始資料!AO382=原始資料!AN382),N(AL382)+1,1))</f>
        <v/>
      </c>
      <c r="AN382" s="6">
        <f>IF(OR(原始資料!$A382="",39&gt;設定!$B$3,原始資料!AP382=""),"",IF(AND(原始資料!AO382&lt;&gt;"",原始資料!AP382=原始資料!AO382),N(AM382)+1,1))</f>
        <v/>
      </c>
      <c r="AO382" s="6">
        <f>IF(OR(原始資料!$A382="",40&gt;設定!$B$3,原始資料!AQ382=""),"",IF(AND(原始資料!AP382&lt;&gt;"",原始資料!AQ382=原始資料!AP382),N(AN382)+1,1))</f>
        <v/>
      </c>
      <c r="AP382" s="6">
        <f>IF(OR(原始資料!$A382="",41&gt;設定!$B$3,原始資料!AR382=""),"",IF(AND(原始資料!AQ382&lt;&gt;"",原始資料!AR382=原始資料!AQ382),N(AO382)+1,1))</f>
        <v/>
      </c>
      <c r="AQ382" s="6">
        <f>IF(OR(原始資料!$A382="",42&gt;設定!$B$3,原始資料!AS382=""),"",IF(AND(原始資料!AR382&lt;&gt;"",原始資料!AS382=原始資料!AR382),N(AP382)+1,1))</f>
        <v/>
      </c>
      <c r="AR382" s="6">
        <f>IF(OR(原始資料!$A382="",43&gt;設定!$B$3,原始資料!AT382=""),"",IF(AND(原始資料!AS382&lt;&gt;"",原始資料!AT382=原始資料!AS382),N(AQ382)+1,1))</f>
        <v/>
      </c>
      <c r="AS382" s="6">
        <f>IF(OR(原始資料!$A382="",44&gt;設定!$B$3,原始資料!AU382=""),"",IF(AND(原始資料!AT382&lt;&gt;"",原始資料!AU382=原始資料!AT382),N(AR382)+1,1))</f>
        <v/>
      </c>
      <c r="AT382" s="6">
        <f>IF(OR(原始資料!$A382="",45&gt;設定!$B$3,原始資料!AV382=""),"",IF(AND(原始資料!AU382&lt;&gt;"",原始資料!AV382=原始資料!AU382),N(AS382)+1,1))</f>
        <v/>
      </c>
      <c r="AU382" s="6">
        <f>IF(OR(原始資料!$A382="",46&gt;設定!$B$3,原始資料!AW382=""),"",IF(AND(原始資料!AV382&lt;&gt;"",原始資料!AW382=原始資料!AV382),N(AT382)+1,1))</f>
        <v/>
      </c>
      <c r="AV382" s="6">
        <f>IF(OR(原始資料!$A382="",47&gt;設定!$B$3,原始資料!AX382=""),"",IF(AND(原始資料!AW382&lt;&gt;"",原始資料!AX382=原始資料!AW382),N(AU382)+1,1))</f>
        <v/>
      </c>
      <c r="AW382" s="6">
        <f>IF(OR(原始資料!$A382="",48&gt;設定!$B$3,原始資料!AY382=""),"",IF(AND(原始資料!AX382&lt;&gt;"",原始資料!AY382=原始資料!AX382),N(AV382)+1,1))</f>
        <v/>
      </c>
      <c r="AX382" s="6">
        <f>IF(OR(原始資料!$A382="",49&gt;設定!$B$3,原始資料!AZ382=""),"",IF(AND(原始資料!AY382&lt;&gt;"",原始資料!AZ382=原始資料!AY382),N(AW382)+1,1))</f>
        <v/>
      </c>
      <c r="AY382" s="6">
        <f>IF(OR(原始資料!$A382="",50&gt;設定!$B$3,原始資料!BA382=""),"",IF(AND(原始資料!AZ382&lt;&gt;"",原始資料!BA382=原始資料!AZ382),N(AX382)+1,1))</f>
        <v/>
      </c>
      <c r="AZ382" s="6">
        <f>IF(OR(原始資料!$A382="",51&gt;設定!$B$3,原始資料!BB382=""),"",IF(AND(原始資料!BA382&lt;&gt;"",原始資料!BB382=原始資料!BA382),N(AY382)+1,1))</f>
        <v/>
      </c>
      <c r="BA382" s="6">
        <f>IF(OR(原始資料!$A382="",52&gt;設定!$B$3,原始資料!BC382=""),"",IF(AND(原始資料!BB382&lt;&gt;"",原始資料!BC382=原始資料!BB382),N(AZ382)+1,1))</f>
        <v/>
      </c>
      <c r="BB382" s="6">
        <f>IF(OR(原始資料!$A382="",53&gt;設定!$B$3,原始資料!BD382=""),"",IF(AND(原始資料!BC382&lt;&gt;"",原始資料!BD382=原始資料!BC382),N(BA382)+1,1))</f>
        <v/>
      </c>
      <c r="BC382" s="6">
        <f>IF(OR(原始資料!$A382="",54&gt;設定!$B$3,原始資料!BE382=""),"",IF(AND(原始資料!BD382&lt;&gt;"",原始資料!BE382=原始資料!BD382),N(BB382)+1,1))</f>
        <v/>
      </c>
      <c r="BD382" s="6">
        <f>IF(OR(原始資料!$A382="",55&gt;設定!$B$3,原始資料!BF382=""),"",IF(AND(原始資料!BE382&lt;&gt;"",原始資料!BF382=原始資料!BE382),N(BC382)+1,1))</f>
        <v/>
      </c>
      <c r="BE382" s="6">
        <f>IF(OR(原始資料!$A382="",56&gt;設定!$B$3,原始資料!BG382=""),"",IF(AND(原始資料!BF382&lt;&gt;"",原始資料!BG382=原始資料!BF382),N(BD382)+1,1))</f>
        <v/>
      </c>
      <c r="BF382" s="6">
        <f>IF(OR(原始資料!$A382="",57&gt;設定!$B$3,原始資料!BH382=""),"",IF(AND(原始資料!BG382&lt;&gt;"",原始資料!BH382=原始資料!BG382),N(BE382)+1,1))</f>
        <v/>
      </c>
      <c r="BG382" s="6">
        <f>IF(OR(原始資料!$A382="",58&gt;設定!$B$3,原始資料!BI382=""),"",IF(AND(原始資料!BH382&lt;&gt;"",原始資料!BI382=原始資料!BH382),N(BF382)+1,1))</f>
        <v/>
      </c>
      <c r="BH382" s="6">
        <f>IF(OR(原始資料!$A382="",59&gt;設定!$B$3,原始資料!BJ382=""),"",IF(AND(原始資料!BI382&lt;&gt;"",原始資料!BJ382=原始資料!BI382),N(BG382)+1,1))</f>
        <v/>
      </c>
      <c r="BI382" s="6">
        <f>IF(OR(原始資料!$A382="",60&gt;設定!$B$3,原始資料!BK382=""),"",IF(AND(原始資料!BJ382&lt;&gt;"",原始資料!BK382=原始資料!BJ382),N(BH382)+1,1))</f>
        <v/>
      </c>
    </row>
    <row r="383">
      <c r="A383" s="6">
        <f>IF(原始資料!$A383="","",原始資料!$A383)</f>
        <v/>
      </c>
      <c r="B383" s="6">
        <f>IF(OR(原始資料!$A383="",1&gt;設定!$B$3,原始資料!D383=""),"",1)</f>
        <v/>
      </c>
      <c r="C383" s="6">
        <f>IF(OR(原始資料!$A383="",2&gt;設定!$B$3,原始資料!E383=""),"",IF(AND(原始資料!D383&lt;&gt;"",原始資料!E383=原始資料!D383),N(B383)+1,1))</f>
        <v/>
      </c>
      <c r="D383" s="6">
        <f>IF(OR(原始資料!$A383="",3&gt;設定!$B$3,原始資料!F383=""),"",IF(AND(原始資料!E383&lt;&gt;"",原始資料!F383=原始資料!E383),N(C383)+1,1))</f>
        <v/>
      </c>
      <c r="E383" s="6">
        <f>IF(OR(原始資料!$A383="",4&gt;設定!$B$3,原始資料!G383=""),"",IF(AND(原始資料!F383&lt;&gt;"",原始資料!G383=原始資料!F383),N(D383)+1,1))</f>
        <v/>
      </c>
      <c r="F383" s="6">
        <f>IF(OR(原始資料!$A383="",5&gt;設定!$B$3,原始資料!H383=""),"",IF(AND(原始資料!G383&lt;&gt;"",原始資料!H383=原始資料!G383),N(E383)+1,1))</f>
        <v/>
      </c>
      <c r="G383" s="6">
        <f>IF(OR(原始資料!$A383="",6&gt;設定!$B$3,原始資料!I383=""),"",IF(AND(原始資料!H383&lt;&gt;"",原始資料!I383=原始資料!H383),N(F383)+1,1))</f>
        <v/>
      </c>
      <c r="H383" s="6">
        <f>IF(OR(原始資料!$A383="",7&gt;設定!$B$3,原始資料!J383=""),"",IF(AND(原始資料!I383&lt;&gt;"",原始資料!J383=原始資料!I383),N(G383)+1,1))</f>
        <v/>
      </c>
      <c r="I383" s="6">
        <f>IF(OR(原始資料!$A383="",8&gt;設定!$B$3,原始資料!K383=""),"",IF(AND(原始資料!J383&lt;&gt;"",原始資料!K383=原始資料!J383),N(H383)+1,1))</f>
        <v/>
      </c>
      <c r="J383" s="6">
        <f>IF(OR(原始資料!$A383="",9&gt;設定!$B$3,原始資料!L383=""),"",IF(AND(原始資料!K383&lt;&gt;"",原始資料!L383=原始資料!K383),N(I383)+1,1))</f>
        <v/>
      </c>
      <c r="K383" s="6">
        <f>IF(OR(原始資料!$A383="",10&gt;設定!$B$3,原始資料!M383=""),"",IF(AND(原始資料!L383&lt;&gt;"",原始資料!M383=原始資料!L383),N(J383)+1,1))</f>
        <v/>
      </c>
      <c r="L383" s="6">
        <f>IF(OR(原始資料!$A383="",11&gt;設定!$B$3,原始資料!N383=""),"",IF(AND(原始資料!M383&lt;&gt;"",原始資料!N383=原始資料!M383),N(K383)+1,1))</f>
        <v/>
      </c>
      <c r="M383" s="6">
        <f>IF(OR(原始資料!$A383="",12&gt;設定!$B$3,原始資料!O383=""),"",IF(AND(原始資料!N383&lt;&gt;"",原始資料!O383=原始資料!N383),N(L383)+1,1))</f>
        <v/>
      </c>
      <c r="N383" s="6">
        <f>IF(OR(原始資料!$A383="",13&gt;設定!$B$3,原始資料!P383=""),"",IF(AND(原始資料!O383&lt;&gt;"",原始資料!P383=原始資料!O383),N(M383)+1,1))</f>
        <v/>
      </c>
      <c r="O383" s="6">
        <f>IF(OR(原始資料!$A383="",14&gt;設定!$B$3,原始資料!Q383=""),"",IF(AND(原始資料!P383&lt;&gt;"",原始資料!Q383=原始資料!P383),N(N383)+1,1))</f>
        <v/>
      </c>
      <c r="P383" s="6">
        <f>IF(OR(原始資料!$A383="",15&gt;設定!$B$3,原始資料!R383=""),"",IF(AND(原始資料!Q383&lt;&gt;"",原始資料!R383=原始資料!Q383),N(O383)+1,1))</f>
        <v/>
      </c>
      <c r="Q383" s="6">
        <f>IF(OR(原始資料!$A383="",16&gt;設定!$B$3,原始資料!S383=""),"",IF(AND(原始資料!R383&lt;&gt;"",原始資料!S383=原始資料!R383),N(P383)+1,1))</f>
        <v/>
      </c>
      <c r="R383" s="6">
        <f>IF(OR(原始資料!$A383="",17&gt;設定!$B$3,原始資料!T383=""),"",IF(AND(原始資料!S383&lt;&gt;"",原始資料!T383=原始資料!S383),N(Q383)+1,1))</f>
        <v/>
      </c>
      <c r="S383" s="6">
        <f>IF(OR(原始資料!$A383="",18&gt;設定!$B$3,原始資料!U383=""),"",IF(AND(原始資料!T383&lt;&gt;"",原始資料!U383=原始資料!T383),N(R383)+1,1))</f>
        <v/>
      </c>
      <c r="T383" s="6">
        <f>IF(OR(原始資料!$A383="",19&gt;設定!$B$3,原始資料!V383=""),"",IF(AND(原始資料!U383&lt;&gt;"",原始資料!V383=原始資料!U383),N(S383)+1,1))</f>
        <v/>
      </c>
      <c r="U383" s="6">
        <f>IF(OR(原始資料!$A383="",20&gt;設定!$B$3,原始資料!W383=""),"",IF(AND(原始資料!V383&lt;&gt;"",原始資料!W383=原始資料!V383),N(T383)+1,1))</f>
        <v/>
      </c>
      <c r="V383" s="6">
        <f>IF(OR(原始資料!$A383="",21&gt;設定!$B$3,原始資料!X383=""),"",IF(AND(原始資料!W383&lt;&gt;"",原始資料!X383=原始資料!W383),N(U383)+1,1))</f>
        <v/>
      </c>
      <c r="W383" s="6">
        <f>IF(OR(原始資料!$A383="",22&gt;設定!$B$3,原始資料!Y383=""),"",IF(AND(原始資料!X383&lt;&gt;"",原始資料!Y383=原始資料!X383),N(V383)+1,1))</f>
        <v/>
      </c>
      <c r="X383" s="6">
        <f>IF(OR(原始資料!$A383="",23&gt;設定!$B$3,原始資料!Z383=""),"",IF(AND(原始資料!Y383&lt;&gt;"",原始資料!Z383=原始資料!Y383),N(W383)+1,1))</f>
        <v/>
      </c>
      <c r="Y383" s="6">
        <f>IF(OR(原始資料!$A383="",24&gt;設定!$B$3,原始資料!AA383=""),"",IF(AND(原始資料!Z383&lt;&gt;"",原始資料!AA383=原始資料!Z383),N(X383)+1,1))</f>
        <v/>
      </c>
      <c r="Z383" s="6">
        <f>IF(OR(原始資料!$A383="",25&gt;設定!$B$3,原始資料!AB383=""),"",IF(AND(原始資料!AA383&lt;&gt;"",原始資料!AB383=原始資料!AA383),N(Y383)+1,1))</f>
        <v/>
      </c>
      <c r="AA383" s="6">
        <f>IF(OR(原始資料!$A383="",26&gt;設定!$B$3,原始資料!AC383=""),"",IF(AND(原始資料!AB383&lt;&gt;"",原始資料!AC383=原始資料!AB383),N(Z383)+1,1))</f>
        <v/>
      </c>
      <c r="AB383" s="6">
        <f>IF(OR(原始資料!$A383="",27&gt;設定!$B$3,原始資料!AD383=""),"",IF(AND(原始資料!AC383&lt;&gt;"",原始資料!AD383=原始資料!AC383),N(AA383)+1,1))</f>
        <v/>
      </c>
      <c r="AC383" s="6">
        <f>IF(OR(原始資料!$A383="",28&gt;設定!$B$3,原始資料!AE383=""),"",IF(AND(原始資料!AD383&lt;&gt;"",原始資料!AE383=原始資料!AD383),N(AB383)+1,1))</f>
        <v/>
      </c>
      <c r="AD383" s="6">
        <f>IF(OR(原始資料!$A383="",29&gt;設定!$B$3,原始資料!AF383=""),"",IF(AND(原始資料!AE383&lt;&gt;"",原始資料!AF383=原始資料!AE383),N(AC383)+1,1))</f>
        <v/>
      </c>
      <c r="AE383" s="6">
        <f>IF(OR(原始資料!$A383="",30&gt;設定!$B$3,原始資料!AG383=""),"",IF(AND(原始資料!AF383&lt;&gt;"",原始資料!AG383=原始資料!AF383),N(AD383)+1,1))</f>
        <v/>
      </c>
      <c r="AF383" s="6">
        <f>IF(OR(原始資料!$A383="",31&gt;設定!$B$3,原始資料!AH383=""),"",IF(AND(原始資料!AG383&lt;&gt;"",原始資料!AH383=原始資料!AG383),N(AE383)+1,1))</f>
        <v/>
      </c>
      <c r="AG383" s="6">
        <f>IF(OR(原始資料!$A383="",32&gt;設定!$B$3,原始資料!AI383=""),"",IF(AND(原始資料!AH383&lt;&gt;"",原始資料!AI383=原始資料!AH383),N(AF383)+1,1))</f>
        <v/>
      </c>
      <c r="AH383" s="6">
        <f>IF(OR(原始資料!$A383="",33&gt;設定!$B$3,原始資料!AJ383=""),"",IF(AND(原始資料!AI383&lt;&gt;"",原始資料!AJ383=原始資料!AI383),N(AG383)+1,1))</f>
        <v/>
      </c>
      <c r="AI383" s="6">
        <f>IF(OR(原始資料!$A383="",34&gt;設定!$B$3,原始資料!AK383=""),"",IF(AND(原始資料!AJ383&lt;&gt;"",原始資料!AK383=原始資料!AJ383),N(AH383)+1,1))</f>
        <v/>
      </c>
      <c r="AJ383" s="6">
        <f>IF(OR(原始資料!$A383="",35&gt;設定!$B$3,原始資料!AL383=""),"",IF(AND(原始資料!AK383&lt;&gt;"",原始資料!AL383=原始資料!AK383),N(AI383)+1,1))</f>
        <v/>
      </c>
      <c r="AK383" s="6">
        <f>IF(OR(原始資料!$A383="",36&gt;設定!$B$3,原始資料!AM383=""),"",IF(AND(原始資料!AL383&lt;&gt;"",原始資料!AM383=原始資料!AL383),N(AJ383)+1,1))</f>
        <v/>
      </c>
      <c r="AL383" s="6">
        <f>IF(OR(原始資料!$A383="",37&gt;設定!$B$3,原始資料!AN383=""),"",IF(AND(原始資料!AM383&lt;&gt;"",原始資料!AN383=原始資料!AM383),N(AK383)+1,1))</f>
        <v/>
      </c>
      <c r="AM383" s="6">
        <f>IF(OR(原始資料!$A383="",38&gt;設定!$B$3,原始資料!AO383=""),"",IF(AND(原始資料!AN383&lt;&gt;"",原始資料!AO383=原始資料!AN383),N(AL383)+1,1))</f>
        <v/>
      </c>
      <c r="AN383" s="6">
        <f>IF(OR(原始資料!$A383="",39&gt;設定!$B$3,原始資料!AP383=""),"",IF(AND(原始資料!AO383&lt;&gt;"",原始資料!AP383=原始資料!AO383),N(AM383)+1,1))</f>
        <v/>
      </c>
      <c r="AO383" s="6">
        <f>IF(OR(原始資料!$A383="",40&gt;設定!$B$3,原始資料!AQ383=""),"",IF(AND(原始資料!AP383&lt;&gt;"",原始資料!AQ383=原始資料!AP383),N(AN383)+1,1))</f>
        <v/>
      </c>
      <c r="AP383" s="6">
        <f>IF(OR(原始資料!$A383="",41&gt;設定!$B$3,原始資料!AR383=""),"",IF(AND(原始資料!AQ383&lt;&gt;"",原始資料!AR383=原始資料!AQ383),N(AO383)+1,1))</f>
        <v/>
      </c>
      <c r="AQ383" s="6">
        <f>IF(OR(原始資料!$A383="",42&gt;設定!$B$3,原始資料!AS383=""),"",IF(AND(原始資料!AR383&lt;&gt;"",原始資料!AS383=原始資料!AR383),N(AP383)+1,1))</f>
        <v/>
      </c>
      <c r="AR383" s="6">
        <f>IF(OR(原始資料!$A383="",43&gt;設定!$B$3,原始資料!AT383=""),"",IF(AND(原始資料!AS383&lt;&gt;"",原始資料!AT383=原始資料!AS383),N(AQ383)+1,1))</f>
        <v/>
      </c>
      <c r="AS383" s="6">
        <f>IF(OR(原始資料!$A383="",44&gt;設定!$B$3,原始資料!AU383=""),"",IF(AND(原始資料!AT383&lt;&gt;"",原始資料!AU383=原始資料!AT383),N(AR383)+1,1))</f>
        <v/>
      </c>
      <c r="AT383" s="6">
        <f>IF(OR(原始資料!$A383="",45&gt;設定!$B$3,原始資料!AV383=""),"",IF(AND(原始資料!AU383&lt;&gt;"",原始資料!AV383=原始資料!AU383),N(AS383)+1,1))</f>
        <v/>
      </c>
      <c r="AU383" s="6">
        <f>IF(OR(原始資料!$A383="",46&gt;設定!$B$3,原始資料!AW383=""),"",IF(AND(原始資料!AV383&lt;&gt;"",原始資料!AW383=原始資料!AV383),N(AT383)+1,1))</f>
        <v/>
      </c>
      <c r="AV383" s="6">
        <f>IF(OR(原始資料!$A383="",47&gt;設定!$B$3,原始資料!AX383=""),"",IF(AND(原始資料!AW383&lt;&gt;"",原始資料!AX383=原始資料!AW383),N(AU383)+1,1))</f>
        <v/>
      </c>
      <c r="AW383" s="6">
        <f>IF(OR(原始資料!$A383="",48&gt;設定!$B$3,原始資料!AY383=""),"",IF(AND(原始資料!AX383&lt;&gt;"",原始資料!AY383=原始資料!AX383),N(AV383)+1,1))</f>
        <v/>
      </c>
      <c r="AX383" s="6">
        <f>IF(OR(原始資料!$A383="",49&gt;設定!$B$3,原始資料!AZ383=""),"",IF(AND(原始資料!AY383&lt;&gt;"",原始資料!AZ383=原始資料!AY383),N(AW383)+1,1))</f>
        <v/>
      </c>
      <c r="AY383" s="6">
        <f>IF(OR(原始資料!$A383="",50&gt;設定!$B$3,原始資料!BA383=""),"",IF(AND(原始資料!AZ383&lt;&gt;"",原始資料!BA383=原始資料!AZ383),N(AX383)+1,1))</f>
        <v/>
      </c>
      <c r="AZ383" s="6">
        <f>IF(OR(原始資料!$A383="",51&gt;設定!$B$3,原始資料!BB383=""),"",IF(AND(原始資料!BA383&lt;&gt;"",原始資料!BB383=原始資料!BA383),N(AY383)+1,1))</f>
        <v/>
      </c>
      <c r="BA383" s="6">
        <f>IF(OR(原始資料!$A383="",52&gt;設定!$B$3,原始資料!BC383=""),"",IF(AND(原始資料!BB383&lt;&gt;"",原始資料!BC383=原始資料!BB383),N(AZ383)+1,1))</f>
        <v/>
      </c>
      <c r="BB383" s="6">
        <f>IF(OR(原始資料!$A383="",53&gt;設定!$B$3,原始資料!BD383=""),"",IF(AND(原始資料!BC383&lt;&gt;"",原始資料!BD383=原始資料!BC383),N(BA383)+1,1))</f>
        <v/>
      </c>
      <c r="BC383" s="6">
        <f>IF(OR(原始資料!$A383="",54&gt;設定!$B$3,原始資料!BE383=""),"",IF(AND(原始資料!BD383&lt;&gt;"",原始資料!BE383=原始資料!BD383),N(BB383)+1,1))</f>
        <v/>
      </c>
      <c r="BD383" s="6">
        <f>IF(OR(原始資料!$A383="",55&gt;設定!$B$3,原始資料!BF383=""),"",IF(AND(原始資料!BE383&lt;&gt;"",原始資料!BF383=原始資料!BE383),N(BC383)+1,1))</f>
        <v/>
      </c>
      <c r="BE383" s="6">
        <f>IF(OR(原始資料!$A383="",56&gt;設定!$B$3,原始資料!BG383=""),"",IF(AND(原始資料!BF383&lt;&gt;"",原始資料!BG383=原始資料!BF383),N(BD383)+1,1))</f>
        <v/>
      </c>
      <c r="BF383" s="6">
        <f>IF(OR(原始資料!$A383="",57&gt;設定!$B$3,原始資料!BH383=""),"",IF(AND(原始資料!BG383&lt;&gt;"",原始資料!BH383=原始資料!BG383),N(BE383)+1,1))</f>
        <v/>
      </c>
      <c r="BG383" s="6">
        <f>IF(OR(原始資料!$A383="",58&gt;設定!$B$3,原始資料!BI383=""),"",IF(AND(原始資料!BH383&lt;&gt;"",原始資料!BI383=原始資料!BH383),N(BF383)+1,1))</f>
        <v/>
      </c>
      <c r="BH383" s="6">
        <f>IF(OR(原始資料!$A383="",59&gt;設定!$B$3,原始資料!BJ383=""),"",IF(AND(原始資料!BI383&lt;&gt;"",原始資料!BJ383=原始資料!BI383),N(BG383)+1,1))</f>
        <v/>
      </c>
      <c r="BI383" s="6">
        <f>IF(OR(原始資料!$A383="",60&gt;設定!$B$3,原始資料!BK383=""),"",IF(AND(原始資料!BJ383&lt;&gt;"",原始資料!BK383=原始資料!BJ383),N(BH383)+1,1))</f>
        <v/>
      </c>
    </row>
    <row r="384">
      <c r="A384" s="6">
        <f>IF(原始資料!$A384="","",原始資料!$A384)</f>
        <v/>
      </c>
      <c r="B384" s="6">
        <f>IF(OR(原始資料!$A384="",1&gt;設定!$B$3,原始資料!D384=""),"",1)</f>
        <v/>
      </c>
      <c r="C384" s="6">
        <f>IF(OR(原始資料!$A384="",2&gt;設定!$B$3,原始資料!E384=""),"",IF(AND(原始資料!D384&lt;&gt;"",原始資料!E384=原始資料!D384),N(B384)+1,1))</f>
        <v/>
      </c>
      <c r="D384" s="6">
        <f>IF(OR(原始資料!$A384="",3&gt;設定!$B$3,原始資料!F384=""),"",IF(AND(原始資料!E384&lt;&gt;"",原始資料!F384=原始資料!E384),N(C384)+1,1))</f>
        <v/>
      </c>
      <c r="E384" s="6">
        <f>IF(OR(原始資料!$A384="",4&gt;設定!$B$3,原始資料!G384=""),"",IF(AND(原始資料!F384&lt;&gt;"",原始資料!G384=原始資料!F384),N(D384)+1,1))</f>
        <v/>
      </c>
      <c r="F384" s="6">
        <f>IF(OR(原始資料!$A384="",5&gt;設定!$B$3,原始資料!H384=""),"",IF(AND(原始資料!G384&lt;&gt;"",原始資料!H384=原始資料!G384),N(E384)+1,1))</f>
        <v/>
      </c>
      <c r="G384" s="6">
        <f>IF(OR(原始資料!$A384="",6&gt;設定!$B$3,原始資料!I384=""),"",IF(AND(原始資料!H384&lt;&gt;"",原始資料!I384=原始資料!H384),N(F384)+1,1))</f>
        <v/>
      </c>
      <c r="H384" s="6">
        <f>IF(OR(原始資料!$A384="",7&gt;設定!$B$3,原始資料!J384=""),"",IF(AND(原始資料!I384&lt;&gt;"",原始資料!J384=原始資料!I384),N(G384)+1,1))</f>
        <v/>
      </c>
      <c r="I384" s="6">
        <f>IF(OR(原始資料!$A384="",8&gt;設定!$B$3,原始資料!K384=""),"",IF(AND(原始資料!J384&lt;&gt;"",原始資料!K384=原始資料!J384),N(H384)+1,1))</f>
        <v/>
      </c>
      <c r="J384" s="6">
        <f>IF(OR(原始資料!$A384="",9&gt;設定!$B$3,原始資料!L384=""),"",IF(AND(原始資料!K384&lt;&gt;"",原始資料!L384=原始資料!K384),N(I384)+1,1))</f>
        <v/>
      </c>
      <c r="K384" s="6">
        <f>IF(OR(原始資料!$A384="",10&gt;設定!$B$3,原始資料!M384=""),"",IF(AND(原始資料!L384&lt;&gt;"",原始資料!M384=原始資料!L384),N(J384)+1,1))</f>
        <v/>
      </c>
      <c r="L384" s="6">
        <f>IF(OR(原始資料!$A384="",11&gt;設定!$B$3,原始資料!N384=""),"",IF(AND(原始資料!M384&lt;&gt;"",原始資料!N384=原始資料!M384),N(K384)+1,1))</f>
        <v/>
      </c>
      <c r="M384" s="6">
        <f>IF(OR(原始資料!$A384="",12&gt;設定!$B$3,原始資料!O384=""),"",IF(AND(原始資料!N384&lt;&gt;"",原始資料!O384=原始資料!N384),N(L384)+1,1))</f>
        <v/>
      </c>
      <c r="N384" s="6">
        <f>IF(OR(原始資料!$A384="",13&gt;設定!$B$3,原始資料!P384=""),"",IF(AND(原始資料!O384&lt;&gt;"",原始資料!P384=原始資料!O384),N(M384)+1,1))</f>
        <v/>
      </c>
      <c r="O384" s="6">
        <f>IF(OR(原始資料!$A384="",14&gt;設定!$B$3,原始資料!Q384=""),"",IF(AND(原始資料!P384&lt;&gt;"",原始資料!Q384=原始資料!P384),N(N384)+1,1))</f>
        <v/>
      </c>
      <c r="P384" s="6">
        <f>IF(OR(原始資料!$A384="",15&gt;設定!$B$3,原始資料!R384=""),"",IF(AND(原始資料!Q384&lt;&gt;"",原始資料!R384=原始資料!Q384),N(O384)+1,1))</f>
        <v/>
      </c>
      <c r="Q384" s="6">
        <f>IF(OR(原始資料!$A384="",16&gt;設定!$B$3,原始資料!S384=""),"",IF(AND(原始資料!R384&lt;&gt;"",原始資料!S384=原始資料!R384),N(P384)+1,1))</f>
        <v/>
      </c>
      <c r="R384" s="6">
        <f>IF(OR(原始資料!$A384="",17&gt;設定!$B$3,原始資料!T384=""),"",IF(AND(原始資料!S384&lt;&gt;"",原始資料!T384=原始資料!S384),N(Q384)+1,1))</f>
        <v/>
      </c>
      <c r="S384" s="6">
        <f>IF(OR(原始資料!$A384="",18&gt;設定!$B$3,原始資料!U384=""),"",IF(AND(原始資料!T384&lt;&gt;"",原始資料!U384=原始資料!T384),N(R384)+1,1))</f>
        <v/>
      </c>
      <c r="T384" s="6">
        <f>IF(OR(原始資料!$A384="",19&gt;設定!$B$3,原始資料!V384=""),"",IF(AND(原始資料!U384&lt;&gt;"",原始資料!V384=原始資料!U384),N(S384)+1,1))</f>
        <v/>
      </c>
      <c r="U384" s="6">
        <f>IF(OR(原始資料!$A384="",20&gt;設定!$B$3,原始資料!W384=""),"",IF(AND(原始資料!V384&lt;&gt;"",原始資料!W384=原始資料!V384),N(T384)+1,1))</f>
        <v/>
      </c>
      <c r="V384" s="6">
        <f>IF(OR(原始資料!$A384="",21&gt;設定!$B$3,原始資料!X384=""),"",IF(AND(原始資料!W384&lt;&gt;"",原始資料!X384=原始資料!W384),N(U384)+1,1))</f>
        <v/>
      </c>
      <c r="W384" s="6">
        <f>IF(OR(原始資料!$A384="",22&gt;設定!$B$3,原始資料!Y384=""),"",IF(AND(原始資料!X384&lt;&gt;"",原始資料!Y384=原始資料!X384),N(V384)+1,1))</f>
        <v/>
      </c>
      <c r="X384" s="6">
        <f>IF(OR(原始資料!$A384="",23&gt;設定!$B$3,原始資料!Z384=""),"",IF(AND(原始資料!Y384&lt;&gt;"",原始資料!Z384=原始資料!Y384),N(W384)+1,1))</f>
        <v/>
      </c>
      <c r="Y384" s="6">
        <f>IF(OR(原始資料!$A384="",24&gt;設定!$B$3,原始資料!AA384=""),"",IF(AND(原始資料!Z384&lt;&gt;"",原始資料!AA384=原始資料!Z384),N(X384)+1,1))</f>
        <v/>
      </c>
      <c r="Z384" s="6">
        <f>IF(OR(原始資料!$A384="",25&gt;設定!$B$3,原始資料!AB384=""),"",IF(AND(原始資料!AA384&lt;&gt;"",原始資料!AB384=原始資料!AA384),N(Y384)+1,1))</f>
        <v/>
      </c>
      <c r="AA384" s="6">
        <f>IF(OR(原始資料!$A384="",26&gt;設定!$B$3,原始資料!AC384=""),"",IF(AND(原始資料!AB384&lt;&gt;"",原始資料!AC384=原始資料!AB384),N(Z384)+1,1))</f>
        <v/>
      </c>
      <c r="AB384" s="6">
        <f>IF(OR(原始資料!$A384="",27&gt;設定!$B$3,原始資料!AD384=""),"",IF(AND(原始資料!AC384&lt;&gt;"",原始資料!AD384=原始資料!AC384),N(AA384)+1,1))</f>
        <v/>
      </c>
      <c r="AC384" s="6">
        <f>IF(OR(原始資料!$A384="",28&gt;設定!$B$3,原始資料!AE384=""),"",IF(AND(原始資料!AD384&lt;&gt;"",原始資料!AE384=原始資料!AD384),N(AB384)+1,1))</f>
        <v/>
      </c>
      <c r="AD384" s="6">
        <f>IF(OR(原始資料!$A384="",29&gt;設定!$B$3,原始資料!AF384=""),"",IF(AND(原始資料!AE384&lt;&gt;"",原始資料!AF384=原始資料!AE384),N(AC384)+1,1))</f>
        <v/>
      </c>
      <c r="AE384" s="6">
        <f>IF(OR(原始資料!$A384="",30&gt;設定!$B$3,原始資料!AG384=""),"",IF(AND(原始資料!AF384&lt;&gt;"",原始資料!AG384=原始資料!AF384),N(AD384)+1,1))</f>
        <v/>
      </c>
      <c r="AF384" s="6">
        <f>IF(OR(原始資料!$A384="",31&gt;設定!$B$3,原始資料!AH384=""),"",IF(AND(原始資料!AG384&lt;&gt;"",原始資料!AH384=原始資料!AG384),N(AE384)+1,1))</f>
        <v/>
      </c>
      <c r="AG384" s="6">
        <f>IF(OR(原始資料!$A384="",32&gt;設定!$B$3,原始資料!AI384=""),"",IF(AND(原始資料!AH384&lt;&gt;"",原始資料!AI384=原始資料!AH384),N(AF384)+1,1))</f>
        <v/>
      </c>
      <c r="AH384" s="6">
        <f>IF(OR(原始資料!$A384="",33&gt;設定!$B$3,原始資料!AJ384=""),"",IF(AND(原始資料!AI384&lt;&gt;"",原始資料!AJ384=原始資料!AI384),N(AG384)+1,1))</f>
        <v/>
      </c>
      <c r="AI384" s="6">
        <f>IF(OR(原始資料!$A384="",34&gt;設定!$B$3,原始資料!AK384=""),"",IF(AND(原始資料!AJ384&lt;&gt;"",原始資料!AK384=原始資料!AJ384),N(AH384)+1,1))</f>
        <v/>
      </c>
      <c r="AJ384" s="6">
        <f>IF(OR(原始資料!$A384="",35&gt;設定!$B$3,原始資料!AL384=""),"",IF(AND(原始資料!AK384&lt;&gt;"",原始資料!AL384=原始資料!AK384),N(AI384)+1,1))</f>
        <v/>
      </c>
      <c r="AK384" s="6">
        <f>IF(OR(原始資料!$A384="",36&gt;設定!$B$3,原始資料!AM384=""),"",IF(AND(原始資料!AL384&lt;&gt;"",原始資料!AM384=原始資料!AL384),N(AJ384)+1,1))</f>
        <v/>
      </c>
      <c r="AL384" s="6">
        <f>IF(OR(原始資料!$A384="",37&gt;設定!$B$3,原始資料!AN384=""),"",IF(AND(原始資料!AM384&lt;&gt;"",原始資料!AN384=原始資料!AM384),N(AK384)+1,1))</f>
        <v/>
      </c>
      <c r="AM384" s="6">
        <f>IF(OR(原始資料!$A384="",38&gt;設定!$B$3,原始資料!AO384=""),"",IF(AND(原始資料!AN384&lt;&gt;"",原始資料!AO384=原始資料!AN384),N(AL384)+1,1))</f>
        <v/>
      </c>
      <c r="AN384" s="6">
        <f>IF(OR(原始資料!$A384="",39&gt;設定!$B$3,原始資料!AP384=""),"",IF(AND(原始資料!AO384&lt;&gt;"",原始資料!AP384=原始資料!AO384),N(AM384)+1,1))</f>
        <v/>
      </c>
      <c r="AO384" s="6">
        <f>IF(OR(原始資料!$A384="",40&gt;設定!$B$3,原始資料!AQ384=""),"",IF(AND(原始資料!AP384&lt;&gt;"",原始資料!AQ384=原始資料!AP384),N(AN384)+1,1))</f>
        <v/>
      </c>
      <c r="AP384" s="6">
        <f>IF(OR(原始資料!$A384="",41&gt;設定!$B$3,原始資料!AR384=""),"",IF(AND(原始資料!AQ384&lt;&gt;"",原始資料!AR384=原始資料!AQ384),N(AO384)+1,1))</f>
        <v/>
      </c>
      <c r="AQ384" s="6">
        <f>IF(OR(原始資料!$A384="",42&gt;設定!$B$3,原始資料!AS384=""),"",IF(AND(原始資料!AR384&lt;&gt;"",原始資料!AS384=原始資料!AR384),N(AP384)+1,1))</f>
        <v/>
      </c>
      <c r="AR384" s="6">
        <f>IF(OR(原始資料!$A384="",43&gt;設定!$B$3,原始資料!AT384=""),"",IF(AND(原始資料!AS384&lt;&gt;"",原始資料!AT384=原始資料!AS384),N(AQ384)+1,1))</f>
        <v/>
      </c>
      <c r="AS384" s="6">
        <f>IF(OR(原始資料!$A384="",44&gt;設定!$B$3,原始資料!AU384=""),"",IF(AND(原始資料!AT384&lt;&gt;"",原始資料!AU384=原始資料!AT384),N(AR384)+1,1))</f>
        <v/>
      </c>
      <c r="AT384" s="6">
        <f>IF(OR(原始資料!$A384="",45&gt;設定!$B$3,原始資料!AV384=""),"",IF(AND(原始資料!AU384&lt;&gt;"",原始資料!AV384=原始資料!AU384),N(AS384)+1,1))</f>
        <v/>
      </c>
      <c r="AU384" s="6">
        <f>IF(OR(原始資料!$A384="",46&gt;設定!$B$3,原始資料!AW384=""),"",IF(AND(原始資料!AV384&lt;&gt;"",原始資料!AW384=原始資料!AV384),N(AT384)+1,1))</f>
        <v/>
      </c>
      <c r="AV384" s="6">
        <f>IF(OR(原始資料!$A384="",47&gt;設定!$B$3,原始資料!AX384=""),"",IF(AND(原始資料!AW384&lt;&gt;"",原始資料!AX384=原始資料!AW384),N(AU384)+1,1))</f>
        <v/>
      </c>
      <c r="AW384" s="6">
        <f>IF(OR(原始資料!$A384="",48&gt;設定!$B$3,原始資料!AY384=""),"",IF(AND(原始資料!AX384&lt;&gt;"",原始資料!AY384=原始資料!AX384),N(AV384)+1,1))</f>
        <v/>
      </c>
      <c r="AX384" s="6">
        <f>IF(OR(原始資料!$A384="",49&gt;設定!$B$3,原始資料!AZ384=""),"",IF(AND(原始資料!AY384&lt;&gt;"",原始資料!AZ384=原始資料!AY384),N(AW384)+1,1))</f>
        <v/>
      </c>
      <c r="AY384" s="6">
        <f>IF(OR(原始資料!$A384="",50&gt;設定!$B$3,原始資料!BA384=""),"",IF(AND(原始資料!AZ384&lt;&gt;"",原始資料!BA384=原始資料!AZ384),N(AX384)+1,1))</f>
        <v/>
      </c>
      <c r="AZ384" s="6">
        <f>IF(OR(原始資料!$A384="",51&gt;設定!$B$3,原始資料!BB384=""),"",IF(AND(原始資料!BA384&lt;&gt;"",原始資料!BB384=原始資料!BA384),N(AY384)+1,1))</f>
        <v/>
      </c>
      <c r="BA384" s="6">
        <f>IF(OR(原始資料!$A384="",52&gt;設定!$B$3,原始資料!BC384=""),"",IF(AND(原始資料!BB384&lt;&gt;"",原始資料!BC384=原始資料!BB384),N(AZ384)+1,1))</f>
        <v/>
      </c>
      <c r="BB384" s="6">
        <f>IF(OR(原始資料!$A384="",53&gt;設定!$B$3,原始資料!BD384=""),"",IF(AND(原始資料!BC384&lt;&gt;"",原始資料!BD384=原始資料!BC384),N(BA384)+1,1))</f>
        <v/>
      </c>
      <c r="BC384" s="6">
        <f>IF(OR(原始資料!$A384="",54&gt;設定!$B$3,原始資料!BE384=""),"",IF(AND(原始資料!BD384&lt;&gt;"",原始資料!BE384=原始資料!BD384),N(BB384)+1,1))</f>
        <v/>
      </c>
      <c r="BD384" s="6">
        <f>IF(OR(原始資料!$A384="",55&gt;設定!$B$3,原始資料!BF384=""),"",IF(AND(原始資料!BE384&lt;&gt;"",原始資料!BF384=原始資料!BE384),N(BC384)+1,1))</f>
        <v/>
      </c>
      <c r="BE384" s="6">
        <f>IF(OR(原始資料!$A384="",56&gt;設定!$B$3,原始資料!BG384=""),"",IF(AND(原始資料!BF384&lt;&gt;"",原始資料!BG384=原始資料!BF384),N(BD384)+1,1))</f>
        <v/>
      </c>
      <c r="BF384" s="6">
        <f>IF(OR(原始資料!$A384="",57&gt;設定!$B$3,原始資料!BH384=""),"",IF(AND(原始資料!BG384&lt;&gt;"",原始資料!BH384=原始資料!BG384),N(BE384)+1,1))</f>
        <v/>
      </c>
      <c r="BG384" s="6">
        <f>IF(OR(原始資料!$A384="",58&gt;設定!$B$3,原始資料!BI384=""),"",IF(AND(原始資料!BH384&lt;&gt;"",原始資料!BI384=原始資料!BH384),N(BF384)+1,1))</f>
        <v/>
      </c>
      <c r="BH384" s="6">
        <f>IF(OR(原始資料!$A384="",59&gt;設定!$B$3,原始資料!BJ384=""),"",IF(AND(原始資料!BI384&lt;&gt;"",原始資料!BJ384=原始資料!BI384),N(BG384)+1,1))</f>
        <v/>
      </c>
      <c r="BI384" s="6">
        <f>IF(OR(原始資料!$A384="",60&gt;設定!$B$3,原始資料!BK384=""),"",IF(AND(原始資料!BJ384&lt;&gt;"",原始資料!BK384=原始資料!BJ384),N(BH384)+1,1))</f>
        <v/>
      </c>
    </row>
    <row r="385">
      <c r="A385" s="6">
        <f>IF(原始資料!$A385="","",原始資料!$A385)</f>
        <v/>
      </c>
      <c r="B385" s="6">
        <f>IF(OR(原始資料!$A385="",1&gt;設定!$B$3,原始資料!D385=""),"",1)</f>
        <v/>
      </c>
      <c r="C385" s="6">
        <f>IF(OR(原始資料!$A385="",2&gt;設定!$B$3,原始資料!E385=""),"",IF(AND(原始資料!D385&lt;&gt;"",原始資料!E385=原始資料!D385),N(B385)+1,1))</f>
        <v/>
      </c>
      <c r="D385" s="6">
        <f>IF(OR(原始資料!$A385="",3&gt;設定!$B$3,原始資料!F385=""),"",IF(AND(原始資料!E385&lt;&gt;"",原始資料!F385=原始資料!E385),N(C385)+1,1))</f>
        <v/>
      </c>
      <c r="E385" s="6">
        <f>IF(OR(原始資料!$A385="",4&gt;設定!$B$3,原始資料!G385=""),"",IF(AND(原始資料!F385&lt;&gt;"",原始資料!G385=原始資料!F385),N(D385)+1,1))</f>
        <v/>
      </c>
      <c r="F385" s="6">
        <f>IF(OR(原始資料!$A385="",5&gt;設定!$B$3,原始資料!H385=""),"",IF(AND(原始資料!G385&lt;&gt;"",原始資料!H385=原始資料!G385),N(E385)+1,1))</f>
        <v/>
      </c>
      <c r="G385" s="6">
        <f>IF(OR(原始資料!$A385="",6&gt;設定!$B$3,原始資料!I385=""),"",IF(AND(原始資料!H385&lt;&gt;"",原始資料!I385=原始資料!H385),N(F385)+1,1))</f>
        <v/>
      </c>
      <c r="H385" s="6">
        <f>IF(OR(原始資料!$A385="",7&gt;設定!$B$3,原始資料!J385=""),"",IF(AND(原始資料!I385&lt;&gt;"",原始資料!J385=原始資料!I385),N(G385)+1,1))</f>
        <v/>
      </c>
      <c r="I385" s="6">
        <f>IF(OR(原始資料!$A385="",8&gt;設定!$B$3,原始資料!K385=""),"",IF(AND(原始資料!J385&lt;&gt;"",原始資料!K385=原始資料!J385),N(H385)+1,1))</f>
        <v/>
      </c>
      <c r="J385" s="6">
        <f>IF(OR(原始資料!$A385="",9&gt;設定!$B$3,原始資料!L385=""),"",IF(AND(原始資料!K385&lt;&gt;"",原始資料!L385=原始資料!K385),N(I385)+1,1))</f>
        <v/>
      </c>
      <c r="K385" s="6">
        <f>IF(OR(原始資料!$A385="",10&gt;設定!$B$3,原始資料!M385=""),"",IF(AND(原始資料!L385&lt;&gt;"",原始資料!M385=原始資料!L385),N(J385)+1,1))</f>
        <v/>
      </c>
      <c r="L385" s="6">
        <f>IF(OR(原始資料!$A385="",11&gt;設定!$B$3,原始資料!N385=""),"",IF(AND(原始資料!M385&lt;&gt;"",原始資料!N385=原始資料!M385),N(K385)+1,1))</f>
        <v/>
      </c>
      <c r="M385" s="6">
        <f>IF(OR(原始資料!$A385="",12&gt;設定!$B$3,原始資料!O385=""),"",IF(AND(原始資料!N385&lt;&gt;"",原始資料!O385=原始資料!N385),N(L385)+1,1))</f>
        <v/>
      </c>
      <c r="N385" s="6">
        <f>IF(OR(原始資料!$A385="",13&gt;設定!$B$3,原始資料!P385=""),"",IF(AND(原始資料!O385&lt;&gt;"",原始資料!P385=原始資料!O385),N(M385)+1,1))</f>
        <v/>
      </c>
      <c r="O385" s="6">
        <f>IF(OR(原始資料!$A385="",14&gt;設定!$B$3,原始資料!Q385=""),"",IF(AND(原始資料!P385&lt;&gt;"",原始資料!Q385=原始資料!P385),N(N385)+1,1))</f>
        <v/>
      </c>
      <c r="P385" s="6">
        <f>IF(OR(原始資料!$A385="",15&gt;設定!$B$3,原始資料!R385=""),"",IF(AND(原始資料!Q385&lt;&gt;"",原始資料!R385=原始資料!Q385),N(O385)+1,1))</f>
        <v/>
      </c>
      <c r="Q385" s="6">
        <f>IF(OR(原始資料!$A385="",16&gt;設定!$B$3,原始資料!S385=""),"",IF(AND(原始資料!R385&lt;&gt;"",原始資料!S385=原始資料!R385),N(P385)+1,1))</f>
        <v/>
      </c>
      <c r="R385" s="6">
        <f>IF(OR(原始資料!$A385="",17&gt;設定!$B$3,原始資料!T385=""),"",IF(AND(原始資料!S385&lt;&gt;"",原始資料!T385=原始資料!S385),N(Q385)+1,1))</f>
        <v/>
      </c>
      <c r="S385" s="6">
        <f>IF(OR(原始資料!$A385="",18&gt;設定!$B$3,原始資料!U385=""),"",IF(AND(原始資料!T385&lt;&gt;"",原始資料!U385=原始資料!T385),N(R385)+1,1))</f>
        <v/>
      </c>
      <c r="T385" s="6">
        <f>IF(OR(原始資料!$A385="",19&gt;設定!$B$3,原始資料!V385=""),"",IF(AND(原始資料!U385&lt;&gt;"",原始資料!V385=原始資料!U385),N(S385)+1,1))</f>
        <v/>
      </c>
      <c r="U385" s="6">
        <f>IF(OR(原始資料!$A385="",20&gt;設定!$B$3,原始資料!W385=""),"",IF(AND(原始資料!V385&lt;&gt;"",原始資料!W385=原始資料!V385),N(T385)+1,1))</f>
        <v/>
      </c>
      <c r="V385" s="6">
        <f>IF(OR(原始資料!$A385="",21&gt;設定!$B$3,原始資料!X385=""),"",IF(AND(原始資料!W385&lt;&gt;"",原始資料!X385=原始資料!W385),N(U385)+1,1))</f>
        <v/>
      </c>
      <c r="W385" s="6">
        <f>IF(OR(原始資料!$A385="",22&gt;設定!$B$3,原始資料!Y385=""),"",IF(AND(原始資料!X385&lt;&gt;"",原始資料!Y385=原始資料!X385),N(V385)+1,1))</f>
        <v/>
      </c>
      <c r="X385" s="6">
        <f>IF(OR(原始資料!$A385="",23&gt;設定!$B$3,原始資料!Z385=""),"",IF(AND(原始資料!Y385&lt;&gt;"",原始資料!Z385=原始資料!Y385),N(W385)+1,1))</f>
        <v/>
      </c>
      <c r="Y385" s="6">
        <f>IF(OR(原始資料!$A385="",24&gt;設定!$B$3,原始資料!AA385=""),"",IF(AND(原始資料!Z385&lt;&gt;"",原始資料!AA385=原始資料!Z385),N(X385)+1,1))</f>
        <v/>
      </c>
      <c r="Z385" s="6">
        <f>IF(OR(原始資料!$A385="",25&gt;設定!$B$3,原始資料!AB385=""),"",IF(AND(原始資料!AA385&lt;&gt;"",原始資料!AB385=原始資料!AA385),N(Y385)+1,1))</f>
        <v/>
      </c>
      <c r="AA385" s="6">
        <f>IF(OR(原始資料!$A385="",26&gt;設定!$B$3,原始資料!AC385=""),"",IF(AND(原始資料!AB385&lt;&gt;"",原始資料!AC385=原始資料!AB385),N(Z385)+1,1))</f>
        <v/>
      </c>
      <c r="AB385" s="6">
        <f>IF(OR(原始資料!$A385="",27&gt;設定!$B$3,原始資料!AD385=""),"",IF(AND(原始資料!AC385&lt;&gt;"",原始資料!AD385=原始資料!AC385),N(AA385)+1,1))</f>
        <v/>
      </c>
      <c r="AC385" s="6">
        <f>IF(OR(原始資料!$A385="",28&gt;設定!$B$3,原始資料!AE385=""),"",IF(AND(原始資料!AD385&lt;&gt;"",原始資料!AE385=原始資料!AD385),N(AB385)+1,1))</f>
        <v/>
      </c>
      <c r="AD385" s="6">
        <f>IF(OR(原始資料!$A385="",29&gt;設定!$B$3,原始資料!AF385=""),"",IF(AND(原始資料!AE385&lt;&gt;"",原始資料!AF385=原始資料!AE385),N(AC385)+1,1))</f>
        <v/>
      </c>
      <c r="AE385" s="6">
        <f>IF(OR(原始資料!$A385="",30&gt;設定!$B$3,原始資料!AG385=""),"",IF(AND(原始資料!AF385&lt;&gt;"",原始資料!AG385=原始資料!AF385),N(AD385)+1,1))</f>
        <v/>
      </c>
      <c r="AF385" s="6">
        <f>IF(OR(原始資料!$A385="",31&gt;設定!$B$3,原始資料!AH385=""),"",IF(AND(原始資料!AG385&lt;&gt;"",原始資料!AH385=原始資料!AG385),N(AE385)+1,1))</f>
        <v/>
      </c>
      <c r="AG385" s="6">
        <f>IF(OR(原始資料!$A385="",32&gt;設定!$B$3,原始資料!AI385=""),"",IF(AND(原始資料!AH385&lt;&gt;"",原始資料!AI385=原始資料!AH385),N(AF385)+1,1))</f>
        <v/>
      </c>
      <c r="AH385" s="6">
        <f>IF(OR(原始資料!$A385="",33&gt;設定!$B$3,原始資料!AJ385=""),"",IF(AND(原始資料!AI385&lt;&gt;"",原始資料!AJ385=原始資料!AI385),N(AG385)+1,1))</f>
        <v/>
      </c>
      <c r="AI385" s="6">
        <f>IF(OR(原始資料!$A385="",34&gt;設定!$B$3,原始資料!AK385=""),"",IF(AND(原始資料!AJ385&lt;&gt;"",原始資料!AK385=原始資料!AJ385),N(AH385)+1,1))</f>
        <v/>
      </c>
      <c r="AJ385" s="6">
        <f>IF(OR(原始資料!$A385="",35&gt;設定!$B$3,原始資料!AL385=""),"",IF(AND(原始資料!AK385&lt;&gt;"",原始資料!AL385=原始資料!AK385),N(AI385)+1,1))</f>
        <v/>
      </c>
      <c r="AK385" s="6">
        <f>IF(OR(原始資料!$A385="",36&gt;設定!$B$3,原始資料!AM385=""),"",IF(AND(原始資料!AL385&lt;&gt;"",原始資料!AM385=原始資料!AL385),N(AJ385)+1,1))</f>
        <v/>
      </c>
      <c r="AL385" s="6">
        <f>IF(OR(原始資料!$A385="",37&gt;設定!$B$3,原始資料!AN385=""),"",IF(AND(原始資料!AM385&lt;&gt;"",原始資料!AN385=原始資料!AM385),N(AK385)+1,1))</f>
        <v/>
      </c>
      <c r="AM385" s="6">
        <f>IF(OR(原始資料!$A385="",38&gt;設定!$B$3,原始資料!AO385=""),"",IF(AND(原始資料!AN385&lt;&gt;"",原始資料!AO385=原始資料!AN385),N(AL385)+1,1))</f>
        <v/>
      </c>
      <c r="AN385" s="6">
        <f>IF(OR(原始資料!$A385="",39&gt;設定!$B$3,原始資料!AP385=""),"",IF(AND(原始資料!AO385&lt;&gt;"",原始資料!AP385=原始資料!AO385),N(AM385)+1,1))</f>
        <v/>
      </c>
      <c r="AO385" s="6">
        <f>IF(OR(原始資料!$A385="",40&gt;設定!$B$3,原始資料!AQ385=""),"",IF(AND(原始資料!AP385&lt;&gt;"",原始資料!AQ385=原始資料!AP385),N(AN385)+1,1))</f>
        <v/>
      </c>
      <c r="AP385" s="6">
        <f>IF(OR(原始資料!$A385="",41&gt;設定!$B$3,原始資料!AR385=""),"",IF(AND(原始資料!AQ385&lt;&gt;"",原始資料!AR385=原始資料!AQ385),N(AO385)+1,1))</f>
        <v/>
      </c>
      <c r="AQ385" s="6">
        <f>IF(OR(原始資料!$A385="",42&gt;設定!$B$3,原始資料!AS385=""),"",IF(AND(原始資料!AR385&lt;&gt;"",原始資料!AS385=原始資料!AR385),N(AP385)+1,1))</f>
        <v/>
      </c>
      <c r="AR385" s="6">
        <f>IF(OR(原始資料!$A385="",43&gt;設定!$B$3,原始資料!AT385=""),"",IF(AND(原始資料!AS385&lt;&gt;"",原始資料!AT385=原始資料!AS385),N(AQ385)+1,1))</f>
        <v/>
      </c>
      <c r="AS385" s="6">
        <f>IF(OR(原始資料!$A385="",44&gt;設定!$B$3,原始資料!AU385=""),"",IF(AND(原始資料!AT385&lt;&gt;"",原始資料!AU385=原始資料!AT385),N(AR385)+1,1))</f>
        <v/>
      </c>
      <c r="AT385" s="6">
        <f>IF(OR(原始資料!$A385="",45&gt;設定!$B$3,原始資料!AV385=""),"",IF(AND(原始資料!AU385&lt;&gt;"",原始資料!AV385=原始資料!AU385),N(AS385)+1,1))</f>
        <v/>
      </c>
      <c r="AU385" s="6">
        <f>IF(OR(原始資料!$A385="",46&gt;設定!$B$3,原始資料!AW385=""),"",IF(AND(原始資料!AV385&lt;&gt;"",原始資料!AW385=原始資料!AV385),N(AT385)+1,1))</f>
        <v/>
      </c>
      <c r="AV385" s="6">
        <f>IF(OR(原始資料!$A385="",47&gt;設定!$B$3,原始資料!AX385=""),"",IF(AND(原始資料!AW385&lt;&gt;"",原始資料!AX385=原始資料!AW385),N(AU385)+1,1))</f>
        <v/>
      </c>
      <c r="AW385" s="6">
        <f>IF(OR(原始資料!$A385="",48&gt;設定!$B$3,原始資料!AY385=""),"",IF(AND(原始資料!AX385&lt;&gt;"",原始資料!AY385=原始資料!AX385),N(AV385)+1,1))</f>
        <v/>
      </c>
      <c r="AX385" s="6">
        <f>IF(OR(原始資料!$A385="",49&gt;設定!$B$3,原始資料!AZ385=""),"",IF(AND(原始資料!AY385&lt;&gt;"",原始資料!AZ385=原始資料!AY385),N(AW385)+1,1))</f>
        <v/>
      </c>
      <c r="AY385" s="6">
        <f>IF(OR(原始資料!$A385="",50&gt;設定!$B$3,原始資料!BA385=""),"",IF(AND(原始資料!AZ385&lt;&gt;"",原始資料!BA385=原始資料!AZ385),N(AX385)+1,1))</f>
        <v/>
      </c>
      <c r="AZ385" s="6">
        <f>IF(OR(原始資料!$A385="",51&gt;設定!$B$3,原始資料!BB385=""),"",IF(AND(原始資料!BA385&lt;&gt;"",原始資料!BB385=原始資料!BA385),N(AY385)+1,1))</f>
        <v/>
      </c>
      <c r="BA385" s="6">
        <f>IF(OR(原始資料!$A385="",52&gt;設定!$B$3,原始資料!BC385=""),"",IF(AND(原始資料!BB385&lt;&gt;"",原始資料!BC385=原始資料!BB385),N(AZ385)+1,1))</f>
        <v/>
      </c>
      <c r="BB385" s="6">
        <f>IF(OR(原始資料!$A385="",53&gt;設定!$B$3,原始資料!BD385=""),"",IF(AND(原始資料!BC385&lt;&gt;"",原始資料!BD385=原始資料!BC385),N(BA385)+1,1))</f>
        <v/>
      </c>
      <c r="BC385" s="6">
        <f>IF(OR(原始資料!$A385="",54&gt;設定!$B$3,原始資料!BE385=""),"",IF(AND(原始資料!BD385&lt;&gt;"",原始資料!BE385=原始資料!BD385),N(BB385)+1,1))</f>
        <v/>
      </c>
      <c r="BD385" s="6">
        <f>IF(OR(原始資料!$A385="",55&gt;設定!$B$3,原始資料!BF385=""),"",IF(AND(原始資料!BE385&lt;&gt;"",原始資料!BF385=原始資料!BE385),N(BC385)+1,1))</f>
        <v/>
      </c>
      <c r="BE385" s="6">
        <f>IF(OR(原始資料!$A385="",56&gt;設定!$B$3,原始資料!BG385=""),"",IF(AND(原始資料!BF385&lt;&gt;"",原始資料!BG385=原始資料!BF385),N(BD385)+1,1))</f>
        <v/>
      </c>
      <c r="BF385" s="6">
        <f>IF(OR(原始資料!$A385="",57&gt;設定!$B$3,原始資料!BH385=""),"",IF(AND(原始資料!BG385&lt;&gt;"",原始資料!BH385=原始資料!BG385),N(BE385)+1,1))</f>
        <v/>
      </c>
      <c r="BG385" s="6">
        <f>IF(OR(原始資料!$A385="",58&gt;設定!$B$3,原始資料!BI385=""),"",IF(AND(原始資料!BH385&lt;&gt;"",原始資料!BI385=原始資料!BH385),N(BF385)+1,1))</f>
        <v/>
      </c>
      <c r="BH385" s="6">
        <f>IF(OR(原始資料!$A385="",59&gt;設定!$B$3,原始資料!BJ385=""),"",IF(AND(原始資料!BI385&lt;&gt;"",原始資料!BJ385=原始資料!BI385),N(BG385)+1,1))</f>
        <v/>
      </c>
      <c r="BI385" s="6">
        <f>IF(OR(原始資料!$A385="",60&gt;設定!$B$3,原始資料!BK385=""),"",IF(AND(原始資料!BJ385&lt;&gt;"",原始資料!BK385=原始資料!BJ385),N(BH385)+1,1))</f>
        <v/>
      </c>
    </row>
    <row r="386">
      <c r="A386" s="6">
        <f>IF(原始資料!$A386="","",原始資料!$A386)</f>
        <v/>
      </c>
      <c r="B386" s="6">
        <f>IF(OR(原始資料!$A386="",1&gt;設定!$B$3,原始資料!D386=""),"",1)</f>
        <v/>
      </c>
      <c r="C386" s="6">
        <f>IF(OR(原始資料!$A386="",2&gt;設定!$B$3,原始資料!E386=""),"",IF(AND(原始資料!D386&lt;&gt;"",原始資料!E386=原始資料!D386),N(B386)+1,1))</f>
        <v/>
      </c>
      <c r="D386" s="6">
        <f>IF(OR(原始資料!$A386="",3&gt;設定!$B$3,原始資料!F386=""),"",IF(AND(原始資料!E386&lt;&gt;"",原始資料!F386=原始資料!E386),N(C386)+1,1))</f>
        <v/>
      </c>
      <c r="E386" s="6">
        <f>IF(OR(原始資料!$A386="",4&gt;設定!$B$3,原始資料!G386=""),"",IF(AND(原始資料!F386&lt;&gt;"",原始資料!G386=原始資料!F386),N(D386)+1,1))</f>
        <v/>
      </c>
      <c r="F386" s="6">
        <f>IF(OR(原始資料!$A386="",5&gt;設定!$B$3,原始資料!H386=""),"",IF(AND(原始資料!G386&lt;&gt;"",原始資料!H386=原始資料!G386),N(E386)+1,1))</f>
        <v/>
      </c>
      <c r="G386" s="6">
        <f>IF(OR(原始資料!$A386="",6&gt;設定!$B$3,原始資料!I386=""),"",IF(AND(原始資料!H386&lt;&gt;"",原始資料!I386=原始資料!H386),N(F386)+1,1))</f>
        <v/>
      </c>
      <c r="H386" s="6">
        <f>IF(OR(原始資料!$A386="",7&gt;設定!$B$3,原始資料!J386=""),"",IF(AND(原始資料!I386&lt;&gt;"",原始資料!J386=原始資料!I386),N(G386)+1,1))</f>
        <v/>
      </c>
      <c r="I386" s="6">
        <f>IF(OR(原始資料!$A386="",8&gt;設定!$B$3,原始資料!K386=""),"",IF(AND(原始資料!J386&lt;&gt;"",原始資料!K386=原始資料!J386),N(H386)+1,1))</f>
        <v/>
      </c>
      <c r="J386" s="6">
        <f>IF(OR(原始資料!$A386="",9&gt;設定!$B$3,原始資料!L386=""),"",IF(AND(原始資料!K386&lt;&gt;"",原始資料!L386=原始資料!K386),N(I386)+1,1))</f>
        <v/>
      </c>
      <c r="K386" s="6">
        <f>IF(OR(原始資料!$A386="",10&gt;設定!$B$3,原始資料!M386=""),"",IF(AND(原始資料!L386&lt;&gt;"",原始資料!M386=原始資料!L386),N(J386)+1,1))</f>
        <v/>
      </c>
      <c r="L386" s="6">
        <f>IF(OR(原始資料!$A386="",11&gt;設定!$B$3,原始資料!N386=""),"",IF(AND(原始資料!M386&lt;&gt;"",原始資料!N386=原始資料!M386),N(K386)+1,1))</f>
        <v/>
      </c>
      <c r="M386" s="6">
        <f>IF(OR(原始資料!$A386="",12&gt;設定!$B$3,原始資料!O386=""),"",IF(AND(原始資料!N386&lt;&gt;"",原始資料!O386=原始資料!N386),N(L386)+1,1))</f>
        <v/>
      </c>
      <c r="N386" s="6">
        <f>IF(OR(原始資料!$A386="",13&gt;設定!$B$3,原始資料!P386=""),"",IF(AND(原始資料!O386&lt;&gt;"",原始資料!P386=原始資料!O386),N(M386)+1,1))</f>
        <v/>
      </c>
      <c r="O386" s="6">
        <f>IF(OR(原始資料!$A386="",14&gt;設定!$B$3,原始資料!Q386=""),"",IF(AND(原始資料!P386&lt;&gt;"",原始資料!Q386=原始資料!P386),N(N386)+1,1))</f>
        <v/>
      </c>
      <c r="P386" s="6">
        <f>IF(OR(原始資料!$A386="",15&gt;設定!$B$3,原始資料!R386=""),"",IF(AND(原始資料!Q386&lt;&gt;"",原始資料!R386=原始資料!Q386),N(O386)+1,1))</f>
        <v/>
      </c>
      <c r="Q386" s="6">
        <f>IF(OR(原始資料!$A386="",16&gt;設定!$B$3,原始資料!S386=""),"",IF(AND(原始資料!R386&lt;&gt;"",原始資料!S386=原始資料!R386),N(P386)+1,1))</f>
        <v/>
      </c>
      <c r="R386" s="6">
        <f>IF(OR(原始資料!$A386="",17&gt;設定!$B$3,原始資料!T386=""),"",IF(AND(原始資料!S386&lt;&gt;"",原始資料!T386=原始資料!S386),N(Q386)+1,1))</f>
        <v/>
      </c>
      <c r="S386" s="6">
        <f>IF(OR(原始資料!$A386="",18&gt;設定!$B$3,原始資料!U386=""),"",IF(AND(原始資料!T386&lt;&gt;"",原始資料!U386=原始資料!T386),N(R386)+1,1))</f>
        <v/>
      </c>
      <c r="T386" s="6">
        <f>IF(OR(原始資料!$A386="",19&gt;設定!$B$3,原始資料!V386=""),"",IF(AND(原始資料!U386&lt;&gt;"",原始資料!V386=原始資料!U386),N(S386)+1,1))</f>
        <v/>
      </c>
      <c r="U386" s="6">
        <f>IF(OR(原始資料!$A386="",20&gt;設定!$B$3,原始資料!W386=""),"",IF(AND(原始資料!V386&lt;&gt;"",原始資料!W386=原始資料!V386),N(T386)+1,1))</f>
        <v/>
      </c>
      <c r="V386" s="6">
        <f>IF(OR(原始資料!$A386="",21&gt;設定!$B$3,原始資料!X386=""),"",IF(AND(原始資料!W386&lt;&gt;"",原始資料!X386=原始資料!W386),N(U386)+1,1))</f>
        <v/>
      </c>
      <c r="W386" s="6">
        <f>IF(OR(原始資料!$A386="",22&gt;設定!$B$3,原始資料!Y386=""),"",IF(AND(原始資料!X386&lt;&gt;"",原始資料!Y386=原始資料!X386),N(V386)+1,1))</f>
        <v/>
      </c>
      <c r="X386" s="6">
        <f>IF(OR(原始資料!$A386="",23&gt;設定!$B$3,原始資料!Z386=""),"",IF(AND(原始資料!Y386&lt;&gt;"",原始資料!Z386=原始資料!Y386),N(W386)+1,1))</f>
        <v/>
      </c>
      <c r="Y386" s="6">
        <f>IF(OR(原始資料!$A386="",24&gt;設定!$B$3,原始資料!AA386=""),"",IF(AND(原始資料!Z386&lt;&gt;"",原始資料!AA386=原始資料!Z386),N(X386)+1,1))</f>
        <v/>
      </c>
      <c r="Z386" s="6">
        <f>IF(OR(原始資料!$A386="",25&gt;設定!$B$3,原始資料!AB386=""),"",IF(AND(原始資料!AA386&lt;&gt;"",原始資料!AB386=原始資料!AA386),N(Y386)+1,1))</f>
        <v/>
      </c>
      <c r="AA386" s="6">
        <f>IF(OR(原始資料!$A386="",26&gt;設定!$B$3,原始資料!AC386=""),"",IF(AND(原始資料!AB386&lt;&gt;"",原始資料!AC386=原始資料!AB386),N(Z386)+1,1))</f>
        <v/>
      </c>
      <c r="AB386" s="6">
        <f>IF(OR(原始資料!$A386="",27&gt;設定!$B$3,原始資料!AD386=""),"",IF(AND(原始資料!AC386&lt;&gt;"",原始資料!AD386=原始資料!AC386),N(AA386)+1,1))</f>
        <v/>
      </c>
      <c r="AC386" s="6">
        <f>IF(OR(原始資料!$A386="",28&gt;設定!$B$3,原始資料!AE386=""),"",IF(AND(原始資料!AD386&lt;&gt;"",原始資料!AE386=原始資料!AD386),N(AB386)+1,1))</f>
        <v/>
      </c>
      <c r="AD386" s="6">
        <f>IF(OR(原始資料!$A386="",29&gt;設定!$B$3,原始資料!AF386=""),"",IF(AND(原始資料!AE386&lt;&gt;"",原始資料!AF386=原始資料!AE386),N(AC386)+1,1))</f>
        <v/>
      </c>
      <c r="AE386" s="6">
        <f>IF(OR(原始資料!$A386="",30&gt;設定!$B$3,原始資料!AG386=""),"",IF(AND(原始資料!AF386&lt;&gt;"",原始資料!AG386=原始資料!AF386),N(AD386)+1,1))</f>
        <v/>
      </c>
      <c r="AF386" s="6">
        <f>IF(OR(原始資料!$A386="",31&gt;設定!$B$3,原始資料!AH386=""),"",IF(AND(原始資料!AG386&lt;&gt;"",原始資料!AH386=原始資料!AG386),N(AE386)+1,1))</f>
        <v/>
      </c>
      <c r="AG386" s="6">
        <f>IF(OR(原始資料!$A386="",32&gt;設定!$B$3,原始資料!AI386=""),"",IF(AND(原始資料!AH386&lt;&gt;"",原始資料!AI386=原始資料!AH386),N(AF386)+1,1))</f>
        <v/>
      </c>
      <c r="AH386" s="6">
        <f>IF(OR(原始資料!$A386="",33&gt;設定!$B$3,原始資料!AJ386=""),"",IF(AND(原始資料!AI386&lt;&gt;"",原始資料!AJ386=原始資料!AI386),N(AG386)+1,1))</f>
        <v/>
      </c>
      <c r="AI386" s="6">
        <f>IF(OR(原始資料!$A386="",34&gt;設定!$B$3,原始資料!AK386=""),"",IF(AND(原始資料!AJ386&lt;&gt;"",原始資料!AK386=原始資料!AJ386),N(AH386)+1,1))</f>
        <v/>
      </c>
      <c r="AJ386" s="6">
        <f>IF(OR(原始資料!$A386="",35&gt;設定!$B$3,原始資料!AL386=""),"",IF(AND(原始資料!AK386&lt;&gt;"",原始資料!AL386=原始資料!AK386),N(AI386)+1,1))</f>
        <v/>
      </c>
      <c r="AK386" s="6">
        <f>IF(OR(原始資料!$A386="",36&gt;設定!$B$3,原始資料!AM386=""),"",IF(AND(原始資料!AL386&lt;&gt;"",原始資料!AM386=原始資料!AL386),N(AJ386)+1,1))</f>
        <v/>
      </c>
      <c r="AL386" s="6">
        <f>IF(OR(原始資料!$A386="",37&gt;設定!$B$3,原始資料!AN386=""),"",IF(AND(原始資料!AM386&lt;&gt;"",原始資料!AN386=原始資料!AM386),N(AK386)+1,1))</f>
        <v/>
      </c>
      <c r="AM386" s="6">
        <f>IF(OR(原始資料!$A386="",38&gt;設定!$B$3,原始資料!AO386=""),"",IF(AND(原始資料!AN386&lt;&gt;"",原始資料!AO386=原始資料!AN386),N(AL386)+1,1))</f>
        <v/>
      </c>
      <c r="AN386" s="6">
        <f>IF(OR(原始資料!$A386="",39&gt;設定!$B$3,原始資料!AP386=""),"",IF(AND(原始資料!AO386&lt;&gt;"",原始資料!AP386=原始資料!AO386),N(AM386)+1,1))</f>
        <v/>
      </c>
      <c r="AO386" s="6">
        <f>IF(OR(原始資料!$A386="",40&gt;設定!$B$3,原始資料!AQ386=""),"",IF(AND(原始資料!AP386&lt;&gt;"",原始資料!AQ386=原始資料!AP386),N(AN386)+1,1))</f>
        <v/>
      </c>
      <c r="AP386" s="6">
        <f>IF(OR(原始資料!$A386="",41&gt;設定!$B$3,原始資料!AR386=""),"",IF(AND(原始資料!AQ386&lt;&gt;"",原始資料!AR386=原始資料!AQ386),N(AO386)+1,1))</f>
        <v/>
      </c>
      <c r="AQ386" s="6">
        <f>IF(OR(原始資料!$A386="",42&gt;設定!$B$3,原始資料!AS386=""),"",IF(AND(原始資料!AR386&lt;&gt;"",原始資料!AS386=原始資料!AR386),N(AP386)+1,1))</f>
        <v/>
      </c>
      <c r="AR386" s="6">
        <f>IF(OR(原始資料!$A386="",43&gt;設定!$B$3,原始資料!AT386=""),"",IF(AND(原始資料!AS386&lt;&gt;"",原始資料!AT386=原始資料!AS386),N(AQ386)+1,1))</f>
        <v/>
      </c>
      <c r="AS386" s="6">
        <f>IF(OR(原始資料!$A386="",44&gt;設定!$B$3,原始資料!AU386=""),"",IF(AND(原始資料!AT386&lt;&gt;"",原始資料!AU386=原始資料!AT386),N(AR386)+1,1))</f>
        <v/>
      </c>
      <c r="AT386" s="6">
        <f>IF(OR(原始資料!$A386="",45&gt;設定!$B$3,原始資料!AV386=""),"",IF(AND(原始資料!AU386&lt;&gt;"",原始資料!AV386=原始資料!AU386),N(AS386)+1,1))</f>
        <v/>
      </c>
      <c r="AU386" s="6">
        <f>IF(OR(原始資料!$A386="",46&gt;設定!$B$3,原始資料!AW386=""),"",IF(AND(原始資料!AV386&lt;&gt;"",原始資料!AW386=原始資料!AV386),N(AT386)+1,1))</f>
        <v/>
      </c>
      <c r="AV386" s="6">
        <f>IF(OR(原始資料!$A386="",47&gt;設定!$B$3,原始資料!AX386=""),"",IF(AND(原始資料!AW386&lt;&gt;"",原始資料!AX386=原始資料!AW386),N(AU386)+1,1))</f>
        <v/>
      </c>
      <c r="AW386" s="6">
        <f>IF(OR(原始資料!$A386="",48&gt;設定!$B$3,原始資料!AY386=""),"",IF(AND(原始資料!AX386&lt;&gt;"",原始資料!AY386=原始資料!AX386),N(AV386)+1,1))</f>
        <v/>
      </c>
      <c r="AX386" s="6">
        <f>IF(OR(原始資料!$A386="",49&gt;設定!$B$3,原始資料!AZ386=""),"",IF(AND(原始資料!AY386&lt;&gt;"",原始資料!AZ386=原始資料!AY386),N(AW386)+1,1))</f>
        <v/>
      </c>
      <c r="AY386" s="6">
        <f>IF(OR(原始資料!$A386="",50&gt;設定!$B$3,原始資料!BA386=""),"",IF(AND(原始資料!AZ386&lt;&gt;"",原始資料!BA386=原始資料!AZ386),N(AX386)+1,1))</f>
        <v/>
      </c>
      <c r="AZ386" s="6">
        <f>IF(OR(原始資料!$A386="",51&gt;設定!$B$3,原始資料!BB386=""),"",IF(AND(原始資料!BA386&lt;&gt;"",原始資料!BB386=原始資料!BA386),N(AY386)+1,1))</f>
        <v/>
      </c>
      <c r="BA386" s="6">
        <f>IF(OR(原始資料!$A386="",52&gt;設定!$B$3,原始資料!BC386=""),"",IF(AND(原始資料!BB386&lt;&gt;"",原始資料!BC386=原始資料!BB386),N(AZ386)+1,1))</f>
        <v/>
      </c>
      <c r="BB386" s="6">
        <f>IF(OR(原始資料!$A386="",53&gt;設定!$B$3,原始資料!BD386=""),"",IF(AND(原始資料!BC386&lt;&gt;"",原始資料!BD386=原始資料!BC386),N(BA386)+1,1))</f>
        <v/>
      </c>
      <c r="BC386" s="6">
        <f>IF(OR(原始資料!$A386="",54&gt;設定!$B$3,原始資料!BE386=""),"",IF(AND(原始資料!BD386&lt;&gt;"",原始資料!BE386=原始資料!BD386),N(BB386)+1,1))</f>
        <v/>
      </c>
      <c r="BD386" s="6">
        <f>IF(OR(原始資料!$A386="",55&gt;設定!$B$3,原始資料!BF386=""),"",IF(AND(原始資料!BE386&lt;&gt;"",原始資料!BF386=原始資料!BE386),N(BC386)+1,1))</f>
        <v/>
      </c>
      <c r="BE386" s="6">
        <f>IF(OR(原始資料!$A386="",56&gt;設定!$B$3,原始資料!BG386=""),"",IF(AND(原始資料!BF386&lt;&gt;"",原始資料!BG386=原始資料!BF386),N(BD386)+1,1))</f>
        <v/>
      </c>
      <c r="BF386" s="6">
        <f>IF(OR(原始資料!$A386="",57&gt;設定!$B$3,原始資料!BH386=""),"",IF(AND(原始資料!BG386&lt;&gt;"",原始資料!BH386=原始資料!BG386),N(BE386)+1,1))</f>
        <v/>
      </c>
      <c r="BG386" s="6">
        <f>IF(OR(原始資料!$A386="",58&gt;設定!$B$3,原始資料!BI386=""),"",IF(AND(原始資料!BH386&lt;&gt;"",原始資料!BI386=原始資料!BH386),N(BF386)+1,1))</f>
        <v/>
      </c>
      <c r="BH386" s="6">
        <f>IF(OR(原始資料!$A386="",59&gt;設定!$B$3,原始資料!BJ386=""),"",IF(AND(原始資料!BI386&lt;&gt;"",原始資料!BJ386=原始資料!BI386),N(BG386)+1,1))</f>
        <v/>
      </c>
      <c r="BI386" s="6">
        <f>IF(OR(原始資料!$A386="",60&gt;設定!$B$3,原始資料!BK386=""),"",IF(AND(原始資料!BJ386&lt;&gt;"",原始資料!BK386=原始資料!BJ386),N(BH386)+1,1))</f>
        <v/>
      </c>
    </row>
    <row r="387">
      <c r="A387" s="6">
        <f>IF(原始資料!$A387="","",原始資料!$A387)</f>
        <v/>
      </c>
      <c r="B387" s="6">
        <f>IF(OR(原始資料!$A387="",1&gt;設定!$B$3,原始資料!D387=""),"",1)</f>
        <v/>
      </c>
      <c r="C387" s="6">
        <f>IF(OR(原始資料!$A387="",2&gt;設定!$B$3,原始資料!E387=""),"",IF(AND(原始資料!D387&lt;&gt;"",原始資料!E387=原始資料!D387),N(B387)+1,1))</f>
        <v/>
      </c>
      <c r="D387" s="6">
        <f>IF(OR(原始資料!$A387="",3&gt;設定!$B$3,原始資料!F387=""),"",IF(AND(原始資料!E387&lt;&gt;"",原始資料!F387=原始資料!E387),N(C387)+1,1))</f>
        <v/>
      </c>
      <c r="E387" s="6">
        <f>IF(OR(原始資料!$A387="",4&gt;設定!$B$3,原始資料!G387=""),"",IF(AND(原始資料!F387&lt;&gt;"",原始資料!G387=原始資料!F387),N(D387)+1,1))</f>
        <v/>
      </c>
      <c r="F387" s="6">
        <f>IF(OR(原始資料!$A387="",5&gt;設定!$B$3,原始資料!H387=""),"",IF(AND(原始資料!G387&lt;&gt;"",原始資料!H387=原始資料!G387),N(E387)+1,1))</f>
        <v/>
      </c>
      <c r="G387" s="6">
        <f>IF(OR(原始資料!$A387="",6&gt;設定!$B$3,原始資料!I387=""),"",IF(AND(原始資料!H387&lt;&gt;"",原始資料!I387=原始資料!H387),N(F387)+1,1))</f>
        <v/>
      </c>
      <c r="H387" s="6">
        <f>IF(OR(原始資料!$A387="",7&gt;設定!$B$3,原始資料!J387=""),"",IF(AND(原始資料!I387&lt;&gt;"",原始資料!J387=原始資料!I387),N(G387)+1,1))</f>
        <v/>
      </c>
      <c r="I387" s="6">
        <f>IF(OR(原始資料!$A387="",8&gt;設定!$B$3,原始資料!K387=""),"",IF(AND(原始資料!J387&lt;&gt;"",原始資料!K387=原始資料!J387),N(H387)+1,1))</f>
        <v/>
      </c>
      <c r="J387" s="6">
        <f>IF(OR(原始資料!$A387="",9&gt;設定!$B$3,原始資料!L387=""),"",IF(AND(原始資料!K387&lt;&gt;"",原始資料!L387=原始資料!K387),N(I387)+1,1))</f>
        <v/>
      </c>
      <c r="K387" s="6">
        <f>IF(OR(原始資料!$A387="",10&gt;設定!$B$3,原始資料!M387=""),"",IF(AND(原始資料!L387&lt;&gt;"",原始資料!M387=原始資料!L387),N(J387)+1,1))</f>
        <v/>
      </c>
      <c r="L387" s="6">
        <f>IF(OR(原始資料!$A387="",11&gt;設定!$B$3,原始資料!N387=""),"",IF(AND(原始資料!M387&lt;&gt;"",原始資料!N387=原始資料!M387),N(K387)+1,1))</f>
        <v/>
      </c>
      <c r="M387" s="6">
        <f>IF(OR(原始資料!$A387="",12&gt;設定!$B$3,原始資料!O387=""),"",IF(AND(原始資料!N387&lt;&gt;"",原始資料!O387=原始資料!N387),N(L387)+1,1))</f>
        <v/>
      </c>
      <c r="N387" s="6">
        <f>IF(OR(原始資料!$A387="",13&gt;設定!$B$3,原始資料!P387=""),"",IF(AND(原始資料!O387&lt;&gt;"",原始資料!P387=原始資料!O387),N(M387)+1,1))</f>
        <v/>
      </c>
      <c r="O387" s="6">
        <f>IF(OR(原始資料!$A387="",14&gt;設定!$B$3,原始資料!Q387=""),"",IF(AND(原始資料!P387&lt;&gt;"",原始資料!Q387=原始資料!P387),N(N387)+1,1))</f>
        <v/>
      </c>
      <c r="P387" s="6">
        <f>IF(OR(原始資料!$A387="",15&gt;設定!$B$3,原始資料!R387=""),"",IF(AND(原始資料!Q387&lt;&gt;"",原始資料!R387=原始資料!Q387),N(O387)+1,1))</f>
        <v/>
      </c>
      <c r="Q387" s="6">
        <f>IF(OR(原始資料!$A387="",16&gt;設定!$B$3,原始資料!S387=""),"",IF(AND(原始資料!R387&lt;&gt;"",原始資料!S387=原始資料!R387),N(P387)+1,1))</f>
        <v/>
      </c>
      <c r="R387" s="6">
        <f>IF(OR(原始資料!$A387="",17&gt;設定!$B$3,原始資料!T387=""),"",IF(AND(原始資料!S387&lt;&gt;"",原始資料!T387=原始資料!S387),N(Q387)+1,1))</f>
        <v/>
      </c>
      <c r="S387" s="6">
        <f>IF(OR(原始資料!$A387="",18&gt;設定!$B$3,原始資料!U387=""),"",IF(AND(原始資料!T387&lt;&gt;"",原始資料!U387=原始資料!T387),N(R387)+1,1))</f>
        <v/>
      </c>
      <c r="T387" s="6">
        <f>IF(OR(原始資料!$A387="",19&gt;設定!$B$3,原始資料!V387=""),"",IF(AND(原始資料!U387&lt;&gt;"",原始資料!V387=原始資料!U387),N(S387)+1,1))</f>
        <v/>
      </c>
      <c r="U387" s="6">
        <f>IF(OR(原始資料!$A387="",20&gt;設定!$B$3,原始資料!W387=""),"",IF(AND(原始資料!V387&lt;&gt;"",原始資料!W387=原始資料!V387),N(T387)+1,1))</f>
        <v/>
      </c>
      <c r="V387" s="6">
        <f>IF(OR(原始資料!$A387="",21&gt;設定!$B$3,原始資料!X387=""),"",IF(AND(原始資料!W387&lt;&gt;"",原始資料!X387=原始資料!W387),N(U387)+1,1))</f>
        <v/>
      </c>
      <c r="W387" s="6">
        <f>IF(OR(原始資料!$A387="",22&gt;設定!$B$3,原始資料!Y387=""),"",IF(AND(原始資料!X387&lt;&gt;"",原始資料!Y387=原始資料!X387),N(V387)+1,1))</f>
        <v/>
      </c>
      <c r="X387" s="6">
        <f>IF(OR(原始資料!$A387="",23&gt;設定!$B$3,原始資料!Z387=""),"",IF(AND(原始資料!Y387&lt;&gt;"",原始資料!Z387=原始資料!Y387),N(W387)+1,1))</f>
        <v/>
      </c>
      <c r="Y387" s="6">
        <f>IF(OR(原始資料!$A387="",24&gt;設定!$B$3,原始資料!AA387=""),"",IF(AND(原始資料!Z387&lt;&gt;"",原始資料!AA387=原始資料!Z387),N(X387)+1,1))</f>
        <v/>
      </c>
      <c r="Z387" s="6">
        <f>IF(OR(原始資料!$A387="",25&gt;設定!$B$3,原始資料!AB387=""),"",IF(AND(原始資料!AA387&lt;&gt;"",原始資料!AB387=原始資料!AA387),N(Y387)+1,1))</f>
        <v/>
      </c>
      <c r="AA387" s="6">
        <f>IF(OR(原始資料!$A387="",26&gt;設定!$B$3,原始資料!AC387=""),"",IF(AND(原始資料!AB387&lt;&gt;"",原始資料!AC387=原始資料!AB387),N(Z387)+1,1))</f>
        <v/>
      </c>
      <c r="AB387" s="6">
        <f>IF(OR(原始資料!$A387="",27&gt;設定!$B$3,原始資料!AD387=""),"",IF(AND(原始資料!AC387&lt;&gt;"",原始資料!AD387=原始資料!AC387),N(AA387)+1,1))</f>
        <v/>
      </c>
      <c r="AC387" s="6">
        <f>IF(OR(原始資料!$A387="",28&gt;設定!$B$3,原始資料!AE387=""),"",IF(AND(原始資料!AD387&lt;&gt;"",原始資料!AE387=原始資料!AD387),N(AB387)+1,1))</f>
        <v/>
      </c>
      <c r="AD387" s="6">
        <f>IF(OR(原始資料!$A387="",29&gt;設定!$B$3,原始資料!AF387=""),"",IF(AND(原始資料!AE387&lt;&gt;"",原始資料!AF387=原始資料!AE387),N(AC387)+1,1))</f>
        <v/>
      </c>
      <c r="AE387" s="6">
        <f>IF(OR(原始資料!$A387="",30&gt;設定!$B$3,原始資料!AG387=""),"",IF(AND(原始資料!AF387&lt;&gt;"",原始資料!AG387=原始資料!AF387),N(AD387)+1,1))</f>
        <v/>
      </c>
      <c r="AF387" s="6">
        <f>IF(OR(原始資料!$A387="",31&gt;設定!$B$3,原始資料!AH387=""),"",IF(AND(原始資料!AG387&lt;&gt;"",原始資料!AH387=原始資料!AG387),N(AE387)+1,1))</f>
        <v/>
      </c>
      <c r="AG387" s="6">
        <f>IF(OR(原始資料!$A387="",32&gt;設定!$B$3,原始資料!AI387=""),"",IF(AND(原始資料!AH387&lt;&gt;"",原始資料!AI387=原始資料!AH387),N(AF387)+1,1))</f>
        <v/>
      </c>
      <c r="AH387" s="6">
        <f>IF(OR(原始資料!$A387="",33&gt;設定!$B$3,原始資料!AJ387=""),"",IF(AND(原始資料!AI387&lt;&gt;"",原始資料!AJ387=原始資料!AI387),N(AG387)+1,1))</f>
        <v/>
      </c>
      <c r="AI387" s="6">
        <f>IF(OR(原始資料!$A387="",34&gt;設定!$B$3,原始資料!AK387=""),"",IF(AND(原始資料!AJ387&lt;&gt;"",原始資料!AK387=原始資料!AJ387),N(AH387)+1,1))</f>
        <v/>
      </c>
      <c r="AJ387" s="6">
        <f>IF(OR(原始資料!$A387="",35&gt;設定!$B$3,原始資料!AL387=""),"",IF(AND(原始資料!AK387&lt;&gt;"",原始資料!AL387=原始資料!AK387),N(AI387)+1,1))</f>
        <v/>
      </c>
      <c r="AK387" s="6">
        <f>IF(OR(原始資料!$A387="",36&gt;設定!$B$3,原始資料!AM387=""),"",IF(AND(原始資料!AL387&lt;&gt;"",原始資料!AM387=原始資料!AL387),N(AJ387)+1,1))</f>
        <v/>
      </c>
      <c r="AL387" s="6">
        <f>IF(OR(原始資料!$A387="",37&gt;設定!$B$3,原始資料!AN387=""),"",IF(AND(原始資料!AM387&lt;&gt;"",原始資料!AN387=原始資料!AM387),N(AK387)+1,1))</f>
        <v/>
      </c>
      <c r="AM387" s="6">
        <f>IF(OR(原始資料!$A387="",38&gt;設定!$B$3,原始資料!AO387=""),"",IF(AND(原始資料!AN387&lt;&gt;"",原始資料!AO387=原始資料!AN387),N(AL387)+1,1))</f>
        <v/>
      </c>
      <c r="AN387" s="6">
        <f>IF(OR(原始資料!$A387="",39&gt;設定!$B$3,原始資料!AP387=""),"",IF(AND(原始資料!AO387&lt;&gt;"",原始資料!AP387=原始資料!AO387),N(AM387)+1,1))</f>
        <v/>
      </c>
      <c r="AO387" s="6">
        <f>IF(OR(原始資料!$A387="",40&gt;設定!$B$3,原始資料!AQ387=""),"",IF(AND(原始資料!AP387&lt;&gt;"",原始資料!AQ387=原始資料!AP387),N(AN387)+1,1))</f>
        <v/>
      </c>
      <c r="AP387" s="6">
        <f>IF(OR(原始資料!$A387="",41&gt;設定!$B$3,原始資料!AR387=""),"",IF(AND(原始資料!AQ387&lt;&gt;"",原始資料!AR387=原始資料!AQ387),N(AO387)+1,1))</f>
        <v/>
      </c>
      <c r="AQ387" s="6">
        <f>IF(OR(原始資料!$A387="",42&gt;設定!$B$3,原始資料!AS387=""),"",IF(AND(原始資料!AR387&lt;&gt;"",原始資料!AS387=原始資料!AR387),N(AP387)+1,1))</f>
        <v/>
      </c>
      <c r="AR387" s="6">
        <f>IF(OR(原始資料!$A387="",43&gt;設定!$B$3,原始資料!AT387=""),"",IF(AND(原始資料!AS387&lt;&gt;"",原始資料!AT387=原始資料!AS387),N(AQ387)+1,1))</f>
        <v/>
      </c>
      <c r="AS387" s="6">
        <f>IF(OR(原始資料!$A387="",44&gt;設定!$B$3,原始資料!AU387=""),"",IF(AND(原始資料!AT387&lt;&gt;"",原始資料!AU387=原始資料!AT387),N(AR387)+1,1))</f>
        <v/>
      </c>
      <c r="AT387" s="6">
        <f>IF(OR(原始資料!$A387="",45&gt;設定!$B$3,原始資料!AV387=""),"",IF(AND(原始資料!AU387&lt;&gt;"",原始資料!AV387=原始資料!AU387),N(AS387)+1,1))</f>
        <v/>
      </c>
      <c r="AU387" s="6">
        <f>IF(OR(原始資料!$A387="",46&gt;設定!$B$3,原始資料!AW387=""),"",IF(AND(原始資料!AV387&lt;&gt;"",原始資料!AW387=原始資料!AV387),N(AT387)+1,1))</f>
        <v/>
      </c>
      <c r="AV387" s="6">
        <f>IF(OR(原始資料!$A387="",47&gt;設定!$B$3,原始資料!AX387=""),"",IF(AND(原始資料!AW387&lt;&gt;"",原始資料!AX387=原始資料!AW387),N(AU387)+1,1))</f>
        <v/>
      </c>
      <c r="AW387" s="6">
        <f>IF(OR(原始資料!$A387="",48&gt;設定!$B$3,原始資料!AY387=""),"",IF(AND(原始資料!AX387&lt;&gt;"",原始資料!AY387=原始資料!AX387),N(AV387)+1,1))</f>
        <v/>
      </c>
      <c r="AX387" s="6">
        <f>IF(OR(原始資料!$A387="",49&gt;設定!$B$3,原始資料!AZ387=""),"",IF(AND(原始資料!AY387&lt;&gt;"",原始資料!AZ387=原始資料!AY387),N(AW387)+1,1))</f>
        <v/>
      </c>
      <c r="AY387" s="6">
        <f>IF(OR(原始資料!$A387="",50&gt;設定!$B$3,原始資料!BA387=""),"",IF(AND(原始資料!AZ387&lt;&gt;"",原始資料!BA387=原始資料!AZ387),N(AX387)+1,1))</f>
        <v/>
      </c>
      <c r="AZ387" s="6">
        <f>IF(OR(原始資料!$A387="",51&gt;設定!$B$3,原始資料!BB387=""),"",IF(AND(原始資料!BA387&lt;&gt;"",原始資料!BB387=原始資料!BA387),N(AY387)+1,1))</f>
        <v/>
      </c>
      <c r="BA387" s="6">
        <f>IF(OR(原始資料!$A387="",52&gt;設定!$B$3,原始資料!BC387=""),"",IF(AND(原始資料!BB387&lt;&gt;"",原始資料!BC387=原始資料!BB387),N(AZ387)+1,1))</f>
        <v/>
      </c>
      <c r="BB387" s="6">
        <f>IF(OR(原始資料!$A387="",53&gt;設定!$B$3,原始資料!BD387=""),"",IF(AND(原始資料!BC387&lt;&gt;"",原始資料!BD387=原始資料!BC387),N(BA387)+1,1))</f>
        <v/>
      </c>
      <c r="BC387" s="6">
        <f>IF(OR(原始資料!$A387="",54&gt;設定!$B$3,原始資料!BE387=""),"",IF(AND(原始資料!BD387&lt;&gt;"",原始資料!BE387=原始資料!BD387),N(BB387)+1,1))</f>
        <v/>
      </c>
      <c r="BD387" s="6">
        <f>IF(OR(原始資料!$A387="",55&gt;設定!$B$3,原始資料!BF387=""),"",IF(AND(原始資料!BE387&lt;&gt;"",原始資料!BF387=原始資料!BE387),N(BC387)+1,1))</f>
        <v/>
      </c>
      <c r="BE387" s="6">
        <f>IF(OR(原始資料!$A387="",56&gt;設定!$B$3,原始資料!BG387=""),"",IF(AND(原始資料!BF387&lt;&gt;"",原始資料!BG387=原始資料!BF387),N(BD387)+1,1))</f>
        <v/>
      </c>
      <c r="BF387" s="6">
        <f>IF(OR(原始資料!$A387="",57&gt;設定!$B$3,原始資料!BH387=""),"",IF(AND(原始資料!BG387&lt;&gt;"",原始資料!BH387=原始資料!BG387),N(BE387)+1,1))</f>
        <v/>
      </c>
      <c r="BG387" s="6">
        <f>IF(OR(原始資料!$A387="",58&gt;設定!$B$3,原始資料!BI387=""),"",IF(AND(原始資料!BH387&lt;&gt;"",原始資料!BI387=原始資料!BH387),N(BF387)+1,1))</f>
        <v/>
      </c>
      <c r="BH387" s="6">
        <f>IF(OR(原始資料!$A387="",59&gt;設定!$B$3,原始資料!BJ387=""),"",IF(AND(原始資料!BI387&lt;&gt;"",原始資料!BJ387=原始資料!BI387),N(BG387)+1,1))</f>
        <v/>
      </c>
      <c r="BI387" s="6">
        <f>IF(OR(原始資料!$A387="",60&gt;設定!$B$3,原始資料!BK387=""),"",IF(AND(原始資料!BJ387&lt;&gt;"",原始資料!BK387=原始資料!BJ387),N(BH387)+1,1))</f>
        <v/>
      </c>
    </row>
    <row r="388">
      <c r="A388" s="6">
        <f>IF(原始資料!$A388="","",原始資料!$A388)</f>
        <v/>
      </c>
      <c r="B388" s="6">
        <f>IF(OR(原始資料!$A388="",1&gt;設定!$B$3,原始資料!D388=""),"",1)</f>
        <v/>
      </c>
      <c r="C388" s="6">
        <f>IF(OR(原始資料!$A388="",2&gt;設定!$B$3,原始資料!E388=""),"",IF(AND(原始資料!D388&lt;&gt;"",原始資料!E388=原始資料!D388),N(B388)+1,1))</f>
        <v/>
      </c>
      <c r="D388" s="6">
        <f>IF(OR(原始資料!$A388="",3&gt;設定!$B$3,原始資料!F388=""),"",IF(AND(原始資料!E388&lt;&gt;"",原始資料!F388=原始資料!E388),N(C388)+1,1))</f>
        <v/>
      </c>
      <c r="E388" s="6">
        <f>IF(OR(原始資料!$A388="",4&gt;設定!$B$3,原始資料!G388=""),"",IF(AND(原始資料!F388&lt;&gt;"",原始資料!G388=原始資料!F388),N(D388)+1,1))</f>
        <v/>
      </c>
      <c r="F388" s="6">
        <f>IF(OR(原始資料!$A388="",5&gt;設定!$B$3,原始資料!H388=""),"",IF(AND(原始資料!G388&lt;&gt;"",原始資料!H388=原始資料!G388),N(E388)+1,1))</f>
        <v/>
      </c>
      <c r="G388" s="6">
        <f>IF(OR(原始資料!$A388="",6&gt;設定!$B$3,原始資料!I388=""),"",IF(AND(原始資料!H388&lt;&gt;"",原始資料!I388=原始資料!H388),N(F388)+1,1))</f>
        <v/>
      </c>
      <c r="H388" s="6">
        <f>IF(OR(原始資料!$A388="",7&gt;設定!$B$3,原始資料!J388=""),"",IF(AND(原始資料!I388&lt;&gt;"",原始資料!J388=原始資料!I388),N(G388)+1,1))</f>
        <v/>
      </c>
      <c r="I388" s="6">
        <f>IF(OR(原始資料!$A388="",8&gt;設定!$B$3,原始資料!K388=""),"",IF(AND(原始資料!J388&lt;&gt;"",原始資料!K388=原始資料!J388),N(H388)+1,1))</f>
        <v/>
      </c>
      <c r="J388" s="6">
        <f>IF(OR(原始資料!$A388="",9&gt;設定!$B$3,原始資料!L388=""),"",IF(AND(原始資料!K388&lt;&gt;"",原始資料!L388=原始資料!K388),N(I388)+1,1))</f>
        <v/>
      </c>
      <c r="K388" s="6">
        <f>IF(OR(原始資料!$A388="",10&gt;設定!$B$3,原始資料!M388=""),"",IF(AND(原始資料!L388&lt;&gt;"",原始資料!M388=原始資料!L388),N(J388)+1,1))</f>
        <v/>
      </c>
      <c r="L388" s="6">
        <f>IF(OR(原始資料!$A388="",11&gt;設定!$B$3,原始資料!N388=""),"",IF(AND(原始資料!M388&lt;&gt;"",原始資料!N388=原始資料!M388),N(K388)+1,1))</f>
        <v/>
      </c>
      <c r="M388" s="6">
        <f>IF(OR(原始資料!$A388="",12&gt;設定!$B$3,原始資料!O388=""),"",IF(AND(原始資料!N388&lt;&gt;"",原始資料!O388=原始資料!N388),N(L388)+1,1))</f>
        <v/>
      </c>
      <c r="N388" s="6">
        <f>IF(OR(原始資料!$A388="",13&gt;設定!$B$3,原始資料!P388=""),"",IF(AND(原始資料!O388&lt;&gt;"",原始資料!P388=原始資料!O388),N(M388)+1,1))</f>
        <v/>
      </c>
      <c r="O388" s="6">
        <f>IF(OR(原始資料!$A388="",14&gt;設定!$B$3,原始資料!Q388=""),"",IF(AND(原始資料!P388&lt;&gt;"",原始資料!Q388=原始資料!P388),N(N388)+1,1))</f>
        <v/>
      </c>
      <c r="P388" s="6">
        <f>IF(OR(原始資料!$A388="",15&gt;設定!$B$3,原始資料!R388=""),"",IF(AND(原始資料!Q388&lt;&gt;"",原始資料!R388=原始資料!Q388),N(O388)+1,1))</f>
        <v/>
      </c>
      <c r="Q388" s="6">
        <f>IF(OR(原始資料!$A388="",16&gt;設定!$B$3,原始資料!S388=""),"",IF(AND(原始資料!R388&lt;&gt;"",原始資料!S388=原始資料!R388),N(P388)+1,1))</f>
        <v/>
      </c>
      <c r="R388" s="6">
        <f>IF(OR(原始資料!$A388="",17&gt;設定!$B$3,原始資料!T388=""),"",IF(AND(原始資料!S388&lt;&gt;"",原始資料!T388=原始資料!S388),N(Q388)+1,1))</f>
        <v/>
      </c>
      <c r="S388" s="6">
        <f>IF(OR(原始資料!$A388="",18&gt;設定!$B$3,原始資料!U388=""),"",IF(AND(原始資料!T388&lt;&gt;"",原始資料!U388=原始資料!T388),N(R388)+1,1))</f>
        <v/>
      </c>
      <c r="T388" s="6">
        <f>IF(OR(原始資料!$A388="",19&gt;設定!$B$3,原始資料!V388=""),"",IF(AND(原始資料!U388&lt;&gt;"",原始資料!V388=原始資料!U388),N(S388)+1,1))</f>
        <v/>
      </c>
      <c r="U388" s="6">
        <f>IF(OR(原始資料!$A388="",20&gt;設定!$B$3,原始資料!W388=""),"",IF(AND(原始資料!V388&lt;&gt;"",原始資料!W388=原始資料!V388),N(T388)+1,1))</f>
        <v/>
      </c>
      <c r="V388" s="6">
        <f>IF(OR(原始資料!$A388="",21&gt;設定!$B$3,原始資料!X388=""),"",IF(AND(原始資料!W388&lt;&gt;"",原始資料!X388=原始資料!W388),N(U388)+1,1))</f>
        <v/>
      </c>
      <c r="W388" s="6">
        <f>IF(OR(原始資料!$A388="",22&gt;設定!$B$3,原始資料!Y388=""),"",IF(AND(原始資料!X388&lt;&gt;"",原始資料!Y388=原始資料!X388),N(V388)+1,1))</f>
        <v/>
      </c>
      <c r="X388" s="6">
        <f>IF(OR(原始資料!$A388="",23&gt;設定!$B$3,原始資料!Z388=""),"",IF(AND(原始資料!Y388&lt;&gt;"",原始資料!Z388=原始資料!Y388),N(W388)+1,1))</f>
        <v/>
      </c>
      <c r="Y388" s="6">
        <f>IF(OR(原始資料!$A388="",24&gt;設定!$B$3,原始資料!AA388=""),"",IF(AND(原始資料!Z388&lt;&gt;"",原始資料!AA388=原始資料!Z388),N(X388)+1,1))</f>
        <v/>
      </c>
      <c r="Z388" s="6">
        <f>IF(OR(原始資料!$A388="",25&gt;設定!$B$3,原始資料!AB388=""),"",IF(AND(原始資料!AA388&lt;&gt;"",原始資料!AB388=原始資料!AA388),N(Y388)+1,1))</f>
        <v/>
      </c>
      <c r="AA388" s="6">
        <f>IF(OR(原始資料!$A388="",26&gt;設定!$B$3,原始資料!AC388=""),"",IF(AND(原始資料!AB388&lt;&gt;"",原始資料!AC388=原始資料!AB388),N(Z388)+1,1))</f>
        <v/>
      </c>
      <c r="AB388" s="6">
        <f>IF(OR(原始資料!$A388="",27&gt;設定!$B$3,原始資料!AD388=""),"",IF(AND(原始資料!AC388&lt;&gt;"",原始資料!AD388=原始資料!AC388),N(AA388)+1,1))</f>
        <v/>
      </c>
      <c r="AC388" s="6">
        <f>IF(OR(原始資料!$A388="",28&gt;設定!$B$3,原始資料!AE388=""),"",IF(AND(原始資料!AD388&lt;&gt;"",原始資料!AE388=原始資料!AD388),N(AB388)+1,1))</f>
        <v/>
      </c>
      <c r="AD388" s="6">
        <f>IF(OR(原始資料!$A388="",29&gt;設定!$B$3,原始資料!AF388=""),"",IF(AND(原始資料!AE388&lt;&gt;"",原始資料!AF388=原始資料!AE388),N(AC388)+1,1))</f>
        <v/>
      </c>
      <c r="AE388" s="6">
        <f>IF(OR(原始資料!$A388="",30&gt;設定!$B$3,原始資料!AG388=""),"",IF(AND(原始資料!AF388&lt;&gt;"",原始資料!AG388=原始資料!AF388),N(AD388)+1,1))</f>
        <v/>
      </c>
      <c r="AF388" s="6">
        <f>IF(OR(原始資料!$A388="",31&gt;設定!$B$3,原始資料!AH388=""),"",IF(AND(原始資料!AG388&lt;&gt;"",原始資料!AH388=原始資料!AG388),N(AE388)+1,1))</f>
        <v/>
      </c>
      <c r="AG388" s="6">
        <f>IF(OR(原始資料!$A388="",32&gt;設定!$B$3,原始資料!AI388=""),"",IF(AND(原始資料!AH388&lt;&gt;"",原始資料!AI388=原始資料!AH388),N(AF388)+1,1))</f>
        <v/>
      </c>
      <c r="AH388" s="6">
        <f>IF(OR(原始資料!$A388="",33&gt;設定!$B$3,原始資料!AJ388=""),"",IF(AND(原始資料!AI388&lt;&gt;"",原始資料!AJ388=原始資料!AI388),N(AG388)+1,1))</f>
        <v/>
      </c>
      <c r="AI388" s="6">
        <f>IF(OR(原始資料!$A388="",34&gt;設定!$B$3,原始資料!AK388=""),"",IF(AND(原始資料!AJ388&lt;&gt;"",原始資料!AK388=原始資料!AJ388),N(AH388)+1,1))</f>
        <v/>
      </c>
      <c r="AJ388" s="6">
        <f>IF(OR(原始資料!$A388="",35&gt;設定!$B$3,原始資料!AL388=""),"",IF(AND(原始資料!AK388&lt;&gt;"",原始資料!AL388=原始資料!AK388),N(AI388)+1,1))</f>
        <v/>
      </c>
      <c r="AK388" s="6">
        <f>IF(OR(原始資料!$A388="",36&gt;設定!$B$3,原始資料!AM388=""),"",IF(AND(原始資料!AL388&lt;&gt;"",原始資料!AM388=原始資料!AL388),N(AJ388)+1,1))</f>
        <v/>
      </c>
      <c r="AL388" s="6">
        <f>IF(OR(原始資料!$A388="",37&gt;設定!$B$3,原始資料!AN388=""),"",IF(AND(原始資料!AM388&lt;&gt;"",原始資料!AN388=原始資料!AM388),N(AK388)+1,1))</f>
        <v/>
      </c>
      <c r="AM388" s="6">
        <f>IF(OR(原始資料!$A388="",38&gt;設定!$B$3,原始資料!AO388=""),"",IF(AND(原始資料!AN388&lt;&gt;"",原始資料!AO388=原始資料!AN388),N(AL388)+1,1))</f>
        <v/>
      </c>
      <c r="AN388" s="6">
        <f>IF(OR(原始資料!$A388="",39&gt;設定!$B$3,原始資料!AP388=""),"",IF(AND(原始資料!AO388&lt;&gt;"",原始資料!AP388=原始資料!AO388),N(AM388)+1,1))</f>
        <v/>
      </c>
      <c r="AO388" s="6">
        <f>IF(OR(原始資料!$A388="",40&gt;設定!$B$3,原始資料!AQ388=""),"",IF(AND(原始資料!AP388&lt;&gt;"",原始資料!AQ388=原始資料!AP388),N(AN388)+1,1))</f>
        <v/>
      </c>
      <c r="AP388" s="6">
        <f>IF(OR(原始資料!$A388="",41&gt;設定!$B$3,原始資料!AR388=""),"",IF(AND(原始資料!AQ388&lt;&gt;"",原始資料!AR388=原始資料!AQ388),N(AO388)+1,1))</f>
        <v/>
      </c>
      <c r="AQ388" s="6">
        <f>IF(OR(原始資料!$A388="",42&gt;設定!$B$3,原始資料!AS388=""),"",IF(AND(原始資料!AR388&lt;&gt;"",原始資料!AS388=原始資料!AR388),N(AP388)+1,1))</f>
        <v/>
      </c>
      <c r="AR388" s="6">
        <f>IF(OR(原始資料!$A388="",43&gt;設定!$B$3,原始資料!AT388=""),"",IF(AND(原始資料!AS388&lt;&gt;"",原始資料!AT388=原始資料!AS388),N(AQ388)+1,1))</f>
        <v/>
      </c>
      <c r="AS388" s="6">
        <f>IF(OR(原始資料!$A388="",44&gt;設定!$B$3,原始資料!AU388=""),"",IF(AND(原始資料!AT388&lt;&gt;"",原始資料!AU388=原始資料!AT388),N(AR388)+1,1))</f>
        <v/>
      </c>
      <c r="AT388" s="6">
        <f>IF(OR(原始資料!$A388="",45&gt;設定!$B$3,原始資料!AV388=""),"",IF(AND(原始資料!AU388&lt;&gt;"",原始資料!AV388=原始資料!AU388),N(AS388)+1,1))</f>
        <v/>
      </c>
      <c r="AU388" s="6">
        <f>IF(OR(原始資料!$A388="",46&gt;設定!$B$3,原始資料!AW388=""),"",IF(AND(原始資料!AV388&lt;&gt;"",原始資料!AW388=原始資料!AV388),N(AT388)+1,1))</f>
        <v/>
      </c>
      <c r="AV388" s="6">
        <f>IF(OR(原始資料!$A388="",47&gt;設定!$B$3,原始資料!AX388=""),"",IF(AND(原始資料!AW388&lt;&gt;"",原始資料!AX388=原始資料!AW388),N(AU388)+1,1))</f>
        <v/>
      </c>
      <c r="AW388" s="6">
        <f>IF(OR(原始資料!$A388="",48&gt;設定!$B$3,原始資料!AY388=""),"",IF(AND(原始資料!AX388&lt;&gt;"",原始資料!AY388=原始資料!AX388),N(AV388)+1,1))</f>
        <v/>
      </c>
      <c r="AX388" s="6">
        <f>IF(OR(原始資料!$A388="",49&gt;設定!$B$3,原始資料!AZ388=""),"",IF(AND(原始資料!AY388&lt;&gt;"",原始資料!AZ388=原始資料!AY388),N(AW388)+1,1))</f>
        <v/>
      </c>
      <c r="AY388" s="6">
        <f>IF(OR(原始資料!$A388="",50&gt;設定!$B$3,原始資料!BA388=""),"",IF(AND(原始資料!AZ388&lt;&gt;"",原始資料!BA388=原始資料!AZ388),N(AX388)+1,1))</f>
        <v/>
      </c>
      <c r="AZ388" s="6">
        <f>IF(OR(原始資料!$A388="",51&gt;設定!$B$3,原始資料!BB388=""),"",IF(AND(原始資料!BA388&lt;&gt;"",原始資料!BB388=原始資料!BA388),N(AY388)+1,1))</f>
        <v/>
      </c>
      <c r="BA388" s="6">
        <f>IF(OR(原始資料!$A388="",52&gt;設定!$B$3,原始資料!BC388=""),"",IF(AND(原始資料!BB388&lt;&gt;"",原始資料!BC388=原始資料!BB388),N(AZ388)+1,1))</f>
        <v/>
      </c>
      <c r="BB388" s="6">
        <f>IF(OR(原始資料!$A388="",53&gt;設定!$B$3,原始資料!BD388=""),"",IF(AND(原始資料!BC388&lt;&gt;"",原始資料!BD388=原始資料!BC388),N(BA388)+1,1))</f>
        <v/>
      </c>
      <c r="BC388" s="6">
        <f>IF(OR(原始資料!$A388="",54&gt;設定!$B$3,原始資料!BE388=""),"",IF(AND(原始資料!BD388&lt;&gt;"",原始資料!BE388=原始資料!BD388),N(BB388)+1,1))</f>
        <v/>
      </c>
      <c r="BD388" s="6">
        <f>IF(OR(原始資料!$A388="",55&gt;設定!$B$3,原始資料!BF388=""),"",IF(AND(原始資料!BE388&lt;&gt;"",原始資料!BF388=原始資料!BE388),N(BC388)+1,1))</f>
        <v/>
      </c>
      <c r="BE388" s="6">
        <f>IF(OR(原始資料!$A388="",56&gt;設定!$B$3,原始資料!BG388=""),"",IF(AND(原始資料!BF388&lt;&gt;"",原始資料!BG388=原始資料!BF388),N(BD388)+1,1))</f>
        <v/>
      </c>
      <c r="BF388" s="6">
        <f>IF(OR(原始資料!$A388="",57&gt;設定!$B$3,原始資料!BH388=""),"",IF(AND(原始資料!BG388&lt;&gt;"",原始資料!BH388=原始資料!BG388),N(BE388)+1,1))</f>
        <v/>
      </c>
      <c r="BG388" s="6">
        <f>IF(OR(原始資料!$A388="",58&gt;設定!$B$3,原始資料!BI388=""),"",IF(AND(原始資料!BH388&lt;&gt;"",原始資料!BI388=原始資料!BH388),N(BF388)+1,1))</f>
        <v/>
      </c>
      <c r="BH388" s="6">
        <f>IF(OR(原始資料!$A388="",59&gt;設定!$B$3,原始資料!BJ388=""),"",IF(AND(原始資料!BI388&lt;&gt;"",原始資料!BJ388=原始資料!BI388),N(BG388)+1,1))</f>
        <v/>
      </c>
      <c r="BI388" s="6">
        <f>IF(OR(原始資料!$A388="",60&gt;設定!$B$3,原始資料!BK388=""),"",IF(AND(原始資料!BJ388&lt;&gt;"",原始資料!BK388=原始資料!BJ388),N(BH388)+1,1))</f>
        <v/>
      </c>
    </row>
    <row r="389">
      <c r="A389" s="6">
        <f>IF(原始資料!$A389="","",原始資料!$A389)</f>
        <v/>
      </c>
      <c r="B389" s="6">
        <f>IF(OR(原始資料!$A389="",1&gt;設定!$B$3,原始資料!D389=""),"",1)</f>
        <v/>
      </c>
      <c r="C389" s="6">
        <f>IF(OR(原始資料!$A389="",2&gt;設定!$B$3,原始資料!E389=""),"",IF(AND(原始資料!D389&lt;&gt;"",原始資料!E389=原始資料!D389),N(B389)+1,1))</f>
        <v/>
      </c>
      <c r="D389" s="6">
        <f>IF(OR(原始資料!$A389="",3&gt;設定!$B$3,原始資料!F389=""),"",IF(AND(原始資料!E389&lt;&gt;"",原始資料!F389=原始資料!E389),N(C389)+1,1))</f>
        <v/>
      </c>
      <c r="E389" s="6">
        <f>IF(OR(原始資料!$A389="",4&gt;設定!$B$3,原始資料!G389=""),"",IF(AND(原始資料!F389&lt;&gt;"",原始資料!G389=原始資料!F389),N(D389)+1,1))</f>
        <v/>
      </c>
      <c r="F389" s="6">
        <f>IF(OR(原始資料!$A389="",5&gt;設定!$B$3,原始資料!H389=""),"",IF(AND(原始資料!G389&lt;&gt;"",原始資料!H389=原始資料!G389),N(E389)+1,1))</f>
        <v/>
      </c>
      <c r="G389" s="6">
        <f>IF(OR(原始資料!$A389="",6&gt;設定!$B$3,原始資料!I389=""),"",IF(AND(原始資料!H389&lt;&gt;"",原始資料!I389=原始資料!H389),N(F389)+1,1))</f>
        <v/>
      </c>
      <c r="H389" s="6">
        <f>IF(OR(原始資料!$A389="",7&gt;設定!$B$3,原始資料!J389=""),"",IF(AND(原始資料!I389&lt;&gt;"",原始資料!J389=原始資料!I389),N(G389)+1,1))</f>
        <v/>
      </c>
      <c r="I389" s="6">
        <f>IF(OR(原始資料!$A389="",8&gt;設定!$B$3,原始資料!K389=""),"",IF(AND(原始資料!J389&lt;&gt;"",原始資料!K389=原始資料!J389),N(H389)+1,1))</f>
        <v/>
      </c>
      <c r="J389" s="6">
        <f>IF(OR(原始資料!$A389="",9&gt;設定!$B$3,原始資料!L389=""),"",IF(AND(原始資料!K389&lt;&gt;"",原始資料!L389=原始資料!K389),N(I389)+1,1))</f>
        <v/>
      </c>
      <c r="K389" s="6">
        <f>IF(OR(原始資料!$A389="",10&gt;設定!$B$3,原始資料!M389=""),"",IF(AND(原始資料!L389&lt;&gt;"",原始資料!M389=原始資料!L389),N(J389)+1,1))</f>
        <v/>
      </c>
      <c r="L389" s="6">
        <f>IF(OR(原始資料!$A389="",11&gt;設定!$B$3,原始資料!N389=""),"",IF(AND(原始資料!M389&lt;&gt;"",原始資料!N389=原始資料!M389),N(K389)+1,1))</f>
        <v/>
      </c>
      <c r="M389" s="6">
        <f>IF(OR(原始資料!$A389="",12&gt;設定!$B$3,原始資料!O389=""),"",IF(AND(原始資料!N389&lt;&gt;"",原始資料!O389=原始資料!N389),N(L389)+1,1))</f>
        <v/>
      </c>
      <c r="N389" s="6">
        <f>IF(OR(原始資料!$A389="",13&gt;設定!$B$3,原始資料!P389=""),"",IF(AND(原始資料!O389&lt;&gt;"",原始資料!P389=原始資料!O389),N(M389)+1,1))</f>
        <v/>
      </c>
      <c r="O389" s="6">
        <f>IF(OR(原始資料!$A389="",14&gt;設定!$B$3,原始資料!Q389=""),"",IF(AND(原始資料!P389&lt;&gt;"",原始資料!Q389=原始資料!P389),N(N389)+1,1))</f>
        <v/>
      </c>
      <c r="P389" s="6">
        <f>IF(OR(原始資料!$A389="",15&gt;設定!$B$3,原始資料!R389=""),"",IF(AND(原始資料!Q389&lt;&gt;"",原始資料!R389=原始資料!Q389),N(O389)+1,1))</f>
        <v/>
      </c>
      <c r="Q389" s="6">
        <f>IF(OR(原始資料!$A389="",16&gt;設定!$B$3,原始資料!S389=""),"",IF(AND(原始資料!R389&lt;&gt;"",原始資料!S389=原始資料!R389),N(P389)+1,1))</f>
        <v/>
      </c>
      <c r="R389" s="6">
        <f>IF(OR(原始資料!$A389="",17&gt;設定!$B$3,原始資料!T389=""),"",IF(AND(原始資料!S389&lt;&gt;"",原始資料!T389=原始資料!S389),N(Q389)+1,1))</f>
        <v/>
      </c>
      <c r="S389" s="6">
        <f>IF(OR(原始資料!$A389="",18&gt;設定!$B$3,原始資料!U389=""),"",IF(AND(原始資料!T389&lt;&gt;"",原始資料!U389=原始資料!T389),N(R389)+1,1))</f>
        <v/>
      </c>
      <c r="T389" s="6">
        <f>IF(OR(原始資料!$A389="",19&gt;設定!$B$3,原始資料!V389=""),"",IF(AND(原始資料!U389&lt;&gt;"",原始資料!V389=原始資料!U389),N(S389)+1,1))</f>
        <v/>
      </c>
      <c r="U389" s="6">
        <f>IF(OR(原始資料!$A389="",20&gt;設定!$B$3,原始資料!W389=""),"",IF(AND(原始資料!V389&lt;&gt;"",原始資料!W389=原始資料!V389),N(T389)+1,1))</f>
        <v/>
      </c>
      <c r="V389" s="6">
        <f>IF(OR(原始資料!$A389="",21&gt;設定!$B$3,原始資料!X389=""),"",IF(AND(原始資料!W389&lt;&gt;"",原始資料!X389=原始資料!W389),N(U389)+1,1))</f>
        <v/>
      </c>
      <c r="W389" s="6">
        <f>IF(OR(原始資料!$A389="",22&gt;設定!$B$3,原始資料!Y389=""),"",IF(AND(原始資料!X389&lt;&gt;"",原始資料!Y389=原始資料!X389),N(V389)+1,1))</f>
        <v/>
      </c>
      <c r="X389" s="6">
        <f>IF(OR(原始資料!$A389="",23&gt;設定!$B$3,原始資料!Z389=""),"",IF(AND(原始資料!Y389&lt;&gt;"",原始資料!Z389=原始資料!Y389),N(W389)+1,1))</f>
        <v/>
      </c>
      <c r="Y389" s="6">
        <f>IF(OR(原始資料!$A389="",24&gt;設定!$B$3,原始資料!AA389=""),"",IF(AND(原始資料!Z389&lt;&gt;"",原始資料!AA389=原始資料!Z389),N(X389)+1,1))</f>
        <v/>
      </c>
      <c r="Z389" s="6">
        <f>IF(OR(原始資料!$A389="",25&gt;設定!$B$3,原始資料!AB389=""),"",IF(AND(原始資料!AA389&lt;&gt;"",原始資料!AB389=原始資料!AA389),N(Y389)+1,1))</f>
        <v/>
      </c>
      <c r="AA389" s="6">
        <f>IF(OR(原始資料!$A389="",26&gt;設定!$B$3,原始資料!AC389=""),"",IF(AND(原始資料!AB389&lt;&gt;"",原始資料!AC389=原始資料!AB389),N(Z389)+1,1))</f>
        <v/>
      </c>
      <c r="AB389" s="6">
        <f>IF(OR(原始資料!$A389="",27&gt;設定!$B$3,原始資料!AD389=""),"",IF(AND(原始資料!AC389&lt;&gt;"",原始資料!AD389=原始資料!AC389),N(AA389)+1,1))</f>
        <v/>
      </c>
      <c r="AC389" s="6">
        <f>IF(OR(原始資料!$A389="",28&gt;設定!$B$3,原始資料!AE389=""),"",IF(AND(原始資料!AD389&lt;&gt;"",原始資料!AE389=原始資料!AD389),N(AB389)+1,1))</f>
        <v/>
      </c>
      <c r="AD389" s="6">
        <f>IF(OR(原始資料!$A389="",29&gt;設定!$B$3,原始資料!AF389=""),"",IF(AND(原始資料!AE389&lt;&gt;"",原始資料!AF389=原始資料!AE389),N(AC389)+1,1))</f>
        <v/>
      </c>
      <c r="AE389" s="6">
        <f>IF(OR(原始資料!$A389="",30&gt;設定!$B$3,原始資料!AG389=""),"",IF(AND(原始資料!AF389&lt;&gt;"",原始資料!AG389=原始資料!AF389),N(AD389)+1,1))</f>
        <v/>
      </c>
      <c r="AF389" s="6">
        <f>IF(OR(原始資料!$A389="",31&gt;設定!$B$3,原始資料!AH389=""),"",IF(AND(原始資料!AG389&lt;&gt;"",原始資料!AH389=原始資料!AG389),N(AE389)+1,1))</f>
        <v/>
      </c>
      <c r="AG389" s="6">
        <f>IF(OR(原始資料!$A389="",32&gt;設定!$B$3,原始資料!AI389=""),"",IF(AND(原始資料!AH389&lt;&gt;"",原始資料!AI389=原始資料!AH389),N(AF389)+1,1))</f>
        <v/>
      </c>
      <c r="AH389" s="6">
        <f>IF(OR(原始資料!$A389="",33&gt;設定!$B$3,原始資料!AJ389=""),"",IF(AND(原始資料!AI389&lt;&gt;"",原始資料!AJ389=原始資料!AI389),N(AG389)+1,1))</f>
        <v/>
      </c>
      <c r="AI389" s="6">
        <f>IF(OR(原始資料!$A389="",34&gt;設定!$B$3,原始資料!AK389=""),"",IF(AND(原始資料!AJ389&lt;&gt;"",原始資料!AK389=原始資料!AJ389),N(AH389)+1,1))</f>
        <v/>
      </c>
      <c r="AJ389" s="6">
        <f>IF(OR(原始資料!$A389="",35&gt;設定!$B$3,原始資料!AL389=""),"",IF(AND(原始資料!AK389&lt;&gt;"",原始資料!AL389=原始資料!AK389),N(AI389)+1,1))</f>
        <v/>
      </c>
      <c r="AK389" s="6">
        <f>IF(OR(原始資料!$A389="",36&gt;設定!$B$3,原始資料!AM389=""),"",IF(AND(原始資料!AL389&lt;&gt;"",原始資料!AM389=原始資料!AL389),N(AJ389)+1,1))</f>
        <v/>
      </c>
      <c r="AL389" s="6">
        <f>IF(OR(原始資料!$A389="",37&gt;設定!$B$3,原始資料!AN389=""),"",IF(AND(原始資料!AM389&lt;&gt;"",原始資料!AN389=原始資料!AM389),N(AK389)+1,1))</f>
        <v/>
      </c>
      <c r="AM389" s="6">
        <f>IF(OR(原始資料!$A389="",38&gt;設定!$B$3,原始資料!AO389=""),"",IF(AND(原始資料!AN389&lt;&gt;"",原始資料!AO389=原始資料!AN389),N(AL389)+1,1))</f>
        <v/>
      </c>
      <c r="AN389" s="6">
        <f>IF(OR(原始資料!$A389="",39&gt;設定!$B$3,原始資料!AP389=""),"",IF(AND(原始資料!AO389&lt;&gt;"",原始資料!AP389=原始資料!AO389),N(AM389)+1,1))</f>
        <v/>
      </c>
      <c r="AO389" s="6">
        <f>IF(OR(原始資料!$A389="",40&gt;設定!$B$3,原始資料!AQ389=""),"",IF(AND(原始資料!AP389&lt;&gt;"",原始資料!AQ389=原始資料!AP389),N(AN389)+1,1))</f>
        <v/>
      </c>
      <c r="AP389" s="6">
        <f>IF(OR(原始資料!$A389="",41&gt;設定!$B$3,原始資料!AR389=""),"",IF(AND(原始資料!AQ389&lt;&gt;"",原始資料!AR389=原始資料!AQ389),N(AO389)+1,1))</f>
        <v/>
      </c>
      <c r="AQ389" s="6">
        <f>IF(OR(原始資料!$A389="",42&gt;設定!$B$3,原始資料!AS389=""),"",IF(AND(原始資料!AR389&lt;&gt;"",原始資料!AS389=原始資料!AR389),N(AP389)+1,1))</f>
        <v/>
      </c>
      <c r="AR389" s="6">
        <f>IF(OR(原始資料!$A389="",43&gt;設定!$B$3,原始資料!AT389=""),"",IF(AND(原始資料!AS389&lt;&gt;"",原始資料!AT389=原始資料!AS389),N(AQ389)+1,1))</f>
        <v/>
      </c>
      <c r="AS389" s="6">
        <f>IF(OR(原始資料!$A389="",44&gt;設定!$B$3,原始資料!AU389=""),"",IF(AND(原始資料!AT389&lt;&gt;"",原始資料!AU389=原始資料!AT389),N(AR389)+1,1))</f>
        <v/>
      </c>
      <c r="AT389" s="6">
        <f>IF(OR(原始資料!$A389="",45&gt;設定!$B$3,原始資料!AV389=""),"",IF(AND(原始資料!AU389&lt;&gt;"",原始資料!AV389=原始資料!AU389),N(AS389)+1,1))</f>
        <v/>
      </c>
      <c r="AU389" s="6">
        <f>IF(OR(原始資料!$A389="",46&gt;設定!$B$3,原始資料!AW389=""),"",IF(AND(原始資料!AV389&lt;&gt;"",原始資料!AW389=原始資料!AV389),N(AT389)+1,1))</f>
        <v/>
      </c>
      <c r="AV389" s="6">
        <f>IF(OR(原始資料!$A389="",47&gt;設定!$B$3,原始資料!AX389=""),"",IF(AND(原始資料!AW389&lt;&gt;"",原始資料!AX389=原始資料!AW389),N(AU389)+1,1))</f>
        <v/>
      </c>
      <c r="AW389" s="6">
        <f>IF(OR(原始資料!$A389="",48&gt;設定!$B$3,原始資料!AY389=""),"",IF(AND(原始資料!AX389&lt;&gt;"",原始資料!AY389=原始資料!AX389),N(AV389)+1,1))</f>
        <v/>
      </c>
      <c r="AX389" s="6">
        <f>IF(OR(原始資料!$A389="",49&gt;設定!$B$3,原始資料!AZ389=""),"",IF(AND(原始資料!AY389&lt;&gt;"",原始資料!AZ389=原始資料!AY389),N(AW389)+1,1))</f>
        <v/>
      </c>
      <c r="AY389" s="6">
        <f>IF(OR(原始資料!$A389="",50&gt;設定!$B$3,原始資料!BA389=""),"",IF(AND(原始資料!AZ389&lt;&gt;"",原始資料!BA389=原始資料!AZ389),N(AX389)+1,1))</f>
        <v/>
      </c>
      <c r="AZ389" s="6">
        <f>IF(OR(原始資料!$A389="",51&gt;設定!$B$3,原始資料!BB389=""),"",IF(AND(原始資料!BA389&lt;&gt;"",原始資料!BB389=原始資料!BA389),N(AY389)+1,1))</f>
        <v/>
      </c>
      <c r="BA389" s="6">
        <f>IF(OR(原始資料!$A389="",52&gt;設定!$B$3,原始資料!BC389=""),"",IF(AND(原始資料!BB389&lt;&gt;"",原始資料!BC389=原始資料!BB389),N(AZ389)+1,1))</f>
        <v/>
      </c>
      <c r="BB389" s="6">
        <f>IF(OR(原始資料!$A389="",53&gt;設定!$B$3,原始資料!BD389=""),"",IF(AND(原始資料!BC389&lt;&gt;"",原始資料!BD389=原始資料!BC389),N(BA389)+1,1))</f>
        <v/>
      </c>
      <c r="BC389" s="6">
        <f>IF(OR(原始資料!$A389="",54&gt;設定!$B$3,原始資料!BE389=""),"",IF(AND(原始資料!BD389&lt;&gt;"",原始資料!BE389=原始資料!BD389),N(BB389)+1,1))</f>
        <v/>
      </c>
      <c r="BD389" s="6">
        <f>IF(OR(原始資料!$A389="",55&gt;設定!$B$3,原始資料!BF389=""),"",IF(AND(原始資料!BE389&lt;&gt;"",原始資料!BF389=原始資料!BE389),N(BC389)+1,1))</f>
        <v/>
      </c>
      <c r="BE389" s="6">
        <f>IF(OR(原始資料!$A389="",56&gt;設定!$B$3,原始資料!BG389=""),"",IF(AND(原始資料!BF389&lt;&gt;"",原始資料!BG389=原始資料!BF389),N(BD389)+1,1))</f>
        <v/>
      </c>
      <c r="BF389" s="6">
        <f>IF(OR(原始資料!$A389="",57&gt;設定!$B$3,原始資料!BH389=""),"",IF(AND(原始資料!BG389&lt;&gt;"",原始資料!BH389=原始資料!BG389),N(BE389)+1,1))</f>
        <v/>
      </c>
      <c r="BG389" s="6">
        <f>IF(OR(原始資料!$A389="",58&gt;設定!$B$3,原始資料!BI389=""),"",IF(AND(原始資料!BH389&lt;&gt;"",原始資料!BI389=原始資料!BH389),N(BF389)+1,1))</f>
        <v/>
      </c>
      <c r="BH389" s="6">
        <f>IF(OR(原始資料!$A389="",59&gt;設定!$B$3,原始資料!BJ389=""),"",IF(AND(原始資料!BI389&lt;&gt;"",原始資料!BJ389=原始資料!BI389),N(BG389)+1,1))</f>
        <v/>
      </c>
      <c r="BI389" s="6">
        <f>IF(OR(原始資料!$A389="",60&gt;設定!$B$3,原始資料!BK389=""),"",IF(AND(原始資料!BJ389&lt;&gt;"",原始資料!BK389=原始資料!BJ389),N(BH389)+1,1))</f>
        <v/>
      </c>
    </row>
    <row r="390">
      <c r="A390" s="6">
        <f>IF(原始資料!$A390="","",原始資料!$A390)</f>
        <v/>
      </c>
      <c r="B390" s="6">
        <f>IF(OR(原始資料!$A390="",1&gt;設定!$B$3,原始資料!D390=""),"",1)</f>
        <v/>
      </c>
      <c r="C390" s="6">
        <f>IF(OR(原始資料!$A390="",2&gt;設定!$B$3,原始資料!E390=""),"",IF(AND(原始資料!D390&lt;&gt;"",原始資料!E390=原始資料!D390),N(B390)+1,1))</f>
        <v/>
      </c>
      <c r="D390" s="6">
        <f>IF(OR(原始資料!$A390="",3&gt;設定!$B$3,原始資料!F390=""),"",IF(AND(原始資料!E390&lt;&gt;"",原始資料!F390=原始資料!E390),N(C390)+1,1))</f>
        <v/>
      </c>
      <c r="E390" s="6">
        <f>IF(OR(原始資料!$A390="",4&gt;設定!$B$3,原始資料!G390=""),"",IF(AND(原始資料!F390&lt;&gt;"",原始資料!G390=原始資料!F390),N(D390)+1,1))</f>
        <v/>
      </c>
      <c r="F390" s="6">
        <f>IF(OR(原始資料!$A390="",5&gt;設定!$B$3,原始資料!H390=""),"",IF(AND(原始資料!G390&lt;&gt;"",原始資料!H390=原始資料!G390),N(E390)+1,1))</f>
        <v/>
      </c>
      <c r="G390" s="6">
        <f>IF(OR(原始資料!$A390="",6&gt;設定!$B$3,原始資料!I390=""),"",IF(AND(原始資料!H390&lt;&gt;"",原始資料!I390=原始資料!H390),N(F390)+1,1))</f>
        <v/>
      </c>
      <c r="H390" s="6">
        <f>IF(OR(原始資料!$A390="",7&gt;設定!$B$3,原始資料!J390=""),"",IF(AND(原始資料!I390&lt;&gt;"",原始資料!J390=原始資料!I390),N(G390)+1,1))</f>
        <v/>
      </c>
      <c r="I390" s="6">
        <f>IF(OR(原始資料!$A390="",8&gt;設定!$B$3,原始資料!K390=""),"",IF(AND(原始資料!J390&lt;&gt;"",原始資料!K390=原始資料!J390),N(H390)+1,1))</f>
        <v/>
      </c>
      <c r="J390" s="6">
        <f>IF(OR(原始資料!$A390="",9&gt;設定!$B$3,原始資料!L390=""),"",IF(AND(原始資料!K390&lt;&gt;"",原始資料!L390=原始資料!K390),N(I390)+1,1))</f>
        <v/>
      </c>
      <c r="K390" s="6">
        <f>IF(OR(原始資料!$A390="",10&gt;設定!$B$3,原始資料!M390=""),"",IF(AND(原始資料!L390&lt;&gt;"",原始資料!M390=原始資料!L390),N(J390)+1,1))</f>
        <v/>
      </c>
      <c r="L390" s="6">
        <f>IF(OR(原始資料!$A390="",11&gt;設定!$B$3,原始資料!N390=""),"",IF(AND(原始資料!M390&lt;&gt;"",原始資料!N390=原始資料!M390),N(K390)+1,1))</f>
        <v/>
      </c>
      <c r="M390" s="6">
        <f>IF(OR(原始資料!$A390="",12&gt;設定!$B$3,原始資料!O390=""),"",IF(AND(原始資料!N390&lt;&gt;"",原始資料!O390=原始資料!N390),N(L390)+1,1))</f>
        <v/>
      </c>
      <c r="N390" s="6">
        <f>IF(OR(原始資料!$A390="",13&gt;設定!$B$3,原始資料!P390=""),"",IF(AND(原始資料!O390&lt;&gt;"",原始資料!P390=原始資料!O390),N(M390)+1,1))</f>
        <v/>
      </c>
      <c r="O390" s="6">
        <f>IF(OR(原始資料!$A390="",14&gt;設定!$B$3,原始資料!Q390=""),"",IF(AND(原始資料!P390&lt;&gt;"",原始資料!Q390=原始資料!P390),N(N390)+1,1))</f>
        <v/>
      </c>
      <c r="P390" s="6">
        <f>IF(OR(原始資料!$A390="",15&gt;設定!$B$3,原始資料!R390=""),"",IF(AND(原始資料!Q390&lt;&gt;"",原始資料!R390=原始資料!Q390),N(O390)+1,1))</f>
        <v/>
      </c>
      <c r="Q390" s="6">
        <f>IF(OR(原始資料!$A390="",16&gt;設定!$B$3,原始資料!S390=""),"",IF(AND(原始資料!R390&lt;&gt;"",原始資料!S390=原始資料!R390),N(P390)+1,1))</f>
        <v/>
      </c>
      <c r="R390" s="6">
        <f>IF(OR(原始資料!$A390="",17&gt;設定!$B$3,原始資料!T390=""),"",IF(AND(原始資料!S390&lt;&gt;"",原始資料!T390=原始資料!S390),N(Q390)+1,1))</f>
        <v/>
      </c>
      <c r="S390" s="6">
        <f>IF(OR(原始資料!$A390="",18&gt;設定!$B$3,原始資料!U390=""),"",IF(AND(原始資料!T390&lt;&gt;"",原始資料!U390=原始資料!T390),N(R390)+1,1))</f>
        <v/>
      </c>
      <c r="T390" s="6">
        <f>IF(OR(原始資料!$A390="",19&gt;設定!$B$3,原始資料!V390=""),"",IF(AND(原始資料!U390&lt;&gt;"",原始資料!V390=原始資料!U390),N(S390)+1,1))</f>
        <v/>
      </c>
      <c r="U390" s="6">
        <f>IF(OR(原始資料!$A390="",20&gt;設定!$B$3,原始資料!W390=""),"",IF(AND(原始資料!V390&lt;&gt;"",原始資料!W390=原始資料!V390),N(T390)+1,1))</f>
        <v/>
      </c>
      <c r="V390" s="6">
        <f>IF(OR(原始資料!$A390="",21&gt;設定!$B$3,原始資料!X390=""),"",IF(AND(原始資料!W390&lt;&gt;"",原始資料!X390=原始資料!W390),N(U390)+1,1))</f>
        <v/>
      </c>
      <c r="W390" s="6">
        <f>IF(OR(原始資料!$A390="",22&gt;設定!$B$3,原始資料!Y390=""),"",IF(AND(原始資料!X390&lt;&gt;"",原始資料!Y390=原始資料!X390),N(V390)+1,1))</f>
        <v/>
      </c>
      <c r="X390" s="6">
        <f>IF(OR(原始資料!$A390="",23&gt;設定!$B$3,原始資料!Z390=""),"",IF(AND(原始資料!Y390&lt;&gt;"",原始資料!Z390=原始資料!Y390),N(W390)+1,1))</f>
        <v/>
      </c>
      <c r="Y390" s="6">
        <f>IF(OR(原始資料!$A390="",24&gt;設定!$B$3,原始資料!AA390=""),"",IF(AND(原始資料!Z390&lt;&gt;"",原始資料!AA390=原始資料!Z390),N(X390)+1,1))</f>
        <v/>
      </c>
      <c r="Z390" s="6">
        <f>IF(OR(原始資料!$A390="",25&gt;設定!$B$3,原始資料!AB390=""),"",IF(AND(原始資料!AA390&lt;&gt;"",原始資料!AB390=原始資料!AA390),N(Y390)+1,1))</f>
        <v/>
      </c>
      <c r="AA390" s="6">
        <f>IF(OR(原始資料!$A390="",26&gt;設定!$B$3,原始資料!AC390=""),"",IF(AND(原始資料!AB390&lt;&gt;"",原始資料!AC390=原始資料!AB390),N(Z390)+1,1))</f>
        <v/>
      </c>
      <c r="AB390" s="6">
        <f>IF(OR(原始資料!$A390="",27&gt;設定!$B$3,原始資料!AD390=""),"",IF(AND(原始資料!AC390&lt;&gt;"",原始資料!AD390=原始資料!AC390),N(AA390)+1,1))</f>
        <v/>
      </c>
      <c r="AC390" s="6">
        <f>IF(OR(原始資料!$A390="",28&gt;設定!$B$3,原始資料!AE390=""),"",IF(AND(原始資料!AD390&lt;&gt;"",原始資料!AE390=原始資料!AD390),N(AB390)+1,1))</f>
        <v/>
      </c>
      <c r="AD390" s="6">
        <f>IF(OR(原始資料!$A390="",29&gt;設定!$B$3,原始資料!AF390=""),"",IF(AND(原始資料!AE390&lt;&gt;"",原始資料!AF390=原始資料!AE390),N(AC390)+1,1))</f>
        <v/>
      </c>
      <c r="AE390" s="6">
        <f>IF(OR(原始資料!$A390="",30&gt;設定!$B$3,原始資料!AG390=""),"",IF(AND(原始資料!AF390&lt;&gt;"",原始資料!AG390=原始資料!AF390),N(AD390)+1,1))</f>
        <v/>
      </c>
      <c r="AF390" s="6">
        <f>IF(OR(原始資料!$A390="",31&gt;設定!$B$3,原始資料!AH390=""),"",IF(AND(原始資料!AG390&lt;&gt;"",原始資料!AH390=原始資料!AG390),N(AE390)+1,1))</f>
        <v/>
      </c>
      <c r="AG390" s="6">
        <f>IF(OR(原始資料!$A390="",32&gt;設定!$B$3,原始資料!AI390=""),"",IF(AND(原始資料!AH390&lt;&gt;"",原始資料!AI390=原始資料!AH390),N(AF390)+1,1))</f>
        <v/>
      </c>
      <c r="AH390" s="6">
        <f>IF(OR(原始資料!$A390="",33&gt;設定!$B$3,原始資料!AJ390=""),"",IF(AND(原始資料!AI390&lt;&gt;"",原始資料!AJ390=原始資料!AI390),N(AG390)+1,1))</f>
        <v/>
      </c>
      <c r="AI390" s="6">
        <f>IF(OR(原始資料!$A390="",34&gt;設定!$B$3,原始資料!AK390=""),"",IF(AND(原始資料!AJ390&lt;&gt;"",原始資料!AK390=原始資料!AJ390),N(AH390)+1,1))</f>
        <v/>
      </c>
      <c r="AJ390" s="6">
        <f>IF(OR(原始資料!$A390="",35&gt;設定!$B$3,原始資料!AL390=""),"",IF(AND(原始資料!AK390&lt;&gt;"",原始資料!AL390=原始資料!AK390),N(AI390)+1,1))</f>
        <v/>
      </c>
      <c r="AK390" s="6">
        <f>IF(OR(原始資料!$A390="",36&gt;設定!$B$3,原始資料!AM390=""),"",IF(AND(原始資料!AL390&lt;&gt;"",原始資料!AM390=原始資料!AL390),N(AJ390)+1,1))</f>
        <v/>
      </c>
      <c r="AL390" s="6">
        <f>IF(OR(原始資料!$A390="",37&gt;設定!$B$3,原始資料!AN390=""),"",IF(AND(原始資料!AM390&lt;&gt;"",原始資料!AN390=原始資料!AM390),N(AK390)+1,1))</f>
        <v/>
      </c>
      <c r="AM390" s="6">
        <f>IF(OR(原始資料!$A390="",38&gt;設定!$B$3,原始資料!AO390=""),"",IF(AND(原始資料!AN390&lt;&gt;"",原始資料!AO390=原始資料!AN390),N(AL390)+1,1))</f>
        <v/>
      </c>
      <c r="AN390" s="6">
        <f>IF(OR(原始資料!$A390="",39&gt;設定!$B$3,原始資料!AP390=""),"",IF(AND(原始資料!AO390&lt;&gt;"",原始資料!AP390=原始資料!AO390),N(AM390)+1,1))</f>
        <v/>
      </c>
      <c r="AO390" s="6">
        <f>IF(OR(原始資料!$A390="",40&gt;設定!$B$3,原始資料!AQ390=""),"",IF(AND(原始資料!AP390&lt;&gt;"",原始資料!AQ390=原始資料!AP390),N(AN390)+1,1))</f>
        <v/>
      </c>
      <c r="AP390" s="6">
        <f>IF(OR(原始資料!$A390="",41&gt;設定!$B$3,原始資料!AR390=""),"",IF(AND(原始資料!AQ390&lt;&gt;"",原始資料!AR390=原始資料!AQ390),N(AO390)+1,1))</f>
        <v/>
      </c>
      <c r="AQ390" s="6">
        <f>IF(OR(原始資料!$A390="",42&gt;設定!$B$3,原始資料!AS390=""),"",IF(AND(原始資料!AR390&lt;&gt;"",原始資料!AS390=原始資料!AR390),N(AP390)+1,1))</f>
        <v/>
      </c>
      <c r="AR390" s="6">
        <f>IF(OR(原始資料!$A390="",43&gt;設定!$B$3,原始資料!AT390=""),"",IF(AND(原始資料!AS390&lt;&gt;"",原始資料!AT390=原始資料!AS390),N(AQ390)+1,1))</f>
        <v/>
      </c>
      <c r="AS390" s="6">
        <f>IF(OR(原始資料!$A390="",44&gt;設定!$B$3,原始資料!AU390=""),"",IF(AND(原始資料!AT390&lt;&gt;"",原始資料!AU390=原始資料!AT390),N(AR390)+1,1))</f>
        <v/>
      </c>
      <c r="AT390" s="6">
        <f>IF(OR(原始資料!$A390="",45&gt;設定!$B$3,原始資料!AV390=""),"",IF(AND(原始資料!AU390&lt;&gt;"",原始資料!AV390=原始資料!AU390),N(AS390)+1,1))</f>
        <v/>
      </c>
      <c r="AU390" s="6">
        <f>IF(OR(原始資料!$A390="",46&gt;設定!$B$3,原始資料!AW390=""),"",IF(AND(原始資料!AV390&lt;&gt;"",原始資料!AW390=原始資料!AV390),N(AT390)+1,1))</f>
        <v/>
      </c>
      <c r="AV390" s="6">
        <f>IF(OR(原始資料!$A390="",47&gt;設定!$B$3,原始資料!AX390=""),"",IF(AND(原始資料!AW390&lt;&gt;"",原始資料!AX390=原始資料!AW390),N(AU390)+1,1))</f>
        <v/>
      </c>
      <c r="AW390" s="6">
        <f>IF(OR(原始資料!$A390="",48&gt;設定!$B$3,原始資料!AY390=""),"",IF(AND(原始資料!AX390&lt;&gt;"",原始資料!AY390=原始資料!AX390),N(AV390)+1,1))</f>
        <v/>
      </c>
      <c r="AX390" s="6">
        <f>IF(OR(原始資料!$A390="",49&gt;設定!$B$3,原始資料!AZ390=""),"",IF(AND(原始資料!AY390&lt;&gt;"",原始資料!AZ390=原始資料!AY390),N(AW390)+1,1))</f>
        <v/>
      </c>
      <c r="AY390" s="6">
        <f>IF(OR(原始資料!$A390="",50&gt;設定!$B$3,原始資料!BA390=""),"",IF(AND(原始資料!AZ390&lt;&gt;"",原始資料!BA390=原始資料!AZ390),N(AX390)+1,1))</f>
        <v/>
      </c>
      <c r="AZ390" s="6">
        <f>IF(OR(原始資料!$A390="",51&gt;設定!$B$3,原始資料!BB390=""),"",IF(AND(原始資料!BA390&lt;&gt;"",原始資料!BB390=原始資料!BA390),N(AY390)+1,1))</f>
        <v/>
      </c>
      <c r="BA390" s="6">
        <f>IF(OR(原始資料!$A390="",52&gt;設定!$B$3,原始資料!BC390=""),"",IF(AND(原始資料!BB390&lt;&gt;"",原始資料!BC390=原始資料!BB390),N(AZ390)+1,1))</f>
        <v/>
      </c>
      <c r="BB390" s="6">
        <f>IF(OR(原始資料!$A390="",53&gt;設定!$B$3,原始資料!BD390=""),"",IF(AND(原始資料!BC390&lt;&gt;"",原始資料!BD390=原始資料!BC390),N(BA390)+1,1))</f>
        <v/>
      </c>
      <c r="BC390" s="6">
        <f>IF(OR(原始資料!$A390="",54&gt;設定!$B$3,原始資料!BE390=""),"",IF(AND(原始資料!BD390&lt;&gt;"",原始資料!BE390=原始資料!BD390),N(BB390)+1,1))</f>
        <v/>
      </c>
      <c r="BD390" s="6">
        <f>IF(OR(原始資料!$A390="",55&gt;設定!$B$3,原始資料!BF390=""),"",IF(AND(原始資料!BE390&lt;&gt;"",原始資料!BF390=原始資料!BE390),N(BC390)+1,1))</f>
        <v/>
      </c>
      <c r="BE390" s="6">
        <f>IF(OR(原始資料!$A390="",56&gt;設定!$B$3,原始資料!BG390=""),"",IF(AND(原始資料!BF390&lt;&gt;"",原始資料!BG390=原始資料!BF390),N(BD390)+1,1))</f>
        <v/>
      </c>
      <c r="BF390" s="6">
        <f>IF(OR(原始資料!$A390="",57&gt;設定!$B$3,原始資料!BH390=""),"",IF(AND(原始資料!BG390&lt;&gt;"",原始資料!BH390=原始資料!BG390),N(BE390)+1,1))</f>
        <v/>
      </c>
      <c r="BG390" s="6">
        <f>IF(OR(原始資料!$A390="",58&gt;設定!$B$3,原始資料!BI390=""),"",IF(AND(原始資料!BH390&lt;&gt;"",原始資料!BI390=原始資料!BH390),N(BF390)+1,1))</f>
        <v/>
      </c>
      <c r="BH390" s="6">
        <f>IF(OR(原始資料!$A390="",59&gt;設定!$B$3,原始資料!BJ390=""),"",IF(AND(原始資料!BI390&lt;&gt;"",原始資料!BJ390=原始資料!BI390),N(BG390)+1,1))</f>
        <v/>
      </c>
      <c r="BI390" s="6">
        <f>IF(OR(原始資料!$A390="",60&gt;設定!$B$3,原始資料!BK390=""),"",IF(AND(原始資料!BJ390&lt;&gt;"",原始資料!BK390=原始資料!BJ390),N(BH390)+1,1))</f>
        <v/>
      </c>
    </row>
    <row r="391">
      <c r="A391" s="6">
        <f>IF(原始資料!$A391="","",原始資料!$A391)</f>
        <v/>
      </c>
      <c r="B391" s="6">
        <f>IF(OR(原始資料!$A391="",1&gt;設定!$B$3,原始資料!D391=""),"",1)</f>
        <v/>
      </c>
      <c r="C391" s="6">
        <f>IF(OR(原始資料!$A391="",2&gt;設定!$B$3,原始資料!E391=""),"",IF(AND(原始資料!D391&lt;&gt;"",原始資料!E391=原始資料!D391),N(B391)+1,1))</f>
        <v/>
      </c>
      <c r="D391" s="6">
        <f>IF(OR(原始資料!$A391="",3&gt;設定!$B$3,原始資料!F391=""),"",IF(AND(原始資料!E391&lt;&gt;"",原始資料!F391=原始資料!E391),N(C391)+1,1))</f>
        <v/>
      </c>
      <c r="E391" s="6">
        <f>IF(OR(原始資料!$A391="",4&gt;設定!$B$3,原始資料!G391=""),"",IF(AND(原始資料!F391&lt;&gt;"",原始資料!G391=原始資料!F391),N(D391)+1,1))</f>
        <v/>
      </c>
      <c r="F391" s="6">
        <f>IF(OR(原始資料!$A391="",5&gt;設定!$B$3,原始資料!H391=""),"",IF(AND(原始資料!G391&lt;&gt;"",原始資料!H391=原始資料!G391),N(E391)+1,1))</f>
        <v/>
      </c>
      <c r="G391" s="6">
        <f>IF(OR(原始資料!$A391="",6&gt;設定!$B$3,原始資料!I391=""),"",IF(AND(原始資料!H391&lt;&gt;"",原始資料!I391=原始資料!H391),N(F391)+1,1))</f>
        <v/>
      </c>
      <c r="H391" s="6">
        <f>IF(OR(原始資料!$A391="",7&gt;設定!$B$3,原始資料!J391=""),"",IF(AND(原始資料!I391&lt;&gt;"",原始資料!J391=原始資料!I391),N(G391)+1,1))</f>
        <v/>
      </c>
      <c r="I391" s="6">
        <f>IF(OR(原始資料!$A391="",8&gt;設定!$B$3,原始資料!K391=""),"",IF(AND(原始資料!J391&lt;&gt;"",原始資料!K391=原始資料!J391),N(H391)+1,1))</f>
        <v/>
      </c>
      <c r="J391" s="6">
        <f>IF(OR(原始資料!$A391="",9&gt;設定!$B$3,原始資料!L391=""),"",IF(AND(原始資料!K391&lt;&gt;"",原始資料!L391=原始資料!K391),N(I391)+1,1))</f>
        <v/>
      </c>
      <c r="K391" s="6">
        <f>IF(OR(原始資料!$A391="",10&gt;設定!$B$3,原始資料!M391=""),"",IF(AND(原始資料!L391&lt;&gt;"",原始資料!M391=原始資料!L391),N(J391)+1,1))</f>
        <v/>
      </c>
      <c r="L391" s="6">
        <f>IF(OR(原始資料!$A391="",11&gt;設定!$B$3,原始資料!N391=""),"",IF(AND(原始資料!M391&lt;&gt;"",原始資料!N391=原始資料!M391),N(K391)+1,1))</f>
        <v/>
      </c>
      <c r="M391" s="6">
        <f>IF(OR(原始資料!$A391="",12&gt;設定!$B$3,原始資料!O391=""),"",IF(AND(原始資料!N391&lt;&gt;"",原始資料!O391=原始資料!N391),N(L391)+1,1))</f>
        <v/>
      </c>
      <c r="N391" s="6">
        <f>IF(OR(原始資料!$A391="",13&gt;設定!$B$3,原始資料!P391=""),"",IF(AND(原始資料!O391&lt;&gt;"",原始資料!P391=原始資料!O391),N(M391)+1,1))</f>
        <v/>
      </c>
      <c r="O391" s="6">
        <f>IF(OR(原始資料!$A391="",14&gt;設定!$B$3,原始資料!Q391=""),"",IF(AND(原始資料!P391&lt;&gt;"",原始資料!Q391=原始資料!P391),N(N391)+1,1))</f>
        <v/>
      </c>
      <c r="P391" s="6">
        <f>IF(OR(原始資料!$A391="",15&gt;設定!$B$3,原始資料!R391=""),"",IF(AND(原始資料!Q391&lt;&gt;"",原始資料!R391=原始資料!Q391),N(O391)+1,1))</f>
        <v/>
      </c>
      <c r="Q391" s="6">
        <f>IF(OR(原始資料!$A391="",16&gt;設定!$B$3,原始資料!S391=""),"",IF(AND(原始資料!R391&lt;&gt;"",原始資料!S391=原始資料!R391),N(P391)+1,1))</f>
        <v/>
      </c>
      <c r="R391" s="6">
        <f>IF(OR(原始資料!$A391="",17&gt;設定!$B$3,原始資料!T391=""),"",IF(AND(原始資料!S391&lt;&gt;"",原始資料!T391=原始資料!S391),N(Q391)+1,1))</f>
        <v/>
      </c>
      <c r="S391" s="6">
        <f>IF(OR(原始資料!$A391="",18&gt;設定!$B$3,原始資料!U391=""),"",IF(AND(原始資料!T391&lt;&gt;"",原始資料!U391=原始資料!T391),N(R391)+1,1))</f>
        <v/>
      </c>
      <c r="T391" s="6">
        <f>IF(OR(原始資料!$A391="",19&gt;設定!$B$3,原始資料!V391=""),"",IF(AND(原始資料!U391&lt;&gt;"",原始資料!V391=原始資料!U391),N(S391)+1,1))</f>
        <v/>
      </c>
      <c r="U391" s="6">
        <f>IF(OR(原始資料!$A391="",20&gt;設定!$B$3,原始資料!W391=""),"",IF(AND(原始資料!V391&lt;&gt;"",原始資料!W391=原始資料!V391),N(T391)+1,1))</f>
        <v/>
      </c>
      <c r="V391" s="6">
        <f>IF(OR(原始資料!$A391="",21&gt;設定!$B$3,原始資料!X391=""),"",IF(AND(原始資料!W391&lt;&gt;"",原始資料!X391=原始資料!W391),N(U391)+1,1))</f>
        <v/>
      </c>
      <c r="W391" s="6">
        <f>IF(OR(原始資料!$A391="",22&gt;設定!$B$3,原始資料!Y391=""),"",IF(AND(原始資料!X391&lt;&gt;"",原始資料!Y391=原始資料!X391),N(V391)+1,1))</f>
        <v/>
      </c>
      <c r="X391" s="6">
        <f>IF(OR(原始資料!$A391="",23&gt;設定!$B$3,原始資料!Z391=""),"",IF(AND(原始資料!Y391&lt;&gt;"",原始資料!Z391=原始資料!Y391),N(W391)+1,1))</f>
        <v/>
      </c>
      <c r="Y391" s="6">
        <f>IF(OR(原始資料!$A391="",24&gt;設定!$B$3,原始資料!AA391=""),"",IF(AND(原始資料!Z391&lt;&gt;"",原始資料!AA391=原始資料!Z391),N(X391)+1,1))</f>
        <v/>
      </c>
      <c r="Z391" s="6">
        <f>IF(OR(原始資料!$A391="",25&gt;設定!$B$3,原始資料!AB391=""),"",IF(AND(原始資料!AA391&lt;&gt;"",原始資料!AB391=原始資料!AA391),N(Y391)+1,1))</f>
        <v/>
      </c>
      <c r="AA391" s="6">
        <f>IF(OR(原始資料!$A391="",26&gt;設定!$B$3,原始資料!AC391=""),"",IF(AND(原始資料!AB391&lt;&gt;"",原始資料!AC391=原始資料!AB391),N(Z391)+1,1))</f>
        <v/>
      </c>
      <c r="AB391" s="6">
        <f>IF(OR(原始資料!$A391="",27&gt;設定!$B$3,原始資料!AD391=""),"",IF(AND(原始資料!AC391&lt;&gt;"",原始資料!AD391=原始資料!AC391),N(AA391)+1,1))</f>
        <v/>
      </c>
      <c r="AC391" s="6">
        <f>IF(OR(原始資料!$A391="",28&gt;設定!$B$3,原始資料!AE391=""),"",IF(AND(原始資料!AD391&lt;&gt;"",原始資料!AE391=原始資料!AD391),N(AB391)+1,1))</f>
        <v/>
      </c>
      <c r="AD391" s="6">
        <f>IF(OR(原始資料!$A391="",29&gt;設定!$B$3,原始資料!AF391=""),"",IF(AND(原始資料!AE391&lt;&gt;"",原始資料!AF391=原始資料!AE391),N(AC391)+1,1))</f>
        <v/>
      </c>
      <c r="AE391" s="6">
        <f>IF(OR(原始資料!$A391="",30&gt;設定!$B$3,原始資料!AG391=""),"",IF(AND(原始資料!AF391&lt;&gt;"",原始資料!AG391=原始資料!AF391),N(AD391)+1,1))</f>
        <v/>
      </c>
      <c r="AF391" s="6">
        <f>IF(OR(原始資料!$A391="",31&gt;設定!$B$3,原始資料!AH391=""),"",IF(AND(原始資料!AG391&lt;&gt;"",原始資料!AH391=原始資料!AG391),N(AE391)+1,1))</f>
        <v/>
      </c>
      <c r="AG391" s="6">
        <f>IF(OR(原始資料!$A391="",32&gt;設定!$B$3,原始資料!AI391=""),"",IF(AND(原始資料!AH391&lt;&gt;"",原始資料!AI391=原始資料!AH391),N(AF391)+1,1))</f>
        <v/>
      </c>
      <c r="AH391" s="6">
        <f>IF(OR(原始資料!$A391="",33&gt;設定!$B$3,原始資料!AJ391=""),"",IF(AND(原始資料!AI391&lt;&gt;"",原始資料!AJ391=原始資料!AI391),N(AG391)+1,1))</f>
        <v/>
      </c>
      <c r="AI391" s="6">
        <f>IF(OR(原始資料!$A391="",34&gt;設定!$B$3,原始資料!AK391=""),"",IF(AND(原始資料!AJ391&lt;&gt;"",原始資料!AK391=原始資料!AJ391),N(AH391)+1,1))</f>
        <v/>
      </c>
      <c r="AJ391" s="6">
        <f>IF(OR(原始資料!$A391="",35&gt;設定!$B$3,原始資料!AL391=""),"",IF(AND(原始資料!AK391&lt;&gt;"",原始資料!AL391=原始資料!AK391),N(AI391)+1,1))</f>
        <v/>
      </c>
      <c r="AK391" s="6">
        <f>IF(OR(原始資料!$A391="",36&gt;設定!$B$3,原始資料!AM391=""),"",IF(AND(原始資料!AL391&lt;&gt;"",原始資料!AM391=原始資料!AL391),N(AJ391)+1,1))</f>
        <v/>
      </c>
      <c r="AL391" s="6">
        <f>IF(OR(原始資料!$A391="",37&gt;設定!$B$3,原始資料!AN391=""),"",IF(AND(原始資料!AM391&lt;&gt;"",原始資料!AN391=原始資料!AM391),N(AK391)+1,1))</f>
        <v/>
      </c>
      <c r="AM391" s="6">
        <f>IF(OR(原始資料!$A391="",38&gt;設定!$B$3,原始資料!AO391=""),"",IF(AND(原始資料!AN391&lt;&gt;"",原始資料!AO391=原始資料!AN391),N(AL391)+1,1))</f>
        <v/>
      </c>
      <c r="AN391" s="6">
        <f>IF(OR(原始資料!$A391="",39&gt;設定!$B$3,原始資料!AP391=""),"",IF(AND(原始資料!AO391&lt;&gt;"",原始資料!AP391=原始資料!AO391),N(AM391)+1,1))</f>
        <v/>
      </c>
      <c r="AO391" s="6">
        <f>IF(OR(原始資料!$A391="",40&gt;設定!$B$3,原始資料!AQ391=""),"",IF(AND(原始資料!AP391&lt;&gt;"",原始資料!AQ391=原始資料!AP391),N(AN391)+1,1))</f>
        <v/>
      </c>
      <c r="AP391" s="6">
        <f>IF(OR(原始資料!$A391="",41&gt;設定!$B$3,原始資料!AR391=""),"",IF(AND(原始資料!AQ391&lt;&gt;"",原始資料!AR391=原始資料!AQ391),N(AO391)+1,1))</f>
        <v/>
      </c>
      <c r="AQ391" s="6">
        <f>IF(OR(原始資料!$A391="",42&gt;設定!$B$3,原始資料!AS391=""),"",IF(AND(原始資料!AR391&lt;&gt;"",原始資料!AS391=原始資料!AR391),N(AP391)+1,1))</f>
        <v/>
      </c>
      <c r="AR391" s="6">
        <f>IF(OR(原始資料!$A391="",43&gt;設定!$B$3,原始資料!AT391=""),"",IF(AND(原始資料!AS391&lt;&gt;"",原始資料!AT391=原始資料!AS391),N(AQ391)+1,1))</f>
        <v/>
      </c>
      <c r="AS391" s="6">
        <f>IF(OR(原始資料!$A391="",44&gt;設定!$B$3,原始資料!AU391=""),"",IF(AND(原始資料!AT391&lt;&gt;"",原始資料!AU391=原始資料!AT391),N(AR391)+1,1))</f>
        <v/>
      </c>
      <c r="AT391" s="6">
        <f>IF(OR(原始資料!$A391="",45&gt;設定!$B$3,原始資料!AV391=""),"",IF(AND(原始資料!AU391&lt;&gt;"",原始資料!AV391=原始資料!AU391),N(AS391)+1,1))</f>
        <v/>
      </c>
      <c r="AU391" s="6">
        <f>IF(OR(原始資料!$A391="",46&gt;設定!$B$3,原始資料!AW391=""),"",IF(AND(原始資料!AV391&lt;&gt;"",原始資料!AW391=原始資料!AV391),N(AT391)+1,1))</f>
        <v/>
      </c>
      <c r="AV391" s="6">
        <f>IF(OR(原始資料!$A391="",47&gt;設定!$B$3,原始資料!AX391=""),"",IF(AND(原始資料!AW391&lt;&gt;"",原始資料!AX391=原始資料!AW391),N(AU391)+1,1))</f>
        <v/>
      </c>
      <c r="AW391" s="6">
        <f>IF(OR(原始資料!$A391="",48&gt;設定!$B$3,原始資料!AY391=""),"",IF(AND(原始資料!AX391&lt;&gt;"",原始資料!AY391=原始資料!AX391),N(AV391)+1,1))</f>
        <v/>
      </c>
      <c r="AX391" s="6">
        <f>IF(OR(原始資料!$A391="",49&gt;設定!$B$3,原始資料!AZ391=""),"",IF(AND(原始資料!AY391&lt;&gt;"",原始資料!AZ391=原始資料!AY391),N(AW391)+1,1))</f>
        <v/>
      </c>
      <c r="AY391" s="6">
        <f>IF(OR(原始資料!$A391="",50&gt;設定!$B$3,原始資料!BA391=""),"",IF(AND(原始資料!AZ391&lt;&gt;"",原始資料!BA391=原始資料!AZ391),N(AX391)+1,1))</f>
        <v/>
      </c>
      <c r="AZ391" s="6">
        <f>IF(OR(原始資料!$A391="",51&gt;設定!$B$3,原始資料!BB391=""),"",IF(AND(原始資料!BA391&lt;&gt;"",原始資料!BB391=原始資料!BA391),N(AY391)+1,1))</f>
        <v/>
      </c>
      <c r="BA391" s="6">
        <f>IF(OR(原始資料!$A391="",52&gt;設定!$B$3,原始資料!BC391=""),"",IF(AND(原始資料!BB391&lt;&gt;"",原始資料!BC391=原始資料!BB391),N(AZ391)+1,1))</f>
        <v/>
      </c>
      <c r="BB391" s="6">
        <f>IF(OR(原始資料!$A391="",53&gt;設定!$B$3,原始資料!BD391=""),"",IF(AND(原始資料!BC391&lt;&gt;"",原始資料!BD391=原始資料!BC391),N(BA391)+1,1))</f>
        <v/>
      </c>
      <c r="BC391" s="6">
        <f>IF(OR(原始資料!$A391="",54&gt;設定!$B$3,原始資料!BE391=""),"",IF(AND(原始資料!BD391&lt;&gt;"",原始資料!BE391=原始資料!BD391),N(BB391)+1,1))</f>
        <v/>
      </c>
      <c r="BD391" s="6">
        <f>IF(OR(原始資料!$A391="",55&gt;設定!$B$3,原始資料!BF391=""),"",IF(AND(原始資料!BE391&lt;&gt;"",原始資料!BF391=原始資料!BE391),N(BC391)+1,1))</f>
        <v/>
      </c>
      <c r="BE391" s="6">
        <f>IF(OR(原始資料!$A391="",56&gt;設定!$B$3,原始資料!BG391=""),"",IF(AND(原始資料!BF391&lt;&gt;"",原始資料!BG391=原始資料!BF391),N(BD391)+1,1))</f>
        <v/>
      </c>
      <c r="BF391" s="6">
        <f>IF(OR(原始資料!$A391="",57&gt;設定!$B$3,原始資料!BH391=""),"",IF(AND(原始資料!BG391&lt;&gt;"",原始資料!BH391=原始資料!BG391),N(BE391)+1,1))</f>
        <v/>
      </c>
      <c r="BG391" s="6">
        <f>IF(OR(原始資料!$A391="",58&gt;設定!$B$3,原始資料!BI391=""),"",IF(AND(原始資料!BH391&lt;&gt;"",原始資料!BI391=原始資料!BH391),N(BF391)+1,1))</f>
        <v/>
      </c>
      <c r="BH391" s="6">
        <f>IF(OR(原始資料!$A391="",59&gt;設定!$B$3,原始資料!BJ391=""),"",IF(AND(原始資料!BI391&lt;&gt;"",原始資料!BJ391=原始資料!BI391),N(BG391)+1,1))</f>
        <v/>
      </c>
      <c r="BI391" s="6">
        <f>IF(OR(原始資料!$A391="",60&gt;設定!$B$3,原始資料!BK391=""),"",IF(AND(原始資料!BJ391&lt;&gt;"",原始資料!BK391=原始資料!BJ391),N(BH391)+1,1))</f>
        <v/>
      </c>
    </row>
    <row r="392">
      <c r="A392" s="6">
        <f>IF(原始資料!$A392="","",原始資料!$A392)</f>
        <v/>
      </c>
      <c r="B392" s="6">
        <f>IF(OR(原始資料!$A392="",1&gt;設定!$B$3,原始資料!D392=""),"",1)</f>
        <v/>
      </c>
      <c r="C392" s="6">
        <f>IF(OR(原始資料!$A392="",2&gt;設定!$B$3,原始資料!E392=""),"",IF(AND(原始資料!D392&lt;&gt;"",原始資料!E392=原始資料!D392),N(B392)+1,1))</f>
        <v/>
      </c>
      <c r="D392" s="6">
        <f>IF(OR(原始資料!$A392="",3&gt;設定!$B$3,原始資料!F392=""),"",IF(AND(原始資料!E392&lt;&gt;"",原始資料!F392=原始資料!E392),N(C392)+1,1))</f>
        <v/>
      </c>
      <c r="E392" s="6">
        <f>IF(OR(原始資料!$A392="",4&gt;設定!$B$3,原始資料!G392=""),"",IF(AND(原始資料!F392&lt;&gt;"",原始資料!G392=原始資料!F392),N(D392)+1,1))</f>
        <v/>
      </c>
      <c r="F392" s="6">
        <f>IF(OR(原始資料!$A392="",5&gt;設定!$B$3,原始資料!H392=""),"",IF(AND(原始資料!G392&lt;&gt;"",原始資料!H392=原始資料!G392),N(E392)+1,1))</f>
        <v/>
      </c>
      <c r="G392" s="6">
        <f>IF(OR(原始資料!$A392="",6&gt;設定!$B$3,原始資料!I392=""),"",IF(AND(原始資料!H392&lt;&gt;"",原始資料!I392=原始資料!H392),N(F392)+1,1))</f>
        <v/>
      </c>
      <c r="H392" s="6">
        <f>IF(OR(原始資料!$A392="",7&gt;設定!$B$3,原始資料!J392=""),"",IF(AND(原始資料!I392&lt;&gt;"",原始資料!J392=原始資料!I392),N(G392)+1,1))</f>
        <v/>
      </c>
      <c r="I392" s="6">
        <f>IF(OR(原始資料!$A392="",8&gt;設定!$B$3,原始資料!K392=""),"",IF(AND(原始資料!J392&lt;&gt;"",原始資料!K392=原始資料!J392),N(H392)+1,1))</f>
        <v/>
      </c>
      <c r="J392" s="6">
        <f>IF(OR(原始資料!$A392="",9&gt;設定!$B$3,原始資料!L392=""),"",IF(AND(原始資料!K392&lt;&gt;"",原始資料!L392=原始資料!K392),N(I392)+1,1))</f>
        <v/>
      </c>
      <c r="K392" s="6">
        <f>IF(OR(原始資料!$A392="",10&gt;設定!$B$3,原始資料!M392=""),"",IF(AND(原始資料!L392&lt;&gt;"",原始資料!M392=原始資料!L392),N(J392)+1,1))</f>
        <v/>
      </c>
      <c r="L392" s="6">
        <f>IF(OR(原始資料!$A392="",11&gt;設定!$B$3,原始資料!N392=""),"",IF(AND(原始資料!M392&lt;&gt;"",原始資料!N392=原始資料!M392),N(K392)+1,1))</f>
        <v/>
      </c>
      <c r="M392" s="6">
        <f>IF(OR(原始資料!$A392="",12&gt;設定!$B$3,原始資料!O392=""),"",IF(AND(原始資料!N392&lt;&gt;"",原始資料!O392=原始資料!N392),N(L392)+1,1))</f>
        <v/>
      </c>
      <c r="N392" s="6">
        <f>IF(OR(原始資料!$A392="",13&gt;設定!$B$3,原始資料!P392=""),"",IF(AND(原始資料!O392&lt;&gt;"",原始資料!P392=原始資料!O392),N(M392)+1,1))</f>
        <v/>
      </c>
      <c r="O392" s="6">
        <f>IF(OR(原始資料!$A392="",14&gt;設定!$B$3,原始資料!Q392=""),"",IF(AND(原始資料!P392&lt;&gt;"",原始資料!Q392=原始資料!P392),N(N392)+1,1))</f>
        <v/>
      </c>
      <c r="P392" s="6">
        <f>IF(OR(原始資料!$A392="",15&gt;設定!$B$3,原始資料!R392=""),"",IF(AND(原始資料!Q392&lt;&gt;"",原始資料!R392=原始資料!Q392),N(O392)+1,1))</f>
        <v/>
      </c>
      <c r="Q392" s="6">
        <f>IF(OR(原始資料!$A392="",16&gt;設定!$B$3,原始資料!S392=""),"",IF(AND(原始資料!R392&lt;&gt;"",原始資料!S392=原始資料!R392),N(P392)+1,1))</f>
        <v/>
      </c>
      <c r="R392" s="6">
        <f>IF(OR(原始資料!$A392="",17&gt;設定!$B$3,原始資料!T392=""),"",IF(AND(原始資料!S392&lt;&gt;"",原始資料!T392=原始資料!S392),N(Q392)+1,1))</f>
        <v/>
      </c>
      <c r="S392" s="6">
        <f>IF(OR(原始資料!$A392="",18&gt;設定!$B$3,原始資料!U392=""),"",IF(AND(原始資料!T392&lt;&gt;"",原始資料!U392=原始資料!T392),N(R392)+1,1))</f>
        <v/>
      </c>
      <c r="T392" s="6">
        <f>IF(OR(原始資料!$A392="",19&gt;設定!$B$3,原始資料!V392=""),"",IF(AND(原始資料!U392&lt;&gt;"",原始資料!V392=原始資料!U392),N(S392)+1,1))</f>
        <v/>
      </c>
      <c r="U392" s="6">
        <f>IF(OR(原始資料!$A392="",20&gt;設定!$B$3,原始資料!W392=""),"",IF(AND(原始資料!V392&lt;&gt;"",原始資料!W392=原始資料!V392),N(T392)+1,1))</f>
        <v/>
      </c>
      <c r="V392" s="6">
        <f>IF(OR(原始資料!$A392="",21&gt;設定!$B$3,原始資料!X392=""),"",IF(AND(原始資料!W392&lt;&gt;"",原始資料!X392=原始資料!W392),N(U392)+1,1))</f>
        <v/>
      </c>
      <c r="W392" s="6">
        <f>IF(OR(原始資料!$A392="",22&gt;設定!$B$3,原始資料!Y392=""),"",IF(AND(原始資料!X392&lt;&gt;"",原始資料!Y392=原始資料!X392),N(V392)+1,1))</f>
        <v/>
      </c>
      <c r="X392" s="6">
        <f>IF(OR(原始資料!$A392="",23&gt;設定!$B$3,原始資料!Z392=""),"",IF(AND(原始資料!Y392&lt;&gt;"",原始資料!Z392=原始資料!Y392),N(W392)+1,1))</f>
        <v/>
      </c>
      <c r="Y392" s="6">
        <f>IF(OR(原始資料!$A392="",24&gt;設定!$B$3,原始資料!AA392=""),"",IF(AND(原始資料!Z392&lt;&gt;"",原始資料!AA392=原始資料!Z392),N(X392)+1,1))</f>
        <v/>
      </c>
      <c r="Z392" s="6">
        <f>IF(OR(原始資料!$A392="",25&gt;設定!$B$3,原始資料!AB392=""),"",IF(AND(原始資料!AA392&lt;&gt;"",原始資料!AB392=原始資料!AA392),N(Y392)+1,1))</f>
        <v/>
      </c>
      <c r="AA392" s="6">
        <f>IF(OR(原始資料!$A392="",26&gt;設定!$B$3,原始資料!AC392=""),"",IF(AND(原始資料!AB392&lt;&gt;"",原始資料!AC392=原始資料!AB392),N(Z392)+1,1))</f>
        <v/>
      </c>
      <c r="AB392" s="6">
        <f>IF(OR(原始資料!$A392="",27&gt;設定!$B$3,原始資料!AD392=""),"",IF(AND(原始資料!AC392&lt;&gt;"",原始資料!AD392=原始資料!AC392),N(AA392)+1,1))</f>
        <v/>
      </c>
      <c r="AC392" s="6">
        <f>IF(OR(原始資料!$A392="",28&gt;設定!$B$3,原始資料!AE392=""),"",IF(AND(原始資料!AD392&lt;&gt;"",原始資料!AE392=原始資料!AD392),N(AB392)+1,1))</f>
        <v/>
      </c>
      <c r="AD392" s="6">
        <f>IF(OR(原始資料!$A392="",29&gt;設定!$B$3,原始資料!AF392=""),"",IF(AND(原始資料!AE392&lt;&gt;"",原始資料!AF392=原始資料!AE392),N(AC392)+1,1))</f>
        <v/>
      </c>
      <c r="AE392" s="6">
        <f>IF(OR(原始資料!$A392="",30&gt;設定!$B$3,原始資料!AG392=""),"",IF(AND(原始資料!AF392&lt;&gt;"",原始資料!AG392=原始資料!AF392),N(AD392)+1,1))</f>
        <v/>
      </c>
      <c r="AF392" s="6">
        <f>IF(OR(原始資料!$A392="",31&gt;設定!$B$3,原始資料!AH392=""),"",IF(AND(原始資料!AG392&lt;&gt;"",原始資料!AH392=原始資料!AG392),N(AE392)+1,1))</f>
        <v/>
      </c>
      <c r="AG392" s="6">
        <f>IF(OR(原始資料!$A392="",32&gt;設定!$B$3,原始資料!AI392=""),"",IF(AND(原始資料!AH392&lt;&gt;"",原始資料!AI392=原始資料!AH392),N(AF392)+1,1))</f>
        <v/>
      </c>
      <c r="AH392" s="6">
        <f>IF(OR(原始資料!$A392="",33&gt;設定!$B$3,原始資料!AJ392=""),"",IF(AND(原始資料!AI392&lt;&gt;"",原始資料!AJ392=原始資料!AI392),N(AG392)+1,1))</f>
        <v/>
      </c>
      <c r="AI392" s="6">
        <f>IF(OR(原始資料!$A392="",34&gt;設定!$B$3,原始資料!AK392=""),"",IF(AND(原始資料!AJ392&lt;&gt;"",原始資料!AK392=原始資料!AJ392),N(AH392)+1,1))</f>
        <v/>
      </c>
      <c r="AJ392" s="6">
        <f>IF(OR(原始資料!$A392="",35&gt;設定!$B$3,原始資料!AL392=""),"",IF(AND(原始資料!AK392&lt;&gt;"",原始資料!AL392=原始資料!AK392),N(AI392)+1,1))</f>
        <v/>
      </c>
      <c r="AK392" s="6">
        <f>IF(OR(原始資料!$A392="",36&gt;設定!$B$3,原始資料!AM392=""),"",IF(AND(原始資料!AL392&lt;&gt;"",原始資料!AM392=原始資料!AL392),N(AJ392)+1,1))</f>
        <v/>
      </c>
      <c r="AL392" s="6">
        <f>IF(OR(原始資料!$A392="",37&gt;設定!$B$3,原始資料!AN392=""),"",IF(AND(原始資料!AM392&lt;&gt;"",原始資料!AN392=原始資料!AM392),N(AK392)+1,1))</f>
        <v/>
      </c>
      <c r="AM392" s="6">
        <f>IF(OR(原始資料!$A392="",38&gt;設定!$B$3,原始資料!AO392=""),"",IF(AND(原始資料!AN392&lt;&gt;"",原始資料!AO392=原始資料!AN392),N(AL392)+1,1))</f>
        <v/>
      </c>
      <c r="AN392" s="6">
        <f>IF(OR(原始資料!$A392="",39&gt;設定!$B$3,原始資料!AP392=""),"",IF(AND(原始資料!AO392&lt;&gt;"",原始資料!AP392=原始資料!AO392),N(AM392)+1,1))</f>
        <v/>
      </c>
      <c r="AO392" s="6">
        <f>IF(OR(原始資料!$A392="",40&gt;設定!$B$3,原始資料!AQ392=""),"",IF(AND(原始資料!AP392&lt;&gt;"",原始資料!AQ392=原始資料!AP392),N(AN392)+1,1))</f>
        <v/>
      </c>
      <c r="AP392" s="6">
        <f>IF(OR(原始資料!$A392="",41&gt;設定!$B$3,原始資料!AR392=""),"",IF(AND(原始資料!AQ392&lt;&gt;"",原始資料!AR392=原始資料!AQ392),N(AO392)+1,1))</f>
        <v/>
      </c>
      <c r="AQ392" s="6">
        <f>IF(OR(原始資料!$A392="",42&gt;設定!$B$3,原始資料!AS392=""),"",IF(AND(原始資料!AR392&lt;&gt;"",原始資料!AS392=原始資料!AR392),N(AP392)+1,1))</f>
        <v/>
      </c>
      <c r="AR392" s="6">
        <f>IF(OR(原始資料!$A392="",43&gt;設定!$B$3,原始資料!AT392=""),"",IF(AND(原始資料!AS392&lt;&gt;"",原始資料!AT392=原始資料!AS392),N(AQ392)+1,1))</f>
        <v/>
      </c>
      <c r="AS392" s="6">
        <f>IF(OR(原始資料!$A392="",44&gt;設定!$B$3,原始資料!AU392=""),"",IF(AND(原始資料!AT392&lt;&gt;"",原始資料!AU392=原始資料!AT392),N(AR392)+1,1))</f>
        <v/>
      </c>
      <c r="AT392" s="6">
        <f>IF(OR(原始資料!$A392="",45&gt;設定!$B$3,原始資料!AV392=""),"",IF(AND(原始資料!AU392&lt;&gt;"",原始資料!AV392=原始資料!AU392),N(AS392)+1,1))</f>
        <v/>
      </c>
      <c r="AU392" s="6">
        <f>IF(OR(原始資料!$A392="",46&gt;設定!$B$3,原始資料!AW392=""),"",IF(AND(原始資料!AV392&lt;&gt;"",原始資料!AW392=原始資料!AV392),N(AT392)+1,1))</f>
        <v/>
      </c>
      <c r="AV392" s="6">
        <f>IF(OR(原始資料!$A392="",47&gt;設定!$B$3,原始資料!AX392=""),"",IF(AND(原始資料!AW392&lt;&gt;"",原始資料!AX392=原始資料!AW392),N(AU392)+1,1))</f>
        <v/>
      </c>
      <c r="AW392" s="6">
        <f>IF(OR(原始資料!$A392="",48&gt;設定!$B$3,原始資料!AY392=""),"",IF(AND(原始資料!AX392&lt;&gt;"",原始資料!AY392=原始資料!AX392),N(AV392)+1,1))</f>
        <v/>
      </c>
      <c r="AX392" s="6">
        <f>IF(OR(原始資料!$A392="",49&gt;設定!$B$3,原始資料!AZ392=""),"",IF(AND(原始資料!AY392&lt;&gt;"",原始資料!AZ392=原始資料!AY392),N(AW392)+1,1))</f>
        <v/>
      </c>
      <c r="AY392" s="6">
        <f>IF(OR(原始資料!$A392="",50&gt;設定!$B$3,原始資料!BA392=""),"",IF(AND(原始資料!AZ392&lt;&gt;"",原始資料!BA392=原始資料!AZ392),N(AX392)+1,1))</f>
        <v/>
      </c>
      <c r="AZ392" s="6">
        <f>IF(OR(原始資料!$A392="",51&gt;設定!$B$3,原始資料!BB392=""),"",IF(AND(原始資料!BA392&lt;&gt;"",原始資料!BB392=原始資料!BA392),N(AY392)+1,1))</f>
        <v/>
      </c>
      <c r="BA392" s="6">
        <f>IF(OR(原始資料!$A392="",52&gt;設定!$B$3,原始資料!BC392=""),"",IF(AND(原始資料!BB392&lt;&gt;"",原始資料!BC392=原始資料!BB392),N(AZ392)+1,1))</f>
        <v/>
      </c>
      <c r="BB392" s="6">
        <f>IF(OR(原始資料!$A392="",53&gt;設定!$B$3,原始資料!BD392=""),"",IF(AND(原始資料!BC392&lt;&gt;"",原始資料!BD392=原始資料!BC392),N(BA392)+1,1))</f>
        <v/>
      </c>
      <c r="BC392" s="6">
        <f>IF(OR(原始資料!$A392="",54&gt;設定!$B$3,原始資料!BE392=""),"",IF(AND(原始資料!BD392&lt;&gt;"",原始資料!BE392=原始資料!BD392),N(BB392)+1,1))</f>
        <v/>
      </c>
      <c r="BD392" s="6">
        <f>IF(OR(原始資料!$A392="",55&gt;設定!$B$3,原始資料!BF392=""),"",IF(AND(原始資料!BE392&lt;&gt;"",原始資料!BF392=原始資料!BE392),N(BC392)+1,1))</f>
        <v/>
      </c>
      <c r="BE392" s="6">
        <f>IF(OR(原始資料!$A392="",56&gt;設定!$B$3,原始資料!BG392=""),"",IF(AND(原始資料!BF392&lt;&gt;"",原始資料!BG392=原始資料!BF392),N(BD392)+1,1))</f>
        <v/>
      </c>
      <c r="BF392" s="6">
        <f>IF(OR(原始資料!$A392="",57&gt;設定!$B$3,原始資料!BH392=""),"",IF(AND(原始資料!BG392&lt;&gt;"",原始資料!BH392=原始資料!BG392),N(BE392)+1,1))</f>
        <v/>
      </c>
      <c r="BG392" s="6">
        <f>IF(OR(原始資料!$A392="",58&gt;設定!$B$3,原始資料!BI392=""),"",IF(AND(原始資料!BH392&lt;&gt;"",原始資料!BI392=原始資料!BH392),N(BF392)+1,1))</f>
        <v/>
      </c>
      <c r="BH392" s="6">
        <f>IF(OR(原始資料!$A392="",59&gt;設定!$B$3,原始資料!BJ392=""),"",IF(AND(原始資料!BI392&lt;&gt;"",原始資料!BJ392=原始資料!BI392),N(BG392)+1,1))</f>
        <v/>
      </c>
      <c r="BI392" s="6">
        <f>IF(OR(原始資料!$A392="",60&gt;設定!$B$3,原始資料!BK392=""),"",IF(AND(原始資料!BJ392&lt;&gt;"",原始資料!BK392=原始資料!BJ392),N(BH392)+1,1))</f>
        <v/>
      </c>
    </row>
    <row r="393">
      <c r="A393" s="6">
        <f>IF(原始資料!$A393="","",原始資料!$A393)</f>
        <v/>
      </c>
      <c r="B393" s="6">
        <f>IF(OR(原始資料!$A393="",1&gt;設定!$B$3,原始資料!D393=""),"",1)</f>
        <v/>
      </c>
      <c r="C393" s="6">
        <f>IF(OR(原始資料!$A393="",2&gt;設定!$B$3,原始資料!E393=""),"",IF(AND(原始資料!D393&lt;&gt;"",原始資料!E393=原始資料!D393),N(B393)+1,1))</f>
        <v/>
      </c>
      <c r="D393" s="6">
        <f>IF(OR(原始資料!$A393="",3&gt;設定!$B$3,原始資料!F393=""),"",IF(AND(原始資料!E393&lt;&gt;"",原始資料!F393=原始資料!E393),N(C393)+1,1))</f>
        <v/>
      </c>
      <c r="E393" s="6">
        <f>IF(OR(原始資料!$A393="",4&gt;設定!$B$3,原始資料!G393=""),"",IF(AND(原始資料!F393&lt;&gt;"",原始資料!G393=原始資料!F393),N(D393)+1,1))</f>
        <v/>
      </c>
      <c r="F393" s="6">
        <f>IF(OR(原始資料!$A393="",5&gt;設定!$B$3,原始資料!H393=""),"",IF(AND(原始資料!G393&lt;&gt;"",原始資料!H393=原始資料!G393),N(E393)+1,1))</f>
        <v/>
      </c>
      <c r="G393" s="6">
        <f>IF(OR(原始資料!$A393="",6&gt;設定!$B$3,原始資料!I393=""),"",IF(AND(原始資料!H393&lt;&gt;"",原始資料!I393=原始資料!H393),N(F393)+1,1))</f>
        <v/>
      </c>
      <c r="H393" s="6">
        <f>IF(OR(原始資料!$A393="",7&gt;設定!$B$3,原始資料!J393=""),"",IF(AND(原始資料!I393&lt;&gt;"",原始資料!J393=原始資料!I393),N(G393)+1,1))</f>
        <v/>
      </c>
      <c r="I393" s="6">
        <f>IF(OR(原始資料!$A393="",8&gt;設定!$B$3,原始資料!K393=""),"",IF(AND(原始資料!J393&lt;&gt;"",原始資料!K393=原始資料!J393),N(H393)+1,1))</f>
        <v/>
      </c>
      <c r="J393" s="6">
        <f>IF(OR(原始資料!$A393="",9&gt;設定!$B$3,原始資料!L393=""),"",IF(AND(原始資料!K393&lt;&gt;"",原始資料!L393=原始資料!K393),N(I393)+1,1))</f>
        <v/>
      </c>
      <c r="K393" s="6">
        <f>IF(OR(原始資料!$A393="",10&gt;設定!$B$3,原始資料!M393=""),"",IF(AND(原始資料!L393&lt;&gt;"",原始資料!M393=原始資料!L393),N(J393)+1,1))</f>
        <v/>
      </c>
      <c r="L393" s="6">
        <f>IF(OR(原始資料!$A393="",11&gt;設定!$B$3,原始資料!N393=""),"",IF(AND(原始資料!M393&lt;&gt;"",原始資料!N393=原始資料!M393),N(K393)+1,1))</f>
        <v/>
      </c>
      <c r="M393" s="6">
        <f>IF(OR(原始資料!$A393="",12&gt;設定!$B$3,原始資料!O393=""),"",IF(AND(原始資料!N393&lt;&gt;"",原始資料!O393=原始資料!N393),N(L393)+1,1))</f>
        <v/>
      </c>
      <c r="N393" s="6">
        <f>IF(OR(原始資料!$A393="",13&gt;設定!$B$3,原始資料!P393=""),"",IF(AND(原始資料!O393&lt;&gt;"",原始資料!P393=原始資料!O393),N(M393)+1,1))</f>
        <v/>
      </c>
      <c r="O393" s="6">
        <f>IF(OR(原始資料!$A393="",14&gt;設定!$B$3,原始資料!Q393=""),"",IF(AND(原始資料!P393&lt;&gt;"",原始資料!Q393=原始資料!P393),N(N393)+1,1))</f>
        <v/>
      </c>
      <c r="P393" s="6">
        <f>IF(OR(原始資料!$A393="",15&gt;設定!$B$3,原始資料!R393=""),"",IF(AND(原始資料!Q393&lt;&gt;"",原始資料!R393=原始資料!Q393),N(O393)+1,1))</f>
        <v/>
      </c>
      <c r="Q393" s="6">
        <f>IF(OR(原始資料!$A393="",16&gt;設定!$B$3,原始資料!S393=""),"",IF(AND(原始資料!R393&lt;&gt;"",原始資料!S393=原始資料!R393),N(P393)+1,1))</f>
        <v/>
      </c>
      <c r="R393" s="6">
        <f>IF(OR(原始資料!$A393="",17&gt;設定!$B$3,原始資料!T393=""),"",IF(AND(原始資料!S393&lt;&gt;"",原始資料!T393=原始資料!S393),N(Q393)+1,1))</f>
        <v/>
      </c>
      <c r="S393" s="6">
        <f>IF(OR(原始資料!$A393="",18&gt;設定!$B$3,原始資料!U393=""),"",IF(AND(原始資料!T393&lt;&gt;"",原始資料!U393=原始資料!T393),N(R393)+1,1))</f>
        <v/>
      </c>
      <c r="T393" s="6">
        <f>IF(OR(原始資料!$A393="",19&gt;設定!$B$3,原始資料!V393=""),"",IF(AND(原始資料!U393&lt;&gt;"",原始資料!V393=原始資料!U393),N(S393)+1,1))</f>
        <v/>
      </c>
      <c r="U393" s="6">
        <f>IF(OR(原始資料!$A393="",20&gt;設定!$B$3,原始資料!W393=""),"",IF(AND(原始資料!V393&lt;&gt;"",原始資料!W393=原始資料!V393),N(T393)+1,1))</f>
        <v/>
      </c>
      <c r="V393" s="6">
        <f>IF(OR(原始資料!$A393="",21&gt;設定!$B$3,原始資料!X393=""),"",IF(AND(原始資料!W393&lt;&gt;"",原始資料!X393=原始資料!W393),N(U393)+1,1))</f>
        <v/>
      </c>
      <c r="W393" s="6">
        <f>IF(OR(原始資料!$A393="",22&gt;設定!$B$3,原始資料!Y393=""),"",IF(AND(原始資料!X393&lt;&gt;"",原始資料!Y393=原始資料!X393),N(V393)+1,1))</f>
        <v/>
      </c>
      <c r="X393" s="6">
        <f>IF(OR(原始資料!$A393="",23&gt;設定!$B$3,原始資料!Z393=""),"",IF(AND(原始資料!Y393&lt;&gt;"",原始資料!Z393=原始資料!Y393),N(W393)+1,1))</f>
        <v/>
      </c>
      <c r="Y393" s="6">
        <f>IF(OR(原始資料!$A393="",24&gt;設定!$B$3,原始資料!AA393=""),"",IF(AND(原始資料!Z393&lt;&gt;"",原始資料!AA393=原始資料!Z393),N(X393)+1,1))</f>
        <v/>
      </c>
      <c r="Z393" s="6">
        <f>IF(OR(原始資料!$A393="",25&gt;設定!$B$3,原始資料!AB393=""),"",IF(AND(原始資料!AA393&lt;&gt;"",原始資料!AB393=原始資料!AA393),N(Y393)+1,1))</f>
        <v/>
      </c>
      <c r="AA393" s="6">
        <f>IF(OR(原始資料!$A393="",26&gt;設定!$B$3,原始資料!AC393=""),"",IF(AND(原始資料!AB393&lt;&gt;"",原始資料!AC393=原始資料!AB393),N(Z393)+1,1))</f>
        <v/>
      </c>
      <c r="AB393" s="6">
        <f>IF(OR(原始資料!$A393="",27&gt;設定!$B$3,原始資料!AD393=""),"",IF(AND(原始資料!AC393&lt;&gt;"",原始資料!AD393=原始資料!AC393),N(AA393)+1,1))</f>
        <v/>
      </c>
      <c r="AC393" s="6">
        <f>IF(OR(原始資料!$A393="",28&gt;設定!$B$3,原始資料!AE393=""),"",IF(AND(原始資料!AD393&lt;&gt;"",原始資料!AE393=原始資料!AD393),N(AB393)+1,1))</f>
        <v/>
      </c>
      <c r="AD393" s="6">
        <f>IF(OR(原始資料!$A393="",29&gt;設定!$B$3,原始資料!AF393=""),"",IF(AND(原始資料!AE393&lt;&gt;"",原始資料!AF393=原始資料!AE393),N(AC393)+1,1))</f>
        <v/>
      </c>
      <c r="AE393" s="6">
        <f>IF(OR(原始資料!$A393="",30&gt;設定!$B$3,原始資料!AG393=""),"",IF(AND(原始資料!AF393&lt;&gt;"",原始資料!AG393=原始資料!AF393),N(AD393)+1,1))</f>
        <v/>
      </c>
      <c r="AF393" s="6">
        <f>IF(OR(原始資料!$A393="",31&gt;設定!$B$3,原始資料!AH393=""),"",IF(AND(原始資料!AG393&lt;&gt;"",原始資料!AH393=原始資料!AG393),N(AE393)+1,1))</f>
        <v/>
      </c>
      <c r="AG393" s="6">
        <f>IF(OR(原始資料!$A393="",32&gt;設定!$B$3,原始資料!AI393=""),"",IF(AND(原始資料!AH393&lt;&gt;"",原始資料!AI393=原始資料!AH393),N(AF393)+1,1))</f>
        <v/>
      </c>
      <c r="AH393" s="6">
        <f>IF(OR(原始資料!$A393="",33&gt;設定!$B$3,原始資料!AJ393=""),"",IF(AND(原始資料!AI393&lt;&gt;"",原始資料!AJ393=原始資料!AI393),N(AG393)+1,1))</f>
        <v/>
      </c>
      <c r="AI393" s="6">
        <f>IF(OR(原始資料!$A393="",34&gt;設定!$B$3,原始資料!AK393=""),"",IF(AND(原始資料!AJ393&lt;&gt;"",原始資料!AK393=原始資料!AJ393),N(AH393)+1,1))</f>
        <v/>
      </c>
      <c r="AJ393" s="6">
        <f>IF(OR(原始資料!$A393="",35&gt;設定!$B$3,原始資料!AL393=""),"",IF(AND(原始資料!AK393&lt;&gt;"",原始資料!AL393=原始資料!AK393),N(AI393)+1,1))</f>
        <v/>
      </c>
      <c r="AK393" s="6">
        <f>IF(OR(原始資料!$A393="",36&gt;設定!$B$3,原始資料!AM393=""),"",IF(AND(原始資料!AL393&lt;&gt;"",原始資料!AM393=原始資料!AL393),N(AJ393)+1,1))</f>
        <v/>
      </c>
      <c r="AL393" s="6">
        <f>IF(OR(原始資料!$A393="",37&gt;設定!$B$3,原始資料!AN393=""),"",IF(AND(原始資料!AM393&lt;&gt;"",原始資料!AN393=原始資料!AM393),N(AK393)+1,1))</f>
        <v/>
      </c>
      <c r="AM393" s="6">
        <f>IF(OR(原始資料!$A393="",38&gt;設定!$B$3,原始資料!AO393=""),"",IF(AND(原始資料!AN393&lt;&gt;"",原始資料!AO393=原始資料!AN393),N(AL393)+1,1))</f>
        <v/>
      </c>
      <c r="AN393" s="6">
        <f>IF(OR(原始資料!$A393="",39&gt;設定!$B$3,原始資料!AP393=""),"",IF(AND(原始資料!AO393&lt;&gt;"",原始資料!AP393=原始資料!AO393),N(AM393)+1,1))</f>
        <v/>
      </c>
      <c r="AO393" s="6">
        <f>IF(OR(原始資料!$A393="",40&gt;設定!$B$3,原始資料!AQ393=""),"",IF(AND(原始資料!AP393&lt;&gt;"",原始資料!AQ393=原始資料!AP393),N(AN393)+1,1))</f>
        <v/>
      </c>
      <c r="AP393" s="6">
        <f>IF(OR(原始資料!$A393="",41&gt;設定!$B$3,原始資料!AR393=""),"",IF(AND(原始資料!AQ393&lt;&gt;"",原始資料!AR393=原始資料!AQ393),N(AO393)+1,1))</f>
        <v/>
      </c>
      <c r="AQ393" s="6">
        <f>IF(OR(原始資料!$A393="",42&gt;設定!$B$3,原始資料!AS393=""),"",IF(AND(原始資料!AR393&lt;&gt;"",原始資料!AS393=原始資料!AR393),N(AP393)+1,1))</f>
        <v/>
      </c>
      <c r="AR393" s="6">
        <f>IF(OR(原始資料!$A393="",43&gt;設定!$B$3,原始資料!AT393=""),"",IF(AND(原始資料!AS393&lt;&gt;"",原始資料!AT393=原始資料!AS393),N(AQ393)+1,1))</f>
        <v/>
      </c>
      <c r="AS393" s="6">
        <f>IF(OR(原始資料!$A393="",44&gt;設定!$B$3,原始資料!AU393=""),"",IF(AND(原始資料!AT393&lt;&gt;"",原始資料!AU393=原始資料!AT393),N(AR393)+1,1))</f>
        <v/>
      </c>
      <c r="AT393" s="6">
        <f>IF(OR(原始資料!$A393="",45&gt;設定!$B$3,原始資料!AV393=""),"",IF(AND(原始資料!AU393&lt;&gt;"",原始資料!AV393=原始資料!AU393),N(AS393)+1,1))</f>
        <v/>
      </c>
      <c r="AU393" s="6">
        <f>IF(OR(原始資料!$A393="",46&gt;設定!$B$3,原始資料!AW393=""),"",IF(AND(原始資料!AV393&lt;&gt;"",原始資料!AW393=原始資料!AV393),N(AT393)+1,1))</f>
        <v/>
      </c>
      <c r="AV393" s="6">
        <f>IF(OR(原始資料!$A393="",47&gt;設定!$B$3,原始資料!AX393=""),"",IF(AND(原始資料!AW393&lt;&gt;"",原始資料!AX393=原始資料!AW393),N(AU393)+1,1))</f>
        <v/>
      </c>
      <c r="AW393" s="6">
        <f>IF(OR(原始資料!$A393="",48&gt;設定!$B$3,原始資料!AY393=""),"",IF(AND(原始資料!AX393&lt;&gt;"",原始資料!AY393=原始資料!AX393),N(AV393)+1,1))</f>
        <v/>
      </c>
      <c r="AX393" s="6">
        <f>IF(OR(原始資料!$A393="",49&gt;設定!$B$3,原始資料!AZ393=""),"",IF(AND(原始資料!AY393&lt;&gt;"",原始資料!AZ393=原始資料!AY393),N(AW393)+1,1))</f>
        <v/>
      </c>
      <c r="AY393" s="6">
        <f>IF(OR(原始資料!$A393="",50&gt;設定!$B$3,原始資料!BA393=""),"",IF(AND(原始資料!AZ393&lt;&gt;"",原始資料!BA393=原始資料!AZ393),N(AX393)+1,1))</f>
        <v/>
      </c>
      <c r="AZ393" s="6">
        <f>IF(OR(原始資料!$A393="",51&gt;設定!$B$3,原始資料!BB393=""),"",IF(AND(原始資料!BA393&lt;&gt;"",原始資料!BB393=原始資料!BA393),N(AY393)+1,1))</f>
        <v/>
      </c>
      <c r="BA393" s="6">
        <f>IF(OR(原始資料!$A393="",52&gt;設定!$B$3,原始資料!BC393=""),"",IF(AND(原始資料!BB393&lt;&gt;"",原始資料!BC393=原始資料!BB393),N(AZ393)+1,1))</f>
        <v/>
      </c>
      <c r="BB393" s="6">
        <f>IF(OR(原始資料!$A393="",53&gt;設定!$B$3,原始資料!BD393=""),"",IF(AND(原始資料!BC393&lt;&gt;"",原始資料!BD393=原始資料!BC393),N(BA393)+1,1))</f>
        <v/>
      </c>
      <c r="BC393" s="6">
        <f>IF(OR(原始資料!$A393="",54&gt;設定!$B$3,原始資料!BE393=""),"",IF(AND(原始資料!BD393&lt;&gt;"",原始資料!BE393=原始資料!BD393),N(BB393)+1,1))</f>
        <v/>
      </c>
      <c r="BD393" s="6">
        <f>IF(OR(原始資料!$A393="",55&gt;設定!$B$3,原始資料!BF393=""),"",IF(AND(原始資料!BE393&lt;&gt;"",原始資料!BF393=原始資料!BE393),N(BC393)+1,1))</f>
        <v/>
      </c>
      <c r="BE393" s="6">
        <f>IF(OR(原始資料!$A393="",56&gt;設定!$B$3,原始資料!BG393=""),"",IF(AND(原始資料!BF393&lt;&gt;"",原始資料!BG393=原始資料!BF393),N(BD393)+1,1))</f>
        <v/>
      </c>
      <c r="BF393" s="6">
        <f>IF(OR(原始資料!$A393="",57&gt;設定!$B$3,原始資料!BH393=""),"",IF(AND(原始資料!BG393&lt;&gt;"",原始資料!BH393=原始資料!BG393),N(BE393)+1,1))</f>
        <v/>
      </c>
      <c r="BG393" s="6">
        <f>IF(OR(原始資料!$A393="",58&gt;設定!$B$3,原始資料!BI393=""),"",IF(AND(原始資料!BH393&lt;&gt;"",原始資料!BI393=原始資料!BH393),N(BF393)+1,1))</f>
        <v/>
      </c>
      <c r="BH393" s="6">
        <f>IF(OR(原始資料!$A393="",59&gt;設定!$B$3,原始資料!BJ393=""),"",IF(AND(原始資料!BI393&lt;&gt;"",原始資料!BJ393=原始資料!BI393),N(BG393)+1,1))</f>
        <v/>
      </c>
      <c r="BI393" s="6">
        <f>IF(OR(原始資料!$A393="",60&gt;設定!$B$3,原始資料!BK393=""),"",IF(AND(原始資料!BJ393&lt;&gt;"",原始資料!BK393=原始資料!BJ393),N(BH393)+1,1))</f>
        <v/>
      </c>
    </row>
    <row r="394">
      <c r="A394" s="6">
        <f>IF(原始資料!$A394="","",原始資料!$A394)</f>
        <v/>
      </c>
      <c r="B394" s="6">
        <f>IF(OR(原始資料!$A394="",1&gt;設定!$B$3,原始資料!D394=""),"",1)</f>
        <v/>
      </c>
      <c r="C394" s="6">
        <f>IF(OR(原始資料!$A394="",2&gt;設定!$B$3,原始資料!E394=""),"",IF(AND(原始資料!D394&lt;&gt;"",原始資料!E394=原始資料!D394),N(B394)+1,1))</f>
        <v/>
      </c>
      <c r="D394" s="6">
        <f>IF(OR(原始資料!$A394="",3&gt;設定!$B$3,原始資料!F394=""),"",IF(AND(原始資料!E394&lt;&gt;"",原始資料!F394=原始資料!E394),N(C394)+1,1))</f>
        <v/>
      </c>
      <c r="E394" s="6">
        <f>IF(OR(原始資料!$A394="",4&gt;設定!$B$3,原始資料!G394=""),"",IF(AND(原始資料!F394&lt;&gt;"",原始資料!G394=原始資料!F394),N(D394)+1,1))</f>
        <v/>
      </c>
      <c r="F394" s="6">
        <f>IF(OR(原始資料!$A394="",5&gt;設定!$B$3,原始資料!H394=""),"",IF(AND(原始資料!G394&lt;&gt;"",原始資料!H394=原始資料!G394),N(E394)+1,1))</f>
        <v/>
      </c>
      <c r="G394" s="6">
        <f>IF(OR(原始資料!$A394="",6&gt;設定!$B$3,原始資料!I394=""),"",IF(AND(原始資料!H394&lt;&gt;"",原始資料!I394=原始資料!H394),N(F394)+1,1))</f>
        <v/>
      </c>
      <c r="H394" s="6">
        <f>IF(OR(原始資料!$A394="",7&gt;設定!$B$3,原始資料!J394=""),"",IF(AND(原始資料!I394&lt;&gt;"",原始資料!J394=原始資料!I394),N(G394)+1,1))</f>
        <v/>
      </c>
      <c r="I394" s="6">
        <f>IF(OR(原始資料!$A394="",8&gt;設定!$B$3,原始資料!K394=""),"",IF(AND(原始資料!J394&lt;&gt;"",原始資料!K394=原始資料!J394),N(H394)+1,1))</f>
        <v/>
      </c>
      <c r="J394" s="6">
        <f>IF(OR(原始資料!$A394="",9&gt;設定!$B$3,原始資料!L394=""),"",IF(AND(原始資料!K394&lt;&gt;"",原始資料!L394=原始資料!K394),N(I394)+1,1))</f>
        <v/>
      </c>
      <c r="K394" s="6">
        <f>IF(OR(原始資料!$A394="",10&gt;設定!$B$3,原始資料!M394=""),"",IF(AND(原始資料!L394&lt;&gt;"",原始資料!M394=原始資料!L394),N(J394)+1,1))</f>
        <v/>
      </c>
      <c r="L394" s="6">
        <f>IF(OR(原始資料!$A394="",11&gt;設定!$B$3,原始資料!N394=""),"",IF(AND(原始資料!M394&lt;&gt;"",原始資料!N394=原始資料!M394),N(K394)+1,1))</f>
        <v/>
      </c>
      <c r="M394" s="6">
        <f>IF(OR(原始資料!$A394="",12&gt;設定!$B$3,原始資料!O394=""),"",IF(AND(原始資料!N394&lt;&gt;"",原始資料!O394=原始資料!N394),N(L394)+1,1))</f>
        <v/>
      </c>
      <c r="N394" s="6">
        <f>IF(OR(原始資料!$A394="",13&gt;設定!$B$3,原始資料!P394=""),"",IF(AND(原始資料!O394&lt;&gt;"",原始資料!P394=原始資料!O394),N(M394)+1,1))</f>
        <v/>
      </c>
      <c r="O394" s="6">
        <f>IF(OR(原始資料!$A394="",14&gt;設定!$B$3,原始資料!Q394=""),"",IF(AND(原始資料!P394&lt;&gt;"",原始資料!Q394=原始資料!P394),N(N394)+1,1))</f>
        <v/>
      </c>
      <c r="P394" s="6">
        <f>IF(OR(原始資料!$A394="",15&gt;設定!$B$3,原始資料!R394=""),"",IF(AND(原始資料!Q394&lt;&gt;"",原始資料!R394=原始資料!Q394),N(O394)+1,1))</f>
        <v/>
      </c>
      <c r="Q394" s="6">
        <f>IF(OR(原始資料!$A394="",16&gt;設定!$B$3,原始資料!S394=""),"",IF(AND(原始資料!R394&lt;&gt;"",原始資料!S394=原始資料!R394),N(P394)+1,1))</f>
        <v/>
      </c>
      <c r="R394" s="6">
        <f>IF(OR(原始資料!$A394="",17&gt;設定!$B$3,原始資料!T394=""),"",IF(AND(原始資料!S394&lt;&gt;"",原始資料!T394=原始資料!S394),N(Q394)+1,1))</f>
        <v/>
      </c>
      <c r="S394" s="6">
        <f>IF(OR(原始資料!$A394="",18&gt;設定!$B$3,原始資料!U394=""),"",IF(AND(原始資料!T394&lt;&gt;"",原始資料!U394=原始資料!T394),N(R394)+1,1))</f>
        <v/>
      </c>
      <c r="T394" s="6">
        <f>IF(OR(原始資料!$A394="",19&gt;設定!$B$3,原始資料!V394=""),"",IF(AND(原始資料!U394&lt;&gt;"",原始資料!V394=原始資料!U394),N(S394)+1,1))</f>
        <v/>
      </c>
      <c r="U394" s="6">
        <f>IF(OR(原始資料!$A394="",20&gt;設定!$B$3,原始資料!W394=""),"",IF(AND(原始資料!V394&lt;&gt;"",原始資料!W394=原始資料!V394),N(T394)+1,1))</f>
        <v/>
      </c>
      <c r="V394" s="6">
        <f>IF(OR(原始資料!$A394="",21&gt;設定!$B$3,原始資料!X394=""),"",IF(AND(原始資料!W394&lt;&gt;"",原始資料!X394=原始資料!W394),N(U394)+1,1))</f>
        <v/>
      </c>
      <c r="W394" s="6">
        <f>IF(OR(原始資料!$A394="",22&gt;設定!$B$3,原始資料!Y394=""),"",IF(AND(原始資料!X394&lt;&gt;"",原始資料!Y394=原始資料!X394),N(V394)+1,1))</f>
        <v/>
      </c>
      <c r="X394" s="6">
        <f>IF(OR(原始資料!$A394="",23&gt;設定!$B$3,原始資料!Z394=""),"",IF(AND(原始資料!Y394&lt;&gt;"",原始資料!Z394=原始資料!Y394),N(W394)+1,1))</f>
        <v/>
      </c>
      <c r="Y394" s="6">
        <f>IF(OR(原始資料!$A394="",24&gt;設定!$B$3,原始資料!AA394=""),"",IF(AND(原始資料!Z394&lt;&gt;"",原始資料!AA394=原始資料!Z394),N(X394)+1,1))</f>
        <v/>
      </c>
      <c r="Z394" s="6">
        <f>IF(OR(原始資料!$A394="",25&gt;設定!$B$3,原始資料!AB394=""),"",IF(AND(原始資料!AA394&lt;&gt;"",原始資料!AB394=原始資料!AA394),N(Y394)+1,1))</f>
        <v/>
      </c>
      <c r="AA394" s="6">
        <f>IF(OR(原始資料!$A394="",26&gt;設定!$B$3,原始資料!AC394=""),"",IF(AND(原始資料!AB394&lt;&gt;"",原始資料!AC394=原始資料!AB394),N(Z394)+1,1))</f>
        <v/>
      </c>
      <c r="AB394" s="6">
        <f>IF(OR(原始資料!$A394="",27&gt;設定!$B$3,原始資料!AD394=""),"",IF(AND(原始資料!AC394&lt;&gt;"",原始資料!AD394=原始資料!AC394),N(AA394)+1,1))</f>
        <v/>
      </c>
      <c r="AC394" s="6">
        <f>IF(OR(原始資料!$A394="",28&gt;設定!$B$3,原始資料!AE394=""),"",IF(AND(原始資料!AD394&lt;&gt;"",原始資料!AE394=原始資料!AD394),N(AB394)+1,1))</f>
        <v/>
      </c>
      <c r="AD394" s="6">
        <f>IF(OR(原始資料!$A394="",29&gt;設定!$B$3,原始資料!AF394=""),"",IF(AND(原始資料!AE394&lt;&gt;"",原始資料!AF394=原始資料!AE394),N(AC394)+1,1))</f>
        <v/>
      </c>
      <c r="AE394" s="6">
        <f>IF(OR(原始資料!$A394="",30&gt;設定!$B$3,原始資料!AG394=""),"",IF(AND(原始資料!AF394&lt;&gt;"",原始資料!AG394=原始資料!AF394),N(AD394)+1,1))</f>
        <v/>
      </c>
      <c r="AF394" s="6">
        <f>IF(OR(原始資料!$A394="",31&gt;設定!$B$3,原始資料!AH394=""),"",IF(AND(原始資料!AG394&lt;&gt;"",原始資料!AH394=原始資料!AG394),N(AE394)+1,1))</f>
        <v/>
      </c>
      <c r="AG394" s="6">
        <f>IF(OR(原始資料!$A394="",32&gt;設定!$B$3,原始資料!AI394=""),"",IF(AND(原始資料!AH394&lt;&gt;"",原始資料!AI394=原始資料!AH394),N(AF394)+1,1))</f>
        <v/>
      </c>
      <c r="AH394" s="6">
        <f>IF(OR(原始資料!$A394="",33&gt;設定!$B$3,原始資料!AJ394=""),"",IF(AND(原始資料!AI394&lt;&gt;"",原始資料!AJ394=原始資料!AI394),N(AG394)+1,1))</f>
        <v/>
      </c>
      <c r="AI394" s="6">
        <f>IF(OR(原始資料!$A394="",34&gt;設定!$B$3,原始資料!AK394=""),"",IF(AND(原始資料!AJ394&lt;&gt;"",原始資料!AK394=原始資料!AJ394),N(AH394)+1,1))</f>
        <v/>
      </c>
      <c r="AJ394" s="6">
        <f>IF(OR(原始資料!$A394="",35&gt;設定!$B$3,原始資料!AL394=""),"",IF(AND(原始資料!AK394&lt;&gt;"",原始資料!AL394=原始資料!AK394),N(AI394)+1,1))</f>
        <v/>
      </c>
      <c r="AK394" s="6">
        <f>IF(OR(原始資料!$A394="",36&gt;設定!$B$3,原始資料!AM394=""),"",IF(AND(原始資料!AL394&lt;&gt;"",原始資料!AM394=原始資料!AL394),N(AJ394)+1,1))</f>
        <v/>
      </c>
      <c r="AL394" s="6">
        <f>IF(OR(原始資料!$A394="",37&gt;設定!$B$3,原始資料!AN394=""),"",IF(AND(原始資料!AM394&lt;&gt;"",原始資料!AN394=原始資料!AM394),N(AK394)+1,1))</f>
        <v/>
      </c>
      <c r="AM394" s="6">
        <f>IF(OR(原始資料!$A394="",38&gt;設定!$B$3,原始資料!AO394=""),"",IF(AND(原始資料!AN394&lt;&gt;"",原始資料!AO394=原始資料!AN394),N(AL394)+1,1))</f>
        <v/>
      </c>
      <c r="AN394" s="6">
        <f>IF(OR(原始資料!$A394="",39&gt;設定!$B$3,原始資料!AP394=""),"",IF(AND(原始資料!AO394&lt;&gt;"",原始資料!AP394=原始資料!AO394),N(AM394)+1,1))</f>
        <v/>
      </c>
      <c r="AO394" s="6">
        <f>IF(OR(原始資料!$A394="",40&gt;設定!$B$3,原始資料!AQ394=""),"",IF(AND(原始資料!AP394&lt;&gt;"",原始資料!AQ394=原始資料!AP394),N(AN394)+1,1))</f>
        <v/>
      </c>
      <c r="AP394" s="6">
        <f>IF(OR(原始資料!$A394="",41&gt;設定!$B$3,原始資料!AR394=""),"",IF(AND(原始資料!AQ394&lt;&gt;"",原始資料!AR394=原始資料!AQ394),N(AO394)+1,1))</f>
        <v/>
      </c>
      <c r="AQ394" s="6">
        <f>IF(OR(原始資料!$A394="",42&gt;設定!$B$3,原始資料!AS394=""),"",IF(AND(原始資料!AR394&lt;&gt;"",原始資料!AS394=原始資料!AR394),N(AP394)+1,1))</f>
        <v/>
      </c>
      <c r="AR394" s="6">
        <f>IF(OR(原始資料!$A394="",43&gt;設定!$B$3,原始資料!AT394=""),"",IF(AND(原始資料!AS394&lt;&gt;"",原始資料!AT394=原始資料!AS394),N(AQ394)+1,1))</f>
        <v/>
      </c>
      <c r="AS394" s="6">
        <f>IF(OR(原始資料!$A394="",44&gt;設定!$B$3,原始資料!AU394=""),"",IF(AND(原始資料!AT394&lt;&gt;"",原始資料!AU394=原始資料!AT394),N(AR394)+1,1))</f>
        <v/>
      </c>
      <c r="AT394" s="6">
        <f>IF(OR(原始資料!$A394="",45&gt;設定!$B$3,原始資料!AV394=""),"",IF(AND(原始資料!AU394&lt;&gt;"",原始資料!AV394=原始資料!AU394),N(AS394)+1,1))</f>
        <v/>
      </c>
      <c r="AU394" s="6">
        <f>IF(OR(原始資料!$A394="",46&gt;設定!$B$3,原始資料!AW394=""),"",IF(AND(原始資料!AV394&lt;&gt;"",原始資料!AW394=原始資料!AV394),N(AT394)+1,1))</f>
        <v/>
      </c>
      <c r="AV394" s="6">
        <f>IF(OR(原始資料!$A394="",47&gt;設定!$B$3,原始資料!AX394=""),"",IF(AND(原始資料!AW394&lt;&gt;"",原始資料!AX394=原始資料!AW394),N(AU394)+1,1))</f>
        <v/>
      </c>
      <c r="AW394" s="6">
        <f>IF(OR(原始資料!$A394="",48&gt;設定!$B$3,原始資料!AY394=""),"",IF(AND(原始資料!AX394&lt;&gt;"",原始資料!AY394=原始資料!AX394),N(AV394)+1,1))</f>
        <v/>
      </c>
      <c r="AX394" s="6">
        <f>IF(OR(原始資料!$A394="",49&gt;設定!$B$3,原始資料!AZ394=""),"",IF(AND(原始資料!AY394&lt;&gt;"",原始資料!AZ394=原始資料!AY394),N(AW394)+1,1))</f>
        <v/>
      </c>
      <c r="AY394" s="6">
        <f>IF(OR(原始資料!$A394="",50&gt;設定!$B$3,原始資料!BA394=""),"",IF(AND(原始資料!AZ394&lt;&gt;"",原始資料!BA394=原始資料!AZ394),N(AX394)+1,1))</f>
        <v/>
      </c>
      <c r="AZ394" s="6">
        <f>IF(OR(原始資料!$A394="",51&gt;設定!$B$3,原始資料!BB394=""),"",IF(AND(原始資料!BA394&lt;&gt;"",原始資料!BB394=原始資料!BA394),N(AY394)+1,1))</f>
        <v/>
      </c>
      <c r="BA394" s="6">
        <f>IF(OR(原始資料!$A394="",52&gt;設定!$B$3,原始資料!BC394=""),"",IF(AND(原始資料!BB394&lt;&gt;"",原始資料!BC394=原始資料!BB394),N(AZ394)+1,1))</f>
        <v/>
      </c>
      <c r="BB394" s="6">
        <f>IF(OR(原始資料!$A394="",53&gt;設定!$B$3,原始資料!BD394=""),"",IF(AND(原始資料!BC394&lt;&gt;"",原始資料!BD394=原始資料!BC394),N(BA394)+1,1))</f>
        <v/>
      </c>
      <c r="BC394" s="6">
        <f>IF(OR(原始資料!$A394="",54&gt;設定!$B$3,原始資料!BE394=""),"",IF(AND(原始資料!BD394&lt;&gt;"",原始資料!BE394=原始資料!BD394),N(BB394)+1,1))</f>
        <v/>
      </c>
      <c r="BD394" s="6">
        <f>IF(OR(原始資料!$A394="",55&gt;設定!$B$3,原始資料!BF394=""),"",IF(AND(原始資料!BE394&lt;&gt;"",原始資料!BF394=原始資料!BE394),N(BC394)+1,1))</f>
        <v/>
      </c>
      <c r="BE394" s="6">
        <f>IF(OR(原始資料!$A394="",56&gt;設定!$B$3,原始資料!BG394=""),"",IF(AND(原始資料!BF394&lt;&gt;"",原始資料!BG394=原始資料!BF394),N(BD394)+1,1))</f>
        <v/>
      </c>
      <c r="BF394" s="6">
        <f>IF(OR(原始資料!$A394="",57&gt;設定!$B$3,原始資料!BH394=""),"",IF(AND(原始資料!BG394&lt;&gt;"",原始資料!BH394=原始資料!BG394),N(BE394)+1,1))</f>
        <v/>
      </c>
      <c r="BG394" s="6">
        <f>IF(OR(原始資料!$A394="",58&gt;設定!$B$3,原始資料!BI394=""),"",IF(AND(原始資料!BH394&lt;&gt;"",原始資料!BI394=原始資料!BH394),N(BF394)+1,1))</f>
        <v/>
      </c>
      <c r="BH394" s="6">
        <f>IF(OR(原始資料!$A394="",59&gt;設定!$B$3,原始資料!BJ394=""),"",IF(AND(原始資料!BI394&lt;&gt;"",原始資料!BJ394=原始資料!BI394),N(BG394)+1,1))</f>
        <v/>
      </c>
      <c r="BI394" s="6">
        <f>IF(OR(原始資料!$A394="",60&gt;設定!$B$3,原始資料!BK394=""),"",IF(AND(原始資料!BJ394&lt;&gt;"",原始資料!BK394=原始資料!BJ394),N(BH394)+1,1))</f>
        <v/>
      </c>
    </row>
    <row r="395">
      <c r="A395" s="6">
        <f>IF(原始資料!$A395="","",原始資料!$A395)</f>
        <v/>
      </c>
      <c r="B395" s="6">
        <f>IF(OR(原始資料!$A395="",1&gt;設定!$B$3,原始資料!D395=""),"",1)</f>
        <v/>
      </c>
      <c r="C395" s="6">
        <f>IF(OR(原始資料!$A395="",2&gt;設定!$B$3,原始資料!E395=""),"",IF(AND(原始資料!D395&lt;&gt;"",原始資料!E395=原始資料!D395),N(B395)+1,1))</f>
        <v/>
      </c>
      <c r="D395" s="6">
        <f>IF(OR(原始資料!$A395="",3&gt;設定!$B$3,原始資料!F395=""),"",IF(AND(原始資料!E395&lt;&gt;"",原始資料!F395=原始資料!E395),N(C395)+1,1))</f>
        <v/>
      </c>
      <c r="E395" s="6">
        <f>IF(OR(原始資料!$A395="",4&gt;設定!$B$3,原始資料!G395=""),"",IF(AND(原始資料!F395&lt;&gt;"",原始資料!G395=原始資料!F395),N(D395)+1,1))</f>
        <v/>
      </c>
      <c r="F395" s="6">
        <f>IF(OR(原始資料!$A395="",5&gt;設定!$B$3,原始資料!H395=""),"",IF(AND(原始資料!G395&lt;&gt;"",原始資料!H395=原始資料!G395),N(E395)+1,1))</f>
        <v/>
      </c>
      <c r="G395" s="6">
        <f>IF(OR(原始資料!$A395="",6&gt;設定!$B$3,原始資料!I395=""),"",IF(AND(原始資料!H395&lt;&gt;"",原始資料!I395=原始資料!H395),N(F395)+1,1))</f>
        <v/>
      </c>
      <c r="H395" s="6">
        <f>IF(OR(原始資料!$A395="",7&gt;設定!$B$3,原始資料!J395=""),"",IF(AND(原始資料!I395&lt;&gt;"",原始資料!J395=原始資料!I395),N(G395)+1,1))</f>
        <v/>
      </c>
      <c r="I395" s="6">
        <f>IF(OR(原始資料!$A395="",8&gt;設定!$B$3,原始資料!K395=""),"",IF(AND(原始資料!J395&lt;&gt;"",原始資料!K395=原始資料!J395),N(H395)+1,1))</f>
        <v/>
      </c>
      <c r="J395" s="6">
        <f>IF(OR(原始資料!$A395="",9&gt;設定!$B$3,原始資料!L395=""),"",IF(AND(原始資料!K395&lt;&gt;"",原始資料!L395=原始資料!K395),N(I395)+1,1))</f>
        <v/>
      </c>
      <c r="K395" s="6">
        <f>IF(OR(原始資料!$A395="",10&gt;設定!$B$3,原始資料!M395=""),"",IF(AND(原始資料!L395&lt;&gt;"",原始資料!M395=原始資料!L395),N(J395)+1,1))</f>
        <v/>
      </c>
      <c r="L395" s="6">
        <f>IF(OR(原始資料!$A395="",11&gt;設定!$B$3,原始資料!N395=""),"",IF(AND(原始資料!M395&lt;&gt;"",原始資料!N395=原始資料!M395),N(K395)+1,1))</f>
        <v/>
      </c>
      <c r="M395" s="6">
        <f>IF(OR(原始資料!$A395="",12&gt;設定!$B$3,原始資料!O395=""),"",IF(AND(原始資料!N395&lt;&gt;"",原始資料!O395=原始資料!N395),N(L395)+1,1))</f>
        <v/>
      </c>
      <c r="N395" s="6">
        <f>IF(OR(原始資料!$A395="",13&gt;設定!$B$3,原始資料!P395=""),"",IF(AND(原始資料!O395&lt;&gt;"",原始資料!P395=原始資料!O395),N(M395)+1,1))</f>
        <v/>
      </c>
      <c r="O395" s="6">
        <f>IF(OR(原始資料!$A395="",14&gt;設定!$B$3,原始資料!Q395=""),"",IF(AND(原始資料!P395&lt;&gt;"",原始資料!Q395=原始資料!P395),N(N395)+1,1))</f>
        <v/>
      </c>
      <c r="P395" s="6">
        <f>IF(OR(原始資料!$A395="",15&gt;設定!$B$3,原始資料!R395=""),"",IF(AND(原始資料!Q395&lt;&gt;"",原始資料!R395=原始資料!Q395),N(O395)+1,1))</f>
        <v/>
      </c>
      <c r="Q395" s="6">
        <f>IF(OR(原始資料!$A395="",16&gt;設定!$B$3,原始資料!S395=""),"",IF(AND(原始資料!R395&lt;&gt;"",原始資料!S395=原始資料!R395),N(P395)+1,1))</f>
        <v/>
      </c>
      <c r="R395" s="6">
        <f>IF(OR(原始資料!$A395="",17&gt;設定!$B$3,原始資料!T395=""),"",IF(AND(原始資料!S395&lt;&gt;"",原始資料!T395=原始資料!S395),N(Q395)+1,1))</f>
        <v/>
      </c>
      <c r="S395" s="6">
        <f>IF(OR(原始資料!$A395="",18&gt;設定!$B$3,原始資料!U395=""),"",IF(AND(原始資料!T395&lt;&gt;"",原始資料!U395=原始資料!T395),N(R395)+1,1))</f>
        <v/>
      </c>
      <c r="T395" s="6">
        <f>IF(OR(原始資料!$A395="",19&gt;設定!$B$3,原始資料!V395=""),"",IF(AND(原始資料!U395&lt;&gt;"",原始資料!V395=原始資料!U395),N(S395)+1,1))</f>
        <v/>
      </c>
      <c r="U395" s="6">
        <f>IF(OR(原始資料!$A395="",20&gt;設定!$B$3,原始資料!W395=""),"",IF(AND(原始資料!V395&lt;&gt;"",原始資料!W395=原始資料!V395),N(T395)+1,1))</f>
        <v/>
      </c>
      <c r="V395" s="6">
        <f>IF(OR(原始資料!$A395="",21&gt;設定!$B$3,原始資料!X395=""),"",IF(AND(原始資料!W395&lt;&gt;"",原始資料!X395=原始資料!W395),N(U395)+1,1))</f>
        <v/>
      </c>
      <c r="W395" s="6">
        <f>IF(OR(原始資料!$A395="",22&gt;設定!$B$3,原始資料!Y395=""),"",IF(AND(原始資料!X395&lt;&gt;"",原始資料!Y395=原始資料!X395),N(V395)+1,1))</f>
        <v/>
      </c>
      <c r="X395" s="6">
        <f>IF(OR(原始資料!$A395="",23&gt;設定!$B$3,原始資料!Z395=""),"",IF(AND(原始資料!Y395&lt;&gt;"",原始資料!Z395=原始資料!Y395),N(W395)+1,1))</f>
        <v/>
      </c>
      <c r="Y395" s="6">
        <f>IF(OR(原始資料!$A395="",24&gt;設定!$B$3,原始資料!AA395=""),"",IF(AND(原始資料!Z395&lt;&gt;"",原始資料!AA395=原始資料!Z395),N(X395)+1,1))</f>
        <v/>
      </c>
      <c r="Z395" s="6">
        <f>IF(OR(原始資料!$A395="",25&gt;設定!$B$3,原始資料!AB395=""),"",IF(AND(原始資料!AA395&lt;&gt;"",原始資料!AB395=原始資料!AA395),N(Y395)+1,1))</f>
        <v/>
      </c>
      <c r="AA395" s="6">
        <f>IF(OR(原始資料!$A395="",26&gt;設定!$B$3,原始資料!AC395=""),"",IF(AND(原始資料!AB395&lt;&gt;"",原始資料!AC395=原始資料!AB395),N(Z395)+1,1))</f>
        <v/>
      </c>
      <c r="AB395" s="6">
        <f>IF(OR(原始資料!$A395="",27&gt;設定!$B$3,原始資料!AD395=""),"",IF(AND(原始資料!AC395&lt;&gt;"",原始資料!AD395=原始資料!AC395),N(AA395)+1,1))</f>
        <v/>
      </c>
      <c r="AC395" s="6">
        <f>IF(OR(原始資料!$A395="",28&gt;設定!$B$3,原始資料!AE395=""),"",IF(AND(原始資料!AD395&lt;&gt;"",原始資料!AE395=原始資料!AD395),N(AB395)+1,1))</f>
        <v/>
      </c>
      <c r="AD395" s="6">
        <f>IF(OR(原始資料!$A395="",29&gt;設定!$B$3,原始資料!AF395=""),"",IF(AND(原始資料!AE395&lt;&gt;"",原始資料!AF395=原始資料!AE395),N(AC395)+1,1))</f>
        <v/>
      </c>
      <c r="AE395" s="6">
        <f>IF(OR(原始資料!$A395="",30&gt;設定!$B$3,原始資料!AG395=""),"",IF(AND(原始資料!AF395&lt;&gt;"",原始資料!AG395=原始資料!AF395),N(AD395)+1,1))</f>
        <v/>
      </c>
      <c r="AF395" s="6">
        <f>IF(OR(原始資料!$A395="",31&gt;設定!$B$3,原始資料!AH395=""),"",IF(AND(原始資料!AG395&lt;&gt;"",原始資料!AH395=原始資料!AG395),N(AE395)+1,1))</f>
        <v/>
      </c>
      <c r="AG395" s="6">
        <f>IF(OR(原始資料!$A395="",32&gt;設定!$B$3,原始資料!AI395=""),"",IF(AND(原始資料!AH395&lt;&gt;"",原始資料!AI395=原始資料!AH395),N(AF395)+1,1))</f>
        <v/>
      </c>
      <c r="AH395" s="6">
        <f>IF(OR(原始資料!$A395="",33&gt;設定!$B$3,原始資料!AJ395=""),"",IF(AND(原始資料!AI395&lt;&gt;"",原始資料!AJ395=原始資料!AI395),N(AG395)+1,1))</f>
        <v/>
      </c>
      <c r="AI395" s="6">
        <f>IF(OR(原始資料!$A395="",34&gt;設定!$B$3,原始資料!AK395=""),"",IF(AND(原始資料!AJ395&lt;&gt;"",原始資料!AK395=原始資料!AJ395),N(AH395)+1,1))</f>
        <v/>
      </c>
      <c r="AJ395" s="6">
        <f>IF(OR(原始資料!$A395="",35&gt;設定!$B$3,原始資料!AL395=""),"",IF(AND(原始資料!AK395&lt;&gt;"",原始資料!AL395=原始資料!AK395),N(AI395)+1,1))</f>
        <v/>
      </c>
      <c r="AK395" s="6">
        <f>IF(OR(原始資料!$A395="",36&gt;設定!$B$3,原始資料!AM395=""),"",IF(AND(原始資料!AL395&lt;&gt;"",原始資料!AM395=原始資料!AL395),N(AJ395)+1,1))</f>
        <v/>
      </c>
      <c r="AL395" s="6">
        <f>IF(OR(原始資料!$A395="",37&gt;設定!$B$3,原始資料!AN395=""),"",IF(AND(原始資料!AM395&lt;&gt;"",原始資料!AN395=原始資料!AM395),N(AK395)+1,1))</f>
        <v/>
      </c>
      <c r="AM395" s="6">
        <f>IF(OR(原始資料!$A395="",38&gt;設定!$B$3,原始資料!AO395=""),"",IF(AND(原始資料!AN395&lt;&gt;"",原始資料!AO395=原始資料!AN395),N(AL395)+1,1))</f>
        <v/>
      </c>
      <c r="AN395" s="6">
        <f>IF(OR(原始資料!$A395="",39&gt;設定!$B$3,原始資料!AP395=""),"",IF(AND(原始資料!AO395&lt;&gt;"",原始資料!AP395=原始資料!AO395),N(AM395)+1,1))</f>
        <v/>
      </c>
      <c r="AO395" s="6">
        <f>IF(OR(原始資料!$A395="",40&gt;設定!$B$3,原始資料!AQ395=""),"",IF(AND(原始資料!AP395&lt;&gt;"",原始資料!AQ395=原始資料!AP395),N(AN395)+1,1))</f>
        <v/>
      </c>
      <c r="AP395" s="6">
        <f>IF(OR(原始資料!$A395="",41&gt;設定!$B$3,原始資料!AR395=""),"",IF(AND(原始資料!AQ395&lt;&gt;"",原始資料!AR395=原始資料!AQ395),N(AO395)+1,1))</f>
        <v/>
      </c>
      <c r="AQ395" s="6">
        <f>IF(OR(原始資料!$A395="",42&gt;設定!$B$3,原始資料!AS395=""),"",IF(AND(原始資料!AR395&lt;&gt;"",原始資料!AS395=原始資料!AR395),N(AP395)+1,1))</f>
        <v/>
      </c>
      <c r="AR395" s="6">
        <f>IF(OR(原始資料!$A395="",43&gt;設定!$B$3,原始資料!AT395=""),"",IF(AND(原始資料!AS395&lt;&gt;"",原始資料!AT395=原始資料!AS395),N(AQ395)+1,1))</f>
        <v/>
      </c>
      <c r="AS395" s="6">
        <f>IF(OR(原始資料!$A395="",44&gt;設定!$B$3,原始資料!AU395=""),"",IF(AND(原始資料!AT395&lt;&gt;"",原始資料!AU395=原始資料!AT395),N(AR395)+1,1))</f>
        <v/>
      </c>
      <c r="AT395" s="6">
        <f>IF(OR(原始資料!$A395="",45&gt;設定!$B$3,原始資料!AV395=""),"",IF(AND(原始資料!AU395&lt;&gt;"",原始資料!AV395=原始資料!AU395),N(AS395)+1,1))</f>
        <v/>
      </c>
      <c r="AU395" s="6">
        <f>IF(OR(原始資料!$A395="",46&gt;設定!$B$3,原始資料!AW395=""),"",IF(AND(原始資料!AV395&lt;&gt;"",原始資料!AW395=原始資料!AV395),N(AT395)+1,1))</f>
        <v/>
      </c>
      <c r="AV395" s="6">
        <f>IF(OR(原始資料!$A395="",47&gt;設定!$B$3,原始資料!AX395=""),"",IF(AND(原始資料!AW395&lt;&gt;"",原始資料!AX395=原始資料!AW395),N(AU395)+1,1))</f>
        <v/>
      </c>
      <c r="AW395" s="6">
        <f>IF(OR(原始資料!$A395="",48&gt;設定!$B$3,原始資料!AY395=""),"",IF(AND(原始資料!AX395&lt;&gt;"",原始資料!AY395=原始資料!AX395),N(AV395)+1,1))</f>
        <v/>
      </c>
      <c r="AX395" s="6">
        <f>IF(OR(原始資料!$A395="",49&gt;設定!$B$3,原始資料!AZ395=""),"",IF(AND(原始資料!AY395&lt;&gt;"",原始資料!AZ395=原始資料!AY395),N(AW395)+1,1))</f>
        <v/>
      </c>
      <c r="AY395" s="6">
        <f>IF(OR(原始資料!$A395="",50&gt;設定!$B$3,原始資料!BA395=""),"",IF(AND(原始資料!AZ395&lt;&gt;"",原始資料!BA395=原始資料!AZ395),N(AX395)+1,1))</f>
        <v/>
      </c>
      <c r="AZ395" s="6">
        <f>IF(OR(原始資料!$A395="",51&gt;設定!$B$3,原始資料!BB395=""),"",IF(AND(原始資料!BA395&lt;&gt;"",原始資料!BB395=原始資料!BA395),N(AY395)+1,1))</f>
        <v/>
      </c>
      <c r="BA395" s="6">
        <f>IF(OR(原始資料!$A395="",52&gt;設定!$B$3,原始資料!BC395=""),"",IF(AND(原始資料!BB395&lt;&gt;"",原始資料!BC395=原始資料!BB395),N(AZ395)+1,1))</f>
        <v/>
      </c>
      <c r="BB395" s="6">
        <f>IF(OR(原始資料!$A395="",53&gt;設定!$B$3,原始資料!BD395=""),"",IF(AND(原始資料!BC395&lt;&gt;"",原始資料!BD395=原始資料!BC395),N(BA395)+1,1))</f>
        <v/>
      </c>
      <c r="BC395" s="6">
        <f>IF(OR(原始資料!$A395="",54&gt;設定!$B$3,原始資料!BE395=""),"",IF(AND(原始資料!BD395&lt;&gt;"",原始資料!BE395=原始資料!BD395),N(BB395)+1,1))</f>
        <v/>
      </c>
      <c r="BD395" s="6">
        <f>IF(OR(原始資料!$A395="",55&gt;設定!$B$3,原始資料!BF395=""),"",IF(AND(原始資料!BE395&lt;&gt;"",原始資料!BF395=原始資料!BE395),N(BC395)+1,1))</f>
        <v/>
      </c>
      <c r="BE395" s="6">
        <f>IF(OR(原始資料!$A395="",56&gt;設定!$B$3,原始資料!BG395=""),"",IF(AND(原始資料!BF395&lt;&gt;"",原始資料!BG395=原始資料!BF395),N(BD395)+1,1))</f>
        <v/>
      </c>
      <c r="BF395" s="6">
        <f>IF(OR(原始資料!$A395="",57&gt;設定!$B$3,原始資料!BH395=""),"",IF(AND(原始資料!BG395&lt;&gt;"",原始資料!BH395=原始資料!BG395),N(BE395)+1,1))</f>
        <v/>
      </c>
      <c r="BG395" s="6">
        <f>IF(OR(原始資料!$A395="",58&gt;設定!$B$3,原始資料!BI395=""),"",IF(AND(原始資料!BH395&lt;&gt;"",原始資料!BI395=原始資料!BH395),N(BF395)+1,1))</f>
        <v/>
      </c>
      <c r="BH395" s="6">
        <f>IF(OR(原始資料!$A395="",59&gt;設定!$B$3,原始資料!BJ395=""),"",IF(AND(原始資料!BI395&lt;&gt;"",原始資料!BJ395=原始資料!BI395),N(BG395)+1,1))</f>
        <v/>
      </c>
      <c r="BI395" s="6">
        <f>IF(OR(原始資料!$A395="",60&gt;設定!$B$3,原始資料!BK395=""),"",IF(AND(原始資料!BJ395&lt;&gt;"",原始資料!BK395=原始資料!BJ395),N(BH395)+1,1))</f>
        <v/>
      </c>
    </row>
    <row r="396">
      <c r="A396" s="6">
        <f>IF(原始資料!$A396="","",原始資料!$A396)</f>
        <v/>
      </c>
      <c r="B396" s="6">
        <f>IF(OR(原始資料!$A396="",1&gt;設定!$B$3,原始資料!D396=""),"",1)</f>
        <v/>
      </c>
      <c r="C396" s="6">
        <f>IF(OR(原始資料!$A396="",2&gt;設定!$B$3,原始資料!E396=""),"",IF(AND(原始資料!D396&lt;&gt;"",原始資料!E396=原始資料!D396),N(B396)+1,1))</f>
        <v/>
      </c>
      <c r="D396" s="6">
        <f>IF(OR(原始資料!$A396="",3&gt;設定!$B$3,原始資料!F396=""),"",IF(AND(原始資料!E396&lt;&gt;"",原始資料!F396=原始資料!E396),N(C396)+1,1))</f>
        <v/>
      </c>
      <c r="E396" s="6">
        <f>IF(OR(原始資料!$A396="",4&gt;設定!$B$3,原始資料!G396=""),"",IF(AND(原始資料!F396&lt;&gt;"",原始資料!G396=原始資料!F396),N(D396)+1,1))</f>
        <v/>
      </c>
      <c r="F396" s="6">
        <f>IF(OR(原始資料!$A396="",5&gt;設定!$B$3,原始資料!H396=""),"",IF(AND(原始資料!G396&lt;&gt;"",原始資料!H396=原始資料!G396),N(E396)+1,1))</f>
        <v/>
      </c>
      <c r="G396" s="6">
        <f>IF(OR(原始資料!$A396="",6&gt;設定!$B$3,原始資料!I396=""),"",IF(AND(原始資料!H396&lt;&gt;"",原始資料!I396=原始資料!H396),N(F396)+1,1))</f>
        <v/>
      </c>
      <c r="H396" s="6">
        <f>IF(OR(原始資料!$A396="",7&gt;設定!$B$3,原始資料!J396=""),"",IF(AND(原始資料!I396&lt;&gt;"",原始資料!J396=原始資料!I396),N(G396)+1,1))</f>
        <v/>
      </c>
      <c r="I396" s="6">
        <f>IF(OR(原始資料!$A396="",8&gt;設定!$B$3,原始資料!K396=""),"",IF(AND(原始資料!J396&lt;&gt;"",原始資料!K396=原始資料!J396),N(H396)+1,1))</f>
        <v/>
      </c>
      <c r="J396" s="6">
        <f>IF(OR(原始資料!$A396="",9&gt;設定!$B$3,原始資料!L396=""),"",IF(AND(原始資料!K396&lt;&gt;"",原始資料!L396=原始資料!K396),N(I396)+1,1))</f>
        <v/>
      </c>
      <c r="K396" s="6">
        <f>IF(OR(原始資料!$A396="",10&gt;設定!$B$3,原始資料!M396=""),"",IF(AND(原始資料!L396&lt;&gt;"",原始資料!M396=原始資料!L396),N(J396)+1,1))</f>
        <v/>
      </c>
      <c r="L396" s="6">
        <f>IF(OR(原始資料!$A396="",11&gt;設定!$B$3,原始資料!N396=""),"",IF(AND(原始資料!M396&lt;&gt;"",原始資料!N396=原始資料!M396),N(K396)+1,1))</f>
        <v/>
      </c>
      <c r="M396" s="6">
        <f>IF(OR(原始資料!$A396="",12&gt;設定!$B$3,原始資料!O396=""),"",IF(AND(原始資料!N396&lt;&gt;"",原始資料!O396=原始資料!N396),N(L396)+1,1))</f>
        <v/>
      </c>
      <c r="N396" s="6">
        <f>IF(OR(原始資料!$A396="",13&gt;設定!$B$3,原始資料!P396=""),"",IF(AND(原始資料!O396&lt;&gt;"",原始資料!P396=原始資料!O396),N(M396)+1,1))</f>
        <v/>
      </c>
      <c r="O396" s="6">
        <f>IF(OR(原始資料!$A396="",14&gt;設定!$B$3,原始資料!Q396=""),"",IF(AND(原始資料!P396&lt;&gt;"",原始資料!Q396=原始資料!P396),N(N396)+1,1))</f>
        <v/>
      </c>
      <c r="P396" s="6">
        <f>IF(OR(原始資料!$A396="",15&gt;設定!$B$3,原始資料!R396=""),"",IF(AND(原始資料!Q396&lt;&gt;"",原始資料!R396=原始資料!Q396),N(O396)+1,1))</f>
        <v/>
      </c>
      <c r="Q396" s="6">
        <f>IF(OR(原始資料!$A396="",16&gt;設定!$B$3,原始資料!S396=""),"",IF(AND(原始資料!R396&lt;&gt;"",原始資料!S396=原始資料!R396),N(P396)+1,1))</f>
        <v/>
      </c>
      <c r="R396" s="6">
        <f>IF(OR(原始資料!$A396="",17&gt;設定!$B$3,原始資料!T396=""),"",IF(AND(原始資料!S396&lt;&gt;"",原始資料!T396=原始資料!S396),N(Q396)+1,1))</f>
        <v/>
      </c>
      <c r="S396" s="6">
        <f>IF(OR(原始資料!$A396="",18&gt;設定!$B$3,原始資料!U396=""),"",IF(AND(原始資料!T396&lt;&gt;"",原始資料!U396=原始資料!T396),N(R396)+1,1))</f>
        <v/>
      </c>
      <c r="T396" s="6">
        <f>IF(OR(原始資料!$A396="",19&gt;設定!$B$3,原始資料!V396=""),"",IF(AND(原始資料!U396&lt;&gt;"",原始資料!V396=原始資料!U396),N(S396)+1,1))</f>
        <v/>
      </c>
      <c r="U396" s="6">
        <f>IF(OR(原始資料!$A396="",20&gt;設定!$B$3,原始資料!W396=""),"",IF(AND(原始資料!V396&lt;&gt;"",原始資料!W396=原始資料!V396),N(T396)+1,1))</f>
        <v/>
      </c>
      <c r="V396" s="6">
        <f>IF(OR(原始資料!$A396="",21&gt;設定!$B$3,原始資料!X396=""),"",IF(AND(原始資料!W396&lt;&gt;"",原始資料!X396=原始資料!W396),N(U396)+1,1))</f>
        <v/>
      </c>
      <c r="W396" s="6">
        <f>IF(OR(原始資料!$A396="",22&gt;設定!$B$3,原始資料!Y396=""),"",IF(AND(原始資料!X396&lt;&gt;"",原始資料!Y396=原始資料!X396),N(V396)+1,1))</f>
        <v/>
      </c>
      <c r="X396" s="6">
        <f>IF(OR(原始資料!$A396="",23&gt;設定!$B$3,原始資料!Z396=""),"",IF(AND(原始資料!Y396&lt;&gt;"",原始資料!Z396=原始資料!Y396),N(W396)+1,1))</f>
        <v/>
      </c>
      <c r="Y396" s="6">
        <f>IF(OR(原始資料!$A396="",24&gt;設定!$B$3,原始資料!AA396=""),"",IF(AND(原始資料!Z396&lt;&gt;"",原始資料!AA396=原始資料!Z396),N(X396)+1,1))</f>
        <v/>
      </c>
      <c r="Z396" s="6">
        <f>IF(OR(原始資料!$A396="",25&gt;設定!$B$3,原始資料!AB396=""),"",IF(AND(原始資料!AA396&lt;&gt;"",原始資料!AB396=原始資料!AA396),N(Y396)+1,1))</f>
        <v/>
      </c>
      <c r="AA396" s="6">
        <f>IF(OR(原始資料!$A396="",26&gt;設定!$B$3,原始資料!AC396=""),"",IF(AND(原始資料!AB396&lt;&gt;"",原始資料!AC396=原始資料!AB396),N(Z396)+1,1))</f>
        <v/>
      </c>
      <c r="AB396" s="6">
        <f>IF(OR(原始資料!$A396="",27&gt;設定!$B$3,原始資料!AD396=""),"",IF(AND(原始資料!AC396&lt;&gt;"",原始資料!AD396=原始資料!AC396),N(AA396)+1,1))</f>
        <v/>
      </c>
      <c r="AC396" s="6">
        <f>IF(OR(原始資料!$A396="",28&gt;設定!$B$3,原始資料!AE396=""),"",IF(AND(原始資料!AD396&lt;&gt;"",原始資料!AE396=原始資料!AD396),N(AB396)+1,1))</f>
        <v/>
      </c>
      <c r="AD396" s="6">
        <f>IF(OR(原始資料!$A396="",29&gt;設定!$B$3,原始資料!AF396=""),"",IF(AND(原始資料!AE396&lt;&gt;"",原始資料!AF396=原始資料!AE396),N(AC396)+1,1))</f>
        <v/>
      </c>
      <c r="AE396" s="6">
        <f>IF(OR(原始資料!$A396="",30&gt;設定!$B$3,原始資料!AG396=""),"",IF(AND(原始資料!AF396&lt;&gt;"",原始資料!AG396=原始資料!AF396),N(AD396)+1,1))</f>
        <v/>
      </c>
      <c r="AF396" s="6">
        <f>IF(OR(原始資料!$A396="",31&gt;設定!$B$3,原始資料!AH396=""),"",IF(AND(原始資料!AG396&lt;&gt;"",原始資料!AH396=原始資料!AG396),N(AE396)+1,1))</f>
        <v/>
      </c>
      <c r="AG396" s="6">
        <f>IF(OR(原始資料!$A396="",32&gt;設定!$B$3,原始資料!AI396=""),"",IF(AND(原始資料!AH396&lt;&gt;"",原始資料!AI396=原始資料!AH396),N(AF396)+1,1))</f>
        <v/>
      </c>
      <c r="AH396" s="6">
        <f>IF(OR(原始資料!$A396="",33&gt;設定!$B$3,原始資料!AJ396=""),"",IF(AND(原始資料!AI396&lt;&gt;"",原始資料!AJ396=原始資料!AI396),N(AG396)+1,1))</f>
        <v/>
      </c>
      <c r="AI396" s="6">
        <f>IF(OR(原始資料!$A396="",34&gt;設定!$B$3,原始資料!AK396=""),"",IF(AND(原始資料!AJ396&lt;&gt;"",原始資料!AK396=原始資料!AJ396),N(AH396)+1,1))</f>
        <v/>
      </c>
      <c r="AJ396" s="6">
        <f>IF(OR(原始資料!$A396="",35&gt;設定!$B$3,原始資料!AL396=""),"",IF(AND(原始資料!AK396&lt;&gt;"",原始資料!AL396=原始資料!AK396),N(AI396)+1,1))</f>
        <v/>
      </c>
      <c r="AK396" s="6">
        <f>IF(OR(原始資料!$A396="",36&gt;設定!$B$3,原始資料!AM396=""),"",IF(AND(原始資料!AL396&lt;&gt;"",原始資料!AM396=原始資料!AL396),N(AJ396)+1,1))</f>
        <v/>
      </c>
      <c r="AL396" s="6">
        <f>IF(OR(原始資料!$A396="",37&gt;設定!$B$3,原始資料!AN396=""),"",IF(AND(原始資料!AM396&lt;&gt;"",原始資料!AN396=原始資料!AM396),N(AK396)+1,1))</f>
        <v/>
      </c>
      <c r="AM396" s="6">
        <f>IF(OR(原始資料!$A396="",38&gt;設定!$B$3,原始資料!AO396=""),"",IF(AND(原始資料!AN396&lt;&gt;"",原始資料!AO396=原始資料!AN396),N(AL396)+1,1))</f>
        <v/>
      </c>
      <c r="AN396" s="6">
        <f>IF(OR(原始資料!$A396="",39&gt;設定!$B$3,原始資料!AP396=""),"",IF(AND(原始資料!AO396&lt;&gt;"",原始資料!AP396=原始資料!AO396),N(AM396)+1,1))</f>
        <v/>
      </c>
      <c r="AO396" s="6">
        <f>IF(OR(原始資料!$A396="",40&gt;設定!$B$3,原始資料!AQ396=""),"",IF(AND(原始資料!AP396&lt;&gt;"",原始資料!AQ396=原始資料!AP396),N(AN396)+1,1))</f>
        <v/>
      </c>
      <c r="AP396" s="6">
        <f>IF(OR(原始資料!$A396="",41&gt;設定!$B$3,原始資料!AR396=""),"",IF(AND(原始資料!AQ396&lt;&gt;"",原始資料!AR396=原始資料!AQ396),N(AO396)+1,1))</f>
        <v/>
      </c>
      <c r="AQ396" s="6">
        <f>IF(OR(原始資料!$A396="",42&gt;設定!$B$3,原始資料!AS396=""),"",IF(AND(原始資料!AR396&lt;&gt;"",原始資料!AS396=原始資料!AR396),N(AP396)+1,1))</f>
        <v/>
      </c>
      <c r="AR396" s="6">
        <f>IF(OR(原始資料!$A396="",43&gt;設定!$B$3,原始資料!AT396=""),"",IF(AND(原始資料!AS396&lt;&gt;"",原始資料!AT396=原始資料!AS396),N(AQ396)+1,1))</f>
        <v/>
      </c>
      <c r="AS396" s="6">
        <f>IF(OR(原始資料!$A396="",44&gt;設定!$B$3,原始資料!AU396=""),"",IF(AND(原始資料!AT396&lt;&gt;"",原始資料!AU396=原始資料!AT396),N(AR396)+1,1))</f>
        <v/>
      </c>
      <c r="AT396" s="6">
        <f>IF(OR(原始資料!$A396="",45&gt;設定!$B$3,原始資料!AV396=""),"",IF(AND(原始資料!AU396&lt;&gt;"",原始資料!AV396=原始資料!AU396),N(AS396)+1,1))</f>
        <v/>
      </c>
      <c r="AU396" s="6">
        <f>IF(OR(原始資料!$A396="",46&gt;設定!$B$3,原始資料!AW396=""),"",IF(AND(原始資料!AV396&lt;&gt;"",原始資料!AW396=原始資料!AV396),N(AT396)+1,1))</f>
        <v/>
      </c>
      <c r="AV396" s="6">
        <f>IF(OR(原始資料!$A396="",47&gt;設定!$B$3,原始資料!AX396=""),"",IF(AND(原始資料!AW396&lt;&gt;"",原始資料!AX396=原始資料!AW396),N(AU396)+1,1))</f>
        <v/>
      </c>
      <c r="AW396" s="6">
        <f>IF(OR(原始資料!$A396="",48&gt;設定!$B$3,原始資料!AY396=""),"",IF(AND(原始資料!AX396&lt;&gt;"",原始資料!AY396=原始資料!AX396),N(AV396)+1,1))</f>
        <v/>
      </c>
      <c r="AX396" s="6">
        <f>IF(OR(原始資料!$A396="",49&gt;設定!$B$3,原始資料!AZ396=""),"",IF(AND(原始資料!AY396&lt;&gt;"",原始資料!AZ396=原始資料!AY396),N(AW396)+1,1))</f>
        <v/>
      </c>
      <c r="AY396" s="6">
        <f>IF(OR(原始資料!$A396="",50&gt;設定!$B$3,原始資料!BA396=""),"",IF(AND(原始資料!AZ396&lt;&gt;"",原始資料!BA396=原始資料!AZ396),N(AX396)+1,1))</f>
        <v/>
      </c>
      <c r="AZ396" s="6">
        <f>IF(OR(原始資料!$A396="",51&gt;設定!$B$3,原始資料!BB396=""),"",IF(AND(原始資料!BA396&lt;&gt;"",原始資料!BB396=原始資料!BA396),N(AY396)+1,1))</f>
        <v/>
      </c>
      <c r="BA396" s="6">
        <f>IF(OR(原始資料!$A396="",52&gt;設定!$B$3,原始資料!BC396=""),"",IF(AND(原始資料!BB396&lt;&gt;"",原始資料!BC396=原始資料!BB396),N(AZ396)+1,1))</f>
        <v/>
      </c>
      <c r="BB396" s="6">
        <f>IF(OR(原始資料!$A396="",53&gt;設定!$B$3,原始資料!BD396=""),"",IF(AND(原始資料!BC396&lt;&gt;"",原始資料!BD396=原始資料!BC396),N(BA396)+1,1))</f>
        <v/>
      </c>
      <c r="BC396" s="6">
        <f>IF(OR(原始資料!$A396="",54&gt;設定!$B$3,原始資料!BE396=""),"",IF(AND(原始資料!BD396&lt;&gt;"",原始資料!BE396=原始資料!BD396),N(BB396)+1,1))</f>
        <v/>
      </c>
      <c r="BD396" s="6">
        <f>IF(OR(原始資料!$A396="",55&gt;設定!$B$3,原始資料!BF396=""),"",IF(AND(原始資料!BE396&lt;&gt;"",原始資料!BF396=原始資料!BE396),N(BC396)+1,1))</f>
        <v/>
      </c>
      <c r="BE396" s="6">
        <f>IF(OR(原始資料!$A396="",56&gt;設定!$B$3,原始資料!BG396=""),"",IF(AND(原始資料!BF396&lt;&gt;"",原始資料!BG396=原始資料!BF396),N(BD396)+1,1))</f>
        <v/>
      </c>
      <c r="BF396" s="6">
        <f>IF(OR(原始資料!$A396="",57&gt;設定!$B$3,原始資料!BH396=""),"",IF(AND(原始資料!BG396&lt;&gt;"",原始資料!BH396=原始資料!BG396),N(BE396)+1,1))</f>
        <v/>
      </c>
      <c r="BG396" s="6">
        <f>IF(OR(原始資料!$A396="",58&gt;設定!$B$3,原始資料!BI396=""),"",IF(AND(原始資料!BH396&lt;&gt;"",原始資料!BI396=原始資料!BH396),N(BF396)+1,1))</f>
        <v/>
      </c>
      <c r="BH396" s="6">
        <f>IF(OR(原始資料!$A396="",59&gt;設定!$B$3,原始資料!BJ396=""),"",IF(AND(原始資料!BI396&lt;&gt;"",原始資料!BJ396=原始資料!BI396),N(BG396)+1,1))</f>
        <v/>
      </c>
      <c r="BI396" s="6">
        <f>IF(OR(原始資料!$A396="",60&gt;設定!$B$3,原始資料!BK396=""),"",IF(AND(原始資料!BJ396&lt;&gt;"",原始資料!BK396=原始資料!BJ396),N(BH396)+1,1))</f>
        <v/>
      </c>
    </row>
    <row r="397">
      <c r="A397" s="6">
        <f>IF(原始資料!$A397="","",原始資料!$A397)</f>
        <v/>
      </c>
      <c r="B397" s="6">
        <f>IF(OR(原始資料!$A397="",1&gt;設定!$B$3,原始資料!D397=""),"",1)</f>
        <v/>
      </c>
      <c r="C397" s="6">
        <f>IF(OR(原始資料!$A397="",2&gt;設定!$B$3,原始資料!E397=""),"",IF(AND(原始資料!D397&lt;&gt;"",原始資料!E397=原始資料!D397),N(B397)+1,1))</f>
        <v/>
      </c>
      <c r="D397" s="6">
        <f>IF(OR(原始資料!$A397="",3&gt;設定!$B$3,原始資料!F397=""),"",IF(AND(原始資料!E397&lt;&gt;"",原始資料!F397=原始資料!E397),N(C397)+1,1))</f>
        <v/>
      </c>
      <c r="E397" s="6">
        <f>IF(OR(原始資料!$A397="",4&gt;設定!$B$3,原始資料!G397=""),"",IF(AND(原始資料!F397&lt;&gt;"",原始資料!G397=原始資料!F397),N(D397)+1,1))</f>
        <v/>
      </c>
      <c r="F397" s="6">
        <f>IF(OR(原始資料!$A397="",5&gt;設定!$B$3,原始資料!H397=""),"",IF(AND(原始資料!G397&lt;&gt;"",原始資料!H397=原始資料!G397),N(E397)+1,1))</f>
        <v/>
      </c>
      <c r="G397" s="6">
        <f>IF(OR(原始資料!$A397="",6&gt;設定!$B$3,原始資料!I397=""),"",IF(AND(原始資料!H397&lt;&gt;"",原始資料!I397=原始資料!H397),N(F397)+1,1))</f>
        <v/>
      </c>
      <c r="H397" s="6">
        <f>IF(OR(原始資料!$A397="",7&gt;設定!$B$3,原始資料!J397=""),"",IF(AND(原始資料!I397&lt;&gt;"",原始資料!J397=原始資料!I397),N(G397)+1,1))</f>
        <v/>
      </c>
      <c r="I397" s="6">
        <f>IF(OR(原始資料!$A397="",8&gt;設定!$B$3,原始資料!K397=""),"",IF(AND(原始資料!J397&lt;&gt;"",原始資料!K397=原始資料!J397),N(H397)+1,1))</f>
        <v/>
      </c>
      <c r="J397" s="6">
        <f>IF(OR(原始資料!$A397="",9&gt;設定!$B$3,原始資料!L397=""),"",IF(AND(原始資料!K397&lt;&gt;"",原始資料!L397=原始資料!K397),N(I397)+1,1))</f>
        <v/>
      </c>
      <c r="K397" s="6">
        <f>IF(OR(原始資料!$A397="",10&gt;設定!$B$3,原始資料!M397=""),"",IF(AND(原始資料!L397&lt;&gt;"",原始資料!M397=原始資料!L397),N(J397)+1,1))</f>
        <v/>
      </c>
      <c r="L397" s="6">
        <f>IF(OR(原始資料!$A397="",11&gt;設定!$B$3,原始資料!N397=""),"",IF(AND(原始資料!M397&lt;&gt;"",原始資料!N397=原始資料!M397),N(K397)+1,1))</f>
        <v/>
      </c>
      <c r="M397" s="6">
        <f>IF(OR(原始資料!$A397="",12&gt;設定!$B$3,原始資料!O397=""),"",IF(AND(原始資料!N397&lt;&gt;"",原始資料!O397=原始資料!N397),N(L397)+1,1))</f>
        <v/>
      </c>
      <c r="N397" s="6">
        <f>IF(OR(原始資料!$A397="",13&gt;設定!$B$3,原始資料!P397=""),"",IF(AND(原始資料!O397&lt;&gt;"",原始資料!P397=原始資料!O397),N(M397)+1,1))</f>
        <v/>
      </c>
      <c r="O397" s="6">
        <f>IF(OR(原始資料!$A397="",14&gt;設定!$B$3,原始資料!Q397=""),"",IF(AND(原始資料!P397&lt;&gt;"",原始資料!Q397=原始資料!P397),N(N397)+1,1))</f>
        <v/>
      </c>
      <c r="P397" s="6">
        <f>IF(OR(原始資料!$A397="",15&gt;設定!$B$3,原始資料!R397=""),"",IF(AND(原始資料!Q397&lt;&gt;"",原始資料!R397=原始資料!Q397),N(O397)+1,1))</f>
        <v/>
      </c>
      <c r="Q397" s="6">
        <f>IF(OR(原始資料!$A397="",16&gt;設定!$B$3,原始資料!S397=""),"",IF(AND(原始資料!R397&lt;&gt;"",原始資料!S397=原始資料!R397),N(P397)+1,1))</f>
        <v/>
      </c>
      <c r="R397" s="6">
        <f>IF(OR(原始資料!$A397="",17&gt;設定!$B$3,原始資料!T397=""),"",IF(AND(原始資料!S397&lt;&gt;"",原始資料!T397=原始資料!S397),N(Q397)+1,1))</f>
        <v/>
      </c>
      <c r="S397" s="6">
        <f>IF(OR(原始資料!$A397="",18&gt;設定!$B$3,原始資料!U397=""),"",IF(AND(原始資料!T397&lt;&gt;"",原始資料!U397=原始資料!T397),N(R397)+1,1))</f>
        <v/>
      </c>
      <c r="T397" s="6">
        <f>IF(OR(原始資料!$A397="",19&gt;設定!$B$3,原始資料!V397=""),"",IF(AND(原始資料!U397&lt;&gt;"",原始資料!V397=原始資料!U397),N(S397)+1,1))</f>
        <v/>
      </c>
      <c r="U397" s="6">
        <f>IF(OR(原始資料!$A397="",20&gt;設定!$B$3,原始資料!W397=""),"",IF(AND(原始資料!V397&lt;&gt;"",原始資料!W397=原始資料!V397),N(T397)+1,1))</f>
        <v/>
      </c>
      <c r="V397" s="6">
        <f>IF(OR(原始資料!$A397="",21&gt;設定!$B$3,原始資料!X397=""),"",IF(AND(原始資料!W397&lt;&gt;"",原始資料!X397=原始資料!W397),N(U397)+1,1))</f>
        <v/>
      </c>
      <c r="W397" s="6">
        <f>IF(OR(原始資料!$A397="",22&gt;設定!$B$3,原始資料!Y397=""),"",IF(AND(原始資料!X397&lt;&gt;"",原始資料!Y397=原始資料!X397),N(V397)+1,1))</f>
        <v/>
      </c>
      <c r="X397" s="6">
        <f>IF(OR(原始資料!$A397="",23&gt;設定!$B$3,原始資料!Z397=""),"",IF(AND(原始資料!Y397&lt;&gt;"",原始資料!Z397=原始資料!Y397),N(W397)+1,1))</f>
        <v/>
      </c>
      <c r="Y397" s="6">
        <f>IF(OR(原始資料!$A397="",24&gt;設定!$B$3,原始資料!AA397=""),"",IF(AND(原始資料!Z397&lt;&gt;"",原始資料!AA397=原始資料!Z397),N(X397)+1,1))</f>
        <v/>
      </c>
      <c r="Z397" s="6">
        <f>IF(OR(原始資料!$A397="",25&gt;設定!$B$3,原始資料!AB397=""),"",IF(AND(原始資料!AA397&lt;&gt;"",原始資料!AB397=原始資料!AA397),N(Y397)+1,1))</f>
        <v/>
      </c>
      <c r="AA397" s="6">
        <f>IF(OR(原始資料!$A397="",26&gt;設定!$B$3,原始資料!AC397=""),"",IF(AND(原始資料!AB397&lt;&gt;"",原始資料!AC397=原始資料!AB397),N(Z397)+1,1))</f>
        <v/>
      </c>
      <c r="AB397" s="6">
        <f>IF(OR(原始資料!$A397="",27&gt;設定!$B$3,原始資料!AD397=""),"",IF(AND(原始資料!AC397&lt;&gt;"",原始資料!AD397=原始資料!AC397),N(AA397)+1,1))</f>
        <v/>
      </c>
      <c r="AC397" s="6">
        <f>IF(OR(原始資料!$A397="",28&gt;設定!$B$3,原始資料!AE397=""),"",IF(AND(原始資料!AD397&lt;&gt;"",原始資料!AE397=原始資料!AD397),N(AB397)+1,1))</f>
        <v/>
      </c>
      <c r="AD397" s="6">
        <f>IF(OR(原始資料!$A397="",29&gt;設定!$B$3,原始資料!AF397=""),"",IF(AND(原始資料!AE397&lt;&gt;"",原始資料!AF397=原始資料!AE397),N(AC397)+1,1))</f>
        <v/>
      </c>
      <c r="AE397" s="6">
        <f>IF(OR(原始資料!$A397="",30&gt;設定!$B$3,原始資料!AG397=""),"",IF(AND(原始資料!AF397&lt;&gt;"",原始資料!AG397=原始資料!AF397),N(AD397)+1,1))</f>
        <v/>
      </c>
      <c r="AF397" s="6">
        <f>IF(OR(原始資料!$A397="",31&gt;設定!$B$3,原始資料!AH397=""),"",IF(AND(原始資料!AG397&lt;&gt;"",原始資料!AH397=原始資料!AG397),N(AE397)+1,1))</f>
        <v/>
      </c>
      <c r="AG397" s="6">
        <f>IF(OR(原始資料!$A397="",32&gt;設定!$B$3,原始資料!AI397=""),"",IF(AND(原始資料!AH397&lt;&gt;"",原始資料!AI397=原始資料!AH397),N(AF397)+1,1))</f>
        <v/>
      </c>
      <c r="AH397" s="6">
        <f>IF(OR(原始資料!$A397="",33&gt;設定!$B$3,原始資料!AJ397=""),"",IF(AND(原始資料!AI397&lt;&gt;"",原始資料!AJ397=原始資料!AI397),N(AG397)+1,1))</f>
        <v/>
      </c>
      <c r="AI397" s="6">
        <f>IF(OR(原始資料!$A397="",34&gt;設定!$B$3,原始資料!AK397=""),"",IF(AND(原始資料!AJ397&lt;&gt;"",原始資料!AK397=原始資料!AJ397),N(AH397)+1,1))</f>
        <v/>
      </c>
      <c r="AJ397" s="6">
        <f>IF(OR(原始資料!$A397="",35&gt;設定!$B$3,原始資料!AL397=""),"",IF(AND(原始資料!AK397&lt;&gt;"",原始資料!AL397=原始資料!AK397),N(AI397)+1,1))</f>
        <v/>
      </c>
      <c r="AK397" s="6">
        <f>IF(OR(原始資料!$A397="",36&gt;設定!$B$3,原始資料!AM397=""),"",IF(AND(原始資料!AL397&lt;&gt;"",原始資料!AM397=原始資料!AL397),N(AJ397)+1,1))</f>
        <v/>
      </c>
      <c r="AL397" s="6">
        <f>IF(OR(原始資料!$A397="",37&gt;設定!$B$3,原始資料!AN397=""),"",IF(AND(原始資料!AM397&lt;&gt;"",原始資料!AN397=原始資料!AM397),N(AK397)+1,1))</f>
        <v/>
      </c>
      <c r="AM397" s="6">
        <f>IF(OR(原始資料!$A397="",38&gt;設定!$B$3,原始資料!AO397=""),"",IF(AND(原始資料!AN397&lt;&gt;"",原始資料!AO397=原始資料!AN397),N(AL397)+1,1))</f>
        <v/>
      </c>
      <c r="AN397" s="6">
        <f>IF(OR(原始資料!$A397="",39&gt;設定!$B$3,原始資料!AP397=""),"",IF(AND(原始資料!AO397&lt;&gt;"",原始資料!AP397=原始資料!AO397),N(AM397)+1,1))</f>
        <v/>
      </c>
      <c r="AO397" s="6">
        <f>IF(OR(原始資料!$A397="",40&gt;設定!$B$3,原始資料!AQ397=""),"",IF(AND(原始資料!AP397&lt;&gt;"",原始資料!AQ397=原始資料!AP397),N(AN397)+1,1))</f>
        <v/>
      </c>
      <c r="AP397" s="6">
        <f>IF(OR(原始資料!$A397="",41&gt;設定!$B$3,原始資料!AR397=""),"",IF(AND(原始資料!AQ397&lt;&gt;"",原始資料!AR397=原始資料!AQ397),N(AO397)+1,1))</f>
        <v/>
      </c>
      <c r="AQ397" s="6">
        <f>IF(OR(原始資料!$A397="",42&gt;設定!$B$3,原始資料!AS397=""),"",IF(AND(原始資料!AR397&lt;&gt;"",原始資料!AS397=原始資料!AR397),N(AP397)+1,1))</f>
        <v/>
      </c>
      <c r="AR397" s="6">
        <f>IF(OR(原始資料!$A397="",43&gt;設定!$B$3,原始資料!AT397=""),"",IF(AND(原始資料!AS397&lt;&gt;"",原始資料!AT397=原始資料!AS397),N(AQ397)+1,1))</f>
        <v/>
      </c>
      <c r="AS397" s="6">
        <f>IF(OR(原始資料!$A397="",44&gt;設定!$B$3,原始資料!AU397=""),"",IF(AND(原始資料!AT397&lt;&gt;"",原始資料!AU397=原始資料!AT397),N(AR397)+1,1))</f>
        <v/>
      </c>
      <c r="AT397" s="6">
        <f>IF(OR(原始資料!$A397="",45&gt;設定!$B$3,原始資料!AV397=""),"",IF(AND(原始資料!AU397&lt;&gt;"",原始資料!AV397=原始資料!AU397),N(AS397)+1,1))</f>
        <v/>
      </c>
      <c r="AU397" s="6">
        <f>IF(OR(原始資料!$A397="",46&gt;設定!$B$3,原始資料!AW397=""),"",IF(AND(原始資料!AV397&lt;&gt;"",原始資料!AW397=原始資料!AV397),N(AT397)+1,1))</f>
        <v/>
      </c>
      <c r="AV397" s="6">
        <f>IF(OR(原始資料!$A397="",47&gt;設定!$B$3,原始資料!AX397=""),"",IF(AND(原始資料!AW397&lt;&gt;"",原始資料!AX397=原始資料!AW397),N(AU397)+1,1))</f>
        <v/>
      </c>
      <c r="AW397" s="6">
        <f>IF(OR(原始資料!$A397="",48&gt;設定!$B$3,原始資料!AY397=""),"",IF(AND(原始資料!AX397&lt;&gt;"",原始資料!AY397=原始資料!AX397),N(AV397)+1,1))</f>
        <v/>
      </c>
      <c r="AX397" s="6">
        <f>IF(OR(原始資料!$A397="",49&gt;設定!$B$3,原始資料!AZ397=""),"",IF(AND(原始資料!AY397&lt;&gt;"",原始資料!AZ397=原始資料!AY397),N(AW397)+1,1))</f>
        <v/>
      </c>
      <c r="AY397" s="6">
        <f>IF(OR(原始資料!$A397="",50&gt;設定!$B$3,原始資料!BA397=""),"",IF(AND(原始資料!AZ397&lt;&gt;"",原始資料!BA397=原始資料!AZ397),N(AX397)+1,1))</f>
        <v/>
      </c>
      <c r="AZ397" s="6">
        <f>IF(OR(原始資料!$A397="",51&gt;設定!$B$3,原始資料!BB397=""),"",IF(AND(原始資料!BA397&lt;&gt;"",原始資料!BB397=原始資料!BA397),N(AY397)+1,1))</f>
        <v/>
      </c>
      <c r="BA397" s="6">
        <f>IF(OR(原始資料!$A397="",52&gt;設定!$B$3,原始資料!BC397=""),"",IF(AND(原始資料!BB397&lt;&gt;"",原始資料!BC397=原始資料!BB397),N(AZ397)+1,1))</f>
        <v/>
      </c>
      <c r="BB397" s="6">
        <f>IF(OR(原始資料!$A397="",53&gt;設定!$B$3,原始資料!BD397=""),"",IF(AND(原始資料!BC397&lt;&gt;"",原始資料!BD397=原始資料!BC397),N(BA397)+1,1))</f>
        <v/>
      </c>
      <c r="BC397" s="6">
        <f>IF(OR(原始資料!$A397="",54&gt;設定!$B$3,原始資料!BE397=""),"",IF(AND(原始資料!BD397&lt;&gt;"",原始資料!BE397=原始資料!BD397),N(BB397)+1,1))</f>
        <v/>
      </c>
      <c r="BD397" s="6">
        <f>IF(OR(原始資料!$A397="",55&gt;設定!$B$3,原始資料!BF397=""),"",IF(AND(原始資料!BE397&lt;&gt;"",原始資料!BF397=原始資料!BE397),N(BC397)+1,1))</f>
        <v/>
      </c>
      <c r="BE397" s="6">
        <f>IF(OR(原始資料!$A397="",56&gt;設定!$B$3,原始資料!BG397=""),"",IF(AND(原始資料!BF397&lt;&gt;"",原始資料!BG397=原始資料!BF397),N(BD397)+1,1))</f>
        <v/>
      </c>
      <c r="BF397" s="6">
        <f>IF(OR(原始資料!$A397="",57&gt;設定!$B$3,原始資料!BH397=""),"",IF(AND(原始資料!BG397&lt;&gt;"",原始資料!BH397=原始資料!BG397),N(BE397)+1,1))</f>
        <v/>
      </c>
      <c r="BG397" s="6">
        <f>IF(OR(原始資料!$A397="",58&gt;設定!$B$3,原始資料!BI397=""),"",IF(AND(原始資料!BH397&lt;&gt;"",原始資料!BI397=原始資料!BH397),N(BF397)+1,1))</f>
        <v/>
      </c>
      <c r="BH397" s="6">
        <f>IF(OR(原始資料!$A397="",59&gt;設定!$B$3,原始資料!BJ397=""),"",IF(AND(原始資料!BI397&lt;&gt;"",原始資料!BJ397=原始資料!BI397),N(BG397)+1,1))</f>
        <v/>
      </c>
      <c r="BI397" s="6">
        <f>IF(OR(原始資料!$A397="",60&gt;設定!$B$3,原始資料!BK397=""),"",IF(AND(原始資料!BJ397&lt;&gt;"",原始資料!BK397=原始資料!BJ397),N(BH397)+1,1))</f>
        <v/>
      </c>
    </row>
    <row r="398">
      <c r="A398" s="6">
        <f>IF(原始資料!$A398="","",原始資料!$A398)</f>
        <v/>
      </c>
      <c r="B398" s="6">
        <f>IF(OR(原始資料!$A398="",1&gt;設定!$B$3,原始資料!D398=""),"",1)</f>
        <v/>
      </c>
      <c r="C398" s="6">
        <f>IF(OR(原始資料!$A398="",2&gt;設定!$B$3,原始資料!E398=""),"",IF(AND(原始資料!D398&lt;&gt;"",原始資料!E398=原始資料!D398),N(B398)+1,1))</f>
        <v/>
      </c>
      <c r="D398" s="6">
        <f>IF(OR(原始資料!$A398="",3&gt;設定!$B$3,原始資料!F398=""),"",IF(AND(原始資料!E398&lt;&gt;"",原始資料!F398=原始資料!E398),N(C398)+1,1))</f>
        <v/>
      </c>
      <c r="E398" s="6">
        <f>IF(OR(原始資料!$A398="",4&gt;設定!$B$3,原始資料!G398=""),"",IF(AND(原始資料!F398&lt;&gt;"",原始資料!G398=原始資料!F398),N(D398)+1,1))</f>
        <v/>
      </c>
      <c r="F398" s="6">
        <f>IF(OR(原始資料!$A398="",5&gt;設定!$B$3,原始資料!H398=""),"",IF(AND(原始資料!G398&lt;&gt;"",原始資料!H398=原始資料!G398),N(E398)+1,1))</f>
        <v/>
      </c>
      <c r="G398" s="6">
        <f>IF(OR(原始資料!$A398="",6&gt;設定!$B$3,原始資料!I398=""),"",IF(AND(原始資料!H398&lt;&gt;"",原始資料!I398=原始資料!H398),N(F398)+1,1))</f>
        <v/>
      </c>
      <c r="H398" s="6">
        <f>IF(OR(原始資料!$A398="",7&gt;設定!$B$3,原始資料!J398=""),"",IF(AND(原始資料!I398&lt;&gt;"",原始資料!J398=原始資料!I398),N(G398)+1,1))</f>
        <v/>
      </c>
      <c r="I398" s="6">
        <f>IF(OR(原始資料!$A398="",8&gt;設定!$B$3,原始資料!K398=""),"",IF(AND(原始資料!J398&lt;&gt;"",原始資料!K398=原始資料!J398),N(H398)+1,1))</f>
        <v/>
      </c>
      <c r="J398" s="6">
        <f>IF(OR(原始資料!$A398="",9&gt;設定!$B$3,原始資料!L398=""),"",IF(AND(原始資料!K398&lt;&gt;"",原始資料!L398=原始資料!K398),N(I398)+1,1))</f>
        <v/>
      </c>
      <c r="K398" s="6">
        <f>IF(OR(原始資料!$A398="",10&gt;設定!$B$3,原始資料!M398=""),"",IF(AND(原始資料!L398&lt;&gt;"",原始資料!M398=原始資料!L398),N(J398)+1,1))</f>
        <v/>
      </c>
      <c r="L398" s="6">
        <f>IF(OR(原始資料!$A398="",11&gt;設定!$B$3,原始資料!N398=""),"",IF(AND(原始資料!M398&lt;&gt;"",原始資料!N398=原始資料!M398),N(K398)+1,1))</f>
        <v/>
      </c>
      <c r="M398" s="6">
        <f>IF(OR(原始資料!$A398="",12&gt;設定!$B$3,原始資料!O398=""),"",IF(AND(原始資料!N398&lt;&gt;"",原始資料!O398=原始資料!N398),N(L398)+1,1))</f>
        <v/>
      </c>
      <c r="N398" s="6">
        <f>IF(OR(原始資料!$A398="",13&gt;設定!$B$3,原始資料!P398=""),"",IF(AND(原始資料!O398&lt;&gt;"",原始資料!P398=原始資料!O398),N(M398)+1,1))</f>
        <v/>
      </c>
      <c r="O398" s="6">
        <f>IF(OR(原始資料!$A398="",14&gt;設定!$B$3,原始資料!Q398=""),"",IF(AND(原始資料!P398&lt;&gt;"",原始資料!Q398=原始資料!P398),N(N398)+1,1))</f>
        <v/>
      </c>
      <c r="P398" s="6">
        <f>IF(OR(原始資料!$A398="",15&gt;設定!$B$3,原始資料!R398=""),"",IF(AND(原始資料!Q398&lt;&gt;"",原始資料!R398=原始資料!Q398),N(O398)+1,1))</f>
        <v/>
      </c>
      <c r="Q398" s="6">
        <f>IF(OR(原始資料!$A398="",16&gt;設定!$B$3,原始資料!S398=""),"",IF(AND(原始資料!R398&lt;&gt;"",原始資料!S398=原始資料!R398),N(P398)+1,1))</f>
        <v/>
      </c>
      <c r="R398" s="6">
        <f>IF(OR(原始資料!$A398="",17&gt;設定!$B$3,原始資料!T398=""),"",IF(AND(原始資料!S398&lt;&gt;"",原始資料!T398=原始資料!S398),N(Q398)+1,1))</f>
        <v/>
      </c>
      <c r="S398" s="6">
        <f>IF(OR(原始資料!$A398="",18&gt;設定!$B$3,原始資料!U398=""),"",IF(AND(原始資料!T398&lt;&gt;"",原始資料!U398=原始資料!T398),N(R398)+1,1))</f>
        <v/>
      </c>
      <c r="T398" s="6">
        <f>IF(OR(原始資料!$A398="",19&gt;設定!$B$3,原始資料!V398=""),"",IF(AND(原始資料!U398&lt;&gt;"",原始資料!V398=原始資料!U398),N(S398)+1,1))</f>
        <v/>
      </c>
      <c r="U398" s="6">
        <f>IF(OR(原始資料!$A398="",20&gt;設定!$B$3,原始資料!W398=""),"",IF(AND(原始資料!V398&lt;&gt;"",原始資料!W398=原始資料!V398),N(T398)+1,1))</f>
        <v/>
      </c>
      <c r="V398" s="6">
        <f>IF(OR(原始資料!$A398="",21&gt;設定!$B$3,原始資料!X398=""),"",IF(AND(原始資料!W398&lt;&gt;"",原始資料!X398=原始資料!W398),N(U398)+1,1))</f>
        <v/>
      </c>
      <c r="W398" s="6">
        <f>IF(OR(原始資料!$A398="",22&gt;設定!$B$3,原始資料!Y398=""),"",IF(AND(原始資料!X398&lt;&gt;"",原始資料!Y398=原始資料!X398),N(V398)+1,1))</f>
        <v/>
      </c>
      <c r="X398" s="6">
        <f>IF(OR(原始資料!$A398="",23&gt;設定!$B$3,原始資料!Z398=""),"",IF(AND(原始資料!Y398&lt;&gt;"",原始資料!Z398=原始資料!Y398),N(W398)+1,1))</f>
        <v/>
      </c>
      <c r="Y398" s="6">
        <f>IF(OR(原始資料!$A398="",24&gt;設定!$B$3,原始資料!AA398=""),"",IF(AND(原始資料!Z398&lt;&gt;"",原始資料!AA398=原始資料!Z398),N(X398)+1,1))</f>
        <v/>
      </c>
      <c r="Z398" s="6">
        <f>IF(OR(原始資料!$A398="",25&gt;設定!$B$3,原始資料!AB398=""),"",IF(AND(原始資料!AA398&lt;&gt;"",原始資料!AB398=原始資料!AA398),N(Y398)+1,1))</f>
        <v/>
      </c>
      <c r="AA398" s="6">
        <f>IF(OR(原始資料!$A398="",26&gt;設定!$B$3,原始資料!AC398=""),"",IF(AND(原始資料!AB398&lt;&gt;"",原始資料!AC398=原始資料!AB398),N(Z398)+1,1))</f>
        <v/>
      </c>
      <c r="AB398" s="6">
        <f>IF(OR(原始資料!$A398="",27&gt;設定!$B$3,原始資料!AD398=""),"",IF(AND(原始資料!AC398&lt;&gt;"",原始資料!AD398=原始資料!AC398),N(AA398)+1,1))</f>
        <v/>
      </c>
      <c r="AC398" s="6">
        <f>IF(OR(原始資料!$A398="",28&gt;設定!$B$3,原始資料!AE398=""),"",IF(AND(原始資料!AD398&lt;&gt;"",原始資料!AE398=原始資料!AD398),N(AB398)+1,1))</f>
        <v/>
      </c>
      <c r="AD398" s="6">
        <f>IF(OR(原始資料!$A398="",29&gt;設定!$B$3,原始資料!AF398=""),"",IF(AND(原始資料!AE398&lt;&gt;"",原始資料!AF398=原始資料!AE398),N(AC398)+1,1))</f>
        <v/>
      </c>
      <c r="AE398" s="6">
        <f>IF(OR(原始資料!$A398="",30&gt;設定!$B$3,原始資料!AG398=""),"",IF(AND(原始資料!AF398&lt;&gt;"",原始資料!AG398=原始資料!AF398),N(AD398)+1,1))</f>
        <v/>
      </c>
      <c r="AF398" s="6">
        <f>IF(OR(原始資料!$A398="",31&gt;設定!$B$3,原始資料!AH398=""),"",IF(AND(原始資料!AG398&lt;&gt;"",原始資料!AH398=原始資料!AG398),N(AE398)+1,1))</f>
        <v/>
      </c>
      <c r="AG398" s="6">
        <f>IF(OR(原始資料!$A398="",32&gt;設定!$B$3,原始資料!AI398=""),"",IF(AND(原始資料!AH398&lt;&gt;"",原始資料!AI398=原始資料!AH398),N(AF398)+1,1))</f>
        <v/>
      </c>
      <c r="AH398" s="6">
        <f>IF(OR(原始資料!$A398="",33&gt;設定!$B$3,原始資料!AJ398=""),"",IF(AND(原始資料!AI398&lt;&gt;"",原始資料!AJ398=原始資料!AI398),N(AG398)+1,1))</f>
        <v/>
      </c>
      <c r="AI398" s="6">
        <f>IF(OR(原始資料!$A398="",34&gt;設定!$B$3,原始資料!AK398=""),"",IF(AND(原始資料!AJ398&lt;&gt;"",原始資料!AK398=原始資料!AJ398),N(AH398)+1,1))</f>
        <v/>
      </c>
      <c r="AJ398" s="6">
        <f>IF(OR(原始資料!$A398="",35&gt;設定!$B$3,原始資料!AL398=""),"",IF(AND(原始資料!AK398&lt;&gt;"",原始資料!AL398=原始資料!AK398),N(AI398)+1,1))</f>
        <v/>
      </c>
      <c r="AK398" s="6">
        <f>IF(OR(原始資料!$A398="",36&gt;設定!$B$3,原始資料!AM398=""),"",IF(AND(原始資料!AL398&lt;&gt;"",原始資料!AM398=原始資料!AL398),N(AJ398)+1,1))</f>
        <v/>
      </c>
      <c r="AL398" s="6">
        <f>IF(OR(原始資料!$A398="",37&gt;設定!$B$3,原始資料!AN398=""),"",IF(AND(原始資料!AM398&lt;&gt;"",原始資料!AN398=原始資料!AM398),N(AK398)+1,1))</f>
        <v/>
      </c>
      <c r="AM398" s="6">
        <f>IF(OR(原始資料!$A398="",38&gt;設定!$B$3,原始資料!AO398=""),"",IF(AND(原始資料!AN398&lt;&gt;"",原始資料!AO398=原始資料!AN398),N(AL398)+1,1))</f>
        <v/>
      </c>
      <c r="AN398" s="6">
        <f>IF(OR(原始資料!$A398="",39&gt;設定!$B$3,原始資料!AP398=""),"",IF(AND(原始資料!AO398&lt;&gt;"",原始資料!AP398=原始資料!AO398),N(AM398)+1,1))</f>
        <v/>
      </c>
      <c r="AO398" s="6">
        <f>IF(OR(原始資料!$A398="",40&gt;設定!$B$3,原始資料!AQ398=""),"",IF(AND(原始資料!AP398&lt;&gt;"",原始資料!AQ398=原始資料!AP398),N(AN398)+1,1))</f>
        <v/>
      </c>
      <c r="AP398" s="6">
        <f>IF(OR(原始資料!$A398="",41&gt;設定!$B$3,原始資料!AR398=""),"",IF(AND(原始資料!AQ398&lt;&gt;"",原始資料!AR398=原始資料!AQ398),N(AO398)+1,1))</f>
        <v/>
      </c>
      <c r="AQ398" s="6">
        <f>IF(OR(原始資料!$A398="",42&gt;設定!$B$3,原始資料!AS398=""),"",IF(AND(原始資料!AR398&lt;&gt;"",原始資料!AS398=原始資料!AR398),N(AP398)+1,1))</f>
        <v/>
      </c>
      <c r="AR398" s="6">
        <f>IF(OR(原始資料!$A398="",43&gt;設定!$B$3,原始資料!AT398=""),"",IF(AND(原始資料!AS398&lt;&gt;"",原始資料!AT398=原始資料!AS398),N(AQ398)+1,1))</f>
        <v/>
      </c>
      <c r="AS398" s="6">
        <f>IF(OR(原始資料!$A398="",44&gt;設定!$B$3,原始資料!AU398=""),"",IF(AND(原始資料!AT398&lt;&gt;"",原始資料!AU398=原始資料!AT398),N(AR398)+1,1))</f>
        <v/>
      </c>
      <c r="AT398" s="6">
        <f>IF(OR(原始資料!$A398="",45&gt;設定!$B$3,原始資料!AV398=""),"",IF(AND(原始資料!AU398&lt;&gt;"",原始資料!AV398=原始資料!AU398),N(AS398)+1,1))</f>
        <v/>
      </c>
      <c r="AU398" s="6">
        <f>IF(OR(原始資料!$A398="",46&gt;設定!$B$3,原始資料!AW398=""),"",IF(AND(原始資料!AV398&lt;&gt;"",原始資料!AW398=原始資料!AV398),N(AT398)+1,1))</f>
        <v/>
      </c>
      <c r="AV398" s="6">
        <f>IF(OR(原始資料!$A398="",47&gt;設定!$B$3,原始資料!AX398=""),"",IF(AND(原始資料!AW398&lt;&gt;"",原始資料!AX398=原始資料!AW398),N(AU398)+1,1))</f>
        <v/>
      </c>
      <c r="AW398" s="6">
        <f>IF(OR(原始資料!$A398="",48&gt;設定!$B$3,原始資料!AY398=""),"",IF(AND(原始資料!AX398&lt;&gt;"",原始資料!AY398=原始資料!AX398),N(AV398)+1,1))</f>
        <v/>
      </c>
      <c r="AX398" s="6">
        <f>IF(OR(原始資料!$A398="",49&gt;設定!$B$3,原始資料!AZ398=""),"",IF(AND(原始資料!AY398&lt;&gt;"",原始資料!AZ398=原始資料!AY398),N(AW398)+1,1))</f>
        <v/>
      </c>
      <c r="AY398" s="6">
        <f>IF(OR(原始資料!$A398="",50&gt;設定!$B$3,原始資料!BA398=""),"",IF(AND(原始資料!AZ398&lt;&gt;"",原始資料!BA398=原始資料!AZ398),N(AX398)+1,1))</f>
        <v/>
      </c>
      <c r="AZ398" s="6">
        <f>IF(OR(原始資料!$A398="",51&gt;設定!$B$3,原始資料!BB398=""),"",IF(AND(原始資料!BA398&lt;&gt;"",原始資料!BB398=原始資料!BA398),N(AY398)+1,1))</f>
        <v/>
      </c>
      <c r="BA398" s="6">
        <f>IF(OR(原始資料!$A398="",52&gt;設定!$B$3,原始資料!BC398=""),"",IF(AND(原始資料!BB398&lt;&gt;"",原始資料!BC398=原始資料!BB398),N(AZ398)+1,1))</f>
        <v/>
      </c>
      <c r="BB398" s="6">
        <f>IF(OR(原始資料!$A398="",53&gt;設定!$B$3,原始資料!BD398=""),"",IF(AND(原始資料!BC398&lt;&gt;"",原始資料!BD398=原始資料!BC398),N(BA398)+1,1))</f>
        <v/>
      </c>
      <c r="BC398" s="6">
        <f>IF(OR(原始資料!$A398="",54&gt;設定!$B$3,原始資料!BE398=""),"",IF(AND(原始資料!BD398&lt;&gt;"",原始資料!BE398=原始資料!BD398),N(BB398)+1,1))</f>
        <v/>
      </c>
      <c r="BD398" s="6">
        <f>IF(OR(原始資料!$A398="",55&gt;設定!$B$3,原始資料!BF398=""),"",IF(AND(原始資料!BE398&lt;&gt;"",原始資料!BF398=原始資料!BE398),N(BC398)+1,1))</f>
        <v/>
      </c>
      <c r="BE398" s="6">
        <f>IF(OR(原始資料!$A398="",56&gt;設定!$B$3,原始資料!BG398=""),"",IF(AND(原始資料!BF398&lt;&gt;"",原始資料!BG398=原始資料!BF398),N(BD398)+1,1))</f>
        <v/>
      </c>
      <c r="BF398" s="6">
        <f>IF(OR(原始資料!$A398="",57&gt;設定!$B$3,原始資料!BH398=""),"",IF(AND(原始資料!BG398&lt;&gt;"",原始資料!BH398=原始資料!BG398),N(BE398)+1,1))</f>
        <v/>
      </c>
      <c r="BG398" s="6">
        <f>IF(OR(原始資料!$A398="",58&gt;設定!$B$3,原始資料!BI398=""),"",IF(AND(原始資料!BH398&lt;&gt;"",原始資料!BI398=原始資料!BH398),N(BF398)+1,1))</f>
        <v/>
      </c>
      <c r="BH398" s="6">
        <f>IF(OR(原始資料!$A398="",59&gt;設定!$B$3,原始資料!BJ398=""),"",IF(AND(原始資料!BI398&lt;&gt;"",原始資料!BJ398=原始資料!BI398),N(BG398)+1,1))</f>
        <v/>
      </c>
      <c r="BI398" s="6">
        <f>IF(OR(原始資料!$A398="",60&gt;設定!$B$3,原始資料!BK398=""),"",IF(AND(原始資料!BJ398&lt;&gt;"",原始資料!BK398=原始資料!BJ398),N(BH398)+1,1))</f>
        <v/>
      </c>
    </row>
    <row r="399">
      <c r="A399" s="6">
        <f>IF(原始資料!$A399="","",原始資料!$A399)</f>
        <v/>
      </c>
      <c r="B399" s="6">
        <f>IF(OR(原始資料!$A399="",1&gt;設定!$B$3,原始資料!D399=""),"",1)</f>
        <v/>
      </c>
      <c r="C399" s="6">
        <f>IF(OR(原始資料!$A399="",2&gt;設定!$B$3,原始資料!E399=""),"",IF(AND(原始資料!D399&lt;&gt;"",原始資料!E399=原始資料!D399),N(B399)+1,1))</f>
        <v/>
      </c>
      <c r="D399" s="6">
        <f>IF(OR(原始資料!$A399="",3&gt;設定!$B$3,原始資料!F399=""),"",IF(AND(原始資料!E399&lt;&gt;"",原始資料!F399=原始資料!E399),N(C399)+1,1))</f>
        <v/>
      </c>
      <c r="E399" s="6">
        <f>IF(OR(原始資料!$A399="",4&gt;設定!$B$3,原始資料!G399=""),"",IF(AND(原始資料!F399&lt;&gt;"",原始資料!G399=原始資料!F399),N(D399)+1,1))</f>
        <v/>
      </c>
      <c r="F399" s="6">
        <f>IF(OR(原始資料!$A399="",5&gt;設定!$B$3,原始資料!H399=""),"",IF(AND(原始資料!G399&lt;&gt;"",原始資料!H399=原始資料!G399),N(E399)+1,1))</f>
        <v/>
      </c>
      <c r="G399" s="6">
        <f>IF(OR(原始資料!$A399="",6&gt;設定!$B$3,原始資料!I399=""),"",IF(AND(原始資料!H399&lt;&gt;"",原始資料!I399=原始資料!H399),N(F399)+1,1))</f>
        <v/>
      </c>
      <c r="H399" s="6">
        <f>IF(OR(原始資料!$A399="",7&gt;設定!$B$3,原始資料!J399=""),"",IF(AND(原始資料!I399&lt;&gt;"",原始資料!J399=原始資料!I399),N(G399)+1,1))</f>
        <v/>
      </c>
      <c r="I399" s="6">
        <f>IF(OR(原始資料!$A399="",8&gt;設定!$B$3,原始資料!K399=""),"",IF(AND(原始資料!J399&lt;&gt;"",原始資料!K399=原始資料!J399),N(H399)+1,1))</f>
        <v/>
      </c>
      <c r="J399" s="6">
        <f>IF(OR(原始資料!$A399="",9&gt;設定!$B$3,原始資料!L399=""),"",IF(AND(原始資料!K399&lt;&gt;"",原始資料!L399=原始資料!K399),N(I399)+1,1))</f>
        <v/>
      </c>
      <c r="K399" s="6">
        <f>IF(OR(原始資料!$A399="",10&gt;設定!$B$3,原始資料!M399=""),"",IF(AND(原始資料!L399&lt;&gt;"",原始資料!M399=原始資料!L399),N(J399)+1,1))</f>
        <v/>
      </c>
      <c r="L399" s="6">
        <f>IF(OR(原始資料!$A399="",11&gt;設定!$B$3,原始資料!N399=""),"",IF(AND(原始資料!M399&lt;&gt;"",原始資料!N399=原始資料!M399),N(K399)+1,1))</f>
        <v/>
      </c>
      <c r="M399" s="6">
        <f>IF(OR(原始資料!$A399="",12&gt;設定!$B$3,原始資料!O399=""),"",IF(AND(原始資料!N399&lt;&gt;"",原始資料!O399=原始資料!N399),N(L399)+1,1))</f>
        <v/>
      </c>
      <c r="N399" s="6">
        <f>IF(OR(原始資料!$A399="",13&gt;設定!$B$3,原始資料!P399=""),"",IF(AND(原始資料!O399&lt;&gt;"",原始資料!P399=原始資料!O399),N(M399)+1,1))</f>
        <v/>
      </c>
      <c r="O399" s="6">
        <f>IF(OR(原始資料!$A399="",14&gt;設定!$B$3,原始資料!Q399=""),"",IF(AND(原始資料!P399&lt;&gt;"",原始資料!Q399=原始資料!P399),N(N399)+1,1))</f>
        <v/>
      </c>
      <c r="P399" s="6">
        <f>IF(OR(原始資料!$A399="",15&gt;設定!$B$3,原始資料!R399=""),"",IF(AND(原始資料!Q399&lt;&gt;"",原始資料!R399=原始資料!Q399),N(O399)+1,1))</f>
        <v/>
      </c>
      <c r="Q399" s="6">
        <f>IF(OR(原始資料!$A399="",16&gt;設定!$B$3,原始資料!S399=""),"",IF(AND(原始資料!R399&lt;&gt;"",原始資料!S399=原始資料!R399),N(P399)+1,1))</f>
        <v/>
      </c>
      <c r="R399" s="6">
        <f>IF(OR(原始資料!$A399="",17&gt;設定!$B$3,原始資料!T399=""),"",IF(AND(原始資料!S399&lt;&gt;"",原始資料!T399=原始資料!S399),N(Q399)+1,1))</f>
        <v/>
      </c>
      <c r="S399" s="6">
        <f>IF(OR(原始資料!$A399="",18&gt;設定!$B$3,原始資料!U399=""),"",IF(AND(原始資料!T399&lt;&gt;"",原始資料!U399=原始資料!T399),N(R399)+1,1))</f>
        <v/>
      </c>
      <c r="T399" s="6">
        <f>IF(OR(原始資料!$A399="",19&gt;設定!$B$3,原始資料!V399=""),"",IF(AND(原始資料!U399&lt;&gt;"",原始資料!V399=原始資料!U399),N(S399)+1,1))</f>
        <v/>
      </c>
      <c r="U399" s="6">
        <f>IF(OR(原始資料!$A399="",20&gt;設定!$B$3,原始資料!W399=""),"",IF(AND(原始資料!V399&lt;&gt;"",原始資料!W399=原始資料!V399),N(T399)+1,1))</f>
        <v/>
      </c>
      <c r="V399" s="6">
        <f>IF(OR(原始資料!$A399="",21&gt;設定!$B$3,原始資料!X399=""),"",IF(AND(原始資料!W399&lt;&gt;"",原始資料!X399=原始資料!W399),N(U399)+1,1))</f>
        <v/>
      </c>
      <c r="W399" s="6">
        <f>IF(OR(原始資料!$A399="",22&gt;設定!$B$3,原始資料!Y399=""),"",IF(AND(原始資料!X399&lt;&gt;"",原始資料!Y399=原始資料!X399),N(V399)+1,1))</f>
        <v/>
      </c>
      <c r="X399" s="6">
        <f>IF(OR(原始資料!$A399="",23&gt;設定!$B$3,原始資料!Z399=""),"",IF(AND(原始資料!Y399&lt;&gt;"",原始資料!Z399=原始資料!Y399),N(W399)+1,1))</f>
        <v/>
      </c>
      <c r="Y399" s="6">
        <f>IF(OR(原始資料!$A399="",24&gt;設定!$B$3,原始資料!AA399=""),"",IF(AND(原始資料!Z399&lt;&gt;"",原始資料!AA399=原始資料!Z399),N(X399)+1,1))</f>
        <v/>
      </c>
      <c r="Z399" s="6">
        <f>IF(OR(原始資料!$A399="",25&gt;設定!$B$3,原始資料!AB399=""),"",IF(AND(原始資料!AA399&lt;&gt;"",原始資料!AB399=原始資料!AA399),N(Y399)+1,1))</f>
        <v/>
      </c>
      <c r="AA399" s="6">
        <f>IF(OR(原始資料!$A399="",26&gt;設定!$B$3,原始資料!AC399=""),"",IF(AND(原始資料!AB399&lt;&gt;"",原始資料!AC399=原始資料!AB399),N(Z399)+1,1))</f>
        <v/>
      </c>
      <c r="AB399" s="6">
        <f>IF(OR(原始資料!$A399="",27&gt;設定!$B$3,原始資料!AD399=""),"",IF(AND(原始資料!AC399&lt;&gt;"",原始資料!AD399=原始資料!AC399),N(AA399)+1,1))</f>
        <v/>
      </c>
      <c r="AC399" s="6">
        <f>IF(OR(原始資料!$A399="",28&gt;設定!$B$3,原始資料!AE399=""),"",IF(AND(原始資料!AD399&lt;&gt;"",原始資料!AE399=原始資料!AD399),N(AB399)+1,1))</f>
        <v/>
      </c>
      <c r="AD399" s="6">
        <f>IF(OR(原始資料!$A399="",29&gt;設定!$B$3,原始資料!AF399=""),"",IF(AND(原始資料!AE399&lt;&gt;"",原始資料!AF399=原始資料!AE399),N(AC399)+1,1))</f>
        <v/>
      </c>
      <c r="AE399" s="6">
        <f>IF(OR(原始資料!$A399="",30&gt;設定!$B$3,原始資料!AG399=""),"",IF(AND(原始資料!AF399&lt;&gt;"",原始資料!AG399=原始資料!AF399),N(AD399)+1,1))</f>
        <v/>
      </c>
      <c r="AF399" s="6">
        <f>IF(OR(原始資料!$A399="",31&gt;設定!$B$3,原始資料!AH399=""),"",IF(AND(原始資料!AG399&lt;&gt;"",原始資料!AH399=原始資料!AG399),N(AE399)+1,1))</f>
        <v/>
      </c>
      <c r="AG399" s="6">
        <f>IF(OR(原始資料!$A399="",32&gt;設定!$B$3,原始資料!AI399=""),"",IF(AND(原始資料!AH399&lt;&gt;"",原始資料!AI399=原始資料!AH399),N(AF399)+1,1))</f>
        <v/>
      </c>
      <c r="AH399" s="6">
        <f>IF(OR(原始資料!$A399="",33&gt;設定!$B$3,原始資料!AJ399=""),"",IF(AND(原始資料!AI399&lt;&gt;"",原始資料!AJ399=原始資料!AI399),N(AG399)+1,1))</f>
        <v/>
      </c>
      <c r="AI399" s="6">
        <f>IF(OR(原始資料!$A399="",34&gt;設定!$B$3,原始資料!AK399=""),"",IF(AND(原始資料!AJ399&lt;&gt;"",原始資料!AK399=原始資料!AJ399),N(AH399)+1,1))</f>
        <v/>
      </c>
      <c r="AJ399" s="6">
        <f>IF(OR(原始資料!$A399="",35&gt;設定!$B$3,原始資料!AL399=""),"",IF(AND(原始資料!AK399&lt;&gt;"",原始資料!AL399=原始資料!AK399),N(AI399)+1,1))</f>
        <v/>
      </c>
      <c r="AK399" s="6">
        <f>IF(OR(原始資料!$A399="",36&gt;設定!$B$3,原始資料!AM399=""),"",IF(AND(原始資料!AL399&lt;&gt;"",原始資料!AM399=原始資料!AL399),N(AJ399)+1,1))</f>
        <v/>
      </c>
      <c r="AL399" s="6">
        <f>IF(OR(原始資料!$A399="",37&gt;設定!$B$3,原始資料!AN399=""),"",IF(AND(原始資料!AM399&lt;&gt;"",原始資料!AN399=原始資料!AM399),N(AK399)+1,1))</f>
        <v/>
      </c>
      <c r="AM399" s="6">
        <f>IF(OR(原始資料!$A399="",38&gt;設定!$B$3,原始資料!AO399=""),"",IF(AND(原始資料!AN399&lt;&gt;"",原始資料!AO399=原始資料!AN399),N(AL399)+1,1))</f>
        <v/>
      </c>
      <c r="AN399" s="6">
        <f>IF(OR(原始資料!$A399="",39&gt;設定!$B$3,原始資料!AP399=""),"",IF(AND(原始資料!AO399&lt;&gt;"",原始資料!AP399=原始資料!AO399),N(AM399)+1,1))</f>
        <v/>
      </c>
      <c r="AO399" s="6">
        <f>IF(OR(原始資料!$A399="",40&gt;設定!$B$3,原始資料!AQ399=""),"",IF(AND(原始資料!AP399&lt;&gt;"",原始資料!AQ399=原始資料!AP399),N(AN399)+1,1))</f>
        <v/>
      </c>
      <c r="AP399" s="6">
        <f>IF(OR(原始資料!$A399="",41&gt;設定!$B$3,原始資料!AR399=""),"",IF(AND(原始資料!AQ399&lt;&gt;"",原始資料!AR399=原始資料!AQ399),N(AO399)+1,1))</f>
        <v/>
      </c>
      <c r="AQ399" s="6">
        <f>IF(OR(原始資料!$A399="",42&gt;設定!$B$3,原始資料!AS399=""),"",IF(AND(原始資料!AR399&lt;&gt;"",原始資料!AS399=原始資料!AR399),N(AP399)+1,1))</f>
        <v/>
      </c>
      <c r="AR399" s="6">
        <f>IF(OR(原始資料!$A399="",43&gt;設定!$B$3,原始資料!AT399=""),"",IF(AND(原始資料!AS399&lt;&gt;"",原始資料!AT399=原始資料!AS399),N(AQ399)+1,1))</f>
        <v/>
      </c>
      <c r="AS399" s="6">
        <f>IF(OR(原始資料!$A399="",44&gt;設定!$B$3,原始資料!AU399=""),"",IF(AND(原始資料!AT399&lt;&gt;"",原始資料!AU399=原始資料!AT399),N(AR399)+1,1))</f>
        <v/>
      </c>
      <c r="AT399" s="6">
        <f>IF(OR(原始資料!$A399="",45&gt;設定!$B$3,原始資料!AV399=""),"",IF(AND(原始資料!AU399&lt;&gt;"",原始資料!AV399=原始資料!AU399),N(AS399)+1,1))</f>
        <v/>
      </c>
      <c r="AU399" s="6">
        <f>IF(OR(原始資料!$A399="",46&gt;設定!$B$3,原始資料!AW399=""),"",IF(AND(原始資料!AV399&lt;&gt;"",原始資料!AW399=原始資料!AV399),N(AT399)+1,1))</f>
        <v/>
      </c>
      <c r="AV399" s="6">
        <f>IF(OR(原始資料!$A399="",47&gt;設定!$B$3,原始資料!AX399=""),"",IF(AND(原始資料!AW399&lt;&gt;"",原始資料!AX399=原始資料!AW399),N(AU399)+1,1))</f>
        <v/>
      </c>
      <c r="AW399" s="6">
        <f>IF(OR(原始資料!$A399="",48&gt;設定!$B$3,原始資料!AY399=""),"",IF(AND(原始資料!AX399&lt;&gt;"",原始資料!AY399=原始資料!AX399),N(AV399)+1,1))</f>
        <v/>
      </c>
      <c r="AX399" s="6">
        <f>IF(OR(原始資料!$A399="",49&gt;設定!$B$3,原始資料!AZ399=""),"",IF(AND(原始資料!AY399&lt;&gt;"",原始資料!AZ399=原始資料!AY399),N(AW399)+1,1))</f>
        <v/>
      </c>
      <c r="AY399" s="6">
        <f>IF(OR(原始資料!$A399="",50&gt;設定!$B$3,原始資料!BA399=""),"",IF(AND(原始資料!AZ399&lt;&gt;"",原始資料!BA399=原始資料!AZ399),N(AX399)+1,1))</f>
        <v/>
      </c>
      <c r="AZ399" s="6">
        <f>IF(OR(原始資料!$A399="",51&gt;設定!$B$3,原始資料!BB399=""),"",IF(AND(原始資料!BA399&lt;&gt;"",原始資料!BB399=原始資料!BA399),N(AY399)+1,1))</f>
        <v/>
      </c>
      <c r="BA399" s="6">
        <f>IF(OR(原始資料!$A399="",52&gt;設定!$B$3,原始資料!BC399=""),"",IF(AND(原始資料!BB399&lt;&gt;"",原始資料!BC399=原始資料!BB399),N(AZ399)+1,1))</f>
        <v/>
      </c>
      <c r="BB399" s="6">
        <f>IF(OR(原始資料!$A399="",53&gt;設定!$B$3,原始資料!BD399=""),"",IF(AND(原始資料!BC399&lt;&gt;"",原始資料!BD399=原始資料!BC399),N(BA399)+1,1))</f>
        <v/>
      </c>
      <c r="BC399" s="6">
        <f>IF(OR(原始資料!$A399="",54&gt;設定!$B$3,原始資料!BE399=""),"",IF(AND(原始資料!BD399&lt;&gt;"",原始資料!BE399=原始資料!BD399),N(BB399)+1,1))</f>
        <v/>
      </c>
      <c r="BD399" s="6">
        <f>IF(OR(原始資料!$A399="",55&gt;設定!$B$3,原始資料!BF399=""),"",IF(AND(原始資料!BE399&lt;&gt;"",原始資料!BF399=原始資料!BE399),N(BC399)+1,1))</f>
        <v/>
      </c>
      <c r="BE399" s="6">
        <f>IF(OR(原始資料!$A399="",56&gt;設定!$B$3,原始資料!BG399=""),"",IF(AND(原始資料!BF399&lt;&gt;"",原始資料!BG399=原始資料!BF399),N(BD399)+1,1))</f>
        <v/>
      </c>
      <c r="BF399" s="6">
        <f>IF(OR(原始資料!$A399="",57&gt;設定!$B$3,原始資料!BH399=""),"",IF(AND(原始資料!BG399&lt;&gt;"",原始資料!BH399=原始資料!BG399),N(BE399)+1,1))</f>
        <v/>
      </c>
      <c r="BG399" s="6">
        <f>IF(OR(原始資料!$A399="",58&gt;設定!$B$3,原始資料!BI399=""),"",IF(AND(原始資料!BH399&lt;&gt;"",原始資料!BI399=原始資料!BH399),N(BF399)+1,1))</f>
        <v/>
      </c>
      <c r="BH399" s="6">
        <f>IF(OR(原始資料!$A399="",59&gt;設定!$B$3,原始資料!BJ399=""),"",IF(AND(原始資料!BI399&lt;&gt;"",原始資料!BJ399=原始資料!BI399),N(BG399)+1,1))</f>
        <v/>
      </c>
      <c r="BI399" s="6">
        <f>IF(OR(原始資料!$A399="",60&gt;設定!$B$3,原始資料!BK399=""),"",IF(AND(原始資料!BJ399&lt;&gt;"",原始資料!BK399=原始資料!BJ399),N(BH399)+1,1))</f>
        <v/>
      </c>
    </row>
    <row r="400">
      <c r="A400" s="6">
        <f>IF(原始資料!$A400="","",原始資料!$A400)</f>
        <v/>
      </c>
      <c r="B400" s="6">
        <f>IF(OR(原始資料!$A400="",1&gt;設定!$B$3,原始資料!D400=""),"",1)</f>
        <v/>
      </c>
      <c r="C400" s="6">
        <f>IF(OR(原始資料!$A400="",2&gt;設定!$B$3,原始資料!E400=""),"",IF(AND(原始資料!D400&lt;&gt;"",原始資料!E400=原始資料!D400),N(B400)+1,1))</f>
        <v/>
      </c>
      <c r="D400" s="6">
        <f>IF(OR(原始資料!$A400="",3&gt;設定!$B$3,原始資料!F400=""),"",IF(AND(原始資料!E400&lt;&gt;"",原始資料!F400=原始資料!E400),N(C400)+1,1))</f>
        <v/>
      </c>
      <c r="E400" s="6">
        <f>IF(OR(原始資料!$A400="",4&gt;設定!$B$3,原始資料!G400=""),"",IF(AND(原始資料!F400&lt;&gt;"",原始資料!G400=原始資料!F400),N(D400)+1,1))</f>
        <v/>
      </c>
      <c r="F400" s="6">
        <f>IF(OR(原始資料!$A400="",5&gt;設定!$B$3,原始資料!H400=""),"",IF(AND(原始資料!G400&lt;&gt;"",原始資料!H400=原始資料!G400),N(E400)+1,1))</f>
        <v/>
      </c>
      <c r="G400" s="6">
        <f>IF(OR(原始資料!$A400="",6&gt;設定!$B$3,原始資料!I400=""),"",IF(AND(原始資料!H400&lt;&gt;"",原始資料!I400=原始資料!H400),N(F400)+1,1))</f>
        <v/>
      </c>
      <c r="H400" s="6">
        <f>IF(OR(原始資料!$A400="",7&gt;設定!$B$3,原始資料!J400=""),"",IF(AND(原始資料!I400&lt;&gt;"",原始資料!J400=原始資料!I400),N(G400)+1,1))</f>
        <v/>
      </c>
      <c r="I400" s="6">
        <f>IF(OR(原始資料!$A400="",8&gt;設定!$B$3,原始資料!K400=""),"",IF(AND(原始資料!J400&lt;&gt;"",原始資料!K400=原始資料!J400),N(H400)+1,1))</f>
        <v/>
      </c>
      <c r="J400" s="6">
        <f>IF(OR(原始資料!$A400="",9&gt;設定!$B$3,原始資料!L400=""),"",IF(AND(原始資料!K400&lt;&gt;"",原始資料!L400=原始資料!K400),N(I400)+1,1))</f>
        <v/>
      </c>
      <c r="K400" s="6">
        <f>IF(OR(原始資料!$A400="",10&gt;設定!$B$3,原始資料!M400=""),"",IF(AND(原始資料!L400&lt;&gt;"",原始資料!M400=原始資料!L400),N(J400)+1,1))</f>
        <v/>
      </c>
      <c r="L400" s="6">
        <f>IF(OR(原始資料!$A400="",11&gt;設定!$B$3,原始資料!N400=""),"",IF(AND(原始資料!M400&lt;&gt;"",原始資料!N400=原始資料!M400),N(K400)+1,1))</f>
        <v/>
      </c>
      <c r="M400" s="6">
        <f>IF(OR(原始資料!$A400="",12&gt;設定!$B$3,原始資料!O400=""),"",IF(AND(原始資料!N400&lt;&gt;"",原始資料!O400=原始資料!N400),N(L400)+1,1))</f>
        <v/>
      </c>
      <c r="N400" s="6">
        <f>IF(OR(原始資料!$A400="",13&gt;設定!$B$3,原始資料!P400=""),"",IF(AND(原始資料!O400&lt;&gt;"",原始資料!P400=原始資料!O400),N(M400)+1,1))</f>
        <v/>
      </c>
      <c r="O400" s="6">
        <f>IF(OR(原始資料!$A400="",14&gt;設定!$B$3,原始資料!Q400=""),"",IF(AND(原始資料!P400&lt;&gt;"",原始資料!Q400=原始資料!P400),N(N400)+1,1))</f>
        <v/>
      </c>
      <c r="P400" s="6">
        <f>IF(OR(原始資料!$A400="",15&gt;設定!$B$3,原始資料!R400=""),"",IF(AND(原始資料!Q400&lt;&gt;"",原始資料!R400=原始資料!Q400),N(O400)+1,1))</f>
        <v/>
      </c>
      <c r="Q400" s="6">
        <f>IF(OR(原始資料!$A400="",16&gt;設定!$B$3,原始資料!S400=""),"",IF(AND(原始資料!R400&lt;&gt;"",原始資料!S400=原始資料!R400),N(P400)+1,1))</f>
        <v/>
      </c>
      <c r="R400" s="6">
        <f>IF(OR(原始資料!$A400="",17&gt;設定!$B$3,原始資料!T400=""),"",IF(AND(原始資料!S400&lt;&gt;"",原始資料!T400=原始資料!S400),N(Q400)+1,1))</f>
        <v/>
      </c>
      <c r="S400" s="6">
        <f>IF(OR(原始資料!$A400="",18&gt;設定!$B$3,原始資料!U400=""),"",IF(AND(原始資料!T400&lt;&gt;"",原始資料!U400=原始資料!T400),N(R400)+1,1))</f>
        <v/>
      </c>
      <c r="T400" s="6">
        <f>IF(OR(原始資料!$A400="",19&gt;設定!$B$3,原始資料!V400=""),"",IF(AND(原始資料!U400&lt;&gt;"",原始資料!V400=原始資料!U400),N(S400)+1,1))</f>
        <v/>
      </c>
      <c r="U400" s="6">
        <f>IF(OR(原始資料!$A400="",20&gt;設定!$B$3,原始資料!W400=""),"",IF(AND(原始資料!V400&lt;&gt;"",原始資料!W400=原始資料!V400),N(T400)+1,1))</f>
        <v/>
      </c>
      <c r="V400" s="6">
        <f>IF(OR(原始資料!$A400="",21&gt;設定!$B$3,原始資料!X400=""),"",IF(AND(原始資料!W400&lt;&gt;"",原始資料!X400=原始資料!W400),N(U400)+1,1))</f>
        <v/>
      </c>
      <c r="W400" s="6">
        <f>IF(OR(原始資料!$A400="",22&gt;設定!$B$3,原始資料!Y400=""),"",IF(AND(原始資料!X400&lt;&gt;"",原始資料!Y400=原始資料!X400),N(V400)+1,1))</f>
        <v/>
      </c>
      <c r="X400" s="6">
        <f>IF(OR(原始資料!$A400="",23&gt;設定!$B$3,原始資料!Z400=""),"",IF(AND(原始資料!Y400&lt;&gt;"",原始資料!Z400=原始資料!Y400),N(W400)+1,1))</f>
        <v/>
      </c>
      <c r="Y400" s="6">
        <f>IF(OR(原始資料!$A400="",24&gt;設定!$B$3,原始資料!AA400=""),"",IF(AND(原始資料!Z400&lt;&gt;"",原始資料!AA400=原始資料!Z400),N(X400)+1,1))</f>
        <v/>
      </c>
      <c r="Z400" s="6">
        <f>IF(OR(原始資料!$A400="",25&gt;設定!$B$3,原始資料!AB400=""),"",IF(AND(原始資料!AA400&lt;&gt;"",原始資料!AB400=原始資料!AA400),N(Y400)+1,1))</f>
        <v/>
      </c>
      <c r="AA400" s="6">
        <f>IF(OR(原始資料!$A400="",26&gt;設定!$B$3,原始資料!AC400=""),"",IF(AND(原始資料!AB400&lt;&gt;"",原始資料!AC400=原始資料!AB400),N(Z400)+1,1))</f>
        <v/>
      </c>
      <c r="AB400" s="6">
        <f>IF(OR(原始資料!$A400="",27&gt;設定!$B$3,原始資料!AD400=""),"",IF(AND(原始資料!AC400&lt;&gt;"",原始資料!AD400=原始資料!AC400),N(AA400)+1,1))</f>
        <v/>
      </c>
      <c r="AC400" s="6">
        <f>IF(OR(原始資料!$A400="",28&gt;設定!$B$3,原始資料!AE400=""),"",IF(AND(原始資料!AD400&lt;&gt;"",原始資料!AE400=原始資料!AD400),N(AB400)+1,1))</f>
        <v/>
      </c>
      <c r="AD400" s="6">
        <f>IF(OR(原始資料!$A400="",29&gt;設定!$B$3,原始資料!AF400=""),"",IF(AND(原始資料!AE400&lt;&gt;"",原始資料!AF400=原始資料!AE400),N(AC400)+1,1))</f>
        <v/>
      </c>
      <c r="AE400" s="6">
        <f>IF(OR(原始資料!$A400="",30&gt;設定!$B$3,原始資料!AG400=""),"",IF(AND(原始資料!AF400&lt;&gt;"",原始資料!AG400=原始資料!AF400),N(AD400)+1,1))</f>
        <v/>
      </c>
      <c r="AF400" s="6">
        <f>IF(OR(原始資料!$A400="",31&gt;設定!$B$3,原始資料!AH400=""),"",IF(AND(原始資料!AG400&lt;&gt;"",原始資料!AH400=原始資料!AG400),N(AE400)+1,1))</f>
        <v/>
      </c>
      <c r="AG400" s="6">
        <f>IF(OR(原始資料!$A400="",32&gt;設定!$B$3,原始資料!AI400=""),"",IF(AND(原始資料!AH400&lt;&gt;"",原始資料!AI400=原始資料!AH400),N(AF400)+1,1))</f>
        <v/>
      </c>
      <c r="AH400" s="6">
        <f>IF(OR(原始資料!$A400="",33&gt;設定!$B$3,原始資料!AJ400=""),"",IF(AND(原始資料!AI400&lt;&gt;"",原始資料!AJ400=原始資料!AI400),N(AG400)+1,1))</f>
        <v/>
      </c>
      <c r="AI400" s="6">
        <f>IF(OR(原始資料!$A400="",34&gt;設定!$B$3,原始資料!AK400=""),"",IF(AND(原始資料!AJ400&lt;&gt;"",原始資料!AK400=原始資料!AJ400),N(AH400)+1,1))</f>
        <v/>
      </c>
      <c r="AJ400" s="6">
        <f>IF(OR(原始資料!$A400="",35&gt;設定!$B$3,原始資料!AL400=""),"",IF(AND(原始資料!AK400&lt;&gt;"",原始資料!AL400=原始資料!AK400),N(AI400)+1,1))</f>
        <v/>
      </c>
      <c r="AK400" s="6">
        <f>IF(OR(原始資料!$A400="",36&gt;設定!$B$3,原始資料!AM400=""),"",IF(AND(原始資料!AL400&lt;&gt;"",原始資料!AM400=原始資料!AL400),N(AJ400)+1,1))</f>
        <v/>
      </c>
      <c r="AL400" s="6">
        <f>IF(OR(原始資料!$A400="",37&gt;設定!$B$3,原始資料!AN400=""),"",IF(AND(原始資料!AM400&lt;&gt;"",原始資料!AN400=原始資料!AM400),N(AK400)+1,1))</f>
        <v/>
      </c>
      <c r="AM400" s="6">
        <f>IF(OR(原始資料!$A400="",38&gt;設定!$B$3,原始資料!AO400=""),"",IF(AND(原始資料!AN400&lt;&gt;"",原始資料!AO400=原始資料!AN400),N(AL400)+1,1))</f>
        <v/>
      </c>
      <c r="AN400" s="6">
        <f>IF(OR(原始資料!$A400="",39&gt;設定!$B$3,原始資料!AP400=""),"",IF(AND(原始資料!AO400&lt;&gt;"",原始資料!AP400=原始資料!AO400),N(AM400)+1,1))</f>
        <v/>
      </c>
      <c r="AO400" s="6">
        <f>IF(OR(原始資料!$A400="",40&gt;設定!$B$3,原始資料!AQ400=""),"",IF(AND(原始資料!AP400&lt;&gt;"",原始資料!AQ400=原始資料!AP400),N(AN400)+1,1))</f>
        <v/>
      </c>
      <c r="AP400" s="6">
        <f>IF(OR(原始資料!$A400="",41&gt;設定!$B$3,原始資料!AR400=""),"",IF(AND(原始資料!AQ400&lt;&gt;"",原始資料!AR400=原始資料!AQ400),N(AO400)+1,1))</f>
        <v/>
      </c>
      <c r="AQ400" s="6">
        <f>IF(OR(原始資料!$A400="",42&gt;設定!$B$3,原始資料!AS400=""),"",IF(AND(原始資料!AR400&lt;&gt;"",原始資料!AS400=原始資料!AR400),N(AP400)+1,1))</f>
        <v/>
      </c>
      <c r="AR400" s="6">
        <f>IF(OR(原始資料!$A400="",43&gt;設定!$B$3,原始資料!AT400=""),"",IF(AND(原始資料!AS400&lt;&gt;"",原始資料!AT400=原始資料!AS400),N(AQ400)+1,1))</f>
        <v/>
      </c>
      <c r="AS400" s="6">
        <f>IF(OR(原始資料!$A400="",44&gt;設定!$B$3,原始資料!AU400=""),"",IF(AND(原始資料!AT400&lt;&gt;"",原始資料!AU400=原始資料!AT400),N(AR400)+1,1))</f>
        <v/>
      </c>
      <c r="AT400" s="6">
        <f>IF(OR(原始資料!$A400="",45&gt;設定!$B$3,原始資料!AV400=""),"",IF(AND(原始資料!AU400&lt;&gt;"",原始資料!AV400=原始資料!AU400),N(AS400)+1,1))</f>
        <v/>
      </c>
      <c r="AU400" s="6">
        <f>IF(OR(原始資料!$A400="",46&gt;設定!$B$3,原始資料!AW400=""),"",IF(AND(原始資料!AV400&lt;&gt;"",原始資料!AW400=原始資料!AV400),N(AT400)+1,1))</f>
        <v/>
      </c>
      <c r="AV400" s="6">
        <f>IF(OR(原始資料!$A400="",47&gt;設定!$B$3,原始資料!AX400=""),"",IF(AND(原始資料!AW400&lt;&gt;"",原始資料!AX400=原始資料!AW400),N(AU400)+1,1))</f>
        <v/>
      </c>
      <c r="AW400" s="6">
        <f>IF(OR(原始資料!$A400="",48&gt;設定!$B$3,原始資料!AY400=""),"",IF(AND(原始資料!AX400&lt;&gt;"",原始資料!AY400=原始資料!AX400),N(AV400)+1,1))</f>
        <v/>
      </c>
      <c r="AX400" s="6">
        <f>IF(OR(原始資料!$A400="",49&gt;設定!$B$3,原始資料!AZ400=""),"",IF(AND(原始資料!AY400&lt;&gt;"",原始資料!AZ400=原始資料!AY400),N(AW400)+1,1))</f>
        <v/>
      </c>
      <c r="AY400" s="6">
        <f>IF(OR(原始資料!$A400="",50&gt;設定!$B$3,原始資料!BA400=""),"",IF(AND(原始資料!AZ400&lt;&gt;"",原始資料!BA400=原始資料!AZ400),N(AX400)+1,1))</f>
        <v/>
      </c>
      <c r="AZ400" s="6">
        <f>IF(OR(原始資料!$A400="",51&gt;設定!$B$3,原始資料!BB400=""),"",IF(AND(原始資料!BA400&lt;&gt;"",原始資料!BB400=原始資料!BA400),N(AY400)+1,1))</f>
        <v/>
      </c>
      <c r="BA400" s="6">
        <f>IF(OR(原始資料!$A400="",52&gt;設定!$B$3,原始資料!BC400=""),"",IF(AND(原始資料!BB400&lt;&gt;"",原始資料!BC400=原始資料!BB400),N(AZ400)+1,1))</f>
        <v/>
      </c>
      <c r="BB400" s="6">
        <f>IF(OR(原始資料!$A400="",53&gt;設定!$B$3,原始資料!BD400=""),"",IF(AND(原始資料!BC400&lt;&gt;"",原始資料!BD400=原始資料!BC400),N(BA400)+1,1))</f>
        <v/>
      </c>
      <c r="BC400" s="6">
        <f>IF(OR(原始資料!$A400="",54&gt;設定!$B$3,原始資料!BE400=""),"",IF(AND(原始資料!BD400&lt;&gt;"",原始資料!BE400=原始資料!BD400),N(BB400)+1,1))</f>
        <v/>
      </c>
      <c r="BD400" s="6">
        <f>IF(OR(原始資料!$A400="",55&gt;設定!$B$3,原始資料!BF400=""),"",IF(AND(原始資料!BE400&lt;&gt;"",原始資料!BF400=原始資料!BE400),N(BC400)+1,1))</f>
        <v/>
      </c>
      <c r="BE400" s="6">
        <f>IF(OR(原始資料!$A400="",56&gt;設定!$B$3,原始資料!BG400=""),"",IF(AND(原始資料!BF400&lt;&gt;"",原始資料!BG400=原始資料!BF400),N(BD400)+1,1))</f>
        <v/>
      </c>
      <c r="BF400" s="6">
        <f>IF(OR(原始資料!$A400="",57&gt;設定!$B$3,原始資料!BH400=""),"",IF(AND(原始資料!BG400&lt;&gt;"",原始資料!BH400=原始資料!BG400),N(BE400)+1,1))</f>
        <v/>
      </c>
      <c r="BG400" s="6">
        <f>IF(OR(原始資料!$A400="",58&gt;設定!$B$3,原始資料!BI400=""),"",IF(AND(原始資料!BH400&lt;&gt;"",原始資料!BI400=原始資料!BH400),N(BF400)+1,1))</f>
        <v/>
      </c>
      <c r="BH400" s="6">
        <f>IF(OR(原始資料!$A400="",59&gt;設定!$B$3,原始資料!BJ400=""),"",IF(AND(原始資料!BI400&lt;&gt;"",原始資料!BJ400=原始資料!BI400),N(BG400)+1,1))</f>
        <v/>
      </c>
      <c r="BI400" s="6">
        <f>IF(OR(原始資料!$A400="",60&gt;設定!$B$3,原始資料!BK400=""),"",IF(AND(原始資料!BJ400&lt;&gt;"",原始資料!BK400=原始資料!BJ400),N(BH400)+1,1))</f>
        <v/>
      </c>
    </row>
    <row r="401">
      <c r="A401" s="6">
        <f>IF(原始資料!$A401="","",原始資料!$A401)</f>
        <v/>
      </c>
      <c r="B401" s="6">
        <f>IF(OR(原始資料!$A401="",1&gt;設定!$B$3,原始資料!D401=""),"",1)</f>
        <v/>
      </c>
      <c r="C401" s="6">
        <f>IF(OR(原始資料!$A401="",2&gt;設定!$B$3,原始資料!E401=""),"",IF(AND(原始資料!D401&lt;&gt;"",原始資料!E401=原始資料!D401),N(B401)+1,1))</f>
        <v/>
      </c>
      <c r="D401" s="6">
        <f>IF(OR(原始資料!$A401="",3&gt;設定!$B$3,原始資料!F401=""),"",IF(AND(原始資料!E401&lt;&gt;"",原始資料!F401=原始資料!E401),N(C401)+1,1))</f>
        <v/>
      </c>
      <c r="E401" s="6">
        <f>IF(OR(原始資料!$A401="",4&gt;設定!$B$3,原始資料!G401=""),"",IF(AND(原始資料!F401&lt;&gt;"",原始資料!G401=原始資料!F401),N(D401)+1,1))</f>
        <v/>
      </c>
      <c r="F401" s="6">
        <f>IF(OR(原始資料!$A401="",5&gt;設定!$B$3,原始資料!H401=""),"",IF(AND(原始資料!G401&lt;&gt;"",原始資料!H401=原始資料!G401),N(E401)+1,1))</f>
        <v/>
      </c>
      <c r="G401" s="6">
        <f>IF(OR(原始資料!$A401="",6&gt;設定!$B$3,原始資料!I401=""),"",IF(AND(原始資料!H401&lt;&gt;"",原始資料!I401=原始資料!H401),N(F401)+1,1))</f>
        <v/>
      </c>
      <c r="H401" s="6">
        <f>IF(OR(原始資料!$A401="",7&gt;設定!$B$3,原始資料!J401=""),"",IF(AND(原始資料!I401&lt;&gt;"",原始資料!J401=原始資料!I401),N(G401)+1,1))</f>
        <v/>
      </c>
      <c r="I401" s="6">
        <f>IF(OR(原始資料!$A401="",8&gt;設定!$B$3,原始資料!K401=""),"",IF(AND(原始資料!J401&lt;&gt;"",原始資料!K401=原始資料!J401),N(H401)+1,1))</f>
        <v/>
      </c>
      <c r="J401" s="6">
        <f>IF(OR(原始資料!$A401="",9&gt;設定!$B$3,原始資料!L401=""),"",IF(AND(原始資料!K401&lt;&gt;"",原始資料!L401=原始資料!K401),N(I401)+1,1))</f>
        <v/>
      </c>
      <c r="K401" s="6">
        <f>IF(OR(原始資料!$A401="",10&gt;設定!$B$3,原始資料!M401=""),"",IF(AND(原始資料!L401&lt;&gt;"",原始資料!M401=原始資料!L401),N(J401)+1,1))</f>
        <v/>
      </c>
      <c r="L401" s="6">
        <f>IF(OR(原始資料!$A401="",11&gt;設定!$B$3,原始資料!N401=""),"",IF(AND(原始資料!M401&lt;&gt;"",原始資料!N401=原始資料!M401),N(K401)+1,1))</f>
        <v/>
      </c>
      <c r="M401" s="6">
        <f>IF(OR(原始資料!$A401="",12&gt;設定!$B$3,原始資料!O401=""),"",IF(AND(原始資料!N401&lt;&gt;"",原始資料!O401=原始資料!N401),N(L401)+1,1))</f>
        <v/>
      </c>
      <c r="N401" s="6">
        <f>IF(OR(原始資料!$A401="",13&gt;設定!$B$3,原始資料!P401=""),"",IF(AND(原始資料!O401&lt;&gt;"",原始資料!P401=原始資料!O401),N(M401)+1,1))</f>
        <v/>
      </c>
      <c r="O401" s="6">
        <f>IF(OR(原始資料!$A401="",14&gt;設定!$B$3,原始資料!Q401=""),"",IF(AND(原始資料!P401&lt;&gt;"",原始資料!Q401=原始資料!P401),N(N401)+1,1))</f>
        <v/>
      </c>
      <c r="P401" s="6">
        <f>IF(OR(原始資料!$A401="",15&gt;設定!$B$3,原始資料!R401=""),"",IF(AND(原始資料!Q401&lt;&gt;"",原始資料!R401=原始資料!Q401),N(O401)+1,1))</f>
        <v/>
      </c>
      <c r="Q401" s="6">
        <f>IF(OR(原始資料!$A401="",16&gt;設定!$B$3,原始資料!S401=""),"",IF(AND(原始資料!R401&lt;&gt;"",原始資料!S401=原始資料!R401),N(P401)+1,1))</f>
        <v/>
      </c>
      <c r="R401" s="6">
        <f>IF(OR(原始資料!$A401="",17&gt;設定!$B$3,原始資料!T401=""),"",IF(AND(原始資料!S401&lt;&gt;"",原始資料!T401=原始資料!S401),N(Q401)+1,1))</f>
        <v/>
      </c>
      <c r="S401" s="6">
        <f>IF(OR(原始資料!$A401="",18&gt;設定!$B$3,原始資料!U401=""),"",IF(AND(原始資料!T401&lt;&gt;"",原始資料!U401=原始資料!T401),N(R401)+1,1))</f>
        <v/>
      </c>
      <c r="T401" s="6">
        <f>IF(OR(原始資料!$A401="",19&gt;設定!$B$3,原始資料!V401=""),"",IF(AND(原始資料!U401&lt;&gt;"",原始資料!V401=原始資料!U401),N(S401)+1,1))</f>
        <v/>
      </c>
      <c r="U401" s="6">
        <f>IF(OR(原始資料!$A401="",20&gt;設定!$B$3,原始資料!W401=""),"",IF(AND(原始資料!V401&lt;&gt;"",原始資料!W401=原始資料!V401),N(T401)+1,1))</f>
        <v/>
      </c>
      <c r="V401" s="6">
        <f>IF(OR(原始資料!$A401="",21&gt;設定!$B$3,原始資料!X401=""),"",IF(AND(原始資料!W401&lt;&gt;"",原始資料!X401=原始資料!W401),N(U401)+1,1))</f>
        <v/>
      </c>
      <c r="W401" s="6">
        <f>IF(OR(原始資料!$A401="",22&gt;設定!$B$3,原始資料!Y401=""),"",IF(AND(原始資料!X401&lt;&gt;"",原始資料!Y401=原始資料!X401),N(V401)+1,1))</f>
        <v/>
      </c>
      <c r="X401" s="6">
        <f>IF(OR(原始資料!$A401="",23&gt;設定!$B$3,原始資料!Z401=""),"",IF(AND(原始資料!Y401&lt;&gt;"",原始資料!Z401=原始資料!Y401),N(W401)+1,1))</f>
        <v/>
      </c>
      <c r="Y401" s="6">
        <f>IF(OR(原始資料!$A401="",24&gt;設定!$B$3,原始資料!AA401=""),"",IF(AND(原始資料!Z401&lt;&gt;"",原始資料!AA401=原始資料!Z401),N(X401)+1,1))</f>
        <v/>
      </c>
      <c r="Z401" s="6">
        <f>IF(OR(原始資料!$A401="",25&gt;設定!$B$3,原始資料!AB401=""),"",IF(AND(原始資料!AA401&lt;&gt;"",原始資料!AB401=原始資料!AA401),N(Y401)+1,1))</f>
        <v/>
      </c>
      <c r="AA401" s="6">
        <f>IF(OR(原始資料!$A401="",26&gt;設定!$B$3,原始資料!AC401=""),"",IF(AND(原始資料!AB401&lt;&gt;"",原始資料!AC401=原始資料!AB401),N(Z401)+1,1))</f>
        <v/>
      </c>
      <c r="AB401" s="6">
        <f>IF(OR(原始資料!$A401="",27&gt;設定!$B$3,原始資料!AD401=""),"",IF(AND(原始資料!AC401&lt;&gt;"",原始資料!AD401=原始資料!AC401),N(AA401)+1,1))</f>
        <v/>
      </c>
      <c r="AC401" s="6">
        <f>IF(OR(原始資料!$A401="",28&gt;設定!$B$3,原始資料!AE401=""),"",IF(AND(原始資料!AD401&lt;&gt;"",原始資料!AE401=原始資料!AD401),N(AB401)+1,1))</f>
        <v/>
      </c>
      <c r="AD401" s="6">
        <f>IF(OR(原始資料!$A401="",29&gt;設定!$B$3,原始資料!AF401=""),"",IF(AND(原始資料!AE401&lt;&gt;"",原始資料!AF401=原始資料!AE401),N(AC401)+1,1))</f>
        <v/>
      </c>
      <c r="AE401" s="6">
        <f>IF(OR(原始資料!$A401="",30&gt;設定!$B$3,原始資料!AG401=""),"",IF(AND(原始資料!AF401&lt;&gt;"",原始資料!AG401=原始資料!AF401),N(AD401)+1,1))</f>
        <v/>
      </c>
      <c r="AF401" s="6">
        <f>IF(OR(原始資料!$A401="",31&gt;設定!$B$3,原始資料!AH401=""),"",IF(AND(原始資料!AG401&lt;&gt;"",原始資料!AH401=原始資料!AG401),N(AE401)+1,1))</f>
        <v/>
      </c>
      <c r="AG401" s="6">
        <f>IF(OR(原始資料!$A401="",32&gt;設定!$B$3,原始資料!AI401=""),"",IF(AND(原始資料!AH401&lt;&gt;"",原始資料!AI401=原始資料!AH401),N(AF401)+1,1))</f>
        <v/>
      </c>
      <c r="AH401" s="6">
        <f>IF(OR(原始資料!$A401="",33&gt;設定!$B$3,原始資料!AJ401=""),"",IF(AND(原始資料!AI401&lt;&gt;"",原始資料!AJ401=原始資料!AI401),N(AG401)+1,1))</f>
        <v/>
      </c>
      <c r="AI401" s="6">
        <f>IF(OR(原始資料!$A401="",34&gt;設定!$B$3,原始資料!AK401=""),"",IF(AND(原始資料!AJ401&lt;&gt;"",原始資料!AK401=原始資料!AJ401),N(AH401)+1,1))</f>
        <v/>
      </c>
      <c r="AJ401" s="6">
        <f>IF(OR(原始資料!$A401="",35&gt;設定!$B$3,原始資料!AL401=""),"",IF(AND(原始資料!AK401&lt;&gt;"",原始資料!AL401=原始資料!AK401),N(AI401)+1,1))</f>
        <v/>
      </c>
      <c r="AK401" s="6">
        <f>IF(OR(原始資料!$A401="",36&gt;設定!$B$3,原始資料!AM401=""),"",IF(AND(原始資料!AL401&lt;&gt;"",原始資料!AM401=原始資料!AL401),N(AJ401)+1,1))</f>
        <v/>
      </c>
      <c r="AL401" s="6">
        <f>IF(OR(原始資料!$A401="",37&gt;設定!$B$3,原始資料!AN401=""),"",IF(AND(原始資料!AM401&lt;&gt;"",原始資料!AN401=原始資料!AM401),N(AK401)+1,1))</f>
        <v/>
      </c>
      <c r="AM401" s="6">
        <f>IF(OR(原始資料!$A401="",38&gt;設定!$B$3,原始資料!AO401=""),"",IF(AND(原始資料!AN401&lt;&gt;"",原始資料!AO401=原始資料!AN401),N(AL401)+1,1))</f>
        <v/>
      </c>
      <c r="AN401" s="6">
        <f>IF(OR(原始資料!$A401="",39&gt;設定!$B$3,原始資料!AP401=""),"",IF(AND(原始資料!AO401&lt;&gt;"",原始資料!AP401=原始資料!AO401),N(AM401)+1,1))</f>
        <v/>
      </c>
      <c r="AO401" s="6">
        <f>IF(OR(原始資料!$A401="",40&gt;設定!$B$3,原始資料!AQ401=""),"",IF(AND(原始資料!AP401&lt;&gt;"",原始資料!AQ401=原始資料!AP401),N(AN401)+1,1))</f>
        <v/>
      </c>
      <c r="AP401" s="6">
        <f>IF(OR(原始資料!$A401="",41&gt;設定!$B$3,原始資料!AR401=""),"",IF(AND(原始資料!AQ401&lt;&gt;"",原始資料!AR401=原始資料!AQ401),N(AO401)+1,1))</f>
        <v/>
      </c>
      <c r="AQ401" s="6">
        <f>IF(OR(原始資料!$A401="",42&gt;設定!$B$3,原始資料!AS401=""),"",IF(AND(原始資料!AR401&lt;&gt;"",原始資料!AS401=原始資料!AR401),N(AP401)+1,1))</f>
        <v/>
      </c>
      <c r="AR401" s="6">
        <f>IF(OR(原始資料!$A401="",43&gt;設定!$B$3,原始資料!AT401=""),"",IF(AND(原始資料!AS401&lt;&gt;"",原始資料!AT401=原始資料!AS401),N(AQ401)+1,1))</f>
        <v/>
      </c>
      <c r="AS401" s="6">
        <f>IF(OR(原始資料!$A401="",44&gt;設定!$B$3,原始資料!AU401=""),"",IF(AND(原始資料!AT401&lt;&gt;"",原始資料!AU401=原始資料!AT401),N(AR401)+1,1))</f>
        <v/>
      </c>
      <c r="AT401" s="6">
        <f>IF(OR(原始資料!$A401="",45&gt;設定!$B$3,原始資料!AV401=""),"",IF(AND(原始資料!AU401&lt;&gt;"",原始資料!AV401=原始資料!AU401),N(AS401)+1,1))</f>
        <v/>
      </c>
      <c r="AU401" s="6">
        <f>IF(OR(原始資料!$A401="",46&gt;設定!$B$3,原始資料!AW401=""),"",IF(AND(原始資料!AV401&lt;&gt;"",原始資料!AW401=原始資料!AV401),N(AT401)+1,1))</f>
        <v/>
      </c>
      <c r="AV401" s="6">
        <f>IF(OR(原始資料!$A401="",47&gt;設定!$B$3,原始資料!AX401=""),"",IF(AND(原始資料!AW401&lt;&gt;"",原始資料!AX401=原始資料!AW401),N(AU401)+1,1))</f>
        <v/>
      </c>
      <c r="AW401" s="6">
        <f>IF(OR(原始資料!$A401="",48&gt;設定!$B$3,原始資料!AY401=""),"",IF(AND(原始資料!AX401&lt;&gt;"",原始資料!AY401=原始資料!AX401),N(AV401)+1,1))</f>
        <v/>
      </c>
      <c r="AX401" s="6">
        <f>IF(OR(原始資料!$A401="",49&gt;設定!$B$3,原始資料!AZ401=""),"",IF(AND(原始資料!AY401&lt;&gt;"",原始資料!AZ401=原始資料!AY401),N(AW401)+1,1))</f>
        <v/>
      </c>
      <c r="AY401" s="6">
        <f>IF(OR(原始資料!$A401="",50&gt;設定!$B$3,原始資料!BA401=""),"",IF(AND(原始資料!AZ401&lt;&gt;"",原始資料!BA401=原始資料!AZ401),N(AX401)+1,1))</f>
        <v/>
      </c>
      <c r="AZ401" s="6">
        <f>IF(OR(原始資料!$A401="",51&gt;設定!$B$3,原始資料!BB401=""),"",IF(AND(原始資料!BA401&lt;&gt;"",原始資料!BB401=原始資料!BA401),N(AY401)+1,1))</f>
        <v/>
      </c>
      <c r="BA401" s="6">
        <f>IF(OR(原始資料!$A401="",52&gt;設定!$B$3,原始資料!BC401=""),"",IF(AND(原始資料!BB401&lt;&gt;"",原始資料!BC401=原始資料!BB401),N(AZ401)+1,1))</f>
        <v/>
      </c>
      <c r="BB401" s="6">
        <f>IF(OR(原始資料!$A401="",53&gt;設定!$B$3,原始資料!BD401=""),"",IF(AND(原始資料!BC401&lt;&gt;"",原始資料!BD401=原始資料!BC401),N(BA401)+1,1))</f>
        <v/>
      </c>
      <c r="BC401" s="6">
        <f>IF(OR(原始資料!$A401="",54&gt;設定!$B$3,原始資料!BE401=""),"",IF(AND(原始資料!BD401&lt;&gt;"",原始資料!BE401=原始資料!BD401),N(BB401)+1,1))</f>
        <v/>
      </c>
      <c r="BD401" s="6">
        <f>IF(OR(原始資料!$A401="",55&gt;設定!$B$3,原始資料!BF401=""),"",IF(AND(原始資料!BE401&lt;&gt;"",原始資料!BF401=原始資料!BE401),N(BC401)+1,1))</f>
        <v/>
      </c>
      <c r="BE401" s="6">
        <f>IF(OR(原始資料!$A401="",56&gt;設定!$B$3,原始資料!BG401=""),"",IF(AND(原始資料!BF401&lt;&gt;"",原始資料!BG401=原始資料!BF401),N(BD401)+1,1))</f>
        <v/>
      </c>
      <c r="BF401" s="6">
        <f>IF(OR(原始資料!$A401="",57&gt;設定!$B$3,原始資料!BH401=""),"",IF(AND(原始資料!BG401&lt;&gt;"",原始資料!BH401=原始資料!BG401),N(BE401)+1,1))</f>
        <v/>
      </c>
      <c r="BG401" s="6">
        <f>IF(OR(原始資料!$A401="",58&gt;設定!$B$3,原始資料!BI401=""),"",IF(AND(原始資料!BH401&lt;&gt;"",原始資料!BI401=原始資料!BH401),N(BF401)+1,1))</f>
        <v/>
      </c>
      <c r="BH401" s="6">
        <f>IF(OR(原始資料!$A401="",59&gt;設定!$B$3,原始資料!BJ401=""),"",IF(AND(原始資料!BI401&lt;&gt;"",原始資料!BJ401=原始資料!BI401),N(BG401)+1,1))</f>
        <v/>
      </c>
      <c r="BI401" s="6">
        <f>IF(OR(原始資料!$A401="",60&gt;設定!$B$3,原始資料!BK401=""),"",IF(AND(原始資料!BJ401&lt;&gt;"",原始資料!BK401=原始資料!BJ401),N(BH401)+1,1))</f>
        <v/>
      </c>
    </row>
    <row r="402">
      <c r="A402" s="6">
        <f>IF(原始資料!$A402="","",原始資料!$A402)</f>
        <v/>
      </c>
      <c r="B402" s="6">
        <f>IF(OR(原始資料!$A402="",1&gt;設定!$B$3,原始資料!D402=""),"",1)</f>
        <v/>
      </c>
      <c r="C402" s="6">
        <f>IF(OR(原始資料!$A402="",2&gt;設定!$B$3,原始資料!E402=""),"",IF(AND(原始資料!D402&lt;&gt;"",原始資料!E402=原始資料!D402),N(B402)+1,1))</f>
        <v/>
      </c>
      <c r="D402" s="6">
        <f>IF(OR(原始資料!$A402="",3&gt;設定!$B$3,原始資料!F402=""),"",IF(AND(原始資料!E402&lt;&gt;"",原始資料!F402=原始資料!E402),N(C402)+1,1))</f>
        <v/>
      </c>
      <c r="E402" s="6">
        <f>IF(OR(原始資料!$A402="",4&gt;設定!$B$3,原始資料!G402=""),"",IF(AND(原始資料!F402&lt;&gt;"",原始資料!G402=原始資料!F402),N(D402)+1,1))</f>
        <v/>
      </c>
      <c r="F402" s="6">
        <f>IF(OR(原始資料!$A402="",5&gt;設定!$B$3,原始資料!H402=""),"",IF(AND(原始資料!G402&lt;&gt;"",原始資料!H402=原始資料!G402),N(E402)+1,1))</f>
        <v/>
      </c>
      <c r="G402" s="6">
        <f>IF(OR(原始資料!$A402="",6&gt;設定!$B$3,原始資料!I402=""),"",IF(AND(原始資料!H402&lt;&gt;"",原始資料!I402=原始資料!H402),N(F402)+1,1))</f>
        <v/>
      </c>
      <c r="H402" s="6">
        <f>IF(OR(原始資料!$A402="",7&gt;設定!$B$3,原始資料!J402=""),"",IF(AND(原始資料!I402&lt;&gt;"",原始資料!J402=原始資料!I402),N(G402)+1,1))</f>
        <v/>
      </c>
      <c r="I402" s="6">
        <f>IF(OR(原始資料!$A402="",8&gt;設定!$B$3,原始資料!K402=""),"",IF(AND(原始資料!J402&lt;&gt;"",原始資料!K402=原始資料!J402),N(H402)+1,1))</f>
        <v/>
      </c>
      <c r="J402" s="6">
        <f>IF(OR(原始資料!$A402="",9&gt;設定!$B$3,原始資料!L402=""),"",IF(AND(原始資料!K402&lt;&gt;"",原始資料!L402=原始資料!K402),N(I402)+1,1))</f>
        <v/>
      </c>
      <c r="K402" s="6">
        <f>IF(OR(原始資料!$A402="",10&gt;設定!$B$3,原始資料!M402=""),"",IF(AND(原始資料!L402&lt;&gt;"",原始資料!M402=原始資料!L402),N(J402)+1,1))</f>
        <v/>
      </c>
      <c r="L402" s="6">
        <f>IF(OR(原始資料!$A402="",11&gt;設定!$B$3,原始資料!N402=""),"",IF(AND(原始資料!M402&lt;&gt;"",原始資料!N402=原始資料!M402),N(K402)+1,1))</f>
        <v/>
      </c>
      <c r="M402" s="6">
        <f>IF(OR(原始資料!$A402="",12&gt;設定!$B$3,原始資料!O402=""),"",IF(AND(原始資料!N402&lt;&gt;"",原始資料!O402=原始資料!N402),N(L402)+1,1))</f>
        <v/>
      </c>
      <c r="N402" s="6">
        <f>IF(OR(原始資料!$A402="",13&gt;設定!$B$3,原始資料!P402=""),"",IF(AND(原始資料!O402&lt;&gt;"",原始資料!P402=原始資料!O402),N(M402)+1,1))</f>
        <v/>
      </c>
      <c r="O402" s="6">
        <f>IF(OR(原始資料!$A402="",14&gt;設定!$B$3,原始資料!Q402=""),"",IF(AND(原始資料!P402&lt;&gt;"",原始資料!Q402=原始資料!P402),N(N402)+1,1))</f>
        <v/>
      </c>
      <c r="P402" s="6">
        <f>IF(OR(原始資料!$A402="",15&gt;設定!$B$3,原始資料!R402=""),"",IF(AND(原始資料!Q402&lt;&gt;"",原始資料!R402=原始資料!Q402),N(O402)+1,1))</f>
        <v/>
      </c>
      <c r="Q402" s="6">
        <f>IF(OR(原始資料!$A402="",16&gt;設定!$B$3,原始資料!S402=""),"",IF(AND(原始資料!R402&lt;&gt;"",原始資料!S402=原始資料!R402),N(P402)+1,1))</f>
        <v/>
      </c>
      <c r="R402" s="6">
        <f>IF(OR(原始資料!$A402="",17&gt;設定!$B$3,原始資料!T402=""),"",IF(AND(原始資料!S402&lt;&gt;"",原始資料!T402=原始資料!S402),N(Q402)+1,1))</f>
        <v/>
      </c>
      <c r="S402" s="6">
        <f>IF(OR(原始資料!$A402="",18&gt;設定!$B$3,原始資料!U402=""),"",IF(AND(原始資料!T402&lt;&gt;"",原始資料!U402=原始資料!T402),N(R402)+1,1))</f>
        <v/>
      </c>
      <c r="T402" s="6">
        <f>IF(OR(原始資料!$A402="",19&gt;設定!$B$3,原始資料!V402=""),"",IF(AND(原始資料!U402&lt;&gt;"",原始資料!V402=原始資料!U402),N(S402)+1,1))</f>
        <v/>
      </c>
      <c r="U402" s="6">
        <f>IF(OR(原始資料!$A402="",20&gt;設定!$B$3,原始資料!W402=""),"",IF(AND(原始資料!V402&lt;&gt;"",原始資料!W402=原始資料!V402),N(T402)+1,1))</f>
        <v/>
      </c>
      <c r="V402" s="6">
        <f>IF(OR(原始資料!$A402="",21&gt;設定!$B$3,原始資料!X402=""),"",IF(AND(原始資料!W402&lt;&gt;"",原始資料!X402=原始資料!W402),N(U402)+1,1))</f>
        <v/>
      </c>
      <c r="W402" s="6">
        <f>IF(OR(原始資料!$A402="",22&gt;設定!$B$3,原始資料!Y402=""),"",IF(AND(原始資料!X402&lt;&gt;"",原始資料!Y402=原始資料!X402),N(V402)+1,1))</f>
        <v/>
      </c>
      <c r="X402" s="6">
        <f>IF(OR(原始資料!$A402="",23&gt;設定!$B$3,原始資料!Z402=""),"",IF(AND(原始資料!Y402&lt;&gt;"",原始資料!Z402=原始資料!Y402),N(W402)+1,1))</f>
        <v/>
      </c>
      <c r="Y402" s="6">
        <f>IF(OR(原始資料!$A402="",24&gt;設定!$B$3,原始資料!AA402=""),"",IF(AND(原始資料!Z402&lt;&gt;"",原始資料!AA402=原始資料!Z402),N(X402)+1,1))</f>
        <v/>
      </c>
      <c r="Z402" s="6">
        <f>IF(OR(原始資料!$A402="",25&gt;設定!$B$3,原始資料!AB402=""),"",IF(AND(原始資料!AA402&lt;&gt;"",原始資料!AB402=原始資料!AA402),N(Y402)+1,1))</f>
        <v/>
      </c>
      <c r="AA402" s="6">
        <f>IF(OR(原始資料!$A402="",26&gt;設定!$B$3,原始資料!AC402=""),"",IF(AND(原始資料!AB402&lt;&gt;"",原始資料!AC402=原始資料!AB402),N(Z402)+1,1))</f>
        <v/>
      </c>
      <c r="AB402" s="6">
        <f>IF(OR(原始資料!$A402="",27&gt;設定!$B$3,原始資料!AD402=""),"",IF(AND(原始資料!AC402&lt;&gt;"",原始資料!AD402=原始資料!AC402),N(AA402)+1,1))</f>
        <v/>
      </c>
      <c r="AC402" s="6">
        <f>IF(OR(原始資料!$A402="",28&gt;設定!$B$3,原始資料!AE402=""),"",IF(AND(原始資料!AD402&lt;&gt;"",原始資料!AE402=原始資料!AD402),N(AB402)+1,1))</f>
        <v/>
      </c>
      <c r="AD402" s="6">
        <f>IF(OR(原始資料!$A402="",29&gt;設定!$B$3,原始資料!AF402=""),"",IF(AND(原始資料!AE402&lt;&gt;"",原始資料!AF402=原始資料!AE402),N(AC402)+1,1))</f>
        <v/>
      </c>
      <c r="AE402" s="6">
        <f>IF(OR(原始資料!$A402="",30&gt;設定!$B$3,原始資料!AG402=""),"",IF(AND(原始資料!AF402&lt;&gt;"",原始資料!AG402=原始資料!AF402),N(AD402)+1,1))</f>
        <v/>
      </c>
      <c r="AF402" s="6">
        <f>IF(OR(原始資料!$A402="",31&gt;設定!$B$3,原始資料!AH402=""),"",IF(AND(原始資料!AG402&lt;&gt;"",原始資料!AH402=原始資料!AG402),N(AE402)+1,1))</f>
        <v/>
      </c>
      <c r="AG402" s="6">
        <f>IF(OR(原始資料!$A402="",32&gt;設定!$B$3,原始資料!AI402=""),"",IF(AND(原始資料!AH402&lt;&gt;"",原始資料!AI402=原始資料!AH402),N(AF402)+1,1))</f>
        <v/>
      </c>
      <c r="AH402" s="6">
        <f>IF(OR(原始資料!$A402="",33&gt;設定!$B$3,原始資料!AJ402=""),"",IF(AND(原始資料!AI402&lt;&gt;"",原始資料!AJ402=原始資料!AI402),N(AG402)+1,1))</f>
        <v/>
      </c>
      <c r="AI402" s="6">
        <f>IF(OR(原始資料!$A402="",34&gt;設定!$B$3,原始資料!AK402=""),"",IF(AND(原始資料!AJ402&lt;&gt;"",原始資料!AK402=原始資料!AJ402),N(AH402)+1,1))</f>
        <v/>
      </c>
      <c r="AJ402" s="6">
        <f>IF(OR(原始資料!$A402="",35&gt;設定!$B$3,原始資料!AL402=""),"",IF(AND(原始資料!AK402&lt;&gt;"",原始資料!AL402=原始資料!AK402),N(AI402)+1,1))</f>
        <v/>
      </c>
      <c r="AK402" s="6">
        <f>IF(OR(原始資料!$A402="",36&gt;設定!$B$3,原始資料!AM402=""),"",IF(AND(原始資料!AL402&lt;&gt;"",原始資料!AM402=原始資料!AL402),N(AJ402)+1,1))</f>
        <v/>
      </c>
      <c r="AL402" s="6">
        <f>IF(OR(原始資料!$A402="",37&gt;設定!$B$3,原始資料!AN402=""),"",IF(AND(原始資料!AM402&lt;&gt;"",原始資料!AN402=原始資料!AM402),N(AK402)+1,1))</f>
        <v/>
      </c>
      <c r="AM402" s="6">
        <f>IF(OR(原始資料!$A402="",38&gt;設定!$B$3,原始資料!AO402=""),"",IF(AND(原始資料!AN402&lt;&gt;"",原始資料!AO402=原始資料!AN402),N(AL402)+1,1))</f>
        <v/>
      </c>
      <c r="AN402" s="6">
        <f>IF(OR(原始資料!$A402="",39&gt;設定!$B$3,原始資料!AP402=""),"",IF(AND(原始資料!AO402&lt;&gt;"",原始資料!AP402=原始資料!AO402),N(AM402)+1,1))</f>
        <v/>
      </c>
      <c r="AO402" s="6">
        <f>IF(OR(原始資料!$A402="",40&gt;設定!$B$3,原始資料!AQ402=""),"",IF(AND(原始資料!AP402&lt;&gt;"",原始資料!AQ402=原始資料!AP402),N(AN402)+1,1))</f>
        <v/>
      </c>
      <c r="AP402" s="6">
        <f>IF(OR(原始資料!$A402="",41&gt;設定!$B$3,原始資料!AR402=""),"",IF(AND(原始資料!AQ402&lt;&gt;"",原始資料!AR402=原始資料!AQ402),N(AO402)+1,1))</f>
        <v/>
      </c>
      <c r="AQ402" s="6">
        <f>IF(OR(原始資料!$A402="",42&gt;設定!$B$3,原始資料!AS402=""),"",IF(AND(原始資料!AR402&lt;&gt;"",原始資料!AS402=原始資料!AR402),N(AP402)+1,1))</f>
        <v/>
      </c>
      <c r="AR402" s="6">
        <f>IF(OR(原始資料!$A402="",43&gt;設定!$B$3,原始資料!AT402=""),"",IF(AND(原始資料!AS402&lt;&gt;"",原始資料!AT402=原始資料!AS402),N(AQ402)+1,1))</f>
        <v/>
      </c>
      <c r="AS402" s="6">
        <f>IF(OR(原始資料!$A402="",44&gt;設定!$B$3,原始資料!AU402=""),"",IF(AND(原始資料!AT402&lt;&gt;"",原始資料!AU402=原始資料!AT402),N(AR402)+1,1))</f>
        <v/>
      </c>
      <c r="AT402" s="6">
        <f>IF(OR(原始資料!$A402="",45&gt;設定!$B$3,原始資料!AV402=""),"",IF(AND(原始資料!AU402&lt;&gt;"",原始資料!AV402=原始資料!AU402),N(AS402)+1,1))</f>
        <v/>
      </c>
      <c r="AU402" s="6">
        <f>IF(OR(原始資料!$A402="",46&gt;設定!$B$3,原始資料!AW402=""),"",IF(AND(原始資料!AV402&lt;&gt;"",原始資料!AW402=原始資料!AV402),N(AT402)+1,1))</f>
        <v/>
      </c>
      <c r="AV402" s="6">
        <f>IF(OR(原始資料!$A402="",47&gt;設定!$B$3,原始資料!AX402=""),"",IF(AND(原始資料!AW402&lt;&gt;"",原始資料!AX402=原始資料!AW402),N(AU402)+1,1))</f>
        <v/>
      </c>
      <c r="AW402" s="6">
        <f>IF(OR(原始資料!$A402="",48&gt;設定!$B$3,原始資料!AY402=""),"",IF(AND(原始資料!AX402&lt;&gt;"",原始資料!AY402=原始資料!AX402),N(AV402)+1,1))</f>
        <v/>
      </c>
      <c r="AX402" s="6">
        <f>IF(OR(原始資料!$A402="",49&gt;設定!$B$3,原始資料!AZ402=""),"",IF(AND(原始資料!AY402&lt;&gt;"",原始資料!AZ402=原始資料!AY402),N(AW402)+1,1))</f>
        <v/>
      </c>
      <c r="AY402" s="6">
        <f>IF(OR(原始資料!$A402="",50&gt;設定!$B$3,原始資料!BA402=""),"",IF(AND(原始資料!AZ402&lt;&gt;"",原始資料!BA402=原始資料!AZ402),N(AX402)+1,1))</f>
        <v/>
      </c>
      <c r="AZ402" s="6">
        <f>IF(OR(原始資料!$A402="",51&gt;設定!$B$3,原始資料!BB402=""),"",IF(AND(原始資料!BA402&lt;&gt;"",原始資料!BB402=原始資料!BA402),N(AY402)+1,1))</f>
        <v/>
      </c>
      <c r="BA402" s="6">
        <f>IF(OR(原始資料!$A402="",52&gt;設定!$B$3,原始資料!BC402=""),"",IF(AND(原始資料!BB402&lt;&gt;"",原始資料!BC402=原始資料!BB402),N(AZ402)+1,1))</f>
        <v/>
      </c>
      <c r="BB402" s="6">
        <f>IF(OR(原始資料!$A402="",53&gt;設定!$B$3,原始資料!BD402=""),"",IF(AND(原始資料!BC402&lt;&gt;"",原始資料!BD402=原始資料!BC402),N(BA402)+1,1))</f>
        <v/>
      </c>
      <c r="BC402" s="6">
        <f>IF(OR(原始資料!$A402="",54&gt;設定!$B$3,原始資料!BE402=""),"",IF(AND(原始資料!BD402&lt;&gt;"",原始資料!BE402=原始資料!BD402),N(BB402)+1,1))</f>
        <v/>
      </c>
      <c r="BD402" s="6">
        <f>IF(OR(原始資料!$A402="",55&gt;設定!$B$3,原始資料!BF402=""),"",IF(AND(原始資料!BE402&lt;&gt;"",原始資料!BF402=原始資料!BE402),N(BC402)+1,1))</f>
        <v/>
      </c>
      <c r="BE402" s="6">
        <f>IF(OR(原始資料!$A402="",56&gt;設定!$B$3,原始資料!BG402=""),"",IF(AND(原始資料!BF402&lt;&gt;"",原始資料!BG402=原始資料!BF402),N(BD402)+1,1))</f>
        <v/>
      </c>
      <c r="BF402" s="6">
        <f>IF(OR(原始資料!$A402="",57&gt;設定!$B$3,原始資料!BH402=""),"",IF(AND(原始資料!BG402&lt;&gt;"",原始資料!BH402=原始資料!BG402),N(BE402)+1,1))</f>
        <v/>
      </c>
      <c r="BG402" s="6">
        <f>IF(OR(原始資料!$A402="",58&gt;設定!$B$3,原始資料!BI402=""),"",IF(AND(原始資料!BH402&lt;&gt;"",原始資料!BI402=原始資料!BH402),N(BF402)+1,1))</f>
        <v/>
      </c>
      <c r="BH402" s="6">
        <f>IF(OR(原始資料!$A402="",59&gt;設定!$B$3,原始資料!BJ402=""),"",IF(AND(原始資料!BI402&lt;&gt;"",原始資料!BJ402=原始資料!BI402),N(BG402)+1,1))</f>
        <v/>
      </c>
      <c r="BI402" s="6">
        <f>IF(OR(原始資料!$A402="",60&gt;設定!$B$3,原始資料!BK402=""),"",IF(AND(原始資料!BJ402&lt;&gt;"",原始資料!BK402=原始資料!BJ402),N(BH402)+1,1))</f>
        <v/>
      </c>
    </row>
    <row r="403">
      <c r="A403" s="6">
        <f>IF(原始資料!$A403="","",原始資料!$A403)</f>
        <v/>
      </c>
      <c r="B403" s="6">
        <f>IF(OR(原始資料!$A403="",1&gt;設定!$B$3,原始資料!D403=""),"",1)</f>
        <v/>
      </c>
      <c r="C403" s="6">
        <f>IF(OR(原始資料!$A403="",2&gt;設定!$B$3,原始資料!E403=""),"",IF(AND(原始資料!D403&lt;&gt;"",原始資料!E403=原始資料!D403),N(B403)+1,1))</f>
        <v/>
      </c>
      <c r="D403" s="6">
        <f>IF(OR(原始資料!$A403="",3&gt;設定!$B$3,原始資料!F403=""),"",IF(AND(原始資料!E403&lt;&gt;"",原始資料!F403=原始資料!E403),N(C403)+1,1))</f>
        <v/>
      </c>
      <c r="E403" s="6">
        <f>IF(OR(原始資料!$A403="",4&gt;設定!$B$3,原始資料!G403=""),"",IF(AND(原始資料!F403&lt;&gt;"",原始資料!G403=原始資料!F403),N(D403)+1,1))</f>
        <v/>
      </c>
      <c r="F403" s="6">
        <f>IF(OR(原始資料!$A403="",5&gt;設定!$B$3,原始資料!H403=""),"",IF(AND(原始資料!G403&lt;&gt;"",原始資料!H403=原始資料!G403),N(E403)+1,1))</f>
        <v/>
      </c>
      <c r="G403" s="6">
        <f>IF(OR(原始資料!$A403="",6&gt;設定!$B$3,原始資料!I403=""),"",IF(AND(原始資料!H403&lt;&gt;"",原始資料!I403=原始資料!H403),N(F403)+1,1))</f>
        <v/>
      </c>
      <c r="H403" s="6">
        <f>IF(OR(原始資料!$A403="",7&gt;設定!$B$3,原始資料!J403=""),"",IF(AND(原始資料!I403&lt;&gt;"",原始資料!J403=原始資料!I403),N(G403)+1,1))</f>
        <v/>
      </c>
      <c r="I403" s="6">
        <f>IF(OR(原始資料!$A403="",8&gt;設定!$B$3,原始資料!K403=""),"",IF(AND(原始資料!J403&lt;&gt;"",原始資料!K403=原始資料!J403),N(H403)+1,1))</f>
        <v/>
      </c>
      <c r="J403" s="6">
        <f>IF(OR(原始資料!$A403="",9&gt;設定!$B$3,原始資料!L403=""),"",IF(AND(原始資料!K403&lt;&gt;"",原始資料!L403=原始資料!K403),N(I403)+1,1))</f>
        <v/>
      </c>
      <c r="K403" s="6">
        <f>IF(OR(原始資料!$A403="",10&gt;設定!$B$3,原始資料!M403=""),"",IF(AND(原始資料!L403&lt;&gt;"",原始資料!M403=原始資料!L403),N(J403)+1,1))</f>
        <v/>
      </c>
      <c r="L403" s="6">
        <f>IF(OR(原始資料!$A403="",11&gt;設定!$B$3,原始資料!N403=""),"",IF(AND(原始資料!M403&lt;&gt;"",原始資料!N403=原始資料!M403),N(K403)+1,1))</f>
        <v/>
      </c>
      <c r="M403" s="6">
        <f>IF(OR(原始資料!$A403="",12&gt;設定!$B$3,原始資料!O403=""),"",IF(AND(原始資料!N403&lt;&gt;"",原始資料!O403=原始資料!N403),N(L403)+1,1))</f>
        <v/>
      </c>
      <c r="N403" s="6">
        <f>IF(OR(原始資料!$A403="",13&gt;設定!$B$3,原始資料!P403=""),"",IF(AND(原始資料!O403&lt;&gt;"",原始資料!P403=原始資料!O403),N(M403)+1,1))</f>
        <v/>
      </c>
      <c r="O403" s="6">
        <f>IF(OR(原始資料!$A403="",14&gt;設定!$B$3,原始資料!Q403=""),"",IF(AND(原始資料!P403&lt;&gt;"",原始資料!Q403=原始資料!P403),N(N403)+1,1))</f>
        <v/>
      </c>
      <c r="P403" s="6">
        <f>IF(OR(原始資料!$A403="",15&gt;設定!$B$3,原始資料!R403=""),"",IF(AND(原始資料!Q403&lt;&gt;"",原始資料!R403=原始資料!Q403),N(O403)+1,1))</f>
        <v/>
      </c>
      <c r="Q403" s="6">
        <f>IF(OR(原始資料!$A403="",16&gt;設定!$B$3,原始資料!S403=""),"",IF(AND(原始資料!R403&lt;&gt;"",原始資料!S403=原始資料!R403),N(P403)+1,1))</f>
        <v/>
      </c>
      <c r="R403" s="6">
        <f>IF(OR(原始資料!$A403="",17&gt;設定!$B$3,原始資料!T403=""),"",IF(AND(原始資料!S403&lt;&gt;"",原始資料!T403=原始資料!S403),N(Q403)+1,1))</f>
        <v/>
      </c>
      <c r="S403" s="6">
        <f>IF(OR(原始資料!$A403="",18&gt;設定!$B$3,原始資料!U403=""),"",IF(AND(原始資料!T403&lt;&gt;"",原始資料!U403=原始資料!T403),N(R403)+1,1))</f>
        <v/>
      </c>
      <c r="T403" s="6">
        <f>IF(OR(原始資料!$A403="",19&gt;設定!$B$3,原始資料!V403=""),"",IF(AND(原始資料!U403&lt;&gt;"",原始資料!V403=原始資料!U403),N(S403)+1,1))</f>
        <v/>
      </c>
      <c r="U403" s="6">
        <f>IF(OR(原始資料!$A403="",20&gt;設定!$B$3,原始資料!W403=""),"",IF(AND(原始資料!V403&lt;&gt;"",原始資料!W403=原始資料!V403),N(T403)+1,1))</f>
        <v/>
      </c>
      <c r="V403" s="6">
        <f>IF(OR(原始資料!$A403="",21&gt;設定!$B$3,原始資料!X403=""),"",IF(AND(原始資料!W403&lt;&gt;"",原始資料!X403=原始資料!W403),N(U403)+1,1))</f>
        <v/>
      </c>
      <c r="W403" s="6">
        <f>IF(OR(原始資料!$A403="",22&gt;設定!$B$3,原始資料!Y403=""),"",IF(AND(原始資料!X403&lt;&gt;"",原始資料!Y403=原始資料!X403),N(V403)+1,1))</f>
        <v/>
      </c>
      <c r="X403" s="6">
        <f>IF(OR(原始資料!$A403="",23&gt;設定!$B$3,原始資料!Z403=""),"",IF(AND(原始資料!Y403&lt;&gt;"",原始資料!Z403=原始資料!Y403),N(W403)+1,1))</f>
        <v/>
      </c>
      <c r="Y403" s="6">
        <f>IF(OR(原始資料!$A403="",24&gt;設定!$B$3,原始資料!AA403=""),"",IF(AND(原始資料!Z403&lt;&gt;"",原始資料!AA403=原始資料!Z403),N(X403)+1,1))</f>
        <v/>
      </c>
      <c r="Z403" s="6">
        <f>IF(OR(原始資料!$A403="",25&gt;設定!$B$3,原始資料!AB403=""),"",IF(AND(原始資料!AA403&lt;&gt;"",原始資料!AB403=原始資料!AA403),N(Y403)+1,1))</f>
        <v/>
      </c>
      <c r="AA403" s="6">
        <f>IF(OR(原始資料!$A403="",26&gt;設定!$B$3,原始資料!AC403=""),"",IF(AND(原始資料!AB403&lt;&gt;"",原始資料!AC403=原始資料!AB403),N(Z403)+1,1))</f>
        <v/>
      </c>
      <c r="AB403" s="6">
        <f>IF(OR(原始資料!$A403="",27&gt;設定!$B$3,原始資料!AD403=""),"",IF(AND(原始資料!AC403&lt;&gt;"",原始資料!AD403=原始資料!AC403),N(AA403)+1,1))</f>
        <v/>
      </c>
      <c r="AC403" s="6">
        <f>IF(OR(原始資料!$A403="",28&gt;設定!$B$3,原始資料!AE403=""),"",IF(AND(原始資料!AD403&lt;&gt;"",原始資料!AE403=原始資料!AD403),N(AB403)+1,1))</f>
        <v/>
      </c>
      <c r="AD403" s="6">
        <f>IF(OR(原始資料!$A403="",29&gt;設定!$B$3,原始資料!AF403=""),"",IF(AND(原始資料!AE403&lt;&gt;"",原始資料!AF403=原始資料!AE403),N(AC403)+1,1))</f>
        <v/>
      </c>
      <c r="AE403" s="6">
        <f>IF(OR(原始資料!$A403="",30&gt;設定!$B$3,原始資料!AG403=""),"",IF(AND(原始資料!AF403&lt;&gt;"",原始資料!AG403=原始資料!AF403),N(AD403)+1,1))</f>
        <v/>
      </c>
      <c r="AF403" s="6">
        <f>IF(OR(原始資料!$A403="",31&gt;設定!$B$3,原始資料!AH403=""),"",IF(AND(原始資料!AG403&lt;&gt;"",原始資料!AH403=原始資料!AG403),N(AE403)+1,1))</f>
        <v/>
      </c>
      <c r="AG403" s="6">
        <f>IF(OR(原始資料!$A403="",32&gt;設定!$B$3,原始資料!AI403=""),"",IF(AND(原始資料!AH403&lt;&gt;"",原始資料!AI403=原始資料!AH403),N(AF403)+1,1))</f>
        <v/>
      </c>
      <c r="AH403" s="6">
        <f>IF(OR(原始資料!$A403="",33&gt;設定!$B$3,原始資料!AJ403=""),"",IF(AND(原始資料!AI403&lt;&gt;"",原始資料!AJ403=原始資料!AI403),N(AG403)+1,1))</f>
        <v/>
      </c>
      <c r="AI403" s="6">
        <f>IF(OR(原始資料!$A403="",34&gt;設定!$B$3,原始資料!AK403=""),"",IF(AND(原始資料!AJ403&lt;&gt;"",原始資料!AK403=原始資料!AJ403),N(AH403)+1,1))</f>
        <v/>
      </c>
      <c r="AJ403" s="6">
        <f>IF(OR(原始資料!$A403="",35&gt;設定!$B$3,原始資料!AL403=""),"",IF(AND(原始資料!AK403&lt;&gt;"",原始資料!AL403=原始資料!AK403),N(AI403)+1,1))</f>
        <v/>
      </c>
      <c r="AK403" s="6">
        <f>IF(OR(原始資料!$A403="",36&gt;設定!$B$3,原始資料!AM403=""),"",IF(AND(原始資料!AL403&lt;&gt;"",原始資料!AM403=原始資料!AL403),N(AJ403)+1,1))</f>
        <v/>
      </c>
      <c r="AL403" s="6">
        <f>IF(OR(原始資料!$A403="",37&gt;設定!$B$3,原始資料!AN403=""),"",IF(AND(原始資料!AM403&lt;&gt;"",原始資料!AN403=原始資料!AM403),N(AK403)+1,1))</f>
        <v/>
      </c>
      <c r="AM403" s="6">
        <f>IF(OR(原始資料!$A403="",38&gt;設定!$B$3,原始資料!AO403=""),"",IF(AND(原始資料!AN403&lt;&gt;"",原始資料!AO403=原始資料!AN403),N(AL403)+1,1))</f>
        <v/>
      </c>
      <c r="AN403" s="6">
        <f>IF(OR(原始資料!$A403="",39&gt;設定!$B$3,原始資料!AP403=""),"",IF(AND(原始資料!AO403&lt;&gt;"",原始資料!AP403=原始資料!AO403),N(AM403)+1,1))</f>
        <v/>
      </c>
      <c r="AO403" s="6">
        <f>IF(OR(原始資料!$A403="",40&gt;設定!$B$3,原始資料!AQ403=""),"",IF(AND(原始資料!AP403&lt;&gt;"",原始資料!AQ403=原始資料!AP403),N(AN403)+1,1))</f>
        <v/>
      </c>
      <c r="AP403" s="6">
        <f>IF(OR(原始資料!$A403="",41&gt;設定!$B$3,原始資料!AR403=""),"",IF(AND(原始資料!AQ403&lt;&gt;"",原始資料!AR403=原始資料!AQ403),N(AO403)+1,1))</f>
        <v/>
      </c>
      <c r="AQ403" s="6">
        <f>IF(OR(原始資料!$A403="",42&gt;設定!$B$3,原始資料!AS403=""),"",IF(AND(原始資料!AR403&lt;&gt;"",原始資料!AS403=原始資料!AR403),N(AP403)+1,1))</f>
        <v/>
      </c>
      <c r="AR403" s="6">
        <f>IF(OR(原始資料!$A403="",43&gt;設定!$B$3,原始資料!AT403=""),"",IF(AND(原始資料!AS403&lt;&gt;"",原始資料!AT403=原始資料!AS403),N(AQ403)+1,1))</f>
        <v/>
      </c>
      <c r="AS403" s="6">
        <f>IF(OR(原始資料!$A403="",44&gt;設定!$B$3,原始資料!AU403=""),"",IF(AND(原始資料!AT403&lt;&gt;"",原始資料!AU403=原始資料!AT403),N(AR403)+1,1))</f>
        <v/>
      </c>
      <c r="AT403" s="6">
        <f>IF(OR(原始資料!$A403="",45&gt;設定!$B$3,原始資料!AV403=""),"",IF(AND(原始資料!AU403&lt;&gt;"",原始資料!AV403=原始資料!AU403),N(AS403)+1,1))</f>
        <v/>
      </c>
      <c r="AU403" s="6">
        <f>IF(OR(原始資料!$A403="",46&gt;設定!$B$3,原始資料!AW403=""),"",IF(AND(原始資料!AV403&lt;&gt;"",原始資料!AW403=原始資料!AV403),N(AT403)+1,1))</f>
        <v/>
      </c>
      <c r="AV403" s="6">
        <f>IF(OR(原始資料!$A403="",47&gt;設定!$B$3,原始資料!AX403=""),"",IF(AND(原始資料!AW403&lt;&gt;"",原始資料!AX403=原始資料!AW403),N(AU403)+1,1))</f>
        <v/>
      </c>
      <c r="AW403" s="6">
        <f>IF(OR(原始資料!$A403="",48&gt;設定!$B$3,原始資料!AY403=""),"",IF(AND(原始資料!AX403&lt;&gt;"",原始資料!AY403=原始資料!AX403),N(AV403)+1,1))</f>
        <v/>
      </c>
      <c r="AX403" s="6">
        <f>IF(OR(原始資料!$A403="",49&gt;設定!$B$3,原始資料!AZ403=""),"",IF(AND(原始資料!AY403&lt;&gt;"",原始資料!AZ403=原始資料!AY403),N(AW403)+1,1))</f>
        <v/>
      </c>
      <c r="AY403" s="6">
        <f>IF(OR(原始資料!$A403="",50&gt;設定!$B$3,原始資料!BA403=""),"",IF(AND(原始資料!AZ403&lt;&gt;"",原始資料!BA403=原始資料!AZ403),N(AX403)+1,1))</f>
        <v/>
      </c>
      <c r="AZ403" s="6">
        <f>IF(OR(原始資料!$A403="",51&gt;設定!$B$3,原始資料!BB403=""),"",IF(AND(原始資料!BA403&lt;&gt;"",原始資料!BB403=原始資料!BA403),N(AY403)+1,1))</f>
        <v/>
      </c>
      <c r="BA403" s="6">
        <f>IF(OR(原始資料!$A403="",52&gt;設定!$B$3,原始資料!BC403=""),"",IF(AND(原始資料!BB403&lt;&gt;"",原始資料!BC403=原始資料!BB403),N(AZ403)+1,1))</f>
        <v/>
      </c>
      <c r="BB403" s="6">
        <f>IF(OR(原始資料!$A403="",53&gt;設定!$B$3,原始資料!BD403=""),"",IF(AND(原始資料!BC403&lt;&gt;"",原始資料!BD403=原始資料!BC403),N(BA403)+1,1))</f>
        <v/>
      </c>
      <c r="BC403" s="6">
        <f>IF(OR(原始資料!$A403="",54&gt;設定!$B$3,原始資料!BE403=""),"",IF(AND(原始資料!BD403&lt;&gt;"",原始資料!BE403=原始資料!BD403),N(BB403)+1,1))</f>
        <v/>
      </c>
      <c r="BD403" s="6">
        <f>IF(OR(原始資料!$A403="",55&gt;設定!$B$3,原始資料!BF403=""),"",IF(AND(原始資料!BE403&lt;&gt;"",原始資料!BF403=原始資料!BE403),N(BC403)+1,1))</f>
        <v/>
      </c>
      <c r="BE403" s="6">
        <f>IF(OR(原始資料!$A403="",56&gt;設定!$B$3,原始資料!BG403=""),"",IF(AND(原始資料!BF403&lt;&gt;"",原始資料!BG403=原始資料!BF403),N(BD403)+1,1))</f>
        <v/>
      </c>
      <c r="BF403" s="6">
        <f>IF(OR(原始資料!$A403="",57&gt;設定!$B$3,原始資料!BH403=""),"",IF(AND(原始資料!BG403&lt;&gt;"",原始資料!BH403=原始資料!BG403),N(BE403)+1,1))</f>
        <v/>
      </c>
      <c r="BG403" s="6">
        <f>IF(OR(原始資料!$A403="",58&gt;設定!$B$3,原始資料!BI403=""),"",IF(AND(原始資料!BH403&lt;&gt;"",原始資料!BI403=原始資料!BH403),N(BF403)+1,1))</f>
        <v/>
      </c>
      <c r="BH403" s="6">
        <f>IF(OR(原始資料!$A403="",59&gt;設定!$B$3,原始資料!BJ403=""),"",IF(AND(原始資料!BI403&lt;&gt;"",原始資料!BJ403=原始資料!BI403),N(BG403)+1,1))</f>
        <v/>
      </c>
      <c r="BI403" s="6">
        <f>IF(OR(原始資料!$A403="",60&gt;設定!$B$3,原始資料!BK403=""),"",IF(AND(原始資料!BJ403&lt;&gt;"",原始資料!BK403=原始資料!BJ403),N(BH403)+1,1))</f>
        <v/>
      </c>
    </row>
    <row r="404">
      <c r="A404" s="6">
        <f>IF(原始資料!$A404="","",原始資料!$A404)</f>
        <v/>
      </c>
      <c r="B404" s="6">
        <f>IF(OR(原始資料!$A404="",1&gt;設定!$B$3,原始資料!D404=""),"",1)</f>
        <v/>
      </c>
      <c r="C404" s="6">
        <f>IF(OR(原始資料!$A404="",2&gt;設定!$B$3,原始資料!E404=""),"",IF(AND(原始資料!D404&lt;&gt;"",原始資料!E404=原始資料!D404),N(B404)+1,1))</f>
        <v/>
      </c>
      <c r="D404" s="6">
        <f>IF(OR(原始資料!$A404="",3&gt;設定!$B$3,原始資料!F404=""),"",IF(AND(原始資料!E404&lt;&gt;"",原始資料!F404=原始資料!E404),N(C404)+1,1))</f>
        <v/>
      </c>
      <c r="E404" s="6">
        <f>IF(OR(原始資料!$A404="",4&gt;設定!$B$3,原始資料!G404=""),"",IF(AND(原始資料!F404&lt;&gt;"",原始資料!G404=原始資料!F404),N(D404)+1,1))</f>
        <v/>
      </c>
      <c r="F404" s="6">
        <f>IF(OR(原始資料!$A404="",5&gt;設定!$B$3,原始資料!H404=""),"",IF(AND(原始資料!G404&lt;&gt;"",原始資料!H404=原始資料!G404),N(E404)+1,1))</f>
        <v/>
      </c>
      <c r="G404" s="6">
        <f>IF(OR(原始資料!$A404="",6&gt;設定!$B$3,原始資料!I404=""),"",IF(AND(原始資料!H404&lt;&gt;"",原始資料!I404=原始資料!H404),N(F404)+1,1))</f>
        <v/>
      </c>
      <c r="H404" s="6">
        <f>IF(OR(原始資料!$A404="",7&gt;設定!$B$3,原始資料!J404=""),"",IF(AND(原始資料!I404&lt;&gt;"",原始資料!J404=原始資料!I404),N(G404)+1,1))</f>
        <v/>
      </c>
      <c r="I404" s="6">
        <f>IF(OR(原始資料!$A404="",8&gt;設定!$B$3,原始資料!K404=""),"",IF(AND(原始資料!J404&lt;&gt;"",原始資料!K404=原始資料!J404),N(H404)+1,1))</f>
        <v/>
      </c>
      <c r="J404" s="6">
        <f>IF(OR(原始資料!$A404="",9&gt;設定!$B$3,原始資料!L404=""),"",IF(AND(原始資料!K404&lt;&gt;"",原始資料!L404=原始資料!K404),N(I404)+1,1))</f>
        <v/>
      </c>
      <c r="K404" s="6">
        <f>IF(OR(原始資料!$A404="",10&gt;設定!$B$3,原始資料!M404=""),"",IF(AND(原始資料!L404&lt;&gt;"",原始資料!M404=原始資料!L404),N(J404)+1,1))</f>
        <v/>
      </c>
      <c r="L404" s="6">
        <f>IF(OR(原始資料!$A404="",11&gt;設定!$B$3,原始資料!N404=""),"",IF(AND(原始資料!M404&lt;&gt;"",原始資料!N404=原始資料!M404),N(K404)+1,1))</f>
        <v/>
      </c>
      <c r="M404" s="6">
        <f>IF(OR(原始資料!$A404="",12&gt;設定!$B$3,原始資料!O404=""),"",IF(AND(原始資料!N404&lt;&gt;"",原始資料!O404=原始資料!N404),N(L404)+1,1))</f>
        <v/>
      </c>
      <c r="N404" s="6">
        <f>IF(OR(原始資料!$A404="",13&gt;設定!$B$3,原始資料!P404=""),"",IF(AND(原始資料!O404&lt;&gt;"",原始資料!P404=原始資料!O404),N(M404)+1,1))</f>
        <v/>
      </c>
      <c r="O404" s="6">
        <f>IF(OR(原始資料!$A404="",14&gt;設定!$B$3,原始資料!Q404=""),"",IF(AND(原始資料!P404&lt;&gt;"",原始資料!Q404=原始資料!P404),N(N404)+1,1))</f>
        <v/>
      </c>
      <c r="P404" s="6">
        <f>IF(OR(原始資料!$A404="",15&gt;設定!$B$3,原始資料!R404=""),"",IF(AND(原始資料!Q404&lt;&gt;"",原始資料!R404=原始資料!Q404),N(O404)+1,1))</f>
        <v/>
      </c>
      <c r="Q404" s="6">
        <f>IF(OR(原始資料!$A404="",16&gt;設定!$B$3,原始資料!S404=""),"",IF(AND(原始資料!R404&lt;&gt;"",原始資料!S404=原始資料!R404),N(P404)+1,1))</f>
        <v/>
      </c>
      <c r="R404" s="6">
        <f>IF(OR(原始資料!$A404="",17&gt;設定!$B$3,原始資料!T404=""),"",IF(AND(原始資料!S404&lt;&gt;"",原始資料!T404=原始資料!S404),N(Q404)+1,1))</f>
        <v/>
      </c>
      <c r="S404" s="6">
        <f>IF(OR(原始資料!$A404="",18&gt;設定!$B$3,原始資料!U404=""),"",IF(AND(原始資料!T404&lt;&gt;"",原始資料!U404=原始資料!T404),N(R404)+1,1))</f>
        <v/>
      </c>
      <c r="T404" s="6">
        <f>IF(OR(原始資料!$A404="",19&gt;設定!$B$3,原始資料!V404=""),"",IF(AND(原始資料!U404&lt;&gt;"",原始資料!V404=原始資料!U404),N(S404)+1,1))</f>
        <v/>
      </c>
      <c r="U404" s="6">
        <f>IF(OR(原始資料!$A404="",20&gt;設定!$B$3,原始資料!W404=""),"",IF(AND(原始資料!V404&lt;&gt;"",原始資料!W404=原始資料!V404),N(T404)+1,1))</f>
        <v/>
      </c>
      <c r="V404" s="6">
        <f>IF(OR(原始資料!$A404="",21&gt;設定!$B$3,原始資料!X404=""),"",IF(AND(原始資料!W404&lt;&gt;"",原始資料!X404=原始資料!W404),N(U404)+1,1))</f>
        <v/>
      </c>
      <c r="W404" s="6">
        <f>IF(OR(原始資料!$A404="",22&gt;設定!$B$3,原始資料!Y404=""),"",IF(AND(原始資料!X404&lt;&gt;"",原始資料!Y404=原始資料!X404),N(V404)+1,1))</f>
        <v/>
      </c>
      <c r="X404" s="6">
        <f>IF(OR(原始資料!$A404="",23&gt;設定!$B$3,原始資料!Z404=""),"",IF(AND(原始資料!Y404&lt;&gt;"",原始資料!Z404=原始資料!Y404),N(W404)+1,1))</f>
        <v/>
      </c>
      <c r="Y404" s="6">
        <f>IF(OR(原始資料!$A404="",24&gt;設定!$B$3,原始資料!AA404=""),"",IF(AND(原始資料!Z404&lt;&gt;"",原始資料!AA404=原始資料!Z404),N(X404)+1,1))</f>
        <v/>
      </c>
      <c r="Z404" s="6">
        <f>IF(OR(原始資料!$A404="",25&gt;設定!$B$3,原始資料!AB404=""),"",IF(AND(原始資料!AA404&lt;&gt;"",原始資料!AB404=原始資料!AA404),N(Y404)+1,1))</f>
        <v/>
      </c>
      <c r="AA404" s="6">
        <f>IF(OR(原始資料!$A404="",26&gt;設定!$B$3,原始資料!AC404=""),"",IF(AND(原始資料!AB404&lt;&gt;"",原始資料!AC404=原始資料!AB404),N(Z404)+1,1))</f>
        <v/>
      </c>
      <c r="AB404" s="6">
        <f>IF(OR(原始資料!$A404="",27&gt;設定!$B$3,原始資料!AD404=""),"",IF(AND(原始資料!AC404&lt;&gt;"",原始資料!AD404=原始資料!AC404),N(AA404)+1,1))</f>
        <v/>
      </c>
      <c r="AC404" s="6">
        <f>IF(OR(原始資料!$A404="",28&gt;設定!$B$3,原始資料!AE404=""),"",IF(AND(原始資料!AD404&lt;&gt;"",原始資料!AE404=原始資料!AD404),N(AB404)+1,1))</f>
        <v/>
      </c>
      <c r="AD404" s="6">
        <f>IF(OR(原始資料!$A404="",29&gt;設定!$B$3,原始資料!AF404=""),"",IF(AND(原始資料!AE404&lt;&gt;"",原始資料!AF404=原始資料!AE404),N(AC404)+1,1))</f>
        <v/>
      </c>
      <c r="AE404" s="6">
        <f>IF(OR(原始資料!$A404="",30&gt;設定!$B$3,原始資料!AG404=""),"",IF(AND(原始資料!AF404&lt;&gt;"",原始資料!AG404=原始資料!AF404),N(AD404)+1,1))</f>
        <v/>
      </c>
      <c r="AF404" s="6">
        <f>IF(OR(原始資料!$A404="",31&gt;設定!$B$3,原始資料!AH404=""),"",IF(AND(原始資料!AG404&lt;&gt;"",原始資料!AH404=原始資料!AG404),N(AE404)+1,1))</f>
        <v/>
      </c>
      <c r="AG404" s="6">
        <f>IF(OR(原始資料!$A404="",32&gt;設定!$B$3,原始資料!AI404=""),"",IF(AND(原始資料!AH404&lt;&gt;"",原始資料!AI404=原始資料!AH404),N(AF404)+1,1))</f>
        <v/>
      </c>
      <c r="AH404" s="6">
        <f>IF(OR(原始資料!$A404="",33&gt;設定!$B$3,原始資料!AJ404=""),"",IF(AND(原始資料!AI404&lt;&gt;"",原始資料!AJ404=原始資料!AI404),N(AG404)+1,1))</f>
        <v/>
      </c>
      <c r="AI404" s="6">
        <f>IF(OR(原始資料!$A404="",34&gt;設定!$B$3,原始資料!AK404=""),"",IF(AND(原始資料!AJ404&lt;&gt;"",原始資料!AK404=原始資料!AJ404),N(AH404)+1,1))</f>
        <v/>
      </c>
      <c r="AJ404" s="6">
        <f>IF(OR(原始資料!$A404="",35&gt;設定!$B$3,原始資料!AL404=""),"",IF(AND(原始資料!AK404&lt;&gt;"",原始資料!AL404=原始資料!AK404),N(AI404)+1,1))</f>
        <v/>
      </c>
      <c r="AK404" s="6">
        <f>IF(OR(原始資料!$A404="",36&gt;設定!$B$3,原始資料!AM404=""),"",IF(AND(原始資料!AL404&lt;&gt;"",原始資料!AM404=原始資料!AL404),N(AJ404)+1,1))</f>
        <v/>
      </c>
      <c r="AL404" s="6">
        <f>IF(OR(原始資料!$A404="",37&gt;設定!$B$3,原始資料!AN404=""),"",IF(AND(原始資料!AM404&lt;&gt;"",原始資料!AN404=原始資料!AM404),N(AK404)+1,1))</f>
        <v/>
      </c>
      <c r="AM404" s="6">
        <f>IF(OR(原始資料!$A404="",38&gt;設定!$B$3,原始資料!AO404=""),"",IF(AND(原始資料!AN404&lt;&gt;"",原始資料!AO404=原始資料!AN404),N(AL404)+1,1))</f>
        <v/>
      </c>
      <c r="AN404" s="6">
        <f>IF(OR(原始資料!$A404="",39&gt;設定!$B$3,原始資料!AP404=""),"",IF(AND(原始資料!AO404&lt;&gt;"",原始資料!AP404=原始資料!AO404),N(AM404)+1,1))</f>
        <v/>
      </c>
      <c r="AO404" s="6">
        <f>IF(OR(原始資料!$A404="",40&gt;設定!$B$3,原始資料!AQ404=""),"",IF(AND(原始資料!AP404&lt;&gt;"",原始資料!AQ404=原始資料!AP404),N(AN404)+1,1))</f>
        <v/>
      </c>
      <c r="AP404" s="6">
        <f>IF(OR(原始資料!$A404="",41&gt;設定!$B$3,原始資料!AR404=""),"",IF(AND(原始資料!AQ404&lt;&gt;"",原始資料!AR404=原始資料!AQ404),N(AO404)+1,1))</f>
        <v/>
      </c>
      <c r="AQ404" s="6">
        <f>IF(OR(原始資料!$A404="",42&gt;設定!$B$3,原始資料!AS404=""),"",IF(AND(原始資料!AR404&lt;&gt;"",原始資料!AS404=原始資料!AR404),N(AP404)+1,1))</f>
        <v/>
      </c>
      <c r="AR404" s="6">
        <f>IF(OR(原始資料!$A404="",43&gt;設定!$B$3,原始資料!AT404=""),"",IF(AND(原始資料!AS404&lt;&gt;"",原始資料!AT404=原始資料!AS404),N(AQ404)+1,1))</f>
        <v/>
      </c>
      <c r="AS404" s="6">
        <f>IF(OR(原始資料!$A404="",44&gt;設定!$B$3,原始資料!AU404=""),"",IF(AND(原始資料!AT404&lt;&gt;"",原始資料!AU404=原始資料!AT404),N(AR404)+1,1))</f>
        <v/>
      </c>
      <c r="AT404" s="6">
        <f>IF(OR(原始資料!$A404="",45&gt;設定!$B$3,原始資料!AV404=""),"",IF(AND(原始資料!AU404&lt;&gt;"",原始資料!AV404=原始資料!AU404),N(AS404)+1,1))</f>
        <v/>
      </c>
      <c r="AU404" s="6">
        <f>IF(OR(原始資料!$A404="",46&gt;設定!$B$3,原始資料!AW404=""),"",IF(AND(原始資料!AV404&lt;&gt;"",原始資料!AW404=原始資料!AV404),N(AT404)+1,1))</f>
        <v/>
      </c>
      <c r="AV404" s="6">
        <f>IF(OR(原始資料!$A404="",47&gt;設定!$B$3,原始資料!AX404=""),"",IF(AND(原始資料!AW404&lt;&gt;"",原始資料!AX404=原始資料!AW404),N(AU404)+1,1))</f>
        <v/>
      </c>
      <c r="AW404" s="6">
        <f>IF(OR(原始資料!$A404="",48&gt;設定!$B$3,原始資料!AY404=""),"",IF(AND(原始資料!AX404&lt;&gt;"",原始資料!AY404=原始資料!AX404),N(AV404)+1,1))</f>
        <v/>
      </c>
      <c r="AX404" s="6">
        <f>IF(OR(原始資料!$A404="",49&gt;設定!$B$3,原始資料!AZ404=""),"",IF(AND(原始資料!AY404&lt;&gt;"",原始資料!AZ404=原始資料!AY404),N(AW404)+1,1))</f>
        <v/>
      </c>
      <c r="AY404" s="6">
        <f>IF(OR(原始資料!$A404="",50&gt;設定!$B$3,原始資料!BA404=""),"",IF(AND(原始資料!AZ404&lt;&gt;"",原始資料!BA404=原始資料!AZ404),N(AX404)+1,1))</f>
        <v/>
      </c>
      <c r="AZ404" s="6">
        <f>IF(OR(原始資料!$A404="",51&gt;設定!$B$3,原始資料!BB404=""),"",IF(AND(原始資料!BA404&lt;&gt;"",原始資料!BB404=原始資料!BA404),N(AY404)+1,1))</f>
        <v/>
      </c>
      <c r="BA404" s="6">
        <f>IF(OR(原始資料!$A404="",52&gt;設定!$B$3,原始資料!BC404=""),"",IF(AND(原始資料!BB404&lt;&gt;"",原始資料!BC404=原始資料!BB404),N(AZ404)+1,1))</f>
        <v/>
      </c>
      <c r="BB404" s="6">
        <f>IF(OR(原始資料!$A404="",53&gt;設定!$B$3,原始資料!BD404=""),"",IF(AND(原始資料!BC404&lt;&gt;"",原始資料!BD404=原始資料!BC404),N(BA404)+1,1))</f>
        <v/>
      </c>
      <c r="BC404" s="6">
        <f>IF(OR(原始資料!$A404="",54&gt;設定!$B$3,原始資料!BE404=""),"",IF(AND(原始資料!BD404&lt;&gt;"",原始資料!BE404=原始資料!BD404),N(BB404)+1,1))</f>
        <v/>
      </c>
      <c r="BD404" s="6">
        <f>IF(OR(原始資料!$A404="",55&gt;設定!$B$3,原始資料!BF404=""),"",IF(AND(原始資料!BE404&lt;&gt;"",原始資料!BF404=原始資料!BE404),N(BC404)+1,1))</f>
        <v/>
      </c>
      <c r="BE404" s="6">
        <f>IF(OR(原始資料!$A404="",56&gt;設定!$B$3,原始資料!BG404=""),"",IF(AND(原始資料!BF404&lt;&gt;"",原始資料!BG404=原始資料!BF404),N(BD404)+1,1))</f>
        <v/>
      </c>
      <c r="BF404" s="6">
        <f>IF(OR(原始資料!$A404="",57&gt;設定!$B$3,原始資料!BH404=""),"",IF(AND(原始資料!BG404&lt;&gt;"",原始資料!BH404=原始資料!BG404),N(BE404)+1,1))</f>
        <v/>
      </c>
      <c r="BG404" s="6">
        <f>IF(OR(原始資料!$A404="",58&gt;設定!$B$3,原始資料!BI404=""),"",IF(AND(原始資料!BH404&lt;&gt;"",原始資料!BI404=原始資料!BH404),N(BF404)+1,1))</f>
        <v/>
      </c>
      <c r="BH404" s="6">
        <f>IF(OR(原始資料!$A404="",59&gt;設定!$B$3,原始資料!BJ404=""),"",IF(AND(原始資料!BI404&lt;&gt;"",原始資料!BJ404=原始資料!BI404),N(BG404)+1,1))</f>
        <v/>
      </c>
      <c r="BI404" s="6">
        <f>IF(OR(原始資料!$A404="",60&gt;設定!$B$3,原始資料!BK404=""),"",IF(AND(原始資料!BJ404&lt;&gt;"",原始資料!BK404=原始資料!BJ404),N(BH404)+1,1))</f>
        <v/>
      </c>
    </row>
    <row r="405">
      <c r="A405" s="6">
        <f>IF(原始資料!$A405="","",原始資料!$A405)</f>
        <v/>
      </c>
      <c r="B405" s="6">
        <f>IF(OR(原始資料!$A405="",1&gt;設定!$B$3,原始資料!D405=""),"",1)</f>
        <v/>
      </c>
      <c r="C405" s="6">
        <f>IF(OR(原始資料!$A405="",2&gt;設定!$B$3,原始資料!E405=""),"",IF(AND(原始資料!D405&lt;&gt;"",原始資料!E405=原始資料!D405),N(B405)+1,1))</f>
        <v/>
      </c>
      <c r="D405" s="6">
        <f>IF(OR(原始資料!$A405="",3&gt;設定!$B$3,原始資料!F405=""),"",IF(AND(原始資料!E405&lt;&gt;"",原始資料!F405=原始資料!E405),N(C405)+1,1))</f>
        <v/>
      </c>
      <c r="E405" s="6">
        <f>IF(OR(原始資料!$A405="",4&gt;設定!$B$3,原始資料!G405=""),"",IF(AND(原始資料!F405&lt;&gt;"",原始資料!G405=原始資料!F405),N(D405)+1,1))</f>
        <v/>
      </c>
      <c r="F405" s="6">
        <f>IF(OR(原始資料!$A405="",5&gt;設定!$B$3,原始資料!H405=""),"",IF(AND(原始資料!G405&lt;&gt;"",原始資料!H405=原始資料!G405),N(E405)+1,1))</f>
        <v/>
      </c>
      <c r="G405" s="6">
        <f>IF(OR(原始資料!$A405="",6&gt;設定!$B$3,原始資料!I405=""),"",IF(AND(原始資料!H405&lt;&gt;"",原始資料!I405=原始資料!H405),N(F405)+1,1))</f>
        <v/>
      </c>
      <c r="H405" s="6">
        <f>IF(OR(原始資料!$A405="",7&gt;設定!$B$3,原始資料!J405=""),"",IF(AND(原始資料!I405&lt;&gt;"",原始資料!J405=原始資料!I405),N(G405)+1,1))</f>
        <v/>
      </c>
      <c r="I405" s="6">
        <f>IF(OR(原始資料!$A405="",8&gt;設定!$B$3,原始資料!K405=""),"",IF(AND(原始資料!J405&lt;&gt;"",原始資料!K405=原始資料!J405),N(H405)+1,1))</f>
        <v/>
      </c>
      <c r="J405" s="6">
        <f>IF(OR(原始資料!$A405="",9&gt;設定!$B$3,原始資料!L405=""),"",IF(AND(原始資料!K405&lt;&gt;"",原始資料!L405=原始資料!K405),N(I405)+1,1))</f>
        <v/>
      </c>
      <c r="K405" s="6">
        <f>IF(OR(原始資料!$A405="",10&gt;設定!$B$3,原始資料!M405=""),"",IF(AND(原始資料!L405&lt;&gt;"",原始資料!M405=原始資料!L405),N(J405)+1,1))</f>
        <v/>
      </c>
      <c r="L405" s="6">
        <f>IF(OR(原始資料!$A405="",11&gt;設定!$B$3,原始資料!N405=""),"",IF(AND(原始資料!M405&lt;&gt;"",原始資料!N405=原始資料!M405),N(K405)+1,1))</f>
        <v/>
      </c>
      <c r="M405" s="6">
        <f>IF(OR(原始資料!$A405="",12&gt;設定!$B$3,原始資料!O405=""),"",IF(AND(原始資料!N405&lt;&gt;"",原始資料!O405=原始資料!N405),N(L405)+1,1))</f>
        <v/>
      </c>
      <c r="N405" s="6">
        <f>IF(OR(原始資料!$A405="",13&gt;設定!$B$3,原始資料!P405=""),"",IF(AND(原始資料!O405&lt;&gt;"",原始資料!P405=原始資料!O405),N(M405)+1,1))</f>
        <v/>
      </c>
      <c r="O405" s="6">
        <f>IF(OR(原始資料!$A405="",14&gt;設定!$B$3,原始資料!Q405=""),"",IF(AND(原始資料!P405&lt;&gt;"",原始資料!Q405=原始資料!P405),N(N405)+1,1))</f>
        <v/>
      </c>
      <c r="P405" s="6">
        <f>IF(OR(原始資料!$A405="",15&gt;設定!$B$3,原始資料!R405=""),"",IF(AND(原始資料!Q405&lt;&gt;"",原始資料!R405=原始資料!Q405),N(O405)+1,1))</f>
        <v/>
      </c>
      <c r="Q405" s="6">
        <f>IF(OR(原始資料!$A405="",16&gt;設定!$B$3,原始資料!S405=""),"",IF(AND(原始資料!R405&lt;&gt;"",原始資料!S405=原始資料!R405),N(P405)+1,1))</f>
        <v/>
      </c>
      <c r="R405" s="6">
        <f>IF(OR(原始資料!$A405="",17&gt;設定!$B$3,原始資料!T405=""),"",IF(AND(原始資料!S405&lt;&gt;"",原始資料!T405=原始資料!S405),N(Q405)+1,1))</f>
        <v/>
      </c>
      <c r="S405" s="6">
        <f>IF(OR(原始資料!$A405="",18&gt;設定!$B$3,原始資料!U405=""),"",IF(AND(原始資料!T405&lt;&gt;"",原始資料!U405=原始資料!T405),N(R405)+1,1))</f>
        <v/>
      </c>
      <c r="T405" s="6">
        <f>IF(OR(原始資料!$A405="",19&gt;設定!$B$3,原始資料!V405=""),"",IF(AND(原始資料!U405&lt;&gt;"",原始資料!V405=原始資料!U405),N(S405)+1,1))</f>
        <v/>
      </c>
      <c r="U405" s="6">
        <f>IF(OR(原始資料!$A405="",20&gt;設定!$B$3,原始資料!W405=""),"",IF(AND(原始資料!V405&lt;&gt;"",原始資料!W405=原始資料!V405),N(T405)+1,1))</f>
        <v/>
      </c>
      <c r="V405" s="6">
        <f>IF(OR(原始資料!$A405="",21&gt;設定!$B$3,原始資料!X405=""),"",IF(AND(原始資料!W405&lt;&gt;"",原始資料!X405=原始資料!W405),N(U405)+1,1))</f>
        <v/>
      </c>
      <c r="W405" s="6">
        <f>IF(OR(原始資料!$A405="",22&gt;設定!$B$3,原始資料!Y405=""),"",IF(AND(原始資料!X405&lt;&gt;"",原始資料!Y405=原始資料!X405),N(V405)+1,1))</f>
        <v/>
      </c>
      <c r="X405" s="6">
        <f>IF(OR(原始資料!$A405="",23&gt;設定!$B$3,原始資料!Z405=""),"",IF(AND(原始資料!Y405&lt;&gt;"",原始資料!Z405=原始資料!Y405),N(W405)+1,1))</f>
        <v/>
      </c>
      <c r="Y405" s="6">
        <f>IF(OR(原始資料!$A405="",24&gt;設定!$B$3,原始資料!AA405=""),"",IF(AND(原始資料!Z405&lt;&gt;"",原始資料!AA405=原始資料!Z405),N(X405)+1,1))</f>
        <v/>
      </c>
      <c r="Z405" s="6">
        <f>IF(OR(原始資料!$A405="",25&gt;設定!$B$3,原始資料!AB405=""),"",IF(AND(原始資料!AA405&lt;&gt;"",原始資料!AB405=原始資料!AA405),N(Y405)+1,1))</f>
        <v/>
      </c>
      <c r="AA405" s="6">
        <f>IF(OR(原始資料!$A405="",26&gt;設定!$B$3,原始資料!AC405=""),"",IF(AND(原始資料!AB405&lt;&gt;"",原始資料!AC405=原始資料!AB405),N(Z405)+1,1))</f>
        <v/>
      </c>
      <c r="AB405" s="6">
        <f>IF(OR(原始資料!$A405="",27&gt;設定!$B$3,原始資料!AD405=""),"",IF(AND(原始資料!AC405&lt;&gt;"",原始資料!AD405=原始資料!AC405),N(AA405)+1,1))</f>
        <v/>
      </c>
      <c r="AC405" s="6">
        <f>IF(OR(原始資料!$A405="",28&gt;設定!$B$3,原始資料!AE405=""),"",IF(AND(原始資料!AD405&lt;&gt;"",原始資料!AE405=原始資料!AD405),N(AB405)+1,1))</f>
        <v/>
      </c>
      <c r="AD405" s="6">
        <f>IF(OR(原始資料!$A405="",29&gt;設定!$B$3,原始資料!AF405=""),"",IF(AND(原始資料!AE405&lt;&gt;"",原始資料!AF405=原始資料!AE405),N(AC405)+1,1))</f>
        <v/>
      </c>
      <c r="AE405" s="6">
        <f>IF(OR(原始資料!$A405="",30&gt;設定!$B$3,原始資料!AG405=""),"",IF(AND(原始資料!AF405&lt;&gt;"",原始資料!AG405=原始資料!AF405),N(AD405)+1,1))</f>
        <v/>
      </c>
      <c r="AF405" s="6">
        <f>IF(OR(原始資料!$A405="",31&gt;設定!$B$3,原始資料!AH405=""),"",IF(AND(原始資料!AG405&lt;&gt;"",原始資料!AH405=原始資料!AG405),N(AE405)+1,1))</f>
        <v/>
      </c>
      <c r="AG405" s="6">
        <f>IF(OR(原始資料!$A405="",32&gt;設定!$B$3,原始資料!AI405=""),"",IF(AND(原始資料!AH405&lt;&gt;"",原始資料!AI405=原始資料!AH405),N(AF405)+1,1))</f>
        <v/>
      </c>
      <c r="AH405" s="6">
        <f>IF(OR(原始資料!$A405="",33&gt;設定!$B$3,原始資料!AJ405=""),"",IF(AND(原始資料!AI405&lt;&gt;"",原始資料!AJ405=原始資料!AI405),N(AG405)+1,1))</f>
        <v/>
      </c>
      <c r="AI405" s="6">
        <f>IF(OR(原始資料!$A405="",34&gt;設定!$B$3,原始資料!AK405=""),"",IF(AND(原始資料!AJ405&lt;&gt;"",原始資料!AK405=原始資料!AJ405),N(AH405)+1,1))</f>
        <v/>
      </c>
      <c r="AJ405" s="6">
        <f>IF(OR(原始資料!$A405="",35&gt;設定!$B$3,原始資料!AL405=""),"",IF(AND(原始資料!AK405&lt;&gt;"",原始資料!AL405=原始資料!AK405),N(AI405)+1,1))</f>
        <v/>
      </c>
      <c r="AK405" s="6">
        <f>IF(OR(原始資料!$A405="",36&gt;設定!$B$3,原始資料!AM405=""),"",IF(AND(原始資料!AL405&lt;&gt;"",原始資料!AM405=原始資料!AL405),N(AJ405)+1,1))</f>
        <v/>
      </c>
      <c r="AL405" s="6">
        <f>IF(OR(原始資料!$A405="",37&gt;設定!$B$3,原始資料!AN405=""),"",IF(AND(原始資料!AM405&lt;&gt;"",原始資料!AN405=原始資料!AM405),N(AK405)+1,1))</f>
        <v/>
      </c>
      <c r="AM405" s="6">
        <f>IF(OR(原始資料!$A405="",38&gt;設定!$B$3,原始資料!AO405=""),"",IF(AND(原始資料!AN405&lt;&gt;"",原始資料!AO405=原始資料!AN405),N(AL405)+1,1))</f>
        <v/>
      </c>
      <c r="AN405" s="6">
        <f>IF(OR(原始資料!$A405="",39&gt;設定!$B$3,原始資料!AP405=""),"",IF(AND(原始資料!AO405&lt;&gt;"",原始資料!AP405=原始資料!AO405),N(AM405)+1,1))</f>
        <v/>
      </c>
      <c r="AO405" s="6">
        <f>IF(OR(原始資料!$A405="",40&gt;設定!$B$3,原始資料!AQ405=""),"",IF(AND(原始資料!AP405&lt;&gt;"",原始資料!AQ405=原始資料!AP405),N(AN405)+1,1))</f>
        <v/>
      </c>
      <c r="AP405" s="6">
        <f>IF(OR(原始資料!$A405="",41&gt;設定!$B$3,原始資料!AR405=""),"",IF(AND(原始資料!AQ405&lt;&gt;"",原始資料!AR405=原始資料!AQ405),N(AO405)+1,1))</f>
        <v/>
      </c>
      <c r="AQ405" s="6">
        <f>IF(OR(原始資料!$A405="",42&gt;設定!$B$3,原始資料!AS405=""),"",IF(AND(原始資料!AR405&lt;&gt;"",原始資料!AS405=原始資料!AR405),N(AP405)+1,1))</f>
        <v/>
      </c>
      <c r="AR405" s="6">
        <f>IF(OR(原始資料!$A405="",43&gt;設定!$B$3,原始資料!AT405=""),"",IF(AND(原始資料!AS405&lt;&gt;"",原始資料!AT405=原始資料!AS405),N(AQ405)+1,1))</f>
        <v/>
      </c>
      <c r="AS405" s="6">
        <f>IF(OR(原始資料!$A405="",44&gt;設定!$B$3,原始資料!AU405=""),"",IF(AND(原始資料!AT405&lt;&gt;"",原始資料!AU405=原始資料!AT405),N(AR405)+1,1))</f>
        <v/>
      </c>
      <c r="AT405" s="6">
        <f>IF(OR(原始資料!$A405="",45&gt;設定!$B$3,原始資料!AV405=""),"",IF(AND(原始資料!AU405&lt;&gt;"",原始資料!AV405=原始資料!AU405),N(AS405)+1,1))</f>
        <v/>
      </c>
      <c r="AU405" s="6">
        <f>IF(OR(原始資料!$A405="",46&gt;設定!$B$3,原始資料!AW405=""),"",IF(AND(原始資料!AV405&lt;&gt;"",原始資料!AW405=原始資料!AV405),N(AT405)+1,1))</f>
        <v/>
      </c>
      <c r="AV405" s="6">
        <f>IF(OR(原始資料!$A405="",47&gt;設定!$B$3,原始資料!AX405=""),"",IF(AND(原始資料!AW405&lt;&gt;"",原始資料!AX405=原始資料!AW405),N(AU405)+1,1))</f>
        <v/>
      </c>
      <c r="AW405" s="6">
        <f>IF(OR(原始資料!$A405="",48&gt;設定!$B$3,原始資料!AY405=""),"",IF(AND(原始資料!AX405&lt;&gt;"",原始資料!AY405=原始資料!AX405),N(AV405)+1,1))</f>
        <v/>
      </c>
      <c r="AX405" s="6">
        <f>IF(OR(原始資料!$A405="",49&gt;設定!$B$3,原始資料!AZ405=""),"",IF(AND(原始資料!AY405&lt;&gt;"",原始資料!AZ405=原始資料!AY405),N(AW405)+1,1))</f>
        <v/>
      </c>
      <c r="AY405" s="6">
        <f>IF(OR(原始資料!$A405="",50&gt;設定!$B$3,原始資料!BA405=""),"",IF(AND(原始資料!AZ405&lt;&gt;"",原始資料!BA405=原始資料!AZ405),N(AX405)+1,1))</f>
        <v/>
      </c>
      <c r="AZ405" s="6">
        <f>IF(OR(原始資料!$A405="",51&gt;設定!$B$3,原始資料!BB405=""),"",IF(AND(原始資料!BA405&lt;&gt;"",原始資料!BB405=原始資料!BA405),N(AY405)+1,1))</f>
        <v/>
      </c>
      <c r="BA405" s="6">
        <f>IF(OR(原始資料!$A405="",52&gt;設定!$B$3,原始資料!BC405=""),"",IF(AND(原始資料!BB405&lt;&gt;"",原始資料!BC405=原始資料!BB405),N(AZ405)+1,1))</f>
        <v/>
      </c>
      <c r="BB405" s="6">
        <f>IF(OR(原始資料!$A405="",53&gt;設定!$B$3,原始資料!BD405=""),"",IF(AND(原始資料!BC405&lt;&gt;"",原始資料!BD405=原始資料!BC405),N(BA405)+1,1))</f>
        <v/>
      </c>
      <c r="BC405" s="6">
        <f>IF(OR(原始資料!$A405="",54&gt;設定!$B$3,原始資料!BE405=""),"",IF(AND(原始資料!BD405&lt;&gt;"",原始資料!BE405=原始資料!BD405),N(BB405)+1,1))</f>
        <v/>
      </c>
      <c r="BD405" s="6">
        <f>IF(OR(原始資料!$A405="",55&gt;設定!$B$3,原始資料!BF405=""),"",IF(AND(原始資料!BE405&lt;&gt;"",原始資料!BF405=原始資料!BE405),N(BC405)+1,1))</f>
        <v/>
      </c>
      <c r="BE405" s="6">
        <f>IF(OR(原始資料!$A405="",56&gt;設定!$B$3,原始資料!BG405=""),"",IF(AND(原始資料!BF405&lt;&gt;"",原始資料!BG405=原始資料!BF405),N(BD405)+1,1))</f>
        <v/>
      </c>
      <c r="BF405" s="6">
        <f>IF(OR(原始資料!$A405="",57&gt;設定!$B$3,原始資料!BH405=""),"",IF(AND(原始資料!BG405&lt;&gt;"",原始資料!BH405=原始資料!BG405),N(BE405)+1,1))</f>
        <v/>
      </c>
      <c r="BG405" s="6">
        <f>IF(OR(原始資料!$A405="",58&gt;設定!$B$3,原始資料!BI405=""),"",IF(AND(原始資料!BH405&lt;&gt;"",原始資料!BI405=原始資料!BH405),N(BF405)+1,1))</f>
        <v/>
      </c>
      <c r="BH405" s="6">
        <f>IF(OR(原始資料!$A405="",59&gt;設定!$B$3,原始資料!BJ405=""),"",IF(AND(原始資料!BI405&lt;&gt;"",原始資料!BJ405=原始資料!BI405),N(BG405)+1,1))</f>
        <v/>
      </c>
      <c r="BI405" s="6">
        <f>IF(OR(原始資料!$A405="",60&gt;設定!$B$3,原始資料!BK405=""),"",IF(AND(原始資料!BJ405&lt;&gt;"",原始資料!BK405=原始資料!BJ405),N(BH405)+1,1))</f>
        <v/>
      </c>
    </row>
    <row r="406">
      <c r="A406" s="6">
        <f>IF(原始資料!$A406="","",原始資料!$A406)</f>
        <v/>
      </c>
      <c r="B406" s="6">
        <f>IF(OR(原始資料!$A406="",1&gt;設定!$B$3,原始資料!D406=""),"",1)</f>
        <v/>
      </c>
      <c r="C406" s="6">
        <f>IF(OR(原始資料!$A406="",2&gt;設定!$B$3,原始資料!E406=""),"",IF(AND(原始資料!D406&lt;&gt;"",原始資料!E406=原始資料!D406),N(B406)+1,1))</f>
        <v/>
      </c>
      <c r="D406" s="6">
        <f>IF(OR(原始資料!$A406="",3&gt;設定!$B$3,原始資料!F406=""),"",IF(AND(原始資料!E406&lt;&gt;"",原始資料!F406=原始資料!E406),N(C406)+1,1))</f>
        <v/>
      </c>
      <c r="E406" s="6">
        <f>IF(OR(原始資料!$A406="",4&gt;設定!$B$3,原始資料!G406=""),"",IF(AND(原始資料!F406&lt;&gt;"",原始資料!G406=原始資料!F406),N(D406)+1,1))</f>
        <v/>
      </c>
      <c r="F406" s="6">
        <f>IF(OR(原始資料!$A406="",5&gt;設定!$B$3,原始資料!H406=""),"",IF(AND(原始資料!G406&lt;&gt;"",原始資料!H406=原始資料!G406),N(E406)+1,1))</f>
        <v/>
      </c>
      <c r="G406" s="6">
        <f>IF(OR(原始資料!$A406="",6&gt;設定!$B$3,原始資料!I406=""),"",IF(AND(原始資料!H406&lt;&gt;"",原始資料!I406=原始資料!H406),N(F406)+1,1))</f>
        <v/>
      </c>
      <c r="H406" s="6">
        <f>IF(OR(原始資料!$A406="",7&gt;設定!$B$3,原始資料!J406=""),"",IF(AND(原始資料!I406&lt;&gt;"",原始資料!J406=原始資料!I406),N(G406)+1,1))</f>
        <v/>
      </c>
      <c r="I406" s="6">
        <f>IF(OR(原始資料!$A406="",8&gt;設定!$B$3,原始資料!K406=""),"",IF(AND(原始資料!J406&lt;&gt;"",原始資料!K406=原始資料!J406),N(H406)+1,1))</f>
        <v/>
      </c>
      <c r="J406" s="6">
        <f>IF(OR(原始資料!$A406="",9&gt;設定!$B$3,原始資料!L406=""),"",IF(AND(原始資料!K406&lt;&gt;"",原始資料!L406=原始資料!K406),N(I406)+1,1))</f>
        <v/>
      </c>
      <c r="K406" s="6">
        <f>IF(OR(原始資料!$A406="",10&gt;設定!$B$3,原始資料!M406=""),"",IF(AND(原始資料!L406&lt;&gt;"",原始資料!M406=原始資料!L406),N(J406)+1,1))</f>
        <v/>
      </c>
      <c r="L406" s="6">
        <f>IF(OR(原始資料!$A406="",11&gt;設定!$B$3,原始資料!N406=""),"",IF(AND(原始資料!M406&lt;&gt;"",原始資料!N406=原始資料!M406),N(K406)+1,1))</f>
        <v/>
      </c>
      <c r="M406" s="6">
        <f>IF(OR(原始資料!$A406="",12&gt;設定!$B$3,原始資料!O406=""),"",IF(AND(原始資料!N406&lt;&gt;"",原始資料!O406=原始資料!N406),N(L406)+1,1))</f>
        <v/>
      </c>
      <c r="N406" s="6">
        <f>IF(OR(原始資料!$A406="",13&gt;設定!$B$3,原始資料!P406=""),"",IF(AND(原始資料!O406&lt;&gt;"",原始資料!P406=原始資料!O406),N(M406)+1,1))</f>
        <v/>
      </c>
      <c r="O406" s="6">
        <f>IF(OR(原始資料!$A406="",14&gt;設定!$B$3,原始資料!Q406=""),"",IF(AND(原始資料!P406&lt;&gt;"",原始資料!Q406=原始資料!P406),N(N406)+1,1))</f>
        <v/>
      </c>
      <c r="P406" s="6">
        <f>IF(OR(原始資料!$A406="",15&gt;設定!$B$3,原始資料!R406=""),"",IF(AND(原始資料!Q406&lt;&gt;"",原始資料!R406=原始資料!Q406),N(O406)+1,1))</f>
        <v/>
      </c>
      <c r="Q406" s="6">
        <f>IF(OR(原始資料!$A406="",16&gt;設定!$B$3,原始資料!S406=""),"",IF(AND(原始資料!R406&lt;&gt;"",原始資料!S406=原始資料!R406),N(P406)+1,1))</f>
        <v/>
      </c>
      <c r="R406" s="6">
        <f>IF(OR(原始資料!$A406="",17&gt;設定!$B$3,原始資料!T406=""),"",IF(AND(原始資料!S406&lt;&gt;"",原始資料!T406=原始資料!S406),N(Q406)+1,1))</f>
        <v/>
      </c>
      <c r="S406" s="6">
        <f>IF(OR(原始資料!$A406="",18&gt;設定!$B$3,原始資料!U406=""),"",IF(AND(原始資料!T406&lt;&gt;"",原始資料!U406=原始資料!T406),N(R406)+1,1))</f>
        <v/>
      </c>
      <c r="T406" s="6">
        <f>IF(OR(原始資料!$A406="",19&gt;設定!$B$3,原始資料!V406=""),"",IF(AND(原始資料!U406&lt;&gt;"",原始資料!V406=原始資料!U406),N(S406)+1,1))</f>
        <v/>
      </c>
      <c r="U406" s="6">
        <f>IF(OR(原始資料!$A406="",20&gt;設定!$B$3,原始資料!W406=""),"",IF(AND(原始資料!V406&lt;&gt;"",原始資料!W406=原始資料!V406),N(T406)+1,1))</f>
        <v/>
      </c>
      <c r="V406" s="6">
        <f>IF(OR(原始資料!$A406="",21&gt;設定!$B$3,原始資料!X406=""),"",IF(AND(原始資料!W406&lt;&gt;"",原始資料!X406=原始資料!W406),N(U406)+1,1))</f>
        <v/>
      </c>
      <c r="W406" s="6">
        <f>IF(OR(原始資料!$A406="",22&gt;設定!$B$3,原始資料!Y406=""),"",IF(AND(原始資料!X406&lt;&gt;"",原始資料!Y406=原始資料!X406),N(V406)+1,1))</f>
        <v/>
      </c>
      <c r="X406" s="6">
        <f>IF(OR(原始資料!$A406="",23&gt;設定!$B$3,原始資料!Z406=""),"",IF(AND(原始資料!Y406&lt;&gt;"",原始資料!Z406=原始資料!Y406),N(W406)+1,1))</f>
        <v/>
      </c>
      <c r="Y406" s="6">
        <f>IF(OR(原始資料!$A406="",24&gt;設定!$B$3,原始資料!AA406=""),"",IF(AND(原始資料!Z406&lt;&gt;"",原始資料!AA406=原始資料!Z406),N(X406)+1,1))</f>
        <v/>
      </c>
      <c r="Z406" s="6">
        <f>IF(OR(原始資料!$A406="",25&gt;設定!$B$3,原始資料!AB406=""),"",IF(AND(原始資料!AA406&lt;&gt;"",原始資料!AB406=原始資料!AA406),N(Y406)+1,1))</f>
        <v/>
      </c>
      <c r="AA406" s="6">
        <f>IF(OR(原始資料!$A406="",26&gt;設定!$B$3,原始資料!AC406=""),"",IF(AND(原始資料!AB406&lt;&gt;"",原始資料!AC406=原始資料!AB406),N(Z406)+1,1))</f>
        <v/>
      </c>
      <c r="AB406" s="6">
        <f>IF(OR(原始資料!$A406="",27&gt;設定!$B$3,原始資料!AD406=""),"",IF(AND(原始資料!AC406&lt;&gt;"",原始資料!AD406=原始資料!AC406),N(AA406)+1,1))</f>
        <v/>
      </c>
      <c r="AC406" s="6">
        <f>IF(OR(原始資料!$A406="",28&gt;設定!$B$3,原始資料!AE406=""),"",IF(AND(原始資料!AD406&lt;&gt;"",原始資料!AE406=原始資料!AD406),N(AB406)+1,1))</f>
        <v/>
      </c>
      <c r="AD406" s="6">
        <f>IF(OR(原始資料!$A406="",29&gt;設定!$B$3,原始資料!AF406=""),"",IF(AND(原始資料!AE406&lt;&gt;"",原始資料!AF406=原始資料!AE406),N(AC406)+1,1))</f>
        <v/>
      </c>
      <c r="AE406" s="6">
        <f>IF(OR(原始資料!$A406="",30&gt;設定!$B$3,原始資料!AG406=""),"",IF(AND(原始資料!AF406&lt;&gt;"",原始資料!AG406=原始資料!AF406),N(AD406)+1,1))</f>
        <v/>
      </c>
      <c r="AF406" s="6">
        <f>IF(OR(原始資料!$A406="",31&gt;設定!$B$3,原始資料!AH406=""),"",IF(AND(原始資料!AG406&lt;&gt;"",原始資料!AH406=原始資料!AG406),N(AE406)+1,1))</f>
        <v/>
      </c>
      <c r="AG406" s="6">
        <f>IF(OR(原始資料!$A406="",32&gt;設定!$B$3,原始資料!AI406=""),"",IF(AND(原始資料!AH406&lt;&gt;"",原始資料!AI406=原始資料!AH406),N(AF406)+1,1))</f>
        <v/>
      </c>
      <c r="AH406" s="6">
        <f>IF(OR(原始資料!$A406="",33&gt;設定!$B$3,原始資料!AJ406=""),"",IF(AND(原始資料!AI406&lt;&gt;"",原始資料!AJ406=原始資料!AI406),N(AG406)+1,1))</f>
        <v/>
      </c>
      <c r="AI406" s="6">
        <f>IF(OR(原始資料!$A406="",34&gt;設定!$B$3,原始資料!AK406=""),"",IF(AND(原始資料!AJ406&lt;&gt;"",原始資料!AK406=原始資料!AJ406),N(AH406)+1,1))</f>
        <v/>
      </c>
      <c r="AJ406" s="6">
        <f>IF(OR(原始資料!$A406="",35&gt;設定!$B$3,原始資料!AL406=""),"",IF(AND(原始資料!AK406&lt;&gt;"",原始資料!AL406=原始資料!AK406),N(AI406)+1,1))</f>
        <v/>
      </c>
      <c r="AK406" s="6">
        <f>IF(OR(原始資料!$A406="",36&gt;設定!$B$3,原始資料!AM406=""),"",IF(AND(原始資料!AL406&lt;&gt;"",原始資料!AM406=原始資料!AL406),N(AJ406)+1,1))</f>
        <v/>
      </c>
      <c r="AL406" s="6">
        <f>IF(OR(原始資料!$A406="",37&gt;設定!$B$3,原始資料!AN406=""),"",IF(AND(原始資料!AM406&lt;&gt;"",原始資料!AN406=原始資料!AM406),N(AK406)+1,1))</f>
        <v/>
      </c>
      <c r="AM406" s="6">
        <f>IF(OR(原始資料!$A406="",38&gt;設定!$B$3,原始資料!AO406=""),"",IF(AND(原始資料!AN406&lt;&gt;"",原始資料!AO406=原始資料!AN406),N(AL406)+1,1))</f>
        <v/>
      </c>
      <c r="AN406" s="6">
        <f>IF(OR(原始資料!$A406="",39&gt;設定!$B$3,原始資料!AP406=""),"",IF(AND(原始資料!AO406&lt;&gt;"",原始資料!AP406=原始資料!AO406),N(AM406)+1,1))</f>
        <v/>
      </c>
      <c r="AO406" s="6">
        <f>IF(OR(原始資料!$A406="",40&gt;設定!$B$3,原始資料!AQ406=""),"",IF(AND(原始資料!AP406&lt;&gt;"",原始資料!AQ406=原始資料!AP406),N(AN406)+1,1))</f>
        <v/>
      </c>
      <c r="AP406" s="6">
        <f>IF(OR(原始資料!$A406="",41&gt;設定!$B$3,原始資料!AR406=""),"",IF(AND(原始資料!AQ406&lt;&gt;"",原始資料!AR406=原始資料!AQ406),N(AO406)+1,1))</f>
        <v/>
      </c>
      <c r="AQ406" s="6">
        <f>IF(OR(原始資料!$A406="",42&gt;設定!$B$3,原始資料!AS406=""),"",IF(AND(原始資料!AR406&lt;&gt;"",原始資料!AS406=原始資料!AR406),N(AP406)+1,1))</f>
        <v/>
      </c>
      <c r="AR406" s="6">
        <f>IF(OR(原始資料!$A406="",43&gt;設定!$B$3,原始資料!AT406=""),"",IF(AND(原始資料!AS406&lt;&gt;"",原始資料!AT406=原始資料!AS406),N(AQ406)+1,1))</f>
        <v/>
      </c>
      <c r="AS406" s="6">
        <f>IF(OR(原始資料!$A406="",44&gt;設定!$B$3,原始資料!AU406=""),"",IF(AND(原始資料!AT406&lt;&gt;"",原始資料!AU406=原始資料!AT406),N(AR406)+1,1))</f>
        <v/>
      </c>
      <c r="AT406" s="6">
        <f>IF(OR(原始資料!$A406="",45&gt;設定!$B$3,原始資料!AV406=""),"",IF(AND(原始資料!AU406&lt;&gt;"",原始資料!AV406=原始資料!AU406),N(AS406)+1,1))</f>
        <v/>
      </c>
      <c r="AU406" s="6">
        <f>IF(OR(原始資料!$A406="",46&gt;設定!$B$3,原始資料!AW406=""),"",IF(AND(原始資料!AV406&lt;&gt;"",原始資料!AW406=原始資料!AV406),N(AT406)+1,1))</f>
        <v/>
      </c>
      <c r="AV406" s="6">
        <f>IF(OR(原始資料!$A406="",47&gt;設定!$B$3,原始資料!AX406=""),"",IF(AND(原始資料!AW406&lt;&gt;"",原始資料!AX406=原始資料!AW406),N(AU406)+1,1))</f>
        <v/>
      </c>
      <c r="AW406" s="6">
        <f>IF(OR(原始資料!$A406="",48&gt;設定!$B$3,原始資料!AY406=""),"",IF(AND(原始資料!AX406&lt;&gt;"",原始資料!AY406=原始資料!AX406),N(AV406)+1,1))</f>
        <v/>
      </c>
      <c r="AX406" s="6">
        <f>IF(OR(原始資料!$A406="",49&gt;設定!$B$3,原始資料!AZ406=""),"",IF(AND(原始資料!AY406&lt;&gt;"",原始資料!AZ406=原始資料!AY406),N(AW406)+1,1))</f>
        <v/>
      </c>
      <c r="AY406" s="6">
        <f>IF(OR(原始資料!$A406="",50&gt;設定!$B$3,原始資料!BA406=""),"",IF(AND(原始資料!AZ406&lt;&gt;"",原始資料!BA406=原始資料!AZ406),N(AX406)+1,1))</f>
        <v/>
      </c>
      <c r="AZ406" s="6">
        <f>IF(OR(原始資料!$A406="",51&gt;設定!$B$3,原始資料!BB406=""),"",IF(AND(原始資料!BA406&lt;&gt;"",原始資料!BB406=原始資料!BA406),N(AY406)+1,1))</f>
        <v/>
      </c>
      <c r="BA406" s="6">
        <f>IF(OR(原始資料!$A406="",52&gt;設定!$B$3,原始資料!BC406=""),"",IF(AND(原始資料!BB406&lt;&gt;"",原始資料!BC406=原始資料!BB406),N(AZ406)+1,1))</f>
        <v/>
      </c>
      <c r="BB406" s="6">
        <f>IF(OR(原始資料!$A406="",53&gt;設定!$B$3,原始資料!BD406=""),"",IF(AND(原始資料!BC406&lt;&gt;"",原始資料!BD406=原始資料!BC406),N(BA406)+1,1))</f>
        <v/>
      </c>
      <c r="BC406" s="6">
        <f>IF(OR(原始資料!$A406="",54&gt;設定!$B$3,原始資料!BE406=""),"",IF(AND(原始資料!BD406&lt;&gt;"",原始資料!BE406=原始資料!BD406),N(BB406)+1,1))</f>
        <v/>
      </c>
      <c r="BD406" s="6">
        <f>IF(OR(原始資料!$A406="",55&gt;設定!$B$3,原始資料!BF406=""),"",IF(AND(原始資料!BE406&lt;&gt;"",原始資料!BF406=原始資料!BE406),N(BC406)+1,1))</f>
        <v/>
      </c>
      <c r="BE406" s="6">
        <f>IF(OR(原始資料!$A406="",56&gt;設定!$B$3,原始資料!BG406=""),"",IF(AND(原始資料!BF406&lt;&gt;"",原始資料!BG406=原始資料!BF406),N(BD406)+1,1))</f>
        <v/>
      </c>
      <c r="BF406" s="6">
        <f>IF(OR(原始資料!$A406="",57&gt;設定!$B$3,原始資料!BH406=""),"",IF(AND(原始資料!BG406&lt;&gt;"",原始資料!BH406=原始資料!BG406),N(BE406)+1,1))</f>
        <v/>
      </c>
      <c r="BG406" s="6">
        <f>IF(OR(原始資料!$A406="",58&gt;設定!$B$3,原始資料!BI406=""),"",IF(AND(原始資料!BH406&lt;&gt;"",原始資料!BI406=原始資料!BH406),N(BF406)+1,1))</f>
        <v/>
      </c>
      <c r="BH406" s="6">
        <f>IF(OR(原始資料!$A406="",59&gt;設定!$B$3,原始資料!BJ406=""),"",IF(AND(原始資料!BI406&lt;&gt;"",原始資料!BJ406=原始資料!BI406),N(BG406)+1,1))</f>
        <v/>
      </c>
      <c r="BI406" s="6">
        <f>IF(OR(原始資料!$A406="",60&gt;設定!$B$3,原始資料!BK406=""),"",IF(AND(原始資料!BJ406&lt;&gt;"",原始資料!BK406=原始資料!BJ406),N(BH406)+1,1))</f>
        <v/>
      </c>
    </row>
    <row r="407">
      <c r="A407" s="6">
        <f>IF(原始資料!$A407="","",原始資料!$A407)</f>
        <v/>
      </c>
      <c r="B407" s="6">
        <f>IF(OR(原始資料!$A407="",1&gt;設定!$B$3,原始資料!D407=""),"",1)</f>
        <v/>
      </c>
      <c r="C407" s="6">
        <f>IF(OR(原始資料!$A407="",2&gt;設定!$B$3,原始資料!E407=""),"",IF(AND(原始資料!D407&lt;&gt;"",原始資料!E407=原始資料!D407),N(B407)+1,1))</f>
        <v/>
      </c>
      <c r="D407" s="6">
        <f>IF(OR(原始資料!$A407="",3&gt;設定!$B$3,原始資料!F407=""),"",IF(AND(原始資料!E407&lt;&gt;"",原始資料!F407=原始資料!E407),N(C407)+1,1))</f>
        <v/>
      </c>
      <c r="E407" s="6">
        <f>IF(OR(原始資料!$A407="",4&gt;設定!$B$3,原始資料!G407=""),"",IF(AND(原始資料!F407&lt;&gt;"",原始資料!G407=原始資料!F407),N(D407)+1,1))</f>
        <v/>
      </c>
      <c r="F407" s="6">
        <f>IF(OR(原始資料!$A407="",5&gt;設定!$B$3,原始資料!H407=""),"",IF(AND(原始資料!G407&lt;&gt;"",原始資料!H407=原始資料!G407),N(E407)+1,1))</f>
        <v/>
      </c>
      <c r="G407" s="6">
        <f>IF(OR(原始資料!$A407="",6&gt;設定!$B$3,原始資料!I407=""),"",IF(AND(原始資料!H407&lt;&gt;"",原始資料!I407=原始資料!H407),N(F407)+1,1))</f>
        <v/>
      </c>
      <c r="H407" s="6">
        <f>IF(OR(原始資料!$A407="",7&gt;設定!$B$3,原始資料!J407=""),"",IF(AND(原始資料!I407&lt;&gt;"",原始資料!J407=原始資料!I407),N(G407)+1,1))</f>
        <v/>
      </c>
      <c r="I407" s="6">
        <f>IF(OR(原始資料!$A407="",8&gt;設定!$B$3,原始資料!K407=""),"",IF(AND(原始資料!J407&lt;&gt;"",原始資料!K407=原始資料!J407),N(H407)+1,1))</f>
        <v/>
      </c>
      <c r="J407" s="6">
        <f>IF(OR(原始資料!$A407="",9&gt;設定!$B$3,原始資料!L407=""),"",IF(AND(原始資料!K407&lt;&gt;"",原始資料!L407=原始資料!K407),N(I407)+1,1))</f>
        <v/>
      </c>
      <c r="K407" s="6">
        <f>IF(OR(原始資料!$A407="",10&gt;設定!$B$3,原始資料!M407=""),"",IF(AND(原始資料!L407&lt;&gt;"",原始資料!M407=原始資料!L407),N(J407)+1,1))</f>
        <v/>
      </c>
      <c r="L407" s="6">
        <f>IF(OR(原始資料!$A407="",11&gt;設定!$B$3,原始資料!N407=""),"",IF(AND(原始資料!M407&lt;&gt;"",原始資料!N407=原始資料!M407),N(K407)+1,1))</f>
        <v/>
      </c>
      <c r="M407" s="6">
        <f>IF(OR(原始資料!$A407="",12&gt;設定!$B$3,原始資料!O407=""),"",IF(AND(原始資料!N407&lt;&gt;"",原始資料!O407=原始資料!N407),N(L407)+1,1))</f>
        <v/>
      </c>
      <c r="N407" s="6">
        <f>IF(OR(原始資料!$A407="",13&gt;設定!$B$3,原始資料!P407=""),"",IF(AND(原始資料!O407&lt;&gt;"",原始資料!P407=原始資料!O407),N(M407)+1,1))</f>
        <v/>
      </c>
      <c r="O407" s="6">
        <f>IF(OR(原始資料!$A407="",14&gt;設定!$B$3,原始資料!Q407=""),"",IF(AND(原始資料!P407&lt;&gt;"",原始資料!Q407=原始資料!P407),N(N407)+1,1))</f>
        <v/>
      </c>
      <c r="P407" s="6">
        <f>IF(OR(原始資料!$A407="",15&gt;設定!$B$3,原始資料!R407=""),"",IF(AND(原始資料!Q407&lt;&gt;"",原始資料!R407=原始資料!Q407),N(O407)+1,1))</f>
        <v/>
      </c>
      <c r="Q407" s="6">
        <f>IF(OR(原始資料!$A407="",16&gt;設定!$B$3,原始資料!S407=""),"",IF(AND(原始資料!R407&lt;&gt;"",原始資料!S407=原始資料!R407),N(P407)+1,1))</f>
        <v/>
      </c>
      <c r="R407" s="6">
        <f>IF(OR(原始資料!$A407="",17&gt;設定!$B$3,原始資料!T407=""),"",IF(AND(原始資料!S407&lt;&gt;"",原始資料!T407=原始資料!S407),N(Q407)+1,1))</f>
        <v/>
      </c>
      <c r="S407" s="6">
        <f>IF(OR(原始資料!$A407="",18&gt;設定!$B$3,原始資料!U407=""),"",IF(AND(原始資料!T407&lt;&gt;"",原始資料!U407=原始資料!T407),N(R407)+1,1))</f>
        <v/>
      </c>
      <c r="T407" s="6">
        <f>IF(OR(原始資料!$A407="",19&gt;設定!$B$3,原始資料!V407=""),"",IF(AND(原始資料!U407&lt;&gt;"",原始資料!V407=原始資料!U407),N(S407)+1,1))</f>
        <v/>
      </c>
      <c r="U407" s="6">
        <f>IF(OR(原始資料!$A407="",20&gt;設定!$B$3,原始資料!W407=""),"",IF(AND(原始資料!V407&lt;&gt;"",原始資料!W407=原始資料!V407),N(T407)+1,1))</f>
        <v/>
      </c>
      <c r="V407" s="6">
        <f>IF(OR(原始資料!$A407="",21&gt;設定!$B$3,原始資料!X407=""),"",IF(AND(原始資料!W407&lt;&gt;"",原始資料!X407=原始資料!W407),N(U407)+1,1))</f>
        <v/>
      </c>
      <c r="W407" s="6">
        <f>IF(OR(原始資料!$A407="",22&gt;設定!$B$3,原始資料!Y407=""),"",IF(AND(原始資料!X407&lt;&gt;"",原始資料!Y407=原始資料!X407),N(V407)+1,1))</f>
        <v/>
      </c>
      <c r="X407" s="6">
        <f>IF(OR(原始資料!$A407="",23&gt;設定!$B$3,原始資料!Z407=""),"",IF(AND(原始資料!Y407&lt;&gt;"",原始資料!Z407=原始資料!Y407),N(W407)+1,1))</f>
        <v/>
      </c>
      <c r="Y407" s="6">
        <f>IF(OR(原始資料!$A407="",24&gt;設定!$B$3,原始資料!AA407=""),"",IF(AND(原始資料!Z407&lt;&gt;"",原始資料!AA407=原始資料!Z407),N(X407)+1,1))</f>
        <v/>
      </c>
      <c r="Z407" s="6">
        <f>IF(OR(原始資料!$A407="",25&gt;設定!$B$3,原始資料!AB407=""),"",IF(AND(原始資料!AA407&lt;&gt;"",原始資料!AB407=原始資料!AA407),N(Y407)+1,1))</f>
        <v/>
      </c>
      <c r="AA407" s="6">
        <f>IF(OR(原始資料!$A407="",26&gt;設定!$B$3,原始資料!AC407=""),"",IF(AND(原始資料!AB407&lt;&gt;"",原始資料!AC407=原始資料!AB407),N(Z407)+1,1))</f>
        <v/>
      </c>
      <c r="AB407" s="6">
        <f>IF(OR(原始資料!$A407="",27&gt;設定!$B$3,原始資料!AD407=""),"",IF(AND(原始資料!AC407&lt;&gt;"",原始資料!AD407=原始資料!AC407),N(AA407)+1,1))</f>
        <v/>
      </c>
      <c r="AC407" s="6">
        <f>IF(OR(原始資料!$A407="",28&gt;設定!$B$3,原始資料!AE407=""),"",IF(AND(原始資料!AD407&lt;&gt;"",原始資料!AE407=原始資料!AD407),N(AB407)+1,1))</f>
        <v/>
      </c>
      <c r="AD407" s="6">
        <f>IF(OR(原始資料!$A407="",29&gt;設定!$B$3,原始資料!AF407=""),"",IF(AND(原始資料!AE407&lt;&gt;"",原始資料!AF407=原始資料!AE407),N(AC407)+1,1))</f>
        <v/>
      </c>
      <c r="AE407" s="6">
        <f>IF(OR(原始資料!$A407="",30&gt;設定!$B$3,原始資料!AG407=""),"",IF(AND(原始資料!AF407&lt;&gt;"",原始資料!AG407=原始資料!AF407),N(AD407)+1,1))</f>
        <v/>
      </c>
      <c r="AF407" s="6">
        <f>IF(OR(原始資料!$A407="",31&gt;設定!$B$3,原始資料!AH407=""),"",IF(AND(原始資料!AG407&lt;&gt;"",原始資料!AH407=原始資料!AG407),N(AE407)+1,1))</f>
        <v/>
      </c>
      <c r="AG407" s="6">
        <f>IF(OR(原始資料!$A407="",32&gt;設定!$B$3,原始資料!AI407=""),"",IF(AND(原始資料!AH407&lt;&gt;"",原始資料!AI407=原始資料!AH407),N(AF407)+1,1))</f>
        <v/>
      </c>
      <c r="AH407" s="6">
        <f>IF(OR(原始資料!$A407="",33&gt;設定!$B$3,原始資料!AJ407=""),"",IF(AND(原始資料!AI407&lt;&gt;"",原始資料!AJ407=原始資料!AI407),N(AG407)+1,1))</f>
        <v/>
      </c>
      <c r="AI407" s="6">
        <f>IF(OR(原始資料!$A407="",34&gt;設定!$B$3,原始資料!AK407=""),"",IF(AND(原始資料!AJ407&lt;&gt;"",原始資料!AK407=原始資料!AJ407),N(AH407)+1,1))</f>
        <v/>
      </c>
      <c r="AJ407" s="6">
        <f>IF(OR(原始資料!$A407="",35&gt;設定!$B$3,原始資料!AL407=""),"",IF(AND(原始資料!AK407&lt;&gt;"",原始資料!AL407=原始資料!AK407),N(AI407)+1,1))</f>
        <v/>
      </c>
      <c r="AK407" s="6">
        <f>IF(OR(原始資料!$A407="",36&gt;設定!$B$3,原始資料!AM407=""),"",IF(AND(原始資料!AL407&lt;&gt;"",原始資料!AM407=原始資料!AL407),N(AJ407)+1,1))</f>
        <v/>
      </c>
      <c r="AL407" s="6">
        <f>IF(OR(原始資料!$A407="",37&gt;設定!$B$3,原始資料!AN407=""),"",IF(AND(原始資料!AM407&lt;&gt;"",原始資料!AN407=原始資料!AM407),N(AK407)+1,1))</f>
        <v/>
      </c>
      <c r="AM407" s="6">
        <f>IF(OR(原始資料!$A407="",38&gt;設定!$B$3,原始資料!AO407=""),"",IF(AND(原始資料!AN407&lt;&gt;"",原始資料!AO407=原始資料!AN407),N(AL407)+1,1))</f>
        <v/>
      </c>
      <c r="AN407" s="6">
        <f>IF(OR(原始資料!$A407="",39&gt;設定!$B$3,原始資料!AP407=""),"",IF(AND(原始資料!AO407&lt;&gt;"",原始資料!AP407=原始資料!AO407),N(AM407)+1,1))</f>
        <v/>
      </c>
      <c r="AO407" s="6">
        <f>IF(OR(原始資料!$A407="",40&gt;設定!$B$3,原始資料!AQ407=""),"",IF(AND(原始資料!AP407&lt;&gt;"",原始資料!AQ407=原始資料!AP407),N(AN407)+1,1))</f>
        <v/>
      </c>
      <c r="AP407" s="6">
        <f>IF(OR(原始資料!$A407="",41&gt;設定!$B$3,原始資料!AR407=""),"",IF(AND(原始資料!AQ407&lt;&gt;"",原始資料!AR407=原始資料!AQ407),N(AO407)+1,1))</f>
        <v/>
      </c>
      <c r="AQ407" s="6">
        <f>IF(OR(原始資料!$A407="",42&gt;設定!$B$3,原始資料!AS407=""),"",IF(AND(原始資料!AR407&lt;&gt;"",原始資料!AS407=原始資料!AR407),N(AP407)+1,1))</f>
        <v/>
      </c>
      <c r="AR407" s="6">
        <f>IF(OR(原始資料!$A407="",43&gt;設定!$B$3,原始資料!AT407=""),"",IF(AND(原始資料!AS407&lt;&gt;"",原始資料!AT407=原始資料!AS407),N(AQ407)+1,1))</f>
        <v/>
      </c>
      <c r="AS407" s="6">
        <f>IF(OR(原始資料!$A407="",44&gt;設定!$B$3,原始資料!AU407=""),"",IF(AND(原始資料!AT407&lt;&gt;"",原始資料!AU407=原始資料!AT407),N(AR407)+1,1))</f>
        <v/>
      </c>
      <c r="AT407" s="6">
        <f>IF(OR(原始資料!$A407="",45&gt;設定!$B$3,原始資料!AV407=""),"",IF(AND(原始資料!AU407&lt;&gt;"",原始資料!AV407=原始資料!AU407),N(AS407)+1,1))</f>
        <v/>
      </c>
      <c r="AU407" s="6">
        <f>IF(OR(原始資料!$A407="",46&gt;設定!$B$3,原始資料!AW407=""),"",IF(AND(原始資料!AV407&lt;&gt;"",原始資料!AW407=原始資料!AV407),N(AT407)+1,1))</f>
        <v/>
      </c>
      <c r="AV407" s="6">
        <f>IF(OR(原始資料!$A407="",47&gt;設定!$B$3,原始資料!AX407=""),"",IF(AND(原始資料!AW407&lt;&gt;"",原始資料!AX407=原始資料!AW407),N(AU407)+1,1))</f>
        <v/>
      </c>
      <c r="AW407" s="6">
        <f>IF(OR(原始資料!$A407="",48&gt;設定!$B$3,原始資料!AY407=""),"",IF(AND(原始資料!AX407&lt;&gt;"",原始資料!AY407=原始資料!AX407),N(AV407)+1,1))</f>
        <v/>
      </c>
      <c r="AX407" s="6">
        <f>IF(OR(原始資料!$A407="",49&gt;設定!$B$3,原始資料!AZ407=""),"",IF(AND(原始資料!AY407&lt;&gt;"",原始資料!AZ407=原始資料!AY407),N(AW407)+1,1))</f>
        <v/>
      </c>
      <c r="AY407" s="6">
        <f>IF(OR(原始資料!$A407="",50&gt;設定!$B$3,原始資料!BA407=""),"",IF(AND(原始資料!AZ407&lt;&gt;"",原始資料!BA407=原始資料!AZ407),N(AX407)+1,1))</f>
        <v/>
      </c>
      <c r="AZ407" s="6">
        <f>IF(OR(原始資料!$A407="",51&gt;設定!$B$3,原始資料!BB407=""),"",IF(AND(原始資料!BA407&lt;&gt;"",原始資料!BB407=原始資料!BA407),N(AY407)+1,1))</f>
        <v/>
      </c>
      <c r="BA407" s="6">
        <f>IF(OR(原始資料!$A407="",52&gt;設定!$B$3,原始資料!BC407=""),"",IF(AND(原始資料!BB407&lt;&gt;"",原始資料!BC407=原始資料!BB407),N(AZ407)+1,1))</f>
        <v/>
      </c>
      <c r="BB407" s="6">
        <f>IF(OR(原始資料!$A407="",53&gt;設定!$B$3,原始資料!BD407=""),"",IF(AND(原始資料!BC407&lt;&gt;"",原始資料!BD407=原始資料!BC407),N(BA407)+1,1))</f>
        <v/>
      </c>
      <c r="BC407" s="6">
        <f>IF(OR(原始資料!$A407="",54&gt;設定!$B$3,原始資料!BE407=""),"",IF(AND(原始資料!BD407&lt;&gt;"",原始資料!BE407=原始資料!BD407),N(BB407)+1,1))</f>
        <v/>
      </c>
      <c r="BD407" s="6">
        <f>IF(OR(原始資料!$A407="",55&gt;設定!$B$3,原始資料!BF407=""),"",IF(AND(原始資料!BE407&lt;&gt;"",原始資料!BF407=原始資料!BE407),N(BC407)+1,1))</f>
        <v/>
      </c>
      <c r="BE407" s="6">
        <f>IF(OR(原始資料!$A407="",56&gt;設定!$B$3,原始資料!BG407=""),"",IF(AND(原始資料!BF407&lt;&gt;"",原始資料!BG407=原始資料!BF407),N(BD407)+1,1))</f>
        <v/>
      </c>
      <c r="BF407" s="6">
        <f>IF(OR(原始資料!$A407="",57&gt;設定!$B$3,原始資料!BH407=""),"",IF(AND(原始資料!BG407&lt;&gt;"",原始資料!BH407=原始資料!BG407),N(BE407)+1,1))</f>
        <v/>
      </c>
      <c r="BG407" s="6">
        <f>IF(OR(原始資料!$A407="",58&gt;設定!$B$3,原始資料!BI407=""),"",IF(AND(原始資料!BH407&lt;&gt;"",原始資料!BI407=原始資料!BH407),N(BF407)+1,1))</f>
        <v/>
      </c>
      <c r="BH407" s="6">
        <f>IF(OR(原始資料!$A407="",59&gt;設定!$B$3,原始資料!BJ407=""),"",IF(AND(原始資料!BI407&lt;&gt;"",原始資料!BJ407=原始資料!BI407),N(BG407)+1,1))</f>
        <v/>
      </c>
      <c r="BI407" s="6">
        <f>IF(OR(原始資料!$A407="",60&gt;設定!$B$3,原始資料!BK407=""),"",IF(AND(原始資料!BJ407&lt;&gt;"",原始資料!BK407=原始資料!BJ407),N(BH407)+1,1))</f>
        <v/>
      </c>
    </row>
    <row r="408">
      <c r="A408" s="6">
        <f>IF(原始資料!$A408="","",原始資料!$A408)</f>
        <v/>
      </c>
      <c r="B408" s="6">
        <f>IF(OR(原始資料!$A408="",1&gt;設定!$B$3,原始資料!D408=""),"",1)</f>
        <v/>
      </c>
      <c r="C408" s="6">
        <f>IF(OR(原始資料!$A408="",2&gt;設定!$B$3,原始資料!E408=""),"",IF(AND(原始資料!D408&lt;&gt;"",原始資料!E408=原始資料!D408),N(B408)+1,1))</f>
        <v/>
      </c>
      <c r="D408" s="6">
        <f>IF(OR(原始資料!$A408="",3&gt;設定!$B$3,原始資料!F408=""),"",IF(AND(原始資料!E408&lt;&gt;"",原始資料!F408=原始資料!E408),N(C408)+1,1))</f>
        <v/>
      </c>
      <c r="E408" s="6">
        <f>IF(OR(原始資料!$A408="",4&gt;設定!$B$3,原始資料!G408=""),"",IF(AND(原始資料!F408&lt;&gt;"",原始資料!G408=原始資料!F408),N(D408)+1,1))</f>
        <v/>
      </c>
      <c r="F408" s="6">
        <f>IF(OR(原始資料!$A408="",5&gt;設定!$B$3,原始資料!H408=""),"",IF(AND(原始資料!G408&lt;&gt;"",原始資料!H408=原始資料!G408),N(E408)+1,1))</f>
        <v/>
      </c>
      <c r="G408" s="6">
        <f>IF(OR(原始資料!$A408="",6&gt;設定!$B$3,原始資料!I408=""),"",IF(AND(原始資料!H408&lt;&gt;"",原始資料!I408=原始資料!H408),N(F408)+1,1))</f>
        <v/>
      </c>
      <c r="H408" s="6">
        <f>IF(OR(原始資料!$A408="",7&gt;設定!$B$3,原始資料!J408=""),"",IF(AND(原始資料!I408&lt;&gt;"",原始資料!J408=原始資料!I408),N(G408)+1,1))</f>
        <v/>
      </c>
      <c r="I408" s="6">
        <f>IF(OR(原始資料!$A408="",8&gt;設定!$B$3,原始資料!K408=""),"",IF(AND(原始資料!J408&lt;&gt;"",原始資料!K408=原始資料!J408),N(H408)+1,1))</f>
        <v/>
      </c>
      <c r="J408" s="6">
        <f>IF(OR(原始資料!$A408="",9&gt;設定!$B$3,原始資料!L408=""),"",IF(AND(原始資料!K408&lt;&gt;"",原始資料!L408=原始資料!K408),N(I408)+1,1))</f>
        <v/>
      </c>
      <c r="K408" s="6">
        <f>IF(OR(原始資料!$A408="",10&gt;設定!$B$3,原始資料!M408=""),"",IF(AND(原始資料!L408&lt;&gt;"",原始資料!M408=原始資料!L408),N(J408)+1,1))</f>
        <v/>
      </c>
      <c r="L408" s="6">
        <f>IF(OR(原始資料!$A408="",11&gt;設定!$B$3,原始資料!N408=""),"",IF(AND(原始資料!M408&lt;&gt;"",原始資料!N408=原始資料!M408),N(K408)+1,1))</f>
        <v/>
      </c>
      <c r="M408" s="6">
        <f>IF(OR(原始資料!$A408="",12&gt;設定!$B$3,原始資料!O408=""),"",IF(AND(原始資料!N408&lt;&gt;"",原始資料!O408=原始資料!N408),N(L408)+1,1))</f>
        <v/>
      </c>
      <c r="N408" s="6">
        <f>IF(OR(原始資料!$A408="",13&gt;設定!$B$3,原始資料!P408=""),"",IF(AND(原始資料!O408&lt;&gt;"",原始資料!P408=原始資料!O408),N(M408)+1,1))</f>
        <v/>
      </c>
      <c r="O408" s="6">
        <f>IF(OR(原始資料!$A408="",14&gt;設定!$B$3,原始資料!Q408=""),"",IF(AND(原始資料!P408&lt;&gt;"",原始資料!Q408=原始資料!P408),N(N408)+1,1))</f>
        <v/>
      </c>
      <c r="P408" s="6">
        <f>IF(OR(原始資料!$A408="",15&gt;設定!$B$3,原始資料!R408=""),"",IF(AND(原始資料!Q408&lt;&gt;"",原始資料!R408=原始資料!Q408),N(O408)+1,1))</f>
        <v/>
      </c>
      <c r="Q408" s="6">
        <f>IF(OR(原始資料!$A408="",16&gt;設定!$B$3,原始資料!S408=""),"",IF(AND(原始資料!R408&lt;&gt;"",原始資料!S408=原始資料!R408),N(P408)+1,1))</f>
        <v/>
      </c>
      <c r="R408" s="6">
        <f>IF(OR(原始資料!$A408="",17&gt;設定!$B$3,原始資料!T408=""),"",IF(AND(原始資料!S408&lt;&gt;"",原始資料!T408=原始資料!S408),N(Q408)+1,1))</f>
        <v/>
      </c>
      <c r="S408" s="6">
        <f>IF(OR(原始資料!$A408="",18&gt;設定!$B$3,原始資料!U408=""),"",IF(AND(原始資料!T408&lt;&gt;"",原始資料!U408=原始資料!T408),N(R408)+1,1))</f>
        <v/>
      </c>
      <c r="T408" s="6">
        <f>IF(OR(原始資料!$A408="",19&gt;設定!$B$3,原始資料!V408=""),"",IF(AND(原始資料!U408&lt;&gt;"",原始資料!V408=原始資料!U408),N(S408)+1,1))</f>
        <v/>
      </c>
      <c r="U408" s="6">
        <f>IF(OR(原始資料!$A408="",20&gt;設定!$B$3,原始資料!W408=""),"",IF(AND(原始資料!V408&lt;&gt;"",原始資料!W408=原始資料!V408),N(T408)+1,1))</f>
        <v/>
      </c>
      <c r="V408" s="6">
        <f>IF(OR(原始資料!$A408="",21&gt;設定!$B$3,原始資料!X408=""),"",IF(AND(原始資料!W408&lt;&gt;"",原始資料!X408=原始資料!W408),N(U408)+1,1))</f>
        <v/>
      </c>
      <c r="W408" s="6">
        <f>IF(OR(原始資料!$A408="",22&gt;設定!$B$3,原始資料!Y408=""),"",IF(AND(原始資料!X408&lt;&gt;"",原始資料!Y408=原始資料!X408),N(V408)+1,1))</f>
        <v/>
      </c>
      <c r="X408" s="6">
        <f>IF(OR(原始資料!$A408="",23&gt;設定!$B$3,原始資料!Z408=""),"",IF(AND(原始資料!Y408&lt;&gt;"",原始資料!Z408=原始資料!Y408),N(W408)+1,1))</f>
        <v/>
      </c>
      <c r="Y408" s="6">
        <f>IF(OR(原始資料!$A408="",24&gt;設定!$B$3,原始資料!AA408=""),"",IF(AND(原始資料!Z408&lt;&gt;"",原始資料!AA408=原始資料!Z408),N(X408)+1,1))</f>
        <v/>
      </c>
      <c r="Z408" s="6">
        <f>IF(OR(原始資料!$A408="",25&gt;設定!$B$3,原始資料!AB408=""),"",IF(AND(原始資料!AA408&lt;&gt;"",原始資料!AB408=原始資料!AA408),N(Y408)+1,1))</f>
        <v/>
      </c>
      <c r="AA408" s="6">
        <f>IF(OR(原始資料!$A408="",26&gt;設定!$B$3,原始資料!AC408=""),"",IF(AND(原始資料!AB408&lt;&gt;"",原始資料!AC408=原始資料!AB408),N(Z408)+1,1))</f>
        <v/>
      </c>
      <c r="AB408" s="6">
        <f>IF(OR(原始資料!$A408="",27&gt;設定!$B$3,原始資料!AD408=""),"",IF(AND(原始資料!AC408&lt;&gt;"",原始資料!AD408=原始資料!AC408),N(AA408)+1,1))</f>
        <v/>
      </c>
      <c r="AC408" s="6">
        <f>IF(OR(原始資料!$A408="",28&gt;設定!$B$3,原始資料!AE408=""),"",IF(AND(原始資料!AD408&lt;&gt;"",原始資料!AE408=原始資料!AD408),N(AB408)+1,1))</f>
        <v/>
      </c>
      <c r="AD408" s="6">
        <f>IF(OR(原始資料!$A408="",29&gt;設定!$B$3,原始資料!AF408=""),"",IF(AND(原始資料!AE408&lt;&gt;"",原始資料!AF408=原始資料!AE408),N(AC408)+1,1))</f>
        <v/>
      </c>
      <c r="AE408" s="6">
        <f>IF(OR(原始資料!$A408="",30&gt;設定!$B$3,原始資料!AG408=""),"",IF(AND(原始資料!AF408&lt;&gt;"",原始資料!AG408=原始資料!AF408),N(AD408)+1,1))</f>
        <v/>
      </c>
      <c r="AF408" s="6">
        <f>IF(OR(原始資料!$A408="",31&gt;設定!$B$3,原始資料!AH408=""),"",IF(AND(原始資料!AG408&lt;&gt;"",原始資料!AH408=原始資料!AG408),N(AE408)+1,1))</f>
        <v/>
      </c>
      <c r="AG408" s="6">
        <f>IF(OR(原始資料!$A408="",32&gt;設定!$B$3,原始資料!AI408=""),"",IF(AND(原始資料!AH408&lt;&gt;"",原始資料!AI408=原始資料!AH408),N(AF408)+1,1))</f>
        <v/>
      </c>
      <c r="AH408" s="6">
        <f>IF(OR(原始資料!$A408="",33&gt;設定!$B$3,原始資料!AJ408=""),"",IF(AND(原始資料!AI408&lt;&gt;"",原始資料!AJ408=原始資料!AI408),N(AG408)+1,1))</f>
        <v/>
      </c>
      <c r="AI408" s="6">
        <f>IF(OR(原始資料!$A408="",34&gt;設定!$B$3,原始資料!AK408=""),"",IF(AND(原始資料!AJ408&lt;&gt;"",原始資料!AK408=原始資料!AJ408),N(AH408)+1,1))</f>
        <v/>
      </c>
      <c r="AJ408" s="6">
        <f>IF(OR(原始資料!$A408="",35&gt;設定!$B$3,原始資料!AL408=""),"",IF(AND(原始資料!AK408&lt;&gt;"",原始資料!AL408=原始資料!AK408),N(AI408)+1,1))</f>
        <v/>
      </c>
      <c r="AK408" s="6">
        <f>IF(OR(原始資料!$A408="",36&gt;設定!$B$3,原始資料!AM408=""),"",IF(AND(原始資料!AL408&lt;&gt;"",原始資料!AM408=原始資料!AL408),N(AJ408)+1,1))</f>
        <v/>
      </c>
      <c r="AL408" s="6">
        <f>IF(OR(原始資料!$A408="",37&gt;設定!$B$3,原始資料!AN408=""),"",IF(AND(原始資料!AM408&lt;&gt;"",原始資料!AN408=原始資料!AM408),N(AK408)+1,1))</f>
        <v/>
      </c>
      <c r="AM408" s="6">
        <f>IF(OR(原始資料!$A408="",38&gt;設定!$B$3,原始資料!AO408=""),"",IF(AND(原始資料!AN408&lt;&gt;"",原始資料!AO408=原始資料!AN408),N(AL408)+1,1))</f>
        <v/>
      </c>
      <c r="AN408" s="6">
        <f>IF(OR(原始資料!$A408="",39&gt;設定!$B$3,原始資料!AP408=""),"",IF(AND(原始資料!AO408&lt;&gt;"",原始資料!AP408=原始資料!AO408),N(AM408)+1,1))</f>
        <v/>
      </c>
      <c r="AO408" s="6">
        <f>IF(OR(原始資料!$A408="",40&gt;設定!$B$3,原始資料!AQ408=""),"",IF(AND(原始資料!AP408&lt;&gt;"",原始資料!AQ408=原始資料!AP408),N(AN408)+1,1))</f>
        <v/>
      </c>
      <c r="AP408" s="6">
        <f>IF(OR(原始資料!$A408="",41&gt;設定!$B$3,原始資料!AR408=""),"",IF(AND(原始資料!AQ408&lt;&gt;"",原始資料!AR408=原始資料!AQ408),N(AO408)+1,1))</f>
        <v/>
      </c>
      <c r="AQ408" s="6">
        <f>IF(OR(原始資料!$A408="",42&gt;設定!$B$3,原始資料!AS408=""),"",IF(AND(原始資料!AR408&lt;&gt;"",原始資料!AS408=原始資料!AR408),N(AP408)+1,1))</f>
        <v/>
      </c>
      <c r="AR408" s="6">
        <f>IF(OR(原始資料!$A408="",43&gt;設定!$B$3,原始資料!AT408=""),"",IF(AND(原始資料!AS408&lt;&gt;"",原始資料!AT408=原始資料!AS408),N(AQ408)+1,1))</f>
        <v/>
      </c>
      <c r="AS408" s="6">
        <f>IF(OR(原始資料!$A408="",44&gt;設定!$B$3,原始資料!AU408=""),"",IF(AND(原始資料!AT408&lt;&gt;"",原始資料!AU408=原始資料!AT408),N(AR408)+1,1))</f>
        <v/>
      </c>
      <c r="AT408" s="6">
        <f>IF(OR(原始資料!$A408="",45&gt;設定!$B$3,原始資料!AV408=""),"",IF(AND(原始資料!AU408&lt;&gt;"",原始資料!AV408=原始資料!AU408),N(AS408)+1,1))</f>
        <v/>
      </c>
      <c r="AU408" s="6">
        <f>IF(OR(原始資料!$A408="",46&gt;設定!$B$3,原始資料!AW408=""),"",IF(AND(原始資料!AV408&lt;&gt;"",原始資料!AW408=原始資料!AV408),N(AT408)+1,1))</f>
        <v/>
      </c>
      <c r="AV408" s="6">
        <f>IF(OR(原始資料!$A408="",47&gt;設定!$B$3,原始資料!AX408=""),"",IF(AND(原始資料!AW408&lt;&gt;"",原始資料!AX408=原始資料!AW408),N(AU408)+1,1))</f>
        <v/>
      </c>
      <c r="AW408" s="6">
        <f>IF(OR(原始資料!$A408="",48&gt;設定!$B$3,原始資料!AY408=""),"",IF(AND(原始資料!AX408&lt;&gt;"",原始資料!AY408=原始資料!AX408),N(AV408)+1,1))</f>
        <v/>
      </c>
      <c r="AX408" s="6">
        <f>IF(OR(原始資料!$A408="",49&gt;設定!$B$3,原始資料!AZ408=""),"",IF(AND(原始資料!AY408&lt;&gt;"",原始資料!AZ408=原始資料!AY408),N(AW408)+1,1))</f>
        <v/>
      </c>
      <c r="AY408" s="6">
        <f>IF(OR(原始資料!$A408="",50&gt;設定!$B$3,原始資料!BA408=""),"",IF(AND(原始資料!AZ408&lt;&gt;"",原始資料!BA408=原始資料!AZ408),N(AX408)+1,1))</f>
        <v/>
      </c>
      <c r="AZ408" s="6">
        <f>IF(OR(原始資料!$A408="",51&gt;設定!$B$3,原始資料!BB408=""),"",IF(AND(原始資料!BA408&lt;&gt;"",原始資料!BB408=原始資料!BA408),N(AY408)+1,1))</f>
        <v/>
      </c>
      <c r="BA408" s="6">
        <f>IF(OR(原始資料!$A408="",52&gt;設定!$B$3,原始資料!BC408=""),"",IF(AND(原始資料!BB408&lt;&gt;"",原始資料!BC408=原始資料!BB408),N(AZ408)+1,1))</f>
        <v/>
      </c>
      <c r="BB408" s="6">
        <f>IF(OR(原始資料!$A408="",53&gt;設定!$B$3,原始資料!BD408=""),"",IF(AND(原始資料!BC408&lt;&gt;"",原始資料!BD408=原始資料!BC408),N(BA408)+1,1))</f>
        <v/>
      </c>
      <c r="BC408" s="6">
        <f>IF(OR(原始資料!$A408="",54&gt;設定!$B$3,原始資料!BE408=""),"",IF(AND(原始資料!BD408&lt;&gt;"",原始資料!BE408=原始資料!BD408),N(BB408)+1,1))</f>
        <v/>
      </c>
      <c r="BD408" s="6">
        <f>IF(OR(原始資料!$A408="",55&gt;設定!$B$3,原始資料!BF408=""),"",IF(AND(原始資料!BE408&lt;&gt;"",原始資料!BF408=原始資料!BE408),N(BC408)+1,1))</f>
        <v/>
      </c>
      <c r="BE408" s="6">
        <f>IF(OR(原始資料!$A408="",56&gt;設定!$B$3,原始資料!BG408=""),"",IF(AND(原始資料!BF408&lt;&gt;"",原始資料!BG408=原始資料!BF408),N(BD408)+1,1))</f>
        <v/>
      </c>
      <c r="BF408" s="6">
        <f>IF(OR(原始資料!$A408="",57&gt;設定!$B$3,原始資料!BH408=""),"",IF(AND(原始資料!BG408&lt;&gt;"",原始資料!BH408=原始資料!BG408),N(BE408)+1,1))</f>
        <v/>
      </c>
      <c r="BG408" s="6">
        <f>IF(OR(原始資料!$A408="",58&gt;設定!$B$3,原始資料!BI408=""),"",IF(AND(原始資料!BH408&lt;&gt;"",原始資料!BI408=原始資料!BH408),N(BF408)+1,1))</f>
        <v/>
      </c>
      <c r="BH408" s="6">
        <f>IF(OR(原始資料!$A408="",59&gt;設定!$B$3,原始資料!BJ408=""),"",IF(AND(原始資料!BI408&lt;&gt;"",原始資料!BJ408=原始資料!BI408),N(BG408)+1,1))</f>
        <v/>
      </c>
      <c r="BI408" s="6">
        <f>IF(OR(原始資料!$A408="",60&gt;設定!$B$3,原始資料!BK408=""),"",IF(AND(原始資料!BJ408&lt;&gt;"",原始資料!BK408=原始資料!BJ408),N(BH408)+1,1))</f>
        <v/>
      </c>
    </row>
    <row r="409">
      <c r="A409" s="6">
        <f>IF(原始資料!$A409="","",原始資料!$A409)</f>
        <v/>
      </c>
      <c r="B409" s="6">
        <f>IF(OR(原始資料!$A409="",1&gt;設定!$B$3,原始資料!D409=""),"",1)</f>
        <v/>
      </c>
      <c r="C409" s="6">
        <f>IF(OR(原始資料!$A409="",2&gt;設定!$B$3,原始資料!E409=""),"",IF(AND(原始資料!D409&lt;&gt;"",原始資料!E409=原始資料!D409),N(B409)+1,1))</f>
        <v/>
      </c>
      <c r="D409" s="6">
        <f>IF(OR(原始資料!$A409="",3&gt;設定!$B$3,原始資料!F409=""),"",IF(AND(原始資料!E409&lt;&gt;"",原始資料!F409=原始資料!E409),N(C409)+1,1))</f>
        <v/>
      </c>
      <c r="E409" s="6">
        <f>IF(OR(原始資料!$A409="",4&gt;設定!$B$3,原始資料!G409=""),"",IF(AND(原始資料!F409&lt;&gt;"",原始資料!G409=原始資料!F409),N(D409)+1,1))</f>
        <v/>
      </c>
      <c r="F409" s="6">
        <f>IF(OR(原始資料!$A409="",5&gt;設定!$B$3,原始資料!H409=""),"",IF(AND(原始資料!G409&lt;&gt;"",原始資料!H409=原始資料!G409),N(E409)+1,1))</f>
        <v/>
      </c>
      <c r="G409" s="6">
        <f>IF(OR(原始資料!$A409="",6&gt;設定!$B$3,原始資料!I409=""),"",IF(AND(原始資料!H409&lt;&gt;"",原始資料!I409=原始資料!H409),N(F409)+1,1))</f>
        <v/>
      </c>
      <c r="H409" s="6">
        <f>IF(OR(原始資料!$A409="",7&gt;設定!$B$3,原始資料!J409=""),"",IF(AND(原始資料!I409&lt;&gt;"",原始資料!J409=原始資料!I409),N(G409)+1,1))</f>
        <v/>
      </c>
      <c r="I409" s="6">
        <f>IF(OR(原始資料!$A409="",8&gt;設定!$B$3,原始資料!K409=""),"",IF(AND(原始資料!J409&lt;&gt;"",原始資料!K409=原始資料!J409),N(H409)+1,1))</f>
        <v/>
      </c>
      <c r="J409" s="6">
        <f>IF(OR(原始資料!$A409="",9&gt;設定!$B$3,原始資料!L409=""),"",IF(AND(原始資料!K409&lt;&gt;"",原始資料!L409=原始資料!K409),N(I409)+1,1))</f>
        <v/>
      </c>
      <c r="K409" s="6">
        <f>IF(OR(原始資料!$A409="",10&gt;設定!$B$3,原始資料!M409=""),"",IF(AND(原始資料!L409&lt;&gt;"",原始資料!M409=原始資料!L409),N(J409)+1,1))</f>
        <v/>
      </c>
      <c r="L409" s="6">
        <f>IF(OR(原始資料!$A409="",11&gt;設定!$B$3,原始資料!N409=""),"",IF(AND(原始資料!M409&lt;&gt;"",原始資料!N409=原始資料!M409),N(K409)+1,1))</f>
        <v/>
      </c>
      <c r="M409" s="6">
        <f>IF(OR(原始資料!$A409="",12&gt;設定!$B$3,原始資料!O409=""),"",IF(AND(原始資料!N409&lt;&gt;"",原始資料!O409=原始資料!N409),N(L409)+1,1))</f>
        <v/>
      </c>
      <c r="N409" s="6">
        <f>IF(OR(原始資料!$A409="",13&gt;設定!$B$3,原始資料!P409=""),"",IF(AND(原始資料!O409&lt;&gt;"",原始資料!P409=原始資料!O409),N(M409)+1,1))</f>
        <v/>
      </c>
      <c r="O409" s="6">
        <f>IF(OR(原始資料!$A409="",14&gt;設定!$B$3,原始資料!Q409=""),"",IF(AND(原始資料!P409&lt;&gt;"",原始資料!Q409=原始資料!P409),N(N409)+1,1))</f>
        <v/>
      </c>
      <c r="P409" s="6">
        <f>IF(OR(原始資料!$A409="",15&gt;設定!$B$3,原始資料!R409=""),"",IF(AND(原始資料!Q409&lt;&gt;"",原始資料!R409=原始資料!Q409),N(O409)+1,1))</f>
        <v/>
      </c>
      <c r="Q409" s="6">
        <f>IF(OR(原始資料!$A409="",16&gt;設定!$B$3,原始資料!S409=""),"",IF(AND(原始資料!R409&lt;&gt;"",原始資料!S409=原始資料!R409),N(P409)+1,1))</f>
        <v/>
      </c>
      <c r="R409" s="6">
        <f>IF(OR(原始資料!$A409="",17&gt;設定!$B$3,原始資料!T409=""),"",IF(AND(原始資料!S409&lt;&gt;"",原始資料!T409=原始資料!S409),N(Q409)+1,1))</f>
        <v/>
      </c>
      <c r="S409" s="6">
        <f>IF(OR(原始資料!$A409="",18&gt;設定!$B$3,原始資料!U409=""),"",IF(AND(原始資料!T409&lt;&gt;"",原始資料!U409=原始資料!T409),N(R409)+1,1))</f>
        <v/>
      </c>
      <c r="T409" s="6">
        <f>IF(OR(原始資料!$A409="",19&gt;設定!$B$3,原始資料!V409=""),"",IF(AND(原始資料!U409&lt;&gt;"",原始資料!V409=原始資料!U409),N(S409)+1,1))</f>
        <v/>
      </c>
      <c r="U409" s="6">
        <f>IF(OR(原始資料!$A409="",20&gt;設定!$B$3,原始資料!W409=""),"",IF(AND(原始資料!V409&lt;&gt;"",原始資料!W409=原始資料!V409),N(T409)+1,1))</f>
        <v/>
      </c>
      <c r="V409" s="6">
        <f>IF(OR(原始資料!$A409="",21&gt;設定!$B$3,原始資料!X409=""),"",IF(AND(原始資料!W409&lt;&gt;"",原始資料!X409=原始資料!W409),N(U409)+1,1))</f>
        <v/>
      </c>
      <c r="W409" s="6">
        <f>IF(OR(原始資料!$A409="",22&gt;設定!$B$3,原始資料!Y409=""),"",IF(AND(原始資料!X409&lt;&gt;"",原始資料!Y409=原始資料!X409),N(V409)+1,1))</f>
        <v/>
      </c>
      <c r="X409" s="6">
        <f>IF(OR(原始資料!$A409="",23&gt;設定!$B$3,原始資料!Z409=""),"",IF(AND(原始資料!Y409&lt;&gt;"",原始資料!Z409=原始資料!Y409),N(W409)+1,1))</f>
        <v/>
      </c>
      <c r="Y409" s="6">
        <f>IF(OR(原始資料!$A409="",24&gt;設定!$B$3,原始資料!AA409=""),"",IF(AND(原始資料!Z409&lt;&gt;"",原始資料!AA409=原始資料!Z409),N(X409)+1,1))</f>
        <v/>
      </c>
      <c r="Z409" s="6">
        <f>IF(OR(原始資料!$A409="",25&gt;設定!$B$3,原始資料!AB409=""),"",IF(AND(原始資料!AA409&lt;&gt;"",原始資料!AB409=原始資料!AA409),N(Y409)+1,1))</f>
        <v/>
      </c>
      <c r="AA409" s="6">
        <f>IF(OR(原始資料!$A409="",26&gt;設定!$B$3,原始資料!AC409=""),"",IF(AND(原始資料!AB409&lt;&gt;"",原始資料!AC409=原始資料!AB409),N(Z409)+1,1))</f>
        <v/>
      </c>
      <c r="AB409" s="6">
        <f>IF(OR(原始資料!$A409="",27&gt;設定!$B$3,原始資料!AD409=""),"",IF(AND(原始資料!AC409&lt;&gt;"",原始資料!AD409=原始資料!AC409),N(AA409)+1,1))</f>
        <v/>
      </c>
      <c r="AC409" s="6">
        <f>IF(OR(原始資料!$A409="",28&gt;設定!$B$3,原始資料!AE409=""),"",IF(AND(原始資料!AD409&lt;&gt;"",原始資料!AE409=原始資料!AD409),N(AB409)+1,1))</f>
        <v/>
      </c>
      <c r="AD409" s="6">
        <f>IF(OR(原始資料!$A409="",29&gt;設定!$B$3,原始資料!AF409=""),"",IF(AND(原始資料!AE409&lt;&gt;"",原始資料!AF409=原始資料!AE409),N(AC409)+1,1))</f>
        <v/>
      </c>
      <c r="AE409" s="6">
        <f>IF(OR(原始資料!$A409="",30&gt;設定!$B$3,原始資料!AG409=""),"",IF(AND(原始資料!AF409&lt;&gt;"",原始資料!AG409=原始資料!AF409),N(AD409)+1,1))</f>
        <v/>
      </c>
      <c r="AF409" s="6">
        <f>IF(OR(原始資料!$A409="",31&gt;設定!$B$3,原始資料!AH409=""),"",IF(AND(原始資料!AG409&lt;&gt;"",原始資料!AH409=原始資料!AG409),N(AE409)+1,1))</f>
        <v/>
      </c>
      <c r="AG409" s="6">
        <f>IF(OR(原始資料!$A409="",32&gt;設定!$B$3,原始資料!AI409=""),"",IF(AND(原始資料!AH409&lt;&gt;"",原始資料!AI409=原始資料!AH409),N(AF409)+1,1))</f>
        <v/>
      </c>
      <c r="AH409" s="6">
        <f>IF(OR(原始資料!$A409="",33&gt;設定!$B$3,原始資料!AJ409=""),"",IF(AND(原始資料!AI409&lt;&gt;"",原始資料!AJ409=原始資料!AI409),N(AG409)+1,1))</f>
        <v/>
      </c>
      <c r="AI409" s="6">
        <f>IF(OR(原始資料!$A409="",34&gt;設定!$B$3,原始資料!AK409=""),"",IF(AND(原始資料!AJ409&lt;&gt;"",原始資料!AK409=原始資料!AJ409),N(AH409)+1,1))</f>
        <v/>
      </c>
      <c r="AJ409" s="6">
        <f>IF(OR(原始資料!$A409="",35&gt;設定!$B$3,原始資料!AL409=""),"",IF(AND(原始資料!AK409&lt;&gt;"",原始資料!AL409=原始資料!AK409),N(AI409)+1,1))</f>
        <v/>
      </c>
      <c r="AK409" s="6">
        <f>IF(OR(原始資料!$A409="",36&gt;設定!$B$3,原始資料!AM409=""),"",IF(AND(原始資料!AL409&lt;&gt;"",原始資料!AM409=原始資料!AL409),N(AJ409)+1,1))</f>
        <v/>
      </c>
      <c r="AL409" s="6">
        <f>IF(OR(原始資料!$A409="",37&gt;設定!$B$3,原始資料!AN409=""),"",IF(AND(原始資料!AM409&lt;&gt;"",原始資料!AN409=原始資料!AM409),N(AK409)+1,1))</f>
        <v/>
      </c>
      <c r="AM409" s="6">
        <f>IF(OR(原始資料!$A409="",38&gt;設定!$B$3,原始資料!AO409=""),"",IF(AND(原始資料!AN409&lt;&gt;"",原始資料!AO409=原始資料!AN409),N(AL409)+1,1))</f>
        <v/>
      </c>
      <c r="AN409" s="6">
        <f>IF(OR(原始資料!$A409="",39&gt;設定!$B$3,原始資料!AP409=""),"",IF(AND(原始資料!AO409&lt;&gt;"",原始資料!AP409=原始資料!AO409),N(AM409)+1,1))</f>
        <v/>
      </c>
      <c r="AO409" s="6">
        <f>IF(OR(原始資料!$A409="",40&gt;設定!$B$3,原始資料!AQ409=""),"",IF(AND(原始資料!AP409&lt;&gt;"",原始資料!AQ409=原始資料!AP409),N(AN409)+1,1))</f>
        <v/>
      </c>
      <c r="AP409" s="6">
        <f>IF(OR(原始資料!$A409="",41&gt;設定!$B$3,原始資料!AR409=""),"",IF(AND(原始資料!AQ409&lt;&gt;"",原始資料!AR409=原始資料!AQ409),N(AO409)+1,1))</f>
        <v/>
      </c>
      <c r="AQ409" s="6">
        <f>IF(OR(原始資料!$A409="",42&gt;設定!$B$3,原始資料!AS409=""),"",IF(AND(原始資料!AR409&lt;&gt;"",原始資料!AS409=原始資料!AR409),N(AP409)+1,1))</f>
        <v/>
      </c>
      <c r="AR409" s="6">
        <f>IF(OR(原始資料!$A409="",43&gt;設定!$B$3,原始資料!AT409=""),"",IF(AND(原始資料!AS409&lt;&gt;"",原始資料!AT409=原始資料!AS409),N(AQ409)+1,1))</f>
        <v/>
      </c>
      <c r="AS409" s="6">
        <f>IF(OR(原始資料!$A409="",44&gt;設定!$B$3,原始資料!AU409=""),"",IF(AND(原始資料!AT409&lt;&gt;"",原始資料!AU409=原始資料!AT409),N(AR409)+1,1))</f>
        <v/>
      </c>
      <c r="AT409" s="6">
        <f>IF(OR(原始資料!$A409="",45&gt;設定!$B$3,原始資料!AV409=""),"",IF(AND(原始資料!AU409&lt;&gt;"",原始資料!AV409=原始資料!AU409),N(AS409)+1,1))</f>
        <v/>
      </c>
      <c r="AU409" s="6">
        <f>IF(OR(原始資料!$A409="",46&gt;設定!$B$3,原始資料!AW409=""),"",IF(AND(原始資料!AV409&lt;&gt;"",原始資料!AW409=原始資料!AV409),N(AT409)+1,1))</f>
        <v/>
      </c>
      <c r="AV409" s="6">
        <f>IF(OR(原始資料!$A409="",47&gt;設定!$B$3,原始資料!AX409=""),"",IF(AND(原始資料!AW409&lt;&gt;"",原始資料!AX409=原始資料!AW409),N(AU409)+1,1))</f>
        <v/>
      </c>
      <c r="AW409" s="6">
        <f>IF(OR(原始資料!$A409="",48&gt;設定!$B$3,原始資料!AY409=""),"",IF(AND(原始資料!AX409&lt;&gt;"",原始資料!AY409=原始資料!AX409),N(AV409)+1,1))</f>
        <v/>
      </c>
      <c r="AX409" s="6">
        <f>IF(OR(原始資料!$A409="",49&gt;設定!$B$3,原始資料!AZ409=""),"",IF(AND(原始資料!AY409&lt;&gt;"",原始資料!AZ409=原始資料!AY409),N(AW409)+1,1))</f>
        <v/>
      </c>
      <c r="AY409" s="6">
        <f>IF(OR(原始資料!$A409="",50&gt;設定!$B$3,原始資料!BA409=""),"",IF(AND(原始資料!AZ409&lt;&gt;"",原始資料!BA409=原始資料!AZ409),N(AX409)+1,1))</f>
        <v/>
      </c>
      <c r="AZ409" s="6">
        <f>IF(OR(原始資料!$A409="",51&gt;設定!$B$3,原始資料!BB409=""),"",IF(AND(原始資料!BA409&lt;&gt;"",原始資料!BB409=原始資料!BA409),N(AY409)+1,1))</f>
        <v/>
      </c>
      <c r="BA409" s="6">
        <f>IF(OR(原始資料!$A409="",52&gt;設定!$B$3,原始資料!BC409=""),"",IF(AND(原始資料!BB409&lt;&gt;"",原始資料!BC409=原始資料!BB409),N(AZ409)+1,1))</f>
        <v/>
      </c>
      <c r="BB409" s="6">
        <f>IF(OR(原始資料!$A409="",53&gt;設定!$B$3,原始資料!BD409=""),"",IF(AND(原始資料!BC409&lt;&gt;"",原始資料!BD409=原始資料!BC409),N(BA409)+1,1))</f>
        <v/>
      </c>
      <c r="BC409" s="6">
        <f>IF(OR(原始資料!$A409="",54&gt;設定!$B$3,原始資料!BE409=""),"",IF(AND(原始資料!BD409&lt;&gt;"",原始資料!BE409=原始資料!BD409),N(BB409)+1,1))</f>
        <v/>
      </c>
      <c r="BD409" s="6">
        <f>IF(OR(原始資料!$A409="",55&gt;設定!$B$3,原始資料!BF409=""),"",IF(AND(原始資料!BE409&lt;&gt;"",原始資料!BF409=原始資料!BE409),N(BC409)+1,1))</f>
        <v/>
      </c>
      <c r="BE409" s="6">
        <f>IF(OR(原始資料!$A409="",56&gt;設定!$B$3,原始資料!BG409=""),"",IF(AND(原始資料!BF409&lt;&gt;"",原始資料!BG409=原始資料!BF409),N(BD409)+1,1))</f>
        <v/>
      </c>
      <c r="BF409" s="6">
        <f>IF(OR(原始資料!$A409="",57&gt;設定!$B$3,原始資料!BH409=""),"",IF(AND(原始資料!BG409&lt;&gt;"",原始資料!BH409=原始資料!BG409),N(BE409)+1,1))</f>
        <v/>
      </c>
      <c r="BG409" s="6">
        <f>IF(OR(原始資料!$A409="",58&gt;設定!$B$3,原始資料!BI409=""),"",IF(AND(原始資料!BH409&lt;&gt;"",原始資料!BI409=原始資料!BH409),N(BF409)+1,1))</f>
        <v/>
      </c>
      <c r="BH409" s="6">
        <f>IF(OR(原始資料!$A409="",59&gt;設定!$B$3,原始資料!BJ409=""),"",IF(AND(原始資料!BI409&lt;&gt;"",原始資料!BJ409=原始資料!BI409),N(BG409)+1,1))</f>
        <v/>
      </c>
      <c r="BI409" s="6">
        <f>IF(OR(原始資料!$A409="",60&gt;設定!$B$3,原始資料!BK409=""),"",IF(AND(原始資料!BJ409&lt;&gt;"",原始資料!BK409=原始資料!BJ409),N(BH409)+1,1))</f>
        <v/>
      </c>
    </row>
    <row r="410">
      <c r="A410" s="6">
        <f>IF(原始資料!$A410="","",原始資料!$A410)</f>
        <v/>
      </c>
      <c r="B410" s="6">
        <f>IF(OR(原始資料!$A410="",1&gt;設定!$B$3,原始資料!D410=""),"",1)</f>
        <v/>
      </c>
      <c r="C410" s="6">
        <f>IF(OR(原始資料!$A410="",2&gt;設定!$B$3,原始資料!E410=""),"",IF(AND(原始資料!D410&lt;&gt;"",原始資料!E410=原始資料!D410),N(B410)+1,1))</f>
        <v/>
      </c>
      <c r="D410" s="6">
        <f>IF(OR(原始資料!$A410="",3&gt;設定!$B$3,原始資料!F410=""),"",IF(AND(原始資料!E410&lt;&gt;"",原始資料!F410=原始資料!E410),N(C410)+1,1))</f>
        <v/>
      </c>
      <c r="E410" s="6">
        <f>IF(OR(原始資料!$A410="",4&gt;設定!$B$3,原始資料!G410=""),"",IF(AND(原始資料!F410&lt;&gt;"",原始資料!G410=原始資料!F410),N(D410)+1,1))</f>
        <v/>
      </c>
      <c r="F410" s="6">
        <f>IF(OR(原始資料!$A410="",5&gt;設定!$B$3,原始資料!H410=""),"",IF(AND(原始資料!G410&lt;&gt;"",原始資料!H410=原始資料!G410),N(E410)+1,1))</f>
        <v/>
      </c>
      <c r="G410" s="6">
        <f>IF(OR(原始資料!$A410="",6&gt;設定!$B$3,原始資料!I410=""),"",IF(AND(原始資料!H410&lt;&gt;"",原始資料!I410=原始資料!H410),N(F410)+1,1))</f>
        <v/>
      </c>
      <c r="H410" s="6">
        <f>IF(OR(原始資料!$A410="",7&gt;設定!$B$3,原始資料!J410=""),"",IF(AND(原始資料!I410&lt;&gt;"",原始資料!J410=原始資料!I410),N(G410)+1,1))</f>
        <v/>
      </c>
      <c r="I410" s="6">
        <f>IF(OR(原始資料!$A410="",8&gt;設定!$B$3,原始資料!K410=""),"",IF(AND(原始資料!J410&lt;&gt;"",原始資料!K410=原始資料!J410),N(H410)+1,1))</f>
        <v/>
      </c>
      <c r="J410" s="6">
        <f>IF(OR(原始資料!$A410="",9&gt;設定!$B$3,原始資料!L410=""),"",IF(AND(原始資料!K410&lt;&gt;"",原始資料!L410=原始資料!K410),N(I410)+1,1))</f>
        <v/>
      </c>
      <c r="K410" s="6">
        <f>IF(OR(原始資料!$A410="",10&gt;設定!$B$3,原始資料!M410=""),"",IF(AND(原始資料!L410&lt;&gt;"",原始資料!M410=原始資料!L410),N(J410)+1,1))</f>
        <v/>
      </c>
      <c r="L410" s="6">
        <f>IF(OR(原始資料!$A410="",11&gt;設定!$B$3,原始資料!N410=""),"",IF(AND(原始資料!M410&lt;&gt;"",原始資料!N410=原始資料!M410),N(K410)+1,1))</f>
        <v/>
      </c>
      <c r="M410" s="6">
        <f>IF(OR(原始資料!$A410="",12&gt;設定!$B$3,原始資料!O410=""),"",IF(AND(原始資料!N410&lt;&gt;"",原始資料!O410=原始資料!N410),N(L410)+1,1))</f>
        <v/>
      </c>
      <c r="N410" s="6">
        <f>IF(OR(原始資料!$A410="",13&gt;設定!$B$3,原始資料!P410=""),"",IF(AND(原始資料!O410&lt;&gt;"",原始資料!P410=原始資料!O410),N(M410)+1,1))</f>
        <v/>
      </c>
      <c r="O410" s="6">
        <f>IF(OR(原始資料!$A410="",14&gt;設定!$B$3,原始資料!Q410=""),"",IF(AND(原始資料!P410&lt;&gt;"",原始資料!Q410=原始資料!P410),N(N410)+1,1))</f>
        <v/>
      </c>
      <c r="P410" s="6">
        <f>IF(OR(原始資料!$A410="",15&gt;設定!$B$3,原始資料!R410=""),"",IF(AND(原始資料!Q410&lt;&gt;"",原始資料!R410=原始資料!Q410),N(O410)+1,1))</f>
        <v/>
      </c>
      <c r="Q410" s="6">
        <f>IF(OR(原始資料!$A410="",16&gt;設定!$B$3,原始資料!S410=""),"",IF(AND(原始資料!R410&lt;&gt;"",原始資料!S410=原始資料!R410),N(P410)+1,1))</f>
        <v/>
      </c>
      <c r="R410" s="6">
        <f>IF(OR(原始資料!$A410="",17&gt;設定!$B$3,原始資料!T410=""),"",IF(AND(原始資料!S410&lt;&gt;"",原始資料!T410=原始資料!S410),N(Q410)+1,1))</f>
        <v/>
      </c>
      <c r="S410" s="6">
        <f>IF(OR(原始資料!$A410="",18&gt;設定!$B$3,原始資料!U410=""),"",IF(AND(原始資料!T410&lt;&gt;"",原始資料!U410=原始資料!T410),N(R410)+1,1))</f>
        <v/>
      </c>
      <c r="T410" s="6">
        <f>IF(OR(原始資料!$A410="",19&gt;設定!$B$3,原始資料!V410=""),"",IF(AND(原始資料!U410&lt;&gt;"",原始資料!V410=原始資料!U410),N(S410)+1,1))</f>
        <v/>
      </c>
      <c r="U410" s="6">
        <f>IF(OR(原始資料!$A410="",20&gt;設定!$B$3,原始資料!W410=""),"",IF(AND(原始資料!V410&lt;&gt;"",原始資料!W410=原始資料!V410),N(T410)+1,1))</f>
        <v/>
      </c>
      <c r="V410" s="6">
        <f>IF(OR(原始資料!$A410="",21&gt;設定!$B$3,原始資料!X410=""),"",IF(AND(原始資料!W410&lt;&gt;"",原始資料!X410=原始資料!W410),N(U410)+1,1))</f>
        <v/>
      </c>
      <c r="W410" s="6">
        <f>IF(OR(原始資料!$A410="",22&gt;設定!$B$3,原始資料!Y410=""),"",IF(AND(原始資料!X410&lt;&gt;"",原始資料!Y410=原始資料!X410),N(V410)+1,1))</f>
        <v/>
      </c>
      <c r="X410" s="6">
        <f>IF(OR(原始資料!$A410="",23&gt;設定!$B$3,原始資料!Z410=""),"",IF(AND(原始資料!Y410&lt;&gt;"",原始資料!Z410=原始資料!Y410),N(W410)+1,1))</f>
        <v/>
      </c>
      <c r="Y410" s="6">
        <f>IF(OR(原始資料!$A410="",24&gt;設定!$B$3,原始資料!AA410=""),"",IF(AND(原始資料!Z410&lt;&gt;"",原始資料!AA410=原始資料!Z410),N(X410)+1,1))</f>
        <v/>
      </c>
      <c r="Z410" s="6">
        <f>IF(OR(原始資料!$A410="",25&gt;設定!$B$3,原始資料!AB410=""),"",IF(AND(原始資料!AA410&lt;&gt;"",原始資料!AB410=原始資料!AA410),N(Y410)+1,1))</f>
        <v/>
      </c>
      <c r="AA410" s="6">
        <f>IF(OR(原始資料!$A410="",26&gt;設定!$B$3,原始資料!AC410=""),"",IF(AND(原始資料!AB410&lt;&gt;"",原始資料!AC410=原始資料!AB410),N(Z410)+1,1))</f>
        <v/>
      </c>
      <c r="AB410" s="6">
        <f>IF(OR(原始資料!$A410="",27&gt;設定!$B$3,原始資料!AD410=""),"",IF(AND(原始資料!AC410&lt;&gt;"",原始資料!AD410=原始資料!AC410),N(AA410)+1,1))</f>
        <v/>
      </c>
      <c r="AC410" s="6">
        <f>IF(OR(原始資料!$A410="",28&gt;設定!$B$3,原始資料!AE410=""),"",IF(AND(原始資料!AD410&lt;&gt;"",原始資料!AE410=原始資料!AD410),N(AB410)+1,1))</f>
        <v/>
      </c>
      <c r="AD410" s="6">
        <f>IF(OR(原始資料!$A410="",29&gt;設定!$B$3,原始資料!AF410=""),"",IF(AND(原始資料!AE410&lt;&gt;"",原始資料!AF410=原始資料!AE410),N(AC410)+1,1))</f>
        <v/>
      </c>
      <c r="AE410" s="6">
        <f>IF(OR(原始資料!$A410="",30&gt;設定!$B$3,原始資料!AG410=""),"",IF(AND(原始資料!AF410&lt;&gt;"",原始資料!AG410=原始資料!AF410),N(AD410)+1,1))</f>
        <v/>
      </c>
      <c r="AF410" s="6">
        <f>IF(OR(原始資料!$A410="",31&gt;設定!$B$3,原始資料!AH410=""),"",IF(AND(原始資料!AG410&lt;&gt;"",原始資料!AH410=原始資料!AG410),N(AE410)+1,1))</f>
        <v/>
      </c>
      <c r="AG410" s="6">
        <f>IF(OR(原始資料!$A410="",32&gt;設定!$B$3,原始資料!AI410=""),"",IF(AND(原始資料!AH410&lt;&gt;"",原始資料!AI410=原始資料!AH410),N(AF410)+1,1))</f>
        <v/>
      </c>
      <c r="AH410" s="6">
        <f>IF(OR(原始資料!$A410="",33&gt;設定!$B$3,原始資料!AJ410=""),"",IF(AND(原始資料!AI410&lt;&gt;"",原始資料!AJ410=原始資料!AI410),N(AG410)+1,1))</f>
        <v/>
      </c>
      <c r="AI410" s="6">
        <f>IF(OR(原始資料!$A410="",34&gt;設定!$B$3,原始資料!AK410=""),"",IF(AND(原始資料!AJ410&lt;&gt;"",原始資料!AK410=原始資料!AJ410),N(AH410)+1,1))</f>
        <v/>
      </c>
      <c r="AJ410" s="6">
        <f>IF(OR(原始資料!$A410="",35&gt;設定!$B$3,原始資料!AL410=""),"",IF(AND(原始資料!AK410&lt;&gt;"",原始資料!AL410=原始資料!AK410),N(AI410)+1,1))</f>
        <v/>
      </c>
      <c r="AK410" s="6">
        <f>IF(OR(原始資料!$A410="",36&gt;設定!$B$3,原始資料!AM410=""),"",IF(AND(原始資料!AL410&lt;&gt;"",原始資料!AM410=原始資料!AL410),N(AJ410)+1,1))</f>
        <v/>
      </c>
      <c r="AL410" s="6">
        <f>IF(OR(原始資料!$A410="",37&gt;設定!$B$3,原始資料!AN410=""),"",IF(AND(原始資料!AM410&lt;&gt;"",原始資料!AN410=原始資料!AM410),N(AK410)+1,1))</f>
        <v/>
      </c>
      <c r="AM410" s="6">
        <f>IF(OR(原始資料!$A410="",38&gt;設定!$B$3,原始資料!AO410=""),"",IF(AND(原始資料!AN410&lt;&gt;"",原始資料!AO410=原始資料!AN410),N(AL410)+1,1))</f>
        <v/>
      </c>
      <c r="AN410" s="6">
        <f>IF(OR(原始資料!$A410="",39&gt;設定!$B$3,原始資料!AP410=""),"",IF(AND(原始資料!AO410&lt;&gt;"",原始資料!AP410=原始資料!AO410),N(AM410)+1,1))</f>
        <v/>
      </c>
      <c r="AO410" s="6">
        <f>IF(OR(原始資料!$A410="",40&gt;設定!$B$3,原始資料!AQ410=""),"",IF(AND(原始資料!AP410&lt;&gt;"",原始資料!AQ410=原始資料!AP410),N(AN410)+1,1))</f>
        <v/>
      </c>
      <c r="AP410" s="6">
        <f>IF(OR(原始資料!$A410="",41&gt;設定!$B$3,原始資料!AR410=""),"",IF(AND(原始資料!AQ410&lt;&gt;"",原始資料!AR410=原始資料!AQ410),N(AO410)+1,1))</f>
        <v/>
      </c>
      <c r="AQ410" s="6">
        <f>IF(OR(原始資料!$A410="",42&gt;設定!$B$3,原始資料!AS410=""),"",IF(AND(原始資料!AR410&lt;&gt;"",原始資料!AS410=原始資料!AR410),N(AP410)+1,1))</f>
        <v/>
      </c>
      <c r="AR410" s="6">
        <f>IF(OR(原始資料!$A410="",43&gt;設定!$B$3,原始資料!AT410=""),"",IF(AND(原始資料!AS410&lt;&gt;"",原始資料!AT410=原始資料!AS410),N(AQ410)+1,1))</f>
        <v/>
      </c>
      <c r="AS410" s="6">
        <f>IF(OR(原始資料!$A410="",44&gt;設定!$B$3,原始資料!AU410=""),"",IF(AND(原始資料!AT410&lt;&gt;"",原始資料!AU410=原始資料!AT410),N(AR410)+1,1))</f>
        <v/>
      </c>
      <c r="AT410" s="6">
        <f>IF(OR(原始資料!$A410="",45&gt;設定!$B$3,原始資料!AV410=""),"",IF(AND(原始資料!AU410&lt;&gt;"",原始資料!AV410=原始資料!AU410),N(AS410)+1,1))</f>
        <v/>
      </c>
      <c r="AU410" s="6">
        <f>IF(OR(原始資料!$A410="",46&gt;設定!$B$3,原始資料!AW410=""),"",IF(AND(原始資料!AV410&lt;&gt;"",原始資料!AW410=原始資料!AV410),N(AT410)+1,1))</f>
        <v/>
      </c>
      <c r="AV410" s="6">
        <f>IF(OR(原始資料!$A410="",47&gt;設定!$B$3,原始資料!AX410=""),"",IF(AND(原始資料!AW410&lt;&gt;"",原始資料!AX410=原始資料!AW410),N(AU410)+1,1))</f>
        <v/>
      </c>
      <c r="AW410" s="6">
        <f>IF(OR(原始資料!$A410="",48&gt;設定!$B$3,原始資料!AY410=""),"",IF(AND(原始資料!AX410&lt;&gt;"",原始資料!AY410=原始資料!AX410),N(AV410)+1,1))</f>
        <v/>
      </c>
      <c r="AX410" s="6">
        <f>IF(OR(原始資料!$A410="",49&gt;設定!$B$3,原始資料!AZ410=""),"",IF(AND(原始資料!AY410&lt;&gt;"",原始資料!AZ410=原始資料!AY410),N(AW410)+1,1))</f>
        <v/>
      </c>
      <c r="AY410" s="6">
        <f>IF(OR(原始資料!$A410="",50&gt;設定!$B$3,原始資料!BA410=""),"",IF(AND(原始資料!AZ410&lt;&gt;"",原始資料!BA410=原始資料!AZ410),N(AX410)+1,1))</f>
        <v/>
      </c>
      <c r="AZ410" s="6">
        <f>IF(OR(原始資料!$A410="",51&gt;設定!$B$3,原始資料!BB410=""),"",IF(AND(原始資料!BA410&lt;&gt;"",原始資料!BB410=原始資料!BA410),N(AY410)+1,1))</f>
        <v/>
      </c>
      <c r="BA410" s="6">
        <f>IF(OR(原始資料!$A410="",52&gt;設定!$B$3,原始資料!BC410=""),"",IF(AND(原始資料!BB410&lt;&gt;"",原始資料!BC410=原始資料!BB410),N(AZ410)+1,1))</f>
        <v/>
      </c>
      <c r="BB410" s="6">
        <f>IF(OR(原始資料!$A410="",53&gt;設定!$B$3,原始資料!BD410=""),"",IF(AND(原始資料!BC410&lt;&gt;"",原始資料!BD410=原始資料!BC410),N(BA410)+1,1))</f>
        <v/>
      </c>
      <c r="BC410" s="6">
        <f>IF(OR(原始資料!$A410="",54&gt;設定!$B$3,原始資料!BE410=""),"",IF(AND(原始資料!BD410&lt;&gt;"",原始資料!BE410=原始資料!BD410),N(BB410)+1,1))</f>
        <v/>
      </c>
      <c r="BD410" s="6">
        <f>IF(OR(原始資料!$A410="",55&gt;設定!$B$3,原始資料!BF410=""),"",IF(AND(原始資料!BE410&lt;&gt;"",原始資料!BF410=原始資料!BE410),N(BC410)+1,1))</f>
        <v/>
      </c>
      <c r="BE410" s="6">
        <f>IF(OR(原始資料!$A410="",56&gt;設定!$B$3,原始資料!BG410=""),"",IF(AND(原始資料!BF410&lt;&gt;"",原始資料!BG410=原始資料!BF410),N(BD410)+1,1))</f>
        <v/>
      </c>
      <c r="BF410" s="6">
        <f>IF(OR(原始資料!$A410="",57&gt;設定!$B$3,原始資料!BH410=""),"",IF(AND(原始資料!BG410&lt;&gt;"",原始資料!BH410=原始資料!BG410),N(BE410)+1,1))</f>
        <v/>
      </c>
      <c r="BG410" s="6">
        <f>IF(OR(原始資料!$A410="",58&gt;設定!$B$3,原始資料!BI410=""),"",IF(AND(原始資料!BH410&lt;&gt;"",原始資料!BI410=原始資料!BH410),N(BF410)+1,1))</f>
        <v/>
      </c>
      <c r="BH410" s="6">
        <f>IF(OR(原始資料!$A410="",59&gt;設定!$B$3,原始資料!BJ410=""),"",IF(AND(原始資料!BI410&lt;&gt;"",原始資料!BJ410=原始資料!BI410),N(BG410)+1,1))</f>
        <v/>
      </c>
      <c r="BI410" s="6">
        <f>IF(OR(原始資料!$A410="",60&gt;設定!$B$3,原始資料!BK410=""),"",IF(AND(原始資料!BJ410&lt;&gt;"",原始資料!BK410=原始資料!BJ410),N(BH410)+1,1))</f>
        <v/>
      </c>
    </row>
    <row r="411">
      <c r="A411" s="6">
        <f>IF(原始資料!$A411="","",原始資料!$A411)</f>
        <v/>
      </c>
      <c r="B411" s="6">
        <f>IF(OR(原始資料!$A411="",1&gt;設定!$B$3,原始資料!D411=""),"",1)</f>
        <v/>
      </c>
      <c r="C411" s="6">
        <f>IF(OR(原始資料!$A411="",2&gt;設定!$B$3,原始資料!E411=""),"",IF(AND(原始資料!D411&lt;&gt;"",原始資料!E411=原始資料!D411),N(B411)+1,1))</f>
        <v/>
      </c>
      <c r="D411" s="6">
        <f>IF(OR(原始資料!$A411="",3&gt;設定!$B$3,原始資料!F411=""),"",IF(AND(原始資料!E411&lt;&gt;"",原始資料!F411=原始資料!E411),N(C411)+1,1))</f>
        <v/>
      </c>
      <c r="E411" s="6">
        <f>IF(OR(原始資料!$A411="",4&gt;設定!$B$3,原始資料!G411=""),"",IF(AND(原始資料!F411&lt;&gt;"",原始資料!G411=原始資料!F411),N(D411)+1,1))</f>
        <v/>
      </c>
      <c r="F411" s="6">
        <f>IF(OR(原始資料!$A411="",5&gt;設定!$B$3,原始資料!H411=""),"",IF(AND(原始資料!G411&lt;&gt;"",原始資料!H411=原始資料!G411),N(E411)+1,1))</f>
        <v/>
      </c>
      <c r="G411" s="6">
        <f>IF(OR(原始資料!$A411="",6&gt;設定!$B$3,原始資料!I411=""),"",IF(AND(原始資料!H411&lt;&gt;"",原始資料!I411=原始資料!H411),N(F411)+1,1))</f>
        <v/>
      </c>
      <c r="H411" s="6">
        <f>IF(OR(原始資料!$A411="",7&gt;設定!$B$3,原始資料!J411=""),"",IF(AND(原始資料!I411&lt;&gt;"",原始資料!J411=原始資料!I411),N(G411)+1,1))</f>
        <v/>
      </c>
      <c r="I411" s="6">
        <f>IF(OR(原始資料!$A411="",8&gt;設定!$B$3,原始資料!K411=""),"",IF(AND(原始資料!J411&lt;&gt;"",原始資料!K411=原始資料!J411),N(H411)+1,1))</f>
        <v/>
      </c>
      <c r="J411" s="6">
        <f>IF(OR(原始資料!$A411="",9&gt;設定!$B$3,原始資料!L411=""),"",IF(AND(原始資料!K411&lt;&gt;"",原始資料!L411=原始資料!K411),N(I411)+1,1))</f>
        <v/>
      </c>
      <c r="K411" s="6">
        <f>IF(OR(原始資料!$A411="",10&gt;設定!$B$3,原始資料!M411=""),"",IF(AND(原始資料!L411&lt;&gt;"",原始資料!M411=原始資料!L411),N(J411)+1,1))</f>
        <v/>
      </c>
      <c r="L411" s="6">
        <f>IF(OR(原始資料!$A411="",11&gt;設定!$B$3,原始資料!N411=""),"",IF(AND(原始資料!M411&lt;&gt;"",原始資料!N411=原始資料!M411),N(K411)+1,1))</f>
        <v/>
      </c>
      <c r="M411" s="6">
        <f>IF(OR(原始資料!$A411="",12&gt;設定!$B$3,原始資料!O411=""),"",IF(AND(原始資料!N411&lt;&gt;"",原始資料!O411=原始資料!N411),N(L411)+1,1))</f>
        <v/>
      </c>
      <c r="N411" s="6">
        <f>IF(OR(原始資料!$A411="",13&gt;設定!$B$3,原始資料!P411=""),"",IF(AND(原始資料!O411&lt;&gt;"",原始資料!P411=原始資料!O411),N(M411)+1,1))</f>
        <v/>
      </c>
      <c r="O411" s="6">
        <f>IF(OR(原始資料!$A411="",14&gt;設定!$B$3,原始資料!Q411=""),"",IF(AND(原始資料!P411&lt;&gt;"",原始資料!Q411=原始資料!P411),N(N411)+1,1))</f>
        <v/>
      </c>
      <c r="P411" s="6">
        <f>IF(OR(原始資料!$A411="",15&gt;設定!$B$3,原始資料!R411=""),"",IF(AND(原始資料!Q411&lt;&gt;"",原始資料!R411=原始資料!Q411),N(O411)+1,1))</f>
        <v/>
      </c>
      <c r="Q411" s="6">
        <f>IF(OR(原始資料!$A411="",16&gt;設定!$B$3,原始資料!S411=""),"",IF(AND(原始資料!R411&lt;&gt;"",原始資料!S411=原始資料!R411),N(P411)+1,1))</f>
        <v/>
      </c>
      <c r="R411" s="6">
        <f>IF(OR(原始資料!$A411="",17&gt;設定!$B$3,原始資料!T411=""),"",IF(AND(原始資料!S411&lt;&gt;"",原始資料!T411=原始資料!S411),N(Q411)+1,1))</f>
        <v/>
      </c>
      <c r="S411" s="6">
        <f>IF(OR(原始資料!$A411="",18&gt;設定!$B$3,原始資料!U411=""),"",IF(AND(原始資料!T411&lt;&gt;"",原始資料!U411=原始資料!T411),N(R411)+1,1))</f>
        <v/>
      </c>
      <c r="T411" s="6">
        <f>IF(OR(原始資料!$A411="",19&gt;設定!$B$3,原始資料!V411=""),"",IF(AND(原始資料!U411&lt;&gt;"",原始資料!V411=原始資料!U411),N(S411)+1,1))</f>
        <v/>
      </c>
      <c r="U411" s="6">
        <f>IF(OR(原始資料!$A411="",20&gt;設定!$B$3,原始資料!W411=""),"",IF(AND(原始資料!V411&lt;&gt;"",原始資料!W411=原始資料!V411),N(T411)+1,1))</f>
        <v/>
      </c>
      <c r="V411" s="6">
        <f>IF(OR(原始資料!$A411="",21&gt;設定!$B$3,原始資料!X411=""),"",IF(AND(原始資料!W411&lt;&gt;"",原始資料!X411=原始資料!W411),N(U411)+1,1))</f>
        <v/>
      </c>
      <c r="W411" s="6">
        <f>IF(OR(原始資料!$A411="",22&gt;設定!$B$3,原始資料!Y411=""),"",IF(AND(原始資料!X411&lt;&gt;"",原始資料!Y411=原始資料!X411),N(V411)+1,1))</f>
        <v/>
      </c>
      <c r="X411" s="6">
        <f>IF(OR(原始資料!$A411="",23&gt;設定!$B$3,原始資料!Z411=""),"",IF(AND(原始資料!Y411&lt;&gt;"",原始資料!Z411=原始資料!Y411),N(W411)+1,1))</f>
        <v/>
      </c>
      <c r="Y411" s="6">
        <f>IF(OR(原始資料!$A411="",24&gt;設定!$B$3,原始資料!AA411=""),"",IF(AND(原始資料!Z411&lt;&gt;"",原始資料!AA411=原始資料!Z411),N(X411)+1,1))</f>
        <v/>
      </c>
      <c r="Z411" s="6">
        <f>IF(OR(原始資料!$A411="",25&gt;設定!$B$3,原始資料!AB411=""),"",IF(AND(原始資料!AA411&lt;&gt;"",原始資料!AB411=原始資料!AA411),N(Y411)+1,1))</f>
        <v/>
      </c>
      <c r="AA411" s="6">
        <f>IF(OR(原始資料!$A411="",26&gt;設定!$B$3,原始資料!AC411=""),"",IF(AND(原始資料!AB411&lt;&gt;"",原始資料!AC411=原始資料!AB411),N(Z411)+1,1))</f>
        <v/>
      </c>
      <c r="AB411" s="6">
        <f>IF(OR(原始資料!$A411="",27&gt;設定!$B$3,原始資料!AD411=""),"",IF(AND(原始資料!AC411&lt;&gt;"",原始資料!AD411=原始資料!AC411),N(AA411)+1,1))</f>
        <v/>
      </c>
      <c r="AC411" s="6">
        <f>IF(OR(原始資料!$A411="",28&gt;設定!$B$3,原始資料!AE411=""),"",IF(AND(原始資料!AD411&lt;&gt;"",原始資料!AE411=原始資料!AD411),N(AB411)+1,1))</f>
        <v/>
      </c>
      <c r="AD411" s="6">
        <f>IF(OR(原始資料!$A411="",29&gt;設定!$B$3,原始資料!AF411=""),"",IF(AND(原始資料!AE411&lt;&gt;"",原始資料!AF411=原始資料!AE411),N(AC411)+1,1))</f>
        <v/>
      </c>
      <c r="AE411" s="6">
        <f>IF(OR(原始資料!$A411="",30&gt;設定!$B$3,原始資料!AG411=""),"",IF(AND(原始資料!AF411&lt;&gt;"",原始資料!AG411=原始資料!AF411),N(AD411)+1,1))</f>
        <v/>
      </c>
      <c r="AF411" s="6">
        <f>IF(OR(原始資料!$A411="",31&gt;設定!$B$3,原始資料!AH411=""),"",IF(AND(原始資料!AG411&lt;&gt;"",原始資料!AH411=原始資料!AG411),N(AE411)+1,1))</f>
        <v/>
      </c>
      <c r="AG411" s="6">
        <f>IF(OR(原始資料!$A411="",32&gt;設定!$B$3,原始資料!AI411=""),"",IF(AND(原始資料!AH411&lt;&gt;"",原始資料!AI411=原始資料!AH411),N(AF411)+1,1))</f>
        <v/>
      </c>
      <c r="AH411" s="6">
        <f>IF(OR(原始資料!$A411="",33&gt;設定!$B$3,原始資料!AJ411=""),"",IF(AND(原始資料!AI411&lt;&gt;"",原始資料!AJ411=原始資料!AI411),N(AG411)+1,1))</f>
        <v/>
      </c>
      <c r="AI411" s="6">
        <f>IF(OR(原始資料!$A411="",34&gt;設定!$B$3,原始資料!AK411=""),"",IF(AND(原始資料!AJ411&lt;&gt;"",原始資料!AK411=原始資料!AJ411),N(AH411)+1,1))</f>
        <v/>
      </c>
      <c r="AJ411" s="6">
        <f>IF(OR(原始資料!$A411="",35&gt;設定!$B$3,原始資料!AL411=""),"",IF(AND(原始資料!AK411&lt;&gt;"",原始資料!AL411=原始資料!AK411),N(AI411)+1,1))</f>
        <v/>
      </c>
      <c r="AK411" s="6">
        <f>IF(OR(原始資料!$A411="",36&gt;設定!$B$3,原始資料!AM411=""),"",IF(AND(原始資料!AL411&lt;&gt;"",原始資料!AM411=原始資料!AL411),N(AJ411)+1,1))</f>
        <v/>
      </c>
      <c r="AL411" s="6">
        <f>IF(OR(原始資料!$A411="",37&gt;設定!$B$3,原始資料!AN411=""),"",IF(AND(原始資料!AM411&lt;&gt;"",原始資料!AN411=原始資料!AM411),N(AK411)+1,1))</f>
        <v/>
      </c>
      <c r="AM411" s="6">
        <f>IF(OR(原始資料!$A411="",38&gt;設定!$B$3,原始資料!AO411=""),"",IF(AND(原始資料!AN411&lt;&gt;"",原始資料!AO411=原始資料!AN411),N(AL411)+1,1))</f>
        <v/>
      </c>
      <c r="AN411" s="6">
        <f>IF(OR(原始資料!$A411="",39&gt;設定!$B$3,原始資料!AP411=""),"",IF(AND(原始資料!AO411&lt;&gt;"",原始資料!AP411=原始資料!AO411),N(AM411)+1,1))</f>
        <v/>
      </c>
      <c r="AO411" s="6">
        <f>IF(OR(原始資料!$A411="",40&gt;設定!$B$3,原始資料!AQ411=""),"",IF(AND(原始資料!AP411&lt;&gt;"",原始資料!AQ411=原始資料!AP411),N(AN411)+1,1))</f>
        <v/>
      </c>
      <c r="AP411" s="6">
        <f>IF(OR(原始資料!$A411="",41&gt;設定!$B$3,原始資料!AR411=""),"",IF(AND(原始資料!AQ411&lt;&gt;"",原始資料!AR411=原始資料!AQ411),N(AO411)+1,1))</f>
        <v/>
      </c>
      <c r="AQ411" s="6">
        <f>IF(OR(原始資料!$A411="",42&gt;設定!$B$3,原始資料!AS411=""),"",IF(AND(原始資料!AR411&lt;&gt;"",原始資料!AS411=原始資料!AR411),N(AP411)+1,1))</f>
        <v/>
      </c>
      <c r="AR411" s="6">
        <f>IF(OR(原始資料!$A411="",43&gt;設定!$B$3,原始資料!AT411=""),"",IF(AND(原始資料!AS411&lt;&gt;"",原始資料!AT411=原始資料!AS411),N(AQ411)+1,1))</f>
        <v/>
      </c>
      <c r="AS411" s="6">
        <f>IF(OR(原始資料!$A411="",44&gt;設定!$B$3,原始資料!AU411=""),"",IF(AND(原始資料!AT411&lt;&gt;"",原始資料!AU411=原始資料!AT411),N(AR411)+1,1))</f>
        <v/>
      </c>
      <c r="AT411" s="6">
        <f>IF(OR(原始資料!$A411="",45&gt;設定!$B$3,原始資料!AV411=""),"",IF(AND(原始資料!AU411&lt;&gt;"",原始資料!AV411=原始資料!AU411),N(AS411)+1,1))</f>
        <v/>
      </c>
      <c r="AU411" s="6">
        <f>IF(OR(原始資料!$A411="",46&gt;設定!$B$3,原始資料!AW411=""),"",IF(AND(原始資料!AV411&lt;&gt;"",原始資料!AW411=原始資料!AV411),N(AT411)+1,1))</f>
        <v/>
      </c>
      <c r="AV411" s="6">
        <f>IF(OR(原始資料!$A411="",47&gt;設定!$B$3,原始資料!AX411=""),"",IF(AND(原始資料!AW411&lt;&gt;"",原始資料!AX411=原始資料!AW411),N(AU411)+1,1))</f>
        <v/>
      </c>
      <c r="AW411" s="6">
        <f>IF(OR(原始資料!$A411="",48&gt;設定!$B$3,原始資料!AY411=""),"",IF(AND(原始資料!AX411&lt;&gt;"",原始資料!AY411=原始資料!AX411),N(AV411)+1,1))</f>
        <v/>
      </c>
      <c r="AX411" s="6">
        <f>IF(OR(原始資料!$A411="",49&gt;設定!$B$3,原始資料!AZ411=""),"",IF(AND(原始資料!AY411&lt;&gt;"",原始資料!AZ411=原始資料!AY411),N(AW411)+1,1))</f>
        <v/>
      </c>
      <c r="AY411" s="6">
        <f>IF(OR(原始資料!$A411="",50&gt;設定!$B$3,原始資料!BA411=""),"",IF(AND(原始資料!AZ411&lt;&gt;"",原始資料!BA411=原始資料!AZ411),N(AX411)+1,1))</f>
        <v/>
      </c>
      <c r="AZ411" s="6">
        <f>IF(OR(原始資料!$A411="",51&gt;設定!$B$3,原始資料!BB411=""),"",IF(AND(原始資料!BA411&lt;&gt;"",原始資料!BB411=原始資料!BA411),N(AY411)+1,1))</f>
        <v/>
      </c>
      <c r="BA411" s="6">
        <f>IF(OR(原始資料!$A411="",52&gt;設定!$B$3,原始資料!BC411=""),"",IF(AND(原始資料!BB411&lt;&gt;"",原始資料!BC411=原始資料!BB411),N(AZ411)+1,1))</f>
        <v/>
      </c>
      <c r="BB411" s="6">
        <f>IF(OR(原始資料!$A411="",53&gt;設定!$B$3,原始資料!BD411=""),"",IF(AND(原始資料!BC411&lt;&gt;"",原始資料!BD411=原始資料!BC411),N(BA411)+1,1))</f>
        <v/>
      </c>
      <c r="BC411" s="6">
        <f>IF(OR(原始資料!$A411="",54&gt;設定!$B$3,原始資料!BE411=""),"",IF(AND(原始資料!BD411&lt;&gt;"",原始資料!BE411=原始資料!BD411),N(BB411)+1,1))</f>
        <v/>
      </c>
      <c r="BD411" s="6">
        <f>IF(OR(原始資料!$A411="",55&gt;設定!$B$3,原始資料!BF411=""),"",IF(AND(原始資料!BE411&lt;&gt;"",原始資料!BF411=原始資料!BE411),N(BC411)+1,1))</f>
        <v/>
      </c>
      <c r="BE411" s="6">
        <f>IF(OR(原始資料!$A411="",56&gt;設定!$B$3,原始資料!BG411=""),"",IF(AND(原始資料!BF411&lt;&gt;"",原始資料!BG411=原始資料!BF411),N(BD411)+1,1))</f>
        <v/>
      </c>
      <c r="BF411" s="6">
        <f>IF(OR(原始資料!$A411="",57&gt;設定!$B$3,原始資料!BH411=""),"",IF(AND(原始資料!BG411&lt;&gt;"",原始資料!BH411=原始資料!BG411),N(BE411)+1,1))</f>
        <v/>
      </c>
      <c r="BG411" s="6">
        <f>IF(OR(原始資料!$A411="",58&gt;設定!$B$3,原始資料!BI411=""),"",IF(AND(原始資料!BH411&lt;&gt;"",原始資料!BI411=原始資料!BH411),N(BF411)+1,1))</f>
        <v/>
      </c>
      <c r="BH411" s="6">
        <f>IF(OR(原始資料!$A411="",59&gt;設定!$B$3,原始資料!BJ411=""),"",IF(AND(原始資料!BI411&lt;&gt;"",原始資料!BJ411=原始資料!BI411),N(BG411)+1,1))</f>
        <v/>
      </c>
      <c r="BI411" s="6">
        <f>IF(OR(原始資料!$A411="",60&gt;設定!$B$3,原始資料!BK411=""),"",IF(AND(原始資料!BJ411&lt;&gt;"",原始資料!BK411=原始資料!BJ411),N(BH411)+1,1))</f>
        <v/>
      </c>
    </row>
    <row r="412">
      <c r="A412" s="6">
        <f>IF(原始資料!$A412="","",原始資料!$A412)</f>
        <v/>
      </c>
      <c r="B412" s="6">
        <f>IF(OR(原始資料!$A412="",1&gt;設定!$B$3,原始資料!D412=""),"",1)</f>
        <v/>
      </c>
      <c r="C412" s="6">
        <f>IF(OR(原始資料!$A412="",2&gt;設定!$B$3,原始資料!E412=""),"",IF(AND(原始資料!D412&lt;&gt;"",原始資料!E412=原始資料!D412),N(B412)+1,1))</f>
        <v/>
      </c>
      <c r="D412" s="6">
        <f>IF(OR(原始資料!$A412="",3&gt;設定!$B$3,原始資料!F412=""),"",IF(AND(原始資料!E412&lt;&gt;"",原始資料!F412=原始資料!E412),N(C412)+1,1))</f>
        <v/>
      </c>
      <c r="E412" s="6">
        <f>IF(OR(原始資料!$A412="",4&gt;設定!$B$3,原始資料!G412=""),"",IF(AND(原始資料!F412&lt;&gt;"",原始資料!G412=原始資料!F412),N(D412)+1,1))</f>
        <v/>
      </c>
      <c r="F412" s="6">
        <f>IF(OR(原始資料!$A412="",5&gt;設定!$B$3,原始資料!H412=""),"",IF(AND(原始資料!G412&lt;&gt;"",原始資料!H412=原始資料!G412),N(E412)+1,1))</f>
        <v/>
      </c>
      <c r="G412" s="6">
        <f>IF(OR(原始資料!$A412="",6&gt;設定!$B$3,原始資料!I412=""),"",IF(AND(原始資料!H412&lt;&gt;"",原始資料!I412=原始資料!H412),N(F412)+1,1))</f>
        <v/>
      </c>
      <c r="H412" s="6">
        <f>IF(OR(原始資料!$A412="",7&gt;設定!$B$3,原始資料!J412=""),"",IF(AND(原始資料!I412&lt;&gt;"",原始資料!J412=原始資料!I412),N(G412)+1,1))</f>
        <v/>
      </c>
      <c r="I412" s="6">
        <f>IF(OR(原始資料!$A412="",8&gt;設定!$B$3,原始資料!K412=""),"",IF(AND(原始資料!J412&lt;&gt;"",原始資料!K412=原始資料!J412),N(H412)+1,1))</f>
        <v/>
      </c>
      <c r="J412" s="6">
        <f>IF(OR(原始資料!$A412="",9&gt;設定!$B$3,原始資料!L412=""),"",IF(AND(原始資料!K412&lt;&gt;"",原始資料!L412=原始資料!K412),N(I412)+1,1))</f>
        <v/>
      </c>
      <c r="K412" s="6">
        <f>IF(OR(原始資料!$A412="",10&gt;設定!$B$3,原始資料!M412=""),"",IF(AND(原始資料!L412&lt;&gt;"",原始資料!M412=原始資料!L412),N(J412)+1,1))</f>
        <v/>
      </c>
      <c r="L412" s="6">
        <f>IF(OR(原始資料!$A412="",11&gt;設定!$B$3,原始資料!N412=""),"",IF(AND(原始資料!M412&lt;&gt;"",原始資料!N412=原始資料!M412),N(K412)+1,1))</f>
        <v/>
      </c>
      <c r="M412" s="6">
        <f>IF(OR(原始資料!$A412="",12&gt;設定!$B$3,原始資料!O412=""),"",IF(AND(原始資料!N412&lt;&gt;"",原始資料!O412=原始資料!N412),N(L412)+1,1))</f>
        <v/>
      </c>
      <c r="N412" s="6">
        <f>IF(OR(原始資料!$A412="",13&gt;設定!$B$3,原始資料!P412=""),"",IF(AND(原始資料!O412&lt;&gt;"",原始資料!P412=原始資料!O412),N(M412)+1,1))</f>
        <v/>
      </c>
      <c r="O412" s="6">
        <f>IF(OR(原始資料!$A412="",14&gt;設定!$B$3,原始資料!Q412=""),"",IF(AND(原始資料!P412&lt;&gt;"",原始資料!Q412=原始資料!P412),N(N412)+1,1))</f>
        <v/>
      </c>
      <c r="P412" s="6">
        <f>IF(OR(原始資料!$A412="",15&gt;設定!$B$3,原始資料!R412=""),"",IF(AND(原始資料!Q412&lt;&gt;"",原始資料!R412=原始資料!Q412),N(O412)+1,1))</f>
        <v/>
      </c>
      <c r="Q412" s="6">
        <f>IF(OR(原始資料!$A412="",16&gt;設定!$B$3,原始資料!S412=""),"",IF(AND(原始資料!R412&lt;&gt;"",原始資料!S412=原始資料!R412),N(P412)+1,1))</f>
        <v/>
      </c>
      <c r="R412" s="6">
        <f>IF(OR(原始資料!$A412="",17&gt;設定!$B$3,原始資料!T412=""),"",IF(AND(原始資料!S412&lt;&gt;"",原始資料!T412=原始資料!S412),N(Q412)+1,1))</f>
        <v/>
      </c>
      <c r="S412" s="6">
        <f>IF(OR(原始資料!$A412="",18&gt;設定!$B$3,原始資料!U412=""),"",IF(AND(原始資料!T412&lt;&gt;"",原始資料!U412=原始資料!T412),N(R412)+1,1))</f>
        <v/>
      </c>
      <c r="T412" s="6">
        <f>IF(OR(原始資料!$A412="",19&gt;設定!$B$3,原始資料!V412=""),"",IF(AND(原始資料!U412&lt;&gt;"",原始資料!V412=原始資料!U412),N(S412)+1,1))</f>
        <v/>
      </c>
      <c r="U412" s="6">
        <f>IF(OR(原始資料!$A412="",20&gt;設定!$B$3,原始資料!W412=""),"",IF(AND(原始資料!V412&lt;&gt;"",原始資料!W412=原始資料!V412),N(T412)+1,1))</f>
        <v/>
      </c>
      <c r="V412" s="6">
        <f>IF(OR(原始資料!$A412="",21&gt;設定!$B$3,原始資料!X412=""),"",IF(AND(原始資料!W412&lt;&gt;"",原始資料!X412=原始資料!W412),N(U412)+1,1))</f>
        <v/>
      </c>
      <c r="W412" s="6">
        <f>IF(OR(原始資料!$A412="",22&gt;設定!$B$3,原始資料!Y412=""),"",IF(AND(原始資料!X412&lt;&gt;"",原始資料!Y412=原始資料!X412),N(V412)+1,1))</f>
        <v/>
      </c>
      <c r="X412" s="6">
        <f>IF(OR(原始資料!$A412="",23&gt;設定!$B$3,原始資料!Z412=""),"",IF(AND(原始資料!Y412&lt;&gt;"",原始資料!Z412=原始資料!Y412),N(W412)+1,1))</f>
        <v/>
      </c>
      <c r="Y412" s="6">
        <f>IF(OR(原始資料!$A412="",24&gt;設定!$B$3,原始資料!AA412=""),"",IF(AND(原始資料!Z412&lt;&gt;"",原始資料!AA412=原始資料!Z412),N(X412)+1,1))</f>
        <v/>
      </c>
      <c r="Z412" s="6">
        <f>IF(OR(原始資料!$A412="",25&gt;設定!$B$3,原始資料!AB412=""),"",IF(AND(原始資料!AA412&lt;&gt;"",原始資料!AB412=原始資料!AA412),N(Y412)+1,1))</f>
        <v/>
      </c>
      <c r="AA412" s="6">
        <f>IF(OR(原始資料!$A412="",26&gt;設定!$B$3,原始資料!AC412=""),"",IF(AND(原始資料!AB412&lt;&gt;"",原始資料!AC412=原始資料!AB412),N(Z412)+1,1))</f>
        <v/>
      </c>
      <c r="AB412" s="6">
        <f>IF(OR(原始資料!$A412="",27&gt;設定!$B$3,原始資料!AD412=""),"",IF(AND(原始資料!AC412&lt;&gt;"",原始資料!AD412=原始資料!AC412),N(AA412)+1,1))</f>
        <v/>
      </c>
      <c r="AC412" s="6">
        <f>IF(OR(原始資料!$A412="",28&gt;設定!$B$3,原始資料!AE412=""),"",IF(AND(原始資料!AD412&lt;&gt;"",原始資料!AE412=原始資料!AD412),N(AB412)+1,1))</f>
        <v/>
      </c>
      <c r="AD412" s="6">
        <f>IF(OR(原始資料!$A412="",29&gt;設定!$B$3,原始資料!AF412=""),"",IF(AND(原始資料!AE412&lt;&gt;"",原始資料!AF412=原始資料!AE412),N(AC412)+1,1))</f>
        <v/>
      </c>
      <c r="AE412" s="6">
        <f>IF(OR(原始資料!$A412="",30&gt;設定!$B$3,原始資料!AG412=""),"",IF(AND(原始資料!AF412&lt;&gt;"",原始資料!AG412=原始資料!AF412),N(AD412)+1,1))</f>
        <v/>
      </c>
      <c r="AF412" s="6">
        <f>IF(OR(原始資料!$A412="",31&gt;設定!$B$3,原始資料!AH412=""),"",IF(AND(原始資料!AG412&lt;&gt;"",原始資料!AH412=原始資料!AG412),N(AE412)+1,1))</f>
        <v/>
      </c>
      <c r="AG412" s="6">
        <f>IF(OR(原始資料!$A412="",32&gt;設定!$B$3,原始資料!AI412=""),"",IF(AND(原始資料!AH412&lt;&gt;"",原始資料!AI412=原始資料!AH412),N(AF412)+1,1))</f>
        <v/>
      </c>
      <c r="AH412" s="6">
        <f>IF(OR(原始資料!$A412="",33&gt;設定!$B$3,原始資料!AJ412=""),"",IF(AND(原始資料!AI412&lt;&gt;"",原始資料!AJ412=原始資料!AI412),N(AG412)+1,1))</f>
        <v/>
      </c>
      <c r="AI412" s="6">
        <f>IF(OR(原始資料!$A412="",34&gt;設定!$B$3,原始資料!AK412=""),"",IF(AND(原始資料!AJ412&lt;&gt;"",原始資料!AK412=原始資料!AJ412),N(AH412)+1,1))</f>
        <v/>
      </c>
      <c r="AJ412" s="6">
        <f>IF(OR(原始資料!$A412="",35&gt;設定!$B$3,原始資料!AL412=""),"",IF(AND(原始資料!AK412&lt;&gt;"",原始資料!AL412=原始資料!AK412),N(AI412)+1,1))</f>
        <v/>
      </c>
      <c r="AK412" s="6">
        <f>IF(OR(原始資料!$A412="",36&gt;設定!$B$3,原始資料!AM412=""),"",IF(AND(原始資料!AL412&lt;&gt;"",原始資料!AM412=原始資料!AL412),N(AJ412)+1,1))</f>
        <v/>
      </c>
      <c r="AL412" s="6">
        <f>IF(OR(原始資料!$A412="",37&gt;設定!$B$3,原始資料!AN412=""),"",IF(AND(原始資料!AM412&lt;&gt;"",原始資料!AN412=原始資料!AM412),N(AK412)+1,1))</f>
        <v/>
      </c>
      <c r="AM412" s="6">
        <f>IF(OR(原始資料!$A412="",38&gt;設定!$B$3,原始資料!AO412=""),"",IF(AND(原始資料!AN412&lt;&gt;"",原始資料!AO412=原始資料!AN412),N(AL412)+1,1))</f>
        <v/>
      </c>
      <c r="AN412" s="6">
        <f>IF(OR(原始資料!$A412="",39&gt;設定!$B$3,原始資料!AP412=""),"",IF(AND(原始資料!AO412&lt;&gt;"",原始資料!AP412=原始資料!AO412),N(AM412)+1,1))</f>
        <v/>
      </c>
      <c r="AO412" s="6">
        <f>IF(OR(原始資料!$A412="",40&gt;設定!$B$3,原始資料!AQ412=""),"",IF(AND(原始資料!AP412&lt;&gt;"",原始資料!AQ412=原始資料!AP412),N(AN412)+1,1))</f>
        <v/>
      </c>
      <c r="AP412" s="6">
        <f>IF(OR(原始資料!$A412="",41&gt;設定!$B$3,原始資料!AR412=""),"",IF(AND(原始資料!AQ412&lt;&gt;"",原始資料!AR412=原始資料!AQ412),N(AO412)+1,1))</f>
        <v/>
      </c>
      <c r="AQ412" s="6">
        <f>IF(OR(原始資料!$A412="",42&gt;設定!$B$3,原始資料!AS412=""),"",IF(AND(原始資料!AR412&lt;&gt;"",原始資料!AS412=原始資料!AR412),N(AP412)+1,1))</f>
        <v/>
      </c>
      <c r="AR412" s="6">
        <f>IF(OR(原始資料!$A412="",43&gt;設定!$B$3,原始資料!AT412=""),"",IF(AND(原始資料!AS412&lt;&gt;"",原始資料!AT412=原始資料!AS412),N(AQ412)+1,1))</f>
        <v/>
      </c>
      <c r="AS412" s="6">
        <f>IF(OR(原始資料!$A412="",44&gt;設定!$B$3,原始資料!AU412=""),"",IF(AND(原始資料!AT412&lt;&gt;"",原始資料!AU412=原始資料!AT412),N(AR412)+1,1))</f>
        <v/>
      </c>
      <c r="AT412" s="6">
        <f>IF(OR(原始資料!$A412="",45&gt;設定!$B$3,原始資料!AV412=""),"",IF(AND(原始資料!AU412&lt;&gt;"",原始資料!AV412=原始資料!AU412),N(AS412)+1,1))</f>
        <v/>
      </c>
      <c r="AU412" s="6">
        <f>IF(OR(原始資料!$A412="",46&gt;設定!$B$3,原始資料!AW412=""),"",IF(AND(原始資料!AV412&lt;&gt;"",原始資料!AW412=原始資料!AV412),N(AT412)+1,1))</f>
        <v/>
      </c>
      <c r="AV412" s="6">
        <f>IF(OR(原始資料!$A412="",47&gt;設定!$B$3,原始資料!AX412=""),"",IF(AND(原始資料!AW412&lt;&gt;"",原始資料!AX412=原始資料!AW412),N(AU412)+1,1))</f>
        <v/>
      </c>
      <c r="AW412" s="6">
        <f>IF(OR(原始資料!$A412="",48&gt;設定!$B$3,原始資料!AY412=""),"",IF(AND(原始資料!AX412&lt;&gt;"",原始資料!AY412=原始資料!AX412),N(AV412)+1,1))</f>
        <v/>
      </c>
      <c r="AX412" s="6">
        <f>IF(OR(原始資料!$A412="",49&gt;設定!$B$3,原始資料!AZ412=""),"",IF(AND(原始資料!AY412&lt;&gt;"",原始資料!AZ412=原始資料!AY412),N(AW412)+1,1))</f>
        <v/>
      </c>
      <c r="AY412" s="6">
        <f>IF(OR(原始資料!$A412="",50&gt;設定!$B$3,原始資料!BA412=""),"",IF(AND(原始資料!AZ412&lt;&gt;"",原始資料!BA412=原始資料!AZ412),N(AX412)+1,1))</f>
        <v/>
      </c>
      <c r="AZ412" s="6">
        <f>IF(OR(原始資料!$A412="",51&gt;設定!$B$3,原始資料!BB412=""),"",IF(AND(原始資料!BA412&lt;&gt;"",原始資料!BB412=原始資料!BA412),N(AY412)+1,1))</f>
        <v/>
      </c>
      <c r="BA412" s="6">
        <f>IF(OR(原始資料!$A412="",52&gt;設定!$B$3,原始資料!BC412=""),"",IF(AND(原始資料!BB412&lt;&gt;"",原始資料!BC412=原始資料!BB412),N(AZ412)+1,1))</f>
        <v/>
      </c>
      <c r="BB412" s="6">
        <f>IF(OR(原始資料!$A412="",53&gt;設定!$B$3,原始資料!BD412=""),"",IF(AND(原始資料!BC412&lt;&gt;"",原始資料!BD412=原始資料!BC412),N(BA412)+1,1))</f>
        <v/>
      </c>
      <c r="BC412" s="6">
        <f>IF(OR(原始資料!$A412="",54&gt;設定!$B$3,原始資料!BE412=""),"",IF(AND(原始資料!BD412&lt;&gt;"",原始資料!BE412=原始資料!BD412),N(BB412)+1,1))</f>
        <v/>
      </c>
      <c r="BD412" s="6">
        <f>IF(OR(原始資料!$A412="",55&gt;設定!$B$3,原始資料!BF412=""),"",IF(AND(原始資料!BE412&lt;&gt;"",原始資料!BF412=原始資料!BE412),N(BC412)+1,1))</f>
        <v/>
      </c>
      <c r="BE412" s="6">
        <f>IF(OR(原始資料!$A412="",56&gt;設定!$B$3,原始資料!BG412=""),"",IF(AND(原始資料!BF412&lt;&gt;"",原始資料!BG412=原始資料!BF412),N(BD412)+1,1))</f>
        <v/>
      </c>
      <c r="BF412" s="6">
        <f>IF(OR(原始資料!$A412="",57&gt;設定!$B$3,原始資料!BH412=""),"",IF(AND(原始資料!BG412&lt;&gt;"",原始資料!BH412=原始資料!BG412),N(BE412)+1,1))</f>
        <v/>
      </c>
      <c r="BG412" s="6">
        <f>IF(OR(原始資料!$A412="",58&gt;設定!$B$3,原始資料!BI412=""),"",IF(AND(原始資料!BH412&lt;&gt;"",原始資料!BI412=原始資料!BH412),N(BF412)+1,1))</f>
        <v/>
      </c>
      <c r="BH412" s="6">
        <f>IF(OR(原始資料!$A412="",59&gt;設定!$B$3,原始資料!BJ412=""),"",IF(AND(原始資料!BI412&lt;&gt;"",原始資料!BJ412=原始資料!BI412),N(BG412)+1,1))</f>
        <v/>
      </c>
      <c r="BI412" s="6">
        <f>IF(OR(原始資料!$A412="",60&gt;設定!$B$3,原始資料!BK412=""),"",IF(AND(原始資料!BJ412&lt;&gt;"",原始資料!BK412=原始資料!BJ412),N(BH412)+1,1))</f>
        <v/>
      </c>
    </row>
    <row r="413">
      <c r="A413" s="6">
        <f>IF(原始資料!$A413="","",原始資料!$A413)</f>
        <v/>
      </c>
      <c r="B413" s="6">
        <f>IF(OR(原始資料!$A413="",1&gt;設定!$B$3,原始資料!D413=""),"",1)</f>
        <v/>
      </c>
      <c r="C413" s="6">
        <f>IF(OR(原始資料!$A413="",2&gt;設定!$B$3,原始資料!E413=""),"",IF(AND(原始資料!D413&lt;&gt;"",原始資料!E413=原始資料!D413),N(B413)+1,1))</f>
        <v/>
      </c>
      <c r="D413" s="6">
        <f>IF(OR(原始資料!$A413="",3&gt;設定!$B$3,原始資料!F413=""),"",IF(AND(原始資料!E413&lt;&gt;"",原始資料!F413=原始資料!E413),N(C413)+1,1))</f>
        <v/>
      </c>
      <c r="E413" s="6">
        <f>IF(OR(原始資料!$A413="",4&gt;設定!$B$3,原始資料!G413=""),"",IF(AND(原始資料!F413&lt;&gt;"",原始資料!G413=原始資料!F413),N(D413)+1,1))</f>
        <v/>
      </c>
      <c r="F413" s="6">
        <f>IF(OR(原始資料!$A413="",5&gt;設定!$B$3,原始資料!H413=""),"",IF(AND(原始資料!G413&lt;&gt;"",原始資料!H413=原始資料!G413),N(E413)+1,1))</f>
        <v/>
      </c>
      <c r="G413" s="6">
        <f>IF(OR(原始資料!$A413="",6&gt;設定!$B$3,原始資料!I413=""),"",IF(AND(原始資料!H413&lt;&gt;"",原始資料!I413=原始資料!H413),N(F413)+1,1))</f>
        <v/>
      </c>
      <c r="H413" s="6">
        <f>IF(OR(原始資料!$A413="",7&gt;設定!$B$3,原始資料!J413=""),"",IF(AND(原始資料!I413&lt;&gt;"",原始資料!J413=原始資料!I413),N(G413)+1,1))</f>
        <v/>
      </c>
      <c r="I413" s="6">
        <f>IF(OR(原始資料!$A413="",8&gt;設定!$B$3,原始資料!K413=""),"",IF(AND(原始資料!J413&lt;&gt;"",原始資料!K413=原始資料!J413),N(H413)+1,1))</f>
        <v/>
      </c>
      <c r="J413" s="6">
        <f>IF(OR(原始資料!$A413="",9&gt;設定!$B$3,原始資料!L413=""),"",IF(AND(原始資料!K413&lt;&gt;"",原始資料!L413=原始資料!K413),N(I413)+1,1))</f>
        <v/>
      </c>
      <c r="K413" s="6">
        <f>IF(OR(原始資料!$A413="",10&gt;設定!$B$3,原始資料!M413=""),"",IF(AND(原始資料!L413&lt;&gt;"",原始資料!M413=原始資料!L413),N(J413)+1,1))</f>
        <v/>
      </c>
      <c r="L413" s="6">
        <f>IF(OR(原始資料!$A413="",11&gt;設定!$B$3,原始資料!N413=""),"",IF(AND(原始資料!M413&lt;&gt;"",原始資料!N413=原始資料!M413),N(K413)+1,1))</f>
        <v/>
      </c>
      <c r="M413" s="6">
        <f>IF(OR(原始資料!$A413="",12&gt;設定!$B$3,原始資料!O413=""),"",IF(AND(原始資料!N413&lt;&gt;"",原始資料!O413=原始資料!N413),N(L413)+1,1))</f>
        <v/>
      </c>
      <c r="N413" s="6">
        <f>IF(OR(原始資料!$A413="",13&gt;設定!$B$3,原始資料!P413=""),"",IF(AND(原始資料!O413&lt;&gt;"",原始資料!P413=原始資料!O413),N(M413)+1,1))</f>
        <v/>
      </c>
      <c r="O413" s="6">
        <f>IF(OR(原始資料!$A413="",14&gt;設定!$B$3,原始資料!Q413=""),"",IF(AND(原始資料!P413&lt;&gt;"",原始資料!Q413=原始資料!P413),N(N413)+1,1))</f>
        <v/>
      </c>
      <c r="P413" s="6">
        <f>IF(OR(原始資料!$A413="",15&gt;設定!$B$3,原始資料!R413=""),"",IF(AND(原始資料!Q413&lt;&gt;"",原始資料!R413=原始資料!Q413),N(O413)+1,1))</f>
        <v/>
      </c>
      <c r="Q413" s="6">
        <f>IF(OR(原始資料!$A413="",16&gt;設定!$B$3,原始資料!S413=""),"",IF(AND(原始資料!R413&lt;&gt;"",原始資料!S413=原始資料!R413),N(P413)+1,1))</f>
        <v/>
      </c>
      <c r="R413" s="6">
        <f>IF(OR(原始資料!$A413="",17&gt;設定!$B$3,原始資料!T413=""),"",IF(AND(原始資料!S413&lt;&gt;"",原始資料!T413=原始資料!S413),N(Q413)+1,1))</f>
        <v/>
      </c>
      <c r="S413" s="6">
        <f>IF(OR(原始資料!$A413="",18&gt;設定!$B$3,原始資料!U413=""),"",IF(AND(原始資料!T413&lt;&gt;"",原始資料!U413=原始資料!T413),N(R413)+1,1))</f>
        <v/>
      </c>
      <c r="T413" s="6">
        <f>IF(OR(原始資料!$A413="",19&gt;設定!$B$3,原始資料!V413=""),"",IF(AND(原始資料!U413&lt;&gt;"",原始資料!V413=原始資料!U413),N(S413)+1,1))</f>
        <v/>
      </c>
      <c r="U413" s="6">
        <f>IF(OR(原始資料!$A413="",20&gt;設定!$B$3,原始資料!W413=""),"",IF(AND(原始資料!V413&lt;&gt;"",原始資料!W413=原始資料!V413),N(T413)+1,1))</f>
        <v/>
      </c>
      <c r="V413" s="6">
        <f>IF(OR(原始資料!$A413="",21&gt;設定!$B$3,原始資料!X413=""),"",IF(AND(原始資料!W413&lt;&gt;"",原始資料!X413=原始資料!W413),N(U413)+1,1))</f>
        <v/>
      </c>
      <c r="W413" s="6">
        <f>IF(OR(原始資料!$A413="",22&gt;設定!$B$3,原始資料!Y413=""),"",IF(AND(原始資料!X413&lt;&gt;"",原始資料!Y413=原始資料!X413),N(V413)+1,1))</f>
        <v/>
      </c>
      <c r="X413" s="6">
        <f>IF(OR(原始資料!$A413="",23&gt;設定!$B$3,原始資料!Z413=""),"",IF(AND(原始資料!Y413&lt;&gt;"",原始資料!Z413=原始資料!Y413),N(W413)+1,1))</f>
        <v/>
      </c>
      <c r="Y413" s="6">
        <f>IF(OR(原始資料!$A413="",24&gt;設定!$B$3,原始資料!AA413=""),"",IF(AND(原始資料!Z413&lt;&gt;"",原始資料!AA413=原始資料!Z413),N(X413)+1,1))</f>
        <v/>
      </c>
      <c r="Z413" s="6">
        <f>IF(OR(原始資料!$A413="",25&gt;設定!$B$3,原始資料!AB413=""),"",IF(AND(原始資料!AA413&lt;&gt;"",原始資料!AB413=原始資料!AA413),N(Y413)+1,1))</f>
        <v/>
      </c>
      <c r="AA413" s="6">
        <f>IF(OR(原始資料!$A413="",26&gt;設定!$B$3,原始資料!AC413=""),"",IF(AND(原始資料!AB413&lt;&gt;"",原始資料!AC413=原始資料!AB413),N(Z413)+1,1))</f>
        <v/>
      </c>
      <c r="AB413" s="6">
        <f>IF(OR(原始資料!$A413="",27&gt;設定!$B$3,原始資料!AD413=""),"",IF(AND(原始資料!AC413&lt;&gt;"",原始資料!AD413=原始資料!AC413),N(AA413)+1,1))</f>
        <v/>
      </c>
      <c r="AC413" s="6">
        <f>IF(OR(原始資料!$A413="",28&gt;設定!$B$3,原始資料!AE413=""),"",IF(AND(原始資料!AD413&lt;&gt;"",原始資料!AE413=原始資料!AD413),N(AB413)+1,1))</f>
        <v/>
      </c>
      <c r="AD413" s="6">
        <f>IF(OR(原始資料!$A413="",29&gt;設定!$B$3,原始資料!AF413=""),"",IF(AND(原始資料!AE413&lt;&gt;"",原始資料!AF413=原始資料!AE413),N(AC413)+1,1))</f>
        <v/>
      </c>
      <c r="AE413" s="6">
        <f>IF(OR(原始資料!$A413="",30&gt;設定!$B$3,原始資料!AG413=""),"",IF(AND(原始資料!AF413&lt;&gt;"",原始資料!AG413=原始資料!AF413),N(AD413)+1,1))</f>
        <v/>
      </c>
      <c r="AF413" s="6">
        <f>IF(OR(原始資料!$A413="",31&gt;設定!$B$3,原始資料!AH413=""),"",IF(AND(原始資料!AG413&lt;&gt;"",原始資料!AH413=原始資料!AG413),N(AE413)+1,1))</f>
        <v/>
      </c>
      <c r="AG413" s="6">
        <f>IF(OR(原始資料!$A413="",32&gt;設定!$B$3,原始資料!AI413=""),"",IF(AND(原始資料!AH413&lt;&gt;"",原始資料!AI413=原始資料!AH413),N(AF413)+1,1))</f>
        <v/>
      </c>
      <c r="AH413" s="6">
        <f>IF(OR(原始資料!$A413="",33&gt;設定!$B$3,原始資料!AJ413=""),"",IF(AND(原始資料!AI413&lt;&gt;"",原始資料!AJ413=原始資料!AI413),N(AG413)+1,1))</f>
        <v/>
      </c>
      <c r="AI413" s="6">
        <f>IF(OR(原始資料!$A413="",34&gt;設定!$B$3,原始資料!AK413=""),"",IF(AND(原始資料!AJ413&lt;&gt;"",原始資料!AK413=原始資料!AJ413),N(AH413)+1,1))</f>
        <v/>
      </c>
      <c r="AJ413" s="6">
        <f>IF(OR(原始資料!$A413="",35&gt;設定!$B$3,原始資料!AL413=""),"",IF(AND(原始資料!AK413&lt;&gt;"",原始資料!AL413=原始資料!AK413),N(AI413)+1,1))</f>
        <v/>
      </c>
      <c r="AK413" s="6">
        <f>IF(OR(原始資料!$A413="",36&gt;設定!$B$3,原始資料!AM413=""),"",IF(AND(原始資料!AL413&lt;&gt;"",原始資料!AM413=原始資料!AL413),N(AJ413)+1,1))</f>
        <v/>
      </c>
      <c r="AL413" s="6">
        <f>IF(OR(原始資料!$A413="",37&gt;設定!$B$3,原始資料!AN413=""),"",IF(AND(原始資料!AM413&lt;&gt;"",原始資料!AN413=原始資料!AM413),N(AK413)+1,1))</f>
        <v/>
      </c>
      <c r="AM413" s="6">
        <f>IF(OR(原始資料!$A413="",38&gt;設定!$B$3,原始資料!AO413=""),"",IF(AND(原始資料!AN413&lt;&gt;"",原始資料!AO413=原始資料!AN413),N(AL413)+1,1))</f>
        <v/>
      </c>
      <c r="AN413" s="6">
        <f>IF(OR(原始資料!$A413="",39&gt;設定!$B$3,原始資料!AP413=""),"",IF(AND(原始資料!AO413&lt;&gt;"",原始資料!AP413=原始資料!AO413),N(AM413)+1,1))</f>
        <v/>
      </c>
      <c r="AO413" s="6">
        <f>IF(OR(原始資料!$A413="",40&gt;設定!$B$3,原始資料!AQ413=""),"",IF(AND(原始資料!AP413&lt;&gt;"",原始資料!AQ413=原始資料!AP413),N(AN413)+1,1))</f>
        <v/>
      </c>
      <c r="AP413" s="6">
        <f>IF(OR(原始資料!$A413="",41&gt;設定!$B$3,原始資料!AR413=""),"",IF(AND(原始資料!AQ413&lt;&gt;"",原始資料!AR413=原始資料!AQ413),N(AO413)+1,1))</f>
        <v/>
      </c>
      <c r="AQ413" s="6">
        <f>IF(OR(原始資料!$A413="",42&gt;設定!$B$3,原始資料!AS413=""),"",IF(AND(原始資料!AR413&lt;&gt;"",原始資料!AS413=原始資料!AR413),N(AP413)+1,1))</f>
        <v/>
      </c>
      <c r="AR413" s="6">
        <f>IF(OR(原始資料!$A413="",43&gt;設定!$B$3,原始資料!AT413=""),"",IF(AND(原始資料!AS413&lt;&gt;"",原始資料!AT413=原始資料!AS413),N(AQ413)+1,1))</f>
        <v/>
      </c>
      <c r="AS413" s="6">
        <f>IF(OR(原始資料!$A413="",44&gt;設定!$B$3,原始資料!AU413=""),"",IF(AND(原始資料!AT413&lt;&gt;"",原始資料!AU413=原始資料!AT413),N(AR413)+1,1))</f>
        <v/>
      </c>
      <c r="AT413" s="6">
        <f>IF(OR(原始資料!$A413="",45&gt;設定!$B$3,原始資料!AV413=""),"",IF(AND(原始資料!AU413&lt;&gt;"",原始資料!AV413=原始資料!AU413),N(AS413)+1,1))</f>
        <v/>
      </c>
      <c r="AU413" s="6">
        <f>IF(OR(原始資料!$A413="",46&gt;設定!$B$3,原始資料!AW413=""),"",IF(AND(原始資料!AV413&lt;&gt;"",原始資料!AW413=原始資料!AV413),N(AT413)+1,1))</f>
        <v/>
      </c>
      <c r="AV413" s="6">
        <f>IF(OR(原始資料!$A413="",47&gt;設定!$B$3,原始資料!AX413=""),"",IF(AND(原始資料!AW413&lt;&gt;"",原始資料!AX413=原始資料!AW413),N(AU413)+1,1))</f>
        <v/>
      </c>
      <c r="AW413" s="6">
        <f>IF(OR(原始資料!$A413="",48&gt;設定!$B$3,原始資料!AY413=""),"",IF(AND(原始資料!AX413&lt;&gt;"",原始資料!AY413=原始資料!AX413),N(AV413)+1,1))</f>
        <v/>
      </c>
      <c r="AX413" s="6">
        <f>IF(OR(原始資料!$A413="",49&gt;設定!$B$3,原始資料!AZ413=""),"",IF(AND(原始資料!AY413&lt;&gt;"",原始資料!AZ413=原始資料!AY413),N(AW413)+1,1))</f>
        <v/>
      </c>
      <c r="AY413" s="6">
        <f>IF(OR(原始資料!$A413="",50&gt;設定!$B$3,原始資料!BA413=""),"",IF(AND(原始資料!AZ413&lt;&gt;"",原始資料!BA413=原始資料!AZ413),N(AX413)+1,1))</f>
        <v/>
      </c>
      <c r="AZ413" s="6">
        <f>IF(OR(原始資料!$A413="",51&gt;設定!$B$3,原始資料!BB413=""),"",IF(AND(原始資料!BA413&lt;&gt;"",原始資料!BB413=原始資料!BA413),N(AY413)+1,1))</f>
        <v/>
      </c>
      <c r="BA413" s="6">
        <f>IF(OR(原始資料!$A413="",52&gt;設定!$B$3,原始資料!BC413=""),"",IF(AND(原始資料!BB413&lt;&gt;"",原始資料!BC413=原始資料!BB413),N(AZ413)+1,1))</f>
        <v/>
      </c>
      <c r="BB413" s="6">
        <f>IF(OR(原始資料!$A413="",53&gt;設定!$B$3,原始資料!BD413=""),"",IF(AND(原始資料!BC413&lt;&gt;"",原始資料!BD413=原始資料!BC413),N(BA413)+1,1))</f>
        <v/>
      </c>
      <c r="BC413" s="6">
        <f>IF(OR(原始資料!$A413="",54&gt;設定!$B$3,原始資料!BE413=""),"",IF(AND(原始資料!BD413&lt;&gt;"",原始資料!BE413=原始資料!BD413),N(BB413)+1,1))</f>
        <v/>
      </c>
      <c r="BD413" s="6">
        <f>IF(OR(原始資料!$A413="",55&gt;設定!$B$3,原始資料!BF413=""),"",IF(AND(原始資料!BE413&lt;&gt;"",原始資料!BF413=原始資料!BE413),N(BC413)+1,1))</f>
        <v/>
      </c>
      <c r="BE413" s="6">
        <f>IF(OR(原始資料!$A413="",56&gt;設定!$B$3,原始資料!BG413=""),"",IF(AND(原始資料!BF413&lt;&gt;"",原始資料!BG413=原始資料!BF413),N(BD413)+1,1))</f>
        <v/>
      </c>
      <c r="BF413" s="6">
        <f>IF(OR(原始資料!$A413="",57&gt;設定!$B$3,原始資料!BH413=""),"",IF(AND(原始資料!BG413&lt;&gt;"",原始資料!BH413=原始資料!BG413),N(BE413)+1,1))</f>
        <v/>
      </c>
      <c r="BG413" s="6">
        <f>IF(OR(原始資料!$A413="",58&gt;設定!$B$3,原始資料!BI413=""),"",IF(AND(原始資料!BH413&lt;&gt;"",原始資料!BI413=原始資料!BH413),N(BF413)+1,1))</f>
        <v/>
      </c>
      <c r="BH413" s="6">
        <f>IF(OR(原始資料!$A413="",59&gt;設定!$B$3,原始資料!BJ413=""),"",IF(AND(原始資料!BI413&lt;&gt;"",原始資料!BJ413=原始資料!BI413),N(BG413)+1,1))</f>
        <v/>
      </c>
      <c r="BI413" s="6">
        <f>IF(OR(原始資料!$A413="",60&gt;設定!$B$3,原始資料!BK413=""),"",IF(AND(原始資料!BJ413&lt;&gt;"",原始資料!BK413=原始資料!BJ413),N(BH413)+1,1))</f>
        <v/>
      </c>
    </row>
    <row r="414">
      <c r="A414" s="6">
        <f>IF(原始資料!$A414="","",原始資料!$A414)</f>
        <v/>
      </c>
      <c r="B414" s="6">
        <f>IF(OR(原始資料!$A414="",1&gt;設定!$B$3,原始資料!D414=""),"",1)</f>
        <v/>
      </c>
      <c r="C414" s="6">
        <f>IF(OR(原始資料!$A414="",2&gt;設定!$B$3,原始資料!E414=""),"",IF(AND(原始資料!D414&lt;&gt;"",原始資料!E414=原始資料!D414),N(B414)+1,1))</f>
        <v/>
      </c>
      <c r="D414" s="6">
        <f>IF(OR(原始資料!$A414="",3&gt;設定!$B$3,原始資料!F414=""),"",IF(AND(原始資料!E414&lt;&gt;"",原始資料!F414=原始資料!E414),N(C414)+1,1))</f>
        <v/>
      </c>
      <c r="E414" s="6">
        <f>IF(OR(原始資料!$A414="",4&gt;設定!$B$3,原始資料!G414=""),"",IF(AND(原始資料!F414&lt;&gt;"",原始資料!G414=原始資料!F414),N(D414)+1,1))</f>
        <v/>
      </c>
      <c r="F414" s="6">
        <f>IF(OR(原始資料!$A414="",5&gt;設定!$B$3,原始資料!H414=""),"",IF(AND(原始資料!G414&lt;&gt;"",原始資料!H414=原始資料!G414),N(E414)+1,1))</f>
        <v/>
      </c>
      <c r="G414" s="6">
        <f>IF(OR(原始資料!$A414="",6&gt;設定!$B$3,原始資料!I414=""),"",IF(AND(原始資料!H414&lt;&gt;"",原始資料!I414=原始資料!H414),N(F414)+1,1))</f>
        <v/>
      </c>
      <c r="H414" s="6">
        <f>IF(OR(原始資料!$A414="",7&gt;設定!$B$3,原始資料!J414=""),"",IF(AND(原始資料!I414&lt;&gt;"",原始資料!J414=原始資料!I414),N(G414)+1,1))</f>
        <v/>
      </c>
      <c r="I414" s="6">
        <f>IF(OR(原始資料!$A414="",8&gt;設定!$B$3,原始資料!K414=""),"",IF(AND(原始資料!J414&lt;&gt;"",原始資料!K414=原始資料!J414),N(H414)+1,1))</f>
        <v/>
      </c>
      <c r="J414" s="6">
        <f>IF(OR(原始資料!$A414="",9&gt;設定!$B$3,原始資料!L414=""),"",IF(AND(原始資料!K414&lt;&gt;"",原始資料!L414=原始資料!K414),N(I414)+1,1))</f>
        <v/>
      </c>
      <c r="K414" s="6">
        <f>IF(OR(原始資料!$A414="",10&gt;設定!$B$3,原始資料!M414=""),"",IF(AND(原始資料!L414&lt;&gt;"",原始資料!M414=原始資料!L414),N(J414)+1,1))</f>
        <v/>
      </c>
      <c r="L414" s="6">
        <f>IF(OR(原始資料!$A414="",11&gt;設定!$B$3,原始資料!N414=""),"",IF(AND(原始資料!M414&lt;&gt;"",原始資料!N414=原始資料!M414),N(K414)+1,1))</f>
        <v/>
      </c>
      <c r="M414" s="6">
        <f>IF(OR(原始資料!$A414="",12&gt;設定!$B$3,原始資料!O414=""),"",IF(AND(原始資料!N414&lt;&gt;"",原始資料!O414=原始資料!N414),N(L414)+1,1))</f>
        <v/>
      </c>
      <c r="N414" s="6">
        <f>IF(OR(原始資料!$A414="",13&gt;設定!$B$3,原始資料!P414=""),"",IF(AND(原始資料!O414&lt;&gt;"",原始資料!P414=原始資料!O414),N(M414)+1,1))</f>
        <v/>
      </c>
      <c r="O414" s="6">
        <f>IF(OR(原始資料!$A414="",14&gt;設定!$B$3,原始資料!Q414=""),"",IF(AND(原始資料!P414&lt;&gt;"",原始資料!Q414=原始資料!P414),N(N414)+1,1))</f>
        <v/>
      </c>
      <c r="P414" s="6">
        <f>IF(OR(原始資料!$A414="",15&gt;設定!$B$3,原始資料!R414=""),"",IF(AND(原始資料!Q414&lt;&gt;"",原始資料!R414=原始資料!Q414),N(O414)+1,1))</f>
        <v/>
      </c>
      <c r="Q414" s="6">
        <f>IF(OR(原始資料!$A414="",16&gt;設定!$B$3,原始資料!S414=""),"",IF(AND(原始資料!R414&lt;&gt;"",原始資料!S414=原始資料!R414),N(P414)+1,1))</f>
        <v/>
      </c>
      <c r="R414" s="6">
        <f>IF(OR(原始資料!$A414="",17&gt;設定!$B$3,原始資料!T414=""),"",IF(AND(原始資料!S414&lt;&gt;"",原始資料!T414=原始資料!S414),N(Q414)+1,1))</f>
        <v/>
      </c>
      <c r="S414" s="6">
        <f>IF(OR(原始資料!$A414="",18&gt;設定!$B$3,原始資料!U414=""),"",IF(AND(原始資料!T414&lt;&gt;"",原始資料!U414=原始資料!T414),N(R414)+1,1))</f>
        <v/>
      </c>
      <c r="T414" s="6">
        <f>IF(OR(原始資料!$A414="",19&gt;設定!$B$3,原始資料!V414=""),"",IF(AND(原始資料!U414&lt;&gt;"",原始資料!V414=原始資料!U414),N(S414)+1,1))</f>
        <v/>
      </c>
      <c r="U414" s="6">
        <f>IF(OR(原始資料!$A414="",20&gt;設定!$B$3,原始資料!W414=""),"",IF(AND(原始資料!V414&lt;&gt;"",原始資料!W414=原始資料!V414),N(T414)+1,1))</f>
        <v/>
      </c>
      <c r="V414" s="6">
        <f>IF(OR(原始資料!$A414="",21&gt;設定!$B$3,原始資料!X414=""),"",IF(AND(原始資料!W414&lt;&gt;"",原始資料!X414=原始資料!W414),N(U414)+1,1))</f>
        <v/>
      </c>
      <c r="W414" s="6">
        <f>IF(OR(原始資料!$A414="",22&gt;設定!$B$3,原始資料!Y414=""),"",IF(AND(原始資料!X414&lt;&gt;"",原始資料!Y414=原始資料!X414),N(V414)+1,1))</f>
        <v/>
      </c>
      <c r="X414" s="6">
        <f>IF(OR(原始資料!$A414="",23&gt;設定!$B$3,原始資料!Z414=""),"",IF(AND(原始資料!Y414&lt;&gt;"",原始資料!Z414=原始資料!Y414),N(W414)+1,1))</f>
        <v/>
      </c>
      <c r="Y414" s="6">
        <f>IF(OR(原始資料!$A414="",24&gt;設定!$B$3,原始資料!AA414=""),"",IF(AND(原始資料!Z414&lt;&gt;"",原始資料!AA414=原始資料!Z414),N(X414)+1,1))</f>
        <v/>
      </c>
      <c r="Z414" s="6">
        <f>IF(OR(原始資料!$A414="",25&gt;設定!$B$3,原始資料!AB414=""),"",IF(AND(原始資料!AA414&lt;&gt;"",原始資料!AB414=原始資料!AA414),N(Y414)+1,1))</f>
        <v/>
      </c>
      <c r="AA414" s="6">
        <f>IF(OR(原始資料!$A414="",26&gt;設定!$B$3,原始資料!AC414=""),"",IF(AND(原始資料!AB414&lt;&gt;"",原始資料!AC414=原始資料!AB414),N(Z414)+1,1))</f>
        <v/>
      </c>
      <c r="AB414" s="6">
        <f>IF(OR(原始資料!$A414="",27&gt;設定!$B$3,原始資料!AD414=""),"",IF(AND(原始資料!AC414&lt;&gt;"",原始資料!AD414=原始資料!AC414),N(AA414)+1,1))</f>
        <v/>
      </c>
      <c r="AC414" s="6">
        <f>IF(OR(原始資料!$A414="",28&gt;設定!$B$3,原始資料!AE414=""),"",IF(AND(原始資料!AD414&lt;&gt;"",原始資料!AE414=原始資料!AD414),N(AB414)+1,1))</f>
        <v/>
      </c>
      <c r="AD414" s="6">
        <f>IF(OR(原始資料!$A414="",29&gt;設定!$B$3,原始資料!AF414=""),"",IF(AND(原始資料!AE414&lt;&gt;"",原始資料!AF414=原始資料!AE414),N(AC414)+1,1))</f>
        <v/>
      </c>
      <c r="AE414" s="6">
        <f>IF(OR(原始資料!$A414="",30&gt;設定!$B$3,原始資料!AG414=""),"",IF(AND(原始資料!AF414&lt;&gt;"",原始資料!AG414=原始資料!AF414),N(AD414)+1,1))</f>
        <v/>
      </c>
      <c r="AF414" s="6">
        <f>IF(OR(原始資料!$A414="",31&gt;設定!$B$3,原始資料!AH414=""),"",IF(AND(原始資料!AG414&lt;&gt;"",原始資料!AH414=原始資料!AG414),N(AE414)+1,1))</f>
        <v/>
      </c>
      <c r="AG414" s="6">
        <f>IF(OR(原始資料!$A414="",32&gt;設定!$B$3,原始資料!AI414=""),"",IF(AND(原始資料!AH414&lt;&gt;"",原始資料!AI414=原始資料!AH414),N(AF414)+1,1))</f>
        <v/>
      </c>
      <c r="AH414" s="6">
        <f>IF(OR(原始資料!$A414="",33&gt;設定!$B$3,原始資料!AJ414=""),"",IF(AND(原始資料!AI414&lt;&gt;"",原始資料!AJ414=原始資料!AI414),N(AG414)+1,1))</f>
        <v/>
      </c>
      <c r="AI414" s="6">
        <f>IF(OR(原始資料!$A414="",34&gt;設定!$B$3,原始資料!AK414=""),"",IF(AND(原始資料!AJ414&lt;&gt;"",原始資料!AK414=原始資料!AJ414),N(AH414)+1,1))</f>
        <v/>
      </c>
      <c r="AJ414" s="6">
        <f>IF(OR(原始資料!$A414="",35&gt;設定!$B$3,原始資料!AL414=""),"",IF(AND(原始資料!AK414&lt;&gt;"",原始資料!AL414=原始資料!AK414),N(AI414)+1,1))</f>
        <v/>
      </c>
      <c r="AK414" s="6">
        <f>IF(OR(原始資料!$A414="",36&gt;設定!$B$3,原始資料!AM414=""),"",IF(AND(原始資料!AL414&lt;&gt;"",原始資料!AM414=原始資料!AL414),N(AJ414)+1,1))</f>
        <v/>
      </c>
      <c r="AL414" s="6">
        <f>IF(OR(原始資料!$A414="",37&gt;設定!$B$3,原始資料!AN414=""),"",IF(AND(原始資料!AM414&lt;&gt;"",原始資料!AN414=原始資料!AM414),N(AK414)+1,1))</f>
        <v/>
      </c>
      <c r="AM414" s="6">
        <f>IF(OR(原始資料!$A414="",38&gt;設定!$B$3,原始資料!AO414=""),"",IF(AND(原始資料!AN414&lt;&gt;"",原始資料!AO414=原始資料!AN414),N(AL414)+1,1))</f>
        <v/>
      </c>
      <c r="AN414" s="6">
        <f>IF(OR(原始資料!$A414="",39&gt;設定!$B$3,原始資料!AP414=""),"",IF(AND(原始資料!AO414&lt;&gt;"",原始資料!AP414=原始資料!AO414),N(AM414)+1,1))</f>
        <v/>
      </c>
      <c r="AO414" s="6">
        <f>IF(OR(原始資料!$A414="",40&gt;設定!$B$3,原始資料!AQ414=""),"",IF(AND(原始資料!AP414&lt;&gt;"",原始資料!AQ414=原始資料!AP414),N(AN414)+1,1))</f>
        <v/>
      </c>
      <c r="AP414" s="6">
        <f>IF(OR(原始資料!$A414="",41&gt;設定!$B$3,原始資料!AR414=""),"",IF(AND(原始資料!AQ414&lt;&gt;"",原始資料!AR414=原始資料!AQ414),N(AO414)+1,1))</f>
        <v/>
      </c>
      <c r="AQ414" s="6">
        <f>IF(OR(原始資料!$A414="",42&gt;設定!$B$3,原始資料!AS414=""),"",IF(AND(原始資料!AR414&lt;&gt;"",原始資料!AS414=原始資料!AR414),N(AP414)+1,1))</f>
        <v/>
      </c>
      <c r="AR414" s="6">
        <f>IF(OR(原始資料!$A414="",43&gt;設定!$B$3,原始資料!AT414=""),"",IF(AND(原始資料!AS414&lt;&gt;"",原始資料!AT414=原始資料!AS414),N(AQ414)+1,1))</f>
        <v/>
      </c>
      <c r="AS414" s="6">
        <f>IF(OR(原始資料!$A414="",44&gt;設定!$B$3,原始資料!AU414=""),"",IF(AND(原始資料!AT414&lt;&gt;"",原始資料!AU414=原始資料!AT414),N(AR414)+1,1))</f>
        <v/>
      </c>
      <c r="AT414" s="6">
        <f>IF(OR(原始資料!$A414="",45&gt;設定!$B$3,原始資料!AV414=""),"",IF(AND(原始資料!AU414&lt;&gt;"",原始資料!AV414=原始資料!AU414),N(AS414)+1,1))</f>
        <v/>
      </c>
      <c r="AU414" s="6">
        <f>IF(OR(原始資料!$A414="",46&gt;設定!$B$3,原始資料!AW414=""),"",IF(AND(原始資料!AV414&lt;&gt;"",原始資料!AW414=原始資料!AV414),N(AT414)+1,1))</f>
        <v/>
      </c>
      <c r="AV414" s="6">
        <f>IF(OR(原始資料!$A414="",47&gt;設定!$B$3,原始資料!AX414=""),"",IF(AND(原始資料!AW414&lt;&gt;"",原始資料!AX414=原始資料!AW414),N(AU414)+1,1))</f>
        <v/>
      </c>
      <c r="AW414" s="6">
        <f>IF(OR(原始資料!$A414="",48&gt;設定!$B$3,原始資料!AY414=""),"",IF(AND(原始資料!AX414&lt;&gt;"",原始資料!AY414=原始資料!AX414),N(AV414)+1,1))</f>
        <v/>
      </c>
      <c r="AX414" s="6">
        <f>IF(OR(原始資料!$A414="",49&gt;設定!$B$3,原始資料!AZ414=""),"",IF(AND(原始資料!AY414&lt;&gt;"",原始資料!AZ414=原始資料!AY414),N(AW414)+1,1))</f>
        <v/>
      </c>
      <c r="AY414" s="6">
        <f>IF(OR(原始資料!$A414="",50&gt;設定!$B$3,原始資料!BA414=""),"",IF(AND(原始資料!AZ414&lt;&gt;"",原始資料!BA414=原始資料!AZ414),N(AX414)+1,1))</f>
        <v/>
      </c>
      <c r="AZ414" s="6">
        <f>IF(OR(原始資料!$A414="",51&gt;設定!$B$3,原始資料!BB414=""),"",IF(AND(原始資料!BA414&lt;&gt;"",原始資料!BB414=原始資料!BA414),N(AY414)+1,1))</f>
        <v/>
      </c>
      <c r="BA414" s="6">
        <f>IF(OR(原始資料!$A414="",52&gt;設定!$B$3,原始資料!BC414=""),"",IF(AND(原始資料!BB414&lt;&gt;"",原始資料!BC414=原始資料!BB414),N(AZ414)+1,1))</f>
        <v/>
      </c>
      <c r="BB414" s="6">
        <f>IF(OR(原始資料!$A414="",53&gt;設定!$B$3,原始資料!BD414=""),"",IF(AND(原始資料!BC414&lt;&gt;"",原始資料!BD414=原始資料!BC414),N(BA414)+1,1))</f>
        <v/>
      </c>
      <c r="BC414" s="6">
        <f>IF(OR(原始資料!$A414="",54&gt;設定!$B$3,原始資料!BE414=""),"",IF(AND(原始資料!BD414&lt;&gt;"",原始資料!BE414=原始資料!BD414),N(BB414)+1,1))</f>
        <v/>
      </c>
      <c r="BD414" s="6">
        <f>IF(OR(原始資料!$A414="",55&gt;設定!$B$3,原始資料!BF414=""),"",IF(AND(原始資料!BE414&lt;&gt;"",原始資料!BF414=原始資料!BE414),N(BC414)+1,1))</f>
        <v/>
      </c>
      <c r="BE414" s="6">
        <f>IF(OR(原始資料!$A414="",56&gt;設定!$B$3,原始資料!BG414=""),"",IF(AND(原始資料!BF414&lt;&gt;"",原始資料!BG414=原始資料!BF414),N(BD414)+1,1))</f>
        <v/>
      </c>
      <c r="BF414" s="6">
        <f>IF(OR(原始資料!$A414="",57&gt;設定!$B$3,原始資料!BH414=""),"",IF(AND(原始資料!BG414&lt;&gt;"",原始資料!BH414=原始資料!BG414),N(BE414)+1,1))</f>
        <v/>
      </c>
      <c r="BG414" s="6">
        <f>IF(OR(原始資料!$A414="",58&gt;設定!$B$3,原始資料!BI414=""),"",IF(AND(原始資料!BH414&lt;&gt;"",原始資料!BI414=原始資料!BH414),N(BF414)+1,1))</f>
        <v/>
      </c>
      <c r="BH414" s="6">
        <f>IF(OR(原始資料!$A414="",59&gt;設定!$B$3,原始資料!BJ414=""),"",IF(AND(原始資料!BI414&lt;&gt;"",原始資料!BJ414=原始資料!BI414),N(BG414)+1,1))</f>
        <v/>
      </c>
      <c r="BI414" s="6">
        <f>IF(OR(原始資料!$A414="",60&gt;設定!$B$3,原始資料!BK414=""),"",IF(AND(原始資料!BJ414&lt;&gt;"",原始資料!BK414=原始資料!BJ414),N(BH414)+1,1))</f>
        <v/>
      </c>
    </row>
    <row r="415">
      <c r="A415" s="6">
        <f>IF(原始資料!$A415="","",原始資料!$A415)</f>
        <v/>
      </c>
      <c r="B415" s="6">
        <f>IF(OR(原始資料!$A415="",1&gt;設定!$B$3,原始資料!D415=""),"",1)</f>
        <v/>
      </c>
      <c r="C415" s="6">
        <f>IF(OR(原始資料!$A415="",2&gt;設定!$B$3,原始資料!E415=""),"",IF(AND(原始資料!D415&lt;&gt;"",原始資料!E415=原始資料!D415),N(B415)+1,1))</f>
        <v/>
      </c>
      <c r="D415" s="6">
        <f>IF(OR(原始資料!$A415="",3&gt;設定!$B$3,原始資料!F415=""),"",IF(AND(原始資料!E415&lt;&gt;"",原始資料!F415=原始資料!E415),N(C415)+1,1))</f>
        <v/>
      </c>
      <c r="E415" s="6">
        <f>IF(OR(原始資料!$A415="",4&gt;設定!$B$3,原始資料!G415=""),"",IF(AND(原始資料!F415&lt;&gt;"",原始資料!G415=原始資料!F415),N(D415)+1,1))</f>
        <v/>
      </c>
      <c r="F415" s="6">
        <f>IF(OR(原始資料!$A415="",5&gt;設定!$B$3,原始資料!H415=""),"",IF(AND(原始資料!G415&lt;&gt;"",原始資料!H415=原始資料!G415),N(E415)+1,1))</f>
        <v/>
      </c>
      <c r="G415" s="6">
        <f>IF(OR(原始資料!$A415="",6&gt;設定!$B$3,原始資料!I415=""),"",IF(AND(原始資料!H415&lt;&gt;"",原始資料!I415=原始資料!H415),N(F415)+1,1))</f>
        <v/>
      </c>
      <c r="H415" s="6">
        <f>IF(OR(原始資料!$A415="",7&gt;設定!$B$3,原始資料!J415=""),"",IF(AND(原始資料!I415&lt;&gt;"",原始資料!J415=原始資料!I415),N(G415)+1,1))</f>
        <v/>
      </c>
      <c r="I415" s="6">
        <f>IF(OR(原始資料!$A415="",8&gt;設定!$B$3,原始資料!K415=""),"",IF(AND(原始資料!J415&lt;&gt;"",原始資料!K415=原始資料!J415),N(H415)+1,1))</f>
        <v/>
      </c>
      <c r="J415" s="6">
        <f>IF(OR(原始資料!$A415="",9&gt;設定!$B$3,原始資料!L415=""),"",IF(AND(原始資料!K415&lt;&gt;"",原始資料!L415=原始資料!K415),N(I415)+1,1))</f>
        <v/>
      </c>
      <c r="K415" s="6">
        <f>IF(OR(原始資料!$A415="",10&gt;設定!$B$3,原始資料!M415=""),"",IF(AND(原始資料!L415&lt;&gt;"",原始資料!M415=原始資料!L415),N(J415)+1,1))</f>
        <v/>
      </c>
      <c r="L415" s="6">
        <f>IF(OR(原始資料!$A415="",11&gt;設定!$B$3,原始資料!N415=""),"",IF(AND(原始資料!M415&lt;&gt;"",原始資料!N415=原始資料!M415),N(K415)+1,1))</f>
        <v/>
      </c>
      <c r="M415" s="6">
        <f>IF(OR(原始資料!$A415="",12&gt;設定!$B$3,原始資料!O415=""),"",IF(AND(原始資料!N415&lt;&gt;"",原始資料!O415=原始資料!N415),N(L415)+1,1))</f>
        <v/>
      </c>
      <c r="N415" s="6">
        <f>IF(OR(原始資料!$A415="",13&gt;設定!$B$3,原始資料!P415=""),"",IF(AND(原始資料!O415&lt;&gt;"",原始資料!P415=原始資料!O415),N(M415)+1,1))</f>
        <v/>
      </c>
      <c r="O415" s="6">
        <f>IF(OR(原始資料!$A415="",14&gt;設定!$B$3,原始資料!Q415=""),"",IF(AND(原始資料!P415&lt;&gt;"",原始資料!Q415=原始資料!P415),N(N415)+1,1))</f>
        <v/>
      </c>
      <c r="P415" s="6">
        <f>IF(OR(原始資料!$A415="",15&gt;設定!$B$3,原始資料!R415=""),"",IF(AND(原始資料!Q415&lt;&gt;"",原始資料!R415=原始資料!Q415),N(O415)+1,1))</f>
        <v/>
      </c>
      <c r="Q415" s="6">
        <f>IF(OR(原始資料!$A415="",16&gt;設定!$B$3,原始資料!S415=""),"",IF(AND(原始資料!R415&lt;&gt;"",原始資料!S415=原始資料!R415),N(P415)+1,1))</f>
        <v/>
      </c>
      <c r="R415" s="6">
        <f>IF(OR(原始資料!$A415="",17&gt;設定!$B$3,原始資料!T415=""),"",IF(AND(原始資料!S415&lt;&gt;"",原始資料!T415=原始資料!S415),N(Q415)+1,1))</f>
        <v/>
      </c>
      <c r="S415" s="6">
        <f>IF(OR(原始資料!$A415="",18&gt;設定!$B$3,原始資料!U415=""),"",IF(AND(原始資料!T415&lt;&gt;"",原始資料!U415=原始資料!T415),N(R415)+1,1))</f>
        <v/>
      </c>
      <c r="T415" s="6">
        <f>IF(OR(原始資料!$A415="",19&gt;設定!$B$3,原始資料!V415=""),"",IF(AND(原始資料!U415&lt;&gt;"",原始資料!V415=原始資料!U415),N(S415)+1,1))</f>
        <v/>
      </c>
      <c r="U415" s="6">
        <f>IF(OR(原始資料!$A415="",20&gt;設定!$B$3,原始資料!W415=""),"",IF(AND(原始資料!V415&lt;&gt;"",原始資料!W415=原始資料!V415),N(T415)+1,1))</f>
        <v/>
      </c>
      <c r="V415" s="6">
        <f>IF(OR(原始資料!$A415="",21&gt;設定!$B$3,原始資料!X415=""),"",IF(AND(原始資料!W415&lt;&gt;"",原始資料!X415=原始資料!W415),N(U415)+1,1))</f>
        <v/>
      </c>
      <c r="W415" s="6">
        <f>IF(OR(原始資料!$A415="",22&gt;設定!$B$3,原始資料!Y415=""),"",IF(AND(原始資料!X415&lt;&gt;"",原始資料!Y415=原始資料!X415),N(V415)+1,1))</f>
        <v/>
      </c>
      <c r="X415" s="6">
        <f>IF(OR(原始資料!$A415="",23&gt;設定!$B$3,原始資料!Z415=""),"",IF(AND(原始資料!Y415&lt;&gt;"",原始資料!Z415=原始資料!Y415),N(W415)+1,1))</f>
        <v/>
      </c>
      <c r="Y415" s="6">
        <f>IF(OR(原始資料!$A415="",24&gt;設定!$B$3,原始資料!AA415=""),"",IF(AND(原始資料!Z415&lt;&gt;"",原始資料!AA415=原始資料!Z415),N(X415)+1,1))</f>
        <v/>
      </c>
      <c r="Z415" s="6">
        <f>IF(OR(原始資料!$A415="",25&gt;設定!$B$3,原始資料!AB415=""),"",IF(AND(原始資料!AA415&lt;&gt;"",原始資料!AB415=原始資料!AA415),N(Y415)+1,1))</f>
        <v/>
      </c>
      <c r="AA415" s="6">
        <f>IF(OR(原始資料!$A415="",26&gt;設定!$B$3,原始資料!AC415=""),"",IF(AND(原始資料!AB415&lt;&gt;"",原始資料!AC415=原始資料!AB415),N(Z415)+1,1))</f>
        <v/>
      </c>
      <c r="AB415" s="6">
        <f>IF(OR(原始資料!$A415="",27&gt;設定!$B$3,原始資料!AD415=""),"",IF(AND(原始資料!AC415&lt;&gt;"",原始資料!AD415=原始資料!AC415),N(AA415)+1,1))</f>
        <v/>
      </c>
      <c r="AC415" s="6">
        <f>IF(OR(原始資料!$A415="",28&gt;設定!$B$3,原始資料!AE415=""),"",IF(AND(原始資料!AD415&lt;&gt;"",原始資料!AE415=原始資料!AD415),N(AB415)+1,1))</f>
        <v/>
      </c>
      <c r="AD415" s="6">
        <f>IF(OR(原始資料!$A415="",29&gt;設定!$B$3,原始資料!AF415=""),"",IF(AND(原始資料!AE415&lt;&gt;"",原始資料!AF415=原始資料!AE415),N(AC415)+1,1))</f>
        <v/>
      </c>
      <c r="AE415" s="6">
        <f>IF(OR(原始資料!$A415="",30&gt;設定!$B$3,原始資料!AG415=""),"",IF(AND(原始資料!AF415&lt;&gt;"",原始資料!AG415=原始資料!AF415),N(AD415)+1,1))</f>
        <v/>
      </c>
      <c r="AF415" s="6">
        <f>IF(OR(原始資料!$A415="",31&gt;設定!$B$3,原始資料!AH415=""),"",IF(AND(原始資料!AG415&lt;&gt;"",原始資料!AH415=原始資料!AG415),N(AE415)+1,1))</f>
        <v/>
      </c>
      <c r="AG415" s="6">
        <f>IF(OR(原始資料!$A415="",32&gt;設定!$B$3,原始資料!AI415=""),"",IF(AND(原始資料!AH415&lt;&gt;"",原始資料!AI415=原始資料!AH415),N(AF415)+1,1))</f>
        <v/>
      </c>
      <c r="AH415" s="6">
        <f>IF(OR(原始資料!$A415="",33&gt;設定!$B$3,原始資料!AJ415=""),"",IF(AND(原始資料!AI415&lt;&gt;"",原始資料!AJ415=原始資料!AI415),N(AG415)+1,1))</f>
        <v/>
      </c>
      <c r="AI415" s="6">
        <f>IF(OR(原始資料!$A415="",34&gt;設定!$B$3,原始資料!AK415=""),"",IF(AND(原始資料!AJ415&lt;&gt;"",原始資料!AK415=原始資料!AJ415),N(AH415)+1,1))</f>
        <v/>
      </c>
      <c r="AJ415" s="6">
        <f>IF(OR(原始資料!$A415="",35&gt;設定!$B$3,原始資料!AL415=""),"",IF(AND(原始資料!AK415&lt;&gt;"",原始資料!AL415=原始資料!AK415),N(AI415)+1,1))</f>
        <v/>
      </c>
      <c r="AK415" s="6">
        <f>IF(OR(原始資料!$A415="",36&gt;設定!$B$3,原始資料!AM415=""),"",IF(AND(原始資料!AL415&lt;&gt;"",原始資料!AM415=原始資料!AL415),N(AJ415)+1,1))</f>
        <v/>
      </c>
      <c r="AL415" s="6">
        <f>IF(OR(原始資料!$A415="",37&gt;設定!$B$3,原始資料!AN415=""),"",IF(AND(原始資料!AM415&lt;&gt;"",原始資料!AN415=原始資料!AM415),N(AK415)+1,1))</f>
        <v/>
      </c>
      <c r="AM415" s="6">
        <f>IF(OR(原始資料!$A415="",38&gt;設定!$B$3,原始資料!AO415=""),"",IF(AND(原始資料!AN415&lt;&gt;"",原始資料!AO415=原始資料!AN415),N(AL415)+1,1))</f>
        <v/>
      </c>
      <c r="AN415" s="6">
        <f>IF(OR(原始資料!$A415="",39&gt;設定!$B$3,原始資料!AP415=""),"",IF(AND(原始資料!AO415&lt;&gt;"",原始資料!AP415=原始資料!AO415),N(AM415)+1,1))</f>
        <v/>
      </c>
      <c r="AO415" s="6">
        <f>IF(OR(原始資料!$A415="",40&gt;設定!$B$3,原始資料!AQ415=""),"",IF(AND(原始資料!AP415&lt;&gt;"",原始資料!AQ415=原始資料!AP415),N(AN415)+1,1))</f>
        <v/>
      </c>
      <c r="AP415" s="6">
        <f>IF(OR(原始資料!$A415="",41&gt;設定!$B$3,原始資料!AR415=""),"",IF(AND(原始資料!AQ415&lt;&gt;"",原始資料!AR415=原始資料!AQ415),N(AO415)+1,1))</f>
        <v/>
      </c>
      <c r="AQ415" s="6">
        <f>IF(OR(原始資料!$A415="",42&gt;設定!$B$3,原始資料!AS415=""),"",IF(AND(原始資料!AR415&lt;&gt;"",原始資料!AS415=原始資料!AR415),N(AP415)+1,1))</f>
        <v/>
      </c>
      <c r="AR415" s="6">
        <f>IF(OR(原始資料!$A415="",43&gt;設定!$B$3,原始資料!AT415=""),"",IF(AND(原始資料!AS415&lt;&gt;"",原始資料!AT415=原始資料!AS415),N(AQ415)+1,1))</f>
        <v/>
      </c>
      <c r="AS415" s="6">
        <f>IF(OR(原始資料!$A415="",44&gt;設定!$B$3,原始資料!AU415=""),"",IF(AND(原始資料!AT415&lt;&gt;"",原始資料!AU415=原始資料!AT415),N(AR415)+1,1))</f>
        <v/>
      </c>
      <c r="AT415" s="6">
        <f>IF(OR(原始資料!$A415="",45&gt;設定!$B$3,原始資料!AV415=""),"",IF(AND(原始資料!AU415&lt;&gt;"",原始資料!AV415=原始資料!AU415),N(AS415)+1,1))</f>
        <v/>
      </c>
      <c r="AU415" s="6">
        <f>IF(OR(原始資料!$A415="",46&gt;設定!$B$3,原始資料!AW415=""),"",IF(AND(原始資料!AV415&lt;&gt;"",原始資料!AW415=原始資料!AV415),N(AT415)+1,1))</f>
        <v/>
      </c>
      <c r="AV415" s="6">
        <f>IF(OR(原始資料!$A415="",47&gt;設定!$B$3,原始資料!AX415=""),"",IF(AND(原始資料!AW415&lt;&gt;"",原始資料!AX415=原始資料!AW415),N(AU415)+1,1))</f>
        <v/>
      </c>
      <c r="AW415" s="6">
        <f>IF(OR(原始資料!$A415="",48&gt;設定!$B$3,原始資料!AY415=""),"",IF(AND(原始資料!AX415&lt;&gt;"",原始資料!AY415=原始資料!AX415),N(AV415)+1,1))</f>
        <v/>
      </c>
      <c r="AX415" s="6">
        <f>IF(OR(原始資料!$A415="",49&gt;設定!$B$3,原始資料!AZ415=""),"",IF(AND(原始資料!AY415&lt;&gt;"",原始資料!AZ415=原始資料!AY415),N(AW415)+1,1))</f>
        <v/>
      </c>
      <c r="AY415" s="6">
        <f>IF(OR(原始資料!$A415="",50&gt;設定!$B$3,原始資料!BA415=""),"",IF(AND(原始資料!AZ415&lt;&gt;"",原始資料!BA415=原始資料!AZ415),N(AX415)+1,1))</f>
        <v/>
      </c>
      <c r="AZ415" s="6">
        <f>IF(OR(原始資料!$A415="",51&gt;設定!$B$3,原始資料!BB415=""),"",IF(AND(原始資料!BA415&lt;&gt;"",原始資料!BB415=原始資料!BA415),N(AY415)+1,1))</f>
        <v/>
      </c>
      <c r="BA415" s="6">
        <f>IF(OR(原始資料!$A415="",52&gt;設定!$B$3,原始資料!BC415=""),"",IF(AND(原始資料!BB415&lt;&gt;"",原始資料!BC415=原始資料!BB415),N(AZ415)+1,1))</f>
        <v/>
      </c>
      <c r="BB415" s="6">
        <f>IF(OR(原始資料!$A415="",53&gt;設定!$B$3,原始資料!BD415=""),"",IF(AND(原始資料!BC415&lt;&gt;"",原始資料!BD415=原始資料!BC415),N(BA415)+1,1))</f>
        <v/>
      </c>
      <c r="BC415" s="6">
        <f>IF(OR(原始資料!$A415="",54&gt;設定!$B$3,原始資料!BE415=""),"",IF(AND(原始資料!BD415&lt;&gt;"",原始資料!BE415=原始資料!BD415),N(BB415)+1,1))</f>
        <v/>
      </c>
      <c r="BD415" s="6">
        <f>IF(OR(原始資料!$A415="",55&gt;設定!$B$3,原始資料!BF415=""),"",IF(AND(原始資料!BE415&lt;&gt;"",原始資料!BF415=原始資料!BE415),N(BC415)+1,1))</f>
        <v/>
      </c>
      <c r="BE415" s="6">
        <f>IF(OR(原始資料!$A415="",56&gt;設定!$B$3,原始資料!BG415=""),"",IF(AND(原始資料!BF415&lt;&gt;"",原始資料!BG415=原始資料!BF415),N(BD415)+1,1))</f>
        <v/>
      </c>
      <c r="BF415" s="6">
        <f>IF(OR(原始資料!$A415="",57&gt;設定!$B$3,原始資料!BH415=""),"",IF(AND(原始資料!BG415&lt;&gt;"",原始資料!BH415=原始資料!BG415),N(BE415)+1,1))</f>
        <v/>
      </c>
      <c r="BG415" s="6">
        <f>IF(OR(原始資料!$A415="",58&gt;設定!$B$3,原始資料!BI415=""),"",IF(AND(原始資料!BH415&lt;&gt;"",原始資料!BI415=原始資料!BH415),N(BF415)+1,1))</f>
        <v/>
      </c>
      <c r="BH415" s="6">
        <f>IF(OR(原始資料!$A415="",59&gt;設定!$B$3,原始資料!BJ415=""),"",IF(AND(原始資料!BI415&lt;&gt;"",原始資料!BJ415=原始資料!BI415),N(BG415)+1,1))</f>
        <v/>
      </c>
      <c r="BI415" s="6">
        <f>IF(OR(原始資料!$A415="",60&gt;設定!$B$3,原始資料!BK415=""),"",IF(AND(原始資料!BJ415&lt;&gt;"",原始資料!BK415=原始資料!BJ415),N(BH415)+1,1))</f>
        <v/>
      </c>
    </row>
    <row r="416">
      <c r="A416" s="6">
        <f>IF(原始資料!$A416="","",原始資料!$A416)</f>
        <v/>
      </c>
      <c r="B416" s="6">
        <f>IF(OR(原始資料!$A416="",1&gt;設定!$B$3,原始資料!D416=""),"",1)</f>
        <v/>
      </c>
      <c r="C416" s="6">
        <f>IF(OR(原始資料!$A416="",2&gt;設定!$B$3,原始資料!E416=""),"",IF(AND(原始資料!D416&lt;&gt;"",原始資料!E416=原始資料!D416),N(B416)+1,1))</f>
        <v/>
      </c>
      <c r="D416" s="6">
        <f>IF(OR(原始資料!$A416="",3&gt;設定!$B$3,原始資料!F416=""),"",IF(AND(原始資料!E416&lt;&gt;"",原始資料!F416=原始資料!E416),N(C416)+1,1))</f>
        <v/>
      </c>
      <c r="E416" s="6">
        <f>IF(OR(原始資料!$A416="",4&gt;設定!$B$3,原始資料!G416=""),"",IF(AND(原始資料!F416&lt;&gt;"",原始資料!G416=原始資料!F416),N(D416)+1,1))</f>
        <v/>
      </c>
      <c r="F416" s="6">
        <f>IF(OR(原始資料!$A416="",5&gt;設定!$B$3,原始資料!H416=""),"",IF(AND(原始資料!G416&lt;&gt;"",原始資料!H416=原始資料!G416),N(E416)+1,1))</f>
        <v/>
      </c>
      <c r="G416" s="6">
        <f>IF(OR(原始資料!$A416="",6&gt;設定!$B$3,原始資料!I416=""),"",IF(AND(原始資料!H416&lt;&gt;"",原始資料!I416=原始資料!H416),N(F416)+1,1))</f>
        <v/>
      </c>
      <c r="H416" s="6">
        <f>IF(OR(原始資料!$A416="",7&gt;設定!$B$3,原始資料!J416=""),"",IF(AND(原始資料!I416&lt;&gt;"",原始資料!J416=原始資料!I416),N(G416)+1,1))</f>
        <v/>
      </c>
      <c r="I416" s="6">
        <f>IF(OR(原始資料!$A416="",8&gt;設定!$B$3,原始資料!K416=""),"",IF(AND(原始資料!J416&lt;&gt;"",原始資料!K416=原始資料!J416),N(H416)+1,1))</f>
        <v/>
      </c>
      <c r="J416" s="6">
        <f>IF(OR(原始資料!$A416="",9&gt;設定!$B$3,原始資料!L416=""),"",IF(AND(原始資料!K416&lt;&gt;"",原始資料!L416=原始資料!K416),N(I416)+1,1))</f>
        <v/>
      </c>
      <c r="K416" s="6">
        <f>IF(OR(原始資料!$A416="",10&gt;設定!$B$3,原始資料!M416=""),"",IF(AND(原始資料!L416&lt;&gt;"",原始資料!M416=原始資料!L416),N(J416)+1,1))</f>
        <v/>
      </c>
      <c r="L416" s="6">
        <f>IF(OR(原始資料!$A416="",11&gt;設定!$B$3,原始資料!N416=""),"",IF(AND(原始資料!M416&lt;&gt;"",原始資料!N416=原始資料!M416),N(K416)+1,1))</f>
        <v/>
      </c>
      <c r="M416" s="6">
        <f>IF(OR(原始資料!$A416="",12&gt;設定!$B$3,原始資料!O416=""),"",IF(AND(原始資料!N416&lt;&gt;"",原始資料!O416=原始資料!N416),N(L416)+1,1))</f>
        <v/>
      </c>
      <c r="N416" s="6">
        <f>IF(OR(原始資料!$A416="",13&gt;設定!$B$3,原始資料!P416=""),"",IF(AND(原始資料!O416&lt;&gt;"",原始資料!P416=原始資料!O416),N(M416)+1,1))</f>
        <v/>
      </c>
      <c r="O416" s="6">
        <f>IF(OR(原始資料!$A416="",14&gt;設定!$B$3,原始資料!Q416=""),"",IF(AND(原始資料!P416&lt;&gt;"",原始資料!Q416=原始資料!P416),N(N416)+1,1))</f>
        <v/>
      </c>
      <c r="P416" s="6">
        <f>IF(OR(原始資料!$A416="",15&gt;設定!$B$3,原始資料!R416=""),"",IF(AND(原始資料!Q416&lt;&gt;"",原始資料!R416=原始資料!Q416),N(O416)+1,1))</f>
        <v/>
      </c>
      <c r="Q416" s="6">
        <f>IF(OR(原始資料!$A416="",16&gt;設定!$B$3,原始資料!S416=""),"",IF(AND(原始資料!R416&lt;&gt;"",原始資料!S416=原始資料!R416),N(P416)+1,1))</f>
        <v/>
      </c>
      <c r="R416" s="6">
        <f>IF(OR(原始資料!$A416="",17&gt;設定!$B$3,原始資料!T416=""),"",IF(AND(原始資料!S416&lt;&gt;"",原始資料!T416=原始資料!S416),N(Q416)+1,1))</f>
        <v/>
      </c>
      <c r="S416" s="6">
        <f>IF(OR(原始資料!$A416="",18&gt;設定!$B$3,原始資料!U416=""),"",IF(AND(原始資料!T416&lt;&gt;"",原始資料!U416=原始資料!T416),N(R416)+1,1))</f>
        <v/>
      </c>
      <c r="T416" s="6">
        <f>IF(OR(原始資料!$A416="",19&gt;設定!$B$3,原始資料!V416=""),"",IF(AND(原始資料!U416&lt;&gt;"",原始資料!V416=原始資料!U416),N(S416)+1,1))</f>
        <v/>
      </c>
      <c r="U416" s="6">
        <f>IF(OR(原始資料!$A416="",20&gt;設定!$B$3,原始資料!W416=""),"",IF(AND(原始資料!V416&lt;&gt;"",原始資料!W416=原始資料!V416),N(T416)+1,1))</f>
        <v/>
      </c>
      <c r="V416" s="6">
        <f>IF(OR(原始資料!$A416="",21&gt;設定!$B$3,原始資料!X416=""),"",IF(AND(原始資料!W416&lt;&gt;"",原始資料!X416=原始資料!W416),N(U416)+1,1))</f>
        <v/>
      </c>
      <c r="W416" s="6">
        <f>IF(OR(原始資料!$A416="",22&gt;設定!$B$3,原始資料!Y416=""),"",IF(AND(原始資料!X416&lt;&gt;"",原始資料!Y416=原始資料!X416),N(V416)+1,1))</f>
        <v/>
      </c>
      <c r="X416" s="6">
        <f>IF(OR(原始資料!$A416="",23&gt;設定!$B$3,原始資料!Z416=""),"",IF(AND(原始資料!Y416&lt;&gt;"",原始資料!Z416=原始資料!Y416),N(W416)+1,1))</f>
        <v/>
      </c>
      <c r="Y416" s="6">
        <f>IF(OR(原始資料!$A416="",24&gt;設定!$B$3,原始資料!AA416=""),"",IF(AND(原始資料!Z416&lt;&gt;"",原始資料!AA416=原始資料!Z416),N(X416)+1,1))</f>
        <v/>
      </c>
      <c r="Z416" s="6">
        <f>IF(OR(原始資料!$A416="",25&gt;設定!$B$3,原始資料!AB416=""),"",IF(AND(原始資料!AA416&lt;&gt;"",原始資料!AB416=原始資料!AA416),N(Y416)+1,1))</f>
        <v/>
      </c>
      <c r="AA416" s="6">
        <f>IF(OR(原始資料!$A416="",26&gt;設定!$B$3,原始資料!AC416=""),"",IF(AND(原始資料!AB416&lt;&gt;"",原始資料!AC416=原始資料!AB416),N(Z416)+1,1))</f>
        <v/>
      </c>
      <c r="AB416" s="6">
        <f>IF(OR(原始資料!$A416="",27&gt;設定!$B$3,原始資料!AD416=""),"",IF(AND(原始資料!AC416&lt;&gt;"",原始資料!AD416=原始資料!AC416),N(AA416)+1,1))</f>
        <v/>
      </c>
      <c r="AC416" s="6">
        <f>IF(OR(原始資料!$A416="",28&gt;設定!$B$3,原始資料!AE416=""),"",IF(AND(原始資料!AD416&lt;&gt;"",原始資料!AE416=原始資料!AD416),N(AB416)+1,1))</f>
        <v/>
      </c>
      <c r="AD416" s="6">
        <f>IF(OR(原始資料!$A416="",29&gt;設定!$B$3,原始資料!AF416=""),"",IF(AND(原始資料!AE416&lt;&gt;"",原始資料!AF416=原始資料!AE416),N(AC416)+1,1))</f>
        <v/>
      </c>
      <c r="AE416" s="6">
        <f>IF(OR(原始資料!$A416="",30&gt;設定!$B$3,原始資料!AG416=""),"",IF(AND(原始資料!AF416&lt;&gt;"",原始資料!AG416=原始資料!AF416),N(AD416)+1,1))</f>
        <v/>
      </c>
      <c r="AF416" s="6">
        <f>IF(OR(原始資料!$A416="",31&gt;設定!$B$3,原始資料!AH416=""),"",IF(AND(原始資料!AG416&lt;&gt;"",原始資料!AH416=原始資料!AG416),N(AE416)+1,1))</f>
        <v/>
      </c>
      <c r="AG416" s="6">
        <f>IF(OR(原始資料!$A416="",32&gt;設定!$B$3,原始資料!AI416=""),"",IF(AND(原始資料!AH416&lt;&gt;"",原始資料!AI416=原始資料!AH416),N(AF416)+1,1))</f>
        <v/>
      </c>
      <c r="AH416" s="6">
        <f>IF(OR(原始資料!$A416="",33&gt;設定!$B$3,原始資料!AJ416=""),"",IF(AND(原始資料!AI416&lt;&gt;"",原始資料!AJ416=原始資料!AI416),N(AG416)+1,1))</f>
        <v/>
      </c>
      <c r="AI416" s="6">
        <f>IF(OR(原始資料!$A416="",34&gt;設定!$B$3,原始資料!AK416=""),"",IF(AND(原始資料!AJ416&lt;&gt;"",原始資料!AK416=原始資料!AJ416),N(AH416)+1,1))</f>
        <v/>
      </c>
      <c r="AJ416" s="6">
        <f>IF(OR(原始資料!$A416="",35&gt;設定!$B$3,原始資料!AL416=""),"",IF(AND(原始資料!AK416&lt;&gt;"",原始資料!AL416=原始資料!AK416),N(AI416)+1,1))</f>
        <v/>
      </c>
      <c r="AK416" s="6">
        <f>IF(OR(原始資料!$A416="",36&gt;設定!$B$3,原始資料!AM416=""),"",IF(AND(原始資料!AL416&lt;&gt;"",原始資料!AM416=原始資料!AL416),N(AJ416)+1,1))</f>
        <v/>
      </c>
      <c r="AL416" s="6">
        <f>IF(OR(原始資料!$A416="",37&gt;設定!$B$3,原始資料!AN416=""),"",IF(AND(原始資料!AM416&lt;&gt;"",原始資料!AN416=原始資料!AM416),N(AK416)+1,1))</f>
        <v/>
      </c>
      <c r="AM416" s="6">
        <f>IF(OR(原始資料!$A416="",38&gt;設定!$B$3,原始資料!AO416=""),"",IF(AND(原始資料!AN416&lt;&gt;"",原始資料!AO416=原始資料!AN416),N(AL416)+1,1))</f>
        <v/>
      </c>
      <c r="AN416" s="6">
        <f>IF(OR(原始資料!$A416="",39&gt;設定!$B$3,原始資料!AP416=""),"",IF(AND(原始資料!AO416&lt;&gt;"",原始資料!AP416=原始資料!AO416),N(AM416)+1,1))</f>
        <v/>
      </c>
      <c r="AO416" s="6">
        <f>IF(OR(原始資料!$A416="",40&gt;設定!$B$3,原始資料!AQ416=""),"",IF(AND(原始資料!AP416&lt;&gt;"",原始資料!AQ416=原始資料!AP416),N(AN416)+1,1))</f>
        <v/>
      </c>
      <c r="AP416" s="6">
        <f>IF(OR(原始資料!$A416="",41&gt;設定!$B$3,原始資料!AR416=""),"",IF(AND(原始資料!AQ416&lt;&gt;"",原始資料!AR416=原始資料!AQ416),N(AO416)+1,1))</f>
        <v/>
      </c>
      <c r="AQ416" s="6">
        <f>IF(OR(原始資料!$A416="",42&gt;設定!$B$3,原始資料!AS416=""),"",IF(AND(原始資料!AR416&lt;&gt;"",原始資料!AS416=原始資料!AR416),N(AP416)+1,1))</f>
        <v/>
      </c>
      <c r="AR416" s="6">
        <f>IF(OR(原始資料!$A416="",43&gt;設定!$B$3,原始資料!AT416=""),"",IF(AND(原始資料!AS416&lt;&gt;"",原始資料!AT416=原始資料!AS416),N(AQ416)+1,1))</f>
        <v/>
      </c>
      <c r="AS416" s="6">
        <f>IF(OR(原始資料!$A416="",44&gt;設定!$B$3,原始資料!AU416=""),"",IF(AND(原始資料!AT416&lt;&gt;"",原始資料!AU416=原始資料!AT416),N(AR416)+1,1))</f>
        <v/>
      </c>
      <c r="AT416" s="6">
        <f>IF(OR(原始資料!$A416="",45&gt;設定!$B$3,原始資料!AV416=""),"",IF(AND(原始資料!AU416&lt;&gt;"",原始資料!AV416=原始資料!AU416),N(AS416)+1,1))</f>
        <v/>
      </c>
      <c r="AU416" s="6">
        <f>IF(OR(原始資料!$A416="",46&gt;設定!$B$3,原始資料!AW416=""),"",IF(AND(原始資料!AV416&lt;&gt;"",原始資料!AW416=原始資料!AV416),N(AT416)+1,1))</f>
        <v/>
      </c>
      <c r="AV416" s="6">
        <f>IF(OR(原始資料!$A416="",47&gt;設定!$B$3,原始資料!AX416=""),"",IF(AND(原始資料!AW416&lt;&gt;"",原始資料!AX416=原始資料!AW416),N(AU416)+1,1))</f>
        <v/>
      </c>
      <c r="AW416" s="6">
        <f>IF(OR(原始資料!$A416="",48&gt;設定!$B$3,原始資料!AY416=""),"",IF(AND(原始資料!AX416&lt;&gt;"",原始資料!AY416=原始資料!AX416),N(AV416)+1,1))</f>
        <v/>
      </c>
      <c r="AX416" s="6">
        <f>IF(OR(原始資料!$A416="",49&gt;設定!$B$3,原始資料!AZ416=""),"",IF(AND(原始資料!AY416&lt;&gt;"",原始資料!AZ416=原始資料!AY416),N(AW416)+1,1))</f>
        <v/>
      </c>
      <c r="AY416" s="6">
        <f>IF(OR(原始資料!$A416="",50&gt;設定!$B$3,原始資料!BA416=""),"",IF(AND(原始資料!AZ416&lt;&gt;"",原始資料!BA416=原始資料!AZ416),N(AX416)+1,1))</f>
        <v/>
      </c>
      <c r="AZ416" s="6">
        <f>IF(OR(原始資料!$A416="",51&gt;設定!$B$3,原始資料!BB416=""),"",IF(AND(原始資料!BA416&lt;&gt;"",原始資料!BB416=原始資料!BA416),N(AY416)+1,1))</f>
        <v/>
      </c>
      <c r="BA416" s="6">
        <f>IF(OR(原始資料!$A416="",52&gt;設定!$B$3,原始資料!BC416=""),"",IF(AND(原始資料!BB416&lt;&gt;"",原始資料!BC416=原始資料!BB416),N(AZ416)+1,1))</f>
        <v/>
      </c>
      <c r="BB416" s="6">
        <f>IF(OR(原始資料!$A416="",53&gt;設定!$B$3,原始資料!BD416=""),"",IF(AND(原始資料!BC416&lt;&gt;"",原始資料!BD416=原始資料!BC416),N(BA416)+1,1))</f>
        <v/>
      </c>
      <c r="BC416" s="6">
        <f>IF(OR(原始資料!$A416="",54&gt;設定!$B$3,原始資料!BE416=""),"",IF(AND(原始資料!BD416&lt;&gt;"",原始資料!BE416=原始資料!BD416),N(BB416)+1,1))</f>
        <v/>
      </c>
      <c r="BD416" s="6">
        <f>IF(OR(原始資料!$A416="",55&gt;設定!$B$3,原始資料!BF416=""),"",IF(AND(原始資料!BE416&lt;&gt;"",原始資料!BF416=原始資料!BE416),N(BC416)+1,1))</f>
        <v/>
      </c>
      <c r="BE416" s="6">
        <f>IF(OR(原始資料!$A416="",56&gt;設定!$B$3,原始資料!BG416=""),"",IF(AND(原始資料!BF416&lt;&gt;"",原始資料!BG416=原始資料!BF416),N(BD416)+1,1))</f>
        <v/>
      </c>
      <c r="BF416" s="6">
        <f>IF(OR(原始資料!$A416="",57&gt;設定!$B$3,原始資料!BH416=""),"",IF(AND(原始資料!BG416&lt;&gt;"",原始資料!BH416=原始資料!BG416),N(BE416)+1,1))</f>
        <v/>
      </c>
      <c r="BG416" s="6">
        <f>IF(OR(原始資料!$A416="",58&gt;設定!$B$3,原始資料!BI416=""),"",IF(AND(原始資料!BH416&lt;&gt;"",原始資料!BI416=原始資料!BH416),N(BF416)+1,1))</f>
        <v/>
      </c>
      <c r="BH416" s="6">
        <f>IF(OR(原始資料!$A416="",59&gt;設定!$B$3,原始資料!BJ416=""),"",IF(AND(原始資料!BI416&lt;&gt;"",原始資料!BJ416=原始資料!BI416),N(BG416)+1,1))</f>
        <v/>
      </c>
      <c r="BI416" s="6">
        <f>IF(OR(原始資料!$A416="",60&gt;設定!$B$3,原始資料!BK416=""),"",IF(AND(原始資料!BJ416&lt;&gt;"",原始資料!BK416=原始資料!BJ416),N(BH416)+1,1))</f>
        <v/>
      </c>
    </row>
    <row r="417">
      <c r="A417" s="6">
        <f>IF(原始資料!$A417="","",原始資料!$A417)</f>
        <v/>
      </c>
      <c r="B417" s="6">
        <f>IF(OR(原始資料!$A417="",1&gt;設定!$B$3,原始資料!D417=""),"",1)</f>
        <v/>
      </c>
      <c r="C417" s="6">
        <f>IF(OR(原始資料!$A417="",2&gt;設定!$B$3,原始資料!E417=""),"",IF(AND(原始資料!D417&lt;&gt;"",原始資料!E417=原始資料!D417),N(B417)+1,1))</f>
        <v/>
      </c>
      <c r="D417" s="6">
        <f>IF(OR(原始資料!$A417="",3&gt;設定!$B$3,原始資料!F417=""),"",IF(AND(原始資料!E417&lt;&gt;"",原始資料!F417=原始資料!E417),N(C417)+1,1))</f>
        <v/>
      </c>
      <c r="E417" s="6">
        <f>IF(OR(原始資料!$A417="",4&gt;設定!$B$3,原始資料!G417=""),"",IF(AND(原始資料!F417&lt;&gt;"",原始資料!G417=原始資料!F417),N(D417)+1,1))</f>
        <v/>
      </c>
      <c r="F417" s="6">
        <f>IF(OR(原始資料!$A417="",5&gt;設定!$B$3,原始資料!H417=""),"",IF(AND(原始資料!G417&lt;&gt;"",原始資料!H417=原始資料!G417),N(E417)+1,1))</f>
        <v/>
      </c>
      <c r="G417" s="6">
        <f>IF(OR(原始資料!$A417="",6&gt;設定!$B$3,原始資料!I417=""),"",IF(AND(原始資料!H417&lt;&gt;"",原始資料!I417=原始資料!H417),N(F417)+1,1))</f>
        <v/>
      </c>
      <c r="H417" s="6">
        <f>IF(OR(原始資料!$A417="",7&gt;設定!$B$3,原始資料!J417=""),"",IF(AND(原始資料!I417&lt;&gt;"",原始資料!J417=原始資料!I417),N(G417)+1,1))</f>
        <v/>
      </c>
      <c r="I417" s="6">
        <f>IF(OR(原始資料!$A417="",8&gt;設定!$B$3,原始資料!K417=""),"",IF(AND(原始資料!J417&lt;&gt;"",原始資料!K417=原始資料!J417),N(H417)+1,1))</f>
        <v/>
      </c>
      <c r="J417" s="6">
        <f>IF(OR(原始資料!$A417="",9&gt;設定!$B$3,原始資料!L417=""),"",IF(AND(原始資料!K417&lt;&gt;"",原始資料!L417=原始資料!K417),N(I417)+1,1))</f>
        <v/>
      </c>
      <c r="K417" s="6">
        <f>IF(OR(原始資料!$A417="",10&gt;設定!$B$3,原始資料!M417=""),"",IF(AND(原始資料!L417&lt;&gt;"",原始資料!M417=原始資料!L417),N(J417)+1,1))</f>
        <v/>
      </c>
      <c r="L417" s="6">
        <f>IF(OR(原始資料!$A417="",11&gt;設定!$B$3,原始資料!N417=""),"",IF(AND(原始資料!M417&lt;&gt;"",原始資料!N417=原始資料!M417),N(K417)+1,1))</f>
        <v/>
      </c>
      <c r="M417" s="6">
        <f>IF(OR(原始資料!$A417="",12&gt;設定!$B$3,原始資料!O417=""),"",IF(AND(原始資料!N417&lt;&gt;"",原始資料!O417=原始資料!N417),N(L417)+1,1))</f>
        <v/>
      </c>
      <c r="N417" s="6">
        <f>IF(OR(原始資料!$A417="",13&gt;設定!$B$3,原始資料!P417=""),"",IF(AND(原始資料!O417&lt;&gt;"",原始資料!P417=原始資料!O417),N(M417)+1,1))</f>
        <v/>
      </c>
      <c r="O417" s="6">
        <f>IF(OR(原始資料!$A417="",14&gt;設定!$B$3,原始資料!Q417=""),"",IF(AND(原始資料!P417&lt;&gt;"",原始資料!Q417=原始資料!P417),N(N417)+1,1))</f>
        <v/>
      </c>
      <c r="P417" s="6">
        <f>IF(OR(原始資料!$A417="",15&gt;設定!$B$3,原始資料!R417=""),"",IF(AND(原始資料!Q417&lt;&gt;"",原始資料!R417=原始資料!Q417),N(O417)+1,1))</f>
        <v/>
      </c>
      <c r="Q417" s="6">
        <f>IF(OR(原始資料!$A417="",16&gt;設定!$B$3,原始資料!S417=""),"",IF(AND(原始資料!R417&lt;&gt;"",原始資料!S417=原始資料!R417),N(P417)+1,1))</f>
        <v/>
      </c>
      <c r="R417" s="6">
        <f>IF(OR(原始資料!$A417="",17&gt;設定!$B$3,原始資料!T417=""),"",IF(AND(原始資料!S417&lt;&gt;"",原始資料!T417=原始資料!S417),N(Q417)+1,1))</f>
        <v/>
      </c>
      <c r="S417" s="6">
        <f>IF(OR(原始資料!$A417="",18&gt;設定!$B$3,原始資料!U417=""),"",IF(AND(原始資料!T417&lt;&gt;"",原始資料!U417=原始資料!T417),N(R417)+1,1))</f>
        <v/>
      </c>
      <c r="T417" s="6">
        <f>IF(OR(原始資料!$A417="",19&gt;設定!$B$3,原始資料!V417=""),"",IF(AND(原始資料!U417&lt;&gt;"",原始資料!V417=原始資料!U417),N(S417)+1,1))</f>
        <v/>
      </c>
      <c r="U417" s="6">
        <f>IF(OR(原始資料!$A417="",20&gt;設定!$B$3,原始資料!W417=""),"",IF(AND(原始資料!V417&lt;&gt;"",原始資料!W417=原始資料!V417),N(T417)+1,1))</f>
        <v/>
      </c>
      <c r="V417" s="6">
        <f>IF(OR(原始資料!$A417="",21&gt;設定!$B$3,原始資料!X417=""),"",IF(AND(原始資料!W417&lt;&gt;"",原始資料!X417=原始資料!W417),N(U417)+1,1))</f>
        <v/>
      </c>
      <c r="W417" s="6">
        <f>IF(OR(原始資料!$A417="",22&gt;設定!$B$3,原始資料!Y417=""),"",IF(AND(原始資料!X417&lt;&gt;"",原始資料!Y417=原始資料!X417),N(V417)+1,1))</f>
        <v/>
      </c>
      <c r="X417" s="6">
        <f>IF(OR(原始資料!$A417="",23&gt;設定!$B$3,原始資料!Z417=""),"",IF(AND(原始資料!Y417&lt;&gt;"",原始資料!Z417=原始資料!Y417),N(W417)+1,1))</f>
        <v/>
      </c>
      <c r="Y417" s="6">
        <f>IF(OR(原始資料!$A417="",24&gt;設定!$B$3,原始資料!AA417=""),"",IF(AND(原始資料!Z417&lt;&gt;"",原始資料!AA417=原始資料!Z417),N(X417)+1,1))</f>
        <v/>
      </c>
      <c r="Z417" s="6">
        <f>IF(OR(原始資料!$A417="",25&gt;設定!$B$3,原始資料!AB417=""),"",IF(AND(原始資料!AA417&lt;&gt;"",原始資料!AB417=原始資料!AA417),N(Y417)+1,1))</f>
        <v/>
      </c>
      <c r="AA417" s="6">
        <f>IF(OR(原始資料!$A417="",26&gt;設定!$B$3,原始資料!AC417=""),"",IF(AND(原始資料!AB417&lt;&gt;"",原始資料!AC417=原始資料!AB417),N(Z417)+1,1))</f>
        <v/>
      </c>
      <c r="AB417" s="6">
        <f>IF(OR(原始資料!$A417="",27&gt;設定!$B$3,原始資料!AD417=""),"",IF(AND(原始資料!AC417&lt;&gt;"",原始資料!AD417=原始資料!AC417),N(AA417)+1,1))</f>
        <v/>
      </c>
      <c r="AC417" s="6">
        <f>IF(OR(原始資料!$A417="",28&gt;設定!$B$3,原始資料!AE417=""),"",IF(AND(原始資料!AD417&lt;&gt;"",原始資料!AE417=原始資料!AD417),N(AB417)+1,1))</f>
        <v/>
      </c>
      <c r="AD417" s="6">
        <f>IF(OR(原始資料!$A417="",29&gt;設定!$B$3,原始資料!AF417=""),"",IF(AND(原始資料!AE417&lt;&gt;"",原始資料!AF417=原始資料!AE417),N(AC417)+1,1))</f>
        <v/>
      </c>
      <c r="AE417" s="6">
        <f>IF(OR(原始資料!$A417="",30&gt;設定!$B$3,原始資料!AG417=""),"",IF(AND(原始資料!AF417&lt;&gt;"",原始資料!AG417=原始資料!AF417),N(AD417)+1,1))</f>
        <v/>
      </c>
      <c r="AF417" s="6">
        <f>IF(OR(原始資料!$A417="",31&gt;設定!$B$3,原始資料!AH417=""),"",IF(AND(原始資料!AG417&lt;&gt;"",原始資料!AH417=原始資料!AG417),N(AE417)+1,1))</f>
        <v/>
      </c>
      <c r="AG417" s="6">
        <f>IF(OR(原始資料!$A417="",32&gt;設定!$B$3,原始資料!AI417=""),"",IF(AND(原始資料!AH417&lt;&gt;"",原始資料!AI417=原始資料!AH417),N(AF417)+1,1))</f>
        <v/>
      </c>
      <c r="AH417" s="6">
        <f>IF(OR(原始資料!$A417="",33&gt;設定!$B$3,原始資料!AJ417=""),"",IF(AND(原始資料!AI417&lt;&gt;"",原始資料!AJ417=原始資料!AI417),N(AG417)+1,1))</f>
        <v/>
      </c>
      <c r="AI417" s="6">
        <f>IF(OR(原始資料!$A417="",34&gt;設定!$B$3,原始資料!AK417=""),"",IF(AND(原始資料!AJ417&lt;&gt;"",原始資料!AK417=原始資料!AJ417),N(AH417)+1,1))</f>
        <v/>
      </c>
      <c r="AJ417" s="6">
        <f>IF(OR(原始資料!$A417="",35&gt;設定!$B$3,原始資料!AL417=""),"",IF(AND(原始資料!AK417&lt;&gt;"",原始資料!AL417=原始資料!AK417),N(AI417)+1,1))</f>
        <v/>
      </c>
      <c r="AK417" s="6">
        <f>IF(OR(原始資料!$A417="",36&gt;設定!$B$3,原始資料!AM417=""),"",IF(AND(原始資料!AL417&lt;&gt;"",原始資料!AM417=原始資料!AL417),N(AJ417)+1,1))</f>
        <v/>
      </c>
      <c r="AL417" s="6">
        <f>IF(OR(原始資料!$A417="",37&gt;設定!$B$3,原始資料!AN417=""),"",IF(AND(原始資料!AM417&lt;&gt;"",原始資料!AN417=原始資料!AM417),N(AK417)+1,1))</f>
        <v/>
      </c>
      <c r="AM417" s="6">
        <f>IF(OR(原始資料!$A417="",38&gt;設定!$B$3,原始資料!AO417=""),"",IF(AND(原始資料!AN417&lt;&gt;"",原始資料!AO417=原始資料!AN417),N(AL417)+1,1))</f>
        <v/>
      </c>
      <c r="AN417" s="6">
        <f>IF(OR(原始資料!$A417="",39&gt;設定!$B$3,原始資料!AP417=""),"",IF(AND(原始資料!AO417&lt;&gt;"",原始資料!AP417=原始資料!AO417),N(AM417)+1,1))</f>
        <v/>
      </c>
      <c r="AO417" s="6">
        <f>IF(OR(原始資料!$A417="",40&gt;設定!$B$3,原始資料!AQ417=""),"",IF(AND(原始資料!AP417&lt;&gt;"",原始資料!AQ417=原始資料!AP417),N(AN417)+1,1))</f>
        <v/>
      </c>
      <c r="AP417" s="6">
        <f>IF(OR(原始資料!$A417="",41&gt;設定!$B$3,原始資料!AR417=""),"",IF(AND(原始資料!AQ417&lt;&gt;"",原始資料!AR417=原始資料!AQ417),N(AO417)+1,1))</f>
        <v/>
      </c>
      <c r="AQ417" s="6">
        <f>IF(OR(原始資料!$A417="",42&gt;設定!$B$3,原始資料!AS417=""),"",IF(AND(原始資料!AR417&lt;&gt;"",原始資料!AS417=原始資料!AR417),N(AP417)+1,1))</f>
        <v/>
      </c>
      <c r="AR417" s="6">
        <f>IF(OR(原始資料!$A417="",43&gt;設定!$B$3,原始資料!AT417=""),"",IF(AND(原始資料!AS417&lt;&gt;"",原始資料!AT417=原始資料!AS417),N(AQ417)+1,1))</f>
        <v/>
      </c>
      <c r="AS417" s="6">
        <f>IF(OR(原始資料!$A417="",44&gt;設定!$B$3,原始資料!AU417=""),"",IF(AND(原始資料!AT417&lt;&gt;"",原始資料!AU417=原始資料!AT417),N(AR417)+1,1))</f>
        <v/>
      </c>
      <c r="AT417" s="6">
        <f>IF(OR(原始資料!$A417="",45&gt;設定!$B$3,原始資料!AV417=""),"",IF(AND(原始資料!AU417&lt;&gt;"",原始資料!AV417=原始資料!AU417),N(AS417)+1,1))</f>
        <v/>
      </c>
      <c r="AU417" s="6">
        <f>IF(OR(原始資料!$A417="",46&gt;設定!$B$3,原始資料!AW417=""),"",IF(AND(原始資料!AV417&lt;&gt;"",原始資料!AW417=原始資料!AV417),N(AT417)+1,1))</f>
        <v/>
      </c>
      <c r="AV417" s="6">
        <f>IF(OR(原始資料!$A417="",47&gt;設定!$B$3,原始資料!AX417=""),"",IF(AND(原始資料!AW417&lt;&gt;"",原始資料!AX417=原始資料!AW417),N(AU417)+1,1))</f>
        <v/>
      </c>
      <c r="AW417" s="6">
        <f>IF(OR(原始資料!$A417="",48&gt;設定!$B$3,原始資料!AY417=""),"",IF(AND(原始資料!AX417&lt;&gt;"",原始資料!AY417=原始資料!AX417),N(AV417)+1,1))</f>
        <v/>
      </c>
      <c r="AX417" s="6">
        <f>IF(OR(原始資料!$A417="",49&gt;設定!$B$3,原始資料!AZ417=""),"",IF(AND(原始資料!AY417&lt;&gt;"",原始資料!AZ417=原始資料!AY417),N(AW417)+1,1))</f>
        <v/>
      </c>
      <c r="AY417" s="6">
        <f>IF(OR(原始資料!$A417="",50&gt;設定!$B$3,原始資料!BA417=""),"",IF(AND(原始資料!AZ417&lt;&gt;"",原始資料!BA417=原始資料!AZ417),N(AX417)+1,1))</f>
        <v/>
      </c>
      <c r="AZ417" s="6">
        <f>IF(OR(原始資料!$A417="",51&gt;設定!$B$3,原始資料!BB417=""),"",IF(AND(原始資料!BA417&lt;&gt;"",原始資料!BB417=原始資料!BA417),N(AY417)+1,1))</f>
        <v/>
      </c>
      <c r="BA417" s="6">
        <f>IF(OR(原始資料!$A417="",52&gt;設定!$B$3,原始資料!BC417=""),"",IF(AND(原始資料!BB417&lt;&gt;"",原始資料!BC417=原始資料!BB417),N(AZ417)+1,1))</f>
        <v/>
      </c>
      <c r="BB417" s="6">
        <f>IF(OR(原始資料!$A417="",53&gt;設定!$B$3,原始資料!BD417=""),"",IF(AND(原始資料!BC417&lt;&gt;"",原始資料!BD417=原始資料!BC417),N(BA417)+1,1))</f>
        <v/>
      </c>
      <c r="BC417" s="6">
        <f>IF(OR(原始資料!$A417="",54&gt;設定!$B$3,原始資料!BE417=""),"",IF(AND(原始資料!BD417&lt;&gt;"",原始資料!BE417=原始資料!BD417),N(BB417)+1,1))</f>
        <v/>
      </c>
      <c r="BD417" s="6">
        <f>IF(OR(原始資料!$A417="",55&gt;設定!$B$3,原始資料!BF417=""),"",IF(AND(原始資料!BE417&lt;&gt;"",原始資料!BF417=原始資料!BE417),N(BC417)+1,1))</f>
        <v/>
      </c>
      <c r="BE417" s="6">
        <f>IF(OR(原始資料!$A417="",56&gt;設定!$B$3,原始資料!BG417=""),"",IF(AND(原始資料!BF417&lt;&gt;"",原始資料!BG417=原始資料!BF417),N(BD417)+1,1))</f>
        <v/>
      </c>
      <c r="BF417" s="6">
        <f>IF(OR(原始資料!$A417="",57&gt;設定!$B$3,原始資料!BH417=""),"",IF(AND(原始資料!BG417&lt;&gt;"",原始資料!BH417=原始資料!BG417),N(BE417)+1,1))</f>
        <v/>
      </c>
      <c r="BG417" s="6">
        <f>IF(OR(原始資料!$A417="",58&gt;設定!$B$3,原始資料!BI417=""),"",IF(AND(原始資料!BH417&lt;&gt;"",原始資料!BI417=原始資料!BH417),N(BF417)+1,1))</f>
        <v/>
      </c>
      <c r="BH417" s="6">
        <f>IF(OR(原始資料!$A417="",59&gt;設定!$B$3,原始資料!BJ417=""),"",IF(AND(原始資料!BI417&lt;&gt;"",原始資料!BJ417=原始資料!BI417),N(BG417)+1,1))</f>
        <v/>
      </c>
      <c r="BI417" s="6">
        <f>IF(OR(原始資料!$A417="",60&gt;設定!$B$3,原始資料!BK417=""),"",IF(AND(原始資料!BJ417&lt;&gt;"",原始資料!BK417=原始資料!BJ417),N(BH417)+1,1))</f>
        <v/>
      </c>
    </row>
    <row r="418">
      <c r="A418" s="6">
        <f>IF(原始資料!$A418="","",原始資料!$A418)</f>
        <v/>
      </c>
      <c r="B418" s="6">
        <f>IF(OR(原始資料!$A418="",1&gt;設定!$B$3,原始資料!D418=""),"",1)</f>
        <v/>
      </c>
      <c r="C418" s="6">
        <f>IF(OR(原始資料!$A418="",2&gt;設定!$B$3,原始資料!E418=""),"",IF(AND(原始資料!D418&lt;&gt;"",原始資料!E418=原始資料!D418),N(B418)+1,1))</f>
        <v/>
      </c>
      <c r="D418" s="6">
        <f>IF(OR(原始資料!$A418="",3&gt;設定!$B$3,原始資料!F418=""),"",IF(AND(原始資料!E418&lt;&gt;"",原始資料!F418=原始資料!E418),N(C418)+1,1))</f>
        <v/>
      </c>
      <c r="E418" s="6">
        <f>IF(OR(原始資料!$A418="",4&gt;設定!$B$3,原始資料!G418=""),"",IF(AND(原始資料!F418&lt;&gt;"",原始資料!G418=原始資料!F418),N(D418)+1,1))</f>
        <v/>
      </c>
      <c r="F418" s="6">
        <f>IF(OR(原始資料!$A418="",5&gt;設定!$B$3,原始資料!H418=""),"",IF(AND(原始資料!G418&lt;&gt;"",原始資料!H418=原始資料!G418),N(E418)+1,1))</f>
        <v/>
      </c>
      <c r="G418" s="6">
        <f>IF(OR(原始資料!$A418="",6&gt;設定!$B$3,原始資料!I418=""),"",IF(AND(原始資料!H418&lt;&gt;"",原始資料!I418=原始資料!H418),N(F418)+1,1))</f>
        <v/>
      </c>
      <c r="H418" s="6">
        <f>IF(OR(原始資料!$A418="",7&gt;設定!$B$3,原始資料!J418=""),"",IF(AND(原始資料!I418&lt;&gt;"",原始資料!J418=原始資料!I418),N(G418)+1,1))</f>
        <v/>
      </c>
      <c r="I418" s="6">
        <f>IF(OR(原始資料!$A418="",8&gt;設定!$B$3,原始資料!K418=""),"",IF(AND(原始資料!J418&lt;&gt;"",原始資料!K418=原始資料!J418),N(H418)+1,1))</f>
        <v/>
      </c>
      <c r="J418" s="6">
        <f>IF(OR(原始資料!$A418="",9&gt;設定!$B$3,原始資料!L418=""),"",IF(AND(原始資料!K418&lt;&gt;"",原始資料!L418=原始資料!K418),N(I418)+1,1))</f>
        <v/>
      </c>
      <c r="K418" s="6">
        <f>IF(OR(原始資料!$A418="",10&gt;設定!$B$3,原始資料!M418=""),"",IF(AND(原始資料!L418&lt;&gt;"",原始資料!M418=原始資料!L418),N(J418)+1,1))</f>
        <v/>
      </c>
      <c r="L418" s="6">
        <f>IF(OR(原始資料!$A418="",11&gt;設定!$B$3,原始資料!N418=""),"",IF(AND(原始資料!M418&lt;&gt;"",原始資料!N418=原始資料!M418),N(K418)+1,1))</f>
        <v/>
      </c>
      <c r="M418" s="6">
        <f>IF(OR(原始資料!$A418="",12&gt;設定!$B$3,原始資料!O418=""),"",IF(AND(原始資料!N418&lt;&gt;"",原始資料!O418=原始資料!N418),N(L418)+1,1))</f>
        <v/>
      </c>
      <c r="N418" s="6">
        <f>IF(OR(原始資料!$A418="",13&gt;設定!$B$3,原始資料!P418=""),"",IF(AND(原始資料!O418&lt;&gt;"",原始資料!P418=原始資料!O418),N(M418)+1,1))</f>
        <v/>
      </c>
      <c r="O418" s="6">
        <f>IF(OR(原始資料!$A418="",14&gt;設定!$B$3,原始資料!Q418=""),"",IF(AND(原始資料!P418&lt;&gt;"",原始資料!Q418=原始資料!P418),N(N418)+1,1))</f>
        <v/>
      </c>
      <c r="P418" s="6">
        <f>IF(OR(原始資料!$A418="",15&gt;設定!$B$3,原始資料!R418=""),"",IF(AND(原始資料!Q418&lt;&gt;"",原始資料!R418=原始資料!Q418),N(O418)+1,1))</f>
        <v/>
      </c>
      <c r="Q418" s="6">
        <f>IF(OR(原始資料!$A418="",16&gt;設定!$B$3,原始資料!S418=""),"",IF(AND(原始資料!R418&lt;&gt;"",原始資料!S418=原始資料!R418),N(P418)+1,1))</f>
        <v/>
      </c>
      <c r="R418" s="6">
        <f>IF(OR(原始資料!$A418="",17&gt;設定!$B$3,原始資料!T418=""),"",IF(AND(原始資料!S418&lt;&gt;"",原始資料!T418=原始資料!S418),N(Q418)+1,1))</f>
        <v/>
      </c>
      <c r="S418" s="6">
        <f>IF(OR(原始資料!$A418="",18&gt;設定!$B$3,原始資料!U418=""),"",IF(AND(原始資料!T418&lt;&gt;"",原始資料!U418=原始資料!T418),N(R418)+1,1))</f>
        <v/>
      </c>
      <c r="T418" s="6">
        <f>IF(OR(原始資料!$A418="",19&gt;設定!$B$3,原始資料!V418=""),"",IF(AND(原始資料!U418&lt;&gt;"",原始資料!V418=原始資料!U418),N(S418)+1,1))</f>
        <v/>
      </c>
      <c r="U418" s="6">
        <f>IF(OR(原始資料!$A418="",20&gt;設定!$B$3,原始資料!W418=""),"",IF(AND(原始資料!V418&lt;&gt;"",原始資料!W418=原始資料!V418),N(T418)+1,1))</f>
        <v/>
      </c>
      <c r="V418" s="6">
        <f>IF(OR(原始資料!$A418="",21&gt;設定!$B$3,原始資料!X418=""),"",IF(AND(原始資料!W418&lt;&gt;"",原始資料!X418=原始資料!W418),N(U418)+1,1))</f>
        <v/>
      </c>
      <c r="W418" s="6">
        <f>IF(OR(原始資料!$A418="",22&gt;設定!$B$3,原始資料!Y418=""),"",IF(AND(原始資料!X418&lt;&gt;"",原始資料!Y418=原始資料!X418),N(V418)+1,1))</f>
        <v/>
      </c>
      <c r="X418" s="6">
        <f>IF(OR(原始資料!$A418="",23&gt;設定!$B$3,原始資料!Z418=""),"",IF(AND(原始資料!Y418&lt;&gt;"",原始資料!Z418=原始資料!Y418),N(W418)+1,1))</f>
        <v/>
      </c>
      <c r="Y418" s="6">
        <f>IF(OR(原始資料!$A418="",24&gt;設定!$B$3,原始資料!AA418=""),"",IF(AND(原始資料!Z418&lt;&gt;"",原始資料!AA418=原始資料!Z418),N(X418)+1,1))</f>
        <v/>
      </c>
      <c r="Z418" s="6">
        <f>IF(OR(原始資料!$A418="",25&gt;設定!$B$3,原始資料!AB418=""),"",IF(AND(原始資料!AA418&lt;&gt;"",原始資料!AB418=原始資料!AA418),N(Y418)+1,1))</f>
        <v/>
      </c>
      <c r="AA418" s="6">
        <f>IF(OR(原始資料!$A418="",26&gt;設定!$B$3,原始資料!AC418=""),"",IF(AND(原始資料!AB418&lt;&gt;"",原始資料!AC418=原始資料!AB418),N(Z418)+1,1))</f>
        <v/>
      </c>
      <c r="AB418" s="6">
        <f>IF(OR(原始資料!$A418="",27&gt;設定!$B$3,原始資料!AD418=""),"",IF(AND(原始資料!AC418&lt;&gt;"",原始資料!AD418=原始資料!AC418),N(AA418)+1,1))</f>
        <v/>
      </c>
      <c r="AC418" s="6">
        <f>IF(OR(原始資料!$A418="",28&gt;設定!$B$3,原始資料!AE418=""),"",IF(AND(原始資料!AD418&lt;&gt;"",原始資料!AE418=原始資料!AD418),N(AB418)+1,1))</f>
        <v/>
      </c>
      <c r="AD418" s="6">
        <f>IF(OR(原始資料!$A418="",29&gt;設定!$B$3,原始資料!AF418=""),"",IF(AND(原始資料!AE418&lt;&gt;"",原始資料!AF418=原始資料!AE418),N(AC418)+1,1))</f>
        <v/>
      </c>
      <c r="AE418" s="6">
        <f>IF(OR(原始資料!$A418="",30&gt;設定!$B$3,原始資料!AG418=""),"",IF(AND(原始資料!AF418&lt;&gt;"",原始資料!AG418=原始資料!AF418),N(AD418)+1,1))</f>
        <v/>
      </c>
      <c r="AF418" s="6">
        <f>IF(OR(原始資料!$A418="",31&gt;設定!$B$3,原始資料!AH418=""),"",IF(AND(原始資料!AG418&lt;&gt;"",原始資料!AH418=原始資料!AG418),N(AE418)+1,1))</f>
        <v/>
      </c>
      <c r="AG418" s="6">
        <f>IF(OR(原始資料!$A418="",32&gt;設定!$B$3,原始資料!AI418=""),"",IF(AND(原始資料!AH418&lt;&gt;"",原始資料!AI418=原始資料!AH418),N(AF418)+1,1))</f>
        <v/>
      </c>
      <c r="AH418" s="6">
        <f>IF(OR(原始資料!$A418="",33&gt;設定!$B$3,原始資料!AJ418=""),"",IF(AND(原始資料!AI418&lt;&gt;"",原始資料!AJ418=原始資料!AI418),N(AG418)+1,1))</f>
        <v/>
      </c>
      <c r="AI418" s="6">
        <f>IF(OR(原始資料!$A418="",34&gt;設定!$B$3,原始資料!AK418=""),"",IF(AND(原始資料!AJ418&lt;&gt;"",原始資料!AK418=原始資料!AJ418),N(AH418)+1,1))</f>
        <v/>
      </c>
      <c r="AJ418" s="6">
        <f>IF(OR(原始資料!$A418="",35&gt;設定!$B$3,原始資料!AL418=""),"",IF(AND(原始資料!AK418&lt;&gt;"",原始資料!AL418=原始資料!AK418),N(AI418)+1,1))</f>
        <v/>
      </c>
      <c r="AK418" s="6">
        <f>IF(OR(原始資料!$A418="",36&gt;設定!$B$3,原始資料!AM418=""),"",IF(AND(原始資料!AL418&lt;&gt;"",原始資料!AM418=原始資料!AL418),N(AJ418)+1,1))</f>
        <v/>
      </c>
      <c r="AL418" s="6">
        <f>IF(OR(原始資料!$A418="",37&gt;設定!$B$3,原始資料!AN418=""),"",IF(AND(原始資料!AM418&lt;&gt;"",原始資料!AN418=原始資料!AM418),N(AK418)+1,1))</f>
        <v/>
      </c>
      <c r="AM418" s="6">
        <f>IF(OR(原始資料!$A418="",38&gt;設定!$B$3,原始資料!AO418=""),"",IF(AND(原始資料!AN418&lt;&gt;"",原始資料!AO418=原始資料!AN418),N(AL418)+1,1))</f>
        <v/>
      </c>
      <c r="AN418" s="6">
        <f>IF(OR(原始資料!$A418="",39&gt;設定!$B$3,原始資料!AP418=""),"",IF(AND(原始資料!AO418&lt;&gt;"",原始資料!AP418=原始資料!AO418),N(AM418)+1,1))</f>
        <v/>
      </c>
      <c r="AO418" s="6">
        <f>IF(OR(原始資料!$A418="",40&gt;設定!$B$3,原始資料!AQ418=""),"",IF(AND(原始資料!AP418&lt;&gt;"",原始資料!AQ418=原始資料!AP418),N(AN418)+1,1))</f>
        <v/>
      </c>
      <c r="AP418" s="6">
        <f>IF(OR(原始資料!$A418="",41&gt;設定!$B$3,原始資料!AR418=""),"",IF(AND(原始資料!AQ418&lt;&gt;"",原始資料!AR418=原始資料!AQ418),N(AO418)+1,1))</f>
        <v/>
      </c>
      <c r="AQ418" s="6">
        <f>IF(OR(原始資料!$A418="",42&gt;設定!$B$3,原始資料!AS418=""),"",IF(AND(原始資料!AR418&lt;&gt;"",原始資料!AS418=原始資料!AR418),N(AP418)+1,1))</f>
        <v/>
      </c>
      <c r="AR418" s="6">
        <f>IF(OR(原始資料!$A418="",43&gt;設定!$B$3,原始資料!AT418=""),"",IF(AND(原始資料!AS418&lt;&gt;"",原始資料!AT418=原始資料!AS418),N(AQ418)+1,1))</f>
        <v/>
      </c>
      <c r="AS418" s="6">
        <f>IF(OR(原始資料!$A418="",44&gt;設定!$B$3,原始資料!AU418=""),"",IF(AND(原始資料!AT418&lt;&gt;"",原始資料!AU418=原始資料!AT418),N(AR418)+1,1))</f>
        <v/>
      </c>
      <c r="AT418" s="6">
        <f>IF(OR(原始資料!$A418="",45&gt;設定!$B$3,原始資料!AV418=""),"",IF(AND(原始資料!AU418&lt;&gt;"",原始資料!AV418=原始資料!AU418),N(AS418)+1,1))</f>
        <v/>
      </c>
      <c r="AU418" s="6">
        <f>IF(OR(原始資料!$A418="",46&gt;設定!$B$3,原始資料!AW418=""),"",IF(AND(原始資料!AV418&lt;&gt;"",原始資料!AW418=原始資料!AV418),N(AT418)+1,1))</f>
        <v/>
      </c>
      <c r="AV418" s="6">
        <f>IF(OR(原始資料!$A418="",47&gt;設定!$B$3,原始資料!AX418=""),"",IF(AND(原始資料!AW418&lt;&gt;"",原始資料!AX418=原始資料!AW418),N(AU418)+1,1))</f>
        <v/>
      </c>
      <c r="AW418" s="6">
        <f>IF(OR(原始資料!$A418="",48&gt;設定!$B$3,原始資料!AY418=""),"",IF(AND(原始資料!AX418&lt;&gt;"",原始資料!AY418=原始資料!AX418),N(AV418)+1,1))</f>
        <v/>
      </c>
      <c r="AX418" s="6">
        <f>IF(OR(原始資料!$A418="",49&gt;設定!$B$3,原始資料!AZ418=""),"",IF(AND(原始資料!AY418&lt;&gt;"",原始資料!AZ418=原始資料!AY418),N(AW418)+1,1))</f>
        <v/>
      </c>
      <c r="AY418" s="6">
        <f>IF(OR(原始資料!$A418="",50&gt;設定!$B$3,原始資料!BA418=""),"",IF(AND(原始資料!AZ418&lt;&gt;"",原始資料!BA418=原始資料!AZ418),N(AX418)+1,1))</f>
        <v/>
      </c>
      <c r="AZ418" s="6">
        <f>IF(OR(原始資料!$A418="",51&gt;設定!$B$3,原始資料!BB418=""),"",IF(AND(原始資料!BA418&lt;&gt;"",原始資料!BB418=原始資料!BA418),N(AY418)+1,1))</f>
        <v/>
      </c>
      <c r="BA418" s="6">
        <f>IF(OR(原始資料!$A418="",52&gt;設定!$B$3,原始資料!BC418=""),"",IF(AND(原始資料!BB418&lt;&gt;"",原始資料!BC418=原始資料!BB418),N(AZ418)+1,1))</f>
        <v/>
      </c>
      <c r="BB418" s="6">
        <f>IF(OR(原始資料!$A418="",53&gt;設定!$B$3,原始資料!BD418=""),"",IF(AND(原始資料!BC418&lt;&gt;"",原始資料!BD418=原始資料!BC418),N(BA418)+1,1))</f>
        <v/>
      </c>
      <c r="BC418" s="6">
        <f>IF(OR(原始資料!$A418="",54&gt;設定!$B$3,原始資料!BE418=""),"",IF(AND(原始資料!BD418&lt;&gt;"",原始資料!BE418=原始資料!BD418),N(BB418)+1,1))</f>
        <v/>
      </c>
      <c r="BD418" s="6">
        <f>IF(OR(原始資料!$A418="",55&gt;設定!$B$3,原始資料!BF418=""),"",IF(AND(原始資料!BE418&lt;&gt;"",原始資料!BF418=原始資料!BE418),N(BC418)+1,1))</f>
        <v/>
      </c>
      <c r="BE418" s="6">
        <f>IF(OR(原始資料!$A418="",56&gt;設定!$B$3,原始資料!BG418=""),"",IF(AND(原始資料!BF418&lt;&gt;"",原始資料!BG418=原始資料!BF418),N(BD418)+1,1))</f>
        <v/>
      </c>
      <c r="BF418" s="6">
        <f>IF(OR(原始資料!$A418="",57&gt;設定!$B$3,原始資料!BH418=""),"",IF(AND(原始資料!BG418&lt;&gt;"",原始資料!BH418=原始資料!BG418),N(BE418)+1,1))</f>
        <v/>
      </c>
      <c r="BG418" s="6">
        <f>IF(OR(原始資料!$A418="",58&gt;設定!$B$3,原始資料!BI418=""),"",IF(AND(原始資料!BH418&lt;&gt;"",原始資料!BI418=原始資料!BH418),N(BF418)+1,1))</f>
        <v/>
      </c>
      <c r="BH418" s="6">
        <f>IF(OR(原始資料!$A418="",59&gt;設定!$B$3,原始資料!BJ418=""),"",IF(AND(原始資料!BI418&lt;&gt;"",原始資料!BJ418=原始資料!BI418),N(BG418)+1,1))</f>
        <v/>
      </c>
      <c r="BI418" s="6">
        <f>IF(OR(原始資料!$A418="",60&gt;設定!$B$3,原始資料!BK418=""),"",IF(AND(原始資料!BJ418&lt;&gt;"",原始資料!BK418=原始資料!BJ418),N(BH418)+1,1))</f>
        <v/>
      </c>
    </row>
    <row r="419">
      <c r="A419" s="6">
        <f>IF(原始資料!$A419="","",原始資料!$A419)</f>
        <v/>
      </c>
      <c r="B419" s="6">
        <f>IF(OR(原始資料!$A419="",1&gt;設定!$B$3,原始資料!D419=""),"",1)</f>
        <v/>
      </c>
      <c r="C419" s="6">
        <f>IF(OR(原始資料!$A419="",2&gt;設定!$B$3,原始資料!E419=""),"",IF(AND(原始資料!D419&lt;&gt;"",原始資料!E419=原始資料!D419),N(B419)+1,1))</f>
        <v/>
      </c>
      <c r="D419" s="6">
        <f>IF(OR(原始資料!$A419="",3&gt;設定!$B$3,原始資料!F419=""),"",IF(AND(原始資料!E419&lt;&gt;"",原始資料!F419=原始資料!E419),N(C419)+1,1))</f>
        <v/>
      </c>
      <c r="E419" s="6">
        <f>IF(OR(原始資料!$A419="",4&gt;設定!$B$3,原始資料!G419=""),"",IF(AND(原始資料!F419&lt;&gt;"",原始資料!G419=原始資料!F419),N(D419)+1,1))</f>
        <v/>
      </c>
      <c r="F419" s="6">
        <f>IF(OR(原始資料!$A419="",5&gt;設定!$B$3,原始資料!H419=""),"",IF(AND(原始資料!G419&lt;&gt;"",原始資料!H419=原始資料!G419),N(E419)+1,1))</f>
        <v/>
      </c>
      <c r="G419" s="6">
        <f>IF(OR(原始資料!$A419="",6&gt;設定!$B$3,原始資料!I419=""),"",IF(AND(原始資料!H419&lt;&gt;"",原始資料!I419=原始資料!H419),N(F419)+1,1))</f>
        <v/>
      </c>
      <c r="H419" s="6">
        <f>IF(OR(原始資料!$A419="",7&gt;設定!$B$3,原始資料!J419=""),"",IF(AND(原始資料!I419&lt;&gt;"",原始資料!J419=原始資料!I419),N(G419)+1,1))</f>
        <v/>
      </c>
      <c r="I419" s="6">
        <f>IF(OR(原始資料!$A419="",8&gt;設定!$B$3,原始資料!K419=""),"",IF(AND(原始資料!J419&lt;&gt;"",原始資料!K419=原始資料!J419),N(H419)+1,1))</f>
        <v/>
      </c>
      <c r="J419" s="6">
        <f>IF(OR(原始資料!$A419="",9&gt;設定!$B$3,原始資料!L419=""),"",IF(AND(原始資料!K419&lt;&gt;"",原始資料!L419=原始資料!K419),N(I419)+1,1))</f>
        <v/>
      </c>
      <c r="K419" s="6">
        <f>IF(OR(原始資料!$A419="",10&gt;設定!$B$3,原始資料!M419=""),"",IF(AND(原始資料!L419&lt;&gt;"",原始資料!M419=原始資料!L419),N(J419)+1,1))</f>
        <v/>
      </c>
      <c r="L419" s="6">
        <f>IF(OR(原始資料!$A419="",11&gt;設定!$B$3,原始資料!N419=""),"",IF(AND(原始資料!M419&lt;&gt;"",原始資料!N419=原始資料!M419),N(K419)+1,1))</f>
        <v/>
      </c>
      <c r="M419" s="6">
        <f>IF(OR(原始資料!$A419="",12&gt;設定!$B$3,原始資料!O419=""),"",IF(AND(原始資料!N419&lt;&gt;"",原始資料!O419=原始資料!N419),N(L419)+1,1))</f>
        <v/>
      </c>
      <c r="N419" s="6">
        <f>IF(OR(原始資料!$A419="",13&gt;設定!$B$3,原始資料!P419=""),"",IF(AND(原始資料!O419&lt;&gt;"",原始資料!P419=原始資料!O419),N(M419)+1,1))</f>
        <v/>
      </c>
      <c r="O419" s="6">
        <f>IF(OR(原始資料!$A419="",14&gt;設定!$B$3,原始資料!Q419=""),"",IF(AND(原始資料!P419&lt;&gt;"",原始資料!Q419=原始資料!P419),N(N419)+1,1))</f>
        <v/>
      </c>
      <c r="P419" s="6">
        <f>IF(OR(原始資料!$A419="",15&gt;設定!$B$3,原始資料!R419=""),"",IF(AND(原始資料!Q419&lt;&gt;"",原始資料!R419=原始資料!Q419),N(O419)+1,1))</f>
        <v/>
      </c>
      <c r="Q419" s="6">
        <f>IF(OR(原始資料!$A419="",16&gt;設定!$B$3,原始資料!S419=""),"",IF(AND(原始資料!R419&lt;&gt;"",原始資料!S419=原始資料!R419),N(P419)+1,1))</f>
        <v/>
      </c>
      <c r="R419" s="6">
        <f>IF(OR(原始資料!$A419="",17&gt;設定!$B$3,原始資料!T419=""),"",IF(AND(原始資料!S419&lt;&gt;"",原始資料!T419=原始資料!S419),N(Q419)+1,1))</f>
        <v/>
      </c>
      <c r="S419" s="6">
        <f>IF(OR(原始資料!$A419="",18&gt;設定!$B$3,原始資料!U419=""),"",IF(AND(原始資料!T419&lt;&gt;"",原始資料!U419=原始資料!T419),N(R419)+1,1))</f>
        <v/>
      </c>
      <c r="T419" s="6">
        <f>IF(OR(原始資料!$A419="",19&gt;設定!$B$3,原始資料!V419=""),"",IF(AND(原始資料!U419&lt;&gt;"",原始資料!V419=原始資料!U419),N(S419)+1,1))</f>
        <v/>
      </c>
      <c r="U419" s="6">
        <f>IF(OR(原始資料!$A419="",20&gt;設定!$B$3,原始資料!W419=""),"",IF(AND(原始資料!V419&lt;&gt;"",原始資料!W419=原始資料!V419),N(T419)+1,1))</f>
        <v/>
      </c>
      <c r="V419" s="6">
        <f>IF(OR(原始資料!$A419="",21&gt;設定!$B$3,原始資料!X419=""),"",IF(AND(原始資料!W419&lt;&gt;"",原始資料!X419=原始資料!W419),N(U419)+1,1))</f>
        <v/>
      </c>
      <c r="W419" s="6">
        <f>IF(OR(原始資料!$A419="",22&gt;設定!$B$3,原始資料!Y419=""),"",IF(AND(原始資料!X419&lt;&gt;"",原始資料!Y419=原始資料!X419),N(V419)+1,1))</f>
        <v/>
      </c>
      <c r="X419" s="6">
        <f>IF(OR(原始資料!$A419="",23&gt;設定!$B$3,原始資料!Z419=""),"",IF(AND(原始資料!Y419&lt;&gt;"",原始資料!Z419=原始資料!Y419),N(W419)+1,1))</f>
        <v/>
      </c>
      <c r="Y419" s="6">
        <f>IF(OR(原始資料!$A419="",24&gt;設定!$B$3,原始資料!AA419=""),"",IF(AND(原始資料!Z419&lt;&gt;"",原始資料!AA419=原始資料!Z419),N(X419)+1,1))</f>
        <v/>
      </c>
      <c r="Z419" s="6">
        <f>IF(OR(原始資料!$A419="",25&gt;設定!$B$3,原始資料!AB419=""),"",IF(AND(原始資料!AA419&lt;&gt;"",原始資料!AB419=原始資料!AA419),N(Y419)+1,1))</f>
        <v/>
      </c>
      <c r="AA419" s="6">
        <f>IF(OR(原始資料!$A419="",26&gt;設定!$B$3,原始資料!AC419=""),"",IF(AND(原始資料!AB419&lt;&gt;"",原始資料!AC419=原始資料!AB419),N(Z419)+1,1))</f>
        <v/>
      </c>
      <c r="AB419" s="6">
        <f>IF(OR(原始資料!$A419="",27&gt;設定!$B$3,原始資料!AD419=""),"",IF(AND(原始資料!AC419&lt;&gt;"",原始資料!AD419=原始資料!AC419),N(AA419)+1,1))</f>
        <v/>
      </c>
      <c r="AC419" s="6">
        <f>IF(OR(原始資料!$A419="",28&gt;設定!$B$3,原始資料!AE419=""),"",IF(AND(原始資料!AD419&lt;&gt;"",原始資料!AE419=原始資料!AD419),N(AB419)+1,1))</f>
        <v/>
      </c>
      <c r="AD419" s="6">
        <f>IF(OR(原始資料!$A419="",29&gt;設定!$B$3,原始資料!AF419=""),"",IF(AND(原始資料!AE419&lt;&gt;"",原始資料!AF419=原始資料!AE419),N(AC419)+1,1))</f>
        <v/>
      </c>
      <c r="AE419" s="6">
        <f>IF(OR(原始資料!$A419="",30&gt;設定!$B$3,原始資料!AG419=""),"",IF(AND(原始資料!AF419&lt;&gt;"",原始資料!AG419=原始資料!AF419),N(AD419)+1,1))</f>
        <v/>
      </c>
      <c r="AF419" s="6">
        <f>IF(OR(原始資料!$A419="",31&gt;設定!$B$3,原始資料!AH419=""),"",IF(AND(原始資料!AG419&lt;&gt;"",原始資料!AH419=原始資料!AG419),N(AE419)+1,1))</f>
        <v/>
      </c>
      <c r="AG419" s="6">
        <f>IF(OR(原始資料!$A419="",32&gt;設定!$B$3,原始資料!AI419=""),"",IF(AND(原始資料!AH419&lt;&gt;"",原始資料!AI419=原始資料!AH419),N(AF419)+1,1))</f>
        <v/>
      </c>
      <c r="AH419" s="6">
        <f>IF(OR(原始資料!$A419="",33&gt;設定!$B$3,原始資料!AJ419=""),"",IF(AND(原始資料!AI419&lt;&gt;"",原始資料!AJ419=原始資料!AI419),N(AG419)+1,1))</f>
        <v/>
      </c>
      <c r="AI419" s="6">
        <f>IF(OR(原始資料!$A419="",34&gt;設定!$B$3,原始資料!AK419=""),"",IF(AND(原始資料!AJ419&lt;&gt;"",原始資料!AK419=原始資料!AJ419),N(AH419)+1,1))</f>
        <v/>
      </c>
      <c r="AJ419" s="6">
        <f>IF(OR(原始資料!$A419="",35&gt;設定!$B$3,原始資料!AL419=""),"",IF(AND(原始資料!AK419&lt;&gt;"",原始資料!AL419=原始資料!AK419),N(AI419)+1,1))</f>
        <v/>
      </c>
      <c r="AK419" s="6">
        <f>IF(OR(原始資料!$A419="",36&gt;設定!$B$3,原始資料!AM419=""),"",IF(AND(原始資料!AL419&lt;&gt;"",原始資料!AM419=原始資料!AL419),N(AJ419)+1,1))</f>
        <v/>
      </c>
      <c r="AL419" s="6">
        <f>IF(OR(原始資料!$A419="",37&gt;設定!$B$3,原始資料!AN419=""),"",IF(AND(原始資料!AM419&lt;&gt;"",原始資料!AN419=原始資料!AM419),N(AK419)+1,1))</f>
        <v/>
      </c>
      <c r="AM419" s="6">
        <f>IF(OR(原始資料!$A419="",38&gt;設定!$B$3,原始資料!AO419=""),"",IF(AND(原始資料!AN419&lt;&gt;"",原始資料!AO419=原始資料!AN419),N(AL419)+1,1))</f>
        <v/>
      </c>
      <c r="AN419" s="6">
        <f>IF(OR(原始資料!$A419="",39&gt;設定!$B$3,原始資料!AP419=""),"",IF(AND(原始資料!AO419&lt;&gt;"",原始資料!AP419=原始資料!AO419),N(AM419)+1,1))</f>
        <v/>
      </c>
      <c r="AO419" s="6">
        <f>IF(OR(原始資料!$A419="",40&gt;設定!$B$3,原始資料!AQ419=""),"",IF(AND(原始資料!AP419&lt;&gt;"",原始資料!AQ419=原始資料!AP419),N(AN419)+1,1))</f>
        <v/>
      </c>
      <c r="AP419" s="6">
        <f>IF(OR(原始資料!$A419="",41&gt;設定!$B$3,原始資料!AR419=""),"",IF(AND(原始資料!AQ419&lt;&gt;"",原始資料!AR419=原始資料!AQ419),N(AO419)+1,1))</f>
        <v/>
      </c>
      <c r="AQ419" s="6">
        <f>IF(OR(原始資料!$A419="",42&gt;設定!$B$3,原始資料!AS419=""),"",IF(AND(原始資料!AR419&lt;&gt;"",原始資料!AS419=原始資料!AR419),N(AP419)+1,1))</f>
        <v/>
      </c>
      <c r="AR419" s="6">
        <f>IF(OR(原始資料!$A419="",43&gt;設定!$B$3,原始資料!AT419=""),"",IF(AND(原始資料!AS419&lt;&gt;"",原始資料!AT419=原始資料!AS419),N(AQ419)+1,1))</f>
        <v/>
      </c>
      <c r="AS419" s="6">
        <f>IF(OR(原始資料!$A419="",44&gt;設定!$B$3,原始資料!AU419=""),"",IF(AND(原始資料!AT419&lt;&gt;"",原始資料!AU419=原始資料!AT419),N(AR419)+1,1))</f>
        <v/>
      </c>
      <c r="AT419" s="6">
        <f>IF(OR(原始資料!$A419="",45&gt;設定!$B$3,原始資料!AV419=""),"",IF(AND(原始資料!AU419&lt;&gt;"",原始資料!AV419=原始資料!AU419),N(AS419)+1,1))</f>
        <v/>
      </c>
      <c r="AU419" s="6">
        <f>IF(OR(原始資料!$A419="",46&gt;設定!$B$3,原始資料!AW419=""),"",IF(AND(原始資料!AV419&lt;&gt;"",原始資料!AW419=原始資料!AV419),N(AT419)+1,1))</f>
        <v/>
      </c>
      <c r="AV419" s="6">
        <f>IF(OR(原始資料!$A419="",47&gt;設定!$B$3,原始資料!AX419=""),"",IF(AND(原始資料!AW419&lt;&gt;"",原始資料!AX419=原始資料!AW419),N(AU419)+1,1))</f>
        <v/>
      </c>
      <c r="AW419" s="6">
        <f>IF(OR(原始資料!$A419="",48&gt;設定!$B$3,原始資料!AY419=""),"",IF(AND(原始資料!AX419&lt;&gt;"",原始資料!AY419=原始資料!AX419),N(AV419)+1,1))</f>
        <v/>
      </c>
      <c r="AX419" s="6">
        <f>IF(OR(原始資料!$A419="",49&gt;設定!$B$3,原始資料!AZ419=""),"",IF(AND(原始資料!AY419&lt;&gt;"",原始資料!AZ419=原始資料!AY419),N(AW419)+1,1))</f>
        <v/>
      </c>
      <c r="AY419" s="6">
        <f>IF(OR(原始資料!$A419="",50&gt;設定!$B$3,原始資料!BA419=""),"",IF(AND(原始資料!AZ419&lt;&gt;"",原始資料!BA419=原始資料!AZ419),N(AX419)+1,1))</f>
        <v/>
      </c>
      <c r="AZ419" s="6">
        <f>IF(OR(原始資料!$A419="",51&gt;設定!$B$3,原始資料!BB419=""),"",IF(AND(原始資料!BA419&lt;&gt;"",原始資料!BB419=原始資料!BA419),N(AY419)+1,1))</f>
        <v/>
      </c>
      <c r="BA419" s="6">
        <f>IF(OR(原始資料!$A419="",52&gt;設定!$B$3,原始資料!BC419=""),"",IF(AND(原始資料!BB419&lt;&gt;"",原始資料!BC419=原始資料!BB419),N(AZ419)+1,1))</f>
        <v/>
      </c>
      <c r="BB419" s="6">
        <f>IF(OR(原始資料!$A419="",53&gt;設定!$B$3,原始資料!BD419=""),"",IF(AND(原始資料!BC419&lt;&gt;"",原始資料!BD419=原始資料!BC419),N(BA419)+1,1))</f>
        <v/>
      </c>
      <c r="BC419" s="6">
        <f>IF(OR(原始資料!$A419="",54&gt;設定!$B$3,原始資料!BE419=""),"",IF(AND(原始資料!BD419&lt;&gt;"",原始資料!BE419=原始資料!BD419),N(BB419)+1,1))</f>
        <v/>
      </c>
      <c r="BD419" s="6">
        <f>IF(OR(原始資料!$A419="",55&gt;設定!$B$3,原始資料!BF419=""),"",IF(AND(原始資料!BE419&lt;&gt;"",原始資料!BF419=原始資料!BE419),N(BC419)+1,1))</f>
        <v/>
      </c>
      <c r="BE419" s="6">
        <f>IF(OR(原始資料!$A419="",56&gt;設定!$B$3,原始資料!BG419=""),"",IF(AND(原始資料!BF419&lt;&gt;"",原始資料!BG419=原始資料!BF419),N(BD419)+1,1))</f>
        <v/>
      </c>
      <c r="BF419" s="6">
        <f>IF(OR(原始資料!$A419="",57&gt;設定!$B$3,原始資料!BH419=""),"",IF(AND(原始資料!BG419&lt;&gt;"",原始資料!BH419=原始資料!BG419),N(BE419)+1,1))</f>
        <v/>
      </c>
      <c r="BG419" s="6">
        <f>IF(OR(原始資料!$A419="",58&gt;設定!$B$3,原始資料!BI419=""),"",IF(AND(原始資料!BH419&lt;&gt;"",原始資料!BI419=原始資料!BH419),N(BF419)+1,1))</f>
        <v/>
      </c>
      <c r="BH419" s="6">
        <f>IF(OR(原始資料!$A419="",59&gt;設定!$B$3,原始資料!BJ419=""),"",IF(AND(原始資料!BI419&lt;&gt;"",原始資料!BJ419=原始資料!BI419),N(BG419)+1,1))</f>
        <v/>
      </c>
      <c r="BI419" s="6">
        <f>IF(OR(原始資料!$A419="",60&gt;設定!$B$3,原始資料!BK419=""),"",IF(AND(原始資料!BJ419&lt;&gt;"",原始資料!BK419=原始資料!BJ419),N(BH419)+1,1))</f>
        <v/>
      </c>
    </row>
    <row r="420">
      <c r="A420" s="6">
        <f>IF(原始資料!$A420="","",原始資料!$A420)</f>
        <v/>
      </c>
      <c r="B420" s="6">
        <f>IF(OR(原始資料!$A420="",1&gt;設定!$B$3,原始資料!D420=""),"",1)</f>
        <v/>
      </c>
      <c r="C420" s="6">
        <f>IF(OR(原始資料!$A420="",2&gt;設定!$B$3,原始資料!E420=""),"",IF(AND(原始資料!D420&lt;&gt;"",原始資料!E420=原始資料!D420),N(B420)+1,1))</f>
        <v/>
      </c>
      <c r="D420" s="6">
        <f>IF(OR(原始資料!$A420="",3&gt;設定!$B$3,原始資料!F420=""),"",IF(AND(原始資料!E420&lt;&gt;"",原始資料!F420=原始資料!E420),N(C420)+1,1))</f>
        <v/>
      </c>
      <c r="E420" s="6">
        <f>IF(OR(原始資料!$A420="",4&gt;設定!$B$3,原始資料!G420=""),"",IF(AND(原始資料!F420&lt;&gt;"",原始資料!G420=原始資料!F420),N(D420)+1,1))</f>
        <v/>
      </c>
      <c r="F420" s="6">
        <f>IF(OR(原始資料!$A420="",5&gt;設定!$B$3,原始資料!H420=""),"",IF(AND(原始資料!G420&lt;&gt;"",原始資料!H420=原始資料!G420),N(E420)+1,1))</f>
        <v/>
      </c>
      <c r="G420" s="6">
        <f>IF(OR(原始資料!$A420="",6&gt;設定!$B$3,原始資料!I420=""),"",IF(AND(原始資料!H420&lt;&gt;"",原始資料!I420=原始資料!H420),N(F420)+1,1))</f>
        <v/>
      </c>
      <c r="H420" s="6">
        <f>IF(OR(原始資料!$A420="",7&gt;設定!$B$3,原始資料!J420=""),"",IF(AND(原始資料!I420&lt;&gt;"",原始資料!J420=原始資料!I420),N(G420)+1,1))</f>
        <v/>
      </c>
      <c r="I420" s="6">
        <f>IF(OR(原始資料!$A420="",8&gt;設定!$B$3,原始資料!K420=""),"",IF(AND(原始資料!J420&lt;&gt;"",原始資料!K420=原始資料!J420),N(H420)+1,1))</f>
        <v/>
      </c>
      <c r="J420" s="6">
        <f>IF(OR(原始資料!$A420="",9&gt;設定!$B$3,原始資料!L420=""),"",IF(AND(原始資料!K420&lt;&gt;"",原始資料!L420=原始資料!K420),N(I420)+1,1))</f>
        <v/>
      </c>
      <c r="K420" s="6">
        <f>IF(OR(原始資料!$A420="",10&gt;設定!$B$3,原始資料!M420=""),"",IF(AND(原始資料!L420&lt;&gt;"",原始資料!M420=原始資料!L420),N(J420)+1,1))</f>
        <v/>
      </c>
      <c r="L420" s="6">
        <f>IF(OR(原始資料!$A420="",11&gt;設定!$B$3,原始資料!N420=""),"",IF(AND(原始資料!M420&lt;&gt;"",原始資料!N420=原始資料!M420),N(K420)+1,1))</f>
        <v/>
      </c>
      <c r="M420" s="6">
        <f>IF(OR(原始資料!$A420="",12&gt;設定!$B$3,原始資料!O420=""),"",IF(AND(原始資料!N420&lt;&gt;"",原始資料!O420=原始資料!N420),N(L420)+1,1))</f>
        <v/>
      </c>
      <c r="N420" s="6">
        <f>IF(OR(原始資料!$A420="",13&gt;設定!$B$3,原始資料!P420=""),"",IF(AND(原始資料!O420&lt;&gt;"",原始資料!P420=原始資料!O420),N(M420)+1,1))</f>
        <v/>
      </c>
      <c r="O420" s="6">
        <f>IF(OR(原始資料!$A420="",14&gt;設定!$B$3,原始資料!Q420=""),"",IF(AND(原始資料!P420&lt;&gt;"",原始資料!Q420=原始資料!P420),N(N420)+1,1))</f>
        <v/>
      </c>
      <c r="P420" s="6">
        <f>IF(OR(原始資料!$A420="",15&gt;設定!$B$3,原始資料!R420=""),"",IF(AND(原始資料!Q420&lt;&gt;"",原始資料!R420=原始資料!Q420),N(O420)+1,1))</f>
        <v/>
      </c>
      <c r="Q420" s="6">
        <f>IF(OR(原始資料!$A420="",16&gt;設定!$B$3,原始資料!S420=""),"",IF(AND(原始資料!R420&lt;&gt;"",原始資料!S420=原始資料!R420),N(P420)+1,1))</f>
        <v/>
      </c>
      <c r="R420" s="6">
        <f>IF(OR(原始資料!$A420="",17&gt;設定!$B$3,原始資料!T420=""),"",IF(AND(原始資料!S420&lt;&gt;"",原始資料!T420=原始資料!S420),N(Q420)+1,1))</f>
        <v/>
      </c>
      <c r="S420" s="6">
        <f>IF(OR(原始資料!$A420="",18&gt;設定!$B$3,原始資料!U420=""),"",IF(AND(原始資料!T420&lt;&gt;"",原始資料!U420=原始資料!T420),N(R420)+1,1))</f>
        <v/>
      </c>
      <c r="T420" s="6">
        <f>IF(OR(原始資料!$A420="",19&gt;設定!$B$3,原始資料!V420=""),"",IF(AND(原始資料!U420&lt;&gt;"",原始資料!V420=原始資料!U420),N(S420)+1,1))</f>
        <v/>
      </c>
      <c r="U420" s="6">
        <f>IF(OR(原始資料!$A420="",20&gt;設定!$B$3,原始資料!W420=""),"",IF(AND(原始資料!V420&lt;&gt;"",原始資料!W420=原始資料!V420),N(T420)+1,1))</f>
        <v/>
      </c>
      <c r="V420" s="6">
        <f>IF(OR(原始資料!$A420="",21&gt;設定!$B$3,原始資料!X420=""),"",IF(AND(原始資料!W420&lt;&gt;"",原始資料!X420=原始資料!W420),N(U420)+1,1))</f>
        <v/>
      </c>
      <c r="W420" s="6">
        <f>IF(OR(原始資料!$A420="",22&gt;設定!$B$3,原始資料!Y420=""),"",IF(AND(原始資料!X420&lt;&gt;"",原始資料!Y420=原始資料!X420),N(V420)+1,1))</f>
        <v/>
      </c>
      <c r="X420" s="6">
        <f>IF(OR(原始資料!$A420="",23&gt;設定!$B$3,原始資料!Z420=""),"",IF(AND(原始資料!Y420&lt;&gt;"",原始資料!Z420=原始資料!Y420),N(W420)+1,1))</f>
        <v/>
      </c>
      <c r="Y420" s="6">
        <f>IF(OR(原始資料!$A420="",24&gt;設定!$B$3,原始資料!AA420=""),"",IF(AND(原始資料!Z420&lt;&gt;"",原始資料!AA420=原始資料!Z420),N(X420)+1,1))</f>
        <v/>
      </c>
      <c r="Z420" s="6">
        <f>IF(OR(原始資料!$A420="",25&gt;設定!$B$3,原始資料!AB420=""),"",IF(AND(原始資料!AA420&lt;&gt;"",原始資料!AB420=原始資料!AA420),N(Y420)+1,1))</f>
        <v/>
      </c>
      <c r="AA420" s="6">
        <f>IF(OR(原始資料!$A420="",26&gt;設定!$B$3,原始資料!AC420=""),"",IF(AND(原始資料!AB420&lt;&gt;"",原始資料!AC420=原始資料!AB420),N(Z420)+1,1))</f>
        <v/>
      </c>
      <c r="AB420" s="6">
        <f>IF(OR(原始資料!$A420="",27&gt;設定!$B$3,原始資料!AD420=""),"",IF(AND(原始資料!AC420&lt;&gt;"",原始資料!AD420=原始資料!AC420),N(AA420)+1,1))</f>
        <v/>
      </c>
      <c r="AC420" s="6">
        <f>IF(OR(原始資料!$A420="",28&gt;設定!$B$3,原始資料!AE420=""),"",IF(AND(原始資料!AD420&lt;&gt;"",原始資料!AE420=原始資料!AD420),N(AB420)+1,1))</f>
        <v/>
      </c>
      <c r="AD420" s="6">
        <f>IF(OR(原始資料!$A420="",29&gt;設定!$B$3,原始資料!AF420=""),"",IF(AND(原始資料!AE420&lt;&gt;"",原始資料!AF420=原始資料!AE420),N(AC420)+1,1))</f>
        <v/>
      </c>
      <c r="AE420" s="6">
        <f>IF(OR(原始資料!$A420="",30&gt;設定!$B$3,原始資料!AG420=""),"",IF(AND(原始資料!AF420&lt;&gt;"",原始資料!AG420=原始資料!AF420),N(AD420)+1,1))</f>
        <v/>
      </c>
      <c r="AF420" s="6">
        <f>IF(OR(原始資料!$A420="",31&gt;設定!$B$3,原始資料!AH420=""),"",IF(AND(原始資料!AG420&lt;&gt;"",原始資料!AH420=原始資料!AG420),N(AE420)+1,1))</f>
        <v/>
      </c>
      <c r="AG420" s="6">
        <f>IF(OR(原始資料!$A420="",32&gt;設定!$B$3,原始資料!AI420=""),"",IF(AND(原始資料!AH420&lt;&gt;"",原始資料!AI420=原始資料!AH420),N(AF420)+1,1))</f>
        <v/>
      </c>
      <c r="AH420" s="6">
        <f>IF(OR(原始資料!$A420="",33&gt;設定!$B$3,原始資料!AJ420=""),"",IF(AND(原始資料!AI420&lt;&gt;"",原始資料!AJ420=原始資料!AI420),N(AG420)+1,1))</f>
        <v/>
      </c>
      <c r="AI420" s="6">
        <f>IF(OR(原始資料!$A420="",34&gt;設定!$B$3,原始資料!AK420=""),"",IF(AND(原始資料!AJ420&lt;&gt;"",原始資料!AK420=原始資料!AJ420),N(AH420)+1,1))</f>
        <v/>
      </c>
      <c r="AJ420" s="6">
        <f>IF(OR(原始資料!$A420="",35&gt;設定!$B$3,原始資料!AL420=""),"",IF(AND(原始資料!AK420&lt;&gt;"",原始資料!AL420=原始資料!AK420),N(AI420)+1,1))</f>
        <v/>
      </c>
      <c r="AK420" s="6">
        <f>IF(OR(原始資料!$A420="",36&gt;設定!$B$3,原始資料!AM420=""),"",IF(AND(原始資料!AL420&lt;&gt;"",原始資料!AM420=原始資料!AL420),N(AJ420)+1,1))</f>
        <v/>
      </c>
      <c r="AL420" s="6">
        <f>IF(OR(原始資料!$A420="",37&gt;設定!$B$3,原始資料!AN420=""),"",IF(AND(原始資料!AM420&lt;&gt;"",原始資料!AN420=原始資料!AM420),N(AK420)+1,1))</f>
        <v/>
      </c>
      <c r="AM420" s="6">
        <f>IF(OR(原始資料!$A420="",38&gt;設定!$B$3,原始資料!AO420=""),"",IF(AND(原始資料!AN420&lt;&gt;"",原始資料!AO420=原始資料!AN420),N(AL420)+1,1))</f>
        <v/>
      </c>
      <c r="AN420" s="6">
        <f>IF(OR(原始資料!$A420="",39&gt;設定!$B$3,原始資料!AP420=""),"",IF(AND(原始資料!AO420&lt;&gt;"",原始資料!AP420=原始資料!AO420),N(AM420)+1,1))</f>
        <v/>
      </c>
      <c r="AO420" s="6">
        <f>IF(OR(原始資料!$A420="",40&gt;設定!$B$3,原始資料!AQ420=""),"",IF(AND(原始資料!AP420&lt;&gt;"",原始資料!AQ420=原始資料!AP420),N(AN420)+1,1))</f>
        <v/>
      </c>
      <c r="AP420" s="6">
        <f>IF(OR(原始資料!$A420="",41&gt;設定!$B$3,原始資料!AR420=""),"",IF(AND(原始資料!AQ420&lt;&gt;"",原始資料!AR420=原始資料!AQ420),N(AO420)+1,1))</f>
        <v/>
      </c>
      <c r="AQ420" s="6">
        <f>IF(OR(原始資料!$A420="",42&gt;設定!$B$3,原始資料!AS420=""),"",IF(AND(原始資料!AR420&lt;&gt;"",原始資料!AS420=原始資料!AR420),N(AP420)+1,1))</f>
        <v/>
      </c>
      <c r="AR420" s="6">
        <f>IF(OR(原始資料!$A420="",43&gt;設定!$B$3,原始資料!AT420=""),"",IF(AND(原始資料!AS420&lt;&gt;"",原始資料!AT420=原始資料!AS420),N(AQ420)+1,1))</f>
        <v/>
      </c>
      <c r="AS420" s="6">
        <f>IF(OR(原始資料!$A420="",44&gt;設定!$B$3,原始資料!AU420=""),"",IF(AND(原始資料!AT420&lt;&gt;"",原始資料!AU420=原始資料!AT420),N(AR420)+1,1))</f>
        <v/>
      </c>
      <c r="AT420" s="6">
        <f>IF(OR(原始資料!$A420="",45&gt;設定!$B$3,原始資料!AV420=""),"",IF(AND(原始資料!AU420&lt;&gt;"",原始資料!AV420=原始資料!AU420),N(AS420)+1,1))</f>
        <v/>
      </c>
      <c r="AU420" s="6">
        <f>IF(OR(原始資料!$A420="",46&gt;設定!$B$3,原始資料!AW420=""),"",IF(AND(原始資料!AV420&lt;&gt;"",原始資料!AW420=原始資料!AV420),N(AT420)+1,1))</f>
        <v/>
      </c>
      <c r="AV420" s="6">
        <f>IF(OR(原始資料!$A420="",47&gt;設定!$B$3,原始資料!AX420=""),"",IF(AND(原始資料!AW420&lt;&gt;"",原始資料!AX420=原始資料!AW420),N(AU420)+1,1))</f>
        <v/>
      </c>
      <c r="AW420" s="6">
        <f>IF(OR(原始資料!$A420="",48&gt;設定!$B$3,原始資料!AY420=""),"",IF(AND(原始資料!AX420&lt;&gt;"",原始資料!AY420=原始資料!AX420),N(AV420)+1,1))</f>
        <v/>
      </c>
      <c r="AX420" s="6">
        <f>IF(OR(原始資料!$A420="",49&gt;設定!$B$3,原始資料!AZ420=""),"",IF(AND(原始資料!AY420&lt;&gt;"",原始資料!AZ420=原始資料!AY420),N(AW420)+1,1))</f>
        <v/>
      </c>
      <c r="AY420" s="6">
        <f>IF(OR(原始資料!$A420="",50&gt;設定!$B$3,原始資料!BA420=""),"",IF(AND(原始資料!AZ420&lt;&gt;"",原始資料!BA420=原始資料!AZ420),N(AX420)+1,1))</f>
        <v/>
      </c>
      <c r="AZ420" s="6">
        <f>IF(OR(原始資料!$A420="",51&gt;設定!$B$3,原始資料!BB420=""),"",IF(AND(原始資料!BA420&lt;&gt;"",原始資料!BB420=原始資料!BA420),N(AY420)+1,1))</f>
        <v/>
      </c>
      <c r="BA420" s="6">
        <f>IF(OR(原始資料!$A420="",52&gt;設定!$B$3,原始資料!BC420=""),"",IF(AND(原始資料!BB420&lt;&gt;"",原始資料!BC420=原始資料!BB420),N(AZ420)+1,1))</f>
        <v/>
      </c>
      <c r="BB420" s="6">
        <f>IF(OR(原始資料!$A420="",53&gt;設定!$B$3,原始資料!BD420=""),"",IF(AND(原始資料!BC420&lt;&gt;"",原始資料!BD420=原始資料!BC420),N(BA420)+1,1))</f>
        <v/>
      </c>
      <c r="BC420" s="6">
        <f>IF(OR(原始資料!$A420="",54&gt;設定!$B$3,原始資料!BE420=""),"",IF(AND(原始資料!BD420&lt;&gt;"",原始資料!BE420=原始資料!BD420),N(BB420)+1,1))</f>
        <v/>
      </c>
      <c r="BD420" s="6">
        <f>IF(OR(原始資料!$A420="",55&gt;設定!$B$3,原始資料!BF420=""),"",IF(AND(原始資料!BE420&lt;&gt;"",原始資料!BF420=原始資料!BE420),N(BC420)+1,1))</f>
        <v/>
      </c>
      <c r="BE420" s="6">
        <f>IF(OR(原始資料!$A420="",56&gt;設定!$B$3,原始資料!BG420=""),"",IF(AND(原始資料!BF420&lt;&gt;"",原始資料!BG420=原始資料!BF420),N(BD420)+1,1))</f>
        <v/>
      </c>
      <c r="BF420" s="6">
        <f>IF(OR(原始資料!$A420="",57&gt;設定!$B$3,原始資料!BH420=""),"",IF(AND(原始資料!BG420&lt;&gt;"",原始資料!BH420=原始資料!BG420),N(BE420)+1,1))</f>
        <v/>
      </c>
      <c r="BG420" s="6">
        <f>IF(OR(原始資料!$A420="",58&gt;設定!$B$3,原始資料!BI420=""),"",IF(AND(原始資料!BH420&lt;&gt;"",原始資料!BI420=原始資料!BH420),N(BF420)+1,1))</f>
        <v/>
      </c>
      <c r="BH420" s="6">
        <f>IF(OR(原始資料!$A420="",59&gt;設定!$B$3,原始資料!BJ420=""),"",IF(AND(原始資料!BI420&lt;&gt;"",原始資料!BJ420=原始資料!BI420),N(BG420)+1,1))</f>
        <v/>
      </c>
      <c r="BI420" s="6">
        <f>IF(OR(原始資料!$A420="",60&gt;設定!$B$3,原始資料!BK420=""),"",IF(AND(原始資料!BJ420&lt;&gt;"",原始資料!BK420=原始資料!BJ420),N(BH420)+1,1))</f>
        <v/>
      </c>
    </row>
    <row r="421">
      <c r="A421" s="6">
        <f>IF(原始資料!$A421="","",原始資料!$A421)</f>
        <v/>
      </c>
      <c r="B421" s="6">
        <f>IF(OR(原始資料!$A421="",1&gt;設定!$B$3,原始資料!D421=""),"",1)</f>
        <v/>
      </c>
      <c r="C421" s="6">
        <f>IF(OR(原始資料!$A421="",2&gt;設定!$B$3,原始資料!E421=""),"",IF(AND(原始資料!D421&lt;&gt;"",原始資料!E421=原始資料!D421),N(B421)+1,1))</f>
        <v/>
      </c>
      <c r="D421" s="6">
        <f>IF(OR(原始資料!$A421="",3&gt;設定!$B$3,原始資料!F421=""),"",IF(AND(原始資料!E421&lt;&gt;"",原始資料!F421=原始資料!E421),N(C421)+1,1))</f>
        <v/>
      </c>
      <c r="E421" s="6">
        <f>IF(OR(原始資料!$A421="",4&gt;設定!$B$3,原始資料!G421=""),"",IF(AND(原始資料!F421&lt;&gt;"",原始資料!G421=原始資料!F421),N(D421)+1,1))</f>
        <v/>
      </c>
      <c r="F421" s="6">
        <f>IF(OR(原始資料!$A421="",5&gt;設定!$B$3,原始資料!H421=""),"",IF(AND(原始資料!G421&lt;&gt;"",原始資料!H421=原始資料!G421),N(E421)+1,1))</f>
        <v/>
      </c>
      <c r="G421" s="6">
        <f>IF(OR(原始資料!$A421="",6&gt;設定!$B$3,原始資料!I421=""),"",IF(AND(原始資料!H421&lt;&gt;"",原始資料!I421=原始資料!H421),N(F421)+1,1))</f>
        <v/>
      </c>
      <c r="H421" s="6">
        <f>IF(OR(原始資料!$A421="",7&gt;設定!$B$3,原始資料!J421=""),"",IF(AND(原始資料!I421&lt;&gt;"",原始資料!J421=原始資料!I421),N(G421)+1,1))</f>
        <v/>
      </c>
      <c r="I421" s="6">
        <f>IF(OR(原始資料!$A421="",8&gt;設定!$B$3,原始資料!K421=""),"",IF(AND(原始資料!J421&lt;&gt;"",原始資料!K421=原始資料!J421),N(H421)+1,1))</f>
        <v/>
      </c>
      <c r="J421" s="6">
        <f>IF(OR(原始資料!$A421="",9&gt;設定!$B$3,原始資料!L421=""),"",IF(AND(原始資料!K421&lt;&gt;"",原始資料!L421=原始資料!K421),N(I421)+1,1))</f>
        <v/>
      </c>
      <c r="K421" s="6">
        <f>IF(OR(原始資料!$A421="",10&gt;設定!$B$3,原始資料!M421=""),"",IF(AND(原始資料!L421&lt;&gt;"",原始資料!M421=原始資料!L421),N(J421)+1,1))</f>
        <v/>
      </c>
      <c r="L421" s="6">
        <f>IF(OR(原始資料!$A421="",11&gt;設定!$B$3,原始資料!N421=""),"",IF(AND(原始資料!M421&lt;&gt;"",原始資料!N421=原始資料!M421),N(K421)+1,1))</f>
        <v/>
      </c>
      <c r="M421" s="6">
        <f>IF(OR(原始資料!$A421="",12&gt;設定!$B$3,原始資料!O421=""),"",IF(AND(原始資料!N421&lt;&gt;"",原始資料!O421=原始資料!N421),N(L421)+1,1))</f>
        <v/>
      </c>
      <c r="N421" s="6">
        <f>IF(OR(原始資料!$A421="",13&gt;設定!$B$3,原始資料!P421=""),"",IF(AND(原始資料!O421&lt;&gt;"",原始資料!P421=原始資料!O421),N(M421)+1,1))</f>
        <v/>
      </c>
      <c r="O421" s="6">
        <f>IF(OR(原始資料!$A421="",14&gt;設定!$B$3,原始資料!Q421=""),"",IF(AND(原始資料!P421&lt;&gt;"",原始資料!Q421=原始資料!P421),N(N421)+1,1))</f>
        <v/>
      </c>
      <c r="P421" s="6">
        <f>IF(OR(原始資料!$A421="",15&gt;設定!$B$3,原始資料!R421=""),"",IF(AND(原始資料!Q421&lt;&gt;"",原始資料!R421=原始資料!Q421),N(O421)+1,1))</f>
        <v/>
      </c>
      <c r="Q421" s="6">
        <f>IF(OR(原始資料!$A421="",16&gt;設定!$B$3,原始資料!S421=""),"",IF(AND(原始資料!R421&lt;&gt;"",原始資料!S421=原始資料!R421),N(P421)+1,1))</f>
        <v/>
      </c>
      <c r="R421" s="6">
        <f>IF(OR(原始資料!$A421="",17&gt;設定!$B$3,原始資料!T421=""),"",IF(AND(原始資料!S421&lt;&gt;"",原始資料!T421=原始資料!S421),N(Q421)+1,1))</f>
        <v/>
      </c>
      <c r="S421" s="6">
        <f>IF(OR(原始資料!$A421="",18&gt;設定!$B$3,原始資料!U421=""),"",IF(AND(原始資料!T421&lt;&gt;"",原始資料!U421=原始資料!T421),N(R421)+1,1))</f>
        <v/>
      </c>
      <c r="T421" s="6">
        <f>IF(OR(原始資料!$A421="",19&gt;設定!$B$3,原始資料!V421=""),"",IF(AND(原始資料!U421&lt;&gt;"",原始資料!V421=原始資料!U421),N(S421)+1,1))</f>
        <v/>
      </c>
      <c r="U421" s="6">
        <f>IF(OR(原始資料!$A421="",20&gt;設定!$B$3,原始資料!W421=""),"",IF(AND(原始資料!V421&lt;&gt;"",原始資料!W421=原始資料!V421),N(T421)+1,1))</f>
        <v/>
      </c>
      <c r="V421" s="6">
        <f>IF(OR(原始資料!$A421="",21&gt;設定!$B$3,原始資料!X421=""),"",IF(AND(原始資料!W421&lt;&gt;"",原始資料!X421=原始資料!W421),N(U421)+1,1))</f>
        <v/>
      </c>
      <c r="W421" s="6">
        <f>IF(OR(原始資料!$A421="",22&gt;設定!$B$3,原始資料!Y421=""),"",IF(AND(原始資料!X421&lt;&gt;"",原始資料!Y421=原始資料!X421),N(V421)+1,1))</f>
        <v/>
      </c>
      <c r="X421" s="6">
        <f>IF(OR(原始資料!$A421="",23&gt;設定!$B$3,原始資料!Z421=""),"",IF(AND(原始資料!Y421&lt;&gt;"",原始資料!Z421=原始資料!Y421),N(W421)+1,1))</f>
        <v/>
      </c>
      <c r="Y421" s="6">
        <f>IF(OR(原始資料!$A421="",24&gt;設定!$B$3,原始資料!AA421=""),"",IF(AND(原始資料!Z421&lt;&gt;"",原始資料!AA421=原始資料!Z421),N(X421)+1,1))</f>
        <v/>
      </c>
      <c r="Z421" s="6">
        <f>IF(OR(原始資料!$A421="",25&gt;設定!$B$3,原始資料!AB421=""),"",IF(AND(原始資料!AA421&lt;&gt;"",原始資料!AB421=原始資料!AA421),N(Y421)+1,1))</f>
        <v/>
      </c>
      <c r="AA421" s="6">
        <f>IF(OR(原始資料!$A421="",26&gt;設定!$B$3,原始資料!AC421=""),"",IF(AND(原始資料!AB421&lt;&gt;"",原始資料!AC421=原始資料!AB421),N(Z421)+1,1))</f>
        <v/>
      </c>
      <c r="AB421" s="6">
        <f>IF(OR(原始資料!$A421="",27&gt;設定!$B$3,原始資料!AD421=""),"",IF(AND(原始資料!AC421&lt;&gt;"",原始資料!AD421=原始資料!AC421),N(AA421)+1,1))</f>
        <v/>
      </c>
      <c r="AC421" s="6">
        <f>IF(OR(原始資料!$A421="",28&gt;設定!$B$3,原始資料!AE421=""),"",IF(AND(原始資料!AD421&lt;&gt;"",原始資料!AE421=原始資料!AD421),N(AB421)+1,1))</f>
        <v/>
      </c>
      <c r="AD421" s="6">
        <f>IF(OR(原始資料!$A421="",29&gt;設定!$B$3,原始資料!AF421=""),"",IF(AND(原始資料!AE421&lt;&gt;"",原始資料!AF421=原始資料!AE421),N(AC421)+1,1))</f>
        <v/>
      </c>
      <c r="AE421" s="6">
        <f>IF(OR(原始資料!$A421="",30&gt;設定!$B$3,原始資料!AG421=""),"",IF(AND(原始資料!AF421&lt;&gt;"",原始資料!AG421=原始資料!AF421),N(AD421)+1,1))</f>
        <v/>
      </c>
      <c r="AF421" s="6">
        <f>IF(OR(原始資料!$A421="",31&gt;設定!$B$3,原始資料!AH421=""),"",IF(AND(原始資料!AG421&lt;&gt;"",原始資料!AH421=原始資料!AG421),N(AE421)+1,1))</f>
        <v/>
      </c>
      <c r="AG421" s="6">
        <f>IF(OR(原始資料!$A421="",32&gt;設定!$B$3,原始資料!AI421=""),"",IF(AND(原始資料!AH421&lt;&gt;"",原始資料!AI421=原始資料!AH421),N(AF421)+1,1))</f>
        <v/>
      </c>
      <c r="AH421" s="6">
        <f>IF(OR(原始資料!$A421="",33&gt;設定!$B$3,原始資料!AJ421=""),"",IF(AND(原始資料!AI421&lt;&gt;"",原始資料!AJ421=原始資料!AI421),N(AG421)+1,1))</f>
        <v/>
      </c>
      <c r="AI421" s="6">
        <f>IF(OR(原始資料!$A421="",34&gt;設定!$B$3,原始資料!AK421=""),"",IF(AND(原始資料!AJ421&lt;&gt;"",原始資料!AK421=原始資料!AJ421),N(AH421)+1,1))</f>
        <v/>
      </c>
      <c r="AJ421" s="6">
        <f>IF(OR(原始資料!$A421="",35&gt;設定!$B$3,原始資料!AL421=""),"",IF(AND(原始資料!AK421&lt;&gt;"",原始資料!AL421=原始資料!AK421),N(AI421)+1,1))</f>
        <v/>
      </c>
      <c r="AK421" s="6">
        <f>IF(OR(原始資料!$A421="",36&gt;設定!$B$3,原始資料!AM421=""),"",IF(AND(原始資料!AL421&lt;&gt;"",原始資料!AM421=原始資料!AL421),N(AJ421)+1,1))</f>
        <v/>
      </c>
      <c r="AL421" s="6">
        <f>IF(OR(原始資料!$A421="",37&gt;設定!$B$3,原始資料!AN421=""),"",IF(AND(原始資料!AM421&lt;&gt;"",原始資料!AN421=原始資料!AM421),N(AK421)+1,1))</f>
        <v/>
      </c>
      <c r="AM421" s="6">
        <f>IF(OR(原始資料!$A421="",38&gt;設定!$B$3,原始資料!AO421=""),"",IF(AND(原始資料!AN421&lt;&gt;"",原始資料!AO421=原始資料!AN421),N(AL421)+1,1))</f>
        <v/>
      </c>
      <c r="AN421" s="6">
        <f>IF(OR(原始資料!$A421="",39&gt;設定!$B$3,原始資料!AP421=""),"",IF(AND(原始資料!AO421&lt;&gt;"",原始資料!AP421=原始資料!AO421),N(AM421)+1,1))</f>
        <v/>
      </c>
      <c r="AO421" s="6">
        <f>IF(OR(原始資料!$A421="",40&gt;設定!$B$3,原始資料!AQ421=""),"",IF(AND(原始資料!AP421&lt;&gt;"",原始資料!AQ421=原始資料!AP421),N(AN421)+1,1))</f>
        <v/>
      </c>
      <c r="AP421" s="6">
        <f>IF(OR(原始資料!$A421="",41&gt;設定!$B$3,原始資料!AR421=""),"",IF(AND(原始資料!AQ421&lt;&gt;"",原始資料!AR421=原始資料!AQ421),N(AO421)+1,1))</f>
        <v/>
      </c>
      <c r="AQ421" s="6">
        <f>IF(OR(原始資料!$A421="",42&gt;設定!$B$3,原始資料!AS421=""),"",IF(AND(原始資料!AR421&lt;&gt;"",原始資料!AS421=原始資料!AR421),N(AP421)+1,1))</f>
        <v/>
      </c>
      <c r="AR421" s="6">
        <f>IF(OR(原始資料!$A421="",43&gt;設定!$B$3,原始資料!AT421=""),"",IF(AND(原始資料!AS421&lt;&gt;"",原始資料!AT421=原始資料!AS421),N(AQ421)+1,1))</f>
        <v/>
      </c>
      <c r="AS421" s="6">
        <f>IF(OR(原始資料!$A421="",44&gt;設定!$B$3,原始資料!AU421=""),"",IF(AND(原始資料!AT421&lt;&gt;"",原始資料!AU421=原始資料!AT421),N(AR421)+1,1))</f>
        <v/>
      </c>
      <c r="AT421" s="6">
        <f>IF(OR(原始資料!$A421="",45&gt;設定!$B$3,原始資料!AV421=""),"",IF(AND(原始資料!AU421&lt;&gt;"",原始資料!AV421=原始資料!AU421),N(AS421)+1,1))</f>
        <v/>
      </c>
      <c r="AU421" s="6">
        <f>IF(OR(原始資料!$A421="",46&gt;設定!$B$3,原始資料!AW421=""),"",IF(AND(原始資料!AV421&lt;&gt;"",原始資料!AW421=原始資料!AV421),N(AT421)+1,1))</f>
        <v/>
      </c>
      <c r="AV421" s="6">
        <f>IF(OR(原始資料!$A421="",47&gt;設定!$B$3,原始資料!AX421=""),"",IF(AND(原始資料!AW421&lt;&gt;"",原始資料!AX421=原始資料!AW421),N(AU421)+1,1))</f>
        <v/>
      </c>
      <c r="AW421" s="6">
        <f>IF(OR(原始資料!$A421="",48&gt;設定!$B$3,原始資料!AY421=""),"",IF(AND(原始資料!AX421&lt;&gt;"",原始資料!AY421=原始資料!AX421),N(AV421)+1,1))</f>
        <v/>
      </c>
      <c r="AX421" s="6">
        <f>IF(OR(原始資料!$A421="",49&gt;設定!$B$3,原始資料!AZ421=""),"",IF(AND(原始資料!AY421&lt;&gt;"",原始資料!AZ421=原始資料!AY421),N(AW421)+1,1))</f>
        <v/>
      </c>
      <c r="AY421" s="6">
        <f>IF(OR(原始資料!$A421="",50&gt;設定!$B$3,原始資料!BA421=""),"",IF(AND(原始資料!AZ421&lt;&gt;"",原始資料!BA421=原始資料!AZ421),N(AX421)+1,1))</f>
        <v/>
      </c>
      <c r="AZ421" s="6">
        <f>IF(OR(原始資料!$A421="",51&gt;設定!$B$3,原始資料!BB421=""),"",IF(AND(原始資料!BA421&lt;&gt;"",原始資料!BB421=原始資料!BA421),N(AY421)+1,1))</f>
        <v/>
      </c>
      <c r="BA421" s="6">
        <f>IF(OR(原始資料!$A421="",52&gt;設定!$B$3,原始資料!BC421=""),"",IF(AND(原始資料!BB421&lt;&gt;"",原始資料!BC421=原始資料!BB421),N(AZ421)+1,1))</f>
        <v/>
      </c>
      <c r="BB421" s="6">
        <f>IF(OR(原始資料!$A421="",53&gt;設定!$B$3,原始資料!BD421=""),"",IF(AND(原始資料!BC421&lt;&gt;"",原始資料!BD421=原始資料!BC421),N(BA421)+1,1))</f>
        <v/>
      </c>
      <c r="BC421" s="6">
        <f>IF(OR(原始資料!$A421="",54&gt;設定!$B$3,原始資料!BE421=""),"",IF(AND(原始資料!BD421&lt;&gt;"",原始資料!BE421=原始資料!BD421),N(BB421)+1,1))</f>
        <v/>
      </c>
      <c r="BD421" s="6">
        <f>IF(OR(原始資料!$A421="",55&gt;設定!$B$3,原始資料!BF421=""),"",IF(AND(原始資料!BE421&lt;&gt;"",原始資料!BF421=原始資料!BE421),N(BC421)+1,1))</f>
        <v/>
      </c>
      <c r="BE421" s="6">
        <f>IF(OR(原始資料!$A421="",56&gt;設定!$B$3,原始資料!BG421=""),"",IF(AND(原始資料!BF421&lt;&gt;"",原始資料!BG421=原始資料!BF421),N(BD421)+1,1))</f>
        <v/>
      </c>
      <c r="BF421" s="6">
        <f>IF(OR(原始資料!$A421="",57&gt;設定!$B$3,原始資料!BH421=""),"",IF(AND(原始資料!BG421&lt;&gt;"",原始資料!BH421=原始資料!BG421),N(BE421)+1,1))</f>
        <v/>
      </c>
      <c r="BG421" s="6">
        <f>IF(OR(原始資料!$A421="",58&gt;設定!$B$3,原始資料!BI421=""),"",IF(AND(原始資料!BH421&lt;&gt;"",原始資料!BI421=原始資料!BH421),N(BF421)+1,1))</f>
        <v/>
      </c>
      <c r="BH421" s="6">
        <f>IF(OR(原始資料!$A421="",59&gt;設定!$B$3,原始資料!BJ421=""),"",IF(AND(原始資料!BI421&lt;&gt;"",原始資料!BJ421=原始資料!BI421),N(BG421)+1,1))</f>
        <v/>
      </c>
      <c r="BI421" s="6">
        <f>IF(OR(原始資料!$A421="",60&gt;設定!$B$3,原始資料!BK421=""),"",IF(AND(原始資料!BJ421&lt;&gt;"",原始資料!BK421=原始資料!BJ421),N(BH421)+1,1))</f>
        <v/>
      </c>
    </row>
    <row r="422">
      <c r="A422" s="6">
        <f>IF(原始資料!$A422="","",原始資料!$A422)</f>
        <v/>
      </c>
      <c r="B422" s="6">
        <f>IF(OR(原始資料!$A422="",1&gt;設定!$B$3,原始資料!D422=""),"",1)</f>
        <v/>
      </c>
      <c r="C422" s="6">
        <f>IF(OR(原始資料!$A422="",2&gt;設定!$B$3,原始資料!E422=""),"",IF(AND(原始資料!D422&lt;&gt;"",原始資料!E422=原始資料!D422),N(B422)+1,1))</f>
        <v/>
      </c>
      <c r="D422" s="6">
        <f>IF(OR(原始資料!$A422="",3&gt;設定!$B$3,原始資料!F422=""),"",IF(AND(原始資料!E422&lt;&gt;"",原始資料!F422=原始資料!E422),N(C422)+1,1))</f>
        <v/>
      </c>
      <c r="E422" s="6">
        <f>IF(OR(原始資料!$A422="",4&gt;設定!$B$3,原始資料!G422=""),"",IF(AND(原始資料!F422&lt;&gt;"",原始資料!G422=原始資料!F422),N(D422)+1,1))</f>
        <v/>
      </c>
      <c r="F422" s="6">
        <f>IF(OR(原始資料!$A422="",5&gt;設定!$B$3,原始資料!H422=""),"",IF(AND(原始資料!G422&lt;&gt;"",原始資料!H422=原始資料!G422),N(E422)+1,1))</f>
        <v/>
      </c>
      <c r="G422" s="6">
        <f>IF(OR(原始資料!$A422="",6&gt;設定!$B$3,原始資料!I422=""),"",IF(AND(原始資料!H422&lt;&gt;"",原始資料!I422=原始資料!H422),N(F422)+1,1))</f>
        <v/>
      </c>
      <c r="H422" s="6">
        <f>IF(OR(原始資料!$A422="",7&gt;設定!$B$3,原始資料!J422=""),"",IF(AND(原始資料!I422&lt;&gt;"",原始資料!J422=原始資料!I422),N(G422)+1,1))</f>
        <v/>
      </c>
      <c r="I422" s="6">
        <f>IF(OR(原始資料!$A422="",8&gt;設定!$B$3,原始資料!K422=""),"",IF(AND(原始資料!J422&lt;&gt;"",原始資料!K422=原始資料!J422),N(H422)+1,1))</f>
        <v/>
      </c>
      <c r="J422" s="6">
        <f>IF(OR(原始資料!$A422="",9&gt;設定!$B$3,原始資料!L422=""),"",IF(AND(原始資料!K422&lt;&gt;"",原始資料!L422=原始資料!K422),N(I422)+1,1))</f>
        <v/>
      </c>
      <c r="K422" s="6">
        <f>IF(OR(原始資料!$A422="",10&gt;設定!$B$3,原始資料!M422=""),"",IF(AND(原始資料!L422&lt;&gt;"",原始資料!M422=原始資料!L422),N(J422)+1,1))</f>
        <v/>
      </c>
      <c r="L422" s="6">
        <f>IF(OR(原始資料!$A422="",11&gt;設定!$B$3,原始資料!N422=""),"",IF(AND(原始資料!M422&lt;&gt;"",原始資料!N422=原始資料!M422),N(K422)+1,1))</f>
        <v/>
      </c>
      <c r="M422" s="6">
        <f>IF(OR(原始資料!$A422="",12&gt;設定!$B$3,原始資料!O422=""),"",IF(AND(原始資料!N422&lt;&gt;"",原始資料!O422=原始資料!N422),N(L422)+1,1))</f>
        <v/>
      </c>
      <c r="N422" s="6">
        <f>IF(OR(原始資料!$A422="",13&gt;設定!$B$3,原始資料!P422=""),"",IF(AND(原始資料!O422&lt;&gt;"",原始資料!P422=原始資料!O422),N(M422)+1,1))</f>
        <v/>
      </c>
      <c r="O422" s="6">
        <f>IF(OR(原始資料!$A422="",14&gt;設定!$B$3,原始資料!Q422=""),"",IF(AND(原始資料!P422&lt;&gt;"",原始資料!Q422=原始資料!P422),N(N422)+1,1))</f>
        <v/>
      </c>
      <c r="P422" s="6">
        <f>IF(OR(原始資料!$A422="",15&gt;設定!$B$3,原始資料!R422=""),"",IF(AND(原始資料!Q422&lt;&gt;"",原始資料!R422=原始資料!Q422),N(O422)+1,1))</f>
        <v/>
      </c>
      <c r="Q422" s="6">
        <f>IF(OR(原始資料!$A422="",16&gt;設定!$B$3,原始資料!S422=""),"",IF(AND(原始資料!R422&lt;&gt;"",原始資料!S422=原始資料!R422),N(P422)+1,1))</f>
        <v/>
      </c>
      <c r="R422" s="6">
        <f>IF(OR(原始資料!$A422="",17&gt;設定!$B$3,原始資料!T422=""),"",IF(AND(原始資料!S422&lt;&gt;"",原始資料!T422=原始資料!S422),N(Q422)+1,1))</f>
        <v/>
      </c>
      <c r="S422" s="6">
        <f>IF(OR(原始資料!$A422="",18&gt;設定!$B$3,原始資料!U422=""),"",IF(AND(原始資料!T422&lt;&gt;"",原始資料!U422=原始資料!T422),N(R422)+1,1))</f>
        <v/>
      </c>
      <c r="T422" s="6">
        <f>IF(OR(原始資料!$A422="",19&gt;設定!$B$3,原始資料!V422=""),"",IF(AND(原始資料!U422&lt;&gt;"",原始資料!V422=原始資料!U422),N(S422)+1,1))</f>
        <v/>
      </c>
      <c r="U422" s="6">
        <f>IF(OR(原始資料!$A422="",20&gt;設定!$B$3,原始資料!W422=""),"",IF(AND(原始資料!V422&lt;&gt;"",原始資料!W422=原始資料!V422),N(T422)+1,1))</f>
        <v/>
      </c>
      <c r="V422" s="6">
        <f>IF(OR(原始資料!$A422="",21&gt;設定!$B$3,原始資料!X422=""),"",IF(AND(原始資料!W422&lt;&gt;"",原始資料!X422=原始資料!W422),N(U422)+1,1))</f>
        <v/>
      </c>
      <c r="W422" s="6">
        <f>IF(OR(原始資料!$A422="",22&gt;設定!$B$3,原始資料!Y422=""),"",IF(AND(原始資料!X422&lt;&gt;"",原始資料!Y422=原始資料!X422),N(V422)+1,1))</f>
        <v/>
      </c>
      <c r="X422" s="6">
        <f>IF(OR(原始資料!$A422="",23&gt;設定!$B$3,原始資料!Z422=""),"",IF(AND(原始資料!Y422&lt;&gt;"",原始資料!Z422=原始資料!Y422),N(W422)+1,1))</f>
        <v/>
      </c>
      <c r="Y422" s="6">
        <f>IF(OR(原始資料!$A422="",24&gt;設定!$B$3,原始資料!AA422=""),"",IF(AND(原始資料!Z422&lt;&gt;"",原始資料!AA422=原始資料!Z422),N(X422)+1,1))</f>
        <v/>
      </c>
      <c r="Z422" s="6">
        <f>IF(OR(原始資料!$A422="",25&gt;設定!$B$3,原始資料!AB422=""),"",IF(AND(原始資料!AA422&lt;&gt;"",原始資料!AB422=原始資料!AA422),N(Y422)+1,1))</f>
        <v/>
      </c>
      <c r="AA422" s="6">
        <f>IF(OR(原始資料!$A422="",26&gt;設定!$B$3,原始資料!AC422=""),"",IF(AND(原始資料!AB422&lt;&gt;"",原始資料!AC422=原始資料!AB422),N(Z422)+1,1))</f>
        <v/>
      </c>
      <c r="AB422" s="6">
        <f>IF(OR(原始資料!$A422="",27&gt;設定!$B$3,原始資料!AD422=""),"",IF(AND(原始資料!AC422&lt;&gt;"",原始資料!AD422=原始資料!AC422),N(AA422)+1,1))</f>
        <v/>
      </c>
      <c r="AC422" s="6">
        <f>IF(OR(原始資料!$A422="",28&gt;設定!$B$3,原始資料!AE422=""),"",IF(AND(原始資料!AD422&lt;&gt;"",原始資料!AE422=原始資料!AD422),N(AB422)+1,1))</f>
        <v/>
      </c>
      <c r="AD422" s="6">
        <f>IF(OR(原始資料!$A422="",29&gt;設定!$B$3,原始資料!AF422=""),"",IF(AND(原始資料!AE422&lt;&gt;"",原始資料!AF422=原始資料!AE422),N(AC422)+1,1))</f>
        <v/>
      </c>
      <c r="AE422" s="6">
        <f>IF(OR(原始資料!$A422="",30&gt;設定!$B$3,原始資料!AG422=""),"",IF(AND(原始資料!AF422&lt;&gt;"",原始資料!AG422=原始資料!AF422),N(AD422)+1,1))</f>
        <v/>
      </c>
      <c r="AF422" s="6">
        <f>IF(OR(原始資料!$A422="",31&gt;設定!$B$3,原始資料!AH422=""),"",IF(AND(原始資料!AG422&lt;&gt;"",原始資料!AH422=原始資料!AG422),N(AE422)+1,1))</f>
        <v/>
      </c>
      <c r="AG422" s="6">
        <f>IF(OR(原始資料!$A422="",32&gt;設定!$B$3,原始資料!AI422=""),"",IF(AND(原始資料!AH422&lt;&gt;"",原始資料!AI422=原始資料!AH422),N(AF422)+1,1))</f>
        <v/>
      </c>
      <c r="AH422" s="6">
        <f>IF(OR(原始資料!$A422="",33&gt;設定!$B$3,原始資料!AJ422=""),"",IF(AND(原始資料!AI422&lt;&gt;"",原始資料!AJ422=原始資料!AI422),N(AG422)+1,1))</f>
        <v/>
      </c>
      <c r="AI422" s="6">
        <f>IF(OR(原始資料!$A422="",34&gt;設定!$B$3,原始資料!AK422=""),"",IF(AND(原始資料!AJ422&lt;&gt;"",原始資料!AK422=原始資料!AJ422),N(AH422)+1,1))</f>
        <v/>
      </c>
      <c r="AJ422" s="6">
        <f>IF(OR(原始資料!$A422="",35&gt;設定!$B$3,原始資料!AL422=""),"",IF(AND(原始資料!AK422&lt;&gt;"",原始資料!AL422=原始資料!AK422),N(AI422)+1,1))</f>
        <v/>
      </c>
      <c r="AK422" s="6">
        <f>IF(OR(原始資料!$A422="",36&gt;設定!$B$3,原始資料!AM422=""),"",IF(AND(原始資料!AL422&lt;&gt;"",原始資料!AM422=原始資料!AL422),N(AJ422)+1,1))</f>
        <v/>
      </c>
      <c r="AL422" s="6">
        <f>IF(OR(原始資料!$A422="",37&gt;設定!$B$3,原始資料!AN422=""),"",IF(AND(原始資料!AM422&lt;&gt;"",原始資料!AN422=原始資料!AM422),N(AK422)+1,1))</f>
        <v/>
      </c>
      <c r="AM422" s="6">
        <f>IF(OR(原始資料!$A422="",38&gt;設定!$B$3,原始資料!AO422=""),"",IF(AND(原始資料!AN422&lt;&gt;"",原始資料!AO422=原始資料!AN422),N(AL422)+1,1))</f>
        <v/>
      </c>
      <c r="AN422" s="6">
        <f>IF(OR(原始資料!$A422="",39&gt;設定!$B$3,原始資料!AP422=""),"",IF(AND(原始資料!AO422&lt;&gt;"",原始資料!AP422=原始資料!AO422),N(AM422)+1,1))</f>
        <v/>
      </c>
      <c r="AO422" s="6">
        <f>IF(OR(原始資料!$A422="",40&gt;設定!$B$3,原始資料!AQ422=""),"",IF(AND(原始資料!AP422&lt;&gt;"",原始資料!AQ422=原始資料!AP422),N(AN422)+1,1))</f>
        <v/>
      </c>
      <c r="AP422" s="6">
        <f>IF(OR(原始資料!$A422="",41&gt;設定!$B$3,原始資料!AR422=""),"",IF(AND(原始資料!AQ422&lt;&gt;"",原始資料!AR422=原始資料!AQ422),N(AO422)+1,1))</f>
        <v/>
      </c>
      <c r="AQ422" s="6">
        <f>IF(OR(原始資料!$A422="",42&gt;設定!$B$3,原始資料!AS422=""),"",IF(AND(原始資料!AR422&lt;&gt;"",原始資料!AS422=原始資料!AR422),N(AP422)+1,1))</f>
        <v/>
      </c>
      <c r="AR422" s="6">
        <f>IF(OR(原始資料!$A422="",43&gt;設定!$B$3,原始資料!AT422=""),"",IF(AND(原始資料!AS422&lt;&gt;"",原始資料!AT422=原始資料!AS422),N(AQ422)+1,1))</f>
        <v/>
      </c>
      <c r="AS422" s="6">
        <f>IF(OR(原始資料!$A422="",44&gt;設定!$B$3,原始資料!AU422=""),"",IF(AND(原始資料!AT422&lt;&gt;"",原始資料!AU422=原始資料!AT422),N(AR422)+1,1))</f>
        <v/>
      </c>
      <c r="AT422" s="6">
        <f>IF(OR(原始資料!$A422="",45&gt;設定!$B$3,原始資料!AV422=""),"",IF(AND(原始資料!AU422&lt;&gt;"",原始資料!AV422=原始資料!AU422),N(AS422)+1,1))</f>
        <v/>
      </c>
      <c r="AU422" s="6">
        <f>IF(OR(原始資料!$A422="",46&gt;設定!$B$3,原始資料!AW422=""),"",IF(AND(原始資料!AV422&lt;&gt;"",原始資料!AW422=原始資料!AV422),N(AT422)+1,1))</f>
        <v/>
      </c>
      <c r="AV422" s="6">
        <f>IF(OR(原始資料!$A422="",47&gt;設定!$B$3,原始資料!AX422=""),"",IF(AND(原始資料!AW422&lt;&gt;"",原始資料!AX422=原始資料!AW422),N(AU422)+1,1))</f>
        <v/>
      </c>
      <c r="AW422" s="6">
        <f>IF(OR(原始資料!$A422="",48&gt;設定!$B$3,原始資料!AY422=""),"",IF(AND(原始資料!AX422&lt;&gt;"",原始資料!AY422=原始資料!AX422),N(AV422)+1,1))</f>
        <v/>
      </c>
      <c r="AX422" s="6">
        <f>IF(OR(原始資料!$A422="",49&gt;設定!$B$3,原始資料!AZ422=""),"",IF(AND(原始資料!AY422&lt;&gt;"",原始資料!AZ422=原始資料!AY422),N(AW422)+1,1))</f>
        <v/>
      </c>
      <c r="AY422" s="6">
        <f>IF(OR(原始資料!$A422="",50&gt;設定!$B$3,原始資料!BA422=""),"",IF(AND(原始資料!AZ422&lt;&gt;"",原始資料!BA422=原始資料!AZ422),N(AX422)+1,1))</f>
        <v/>
      </c>
      <c r="AZ422" s="6">
        <f>IF(OR(原始資料!$A422="",51&gt;設定!$B$3,原始資料!BB422=""),"",IF(AND(原始資料!BA422&lt;&gt;"",原始資料!BB422=原始資料!BA422),N(AY422)+1,1))</f>
        <v/>
      </c>
      <c r="BA422" s="6">
        <f>IF(OR(原始資料!$A422="",52&gt;設定!$B$3,原始資料!BC422=""),"",IF(AND(原始資料!BB422&lt;&gt;"",原始資料!BC422=原始資料!BB422),N(AZ422)+1,1))</f>
        <v/>
      </c>
      <c r="BB422" s="6">
        <f>IF(OR(原始資料!$A422="",53&gt;設定!$B$3,原始資料!BD422=""),"",IF(AND(原始資料!BC422&lt;&gt;"",原始資料!BD422=原始資料!BC422),N(BA422)+1,1))</f>
        <v/>
      </c>
      <c r="BC422" s="6">
        <f>IF(OR(原始資料!$A422="",54&gt;設定!$B$3,原始資料!BE422=""),"",IF(AND(原始資料!BD422&lt;&gt;"",原始資料!BE422=原始資料!BD422),N(BB422)+1,1))</f>
        <v/>
      </c>
      <c r="BD422" s="6">
        <f>IF(OR(原始資料!$A422="",55&gt;設定!$B$3,原始資料!BF422=""),"",IF(AND(原始資料!BE422&lt;&gt;"",原始資料!BF422=原始資料!BE422),N(BC422)+1,1))</f>
        <v/>
      </c>
      <c r="BE422" s="6">
        <f>IF(OR(原始資料!$A422="",56&gt;設定!$B$3,原始資料!BG422=""),"",IF(AND(原始資料!BF422&lt;&gt;"",原始資料!BG422=原始資料!BF422),N(BD422)+1,1))</f>
        <v/>
      </c>
      <c r="BF422" s="6">
        <f>IF(OR(原始資料!$A422="",57&gt;設定!$B$3,原始資料!BH422=""),"",IF(AND(原始資料!BG422&lt;&gt;"",原始資料!BH422=原始資料!BG422),N(BE422)+1,1))</f>
        <v/>
      </c>
      <c r="BG422" s="6">
        <f>IF(OR(原始資料!$A422="",58&gt;設定!$B$3,原始資料!BI422=""),"",IF(AND(原始資料!BH422&lt;&gt;"",原始資料!BI422=原始資料!BH422),N(BF422)+1,1))</f>
        <v/>
      </c>
      <c r="BH422" s="6">
        <f>IF(OR(原始資料!$A422="",59&gt;設定!$B$3,原始資料!BJ422=""),"",IF(AND(原始資料!BI422&lt;&gt;"",原始資料!BJ422=原始資料!BI422),N(BG422)+1,1))</f>
        <v/>
      </c>
      <c r="BI422" s="6">
        <f>IF(OR(原始資料!$A422="",60&gt;設定!$B$3,原始資料!BK422=""),"",IF(AND(原始資料!BJ422&lt;&gt;"",原始資料!BK422=原始資料!BJ422),N(BH422)+1,1))</f>
        <v/>
      </c>
    </row>
    <row r="423">
      <c r="A423" s="6">
        <f>IF(原始資料!$A423="","",原始資料!$A423)</f>
        <v/>
      </c>
      <c r="B423" s="6">
        <f>IF(OR(原始資料!$A423="",1&gt;設定!$B$3,原始資料!D423=""),"",1)</f>
        <v/>
      </c>
      <c r="C423" s="6">
        <f>IF(OR(原始資料!$A423="",2&gt;設定!$B$3,原始資料!E423=""),"",IF(AND(原始資料!D423&lt;&gt;"",原始資料!E423=原始資料!D423),N(B423)+1,1))</f>
        <v/>
      </c>
      <c r="D423" s="6">
        <f>IF(OR(原始資料!$A423="",3&gt;設定!$B$3,原始資料!F423=""),"",IF(AND(原始資料!E423&lt;&gt;"",原始資料!F423=原始資料!E423),N(C423)+1,1))</f>
        <v/>
      </c>
      <c r="E423" s="6">
        <f>IF(OR(原始資料!$A423="",4&gt;設定!$B$3,原始資料!G423=""),"",IF(AND(原始資料!F423&lt;&gt;"",原始資料!G423=原始資料!F423),N(D423)+1,1))</f>
        <v/>
      </c>
      <c r="F423" s="6">
        <f>IF(OR(原始資料!$A423="",5&gt;設定!$B$3,原始資料!H423=""),"",IF(AND(原始資料!G423&lt;&gt;"",原始資料!H423=原始資料!G423),N(E423)+1,1))</f>
        <v/>
      </c>
      <c r="G423" s="6">
        <f>IF(OR(原始資料!$A423="",6&gt;設定!$B$3,原始資料!I423=""),"",IF(AND(原始資料!H423&lt;&gt;"",原始資料!I423=原始資料!H423),N(F423)+1,1))</f>
        <v/>
      </c>
      <c r="H423" s="6">
        <f>IF(OR(原始資料!$A423="",7&gt;設定!$B$3,原始資料!J423=""),"",IF(AND(原始資料!I423&lt;&gt;"",原始資料!J423=原始資料!I423),N(G423)+1,1))</f>
        <v/>
      </c>
      <c r="I423" s="6">
        <f>IF(OR(原始資料!$A423="",8&gt;設定!$B$3,原始資料!K423=""),"",IF(AND(原始資料!J423&lt;&gt;"",原始資料!K423=原始資料!J423),N(H423)+1,1))</f>
        <v/>
      </c>
      <c r="J423" s="6">
        <f>IF(OR(原始資料!$A423="",9&gt;設定!$B$3,原始資料!L423=""),"",IF(AND(原始資料!K423&lt;&gt;"",原始資料!L423=原始資料!K423),N(I423)+1,1))</f>
        <v/>
      </c>
      <c r="K423" s="6">
        <f>IF(OR(原始資料!$A423="",10&gt;設定!$B$3,原始資料!M423=""),"",IF(AND(原始資料!L423&lt;&gt;"",原始資料!M423=原始資料!L423),N(J423)+1,1))</f>
        <v/>
      </c>
      <c r="L423" s="6">
        <f>IF(OR(原始資料!$A423="",11&gt;設定!$B$3,原始資料!N423=""),"",IF(AND(原始資料!M423&lt;&gt;"",原始資料!N423=原始資料!M423),N(K423)+1,1))</f>
        <v/>
      </c>
      <c r="M423" s="6">
        <f>IF(OR(原始資料!$A423="",12&gt;設定!$B$3,原始資料!O423=""),"",IF(AND(原始資料!N423&lt;&gt;"",原始資料!O423=原始資料!N423),N(L423)+1,1))</f>
        <v/>
      </c>
      <c r="N423" s="6">
        <f>IF(OR(原始資料!$A423="",13&gt;設定!$B$3,原始資料!P423=""),"",IF(AND(原始資料!O423&lt;&gt;"",原始資料!P423=原始資料!O423),N(M423)+1,1))</f>
        <v/>
      </c>
      <c r="O423" s="6">
        <f>IF(OR(原始資料!$A423="",14&gt;設定!$B$3,原始資料!Q423=""),"",IF(AND(原始資料!P423&lt;&gt;"",原始資料!Q423=原始資料!P423),N(N423)+1,1))</f>
        <v/>
      </c>
      <c r="P423" s="6">
        <f>IF(OR(原始資料!$A423="",15&gt;設定!$B$3,原始資料!R423=""),"",IF(AND(原始資料!Q423&lt;&gt;"",原始資料!R423=原始資料!Q423),N(O423)+1,1))</f>
        <v/>
      </c>
      <c r="Q423" s="6">
        <f>IF(OR(原始資料!$A423="",16&gt;設定!$B$3,原始資料!S423=""),"",IF(AND(原始資料!R423&lt;&gt;"",原始資料!S423=原始資料!R423),N(P423)+1,1))</f>
        <v/>
      </c>
      <c r="R423" s="6">
        <f>IF(OR(原始資料!$A423="",17&gt;設定!$B$3,原始資料!T423=""),"",IF(AND(原始資料!S423&lt;&gt;"",原始資料!T423=原始資料!S423),N(Q423)+1,1))</f>
        <v/>
      </c>
      <c r="S423" s="6">
        <f>IF(OR(原始資料!$A423="",18&gt;設定!$B$3,原始資料!U423=""),"",IF(AND(原始資料!T423&lt;&gt;"",原始資料!U423=原始資料!T423),N(R423)+1,1))</f>
        <v/>
      </c>
      <c r="T423" s="6">
        <f>IF(OR(原始資料!$A423="",19&gt;設定!$B$3,原始資料!V423=""),"",IF(AND(原始資料!U423&lt;&gt;"",原始資料!V423=原始資料!U423),N(S423)+1,1))</f>
        <v/>
      </c>
      <c r="U423" s="6">
        <f>IF(OR(原始資料!$A423="",20&gt;設定!$B$3,原始資料!W423=""),"",IF(AND(原始資料!V423&lt;&gt;"",原始資料!W423=原始資料!V423),N(T423)+1,1))</f>
        <v/>
      </c>
      <c r="V423" s="6">
        <f>IF(OR(原始資料!$A423="",21&gt;設定!$B$3,原始資料!X423=""),"",IF(AND(原始資料!W423&lt;&gt;"",原始資料!X423=原始資料!W423),N(U423)+1,1))</f>
        <v/>
      </c>
      <c r="W423" s="6">
        <f>IF(OR(原始資料!$A423="",22&gt;設定!$B$3,原始資料!Y423=""),"",IF(AND(原始資料!X423&lt;&gt;"",原始資料!Y423=原始資料!X423),N(V423)+1,1))</f>
        <v/>
      </c>
      <c r="X423" s="6">
        <f>IF(OR(原始資料!$A423="",23&gt;設定!$B$3,原始資料!Z423=""),"",IF(AND(原始資料!Y423&lt;&gt;"",原始資料!Z423=原始資料!Y423),N(W423)+1,1))</f>
        <v/>
      </c>
      <c r="Y423" s="6">
        <f>IF(OR(原始資料!$A423="",24&gt;設定!$B$3,原始資料!AA423=""),"",IF(AND(原始資料!Z423&lt;&gt;"",原始資料!AA423=原始資料!Z423),N(X423)+1,1))</f>
        <v/>
      </c>
      <c r="Z423" s="6">
        <f>IF(OR(原始資料!$A423="",25&gt;設定!$B$3,原始資料!AB423=""),"",IF(AND(原始資料!AA423&lt;&gt;"",原始資料!AB423=原始資料!AA423),N(Y423)+1,1))</f>
        <v/>
      </c>
      <c r="AA423" s="6">
        <f>IF(OR(原始資料!$A423="",26&gt;設定!$B$3,原始資料!AC423=""),"",IF(AND(原始資料!AB423&lt;&gt;"",原始資料!AC423=原始資料!AB423),N(Z423)+1,1))</f>
        <v/>
      </c>
      <c r="AB423" s="6">
        <f>IF(OR(原始資料!$A423="",27&gt;設定!$B$3,原始資料!AD423=""),"",IF(AND(原始資料!AC423&lt;&gt;"",原始資料!AD423=原始資料!AC423),N(AA423)+1,1))</f>
        <v/>
      </c>
      <c r="AC423" s="6">
        <f>IF(OR(原始資料!$A423="",28&gt;設定!$B$3,原始資料!AE423=""),"",IF(AND(原始資料!AD423&lt;&gt;"",原始資料!AE423=原始資料!AD423),N(AB423)+1,1))</f>
        <v/>
      </c>
      <c r="AD423" s="6">
        <f>IF(OR(原始資料!$A423="",29&gt;設定!$B$3,原始資料!AF423=""),"",IF(AND(原始資料!AE423&lt;&gt;"",原始資料!AF423=原始資料!AE423),N(AC423)+1,1))</f>
        <v/>
      </c>
      <c r="AE423" s="6">
        <f>IF(OR(原始資料!$A423="",30&gt;設定!$B$3,原始資料!AG423=""),"",IF(AND(原始資料!AF423&lt;&gt;"",原始資料!AG423=原始資料!AF423),N(AD423)+1,1))</f>
        <v/>
      </c>
      <c r="AF423" s="6">
        <f>IF(OR(原始資料!$A423="",31&gt;設定!$B$3,原始資料!AH423=""),"",IF(AND(原始資料!AG423&lt;&gt;"",原始資料!AH423=原始資料!AG423),N(AE423)+1,1))</f>
        <v/>
      </c>
      <c r="AG423" s="6">
        <f>IF(OR(原始資料!$A423="",32&gt;設定!$B$3,原始資料!AI423=""),"",IF(AND(原始資料!AH423&lt;&gt;"",原始資料!AI423=原始資料!AH423),N(AF423)+1,1))</f>
        <v/>
      </c>
      <c r="AH423" s="6">
        <f>IF(OR(原始資料!$A423="",33&gt;設定!$B$3,原始資料!AJ423=""),"",IF(AND(原始資料!AI423&lt;&gt;"",原始資料!AJ423=原始資料!AI423),N(AG423)+1,1))</f>
        <v/>
      </c>
      <c r="AI423" s="6">
        <f>IF(OR(原始資料!$A423="",34&gt;設定!$B$3,原始資料!AK423=""),"",IF(AND(原始資料!AJ423&lt;&gt;"",原始資料!AK423=原始資料!AJ423),N(AH423)+1,1))</f>
        <v/>
      </c>
      <c r="AJ423" s="6">
        <f>IF(OR(原始資料!$A423="",35&gt;設定!$B$3,原始資料!AL423=""),"",IF(AND(原始資料!AK423&lt;&gt;"",原始資料!AL423=原始資料!AK423),N(AI423)+1,1))</f>
        <v/>
      </c>
      <c r="AK423" s="6">
        <f>IF(OR(原始資料!$A423="",36&gt;設定!$B$3,原始資料!AM423=""),"",IF(AND(原始資料!AL423&lt;&gt;"",原始資料!AM423=原始資料!AL423),N(AJ423)+1,1))</f>
        <v/>
      </c>
      <c r="AL423" s="6">
        <f>IF(OR(原始資料!$A423="",37&gt;設定!$B$3,原始資料!AN423=""),"",IF(AND(原始資料!AM423&lt;&gt;"",原始資料!AN423=原始資料!AM423),N(AK423)+1,1))</f>
        <v/>
      </c>
      <c r="AM423" s="6">
        <f>IF(OR(原始資料!$A423="",38&gt;設定!$B$3,原始資料!AO423=""),"",IF(AND(原始資料!AN423&lt;&gt;"",原始資料!AO423=原始資料!AN423),N(AL423)+1,1))</f>
        <v/>
      </c>
      <c r="AN423" s="6">
        <f>IF(OR(原始資料!$A423="",39&gt;設定!$B$3,原始資料!AP423=""),"",IF(AND(原始資料!AO423&lt;&gt;"",原始資料!AP423=原始資料!AO423),N(AM423)+1,1))</f>
        <v/>
      </c>
      <c r="AO423" s="6">
        <f>IF(OR(原始資料!$A423="",40&gt;設定!$B$3,原始資料!AQ423=""),"",IF(AND(原始資料!AP423&lt;&gt;"",原始資料!AQ423=原始資料!AP423),N(AN423)+1,1))</f>
        <v/>
      </c>
      <c r="AP423" s="6">
        <f>IF(OR(原始資料!$A423="",41&gt;設定!$B$3,原始資料!AR423=""),"",IF(AND(原始資料!AQ423&lt;&gt;"",原始資料!AR423=原始資料!AQ423),N(AO423)+1,1))</f>
        <v/>
      </c>
      <c r="AQ423" s="6">
        <f>IF(OR(原始資料!$A423="",42&gt;設定!$B$3,原始資料!AS423=""),"",IF(AND(原始資料!AR423&lt;&gt;"",原始資料!AS423=原始資料!AR423),N(AP423)+1,1))</f>
        <v/>
      </c>
      <c r="AR423" s="6">
        <f>IF(OR(原始資料!$A423="",43&gt;設定!$B$3,原始資料!AT423=""),"",IF(AND(原始資料!AS423&lt;&gt;"",原始資料!AT423=原始資料!AS423),N(AQ423)+1,1))</f>
        <v/>
      </c>
      <c r="AS423" s="6">
        <f>IF(OR(原始資料!$A423="",44&gt;設定!$B$3,原始資料!AU423=""),"",IF(AND(原始資料!AT423&lt;&gt;"",原始資料!AU423=原始資料!AT423),N(AR423)+1,1))</f>
        <v/>
      </c>
      <c r="AT423" s="6">
        <f>IF(OR(原始資料!$A423="",45&gt;設定!$B$3,原始資料!AV423=""),"",IF(AND(原始資料!AU423&lt;&gt;"",原始資料!AV423=原始資料!AU423),N(AS423)+1,1))</f>
        <v/>
      </c>
      <c r="AU423" s="6">
        <f>IF(OR(原始資料!$A423="",46&gt;設定!$B$3,原始資料!AW423=""),"",IF(AND(原始資料!AV423&lt;&gt;"",原始資料!AW423=原始資料!AV423),N(AT423)+1,1))</f>
        <v/>
      </c>
      <c r="AV423" s="6">
        <f>IF(OR(原始資料!$A423="",47&gt;設定!$B$3,原始資料!AX423=""),"",IF(AND(原始資料!AW423&lt;&gt;"",原始資料!AX423=原始資料!AW423),N(AU423)+1,1))</f>
        <v/>
      </c>
      <c r="AW423" s="6">
        <f>IF(OR(原始資料!$A423="",48&gt;設定!$B$3,原始資料!AY423=""),"",IF(AND(原始資料!AX423&lt;&gt;"",原始資料!AY423=原始資料!AX423),N(AV423)+1,1))</f>
        <v/>
      </c>
      <c r="AX423" s="6">
        <f>IF(OR(原始資料!$A423="",49&gt;設定!$B$3,原始資料!AZ423=""),"",IF(AND(原始資料!AY423&lt;&gt;"",原始資料!AZ423=原始資料!AY423),N(AW423)+1,1))</f>
        <v/>
      </c>
      <c r="AY423" s="6">
        <f>IF(OR(原始資料!$A423="",50&gt;設定!$B$3,原始資料!BA423=""),"",IF(AND(原始資料!AZ423&lt;&gt;"",原始資料!BA423=原始資料!AZ423),N(AX423)+1,1))</f>
        <v/>
      </c>
      <c r="AZ423" s="6">
        <f>IF(OR(原始資料!$A423="",51&gt;設定!$B$3,原始資料!BB423=""),"",IF(AND(原始資料!BA423&lt;&gt;"",原始資料!BB423=原始資料!BA423),N(AY423)+1,1))</f>
        <v/>
      </c>
      <c r="BA423" s="6">
        <f>IF(OR(原始資料!$A423="",52&gt;設定!$B$3,原始資料!BC423=""),"",IF(AND(原始資料!BB423&lt;&gt;"",原始資料!BC423=原始資料!BB423),N(AZ423)+1,1))</f>
        <v/>
      </c>
      <c r="BB423" s="6">
        <f>IF(OR(原始資料!$A423="",53&gt;設定!$B$3,原始資料!BD423=""),"",IF(AND(原始資料!BC423&lt;&gt;"",原始資料!BD423=原始資料!BC423),N(BA423)+1,1))</f>
        <v/>
      </c>
      <c r="BC423" s="6">
        <f>IF(OR(原始資料!$A423="",54&gt;設定!$B$3,原始資料!BE423=""),"",IF(AND(原始資料!BD423&lt;&gt;"",原始資料!BE423=原始資料!BD423),N(BB423)+1,1))</f>
        <v/>
      </c>
      <c r="BD423" s="6">
        <f>IF(OR(原始資料!$A423="",55&gt;設定!$B$3,原始資料!BF423=""),"",IF(AND(原始資料!BE423&lt;&gt;"",原始資料!BF423=原始資料!BE423),N(BC423)+1,1))</f>
        <v/>
      </c>
      <c r="BE423" s="6">
        <f>IF(OR(原始資料!$A423="",56&gt;設定!$B$3,原始資料!BG423=""),"",IF(AND(原始資料!BF423&lt;&gt;"",原始資料!BG423=原始資料!BF423),N(BD423)+1,1))</f>
        <v/>
      </c>
      <c r="BF423" s="6">
        <f>IF(OR(原始資料!$A423="",57&gt;設定!$B$3,原始資料!BH423=""),"",IF(AND(原始資料!BG423&lt;&gt;"",原始資料!BH423=原始資料!BG423),N(BE423)+1,1))</f>
        <v/>
      </c>
      <c r="BG423" s="6">
        <f>IF(OR(原始資料!$A423="",58&gt;設定!$B$3,原始資料!BI423=""),"",IF(AND(原始資料!BH423&lt;&gt;"",原始資料!BI423=原始資料!BH423),N(BF423)+1,1))</f>
        <v/>
      </c>
      <c r="BH423" s="6">
        <f>IF(OR(原始資料!$A423="",59&gt;設定!$B$3,原始資料!BJ423=""),"",IF(AND(原始資料!BI423&lt;&gt;"",原始資料!BJ423=原始資料!BI423),N(BG423)+1,1))</f>
        <v/>
      </c>
      <c r="BI423" s="6">
        <f>IF(OR(原始資料!$A423="",60&gt;設定!$B$3,原始資料!BK423=""),"",IF(AND(原始資料!BJ423&lt;&gt;"",原始資料!BK423=原始資料!BJ423),N(BH423)+1,1))</f>
        <v/>
      </c>
    </row>
    <row r="424">
      <c r="A424" s="6">
        <f>IF(原始資料!$A424="","",原始資料!$A424)</f>
        <v/>
      </c>
      <c r="B424" s="6">
        <f>IF(OR(原始資料!$A424="",1&gt;設定!$B$3,原始資料!D424=""),"",1)</f>
        <v/>
      </c>
      <c r="C424" s="6">
        <f>IF(OR(原始資料!$A424="",2&gt;設定!$B$3,原始資料!E424=""),"",IF(AND(原始資料!D424&lt;&gt;"",原始資料!E424=原始資料!D424),N(B424)+1,1))</f>
        <v/>
      </c>
      <c r="D424" s="6">
        <f>IF(OR(原始資料!$A424="",3&gt;設定!$B$3,原始資料!F424=""),"",IF(AND(原始資料!E424&lt;&gt;"",原始資料!F424=原始資料!E424),N(C424)+1,1))</f>
        <v/>
      </c>
      <c r="E424" s="6">
        <f>IF(OR(原始資料!$A424="",4&gt;設定!$B$3,原始資料!G424=""),"",IF(AND(原始資料!F424&lt;&gt;"",原始資料!G424=原始資料!F424),N(D424)+1,1))</f>
        <v/>
      </c>
      <c r="F424" s="6">
        <f>IF(OR(原始資料!$A424="",5&gt;設定!$B$3,原始資料!H424=""),"",IF(AND(原始資料!G424&lt;&gt;"",原始資料!H424=原始資料!G424),N(E424)+1,1))</f>
        <v/>
      </c>
      <c r="G424" s="6">
        <f>IF(OR(原始資料!$A424="",6&gt;設定!$B$3,原始資料!I424=""),"",IF(AND(原始資料!H424&lt;&gt;"",原始資料!I424=原始資料!H424),N(F424)+1,1))</f>
        <v/>
      </c>
      <c r="H424" s="6">
        <f>IF(OR(原始資料!$A424="",7&gt;設定!$B$3,原始資料!J424=""),"",IF(AND(原始資料!I424&lt;&gt;"",原始資料!J424=原始資料!I424),N(G424)+1,1))</f>
        <v/>
      </c>
      <c r="I424" s="6">
        <f>IF(OR(原始資料!$A424="",8&gt;設定!$B$3,原始資料!K424=""),"",IF(AND(原始資料!J424&lt;&gt;"",原始資料!K424=原始資料!J424),N(H424)+1,1))</f>
        <v/>
      </c>
      <c r="J424" s="6">
        <f>IF(OR(原始資料!$A424="",9&gt;設定!$B$3,原始資料!L424=""),"",IF(AND(原始資料!K424&lt;&gt;"",原始資料!L424=原始資料!K424),N(I424)+1,1))</f>
        <v/>
      </c>
      <c r="K424" s="6">
        <f>IF(OR(原始資料!$A424="",10&gt;設定!$B$3,原始資料!M424=""),"",IF(AND(原始資料!L424&lt;&gt;"",原始資料!M424=原始資料!L424),N(J424)+1,1))</f>
        <v/>
      </c>
      <c r="L424" s="6">
        <f>IF(OR(原始資料!$A424="",11&gt;設定!$B$3,原始資料!N424=""),"",IF(AND(原始資料!M424&lt;&gt;"",原始資料!N424=原始資料!M424),N(K424)+1,1))</f>
        <v/>
      </c>
      <c r="M424" s="6">
        <f>IF(OR(原始資料!$A424="",12&gt;設定!$B$3,原始資料!O424=""),"",IF(AND(原始資料!N424&lt;&gt;"",原始資料!O424=原始資料!N424),N(L424)+1,1))</f>
        <v/>
      </c>
      <c r="N424" s="6">
        <f>IF(OR(原始資料!$A424="",13&gt;設定!$B$3,原始資料!P424=""),"",IF(AND(原始資料!O424&lt;&gt;"",原始資料!P424=原始資料!O424),N(M424)+1,1))</f>
        <v/>
      </c>
      <c r="O424" s="6">
        <f>IF(OR(原始資料!$A424="",14&gt;設定!$B$3,原始資料!Q424=""),"",IF(AND(原始資料!P424&lt;&gt;"",原始資料!Q424=原始資料!P424),N(N424)+1,1))</f>
        <v/>
      </c>
      <c r="P424" s="6">
        <f>IF(OR(原始資料!$A424="",15&gt;設定!$B$3,原始資料!R424=""),"",IF(AND(原始資料!Q424&lt;&gt;"",原始資料!R424=原始資料!Q424),N(O424)+1,1))</f>
        <v/>
      </c>
      <c r="Q424" s="6">
        <f>IF(OR(原始資料!$A424="",16&gt;設定!$B$3,原始資料!S424=""),"",IF(AND(原始資料!R424&lt;&gt;"",原始資料!S424=原始資料!R424),N(P424)+1,1))</f>
        <v/>
      </c>
      <c r="R424" s="6">
        <f>IF(OR(原始資料!$A424="",17&gt;設定!$B$3,原始資料!T424=""),"",IF(AND(原始資料!S424&lt;&gt;"",原始資料!T424=原始資料!S424),N(Q424)+1,1))</f>
        <v/>
      </c>
      <c r="S424" s="6">
        <f>IF(OR(原始資料!$A424="",18&gt;設定!$B$3,原始資料!U424=""),"",IF(AND(原始資料!T424&lt;&gt;"",原始資料!U424=原始資料!T424),N(R424)+1,1))</f>
        <v/>
      </c>
      <c r="T424" s="6">
        <f>IF(OR(原始資料!$A424="",19&gt;設定!$B$3,原始資料!V424=""),"",IF(AND(原始資料!U424&lt;&gt;"",原始資料!V424=原始資料!U424),N(S424)+1,1))</f>
        <v/>
      </c>
      <c r="U424" s="6">
        <f>IF(OR(原始資料!$A424="",20&gt;設定!$B$3,原始資料!W424=""),"",IF(AND(原始資料!V424&lt;&gt;"",原始資料!W424=原始資料!V424),N(T424)+1,1))</f>
        <v/>
      </c>
      <c r="V424" s="6">
        <f>IF(OR(原始資料!$A424="",21&gt;設定!$B$3,原始資料!X424=""),"",IF(AND(原始資料!W424&lt;&gt;"",原始資料!X424=原始資料!W424),N(U424)+1,1))</f>
        <v/>
      </c>
      <c r="W424" s="6">
        <f>IF(OR(原始資料!$A424="",22&gt;設定!$B$3,原始資料!Y424=""),"",IF(AND(原始資料!X424&lt;&gt;"",原始資料!Y424=原始資料!X424),N(V424)+1,1))</f>
        <v/>
      </c>
      <c r="X424" s="6">
        <f>IF(OR(原始資料!$A424="",23&gt;設定!$B$3,原始資料!Z424=""),"",IF(AND(原始資料!Y424&lt;&gt;"",原始資料!Z424=原始資料!Y424),N(W424)+1,1))</f>
        <v/>
      </c>
      <c r="Y424" s="6">
        <f>IF(OR(原始資料!$A424="",24&gt;設定!$B$3,原始資料!AA424=""),"",IF(AND(原始資料!Z424&lt;&gt;"",原始資料!AA424=原始資料!Z424),N(X424)+1,1))</f>
        <v/>
      </c>
      <c r="Z424" s="6">
        <f>IF(OR(原始資料!$A424="",25&gt;設定!$B$3,原始資料!AB424=""),"",IF(AND(原始資料!AA424&lt;&gt;"",原始資料!AB424=原始資料!AA424),N(Y424)+1,1))</f>
        <v/>
      </c>
      <c r="AA424" s="6">
        <f>IF(OR(原始資料!$A424="",26&gt;設定!$B$3,原始資料!AC424=""),"",IF(AND(原始資料!AB424&lt;&gt;"",原始資料!AC424=原始資料!AB424),N(Z424)+1,1))</f>
        <v/>
      </c>
      <c r="AB424" s="6">
        <f>IF(OR(原始資料!$A424="",27&gt;設定!$B$3,原始資料!AD424=""),"",IF(AND(原始資料!AC424&lt;&gt;"",原始資料!AD424=原始資料!AC424),N(AA424)+1,1))</f>
        <v/>
      </c>
      <c r="AC424" s="6">
        <f>IF(OR(原始資料!$A424="",28&gt;設定!$B$3,原始資料!AE424=""),"",IF(AND(原始資料!AD424&lt;&gt;"",原始資料!AE424=原始資料!AD424),N(AB424)+1,1))</f>
        <v/>
      </c>
      <c r="AD424" s="6">
        <f>IF(OR(原始資料!$A424="",29&gt;設定!$B$3,原始資料!AF424=""),"",IF(AND(原始資料!AE424&lt;&gt;"",原始資料!AF424=原始資料!AE424),N(AC424)+1,1))</f>
        <v/>
      </c>
      <c r="AE424" s="6">
        <f>IF(OR(原始資料!$A424="",30&gt;設定!$B$3,原始資料!AG424=""),"",IF(AND(原始資料!AF424&lt;&gt;"",原始資料!AG424=原始資料!AF424),N(AD424)+1,1))</f>
        <v/>
      </c>
      <c r="AF424" s="6">
        <f>IF(OR(原始資料!$A424="",31&gt;設定!$B$3,原始資料!AH424=""),"",IF(AND(原始資料!AG424&lt;&gt;"",原始資料!AH424=原始資料!AG424),N(AE424)+1,1))</f>
        <v/>
      </c>
      <c r="AG424" s="6">
        <f>IF(OR(原始資料!$A424="",32&gt;設定!$B$3,原始資料!AI424=""),"",IF(AND(原始資料!AH424&lt;&gt;"",原始資料!AI424=原始資料!AH424),N(AF424)+1,1))</f>
        <v/>
      </c>
      <c r="AH424" s="6">
        <f>IF(OR(原始資料!$A424="",33&gt;設定!$B$3,原始資料!AJ424=""),"",IF(AND(原始資料!AI424&lt;&gt;"",原始資料!AJ424=原始資料!AI424),N(AG424)+1,1))</f>
        <v/>
      </c>
      <c r="AI424" s="6">
        <f>IF(OR(原始資料!$A424="",34&gt;設定!$B$3,原始資料!AK424=""),"",IF(AND(原始資料!AJ424&lt;&gt;"",原始資料!AK424=原始資料!AJ424),N(AH424)+1,1))</f>
        <v/>
      </c>
      <c r="AJ424" s="6">
        <f>IF(OR(原始資料!$A424="",35&gt;設定!$B$3,原始資料!AL424=""),"",IF(AND(原始資料!AK424&lt;&gt;"",原始資料!AL424=原始資料!AK424),N(AI424)+1,1))</f>
        <v/>
      </c>
      <c r="AK424" s="6">
        <f>IF(OR(原始資料!$A424="",36&gt;設定!$B$3,原始資料!AM424=""),"",IF(AND(原始資料!AL424&lt;&gt;"",原始資料!AM424=原始資料!AL424),N(AJ424)+1,1))</f>
        <v/>
      </c>
      <c r="AL424" s="6">
        <f>IF(OR(原始資料!$A424="",37&gt;設定!$B$3,原始資料!AN424=""),"",IF(AND(原始資料!AM424&lt;&gt;"",原始資料!AN424=原始資料!AM424),N(AK424)+1,1))</f>
        <v/>
      </c>
      <c r="AM424" s="6">
        <f>IF(OR(原始資料!$A424="",38&gt;設定!$B$3,原始資料!AO424=""),"",IF(AND(原始資料!AN424&lt;&gt;"",原始資料!AO424=原始資料!AN424),N(AL424)+1,1))</f>
        <v/>
      </c>
      <c r="AN424" s="6">
        <f>IF(OR(原始資料!$A424="",39&gt;設定!$B$3,原始資料!AP424=""),"",IF(AND(原始資料!AO424&lt;&gt;"",原始資料!AP424=原始資料!AO424),N(AM424)+1,1))</f>
        <v/>
      </c>
      <c r="AO424" s="6">
        <f>IF(OR(原始資料!$A424="",40&gt;設定!$B$3,原始資料!AQ424=""),"",IF(AND(原始資料!AP424&lt;&gt;"",原始資料!AQ424=原始資料!AP424),N(AN424)+1,1))</f>
        <v/>
      </c>
      <c r="AP424" s="6">
        <f>IF(OR(原始資料!$A424="",41&gt;設定!$B$3,原始資料!AR424=""),"",IF(AND(原始資料!AQ424&lt;&gt;"",原始資料!AR424=原始資料!AQ424),N(AO424)+1,1))</f>
        <v/>
      </c>
      <c r="AQ424" s="6">
        <f>IF(OR(原始資料!$A424="",42&gt;設定!$B$3,原始資料!AS424=""),"",IF(AND(原始資料!AR424&lt;&gt;"",原始資料!AS424=原始資料!AR424),N(AP424)+1,1))</f>
        <v/>
      </c>
      <c r="AR424" s="6">
        <f>IF(OR(原始資料!$A424="",43&gt;設定!$B$3,原始資料!AT424=""),"",IF(AND(原始資料!AS424&lt;&gt;"",原始資料!AT424=原始資料!AS424),N(AQ424)+1,1))</f>
        <v/>
      </c>
      <c r="AS424" s="6">
        <f>IF(OR(原始資料!$A424="",44&gt;設定!$B$3,原始資料!AU424=""),"",IF(AND(原始資料!AT424&lt;&gt;"",原始資料!AU424=原始資料!AT424),N(AR424)+1,1))</f>
        <v/>
      </c>
      <c r="AT424" s="6">
        <f>IF(OR(原始資料!$A424="",45&gt;設定!$B$3,原始資料!AV424=""),"",IF(AND(原始資料!AU424&lt;&gt;"",原始資料!AV424=原始資料!AU424),N(AS424)+1,1))</f>
        <v/>
      </c>
      <c r="AU424" s="6">
        <f>IF(OR(原始資料!$A424="",46&gt;設定!$B$3,原始資料!AW424=""),"",IF(AND(原始資料!AV424&lt;&gt;"",原始資料!AW424=原始資料!AV424),N(AT424)+1,1))</f>
        <v/>
      </c>
      <c r="AV424" s="6">
        <f>IF(OR(原始資料!$A424="",47&gt;設定!$B$3,原始資料!AX424=""),"",IF(AND(原始資料!AW424&lt;&gt;"",原始資料!AX424=原始資料!AW424),N(AU424)+1,1))</f>
        <v/>
      </c>
      <c r="AW424" s="6">
        <f>IF(OR(原始資料!$A424="",48&gt;設定!$B$3,原始資料!AY424=""),"",IF(AND(原始資料!AX424&lt;&gt;"",原始資料!AY424=原始資料!AX424),N(AV424)+1,1))</f>
        <v/>
      </c>
      <c r="AX424" s="6">
        <f>IF(OR(原始資料!$A424="",49&gt;設定!$B$3,原始資料!AZ424=""),"",IF(AND(原始資料!AY424&lt;&gt;"",原始資料!AZ424=原始資料!AY424),N(AW424)+1,1))</f>
        <v/>
      </c>
      <c r="AY424" s="6">
        <f>IF(OR(原始資料!$A424="",50&gt;設定!$B$3,原始資料!BA424=""),"",IF(AND(原始資料!AZ424&lt;&gt;"",原始資料!BA424=原始資料!AZ424),N(AX424)+1,1))</f>
        <v/>
      </c>
      <c r="AZ424" s="6">
        <f>IF(OR(原始資料!$A424="",51&gt;設定!$B$3,原始資料!BB424=""),"",IF(AND(原始資料!BA424&lt;&gt;"",原始資料!BB424=原始資料!BA424),N(AY424)+1,1))</f>
        <v/>
      </c>
      <c r="BA424" s="6">
        <f>IF(OR(原始資料!$A424="",52&gt;設定!$B$3,原始資料!BC424=""),"",IF(AND(原始資料!BB424&lt;&gt;"",原始資料!BC424=原始資料!BB424),N(AZ424)+1,1))</f>
        <v/>
      </c>
      <c r="BB424" s="6">
        <f>IF(OR(原始資料!$A424="",53&gt;設定!$B$3,原始資料!BD424=""),"",IF(AND(原始資料!BC424&lt;&gt;"",原始資料!BD424=原始資料!BC424),N(BA424)+1,1))</f>
        <v/>
      </c>
      <c r="BC424" s="6">
        <f>IF(OR(原始資料!$A424="",54&gt;設定!$B$3,原始資料!BE424=""),"",IF(AND(原始資料!BD424&lt;&gt;"",原始資料!BE424=原始資料!BD424),N(BB424)+1,1))</f>
        <v/>
      </c>
      <c r="BD424" s="6">
        <f>IF(OR(原始資料!$A424="",55&gt;設定!$B$3,原始資料!BF424=""),"",IF(AND(原始資料!BE424&lt;&gt;"",原始資料!BF424=原始資料!BE424),N(BC424)+1,1))</f>
        <v/>
      </c>
      <c r="BE424" s="6">
        <f>IF(OR(原始資料!$A424="",56&gt;設定!$B$3,原始資料!BG424=""),"",IF(AND(原始資料!BF424&lt;&gt;"",原始資料!BG424=原始資料!BF424),N(BD424)+1,1))</f>
        <v/>
      </c>
      <c r="BF424" s="6">
        <f>IF(OR(原始資料!$A424="",57&gt;設定!$B$3,原始資料!BH424=""),"",IF(AND(原始資料!BG424&lt;&gt;"",原始資料!BH424=原始資料!BG424),N(BE424)+1,1))</f>
        <v/>
      </c>
      <c r="BG424" s="6">
        <f>IF(OR(原始資料!$A424="",58&gt;設定!$B$3,原始資料!BI424=""),"",IF(AND(原始資料!BH424&lt;&gt;"",原始資料!BI424=原始資料!BH424),N(BF424)+1,1))</f>
        <v/>
      </c>
      <c r="BH424" s="6">
        <f>IF(OR(原始資料!$A424="",59&gt;設定!$B$3,原始資料!BJ424=""),"",IF(AND(原始資料!BI424&lt;&gt;"",原始資料!BJ424=原始資料!BI424),N(BG424)+1,1))</f>
        <v/>
      </c>
      <c r="BI424" s="6">
        <f>IF(OR(原始資料!$A424="",60&gt;設定!$B$3,原始資料!BK424=""),"",IF(AND(原始資料!BJ424&lt;&gt;"",原始資料!BK424=原始資料!BJ424),N(BH424)+1,1))</f>
        <v/>
      </c>
    </row>
    <row r="425">
      <c r="A425" s="6">
        <f>IF(原始資料!$A425="","",原始資料!$A425)</f>
        <v/>
      </c>
      <c r="B425" s="6">
        <f>IF(OR(原始資料!$A425="",1&gt;設定!$B$3,原始資料!D425=""),"",1)</f>
        <v/>
      </c>
      <c r="C425" s="6">
        <f>IF(OR(原始資料!$A425="",2&gt;設定!$B$3,原始資料!E425=""),"",IF(AND(原始資料!D425&lt;&gt;"",原始資料!E425=原始資料!D425),N(B425)+1,1))</f>
        <v/>
      </c>
      <c r="D425" s="6">
        <f>IF(OR(原始資料!$A425="",3&gt;設定!$B$3,原始資料!F425=""),"",IF(AND(原始資料!E425&lt;&gt;"",原始資料!F425=原始資料!E425),N(C425)+1,1))</f>
        <v/>
      </c>
      <c r="E425" s="6">
        <f>IF(OR(原始資料!$A425="",4&gt;設定!$B$3,原始資料!G425=""),"",IF(AND(原始資料!F425&lt;&gt;"",原始資料!G425=原始資料!F425),N(D425)+1,1))</f>
        <v/>
      </c>
      <c r="F425" s="6">
        <f>IF(OR(原始資料!$A425="",5&gt;設定!$B$3,原始資料!H425=""),"",IF(AND(原始資料!G425&lt;&gt;"",原始資料!H425=原始資料!G425),N(E425)+1,1))</f>
        <v/>
      </c>
      <c r="G425" s="6">
        <f>IF(OR(原始資料!$A425="",6&gt;設定!$B$3,原始資料!I425=""),"",IF(AND(原始資料!H425&lt;&gt;"",原始資料!I425=原始資料!H425),N(F425)+1,1))</f>
        <v/>
      </c>
      <c r="H425" s="6">
        <f>IF(OR(原始資料!$A425="",7&gt;設定!$B$3,原始資料!J425=""),"",IF(AND(原始資料!I425&lt;&gt;"",原始資料!J425=原始資料!I425),N(G425)+1,1))</f>
        <v/>
      </c>
      <c r="I425" s="6">
        <f>IF(OR(原始資料!$A425="",8&gt;設定!$B$3,原始資料!K425=""),"",IF(AND(原始資料!J425&lt;&gt;"",原始資料!K425=原始資料!J425),N(H425)+1,1))</f>
        <v/>
      </c>
      <c r="J425" s="6">
        <f>IF(OR(原始資料!$A425="",9&gt;設定!$B$3,原始資料!L425=""),"",IF(AND(原始資料!K425&lt;&gt;"",原始資料!L425=原始資料!K425),N(I425)+1,1))</f>
        <v/>
      </c>
      <c r="K425" s="6">
        <f>IF(OR(原始資料!$A425="",10&gt;設定!$B$3,原始資料!M425=""),"",IF(AND(原始資料!L425&lt;&gt;"",原始資料!M425=原始資料!L425),N(J425)+1,1))</f>
        <v/>
      </c>
      <c r="L425" s="6">
        <f>IF(OR(原始資料!$A425="",11&gt;設定!$B$3,原始資料!N425=""),"",IF(AND(原始資料!M425&lt;&gt;"",原始資料!N425=原始資料!M425),N(K425)+1,1))</f>
        <v/>
      </c>
      <c r="M425" s="6">
        <f>IF(OR(原始資料!$A425="",12&gt;設定!$B$3,原始資料!O425=""),"",IF(AND(原始資料!N425&lt;&gt;"",原始資料!O425=原始資料!N425),N(L425)+1,1))</f>
        <v/>
      </c>
      <c r="N425" s="6">
        <f>IF(OR(原始資料!$A425="",13&gt;設定!$B$3,原始資料!P425=""),"",IF(AND(原始資料!O425&lt;&gt;"",原始資料!P425=原始資料!O425),N(M425)+1,1))</f>
        <v/>
      </c>
      <c r="O425" s="6">
        <f>IF(OR(原始資料!$A425="",14&gt;設定!$B$3,原始資料!Q425=""),"",IF(AND(原始資料!P425&lt;&gt;"",原始資料!Q425=原始資料!P425),N(N425)+1,1))</f>
        <v/>
      </c>
      <c r="P425" s="6">
        <f>IF(OR(原始資料!$A425="",15&gt;設定!$B$3,原始資料!R425=""),"",IF(AND(原始資料!Q425&lt;&gt;"",原始資料!R425=原始資料!Q425),N(O425)+1,1))</f>
        <v/>
      </c>
      <c r="Q425" s="6">
        <f>IF(OR(原始資料!$A425="",16&gt;設定!$B$3,原始資料!S425=""),"",IF(AND(原始資料!R425&lt;&gt;"",原始資料!S425=原始資料!R425),N(P425)+1,1))</f>
        <v/>
      </c>
      <c r="R425" s="6">
        <f>IF(OR(原始資料!$A425="",17&gt;設定!$B$3,原始資料!T425=""),"",IF(AND(原始資料!S425&lt;&gt;"",原始資料!T425=原始資料!S425),N(Q425)+1,1))</f>
        <v/>
      </c>
      <c r="S425" s="6">
        <f>IF(OR(原始資料!$A425="",18&gt;設定!$B$3,原始資料!U425=""),"",IF(AND(原始資料!T425&lt;&gt;"",原始資料!U425=原始資料!T425),N(R425)+1,1))</f>
        <v/>
      </c>
      <c r="T425" s="6">
        <f>IF(OR(原始資料!$A425="",19&gt;設定!$B$3,原始資料!V425=""),"",IF(AND(原始資料!U425&lt;&gt;"",原始資料!V425=原始資料!U425),N(S425)+1,1))</f>
        <v/>
      </c>
      <c r="U425" s="6">
        <f>IF(OR(原始資料!$A425="",20&gt;設定!$B$3,原始資料!W425=""),"",IF(AND(原始資料!V425&lt;&gt;"",原始資料!W425=原始資料!V425),N(T425)+1,1))</f>
        <v/>
      </c>
      <c r="V425" s="6">
        <f>IF(OR(原始資料!$A425="",21&gt;設定!$B$3,原始資料!X425=""),"",IF(AND(原始資料!W425&lt;&gt;"",原始資料!X425=原始資料!W425),N(U425)+1,1))</f>
        <v/>
      </c>
      <c r="W425" s="6">
        <f>IF(OR(原始資料!$A425="",22&gt;設定!$B$3,原始資料!Y425=""),"",IF(AND(原始資料!X425&lt;&gt;"",原始資料!Y425=原始資料!X425),N(V425)+1,1))</f>
        <v/>
      </c>
      <c r="X425" s="6">
        <f>IF(OR(原始資料!$A425="",23&gt;設定!$B$3,原始資料!Z425=""),"",IF(AND(原始資料!Y425&lt;&gt;"",原始資料!Z425=原始資料!Y425),N(W425)+1,1))</f>
        <v/>
      </c>
      <c r="Y425" s="6">
        <f>IF(OR(原始資料!$A425="",24&gt;設定!$B$3,原始資料!AA425=""),"",IF(AND(原始資料!Z425&lt;&gt;"",原始資料!AA425=原始資料!Z425),N(X425)+1,1))</f>
        <v/>
      </c>
      <c r="Z425" s="6">
        <f>IF(OR(原始資料!$A425="",25&gt;設定!$B$3,原始資料!AB425=""),"",IF(AND(原始資料!AA425&lt;&gt;"",原始資料!AB425=原始資料!AA425),N(Y425)+1,1))</f>
        <v/>
      </c>
      <c r="AA425" s="6">
        <f>IF(OR(原始資料!$A425="",26&gt;設定!$B$3,原始資料!AC425=""),"",IF(AND(原始資料!AB425&lt;&gt;"",原始資料!AC425=原始資料!AB425),N(Z425)+1,1))</f>
        <v/>
      </c>
      <c r="AB425" s="6">
        <f>IF(OR(原始資料!$A425="",27&gt;設定!$B$3,原始資料!AD425=""),"",IF(AND(原始資料!AC425&lt;&gt;"",原始資料!AD425=原始資料!AC425),N(AA425)+1,1))</f>
        <v/>
      </c>
      <c r="AC425" s="6">
        <f>IF(OR(原始資料!$A425="",28&gt;設定!$B$3,原始資料!AE425=""),"",IF(AND(原始資料!AD425&lt;&gt;"",原始資料!AE425=原始資料!AD425),N(AB425)+1,1))</f>
        <v/>
      </c>
      <c r="AD425" s="6">
        <f>IF(OR(原始資料!$A425="",29&gt;設定!$B$3,原始資料!AF425=""),"",IF(AND(原始資料!AE425&lt;&gt;"",原始資料!AF425=原始資料!AE425),N(AC425)+1,1))</f>
        <v/>
      </c>
      <c r="AE425" s="6">
        <f>IF(OR(原始資料!$A425="",30&gt;設定!$B$3,原始資料!AG425=""),"",IF(AND(原始資料!AF425&lt;&gt;"",原始資料!AG425=原始資料!AF425),N(AD425)+1,1))</f>
        <v/>
      </c>
      <c r="AF425" s="6">
        <f>IF(OR(原始資料!$A425="",31&gt;設定!$B$3,原始資料!AH425=""),"",IF(AND(原始資料!AG425&lt;&gt;"",原始資料!AH425=原始資料!AG425),N(AE425)+1,1))</f>
        <v/>
      </c>
      <c r="AG425" s="6">
        <f>IF(OR(原始資料!$A425="",32&gt;設定!$B$3,原始資料!AI425=""),"",IF(AND(原始資料!AH425&lt;&gt;"",原始資料!AI425=原始資料!AH425),N(AF425)+1,1))</f>
        <v/>
      </c>
      <c r="AH425" s="6">
        <f>IF(OR(原始資料!$A425="",33&gt;設定!$B$3,原始資料!AJ425=""),"",IF(AND(原始資料!AI425&lt;&gt;"",原始資料!AJ425=原始資料!AI425),N(AG425)+1,1))</f>
        <v/>
      </c>
      <c r="AI425" s="6">
        <f>IF(OR(原始資料!$A425="",34&gt;設定!$B$3,原始資料!AK425=""),"",IF(AND(原始資料!AJ425&lt;&gt;"",原始資料!AK425=原始資料!AJ425),N(AH425)+1,1))</f>
        <v/>
      </c>
      <c r="AJ425" s="6">
        <f>IF(OR(原始資料!$A425="",35&gt;設定!$B$3,原始資料!AL425=""),"",IF(AND(原始資料!AK425&lt;&gt;"",原始資料!AL425=原始資料!AK425),N(AI425)+1,1))</f>
        <v/>
      </c>
      <c r="AK425" s="6">
        <f>IF(OR(原始資料!$A425="",36&gt;設定!$B$3,原始資料!AM425=""),"",IF(AND(原始資料!AL425&lt;&gt;"",原始資料!AM425=原始資料!AL425),N(AJ425)+1,1))</f>
        <v/>
      </c>
      <c r="AL425" s="6">
        <f>IF(OR(原始資料!$A425="",37&gt;設定!$B$3,原始資料!AN425=""),"",IF(AND(原始資料!AM425&lt;&gt;"",原始資料!AN425=原始資料!AM425),N(AK425)+1,1))</f>
        <v/>
      </c>
      <c r="AM425" s="6">
        <f>IF(OR(原始資料!$A425="",38&gt;設定!$B$3,原始資料!AO425=""),"",IF(AND(原始資料!AN425&lt;&gt;"",原始資料!AO425=原始資料!AN425),N(AL425)+1,1))</f>
        <v/>
      </c>
      <c r="AN425" s="6">
        <f>IF(OR(原始資料!$A425="",39&gt;設定!$B$3,原始資料!AP425=""),"",IF(AND(原始資料!AO425&lt;&gt;"",原始資料!AP425=原始資料!AO425),N(AM425)+1,1))</f>
        <v/>
      </c>
      <c r="AO425" s="6">
        <f>IF(OR(原始資料!$A425="",40&gt;設定!$B$3,原始資料!AQ425=""),"",IF(AND(原始資料!AP425&lt;&gt;"",原始資料!AQ425=原始資料!AP425),N(AN425)+1,1))</f>
        <v/>
      </c>
      <c r="AP425" s="6">
        <f>IF(OR(原始資料!$A425="",41&gt;設定!$B$3,原始資料!AR425=""),"",IF(AND(原始資料!AQ425&lt;&gt;"",原始資料!AR425=原始資料!AQ425),N(AO425)+1,1))</f>
        <v/>
      </c>
      <c r="AQ425" s="6">
        <f>IF(OR(原始資料!$A425="",42&gt;設定!$B$3,原始資料!AS425=""),"",IF(AND(原始資料!AR425&lt;&gt;"",原始資料!AS425=原始資料!AR425),N(AP425)+1,1))</f>
        <v/>
      </c>
      <c r="AR425" s="6">
        <f>IF(OR(原始資料!$A425="",43&gt;設定!$B$3,原始資料!AT425=""),"",IF(AND(原始資料!AS425&lt;&gt;"",原始資料!AT425=原始資料!AS425),N(AQ425)+1,1))</f>
        <v/>
      </c>
      <c r="AS425" s="6">
        <f>IF(OR(原始資料!$A425="",44&gt;設定!$B$3,原始資料!AU425=""),"",IF(AND(原始資料!AT425&lt;&gt;"",原始資料!AU425=原始資料!AT425),N(AR425)+1,1))</f>
        <v/>
      </c>
      <c r="AT425" s="6">
        <f>IF(OR(原始資料!$A425="",45&gt;設定!$B$3,原始資料!AV425=""),"",IF(AND(原始資料!AU425&lt;&gt;"",原始資料!AV425=原始資料!AU425),N(AS425)+1,1))</f>
        <v/>
      </c>
      <c r="AU425" s="6">
        <f>IF(OR(原始資料!$A425="",46&gt;設定!$B$3,原始資料!AW425=""),"",IF(AND(原始資料!AV425&lt;&gt;"",原始資料!AW425=原始資料!AV425),N(AT425)+1,1))</f>
        <v/>
      </c>
      <c r="AV425" s="6">
        <f>IF(OR(原始資料!$A425="",47&gt;設定!$B$3,原始資料!AX425=""),"",IF(AND(原始資料!AW425&lt;&gt;"",原始資料!AX425=原始資料!AW425),N(AU425)+1,1))</f>
        <v/>
      </c>
      <c r="AW425" s="6">
        <f>IF(OR(原始資料!$A425="",48&gt;設定!$B$3,原始資料!AY425=""),"",IF(AND(原始資料!AX425&lt;&gt;"",原始資料!AY425=原始資料!AX425),N(AV425)+1,1))</f>
        <v/>
      </c>
      <c r="AX425" s="6">
        <f>IF(OR(原始資料!$A425="",49&gt;設定!$B$3,原始資料!AZ425=""),"",IF(AND(原始資料!AY425&lt;&gt;"",原始資料!AZ425=原始資料!AY425),N(AW425)+1,1))</f>
        <v/>
      </c>
      <c r="AY425" s="6">
        <f>IF(OR(原始資料!$A425="",50&gt;設定!$B$3,原始資料!BA425=""),"",IF(AND(原始資料!AZ425&lt;&gt;"",原始資料!BA425=原始資料!AZ425),N(AX425)+1,1))</f>
        <v/>
      </c>
      <c r="AZ425" s="6">
        <f>IF(OR(原始資料!$A425="",51&gt;設定!$B$3,原始資料!BB425=""),"",IF(AND(原始資料!BA425&lt;&gt;"",原始資料!BB425=原始資料!BA425),N(AY425)+1,1))</f>
        <v/>
      </c>
      <c r="BA425" s="6">
        <f>IF(OR(原始資料!$A425="",52&gt;設定!$B$3,原始資料!BC425=""),"",IF(AND(原始資料!BB425&lt;&gt;"",原始資料!BC425=原始資料!BB425),N(AZ425)+1,1))</f>
        <v/>
      </c>
      <c r="BB425" s="6">
        <f>IF(OR(原始資料!$A425="",53&gt;設定!$B$3,原始資料!BD425=""),"",IF(AND(原始資料!BC425&lt;&gt;"",原始資料!BD425=原始資料!BC425),N(BA425)+1,1))</f>
        <v/>
      </c>
      <c r="BC425" s="6">
        <f>IF(OR(原始資料!$A425="",54&gt;設定!$B$3,原始資料!BE425=""),"",IF(AND(原始資料!BD425&lt;&gt;"",原始資料!BE425=原始資料!BD425),N(BB425)+1,1))</f>
        <v/>
      </c>
      <c r="BD425" s="6">
        <f>IF(OR(原始資料!$A425="",55&gt;設定!$B$3,原始資料!BF425=""),"",IF(AND(原始資料!BE425&lt;&gt;"",原始資料!BF425=原始資料!BE425),N(BC425)+1,1))</f>
        <v/>
      </c>
      <c r="BE425" s="6">
        <f>IF(OR(原始資料!$A425="",56&gt;設定!$B$3,原始資料!BG425=""),"",IF(AND(原始資料!BF425&lt;&gt;"",原始資料!BG425=原始資料!BF425),N(BD425)+1,1))</f>
        <v/>
      </c>
      <c r="BF425" s="6">
        <f>IF(OR(原始資料!$A425="",57&gt;設定!$B$3,原始資料!BH425=""),"",IF(AND(原始資料!BG425&lt;&gt;"",原始資料!BH425=原始資料!BG425),N(BE425)+1,1))</f>
        <v/>
      </c>
      <c r="BG425" s="6">
        <f>IF(OR(原始資料!$A425="",58&gt;設定!$B$3,原始資料!BI425=""),"",IF(AND(原始資料!BH425&lt;&gt;"",原始資料!BI425=原始資料!BH425),N(BF425)+1,1))</f>
        <v/>
      </c>
      <c r="BH425" s="6">
        <f>IF(OR(原始資料!$A425="",59&gt;設定!$B$3,原始資料!BJ425=""),"",IF(AND(原始資料!BI425&lt;&gt;"",原始資料!BJ425=原始資料!BI425),N(BG425)+1,1))</f>
        <v/>
      </c>
      <c r="BI425" s="6">
        <f>IF(OR(原始資料!$A425="",60&gt;設定!$B$3,原始資料!BK425=""),"",IF(AND(原始資料!BJ425&lt;&gt;"",原始資料!BK425=原始資料!BJ425),N(BH425)+1,1))</f>
        <v/>
      </c>
    </row>
    <row r="426">
      <c r="A426" s="6">
        <f>IF(原始資料!$A426="","",原始資料!$A426)</f>
        <v/>
      </c>
      <c r="B426" s="6">
        <f>IF(OR(原始資料!$A426="",1&gt;設定!$B$3,原始資料!D426=""),"",1)</f>
        <v/>
      </c>
      <c r="C426" s="6">
        <f>IF(OR(原始資料!$A426="",2&gt;設定!$B$3,原始資料!E426=""),"",IF(AND(原始資料!D426&lt;&gt;"",原始資料!E426=原始資料!D426),N(B426)+1,1))</f>
        <v/>
      </c>
      <c r="D426" s="6">
        <f>IF(OR(原始資料!$A426="",3&gt;設定!$B$3,原始資料!F426=""),"",IF(AND(原始資料!E426&lt;&gt;"",原始資料!F426=原始資料!E426),N(C426)+1,1))</f>
        <v/>
      </c>
      <c r="E426" s="6">
        <f>IF(OR(原始資料!$A426="",4&gt;設定!$B$3,原始資料!G426=""),"",IF(AND(原始資料!F426&lt;&gt;"",原始資料!G426=原始資料!F426),N(D426)+1,1))</f>
        <v/>
      </c>
      <c r="F426" s="6">
        <f>IF(OR(原始資料!$A426="",5&gt;設定!$B$3,原始資料!H426=""),"",IF(AND(原始資料!G426&lt;&gt;"",原始資料!H426=原始資料!G426),N(E426)+1,1))</f>
        <v/>
      </c>
      <c r="G426" s="6">
        <f>IF(OR(原始資料!$A426="",6&gt;設定!$B$3,原始資料!I426=""),"",IF(AND(原始資料!H426&lt;&gt;"",原始資料!I426=原始資料!H426),N(F426)+1,1))</f>
        <v/>
      </c>
      <c r="H426" s="6">
        <f>IF(OR(原始資料!$A426="",7&gt;設定!$B$3,原始資料!J426=""),"",IF(AND(原始資料!I426&lt;&gt;"",原始資料!J426=原始資料!I426),N(G426)+1,1))</f>
        <v/>
      </c>
      <c r="I426" s="6">
        <f>IF(OR(原始資料!$A426="",8&gt;設定!$B$3,原始資料!K426=""),"",IF(AND(原始資料!J426&lt;&gt;"",原始資料!K426=原始資料!J426),N(H426)+1,1))</f>
        <v/>
      </c>
      <c r="J426" s="6">
        <f>IF(OR(原始資料!$A426="",9&gt;設定!$B$3,原始資料!L426=""),"",IF(AND(原始資料!K426&lt;&gt;"",原始資料!L426=原始資料!K426),N(I426)+1,1))</f>
        <v/>
      </c>
      <c r="K426" s="6">
        <f>IF(OR(原始資料!$A426="",10&gt;設定!$B$3,原始資料!M426=""),"",IF(AND(原始資料!L426&lt;&gt;"",原始資料!M426=原始資料!L426),N(J426)+1,1))</f>
        <v/>
      </c>
      <c r="L426" s="6">
        <f>IF(OR(原始資料!$A426="",11&gt;設定!$B$3,原始資料!N426=""),"",IF(AND(原始資料!M426&lt;&gt;"",原始資料!N426=原始資料!M426),N(K426)+1,1))</f>
        <v/>
      </c>
      <c r="M426" s="6">
        <f>IF(OR(原始資料!$A426="",12&gt;設定!$B$3,原始資料!O426=""),"",IF(AND(原始資料!N426&lt;&gt;"",原始資料!O426=原始資料!N426),N(L426)+1,1))</f>
        <v/>
      </c>
      <c r="N426" s="6">
        <f>IF(OR(原始資料!$A426="",13&gt;設定!$B$3,原始資料!P426=""),"",IF(AND(原始資料!O426&lt;&gt;"",原始資料!P426=原始資料!O426),N(M426)+1,1))</f>
        <v/>
      </c>
      <c r="O426" s="6">
        <f>IF(OR(原始資料!$A426="",14&gt;設定!$B$3,原始資料!Q426=""),"",IF(AND(原始資料!P426&lt;&gt;"",原始資料!Q426=原始資料!P426),N(N426)+1,1))</f>
        <v/>
      </c>
      <c r="P426" s="6">
        <f>IF(OR(原始資料!$A426="",15&gt;設定!$B$3,原始資料!R426=""),"",IF(AND(原始資料!Q426&lt;&gt;"",原始資料!R426=原始資料!Q426),N(O426)+1,1))</f>
        <v/>
      </c>
      <c r="Q426" s="6">
        <f>IF(OR(原始資料!$A426="",16&gt;設定!$B$3,原始資料!S426=""),"",IF(AND(原始資料!R426&lt;&gt;"",原始資料!S426=原始資料!R426),N(P426)+1,1))</f>
        <v/>
      </c>
      <c r="R426" s="6">
        <f>IF(OR(原始資料!$A426="",17&gt;設定!$B$3,原始資料!T426=""),"",IF(AND(原始資料!S426&lt;&gt;"",原始資料!T426=原始資料!S426),N(Q426)+1,1))</f>
        <v/>
      </c>
      <c r="S426" s="6">
        <f>IF(OR(原始資料!$A426="",18&gt;設定!$B$3,原始資料!U426=""),"",IF(AND(原始資料!T426&lt;&gt;"",原始資料!U426=原始資料!T426),N(R426)+1,1))</f>
        <v/>
      </c>
      <c r="T426" s="6">
        <f>IF(OR(原始資料!$A426="",19&gt;設定!$B$3,原始資料!V426=""),"",IF(AND(原始資料!U426&lt;&gt;"",原始資料!V426=原始資料!U426),N(S426)+1,1))</f>
        <v/>
      </c>
      <c r="U426" s="6">
        <f>IF(OR(原始資料!$A426="",20&gt;設定!$B$3,原始資料!W426=""),"",IF(AND(原始資料!V426&lt;&gt;"",原始資料!W426=原始資料!V426),N(T426)+1,1))</f>
        <v/>
      </c>
      <c r="V426" s="6">
        <f>IF(OR(原始資料!$A426="",21&gt;設定!$B$3,原始資料!X426=""),"",IF(AND(原始資料!W426&lt;&gt;"",原始資料!X426=原始資料!W426),N(U426)+1,1))</f>
        <v/>
      </c>
      <c r="W426" s="6">
        <f>IF(OR(原始資料!$A426="",22&gt;設定!$B$3,原始資料!Y426=""),"",IF(AND(原始資料!X426&lt;&gt;"",原始資料!Y426=原始資料!X426),N(V426)+1,1))</f>
        <v/>
      </c>
      <c r="X426" s="6">
        <f>IF(OR(原始資料!$A426="",23&gt;設定!$B$3,原始資料!Z426=""),"",IF(AND(原始資料!Y426&lt;&gt;"",原始資料!Z426=原始資料!Y426),N(W426)+1,1))</f>
        <v/>
      </c>
      <c r="Y426" s="6">
        <f>IF(OR(原始資料!$A426="",24&gt;設定!$B$3,原始資料!AA426=""),"",IF(AND(原始資料!Z426&lt;&gt;"",原始資料!AA426=原始資料!Z426),N(X426)+1,1))</f>
        <v/>
      </c>
      <c r="Z426" s="6">
        <f>IF(OR(原始資料!$A426="",25&gt;設定!$B$3,原始資料!AB426=""),"",IF(AND(原始資料!AA426&lt;&gt;"",原始資料!AB426=原始資料!AA426),N(Y426)+1,1))</f>
        <v/>
      </c>
      <c r="AA426" s="6">
        <f>IF(OR(原始資料!$A426="",26&gt;設定!$B$3,原始資料!AC426=""),"",IF(AND(原始資料!AB426&lt;&gt;"",原始資料!AC426=原始資料!AB426),N(Z426)+1,1))</f>
        <v/>
      </c>
      <c r="AB426" s="6">
        <f>IF(OR(原始資料!$A426="",27&gt;設定!$B$3,原始資料!AD426=""),"",IF(AND(原始資料!AC426&lt;&gt;"",原始資料!AD426=原始資料!AC426),N(AA426)+1,1))</f>
        <v/>
      </c>
      <c r="AC426" s="6">
        <f>IF(OR(原始資料!$A426="",28&gt;設定!$B$3,原始資料!AE426=""),"",IF(AND(原始資料!AD426&lt;&gt;"",原始資料!AE426=原始資料!AD426),N(AB426)+1,1))</f>
        <v/>
      </c>
      <c r="AD426" s="6">
        <f>IF(OR(原始資料!$A426="",29&gt;設定!$B$3,原始資料!AF426=""),"",IF(AND(原始資料!AE426&lt;&gt;"",原始資料!AF426=原始資料!AE426),N(AC426)+1,1))</f>
        <v/>
      </c>
      <c r="AE426" s="6">
        <f>IF(OR(原始資料!$A426="",30&gt;設定!$B$3,原始資料!AG426=""),"",IF(AND(原始資料!AF426&lt;&gt;"",原始資料!AG426=原始資料!AF426),N(AD426)+1,1))</f>
        <v/>
      </c>
      <c r="AF426" s="6">
        <f>IF(OR(原始資料!$A426="",31&gt;設定!$B$3,原始資料!AH426=""),"",IF(AND(原始資料!AG426&lt;&gt;"",原始資料!AH426=原始資料!AG426),N(AE426)+1,1))</f>
        <v/>
      </c>
      <c r="AG426" s="6">
        <f>IF(OR(原始資料!$A426="",32&gt;設定!$B$3,原始資料!AI426=""),"",IF(AND(原始資料!AH426&lt;&gt;"",原始資料!AI426=原始資料!AH426),N(AF426)+1,1))</f>
        <v/>
      </c>
      <c r="AH426" s="6">
        <f>IF(OR(原始資料!$A426="",33&gt;設定!$B$3,原始資料!AJ426=""),"",IF(AND(原始資料!AI426&lt;&gt;"",原始資料!AJ426=原始資料!AI426),N(AG426)+1,1))</f>
        <v/>
      </c>
      <c r="AI426" s="6">
        <f>IF(OR(原始資料!$A426="",34&gt;設定!$B$3,原始資料!AK426=""),"",IF(AND(原始資料!AJ426&lt;&gt;"",原始資料!AK426=原始資料!AJ426),N(AH426)+1,1))</f>
        <v/>
      </c>
      <c r="AJ426" s="6">
        <f>IF(OR(原始資料!$A426="",35&gt;設定!$B$3,原始資料!AL426=""),"",IF(AND(原始資料!AK426&lt;&gt;"",原始資料!AL426=原始資料!AK426),N(AI426)+1,1))</f>
        <v/>
      </c>
      <c r="AK426" s="6">
        <f>IF(OR(原始資料!$A426="",36&gt;設定!$B$3,原始資料!AM426=""),"",IF(AND(原始資料!AL426&lt;&gt;"",原始資料!AM426=原始資料!AL426),N(AJ426)+1,1))</f>
        <v/>
      </c>
      <c r="AL426" s="6">
        <f>IF(OR(原始資料!$A426="",37&gt;設定!$B$3,原始資料!AN426=""),"",IF(AND(原始資料!AM426&lt;&gt;"",原始資料!AN426=原始資料!AM426),N(AK426)+1,1))</f>
        <v/>
      </c>
      <c r="AM426" s="6">
        <f>IF(OR(原始資料!$A426="",38&gt;設定!$B$3,原始資料!AO426=""),"",IF(AND(原始資料!AN426&lt;&gt;"",原始資料!AO426=原始資料!AN426),N(AL426)+1,1))</f>
        <v/>
      </c>
      <c r="AN426" s="6">
        <f>IF(OR(原始資料!$A426="",39&gt;設定!$B$3,原始資料!AP426=""),"",IF(AND(原始資料!AO426&lt;&gt;"",原始資料!AP426=原始資料!AO426),N(AM426)+1,1))</f>
        <v/>
      </c>
      <c r="AO426" s="6">
        <f>IF(OR(原始資料!$A426="",40&gt;設定!$B$3,原始資料!AQ426=""),"",IF(AND(原始資料!AP426&lt;&gt;"",原始資料!AQ426=原始資料!AP426),N(AN426)+1,1))</f>
        <v/>
      </c>
      <c r="AP426" s="6">
        <f>IF(OR(原始資料!$A426="",41&gt;設定!$B$3,原始資料!AR426=""),"",IF(AND(原始資料!AQ426&lt;&gt;"",原始資料!AR426=原始資料!AQ426),N(AO426)+1,1))</f>
        <v/>
      </c>
      <c r="AQ426" s="6">
        <f>IF(OR(原始資料!$A426="",42&gt;設定!$B$3,原始資料!AS426=""),"",IF(AND(原始資料!AR426&lt;&gt;"",原始資料!AS426=原始資料!AR426),N(AP426)+1,1))</f>
        <v/>
      </c>
      <c r="AR426" s="6">
        <f>IF(OR(原始資料!$A426="",43&gt;設定!$B$3,原始資料!AT426=""),"",IF(AND(原始資料!AS426&lt;&gt;"",原始資料!AT426=原始資料!AS426),N(AQ426)+1,1))</f>
        <v/>
      </c>
      <c r="AS426" s="6">
        <f>IF(OR(原始資料!$A426="",44&gt;設定!$B$3,原始資料!AU426=""),"",IF(AND(原始資料!AT426&lt;&gt;"",原始資料!AU426=原始資料!AT426),N(AR426)+1,1))</f>
        <v/>
      </c>
      <c r="AT426" s="6">
        <f>IF(OR(原始資料!$A426="",45&gt;設定!$B$3,原始資料!AV426=""),"",IF(AND(原始資料!AU426&lt;&gt;"",原始資料!AV426=原始資料!AU426),N(AS426)+1,1))</f>
        <v/>
      </c>
      <c r="AU426" s="6">
        <f>IF(OR(原始資料!$A426="",46&gt;設定!$B$3,原始資料!AW426=""),"",IF(AND(原始資料!AV426&lt;&gt;"",原始資料!AW426=原始資料!AV426),N(AT426)+1,1))</f>
        <v/>
      </c>
      <c r="AV426" s="6">
        <f>IF(OR(原始資料!$A426="",47&gt;設定!$B$3,原始資料!AX426=""),"",IF(AND(原始資料!AW426&lt;&gt;"",原始資料!AX426=原始資料!AW426),N(AU426)+1,1))</f>
        <v/>
      </c>
      <c r="AW426" s="6">
        <f>IF(OR(原始資料!$A426="",48&gt;設定!$B$3,原始資料!AY426=""),"",IF(AND(原始資料!AX426&lt;&gt;"",原始資料!AY426=原始資料!AX426),N(AV426)+1,1))</f>
        <v/>
      </c>
      <c r="AX426" s="6">
        <f>IF(OR(原始資料!$A426="",49&gt;設定!$B$3,原始資料!AZ426=""),"",IF(AND(原始資料!AY426&lt;&gt;"",原始資料!AZ426=原始資料!AY426),N(AW426)+1,1))</f>
        <v/>
      </c>
      <c r="AY426" s="6">
        <f>IF(OR(原始資料!$A426="",50&gt;設定!$B$3,原始資料!BA426=""),"",IF(AND(原始資料!AZ426&lt;&gt;"",原始資料!BA426=原始資料!AZ426),N(AX426)+1,1))</f>
        <v/>
      </c>
      <c r="AZ426" s="6">
        <f>IF(OR(原始資料!$A426="",51&gt;設定!$B$3,原始資料!BB426=""),"",IF(AND(原始資料!BA426&lt;&gt;"",原始資料!BB426=原始資料!BA426),N(AY426)+1,1))</f>
        <v/>
      </c>
      <c r="BA426" s="6">
        <f>IF(OR(原始資料!$A426="",52&gt;設定!$B$3,原始資料!BC426=""),"",IF(AND(原始資料!BB426&lt;&gt;"",原始資料!BC426=原始資料!BB426),N(AZ426)+1,1))</f>
        <v/>
      </c>
      <c r="BB426" s="6">
        <f>IF(OR(原始資料!$A426="",53&gt;設定!$B$3,原始資料!BD426=""),"",IF(AND(原始資料!BC426&lt;&gt;"",原始資料!BD426=原始資料!BC426),N(BA426)+1,1))</f>
        <v/>
      </c>
      <c r="BC426" s="6">
        <f>IF(OR(原始資料!$A426="",54&gt;設定!$B$3,原始資料!BE426=""),"",IF(AND(原始資料!BD426&lt;&gt;"",原始資料!BE426=原始資料!BD426),N(BB426)+1,1))</f>
        <v/>
      </c>
      <c r="BD426" s="6">
        <f>IF(OR(原始資料!$A426="",55&gt;設定!$B$3,原始資料!BF426=""),"",IF(AND(原始資料!BE426&lt;&gt;"",原始資料!BF426=原始資料!BE426),N(BC426)+1,1))</f>
        <v/>
      </c>
      <c r="BE426" s="6">
        <f>IF(OR(原始資料!$A426="",56&gt;設定!$B$3,原始資料!BG426=""),"",IF(AND(原始資料!BF426&lt;&gt;"",原始資料!BG426=原始資料!BF426),N(BD426)+1,1))</f>
        <v/>
      </c>
      <c r="BF426" s="6">
        <f>IF(OR(原始資料!$A426="",57&gt;設定!$B$3,原始資料!BH426=""),"",IF(AND(原始資料!BG426&lt;&gt;"",原始資料!BH426=原始資料!BG426),N(BE426)+1,1))</f>
        <v/>
      </c>
      <c r="BG426" s="6">
        <f>IF(OR(原始資料!$A426="",58&gt;設定!$B$3,原始資料!BI426=""),"",IF(AND(原始資料!BH426&lt;&gt;"",原始資料!BI426=原始資料!BH426),N(BF426)+1,1))</f>
        <v/>
      </c>
      <c r="BH426" s="6">
        <f>IF(OR(原始資料!$A426="",59&gt;設定!$B$3,原始資料!BJ426=""),"",IF(AND(原始資料!BI426&lt;&gt;"",原始資料!BJ426=原始資料!BI426),N(BG426)+1,1))</f>
        <v/>
      </c>
      <c r="BI426" s="6">
        <f>IF(OR(原始資料!$A426="",60&gt;設定!$B$3,原始資料!BK426=""),"",IF(AND(原始資料!BJ426&lt;&gt;"",原始資料!BK426=原始資料!BJ426),N(BH426)+1,1))</f>
        <v/>
      </c>
    </row>
    <row r="427">
      <c r="A427" s="6">
        <f>IF(原始資料!$A427="","",原始資料!$A427)</f>
        <v/>
      </c>
      <c r="B427" s="6">
        <f>IF(OR(原始資料!$A427="",1&gt;設定!$B$3,原始資料!D427=""),"",1)</f>
        <v/>
      </c>
      <c r="C427" s="6">
        <f>IF(OR(原始資料!$A427="",2&gt;設定!$B$3,原始資料!E427=""),"",IF(AND(原始資料!D427&lt;&gt;"",原始資料!E427=原始資料!D427),N(B427)+1,1))</f>
        <v/>
      </c>
      <c r="D427" s="6">
        <f>IF(OR(原始資料!$A427="",3&gt;設定!$B$3,原始資料!F427=""),"",IF(AND(原始資料!E427&lt;&gt;"",原始資料!F427=原始資料!E427),N(C427)+1,1))</f>
        <v/>
      </c>
      <c r="E427" s="6">
        <f>IF(OR(原始資料!$A427="",4&gt;設定!$B$3,原始資料!G427=""),"",IF(AND(原始資料!F427&lt;&gt;"",原始資料!G427=原始資料!F427),N(D427)+1,1))</f>
        <v/>
      </c>
      <c r="F427" s="6">
        <f>IF(OR(原始資料!$A427="",5&gt;設定!$B$3,原始資料!H427=""),"",IF(AND(原始資料!G427&lt;&gt;"",原始資料!H427=原始資料!G427),N(E427)+1,1))</f>
        <v/>
      </c>
      <c r="G427" s="6">
        <f>IF(OR(原始資料!$A427="",6&gt;設定!$B$3,原始資料!I427=""),"",IF(AND(原始資料!H427&lt;&gt;"",原始資料!I427=原始資料!H427),N(F427)+1,1))</f>
        <v/>
      </c>
      <c r="H427" s="6">
        <f>IF(OR(原始資料!$A427="",7&gt;設定!$B$3,原始資料!J427=""),"",IF(AND(原始資料!I427&lt;&gt;"",原始資料!J427=原始資料!I427),N(G427)+1,1))</f>
        <v/>
      </c>
      <c r="I427" s="6">
        <f>IF(OR(原始資料!$A427="",8&gt;設定!$B$3,原始資料!K427=""),"",IF(AND(原始資料!J427&lt;&gt;"",原始資料!K427=原始資料!J427),N(H427)+1,1))</f>
        <v/>
      </c>
      <c r="J427" s="6">
        <f>IF(OR(原始資料!$A427="",9&gt;設定!$B$3,原始資料!L427=""),"",IF(AND(原始資料!K427&lt;&gt;"",原始資料!L427=原始資料!K427),N(I427)+1,1))</f>
        <v/>
      </c>
      <c r="K427" s="6">
        <f>IF(OR(原始資料!$A427="",10&gt;設定!$B$3,原始資料!M427=""),"",IF(AND(原始資料!L427&lt;&gt;"",原始資料!M427=原始資料!L427),N(J427)+1,1))</f>
        <v/>
      </c>
      <c r="L427" s="6">
        <f>IF(OR(原始資料!$A427="",11&gt;設定!$B$3,原始資料!N427=""),"",IF(AND(原始資料!M427&lt;&gt;"",原始資料!N427=原始資料!M427),N(K427)+1,1))</f>
        <v/>
      </c>
      <c r="M427" s="6">
        <f>IF(OR(原始資料!$A427="",12&gt;設定!$B$3,原始資料!O427=""),"",IF(AND(原始資料!N427&lt;&gt;"",原始資料!O427=原始資料!N427),N(L427)+1,1))</f>
        <v/>
      </c>
      <c r="N427" s="6">
        <f>IF(OR(原始資料!$A427="",13&gt;設定!$B$3,原始資料!P427=""),"",IF(AND(原始資料!O427&lt;&gt;"",原始資料!P427=原始資料!O427),N(M427)+1,1))</f>
        <v/>
      </c>
      <c r="O427" s="6">
        <f>IF(OR(原始資料!$A427="",14&gt;設定!$B$3,原始資料!Q427=""),"",IF(AND(原始資料!P427&lt;&gt;"",原始資料!Q427=原始資料!P427),N(N427)+1,1))</f>
        <v/>
      </c>
      <c r="P427" s="6">
        <f>IF(OR(原始資料!$A427="",15&gt;設定!$B$3,原始資料!R427=""),"",IF(AND(原始資料!Q427&lt;&gt;"",原始資料!R427=原始資料!Q427),N(O427)+1,1))</f>
        <v/>
      </c>
      <c r="Q427" s="6">
        <f>IF(OR(原始資料!$A427="",16&gt;設定!$B$3,原始資料!S427=""),"",IF(AND(原始資料!R427&lt;&gt;"",原始資料!S427=原始資料!R427),N(P427)+1,1))</f>
        <v/>
      </c>
      <c r="R427" s="6">
        <f>IF(OR(原始資料!$A427="",17&gt;設定!$B$3,原始資料!T427=""),"",IF(AND(原始資料!S427&lt;&gt;"",原始資料!T427=原始資料!S427),N(Q427)+1,1))</f>
        <v/>
      </c>
      <c r="S427" s="6">
        <f>IF(OR(原始資料!$A427="",18&gt;設定!$B$3,原始資料!U427=""),"",IF(AND(原始資料!T427&lt;&gt;"",原始資料!U427=原始資料!T427),N(R427)+1,1))</f>
        <v/>
      </c>
      <c r="T427" s="6">
        <f>IF(OR(原始資料!$A427="",19&gt;設定!$B$3,原始資料!V427=""),"",IF(AND(原始資料!U427&lt;&gt;"",原始資料!V427=原始資料!U427),N(S427)+1,1))</f>
        <v/>
      </c>
      <c r="U427" s="6">
        <f>IF(OR(原始資料!$A427="",20&gt;設定!$B$3,原始資料!W427=""),"",IF(AND(原始資料!V427&lt;&gt;"",原始資料!W427=原始資料!V427),N(T427)+1,1))</f>
        <v/>
      </c>
      <c r="V427" s="6">
        <f>IF(OR(原始資料!$A427="",21&gt;設定!$B$3,原始資料!X427=""),"",IF(AND(原始資料!W427&lt;&gt;"",原始資料!X427=原始資料!W427),N(U427)+1,1))</f>
        <v/>
      </c>
      <c r="W427" s="6">
        <f>IF(OR(原始資料!$A427="",22&gt;設定!$B$3,原始資料!Y427=""),"",IF(AND(原始資料!X427&lt;&gt;"",原始資料!Y427=原始資料!X427),N(V427)+1,1))</f>
        <v/>
      </c>
      <c r="X427" s="6">
        <f>IF(OR(原始資料!$A427="",23&gt;設定!$B$3,原始資料!Z427=""),"",IF(AND(原始資料!Y427&lt;&gt;"",原始資料!Z427=原始資料!Y427),N(W427)+1,1))</f>
        <v/>
      </c>
      <c r="Y427" s="6">
        <f>IF(OR(原始資料!$A427="",24&gt;設定!$B$3,原始資料!AA427=""),"",IF(AND(原始資料!Z427&lt;&gt;"",原始資料!AA427=原始資料!Z427),N(X427)+1,1))</f>
        <v/>
      </c>
      <c r="Z427" s="6">
        <f>IF(OR(原始資料!$A427="",25&gt;設定!$B$3,原始資料!AB427=""),"",IF(AND(原始資料!AA427&lt;&gt;"",原始資料!AB427=原始資料!AA427),N(Y427)+1,1))</f>
        <v/>
      </c>
      <c r="AA427" s="6">
        <f>IF(OR(原始資料!$A427="",26&gt;設定!$B$3,原始資料!AC427=""),"",IF(AND(原始資料!AB427&lt;&gt;"",原始資料!AC427=原始資料!AB427),N(Z427)+1,1))</f>
        <v/>
      </c>
      <c r="AB427" s="6">
        <f>IF(OR(原始資料!$A427="",27&gt;設定!$B$3,原始資料!AD427=""),"",IF(AND(原始資料!AC427&lt;&gt;"",原始資料!AD427=原始資料!AC427),N(AA427)+1,1))</f>
        <v/>
      </c>
      <c r="AC427" s="6">
        <f>IF(OR(原始資料!$A427="",28&gt;設定!$B$3,原始資料!AE427=""),"",IF(AND(原始資料!AD427&lt;&gt;"",原始資料!AE427=原始資料!AD427),N(AB427)+1,1))</f>
        <v/>
      </c>
      <c r="AD427" s="6">
        <f>IF(OR(原始資料!$A427="",29&gt;設定!$B$3,原始資料!AF427=""),"",IF(AND(原始資料!AE427&lt;&gt;"",原始資料!AF427=原始資料!AE427),N(AC427)+1,1))</f>
        <v/>
      </c>
      <c r="AE427" s="6">
        <f>IF(OR(原始資料!$A427="",30&gt;設定!$B$3,原始資料!AG427=""),"",IF(AND(原始資料!AF427&lt;&gt;"",原始資料!AG427=原始資料!AF427),N(AD427)+1,1))</f>
        <v/>
      </c>
      <c r="AF427" s="6">
        <f>IF(OR(原始資料!$A427="",31&gt;設定!$B$3,原始資料!AH427=""),"",IF(AND(原始資料!AG427&lt;&gt;"",原始資料!AH427=原始資料!AG427),N(AE427)+1,1))</f>
        <v/>
      </c>
      <c r="AG427" s="6">
        <f>IF(OR(原始資料!$A427="",32&gt;設定!$B$3,原始資料!AI427=""),"",IF(AND(原始資料!AH427&lt;&gt;"",原始資料!AI427=原始資料!AH427),N(AF427)+1,1))</f>
        <v/>
      </c>
      <c r="AH427" s="6">
        <f>IF(OR(原始資料!$A427="",33&gt;設定!$B$3,原始資料!AJ427=""),"",IF(AND(原始資料!AI427&lt;&gt;"",原始資料!AJ427=原始資料!AI427),N(AG427)+1,1))</f>
        <v/>
      </c>
      <c r="AI427" s="6">
        <f>IF(OR(原始資料!$A427="",34&gt;設定!$B$3,原始資料!AK427=""),"",IF(AND(原始資料!AJ427&lt;&gt;"",原始資料!AK427=原始資料!AJ427),N(AH427)+1,1))</f>
        <v/>
      </c>
      <c r="AJ427" s="6">
        <f>IF(OR(原始資料!$A427="",35&gt;設定!$B$3,原始資料!AL427=""),"",IF(AND(原始資料!AK427&lt;&gt;"",原始資料!AL427=原始資料!AK427),N(AI427)+1,1))</f>
        <v/>
      </c>
      <c r="AK427" s="6">
        <f>IF(OR(原始資料!$A427="",36&gt;設定!$B$3,原始資料!AM427=""),"",IF(AND(原始資料!AL427&lt;&gt;"",原始資料!AM427=原始資料!AL427),N(AJ427)+1,1))</f>
        <v/>
      </c>
      <c r="AL427" s="6">
        <f>IF(OR(原始資料!$A427="",37&gt;設定!$B$3,原始資料!AN427=""),"",IF(AND(原始資料!AM427&lt;&gt;"",原始資料!AN427=原始資料!AM427),N(AK427)+1,1))</f>
        <v/>
      </c>
      <c r="AM427" s="6">
        <f>IF(OR(原始資料!$A427="",38&gt;設定!$B$3,原始資料!AO427=""),"",IF(AND(原始資料!AN427&lt;&gt;"",原始資料!AO427=原始資料!AN427),N(AL427)+1,1))</f>
        <v/>
      </c>
      <c r="AN427" s="6">
        <f>IF(OR(原始資料!$A427="",39&gt;設定!$B$3,原始資料!AP427=""),"",IF(AND(原始資料!AO427&lt;&gt;"",原始資料!AP427=原始資料!AO427),N(AM427)+1,1))</f>
        <v/>
      </c>
      <c r="AO427" s="6">
        <f>IF(OR(原始資料!$A427="",40&gt;設定!$B$3,原始資料!AQ427=""),"",IF(AND(原始資料!AP427&lt;&gt;"",原始資料!AQ427=原始資料!AP427),N(AN427)+1,1))</f>
        <v/>
      </c>
      <c r="AP427" s="6">
        <f>IF(OR(原始資料!$A427="",41&gt;設定!$B$3,原始資料!AR427=""),"",IF(AND(原始資料!AQ427&lt;&gt;"",原始資料!AR427=原始資料!AQ427),N(AO427)+1,1))</f>
        <v/>
      </c>
      <c r="AQ427" s="6">
        <f>IF(OR(原始資料!$A427="",42&gt;設定!$B$3,原始資料!AS427=""),"",IF(AND(原始資料!AR427&lt;&gt;"",原始資料!AS427=原始資料!AR427),N(AP427)+1,1))</f>
        <v/>
      </c>
      <c r="AR427" s="6">
        <f>IF(OR(原始資料!$A427="",43&gt;設定!$B$3,原始資料!AT427=""),"",IF(AND(原始資料!AS427&lt;&gt;"",原始資料!AT427=原始資料!AS427),N(AQ427)+1,1))</f>
        <v/>
      </c>
      <c r="AS427" s="6">
        <f>IF(OR(原始資料!$A427="",44&gt;設定!$B$3,原始資料!AU427=""),"",IF(AND(原始資料!AT427&lt;&gt;"",原始資料!AU427=原始資料!AT427),N(AR427)+1,1))</f>
        <v/>
      </c>
      <c r="AT427" s="6">
        <f>IF(OR(原始資料!$A427="",45&gt;設定!$B$3,原始資料!AV427=""),"",IF(AND(原始資料!AU427&lt;&gt;"",原始資料!AV427=原始資料!AU427),N(AS427)+1,1))</f>
        <v/>
      </c>
      <c r="AU427" s="6">
        <f>IF(OR(原始資料!$A427="",46&gt;設定!$B$3,原始資料!AW427=""),"",IF(AND(原始資料!AV427&lt;&gt;"",原始資料!AW427=原始資料!AV427),N(AT427)+1,1))</f>
        <v/>
      </c>
      <c r="AV427" s="6">
        <f>IF(OR(原始資料!$A427="",47&gt;設定!$B$3,原始資料!AX427=""),"",IF(AND(原始資料!AW427&lt;&gt;"",原始資料!AX427=原始資料!AW427),N(AU427)+1,1))</f>
        <v/>
      </c>
      <c r="AW427" s="6">
        <f>IF(OR(原始資料!$A427="",48&gt;設定!$B$3,原始資料!AY427=""),"",IF(AND(原始資料!AX427&lt;&gt;"",原始資料!AY427=原始資料!AX427),N(AV427)+1,1))</f>
        <v/>
      </c>
      <c r="AX427" s="6">
        <f>IF(OR(原始資料!$A427="",49&gt;設定!$B$3,原始資料!AZ427=""),"",IF(AND(原始資料!AY427&lt;&gt;"",原始資料!AZ427=原始資料!AY427),N(AW427)+1,1))</f>
        <v/>
      </c>
      <c r="AY427" s="6">
        <f>IF(OR(原始資料!$A427="",50&gt;設定!$B$3,原始資料!BA427=""),"",IF(AND(原始資料!AZ427&lt;&gt;"",原始資料!BA427=原始資料!AZ427),N(AX427)+1,1))</f>
        <v/>
      </c>
      <c r="AZ427" s="6">
        <f>IF(OR(原始資料!$A427="",51&gt;設定!$B$3,原始資料!BB427=""),"",IF(AND(原始資料!BA427&lt;&gt;"",原始資料!BB427=原始資料!BA427),N(AY427)+1,1))</f>
        <v/>
      </c>
      <c r="BA427" s="6">
        <f>IF(OR(原始資料!$A427="",52&gt;設定!$B$3,原始資料!BC427=""),"",IF(AND(原始資料!BB427&lt;&gt;"",原始資料!BC427=原始資料!BB427),N(AZ427)+1,1))</f>
        <v/>
      </c>
      <c r="BB427" s="6">
        <f>IF(OR(原始資料!$A427="",53&gt;設定!$B$3,原始資料!BD427=""),"",IF(AND(原始資料!BC427&lt;&gt;"",原始資料!BD427=原始資料!BC427),N(BA427)+1,1))</f>
        <v/>
      </c>
      <c r="BC427" s="6">
        <f>IF(OR(原始資料!$A427="",54&gt;設定!$B$3,原始資料!BE427=""),"",IF(AND(原始資料!BD427&lt;&gt;"",原始資料!BE427=原始資料!BD427),N(BB427)+1,1))</f>
        <v/>
      </c>
      <c r="BD427" s="6">
        <f>IF(OR(原始資料!$A427="",55&gt;設定!$B$3,原始資料!BF427=""),"",IF(AND(原始資料!BE427&lt;&gt;"",原始資料!BF427=原始資料!BE427),N(BC427)+1,1))</f>
        <v/>
      </c>
      <c r="BE427" s="6">
        <f>IF(OR(原始資料!$A427="",56&gt;設定!$B$3,原始資料!BG427=""),"",IF(AND(原始資料!BF427&lt;&gt;"",原始資料!BG427=原始資料!BF427),N(BD427)+1,1))</f>
        <v/>
      </c>
      <c r="BF427" s="6">
        <f>IF(OR(原始資料!$A427="",57&gt;設定!$B$3,原始資料!BH427=""),"",IF(AND(原始資料!BG427&lt;&gt;"",原始資料!BH427=原始資料!BG427),N(BE427)+1,1))</f>
        <v/>
      </c>
      <c r="BG427" s="6">
        <f>IF(OR(原始資料!$A427="",58&gt;設定!$B$3,原始資料!BI427=""),"",IF(AND(原始資料!BH427&lt;&gt;"",原始資料!BI427=原始資料!BH427),N(BF427)+1,1))</f>
        <v/>
      </c>
      <c r="BH427" s="6">
        <f>IF(OR(原始資料!$A427="",59&gt;設定!$B$3,原始資料!BJ427=""),"",IF(AND(原始資料!BI427&lt;&gt;"",原始資料!BJ427=原始資料!BI427),N(BG427)+1,1))</f>
        <v/>
      </c>
      <c r="BI427" s="6">
        <f>IF(OR(原始資料!$A427="",60&gt;設定!$B$3,原始資料!BK427=""),"",IF(AND(原始資料!BJ427&lt;&gt;"",原始資料!BK427=原始資料!BJ427),N(BH427)+1,1))</f>
        <v/>
      </c>
    </row>
    <row r="428">
      <c r="A428" s="6">
        <f>IF(原始資料!$A428="","",原始資料!$A428)</f>
        <v/>
      </c>
      <c r="B428" s="6">
        <f>IF(OR(原始資料!$A428="",1&gt;設定!$B$3,原始資料!D428=""),"",1)</f>
        <v/>
      </c>
      <c r="C428" s="6">
        <f>IF(OR(原始資料!$A428="",2&gt;設定!$B$3,原始資料!E428=""),"",IF(AND(原始資料!D428&lt;&gt;"",原始資料!E428=原始資料!D428),N(B428)+1,1))</f>
        <v/>
      </c>
      <c r="D428" s="6">
        <f>IF(OR(原始資料!$A428="",3&gt;設定!$B$3,原始資料!F428=""),"",IF(AND(原始資料!E428&lt;&gt;"",原始資料!F428=原始資料!E428),N(C428)+1,1))</f>
        <v/>
      </c>
      <c r="E428" s="6">
        <f>IF(OR(原始資料!$A428="",4&gt;設定!$B$3,原始資料!G428=""),"",IF(AND(原始資料!F428&lt;&gt;"",原始資料!G428=原始資料!F428),N(D428)+1,1))</f>
        <v/>
      </c>
      <c r="F428" s="6">
        <f>IF(OR(原始資料!$A428="",5&gt;設定!$B$3,原始資料!H428=""),"",IF(AND(原始資料!G428&lt;&gt;"",原始資料!H428=原始資料!G428),N(E428)+1,1))</f>
        <v/>
      </c>
      <c r="G428" s="6">
        <f>IF(OR(原始資料!$A428="",6&gt;設定!$B$3,原始資料!I428=""),"",IF(AND(原始資料!H428&lt;&gt;"",原始資料!I428=原始資料!H428),N(F428)+1,1))</f>
        <v/>
      </c>
      <c r="H428" s="6">
        <f>IF(OR(原始資料!$A428="",7&gt;設定!$B$3,原始資料!J428=""),"",IF(AND(原始資料!I428&lt;&gt;"",原始資料!J428=原始資料!I428),N(G428)+1,1))</f>
        <v/>
      </c>
      <c r="I428" s="6">
        <f>IF(OR(原始資料!$A428="",8&gt;設定!$B$3,原始資料!K428=""),"",IF(AND(原始資料!J428&lt;&gt;"",原始資料!K428=原始資料!J428),N(H428)+1,1))</f>
        <v/>
      </c>
      <c r="J428" s="6">
        <f>IF(OR(原始資料!$A428="",9&gt;設定!$B$3,原始資料!L428=""),"",IF(AND(原始資料!K428&lt;&gt;"",原始資料!L428=原始資料!K428),N(I428)+1,1))</f>
        <v/>
      </c>
      <c r="K428" s="6">
        <f>IF(OR(原始資料!$A428="",10&gt;設定!$B$3,原始資料!M428=""),"",IF(AND(原始資料!L428&lt;&gt;"",原始資料!M428=原始資料!L428),N(J428)+1,1))</f>
        <v/>
      </c>
      <c r="L428" s="6">
        <f>IF(OR(原始資料!$A428="",11&gt;設定!$B$3,原始資料!N428=""),"",IF(AND(原始資料!M428&lt;&gt;"",原始資料!N428=原始資料!M428),N(K428)+1,1))</f>
        <v/>
      </c>
      <c r="M428" s="6">
        <f>IF(OR(原始資料!$A428="",12&gt;設定!$B$3,原始資料!O428=""),"",IF(AND(原始資料!N428&lt;&gt;"",原始資料!O428=原始資料!N428),N(L428)+1,1))</f>
        <v/>
      </c>
      <c r="N428" s="6">
        <f>IF(OR(原始資料!$A428="",13&gt;設定!$B$3,原始資料!P428=""),"",IF(AND(原始資料!O428&lt;&gt;"",原始資料!P428=原始資料!O428),N(M428)+1,1))</f>
        <v/>
      </c>
      <c r="O428" s="6">
        <f>IF(OR(原始資料!$A428="",14&gt;設定!$B$3,原始資料!Q428=""),"",IF(AND(原始資料!P428&lt;&gt;"",原始資料!Q428=原始資料!P428),N(N428)+1,1))</f>
        <v/>
      </c>
      <c r="P428" s="6">
        <f>IF(OR(原始資料!$A428="",15&gt;設定!$B$3,原始資料!R428=""),"",IF(AND(原始資料!Q428&lt;&gt;"",原始資料!R428=原始資料!Q428),N(O428)+1,1))</f>
        <v/>
      </c>
      <c r="Q428" s="6">
        <f>IF(OR(原始資料!$A428="",16&gt;設定!$B$3,原始資料!S428=""),"",IF(AND(原始資料!R428&lt;&gt;"",原始資料!S428=原始資料!R428),N(P428)+1,1))</f>
        <v/>
      </c>
      <c r="R428" s="6">
        <f>IF(OR(原始資料!$A428="",17&gt;設定!$B$3,原始資料!T428=""),"",IF(AND(原始資料!S428&lt;&gt;"",原始資料!T428=原始資料!S428),N(Q428)+1,1))</f>
        <v/>
      </c>
      <c r="S428" s="6">
        <f>IF(OR(原始資料!$A428="",18&gt;設定!$B$3,原始資料!U428=""),"",IF(AND(原始資料!T428&lt;&gt;"",原始資料!U428=原始資料!T428),N(R428)+1,1))</f>
        <v/>
      </c>
      <c r="T428" s="6">
        <f>IF(OR(原始資料!$A428="",19&gt;設定!$B$3,原始資料!V428=""),"",IF(AND(原始資料!U428&lt;&gt;"",原始資料!V428=原始資料!U428),N(S428)+1,1))</f>
        <v/>
      </c>
      <c r="U428" s="6">
        <f>IF(OR(原始資料!$A428="",20&gt;設定!$B$3,原始資料!W428=""),"",IF(AND(原始資料!V428&lt;&gt;"",原始資料!W428=原始資料!V428),N(T428)+1,1))</f>
        <v/>
      </c>
      <c r="V428" s="6">
        <f>IF(OR(原始資料!$A428="",21&gt;設定!$B$3,原始資料!X428=""),"",IF(AND(原始資料!W428&lt;&gt;"",原始資料!X428=原始資料!W428),N(U428)+1,1))</f>
        <v/>
      </c>
      <c r="W428" s="6">
        <f>IF(OR(原始資料!$A428="",22&gt;設定!$B$3,原始資料!Y428=""),"",IF(AND(原始資料!X428&lt;&gt;"",原始資料!Y428=原始資料!X428),N(V428)+1,1))</f>
        <v/>
      </c>
      <c r="X428" s="6">
        <f>IF(OR(原始資料!$A428="",23&gt;設定!$B$3,原始資料!Z428=""),"",IF(AND(原始資料!Y428&lt;&gt;"",原始資料!Z428=原始資料!Y428),N(W428)+1,1))</f>
        <v/>
      </c>
      <c r="Y428" s="6">
        <f>IF(OR(原始資料!$A428="",24&gt;設定!$B$3,原始資料!AA428=""),"",IF(AND(原始資料!Z428&lt;&gt;"",原始資料!AA428=原始資料!Z428),N(X428)+1,1))</f>
        <v/>
      </c>
      <c r="Z428" s="6">
        <f>IF(OR(原始資料!$A428="",25&gt;設定!$B$3,原始資料!AB428=""),"",IF(AND(原始資料!AA428&lt;&gt;"",原始資料!AB428=原始資料!AA428),N(Y428)+1,1))</f>
        <v/>
      </c>
      <c r="AA428" s="6">
        <f>IF(OR(原始資料!$A428="",26&gt;設定!$B$3,原始資料!AC428=""),"",IF(AND(原始資料!AB428&lt;&gt;"",原始資料!AC428=原始資料!AB428),N(Z428)+1,1))</f>
        <v/>
      </c>
      <c r="AB428" s="6">
        <f>IF(OR(原始資料!$A428="",27&gt;設定!$B$3,原始資料!AD428=""),"",IF(AND(原始資料!AC428&lt;&gt;"",原始資料!AD428=原始資料!AC428),N(AA428)+1,1))</f>
        <v/>
      </c>
      <c r="AC428" s="6">
        <f>IF(OR(原始資料!$A428="",28&gt;設定!$B$3,原始資料!AE428=""),"",IF(AND(原始資料!AD428&lt;&gt;"",原始資料!AE428=原始資料!AD428),N(AB428)+1,1))</f>
        <v/>
      </c>
      <c r="AD428" s="6">
        <f>IF(OR(原始資料!$A428="",29&gt;設定!$B$3,原始資料!AF428=""),"",IF(AND(原始資料!AE428&lt;&gt;"",原始資料!AF428=原始資料!AE428),N(AC428)+1,1))</f>
        <v/>
      </c>
      <c r="AE428" s="6">
        <f>IF(OR(原始資料!$A428="",30&gt;設定!$B$3,原始資料!AG428=""),"",IF(AND(原始資料!AF428&lt;&gt;"",原始資料!AG428=原始資料!AF428),N(AD428)+1,1))</f>
        <v/>
      </c>
      <c r="AF428" s="6">
        <f>IF(OR(原始資料!$A428="",31&gt;設定!$B$3,原始資料!AH428=""),"",IF(AND(原始資料!AG428&lt;&gt;"",原始資料!AH428=原始資料!AG428),N(AE428)+1,1))</f>
        <v/>
      </c>
      <c r="AG428" s="6">
        <f>IF(OR(原始資料!$A428="",32&gt;設定!$B$3,原始資料!AI428=""),"",IF(AND(原始資料!AH428&lt;&gt;"",原始資料!AI428=原始資料!AH428),N(AF428)+1,1))</f>
        <v/>
      </c>
      <c r="AH428" s="6">
        <f>IF(OR(原始資料!$A428="",33&gt;設定!$B$3,原始資料!AJ428=""),"",IF(AND(原始資料!AI428&lt;&gt;"",原始資料!AJ428=原始資料!AI428),N(AG428)+1,1))</f>
        <v/>
      </c>
      <c r="AI428" s="6">
        <f>IF(OR(原始資料!$A428="",34&gt;設定!$B$3,原始資料!AK428=""),"",IF(AND(原始資料!AJ428&lt;&gt;"",原始資料!AK428=原始資料!AJ428),N(AH428)+1,1))</f>
        <v/>
      </c>
      <c r="AJ428" s="6">
        <f>IF(OR(原始資料!$A428="",35&gt;設定!$B$3,原始資料!AL428=""),"",IF(AND(原始資料!AK428&lt;&gt;"",原始資料!AL428=原始資料!AK428),N(AI428)+1,1))</f>
        <v/>
      </c>
      <c r="AK428" s="6">
        <f>IF(OR(原始資料!$A428="",36&gt;設定!$B$3,原始資料!AM428=""),"",IF(AND(原始資料!AL428&lt;&gt;"",原始資料!AM428=原始資料!AL428),N(AJ428)+1,1))</f>
        <v/>
      </c>
      <c r="AL428" s="6">
        <f>IF(OR(原始資料!$A428="",37&gt;設定!$B$3,原始資料!AN428=""),"",IF(AND(原始資料!AM428&lt;&gt;"",原始資料!AN428=原始資料!AM428),N(AK428)+1,1))</f>
        <v/>
      </c>
      <c r="AM428" s="6">
        <f>IF(OR(原始資料!$A428="",38&gt;設定!$B$3,原始資料!AO428=""),"",IF(AND(原始資料!AN428&lt;&gt;"",原始資料!AO428=原始資料!AN428),N(AL428)+1,1))</f>
        <v/>
      </c>
      <c r="AN428" s="6">
        <f>IF(OR(原始資料!$A428="",39&gt;設定!$B$3,原始資料!AP428=""),"",IF(AND(原始資料!AO428&lt;&gt;"",原始資料!AP428=原始資料!AO428),N(AM428)+1,1))</f>
        <v/>
      </c>
      <c r="AO428" s="6">
        <f>IF(OR(原始資料!$A428="",40&gt;設定!$B$3,原始資料!AQ428=""),"",IF(AND(原始資料!AP428&lt;&gt;"",原始資料!AQ428=原始資料!AP428),N(AN428)+1,1))</f>
        <v/>
      </c>
      <c r="AP428" s="6">
        <f>IF(OR(原始資料!$A428="",41&gt;設定!$B$3,原始資料!AR428=""),"",IF(AND(原始資料!AQ428&lt;&gt;"",原始資料!AR428=原始資料!AQ428),N(AO428)+1,1))</f>
        <v/>
      </c>
      <c r="AQ428" s="6">
        <f>IF(OR(原始資料!$A428="",42&gt;設定!$B$3,原始資料!AS428=""),"",IF(AND(原始資料!AR428&lt;&gt;"",原始資料!AS428=原始資料!AR428),N(AP428)+1,1))</f>
        <v/>
      </c>
      <c r="AR428" s="6">
        <f>IF(OR(原始資料!$A428="",43&gt;設定!$B$3,原始資料!AT428=""),"",IF(AND(原始資料!AS428&lt;&gt;"",原始資料!AT428=原始資料!AS428),N(AQ428)+1,1))</f>
        <v/>
      </c>
      <c r="AS428" s="6">
        <f>IF(OR(原始資料!$A428="",44&gt;設定!$B$3,原始資料!AU428=""),"",IF(AND(原始資料!AT428&lt;&gt;"",原始資料!AU428=原始資料!AT428),N(AR428)+1,1))</f>
        <v/>
      </c>
      <c r="AT428" s="6">
        <f>IF(OR(原始資料!$A428="",45&gt;設定!$B$3,原始資料!AV428=""),"",IF(AND(原始資料!AU428&lt;&gt;"",原始資料!AV428=原始資料!AU428),N(AS428)+1,1))</f>
        <v/>
      </c>
      <c r="AU428" s="6">
        <f>IF(OR(原始資料!$A428="",46&gt;設定!$B$3,原始資料!AW428=""),"",IF(AND(原始資料!AV428&lt;&gt;"",原始資料!AW428=原始資料!AV428),N(AT428)+1,1))</f>
        <v/>
      </c>
      <c r="AV428" s="6">
        <f>IF(OR(原始資料!$A428="",47&gt;設定!$B$3,原始資料!AX428=""),"",IF(AND(原始資料!AW428&lt;&gt;"",原始資料!AX428=原始資料!AW428),N(AU428)+1,1))</f>
        <v/>
      </c>
      <c r="AW428" s="6">
        <f>IF(OR(原始資料!$A428="",48&gt;設定!$B$3,原始資料!AY428=""),"",IF(AND(原始資料!AX428&lt;&gt;"",原始資料!AY428=原始資料!AX428),N(AV428)+1,1))</f>
        <v/>
      </c>
      <c r="AX428" s="6">
        <f>IF(OR(原始資料!$A428="",49&gt;設定!$B$3,原始資料!AZ428=""),"",IF(AND(原始資料!AY428&lt;&gt;"",原始資料!AZ428=原始資料!AY428),N(AW428)+1,1))</f>
        <v/>
      </c>
      <c r="AY428" s="6">
        <f>IF(OR(原始資料!$A428="",50&gt;設定!$B$3,原始資料!BA428=""),"",IF(AND(原始資料!AZ428&lt;&gt;"",原始資料!BA428=原始資料!AZ428),N(AX428)+1,1))</f>
        <v/>
      </c>
      <c r="AZ428" s="6">
        <f>IF(OR(原始資料!$A428="",51&gt;設定!$B$3,原始資料!BB428=""),"",IF(AND(原始資料!BA428&lt;&gt;"",原始資料!BB428=原始資料!BA428),N(AY428)+1,1))</f>
        <v/>
      </c>
      <c r="BA428" s="6">
        <f>IF(OR(原始資料!$A428="",52&gt;設定!$B$3,原始資料!BC428=""),"",IF(AND(原始資料!BB428&lt;&gt;"",原始資料!BC428=原始資料!BB428),N(AZ428)+1,1))</f>
        <v/>
      </c>
      <c r="BB428" s="6">
        <f>IF(OR(原始資料!$A428="",53&gt;設定!$B$3,原始資料!BD428=""),"",IF(AND(原始資料!BC428&lt;&gt;"",原始資料!BD428=原始資料!BC428),N(BA428)+1,1))</f>
        <v/>
      </c>
      <c r="BC428" s="6">
        <f>IF(OR(原始資料!$A428="",54&gt;設定!$B$3,原始資料!BE428=""),"",IF(AND(原始資料!BD428&lt;&gt;"",原始資料!BE428=原始資料!BD428),N(BB428)+1,1))</f>
        <v/>
      </c>
      <c r="BD428" s="6">
        <f>IF(OR(原始資料!$A428="",55&gt;設定!$B$3,原始資料!BF428=""),"",IF(AND(原始資料!BE428&lt;&gt;"",原始資料!BF428=原始資料!BE428),N(BC428)+1,1))</f>
        <v/>
      </c>
      <c r="BE428" s="6">
        <f>IF(OR(原始資料!$A428="",56&gt;設定!$B$3,原始資料!BG428=""),"",IF(AND(原始資料!BF428&lt;&gt;"",原始資料!BG428=原始資料!BF428),N(BD428)+1,1))</f>
        <v/>
      </c>
      <c r="BF428" s="6">
        <f>IF(OR(原始資料!$A428="",57&gt;設定!$B$3,原始資料!BH428=""),"",IF(AND(原始資料!BG428&lt;&gt;"",原始資料!BH428=原始資料!BG428),N(BE428)+1,1))</f>
        <v/>
      </c>
      <c r="BG428" s="6">
        <f>IF(OR(原始資料!$A428="",58&gt;設定!$B$3,原始資料!BI428=""),"",IF(AND(原始資料!BH428&lt;&gt;"",原始資料!BI428=原始資料!BH428),N(BF428)+1,1))</f>
        <v/>
      </c>
      <c r="BH428" s="6">
        <f>IF(OR(原始資料!$A428="",59&gt;設定!$B$3,原始資料!BJ428=""),"",IF(AND(原始資料!BI428&lt;&gt;"",原始資料!BJ428=原始資料!BI428),N(BG428)+1,1))</f>
        <v/>
      </c>
      <c r="BI428" s="6">
        <f>IF(OR(原始資料!$A428="",60&gt;設定!$B$3,原始資料!BK428=""),"",IF(AND(原始資料!BJ428&lt;&gt;"",原始資料!BK428=原始資料!BJ428),N(BH428)+1,1))</f>
        <v/>
      </c>
    </row>
    <row r="429">
      <c r="A429" s="6">
        <f>IF(原始資料!$A429="","",原始資料!$A429)</f>
        <v/>
      </c>
      <c r="B429" s="6">
        <f>IF(OR(原始資料!$A429="",1&gt;設定!$B$3,原始資料!D429=""),"",1)</f>
        <v/>
      </c>
      <c r="C429" s="6">
        <f>IF(OR(原始資料!$A429="",2&gt;設定!$B$3,原始資料!E429=""),"",IF(AND(原始資料!D429&lt;&gt;"",原始資料!E429=原始資料!D429),N(B429)+1,1))</f>
        <v/>
      </c>
      <c r="D429" s="6">
        <f>IF(OR(原始資料!$A429="",3&gt;設定!$B$3,原始資料!F429=""),"",IF(AND(原始資料!E429&lt;&gt;"",原始資料!F429=原始資料!E429),N(C429)+1,1))</f>
        <v/>
      </c>
      <c r="E429" s="6">
        <f>IF(OR(原始資料!$A429="",4&gt;設定!$B$3,原始資料!G429=""),"",IF(AND(原始資料!F429&lt;&gt;"",原始資料!G429=原始資料!F429),N(D429)+1,1))</f>
        <v/>
      </c>
      <c r="F429" s="6">
        <f>IF(OR(原始資料!$A429="",5&gt;設定!$B$3,原始資料!H429=""),"",IF(AND(原始資料!G429&lt;&gt;"",原始資料!H429=原始資料!G429),N(E429)+1,1))</f>
        <v/>
      </c>
      <c r="G429" s="6">
        <f>IF(OR(原始資料!$A429="",6&gt;設定!$B$3,原始資料!I429=""),"",IF(AND(原始資料!H429&lt;&gt;"",原始資料!I429=原始資料!H429),N(F429)+1,1))</f>
        <v/>
      </c>
      <c r="H429" s="6">
        <f>IF(OR(原始資料!$A429="",7&gt;設定!$B$3,原始資料!J429=""),"",IF(AND(原始資料!I429&lt;&gt;"",原始資料!J429=原始資料!I429),N(G429)+1,1))</f>
        <v/>
      </c>
      <c r="I429" s="6">
        <f>IF(OR(原始資料!$A429="",8&gt;設定!$B$3,原始資料!K429=""),"",IF(AND(原始資料!J429&lt;&gt;"",原始資料!K429=原始資料!J429),N(H429)+1,1))</f>
        <v/>
      </c>
      <c r="J429" s="6">
        <f>IF(OR(原始資料!$A429="",9&gt;設定!$B$3,原始資料!L429=""),"",IF(AND(原始資料!K429&lt;&gt;"",原始資料!L429=原始資料!K429),N(I429)+1,1))</f>
        <v/>
      </c>
      <c r="K429" s="6">
        <f>IF(OR(原始資料!$A429="",10&gt;設定!$B$3,原始資料!M429=""),"",IF(AND(原始資料!L429&lt;&gt;"",原始資料!M429=原始資料!L429),N(J429)+1,1))</f>
        <v/>
      </c>
      <c r="L429" s="6">
        <f>IF(OR(原始資料!$A429="",11&gt;設定!$B$3,原始資料!N429=""),"",IF(AND(原始資料!M429&lt;&gt;"",原始資料!N429=原始資料!M429),N(K429)+1,1))</f>
        <v/>
      </c>
      <c r="M429" s="6">
        <f>IF(OR(原始資料!$A429="",12&gt;設定!$B$3,原始資料!O429=""),"",IF(AND(原始資料!N429&lt;&gt;"",原始資料!O429=原始資料!N429),N(L429)+1,1))</f>
        <v/>
      </c>
      <c r="N429" s="6">
        <f>IF(OR(原始資料!$A429="",13&gt;設定!$B$3,原始資料!P429=""),"",IF(AND(原始資料!O429&lt;&gt;"",原始資料!P429=原始資料!O429),N(M429)+1,1))</f>
        <v/>
      </c>
      <c r="O429" s="6">
        <f>IF(OR(原始資料!$A429="",14&gt;設定!$B$3,原始資料!Q429=""),"",IF(AND(原始資料!P429&lt;&gt;"",原始資料!Q429=原始資料!P429),N(N429)+1,1))</f>
        <v/>
      </c>
      <c r="P429" s="6">
        <f>IF(OR(原始資料!$A429="",15&gt;設定!$B$3,原始資料!R429=""),"",IF(AND(原始資料!Q429&lt;&gt;"",原始資料!R429=原始資料!Q429),N(O429)+1,1))</f>
        <v/>
      </c>
      <c r="Q429" s="6">
        <f>IF(OR(原始資料!$A429="",16&gt;設定!$B$3,原始資料!S429=""),"",IF(AND(原始資料!R429&lt;&gt;"",原始資料!S429=原始資料!R429),N(P429)+1,1))</f>
        <v/>
      </c>
      <c r="R429" s="6">
        <f>IF(OR(原始資料!$A429="",17&gt;設定!$B$3,原始資料!T429=""),"",IF(AND(原始資料!S429&lt;&gt;"",原始資料!T429=原始資料!S429),N(Q429)+1,1))</f>
        <v/>
      </c>
      <c r="S429" s="6">
        <f>IF(OR(原始資料!$A429="",18&gt;設定!$B$3,原始資料!U429=""),"",IF(AND(原始資料!T429&lt;&gt;"",原始資料!U429=原始資料!T429),N(R429)+1,1))</f>
        <v/>
      </c>
      <c r="T429" s="6">
        <f>IF(OR(原始資料!$A429="",19&gt;設定!$B$3,原始資料!V429=""),"",IF(AND(原始資料!U429&lt;&gt;"",原始資料!V429=原始資料!U429),N(S429)+1,1))</f>
        <v/>
      </c>
      <c r="U429" s="6">
        <f>IF(OR(原始資料!$A429="",20&gt;設定!$B$3,原始資料!W429=""),"",IF(AND(原始資料!V429&lt;&gt;"",原始資料!W429=原始資料!V429),N(T429)+1,1))</f>
        <v/>
      </c>
      <c r="V429" s="6">
        <f>IF(OR(原始資料!$A429="",21&gt;設定!$B$3,原始資料!X429=""),"",IF(AND(原始資料!W429&lt;&gt;"",原始資料!X429=原始資料!W429),N(U429)+1,1))</f>
        <v/>
      </c>
      <c r="W429" s="6">
        <f>IF(OR(原始資料!$A429="",22&gt;設定!$B$3,原始資料!Y429=""),"",IF(AND(原始資料!X429&lt;&gt;"",原始資料!Y429=原始資料!X429),N(V429)+1,1))</f>
        <v/>
      </c>
      <c r="X429" s="6">
        <f>IF(OR(原始資料!$A429="",23&gt;設定!$B$3,原始資料!Z429=""),"",IF(AND(原始資料!Y429&lt;&gt;"",原始資料!Z429=原始資料!Y429),N(W429)+1,1))</f>
        <v/>
      </c>
      <c r="Y429" s="6">
        <f>IF(OR(原始資料!$A429="",24&gt;設定!$B$3,原始資料!AA429=""),"",IF(AND(原始資料!Z429&lt;&gt;"",原始資料!AA429=原始資料!Z429),N(X429)+1,1))</f>
        <v/>
      </c>
      <c r="Z429" s="6">
        <f>IF(OR(原始資料!$A429="",25&gt;設定!$B$3,原始資料!AB429=""),"",IF(AND(原始資料!AA429&lt;&gt;"",原始資料!AB429=原始資料!AA429),N(Y429)+1,1))</f>
        <v/>
      </c>
      <c r="AA429" s="6">
        <f>IF(OR(原始資料!$A429="",26&gt;設定!$B$3,原始資料!AC429=""),"",IF(AND(原始資料!AB429&lt;&gt;"",原始資料!AC429=原始資料!AB429),N(Z429)+1,1))</f>
        <v/>
      </c>
      <c r="AB429" s="6">
        <f>IF(OR(原始資料!$A429="",27&gt;設定!$B$3,原始資料!AD429=""),"",IF(AND(原始資料!AC429&lt;&gt;"",原始資料!AD429=原始資料!AC429),N(AA429)+1,1))</f>
        <v/>
      </c>
      <c r="AC429" s="6">
        <f>IF(OR(原始資料!$A429="",28&gt;設定!$B$3,原始資料!AE429=""),"",IF(AND(原始資料!AD429&lt;&gt;"",原始資料!AE429=原始資料!AD429),N(AB429)+1,1))</f>
        <v/>
      </c>
      <c r="AD429" s="6">
        <f>IF(OR(原始資料!$A429="",29&gt;設定!$B$3,原始資料!AF429=""),"",IF(AND(原始資料!AE429&lt;&gt;"",原始資料!AF429=原始資料!AE429),N(AC429)+1,1))</f>
        <v/>
      </c>
      <c r="AE429" s="6">
        <f>IF(OR(原始資料!$A429="",30&gt;設定!$B$3,原始資料!AG429=""),"",IF(AND(原始資料!AF429&lt;&gt;"",原始資料!AG429=原始資料!AF429),N(AD429)+1,1))</f>
        <v/>
      </c>
      <c r="AF429" s="6">
        <f>IF(OR(原始資料!$A429="",31&gt;設定!$B$3,原始資料!AH429=""),"",IF(AND(原始資料!AG429&lt;&gt;"",原始資料!AH429=原始資料!AG429),N(AE429)+1,1))</f>
        <v/>
      </c>
      <c r="AG429" s="6">
        <f>IF(OR(原始資料!$A429="",32&gt;設定!$B$3,原始資料!AI429=""),"",IF(AND(原始資料!AH429&lt;&gt;"",原始資料!AI429=原始資料!AH429),N(AF429)+1,1))</f>
        <v/>
      </c>
      <c r="AH429" s="6">
        <f>IF(OR(原始資料!$A429="",33&gt;設定!$B$3,原始資料!AJ429=""),"",IF(AND(原始資料!AI429&lt;&gt;"",原始資料!AJ429=原始資料!AI429),N(AG429)+1,1))</f>
        <v/>
      </c>
      <c r="AI429" s="6">
        <f>IF(OR(原始資料!$A429="",34&gt;設定!$B$3,原始資料!AK429=""),"",IF(AND(原始資料!AJ429&lt;&gt;"",原始資料!AK429=原始資料!AJ429),N(AH429)+1,1))</f>
        <v/>
      </c>
      <c r="AJ429" s="6">
        <f>IF(OR(原始資料!$A429="",35&gt;設定!$B$3,原始資料!AL429=""),"",IF(AND(原始資料!AK429&lt;&gt;"",原始資料!AL429=原始資料!AK429),N(AI429)+1,1))</f>
        <v/>
      </c>
      <c r="AK429" s="6">
        <f>IF(OR(原始資料!$A429="",36&gt;設定!$B$3,原始資料!AM429=""),"",IF(AND(原始資料!AL429&lt;&gt;"",原始資料!AM429=原始資料!AL429),N(AJ429)+1,1))</f>
        <v/>
      </c>
      <c r="AL429" s="6">
        <f>IF(OR(原始資料!$A429="",37&gt;設定!$B$3,原始資料!AN429=""),"",IF(AND(原始資料!AM429&lt;&gt;"",原始資料!AN429=原始資料!AM429),N(AK429)+1,1))</f>
        <v/>
      </c>
      <c r="AM429" s="6">
        <f>IF(OR(原始資料!$A429="",38&gt;設定!$B$3,原始資料!AO429=""),"",IF(AND(原始資料!AN429&lt;&gt;"",原始資料!AO429=原始資料!AN429),N(AL429)+1,1))</f>
        <v/>
      </c>
      <c r="AN429" s="6">
        <f>IF(OR(原始資料!$A429="",39&gt;設定!$B$3,原始資料!AP429=""),"",IF(AND(原始資料!AO429&lt;&gt;"",原始資料!AP429=原始資料!AO429),N(AM429)+1,1))</f>
        <v/>
      </c>
      <c r="AO429" s="6">
        <f>IF(OR(原始資料!$A429="",40&gt;設定!$B$3,原始資料!AQ429=""),"",IF(AND(原始資料!AP429&lt;&gt;"",原始資料!AQ429=原始資料!AP429),N(AN429)+1,1))</f>
        <v/>
      </c>
      <c r="AP429" s="6">
        <f>IF(OR(原始資料!$A429="",41&gt;設定!$B$3,原始資料!AR429=""),"",IF(AND(原始資料!AQ429&lt;&gt;"",原始資料!AR429=原始資料!AQ429),N(AO429)+1,1))</f>
        <v/>
      </c>
      <c r="AQ429" s="6">
        <f>IF(OR(原始資料!$A429="",42&gt;設定!$B$3,原始資料!AS429=""),"",IF(AND(原始資料!AR429&lt;&gt;"",原始資料!AS429=原始資料!AR429),N(AP429)+1,1))</f>
        <v/>
      </c>
      <c r="AR429" s="6">
        <f>IF(OR(原始資料!$A429="",43&gt;設定!$B$3,原始資料!AT429=""),"",IF(AND(原始資料!AS429&lt;&gt;"",原始資料!AT429=原始資料!AS429),N(AQ429)+1,1))</f>
        <v/>
      </c>
      <c r="AS429" s="6">
        <f>IF(OR(原始資料!$A429="",44&gt;設定!$B$3,原始資料!AU429=""),"",IF(AND(原始資料!AT429&lt;&gt;"",原始資料!AU429=原始資料!AT429),N(AR429)+1,1))</f>
        <v/>
      </c>
      <c r="AT429" s="6">
        <f>IF(OR(原始資料!$A429="",45&gt;設定!$B$3,原始資料!AV429=""),"",IF(AND(原始資料!AU429&lt;&gt;"",原始資料!AV429=原始資料!AU429),N(AS429)+1,1))</f>
        <v/>
      </c>
      <c r="AU429" s="6">
        <f>IF(OR(原始資料!$A429="",46&gt;設定!$B$3,原始資料!AW429=""),"",IF(AND(原始資料!AV429&lt;&gt;"",原始資料!AW429=原始資料!AV429),N(AT429)+1,1))</f>
        <v/>
      </c>
      <c r="AV429" s="6">
        <f>IF(OR(原始資料!$A429="",47&gt;設定!$B$3,原始資料!AX429=""),"",IF(AND(原始資料!AW429&lt;&gt;"",原始資料!AX429=原始資料!AW429),N(AU429)+1,1))</f>
        <v/>
      </c>
      <c r="AW429" s="6">
        <f>IF(OR(原始資料!$A429="",48&gt;設定!$B$3,原始資料!AY429=""),"",IF(AND(原始資料!AX429&lt;&gt;"",原始資料!AY429=原始資料!AX429),N(AV429)+1,1))</f>
        <v/>
      </c>
      <c r="AX429" s="6">
        <f>IF(OR(原始資料!$A429="",49&gt;設定!$B$3,原始資料!AZ429=""),"",IF(AND(原始資料!AY429&lt;&gt;"",原始資料!AZ429=原始資料!AY429),N(AW429)+1,1))</f>
        <v/>
      </c>
      <c r="AY429" s="6">
        <f>IF(OR(原始資料!$A429="",50&gt;設定!$B$3,原始資料!BA429=""),"",IF(AND(原始資料!AZ429&lt;&gt;"",原始資料!BA429=原始資料!AZ429),N(AX429)+1,1))</f>
        <v/>
      </c>
      <c r="AZ429" s="6">
        <f>IF(OR(原始資料!$A429="",51&gt;設定!$B$3,原始資料!BB429=""),"",IF(AND(原始資料!BA429&lt;&gt;"",原始資料!BB429=原始資料!BA429),N(AY429)+1,1))</f>
        <v/>
      </c>
      <c r="BA429" s="6">
        <f>IF(OR(原始資料!$A429="",52&gt;設定!$B$3,原始資料!BC429=""),"",IF(AND(原始資料!BB429&lt;&gt;"",原始資料!BC429=原始資料!BB429),N(AZ429)+1,1))</f>
        <v/>
      </c>
      <c r="BB429" s="6">
        <f>IF(OR(原始資料!$A429="",53&gt;設定!$B$3,原始資料!BD429=""),"",IF(AND(原始資料!BC429&lt;&gt;"",原始資料!BD429=原始資料!BC429),N(BA429)+1,1))</f>
        <v/>
      </c>
      <c r="BC429" s="6">
        <f>IF(OR(原始資料!$A429="",54&gt;設定!$B$3,原始資料!BE429=""),"",IF(AND(原始資料!BD429&lt;&gt;"",原始資料!BE429=原始資料!BD429),N(BB429)+1,1))</f>
        <v/>
      </c>
      <c r="BD429" s="6">
        <f>IF(OR(原始資料!$A429="",55&gt;設定!$B$3,原始資料!BF429=""),"",IF(AND(原始資料!BE429&lt;&gt;"",原始資料!BF429=原始資料!BE429),N(BC429)+1,1))</f>
        <v/>
      </c>
      <c r="BE429" s="6">
        <f>IF(OR(原始資料!$A429="",56&gt;設定!$B$3,原始資料!BG429=""),"",IF(AND(原始資料!BF429&lt;&gt;"",原始資料!BG429=原始資料!BF429),N(BD429)+1,1))</f>
        <v/>
      </c>
      <c r="BF429" s="6">
        <f>IF(OR(原始資料!$A429="",57&gt;設定!$B$3,原始資料!BH429=""),"",IF(AND(原始資料!BG429&lt;&gt;"",原始資料!BH429=原始資料!BG429),N(BE429)+1,1))</f>
        <v/>
      </c>
      <c r="BG429" s="6">
        <f>IF(OR(原始資料!$A429="",58&gt;設定!$B$3,原始資料!BI429=""),"",IF(AND(原始資料!BH429&lt;&gt;"",原始資料!BI429=原始資料!BH429),N(BF429)+1,1))</f>
        <v/>
      </c>
      <c r="BH429" s="6">
        <f>IF(OR(原始資料!$A429="",59&gt;設定!$B$3,原始資料!BJ429=""),"",IF(AND(原始資料!BI429&lt;&gt;"",原始資料!BJ429=原始資料!BI429),N(BG429)+1,1))</f>
        <v/>
      </c>
      <c r="BI429" s="6">
        <f>IF(OR(原始資料!$A429="",60&gt;設定!$B$3,原始資料!BK429=""),"",IF(AND(原始資料!BJ429&lt;&gt;"",原始資料!BK429=原始資料!BJ429),N(BH429)+1,1))</f>
        <v/>
      </c>
    </row>
    <row r="430">
      <c r="A430" s="6">
        <f>IF(原始資料!$A430="","",原始資料!$A430)</f>
        <v/>
      </c>
      <c r="B430" s="6">
        <f>IF(OR(原始資料!$A430="",1&gt;設定!$B$3,原始資料!D430=""),"",1)</f>
        <v/>
      </c>
      <c r="C430" s="6">
        <f>IF(OR(原始資料!$A430="",2&gt;設定!$B$3,原始資料!E430=""),"",IF(AND(原始資料!D430&lt;&gt;"",原始資料!E430=原始資料!D430),N(B430)+1,1))</f>
        <v/>
      </c>
      <c r="D430" s="6">
        <f>IF(OR(原始資料!$A430="",3&gt;設定!$B$3,原始資料!F430=""),"",IF(AND(原始資料!E430&lt;&gt;"",原始資料!F430=原始資料!E430),N(C430)+1,1))</f>
        <v/>
      </c>
      <c r="E430" s="6">
        <f>IF(OR(原始資料!$A430="",4&gt;設定!$B$3,原始資料!G430=""),"",IF(AND(原始資料!F430&lt;&gt;"",原始資料!G430=原始資料!F430),N(D430)+1,1))</f>
        <v/>
      </c>
      <c r="F430" s="6">
        <f>IF(OR(原始資料!$A430="",5&gt;設定!$B$3,原始資料!H430=""),"",IF(AND(原始資料!G430&lt;&gt;"",原始資料!H430=原始資料!G430),N(E430)+1,1))</f>
        <v/>
      </c>
      <c r="G430" s="6">
        <f>IF(OR(原始資料!$A430="",6&gt;設定!$B$3,原始資料!I430=""),"",IF(AND(原始資料!H430&lt;&gt;"",原始資料!I430=原始資料!H430),N(F430)+1,1))</f>
        <v/>
      </c>
      <c r="H430" s="6">
        <f>IF(OR(原始資料!$A430="",7&gt;設定!$B$3,原始資料!J430=""),"",IF(AND(原始資料!I430&lt;&gt;"",原始資料!J430=原始資料!I430),N(G430)+1,1))</f>
        <v/>
      </c>
      <c r="I430" s="6">
        <f>IF(OR(原始資料!$A430="",8&gt;設定!$B$3,原始資料!K430=""),"",IF(AND(原始資料!J430&lt;&gt;"",原始資料!K430=原始資料!J430),N(H430)+1,1))</f>
        <v/>
      </c>
      <c r="J430" s="6">
        <f>IF(OR(原始資料!$A430="",9&gt;設定!$B$3,原始資料!L430=""),"",IF(AND(原始資料!K430&lt;&gt;"",原始資料!L430=原始資料!K430),N(I430)+1,1))</f>
        <v/>
      </c>
      <c r="K430" s="6">
        <f>IF(OR(原始資料!$A430="",10&gt;設定!$B$3,原始資料!M430=""),"",IF(AND(原始資料!L430&lt;&gt;"",原始資料!M430=原始資料!L430),N(J430)+1,1))</f>
        <v/>
      </c>
      <c r="L430" s="6">
        <f>IF(OR(原始資料!$A430="",11&gt;設定!$B$3,原始資料!N430=""),"",IF(AND(原始資料!M430&lt;&gt;"",原始資料!N430=原始資料!M430),N(K430)+1,1))</f>
        <v/>
      </c>
      <c r="M430" s="6">
        <f>IF(OR(原始資料!$A430="",12&gt;設定!$B$3,原始資料!O430=""),"",IF(AND(原始資料!N430&lt;&gt;"",原始資料!O430=原始資料!N430),N(L430)+1,1))</f>
        <v/>
      </c>
      <c r="N430" s="6">
        <f>IF(OR(原始資料!$A430="",13&gt;設定!$B$3,原始資料!P430=""),"",IF(AND(原始資料!O430&lt;&gt;"",原始資料!P430=原始資料!O430),N(M430)+1,1))</f>
        <v/>
      </c>
      <c r="O430" s="6">
        <f>IF(OR(原始資料!$A430="",14&gt;設定!$B$3,原始資料!Q430=""),"",IF(AND(原始資料!P430&lt;&gt;"",原始資料!Q430=原始資料!P430),N(N430)+1,1))</f>
        <v/>
      </c>
      <c r="P430" s="6">
        <f>IF(OR(原始資料!$A430="",15&gt;設定!$B$3,原始資料!R430=""),"",IF(AND(原始資料!Q430&lt;&gt;"",原始資料!R430=原始資料!Q430),N(O430)+1,1))</f>
        <v/>
      </c>
      <c r="Q430" s="6">
        <f>IF(OR(原始資料!$A430="",16&gt;設定!$B$3,原始資料!S430=""),"",IF(AND(原始資料!R430&lt;&gt;"",原始資料!S430=原始資料!R430),N(P430)+1,1))</f>
        <v/>
      </c>
      <c r="R430" s="6">
        <f>IF(OR(原始資料!$A430="",17&gt;設定!$B$3,原始資料!T430=""),"",IF(AND(原始資料!S430&lt;&gt;"",原始資料!T430=原始資料!S430),N(Q430)+1,1))</f>
        <v/>
      </c>
      <c r="S430" s="6">
        <f>IF(OR(原始資料!$A430="",18&gt;設定!$B$3,原始資料!U430=""),"",IF(AND(原始資料!T430&lt;&gt;"",原始資料!U430=原始資料!T430),N(R430)+1,1))</f>
        <v/>
      </c>
      <c r="T430" s="6">
        <f>IF(OR(原始資料!$A430="",19&gt;設定!$B$3,原始資料!V430=""),"",IF(AND(原始資料!U430&lt;&gt;"",原始資料!V430=原始資料!U430),N(S430)+1,1))</f>
        <v/>
      </c>
      <c r="U430" s="6">
        <f>IF(OR(原始資料!$A430="",20&gt;設定!$B$3,原始資料!W430=""),"",IF(AND(原始資料!V430&lt;&gt;"",原始資料!W430=原始資料!V430),N(T430)+1,1))</f>
        <v/>
      </c>
      <c r="V430" s="6">
        <f>IF(OR(原始資料!$A430="",21&gt;設定!$B$3,原始資料!X430=""),"",IF(AND(原始資料!W430&lt;&gt;"",原始資料!X430=原始資料!W430),N(U430)+1,1))</f>
        <v/>
      </c>
      <c r="W430" s="6">
        <f>IF(OR(原始資料!$A430="",22&gt;設定!$B$3,原始資料!Y430=""),"",IF(AND(原始資料!X430&lt;&gt;"",原始資料!Y430=原始資料!X430),N(V430)+1,1))</f>
        <v/>
      </c>
      <c r="X430" s="6">
        <f>IF(OR(原始資料!$A430="",23&gt;設定!$B$3,原始資料!Z430=""),"",IF(AND(原始資料!Y430&lt;&gt;"",原始資料!Z430=原始資料!Y430),N(W430)+1,1))</f>
        <v/>
      </c>
      <c r="Y430" s="6">
        <f>IF(OR(原始資料!$A430="",24&gt;設定!$B$3,原始資料!AA430=""),"",IF(AND(原始資料!Z430&lt;&gt;"",原始資料!AA430=原始資料!Z430),N(X430)+1,1))</f>
        <v/>
      </c>
      <c r="Z430" s="6">
        <f>IF(OR(原始資料!$A430="",25&gt;設定!$B$3,原始資料!AB430=""),"",IF(AND(原始資料!AA430&lt;&gt;"",原始資料!AB430=原始資料!AA430),N(Y430)+1,1))</f>
        <v/>
      </c>
      <c r="AA430" s="6">
        <f>IF(OR(原始資料!$A430="",26&gt;設定!$B$3,原始資料!AC430=""),"",IF(AND(原始資料!AB430&lt;&gt;"",原始資料!AC430=原始資料!AB430),N(Z430)+1,1))</f>
        <v/>
      </c>
      <c r="AB430" s="6">
        <f>IF(OR(原始資料!$A430="",27&gt;設定!$B$3,原始資料!AD430=""),"",IF(AND(原始資料!AC430&lt;&gt;"",原始資料!AD430=原始資料!AC430),N(AA430)+1,1))</f>
        <v/>
      </c>
      <c r="AC430" s="6">
        <f>IF(OR(原始資料!$A430="",28&gt;設定!$B$3,原始資料!AE430=""),"",IF(AND(原始資料!AD430&lt;&gt;"",原始資料!AE430=原始資料!AD430),N(AB430)+1,1))</f>
        <v/>
      </c>
      <c r="AD430" s="6">
        <f>IF(OR(原始資料!$A430="",29&gt;設定!$B$3,原始資料!AF430=""),"",IF(AND(原始資料!AE430&lt;&gt;"",原始資料!AF430=原始資料!AE430),N(AC430)+1,1))</f>
        <v/>
      </c>
      <c r="AE430" s="6">
        <f>IF(OR(原始資料!$A430="",30&gt;設定!$B$3,原始資料!AG430=""),"",IF(AND(原始資料!AF430&lt;&gt;"",原始資料!AG430=原始資料!AF430),N(AD430)+1,1))</f>
        <v/>
      </c>
      <c r="AF430" s="6">
        <f>IF(OR(原始資料!$A430="",31&gt;設定!$B$3,原始資料!AH430=""),"",IF(AND(原始資料!AG430&lt;&gt;"",原始資料!AH430=原始資料!AG430),N(AE430)+1,1))</f>
        <v/>
      </c>
      <c r="AG430" s="6">
        <f>IF(OR(原始資料!$A430="",32&gt;設定!$B$3,原始資料!AI430=""),"",IF(AND(原始資料!AH430&lt;&gt;"",原始資料!AI430=原始資料!AH430),N(AF430)+1,1))</f>
        <v/>
      </c>
      <c r="AH430" s="6">
        <f>IF(OR(原始資料!$A430="",33&gt;設定!$B$3,原始資料!AJ430=""),"",IF(AND(原始資料!AI430&lt;&gt;"",原始資料!AJ430=原始資料!AI430),N(AG430)+1,1))</f>
        <v/>
      </c>
      <c r="AI430" s="6">
        <f>IF(OR(原始資料!$A430="",34&gt;設定!$B$3,原始資料!AK430=""),"",IF(AND(原始資料!AJ430&lt;&gt;"",原始資料!AK430=原始資料!AJ430),N(AH430)+1,1))</f>
        <v/>
      </c>
      <c r="AJ430" s="6">
        <f>IF(OR(原始資料!$A430="",35&gt;設定!$B$3,原始資料!AL430=""),"",IF(AND(原始資料!AK430&lt;&gt;"",原始資料!AL430=原始資料!AK430),N(AI430)+1,1))</f>
        <v/>
      </c>
      <c r="AK430" s="6">
        <f>IF(OR(原始資料!$A430="",36&gt;設定!$B$3,原始資料!AM430=""),"",IF(AND(原始資料!AL430&lt;&gt;"",原始資料!AM430=原始資料!AL430),N(AJ430)+1,1))</f>
        <v/>
      </c>
      <c r="AL430" s="6">
        <f>IF(OR(原始資料!$A430="",37&gt;設定!$B$3,原始資料!AN430=""),"",IF(AND(原始資料!AM430&lt;&gt;"",原始資料!AN430=原始資料!AM430),N(AK430)+1,1))</f>
        <v/>
      </c>
      <c r="AM430" s="6">
        <f>IF(OR(原始資料!$A430="",38&gt;設定!$B$3,原始資料!AO430=""),"",IF(AND(原始資料!AN430&lt;&gt;"",原始資料!AO430=原始資料!AN430),N(AL430)+1,1))</f>
        <v/>
      </c>
      <c r="AN430" s="6">
        <f>IF(OR(原始資料!$A430="",39&gt;設定!$B$3,原始資料!AP430=""),"",IF(AND(原始資料!AO430&lt;&gt;"",原始資料!AP430=原始資料!AO430),N(AM430)+1,1))</f>
        <v/>
      </c>
      <c r="AO430" s="6">
        <f>IF(OR(原始資料!$A430="",40&gt;設定!$B$3,原始資料!AQ430=""),"",IF(AND(原始資料!AP430&lt;&gt;"",原始資料!AQ430=原始資料!AP430),N(AN430)+1,1))</f>
        <v/>
      </c>
      <c r="AP430" s="6">
        <f>IF(OR(原始資料!$A430="",41&gt;設定!$B$3,原始資料!AR430=""),"",IF(AND(原始資料!AQ430&lt;&gt;"",原始資料!AR430=原始資料!AQ430),N(AO430)+1,1))</f>
        <v/>
      </c>
      <c r="AQ430" s="6">
        <f>IF(OR(原始資料!$A430="",42&gt;設定!$B$3,原始資料!AS430=""),"",IF(AND(原始資料!AR430&lt;&gt;"",原始資料!AS430=原始資料!AR430),N(AP430)+1,1))</f>
        <v/>
      </c>
      <c r="AR430" s="6">
        <f>IF(OR(原始資料!$A430="",43&gt;設定!$B$3,原始資料!AT430=""),"",IF(AND(原始資料!AS430&lt;&gt;"",原始資料!AT430=原始資料!AS430),N(AQ430)+1,1))</f>
        <v/>
      </c>
      <c r="AS430" s="6">
        <f>IF(OR(原始資料!$A430="",44&gt;設定!$B$3,原始資料!AU430=""),"",IF(AND(原始資料!AT430&lt;&gt;"",原始資料!AU430=原始資料!AT430),N(AR430)+1,1))</f>
        <v/>
      </c>
      <c r="AT430" s="6">
        <f>IF(OR(原始資料!$A430="",45&gt;設定!$B$3,原始資料!AV430=""),"",IF(AND(原始資料!AU430&lt;&gt;"",原始資料!AV430=原始資料!AU430),N(AS430)+1,1))</f>
        <v/>
      </c>
      <c r="AU430" s="6">
        <f>IF(OR(原始資料!$A430="",46&gt;設定!$B$3,原始資料!AW430=""),"",IF(AND(原始資料!AV430&lt;&gt;"",原始資料!AW430=原始資料!AV430),N(AT430)+1,1))</f>
        <v/>
      </c>
      <c r="AV430" s="6">
        <f>IF(OR(原始資料!$A430="",47&gt;設定!$B$3,原始資料!AX430=""),"",IF(AND(原始資料!AW430&lt;&gt;"",原始資料!AX430=原始資料!AW430),N(AU430)+1,1))</f>
        <v/>
      </c>
      <c r="AW430" s="6">
        <f>IF(OR(原始資料!$A430="",48&gt;設定!$B$3,原始資料!AY430=""),"",IF(AND(原始資料!AX430&lt;&gt;"",原始資料!AY430=原始資料!AX430),N(AV430)+1,1))</f>
        <v/>
      </c>
      <c r="AX430" s="6">
        <f>IF(OR(原始資料!$A430="",49&gt;設定!$B$3,原始資料!AZ430=""),"",IF(AND(原始資料!AY430&lt;&gt;"",原始資料!AZ430=原始資料!AY430),N(AW430)+1,1))</f>
        <v/>
      </c>
      <c r="AY430" s="6">
        <f>IF(OR(原始資料!$A430="",50&gt;設定!$B$3,原始資料!BA430=""),"",IF(AND(原始資料!AZ430&lt;&gt;"",原始資料!BA430=原始資料!AZ430),N(AX430)+1,1))</f>
        <v/>
      </c>
      <c r="AZ430" s="6">
        <f>IF(OR(原始資料!$A430="",51&gt;設定!$B$3,原始資料!BB430=""),"",IF(AND(原始資料!BA430&lt;&gt;"",原始資料!BB430=原始資料!BA430),N(AY430)+1,1))</f>
        <v/>
      </c>
      <c r="BA430" s="6">
        <f>IF(OR(原始資料!$A430="",52&gt;設定!$B$3,原始資料!BC430=""),"",IF(AND(原始資料!BB430&lt;&gt;"",原始資料!BC430=原始資料!BB430),N(AZ430)+1,1))</f>
        <v/>
      </c>
      <c r="BB430" s="6">
        <f>IF(OR(原始資料!$A430="",53&gt;設定!$B$3,原始資料!BD430=""),"",IF(AND(原始資料!BC430&lt;&gt;"",原始資料!BD430=原始資料!BC430),N(BA430)+1,1))</f>
        <v/>
      </c>
      <c r="BC430" s="6">
        <f>IF(OR(原始資料!$A430="",54&gt;設定!$B$3,原始資料!BE430=""),"",IF(AND(原始資料!BD430&lt;&gt;"",原始資料!BE430=原始資料!BD430),N(BB430)+1,1))</f>
        <v/>
      </c>
      <c r="BD430" s="6">
        <f>IF(OR(原始資料!$A430="",55&gt;設定!$B$3,原始資料!BF430=""),"",IF(AND(原始資料!BE430&lt;&gt;"",原始資料!BF430=原始資料!BE430),N(BC430)+1,1))</f>
        <v/>
      </c>
      <c r="BE430" s="6">
        <f>IF(OR(原始資料!$A430="",56&gt;設定!$B$3,原始資料!BG430=""),"",IF(AND(原始資料!BF430&lt;&gt;"",原始資料!BG430=原始資料!BF430),N(BD430)+1,1))</f>
        <v/>
      </c>
      <c r="BF430" s="6">
        <f>IF(OR(原始資料!$A430="",57&gt;設定!$B$3,原始資料!BH430=""),"",IF(AND(原始資料!BG430&lt;&gt;"",原始資料!BH430=原始資料!BG430),N(BE430)+1,1))</f>
        <v/>
      </c>
      <c r="BG430" s="6">
        <f>IF(OR(原始資料!$A430="",58&gt;設定!$B$3,原始資料!BI430=""),"",IF(AND(原始資料!BH430&lt;&gt;"",原始資料!BI430=原始資料!BH430),N(BF430)+1,1))</f>
        <v/>
      </c>
      <c r="BH430" s="6">
        <f>IF(OR(原始資料!$A430="",59&gt;設定!$B$3,原始資料!BJ430=""),"",IF(AND(原始資料!BI430&lt;&gt;"",原始資料!BJ430=原始資料!BI430),N(BG430)+1,1))</f>
        <v/>
      </c>
      <c r="BI430" s="6">
        <f>IF(OR(原始資料!$A430="",60&gt;設定!$B$3,原始資料!BK430=""),"",IF(AND(原始資料!BJ430&lt;&gt;"",原始資料!BK430=原始資料!BJ430),N(BH430)+1,1))</f>
        <v/>
      </c>
    </row>
    <row r="431">
      <c r="A431" s="6">
        <f>IF(原始資料!$A431="","",原始資料!$A431)</f>
        <v/>
      </c>
      <c r="B431" s="6">
        <f>IF(OR(原始資料!$A431="",1&gt;設定!$B$3,原始資料!D431=""),"",1)</f>
        <v/>
      </c>
      <c r="C431" s="6">
        <f>IF(OR(原始資料!$A431="",2&gt;設定!$B$3,原始資料!E431=""),"",IF(AND(原始資料!D431&lt;&gt;"",原始資料!E431=原始資料!D431),N(B431)+1,1))</f>
        <v/>
      </c>
      <c r="D431" s="6">
        <f>IF(OR(原始資料!$A431="",3&gt;設定!$B$3,原始資料!F431=""),"",IF(AND(原始資料!E431&lt;&gt;"",原始資料!F431=原始資料!E431),N(C431)+1,1))</f>
        <v/>
      </c>
      <c r="E431" s="6">
        <f>IF(OR(原始資料!$A431="",4&gt;設定!$B$3,原始資料!G431=""),"",IF(AND(原始資料!F431&lt;&gt;"",原始資料!G431=原始資料!F431),N(D431)+1,1))</f>
        <v/>
      </c>
      <c r="F431" s="6">
        <f>IF(OR(原始資料!$A431="",5&gt;設定!$B$3,原始資料!H431=""),"",IF(AND(原始資料!G431&lt;&gt;"",原始資料!H431=原始資料!G431),N(E431)+1,1))</f>
        <v/>
      </c>
      <c r="G431" s="6">
        <f>IF(OR(原始資料!$A431="",6&gt;設定!$B$3,原始資料!I431=""),"",IF(AND(原始資料!H431&lt;&gt;"",原始資料!I431=原始資料!H431),N(F431)+1,1))</f>
        <v/>
      </c>
      <c r="H431" s="6">
        <f>IF(OR(原始資料!$A431="",7&gt;設定!$B$3,原始資料!J431=""),"",IF(AND(原始資料!I431&lt;&gt;"",原始資料!J431=原始資料!I431),N(G431)+1,1))</f>
        <v/>
      </c>
      <c r="I431" s="6">
        <f>IF(OR(原始資料!$A431="",8&gt;設定!$B$3,原始資料!K431=""),"",IF(AND(原始資料!J431&lt;&gt;"",原始資料!K431=原始資料!J431),N(H431)+1,1))</f>
        <v/>
      </c>
      <c r="J431" s="6">
        <f>IF(OR(原始資料!$A431="",9&gt;設定!$B$3,原始資料!L431=""),"",IF(AND(原始資料!K431&lt;&gt;"",原始資料!L431=原始資料!K431),N(I431)+1,1))</f>
        <v/>
      </c>
      <c r="K431" s="6">
        <f>IF(OR(原始資料!$A431="",10&gt;設定!$B$3,原始資料!M431=""),"",IF(AND(原始資料!L431&lt;&gt;"",原始資料!M431=原始資料!L431),N(J431)+1,1))</f>
        <v/>
      </c>
      <c r="L431" s="6">
        <f>IF(OR(原始資料!$A431="",11&gt;設定!$B$3,原始資料!N431=""),"",IF(AND(原始資料!M431&lt;&gt;"",原始資料!N431=原始資料!M431),N(K431)+1,1))</f>
        <v/>
      </c>
      <c r="M431" s="6">
        <f>IF(OR(原始資料!$A431="",12&gt;設定!$B$3,原始資料!O431=""),"",IF(AND(原始資料!N431&lt;&gt;"",原始資料!O431=原始資料!N431),N(L431)+1,1))</f>
        <v/>
      </c>
      <c r="N431" s="6">
        <f>IF(OR(原始資料!$A431="",13&gt;設定!$B$3,原始資料!P431=""),"",IF(AND(原始資料!O431&lt;&gt;"",原始資料!P431=原始資料!O431),N(M431)+1,1))</f>
        <v/>
      </c>
      <c r="O431" s="6">
        <f>IF(OR(原始資料!$A431="",14&gt;設定!$B$3,原始資料!Q431=""),"",IF(AND(原始資料!P431&lt;&gt;"",原始資料!Q431=原始資料!P431),N(N431)+1,1))</f>
        <v/>
      </c>
      <c r="P431" s="6">
        <f>IF(OR(原始資料!$A431="",15&gt;設定!$B$3,原始資料!R431=""),"",IF(AND(原始資料!Q431&lt;&gt;"",原始資料!R431=原始資料!Q431),N(O431)+1,1))</f>
        <v/>
      </c>
      <c r="Q431" s="6">
        <f>IF(OR(原始資料!$A431="",16&gt;設定!$B$3,原始資料!S431=""),"",IF(AND(原始資料!R431&lt;&gt;"",原始資料!S431=原始資料!R431),N(P431)+1,1))</f>
        <v/>
      </c>
      <c r="R431" s="6">
        <f>IF(OR(原始資料!$A431="",17&gt;設定!$B$3,原始資料!T431=""),"",IF(AND(原始資料!S431&lt;&gt;"",原始資料!T431=原始資料!S431),N(Q431)+1,1))</f>
        <v/>
      </c>
      <c r="S431" s="6">
        <f>IF(OR(原始資料!$A431="",18&gt;設定!$B$3,原始資料!U431=""),"",IF(AND(原始資料!T431&lt;&gt;"",原始資料!U431=原始資料!T431),N(R431)+1,1))</f>
        <v/>
      </c>
      <c r="T431" s="6">
        <f>IF(OR(原始資料!$A431="",19&gt;設定!$B$3,原始資料!V431=""),"",IF(AND(原始資料!U431&lt;&gt;"",原始資料!V431=原始資料!U431),N(S431)+1,1))</f>
        <v/>
      </c>
      <c r="U431" s="6">
        <f>IF(OR(原始資料!$A431="",20&gt;設定!$B$3,原始資料!W431=""),"",IF(AND(原始資料!V431&lt;&gt;"",原始資料!W431=原始資料!V431),N(T431)+1,1))</f>
        <v/>
      </c>
      <c r="V431" s="6">
        <f>IF(OR(原始資料!$A431="",21&gt;設定!$B$3,原始資料!X431=""),"",IF(AND(原始資料!W431&lt;&gt;"",原始資料!X431=原始資料!W431),N(U431)+1,1))</f>
        <v/>
      </c>
      <c r="W431" s="6">
        <f>IF(OR(原始資料!$A431="",22&gt;設定!$B$3,原始資料!Y431=""),"",IF(AND(原始資料!X431&lt;&gt;"",原始資料!Y431=原始資料!X431),N(V431)+1,1))</f>
        <v/>
      </c>
      <c r="X431" s="6">
        <f>IF(OR(原始資料!$A431="",23&gt;設定!$B$3,原始資料!Z431=""),"",IF(AND(原始資料!Y431&lt;&gt;"",原始資料!Z431=原始資料!Y431),N(W431)+1,1))</f>
        <v/>
      </c>
      <c r="Y431" s="6">
        <f>IF(OR(原始資料!$A431="",24&gt;設定!$B$3,原始資料!AA431=""),"",IF(AND(原始資料!Z431&lt;&gt;"",原始資料!AA431=原始資料!Z431),N(X431)+1,1))</f>
        <v/>
      </c>
      <c r="Z431" s="6">
        <f>IF(OR(原始資料!$A431="",25&gt;設定!$B$3,原始資料!AB431=""),"",IF(AND(原始資料!AA431&lt;&gt;"",原始資料!AB431=原始資料!AA431),N(Y431)+1,1))</f>
        <v/>
      </c>
      <c r="AA431" s="6">
        <f>IF(OR(原始資料!$A431="",26&gt;設定!$B$3,原始資料!AC431=""),"",IF(AND(原始資料!AB431&lt;&gt;"",原始資料!AC431=原始資料!AB431),N(Z431)+1,1))</f>
        <v/>
      </c>
      <c r="AB431" s="6">
        <f>IF(OR(原始資料!$A431="",27&gt;設定!$B$3,原始資料!AD431=""),"",IF(AND(原始資料!AC431&lt;&gt;"",原始資料!AD431=原始資料!AC431),N(AA431)+1,1))</f>
        <v/>
      </c>
      <c r="AC431" s="6">
        <f>IF(OR(原始資料!$A431="",28&gt;設定!$B$3,原始資料!AE431=""),"",IF(AND(原始資料!AD431&lt;&gt;"",原始資料!AE431=原始資料!AD431),N(AB431)+1,1))</f>
        <v/>
      </c>
      <c r="AD431" s="6">
        <f>IF(OR(原始資料!$A431="",29&gt;設定!$B$3,原始資料!AF431=""),"",IF(AND(原始資料!AE431&lt;&gt;"",原始資料!AF431=原始資料!AE431),N(AC431)+1,1))</f>
        <v/>
      </c>
      <c r="AE431" s="6">
        <f>IF(OR(原始資料!$A431="",30&gt;設定!$B$3,原始資料!AG431=""),"",IF(AND(原始資料!AF431&lt;&gt;"",原始資料!AG431=原始資料!AF431),N(AD431)+1,1))</f>
        <v/>
      </c>
      <c r="AF431" s="6">
        <f>IF(OR(原始資料!$A431="",31&gt;設定!$B$3,原始資料!AH431=""),"",IF(AND(原始資料!AG431&lt;&gt;"",原始資料!AH431=原始資料!AG431),N(AE431)+1,1))</f>
        <v/>
      </c>
      <c r="AG431" s="6">
        <f>IF(OR(原始資料!$A431="",32&gt;設定!$B$3,原始資料!AI431=""),"",IF(AND(原始資料!AH431&lt;&gt;"",原始資料!AI431=原始資料!AH431),N(AF431)+1,1))</f>
        <v/>
      </c>
      <c r="AH431" s="6">
        <f>IF(OR(原始資料!$A431="",33&gt;設定!$B$3,原始資料!AJ431=""),"",IF(AND(原始資料!AI431&lt;&gt;"",原始資料!AJ431=原始資料!AI431),N(AG431)+1,1))</f>
        <v/>
      </c>
      <c r="AI431" s="6">
        <f>IF(OR(原始資料!$A431="",34&gt;設定!$B$3,原始資料!AK431=""),"",IF(AND(原始資料!AJ431&lt;&gt;"",原始資料!AK431=原始資料!AJ431),N(AH431)+1,1))</f>
        <v/>
      </c>
      <c r="AJ431" s="6">
        <f>IF(OR(原始資料!$A431="",35&gt;設定!$B$3,原始資料!AL431=""),"",IF(AND(原始資料!AK431&lt;&gt;"",原始資料!AL431=原始資料!AK431),N(AI431)+1,1))</f>
        <v/>
      </c>
      <c r="AK431" s="6">
        <f>IF(OR(原始資料!$A431="",36&gt;設定!$B$3,原始資料!AM431=""),"",IF(AND(原始資料!AL431&lt;&gt;"",原始資料!AM431=原始資料!AL431),N(AJ431)+1,1))</f>
        <v/>
      </c>
      <c r="AL431" s="6">
        <f>IF(OR(原始資料!$A431="",37&gt;設定!$B$3,原始資料!AN431=""),"",IF(AND(原始資料!AM431&lt;&gt;"",原始資料!AN431=原始資料!AM431),N(AK431)+1,1))</f>
        <v/>
      </c>
      <c r="AM431" s="6">
        <f>IF(OR(原始資料!$A431="",38&gt;設定!$B$3,原始資料!AO431=""),"",IF(AND(原始資料!AN431&lt;&gt;"",原始資料!AO431=原始資料!AN431),N(AL431)+1,1))</f>
        <v/>
      </c>
      <c r="AN431" s="6">
        <f>IF(OR(原始資料!$A431="",39&gt;設定!$B$3,原始資料!AP431=""),"",IF(AND(原始資料!AO431&lt;&gt;"",原始資料!AP431=原始資料!AO431),N(AM431)+1,1))</f>
        <v/>
      </c>
      <c r="AO431" s="6">
        <f>IF(OR(原始資料!$A431="",40&gt;設定!$B$3,原始資料!AQ431=""),"",IF(AND(原始資料!AP431&lt;&gt;"",原始資料!AQ431=原始資料!AP431),N(AN431)+1,1))</f>
        <v/>
      </c>
      <c r="AP431" s="6">
        <f>IF(OR(原始資料!$A431="",41&gt;設定!$B$3,原始資料!AR431=""),"",IF(AND(原始資料!AQ431&lt;&gt;"",原始資料!AR431=原始資料!AQ431),N(AO431)+1,1))</f>
        <v/>
      </c>
      <c r="AQ431" s="6">
        <f>IF(OR(原始資料!$A431="",42&gt;設定!$B$3,原始資料!AS431=""),"",IF(AND(原始資料!AR431&lt;&gt;"",原始資料!AS431=原始資料!AR431),N(AP431)+1,1))</f>
        <v/>
      </c>
      <c r="AR431" s="6">
        <f>IF(OR(原始資料!$A431="",43&gt;設定!$B$3,原始資料!AT431=""),"",IF(AND(原始資料!AS431&lt;&gt;"",原始資料!AT431=原始資料!AS431),N(AQ431)+1,1))</f>
        <v/>
      </c>
      <c r="AS431" s="6">
        <f>IF(OR(原始資料!$A431="",44&gt;設定!$B$3,原始資料!AU431=""),"",IF(AND(原始資料!AT431&lt;&gt;"",原始資料!AU431=原始資料!AT431),N(AR431)+1,1))</f>
        <v/>
      </c>
      <c r="AT431" s="6">
        <f>IF(OR(原始資料!$A431="",45&gt;設定!$B$3,原始資料!AV431=""),"",IF(AND(原始資料!AU431&lt;&gt;"",原始資料!AV431=原始資料!AU431),N(AS431)+1,1))</f>
        <v/>
      </c>
      <c r="AU431" s="6">
        <f>IF(OR(原始資料!$A431="",46&gt;設定!$B$3,原始資料!AW431=""),"",IF(AND(原始資料!AV431&lt;&gt;"",原始資料!AW431=原始資料!AV431),N(AT431)+1,1))</f>
        <v/>
      </c>
      <c r="AV431" s="6">
        <f>IF(OR(原始資料!$A431="",47&gt;設定!$B$3,原始資料!AX431=""),"",IF(AND(原始資料!AW431&lt;&gt;"",原始資料!AX431=原始資料!AW431),N(AU431)+1,1))</f>
        <v/>
      </c>
      <c r="AW431" s="6">
        <f>IF(OR(原始資料!$A431="",48&gt;設定!$B$3,原始資料!AY431=""),"",IF(AND(原始資料!AX431&lt;&gt;"",原始資料!AY431=原始資料!AX431),N(AV431)+1,1))</f>
        <v/>
      </c>
      <c r="AX431" s="6">
        <f>IF(OR(原始資料!$A431="",49&gt;設定!$B$3,原始資料!AZ431=""),"",IF(AND(原始資料!AY431&lt;&gt;"",原始資料!AZ431=原始資料!AY431),N(AW431)+1,1))</f>
        <v/>
      </c>
      <c r="AY431" s="6">
        <f>IF(OR(原始資料!$A431="",50&gt;設定!$B$3,原始資料!BA431=""),"",IF(AND(原始資料!AZ431&lt;&gt;"",原始資料!BA431=原始資料!AZ431),N(AX431)+1,1))</f>
        <v/>
      </c>
      <c r="AZ431" s="6">
        <f>IF(OR(原始資料!$A431="",51&gt;設定!$B$3,原始資料!BB431=""),"",IF(AND(原始資料!BA431&lt;&gt;"",原始資料!BB431=原始資料!BA431),N(AY431)+1,1))</f>
        <v/>
      </c>
      <c r="BA431" s="6">
        <f>IF(OR(原始資料!$A431="",52&gt;設定!$B$3,原始資料!BC431=""),"",IF(AND(原始資料!BB431&lt;&gt;"",原始資料!BC431=原始資料!BB431),N(AZ431)+1,1))</f>
        <v/>
      </c>
      <c r="BB431" s="6">
        <f>IF(OR(原始資料!$A431="",53&gt;設定!$B$3,原始資料!BD431=""),"",IF(AND(原始資料!BC431&lt;&gt;"",原始資料!BD431=原始資料!BC431),N(BA431)+1,1))</f>
        <v/>
      </c>
      <c r="BC431" s="6">
        <f>IF(OR(原始資料!$A431="",54&gt;設定!$B$3,原始資料!BE431=""),"",IF(AND(原始資料!BD431&lt;&gt;"",原始資料!BE431=原始資料!BD431),N(BB431)+1,1))</f>
        <v/>
      </c>
      <c r="BD431" s="6">
        <f>IF(OR(原始資料!$A431="",55&gt;設定!$B$3,原始資料!BF431=""),"",IF(AND(原始資料!BE431&lt;&gt;"",原始資料!BF431=原始資料!BE431),N(BC431)+1,1))</f>
        <v/>
      </c>
      <c r="BE431" s="6">
        <f>IF(OR(原始資料!$A431="",56&gt;設定!$B$3,原始資料!BG431=""),"",IF(AND(原始資料!BF431&lt;&gt;"",原始資料!BG431=原始資料!BF431),N(BD431)+1,1))</f>
        <v/>
      </c>
      <c r="BF431" s="6">
        <f>IF(OR(原始資料!$A431="",57&gt;設定!$B$3,原始資料!BH431=""),"",IF(AND(原始資料!BG431&lt;&gt;"",原始資料!BH431=原始資料!BG431),N(BE431)+1,1))</f>
        <v/>
      </c>
      <c r="BG431" s="6">
        <f>IF(OR(原始資料!$A431="",58&gt;設定!$B$3,原始資料!BI431=""),"",IF(AND(原始資料!BH431&lt;&gt;"",原始資料!BI431=原始資料!BH431),N(BF431)+1,1))</f>
        <v/>
      </c>
      <c r="BH431" s="6">
        <f>IF(OR(原始資料!$A431="",59&gt;設定!$B$3,原始資料!BJ431=""),"",IF(AND(原始資料!BI431&lt;&gt;"",原始資料!BJ431=原始資料!BI431),N(BG431)+1,1))</f>
        <v/>
      </c>
      <c r="BI431" s="6">
        <f>IF(OR(原始資料!$A431="",60&gt;設定!$B$3,原始資料!BK431=""),"",IF(AND(原始資料!BJ431&lt;&gt;"",原始資料!BK431=原始資料!BJ431),N(BH431)+1,1))</f>
        <v/>
      </c>
    </row>
    <row r="432">
      <c r="A432" s="6">
        <f>IF(原始資料!$A432="","",原始資料!$A432)</f>
        <v/>
      </c>
      <c r="B432" s="6">
        <f>IF(OR(原始資料!$A432="",1&gt;設定!$B$3,原始資料!D432=""),"",1)</f>
        <v/>
      </c>
      <c r="C432" s="6">
        <f>IF(OR(原始資料!$A432="",2&gt;設定!$B$3,原始資料!E432=""),"",IF(AND(原始資料!D432&lt;&gt;"",原始資料!E432=原始資料!D432),N(B432)+1,1))</f>
        <v/>
      </c>
      <c r="D432" s="6">
        <f>IF(OR(原始資料!$A432="",3&gt;設定!$B$3,原始資料!F432=""),"",IF(AND(原始資料!E432&lt;&gt;"",原始資料!F432=原始資料!E432),N(C432)+1,1))</f>
        <v/>
      </c>
      <c r="E432" s="6">
        <f>IF(OR(原始資料!$A432="",4&gt;設定!$B$3,原始資料!G432=""),"",IF(AND(原始資料!F432&lt;&gt;"",原始資料!G432=原始資料!F432),N(D432)+1,1))</f>
        <v/>
      </c>
      <c r="F432" s="6">
        <f>IF(OR(原始資料!$A432="",5&gt;設定!$B$3,原始資料!H432=""),"",IF(AND(原始資料!G432&lt;&gt;"",原始資料!H432=原始資料!G432),N(E432)+1,1))</f>
        <v/>
      </c>
      <c r="G432" s="6">
        <f>IF(OR(原始資料!$A432="",6&gt;設定!$B$3,原始資料!I432=""),"",IF(AND(原始資料!H432&lt;&gt;"",原始資料!I432=原始資料!H432),N(F432)+1,1))</f>
        <v/>
      </c>
      <c r="H432" s="6">
        <f>IF(OR(原始資料!$A432="",7&gt;設定!$B$3,原始資料!J432=""),"",IF(AND(原始資料!I432&lt;&gt;"",原始資料!J432=原始資料!I432),N(G432)+1,1))</f>
        <v/>
      </c>
      <c r="I432" s="6">
        <f>IF(OR(原始資料!$A432="",8&gt;設定!$B$3,原始資料!K432=""),"",IF(AND(原始資料!J432&lt;&gt;"",原始資料!K432=原始資料!J432),N(H432)+1,1))</f>
        <v/>
      </c>
      <c r="J432" s="6">
        <f>IF(OR(原始資料!$A432="",9&gt;設定!$B$3,原始資料!L432=""),"",IF(AND(原始資料!K432&lt;&gt;"",原始資料!L432=原始資料!K432),N(I432)+1,1))</f>
        <v/>
      </c>
      <c r="K432" s="6">
        <f>IF(OR(原始資料!$A432="",10&gt;設定!$B$3,原始資料!M432=""),"",IF(AND(原始資料!L432&lt;&gt;"",原始資料!M432=原始資料!L432),N(J432)+1,1))</f>
        <v/>
      </c>
      <c r="L432" s="6">
        <f>IF(OR(原始資料!$A432="",11&gt;設定!$B$3,原始資料!N432=""),"",IF(AND(原始資料!M432&lt;&gt;"",原始資料!N432=原始資料!M432),N(K432)+1,1))</f>
        <v/>
      </c>
      <c r="M432" s="6">
        <f>IF(OR(原始資料!$A432="",12&gt;設定!$B$3,原始資料!O432=""),"",IF(AND(原始資料!N432&lt;&gt;"",原始資料!O432=原始資料!N432),N(L432)+1,1))</f>
        <v/>
      </c>
      <c r="N432" s="6">
        <f>IF(OR(原始資料!$A432="",13&gt;設定!$B$3,原始資料!P432=""),"",IF(AND(原始資料!O432&lt;&gt;"",原始資料!P432=原始資料!O432),N(M432)+1,1))</f>
        <v/>
      </c>
      <c r="O432" s="6">
        <f>IF(OR(原始資料!$A432="",14&gt;設定!$B$3,原始資料!Q432=""),"",IF(AND(原始資料!P432&lt;&gt;"",原始資料!Q432=原始資料!P432),N(N432)+1,1))</f>
        <v/>
      </c>
      <c r="P432" s="6">
        <f>IF(OR(原始資料!$A432="",15&gt;設定!$B$3,原始資料!R432=""),"",IF(AND(原始資料!Q432&lt;&gt;"",原始資料!R432=原始資料!Q432),N(O432)+1,1))</f>
        <v/>
      </c>
      <c r="Q432" s="6">
        <f>IF(OR(原始資料!$A432="",16&gt;設定!$B$3,原始資料!S432=""),"",IF(AND(原始資料!R432&lt;&gt;"",原始資料!S432=原始資料!R432),N(P432)+1,1))</f>
        <v/>
      </c>
      <c r="R432" s="6">
        <f>IF(OR(原始資料!$A432="",17&gt;設定!$B$3,原始資料!T432=""),"",IF(AND(原始資料!S432&lt;&gt;"",原始資料!T432=原始資料!S432),N(Q432)+1,1))</f>
        <v/>
      </c>
      <c r="S432" s="6">
        <f>IF(OR(原始資料!$A432="",18&gt;設定!$B$3,原始資料!U432=""),"",IF(AND(原始資料!T432&lt;&gt;"",原始資料!U432=原始資料!T432),N(R432)+1,1))</f>
        <v/>
      </c>
      <c r="T432" s="6">
        <f>IF(OR(原始資料!$A432="",19&gt;設定!$B$3,原始資料!V432=""),"",IF(AND(原始資料!U432&lt;&gt;"",原始資料!V432=原始資料!U432),N(S432)+1,1))</f>
        <v/>
      </c>
      <c r="U432" s="6">
        <f>IF(OR(原始資料!$A432="",20&gt;設定!$B$3,原始資料!W432=""),"",IF(AND(原始資料!V432&lt;&gt;"",原始資料!W432=原始資料!V432),N(T432)+1,1))</f>
        <v/>
      </c>
      <c r="V432" s="6">
        <f>IF(OR(原始資料!$A432="",21&gt;設定!$B$3,原始資料!X432=""),"",IF(AND(原始資料!W432&lt;&gt;"",原始資料!X432=原始資料!W432),N(U432)+1,1))</f>
        <v/>
      </c>
      <c r="W432" s="6">
        <f>IF(OR(原始資料!$A432="",22&gt;設定!$B$3,原始資料!Y432=""),"",IF(AND(原始資料!X432&lt;&gt;"",原始資料!Y432=原始資料!X432),N(V432)+1,1))</f>
        <v/>
      </c>
      <c r="X432" s="6">
        <f>IF(OR(原始資料!$A432="",23&gt;設定!$B$3,原始資料!Z432=""),"",IF(AND(原始資料!Y432&lt;&gt;"",原始資料!Z432=原始資料!Y432),N(W432)+1,1))</f>
        <v/>
      </c>
      <c r="Y432" s="6">
        <f>IF(OR(原始資料!$A432="",24&gt;設定!$B$3,原始資料!AA432=""),"",IF(AND(原始資料!Z432&lt;&gt;"",原始資料!AA432=原始資料!Z432),N(X432)+1,1))</f>
        <v/>
      </c>
      <c r="Z432" s="6">
        <f>IF(OR(原始資料!$A432="",25&gt;設定!$B$3,原始資料!AB432=""),"",IF(AND(原始資料!AA432&lt;&gt;"",原始資料!AB432=原始資料!AA432),N(Y432)+1,1))</f>
        <v/>
      </c>
      <c r="AA432" s="6">
        <f>IF(OR(原始資料!$A432="",26&gt;設定!$B$3,原始資料!AC432=""),"",IF(AND(原始資料!AB432&lt;&gt;"",原始資料!AC432=原始資料!AB432),N(Z432)+1,1))</f>
        <v/>
      </c>
      <c r="AB432" s="6">
        <f>IF(OR(原始資料!$A432="",27&gt;設定!$B$3,原始資料!AD432=""),"",IF(AND(原始資料!AC432&lt;&gt;"",原始資料!AD432=原始資料!AC432),N(AA432)+1,1))</f>
        <v/>
      </c>
      <c r="AC432" s="6">
        <f>IF(OR(原始資料!$A432="",28&gt;設定!$B$3,原始資料!AE432=""),"",IF(AND(原始資料!AD432&lt;&gt;"",原始資料!AE432=原始資料!AD432),N(AB432)+1,1))</f>
        <v/>
      </c>
      <c r="AD432" s="6">
        <f>IF(OR(原始資料!$A432="",29&gt;設定!$B$3,原始資料!AF432=""),"",IF(AND(原始資料!AE432&lt;&gt;"",原始資料!AF432=原始資料!AE432),N(AC432)+1,1))</f>
        <v/>
      </c>
      <c r="AE432" s="6">
        <f>IF(OR(原始資料!$A432="",30&gt;設定!$B$3,原始資料!AG432=""),"",IF(AND(原始資料!AF432&lt;&gt;"",原始資料!AG432=原始資料!AF432),N(AD432)+1,1))</f>
        <v/>
      </c>
      <c r="AF432" s="6">
        <f>IF(OR(原始資料!$A432="",31&gt;設定!$B$3,原始資料!AH432=""),"",IF(AND(原始資料!AG432&lt;&gt;"",原始資料!AH432=原始資料!AG432),N(AE432)+1,1))</f>
        <v/>
      </c>
      <c r="AG432" s="6">
        <f>IF(OR(原始資料!$A432="",32&gt;設定!$B$3,原始資料!AI432=""),"",IF(AND(原始資料!AH432&lt;&gt;"",原始資料!AI432=原始資料!AH432),N(AF432)+1,1))</f>
        <v/>
      </c>
      <c r="AH432" s="6">
        <f>IF(OR(原始資料!$A432="",33&gt;設定!$B$3,原始資料!AJ432=""),"",IF(AND(原始資料!AI432&lt;&gt;"",原始資料!AJ432=原始資料!AI432),N(AG432)+1,1))</f>
        <v/>
      </c>
      <c r="AI432" s="6">
        <f>IF(OR(原始資料!$A432="",34&gt;設定!$B$3,原始資料!AK432=""),"",IF(AND(原始資料!AJ432&lt;&gt;"",原始資料!AK432=原始資料!AJ432),N(AH432)+1,1))</f>
        <v/>
      </c>
      <c r="AJ432" s="6">
        <f>IF(OR(原始資料!$A432="",35&gt;設定!$B$3,原始資料!AL432=""),"",IF(AND(原始資料!AK432&lt;&gt;"",原始資料!AL432=原始資料!AK432),N(AI432)+1,1))</f>
        <v/>
      </c>
      <c r="AK432" s="6">
        <f>IF(OR(原始資料!$A432="",36&gt;設定!$B$3,原始資料!AM432=""),"",IF(AND(原始資料!AL432&lt;&gt;"",原始資料!AM432=原始資料!AL432),N(AJ432)+1,1))</f>
        <v/>
      </c>
      <c r="AL432" s="6">
        <f>IF(OR(原始資料!$A432="",37&gt;設定!$B$3,原始資料!AN432=""),"",IF(AND(原始資料!AM432&lt;&gt;"",原始資料!AN432=原始資料!AM432),N(AK432)+1,1))</f>
        <v/>
      </c>
      <c r="AM432" s="6">
        <f>IF(OR(原始資料!$A432="",38&gt;設定!$B$3,原始資料!AO432=""),"",IF(AND(原始資料!AN432&lt;&gt;"",原始資料!AO432=原始資料!AN432),N(AL432)+1,1))</f>
        <v/>
      </c>
      <c r="AN432" s="6">
        <f>IF(OR(原始資料!$A432="",39&gt;設定!$B$3,原始資料!AP432=""),"",IF(AND(原始資料!AO432&lt;&gt;"",原始資料!AP432=原始資料!AO432),N(AM432)+1,1))</f>
        <v/>
      </c>
      <c r="AO432" s="6">
        <f>IF(OR(原始資料!$A432="",40&gt;設定!$B$3,原始資料!AQ432=""),"",IF(AND(原始資料!AP432&lt;&gt;"",原始資料!AQ432=原始資料!AP432),N(AN432)+1,1))</f>
        <v/>
      </c>
      <c r="AP432" s="6">
        <f>IF(OR(原始資料!$A432="",41&gt;設定!$B$3,原始資料!AR432=""),"",IF(AND(原始資料!AQ432&lt;&gt;"",原始資料!AR432=原始資料!AQ432),N(AO432)+1,1))</f>
        <v/>
      </c>
      <c r="AQ432" s="6">
        <f>IF(OR(原始資料!$A432="",42&gt;設定!$B$3,原始資料!AS432=""),"",IF(AND(原始資料!AR432&lt;&gt;"",原始資料!AS432=原始資料!AR432),N(AP432)+1,1))</f>
        <v/>
      </c>
      <c r="AR432" s="6">
        <f>IF(OR(原始資料!$A432="",43&gt;設定!$B$3,原始資料!AT432=""),"",IF(AND(原始資料!AS432&lt;&gt;"",原始資料!AT432=原始資料!AS432),N(AQ432)+1,1))</f>
        <v/>
      </c>
      <c r="AS432" s="6">
        <f>IF(OR(原始資料!$A432="",44&gt;設定!$B$3,原始資料!AU432=""),"",IF(AND(原始資料!AT432&lt;&gt;"",原始資料!AU432=原始資料!AT432),N(AR432)+1,1))</f>
        <v/>
      </c>
      <c r="AT432" s="6">
        <f>IF(OR(原始資料!$A432="",45&gt;設定!$B$3,原始資料!AV432=""),"",IF(AND(原始資料!AU432&lt;&gt;"",原始資料!AV432=原始資料!AU432),N(AS432)+1,1))</f>
        <v/>
      </c>
      <c r="AU432" s="6">
        <f>IF(OR(原始資料!$A432="",46&gt;設定!$B$3,原始資料!AW432=""),"",IF(AND(原始資料!AV432&lt;&gt;"",原始資料!AW432=原始資料!AV432),N(AT432)+1,1))</f>
        <v/>
      </c>
      <c r="AV432" s="6">
        <f>IF(OR(原始資料!$A432="",47&gt;設定!$B$3,原始資料!AX432=""),"",IF(AND(原始資料!AW432&lt;&gt;"",原始資料!AX432=原始資料!AW432),N(AU432)+1,1))</f>
        <v/>
      </c>
      <c r="AW432" s="6">
        <f>IF(OR(原始資料!$A432="",48&gt;設定!$B$3,原始資料!AY432=""),"",IF(AND(原始資料!AX432&lt;&gt;"",原始資料!AY432=原始資料!AX432),N(AV432)+1,1))</f>
        <v/>
      </c>
      <c r="AX432" s="6">
        <f>IF(OR(原始資料!$A432="",49&gt;設定!$B$3,原始資料!AZ432=""),"",IF(AND(原始資料!AY432&lt;&gt;"",原始資料!AZ432=原始資料!AY432),N(AW432)+1,1))</f>
        <v/>
      </c>
      <c r="AY432" s="6">
        <f>IF(OR(原始資料!$A432="",50&gt;設定!$B$3,原始資料!BA432=""),"",IF(AND(原始資料!AZ432&lt;&gt;"",原始資料!BA432=原始資料!AZ432),N(AX432)+1,1))</f>
        <v/>
      </c>
      <c r="AZ432" s="6">
        <f>IF(OR(原始資料!$A432="",51&gt;設定!$B$3,原始資料!BB432=""),"",IF(AND(原始資料!BA432&lt;&gt;"",原始資料!BB432=原始資料!BA432),N(AY432)+1,1))</f>
        <v/>
      </c>
      <c r="BA432" s="6">
        <f>IF(OR(原始資料!$A432="",52&gt;設定!$B$3,原始資料!BC432=""),"",IF(AND(原始資料!BB432&lt;&gt;"",原始資料!BC432=原始資料!BB432),N(AZ432)+1,1))</f>
        <v/>
      </c>
      <c r="BB432" s="6">
        <f>IF(OR(原始資料!$A432="",53&gt;設定!$B$3,原始資料!BD432=""),"",IF(AND(原始資料!BC432&lt;&gt;"",原始資料!BD432=原始資料!BC432),N(BA432)+1,1))</f>
        <v/>
      </c>
      <c r="BC432" s="6">
        <f>IF(OR(原始資料!$A432="",54&gt;設定!$B$3,原始資料!BE432=""),"",IF(AND(原始資料!BD432&lt;&gt;"",原始資料!BE432=原始資料!BD432),N(BB432)+1,1))</f>
        <v/>
      </c>
      <c r="BD432" s="6">
        <f>IF(OR(原始資料!$A432="",55&gt;設定!$B$3,原始資料!BF432=""),"",IF(AND(原始資料!BE432&lt;&gt;"",原始資料!BF432=原始資料!BE432),N(BC432)+1,1))</f>
        <v/>
      </c>
      <c r="BE432" s="6">
        <f>IF(OR(原始資料!$A432="",56&gt;設定!$B$3,原始資料!BG432=""),"",IF(AND(原始資料!BF432&lt;&gt;"",原始資料!BG432=原始資料!BF432),N(BD432)+1,1))</f>
        <v/>
      </c>
      <c r="BF432" s="6">
        <f>IF(OR(原始資料!$A432="",57&gt;設定!$B$3,原始資料!BH432=""),"",IF(AND(原始資料!BG432&lt;&gt;"",原始資料!BH432=原始資料!BG432),N(BE432)+1,1))</f>
        <v/>
      </c>
      <c r="BG432" s="6">
        <f>IF(OR(原始資料!$A432="",58&gt;設定!$B$3,原始資料!BI432=""),"",IF(AND(原始資料!BH432&lt;&gt;"",原始資料!BI432=原始資料!BH432),N(BF432)+1,1))</f>
        <v/>
      </c>
      <c r="BH432" s="6">
        <f>IF(OR(原始資料!$A432="",59&gt;設定!$B$3,原始資料!BJ432=""),"",IF(AND(原始資料!BI432&lt;&gt;"",原始資料!BJ432=原始資料!BI432),N(BG432)+1,1))</f>
        <v/>
      </c>
      <c r="BI432" s="6">
        <f>IF(OR(原始資料!$A432="",60&gt;設定!$B$3,原始資料!BK432=""),"",IF(AND(原始資料!BJ432&lt;&gt;"",原始資料!BK432=原始資料!BJ432),N(BH432)+1,1))</f>
        <v/>
      </c>
    </row>
    <row r="433">
      <c r="A433" s="6">
        <f>IF(原始資料!$A433="","",原始資料!$A433)</f>
        <v/>
      </c>
      <c r="B433" s="6">
        <f>IF(OR(原始資料!$A433="",1&gt;設定!$B$3,原始資料!D433=""),"",1)</f>
        <v/>
      </c>
      <c r="C433" s="6">
        <f>IF(OR(原始資料!$A433="",2&gt;設定!$B$3,原始資料!E433=""),"",IF(AND(原始資料!D433&lt;&gt;"",原始資料!E433=原始資料!D433),N(B433)+1,1))</f>
        <v/>
      </c>
      <c r="D433" s="6">
        <f>IF(OR(原始資料!$A433="",3&gt;設定!$B$3,原始資料!F433=""),"",IF(AND(原始資料!E433&lt;&gt;"",原始資料!F433=原始資料!E433),N(C433)+1,1))</f>
        <v/>
      </c>
      <c r="E433" s="6">
        <f>IF(OR(原始資料!$A433="",4&gt;設定!$B$3,原始資料!G433=""),"",IF(AND(原始資料!F433&lt;&gt;"",原始資料!G433=原始資料!F433),N(D433)+1,1))</f>
        <v/>
      </c>
      <c r="F433" s="6">
        <f>IF(OR(原始資料!$A433="",5&gt;設定!$B$3,原始資料!H433=""),"",IF(AND(原始資料!G433&lt;&gt;"",原始資料!H433=原始資料!G433),N(E433)+1,1))</f>
        <v/>
      </c>
      <c r="G433" s="6">
        <f>IF(OR(原始資料!$A433="",6&gt;設定!$B$3,原始資料!I433=""),"",IF(AND(原始資料!H433&lt;&gt;"",原始資料!I433=原始資料!H433),N(F433)+1,1))</f>
        <v/>
      </c>
      <c r="H433" s="6">
        <f>IF(OR(原始資料!$A433="",7&gt;設定!$B$3,原始資料!J433=""),"",IF(AND(原始資料!I433&lt;&gt;"",原始資料!J433=原始資料!I433),N(G433)+1,1))</f>
        <v/>
      </c>
      <c r="I433" s="6">
        <f>IF(OR(原始資料!$A433="",8&gt;設定!$B$3,原始資料!K433=""),"",IF(AND(原始資料!J433&lt;&gt;"",原始資料!K433=原始資料!J433),N(H433)+1,1))</f>
        <v/>
      </c>
      <c r="J433" s="6">
        <f>IF(OR(原始資料!$A433="",9&gt;設定!$B$3,原始資料!L433=""),"",IF(AND(原始資料!K433&lt;&gt;"",原始資料!L433=原始資料!K433),N(I433)+1,1))</f>
        <v/>
      </c>
      <c r="K433" s="6">
        <f>IF(OR(原始資料!$A433="",10&gt;設定!$B$3,原始資料!M433=""),"",IF(AND(原始資料!L433&lt;&gt;"",原始資料!M433=原始資料!L433),N(J433)+1,1))</f>
        <v/>
      </c>
      <c r="L433" s="6">
        <f>IF(OR(原始資料!$A433="",11&gt;設定!$B$3,原始資料!N433=""),"",IF(AND(原始資料!M433&lt;&gt;"",原始資料!N433=原始資料!M433),N(K433)+1,1))</f>
        <v/>
      </c>
      <c r="M433" s="6">
        <f>IF(OR(原始資料!$A433="",12&gt;設定!$B$3,原始資料!O433=""),"",IF(AND(原始資料!N433&lt;&gt;"",原始資料!O433=原始資料!N433),N(L433)+1,1))</f>
        <v/>
      </c>
      <c r="N433" s="6">
        <f>IF(OR(原始資料!$A433="",13&gt;設定!$B$3,原始資料!P433=""),"",IF(AND(原始資料!O433&lt;&gt;"",原始資料!P433=原始資料!O433),N(M433)+1,1))</f>
        <v/>
      </c>
      <c r="O433" s="6">
        <f>IF(OR(原始資料!$A433="",14&gt;設定!$B$3,原始資料!Q433=""),"",IF(AND(原始資料!P433&lt;&gt;"",原始資料!Q433=原始資料!P433),N(N433)+1,1))</f>
        <v/>
      </c>
      <c r="P433" s="6">
        <f>IF(OR(原始資料!$A433="",15&gt;設定!$B$3,原始資料!R433=""),"",IF(AND(原始資料!Q433&lt;&gt;"",原始資料!R433=原始資料!Q433),N(O433)+1,1))</f>
        <v/>
      </c>
      <c r="Q433" s="6">
        <f>IF(OR(原始資料!$A433="",16&gt;設定!$B$3,原始資料!S433=""),"",IF(AND(原始資料!R433&lt;&gt;"",原始資料!S433=原始資料!R433),N(P433)+1,1))</f>
        <v/>
      </c>
      <c r="R433" s="6">
        <f>IF(OR(原始資料!$A433="",17&gt;設定!$B$3,原始資料!T433=""),"",IF(AND(原始資料!S433&lt;&gt;"",原始資料!T433=原始資料!S433),N(Q433)+1,1))</f>
        <v/>
      </c>
      <c r="S433" s="6">
        <f>IF(OR(原始資料!$A433="",18&gt;設定!$B$3,原始資料!U433=""),"",IF(AND(原始資料!T433&lt;&gt;"",原始資料!U433=原始資料!T433),N(R433)+1,1))</f>
        <v/>
      </c>
      <c r="T433" s="6">
        <f>IF(OR(原始資料!$A433="",19&gt;設定!$B$3,原始資料!V433=""),"",IF(AND(原始資料!U433&lt;&gt;"",原始資料!V433=原始資料!U433),N(S433)+1,1))</f>
        <v/>
      </c>
      <c r="U433" s="6">
        <f>IF(OR(原始資料!$A433="",20&gt;設定!$B$3,原始資料!W433=""),"",IF(AND(原始資料!V433&lt;&gt;"",原始資料!W433=原始資料!V433),N(T433)+1,1))</f>
        <v/>
      </c>
      <c r="V433" s="6">
        <f>IF(OR(原始資料!$A433="",21&gt;設定!$B$3,原始資料!X433=""),"",IF(AND(原始資料!W433&lt;&gt;"",原始資料!X433=原始資料!W433),N(U433)+1,1))</f>
        <v/>
      </c>
      <c r="W433" s="6">
        <f>IF(OR(原始資料!$A433="",22&gt;設定!$B$3,原始資料!Y433=""),"",IF(AND(原始資料!X433&lt;&gt;"",原始資料!Y433=原始資料!X433),N(V433)+1,1))</f>
        <v/>
      </c>
      <c r="X433" s="6">
        <f>IF(OR(原始資料!$A433="",23&gt;設定!$B$3,原始資料!Z433=""),"",IF(AND(原始資料!Y433&lt;&gt;"",原始資料!Z433=原始資料!Y433),N(W433)+1,1))</f>
        <v/>
      </c>
      <c r="Y433" s="6">
        <f>IF(OR(原始資料!$A433="",24&gt;設定!$B$3,原始資料!AA433=""),"",IF(AND(原始資料!Z433&lt;&gt;"",原始資料!AA433=原始資料!Z433),N(X433)+1,1))</f>
        <v/>
      </c>
      <c r="Z433" s="6">
        <f>IF(OR(原始資料!$A433="",25&gt;設定!$B$3,原始資料!AB433=""),"",IF(AND(原始資料!AA433&lt;&gt;"",原始資料!AB433=原始資料!AA433),N(Y433)+1,1))</f>
        <v/>
      </c>
      <c r="AA433" s="6">
        <f>IF(OR(原始資料!$A433="",26&gt;設定!$B$3,原始資料!AC433=""),"",IF(AND(原始資料!AB433&lt;&gt;"",原始資料!AC433=原始資料!AB433),N(Z433)+1,1))</f>
        <v/>
      </c>
      <c r="AB433" s="6">
        <f>IF(OR(原始資料!$A433="",27&gt;設定!$B$3,原始資料!AD433=""),"",IF(AND(原始資料!AC433&lt;&gt;"",原始資料!AD433=原始資料!AC433),N(AA433)+1,1))</f>
        <v/>
      </c>
      <c r="AC433" s="6">
        <f>IF(OR(原始資料!$A433="",28&gt;設定!$B$3,原始資料!AE433=""),"",IF(AND(原始資料!AD433&lt;&gt;"",原始資料!AE433=原始資料!AD433),N(AB433)+1,1))</f>
        <v/>
      </c>
      <c r="AD433" s="6">
        <f>IF(OR(原始資料!$A433="",29&gt;設定!$B$3,原始資料!AF433=""),"",IF(AND(原始資料!AE433&lt;&gt;"",原始資料!AF433=原始資料!AE433),N(AC433)+1,1))</f>
        <v/>
      </c>
      <c r="AE433" s="6">
        <f>IF(OR(原始資料!$A433="",30&gt;設定!$B$3,原始資料!AG433=""),"",IF(AND(原始資料!AF433&lt;&gt;"",原始資料!AG433=原始資料!AF433),N(AD433)+1,1))</f>
        <v/>
      </c>
      <c r="AF433" s="6">
        <f>IF(OR(原始資料!$A433="",31&gt;設定!$B$3,原始資料!AH433=""),"",IF(AND(原始資料!AG433&lt;&gt;"",原始資料!AH433=原始資料!AG433),N(AE433)+1,1))</f>
        <v/>
      </c>
      <c r="AG433" s="6">
        <f>IF(OR(原始資料!$A433="",32&gt;設定!$B$3,原始資料!AI433=""),"",IF(AND(原始資料!AH433&lt;&gt;"",原始資料!AI433=原始資料!AH433),N(AF433)+1,1))</f>
        <v/>
      </c>
      <c r="AH433" s="6">
        <f>IF(OR(原始資料!$A433="",33&gt;設定!$B$3,原始資料!AJ433=""),"",IF(AND(原始資料!AI433&lt;&gt;"",原始資料!AJ433=原始資料!AI433),N(AG433)+1,1))</f>
        <v/>
      </c>
      <c r="AI433" s="6">
        <f>IF(OR(原始資料!$A433="",34&gt;設定!$B$3,原始資料!AK433=""),"",IF(AND(原始資料!AJ433&lt;&gt;"",原始資料!AK433=原始資料!AJ433),N(AH433)+1,1))</f>
        <v/>
      </c>
      <c r="AJ433" s="6">
        <f>IF(OR(原始資料!$A433="",35&gt;設定!$B$3,原始資料!AL433=""),"",IF(AND(原始資料!AK433&lt;&gt;"",原始資料!AL433=原始資料!AK433),N(AI433)+1,1))</f>
        <v/>
      </c>
      <c r="AK433" s="6">
        <f>IF(OR(原始資料!$A433="",36&gt;設定!$B$3,原始資料!AM433=""),"",IF(AND(原始資料!AL433&lt;&gt;"",原始資料!AM433=原始資料!AL433),N(AJ433)+1,1))</f>
        <v/>
      </c>
      <c r="AL433" s="6">
        <f>IF(OR(原始資料!$A433="",37&gt;設定!$B$3,原始資料!AN433=""),"",IF(AND(原始資料!AM433&lt;&gt;"",原始資料!AN433=原始資料!AM433),N(AK433)+1,1))</f>
        <v/>
      </c>
      <c r="AM433" s="6">
        <f>IF(OR(原始資料!$A433="",38&gt;設定!$B$3,原始資料!AO433=""),"",IF(AND(原始資料!AN433&lt;&gt;"",原始資料!AO433=原始資料!AN433),N(AL433)+1,1))</f>
        <v/>
      </c>
      <c r="AN433" s="6">
        <f>IF(OR(原始資料!$A433="",39&gt;設定!$B$3,原始資料!AP433=""),"",IF(AND(原始資料!AO433&lt;&gt;"",原始資料!AP433=原始資料!AO433),N(AM433)+1,1))</f>
        <v/>
      </c>
      <c r="AO433" s="6">
        <f>IF(OR(原始資料!$A433="",40&gt;設定!$B$3,原始資料!AQ433=""),"",IF(AND(原始資料!AP433&lt;&gt;"",原始資料!AQ433=原始資料!AP433),N(AN433)+1,1))</f>
        <v/>
      </c>
      <c r="AP433" s="6">
        <f>IF(OR(原始資料!$A433="",41&gt;設定!$B$3,原始資料!AR433=""),"",IF(AND(原始資料!AQ433&lt;&gt;"",原始資料!AR433=原始資料!AQ433),N(AO433)+1,1))</f>
        <v/>
      </c>
      <c r="AQ433" s="6">
        <f>IF(OR(原始資料!$A433="",42&gt;設定!$B$3,原始資料!AS433=""),"",IF(AND(原始資料!AR433&lt;&gt;"",原始資料!AS433=原始資料!AR433),N(AP433)+1,1))</f>
        <v/>
      </c>
      <c r="AR433" s="6">
        <f>IF(OR(原始資料!$A433="",43&gt;設定!$B$3,原始資料!AT433=""),"",IF(AND(原始資料!AS433&lt;&gt;"",原始資料!AT433=原始資料!AS433),N(AQ433)+1,1))</f>
        <v/>
      </c>
      <c r="AS433" s="6">
        <f>IF(OR(原始資料!$A433="",44&gt;設定!$B$3,原始資料!AU433=""),"",IF(AND(原始資料!AT433&lt;&gt;"",原始資料!AU433=原始資料!AT433),N(AR433)+1,1))</f>
        <v/>
      </c>
      <c r="AT433" s="6">
        <f>IF(OR(原始資料!$A433="",45&gt;設定!$B$3,原始資料!AV433=""),"",IF(AND(原始資料!AU433&lt;&gt;"",原始資料!AV433=原始資料!AU433),N(AS433)+1,1))</f>
        <v/>
      </c>
      <c r="AU433" s="6">
        <f>IF(OR(原始資料!$A433="",46&gt;設定!$B$3,原始資料!AW433=""),"",IF(AND(原始資料!AV433&lt;&gt;"",原始資料!AW433=原始資料!AV433),N(AT433)+1,1))</f>
        <v/>
      </c>
      <c r="AV433" s="6">
        <f>IF(OR(原始資料!$A433="",47&gt;設定!$B$3,原始資料!AX433=""),"",IF(AND(原始資料!AW433&lt;&gt;"",原始資料!AX433=原始資料!AW433),N(AU433)+1,1))</f>
        <v/>
      </c>
      <c r="AW433" s="6">
        <f>IF(OR(原始資料!$A433="",48&gt;設定!$B$3,原始資料!AY433=""),"",IF(AND(原始資料!AX433&lt;&gt;"",原始資料!AY433=原始資料!AX433),N(AV433)+1,1))</f>
        <v/>
      </c>
      <c r="AX433" s="6">
        <f>IF(OR(原始資料!$A433="",49&gt;設定!$B$3,原始資料!AZ433=""),"",IF(AND(原始資料!AY433&lt;&gt;"",原始資料!AZ433=原始資料!AY433),N(AW433)+1,1))</f>
        <v/>
      </c>
      <c r="AY433" s="6">
        <f>IF(OR(原始資料!$A433="",50&gt;設定!$B$3,原始資料!BA433=""),"",IF(AND(原始資料!AZ433&lt;&gt;"",原始資料!BA433=原始資料!AZ433),N(AX433)+1,1))</f>
        <v/>
      </c>
      <c r="AZ433" s="6">
        <f>IF(OR(原始資料!$A433="",51&gt;設定!$B$3,原始資料!BB433=""),"",IF(AND(原始資料!BA433&lt;&gt;"",原始資料!BB433=原始資料!BA433),N(AY433)+1,1))</f>
        <v/>
      </c>
      <c r="BA433" s="6">
        <f>IF(OR(原始資料!$A433="",52&gt;設定!$B$3,原始資料!BC433=""),"",IF(AND(原始資料!BB433&lt;&gt;"",原始資料!BC433=原始資料!BB433),N(AZ433)+1,1))</f>
        <v/>
      </c>
      <c r="BB433" s="6">
        <f>IF(OR(原始資料!$A433="",53&gt;設定!$B$3,原始資料!BD433=""),"",IF(AND(原始資料!BC433&lt;&gt;"",原始資料!BD433=原始資料!BC433),N(BA433)+1,1))</f>
        <v/>
      </c>
      <c r="BC433" s="6">
        <f>IF(OR(原始資料!$A433="",54&gt;設定!$B$3,原始資料!BE433=""),"",IF(AND(原始資料!BD433&lt;&gt;"",原始資料!BE433=原始資料!BD433),N(BB433)+1,1))</f>
        <v/>
      </c>
      <c r="BD433" s="6">
        <f>IF(OR(原始資料!$A433="",55&gt;設定!$B$3,原始資料!BF433=""),"",IF(AND(原始資料!BE433&lt;&gt;"",原始資料!BF433=原始資料!BE433),N(BC433)+1,1))</f>
        <v/>
      </c>
      <c r="BE433" s="6">
        <f>IF(OR(原始資料!$A433="",56&gt;設定!$B$3,原始資料!BG433=""),"",IF(AND(原始資料!BF433&lt;&gt;"",原始資料!BG433=原始資料!BF433),N(BD433)+1,1))</f>
        <v/>
      </c>
      <c r="BF433" s="6">
        <f>IF(OR(原始資料!$A433="",57&gt;設定!$B$3,原始資料!BH433=""),"",IF(AND(原始資料!BG433&lt;&gt;"",原始資料!BH433=原始資料!BG433),N(BE433)+1,1))</f>
        <v/>
      </c>
      <c r="BG433" s="6">
        <f>IF(OR(原始資料!$A433="",58&gt;設定!$B$3,原始資料!BI433=""),"",IF(AND(原始資料!BH433&lt;&gt;"",原始資料!BI433=原始資料!BH433),N(BF433)+1,1))</f>
        <v/>
      </c>
      <c r="BH433" s="6">
        <f>IF(OR(原始資料!$A433="",59&gt;設定!$B$3,原始資料!BJ433=""),"",IF(AND(原始資料!BI433&lt;&gt;"",原始資料!BJ433=原始資料!BI433),N(BG433)+1,1))</f>
        <v/>
      </c>
      <c r="BI433" s="6">
        <f>IF(OR(原始資料!$A433="",60&gt;設定!$B$3,原始資料!BK433=""),"",IF(AND(原始資料!BJ433&lt;&gt;"",原始資料!BK433=原始資料!BJ433),N(BH433)+1,1))</f>
        <v/>
      </c>
    </row>
    <row r="434">
      <c r="A434" s="6">
        <f>IF(原始資料!$A434="","",原始資料!$A434)</f>
        <v/>
      </c>
      <c r="B434" s="6">
        <f>IF(OR(原始資料!$A434="",1&gt;設定!$B$3,原始資料!D434=""),"",1)</f>
        <v/>
      </c>
      <c r="C434" s="6">
        <f>IF(OR(原始資料!$A434="",2&gt;設定!$B$3,原始資料!E434=""),"",IF(AND(原始資料!D434&lt;&gt;"",原始資料!E434=原始資料!D434),N(B434)+1,1))</f>
        <v/>
      </c>
      <c r="D434" s="6">
        <f>IF(OR(原始資料!$A434="",3&gt;設定!$B$3,原始資料!F434=""),"",IF(AND(原始資料!E434&lt;&gt;"",原始資料!F434=原始資料!E434),N(C434)+1,1))</f>
        <v/>
      </c>
      <c r="E434" s="6">
        <f>IF(OR(原始資料!$A434="",4&gt;設定!$B$3,原始資料!G434=""),"",IF(AND(原始資料!F434&lt;&gt;"",原始資料!G434=原始資料!F434),N(D434)+1,1))</f>
        <v/>
      </c>
      <c r="F434" s="6">
        <f>IF(OR(原始資料!$A434="",5&gt;設定!$B$3,原始資料!H434=""),"",IF(AND(原始資料!G434&lt;&gt;"",原始資料!H434=原始資料!G434),N(E434)+1,1))</f>
        <v/>
      </c>
      <c r="G434" s="6">
        <f>IF(OR(原始資料!$A434="",6&gt;設定!$B$3,原始資料!I434=""),"",IF(AND(原始資料!H434&lt;&gt;"",原始資料!I434=原始資料!H434),N(F434)+1,1))</f>
        <v/>
      </c>
      <c r="H434" s="6">
        <f>IF(OR(原始資料!$A434="",7&gt;設定!$B$3,原始資料!J434=""),"",IF(AND(原始資料!I434&lt;&gt;"",原始資料!J434=原始資料!I434),N(G434)+1,1))</f>
        <v/>
      </c>
      <c r="I434" s="6">
        <f>IF(OR(原始資料!$A434="",8&gt;設定!$B$3,原始資料!K434=""),"",IF(AND(原始資料!J434&lt;&gt;"",原始資料!K434=原始資料!J434),N(H434)+1,1))</f>
        <v/>
      </c>
      <c r="J434" s="6">
        <f>IF(OR(原始資料!$A434="",9&gt;設定!$B$3,原始資料!L434=""),"",IF(AND(原始資料!K434&lt;&gt;"",原始資料!L434=原始資料!K434),N(I434)+1,1))</f>
        <v/>
      </c>
      <c r="K434" s="6">
        <f>IF(OR(原始資料!$A434="",10&gt;設定!$B$3,原始資料!M434=""),"",IF(AND(原始資料!L434&lt;&gt;"",原始資料!M434=原始資料!L434),N(J434)+1,1))</f>
        <v/>
      </c>
      <c r="L434" s="6">
        <f>IF(OR(原始資料!$A434="",11&gt;設定!$B$3,原始資料!N434=""),"",IF(AND(原始資料!M434&lt;&gt;"",原始資料!N434=原始資料!M434),N(K434)+1,1))</f>
        <v/>
      </c>
      <c r="M434" s="6">
        <f>IF(OR(原始資料!$A434="",12&gt;設定!$B$3,原始資料!O434=""),"",IF(AND(原始資料!N434&lt;&gt;"",原始資料!O434=原始資料!N434),N(L434)+1,1))</f>
        <v/>
      </c>
      <c r="N434" s="6">
        <f>IF(OR(原始資料!$A434="",13&gt;設定!$B$3,原始資料!P434=""),"",IF(AND(原始資料!O434&lt;&gt;"",原始資料!P434=原始資料!O434),N(M434)+1,1))</f>
        <v/>
      </c>
      <c r="O434" s="6">
        <f>IF(OR(原始資料!$A434="",14&gt;設定!$B$3,原始資料!Q434=""),"",IF(AND(原始資料!P434&lt;&gt;"",原始資料!Q434=原始資料!P434),N(N434)+1,1))</f>
        <v/>
      </c>
      <c r="P434" s="6">
        <f>IF(OR(原始資料!$A434="",15&gt;設定!$B$3,原始資料!R434=""),"",IF(AND(原始資料!Q434&lt;&gt;"",原始資料!R434=原始資料!Q434),N(O434)+1,1))</f>
        <v/>
      </c>
      <c r="Q434" s="6">
        <f>IF(OR(原始資料!$A434="",16&gt;設定!$B$3,原始資料!S434=""),"",IF(AND(原始資料!R434&lt;&gt;"",原始資料!S434=原始資料!R434),N(P434)+1,1))</f>
        <v/>
      </c>
      <c r="R434" s="6">
        <f>IF(OR(原始資料!$A434="",17&gt;設定!$B$3,原始資料!T434=""),"",IF(AND(原始資料!S434&lt;&gt;"",原始資料!T434=原始資料!S434),N(Q434)+1,1))</f>
        <v/>
      </c>
      <c r="S434" s="6">
        <f>IF(OR(原始資料!$A434="",18&gt;設定!$B$3,原始資料!U434=""),"",IF(AND(原始資料!T434&lt;&gt;"",原始資料!U434=原始資料!T434),N(R434)+1,1))</f>
        <v/>
      </c>
      <c r="T434" s="6">
        <f>IF(OR(原始資料!$A434="",19&gt;設定!$B$3,原始資料!V434=""),"",IF(AND(原始資料!U434&lt;&gt;"",原始資料!V434=原始資料!U434),N(S434)+1,1))</f>
        <v/>
      </c>
      <c r="U434" s="6">
        <f>IF(OR(原始資料!$A434="",20&gt;設定!$B$3,原始資料!W434=""),"",IF(AND(原始資料!V434&lt;&gt;"",原始資料!W434=原始資料!V434),N(T434)+1,1))</f>
        <v/>
      </c>
      <c r="V434" s="6">
        <f>IF(OR(原始資料!$A434="",21&gt;設定!$B$3,原始資料!X434=""),"",IF(AND(原始資料!W434&lt;&gt;"",原始資料!X434=原始資料!W434),N(U434)+1,1))</f>
        <v/>
      </c>
      <c r="W434" s="6">
        <f>IF(OR(原始資料!$A434="",22&gt;設定!$B$3,原始資料!Y434=""),"",IF(AND(原始資料!X434&lt;&gt;"",原始資料!Y434=原始資料!X434),N(V434)+1,1))</f>
        <v/>
      </c>
      <c r="X434" s="6">
        <f>IF(OR(原始資料!$A434="",23&gt;設定!$B$3,原始資料!Z434=""),"",IF(AND(原始資料!Y434&lt;&gt;"",原始資料!Z434=原始資料!Y434),N(W434)+1,1))</f>
        <v/>
      </c>
      <c r="Y434" s="6">
        <f>IF(OR(原始資料!$A434="",24&gt;設定!$B$3,原始資料!AA434=""),"",IF(AND(原始資料!Z434&lt;&gt;"",原始資料!AA434=原始資料!Z434),N(X434)+1,1))</f>
        <v/>
      </c>
      <c r="Z434" s="6">
        <f>IF(OR(原始資料!$A434="",25&gt;設定!$B$3,原始資料!AB434=""),"",IF(AND(原始資料!AA434&lt;&gt;"",原始資料!AB434=原始資料!AA434),N(Y434)+1,1))</f>
        <v/>
      </c>
      <c r="AA434" s="6">
        <f>IF(OR(原始資料!$A434="",26&gt;設定!$B$3,原始資料!AC434=""),"",IF(AND(原始資料!AB434&lt;&gt;"",原始資料!AC434=原始資料!AB434),N(Z434)+1,1))</f>
        <v/>
      </c>
      <c r="AB434" s="6">
        <f>IF(OR(原始資料!$A434="",27&gt;設定!$B$3,原始資料!AD434=""),"",IF(AND(原始資料!AC434&lt;&gt;"",原始資料!AD434=原始資料!AC434),N(AA434)+1,1))</f>
        <v/>
      </c>
      <c r="AC434" s="6">
        <f>IF(OR(原始資料!$A434="",28&gt;設定!$B$3,原始資料!AE434=""),"",IF(AND(原始資料!AD434&lt;&gt;"",原始資料!AE434=原始資料!AD434),N(AB434)+1,1))</f>
        <v/>
      </c>
      <c r="AD434" s="6">
        <f>IF(OR(原始資料!$A434="",29&gt;設定!$B$3,原始資料!AF434=""),"",IF(AND(原始資料!AE434&lt;&gt;"",原始資料!AF434=原始資料!AE434),N(AC434)+1,1))</f>
        <v/>
      </c>
      <c r="AE434" s="6">
        <f>IF(OR(原始資料!$A434="",30&gt;設定!$B$3,原始資料!AG434=""),"",IF(AND(原始資料!AF434&lt;&gt;"",原始資料!AG434=原始資料!AF434),N(AD434)+1,1))</f>
        <v/>
      </c>
      <c r="AF434" s="6">
        <f>IF(OR(原始資料!$A434="",31&gt;設定!$B$3,原始資料!AH434=""),"",IF(AND(原始資料!AG434&lt;&gt;"",原始資料!AH434=原始資料!AG434),N(AE434)+1,1))</f>
        <v/>
      </c>
      <c r="AG434" s="6">
        <f>IF(OR(原始資料!$A434="",32&gt;設定!$B$3,原始資料!AI434=""),"",IF(AND(原始資料!AH434&lt;&gt;"",原始資料!AI434=原始資料!AH434),N(AF434)+1,1))</f>
        <v/>
      </c>
      <c r="AH434" s="6">
        <f>IF(OR(原始資料!$A434="",33&gt;設定!$B$3,原始資料!AJ434=""),"",IF(AND(原始資料!AI434&lt;&gt;"",原始資料!AJ434=原始資料!AI434),N(AG434)+1,1))</f>
        <v/>
      </c>
      <c r="AI434" s="6">
        <f>IF(OR(原始資料!$A434="",34&gt;設定!$B$3,原始資料!AK434=""),"",IF(AND(原始資料!AJ434&lt;&gt;"",原始資料!AK434=原始資料!AJ434),N(AH434)+1,1))</f>
        <v/>
      </c>
      <c r="AJ434" s="6">
        <f>IF(OR(原始資料!$A434="",35&gt;設定!$B$3,原始資料!AL434=""),"",IF(AND(原始資料!AK434&lt;&gt;"",原始資料!AL434=原始資料!AK434),N(AI434)+1,1))</f>
        <v/>
      </c>
      <c r="AK434" s="6">
        <f>IF(OR(原始資料!$A434="",36&gt;設定!$B$3,原始資料!AM434=""),"",IF(AND(原始資料!AL434&lt;&gt;"",原始資料!AM434=原始資料!AL434),N(AJ434)+1,1))</f>
        <v/>
      </c>
      <c r="AL434" s="6">
        <f>IF(OR(原始資料!$A434="",37&gt;設定!$B$3,原始資料!AN434=""),"",IF(AND(原始資料!AM434&lt;&gt;"",原始資料!AN434=原始資料!AM434),N(AK434)+1,1))</f>
        <v/>
      </c>
      <c r="AM434" s="6">
        <f>IF(OR(原始資料!$A434="",38&gt;設定!$B$3,原始資料!AO434=""),"",IF(AND(原始資料!AN434&lt;&gt;"",原始資料!AO434=原始資料!AN434),N(AL434)+1,1))</f>
        <v/>
      </c>
      <c r="AN434" s="6">
        <f>IF(OR(原始資料!$A434="",39&gt;設定!$B$3,原始資料!AP434=""),"",IF(AND(原始資料!AO434&lt;&gt;"",原始資料!AP434=原始資料!AO434),N(AM434)+1,1))</f>
        <v/>
      </c>
      <c r="AO434" s="6">
        <f>IF(OR(原始資料!$A434="",40&gt;設定!$B$3,原始資料!AQ434=""),"",IF(AND(原始資料!AP434&lt;&gt;"",原始資料!AQ434=原始資料!AP434),N(AN434)+1,1))</f>
        <v/>
      </c>
      <c r="AP434" s="6">
        <f>IF(OR(原始資料!$A434="",41&gt;設定!$B$3,原始資料!AR434=""),"",IF(AND(原始資料!AQ434&lt;&gt;"",原始資料!AR434=原始資料!AQ434),N(AO434)+1,1))</f>
        <v/>
      </c>
      <c r="AQ434" s="6">
        <f>IF(OR(原始資料!$A434="",42&gt;設定!$B$3,原始資料!AS434=""),"",IF(AND(原始資料!AR434&lt;&gt;"",原始資料!AS434=原始資料!AR434),N(AP434)+1,1))</f>
        <v/>
      </c>
      <c r="AR434" s="6">
        <f>IF(OR(原始資料!$A434="",43&gt;設定!$B$3,原始資料!AT434=""),"",IF(AND(原始資料!AS434&lt;&gt;"",原始資料!AT434=原始資料!AS434),N(AQ434)+1,1))</f>
        <v/>
      </c>
      <c r="AS434" s="6">
        <f>IF(OR(原始資料!$A434="",44&gt;設定!$B$3,原始資料!AU434=""),"",IF(AND(原始資料!AT434&lt;&gt;"",原始資料!AU434=原始資料!AT434),N(AR434)+1,1))</f>
        <v/>
      </c>
      <c r="AT434" s="6">
        <f>IF(OR(原始資料!$A434="",45&gt;設定!$B$3,原始資料!AV434=""),"",IF(AND(原始資料!AU434&lt;&gt;"",原始資料!AV434=原始資料!AU434),N(AS434)+1,1))</f>
        <v/>
      </c>
      <c r="AU434" s="6">
        <f>IF(OR(原始資料!$A434="",46&gt;設定!$B$3,原始資料!AW434=""),"",IF(AND(原始資料!AV434&lt;&gt;"",原始資料!AW434=原始資料!AV434),N(AT434)+1,1))</f>
        <v/>
      </c>
      <c r="AV434" s="6">
        <f>IF(OR(原始資料!$A434="",47&gt;設定!$B$3,原始資料!AX434=""),"",IF(AND(原始資料!AW434&lt;&gt;"",原始資料!AX434=原始資料!AW434),N(AU434)+1,1))</f>
        <v/>
      </c>
      <c r="AW434" s="6">
        <f>IF(OR(原始資料!$A434="",48&gt;設定!$B$3,原始資料!AY434=""),"",IF(AND(原始資料!AX434&lt;&gt;"",原始資料!AY434=原始資料!AX434),N(AV434)+1,1))</f>
        <v/>
      </c>
      <c r="AX434" s="6">
        <f>IF(OR(原始資料!$A434="",49&gt;設定!$B$3,原始資料!AZ434=""),"",IF(AND(原始資料!AY434&lt;&gt;"",原始資料!AZ434=原始資料!AY434),N(AW434)+1,1))</f>
        <v/>
      </c>
      <c r="AY434" s="6">
        <f>IF(OR(原始資料!$A434="",50&gt;設定!$B$3,原始資料!BA434=""),"",IF(AND(原始資料!AZ434&lt;&gt;"",原始資料!BA434=原始資料!AZ434),N(AX434)+1,1))</f>
        <v/>
      </c>
      <c r="AZ434" s="6">
        <f>IF(OR(原始資料!$A434="",51&gt;設定!$B$3,原始資料!BB434=""),"",IF(AND(原始資料!BA434&lt;&gt;"",原始資料!BB434=原始資料!BA434),N(AY434)+1,1))</f>
        <v/>
      </c>
      <c r="BA434" s="6">
        <f>IF(OR(原始資料!$A434="",52&gt;設定!$B$3,原始資料!BC434=""),"",IF(AND(原始資料!BB434&lt;&gt;"",原始資料!BC434=原始資料!BB434),N(AZ434)+1,1))</f>
        <v/>
      </c>
      <c r="BB434" s="6">
        <f>IF(OR(原始資料!$A434="",53&gt;設定!$B$3,原始資料!BD434=""),"",IF(AND(原始資料!BC434&lt;&gt;"",原始資料!BD434=原始資料!BC434),N(BA434)+1,1))</f>
        <v/>
      </c>
      <c r="BC434" s="6">
        <f>IF(OR(原始資料!$A434="",54&gt;設定!$B$3,原始資料!BE434=""),"",IF(AND(原始資料!BD434&lt;&gt;"",原始資料!BE434=原始資料!BD434),N(BB434)+1,1))</f>
        <v/>
      </c>
      <c r="BD434" s="6">
        <f>IF(OR(原始資料!$A434="",55&gt;設定!$B$3,原始資料!BF434=""),"",IF(AND(原始資料!BE434&lt;&gt;"",原始資料!BF434=原始資料!BE434),N(BC434)+1,1))</f>
        <v/>
      </c>
      <c r="BE434" s="6">
        <f>IF(OR(原始資料!$A434="",56&gt;設定!$B$3,原始資料!BG434=""),"",IF(AND(原始資料!BF434&lt;&gt;"",原始資料!BG434=原始資料!BF434),N(BD434)+1,1))</f>
        <v/>
      </c>
      <c r="BF434" s="6">
        <f>IF(OR(原始資料!$A434="",57&gt;設定!$B$3,原始資料!BH434=""),"",IF(AND(原始資料!BG434&lt;&gt;"",原始資料!BH434=原始資料!BG434),N(BE434)+1,1))</f>
        <v/>
      </c>
      <c r="BG434" s="6">
        <f>IF(OR(原始資料!$A434="",58&gt;設定!$B$3,原始資料!BI434=""),"",IF(AND(原始資料!BH434&lt;&gt;"",原始資料!BI434=原始資料!BH434),N(BF434)+1,1))</f>
        <v/>
      </c>
      <c r="BH434" s="6">
        <f>IF(OR(原始資料!$A434="",59&gt;設定!$B$3,原始資料!BJ434=""),"",IF(AND(原始資料!BI434&lt;&gt;"",原始資料!BJ434=原始資料!BI434),N(BG434)+1,1))</f>
        <v/>
      </c>
      <c r="BI434" s="6">
        <f>IF(OR(原始資料!$A434="",60&gt;設定!$B$3,原始資料!BK434=""),"",IF(AND(原始資料!BJ434&lt;&gt;"",原始資料!BK434=原始資料!BJ434),N(BH434)+1,1))</f>
        <v/>
      </c>
    </row>
    <row r="435">
      <c r="A435" s="6">
        <f>IF(原始資料!$A435="","",原始資料!$A435)</f>
        <v/>
      </c>
      <c r="B435" s="6">
        <f>IF(OR(原始資料!$A435="",1&gt;設定!$B$3,原始資料!D435=""),"",1)</f>
        <v/>
      </c>
      <c r="C435" s="6">
        <f>IF(OR(原始資料!$A435="",2&gt;設定!$B$3,原始資料!E435=""),"",IF(AND(原始資料!D435&lt;&gt;"",原始資料!E435=原始資料!D435),N(B435)+1,1))</f>
        <v/>
      </c>
      <c r="D435" s="6">
        <f>IF(OR(原始資料!$A435="",3&gt;設定!$B$3,原始資料!F435=""),"",IF(AND(原始資料!E435&lt;&gt;"",原始資料!F435=原始資料!E435),N(C435)+1,1))</f>
        <v/>
      </c>
      <c r="E435" s="6">
        <f>IF(OR(原始資料!$A435="",4&gt;設定!$B$3,原始資料!G435=""),"",IF(AND(原始資料!F435&lt;&gt;"",原始資料!G435=原始資料!F435),N(D435)+1,1))</f>
        <v/>
      </c>
      <c r="F435" s="6">
        <f>IF(OR(原始資料!$A435="",5&gt;設定!$B$3,原始資料!H435=""),"",IF(AND(原始資料!G435&lt;&gt;"",原始資料!H435=原始資料!G435),N(E435)+1,1))</f>
        <v/>
      </c>
      <c r="G435" s="6">
        <f>IF(OR(原始資料!$A435="",6&gt;設定!$B$3,原始資料!I435=""),"",IF(AND(原始資料!H435&lt;&gt;"",原始資料!I435=原始資料!H435),N(F435)+1,1))</f>
        <v/>
      </c>
      <c r="H435" s="6">
        <f>IF(OR(原始資料!$A435="",7&gt;設定!$B$3,原始資料!J435=""),"",IF(AND(原始資料!I435&lt;&gt;"",原始資料!J435=原始資料!I435),N(G435)+1,1))</f>
        <v/>
      </c>
      <c r="I435" s="6">
        <f>IF(OR(原始資料!$A435="",8&gt;設定!$B$3,原始資料!K435=""),"",IF(AND(原始資料!J435&lt;&gt;"",原始資料!K435=原始資料!J435),N(H435)+1,1))</f>
        <v/>
      </c>
      <c r="J435" s="6">
        <f>IF(OR(原始資料!$A435="",9&gt;設定!$B$3,原始資料!L435=""),"",IF(AND(原始資料!K435&lt;&gt;"",原始資料!L435=原始資料!K435),N(I435)+1,1))</f>
        <v/>
      </c>
      <c r="K435" s="6">
        <f>IF(OR(原始資料!$A435="",10&gt;設定!$B$3,原始資料!M435=""),"",IF(AND(原始資料!L435&lt;&gt;"",原始資料!M435=原始資料!L435),N(J435)+1,1))</f>
        <v/>
      </c>
      <c r="L435" s="6">
        <f>IF(OR(原始資料!$A435="",11&gt;設定!$B$3,原始資料!N435=""),"",IF(AND(原始資料!M435&lt;&gt;"",原始資料!N435=原始資料!M435),N(K435)+1,1))</f>
        <v/>
      </c>
      <c r="M435" s="6">
        <f>IF(OR(原始資料!$A435="",12&gt;設定!$B$3,原始資料!O435=""),"",IF(AND(原始資料!N435&lt;&gt;"",原始資料!O435=原始資料!N435),N(L435)+1,1))</f>
        <v/>
      </c>
      <c r="N435" s="6">
        <f>IF(OR(原始資料!$A435="",13&gt;設定!$B$3,原始資料!P435=""),"",IF(AND(原始資料!O435&lt;&gt;"",原始資料!P435=原始資料!O435),N(M435)+1,1))</f>
        <v/>
      </c>
      <c r="O435" s="6">
        <f>IF(OR(原始資料!$A435="",14&gt;設定!$B$3,原始資料!Q435=""),"",IF(AND(原始資料!P435&lt;&gt;"",原始資料!Q435=原始資料!P435),N(N435)+1,1))</f>
        <v/>
      </c>
      <c r="P435" s="6">
        <f>IF(OR(原始資料!$A435="",15&gt;設定!$B$3,原始資料!R435=""),"",IF(AND(原始資料!Q435&lt;&gt;"",原始資料!R435=原始資料!Q435),N(O435)+1,1))</f>
        <v/>
      </c>
      <c r="Q435" s="6">
        <f>IF(OR(原始資料!$A435="",16&gt;設定!$B$3,原始資料!S435=""),"",IF(AND(原始資料!R435&lt;&gt;"",原始資料!S435=原始資料!R435),N(P435)+1,1))</f>
        <v/>
      </c>
      <c r="R435" s="6">
        <f>IF(OR(原始資料!$A435="",17&gt;設定!$B$3,原始資料!T435=""),"",IF(AND(原始資料!S435&lt;&gt;"",原始資料!T435=原始資料!S435),N(Q435)+1,1))</f>
        <v/>
      </c>
      <c r="S435" s="6">
        <f>IF(OR(原始資料!$A435="",18&gt;設定!$B$3,原始資料!U435=""),"",IF(AND(原始資料!T435&lt;&gt;"",原始資料!U435=原始資料!T435),N(R435)+1,1))</f>
        <v/>
      </c>
      <c r="T435" s="6">
        <f>IF(OR(原始資料!$A435="",19&gt;設定!$B$3,原始資料!V435=""),"",IF(AND(原始資料!U435&lt;&gt;"",原始資料!V435=原始資料!U435),N(S435)+1,1))</f>
        <v/>
      </c>
      <c r="U435" s="6">
        <f>IF(OR(原始資料!$A435="",20&gt;設定!$B$3,原始資料!W435=""),"",IF(AND(原始資料!V435&lt;&gt;"",原始資料!W435=原始資料!V435),N(T435)+1,1))</f>
        <v/>
      </c>
      <c r="V435" s="6">
        <f>IF(OR(原始資料!$A435="",21&gt;設定!$B$3,原始資料!X435=""),"",IF(AND(原始資料!W435&lt;&gt;"",原始資料!X435=原始資料!W435),N(U435)+1,1))</f>
        <v/>
      </c>
      <c r="W435" s="6">
        <f>IF(OR(原始資料!$A435="",22&gt;設定!$B$3,原始資料!Y435=""),"",IF(AND(原始資料!X435&lt;&gt;"",原始資料!Y435=原始資料!X435),N(V435)+1,1))</f>
        <v/>
      </c>
      <c r="X435" s="6">
        <f>IF(OR(原始資料!$A435="",23&gt;設定!$B$3,原始資料!Z435=""),"",IF(AND(原始資料!Y435&lt;&gt;"",原始資料!Z435=原始資料!Y435),N(W435)+1,1))</f>
        <v/>
      </c>
      <c r="Y435" s="6">
        <f>IF(OR(原始資料!$A435="",24&gt;設定!$B$3,原始資料!AA435=""),"",IF(AND(原始資料!Z435&lt;&gt;"",原始資料!AA435=原始資料!Z435),N(X435)+1,1))</f>
        <v/>
      </c>
      <c r="Z435" s="6">
        <f>IF(OR(原始資料!$A435="",25&gt;設定!$B$3,原始資料!AB435=""),"",IF(AND(原始資料!AA435&lt;&gt;"",原始資料!AB435=原始資料!AA435),N(Y435)+1,1))</f>
        <v/>
      </c>
      <c r="AA435" s="6">
        <f>IF(OR(原始資料!$A435="",26&gt;設定!$B$3,原始資料!AC435=""),"",IF(AND(原始資料!AB435&lt;&gt;"",原始資料!AC435=原始資料!AB435),N(Z435)+1,1))</f>
        <v/>
      </c>
      <c r="AB435" s="6">
        <f>IF(OR(原始資料!$A435="",27&gt;設定!$B$3,原始資料!AD435=""),"",IF(AND(原始資料!AC435&lt;&gt;"",原始資料!AD435=原始資料!AC435),N(AA435)+1,1))</f>
        <v/>
      </c>
      <c r="AC435" s="6">
        <f>IF(OR(原始資料!$A435="",28&gt;設定!$B$3,原始資料!AE435=""),"",IF(AND(原始資料!AD435&lt;&gt;"",原始資料!AE435=原始資料!AD435),N(AB435)+1,1))</f>
        <v/>
      </c>
      <c r="AD435" s="6">
        <f>IF(OR(原始資料!$A435="",29&gt;設定!$B$3,原始資料!AF435=""),"",IF(AND(原始資料!AE435&lt;&gt;"",原始資料!AF435=原始資料!AE435),N(AC435)+1,1))</f>
        <v/>
      </c>
      <c r="AE435" s="6">
        <f>IF(OR(原始資料!$A435="",30&gt;設定!$B$3,原始資料!AG435=""),"",IF(AND(原始資料!AF435&lt;&gt;"",原始資料!AG435=原始資料!AF435),N(AD435)+1,1))</f>
        <v/>
      </c>
      <c r="AF435" s="6">
        <f>IF(OR(原始資料!$A435="",31&gt;設定!$B$3,原始資料!AH435=""),"",IF(AND(原始資料!AG435&lt;&gt;"",原始資料!AH435=原始資料!AG435),N(AE435)+1,1))</f>
        <v/>
      </c>
      <c r="AG435" s="6">
        <f>IF(OR(原始資料!$A435="",32&gt;設定!$B$3,原始資料!AI435=""),"",IF(AND(原始資料!AH435&lt;&gt;"",原始資料!AI435=原始資料!AH435),N(AF435)+1,1))</f>
        <v/>
      </c>
      <c r="AH435" s="6">
        <f>IF(OR(原始資料!$A435="",33&gt;設定!$B$3,原始資料!AJ435=""),"",IF(AND(原始資料!AI435&lt;&gt;"",原始資料!AJ435=原始資料!AI435),N(AG435)+1,1))</f>
        <v/>
      </c>
      <c r="AI435" s="6">
        <f>IF(OR(原始資料!$A435="",34&gt;設定!$B$3,原始資料!AK435=""),"",IF(AND(原始資料!AJ435&lt;&gt;"",原始資料!AK435=原始資料!AJ435),N(AH435)+1,1))</f>
        <v/>
      </c>
      <c r="AJ435" s="6">
        <f>IF(OR(原始資料!$A435="",35&gt;設定!$B$3,原始資料!AL435=""),"",IF(AND(原始資料!AK435&lt;&gt;"",原始資料!AL435=原始資料!AK435),N(AI435)+1,1))</f>
        <v/>
      </c>
      <c r="AK435" s="6">
        <f>IF(OR(原始資料!$A435="",36&gt;設定!$B$3,原始資料!AM435=""),"",IF(AND(原始資料!AL435&lt;&gt;"",原始資料!AM435=原始資料!AL435),N(AJ435)+1,1))</f>
        <v/>
      </c>
      <c r="AL435" s="6">
        <f>IF(OR(原始資料!$A435="",37&gt;設定!$B$3,原始資料!AN435=""),"",IF(AND(原始資料!AM435&lt;&gt;"",原始資料!AN435=原始資料!AM435),N(AK435)+1,1))</f>
        <v/>
      </c>
      <c r="AM435" s="6">
        <f>IF(OR(原始資料!$A435="",38&gt;設定!$B$3,原始資料!AO435=""),"",IF(AND(原始資料!AN435&lt;&gt;"",原始資料!AO435=原始資料!AN435),N(AL435)+1,1))</f>
        <v/>
      </c>
      <c r="AN435" s="6">
        <f>IF(OR(原始資料!$A435="",39&gt;設定!$B$3,原始資料!AP435=""),"",IF(AND(原始資料!AO435&lt;&gt;"",原始資料!AP435=原始資料!AO435),N(AM435)+1,1))</f>
        <v/>
      </c>
      <c r="AO435" s="6">
        <f>IF(OR(原始資料!$A435="",40&gt;設定!$B$3,原始資料!AQ435=""),"",IF(AND(原始資料!AP435&lt;&gt;"",原始資料!AQ435=原始資料!AP435),N(AN435)+1,1))</f>
        <v/>
      </c>
      <c r="AP435" s="6">
        <f>IF(OR(原始資料!$A435="",41&gt;設定!$B$3,原始資料!AR435=""),"",IF(AND(原始資料!AQ435&lt;&gt;"",原始資料!AR435=原始資料!AQ435),N(AO435)+1,1))</f>
        <v/>
      </c>
      <c r="AQ435" s="6">
        <f>IF(OR(原始資料!$A435="",42&gt;設定!$B$3,原始資料!AS435=""),"",IF(AND(原始資料!AR435&lt;&gt;"",原始資料!AS435=原始資料!AR435),N(AP435)+1,1))</f>
        <v/>
      </c>
      <c r="AR435" s="6">
        <f>IF(OR(原始資料!$A435="",43&gt;設定!$B$3,原始資料!AT435=""),"",IF(AND(原始資料!AS435&lt;&gt;"",原始資料!AT435=原始資料!AS435),N(AQ435)+1,1))</f>
        <v/>
      </c>
      <c r="AS435" s="6">
        <f>IF(OR(原始資料!$A435="",44&gt;設定!$B$3,原始資料!AU435=""),"",IF(AND(原始資料!AT435&lt;&gt;"",原始資料!AU435=原始資料!AT435),N(AR435)+1,1))</f>
        <v/>
      </c>
      <c r="AT435" s="6">
        <f>IF(OR(原始資料!$A435="",45&gt;設定!$B$3,原始資料!AV435=""),"",IF(AND(原始資料!AU435&lt;&gt;"",原始資料!AV435=原始資料!AU435),N(AS435)+1,1))</f>
        <v/>
      </c>
      <c r="AU435" s="6">
        <f>IF(OR(原始資料!$A435="",46&gt;設定!$B$3,原始資料!AW435=""),"",IF(AND(原始資料!AV435&lt;&gt;"",原始資料!AW435=原始資料!AV435),N(AT435)+1,1))</f>
        <v/>
      </c>
      <c r="AV435" s="6">
        <f>IF(OR(原始資料!$A435="",47&gt;設定!$B$3,原始資料!AX435=""),"",IF(AND(原始資料!AW435&lt;&gt;"",原始資料!AX435=原始資料!AW435),N(AU435)+1,1))</f>
        <v/>
      </c>
      <c r="AW435" s="6">
        <f>IF(OR(原始資料!$A435="",48&gt;設定!$B$3,原始資料!AY435=""),"",IF(AND(原始資料!AX435&lt;&gt;"",原始資料!AY435=原始資料!AX435),N(AV435)+1,1))</f>
        <v/>
      </c>
      <c r="AX435" s="6">
        <f>IF(OR(原始資料!$A435="",49&gt;設定!$B$3,原始資料!AZ435=""),"",IF(AND(原始資料!AY435&lt;&gt;"",原始資料!AZ435=原始資料!AY435),N(AW435)+1,1))</f>
        <v/>
      </c>
      <c r="AY435" s="6">
        <f>IF(OR(原始資料!$A435="",50&gt;設定!$B$3,原始資料!BA435=""),"",IF(AND(原始資料!AZ435&lt;&gt;"",原始資料!BA435=原始資料!AZ435),N(AX435)+1,1))</f>
        <v/>
      </c>
      <c r="AZ435" s="6">
        <f>IF(OR(原始資料!$A435="",51&gt;設定!$B$3,原始資料!BB435=""),"",IF(AND(原始資料!BA435&lt;&gt;"",原始資料!BB435=原始資料!BA435),N(AY435)+1,1))</f>
        <v/>
      </c>
      <c r="BA435" s="6">
        <f>IF(OR(原始資料!$A435="",52&gt;設定!$B$3,原始資料!BC435=""),"",IF(AND(原始資料!BB435&lt;&gt;"",原始資料!BC435=原始資料!BB435),N(AZ435)+1,1))</f>
        <v/>
      </c>
      <c r="BB435" s="6">
        <f>IF(OR(原始資料!$A435="",53&gt;設定!$B$3,原始資料!BD435=""),"",IF(AND(原始資料!BC435&lt;&gt;"",原始資料!BD435=原始資料!BC435),N(BA435)+1,1))</f>
        <v/>
      </c>
      <c r="BC435" s="6">
        <f>IF(OR(原始資料!$A435="",54&gt;設定!$B$3,原始資料!BE435=""),"",IF(AND(原始資料!BD435&lt;&gt;"",原始資料!BE435=原始資料!BD435),N(BB435)+1,1))</f>
        <v/>
      </c>
      <c r="BD435" s="6">
        <f>IF(OR(原始資料!$A435="",55&gt;設定!$B$3,原始資料!BF435=""),"",IF(AND(原始資料!BE435&lt;&gt;"",原始資料!BF435=原始資料!BE435),N(BC435)+1,1))</f>
        <v/>
      </c>
      <c r="BE435" s="6">
        <f>IF(OR(原始資料!$A435="",56&gt;設定!$B$3,原始資料!BG435=""),"",IF(AND(原始資料!BF435&lt;&gt;"",原始資料!BG435=原始資料!BF435),N(BD435)+1,1))</f>
        <v/>
      </c>
      <c r="BF435" s="6">
        <f>IF(OR(原始資料!$A435="",57&gt;設定!$B$3,原始資料!BH435=""),"",IF(AND(原始資料!BG435&lt;&gt;"",原始資料!BH435=原始資料!BG435),N(BE435)+1,1))</f>
        <v/>
      </c>
      <c r="BG435" s="6">
        <f>IF(OR(原始資料!$A435="",58&gt;設定!$B$3,原始資料!BI435=""),"",IF(AND(原始資料!BH435&lt;&gt;"",原始資料!BI435=原始資料!BH435),N(BF435)+1,1))</f>
        <v/>
      </c>
      <c r="BH435" s="6">
        <f>IF(OR(原始資料!$A435="",59&gt;設定!$B$3,原始資料!BJ435=""),"",IF(AND(原始資料!BI435&lt;&gt;"",原始資料!BJ435=原始資料!BI435),N(BG435)+1,1))</f>
        <v/>
      </c>
      <c r="BI435" s="6">
        <f>IF(OR(原始資料!$A435="",60&gt;設定!$B$3,原始資料!BK435=""),"",IF(AND(原始資料!BJ435&lt;&gt;"",原始資料!BK435=原始資料!BJ435),N(BH435)+1,1))</f>
        <v/>
      </c>
    </row>
    <row r="436">
      <c r="A436" s="6">
        <f>IF(原始資料!$A436="","",原始資料!$A436)</f>
        <v/>
      </c>
      <c r="B436" s="6">
        <f>IF(OR(原始資料!$A436="",1&gt;設定!$B$3,原始資料!D436=""),"",1)</f>
        <v/>
      </c>
      <c r="C436" s="6">
        <f>IF(OR(原始資料!$A436="",2&gt;設定!$B$3,原始資料!E436=""),"",IF(AND(原始資料!D436&lt;&gt;"",原始資料!E436=原始資料!D436),N(B436)+1,1))</f>
        <v/>
      </c>
      <c r="D436" s="6">
        <f>IF(OR(原始資料!$A436="",3&gt;設定!$B$3,原始資料!F436=""),"",IF(AND(原始資料!E436&lt;&gt;"",原始資料!F436=原始資料!E436),N(C436)+1,1))</f>
        <v/>
      </c>
      <c r="E436" s="6">
        <f>IF(OR(原始資料!$A436="",4&gt;設定!$B$3,原始資料!G436=""),"",IF(AND(原始資料!F436&lt;&gt;"",原始資料!G436=原始資料!F436),N(D436)+1,1))</f>
        <v/>
      </c>
      <c r="F436" s="6">
        <f>IF(OR(原始資料!$A436="",5&gt;設定!$B$3,原始資料!H436=""),"",IF(AND(原始資料!G436&lt;&gt;"",原始資料!H436=原始資料!G436),N(E436)+1,1))</f>
        <v/>
      </c>
      <c r="G436" s="6">
        <f>IF(OR(原始資料!$A436="",6&gt;設定!$B$3,原始資料!I436=""),"",IF(AND(原始資料!H436&lt;&gt;"",原始資料!I436=原始資料!H436),N(F436)+1,1))</f>
        <v/>
      </c>
      <c r="H436" s="6">
        <f>IF(OR(原始資料!$A436="",7&gt;設定!$B$3,原始資料!J436=""),"",IF(AND(原始資料!I436&lt;&gt;"",原始資料!J436=原始資料!I436),N(G436)+1,1))</f>
        <v/>
      </c>
      <c r="I436" s="6">
        <f>IF(OR(原始資料!$A436="",8&gt;設定!$B$3,原始資料!K436=""),"",IF(AND(原始資料!J436&lt;&gt;"",原始資料!K436=原始資料!J436),N(H436)+1,1))</f>
        <v/>
      </c>
      <c r="J436" s="6">
        <f>IF(OR(原始資料!$A436="",9&gt;設定!$B$3,原始資料!L436=""),"",IF(AND(原始資料!K436&lt;&gt;"",原始資料!L436=原始資料!K436),N(I436)+1,1))</f>
        <v/>
      </c>
      <c r="K436" s="6">
        <f>IF(OR(原始資料!$A436="",10&gt;設定!$B$3,原始資料!M436=""),"",IF(AND(原始資料!L436&lt;&gt;"",原始資料!M436=原始資料!L436),N(J436)+1,1))</f>
        <v/>
      </c>
      <c r="L436" s="6">
        <f>IF(OR(原始資料!$A436="",11&gt;設定!$B$3,原始資料!N436=""),"",IF(AND(原始資料!M436&lt;&gt;"",原始資料!N436=原始資料!M436),N(K436)+1,1))</f>
        <v/>
      </c>
      <c r="M436" s="6">
        <f>IF(OR(原始資料!$A436="",12&gt;設定!$B$3,原始資料!O436=""),"",IF(AND(原始資料!N436&lt;&gt;"",原始資料!O436=原始資料!N436),N(L436)+1,1))</f>
        <v/>
      </c>
      <c r="N436" s="6">
        <f>IF(OR(原始資料!$A436="",13&gt;設定!$B$3,原始資料!P436=""),"",IF(AND(原始資料!O436&lt;&gt;"",原始資料!P436=原始資料!O436),N(M436)+1,1))</f>
        <v/>
      </c>
      <c r="O436" s="6">
        <f>IF(OR(原始資料!$A436="",14&gt;設定!$B$3,原始資料!Q436=""),"",IF(AND(原始資料!P436&lt;&gt;"",原始資料!Q436=原始資料!P436),N(N436)+1,1))</f>
        <v/>
      </c>
      <c r="P436" s="6">
        <f>IF(OR(原始資料!$A436="",15&gt;設定!$B$3,原始資料!R436=""),"",IF(AND(原始資料!Q436&lt;&gt;"",原始資料!R436=原始資料!Q436),N(O436)+1,1))</f>
        <v/>
      </c>
      <c r="Q436" s="6">
        <f>IF(OR(原始資料!$A436="",16&gt;設定!$B$3,原始資料!S436=""),"",IF(AND(原始資料!R436&lt;&gt;"",原始資料!S436=原始資料!R436),N(P436)+1,1))</f>
        <v/>
      </c>
      <c r="R436" s="6">
        <f>IF(OR(原始資料!$A436="",17&gt;設定!$B$3,原始資料!T436=""),"",IF(AND(原始資料!S436&lt;&gt;"",原始資料!T436=原始資料!S436),N(Q436)+1,1))</f>
        <v/>
      </c>
      <c r="S436" s="6">
        <f>IF(OR(原始資料!$A436="",18&gt;設定!$B$3,原始資料!U436=""),"",IF(AND(原始資料!T436&lt;&gt;"",原始資料!U436=原始資料!T436),N(R436)+1,1))</f>
        <v/>
      </c>
      <c r="T436" s="6">
        <f>IF(OR(原始資料!$A436="",19&gt;設定!$B$3,原始資料!V436=""),"",IF(AND(原始資料!U436&lt;&gt;"",原始資料!V436=原始資料!U436),N(S436)+1,1))</f>
        <v/>
      </c>
      <c r="U436" s="6">
        <f>IF(OR(原始資料!$A436="",20&gt;設定!$B$3,原始資料!W436=""),"",IF(AND(原始資料!V436&lt;&gt;"",原始資料!W436=原始資料!V436),N(T436)+1,1))</f>
        <v/>
      </c>
      <c r="V436" s="6">
        <f>IF(OR(原始資料!$A436="",21&gt;設定!$B$3,原始資料!X436=""),"",IF(AND(原始資料!W436&lt;&gt;"",原始資料!X436=原始資料!W436),N(U436)+1,1))</f>
        <v/>
      </c>
      <c r="W436" s="6">
        <f>IF(OR(原始資料!$A436="",22&gt;設定!$B$3,原始資料!Y436=""),"",IF(AND(原始資料!X436&lt;&gt;"",原始資料!Y436=原始資料!X436),N(V436)+1,1))</f>
        <v/>
      </c>
      <c r="X436" s="6">
        <f>IF(OR(原始資料!$A436="",23&gt;設定!$B$3,原始資料!Z436=""),"",IF(AND(原始資料!Y436&lt;&gt;"",原始資料!Z436=原始資料!Y436),N(W436)+1,1))</f>
        <v/>
      </c>
      <c r="Y436" s="6">
        <f>IF(OR(原始資料!$A436="",24&gt;設定!$B$3,原始資料!AA436=""),"",IF(AND(原始資料!Z436&lt;&gt;"",原始資料!AA436=原始資料!Z436),N(X436)+1,1))</f>
        <v/>
      </c>
      <c r="Z436" s="6">
        <f>IF(OR(原始資料!$A436="",25&gt;設定!$B$3,原始資料!AB436=""),"",IF(AND(原始資料!AA436&lt;&gt;"",原始資料!AB436=原始資料!AA436),N(Y436)+1,1))</f>
        <v/>
      </c>
      <c r="AA436" s="6">
        <f>IF(OR(原始資料!$A436="",26&gt;設定!$B$3,原始資料!AC436=""),"",IF(AND(原始資料!AB436&lt;&gt;"",原始資料!AC436=原始資料!AB436),N(Z436)+1,1))</f>
        <v/>
      </c>
      <c r="AB436" s="6">
        <f>IF(OR(原始資料!$A436="",27&gt;設定!$B$3,原始資料!AD436=""),"",IF(AND(原始資料!AC436&lt;&gt;"",原始資料!AD436=原始資料!AC436),N(AA436)+1,1))</f>
        <v/>
      </c>
      <c r="AC436" s="6">
        <f>IF(OR(原始資料!$A436="",28&gt;設定!$B$3,原始資料!AE436=""),"",IF(AND(原始資料!AD436&lt;&gt;"",原始資料!AE436=原始資料!AD436),N(AB436)+1,1))</f>
        <v/>
      </c>
      <c r="AD436" s="6">
        <f>IF(OR(原始資料!$A436="",29&gt;設定!$B$3,原始資料!AF436=""),"",IF(AND(原始資料!AE436&lt;&gt;"",原始資料!AF436=原始資料!AE436),N(AC436)+1,1))</f>
        <v/>
      </c>
      <c r="AE436" s="6">
        <f>IF(OR(原始資料!$A436="",30&gt;設定!$B$3,原始資料!AG436=""),"",IF(AND(原始資料!AF436&lt;&gt;"",原始資料!AG436=原始資料!AF436),N(AD436)+1,1))</f>
        <v/>
      </c>
      <c r="AF436" s="6">
        <f>IF(OR(原始資料!$A436="",31&gt;設定!$B$3,原始資料!AH436=""),"",IF(AND(原始資料!AG436&lt;&gt;"",原始資料!AH436=原始資料!AG436),N(AE436)+1,1))</f>
        <v/>
      </c>
      <c r="AG436" s="6">
        <f>IF(OR(原始資料!$A436="",32&gt;設定!$B$3,原始資料!AI436=""),"",IF(AND(原始資料!AH436&lt;&gt;"",原始資料!AI436=原始資料!AH436),N(AF436)+1,1))</f>
        <v/>
      </c>
      <c r="AH436" s="6">
        <f>IF(OR(原始資料!$A436="",33&gt;設定!$B$3,原始資料!AJ436=""),"",IF(AND(原始資料!AI436&lt;&gt;"",原始資料!AJ436=原始資料!AI436),N(AG436)+1,1))</f>
        <v/>
      </c>
      <c r="AI436" s="6">
        <f>IF(OR(原始資料!$A436="",34&gt;設定!$B$3,原始資料!AK436=""),"",IF(AND(原始資料!AJ436&lt;&gt;"",原始資料!AK436=原始資料!AJ436),N(AH436)+1,1))</f>
        <v/>
      </c>
      <c r="AJ436" s="6">
        <f>IF(OR(原始資料!$A436="",35&gt;設定!$B$3,原始資料!AL436=""),"",IF(AND(原始資料!AK436&lt;&gt;"",原始資料!AL436=原始資料!AK436),N(AI436)+1,1))</f>
        <v/>
      </c>
      <c r="AK436" s="6">
        <f>IF(OR(原始資料!$A436="",36&gt;設定!$B$3,原始資料!AM436=""),"",IF(AND(原始資料!AL436&lt;&gt;"",原始資料!AM436=原始資料!AL436),N(AJ436)+1,1))</f>
        <v/>
      </c>
      <c r="AL436" s="6">
        <f>IF(OR(原始資料!$A436="",37&gt;設定!$B$3,原始資料!AN436=""),"",IF(AND(原始資料!AM436&lt;&gt;"",原始資料!AN436=原始資料!AM436),N(AK436)+1,1))</f>
        <v/>
      </c>
      <c r="AM436" s="6">
        <f>IF(OR(原始資料!$A436="",38&gt;設定!$B$3,原始資料!AO436=""),"",IF(AND(原始資料!AN436&lt;&gt;"",原始資料!AO436=原始資料!AN436),N(AL436)+1,1))</f>
        <v/>
      </c>
      <c r="AN436" s="6">
        <f>IF(OR(原始資料!$A436="",39&gt;設定!$B$3,原始資料!AP436=""),"",IF(AND(原始資料!AO436&lt;&gt;"",原始資料!AP436=原始資料!AO436),N(AM436)+1,1))</f>
        <v/>
      </c>
      <c r="AO436" s="6">
        <f>IF(OR(原始資料!$A436="",40&gt;設定!$B$3,原始資料!AQ436=""),"",IF(AND(原始資料!AP436&lt;&gt;"",原始資料!AQ436=原始資料!AP436),N(AN436)+1,1))</f>
        <v/>
      </c>
      <c r="AP436" s="6">
        <f>IF(OR(原始資料!$A436="",41&gt;設定!$B$3,原始資料!AR436=""),"",IF(AND(原始資料!AQ436&lt;&gt;"",原始資料!AR436=原始資料!AQ436),N(AO436)+1,1))</f>
        <v/>
      </c>
      <c r="AQ436" s="6">
        <f>IF(OR(原始資料!$A436="",42&gt;設定!$B$3,原始資料!AS436=""),"",IF(AND(原始資料!AR436&lt;&gt;"",原始資料!AS436=原始資料!AR436),N(AP436)+1,1))</f>
        <v/>
      </c>
      <c r="AR436" s="6">
        <f>IF(OR(原始資料!$A436="",43&gt;設定!$B$3,原始資料!AT436=""),"",IF(AND(原始資料!AS436&lt;&gt;"",原始資料!AT436=原始資料!AS436),N(AQ436)+1,1))</f>
        <v/>
      </c>
      <c r="AS436" s="6">
        <f>IF(OR(原始資料!$A436="",44&gt;設定!$B$3,原始資料!AU436=""),"",IF(AND(原始資料!AT436&lt;&gt;"",原始資料!AU436=原始資料!AT436),N(AR436)+1,1))</f>
        <v/>
      </c>
      <c r="AT436" s="6">
        <f>IF(OR(原始資料!$A436="",45&gt;設定!$B$3,原始資料!AV436=""),"",IF(AND(原始資料!AU436&lt;&gt;"",原始資料!AV436=原始資料!AU436),N(AS436)+1,1))</f>
        <v/>
      </c>
      <c r="AU436" s="6">
        <f>IF(OR(原始資料!$A436="",46&gt;設定!$B$3,原始資料!AW436=""),"",IF(AND(原始資料!AV436&lt;&gt;"",原始資料!AW436=原始資料!AV436),N(AT436)+1,1))</f>
        <v/>
      </c>
      <c r="AV436" s="6">
        <f>IF(OR(原始資料!$A436="",47&gt;設定!$B$3,原始資料!AX436=""),"",IF(AND(原始資料!AW436&lt;&gt;"",原始資料!AX436=原始資料!AW436),N(AU436)+1,1))</f>
        <v/>
      </c>
      <c r="AW436" s="6">
        <f>IF(OR(原始資料!$A436="",48&gt;設定!$B$3,原始資料!AY436=""),"",IF(AND(原始資料!AX436&lt;&gt;"",原始資料!AY436=原始資料!AX436),N(AV436)+1,1))</f>
        <v/>
      </c>
      <c r="AX436" s="6">
        <f>IF(OR(原始資料!$A436="",49&gt;設定!$B$3,原始資料!AZ436=""),"",IF(AND(原始資料!AY436&lt;&gt;"",原始資料!AZ436=原始資料!AY436),N(AW436)+1,1))</f>
        <v/>
      </c>
      <c r="AY436" s="6">
        <f>IF(OR(原始資料!$A436="",50&gt;設定!$B$3,原始資料!BA436=""),"",IF(AND(原始資料!AZ436&lt;&gt;"",原始資料!BA436=原始資料!AZ436),N(AX436)+1,1))</f>
        <v/>
      </c>
      <c r="AZ436" s="6">
        <f>IF(OR(原始資料!$A436="",51&gt;設定!$B$3,原始資料!BB436=""),"",IF(AND(原始資料!BA436&lt;&gt;"",原始資料!BB436=原始資料!BA436),N(AY436)+1,1))</f>
        <v/>
      </c>
      <c r="BA436" s="6">
        <f>IF(OR(原始資料!$A436="",52&gt;設定!$B$3,原始資料!BC436=""),"",IF(AND(原始資料!BB436&lt;&gt;"",原始資料!BC436=原始資料!BB436),N(AZ436)+1,1))</f>
        <v/>
      </c>
      <c r="BB436" s="6">
        <f>IF(OR(原始資料!$A436="",53&gt;設定!$B$3,原始資料!BD436=""),"",IF(AND(原始資料!BC436&lt;&gt;"",原始資料!BD436=原始資料!BC436),N(BA436)+1,1))</f>
        <v/>
      </c>
      <c r="BC436" s="6">
        <f>IF(OR(原始資料!$A436="",54&gt;設定!$B$3,原始資料!BE436=""),"",IF(AND(原始資料!BD436&lt;&gt;"",原始資料!BE436=原始資料!BD436),N(BB436)+1,1))</f>
        <v/>
      </c>
      <c r="BD436" s="6">
        <f>IF(OR(原始資料!$A436="",55&gt;設定!$B$3,原始資料!BF436=""),"",IF(AND(原始資料!BE436&lt;&gt;"",原始資料!BF436=原始資料!BE436),N(BC436)+1,1))</f>
        <v/>
      </c>
      <c r="BE436" s="6">
        <f>IF(OR(原始資料!$A436="",56&gt;設定!$B$3,原始資料!BG436=""),"",IF(AND(原始資料!BF436&lt;&gt;"",原始資料!BG436=原始資料!BF436),N(BD436)+1,1))</f>
        <v/>
      </c>
      <c r="BF436" s="6">
        <f>IF(OR(原始資料!$A436="",57&gt;設定!$B$3,原始資料!BH436=""),"",IF(AND(原始資料!BG436&lt;&gt;"",原始資料!BH436=原始資料!BG436),N(BE436)+1,1))</f>
        <v/>
      </c>
      <c r="BG436" s="6">
        <f>IF(OR(原始資料!$A436="",58&gt;設定!$B$3,原始資料!BI436=""),"",IF(AND(原始資料!BH436&lt;&gt;"",原始資料!BI436=原始資料!BH436),N(BF436)+1,1))</f>
        <v/>
      </c>
      <c r="BH436" s="6">
        <f>IF(OR(原始資料!$A436="",59&gt;設定!$B$3,原始資料!BJ436=""),"",IF(AND(原始資料!BI436&lt;&gt;"",原始資料!BJ436=原始資料!BI436),N(BG436)+1,1))</f>
        <v/>
      </c>
      <c r="BI436" s="6">
        <f>IF(OR(原始資料!$A436="",60&gt;設定!$B$3,原始資料!BK436=""),"",IF(AND(原始資料!BJ436&lt;&gt;"",原始資料!BK436=原始資料!BJ436),N(BH436)+1,1))</f>
        <v/>
      </c>
    </row>
    <row r="437">
      <c r="A437" s="6">
        <f>IF(原始資料!$A437="","",原始資料!$A437)</f>
        <v/>
      </c>
      <c r="B437" s="6">
        <f>IF(OR(原始資料!$A437="",1&gt;設定!$B$3,原始資料!D437=""),"",1)</f>
        <v/>
      </c>
      <c r="C437" s="6">
        <f>IF(OR(原始資料!$A437="",2&gt;設定!$B$3,原始資料!E437=""),"",IF(AND(原始資料!D437&lt;&gt;"",原始資料!E437=原始資料!D437),N(B437)+1,1))</f>
        <v/>
      </c>
      <c r="D437" s="6">
        <f>IF(OR(原始資料!$A437="",3&gt;設定!$B$3,原始資料!F437=""),"",IF(AND(原始資料!E437&lt;&gt;"",原始資料!F437=原始資料!E437),N(C437)+1,1))</f>
        <v/>
      </c>
      <c r="E437" s="6">
        <f>IF(OR(原始資料!$A437="",4&gt;設定!$B$3,原始資料!G437=""),"",IF(AND(原始資料!F437&lt;&gt;"",原始資料!G437=原始資料!F437),N(D437)+1,1))</f>
        <v/>
      </c>
      <c r="F437" s="6">
        <f>IF(OR(原始資料!$A437="",5&gt;設定!$B$3,原始資料!H437=""),"",IF(AND(原始資料!G437&lt;&gt;"",原始資料!H437=原始資料!G437),N(E437)+1,1))</f>
        <v/>
      </c>
      <c r="G437" s="6">
        <f>IF(OR(原始資料!$A437="",6&gt;設定!$B$3,原始資料!I437=""),"",IF(AND(原始資料!H437&lt;&gt;"",原始資料!I437=原始資料!H437),N(F437)+1,1))</f>
        <v/>
      </c>
      <c r="H437" s="6">
        <f>IF(OR(原始資料!$A437="",7&gt;設定!$B$3,原始資料!J437=""),"",IF(AND(原始資料!I437&lt;&gt;"",原始資料!J437=原始資料!I437),N(G437)+1,1))</f>
        <v/>
      </c>
      <c r="I437" s="6">
        <f>IF(OR(原始資料!$A437="",8&gt;設定!$B$3,原始資料!K437=""),"",IF(AND(原始資料!J437&lt;&gt;"",原始資料!K437=原始資料!J437),N(H437)+1,1))</f>
        <v/>
      </c>
      <c r="J437" s="6">
        <f>IF(OR(原始資料!$A437="",9&gt;設定!$B$3,原始資料!L437=""),"",IF(AND(原始資料!K437&lt;&gt;"",原始資料!L437=原始資料!K437),N(I437)+1,1))</f>
        <v/>
      </c>
      <c r="K437" s="6">
        <f>IF(OR(原始資料!$A437="",10&gt;設定!$B$3,原始資料!M437=""),"",IF(AND(原始資料!L437&lt;&gt;"",原始資料!M437=原始資料!L437),N(J437)+1,1))</f>
        <v/>
      </c>
      <c r="L437" s="6">
        <f>IF(OR(原始資料!$A437="",11&gt;設定!$B$3,原始資料!N437=""),"",IF(AND(原始資料!M437&lt;&gt;"",原始資料!N437=原始資料!M437),N(K437)+1,1))</f>
        <v/>
      </c>
      <c r="M437" s="6">
        <f>IF(OR(原始資料!$A437="",12&gt;設定!$B$3,原始資料!O437=""),"",IF(AND(原始資料!N437&lt;&gt;"",原始資料!O437=原始資料!N437),N(L437)+1,1))</f>
        <v/>
      </c>
      <c r="N437" s="6">
        <f>IF(OR(原始資料!$A437="",13&gt;設定!$B$3,原始資料!P437=""),"",IF(AND(原始資料!O437&lt;&gt;"",原始資料!P437=原始資料!O437),N(M437)+1,1))</f>
        <v/>
      </c>
      <c r="O437" s="6">
        <f>IF(OR(原始資料!$A437="",14&gt;設定!$B$3,原始資料!Q437=""),"",IF(AND(原始資料!P437&lt;&gt;"",原始資料!Q437=原始資料!P437),N(N437)+1,1))</f>
        <v/>
      </c>
      <c r="P437" s="6">
        <f>IF(OR(原始資料!$A437="",15&gt;設定!$B$3,原始資料!R437=""),"",IF(AND(原始資料!Q437&lt;&gt;"",原始資料!R437=原始資料!Q437),N(O437)+1,1))</f>
        <v/>
      </c>
      <c r="Q437" s="6">
        <f>IF(OR(原始資料!$A437="",16&gt;設定!$B$3,原始資料!S437=""),"",IF(AND(原始資料!R437&lt;&gt;"",原始資料!S437=原始資料!R437),N(P437)+1,1))</f>
        <v/>
      </c>
      <c r="R437" s="6">
        <f>IF(OR(原始資料!$A437="",17&gt;設定!$B$3,原始資料!T437=""),"",IF(AND(原始資料!S437&lt;&gt;"",原始資料!T437=原始資料!S437),N(Q437)+1,1))</f>
        <v/>
      </c>
      <c r="S437" s="6">
        <f>IF(OR(原始資料!$A437="",18&gt;設定!$B$3,原始資料!U437=""),"",IF(AND(原始資料!T437&lt;&gt;"",原始資料!U437=原始資料!T437),N(R437)+1,1))</f>
        <v/>
      </c>
      <c r="T437" s="6">
        <f>IF(OR(原始資料!$A437="",19&gt;設定!$B$3,原始資料!V437=""),"",IF(AND(原始資料!U437&lt;&gt;"",原始資料!V437=原始資料!U437),N(S437)+1,1))</f>
        <v/>
      </c>
      <c r="U437" s="6">
        <f>IF(OR(原始資料!$A437="",20&gt;設定!$B$3,原始資料!W437=""),"",IF(AND(原始資料!V437&lt;&gt;"",原始資料!W437=原始資料!V437),N(T437)+1,1))</f>
        <v/>
      </c>
      <c r="V437" s="6">
        <f>IF(OR(原始資料!$A437="",21&gt;設定!$B$3,原始資料!X437=""),"",IF(AND(原始資料!W437&lt;&gt;"",原始資料!X437=原始資料!W437),N(U437)+1,1))</f>
        <v/>
      </c>
      <c r="W437" s="6">
        <f>IF(OR(原始資料!$A437="",22&gt;設定!$B$3,原始資料!Y437=""),"",IF(AND(原始資料!X437&lt;&gt;"",原始資料!Y437=原始資料!X437),N(V437)+1,1))</f>
        <v/>
      </c>
      <c r="X437" s="6">
        <f>IF(OR(原始資料!$A437="",23&gt;設定!$B$3,原始資料!Z437=""),"",IF(AND(原始資料!Y437&lt;&gt;"",原始資料!Z437=原始資料!Y437),N(W437)+1,1))</f>
        <v/>
      </c>
      <c r="Y437" s="6">
        <f>IF(OR(原始資料!$A437="",24&gt;設定!$B$3,原始資料!AA437=""),"",IF(AND(原始資料!Z437&lt;&gt;"",原始資料!AA437=原始資料!Z437),N(X437)+1,1))</f>
        <v/>
      </c>
      <c r="Z437" s="6">
        <f>IF(OR(原始資料!$A437="",25&gt;設定!$B$3,原始資料!AB437=""),"",IF(AND(原始資料!AA437&lt;&gt;"",原始資料!AB437=原始資料!AA437),N(Y437)+1,1))</f>
        <v/>
      </c>
      <c r="AA437" s="6">
        <f>IF(OR(原始資料!$A437="",26&gt;設定!$B$3,原始資料!AC437=""),"",IF(AND(原始資料!AB437&lt;&gt;"",原始資料!AC437=原始資料!AB437),N(Z437)+1,1))</f>
        <v/>
      </c>
      <c r="AB437" s="6">
        <f>IF(OR(原始資料!$A437="",27&gt;設定!$B$3,原始資料!AD437=""),"",IF(AND(原始資料!AC437&lt;&gt;"",原始資料!AD437=原始資料!AC437),N(AA437)+1,1))</f>
        <v/>
      </c>
      <c r="AC437" s="6">
        <f>IF(OR(原始資料!$A437="",28&gt;設定!$B$3,原始資料!AE437=""),"",IF(AND(原始資料!AD437&lt;&gt;"",原始資料!AE437=原始資料!AD437),N(AB437)+1,1))</f>
        <v/>
      </c>
      <c r="AD437" s="6">
        <f>IF(OR(原始資料!$A437="",29&gt;設定!$B$3,原始資料!AF437=""),"",IF(AND(原始資料!AE437&lt;&gt;"",原始資料!AF437=原始資料!AE437),N(AC437)+1,1))</f>
        <v/>
      </c>
      <c r="AE437" s="6">
        <f>IF(OR(原始資料!$A437="",30&gt;設定!$B$3,原始資料!AG437=""),"",IF(AND(原始資料!AF437&lt;&gt;"",原始資料!AG437=原始資料!AF437),N(AD437)+1,1))</f>
        <v/>
      </c>
      <c r="AF437" s="6">
        <f>IF(OR(原始資料!$A437="",31&gt;設定!$B$3,原始資料!AH437=""),"",IF(AND(原始資料!AG437&lt;&gt;"",原始資料!AH437=原始資料!AG437),N(AE437)+1,1))</f>
        <v/>
      </c>
      <c r="AG437" s="6">
        <f>IF(OR(原始資料!$A437="",32&gt;設定!$B$3,原始資料!AI437=""),"",IF(AND(原始資料!AH437&lt;&gt;"",原始資料!AI437=原始資料!AH437),N(AF437)+1,1))</f>
        <v/>
      </c>
      <c r="AH437" s="6">
        <f>IF(OR(原始資料!$A437="",33&gt;設定!$B$3,原始資料!AJ437=""),"",IF(AND(原始資料!AI437&lt;&gt;"",原始資料!AJ437=原始資料!AI437),N(AG437)+1,1))</f>
        <v/>
      </c>
      <c r="AI437" s="6">
        <f>IF(OR(原始資料!$A437="",34&gt;設定!$B$3,原始資料!AK437=""),"",IF(AND(原始資料!AJ437&lt;&gt;"",原始資料!AK437=原始資料!AJ437),N(AH437)+1,1))</f>
        <v/>
      </c>
      <c r="AJ437" s="6">
        <f>IF(OR(原始資料!$A437="",35&gt;設定!$B$3,原始資料!AL437=""),"",IF(AND(原始資料!AK437&lt;&gt;"",原始資料!AL437=原始資料!AK437),N(AI437)+1,1))</f>
        <v/>
      </c>
      <c r="AK437" s="6">
        <f>IF(OR(原始資料!$A437="",36&gt;設定!$B$3,原始資料!AM437=""),"",IF(AND(原始資料!AL437&lt;&gt;"",原始資料!AM437=原始資料!AL437),N(AJ437)+1,1))</f>
        <v/>
      </c>
      <c r="AL437" s="6">
        <f>IF(OR(原始資料!$A437="",37&gt;設定!$B$3,原始資料!AN437=""),"",IF(AND(原始資料!AM437&lt;&gt;"",原始資料!AN437=原始資料!AM437),N(AK437)+1,1))</f>
        <v/>
      </c>
      <c r="AM437" s="6">
        <f>IF(OR(原始資料!$A437="",38&gt;設定!$B$3,原始資料!AO437=""),"",IF(AND(原始資料!AN437&lt;&gt;"",原始資料!AO437=原始資料!AN437),N(AL437)+1,1))</f>
        <v/>
      </c>
      <c r="AN437" s="6">
        <f>IF(OR(原始資料!$A437="",39&gt;設定!$B$3,原始資料!AP437=""),"",IF(AND(原始資料!AO437&lt;&gt;"",原始資料!AP437=原始資料!AO437),N(AM437)+1,1))</f>
        <v/>
      </c>
      <c r="AO437" s="6">
        <f>IF(OR(原始資料!$A437="",40&gt;設定!$B$3,原始資料!AQ437=""),"",IF(AND(原始資料!AP437&lt;&gt;"",原始資料!AQ437=原始資料!AP437),N(AN437)+1,1))</f>
        <v/>
      </c>
      <c r="AP437" s="6">
        <f>IF(OR(原始資料!$A437="",41&gt;設定!$B$3,原始資料!AR437=""),"",IF(AND(原始資料!AQ437&lt;&gt;"",原始資料!AR437=原始資料!AQ437),N(AO437)+1,1))</f>
        <v/>
      </c>
      <c r="AQ437" s="6">
        <f>IF(OR(原始資料!$A437="",42&gt;設定!$B$3,原始資料!AS437=""),"",IF(AND(原始資料!AR437&lt;&gt;"",原始資料!AS437=原始資料!AR437),N(AP437)+1,1))</f>
        <v/>
      </c>
      <c r="AR437" s="6">
        <f>IF(OR(原始資料!$A437="",43&gt;設定!$B$3,原始資料!AT437=""),"",IF(AND(原始資料!AS437&lt;&gt;"",原始資料!AT437=原始資料!AS437),N(AQ437)+1,1))</f>
        <v/>
      </c>
      <c r="AS437" s="6">
        <f>IF(OR(原始資料!$A437="",44&gt;設定!$B$3,原始資料!AU437=""),"",IF(AND(原始資料!AT437&lt;&gt;"",原始資料!AU437=原始資料!AT437),N(AR437)+1,1))</f>
        <v/>
      </c>
      <c r="AT437" s="6">
        <f>IF(OR(原始資料!$A437="",45&gt;設定!$B$3,原始資料!AV437=""),"",IF(AND(原始資料!AU437&lt;&gt;"",原始資料!AV437=原始資料!AU437),N(AS437)+1,1))</f>
        <v/>
      </c>
      <c r="AU437" s="6">
        <f>IF(OR(原始資料!$A437="",46&gt;設定!$B$3,原始資料!AW437=""),"",IF(AND(原始資料!AV437&lt;&gt;"",原始資料!AW437=原始資料!AV437),N(AT437)+1,1))</f>
        <v/>
      </c>
      <c r="AV437" s="6">
        <f>IF(OR(原始資料!$A437="",47&gt;設定!$B$3,原始資料!AX437=""),"",IF(AND(原始資料!AW437&lt;&gt;"",原始資料!AX437=原始資料!AW437),N(AU437)+1,1))</f>
        <v/>
      </c>
      <c r="AW437" s="6">
        <f>IF(OR(原始資料!$A437="",48&gt;設定!$B$3,原始資料!AY437=""),"",IF(AND(原始資料!AX437&lt;&gt;"",原始資料!AY437=原始資料!AX437),N(AV437)+1,1))</f>
        <v/>
      </c>
      <c r="AX437" s="6">
        <f>IF(OR(原始資料!$A437="",49&gt;設定!$B$3,原始資料!AZ437=""),"",IF(AND(原始資料!AY437&lt;&gt;"",原始資料!AZ437=原始資料!AY437),N(AW437)+1,1))</f>
        <v/>
      </c>
      <c r="AY437" s="6">
        <f>IF(OR(原始資料!$A437="",50&gt;設定!$B$3,原始資料!BA437=""),"",IF(AND(原始資料!AZ437&lt;&gt;"",原始資料!BA437=原始資料!AZ437),N(AX437)+1,1))</f>
        <v/>
      </c>
      <c r="AZ437" s="6">
        <f>IF(OR(原始資料!$A437="",51&gt;設定!$B$3,原始資料!BB437=""),"",IF(AND(原始資料!BA437&lt;&gt;"",原始資料!BB437=原始資料!BA437),N(AY437)+1,1))</f>
        <v/>
      </c>
      <c r="BA437" s="6">
        <f>IF(OR(原始資料!$A437="",52&gt;設定!$B$3,原始資料!BC437=""),"",IF(AND(原始資料!BB437&lt;&gt;"",原始資料!BC437=原始資料!BB437),N(AZ437)+1,1))</f>
        <v/>
      </c>
      <c r="BB437" s="6">
        <f>IF(OR(原始資料!$A437="",53&gt;設定!$B$3,原始資料!BD437=""),"",IF(AND(原始資料!BC437&lt;&gt;"",原始資料!BD437=原始資料!BC437),N(BA437)+1,1))</f>
        <v/>
      </c>
      <c r="BC437" s="6">
        <f>IF(OR(原始資料!$A437="",54&gt;設定!$B$3,原始資料!BE437=""),"",IF(AND(原始資料!BD437&lt;&gt;"",原始資料!BE437=原始資料!BD437),N(BB437)+1,1))</f>
        <v/>
      </c>
      <c r="BD437" s="6">
        <f>IF(OR(原始資料!$A437="",55&gt;設定!$B$3,原始資料!BF437=""),"",IF(AND(原始資料!BE437&lt;&gt;"",原始資料!BF437=原始資料!BE437),N(BC437)+1,1))</f>
        <v/>
      </c>
      <c r="BE437" s="6">
        <f>IF(OR(原始資料!$A437="",56&gt;設定!$B$3,原始資料!BG437=""),"",IF(AND(原始資料!BF437&lt;&gt;"",原始資料!BG437=原始資料!BF437),N(BD437)+1,1))</f>
        <v/>
      </c>
      <c r="BF437" s="6">
        <f>IF(OR(原始資料!$A437="",57&gt;設定!$B$3,原始資料!BH437=""),"",IF(AND(原始資料!BG437&lt;&gt;"",原始資料!BH437=原始資料!BG437),N(BE437)+1,1))</f>
        <v/>
      </c>
      <c r="BG437" s="6">
        <f>IF(OR(原始資料!$A437="",58&gt;設定!$B$3,原始資料!BI437=""),"",IF(AND(原始資料!BH437&lt;&gt;"",原始資料!BI437=原始資料!BH437),N(BF437)+1,1))</f>
        <v/>
      </c>
      <c r="BH437" s="6">
        <f>IF(OR(原始資料!$A437="",59&gt;設定!$B$3,原始資料!BJ437=""),"",IF(AND(原始資料!BI437&lt;&gt;"",原始資料!BJ437=原始資料!BI437),N(BG437)+1,1))</f>
        <v/>
      </c>
      <c r="BI437" s="6">
        <f>IF(OR(原始資料!$A437="",60&gt;設定!$B$3,原始資料!BK437=""),"",IF(AND(原始資料!BJ437&lt;&gt;"",原始資料!BK437=原始資料!BJ437),N(BH437)+1,1))</f>
        <v/>
      </c>
    </row>
    <row r="438">
      <c r="A438" s="6">
        <f>IF(原始資料!$A438="","",原始資料!$A438)</f>
        <v/>
      </c>
      <c r="B438" s="6">
        <f>IF(OR(原始資料!$A438="",1&gt;設定!$B$3,原始資料!D438=""),"",1)</f>
        <v/>
      </c>
      <c r="C438" s="6">
        <f>IF(OR(原始資料!$A438="",2&gt;設定!$B$3,原始資料!E438=""),"",IF(AND(原始資料!D438&lt;&gt;"",原始資料!E438=原始資料!D438),N(B438)+1,1))</f>
        <v/>
      </c>
      <c r="D438" s="6">
        <f>IF(OR(原始資料!$A438="",3&gt;設定!$B$3,原始資料!F438=""),"",IF(AND(原始資料!E438&lt;&gt;"",原始資料!F438=原始資料!E438),N(C438)+1,1))</f>
        <v/>
      </c>
      <c r="E438" s="6">
        <f>IF(OR(原始資料!$A438="",4&gt;設定!$B$3,原始資料!G438=""),"",IF(AND(原始資料!F438&lt;&gt;"",原始資料!G438=原始資料!F438),N(D438)+1,1))</f>
        <v/>
      </c>
      <c r="F438" s="6">
        <f>IF(OR(原始資料!$A438="",5&gt;設定!$B$3,原始資料!H438=""),"",IF(AND(原始資料!G438&lt;&gt;"",原始資料!H438=原始資料!G438),N(E438)+1,1))</f>
        <v/>
      </c>
      <c r="G438" s="6">
        <f>IF(OR(原始資料!$A438="",6&gt;設定!$B$3,原始資料!I438=""),"",IF(AND(原始資料!H438&lt;&gt;"",原始資料!I438=原始資料!H438),N(F438)+1,1))</f>
        <v/>
      </c>
      <c r="H438" s="6">
        <f>IF(OR(原始資料!$A438="",7&gt;設定!$B$3,原始資料!J438=""),"",IF(AND(原始資料!I438&lt;&gt;"",原始資料!J438=原始資料!I438),N(G438)+1,1))</f>
        <v/>
      </c>
      <c r="I438" s="6">
        <f>IF(OR(原始資料!$A438="",8&gt;設定!$B$3,原始資料!K438=""),"",IF(AND(原始資料!J438&lt;&gt;"",原始資料!K438=原始資料!J438),N(H438)+1,1))</f>
        <v/>
      </c>
      <c r="J438" s="6">
        <f>IF(OR(原始資料!$A438="",9&gt;設定!$B$3,原始資料!L438=""),"",IF(AND(原始資料!K438&lt;&gt;"",原始資料!L438=原始資料!K438),N(I438)+1,1))</f>
        <v/>
      </c>
      <c r="K438" s="6">
        <f>IF(OR(原始資料!$A438="",10&gt;設定!$B$3,原始資料!M438=""),"",IF(AND(原始資料!L438&lt;&gt;"",原始資料!M438=原始資料!L438),N(J438)+1,1))</f>
        <v/>
      </c>
      <c r="L438" s="6">
        <f>IF(OR(原始資料!$A438="",11&gt;設定!$B$3,原始資料!N438=""),"",IF(AND(原始資料!M438&lt;&gt;"",原始資料!N438=原始資料!M438),N(K438)+1,1))</f>
        <v/>
      </c>
      <c r="M438" s="6">
        <f>IF(OR(原始資料!$A438="",12&gt;設定!$B$3,原始資料!O438=""),"",IF(AND(原始資料!N438&lt;&gt;"",原始資料!O438=原始資料!N438),N(L438)+1,1))</f>
        <v/>
      </c>
      <c r="N438" s="6">
        <f>IF(OR(原始資料!$A438="",13&gt;設定!$B$3,原始資料!P438=""),"",IF(AND(原始資料!O438&lt;&gt;"",原始資料!P438=原始資料!O438),N(M438)+1,1))</f>
        <v/>
      </c>
      <c r="O438" s="6">
        <f>IF(OR(原始資料!$A438="",14&gt;設定!$B$3,原始資料!Q438=""),"",IF(AND(原始資料!P438&lt;&gt;"",原始資料!Q438=原始資料!P438),N(N438)+1,1))</f>
        <v/>
      </c>
      <c r="P438" s="6">
        <f>IF(OR(原始資料!$A438="",15&gt;設定!$B$3,原始資料!R438=""),"",IF(AND(原始資料!Q438&lt;&gt;"",原始資料!R438=原始資料!Q438),N(O438)+1,1))</f>
        <v/>
      </c>
      <c r="Q438" s="6">
        <f>IF(OR(原始資料!$A438="",16&gt;設定!$B$3,原始資料!S438=""),"",IF(AND(原始資料!R438&lt;&gt;"",原始資料!S438=原始資料!R438),N(P438)+1,1))</f>
        <v/>
      </c>
      <c r="R438" s="6">
        <f>IF(OR(原始資料!$A438="",17&gt;設定!$B$3,原始資料!T438=""),"",IF(AND(原始資料!S438&lt;&gt;"",原始資料!T438=原始資料!S438),N(Q438)+1,1))</f>
        <v/>
      </c>
      <c r="S438" s="6">
        <f>IF(OR(原始資料!$A438="",18&gt;設定!$B$3,原始資料!U438=""),"",IF(AND(原始資料!T438&lt;&gt;"",原始資料!U438=原始資料!T438),N(R438)+1,1))</f>
        <v/>
      </c>
      <c r="T438" s="6">
        <f>IF(OR(原始資料!$A438="",19&gt;設定!$B$3,原始資料!V438=""),"",IF(AND(原始資料!U438&lt;&gt;"",原始資料!V438=原始資料!U438),N(S438)+1,1))</f>
        <v/>
      </c>
      <c r="U438" s="6">
        <f>IF(OR(原始資料!$A438="",20&gt;設定!$B$3,原始資料!W438=""),"",IF(AND(原始資料!V438&lt;&gt;"",原始資料!W438=原始資料!V438),N(T438)+1,1))</f>
        <v/>
      </c>
      <c r="V438" s="6">
        <f>IF(OR(原始資料!$A438="",21&gt;設定!$B$3,原始資料!X438=""),"",IF(AND(原始資料!W438&lt;&gt;"",原始資料!X438=原始資料!W438),N(U438)+1,1))</f>
        <v/>
      </c>
      <c r="W438" s="6">
        <f>IF(OR(原始資料!$A438="",22&gt;設定!$B$3,原始資料!Y438=""),"",IF(AND(原始資料!X438&lt;&gt;"",原始資料!Y438=原始資料!X438),N(V438)+1,1))</f>
        <v/>
      </c>
      <c r="X438" s="6">
        <f>IF(OR(原始資料!$A438="",23&gt;設定!$B$3,原始資料!Z438=""),"",IF(AND(原始資料!Y438&lt;&gt;"",原始資料!Z438=原始資料!Y438),N(W438)+1,1))</f>
        <v/>
      </c>
      <c r="Y438" s="6">
        <f>IF(OR(原始資料!$A438="",24&gt;設定!$B$3,原始資料!AA438=""),"",IF(AND(原始資料!Z438&lt;&gt;"",原始資料!AA438=原始資料!Z438),N(X438)+1,1))</f>
        <v/>
      </c>
      <c r="Z438" s="6">
        <f>IF(OR(原始資料!$A438="",25&gt;設定!$B$3,原始資料!AB438=""),"",IF(AND(原始資料!AA438&lt;&gt;"",原始資料!AB438=原始資料!AA438),N(Y438)+1,1))</f>
        <v/>
      </c>
      <c r="AA438" s="6">
        <f>IF(OR(原始資料!$A438="",26&gt;設定!$B$3,原始資料!AC438=""),"",IF(AND(原始資料!AB438&lt;&gt;"",原始資料!AC438=原始資料!AB438),N(Z438)+1,1))</f>
        <v/>
      </c>
      <c r="AB438" s="6">
        <f>IF(OR(原始資料!$A438="",27&gt;設定!$B$3,原始資料!AD438=""),"",IF(AND(原始資料!AC438&lt;&gt;"",原始資料!AD438=原始資料!AC438),N(AA438)+1,1))</f>
        <v/>
      </c>
      <c r="AC438" s="6">
        <f>IF(OR(原始資料!$A438="",28&gt;設定!$B$3,原始資料!AE438=""),"",IF(AND(原始資料!AD438&lt;&gt;"",原始資料!AE438=原始資料!AD438),N(AB438)+1,1))</f>
        <v/>
      </c>
      <c r="AD438" s="6">
        <f>IF(OR(原始資料!$A438="",29&gt;設定!$B$3,原始資料!AF438=""),"",IF(AND(原始資料!AE438&lt;&gt;"",原始資料!AF438=原始資料!AE438),N(AC438)+1,1))</f>
        <v/>
      </c>
      <c r="AE438" s="6">
        <f>IF(OR(原始資料!$A438="",30&gt;設定!$B$3,原始資料!AG438=""),"",IF(AND(原始資料!AF438&lt;&gt;"",原始資料!AG438=原始資料!AF438),N(AD438)+1,1))</f>
        <v/>
      </c>
      <c r="AF438" s="6">
        <f>IF(OR(原始資料!$A438="",31&gt;設定!$B$3,原始資料!AH438=""),"",IF(AND(原始資料!AG438&lt;&gt;"",原始資料!AH438=原始資料!AG438),N(AE438)+1,1))</f>
        <v/>
      </c>
      <c r="AG438" s="6">
        <f>IF(OR(原始資料!$A438="",32&gt;設定!$B$3,原始資料!AI438=""),"",IF(AND(原始資料!AH438&lt;&gt;"",原始資料!AI438=原始資料!AH438),N(AF438)+1,1))</f>
        <v/>
      </c>
      <c r="AH438" s="6">
        <f>IF(OR(原始資料!$A438="",33&gt;設定!$B$3,原始資料!AJ438=""),"",IF(AND(原始資料!AI438&lt;&gt;"",原始資料!AJ438=原始資料!AI438),N(AG438)+1,1))</f>
        <v/>
      </c>
      <c r="AI438" s="6">
        <f>IF(OR(原始資料!$A438="",34&gt;設定!$B$3,原始資料!AK438=""),"",IF(AND(原始資料!AJ438&lt;&gt;"",原始資料!AK438=原始資料!AJ438),N(AH438)+1,1))</f>
        <v/>
      </c>
      <c r="AJ438" s="6">
        <f>IF(OR(原始資料!$A438="",35&gt;設定!$B$3,原始資料!AL438=""),"",IF(AND(原始資料!AK438&lt;&gt;"",原始資料!AL438=原始資料!AK438),N(AI438)+1,1))</f>
        <v/>
      </c>
      <c r="AK438" s="6">
        <f>IF(OR(原始資料!$A438="",36&gt;設定!$B$3,原始資料!AM438=""),"",IF(AND(原始資料!AL438&lt;&gt;"",原始資料!AM438=原始資料!AL438),N(AJ438)+1,1))</f>
        <v/>
      </c>
      <c r="AL438" s="6">
        <f>IF(OR(原始資料!$A438="",37&gt;設定!$B$3,原始資料!AN438=""),"",IF(AND(原始資料!AM438&lt;&gt;"",原始資料!AN438=原始資料!AM438),N(AK438)+1,1))</f>
        <v/>
      </c>
      <c r="AM438" s="6">
        <f>IF(OR(原始資料!$A438="",38&gt;設定!$B$3,原始資料!AO438=""),"",IF(AND(原始資料!AN438&lt;&gt;"",原始資料!AO438=原始資料!AN438),N(AL438)+1,1))</f>
        <v/>
      </c>
      <c r="AN438" s="6">
        <f>IF(OR(原始資料!$A438="",39&gt;設定!$B$3,原始資料!AP438=""),"",IF(AND(原始資料!AO438&lt;&gt;"",原始資料!AP438=原始資料!AO438),N(AM438)+1,1))</f>
        <v/>
      </c>
      <c r="AO438" s="6">
        <f>IF(OR(原始資料!$A438="",40&gt;設定!$B$3,原始資料!AQ438=""),"",IF(AND(原始資料!AP438&lt;&gt;"",原始資料!AQ438=原始資料!AP438),N(AN438)+1,1))</f>
        <v/>
      </c>
      <c r="AP438" s="6">
        <f>IF(OR(原始資料!$A438="",41&gt;設定!$B$3,原始資料!AR438=""),"",IF(AND(原始資料!AQ438&lt;&gt;"",原始資料!AR438=原始資料!AQ438),N(AO438)+1,1))</f>
        <v/>
      </c>
      <c r="AQ438" s="6">
        <f>IF(OR(原始資料!$A438="",42&gt;設定!$B$3,原始資料!AS438=""),"",IF(AND(原始資料!AR438&lt;&gt;"",原始資料!AS438=原始資料!AR438),N(AP438)+1,1))</f>
        <v/>
      </c>
      <c r="AR438" s="6">
        <f>IF(OR(原始資料!$A438="",43&gt;設定!$B$3,原始資料!AT438=""),"",IF(AND(原始資料!AS438&lt;&gt;"",原始資料!AT438=原始資料!AS438),N(AQ438)+1,1))</f>
        <v/>
      </c>
      <c r="AS438" s="6">
        <f>IF(OR(原始資料!$A438="",44&gt;設定!$B$3,原始資料!AU438=""),"",IF(AND(原始資料!AT438&lt;&gt;"",原始資料!AU438=原始資料!AT438),N(AR438)+1,1))</f>
        <v/>
      </c>
      <c r="AT438" s="6">
        <f>IF(OR(原始資料!$A438="",45&gt;設定!$B$3,原始資料!AV438=""),"",IF(AND(原始資料!AU438&lt;&gt;"",原始資料!AV438=原始資料!AU438),N(AS438)+1,1))</f>
        <v/>
      </c>
      <c r="AU438" s="6">
        <f>IF(OR(原始資料!$A438="",46&gt;設定!$B$3,原始資料!AW438=""),"",IF(AND(原始資料!AV438&lt;&gt;"",原始資料!AW438=原始資料!AV438),N(AT438)+1,1))</f>
        <v/>
      </c>
      <c r="AV438" s="6">
        <f>IF(OR(原始資料!$A438="",47&gt;設定!$B$3,原始資料!AX438=""),"",IF(AND(原始資料!AW438&lt;&gt;"",原始資料!AX438=原始資料!AW438),N(AU438)+1,1))</f>
        <v/>
      </c>
      <c r="AW438" s="6">
        <f>IF(OR(原始資料!$A438="",48&gt;設定!$B$3,原始資料!AY438=""),"",IF(AND(原始資料!AX438&lt;&gt;"",原始資料!AY438=原始資料!AX438),N(AV438)+1,1))</f>
        <v/>
      </c>
      <c r="AX438" s="6">
        <f>IF(OR(原始資料!$A438="",49&gt;設定!$B$3,原始資料!AZ438=""),"",IF(AND(原始資料!AY438&lt;&gt;"",原始資料!AZ438=原始資料!AY438),N(AW438)+1,1))</f>
        <v/>
      </c>
      <c r="AY438" s="6">
        <f>IF(OR(原始資料!$A438="",50&gt;設定!$B$3,原始資料!BA438=""),"",IF(AND(原始資料!AZ438&lt;&gt;"",原始資料!BA438=原始資料!AZ438),N(AX438)+1,1))</f>
        <v/>
      </c>
      <c r="AZ438" s="6">
        <f>IF(OR(原始資料!$A438="",51&gt;設定!$B$3,原始資料!BB438=""),"",IF(AND(原始資料!BA438&lt;&gt;"",原始資料!BB438=原始資料!BA438),N(AY438)+1,1))</f>
        <v/>
      </c>
      <c r="BA438" s="6">
        <f>IF(OR(原始資料!$A438="",52&gt;設定!$B$3,原始資料!BC438=""),"",IF(AND(原始資料!BB438&lt;&gt;"",原始資料!BC438=原始資料!BB438),N(AZ438)+1,1))</f>
        <v/>
      </c>
      <c r="BB438" s="6">
        <f>IF(OR(原始資料!$A438="",53&gt;設定!$B$3,原始資料!BD438=""),"",IF(AND(原始資料!BC438&lt;&gt;"",原始資料!BD438=原始資料!BC438),N(BA438)+1,1))</f>
        <v/>
      </c>
      <c r="BC438" s="6">
        <f>IF(OR(原始資料!$A438="",54&gt;設定!$B$3,原始資料!BE438=""),"",IF(AND(原始資料!BD438&lt;&gt;"",原始資料!BE438=原始資料!BD438),N(BB438)+1,1))</f>
        <v/>
      </c>
      <c r="BD438" s="6">
        <f>IF(OR(原始資料!$A438="",55&gt;設定!$B$3,原始資料!BF438=""),"",IF(AND(原始資料!BE438&lt;&gt;"",原始資料!BF438=原始資料!BE438),N(BC438)+1,1))</f>
        <v/>
      </c>
      <c r="BE438" s="6">
        <f>IF(OR(原始資料!$A438="",56&gt;設定!$B$3,原始資料!BG438=""),"",IF(AND(原始資料!BF438&lt;&gt;"",原始資料!BG438=原始資料!BF438),N(BD438)+1,1))</f>
        <v/>
      </c>
      <c r="BF438" s="6">
        <f>IF(OR(原始資料!$A438="",57&gt;設定!$B$3,原始資料!BH438=""),"",IF(AND(原始資料!BG438&lt;&gt;"",原始資料!BH438=原始資料!BG438),N(BE438)+1,1))</f>
        <v/>
      </c>
      <c r="BG438" s="6">
        <f>IF(OR(原始資料!$A438="",58&gt;設定!$B$3,原始資料!BI438=""),"",IF(AND(原始資料!BH438&lt;&gt;"",原始資料!BI438=原始資料!BH438),N(BF438)+1,1))</f>
        <v/>
      </c>
      <c r="BH438" s="6">
        <f>IF(OR(原始資料!$A438="",59&gt;設定!$B$3,原始資料!BJ438=""),"",IF(AND(原始資料!BI438&lt;&gt;"",原始資料!BJ438=原始資料!BI438),N(BG438)+1,1))</f>
        <v/>
      </c>
      <c r="BI438" s="6">
        <f>IF(OR(原始資料!$A438="",60&gt;設定!$B$3,原始資料!BK438=""),"",IF(AND(原始資料!BJ438&lt;&gt;"",原始資料!BK438=原始資料!BJ438),N(BH438)+1,1))</f>
        <v/>
      </c>
    </row>
    <row r="439">
      <c r="A439" s="6">
        <f>IF(原始資料!$A439="","",原始資料!$A439)</f>
        <v/>
      </c>
      <c r="B439" s="6">
        <f>IF(OR(原始資料!$A439="",1&gt;設定!$B$3,原始資料!D439=""),"",1)</f>
        <v/>
      </c>
      <c r="C439" s="6">
        <f>IF(OR(原始資料!$A439="",2&gt;設定!$B$3,原始資料!E439=""),"",IF(AND(原始資料!D439&lt;&gt;"",原始資料!E439=原始資料!D439),N(B439)+1,1))</f>
        <v/>
      </c>
      <c r="D439" s="6">
        <f>IF(OR(原始資料!$A439="",3&gt;設定!$B$3,原始資料!F439=""),"",IF(AND(原始資料!E439&lt;&gt;"",原始資料!F439=原始資料!E439),N(C439)+1,1))</f>
        <v/>
      </c>
      <c r="E439" s="6">
        <f>IF(OR(原始資料!$A439="",4&gt;設定!$B$3,原始資料!G439=""),"",IF(AND(原始資料!F439&lt;&gt;"",原始資料!G439=原始資料!F439),N(D439)+1,1))</f>
        <v/>
      </c>
      <c r="F439" s="6">
        <f>IF(OR(原始資料!$A439="",5&gt;設定!$B$3,原始資料!H439=""),"",IF(AND(原始資料!G439&lt;&gt;"",原始資料!H439=原始資料!G439),N(E439)+1,1))</f>
        <v/>
      </c>
      <c r="G439" s="6">
        <f>IF(OR(原始資料!$A439="",6&gt;設定!$B$3,原始資料!I439=""),"",IF(AND(原始資料!H439&lt;&gt;"",原始資料!I439=原始資料!H439),N(F439)+1,1))</f>
        <v/>
      </c>
      <c r="H439" s="6">
        <f>IF(OR(原始資料!$A439="",7&gt;設定!$B$3,原始資料!J439=""),"",IF(AND(原始資料!I439&lt;&gt;"",原始資料!J439=原始資料!I439),N(G439)+1,1))</f>
        <v/>
      </c>
      <c r="I439" s="6">
        <f>IF(OR(原始資料!$A439="",8&gt;設定!$B$3,原始資料!K439=""),"",IF(AND(原始資料!J439&lt;&gt;"",原始資料!K439=原始資料!J439),N(H439)+1,1))</f>
        <v/>
      </c>
      <c r="J439" s="6">
        <f>IF(OR(原始資料!$A439="",9&gt;設定!$B$3,原始資料!L439=""),"",IF(AND(原始資料!K439&lt;&gt;"",原始資料!L439=原始資料!K439),N(I439)+1,1))</f>
        <v/>
      </c>
      <c r="K439" s="6">
        <f>IF(OR(原始資料!$A439="",10&gt;設定!$B$3,原始資料!M439=""),"",IF(AND(原始資料!L439&lt;&gt;"",原始資料!M439=原始資料!L439),N(J439)+1,1))</f>
        <v/>
      </c>
      <c r="L439" s="6">
        <f>IF(OR(原始資料!$A439="",11&gt;設定!$B$3,原始資料!N439=""),"",IF(AND(原始資料!M439&lt;&gt;"",原始資料!N439=原始資料!M439),N(K439)+1,1))</f>
        <v/>
      </c>
      <c r="M439" s="6">
        <f>IF(OR(原始資料!$A439="",12&gt;設定!$B$3,原始資料!O439=""),"",IF(AND(原始資料!N439&lt;&gt;"",原始資料!O439=原始資料!N439),N(L439)+1,1))</f>
        <v/>
      </c>
      <c r="N439" s="6">
        <f>IF(OR(原始資料!$A439="",13&gt;設定!$B$3,原始資料!P439=""),"",IF(AND(原始資料!O439&lt;&gt;"",原始資料!P439=原始資料!O439),N(M439)+1,1))</f>
        <v/>
      </c>
      <c r="O439" s="6">
        <f>IF(OR(原始資料!$A439="",14&gt;設定!$B$3,原始資料!Q439=""),"",IF(AND(原始資料!P439&lt;&gt;"",原始資料!Q439=原始資料!P439),N(N439)+1,1))</f>
        <v/>
      </c>
      <c r="P439" s="6">
        <f>IF(OR(原始資料!$A439="",15&gt;設定!$B$3,原始資料!R439=""),"",IF(AND(原始資料!Q439&lt;&gt;"",原始資料!R439=原始資料!Q439),N(O439)+1,1))</f>
        <v/>
      </c>
      <c r="Q439" s="6">
        <f>IF(OR(原始資料!$A439="",16&gt;設定!$B$3,原始資料!S439=""),"",IF(AND(原始資料!R439&lt;&gt;"",原始資料!S439=原始資料!R439),N(P439)+1,1))</f>
        <v/>
      </c>
      <c r="R439" s="6">
        <f>IF(OR(原始資料!$A439="",17&gt;設定!$B$3,原始資料!T439=""),"",IF(AND(原始資料!S439&lt;&gt;"",原始資料!T439=原始資料!S439),N(Q439)+1,1))</f>
        <v/>
      </c>
      <c r="S439" s="6">
        <f>IF(OR(原始資料!$A439="",18&gt;設定!$B$3,原始資料!U439=""),"",IF(AND(原始資料!T439&lt;&gt;"",原始資料!U439=原始資料!T439),N(R439)+1,1))</f>
        <v/>
      </c>
      <c r="T439" s="6">
        <f>IF(OR(原始資料!$A439="",19&gt;設定!$B$3,原始資料!V439=""),"",IF(AND(原始資料!U439&lt;&gt;"",原始資料!V439=原始資料!U439),N(S439)+1,1))</f>
        <v/>
      </c>
      <c r="U439" s="6">
        <f>IF(OR(原始資料!$A439="",20&gt;設定!$B$3,原始資料!W439=""),"",IF(AND(原始資料!V439&lt;&gt;"",原始資料!W439=原始資料!V439),N(T439)+1,1))</f>
        <v/>
      </c>
      <c r="V439" s="6">
        <f>IF(OR(原始資料!$A439="",21&gt;設定!$B$3,原始資料!X439=""),"",IF(AND(原始資料!W439&lt;&gt;"",原始資料!X439=原始資料!W439),N(U439)+1,1))</f>
        <v/>
      </c>
      <c r="W439" s="6">
        <f>IF(OR(原始資料!$A439="",22&gt;設定!$B$3,原始資料!Y439=""),"",IF(AND(原始資料!X439&lt;&gt;"",原始資料!Y439=原始資料!X439),N(V439)+1,1))</f>
        <v/>
      </c>
      <c r="X439" s="6">
        <f>IF(OR(原始資料!$A439="",23&gt;設定!$B$3,原始資料!Z439=""),"",IF(AND(原始資料!Y439&lt;&gt;"",原始資料!Z439=原始資料!Y439),N(W439)+1,1))</f>
        <v/>
      </c>
      <c r="Y439" s="6">
        <f>IF(OR(原始資料!$A439="",24&gt;設定!$B$3,原始資料!AA439=""),"",IF(AND(原始資料!Z439&lt;&gt;"",原始資料!AA439=原始資料!Z439),N(X439)+1,1))</f>
        <v/>
      </c>
      <c r="Z439" s="6">
        <f>IF(OR(原始資料!$A439="",25&gt;設定!$B$3,原始資料!AB439=""),"",IF(AND(原始資料!AA439&lt;&gt;"",原始資料!AB439=原始資料!AA439),N(Y439)+1,1))</f>
        <v/>
      </c>
      <c r="AA439" s="6">
        <f>IF(OR(原始資料!$A439="",26&gt;設定!$B$3,原始資料!AC439=""),"",IF(AND(原始資料!AB439&lt;&gt;"",原始資料!AC439=原始資料!AB439),N(Z439)+1,1))</f>
        <v/>
      </c>
      <c r="AB439" s="6">
        <f>IF(OR(原始資料!$A439="",27&gt;設定!$B$3,原始資料!AD439=""),"",IF(AND(原始資料!AC439&lt;&gt;"",原始資料!AD439=原始資料!AC439),N(AA439)+1,1))</f>
        <v/>
      </c>
      <c r="AC439" s="6">
        <f>IF(OR(原始資料!$A439="",28&gt;設定!$B$3,原始資料!AE439=""),"",IF(AND(原始資料!AD439&lt;&gt;"",原始資料!AE439=原始資料!AD439),N(AB439)+1,1))</f>
        <v/>
      </c>
      <c r="AD439" s="6">
        <f>IF(OR(原始資料!$A439="",29&gt;設定!$B$3,原始資料!AF439=""),"",IF(AND(原始資料!AE439&lt;&gt;"",原始資料!AF439=原始資料!AE439),N(AC439)+1,1))</f>
        <v/>
      </c>
      <c r="AE439" s="6">
        <f>IF(OR(原始資料!$A439="",30&gt;設定!$B$3,原始資料!AG439=""),"",IF(AND(原始資料!AF439&lt;&gt;"",原始資料!AG439=原始資料!AF439),N(AD439)+1,1))</f>
        <v/>
      </c>
      <c r="AF439" s="6">
        <f>IF(OR(原始資料!$A439="",31&gt;設定!$B$3,原始資料!AH439=""),"",IF(AND(原始資料!AG439&lt;&gt;"",原始資料!AH439=原始資料!AG439),N(AE439)+1,1))</f>
        <v/>
      </c>
      <c r="AG439" s="6">
        <f>IF(OR(原始資料!$A439="",32&gt;設定!$B$3,原始資料!AI439=""),"",IF(AND(原始資料!AH439&lt;&gt;"",原始資料!AI439=原始資料!AH439),N(AF439)+1,1))</f>
        <v/>
      </c>
      <c r="AH439" s="6">
        <f>IF(OR(原始資料!$A439="",33&gt;設定!$B$3,原始資料!AJ439=""),"",IF(AND(原始資料!AI439&lt;&gt;"",原始資料!AJ439=原始資料!AI439),N(AG439)+1,1))</f>
        <v/>
      </c>
      <c r="AI439" s="6">
        <f>IF(OR(原始資料!$A439="",34&gt;設定!$B$3,原始資料!AK439=""),"",IF(AND(原始資料!AJ439&lt;&gt;"",原始資料!AK439=原始資料!AJ439),N(AH439)+1,1))</f>
        <v/>
      </c>
      <c r="AJ439" s="6">
        <f>IF(OR(原始資料!$A439="",35&gt;設定!$B$3,原始資料!AL439=""),"",IF(AND(原始資料!AK439&lt;&gt;"",原始資料!AL439=原始資料!AK439),N(AI439)+1,1))</f>
        <v/>
      </c>
      <c r="AK439" s="6">
        <f>IF(OR(原始資料!$A439="",36&gt;設定!$B$3,原始資料!AM439=""),"",IF(AND(原始資料!AL439&lt;&gt;"",原始資料!AM439=原始資料!AL439),N(AJ439)+1,1))</f>
        <v/>
      </c>
      <c r="AL439" s="6">
        <f>IF(OR(原始資料!$A439="",37&gt;設定!$B$3,原始資料!AN439=""),"",IF(AND(原始資料!AM439&lt;&gt;"",原始資料!AN439=原始資料!AM439),N(AK439)+1,1))</f>
        <v/>
      </c>
      <c r="AM439" s="6">
        <f>IF(OR(原始資料!$A439="",38&gt;設定!$B$3,原始資料!AO439=""),"",IF(AND(原始資料!AN439&lt;&gt;"",原始資料!AO439=原始資料!AN439),N(AL439)+1,1))</f>
        <v/>
      </c>
      <c r="AN439" s="6">
        <f>IF(OR(原始資料!$A439="",39&gt;設定!$B$3,原始資料!AP439=""),"",IF(AND(原始資料!AO439&lt;&gt;"",原始資料!AP439=原始資料!AO439),N(AM439)+1,1))</f>
        <v/>
      </c>
      <c r="AO439" s="6">
        <f>IF(OR(原始資料!$A439="",40&gt;設定!$B$3,原始資料!AQ439=""),"",IF(AND(原始資料!AP439&lt;&gt;"",原始資料!AQ439=原始資料!AP439),N(AN439)+1,1))</f>
        <v/>
      </c>
      <c r="AP439" s="6">
        <f>IF(OR(原始資料!$A439="",41&gt;設定!$B$3,原始資料!AR439=""),"",IF(AND(原始資料!AQ439&lt;&gt;"",原始資料!AR439=原始資料!AQ439),N(AO439)+1,1))</f>
        <v/>
      </c>
      <c r="AQ439" s="6">
        <f>IF(OR(原始資料!$A439="",42&gt;設定!$B$3,原始資料!AS439=""),"",IF(AND(原始資料!AR439&lt;&gt;"",原始資料!AS439=原始資料!AR439),N(AP439)+1,1))</f>
        <v/>
      </c>
      <c r="AR439" s="6">
        <f>IF(OR(原始資料!$A439="",43&gt;設定!$B$3,原始資料!AT439=""),"",IF(AND(原始資料!AS439&lt;&gt;"",原始資料!AT439=原始資料!AS439),N(AQ439)+1,1))</f>
        <v/>
      </c>
      <c r="AS439" s="6">
        <f>IF(OR(原始資料!$A439="",44&gt;設定!$B$3,原始資料!AU439=""),"",IF(AND(原始資料!AT439&lt;&gt;"",原始資料!AU439=原始資料!AT439),N(AR439)+1,1))</f>
        <v/>
      </c>
      <c r="AT439" s="6">
        <f>IF(OR(原始資料!$A439="",45&gt;設定!$B$3,原始資料!AV439=""),"",IF(AND(原始資料!AU439&lt;&gt;"",原始資料!AV439=原始資料!AU439),N(AS439)+1,1))</f>
        <v/>
      </c>
      <c r="AU439" s="6">
        <f>IF(OR(原始資料!$A439="",46&gt;設定!$B$3,原始資料!AW439=""),"",IF(AND(原始資料!AV439&lt;&gt;"",原始資料!AW439=原始資料!AV439),N(AT439)+1,1))</f>
        <v/>
      </c>
      <c r="AV439" s="6">
        <f>IF(OR(原始資料!$A439="",47&gt;設定!$B$3,原始資料!AX439=""),"",IF(AND(原始資料!AW439&lt;&gt;"",原始資料!AX439=原始資料!AW439),N(AU439)+1,1))</f>
        <v/>
      </c>
      <c r="AW439" s="6">
        <f>IF(OR(原始資料!$A439="",48&gt;設定!$B$3,原始資料!AY439=""),"",IF(AND(原始資料!AX439&lt;&gt;"",原始資料!AY439=原始資料!AX439),N(AV439)+1,1))</f>
        <v/>
      </c>
      <c r="AX439" s="6">
        <f>IF(OR(原始資料!$A439="",49&gt;設定!$B$3,原始資料!AZ439=""),"",IF(AND(原始資料!AY439&lt;&gt;"",原始資料!AZ439=原始資料!AY439),N(AW439)+1,1))</f>
        <v/>
      </c>
      <c r="AY439" s="6">
        <f>IF(OR(原始資料!$A439="",50&gt;設定!$B$3,原始資料!BA439=""),"",IF(AND(原始資料!AZ439&lt;&gt;"",原始資料!BA439=原始資料!AZ439),N(AX439)+1,1))</f>
        <v/>
      </c>
      <c r="AZ439" s="6">
        <f>IF(OR(原始資料!$A439="",51&gt;設定!$B$3,原始資料!BB439=""),"",IF(AND(原始資料!BA439&lt;&gt;"",原始資料!BB439=原始資料!BA439),N(AY439)+1,1))</f>
        <v/>
      </c>
      <c r="BA439" s="6">
        <f>IF(OR(原始資料!$A439="",52&gt;設定!$B$3,原始資料!BC439=""),"",IF(AND(原始資料!BB439&lt;&gt;"",原始資料!BC439=原始資料!BB439),N(AZ439)+1,1))</f>
        <v/>
      </c>
      <c r="BB439" s="6">
        <f>IF(OR(原始資料!$A439="",53&gt;設定!$B$3,原始資料!BD439=""),"",IF(AND(原始資料!BC439&lt;&gt;"",原始資料!BD439=原始資料!BC439),N(BA439)+1,1))</f>
        <v/>
      </c>
      <c r="BC439" s="6">
        <f>IF(OR(原始資料!$A439="",54&gt;設定!$B$3,原始資料!BE439=""),"",IF(AND(原始資料!BD439&lt;&gt;"",原始資料!BE439=原始資料!BD439),N(BB439)+1,1))</f>
        <v/>
      </c>
      <c r="BD439" s="6">
        <f>IF(OR(原始資料!$A439="",55&gt;設定!$B$3,原始資料!BF439=""),"",IF(AND(原始資料!BE439&lt;&gt;"",原始資料!BF439=原始資料!BE439),N(BC439)+1,1))</f>
        <v/>
      </c>
      <c r="BE439" s="6">
        <f>IF(OR(原始資料!$A439="",56&gt;設定!$B$3,原始資料!BG439=""),"",IF(AND(原始資料!BF439&lt;&gt;"",原始資料!BG439=原始資料!BF439),N(BD439)+1,1))</f>
        <v/>
      </c>
      <c r="BF439" s="6">
        <f>IF(OR(原始資料!$A439="",57&gt;設定!$B$3,原始資料!BH439=""),"",IF(AND(原始資料!BG439&lt;&gt;"",原始資料!BH439=原始資料!BG439),N(BE439)+1,1))</f>
        <v/>
      </c>
      <c r="BG439" s="6">
        <f>IF(OR(原始資料!$A439="",58&gt;設定!$B$3,原始資料!BI439=""),"",IF(AND(原始資料!BH439&lt;&gt;"",原始資料!BI439=原始資料!BH439),N(BF439)+1,1))</f>
        <v/>
      </c>
      <c r="BH439" s="6">
        <f>IF(OR(原始資料!$A439="",59&gt;設定!$B$3,原始資料!BJ439=""),"",IF(AND(原始資料!BI439&lt;&gt;"",原始資料!BJ439=原始資料!BI439),N(BG439)+1,1))</f>
        <v/>
      </c>
      <c r="BI439" s="6">
        <f>IF(OR(原始資料!$A439="",60&gt;設定!$B$3,原始資料!BK439=""),"",IF(AND(原始資料!BJ439&lt;&gt;"",原始資料!BK439=原始資料!BJ439),N(BH439)+1,1))</f>
        <v/>
      </c>
    </row>
    <row r="440">
      <c r="A440" s="6">
        <f>IF(原始資料!$A440="","",原始資料!$A440)</f>
        <v/>
      </c>
      <c r="B440" s="6">
        <f>IF(OR(原始資料!$A440="",1&gt;設定!$B$3,原始資料!D440=""),"",1)</f>
        <v/>
      </c>
      <c r="C440" s="6">
        <f>IF(OR(原始資料!$A440="",2&gt;設定!$B$3,原始資料!E440=""),"",IF(AND(原始資料!D440&lt;&gt;"",原始資料!E440=原始資料!D440),N(B440)+1,1))</f>
        <v/>
      </c>
      <c r="D440" s="6">
        <f>IF(OR(原始資料!$A440="",3&gt;設定!$B$3,原始資料!F440=""),"",IF(AND(原始資料!E440&lt;&gt;"",原始資料!F440=原始資料!E440),N(C440)+1,1))</f>
        <v/>
      </c>
      <c r="E440" s="6">
        <f>IF(OR(原始資料!$A440="",4&gt;設定!$B$3,原始資料!G440=""),"",IF(AND(原始資料!F440&lt;&gt;"",原始資料!G440=原始資料!F440),N(D440)+1,1))</f>
        <v/>
      </c>
      <c r="F440" s="6">
        <f>IF(OR(原始資料!$A440="",5&gt;設定!$B$3,原始資料!H440=""),"",IF(AND(原始資料!G440&lt;&gt;"",原始資料!H440=原始資料!G440),N(E440)+1,1))</f>
        <v/>
      </c>
      <c r="G440" s="6">
        <f>IF(OR(原始資料!$A440="",6&gt;設定!$B$3,原始資料!I440=""),"",IF(AND(原始資料!H440&lt;&gt;"",原始資料!I440=原始資料!H440),N(F440)+1,1))</f>
        <v/>
      </c>
      <c r="H440" s="6">
        <f>IF(OR(原始資料!$A440="",7&gt;設定!$B$3,原始資料!J440=""),"",IF(AND(原始資料!I440&lt;&gt;"",原始資料!J440=原始資料!I440),N(G440)+1,1))</f>
        <v/>
      </c>
      <c r="I440" s="6">
        <f>IF(OR(原始資料!$A440="",8&gt;設定!$B$3,原始資料!K440=""),"",IF(AND(原始資料!J440&lt;&gt;"",原始資料!K440=原始資料!J440),N(H440)+1,1))</f>
        <v/>
      </c>
      <c r="J440" s="6">
        <f>IF(OR(原始資料!$A440="",9&gt;設定!$B$3,原始資料!L440=""),"",IF(AND(原始資料!K440&lt;&gt;"",原始資料!L440=原始資料!K440),N(I440)+1,1))</f>
        <v/>
      </c>
      <c r="K440" s="6">
        <f>IF(OR(原始資料!$A440="",10&gt;設定!$B$3,原始資料!M440=""),"",IF(AND(原始資料!L440&lt;&gt;"",原始資料!M440=原始資料!L440),N(J440)+1,1))</f>
        <v/>
      </c>
      <c r="L440" s="6">
        <f>IF(OR(原始資料!$A440="",11&gt;設定!$B$3,原始資料!N440=""),"",IF(AND(原始資料!M440&lt;&gt;"",原始資料!N440=原始資料!M440),N(K440)+1,1))</f>
        <v/>
      </c>
      <c r="M440" s="6">
        <f>IF(OR(原始資料!$A440="",12&gt;設定!$B$3,原始資料!O440=""),"",IF(AND(原始資料!N440&lt;&gt;"",原始資料!O440=原始資料!N440),N(L440)+1,1))</f>
        <v/>
      </c>
      <c r="N440" s="6">
        <f>IF(OR(原始資料!$A440="",13&gt;設定!$B$3,原始資料!P440=""),"",IF(AND(原始資料!O440&lt;&gt;"",原始資料!P440=原始資料!O440),N(M440)+1,1))</f>
        <v/>
      </c>
      <c r="O440" s="6">
        <f>IF(OR(原始資料!$A440="",14&gt;設定!$B$3,原始資料!Q440=""),"",IF(AND(原始資料!P440&lt;&gt;"",原始資料!Q440=原始資料!P440),N(N440)+1,1))</f>
        <v/>
      </c>
      <c r="P440" s="6">
        <f>IF(OR(原始資料!$A440="",15&gt;設定!$B$3,原始資料!R440=""),"",IF(AND(原始資料!Q440&lt;&gt;"",原始資料!R440=原始資料!Q440),N(O440)+1,1))</f>
        <v/>
      </c>
      <c r="Q440" s="6">
        <f>IF(OR(原始資料!$A440="",16&gt;設定!$B$3,原始資料!S440=""),"",IF(AND(原始資料!R440&lt;&gt;"",原始資料!S440=原始資料!R440),N(P440)+1,1))</f>
        <v/>
      </c>
      <c r="R440" s="6">
        <f>IF(OR(原始資料!$A440="",17&gt;設定!$B$3,原始資料!T440=""),"",IF(AND(原始資料!S440&lt;&gt;"",原始資料!T440=原始資料!S440),N(Q440)+1,1))</f>
        <v/>
      </c>
      <c r="S440" s="6">
        <f>IF(OR(原始資料!$A440="",18&gt;設定!$B$3,原始資料!U440=""),"",IF(AND(原始資料!T440&lt;&gt;"",原始資料!U440=原始資料!T440),N(R440)+1,1))</f>
        <v/>
      </c>
      <c r="T440" s="6">
        <f>IF(OR(原始資料!$A440="",19&gt;設定!$B$3,原始資料!V440=""),"",IF(AND(原始資料!U440&lt;&gt;"",原始資料!V440=原始資料!U440),N(S440)+1,1))</f>
        <v/>
      </c>
      <c r="U440" s="6">
        <f>IF(OR(原始資料!$A440="",20&gt;設定!$B$3,原始資料!W440=""),"",IF(AND(原始資料!V440&lt;&gt;"",原始資料!W440=原始資料!V440),N(T440)+1,1))</f>
        <v/>
      </c>
      <c r="V440" s="6">
        <f>IF(OR(原始資料!$A440="",21&gt;設定!$B$3,原始資料!X440=""),"",IF(AND(原始資料!W440&lt;&gt;"",原始資料!X440=原始資料!W440),N(U440)+1,1))</f>
        <v/>
      </c>
      <c r="W440" s="6">
        <f>IF(OR(原始資料!$A440="",22&gt;設定!$B$3,原始資料!Y440=""),"",IF(AND(原始資料!X440&lt;&gt;"",原始資料!Y440=原始資料!X440),N(V440)+1,1))</f>
        <v/>
      </c>
      <c r="X440" s="6">
        <f>IF(OR(原始資料!$A440="",23&gt;設定!$B$3,原始資料!Z440=""),"",IF(AND(原始資料!Y440&lt;&gt;"",原始資料!Z440=原始資料!Y440),N(W440)+1,1))</f>
        <v/>
      </c>
      <c r="Y440" s="6">
        <f>IF(OR(原始資料!$A440="",24&gt;設定!$B$3,原始資料!AA440=""),"",IF(AND(原始資料!Z440&lt;&gt;"",原始資料!AA440=原始資料!Z440),N(X440)+1,1))</f>
        <v/>
      </c>
      <c r="Z440" s="6">
        <f>IF(OR(原始資料!$A440="",25&gt;設定!$B$3,原始資料!AB440=""),"",IF(AND(原始資料!AA440&lt;&gt;"",原始資料!AB440=原始資料!AA440),N(Y440)+1,1))</f>
        <v/>
      </c>
      <c r="AA440" s="6">
        <f>IF(OR(原始資料!$A440="",26&gt;設定!$B$3,原始資料!AC440=""),"",IF(AND(原始資料!AB440&lt;&gt;"",原始資料!AC440=原始資料!AB440),N(Z440)+1,1))</f>
        <v/>
      </c>
      <c r="AB440" s="6">
        <f>IF(OR(原始資料!$A440="",27&gt;設定!$B$3,原始資料!AD440=""),"",IF(AND(原始資料!AC440&lt;&gt;"",原始資料!AD440=原始資料!AC440),N(AA440)+1,1))</f>
        <v/>
      </c>
      <c r="AC440" s="6">
        <f>IF(OR(原始資料!$A440="",28&gt;設定!$B$3,原始資料!AE440=""),"",IF(AND(原始資料!AD440&lt;&gt;"",原始資料!AE440=原始資料!AD440),N(AB440)+1,1))</f>
        <v/>
      </c>
      <c r="AD440" s="6">
        <f>IF(OR(原始資料!$A440="",29&gt;設定!$B$3,原始資料!AF440=""),"",IF(AND(原始資料!AE440&lt;&gt;"",原始資料!AF440=原始資料!AE440),N(AC440)+1,1))</f>
        <v/>
      </c>
      <c r="AE440" s="6">
        <f>IF(OR(原始資料!$A440="",30&gt;設定!$B$3,原始資料!AG440=""),"",IF(AND(原始資料!AF440&lt;&gt;"",原始資料!AG440=原始資料!AF440),N(AD440)+1,1))</f>
        <v/>
      </c>
      <c r="AF440" s="6">
        <f>IF(OR(原始資料!$A440="",31&gt;設定!$B$3,原始資料!AH440=""),"",IF(AND(原始資料!AG440&lt;&gt;"",原始資料!AH440=原始資料!AG440),N(AE440)+1,1))</f>
        <v/>
      </c>
      <c r="AG440" s="6">
        <f>IF(OR(原始資料!$A440="",32&gt;設定!$B$3,原始資料!AI440=""),"",IF(AND(原始資料!AH440&lt;&gt;"",原始資料!AI440=原始資料!AH440),N(AF440)+1,1))</f>
        <v/>
      </c>
      <c r="AH440" s="6">
        <f>IF(OR(原始資料!$A440="",33&gt;設定!$B$3,原始資料!AJ440=""),"",IF(AND(原始資料!AI440&lt;&gt;"",原始資料!AJ440=原始資料!AI440),N(AG440)+1,1))</f>
        <v/>
      </c>
      <c r="AI440" s="6">
        <f>IF(OR(原始資料!$A440="",34&gt;設定!$B$3,原始資料!AK440=""),"",IF(AND(原始資料!AJ440&lt;&gt;"",原始資料!AK440=原始資料!AJ440),N(AH440)+1,1))</f>
        <v/>
      </c>
      <c r="AJ440" s="6">
        <f>IF(OR(原始資料!$A440="",35&gt;設定!$B$3,原始資料!AL440=""),"",IF(AND(原始資料!AK440&lt;&gt;"",原始資料!AL440=原始資料!AK440),N(AI440)+1,1))</f>
        <v/>
      </c>
      <c r="AK440" s="6">
        <f>IF(OR(原始資料!$A440="",36&gt;設定!$B$3,原始資料!AM440=""),"",IF(AND(原始資料!AL440&lt;&gt;"",原始資料!AM440=原始資料!AL440),N(AJ440)+1,1))</f>
        <v/>
      </c>
      <c r="AL440" s="6">
        <f>IF(OR(原始資料!$A440="",37&gt;設定!$B$3,原始資料!AN440=""),"",IF(AND(原始資料!AM440&lt;&gt;"",原始資料!AN440=原始資料!AM440),N(AK440)+1,1))</f>
        <v/>
      </c>
      <c r="AM440" s="6">
        <f>IF(OR(原始資料!$A440="",38&gt;設定!$B$3,原始資料!AO440=""),"",IF(AND(原始資料!AN440&lt;&gt;"",原始資料!AO440=原始資料!AN440),N(AL440)+1,1))</f>
        <v/>
      </c>
      <c r="AN440" s="6">
        <f>IF(OR(原始資料!$A440="",39&gt;設定!$B$3,原始資料!AP440=""),"",IF(AND(原始資料!AO440&lt;&gt;"",原始資料!AP440=原始資料!AO440),N(AM440)+1,1))</f>
        <v/>
      </c>
      <c r="AO440" s="6">
        <f>IF(OR(原始資料!$A440="",40&gt;設定!$B$3,原始資料!AQ440=""),"",IF(AND(原始資料!AP440&lt;&gt;"",原始資料!AQ440=原始資料!AP440),N(AN440)+1,1))</f>
        <v/>
      </c>
      <c r="AP440" s="6">
        <f>IF(OR(原始資料!$A440="",41&gt;設定!$B$3,原始資料!AR440=""),"",IF(AND(原始資料!AQ440&lt;&gt;"",原始資料!AR440=原始資料!AQ440),N(AO440)+1,1))</f>
        <v/>
      </c>
      <c r="AQ440" s="6">
        <f>IF(OR(原始資料!$A440="",42&gt;設定!$B$3,原始資料!AS440=""),"",IF(AND(原始資料!AR440&lt;&gt;"",原始資料!AS440=原始資料!AR440),N(AP440)+1,1))</f>
        <v/>
      </c>
      <c r="AR440" s="6">
        <f>IF(OR(原始資料!$A440="",43&gt;設定!$B$3,原始資料!AT440=""),"",IF(AND(原始資料!AS440&lt;&gt;"",原始資料!AT440=原始資料!AS440),N(AQ440)+1,1))</f>
        <v/>
      </c>
      <c r="AS440" s="6">
        <f>IF(OR(原始資料!$A440="",44&gt;設定!$B$3,原始資料!AU440=""),"",IF(AND(原始資料!AT440&lt;&gt;"",原始資料!AU440=原始資料!AT440),N(AR440)+1,1))</f>
        <v/>
      </c>
      <c r="AT440" s="6">
        <f>IF(OR(原始資料!$A440="",45&gt;設定!$B$3,原始資料!AV440=""),"",IF(AND(原始資料!AU440&lt;&gt;"",原始資料!AV440=原始資料!AU440),N(AS440)+1,1))</f>
        <v/>
      </c>
      <c r="AU440" s="6">
        <f>IF(OR(原始資料!$A440="",46&gt;設定!$B$3,原始資料!AW440=""),"",IF(AND(原始資料!AV440&lt;&gt;"",原始資料!AW440=原始資料!AV440),N(AT440)+1,1))</f>
        <v/>
      </c>
      <c r="AV440" s="6">
        <f>IF(OR(原始資料!$A440="",47&gt;設定!$B$3,原始資料!AX440=""),"",IF(AND(原始資料!AW440&lt;&gt;"",原始資料!AX440=原始資料!AW440),N(AU440)+1,1))</f>
        <v/>
      </c>
      <c r="AW440" s="6">
        <f>IF(OR(原始資料!$A440="",48&gt;設定!$B$3,原始資料!AY440=""),"",IF(AND(原始資料!AX440&lt;&gt;"",原始資料!AY440=原始資料!AX440),N(AV440)+1,1))</f>
        <v/>
      </c>
      <c r="AX440" s="6">
        <f>IF(OR(原始資料!$A440="",49&gt;設定!$B$3,原始資料!AZ440=""),"",IF(AND(原始資料!AY440&lt;&gt;"",原始資料!AZ440=原始資料!AY440),N(AW440)+1,1))</f>
        <v/>
      </c>
      <c r="AY440" s="6">
        <f>IF(OR(原始資料!$A440="",50&gt;設定!$B$3,原始資料!BA440=""),"",IF(AND(原始資料!AZ440&lt;&gt;"",原始資料!BA440=原始資料!AZ440),N(AX440)+1,1))</f>
        <v/>
      </c>
      <c r="AZ440" s="6">
        <f>IF(OR(原始資料!$A440="",51&gt;設定!$B$3,原始資料!BB440=""),"",IF(AND(原始資料!BA440&lt;&gt;"",原始資料!BB440=原始資料!BA440),N(AY440)+1,1))</f>
        <v/>
      </c>
      <c r="BA440" s="6">
        <f>IF(OR(原始資料!$A440="",52&gt;設定!$B$3,原始資料!BC440=""),"",IF(AND(原始資料!BB440&lt;&gt;"",原始資料!BC440=原始資料!BB440),N(AZ440)+1,1))</f>
        <v/>
      </c>
      <c r="BB440" s="6">
        <f>IF(OR(原始資料!$A440="",53&gt;設定!$B$3,原始資料!BD440=""),"",IF(AND(原始資料!BC440&lt;&gt;"",原始資料!BD440=原始資料!BC440),N(BA440)+1,1))</f>
        <v/>
      </c>
      <c r="BC440" s="6">
        <f>IF(OR(原始資料!$A440="",54&gt;設定!$B$3,原始資料!BE440=""),"",IF(AND(原始資料!BD440&lt;&gt;"",原始資料!BE440=原始資料!BD440),N(BB440)+1,1))</f>
        <v/>
      </c>
      <c r="BD440" s="6">
        <f>IF(OR(原始資料!$A440="",55&gt;設定!$B$3,原始資料!BF440=""),"",IF(AND(原始資料!BE440&lt;&gt;"",原始資料!BF440=原始資料!BE440),N(BC440)+1,1))</f>
        <v/>
      </c>
      <c r="BE440" s="6">
        <f>IF(OR(原始資料!$A440="",56&gt;設定!$B$3,原始資料!BG440=""),"",IF(AND(原始資料!BF440&lt;&gt;"",原始資料!BG440=原始資料!BF440),N(BD440)+1,1))</f>
        <v/>
      </c>
      <c r="BF440" s="6">
        <f>IF(OR(原始資料!$A440="",57&gt;設定!$B$3,原始資料!BH440=""),"",IF(AND(原始資料!BG440&lt;&gt;"",原始資料!BH440=原始資料!BG440),N(BE440)+1,1))</f>
        <v/>
      </c>
      <c r="BG440" s="6">
        <f>IF(OR(原始資料!$A440="",58&gt;設定!$B$3,原始資料!BI440=""),"",IF(AND(原始資料!BH440&lt;&gt;"",原始資料!BI440=原始資料!BH440),N(BF440)+1,1))</f>
        <v/>
      </c>
      <c r="BH440" s="6">
        <f>IF(OR(原始資料!$A440="",59&gt;設定!$B$3,原始資料!BJ440=""),"",IF(AND(原始資料!BI440&lt;&gt;"",原始資料!BJ440=原始資料!BI440),N(BG440)+1,1))</f>
        <v/>
      </c>
      <c r="BI440" s="6">
        <f>IF(OR(原始資料!$A440="",60&gt;設定!$B$3,原始資料!BK440=""),"",IF(AND(原始資料!BJ440&lt;&gt;"",原始資料!BK440=原始資料!BJ440),N(BH440)+1,1))</f>
        <v/>
      </c>
    </row>
    <row r="441">
      <c r="A441" s="6">
        <f>IF(原始資料!$A441="","",原始資料!$A441)</f>
        <v/>
      </c>
      <c r="B441" s="6">
        <f>IF(OR(原始資料!$A441="",1&gt;設定!$B$3,原始資料!D441=""),"",1)</f>
        <v/>
      </c>
      <c r="C441" s="6">
        <f>IF(OR(原始資料!$A441="",2&gt;設定!$B$3,原始資料!E441=""),"",IF(AND(原始資料!D441&lt;&gt;"",原始資料!E441=原始資料!D441),N(B441)+1,1))</f>
        <v/>
      </c>
      <c r="D441" s="6">
        <f>IF(OR(原始資料!$A441="",3&gt;設定!$B$3,原始資料!F441=""),"",IF(AND(原始資料!E441&lt;&gt;"",原始資料!F441=原始資料!E441),N(C441)+1,1))</f>
        <v/>
      </c>
      <c r="E441" s="6">
        <f>IF(OR(原始資料!$A441="",4&gt;設定!$B$3,原始資料!G441=""),"",IF(AND(原始資料!F441&lt;&gt;"",原始資料!G441=原始資料!F441),N(D441)+1,1))</f>
        <v/>
      </c>
      <c r="F441" s="6">
        <f>IF(OR(原始資料!$A441="",5&gt;設定!$B$3,原始資料!H441=""),"",IF(AND(原始資料!G441&lt;&gt;"",原始資料!H441=原始資料!G441),N(E441)+1,1))</f>
        <v/>
      </c>
      <c r="G441" s="6">
        <f>IF(OR(原始資料!$A441="",6&gt;設定!$B$3,原始資料!I441=""),"",IF(AND(原始資料!H441&lt;&gt;"",原始資料!I441=原始資料!H441),N(F441)+1,1))</f>
        <v/>
      </c>
      <c r="H441" s="6">
        <f>IF(OR(原始資料!$A441="",7&gt;設定!$B$3,原始資料!J441=""),"",IF(AND(原始資料!I441&lt;&gt;"",原始資料!J441=原始資料!I441),N(G441)+1,1))</f>
        <v/>
      </c>
      <c r="I441" s="6">
        <f>IF(OR(原始資料!$A441="",8&gt;設定!$B$3,原始資料!K441=""),"",IF(AND(原始資料!J441&lt;&gt;"",原始資料!K441=原始資料!J441),N(H441)+1,1))</f>
        <v/>
      </c>
      <c r="J441" s="6">
        <f>IF(OR(原始資料!$A441="",9&gt;設定!$B$3,原始資料!L441=""),"",IF(AND(原始資料!K441&lt;&gt;"",原始資料!L441=原始資料!K441),N(I441)+1,1))</f>
        <v/>
      </c>
      <c r="K441" s="6">
        <f>IF(OR(原始資料!$A441="",10&gt;設定!$B$3,原始資料!M441=""),"",IF(AND(原始資料!L441&lt;&gt;"",原始資料!M441=原始資料!L441),N(J441)+1,1))</f>
        <v/>
      </c>
      <c r="L441" s="6">
        <f>IF(OR(原始資料!$A441="",11&gt;設定!$B$3,原始資料!N441=""),"",IF(AND(原始資料!M441&lt;&gt;"",原始資料!N441=原始資料!M441),N(K441)+1,1))</f>
        <v/>
      </c>
      <c r="M441" s="6">
        <f>IF(OR(原始資料!$A441="",12&gt;設定!$B$3,原始資料!O441=""),"",IF(AND(原始資料!N441&lt;&gt;"",原始資料!O441=原始資料!N441),N(L441)+1,1))</f>
        <v/>
      </c>
      <c r="N441" s="6">
        <f>IF(OR(原始資料!$A441="",13&gt;設定!$B$3,原始資料!P441=""),"",IF(AND(原始資料!O441&lt;&gt;"",原始資料!P441=原始資料!O441),N(M441)+1,1))</f>
        <v/>
      </c>
      <c r="O441" s="6">
        <f>IF(OR(原始資料!$A441="",14&gt;設定!$B$3,原始資料!Q441=""),"",IF(AND(原始資料!P441&lt;&gt;"",原始資料!Q441=原始資料!P441),N(N441)+1,1))</f>
        <v/>
      </c>
      <c r="P441" s="6">
        <f>IF(OR(原始資料!$A441="",15&gt;設定!$B$3,原始資料!R441=""),"",IF(AND(原始資料!Q441&lt;&gt;"",原始資料!R441=原始資料!Q441),N(O441)+1,1))</f>
        <v/>
      </c>
      <c r="Q441" s="6">
        <f>IF(OR(原始資料!$A441="",16&gt;設定!$B$3,原始資料!S441=""),"",IF(AND(原始資料!R441&lt;&gt;"",原始資料!S441=原始資料!R441),N(P441)+1,1))</f>
        <v/>
      </c>
      <c r="R441" s="6">
        <f>IF(OR(原始資料!$A441="",17&gt;設定!$B$3,原始資料!T441=""),"",IF(AND(原始資料!S441&lt;&gt;"",原始資料!T441=原始資料!S441),N(Q441)+1,1))</f>
        <v/>
      </c>
      <c r="S441" s="6">
        <f>IF(OR(原始資料!$A441="",18&gt;設定!$B$3,原始資料!U441=""),"",IF(AND(原始資料!T441&lt;&gt;"",原始資料!U441=原始資料!T441),N(R441)+1,1))</f>
        <v/>
      </c>
      <c r="T441" s="6">
        <f>IF(OR(原始資料!$A441="",19&gt;設定!$B$3,原始資料!V441=""),"",IF(AND(原始資料!U441&lt;&gt;"",原始資料!V441=原始資料!U441),N(S441)+1,1))</f>
        <v/>
      </c>
      <c r="U441" s="6">
        <f>IF(OR(原始資料!$A441="",20&gt;設定!$B$3,原始資料!W441=""),"",IF(AND(原始資料!V441&lt;&gt;"",原始資料!W441=原始資料!V441),N(T441)+1,1))</f>
        <v/>
      </c>
      <c r="V441" s="6">
        <f>IF(OR(原始資料!$A441="",21&gt;設定!$B$3,原始資料!X441=""),"",IF(AND(原始資料!W441&lt;&gt;"",原始資料!X441=原始資料!W441),N(U441)+1,1))</f>
        <v/>
      </c>
      <c r="W441" s="6">
        <f>IF(OR(原始資料!$A441="",22&gt;設定!$B$3,原始資料!Y441=""),"",IF(AND(原始資料!X441&lt;&gt;"",原始資料!Y441=原始資料!X441),N(V441)+1,1))</f>
        <v/>
      </c>
      <c r="X441" s="6">
        <f>IF(OR(原始資料!$A441="",23&gt;設定!$B$3,原始資料!Z441=""),"",IF(AND(原始資料!Y441&lt;&gt;"",原始資料!Z441=原始資料!Y441),N(W441)+1,1))</f>
        <v/>
      </c>
      <c r="Y441" s="6">
        <f>IF(OR(原始資料!$A441="",24&gt;設定!$B$3,原始資料!AA441=""),"",IF(AND(原始資料!Z441&lt;&gt;"",原始資料!AA441=原始資料!Z441),N(X441)+1,1))</f>
        <v/>
      </c>
      <c r="Z441" s="6">
        <f>IF(OR(原始資料!$A441="",25&gt;設定!$B$3,原始資料!AB441=""),"",IF(AND(原始資料!AA441&lt;&gt;"",原始資料!AB441=原始資料!AA441),N(Y441)+1,1))</f>
        <v/>
      </c>
      <c r="AA441" s="6">
        <f>IF(OR(原始資料!$A441="",26&gt;設定!$B$3,原始資料!AC441=""),"",IF(AND(原始資料!AB441&lt;&gt;"",原始資料!AC441=原始資料!AB441),N(Z441)+1,1))</f>
        <v/>
      </c>
      <c r="AB441" s="6">
        <f>IF(OR(原始資料!$A441="",27&gt;設定!$B$3,原始資料!AD441=""),"",IF(AND(原始資料!AC441&lt;&gt;"",原始資料!AD441=原始資料!AC441),N(AA441)+1,1))</f>
        <v/>
      </c>
      <c r="AC441" s="6">
        <f>IF(OR(原始資料!$A441="",28&gt;設定!$B$3,原始資料!AE441=""),"",IF(AND(原始資料!AD441&lt;&gt;"",原始資料!AE441=原始資料!AD441),N(AB441)+1,1))</f>
        <v/>
      </c>
      <c r="AD441" s="6">
        <f>IF(OR(原始資料!$A441="",29&gt;設定!$B$3,原始資料!AF441=""),"",IF(AND(原始資料!AE441&lt;&gt;"",原始資料!AF441=原始資料!AE441),N(AC441)+1,1))</f>
        <v/>
      </c>
      <c r="AE441" s="6">
        <f>IF(OR(原始資料!$A441="",30&gt;設定!$B$3,原始資料!AG441=""),"",IF(AND(原始資料!AF441&lt;&gt;"",原始資料!AG441=原始資料!AF441),N(AD441)+1,1))</f>
        <v/>
      </c>
      <c r="AF441" s="6">
        <f>IF(OR(原始資料!$A441="",31&gt;設定!$B$3,原始資料!AH441=""),"",IF(AND(原始資料!AG441&lt;&gt;"",原始資料!AH441=原始資料!AG441),N(AE441)+1,1))</f>
        <v/>
      </c>
      <c r="AG441" s="6">
        <f>IF(OR(原始資料!$A441="",32&gt;設定!$B$3,原始資料!AI441=""),"",IF(AND(原始資料!AH441&lt;&gt;"",原始資料!AI441=原始資料!AH441),N(AF441)+1,1))</f>
        <v/>
      </c>
      <c r="AH441" s="6">
        <f>IF(OR(原始資料!$A441="",33&gt;設定!$B$3,原始資料!AJ441=""),"",IF(AND(原始資料!AI441&lt;&gt;"",原始資料!AJ441=原始資料!AI441),N(AG441)+1,1))</f>
        <v/>
      </c>
      <c r="AI441" s="6">
        <f>IF(OR(原始資料!$A441="",34&gt;設定!$B$3,原始資料!AK441=""),"",IF(AND(原始資料!AJ441&lt;&gt;"",原始資料!AK441=原始資料!AJ441),N(AH441)+1,1))</f>
        <v/>
      </c>
      <c r="AJ441" s="6">
        <f>IF(OR(原始資料!$A441="",35&gt;設定!$B$3,原始資料!AL441=""),"",IF(AND(原始資料!AK441&lt;&gt;"",原始資料!AL441=原始資料!AK441),N(AI441)+1,1))</f>
        <v/>
      </c>
      <c r="AK441" s="6">
        <f>IF(OR(原始資料!$A441="",36&gt;設定!$B$3,原始資料!AM441=""),"",IF(AND(原始資料!AL441&lt;&gt;"",原始資料!AM441=原始資料!AL441),N(AJ441)+1,1))</f>
        <v/>
      </c>
      <c r="AL441" s="6">
        <f>IF(OR(原始資料!$A441="",37&gt;設定!$B$3,原始資料!AN441=""),"",IF(AND(原始資料!AM441&lt;&gt;"",原始資料!AN441=原始資料!AM441),N(AK441)+1,1))</f>
        <v/>
      </c>
      <c r="AM441" s="6">
        <f>IF(OR(原始資料!$A441="",38&gt;設定!$B$3,原始資料!AO441=""),"",IF(AND(原始資料!AN441&lt;&gt;"",原始資料!AO441=原始資料!AN441),N(AL441)+1,1))</f>
        <v/>
      </c>
      <c r="AN441" s="6">
        <f>IF(OR(原始資料!$A441="",39&gt;設定!$B$3,原始資料!AP441=""),"",IF(AND(原始資料!AO441&lt;&gt;"",原始資料!AP441=原始資料!AO441),N(AM441)+1,1))</f>
        <v/>
      </c>
      <c r="AO441" s="6">
        <f>IF(OR(原始資料!$A441="",40&gt;設定!$B$3,原始資料!AQ441=""),"",IF(AND(原始資料!AP441&lt;&gt;"",原始資料!AQ441=原始資料!AP441),N(AN441)+1,1))</f>
        <v/>
      </c>
      <c r="AP441" s="6">
        <f>IF(OR(原始資料!$A441="",41&gt;設定!$B$3,原始資料!AR441=""),"",IF(AND(原始資料!AQ441&lt;&gt;"",原始資料!AR441=原始資料!AQ441),N(AO441)+1,1))</f>
        <v/>
      </c>
      <c r="AQ441" s="6">
        <f>IF(OR(原始資料!$A441="",42&gt;設定!$B$3,原始資料!AS441=""),"",IF(AND(原始資料!AR441&lt;&gt;"",原始資料!AS441=原始資料!AR441),N(AP441)+1,1))</f>
        <v/>
      </c>
      <c r="AR441" s="6">
        <f>IF(OR(原始資料!$A441="",43&gt;設定!$B$3,原始資料!AT441=""),"",IF(AND(原始資料!AS441&lt;&gt;"",原始資料!AT441=原始資料!AS441),N(AQ441)+1,1))</f>
        <v/>
      </c>
      <c r="AS441" s="6">
        <f>IF(OR(原始資料!$A441="",44&gt;設定!$B$3,原始資料!AU441=""),"",IF(AND(原始資料!AT441&lt;&gt;"",原始資料!AU441=原始資料!AT441),N(AR441)+1,1))</f>
        <v/>
      </c>
      <c r="AT441" s="6">
        <f>IF(OR(原始資料!$A441="",45&gt;設定!$B$3,原始資料!AV441=""),"",IF(AND(原始資料!AU441&lt;&gt;"",原始資料!AV441=原始資料!AU441),N(AS441)+1,1))</f>
        <v/>
      </c>
      <c r="AU441" s="6">
        <f>IF(OR(原始資料!$A441="",46&gt;設定!$B$3,原始資料!AW441=""),"",IF(AND(原始資料!AV441&lt;&gt;"",原始資料!AW441=原始資料!AV441),N(AT441)+1,1))</f>
        <v/>
      </c>
      <c r="AV441" s="6">
        <f>IF(OR(原始資料!$A441="",47&gt;設定!$B$3,原始資料!AX441=""),"",IF(AND(原始資料!AW441&lt;&gt;"",原始資料!AX441=原始資料!AW441),N(AU441)+1,1))</f>
        <v/>
      </c>
      <c r="AW441" s="6">
        <f>IF(OR(原始資料!$A441="",48&gt;設定!$B$3,原始資料!AY441=""),"",IF(AND(原始資料!AX441&lt;&gt;"",原始資料!AY441=原始資料!AX441),N(AV441)+1,1))</f>
        <v/>
      </c>
      <c r="AX441" s="6">
        <f>IF(OR(原始資料!$A441="",49&gt;設定!$B$3,原始資料!AZ441=""),"",IF(AND(原始資料!AY441&lt;&gt;"",原始資料!AZ441=原始資料!AY441),N(AW441)+1,1))</f>
        <v/>
      </c>
      <c r="AY441" s="6">
        <f>IF(OR(原始資料!$A441="",50&gt;設定!$B$3,原始資料!BA441=""),"",IF(AND(原始資料!AZ441&lt;&gt;"",原始資料!BA441=原始資料!AZ441),N(AX441)+1,1))</f>
        <v/>
      </c>
      <c r="AZ441" s="6">
        <f>IF(OR(原始資料!$A441="",51&gt;設定!$B$3,原始資料!BB441=""),"",IF(AND(原始資料!BA441&lt;&gt;"",原始資料!BB441=原始資料!BA441),N(AY441)+1,1))</f>
        <v/>
      </c>
      <c r="BA441" s="6">
        <f>IF(OR(原始資料!$A441="",52&gt;設定!$B$3,原始資料!BC441=""),"",IF(AND(原始資料!BB441&lt;&gt;"",原始資料!BC441=原始資料!BB441),N(AZ441)+1,1))</f>
        <v/>
      </c>
      <c r="BB441" s="6">
        <f>IF(OR(原始資料!$A441="",53&gt;設定!$B$3,原始資料!BD441=""),"",IF(AND(原始資料!BC441&lt;&gt;"",原始資料!BD441=原始資料!BC441),N(BA441)+1,1))</f>
        <v/>
      </c>
      <c r="BC441" s="6">
        <f>IF(OR(原始資料!$A441="",54&gt;設定!$B$3,原始資料!BE441=""),"",IF(AND(原始資料!BD441&lt;&gt;"",原始資料!BE441=原始資料!BD441),N(BB441)+1,1))</f>
        <v/>
      </c>
      <c r="BD441" s="6">
        <f>IF(OR(原始資料!$A441="",55&gt;設定!$B$3,原始資料!BF441=""),"",IF(AND(原始資料!BE441&lt;&gt;"",原始資料!BF441=原始資料!BE441),N(BC441)+1,1))</f>
        <v/>
      </c>
      <c r="BE441" s="6">
        <f>IF(OR(原始資料!$A441="",56&gt;設定!$B$3,原始資料!BG441=""),"",IF(AND(原始資料!BF441&lt;&gt;"",原始資料!BG441=原始資料!BF441),N(BD441)+1,1))</f>
        <v/>
      </c>
      <c r="BF441" s="6">
        <f>IF(OR(原始資料!$A441="",57&gt;設定!$B$3,原始資料!BH441=""),"",IF(AND(原始資料!BG441&lt;&gt;"",原始資料!BH441=原始資料!BG441),N(BE441)+1,1))</f>
        <v/>
      </c>
      <c r="BG441" s="6">
        <f>IF(OR(原始資料!$A441="",58&gt;設定!$B$3,原始資料!BI441=""),"",IF(AND(原始資料!BH441&lt;&gt;"",原始資料!BI441=原始資料!BH441),N(BF441)+1,1))</f>
        <v/>
      </c>
      <c r="BH441" s="6">
        <f>IF(OR(原始資料!$A441="",59&gt;設定!$B$3,原始資料!BJ441=""),"",IF(AND(原始資料!BI441&lt;&gt;"",原始資料!BJ441=原始資料!BI441),N(BG441)+1,1))</f>
        <v/>
      </c>
      <c r="BI441" s="6">
        <f>IF(OR(原始資料!$A441="",60&gt;設定!$B$3,原始資料!BK441=""),"",IF(AND(原始資料!BJ441&lt;&gt;"",原始資料!BK441=原始資料!BJ441),N(BH441)+1,1))</f>
        <v/>
      </c>
    </row>
    <row r="442">
      <c r="A442" s="6">
        <f>IF(原始資料!$A442="","",原始資料!$A442)</f>
        <v/>
      </c>
      <c r="B442" s="6">
        <f>IF(OR(原始資料!$A442="",1&gt;設定!$B$3,原始資料!D442=""),"",1)</f>
        <v/>
      </c>
      <c r="C442" s="6">
        <f>IF(OR(原始資料!$A442="",2&gt;設定!$B$3,原始資料!E442=""),"",IF(AND(原始資料!D442&lt;&gt;"",原始資料!E442=原始資料!D442),N(B442)+1,1))</f>
        <v/>
      </c>
      <c r="D442" s="6">
        <f>IF(OR(原始資料!$A442="",3&gt;設定!$B$3,原始資料!F442=""),"",IF(AND(原始資料!E442&lt;&gt;"",原始資料!F442=原始資料!E442),N(C442)+1,1))</f>
        <v/>
      </c>
      <c r="E442" s="6">
        <f>IF(OR(原始資料!$A442="",4&gt;設定!$B$3,原始資料!G442=""),"",IF(AND(原始資料!F442&lt;&gt;"",原始資料!G442=原始資料!F442),N(D442)+1,1))</f>
        <v/>
      </c>
      <c r="F442" s="6">
        <f>IF(OR(原始資料!$A442="",5&gt;設定!$B$3,原始資料!H442=""),"",IF(AND(原始資料!G442&lt;&gt;"",原始資料!H442=原始資料!G442),N(E442)+1,1))</f>
        <v/>
      </c>
      <c r="G442" s="6">
        <f>IF(OR(原始資料!$A442="",6&gt;設定!$B$3,原始資料!I442=""),"",IF(AND(原始資料!H442&lt;&gt;"",原始資料!I442=原始資料!H442),N(F442)+1,1))</f>
        <v/>
      </c>
      <c r="H442" s="6">
        <f>IF(OR(原始資料!$A442="",7&gt;設定!$B$3,原始資料!J442=""),"",IF(AND(原始資料!I442&lt;&gt;"",原始資料!J442=原始資料!I442),N(G442)+1,1))</f>
        <v/>
      </c>
      <c r="I442" s="6">
        <f>IF(OR(原始資料!$A442="",8&gt;設定!$B$3,原始資料!K442=""),"",IF(AND(原始資料!J442&lt;&gt;"",原始資料!K442=原始資料!J442),N(H442)+1,1))</f>
        <v/>
      </c>
      <c r="J442" s="6">
        <f>IF(OR(原始資料!$A442="",9&gt;設定!$B$3,原始資料!L442=""),"",IF(AND(原始資料!K442&lt;&gt;"",原始資料!L442=原始資料!K442),N(I442)+1,1))</f>
        <v/>
      </c>
      <c r="K442" s="6">
        <f>IF(OR(原始資料!$A442="",10&gt;設定!$B$3,原始資料!M442=""),"",IF(AND(原始資料!L442&lt;&gt;"",原始資料!M442=原始資料!L442),N(J442)+1,1))</f>
        <v/>
      </c>
      <c r="L442" s="6">
        <f>IF(OR(原始資料!$A442="",11&gt;設定!$B$3,原始資料!N442=""),"",IF(AND(原始資料!M442&lt;&gt;"",原始資料!N442=原始資料!M442),N(K442)+1,1))</f>
        <v/>
      </c>
      <c r="M442" s="6">
        <f>IF(OR(原始資料!$A442="",12&gt;設定!$B$3,原始資料!O442=""),"",IF(AND(原始資料!N442&lt;&gt;"",原始資料!O442=原始資料!N442),N(L442)+1,1))</f>
        <v/>
      </c>
      <c r="N442" s="6">
        <f>IF(OR(原始資料!$A442="",13&gt;設定!$B$3,原始資料!P442=""),"",IF(AND(原始資料!O442&lt;&gt;"",原始資料!P442=原始資料!O442),N(M442)+1,1))</f>
        <v/>
      </c>
      <c r="O442" s="6">
        <f>IF(OR(原始資料!$A442="",14&gt;設定!$B$3,原始資料!Q442=""),"",IF(AND(原始資料!P442&lt;&gt;"",原始資料!Q442=原始資料!P442),N(N442)+1,1))</f>
        <v/>
      </c>
      <c r="P442" s="6">
        <f>IF(OR(原始資料!$A442="",15&gt;設定!$B$3,原始資料!R442=""),"",IF(AND(原始資料!Q442&lt;&gt;"",原始資料!R442=原始資料!Q442),N(O442)+1,1))</f>
        <v/>
      </c>
      <c r="Q442" s="6">
        <f>IF(OR(原始資料!$A442="",16&gt;設定!$B$3,原始資料!S442=""),"",IF(AND(原始資料!R442&lt;&gt;"",原始資料!S442=原始資料!R442),N(P442)+1,1))</f>
        <v/>
      </c>
      <c r="R442" s="6">
        <f>IF(OR(原始資料!$A442="",17&gt;設定!$B$3,原始資料!T442=""),"",IF(AND(原始資料!S442&lt;&gt;"",原始資料!T442=原始資料!S442),N(Q442)+1,1))</f>
        <v/>
      </c>
      <c r="S442" s="6">
        <f>IF(OR(原始資料!$A442="",18&gt;設定!$B$3,原始資料!U442=""),"",IF(AND(原始資料!T442&lt;&gt;"",原始資料!U442=原始資料!T442),N(R442)+1,1))</f>
        <v/>
      </c>
      <c r="T442" s="6">
        <f>IF(OR(原始資料!$A442="",19&gt;設定!$B$3,原始資料!V442=""),"",IF(AND(原始資料!U442&lt;&gt;"",原始資料!V442=原始資料!U442),N(S442)+1,1))</f>
        <v/>
      </c>
      <c r="U442" s="6">
        <f>IF(OR(原始資料!$A442="",20&gt;設定!$B$3,原始資料!W442=""),"",IF(AND(原始資料!V442&lt;&gt;"",原始資料!W442=原始資料!V442),N(T442)+1,1))</f>
        <v/>
      </c>
      <c r="V442" s="6">
        <f>IF(OR(原始資料!$A442="",21&gt;設定!$B$3,原始資料!X442=""),"",IF(AND(原始資料!W442&lt;&gt;"",原始資料!X442=原始資料!W442),N(U442)+1,1))</f>
        <v/>
      </c>
      <c r="W442" s="6">
        <f>IF(OR(原始資料!$A442="",22&gt;設定!$B$3,原始資料!Y442=""),"",IF(AND(原始資料!X442&lt;&gt;"",原始資料!Y442=原始資料!X442),N(V442)+1,1))</f>
        <v/>
      </c>
      <c r="X442" s="6">
        <f>IF(OR(原始資料!$A442="",23&gt;設定!$B$3,原始資料!Z442=""),"",IF(AND(原始資料!Y442&lt;&gt;"",原始資料!Z442=原始資料!Y442),N(W442)+1,1))</f>
        <v/>
      </c>
      <c r="Y442" s="6">
        <f>IF(OR(原始資料!$A442="",24&gt;設定!$B$3,原始資料!AA442=""),"",IF(AND(原始資料!Z442&lt;&gt;"",原始資料!AA442=原始資料!Z442),N(X442)+1,1))</f>
        <v/>
      </c>
      <c r="Z442" s="6">
        <f>IF(OR(原始資料!$A442="",25&gt;設定!$B$3,原始資料!AB442=""),"",IF(AND(原始資料!AA442&lt;&gt;"",原始資料!AB442=原始資料!AA442),N(Y442)+1,1))</f>
        <v/>
      </c>
      <c r="AA442" s="6">
        <f>IF(OR(原始資料!$A442="",26&gt;設定!$B$3,原始資料!AC442=""),"",IF(AND(原始資料!AB442&lt;&gt;"",原始資料!AC442=原始資料!AB442),N(Z442)+1,1))</f>
        <v/>
      </c>
      <c r="AB442" s="6">
        <f>IF(OR(原始資料!$A442="",27&gt;設定!$B$3,原始資料!AD442=""),"",IF(AND(原始資料!AC442&lt;&gt;"",原始資料!AD442=原始資料!AC442),N(AA442)+1,1))</f>
        <v/>
      </c>
      <c r="AC442" s="6">
        <f>IF(OR(原始資料!$A442="",28&gt;設定!$B$3,原始資料!AE442=""),"",IF(AND(原始資料!AD442&lt;&gt;"",原始資料!AE442=原始資料!AD442),N(AB442)+1,1))</f>
        <v/>
      </c>
      <c r="AD442" s="6">
        <f>IF(OR(原始資料!$A442="",29&gt;設定!$B$3,原始資料!AF442=""),"",IF(AND(原始資料!AE442&lt;&gt;"",原始資料!AF442=原始資料!AE442),N(AC442)+1,1))</f>
        <v/>
      </c>
      <c r="AE442" s="6">
        <f>IF(OR(原始資料!$A442="",30&gt;設定!$B$3,原始資料!AG442=""),"",IF(AND(原始資料!AF442&lt;&gt;"",原始資料!AG442=原始資料!AF442),N(AD442)+1,1))</f>
        <v/>
      </c>
      <c r="AF442" s="6">
        <f>IF(OR(原始資料!$A442="",31&gt;設定!$B$3,原始資料!AH442=""),"",IF(AND(原始資料!AG442&lt;&gt;"",原始資料!AH442=原始資料!AG442),N(AE442)+1,1))</f>
        <v/>
      </c>
      <c r="AG442" s="6">
        <f>IF(OR(原始資料!$A442="",32&gt;設定!$B$3,原始資料!AI442=""),"",IF(AND(原始資料!AH442&lt;&gt;"",原始資料!AI442=原始資料!AH442),N(AF442)+1,1))</f>
        <v/>
      </c>
      <c r="AH442" s="6">
        <f>IF(OR(原始資料!$A442="",33&gt;設定!$B$3,原始資料!AJ442=""),"",IF(AND(原始資料!AI442&lt;&gt;"",原始資料!AJ442=原始資料!AI442),N(AG442)+1,1))</f>
        <v/>
      </c>
      <c r="AI442" s="6">
        <f>IF(OR(原始資料!$A442="",34&gt;設定!$B$3,原始資料!AK442=""),"",IF(AND(原始資料!AJ442&lt;&gt;"",原始資料!AK442=原始資料!AJ442),N(AH442)+1,1))</f>
        <v/>
      </c>
      <c r="AJ442" s="6">
        <f>IF(OR(原始資料!$A442="",35&gt;設定!$B$3,原始資料!AL442=""),"",IF(AND(原始資料!AK442&lt;&gt;"",原始資料!AL442=原始資料!AK442),N(AI442)+1,1))</f>
        <v/>
      </c>
      <c r="AK442" s="6">
        <f>IF(OR(原始資料!$A442="",36&gt;設定!$B$3,原始資料!AM442=""),"",IF(AND(原始資料!AL442&lt;&gt;"",原始資料!AM442=原始資料!AL442),N(AJ442)+1,1))</f>
        <v/>
      </c>
      <c r="AL442" s="6">
        <f>IF(OR(原始資料!$A442="",37&gt;設定!$B$3,原始資料!AN442=""),"",IF(AND(原始資料!AM442&lt;&gt;"",原始資料!AN442=原始資料!AM442),N(AK442)+1,1))</f>
        <v/>
      </c>
      <c r="AM442" s="6">
        <f>IF(OR(原始資料!$A442="",38&gt;設定!$B$3,原始資料!AO442=""),"",IF(AND(原始資料!AN442&lt;&gt;"",原始資料!AO442=原始資料!AN442),N(AL442)+1,1))</f>
        <v/>
      </c>
      <c r="AN442" s="6">
        <f>IF(OR(原始資料!$A442="",39&gt;設定!$B$3,原始資料!AP442=""),"",IF(AND(原始資料!AO442&lt;&gt;"",原始資料!AP442=原始資料!AO442),N(AM442)+1,1))</f>
        <v/>
      </c>
      <c r="AO442" s="6">
        <f>IF(OR(原始資料!$A442="",40&gt;設定!$B$3,原始資料!AQ442=""),"",IF(AND(原始資料!AP442&lt;&gt;"",原始資料!AQ442=原始資料!AP442),N(AN442)+1,1))</f>
        <v/>
      </c>
      <c r="AP442" s="6">
        <f>IF(OR(原始資料!$A442="",41&gt;設定!$B$3,原始資料!AR442=""),"",IF(AND(原始資料!AQ442&lt;&gt;"",原始資料!AR442=原始資料!AQ442),N(AO442)+1,1))</f>
        <v/>
      </c>
      <c r="AQ442" s="6">
        <f>IF(OR(原始資料!$A442="",42&gt;設定!$B$3,原始資料!AS442=""),"",IF(AND(原始資料!AR442&lt;&gt;"",原始資料!AS442=原始資料!AR442),N(AP442)+1,1))</f>
        <v/>
      </c>
      <c r="AR442" s="6">
        <f>IF(OR(原始資料!$A442="",43&gt;設定!$B$3,原始資料!AT442=""),"",IF(AND(原始資料!AS442&lt;&gt;"",原始資料!AT442=原始資料!AS442),N(AQ442)+1,1))</f>
        <v/>
      </c>
      <c r="AS442" s="6">
        <f>IF(OR(原始資料!$A442="",44&gt;設定!$B$3,原始資料!AU442=""),"",IF(AND(原始資料!AT442&lt;&gt;"",原始資料!AU442=原始資料!AT442),N(AR442)+1,1))</f>
        <v/>
      </c>
      <c r="AT442" s="6">
        <f>IF(OR(原始資料!$A442="",45&gt;設定!$B$3,原始資料!AV442=""),"",IF(AND(原始資料!AU442&lt;&gt;"",原始資料!AV442=原始資料!AU442),N(AS442)+1,1))</f>
        <v/>
      </c>
      <c r="AU442" s="6">
        <f>IF(OR(原始資料!$A442="",46&gt;設定!$B$3,原始資料!AW442=""),"",IF(AND(原始資料!AV442&lt;&gt;"",原始資料!AW442=原始資料!AV442),N(AT442)+1,1))</f>
        <v/>
      </c>
      <c r="AV442" s="6">
        <f>IF(OR(原始資料!$A442="",47&gt;設定!$B$3,原始資料!AX442=""),"",IF(AND(原始資料!AW442&lt;&gt;"",原始資料!AX442=原始資料!AW442),N(AU442)+1,1))</f>
        <v/>
      </c>
      <c r="AW442" s="6">
        <f>IF(OR(原始資料!$A442="",48&gt;設定!$B$3,原始資料!AY442=""),"",IF(AND(原始資料!AX442&lt;&gt;"",原始資料!AY442=原始資料!AX442),N(AV442)+1,1))</f>
        <v/>
      </c>
      <c r="AX442" s="6">
        <f>IF(OR(原始資料!$A442="",49&gt;設定!$B$3,原始資料!AZ442=""),"",IF(AND(原始資料!AY442&lt;&gt;"",原始資料!AZ442=原始資料!AY442),N(AW442)+1,1))</f>
        <v/>
      </c>
      <c r="AY442" s="6">
        <f>IF(OR(原始資料!$A442="",50&gt;設定!$B$3,原始資料!BA442=""),"",IF(AND(原始資料!AZ442&lt;&gt;"",原始資料!BA442=原始資料!AZ442),N(AX442)+1,1))</f>
        <v/>
      </c>
      <c r="AZ442" s="6">
        <f>IF(OR(原始資料!$A442="",51&gt;設定!$B$3,原始資料!BB442=""),"",IF(AND(原始資料!BA442&lt;&gt;"",原始資料!BB442=原始資料!BA442),N(AY442)+1,1))</f>
        <v/>
      </c>
      <c r="BA442" s="6">
        <f>IF(OR(原始資料!$A442="",52&gt;設定!$B$3,原始資料!BC442=""),"",IF(AND(原始資料!BB442&lt;&gt;"",原始資料!BC442=原始資料!BB442),N(AZ442)+1,1))</f>
        <v/>
      </c>
      <c r="BB442" s="6">
        <f>IF(OR(原始資料!$A442="",53&gt;設定!$B$3,原始資料!BD442=""),"",IF(AND(原始資料!BC442&lt;&gt;"",原始資料!BD442=原始資料!BC442),N(BA442)+1,1))</f>
        <v/>
      </c>
      <c r="BC442" s="6">
        <f>IF(OR(原始資料!$A442="",54&gt;設定!$B$3,原始資料!BE442=""),"",IF(AND(原始資料!BD442&lt;&gt;"",原始資料!BE442=原始資料!BD442),N(BB442)+1,1))</f>
        <v/>
      </c>
      <c r="BD442" s="6">
        <f>IF(OR(原始資料!$A442="",55&gt;設定!$B$3,原始資料!BF442=""),"",IF(AND(原始資料!BE442&lt;&gt;"",原始資料!BF442=原始資料!BE442),N(BC442)+1,1))</f>
        <v/>
      </c>
      <c r="BE442" s="6">
        <f>IF(OR(原始資料!$A442="",56&gt;設定!$B$3,原始資料!BG442=""),"",IF(AND(原始資料!BF442&lt;&gt;"",原始資料!BG442=原始資料!BF442),N(BD442)+1,1))</f>
        <v/>
      </c>
      <c r="BF442" s="6">
        <f>IF(OR(原始資料!$A442="",57&gt;設定!$B$3,原始資料!BH442=""),"",IF(AND(原始資料!BG442&lt;&gt;"",原始資料!BH442=原始資料!BG442),N(BE442)+1,1))</f>
        <v/>
      </c>
      <c r="BG442" s="6">
        <f>IF(OR(原始資料!$A442="",58&gt;設定!$B$3,原始資料!BI442=""),"",IF(AND(原始資料!BH442&lt;&gt;"",原始資料!BI442=原始資料!BH442),N(BF442)+1,1))</f>
        <v/>
      </c>
      <c r="BH442" s="6">
        <f>IF(OR(原始資料!$A442="",59&gt;設定!$B$3,原始資料!BJ442=""),"",IF(AND(原始資料!BI442&lt;&gt;"",原始資料!BJ442=原始資料!BI442),N(BG442)+1,1))</f>
        <v/>
      </c>
      <c r="BI442" s="6">
        <f>IF(OR(原始資料!$A442="",60&gt;設定!$B$3,原始資料!BK442=""),"",IF(AND(原始資料!BJ442&lt;&gt;"",原始資料!BK442=原始資料!BJ442),N(BH442)+1,1))</f>
        <v/>
      </c>
    </row>
    <row r="443">
      <c r="A443" s="6">
        <f>IF(原始資料!$A443="","",原始資料!$A443)</f>
        <v/>
      </c>
      <c r="B443" s="6">
        <f>IF(OR(原始資料!$A443="",1&gt;設定!$B$3,原始資料!D443=""),"",1)</f>
        <v/>
      </c>
      <c r="C443" s="6">
        <f>IF(OR(原始資料!$A443="",2&gt;設定!$B$3,原始資料!E443=""),"",IF(AND(原始資料!D443&lt;&gt;"",原始資料!E443=原始資料!D443),N(B443)+1,1))</f>
        <v/>
      </c>
      <c r="D443" s="6">
        <f>IF(OR(原始資料!$A443="",3&gt;設定!$B$3,原始資料!F443=""),"",IF(AND(原始資料!E443&lt;&gt;"",原始資料!F443=原始資料!E443),N(C443)+1,1))</f>
        <v/>
      </c>
      <c r="E443" s="6">
        <f>IF(OR(原始資料!$A443="",4&gt;設定!$B$3,原始資料!G443=""),"",IF(AND(原始資料!F443&lt;&gt;"",原始資料!G443=原始資料!F443),N(D443)+1,1))</f>
        <v/>
      </c>
      <c r="F443" s="6">
        <f>IF(OR(原始資料!$A443="",5&gt;設定!$B$3,原始資料!H443=""),"",IF(AND(原始資料!G443&lt;&gt;"",原始資料!H443=原始資料!G443),N(E443)+1,1))</f>
        <v/>
      </c>
      <c r="G443" s="6">
        <f>IF(OR(原始資料!$A443="",6&gt;設定!$B$3,原始資料!I443=""),"",IF(AND(原始資料!H443&lt;&gt;"",原始資料!I443=原始資料!H443),N(F443)+1,1))</f>
        <v/>
      </c>
      <c r="H443" s="6">
        <f>IF(OR(原始資料!$A443="",7&gt;設定!$B$3,原始資料!J443=""),"",IF(AND(原始資料!I443&lt;&gt;"",原始資料!J443=原始資料!I443),N(G443)+1,1))</f>
        <v/>
      </c>
      <c r="I443" s="6">
        <f>IF(OR(原始資料!$A443="",8&gt;設定!$B$3,原始資料!K443=""),"",IF(AND(原始資料!J443&lt;&gt;"",原始資料!K443=原始資料!J443),N(H443)+1,1))</f>
        <v/>
      </c>
      <c r="J443" s="6">
        <f>IF(OR(原始資料!$A443="",9&gt;設定!$B$3,原始資料!L443=""),"",IF(AND(原始資料!K443&lt;&gt;"",原始資料!L443=原始資料!K443),N(I443)+1,1))</f>
        <v/>
      </c>
      <c r="K443" s="6">
        <f>IF(OR(原始資料!$A443="",10&gt;設定!$B$3,原始資料!M443=""),"",IF(AND(原始資料!L443&lt;&gt;"",原始資料!M443=原始資料!L443),N(J443)+1,1))</f>
        <v/>
      </c>
      <c r="L443" s="6">
        <f>IF(OR(原始資料!$A443="",11&gt;設定!$B$3,原始資料!N443=""),"",IF(AND(原始資料!M443&lt;&gt;"",原始資料!N443=原始資料!M443),N(K443)+1,1))</f>
        <v/>
      </c>
      <c r="M443" s="6">
        <f>IF(OR(原始資料!$A443="",12&gt;設定!$B$3,原始資料!O443=""),"",IF(AND(原始資料!N443&lt;&gt;"",原始資料!O443=原始資料!N443),N(L443)+1,1))</f>
        <v/>
      </c>
      <c r="N443" s="6">
        <f>IF(OR(原始資料!$A443="",13&gt;設定!$B$3,原始資料!P443=""),"",IF(AND(原始資料!O443&lt;&gt;"",原始資料!P443=原始資料!O443),N(M443)+1,1))</f>
        <v/>
      </c>
      <c r="O443" s="6">
        <f>IF(OR(原始資料!$A443="",14&gt;設定!$B$3,原始資料!Q443=""),"",IF(AND(原始資料!P443&lt;&gt;"",原始資料!Q443=原始資料!P443),N(N443)+1,1))</f>
        <v/>
      </c>
      <c r="P443" s="6">
        <f>IF(OR(原始資料!$A443="",15&gt;設定!$B$3,原始資料!R443=""),"",IF(AND(原始資料!Q443&lt;&gt;"",原始資料!R443=原始資料!Q443),N(O443)+1,1))</f>
        <v/>
      </c>
      <c r="Q443" s="6">
        <f>IF(OR(原始資料!$A443="",16&gt;設定!$B$3,原始資料!S443=""),"",IF(AND(原始資料!R443&lt;&gt;"",原始資料!S443=原始資料!R443),N(P443)+1,1))</f>
        <v/>
      </c>
      <c r="R443" s="6">
        <f>IF(OR(原始資料!$A443="",17&gt;設定!$B$3,原始資料!T443=""),"",IF(AND(原始資料!S443&lt;&gt;"",原始資料!T443=原始資料!S443),N(Q443)+1,1))</f>
        <v/>
      </c>
      <c r="S443" s="6">
        <f>IF(OR(原始資料!$A443="",18&gt;設定!$B$3,原始資料!U443=""),"",IF(AND(原始資料!T443&lt;&gt;"",原始資料!U443=原始資料!T443),N(R443)+1,1))</f>
        <v/>
      </c>
      <c r="T443" s="6">
        <f>IF(OR(原始資料!$A443="",19&gt;設定!$B$3,原始資料!V443=""),"",IF(AND(原始資料!U443&lt;&gt;"",原始資料!V443=原始資料!U443),N(S443)+1,1))</f>
        <v/>
      </c>
      <c r="U443" s="6">
        <f>IF(OR(原始資料!$A443="",20&gt;設定!$B$3,原始資料!W443=""),"",IF(AND(原始資料!V443&lt;&gt;"",原始資料!W443=原始資料!V443),N(T443)+1,1))</f>
        <v/>
      </c>
      <c r="V443" s="6">
        <f>IF(OR(原始資料!$A443="",21&gt;設定!$B$3,原始資料!X443=""),"",IF(AND(原始資料!W443&lt;&gt;"",原始資料!X443=原始資料!W443),N(U443)+1,1))</f>
        <v/>
      </c>
      <c r="W443" s="6">
        <f>IF(OR(原始資料!$A443="",22&gt;設定!$B$3,原始資料!Y443=""),"",IF(AND(原始資料!X443&lt;&gt;"",原始資料!Y443=原始資料!X443),N(V443)+1,1))</f>
        <v/>
      </c>
      <c r="X443" s="6">
        <f>IF(OR(原始資料!$A443="",23&gt;設定!$B$3,原始資料!Z443=""),"",IF(AND(原始資料!Y443&lt;&gt;"",原始資料!Z443=原始資料!Y443),N(W443)+1,1))</f>
        <v/>
      </c>
      <c r="Y443" s="6">
        <f>IF(OR(原始資料!$A443="",24&gt;設定!$B$3,原始資料!AA443=""),"",IF(AND(原始資料!Z443&lt;&gt;"",原始資料!AA443=原始資料!Z443),N(X443)+1,1))</f>
        <v/>
      </c>
      <c r="Z443" s="6">
        <f>IF(OR(原始資料!$A443="",25&gt;設定!$B$3,原始資料!AB443=""),"",IF(AND(原始資料!AA443&lt;&gt;"",原始資料!AB443=原始資料!AA443),N(Y443)+1,1))</f>
        <v/>
      </c>
      <c r="AA443" s="6">
        <f>IF(OR(原始資料!$A443="",26&gt;設定!$B$3,原始資料!AC443=""),"",IF(AND(原始資料!AB443&lt;&gt;"",原始資料!AC443=原始資料!AB443),N(Z443)+1,1))</f>
        <v/>
      </c>
      <c r="AB443" s="6">
        <f>IF(OR(原始資料!$A443="",27&gt;設定!$B$3,原始資料!AD443=""),"",IF(AND(原始資料!AC443&lt;&gt;"",原始資料!AD443=原始資料!AC443),N(AA443)+1,1))</f>
        <v/>
      </c>
      <c r="AC443" s="6">
        <f>IF(OR(原始資料!$A443="",28&gt;設定!$B$3,原始資料!AE443=""),"",IF(AND(原始資料!AD443&lt;&gt;"",原始資料!AE443=原始資料!AD443),N(AB443)+1,1))</f>
        <v/>
      </c>
      <c r="AD443" s="6">
        <f>IF(OR(原始資料!$A443="",29&gt;設定!$B$3,原始資料!AF443=""),"",IF(AND(原始資料!AE443&lt;&gt;"",原始資料!AF443=原始資料!AE443),N(AC443)+1,1))</f>
        <v/>
      </c>
      <c r="AE443" s="6">
        <f>IF(OR(原始資料!$A443="",30&gt;設定!$B$3,原始資料!AG443=""),"",IF(AND(原始資料!AF443&lt;&gt;"",原始資料!AG443=原始資料!AF443),N(AD443)+1,1))</f>
        <v/>
      </c>
      <c r="AF443" s="6">
        <f>IF(OR(原始資料!$A443="",31&gt;設定!$B$3,原始資料!AH443=""),"",IF(AND(原始資料!AG443&lt;&gt;"",原始資料!AH443=原始資料!AG443),N(AE443)+1,1))</f>
        <v/>
      </c>
      <c r="AG443" s="6">
        <f>IF(OR(原始資料!$A443="",32&gt;設定!$B$3,原始資料!AI443=""),"",IF(AND(原始資料!AH443&lt;&gt;"",原始資料!AI443=原始資料!AH443),N(AF443)+1,1))</f>
        <v/>
      </c>
      <c r="AH443" s="6">
        <f>IF(OR(原始資料!$A443="",33&gt;設定!$B$3,原始資料!AJ443=""),"",IF(AND(原始資料!AI443&lt;&gt;"",原始資料!AJ443=原始資料!AI443),N(AG443)+1,1))</f>
        <v/>
      </c>
      <c r="AI443" s="6">
        <f>IF(OR(原始資料!$A443="",34&gt;設定!$B$3,原始資料!AK443=""),"",IF(AND(原始資料!AJ443&lt;&gt;"",原始資料!AK443=原始資料!AJ443),N(AH443)+1,1))</f>
        <v/>
      </c>
      <c r="AJ443" s="6">
        <f>IF(OR(原始資料!$A443="",35&gt;設定!$B$3,原始資料!AL443=""),"",IF(AND(原始資料!AK443&lt;&gt;"",原始資料!AL443=原始資料!AK443),N(AI443)+1,1))</f>
        <v/>
      </c>
      <c r="AK443" s="6">
        <f>IF(OR(原始資料!$A443="",36&gt;設定!$B$3,原始資料!AM443=""),"",IF(AND(原始資料!AL443&lt;&gt;"",原始資料!AM443=原始資料!AL443),N(AJ443)+1,1))</f>
        <v/>
      </c>
      <c r="AL443" s="6">
        <f>IF(OR(原始資料!$A443="",37&gt;設定!$B$3,原始資料!AN443=""),"",IF(AND(原始資料!AM443&lt;&gt;"",原始資料!AN443=原始資料!AM443),N(AK443)+1,1))</f>
        <v/>
      </c>
      <c r="AM443" s="6">
        <f>IF(OR(原始資料!$A443="",38&gt;設定!$B$3,原始資料!AO443=""),"",IF(AND(原始資料!AN443&lt;&gt;"",原始資料!AO443=原始資料!AN443),N(AL443)+1,1))</f>
        <v/>
      </c>
      <c r="AN443" s="6">
        <f>IF(OR(原始資料!$A443="",39&gt;設定!$B$3,原始資料!AP443=""),"",IF(AND(原始資料!AO443&lt;&gt;"",原始資料!AP443=原始資料!AO443),N(AM443)+1,1))</f>
        <v/>
      </c>
      <c r="AO443" s="6">
        <f>IF(OR(原始資料!$A443="",40&gt;設定!$B$3,原始資料!AQ443=""),"",IF(AND(原始資料!AP443&lt;&gt;"",原始資料!AQ443=原始資料!AP443),N(AN443)+1,1))</f>
        <v/>
      </c>
      <c r="AP443" s="6">
        <f>IF(OR(原始資料!$A443="",41&gt;設定!$B$3,原始資料!AR443=""),"",IF(AND(原始資料!AQ443&lt;&gt;"",原始資料!AR443=原始資料!AQ443),N(AO443)+1,1))</f>
        <v/>
      </c>
      <c r="AQ443" s="6">
        <f>IF(OR(原始資料!$A443="",42&gt;設定!$B$3,原始資料!AS443=""),"",IF(AND(原始資料!AR443&lt;&gt;"",原始資料!AS443=原始資料!AR443),N(AP443)+1,1))</f>
        <v/>
      </c>
      <c r="AR443" s="6">
        <f>IF(OR(原始資料!$A443="",43&gt;設定!$B$3,原始資料!AT443=""),"",IF(AND(原始資料!AS443&lt;&gt;"",原始資料!AT443=原始資料!AS443),N(AQ443)+1,1))</f>
        <v/>
      </c>
      <c r="AS443" s="6">
        <f>IF(OR(原始資料!$A443="",44&gt;設定!$B$3,原始資料!AU443=""),"",IF(AND(原始資料!AT443&lt;&gt;"",原始資料!AU443=原始資料!AT443),N(AR443)+1,1))</f>
        <v/>
      </c>
      <c r="AT443" s="6">
        <f>IF(OR(原始資料!$A443="",45&gt;設定!$B$3,原始資料!AV443=""),"",IF(AND(原始資料!AU443&lt;&gt;"",原始資料!AV443=原始資料!AU443),N(AS443)+1,1))</f>
        <v/>
      </c>
      <c r="AU443" s="6">
        <f>IF(OR(原始資料!$A443="",46&gt;設定!$B$3,原始資料!AW443=""),"",IF(AND(原始資料!AV443&lt;&gt;"",原始資料!AW443=原始資料!AV443),N(AT443)+1,1))</f>
        <v/>
      </c>
      <c r="AV443" s="6">
        <f>IF(OR(原始資料!$A443="",47&gt;設定!$B$3,原始資料!AX443=""),"",IF(AND(原始資料!AW443&lt;&gt;"",原始資料!AX443=原始資料!AW443),N(AU443)+1,1))</f>
        <v/>
      </c>
      <c r="AW443" s="6">
        <f>IF(OR(原始資料!$A443="",48&gt;設定!$B$3,原始資料!AY443=""),"",IF(AND(原始資料!AX443&lt;&gt;"",原始資料!AY443=原始資料!AX443),N(AV443)+1,1))</f>
        <v/>
      </c>
      <c r="AX443" s="6">
        <f>IF(OR(原始資料!$A443="",49&gt;設定!$B$3,原始資料!AZ443=""),"",IF(AND(原始資料!AY443&lt;&gt;"",原始資料!AZ443=原始資料!AY443),N(AW443)+1,1))</f>
        <v/>
      </c>
      <c r="AY443" s="6">
        <f>IF(OR(原始資料!$A443="",50&gt;設定!$B$3,原始資料!BA443=""),"",IF(AND(原始資料!AZ443&lt;&gt;"",原始資料!BA443=原始資料!AZ443),N(AX443)+1,1))</f>
        <v/>
      </c>
      <c r="AZ443" s="6">
        <f>IF(OR(原始資料!$A443="",51&gt;設定!$B$3,原始資料!BB443=""),"",IF(AND(原始資料!BA443&lt;&gt;"",原始資料!BB443=原始資料!BA443),N(AY443)+1,1))</f>
        <v/>
      </c>
      <c r="BA443" s="6">
        <f>IF(OR(原始資料!$A443="",52&gt;設定!$B$3,原始資料!BC443=""),"",IF(AND(原始資料!BB443&lt;&gt;"",原始資料!BC443=原始資料!BB443),N(AZ443)+1,1))</f>
        <v/>
      </c>
      <c r="BB443" s="6">
        <f>IF(OR(原始資料!$A443="",53&gt;設定!$B$3,原始資料!BD443=""),"",IF(AND(原始資料!BC443&lt;&gt;"",原始資料!BD443=原始資料!BC443),N(BA443)+1,1))</f>
        <v/>
      </c>
      <c r="BC443" s="6">
        <f>IF(OR(原始資料!$A443="",54&gt;設定!$B$3,原始資料!BE443=""),"",IF(AND(原始資料!BD443&lt;&gt;"",原始資料!BE443=原始資料!BD443),N(BB443)+1,1))</f>
        <v/>
      </c>
      <c r="BD443" s="6">
        <f>IF(OR(原始資料!$A443="",55&gt;設定!$B$3,原始資料!BF443=""),"",IF(AND(原始資料!BE443&lt;&gt;"",原始資料!BF443=原始資料!BE443),N(BC443)+1,1))</f>
        <v/>
      </c>
      <c r="BE443" s="6">
        <f>IF(OR(原始資料!$A443="",56&gt;設定!$B$3,原始資料!BG443=""),"",IF(AND(原始資料!BF443&lt;&gt;"",原始資料!BG443=原始資料!BF443),N(BD443)+1,1))</f>
        <v/>
      </c>
      <c r="BF443" s="6">
        <f>IF(OR(原始資料!$A443="",57&gt;設定!$B$3,原始資料!BH443=""),"",IF(AND(原始資料!BG443&lt;&gt;"",原始資料!BH443=原始資料!BG443),N(BE443)+1,1))</f>
        <v/>
      </c>
      <c r="BG443" s="6">
        <f>IF(OR(原始資料!$A443="",58&gt;設定!$B$3,原始資料!BI443=""),"",IF(AND(原始資料!BH443&lt;&gt;"",原始資料!BI443=原始資料!BH443),N(BF443)+1,1))</f>
        <v/>
      </c>
      <c r="BH443" s="6">
        <f>IF(OR(原始資料!$A443="",59&gt;設定!$B$3,原始資料!BJ443=""),"",IF(AND(原始資料!BI443&lt;&gt;"",原始資料!BJ443=原始資料!BI443),N(BG443)+1,1))</f>
        <v/>
      </c>
      <c r="BI443" s="6">
        <f>IF(OR(原始資料!$A443="",60&gt;設定!$B$3,原始資料!BK443=""),"",IF(AND(原始資料!BJ443&lt;&gt;"",原始資料!BK443=原始資料!BJ443),N(BH443)+1,1))</f>
        <v/>
      </c>
    </row>
    <row r="444">
      <c r="A444" s="6">
        <f>IF(原始資料!$A444="","",原始資料!$A444)</f>
        <v/>
      </c>
      <c r="B444" s="6">
        <f>IF(OR(原始資料!$A444="",1&gt;設定!$B$3,原始資料!D444=""),"",1)</f>
        <v/>
      </c>
      <c r="C444" s="6">
        <f>IF(OR(原始資料!$A444="",2&gt;設定!$B$3,原始資料!E444=""),"",IF(AND(原始資料!D444&lt;&gt;"",原始資料!E444=原始資料!D444),N(B444)+1,1))</f>
        <v/>
      </c>
      <c r="D444" s="6">
        <f>IF(OR(原始資料!$A444="",3&gt;設定!$B$3,原始資料!F444=""),"",IF(AND(原始資料!E444&lt;&gt;"",原始資料!F444=原始資料!E444),N(C444)+1,1))</f>
        <v/>
      </c>
      <c r="E444" s="6">
        <f>IF(OR(原始資料!$A444="",4&gt;設定!$B$3,原始資料!G444=""),"",IF(AND(原始資料!F444&lt;&gt;"",原始資料!G444=原始資料!F444),N(D444)+1,1))</f>
        <v/>
      </c>
      <c r="F444" s="6">
        <f>IF(OR(原始資料!$A444="",5&gt;設定!$B$3,原始資料!H444=""),"",IF(AND(原始資料!G444&lt;&gt;"",原始資料!H444=原始資料!G444),N(E444)+1,1))</f>
        <v/>
      </c>
      <c r="G444" s="6">
        <f>IF(OR(原始資料!$A444="",6&gt;設定!$B$3,原始資料!I444=""),"",IF(AND(原始資料!H444&lt;&gt;"",原始資料!I444=原始資料!H444),N(F444)+1,1))</f>
        <v/>
      </c>
      <c r="H444" s="6">
        <f>IF(OR(原始資料!$A444="",7&gt;設定!$B$3,原始資料!J444=""),"",IF(AND(原始資料!I444&lt;&gt;"",原始資料!J444=原始資料!I444),N(G444)+1,1))</f>
        <v/>
      </c>
      <c r="I444" s="6">
        <f>IF(OR(原始資料!$A444="",8&gt;設定!$B$3,原始資料!K444=""),"",IF(AND(原始資料!J444&lt;&gt;"",原始資料!K444=原始資料!J444),N(H444)+1,1))</f>
        <v/>
      </c>
      <c r="J444" s="6">
        <f>IF(OR(原始資料!$A444="",9&gt;設定!$B$3,原始資料!L444=""),"",IF(AND(原始資料!K444&lt;&gt;"",原始資料!L444=原始資料!K444),N(I444)+1,1))</f>
        <v/>
      </c>
      <c r="K444" s="6">
        <f>IF(OR(原始資料!$A444="",10&gt;設定!$B$3,原始資料!M444=""),"",IF(AND(原始資料!L444&lt;&gt;"",原始資料!M444=原始資料!L444),N(J444)+1,1))</f>
        <v/>
      </c>
      <c r="L444" s="6">
        <f>IF(OR(原始資料!$A444="",11&gt;設定!$B$3,原始資料!N444=""),"",IF(AND(原始資料!M444&lt;&gt;"",原始資料!N444=原始資料!M444),N(K444)+1,1))</f>
        <v/>
      </c>
      <c r="M444" s="6">
        <f>IF(OR(原始資料!$A444="",12&gt;設定!$B$3,原始資料!O444=""),"",IF(AND(原始資料!N444&lt;&gt;"",原始資料!O444=原始資料!N444),N(L444)+1,1))</f>
        <v/>
      </c>
      <c r="N444" s="6">
        <f>IF(OR(原始資料!$A444="",13&gt;設定!$B$3,原始資料!P444=""),"",IF(AND(原始資料!O444&lt;&gt;"",原始資料!P444=原始資料!O444),N(M444)+1,1))</f>
        <v/>
      </c>
      <c r="O444" s="6">
        <f>IF(OR(原始資料!$A444="",14&gt;設定!$B$3,原始資料!Q444=""),"",IF(AND(原始資料!P444&lt;&gt;"",原始資料!Q444=原始資料!P444),N(N444)+1,1))</f>
        <v/>
      </c>
      <c r="P444" s="6">
        <f>IF(OR(原始資料!$A444="",15&gt;設定!$B$3,原始資料!R444=""),"",IF(AND(原始資料!Q444&lt;&gt;"",原始資料!R444=原始資料!Q444),N(O444)+1,1))</f>
        <v/>
      </c>
      <c r="Q444" s="6">
        <f>IF(OR(原始資料!$A444="",16&gt;設定!$B$3,原始資料!S444=""),"",IF(AND(原始資料!R444&lt;&gt;"",原始資料!S444=原始資料!R444),N(P444)+1,1))</f>
        <v/>
      </c>
      <c r="R444" s="6">
        <f>IF(OR(原始資料!$A444="",17&gt;設定!$B$3,原始資料!T444=""),"",IF(AND(原始資料!S444&lt;&gt;"",原始資料!T444=原始資料!S444),N(Q444)+1,1))</f>
        <v/>
      </c>
      <c r="S444" s="6">
        <f>IF(OR(原始資料!$A444="",18&gt;設定!$B$3,原始資料!U444=""),"",IF(AND(原始資料!T444&lt;&gt;"",原始資料!U444=原始資料!T444),N(R444)+1,1))</f>
        <v/>
      </c>
      <c r="T444" s="6">
        <f>IF(OR(原始資料!$A444="",19&gt;設定!$B$3,原始資料!V444=""),"",IF(AND(原始資料!U444&lt;&gt;"",原始資料!V444=原始資料!U444),N(S444)+1,1))</f>
        <v/>
      </c>
      <c r="U444" s="6">
        <f>IF(OR(原始資料!$A444="",20&gt;設定!$B$3,原始資料!W444=""),"",IF(AND(原始資料!V444&lt;&gt;"",原始資料!W444=原始資料!V444),N(T444)+1,1))</f>
        <v/>
      </c>
      <c r="V444" s="6">
        <f>IF(OR(原始資料!$A444="",21&gt;設定!$B$3,原始資料!X444=""),"",IF(AND(原始資料!W444&lt;&gt;"",原始資料!X444=原始資料!W444),N(U444)+1,1))</f>
        <v/>
      </c>
      <c r="W444" s="6">
        <f>IF(OR(原始資料!$A444="",22&gt;設定!$B$3,原始資料!Y444=""),"",IF(AND(原始資料!X444&lt;&gt;"",原始資料!Y444=原始資料!X444),N(V444)+1,1))</f>
        <v/>
      </c>
      <c r="X444" s="6">
        <f>IF(OR(原始資料!$A444="",23&gt;設定!$B$3,原始資料!Z444=""),"",IF(AND(原始資料!Y444&lt;&gt;"",原始資料!Z444=原始資料!Y444),N(W444)+1,1))</f>
        <v/>
      </c>
      <c r="Y444" s="6">
        <f>IF(OR(原始資料!$A444="",24&gt;設定!$B$3,原始資料!AA444=""),"",IF(AND(原始資料!Z444&lt;&gt;"",原始資料!AA444=原始資料!Z444),N(X444)+1,1))</f>
        <v/>
      </c>
      <c r="Z444" s="6">
        <f>IF(OR(原始資料!$A444="",25&gt;設定!$B$3,原始資料!AB444=""),"",IF(AND(原始資料!AA444&lt;&gt;"",原始資料!AB444=原始資料!AA444),N(Y444)+1,1))</f>
        <v/>
      </c>
      <c r="AA444" s="6">
        <f>IF(OR(原始資料!$A444="",26&gt;設定!$B$3,原始資料!AC444=""),"",IF(AND(原始資料!AB444&lt;&gt;"",原始資料!AC444=原始資料!AB444),N(Z444)+1,1))</f>
        <v/>
      </c>
      <c r="AB444" s="6">
        <f>IF(OR(原始資料!$A444="",27&gt;設定!$B$3,原始資料!AD444=""),"",IF(AND(原始資料!AC444&lt;&gt;"",原始資料!AD444=原始資料!AC444),N(AA444)+1,1))</f>
        <v/>
      </c>
      <c r="AC444" s="6">
        <f>IF(OR(原始資料!$A444="",28&gt;設定!$B$3,原始資料!AE444=""),"",IF(AND(原始資料!AD444&lt;&gt;"",原始資料!AE444=原始資料!AD444),N(AB444)+1,1))</f>
        <v/>
      </c>
      <c r="AD444" s="6">
        <f>IF(OR(原始資料!$A444="",29&gt;設定!$B$3,原始資料!AF444=""),"",IF(AND(原始資料!AE444&lt;&gt;"",原始資料!AF444=原始資料!AE444),N(AC444)+1,1))</f>
        <v/>
      </c>
      <c r="AE444" s="6">
        <f>IF(OR(原始資料!$A444="",30&gt;設定!$B$3,原始資料!AG444=""),"",IF(AND(原始資料!AF444&lt;&gt;"",原始資料!AG444=原始資料!AF444),N(AD444)+1,1))</f>
        <v/>
      </c>
      <c r="AF444" s="6">
        <f>IF(OR(原始資料!$A444="",31&gt;設定!$B$3,原始資料!AH444=""),"",IF(AND(原始資料!AG444&lt;&gt;"",原始資料!AH444=原始資料!AG444),N(AE444)+1,1))</f>
        <v/>
      </c>
      <c r="AG444" s="6">
        <f>IF(OR(原始資料!$A444="",32&gt;設定!$B$3,原始資料!AI444=""),"",IF(AND(原始資料!AH444&lt;&gt;"",原始資料!AI444=原始資料!AH444),N(AF444)+1,1))</f>
        <v/>
      </c>
      <c r="AH444" s="6">
        <f>IF(OR(原始資料!$A444="",33&gt;設定!$B$3,原始資料!AJ444=""),"",IF(AND(原始資料!AI444&lt;&gt;"",原始資料!AJ444=原始資料!AI444),N(AG444)+1,1))</f>
        <v/>
      </c>
      <c r="AI444" s="6">
        <f>IF(OR(原始資料!$A444="",34&gt;設定!$B$3,原始資料!AK444=""),"",IF(AND(原始資料!AJ444&lt;&gt;"",原始資料!AK444=原始資料!AJ444),N(AH444)+1,1))</f>
        <v/>
      </c>
      <c r="AJ444" s="6">
        <f>IF(OR(原始資料!$A444="",35&gt;設定!$B$3,原始資料!AL444=""),"",IF(AND(原始資料!AK444&lt;&gt;"",原始資料!AL444=原始資料!AK444),N(AI444)+1,1))</f>
        <v/>
      </c>
      <c r="AK444" s="6">
        <f>IF(OR(原始資料!$A444="",36&gt;設定!$B$3,原始資料!AM444=""),"",IF(AND(原始資料!AL444&lt;&gt;"",原始資料!AM444=原始資料!AL444),N(AJ444)+1,1))</f>
        <v/>
      </c>
      <c r="AL444" s="6">
        <f>IF(OR(原始資料!$A444="",37&gt;設定!$B$3,原始資料!AN444=""),"",IF(AND(原始資料!AM444&lt;&gt;"",原始資料!AN444=原始資料!AM444),N(AK444)+1,1))</f>
        <v/>
      </c>
      <c r="AM444" s="6">
        <f>IF(OR(原始資料!$A444="",38&gt;設定!$B$3,原始資料!AO444=""),"",IF(AND(原始資料!AN444&lt;&gt;"",原始資料!AO444=原始資料!AN444),N(AL444)+1,1))</f>
        <v/>
      </c>
      <c r="AN444" s="6">
        <f>IF(OR(原始資料!$A444="",39&gt;設定!$B$3,原始資料!AP444=""),"",IF(AND(原始資料!AO444&lt;&gt;"",原始資料!AP444=原始資料!AO444),N(AM444)+1,1))</f>
        <v/>
      </c>
      <c r="AO444" s="6">
        <f>IF(OR(原始資料!$A444="",40&gt;設定!$B$3,原始資料!AQ444=""),"",IF(AND(原始資料!AP444&lt;&gt;"",原始資料!AQ444=原始資料!AP444),N(AN444)+1,1))</f>
        <v/>
      </c>
      <c r="AP444" s="6">
        <f>IF(OR(原始資料!$A444="",41&gt;設定!$B$3,原始資料!AR444=""),"",IF(AND(原始資料!AQ444&lt;&gt;"",原始資料!AR444=原始資料!AQ444),N(AO444)+1,1))</f>
        <v/>
      </c>
      <c r="AQ444" s="6">
        <f>IF(OR(原始資料!$A444="",42&gt;設定!$B$3,原始資料!AS444=""),"",IF(AND(原始資料!AR444&lt;&gt;"",原始資料!AS444=原始資料!AR444),N(AP444)+1,1))</f>
        <v/>
      </c>
      <c r="AR444" s="6">
        <f>IF(OR(原始資料!$A444="",43&gt;設定!$B$3,原始資料!AT444=""),"",IF(AND(原始資料!AS444&lt;&gt;"",原始資料!AT444=原始資料!AS444),N(AQ444)+1,1))</f>
        <v/>
      </c>
      <c r="AS444" s="6">
        <f>IF(OR(原始資料!$A444="",44&gt;設定!$B$3,原始資料!AU444=""),"",IF(AND(原始資料!AT444&lt;&gt;"",原始資料!AU444=原始資料!AT444),N(AR444)+1,1))</f>
        <v/>
      </c>
      <c r="AT444" s="6">
        <f>IF(OR(原始資料!$A444="",45&gt;設定!$B$3,原始資料!AV444=""),"",IF(AND(原始資料!AU444&lt;&gt;"",原始資料!AV444=原始資料!AU444),N(AS444)+1,1))</f>
        <v/>
      </c>
      <c r="AU444" s="6">
        <f>IF(OR(原始資料!$A444="",46&gt;設定!$B$3,原始資料!AW444=""),"",IF(AND(原始資料!AV444&lt;&gt;"",原始資料!AW444=原始資料!AV444),N(AT444)+1,1))</f>
        <v/>
      </c>
      <c r="AV444" s="6">
        <f>IF(OR(原始資料!$A444="",47&gt;設定!$B$3,原始資料!AX444=""),"",IF(AND(原始資料!AW444&lt;&gt;"",原始資料!AX444=原始資料!AW444),N(AU444)+1,1))</f>
        <v/>
      </c>
      <c r="AW444" s="6">
        <f>IF(OR(原始資料!$A444="",48&gt;設定!$B$3,原始資料!AY444=""),"",IF(AND(原始資料!AX444&lt;&gt;"",原始資料!AY444=原始資料!AX444),N(AV444)+1,1))</f>
        <v/>
      </c>
      <c r="AX444" s="6">
        <f>IF(OR(原始資料!$A444="",49&gt;設定!$B$3,原始資料!AZ444=""),"",IF(AND(原始資料!AY444&lt;&gt;"",原始資料!AZ444=原始資料!AY444),N(AW444)+1,1))</f>
        <v/>
      </c>
      <c r="AY444" s="6">
        <f>IF(OR(原始資料!$A444="",50&gt;設定!$B$3,原始資料!BA444=""),"",IF(AND(原始資料!AZ444&lt;&gt;"",原始資料!BA444=原始資料!AZ444),N(AX444)+1,1))</f>
        <v/>
      </c>
      <c r="AZ444" s="6">
        <f>IF(OR(原始資料!$A444="",51&gt;設定!$B$3,原始資料!BB444=""),"",IF(AND(原始資料!BA444&lt;&gt;"",原始資料!BB444=原始資料!BA444),N(AY444)+1,1))</f>
        <v/>
      </c>
      <c r="BA444" s="6">
        <f>IF(OR(原始資料!$A444="",52&gt;設定!$B$3,原始資料!BC444=""),"",IF(AND(原始資料!BB444&lt;&gt;"",原始資料!BC444=原始資料!BB444),N(AZ444)+1,1))</f>
        <v/>
      </c>
      <c r="BB444" s="6">
        <f>IF(OR(原始資料!$A444="",53&gt;設定!$B$3,原始資料!BD444=""),"",IF(AND(原始資料!BC444&lt;&gt;"",原始資料!BD444=原始資料!BC444),N(BA444)+1,1))</f>
        <v/>
      </c>
      <c r="BC444" s="6">
        <f>IF(OR(原始資料!$A444="",54&gt;設定!$B$3,原始資料!BE444=""),"",IF(AND(原始資料!BD444&lt;&gt;"",原始資料!BE444=原始資料!BD444),N(BB444)+1,1))</f>
        <v/>
      </c>
      <c r="BD444" s="6">
        <f>IF(OR(原始資料!$A444="",55&gt;設定!$B$3,原始資料!BF444=""),"",IF(AND(原始資料!BE444&lt;&gt;"",原始資料!BF444=原始資料!BE444),N(BC444)+1,1))</f>
        <v/>
      </c>
      <c r="BE444" s="6">
        <f>IF(OR(原始資料!$A444="",56&gt;設定!$B$3,原始資料!BG444=""),"",IF(AND(原始資料!BF444&lt;&gt;"",原始資料!BG444=原始資料!BF444),N(BD444)+1,1))</f>
        <v/>
      </c>
      <c r="BF444" s="6">
        <f>IF(OR(原始資料!$A444="",57&gt;設定!$B$3,原始資料!BH444=""),"",IF(AND(原始資料!BG444&lt;&gt;"",原始資料!BH444=原始資料!BG444),N(BE444)+1,1))</f>
        <v/>
      </c>
      <c r="BG444" s="6">
        <f>IF(OR(原始資料!$A444="",58&gt;設定!$B$3,原始資料!BI444=""),"",IF(AND(原始資料!BH444&lt;&gt;"",原始資料!BI444=原始資料!BH444),N(BF444)+1,1))</f>
        <v/>
      </c>
      <c r="BH444" s="6">
        <f>IF(OR(原始資料!$A444="",59&gt;設定!$B$3,原始資料!BJ444=""),"",IF(AND(原始資料!BI444&lt;&gt;"",原始資料!BJ444=原始資料!BI444),N(BG444)+1,1))</f>
        <v/>
      </c>
      <c r="BI444" s="6">
        <f>IF(OR(原始資料!$A444="",60&gt;設定!$B$3,原始資料!BK444=""),"",IF(AND(原始資料!BJ444&lt;&gt;"",原始資料!BK444=原始資料!BJ444),N(BH444)+1,1))</f>
        <v/>
      </c>
    </row>
    <row r="445">
      <c r="A445" s="6">
        <f>IF(原始資料!$A445="","",原始資料!$A445)</f>
        <v/>
      </c>
      <c r="B445" s="6">
        <f>IF(OR(原始資料!$A445="",1&gt;設定!$B$3,原始資料!D445=""),"",1)</f>
        <v/>
      </c>
      <c r="C445" s="6">
        <f>IF(OR(原始資料!$A445="",2&gt;設定!$B$3,原始資料!E445=""),"",IF(AND(原始資料!D445&lt;&gt;"",原始資料!E445=原始資料!D445),N(B445)+1,1))</f>
        <v/>
      </c>
      <c r="D445" s="6">
        <f>IF(OR(原始資料!$A445="",3&gt;設定!$B$3,原始資料!F445=""),"",IF(AND(原始資料!E445&lt;&gt;"",原始資料!F445=原始資料!E445),N(C445)+1,1))</f>
        <v/>
      </c>
      <c r="E445" s="6">
        <f>IF(OR(原始資料!$A445="",4&gt;設定!$B$3,原始資料!G445=""),"",IF(AND(原始資料!F445&lt;&gt;"",原始資料!G445=原始資料!F445),N(D445)+1,1))</f>
        <v/>
      </c>
      <c r="F445" s="6">
        <f>IF(OR(原始資料!$A445="",5&gt;設定!$B$3,原始資料!H445=""),"",IF(AND(原始資料!G445&lt;&gt;"",原始資料!H445=原始資料!G445),N(E445)+1,1))</f>
        <v/>
      </c>
      <c r="G445" s="6">
        <f>IF(OR(原始資料!$A445="",6&gt;設定!$B$3,原始資料!I445=""),"",IF(AND(原始資料!H445&lt;&gt;"",原始資料!I445=原始資料!H445),N(F445)+1,1))</f>
        <v/>
      </c>
      <c r="H445" s="6">
        <f>IF(OR(原始資料!$A445="",7&gt;設定!$B$3,原始資料!J445=""),"",IF(AND(原始資料!I445&lt;&gt;"",原始資料!J445=原始資料!I445),N(G445)+1,1))</f>
        <v/>
      </c>
      <c r="I445" s="6">
        <f>IF(OR(原始資料!$A445="",8&gt;設定!$B$3,原始資料!K445=""),"",IF(AND(原始資料!J445&lt;&gt;"",原始資料!K445=原始資料!J445),N(H445)+1,1))</f>
        <v/>
      </c>
      <c r="J445" s="6">
        <f>IF(OR(原始資料!$A445="",9&gt;設定!$B$3,原始資料!L445=""),"",IF(AND(原始資料!K445&lt;&gt;"",原始資料!L445=原始資料!K445),N(I445)+1,1))</f>
        <v/>
      </c>
      <c r="K445" s="6">
        <f>IF(OR(原始資料!$A445="",10&gt;設定!$B$3,原始資料!M445=""),"",IF(AND(原始資料!L445&lt;&gt;"",原始資料!M445=原始資料!L445),N(J445)+1,1))</f>
        <v/>
      </c>
      <c r="L445" s="6">
        <f>IF(OR(原始資料!$A445="",11&gt;設定!$B$3,原始資料!N445=""),"",IF(AND(原始資料!M445&lt;&gt;"",原始資料!N445=原始資料!M445),N(K445)+1,1))</f>
        <v/>
      </c>
      <c r="M445" s="6">
        <f>IF(OR(原始資料!$A445="",12&gt;設定!$B$3,原始資料!O445=""),"",IF(AND(原始資料!N445&lt;&gt;"",原始資料!O445=原始資料!N445),N(L445)+1,1))</f>
        <v/>
      </c>
      <c r="N445" s="6">
        <f>IF(OR(原始資料!$A445="",13&gt;設定!$B$3,原始資料!P445=""),"",IF(AND(原始資料!O445&lt;&gt;"",原始資料!P445=原始資料!O445),N(M445)+1,1))</f>
        <v/>
      </c>
      <c r="O445" s="6">
        <f>IF(OR(原始資料!$A445="",14&gt;設定!$B$3,原始資料!Q445=""),"",IF(AND(原始資料!P445&lt;&gt;"",原始資料!Q445=原始資料!P445),N(N445)+1,1))</f>
        <v/>
      </c>
      <c r="P445" s="6">
        <f>IF(OR(原始資料!$A445="",15&gt;設定!$B$3,原始資料!R445=""),"",IF(AND(原始資料!Q445&lt;&gt;"",原始資料!R445=原始資料!Q445),N(O445)+1,1))</f>
        <v/>
      </c>
      <c r="Q445" s="6">
        <f>IF(OR(原始資料!$A445="",16&gt;設定!$B$3,原始資料!S445=""),"",IF(AND(原始資料!R445&lt;&gt;"",原始資料!S445=原始資料!R445),N(P445)+1,1))</f>
        <v/>
      </c>
      <c r="R445" s="6">
        <f>IF(OR(原始資料!$A445="",17&gt;設定!$B$3,原始資料!T445=""),"",IF(AND(原始資料!S445&lt;&gt;"",原始資料!T445=原始資料!S445),N(Q445)+1,1))</f>
        <v/>
      </c>
      <c r="S445" s="6">
        <f>IF(OR(原始資料!$A445="",18&gt;設定!$B$3,原始資料!U445=""),"",IF(AND(原始資料!T445&lt;&gt;"",原始資料!U445=原始資料!T445),N(R445)+1,1))</f>
        <v/>
      </c>
      <c r="T445" s="6">
        <f>IF(OR(原始資料!$A445="",19&gt;設定!$B$3,原始資料!V445=""),"",IF(AND(原始資料!U445&lt;&gt;"",原始資料!V445=原始資料!U445),N(S445)+1,1))</f>
        <v/>
      </c>
      <c r="U445" s="6">
        <f>IF(OR(原始資料!$A445="",20&gt;設定!$B$3,原始資料!W445=""),"",IF(AND(原始資料!V445&lt;&gt;"",原始資料!W445=原始資料!V445),N(T445)+1,1))</f>
        <v/>
      </c>
      <c r="V445" s="6">
        <f>IF(OR(原始資料!$A445="",21&gt;設定!$B$3,原始資料!X445=""),"",IF(AND(原始資料!W445&lt;&gt;"",原始資料!X445=原始資料!W445),N(U445)+1,1))</f>
        <v/>
      </c>
      <c r="W445" s="6">
        <f>IF(OR(原始資料!$A445="",22&gt;設定!$B$3,原始資料!Y445=""),"",IF(AND(原始資料!X445&lt;&gt;"",原始資料!Y445=原始資料!X445),N(V445)+1,1))</f>
        <v/>
      </c>
      <c r="X445" s="6">
        <f>IF(OR(原始資料!$A445="",23&gt;設定!$B$3,原始資料!Z445=""),"",IF(AND(原始資料!Y445&lt;&gt;"",原始資料!Z445=原始資料!Y445),N(W445)+1,1))</f>
        <v/>
      </c>
      <c r="Y445" s="6">
        <f>IF(OR(原始資料!$A445="",24&gt;設定!$B$3,原始資料!AA445=""),"",IF(AND(原始資料!Z445&lt;&gt;"",原始資料!AA445=原始資料!Z445),N(X445)+1,1))</f>
        <v/>
      </c>
      <c r="Z445" s="6">
        <f>IF(OR(原始資料!$A445="",25&gt;設定!$B$3,原始資料!AB445=""),"",IF(AND(原始資料!AA445&lt;&gt;"",原始資料!AB445=原始資料!AA445),N(Y445)+1,1))</f>
        <v/>
      </c>
      <c r="AA445" s="6">
        <f>IF(OR(原始資料!$A445="",26&gt;設定!$B$3,原始資料!AC445=""),"",IF(AND(原始資料!AB445&lt;&gt;"",原始資料!AC445=原始資料!AB445),N(Z445)+1,1))</f>
        <v/>
      </c>
      <c r="AB445" s="6">
        <f>IF(OR(原始資料!$A445="",27&gt;設定!$B$3,原始資料!AD445=""),"",IF(AND(原始資料!AC445&lt;&gt;"",原始資料!AD445=原始資料!AC445),N(AA445)+1,1))</f>
        <v/>
      </c>
      <c r="AC445" s="6">
        <f>IF(OR(原始資料!$A445="",28&gt;設定!$B$3,原始資料!AE445=""),"",IF(AND(原始資料!AD445&lt;&gt;"",原始資料!AE445=原始資料!AD445),N(AB445)+1,1))</f>
        <v/>
      </c>
      <c r="AD445" s="6">
        <f>IF(OR(原始資料!$A445="",29&gt;設定!$B$3,原始資料!AF445=""),"",IF(AND(原始資料!AE445&lt;&gt;"",原始資料!AF445=原始資料!AE445),N(AC445)+1,1))</f>
        <v/>
      </c>
      <c r="AE445" s="6">
        <f>IF(OR(原始資料!$A445="",30&gt;設定!$B$3,原始資料!AG445=""),"",IF(AND(原始資料!AF445&lt;&gt;"",原始資料!AG445=原始資料!AF445),N(AD445)+1,1))</f>
        <v/>
      </c>
      <c r="AF445" s="6">
        <f>IF(OR(原始資料!$A445="",31&gt;設定!$B$3,原始資料!AH445=""),"",IF(AND(原始資料!AG445&lt;&gt;"",原始資料!AH445=原始資料!AG445),N(AE445)+1,1))</f>
        <v/>
      </c>
      <c r="AG445" s="6">
        <f>IF(OR(原始資料!$A445="",32&gt;設定!$B$3,原始資料!AI445=""),"",IF(AND(原始資料!AH445&lt;&gt;"",原始資料!AI445=原始資料!AH445),N(AF445)+1,1))</f>
        <v/>
      </c>
      <c r="AH445" s="6">
        <f>IF(OR(原始資料!$A445="",33&gt;設定!$B$3,原始資料!AJ445=""),"",IF(AND(原始資料!AI445&lt;&gt;"",原始資料!AJ445=原始資料!AI445),N(AG445)+1,1))</f>
        <v/>
      </c>
      <c r="AI445" s="6">
        <f>IF(OR(原始資料!$A445="",34&gt;設定!$B$3,原始資料!AK445=""),"",IF(AND(原始資料!AJ445&lt;&gt;"",原始資料!AK445=原始資料!AJ445),N(AH445)+1,1))</f>
        <v/>
      </c>
      <c r="AJ445" s="6">
        <f>IF(OR(原始資料!$A445="",35&gt;設定!$B$3,原始資料!AL445=""),"",IF(AND(原始資料!AK445&lt;&gt;"",原始資料!AL445=原始資料!AK445),N(AI445)+1,1))</f>
        <v/>
      </c>
      <c r="AK445" s="6">
        <f>IF(OR(原始資料!$A445="",36&gt;設定!$B$3,原始資料!AM445=""),"",IF(AND(原始資料!AL445&lt;&gt;"",原始資料!AM445=原始資料!AL445),N(AJ445)+1,1))</f>
        <v/>
      </c>
      <c r="AL445" s="6">
        <f>IF(OR(原始資料!$A445="",37&gt;設定!$B$3,原始資料!AN445=""),"",IF(AND(原始資料!AM445&lt;&gt;"",原始資料!AN445=原始資料!AM445),N(AK445)+1,1))</f>
        <v/>
      </c>
      <c r="AM445" s="6">
        <f>IF(OR(原始資料!$A445="",38&gt;設定!$B$3,原始資料!AO445=""),"",IF(AND(原始資料!AN445&lt;&gt;"",原始資料!AO445=原始資料!AN445),N(AL445)+1,1))</f>
        <v/>
      </c>
      <c r="AN445" s="6">
        <f>IF(OR(原始資料!$A445="",39&gt;設定!$B$3,原始資料!AP445=""),"",IF(AND(原始資料!AO445&lt;&gt;"",原始資料!AP445=原始資料!AO445),N(AM445)+1,1))</f>
        <v/>
      </c>
      <c r="AO445" s="6">
        <f>IF(OR(原始資料!$A445="",40&gt;設定!$B$3,原始資料!AQ445=""),"",IF(AND(原始資料!AP445&lt;&gt;"",原始資料!AQ445=原始資料!AP445),N(AN445)+1,1))</f>
        <v/>
      </c>
      <c r="AP445" s="6">
        <f>IF(OR(原始資料!$A445="",41&gt;設定!$B$3,原始資料!AR445=""),"",IF(AND(原始資料!AQ445&lt;&gt;"",原始資料!AR445=原始資料!AQ445),N(AO445)+1,1))</f>
        <v/>
      </c>
      <c r="AQ445" s="6">
        <f>IF(OR(原始資料!$A445="",42&gt;設定!$B$3,原始資料!AS445=""),"",IF(AND(原始資料!AR445&lt;&gt;"",原始資料!AS445=原始資料!AR445),N(AP445)+1,1))</f>
        <v/>
      </c>
      <c r="AR445" s="6">
        <f>IF(OR(原始資料!$A445="",43&gt;設定!$B$3,原始資料!AT445=""),"",IF(AND(原始資料!AS445&lt;&gt;"",原始資料!AT445=原始資料!AS445),N(AQ445)+1,1))</f>
        <v/>
      </c>
      <c r="AS445" s="6">
        <f>IF(OR(原始資料!$A445="",44&gt;設定!$B$3,原始資料!AU445=""),"",IF(AND(原始資料!AT445&lt;&gt;"",原始資料!AU445=原始資料!AT445),N(AR445)+1,1))</f>
        <v/>
      </c>
      <c r="AT445" s="6">
        <f>IF(OR(原始資料!$A445="",45&gt;設定!$B$3,原始資料!AV445=""),"",IF(AND(原始資料!AU445&lt;&gt;"",原始資料!AV445=原始資料!AU445),N(AS445)+1,1))</f>
        <v/>
      </c>
      <c r="AU445" s="6">
        <f>IF(OR(原始資料!$A445="",46&gt;設定!$B$3,原始資料!AW445=""),"",IF(AND(原始資料!AV445&lt;&gt;"",原始資料!AW445=原始資料!AV445),N(AT445)+1,1))</f>
        <v/>
      </c>
      <c r="AV445" s="6">
        <f>IF(OR(原始資料!$A445="",47&gt;設定!$B$3,原始資料!AX445=""),"",IF(AND(原始資料!AW445&lt;&gt;"",原始資料!AX445=原始資料!AW445),N(AU445)+1,1))</f>
        <v/>
      </c>
      <c r="AW445" s="6">
        <f>IF(OR(原始資料!$A445="",48&gt;設定!$B$3,原始資料!AY445=""),"",IF(AND(原始資料!AX445&lt;&gt;"",原始資料!AY445=原始資料!AX445),N(AV445)+1,1))</f>
        <v/>
      </c>
      <c r="AX445" s="6">
        <f>IF(OR(原始資料!$A445="",49&gt;設定!$B$3,原始資料!AZ445=""),"",IF(AND(原始資料!AY445&lt;&gt;"",原始資料!AZ445=原始資料!AY445),N(AW445)+1,1))</f>
        <v/>
      </c>
      <c r="AY445" s="6">
        <f>IF(OR(原始資料!$A445="",50&gt;設定!$B$3,原始資料!BA445=""),"",IF(AND(原始資料!AZ445&lt;&gt;"",原始資料!BA445=原始資料!AZ445),N(AX445)+1,1))</f>
        <v/>
      </c>
      <c r="AZ445" s="6">
        <f>IF(OR(原始資料!$A445="",51&gt;設定!$B$3,原始資料!BB445=""),"",IF(AND(原始資料!BA445&lt;&gt;"",原始資料!BB445=原始資料!BA445),N(AY445)+1,1))</f>
        <v/>
      </c>
      <c r="BA445" s="6">
        <f>IF(OR(原始資料!$A445="",52&gt;設定!$B$3,原始資料!BC445=""),"",IF(AND(原始資料!BB445&lt;&gt;"",原始資料!BC445=原始資料!BB445),N(AZ445)+1,1))</f>
        <v/>
      </c>
      <c r="BB445" s="6">
        <f>IF(OR(原始資料!$A445="",53&gt;設定!$B$3,原始資料!BD445=""),"",IF(AND(原始資料!BC445&lt;&gt;"",原始資料!BD445=原始資料!BC445),N(BA445)+1,1))</f>
        <v/>
      </c>
      <c r="BC445" s="6">
        <f>IF(OR(原始資料!$A445="",54&gt;設定!$B$3,原始資料!BE445=""),"",IF(AND(原始資料!BD445&lt;&gt;"",原始資料!BE445=原始資料!BD445),N(BB445)+1,1))</f>
        <v/>
      </c>
      <c r="BD445" s="6">
        <f>IF(OR(原始資料!$A445="",55&gt;設定!$B$3,原始資料!BF445=""),"",IF(AND(原始資料!BE445&lt;&gt;"",原始資料!BF445=原始資料!BE445),N(BC445)+1,1))</f>
        <v/>
      </c>
      <c r="BE445" s="6">
        <f>IF(OR(原始資料!$A445="",56&gt;設定!$B$3,原始資料!BG445=""),"",IF(AND(原始資料!BF445&lt;&gt;"",原始資料!BG445=原始資料!BF445),N(BD445)+1,1))</f>
        <v/>
      </c>
      <c r="BF445" s="6">
        <f>IF(OR(原始資料!$A445="",57&gt;設定!$B$3,原始資料!BH445=""),"",IF(AND(原始資料!BG445&lt;&gt;"",原始資料!BH445=原始資料!BG445),N(BE445)+1,1))</f>
        <v/>
      </c>
      <c r="BG445" s="6">
        <f>IF(OR(原始資料!$A445="",58&gt;設定!$B$3,原始資料!BI445=""),"",IF(AND(原始資料!BH445&lt;&gt;"",原始資料!BI445=原始資料!BH445),N(BF445)+1,1))</f>
        <v/>
      </c>
      <c r="BH445" s="6">
        <f>IF(OR(原始資料!$A445="",59&gt;設定!$B$3,原始資料!BJ445=""),"",IF(AND(原始資料!BI445&lt;&gt;"",原始資料!BJ445=原始資料!BI445),N(BG445)+1,1))</f>
        <v/>
      </c>
      <c r="BI445" s="6">
        <f>IF(OR(原始資料!$A445="",60&gt;設定!$B$3,原始資料!BK445=""),"",IF(AND(原始資料!BJ445&lt;&gt;"",原始資料!BK445=原始資料!BJ445),N(BH445)+1,1))</f>
        <v/>
      </c>
    </row>
    <row r="446">
      <c r="A446" s="6">
        <f>IF(原始資料!$A446="","",原始資料!$A446)</f>
        <v/>
      </c>
      <c r="B446" s="6">
        <f>IF(OR(原始資料!$A446="",1&gt;設定!$B$3,原始資料!D446=""),"",1)</f>
        <v/>
      </c>
      <c r="C446" s="6">
        <f>IF(OR(原始資料!$A446="",2&gt;設定!$B$3,原始資料!E446=""),"",IF(AND(原始資料!D446&lt;&gt;"",原始資料!E446=原始資料!D446),N(B446)+1,1))</f>
        <v/>
      </c>
      <c r="D446" s="6">
        <f>IF(OR(原始資料!$A446="",3&gt;設定!$B$3,原始資料!F446=""),"",IF(AND(原始資料!E446&lt;&gt;"",原始資料!F446=原始資料!E446),N(C446)+1,1))</f>
        <v/>
      </c>
      <c r="E446" s="6">
        <f>IF(OR(原始資料!$A446="",4&gt;設定!$B$3,原始資料!G446=""),"",IF(AND(原始資料!F446&lt;&gt;"",原始資料!G446=原始資料!F446),N(D446)+1,1))</f>
        <v/>
      </c>
      <c r="F446" s="6">
        <f>IF(OR(原始資料!$A446="",5&gt;設定!$B$3,原始資料!H446=""),"",IF(AND(原始資料!G446&lt;&gt;"",原始資料!H446=原始資料!G446),N(E446)+1,1))</f>
        <v/>
      </c>
      <c r="G446" s="6">
        <f>IF(OR(原始資料!$A446="",6&gt;設定!$B$3,原始資料!I446=""),"",IF(AND(原始資料!H446&lt;&gt;"",原始資料!I446=原始資料!H446),N(F446)+1,1))</f>
        <v/>
      </c>
      <c r="H446" s="6">
        <f>IF(OR(原始資料!$A446="",7&gt;設定!$B$3,原始資料!J446=""),"",IF(AND(原始資料!I446&lt;&gt;"",原始資料!J446=原始資料!I446),N(G446)+1,1))</f>
        <v/>
      </c>
      <c r="I446" s="6">
        <f>IF(OR(原始資料!$A446="",8&gt;設定!$B$3,原始資料!K446=""),"",IF(AND(原始資料!J446&lt;&gt;"",原始資料!K446=原始資料!J446),N(H446)+1,1))</f>
        <v/>
      </c>
      <c r="J446" s="6">
        <f>IF(OR(原始資料!$A446="",9&gt;設定!$B$3,原始資料!L446=""),"",IF(AND(原始資料!K446&lt;&gt;"",原始資料!L446=原始資料!K446),N(I446)+1,1))</f>
        <v/>
      </c>
      <c r="K446" s="6">
        <f>IF(OR(原始資料!$A446="",10&gt;設定!$B$3,原始資料!M446=""),"",IF(AND(原始資料!L446&lt;&gt;"",原始資料!M446=原始資料!L446),N(J446)+1,1))</f>
        <v/>
      </c>
      <c r="L446" s="6">
        <f>IF(OR(原始資料!$A446="",11&gt;設定!$B$3,原始資料!N446=""),"",IF(AND(原始資料!M446&lt;&gt;"",原始資料!N446=原始資料!M446),N(K446)+1,1))</f>
        <v/>
      </c>
      <c r="M446" s="6">
        <f>IF(OR(原始資料!$A446="",12&gt;設定!$B$3,原始資料!O446=""),"",IF(AND(原始資料!N446&lt;&gt;"",原始資料!O446=原始資料!N446),N(L446)+1,1))</f>
        <v/>
      </c>
      <c r="N446" s="6">
        <f>IF(OR(原始資料!$A446="",13&gt;設定!$B$3,原始資料!P446=""),"",IF(AND(原始資料!O446&lt;&gt;"",原始資料!P446=原始資料!O446),N(M446)+1,1))</f>
        <v/>
      </c>
      <c r="O446" s="6">
        <f>IF(OR(原始資料!$A446="",14&gt;設定!$B$3,原始資料!Q446=""),"",IF(AND(原始資料!P446&lt;&gt;"",原始資料!Q446=原始資料!P446),N(N446)+1,1))</f>
        <v/>
      </c>
      <c r="P446" s="6">
        <f>IF(OR(原始資料!$A446="",15&gt;設定!$B$3,原始資料!R446=""),"",IF(AND(原始資料!Q446&lt;&gt;"",原始資料!R446=原始資料!Q446),N(O446)+1,1))</f>
        <v/>
      </c>
      <c r="Q446" s="6">
        <f>IF(OR(原始資料!$A446="",16&gt;設定!$B$3,原始資料!S446=""),"",IF(AND(原始資料!R446&lt;&gt;"",原始資料!S446=原始資料!R446),N(P446)+1,1))</f>
        <v/>
      </c>
      <c r="R446" s="6">
        <f>IF(OR(原始資料!$A446="",17&gt;設定!$B$3,原始資料!T446=""),"",IF(AND(原始資料!S446&lt;&gt;"",原始資料!T446=原始資料!S446),N(Q446)+1,1))</f>
        <v/>
      </c>
      <c r="S446" s="6">
        <f>IF(OR(原始資料!$A446="",18&gt;設定!$B$3,原始資料!U446=""),"",IF(AND(原始資料!T446&lt;&gt;"",原始資料!U446=原始資料!T446),N(R446)+1,1))</f>
        <v/>
      </c>
      <c r="T446" s="6">
        <f>IF(OR(原始資料!$A446="",19&gt;設定!$B$3,原始資料!V446=""),"",IF(AND(原始資料!U446&lt;&gt;"",原始資料!V446=原始資料!U446),N(S446)+1,1))</f>
        <v/>
      </c>
      <c r="U446" s="6">
        <f>IF(OR(原始資料!$A446="",20&gt;設定!$B$3,原始資料!W446=""),"",IF(AND(原始資料!V446&lt;&gt;"",原始資料!W446=原始資料!V446),N(T446)+1,1))</f>
        <v/>
      </c>
      <c r="V446" s="6">
        <f>IF(OR(原始資料!$A446="",21&gt;設定!$B$3,原始資料!X446=""),"",IF(AND(原始資料!W446&lt;&gt;"",原始資料!X446=原始資料!W446),N(U446)+1,1))</f>
        <v/>
      </c>
      <c r="W446" s="6">
        <f>IF(OR(原始資料!$A446="",22&gt;設定!$B$3,原始資料!Y446=""),"",IF(AND(原始資料!X446&lt;&gt;"",原始資料!Y446=原始資料!X446),N(V446)+1,1))</f>
        <v/>
      </c>
      <c r="X446" s="6">
        <f>IF(OR(原始資料!$A446="",23&gt;設定!$B$3,原始資料!Z446=""),"",IF(AND(原始資料!Y446&lt;&gt;"",原始資料!Z446=原始資料!Y446),N(W446)+1,1))</f>
        <v/>
      </c>
      <c r="Y446" s="6">
        <f>IF(OR(原始資料!$A446="",24&gt;設定!$B$3,原始資料!AA446=""),"",IF(AND(原始資料!Z446&lt;&gt;"",原始資料!AA446=原始資料!Z446),N(X446)+1,1))</f>
        <v/>
      </c>
      <c r="Z446" s="6">
        <f>IF(OR(原始資料!$A446="",25&gt;設定!$B$3,原始資料!AB446=""),"",IF(AND(原始資料!AA446&lt;&gt;"",原始資料!AB446=原始資料!AA446),N(Y446)+1,1))</f>
        <v/>
      </c>
      <c r="AA446" s="6">
        <f>IF(OR(原始資料!$A446="",26&gt;設定!$B$3,原始資料!AC446=""),"",IF(AND(原始資料!AB446&lt;&gt;"",原始資料!AC446=原始資料!AB446),N(Z446)+1,1))</f>
        <v/>
      </c>
      <c r="AB446" s="6">
        <f>IF(OR(原始資料!$A446="",27&gt;設定!$B$3,原始資料!AD446=""),"",IF(AND(原始資料!AC446&lt;&gt;"",原始資料!AD446=原始資料!AC446),N(AA446)+1,1))</f>
        <v/>
      </c>
      <c r="AC446" s="6">
        <f>IF(OR(原始資料!$A446="",28&gt;設定!$B$3,原始資料!AE446=""),"",IF(AND(原始資料!AD446&lt;&gt;"",原始資料!AE446=原始資料!AD446),N(AB446)+1,1))</f>
        <v/>
      </c>
      <c r="AD446" s="6">
        <f>IF(OR(原始資料!$A446="",29&gt;設定!$B$3,原始資料!AF446=""),"",IF(AND(原始資料!AE446&lt;&gt;"",原始資料!AF446=原始資料!AE446),N(AC446)+1,1))</f>
        <v/>
      </c>
      <c r="AE446" s="6">
        <f>IF(OR(原始資料!$A446="",30&gt;設定!$B$3,原始資料!AG446=""),"",IF(AND(原始資料!AF446&lt;&gt;"",原始資料!AG446=原始資料!AF446),N(AD446)+1,1))</f>
        <v/>
      </c>
      <c r="AF446" s="6">
        <f>IF(OR(原始資料!$A446="",31&gt;設定!$B$3,原始資料!AH446=""),"",IF(AND(原始資料!AG446&lt;&gt;"",原始資料!AH446=原始資料!AG446),N(AE446)+1,1))</f>
        <v/>
      </c>
      <c r="AG446" s="6">
        <f>IF(OR(原始資料!$A446="",32&gt;設定!$B$3,原始資料!AI446=""),"",IF(AND(原始資料!AH446&lt;&gt;"",原始資料!AI446=原始資料!AH446),N(AF446)+1,1))</f>
        <v/>
      </c>
      <c r="AH446" s="6">
        <f>IF(OR(原始資料!$A446="",33&gt;設定!$B$3,原始資料!AJ446=""),"",IF(AND(原始資料!AI446&lt;&gt;"",原始資料!AJ446=原始資料!AI446),N(AG446)+1,1))</f>
        <v/>
      </c>
      <c r="AI446" s="6">
        <f>IF(OR(原始資料!$A446="",34&gt;設定!$B$3,原始資料!AK446=""),"",IF(AND(原始資料!AJ446&lt;&gt;"",原始資料!AK446=原始資料!AJ446),N(AH446)+1,1))</f>
        <v/>
      </c>
      <c r="AJ446" s="6">
        <f>IF(OR(原始資料!$A446="",35&gt;設定!$B$3,原始資料!AL446=""),"",IF(AND(原始資料!AK446&lt;&gt;"",原始資料!AL446=原始資料!AK446),N(AI446)+1,1))</f>
        <v/>
      </c>
      <c r="AK446" s="6">
        <f>IF(OR(原始資料!$A446="",36&gt;設定!$B$3,原始資料!AM446=""),"",IF(AND(原始資料!AL446&lt;&gt;"",原始資料!AM446=原始資料!AL446),N(AJ446)+1,1))</f>
        <v/>
      </c>
      <c r="AL446" s="6">
        <f>IF(OR(原始資料!$A446="",37&gt;設定!$B$3,原始資料!AN446=""),"",IF(AND(原始資料!AM446&lt;&gt;"",原始資料!AN446=原始資料!AM446),N(AK446)+1,1))</f>
        <v/>
      </c>
      <c r="AM446" s="6">
        <f>IF(OR(原始資料!$A446="",38&gt;設定!$B$3,原始資料!AO446=""),"",IF(AND(原始資料!AN446&lt;&gt;"",原始資料!AO446=原始資料!AN446),N(AL446)+1,1))</f>
        <v/>
      </c>
      <c r="AN446" s="6">
        <f>IF(OR(原始資料!$A446="",39&gt;設定!$B$3,原始資料!AP446=""),"",IF(AND(原始資料!AO446&lt;&gt;"",原始資料!AP446=原始資料!AO446),N(AM446)+1,1))</f>
        <v/>
      </c>
      <c r="AO446" s="6">
        <f>IF(OR(原始資料!$A446="",40&gt;設定!$B$3,原始資料!AQ446=""),"",IF(AND(原始資料!AP446&lt;&gt;"",原始資料!AQ446=原始資料!AP446),N(AN446)+1,1))</f>
        <v/>
      </c>
      <c r="AP446" s="6">
        <f>IF(OR(原始資料!$A446="",41&gt;設定!$B$3,原始資料!AR446=""),"",IF(AND(原始資料!AQ446&lt;&gt;"",原始資料!AR446=原始資料!AQ446),N(AO446)+1,1))</f>
        <v/>
      </c>
      <c r="AQ446" s="6">
        <f>IF(OR(原始資料!$A446="",42&gt;設定!$B$3,原始資料!AS446=""),"",IF(AND(原始資料!AR446&lt;&gt;"",原始資料!AS446=原始資料!AR446),N(AP446)+1,1))</f>
        <v/>
      </c>
      <c r="AR446" s="6">
        <f>IF(OR(原始資料!$A446="",43&gt;設定!$B$3,原始資料!AT446=""),"",IF(AND(原始資料!AS446&lt;&gt;"",原始資料!AT446=原始資料!AS446),N(AQ446)+1,1))</f>
        <v/>
      </c>
      <c r="AS446" s="6">
        <f>IF(OR(原始資料!$A446="",44&gt;設定!$B$3,原始資料!AU446=""),"",IF(AND(原始資料!AT446&lt;&gt;"",原始資料!AU446=原始資料!AT446),N(AR446)+1,1))</f>
        <v/>
      </c>
      <c r="AT446" s="6">
        <f>IF(OR(原始資料!$A446="",45&gt;設定!$B$3,原始資料!AV446=""),"",IF(AND(原始資料!AU446&lt;&gt;"",原始資料!AV446=原始資料!AU446),N(AS446)+1,1))</f>
        <v/>
      </c>
      <c r="AU446" s="6">
        <f>IF(OR(原始資料!$A446="",46&gt;設定!$B$3,原始資料!AW446=""),"",IF(AND(原始資料!AV446&lt;&gt;"",原始資料!AW446=原始資料!AV446),N(AT446)+1,1))</f>
        <v/>
      </c>
      <c r="AV446" s="6">
        <f>IF(OR(原始資料!$A446="",47&gt;設定!$B$3,原始資料!AX446=""),"",IF(AND(原始資料!AW446&lt;&gt;"",原始資料!AX446=原始資料!AW446),N(AU446)+1,1))</f>
        <v/>
      </c>
      <c r="AW446" s="6">
        <f>IF(OR(原始資料!$A446="",48&gt;設定!$B$3,原始資料!AY446=""),"",IF(AND(原始資料!AX446&lt;&gt;"",原始資料!AY446=原始資料!AX446),N(AV446)+1,1))</f>
        <v/>
      </c>
      <c r="AX446" s="6">
        <f>IF(OR(原始資料!$A446="",49&gt;設定!$B$3,原始資料!AZ446=""),"",IF(AND(原始資料!AY446&lt;&gt;"",原始資料!AZ446=原始資料!AY446),N(AW446)+1,1))</f>
        <v/>
      </c>
      <c r="AY446" s="6">
        <f>IF(OR(原始資料!$A446="",50&gt;設定!$B$3,原始資料!BA446=""),"",IF(AND(原始資料!AZ446&lt;&gt;"",原始資料!BA446=原始資料!AZ446),N(AX446)+1,1))</f>
        <v/>
      </c>
      <c r="AZ446" s="6">
        <f>IF(OR(原始資料!$A446="",51&gt;設定!$B$3,原始資料!BB446=""),"",IF(AND(原始資料!BA446&lt;&gt;"",原始資料!BB446=原始資料!BA446),N(AY446)+1,1))</f>
        <v/>
      </c>
      <c r="BA446" s="6">
        <f>IF(OR(原始資料!$A446="",52&gt;設定!$B$3,原始資料!BC446=""),"",IF(AND(原始資料!BB446&lt;&gt;"",原始資料!BC446=原始資料!BB446),N(AZ446)+1,1))</f>
        <v/>
      </c>
      <c r="BB446" s="6">
        <f>IF(OR(原始資料!$A446="",53&gt;設定!$B$3,原始資料!BD446=""),"",IF(AND(原始資料!BC446&lt;&gt;"",原始資料!BD446=原始資料!BC446),N(BA446)+1,1))</f>
        <v/>
      </c>
      <c r="BC446" s="6">
        <f>IF(OR(原始資料!$A446="",54&gt;設定!$B$3,原始資料!BE446=""),"",IF(AND(原始資料!BD446&lt;&gt;"",原始資料!BE446=原始資料!BD446),N(BB446)+1,1))</f>
        <v/>
      </c>
      <c r="BD446" s="6">
        <f>IF(OR(原始資料!$A446="",55&gt;設定!$B$3,原始資料!BF446=""),"",IF(AND(原始資料!BE446&lt;&gt;"",原始資料!BF446=原始資料!BE446),N(BC446)+1,1))</f>
        <v/>
      </c>
      <c r="BE446" s="6">
        <f>IF(OR(原始資料!$A446="",56&gt;設定!$B$3,原始資料!BG446=""),"",IF(AND(原始資料!BF446&lt;&gt;"",原始資料!BG446=原始資料!BF446),N(BD446)+1,1))</f>
        <v/>
      </c>
      <c r="BF446" s="6">
        <f>IF(OR(原始資料!$A446="",57&gt;設定!$B$3,原始資料!BH446=""),"",IF(AND(原始資料!BG446&lt;&gt;"",原始資料!BH446=原始資料!BG446),N(BE446)+1,1))</f>
        <v/>
      </c>
      <c r="BG446" s="6">
        <f>IF(OR(原始資料!$A446="",58&gt;設定!$B$3,原始資料!BI446=""),"",IF(AND(原始資料!BH446&lt;&gt;"",原始資料!BI446=原始資料!BH446),N(BF446)+1,1))</f>
        <v/>
      </c>
      <c r="BH446" s="6">
        <f>IF(OR(原始資料!$A446="",59&gt;設定!$B$3,原始資料!BJ446=""),"",IF(AND(原始資料!BI446&lt;&gt;"",原始資料!BJ446=原始資料!BI446),N(BG446)+1,1))</f>
        <v/>
      </c>
      <c r="BI446" s="6">
        <f>IF(OR(原始資料!$A446="",60&gt;設定!$B$3,原始資料!BK446=""),"",IF(AND(原始資料!BJ446&lt;&gt;"",原始資料!BK446=原始資料!BJ446),N(BH446)+1,1))</f>
        <v/>
      </c>
    </row>
    <row r="447">
      <c r="A447" s="6">
        <f>IF(原始資料!$A447="","",原始資料!$A447)</f>
        <v/>
      </c>
      <c r="B447" s="6">
        <f>IF(OR(原始資料!$A447="",1&gt;設定!$B$3,原始資料!D447=""),"",1)</f>
        <v/>
      </c>
      <c r="C447" s="6">
        <f>IF(OR(原始資料!$A447="",2&gt;設定!$B$3,原始資料!E447=""),"",IF(AND(原始資料!D447&lt;&gt;"",原始資料!E447=原始資料!D447),N(B447)+1,1))</f>
        <v/>
      </c>
      <c r="D447" s="6">
        <f>IF(OR(原始資料!$A447="",3&gt;設定!$B$3,原始資料!F447=""),"",IF(AND(原始資料!E447&lt;&gt;"",原始資料!F447=原始資料!E447),N(C447)+1,1))</f>
        <v/>
      </c>
      <c r="E447" s="6">
        <f>IF(OR(原始資料!$A447="",4&gt;設定!$B$3,原始資料!G447=""),"",IF(AND(原始資料!F447&lt;&gt;"",原始資料!G447=原始資料!F447),N(D447)+1,1))</f>
        <v/>
      </c>
      <c r="F447" s="6">
        <f>IF(OR(原始資料!$A447="",5&gt;設定!$B$3,原始資料!H447=""),"",IF(AND(原始資料!G447&lt;&gt;"",原始資料!H447=原始資料!G447),N(E447)+1,1))</f>
        <v/>
      </c>
      <c r="G447" s="6">
        <f>IF(OR(原始資料!$A447="",6&gt;設定!$B$3,原始資料!I447=""),"",IF(AND(原始資料!H447&lt;&gt;"",原始資料!I447=原始資料!H447),N(F447)+1,1))</f>
        <v/>
      </c>
      <c r="H447" s="6">
        <f>IF(OR(原始資料!$A447="",7&gt;設定!$B$3,原始資料!J447=""),"",IF(AND(原始資料!I447&lt;&gt;"",原始資料!J447=原始資料!I447),N(G447)+1,1))</f>
        <v/>
      </c>
      <c r="I447" s="6">
        <f>IF(OR(原始資料!$A447="",8&gt;設定!$B$3,原始資料!K447=""),"",IF(AND(原始資料!J447&lt;&gt;"",原始資料!K447=原始資料!J447),N(H447)+1,1))</f>
        <v/>
      </c>
      <c r="J447" s="6">
        <f>IF(OR(原始資料!$A447="",9&gt;設定!$B$3,原始資料!L447=""),"",IF(AND(原始資料!K447&lt;&gt;"",原始資料!L447=原始資料!K447),N(I447)+1,1))</f>
        <v/>
      </c>
      <c r="K447" s="6">
        <f>IF(OR(原始資料!$A447="",10&gt;設定!$B$3,原始資料!M447=""),"",IF(AND(原始資料!L447&lt;&gt;"",原始資料!M447=原始資料!L447),N(J447)+1,1))</f>
        <v/>
      </c>
      <c r="L447" s="6">
        <f>IF(OR(原始資料!$A447="",11&gt;設定!$B$3,原始資料!N447=""),"",IF(AND(原始資料!M447&lt;&gt;"",原始資料!N447=原始資料!M447),N(K447)+1,1))</f>
        <v/>
      </c>
      <c r="M447" s="6">
        <f>IF(OR(原始資料!$A447="",12&gt;設定!$B$3,原始資料!O447=""),"",IF(AND(原始資料!N447&lt;&gt;"",原始資料!O447=原始資料!N447),N(L447)+1,1))</f>
        <v/>
      </c>
      <c r="N447" s="6">
        <f>IF(OR(原始資料!$A447="",13&gt;設定!$B$3,原始資料!P447=""),"",IF(AND(原始資料!O447&lt;&gt;"",原始資料!P447=原始資料!O447),N(M447)+1,1))</f>
        <v/>
      </c>
      <c r="O447" s="6">
        <f>IF(OR(原始資料!$A447="",14&gt;設定!$B$3,原始資料!Q447=""),"",IF(AND(原始資料!P447&lt;&gt;"",原始資料!Q447=原始資料!P447),N(N447)+1,1))</f>
        <v/>
      </c>
      <c r="P447" s="6">
        <f>IF(OR(原始資料!$A447="",15&gt;設定!$B$3,原始資料!R447=""),"",IF(AND(原始資料!Q447&lt;&gt;"",原始資料!R447=原始資料!Q447),N(O447)+1,1))</f>
        <v/>
      </c>
      <c r="Q447" s="6">
        <f>IF(OR(原始資料!$A447="",16&gt;設定!$B$3,原始資料!S447=""),"",IF(AND(原始資料!R447&lt;&gt;"",原始資料!S447=原始資料!R447),N(P447)+1,1))</f>
        <v/>
      </c>
      <c r="R447" s="6">
        <f>IF(OR(原始資料!$A447="",17&gt;設定!$B$3,原始資料!T447=""),"",IF(AND(原始資料!S447&lt;&gt;"",原始資料!T447=原始資料!S447),N(Q447)+1,1))</f>
        <v/>
      </c>
      <c r="S447" s="6">
        <f>IF(OR(原始資料!$A447="",18&gt;設定!$B$3,原始資料!U447=""),"",IF(AND(原始資料!T447&lt;&gt;"",原始資料!U447=原始資料!T447),N(R447)+1,1))</f>
        <v/>
      </c>
      <c r="T447" s="6">
        <f>IF(OR(原始資料!$A447="",19&gt;設定!$B$3,原始資料!V447=""),"",IF(AND(原始資料!U447&lt;&gt;"",原始資料!V447=原始資料!U447),N(S447)+1,1))</f>
        <v/>
      </c>
      <c r="U447" s="6">
        <f>IF(OR(原始資料!$A447="",20&gt;設定!$B$3,原始資料!W447=""),"",IF(AND(原始資料!V447&lt;&gt;"",原始資料!W447=原始資料!V447),N(T447)+1,1))</f>
        <v/>
      </c>
      <c r="V447" s="6">
        <f>IF(OR(原始資料!$A447="",21&gt;設定!$B$3,原始資料!X447=""),"",IF(AND(原始資料!W447&lt;&gt;"",原始資料!X447=原始資料!W447),N(U447)+1,1))</f>
        <v/>
      </c>
      <c r="W447" s="6">
        <f>IF(OR(原始資料!$A447="",22&gt;設定!$B$3,原始資料!Y447=""),"",IF(AND(原始資料!X447&lt;&gt;"",原始資料!Y447=原始資料!X447),N(V447)+1,1))</f>
        <v/>
      </c>
      <c r="X447" s="6">
        <f>IF(OR(原始資料!$A447="",23&gt;設定!$B$3,原始資料!Z447=""),"",IF(AND(原始資料!Y447&lt;&gt;"",原始資料!Z447=原始資料!Y447),N(W447)+1,1))</f>
        <v/>
      </c>
      <c r="Y447" s="6">
        <f>IF(OR(原始資料!$A447="",24&gt;設定!$B$3,原始資料!AA447=""),"",IF(AND(原始資料!Z447&lt;&gt;"",原始資料!AA447=原始資料!Z447),N(X447)+1,1))</f>
        <v/>
      </c>
      <c r="Z447" s="6">
        <f>IF(OR(原始資料!$A447="",25&gt;設定!$B$3,原始資料!AB447=""),"",IF(AND(原始資料!AA447&lt;&gt;"",原始資料!AB447=原始資料!AA447),N(Y447)+1,1))</f>
        <v/>
      </c>
      <c r="AA447" s="6">
        <f>IF(OR(原始資料!$A447="",26&gt;設定!$B$3,原始資料!AC447=""),"",IF(AND(原始資料!AB447&lt;&gt;"",原始資料!AC447=原始資料!AB447),N(Z447)+1,1))</f>
        <v/>
      </c>
      <c r="AB447" s="6">
        <f>IF(OR(原始資料!$A447="",27&gt;設定!$B$3,原始資料!AD447=""),"",IF(AND(原始資料!AC447&lt;&gt;"",原始資料!AD447=原始資料!AC447),N(AA447)+1,1))</f>
        <v/>
      </c>
      <c r="AC447" s="6">
        <f>IF(OR(原始資料!$A447="",28&gt;設定!$B$3,原始資料!AE447=""),"",IF(AND(原始資料!AD447&lt;&gt;"",原始資料!AE447=原始資料!AD447),N(AB447)+1,1))</f>
        <v/>
      </c>
      <c r="AD447" s="6">
        <f>IF(OR(原始資料!$A447="",29&gt;設定!$B$3,原始資料!AF447=""),"",IF(AND(原始資料!AE447&lt;&gt;"",原始資料!AF447=原始資料!AE447),N(AC447)+1,1))</f>
        <v/>
      </c>
      <c r="AE447" s="6">
        <f>IF(OR(原始資料!$A447="",30&gt;設定!$B$3,原始資料!AG447=""),"",IF(AND(原始資料!AF447&lt;&gt;"",原始資料!AG447=原始資料!AF447),N(AD447)+1,1))</f>
        <v/>
      </c>
      <c r="AF447" s="6">
        <f>IF(OR(原始資料!$A447="",31&gt;設定!$B$3,原始資料!AH447=""),"",IF(AND(原始資料!AG447&lt;&gt;"",原始資料!AH447=原始資料!AG447),N(AE447)+1,1))</f>
        <v/>
      </c>
      <c r="AG447" s="6">
        <f>IF(OR(原始資料!$A447="",32&gt;設定!$B$3,原始資料!AI447=""),"",IF(AND(原始資料!AH447&lt;&gt;"",原始資料!AI447=原始資料!AH447),N(AF447)+1,1))</f>
        <v/>
      </c>
      <c r="AH447" s="6">
        <f>IF(OR(原始資料!$A447="",33&gt;設定!$B$3,原始資料!AJ447=""),"",IF(AND(原始資料!AI447&lt;&gt;"",原始資料!AJ447=原始資料!AI447),N(AG447)+1,1))</f>
        <v/>
      </c>
      <c r="AI447" s="6">
        <f>IF(OR(原始資料!$A447="",34&gt;設定!$B$3,原始資料!AK447=""),"",IF(AND(原始資料!AJ447&lt;&gt;"",原始資料!AK447=原始資料!AJ447),N(AH447)+1,1))</f>
        <v/>
      </c>
      <c r="AJ447" s="6">
        <f>IF(OR(原始資料!$A447="",35&gt;設定!$B$3,原始資料!AL447=""),"",IF(AND(原始資料!AK447&lt;&gt;"",原始資料!AL447=原始資料!AK447),N(AI447)+1,1))</f>
        <v/>
      </c>
      <c r="AK447" s="6">
        <f>IF(OR(原始資料!$A447="",36&gt;設定!$B$3,原始資料!AM447=""),"",IF(AND(原始資料!AL447&lt;&gt;"",原始資料!AM447=原始資料!AL447),N(AJ447)+1,1))</f>
        <v/>
      </c>
      <c r="AL447" s="6">
        <f>IF(OR(原始資料!$A447="",37&gt;設定!$B$3,原始資料!AN447=""),"",IF(AND(原始資料!AM447&lt;&gt;"",原始資料!AN447=原始資料!AM447),N(AK447)+1,1))</f>
        <v/>
      </c>
      <c r="AM447" s="6">
        <f>IF(OR(原始資料!$A447="",38&gt;設定!$B$3,原始資料!AO447=""),"",IF(AND(原始資料!AN447&lt;&gt;"",原始資料!AO447=原始資料!AN447),N(AL447)+1,1))</f>
        <v/>
      </c>
      <c r="AN447" s="6">
        <f>IF(OR(原始資料!$A447="",39&gt;設定!$B$3,原始資料!AP447=""),"",IF(AND(原始資料!AO447&lt;&gt;"",原始資料!AP447=原始資料!AO447),N(AM447)+1,1))</f>
        <v/>
      </c>
      <c r="AO447" s="6">
        <f>IF(OR(原始資料!$A447="",40&gt;設定!$B$3,原始資料!AQ447=""),"",IF(AND(原始資料!AP447&lt;&gt;"",原始資料!AQ447=原始資料!AP447),N(AN447)+1,1))</f>
        <v/>
      </c>
      <c r="AP447" s="6">
        <f>IF(OR(原始資料!$A447="",41&gt;設定!$B$3,原始資料!AR447=""),"",IF(AND(原始資料!AQ447&lt;&gt;"",原始資料!AR447=原始資料!AQ447),N(AO447)+1,1))</f>
        <v/>
      </c>
      <c r="AQ447" s="6">
        <f>IF(OR(原始資料!$A447="",42&gt;設定!$B$3,原始資料!AS447=""),"",IF(AND(原始資料!AR447&lt;&gt;"",原始資料!AS447=原始資料!AR447),N(AP447)+1,1))</f>
        <v/>
      </c>
      <c r="AR447" s="6">
        <f>IF(OR(原始資料!$A447="",43&gt;設定!$B$3,原始資料!AT447=""),"",IF(AND(原始資料!AS447&lt;&gt;"",原始資料!AT447=原始資料!AS447),N(AQ447)+1,1))</f>
        <v/>
      </c>
      <c r="AS447" s="6">
        <f>IF(OR(原始資料!$A447="",44&gt;設定!$B$3,原始資料!AU447=""),"",IF(AND(原始資料!AT447&lt;&gt;"",原始資料!AU447=原始資料!AT447),N(AR447)+1,1))</f>
        <v/>
      </c>
      <c r="AT447" s="6">
        <f>IF(OR(原始資料!$A447="",45&gt;設定!$B$3,原始資料!AV447=""),"",IF(AND(原始資料!AU447&lt;&gt;"",原始資料!AV447=原始資料!AU447),N(AS447)+1,1))</f>
        <v/>
      </c>
      <c r="AU447" s="6">
        <f>IF(OR(原始資料!$A447="",46&gt;設定!$B$3,原始資料!AW447=""),"",IF(AND(原始資料!AV447&lt;&gt;"",原始資料!AW447=原始資料!AV447),N(AT447)+1,1))</f>
        <v/>
      </c>
      <c r="AV447" s="6">
        <f>IF(OR(原始資料!$A447="",47&gt;設定!$B$3,原始資料!AX447=""),"",IF(AND(原始資料!AW447&lt;&gt;"",原始資料!AX447=原始資料!AW447),N(AU447)+1,1))</f>
        <v/>
      </c>
      <c r="AW447" s="6">
        <f>IF(OR(原始資料!$A447="",48&gt;設定!$B$3,原始資料!AY447=""),"",IF(AND(原始資料!AX447&lt;&gt;"",原始資料!AY447=原始資料!AX447),N(AV447)+1,1))</f>
        <v/>
      </c>
      <c r="AX447" s="6">
        <f>IF(OR(原始資料!$A447="",49&gt;設定!$B$3,原始資料!AZ447=""),"",IF(AND(原始資料!AY447&lt;&gt;"",原始資料!AZ447=原始資料!AY447),N(AW447)+1,1))</f>
        <v/>
      </c>
      <c r="AY447" s="6">
        <f>IF(OR(原始資料!$A447="",50&gt;設定!$B$3,原始資料!BA447=""),"",IF(AND(原始資料!AZ447&lt;&gt;"",原始資料!BA447=原始資料!AZ447),N(AX447)+1,1))</f>
        <v/>
      </c>
      <c r="AZ447" s="6">
        <f>IF(OR(原始資料!$A447="",51&gt;設定!$B$3,原始資料!BB447=""),"",IF(AND(原始資料!BA447&lt;&gt;"",原始資料!BB447=原始資料!BA447),N(AY447)+1,1))</f>
        <v/>
      </c>
      <c r="BA447" s="6">
        <f>IF(OR(原始資料!$A447="",52&gt;設定!$B$3,原始資料!BC447=""),"",IF(AND(原始資料!BB447&lt;&gt;"",原始資料!BC447=原始資料!BB447),N(AZ447)+1,1))</f>
        <v/>
      </c>
      <c r="BB447" s="6">
        <f>IF(OR(原始資料!$A447="",53&gt;設定!$B$3,原始資料!BD447=""),"",IF(AND(原始資料!BC447&lt;&gt;"",原始資料!BD447=原始資料!BC447),N(BA447)+1,1))</f>
        <v/>
      </c>
      <c r="BC447" s="6">
        <f>IF(OR(原始資料!$A447="",54&gt;設定!$B$3,原始資料!BE447=""),"",IF(AND(原始資料!BD447&lt;&gt;"",原始資料!BE447=原始資料!BD447),N(BB447)+1,1))</f>
        <v/>
      </c>
      <c r="BD447" s="6">
        <f>IF(OR(原始資料!$A447="",55&gt;設定!$B$3,原始資料!BF447=""),"",IF(AND(原始資料!BE447&lt;&gt;"",原始資料!BF447=原始資料!BE447),N(BC447)+1,1))</f>
        <v/>
      </c>
      <c r="BE447" s="6">
        <f>IF(OR(原始資料!$A447="",56&gt;設定!$B$3,原始資料!BG447=""),"",IF(AND(原始資料!BF447&lt;&gt;"",原始資料!BG447=原始資料!BF447),N(BD447)+1,1))</f>
        <v/>
      </c>
      <c r="BF447" s="6">
        <f>IF(OR(原始資料!$A447="",57&gt;設定!$B$3,原始資料!BH447=""),"",IF(AND(原始資料!BG447&lt;&gt;"",原始資料!BH447=原始資料!BG447),N(BE447)+1,1))</f>
        <v/>
      </c>
      <c r="BG447" s="6">
        <f>IF(OR(原始資料!$A447="",58&gt;設定!$B$3,原始資料!BI447=""),"",IF(AND(原始資料!BH447&lt;&gt;"",原始資料!BI447=原始資料!BH447),N(BF447)+1,1))</f>
        <v/>
      </c>
      <c r="BH447" s="6">
        <f>IF(OR(原始資料!$A447="",59&gt;設定!$B$3,原始資料!BJ447=""),"",IF(AND(原始資料!BI447&lt;&gt;"",原始資料!BJ447=原始資料!BI447),N(BG447)+1,1))</f>
        <v/>
      </c>
      <c r="BI447" s="6">
        <f>IF(OR(原始資料!$A447="",60&gt;設定!$B$3,原始資料!BK447=""),"",IF(AND(原始資料!BJ447&lt;&gt;"",原始資料!BK447=原始資料!BJ447),N(BH447)+1,1))</f>
        <v/>
      </c>
    </row>
    <row r="448">
      <c r="A448" s="6">
        <f>IF(原始資料!$A448="","",原始資料!$A448)</f>
        <v/>
      </c>
      <c r="B448" s="6">
        <f>IF(OR(原始資料!$A448="",1&gt;設定!$B$3,原始資料!D448=""),"",1)</f>
        <v/>
      </c>
      <c r="C448" s="6">
        <f>IF(OR(原始資料!$A448="",2&gt;設定!$B$3,原始資料!E448=""),"",IF(AND(原始資料!D448&lt;&gt;"",原始資料!E448=原始資料!D448),N(B448)+1,1))</f>
        <v/>
      </c>
      <c r="D448" s="6">
        <f>IF(OR(原始資料!$A448="",3&gt;設定!$B$3,原始資料!F448=""),"",IF(AND(原始資料!E448&lt;&gt;"",原始資料!F448=原始資料!E448),N(C448)+1,1))</f>
        <v/>
      </c>
      <c r="E448" s="6">
        <f>IF(OR(原始資料!$A448="",4&gt;設定!$B$3,原始資料!G448=""),"",IF(AND(原始資料!F448&lt;&gt;"",原始資料!G448=原始資料!F448),N(D448)+1,1))</f>
        <v/>
      </c>
      <c r="F448" s="6">
        <f>IF(OR(原始資料!$A448="",5&gt;設定!$B$3,原始資料!H448=""),"",IF(AND(原始資料!G448&lt;&gt;"",原始資料!H448=原始資料!G448),N(E448)+1,1))</f>
        <v/>
      </c>
      <c r="G448" s="6">
        <f>IF(OR(原始資料!$A448="",6&gt;設定!$B$3,原始資料!I448=""),"",IF(AND(原始資料!H448&lt;&gt;"",原始資料!I448=原始資料!H448),N(F448)+1,1))</f>
        <v/>
      </c>
      <c r="H448" s="6">
        <f>IF(OR(原始資料!$A448="",7&gt;設定!$B$3,原始資料!J448=""),"",IF(AND(原始資料!I448&lt;&gt;"",原始資料!J448=原始資料!I448),N(G448)+1,1))</f>
        <v/>
      </c>
      <c r="I448" s="6">
        <f>IF(OR(原始資料!$A448="",8&gt;設定!$B$3,原始資料!K448=""),"",IF(AND(原始資料!J448&lt;&gt;"",原始資料!K448=原始資料!J448),N(H448)+1,1))</f>
        <v/>
      </c>
      <c r="J448" s="6">
        <f>IF(OR(原始資料!$A448="",9&gt;設定!$B$3,原始資料!L448=""),"",IF(AND(原始資料!K448&lt;&gt;"",原始資料!L448=原始資料!K448),N(I448)+1,1))</f>
        <v/>
      </c>
      <c r="K448" s="6">
        <f>IF(OR(原始資料!$A448="",10&gt;設定!$B$3,原始資料!M448=""),"",IF(AND(原始資料!L448&lt;&gt;"",原始資料!M448=原始資料!L448),N(J448)+1,1))</f>
        <v/>
      </c>
      <c r="L448" s="6">
        <f>IF(OR(原始資料!$A448="",11&gt;設定!$B$3,原始資料!N448=""),"",IF(AND(原始資料!M448&lt;&gt;"",原始資料!N448=原始資料!M448),N(K448)+1,1))</f>
        <v/>
      </c>
      <c r="M448" s="6">
        <f>IF(OR(原始資料!$A448="",12&gt;設定!$B$3,原始資料!O448=""),"",IF(AND(原始資料!N448&lt;&gt;"",原始資料!O448=原始資料!N448),N(L448)+1,1))</f>
        <v/>
      </c>
      <c r="N448" s="6">
        <f>IF(OR(原始資料!$A448="",13&gt;設定!$B$3,原始資料!P448=""),"",IF(AND(原始資料!O448&lt;&gt;"",原始資料!P448=原始資料!O448),N(M448)+1,1))</f>
        <v/>
      </c>
      <c r="O448" s="6">
        <f>IF(OR(原始資料!$A448="",14&gt;設定!$B$3,原始資料!Q448=""),"",IF(AND(原始資料!P448&lt;&gt;"",原始資料!Q448=原始資料!P448),N(N448)+1,1))</f>
        <v/>
      </c>
      <c r="P448" s="6">
        <f>IF(OR(原始資料!$A448="",15&gt;設定!$B$3,原始資料!R448=""),"",IF(AND(原始資料!Q448&lt;&gt;"",原始資料!R448=原始資料!Q448),N(O448)+1,1))</f>
        <v/>
      </c>
      <c r="Q448" s="6">
        <f>IF(OR(原始資料!$A448="",16&gt;設定!$B$3,原始資料!S448=""),"",IF(AND(原始資料!R448&lt;&gt;"",原始資料!S448=原始資料!R448),N(P448)+1,1))</f>
        <v/>
      </c>
      <c r="R448" s="6">
        <f>IF(OR(原始資料!$A448="",17&gt;設定!$B$3,原始資料!T448=""),"",IF(AND(原始資料!S448&lt;&gt;"",原始資料!T448=原始資料!S448),N(Q448)+1,1))</f>
        <v/>
      </c>
      <c r="S448" s="6">
        <f>IF(OR(原始資料!$A448="",18&gt;設定!$B$3,原始資料!U448=""),"",IF(AND(原始資料!T448&lt;&gt;"",原始資料!U448=原始資料!T448),N(R448)+1,1))</f>
        <v/>
      </c>
      <c r="T448" s="6">
        <f>IF(OR(原始資料!$A448="",19&gt;設定!$B$3,原始資料!V448=""),"",IF(AND(原始資料!U448&lt;&gt;"",原始資料!V448=原始資料!U448),N(S448)+1,1))</f>
        <v/>
      </c>
      <c r="U448" s="6">
        <f>IF(OR(原始資料!$A448="",20&gt;設定!$B$3,原始資料!W448=""),"",IF(AND(原始資料!V448&lt;&gt;"",原始資料!W448=原始資料!V448),N(T448)+1,1))</f>
        <v/>
      </c>
      <c r="V448" s="6">
        <f>IF(OR(原始資料!$A448="",21&gt;設定!$B$3,原始資料!X448=""),"",IF(AND(原始資料!W448&lt;&gt;"",原始資料!X448=原始資料!W448),N(U448)+1,1))</f>
        <v/>
      </c>
      <c r="W448" s="6">
        <f>IF(OR(原始資料!$A448="",22&gt;設定!$B$3,原始資料!Y448=""),"",IF(AND(原始資料!X448&lt;&gt;"",原始資料!Y448=原始資料!X448),N(V448)+1,1))</f>
        <v/>
      </c>
      <c r="X448" s="6">
        <f>IF(OR(原始資料!$A448="",23&gt;設定!$B$3,原始資料!Z448=""),"",IF(AND(原始資料!Y448&lt;&gt;"",原始資料!Z448=原始資料!Y448),N(W448)+1,1))</f>
        <v/>
      </c>
      <c r="Y448" s="6">
        <f>IF(OR(原始資料!$A448="",24&gt;設定!$B$3,原始資料!AA448=""),"",IF(AND(原始資料!Z448&lt;&gt;"",原始資料!AA448=原始資料!Z448),N(X448)+1,1))</f>
        <v/>
      </c>
      <c r="Z448" s="6">
        <f>IF(OR(原始資料!$A448="",25&gt;設定!$B$3,原始資料!AB448=""),"",IF(AND(原始資料!AA448&lt;&gt;"",原始資料!AB448=原始資料!AA448),N(Y448)+1,1))</f>
        <v/>
      </c>
      <c r="AA448" s="6">
        <f>IF(OR(原始資料!$A448="",26&gt;設定!$B$3,原始資料!AC448=""),"",IF(AND(原始資料!AB448&lt;&gt;"",原始資料!AC448=原始資料!AB448),N(Z448)+1,1))</f>
        <v/>
      </c>
      <c r="AB448" s="6">
        <f>IF(OR(原始資料!$A448="",27&gt;設定!$B$3,原始資料!AD448=""),"",IF(AND(原始資料!AC448&lt;&gt;"",原始資料!AD448=原始資料!AC448),N(AA448)+1,1))</f>
        <v/>
      </c>
      <c r="AC448" s="6">
        <f>IF(OR(原始資料!$A448="",28&gt;設定!$B$3,原始資料!AE448=""),"",IF(AND(原始資料!AD448&lt;&gt;"",原始資料!AE448=原始資料!AD448),N(AB448)+1,1))</f>
        <v/>
      </c>
      <c r="AD448" s="6">
        <f>IF(OR(原始資料!$A448="",29&gt;設定!$B$3,原始資料!AF448=""),"",IF(AND(原始資料!AE448&lt;&gt;"",原始資料!AF448=原始資料!AE448),N(AC448)+1,1))</f>
        <v/>
      </c>
      <c r="AE448" s="6">
        <f>IF(OR(原始資料!$A448="",30&gt;設定!$B$3,原始資料!AG448=""),"",IF(AND(原始資料!AF448&lt;&gt;"",原始資料!AG448=原始資料!AF448),N(AD448)+1,1))</f>
        <v/>
      </c>
      <c r="AF448" s="6">
        <f>IF(OR(原始資料!$A448="",31&gt;設定!$B$3,原始資料!AH448=""),"",IF(AND(原始資料!AG448&lt;&gt;"",原始資料!AH448=原始資料!AG448),N(AE448)+1,1))</f>
        <v/>
      </c>
      <c r="AG448" s="6">
        <f>IF(OR(原始資料!$A448="",32&gt;設定!$B$3,原始資料!AI448=""),"",IF(AND(原始資料!AH448&lt;&gt;"",原始資料!AI448=原始資料!AH448),N(AF448)+1,1))</f>
        <v/>
      </c>
      <c r="AH448" s="6">
        <f>IF(OR(原始資料!$A448="",33&gt;設定!$B$3,原始資料!AJ448=""),"",IF(AND(原始資料!AI448&lt;&gt;"",原始資料!AJ448=原始資料!AI448),N(AG448)+1,1))</f>
        <v/>
      </c>
      <c r="AI448" s="6">
        <f>IF(OR(原始資料!$A448="",34&gt;設定!$B$3,原始資料!AK448=""),"",IF(AND(原始資料!AJ448&lt;&gt;"",原始資料!AK448=原始資料!AJ448),N(AH448)+1,1))</f>
        <v/>
      </c>
      <c r="AJ448" s="6">
        <f>IF(OR(原始資料!$A448="",35&gt;設定!$B$3,原始資料!AL448=""),"",IF(AND(原始資料!AK448&lt;&gt;"",原始資料!AL448=原始資料!AK448),N(AI448)+1,1))</f>
        <v/>
      </c>
      <c r="AK448" s="6">
        <f>IF(OR(原始資料!$A448="",36&gt;設定!$B$3,原始資料!AM448=""),"",IF(AND(原始資料!AL448&lt;&gt;"",原始資料!AM448=原始資料!AL448),N(AJ448)+1,1))</f>
        <v/>
      </c>
      <c r="AL448" s="6">
        <f>IF(OR(原始資料!$A448="",37&gt;設定!$B$3,原始資料!AN448=""),"",IF(AND(原始資料!AM448&lt;&gt;"",原始資料!AN448=原始資料!AM448),N(AK448)+1,1))</f>
        <v/>
      </c>
      <c r="AM448" s="6">
        <f>IF(OR(原始資料!$A448="",38&gt;設定!$B$3,原始資料!AO448=""),"",IF(AND(原始資料!AN448&lt;&gt;"",原始資料!AO448=原始資料!AN448),N(AL448)+1,1))</f>
        <v/>
      </c>
      <c r="AN448" s="6">
        <f>IF(OR(原始資料!$A448="",39&gt;設定!$B$3,原始資料!AP448=""),"",IF(AND(原始資料!AO448&lt;&gt;"",原始資料!AP448=原始資料!AO448),N(AM448)+1,1))</f>
        <v/>
      </c>
      <c r="AO448" s="6">
        <f>IF(OR(原始資料!$A448="",40&gt;設定!$B$3,原始資料!AQ448=""),"",IF(AND(原始資料!AP448&lt;&gt;"",原始資料!AQ448=原始資料!AP448),N(AN448)+1,1))</f>
        <v/>
      </c>
      <c r="AP448" s="6">
        <f>IF(OR(原始資料!$A448="",41&gt;設定!$B$3,原始資料!AR448=""),"",IF(AND(原始資料!AQ448&lt;&gt;"",原始資料!AR448=原始資料!AQ448),N(AO448)+1,1))</f>
        <v/>
      </c>
      <c r="AQ448" s="6">
        <f>IF(OR(原始資料!$A448="",42&gt;設定!$B$3,原始資料!AS448=""),"",IF(AND(原始資料!AR448&lt;&gt;"",原始資料!AS448=原始資料!AR448),N(AP448)+1,1))</f>
        <v/>
      </c>
      <c r="AR448" s="6">
        <f>IF(OR(原始資料!$A448="",43&gt;設定!$B$3,原始資料!AT448=""),"",IF(AND(原始資料!AS448&lt;&gt;"",原始資料!AT448=原始資料!AS448),N(AQ448)+1,1))</f>
        <v/>
      </c>
      <c r="AS448" s="6">
        <f>IF(OR(原始資料!$A448="",44&gt;設定!$B$3,原始資料!AU448=""),"",IF(AND(原始資料!AT448&lt;&gt;"",原始資料!AU448=原始資料!AT448),N(AR448)+1,1))</f>
        <v/>
      </c>
      <c r="AT448" s="6">
        <f>IF(OR(原始資料!$A448="",45&gt;設定!$B$3,原始資料!AV448=""),"",IF(AND(原始資料!AU448&lt;&gt;"",原始資料!AV448=原始資料!AU448),N(AS448)+1,1))</f>
        <v/>
      </c>
      <c r="AU448" s="6">
        <f>IF(OR(原始資料!$A448="",46&gt;設定!$B$3,原始資料!AW448=""),"",IF(AND(原始資料!AV448&lt;&gt;"",原始資料!AW448=原始資料!AV448),N(AT448)+1,1))</f>
        <v/>
      </c>
      <c r="AV448" s="6">
        <f>IF(OR(原始資料!$A448="",47&gt;設定!$B$3,原始資料!AX448=""),"",IF(AND(原始資料!AW448&lt;&gt;"",原始資料!AX448=原始資料!AW448),N(AU448)+1,1))</f>
        <v/>
      </c>
      <c r="AW448" s="6">
        <f>IF(OR(原始資料!$A448="",48&gt;設定!$B$3,原始資料!AY448=""),"",IF(AND(原始資料!AX448&lt;&gt;"",原始資料!AY448=原始資料!AX448),N(AV448)+1,1))</f>
        <v/>
      </c>
      <c r="AX448" s="6">
        <f>IF(OR(原始資料!$A448="",49&gt;設定!$B$3,原始資料!AZ448=""),"",IF(AND(原始資料!AY448&lt;&gt;"",原始資料!AZ448=原始資料!AY448),N(AW448)+1,1))</f>
        <v/>
      </c>
      <c r="AY448" s="6">
        <f>IF(OR(原始資料!$A448="",50&gt;設定!$B$3,原始資料!BA448=""),"",IF(AND(原始資料!AZ448&lt;&gt;"",原始資料!BA448=原始資料!AZ448),N(AX448)+1,1))</f>
        <v/>
      </c>
      <c r="AZ448" s="6">
        <f>IF(OR(原始資料!$A448="",51&gt;設定!$B$3,原始資料!BB448=""),"",IF(AND(原始資料!BA448&lt;&gt;"",原始資料!BB448=原始資料!BA448),N(AY448)+1,1))</f>
        <v/>
      </c>
      <c r="BA448" s="6">
        <f>IF(OR(原始資料!$A448="",52&gt;設定!$B$3,原始資料!BC448=""),"",IF(AND(原始資料!BB448&lt;&gt;"",原始資料!BC448=原始資料!BB448),N(AZ448)+1,1))</f>
        <v/>
      </c>
      <c r="BB448" s="6">
        <f>IF(OR(原始資料!$A448="",53&gt;設定!$B$3,原始資料!BD448=""),"",IF(AND(原始資料!BC448&lt;&gt;"",原始資料!BD448=原始資料!BC448),N(BA448)+1,1))</f>
        <v/>
      </c>
      <c r="BC448" s="6">
        <f>IF(OR(原始資料!$A448="",54&gt;設定!$B$3,原始資料!BE448=""),"",IF(AND(原始資料!BD448&lt;&gt;"",原始資料!BE448=原始資料!BD448),N(BB448)+1,1))</f>
        <v/>
      </c>
      <c r="BD448" s="6">
        <f>IF(OR(原始資料!$A448="",55&gt;設定!$B$3,原始資料!BF448=""),"",IF(AND(原始資料!BE448&lt;&gt;"",原始資料!BF448=原始資料!BE448),N(BC448)+1,1))</f>
        <v/>
      </c>
      <c r="BE448" s="6">
        <f>IF(OR(原始資料!$A448="",56&gt;設定!$B$3,原始資料!BG448=""),"",IF(AND(原始資料!BF448&lt;&gt;"",原始資料!BG448=原始資料!BF448),N(BD448)+1,1))</f>
        <v/>
      </c>
      <c r="BF448" s="6">
        <f>IF(OR(原始資料!$A448="",57&gt;設定!$B$3,原始資料!BH448=""),"",IF(AND(原始資料!BG448&lt;&gt;"",原始資料!BH448=原始資料!BG448),N(BE448)+1,1))</f>
        <v/>
      </c>
      <c r="BG448" s="6">
        <f>IF(OR(原始資料!$A448="",58&gt;設定!$B$3,原始資料!BI448=""),"",IF(AND(原始資料!BH448&lt;&gt;"",原始資料!BI448=原始資料!BH448),N(BF448)+1,1))</f>
        <v/>
      </c>
      <c r="BH448" s="6">
        <f>IF(OR(原始資料!$A448="",59&gt;設定!$B$3,原始資料!BJ448=""),"",IF(AND(原始資料!BI448&lt;&gt;"",原始資料!BJ448=原始資料!BI448),N(BG448)+1,1))</f>
        <v/>
      </c>
      <c r="BI448" s="6">
        <f>IF(OR(原始資料!$A448="",60&gt;設定!$B$3,原始資料!BK448=""),"",IF(AND(原始資料!BJ448&lt;&gt;"",原始資料!BK448=原始資料!BJ448),N(BH448)+1,1))</f>
        <v/>
      </c>
    </row>
    <row r="449">
      <c r="A449" s="6">
        <f>IF(原始資料!$A449="","",原始資料!$A449)</f>
        <v/>
      </c>
      <c r="B449" s="6">
        <f>IF(OR(原始資料!$A449="",1&gt;設定!$B$3,原始資料!D449=""),"",1)</f>
        <v/>
      </c>
      <c r="C449" s="6">
        <f>IF(OR(原始資料!$A449="",2&gt;設定!$B$3,原始資料!E449=""),"",IF(AND(原始資料!D449&lt;&gt;"",原始資料!E449=原始資料!D449),N(B449)+1,1))</f>
        <v/>
      </c>
      <c r="D449" s="6">
        <f>IF(OR(原始資料!$A449="",3&gt;設定!$B$3,原始資料!F449=""),"",IF(AND(原始資料!E449&lt;&gt;"",原始資料!F449=原始資料!E449),N(C449)+1,1))</f>
        <v/>
      </c>
      <c r="E449" s="6">
        <f>IF(OR(原始資料!$A449="",4&gt;設定!$B$3,原始資料!G449=""),"",IF(AND(原始資料!F449&lt;&gt;"",原始資料!G449=原始資料!F449),N(D449)+1,1))</f>
        <v/>
      </c>
      <c r="F449" s="6">
        <f>IF(OR(原始資料!$A449="",5&gt;設定!$B$3,原始資料!H449=""),"",IF(AND(原始資料!G449&lt;&gt;"",原始資料!H449=原始資料!G449),N(E449)+1,1))</f>
        <v/>
      </c>
      <c r="G449" s="6">
        <f>IF(OR(原始資料!$A449="",6&gt;設定!$B$3,原始資料!I449=""),"",IF(AND(原始資料!H449&lt;&gt;"",原始資料!I449=原始資料!H449),N(F449)+1,1))</f>
        <v/>
      </c>
      <c r="H449" s="6">
        <f>IF(OR(原始資料!$A449="",7&gt;設定!$B$3,原始資料!J449=""),"",IF(AND(原始資料!I449&lt;&gt;"",原始資料!J449=原始資料!I449),N(G449)+1,1))</f>
        <v/>
      </c>
      <c r="I449" s="6">
        <f>IF(OR(原始資料!$A449="",8&gt;設定!$B$3,原始資料!K449=""),"",IF(AND(原始資料!J449&lt;&gt;"",原始資料!K449=原始資料!J449),N(H449)+1,1))</f>
        <v/>
      </c>
      <c r="J449" s="6">
        <f>IF(OR(原始資料!$A449="",9&gt;設定!$B$3,原始資料!L449=""),"",IF(AND(原始資料!K449&lt;&gt;"",原始資料!L449=原始資料!K449),N(I449)+1,1))</f>
        <v/>
      </c>
      <c r="K449" s="6">
        <f>IF(OR(原始資料!$A449="",10&gt;設定!$B$3,原始資料!M449=""),"",IF(AND(原始資料!L449&lt;&gt;"",原始資料!M449=原始資料!L449),N(J449)+1,1))</f>
        <v/>
      </c>
      <c r="L449" s="6">
        <f>IF(OR(原始資料!$A449="",11&gt;設定!$B$3,原始資料!N449=""),"",IF(AND(原始資料!M449&lt;&gt;"",原始資料!N449=原始資料!M449),N(K449)+1,1))</f>
        <v/>
      </c>
      <c r="M449" s="6">
        <f>IF(OR(原始資料!$A449="",12&gt;設定!$B$3,原始資料!O449=""),"",IF(AND(原始資料!N449&lt;&gt;"",原始資料!O449=原始資料!N449),N(L449)+1,1))</f>
        <v/>
      </c>
      <c r="N449" s="6">
        <f>IF(OR(原始資料!$A449="",13&gt;設定!$B$3,原始資料!P449=""),"",IF(AND(原始資料!O449&lt;&gt;"",原始資料!P449=原始資料!O449),N(M449)+1,1))</f>
        <v/>
      </c>
      <c r="O449" s="6">
        <f>IF(OR(原始資料!$A449="",14&gt;設定!$B$3,原始資料!Q449=""),"",IF(AND(原始資料!P449&lt;&gt;"",原始資料!Q449=原始資料!P449),N(N449)+1,1))</f>
        <v/>
      </c>
      <c r="P449" s="6">
        <f>IF(OR(原始資料!$A449="",15&gt;設定!$B$3,原始資料!R449=""),"",IF(AND(原始資料!Q449&lt;&gt;"",原始資料!R449=原始資料!Q449),N(O449)+1,1))</f>
        <v/>
      </c>
      <c r="Q449" s="6">
        <f>IF(OR(原始資料!$A449="",16&gt;設定!$B$3,原始資料!S449=""),"",IF(AND(原始資料!R449&lt;&gt;"",原始資料!S449=原始資料!R449),N(P449)+1,1))</f>
        <v/>
      </c>
      <c r="R449" s="6">
        <f>IF(OR(原始資料!$A449="",17&gt;設定!$B$3,原始資料!T449=""),"",IF(AND(原始資料!S449&lt;&gt;"",原始資料!T449=原始資料!S449),N(Q449)+1,1))</f>
        <v/>
      </c>
      <c r="S449" s="6">
        <f>IF(OR(原始資料!$A449="",18&gt;設定!$B$3,原始資料!U449=""),"",IF(AND(原始資料!T449&lt;&gt;"",原始資料!U449=原始資料!T449),N(R449)+1,1))</f>
        <v/>
      </c>
      <c r="T449" s="6">
        <f>IF(OR(原始資料!$A449="",19&gt;設定!$B$3,原始資料!V449=""),"",IF(AND(原始資料!U449&lt;&gt;"",原始資料!V449=原始資料!U449),N(S449)+1,1))</f>
        <v/>
      </c>
      <c r="U449" s="6">
        <f>IF(OR(原始資料!$A449="",20&gt;設定!$B$3,原始資料!W449=""),"",IF(AND(原始資料!V449&lt;&gt;"",原始資料!W449=原始資料!V449),N(T449)+1,1))</f>
        <v/>
      </c>
      <c r="V449" s="6">
        <f>IF(OR(原始資料!$A449="",21&gt;設定!$B$3,原始資料!X449=""),"",IF(AND(原始資料!W449&lt;&gt;"",原始資料!X449=原始資料!W449),N(U449)+1,1))</f>
        <v/>
      </c>
      <c r="W449" s="6">
        <f>IF(OR(原始資料!$A449="",22&gt;設定!$B$3,原始資料!Y449=""),"",IF(AND(原始資料!X449&lt;&gt;"",原始資料!Y449=原始資料!X449),N(V449)+1,1))</f>
        <v/>
      </c>
      <c r="X449" s="6">
        <f>IF(OR(原始資料!$A449="",23&gt;設定!$B$3,原始資料!Z449=""),"",IF(AND(原始資料!Y449&lt;&gt;"",原始資料!Z449=原始資料!Y449),N(W449)+1,1))</f>
        <v/>
      </c>
      <c r="Y449" s="6">
        <f>IF(OR(原始資料!$A449="",24&gt;設定!$B$3,原始資料!AA449=""),"",IF(AND(原始資料!Z449&lt;&gt;"",原始資料!AA449=原始資料!Z449),N(X449)+1,1))</f>
        <v/>
      </c>
      <c r="Z449" s="6">
        <f>IF(OR(原始資料!$A449="",25&gt;設定!$B$3,原始資料!AB449=""),"",IF(AND(原始資料!AA449&lt;&gt;"",原始資料!AB449=原始資料!AA449),N(Y449)+1,1))</f>
        <v/>
      </c>
      <c r="AA449" s="6">
        <f>IF(OR(原始資料!$A449="",26&gt;設定!$B$3,原始資料!AC449=""),"",IF(AND(原始資料!AB449&lt;&gt;"",原始資料!AC449=原始資料!AB449),N(Z449)+1,1))</f>
        <v/>
      </c>
      <c r="AB449" s="6">
        <f>IF(OR(原始資料!$A449="",27&gt;設定!$B$3,原始資料!AD449=""),"",IF(AND(原始資料!AC449&lt;&gt;"",原始資料!AD449=原始資料!AC449),N(AA449)+1,1))</f>
        <v/>
      </c>
      <c r="AC449" s="6">
        <f>IF(OR(原始資料!$A449="",28&gt;設定!$B$3,原始資料!AE449=""),"",IF(AND(原始資料!AD449&lt;&gt;"",原始資料!AE449=原始資料!AD449),N(AB449)+1,1))</f>
        <v/>
      </c>
      <c r="AD449" s="6">
        <f>IF(OR(原始資料!$A449="",29&gt;設定!$B$3,原始資料!AF449=""),"",IF(AND(原始資料!AE449&lt;&gt;"",原始資料!AF449=原始資料!AE449),N(AC449)+1,1))</f>
        <v/>
      </c>
      <c r="AE449" s="6">
        <f>IF(OR(原始資料!$A449="",30&gt;設定!$B$3,原始資料!AG449=""),"",IF(AND(原始資料!AF449&lt;&gt;"",原始資料!AG449=原始資料!AF449),N(AD449)+1,1))</f>
        <v/>
      </c>
      <c r="AF449" s="6">
        <f>IF(OR(原始資料!$A449="",31&gt;設定!$B$3,原始資料!AH449=""),"",IF(AND(原始資料!AG449&lt;&gt;"",原始資料!AH449=原始資料!AG449),N(AE449)+1,1))</f>
        <v/>
      </c>
      <c r="AG449" s="6">
        <f>IF(OR(原始資料!$A449="",32&gt;設定!$B$3,原始資料!AI449=""),"",IF(AND(原始資料!AH449&lt;&gt;"",原始資料!AI449=原始資料!AH449),N(AF449)+1,1))</f>
        <v/>
      </c>
      <c r="AH449" s="6">
        <f>IF(OR(原始資料!$A449="",33&gt;設定!$B$3,原始資料!AJ449=""),"",IF(AND(原始資料!AI449&lt;&gt;"",原始資料!AJ449=原始資料!AI449),N(AG449)+1,1))</f>
        <v/>
      </c>
      <c r="AI449" s="6">
        <f>IF(OR(原始資料!$A449="",34&gt;設定!$B$3,原始資料!AK449=""),"",IF(AND(原始資料!AJ449&lt;&gt;"",原始資料!AK449=原始資料!AJ449),N(AH449)+1,1))</f>
        <v/>
      </c>
      <c r="AJ449" s="6">
        <f>IF(OR(原始資料!$A449="",35&gt;設定!$B$3,原始資料!AL449=""),"",IF(AND(原始資料!AK449&lt;&gt;"",原始資料!AL449=原始資料!AK449),N(AI449)+1,1))</f>
        <v/>
      </c>
      <c r="AK449" s="6">
        <f>IF(OR(原始資料!$A449="",36&gt;設定!$B$3,原始資料!AM449=""),"",IF(AND(原始資料!AL449&lt;&gt;"",原始資料!AM449=原始資料!AL449),N(AJ449)+1,1))</f>
        <v/>
      </c>
      <c r="AL449" s="6">
        <f>IF(OR(原始資料!$A449="",37&gt;設定!$B$3,原始資料!AN449=""),"",IF(AND(原始資料!AM449&lt;&gt;"",原始資料!AN449=原始資料!AM449),N(AK449)+1,1))</f>
        <v/>
      </c>
      <c r="AM449" s="6">
        <f>IF(OR(原始資料!$A449="",38&gt;設定!$B$3,原始資料!AO449=""),"",IF(AND(原始資料!AN449&lt;&gt;"",原始資料!AO449=原始資料!AN449),N(AL449)+1,1))</f>
        <v/>
      </c>
      <c r="AN449" s="6">
        <f>IF(OR(原始資料!$A449="",39&gt;設定!$B$3,原始資料!AP449=""),"",IF(AND(原始資料!AO449&lt;&gt;"",原始資料!AP449=原始資料!AO449),N(AM449)+1,1))</f>
        <v/>
      </c>
      <c r="AO449" s="6">
        <f>IF(OR(原始資料!$A449="",40&gt;設定!$B$3,原始資料!AQ449=""),"",IF(AND(原始資料!AP449&lt;&gt;"",原始資料!AQ449=原始資料!AP449),N(AN449)+1,1))</f>
        <v/>
      </c>
      <c r="AP449" s="6">
        <f>IF(OR(原始資料!$A449="",41&gt;設定!$B$3,原始資料!AR449=""),"",IF(AND(原始資料!AQ449&lt;&gt;"",原始資料!AR449=原始資料!AQ449),N(AO449)+1,1))</f>
        <v/>
      </c>
      <c r="AQ449" s="6">
        <f>IF(OR(原始資料!$A449="",42&gt;設定!$B$3,原始資料!AS449=""),"",IF(AND(原始資料!AR449&lt;&gt;"",原始資料!AS449=原始資料!AR449),N(AP449)+1,1))</f>
        <v/>
      </c>
      <c r="AR449" s="6">
        <f>IF(OR(原始資料!$A449="",43&gt;設定!$B$3,原始資料!AT449=""),"",IF(AND(原始資料!AS449&lt;&gt;"",原始資料!AT449=原始資料!AS449),N(AQ449)+1,1))</f>
        <v/>
      </c>
      <c r="AS449" s="6">
        <f>IF(OR(原始資料!$A449="",44&gt;設定!$B$3,原始資料!AU449=""),"",IF(AND(原始資料!AT449&lt;&gt;"",原始資料!AU449=原始資料!AT449),N(AR449)+1,1))</f>
        <v/>
      </c>
      <c r="AT449" s="6">
        <f>IF(OR(原始資料!$A449="",45&gt;設定!$B$3,原始資料!AV449=""),"",IF(AND(原始資料!AU449&lt;&gt;"",原始資料!AV449=原始資料!AU449),N(AS449)+1,1))</f>
        <v/>
      </c>
      <c r="AU449" s="6">
        <f>IF(OR(原始資料!$A449="",46&gt;設定!$B$3,原始資料!AW449=""),"",IF(AND(原始資料!AV449&lt;&gt;"",原始資料!AW449=原始資料!AV449),N(AT449)+1,1))</f>
        <v/>
      </c>
      <c r="AV449" s="6">
        <f>IF(OR(原始資料!$A449="",47&gt;設定!$B$3,原始資料!AX449=""),"",IF(AND(原始資料!AW449&lt;&gt;"",原始資料!AX449=原始資料!AW449),N(AU449)+1,1))</f>
        <v/>
      </c>
      <c r="AW449" s="6">
        <f>IF(OR(原始資料!$A449="",48&gt;設定!$B$3,原始資料!AY449=""),"",IF(AND(原始資料!AX449&lt;&gt;"",原始資料!AY449=原始資料!AX449),N(AV449)+1,1))</f>
        <v/>
      </c>
      <c r="AX449" s="6">
        <f>IF(OR(原始資料!$A449="",49&gt;設定!$B$3,原始資料!AZ449=""),"",IF(AND(原始資料!AY449&lt;&gt;"",原始資料!AZ449=原始資料!AY449),N(AW449)+1,1))</f>
        <v/>
      </c>
      <c r="AY449" s="6">
        <f>IF(OR(原始資料!$A449="",50&gt;設定!$B$3,原始資料!BA449=""),"",IF(AND(原始資料!AZ449&lt;&gt;"",原始資料!BA449=原始資料!AZ449),N(AX449)+1,1))</f>
        <v/>
      </c>
      <c r="AZ449" s="6">
        <f>IF(OR(原始資料!$A449="",51&gt;設定!$B$3,原始資料!BB449=""),"",IF(AND(原始資料!BA449&lt;&gt;"",原始資料!BB449=原始資料!BA449),N(AY449)+1,1))</f>
        <v/>
      </c>
      <c r="BA449" s="6">
        <f>IF(OR(原始資料!$A449="",52&gt;設定!$B$3,原始資料!BC449=""),"",IF(AND(原始資料!BB449&lt;&gt;"",原始資料!BC449=原始資料!BB449),N(AZ449)+1,1))</f>
        <v/>
      </c>
      <c r="BB449" s="6">
        <f>IF(OR(原始資料!$A449="",53&gt;設定!$B$3,原始資料!BD449=""),"",IF(AND(原始資料!BC449&lt;&gt;"",原始資料!BD449=原始資料!BC449),N(BA449)+1,1))</f>
        <v/>
      </c>
      <c r="BC449" s="6">
        <f>IF(OR(原始資料!$A449="",54&gt;設定!$B$3,原始資料!BE449=""),"",IF(AND(原始資料!BD449&lt;&gt;"",原始資料!BE449=原始資料!BD449),N(BB449)+1,1))</f>
        <v/>
      </c>
      <c r="BD449" s="6">
        <f>IF(OR(原始資料!$A449="",55&gt;設定!$B$3,原始資料!BF449=""),"",IF(AND(原始資料!BE449&lt;&gt;"",原始資料!BF449=原始資料!BE449),N(BC449)+1,1))</f>
        <v/>
      </c>
      <c r="BE449" s="6">
        <f>IF(OR(原始資料!$A449="",56&gt;設定!$B$3,原始資料!BG449=""),"",IF(AND(原始資料!BF449&lt;&gt;"",原始資料!BG449=原始資料!BF449),N(BD449)+1,1))</f>
        <v/>
      </c>
      <c r="BF449" s="6">
        <f>IF(OR(原始資料!$A449="",57&gt;設定!$B$3,原始資料!BH449=""),"",IF(AND(原始資料!BG449&lt;&gt;"",原始資料!BH449=原始資料!BG449),N(BE449)+1,1))</f>
        <v/>
      </c>
      <c r="BG449" s="6">
        <f>IF(OR(原始資料!$A449="",58&gt;設定!$B$3,原始資料!BI449=""),"",IF(AND(原始資料!BH449&lt;&gt;"",原始資料!BI449=原始資料!BH449),N(BF449)+1,1))</f>
        <v/>
      </c>
      <c r="BH449" s="6">
        <f>IF(OR(原始資料!$A449="",59&gt;設定!$B$3,原始資料!BJ449=""),"",IF(AND(原始資料!BI449&lt;&gt;"",原始資料!BJ449=原始資料!BI449),N(BG449)+1,1))</f>
        <v/>
      </c>
      <c r="BI449" s="6">
        <f>IF(OR(原始資料!$A449="",60&gt;設定!$B$3,原始資料!BK449=""),"",IF(AND(原始資料!BJ449&lt;&gt;"",原始資料!BK449=原始資料!BJ449),N(BH449)+1,1))</f>
        <v/>
      </c>
    </row>
    <row r="450">
      <c r="A450" s="6">
        <f>IF(原始資料!$A450="","",原始資料!$A450)</f>
        <v/>
      </c>
      <c r="B450" s="6">
        <f>IF(OR(原始資料!$A450="",1&gt;設定!$B$3,原始資料!D450=""),"",1)</f>
        <v/>
      </c>
      <c r="C450" s="6">
        <f>IF(OR(原始資料!$A450="",2&gt;設定!$B$3,原始資料!E450=""),"",IF(AND(原始資料!D450&lt;&gt;"",原始資料!E450=原始資料!D450),N(B450)+1,1))</f>
        <v/>
      </c>
      <c r="D450" s="6">
        <f>IF(OR(原始資料!$A450="",3&gt;設定!$B$3,原始資料!F450=""),"",IF(AND(原始資料!E450&lt;&gt;"",原始資料!F450=原始資料!E450),N(C450)+1,1))</f>
        <v/>
      </c>
      <c r="E450" s="6">
        <f>IF(OR(原始資料!$A450="",4&gt;設定!$B$3,原始資料!G450=""),"",IF(AND(原始資料!F450&lt;&gt;"",原始資料!G450=原始資料!F450),N(D450)+1,1))</f>
        <v/>
      </c>
      <c r="F450" s="6">
        <f>IF(OR(原始資料!$A450="",5&gt;設定!$B$3,原始資料!H450=""),"",IF(AND(原始資料!G450&lt;&gt;"",原始資料!H450=原始資料!G450),N(E450)+1,1))</f>
        <v/>
      </c>
      <c r="G450" s="6">
        <f>IF(OR(原始資料!$A450="",6&gt;設定!$B$3,原始資料!I450=""),"",IF(AND(原始資料!H450&lt;&gt;"",原始資料!I450=原始資料!H450),N(F450)+1,1))</f>
        <v/>
      </c>
      <c r="H450" s="6">
        <f>IF(OR(原始資料!$A450="",7&gt;設定!$B$3,原始資料!J450=""),"",IF(AND(原始資料!I450&lt;&gt;"",原始資料!J450=原始資料!I450),N(G450)+1,1))</f>
        <v/>
      </c>
      <c r="I450" s="6">
        <f>IF(OR(原始資料!$A450="",8&gt;設定!$B$3,原始資料!K450=""),"",IF(AND(原始資料!J450&lt;&gt;"",原始資料!K450=原始資料!J450),N(H450)+1,1))</f>
        <v/>
      </c>
      <c r="J450" s="6">
        <f>IF(OR(原始資料!$A450="",9&gt;設定!$B$3,原始資料!L450=""),"",IF(AND(原始資料!K450&lt;&gt;"",原始資料!L450=原始資料!K450),N(I450)+1,1))</f>
        <v/>
      </c>
      <c r="K450" s="6">
        <f>IF(OR(原始資料!$A450="",10&gt;設定!$B$3,原始資料!M450=""),"",IF(AND(原始資料!L450&lt;&gt;"",原始資料!M450=原始資料!L450),N(J450)+1,1))</f>
        <v/>
      </c>
      <c r="L450" s="6">
        <f>IF(OR(原始資料!$A450="",11&gt;設定!$B$3,原始資料!N450=""),"",IF(AND(原始資料!M450&lt;&gt;"",原始資料!N450=原始資料!M450),N(K450)+1,1))</f>
        <v/>
      </c>
      <c r="M450" s="6">
        <f>IF(OR(原始資料!$A450="",12&gt;設定!$B$3,原始資料!O450=""),"",IF(AND(原始資料!N450&lt;&gt;"",原始資料!O450=原始資料!N450),N(L450)+1,1))</f>
        <v/>
      </c>
      <c r="N450" s="6">
        <f>IF(OR(原始資料!$A450="",13&gt;設定!$B$3,原始資料!P450=""),"",IF(AND(原始資料!O450&lt;&gt;"",原始資料!P450=原始資料!O450),N(M450)+1,1))</f>
        <v/>
      </c>
      <c r="O450" s="6">
        <f>IF(OR(原始資料!$A450="",14&gt;設定!$B$3,原始資料!Q450=""),"",IF(AND(原始資料!P450&lt;&gt;"",原始資料!Q450=原始資料!P450),N(N450)+1,1))</f>
        <v/>
      </c>
      <c r="P450" s="6">
        <f>IF(OR(原始資料!$A450="",15&gt;設定!$B$3,原始資料!R450=""),"",IF(AND(原始資料!Q450&lt;&gt;"",原始資料!R450=原始資料!Q450),N(O450)+1,1))</f>
        <v/>
      </c>
      <c r="Q450" s="6">
        <f>IF(OR(原始資料!$A450="",16&gt;設定!$B$3,原始資料!S450=""),"",IF(AND(原始資料!R450&lt;&gt;"",原始資料!S450=原始資料!R450),N(P450)+1,1))</f>
        <v/>
      </c>
      <c r="R450" s="6">
        <f>IF(OR(原始資料!$A450="",17&gt;設定!$B$3,原始資料!T450=""),"",IF(AND(原始資料!S450&lt;&gt;"",原始資料!T450=原始資料!S450),N(Q450)+1,1))</f>
        <v/>
      </c>
      <c r="S450" s="6">
        <f>IF(OR(原始資料!$A450="",18&gt;設定!$B$3,原始資料!U450=""),"",IF(AND(原始資料!T450&lt;&gt;"",原始資料!U450=原始資料!T450),N(R450)+1,1))</f>
        <v/>
      </c>
      <c r="T450" s="6">
        <f>IF(OR(原始資料!$A450="",19&gt;設定!$B$3,原始資料!V450=""),"",IF(AND(原始資料!U450&lt;&gt;"",原始資料!V450=原始資料!U450),N(S450)+1,1))</f>
        <v/>
      </c>
      <c r="U450" s="6">
        <f>IF(OR(原始資料!$A450="",20&gt;設定!$B$3,原始資料!W450=""),"",IF(AND(原始資料!V450&lt;&gt;"",原始資料!W450=原始資料!V450),N(T450)+1,1))</f>
        <v/>
      </c>
      <c r="V450" s="6">
        <f>IF(OR(原始資料!$A450="",21&gt;設定!$B$3,原始資料!X450=""),"",IF(AND(原始資料!W450&lt;&gt;"",原始資料!X450=原始資料!W450),N(U450)+1,1))</f>
        <v/>
      </c>
      <c r="W450" s="6">
        <f>IF(OR(原始資料!$A450="",22&gt;設定!$B$3,原始資料!Y450=""),"",IF(AND(原始資料!X450&lt;&gt;"",原始資料!Y450=原始資料!X450),N(V450)+1,1))</f>
        <v/>
      </c>
      <c r="X450" s="6">
        <f>IF(OR(原始資料!$A450="",23&gt;設定!$B$3,原始資料!Z450=""),"",IF(AND(原始資料!Y450&lt;&gt;"",原始資料!Z450=原始資料!Y450),N(W450)+1,1))</f>
        <v/>
      </c>
      <c r="Y450" s="6">
        <f>IF(OR(原始資料!$A450="",24&gt;設定!$B$3,原始資料!AA450=""),"",IF(AND(原始資料!Z450&lt;&gt;"",原始資料!AA450=原始資料!Z450),N(X450)+1,1))</f>
        <v/>
      </c>
      <c r="Z450" s="6">
        <f>IF(OR(原始資料!$A450="",25&gt;設定!$B$3,原始資料!AB450=""),"",IF(AND(原始資料!AA450&lt;&gt;"",原始資料!AB450=原始資料!AA450),N(Y450)+1,1))</f>
        <v/>
      </c>
      <c r="AA450" s="6">
        <f>IF(OR(原始資料!$A450="",26&gt;設定!$B$3,原始資料!AC450=""),"",IF(AND(原始資料!AB450&lt;&gt;"",原始資料!AC450=原始資料!AB450),N(Z450)+1,1))</f>
        <v/>
      </c>
      <c r="AB450" s="6">
        <f>IF(OR(原始資料!$A450="",27&gt;設定!$B$3,原始資料!AD450=""),"",IF(AND(原始資料!AC450&lt;&gt;"",原始資料!AD450=原始資料!AC450),N(AA450)+1,1))</f>
        <v/>
      </c>
      <c r="AC450" s="6">
        <f>IF(OR(原始資料!$A450="",28&gt;設定!$B$3,原始資料!AE450=""),"",IF(AND(原始資料!AD450&lt;&gt;"",原始資料!AE450=原始資料!AD450),N(AB450)+1,1))</f>
        <v/>
      </c>
      <c r="AD450" s="6">
        <f>IF(OR(原始資料!$A450="",29&gt;設定!$B$3,原始資料!AF450=""),"",IF(AND(原始資料!AE450&lt;&gt;"",原始資料!AF450=原始資料!AE450),N(AC450)+1,1))</f>
        <v/>
      </c>
      <c r="AE450" s="6">
        <f>IF(OR(原始資料!$A450="",30&gt;設定!$B$3,原始資料!AG450=""),"",IF(AND(原始資料!AF450&lt;&gt;"",原始資料!AG450=原始資料!AF450),N(AD450)+1,1))</f>
        <v/>
      </c>
      <c r="AF450" s="6">
        <f>IF(OR(原始資料!$A450="",31&gt;設定!$B$3,原始資料!AH450=""),"",IF(AND(原始資料!AG450&lt;&gt;"",原始資料!AH450=原始資料!AG450),N(AE450)+1,1))</f>
        <v/>
      </c>
      <c r="AG450" s="6">
        <f>IF(OR(原始資料!$A450="",32&gt;設定!$B$3,原始資料!AI450=""),"",IF(AND(原始資料!AH450&lt;&gt;"",原始資料!AI450=原始資料!AH450),N(AF450)+1,1))</f>
        <v/>
      </c>
      <c r="AH450" s="6">
        <f>IF(OR(原始資料!$A450="",33&gt;設定!$B$3,原始資料!AJ450=""),"",IF(AND(原始資料!AI450&lt;&gt;"",原始資料!AJ450=原始資料!AI450),N(AG450)+1,1))</f>
        <v/>
      </c>
      <c r="AI450" s="6">
        <f>IF(OR(原始資料!$A450="",34&gt;設定!$B$3,原始資料!AK450=""),"",IF(AND(原始資料!AJ450&lt;&gt;"",原始資料!AK450=原始資料!AJ450),N(AH450)+1,1))</f>
        <v/>
      </c>
      <c r="AJ450" s="6">
        <f>IF(OR(原始資料!$A450="",35&gt;設定!$B$3,原始資料!AL450=""),"",IF(AND(原始資料!AK450&lt;&gt;"",原始資料!AL450=原始資料!AK450),N(AI450)+1,1))</f>
        <v/>
      </c>
      <c r="AK450" s="6">
        <f>IF(OR(原始資料!$A450="",36&gt;設定!$B$3,原始資料!AM450=""),"",IF(AND(原始資料!AL450&lt;&gt;"",原始資料!AM450=原始資料!AL450),N(AJ450)+1,1))</f>
        <v/>
      </c>
      <c r="AL450" s="6">
        <f>IF(OR(原始資料!$A450="",37&gt;設定!$B$3,原始資料!AN450=""),"",IF(AND(原始資料!AM450&lt;&gt;"",原始資料!AN450=原始資料!AM450),N(AK450)+1,1))</f>
        <v/>
      </c>
      <c r="AM450" s="6">
        <f>IF(OR(原始資料!$A450="",38&gt;設定!$B$3,原始資料!AO450=""),"",IF(AND(原始資料!AN450&lt;&gt;"",原始資料!AO450=原始資料!AN450),N(AL450)+1,1))</f>
        <v/>
      </c>
      <c r="AN450" s="6">
        <f>IF(OR(原始資料!$A450="",39&gt;設定!$B$3,原始資料!AP450=""),"",IF(AND(原始資料!AO450&lt;&gt;"",原始資料!AP450=原始資料!AO450),N(AM450)+1,1))</f>
        <v/>
      </c>
      <c r="AO450" s="6">
        <f>IF(OR(原始資料!$A450="",40&gt;設定!$B$3,原始資料!AQ450=""),"",IF(AND(原始資料!AP450&lt;&gt;"",原始資料!AQ450=原始資料!AP450),N(AN450)+1,1))</f>
        <v/>
      </c>
      <c r="AP450" s="6">
        <f>IF(OR(原始資料!$A450="",41&gt;設定!$B$3,原始資料!AR450=""),"",IF(AND(原始資料!AQ450&lt;&gt;"",原始資料!AR450=原始資料!AQ450),N(AO450)+1,1))</f>
        <v/>
      </c>
      <c r="AQ450" s="6">
        <f>IF(OR(原始資料!$A450="",42&gt;設定!$B$3,原始資料!AS450=""),"",IF(AND(原始資料!AR450&lt;&gt;"",原始資料!AS450=原始資料!AR450),N(AP450)+1,1))</f>
        <v/>
      </c>
      <c r="AR450" s="6">
        <f>IF(OR(原始資料!$A450="",43&gt;設定!$B$3,原始資料!AT450=""),"",IF(AND(原始資料!AS450&lt;&gt;"",原始資料!AT450=原始資料!AS450),N(AQ450)+1,1))</f>
        <v/>
      </c>
      <c r="AS450" s="6">
        <f>IF(OR(原始資料!$A450="",44&gt;設定!$B$3,原始資料!AU450=""),"",IF(AND(原始資料!AT450&lt;&gt;"",原始資料!AU450=原始資料!AT450),N(AR450)+1,1))</f>
        <v/>
      </c>
      <c r="AT450" s="6">
        <f>IF(OR(原始資料!$A450="",45&gt;設定!$B$3,原始資料!AV450=""),"",IF(AND(原始資料!AU450&lt;&gt;"",原始資料!AV450=原始資料!AU450),N(AS450)+1,1))</f>
        <v/>
      </c>
      <c r="AU450" s="6">
        <f>IF(OR(原始資料!$A450="",46&gt;設定!$B$3,原始資料!AW450=""),"",IF(AND(原始資料!AV450&lt;&gt;"",原始資料!AW450=原始資料!AV450),N(AT450)+1,1))</f>
        <v/>
      </c>
      <c r="AV450" s="6">
        <f>IF(OR(原始資料!$A450="",47&gt;設定!$B$3,原始資料!AX450=""),"",IF(AND(原始資料!AW450&lt;&gt;"",原始資料!AX450=原始資料!AW450),N(AU450)+1,1))</f>
        <v/>
      </c>
      <c r="AW450" s="6">
        <f>IF(OR(原始資料!$A450="",48&gt;設定!$B$3,原始資料!AY450=""),"",IF(AND(原始資料!AX450&lt;&gt;"",原始資料!AY450=原始資料!AX450),N(AV450)+1,1))</f>
        <v/>
      </c>
      <c r="AX450" s="6">
        <f>IF(OR(原始資料!$A450="",49&gt;設定!$B$3,原始資料!AZ450=""),"",IF(AND(原始資料!AY450&lt;&gt;"",原始資料!AZ450=原始資料!AY450),N(AW450)+1,1))</f>
        <v/>
      </c>
      <c r="AY450" s="6">
        <f>IF(OR(原始資料!$A450="",50&gt;設定!$B$3,原始資料!BA450=""),"",IF(AND(原始資料!AZ450&lt;&gt;"",原始資料!BA450=原始資料!AZ450),N(AX450)+1,1))</f>
        <v/>
      </c>
      <c r="AZ450" s="6">
        <f>IF(OR(原始資料!$A450="",51&gt;設定!$B$3,原始資料!BB450=""),"",IF(AND(原始資料!BA450&lt;&gt;"",原始資料!BB450=原始資料!BA450),N(AY450)+1,1))</f>
        <v/>
      </c>
      <c r="BA450" s="6">
        <f>IF(OR(原始資料!$A450="",52&gt;設定!$B$3,原始資料!BC450=""),"",IF(AND(原始資料!BB450&lt;&gt;"",原始資料!BC450=原始資料!BB450),N(AZ450)+1,1))</f>
        <v/>
      </c>
      <c r="BB450" s="6">
        <f>IF(OR(原始資料!$A450="",53&gt;設定!$B$3,原始資料!BD450=""),"",IF(AND(原始資料!BC450&lt;&gt;"",原始資料!BD450=原始資料!BC450),N(BA450)+1,1))</f>
        <v/>
      </c>
      <c r="BC450" s="6">
        <f>IF(OR(原始資料!$A450="",54&gt;設定!$B$3,原始資料!BE450=""),"",IF(AND(原始資料!BD450&lt;&gt;"",原始資料!BE450=原始資料!BD450),N(BB450)+1,1))</f>
        <v/>
      </c>
      <c r="BD450" s="6">
        <f>IF(OR(原始資料!$A450="",55&gt;設定!$B$3,原始資料!BF450=""),"",IF(AND(原始資料!BE450&lt;&gt;"",原始資料!BF450=原始資料!BE450),N(BC450)+1,1))</f>
        <v/>
      </c>
      <c r="BE450" s="6">
        <f>IF(OR(原始資料!$A450="",56&gt;設定!$B$3,原始資料!BG450=""),"",IF(AND(原始資料!BF450&lt;&gt;"",原始資料!BG450=原始資料!BF450),N(BD450)+1,1))</f>
        <v/>
      </c>
      <c r="BF450" s="6">
        <f>IF(OR(原始資料!$A450="",57&gt;設定!$B$3,原始資料!BH450=""),"",IF(AND(原始資料!BG450&lt;&gt;"",原始資料!BH450=原始資料!BG450),N(BE450)+1,1))</f>
        <v/>
      </c>
      <c r="BG450" s="6">
        <f>IF(OR(原始資料!$A450="",58&gt;設定!$B$3,原始資料!BI450=""),"",IF(AND(原始資料!BH450&lt;&gt;"",原始資料!BI450=原始資料!BH450),N(BF450)+1,1))</f>
        <v/>
      </c>
      <c r="BH450" s="6">
        <f>IF(OR(原始資料!$A450="",59&gt;設定!$B$3,原始資料!BJ450=""),"",IF(AND(原始資料!BI450&lt;&gt;"",原始資料!BJ450=原始資料!BI450),N(BG450)+1,1))</f>
        <v/>
      </c>
      <c r="BI450" s="6">
        <f>IF(OR(原始資料!$A450="",60&gt;設定!$B$3,原始資料!BK450=""),"",IF(AND(原始資料!BJ450&lt;&gt;"",原始資料!BK450=原始資料!BJ450),N(BH450)+1,1))</f>
        <v/>
      </c>
    </row>
    <row r="451">
      <c r="A451" s="6">
        <f>IF(原始資料!$A451="","",原始資料!$A451)</f>
        <v/>
      </c>
      <c r="B451" s="6">
        <f>IF(OR(原始資料!$A451="",1&gt;設定!$B$3,原始資料!D451=""),"",1)</f>
        <v/>
      </c>
      <c r="C451" s="6">
        <f>IF(OR(原始資料!$A451="",2&gt;設定!$B$3,原始資料!E451=""),"",IF(AND(原始資料!D451&lt;&gt;"",原始資料!E451=原始資料!D451),N(B451)+1,1))</f>
        <v/>
      </c>
      <c r="D451" s="6">
        <f>IF(OR(原始資料!$A451="",3&gt;設定!$B$3,原始資料!F451=""),"",IF(AND(原始資料!E451&lt;&gt;"",原始資料!F451=原始資料!E451),N(C451)+1,1))</f>
        <v/>
      </c>
      <c r="E451" s="6">
        <f>IF(OR(原始資料!$A451="",4&gt;設定!$B$3,原始資料!G451=""),"",IF(AND(原始資料!F451&lt;&gt;"",原始資料!G451=原始資料!F451),N(D451)+1,1))</f>
        <v/>
      </c>
      <c r="F451" s="6">
        <f>IF(OR(原始資料!$A451="",5&gt;設定!$B$3,原始資料!H451=""),"",IF(AND(原始資料!G451&lt;&gt;"",原始資料!H451=原始資料!G451),N(E451)+1,1))</f>
        <v/>
      </c>
      <c r="G451" s="6">
        <f>IF(OR(原始資料!$A451="",6&gt;設定!$B$3,原始資料!I451=""),"",IF(AND(原始資料!H451&lt;&gt;"",原始資料!I451=原始資料!H451),N(F451)+1,1))</f>
        <v/>
      </c>
      <c r="H451" s="6">
        <f>IF(OR(原始資料!$A451="",7&gt;設定!$B$3,原始資料!J451=""),"",IF(AND(原始資料!I451&lt;&gt;"",原始資料!J451=原始資料!I451),N(G451)+1,1))</f>
        <v/>
      </c>
      <c r="I451" s="6">
        <f>IF(OR(原始資料!$A451="",8&gt;設定!$B$3,原始資料!K451=""),"",IF(AND(原始資料!J451&lt;&gt;"",原始資料!K451=原始資料!J451),N(H451)+1,1))</f>
        <v/>
      </c>
      <c r="J451" s="6">
        <f>IF(OR(原始資料!$A451="",9&gt;設定!$B$3,原始資料!L451=""),"",IF(AND(原始資料!K451&lt;&gt;"",原始資料!L451=原始資料!K451),N(I451)+1,1))</f>
        <v/>
      </c>
      <c r="K451" s="6">
        <f>IF(OR(原始資料!$A451="",10&gt;設定!$B$3,原始資料!M451=""),"",IF(AND(原始資料!L451&lt;&gt;"",原始資料!M451=原始資料!L451),N(J451)+1,1))</f>
        <v/>
      </c>
      <c r="L451" s="6">
        <f>IF(OR(原始資料!$A451="",11&gt;設定!$B$3,原始資料!N451=""),"",IF(AND(原始資料!M451&lt;&gt;"",原始資料!N451=原始資料!M451),N(K451)+1,1))</f>
        <v/>
      </c>
      <c r="M451" s="6">
        <f>IF(OR(原始資料!$A451="",12&gt;設定!$B$3,原始資料!O451=""),"",IF(AND(原始資料!N451&lt;&gt;"",原始資料!O451=原始資料!N451),N(L451)+1,1))</f>
        <v/>
      </c>
      <c r="N451" s="6">
        <f>IF(OR(原始資料!$A451="",13&gt;設定!$B$3,原始資料!P451=""),"",IF(AND(原始資料!O451&lt;&gt;"",原始資料!P451=原始資料!O451),N(M451)+1,1))</f>
        <v/>
      </c>
      <c r="O451" s="6">
        <f>IF(OR(原始資料!$A451="",14&gt;設定!$B$3,原始資料!Q451=""),"",IF(AND(原始資料!P451&lt;&gt;"",原始資料!Q451=原始資料!P451),N(N451)+1,1))</f>
        <v/>
      </c>
      <c r="P451" s="6">
        <f>IF(OR(原始資料!$A451="",15&gt;設定!$B$3,原始資料!R451=""),"",IF(AND(原始資料!Q451&lt;&gt;"",原始資料!R451=原始資料!Q451),N(O451)+1,1))</f>
        <v/>
      </c>
      <c r="Q451" s="6">
        <f>IF(OR(原始資料!$A451="",16&gt;設定!$B$3,原始資料!S451=""),"",IF(AND(原始資料!R451&lt;&gt;"",原始資料!S451=原始資料!R451),N(P451)+1,1))</f>
        <v/>
      </c>
      <c r="R451" s="6">
        <f>IF(OR(原始資料!$A451="",17&gt;設定!$B$3,原始資料!T451=""),"",IF(AND(原始資料!S451&lt;&gt;"",原始資料!T451=原始資料!S451),N(Q451)+1,1))</f>
        <v/>
      </c>
      <c r="S451" s="6">
        <f>IF(OR(原始資料!$A451="",18&gt;設定!$B$3,原始資料!U451=""),"",IF(AND(原始資料!T451&lt;&gt;"",原始資料!U451=原始資料!T451),N(R451)+1,1))</f>
        <v/>
      </c>
      <c r="T451" s="6">
        <f>IF(OR(原始資料!$A451="",19&gt;設定!$B$3,原始資料!V451=""),"",IF(AND(原始資料!U451&lt;&gt;"",原始資料!V451=原始資料!U451),N(S451)+1,1))</f>
        <v/>
      </c>
      <c r="U451" s="6">
        <f>IF(OR(原始資料!$A451="",20&gt;設定!$B$3,原始資料!W451=""),"",IF(AND(原始資料!V451&lt;&gt;"",原始資料!W451=原始資料!V451),N(T451)+1,1))</f>
        <v/>
      </c>
      <c r="V451" s="6">
        <f>IF(OR(原始資料!$A451="",21&gt;設定!$B$3,原始資料!X451=""),"",IF(AND(原始資料!W451&lt;&gt;"",原始資料!X451=原始資料!W451),N(U451)+1,1))</f>
        <v/>
      </c>
      <c r="W451" s="6">
        <f>IF(OR(原始資料!$A451="",22&gt;設定!$B$3,原始資料!Y451=""),"",IF(AND(原始資料!X451&lt;&gt;"",原始資料!Y451=原始資料!X451),N(V451)+1,1))</f>
        <v/>
      </c>
      <c r="X451" s="6">
        <f>IF(OR(原始資料!$A451="",23&gt;設定!$B$3,原始資料!Z451=""),"",IF(AND(原始資料!Y451&lt;&gt;"",原始資料!Z451=原始資料!Y451),N(W451)+1,1))</f>
        <v/>
      </c>
      <c r="Y451" s="6">
        <f>IF(OR(原始資料!$A451="",24&gt;設定!$B$3,原始資料!AA451=""),"",IF(AND(原始資料!Z451&lt;&gt;"",原始資料!AA451=原始資料!Z451),N(X451)+1,1))</f>
        <v/>
      </c>
      <c r="Z451" s="6">
        <f>IF(OR(原始資料!$A451="",25&gt;設定!$B$3,原始資料!AB451=""),"",IF(AND(原始資料!AA451&lt;&gt;"",原始資料!AB451=原始資料!AA451),N(Y451)+1,1))</f>
        <v/>
      </c>
      <c r="AA451" s="6">
        <f>IF(OR(原始資料!$A451="",26&gt;設定!$B$3,原始資料!AC451=""),"",IF(AND(原始資料!AB451&lt;&gt;"",原始資料!AC451=原始資料!AB451),N(Z451)+1,1))</f>
        <v/>
      </c>
      <c r="AB451" s="6">
        <f>IF(OR(原始資料!$A451="",27&gt;設定!$B$3,原始資料!AD451=""),"",IF(AND(原始資料!AC451&lt;&gt;"",原始資料!AD451=原始資料!AC451),N(AA451)+1,1))</f>
        <v/>
      </c>
      <c r="AC451" s="6">
        <f>IF(OR(原始資料!$A451="",28&gt;設定!$B$3,原始資料!AE451=""),"",IF(AND(原始資料!AD451&lt;&gt;"",原始資料!AE451=原始資料!AD451),N(AB451)+1,1))</f>
        <v/>
      </c>
      <c r="AD451" s="6">
        <f>IF(OR(原始資料!$A451="",29&gt;設定!$B$3,原始資料!AF451=""),"",IF(AND(原始資料!AE451&lt;&gt;"",原始資料!AF451=原始資料!AE451),N(AC451)+1,1))</f>
        <v/>
      </c>
      <c r="AE451" s="6">
        <f>IF(OR(原始資料!$A451="",30&gt;設定!$B$3,原始資料!AG451=""),"",IF(AND(原始資料!AF451&lt;&gt;"",原始資料!AG451=原始資料!AF451),N(AD451)+1,1))</f>
        <v/>
      </c>
      <c r="AF451" s="6">
        <f>IF(OR(原始資料!$A451="",31&gt;設定!$B$3,原始資料!AH451=""),"",IF(AND(原始資料!AG451&lt;&gt;"",原始資料!AH451=原始資料!AG451),N(AE451)+1,1))</f>
        <v/>
      </c>
      <c r="AG451" s="6">
        <f>IF(OR(原始資料!$A451="",32&gt;設定!$B$3,原始資料!AI451=""),"",IF(AND(原始資料!AH451&lt;&gt;"",原始資料!AI451=原始資料!AH451),N(AF451)+1,1))</f>
        <v/>
      </c>
      <c r="AH451" s="6">
        <f>IF(OR(原始資料!$A451="",33&gt;設定!$B$3,原始資料!AJ451=""),"",IF(AND(原始資料!AI451&lt;&gt;"",原始資料!AJ451=原始資料!AI451),N(AG451)+1,1))</f>
        <v/>
      </c>
      <c r="AI451" s="6">
        <f>IF(OR(原始資料!$A451="",34&gt;設定!$B$3,原始資料!AK451=""),"",IF(AND(原始資料!AJ451&lt;&gt;"",原始資料!AK451=原始資料!AJ451),N(AH451)+1,1))</f>
        <v/>
      </c>
      <c r="AJ451" s="6">
        <f>IF(OR(原始資料!$A451="",35&gt;設定!$B$3,原始資料!AL451=""),"",IF(AND(原始資料!AK451&lt;&gt;"",原始資料!AL451=原始資料!AK451),N(AI451)+1,1))</f>
        <v/>
      </c>
      <c r="AK451" s="6">
        <f>IF(OR(原始資料!$A451="",36&gt;設定!$B$3,原始資料!AM451=""),"",IF(AND(原始資料!AL451&lt;&gt;"",原始資料!AM451=原始資料!AL451),N(AJ451)+1,1))</f>
        <v/>
      </c>
      <c r="AL451" s="6">
        <f>IF(OR(原始資料!$A451="",37&gt;設定!$B$3,原始資料!AN451=""),"",IF(AND(原始資料!AM451&lt;&gt;"",原始資料!AN451=原始資料!AM451),N(AK451)+1,1))</f>
        <v/>
      </c>
      <c r="AM451" s="6">
        <f>IF(OR(原始資料!$A451="",38&gt;設定!$B$3,原始資料!AO451=""),"",IF(AND(原始資料!AN451&lt;&gt;"",原始資料!AO451=原始資料!AN451),N(AL451)+1,1))</f>
        <v/>
      </c>
      <c r="AN451" s="6">
        <f>IF(OR(原始資料!$A451="",39&gt;設定!$B$3,原始資料!AP451=""),"",IF(AND(原始資料!AO451&lt;&gt;"",原始資料!AP451=原始資料!AO451),N(AM451)+1,1))</f>
        <v/>
      </c>
      <c r="AO451" s="6">
        <f>IF(OR(原始資料!$A451="",40&gt;設定!$B$3,原始資料!AQ451=""),"",IF(AND(原始資料!AP451&lt;&gt;"",原始資料!AQ451=原始資料!AP451),N(AN451)+1,1))</f>
        <v/>
      </c>
      <c r="AP451" s="6">
        <f>IF(OR(原始資料!$A451="",41&gt;設定!$B$3,原始資料!AR451=""),"",IF(AND(原始資料!AQ451&lt;&gt;"",原始資料!AR451=原始資料!AQ451),N(AO451)+1,1))</f>
        <v/>
      </c>
      <c r="AQ451" s="6">
        <f>IF(OR(原始資料!$A451="",42&gt;設定!$B$3,原始資料!AS451=""),"",IF(AND(原始資料!AR451&lt;&gt;"",原始資料!AS451=原始資料!AR451),N(AP451)+1,1))</f>
        <v/>
      </c>
      <c r="AR451" s="6">
        <f>IF(OR(原始資料!$A451="",43&gt;設定!$B$3,原始資料!AT451=""),"",IF(AND(原始資料!AS451&lt;&gt;"",原始資料!AT451=原始資料!AS451),N(AQ451)+1,1))</f>
        <v/>
      </c>
      <c r="AS451" s="6">
        <f>IF(OR(原始資料!$A451="",44&gt;設定!$B$3,原始資料!AU451=""),"",IF(AND(原始資料!AT451&lt;&gt;"",原始資料!AU451=原始資料!AT451),N(AR451)+1,1))</f>
        <v/>
      </c>
      <c r="AT451" s="6">
        <f>IF(OR(原始資料!$A451="",45&gt;設定!$B$3,原始資料!AV451=""),"",IF(AND(原始資料!AU451&lt;&gt;"",原始資料!AV451=原始資料!AU451),N(AS451)+1,1))</f>
        <v/>
      </c>
      <c r="AU451" s="6">
        <f>IF(OR(原始資料!$A451="",46&gt;設定!$B$3,原始資料!AW451=""),"",IF(AND(原始資料!AV451&lt;&gt;"",原始資料!AW451=原始資料!AV451),N(AT451)+1,1))</f>
        <v/>
      </c>
      <c r="AV451" s="6">
        <f>IF(OR(原始資料!$A451="",47&gt;設定!$B$3,原始資料!AX451=""),"",IF(AND(原始資料!AW451&lt;&gt;"",原始資料!AX451=原始資料!AW451),N(AU451)+1,1))</f>
        <v/>
      </c>
      <c r="AW451" s="6">
        <f>IF(OR(原始資料!$A451="",48&gt;設定!$B$3,原始資料!AY451=""),"",IF(AND(原始資料!AX451&lt;&gt;"",原始資料!AY451=原始資料!AX451),N(AV451)+1,1))</f>
        <v/>
      </c>
      <c r="AX451" s="6">
        <f>IF(OR(原始資料!$A451="",49&gt;設定!$B$3,原始資料!AZ451=""),"",IF(AND(原始資料!AY451&lt;&gt;"",原始資料!AZ451=原始資料!AY451),N(AW451)+1,1))</f>
        <v/>
      </c>
      <c r="AY451" s="6">
        <f>IF(OR(原始資料!$A451="",50&gt;設定!$B$3,原始資料!BA451=""),"",IF(AND(原始資料!AZ451&lt;&gt;"",原始資料!BA451=原始資料!AZ451),N(AX451)+1,1))</f>
        <v/>
      </c>
      <c r="AZ451" s="6">
        <f>IF(OR(原始資料!$A451="",51&gt;設定!$B$3,原始資料!BB451=""),"",IF(AND(原始資料!BA451&lt;&gt;"",原始資料!BB451=原始資料!BA451),N(AY451)+1,1))</f>
        <v/>
      </c>
      <c r="BA451" s="6">
        <f>IF(OR(原始資料!$A451="",52&gt;設定!$B$3,原始資料!BC451=""),"",IF(AND(原始資料!BB451&lt;&gt;"",原始資料!BC451=原始資料!BB451),N(AZ451)+1,1))</f>
        <v/>
      </c>
      <c r="BB451" s="6">
        <f>IF(OR(原始資料!$A451="",53&gt;設定!$B$3,原始資料!BD451=""),"",IF(AND(原始資料!BC451&lt;&gt;"",原始資料!BD451=原始資料!BC451),N(BA451)+1,1))</f>
        <v/>
      </c>
      <c r="BC451" s="6">
        <f>IF(OR(原始資料!$A451="",54&gt;設定!$B$3,原始資料!BE451=""),"",IF(AND(原始資料!BD451&lt;&gt;"",原始資料!BE451=原始資料!BD451),N(BB451)+1,1))</f>
        <v/>
      </c>
      <c r="BD451" s="6">
        <f>IF(OR(原始資料!$A451="",55&gt;設定!$B$3,原始資料!BF451=""),"",IF(AND(原始資料!BE451&lt;&gt;"",原始資料!BF451=原始資料!BE451),N(BC451)+1,1))</f>
        <v/>
      </c>
      <c r="BE451" s="6">
        <f>IF(OR(原始資料!$A451="",56&gt;設定!$B$3,原始資料!BG451=""),"",IF(AND(原始資料!BF451&lt;&gt;"",原始資料!BG451=原始資料!BF451),N(BD451)+1,1))</f>
        <v/>
      </c>
      <c r="BF451" s="6">
        <f>IF(OR(原始資料!$A451="",57&gt;設定!$B$3,原始資料!BH451=""),"",IF(AND(原始資料!BG451&lt;&gt;"",原始資料!BH451=原始資料!BG451),N(BE451)+1,1))</f>
        <v/>
      </c>
      <c r="BG451" s="6">
        <f>IF(OR(原始資料!$A451="",58&gt;設定!$B$3,原始資料!BI451=""),"",IF(AND(原始資料!BH451&lt;&gt;"",原始資料!BI451=原始資料!BH451),N(BF451)+1,1))</f>
        <v/>
      </c>
      <c r="BH451" s="6">
        <f>IF(OR(原始資料!$A451="",59&gt;設定!$B$3,原始資料!BJ451=""),"",IF(AND(原始資料!BI451&lt;&gt;"",原始資料!BJ451=原始資料!BI451),N(BG451)+1,1))</f>
        <v/>
      </c>
      <c r="BI451" s="6">
        <f>IF(OR(原始資料!$A451="",60&gt;設定!$B$3,原始資料!BK451=""),"",IF(AND(原始資料!BJ451&lt;&gt;"",原始資料!BK451=原始資料!BJ451),N(BH451)+1,1))</f>
        <v/>
      </c>
    </row>
    <row r="452">
      <c r="A452" s="6">
        <f>IF(原始資料!$A452="","",原始資料!$A452)</f>
        <v/>
      </c>
      <c r="B452" s="6">
        <f>IF(OR(原始資料!$A452="",1&gt;設定!$B$3,原始資料!D452=""),"",1)</f>
        <v/>
      </c>
      <c r="C452" s="6">
        <f>IF(OR(原始資料!$A452="",2&gt;設定!$B$3,原始資料!E452=""),"",IF(AND(原始資料!D452&lt;&gt;"",原始資料!E452=原始資料!D452),N(B452)+1,1))</f>
        <v/>
      </c>
      <c r="D452" s="6">
        <f>IF(OR(原始資料!$A452="",3&gt;設定!$B$3,原始資料!F452=""),"",IF(AND(原始資料!E452&lt;&gt;"",原始資料!F452=原始資料!E452),N(C452)+1,1))</f>
        <v/>
      </c>
      <c r="E452" s="6">
        <f>IF(OR(原始資料!$A452="",4&gt;設定!$B$3,原始資料!G452=""),"",IF(AND(原始資料!F452&lt;&gt;"",原始資料!G452=原始資料!F452),N(D452)+1,1))</f>
        <v/>
      </c>
      <c r="F452" s="6">
        <f>IF(OR(原始資料!$A452="",5&gt;設定!$B$3,原始資料!H452=""),"",IF(AND(原始資料!G452&lt;&gt;"",原始資料!H452=原始資料!G452),N(E452)+1,1))</f>
        <v/>
      </c>
      <c r="G452" s="6">
        <f>IF(OR(原始資料!$A452="",6&gt;設定!$B$3,原始資料!I452=""),"",IF(AND(原始資料!H452&lt;&gt;"",原始資料!I452=原始資料!H452),N(F452)+1,1))</f>
        <v/>
      </c>
      <c r="H452" s="6">
        <f>IF(OR(原始資料!$A452="",7&gt;設定!$B$3,原始資料!J452=""),"",IF(AND(原始資料!I452&lt;&gt;"",原始資料!J452=原始資料!I452),N(G452)+1,1))</f>
        <v/>
      </c>
      <c r="I452" s="6">
        <f>IF(OR(原始資料!$A452="",8&gt;設定!$B$3,原始資料!K452=""),"",IF(AND(原始資料!J452&lt;&gt;"",原始資料!K452=原始資料!J452),N(H452)+1,1))</f>
        <v/>
      </c>
      <c r="J452" s="6">
        <f>IF(OR(原始資料!$A452="",9&gt;設定!$B$3,原始資料!L452=""),"",IF(AND(原始資料!K452&lt;&gt;"",原始資料!L452=原始資料!K452),N(I452)+1,1))</f>
        <v/>
      </c>
      <c r="K452" s="6">
        <f>IF(OR(原始資料!$A452="",10&gt;設定!$B$3,原始資料!M452=""),"",IF(AND(原始資料!L452&lt;&gt;"",原始資料!M452=原始資料!L452),N(J452)+1,1))</f>
        <v/>
      </c>
      <c r="L452" s="6">
        <f>IF(OR(原始資料!$A452="",11&gt;設定!$B$3,原始資料!N452=""),"",IF(AND(原始資料!M452&lt;&gt;"",原始資料!N452=原始資料!M452),N(K452)+1,1))</f>
        <v/>
      </c>
      <c r="M452" s="6">
        <f>IF(OR(原始資料!$A452="",12&gt;設定!$B$3,原始資料!O452=""),"",IF(AND(原始資料!N452&lt;&gt;"",原始資料!O452=原始資料!N452),N(L452)+1,1))</f>
        <v/>
      </c>
      <c r="N452" s="6">
        <f>IF(OR(原始資料!$A452="",13&gt;設定!$B$3,原始資料!P452=""),"",IF(AND(原始資料!O452&lt;&gt;"",原始資料!P452=原始資料!O452),N(M452)+1,1))</f>
        <v/>
      </c>
      <c r="O452" s="6">
        <f>IF(OR(原始資料!$A452="",14&gt;設定!$B$3,原始資料!Q452=""),"",IF(AND(原始資料!P452&lt;&gt;"",原始資料!Q452=原始資料!P452),N(N452)+1,1))</f>
        <v/>
      </c>
      <c r="P452" s="6">
        <f>IF(OR(原始資料!$A452="",15&gt;設定!$B$3,原始資料!R452=""),"",IF(AND(原始資料!Q452&lt;&gt;"",原始資料!R452=原始資料!Q452),N(O452)+1,1))</f>
        <v/>
      </c>
      <c r="Q452" s="6">
        <f>IF(OR(原始資料!$A452="",16&gt;設定!$B$3,原始資料!S452=""),"",IF(AND(原始資料!R452&lt;&gt;"",原始資料!S452=原始資料!R452),N(P452)+1,1))</f>
        <v/>
      </c>
      <c r="R452" s="6">
        <f>IF(OR(原始資料!$A452="",17&gt;設定!$B$3,原始資料!T452=""),"",IF(AND(原始資料!S452&lt;&gt;"",原始資料!T452=原始資料!S452),N(Q452)+1,1))</f>
        <v/>
      </c>
      <c r="S452" s="6">
        <f>IF(OR(原始資料!$A452="",18&gt;設定!$B$3,原始資料!U452=""),"",IF(AND(原始資料!T452&lt;&gt;"",原始資料!U452=原始資料!T452),N(R452)+1,1))</f>
        <v/>
      </c>
      <c r="T452" s="6">
        <f>IF(OR(原始資料!$A452="",19&gt;設定!$B$3,原始資料!V452=""),"",IF(AND(原始資料!U452&lt;&gt;"",原始資料!V452=原始資料!U452),N(S452)+1,1))</f>
        <v/>
      </c>
      <c r="U452" s="6">
        <f>IF(OR(原始資料!$A452="",20&gt;設定!$B$3,原始資料!W452=""),"",IF(AND(原始資料!V452&lt;&gt;"",原始資料!W452=原始資料!V452),N(T452)+1,1))</f>
        <v/>
      </c>
      <c r="V452" s="6">
        <f>IF(OR(原始資料!$A452="",21&gt;設定!$B$3,原始資料!X452=""),"",IF(AND(原始資料!W452&lt;&gt;"",原始資料!X452=原始資料!W452),N(U452)+1,1))</f>
        <v/>
      </c>
      <c r="W452" s="6">
        <f>IF(OR(原始資料!$A452="",22&gt;設定!$B$3,原始資料!Y452=""),"",IF(AND(原始資料!X452&lt;&gt;"",原始資料!Y452=原始資料!X452),N(V452)+1,1))</f>
        <v/>
      </c>
      <c r="X452" s="6">
        <f>IF(OR(原始資料!$A452="",23&gt;設定!$B$3,原始資料!Z452=""),"",IF(AND(原始資料!Y452&lt;&gt;"",原始資料!Z452=原始資料!Y452),N(W452)+1,1))</f>
        <v/>
      </c>
      <c r="Y452" s="6">
        <f>IF(OR(原始資料!$A452="",24&gt;設定!$B$3,原始資料!AA452=""),"",IF(AND(原始資料!Z452&lt;&gt;"",原始資料!AA452=原始資料!Z452),N(X452)+1,1))</f>
        <v/>
      </c>
      <c r="Z452" s="6">
        <f>IF(OR(原始資料!$A452="",25&gt;設定!$B$3,原始資料!AB452=""),"",IF(AND(原始資料!AA452&lt;&gt;"",原始資料!AB452=原始資料!AA452),N(Y452)+1,1))</f>
        <v/>
      </c>
      <c r="AA452" s="6">
        <f>IF(OR(原始資料!$A452="",26&gt;設定!$B$3,原始資料!AC452=""),"",IF(AND(原始資料!AB452&lt;&gt;"",原始資料!AC452=原始資料!AB452),N(Z452)+1,1))</f>
        <v/>
      </c>
      <c r="AB452" s="6">
        <f>IF(OR(原始資料!$A452="",27&gt;設定!$B$3,原始資料!AD452=""),"",IF(AND(原始資料!AC452&lt;&gt;"",原始資料!AD452=原始資料!AC452),N(AA452)+1,1))</f>
        <v/>
      </c>
      <c r="AC452" s="6">
        <f>IF(OR(原始資料!$A452="",28&gt;設定!$B$3,原始資料!AE452=""),"",IF(AND(原始資料!AD452&lt;&gt;"",原始資料!AE452=原始資料!AD452),N(AB452)+1,1))</f>
        <v/>
      </c>
      <c r="AD452" s="6">
        <f>IF(OR(原始資料!$A452="",29&gt;設定!$B$3,原始資料!AF452=""),"",IF(AND(原始資料!AE452&lt;&gt;"",原始資料!AF452=原始資料!AE452),N(AC452)+1,1))</f>
        <v/>
      </c>
      <c r="AE452" s="6">
        <f>IF(OR(原始資料!$A452="",30&gt;設定!$B$3,原始資料!AG452=""),"",IF(AND(原始資料!AF452&lt;&gt;"",原始資料!AG452=原始資料!AF452),N(AD452)+1,1))</f>
        <v/>
      </c>
      <c r="AF452" s="6">
        <f>IF(OR(原始資料!$A452="",31&gt;設定!$B$3,原始資料!AH452=""),"",IF(AND(原始資料!AG452&lt;&gt;"",原始資料!AH452=原始資料!AG452),N(AE452)+1,1))</f>
        <v/>
      </c>
      <c r="AG452" s="6">
        <f>IF(OR(原始資料!$A452="",32&gt;設定!$B$3,原始資料!AI452=""),"",IF(AND(原始資料!AH452&lt;&gt;"",原始資料!AI452=原始資料!AH452),N(AF452)+1,1))</f>
        <v/>
      </c>
      <c r="AH452" s="6">
        <f>IF(OR(原始資料!$A452="",33&gt;設定!$B$3,原始資料!AJ452=""),"",IF(AND(原始資料!AI452&lt;&gt;"",原始資料!AJ452=原始資料!AI452),N(AG452)+1,1))</f>
        <v/>
      </c>
      <c r="AI452" s="6">
        <f>IF(OR(原始資料!$A452="",34&gt;設定!$B$3,原始資料!AK452=""),"",IF(AND(原始資料!AJ452&lt;&gt;"",原始資料!AK452=原始資料!AJ452),N(AH452)+1,1))</f>
        <v/>
      </c>
      <c r="AJ452" s="6">
        <f>IF(OR(原始資料!$A452="",35&gt;設定!$B$3,原始資料!AL452=""),"",IF(AND(原始資料!AK452&lt;&gt;"",原始資料!AL452=原始資料!AK452),N(AI452)+1,1))</f>
        <v/>
      </c>
      <c r="AK452" s="6">
        <f>IF(OR(原始資料!$A452="",36&gt;設定!$B$3,原始資料!AM452=""),"",IF(AND(原始資料!AL452&lt;&gt;"",原始資料!AM452=原始資料!AL452),N(AJ452)+1,1))</f>
        <v/>
      </c>
      <c r="AL452" s="6">
        <f>IF(OR(原始資料!$A452="",37&gt;設定!$B$3,原始資料!AN452=""),"",IF(AND(原始資料!AM452&lt;&gt;"",原始資料!AN452=原始資料!AM452),N(AK452)+1,1))</f>
        <v/>
      </c>
      <c r="AM452" s="6">
        <f>IF(OR(原始資料!$A452="",38&gt;設定!$B$3,原始資料!AO452=""),"",IF(AND(原始資料!AN452&lt;&gt;"",原始資料!AO452=原始資料!AN452),N(AL452)+1,1))</f>
        <v/>
      </c>
      <c r="AN452" s="6">
        <f>IF(OR(原始資料!$A452="",39&gt;設定!$B$3,原始資料!AP452=""),"",IF(AND(原始資料!AO452&lt;&gt;"",原始資料!AP452=原始資料!AO452),N(AM452)+1,1))</f>
        <v/>
      </c>
      <c r="AO452" s="6">
        <f>IF(OR(原始資料!$A452="",40&gt;設定!$B$3,原始資料!AQ452=""),"",IF(AND(原始資料!AP452&lt;&gt;"",原始資料!AQ452=原始資料!AP452),N(AN452)+1,1))</f>
        <v/>
      </c>
      <c r="AP452" s="6">
        <f>IF(OR(原始資料!$A452="",41&gt;設定!$B$3,原始資料!AR452=""),"",IF(AND(原始資料!AQ452&lt;&gt;"",原始資料!AR452=原始資料!AQ452),N(AO452)+1,1))</f>
        <v/>
      </c>
      <c r="AQ452" s="6">
        <f>IF(OR(原始資料!$A452="",42&gt;設定!$B$3,原始資料!AS452=""),"",IF(AND(原始資料!AR452&lt;&gt;"",原始資料!AS452=原始資料!AR452),N(AP452)+1,1))</f>
        <v/>
      </c>
      <c r="AR452" s="6">
        <f>IF(OR(原始資料!$A452="",43&gt;設定!$B$3,原始資料!AT452=""),"",IF(AND(原始資料!AS452&lt;&gt;"",原始資料!AT452=原始資料!AS452),N(AQ452)+1,1))</f>
        <v/>
      </c>
      <c r="AS452" s="6">
        <f>IF(OR(原始資料!$A452="",44&gt;設定!$B$3,原始資料!AU452=""),"",IF(AND(原始資料!AT452&lt;&gt;"",原始資料!AU452=原始資料!AT452),N(AR452)+1,1))</f>
        <v/>
      </c>
      <c r="AT452" s="6">
        <f>IF(OR(原始資料!$A452="",45&gt;設定!$B$3,原始資料!AV452=""),"",IF(AND(原始資料!AU452&lt;&gt;"",原始資料!AV452=原始資料!AU452),N(AS452)+1,1))</f>
        <v/>
      </c>
      <c r="AU452" s="6">
        <f>IF(OR(原始資料!$A452="",46&gt;設定!$B$3,原始資料!AW452=""),"",IF(AND(原始資料!AV452&lt;&gt;"",原始資料!AW452=原始資料!AV452),N(AT452)+1,1))</f>
        <v/>
      </c>
      <c r="AV452" s="6">
        <f>IF(OR(原始資料!$A452="",47&gt;設定!$B$3,原始資料!AX452=""),"",IF(AND(原始資料!AW452&lt;&gt;"",原始資料!AX452=原始資料!AW452),N(AU452)+1,1))</f>
        <v/>
      </c>
      <c r="AW452" s="6">
        <f>IF(OR(原始資料!$A452="",48&gt;設定!$B$3,原始資料!AY452=""),"",IF(AND(原始資料!AX452&lt;&gt;"",原始資料!AY452=原始資料!AX452),N(AV452)+1,1))</f>
        <v/>
      </c>
      <c r="AX452" s="6">
        <f>IF(OR(原始資料!$A452="",49&gt;設定!$B$3,原始資料!AZ452=""),"",IF(AND(原始資料!AY452&lt;&gt;"",原始資料!AZ452=原始資料!AY452),N(AW452)+1,1))</f>
        <v/>
      </c>
      <c r="AY452" s="6">
        <f>IF(OR(原始資料!$A452="",50&gt;設定!$B$3,原始資料!BA452=""),"",IF(AND(原始資料!AZ452&lt;&gt;"",原始資料!BA452=原始資料!AZ452),N(AX452)+1,1))</f>
        <v/>
      </c>
      <c r="AZ452" s="6">
        <f>IF(OR(原始資料!$A452="",51&gt;設定!$B$3,原始資料!BB452=""),"",IF(AND(原始資料!BA452&lt;&gt;"",原始資料!BB452=原始資料!BA452),N(AY452)+1,1))</f>
        <v/>
      </c>
      <c r="BA452" s="6">
        <f>IF(OR(原始資料!$A452="",52&gt;設定!$B$3,原始資料!BC452=""),"",IF(AND(原始資料!BB452&lt;&gt;"",原始資料!BC452=原始資料!BB452),N(AZ452)+1,1))</f>
        <v/>
      </c>
      <c r="BB452" s="6">
        <f>IF(OR(原始資料!$A452="",53&gt;設定!$B$3,原始資料!BD452=""),"",IF(AND(原始資料!BC452&lt;&gt;"",原始資料!BD452=原始資料!BC452),N(BA452)+1,1))</f>
        <v/>
      </c>
      <c r="BC452" s="6">
        <f>IF(OR(原始資料!$A452="",54&gt;設定!$B$3,原始資料!BE452=""),"",IF(AND(原始資料!BD452&lt;&gt;"",原始資料!BE452=原始資料!BD452),N(BB452)+1,1))</f>
        <v/>
      </c>
      <c r="BD452" s="6">
        <f>IF(OR(原始資料!$A452="",55&gt;設定!$B$3,原始資料!BF452=""),"",IF(AND(原始資料!BE452&lt;&gt;"",原始資料!BF452=原始資料!BE452),N(BC452)+1,1))</f>
        <v/>
      </c>
      <c r="BE452" s="6">
        <f>IF(OR(原始資料!$A452="",56&gt;設定!$B$3,原始資料!BG452=""),"",IF(AND(原始資料!BF452&lt;&gt;"",原始資料!BG452=原始資料!BF452),N(BD452)+1,1))</f>
        <v/>
      </c>
      <c r="BF452" s="6">
        <f>IF(OR(原始資料!$A452="",57&gt;設定!$B$3,原始資料!BH452=""),"",IF(AND(原始資料!BG452&lt;&gt;"",原始資料!BH452=原始資料!BG452),N(BE452)+1,1))</f>
        <v/>
      </c>
      <c r="BG452" s="6">
        <f>IF(OR(原始資料!$A452="",58&gt;設定!$B$3,原始資料!BI452=""),"",IF(AND(原始資料!BH452&lt;&gt;"",原始資料!BI452=原始資料!BH452),N(BF452)+1,1))</f>
        <v/>
      </c>
      <c r="BH452" s="6">
        <f>IF(OR(原始資料!$A452="",59&gt;設定!$B$3,原始資料!BJ452=""),"",IF(AND(原始資料!BI452&lt;&gt;"",原始資料!BJ452=原始資料!BI452),N(BG452)+1,1))</f>
        <v/>
      </c>
      <c r="BI452" s="6">
        <f>IF(OR(原始資料!$A452="",60&gt;設定!$B$3,原始資料!BK452=""),"",IF(AND(原始資料!BJ452&lt;&gt;"",原始資料!BK452=原始資料!BJ452),N(BH452)+1,1))</f>
        <v/>
      </c>
    </row>
    <row r="453">
      <c r="A453" s="6">
        <f>IF(原始資料!$A453="","",原始資料!$A453)</f>
        <v/>
      </c>
      <c r="B453" s="6">
        <f>IF(OR(原始資料!$A453="",1&gt;設定!$B$3,原始資料!D453=""),"",1)</f>
        <v/>
      </c>
      <c r="C453" s="6">
        <f>IF(OR(原始資料!$A453="",2&gt;設定!$B$3,原始資料!E453=""),"",IF(AND(原始資料!D453&lt;&gt;"",原始資料!E453=原始資料!D453),N(B453)+1,1))</f>
        <v/>
      </c>
      <c r="D453" s="6">
        <f>IF(OR(原始資料!$A453="",3&gt;設定!$B$3,原始資料!F453=""),"",IF(AND(原始資料!E453&lt;&gt;"",原始資料!F453=原始資料!E453),N(C453)+1,1))</f>
        <v/>
      </c>
      <c r="E453" s="6">
        <f>IF(OR(原始資料!$A453="",4&gt;設定!$B$3,原始資料!G453=""),"",IF(AND(原始資料!F453&lt;&gt;"",原始資料!G453=原始資料!F453),N(D453)+1,1))</f>
        <v/>
      </c>
      <c r="F453" s="6">
        <f>IF(OR(原始資料!$A453="",5&gt;設定!$B$3,原始資料!H453=""),"",IF(AND(原始資料!G453&lt;&gt;"",原始資料!H453=原始資料!G453),N(E453)+1,1))</f>
        <v/>
      </c>
      <c r="G453" s="6">
        <f>IF(OR(原始資料!$A453="",6&gt;設定!$B$3,原始資料!I453=""),"",IF(AND(原始資料!H453&lt;&gt;"",原始資料!I453=原始資料!H453),N(F453)+1,1))</f>
        <v/>
      </c>
      <c r="H453" s="6">
        <f>IF(OR(原始資料!$A453="",7&gt;設定!$B$3,原始資料!J453=""),"",IF(AND(原始資料!I453&lt;&gt;"",原始資料!J453=原始資料!I453),N(G453)+1,1))</f>
        <v/>
      </c>
      <c r="I453" s="6">
        <f>IF(OR(原始資料!$A453="",8&gt;設定!$B$3,原始資料!K453=""),"",IF(AND(原始資料!J453&lt;&gt;"",原始資料!K453=原始資料!J453),N(H453)+1,1))</f>
        <v/>
      </c>
      <c r="J453" s="6">
        <f>IF(OR(原始資料!$A453="",9&gt;設定!$B$3,原始資料!L453=""),"",IF(AND(原始資料!K453&lt;&gt;"",原始資料!L453=原始資料!K453),N(I453)+1,1))</f>
        <v/>
      </c>
      <c r="K453" s="6">
        <f>IF(OR(原始資料!$A453="",10&gt;設定!$B$3,原始資料!M453=""),"",IF(AND(原始資料!L453&lt;&gt;"",原始資料!M453=原始資料!L453),N(J453)+1,1))</f>
        <v/>
      </c>
      <c r="L453" s="6">
        <f>IF(OR(原始資料!$A453="",11&gt;設定!$B$3,原始資料!N453=""),"",IF(AND(原始資料!M453&lt;&gt;"",原始資料!N453=原始資料!M453),N(K453)+1,1))</f>
        <v/>
      </c>
      <c r="M453" s="6">
        <f>IF(OR(原始資料!$A453="",12&gt;設定!$B$3,原始資料!O453=""),"",IF(AND(原始資料!N453&lt;&gt;"",原始資料!O453=原始資料!N453),N(L453)+1,1))</f>
        <v/>
      </c>
      <c r="N453" s="6">
        <f>IF(OR(原始資料!$A453="",13&gt;設定!$B$3,原始資料!P453=""),"",IF(AND(原始資料!O453&lt;&gt;"",原始資料!P453=原始資料!O453),N(M453)+1,1))</f>
        <v/>
      </c>
      <c r="O453" s="6">
        <f>IF(OR(原始資料!$A453="",14&gt;設定!$B$3,原始資料!Q453=""),"",IF(AND(原始資料!P453&lt;&gt;"",原始資料!Q453=原始資料!P453),N(N453)+1,1))</f>
        <v/>
      </c>
      <c r="P453" s="6">
        <f>IF(OR(原始資料!$A453="",15&gt;設定!$B$3,原始資料!R453=""),"",IF(AND(原始資料!Q453&lt;&gt;"",原始資料!R453=原始資料!Q453),N(O453)+1,1))</f>
        <v/>
      </c>
      <c r="Q453" s="6">
        <f>IF(OR(原始資料!$A453="",16&gt;設定!$B$3,原始資料!S453=""),"",IF(AND(原始資料!R453&lt;&gt;"",原始資料!S453=原始資料!R453),N(P453)+1,1))</f>
        <v/>
      </c>
      <c r="R453" s="6">
        <f>IF(OR(原始資料!$A453="",17&gt;設定!$B$3,原始資料!T453=""),"",IF(AND(原始資料!S453&lt;&gt;"",原始資料!T453=原始資料!S453),N(Q453)+1,1))</f>
        <v/>
      </c>
      <c r="S453" s="6">
        <f>IF(OR(原始資料!$A453="",18&gt;設定!$B$3,原始資料!U453=""),"",IF(AND(原始資料!T453&lt;&gt;"",原始資料!U453=原始資料!T453),N(R453)+1,1))</f>
        <v/>
      </c>
      <c r="T453" s="6">
        <f>IF(OR(原始資料!$A453="",19&gt;設定!$B$3,原始資料!V453=""),"",IF(AND(原始資料!U453&lt;&gt;"",原始資料!V453=原始資料!U453),N(S453)+1,1))</f>
        <v/>
      </c>
      <c r="U453" s="6">
        <f>IF(OR(原始資料!$A453="",20&gt;設定!$B$3,原始資料!W453=""),"",IF(AND(原始資料!V453&lt;&gt;"",原始資料!W453=原始資料!V453),N(T453)+1,1))</f>
        <v/>
      </c>
      <c r="V453" s="6">
        <f>IF(OR(原始資料!$A453="",21&gt;設定!$B$3,原始資料!X453=""),"",IF(AND(原始資料!W453&lt;&gt;"",原始資料!X453=原始資料!W453),N(U453)+1,1))</f>
        <v/>
      </c>
      <c r="W453" s="6">
        <f>IF(OR(原始資料!$A453="",22&gt;設定!$B$3,原始資料!Y453=""),"",IF(AND(原始資料!X453&lt;&gt;"",原始資料!Y453=原始資料!X453),N(V453)+1,1))</f>
        <v/>
      </c>
      <c r="X453" s="6">
        <f>IF(OR(原始資料!$A453="",23&gt;設定!$B$3,原始資料!Z453=""),"",IF(AND(原始資料!Y453&lt;&gt;"",原始資料!Z453=原始資料!Y453),N(W453)+1,1))</f>
        <v/>
      </c>
      <c r="Y453" s="6">
        <f>IF(OR(原始資料!$A453="",24&gt;設定!$B$3,原始資料!AA453=""),"",IF(AND(原始資料!Z453&lt;&gt;"",原始資料!AA453=原始資料!Z453),N(X453)+1,1))</f>
        <v/>
      </c>
      <c r="Z453" s="6">
        <f>IF(OR(原始資料!$A453="",25&gt;設定!$B$3,原始資料!AB453=""),"",IF(AND(原始資料!AA453&lt;&gt;"",原始資料!AB453=原始資料!AA453),N(Y453)+1,1))</f>
        <v/>
      </c>
      <c r="AA453" s="6">
        <f>IF(OR(原始資料!$A453="",26&gt;設定!$B$3,原始資料!AC453=""),"",IF(AND(原始資料!AB453&lt;&gt;"",原始資料!AC453=原始資料!AB453),N(Z453)+1,1))</f>
        <v/>
      </c>
      <c r="AB453" s="6">
        <f>IF(OR(原始資料!$A453="",27&gt;設定!$B$3,原始資料!AD453=""),"",IF(AND(原始資料!AC453&lt;&gt;"",原始資料!AD453=原始資料!AC453),N(AA453)+1,1))</f>
        <v/>
      </c>
      <c r="AC453" s="6">
        <f>IF(OR(原始資料!$A453="",28&gt;設定!$B$3,原始資料!AE453=""),"",IF(AND(原始資料!AD453&lt;&gt;"",原始資料!AE453=原始資料!AD453),N(AB453)+1,1))</f>
        <v/>
      </c>
      <c r="AD453" s="6">
        <f>IF(OR(原始資料!$A453="",29&gt;設定!$B$3,原始資料!AF453=""),"",IF(AND(原始資料!AE453&lt;&gt;"",原始資料!AF453=原始資料!AE453),N(AC453)+1,1))</f>
        <v/>
      </c>
      <c r="AE453" s="6">
        <f>IF(OR(原始資料!$A453="",30&gt;設定!$B$3,原始資料!AG453=""),"",IF(AND(原始資料!AF453&lt;&gt;"",原始資料!AG453=原始資料!AF453),N(AD453)+1,1))</f>
        <v/>
      </c>
      <c r="AF453" s="6">
        <f>IF(OR(原始資料!$A453="",31&gt;設定!$B$3,原始資料!AH453=""),"",IF(AND(原始資料!AG453&lt;&gt;"",原始資料!AH453=原始資料!AG453),N(AE453)+1,1))</f>
        <v/>
      </c>
      <c r="AG453" s="6">
        <f>IF(OR(原始資料!$A453="",32&gt;設定!$B$3,原始資料!AI453=""),"",IF(AND(原始資料!AH453&lt;&gt;"",原始資料!AI453=原始資料!AH453),N(AF453)+1,1))</f>
        <v/>
      </c>
      <c r="AH453" s="6">
        <f>IF(OR(原始資料!$A453="",33&gt;設定!$B$3,原始資料!AJ453=""),"",IF(AND(原始資料!AI453&lt;&gt;"",原始資料!AJ453=原始資料!AI453),N(AG453)+1,1))</f>
        <v/>
      </c>
      <c r="AI453" s="6">
        <f>IF(OR(原始資料!$A453="",34&gt;設定!$B$3,原始資料!AK453=""),"",IF(AND(原始資料!AJ453&lt;&gt;"",原始資料!AK453=原始資料!AJ453),N(AH453)+1,1))</f>
        <v/>
      </c>
      <c r="AJ453" s="6">
        <f>IF(OR(原始資料!$A453="",35&gt;設定!$B$3,原始資料!AL453=""),"",IF(AND(原始資料!AK453&lt;&gt;"",原始資料!AL453=原始資料!AK453),N(AI453)+1,1))</f>
        <v/>
      </c>
      <c r="AK453" s="6">
        <f>IF(OR(原始資料!$A453="",36&gt;設定!$B$3,原始資料!AM453=""),"",IF(AND(原始資料!AL453&lt;&gt;"",原始資料!AM453=原始資料!AL453),N(AJ453)+1,1))</f>
        <v/>
      </c>
      <c r="AL453" s="6">
        <f>IF(OR(原始資料!$A453="",37&gt;設定!$B$3,原始資料!AN453=""),"",IF(AND(原始資料!AM453&lt;&gt;"",原始資料!AN453=原始資料!AM453),N(AK453)+1,1))</f>
        <v/>
      </c>
      <c r="AM453" s="6">
        <f>IF(OR(原始資料!$A453="",38&gt;設定!$B$3,原始資料!AO453=""),"",IF(AND(原始資料!AN453&lt;&gt;"",原始資料!AO453=原始資料!AN453),N(AL453)+1,1))</f>
        <v/>
      </c>
      <c r="AN453" s="6">
        <f>IF(OR(原始資料!$A453="",39&gt;設定!$B$3,原始資料!AP453=""),"",IF(AND(原始資料!AO453&lt;&gt;"",原始資料!AP453=原始資料!AO453),N(AM453)+1,1))</f>
        <v/>
      </c>
      <c r="AO453" s="6">
        <f>IF(OR(原始資料!$A453="",40&gt;設定!$B$3,原始資料!AQ453=""),"",IF(AND(原始資料!AP453&lt;&gt;"",原始資料!AQ453=原始資料!AP453),N(AN453)+1,1))</f>
        <v/>
      </c>
      <c r="AP453" s="6">
        <f>IF(OR(原始資料!$A453="",41&gt;設定!$B$3,原始資料!AR453=""),"",IF(AND(原始資料!AQ453&lt;&gt;"",原始資料!AR453=原始資料!AQ453),N(AO453)+1,1))</f>
        <v/>
      </c>
      <c r="AQ453" s="6">
        <f>IF(OR(原始資料!$A453="",42&gt;設定!$B$3,原始資料!AS453=""),"",IF(AND(原始資料!AR453&lt;&gt;"",原始資料!AS453=原始資料!AR453),N(AP453)+1,1))</f>
        <v/>
      </c>
      <c r="AR453" s="6">
        <f>IF(OR(原始資料!$A453="",43&gt;設定!$B$3,原始資料!AT453=""),"",IF(AND(原始資料!AS453&lt;&gt;"",原始資料!AT453=原始資料!AS453),N(AQ453)+1,1))</f>
        <v/>
      </c>
      <c r="AS453" s="6">
        <f>IF(OR(原始資料!$A453="",44&gt;設定!$B$3,原始資料!AU453=""),"",IF(AND(原始資料!AT453&lt;&gt;"",原始資料!AU453=原始資料!AT453),N(AR453)+1,1))</f>
        <v/>
      </c>
      <c r="AT453" s="6">
        <f>IF(OR(原始資料!$A453="",45&gt;設定!$B$3,原始資料!AV453=""),"",IF(AND(原始資料!AU453&lt;&gt;"",原始資料!AV453=原始資料!AU453),N(AS453)+1,1))</f>
        <v/>
      </c>
      <c r="AU453" s="6">
        <f>IF(OR(原始資料!$A453="",46&gt;設定!$B$3,原始資料!AW453=""),"",IF(AND(原始資料!AV453&lt;&gt;"",原始資料!AW453=原始資料!AV453),N(AT453)+1,1))</f>
        <v/>
      </c>
      <c r="AV453" s="6">
        <f>IF(OR(原始資料!$A453="",47&gt;設定!$B$3,原始資料!AX453=""),"",IF(AND(原始資料!AW453&lt;&gt;"",原始資料!AX453=原始資料!AW453),N(AU453)+1,1))</f>
        <v/>
      </c>
      <c r="AW453" s="6">
        <f>IF(OR(原始資料!$A453="",48&gt;設定!$B$3,原始資料!AY453=""),"",IF(AND(原始資料!AX453&lt;&gt;"",原始資料!AY453=原始資料!AX453),N(AV453)+1,1))</f>
        <v/>
      </c>
      <c r="AX453" s="6">
        <f>IF(OR(原始資料!$A453="",49&gt;設定!$B$3,原始資料!AZ453=""),"",IF(AND(原始資料!AY453&lt;&gt;"",原始資料!AZ453=原始資料!AY453),N(AW453)+1,1))</f>
        <v/>
      </c>
      <c r="AY453" s="6">
        <f>IF(OR(原始資料!$A453="",50&gt;設定!$B$3,原始資料!BA453=""),"",IF(AND(原始資料!AZ453&lt;&gt;"",原始資料!BA453=原始資料!AZ453),N(AX453)+1,1))</f>
        <v/>
      </c>
      <c r="AZ453" s="6">
        <f>IF(OR(原始資料!$A453="",51&gt;設定!$B$3,原始資料!BB453=""),"",IF(AND(原始資料!BA453&lt;&gt;"",原始資料!BB453=原始資料!BA453),N(AY453)+1,1))</f>
        <v/>
      </c>
      <c r="BA453" s="6">
        <f>IF(OR(原始資料!$A453="",52&gt;設定!$B$3,原始資料!BC453=""),"",IF(AND(原始資料!BB453&lt;&gt;"",原始資料!BC453=原始資料!BB453),N(AZ453)+1,1))</f>
        <v/>
      </c>
      <c r="BB453" s="6">
        <f>IF(OR(原始資料!$A453="",53&gt;設定!$B$3,原始資料!BD453=""),"",IF(AND(原始資料!BC453&lt;&gt;"",原始資料!BD453=原始資料!BC453),N(BA453)+1,1))</f>
        <v/>
      </c>
      <c r="BC453" s="6">
        <f>IF(OR(原始資料!$A453="",54&gt;設定!$B$3,原始資料!BE453=""),"",IF(AND(原始資料!BD453&lt;&gt;"",原始資料!BE453=原始資料!BD453),N(BB453)+1,1))</f>
        <v/>
      </c>
      <c r="BD453" s="6">
        <f>IF(OR(原始資料!$A453="",55&gt;設定!$B$3,原始資料!BF453=""),"",IF(AND(原始資料!BE453&lt;&gt;"",原始資料!BF453=原始資料!BE453),N(BC453)+1,1))</f>
        <v/>
      </c>
      <c r="BE453" s="6">
        <f>IF(OR(原始資料!$A453="",56&gt;設定!$B$3,原始資料!BG453=""),"",IF(AND(原始資料!BF453&lt;&gt;"",原始資料!BG453=原始資料!BF453),N(BD453)+1,1))</f>
        <v/>
      </c>
      <c r="BF453" s="6">
        <f>IF(OR(原始資料!$A453="",57&gt;設定!$B$3,原始資料!BH453=""),"",IF(AND(原始資料!BG453&lt;&gt;"",原始資料!BH453=原始資料!BG453),N(BE453)+1,1))</f>
        <v/>
      </c>
      <c r="BG453" s="6">
        <f>IF(OR(原始資料!$A453="",58&gt;設定!$B$3,原始資料!BI453=""),"",IF(AND(原始資料!BH453&lt;&gt;"",原始資料!BI453=原始資料!BH453),N(BF453)+1,1))</f>
        <v/>
      </c>
      <c r="BH453" s="6">
        <f>IF(OR(原始資料!$A453="",59&gt;設定!$B$3,原始資料!BJ453=""),"",IF(AND(原始資料!BI453&lt;&gt;"",原始資料!BJ453=原始資料!BI453),N(BG453)+1,1))</f>
        <v/>
      </c>
      <c r="BI453" s="6">
        <f>IF(OR(原始資料!$A453="",60&gt;設定!$B$3,原始資料!BK453=""),"",IF(AND(原始資料!BJ453&lt;&gt;"",原始資料!BK453=原始資料!BJ453),N(BH453)+1,1))</f>
        <v/>
      </c>
    </row>
    <row r="454">
      <c r="A454" s="6">
        <f>IF(原始資料!$A454="","",原始資料!$A454)</f>
        <v/>
      </c>
      <c r="B454" s="6">
        <f>IF(OR(原始資料!$A454="",1&gt;設定!$B$3,原始資料!D454=""),"",1)</f>
        <v/>
      </c>
      <c r="C454" s="6">
        <f>IF(OR(原始資料!$A454="",2&gt;設定!$B$3,原始資料!E454=""),"",IF(AND(原始資料!D454&lt;&gt;"",原始資料!E454=原始資料!D454),N(B454)+1,1))</f>
        <v/>
      </c>
      <c r="D454" s="6">
        <f>IF(OR(原始資料!$A454="",3&gt;設定!$B$3,原始資料!F454=""),"",IF(AND(原始資料!E454&lt;&gt;"",原始資料!F454=原始資料!E454),N(C454)+1,1))</f>
        <v/>
      </c>
      <c r="E454" s="6">
        <f>IF(OR(原始資料!$A454="",4&gt;設定!$B$3,原始資料!G454=""),"",IF(AND(原始資料!F454&lt;&gt;"",原始資料!G454=原始資料!F454),N(D454)+1,1))</f>
        <v/>
      </c>
      <c r="F454" s="6">
        <f>IF(OR(原始資料!$A454="",5&gt;設定!$B$3,原始資料!H454=""),"",IF(AND(原始資料!G454&lt;&gt;"",原始資料!H454=原始資料!G454),N(E454)+1,1))</f>
        <v/>
      </c>
      <c r="G454" s="6">
        <f>IF(OR(原始資料!$A454="",6&gt;設定!$B$3,原始資料!I454=""),"",IF(AND(原始資料!H454&lt;&gt;"",原始資料!I454=原始資料!H454),N(F454)+1,1))</f>
        <v/>
      </c>
      <c r="H454" s="6">
        <f>IF(OR(原始資料!$A454="",7&gt;設定!$B$3,原始資料!J454=""),"",IF(AND(原始資料!I454&lt;&gt;"",原始資料!J454=原始資料!I454),N(G454)+1,1))</f>
        <v/>
      </c>
      <c r="I454" s="6">
        <f>IF(OR(原始資料!$A454="",8&gt;設定!$B$3,原始資料!K454=""),"",IF(AND(原始資料!J454&lt;&gt;"",原始資料!K454=原始資料!J454),N(H454)+1,1))</f>
        <v/>
      </c>
      <c r="J454" s="6">
        <f>IF(OR(原始資料!$A454="",9&gt;設定!$B$3,原始資料!L454=""),"",IF(AND(原始資料!K454&lt;&gt;"",原始資料!L454=原始資料!K454),N(I454)+1,1))</f>
        <v/>
      </c>
      <c r="K454" s="6">
        <f>IF(OR(原始資料!$A454="",10&gt;設定!$B$3,原始資料!M454=""),"",IF(AND(原始資料!L454&lt;&gt;"",原始資料!M454=原始資料!L454),N(J454)+1,1))</f>
        <v/>
      </c>
      <c r="L454" s="6">
        <f>IF(OR(原始資料!$A454="",11&gt;設定!$B$3,原始資料!N454=""),"",IF(AND(原始資料!M454&lt;&gt;"",原始資料!N454=原始資料!M454),N(K454)+1,1))</f>
        <v/>
      </c>
      <c r="M454" s="6">
        <f>IF(OR(原始資料!$A454="",12&gt;設定!$B$3,原始資料!O454=""),"",IF(AND(原始資料!N454&lt;&gt;"",原始資料!O454=原始資料!N454),N(L454)+1,1))</f>
        <v/>
      </c>
      <c r="N454" s="6">
        <f>IF(OR(原始資料!$A454="",13&gt;設定!$B$3,原始資料!P454=""),"",IF(AND(原始資料!O454&lt;&gt;"",原始資料!P454=原始資料!O454),N(M454)+1,1))</f>
        <v/>
      </c>
      <c r="O454" s="6">
        <f>IF(OR(原始資料!$A454="",14&gt;設定!$B$3,原始資料!Q454=""),"",IF(AND(原始資料!P454&lt;&gt;"",原始資料!Q454=原始資料!P454),N(N454)+1,1))</f>
        <v/>
      </c>
      <c r="P454" s="6">
        <f>IF(OR(原始資料!$A454="",15&gt;設定!$B$3,原始資料!R454=""),"",IF(AND(原始資料!Q454&lt;&gt;"",原始資料!R454=原始資料!Q454),N(O454)+1,1))</f>
        <v/>
      </c>
      <c r="Q454" s="6">
        <f>IF(OR(原始資料!$A454="",16&gt;設定!$B$3,原始資料!S454=""),"",IF(AND(原始資料!R454&lt;&gt;"",原始資料!S454=原始資料!R454),N(P454)+1,1))</f>
        <v/>
      </c>
      <c r="R454" s="6">
        <f>IF(OR(原始資料!$A454="",17&gt;設定!$B$3,原始資料!T454=""),"",IF(AND(原始資料!S454&lt;&gt;"",原始資料!T454=原始資料!S454),N(Q454)+1,1))</f>
        <v/>
      </c>
      <c r="S454" s="6">
        <f>IF(OR(原始資料!$A454="",18&gt;設定!$B$3,原始資料!U454=""),"",IF(AND(原始資料!T454&lt;&gt;"",原始資料!U454=原始資料!T454),N(R454)+1,1))</f>
        <v/>
      </c>
      <c r="T454" s="6">
        <f>IF(OR(原始資料!$A454="",19&gt;設定!$B$3,原始資料!V454=""),"",IF(AND(原始資料!U454&lt;&gt;"",原始資料!V454=原始資料!U454),N(S454)+1,1))</f>
        <v/>
      </c>
      <c r="U454" s="6">
        <f>IF(OR(原始資料!$A454="",20&gt;設定!$B$3,原始資料!W454=""),"",IF(AND(原始資料!V454&lt;&gt;"",原始資料!W454=原始資料!V454),N(T454)+1,1))</f>
        <v/>
      </c>
      <c r="V454" s="6">
        <f>IF(OR(原始資料!$A454="",21&gt;設定!$B$3,原始資料!X454=""),"",IF(AND(原始資料!W454&lt;&gt;"",原始資料!X454=原始資料!W454),N(U454)+1,1))</f>
        <v/>
      </c>
      <c r="W454" s="6">
        <f>IF(OR(原始資料!$A454="",22&gt;設定!$B$3,原始資料!Y454=""),"",IF(AND(原始資料!X454&lt;&gt;"",原始資料!Y454=原始資料!X454),N(V454)+1,1))</f>
        <v/>
      </c>
      <c r="X454" s="6">
        <f>IF(OR(原始資料!$A454="",23&gt;設定!$B$3,原始資料!Z454=""),"",IF(AND(原始資料!Y454&lt;&gt;"",原始資料!Z454=原始資料!Y454),N(W454)+1,1))</f>
        <v/>
      </c>
      <c r="Y454" s="6">
        <f>IF(OR(原始資料!$A454="",24&gt;設定!$B$3,原始資料!AA454=""),"",IF(AND(原始資料!Z454&lt;&gt;"",原始資料!AA454=原始資料!Z454),N(X454)+1,1))</f>
        <v/>
      </c>
      <c r="Z454" s="6">
        <f>IF(OR(原始資料!$A454="",25&gt;設定!$B$3,原始資料!AB454=""),"",IF(AND(原始資料!AA454&lt;&gt;"",原始資料!AB454=原始資料!AA454),N(Y454)+1,1))</f>
        <v/>
      </c>
      <c r="AA454" s="6">
        <f>IF(OR(原始資料!$A454="",26&gt;設定!$B$3,原始資料!AC454=""),"",IF(AND(原始資料!AB454&lt;&gt;"",原始資料!AC454=原始資料!AB454),N(Z454)+1,1))</f>
        <v/>
      </c>
      <c r="AB454" s="6">
        <f>IF(OR(原始資料!$A454="",27&gt;設定!$B$3,原始資料!AD454=""),"",IF(AND(原始資料!AC454&lt;&gt;"",原始資料!AD454=原始資料!AC454),N(AA454)+1,1))</f>
        <v/>
      </c>
      <c r="AC454" s="6">
        <f>IF(OR(原始資料!$A454="",28&gt;設定!$B$3,原始資料!AE454=""),"",IF(AND(原始資料!AD454&lt;&gt;"",原始資料!AE454=原始資料!AD454),N(AB454)+1,1))</f>
        <v/>
      </c>
      <c r="AD454" s="6">
        <f>IF(OR(原始資料!$A454="",29&gt;設定!$B$3,原始資料!AF454=""),"",IF(AND(原始資料!AE454&lt;&gt;"",原始資料!AF454=原始資料!AE454),N(AC454)+1,1))</f>
        <v/>
      </c>
      <c r="AE454" s="6">
        <f>IF(OR(原始資料!$A454="",30&gt;設定!$B$3,原始資料!AG454=""),"",IF(AND(原始資料!AF454&lt;&gt;"",原始資料!AG454=原始資料!AF454),N(AD454)+1,1))</f>
        <v/>
      </c>
      <c r="AF454" s="6">
        <f>IF(OR(原始資料!$A454="",31&gt;設定!$B$3,原始資料!AH454=""),"",IF(AND(原始資料!AG454&lt;&gt;"",原始資料!AH454=原始資料!AG454),N(AE454)+1,1))</f>
        <v/>
      </c>
      <c r="AG454" s="6">
        <f>IF(OR(原始資料!$A454="",32&gt;設定!$B$3,原始資料!AI454=""),"",IF(AND(原始資料!AH454&lt;&gt;"",原始資料!AI454=原始資料!AH454),N(AF454)+1,1))</f>
        <v/>
      </c>
      <c r="AH454" s="6">
        <f>IF(OR(原始資料!$A454="",33&gt;設定!$B$3,原始資料!AJ454=""),"",IF(AND(原始資料!AI454&lt;&gt;"",原始資料!AJ454=原始資料!AI454),N(AG454)+1,1))</f>
        <v/>
      </c>
      <c r="AI454" s="6">
        <f>IF(OR(原始資料!$A454="",34&gt;設定!$B$3,原始資料!AK454=""),"",IF(AND(原始資料!AJ454&lt;&gt;"",原始資料!AK454=原始資料!AJ454),N(AH454)+1,1))</f>
        <v/>
      </c>
      <c r="AJ454" s="6">
        <f>IF(OR(原始資料!$A454="",35&gt;設定!$B$3,原始資料!AL454=""),"",IF(AND(原始資料!AK454&lt;&gt;"",原始資料!AL454=原始資料!AK454),N(AI454)+1,1))</f>
        <v/>
      </c>
      <c r="AK454" s="6">
        <f>IF(OR(原始資料!$A454="",36&gt;設定!$B$3,原始資料!AM454=""),"",IF(AND(原始資料!AL454&lt;&gt;"",原始資料!AM454=原始資料!AL454),N(AJ454)+1,1))</f>
        <v/>
      </c>
      <c r="AL454" s="6">
        <f>IF(OR(原始資料!$A454="",37&gt;設定!$B$3,原始資料!AN454=""),"",IF(AND(原始資料!AM454&lt;&gt;"",原始資料!AN454=原始資料!AM454),N(AK454)+1,1))</f>
        <v/>
      </c>
      <c r="AM454" s="6">
        <f>IF(OR(原始資料!$A454="",38&gt;設定!$B$3,原始資料!AO454=""),"",IF(AND(原始資料!AN454&lt;&gt;"",原始資料!AO454=原始資料!AN454),N(AL454)+1,1))</f>
        <v/>
      </c>
      <c r="AN454" s="6">
        <f>IF(OR(原始資料!$A454="",39&gt;設定!$B$3,原始資料!AP454=""),"",IF(AND(原始資料!AO454&lt;&gt;"",原始資料!AP454=原始資料!AO454),N(AM454)+1,1))</f>
        <v/>
      </c>
      <c r="AO454" s="6">
        <f>IF(OR(原始資料!$A454="",40&gt;設定!$B$3,原始資料!AQ454=""),"",IF(AND(原始資料!AP454&lt;&gt;"",原始資料!AQ454=原始資料!AP454),N(AN454)+1,1))</f>
        <v/>
      </c>
      <c r="AP454" s="6">
        <f>IF(OR(原始資料!$A454="",41&gt;設定!$B$3,原始資料!AR454=""),"",IF(AND(原始資料!AQ454&lt;&gt;"",原始資料!AR454=原始資料!AQ454),N(AO454)+1,1))</f>
        <v/>
      </c>
      <c r="AQ454" s="6">
        <f>IF(OR(原始資料!$A454="",42&gt;設定!$B$3,原始資料!AS454=""),"",IF(AND(原始資料!AR454&lt;&gt;"",原始資料!AS454=原始資料!AR454),N(AP454)+1,1))</f>
        <v/>
      </c>
      <c r="AR454" s="6">
        <f>IF(OR(原始資料!$A454="",43&gt;設定!$B$3,原始資料!AT454=""),"",IF(AND(原始資料!AS454&lt;&gt;"",原始資料!AT454=原始資料!AS454),N(AQ454)+1,1))</f>
        <v/>
      </c>
      <c r="AS454" s="6">
        <f>IF(OR(原始資料!$A454="",44&gt;設定!$B$3,原始資料!AU454=""),"",IF(AND(原始資料!AT454&lt;&gt;"",原始資料!AU454=原始資料!AT454),N(AR454)+1,1))</f>
        <v/>
      </c>
      <c r="AT454" s="6">
        <f>IF(OR(原始資料!$A454="",45&gt;設定!$B$3,原始資料!AV454=""),"",IF(AND(原始資料!AU454&lt;&gt;"",原始資料!AV454=原始資料!AU454),N(AS454)+1,1))</f>
        <v/>
      </c>
      <c r="AU454" s="6">
        <f>IF(OR(原始資料!$A454="",46&gt;設定!$B$3,原始資料!AW454=""),"",IF(AND(原始資料!AV454&lt;&gt;"",原始資料!AW454=原始資料!AV454),N(AT454)+1,1))</f>
        <v/>
      </c>
      <c r="AV454" s="6">
        <f>IF(OR(原始資料!$A454="",47&gt;設定!$B$3,原始資料!AX454=""),"",IF(AND(原始資料!AW454&lt;&gt;"",原始資料!AX454=原始資料!AW454),N(AU454)+1,1))</f>
        <v/>
      </c>
      <c r="AW454" s="6">
        <f>IF(OR(原始資料!$A454="",48&gt;設定!$B$3,原始資料!AY454=""),"",IF(AND(原始資料!AX454&lt;&gt;"",原始資料!AY454=原始資料!AX454),N(AV454)+1,1))</f>
        <v/>
      </c>
      <c r="AX454" s="6">
        <f>IF(OR(原始資料!$A454="",49&gt;設定!$B$3,原始資料!AZ454=""),"",IF(AND(原始資料!AY454&lt;&gt;"",原始資料!AZ454=原始資料!AY454),N(AW454)+1,1))</f>
        <v/>
      </c>
      <c r="AY454" s="6">
        <f>IF(OR(原始資料!$A454="",50&gt;設定!$B$3,原始資料!BA454=""),"",IF(AND(原始資料!AZ454&lt;&gt;"",原始資料!BA454=原始資料!AZ454),N(AX454)+1,1))</f>
        <v/>
      </c>
      <c r="AZ454" s="6">
        <f>IF(OR(原始資料!$A454="",51&gt;設定!$B$3,原始資料!BB454=""),"",IF(AND(原始資料!BA454&lt;&gt;"",原始資料!BB454=原始資料!BA454),N(AY454)+1,1))</f>
        <v/>
      </c>
      <c r="BA454" s="6">
        <f>IF(OR(原始資料!$A454="",52&gt;設定!$B$3,原始資料!BC454=""),"",IF(AND(原始資料!BB454&lt;&gt;"",原始資料!BC454=原始資料!BB454),N(AZ454)+1,1))</f>
        <v/>
      </c>
      <c r="BB454" s="6">
        <f>IF(OR(原始資料!$A454="",53&gt;設定!$B$3,原始資料!BD454=""),"",IF(AND(原始資料!BC454&lt;&gt;"",原始資料!BD454=原始資料!BC454),N(BA454)+1,1))</f>
        <v/>
      </c>
      <c r="BC454" s="6">
        <f>IF(OR(原始資料!$A454="",54&gt;設定!$B$3,原始資料!BE454=""),"",IF(AND(原始資料!BD454&lt;&gt;"",原始資料!BE454=原始資料!BD454),N(BB454)+1,1))</f>
        <v/>
      </c>
      <c r="BD454" s="6">
        <f>IF(OR(原始資料!$A454="",55&gt;設定!$B$3,原始資料!BF454=""),"",IF(AND(原始資料!BE454&lt;&gt;"",原始資料!BF454=原始資料!BE454),N(BC454)+1,1))</f>
        <v/>
      </c>
      <c r="BE454" s="6">
        <f>IF(OR(原始資料!$A454="",56&gt;設定!$B$3,原始資料!BG454=""),"",IF(AND(原始資料!BF454&lt;&gt;"",原始資料!BG454=原始資料!BF454),N(BD454)+1,1))</f>
        <v/>
      </c>
      <c r="BF454" s="6">
        <f>IF(OR(原始資料!$A454="",57&gt;設定!$B$3,原始資料!BH454=""),"",IF(AND(原始資料!BG454&lt;&gt;"",原始資料!BH454=原始資料!BG454),N(BE454)+1,1))</f>
        <v/>
      </c>
      <c r="BG454" s="6">
        <f>IF(OR(原始資料!$A454="",58&gt;設定!$B$3,原始資料!BI454=""),"",IF(AND(原始資料!BH454&lt;&gt;"",原始資料!BI454=原始資料!BH454),N(BF454)+1,1))</f>
        <v/>
      </c>
      <c r="BH454" s="6">
        <f>IF(OR(原始資料!$A454="",59&gt;設定!$B$3,原始資料!BJ454=""),"",IF(AND(原始資料!BI454&lt;&gt;"",原始資料!BJ454=原始資料!BI454),N(BG454)+1,1))</f>
        <v/>
      </c>
      <c r="BI454" s="6">
        <f>IF(OR(原始資料!$A454="",60&gt;設定!$B$3,原始資料!BK454=""),"",IF(AND(原始資料!BJ454&lt;&gt;"",原始資料!BK454=原始資料!BJ454),N(BH454)+1,1))</f>
        <v/>
      </c>
    </row>
    <row r="455">
      <c r="A455" s="6">
        <f>IF(原始資料!$A455="","",原始資料!$A455)</f>
        <v/>
      </c>
      <c r="B455" s="6">
        <f>IF(OR(原始資料!$A455="",1&gt;設定!$B$3,原始資料!D455=""),"",1)</f>
        <v/>
      </c>
      <c r="C455" s="6">
        <f>IF(OR(原始資料!$A455="",2&gt;設定!$B$3,原始資料!E455=""),"",IF(AND(原始資料!D455&lt;&gt;"",原始資料!E455=原始資料!D455),N(B455)+1,1))</f>
        <v/>
      </c>
      <c r="D455" s="6">
        <f>IF(OR(原始資料!$A455="",3&gt;設定!$B$3,原始資料!F455=""),"",IF(AND(原始資料!E455&lt;&gt;"",原始資料!F455=原始資料!E455),N(C455)+1,1))</f>
        <v/>
      </c>
      <c r="E455" s="6">
        <f>IF(OR(原始資料!$A455="",4&gt;設定!$B$3,原始資料!G455=""),"",IF(AND(原始資料!F455&lt;&gt;"",原始資料!G455=原始資料!F455),N(D455)+1,1))</f>
        <v/>
      </c>
      <c r="F455" s="6">
        <f>IF(OR(原始資料!$A455="",5&gt;設定!$B$3,原始資料!H455=""),"",IF(AND(原始資料!G455&lt;&gt;"",原始資料!H455=原始資料!G455),N(E455)+1,1))</f>
        <v/>
      </c>
      <c r="G455" s="6">
        <f>IF(OR(原始資料!$A455="",6&gt;設定!$B$3,原始資料!I455=""),"",IF(AND(原始資料!H455&lt;&gt;"",原始資料!I455=原始資料!H455),N(F455)+1,1))</f>
        <v/>
      </c>
      <c r="H455" s="6">
        <f>IF(OR(原始資料!$A455="",7&gt;設定!$B$3,原始資料!J455=""),"",IF(AND(原始資料!I455&lt;&gt;"",原始資料!J455=原始資料!I455),N(G455)+1,1))</f>
        <v/>
      </c>
      <c r="I455" s="6">
        <f>IF(OR(原始資料!$A455="",8&gt;設定!$B$3,原始資料!K455=""),"",IF(AND(原始資料!J455&lt;&gt;"",原始資料!K455=原始資料!J455),N(H455)+1,1))</f>
        <v/>
      </c>
      <c r="J455" s="6">
        <f>IF(OR(原始資料!$A455="",9&gt;設定!$B$3,原始資料!L455=""),"",IF(AND(原始資料!K455&lt;&gt;"",原始資料!L455=原始資料!K455),N(I455)+1,1))</f>
        <v/>
      </c>
      <c r="K455" s="6">
        <f>IF(OR(原始資料!$A455="",10&gt;設定!$B$3,原始資料!M455=""),"",IF(AND(原始資料!L455&lt;&gt;"",原始資料!M455=原始資料!L455),N(J455)+1,1))</f>
        <v/>
      </c>
      <c r="L455" s="6">
        <f>IF(OR(原始資料!$A455="",11&gt;設定!$B$3,原始資料!N455=""),"",IF(AND(原始資料!M455&lt;&gt;"",原始資料!N455=原始資料!M455),N(K455)+1,1))</f>
        <v/>
      </c>
      <c r="M455" s="6">
        <f>IF(OR(原始資料!$A455="",12&gt;設定!$B$3,原始資料!O455=""),"",IF(AND(原始資料!N455&lt;&gt;"",原始資料!O455=原始資料!N455),N(L455)+1,1))</f>
        <v/>
      </c>
      <c r="N455" s="6">
        <f>IF(OR(原始資料!$A455="",13&gt;設定!$B$3,原始資料!P455=""),"",IF(AND(原始資料!O455&lt;&gt;"",原始資料!P455=原始資料!O455),N(M455)+1,1))</f>
        <v/>
      </c>
      <c r="O455" s="6">
        <f>IF(OR(原始資料!$A455="",14&gt;設定!$B$3,原始資料!Q455=""),"",IF(AND(原始資料!P455&lt;&gt;"",原始資料!Q455=原始資料!P455),N(N455)+1,1))</f>
        <v/>
      </c>
      <c r="P455" s="6">
        <f>IF(OR(原始資料!$A455="",15&gt;設定!$B$3,原始資料!R455=""),"",IF(AND(原始資料!Q455&lt;&gt;"",原始資料!R455=原始資料!Q455),N(O455)+1,1))</f>
        <v/>
      </c>
      <c r="Q455" s="6">
        <f>IF(OR(原始資料!$A455="",16&gt;設定!$B$3,原始資料!S455=""),"",IF(AND(原始資料!R455&lt;&gt;"",原始資料!S455=原始資料!R455),N(P455)+1,1))</f>
        <v/>
      </c>
      <c r="R455" s="6">
        <f>IF(OR(原始資料!$A455="",17&gt;設定!$B$3,原始資料!T455=""),"",IF(AND(原始資料!S455&lt;&gt;"",原始資料!T455=原始資料!S455),N(Q455)+1,1))</f>
        <v/>
      </c>
      <c r="S455" s="6">
        <f>IF(OR(原始資料!$A455="",18&gt;設定!$B$3,原始資料!U455=""),"",IF(AND(原始資料!T455&lt;&gt;"",原始資料!U455=原始資料!T455),N(R455)+1,1))</f>
        <v/>
      </c>
      <c r="T455" s="6">
        <f>IF(OR(原始資料!$A455="",19&gt;設定!$B$3,原始資料!V455=""),"",IF(AND(原始資料!U455&lt;&gt;"",原始資料!V455=原始資料!U455),N(S455)+1,1))</f>
        <v/>
      </c>
      <c r="U455" s="6">
        <f>IF(OR(原始資料!$A455="",20&gt;設定!$B$3,原始資料!W455=""),"",IF(AND(原始資料!V455&lt;&gt;"",原始資料!W455=原始資料!V455),N(T455)+1,1))</f>
        <v/>
      </c>
      <c r="V455" s="6">
        <f>IF(OR(原始資料!$A455="",21&gt;設定!$B$3,原始資料!X455=""),"",IF(AND(原始資料!W455&lt;&gt;"",原始資料!X455=原始資料!W455),N(U455)+1,1))</f>
        <v/>
      </c>
      <c r="W455" s="6">
        <f>IF(OR(原始資料!$A455="",22&gt;設定!$B$3,原始資料!Y455=""),"",IF(AND(原始資料!X455&lt;&gt;"",原始資料!Y455=原始資料!X455),N(V455)+1,1))</f>
        <v/>
      </c>
      <c r="X455" s="6">
        <f>IF(OR(原始資料!$A455="",23&gt;設定!$B$3,原始資料!Z455=""),"",IF(AND(原始資料!Y455&lt;&gt;"",原始資料!Z455=原始資料!Y455),N(W455)+1,1))</f>
        <v/>
      </c>
      <c r="Y455" s="6">
        <f>IF(OR(原始資料!$A455="",24&gt;設定!$B$3,原始資料!AA455=""),"",IF(AND(原始資料!Z455&lt;&gt;"",原始資料!AA455=原始資料!Z455),N(X455)+1,1))</f>
        <v/>
      </c>
      <c r="Z455" s="6">
        <f>IF(OR(原始資料!$A455="",25&gt;設定!$B$3,原始資料!AB455=""),"",IF(AND(原始資料!AA455&lt;&gt;"",原始資料!AB455=原始資料!AA455),N(Y455)+1,1))</f>
        <v/>
      </c>
      <c r="AA455" s="6">
        <f>IF(OR(原始資料!$A455="",26&gt;設定!$B$3,原始資料!AC455=""),"",IF(AND(原始資料!AB455&lt;&gt;"",原始資料!AC455=原始資料!AB455),N(Z455)+1,1))</f>
        <v/>
      </c>
      <c r="AB455" s="6">
        <f>IF(OR(原始資料!$A455="",27&gt;設定!$B$3,原始資料!AD455=""),"",IF(AND(原始資料!AC455&lt;&gt;"",原始資料!AD455=原始資料!AC455),N(AA455)+1,1))</f>
        <v/>
      </c>
      <c r="AC455" s="6">
        <f>IF(OR(原始資料!$A455="",28&gt;設定!$B$3,原始資料!AE455=""),"",IF(AND(原始資料!AD455&lt;&gt;"",原始資料!AE455=原始資料!AD455),N(AB455)+1,1))</f>
        <v/>
      </c>
      <c r="AD455" s="6">
        <f>IF(OR(原始資料!$A455="",29&gt;設定!$B$3,原始資料!AF455=""),"",IF(AND(原始資料!AE455&lt;&gt;"",原始資料!AF455=原始資料!AE455),N(AC455)+1,1))</f>
        <v/>
      </c>
      <c r="AE455" s="6">
        <f>IF(OR(原始資料!$A455="",30&gt;設定!$B$3,原始資料!AG455=""),"",IF(AND(原始資料!AF455&lt;&gt;"",原始資料!AG455=原始資料!AF455),N(AD455)+1,1))</f>
        <v/>
      </c>
      <c r="AF455" s="6">
        <f>IF(OR(原始資料!$A455="",31&gt;設定!$B$3,原始資料!AH455=""),"",IF(AND(原始資料!AG455&lt;&gt;"",原始資料!AH455=原始資料!AG455),N(AE455)+1,1))</f>
        <v/>
      </c>
      <c r="AG455" s="6">
        <f>IF(OR(原始資料!$A455="",32&gt;設定!$B$3,原始資料!AI455=""),"",IF(AND(原始資料!AH455&lt;&gt;"",原始資料!AI455=原始資料!AH455),N(AF455)+1,1))</f>
        <v/>
      </c>
      <c r="AH455" s="6">
        <f>IF(OR(原始資料!$A455="",33&gt;設定!$B$3,原始資料!AJ455=""),"",IF(AND(原始資料!AI455&lt;&gt;"",原始資料!AJ455=原始資料!AI455),N(AG455)+1,1))</f>
        <v/>
      </c>
      <c r="AI455" s="6">
        <f>IF(OR(原始資料!$A455="",34&gt;設定!$B$3,原始資料!AK455=""),"",IF(AND(原始資料!AJ455&lt;&gt;"",原始資料!AK455=原始資料!AJ455),N(AH455)+1,1))</f>
        <v/>
      </c>
      <c r="AJ455" s="6">
        <f>IF(OR(原始資料!$A455="",35&gt;設定!$B$3,原始資料!AL455=""),"",IF(AND(原始資料!AK455&lt;&gt;"",原始資料!AL455=原始資料!AK455),N(AI455)+1,1))</f>
        <v/>
      </c>
      <c r="AK455" s="6">
        <f>IF(OR(原始資料!$A455="",36&gt;設定!$B$3,原始資料!AM455=""),"",IF(AND(原始資料!AL455&lt;&gt;"",原始資料!AM455=原始資料!AL455),N(AJ455)+1,1))</f>
        <v/>
      </c>
      <c r="AL455" s="6">
        <f>IF(OR(原始資料!$A455="",37&gt;設定!$B$3,原始資料!AN455=""),"",IF(AND(原始資料!AM455&lt;&gt;"",原始資料!AN455=原始資料!AM455),N(AK455)+1,1))</f>
        <v/>
      </c>
      <c r="AM455" s="6">
        <f>IF(OR(原始資料!$A455="",38&gt;設定!$B$3,原始資料!AO455=""),"",IF(AND(原始資料!AN455&lt;&gt;"",原始資料!AO455=原始資料!AN455),N(AL455)+1,1))</f>
        <v/>
      </c>
      <c r="AN455" s="6">
        <f>IF(OR(原始資料!$A455="",39&gt;設定!$B$3,原始資料!AP455=""),"",IF(AND(原始資料!AO455&lt;&gt;"",原始資料!AP455=原始資料!AO455),N(AM455)+1,1))</f>
        <v/>
      </c>
      <c r="AO455" s="6">
        <f>IF(OR(原始資料!$A455="",40&gt;設定!$B$3,原始資料!AQ455=""),"",IF(AND(原始資料!AP455&lt;&gt;"",原始資料!AQ455=原始資料!AP455),N(AN455)+1,1))</f>
        <v/>
      </c>
      <c r="AP455" s="6">
        <f>IF(OR(原始資料!$A455="",41&gt;設定!$B$3,原始資料!AR455=""),"",IF(AND(原始資料!AQ455&lt;&gt;"",原始資料!AR455=原始資料!AQ455),N(AO455)+1,1))</f>
        <v/>
      </c>
      <c r="AQ455" s="6">
        <f>IF(OR(原始資料!$A455="",42&gt;設定!$B$3,原始資料!AS455=""),"",IF(AND(原始資料!AR455&lt;&gt;"",原始資料!AS455=原始資料!AR455),N(AP455)+1,1))</f>
        <v/>
      </c>
      <c r="AR455" s="6">
        <f>IF(OR(原始資料!$A455="",43&gt;設定!$B$3,原始資料!AT455=""),"",IF(AND(原始資料!AS455&lt;&gt;"",原始資料!AT455=原始資料!AS455),N(AQ455)+1,1))</f>
        <v/>
      </c>
      <c r="AS455" s="6">
        <f>IF(OR(原始資料!$A455="",44&gt;設定!$B$3,原始資料!AU455=""),"",IF(AND(原始資料!AT455&lt;&gt;"",原始資料!AU455=原始資料!AT455),N(AR455)+1,1))</f>
        <v/>
      </c>
      <c r="AT455" s="6">
        <f>IF(OR(原始資料!$A455="",45&gt;設定!$B$3,原始資料!AV455=""),"",IF(AND(原始資料!AU455&lt;&gt;"",原始資料!AV455=原始資料!AU455),N(AS455)+1,1))</f>
        <v/>
      </c>
      <c r="AU455" s="6">
        <f>IF(OR(原始資料!$A455="",46&gt;設定!$B$3,原始資料!AW455=""),"",IF(AND(原始資料!AV455&lt;&gt;"",原始資料!AW455=原始資料!AV455),N(AT455)+1,1))</f>
        <v/>
      </c>
      <c r="AV455" s="6">
        <f>IF(OR(原始資料!$A455="",47&gt;設定!$B$3,原始資料!AX455=""),"",IF(AND(原始資料!AW455&lt;&gt;"",原始資料!AX455=原始資料!AW455),N(AU455)+1,1))</f>
        <v/>
      </c>
      <c r="AW455" s="6">
        <f>IF(OR(原始資料!$A455="",48&gt;設定!$B$3,原始資料!AY455=""),"",IF(AND(原始資料!AX455&lt;&gt;"",原始資料!AY455=原始資料!AX455),N(AV455)+1,1))</f>
        <v/>
      </c>
      <c r="AX455" s="6">
        <f>IF(OR(原始資料!$A455="",49&gt;設定!$B$3,原始資料!AZ455=""),"",IF(AND(原始資料!AY455&lt;&gt;"",原始資料!AZ455=原始資料!AY455),N(AW455)+1,1))</f>
        <v/>
      </c>
      <c r="AY455" s="6">
        <f>IF(OR(原始資料!$A455="",50&gt;設定!$B$3,原始資料!BA455=""),"",IF(AND(原始資料!AZ455&lt;&gt;"",原始資料!BA455=原始資料!AZ455),N(AX455)+1,1))</f>
        <v/>
      </c>
      <c r="AZ455" s="6">
        <f>IF(OR(原始資料!$A455="",51&gt;設定!$B$3,原始資料!BB455=""),"",IF(AND(原始資料!BA455&lt;&gt;"",原始資料!BB455=原始資料!BA455),N(AY455)+1,1))</f>
        <v/>
      </c>
      <c r="BA455" s="6">
        <f>IF(OR(原始資料!$A455="",52&gt;設定!$B$3,原始資料!BC455=""),"",IF(AND(原始資料!BB455&lt;&gt;"",原始資料!BC455=原始資料!BB455),N(AZ455)+1,1))</f>
        <v/>
      </c>
      <c r="BB455" s="6">
        <f>IF(OR(原始資料!$A455="",53&gt;設定!$B$3,原始資料!BD455=""),"",IF(AND(原始資料!BC455&lt;&gt;"",原始資料!BD455=原始資料!BC455),N(BA455)+1,1))</f>
        <v/>
      </c>
      <c r="BC455" s="6">
        <f>IF(OR(原始資料!$A455="",54&gt;設定!$B$3,原始資料!BE455=""),"",IF(AND(原始資料!BD455&lt;&gt;"",原始資料!BE455=原始資料!BD455),N(BB455)+1,1))</f>
        <v/>
      </c>
      <c r="BD455" s="6">
        <f>IF(OR(原始資料!$A455="",55&gt;設定!$B$3,原始資料!BF455=""),"",IF(AND(原始資料!BE455&lt;&gt;"",原始資料!BF455=原始資料!BE455),N(BC455)+1,1))</f>
        <v/>
      </c>
      <c r="BE455" s="6">
        <f>IF(OR(原始資料!$A455="",56&gt;設定!$B$3,原始資料!BG455=""),"",IF(AND(原始資料!BF455&lt;&gt;"",原始資料!BG455=原始資料!BF455),N(BD455)+1,1))</f>
        <v/>
      </c>
      <c r="BF455" s="6">
        <f>IF(OR(原始資料!$A455="",57&gt;設定!$B$3,原始資料!BH455=""),"",IF(AND(原始資料!BG455&lt;&gt;"",原始資料!BH455=原始資料!BG455),N(BE455)+1,1))</f>
        <v/>
      </c>
      <c r="BG455" s="6">
        <f>IF(OR(原始資料!$A455="",58&gt;設定!$B$3,原始資料!BI455=""),"",IF(AND(原始資料!BH455&lt;&gt;"",原始資料!BI455=原始資料!BH455),N(BF455)+1,1))</f>
        <v/>
      </c>
      <c r="BH455" s="6">
        <f>IF(OR(原始資料!$A455="",59&gt;設定!$B$3,原始資料!BJ455=""),"",IF(AND(原始資料!BI455&lt;&gt;"",原始資料!BJ455=原始資料!BI455),N(BG455)+1,1))</f>
        <v/>
      </c>
      <c r="BI455" s="6">
        <f>IF(OR(原始資料!$A455="",60&gt;設定!$B$3,原始資料!BK455=""),"",IF(AND(原始資料!BJ455&lt;&gt;"",原始資料!BK455=原始資料!BJ455),N(BH455)+1,1))</f>
        <v/>
      </c>
    </row>
    <row r="456">
      <c r="A456" s="6">
        <f>IF(原始資料!$A456="","",原始資料!$A456)</f>
        <v/>
      </c>
      <c r="B456" s="6">
        <f>IF(OR(原始資料!$A456="",1&gt;設定!$B$3,原始資料!D456=""),"",1)</f>
        <v/>
      </c>
      <c r="C456" s="6">
        <f>IF(OR(原始資料!$A456="",2&gt;設定!$B$3,原始資料!E456=""),"",IF(AND(原始資料!D456&lt;&gt;"",原始資料!E456=原始資料!D456),N(B456)+1,1))</f>
        <v/>
      </c>
      <c r="D456" s="6">
        <f>IF(OR(原始資料!$A456="",3&gt;設定!$B$3,原始資料!F456=""),"",IF(AND(原始資料!E456&lt;&gt;"",原始資料!F456=原始資料!E456),N(C456)+1,1))</f>
        <v/>
      </c>
      <c r="E456" s="6">
        <f>IF(OR(原始資料!$A456="",4&gt;設定!$B$3,原始資料!G456=""),"",IF(AND(原始資料!F456&lt;&gt;"",原始資料!G456=原始資料!F456),N(D456)+1,1))</f>
        <v/>
      </c>
      <c r="F456" s="6">
        <f>IF(OR(原始資料!$A456="",5&gt;設定!$B$3,原始資料!H456=""),"",IF(AND(原始資料!G456&lt;&gt;"",原始資料!H456=原始資料!G456),N(E456)+1,1))</f>
        <v/>
      </c>
      <c r="G456" s="6">
        <f>IF(OR(原始資料!$A456="",6&gt;設定!$B$3,原始資料!I456=""),"",IF(AND(原始資料!H456&lt;&gt;"",原始資料!I456=原始資料!H456),N(F456)+1,1))</f>
        <v/>
      </c>
      <c r="H456" s="6">
        <f>IF(OR(原始資料!$A456="",7&gt;設定!$B$3,原始資料!J456=""),"",IF(AND(原始資料!I456&lt;&gt;"",原始資料!J456=原始資料!I456),N(G456)+1,1))</f>
        <v/>
      </c>
      <c r="I456" s="6">
        <f>IF(OR(原始資料!$A456="",8&gt;設定!$B$3,原始資料!K456=""),"",IF(AND(原始資料!J456&lt;&gt;"",原始資料!K456=原始資料!J456),N(H456)+1,1))</f>
        <v/>
      </c>
      <c r="J456" s="6">
        <f>IF(OR(原始資料!$A456="",9&gt;設定!$B$3,原始資料!L456=""),"",IF(AND(原始資料!K456&lt;&gt;"",原始資料!L456=原始資料!K456),N(I456)+1,1))</f>
        <v/>
      </c>
      <c r="K456" s="6">
        <f>IF(OR(原始資料!$A456="",10&gt;設定!$B$3,原始資料!M456=""),"",IF(AND(原始資料!L456&lt;&gt;"",原始資料!M456=原始資料!L456),N(J456)+1,1))</f>
        <v/>
      </c>
      <c r="L456" s="6">
        <f>IF(OR(原始資料!$A456="",11&gt;設定!$B$3,原始資料!N456=""),"",IF(AND(原始資料!M456&lt;&gt;"",原始資料!N456=原始資料!M456),N(K456)+1,1))</f>
        <v/>
      </c>
      <c r="M456" s="6">
        <f>IF(OR(原始資料!$A456="",12&gt;設定!$B$3,原始資料!O456=""),"",IF(AND(原始資料!N456&lt;&gt;"",原始資料!O456=原始資料!N456),N(L456)+1,1))</f>
        <v/>
      </c>
      <c r="N456" s="6">
        <f>IF(OR(原始資料!$A456="",13&gt;設定!$B$3,原始資料!P456=""),"",IF(AND(原始資料!O456&lt;&gt;"",原始資料!P456=原始資料!O456),N(M456)+1,1))</f>
        <v/>
      </c>
      <c r="O456" s="6">
        <f>IF(OR(原始資料!$A456="",14&gt;設定!$B$3,原始資料!Q456=""),"",IF(AND(原始資料!P456&lt;&gt;"",原始資料!Q456=原始資料!P456),N(N456)+1,1))</f>
        <v/>
      </c>
      <c r="P456" s="6">
        <f>IF(OR(原始資料!$A456="",15&gt;設定!$B$3,原始資料!R456=""),"",IF(AND(原始資料!Q456&lt;&gt;"",原始資料!R456=原始資料!Q456),N(O456)+1,1))</f>
        <v/>
      </c>
      <c r="Q456" s="6">
        <f>IF(OR(原始資料!$A456="",16&gt;設定!$B$3,原始資料!S456=""),"",IF(AND(原始資料!R456&lt;&gt;"",原始資料!S456=原始資料!R456),N(P456)+1,1))</f>
        <v/>
      </c>
      <c r="R456" s="6">
        <f>IF(OR(原始資料!$A456="",17&gt;設定!$B$3,原始資料!T456=""),"",IF(AND(原始資料!S456&lt;&gt;"",原始資料!T456=原始資料!S456),N(Q456)+1,1))</f>
        <v/>
      </c>
      <c r="S456" s="6">
        <f>IF(OR(原始資料!$A456="",18&gt;設定!$B$3,原始資料!U456=""),"",IF(AND(原始資料!T456&lt;&gt;"",原始資料!U456=原始資料!T456),N(R456)+1,1))</f>
        <v/>
      </c>
      <c r="T456" s="6">
        <f>IF(OR(原始資料!$A456="",19&gt;設定!$B$3,原始資料!V456=""),"",IF(AND(原始資料!U456&lt;&gt;"",原始資料!V456=原始資料!U456),N(S456)+1,1))</f>
        <v/>
      </c>
      <c r="U456" s="6">
        <f>IF(OR(原始資料!$A456="",20&gt;設定!$B$3,原始資料!W456=""),"",IF(AND(原始資料!V456&lt;&gt;"",原始資料!W456=原始資料!V456),N(T456)+1,1))</f>
        <v/>
      </c>
      <c r="V456" s="6">
        <f>IF(OR(原始資料!$A456="",21&gt;設定!$B$3,原始資料!X456=""),"",IF(AND(原始資料!W456&lt;&gt;"",原始資料!X456=原始資料!W456),N(U456)+1,1))</f>
        <v/>
      </c>
      <c r="W456" s="6">
        <f>IF(OR(原始資料!$A456="",22&gt;設定!$B$3,原始資料!Y456=""),"",IF(AND(原始資料!X456&lt;&gt;"",原始資料!Y456=原始資料!X456),N(V456)+1,1))</f>
        <v/>
      </c>
      <c r="X456" s="6">
        <f>IF(OR(原始資料!$A456="",23&gt;設定!$B$3,原始資料!Z456=""),"",IF(AND(原始資料!Y456&lt;&gt;"",原始資料!Z456=原始資料!Y456),N(W456)+1,1))</f>
        <v/>
      </c>
      <c r="Y456" s="6">
        <f>IF(OR(原始資料!$A456="",24&gt;設定!$B$3,原始資料!AA456=""),"",IF(AND(原始資料!Z456&lt;&gt;"",原始資料!AA456=原始資料!Z456),N(X456)+1,1))</f>
        <v/>
      </c>
      <c r="Z456" s="6">
        <f>IF(OR(原始資料!$A456="",25&gt;設定!$B$3,原始資料!AB456=""),"",IF(AND(原始資料!AA456&lt;&gt;"",原始資料!AB456=原始資料!AA456),N(Y456)+1,1))</f>
        <v/>
      </c>
      <c r="AA456" s="6">
        <f>IF(OR(原始資料!$A456="",26&gt;設定!$B$3,原始資料!AC456=""),"",IF(AND(原始資料!AB456&lt;&gt;"",原始資料!AC456=原始資料!AB456),N(Z456)+1,1))</f>
        <v/>
      </c>
      <c r="AB456" s="6">
        <f>IF(OR(原始資料!$A456="",27&gt;設定!$B$3,原始資料!AD456=""),"",IF(AND(原始資料!AC456&lt;&gt;"",原始資料!AD456=原始資料!AC456),N(AA456)+1,1))</f>
        <v/>
      </c>
      <c r="AC456" s="6">
        <f>IF(OR(原始資料!$A456="",28&gt;設定!$B$3,原始資料!AE456=""),"",IF(AND(原始資料!AD456&lt;&gt;"",原始資料!AE456=原始資料!AD456),N(AB456)+1,1))</f>
        <v/>
      </c>
      <c r="AD456" s="6">
        <f>IF(OR(原始資料!$A456="",29&gt;設定!$B$3,原始資料!AF456=""),"",IF(AND(原始資料!AE456&lt;&gt;"",原始資料!AF456=原始資料!AE456),N(AC456)+1,1))</f>
        <v/>
      </c>
      <c r="AE456" s="6">
        <f>IF(OR(原始資料!$A456="",30&gt;設定!$B$3,原始資料!AG456=""),"",IF(AND(原始資料!AF456&lt;&gt;"",原始資料!AG456=原始資料!AF456),N(AD456)+1,1))</f>
        <v/>
      </c>
      <c r="AF456" s="6">
        <f>IF(OR(原始資料!$A456="",31&gt;設定!$B$3,原始資料!AH456=""),"",IF(AND(原始資料!AG456&lt;&gt;"",原始資料!AH456=原始資料!AG456),N(AE456)+1,1))</f>
        <v/>
      </c>
      <c r="AG456" s="6">
        <f>IF(OR(原始資料!$A456="",32&gt;設定!$B$3,原始資料!AI456=""),"",IF(AND(原始資料!AH456&lt;&gt;"",原始資料!AI456=原始資料!AH456),N(AF456)+1,1))</f>
        <v/>
      </c>
      <c r="AH456" s="6">
        <f>IF(OR(原始資料!$A456="",33&gt;設定!$B$3,原始資料!AJ456=""),"",IF(AND(原始資料!AI456&lt;&gt;"",原始資料!AJ456=原始資料!AI456),N(AG456)+1,1))</f>
        <v/>
      </c>
      <c r="AI456" s="6">
        <f>IF(OR(原始資料!$A456="",34&gt;設定!$B$3,原始資料!AK456=""),"",IF(AND(原始資料!AJ456&lt;&gt;"",原始資料!AK456=原始資料!AJ456),N(AH456)+1,1))</f>
        <v/>
      </c>
      <c r="AJ456" s="6">
        <f>IF(OR(原始資料!$A456="",35&gt;設定!$B$3,原始資料!AL456=""),"",IF(AND(原始資料!AK456&lt;&gt;"",原始資料!AL456=原始資料!AK456),N(AI456)+1,1))</f>
        <v/>
      </c>
      <c r="AK456" s="6">
        <f>IF(OR(原始資料!$A456="",36&gt;設定!$B$3,原始資料!AM456=""),"",IF(AND(原始資料!AL456&lt;&gt;"",原始資料!AM456=原始資料!AL456),N(AJ456)+1,1))</f>
        <v/>
      </c>
      <c r="AL456" s="6">
        <f>IF(OR(原始資料!$A456="",37&gt;設定!$B$3,原始資料!AN456=""),"",IF(AND(原始資料!AM456&lt;&gt;"",原始資料!AN456=原始資料!AM456),N(AK456)+1,1))</f>
        <v/>
      </c>
      <c r="AM456" s="6">
        <f>IF(OR(原始資料!$A456="",38&gt;設定!$B$3,原始資料!AO456=""),"",IF(AND(原始資料!AN456&lt;&gt;"",原始資料!AO456=原始資料!AN456),N(AL456)+1,1))</f>
        <v/>
      </c>
      <c r="AN456" s="6">
        <f>IF(OR(原始資料!$A456="",39&gt;設定!$B$3,原始資料!AP456=""),"",IF(AND(原始資料!AO456&lt;&gt;"",原始資料!AP456=原始資料!AO456),N(AM456)+1,1))</f>
        <v/>
      </c>
      <c r="AO456" s="6">
        <f>IF(OR(原始資料!$A456="",40&gt;設定!$B$3,原始資料!AQ456=""),"",IF(AND(原始資料!AP456&lt;&gt;"",原始資料!AQ456=原始資料!AP456),N(AN456)+1,1))</f>
        <v/>
      </c>
      <c r="AP456" s="6">
        <f>IF(OR(原始資料!$A456="",41&gt;設定!$B$3,原始資料!AR456=""),"",IF(AND(原始資料!AQ456&lt;&gt;"",原始資料!AR456=原始資料!AQ456),N(AO456)+1,1))</f>
        <v/>
      </c>
      <c r="AQ456" s="6">
        <f>IF(OR(原始資料!$A456="",42&gt;設定!$B$3,原始資料!AS456=""),"",IF(AND(原始資料!AR456&lt;&gt;"",原始資料!AS456=原始資料!AR456),N(AP456)+1,1))</f>
        <v/>
      </c>
      <c r="AR456" s="6">
        <f>IF(OR(原始資料!$A456="",43&gt;設定!$B$3,原始資料!AT456=""),"",IF(AND(原始資料!AS456&lt;&gt;"",原始資料!AT456=原始資料!AS456),N(AQ456)+1,1))</f>
        <v/>
      </c>
      <c r="AS456" s="6">
        <f>IF(OR(原始資料!$A456="",44&gt;設定!$B$3,原始資料!AU456=""),"",IF(AND(原始資料!AT456&lt;&gt;"",原始資料!AU456=原始資料!AT456),N(AR456)+1,1))</f>
        <v/>
      </c>
      <c r="AT456" s="6">
        <f>IF(OR(原始資料!$A456="",45&gt;設定!$B$3,原始資料!AV456=""),"",IF(AND(原始資料!AU456&lt;&gt;"",原始資料!AV456=原始資料!AU456),N(AS456)+1,1))</f>
        <v/>
      </c>
      <c r="AU456" s="6">
        <f>IF(OR(原始資料!$A456="",46&gt;設定!$B$3,原始資料!AW456=""),"",IF(AND(原始資料!AV456&lt;&gt;"",原始資料!AW456=原始資料!AV456),N(AT456)+1,1))</f>
        <v/>
      </c>
      <c r="AV456" s="6">
        <f>IF(OR(原始資料!$A456="",47&gt;設定!$B$3,原始資料!AX456=""),"",IF(AND(原始資料!AW456&lt;&gt;"",原始資料!AX456=原始資料!AW456),N(AU456)+1,1))</f>
        <v/>
      </c>
      <c r="AW456" s="6">
        <f>IF(OR(原始資料!$A456="",48&gt;設定!$B$3,原始資料!AY456=""),"",IF(AND(原始資料!AX456&lt;&gt;"",原始資料!AY456=原始資料!AX456),N(AV456)+1,1))</f>
        <v/>
      </c>
      <c r="AX456" s="6">
        <f>IF(OR(原始資料!$A456="",49&gt;設定!$B$3,原始資料!AZ456=""),"",IF(AND(原始資料!AY456&lt;&gt;"",原始資料!AZ456=原始資料!AY456),N(AW456)+1,1))</f>
        <v/>
      </c>
      <c r="AY456" s="6">
        <f>IF(OR(原始資料!$A456="",50&gt;設定!$B$3,原始資料!BA456=""),"",IF(AND(原始資料!AZ456&lt;&gt;"",原始資料!BA456=原始資料!AZ456),N(AX456)+1,1))</f>
        <v/>
      </c>
      <c r="AZ456" s="6">
        <f>IF(OR(原始資料!$A456="",51&gt;設定!$B$3,原始資料!BB456=""),"",IF(AND(原始資料!BA456&lt;&gt;"",原始資料!BB456=原始資料!BA456),N(AY456)+1,1))</f>
        <v/>
      </c>
      <c r="BA456" s="6">
        <f>IF(OR(原始資料!$A456="",52&gt;設定!$B$3,原始資料!BC456=""),"",IF(AND(原始資料!BB456&lt;&gt;"",原始資料!BC456=原始資料!BB456),N(AZ456)+1,1))</f>
        <v/>
      </c>
      <c r="BB456" s="6">
        <f>IF(OR(原始資料!$A456="",53&gt;設定!$B$3,原始資料!BD456=""),"",IF(AND(原始資料!BC456&lt;&gt;"",原始資料!BD456=原始資料!BC456),N(BA456)+1,1))</f>
        <v/>
      </c>
      <c r="BC456" s="6">
        <f>IF(OR(原始資料!$A456="",54&gt;設定!$B$3,原始資料!BE456=""),"",IF(AND(原始資料!BD456&lt;&gt;"",原始資料!BE456=原始資料!BD456),N(BB456)+1,1))</f>
        <v/>
      </c>
      <c r="BD456" s="6">
        <f>IF(OR(原始資料!$A456="",55&gt;設定!$B$3,原始資料!BF456=""),"",IF(AND(原始資料!BE456&lt;&gt;"",原始資料!BF456=原始資料!BE456),N(BC456)+1,1))</f>
        <v/>
      </c>
      <c r="BE456" s="6">
        <f>IF(OR(原始資料!$A456="",56&gt;設定!$B$3,原始資料!BG456=""),"",IF(AND(原始資料!BF456&lt;&gt;"",原始資料!BG456=原始資料!BF456),N(BD456)+1,1))</f>
        <v/>
      </c>
      <c r="BF456" s="6">
        <f>IF(OR(原始資料!$A456="",57&gt;設定!$B$3,原始資料!BH456=""),"",IF(AND(原始資料!BG456&lt;&gt;"",原始資料!BH456=原始資料!BG456),N(BE456)+1,1))</f>
        <v/>
      </c>
      <c r="BG456" s="6">
        <f>IF(OR(原始資料!$A456="",58&gt;設定!$B$3,原始資料!BI456=""),"",IF(AND(原始資料!BH456&lt;&gt;"",原始資料!BI456=原始資料!BH456),N(BF456)+1,1))</f>
        <v/>
      </c>
      <c r="BH456" s="6">
        <f>IF(OR(原始資料!$A456="",59&gt;設定!$B$3,原始資料!BJ456=""),"",IF(AND(原始資料!BI456&lt;&gt;"",原始資料!BJ456=原始資料!BI456),N(BG456)+1,1))</f>
        <v/>
      </c>
      <c r="BI456" s="6">
        <f>IF(OR(原始資料!$A456="",60&gt;設定!$B$3,原始資料!BK456=""),"",IF(AND(原始資料!BJ456&lt;&gt;"",原始資料!BK456=原始資料!BJ456),N(BH456)+1,1))</f>
        <v/>
      </c>
    </row>
    <row r="457">
      <c r="A457" s="6">
        <f>IF(原始資料!$A457="","",原始資料!$A457)</f>
        <v/>
      </c>
      <c r="B457" s="6">
        <f>IF(OR(原始資料!$A457="",1&gt;設定!$B$3,原始資料!D457=""),"",1)</f>
        <v/>
      </c>
      <c r="C457" s="6">
        <f>IF(OR(原始資料!$A457="",2&gt;設定!$B$3,原始資料!E457=""),"",IF(AND(原始資料!D457&lt;&gt;"",原始資料!E457=原始資料!D457),N(B457)+1,1))</f>
        <v/>
      </c>
      <c r="D457" s="6">
        <f>IF(OR(原始資料!$A457="",3&gt;設定!$B$3,原始資料!F457=""),"",IF(AND(原始資料!E457&lt;&gt;"",原始資料!F457=原始資料!E457),N(C457)+1,1))</f>
        <v/>
      </c>
      <c r="E457" s="6">
        <f>IF(OR(原始資料!$A457="",4&gt;設定!$B$3,原始資料!G457=""),"",IF(AND(原始資料!F457&lt;&gt;"",原始資料!G457=原始資料!F457),N(D457)+1,1))</f>
        <v/>
      </c>
      <c r="F457" s="6">
        <f>IF(OR(原始資料!$A457="",5&gt;設定!$B$3,原始資料!H457=""),"",IF(AND(原始資料!G457&lt;&gt;"",原始資料!H457=原始資料!G457),N(E457)+1,1))</f>
        <v/>
      </c>
      <c r="G457" s="6">
        <f>IF(OR(原始資料!$A457="",6&gt;設定!$B$3,原始資料!I457=""),"",IF(AND(原始資料!H457&lt;&gt;"",原始資料!I457=原始資料!H457),N(F457)+1,1))</f>
        <v/>
      </c>
      <c r="H457" s="6">
        <f>IF(OR(原始資料!$A457="",7&gt;設定!$B$3,原始資料!J457=""),"",IF(AND(原始資料!I457&lt;&gt;"",原始資料!J457=原始資料!I457),N(G457)+1,1))</f>
        <v/>
      </c>
      <c r="I457" s="6">
        <f>IF(OR(原始資料!$A457="",8&gt;設定!$B$3,原始資料!K457=""),"",IF(AND(原始資料!J457&lt;&gt;"",原始資料!K457=原始資料!J457),N(H457)+1,1))</f>
        <v/>
      </c>
      <c r="J457" s="6">
        <f>IF(OR(原始資料!$A457="",9&gt;設定!$B$3,原始資料!L457=""),"",IF(AND(原始資料!K457&lt;&gt;"",原始資料!L457=原始資料!K457),N(I457)+1,1))</f>
        <v/>
      </c>
      <c r="K457" s="6">
        <f>IF(OR(原始資料!$A457="",10&gt;設定!$B$3,原始資料!M457=""),"",IF(AND(原始資料!L457&lt;&gt;"",原始資料!M457=原始資料!L457),N(J457)+1,1))</f>
        <v/>
      </c>
      <c r="L457" s="6">
        <f>IF(OR(原始資料!$A457="",11&gt;設定!$B$3,原始資料!N457=""),"",IF(AND(原始資料!M457&lt;&gt;"",原始資料!N457=原始資料!M457),N(K457)+1,1))</f>
        <v/>
      </c>
      <c r="M457" s="6">
        <f>IF(OR(原始資料!$A457="",12&gt;設定!$B$3,原始資料!O457=""),"",IF(AND(原始資料!N457&lt;&gt;"",原始資料!O457=原始資料!N457),N(L457)+1,1))</f>
        <v/>
      </c>
      <c r="N457" s="6">
        <f>IF(OR(原始資料!$A457="",13&gt;設定!$B$3,原始資料!P457=""),"",IF(AND(原始資料!O457&lt;&gt;"",原始資料!P457=原始資料!O457),N(M457)+1,1))</f>
        <v/>
      </c>
      <c r="O457" s="6">
        <f>IF(OR(原始資料!$A457="",14&gt;設定!$B$3,原始資料!Q457=""),"",IF(AND(原始資料!P457&lt;&gt;"",原始資料!Q457=原始資料!P457),N(N457)+1,1))</f>
        <v/>
      </c>
      <c r="P457" s="6">
        <f>IF(OR(原始資料!$A457="",15&gt;設定!$B$3,原始資料!R457=""),"",IF(AND(原始資料!Q457&lt;&gt;"",原始資料!R457=原始資料!Q457),N(O457)+1,1))</f>
        <v/>
      </c>
      <c r="Q457" s="6">
        <f>IF(OR(原始資料!$A457="",16&gt;設定!$B$3,原始資料!S457=""),"",IF(AND(原始資料!R457&lt;&gt;"",原始資料!S457=原始資料!R457),N(P457)+1,1))</f>
        <v/>
      </c>
      <c r="R457" s="6">
        <f>IF(OR(原始資料!$A457="",17&gt;設定!$B$3,原始資料!T457=""),"",IF(AND(原始資料!S457&lt;&gt;"",原始資料!T457=原始資料!S457),N(Q457)+1,1))</f>
        <v/>
      </c>
      <c r="S457" s="6">
        <f>IF(OR(原始資料!$A457="",18&gt;設定!$B$3,原始資料!U457=""),"",IF(AND(原始資料!T457&lt;&gt;"",原始資料!U457=原始資料!T457),N(R457)+1,1))</f>
        <v/>
      </c>
      <c r="T457" s="6">
        <f>IF(OR(原始資料!$A457="",19&gt;設定!$B$3,原始資料!V457=""),"",IF(AND(原始資料!U457&lt;&gt;"",原始資料!V457=原始資料!U457),N(S457)+1,1))</f>
        <v/>
      </c>
      <c r="U457" s="6">
        <f>IF(OR(原始資料!$A457="",20&gt;設定!$B$3,原始資料!W457=""),"",IF(AND(原始資料!V457&lt;&gt;"",原始資料!W457=原始資料!V457),N(T457)+1,1))</f>
        <v/>
      </c>
      <c r="V457" s="6">
        <f>IF(OR(原始資料!$A457="",21&gt;設定!$B$3,原始資料!X457=""),"",IF(AND(原始資料!W457&lt;&gt;"",原始資料!X457=原始資料!W457),N(U457)+1,1))</f>
        <v/>
      </c>
      <c r="W457" s="6">
        <f>IF(OR(原始資料!$A457="",22&gt;設定!$B$3,原始資料!Y457=""),"",IF(AND(原始資料!X457&lt;&gt;"",原始資料!Y457=原始資料!X457),N(V457)+1,1))</f>
        <v/>
      </c>
      <c r="X457" s="6">
        <f>IF(OR(原始資料!$A457="",23&gt;設定!$B$3,原始資料!Z457=""),"",IF(AND(原始資料!Y457&lt;&gt;"",原始資料!Z457=原始資料!Y457),N(W457)+1,1))</f>
        <v/>
      </c>
      <c r="Y457" s="6">
        <f>IF(OR(原始資料!$A457="",24&gt;設定!$B$3,原始資料!AA457=""),"",IF(AND(原始資料!Z457&lt;&gt;"",原始資料!AA457=原始資料!Z457),N(X457)+1,1))</f>
        <v/>
      </c>
      <c r="Z457" s="6">
        <f>IF(OR(原始資料!$A457="",25&gt;設定!$B$3,原始資料!AB457=""),"",IF(AND(原始資料!AA457&lt;&gt;"",原始資料!AB457=原始資料!AA457),N(Y457)+1,1))</f>
        <v/>
      </c>
      <c r="AA457" s="6">
        <f>IF(OR(原始資料!$A457="",26&gt;設定!$B$3,原始資料!AC457=""),"",IF(AND(原始資料!AB457&lt;&gt;"",原始資料!AC457=原始資料!AB457),N(Z457)+1,1))</f>
        <v/>
      </c>
      <c r="AB457" s="6">
        <f>IF(OR(原始資料!$A457="",27&gt;設定!$B$3,原始資料!AD457=""),"",IF(AND(原始資料!AC457&lt;&gt;"",原始資料!AD457=原始資料!AC457),N(AA457)+1,1))</f>
        <v/>
      </c>
      <c r="AC457" s="6">
        <f>IF(OR(原始資料!$A457="",28&gt;設定!$B$3,原始資料!AE457=""),"",IF(AND(原始資料!AD457&lt;&gt;"",原始資料!AE457=原始資料!AD457),N(AB457)+1,1))</f>
        <v/>
      </c>
      <c r="AD457" s="6">
        <f>IF(OR(原始資料!$A457="",29&gt;設定!$B$3,原始資料!AF457=""),"",IF(AND(原始資料!AE457&lt;&gt;"",原始資料!AF457=原始資料!AE457),N(AC457)+1,1))</f>
        <v/>
      </c>
      <c r="AE457" s="6">
        <f>IF(OR(原始資料!$A457="",30&gt;設定!$B$3,原始資料!AG457=""),"",IF(AND(原始資料!AF457&lt;&gt;"",原始資料!AG457=原始資料!AF457),N(AD457)+1,1))</f>
        <v/>
      </c>
      <c r="AF457" s="6">
        <f>IF(OR(原始資料!$A457="",31&gt;設定!$B$3,原始資料!AH457=""),"",IF(AND(原始資料!AG457&lt;&gt;"",原始資料!AH457=原始資料!AG457),N(AE457)+1,1))</f>
        <v/>
      </c>
      <c r="AG457" s="6">
        <f>IF(OR(原始資料!$A457="",32&gt;設定!$B$3,原始資料!AI457=""),"",IF(AND(原始資料!AH457&lt;&gt;"",原始資料!AI457=原始資料!AH457),N(AF457)+1,1))</f>
        <v/>
      </c>
      <c r="AH457" s="6">
        <f>IF(OR(原始資料!$A457="",33&gt;設定!$B$3,原始資料!AJ457=""),"",IF(AND(原始資料!AI457&lt;&gt;"",原始資料!AJ457=原始資料!AI457),N(AG457)+1,1))</f>
        <v/>
      </c>
      <c r="AI457" s="6">
        <f>IF(OR(原始資料!$A457="",34&gt;設定!$B$3,原始資料!AK457=""),"",IF(AND(原始資料!AJ457&lt;&gt;"",原始資料!AK457=原始資料!AJ457),N(AH457)+1,1))</f>
        <v/>
      </c>
      <c r="AJ457" s="6">
        <f>IF(OR(原始資料!$A457="",35&gt;設定!$B$3,原始資料!AL457=""),"",IF(AND(原始資料!AK457&lt;&gt;"",原始資料!AL457=原始資料!AK457),N(AI457)+1,1))</f>
        <v/>
      </c>
      <c r="AK457" s="6">
        <f>IF(OR(原始資料!$A457="",36&gt;設定!$B$3,原始資料!AM457=""),"",IF(AND(原始資料!AL457&lt;&gt;"",原始資料!AM457=原始資料!AL457),N(AJ457)+1,1))</f>
        <v/>
      </c>
      <c r="AL457" s="6">
        <f>IF(OR(原始資料!$A457="",37&gt;設定!$B$3,原始資料!AN457=""),"",IF(AND(原始資料!AM457&lt;&gt;"",原始資料!AN457=原始資料!AM457),N(AK457)+1,1))</f>
        <v/>
      </c>
      <c r="AM457" s="6">
        <f>IF(OR(原始資料!$A457="",38&gt;設定!$B$3,原始資料!AO457=""),"",IF(AND(原始資料!AN457&lt;&gt;"",原始資料!AO457=原始資料!AN457),N(AL457)+1,1))</f>
        <v/>
      </c>
      <c r="AN457" s="6">
        <f>IF(OR(原始資料!$A457="",39&gt;設定!$B$3,原始資料!AP457=""),"",IF(AND(原始資料!AO457&lt;&gt;"",原始資料!AP457=原始資料!AO457),N(AM457)+1,1))</f>
        <v/>
      </c>
      <c r="AO457" s="6">
        <f>IF(OR(原始資料!$A457="",40&gt;設定!$B$3,原始資料!AQ457=""),"",IF(AND(原始資料!AP457&lt;&gt;"",原始資料!AQ457=原始資料!AP457),N(AN457)+1,1))</f>
        <v/>
      </c>
      <c r="AP457" s="6">
        <f>IF(OR(原始資料!$A457="",41&gt;設定!$B$3,原始資料!AR457=""),"",IF(AND(原始資料!AQ457&lt;&gt;"",原始資料!AR457=原始資料!AQ457),N(AO457)+1,1))</f>
        <v/>
      </c>
      <c r="AQ457" s="6">
        <f>IF(OR(原始資料!$A457="",42&gt;設定!$B$3,原始資料!AS457=""),"",IF(AND(原始資料!AR457&lt;&gt;"",原始資料!AS457=原始資料!AR457),N(AP457)+1,1))</f>
        <v/>
      </c>
      <c r="AR457" s="6">
        <f>IF(OR(原始資料!$A457="",43&gt;設定!$B$3,原始資料!AT457=""),"",IF(AND(原始資料!AS457&lt;&gt;"",原始資料!AT457=原始資料!AS457),N(AQ457)+1,1))</f>
        <v/>
      </c>
      <c r="AS457" s="6">
        <f>IF(OR(原始資料!$A457="",44&gt;設定!$B$3,原始資料!AU457=""),"",IF(AND(原始資料!AT457&lt;&gt;"",原始資料!AU457=原始資料!AT457),N(AR457)+1,1))</f>
        <v/>
      </c>
      <c r="AT457" s="6">
        <f>IF(OR(原始資料!$A457="",45&gt;設定!$B$3,原始資料!AV457=""),"",IF(AND(原始資料!AU457&lt;&gt;"",原始資料!AV457=原始資料!AU457),N(AS457)+1,1))</f>
        <v/>
      </c>
      <c r="AU457" s="6">
        <f>IF(OR(原始資料!$A457="",46&gt;設定!$B$3,原始資料!AW457=""),"",IF(AND(原始資料!AV457&lt;&gt;"",原始資料!AW457=原始資料!AV457),N(AT457)+1,1))</f>
        <v/>
      </c>
      <c r="AV457" s="6">
        <f>IF(OR(原始資料!$A457="",47&gt;設定!$B$3,原始資料!AX457=""),"",IF(AND(原始資料!AW457&lt;&gt;"",原始資料!AX457=原始資料!AW457),N(AU457)+1,1))</f>
        <v/>
      </c>
      <c r="AW457" s="6">
        <f>IF(OR(原始資料!$A457="",48&gt;設定!$B$3,原始資料!AY457=""),"",IF(AND(原始資料!AX457&lt;&gt;"",原始資料!AY457=原始資料!AX457),N(AV457)+1,1))</f>
        <v/>
      </c>
      <c r="AX457" s="6">
        <f>IF(OR(原始資料!$A457="",49&gt;設定!$B$3,原始資料!AZ457=""),"",IF(AND(原始資料!AY457&lt;&gt;"",原始資料!AZ457=原始資料!AY457),N(AW457)+1,1))</f>
        <v/>
      </c>
      <c r="AY457" s="6">
        <f>IF(OR(原始資料!$A457="",50&gt;設定!$B$3,原始資料!BA457=""),"",IF(AND(原始資料!AZ457&lt;&gt;"",原始資料!BA457=原始資料!AZ457),N(AX457)+1,1))</f>
        <v/>
      </c>
      <c r="AZ457" s="6">
        <f>IF(OR(原始資料!$A457="",51&gt;設定!$B$3,原始資料!BB457=""),"",IF(AND(原始資料!BA457&lt;&gt;"",原始資料!BB457=原始資料!BA457),N(AY457)+1,1))</f>
        <v/>
      </c>
      <c r="BA457" s="6">
        <f>IF(OR(原始資料!$A457="",52&gt;設定!$B$3,原始資料!BC457=""),"",IF(AND(原始資料!BB457&lt;&gt;"",原始資料!BC457=原始資料!BB457),N(AZ457)+1,1))</f>
        <v/>
      </c>
      <c r="BB457" s="6">
        <f>IF(OR(原始資料!$A457="",53&gt;設定!$B$3,原始資料!BD457=""),"",IF(AND(原始資料!BC457&lt;&gt;"",原始資料!BD457=原始資料!BC457),N(BA457)+1,1))</f>
        <v/>
      </c>
      <c r="BC457" s="6">
        <f>IF(OR(原始資料!$A457="",54&gt;設定!$B$3,原始資料!BE457=""),"",IF(AND(原始資料!BD457&lt;&gt;"",原始資料!BE457=原始資料!BD457),N(BB457)+1,1))</f>
        <v/>
      </c>
      <c r="BD457" s="6">
        <f>IF(OR(原始資料!$A457="",55&gt;設定!$B$3,原始資料!BF457=""),"",IF(AND(原始資料!BE457&lt;&gt;"",原始資料!BF457=原始資料!BE457),N(BC457)+1,1))</f>
        <v/>
      </c>
      <c r="BE457" s="6">
        <f>IF(OR(原始資料!$A457="",56&gt;設定!$B$3,原始資料!BG457=""),"",IF(AND(原始資料!BF457&lt;&gt;"",原始資料!BG457=原始資料!BF457),N(BD457)+1,1))</f>
        <v/>
      </c>
      <c r="BF457" s="6">
        <f>IF(OR(原始資料!$A457="",57&gt;設定!$B$3,原始資料!BH457=""),"",IF(AND(原始資料!BG457&lt;&gt;"",原始資料!BH457=原始資料!BG457),N(BE457)+1,1))</f>
        <v/>
      </c>
      <c r="BG457" s="6">
        <f>IF(OR(原始資料!$A457="",58&gt;設定!$B$3,原始資料!BI457=""),"",IF(AND(原始資料!BH457&lt;&gt;"",原始資料!BI457=原始資料!BH457),N(BF457)+1,1))</f>
        <v/>
      </c>
      <c r="BH457" s="6">
        <f>IF(OR(原始資料!$A457="",59&gt;設定!$B$3,原始資料!BJ457=""),"",IF(AND(原始資料!BI457&lt;&gt;"",原始資料!BJ457=原始資料!BI457),N(BG457)+1,1))</f>
        <v/>
      </c>
      <c r="BI457" s="6">
        <f>IF(OR(原始資料!$A457="",60&gt;設定!$B$3,原始資料!BK457=""),"",IF(AND(原始資料!BJ457&lt;&gt;"",原始資料!BK457=原始資料!BJ457),N(BH457)+1,1))</f>
        <v/>
      </c>
    </row>
    <row r="458">
      <c r="A458" s="6">
        <f>IF(原始資料!$A458="","",原始資料!$A458)</f>
        <v/>
      </c>
      <c r="B458" s="6">
        <f>IF(OR(原始資料!$A458="",1&gt;設定!$B$3,原始資料!D458=""),"",1)</f>
        <v/>
      </c>
      <c r="C458" s="6">
        <f>IF(OR(原始資料!$A458="",2&gt;設定!$B$3,原始資料!E458=""),"",IF(AND(原始資料!D458&lt;&gt;"",原始資料!E458=原始資料!D458),N(B458)+1,1))</f>
        <v/>
      </c>
      <c r="D458" s="6">
        <f>IF(OR(原始資料!$A458="",3&gt;設定!$B$3,原始資料!F458=""),"",IF(AND(原始資料!E458&lt;&gt;"",原始資料!F458=原始資料!E458),N(C458)+1,1))</f>
        <v/>
      </c>
      <c r="E458" s="6">
        <f>IF(OR(原始資料!$A458="",4&gt;設定!$B$3,原始資料!G458=""),"",IF(AND(原始資料!F458&lt;&gt;"",原始資料!G458=原始資料!F458),N(D458)+1,1))</f>
        <v/>
      </c>
      <c r="F458" s="6">
        <f>IF(OR(原始資料!$A458="",5&gt;設定!$B$3,原始資料!H458=""),"",IF(AND(原始資料!G458&lt;&gt;"",原始資料!H458=原始資料!G458),N(E458)+1,1))</f>
        <v/>
      </c>
      <c r="G458" s="6">
        <f>IF(OR(原始資料!$A458="",6&gt;設定!$B$3,原始資料!I458=""),"",IF(AND(原始資料!H458&lt;&gt;"",原始資料!I458=原始資料!H458),N(F458)+1,1))</f>
        <v/>
      </c>
      <c r="H458" s="6">
        <f>IF(OR(原始資料!$A458="",7&gt;設定!$B$3,原始資料!J458=""),"",IF(AND(原始資料!I458&lt;&gt;"",原始資料!J458=原始資料!I458),N(G458)+1,1))</f>
        <v/>
      </c>
      <c r="I458" s="6">
        <f>IF(OR(原始資料!$A458="",8&gt;設定!$B$3,原始資料!K458=""),"",IF(AND(原始資料!J458&lt;&gt;"",原始資料!K458=原始資料!J458),N(H458)+1,1))</f>
        <v/>
      </c>
      <c r="J458" s="6">
        <f>IF(OR(原始資料!$A458="",9&gt;設定!$B$3,原始資料!L458=""),"",IF(AND(原始資料!K458&lt;&gt;"",原始資料!L458=原始資料!K458),N(I458)+1,1))</f>
        <v/>
      </c>
      <c r="K458" s="6">
        <f>IF(OR(原始資料!$A458="",10&gt;設定!$B$3,原始資料!M458=""),"",IF(AND(原始資料!L458&lt;&gt;"",原始資料!M458=原始資料!L458),N(J458)+1,1))</f>
        <v/>
      </c>
      <c r="L458" s="6">
        <f>IF(OR(原始資料!$A458="",11&gt;設定!$B$3,原始資料!N458=""),"",IF(AND(原始資料!M458&lt;&gt;"",原始資料!N458=原始資料!M458),N(K458)+1,1))</f>
        <v/>
      </c>
      <c r="M458" s="6">
        <f>IF(OR(原始資料!$A458="",12&gt;設定!$B$3,原始資料!O458=""),"",IF(AND(原始資料!N458&lt;&gt;"",原始資料!O458=原始資料!N458),N(L458)+1,1))</f>
        <v/>
      </c>
      <c r="N458" s="6">
        <f>IF(OR(原始資料!$A458="",13&gt;設定!$B$3,原始資料!P458=""),"",IF(AND(原始資料!O458&lt;&gt;"",原始資料!P458=原始資料!O458),N(M458)+1,1))</f>
        <v/>
      </c>
      <c r="O458" s="6">
        <f>IF(OR(原始資料!$A458="",14&gt;設定!$B$3,原始資料!Q458=""),"",IF(AND(原始資料!P458&lt;&gt;"",原始資料!Q458=原始資料!P458),N(N458)+1,1))</f>
        <v/>
      </c>
      <c r="P458" s="6">
        <f>IF(OR(原始資料!$A458="",15&gt;設定!$B$3,原始資料!R458=""),"",IF(AND(原始資料!Q458&lt;&gt;"",原始資料!R458=原始資料!Q458),N(O458)+1,1))</f>
        <v/>
      </c>
      <c r="Q458" s="6">
        <f>IF(OR(原始資料!$A458="",16&gt;設定!$B$3,原始資料!S458=""),"",IF(AND(原始資料!R458&lt;&gt;"",原始資料!S458=原始資料!R458),N(P458)+1,1))</f>
        <v/>
      </c>
      <c r="R458" s="6">
        <f>IF(OR(原始資料!$A458="",17&gt;設定!$B$3,原始資料!T458=""),"",IF(AND(原始資料!S458&lt;&gt;"",原始資料!T458=原始資料!S458),N(Q458)+1,1))</f>
        <v/>
      </c>
      <c r="S458" s="6">
        <f>IF(OR(原始資料!$A458="",18&gt;設定!$B$3,原始資料!U458=""),"",IF(AND(原始資料!T458&lt;&gt;"",原始資料!U458=原始資料!T458),N(R458)+1,1))</f>
        <v/>
      </c>
      <c r="T458" s="6">
        <f>IF(OR(原始資料!$A458="",19&gt;設定!$B$3,原始資料!V458=""),"",IF(AND(原始資料!U458&lt;&gt;"",原始資料!V458=原始資料!U458),N(S458)+1,1))</f>
        <v/>
      </c>
      <c r="U458" s="6">
        <f>IF(OR(原始資料!$A458="",20&gt;設定!$B$3,原始資料!W458=""),"",IF(AND(原始資料!V458&lt;&gt;"",原始資料!W458=原始資料!V458),N(T458)+1,1))</f>
        <v/>
      </c>
      <c r="V458" s="6">
        <f>IF(OR(原始資料!$A458="",21&gt;設定!$B$3,原始資料!X458=""),"",IF(AND(原始資料!W458&lt;&gt;"",原始資料!X458=原始資料!W458),N(U458)+1,1))</f>
        <v/>
      </c>
      <c r="W458" s="6">
        <f>IF(OR(原始資料!$A458="",22&gt;設定!$B$3,原始資料!Y458=""),"",IF(AND(原始資料!X458&lt;&gt;"",原始資料!Y458=原始資料!X458),N(V458)+1,1))</f>
        <v/>
      </c>
      <c r="X458" s="6">
        <f>IF(OR(原始資料!$A458="",23&gt;設定!$B$3,原始資料!Z458=""),"",IF(AND(原始資料!Y458&lt;&gt;"",原始資料!Z458=原始資料!Y458),N(W458)+1,1))</f>
        <v/>
      </c>
      <c r="Y458" s="6">
        <f>IF(OR(原始資料!$A458="",24&gt;設定!$B$3,原始資料!AA458=""),"",IF(AND(原始資料!Z458&lt;&gt;"",原始資料!AA458=原始資料!Z458),N(X458)+1,1))</f>
        <v/>
      </c>
      <c r="Z458" s="6">
        <f>IF(OR(原始資料!$A458="",25&gt;設定!$B$3,原始資料!AB458=""),"",IF(AND(原始資料!AA458&lt;&gt;"",原始資料!AB458=原始資料!AA458),N(Y458)+1,1))</f>
        <v/>
      </c>
      <c r="AA458" s="6">
        <f>IF(OR(原始資料!$A458="",26&gt;設定!$B$3,原始資料!AC458=""),"",IF(AND(原始資料!AB458&lt;&gt;"",原始資料!AC458=原始資料!AB458),N(Z458)+1,1))</f>
        <v/>
      </c>
      <c r="AB458" s="6">
        <f>IF(OR(原始資料!$A458="",27&gt;設定!$B$3,原始資料!AD458=""),"",IF(AND(原始資料!AC458&lt;&gt;"",原始資料!AD458=原始資料!AC458),N(AA458)+1,1))</f>
        <v/>
      </c>
      <c r="AC458" s="6">
        <f>IF(OR(原始資料!$A458="",28&gt;設定!$B$3,原始資料!AE458=""),"",IF(AND(原始資料!AD458&lt;&gt;"",原始資料!AE458=原始資料!AD458),N(AB458)+1,1))</f>
        <v/>
      </c>
      <c r="AD458" s="6">
        <f>IF(OR(原始資料!$A458="",29&gt;設定!$B$3,原始資料!AF458=""),"",IF(AND(原始資料!AE458&lt;&gt;"",原始資料!AF458=原始資料!AE458),N(AC458)+1,1))</f>
        <v/>
      </c>
      <c r="AE458" s="6">
        <f>IF(OR(原始資料!$A458="",30&gt;設定!$B$3,原始資料!AG458=""),"",IF(AND(原始資料!AF458&lt;&gt;"",原始資料!AG458=原始資料!AF458),N(AD458)+1,1))</f>
        <v/>
      </c>
      <c r="AF458" s="6">
        <f>IF(OR(原始資料!$A458="",31&gt;設定!$B$3,原始資料!AH458=""),"",IF(AND(原始資料!AG458&lt;&gt;"",原始資料!AH458=原始資料!AG458),N(AE458)+1,1))</f>
        <v/>
      </c>
      <c r="AG458" s="6">
        <f>IF(OR(原始資料!$A458="",32&gt;設定!$B$3,原始資料!AI458=""),"",IF(AND(原始資料!AH458&lt;&gt;"",原始資料!AI458=原始資料!AH458),N(AF458)+1,1))</f>
        <v/>
      </c>
      <c r="AH458" s="6">
        <f>IF(OR(原始資料!$A458="",33&gt;設定!$B$3,原始資料!AJ458=""),"",IF(AND(原始資料!AI458&lt;&gt;"",原始資料!AJ458=原始資料!AI458),N(AG458)+1,1))</f>
        <v/>
      </c>
      <c r="AI458" s="6">
        <f>IF(OR(原始資料!$A458="",34&gt;設定!$B$3,原始資料!AK458=""),"",IF(AND(原始資料!AJ458&lt;&gt;"",原始資料!AK458=原始資料!AJ458),N(AH458)+1,1))</f>
        <v/>
      </c>
      <c r="AJ458" s="6">
        <f>IF(OR(原始資料!$A458="",35&gt;設定!$B$3,原始資料!AL458=""),"",IF(AND(原始資料!AK458&lt;&gt;"",原始資料!AL458=原始資料!AK458),N(AI458)+1,1))</f>
        <v/>
      </c>
      <c r="AK458" s="6">
        <f>IF(OR(原始資料!$A458="",36&gt;設定!$B$3,原始資料!AM458=""),"",IF(AND(原始資料!AL458&lt;&gt;"",原始資料!AM458=原始資料!AL458),N(AJ458)+1,1))</f>
        <v/>
      </c>
      <c r="AL458" s="6">
        <f>IF(OR(原始資料!$A458="",37&gt;設定!$B$3,原始資料!AN458=""),"",IF(AND(原始資料!AM458&lt;&gt;"",原始資料!AN458=原始資料!AM458),N(AK458)+1,1))</f>
        <v/>
      </c>
      <c r="AM458" s="6">
        <f>IF(OR(原始資料!$A458="",38&gt;設定!$B$3,原始資料!AO458=""),"",IF(AND(原始資料!AN458&lt;&gt;"",原始資料!AO458=原始資料!AN458),N(AL458)+1,1))</f>
        <v/>
      </c>
      <c r="AN458" s="6">
        <f>IF(OR(原始資料!$A458="",39&gt;設定!$B$3,原始資料!AP458=""),"",IF(AND(原始資料!AO458&lt;&gt;"",原始資料!AP458=原始資料!AO458),N(AM458)+1,1))</f>
        <v/>
      </c>
      <c r="AO458" s="6">
        <f>IF(OR(原始資料!$A458="",40&gt;設定!$B$3,原始資料!AQ458=""),"",IF(AND(原始資料!AP458&lt;&gt;"",原始資料!AQ458=原始資料!AP458),N(AN458)+1,1))</f>
        <v/>
      </c>
      <c r="AP458" s="6">
        <f>IF(OR(原始資料!$A458="",41&gt;設定!$B$3,原始資料!AR458=""),"",IF(AND(原始資料!AQ458&lt;&gt;"",原始資料!AR458=原始資料!AQ458),N(AO458)+1,1))</f>
        <v/>
      </c>
      <c r="AQ458" s="6">
        <f>IF(OR(原始資料!$A458="",42&gt;設定!$B$3,原始資料!AS458=""),"",IF(AND(原始資料!AR458&lt;&gt;"",原始資料!AS458=原始資料!AR458),N(AP458)+1,1))</f>
        <v/>
      </c>
      <c r="AR458" s="6">
        <f>IF(OR(原始資料!$A458="",43&gt;設定!$B$3,原始資料!AT458=""),"",IF(AND(原始資料!AS458&lt;&gt;"",原始資料!AT458=原始資料!AS458),N(AQ458)+1,1))</f>
        <v/>
      </c>
      <c r="AS458" s="6">
        <f>IF(OR(原始資料!$A458="",44&gt;設定!$B$3,原始資料!AU458=""),"",IF(AND(原始資料!AT458&lt;&gt;"",原始資料!AU458=原始資料!AT458),N(AR458)+1,1))</f>
        <v/>
      </c>
      <c r="AT458" s="6">
        <f>IF(OR(原始資料!$A458="",45&gt;設定!$B$3,原始資料!AV458=""),"",IF(AND(原始資料!AU458&lt;&gt;"",原始資料!AV458=原始資料!AU458),N(AS458)+1,1))</f>
        <v/>
      </c>
      <c r="AU458" s="6">
        <f>IF(OR(原始資料!$A458="",46&gt;設定!$B$3,原始資料!AW458=""),"",IF(AND(原始資料!AV458&lt;&gt;"",原始資料!AW458=原始資料!AV458),N(AT458)+1,1))</f>
        <v/>
      </c>
      <c r="AV458" s="6">
        <f>IF(OR(原始資料!$A458="",47&gt;設定!$B$3,原始資料!AX458=""),"",IF(AND(原始資料!AW458&lt;&gt;"",原始資料!AX458=原始資料!AW458),N(AU458)+1,1))</f>
        <v/>
      </c>
      <c r="AW458" s="6">
        <f>IF(OR(原始資料!$A458="",48&gt;設定!$B$3,原始資料!AY458=""),"",IF(AND(原始資料!AX458&lt;&gt;"",原始資料!AY458=原始資料!AX458),N(AV458)+1,1))</f>
        <v/>
      </c>
      <c r="AX458" s="6">
        <f>IF(OR(原始資料!$A458="",49&gt;設定!$B$3,原始資料!AZ458=""),"",IF(AND(原始資料!AY458&lt;&gt;"",原始資料!AZ458=原始資料!AY458),N(AW458)+1,1))</f>
        <v/>
      </c>
      <c r="AY458" s="6">
        <f>IF(OR(原始資料!$A458="",50&gt;設定!$B$3,原始資料!BA458=""),"",IF(AND(原始資料!AZ458&lt;&gt;"",原始資料!BA458=原始資料!AZ458),N(AX458)+1,1))</f>
        <v/>
      </c>
      <c r="AZ458" s="6">
        <f>IF(OR(原始資料!$A458="",51&gt;設定!$B$3,原始資料!BB458=""),"",IF(AND(原始資料!BA458&lt;&gt;"",原始資料!BB458=原始資料!BA458),N(AY458)+1,1))</f>
        <v/>
      </c>
      <c r="BA458" s="6">
        <f>IF(OR(原始資料!$A458="",52&gt;設定!$B$3,原始資料!BC458=""),"",IF(AND(原始資料!BB458&lt;&gt;"",原始資料!BC458=原始資料!BB458),N(AZ458)+1,1))</f>
        <v/>
      </c>
      <c r="BB458" s="6">
        <f>IF(OR(原始資料!$A458="",53&gt;設定!$B$3,原始資料!BD458=""),"",IF(AND(原始資料!BC458&lt;&gt;"",原始資料!BD458=原始資料!BC458),N(BA458)+1,1))</f>
        <v/>
      </c>
      <c r="BC458" s="6">
        <f>IF(OR(原始資料!$A458="",54&gt;設定!$B$3,原始資料!BE458=""),"",IF(AND(原始資料!BD458&lt;&gt;"",原始資料!BE458=原始資料!BD458),N(BB458)+1,1))</f>
        <v/>
      </c>
      <c r="BD458" s="6">
        <f>IF(OR(原始資料!$A458="",55&gt;設定!$B$3,原始資料!BF458=""),"",IF(AND(原始資料!BE458&lt;&gt;"",原始資料!BF458=原始資料!BE458),N(BC458)+1,1))</f>
        <v/>
      </c>
      <c r="BE458" s="6">
        <f>IF(OR(原始資料!$A458="",56&gt;設定!$B$3,原始資料!BG458=""),"",IF(AND(原始資料!BF458&lt;&gt;"",原始資料!BG458=原始資料!BF458),N(BD458)+1,1))</f>
        <v/>
      </c>
      <c r="BF458" s="6">
        <f>IF(OR(原始資料!$A458="",57&gt;設定!$B$3,原始資料!BH458=""),"",IF(AND(原始資料!BG458&lt;&gt;"",原始資料!BH458=原始資料!BG458),N(BE458)+1,1))</f>
        <v/>
      </c>
      <c r="BG458" s="6">
        <f>IF(OR(原始資料!$A458="",58&gt;設定!$B$3,原始資料!BI458=""),"",IF(AND(原始資料!BH458&lt;&gt;"",原始資料!BI458=原始資料!BH458),N(BF458)+1,1))</f>
        <v/>
      </c>
      <c r="BH458" s="6">
        <f>IF(OR(原始資料!$A458="",59&gt;設定!$B$3,原始資料!BJ458=""),"",IF(AND(原始資料!BI458&lt;&gt;"",原始資料!BJ458=原始資料!BI458),N(BG458)+1,1))</f>
        <v/>
      </c>
      <c r="BI458" s="6">
        <f>IF(OR(原始資料!$A458="",60&gt;設定!$B$3,原始資料!BK458=""),"",IF(AND(原始資料!BJ458&lt;&gt;"",原始資料!BK458=原始資料!BJ458),N(BH458)+1,1))</f>
        <v/>
      </c>
    </row>
    <row r="459">
      <c r="A459" s="6">
        <f>IF(原始資料!$A459="","",原始資料!$A459)</f>
        <v/>
      </c>
      <c r="B459" s="6">
        <f>IF(OR(原始資料!$A459="",1&gt;設定!$B$3,原始資料!D459=""),"",1)</f>
        <v/>
      </c>
      <c r="C459" s="6">
        <f>IF(OR(原始資料!$A459="",2&gt;設定!$B$3,原始資料!E459=""),"",IF(AND(原始資料!D459&lt;&gt;"",原始資料!E459=原始資料!D459),N(B459)+1,1))</f>
        <v/>
      </c>
      <c r="D459" s="6">
        <f>IF(OR(原始資料!$A459="",3&gt;設定!$B$3,原始資料!F459=""),"",IF(AND(原始資料!E459&lt;&gt;"",原始資料!F459=原始資料!E459),N(C459)+1,1))</f>
        <v/>
      </c>
      <c r="E459" s="6">
        <f>IF(OR(原始資料!$A459="",4&gt;設定!$B$3,原始資料!G459=""),"",IF(AND(原始資料!F459&lt;&gt;"",原始資料!G459=原始資料!F459),N(D459)+1,1))</f>
        <v/>
      </c>
      <c r="F459" s="6">
        <f>IF(OR(原始資料!$A459="",5&gt;設定!$B$3,原始資料!H459=""),"",IF(AND(原始資料!G459&lt;&gt;"",原始資料!H459=原始資料!G459),N(E459)+1,1))</f>
        <v/>
      </c>
      <c r="G459" s="6">
        <f>IF(OR(原始資料!$A459="",6&gt;設定!$B$3,原始資料!I459=""),"",IF(AND(原始資料!H459&lt;&gt;"",原始資料!I459=原始資料!H459),N(F459)+1,1))</f>
        <v/>
      </c>
      <c r="H459" s="6">
        <f>IF(OR(原始資料!$A459="",7&gt;設定!$B$3,原始資料!J459=""),"",IF(AND(原始資料!I459&lt;&gt;"",原始資料!J459=原始資料!I459),N(G459)+1,1))</f>
        <v/>
      </c>
      <c r="I459" s="6">
        <f>IF(OR(原始資料!$A459="",8&gt;設定!$B$3,原始資料!K459=""),"",IF(AND(原始資料!J459&lt;&gt;"",原始資料!K459=原始資料!J459),N(H459)+1,1))</f>
        <v/>
      </c>
      <c r="J459" s="6">
        <f>IF(OR(原始資料!$A459="",9&gt;設定!$B$3,原始資料!L459=""),"",IF(AND(原始資料!K459&lt;&gt;"",原始資料!L459=原始資料!K459),N(I459)+1,1))</f>
        <v/>
      </c>
      <c r="K459" s="6">
        <f>IF(OR(原始資料!$A459="",10&gt;設定!$B$3,原始資料!M459=""),"",IF(AND(原始資料!L459&lt;&gt;"",原始資料!M459=原始資料!L459),N(J459)+1,1))</f>
        <v/>
      </c>
      <c r="L459" s="6">
        <f>IF(OR(原始資料!$A459="",11&gt;設定!$B$3,原始資料!N459=""),"",IF(AND(原始資料!M459&lt;&gt;"",原始資料!N459=原始資料!M459),N(K459)+1,1))</f>
        <v/>
      </c>
      <c r="M459" s="6">
        <f>IF(OR(原始資料!$A459="",12&gt;設定!$B$3,原始資料!O459=""),"",IF(AND(原始資料!N459&lt;&gt;"",原始資料!O459=原始資料!N459),N(L459)+1,1))</f>
        <v/>
      </c>
      <c r="N459" s="6">
        <f>IF(OR(原始資料!$A459="",13&gt;設定!$B$3,原始資料!P459=""),"",IF(AND(原始資料!O459&lt;&gt;"",原始資料!P459=原始資料!O459),N(M459)+1,1))</f>
        <v/>
      </c>
      <c r="O459" s="6">
        <f>IF(OR(原始資料!$A459="",14&gt;設定!$B$3,原始資料!Q459=""),"",IF(AND(原始資料!P459&lt;&gt;"",原始資料!Q459=原始資料!P459),N(N459)+1,1))</f>
        <v/>
      </c>
      <c r="P459" s="6">
        <f>IF(OR(原始資料!$A459="",15&gt;設定!$B$3,原始資料!R459=""),"",IF(AND(原始資料!Q459&lt;&gt;"",原始資料!R459=原始資料!Q459),N(O459)+1,1))</f>
        <v/>
      </c>
      <c r="Q459" s="6">
        <f>IF(OR(原始資料!$A459="",16&gt;設定!$B$3,原始資料!S459=""),"",IF(AND(原始資料!R459&lt;&gt;"",原始資料!S459=原始資料!R459),N(P459)+1,1))</f>
        <v/>
      </c>
      <c r="R459" s="6">
        <f>IF(OR(原始資料!$A459="",17&gt;設定!$B$3,原始資料!T459=""),"",IF(AND(原始資料!S459&lt;&gt;"",原始資料!T459=原始資料!S459),N(Q459)+1,1))</f>
        <v/>
      </c>
      <c r="S459" s="6">
        <f>IF(OR(原始資料!$A459="",18&gt;設定!$B$3,原始資料!U459=""),"",IF(AND(原始資料!T459&lt;&gt;"",原始資料!U459=原始資料!T459),N(R459)+1,1))</f>
        <v/>
      </c>
      <c r="T459" s="6">
        <f>IF(OR(原始資料!$A459="",19&gt;設定!$B$3,原始資料!V459=""),"",IF(AND(原始資料!U459&lt;&gt;"",原始資料!V459=原始資料!U459),N(S459)+1,1))</f>
        <v/>
      </c>
      <c r="U459" s="6">
        <f>IF(OR(原始資料!$A459="",20&gt;設定!$B$3,原始資料!W459=""),"",IF(AND(原始資料!V459&lt;&gt;"",原始資料!W459=原始資料!V459),N(T459)+1,1))</f>
        <v/>
      </c>
      <c r="V459" s="6">
        <f>IF(OR(原始資料!$A459="",21&gt;設定!$B$3,原始資料!X459=""),"",IF(AND(原始資料!W459&lt;&gt;"",原始資料!X459=原始資料!W459),N(U459)+1,1))</f>
        <v/>
      </c>
      <c r="W459" s="6">
        <f>IF(OR(原始資料!$A459="",22&gt;設定!$B$3,原始資料!Y459=""),"",IF(AND(原始資料!X459&lt;&gt;"",原始資料!Y459=原始資料!X459),N(V459)+1,1))</f>
        <v/>
      </c>
      <c r="X459" s="6">
        <f>IF(OR(原始資料!$A459="",23&gt;設定!$B$3,原始資料!Z459=""),"",IF(AND(原始資料!Y459&lt;&gt;"",原始資料!Z459=原始資料!Y459),N(W459)+1,1))</f>
        <v/>
      </c>
      <c r="Y459" s="6">
        <f>IF(OR(原始資料!$A459="",24&gt;設定!$B$3,原始資料!AA459=""),"",IF(AND(原始資料!Z459&lt;&gt;"",原始資料!AA459=原始資料!Z459),N(X459)+1,1))</f>
        <v/>
      </c>
      <c r="Z459" s="6">
        <f>IF(OR(原始資料!$A459="",25&gt;設定!$B$3,原始資料!AB459=""),"",IF(AND(原始資料!AA459&lt;&gt;"",原始資料!AB459=原始資料!AA459),N(Y459)+1,1))</f>
        <v/>
      </c>
      <c r="AA459" s="6">
        <f>IF(OR(原始資料!$A459="",26&gt;設定!$B$3,原始資料!AC459=""),"",IF(AND(原始資料!AB459&lt;&gt;"",原始資料!AC459=原始資料!AB459),N(Z459)+1,1))</f>
        <v/>
      </c>
      <c r="AB459" s="6">
        <f>IF(OR(原始資料!$A459="",27&gt;設定!$B$3,原始資料!AD459=""),"",IF(AND(原始資料!AC459&lt;&gt;"",原始資料!AD459=原始資料!AC459),N(AA459)+1,1))</f>
        <v/>
      </c>
      <c r="AC459" s="6">
        <f>IF(OR(原始資料!$A459="",28&gt;設定!$B$3,原始資料!AE459=""),"",IF(AND(原始資料!AD459&lt;&gt;"",原始資料!AE459=原始資料!AD459),N(AB459)+1,1))</f>
        <v/>
      </c>
      <c r="AD459" s="6">
        <f>IF(OR(原始資料!$A459="",29&gt;設定!$B$3,原始資料!AF459=""),"",IF(AND(原始資料!AE459&lt;&gt;"",原始資料!AF459=原始資料!AE459),N(AC459)+1,1))</f>
        <v/>
      </c>
      <c r="AE459" s="6">
        <f>IF(OR(原始資料!$A459="",30&gt;設定!$B$3,原始資料!AG459=""),"",IF(AND(原始資料!AF459&lt;&gt;"",原始資料!AG459=原始資料!AF459),N(AD459)+1,1))</f>
        <v/>
      </c>
      <c r="AF459" s="6">
        <f>IF(OR(原始資料!$A459="",31&gt;設定!$B$3,原始資料!AH459=""),"",IF(AND(原始資料!AG459&lt;&gt;"",原始資料!AH459=原始資料!AG459),N(AE459)+1,1))</f>
        <v/>
      </c>
      <c r="AG459" s="6">
        <f>IF(OR(原始資料!$A459="",32&gt;設定!$B$3,原始資料!AI459=""),"",IF(AND(原始資料!AH459&lt;&gt;"",原始資料!AI459=原始資料!AH459),N(AF459)+1,1))</f>
        <v/>
      </c>
      <c r="AH459" s="6">
        <f>IF(OR(原始資料!$A459="",33&gt;設定!$B$3,原始資料!AJ459=""),"",IF(AND(原始資料!AI459&lt;&gt;"",原始資料!AJ459=原始資料!AI459),N(AG459)+1,1))</f>
        <v/>
      </c>
      <c r="AI459" s="6">
        <f>IF(OR(原始資料!$A459="",34&gt;設定!$B$3,原始資料!AK459=""),"",IF(AND(原始資料!AJ459&lt;&gt;"",原始資料!AK459=原始資料!AJ459),N(AH459)+1,1))</f>
        <v/>
      </c>
      <c r="AJ459" s="6">
        <f>IF(OR(原始資料!$A459="",35&gt;設定!$B$3,原始資料!AL459=""),"",IF(AND(原始資料!AK459&lt;&gt;"",原始資料!AL459=原始資料!AK459),N(AI459)+1,1))</f>
        <v/>
      </c>
      <c r="AK459" s="6">
        <f>IF(OR(原始資料!$A459="",36&gt;設定!$B$3,原始資料!AM459=""),"",IF(AND(原始資料!AL459&lt;&gt;"",原始資料!AM459=原始資料!AL459),N(AJ459)+1,1))</f>
        <v/>
      </c>
      <c r="AL459" s="6">
        <f>IF(OR(原始資料!$A459="",37&gt;設定!$B$3,原始資料!AN459=""),"",IF(AND(原始資料!AM459&lt;&gt;"",原始資料!AN459=原始資料!AM459),N(AK459)+1,1))</f>
        <v/>
      </c>
      <c r="AM459" s="6">
        <f>IF(OR(原始資料!$A459="",38&gt;設定!$B$3,原始資料!AO459=""),"",IF(AND(原始資料!AN459&lt;&gt;"",原始資料!AO459=原始資料!AN459),N(AL459)+1,1))</f>
        <v/>
      </c>
      <c r="AN459" s="6">
        <f>IF(OR(原始資料!$A459="",39&gt;設定!$B$3,原始資料!AP459=""),"",IF(AND(原始資料!AO459&lt;&gt;"",原始資料!AP459=原始資料!AO459),N(AM459)+1,1))</f>
        <v/>
      </c>
      <c r="AO459" s="6">
        <f>IF(OR(原始資料!$A459="",40&gt;設定!$B$3,原始資料!AQ459=""),"",IF(AND(原始資料!AP459&lt;&gt;"",原始資料!AQ459=原始資料!AP459),N(AN459)+1,1))</f>
        <v/>
      </c>
      <c r="AP459" s="6">
        <f>IF(OR(原始資料!$A459="",41&gt;設定!$B$3,原始資料!AR459=""),"",IF(AND(原始資料!AQ459&lt;&gt;"",原始資料!AR459=原始資料!AQ459),N(AO459)+1,1))</f>
        <v/>
      </c>
      <c r="AQ459" s="6">
        <f>IF(OR(原始資料!$A459="",42&gt;設定!$B$3,原始資料!AS459=""),"",IF(AND(原始資料!AR459&lt;&gt;"",原始資料!AS459=原始資料!AR459),N(AP459)+1,1))</f>
        <v/>
      </c>
      <c r="AR459" s="6">
        <f>IF(OR(原始資料!$A459="",43&gt;設定!$B$3,原始資料!AT459=""),"",IF(AND(原始資料!AS459&lt;&gt;"",原始資料!AT459=原始資料!AS459),N(AQ459)+1,1))</f>
        <v/>
      </c>
      <c r="AS459" s="6">
        <f>IF(OR(原始資料!$A459="",44&gt;設定!$B$3,原始資料!AU459=""),"",IF(AND(原始資料!AT459&lt;&gt;"",原始資料!AU459=原始資料!AT459),N(AR459)+1,1))</f>
        <v/>
      </c>
      <c r="AT459" s="6">
        <f>IF(OR(原始資料!$A459="",45&gt;設定!$B$3,原始資料!AV459=""),"",IF(AND(原始資料!AU459&lt;&gt;"",原始資料!AV459=原始資料!AU459),N(AS459)+1,1))</f>
        <v/>
      </c>
      <c r="AU459" s="6">
        <f>IF(OR(原始資料!$A459="",46&gt;設定!$B$3,原始資料!AW459=""),"",IF(AND(原始資料!AV459&lt;&gt;"",原始資料!AW459=原始資料!AV459),N(AT459)+1,1))</f>
        <v/>
      </c>
      <c r="AV459" s="6">
        <f>IF(OR(原始資料!$A459="",47&gt;設定!$B$3,原始資料!AX459=""),"",IF(AND(原始資料!AW459&lt;&gt;"",原始資料!AX459=原始資料!AW459),N(AU459)+1,1))</f>
        <v/>
      </c>
      <c r="AW459" s="6">
        <f>IF(OR(原始資料!$A459="",48&gt;設定!$B$3,原始資料!AY459=""),"",IF(AND(原始資料!AX459&lt;&gt;"",原始資料!AY459=原始資料!AX459),N(AV459)+1,1))</f>
        <v/>
      </c>
      <c r="AX459" s="6">
        <f>IF(OR(原始資料!$A459="",49&gt;設定!$B$3,原始資料!AZ459=""),"",IF(AND(原始資料!AY459&lt;&gt;"",原始資料!AZ459=原始資料!AY459),N(AW459)+1,1))</f>
        <v/>
      </c>
      <c r="AY459" s="6">
        <f>IF(OR(原始資料!$A459="",50&gt;設定!$B$3,原始資料!BA459=""),"",IF(AND(原始資料!AZ459&lt;&gt;"",原始資料!BA459=原始資料!AZ459),N(AX459)+1,1))</f>
        <v/>
      </c>
      <c r="AZ459" s="6">
        <f>IF(OR(原始資料!$A459="",51&gt;設定!$B$3,原始資料!BB459=""),"",IF(AND(原始資料!BA459&lt;&gt;"",原始資料!BB459=原始資料!BA459),N(AY459)+1,1))</f>
        <v/>
      </c>
      <c r="BA459" s="6">
        <f>IF(OR(原始資料!$A459="",52&gt;設定!$B$3,原始資料!BC459=""),"",IF(AND(原始資料!BB459&lt;&gt;"",原始資料!BC459=原始資料!BB459),N(AZ459)+1,1))</f>
        <v/>
      </c>
      <c r="BB459" s="6">
        <f>IF(OR(原始資料!$A459="",53&gt;設定!$B$3,原始資料!BD459=""),"",IF(AND(原始資料!BC459&lt;&gt;"",原始資料!BD459=原始資料!BC459),N(BA459)+1,1))</f>
        <v/>
      </c>
      <c r="BC459" s="6">
        <f>IF(OR(原始資料!$A459="",54&gt;設定!$B$3,原始資料!BE459=""),"",IF(AND(原始資料!BD459&lt;&gt;"",原始資料!BE459=原始資料!BD459),N(BB459)+1,1))</f>
        <v/>
      </c>
      <c r="BD459" s="6">
        <f>IF(OR(原始資料!$A459="",55&gt;設定!$B$3,原始資料!BF459=""),"",IF(AND(原始資料!BE459&lt;&gt;"",原始資料!BF459=原始資料!BE459),N(BC459)+1,1))</f>
        <v/>
      </c>
      <c r="BE459" s="6">
        <f>IF(OR(原始資料!$A459="",56&gt;設定!$B$3,原始資料!BG459=""),"",IF(AND(原始資料!BF459&lt;&gt;"",原始資料!BG459=原始資料!BF459),N(BD459)+1,1))</f>
        <v/>
      </c>
      <c r="BF459" s="6">
        <f>IF(OR(原始資料!$A459="",57&gt;設定!$B$3,原始資料!BH459=""),"",IF(AND(原始資料!BG459&lt;&gt;"",原始資料!BH459=原始資料!BG459),N(BE459)+1,1))</f>
        <v/>
      </c>
      <c r="BG459" s="6">
        <f>IF(OR(原始資料!$A459="",58&gt;設定!$B$3,原始資料!BI459=""),"",IF(AND(原始資料!BH459&lt;&gt;"",原始資料!BI459=原始資料!BH459),N(BF459)+1,1))</f>
        <v/>
      </c>
      <c r="BH459" s="6">
        <f>IF(OR(原始資料!$A459="",59&gt;設定!$B$3,原始資料!BJ459=""),"",IF(AND(原始資料!BI459&lt;&gt;"",原始資料!BJ459=原始資料!BI459),N(BG459)+1,1))</f>
        <v/>
      </c>
      <c r="BI459" s="6">
        <f>IF(OR(原始資料!$A459="",60&gt;設定!$B$3,原始資料!BK459=""),"",IF(AND(原始資料!BJ459&lt;&gt;"",原始資料!BK459=原始資料!BJ459),N(BH459)+1,1))</f>
        <v/>
      </c>
    </row>
    <row r="460">
      <c r="A460" s="6">
        <f>IF(原始資料!$A460="","",原始資料!$A460)</f>
        <v/>
      </c>
      <c r="B460" s="6">
        <f>IF(OR(原始資料!$A460="",1&gt;設定!$B$3,原始資料!D460=""),"",1)</f>
        <v/>
      </c>
      <c r="C460" s="6">
        <f>IF(OR(原始資料!$A460="",2&gt;設定!$B$3,原始資料!E460=""),"",IF(AND(原始資料!D460&lt;&gt;"",原始資料!E460=原始資料!D460),N(B460)+1,1))</f>
        <v/>
      </c>
      <c r="D460" s="6">
        <f>IF(OR(原始資料!$A460="",3&gt;設定!$B$3,原始資料!F460=""),"",IF(AND(原始資料!E460&lt;&gt;"",原始資料!F460=原始資料!E460),N(C460)+1,1))</f>
        <v/>
      </c>
      <c r="E460" s="6">
        <f>IF(OR(原始資料!$A460="",4&gt;設定!$B$3,原始資料!G460=""),"",IF(AND(原始資料!F460&lt;&gt;"",原始資料!G460=原始資料!F460),N(D460)+1,1))</f>
        <v/>
      </c>
      <c r="F460" s="6">
        <f>IF(OR(原始資料!$A460="",5&gt;設定!$B$3,原始資料!H460=""),"",IF(AND(原始資料!G460&lt;&gt;"",原始資料!H460=原始資料!G460),N(E460)+1,1))</f>
        <v/>
      </c>
      <c r="G460" s="6">
        <f>IF(OR(原始資料!$A460="",6&gt;設定!$B$3,原始資料!I460=""),"",IF(AND(原始資料!H460&lt;&gt;"",原始資料!I460=原始資料!H460),N(F460)+1,1))</f>
        <v/>
      </c>
      <c r="H460" s="6">
        <f>IF(OR(原始資料!$A460="",7&gt;設定!$B$3,原始資料!J460=""),"",IF(AND(原始資料!I460&lt;&gt;"",原始資料!J460=原始資料!I460),N(G460)+1,1))</f>
        <v/>
      </c>
      <c r="I460" s="6">
        <f>IF(OR(原始資料!$A460="",8&gt;設定!$B$3,原始資料!K460=""),"",IF(AND(原始資料!J460&lt;&gt;"",原始資料!K460=原始資料!J460),N(H460)+1,1))</f>
        <v/>
      </c>
      <c r="J460" s="6">
        <f>IF(OR(原始資料!$A460="",9&gt;設定!$B$3,原始資料!L460=""),"",IF(AND(原始資料!K460&lt;&gt;"",原始資料!L460=原始資料!K460),N(I460)+1,1))</f>
        <v/>
      </c>
      <c r="K460" s="6">
        <f>IF(OR(原始資料!$A460="",10&gt;設定!$B$3,原始資料!M460=""),"",IF(AND(原始資料!L460&lt;&gt;"",原始資料!M460=原始資料!L460),N(J460)+1,1))</f>
        <v/>
      </c>
      <c r="L460" s="6">
        <f>IF(OR(原始資料!$A460="",11&gt;設定!$B$3,原始資料!N460=""),"",IF(AND(原始資料!M460&lt;&gt;"",原始資料!N460=原始資料!M460),N(K460)+1,1))</f>
        <v/>
      </c>
      <c r="M460" s="6">
        <f>IF(OR(原始資料!$A460="",12&gt;設定!$B$3,原始資料!O460=""),"",IF(AND(原始資料!N460&lt;&gt;"",原始資料!O460=原始資料!N460),N(L460)+1,1))</f>
        <v/>
      </c>
      <c r="N460" s="6">
        <f>IF(OR(原始資料!$A460="",13&gt;設定!$B$3,原始資料!P460=""),"",IF(AND(原始資料!O460&lt;&gt;"",原始資料!P460=原始資料!O460),N(M460)+1,1))</f>
        <v/>
      </c>
      <c r="O460" s="6">
        <f>IF(OR(原始資料!$A460="",14&gt;設定!$B$3,原始資料!Q460=""),"",IF(AND(原始資料!P460&lt;&gt;"",原始資料!Q460=原始資料!P460),N(N460)+1,1))</f>
        <v/>
      </c>
      <c r="P460" s="6">
        <f>IF(OR(原始資料!$A460="",15&gt;設定!$B$3,原始資料!R460=""),"",IF(AND(原始資料!Q460&lt;&gt;"",原始資料!R460=原始資料!Q460),N(O460)+1,1))</f>
        <v/>
      </c>
      <c r="Q460" s="6">
        <f>IF(OR(原始資料!$A460="",16&gt;設定!$B$3,原始資料!S460=""),"",IF(AND(原始資料!R460&lt;&gt;"",原始資料!S460=原始資料!R460),N(P460)+1,1))</f>
        <v/>
      </c>
      <c r="R460" s="6">
        <f>IF(OR(原始資料!$A460="",17&gt;設定!$B$3,原始資料!T460=""),"",IF(AND(原始資料!S460&lt;&gt;"",原始資料!T460=原始資料!S460),N(Q460)+1,1))</f>
        <v/>
      </c>
      <c r="S460" s="6">
        <f>IF(OR(原始資料!$A460="",18&gt;設定!$B$3,原始資料!U460=""),"",IF(AND(原始資料!T460&lt;&gt;"",原始資料!U460=原始資料!T460),N(R460)+1,1))</f>
        <v/>
      </c>
      <c r="T460" s="6">
        <f>IF(OR(原始資料!$A460="",19&gt;設定!$B$3,原始資料!V460=""),"",IF(AND(原始資料!U460&lt;&gt;"",原始資料!V460=原始資料!U460),N(S460)+1,1))</f>
        <v/>
      </c>
      <c r="U460" s="6">
        <f>IF(OR(原始資料!$A460="",20&gt;設定!$B$3,原始資料!W460=""),"",IF(AND(原始資料!V460&lt;&gt;"",原始資料!W460=原始資料!V460),N(T460)+1,1))</f>
        <v/>
      </c>
      <c r="V460" s="6">
        <f>IF(OR(原始資料!$A460="",21&gt;設定!$B$3,原始資料!X460=""),"",IF(AND(原始資料!W460&lt;&gt;"",原始資料!X460=原始資料!W460),N(U460)+1,1))</f>
        <v/>
      </c>
      <c r="W460" s="6">
        <f>IF(OR(原始資料!$A460="",22&gt;設定!$B$3,原始資料!Y460=""),"",IF(AND(原始資料!X460&lt;&gt;"",原始資料!Y460=原始資料!X460),N(V460)+1,1))</f>
        <v/>
      </c>
      <c r="X460" s="6">
        <f>IF(OR(原始資料!$A460="",23&gt;設定!$B$3,原始資料!Z460=""),"",IF(AND(原始資料!Y460&lt;&gt;"",原始資料!Z460=原始資料!Y460),N(W460)+1,1))</f>
        <v/>
      </c>
      <c r="Y460" s="6">
        <f>IF(OR(原始資料!$A460="",24&gt;設定!$B$3,原始資料!AA460=""),"",IF(AND(原始資料!Z460&lt;&gt;"",原始資料!AA460=原始資料!Z460),N(X460)+1,1))</f>
        <v/>
      </c>
      <c r="Z460" s="6">
        <f>IF(OR(原始資料!$A460="",25&gt;設定!$B$3,原始資料!AB460=""),"",IF(AND(原始資料!AA460&lt;&gt;"",原始資料!AB460=原始資料!AA460),N(Y460)+1,1))</f>
        <v/>
      </c>
      <c r="AA460" s="6">
        <f>IF(OR(原始資料!$A460="",26&gt;設定!$B$3,原始資料!AC460=""),"",IF(AND(原始資料!AB460&lt;&gt;"",原始資料!AC460=原始資料!AB460),N(Z460)+1,1))</f>
        <v/>
      </c>
      <c r="AB460" s="6">
        <f>IF(OR(原始資料!$A460="",27&gt;設定!$B$3,原始資料!AD460=""),"",IF(AND(原始資料!AC460&lt;&gt;"",原始資料!AD460=原始資料!AC460),N(AA460)+1,1))</f>
        <v/>
      </c>
      <c r="AC460" s="6">
        <f>IF(OR(原始資料!$A460="",28&gt;設定!$B$3,原始資料!AE460=""),"",IF(AND(原始資料!AD460&lt;&gt;"",原始資料!AE460=原始資料!AD460),N(AB460)+1,1))</f>
        <v/>
      </c>
      <c r="AD460" s="6">
        <f>IF(OR(原始資料!$A460="",29&gt;設定!$B$3,原始資料!AF460=""),"",IF(AND(原始資料!AE460&lt;&gt;"",原始資料!AF460=原始資料!AE460),N(AC460)+1,1))</f>
        <v/>
      </c>
      <c r="AE460" s="6">
        <f>IF(OR(原始資料!$A460="",30&gt;設定!$B$3,原始資料!AG460=""),"",IF(AND(原始資料!AF460&lt;&gt;"",原始資料!AG460=原始資料!AF460),N(AD460)+1,1))</f>
        <v/>
      </c>
      <c r="AF460" s="6">
        <f>IF(OR(原始資料!$A460="",31&gt;設定!$B$3,原始資料!AH460=""),"",IF(AND(原始資料!AG460&lt;&gt;"",原始資料!AH460=原始資料!AG460),N(AE460)+1,1))</f>
        <v/>
      </c>
      <c r="AG460" s="6">
        <f>IF(OR(原始資料!$A460="",32&gt;設定!$B$3,原始資料!AI460=""),"",IF(AND(原始資料!AH460&lt;&gt;"",原始資料!AI460=原始資料!AH460),N(AF460)+1,1))</f>
        <v/>
      </c>
      <c r="AH460" s="6">
        <f>IF(OR(原始資料!$A460="",33&gt;設定!$B$3,原始資料!AJ460=""),"",IF(AND(原始資料!AI460&lt;&gt;"",原始資料!AJ460=原始資料!AI460),N(AG460)+1,1))</f>
        <v/>
      </c>
      <c r="AI460" s="6">
        <f>IF(OR(原始資料!$A460="",34&gt;設定!$B$3,原始資料!AK460=""),"",IF(AND(原始資料!AJ460&lt;&gt;"",原始資料!AK460=原始資料!AJ460),N(AH460)+1,1))</f>
        <v/>
      </c>
      <c r="AJ460" s="6">
        <f>IF(OR(原始資料!$A460="",35&gt;設定!$B$3,原始資料!AL460=""),"",IF(AND(原始資料!AK460&lt;&gt;"",原始資料!AL460=原始資料!AK460),N(AI460)+1,1))</f>
        <v/>
      </c>
      <c r="AK460" s="6">
        <f>IF(OR(原始資料!$A460="",36&gt;設定!$B$3,原始資料!AM460=""),"",IF(AND(原始資料!AL460&lt;&gt;"",原始資料!AM460=原始資料!AL460),N(AJ460)+1,1))</f>
        <v/>
      </c>
      <c r="AL460" s="6">
        <f>IF(OR(原始資料!$A460="",37&gt;設定!$B$3,原始資料!AN460=""),"",IF(AND(原始資料!AM460&lt;&gt;"",原始資料!AN460=原始資料!AM460),N(AK460)+1,1))</f>
        <v/>
      </c>
      <c r="AM460" s="6">
        <f>IF(OR(原始資料!$A460="",38&gt;設定!$B$3,原始資料!AO460=""),"",IF(AND(原始資料!AN460&lt;&gt;"",原始資料!AO460=原始資料!AN460),N(AL460)+1,1))</f>
        <v/>
      </c>
      <c r="AN460" s="6">
        <f>IF(OR(原始資料!$A460="",39&gt;設定!$B$3,原始資料!AP460=""),"",IF(AND(原始資料!AO460&lt;&gt;"",原始資料!AP460=原始資料!AO460),N(AM460)+1,1))</f>
        <v/>
      </c>
      <c r="AO460" s="6">
        <f>IF(OR(原始資料!$A460="",40&gt;設定!$B$3,原始資料!AQ460=""),"",IF(AND(原始資料!AP460&lt;&gt;"",原始資料!AQ460=原始資料!AP460),N(AN460)+1,1))</f>
        <v/>
      </c>
      <c r="AP460" s="6">
        <f>IF(OR(原始資料!$A460="",41&gt;設定!$B$3,原始資料!AR460=""),"",IF(AND(原始資料!AQ460&lt;&gt;"",原始資料!AR460=原始資料!AQ460),N(AO460)+1,1))</f>
        <v/>
      </c>
      <c r="AQ460" s="6">
        <f>IF(OR(原始資料!$A460="",42&gt;設定!$B$3,原始資料!AS460=""),"",IF(AND(原始資料!AR460&lt;&gt;"",原始資料!AS460=原始資料!AR460),N(AP460)+1,1))</f>
        <v/>
      </c>
      <c r="AR460" s="6">
        <f>IF(OR(原始資料!$A460="",43&gt;設定!$B$3,原始資料!AT460=""),"",IF(AND(原始資料!AS460&lt;&gt;"",原始資料!AT460=原始資料!AS460),N(AQ460)+1,1))</f>
        <v/>
      </c>
      <c r="AS460" s="6">
        <f>IF(OR(原始資料!$A460="",44&gt;設定!$B$3,原始資料!AU460=""),"",IF(AND(原始資料!AT460&lt;&gt;"",原始資料!AU460=原始資料!AT460),N(AR460)+1,1))</f>
        <v/>
      </c>
      <c r="AT460" s="6">
        <f>IF(OR(原始資料!$A460="",45&gt;設定!$B$3,原始資料!AV460=""),"",IF(AND(原始資料!AU460&lt;&gt;"",原始資料!AV460=原始資料!AU460),N(AS460)+1,1))</f>
        <v/>
      </c>
      <c r="AU460" s="6">
        <f>IF(OR(原始資料!$A460="",46&gt;設定!$B$3,原始資料!AW460=""),"",IF(AND(原始資料!AV460&lt;&gt;"",原始資料!AW460=原始資料!AV460),N(AT460)+1,1))</f>
        <v/>
      </c>
      <c r="AV460" s="6">
        <f>IF(OR(原始資料!$A460="",47&gt;設定!$B$3,原始資料!AX460=""),"",IF(AND(原始資料!AW460&lt;&gt;"",原始資料!AX460=原始資料!AW460),N(AU460)+1,1))</f>
        <v/>
      </c>
      <c r="AW460" s="6">
        <f>IF(OR(原始資料!$A460="",48&gt;設定!$B$3,原始資料!AY460=""),"",IF(AND(原始資料!AX460&lt;&gt;"",原始資料!AY460=原始資料!AX460),N(AV460)+1,1))</f>
        <v/>
      </c>
      <c r="AX460" s="6">
        <f>IF(OR(原始資料!$A460="",49&gt;設定!$B$3,原始資料!AZ460=""),"",IF(AND(原始資料!AY460&lt;&gt;"",原始資料!AZ460=原始資料!AY460),N(AW460)+1,1))</f>
        <v/>
      </c>
      <c r="AY460" s="6">
        <f>IF(OR(原始資料!$A460="",50&gt;設定!$B$3,原始資料!BA460=""),"",IF(AND(原始資料!AZ460&lt;&gt;"",原始資料!BA460=原始資料!AZ460),N(AX460)+1,1))</f>
        <v/>
      </c>
      <c r="AZ460" s="6">
        <f>IF(OR(原始資料!$A460="",51&gt;設定!$B$3,原始資料!BB460=""),"",IF(AND(原始資料!BA460&lt;&gt;"",原始資料!BB460=原始資料!BA460),N(AY460)+1,1))</f>
        <v/>
      </c>
      <c r="BA460" s="6">
        <f>IF(OR(原始資料!$A460="",52&gt;設定!$B$3,原始資料!BC460=""),"",IF(AND(原始資料!BB460&lt;&gt;"",原始資料!BC460=原始資料!BB460),N(AZ460)+1,1))</f>
        <v/>
      </c>
      <c r="BB460" s="6">
        <f>IF(OR(原始資料!$A460="",53&gt;設定!$B$3,原始資料!BD460=""),"",IF(AND(原始資料!BC460&lt;&gt;"",原始資料!BD460=原始資料!BC460),N(BA460)+1,1))</f>
        <v/>
      </c>
      <c r="BC460" s="6">
        <f>IF(OR(原始資料!$A460="",54&gt;設定!$B$3,原始資料!BE460=""),"",IF(AND(原始資料!BD460&lt;&gt;"",原始資料!BE460=原始資料!BD460),N(BB460)+1,1))</f>
        <v/>
      </c>
      <c r="BD460" s="6">
        <f>IF(OR(原始資料!$A460="",55&gt;設定!$B$3,原始資料!BF460=""),"",IF(AND(原始資料!BE460&lt;&gt;"",原始資料!BF460=原始資料!BE460),N(BC460)+1,1))</f>
        <v/>
      </c>
      <c r="BE460" s="6">
        <f>IF(OR(原始資料!$A460="",56&gt;設定!$B$3,原始資料!BG460=""),"",IF(AND(原始資料!BF460&lt;&gt;"",原始資料!BG460=原始資料!BF460),N(BD460)+1,1))</f>
        <v/>
      </c>
      <c r="BF460" s="6">
        <f>IF(OR(原始資料!$A460="",57&gt;設定!$B$3,原始資料!BH460=""),"",IF(AND(原始資料!BG460&lt;&gt;"",原始資料!BH460=原始資料!BG460),N(BE460)+1,1))</f>
        <v/>
      </c>
      <c r="BG460" s="6">
        <f>IF(OR(原始資料!$A460="",58&gt;設定!$B$3,原始資料!BI460=""),"",IF(AND(原始資料!BH460&lt;&gt;"",原始資料!BI460=原始資料!BH460),N(BF460)+1,1))</f>
        <v/>
      </c>
      <c r="BH460" s="6">
        <f>IF(OR(原始資料!$A460="",59&gt;設定!$B$3,原始資料!BJ460=""),"",IF(AND(原始資料!BI460&lt;&gt;"",原始資料!BJ460=原始資料!BI460),N(BG460)+1,1))</f>
        <v/>
      </c>
      <c r="BI460" s="6">
        <f>IF(OR(原始資料!$A460="",60&gt;設定!$B$3,原始資料!BK460=""),"",IF(AND(原始資料!BJ460&lt;&gt;"",原始資料!BK460=原始資料!BJ460),N(BH460)+1,1))</f>
        <v/>
      </c>
    </row>
    <row r="461">
      <c r="A461" s="6">
        <f>IF(原始資料!$A461="","",原始資料!$A461)</f>
        <v/>
      </c>
      <c r="B461" s="6">
        <f>IF(OR(原始資料!$A461="",1&gt;設定!$B$3,原始資料!D461=""),"",1)</f>
        <v/>
      </c>
      <c r="C461" s="6">
        <f>IF(OR(原始資料!$A461="",2&gt;設定!$B$3,原始資料!E461=""),"",IF(AND(原始資料!D461&lt;&gt;"",原始資料!E461=原始資料!D461),N(B461)+1,1))</f>
        <v/>
      </c>
      <c r="D461" s="6">
        <f>IF(OR(原始資料!$A461="",3&gt;設定!$B$3,原始資料!F461=""),"",IF(AND(原始資料!E461&lt;&gt;"",原始資料!F461=原始資料!E461),N(C461)+1,1))</f>
        <v/>
      </c>
      <c r="E461" s="6">
        <f>IF(OR(原始資料!$A461="",4&gt;設定!$B$3,原始資料!G461=""),"",IF(AND(原始資料!F461&lt;&gt;"",原始資料!G461=原始資料!F461),N(D461)+1,1))</f>
        <v/>
      </c>
      <c r="F461" s="6">
        <f>IF(OR(原始資料!$A461="",5&gt;設定!$B$3,原始資料!H461=""),"",IF(AND(原始資料!G461&lt;&gt;"",原始資料!H461=原始資料!G461),N(E461)+1,1))</f>
        <v/>
      </c>
      <c r="G461" s="6">
        <f>IF(OR(原始資料!$A461="",6&gt;設定!$B$3,原始資料!I461=""),"",IF(AND(原始資料!H461&lt;&gt;"",原始資料!I461=原始資料!H461),N(F461)+1,1))</f>
        <v/>
      </c>
      <c r="H461" s="6">
        <f>IF(OR(原始資料!$A461="",7&gt;設定!$B$3,原始資料!J461=""),"",IF(AND(原始資料!I461&lt;&gt;"",原始資料!J461=原始資料!I461),N(G461)+1,1))</f>
        <v/>
      </c>
      <c r="I461" s="6">
        <f>IF(OR(原始資料!$A461="",8&gt;設定!$B$3,原始資料!K461=""),"",IF(AND(原始資料!J461&lt;&gt;"",原始資料!K461=原始資料!J461),N(H461)+1,1))</f>
        <v/>
      </c>
      <c r="J461" s="6">
        <f>IF(OR(原始資料!$A461="",9&gt;設定!$B$3,原始資料!L461=""),"",IF(AND(原始資料!K461&lt;&gt;"",原始資料!L461=原始資料!K461),N(I461)+1,1))</f>
        <v/>
      </c>
      <c r="K461" s="6">
        <f>IF(OR(原始資料!$A461="",10&gt;設定!$B$3,原始資料!M461=""),"",IF(AND(原始資料!L461&lt;&gt;"",原始資料!M461=原始資料!L461),N(J461)+1,1))</f>
        <v/>
      </c>
      <c r="L461" s="6">
        <f>IF(OR(原始資料!$A461="",11&gt;設定!$B$3,原始資料!N461=""),"",IF(AND(原始資料!M461&lt;&gt;"",原始資料!N461=原始資料!M461),N(K461)+1,1))</f>
        <v/>
      </c>
      <c r="M461" s="6">
        <f>IF(OR(原始資料!$A461="",12&gt;設定!$B$3,原始資料!O461=""),"",IF(AND(原始資料!N461&lt;&gt;"",原始資料!O461=原始資料!N461),N(L461)+1,1))</f>
        <v/>
      </c>
      <c r="N461" s="6">
        <f>IF(OR(原始資料!$A461="",13&gt;設定!$B$3,原始資料!P461=""),"",IF(AND(原始資料!O461&lt;&gt;"",原始資料!P461=原始資料!O461),N(M461)+1,1))</f>
        <v/>
      </c>
      <c r="O461" s="6">
        <f>IF(OR(原始資料!$A461="",14&gt;設定!$B$3,原始資料!Q461=""),"",IF(AND(原始資料!P461&lt;&gt;"",原始資料!Q461=原始資料!P461),N(N461)+1,1))</f>
        <v/>
      </c>
      <c r="P461" s="6">
        <f>IF(OR(原始資料!$A461="",15&gt;設定!$B$3,原始資料!R461=""),"",IF(AND(原始資料!Q461&lt;&gt;"",原始資料!R461=原始資料!Q461),N(O461)+1,1))</f>
        <v/>
      </c>
      <c r="Q461" s="6">
        <f>IF(OR(原始資料!$A461="",16&gt;設定!$B$3,原始資料!S461=""),"",IF(AND(原始資料!R461&lt;&gt;"",原始資料!S461=原始資料!R461),N(P461)+1,1))</f>
        <v/>
      </c>
      <c r="R461" s="6">
        <f>IF(OR(原始資料!$A461="",17&gt;設定!$B$3,原始資料!T461=""),"",IF(AND(原始資料!S461&lt;&gt;"",原始資料!T461=原始資料!S461),N(Q461)+1,1))</f>
        <v/>
      </c>
      <c r="S461" s="6">
        <f>IF(OR(原始資料!$A461="",18&gt;設定!$B$3,原始資料!U461=""),"",IF(AND(原始資料!T461&lt;&gt;"",原始資料!U461=原始資料!T461),N(R461)+1,1))</f>
        <v/>
      </c>
      <c r="T461" s="6">
        <f>IF(OR(原始資料!$A461="",19&gt;設定!$B$3,原始資料!V461=""),"",IF(AND(原始資料!U461&lt;&gt;"",原始資料!V461=原始資料!U461),N(S461)+1,1))</f>
        <v/>
      </c>
      <c r="U461" s="6">
        <f>IF(OR(原始資料!$A461="",20&gt;設定!$B$3,原始資料!W461=""),"",IF(AND(原始資料!V461&lt;&gt;"",原始資料!W461=原始資料!V461),N(T461)+1,1))</f>
        <v/>
      </c>
      <c r="V461" s="6">
        <f>IF(OR(原始資料!$A461="",21&gt;設定!$B$3,原始資料!X461=""),"",IF(AND(原始資料!W461&lt;&gt;"",原始資料!X461=原始資料!W461),N(U461)+1,1))</f>
        <v/>
      </c>
      <c r="W461" s="6">
        <f>IF(OR(原始資料!$A461="",22&gt;設定!$B$3,原始資料!Y461=""),"",IF(AND(原始資料!X461&lt;&gt;"",原始資料!Y461=原始資料!X461),N(V461)+1,1))</f>
        <v/>
      </c>
      <c r="X461" s="6">
        <f>IF(OR(原始資料!$A461="",23&gt;設定!$B$3,原始資料!Z461=""),"",IF(AND(原始資料!Y461&lt;&gt;"",原始資料!Z461=原始資料!Y461),N(W461)+1,1))</f>
        <v/>
      </c>
      <c r="Y461" s="6">
        <f>IF(OR(原始資料!$A461="",24&gt;設定!$B$3,原始資料!AA461=""),"",IF(AND(原始資料!Z461&lt;&gt;"",原始資料!AA461=原始資料!Z461),N(X461)+1,1))</f>
        <v/>
      </c>
      <c r="Z461" s="6">
        <f>IF(OR(原始資料!$A461="",25&gt;設定!$B$3,原始資料!AB461=""),"",IF(AND(原始資料!AA461&lt;&gt;"",原始資料!AB461=原始資料!AA461),N(Y461)+1,1))</f>
        <v/>
      </c>
      <c r="AA461" s="6">
        <f>IF(OR(原始資料!$A461="",26&gt;設定!$B$3,原始資料!AC461=""),"",IF(AND(原始資料!AB461&lt;&gt;"",原始資料!AC461=原始資料!AB461),N(Z461)+1,1))</f>
        <v/>
      </c>
      <c r="AB461" s="6">
        <f>IF(OR(原始資料!$A461="",27&gt;設定!$B$3,原始資料!AD461=""),"",IF(AND(原始資料!AC461&lt;&gt;"",原始資料!AD461=原始資料!AC461),N(AA461)+1,1))</f>
        <v/>
      </c>
      <c r="AC461" s="6">
        <f>IF(OR(原始資料!$A461="",28&gt;設定!$B$3,原始資料!AE461=""),"",IF(AND(原始資料!AD461&lt;&gt;"",原始資料!AE461=原始資料!AD461),N(AB461)+1,1))</f>
        <v/>
      </c>
      <c r="AD461" s="6">
        <f>IF(OR(原始資料!$A461="",29&gt;設定!$B$3,原始資料!AF461=""),"",IF(AND(原始資料!AE461&lt;&gt;"",原始資料!AF461=原始資料!AE461),N(AC461)+1,1))</f>
        <v/>
      </c>
      <c r="AE461" s="6">
        <f>IF(OR(原始資料!$A461="",30&gt;設定!$B$3,原始資料!AG461=""),"",IF(AND(原始資料!AF461&lt;&gt;"",原始資料!AG461=原始資料!AF461),N(AD461)+1,1))</f>
        <v/>
      </c>
      <c r="AF461" s="6">
        <f>IF(OR(原始資料!$A461="",31&gt;設定!$B$3,原始資料!AH461=""),"",IF(AND(原始資料!AG461&lt;&gt;"",原始資料!AH461=原始資料!AG461),N(AE461)+1,1))</f>
        <v/>
      </c>
      <c r="AG461" s="6">
        <f>IF(OR(原始資料!$A461="",32&gt;設定!$B$3,原始資料!AI461=""),"",IF(AND(原始資料!AH461&lt;&gt;"",原始資料!AI461=原始資料!AH461),N(AF461)+1,1))</f>
        <v/>
      </c>
      <c r="AH461" s="6">
        <f>IF(OR(原始資料!$A461="",33&gt;設定!$B$3,原始資料!AJ461=""),"",IF(AND(原始資料!AI461&lt;&gt;"",原始資料!AJ461=原始資料!AI461),N(AG461)+1,1))</f>
        <v/>
      </c>
      <c r="AI461" s="6">
        <f>IF(OR(原始資料!$A461="",34&gt;設定!$B$3,原始資料!AK461=""),"",IF(AND(原始資料!AJ461&lt;&gt;"",原始資料!AK461=原始資料!AJ461),N(AH461)+1,1))</f>
        <v/>
      </c>
      <c r="AJ461" s="6">
        <f>IF(OR(原始資料!$A461="",35&gt;設定!$B$3,原始資料!AL461=""),"",IF(AND(原始資料!AK461&lt;&gt;"",原始資料!AL461=原始資料!AK461),N(AI461)+1,1))</f>
        <v/>
      </c>
      <c r="AK461" s="6">
        <f>IF(OR(原始資料!$A461="",36&gt;設定!$B$3,原始資料!AM461=""),"",IF(AND(原始資料!AL461&lt;&gt;"",原始資料!AM461=原始資料!AL461),N(AJ461)+1,1))</f>
        <v/>
      </c>
      <c r="AL461" s="6">
        <f>IF(OR(原始資料!$A461="",37&gt;設定!$B$3,原始資料!AN461=""),"",IF(AND(原始資料!AM461&lt;&gt;"",原始資料!AN461=原始資料!AM461),N(AK461)+1,1))</f>
        <v/>
      </c>
      <c r="AM461" s="6">
        <f>IF(OR(原始資料!$A461="",38&gt;設定!$B$3,原始資料!AO461=""),"",IF(AND(原始資料!AN461&lt;&gt;"",原始資料!AO461=原始資料!AN461),N(AL461)+1,1))</f>
        <v/>
      </c>
      <c r="AN461" s="6">
        <f>IF(OR(原始資料!$A461="",39&gt;設定!$B$3,原始資料!AP461=""),"",IF(AND(原始資料!AO461&lt;&gt;"",原始資料!AP461=原始資料!AO461),N(AM461)+1,1))</f>
        <v/>
      </c>
      <c r="AO461" s="6">
        <f>IF(OR(原始資料!$A461="",40&gt;設定!$B$3,原始資料!AQ461=""),"",IF(AND(原始資料!AP461&lt;&gt;"",原始資料!AQ461=原始資料!AP461),N(AN461)+1,1))</f>
        <v/>
      </c>
      <c r="AP461" s="6">
        <f>IF(OR(原始資料!$A461="",41&gt;設定!$B$3,原始資料!AR461=""),"",IF(AND(原始資料!AQ461&lt;&gt;"",原始資料!AR461=原始資料!AQ461),N(AO461)+1,1))</f>
        <v/>
      </c>
      <c r="AQ461" s="6">
        <f>IF(OR(原始資料!$A461="",42&gt;設定!$B$3,原始資料!AS461=""),"",IF(AND(原始資料!AR461&lt;&gt;"",原始資料!AS461=原始資料!AR461),N(AP461)+1,1))</f>
        <v/>
      </c>
      <c r="AR461" s="6">
        <f>IF(OR(原始資料!$A461="",43&gt;設定!$B$3,原始資料!AT461=""),"",IF(AND(原始資料!AS461&lt;&gt;"",原始資料!AT461=原始資料!AS461),N(AQ461)+1,1))</f>
        <v/>
      </c>
      <c r="AS461" s="6">
        <f>IF(OR(原始資料!$A461="",44&gt;設定!$B$3,原始資料!AU461=""),"",IF(AND(原始資料!AT461&lt;&gt;"",原始資料!AU461=原始資料!AT461),N(AR461)+1,1))</f>
        <v/>
      </c>
      <c r="AT461" s="6">
        <f>IF(OR(原始資料!$A461="",45&gt;設定!$B$3,原始資料!AV461=""),"",IF(AND(原始資料!AU461&lt;&gt;"",原始資料!AV461=原始資料!AU461),N(AS461)+1,1))</f>
        <v/>
      </c>
      <c r="AU461" s="6">
        <f>IF(OR(原始資料!$A461="",46&gt;設定!$B$3,原始資料!AW461=""),"",IF(AND(原始資料!AV461&lt;&gt;"",原始資料!AW461=原始資料!AV461),N(AT461)+1,1))</f>
        <v/>
      </c>
      <c r="AV461" s="6">
        <f>IF(OR(原始資料!$A461="",47&gt;設定!$B$3,原始資料!AX461=""),"",IF(AND(原始資料!AW461&lt;&gt;"",原始資料!AX461=原始資料!AW461),N(AU461)+1,1))</f>
        <v/>
      </c>
      <c r="AW461" s="6">
        <f>IF(OR(原始資料!$A461="",48&gt;設定!$B$3,原始資料!AY461=""),"",IF(AND(原始資料!AX461&lt;&gt;"",原始資料!AY461=原始資料!AX461),N(AV461)+1,1))</f>
        <v/>
      </c>
      <c r="AX461" s="6">
        <f>IF(OR(原始資料!$A461="",49&gt;設定!$B$3,原始資料!AZ461=""),"",IF(AND(原始資料!AY461&lt;&gt;"",原始資料!AZ461=原始資料!AY461),N(AW461)+1,1))</f>
        <v/>
      </c>
      <c r="AY461" s="6">
        <f>IF(OR(原始資料!$A461="",50&gt;設定!$B$3,原始資料!BA461=""),"",IF(AND(原始資料!AZ461&lt;&gt;"",原始資料!BA461=原始資料!AZ461),N(AX461)+1,1))</f>
        <v/>
      </c>
      <c r="AZ461" s="6">
        <f>IF(OR(原始資料!$A461="",51&gt;設定!$B$3,原始資料!BB461=""),"",IF(AND(原始資料!BA461&lt;&gt;"",原始資料!BB461=原始資料!BA461),N(AY461)+1,1))</f>
        <v/>
      </c>
      <c r="BA461" s="6">
        <f>IF(OR(原始資料!$A461="",52&gt;設定!$B$3,原始資料!BC461=""),"",IF(AND(原始資料!BB461&lt;&gt;"",原始資料!BC461=原始資料!BB461),N(AZ461)+1,1))</f>
        <v/>
      </c>
      <c r="BB461" s="6">
        <f>IF(OR(原始資料!$A461="",53&gt;設定!$B$3,原始資料!BD461=""),"",IF(AND(原始資料!BC461&lt;&gt;"",原始資料!BD461=原始資料!BC461),N(BA461)+1,1))</f>
        <v/>
      </c>
      <c r="BC461" s="6">
        <f>IF(OR(原始資料!$A461="",54&gt;設定!$B$3,原始資料!BE461=""),"",IF(AND(原始資料!BD461&lt;&gt;"",原始資料!BE461=原始資料!BD461),N(BB461)+1,1))</f>
        <v/>
      </c>
      <c r="BD461" s="6">
        <f>IF(OR(原始資料!$A461="",55&gt;設定!$B$3,原始資料!BF461=""),"",IF(AND(原始資料!BE461&lt;&gt;"",原始資料!BF461=原始資料!BE461),N(BC461)+1,1))</f>
        <v/>
      </c>
      <c r="BE461" s="6">
        <f>IF(OR(原始資料!$A461="",56&gt;設定!$B$3,原始資料!BG461=""),"",IF(AND(原始資料!BF461&lt;&gt;"",原始資料!BG461=原始資料!BF461),N(BD461)+1,1))</f>
        <v/>
      </c>
      <c r="BF461" s="6">
        <f>IF(OR(原始資料!$A461="",57&gt;設定!$B$3,原始資料!BH461=""),"",IF(AND(原始資料!BG461&lt;&gt;"",原始資料!BH461=原始資料!BG461),N(BE461)+1,1))</f>
        <v/>
      </c>
      <c r="BG461" s="6">
        <f>IF(OR(原始資料!$A461="",58&gt;設定!$B$3,原始資料!BI461=""),"",IF(AND(原始資料!BH461&lt;&gt;"",原始資料!BI461=原始資料!BH461),N(BF461)+1,1))</f>
        <v/>
      </c>
      <c r="BH461" s="6">
        <f>IF(OR(原始資料!$A461="",59&gt;設定!$B$3,原始資料!BJ461=""),"",IF(AND(原始資料!BI461&lt;&gt;"",原始資料!BJ461=原始資料!BI461),N(BG461)+1,1))</f>
        <v/>
      </c>
      <c r="BI461" s="6">
        <f>IF(OR(原始資料!$A461="",60&gt;設定!$B$3,原始資料!BK461=""),"",IF(AND(原始資料!BJ461&lt;&gt;"",原始資料!BK461=原始資料!BJ461),N(BH461)+1,1))</f>
        <v/>
      </c>
    </row>
    <row r="462">
      <c r="A462" s="6">
        <f>IF(原始資料!$A462="","",原始資料!$A462)</f>
        <v/>
      </c>
      <c r="B462" s="6">
        <f>IF(OR(原始資料!$A462="",1&gt;設定!$B$3,原始資料!D462=""),"",1)</f>
        <v/>
      </c>
      <c r="C462" s="6">
        <f>IF(OR(原始資料!$A462="",2&gt;設定!$B$3,原始資料!E462=""),"",IF(AND(原始資料!D462&lt;&gt;"",原始資料!E462=原始資料!D462),N(B462)+1,1))</f>
        <v/>
      </c>
      <c r="D462" s="6">
        <f>IF(OR(原始資料!$A462="",3&gt;設定!$B$3,原始資料!F462=""),"",IF(AND(原始資料!E462&lt;&gt;"",原始資料!F462=原始資料!E462),N(C462)+1,1))</f>
        <v/>
      </c>
      <c r="E462" s="6">
        <f>IF(OR(原始資料!$A462="",4&gt;設定!$B$3,原始資料!G462=""),"",IF(AND(原始資料!F462&lt;&gt;"",原始資料!G462=原始資料!F462),N(D462)+1,1))</f>
        <v/>
      </c>
      <c r="F462" s="6">
        <f>IF(OR(原始資料!$A462="",5&gt;設定!$B$3,原始資料!H462=""),"",IF(AND(原始資料!G462&lt;&gt;"",原始資料!H462=原始資料!G462),N(E462)+1,1))</f>
        <v/>
      </c>
      <c r="G462" s="6">
        <f>IF(OR(原始資料!$A462="",6&gt;設定!$B$3,原始資料!I462=""),"",IF(AND(原始資料!H462&lt;&gt;"",原始資料!I462=原始資料!H462),N(F462)+1,1))</f>
        <v/>
      </c>
      <c r="H462" s="6">
        <f>IF(OR(原始資料!$A462="",7&gt;設定!$B$3,原始資料!J462=""),"",IF(AND(原始資料!I462&lt;&gt;"",原始資料!J462=原始資料!I462),N(G462)+1,1))</f>
        <v/>
      </c>
      <c r="I462" s="6">
        <f>IF(OR(原始資料!$A462="",8&gt;設定!$B$3,原始資料!K462=""),"",IF(AND(原始資料!J462&lt;&gt;"",原始資料!K462=原始資料!J462),N(H462)+1,1))</f>
        <v/>
      </c>
      <c r="J462" s="6">
        <f>IF(OR(原始資料!$A462="",9&gt;設定!$B$3,原始資料!L462=""),"",IF(AND(原始資料!K462&lt;&gt;"",原始資料!L462=原始資料!K462),N(I462)+1,1))</f>
        <v/>
      </c>
      <c r="K462" s="6">
        <f>IF(OR(原始資料!$A462="",10&gt;設定!$B$3,原始資料!M462=""),"",IF(AND(原始資料!L462&lt;&gt;"",原始資料!M462=原始資料!L462),N(J462)+1,1))</f>
        <v/>
      </c>
      <c r="L462" s="6">
        <f>IF(OR(原始資料!$A462="",11&gt;設定!$B$3,原始資料!N462=""),"",IF(AND(原始資料!M462&lt;&gt;"",原始資料!N462=原始資料!M462),N(K462)+1,1))</f>
        <v/>
      </c>
      <c r="M462" s="6">
        <f>IF(OR(原始資料!$A462="",12&gt;設定!$B$3,原始資料!O462=""),"",IF(AND(原始資料!N462&lt;&gt;"",原始資料!O462=原始資料!N462),N(L462)+1,1))</f>
        <v/>
      </c>
      <c r="N462" s="6">
        <f>IF(OR(原始資料!$A462="",13&gt;設定!$B$3,原始資料!P462=""),"",IF(AND(原始資料!O462&lt;&gt;"",原始資料!P462=原始資料!O462),N(M462)+1,1))</f>
        <v/>
      </c>
      <c r="O462" s="6">
        <f>IF(OR(原始資料!$A462="",14&gt;設定!$B$3,原始資料!Q462=""),"",IF(AND(原始資料!P462&lt;&gt;"",原始資料!Q462=原始資料!P462),N(N462)+1,1))</f>
        <v/>
      </c>
      <c r="P462" s="6">
        <f>IF(OR(原始資料!$A462="",15&gt;設定!$B$3,原始資料!R462=""),"",IF(AND(原始資料!Q462&lt;&gt;"",原始資料!R462=原始資料!Q462),N(O462)+1,1))</f>
        <v/>
      </c>
      <c r="Q462" s="6">
        <f>IF(OR(原始資料!$A462="",16&gt;設定!$B$3,原始資料!S462=""),"",IF(AND(原始資料!R462&lt;&gt;"",原始資料!S462=原始資料!R462),N(P462)+1,1))</f>
        <v/>
      </c>
      <c r="R462" s="6">
        <f>IF(OR(原始資料!$A462="",17&gt;設定!$B$3,原始資料!T462=""),"",IF(AND(原始資料!S462&lt;&gt;"",原始資料!T462=原始資料!S462),N(Q462)+1,1))</f>
        <v/>
      </c>
      <c r="S462" s="6">
        <f>IF(OR(原始資料!$A462="",18&gt;設定!$B$3,原始資料!U462=""),"",IF(AND(原始資料!T462&lt;&gt;"",原始資料!U462=原始資料!T462),N(R462)+1,1))</f>
        <v/>
      </c>
      <c r="T462" s="6">
        <f>IF(OR(原始資料!$A462="",19&gt;設定!$B$3,原始資料!V462=""),"",IF(AND(原始資料!U462&lt;&gt;"",原始資料!V462=原始資料!U462),N(S462)+1,1))</f>
        <v/>
      </c>
      <c r="U462" s="6">
        <f>IF(OR(原始資料!$A462="",20&gt;設定!$B$3,原始資料!W462=""),"",IF(AND(原始資料!V462&lt;&gt;"",原始資料!W462=原始資料!V462),N(T462)+1,1))</f>
        <v/>
      </c>
      <c r="V462" s="6">
        <f>IF(OR(原始資料!$A462="",21&gt;設定!$B$3,原始資料!X462=""),"",IF(AND(原始資料!W462&lt;&gt;"",原始資料!X462=原始資料!W462),N(U462)+1,1))</f>
        <v/>
      </c>
      <c r="W462" s="6">
        <f>IF(OR(原始資料!$A462="",22&gt;設定!$B$3,原始資料!Y462=""),"",IF(AND(原始資料!X462&lt;&gt;"",原始資料!Y462=原始資料!X462),N(V462)+1,1))</f>
        <v/>
      </c>
      <c r="X462" s="6">
        <f>IF(OR(原始資料!$A462="",23&gt;設定!$B$3,原始資料!Z462=""),"",IF(AND(原始資料!Y462&lt;&gt;"",原始資料!Z462=原始資料!Y462),N(W462)+1,1))</f>
        <v/>
      </c>
      <c r="Y462" s="6">
        <f>IF(OR(原始資料!$A462="",24&gt;設定!$B$3,原始資料!AA462=""),"",IF(AND(原始資料!Z462&lt;&gt;"",原始資料!AA462=原始資料!Z462),N(X462)+1,1))</f>
        <v/>
      </c>
      <c r="Z462" s="6">
        <f>IF(OR(原始資料!$A462="",25&gt;設定!$B$3,原始資料!AB462=""),"",IF(AND(原始資料!AA462&lt;&gt;"",原始資料!AB462=原始資料!AA462),N(Y462)+1,1))</f>
        <v/>
      </c>
      <c r="AA462" s="6">
        <f>IF(OR(原始資料!$A462="",26&gt;設定!$B$3,原始資料!AC462=""),"",IF(AND(原始資料!AB462&lt;&gt;"",原始資料!AC462=原始資料!AB462),N(Z462)+1,1))</f>
        <v/>
      </c>
      <c r="AB462" s="6">
        <f>IF(OR(原始資料!$A462="",27&gt;設定!$B$3,原始資料!AD462=""),"",IF(AND(原始資料!AC462&lt;&gt;"",原始資料!AD462=原始資料!AC462),N(AA462)+1,1))</f>
        <v/>
      </c>
      <c r="AC462" s="6">
        <f>IF(OR(原始資料!$A462="",28&gt;設定!$B$3,原始資料!AE462=""),"",IF(AND(原始資料!AD462&lt;&gt;"",原始資料!AE462=原始資料!AD462),N(AB462)+1,1))</f>
        <v/>
      </c>
      <c r="AD462" s="6">
        <f>IF(OR(原始資料!$A462="",29&gt;設定!$B$3,原始資料!AF462=""),"",IF(AND(原始資料!AE462&lt;&gt;"",原始資料!AF462=原始資料!AE462),N(AC462)+1,1))</f>
        <v/>
      </c>
      <c r="AE462" s="6">
        <f>IF(OR(原始資料!$A462="",30&gt;設定!$B$3,原始資料!AG462=""),"",IF(AND(原始資料!AF462&lt;&gt;"",原始資料!AG462=原始資料!AF462),N(AD462)+1,1))</f>
        <v/>
      </c>
      <c r="AF462" s="6">
        <f>IF(OR(原始資料!$A462="",31&gt;設定!$B$3,原始資料!AH462=""),"",IF(AND(原始資料!AG462&lt;&gt;"",原始資料!AH462=原始資料!AG462),N(AE462)+1,1))</f>
        <v/>
      </c>
      <c r="AG462" s="6">
        <f>IF(OR(原始資料!$A462="",32&gt;設定!$B$3,原始資料!AI462=""),"",IF(AND(原始資料!AH462&lt;&gt;"",原始資料!AI462=原始資料!AH462),N(AF462)+1,1))</f>
        <v/>
      </c>
      <c r="AH462" s="6">
        <f>IF(OR(原始資料!$A462="",33&gt;設定!$B$3,原始資料!AJ462=""),"",IF(AND(原始資料!AI462&lt;&gt;"",原始資料!AJ462=原始資料!AI462),N(AG462)+1,1))</f>
        <v/>
      </c>
      <c r="AI462" s="6">
        <f>IF(OR(原始資料!$A462="",34&gt;設定!$B$3,原始資料!AK462=""),"",IF(AND(原始資料!AJ462&lt;&gt;"",原始資料!AK462=原始資料!AJ462),N(AH462)+1,1))</f>
        <v/>
      </c>
      <c r="AJ462" s="6">
        <f>IF(OR(原始資料!$A462="",35&gt;設定!$B$3,原始資料!AL462=""),"",IF(AND(原始資料!AK462&lt;&gt;"",原始資料!AL462=原始資料!AK462),N(AI462)+1,1))</f>
        <v/>
      </c>
      <c r="AK462" s="6">
        <f>IF(OR(原始資料!$A462="",36&gt;設定!$B$3,原始資料!AM462=""),"",IF(AND(原始資料!AL462&lt;&gt;"",原始資料!AM462=原始資料!AL462),N(AJ462)+1,1))</f>
        <v/>
      </c>
      <c r="AL462" s="6">
        <f>IF(OR(原始資料!$A462="",37&gt;設定!$B$3,原始資料!AN462=""),"",IF(AND(原始資料!AM462&lt;&gt;"",原始資料!AN462=原始資料!AM462),N(AK462)+1,1))</f>
        <v/>
      </c>
      <c r="AM462" s="6">
        <f>IF(OR(原始資料!$A462="",38&gt;設定!$B$3,原始資料!AO462=""),"",IF(AND(原始資料!AN462&lt;&gt;"",原始資料!AO462=原始資料!AN462),N(AL462)+1,1))</f>
        <v/>
      </c>
      <c r="AN462" s="6">
        <f>IF(OR(原始資料!$A462="",39&gt;設定!$B$3,原始資料!AP462=""),"",IF(AND(原始資料!AO462&lt;&gt;"",原始資料!AP462=原始資料!AO462),N(AM462)+1,1))</f>
        <v/>
      </c>
      <c r="AO462" s="6">
        <f>IF(OR(原始資料!$A462="",40&gt;設定!$B$3,原始資料!AQ462=""),"",IF(AND(原始資料!AP462&lt;&gt;"",原始資料!AQ462=原始資料!AP462),N(AN462)+1,1))</f>
        <v/>
      </c>
      <c r="AP462" s="6">
        <f>IF(OR(原始資料!$A462="",41&gt;設定!$B$3,原始資料!AR462=""),"",IF(AND(原始資料!AQ462&lt;&gt;"",原始資料!AR462=原始資料!AQ462),N(AO462)+1,1))</f>
        <v/>
      </c>
      <c r="AQ462" s="6">
        <f>IF(OR(原始資料!$A462="",42&gt;設定!$B$3,原始資料!AS462=""),"",IF(AND(原始資料!AR462&lt;&gt;"",原始資料!AS462=原始資料!AR462),N(AP462)+1,1))</f>
        <v/>
      </c>
      <c r="AR462" s="6">
        <f>IF(OR(原始資料!$A462="",43&gt;設定!$B$3,原始資料!AT462=""),"",IF(AND(原始資料!AS462&lt;&gt;"",原始資料!AT462=原始資料!AS462),N(AQ462)+1,1))</f>
        <v/>
      </c>
      <c r="AS462" s="6">
        <f>IF(OR(原始資料!$A462="",44&gt;設定!$B$3,原始資料!AU462=""),"",IF(AND(原始資料!AT462&lt;&gt;"",原始資料!AU462=原始資料!AT462),N(AR462)+1,1))</f>
        <v/>
      </c>
      <c r="AT462" s="6">
        <f>IF(OR(原始資料!$A462="",45&gt;設定!$B$3,原始資料!AV462=""),"",IF(AND(原始資料!AU462&lt;&gt;"",原始資料!AV462=原始資料!AU462),N(AS462)+1,1))</f>
        <v/>
      </c>
      <c r="AU462" s="6">
        <f>IF(OR(原始資料!$A462="",46&gt;設定!$B$3,原始資料!AW462=""),"",IF(AND(原始資料!AV462&lt;&gt;"",原始資料!AW462=原始資料!AV462),N(AT462)+1,1))</f>
        <v/>
      </c>
      <c r="AV462" s="6">
        <f>IF(OR(原始資料!$A462="",47&gt;設定!$B$3,原始資料!AX462=""),"",IF(AND(原始資料!AW462&lt;&gt;"",原始資料!AX462=原始資料!AW462),N(AU462)+1,1))</f>
        <v/>
      </c>
      <c r="AW462" s="6">
        <f>IF(OR(原始資料!$A462="",48&gt;設定!$B$3,原始資料!AY462=""),"",IF(AND(原始資料!AX462&lt;&gt;"",原始資料!AY462=原始資料!AX462),N(AV462)+1,1))</f>
        <v/>
      </c>
      <c r="AX462" s="6">
        <f>IF(OR(原始資料!$A462="",49&gt;設定!$B$3,原始資料!AZ462=""),"",IF(AND(原始資料!AY462&lt;&gt;"",原始資料!AZ462=原始資料!AY462),N(AW462)+1,1))</f>
        <v/>
      </c>
      <c r="AY462" s="6">
        <f>IF(OR(原始資料!$A462="",50&gt;設定!$B$3,原始資料!BA462=""),"",IF(AND(原始資料!AZ462&lt;&gt;"",原始資料!BA462=原始資料!AZ462),N(AX462)+1,1))</f>
        <v/>
      </c>
      <c r="AZ462" s="6">
        <f>IF(OR(原始資料!$A462="",51&gt;設定!$B$3,原始資料!BB462=""),"",IF(AND(原始資料!BA462&lt;&gt;"",原始資料!BB462=原始資料!BA462),N(AY462)+1,1))</f>
        <v/>
      </c>
      <c r="BA462" s="6">
        <f>IF(OR(原始資料!$A462="",52&gt;設定!$B$3,原始資料!BC462=""),"",IF(AND(原始資料!BB462&lt;&gt;"",原始資料!BC462=原始資料!BB462),N(AZ462)+1,1))</f>
        <v/>
      </c>
      <c r="BB462" s="6">
        <f>IF(OR(原始資料!$A462="",53&gt;設定!$B$3,原始資料!BD462=""),"",IF(AND(原始資料!BC462&lt;&gt;"",原始資料!BD462=原始資料!BC462),N(BA462)+1,1))</f>
        <v/>
      </c>
      <c r="BC462" s="6">
        <f>IF(OR(原始資料!$A462="",54&gt;設定!$B$3,原始資料!BE462=""),"",IF(AND(原始資料!BD462&lt;&gt;"",原始資料!BE462=原始資料!BD462),N(BB462)+1,1))</f>
        <v/>
      </c>
      <c r="BD462" s="6">
        <f>IF(OR(原始資料!$A462="",55&gt;設定!$B$3,原始資料!BF462=""),"",IF(AND(原始資料!BE462&lt;&gt;"",原始資料!BF462=原始資料!BE462),N(BC462)+1,1))</f>
        <v/>
      </c>
      <c r="BE462" s="6">
        <f>IF(OR(原始資料!$A462="",56&gt;設定!$B$3,原始資料!BG462=""),"",IF(AND(原始資料!BF462&lt;&gt;"",原始資料!BG462=原始資料!BF462),N(BD462)+1,1))</f>
        <v/>
      </c>
      <c r="BF462" s="6">
        <f>IF(OR(原始資料!$A462="",57&gt;設定!$B$3,原始資料!BH462=""),"",IF(AND(原始資料!BG462&lt;&gt;"",原始資料!BH462=原始資料!BG462),N(BE462)+1,1))</f>
        <v/>
      </c>
      <c r="BG462" s="6">
        <f>IF(OR(原始資料!$A462="",58&gt;設定!$B$3,原始資料!BI462=""),"",IF(AND(原始資料!BH462&lt;&gt;"",原始資料!BI462=原始資料!BH462),N(BF462)+1,1))</f>
        <v/>
      </c>
      <c r="BH462" s="6">
        <f>IF(OR(原始資料!$A462="",59&gt;設定!$B$3,原始資料!BJ462=""),"",IF(AND(原始資料!BI462&lt;&gt;"",原始資料!BJ462=原始資料!BI462),N(BG462)+1,1))</f>
        <v/>
      </c>
      <c r="BI462" s="6">
        <f>IF(OR(原始資料!$A462="",60&gt;設定!$B$3,原始資料!BK462=""),"",IF(AND(原始資料!BJ462&lt;&gt;"",原始資料!BK462=原始資料!BJ462),N(BH462)+1,1))</f>
        <v/>
      </c>
    </row>
    <row r="463">
      <c r="A463" s="6">
        <f>IF(原始資料!$A463="","",原始資料!$A463)</f>
        <v/>
      </c>
      <c r="B463" s="6">
        <f>IF(OR(原始資料!$A463="",1&gt;設定!$B$3,原始資料!D463=""),"",1)</f>
        <v/>
      </c>
      <c r="C463" s="6">
        <f>IF(OR(原始資料!$A463="",2&gt;設定!$B$3,原始資料!E463=""),"",IF(AND(原始資料!D463&lt;&gt;"",原始資料!E463=原始資料!D463),N(B463)+1,1))</f>
        <v/>
      </c>
      <c r="D463" s="6">
        <f>IF(OR(原始資料!$A463="",3&gt;設定!$B$3,原始資料!F463=""),"",IF(AND(原始資料!E463&lt;&gt;"",原始資料!F463=原始資料!E463),N(C463)+1,1))</f>
        <v/>
      </c>
      <c r="E463" s="6">
        <f>IF(OR(原始資料!$A463="",4&gt;設定!$B$3,原始資料!G463=""),"",IF(AND(原始資料!F463&lt;&gt;"",原始資料!G463=原始資料!F463),N(D463)+1,1))</f>
        <v/>
      </c>
      <c r="F463" s="6">
        <f>IF(OR(原始資料!$A463="",5&gt;設定!$B$3,原始資料!H463=""),"",IF(AND(原始資料!G463&lt;&gt;"",原始資料!H463=原始資料!G463),N(E463)+1,1))</f>
        <v/>
      </c>
      <c r="G463" s="6">
        <f>IF(OR(原始資料!$A463="",6&gt;設定!$B$3,原始資料!I463=""),"",IF(AND(原始資料!H463&lt;&gt;"",原始資料!I463=原始資料!H463),N(F463)+1,1))</f>
        <v/>
      </c>
      <c r="H463" s="6">
        <f>IF(OR(原始資料!$A463="",7&gt;設定!$B$3,原始資料!J463=""),"",IF(AND(原始資料!I463&lt;&gt;"",原始資料!J463=原始資料!I463),N(G463)+1,1))</f>
        <v/>
      </c>
      <c r="I463" s="6">
        <f>IF(OR(原始資料!$A463="",8&gt;設定!$B$3,原始資料!K463=""),"",IF(AND(原始資料!J463&lt;&gt;"",原始資料!K463=原始資料!J463),N(H463)+1,1))</f>
        <v/>
      </c>
      <c r="J463" s="6">
        <f>IF(OR(原始資料!$A463="",9&gt;設定!$B$3,原始資料!L463=""),"",IF(AND(原始資料!K463&lt;&gt;"",原始資料!L463=原始資料!K463),N(I463)+1,1))</f>
        <v/>
      </c>
      <c r="K463" s="6">
        <f>IF(OR(原始資料!$A463="",10&gt;設定!$B$3,原始資料!M463=""),"",IF(AND(原始資料!L463&lt;&gt;"",原始資料!M463=原始資料!L463),N(J463)+1,1))</f>
        <v/>
      </c>
      <c r="L463" s="6">
        <f>IF(OR(原始資料!$A463="",11&gt;設定!$B$3,原始資料!N463=""),"",IF(AND(原始資料!M463&lt;&gt;"",原始資料!N463=原始資料!M463),N(K463)+1,1))</f>
        <v/>
      </c>
      <c r="M463" s="6">
        <f>IF(OR(原始資料!$A463="",12&gt;設定!$B$3,原始資料!O463=""),"",IF(AND(原始資料!N463&lt;&gt;"",原始資料!O463=原始資料!N463),N(L463)+1,1))</f>
        <v/>
      </c>
      <c r="N463" s="6">
        <f>IF(OR(原始資料!$A463="",13&gt;設定!$B$3,原始資料!P463=""),"",IF(AND(原始資料!O463&lt;&gt;"",原始資料!P463=原始資料!O463),N(M463)+1,1))</f>
        <v/>
      </c>
      <c r="O463" s="6">
        <f>IF(OR(原始資料!$A463="",14&gt;設定!$B$3,原始資料!Q463=""),"",IF(AND(原始資料!P463&lt;&gt;"",原始資料!Q463=原始資料!P463),N(N463)+1,1))</f>
        <v/>
      </c>
      <c r="P463" s="6">
        <f>IF(OR(原始資料!$A463="",15&gt;設定!$B$3,原始資料!R463=""),"",IF(AND(原始資料!Q463&lt;&gt;"",原始資料!R463=原始資料!Q463),N(O463)+1,1))</f>
        <v/>
      </c>
      <c r="Q463" s="6">
        <f>IF(OR(原始資料!$A463="",16&gt;設定!$B$3,原始資料!S463=""),"",IF(AND(原始資料!R463&lt;&gt;"",原始資料!S463=原始資料!R463),N(P463)+1,1))</f>
        <v/>
      </c>
      <c r="R463" s="6">
        <f>IF(OR(原始資料!$A463="",17&gt;設定!$B$3,原始資料!T463=""),"",IF(AND(原始資料!S463&lt;&gt;"",原始資料!T463=原始資料!S463),N(Q463)+1,1))</f>
        <v/>
      </c>
      <c r="S463" s="6">
        <f>IF(OR(原始資料!$A463="",18&gt;設定!$B$3,原始資料!U463=""),"",IF(AND(原始資料!T463&lt;&gt;"",原始資料!U463=原始資料!T463),N(R463)+1,1))</f>
        <v/>
      </c>
      <c r="T463" s="6">
        <f>IF(OR(原始資料!$A463="",19&gt;設定!$B$3,原始資料!V463=""),"",IF(AND(原始資料!U463&lt;&gt;"",原始資料!V463=原始資料!U463),N(S463)+1,1))</f>
        <v/>
      </c>
      <c r="U463" s="6">
        <f>IF(OR(原始資料!$A463="",20&gt;設定!$B$3,原始資料!W463=""),"",IF(AND(原始資料!V463&lt;&gt;"",原始資料!W463=原始資料!V463),N(T463)+1,1))</f>
        <v/>
      </c>
      <c r="V463" s="6">
        <f>IF(OR(原始資料!$A463="",21&gt;設定!$B$3,原始資料!X463=""),"",IF(AND(原始資料!W463&lt;&gt;"",原始資料!X463=原始資料!W463),N(U463)+1,1))</f>
        <v/>
      </c>
      <c r="W463" s="6">
        <f>IF(OR(原始資料!$A463="",22&gt;設定!$B$3,原始資料!Y463=""),"",IF(AND(原始資料!X463&lt;&gt;"",原始資料!Y463=原始資料!X463),N(V463)+1,1))</f>
        <v/>
      </c>
      <c r="X463" s="6">
        <f>IF(OR(原始資料!$A463="",23&gt;設定!$B$3,原始資料!Z463=""),"",IF(AND(原始資料!Y463&lt;&gt;"",原始資料!Z463=原始資料!Y463),N(W463)+1,1))</f>
        <v/>
      </c>
      <c r="Y463" s="6">
        <f>IF(OR(原始資料!$A463="",24&gt;設定!$B$3,原始資料!AA463=""),"",IF(AND(原始資料!Z463&lt;&gt;"",原始資料!AA463=原始資料!Z463),N(X463)+1,1))</f>
        <v/>
      </c>
      <c r="Z463" s="6">
        <f>IF(OR(原始資料!$A463="",25&gt;設定!$B$3,原始資料!AB463=""),"",IF(AND(原始資料!AA463&lt;&gt;"",原始資料!AB463=原始資料!AA463),N(Y463)+1,1))</f>
        <v/>
      </c>
      <c r="AA463" s="6">
        <f>IF(OR(原始資料!$A463="",26&gt;設定!$B$3,原始資料!AC463=""),"",IF(AND(原始資料!AB463&lt;&gt;"",原始資料!AC463=原始資料!AB463),N(Z463)+1,1))</f>
        <v/>
      </c>
      <c r="AB463" s="6">
        <f>IF(OR(原始資料!$A463="",27&gt;設定!$B$3,原始資料!AD463=""),"",IF(AND(原始資料!AC463&lt;&gt;"",原始資料!AD463=原始資料!AC463),N(AA463)+1,1))</f>
        <v/>
      </c>
      <c r="AC463" s="6">
        <f>IF(OR(原始資料!$A463="",28&gt;設定!$B$3,原始資料!AE463=""),"",IF(AND(原始資料!AD463&lt;&gt;"",原始資料!AE463=原始資料!AD463),N(AB463)+1,1))</f>
        <v/>
      </c>
      <c r="AD463" s="6">
        <f>IF(OR(原始資料!$A463="",29&gt;設定!$B$3,原始資料!AF463=""),"",IF(AND(原始資料!AE463&lt;&gt;"",原始資料!AF463=原始資料!AE463),N(AC463)+1,1))</f>
        <v/>
      </c>
      <c r="AE463" s="6">
        <f>IF(OR(原始資料!$A463="",30&gt;設定!$B$3,原始資料!AG463=""),"",IF(AND(原始資料!AF463&lt;&gt;"",原始資料!AG463=原始資料!AF463),N(AD463)+1,1))</f>
        <v/>
      </c>
      <c r="AF463" s="6">
        <f>IF(OR(原始資料!$A463="",31&gt;設定!$B$3,原始資料!AH463=""),"",IF(AND(原始資料!AG463&lt;&gt;"",原始資料!AH463=原始資料!AG463),N(AE463)+1,1))</f>
        <v/>
      </c>
      <c r="AG463" s="6">
        <f>IF(OR(原始資料!$A463="",32&gt;設定!$B$3,原始資料!AI463=""),"",IF(AND(原始資料!AH463&lt;&gt;"",原始資料!AI463=原始資料!AH463),N(AF463)+1,1))</f>
        <v/>
      </c>
      <c r="AH463" s="6">
        <f>IF(OR(原始資料!$A463="",33&gt;設定!$B$3,原始資料!AJ463=""),"",IF(AND(原始資料!AI463&lt;&gt;"",原始資料!AJ463=原始資料!AI463),N(AG463)+1,1))</f>
        <v/>
      </c>
      <c r="AI463" s="6">
        <f>IF(OR(原始資料!$A463="",34&gt;設定!$B$3,原始資料!AK463=""),"",IF(AND(原始資料!AJ463&lt;&gt;"",原始資料!AK463=原始資料!AJ463),N(AH463)+1,1))</f>
        <v/>
      </c>
      <c r="AJ463" s="6">
        <f>IF(OR(原始資料!$A463="",35&gt;設定!$B$3,原始資料!AL463=""),"",IF(AND(原始資料!AK463&lt;&gt;"",原始資料!AL463=原始資料!AK463),N(AI463)+1,1))</f>
        <v/>
      </c>
      <c r="AK463" s="6">
        <f>IF(OR(原始資料!$A463="",36&gt;設定!$B$3,原始資料!AM463=""),"",IF(AND(原始資料!AL463&lt;&gt;"",原始資料!AM463=原始資料!AL463),N(AJ463)+1,1))</f>
        <v/>
      </c>
      <c r="AL463" s="6">
        <f>IF(OR(原始資料!$A463="",37&gt;設定!$B$3,原始資料!AN463=""),"",IF(AND(原始資料!AM463&lt;&gt;"",原始資料!AN463=原始資料!AM463),N(AK463)+1,1))</f>
        <v/>
      </c>
      <c r="AM463" s="6">
        <f>IF(OR(原始資料!$A463="",38&gt;設定!$B$3,原始資料!AO463=""),"",IF(AND(原始資料!AN463&lt;&gt;"",原始資料!AO463=原始資料!AN463),N(AL463)+1,1))</f>
        <v/>
      </c>
      <c r="AN463" s="6">
        <f>IF(OR(原始資料!$A463="",39&gt;設定!$B$3,原始資料!AP463=""),"",IF(AND(原始資料!AO463&lt;&gt;"",原始資料!AP463=原始資料!AO463),N(AM463)+1,1))</f>
        <v/>
      </c>
      <c r="AO463" s="6">
        <f>IF(OR(原始資料!$A463="",40&gt;設定!$B$3,原始資料!AQ463=""),"",IF(AND(原始資料!AP463&lt;&gt;"",原始資料!AQ463=原始資料!AP463),N(AN463)+1,1))</f>
        <v/>
      </c>
      <c r="AP463" s="6">
        <f>IF(OR(原始資料!$A463="",41&gt;設定!$B$3,原始資料!AR463=""),"",IF(AND(原始資料!AQ463&lt;&gt;"",原始資料!AR463=原始資料!AQ463),N(AO463)+1,1))</f>
        <v/>
      </c>
      <c r="AQ463" s="6">
        <f>IF(OR(原始資料!$A463="",42&gt;設定!$B$3,原始資料!AS463=""),"",IF(AND(原始資料!AR463&lt;&gt;"",原始資料!AS463=原始資料!AR463),N(AP463)+1,1))</f>
        <v/>
      </c>
      <c r="AR463" s="6">
        <f>IF(OR(原始資料!$A463="",43&gt;設定!$B$3,原始資料!AT463=""),"",IF(AND(原始資料!AS463&lt;&gt;"",原始資料!AT463=原始資料!AS463),N(AQ463)+1,1))</f>
        <v/>
      </c>
      <c r="AS463" s="6">
        <f>IF(OR(原始資料!$A463="",44&gt;設定!$B$3,原始資料!AU463=""),"",IF(AND(原始資料!AT463&lt;&gt;"",原始資料!AU463=原始資料!AT463),N(AR463)+1,1))</f>
        <v/>
      </c>
      <c r="AT463" s="6">
        <f>IF(OR(原始資料!$A463="",45&gt;設定!$B$3,原始資料!AV463=""),"",IF(AND(原始資料!AU463&lt;&gt;"",原始資料!AV463=原始資料!AU463),N(AS463)+1,1))</f>
        <v/>
      </c>
      <c r="AU463" s="6">
        <f>IF(OR(原始資料!$A463="",46&gt;設定!$B$3,原始資料!AW463=""),"",IF(AND(原始資料!AV463&lt;&gt;"",原始資料!AW463=原始資料!AV463),N(AT463)+1,1))</f>
        <v/>
      </c>
      <c r="AV463" s="6">
        <f>IF(OR(原始資料!$A463="",47&gt;設定!$B$3,原始資料!AX463=""),"",IF(AND(原始資料!AW463&lt;&gt;"",原始資料!AX463=原始資料!AW463),N(AU463)+1,1))</f>
        <v/>
      </c>
      <c r="AW463" s="6">
        <f>IF(OR(原始資料!$A463="",48&gt;設定!$B$3,原始資料!AY463=""),"",IF(AND(原始資料!AX463&lt;&gt;"",原始資料!AY463=原始資料!AX463),N(AV463)+1,1))</f>
        <v/>
      </c>
      <c r="AX463" s="6">
        <f>IF(OR(原始資料!$A463="",49&gt;設定!$B$3,原始資料!AZ463=""),"",IF(AND(原始資料!AY463&lt;&gt;"",原始資料!AZ463=原始資料!AY463),N(AW463)+1,1))</f>
        <v/>
      </c>
      <c r="AY463" s="6">
        <f>IF(OR(原始資料!$A463="",50&gt;設定!$B$3,原始資料!BA463=""),"",IF(AND(原始資料!AZ463&lt;&gt;"",原始資料!BA463=原始資料!AZ463),N(AX463)+1,1))</f>
        <v/>
      </c>
      <c r="AZ463" s="6">
        <f>IF(OR(原始資料!$A463="",51&gt;設定!$B$3,原始資料!BB463=""),"",IF(AND(原始資料!BA463&lt;&gt;"",原始資料!BB463=原始資料!BA463),N(AY463)+1,1))</f>
        <v/>
      </c>
      <c r="BA463" s="6">
        <f>IF(OR(原始資料!$A463="",52&gt;設定!$B$3,原始資料!BC463=""),"",IF(AND(原始資料!BB463&lt;&gt;"",原始資料!BC463=原始資料!BB463),N(AZ463)+1,1))</f>
        <v/>
      </c>
      <c r="BB463" s="6">
        <f>IF(OR(原始資料!$A463="",53&gt;設定!$B$3,原始資料!BD463=""),"",IF(AND(原始資料!BC463&lt;&gt;"",原始資料!BD463=原始資料!BC463),N(BA463)+1,1))</f>
        <v/>
      </c>
      <c r="BC463" s="6">
        <f>IF(OR(原始資料!$A463="",54&gt;設定!$B$3,原始資料!BE463=""),"",IF(AND(原始資料!BD463&lt;&gt;"",原始資料!BE463=原始資料!BD463),N(BB463)+1,1))</f>
        <v/>
      </c>
      <c r="BD463" s="6">
        <f>IF(OR(原始資料!$A463="",55&gt;設定!$B$3,原始資料!BF463=""),"",IF(AND(原始資料!BE463&lt;&gt;"",原始資料!BF463=原始資料!BE463),N(BC463)+1,1))</f>
        <v/>
      </c>
      <c r="BE463" s="6">
        <f>IF(OR(原始資料!$A463="",56&gt;設定!$B$3,原始資料!BG463=""),"",IF(AND(原始資料!BF463&lt;&gt;"",原始資料!BG463=原始資料!BF463),N(BD463)+1,1))</f>
        <v/>
      </c>
      <c r="BF463" s="6">
        <f>IF(OR(原始資料!$A463="",57&gt;設定!$B$3,原始資料!BH463=""),"",IF(AND(原始資料!BG463&lt;&gt;"",原始資料!BH463=原始資料!BG463),N(BE463)+1,1))</f>
        <v/>
      </c>
      <c r="BG463" s="6">
        <f>IF(OR(原始資料!$A463="",58&gt;設定!$B$3,原始資料!BI463=""),"",IF(AND(原始資料!BH463&lt;&gt;"",原始資料!BI463=原始資料!BH463),N(BF463)+1,1))</f>
        <v/>
      </c>
      <c r="BH463" s="6">
        <f>IF(OR(原始資料!$A463="",59&gt;設定!$B$3,原始資料!BJ463=""),"",IF(AND(原始資料!BI463&lt;&gt;"",原始資料!BJ463=原始資料!BI463),N(BG463)+1,1))</f>
        <v/>
      </c>
      <c r="BI463" s="6">
        <f>IF(OR(原始資料!$A463="",60&gt;設定!$B$3,原始資料!BK463=""),"",IF(AND(原始資料!BJ463&lt;&gt;"",原始資料!BK463=原始資料!BJ463),N(BH463)+1,1))</f>
        <v/>
      </c>
    </row>
    <row r="464">
      <c r="A464" s="6">
        <f>IF(原始資料!$A464="","",原始資料!$A464)</f>
        <v/>
      </c>
      <c r="B464" s="6">
        <f>IF(OR(原始資料!$A464="",1&gt;設定!$B$3,原始資料!D464=""),"",1)</f>
        <v/>
      </c>
      <c r="C464" s="6">
        <f>IF(OR(原始資料!$A464="",2&gt;設定!$B$3,原始資料!E464=""),"",IF(AND(原始資料!D464&lt;&gt;"",原始資料!E464=原始資料!D464),N(B464)+1,1))</f>
        <v/>
      </c>
      <c r="D464" s="6">
        <f>IF(OR(原始資料!$A464="",3&gt;設定!$B$3,原始資料!F464=""),"",IF(AND(原始資料!E464&lt;&gt;"",原始資料!F464=原始資料!E464),N(C464)+1,1))</f>
        <v/>
      </c>
      <c r="E464" s="6">
        <f>IF(OR(原始資料!$A464="",4&gt;設定!$B$3,原始資料!G464=""),"",IF(AND(原始資料!F464&lt;&gt;"",原始資料!G464=原始資料!F464),N(D464)+1,1))</f>
        <v/>
      </c>
      <c r="F464" s="6">
        <f>IF(OR(原始資料!$A464="",5&gt;設定!$B$3,原始資料!H464=""),"",IF(AND(原始資料!G464&lt;&gt;"",原始資料!H464=原始資料!G464),N(E464)+1,1))</f>
        <v/>
      </c>
      <c r="G464" s="6">
        <f>IF(OR(原始資料!$A464="",6&gt;設定!$B$3,原始資料!I464=""),"",IF(AND(原始資料!H464&lt;&gt;"",原始資料!I464=原始資料!H464),N(F464)+1,1))</f>
        <v/>
      </c>
      <c r="H464" s="6">
        <f>IF(OR(原始資料!$A464="",7&gt;設定!$B$3,原始資料!J464=""),"",IF(AND(原始資料!I464&lt;&gt;"",原始資料!J464=原始資料!I464),N(G464)+1,1))</f>
        <v/>
      </c>
      <c r="I464" s="6">
        <f>IF(OR(原始資料!$A464="",8&gt;設定!$B$3,原始資料!K464=""),"",IF(AND(原始資料!J464&lt;&gt;"",原始資料!K464=原始資料!J464),N(H464)+1,1))</f>
        <v/>
      </c>
      <c r="J464" s="6">
        <f>IF(OR(原始資料!$A464="",9&gt;設定!$B$3,原始資料!L464=""),"",IF(AND(原始資料!K464&lt;&gt;"",原始資料!L464=原始資料!K464),N(I464)+1,1))</f>
        <v/>
      </c>
      <c r="K464" s="6">
        <f>IF(OR(原始資料!$A464="",10&gt;設定!$B$3,原始資料!M464=""),"",IF(AND(原始資料!L464&lt;&gt;"",原始資料!M464=原始資料!L464),N(J464)+1,1))</f>
        <v/>
      </c>
      <c r="L464" s="6">
        <f>IF(OR(原始資料!$A464="",11&gt;設定!$B$3,原始資料!N464=""),"",IF(AND(原始資料!M464&lt;&gt;"",原始資料!N464=原始資料!M464),N(K464)+1,1))</f>
        <v/>
      </c>
      <c r="M464" s="6">
        <f>IF(OR(原始資料!$A464="",12&gt;設定!$B$3,原始資料!O464=""),"",IF(AND(原始資料!N464&lt;&gt;"",原始資料!O464=原始資料!N464),N(L464)+1,1))</f>
        <v/>
      </c>
      <c r="N464" s="6">
        <f>IF(OR(原始資料!$A464="",13&gt;設定!$B$3,原始資料!P464=""),"",IF(AND(原始資料!O464&lt;&gt;"",原始資料!P464=原始資料!O464),N(M464)+1,1))</f>
        <v/>
      </c>
      <c r="O464" s="6">
        <f>IF(OR(原始資料!$A464="",14&gt;設定!$B$3,原始資料!Q464=""),"",IF(AND(原始資料!P464&lt;&gt;"",原始資料!Q464=原始資料!P464),N(N464)+1,1))</f>
        <v/>
      </c>
      <c r="P464" s="6">
        <f>IF(OR(原始資料!$A464="",15&gt;設定!$B$3,原始資料!R464=""),"",IF(AND(原始資料!Q464&lt;&gt;"",原始資料!R464=原始資料!Q464),N(O464)+1,1))</f>
        <v/>
      </c>
      <c r="Q464" s="6">
        <f>IF(OR(原始資料!$A464="",16&gt;設定!$B$3,原始資料!S464=""),"",IF(AND(原始資料!R464&lt;&gt;"",原始資料!S464=原始資料!R464),N(P464)+1,1))</f>
        <v/>
      </c>
      <c r="R464" s="6">
        <f>IF(OR(原始資料!$A464="",17&gt;設定!$B$3,原始資料!T464=""),"",IF(AND(原始資料!S464&lt;&gt;"",原始資料!T464=原始資料!S464),N(Q464)+1,1))</f>
        <v/>
      </c>
      <c r="S464" s="6">
        <f>IF(OR(原始資料!$A464="",18&gt;設定!$B$3,原始資料!U464=""),"",IF(AND(原始資料!T464&lt;&gt;"",原始資料!U464=原始資料!T464),N(R464)+1,1))</f>
        <v/>
      </c>
      <c r="T464" s="6">
        <f>IF(OR(原始資料!$A464="",19&gt;設定!$B$3,原始資料!V464=""),"",IF(AND(原始資料!U464&lt;&gt;"",原始資料!V464=原始資料!U464),N(S464)+1,1))</f>
        <v/>
      </c>
      <c r="U464" s="6">
        <f>IF(OR(原始資料!$A464="",20&gt;設定!$B$3,原始資料!W464=""),"",IF(AND(原始資料!V464&lt;&gt;"",原始資料!W464=原始資料!V464),N(T464)+1,1))</f>
        <v/>
      </c>
      <c r="V464" s="6">
        <f>IF(OR(原始資料!$A464="",21&gt;設定!$B$3,原始資料!X464=""),"",IF(AND(原始資料!W464&lt;&gt;"",原始資料!X464=原始資料!W464),N(U464)+1,1))</f>
        <v/>
      </c>
      <c r="W464" s="6">
        <f>IF(OR(原始資料!$A464="",22&gt;設定!$B$3,原始資料!Y464=""),"",IF(AND(原始資料!X464&lt;&gt;"",原始資料!Y464=原始資料!X464),N(V464)+1,1))</f>
        <v/>
      </c>
      <c r="X464" s="6">
        <f>IF(OR(原始資料!$A464="",23&gt;設定!$B$3,原始資料!Z464=""),"",IF(AND(原始資料!Y464&lt;&gt;"",原始資料!Z464=原始資料!Y464),N(W464)+1,1))</f>
        <v/>
      </c>
      <c r="Y464" s="6">
        <f>IF(OR(原始資料!$A464="",24&gt;設定!$B$3,原始資料!AA464=""),"",IF(AND(原始資料!Z464&lt;&gt;"",原始資料!AA464=原始資料!Z464),N(X464)+1,1))</f>
        <v/>
      </c>
      <c r="Z464" s="6">
        <f>IF(OR(原始資料!$A464="",25&gt;設定!$B$3,原始資料!AB464=""),"",IF(AND(原始資料!AA464&lt;&gt;"",原始資料!AB464=原始資料!AA464),N(Y464)+1,1))</f>
        <v/>
      </c>
      <c r="AA464" s="6">
        <f>IF(OR(原始資料!$A464="",26&gt;設定!$B$3,原始資料!AC464=""),"",IF(AND(原始資料!AB464&lt;&gt;"",原始資料!AC464=原始資料!AB464),N(Z464)+1,1))</f>
        <v/>
      </c>
      <c r="AB464" s="6">
        <f>IF(OR(原始資料!$A464="",27&gt;設定!$B$3,原始資料!AD464=""),"",IF(AND(原始資料!AC464&lt;&gt;"",原始資料!AD464=原始資料!AC464),N(AA464)+1,1))</f>
        <v/>
      </c>
      <c r="AC464" s="6">
        <f>IF(OR(原始資料!$A464="",28&gt;設定!$B$3,原始資料!AE464=""),"",IF(AND(原始資料!AD464&lt;&gt;"",原始資料!AE464=原始資料!AD464),N(AB464)+1,1))</f>
        <v/>
      </c>
      <c r="AD464" s="6">
        <f>IF(OR(原始資料!$A464="",29&gt;設定!$B$3,原始資料!AF464=""),"",IF(AND(原始資料!AE464&lt;&gt;"",原始資料!AF464=原始資料!AE464),N(AC464)+1,1))</f>
        <v/>
      </c>
      <c r="AE464" s="6">
        <f>IF(OR(原始資料!$A464="",30&gt;設定!$B$3,原始資料!AG464=""),"",IF(AND(原始資料!AF464&lt;&gt;"",原始資料!AG464=原始資料!AF464),N(AD464)+1,1))</f>
        <v/>
      </c>
      <c r="AF464" s="6">
        <f>IF(OR(原始資料!$A464="",31&gt;設定!$B$3,原始資料!AH464=""),"",IF(AND(原始資料!AG464&lt;&gt;"",原始資料!AH464=原始資料!AG464),N(AE464)+1,1))</f>
        <v/>
      </c>
      <c r="AG464" s="6">
        <f>IF(OR(原始資料!$A464="",32&gt;設定!$B$3,原始資料!AI464=""),"",IF(AND(原始資料!AH464&lt;&gt;"",原始資料!AI464=原始資料!AH464),N(AF464)+1,1))</f>
        <v/>
      </c>
      <c r="AH464" s="6">
        <f>IF(OR(原始資料!$A464="",33&gt;設定!$B$3,原始資料!AJ464=""),"",IF(AND(原始資料!AI464&lt;&gt;"",原始資料!AJ464=原始資料!AI464),N(AG464)+1,1))</f>
        <v/>
      </c>
      <c r="AI464" s="6">
        <f>IF(OR(原始資料!$A464="",34&gt;設定!$B$3,原始資料!AK464=""),"",IF(AND(原始資料!AJ464&lt;&gt;"",原始資料!AK464=原始資料!AJ464),N(AH464)+1,1))</f>
        <v/>
      </c>
      <c r="AJ464" s="6">
        <f>IF(OR(原始資料!$A464="",35&gt;設定!$B$3,原始資料!AL464=""),"",IF(AND(原始資料!AK464&lt;&gt;"",原始資料!AL464=原始資料!AK464),N(AI464)+1,1))</f>
        <v/>
      </c>
      <c r="AK464" s="6">
        <f>IF(OR(原始資料!$A464="",36&gt;設定!$B$3,原始資料!AM464=""),"",IF(AND(原始資料!AL464&lt;&gt;"",原始資料!AM464=原始資料!AL464),N(AJ464)+1,1))</f>
        <v/>
      </c>
      <c r="AL464" s="6">
        <f>IF(OR(原始資料!$A464="",37&gt;設定!$B$3,原始資料!AN464=""),"",IF(AND(原始資料!AM464&lt;&gt;"",原始資料!AN464=原始資料!AM464),N(AK464)+1,1))</f>
        <v/>
      </c>
      <c r="AM464" s="6">
        <f>IF(OR(原始資料!$A464="",38&gt;設定!$B$3,原始資料!AO464=""),"",IF(AND(原始資料!AN464&lt;&gt;"",原始資料!AO464=原始資料!AN464),N(AL464)+1,1))</f>
        <v/>
      </c>
      <c r="AN464" s="6">
        <f>IF(OR(原始資料!$A464="",39&gt;設定!$B$3,原始資料!AP464=""),"",IF(AND(原始資料!AO464&lt;&gt;"",原始資料!AP464=原始資料!AO464),N(AM464)+1,1))</f>
        <v/>
      </c>
      <c r="AO464" s="6">
        <f>IF(OR(原始資料!$A464="",40&gt;設定!$B$3,原始資料!AQ464=""),"",IF(AND(原始資料!AP464&lt;&gt;"",原始資料!AQ464=原始資料!AP464),N(AN464)+1,1))</f>
        <v/>
      </c>
      <c r="AP464" s="6">
        <f>IF(OR(原始資料!$A464="",41&gt;設定!$B$3,原始資料!AR464=""),"",IF(AND(原始資料!AQ464&lt;&gt;"",原始資料!AR464=原始資料!AQ464),N(AO464)+1,1))</f>
        <v/>
      </c>
      <c r="AQ464" s="6">
        <f>IF(OR(原始資料!$A464="",42&gt;設定!$B$3,原始資料!AS464=""),"",IF(AND(原始資料!AR464&lt;&gt;"",原始資料!AS464=原始資料!AR464),N(AP464)+1,1))</f>
        <v/>
      </c>
      <c r="AR464" s="6">
        <f>IF(OR(原始資料!$A464="",43&gt;設定!$B$3,原始資料!AT464=""),"",IF(AND(原始資料!AS464&lt;&gt;"",原始資料!AT464=原始資料!AS464),N(AQ464)+1,1))</f>
        <v/>
      </c>
      <c r="AS464" s="6">
        <f>IF(OR(原始資料!$A464="",44&gt;設定!$B$3,原始資料!AU464=""),"",IF(AND(原始資料!AT464&lt;&gt;"",原始資料!AU464=原始資料!AT464),N(AR464)+1,1))</f>
        <v/>
      </c>
      <c r="AT464" s="6">
        <f>IF(OR(原始資料!$A464="",45&gt;設定!$B$3,原始資料!AV464=""),"",IF(AND(原始資料!AU464&lt;&gt;"",原始資料!AV464=原始資料!AU464),N(AS464)+1,1))</f>
        <v/>
      </c>
      <c r="AU464" s="6">
        <f>IF(OR(原始資料!$A464="",46&gt;設定!$B$3,原始資料!AW464=""),"",IF(AND(原始資料!AV464&lt;&gt;"",原始資料!AW464=原始資料!AV464),N(AT464)+1,1))</f>
        <v/>
      </c>
      <c r="AV464" s="6">
        <f>IF(OR(原始資料!$A464="",47&gt;設定!$B$3,原始資料!AX464=""),"",IF(AND(原始資料!AW464&lt;&gt;"",原始資料!AX464=原始資料!AW464),N(AU464)+1,1))</f>
        <v/>
      </c>
      <c r="AW464" s="6">
        <f>IF(OR(原始資料!$A464="",48&gt;設定!$B$3,原始資料!AY464=""),"",IF(AND(原始資料!AX464&lt;&gt;"",原始資料!AY464=原始資料!AX464),N(AV464)+1,1))</f>
        <v/>
      </c>
      <c r="AX464" s="6">
        <f>IF(OR(原始資料!$A464="",49&gt;設定!$B$3,原始資料!AZ464=""),"",IF(AND(原始資料!AY464&lt;&gt;"",原始資料!AZ464=原始資料!AY464),N(AW464)+1,1))</f>
        <v/>
      </c>
      <c r="AY464" s="6">
        <f>IF(OR(原始資料!$A464="",50&gt;設定!$B$3,原始資料!BA464=""),"",IF(AND(原始資料!AZ464&lt;&gt;"",原始資料!BA464=原始資料!AZ464),N(AX464)+1,1))</f>
        <v/>
      </c>
      <c r="AZ464" s="6">
        <f>IF(OR(原始資料!$A464="",51&gt;設定!$B$3,原始資料!BB464=""),"",IF(AND(原始資料!BA464&lt;&gt;"",原始資料!BB464=原始資料!BA464),N(AY464)+1,1))</f>
        <v/>
      </c>
      <c r="BA464" s="6">
        <f>IF(OR(原始資料!$A464="",52&gt;設定!$B$3,原始資料!BC464=""),"",IF(AND(原始資料!BB464&lt;&gt;"",原始資料!BC464=原始資料!BB464),N(AZ464)+1,1))</f>
        <v/>
      </c>
      <c r="BB464" s="6">
        <f>IF(OR(原始資料!$A464="",53&gt;設定!$B$3,原始資料!BD464=""),"",IF(AND(原始資料!BC464&lt;&gt;"",原始資料!BD464=原始資料!BC464),N(BA464)+1,1))</f>
        <v/>
      </c>
      <c r="BC464" s="6">
        <f>IF(OR(原始資料!$A464="",54&gt;設定!$B$3,原始資料!BE464=""),"",IF(AND(原始資料!BD464&lt;&gt;"",原始資料!BE464=原始資料!BD464),N(BB464)+1,1))</f>
        <v/>
      </c>
      <c r="BD464" s="6">
        <f>IF(OR(原始資料!$A464="",55&gt;設定!$B$3,原始資料!BF464=""),"",IF(AND(原始資料!BE464&lt;&gt;"",原始資料!BF464=原始資料!BE464),N(BC464)+1,1))</f>
        <v/>
      </c>
      <c r="BE464" s="6">
        <f>IF(OR(原始資料!$A464="",56&gt;設定!$B$3,原始資料!BG464=""),"",IF(AND(原始資料!BF464&lt;&gt;"",原始資料!BG464=原始資料!BF464),N(BD464)+1,1))</f>
        <v/>
      </c>
      <c r="BF464" s="6">
        <f>IF(OR(原始資料!$A464="",57&gt;設定!$B$3,原始資料!BH464=""),"",IF(AND(原始資料!BG464&lt;&gt;"",原始資料!BH464=原始資料!BG464),N(BE464)+1,1))</f>
        <v/>
      </c>
      <c r="BG464" s="6">
        <f>IF(OR(原始資料!$A464="",58&gt;設定!$B$3,原始資料!BI464=""),"",IF(AND(原始資料!BH464&lt;&gt;"",原始資料!BI464=原始資料!BH464),N(BF464)+1,1))</f>
        <v/>
      </c>
      <c r="BH464" s="6">
        <f>IF(OR(原始資料!$A464="",59&gt;設定!$B$3,原始資料!BJ464=""),"",IF(AND(原始資料!BI464&lt;&gt;"",原始資料!BJ464=原始資料!BI464),N(BG464)+1,1))</f>
        <v/>
      </c>
      <c r="BI464" s="6">
        <f>IF(OR(原始資料!$A464="",60&gt;設定!$B$3,原始資料!BK464=""),"",IF(AND(原始資料!BJ464&lt;&gt;"",原始資料!BK464=原始資料!BJ464),N(BH464)+1,1))</f>
        <v/>
      </c>
    </row>
    <row r="465">
      <c r="A465" s="6">
        <f>IF(原始資料!$A465="","",原始資料!$A465)</f>
        <v/>
      </c>
      <c r="B465" s="6">
        <f>IF(OR(原始資料!$A465="",1&gt;設定!$B$3,原始資料!D465=""),"",1)</f>
        <v/>
      </c>
      <c r="C465" s="6">
        <f>IF(OR(原始資料!$A465="",2&gt;設定!$B$3,原始資料!E465=""),"",IF(AND(原始資料!D465&lt;&gt;"",原始資料!E465=原始資料!D465),N(B465)+1,1))</f>
        <v/>
      </c>
      <c r="D465" s="6">
        <f>IF(OR(原始資料!$A465="",3&gt;設定!$B$3,原始資料!F465=""),"",IF(AND(原始資料!E465&lt;&gt;"",原始資料!F465=原始資料!E465),N(C465)+1,1))</f>
        <v/>
      </c>
      <c r="E465" s="6">
        <f>IF(OR(原始資料!$A465="",4&gt;設定!$B$3,原始資料!G465=""),"",IF(AND(原始資料!F465&lt;&gt;"",原始資料!G465=原始資料!F465),N(D465)+1,1))</f>
        <v/>
      </c>
      <c r="F465" s="6">
        <f>IF(OR(原始資料!$A465="",5&gt;設定!$B$3,原始資料!H465=""),"",IF(AND(原始資料!G465&lt;&gt;"",原始資料!H465=原始資料!G465),N(E465)+1,1))</f>
        <v/>
      </c>
      <c r="G465" s="6">
        <f>IF(OR(原始資料!$A465="",6&gt;設定!$B$3,原始資料!I465=""),"",IF(AND(原始資料!H465&lt;&gt;"",原始資料!I465=原始資料!H465),N(F465)+1,1))</f>
        <v/>
      </c>
      <c r="H465" s="6">
        <f>IF(OR(原始資料!$A465="",7&gt;設定!$B$3,原始資料!J465=""),"",IF(AND(原始資料!I465&lt;&gt;"",原始資料!J465=原始資料!I465),N(G465)+1,1))</f>
        <v/>
      </c>
      <c r="I465" s="6">
        <f>IF(OR(原始資料!$A465="",8&gt;設定!$B$3,原始資料!K465=""),"",IF(AND(原始資料!J465&lt;&gt;"",原始資料!K465=原始資料!J465),N(H465)+1,1))</f>
        <v/>
      </c>
      <c r="J465" s="6">
        <f>IF(OR(原始資料!$A465="",9&gt;設定!$B$3,原始資料!L465=""),"",IF(AND(原始資料!K465&lt;&gt;"",原始資料!L465=原始資料!K465),N(I465)+1,1))</f>
        <v/>
      </c>
      <c r="K465" s="6">
        <f>IF(OR(原始資料!$A465="",10&gt;設定!$B$3,原始資料!M465=""),"",IF(AND(原始資料!L465&lt;&gt;"",原始資料!M465=原始資料!L465),N(J465)+1,1))</f>
        <v/>
      </c>
      <c r="L465" s="6">
        <f>IF(OR(原始資料!$A465="",11&gt;設定!$B$3,原始資料!N465=""),"",IF(AND(原始資料!M465&lt;&gt;"",原始資料!N465=原始資料!M465),N(K465)+1,1))</f>
        <v/>
      </c>
      <c r="M465" s="6">
        <f>IF(OR(原始資料!$A465="",12&gt;設定!$B$3,原始資料!O465=""),"",IF(AND(原始資料!N465&lt;&gt;"",原始資料!O465=原始資料!N465),N(L465)+1,1))</f>
        <v/>
      </c>
      <c r="N465" s="6">
        <f>IF(OR(原始資料!$A465="",13&gt;設定!$B$3,原始資料!P465=""),"",IF(AND(原始資料!O465&lt;&gt;"",原始資料!P465=原始資料!O465),N(M465)+1,1))</f>
        <v/>
      </c>
      <c r="O465" s="6">
        <f>IF(OR(原始資料!$A465="",14&gt;設定!$B$3,原始資料!Q465=""),"",IF(AND(原始資料!P465&lt;&gt;"",原始資料!Q465=原始資料!P465),N(N465)+1,1))</f>
        <v/>
      </c>
      <c r="P465" s="6">
        <f>IF(OR(原始資料!$A465="",15&gt;設定!$B$3,原始資料!R465=""),"",IF(AND(原始資料!Q465&lt;&gt;"",原始資料!R465=原始資料!Q465),N(O465)+1,1))</f>
        <v/>
      </c>
      <c r="Q465" s="6">
        <f>IF(OR(原始資料!$A465="",16&gt;設定!$B$3,原始資料!S465=""),"",IF(AND(原始資料!R465&lt;&gt;"",原始資料!S465=原始資料!R465),N(P465)+1,1))</f>
        <v/>
      </c>
      <c r="R465" s="6">
        <f>IF(OR(原始資料!$A465="",17&gt;設定!$B$3,原始資料!T465=""),"",IF(AND(原始資料!S465&lt;&gt;"",原始資料!T465=原始資料!S465),N(Q465)+1,1))</f>
        <v/>
      </c>
      <c r="S465" s="6">
        <f>IF(OR(原始資料!$A465="",18&gt;設定!$B$3,原始資料!U465=""),"",IF(AND(原始資料!T465&lt;&gt;"",原始資料!U465=原始資料!T465),N(R465)+1,1))</f>
        <v/>
      </c>
      <c r="T465" s="6">
        <f>IF(OR(原始資料!$A465="",19&gt;設定!$B$3,原始資料!V465=""),"",IF(AND(原始資料!U465&lt;&gt;"",原始資料!V465=原始資料!U465),N(S465)+1,1))</f>
        <v/>
      </c>
      <c r="U465" s="6">
        <f>IF(OR(原始資料!$A465="",20&gt;設定!$B$3,原始資料!W465=""),"",IF(AND(原始資料!V465&lt;&gt;"",原始資料!W465=原始資料!V465),N(T465)+1,1))</f>
        <v/>
      </c>
      <c r="V465" s="6">
        <f>IF(OR(原始資料!$A465="",21&gt;設定!$B$3,原始資料!X465=""),"",IF(AND(原始資料!W465&lt;&gt;"",原始資料!X465=原始資料!W465),N(U465)+1,1))</f>
        <v/>
      </c>
      <c r="W465" s="6">
        <f>IF(OR(原始資料!$A465="",22&gt;設定!$B$3,原始資料!Y465=""),"",IF(AND(原始資料!X465&lt;&gt;"",原始資料!Y465=原始資料!X465),N(V465)+1,1))</f>
        <v/>
      </c>
      <c r="X465" s="6">
        <f>IF(OR(原始資料!$A465="",23&gt;設定!$B$3,原始資料!Z465=""),"",IF(AND(原始資料!Y465&lt;&gt;"",原始資料!Z465=原始資料!Y465),N(W465)+1,1))</f>
        <v/>
      </c>
      <c r="Y465" s="6">
        <f>IF(OR(原始資料!$A465="",24&gt;設定!$B$3,原始資料!AA465=""),"",IF(AND(原始資料!Z465&lt;&gt;"",原始資料!AA465=原始資料!Z465),N(X465)+1,1))</f>
        <v/>
      </c>
      <c r="Z465" s="6">
        <f>IF(OR(原始資料!$A465="",25&gt;設定!$B$3,原始資料!AB465=""),"",IF(AND(原始資料!AA465&lt;&gt;"",原始資料!AB465=原始資料!AA465),N(Y465)+1,1))</f>
        <v/>
      </c>
      <c r="AA465" s="6">
        <f>IF(OR(原始資料!$A465="",26&gt;設定!$B$3,原始資料!AC465=""),"",IF(AND(原始資料!AB465&lt;&gt;"",原始資料!AC465=原始資料!AB465),N(Z465)+1,1))</f>
        <v/>
      </c>
      <c r="AB465" s="6">
        <f>IF(OR(原始資料!$A465="",27&gt;設定!$B$3,原始資料!AD465=""),"",IF(AND(原始資料!AC465&lt;&gt;"",原始資料!AD465=原始資料!AC465),N(AA465)+1,1))</f>
        <v/>
      </c>
      <c r="AC465" s="6">
        <f>IF(OR(原始資料!$A465="",28&gt;設定!$B$3,原始資料!AE465=""),"",IF(AND(原始資料!AD465&lt;&gt;"",原始資料!AE465=原始資料!AD465),N(AB465)+1,1))</f>
        <v/>
      </c>
      <c r="AD465" s="6">
        <f>IF(OR(原始資料!$A465="",29&gt;設定!$B$3,原始資料!AF465=""),"",IF(AND(原始資料!AE465&lt;&gt;"",原始資料!AF465=原始資料!AE465),N(AC465)+1,1))</f>
        <v/>
      </c>
      <c r="AE465" s="6">
        <f>IF(OR(原始資料!$A465="",30&gt;設定!$B$3,原始資料!AG465=""),"",IF(AND(原始資料!AF465&lt;&gt;"",原始資料!AG465=原始資料!AF465),N(AD465)+1,1))</f>
        <v/>
      </c>
      <c r="AF465" s="6">
        <f>IF(OR(原始資料!$A465="",31&gt;設定!$B$3,原始資料!AH465=""),"",IF(AND(原始資料!AG465&lt;&gt;"",原始資料!AH465=原始資料!AG465),N(AE465)+1,1))</f>
        <v/>
      </c>
      <c r="AG465" s="6">
        <f>IF(OR(原始資料!$A465="",32&gt;設定!$B$3,原始資料!AI465=""),"",IF(AND(原始資料!AH465&lt;&gt;"",原始資料!AI465=原始資料!AH465),N(AF465)+1,1))</f>
        <v/>
      </c>
      <c r="AH465" s="6">
        <f>IF(OR(原始資料!$A465="",33&gt;設定!$B$3,原始資料!AJ465=""),"",IF(AND(原始資料!AI465&lt;&gt;"",原始資料!AJ465=原始資料!AI465),N(AG465)+1,1))</f>
        <v/>
      </c>
      <c r="AI465" s="6">
        <f>IF(OR(原始資料!$A465="",34&gt;設定!$B$3,原始資料!AK465=""),"",IF(AND(原始資料!AJ465&lt;&gt;"",原始資料!AK465=原始資料!AJ465),N(AH465)+1,1))</f>
        <v/>
      </c>
      <c r="AJ465" s="6">
        <f>IF(OR(原始資料!$A465="",35&gt;設定!$B$3,原始資料!AL465=""),"",IF(AND(原始資料!AK465&lt;&gt;"",原始資料!AL465=原始資料!AK465),N(AI465)+1,1))</f>
        <v/>
      </c>
      <c r="AK465" s="6">
        <f>IF(OR(原始資料!$A465="",36&gt;設定!$B$3,原始資料!AM465=""),"",IF(AND(原始資料!AL465&lt;&gt;"",原始資料!AM465=原始資料!AL465),N(AJ465)+1,1))</f>
        <v/>
      </c>
      <c r="AL465" s="6">
        <f>IF(OR(原始資料!$A465="",37&gt;設定!$B$3,原始資料!AN465=""),"",IF(AND(原始資料!AM465&lt;&gt;"",原始資料!AN465=原始資料!AM465),N(AK465)+1,1))</f>
        <v/>
      </c>
      <c r="AM465" s="6">
        <f>IF(OR(原始資料!$A465="",38&gt;設定!$B$3,原始資料!AO465=""),"",IF(AND(原始資料!AN465&lt;&gt;"",原始資料!AO465=原始資料!AN465),N(AL465)+1,1))</f>
        <v/>
      </c>
      <c r="AN465" s="6">
        <f>IF(OR(原始資料!$A465="",39&gt;設定!$B$3,原始資料!AP465=""),"",IF(AND(原始資料!AO465&lt;&gt;"",原始資料!AP465=原始資料!AO465),N(AM465)+1,1))</f>
        <v/>
      </c>
      <c r="AO465" s="6">
        <f>IF(OR(原始資料!$A465="",40&gt;設定!$B$3,原始資料!AQ465=""),"",IF(AND(原始資料!AP465&lt;&gt;"",原始資料!AQ465=原始資料!AP465),N(AN465)+1,1))</f>
        <v/>
      </c>
      <c r="AP465" s="6">
        <f>IF(OR(原始資料!$A465="",41&gt;設定!$B$3,原始資料!AR465=""),"",IF(AND(原始資料!AQ465&lt;&gt;"",原始資料!AR465=原始資料!AQ465),N(AO465)+1,1))</f>
        <v/>
      </c>
      <c r="AQ465" s="6">
        <f>IF(OR(原始資料!$A465="",42&gt;設定!$B$3,原始資料!AS465=""),"",IF(AND(原始資料!AR465&lt;&gt;"",原始資料!AS465=原始資料!AR465),N(AP465)+1,1))</f>
        <v/>
      </c>
      <c r="AR465" s="6">
        <f>IF(OR(原始資料!$A465="",43&gt;設定!$B$3,原始資料!AT465=""),"",IF(AND(原始資料!AS465&lt;&gt;"",原始資料!AT465=原始資料!AS465),N(AQ465)+1,1))</f>
        <v/>
      </c>
      <c r="AS465" s="6">
        <f>IF(OR(原始資料!$A465="",44&gt;設定!$B$3,原始資料!AU465=""),"",IF(AND(原始資料!AT465&lt;&gt;"",原始資料!AU465=原始資料!AT465),N(AR465)+1,1))</f>
        <v/>
      </c>
      <c r="AT465" s="6">
        <f>IF(OR(原始資料!$A465="",45&gt;設定!$B$3,原始資料!AV465=""),"",IF(AND(原始資料!AU465&lt;&gt;"",原始資料!AV465=原始資料!AU465),N(AS465)+1,1))</f>
        <v/>
      </c>
      <c r="AU465" s="6">
        <f>IF(OR(原始資料!$A465="",46&gt;設定!$B$3,原始資料!AW465=""),"",IF(AND(原始資料!AV465&lt;&gt;"",原始資料!AW465=原始資料!AV465),N(AT465)+1,1))</f>
        <v/>
      </c>
      <c r="AV465" s="6">
        <f>IF(OR(原始資料!$A465="",47&gt;設定!$B$3,原始資料!AX465=""),"",IF(AND(原始資料!AW465&lt;&gt;"",原始資料!AX465=原始資料!AW465),N(AU465)+1,1))</f>
        <v/>
      </c>
      <c r="AW465" s="6">
        <f>IF(OR(原始資料!$A465="",48&gt;設定!$B$3,原始資料!AY465=""),"",IF(AND(原始資料!AX465&lt;&gt;"",原始資料!AY465=原始資料!AX465),N(AV465)+1,1))</f>
        <v/>
      </c>
      <c r="AX465" s="6">
        <f>IF(OR(原始資料!$A465="",49&gt;設定!$B$3,原始資料!AZ465=""),"",IF(AND(原始資料!AY465&lt;&gt;"",原始資料!AZ465=原始資料!AY465),N(AW465)+1,1))</f>
        <v/>
      </c>
      <c r="AY465" s="6">
        <f>IF(OR(原始資料!$A465="",50&gt;設定!$B$3,原始資料!BA465=""),"",IF(AND(原始資料!AZ465&lt;&gt;"",原始資料!BA465=原始資料!AZ465),N(AX465)+1,1))</f>
        <v/>
      </c>
      <c r="AZ465" s="6">
        <f>IF(OR(原始資料!$A465="",51&gt;設定!$B$3,原始資料!BB465=""),"",IF(AND(原始資料!BA465&lt;&gt;"",原始資料!BB465=原始資料!BA465),N(AY465)+1,1))</f>
        <v/>
      </c>
      <c r="BA465" s="6">
        <f>IF(OR(原始資料!$A465="",52&gt;設定!$B$3,原始資料!BC465=""),"",IF(AND(原始資料!BB465&lt;&gt;"",原始資料!BC465=原始資料!BB465),N(AZ465)+1,1))</f>
        <v/>
      </c>
      <c r="BB465" s="6">
        <f>IF(OR(原始資料!$A465="",53&gt;設定!$B$3,原始資料!BD465=""),"",IF(AND(原始資料!BC465&lt;&gt;"",原始資料!BD465=原始資料!BC465),N(BA465)+1,1))</f>
        <v/>
      </c>
      <c r="BC465" s="6">
        <f>IF(OR(原始資料!$A465="",54&gt;設定!$B$3,原始資料!BE465=""),"",IF(AND(原始資料!BD465&lt;&gt;"",原始資料!BE465=原始資料!BD465),N(BB465)+1,1))</f>
        <v/>
      </c>
      <c r="BD465" s="6">
        <f>IF(OR(原始資料!$A465="",55&gt;設定!$B$3,原始資料!BF465=""),"",IF(AND(原始資料!BE465&lt;&gt;"",原始資料!BF465=原始資料!BE465),N(BC465)+1,1))</f>
        <v/>
      </c>
      <c r="BE465" s="6">
        <f>IF(OR(原始資料!$A465="",56&gt;設定!$B$3,原始資料!BG465=""),"",IF(AND(原始資料!BF465&lt;&gt;"",原始資料!BG465=原始資料!BF465),N(BD465)+1,1))</f>
        <v/>
      </c>
      <c r="BF465" s="6">
        <f>IF(OR(原始資料!$A465="",57&gt;設定!$B$3,原始資料!BH465=""),"",IF(AND(原始資料!BG465&lt;&gt;"",原始資料!BH465=原始資料!BG465),N(BE465)+1,1))</f>
        <v/>
      </c>
      <c r="BG465" s="6">
        <f>IF(OR(原始資料!$A465="",58&gt;設定!$B$3,原始資料!BI465=""),"",IF(AND(原始資料!BH465&lt;&gt;"",原始資料!BI465=原始資料!BH465),N(BF465)+1,1))</f>
        <v/>
      </c>
      <c r="BH465" s="6">
        <f>IF(OR(原始資料!$A465="",59&gt;設定!$B$3,原始資料!BJ465=""),"",IF(AND(原始資料!BI465&lt;&gt;"",原始資料!BJ465=原始資料!BI465),N(BG465)+1,1))</f>
        <v/>
      </c>
      <c r="BI465" s="6">
        <f>IF(OR(原始資料!$A465="",60&gt;設定!$B$3,原始資料!BK465=""),"",IF(AND(原始資料!BJ465&lt;&gt;"",原始資料!BK465=原始資料!BJ465),N(BH465)+1,1))</f>
        <v/>
      </c>
    </row>
    <row r="466">
      <c r="A466" s="6">
        <f>IF(原始資料!$A466="","",原始資料!$A466)</f>
        <v/>
      </c>
      <c r="B466" s="6">
        <f>IF(OR(原始資料!$A466="",1&gt;設定!$B$3,原始資料!D466=""),"",1)</f>
        <v/>
      </c>
      <c r="C466" s="6">
        <f>IF(OR(原始資料!$A466="",2&gt;設定!$B$3,原始資料!E466=""),"",IF(AND(原始資料!D466&lt;&gt;"",原始資料!E466=原始資料!D466),N(B466)+1,1))</f>
        <v/>
      </c>
      <c r="D466" s="6">
        <f>IF(OR(原始資料!$A466="",3&gt;設定!$B$3,原始資料!F466=""),"",IF(AND(原始資料!E466&lt;&gt;"",原始資料!F466=原始資料!E466),N(C466)+1,1))</f>
        <v/>
      </c>
      <c r="E466" s="6">
        <f>IF(OR(原始資料!$A466="",4&gt;設定!$B$3,原始資料!G466=""),"",IF(AND(原始資料!F466&lt;&gt;"",原始資料!G466=原始資料!F466),N(D466)+1,1))</f>
        <v/>
      </c>
      <c r="F466" s="6">
        <f>IF(OR(原始資料!$A466="",5&gt;設定!$B$3,原始資料!H466=""),"",IF(AND(原始資料!G466&lt;&gt;"",原始資料!H466=原始資料!G466),N(E466)+1,1))</f>
        <v/>
      </c>
      <c r="G466" s="6">
        <f>IF(OR(原始資料!$A466="",6&gt;設定!$B$3,原始資料!I466=""),"",IF(AND(原始資料!H466&lt;&gt;"",原始資料!I466=原始資料!H466),N(F466)+1,1))</f>
        <v/>
      </c>
      <c r="H466" s="6">
        <f>IF(OR(原始資料!$A466="",7&gt;設定!$B$3,原始資料!J466=""),"",IF(AND(原始資料!I466&lt;&gt;"",原始資料!J466=原始資料!I466),N(G466)+1,1))</f>
        <v/>
      </c>
      <c r="I466" s="6">
        <f>IF(OR(原始資料!$A466="",8&gt;設定!$B$3,原始資料!K466=""),"",IF(AND(原始資料!J466&lt;&gt;"",原始資料!K466=原始資料!J466),N(H466)+1,1))</f>
        <v/>
      </c>
      <c r="J466" s="6">
        <f>IF(OR(原始資料!$A466="",9&gt;設定!$B$3,原始資料!L466=""),"",IF(AND(原始資料!K466&lt;&gt;"",原始資料!L466=原始資料!K466),N(I466)+1,1))</f>
        <v/>
      </c>
      <c r="K466" s="6">
        <f>IF(OR(原始資料!$A466="",10&gt;設定!$B$3,原始資料!M466=""),"",IF(AND(原始資料!L466&lt;&gt;"",原始資料!M466=原始資料!L466),N(J466)+1,1))</f>
        <v/>
      </c>
      <c r="L466" s="6">
        <f>IF(OR(原始資料!$A466="",11&gt;設定!$B$3,原始資料!N466=""),"",IF(AND(原始資料!M466&lt;&gt;"",原始資料!N466=原始資料!M466),N(K466)+1,1))</f>
        <v/>
      </c>
      <c r="M466" s="6">
        <f>IF(OR(原始資料!$A466="",12&gt;設定!$B$3,原始資料!O466=""),"",IF(AND(原始資料!N466&lt;&gt;"",原始資料!O466=原始資料!N466),N(L466)+1,1))</f>
        <v/>
      </c>
      <c r="N466" s="6">
        <f>IF(OR(原始資料!$A466="",13&gt;設定!$B$3,原始資料!P466=""),"",IF(AND(原始資料!O466&lt;&gt;"",原始資料!P466=原始資料!O466),N(M466)+1,1))</f>
        <v/>
      </c>
      <c r="O466" s="6">
        <f>IF(OR(原始資料!$A466="",14&gt;設定!$B$3,原始資料!Q466=""),"",IF(AND(原始資料!P466&lt;&gt;"",原始資料!Q466=原始資料!P466),N(N466)+1,1))</f>
        <v/>
      </c>
      <c r="P466" s="6">
        <f>IF(OR(原始資料!$A466="",15&gt;設定!$B$3,原始資料!R466=""),"",IF(AND(原始資料!Q466&lt;&gt;"",原始資料!R466=原始資料!Q466),N(O466)+1,1))</f>
        <v/>
      </c>
      <c r="Q466" s="6">
        <f>IF(OR(原始資料!$A466="",16&gt;設定!$B$3,原始資料!S466=""),"",IF(AND(原始資料!R466&lt;&gt;"",原始資料!S466=原始資料!R466),N(P466)+1,1))</f>
        <v/>
      </c>
      <c r="R466" s="6">
        <f>IF(OR(原始資料!$A466="",17&gt;設定!$B$3,原始資料!T466=""),"",IF(AND(原始資料!S466&lt;&gt;"",原始資料!T466=原始資料!S466),N(Q466)+1,1))</f>
        <v/>
      </c>
      <c r="S466" s="6">
        <f>IF(OR(原始資料!$A466="",18&gt;設定!$B$3,原始資料!U466=""),"",IF(AND(原始資料!T466&lt;&gt;"",原始資料!U466=原始資料!T466),N(R466)+1,1))</f>
        <v/>
      </c>
      <c r="T466" s="6">
        <f>IF(OR(原始資料!$A466="",19&gt;設定!$B$3,原始資料!V466=""),"",IF(AND(原始資料!U466&lt;&gt;"",原始資料!V466=原始資料!U466),N(S466)+1,1))</f>
        <v/>
      </c>
      <c r="U466" s="6">
        <f>IF(OR(原始資料!$A466="",20&gt;設定!$B$3,原始資料!W466=""),"",IF(AND(原始資料!V466&lt;&gt;"",原始資料!W466=原始資料!V466),N(T466)+1,1))</f>
        <v/>
      </c>
      <c r="V466" s="6">
        <f>IF(OR(原始資料!$A466="",21&gt;設定!$B$3,原始資料!X466=""),"",IF(AND(原始資料!W466&lt;&gt;"",原始資料!X466=原始資料!W466),N(U466)+1,1))</f>
        <v/>
      </c>
      <c r="W466" s="6">
        <f>IF(OR(原始資料!$A466="",22&gt;設定!$B$3,原始資料!Y466=""),"",IF(AND(原始資料!X466&lt;&gt;"",原始資料!Y466=原始資料!X466),N(V466)+1,1))</f>
        <v/>
      </c>
      <c r="X466" s="6">
        <f>IF(OR(原始資料!$A466="",23&gt;設定!$B$3,原始資料!Z466=""),"",IF(AND(原始資料!Y466&lt;&gt;"",原始資料!Z466=原始資料!Y466),N(W466)+1,1))</f>
        <v/>
      </c>
      <c r="Y466" s="6">
        <f>IF(OR(原始資料!$A466="",24&gt;設定!$B$3,原始資料!AA466=""),"",IF(AND(原始資料!Z466&lt;&gt;"",原始資料!AA466=原始資料!Z466),N(X466)+1,1))</f>
        <v/>
      </c>
      <c r="Z466" s="6">
        <f>IF(OR(原始資料!$A466="",25&gt;設定!$B$3,原始資料!AB466=""),"",IF(AND(原始資料!AA466&lt;&gt;"",原始資料!AB466=原始資料!AA466),N(Y466)+1,1))</f>
        <v/>
      </c>
      <c r="AA466" s="6">
        <f>IF(OR(原始資料!$A466="",26&gt;設定!$B$3,原始資料!AC466=""),"",IF(AND(原始資料!AB466&lt;&gt;"",原始資料!AC466=原始資料!AB466),N(Z466)+1,1))</f>
        <v/>
      </c>
      <c r="AB466" s="6">
        <f>IF(OR(原始資料!$A466="",27&gt;設定!$B$3,原始資料!AD466=""),"",IF(AND(原始資料!AC466&lt;&gt;"",原始資料!AD466=原始資料!AC466),N(AA466)+1,1))</f>
        <v/>
      </c>
      <c r="AC466" s="6">
        <f>IF(OR(原始資料!$A466="",28&gt;設定!$B$3,原始資料!AE466=""),"",IF(AND(原始資料!AD466&lt;&gt;"",原始資料!AE466=原始資料!AD466),N(AB466)+1,1))</f>
        <v/>
      </c>
      <c r="AD466" s="6">
        <f>IF(OR(原始資料!$A466="",29&gt;設定!$B$3,原始資料!AF466=""),"",IF(AND(原始資料!AE466&lt;&gt;"",原始資料!AF466=原始資料!AE466),N(AC466)+1,1))</f>
        <v/>
      </c>
      <c r="AE466" s="6">
        <f>IF(OR(原始資料!$A466="",30&gt;設定!$B$3,原始資料!AG466=""),"",IF(AND(原始資料!AF466&lt;&gt;"",原始資料!AG466=原始資料!AF466),N(AD466)+1,1))</f>
        <v/>
      </c>
      <c r="AF466" s="6">
        <f>IF(OR(原始資料!$A466="",31&gt;設定!$B$3,原始資料!AH466=""),"",IF(AND(原始資料!AG466&lt;&gt;"",原始資料!AH466=原始資料!AG466),N(AE466)+1,1))</f>
        <v/>
      </c>
      <c r="AG466" s="6">
        <f>IF(OR(原始資料!$A466="",32&gt;設定!$B$3,原始資料!AI466=""),"",IF(AND(原始資料!AH466&lt;&gt;"",原始資料!AI466=原始資料!AH466),N(AF466)+1,1))</f>
        <v/>
      </c>
      <c r="AH466" s="6">
        <f>IF(OR(原始資料!$A466="",33&gt;設定!$B$3,原始資料!AJ466=""),"",IF(AND(原始資料!AI466&lt;&gt;"",原始資料!AJ466=原始資料!AI466),N(AG466)+1,1))</f>
        <v/>
      </c>
      <c r="AI466" s="6">
        <f>IF(OR(原始資料!$A466="",34&gt;設定!$B$3,原始資料!AK466=""),"",IF(AND(原始資料!AJ466&lt;&gt;"",原始資料!AK466=原始資料!AJ466),N(AH466)+1,1))</f>
        <v/>
      </c>
      <c r="AJ466" s="6">
        <f>IF(OR(原始資料!$A466="",35&gt;設定!$B$3,原始資料!AL466=""),"",IF(AND(原始資料!AK466&lt;&gt;"",原始資料!AL466=原始資料!AK466),N(AI466)+1,1))</f>
        <v/>
      </c>
      <c r="AK466" s="6">
        <f>IF(OR(原始資料!$A466="",36&gt;設定!$B$3,原始資料!AM466=""),"",IF(AND(原始資料!AL466&lt;&gt;"",原始資料!AM466=原始資料!AL466),N(AJ466)+1,1))</f>
        <v/>
      </c>
      <c r="AL466" s="6">
        <f>IF(OR(原始資料!$A466="",37&gt;設定!$B$3,原始資料!AN466=""),"",IF(AND(原始資料!AM466&lt;&gt;"",原始資料!AN466=原始資料!AM466),N(AK466)+1,1))</f>
        <v/>
      </c>
      <c r="AM466" s="6">
        <f>IF(OR(原始資料!$A466="",38&gt;設定!$B$3,原始資料!AO466=""),"",IF(AND(原始資料!AN466&lt;&gt;"",原始資料!AO466=原始資料!AN466),N(AL466)+1,1))</f>
        <v/>
      </c>
      <c r="AN466" s="6">
        <f>IF(OR(原始資料!$A466="",39&gt;設定!$B$3,原始資料!AP466=""),"",IF(AND(原始資料!AO466&lt;&gt;"",原始資料!AP466=原始資料!AO466),N(AM466)+1,1))</f>
        <v/>
      </c>
      <c r="AO466" s="6">
        <f>IF(OR(原始資料!$A466="",40&gt;設定!$B$3,原始資料!AQ466=""),"",IF(AND(原始資料!AP466&lt;&gt;"",原始資料!AQ466=原始資料!AP466),N(AN466)+1,1))</f>
        <v/>
      </c>
      <c r="AP466" s="6">
        <f>IF(OR(原始資料!$A466="",41&gt;設定!$B$3,原始資料!AR466=""),"",IF(AND(原始資料!AQ466&lt;&gt;"",原始資料!AR466=原始資料!AQ466),N(AO466)+1,1))</f>
        <v/>
      </c>
      <c r="AQ466" s="6">
        <f>IF(OR(原始資料!$A466="",42&gt;設定!$B$3,原始資料!AS466=""),"",IF(AND(原始資料!AR466&lt;&gt;"",原始資料!AS466=原始資料!AR466),N(AP466)+1,1))</f>
        <v/>
      </c>
      <c r="AR466" s="6">
        <f>IF(OR(原始資料!$A466="",43&gt;設定!$B$3,原始資料!AT466=""),"",IF(AND(原始資料!AS466&lt;&gt;"",原始資料!AT466=原始資料!AS466),N(AQ466)+1,1))</f>
        <v/>
      </c>
      <c r="AS466" s="6">
        <f>IF(OR(原始資料!$A466="",44&gt;設定!$B$3,原始資料!AU466=""),"",IF(AND(原始資料!AT466&lt;&gt;"",原始資料!AU466=原始資料!AT466),N(AR466)+1,1))</f>
        <v/>
      </c>
      <c r="AT466" s="6">
        <f>IF(OR(原始資料!$A466="",45&gt;設定!$B$3,原始資料!AV466=""),"",IF(AND(原始資料!AU466&lt;&gt;"",原始資料!AV466=原始資料!AU466),N(AS466)+1,1))</f>
        <v/>
      </c>
      <c r="AU466" s="6">
        <f>IF(OR(原始資料!$A466="",46&gt;設定!$B$3,原始資料!AW466=""),"",IF(AND(原始資料!AV466&lt;&gt;"",原始資料!AW466=原始資料!AV466),N(AT466)+1,1))</f>
        <v/>
      </c>
      <c r="AV466" s="6">
        <f>IF(OR(原始資料!$A466="",47&gt;設定!$B$3,原始資料!AX466=""),"",IF(AND(原始資料!AW466&lt;&gt;"",原始資料!AX466=原始資料!AW466),N(AU466)+1,1))</f>
        <v/>
      </c>
      <c r="AW466" s="6">
        <f>IF(OR(原始資料!$A466="",48&gt;設定!$B$3,原始資料!AY466=""),"",IF(AND(原始資料!AX466&lt;&gt;"",原始資料!AY466=原始資料!AX466),N(AV466)+1,1))</f>
        <v/>
      </c>
      <c r="AX466" s="6">
        <f>IF(OR(原始資料!$A466="",49&gt;設定!$B$3,原始資料!AZ466=""),"",IF(AND(原始資料!AY466&lt;&gt;"",原始資料!AZ466=原始資料!AY466),N(AW466)+1,1))</f>
        <v/>
      </c>
      <c r="AY466" s="6">
        <f>IF(OR(原始資料!$A466="",50&gt;設定!$B$3,原始資料!BA466=""),"",IF(AND(原始資料!AZ466&lt;&gt;"",原始資料!BA466=原始資料!AZ466),N(AX466)+1,1))</f>
        <v/>
      </c>
      <c r="AZ466" s="6">
        <f>IF(OR(原始資料!$A466="",51&gt;設定!$B$3,原始資料!BB466=""),"",IF(AND(原始資料!BA466&lt;&gt;"",原始資料!BB466=原始資料!BA466),N(AY466)+1,1))</f>
        <v/>
      </c>
      <c r="BA466" s="6">
        <f>IF(OR(原始資料!$A466="",52&gt;設定!$B$3,原始資料!BC466=""),"",IF(AND(原始資料!BB466&lt;&gt;"",原始資料!BC466=原始資料!BB466),N(AZ466)+1,1))</f>
        <v/>
      </c>
      <c r="BB466" s="6">
        <f>IF(OR(原始資料!$A466="",53&gt;設定!$B$3,原始資料!BD466=""),"",IF(AND(原始資料!BC466&lt;&gt;"",原始資料!BD466=原始資料!BC466),N(BA466)+1,1))</f>
        <v/>
      </c>
      <c r="BC466" s="6">
        <f>IF(OR(原始資料!$A466="",54&gt;設定!$B$3,原始資料!BE466=""),"",IF(AND(原始資料!BD466&lt;&gt;"",原始資料!BE466=原始資料!BD466),N(BB466)+1,1))</f>
        <v/>
      </c>
      <c r="BD466" s="6">
        <f>IF(OR(原始資料!$A466="",55&gt;設定!$B$3,原始資料!BF466=""),"",IF(AND(原始資料!BE466&lt;&gt;"",原始資料!BF466=原始資料!BE466),N(BC466)+1,1))</f>
        <v/>
      </c>
      <c r="BE466" s="6">
        <f>IF(OR(原始資料!$A466="",56&gt;設定!$B$3,原始資料!BG466=""),"",IF(AND(原始資料!BF466&lt;&gt;"",原始資料!BG466=原始資料!BF466),N(BD466)+1,1))</f>
        <v/>
      </c>
      <c r="BF466" s="6">
        <f>IF(OR(原始資料!$A466="",57&gt;設定!$B$3,原始資料!BH466=""),"",IF(AND(原始資料!BG466&lt;&gt;"",原始資料!BH466=原始資料!BG466),N(BE466)+1,1))</f>
        <v/>
      </c>
      <c r="BG466" s="6">
        <f>IF(OR(原始資料!$A466="",58&gt;設定!$B$3,原始資料!BI466=""),"",IF(AND(原始資料!BH466&lt;&gt;"",原始資料!BI466=原始資料!BH466),N(BF466)+1,1))</f>
        <v/>
      </c>
      <c r="BH466" s="6">
        <f>IF(OR(原始資料!$A466="",59&gt;設定!$B$3,原始資料!BJ466=""),"",IF(AND(原始資料!BI466&lt;&gt;"",原始資料!BJ466=原始資料!BI466),N(BG466)+1,1))</f>
        <v/>
      </c>
      <c r="BI466" s="6">
        <f>IF(OR(原始資料!$A466="",60&gt;設定!$B$3,原始資料!BK466=""),"",IF(AND(原始資料!BJ466&lt;&gt;"",原始資料!BK466=原始資料!BJ466),N(BH466)+1,1))</f>
        <v/>
      </c>
    </row>
    <row r="467">
      <c r="A467" s="6">
        <f>IF(原始資料!$A467="","",原始資料!$A467)</f>
        <v/>
      </c>
      <c r="B467" s="6">
        <f>IF(OR(原始資料!$A467="",1&gt;設定!$B$3,原始資料!D467=""),"",1)</f>
        <v/>
      </c>
      <c r="C467" s="6">
        <f>IF(OR(原始資料!$A467="",2&gt;設定!$B$3,原始資料!E467=""),"",IF(AND(原始資料!D467&lt;&gt;"",原始資料!E467=原始資料!D467),N(B467)+1,1))</f>
        <v/>
      </c>
      <c r="D467" s="6">
        <f>IF(OR(原始資料!$A467="",3&gt;設定!$B$3,原始資料!F467=""),"",IF(AND(原始資料!E467&lt;&gt;"",原始資料!F467=原始資料!E467),N(C467)+1,1))</f>
        <v/>
      </c>
      <c r="E467" s="6">
        <f>IF(OR(原始資料!$A467="",4&gt;設定!$B$3,原始資料!G467=""),"",IF(AND(原始資料!F467&lt;&gt;"",原始資料!G467=原始資料!F467),N(D467)+1,1))</f>
        <v/>
      </c>
      <c r="F467" s="6">
        <f>IF(OR(原始資料!$A467="",5&gt;設定!$B$3,原始資料!H467=""),"",IF(AND(原始資料!G467&lt;&gt;"",原始資料!H467=原始資料!G467),N(E467)+1,1))</f>
        <v/>
      </c>
      <c r="G467" s="6">
        <f>IF(OR(原始資料!$A467="",6&gt;設定!$B$3,原始資料!I467=""),"",IF(AND(原始資料!H467&lt;&gt;"",原始資料!I467=原始資料!H467),N(F467)+1,1))</f>
        <v/>
      </c>
      <c r="H467" s="6">
        <f>IF(OR(原始資料!$A467="",7&gt;設定!$B$3,原始資料!J467=""),"",IF(AND(原始資料!I467&lt;&gt;"",原始資料!J467=原始資料!I467),N(G467)+1,1))</f>
        <v/>
      </c>
      <c r="I467" s="6">
        <f>IF(OR(原始資料!$A467="",8&gt;設定!$B$3,原始資料!K467=""),"",IF(AND(原始資料!J467&lt;&gt;"",原始資料!K467=原始資料!J467),N(H467)+1,1))</f>
        <v/>
      </c>
      <c r="J467" s="6">
        <f>IF(OR(原始資料!$A467="",9&gt;設定!$B$3,原始資料!L467=""),"",IF(AND(原始資料!K467&lt;&gt;"",原始資料!L467=原始資料!K467),N(I467)+1,1))</f>
        <v/>
      </c>
      <c r="K467" s="6">
        <f>IF(OR(原始資料!$A467="",10&gt;設定!$B$3,原始資料!M467=""),"",IF(AND(原始資料!L467&lt;&gt;"",原始資料!M467=原始資料!L467),N(J467)+1,1))</f>
        <v/>
      </c>
      <c r="L467" s="6">
        <f>IF(OR(原始資料!$A467="",11&gt;設定!$B$3,原始資料!N467=""),"",IF(AND(原始資料!M467&lt;&gt;"",原始資料!N467=原始資料!M467),N(K467)+1,1))</f>
        <v/>
      </c>
      <c r="M467" s="6">
        <f>IF(OR(原始資料!$A467="",12&gt;設定!$B$3,原始資料!O467=""),"",IF(AND(原始資料!N467&lt;&gt;"",原始資料!O467=原始資料!N467),N(L467)+1,1))</f>
        <v/>
      </c>
      <c r="N467" s="6">
        <f>IF(OR(原始資料!$A467="",13&gt;設定!$B$3,原始資料!P467=""),"",IF(AND(原始資料!O467&lt;&gt;"",原始資料!P467=原始資料!O467),N(M467)+1,1))</f>
        <v/>
      </c>
      <c r="O467" s="6">
        <f>IF(OR(原始資料!$A467="",14&gt;設定!$B$3,原始資料!Q467=""),"",IF(AND(原始資料!P467&lt;&gt;"",原始資料!Q467=原始資料!P467),N(N467)+1,1))</f>
        <v/>
      </c>
      <c r="P467" s="6">
        <f>IF(OR(原始資料!$A467="",15&gt;設定!$B$3,原始資料!R467=""),"",IF(AND(原始資料!Q467&lt;&gt;"",原始資料!R467=原始資料!Q467),N(O467)+1,1))</f>
        <v/>
      </c>
      <c r="Q467" s="6">
        <f>IF(OR(原始資料!$A467="",16&gt;設定!$B$3,原始資料!S467=""),"",IF(AND(原始資料!R467&lt;&gt;"",原始資料!S467=原始資料!R467),N(P467)+1,1))</f>
        <v/>
      </c>
      <c r="R467" s="6">
        <f>IF(OR(原始資料!$A467="",17&gt;設定!$B$3,原始資料!T467=""),"",IF(AND(原始資料!S467&lt;&gt;"",原始資料!T467=原始資料!S467),N(Q467)+1,1))</f>
        <v/>
      </c>
      <c r="S467" s="6">
        <f>IF(OR(原始資料!$A467="",18&gt;設定!$B$3,原始資料!U467=""),"",IF(AND(原始資料!T467&lt;&gt;"",原始資料!U467=原始資料!T467),N(R467)+1,1))</f>
        <v/>
      </c>
      <c r="T467" s="6">
        <f>IF(OR(原始資料!$A467="",19&gt;設定!$B$3,原始資料!V467=""),"",IF(AND(原始資料!U467&lt;&gt;"",原始資料!V467=原始資料!U467),N(S467)+1,1))</f>
        <v/>
      </c>
      <c r="U467" s="6">
        <f>IF(OR(原始資料!$A467="",20&gt;設定!$B$3,原始資料!W467=""),"",IF(AND(原始資料!V467&lt;&gt;"",原始資料!W467=原始資料!V467),N(T467)+1,1))</f>
        <v/>
      </c>
      <c r="V467" s="6">
        <f>IF(OR(原始資料!$A467="",21&gt;設定!$B$3,原始資料!X467=""),"",IF(AND(原始資料!W467&lt;&gt;"",原始資料!X467=原始資料!W467),N(U467)+1,1))</f>
        <v/>
      </c>
      <c r="W467" s="6">
        <f>IF(OR(原始資料!$A467="",22&gt;設定!$B$3,原始資料!Y467=""),"",IF(AND(原始資料!X467&lt;&gt;"",原始資料!Y467=原始資料!X467),N(V467)+1,1))</f>
        <v/>
      </c>
      <c r="X467" s="6">
        <f>IF(OR(原始資料!$A467="",23&gt;設定!$B$3,原始資料!Z467=""),"",IF(AND(原始資料!Y467&lt;&gt;"",原始資料!Z467=原始資料!Y467),N(W467)+1,1))</f>
        <v/>
      </c>
      <c r="Y467" s="6">
        <f>IF(OR(原始資料!$A467="",24&gt;設定!$B$3,原始資料!AA467=""),"",IF(AND(原始資料!Z467&lt;&gt;"",原始資料!AA467=原始資料!Z467),N(X467)+1,1))</f>
        <v/>
      </c>
      <c r="Z467" s="6">
        <f>IF(OR(原始資料!$A467="",25&gt;設定!$B$3,原始資料!AB467=""),"",IF(AND(原始資料!AA467&lt;&gt;"",原始資料!AB467=原始資料!AA467),N(Y467)+1,1))</f>
        <v/>
      </c>
      <c r="AA467" s="6">
        <f>IF(OR(原始資料!$A467="",26&gt;設定!$B$3,原始資料!AC467=""),"",IF(AND(原始資料!AB467&lt;&gt;"",原始資料!AC467=原始資料!AB467),N(Z467)+1,1))</f>
        <v/>
      </c>
      <c r="AB467" s="6">
        <f>IF(OR(原始資料!$A467="",27&gt;設定!$B$3,原始資料!AD467=""),"",IF(AND(原始資料!AC467&lt;&gt;"",原始資料!AD467=原始資料!AC467),N(AA467)+1,1))</f>
        <v/>
      </c>
      <c r="AC467" s="6">
        <f>IF(OR(原始資料!$A467="",28&gt;設定!$B$3,原始資料!AE467=""),"",IF(AND(原始資料!AD467&lt;&gt;"",原始資料!AE467=原始資料!AD467),N(AB467)+1,1))</f>
        <v/>
      </c>
      <c r="AD467" s="6">
        <f>IF(OR(原始資料!$A467="",29&gt;設定!$B$3,原始資料!AF467=""),"",IF(AND(原始資料!AE467&lt;&gt;"",原始資料!AF467=原始資料!AE467),N(AC467)+1,1))</f>
        <v/>
      </c>
      <c r="AE467" s="6">
        <f>IF(OR(原始資料!$A467="",30&gt;設定!$B$3,原始資料!AG467=""),"",IF(AND(原始資料!AF467&lt;&gt;"",原始資料!AG467=原始資料!AF467),N(AD467)+1,1))</f>
        <v/>
      </c>
      <c r="AF467" s="6">
        <f>IF(OR(原始資料!$A467="",31&gt;設定!$B$3,原始資料!AH467=""),"",IF(AND(原始資料!AG467&lt;&gt;"",原始資料!AH467=原始資料!AG467),N(AE467)+1,1))</f>
        <v/>
      </c>
      <c r="AG467" s="6">
        <f>IF(OR(原始資料!$A467="",32&gt;設定!$B$3,原始資料!AI467=""),"",IF(AND(原始資料!AH467&lt;&gt;"",原始資料!AI467=原始資料!AH467),N(AF467)+1,1))</f>
        <v/>
      </c>
      <c r="AH467" s="6">
        <f>IF(OR(原始資料!$A467="",33&gt;設定!$B$3,原始資料!AJ467=""),"",IF(AND(原始資料!AI467&lt;&gt;"",原始資料!AJ467=原始資料!AI467),N(AG467)+1,1))</f>
        <v/>
      </c>
      <c r="AI467" s="6">
        <f>IF(OR(原始資料!$A467="",34&gt;設定!$B$3,原始資料!AK467=""),"",IF(AND(原始資料!AJ467&lt;&gt;"",原始資料!AK467=原始資料!AJ467),N(AH467)+1,1))</f>
        <v/>
      </c>
      <c r="AJ467" s="6">
        <f>IF(OR(原始資料!$A467="",35&gt;設定!$B$3,原始資料!AL467=""),"",IF(AND(原始資料!AK467&lt;&gt;"",原始資料!AL467=原始資料!AK467),N(AI467)+1,1))</f>
        <v/>
      </c>
      <c r="AK467" s="6">
        <f>IF(OR(原始資料!$A467="",36&gt;設定!$B$3,原始資料!AM467=""),"",IF(AND(原始資料!AL467&lt;&gt;"",原始資料!AM467=原始資料!AL467),N(AJ467)+1,1))</f>
        <v/>
      </c>
      <c r="AL467" s="6">
        <f>IF(OR(原始資料!$A467="",37&gt;設定!$B$3,原始資料!AN467=""),"",IF(AND(原始資料!AM467&lt;&gt;"",原始資料!AN467=原始資料!AM467),N(AK467)+1,1))</f>
        <v/>
      </c>
      <c r="AM467" s="6">
        <f>IF(OR(原始資料!$A467="",38&gt;設定!$B$3,原始資料!AO467=""),"",IF(AND(原始資料!AN467&lt;&gt;"",原始資料!AO467=原始資料!AN467),N(AL467)+1,1))</f>
        <v/>
      </c>
      <c r="AN467" s="6">
        <f>IF(OR(原始資料!$A467="",39&gt;設定!$B$3,原始資料!AP467=""),"",IF(AND(原始資料!AO467&lt;&gt;"",原始資料!AP467=原始資料!AO467),N(AM467)+1,1))</f>
        <v/>
      </c>
      <c r="AO467" s="6">
        <f>IF(OR(原始資料!$A467="",40&gt;設定!$B$3,原始資料!AQ467=""),"",IF(AND(原始資料!AP467&lt;&gt;"",原始資料!AQ467=原始資料!AP467),N(AN467)+1,1))</f>
        <v/>
      </c>
      <c r="AP467" s="6">
        <f>IF(OR(原始資料!$A467="",41&gt;設定!$B$3,原始資料!AR467=""),"",IF(AND(原始資料!AQ467&lt;&gt;"",原始資料!AR467=原始資料!AQ467),N(AO467)+1,1))</f>
        <v/>
      </c>
      <c r="AQ467" s="6">
        <f>IF(OR(原始資料!$A467="",42&gt;設定!$B$3,原始資料!AS467=""),"",IF(AND(原始資料!AR467&lt;&gt;"",原始資料!AS467=原始資料!AR467),N(AP467)+1,1))</f>
        <v/>
      </c>
      <c r="AR467" s="6">
        <f>IF(OR(原始資料!$A467="",43&gt;設定!$B$3,原始資料!AT467=""),"",IF(AND(原始資料!AS467&lt;&gt;"",原始資料!AT467=原始資料!AS467),N(AQ467)+1,1))</f>
        <v/>
      </c>
      <c r="AS467" s="6">
        <f>IF(OR(原始資料!$A467="",44&gt;設定!$B$3,原始資料!AU467=""),"",IF(AND(原始資料!AT467&lt;&gt;"",原始資料!AU467=原始資料!AT467),N(AR467)+1,1))</f>
        <v/>
      </c>
      <c r="AT467" s="6">
        <f>IF(OR(原始資料!$A467="",45&gt;設定!$B$3,原始資料!AV467=""),"",IF(AND(原始資料!AU467&lt;&gt;"",原始資料!AV467=原始資料!AU467),N(AS467)+1,1))</f>
        <v/>
      </c>
      <c r="AU467" s="6">
        <f>IF(OR(原始資料!$A467="",46&gt;設定!$B$3,原始資料!AW467=""),"",IF(AND(原始資料!AV467&lt;&gt;"",原始資料!AW467=原始資料!AV467),N(AT467)+1,1))</f>
        <v/>
      </c>
      <c r="AV467" s="6">
        <f>IF(OR(原始資料!$A467="",47&gt;設定!$B$3,原始資料!AX467=""),"",IF(AND(原始資料!AW467&lt;&gt;"",原始資料!AX467=原始資料!AW467),N(AU467)+1,1))</f>
        <v/>
      </c>
      <c r="AW467" s="6">
        <f>IF(OR(原始資料!$A467="",48&gt;設定!$B$3,原始資料!AY467=""),"",IF(AND(原始資料!AX467&lt;&gt;"",原始資料!AY467=原始資料!AX467),N(AV467)+1,1))</f>
        <v/>
      </c>
      <c r="AX467" s="6">
        <f>IF(OR(原始資料!$A467="",49&gt;設定!$B$3,原始資料!AZ467=""),"",IF(AND(原始資料!AY467&lt;&gt;"",原始資料!AZ467=原始資料!AY467),N(AW467)+1,1))</f>
        <v/>
      </c>
      <c r="AY467" s="6">
        <f>IF(OR(原始資料!$A467="",50&gt;設定!$B$3,原始資料!BA467=""),"",IF(AND(原始資料!AZ467&lt;&gt;"",原始資料!BA467=原始資料!AZ467),N(AX467)+1,1))</f>
        <v/>
      </c>
      <c r="AZ467" s="6">
        <f>IF(OR(原始資料!$A467="",51&gt;設定!$B$3,原始資料!BB467=""),"",IF(AND(原始資料!BA467&lt;&gt;"",原始資料!BB467=原始資料!BA467),N(AY467)+1,1))</f>
        <v/>
      </c>
      <c r="BA467" s="6">
        <f>IF(OR(原始資料!$A467="",52&gt;設定!$B$3,原始資料!BC467=""),"",IF(AND(原始資料!BB467&lt;&gt;"",原始資料!BC467=原始資料!BB467),N(AZ467)+1,1))</f>
        <v/>
      </c>
      <c r="BB467" s="6">
        <f>IF(OR(原始資料!$A467="",53&gt;設定!$B$3,原始資料!BD467=""),"",IF(AND(原始資料!BC467&lt;&gt;"",原始資料!BD467=原始資料!BC467),N(BA467)+1,1))</f>
        <v/>
      </c>
      <c r="BC467" s="6">
        <f>IF(OR(原始資料!$A467="",54&gt;設定!$B$3,原始資料!BE467=""),"",IF(AND(原始資料!BD467&lt;&gt;"",原始資料!BE467=原始資料!BD467),N(BB467)+1,1))</f>
        <v/>
      </c>
      <c r="BD467" s="6">
        <f>IF(OR(原始資料!$A467="",55&gt;設定!$B$3,原始資料!BF467=""),"",IF(AND(原始資料!BE467&lt;&gt;"",原始資料!BF467=原始資料!BE467),N(BC467)+1,1))</f>
        <v/>
      </c>
      <c r="BE467" s="6">
        <f>IF(OR(原始資料!$A467="",56&gt;設定!$B$3,原始資料!BG467=""),"",IF(AND(原始資料!BF467&lt;&gt;"",原始資料!BG467=原始資料!BF467),N(BD467)+1,1))</f>
        <v/>
      </c>
      <c r="BF467" s="6">
        <f>IF(OR(原始資料!$A467="",57&gt;設定!$B$3,原始資料!BH467=""),"",IF(AND(原始資料!BG467&lt;&gt;"",原始資料!BH467=原始資料!BG467),N(BE467)+1,1))</f>
        <v/>
      </c>
      <c r="BG467" s="6">
        <f>IF(OR(原始資料!$A467="",58&gt;設定!$B$3,原始資料!BI467=""),"",IF(AND(原始資料!BH467&lt;&gt;"",原始資料!BI467=原始資料!BH467),N(BF467)+1,1))</f>
        <v/>
      </c>
      <c r="BH467" s="6">
        <f>IF(OR(原始資料!$A467="",59&gt;設定!$B$3,原始資料!BJ467=""),"",IF(AND(原始資料!BI467&lt;&gt;"",原始資料!BJ467=原始資料!BI467),N(BG467)+1,1))</f>
        <v/>
      </c>
      <c r="BI467" s="6">
        <f>IF(OR(原始資料!$A467="",60&gt;設定!$B$3,原始資料!BK467=""),"",IF(AND(原始資料!BJ467&lt;&gt;"",原始資料!BK467=原始資料!BJ467),N(BH467)+1,1))</f>
        <v/>
      </c>
    </row>
    <row r="468">
      <c r="A468" s="6">
        <f>IF(原始資料!$A468="","",原始資料!$A468)</f>
        <v/>
      </c>
      <c r="B468" s="6">
        <f>IF(OR(原始資料!$A468="",1&gt;設定!$B$3,原始資料!D468=""),"",1)</f>
        <v/>
      </c>
      <c r="C468" s="6">
        <f>IF(OR(原始資料!$A468="",2&gt;設定!$B$3,原始資料!E468=""),"",IF(AND(原始資料!D468&lt;&gt;"",原始資料!E468=原始資料!D468),N(B468)+1,1))</f>
        <v/>
      </c>
      <c r="D468" s="6">
        <f>IF(OR(原始資料!$A468="",3&gt;設定!$B$3,原始資料!F468=""),"",IF(AND(原始資料!E468&lt;&gt;"",原始資料!F468=原始資料!E468),N(C468)+1,1))</f>
        <v/>
      </c>
      <c r="E468" s="6">
        <f>IF(OR(原始資料!$A468="",4&gt;設定!$B$3,原始資料!G468=""),"",IF(AND(原始資料!F468&lt;&gt;"",原始資料!G468=原始資料!F468),N(D468)+1,1))</f>
        <v/>
      </c>
      <c r="F468" s="6">
        <f>IF(OR(原始資料!$A468="",5&gt;設定!$B$3,原始資料!H468=""),"",IF(AND(原始資料!G468&lt;&gt;"",原始資料!H468=原始資料!G468),N(E468)+1,1))</f>
        <v/>
      </c>
      <c r="G468" s="6">
        <f>IF(OR(原始資料!$A468="",6&gt;設定!$B$3,原始資料!I468=""),"",IF(AND(原始資料!H468&lt;&gt;"",原始資料!I468=原始資料!H468),N(F468)+1,1))</f>
        <v/>
      </c>
      <c r="H468" s="6">
        <f>IF(OR(原始資料!$A468="",7&gt;設定!$B$3,原始資料!J468=""),"",IF(AND(原始資料!I468&lt;&gt;"",原始資料!J468=原始資料!I468),N(G468)+1,1))</f>
        <v/>
      </c>
      <c r="I468" s="6">
        <f>IF(OR(原始資料!$A468="",8&gt;設定!$B$3,原始資料!K468=""),"",IF(AND(原始資料!J468&lt;&gt;"",原始資料!K468=原始資料!J468),N(H468)+1,1))</f>
        <v/>
      </c>
      <c r="J468" s="6">
        <f>IF(OR(原始資料!$A468="",9&gt;設定!$B$3,原始資料!L468=""),"",IF(AND(原始資料!K468&lt;&gt;"",原始資料!L468=原始資料!K468),N(I468)+1,1))</f>
        <v/>
      </c>
      <c r="K468" s="6">
        <f>IF(OR(原始資料!$A468="",10&gt;設定!$B$3,原始資料!M468=""),"",IF(AND(原始資料!L468&lt;&gt;"",原始資料!M468=原始資料!L468),N(J468)+1,1))</f>
        <v/>
      </c>
      <c r="L468" s="6">
        <f>IF(OR(原始資料!$A468="",11&gt;設定!$B$3,原始資料!N468=""),"",IF(AND(原始資料!M468&lt;&gt;"",原始資料!N468=原始資料!M468),N(K468)+1,1))</f>
        <v/>
      </c>
      <c r="M468" s="6">
        <f>IF(OR(原始資料!$A468="",12&gt;設定!$B$3,原始資料!O468=""),"",IF(AND(原始資料!N468&lt;&gt;"",原始資料!O468=原始資料!N468),N(L468)+1,1))</f>
        <v/>
      </c>
      <c r="N468" s="6">
        <f>IF(OR(原始資料!$A468="",13&gt;設定!$B$3,原始資料!P468=""),"",IF(AND(原始資料!O468&lt;&gt;"",原始資料!P468=原始資料!O468),N(M468)+1,1))</f>
        <v/>
      </c>
      <c r="O468" s="6">
        <f>IF(OR(原始資料!$A468="",14&gt;設定!$B$3,原始資料!Q468=""),"",IF(AND(原始資料!P468&lt;&gt;"",原始資料!Q468=原始資料!P468),N(N468)+1,1))</f>
        <v/>
      </c>
      <c r="P468" s="6">
        <f>IF(OR(原始資料!$A468="",15&gt;設定!$B$3,原始資料!R468=""),"",IF(AND(原始資料!Q468&lt;&gt;"",原始資料!R468=原始資料!Q468),N(O468)+1,1))</f>
        <v/>
      </c>
      <c r="Q468" s="6">
        <f>IF(OR(原始資料!$A468="",16&gt;設定!$B$3,原始資料!S468=""),"",IF(AND(原始資料!R468&lt;&gt;"",原始資料!S468=原始資料!R468),N(P468)+1,1))</f>
        <v/>
      </c>
      <c r="R468" s="6">
        <f>IF(OR(原始資料!$A468="",17&gt;設定!$B$3,原始資料!T468=""),"",IF(AND(原始資料!S468&lt;&gt;"",原始資料!T468=原始資料!S468),N(Q468)+1,1))</f>
        <v/>
      </c>
      <c r="S468" s="6">
        <f>IF(OR(原始資料!$A468="",18&gt;設定!$B$3,原始資料!U468=""),"",IF(AND(原始資料!T468&lt;&gt;"",原始資料!U468=原始資料!T468),N(R468)+1,1))</f>
        <v/>
      </c>
      <c r="T468" s="6">
        <f>IF(OR(原始資料!$A468="",19&gt;設定!$B$3,原始資料!V468=""),"",IF(AND(原始資料!U468&lt;&gt;"",原始資料!V468=原始資料!U468),N(S468)+1,1))</f>
        <v/>
      </c>
      <c r="U468" s="6">
        <f>IF(OR(原始資料!$A468="",20&gt;設定!$B$3,原始資料!W468=""),"",IF(AND(原始資料!V468&lt;&gt;"",原始資料!W468=原始資料!V468),N(T468)+1,1))</f>
        <v/>
      </c>
      <c r="V468" s="6">
        <f>IF(OR(原始資料!$A468="",21&gt;設定!$B$3,原始資料!X468=""),"",IF(AND(原始資料!W468&lt;&gt;"",原始資料!X468=原始資料!W468),N(U468)+1,1))</f>
        <v/>
      </c>
      <c r="W468" s="6">
        <f>IF(OR(原始資料!$A468="",22&gt;設定!$B$3,原始資料!Y468=""),"",IF(AND(原始資料!X468&lt;&gt;"",原始資料!Y468=原始資料!X468),N(V468)+1,1))</f>
        <v/>
      </c>
      <c r="X468" s="6">
        <f>IF(OR(原始資料!$A468="",23&gt;設定!$B$3,原始資料!Z468=""),"",IF(AND(原始資料!Y468&lt;&gt;"",原始資料!Z468=原始資料!Y468),N(W468)+1,1))</f>
        <v/>
      </c>
      <c r="Y468" s="6">
        <f>IF(OR(原始資料!$A468="",24&gt;設定!$B$3,原始資料!AA468=""),"",IF(AND(原始資料!Z468&lt;&gt;"",原始資料!AA468=原始資料!Z468),N(X468)+1,1))</f>
        <v/>
      </c>
      <c r="Z468" s="6">
        <f>IF(OR(原始資料!$A468="",25&gt;設定!$B$3,原始資料!AB468=""),"",IF(AND(原始資料!AA468&lt;&gt;"",原始資料!AB468=原始資料!AA468),N(Y468)+1,1))</f>
        <v/>
      </c>
      <c r="AA468" s="6">
        <f>IF(OR(原始資料!$A468="",26&gt;設定!$B$3,原始資料!AC468=""),"",IF(AND(原始資料!AB468&lt;&gt;"",原始資料!AC468=原始資料!AB468),N(Z468)+1,1))</f>
        <v/>
      </c>
      <c r="AB468" s="6">
        <f>IF(OR(原始資料!$A468="",27&gt;設定!$B$3,原始資料!AD468=""),"",IF(AND(原始資料!AC468&lt;&gt;"",原始資料!AD468=原始資料!AC468),N(AA468)+1,1))</f>
        <v/>
      </c>
      <c r="AC468" s="6">
        <f>IF(OR(原始資料!$A468="",28&gt;設定!$B$3,原始資料!AE468=""),"",IF(AND(原始資料!AD468&lt;&gt;"",原始資料!AE468=原始資料!AD468),N(AB468)+1,1))</f>
        <v/>
      </c>
      <c r="AD468" s="6">
        <f>IF(OR(原始資料!$A468="",29&gt;設定!$B$3,原始資料!AF468=""),"",IF(AND(原始資料!AE468&lt;&gt;"",原始資料!AF468=原始資料!AE468),N(AC468)+1,1))</f>
        <v/>
      </c>
      <c r="AE468" s="6">
        <f>IF(OR(原始資料!$A468="",30&gt;設定!$B$3,原始資料!AG468=""),"",IF(AND(原始資料!AF468&lt;&gt;"",原始資料!AG468=原始資料!AF468),N(AD468)+1,1))</f>
        <v/>
      </c>
      <c r="AF468" s="6">
        <f>IF(OR(原始資料!$A468="",31&gt;設定!$B$3,原始資料!AH468=""),"",IF(AND(原始資料!AG468&lt;&gt;"",原始資料!AH468=原始資料!AG468),N(AE468)+1,1))</f>
        <v/>
      </c>
      <c r="AG468" s="6">
        <f>IF(OR(原始資料!$A468="",32&gt;設定!$B$3,原始資料!AI468=""),"",IF(AND(原始資料!AH468&lt;&gt;"",原始資料!AI468=原始資料!AH468),N(AF468)+1,1))</f>
        <v/>
      </c>
      <c r="AH468" s="6">
        <f>IF(OR(原始資料!$A468="",33&gt;設定!$B$3,原始資料!AJ468=""),"",IF(AND(原始資料!AI468&lt;&gt;"",原始資料!AJ468=原始資料!AI468),N(AG468)+1,1))</f>
        <v/>
      </c>
      <c r="AI468" s="6">
        <f>IF(OR(原始資料!$A468="",34&gt;設定!$B$3,原始資料!AK468=""),"",IF(AND(原始資料!AJ468&lt;&gt;"",原始資料!AK468=原始資料!AJ468),N(AH468)+1,1))</f>
        <v/>
      </c>
      <c r="AJ468" s="6">
        <f>IF(OR(原始資料!$A468="",35&gt;設定!$B$3,原始資料!AL468=""),"",IF(AND(原始資料!AK468&lt;&gt;"",原始資料!AL468=原始資料!AK468),N(AI468)+1,1))</f>
        <v/>
      </c>
      <c r="AK468" s="6">
        <f>IF(OR(原始資料!$A468="",36&gt;設定!$B$3,原始資料!AM468=""),"",IF(AND(原始資料!AL468&lt;&gt;"",原始資料!AM468=原始資料!AL468),N(AJ468)+1,1))</f>
        <v/>
      </c>
      <c r="AL468" s="6">
        <f>IF(OR(原始資料!$A468="",37&gt;設定!$B$3,原始資料!AN468=""),"",IF(AND(原始資料!AM468&lt;&gt;"",原始資料!AN468=原始資料!AM468),N(AK468)+1,1))</f>
        <v/>
      </c>
      <c r="AM468" s="6">
        <f>IF(OR(原始資料!$A468="",38&gt;設定!$B$3,原始資料!AO468=""),"",IF(AND(原始資料!AN468&lt;&gt;"",原始資料!AO468=原始資料!AN468),N(AL468)+1,1))</f>
        <v/>
      </c>
      <c r="AN468" s="6">
        <f>IF(OR(原始資料!$A468="",39&gt;設定!$B$3,原始資料!AP468=""),"",IF(AND(原始資料!AO468&lt;&gt;"",原始資料!AP468=原始資料!AO468),N(AM468)+1,1))</f>
        <v/>
      </c>
      <c r="AO468" s="6">
        <f>IF(OR(原始資料!$A468="",40&gt;設定!$B$3,原始資料!AQ468=""),"",IF(AND(原始資料!AP468&lt;&gt;"",原始資料!AQ468=原始資料!AP468),N(AN468)+1,1))</f>
        <v/>
      </c>
      <c r="AP468" s="6">
        <f>IF(OR(原始資料!$A468="",41&gt;設定!$B$3,原始資料!AR468=""),"",IF(AND(原始資料!AQ468&lt;&gt;"",原始資料!AR468=原始資料!AQ468),N(AO468)+1,1))</f>
        <v/>
      </c>
      <c r="AQ468" s="6">
        <f>IF(OR(原始資料!$A468="",42&gt;設定!$B$3,原始資料!AS468=""),"",IF(AND(原始資料!AR468&lt;&gt;"",原始資料!AS468=原始資料!AR468),N(AP468)+1,1))</f>
        <v/>
      </c>
      <c r="AR468" s="6">
        <f>IF(OR(原始資料!$A468="",43&gt;設定!$B$3,原始資料!AT468=""),"",IF(AND(原始資料!AS468&lt;&gt;"",原始資料!AT468=原始資料!AS468),N(AQ468)+1,1))</f>
        <v/>
      </c>
      <c r="AS468" s="6">
        <f>IF(OR(原始資料!$A468="",44&gt;設定!$B$3,原始資料!AU468=""),"",IF(AND(原始資料!AT468&lt;&gt;"",原始資料!AU468=原始資料!AT468),N(AR468)+1,1))</f>
        <v/>
      </c>
      <c r="AT468" s="6">
        <f>IF(OR(原始資料!$A468="",45&gt;設定!$B$3,原始資料!AV468=""),"",IF(AND(原始資料!AU468&lt;&gt;"",原始資料!AV468=原始資料!AU468),N(AS468)+1,1))</f>
        <v/>
      </c>
      <c r="AU468" s="6">
        <f>IF(OR(原始資料!$A468="",46&gt;設定!$B$3,原始資料!AW468=""),"",IF(AND(原始資料!AV468&lt;&gt;"",原始資料!AW468=原始資料!AV468),N(AT468)+1,1))</f>
        <v/>
      </c>
      <c r="AV468" s="6">
        <f>IF(OR(原始資料!$A468="",47&gt;設定!$B$3,原始資料!AX468=""),"",IF(AND(原始資料!AW468&lt;&gt;"",原始資料!AX468=原始資料!AW468),N(AU468)+1,1))</f>
        <v/>
      </c>
      <c r="AW468" s="6">
        <f>IF(OR(原始資料!$A468="",48&gt;設定!$B$3,原始資料!AY468=""),"",IF(AND(原始資料!AX468&lt;&gt;"",原始資料!AY468=原始資料!AX468),N(AV468)+1,1))</f>
        <v/>
      </c>
      <c r="AX468" s="6">
        <f>IF(OR(原始資料!$A468="",49&gt;設定!$B$3,原始資料!AZ468=""),"",IF(AND(原始資料!AY468&lt;&gt;"",原始資料!AZ468=原始資料!AY468),N(AW468)+1,1))</f>
        <v/>
      </c>
      <c r="AY468" s="6">
        <f>IF(OR(原始資料!$A468="",50&gt;設定!$B$3,原始資料!BA468=""),"",IF(AND(原始資料!AZ468&lt;&gt;"",原始資料!BA468=原始資料!AZ468),N(AX468)+1,1))</f>
        <v/>
      </c>
      <c r="AZ468" s="6">
        <f>IF(OR(原始資料!$A468="",51&gt;設定!$B$3,原始資料!BB468=""),"",IF(AND(原始資料!BA468&lt;&gt;"",原始資料!BB468=原始資料!BA468),N(AY468)+1,1))</f>
        <v/>
      </c>
      <c r="BA468" s="6">
        <f>IF(OR(原始資料!$A468="",52&gt;設定!$B$3,原始資料!BC468=""),"",IF(AND(原始資料!BB468&lt;&gt;"",原始資料!BC468=原始資料!BB468),N(AZ468)+1,1))</f>
        <v/>
      </c>
      <c r="BB468" s="6">
        <f>IF(OR(原始資料!$A468="",53&gt;設定!$B$3,原始資料!BD468=""),"",IF(AND(原始資料!BC468&lt;&gt;"",原始資料!BD468=原始資料!BC468),N(BA468)+1,1))</f>
        <v/>
      </c>
      <c r="BC468" s="6">
        <f>IF(OR(原始資料!$A468="",54&gt;設定!$B$3,原始資料!BE468=""),"",IF(AND(原始資料!BD468&lt;&gt;"",原始資料!BE468=原始資料!BD468),N(BB468)+1,1))</f>
        <v/>
      </c>
      <c r="BD468" s="6">
        <f>IF(OR(原始資料!$A468="",55&gt;設定!$B$3,原始資料!BF468=""),"",IF(AND(原始資料!BE468&lt;&gt;"",原始資料!BF468=原始資料!BE468),N(BC468)+1,1))</f>
        <v/>
      </c>
      <c r="BE468" s="6">
        <f>IF(OR(原始資料!$A468="",56&gt;設定!$B$3,原始資料!BG468=""),"",IF(AND(原始資料!BF468&lt;&gt;"",原始資料!BG468=原始資料!BF468),N(BD468)+1,1))</f>
        <v/>
      </c>
      <c r="BF468" s="6">
        <f>IF(OR(原始資料!$A468="",57&gt;設定!$B$3,原始資料!BH468=""),"",IF(AND(原始資料!BG468&lt;&gt;"",原始資料!BH468=原始資料!BG468),N(BE468)+1,1))</f>
        <v/>
      </c>
      <c r="BG468" s="6">
        <f>IF(OR(原始資料!$A468="",58&gt;設定!$B$3,原始資料!BI468=""),"",IF(AND(原始資料!BH468&lt;&gt;"",原始資料!BI468=原始資料!BH468),N(BF468)+1,1))</f>
        <v/>
      </c>
      <c r="BH468" s="6">
        <f>IF(OR(原始資料!$A468="",59&gt;設定!$B$3,原始資料!BJ468=""),"",IF(AND(原始資料!BI468&lt;&gt;"",原始資料!BJ468=原始資料!BI468),N(BG468)+1,1))</f>
        <v/>
      </c>
      <c r="BI468" s="6">
        <f>IF(OR(原始資料!$A468="",60&gt;設定!$B$3,原始資料!BK468=""),"",IF(AND(原始資料!BJ468&lt;&gt;"",原始資料!BK468=原始資料!BJ468),N(BH468)+1,1))</f>
        <v/>
      </c>
    </row>
    <row r="469">
      <c r="A469" s="6">
        <f>IF(原始資料!$A469="","",原始資料!$A469)</f>
        <v/>
      </c>
      <c r="B469" s="6">
        <f>IF(OR(原始資料!$A469="",1&gt;設定!$B$3,原始資料!D469=""),"",1)</f>
        <v/>
      </c>
      <c r="C469" s="6">
        <f>IF(OR(原始資料!$A469="",2&gt;設定!$B$3,原始資料!E469=""),"",IF(AND(原始資料!D469&lt;&gt;"",原始資料!E469=原始資料!D469),N(B469)+1,1))</f>
        <v/>
      </c>
      <c r="D469" s="6">
        <f>IF(OR(原始資料!$A469="",3&gt;設定!$B$3,原始資料!F469=""),"",IF(AND(原始資料!E469&lt;&gt;"",原始資料!F469=原始資料!E469),N(C469)+1,1))</f>
        <v/>
      </c>
      <c r="E469" s="6">
        <f>IF(OR(原始資料!$A469="",4&gt;設定!$B$3,原始資料!G469=""),"",IF(AND(原始資料!F469&lt;&gt;"",原始資料!G469=原始資料!F469),N(D469)+1,1))</f>
        <v/>
      </c>
      <c r="F469" s="6">
        <f>IF(OR(原始資料!$A469="",5&gt;設定!$B$3,原始資料!H469=""),"",IF(AND(原始資料!G469&lt;&gt;"",原始資料!H469=原始資料!G469),N(E469)+1,1))</f>
        <v/>
      </c>
      <c r="G469" s="6">
        <f>IF(OR(原始資料!$A469="",6&gt;設定!$B$3,原始資料!I469=""),"",IF(AND(原始資料!H469&lt;&gt;"",原始資料!I469=原始資料!H469),N(F469)+1,1))</f>
        <v/>
      </c>
      <c r="H469" s="6">
        <f>IF(OR(原始資料!$A469="",7&gt;設定!$B$3,原始資料!J469=""),"",IF(AND(原始資料!I469&lt;&gt;"",原始資料!J469=原始資料!I469),N(G469)+1,1))</f>
        <v/>
      </c>
      <c r="I469" s="6">
        <f>IF(OR(原始資料!$A469="",8&gt;設定!$B$3,原始資料!K469=""),"",IF(AND(原始資料!J469&lt;&gt;"",原始資料!K469=原始資料!J469),N(H469)+1,1))</f>
        <v/>
      </c>
      <c r="J469" s="6">
        <f>IF(OR(原始資料!$A469="",9&gt;設定!$B$3,原始資料!L469=""),"",IF(AND(原始資料!K469&lt;&gt;"",原始資料!L469=原始資料!K469),N(I469)+1,1))</f>
        <v/>
      </c>
      <c r="K469" s="6">
        <f>IF(OR(原始資料!$A469="",10&gt;設定!$B$3,原始資料!M469=""),"",IF(AND(原始資料!L469&lt;&gt;"",原始資料!M469=原始資料!L469),N(J469)+1,1))</f>
        <v/>
      </c>
      <c r="L469" s="6">
        <f>IF(OR(原始資料!$A469="",11&gt;設定!$B$3,原始資料!N469=""),"",IF(AND(原始資料!M469&lt;&gt;"",原始資料!N469=原始資料!M469),N(K469)+1,1))</f>
        <v/>
      </c>
      <c r="M469" s="6">
        <f>IF(OR(原始資料!$A469="",12&gt;設定!$B$3,原始資料!O469=""),"",IF(AND(原始資料!N469&lt;&gt;"",原始資料!O469=原始資料!N469),N(L469)+1,1))</f>
        <v/>
      </c>
      <c r="N469" s="6">
        <f>IF(OR(原始資料!$A469="",13&gt;設定!$B$3,原始資料!P469=""),"",IF(AND(原始資料!O469&lt;&gt;"",原始資料!P469=原始資料!O469),N(M469)+1,1))</f>
        <v/>
      </c>
      <c r="O469" s="6">
        <f>IF(OR(原始資料!$A469="",14&gt;設定!$B$3,原始資料!Q469=""),"",IF(AND(原始資料!P469&lt;&gt;"",原始資料!Q469=原始資料!P469),N(N469)+1,1))</f>
        <v/>
      </c>
      <c r="P469" s="6">
        <f>IF(OR(原始資料!$A469="",15&gt;設定!$B$3,原始資料!R469=""),"",IF(AND(原始資料!Q469&lt;&gt;"",原始資料!R469=原始資料!Q469),N(O469)+1,1))</f>
        <v/>
      </c>
      <c r="Q469" s="6">
        <f>IF(OR(原始資料!$A469="",16&gt;設定!$B$3,原始資料!S469=""),"",IF(AND(原始資料!R469&lt;&gt;"",原始資料!S469=原始資料!R469),N(P469)+1,1))</f>
        <v/>
      </c>
      <c r="R469" s="6">
        <f>IF(OR(原始資料!$A469="",17&gt;設定!$B$3,原始資料!T469=""),"",IF(AND(原始資料!S469&lt;&gt;"",原始資料!T469=原始資料!S469),N(Q469)+1,1))</f>
        <v/>
      </c>
      <c r="S469" s="6">
        <f>IF(OR(原始資料!$A469="",18&gt;設定!$B$3,原始資料!U469=""),"",IF(AND(原始資料!T469&lt;&gt;"",原始資料!U469=原始資料!T469),N(R469)+1,1))</f>
        <v/>
      </c>
      <c r="T469" s="6">
        <f>IF(OR(原始資料!$A469="",19&gt;設定!$B$3,原始資料!V469=""),"",IF(AND(原始資料!U469&lt;&gt;"",原始資料!V469=原始資料!U469),N(S469)+1,1))</f>
        <v/>
      </c>
      <c r="U469" s="6">
        <f>IF(OR(原始資料!$A469="",20&gt;設定!$B$3,原始資料!W469=""),"",IF(AND(原始資料!V469&lt;&gt;"",原始資料!W469=原始資料!V469),N(T469)+1,1))</f>
        <v/>
      </c>
      <c r="V469" s="6">
        <f>IF(OR(原始資料!$A469="",21&gt;設定!$B$3,原始資料!X469=""),"",IF(AND(原始資料!W469&lt;&gt;"",原始資料!X469=原始資料!W469),N(U469)+1,1))</f>
        <v/>
      </c>
      <c r="W469" s="6">
        <f>IF(OR(原始資料!$A469="",22&gt;設定!$B$3,原始資料!Y469=""),"",IF(AND(原始資料!X469&lt;&gt;"",原始資料!Y469=原始資料!X469),N(V469)+1,1))</f>
        <v/>
      </c>
      <c r="X469" s="6">
        <f>IF(OR(原始資料!$A469="",23&gt;設定!$B$3,原始資料!Z469=""),"",IF(AND(原始資料!Y469&lt;&gt;"",原始資料!Z469=原始資料!Y469),N(W469)+1,1))</f>
        <v/>
      </c>
      <c r="Y469" s="6">
        <f>IF(OR(原始資料!$A469="",24&gt;設定!$B$3,原始資料!AA469=""),"",IF(AND(原始資料!Z469&lt;&gt;"",原始資料!AA469=原始資料!Z469),N(X469)+1,1))</f>
        <v/>
      </c>
      <c r="Z469" s="6">
        <f>IF(OR(原始資料!$A469="",25&gt;設定!$B$3,原始資料!AB469=""),"",IF(AND(原始資料!AA469&lt;&gt;"",原始資料!AB469=原始資料!AA469),N(Y469)+1,1))</f>
        <v/>
      </c>
      <c r="AA469" s="6">
        <f>IF(OR(原始資料!$A469="",26&gt;設定!$B$3,原始資料!AC469=""),"",IF(AND(原始資料!AB469&lt;&gt;"",原始資料!AC469=原始資料!AB469),N(Z469)+1,1))</f>
        <v/>
      </c>
      <c r="AB469" s="6">
        <f>IF(OR(原始資料!$A469="",27&gt;設定!$B$3,原始資料!AD469=""),"",IF(AND(原始資料!AC469&lt;&gt;"",原始資料!AD469=原始資料!AC469),N(AA469)+1,1))</f>
        <v/>
      </c>
      <c r="AC469" s="6">
        <f>IF(OR(原始資料!$A469="",28&gt;設定!$B$3,原始資料!AE469=""),"",IF(AND(原始資料!AD469&lt;&gt;"",原始資料!AE469=原始資料!AD469),N(AB469)+1,1))</f>
        <v/>
      </c>
      <c r="AD469" s="6">
        <f>IF(OR(原始資料!$A469="",29&gt;設定!$B$3,原始資料!AF469=""),"",IF(AND(原始資料!AE469&lt;&gt;"",原始資料!AF469=原始資料!AE469),N(AC469)+1,1))</f>
        <v/>
      </c>
      <c r="AE469" s="6">
        <f>IF(OR(原始資料!$A469="",30&gt;設定!$B$3,原始資料!AG469=""),"",IF(AND(原始資料!AF469&lt;&gt;"",原始資料!AG469=原始資料!AF469),N(AD469)+1,1))</f>
        <v/>
      </c>
      <c r="AF469" s="6">
        <f>IF(OR(原始資料!$A469="",31&gt;設定!$B$3,原始資料!AH469=""),"",IF(AND(原始資料!AG469&lt;&gt;"",原始資料!AH469=原始資料!AG469),N(AE469)+1,1))</f>
        <v/>
      </c>
      <c r="AG469" s="6">
        <f>IF(OR(原始資料!$A469="",32&gt;設定!$B$3,原始資料!AI469=""),"",IF(AND(原始資料!AH469&lt;&gt;"",原始資料!AI469=原始資料!AH469),N(AF469)+1,1))</f>
        <v/>
      </c>
      <c r="AH469" s="6">
        <f>IF(OR(原始資料!$A469="",33&gt;設定!$B$3,原始資料!AJ469=""),"",IF(AND(原始資料!AI469&lt;&gt;"",原始資料!AJ469=原始資料!AI469),N(AG469)+1,1))</f>
        <v/>
      </c>
      <c r="AI469" s="6">
        <f>IF(OR(原始資料!$A469="",34&gt;設定!$B$3,原始資料!AK469=""),"",IF(AND(原始資料!AJ469&lt;&gt;"",原始資料!AK469=原始資料!AJ469),N(AH469)+1,1))</f>
        <v/>
      </c>
      <c r="AJ469" s="6">
        <f>IF(OR(原始資料!$A469="",35&gt;設定!$B$3,原始資料!AL469=""),"",IF(AND(原始資料!AK469&lt;&gt;"",原始資料!AL469=原始資料!AK469),N(AI469)+1,1))</f>
        <v/>
      </c>
      <c r="AK469" s="6">
        <f>IF(OR(原始資料!$A469="",36&gt;設定!$B$3,原始資料!AM469=""),"",IF(AND(原始資料!AL469&lt;&gt;"",原始資料!AM469=原始資料!AL469),N(AJ469)+1,1))</f>
        <v/>
      </c>
      <c r="AL469" s="6">
        <f>IF(OR(原始資料!$A469="",37&gt;設定!$B$3,原始資料!AN469=""),"",IF(AND(原始資料!AM469&lt;&gt;"",原始資料!AN469=原始資料!AM469),N(AK469)+1,1))</f>
        <v/>
      </c>
      <c r="AM469" s="6">
        <f>IF(OR(原始資料!$A469="",38&gt;設定!$B$3,原始資料!AO469=""),"",IF(AND(原始資料!AN469&lt;&gt;"",原始資料!AO469=原始資料!AN469),N(AL469)+1,1))</f>
        <v/>
      </c>
      <c r="AN469" s="6">
        <f>IF(OR(原始資料!$A469="",39&gt;設定!$B$3,原始資料!AP469=""),"",IF(AND(原始資料!AO469&lt;&gt;"",原始資料!AP469=原始資料!AO469),N(AM469)+1,1))</f>
        <v/>
      </c>
      <c r="AO469" s="6">
        <f>IF(OR(原始資料!$A469="",40&gt;設定!$B$3,原始資料!AQ469=""),"",IF(AND(原始資料!AP469&lt;&gt;"",原始資料!AQ469=原始資料!AP469),N(AN469)+1,1))</f>
        <v/>
      </c>
      <c r="AP469" s="6">
        <f>IF(OR(原始資料!$A469="",41&gt;設定!$B$3,原始資料!AR469=""),"",IF(AND(原始資料!AQ469&lt;&gt;"",原始資料!AR469=原始資料!AQ469),N(AO469)+1,1))</f>
        <v/>
      </c>
      <c r="AQ469" s="6">
        <f>IF(OR(原始資料!$A469="",42&gt;設定!$B$3,原始資料!AS469=""),"",IF(AND(原始資料!AR469&lt;&gt;"",原始資料!AS469=原始資料!AR469),N(AP469)+1,1))</f>
        <v/>
      </c>
      <c r="AR469" s="6">
        <f>IF(OR(原始資料!$A469="",43&gt;設定!$B$3,原始資料!AT469=""),"",IF(AND(原始資料!AS469&lt;&gt;"",原始資料!AT469=原始資料!AS469),N(AQ469)+1,1))</f>
        <v/>
      </c>
      <c r="AS469" s="6">
        <f>IF(OR(原始資料!$A469="",44&gt;設定!$B$3,原始資料!AU469=""),"",IF(AND(原始資料!AT469&lt;&gt;"",原始資料!AU469=原始資料!AT469),N(AR469)+1,1))</f>
        <v/>
      </c>
      <c r="AT469" s="6">
        <f>IF(OR(原始資料!$A469="",45&gt;設定!$B$3,原始資料!AV469=""),"",IF(AND(原始資料!AU469&lt;&gt;"",原始資料!AV469=原始資料!AU469),N(AS469)+1,1))</f>
        <v/>
      </c>
      <c r="AU469" s="6">
        <f>IF(OR(原始資料!$A469="",46&gt;設定!$B$3,原始資料!AW469=""),"",IF(AND(原始資料!AV469&lt;&gt;"",原始資料!AW469=原始資料!AV469),N(AT469)+1,1))</f>
        <v/>
      </c>
      <c r="AV469" s="6">
        <f>IF(OR(原始資料!$A469="",47&gt;設定!$B$3,原始資料!AX469=""),"",IF(AND(原始資料!AW469&lt;&gt;"",原始資料!AX469=原始資料!AW469),N(AU469)+1,1))</f>
        <v/>
      </c>
      <c r="AW469" s="6">
        <f>IF(OR(原始資料!$A469="",48&gt;設定!$B$3,原始資料!AY469=""),"",IF(AND(原始資料!AX469&lt;&gt;"",原始資料!AY469=原始資料!AX469),N(AV469)+1,1))</f>
        <v/>
      </c>
      <c r="AX469" s="6">
        <f>IF(OR(原始資料!$A469="",49&gt;設定!$B$3,原始資料!AZ469=""),"",IF(AND(原始資料!AY469&lt;&gt;"",原始資料!AZ469=原始資料!AY469),N(AW469)+1,1))</f>
        <v/>
      </c>
      <c r="AY469" s="6">
        <f>IF(OR(原始資料!$A469="",50&gt;設定!$B$3,原始資料!BA469=""),"",IF(AND(原始資料!AZ469&lt;&gt;"",原始資料!BA469=原始資料!AZ469),N(AX469)+1,1))</f>
        <v/>
      </c>
      <c r="AZ469" s="6">
        <f>IF(OR(原始資料!$A469="",51&gt;設定!$B$3,原始資料!BB469=""),"",IF(AND(原始資料!BA469&lt;&gt;"",原始資料!BB469=原始資料!BA469),N(AY469)+1,1))</f>
        <v/>
      </c>
      <c r="BA469" s="6">
        <f>IF(OR(原始資料!$A469="",52&gt;設定!$B$3,原始資料!BC469=""),"",IF(AND(原始資料!BB469&lt;&gt;"",原始資料!BC469=原始資料!BB469),N(AZ469)+1,1))</f>
        <v/>
      </c>
      <c r="BB469" s="6">
        <f>IF(OR(原始資料!$A469="",53&gt;設定!$B$3,原始資料!BD469=""),"",IF(AND(原始資料!BC469&lt;&gt;"",原始資料!BD469=原始資料!BC469),N(BA469)+1,1))</f>
        <v/>
      </c>
      <c r="BC469" s="6">
        <f>IF(OR(原始資料!$A469="",54&gt;設定!$B$3,原始資料!BE469=""),"",IF(AND(原始資料!BD469&lt;&gt;"",原始資料!BE469=原始資料!BD469),N(BB469)+1,1))</f>
        <v/>
      </c>
      <c r="BD469" s="6">
        <f>IF(OR(原始資料!$A469="",55&gt;設定!$B$3,原始資料!BF469=""),"",IF(AND(原始資料!BE469&lt;&gt;"",原始資料!BF469=原始資料!BE469),N(BC469)+1,1))</f>
        <v/>
      </c>
      <c r="BE469" s="6">
        <f>IF(OR(原始資料!$A469="",56&gt;設定!$B$3,原始資料!BG469=""),"",IF(AND(原始資料!BF469&lt;&gt;"",原始資料!BG469=原始資料!BF469),N(BD469)+1,1))</f>
        <v/>
      </c>
      <c r="BF469" s="6">
        <f>IF(OR(原始資料!$A469="",57&gt;設定!$B$3,原始資料!BH469=""),"",IF(AND(原始資料!BG469&lt;&gt;"",原始資料!BH469=原始資料!BG469),N(BE469)+1,1))</f>
        <v/>
      </c>
      <c r="BG469" s="6">
        <f>IF(OR(原始資料!$A469="",58&gt;設定!$B$3,原始資料!BI469=""),"",IF(AND(原始資料!BH469&lt;&gt;"",原始資料!BI469=原始資料!BH469),N(BF469)+1,1))</f>
        <v/>
      </c>
      <c r="BH469" s="6">
        <f>IF(OR(原始資料!$A469="",59&gt;設定!$B$3,原始資料!BJ469=""),"",IF(AND(原始資料!BI469&lt;&gt;"",原始資料!BJ469=原始資料!BI469),N(BG469)+1,1))</f>
        <v/>
      </c>
      <c r="BI469" s="6">
        <f>IF(OR(原始資料!$A469="",60&gt;設定!$B$3,原始資料!BK469=""),"",IF(AND(原始資料!BJ469&lt;&gt;"",原始資料!BK469=原始資料!BJ469),N(BH469)+1,1))</f>
        <v/>
      </c>
    </row>
    <row r="470">
      <c r="A470" s="6">
        <f>IF(原始資料!$A470="","",原始資料!$A470)</f>
        <v/>
      </c>
      <c r="B470" s="6">
        <f>IF(OR(原始資料!$A470="",1&gt;設定!$B$3,原始資料!D470=""),"",1)</f>
        <v/>
      </c>
      <c r="C470" s="6">
        <f>IF(OR(原始資料!$A470="",2&gt;設定!$B$3,原始資料!E470=""),"",IF(AND(原始資料!D470&lt;&gt;"",原始資料!E470=原始資料!D470),N(B470)+1,1))</f>
        <v/>
      </c>
      <c r="D470" s="6">
        <f>IF(OR(原始資料!$A470="",3&gt;設定!$B$3,原始資料!F470=""),"",IF(AND(原始資料!E470&lt;&gt;"",原始資料!F470=原始資料!E470),N(C470)+1,1))</f>
        <v/>
      </c>
      <c r="E470" s="6">
        <f>IF(OR(原始資料!$A470="",4&gt;設定!$B$3,原始資料!G470=""),"",IF(AND(原始資料!F470&lt;&gt;"",原始資料!G470=原始資料!F470),N(D470)+1,1))</f>
        <v/>
      </c>
      <c r="F470" s="6">
        <f>IF(OR(原始資料!$A470="",5&gt;設定!$B$3,原始資料!H470=""),"",IF(AND(原始資料!G470&lt;&gt;"",原始資料!H470=原始資料!G470),N(E470)+1,1))</f>
        <v/>
      </c>
      <c r="G470" s="6">
        <f>IF(OR(原始資料!$A470="",6&gt;設定!$B$3,原始資料!I470=""),"",IF(AND(原始資料!H470&lt;&gt;"",原始資料!I470=原始資料!H470),N(F470)+1,1))</f>
        <v/>
      </c>
      <c r="H470" s="6">
        <f>IF(OR(原始資料!$A470="",7&gt;設定!$B$3,原始資料!J470=""),"",IF(AND(原始資料!I470&lt;&gt;"",原始資料!J470=原始資料!I470),N(G470)+1,1))</f>
        <v/>
      </c>
      <c r="I470" s="6">
        <f>IF(OR(原始資料!$A470="",8&gt;設定!$B$3,原始資料!K470=""),"",IF(AND(原始資料!J470&lt;&gt;"",原始資料!K470=原始資料!J470),N(H470)+1,1))</f>
        <v/>
      </c>
      <c r="J470" s="6">
        <f>IF(OR(原始資料!$A470="",9&gt;設定!$B$3,原始資料!L470=""),"",IF(AND(原始資料!K470&lt;&gt;"",原始資料!L470=原始資料!K470),N(I470)+1,1))</f>
        <v/>
      </c>
      <c r="K470" s="6">
        <f>IF(OR(原始資料!$A470="",10&gt;設定!$B$3,原始資料!M470=""),"",IF(AND(原始資料!L470&lt;&gt;"",原始資料!M470=原始資料!L470),N(J470)+1,1))</f>
        <v/>
      </c>
      <c r="L470" s="6">
        <f>IF(OR(原始資料!$A470="",11&gt;設定!$B$3,原始資料!N470=""),"",IF(AND(原始資料!M470&lt;&gt;"",原始資料!N470=原始資料!M470),N(K470)+1,1))</f>
        <v/>
      </c>
      <c r="M470" s="6">
        <f>IF(OR(原始資料!$A470="",12&gt;設定!$B$3,原始資料!O470=""),"",IF(AND(原始資料!N470&lt;&gt;"",原始資料!O470=原始資料!N470),N(L470)+1,1))</f>
        <v/>
      </c>
      <c r="N470" s="6">
        <f>IF(OR(原始資料!$A470="",13&gt;設定!$B$3,原始資料!P470=""),"",IF(AND(原始資料!O470&lt;&gt;"",原始資料!P470=原始資料!O470),N(M470)+1,1))</f>
        <v/>
      </c>
      <c r="O470" s="6">
        <f>IF(OR(原始資料!$A470="",14&gt;設定!$B$3,原始資料!Q470=""),"",IF(AND(原始資料!P470&lt;&gt;"",原始資料!Q470=原始資料!P470),N(N470)+1,1))</f>
        <v/>
      </c>
      <c r="P470" s="6">
        <f>IF(OR(原始資料!$A470="",15&gt;設定!$B$3,原始資料!R470=""),"",IF(AND(原始資料!Q470&lt;&gt;"",原始資料!R470=原始資料!Q470),N(O470)+1,1))</f>
        <v/>
      </c>
      <c r="Q470" s="6">
        <f>IF(OR(原始資料!$A470="",16&gt;設定!$B$3,原始資料!S470=""),"",IF(AND(原始資料!R470&lt;&gt;"",原始資料!S470=原始資料!R470),N(P470)+1,1))</f>
        <v/>
      </c>
      <c r="R470" s="6">
        <f>IF(OR(原始資料!$A470="",17&gt;設定!$B$3,原始資料!T470=""),"",IF(AND(原始資料!S470&lt;&gt;"",原始資料!T470=原始資料!S470),N(Q470)+1,1))</f>
        <v/>
      </c>
      <c r="S470" s="6">
        <f>IF(OR(原始資料!$A470="",18&gt;設定!$B$3,原始資料!U470=""),"",IF(AND(原始資料!T470&lt;&gt;"",原始資料!U470=原始資料!T470),N(R470)+1,1))</f>
        <v/>
      </c>
      <c r="T470" s="6">
        <f>IF(OR(原始資料!$A470="",19&gt;設定!$B$3,原始資料!V470=""),"",IF(AND(原始資料!U470&lt;&gt;"",原始資料!V470=原始資料!U470),N(S470)+1,1))</f>
        <v/>
      </c>
      <c r="U470" s="6">
        <f>IF(OR(原始資料!$A470="",20&gt;設定!$B$3,原始資料!W470=""),"",IF(AND(原始資料!V470&lt;&gt;"",原始資料!W470=原始資料!V470),N(T470)+1,1))</f>
        <v/>
      </c>
      <c r="V470" s="6">
        <f>IF(OR(原始資料!$A470="",21&gt;設定!$B$3,原始資料!X470=""),"",IF(AND(原始資料!W470&lt;&gt;"",原始資料!X470=原始資料!W470),N(U470)+1,1))</f>
        <v/>
      </c>
      <c r="W470" s="6">
        <f>IF(OR(原始資料!$A470="",22&gt;設定!$B$3,原始資料!Y470=""),"",IF(AND(原始資料!X470&lt;&gt;"",原始資料!Y470=原始資料!X470),N(V470)+1,1))</f>
        <v/>
      </c>
      <c r="X470" s="6">
        <f>IF(OR(原始資料!$A470="",23&gt;設定!$B$3,原始資料!Z470=""),"",IF(AND(原始資料!Y470&lt;&gt;"",原始資料!Z470=原始資料!Y470),N(W470)+1,1))</f>
        <v/>
      </c>
      <c r="Y470" s="6">
        <f>IF(OR(原始資料!$A470="",24&gt;設定!$B$3,原始資料!AA470=""),"",IF(AND(原始資料!Z470&lt;&gt;"",原始資料!AA470=原始資料!Z470),N(X470)+1,1))</f>
        <v/>
      </c>
      <c r="Z470" s="6">
        <f>IF(OR(原始資料!$A470="",25&gt;設定!$B$3,原始資料!AB470=""),"",IF(AND(原始資料!AA470&lt;&gt;"",原始資料!AB470=原始資料!AA470),N(Y470)+1,1))</f>
        <v/>
      </c>
      <c r="AA470" s="6">
        <f>IF(OR(原始資料!$A470="",26&gt;設定!$B$3,原始資料!AC470=""),"",IF(AND(原始資料!AB470&lt;&gt;"",原始資料!AC470=原始資料!AB470),N(Z470)+1,1))</f>
        <v/>
      </c>
      <c r="AB470" s="6">
        <f>IF(OR(原始資料!$A470="",27&gt;設定!$B$3,原始資料!AD470=""),"",IF(AND(原始資料!AC470&lt;&gt;"",原始資料!AD470=原始資料!AC470),N(AA470)+1,1))</f>
        <v/>
      </c>
      <c r="AC470" s="6">
        <f>IF(OR(原始資料!$A470="",28&gt;設定!$B$3,原始資料!AE470=""),"",IF(AND(原始資料!AD470&lt;&gt;"",原始資料!AE470=原始資料!AD470),N(AB470)+1,1))</f>
        <v/>
      </c>
      <c r="AD470" s="6">
        <f>IF(OR(原始資料!$A470="",29&gt;設定!$B$3,原始資料!AF470=""),"",IF(AND(原始資料!AE470&lt;&gt;"",原始資料!AF470=原始資料!AE470),N(AC470)+1,1))</f>
        <v/>
      </c>
      <c r="AE470" s="6">
        <f>IF(OR(原始資料!$A470="",30&gt;設定!$B$3,原始資料!AG470=""),"",IF(AND(原始資料!AF470&lt;&gt;"",原始資料!AG470=原始資料!AF470),N(AD470)+1,1))</f>
        <v/>
      </c>
      <c r="AF470" s="6">
        <f>IF(OR(原始資料!$A470="",31&gt;設定!$B$3,原始資料!AH470=""),"",IF(AND(原始資料!AG470&lt;&gt;"",原始資料!AH470=原始資料!AG470),N(AE470)+1,1))</f>
        <v/>
      </c>
      <c r="AG470" s="6">
        <f>IF(OR(原始資料!$A470="",32&gt;設定!$B$3,原始資料!AI470=""),"",IF(AND(原始資料!AH470&lt;&gt;"",原始資料!AI470=原始資料!AH470),N(AF470)+1,1))</f>
        <v/>
      </c>
      <c r="AH470" s="6">
        <f>IF(OR(原始資料!$A470="",33&gt;設定!$B$3,原始資料!AJ470=""),"",IF(AND(原始資料!AI470&lt;&gt;"",原始資料!AJ470=原始資料!AI470),N(AG470)+1,1))</f>
        <v/>
      </c>
      <c r="AI470" s="6">
        <f>IF(OR(原始資料!$A470="",34&gt;設定!$B$3,原始資料!AK470=""),"",IF(AND(原始資料!AJ470&lt;&gt;"",原始資料!AK470=原始資料!AJ470),N(AH470)+1,1))</f>
        <v/>
      </c>
      <c r="AJ470" s="6">
        <f>IF(OR(原始資料!$A470="",35&gt;設定!$B$3,原始資料!AL470=""),"",IF(AND(原始資料!AK470&lt;&gt;"",原始資料!AL470=原始資料!AK470),N(AI470)+1,1))</f>
        <v/>
      </c>
      <c r="AK470" s="6">
        <f>IF(OR(原始資料!$A470="",36&gt;設定!$B$3,原始資料!AM470=""),"",IF(AND(原始資料!AL470&lt;&gt;"",原始資料!AM470=原始資料!AL470),N(AJ470)+1,1))</f>
        <v/>
      </c>
      <c r="AL470" s="6">
        <f>IF(OR(原始資料!$A470="",37&gt;設定!$B$3,原始資料!AN470=""),"",IF(AND(原始資料!AM470&lt;&gt;"",原始資料!AN470=原始資料!AM470),N(AK470)+1,1))</f>
        <v/>
      </c>
      <c r="AM470" s="6">
        <f>IF(OR(原始資料!$A470="",38&gt;設定!$B$3,原始資料!AO470=""),"",IF(AND(原始資料!AN470&lt;&gt;"",原始資料!AO470=原始資料!AN470),N(AL470)+1,1))</f>
        <v/>
      </c>
      <c r="AN470" s="6">
        <f>IF(OR(原始資料!$A470="",39&gt;設定!$B$3,原始資料!AP470=""),"",IF(AND(原始資料!AO470&lt;&gt;"",原始資料!AP470=原始資料!AO470),N(AM470)+1,1))</f>
        <v/>
      </c>
      <c r="AO470" s="6">
        <f>IF(OR(原始資料!$A470="",40&gt;設定!$B$3,原始資料!AQ470=""),"",IF(AND(原始資料!AP470&lt;&gt;"",原始資料!AQ470=原始資料!AP470),N(AN470)+1,1))</f>
        <v/>
      </c>
      <c r="AP470" s="6">
        <f>IF(OR(原始資料!$A470="",41&gt;設定!$B$3,原始資料!AR470=""),"",IF(AND(原始資料!AQ470&lt;&gt;"",原始資料!AR470=原始資料!AQ470),N(AO470)+1,1))</f>
        <v/>
      </c>
      <c r="AQ470" s="6">
        <f>IF(OR(原始資料!$A470="",42&gt;設定!$B$3,原始資料!AS470=""),"",IF(AND(原始資料!AR470&lt;&gt;"",原始資料!AS470=原始資料!AR470),N(AP470)+1,1))</f>
        <v/>
      </c>
      <c r="AR470" s="6">
        <f>IF(OR(原始資料!$A470="",43&gt;設定!$B$3,原始資料!AT470=""),"",IF(AND(原始資料!AS470&lt;&gt;"",原始資料!AT470=原始資料!AS470),N(AQ470)+1,1))</f>
        <v/>
      </c>
      <c r="AS470" s="6">
        <f>IF(OR(原始資料!$A470="",44&gt;設定!$B$3,原始資料!AU470=""),"",IF(AND(原始資料!AT470&lt;&gt;"",原始資料!AU470=原始資料!AT470),N(AR470)+1,1))</f>
        <v/>
      </c>
      <c r="AT470" s="6">
        <f>IF(OR(原始資料!$A470="",45&gt;設定!$B$3,原始資料!AV470=""),"",IF(AND(原始資料!AU470&lt;&gt;"",原始資料!AV470=原始資料!AU470),N(AS470)+1,1))</f>
        <v/>
      </c>
      <c r="AU470" s="6">
        <f>IF(OR(原始資料!$A470="",46&gt;設定!$B$3,原始資料!AW470=""),"",IF(AND(原始資料!AV470&lt;&gt;"",原始資料!AW470=原始資料!AV470),N(AT470)+1,1))</f>
        <v/>
      </c>
      <c r="AV470" s="6">
        <f>IF(OR(原始資料!$A470="",47&gt;設定!$B$3,原始資料!AX470=""),"",IF(AND(原始資料!AW470&lt;&gt;"",原始資料!AX470=原始資料!AW470),N(AU470)+1,1))</f>
        <v/>
      </c>
      <c r="AW470" s="6">
        <f>IF(OR(原始資料!$A470="",48&gt;設定!$B$3,原始資料!AY470=""),"",IF(AND(原始資料!AX470&lt;&gt;"",原始資料!AY470=原始資料!AX470),N(AV470)+1,1))</f>
        <v/>
      </c>
      <c r="AX470" s="6">
        <f>IF(OR(原始資料!$A470="",49&gt;設定!$B$3,原始資料!AZ470=""),"",IF(AND(原始資料!AY470&lt;&gt;"",原始資料!AZ470=原始資料!AY470),N(AW470)+1,1))</f>
        <v/>
      </c>
      <c r="AY470" s="6">
        <f>IF(OR(原始資料!$A470="",50&gt;設定!$B$3,原始資料!BA470=""),"",IF(AND(原始資料!AZ470&lt;&gt;"",原始資料!BA470=原始資料!AZ470),N(AX470)+1,1))</f>
        <v/>
      </c>
      <c r="AZ470" s="6">
        <f>IF(OR(原始資料!$A470="",51&gt;設定!$B$3,原始資料!BB470=""),"",IF(AND(原始資料!BA470&lt;&gt;"",原始資料!BB470=原始資料!BA470),N(AY470)+1,1))</f>
        <v/>
      </c>
      <c r="BA470" s="6">
        <f>IF(OR(原始資料!$A470="",52&gt;設定!$B$3,原始資料!BC470=""),"",IF(AND(原始資料!BB470&lt;&gt;"",原始資料!BC470=原始資料!BB470),N(AZ470)+1,1))</f>
        <v/>
      </c>
      <c r="BB470" s="6">
        <f>IF(OR(原始資料!$A470="",53&gt;設定!$B$3,原始資料!BD470=""),"",IF(AND(原始資料!BC470&lt;&gt;"",原始資料!BD470=原始資料!BC470),N(BA470)+1,1))</f>
        <v/>
      </c>
      <c r="BC470" s="6">
        <f>IF(OR(原始資料!$A470="",54&gt;設定!$B$3,原始資料!BE470=""),"",IF(AND(原始資料!BD470&lt;&gt;"",原始資料!BE470=原始資料!BD470),N(BB470)+1,1))</f>
        <v/>
      </c>
      <c r="BD470" s="6">
        <f>IF(OR(原始資料!$A470="",55&gt;設定!$B$3,原始資料!BF470=""),"",IF(AND(原始資料!BE470&lt;&gt;"",原始資料!BF470=原始資料!BE470),N(BC470)+1,1))</f>
        <v/>
      </c>
      <c r="BE470" s="6">
        <f>IF(OR(原始資料!$A470="",56&gt;設定!$B$3,原始資料!BG470=""),"",IF(AND(原始資料!BF470&lt;&gt;"",原始資料!BG470=原始資料!BF470),N(BD470)+1,1))</f>
        <v/>
      </c>
      <c r="BF470" s="6">
        <f>IF(OR(原始資料!$A470="",57&gt;設定!$B$3,原始資料!BH470=""),"",IF(AND(原始資料!BG470&lt;&gt;"",原始資料!BH470=原始資料!BG470),N(BE470)+1,1))</f>
        <v/>
      </c>
      <c r="BG470" s="6">
        <f>IF(OR(原始資料!$A470="",58&gt;設定!$B$3,原始資料!BI470=""),"",IF(AND(原始資料!BH470&lt;&gt;"",原始資料!BI470=原始資料!BH470),N(BF470)+1,1))</f>
        <v/>
      </c>
      <c r="BH470" s="6">
        <f>IF(OR(原始資料!$A470="",59&gt;設定!$B$3,原始資料!BJ470=""),"",IF(AND(原始資料!BI470&lt;&gt;"",原始資料!BJ470=原始資料!BI470),N(BG470)+1,1))</f>
        <v/>
      </c>
      <c r="BI470" s="6">
        <f>IF(OR(原始資料!$A470="",60&gt;設定!$B$3,原始資料!BK470=""),"",IF(AND(原始資料!BJ470&lt;&gt;"",原始資料!BK470=原始資料!BJ470),N(BH470)+1,1))</f>
        <v/>
      </c>
    </row>
    <row r="471">
      <c r="A471" s="6">
        <f>IF(原始資料!$A471="","",原始資料!$A471)</f>
        <v/>
      </c>
      <c r="B471" s="6">
        <f>IF(OR(原始資料!$A471="",1&gt;設定!$B$3,原始資料!D471=""),"",1)</f>
        <v/>
      </c>
      <c r="C471" s="6">
        <f>IF(OR(原始資料!$A471="",2&gt;設定!$B$3,原始資料!E471=""),"",IF(AND(原始資料!D471&lt;&gt;"",原始資料!E471=原始資料!D471),N(B471)+1,1))</f>
        <v/>
      </c>
      <c r="D471" s="6">
        <f>IF(OR(原始資料!$A471="",3&gt;設定!$B$3,原始資料!F471=""),"",IF(AND(原始資料!E471&lt;&gt;"",原始資料!F471=原始資料!E471),N(C471)+1,1))</f>
        <v/>
      </c>
      <c r="E471" s="6">
        <f>IF(OR(原始資料!$A471="",4&gt;設定!$B$3,原始資料!G471=""),"",IF(AND(原始資料!F471&lt;&gt;"",原始資料!G471=原始資料!F471),N(D471)+1,1))</f>
        <v/>
      </c>
      <c r="F471" s="6">
        <f>IF(OR(原始資料!$A471="",5&gt;設定!$B$3,原始資料!H471=""),"",IF(AND(原始資料!G471&lt;&gt;"",原始資料!H471=原始資料!G471),N(E471)+1,1))</f>
        <v/>
      </c>
      <c r="G471" s="6">
        <f>IF(OR(原始資料!$A471="",6&gt;設定!$B$3,原始資料!I471=""),"",IF(AND(原始資料!H471&lt;&gt;"",原始資料!I471=原始資料!H471),N(F471)+1,1))</f>
        <v/>
      </c>
      <c r="H471" s="6">
        <f>IF(OR(原始資料!$A471="",7&gt;設定!$B$3,原始資料!J471=""),"",IF(AND(原始資料!I471&lt;&gt;"",原始資料!J471=原始資料!I471),N(G471)+1,1))</f>
        <v/>
      </c>
      <c r="I471" s="6">
        <f>IF(OR(原始資料!$A471="",8&gt;設定!$B$3,原始資料!K471=""),"",IF(AND(原始資料!J471&lt;&gt;"",原始資料!K471=原始資料!J471),N(H471)+1,1))</f>
        <v/>
      </c>
      <c r="J471" s="6">
        <f>IF(OR(原始資料!$A471="",9&gt;設定!$B$3,原始資料!L471=""),"",IF(AND(原始資料!K471&lt;&gt;"",原始資料!L471=原始資料!K471),N(I471)+1,1))</f>
        <v/>
      </c>
      <c r="K471" s="6">
        <f>IF(OR(原始資料!$A471="",10&gt;設定!$B$3,原始資料!M471=""),"",IF(AND(原始資料!L471&lt;&gt;"",原始資料!M471=原始資料!L471),N(J471)+1,1))</f>
        <v/>
      </c>
      <c r="L471" s="6">
        <f>IF(OR(原始資料!$A471="",11&gt;設定!$B$3,原始資料!N471=""),"",IF(AND(原始資料!M471&lt;&gt;"",原始資料!N471=原始資料!M471),N(K471)+1,1))</f>
        <v/>
      </c>
      <c r="M471" s="6">
        <f>IF(OR(原始資料!$A471="",12&gt;設定!$B$3,原始資料!O471=""),"",IF(AND(原始資料!N471&lt;&gt;"",原始資料!O471=原始資料!N471),N(L471)+1,1))</f>
        <v/>
      </c>
      <c r="N471" s="6">
        <f>IF(OR(原始資料!$A471="",13&gt;設定!$B$3,原始資料!P471=""),"",IF(AND(原始資料!O471&lt;&gt;"",原始資料!P471=原始資料!O471),N(M471)+1,1))</f>
        <v/>
      </c>
      <c r="O471" s="6">
        <f>IF(OR(原始資料!$A471="",14&gt;設定!$B$3,原始資料!Q471=""),"",IF(AND(原始資料!P471&lt;&gt;"",原始資料!Q471=原始資料!P471),N(N471)+1,1))</f>
        <v/>
      </c>
      <c r="P471" s="6">
        <f>IF(OR(原始資料!$A471="",15&gt;設定!$B$3,原始資料!R471=""),"",IF(AND(原始資料!Q471&lt;&gt;"",原始資料!R471=原始資料!Q471),N(O471)+1,1))</f>
        <v/>
      </c>
      <c r="Q471" s="6">
        <f>IF(OR(原始資料!$A471="",16&gt;設定!$B$3,原始資料!S471=""),"",IF(AND(原始資料!R471&lt;&gt;"",原始資料!S471=原始資料!R471),N(P471)+1,1))</f>
        <v/>
      </c>
      <c r="R471" s="6">
        <f>IF(OR(原始資料!$A471="",17&gt;設定!$B$3,原始資料!T471=""),"",IF(AND(原始資料!S471&lt;&gt;"",原始資料!T471=原始資料!S471),N(Q471)+1,1))</f>
        <v/>
      </c>
      <c r="S471" s="6">
        <f>IF(OR(原始資料!$A471="",18&gt;設定!$B$3,原始資料!U471=""),"",IF(AND(原始資料!T471&lt;&gt;"",原始資料!U471=原始資料!T471),N(R471)+1,1))</f>
        <v/>
      </c>
      <c r="T471" s="6">
        <f>IF(OR(原始資料!$A471="",19&gt;設定!$B$3,原始資料!V471=""),"",IF(AND(原始資料!U471&lt;&gt;"",原始資料!V471=原始資料!U471),N(S471)+1,1))</f>
        <v/>
      </c>
      <c r="U471" s="6">
        <f>IF(OR(原始資料!$A471="",20&gt;設定!$B$3,原始資料!W471=""),"",IF(AND(原始資料!V471&lt;&gt;"",原始資料!W471=原始資料!V471),N(T471)+1,1))</f>
        <v/>
      </c>
      <c r="V471" s="6">
        <f>IF(OR(原始資料!$A471="",21&gt;設定!$B$3,原始資料!X471=""),"",IF(AND(原始資料!W471&lt;&gt;"",原始資料!X471=原始資料!W471),N(U471)+1,1))</f>
        <v/>
      </c>
      <c r="W471" s="6">
        <f>IF(OR(原始資料!$A471="",22&gt;設定!$B$3,原始資料!Y471=""),"",IF(AND(原始資料!X471&lt;&gt;"",原始資料!Y471=原始資料!X471),N(V471)+1,1))</f>
        <v/>
      </c>
      <c r="X471" s="6">
        <f>IF(OR(原始資料!$A471="",23&gt;設定!$B$3,原始資料!Z471=""),"",IF(AND(原始資料!Y471&lt;&gt;"",原始資料!Z471=原始資料!Y471),N(W471)+1,1))</f>
        <v/>
      </c>
      <c r="Y471" s="6">
        <f>IF(OR(原始資料!$A471="",24&gt;設定!$B$3,原始資料!AA471=""),"",IF(AND(原始資料!Z471&lt;&gt;"",原始資料!AA471=原始資料!Z471),N(X471)+1,1))</f>
        <v/>
      </c>
      <c r="Z471" s="6">
        <f>IF(OR(原始資料!$A471="",25&gt;設定!$B$3,原始資料!AB471=""),"",IF(AND(原始資料!AA471&lt;&gt;"",原始資料!AB471=原始資料!AA471),N(Y471)+1,1))</f>
        <v/>
      </c>
      <c r="AA471" s="6">
        <f>IF(OR(原始資料!$A471="",26&gt;設定!$B$3,原始資料!AC471=""),"",IF(AND(原始資料!AB471&lt;&gt;"",原始資料!AC471=原始資料!AB471),N(Z471)+1,1))</f>
        <v/>
      </c>
      <c r="AB471" s="6">
        <f>IF(OR(原始資料!$A471="",27&gt;設定!$B$3,原始資料!AD471=""),"",IF(AND(原始資料!AC471&lt;&gt;"",原始資料!AD471=原始資料!AC471),N(AA471)+1,1))</f>
        <v/>
      </c>
      <c r="AC471" s="6">
        <f>IF(OR(原始資料!$A471="",28&gt;設定!$B$3,原始資料!AE471=""),"",IF(AND(原始資料!AD471&lt;&gt;"",原始資料!AE471=原始資料!AD471),N(AB471)+1,1))</f>
        <v/>
      </c>
      <c r="AD471" s="6">
        <f>IF(OR(原始資料!$A471="",29&gt;設定!$B$3,原始資料!AF471=""),"",IF(AND(原始資料!AE471&lt;&gt;"",原始資料!AF471=原始資料!AE471),N(AC471)+1,1))</f>
        <v/>
      </c>
      <c r="AE471" s="6">
        <f>IF(OR(原始資料!$A471="",30&gt;設定!$B$3,原始資料!AG471=""),"",IF(AND(原始資料!AF471&lt;&gt;"",原始資料!AG471=原始資料!AF471),N(AD471)+1,1))</f>
        <v/>
      </c>
      <c r="AF471" s="6">
        <f>IF(OR(原始資料!$A471="",31&gt;設定!$B$3,原始資料!AH471=""),"",IF(AND(原始資料!AG471&lt;&gt;"",原始資料!AH471=原始資料!AG471),N(AE471)+1,1))</f>
        <v/>
      </c>
      <c r="AG471" s="6">
        <f>IF(OR(原始資料!$A471="",32&gt;設定!$B$3,原始資料!AI471=""),"",IF(AND(原始資料!AH471&lt;&gt;"",原始資料!AI471=原始資料!AH471),N(AF471)+1,1))</f>
        <v/>
      </c>
      <c r="AH471" s="6">
        <f>IF(OR(原始資料!$A471="",33&gt;設定!$B$3,原始資料!AJ471=""),"",IF(AND(原始資料!AI471&lt;&gt;"",原始資料!AJ471=原始資料!AI471),N(AG471)+1,1))</f>
        <v/>
      </c>
      <c r="AI471" s="6">
        <f>IF(OR(原始資料!$A471="",34&gt;設定!$B$3,原始資料!AK471=""),"",IF(AND(原始資料!AJ471&lt;&gt;"",原始資料!AK471=原始資料!AJ471),N(AH471)+1,1))</f>
        <v/>
      </c>
      <c r="AJ471" s="6">
        <f>IF(OR(原始資料!$A471="",35&gt;設定!$B$3,原始資料!AL471=""),"",IF(AND(原始資料!AK471&lt;&gt;"",原始資料!AL471=原始資料!AK471),N(AI471)+1,1))</f>
        <v/>
      </c>
      <c r="AK471" s="6">
        <f>IF(OR(原始資料!$A471="",36&gt;設定!$B$3,原始資料!AM471=""),"",IF(AND(原始資料!AL471&lt;&gt;"",原始資料!AM471=原始資料!AL471),N(AJ471)+1,1))</f>
        <v/>
      </c>
      <c r="AL471" s="6">
        <f>IF(OR(原始資料!$A471="",37&gt;設定!$B$3,原始資料!AN471=""),"",IF(AND(原始資料!AM471&lt;&gt;"",原始資料!AN471=原始資料!AM471),N(AK471)+1,1))</f>
        <v/>
      </c>
      <c r="AM471" s="6">
        <f>IF(OR(原始資料!$A471="",38&gt;設定!$B$3,原始資料!AO471=""),"",IF(AND(原始資料!AN471&lt;&gt;"",原始資料!AO471=原始資料!AN471),N(AL471)+1,1))</f>
        <v/>
      </c>
      <c r="AN471" s="6">
        <f>IF(OR(原始資料!$A471="",39&gt;設定!$B$3,原始資料!AP471=""),"",IF(AND(原始資料!AO471&lt;&gt;"",原始資料!AP471=原始資料!AO471),N(AM471)+1,1))</f>
        <v/>
      </c>
      <c r="AO471" s="6">
        <f>IF(OR(原始資料!$A471="",40&gt;設定!$B$3,原始資料!AQ471=""),"",IF(AND(原始資料!AP471&lt;&gt;"",原始資料!AQ471=原始資料!AP471),N(AN471)+1,1))</f>
        <v/>
      </c>
      <c r="AP471" s="6">
        <f>IF(OR(原始資料!$A471="",41&gt;設定!$B$3,原始資料!AR471=""),"",IF(AND(原始資料!AQ471&lt;&gt;"",原始資料!AR471=原始資料!AQ471),N(AO471)+1,1))</f>
        <v/>
      </c>
      <c r="AQ471" s="6">
        <f>IF(OR(原始資料!$A471="",42&gt;設定!$B$3,原始資料!AS471=""),"",IF(AND(原始資料!AR471&lt;&gt;"",原始資料!AS471=原始資料!AR471),N(AP471)+1,1))</f>
        <v/>
      </c>
      <c r="AR471" s="6">
        <f>IF(OR(原始資料!$A471="",43&gt;設定!$B$3,原始資料!AT471=""),"",IF(AND(原始資料!AS471&lt;&gt;"",原始資料!AT471=原始資料!AS471),N(AQ471)+1,1))</f>
        <v/>
      </c>
      <c r="AS471" s="6">
        <f>IF(OR(原始資料!$A471="",44&gt;設定!$B$3,原始資料!AU471=""),"",IF(AND(原始資料!AT471&lt;&gt;"",原始資料!AU471=原始資料!AT471),N(AR471)+1,1))</f>
        <v/>
      </c>
      <c r="AT471" s="6">
        <f>IF(OR(原始資料!$A471="",45&gt;設定!$B$3,原始資料!AV471=""),"",IF(AND(原始資料!AU471&lt;&gt;"",原始資料!AV471=原始資料!AU471),N(AS471)+1,1))</f>
        <v/>
      </c>
      <c r="AU471" s="6">
        <f>IF(OR(原始資料!$A471="",46&gt;設定!$B$3,原始資料!AW471=""),"",IF(AND(原始資料!AV471&lt;&gt;"",原始資料!AW471=原始資料!AV471),N(AT471)+1,1))</f>
        <v/>
      </c>
      <c r="AV471" s="6">
        <f>IF(OR(原始資料!$A471="",47&gt;設定!$B$3,原始資料!AX471=""),"",IF(AND(原始資料!AW471&lt;&gt;"",原始資料!AX471=原始資料!AW471),N(AU471)+1,1))</f>
        <v/>
      </c>
      <c r="AW471" s="6">
        <f>IF(OR(原始資料!$A471="",48&gt;設定!$B$3,原始資料!AY471=""),"",IF(AND(原始資料!AX471&lt;&gt;"",原始資料!AY471=原始資料!AX471),N(AV471)+1,1))</f>
        <v/>
      </c>
      <c r="AX471" s="6">
        <f>IF(OR(原始資料!$A471="",49&gt;設定!$B$3,原始資料!AZ471=""),"",IF(AND(原始資料!AY471&lt;&gt;"",原始資料!AZ471=原始資料!AY471),N(AW471)+1,1))</f>
        <v/>
      </c>
      <c r="AY471" s="6">
        <f>IF(OR(原始資料!$A471="",50&gt;設定!$B$3,原始資料!BA471=""),"",IF(AND(原始資料!AZ471&lt;&gt;"",原始資料!BA471=原始資料!AZ471),N(AX471)+1,1))</f>
        <v/>
      </c>
      <c r="AZ471" s="6">
        <f>IF(OR(原始資料!$A471="",51&gt;設定!$B$3,原始資料!BB471=""),"",IF(AND(原始資料!BA471&lt;&gt;"",原始資料!BB471=原始資料!BA471),N(AY471)+1,1))</f>
        <v/>
      </c>
      <c r="BA471" s="6">
        <f>IF(OR(原始資料!$A471="",52&gt;設定!$B$3,原始資料!BC471=""),"",IF(AND(原始資料!BB471&lt;&gt;"",原始資料!BC471=原始資料!BB471),N(AZ471)+1,1))</f>
        <v/>
      </c>
      <c r="BB471" s="6">
        <f>IF(OR(原始資料!$A471="",53&gt;設定!$B$3,原始資料!BD471=""),"",IF(AND(原始資料!BC471&lt;&gt;"",原始資料!BD471=原始資料!BC471),N(BA471)+1,1))</f>
        <v/>
      </c>
      <c r="BC471" s="6">
        <f>IF(OR(原始資料!$A471="",54&gt;設定!$B$3,原始資料!BE471=""),"",IF(AND(原始資料!BD471&lt;&gt;"",原始資料!BE471=原始資料!BD471),N(BB471)+1,1))</f>
        <v/>
      </c>
      <c r="BD471" s="6">
        <f>IF(OR(原始資料!$A471="",55&gt;設定!$B$3,原始資料!BF471=""),"",IF(AND(原始資料!BE471&lt;&gt;"",原始資料!BF471=原始資料!BE471),N(BC471)+1,1))</f>
        <v/>
      </c>
      <c r="BE471" s="6">
        <f>IF(OR(原始資料!$A471="",56&gt;設定!$B$3,原始資料!BG471=""),"",IF(AND(原始資料!BF471&lt;&gt;"",原始資料!BG471=原始資料!BF471),N(BD471)+1,1))</f>
        <v/>
      </c>
      <c r="BF471" s="6">
        <f>IF(OR(原始資料!$A471="",57&gt;設定!$B$3,原始資料!BH471=""),"",IF(AND(原始資料!BG471&lt;&gt;"",原始資料!BH471=原始資料!BG471),N(BE471)+1,1))</f>
        <v/>
      </c>
      <c r="BG471" s="6">
        <f>IF(OR(原始資料!$A471="",58&gt;設定!$B$3,原始資料!BI471=""),"",IF(AND(原始資料!BH471&lt;&gt;"",原始資料!BI471=原始資料!BH471),N(BF471)+1,1))</f>
        <v/>
      </c>
      <c r="BH471" s="6">
        <f>IF(OR(原始資料!$A471="",59&gt;設定!$B$3,原始資料!BJ471=""),"",IF(AND(原始資料!BI471&lt;&gt;"",原始資料!BJ471=原始資料!BI471),N(BG471)+1,1))</f>
        <v/>
      </c>
      <c r="BI471" s="6">
        <f>IF(OR(原始資料!$A471="",60&gt;設定!$B$3,原始資料!BK471=""),"",IF(AND(原始資料!BJ471&lt;&gt;"",原始資料!BK471=原始資料!BJ471),N(BH471)+1,1))</f>
        <v/>
      </c>
    </row>
    <row r="472">
      <c r="A472" s="6">
        <f>IF(原始資料!$A472="","",原始資料!$A472)</f>
        <v/>
      </c>
      <c r="B472" s="6">
        <f>IF(OR(原始資料!$A472="",1&gt;設定!$B$3,原始資料!D472=""),"",1)</f>
        <v/>
      </c>
      <c r="C472" s="6">
        <f>IF(OR(原始資料!$A472="",2&gt;設定!$B$3,原始資料!E472=""),"",IF(AND(原始資料!D472&lt;&gt;"",原始資料!E472=原始資料!D472),N(B472)+1,1))</f>
        <v/>
      </c>
      <c r="D472" s="6">
        <f>IF(OR(原始資料!$A472="",3&gt;設定!$B$3,原始資料!F472=""),"",IF(AND(原始資料!E472&lt;&gt;"",原始資料!F472=原始資料!E472),N(C472)+1,1))</f>
        <v/>
      </c>
      <c r="E472" s="6">
        <f>IF(OR(原始資料!$A472="",4&gt;設定!$B$3,原始資料!G472=""),"",IF(AND(原始資料!F472&lt;&gt;"",原始資料!G472=原始資料!F472),N(D472)+1,1))</f>
        <v/>
      </c>
      <c r="F472" s="6">
        <f>IF(OR(原始資料!$A472="",5&gt;設定!$B$3,原始資料!H472=""),"",IF(AND(原始資料!G472&lt;&gt;"",原始資料!H472=原始資料!G472),N(E472)+1,1))</f>
        <v/>
      </c>
      <c r="G472" s="6">
        <f>IF(OR(原始資料!$A472="",6&gt;設定!$B$3,原始資料!I472=""),"",IF(AND(原始資料!H472&lt;&gt;"",原始資料!I472=原始資料!H472),N(F472)+1,1))</f>
        <v/>
      </c>
      <c r="H472" s="6">
        <f>IF(OR(原始資料!$A472="",7&gt;設定!$B$3,原始資料!J472=""),"",IF(AND(原始資料!I472&lt;&gt;"",原始資料!J472=原始資料!I472),N(G472)+1,1))</f>
        <v/>
      </c>
      <c r="I472" s="6">
        <f>IF(OR(原始資料!$A472="",8&gt;設定!$B$3,原始資料!K472=""),"",IF(AND(原始資料!J472&lt;&gt;"",原始資料!K472=原始資料!J472),N(H472)+1,1))</f>
        <v/>
      </c>
      <c r="J472" s="6">
        <f>IF(OR(原始資料!$A472="",9&gt;設定!$B$3,原始資料!L472=""),"",IF(AND(原始資料!K472&lt;&gt;"",原始資料!L472=原始資料!K472),N(I472)+1,1))</f>
        <v/>
      </c>
      <c r="K472" s="6">
        <f>IF(OR(原始資料!$A472="",10&gt;設定!$B$3,原始資料!M472=""),"",IF(AND(原始資料!L472&lt;&gt;"",原始資料!M472=原始資料!L472),N(J472)+1,1))</f>
        <v/>
      </c>
      <c r="L472" s="6">
        <f>IF(OR(原始資料!$A472="",11&gt;設定!$B$3,原始資料!N472=""),"",IF(AND(原始資料!M472&lt;&gt;"",原始資料!N472=原始資料!M472),N(K472)+1,1))</f>
        <v/>
      </c>
      <c r="M472" s="6">
        <f>IF(OR(原始資料!$A472="",12&gt;設定!$B$3,原始資料!O472=""),"",IF(AND(原始資料!N472&lt;&gt;"",原始資料!O472=原始資料!N472),N(L472)+1,1))</f>
        <v/>
      </c>
      <c r="N472" s="6">
        <f>IF(OR(原始資料!$A472="",13&gt;設定!$B$3,原始資料!P472=""),"",IF(AND(原始資料!O472&lt;&gt;"",原始資料!P472=原始資料!O472),N(M472)+1,1))</f>
        <v/>
      </c>
      <c r="O472" s="6">
        <f>IF(OR(原始資料!$A472="",14&gt;設定!$B$3,原始資料!Q472=""),"",IF(AND(原始資料!P472&lt;&gt;"",原始資料!Q472=原始資料!P472),N(N472)+1,1))</f>
        <v/>
      </c>
      <c r="P472" s="6">
        <f>IF(OR(原始資料!$A472="",15&gt;設定!$B$3,原始資料!R472=""),"",IF(AND(原始資料!Q472&lt;&gt;"",原始資料!R472=原始資料!Q472),N(O472)+1,1))</f>
        <v/>
      </c>
      <c r="Q472" s="6">
        <f>IF(OR(原始資料!$A472="",16&gt;設定!$B$3,原始資料!S472=""),"",IF(AND(原始資料!R472&lt;&gt;"",原始資料!S472=原始資料!R472),N(P472)+1,1))</f>
        <v/>
      </c>
      <c r="R472" s="6">
        <f>IF(OR(原始資料!$A472="",17&gt;設定!$B$3,原始資料!T472=""),"",IF(AND(原始資料!S472&lt;&gt;"",原始資料!T472=原始資料!S472),N(Q472)+1,1))</f>
        <v/>
      </c>
      <c r="S472" s="6">
        <f>IF(OR(原始資料!$A472="",18&gt;設定!$B$3,原始資料!U472=""),"",IF(AND(原始資料!T472&lt;&gt;"",原始資料!U472=原始資料!T472),N(R472)+1,1))</f>
        <v/>
      </c>
      <c r="T472" s="6">
        <f>IF(OR(原始資料!$A472="",19&gt;設定!$B$3,原始資料!V472=""),"",IF(AND(原始資料!U472&lt;&gt;"",原始資料!V472=原始資料!U472),N(S472)+1,1))</f>
        <v/>
      </c>
      <c r="U472" s="6">
        <f>IF(OR(原始資料!$A472="",20&gt;設定!$B$3,原始資料!W472=""),"",IF(AND(原始資料!V472&lt;&gt;"",原始資料!W472=原始資料!V472),N(T472)+1,1))</f>
        <v/>
      </c>
      <c r="V472" s="6">
        <f>IF(OR(原始資料!$A472="",21&gt;設定!$B$3,原始資料!X472=""),"",IF(AND(原始資料!W472&lt;&gt;"",原始資料!X472=原始資料!W472),N(U472)+1,1))</f>
        <v/>
      </c>
      <c r="W472" s="6">
        <f>IF(OR(原始資料!$A472="",22&gt;設定!$B$3,原始資料!Y472=""),"",IF(AND(原始資料!X472&lt;&gt;"",原始資料!Y472=原始資料!X472),N(V472)+1,1))</f>
        <v/>
      </c>
      <c r="X472" s="6">
        <f>IF(OR(原始資料!$A472="",23&gt;設定!$B$3,原始資料!Z472=""),"",IF(AND(原始資料!Y472&lt;&gt;"",原始資料!Z472=原始資料!Y472),N(W472)+1,1))</f>
        <v/>
      </c>
      <c r="Y472" s="6">
        <f>IF(OR(原始資料!$A472="",24&gt;設定!$B$3,原始資料!AA472=""),"",IF(AND(原始資料!Z472&lt;&gt;"",原始資料!AA472=原始資料!Z472),N(X472)+1,1))</f>
        <v/>
      </c>
      <c r="Z472" s="6">
        <f>IF(OR(原始資料!$A472="",25&gt;設定!$B$3,原始資料!AB472=""),"",IF(AND(原始資料!AA472&lt;&gt;"",原始資料!AB472=原始資料!AA472),N(Y472)+1,1))</f>
        <v/>
      </c>
      <c r="AA472" s="6">
        <f>IF(OR(原始資料!$A472="",26&gt;設定!$B$3,原始資料!AC472=""),"",IF(AND(原始資料!AB472&lt;&gt;"",原始資料!AC472=原始資料!AB472),N(Z472)+1,1))</f>
        <v/>
      </c>
      <c r="AB472" s="6">
        <f>IF(OR(原始資料!$A472="",27&gt;設定!$B$3,原始資料!AD472=""),"",IF(AND(原始資料!AC472&lt;&gt;"",原始資料!AD472=原始資料!AC472),N(AA472)+1,1))</f>
        <v/>
      </c>
      <c r="AC472" s="6">
        <f>IF(OR(原始資料!$A472="",28&gt;設定!$B$3,原始資料!AE472=""),"",IF(AND(原始資料!AD472&lt;&gt;"",原始資料!AE472=原始資料!AD472),N(AB472)+1,1))</f>
        <v/>
      </c>
      <c r="AD472" s="6">
        <f>IF(OR(原始資料!$A472="",29&gt;設定!$B$3,原始資料!AF472=""),"",IF(AND(原始資料!AE472&lt;&gt;"",原始資料!AF472=原始資料!AE472),N(AC472)+1,1))</f>
        <v/>
      </c>
      <c r="AE472" s="6">
        <f>IF(OR(原始資料!$A472="",30&gt;設定!$B$3,原始資料!AG472=""),"",IF(AND(原始資料!AF472&lt;&gt;"",原始資料!AG472=原始資料!AF472),N(AD472)+1,1))</f>
        <v/>
      </c>
      <c r="AF472" s="6">
        <f>IF(OR(原始資料!$A472="",31&gt;設定!$B$3,原始資料!AH472=""),"",IF(AND(原始資料!AG472&lt;&gt;"",原始資料!AH472=原始資料!AG472),N(AE472)+1,1))</f>
        <v/>
      </c>
      <c r="AG472" s="6">
        <f>IF(OR(原始資料!$A472="",32&gt;設定!$B$3,原始資料!AI472=""),"",IF(AND(原始資料!AH472&lt;&gt;"",原始資料!AI472=原始資料!AH472),N(AF472)+1,1))</f>
        <v/>
      </c>
      <c r="AH472" s="6">
        <f>IF(OR(原始資料!$A472="",33&gt;設定!$B$3,原始資料!AJ472=""),"",IF(AND(原始資料!AI472&lt;&gt;"",原始資料!AJ472=原始資料!AI472),N(AG472)+1,1))</f>
        <v/>
      </c>
      <c r="AI472" s="6">
        <f>IF(OR(原始資料!$A472="",34&gt;設定!$B$3,原始資料!AK472=""),"",IF(AND(原始資料!AJ472&lt;&gt;"",原始資料!AK472=原始資料!AJ472),N(AH472)+1,1))</f>
        <v/>
      </c>
      <c r="AJ472" s="6">
        <f>IF(OR(原始資料!$A472="",35&gt;設定!$B$3,原始資料!AL472=""),"",IF(AND(原始資料!AK472&lt;&gt;"",原始資料!AL472=原始資料!AK472),N(AI472)+1,1))</f>
        <v/>
      </c>
      <c r="AK472" s="6">
        <f>IF(OR(原始資料!$A472="",36&gt;設定!$B$3,原始資料!AM472=""),"",IF(AND(原始資料!AL472&lt;&gt;"",原始資料!AM472=原始資料!AL472),N(AJ472)+1,1))</f>
        <v/>
      </c>
      <c r="AL472" s="6">
        <f>IF(OR(原始資料!$A472="",37&gt;設定!$B$3,原始資料!AN472=""),"",IF(AND(原始資料!AM472&lt;&gt;"",原始資料!AN472=原始資料!AM472),N(AK472)+1,1))</f>
        <v/>
      </c>
      <c r="AM472" s="6">
        <f>IF(OR(原始資料!$A472="",38&gt;設定!$B$3,原始資料!AO472=""),"",IF(AND(原始資料!AN472&lt;&gt;"",原始資料!AO472=原始資料!AN472),N(AL472)+1,1))</f>
        <v/>
      </c>
      <c r="AN472" s="6">
        <f>IF(OR(原始資料!$A472="",39&gt;設定!$B$3,原始資料!AP472=""),"",IF(AND(原始資料!AO472&lt;&gt;"",原始資料!AP472=原始資料!AO472),N(AM472)+1,1))</f>
        <v/>
      </c>
      <c r="AO472" s="6">
        <f>IF(OR(原始資料!$A472="",40&gt;設定!$B$3,原始資料!AQ472=""),"",IF(AND(原始資料!AP472&lt;&gt;"",原始資料!AQ472=原始資料!AP472),N(AN472)+1,1))</f>
        <v/>
      </c>
      <c r="AP472" s="6">
        <f>IF(OR(原始資料!$A472="",41&gt;設定!$B$3,原始資料!AR472=""),"",IF(AND(原始資料!AQ472&lt;&gt;"",原始資料!AR472=原始資料!AQ472),N(AO472)+1,1))</f>
        <v/>
      </c>
      <c r="AQ472" s="6">
        <f>IF(OR(原始資料!$A472="",42&gt;設定!$B$3,原始資料!AS472=""),"",IF(AND(原始資料!AR472&lt;&gt;"",原始資料!AS472=原始資料!AR472),N(AP472)+1,1))</f>
        <v/>
      </c>
      <c r="AR472" s="6">
        <f>IF(OR(原始資料!$A472="",43&gt;設定!$B$3,原始資料!AT472=""),"",IF(AND(原始資料!AS472&lt;&gt;"",原始資料!AT472=原始資料!AS472),N(AQ472)+1,1))</f>
        <v/>
      </c>
      <c r="AS472" s="6">
        <f>IF(OR(原始資料!$A472="",44&gt;設定!$B$3,原始資料!AU472=""),"",IF(AND(原始資料!AT472&lt;&gt;"",原始資料!AU472=原始資料!AT472),N(AR472)+1,1))</f>
        <v/>
      </c>
      <c r="AT472" s="6">
        <f>IF(OR(原始資料!$A472="",45&gt;設定!$B$3,原始資料!AV472=""),"",IF(AND(原始資料!AU472&lt;&gt;"",原始資料!AV472=原始資料!AU472),N(AS472)+1,1))</f>
        <v/>
      </c>
      <c r="AU472" s="6">
        <f>IF(OR(原始資料!$A472="",46&gt;設定!$B$3,原始資料!AW472=""),"",IF(AND(原始資料!AV472&lt;&gt;"",原始資料!AW472=原始資料!AV472),N(AT472)+1,1))</f>
        <v/>
      </c>
      <c r="AV472" s="6">
        <f>IF(OR(原始資料!$A472="",47&gt;設定!$B$3,原始資料!AX472=""),"",IF(AND(原始資料!AW472&lt;&gt;"",原始資料!AX472=原始資料!AW472),N(AU472)+1,1))</f>
        <v/>
      </c>
      <c r="AW472" s="6">
        <f>IF(OR(原始資料!$A472="",48&gt;設定!$B$3,原始資料!AY472=""),"",IF(AND(原始資料!AX472&lt;&gt;"",原始資料!AY472=原始資料!AX472),N(AV472)+1,1))</f>
        <v/>
      </c>
      <c r="AX472" s="6">
        <f>IF(OR(原始資料!$A472="",49&gt;設定!$B$3,原始資料!AZ472=""),"",IF(AND(原始資料!AY472&lt;&gt;"",原始資料!AZ472=原始資料!AY472),N(AW472)+1,1))</f>
        <v/>
      </c>
      <c r="AY472" s="6">
        <f>IF(OR(原始資料!$A472="",50&gt;設定!$B$3,原始資料!BA472=""),"",IF(AND(原始資料!AZ472&lt;&gt;"",原始資料!BA472=原始資料!AZ472),N(AX472)+1,1))</f>
        <v/>
      </c>
      <c r="AZ472" s="6">
        <f>IF(OR(原始資料!$A472="",51&gt;設定!$B$3,原始資料!BB472=""),"",IF(AND(原始資料!BA472&lt;&gt;"",原始資料!BB472=原始資料!BA472),N(AY472)+1,1))</f>
        <v/>
      </c>
      <c r="BA472" s="6">
        <f>IF(OR(原始資料!$A472="",52&gt;設定!$B$3,原始資料!BC472=""),"",IF(AND(原始資料!BB472&lt;&gt;"",原始資料!BC472=原始資料!BB472),N(AZ472)+1,1))</f>
        <v/>
      </c>
      <c r="BB472" s="6">
        <f>IF(OR(原始資料!$A472="",53&gt;設定!$B$3,原始資料!BD472=""),"",IF(AND(原始資料!BC472&lt;&gt;"",原始資料!BD472=原始資料!BC472),N(BA472)+1,1))</f>
        <v/>
      </c>
      <c r="BC472" s="6">
        <f>IF(OR(原始資料!$A472="",54&gt;設定!$B$3,原始資料!BE472=""),"",IF(AND(原始資料!BD472&lt;&gt;"",原始資料!BE472=原始資料!BD472),N(BB472)+1,1))</f>
        <v/>
      </c>
      <c r="BD472" s="6">
        <f>IF(OR(原始資料!$A472="",55&gt;設定!$B$3,原始資料!BF472=""),"",IF(AND(原始資料!BE472&lt;&gt;"",原始資料!BF472=原始資料!BE472),N(BC472)+1,1))</f>
        <v/>
      </c>
      <c r="BE472" s="6">
        <f>IF(OR(原始資料!$A472="",56&gt;設定!$B$3,原始資料!BG472=""),"",IF(AND(原始資料!BF472&lt;&gt;"",原始資料!BG472=原始資料!BF472),N(BD472)+1,1))</f>
        <v/>
      </c>
      <c r="BF472" s="6">
        <f>IF(OR(原始資料!$A472="",57&gt;設定!$B$3,原始資料!BH472=""),"",IF(AND(原始資料!BG472&lt;&gt;"",原始資料!BH472=原始資料!BG472),N(BE472)+1,1))</f>
        <v/>
      </c>
      <c r="BG472" s="6">
        <f>IF(OR(原始資料!$A472="",58&gt;設定!$B$3,原始資料!BI472=""),"",IF(AND(原始資料!BH472&lt;&gt;"",原始資料!BI472=原始資料!BH472),N(BF472)+1,1))</f>
        <v/>
      </c>
      <c r="BH472" s="6">
        <f>IF(OR(原始資料!$A472="",59&gt;設定!$B$3,原始資料!BJ472=""),"",IF(AND(原始資料!BI472&lt;&gt;"",原始資料!BJ472=原始資料!BI472),N(BG472)+1,1))</f>
        <v/>
      </c>
      <c r="BI472" s="6">
        <f>IF(OR(原始資料!$A472="",60&gt;設定!$B$3,原始資料!BK472=""),"",IF(AND(原始資料!BJ472&lt;&gt;"",原始資料!BK472=原始資料!BJ472),N(BH472)+1,1))</f>
        <v/>
      </c>
    </row>
    <row r="473">
      <c r="A473" s="6">
        <f>IF(原始資料!$A473="","",原始資料!$A473)</f>
        <v/>
      </c>
      <c r="B473" s="6">
        <f>IF(OR(原始資料!$A473="",1&gt;設定!$B$3,原始資料!D473=""),"",1)</f>
        <v/>
      </c>
      <c r="C473" s="6">
        <f>IF(OR(原始資料!$A473="",2&gt;設定!$B$3,原始資料!E473=""),"",IF(AND(原始資料!D473&lt;&gt;"",原始資料!E473=原始資料!D473),N(B473)+1,1))</f>
        <v/>
      </c>
      <c r="D473" s="6">
        <f>IF(OR(原始資料!$A473="",3&gt;設定!$B$3,原始資料!F473=""),"",IF(AND(原始資料!E473&lt;&gt;"",原始資料!F473=原始資料!E473),N(C473)+1,1))</f>
        <v/>
      </c>
      <c r="E473" s="6">
        <f>IF(OR(原始資料!$A473="",4&gt;設定!$B$3,原始資料!G473=""),"",IF(AND(原始資料!F473&lt;&gt;"",原始資料!G473=原始資料!F473),N(D473)+1,1))</f>
        <v/>
      </c>
      <c r="F473" s="6">
        <f>IF(OR(原始資料!$A473="",5&gt;設定!$B$3,原始資料!H473=""),"",IF(AND(原始資料!G473&lt;&gt;"",原始資料!H473=原始資料!G473),N(E473)+1,1))</f>
        <v/>
      </c>
      <c r="G473" s="6">
        <f>IF(OR(原始資料!$A473="",6&gt;設定!$B$3,原始資料!I473=""),"",IF(AND(原始資料!H473&lt;&gt;"",原始資料!I473=原始資料!H473),N(F473)+1,1))</f>
        <v/>
      </c>
      <c r="H473" s="6">
        <f>IF(OR(原始資料!$A473="",7&gt;設定!$B$3,原始資料!J473=""),"",IF(AND(原始資料!I473&lt;&gt;"",原始資料!J473=原始資料!I473),N(G473)+1,1))</f>
        <v/>
      </c>
      <c r="I473" s="6">
        <f>IF(OR(原始資料!$A473="",8&gt;設定!$B$3,原始資料!K473=""),"",IF(AND(原始資料!J473&lt;&gt;"",原始資料!K473=原始資料!J473),N(H473)+1,1))</f>
        <v/>
      </c>
      <c r="J473" s="6">
        <f>IF(OR(原始資料!$A473="",9&gt;設定!$B$3,原始資料!L473=""),"",IF(AND(原始資料!K473&lt;&gt;"",原始資料!L473=原始資料!K473),N(I473)+1,1))</f>
        <v/>
      </c>
      <c r="K473" s="6">
        <f>IF(OR(原始資料!$A473="",10&gt;設定!$B$3,原始資料!M473=""),"",IF(AND(原始資料!L473&lt;&gt;"",原始資料!M473=原始資料!L473),N(J473)+1,1))</f>
        <v/>
      </c>
      <c r="L473" s="6">
        <f>IF(OR(原始資料!$A473="",11&gt;設定!$B$3,原始資料!N473=""),"",IF(AND(原始資料!M473&lt;&gt;"",原始資料!N473=原始資料!M473),N(K473)+1,1))</f>
        <v/>
      </c>
      <c r="M473" s="6">
        <f>IF(OR(原始資料!$A473="",12&gt;設定!$B$3,原始資料!O473=""),"",IF(AND(原始資料!N473&lt;&gt;"",原始資料!O473=原始資料!N473),N(L473)+1,1))</f>
        <v/>
      </c>
      <c r="N473" s="6">
        <f>IF(OR(原始資料!$A473="",13&gt;設定!$B$3,原始資料!P473=""),"",IF(AND(原始資料!O473&lt;&gt;"",原始資料!P473=原始資料!O473),N(M473)+1,1))</f>
        <v/>
      </c>
      <c r="O473" s="6">
        <f>IF(OR(原始資料!$A473="",14&gt;設定!$B$3,原始資料!Q473=""),"",IF(AND(原始資料!P473&lt;&gt;"",原始資料!Q473=原始資料!P473),N(N473)+1,1))</f>
        <v/>
      </c>
      <c r="P473" s="6">
        <f>IF(OR(原始資料!$A473="",15&gt;設定!$B$3,原始資料!R473=""),"",IF(AND(原始資料!Q473&lt;&gt;"",原始資料!R473=原始資料!Q473),N(O473)+1,1))</f>
        <v/>
      </c>
      <c r="Q473" s="6">
        <f>IF(OR(原始資料!$A473="",16&gt;設定!$B$3,原始資料!S473=""),"",IF(AND(原始資料!R473&lt;&gt;"",原始資料!S473=原始資料!R473),N(P473)+1,1))</f>
        <v/>
      </c>
      <c r="R473" s="6">
        <f>IF(OR(原始資料!$A473="",17&gt;設定!$B$3,原始資料!T473=""),"",IF(AND(原始資料!S473&lt;&gt;"",原始資料!T473=原始資料!S473),N(Q473)+1,1))</f>
        <v/>
      </c>
      <c r="S473" s="6">
        <f>IF(OR(原始資料!$A473="",18&gt;設定!$B$3,原始資料!U473=""),"",IF(AND(原始資料!T473&lt;&gt;"",原始資料!U473=原始資料!T473),N(R473)+1,1))</f>
        <v/>
      </c>
      <c r="T473" s="6">
        <f>IF(OR(原始資料!$A473="",19&gt;設定!$B$3,原始資料!V473=""),"",IF(AND(原始資料!U473&lt;&gt;"",原始資料!V473=原始資料!U473),N(S473)+1,1))</f>
        <v/>
      </c>
      <c r="U473" s="6">
        <f>IF(OR(原始資料!$A473="",20&gt;設定!$B$3,原始資料!W473=""),"",IF(AND(原始資料!V473&lt;&gt;"",原始資料!W473=原始資料!V473),N(T473)+1,1))</f>
        <v/>
      </c>
      <c r="V473" s="6">
        <f>IF(OR(原始資料!$A473="",21&gt;設定!$B$3,原始資料!X473=""),"",IF(AND(原始資料!W473&lt;&gt;"",原始資料!X473=原始資料!W473),N(U473)+1,1))</f>
        <v/>
      </c>
      <c r="W473" s="6">
        <f>IF(OR(原始資料!$A473="",22&gt;設定!$B$3,原始資料!Y473=""),"",IF(AND(原始資料!X473&lt;&gt;"",原始資料!Y473=原始資料!X473),N(V473)+1,1))</f>
        <v/>
      </c>
      <c r="X473" s="6">
        <f>IF(OR(原始資料!$A473="",23&gt;設定!$B$3,原始資料!Z473=""),"",IF(AND(原始資料!Y473&lt;&gt;"",原始資料!Z473=原始資料!Y473),N(W473)+1,1))</f>
        <v/>
      </c>
      <c r="Y473" s="6">
        <f>IF(OR(原始資料!$A473="",24&gt;設定!$B$3,原始資料!AA473=""),"",IF(AND(原始資料!Z473&lt;&gt;"",原始資料!AA473=原始資料!Z473),N(X473)+1,1))</f>
        <v/>
      </c>
      <c r="Z473" s="6">
        <f>IF(OR(原始資料!$A473="",25&gt;設定!$B$3,原始資料!AB473=""),"",IF(AND(原始資料!AA473&lt;&gt;"",原始資料!AB473=原始資料!AA473),N(Y473)+1,1))</f>
        <v/>
      </c>
      <c r="AA473" s="6">
        <f>IF(OR(原始資料!$A473="",26&gt;設定!$B$3,原始資料!AC473=""),"",IF(AND(原始資料!AB473&lt;&gt;"",原始資料!AC473=原始資料!AB473),N(Z473)+1,1))</f>
        <v/>
      </c>
      <c r="AB473" s="6">
        <f>IF(OR(原始資料!$A473="",27&gt;設定!$B$3,原始資料!AD473=""),"",IF(AND(原始資料!AC473&lt;&gt;"",原始資料!AD473=原始資料!AC473),N(AA473)+1,1))</f>
        <v/>
      </c>
      <c r="AC473" s="6">
        <f>IF(OR(原始資料!$A473="",28&gt;設定!$B$3,原始資料!AE473=""),"",IF(AND(原始資料!AD473&lt;&gt;"",原始資料!AE473=原始資料!AD473),N(AB473)+1,1))</f>
        <v/>
      </c>
      <c r="AD473" s="6">
        <f>IF(OR(原始資料!$A473="",29&gt;設定!$B$3,原始資料!AF473=""),"",IF(AND(原始資料!AE473&lt;&gt;"",原始資料!AF473=原始資料!AE473),N(AC473)+1,1))</f>
        <v/>
      </c>
      <c r="AE473" s="6">
        <f>IF(OR(原始資料!$A473="",30&gt;設定!$B$3,原始資料!AG473=""),"",IF(AND(原始資料!AF473&lt;&gt;"",原始資料!AG473=原始資料!AF473),N(AD473)+1,1))</f>
        <v/>
      </c>
      <c r="AF473" s="6">
        <f>IF(OR(原始資料!$A473="",31&gt;設定!$B$3,原始資料!AH473=""),"",IF(AND(原始資料!AG473&lt;&gt;"",原始資料!AH473=原始資料!AG473),N(AE473)+1,1))</f>
        <v/>
      </c>
      <c r="AG473" s="6">
        <f>IF(OR(原始資料!$A473="",32&gt;設定!$B$3,原始資料!AI473=""),"",IF(AND(原始資料!AH473&lt;&gt;"",原始資料!AI473=原始資料!AH473),N(AF473)+1,1))</f>
        <v/>
      </c>
      <c r="AH473" s="6">
        <f>IF(OR(原始資料!$A473="",33&gt;設定!$B$3,原始資料!AJ473=""),"",IF(AND(原始資料!AI473&lt;&gt;"",原始資料!AJ473=原始資料!AI473),N(AG473)+1,1))</f>
        <v/>
      </c>
      <c r="AI473" s="6">
        <f>IF(OR(原始資料!$A473="",34&gt;設定!$B$3,原始資料!AK473=""),"",IF(AND(原始資料!AJ473&lt;&gt;"",原始資料!AK473=原始資料!AJ473),N(AH473)+1,1))</f>
        <v/>
      </c>
      <c r="AJ473" s="6">
        <f>IF(OR(原始資料!$A473="",35&gt;設定!$B$3,原始資料!AL473=""),"",IF(AND(原始資料!AK473&lt;&gt;"",原始資料!AL473=原始資料!AK473),N(AI473)+1,1))</f>
        <v/>
      </c>
      <c r="AK473" s="6">
        <f>IF(OR(原始資料!$A473="",36&gt;設定!$B$3,原始資料!AM473=""),"",IF(AND(原始資料!AL473&lt;&gt;"",原始資料!AM473=原始資料!AL473),N(AJ473)+1,1))</f>
        <v/>
      </c>
      <c r="AL473" s="6">
        <f>IF(OR(原始資料!$A473="",37&gt;設定!$B$3,原始資料!AN473=""),"",IF(AND(原始資料!AM473&lt;&gt;"",原始資料!AN473=原始資料!AM473),N(AK473)+1,1))</f>
        <v/>
      </c>
      <c r="AM473" s="6">
        <f>IF(OR(原始資料!$A473="",38&gt;設定!$B$3,原始資料!AO473=""),"",IF(AND(原始資料!AN473&lt;&gt;"",原始資料!AO473=原始資料!AN473),N(AL473)+1,1))</f>
        <v/>
      </c>
      <c r="AN473" s="6">
        <f>IF(OR(原始資料!$A473="",39&gt;設定!$B$3,原始資料!AP473=""),"",IF(AND(原始資料!AO473&lt;&gt;"",原始資料!AP473=原始資料!AO473),N(AM473)+1,1))</f>
        <v/>
      </c>
      <c r="AO473" s="6">
        <f>IF(OR(原始資料!$A473="",40&gt;設定!$B$3,原始資料!AQ473=""),"",IF(AND(原始資料!AP473&lt;&gt;"",原始資料!AQ473=原始資料!AP473),N(AN473)+1,1))</f>
        <v/>
      </c>
      <c r="AP473" s="6">
        <f>IF(OR(原始資料!$A473="",41&gt;設定!$B$3,原始資料!AR473=""),"",IF(AND(原始資料!AQ473&lt;&gt;"",原始資料!AR473=原始資料!AQ473),N(AO473)+1,1))</f>
        <v/>
      </c>
      <c r="AQ473" s="6">
        <f>IF(OR(原始資料!$A473="",42&gt;設定!$B$3,原始資料!AS473=""),"",IF(AND(原始資料!AR473&lt;&gt;"",原始資料!AS473=原始資料!AR473),N(AP473)+1,1))</f>
        <v/>
      </c>
      <c r="AR473" s="6">
        <f>IF(OR(原始資料!$A473="",43&gt;設定!$B$3,原始資料!AT473=""),"",IF(AND(原始資料!AS473&lt;&gt;"",原始資料!AT473=原始資料!AS473),N(AQ473)+1,1))</f>
        <v/>
      </c>
      <c r="AS473" s="6">
        <f>IF(OR(原始資料!$A473="",44&gt;設定!$B$3,原始資料!AU473=""),"",IF(AND(原始資料!AT473&lt;&gt;"",原始資料!AU473=原始資料!AT473),N(AR473)+1,1))</f>
        <v/>
      </c>
      <c r="AT473" s="6">
        <f>IF(OR(原始資料!$A473="",45&gt;設定!$B$3,原始資料!AV473=""),"",IF(AND(原始資料!AU473&lt;&gt;"",原始資料!AV473=原始資料!AU473),N(AS473)+1,1))</f>
        <v/>
      </c>
      <c r="AU473" s="6">
        <f>IF(OR(原始資料!$A473="",46&gt;設定!$B$3,原始資料!AW473=""),"",IF(AND(原始資料!AV473&lt;&gt;"",原始資料!AW473=原始資料!AV473),N(AT473)+1,1))</f>
        <v/>
      </c>
      <c r="AV473" s="6">
        <f>IF(OR(原始資料!$A473="",47&gt;設定!$B$3,原始資料!AX473=""),"",IF(AND(原始資料!AW473&lt;&gt;"",原始資料!AX473=原始資料!AW473),N(AU473)+1,1))</f>
        <v/>
      </c>
      <c r="AW473" s="6">
        <f>IF(OR(原始資料!$A473="",48&gt;設定!$B$3,原始資料!AY473=""),"",IF(AND(原始資料!AX473&lt;&gt;"",原始資料!AY473=原始資料!AX473),N(AV473)+1,1))</f>
        <v/>
      </c>
      <c r="AX473" s="6">
        <f>IF(OR(原始資料!$A473="",49&gt;設定!$B$3,原始資料!AZ473=""),"",IF(AND(原始資料!AY473&lt;&gt;"",原始資料!AZ473=原始資料!AY473),N(AW473)+1,1))</f>
        <v/>
      </c>
      <c r="AY473" s="6">
        <f>IF(OR(原始資料!$A473="",50&gt;設定!$B$3,原始資料!BA473=""),"",IF(AND(原始資料!AZ473&lt;&gt;"",原始資料!BA473=原始資料!AZ473),N(AX473)+1,1))</f>
        <v/>
      </c>
      <c r="AZ473" s="6">
        <f>IF(OR(原始資料!$A473="",51&gt;設定!$B$3,原始資料!BB473=""),"",IF(AND(原始資料!BA473&lt;&gt;"",原始資料!BB473=原始資料!BA473),N(AY473)+1,1))</f>
        <v/>
      </c>
      <c r="BA473" s="6">
        <f>IF(OR(原始資料!$A473="",52&gt;設定!$B$3,原始資料!BC473=""),"",IF(AND(原始資料!BB473&lt;&gt;"",原始資料!BC473=原始資料!BB473),N(AZ473)+1,1))</f>
        <v/>
      </c>
      <c r="BB473" s="6">
        <f>IF(OR(原始資料!$A473="",53&gt;設定!$B$3,原始資料!BD473=""),"",IF(AND(原始資料!BC473&lt;&gt;"",原始資料!BD473=原始資料!BC473),N(BA473)+1,1))</f>
        <v/>
      </c>
      <c r="BC473" s="6">
        <f>IF(OR(原始資料!$A473="",54&gt;設定!$B$3,原始資料!BE473=""),"",IF(AND(原始資料!BD473&lt;&gt;"",原始資料!BE473=原始資料!BD473),N(BB473)+1,1))</f>
        <v/>
      </c>
      <c r="BD473" s="6">
        <f>IF(OR(原始資料!$A473="",55&gt;設定!$B$3,原始資料!BF473=""),"",IF(AND(原始資料!BE473&lt;&gt;"",原始資料!BF473=原始資料!BE473),N(BC473)+1,1))</f>
        <v/>
      </c>
      <c r="BE473" s="6">
        <f>IF(OR(原始資料!$A473="",56&gt;設定!$B$3,原始資料!BG473=""),"",IF(AND(原始資料!BF473&lt;&gt;"",原始資料!BG473=原始資料!BF473),N(BD473)+1,1))</f>
        <v/>
      </c>
      <c r="BF473" s="6">
        <f>IF(OR(原始資料!$A473="",57&gt;設定!$B$3,原始資料!BH473=""),"",IF(AND(原始資料!BG473&lt;&gt;"",原始資料!BH473=原始資料!BG473),N(BE473)+1,1))</f>
        <v/>
      </c>
      <c r="BG473" s="6">
        <f>IF(OR(原始資料!$A473="",58&gt;設定!$B$3,原始資料!BI473=""),"",IF(AND(原始資料!BH473&lt;&gt;"",原始資料!BI473=原始資料!BH473),N(BF473)+1,1))</f>
        <v/>
      </c>
      <c r="BH473" s="6">
        <f>IF(OR(原始資料!$A473="",59&gt;設定!$B$3,原始資料!BJ473=""),"",IF(AND(原始資料!BI473&lt;&gt;"",原始資料!BJ473=原始資料!BI473),N(BG473)+1,1))</f>
        <v/>
      </c>
      <c r="BI473" s="6">
        <f>IF(OR(原始資料!$A473="",60&gt;設定!$B$3,原始資料!BK473=""),"",IF(AND(原始資料!BJ473&lt;&gt;"",原始資料!BK473=原始資料!BJ473),N(BH473)+1,1))</f>
        <v/>
      </c>
    </row>
    <row r="474">
      <c r="A474" s="6">
        <f>IF(原始資料!$A474="","",原始資料!$A474)</f>
        <v/>
      </c>
      <c r="B474" s="6">
        <f>IF(OR(原始資料!$A474="",1&gt;設定!$B$3,原始資料!D474=""),"",1)</f>
        <v/>
      </c>
      <c r="C474" s="6">
        <f>IF(OR(原始資料!$A474="",2&gt;設定!$B$3,原始資料!E474=""),"",IF(AND(原始資料!D474&lt;&gt;"",原始資料!E474=原始資料!D474),N(B474)+1,1))</f>
        <v/>
      </c>
      <c r="D474" s="6">
        <f>IF(OR(原始資料!$A474="",3&gt;設定!$B$3,原始資料!F474=""),"",IF(AND(原始資料!E474&lt;&gt;"",原始資料!F474=原始資料!E474),N(C474)+1,1))</f>
        <v/>
      </c>
      <c r="E474" s="6">
        <f>IF(OR(原始資料!$A474="",4&gt;設定!$B$3,原始資料!G474=""),"",IF(AND(原始資料!F474&lt;&gt;"",原始資料!G474=原始資料!F474),N(D474)+1,1))</f>
        <v/>
      </c>
      <c r="F474" s="6">
        <f>IF(OR(原始資料!$A474="",5&gt;設定!$B$3,原始資料!H474=""),"",IF(AND(原始資料!G474&lt;&gt;"",原始資料!H474=原始資料!G474),N(E474)+1,1))</f>
        <v/>
      </c>
      <c r="G474" s="6">
        <f>IF(OR(原始資料!$A474="",6&gt;設定!$B$3,原始資料!I474=""),"",IF(AND(原始資料!H474&lt;&gt;"",原始資料!I474=原始資料!H474),N(F474)+1,1))</f>
        <v/>
      </c>
      <c r="H474" s="6">
        <f>IF(OR(原始資料!$A474="",7&gt;設定!$B$3,原始資料!J474=""),"",IF(AND(原始資料!I474&lt;&gt;"",原始資料!J474=原始資料!I474),N(G474)+1,1))</f>
        <v/>
      </c>
      <c r="I474" s="6">
        <f>IF(OR(原始資料!$A474="",8&gt;設定!$B$3,原始資料!K474=""),"",IF(AND(原始資料!J474&lt;&gt;"",原始資料!K474=原始資料!J474),N(H474)+1,1))</f>
        <v/>
      </c>
      <c r="J474" s="6">
        <f>IF(OR(原始資料!$A474="",9&gt;設定!$B$3,原始資料!L474=""),"",IF(AND(原始資料!K474&lt;&gt;"",原始資料!L474=原始資料!K474),N(I474)+1,1))</f>
        <v/>
      </c>
      <c r="K474" s="6">
        <f>IF(OR(原始資料!$A474="",10&gt;設定!$B$3,原始資料!M474=""),"",IF(AND(原始資料!L474&lt;&gt;"",原始資料!M474=原始資料!L474),N(J474)+1,1))</f>
        <v/>
      </c>
      <c r="L474" s="6">
        <f>IF(OR(原始資料!$A474="",11&gt;設定!$B$3,原始資料!N474=""),"",IF(AND(原始資料!M474&lt;&gt;"",原始資料!N474=原始資料!M474),N(K474)+1,1))</f>
        <v/>
      </c>
      <c r="M474" s="6">
        <f>IF(OR(原始資料!$A474="",12&gt;設定!$B$3,原始資料!O474=""),"",IF(AND(原始資料!N474&lt;&gt;"",原始資料!O474=原始資料!N474),N(L474)+1,1))</f>
        <v/>
      </c>
      <c r="N474" s="6">
        <f>IF(OR(原始資料!$A474="",13&gt;設定!$B$3,原始資料!P474=""),"",IF(AND(原始資料!O474&lt;&gt;"",原始資料!P474=原始資料!O474),N(M474)+1,1))</f>
        <v/>
      </c>
      <c r="O474" s="6">
        <f>IF(OR(原始資料!$A474="",14&gt;設定!$B$3,原始資料!Q474=""),"",IF(AND(原始資料!P474&lt;&gt;"",原始資料!Q474=原始資料!P474),N(N474)+1,1))</f>
        <v/>
      </c>
      <c r="P474" s="6">
        <f>IF(OR(原始資料!$A474="",15&gt;設定!$B$3,原始資料!R474=""),"",IF(AND(原始資料!Q474&lt;&gt;"",原始資料!R474=原始資料!Q474),N(O474)+1,1))</f>
        <v/>
      </c>
      <c r="Q474" s="6">
        <f>IF(OR(原始資料!$A474="",16&gt;設定!$B$3,原始資料!S474=""),"",IF(AND(原始資料!R474&lt;&gt;"",原始資料!S474=原始資料!R474),N(P474)+1,1))</f>
        <v/>
      </c>
      <c r="R474" s="6">
        <f>IF(OR(原始資料!$A474="",17&gt;設定!$B$3,原始資料!T474=""),"",IF(AND(原始資料!S474&lt;&gt;"",原始資料!T474=原始資料!S474),N(Q474)+1,1))</f>
        <v/>
      </c>
      <c r="S474" s="6">
        <f>IF(OR(原始資料!$A474="",18&gt;設定!$B$3,原始資料!U474=""),"",IF(AND(原始資料!T474&lt;&gt;"",原始資料!U474=原始資料!T474),N(R474)+1,1))</f>
        <v/>
      </c>
      <c r="T474" s="6">
        <f>IF(OR(原始資料!$A474="",19&gt;設定!$B$3,原始資料!V474=""),"",IF(AND(原始資料!U474&lt;&gt;"",原始資料!V474=原始資料!U474),N(S474)+1,1))</f>
        <v/>
      </c>
      <c r="U474" s="6">
        <f>IF(OR(原始資料!$A474="",20&gt;設定!$B$3,原始資料!W474=""),"",IF(AND(原始資料!V474&lt;&gt;"",原始資料!W474=原始資料!V474),N(T474)+1,1))</f>
        <v/>
      </c>
      <c r="V474" s="6">
        <f>IF(OR(原始資料!$A474="",21&gt;設定!$B$3,原始資料!X474=""),"",IF(AND(原始資料!W474&lt;&gt;"",原始資料!X474=原始資料!W474),N(U474)+1,1))</f>
        <v/>
      </c>
      <c r="W474" s="6">
        <f>IF(OR(原始資料!$A474="",22&gt;設定!$B$3,原始資料!Y474=""),"",IF(AND(原始資料!X474&lt;&gt;"",原始資料!Y474=原始資料!X474),N(V474)+1,1))</f>
        <v/>
      </c>
      <c r="X474" s="6">
        <f>IF(OR(原始資料!$A474="",23&gt;設定!$B$3,原始資料!Z474=""),"",IF(AND(原始資料!Y474&lt;&gt;"",原始資料!Z474=原始資料!Y474),N(W474)+1,1))</f>
        <v/>
      </c>
      <c r="Y474" s="6">
        <f>IF(OR(原始資料!$A474="",24&gt;設定!$B$3,原始資料!AA474=""),"",IF(AND(原始資料!Z474&lt;&gt;"",原始資料!AA474=原始資料!Z474),N(X474)+1,1))</f>
        <v/>
      </c>
      <c r="Z474" s="6">
        <f>IF(OR(原始資料!$A474="",25&gt;設定!$B$3,原始資料!AB474=""),"",IF(AND(原始資料!AA474&lt;&gt;"",原始資料!AB474=原始資料!AA474),N(Y474)+1,1))</f>
        <v/>
      </c>
      <c r="AA474" s="6">
        <f>IF(OR(原始資料!$A474="",26&gt;設定!$B$3,原始資料!AC474=""),"",IF(AND(原始資料!AB474&lt;&gt;"",原始資料!AC474=原始資料!AB474),N(Z474)+1,1))</f>
        <v/>
      </c>
      <c r="AB474" s="6">
        <f>IF(OR(原始資料!$A474="",27&gt;設定!$B$3,原始資料!AD474=""),"",IF(AND(原始資料!AC474&lt;&gt;"",原始資料!AD474=原始資料!AC474),N(AA474)+1,1))</f>
        <v/>
      </c>
      <c r="AC474" s="6">
        <f>IF(OR(原始資料!$A474="",28&gt;設定!$B$3,原始資料!AE474=""),"",IF(AND(原始資料!AD474&lt;&gt;"",原始資料!AE474=原始資料!AD474),N(AB474)+1,1))</f>
        <v/>
      </c>
      <c r="AD474" s="6">
        <f>IF(OR(原始資料!$A474="",29&gt;設定!$B$3,原始資料!AF474=""),"",IF(AND(原始資料!AE474&lt;&gt;"",原始資料!AF474=原始資料!AE474),N(AC474)+1,1))</f>
        <v/>
      </c>
      <c r="AE474" s="6">
        <f>IF(OR(原始資料!$A474="",30&gt;設定!$B$3,原始資料!AG474=""),"",IF(AND(原始資料!AF474&lt;&gt;"",原始資料!AG474=原始資料!AF474),N(AD474)+1,1))</f>
        <v/>
      </c>
      <c r="AF474" s="6">
        <f>IF(OR(原始資料!$A474="",31&gt;設定!$B$3,原始資料!AH474=""),"",IF(AND(原始資料!AG474&lt;&gt;"",原始資料!AH474=原始資料!AG474),N(AE474)+1,1))</f>
        <v/>
      </c>
      <c r="AG474" s="6">
        <f>IF(OR(原始資料!$A474="",32&gt;設定!$B$3,原始資料!AI474=""),"",IF(AND(原始資料!AH474&lt;&gt;"",原始資料!AI474=原始資料!AH474),N(AF474)+1,1))</f>
        <v/>
      </c>
      <c r="AH474" s="6">
        <f>IF(OR(原始資料!$A474="",33&gt;設定!$B$3,原始資料!AJ474=""),"",IF(AND(原始資料!AI474&lt;&gt;"",原始資料!AJ474=原始資料!AI474),N(AG474)+1,1))</f>
        <v/>
      </c>
      <c r="AI474" s="6">
        <f>IF(OR(原始資料!$A474="",34&gt;設定!$B$3,原始資料!AK474=""),"",IF(AND(原始資料!AJ474&lt;&gt;"",原始資料!AK474=原始資料!AJ474),N(AH474)+1,1))</f>
        <v/>
      </c>
      <c r="AJ474" s="6">
        <f>IF(OR(原始資料!$A474="",35&gt;設定!$B$3,原始資料!AL474=""),"",IF(AND(原始資料!AK474&lt;&gt;"",原始資料!AL474=原始資料!AK474),N(AI474)+1,1))</f>
        <v/>
      </c>
      <c r="AK474" s="6">
        <f>IF(OR(原始資料!$A474="",36&gt;設定!$B$3,原始資料!AM474=""),"",IF(AND(原始資料!AL474&lt;&gt;"",原始資料!AM474=原始資料!AL474),N(AJ474)+1,1))</f>
        <v/>
      </c>
      <c r="AL474" s="6">
        <f>IF(OR(原始資料!$A474="",37&gt;設定!$B$3,原始資料!AN474=""),"",IF(AND(原始資料!AM474&lt;&gt;"",原始資料!AN474=原始資料!AM474),N(AK474)+1,1))</f>
        <v/>
      </c>
      <c r="AM474" s="6">
        <f>IF(OR(原始資料!$A474="",38&gt;設定!$B$3,原始資料!AO474=""),"",IF(AND(原始資料!AN474&lt;&gt;"",原始資料!AO474=原始資料!AN474),N(AL474)+1,1))</f>
        <v/>
      </c>
      <c r="AN474" s="6">
        <f>IF(OR(原始資料!$A474="",39&gt;設定!$B$3,原始資料!AP474=""),"",IF(AND(原始資料!AO474&lt;&gt;"",原始資料!AP474=原始資料!AO474),N(AM474)+1,1))</f>
        <v/>
      </c>
      <c r="AO474" s="6">
        <f>IF(OR(原始資料!$A474="",40&gt;設定!$B$3,原始資料!AQ474=""),"",IF(AND(原始資料!AP474&lt;&gt;"",原始資料!AQ474=原始資料!AP474),N(AN474)+1,1))</f>
        <v/>
      </c>
      <c r="AP474" s="6">
        <f>IF(OR(原始資料!$A474="",41&gt;設定!$B$3,原始資料!AR474=""),"",IF(AND(原始資料!AQ474&lt;&gt;"",原始資料!AR474=原始資料!AQ474),N(AO474)+1,1))</f>
        <v/>
      </c>
      <c r="AQ474" s="6">
        <f>IF(OR(原始資料!$A474="",42&gt;設定!$B$3,原始資料!AS474=""),"",IF(AND(原始資料!AR474&lt;&gt;"",原始資料!AS474=原始資料!AR474),N(AP474)+1,1))</f>
        <v/>
      </c>
      <c r="AR474" s="6">
        <f>IF(OR(原始資料!$A474="",43&gt;設定!$B$3,原始資料!AT474=""),"",IF(AND(原始資料!AS474&lt;&gt;"",原始資料!AT474=原始資料!AS474),N(AQ474)+1,1))</f>
        <v/>
      </c>
      <c r="AS474" s="6">
        <f>IF(OR(原始資料!$A474="",44&gt;設定!$B$3,原始資料!AU474=""),"",IF(AND(原始資料!AT474&lt;&gt;"",原始資料!AU474=原始資料!AT474),N(AR474)+1,1))</f>
        <v/>
      </c>
      <c r="AT474" s="6">
        <f>IF(OR(原始資料!$A474="",45&gt;設定!$B$3,原始資料!AV474=""),"",IF(AND(原始資料!AU474&lt;&gt;"",原始資料!AV474=原始資料!AU474),N(AS474)+1,1))</f>
        <v/>
      </c>
      <c r="AU474" s="6">
        <f>IF(OR(原始資料!$A474="",46&gt;設定!$B$3,原始資料!AW474=""),"",IF(AND(原始資料!AV474&lt;&gt;"",原始資料!AW474=原始資料!AV474),N(AT474)+1,1))</f>
        <v/>
      </c>
      <c r="AV474" s="6">
        <f>IF(OR(原始資料!$A474="",47&gt;設定!$B$3,原始資料!AX474=""),"",IF(AND(原始資料!AW474&lt;&gt;"",原始資料!AX474=原始資料!AW474),N(AU474)+1,1))</f>
        <v/>
      </c>
      <c r="AW474" s="6">
        <f>IF(OR(原始資料!$A474="",48&gt;設定!$B$3,原始資料!AY474=""),"",IF(AND(原始資料!AX474&lt;&gt;"",原始資料!AY474=原始資料!AX474),N(AV474)+1,1))</f>
        <v/>
      </c>
      <c r="AX474" s="6">
        <f>IF(OR(原始資料!$A474="",49&gt;設定!$B$3,原始資料!AZ474=""),"",IF(AND(原始資料!AY474&lt;&gt;"",原始資料!AZ474=原始資料!AY474),N(AW474)+1,1))</f>
        <v/>
      </c>
      <c r="AY474" s="6">
        <f>IF(OR(原始資料!$A474="",50&gt;設定!$B$3,原始資料!BA474=""),"",IF(AND(原始資料!AZ474&lt;&gt;"",原始資料!BA474=原始資料!AZ474),N(AX474)+1,1))</f>
        <v/>
      </c>
      <c r="AZ474" s="6">
        <f>IF(OR(原始資料!$A474="",51&gt;設定!$B$3,原始資料!BB474=""),"",IF(AND(原始資料!BA474&lt;&gt;"",原始資料!BB474=原始資料!BA474),N(AY474)+1,1))</f>
        <v/>
      </c>
      <c r="BA474" s="6">
        <f>IF(OR(原始資料!$A474="",52&gt;設定!$B$3,原始資料!BC474=""),"",IF(AND(原始資料!BB474&lt;&gt;"",原始資料!BC474=原始資料!BB474),N(AZ474)+1,1))</f>
        <v/>
      </c>
      <c r="BB474" s="6">
        <f>IF(OR(原始資料!$A474="",53&gt;設定!$B$3,原始資料!BD474=""),"",IF(AND(原始資料!BC474&lt;&gt;"",原始資料!BD474=原始資料!BC474),N(BA474)+1,1))</f>
        <v/>
      </c>
      <c r="BC474" s="6">
        <f>IF(OR(原始資料!$A474="",54&gt;設定!$B$3,原始資料!BE474=""),"",IF(AND(原始資料!BD474&lt;&gt;"",原始資料!BE474=原始資料!BD474),N(BB474)+1,1))</f>
        <v/>
      </c>
      <c r="BD474" s="6">
        <f>IF(OR(原始資料!$A474="",55&gt;設定!$B$3,原始資料!BF474=""),"",IF(AND(原始資料!BE474&lt;&gt;"",原始資料!BF474=原始資料!BE474),N(BC474)+1,1))</f>
        <v/>
      </c>
      <c r="BE474" s="6">
        <f>IF(OR(原始資料!$A474="",56&gt;設定!$B$3,原始資料!BG474=""),"",IF(AND(原始資料!BF474&lt;&gt;"",原始資料!BG474=原始資料!BF474),N(BD474)+1,1))</f>
        <v/>
      </c>
      <c r="BF474" s="6">
        <f>IF(OR(原始資料!$A474="",57&gt;設定!$B$3,原始資料!BH474=""),"",IF(AND(原始資料!BG474&lt;&gt;"",原始資料!BH474=原始資料!BG474),N(BE474)+1,1))</f>
        <v/>
      </c>
      <c r="BG474" s="6">
        <f>IF(OR(原始資料!$A474="",58&gt;設定!$B$3,原始資料!BI474=""),"",IF(AND(原始資料!BH474&lt;&gt;"",原始資料!BI474=原始資料!BH474),N(BF474)+1,1))</f>
        <v/>
      </c>
      <c r="BH474" s="6">
        <f>IF(OR(原始資料!$A474="",59&gt;設定!$B$3,原始資料!BJ474=""),"",IF(AND(原始資料!BI474&lt;&gt;"",原始資料!BJ474=原始資料!BI474),N(BG474)+1,1))</f>
        <v/>
      </c>
      <c r="BI474" s="6">
        <f>IF(OR(原始資料!$A474="",60&gt;設定!$B$3,原始資料!BK474=""),"",IF(AND(原始資料!BJ474&lt;&gt;"",原始資料!BK474=原始資料!BJ474),N(BH474)+1,1))</f>
        <v/>
      </c>
    </row>
    <row r="475">
      <c r="A475" s="6">
        <f>IF(原始資料!$A475="","",原始資料!$A475)</f>
        <v/>
      </c>
      <c r="B475" s="6">
        <f>IF(OR(原始資料!$A475="",1&gt;設定!$B$3,原始資料!D475=""),"",1)</f>
        <v/>
      </c>
      <c r="C475" s="6">
        <f>IF(OR(原始資料!$A475="",2&gt;設定!$B$3,原始資料!E475=""),"",IF(AND(原始資料!D475&lt;&gt;"",原始資料!E475=原始資料!D475),N(B475)+1,1))</f>
        <v/>
      </c>
      <c r="D475" s="6">
        <f>IF(OR(原始資料!$A475="",3&gt;設定!$B$3,原始資料!F475=""),"",IF(AND(原始資料!E475&lt;&gt;"",原始資料!F475=原始資料!E475),N(C475)+1,1))</f>
        <v/>
      </c>
      <c r="E475" s="6">
        <f>IF(OR(原始資料!$A475="",4&gt;設定!$B$3,原始資料!G475=""),"",IF(AND(原始資料!F475&lt;&gt;"",原始資料!G475=原始資料!F475),N(D475)+1,1))</f>
        <v/>
      </c>
      <c r="F475" s="6">
        <f>IF(OR(原始資料!$A475="",5&gt;設定!$B$3,原始資料!H475=""),"",IF(AND(原始資料!G475&lt;&gt;"",原始資料!H475=原始資料!G475),N(E475)+1,1))</f>
        <v/>
      </c>
      <c r="G475" s="6">
        <f>IF(OR(原始資料!$A475="",6&gt;設定!$B$3,原始資料!I475=""),"",IF(AND(原始資料!H475&lt;&gt;"",原始資料!I475=原始資料!H475),N(F475)+1,1))</f>
        <v/>
      </c>
      <c r="H475" s="6">
        <f>IF(OR(原始資料!$A475="",7&gt;設定!$B$3,原始資料!J475=""),"",IF(AND(原始資料!I475&lt;&gt;"",原始資料!J475=原始資料!I475),N(G475)+1,1))</f>
        <v/>
      </c>
      <c r="I475" s="6">
        <f>IF(OR(原始資料!$A475="",8&gt;設定!$B$3,原始資料!K475=""),"",IF(AND(原始資料!J475&lt;&gt;"",原始資料!K475=原始資料!J475),N(H475)+1,1))</f>
        <v/>
      </c>
      <c r="J475" s="6">
        <f>IF(OR(原始資料!$A475="",9&gt;設定!$B$3,原始資料!L475=""),"",IF(AND(原始資料!K475&lt;&gt;"",原始資料!L475=原始資料!K475),N(I475)+1,1))</f>
        <v/>
      </c>
      <c r="K475" s="6">
        <f>IF(OR(原始資料!$A475="",10&gt;設定!$B$3,原始資料!M475=""),"",IF(AND(原始資料!L475&lt;&gt;"",原始資料!M475=原始資料!L475),N(J475)+1,1))</f>
        <v/>
      </c>
      <c r="L475" s="6">
        <f>IF(OR(原始資料!$A475="",11&gt;設定!$B$3,原始資料!N475=""),"",IF(AND(原始資料!M475&lt;&gt;"",原始資料!N475=原始資料!M475),N(K475)+1,1))</f>
        <v/>
      </c>
      <c r="M475" s="6">
        <f>IF(OR(原始資料!$A475="",12&gt;設定!$B$3,原始資料!O475=""),"",IF(AND(原始資料!N475&lt;&gt;"",原始資料!O475=原始資料!N475),N(L475)+1,1))</f>
        <v/>
      </c>
      <c r="N475" s="6">
        <f>IF(OR(原始資料!$A475="",13&gt;設定!$B$3,原始資料!P475=""),"",IF(AND(原始資料!O475&lt;&gt;"",原始資料!P475=原始資料!O475),N(M475)+1,1))</f>
        <v/>
      </c>
      <c r="O475" s="6">
        <f>IF(OR(原始資料!$A475="",14&gt;設定!$B$3,原始資料!Q475=""),"",IF(AND(原始資料!P475&lt;&gt;"",原始資料!Q475=原始資料!P475),N(N475)+1,1))</f>
        <v/>
      </c>
      <c r="P475" s="6">
        <f>IF(OR(原始資料!$A475="",15&gt;設定!$B$3,原始資料!R475=""),"",IF(AND(原始資料!Q475&lt;&gt;"",原始資料!R475=原始資料!Q475),N(O475)+1,1))</f>
        <v/>
      </c>
      <c r="Q475" s="6">
        <f>IF(OR(原始資料!$A475="",16&gt;設定!$B$3,原始資料!S475=""),"",IF(AND(原始資料!R475&lt;&gt;"",原始資料!S475=原始資料!R475),N(P475)+1,1))</f>
        <v/>
      </c>
      <c r="R475" s="6">
        <f>IF(OR(原始資料!$A475="",17&gt;設定!$B$3,原始資料!T475=""),"",IF(AND(原始資料!S475&lt;&gt;"",原始資料!T475=原始資料!S475),N(Q475)+1,1))</f>
        <v/>
      </c>
      <c r="S475" s="6">
        <f>IF(OR(原始資料!$A475="",18&gt;設定!$B$3,原始資料!U475=""),"",IF(AND(原始資料!T475&lt;&gt;"",原始資料!U475=原始資料!T475),N(R475)+1,1))</f>
        <v/>
      </c>
      <c r="T475" s="6">
        <f>IF(OR(原始資料!$A475="",19&gt;設定!$B$3,原始資料!V475=""),"",IF(AND(原始資料!U475&lt;&gt;"",原始資料!V475=原始資料!U475),N(S475)+1,1))</f>
        <v/>
      </c>
      <c r="U475" s="6">
        <f>IF(OR(原始資料!$A475="",20&gt;設定!$B$3,原始資料!W475=""),"",IF(AND(原始資料!V475&lt;&gt;"",原始資料!W475=原始資料!V475),N(T475)+1,1))</f>
        <v/>
      </c>
      <c r="V475" s="6">
        <f>IF(OR(原始資料!$A475="",21&gt;設定!$B$3,原始資料!X475=""),"",IF(AND(原始資料!W475&lt;&gt;"",原始資料!X475=原始資料!W475),N(U475)+1,1))</f>
        <v/>
      </c>
      <c r="W475" s="6">
        <f>IF(OR(原始資料!$A475="",22&gt;設定!$B$3,原始資料!Y475=""),"",IF(AND(原始資料!X475&lt;&gt;"",原始資料!Y475=原始資料!X475),N(V475)+1,1))</f>
        <v/>
      </c>
      <c r="X475" s="6">
        <f>IF(OR(原始資料!$A475="",23&gt;設定!$B$3,原始資料!Z475=""),"",IF(AND(原始資料!Y475&lt;&gt;"",原始資料!Z475=原始資料!Y475),N(W475)+1,1))</f>
        <v/>
      </c>
      <c r="Y475" s="6">
        <f>IF(OR(原始資料!$A475="",24&gt;設定!$B$3,原始資料!AA475=""),"",IF(AND(原始資料!Z475&lt;&gt;"",原始資料!AA475=原始資料!Z475),N(X475)+1,1))</f>
        <v/>
      </c>
      <c r="Z475" s="6">
        <f>IF(OR(原始資料!$A475="",25&gt;設定!$B$3,原始資料!AB475=""),"",IF(AND(原始資料!AA475&lt;&gt;"",原始資料!AB475=原始資料!AA475),N(Y475)+1,1))</f>
        <v/>
      </c>
      <c r="AA475" s="6">
        <f>IF(OR(原始資料!$A475="",26&gt;設定!$B$3,原始資料!AC475=""),"",IF(AND(原始資料!AB475&lt;&gt;"",原始資料!AC475=原始資料!AB475),N(Z475)+1,1))</f>
        <v/>
      </c>
      <c r="AB475" s="6">
        <f>IF(OR(原始資料!$A475="",27&gt;設定!$B$3,原始資料!AD475=""),"",IF(AND(原始資料!AC475&lt;&gt;"",原始資料!AD475=原始資料!AC475),N(AA475)+1,1))</f>
        <v/>
      </c>
      <c r="AC475" s="6">
        <f>IF(OR(原始資料!$A475="",28&gt;設定!$B$3,原始資料!AE475=""),"",IF(AND(原始資料!AD475&lt;&gt;"",原始資料!AE475=原始資料!AD475),N(AB475)+1,1))</f>
        <v/>
      </c>
      <c r="AD475" s="6">
        <f>IF(OR(原始資料!$A475="",29&gt;設定!$B$3,原始資料!AF475=""),"",IF(AND(原始資料!AE475&lt;&gt;"",原始資料!AF475=原始資料!AE475),N(AC475)+1,1))</f>
        <v/>
      </c>
      <c r="AE475" s="6">
        <f>IF(OR(原始資料!$A475="",30&gt;設定!$B$3,原始資料!AG475=""),"",IF(AND(原始資料!AF475&lt;&gt;"",原始資料!AG475=原始資料!AF475),N(AD475)+1,1))</f>
        <v/>
      </c>
      <c r="AF475" s="6">
        <f>IF(OR(原始資料!$A475="",31&gt;設定!$B$3,原始資料!AH475=""),"",IF(AND(原始資料!AG475&lt;&gt;"",原始資料!AH475=原始資料!AG475),N(AE475)+1,1))</f>
        <v/>
      </c>
      <c r="AG475" s="6">
        <f>IF(OR(原始資料!$A475="",32&gt;設定!$B$3,原始資料!AI475=""),"",IF(AND(原始資料!AH475&lt;&gt;"",原始資料!AI475=原始資料!AH475),N(AF475)+1,1))</f>
        <v/>
      </c>
      <c r="AH475" s="6">
        <f>IF(OR(原始資料!$A475="",33&gt;設定!$B$3,原始資料!AJ475=""),"",IF(AND(原始資料!AI475&lt;&gt;"",原始資料!AJ475=原始資料!AI475),N(AG475)+1,1))</f>
        <v/>
      </c>
      <c r="AI475" s="6">
        <f>IF(OR(原始資料!$A475="",34&gt;設定!$B$3,原始資料!AK475=""),"",IF(AND(原始資料!AJ475&lt;&gt;"",原始資料!AK475=原始資料!AJ475),N(AH475)+1,1))</f>
        <v/>
      </c>
      <c r="AJ475" s="6">
        <f>IF(OR(原始資料!$A475="",35&gt;設定!$B$3,原始資料!AL475=""),"",IF(AND(原始資料!AK475&lt;&gt;"",原始資料!AL475=原始資料!AK475),N(AI475)+1,1))</f>
        <v/>
      </c>
      <c r="AK475" s="6">
        <f>IF(OR(原始資料!$A475="",36&gt;設定!$B$3,原始資料!AM475=""),"",IF(AND(原始資料!AL475&lt;&gt;"",原始資料!AM475=原始資料!AL475),N(AJ475)+1,1))</f>
        <v/>
      </c>
      <c r="AL475" s="6">
        <f>IF(OR(原始資料!$A475="",37&gt;設定!$B$3,原始資料!AN475=""),"",IF(AND(原始資料!AM475&lt;&gt;"",原始資料!AN475=原始資料!AM475),N(AK475)+1,1))</f>
        <v/>
      </c>
      <c r="AM475" s="6">
        <f>IF(OR(原始資料!$A475="",38&gt;設定!$B$3,原始資料!AO475=""),"",IF(AND(原始資料!AN475&lt;&gt;"",原始資料!AO475=原始資料!AN475),N(AL475)+1,1))</f>
        <v/>
      </c>
      <c r="AN475" s="6">
        <f>IF(OR(原始資料!$A475="",39&gt;設定!$B$3,原始資料!AP475=""),"",IF(AND(原始資料!AO475&lt;&gt;"",原始資料!AP475=原始資料!AO475),N(AM475)+1,1))</f>
        <v/>
      </c>
      <c r="AO475" s="6">
        <f>IF(OR(原始資料!$A475="",40&gt;設定!$B$3,原始資料!AQ475=""),"",IF(AND(原始資料!AP475&lt;&gt;"",原始資料!AQ475=原始資料!AP475),N(AN475)+1,1))</f>
        <v/>
      </c>
      <c r="AP475" s="6">
        <f>IF(OR(原始資料!$A475="",41&gt;設定!$B$3,原始資料!AR475=""),"",IF(AND(原始資料!AQ475&lt;&gt;"",原始資料!AR475=原始資料!AQ475),N(AO475)+1,1))</f>
        <v/>
      </c>
      <c r="AQ475" s="6">
        <f>IF(OR(原始資料!$A475="",42&gt;設定!$B$3,原始資料!AS475=""),"",IF(AND(原始資料!AR475&lt;&gt;"",原始資料!AS475=原始資料!AR475),N(AP475)+1,1))</f>
        <v/>
      </c>
      <c r="AR475" s="6">
        <f>IF(OR(原始資料!$A475="",43&gt;設定!$B$3,原始資料!AT475=""),"",IF(AND(原始資料!AS475&lt;&gt;"",原始資料!AT475=原始資料!AS475),N(AQ475)+1,1))</f>
        <v/>
      </c>
      <c r="AS475" s="6">
        <f>IF(OR(原始資料!$A475="",44&gt;設定!$B$3,原始資料!AU475=""),"",IF(AND(原始資料!AT475&lt;&gt;"",原始資料!AU475=原始資料!AT475),N(AR475)+1,1))</f>
        <v/>
      </c>
      <c r="AT475" s="6">
        <f>IF(OR(原始資料!$A475="",45&gt;設定!$B$3,原始資料!AV475=""),"",IF(AND(原始資料!AU475&lt;&gt;"",原始資料!AV475=原始資料!AU475),N(AS475)+1,1))</f>
        <v/>
      </c>
      <c r="AU475" s="6">
        <f>IF(OR(原始資料!$A475="",46&gt;設定!$B$3,原始資料!AW475=""),"",IF(AND(原始資料!AV475&lt;&gt;"",原始資料!AW475=原始資料!AV475),N(AT475)+1,1))</f>
        <v/>
      </c>
      <c r="AV475" s="6">
        <f>IF(OR(原始資料!$A475="",47&gt;設定!$B$3,原始資料!AX475=""),"",IF(AND(原始資料!AW475&lt;&gt;"",原始資料!AX475=原始資料!AW475),N(AU475)+1,1))</f>
        <v/>
      </c>
      <c r="AW475" s="6">
        <f>IF(OR(原始資料!$A475="",48&gt;設定!$B$3,原始資料!AY475=""),"",IF(AND(原始資料!AX475&lt;&gt;"",原始資料!AY475=原始資料!AX475),N(AV475)+1,1))</f>
        <v/>
      </c>
      <c r="AX475" s="6">
        <f>IF(OR(原始資料!$A475="",49&gt;設定!$B$3,原始資料!AZ475=""),"",IF(AND(原始資料!AY475&lt;&gt;"",原始資料!AZ475=原始資料!AY475),N(AW475)+1,1))</f>
        <v/>
      </c>
      <c r="AY475" s="6">
        <f>IF(OR(原始資料!$A475="",50&gt;設定!$B$3,原始資料!BA475=""),"",IF(AND(原始資料!AZ475&lt;&gt;"",原始資料!BA475=原始資料!AZ475),N(AX475)+1,1))</f>
        <v/>
      </c>
      <c r="AZ475" s="6">
        <f>IF(OR(原始資料!$A475="",51&gt;設定!$B$3,原始資料!BB475=""),"",IF(AND(原始資料!BA475&lt;&gt;"",原始資料!BB475=原始資料!BA475),N(AY475)+1,1))</f>
        <v/>
      </c>
      <c r="BA475" s="6">
        <f>IF(OR(原始資料!$A475="",52&gt;設定!$B$3,原始資料!BC475=""),"",IF(AND(原始資料!BB475&lt;&gt;"",原始資料!BC475=原始資料!BB475),N(AZ475)+1,1))</f>
        <v/>
      </c>
      <c r="BB475" s="6">
        <f>IF(OR(原始資料!$A475="",53&gt;設定!$B$3,原始資料!BD475=""),"",IF(AND(原始資料!BC475&lt;&gt;"",原始資料!BD475=原始資料!BC475),N(BA475)+1,1))</f>
        <v/>
      </c>
      <c r="BC475" s="6">
        <f>IF(OR(原始資料!$A475="",54&gt;設定!$B$3,原始資料!BE475=""),"",IF(AND(原始資料!BD475&lt;&gt;"",原始資料!BE475=原始資料!BD475),N(BB475)+1,1))</f>
        <v/>
      </c>
      <c r="BD475" s="6">
        <f>IF(OR(原始資料!$A475="",55&gt;設定!$B$3,原始資料!BF475=""),"",IF(AND(原始資料!BE475&lt;&gt;"",原始資料!BF475=原始資料!BE475),N(BC475)+1,1))</f>
        <v/>
      </c>
      <c r="BE475" s="6">
        <f>IF(OR(原始資料!$A475="",56&gt;設定!$B$3,原始資料!BG475=""),"",IF(AND(原始資料!BF475&lt;&gt;"",原始資料!BG475=原始資料!BF475),N(BD475)+1,1))</f>
        <v/>
      </c>
      <c r="BF475" s="6">
        <f>IF(OR(原始資料!$A475="",57&gt;設定!$B$3,原始資料!BH475=""),"",IF(AND(原始資料!BG475&lt;&gt;"",原始資料!BH475=原始資料!BG475),N(BE475)+1,1))</f>
        <v/>
      </c>
      <c r="BG475" s="6">
        <f>IF(OR(原始資料!$A475="",58&gt;設定!$B$3,原始資料!BI475=""),"",IF(AND(原始資料!BH475&lt;&gt;"",原始資料!BI475=原始資料!BH475),N(BF475)+1,1))</f>
        <v/>
      </c>
      <c r="BH475" s="6">
        <f>IF(OR(原始資料!$A475="",59&gt;設定!$B$3,原始資料!BJ475=""),"",IF(AND(原始資料!BI475&lt;&gt;"",原始資料!BJ475=原始資料!BI475),N(BG475)+1,1))</f>
        <v/>
      </c>
      <c r="BI475" s="6">
        <f>IF(OR(原始資料!$A475="",60&gt;設定!$B$3,原始資料!BK475=""),"",IF(AND(原始資料!BJ475&lt;&gt;"",原始資料!BK475=原始資料!BJ475),N(BH475)+1,1))</f>
        <v/>
      </c>
    </row>
    <row r="476">
      <c r="A476" s="6">
        <f>IF(原始資料!$A476="","",原始資料!$A476)</f>
        <v/>
      </c>
      <c r="B476" s="6">
        <f>IF(OR(原始資料!$A476="",1&gt;設定!$B$3,原始資料!D476=""),"",1)</f>
        <v/>
      </c>
      <c r="C476" s="6">
        <f>IF(OR(原始資料!$A476="",2&gt;設定!$B$3,原始資料!E476=""),"",IF(AND(原始資料!D476&lt;&gt;"",原始資料!E476=原始資料!D476),N(B476)+1,1))</f>
        <v/>
      </c>
      <c r="D476" s="6">
        <f>IF(OR(原始資料!$A476="",3&gt;設定!$B$3,原始資料!F476=""),"",IF(AND(原始資料!E476&lt;&gt;"",原始資料!F476=原始資料!E476),N(C476)+1,1))</f>
        <v/>
      </c>
      <c r="E476" s="6">
        <f>IF(OR(原始資料!$A476="",4&gt;設定!$B$3,原始資料!G476=""),"",IF(AND(原始資料!F476&lt;&gt;"",原始資料!G476=原始資料!F476),N(D476)+1,1))</f>
        <v/>
      </c>
      <c r="F476" s="6">
        <f>IF(OR(原始資料!$A476="",5&gt;設定!$B$3,原始資料!H476=""),"",IF(AND(原始資料!G476&lt;&gt;"",原始資料!H476=原始資料!G476),N(E476)+1,1))</f>
        <v/>
      </c>
      <c r="G476" s="6">
        <f>IF(OR(原始資料!$A476="",6&gt;設定!$B$3,原始資料!I476=""),"",IF(AND(原始資料!H476&lt;&gt;"",原始資料!I476=原始資料!H476),N(F476)+1,1))</f>
        <v/>
      </c>
      <c r="H476" s="6">
        <f>IF(OR(原始資料!$A476="",7&gt;設定!$B$3,原始資料!J476=""),"",IF(AND(原始資料!I476&lt;&gt;"",原始資料!J476=原始資料!I476),N(G476)+1,1))</f>
        <v/>
      </c>
      <c r="I476" s="6">
        <f>IF(OR(原始資料!$A476="",8&gt;設定!$B$3,原始資料!K476=""),"",IF(AND(原始資料!J476&lt;&gt;"",原始資料!K476=原始資料!J476),N(H476)+1,1))</f>
        <v/>
      </c>
      <c r="J476" s="6">
        <f>IF(OR(原始資料!$A476="",9&gt;設定!$B$3,原始資料!L476=""),"",IF(AND(原始資料!K476&lt;&gt;"",原始資料!L476=原始資料!K476),N(I476)+1,1))</f>
        <v/>
      </c>
      <c r="K476" s="6">
        <f>IF(OR(原始資料!$A476="",10&gt;設定!$B$3,原始資料!M476=""),"",IF(AND(原始資料!L476&lt;&gt;"",原始資料!M476=原始資料!L476),N(J476)+1,1))</f>
        <v/>
      </c>
      <c r="L476" s="6">
        <f>IF(OR(原始資料!$A476="",11&gt;設定!$B$3,原始資料!N476=""),"",IF(AND(原始資料!M476&lt;&gt;"",原始資料!N476=原始資料!M476),N(K476)+1,1))</f>
        <v/>
      </c>
      <c r="M476" s="6">
        <f>IF(OR(原始資料!$A476="",12&gt;設定!$B$3,原始資料!O476=""),"",IF(AND(原始資料!N476&lt;&gt;"",原始資料!O476=原始資料!N476),N(L476)+1,1))</f>
        <v/>
      </c>
      <c r="N476" s="6">
        <f>IF(OR(原始資料!$A476="",13&gt;設定!$B$3,原始資料!P476=""),"",IF(AND(原始資料!O476&lt;&gt;"",原始資料!P476=原始資料!O476),N(M476)+1,1))</f>
        <v/>
      </c>
      <c r="O476" s="6">
        <f>IF(OR(原始資料!$A476="",14&gt;設定!$B$3,原始資料!Q476=""),"",IF(AND(原始資料!P476&lt;&gt;"",原始資料!Q476=原始資料!P476),N(N476)+1,1))</f>
        <v/>
      </c>
      <c r="P476" s="6">
        <f>IF(OR(原始資料!$A476="",15&gt;設定!$B$3,原始資料!R476=""),"",IF(AND(原始資料!Q476&lt;&gt;"",原始資料!R476=原始資料!Q476),N(O476)+1,1))</f>
        <v/>
      </c>
      <c r="Q476" s="6">
        <f>IF(OR(原始資料!$A476="",16&gt;設定!$B$3,原始資料!S476=""),"",IF(AND(原始資料!R476&lt;&gt;"",原始資料!S476=原始資料!R476),N(P476)+1,1))</f>
        <v/>
      </c>
      <c r="R476" s="6">
        <f>IF(OR(原始資料!$A476="",17&gt;設定!$B$3,原始資料!T476=""),"",IF(AND(原始資料!S476&lt;&gt;"",原始資料!T476=原始資料!S476),N(Q476)+1,1))</f>
        <v/>
      </c>
      <c r="S476" s="6">
        <f>IF(OR(原始資料!$A476="",18&gt;設定!$B$3,原始資料!U476=""),"",IF(AND(原始資料!T476&lt;&gt;"",原始資料!U476=原始資料!T476),N(R476)+1,1))</f>
        <v/>
      </c>
      <c r="T476" s="6">
        <f>IF(OR(原始資料!$A476="",19&gt;設定!$B$3,原始資料!V476=""),"",IF(AND(原始資料!U476&lt;&gt;"",原始資料!V476=原始資料!U476),N(S476)+1,1))</f>
        <v/>
      </c>
      <c r="U476" s="6">
        <f>IF(OR(原始資料!$A476="",20&gt;設定!$B$3,原始資料!W476=""),"",IF(AND(原始資料!V476&lt;&gt;"",原始資料!W476=原始資料!V476),N(T476)+1,1))</f>
        <v/>
      </c>
      <c r="V476" s="6">
        <f>IF(OR(原始資料!$A476="",21&gt;設定!$B$3,原始資料!X476=""),"",IF(AND(原始資料!W476&lt;&gt;"",原始資料!X476=原始資料!W476),N(U476)+1,1))</f>
        <v/>
      </c>
      <c r="W476" s="6">
        <f>IF(OR(原始資料!$A476="",22&gt;設定!$B$3,原始資料!Y476=""),"",IF(AND(原始資料!X476&lt;&gt;"",原始資料!Y476=原始資料!X476),N(V476)+1,1))</f>
        <v/>
      </c>
      <c r="X476" s="6">
        <f>IF(OR(原始資料!$A476="",23&gt;設定!$B$3,原始資料!Z476=""),"",IF(AND(原始資料!Y476&lt;&gt;"",原始資料!Z476=原始資料!Y476),N(W476)+1,1))</f>
        <v/>
      </c>
      <c r="Y476" s="6">
        <f>IF(OR(原始資料!$A476="",24&gt;設定!$B$3,原始資料!AA476=""),"",IF(AND(原始資料!Z476&lt;&gt;"",原始資料!AA476=原始資料!Z476),N(X476)+1,1))</f>
        <v/>
      </c>
      <c r="Z476" s="6">
        <f>IF(OR(原始資料!$A476="",25&gt;設定!$B$3,原始資料!AB476=""),"",IF(AND(原始資料!AA476&lt;&gt;"",原始資料!AB476=原始資料!AA476),N(Y476)+1,1))</f>
        <v/>
      </c>
      <c r="AA476" s="6">
        <f>IF(OR(原始資料!$A476="",26&gt;設定!$B$3,原始資料!AC476=""),"",IF(AND(原始資料!AB476&lt;&gt;"",原始資料!AC476=原始資料!AB476),N(Z476)+1,1))</f>
        <v/>
      </c>
      <c r="AB476" s="6">
        <f>IF(OR(原始資料!$A476="",27&gt;設定!$B$3,原始資料!AD476=""),"",IF(AND(原始資料!AC476&lt;&gt;"",原始資料!AD476=原始資料!AC476),N(AA476)+1,1))</f>
        <v/>
      </c>
      <c r="AC476" s="6">
        <f>IF(OR(原始資料!$A476="",28&gt;設定!$B$3,原始資料!AE476=""),"",IF(AND(原始資料!AD476&lt;&gt;"",原始資料!AE476=原始資料!AD476),N(AB476)+1,1))</f>
        <v/>
      </c>
      <c r="AD476" s="6">
        <f>IF(OR(原始資料!$A476="",29&gt;設定!$B$3,原始資料!AF476=""),"",IF(AND(原始資料!AE476&lt;&gt;"",原始資料!AF476=原始資料!AE476),N(AC476)+1,1))</f>
        <v/>
      </c>
      <c r="AE476" s="6">
        <f>IF(OR(原始資料!$A476="",30&gt;設定!$B$3,原始資料!AG476=""),"",IF(AND(原始資料!AF476&lt;&gt;"",原始資料!AG476=原始資料!AF476),N(AD476)+1,1))</f>
        <v/>
      </c>
      <c r="AF476" s="6">
        <f>IF(OR(原始資料!$A476="",31&gt;設定!$B$3,原始資料!AH476=""),"",IF(AND(原始資料!AG476&lt;&gt;"",原始資料!AH476=原始資料!AG476),N(AE476)+1,1))</f>
        <v/>
      </c>
      <c r="AG476" s="6">
        <f>IF(OR(原始資料!$A476="",32&gt;設定!$B$3,原始資料!AI476=""),"",IF(AND(原始資料!AH476&lt;&gt;"",原始資料!AI476=原始資料!AH476),N(AF476)+1,1))</f>
        <v/>
      </c>
      <c r="AH476" s="6">
        <f>IF(OR(原始資料!$A476="",33&gt;設定!$B$3,原始資料!AJ476=""),"",IF(AND(原始資料!AI476&lt;&gt;"",原始資料!AJ476=原始資料!AI476),N(AG476)+1,1))</f>
        <v/>
      </c>
      <c r="AI476" s="6">
        <f>IF(OR(原始資料!$A476="",34&gt;設定!$B$3,原始資料!AK476=""),"",IF(AND(原始資料!AJ476&lt;&gt;"",原始資料!AK476=原始資料!AJ476),N(AH476)+1,1))</f>
        <v/>
      </c>
      <c r="AJ476" s="6">
        <f>IF(OR(原始資料!$A476="",35&gt;設定!$B$3,原始資料!AL476=""),"",IF(AND(原始資料!AK476&lt;&gt;"",原始資料!AL476=原始資料!AK476),N(AI476)+1,1))</f>
        <v/>
      </c>
      <c r="AK476" s="6">
        <f>IF(OR(原始資料!$A476="",36&gt;設定!$B$3,原始資料!AM476=""),"",IF(AND(原始資料!AL476&lt;&gt;"",原始資料!AM476=原始資料!AL476),N(AJ476)+1,1))</f>
        <v/>
      </c>
      <c r="AL476" s="6">
        <f>IF(OR(原始資料!$A476="",37&gt;設定!$B$3,原始資料!AN476=""),"",IF(AND(原始資料!AM476&lt;&gt;"",原始資料!AN476=原始資料!AM476),N(AK476)+1,1))</f>
        <v/>
      </c>
      <c r="AM476" s="6">
        <f>IF(OR(原始資料!$A476="",38&gt;設定!$B$3,原始資料!AO476=""),"",IF(AND(原始資料!AN476&lt;&gt;"",原始資料!AO476=原始資料!AN476),N(AL476)+1,1))</f>
        <v/>
      </c>
      <c r="AN476" s="6">
        <f>IF(OR(原始資料!$A476="",39&gt;設定!$B$3,原始資料!AP476=""),"",IF(AND(原始資料!AO476&lt;&gt;"",原始資料!AP476=原始資料!AO476),N(AM476)+1,1))</f>
        <v/>
      </c>
      <c r="AO476" s="6">
        <f>IF(OR(原始資料!$A476="",40&gt;設定!$B$3,原始資料!AQ476=""),"",IF(AND(原始資料!AP476&lt;&gt;"",原始資料!AQ476=原始資料!AP476),N(AN476)+1,1))</f>
        <v/>
      </c>
      <c r="AP476" s="6">
        <f>IF(OR(原始資料!$A476="",41&gt;設定!$B$3,原始資料!AR476=""),"",IF(AND(原始資料!AQ476&lt;&gt;"",原始資料!AR476=原始資料!AQ476),N(AO476)+1,1))</f>
        <v/>
      </c>
      <c r="AQ476" s="6">
        <f>IF(OR(原始資料!$A476="",42&gt;設定!$B$3,原始資料!AS476=""),"",IF(AND(原始資料!AR476&lt;&gt;"",原始資料!AS476=原始資料!AR476),N(AP476)+1,1))</f>
        <v/>
      </c>
      <c r="AR476" s="6">
        <f>IF(OR(原始資料!$A476="",43&gt;設定!$B$3,原始資料!AT476=""),"",IF(AND(原始資料!AS476&lt;&gt;"",原始資料!AT476=原始資料!AS476),N(AQ476)+1,1))</f>
        <v/>
      </c>
      <c r="AS476" s="6">
        <f>IF(OR(原始資料!$A476="",44&gt;設定!$B$3,原始資料!AU476=""),"",IF(AND(原始資料!AT476&lt;&gt;"",原始資料!AU476=原始資料!AT476),N(AR476)+1,1))</f>
        <v/>
      </c>
      <c r="AT476" s="6">
        <f>IF(OR(原始資料!$A476="",45&gt;設定!$B$3,原始資料!AV476=""),"",IF(AND(原始資料!AU476&lt;&gt;"",原始資料!AV476=原始資料!AU476),N(AS476)+1,1))</f>
        <v/>
      </c>
      <c r="AU476" s="6">
        <f>IF(OR(原始資料!$A476="",46&gt;設定!$B$3,原始資料!AW476=""),"",IF(AND(原始資料!AV476&lt;&gt;"",原始資料!AW476=原始資料!AV476),N(AT476)+1,1))</f>
        <v/>
      </c>
      <c r="AV476" s="6">
        <f>IF(OR(原始資料!$A476="",47&gt;設定!$B$3,原始資料!AX476=""),"",IF(AND(原始資料!AW476&lt;&gt;"",原始資料!AX476=原始資料!AW476),N(AU476)+1,1))</f>
        <v/>
      </c>
      <c r="AW476" s="6">
        <f>IF(OR(原始資料!$A476="",48&gt;設定!$B$3,原始資料!AY476=""),"",IF(AND(原始資料!AX476&lt;&gt;"",原始資料!AY476=原始資料!AX476),N(AV476)+1,1))</f>
        <v/>
      </c>
      <c r="AX476" s="6">
        <f>IF(OR(原始資料!$A476="",49&gt;設定!$B$3,原始資料!AZ476=""),"",IF(AND(原始資料!AY476&lt;&gt;"",原始資料!AZ476=原始資料!AY476),N(AW476)+1,1))</f>
        <v/>
      </c>
      <c r="AY476" s="6">
        <f>IF(OR(原始資料!$A476="",50&gt;設定!$B$3,原始資料!BA476=""),"",IF(AND(原始資料!AZ476&lt;&gt;"",原始資料!BA476=原始資料!AZ476),N(AX476)+1,1))</f>
        <v/>
      </c>
      <c r="AZ476" s="6">
        <f>IF(OR(原始資料!$A476="",51&gt;設定!$B$3,原始資料!BB476=""),"",IF(AND(原始資料!BA476&lt;&gt;"",原始資料!BB476=原始資料!BA476),N(AY476)+1,1))</f>
        <v/>
      </c>
      <c r="BA476" s="6">
        <f>IF(OR(原始資料!$A476="",52&gt;設定!$B$3,原始資料!BC476=""),"",IF(AND(原始資料!BB476&lt;&gt;"",原始資料!BC476=原始資料!BB476),N(AZ476)+1,1))</f>
        <v/>
      </c>
      <c r="BB476" s="6">
        <f>IF(OR(原始資料!$A476="",53&gt;設定!$B$3,原始資料!BD476=""),"",IF(AND(原始資料!BC476&lt;&gt;"",原始資料!BD476=原始資料!BC476),N(BA476)+1,1))</f>
        <v/>
      </c>
      <c r="BC476" s="6">
        <f>IF(OR(原始資料!$A476="",54&gt;設定!$B$3,原始資料!BE476=""),"",IF(AND(原始資料!BD476&lt;&gt;"",原始資料!BE476=原始資料!BD476),N(BB476)+1,1))</f>
        <v/>
      </c>
      <c r="BD476" s="6">
        <f>IF(OR(原始資料!$A476="",55&gt;設定!$B$3,原始資料!BF476=""),"",IF(AND(原始資料!BE476&lt;&gt;"",原始資料!BF476=原始資料!BE476),N(BC476)+1,1))</f>
        <v/>
      </c>
      <c r="BE476" s="6">
        <f>IF(OR(原始資料!$A476="",56&gt;設定!$B$3,原始資料!BG476=""),"",IF(AND(原始資料!BF476&lt;&gt;"",原始資料!BG476=原始資料!BF476),N(BD476)+1,1))</f>
        <v/>
      </c>
      <c r="BF476" s="6">
        <f>IF(OR(原始資料!$A476="",57&gt;設定!$B$3,原始資料!BH476=""),"",IF(AND(原始資料!BG476&lt;&gt;"",原始資料!BH476=原始資料!BG476),N(BE476)+1,1))</f>
        <v/>
      </c>
      <c r="BG476" s="6">
        <f>IF(OR(原始資料!$A476="",58&gt;設定!$B$3,原始資料!BI476=""),"",IF(AND(原始資料!BH476&lt;&gt;"",原始資料!BI476=原始資料!BH476),N(BF476)+1,1))</f>
        <v/>
      </c>
      <c r="BH476" s="6">
        <f>IF(OR(原始資料!$A476="",59&gt;設定!$B$3,原始資料!BJ476=""),"",IF(AND(原始資料!BI476&lt;&gt;"",原始資料!BJ476=原始資料!BI476),N(BG476)+1,1))</f>
        <v/>
      </c>
      <c r="BI476" s="6">
        <f>IF(OR(原始資料!$A476="",60&gt;設定!$B$3,原始資料!BK476=""),"",IF(AND(原始資料!BJ476&lt;&gt;"",原始資料!BK476=原始資料!BJ476),N(BH476)+1,1))</f>
        <v/>
      </c>
    </row>
    <row r="477">
      <c r="A477" s="6">
        <f>IF(原始資料!$A477="","",原始資料!$A477)</f>
        <v/>
      </c>
      <c r="B477" s="6">
        <f>IF(OR(原始資料!$A477="",1&gt;設定!$B$3,原始資料!D477=""),"",1)</f>
        <v/>
      </c>
      <c r="C477" s="6">
        <f>IF(OR(原始資料!$A477="",2&gt;設定!$B$3,原始資料!E477=""),"",IF(AND(原始資料!D477&lt;&gt;"",原始資料!E477=原始資料!D477),N(B477)+1,1))</f>
        <v/>
      </c>
      <c r="D477" s="6">
        <f>IF(OR(原始資料!$A477="",3&gt;設定!$B$3,原始資料!F477=""),"",IF(AND(原始資料!E477&lt;&gt;"",原始資料!F477=原始資料!E477),N(C477)+1,1))</f>
        <v/>
      </c>
      <c r="E477" s="6">
        <f>IF(OR(原始資料!$A477="",4&gt;設定!$B$3,原始資料!G477=""),"",IF(AND(原始資料!F477&lt;&gt;"",原始資料!G477=原始資料!F477),N(D477)+1,1))</f>
        <v/>
      </c>
      <c r="F477" s="6">
        <f>IF(OR(原始資料!$A477="",5&gt;設定!$B$3,原始資料!H477=""),"",IF(AND(原始資料!G477&lt;&gt;"",原始資料!H477=原始資料!G477),N(E477)+1,1))</f>
        <v/>
      </c>
      <c r="G477" s="6">
        <f>IF(OR(原始資料!$A477="",6&gt;設定!$B$3,原始資料!I477=""),"",IF(AND(原始資料!H477&lt;&gt;"",原始資料!I477=原始資料!H477),N(F477)+1,1))</f>
        <v/>
      </c>
      <c r="H477" s="6">
        <f>IF(OR(原始資料!$A477="",7&gt;設定!$B$3,原始資料!J477=""),"",IF(AND(原始資料!I477&lt;&gt;"",原始資料!J477=原始資料!I477),N(G477)+1,1))</f>
        <v/>
      </c>
      <c r="I477" s="6">
        <f>IF(OR(原始資料!$A477="",8&gt;設定!$B$3,原始資料!K477=""),"",IF(AND(原始資料!J477&lt;&gt;"",原始資料!K477=原始資料!J477),N(H477)+1,1))</f>
        <v/>
      </c>
      <c r="J477" s="6">
        <f>IF(OR(原始資料!$A477="",9&gt;設定!$B$3,原始資料!L477=""),"",IF(AND(原始資料!K477&lt;&gt;"",原始資料!L477=原始資料!K477),N(I477)+1,1))</f>
        <v/>
      </c>
      <c r="K477" s="6">
        <f>IF(OR(原始資料!$A477="",10&gt;設定!$B$3,原始資料!M477=""),"",IF(AND(原始資料!L477&lt;&gt;"",原始資料!M477=原始資料!L477),N(J477)+1,1))</f>
        <v/>
      </c>
      <c r="L477" s="6">
        <f>IF(OR(原始資料!$A477="",11&gt;設定!$B$3,原始資料!N477=""),"",IF(AND(原始資料!M477&lt;&gt;"",原始資料!N477=原始資料!M477),N(K477)+1,1))</f>
        <v/>
      </c>
      <c r="M477" s="6">
        <f>IF(OR(原始資料!$A477="",12&gt;設定!$B$3,原始資料!O477=""),"",IF(AND(原始資料!N477&lt;&gt;"",原始資料!O477=原始資料!N477),N(L477)+1,1))</f>
        <v/>
      </c>
      <c r="N477" s="6">
        <f>IF(OR(原始資料!$A477="",13&gt;設定!$B$3,原始資料!P477=""),"",IF(AND(原始資料!O477&lt;&gt;"",原始資料!P477=原始資料!O477),N(M477)+1,1))</f>
        <v/>
      </c>
      <c r="O477" s="6">
        <f>IF(OR(原始資料!$A477="",14&gt;設定!$B$3,原始資料!Q477=""),"",IF(AND(原始資料!P477&lt;&gt;"",原始資料!Q477=原始資料!P477),N(N477)+1,1))</f>
        <v/>
      </c>
      <c r="P477" s="6">
        <f>IF(OR(原始資料!$A477="",15&gt;設定!$B$3,原始資料!R477=""),"",IF(AND(原始資料!Q477&lt;&gt;"",原始資料!R477=原始資料!Q477),N(O477)+1,1))</f>
        <v/>
      </c>
      <c r="Q477" s="6">
        <f>IF(OR(原始資料!$A477="",16&gt;設定!$B$3,原始資料!S477=""),"",IF(AND(原始資料!R477&lt;&gt;"",原始資料!S477=原始資料!R477),N(P477)+1,1))</f>
        <v/>
      </c>
      <c r="R477" s="6">
        <f>IF(OR(原始資料!$A477="",17&gt;設定!$B$3,原始資料!T477=""),"",IF(AND(原始資料!S477&lt;&gt;"",原始資料!T477=原始資料!S477),N(Q477)+1,1))</f>
        <v/>
      </c>
      <c r="S477" s="6">
        <f>IF(OR(原始資料!$A477="",18&gt;設定!$B$3,原始資料!U477=""),"",IF(AND(原始資料!T477&lt;&gt;"",原始資料!U477=原始資料!T477),N(R477)+1,1))</f>
        <v/>
      </c>
      <c r="T477" s="6">
        <f>IF(OR(原始資料!$A477="",19&gt;設定!$B$3,原始資料!V477=""),"",IF(AND(原始資料!U477&lt;&gt;"",原始資料!V477=原始資料!U477),N(S477)+1,1))</f>
        <v/>
      </c>
      <c r="U477" s="6">
        <f>IF(OR(原始資料!$A477="",20&gt;設定!$B$3,原始資料!W477=""),"",IF(AND(原始資料!V477&lt;&gt;"",原始資料!W477=原始資料!V477),N(T477)+1,1))</f>
        <v/>
      </c>
      <c r="V477" s="6">
        <f>IF(OR(原始資料!$A477="",21&gt;設定!$B$3,原始資料!X477=""),"",IF(AND(原始資料!W477&lt;&gt;"",原始資料!X477=原始資料!W477),N(U477)+1,1))</f>
        <v/>
      </c>
      <c r="W477" s="6">
        <f>IF(OR(原始資料!$A477="",22&gt;設定!$B$3,原始資料!Y477=""),"",IF(AND(原始資料!X477&lt;&gt;"",原始資料!Y477=原始資料!X477),N(V477)+1,1))</f>
        <v/>
      </c>
      <c r="X477" s="6">
        <f>IF(OR(原始資料!$A477="",23&gt;設定!$B$3,原始資料!Z477=""),"",IF(AND(原始資料!Y477&lt;&gt;"",原始資料!Z477=原始資料!Y477),N(W477)+1,1))</f>
        <v/>
      </c>
      <c r="Y477" s="6">
        <f>IF(OR(原始資料!$A477="",24&gt;設定!$B$3,原始資料!AA477=""),"",IF(AND(原始資料!Z477&lt;&gt;"",原始資料!AA477=原始資料!Z477),N(X477)+1,1))</f>
        <v/>
      </c>
      <c r="Z477" s="6">
        <f>IF(OR(原始資料!$A477="",25&gt;設定!$B$3,原始資料!AB477=""),"",IF(AND(原始資料!AA477&lt;&gt;"",原始資料!AB477=原始資料!AA477),N(Y477)+1,1))</f>
        <v/>
      </c>
      <c r="AA477" s="6">
        <f>IF(OR(原始資料!$A477="",26&gt;設定!$B$3,原始資料!AC477=""),"",IF(AND(原始資料!AB477&lt;&gt;"",原始資料!AC477=原始資料!AB477),N(Z477)+1,1))</f>
        <v/>
      </c>
      <c r="AB477" s="6">
        <f>IF(OR(原始資料!$A477="",27&gt;設定!$B$3,原始資料!AD477=""),"",IF(AND(原始資料!AC477&lt;&gt;"",原始資料!AD477=原始資料!AC477),N(AA477)+1,1))</f>
        <v/>
      </c>
      <c r="AC477" s="6">
        <f>IF(OR(原始資料!$A477="",28&gt;設定!$B$3,原始資料!AE477=""),"",IF(AND(原始資料!AD477&lt;&gt;"",原始資料!AE477=原始資料!AD477),N(AB477)+1,1))</f>
        <v/>
      </c>
      <c r="AD477" s="6">
        <f>IF(OR(原始資料!$A477="",29&gt;設定!$B$3,原始資料!AF477=""),"",IF(AND(原始資料!AE477&lt;&gt;"",原始資料!AF477=原始資料!AE477),N(AC477)+1,1))</f>
        <v/>
      </c>
      <c r="AE477" s="6">
        <f>IF(OR(原始資料!$A477="",30&gt;設定!$B$3,原始資料!AG477=""),"",IF(AND(原始資料!AF477&lt;&gt;"",原始資料!AG477=原始資料!AF477),N(AD477)+1,1))</f>
        <v/>
      </c>
      <c r="AF477" s="6">
        <f>IF(OR(原始資料!$A477="",31&gt;設定!$B$3,原始資料!AH477=""),"",IF(AND(原始資料!AG477&lt;&gt;"",原始資料!AH477=原始資料!AG477),N(AE477)+1,1))</f>
        <v/>
      </c>
      <c r="AG477" s="6">
        <f>IF(OR(原始資料!$A477="",32&gt;設定!$B$3,原始資料!AI477=""),"",IF(AND(原始資料!AH477&lt;&gt;"",原始資料!AI477=原始資料!AH477),N(AF477)+1,1))</f>
        <v/>
      </c>
      <c r="AH477" s="6">
        <f>IF(OR(原始資料!$A477="",33&gt;設定!$B$3,原始資料!AJ477=""),"",IF(AND(原始資料!AI477&lt;&gt;"",原始資料!AJ477=原始資料!AI477),N(AG477)+1,1))</f>
        <v/>
      </c>
      <c r="AI477" s="6">
        <f>IF(OR(原始資料!$A477="",34&gt;設定!$B$3,原始資料!AK477=""),"",IF(AND(原始資料!AJ477&lt;&gt;"",原始資料!AK477=原始資料!AJ477),N(AH477)+1,1))</f>
        <v/>
      </c>
      <c r="AJ477" s="6">
        <f>IF(OR(原始資料!$A477="",35&gt;設定!$B$3,原始資料!AL477=""),"",IF(AND(原始資料!AK477&lt;&gt;"",原始資料!AL477=原始資料!AK477),N(AI477)+1,1))</f>
        <v/>
      </c>
      <c r="AK477" s="6">
        <f>IF(OR(原始資料!$A477="",36&gt;設定!$B$3,原始資料!AM477=""),"",IF(AND(原始資料!AL477&lt;&gt;"",原始資料!AM477=原始資料!AL477),N(AJ477)+1,1))</f>
        <v/>
      </c>
      <c r="AL477" s="6">
        <f>IF(OR(原始資料!$A477="",37&gt;設定!$B$3,原始資料!AN477=""),"",IF(AND(原始資料!AM477&lt;&gt;"",原始資料!AN477=原始資料!AM477),N(AK477)+1,1))</f>
        <v/>
      </c>
      <c r="AM477" s="6">
        <f>IF(OR(原始資料!$A477="",38&gt;設定!$B$3,原始資料!AO477=""),"",IF(AND(原始資料!AN477&lt;&gt;"",原始資料!AO477=原始資料!AN477),N(AL477)+1,1))</f>
        <v/>
      </c>
      <c r="AN477" s="6">
        <f>IF(OR(原始資料!$A477="",39&gt;設定!$B$3,原始資料!AP477=""),"",IF(AND(原始資料!AO477&lt;&gt;"",原始資料!AP477=原始資料!AO477),N(AM477)+1,1))</f>
        <v/>
      </c>
      <c r="AO477" s="6">
        <f>IF(OR(原始資料!$A477="",40&gt;設定!$B$3,原始資料!AQ477=""),"",IF(AND(原始資料!AP477&lt;&gt;"",原始資料!AQ477=原始資料!AP477),N(AN477)+1,1))</f>
        <v/>
      </c>
      <c r="AP477" s="6">
        <f>IF(OR(原始資料!$A477="",41&gt;設定!$B$3,原始資料!AR477=""),"",IF(AND(原始資料!AQ477&lt;&gt;"",原始資料!AR477=原始資料!AQ477),N(AO477)+1,1))</f>
        <v/>
      </c>
      <c r="AQ477" s="6">
        <f>IF(OR(原始資料!$A477="",42&gt;設定!$B$3,原始資料!AS477=""),"",IF(AND(原始資料!AR477&lt;&gt;"",原始資料!AS477=原始資料!AR477),N(AP477)+1,1))</f>
        <v/>
      </c>
      <c r="AR477" s="6">
        <f>IF(OR(原始資料!$A477="",43&gt;設定!$B$3,原始資料!AT477=""),"",IF(AND(原始資料!AS477&lt;&gt;"",原始資料!AT477=原始資料!AS477),N(AQ477)+1,1))</f>
        <v/>
      </c>
      <c r="AS477" s="6">
        <f>IF(OR(原始資料!$A477="",44&gt;設定!$B$3,原始資料!AU477=""),"",IF(AND(原始資料!AT477&lt;&gt;"",原始資料!AU477=原始資料!AT477),N(AR477)+1,1))</f>
        <v/>
      </c>
      <c r="AT477" s="6">
        <f>IF(OR(原始資料!$A477="",45&gt;設定!$B$3,原始資料!AV477=""),"",IF(AND(原始資料!AU477&lt;&gt;"",原始資料!AV477=原始資料!AU477),N(AS477)+1,1))</f>
        <v/>
      </c>
      <c r="AU477" s="6">
        <f>IF(OR(原始資料!$A477="",46&gt;設定!$B$3,原始資料!AW477=""),"",IF(AND(原始資料!AV477&lt;&gt;"",原始資料!AW477=原始資料!AV477),N(AT477)+1,1))</f>
        <v/>
      </c>
      <c r="AV477" s="6">
        <f>IF(OR(原始資料!$A477="",47&gt;設定!$B$3,原始資料!AX477=""),"",IF(AND(原始資料!AW477&lt;&gt;"",原始資料!AX477=原始資料!AW477),N(AU477)+1,1))</f>
        <v/>
      </c>
      <c r="AW477" s="6">
        <f>IF(OR(原始資料!$A477="",48&gt;設定!$B$3,原始資料!AY477=""),"",IF(AND(原始資料!AX477&lt;&gt;"",原始資料!AY477=原始資料!AX477),N(AV477)+1,1))</f>
        <v/>
      </c>
      <c r="AX477" s="6">
        <f>IF(OR(原始資料!$A477="",49&gt;設定!$B$3,原始資料!AZ477=""),"",IF(AND(原始資料!AY477&lt;&gt;"",原始資料!AZ477=原始資料!AY477),N(AW477)+1,1))</f>
        <v/>
      </c>
      <c r="AY477" s="6">
        <f>IF(OR(原始資料!$A477="",50&gt;設定!$B$3,原始資料!BA477=""),"",IF(AND(原始資料!AZ477&lt;&gt;"",原始資料!BA477=原始資料!AZ477),N(AX477)+1,1))</f>
        <v/>
      </c>
      <c r="AZ477" s="6">
        <f>IF(OR(原始資料!$A477="",51&gt;設定!$B$3,原始資料!BB477=""),"",IF(AND(原始資料!BA477&lt;&gt;"",原始資料!BB477=原始資料!BA477),N(AY477)+1,1))</f>
        <v/>
      </c>
      <c r="BA477" s="6">
        <f>IF(OR(原始資料!$A477="",52&gt;設定!$B$3,原始資料!BC477=""),"",IF(AND(原始資料!BB477&lt;&gt;"",原始資料!BC477=原始資料!BB477),N(AZ477)+1,1))</f>
        <v/>
      </c>
      <c r="BB477" s="6">
        <f>IF(OR(原始資料!$A477="",53&gt;設定!$B$3,原始資料!BD477=""),"",IF(AND(原始資料!BC477&lt;&gt;"",原始資料!BD477=原始資料!BC477),N(BA477)+1,1))</f>
        <v/>
      </c>
      <c r="BC477" s="6">
        <f>IF(OR(原始資料!$A477="",54&gt;設定!$B$3,原始資料!BE477=""),"",IF(AND(原始資料!BD477&lt;&gt;"",原始資料!BE477=原始資料!BD477),N(BB477)+1,1))</f>
        <v/>
      </c>
      <c r="BD477" s="6">
        <f>IF(OR(原始資料!$A477="",55&gt;設定!$B$3,原始資料!BF477=""),"",IF(AND(原始資料!BE477&lt;&gt;"",原始資料!BF477=原始資料!BE477),N(BC477)+1,1))</f>
        <v/>
      </c>
      <c r="BE477" s="6">
        <f>IF(OR(原始資料!$A477="",56&gt;設定!$B$3,原始資料!BG477=""),"",IF(AND(原始資料!BF477&lt;&gt;"",原始資料!BG477=原始資料!BF477),N(BD477)+1,1))</f>
        <v/>
      </c>
      <c r="BF477" s="6">
        <f>IF(OR(原始資料!$A477="",57&gt;設定!$B$3,原始資料!BH477=""),"",IF(AND(原始資料!BG477&lt;&gt;"",原始資料!BH477=原始資料!BG477),N(BE477)+1,1))</f>
        <v/>
      </c>
      <c r="BG477" s="6">
        <f>IF(OR(原始資料!$A477="",58&gt;設定!$B$3,原始資料!BI477=""),"",IF(AND(原始資料!BH477&lt;&gt;"",原始資料!BI477=原始資料!BH477),N(BF477)+1,1))</f>
        <v/>
      </c>
      <c r="BH477" s="6">
        <f>IF(OR(原始資料!$A477="",59&gt;設定!$B$3,原始資料!BJ477=""),"",IF(AND(原始資料!BI477&lt;&gt;"",原始資料!BJ477=原始資料!BI477),N(BG477)+1,1))</f>
        <v/>
      </c>
      <c r="BI477" s="6">
        <f>IF(OR(原始資料!$A477="",60&gt;設定!$B$3,原始資料!BK477=""),"",IF(AND(原始資料!BJ477&lt;&gt;"",原始資料!BK477=原始資料!BJ477),N(BH477)+1,1))</f>
        <v/>
      </c>
    </row>
    <row r="478">
      <c r="A478" s="6">
        <f>IF(原始資料!$A478="","",原始資料!$A478)</f>
        <v/>
      </c>
      <c r="B478" s="6">
        <f>IF(OR(原始資料!$A478="",1&gt;設定!$B$3,原始資料!D478=""),"",1)</f>
        <v/>
      </c>
      <c r="C478" s="6">
        <f>IF(OR(原始資料!$A478="",2&gt;設定!$B$3,原始資料!E478=""),"",IF(AND(原始資料!D478&lt;&gt;"",原始資料!E478=原始資料!D478),N(B478)+1,1))</f>
        <v/>
      </c>
      <c r="D478" s="6">
        <f>IF(OR(原始資料!$A478="",3&gt;設定!$B$3,原始資料!F478=""),"",IF(AND(原始資料!E478&lt;&gt;"",原始資料!F478=原始資料!E478),N(C478)+1,1))</f>
        <v/>
      </c>
      <c r="E478" s="6">
        <f>IF(OR(原始資料!$A478="",4&gt;設定!$B$3,原始資料!G478=""),"",IF(AND(原始資料!F478&lt;&gt;"",原始資料!G478=原始資料!F478),N(D478)+1,1))</f>
        <v/>
      </c>
      <c r="F478" s="6">
        <f>IF(OR(原始資料!$A478="",5&gt;設定!$B$3,原始資料!H478=""),"",IF(AND(原始資料!G478&lt;&gt;"",原始資料!H478=原始資料!G478),N(E478)+1,1))</f>
        <v/>
      </c>
      <c r="G478" s="6">
        <f>IF(OR(原始資料!$A478="",6&gt;設定!$B$3,原始資料!I478=""),"",IF(AND(原始資料!H478&lt;&gt;"",原始資料!I478=原始資料!H478),N(F478)+1,1))</f>
        <v/>
      </c>
      <c r="H478" s="6">
        <f>IF(OR(原始資料!$A478="",7&gt;設定!$B$3,原始資料!J478=""),"",IF(AND(原始資料!I478&lt;&gt;"",原始資料!J478=原始資料!I478),N(G478)+1,1))</f>
        <v/>
      </c>
      <c r="I478" s="6">
        <f>IF(OR(原始資料!$A478="",8&gt;設定!$B$3,原始資料!K478=""),"",IF(AND(原始資料!J478&lt;&gt;"",原始資料!K478=原始資料!J478),N(H478)+1,1))</f>
        <v/>
      </c>
      <c r="J478" s="6">
        <f>IF(OR(原始資料!$A478="",9&gt;設定!$B$3,原始資料!L478=""),"",IF(AND(原始資料!K478&lt;&gt;"",原始資料!L478=原始資料!K478),N(I478)+1,1))</f>
        <v/>
      </c>
      <c r="K478" s="6">
        <f>IF(OR(原始資料!$A478="",10&gt;設定!$B$3,原始資料!M478=""),"",IF(AND(原始資料!L478&lt;&gt;"",原始資料!M478=原始資料!L478),N(J478)+1,1))</f>
        <v/>
      </c>
      <c r="L478" s="6">
        <f>IF(OR(原始資料!$A478="",11&gt;設定!$B$3,原始資料!N478=""),"",IF(AND(原始資料!M478&lt;&gt;"",原始資料!N478=原始資料!M478),N(K478)+1,1))</f>
        <v/>
      </c>
      <c r="M478" s="6">
        <f>IF(OR(原始資料!$A478="",12&gt;設定!$B$3,原始資料!O478=""),"",IF(AND(原始資料!N478&lt;&gt;"",原始資料!O478=原始資料!N478),N(L478)+1,1))</f>
        <v/>
      </c>
      <c r="N478" s="6">
        <f>IF(OR(原始資料!$A478="",13&gt;設定!$B$3,原始資料!P478=""),"",IF(AND(原始資料!O478&lt;&gt;"",原始資料!P478=原始資料!O478),N(M478)+1,1))</f>
        <v/>
      </c>
      <c r="O478" s="6">
        <f>IF(OR(原始資料!$A478="",14&gt;設定!$B$3,原始資料!Q478=""),"",IF(AND(原始資料!P478&lt;&gt;"",原始資料!Q478=原始資料!P478),N(N478)+1,1))</f>
        <v/>
      </c>
      <c r="P478" s="6">
        <f>IF(OR(原始資料!$A478="",15&gt;設定!$B$3,原始資料!R478=""),"",IF(AND(原始資料!Q478&lt;&gt;"",原始資料!R478=原始資料!Q478),N(O478)+1,1))</f>
        <v/>
      </c>
      <c r="Q478" s="6">
        <f>IF(OR(原始資料!$A478="",16&gt;設定!$B$3,原始資料!S478=""),"",IF(AND(原始資料!R478&lt;&gt;"",原始資料!S478=原始資料!R478),N(P478)+1,1))</f>
        <v/>
      </c>
      <c r="R478" s="6">
        <f>IF(OR(原始資料!$A478="",17&gt;設定!$B$3,原始資料!T478=""),"",IF(AND(原始資料!S478&lt;&gt;"",原始資料!T478=原始資料!S478),N(Q478)+1,1))</f>
        <v/>
      </c>
      <c r="S478" s="6">
        <f>IF(OR(原始資料!$A478="",18&gt;設定!$B$3,原始資料!U478=""),"",IF(AND(原始資料!T478&lt;&gt;"",原始資料!U478=原始資料!T478),N(R478)+1,1))</f>
        <v/>
      </c>
      <c r="T478" s="6">
        <f>IF(OR(原始資料!$A478="",19&gt;設定!$B$3,原始資料!V478=""),"",IF(AND(原始資料!U478&lt;&gt;"",原始資料!V478=原始資料!U478),N(S478)+1,1))</f>
        <v/>
      </c>
      <c r="U478" s="6">
        <f>IF(OR(原始資料!$A478="",20&gt;設定!$B$3,原始資料!W478=""),"",IF(AND(原始資料!V478&lt;&gt;"",原始資料!W478=原始資料!V478),N(T478)+1,1))</f>
        <v/>
      </c>
      <c r="V478" s="6">
        <f>IF(OR(原始資料!$A478="",21&gt;設定!$B$3,原始資料!X478=""),"",IF(AND(原始資料!W478&lt;&gt;"",原始資料!X478=原始資料!W478),N(U478)+1,1))</f>
        <v/>
      </c>
      <c r="W478" s="6">
        <f>IF(OR(原始資料!$A478="",22&gt;設定!$B$3,原始資料!Y478=""),"",IF(AND(原始資料!X478&lt;&gt;"",原始資料!Y478=原始資料!X478),N(V478)+1,1))</f>
        <v/>
      </c>
      <c r="X478" s="6">
        <f>IF(OR(原始資料!$A478="",23&gt;設定!$B$3,原始資料!Z478=""),"",IF(AND(原始資料!Y478&lt;&gt;"",原始資料!Z478=原始資料!Y478),N(W478)+1,1))</f>
        <v/>
      </c>
      <c r="Y478" s="6">
        <f>IF(OR(原始資料!$A478="",24&gt;設定!$B$3,原始資料!AA478=""),"",IF(AND(原始資料!Z478&lt;&gt;"",原始資料!AA478=原始資料!Z478),N(X478)+1,1))</f>
        <v/>
      </c>
      <c r="Z478" s="6">
        <f>IF(OR(原始資料!$A478="",25&gt;設定!$B$3,原始資料!AB478=""),"",IF(AND(原始資料!AA478&lt;&gt;"",原始資料!AB478=原始資料!AA478),N(Y478)+1,1))</f>
        <v/>
      </c>
      <c r="AA478" s="6">
        <f>IF(OR(原始資料!$A478="",26&gt;設定!$B$3,原始資料!AC478=""),"",IF(AND(原始資料!AB478&lt;&gt;"",原始資料!AC478=原始資料!AB478),N(Z478)+1,1))</f>
        <v/>
      </c>
      <c r="AB478" s="6">
        <f>IF(OR(原始資料!$A478="",27&gt;設定!$B$3,原始資料!AD478=""),"",IF(AND(原始資料!AC478&lt;&gt;"",原始資料!AD478=原始資料!AC478),N(AA478)+1,1))</f>
        <v/>
      </c>
      <c r="AC478" s="6">
        <f>IF(OR(原始資料!$A478="",28&gt;設定!$B$3,原始資料!AE478=""),"",IF(AND(原始資料!AD478&lt;&gt;"",原始資料!AE478=原始資料!AD478),N(AB478)+1,1))</f>
        <v/>
      </c>
      <c r="AD478" s="6">
        <f>IF(OR(原始資料!$A478="",29&gt;設定!$B$3,原始資料!AF478=""),"",IF(AND(原始資料!AE478&lt;&gt;"",原始資料!AF478=原始資料!AE478),N(AC478)+1,1))</f>
        <v/>
      </c>
      <c r="AE478" s="6">
        <f>IF(OR(原始資料!$A478="",30&gt;設定!$B$3,原始資料!AG478=""),"",IF(AND(原始資料!AF478&lt;&gt;"",原始資料!AG478=原始資料!AF478),N(AD478)+1,1))</f>
        <v/>
      </c>
      <c r="AF478" s="6">
        <f>IF(OR(原始資料!$A478="",31&gt;設定!$B$3,原始資料!AH478=""),"",IF(AND(原始資料!AG478&lt;&gt;"",原始資料!AH478=原始資料!AG478),N(AE478)+1,1))</f>
        <v/>
      </c>
      <c r="AG478" s="6">
        <f>IF(OR(原始資料!$A478="",32&gt;設定!$B$3,原始資料!AI478=""),"",IF(AND(原始資料!AH478&lt;&gt;"",原始資料!AI478=原始資料!AH478),N(AF478)+1,1))</f>
        <v/>
      </c>
      <c r="AH478" s="6">
        <f>IF(OR(原始資料!$A478="",33&gt;設定!$B$3,原始資料!AJ478=""),"",IF(AND(原始資料!AI478&lt;&gt;"",原始資料!AJ478=原始資料!AI478),N(AG478)+1,1))</f>
        <v/>
      </c>
      <c r="AI478" s="6">
        <f>IF(OR(原始資料!$A478="",34&gt;設定!$B$3,原始資料!AK478=""),"",IF(AND(原始資料!AJ478&lt;&gt;"",原始資料!AK478=原始資料!AJ478),N(AH478)+1,1))</f>
        <v/>
      </c>
      <c r="AJ478" s="6">
        <f>IF(OR(原始資料!$A478="",35&gt;設定!$B$3,原始資料!AL478=""),"",IF(AND(原始資料!AK478&lt;&gt;"",原始資料!AL478=原始資料!AK478),N(AI478)+1,1))</f>
        <v/>
      </c>
      <c r="AK478" s="6">
        <f>IF(OR(原始資料!$A478="",36&gt;設定!$B$3,原始資料!AM478=""),"",IF(AND(原始資料!AL478&lt;&gt;"",原始資料!AM478=原始資料!AL478),N(AJ478)+1,1))</f>
        <v/>
      </c>
      <c r="AL478" s="6">
        <f>IF(OR(原始資料!$A478="",37&gt;設定!$B$3,原始資料!AN478=""),"",IF(AND(原始資料!AM478&lt;&gt;"",原始資料!AN478=原始資料!AM478),N(AK478)+1,1))</f>
        <v/>
      </c>
      <c r="AM478" s="6">
        <f>IF(OR(原始資料!$A478="",38&gt;設定!$B$3,原始資料!AO478=""),"",IF(AND(原始資料!AN478&lt;&gt;"",原始資料!AO478=原始資料!AN478),N(AL478)+1,1))</f>
        <v/>
      </c>
      <c r="AN478" s="6">
        <f>IF(OR(原始資料!$A478="",39&gt;設定!$B$3,原始資料!AP478=""),"",IF(AND(原始資料!AO478&lt;&gt;"",原始資料!AP478=原始資料!AO478),N(AM478)+1,1))</f>
        <v/>
      </c>
      <c r="AO478" s="6">
        <f>IF(OR(原始資料!$A478="",40&gt;設定!$B$3,原始資料!AQ478=""),"",IF(AND(原始資料!AP478&lt;&gt;"",原始資料!AQ478=原始資料!AP478),N(AN478)+1,1))</f>
        <v/>
      </c>
      <c r="AP478" s="6">
        <f>IF(OR(原始資料!$A478="",41&gt;設定!$B$3,原始資料!AR478=""),"",IF(AND(原始資料!AQ478&lt;&gt;"",原始資料!AR478=原始資料!AQ478),N(AO478)+1,1))</f>
        <v/>
      </c>
      <c r="AQ478" s="6">
        <f>IF(OR(原始資料!$A478="",42&gt;設定!$B$3,原始資料!AS478=""),"",IF(AND(原始資料!AR478&lt;&gt;"",原始資料!AS478=原始資料!AR478),N(AP478)+1,1))</f>
        <v/>
      </c>
      <c r="AR478" s="6">
        <f>IF(OR(原始資料!$A478="",43&gt;設定!$B$3,原始資料!AT478=""),"",IF(AND(原始資料!AS478&lt;&gt;"",原始資料!AT478=原始資料!AS478),N(AQ478)+1,1))</f>
        <v/>
      </c>
      <c r="AS478" s="6">
        <f>IF(OR(原始資料!$A478="",44&gt;設定!$B$3,原始資料!AU478=""),"",IF(AND(原始資料!AT478&lt;&gt;"",原始資料!AU478=原始資料!AT478),N(AR478)+1,1))</f>
        <v/>
      </c>
      <c r="AT478" s="6">
        <f>IF(OR(原始資料!$A478="",45&gt;設定!$B$3,原始資料!AV478=""),"",IF(AND(原始資料!AU478&lt;&gt;"",原始資料!AV478=原始資料!AU478),N(AS478)+1,1))</f>
        <v/>
      </c>
      <c r="AU478" s="6">
        <f>IF(OR(原始資料!$A478="",46&gt;設定!$B$3,原始資料!AW478=""),"",IF(AND(原始資料!AV478&lt;&gt;"",原始資料!AW478=原始資料!AV478),N(AT478)+1,1))</f>
        <v/>
      </c>
      <c r="AV478" s="6">
        <f>IF(OR(原始資料!$A478="",47&gt;設定!$B$3,原始資料!AX478=""),"",IF(AND(原始資料!AW478&lt;&gt;"",原始資料!AX478=原始資料!AW478),N(AU478)+1,1))</f>
        <v/>
      </c>
      <c r="AW478" s="6">
        <f>IF(OR(原始資料!$A478="",48&gt;設定!$B$3,原始資料!AY478=""),"",IF(AND(原始資料!AX478&lt;&gt;"",原始資料!AY478=原始資料!AX478),N(AV478)+1,1))</f>
        <v/>
      </c>
      <c r="AX478" s="6">
        <f>IF(OR(原始資料!$A478="",49&gt;設定!$B$3,原始資料!AZ478=""),"",IF(AND(原始資料!AY478&lt;&gt;"",原始資料!AZ478=原始資料!AY478),N(AW478)+1,1))</f>
        <v/>
      </c>
      <c r="AY478" s="6">
        <f>IF(OR(原始資料!$A478="",50&gt;設定!$B$3,原始資料!BA478=""),"",IF(AND(原始資料!AZ478&lt;&gt;"",原始資料!BA478=原始資料!AZ478),N(AX478)+1,1))</f>
        <v/>
      </c>
      <c r="AZ478" s="6">
        <f>IF(OR(原始資料!$A478="",51&gt;設定!$B$3,原始資料!BB478=""),"",IF(AND(原始資料!BA478&lt;&gt;"",原始資料!BB478=原始資料!BA478),N(AY478)+1,1))</f>
        <v/>
      </c>
      <c r="BA478" s="6">
        <f>IF(OR(原始資料!$A478="",52&gt;設定!$B$3,原始資料!BC478=""),"",IF(AND(原始資料!BB478&lt;&gt;"",原始資料!BC478=原始資料!BB478),N(AZ478)+1,1))</f>
        <v/>
      </c>
      <c r="BB478" s="6">
        <f>IF(OR(原始資料!$A478="",53&gt;設定!$B$3,原始資料!BD478=""),"",IF(AND(原始資料!BC478&lt;&gt;"",原始資料!BD478=原始資料!BC478),N(BA478)+1,1))</f>
        <v/>
      </c>
      <c r="BC478" s="6">
        <f>IF(OR(原始資料!$A478="",54&gt;設定!$B$3,原始資料!BE478=""),"",IF(AND(原始資料!BD478&lt;&gt;"",原始資料!BE478=原始資料!BD478),N(BB478)+1,1))</f>
        <v/>
      </c>
      <c r="BD478" s="6">
        <f>IF(OR(原始資料!$A478="",55&gt;設定!$B$3,原始資料!BF478=""),"",IF(AND(原始資料!BE478&lt;&gt;"",原始資料!BF478=原始資料!BE478),N(BC478)+1,1))</f>
        <v/>
      </c>
      <c r="BE478" s="6">
        <f>IF(OR(原始資料!$A478="",56&gt;設定!$B$3,原始資料!BG478=""),"",IF(AND(原始資料!BF478&lt;&gt;"",原始資料!BG478=原始資料!BF478),N(BD478)+1,1))</f>
        <v/>
      </c>
      <c r="BF478" s="6">
        <f>IF(OR(原始資料!$A478="",57&gt;設定!$B$3,原始資料!BH478=""),"",IF(AND(原始資料!BG478&lt;&gt;"",原始資料!BH478=原始資料!BG478),N(BE478)+1,1))</f>
        <v/>
      </c>
      <c r="BG478" s="6">
        <f>IF(OR(原始資料!$A478="",58&gt;設定!$B$3,原始資料!BI478=""),"",IF(AND(原始資料!BH478&lt;&gt;"",原始資料!BI478=原始資料!BH478),N(BF478)+1,1))</f>
        <v/>
      </c>
      <c r="BH478" s="6">
        <f>IF(OR(原始資料!$A478="",59&gt;設定!$B$3,原始資料!BJ478=""),"",IF(AND(原始資料!BI478&lt;&gt;"",原始資料!BJ478=原始資料!BI478),N(BG478)+1,1))</f>
        <v/>
      </c>
      <c r="BI478" s="6">
        <f>IF(OR(原始資料!$A478="",60&gt;設定!$B$3,原始資料!BK478=""),"",IF(AND(原始資料!BJ478&lt;&gt;"",原始資料!BK478=原始資料!BJ478),N(BH478)+1,1))</f>
        <v/>
      </c>
    </row>
    <row r="479">
      <c r="A479" s="6">
        <f>IF(原始資料!$A479="","",原始資料!$A479)</f>
        <v/>
      </c>
      <c r="B479" s="6">
        <f>IF(OR(原始資料!$A479="",1&gt;設定!$B$3,原始資料!D479=""),"",1)</f>
        <v/>
      </c>
      <c r="C479" s="6">
        <f>IF(OR(原始資料!$A479="",2&gt;設定!$B$3,原始資料!E479=""),"",IF(AND(原始資料!D479&lt;&gt;"",原始資料!E479=原始資料!D479),N(B479)+1,1))</f>
        <v/>
      </c>
      <c r="D479" s="6">
        <f>IF(OR(原始資料!$A479="",3&gt;設定!$B$3,原始資料!F479=""),"",IF(AND(原始資料!E479&lt;&gt;"",原始資料!F479=原始資料!E479),N(C479)+1,1))</f>
        <v/>
      </c>
      <c r="E479" s="6">
        <f>IF(OR(原始資料!$A479="",4&gt;設定!$B$3,原始資料!G479=""),"",IF(AND(原始資料!F479&lt;&gt;"",原始資料!G479=原始資料!F479),N(D479)+1,1))</f>
        <v/>
      </c>
      <c r="F479" s="6">
        <f>IF(OR(原始資料!$A479="",5&gt;設定!$B$3,原始資料!H479=""),"",IF(AND(原始資料!G479&lt;&gt;"",原始資料!H479=原始資料!G479),N(E479)+1,1))</f>
        <v/>
      </c>
      <c r="G479" s="6">
        <f>IF(OR(原始資料!$A479="",6&gt;設定!$B$3,原始資料!I479=""),"",IF(AND(原始資料!H479&lt;&gt;"",原始資料!I479=原始資料!H479),N(F479)+1,1))</f>
        <v/>
      </c>
      <c r="H479" s="6">
        <f>IF(OR(原始資料!$A479="",7&gt;設定!$B$3,原始資料!J479=""),"",IF(AND(原始資料!I479&lt;&gt;"",原始資料!J479=原始資料!I479),N(G479)+1,1))</f>
        <v/>
      </c>
      <c r="I479" s="6">
        <f>IF(OR(原始資料!$A479="",8&gt;設定!$B$3,原始資料!K479=""),"",IF(AND(原始資料!J479&lt;&gt;"",原始資料!K479=原始資料!J479),N(H479)+1,1))</f>
        <v/>
      </c>
      <c r="J479" s="6">
        <f>IF(OR(原始資料!$A479="",9&gt;設定!$B$3,原始資料!L479=""),"",IF(AND(原始資料!K479&lt;&gt;"",原始資料!L479=原始資料!K479),N(I479)+1,1))</f>
        <v/>
      </c>
      <c r="K479" s="6">
        <f>IF(OR(原始資料!$A479="",10&gt;設定!$B$3,原始資料!M479=""),"",IF(AND(原始資料!L479&lt;&gt;"",原始資料!M479=原始資料!L479),N(J479)+1,1))</f>
        <v/>
      </c>
      <c r="L479" s="6">
        <f>IF(OR(原始資料!$A479="",11&gt;設定!$B$3,原始資料!N479=""),"",IF(AND(原始資料!M479&lt;&gt;"",原始資料!N479=原始資料!M479),N(K479)+1,1))</f>
        <v/>
      </c>
      <c r="M479" s="6">
        <f>IF(OR(原始資料!$A479="",12&gt;設定!$B$3,原始資料!O479=""),"",IF(AND(原始資料!N479&lt;&gt;"",原始資料!O479=原始資料!N479),N(L479)+1,1))</f>
        <v/>
      </c>
      <c r="N479" s="6">
        <f>IF(OR(原始資料!$A479="",13&gt;設定!$B$3,原始資料!P479=""),"",IF(AND(原始資料!O479&lt;&gt;"",原始資料!P479=原始資料!O479),N(M479)+1,1))</f>
        <v/>
      </c>
      <c r="O479" s="6">
        <f>IF(OR(原始資料!$A479="",14&gt;設定!$B$3,原始資料!Q479=""),"",IF(AND(原始資料!P479&lt;&gt;"",原始資料!Q479=原始資料!P479),N(N479)+1,1))</f>
        <v/>
      </c>
      <c r="P479" s="6">
        <f>IF(OR(原始資料!$A479="",15&gt;設定!$B$3,原始資料!R479=""),"",IF(AND(原始資料!Q479&lt;&gt;"",原始資料!R479=原始資料!Q479),N(O479)+1,1))</f>
        <v/>
      </c>
      <c r="Q479" s="6">
        <f>IF(OR(原始資料!$A479="",16&gt;設定!$B$3,原始資料!S479=""),"",IF(AND(原始資料!R479&lt;&gt;"",原始資料!S479=原始資料!R479),N(P479)+1,1))</f>
        <v/>
      </c>
      <c r="R479" s="6">
        <f>IF(OR(原始資料!$A479="",17&gt;設定!$B$3,原始資料!T479=""),"",IF(AND(原始資料!S479&lt;&gt;"",原始資料!T479=原始資料!S479),N(Q479)+1,1))</f>
        <v/>
      </c>
      <c r="S479" s="6">
        <f>IF(OR(原始資料!$A479="",18&gt;設定!$B$3,原始資料!U479=""),"",IF(AND(原始資料!T479&lt;&gt;"",原始資料!U479=原始資料!T479),N(R479)+1,1))</f>
        <v/>
      </c>
      <c r="T479" s="6">
        <f>IF(OR(原始資料!$A479="",19&gt;設定!$B$3,原始資料!V479=""),"",IF(AND(原始資料!U479&lt;&gt;"",原始資料!V479=原始資料!U479),N(S479)+1,1))</f>
        <v/>
      </c>
      <c r="U479" s="6">
        <f>IF(OR(原始資料!$A479="",20&gt;設定!$B$3,原始資料!W479=""),"",IF(AND(原始資料!V479&lt;&gt;"",原始資料!W479=原始資料!V479),N(T479)+1,1))</f>
        <v/>
      </c>
      <c r="V479" s="6">
        <f>IF(OR(原始資料!$A479="",21&gt;設定!$B$3,原始資料!X479=""),"",IF(AND(原始資料!W479&lt;&gt;"",原始資料!X479=原始資料!W479),N(U479)+1,1))</f>
        <v/>
      </c>
      <c r="W479" s="6">
        <f>IF(OR(原始資料!$A479="",22&gt;設定!$B$3,原始資料!Y479=""),"",IF(AND(原始資料!X479&lt;&gt;"",原始資料!Y479=原始資料!X479),N(V479)+1,1))</f>
        <v/>
      </c>
      <c r="X479" s="6">
        <f>IF(OR(原始資料!$A479="",23&gt;設定!$B$3,原始資料!Z479=""),"",IF(AND(原始資料!Y479&lt;&gt;"",原始資料!Z479=原始資料!Y479),N(W479)+1,1))</f>
        <v/>
      </c>
      <c r="Y479" s="6">
        <f>IF(OR(原始資料!$A479="",24&gt;設定!$B$3,原始資料!AA479=""),"",IF(AND(原始資料!Z479&lt;&gt;"",原始資料!AA479=原始資料!Z479),N(X479)+1,1))</f>
        <v/>
      </c>
      <c r="Z479" s="6">
        <f>IF(OR(原始資料!$A479="",25&gt;設定!$B$3,原始資料!AB479=""),"",IF(AND(原始資料!AA479&lt;&gt;"",原始資料!AB479=原始資料!AA479),N(Y479)+1,1))</f>
        <v/>
      </c>
      <c r="AA479" s="6">
        <f>IF(OR(原始資料!$A479="",26&gt;設定!$B$3,原始資料!AC479=""),"",IF(AND(原始資料!AB479&lt;&gt;"",原始資料!AC479=原始資料!AB479),N(Z479)+1,1))</f>
        <v/>
      </c>
      <c r="AB479" s="6">
        <f>IF(OR(原始資料!$A479="",27&gt;設定!$B$3,原始資料!AD479=""),"",IF(AND(原始資料!AC479&lt;&gt;"",原始資料!AD479=原始資料!AC479),N(AA479)+1,1))</f>
        <v/>
      </c>
      <c r="AC479" s="6">
        <f>IF(OR(原始資料!$A479="",28&gt;設定!$B$3,原始資料!AE479=""),"",IF(AND(原始資料!AD479&lt;&gt;"",原始資料!AE479=原始資料!AD479),N(AB479)+1,1))</f>
        <v/>
      </c>
      <c r="AD479" s="6">
        <f>IF(OR(原始資料!$A479="",29&gt;設定!$B$3,原始資料!AF479=""),"",IF(AND(原始資料!AE479&lt;&gt;"",原始資料!AF479=原始資料!AE479),N(AC479)+1,1))</f>
        <v/>
      </c>
      <c r="AE479" s="6">
        <f>IF(OR(原始資料!$A479="",30&gt;設定!$B$3,原始資料!AG479=""),"",IF(AND(原始資料!AF479&lt;&gt;"",原始資料!AG479=原始資料!AF479),N(AD479)+1,1))</f>
        <v/>
      </c>
      <c r="AF479" s="6">
        <f>IF(OR(原始資料!$A479="",31&gt;設定!$B$3,原始資料!AH479=""),"",IF(AND(原始資料!AG479&lt;&gt;"",原始資料!AH479=原始資料!AG479),N(AE479)+1,1))</f>
        <v/>
      </c>
      <c r="AG479" s="6">
        <f>IF(OR(原始資料!$A479="",32&gt;設定!$B$3,原始資料!AI479=""),"",IF(AND(原始資料!AH479&lt;&gt;"",原始資料!AI479=原始資料!AH479),N(AF479)+1,1))</f>
        <v/>
      </c>
      <c r="AH479" s="6">
        <f>IF(OR(原始資料!$A479="",33&gt;設定!$B$3,原始資料!AJ479=""),"",IF(AND(原始資料!AI479&lt;&gt;"",原始資料!AJ479=原始資料!AI479),N(AG479)+1,1))</f>
        <v/>
      </c>
      <c r="AI479" s="6">
        <f>IF(OR(原始資料!$A479="",34&gt;設定!$B$3,原始資料!AK479=""),"",IF(AND(原始資料!AJ479&lt;&gt;"",原始資料!AK479=原始資料!AJ479),N(AH479)+1,1))</f>
        <v/>
      </c>
      <c r="AJ479" s="6">
        <f>IF(OR(原始資料!$A479="",35&gt;設定!$B$3,原始資料!AL479=""),"",IF(AND(原始資料!AK479&lt;&gt;"",原始資料!AL479=原始資料!AK479),N(AI479)+1,1))</f>
        <v/>
      </c>
      <c r="AK479" s="6">
        <f>IF(OR(原始資料!$A479="",36&gt;設定!$B$3,原始資料!AM479=""),"",IF(AND(原始資料!AL479&lt;&gt;"",原始資料!AM479=原始資料!AL479),N(AJ479)+1,1))</f>
        <v/>
      </c>
      <c r="AL479" s="6">
        <f>IF(OR(原始資料!$A479="",37&gt;設定!$B$3,原始資料!AN479=""),"",IF(AND(原始資料!AM479&lt;&gt;"",原始資料!AN479=原始資料!AM479),N(AK479)+1,1))</f>
        <v/>
      </c>
      <c r="AM479" s="6">
        <f>IF(OR(原始資料!$A479="",38&gt;設定!$B$3,原始資料!AO479=""),"",IF(AND(原始資料!AN479&lt;&gt;"",原始資料!AO479=原始資料!AN479),N(AL479)+1,1))</f>
        <v/>
      </c>
      <c r="AN479" s="6">
        <f>IF(OR(原始資料!$A479="",39&gt;設定!$B$3,原始資料!AP479=""),"",IF(AND(原始資料!AO479&lt;&gt;"",原始資料!AP479=原始資料!AO479),N(AM479)+1,1))</f>
        <v/>
      </c>
      <c r="AO479" s="6">
        <f>IF(OR(原始資料!$A479="",40&gt;設定!$B$3,原始資料!AQ479=""),"",IF(AND(原始資料!AP479&lt;&gt;"",原始資料!AQ479=原始資料!AP479),N(AN479)+1,1))</f>
        <v/>
      </c>
      <c r="AP479" s="6">
        <f>IF(OR(原始資料!$A479="",41&gt;設定!$B$3,原始資料!AR479=""),"",IF(AND(原始資料!AQ479&lt;&gt;"",原始資料!AR479=原始資料!AQ479),N(AO479)+1,1))</f>
        <v/>
      </c>
      <c r="AQ479" s="6">
        <f>IF(OR(原始資料!$A479="",42&gt;設定!$B$3,原始資料!AS479=""),"",IF(AND(原始資料!AR479&lt;&gt;"",原始資料!AS479=原始資料!AR479),N(AP479)+1,1))</f>
        <v/>
      </c>
      <c r="AR479" s="6">
        <f>IF(OR(原始資料!$A479="",43&gt;設定!$B$3,原始資料!AT479=""),"",IF(AND(原始資料!AS479&lt;&gt;"",原始資料!AT479=原始資料!AS479),N(AQ479)+1,1))</f>
        <v/>
      </c>
      <c r="AS479" s="6">
        <f>IF(OR(原始資料!$A479="",44&gt;設定!$B$3,原始資料!AU479=""),"",IF(AND(原始資料!AT479&lt;&gt;"",原始資料!AU479=原始資料!AT479),N(AR479)+1,1))</f>
        <v/>
      </c>
      <c r="AT479" s="6">
        <f>IF(OR(原始資料!$A479="",45&gt;設定!$B$3,原始資料!AV479=""),"",IF(AND(原始資料!AU479&lt;&gt;"",原始資料!AV479=原始資料!AU479),N(AS479)+1,1))</f>
        <v/>
      </c>
      <c r="AU479" s="6">
        <f>IF(OR(原始資料!$A479="",46&gt;設定!$B$3,原始資料!AW479=""),"",IF(AND(原始資料!AV479&lt;&gt;"",原始資料!AW479=原始資料!AV479),N(AT479)+1,1))</f>
        <v/>
      </c>
      <c r="AV479" s="6">
        <f>IF(OR(原始資料!$A479="",47&gt;設定!$B$3,原始資料!AX479=""),"",IF(AND(原始資料!AW479&lt;&gt;"",原始資料!AX479=原始資料!AW479),N(AU479)+1,1))</f>
        <v/>
      </c>
      <c r="AW479" s="6">
        <f>IF(OR(原始資料!$A479="",48&gt;設定!$B$3,原始資料!AY479=""),"",IF(AND(原始資料!AX479&lt;&gt;"",原始資料!AY479=原始資料!AX479),N(AV479)+1,1))</f>
        <v/>
      </c>
      <c r="AX479" s="6">
        <f>IF(OR(原始資料!$A479="",49&gt;設定!$B$3,原始資料!AZ479=""),"",IF(AND(原始資料!AY479&lt;&gt;"",原始資料!AZ479=原始資料!AY479),N(AW479)+1,1))</f>
        <v/>
      </c>
      <c r="AY479" s="6">
        <f>IF(OR(原始資料!$A479="",50&gt;設定!$B$3,原始資料!BA479=""),"",IF(AND(原始資料!AZ479&lt;&gt;"",原始資料!BA479=原始資料!AZ479),N(AX479)+1,1))</f>
        <v/>
      </c>
      <c r="AZ479" s="6">
        <f>IF(OR(原始資料!$A479="",51&gt;設定!$B$3,原始資料!BB479=""),"",IF(AND(原始資料!BA479&lt;&gt;"",原始資料!BB479=原始資料!BA479),N(AY479)+1,1))</f>
        <v/>
      </c>
      <c r="BA479" s="6">
        <f>IF(OR(原始資料!$A479="",52&gt;設定!$B$3,原始資料!BC479=""),"",IF(AND(原始資料!BB479&lt;&gt;"",原始資料!BC479=原始資料!BB479),N(AZ479)+1,1))</f>
        <v/>
      </c>
      <c r="BB479" s="6">
        <f>IF(OR(原始資料!$A479="",53&gt;設定!$B$3,原始資料!BD479=""),"",IF(AND(原始資料!BC479&lt;&gt;"",原始資料!BD479=原始資料!BC479),N(BA479)+1,1))</f>
        <v/>
      </c>
      <c r="BC479" s="6">
        <f>IF(OR(原始資料!$A479="",54&gt;設定!$B$3,原始資料!BE479=""),"",IF(AND(原始資料!BD479&lt;&gt;"",原始資料!BE479=原始資料!BD479),N(BB479)+1,1))</f>
        <v/>
      </c>
      <c r="BD479" s="6">
        <f>IF(OR(原始資料!$A479="",55&gt;設定!$B$3,原始資料!BF479=""),"",IF(AND(原始資料!BE479&lt;&gt;"",原始資料!BF479=原始資料!BE479),N(BC479)+1,1))</f>
        <v/>
      </c>
      <c r="BE479" s="6">
        <f>IF(OR(原始資料!$A479="",56&gt;設定!$B$3,原始資料!BG479=""),"",IF(AND(原始資料!BF479&lt;&gt;"",原始資料!BG479=原始資料!BF479),N(BD479)+1,1))</f>
        <v/>
      </c>
      <c r="BF479" s="6">
        <f>IF(OR(原始資料!$A479="",57&gt;設定!$B$3,原始資料!BH479=""),"",IF(AND(原始資料!BG479&lt;&gt;"",原始資料!BH479=原始資料!BG479),N(BE479)+1,1))</f>
        <v/>
      </c>
      <c r="BG479" s="6">
        <f>IF(OR(原始資料!$A479="",58&gt;設定!$B$3,原始資料!BI479=""),"",IF(AND(原始資料!BH479&lt;&gt;"",原始資料!BI479=原始資料!BH479),N(BF479)+1,1))</f>
        <v/>
      </c>
      <c r="BH479" s="6">
        <f>IF(OR(原始資料!$A479="",59&gt;設定!$B$3,原始資料!BJ479=""),"",IF(AND(原始資料!BI479&lt;&gt;"",原始資料!BJ479=原始資料!BI479),N(BG479)+1,1))</f>
        <v/>
      </c>
      <c r="BI479" s="6">
        <f>IF(OR(原始資料!$A479="",60&gt;設定!$B$3,原始資料!BK479=""),"",IF(AND(原始資料!BJ479&lt;&gt;"",原始資料!BK479=原始資料!BJ479),N(BH479)+1,1))</f>
        <v/>
      </c>
    </row>
    <row r="480">
      <c r="A480" s="6">
        <f>IF(原始資料!$A480="","",原始資料!$A480)</f>
        <v/>
      </c>
      <c r="B480" s="6">
        <f>IF(OR(原始資料!$A480="",1&gt;設定!$B$3,原始資料!D480=""),"",1)</f>
        <v/>
      </c>
      <c r="C480" s="6">
        <f>IF(OR(原始資料!$A480="",2&gt;設定!$B$3,原始資料!E480=""),"",IF(AND(原始資料!D480&lt;&gt;"",原始資料!E480=原始資料!D480),N(B480)+1,1))</f>
        <v/>
      </c>
      <c r="D480" s="6">
        <f>IF(OR(原始資料!$A480="",3&gt;設定!$B$3,原始資料!F480=""),"",IF(AND(原始資料!E480&lt;&gt;"",原始資料!F480=原始資料!E480),N(C480)+1,1))</f>
        <v/>
      </c>
      <c r="E480" s="6">
        <f>IF(OR(原始資料!$A480="",4&gt;設定!$B$3,原始資料!G480=""),"",IF(AND(原始資料!F480&lt;&gt;"",原始資料!G480=原始資料!F480),N(D480)+1,1))</f>
        <v/>
      </c>
      <c r="F480" s="6">
        <f>IF(OR(原始資料!$A480="",5&gt;設定!$B$3,原始資料!H480=""),"",IF(AND(原始資料!G480&lt;&gt;"",原始資料!H480=原始資料!G480),N(E480)+1,1))</f>
        <v/>
      </c>
      <c r="G480" s="6">
        <f>IF(OR(原始資料!$A480="",6&gt;設定!$B$3,原始資料!I480=""),"",IF(AND(原始資料!H480&lt;&gt;"",原始資料!I480=原始資料!H480),N(F480)+1,1))</f>
        <v/>
      </c>
      <c r="H480" s="6">
        <f>IF(OR(原始資料!$A480="",7&gt;設定!$B$3,原始資料!J480=""),"",IF(AND(原始資料!I480&lt;&gt;"",原始資料!J480=原始資料!I480),N(G480)+1,1))</f>
        <v/>
      </c>
      <c r="I480" s="6">
        <f>IF(OR(原始資料!$A480="",8&gt;設定!$B$3,原始資料!K480=""),"",IF(AND(原始資料!J480&lt;&gt;"",原始資料!K480=原始資料!J480),N(H480)+1,1))</f>
        <v/>
      </c>
      <c r="J480" s="6">
        <f>IF(OR(原始資料!$A480="",9&gt;設定!$B$3,原始資料!L480=""),"",IF(AND(原始資料!K480&lt;&gt;"",原始資料!L480=原始資料!K480),N(I480)+1,1))</f>
        <v/>
      </c>
      <c r="K480" s="6">
        <f>IF(OR(原始資料!$A480="",10&gt;設定!$B$3,原始資料!M480=""),"",IF(AND(原始資料!L480&lt;&gt;"",原始資料!M480=原始資料!L480),N(J480)+1,1))</f>
        <v/>
      </c>
      <c r="L480" s="6">
        <f>IF(OR(原始資料!$A480="",11&gt;設定!$B$3,原始資料!N480=""),"",IF(AND(原始資料!M480&lt;&gt;"",原始資料!N480=原始資料!M480),N(K480)+1,1))</f>
        <v/>
      </c>
      <c r="M480" s="6">
        <f>IF(OR(原始資料!$A480="",12&gt;設定!$B$3,原始資料!O480=""),"",IF(AND(原始資料!N480&lt;&gt;"",原始資料!O480=原始資料!N480),N(L480)+1,1))</f>
        <v/>
      </c>
      <c r="N480" s="6">
        <f>IF(OR(原始資料!$A480="",13&gt;設定!$B$3,原始資料!P480=""),"",IF(AND(原始資料!O480&lt;&gt;"",原始資料!P480=原始資料!O480),N(M480)+1,1))</f>
        <v/>
      </c>
      <c r="O480" s="6">
        <f>IF(OR(原始資料!$A480="",14&gt;設定!$B$3,原始資料!Q480=""),"",IF(AND(原始資料!P480&lt;&gt;"",原始資料!Q480=原始資料!P480),N(N480)+1,1))</f>
        <v/>
      </c>
      <c r="P480" s="6">
        <f>IF(OR(原始資料!$A480="",15&gt;設定!$B$3,原始資料!R480=""),"",IF(AND(原始資料!Q480&lt;&gt;"",原始資料!R480=原始資料!Q480),N(O480)+1,1))</f>
        <v/>
      </c>
      <c r="Q480" s="6">
        <f>IF(OR(原始資料!$A480="",16&gt;設定!$B$3,原始資料!S480=""),"",IF(AND(原始資料!R480&lt;&gt;"",原始資料!S480=原始資料!R480),N(P480)+1,1))</f>
        <v/>
      </c>
      <c r="R480" s="6">
        <f>IF(OR(原始資料!$A480="",17&gt;設定!$B$3,原始資料!T480=""),"",IF(AND(原始資料!S480&lt;&gt;"",原始資料!T480=原始資料!S480),N(Q480)+1,1))</f>
        <v/>
      </c>
      <c r="S480" s="6">
        <f>IF(OR(原始資料!$A480="",18&gt;設定!$B$3,原始資料!U480=""),"",IF(AND(原始資料!T480&lt;&gt;"",原始資料!U480=原始資料!T480),N(R480)+1,1))</f>
        <v/>
      </c>
      <c r="T480" s="6">
        <f>IF(OR(原始資料!$A480="",19&gt;設定!$B$3,原始資料!V480=""),"",IF(AND(原始資料!U480&lt;&gt;"",原始資料!V480=原始資料!U480),N(S480)+1,1))</f>
        <v/>
      </c>
      <c r="U480" s="6">
        <f>IF(OR(原始資料!$A480="",20&gt;設定!$B$3,原始資料!W480=""),"",IF(AND(原始資料!V480&lt;&gt;"",原始資料!W480=原始資料!V480),N(T480)+1,1))</f>
        <v/>
      </c>
      <c r="V480" s="6">
        <f>IF(OR(原始資料!$A480="",21&gt;設定!$B$3,原始資料!X480=""),"",IF(AND(原始資料!W480&lt;&gt;"",原始資料!X480=原始資料!W480),N(U480)+1,1))</f>
        <v/>
      </c>
      <c r="W480" s="6">
        <f>IF(OR(原始資料!$A480="",22&gt;設定!$B$3,原始資料!Y480=""),"",IF(AND(原始資料!X480&lt;&gt;"",原始資料!Y480=原始資料!X480),N(V480)+1,1))</f>
        <v/>
      </c>
      <c r="X480" s="6">
        <f>IF(OR(原始資料!$A480="",23&gt;設定!$B$3,原始資料!Z480=""),"",IF(AND(原始資料!Y480&lt;&gt;"",原始資料!Z480=原始資料!Y480),N(W480)+1,1))</f>
        <v/>
      </c>
      <c r="Y480" s="6">
        <f>IF(OR(原始資料!$A480="",24&gt;設定!$B$3,原始資料!AA480=""),"",IF(AND(原始資料!Z480&lt;&gt;"",原始資料!AA480=原始資料!Z480),N(X480)+1,1))</f>
        <v/>
      </c>
      <c r="Z480" s="6">
        <f>IF(OR(原始資料!$A480="",25&gt;設定!$B$3,原始資料!AB480=""),"",IF(AND(原始資料!AA480&lt;&gt;"",原始資料!AB480=原始資料!AA480),N(Y480)+1,1))</f>
        <v/>
      </c>
      <c r="AA480" s="6">
        <f>IF(OR(原始資料!$A480="",26&gt;設定!$B$3,原始資料!AC480=""),"",IF(AND(原始資料!AB480&lt;&gt;"",原始資料!AC480=原始資料!AB480),N(Z480)+1,1))</f>
        <v/>
      </c>
      <c r="AB480" s="6">
        <f>IF(OR(原始資料!$A480="",27&gt;設定!$B$3,原始資料!AD480=""),"",IF(AND(原始資料!AC480&lt;&gt;"",原始資料!AD480=原始資料!AC480),N(AA480)+1,1))</f>
        <v/>
      </c>
      <c r="AC480" s="6">
        <f>IF(OR(原始資料!$A480="",28&gt;設定!$B$3,原始資料!AE480=""),"",IF(AND(原始資料!AD480&lt;&gt;"",原始資料!AE480=原始資料!AD480),N(AB480)+1,1))</f>
        <v/>
      </c>
      <c r="AD480" s="6">
        <f>IF(OR(原始資料!$A480="",29&gt;設定!$B$3,原始資料!AF480=""),"",IF(AND(原始資料!AE480&lt;&gt;"",原始資料!AF480=原始資料!AE480),N(AC480)+1,1))</f>
        <v/>
      </c>
      <c r="AE480" s="6">
        <f>IF(OR(原始資料!$A480="",30&gt;設定!$B$3,原始資料!AG480=""),"",IF(AND(原始資料!AF480&lt;&gt;"",原始資料!AG480=原始資料!AF480),N(AD480)+1,1))</f>
        <v/>
      </c>
      <c r="AF480" s="6">
        <f>IF(OR(原始資料!$A480="",31&gt;設定!$B$3,原始資料!AH480=""),"",IF(AND(原始資料!AG480&lt;&gt;"",原始資料!AH480=原始資料!AG480),N(AE480)+1,1))</f>
        <v/>
      </c>
      <c r="AG480" s="6">
        <f>IF(OR(原始資料!$A480="",32&gt;設定!$B$3,原始資料!AI480=""),"",IF(AND(原始資料!AH480&lt;&gt;"",原始資料!AI480=原始資料!AH480),N(AF480)+1,1))</f>
        <v/>
      </c>
      <c r="AH480" s="6">
        <f>IF(OR(原始資料!$A480="",33&gt;設定!$B$3,原始資料!AJ480=""),"",IF(AND(原始資料!AI480&lt;&gt;"",原始資料!AJ480=原始資料!AI480),N(AG480)+1,1))</f>
        <v/>
      </c>
      <c r="AI480" s="6">
        <f>IF(OR(原始資料!$A480="",34&gt;設定!$B$3,原始資料!AK480=""),"",IF(AND(原始資料!AJ480&lt;&gt;"",原始資料!AK480=原始資料!AJ480),N(AH480)+1,1))</f>
        <v/>
      </c>
      <c r="AJ480" s="6">
        <f>IF(OR(原始資料!$A480="",35&gt;設定!$B$3,原始資料!AL480=""),"",IF(AND(原始資料!AK480&lt;&gt;"",原始資料!AL480=原始資料!AK480),N(AI480)+1,1))</f>
        <v/>
      </c>
      <c r="AK480" s="6">
        <f>IF(OR(原始資料!$A480="",36&gt;設定!$B$3,原始資料!AM480=""),"",IF(AND(原始資料!AL480&lt;&gt;"",原始資料!AM480=原始資料!AL480),N(AJ480)+1,1))</f>
        <v/>
      </c>
      <c r="AL480" s="6">
        <f>IF(OR(原始資料!$A480="",37&gt;設定!$B$3,原始資料!AN480=""),"",IF(AND(原始資料!AM480&lt;&gt;"",原始資料!AN480=原始資料!AM480),N(AK480)+1,1))</f>
        <v/>
      </c>
      <c r="AM480" s="6">
        <f>IF(OR(原始資料!$A480="",38&gt;設定!$B$3,原始資料!AO480=""),"",IF(AND(原始資料!AN480&lt;&gt;"",原始資料!AO480=原始資料!AN480),N(AL480)+1,1))</f>
        <v/>
      </c>
      <c r="AN480" s="6">
        <f>IF(OR(原始資料!$A480="",39&gt;設定!$B$3,原始資料!AP480=""),"",IF(AND(原始資料!AO480&lt;&gt;"",原始資料!AP480=原始資料!AO480),N(AM480)+1,1))</f>
        <v/>
      </c>
      <c r="AO480" s="6">
        <f>IF(OR(原始資料!$A480="",40&gt;設定!$B$3,原始資料!AQ480=""),"",IF(AND(原始資料!AP480&lt;&gt;"",原始資料!AQ480=原始資料!AP480),N(AN480)+1,1))</f>
        <v/>
      </c>
      <c r="AP480" s="6">
        <f>IF(OR(原始資料!$A480="",41&gt;設定!$B$3,原始資料!AR480=""),"",IF(AND(原始資料!AQ480&lt;&gt;"",原始資料!AR480=原始資料!AQ480),N(AO480)+1,1))</f>
        <v/>
      </c>
      <c r="AQ480" s="6">
        <f>IF(OR(原始資料!$A480="",42&gt;設定!$B$3,原始資料!AS480=""),"",IF(AND(原始資料!AR480&lt;&gt;"",原始資料!AS480=原始資料!AR480),N(AP480)+1,1))</f>
        <v/>
      </c>
      <c r="AR480" s="6">
        <f>IF(OR(原始資料!$A480="",43&gt;設定!$B$3,原始資料!AT480=""),"",IF(AND(原始資料!AS480&lt;&gt;"",原始資料!AT480=原始資料!AS480),N(AQ480)+1,1))</f>
        <v/>
      </c>
      <c r="AS480" s="6">
        <f>IF(OR(原始資料!$A480="",44&gt;設定!$B$3,原始資料!AU480=""),"",IF(AND(原始資料!AT480&lt;&gt;"",原始資料!AU480=原始資料!AT480),N(AR480)+1,1))</f>
        <v/>
      </c>
      <c r="AT480" s="6">
        <f>IF(OR(原始資料!$A480="",45&gt;設定!$B$3,原始資料!AV480=""),"",IF(AND(原始資料!AU480&lt;&gt;"",原始資料!AV480=原始資料!AU480),N(AS480)+1,1))</f>
        <v/>
      </c>
      <c r="AU480" s="6">
        <f>IF(OR(原始資料!$A480="",46&gt;設定!$B$3,原始資料!AW480=""),"",IF(AND(原始資料!AV480&lt;&gt;"",原始資料!AW480=原始資料!AV480),N(AT480)+1,1))</f>
        <v/>
      </c>
      <c r="AV480" s="6">
        <f>IF(OR(原始資料!$A480="",47&gt;設定!$B$3,原始資料!AX480=""),"",IF(AND(原始資料!AW480&lt;&gt;"",原始資料!AX480=原始資料!AW480),N(AU480)+1,1))</f>
        <v/>
      </c>
      <c r="AW480" s="6">
        <f>IF(OR(原始資料!$A480="",48&gt;設定!$B$3,原始資料!AY480=""),"",IF(AND(原始資料!AX480&lt;&gt;"",原始資料!AY480=原始資料!AX480),N(AV480)+1,1))</f>
        <v/>
      </c>
      <c r="AX480" s="6">
        <f>IF(OR(原始資料!$A480="",49&gt;設定!$B$3,原始資料!AZ480=""),"",IF(AND(原始資料!AY480&lt;&gt;"",原始資料!AZ480=原始資料!AY480),N(AW480)+1,1))</f>
        <v/>
      </c>
      <c r="AY480" s="6">
        <f>IF(OR(原始資料!$A480="",50&gt;設定!$B$3,原始資料!BA480=""),"",IF(AND(原始資料!AZ480&lt;&gt;"",原始資料!BA480=原始資料!AZ480),N(AX480)+1,1))</f>
        <v/>
      </c>
      <c r="AZ480" s="6">
        <f>IF(OR(原始資料!$A480="",51&gt;設定!$B$3,原始資料!BB480=""),"",IF(AND(原始資料!BA480&lt;&gt;"",原始資料!BB480=原始資料!BA480),N(AY480)+1,1))</f>
        <v/>
      </c>
      <c r="BA480" s="6">
        <f>IF(OR(原始資料!$A480="",52&gt;設定!$B$3,原始資料!BC480=""),"",IF(AND(原始資料!BB480&lt;&gt;"",原始資料!BC480=原始資料!BB480),N(AZ480)+1,1))</f>
        <v/>
      </c>
      <c r="BB480" s="6">
        <f>IF(OR(原始資料!$A480="",53&gt;設定!$B$3,原始資料!BD480=""),"",IF(AND(原始資料!BC480&lt;&gt;"",原始資料!BD480=原始資料!BC480),N(BA480)+1,1))</f>
        <v/>
      </c>
      <c r="BC480" s="6">
        <f>IF(OR(原始資料!$A480="",54&gt;設定!$B$3,原始資料!BE480=""),"",IF(AND(原始資料!BD480&lt;&gt;"",原始資料!BE480=原始資料!BD480),N(BB480)+1,1))</f>
        <v/>
      </c>
      <c r="BD480" s="6">
        <f>IF(OR(原始資料!$A480="",55&gt;設定!$B$3,原始資料!BF480=""),"",IF(AND(原始資料!BE480&lt;&gt;"",原始資料!BF480=原始資料!BE480),N(BC480)+1,1))</f>
        <v/>
      </c>
      <c r="BE480" s="6">
        <f>IF(OR(原始資料!$A480="",56&gt;設定!$B$3,原始資料!BG480=""),"",IF(AND(原始資料!BF480&lt;&gt;"",原始資料!BG480=原始資料!BF480),N(BD480)+1,1))</f>
        <v/>
      </c>
      <c r="BF480" s="6">
        <f>IF(OR(原始資料!$A480="",57&gt;設定!$B$3,原始資料!BH480=""),"",IF(AND(原始資料!BG480&lt;&gt;"",原始資料!BH480=原始資料!BG480),N(BE480)+1,1))</f>
        <v/>
      </c>
      <c r="BG480" s="6">
        <f>IF(OR(原始資料!$A480="",58&gt;設定!$B$3,原始資料!BI480=""),"",IF(AND(原始資料!BH480&lt;&gt;"",原始資料!BI480=原始資料!BH480),N(BF480)+1,1))</f>
        <v/>
      </c>
      <c r="BH480" s="6">
        <f>IF(OR(原始資料!$A480="",59&gt;設定!$B$3,原始資料!BJ480=""),"",IF(AND(原始資料!BI480&lt;&gt;"",原始資料!BJ480=原始資料!BI480),N(BG480)+1,1))</f>
        <v/>
      </c>
      <c r="BI480" s="6">
        <f>IF(OR(原始資料!$A480="",60&gt;設定!$B$3,原始資料!BK480=""),"",IF(AND(原始資料!BJ480&lt;&gt;"",原始資料!BK480=原始資料!BJ480),N(BH480)+1,1))</f>
        <v/>
      </c>
    </row>
    <row r="481">
      <c r="A481" s="6">
        <f>IF(原始資料!$A481="","",原始資料!$A481)</f>
        <v/>
      </c>
      <c r="B481" s="6">
        <f>IF(OR(原始資料!$A481="",1&gt;設定!$B$3,原始資料!D481=""),"",1)</f>
        <v/>
      </c>
      <c r="C481" s="6">
        <f>IF(OR(原始資料!$A481="",2&gt;設定!$B$3,原始資料!E481=""),"",IF(AND(原始資料!D481&lt;&gt;"",原始資料!E481=原始資料!D481),N(B481)+1,1))</f>
        <v/>
      </c>
      <c r="D481" s="6">
        <f>IF(OR(原始資料!$A481="",3&gt;設定!$B$3,原始資料!F481=""),"",IF(AND(原始資料!E481&lt;&gt;"",原始資料!F481=原始資料!E481),N(C481)+1,1))</f>
        <v/>
      </c>
      <c r="E481" s="6">
        <f>IF(OR(原始資料!$A481="",4&gt;設定!$B$3,原始資料!G481=""),"",IF(AND(原始資料!F481&lt;&gt;"",原始資料!G481=原始資料!F481),N(D481)+1,1))</f>
        <v/>
      </c>
      <c r="F481" s="6">
        <f>IF(OR(原始資料!$A481="",5&gt;設定!$B$3,原始資料!H481=""),"",IF(AND(原始資料!G481&lt;&gt;"",原始資料!H481=原始資料!G481),N(E481)+1,1))</f>
        <v/>
      </c>
      <c r="G481" s="6">
        <f>IF(OR(原始資料!$A481="",6&gt;設定!$B$3,原始資料!I481=""),"",IF(AND(原始資料!H481&lt;&gt;"",原始資料!I481=原始資料!H481),N(F481)+1,1))</f>
        <v/>
      </c>
      <c r="H481" s="6">
        <f>IF(OR(原始資料!$A481="",7&gt;設定!$B$3,原始資料!J481=""),"",IF(AND(原始資料!I481&lt;&gt;"",原始資料!J481=原始資料!I481),N(G481)+1,1))</f>
        <v/>
      </c>
      <c r="I481" s="6">
        <f>IF(OR(原始資料!$A481="",8&gt;設定!$B$3,原始資料!K481=""),"",IF(AND(原始資料!J481&lt;&gt;"",原始資料!K481=原始資料!J481),N(H481)+1,1))</f>
        <v/>
      </c>
      <c r="J481" s="6">
        <f>IF(OR(原始資料!$A481="",9&gt;設定!$B$3,原始資料!L481=""),"",IF(AND(原始資料!K481&lt;&gt;"",原始資料!L481=原始資料!K481),N(I481)+1,1))</f>
        <v/>
      </c>
      <c r="K481" s="6">
        <f>IF(OR(原始資料!$A481="",10&gt;設定!$B$3,原始資料!M481=""),"",IF(AND(原始資料!L481&lt;&gt;"",原始資料!M481=原始資料!L481),N(J481)+1,1))</f>
        <v/>
      </c>
      <c r="L481" s="6">
        <f>IF(OR(原始資料!$A481="",11&gt;設定!$B$3,原始資料!N481=""),"",IF(AND(原始資料!M481&lt;&gt;"",原始資料!N481=原始資料!M481),N(K481)+1,1))</f>
        <v/>
      </c>
      <c r="M481" s="6">
        <f>IF(OR(原始資料!$A481="",12&gt;設定!$B$3,原始資料!O481=""),"",IF(AND(原始資料!N481&lt;&gt;"",原始資料!O481=原始資料!N481),N(L481)+1,1))</f>
        <v/>
      </c>
      <c r="N481" s="6">
        <f>IF(OR(原始資料!$A481="",13&gt;設定!$B$3,原始資料!P481=""),"",IF(AND(原始資料!O481&lt;&gt;"",原始資料!P481=原始資料!O481),N(M481)+1,1))</f>
        <v/>
      </c>
      <c r="O481" s="6">
        <f>IF(OR(原始資料!$A481="",14&gt;設定!$B$3,原始資料!Q481=""),"",IF(AND(原始資料!P481&lt;&gt;"",原始資料!Q481=原始資料!P481),N(N481)+1,1))</f>
        <v/>
      </c>
      <c r="P481" s="6">
        <f>IF(OR(原始資料!$A481="",15&gt;設定!$B$3,原始資料!R481=""),"",IF(AND(原始資料!Q481&lt;&gt;"",原始資料!R481=原始資料!Q481),N(O481)+1,1))</f>
        <v/>
      </c>
      <c r="Q481" s="6">
        <f>IF(OR(原始資料!$A481="",16&gt;設定!$B$3,原始資料!S481=""),"",IF(AND(原始資料!R481&lt;&gt;"",原始資料!S481=原始資料!R481),N(P481)+1,1))</f>
        <v/>
      </c>
      <c r="R481" s="6">
        <f>IF(OR(原始資料!$A481="",17&gt;設定!$B$3,原始資料!T481=""),"",IF(AND(原始資料!S481&lt;&gt;"",原始資料!T481=原始資料!S481),N(Q481)+1,1))</f>
        <v/>
      </c>
      <c r="S481" s="6">
        <f>IF(OR(原始資料!$A481="",18&gt;設定!$B$3,原始資料!U481=""),"",IF(AND(原始資料!T481&lt;&gt;"",原始資料!U481=原始資料!T481),N(R481)+1,1))</f>
        <v/>
      </c>
      <c r="T481" s="6">
        <f>IF(OR(原始資料!$A481="",19&gt;設定!$B$3,原始資料!V481=""),"",IF(AND(原始資料!U481&lt;&gt;"",原始資料!V481=原始資料!U481),N(S481)+1,1))</f>
        <v/>
      </c>
      <c r="U481" s="6">
        <f>IF(OR(原始資料!$A481="",20&gt;設定!$B$3,原始資料!W481=""),"",IF(AND(原始資料!V481&lt;&gt;"",原始資料!W481=原始資料!V481),N(T481)+1,1))</f>
        <v/>
      </c>
      <c r="V481" s="6">
        <f>IF(OR(原始資料!$A481="",21&gt;設定!$B$3,原始資料!X481=""),"",IF(AND(原始資料!W481&lt;&gt;"",原始資料!X481=原始資料!W481),N(U481)+1,1))</f>
        <v/>
      </c>
      <c r="W481" s="6">
        <f>IF(OR(原始資料!$A481="",22&gt;設定!$B$3,原始資料!Y481=""),"",IF(AND(原始資料!X481&lt;&gt;"",原始資料!Y481=原始資料!X481),N(V481)+1,1))</f>
        <v/>
      </c>
      <c r="X481" s="6">
        <f>IF(OR(原始資料!$A481="",23&gt;設定!$B$3,原始資料!Z481=""),"",IF(AND(原始資料!Y481&lt;&gt;"",原始資料!Z481=原始資料!Y481),N(W481)+1,1))</f>
        <v/>
      </c>
      <c r="Y481" s="6">
        <f>IF(OR(原始資料!$A481="",24&gt;設定!$B$3,原始資料!AA481=""),"",IF(AND(原始資料!Z481&lt;&gt;"",原始資料!AA481=原始資料!Z481),N(X481)+1,1))</f>
        <v/>
      </c>
      <c r="Z481" s="6">
        <f>IF(OR(原始資料!$A481="",25&gt;設定!$B$3,原始資料!AB481=""),"",IF(AND(原始資料!AA481&lt;&gt;"",原始資料!AB481=原始資料!AA481),N(Y481)+1,1))</f>
        <v/>
      </c>
      <c r="AA481" s="6">
        <f>IF(OR(原始資料!$A481="",26&gt;設定!$B$3,原始資料!AC481=""),"",IF(AND(原始資料!AB481&lt;&gt;"",原始資料!AC481=原始資料!AB481),N(Z481)+1,1))</f>
        <v/>
      </c>
      <c r="AB481" s="6">
        <f>IF(OR(原始資料!$A481="",27&gt;設定!$B$3,原始資料!AD481=""),"",IF(AND(原始資料!AC481&lt;&gt;"",原始資料!AD481=原始資料!AC481),N(AA481)+1,1))</f>
        <v/>
      </c>
      <c r="AC481" s="6">
        <f>IF(OR(原始資料!$A481="",28&gt;設定!$B$3,原始資料!AE481=""),"",IF(AND(原始資料!AD481&lt;&gt;"",原始資料!AE481=原始資料!AD481),N(AB481)+1,1))</f>
        <v/>
      </c>
      <c r="AD481" s="6">
        <f>IF(OR(原始資料!$A481="",29&gt;設定!$B$3,原始資料!AF481=""),"",IF(AND(原始資料!AE481&lt;&gt;"",原始資料!AF481=原始資料!AE481),N(AC481)+1,1))</f>
        <v/>
      </c>
      <c r="AE481" s="6">
        <f>IF(OR(原始資料!$A481="",30&gt;設定!$B$3,原始資料!AG481=""),"",IF(AND(原始資料!AF481&lt;&gt;"",原始資料!AG481=原始資料!AF481),N(AD481)+1,1))</f>
        <v/>
      </c>
      <c r="AF481" s="6">
        <f>IF(OR(原始資料!$A481="",31&gt;設定!$B$3,原始資料!AH481=""),"",IF(AND(原始資料!AG481&lt;&gt;"",原始資料!AH481=原始資料!AG481),N(AE481)+1,1))</f>
        <v/>
      </c>
      <c r="AG481" s="6">
        <f>IF(OR(原始資料!$A481="",32&gt;設定!$B$3,原始資料!AI481=""),"",IF(AND(原始資料!AH481&lt;&gt;"",原始資料!AI481=原始資料!AH481),N(AF481)+1,1))</f>
        <v/>
      </c>
      <c r="AH481" s="6">
        <f>IF(OR(原始資料!$A481="",33&gt;設定!$B$3,原始資料!AJ481=""),"",IF(AND(原始資料!AI481&lt;&gt;"",原始資料!AJ481=原始資料!AI481),N(AG481)+1,1))</f>
        <v/>
      </c>
      <c r="AI481" s="6">
        <f>IF(OR(原始資料!$A481="",34&gt;設定!$B$3,原始資料!AK481=""),"",IF(AND(原始資料!AJ481&lt;&gt;"",原始資料!AK481=原始資料!AJ481),N(AH481)+1,1))</f>
        <v/>
      </c>
      <c r="AJ481" s="6">
        <f>IF(OR(原始資料!$A481="",35&gt;設定!$B$3,原始資料!AL481=""),"",IF(AND(原始資料!AK481&lt;&gt;"",原始資料!AL481=原始資料!AK481),N(AI481)+1,1))</f>
        <v/>
      </c>
      <c r="AK481" s="6">
        <f>IF(OR(原始資料!$A481="",36&gt;設定!$B$3,原始資料!AM481=""),"",IF(AND(原始資料!AL481&lt;&gt;"",原始資料!AM481=原始資料!AL481),N(AJ481)+1,1))</f>
        <v/>
      </c>
      <c r="AL481" s="6">
        <f>IF(OR(原始資料!$A481="",37&gt;設定!$B$3,原始資料!AN481=""),"",IF(AND(原始資料!AM481&lt;&gt;"",原始資料!AN481=原始資料!AM481),N(AK481)+1,1))</f>
        <v/>
      </c>
      <c r="AM481" s="6">
        <f>IF(OR(原始資料!$A481="",38&gt;設定!$B$3,原始資料!AO481=""),"",IF(AND(原始資料!AN481&lt;&gt;"",原始資料!AO481=原始資料!AN481),N(AL481)+1,1))</f>
        <v/>
      </c>
      <c r="AN481" s="6">
        <f>IF(OR(原始資料!$A481="",39&gt;設定!$B$3,原始資料!AP481=""),"",IF(AND(原始資料!AO481&lt;&gt;"",原始資料!AP481=原始資料!AO481),N(AM481)+1,1))</f>
        <v/>
      </c>
      <c r="AO481" s="6">
        <f>IF(OR(原始資料!$A481="",40&gt;設定!$B$3,原始資料!AQ481=""),"",IF(AND(原始資料!AP481&lt;&gt;"",原始資料!AQ481=原始資料!AP481),N(AN481)+1,1))</f>
        <v/>
      </c>
      <c r="AP481" s="6">
        <f>IF(OR(原始資料!$A481="",41&gt;設定!$B$3,原始資料!AR481=""),"",IF(AND(原始資料!AQ481&lt;&gt;"",原始資料!AR481=原始資料!AQ481),N(AO481)+1,1))</f>
        <v/>
      </c>
      <c r="AQ481" s="6">
        <f>IF(OR(原始資料!$A481="",42&gt;設定!$B$3,原始資料!AS481=""),"",IF(AND(原始資料!AR481&lt;&gt;"",原始資料!AS481=原始資料!AR481),N(AP481)+1,1))</f>
        <v/>
      </c>
      <c r="AR481" s="6">
        <f>IF(OR(原始資料!$A481="",43&gt;設定!$B$3,原始資料!AT481=""),"",IF(AND(原始資料!AS481&lt;&gt;"",原始資料!AT481=原始資料!AS481),N(AQ481)+1,1))</f>
        <v/>
      </c>
      <c r="AS481" s="6">
        <f>IF(OR(原始資料!$A481="",44&gt;設定!$B$3,原始資料!AU481=""),"",IF(AND(原始資料!AT481&lt;&gt;"",原始資料!AU481=原始資料!AT481),N(AR481)+1,1))</f>
        <v/>
      </c>
      <c r="AT481" s="6">
        <f>IF(OR(原始資料!$A481="",45&gt;設定!$B$3,原始資料!AV481=""),"",IF(AND(原始資料!AU481&lt;&gt;"",原始資料!AV481=原始資料!AU481),N(AS481)+1,1))</f>
        <v/>
      </c>
      <c r="AU481" s="6">
        <f>IF(OR(原始資料!$A481="",46&gt;設定!$B$3,原始資料!AW481=""),"",IF(AND(原始資料!AV481&lt;&gt;"",原始資料!AW481=原始資料!AV481),N(AT481)+1,1))</f>
        <v/>
      </c>
      <c r="AV481" s="6">
        <f>IF(OR(原始資料!$A481="",47&gt;設定!$B$3,原始資料!AX481=""),"",IF(AND(原始資料!AW481&lt;&gt;"",原始資料!AX481=原始資料!AW481),N(AU481)+1,1))</f>
        <v/>
      </c>
      <c r="AW481" s="6">
        <f>IF(OR(原始資料!$A481="",48&gt;設定!$B$3,原始資料!AY481=""),"",IF(AND(原始資料!AX481&lt;&gt;"",原始資料!AY481=原始資料!AX481),N(AV481)+1,1))</f>
        <v/>
      </c>
      <c r="AX481" s="6">
        <f>IF(OR(原始資料!$A481="",49&gt;設定!$B$3,原始資料!AZ481=""),"",IF(AND(原始資料!AY481&lt;&gt;"",原始資料!AZ481=原始資料!AY481),N(AW481)+1,1))</f>
        <v/>
      </c>
      <c r="AY481" s="6">
        <f>IF(OR(原始資料!$A481="",50&gt;設定!$B$3,原始資料!BA481=""),"",IF(AND(原始資料!AZ481&lt;&gt;"",原始資料!BA481=原始資料!AZ481),N(AX481)+1,1))</f>
        <v/>
      </c>
      <c r="AZ481" s="6">
        <f>IF(OR(原始資料!$A481="",51&gt;設定!$B$3,原始資料!BB481=""),"",IF(AND(原始資料!BA481&lt;&gt;"",原始資料!BB481=原始資料!BA481),N(AY481)+1,1))</f>
        <v/>
      </c>
      <c r="BA481" s="6">
        <f>IF(OR(原始資料!$A481="",52&gt;設定!$B$3,原始資料!BC481=""),"",IF(AND(原始資料!BB481&lt;&gt;"",原始資料!BC481=原始資料!BB481),N(AZ481)+1,1))</f>
        <v/>
      </c>
      <c r="BB481" s="6">
        <f>IF(OR(原始資料!$A481="",53&gt;設定!$B$3,原始資料!BD481=""),"",IF(AND(原始資料!BC481&lt;&gt;"",原始資料!BD481=原始資料!BC481),N(BA481)+1,1))</f>
        <v/>
      </c>
      <c r="BC481" s="6">
        <f>IF(OR(原始資料!$A481="",54&gt;設定!$B$3,原始資料!BE481=""),"",IF(AND(原始資料!BD481&lt;&gt;"",原始資料!BE481=原始資料!BD481),N(BB481)+1,1))</f>
        <v/>
      </c>
      <c r="BD481" s="6">
        <f>IF(OR(原始資料!$A481="",55&gt;設定!$B$3,原始資料!BF481=""),"",IF(AND(原始資料!BE481&lt;&gt;"",原始資料!BF481=原始資料!BE481),N(BC481)+1,1))</f>
        <v/>
      </c>
      <c r="BE481" s="6">
        <f>IF(OR(原始資料!$A481="",56&gt;設定!$B$3,原始資料!BG481=""),"",IF(AND(原始資料!BF481&lt;&gt;"",原始資料!BG481=原始資料!BF481),N(BD481)+1,1))</f>
        <v/>
      </c>
      <c r="BF481" s="6">
        <f>IF(OR(原始資料!$A481="",57&gt;設定!$B$3,原始資料!BH481=""),"",IF(AND(原始資料!BG481&lt;&gt;"",原始資料!BH481=原始資料!BG481),N(BE481)+1,1))</f>
        <v/>
      </c>
      <c r="BG481" s="6">
        <f>IF(OR(原始資料!$A481="",58&gt;設定!$B$3,原始資料!BI481=""),"",IF(AND(原始資料!BH481&lt;&gt;"",原始資料!BI481=原始資料!BH481),N(BF481)+1,1))</f>
        <v/>
      </c>
      <c r="BH481" s="6">
        <f>IF(OR(原始資料!$A481="",59&gt;設定!$B$3,原始資料!BJ481=""),"",IF(AND(原始資料!BI481&lt;&gt;"",原始資料!BJ481=原始資料!BI481),N(BG481)+1,1))</f>
        <v/>
      </c>
      <c r="BI481" s="6">
        <f>IF(OR(原始資料!$A481="",60&gt;設定!$B$3,原始資料!BK481=""),"",IF(AND(原始資料!BJ481&lt;&gt;"",原始資料!BK481=原始資料!BJ481),N(BH481)+1,1))</f>
        <v/>
      </c>
    </row>
    <row r="482">
      <c r="A482" s="6">
        <f>IF(原始資料!$A482="","",原始資料!$A482)</f>
        <v/>
      </c>
      <c r="B482" s="6">
        <f>IF(OR(原始資料!$A482="",1&gt;設定!$B$3,原始資料!D482=""),"",1)</f>
        <v/>
      </c>
      <c r="C482" s="6">
        <f>IF(OR(原始資料!$A482="",2&gt;設定!$B$3,原始資料!E482=""),"",IF(AND(原始資料!D482&lt;&gt;"",原始資料!E482=原始資料!D482),N(B482)+1,1))</f>
        <v/>
      </c>
      <c r="D482" s="6">
        <f>IF(OR(原始資料!$A482="",3&gt;設定!$B$3,原始資料!F482=""),"",IF(AND(原始資料!E482&lt;&gt;"",原始資料!F482=原始資料!E482),N(C482)+1,1))</f>
        <v/>
      </c>
      <c r="E482" s="6">
        <f>IF(OR(原始資料!$A482="",4&gt;設定!$B$3,原始資料!G482=""),"",IF(AND(原始資料!F482&lt;&gt;"",原始資料!G482=原始資料!F482),N(D482)+1,1))</f>
        <v/>
      </c>
      <c r="F482" s="6">
        <f>IF(OR(原始資料!$A482="",5&gt;設定!$B$3,原始資料!H482=""),"",IF(AND(原始資料!G482&lt;&gt;"",原始資料!H482=原始資料!G482),N(E482)+1,1))</f>
        <v/>
      </c>
      <c r="G482" s="6">
        <f>IF(OR(原始資料!$A482="",6&gt;設定!$B$3,原始資料!I482=""),"",IF(AND(原始資料!H482&lt;&gt;"",原始資料!I482=原始資料!H482),N(F482)+1,1))</f>
        <v/>
      </c>
      <c r="H482" s="6">
        <f>IF(OR(原始資料!$A482="",7&gt;設定!$B$3,原始資料!J482=""),"",IF(AND(原始資料!I482&lt;&gt;"",原始資料!J482=原始資料!I482),N(G482)+1,1))</f>
        <v/>
      </c>
      <c r="I482" s="6">
        <f>IF(OR(原始資料!$A482="",8&gt;設定!$B$3,原始資料!K482=""),"",IF(AND(原始資料!J482&lt;&gt;"",原始資料!K482=原始資料!J482),N(H482)+1,1))</f>
        <v/>
      </c>
      <c r="J482" s="6">
        <f>IF(OR(原始資料!$A482="",9&gt;設定!$B$3,原始資料!L482=""),"",IF(AND(原始資料!K482&lt;&gt;"",原始資料!L482=原始資料!K482),N(I482)+1,1))</f>
        <v/>
      </c>
      <c r="K482" s="6">
        <f>IF(OR(原始資料!$A482="",10&gt;設定!$B$3,原始資料!M482=""),"",IF(AND(原始資料!L482&lt;&gt;"",原始資料!M482=原始資料!L482),N(J482)+1,1))</f>
        <v/>
      </c>
      <c r="L482" s="6">
        <f>IF(OR(原始資料!$A482="",11&gt;設定!$B$3,原始資料!N482=""),"",IF(AND(原始資料!M482&lt;&gt;"",原始資料!N482=原始資料!M482),N(K482)+1,1))</f>
        <v/>
      </c>
      <c r="M482" s="6">
        <f>IF(OR(原始資料!$A482="",12&gt;設定!$B$3,原始資料!O482=""),"",IF(AND(原始資料!N482&lt;&gt;"",原始資料!O482=原始資料!N482),N(L482)+1,1))</f>
        <v/>
      </c>
      <c r="N482" s="6">
        <f>IF(OR(原始資料!$A482="",13&gt;設定!$B$3,原始資料!P482=""),"",IF(AND(原始資料!O482&lt;&gt;"",原始資料!P482=原始資料!O482),N(M482)+1,1))</f>
        <v/>
      </c>
      <c r="O482" s="6">
        <f>IF(OR(原始資料!$A482="",14&gt;設定!$B$3,原始資料!Q482=""),"",IF(AND(原始資料!P482&lt;&gt;"",原始資料!Q482=原始資料!P482),N(N482)+1,1))</f>
        <v/>
      </c>
      <c r="P482" s="6">
        <f>IF(OR(原始資料!$A482="",15&gt;設定!$B$3,原始資料!R482=""),"",IF(AND(原始資料!Q482&lt;&gt;"",原始資料!R482=原始資料!Q482),N(O482)+1,1))</f>
        <v/>
      </c>
      <c r="Q482" s="6">
        <f>IF(OR(原始資料!$A482="",16&gt;設定!$B$3,原始資料!S482=""),"",IF(AND(原始資料!R482&lt;&gt;"",原始資料!S482=原始資料!R482),N(P482)+1,1))</f>
        <v/>
      </c>
      <c r="R482" s="6">
        <f>IF(OR(原始資料!$A482="",17&gt;設定!$B$3,原始資料!T482=""),"",IF(AND(原始資料!S482&lt;&gt;"",原始資料!T482=原始資料!S482),N(Q482)+1,1))</f>
        <v/>
      </c>
      <c r="S482" s="6">
        <f>IF(OR(原始資料!$A482="",18&gt;設定!$B$3,原始資料!U482=""),"",IF(AND(原始資料!T482&lt;&gt;"",原始資料!U482=原始資料!T482),N(R482)+1,1))</f>
        <v/>
      </c>
      <c r="T482" s="6">
        <f>IF(OR(原始資料!$A482="",19&gt;設定!$B$3,原始資料!V482=""),"",IF(AND(原始資料!U482&lt;&gt;"",原始資料!V482=原始資料!U482),N(S482)+1,1))</f>
        <v/>
      </c>
      <c r="U482" s="6">
        <f>IF(OR(原始資料!$A482="",20&gt;設定!$B$3,原始資料!W482=""),"",IF(AND(原始資料!V482&lt;&gt;"",原始資料!W482=原始資料!V482),N(T482)+1,1))</f>
        <v/>
      </c>
      <c r="V482" s="6">
        <f>IF(OR(原始資料!$A482="",21&gt;設定!$B$3,原始資料!X482=""),"",IF(AND(原始資料!W482&lt;&gt;"",原始資料!X482=原始資料!W482),N(U482)+1,1))</f>
        <v/>
      </c>
      <c r="W482" s="6">
        <f>IF(OR(原始資料!$A482="",22&gt;設定!$B$3,原始資料!Y482=""),"",IF(AND(原始資料!X482&lt;&gt;"",原始資料!Y482=原始資料!X482),N(V482)+1,1))</f>
        <v/>
      </c>
      <c r="X482" s="6">
        <f>IF(OR(原始資料!$A482="",23&gt;設定!$B$3,原始資料!Z482=""),"",IF(AND(原始資料!Y482&lt;&gt;"",原始資料!Z482=原始資料!Y482),N(W482)+1,1))</f>
        <v/>
      </c>
      <c r="Y482" s="6">
        <f>IF(OR(原始資料!$A482="",24&gt;設定!$B$3,原始資料!AA482=""),"",IF(AND(原始資料!Z482&lt;&gt;"",原始資料!AA482=原始資料!Z482),N(X482)+1,1))</f>
        <v/>
      </c>
      <c r="Z482" s="6">
        <f>IF(OR(原始資料!$A482="",25&gt;設定!$B$3,原始資料!AB482=""),"",IF(AND(原始資料!AA482&lt;&gt;"",原始資料!AB482=原始資料!AA482),N(Y482)+1,1))</f>
        <v/>
      </c>
      <c r="AA482" s="6">
        <f>IF(OR(原始資料!$A482="",26&gt;設定!$B$3,原始資料!AC482=""),"",IF(AND(原始資料!AB482&lt;&gt;"",原始資料!AC482=原始資料!AB482),N(Z482)+1,1))</f>
        <v/>
      </c>
      <c r="AB482" s="6">
        <f>IF(OR(原始資料!$A482="",27&gt;設定!$B$3,原始資料!AD482=""),"",IF(AND(原始資料!AC482&lt;&gt;"",原始資料!AD482=原始資料!AC482),N(AA482)+1,1))</f>
        <v/>
      </c>
      <c r="AC482" s="6">
        <f>IF(OR(原始資料!$A482="",28&gt;設定!$B$3,原始資料!AE482=""),"",IF(AND(原始資料!AD482&lt;&gt;"",原始資料!AE482=原始資料!AD482),N(AB482)+1,1))</f>
        <v/>
      </c>
      <c r="AD482" s="6">
        <f>IF(OR(原始資料!$A482="",29&gt;設定!$B$3,原始資料!AF482=""),"",IF(AND(原始資料!AE482&lt;&gt;"",原始資料!AF482=原始資料!AE482),N(AC482)+1,1))</f>
        <v/>
      </c>
      <c r="AE482" s="6">
        <f>IF(OR(原始資料!$A482="",30&gt;設定!$B$3,原始資料!AG482=""),"",IF(AND(原始資料!AF482&lt;&gt;"",原始資料!AG482=原始資料!AF482),N(AD482)+1,1))</f>
        <v/>
      </c>
      <c r="AF482" s="6">
        <f>IF(OR(原始資料!$A482="",31&gt;設定!$B$3,原始資料!AH482=""),"",IF(AND(原始資料!AG482&lt;&gt;"",原始資料!AH482=原始資料!AG482),N(AE482)+1,1))</f>
        <v/>
      </c>
      <c r="AG482" s="6">
        <f>IF(OR(原始資料!$A482="",32&gt;設定!$B$3,原始資料!AI482=""),"",IF(AND(原始資料!AH482&lt;&gt;"",原始資料!AI482=原始資料!AH482),N(AF482)+1,1))</f>
        <v/>
      </c>
      <c r="AH482" s="6">
        <f>IF(OR(原始資料!$A482="",33&gt;設定!$B$3,原始資料!AJ482=""),"",IF(AND(原始資料!AI482&lt;&gt;"",原始資料!AJ482=原始資料!AI482),N(AG482)+1,1))</f>
        <v/>
      </c>
      <c r="AI482" s="6">
        <f>IF(OR(原始資料!$A482="",34&gt;設定!$B$3,原始資料!AK482=""),"",IF(AND(原始資料!AJ482&lt;&gt;"",原始資料!AK482=原始資料!AJ482),N(AH482)+1,1))</f>
        <v/>
      </c>
      <c r="AJ482" s="6">
        <f>IF(OR(原始資料!$A482="",35&gt;設定!$B$3,原始資料!AL482=""),"",IF(AND(原始資料!AK482&lt;&gt;"",原始資料!AL482=原始資料!AK482),N(AI482)+1,1))</f>
        <v/>
      </c>
      <c r="AK482" s="6">
        <f>IF(OR(原始資料!$A482="",36&gt;設定!$B$3,原始資料!AM482=""),"",IF(AND(原始資料!AL482&lt;&gt;"",原始資料!AM482=原始資料!AL482),N(AJ482)+1,1))</f>
        <v/>
      </c>
      <c r="AL482" s="6">
        <f>IF(OR(原始資料!$A482="",37&gt;設定!$B$3,原始資料!AN482=""),"",IF(AND(原始資料!AM482&lt;&gt;"",原始資料!AN482=原始資料!AM482),N(AK482)+1,1))</f>
        <v/>
      </c>
      <c r="AM482" s="6">
        <f>IF(OR(原始資料!$A482="",38&gt;設定!$B$3,原始資料!AO482=""),"",IF(AND(原始資料!AN482&lt;&gt;"",原始資料!AO482=原始資料!AN482),N(AL482)+1,1))</f>
        <v/>
      </c>
      <c r="AN482" s="6">
        <f>IF(OR(原始資料!$A482="",39&gt;設定!$B$3,原始資料!AP482=""),"",IF(AND(原始資料!AO482&lt;&gt;"",原始資料!AP482=原始資料!AO482),N(AM482)+1,1))</f>
        <v/>
      </c>
      <c r="AO482" s="6">
        <f>IF(OR(原始資料!$A482="",40&gt;設定!$B$3,原始資料!AQ482=""),"",IF(AND(原始資料!AP482&lt;&gt;"",原始資料!AQ482=原始資料!AP482),N(AN482)+1,1))</f>
        <v/>
      </c>
      <c r="AP482" s="6">
        <f>IF(OR(原始資料!$A482="",41&gt;設定!$B$3,原始資料!AR482=""),"",IF(AND(原始資料!AQ482&lt;&gt;"",原始資料!AR482=原始資料!AQ482),N(AO482)+1,1))</f>
        <v/>
      </c>
      <c r="AQ482" s="6">
        <f>IF(OR(原始資料!$A482="",42&gt;設定!$B$3,原始資料!AS482=""),"",IF(AND(原始資料!AR482&lt;&gt;"",原始資料!AS482=原始資料!AR482),N(AP482)+1,1))</f>
        <v/>
      </c>
      <c r="AR482" s="6">
        <f>IF(OR(原始資料!$A482="",43&gt;設定!$B$3,原始資料!AT482=""),"",IF(AND(原始資料!AS482&lt;&gt;"",原始資料!AT482=原始資料!AS482),N(AQ482)+1,1))</f>
        <v/>
      </c>
      <c r="AS482" s="6">
        <f>IF(OR(原始資料!$A482="",44&gt;設定!$B$3,原始資料!AU482=""),"",IF(AND(原始資料!AT482&lt;&gt;"",原始資料!AU482=原始資料!AT482),N(AR482)+1,1))</f>
        <v/>
      </c>
      <c r="AT482" s="6">
        <f>IF(OR(原始資料!$A482="",45&gt;設定!$B$3,原始資料!AV482=""),"",IF(AND(原始資料!AU482&lt;&gt;"",原始資料!AV482=原始資料!AU482),N(AS482)+1,1))</f>
        <v/>
      </c>
      <c r="AU482" s="6">
        <f>IF(OR(原始資料!$A482="",46&gt;設定!$B$3,原始資料!AW482=""),"",IF(AND(原始資料!AV482&lt;&gt;"",原始資料!AW482=原始資料!AV482),N(AT482)+1,1))</f>
        <v/>
      </c>
      <c r="AV482" s="6">
        <f>IF(OR(原始資料!$A482="",47&gt;設定!$B$3,原始資料!AX482=""),"",IF(AND(原始資料!AW482&lt;&gt;"",原始資料!AX482=原始資料!AW482),N(AU482)+1,1))</f>
        <v/>
      </c>
      <c r="AW482" s="6">
        <f>IF(OR(原始資料!$A482="",48&gt;設定!$B$3,原始資料!AY482=""),"",IF(AND(原始資料!AX482&lt;&gt;"",原始資料!AY482=原始資料!AX482),N(AV482)+1,1))</f>
        <v/>
      </c>
      <c r="AX482" s="6">
        <f>IF(OR(原始資料!$A482="",49&gt;設定!$B$3,原始資料!AZ482=""),"",IF(AND(原始資料!AY482&lt;&gt;"",原始資料!AZ482=原始資料!AY482),N(AW482)+1,1))</f>
        <v/>
      </c>
      <c r="AY482" s="6">
        <f>IF(OR(原始資料!$A482="",50&gt;設定!$B$3,原始資料!BA482=""),"",IF(AND(原始資料!AZ482&lt;&gt;"",原始資料!BA482=原始資料!AZ482),N(AX482)+1,1))</f>
        <v/>
      </c>
      <c r="AZ482" s="6">
        <f>IF(OR(原始資料!$A482="",51&gt;設定!$B$3,原始資料!BB482=""),"",IF(AND(原始資料!BA482&lt;&gt;"",原始資料!BB482=原始資料!BA482),N(AY482)+1,1))</f>
        <v/>
      </c>
      <c r="BA482" s="6">
        <f>IF(OR(原始資料!$A482="",52&gt;設定!$B$3,原始資料!BC482=""),"",IF(AND(原始資料!BB482&lt;&gt;"",原始資料!BC482=原始資料!BB482),N(AZ482)+1,1))</f>
        <v/>
      </c>
      <c r="BB482" s="6">
        <f>IF(OR(原始資料!$A482="",53&gt;設定!$B$3,原始資料!BD482=""),"",IF(AND(原始資料!BC482&lt;&gt;"",原始資料!BD482=原始資料!BC482),N(BA482)+1,1))</f>
        <v/>
      </c>
      <c r="BC482" s="6">
        <f>IF(OR(原始資料!$A482="",54&gt;設定!$B$3,原始資料!BE482=""),"",IF(AND(原始資料!BD482&lt;&gt;"",原始資料!BE482=原始資料!BD482),N(BB482)+1,1))</f>
        <v/>
      </c>
      <c r="BD482" s="6">
        <f>IF(OR(原始資料!$A482="",55&gt;設定!$B$3,原始資料!BF482=""),"",IF(AND(原始資料!BE482&lt;&gt;"",原始資料!BF482=原始資料!BE482),N(BC482)+1,1))</f>
        <v/>
      </c>
      <c r="BE482" s="6">
        <f>IF(OR(原始資料!$A482="",56&gt;設定!$B$3,原始資料!BG482=""),"",IF(AND(原始資料!BF482&lt;&gt;"",原始資料!BG482=原始資料!BF482),N(BD482)+1,1))</f>
        <v/>
      </c>
      <c r="BF482" s="6">
        <f>IF(OR(原始資料!$A482="",57&gt;設定!$B$3,原始資料!BH482=""),"",IF(AND(原始資料!BG482&lt;&gt;"",原始資料!BH482=原始資料!BG482),N(BE482)+1,1))</f>
        <v/>
      </c>
      <c r="BG482" s="6">
        <f>IF(OR(原始資料!$A482="",58&gt;設定!$B$3,原始資料!BI482=""),"",IF(AND(原始資料!BH482&lt;&gt;"",原始資料!BI482=原始資料!BH482),N(BF482)+1,1))</f>
        <v/>
      </c>
      <c r="BH482" s="6">
        <f>IF(OR(原始資料!$A482="",59&gt;設定!$B$3,原始資料!BJ482=""),"",IF(AND(原始資料!BI482&lt;&gt;"",原始資料!BJ482=原始資料!BI482),N(BG482)+1,1))</f>
        <v/>
      </c>
      <c r="BI482" s="6">
        <f>IF(OR(原始資料!$A482="",60&gt;設定!$B$3,原始資料!BK482=""),"",IF(AND(原始資料!BJ482&lt;&gt;"",原始資料!BK482=原始資料!BJ482),N(BH482)+1,1))</f>
        <v/>
      </c>
    </row>
    <row r="483">
      <c r="A483" s="6">
        <f>IF(原始資料!$A483="","",原始資料!$A483)</f>
        <v/>
      </c>
      <c r="B483" s="6">
        <f>IF(OR(原始資料!$A483="",1&gt;設定!$B$3,原始資料!D483=""),"",1)</f>
        <v/>
      </c>
      <c r="C483" s="6">
        <f>IF(OR(原始資料!$A483="",2&gt;設定!$B$3,原始資料!E483=""),"",IF(AND(原始資料!D483&lt;&gt;"",原始資料!E483=原始資料!D483),N(B483)+1,1))</f>
        <v/>
      </c>
      <c r="D483" s="6">
        <f>IF(OR(原始資料!$A483="",3&gt;設定!$B$3,原始資料!F483=""),"",IF(AND(原始資料!E483&lt;&gt;"",原始資料!F483=原始資料!E483),N(C483)+1,1))</f>
        <v/>
      </c>
      <c r="E483" s="6">
        <f>IF(OR(原始資料!$A483="",4&gt;設定!$B$3,原始資料!G483=""),"",IF(AND(原始資料!F483&lt;&gt;"",原始資料!G483=原始資料!F483),N(D483)+1,1))</f>
        <v/>
      </c>
      <c r="F483" s="6">
        <f>IF(OR(原始資料!$A483="",5&gt;設定!$B$3,原始資料!H483=""),"",IF(AND(原始資料!G483&lt;&gt;"",原始資料!H483=原始資料!G483),N(E483)+1,1))</f>
        <v/>
      </c>
      <c r="G483" s="6">
        <f>IF(OR(原始資料!$A483="",6&gt;設定!$B$3,原始資料!I483=""),"",IF(AND(原始資料!H483&lt;&gt;"",原始資料!I483=原始資料!H483),N(F483)+1,1))</f>
        <v/>
      </c>
      <c r="H483" s="6">
        <f>IF(OR(原始資料!$A483="",7&gt;設定!$B$3,原始資料!J483=""),"",IF(AND(原始資料!I483&lt;&gt;"",原始資料!J483=原始資料!I483),N(G483)+1,1))</f>
        <v/>
      </c>
      <c r="I483" s="6">
        <f>IF(OR(原始資料!$A483="",8&gt;設定!$B$3,原始資料!K483=""),"",IF(AND(原始資料!J483&lt;&gt;"",原始資料!K483=原始資料!J483),N(H483)+1,1))</f>
        <v/>
      </c>
      <c r="J483" s="6">
        <f>IF(OR(原始資料!$A483="",9&gt;設定!$B$3,原始資料!L483=""),"",IF(AND(原始資料!K483&lt;&gt;"",原始資料!L483=原始資料!K483),N(I483)+1,1))</f>
        <v/>
      </c>
      <c r="K483" s="6">
        <f>IF(OR(原始資料!$A483="",10&gt;設定!$B$3,原始資料!M483=""),"",IF(AND(原始資料!L483&lt;&gt;"",原始資料!M483=原始資料!L483),N(J483)+1,1))</f>
        <v/>
      </c>
      <c r="L483" s="6">
        <f>IF(OR(原始資料!$A483="",11&gt;設定!$B$3,原始資料!N483=""),"",IF(AND(原始資料!M483&lt;&gt;"",原始資料!N483=原始資料!M483),N(K483)+1,1))</f>
        <v/>
      </c>
      <c r="M483" s="6">
        <f>IF(OR(原始資料!$A483="",12&gt;設定!$B$3,原始資料!O483=""),"",IF(AND(原始資料!N483&lt;&gt;"",原始資料!O483=原始資料!N483),N(L483)+1,1))</f>
        <v/>
      </c>
      <c r="N483" s="6">
        <f>IF(OR(原始資料!$A483="",13&gt;設定!$B$3,原始資料!P483=""),"",IF(AND(原始資料!O483&lt;&gt;"",原始資料!P483=原始資料!O483),N(M483)+1,1))</f>
        <v/>
      </c>
      <c r="O483" s="6">
        <f>IF(OR(原始資料!$A483="",14&gt;設定!$B$3,原始資料!Q483=""),"",IF(AND(原始資料!P483&lt;&gt;"",原始資料!Q483=原始資料!P483),N(N483)+1,1))</f>
        <v/>
      </c>
      <c r="P483" s="6">
        <f>IF(OR(原始資料!$A483="",15&gt;設定!$B$3,原始資料!R483=""),"",IF(AND(原始資料!Q483&lt;&gt;"",原始資料!R483=原始資料!Q483),N(O483)+1,1))</f>
        <v/>
      </c>
      <c r="Q483" s="6">
        <f>IF(OR(原始資料!$A483="",16&gt;設定!$B$3,原始資料!S483=""),"",IF(AND(原始資料!R483&lt;&gt;"",原始資料!S483=原始資料!R483),N(P483)+1,1))</f>
        <v/>
      </c>
      <c r="R483" s="6">
        <f>IF(OR(原始資料!$A483="",17&gt;設定!$B$3,原始資料!T483=""),"",IF(AND(原始資料!S483&lt;&gt;"",原始資料!T483=原始資料!S483),N(Q483)+1,1))</f>
        <v/>
      </c>
      <c r="S483" s="6">
        <f>IF(OR(原始資料!$A483="",18&gt;設定!$B$3,原始資料!U483=""),"",IF(AND(原始資料!T483&lt;&gt;"",原始資料!U483=原始資料!T483),N(R483)+1,1))</f>
        <v/>
      </c>
      <c r="T483" s="6">
        <f>IF(OR(原始資料!$A483="",19&gt;設定!$B$3,原始資料!V483=""),"",IF(AND(原始資料!U483&lt;&gt;"",原始資料!V483=原始資料!U483),N(S483)+1,1))</f>
        <v/>
      </c>
      <c r="U483" s="6">
        <f>IF(OR(原始資料!$A483="",20&gt;設定!$B$3,原始資料!W483=""),"",IF(AND(原始資料!V483&lt;&gt;"",原始資料!W483=原始資料!V483),N(T483)+1,1))</f>
        <v/>
      </c>
      <c r="V483" s="6">
        <f>IF(OR(原始資料!$A483="",21&gt;設定!$B$3,原始資料!X483=""),"",IF(AND(原始資料!W483&lt;&gt;"",原始資料!X483=原始資料!W483),N(U483)+1,1))</f>
        <v/>
      </c>
      <c r="W483" s="6">
        <f>IF(OR(原始資料!$A483="",22&gt;設定!$B$3,原始資料!Y483=""),"",IF(AND(原始資料!X483&lt;&gt;"",原始資料!Y483=原始資料!X483),N(V483)+1,1))</f>
        <v/>
      </c>
      <c r="X483" s="6">
        <f>IF(OR(原始資料!$A483="",23&gt;設定!$B$3,原始資料!Z483=""),"",IF(AND(原始資料!Y483&lt;&gt;"",原始資料!Z483=原始資料!Y483),N(W483)+1,1))</f>
        <v/>
      </c>
      <c r="Y483" s="6">
        <f>IF(OR(原始資料!$A483="",24&gt;設定!$B$3,原始資料!AA483=""),"",IF(AND(原始資料!Z483&lt;&gt;"",原始資料!AA483=原始資料!Z483),N(X483)+1,1))</f>
        <v/>
      </c>
      <c r="Z483" s="6">
        <f>IF(OR(原始資料!$A483="",25&gt;設定!$B$3,原始資料!AB483=""),"",IF(AND(原始資料!AA483&lt;&gt;"",原始資料!AB483=原始資料!AA483),N(Y483)+1,1))</f>
        <v/>
      </c>
      <c r="AA483" s="6">
        <f>IF(OR(原始資料!$A483="",26&gt;設定!$B$3,原始資料!AC483=""),"",IF(AND(原始資料!AB483&lt;&gt;"",原始資料!AC483=原始資料!AB483),N(Z483)+1,1))</f>
        <v/>
      </c>
      <c r="AB483" s="6">
        <f>IF(OR(原始資料!$A483="",27&gt;設定!$B$3,原始資料!AD483=""),"",IF(AND(原始資料!AC483&lt;&gt;"",原始資料!AD483=原始資料!AC483),N(AA483)+1,1))</f>
        <v/>
      </c>
      <c r="AC483" s="6">
        <f>IF(OR(原始資料!$A483="",28&gt;設定!$B$3,原始資料!AE483=""),"",IF(AND(原始資料!AD483&lt;&gt;"",原始資料!AE483=原始資料!AD483),N(AB483)+1,1))</f>
        <v/>
      </c>
      <c r="AD483" s="6">
        <f>IF(OR(原始資料!$A483="",29&gt;設定!$B$3,原始資料!AF483=""),"",IF(AND(原始資料!AE483&lt;&gt;"",原始資料!AF483=原始資料!AE483),N(AC483)+1,1))</f>
        <v/>
      </c>
      <c r="AE483" s="6">
        <f>IF(OR(原始資料!$A483="",30&gt;設定!$B$3,原始資料!AG483=""),"",IF(AND(原始資料!AF483&lt;&gt;"",原始資料!AG483=原始資料!AF483),N(AD483)+1,1))</f>
        <v/>
      </c>
      <c r="AF483" s="6">
        <f>IF(OR(原始資料!$A483="",31&gt;設定!$B$3,原始資料!AH483=""),"",IF(AND(原始資料!AG483&lt;&gt;"",原始資料!AH483=原始資料!AG483),N(AE483)+1,1))</f>
        <v/>
      </c>
      <c r="AG483" s="6">
        <f>IF(OR(原始資料!$A483="",32&gt;設定!$B$3,原始資料!AI483=""),"",IF(AND(原始資料!AH483&lt;&gt;"",原始資料!AI483=原始資料!AH483),N(AF483)+1,1))</f>
        <v/>
      </c>
      <c r="AH483" s="6">
        <f>IF(OR(原始資料!$A483="",33&gt;設定!$B$3,原始資料!AJ483=""),"",IF(AND(原始資料!AI483&lt;&gt;"",原始資料!AJ483=原始資料!AI483),N(AG483)+1,1))</f>
        <v/>
      </c>
      <c r="AI483" s="6">
        <f>IF(OR(原始資料!$A483="",34&gt;設定!$B$3,原始資料!AK483=""),"",IF(AND(原始資料!AJ483&lt;&gt;"",原始資料!AK483=原始資料!AJ483),N(AH483)+1,1))</f>
        <v/>
      </c>
      <c r="AJ483" s="6">
        <f>IF(OR(原始資料!$A483="",35&gt;設定!$B$3,原始資料!AL483=""),"",IF(AND(原始資料!AK483&lt;&gt;"",原始資料!AL483=原始資料!AK483),N(AI483)+1,1))</f>
        <v/>
      </c>
      <c r="AK483" s="6">
        <f>IF(OR(原始資料!$A483="",36&gt;設定!$B$3,原始資料!AM483=""),"",IF(AND(原始資料!AL483&lt;&gt;"",原始資料!AM483=原始資料!AL483),N(AJ483)+1,1))</f>
        <v/>
      </c>
      <c r="AL483" s="6">
        <f>IF(OR(原始資料!$A483="",37&gt;設定!$B$3,原始資料!AN483=""),"",IF(AND(原始資料!AM483&lt;&gt;"",原始資料!AN483=原始資料!AM483),N(AK483)+1,1))</f>
        <v/>
      </c>
      <c r="AM483" s="6">
        <f>IF(OR(原始資料!$A483="",38&gt;設定!$B$3,原始資料!AO483=""),"",IF(AND(原始資料!AN483&lt;&gt;"",原始資料!AO483=原始資料!AN483),N(AL483)+1,1))</f>
        <v/>
      </c>
      <c r="AN483" s="6">
        <f>IF(OR(原始資料!$A483="",39&gt;設定!$B$3,原始資料!AP483=""),"",IF(AND(原始資料!AO483&lt;&gt;"",原始資料!AP483=原始資料!AO483),N(AM483)+1,1))</f>
        <v/>
      </c>
      <c r="AO483" s="6">
        <f>IF(OR(原始資料!$A483="",40&gt;設定!$B$3,原始資料!AQ483=""),"",IF(AND(原始資料!AP483&lt;&gt;"",原始資料!AQ483=原始資料!AP483),N(AN483)+1,1))</f>
        <v/>
      </c>
      <c r="AP483" s="6">
        <f>IF(OR(原始資料!$A483="",41&gt;設定!$B$3,原始資料!AR483=""),"",IF(AND(原始資料!AQ483&lt;&gt;"",原始資料!AR483=原始資料!AQ483),N(AO483)+1,1))</f>
        <v/>
      </c>
      <c r="AQ483" s="6">
        <f>IF(OR(原始資料!$A483="",42&gt;設定!$B$3,原始資料!AS483=""),"",IF(AND(原始資料!AR483&lt;&gt;"",原始資料!AS483=原始資料!AR483),N(AP483)+1,1))</f>
        <v/>
      </c>
      <c r="AR483" s="6">
        <f>IF(OR(原始資料!$A483="",43&gt;設定!$B$3,原始資料!AT483=""),"",IF(AND(原始資料!AS483&lt;&gt;"",原始資料!AT483=原始資料!AS483),N(AQ483)+1,1))</f>
        <v/>
      </c>
      <c r="AS483" s="6">
        <f>IF(OR(原始資料!$A483="",44&gt;設定!$B$3,原始資料!AU483=""),"",IF(AND(原始資料!AT483&lt;&gt;"",原始資料!AU483=原始資料!AT483),N(AR483)+1,1))</f>
        <v/>
      </c>
      <c r="AT483" s="6">
        <f>IF(OR(原始資料!$A483="",45&gt;設定!$B$3,原始資料!AV483=""),"",IF(AND(原始資料!AU483&lt;&gt;"",原始資料!AV483=原始資料!AU483),N(AS483)+1,1))</f>
        <v/>
      </c>
      <c r="AU483" s="6">
        <f>IF(OR(原始資料!$A483="",46&gt;設定!$B$3,原始資料!AW483=""),"",IF(AND(原始資料!AV483&lt;&gt;"",原始資料!AW483=原始資料!AV483),N(AT483)+1,1))</f>
        <v/>
      </c>
      <c r="AV483" s="6">
        <f>IF(OR(原始資料!$A483="",47&gt;設定!$B$3,原始資料!AX483=""),"",IF(AND(原始資料!AW483&lt;&gt;"",原始資料!AX483=原始資料!AW483),N(AU483)+1,1))</f>
        <v/>
      </c>
      <c r="AW483" s="6">
        <f>IF(OR(原始資料!$A483="",48&gt;設定!$B$3,原始資料!AY483=""),"",IF(AND(原始資料!AX483&lt;&gt;"",原始資料!AY483=原始資料!AX483),N(AV483)+1,1))</f>
        <v/>
      </c>
      <c r="AX483" s="6">
        <f>IF(OR(原始資料!$A483="",49&gt;設定!$B$3,原始資料!AZ483=""),"",IF(AND(原始資料!AY483&lt;&gt;"",原始資料!AZ483=原始資料!AY483),N(AW483)+1,1))</f>
        <v/>
      </c>
      <c r="AY483" s="6">
        <f>IF(OR(原始資料!$A483="",50&gt;設定!$B$3,原始資料!BA483=""),"",IF(AND(原始資料!AZ483&lt;&gt;"",原始資料!BA483=原始資料!AZ483),N(AX483)+1,1))</f>
        <v/>
      </c>
      <c r="AZ483" s="6">
        <f>IF(OR(原始資料!$A483="",51&gt;設定!$B$3,原始資料!BB483=""),"",IF(AND(原始資料!BA483&lt;&gt;"",原始資料!BB483=原始資料!BA483),N(AY483)+1,1))</f>
        <v/>
      </c>
      <c r="BA483" s="6">
        <f>IF(OR(原始資料!$A483="",52&gt;設定!$B$3,原始資料!BC483=""),"",IF(AND(原始資料!BB483&lt;&gt;"",原始資料!BC483=原始資料!BB483),N(AZ483)+1,1))</f>
        <v/>
      </c>
      <c r="BB483" s="6">
        <f>IF(OR(原始資料!$A483="",53&gt;設定!$B$3,原始資料!BD483=""),"",IF(AND(原始資料!BC483&lt;&gt;"",原始資料!BD483=原始資料!BC483),N(BA483)+1,1))</f>
        <v/>
      </c>
      <c r="BC483" s="6">
        <f>IF(OR(原始資料!$A483="",54&gt;設定!$B$3,原始資料!BE483=""),"",IF(AND(原始資料!BD483&lt;&gt;"",原始資料!BE483=原始資料!BD483),N(BB483)+1,1))</f>
        <v/>
      </c>
      <c r="BD483" s="6">
        <f>IF(OR(原始資料!$A483="",55&gt;設定!$B$3,原始資料!BF483=""),"",IF(AND(原始資料!BE483&lt;&gt;"",原始資料!BF483=原始資料!BE483),N(BC483)+1,1))</f>
        <v/>
      </c>
      <c r="BE483" s="6">
        <f>IF(OR(原始資料!$A483="",56&gt;設定!$B$3,原始資料!BG483=""),"",IF(AND(原始資料!BF483&lt;&gt;"",原始資料!BG483=原始資料!BF483),N(BD483)+1,1))</f>
        <v/>
      </c>
      <c r="BF483" s="6">
        <f>IF(OR(原始資料!$A483="",57&gt;設定!$B$3,原始資料!BH483=""),"",IF(AND(原始資料!BG483&lt;&gt;"",原始資料!BH483=原始資料!BG483),N(BE483)+1,1))</f>
        <v/>
      </c>
      <c r="BG483" s="6">
        <f>IF(OR(原始資料!$A483="",58&gt;設定!$B$3,原始資料!BI483=""),"",IF(AND(原始資料!BH483&lt;&gt;"",原始資料!BI483=原始資料!BH483),N(BF483)+1,1))</f>
        <v/>
      </c>
      <c r="BH483" s="6">
        <f>IF(OR(原始資料!$A483="",59&gt;設定!$B$3,原始資料!BJ483=""),"",IF(AND(原始資料!BI483&lt;&gt;"",原始資料!BJ483=原始資料!BI483),N(BG483)+1,1))</f>
        <v/>
      </c>
      <c r="BI483" s="6">
        <f>IF(OR(原始資料!$A483="",60&gt;設定!$B$3,原始資料!BK483=""),"",IF(AND(原始資料!BJ483&lt;&gt;"",原始資料!BK483=原始資料!BJ483),N(BH483)+1,1))</f>
        <v/>
      </c>
    </row>
    <row r="484">
      <c r="A484" s="6">
        <f>IF(原始資料!$A484="","",原始資料!$A484)</f>
        <v/>
      </c>
      <c r="B484" s="6">
        <f>IF(OR(原始資料!$A484="",1&gt;設定!$B$3,原始資料!D484=""),"",1)</f>
        <v/>
      </c>
      <c r="C484" s="6">
        <f>IF(OR(原始資料!$A484="",2&gt;設定!$B$3,原始資料!E484=""),"",IF(AND(原始資料!D484&lt;&gt;"",原始資料!E484=原始資料!D484),N(B484)+1,1))</f>
        <v/>
      </c>
      <c r="D484" s="6">
        <f>IF(OR(原始資料!$A484="",3&gt;設定!$B$3,原始資料!F484=""),"",IF(AND(原始資料!E484&lt;&gt;"",原始資料!F484=原始資料!E484),N(C484)+1,1))</f>
        <v/>
      </c>
      <c r="E484" s="6">
        <f>IF(OR(原始資料!$A484="",4&gt;設定!$B$3,原始資料!G484=""),"",IF(AND(原始資料!F484&lt;&gt;"",原始資料!G484=原始資料!F484),N(D484)+1,1))</f>
        <v/>
      </c>
      <c r="F484" s="6">
        <f>IF(OR(原始資料!$A484="",5&gt;設定!$B$3,原始資料!H484=""),"",IF(AND(原始資料!G484&lt;&gt;"",原始資料!H484=原始資料!G484),N(E484)+1,1))</f>
        <v/>
      </c>
      <c r="G484" s="6">
        <f>IF(OR(原始資料!$A484="",6&gt;設定!$B$3,原始資料!I484=""),"",IF(AND(原始資料!H484&lt;&gt;"",原始資料!I484=原始資料!H484),N(F484)+1,1))</f>
        <v/>
      </c>
      <c r="H484" s="6">
        <f>IF(OR(原始資料!$A484="",7&gt;設定!$B$3,原始資料!J484=""),"",IF(AND(原始資料!I484&lt;&gt;"",原始資料!J484=原始資料!I484),N(G484)+1,1))</f>
        <v/>
      </c>
      <c r="I484" s="6">
        <f>IF(OR(原始資料!$A484="",8&gt;設定!$B$3,原始資料!K484=""),"",IF(AND(原始資料!J484&lt;&gt;"",原始資料!K484=原始資料!J484),N(H484)+1,1))</f>
        <v/>
      </c>
      <c r="J484" s="6">
        <f>IF(OR(原始資料!$A484="",9&gt;設定!$B$3,原始資料!L484=""),"",IF(AND(原始資料!K484&lt;&gt;"",原始資料!L484=原始資料!K484),N(I484)+1,1))</f>
        <v/>
      </c>
      <c r="K484" s="6">
        <f>IF(OR(原始資料!$A484="",10&gt;設定!$B$3,原始資料!M484=""),"",IF(AND(原始資料!L484&lt;&gt;"",原始資料!M484=原始資料!L484),N(J484)+1,1))</f>
        <v/>
      </c>
      <c r="L484" s="6">
        <f>IF(OR(原始資料!$A484="",11&gt;設定!$B$3,原始資料!N484=""),"",IF(AND(原始資料!M484&lt;&gt;"",原始資料!N484=原始資料!M484),N(K484)+1,1))</f>
        <v/>
      </c>
      <c r="M484" s="6">
        <f>IF(OR(原始資料!$A484="",12&gt;設定!$B$3,原始資料!O484=""),"",IF(AND(原始資料!N484&lt;&gt;"",原始資料!O484=原始資料!N484),N(L484)+1,1))</f>
        <v/>
      </c>
      <c r="N484" s="6">
        <f>IF(OR(原始資料!$A484="",13&gt;設定!$B$3,原始資料!P484=""),"",IF(AND(原始資料!O484&lt;&gt;"",原始資料!P484=原始資料!O484),N(M484)+1,1))</f>
        <v/>
      </c>
      <c r="O484" s="6">
        <f>IF(OR(原始資料!$A484="",14&gt;設定!$B$3,原始資料!Q484=""),"",IF(AND(原始資料!P484&lt;&gt;"",原始資料!Q484=原始資料!P484),N(N484)+1,1))</f>
        <v/>
      </c>
      <c r="P484" s="6">
        <f>IF(OR(原始資料!$A484="",15&gt;設定!$B$3,原始資料!R484=""),"",IF(AND(原始資料!Q484&lt;&gt;"",原始資料!R484=原始資料!Q484),N(O484)+1,1))</f>
        <v/>
      </c>
      <c r="Q484" s="6">
        <f>IF(OR(原始資料!$A484="",16&gt;設定!$B$3,原始資料!S484=""),"",IF(AND(原始資料!R484&lt;&gt;"",原始資料!S484=原始資料!R484),N(P484)+1,1))</f>
        <v/>
      </c>
      <c r="R484" s="6">
        <f>IF(OR(原始資料!$A484="",17&gt;設定!$B$3,原始資料!T484=""),"",IF(AND(原始資料!S484&lt;&gt;"",原始資料!T484=原始資料!S484),N(Q484)+1,1))</f>
        <v/>
      </c>
      <c r="S484" s="6">
        <f>IF(OR(原始資料!$A484="",18&gt;設定!$B$3,原始資料!U484=""),"",IF(AND(原始資料!T484&lt;&gt;"",原始資料!U484=原始資料!T484),N(R484)+1,1))</f>
        <v/>
      </c>
      <c r="T484" s="6">
        <f>IF(OR(原始資料!$A484="",19&gt;設定!$B$3,原始資料!V484=""),"",IF(AND(原始資料!U484&lt;&gt;"",原始資料!V484=原始資料!U484),N(S484)+1,1))</f>
        <v/>
      </c>
      <c r="U484" s="6">
        <f>IF(OR(原始資料!$A484="",20&gt;設定!$B$3,原始資料!W484=""),"",IF(AND(原始資料!V484&lt;&gt;"",原始資料!W484=原始資料!V484),N(T484)+1,1))</f>
        <v/>
      </c>
      <c r="V484" s="6">
        <f>IF(OR(原始資料!$A484="",21&gt;設定!$B$3,原始資料!X484=""),"",IF(AND(原始資料!W484&lt;&gt;"",原始資料!X484=原始資料!W484),N(U484)+1,1))</f>
        <v/>
      </c>
      <c r="W484" s="6">
        <f>IF(OR(原始資料!$A484="",22&gt;設定!$B$3,原始資料!Y484=""),"",IF(AND(原始資料!X484&lt;&gt;"",原始資料!Y484=原始資料!X484),N(V484)+1,1))</f>
        <v/>
      </c>
      <c r="X484" s="6">
        <f>IF(OR(原始資料!$A484="",23&gt;設定!$B$3,原始資料!Z484=""),"",IF(AND(原始資料!Y484&lt;&gt;"",原始資料!Z484=原始資料!Y484),N(W484)+1,1))</f>
        <v/>
      </c>
      <c r="Y484" s="6">
        <f>IF(OR(原始資料!$A484="",24&gt;設定!$B$3,原始資料!AA484=""),"",IF(AND(原始資料!Z484&lt;&gt;"",原始資料!AA484=原始資料!Z484),N(X484)+1,1))</f>
        <v/>
      </c>
      <c r="Z484" s="6">
        <f>IF(OR(原始資料!$A484="",25&gt;設定!$B$3,原始資料!AB484=""),"",IF(AND(原始資料!AA484&lt;&gt;"",原始資料!AB484=原始資料!AA484),N(Y484)+1,1))</f>
        <v/>
      </c>
      <c r="AA484" s="6">
        <f>IF(OR(原始資料!$A484="",26&gt;設定!$B$3,原始資料!AC484=""),"",IF(AND(原始資料!AB484&lt;&gt;"",原始資料!AC484=原始資料!AB484),N(Z484)+1,1))</f>
        <v/>
      </c>
      <c r="AB484" s="6">
        <f>IF(OR(原始資料!$A484="",27&gt;設定!$B$3,原始資料!AD484=""),"",IF(AND(原始資料!AC484&lt;&gt;"",原始資料!AD484=原始資料!AC484),N(AA484)+1,1))</f>
        <v/>
      </c>
      <c r="AC484" s="6">
        <f>IF(OR(原始資料!$A484="",28&gt;設定!$B$3,原始資料!AE484=""),"",IF(AND(原始資料!AD484&lt;&gt;"",原始資料!AE484=原始資料!AD484),N(AB484)+1,1))</f>
        <v/>
      </c>
      <c r="AD484" s="6">
        <f>IF(OR(原始資料!$A484="",29&gt;設定!$B$3,原始資料!AF484=""),"",IF(AND(原始資料!AE484&lt;&gt;"",原始資料!AF484=原始資料!AE484),N(AC484)+1,1))</f>
        <v/>
      </c>
      <c r="AE484" s="6">
        <f>IF(OR(原始資料!$A484="",30&gt;設定!$B$3,原始資料!AG484=""),"",IF(AND(原始資料!AF484&lt;&gt;"",原始資料!AG484=原始資料!AF484),N(AD484)+1,1))</f>
        <v/>
      </c>
      <c r="AF484" s="6">
        <f>IF(OR(原始資料!$A484="",31&gt;設定!$B$3,原始資料!AH484=""),"",IF(AND(原始資料!AG484&lt;&gt;"",原始資料!AH484=原始資料!AG484),N(AE484)+1,1))</f>
        <v/>
      </c>
      <c r="AG484" s="6">
        <f>IF(OR(原始資料!$A484="",32&gt;設定!$B$3,原始資料!AI484=""),"",IF(AND(原始資料!AH484&lt;&gt;"",原始資料!AI484=原始資料!AH484),N(AF484)+1,1))</f>
        <v/>
      </c>
      <c r="AH484" s="6">
        <f>IF(OR(原始資料!$A484="",33&gt;設定!$B$3,原始資料!AJ484=""),"",IF(AND(原始資料!AI484&lt;&gt;"",原始資料!AJ484=原始資料!AI484),N(AG484)+1,1))</f>
        <v/>
      </c>
      <c r="AI484" s="6">
        <f>IF(OR(原始資料!$A484="",34&gt;設定!$B$3,原始資料!AK484=""),"",IF(AND(原始資料!AJ484&lt;&gt;"",原始資料!AK484=原始資料!AJ484),N(AH484)+1,1))</f>
        <v/>
      </c>
      <c r="AJ484" s="6">
        <f>IF(OR(原始資料!$A484="",35&gt;設定!$B$3,原始資料!AL484=""),"",IF(AND(原始資料!AK484&lt;&gt;"",原始資料!AL484=原始資料!AK484),N(AI484)+1,1))</f>
        <v/>
      </c>
      <c r="AK484" s="6">
        <f>IF(OR(原始資料!$A484="",36&gt;設定!$B$3,原始資料!AM484=""),"",IF(AND(原始資料!AL484&lt;&gt;"",原始資料!AM484=原始資料!AL484),N(AJ484)+1,1))</f>
        <v/>
      </c>
      <c r="AL484" s="6">
        <f>IF(OR(原始資料!$A484="",37&gt;設定!$B$3,原始資料!AN484=""),"",IF(AND(原始資料!AM484&lt;&gt;"",原始資料!AN484=原始資料!AM484),N(AK484)+1,1))</f>
        <v/>
      </c>
      <c r="AM484" s="6">
        <f>IF(OR(原始資料!$A484="",38&gt;設定!$B$3,原始資料!AO484=""),"",IF(AND(原始資料!AN484&lt;&gt;"",原始資料!AO484=原始資料!AN484),N(AL484)+1,1))</f>
        <v/>
      </c>
      <c r="AN484" s="6">
        <f>IF(OR(原始資料!$A484="",39&gt;設定!$B$3,原始資料!AP484=""),"",IF(AND(原始資料!AO484&lt;&gt;"",原始資料!AP484=原始資料!AO484),N(AM484)+1,1))</f>
        <v/>
      </c>
      <c r="AO484" s="6">
        <f>IF(OR(原始資料!$A484="",40&gt;設定!$B$3,原始資料!AQ484=""),"",IF(AND(原始資料!AP484&lt;&gt;"",原始資料!AQ484=原始資料!AP484),N(AN484)+1,1))</f>
        <v/>
      </c>
      <c r="AP484" s="6">
        <f>IF(OR(原始資料!$A484="",41&gt;設定!$B$3,原始資料!AR484=""),"",IF(AND(原始資料!AQ484&lt;&gt;"",原始資料!AR484=原始資料!AQ484),N(AO484)+1,1))</f>
        <v/>
      </c>
      <c r="AQ484" s="6">
        <f>IF(OR(原始資料!$A484="",42&gt;設定!$B$3,原始資料!AS484=""),"",IF(AND(原始資料!AR484&lt;&gt;"",原始資料!AS484=原始資料!AR484),N(AP484)+1,1))</f>
        <v/>
      </c>
      <c r="AR484" s="6">
        <f>IF(OR(原始資料!$A484="",43&gt;設定!$B$3,原始資料!AT484=""),"",IF(AND(原始資料!AS484&lt;&gt;"",原始資料!AT484=原始資料!AS484),N(AQ484)+1,1))</f>
        <v/>
      </c>
      <c r="AS484" s="6">
        <f>IF(OR(原始資料!$A484="",44&gt;設定!$B$3,原始資料!AU484=""),"",IF(AND(原始資料!AT484&lt;&gt;"",原始資料!AU484=原始資料!AT484),N(AR484)+1,1))</f>
        <v/>
      </c>
      <c r="AT484" s="6">
        <f>IF(OR(原始資料!$A484="",45&gt;設定!$B$3,原始資料!AV484=""),"",IF(AND(原始資料!AU484&lt;&gt;"",原始資料!AV484=原始資料!AU484),N(AS484)+1,1))</f>
        <v/>
      </c>
      <c r="AU484" s="6">
        <f>IF(OR(原始資料!$A484="",46&gt;設定!$B$3,原始資料!AW484=""),"",IF(AND(原始資料!AV484&lt;&gt;"",原始資料!AW484=原始資料!AV484),N(AT484)+1,1))</f>
        <v/>
      </c>
      <c r="AV484" s="6">
        <f>IF(OR(原始資料!$A484="",47&gt;設定!$B$3,原始資料!AX484=""),"",IF(AND(原始資料!AW484&lt;&gt;"",原始資料!AX484=原始資料!AW484),N(AU484)+1,1))</f>
        <v/>
      </c>
      <c r="AW484" s="6">
        <f>IF(OR(原始資料!$A484="",48&gt;設定!$B$3,原始資料!AY484=""),"",IF(AND(原始資料!AX484&lt;&gt;"",原始資料!AY484=原始資料!AX484),N(AV484)+1,1))</f>
        <v/>
      </c>
      <c r="AX484" s="6">
        <f>IF(OR(原始資料!$A484="",49&gt;設定!$B$3,原始資料!AZ484=""),"",IF(AND(原始資料!AY484&lt;&gt;"",原始資料!AZ484=原始資料!AY484),N(AW484)+1,1))</f>
        <v/>
      </c>
      <c r="AY484" s="6">
        <f>IF(OR(原始資料!$A484="",50&gt;設定!$B$3,原始資料!BA484=""),"",IF(AND(原始資料!AZ484&lt;&gt;"",原始資料!BA484=原始資料!AZ484),N(AX484)+1,1))</f>
        <v/>
      </c>
      <c r="AZ484" s="6">
        <f>IF(OR(原始資料!$A484="",51&gt;設定!$B$3,原始資料!BB484=""),"",IF(AND(原始資料!BA484&lt;&gt;"",原始資料!BB484=原始資料!BA484),N(AY484)+1,1))</f>
        <v/>
      </c>
      <c r="BA484" s="6">
        <f>IF(OR(原始資料!$A484="",52&gt;設定!$B$3,原始資料!BC484=""),"",IF(AND(原始資料!BB484&lt;&gt;"",原始資料!BC484=原始資料!BB484),N(AZ484)+1,1))</f>
        <v/>
      </c>
      <c r="BB484" s="6">
        <f>IF(OR(原始資料!$A484="",53&gt;設定!$B$3,原始資料!BD484=""),"",IF(AND(原始資料!BC484&lt;&gt;"",原始資料!BD484=原始資料!BC484),N(BA484)+1,1))</f>
        <v/>
      </c>
      <c r="BC484" s="6">
        <f>IF(OR(原始資料!$A484="",54&gt;設定!$B$3,原始資料!BE484=""),"",IF(AND(原始資料!BD484&lt;&gt;"",原始資料!BE484=原始資料!BD484),N(BB484)+1,1))</f>
        <v/>
      </c>
      <c r="BD484" s="6">
        <f>IF(OR(原始資料!$A484="",55&gt;設定!$B$3,原始資料!BF484=""),"",IF(AND(原始資料!BE484&lt;&gt;"",原始資料!BF484=原始資料!BE484),N(BC484)+1,1))</f>
        <v/>
      </c>
      <c r="BE484" s="6">
        <f>IF(OR(原始資料!$A484="",56&gt;設定!$B$3,原始資料!BG484=""),"",IF(AND(原始資料!BF484&lt;&gt;"",原始資料!BG484=原始資料!BF484),N(BD484)+1,1))</f>
        <v/>
      </c>
      <c r="BF484" s="6">
        <f>IF(OR(原始資料!$A484="",57&gt;設定!$B$3,原始資料!BH484=""),"",IF(AND(原始資料!BG484&lt;&gt;"",原始資料!BH484=原始資料!BG484),N(BE484)+1,1))</f>
        <v/>
      </c>
      <c r="BG484" s="6">
        <f>IF(OR(原始資料!$A484="",58&gt;設定!$B$3,原始資料!BI484=""),"",IF(AND(原始資料!BH484&lt;&gt;"",原始資料!BI484=原始資料!BH484),N(BF484)+1,1))</f>
        <v/>
      </c>
      <c r="BH484" s="6">
        <f>IF(OR(原始資料!$A484="",59&gt;設定!$B$3,原始資料!BJ484=""),"",IF(AND(原始資料!BI484&lt;&gt;"",原始資料!BJ484=原始資料!BI484),N(BG484)+1,1))</f>
        <v/>
      </c>
      <c r="BI484" s="6">
        <f>IF(OR(原始資料!$A484="",60&gt;設定!$B$3,原始資料!BK484=""),"",IF(AND(原始資料!BJ484&lt;&gt;"",原始資料!BK484=原始資料!BJ484),N(BH484)+1,1))</f>
        <v/>
      </c>
    </row>
    <row r="485">
      <c r="A485" s="6">
        <f>IF(原始資料!$A485="","",原始資料!$A485)</f>
        <v/>
      </c>
      <c r="B485" s="6">
        <f>IF(OR(原始資料!$A485="",1&gt;設定!$B$3,原始資料!D485=""),"",1)</f>
        <v/>
      </c>
      <c r="C485" s="6">
        <f>IF(OR(原始資料!$A485="",2&gt;設定!$B$3,原始資料!E485=""),"",IF(AND(原始資料!D485&lt;&gt;"",原始資料!E485=原始資料!D485),N(B485)+1,1))</f>
        <v/>
      </c>
      <c r="D485" s="6">
        <f>IF(OR(原始資料!$A485="",3&gt;設定!$B$3,原始資料!F485=""),"",IF(AND(原始資料!E485&lt;&gt;"",原始資料!F485=原始資料!E485),N(C485)+1,1))</f>
        <v/>
      </c>
      <c r="E485" s="6">
        <f>IF(OR(原始資料!$A485="",4&gt;設定!$B$3,原始資料!G485=""),"",IF(AND(原始資料!F485&lt;&gt;"",原始資料!G485=原始資料!F485),N(D485)+1,1))</f>
        <v/>
      </c>
      <c r="F485" s="6">
        <f>IF(OR(原始資料!$A485="",5&gt;設定!$B$3,原始資料!H485=""),"",IF(AND(原始資料!G485&lt;&gt;"",原始資料!H485=原始資料!G485),N(E485)+1,1))</f>
        <v/>
      </c>
      <c r="G485" s="6">
        <f>IF(OR(原始資料!$A485="",6&gt;設定!$B$3,原始資料!I485=""),"",IF(AND(原始資料!H485&lt;&gt;"",原始資料!I485=原始資料!H485),N(F485)+1,1))</f>
        <v/>
      </c>
      <c r="H485" s="6">
        <f>IF(OR(原始資料!$A485="",7&gt;設定!$B$3,原始資料!J485=""),"",IF(AND(原始資料!I485&lt;&gt;"",原始資料!J485=原始資料!I485),N(G485)+1,1))</f>
        <v/>
      </c>
      <c r="I485" s="6">
        <f>IF(OR(原始資料!$A485="",8&gt;設定!$B$3,原始資料!K485=""),"",IF(AND(原始資料!J485&lt;&gt;"",原始資料!K485=原始資料!J485),N(H485)+1,1))</f>
        <v/>
      </c>
      <c r="J485" s="6">
        <f>IF(OR(原始資料!$A485="",9&gt;設定!$B$3,原始資料!L485=""),"",IF(AND(原始資料!K485&lt;&gt;"",原始資料!L485=原始資料!K485),N(I485)+1,1))</f>
        <v/>
      </c>
      <c r="K485" s="6">
        <f>IF(OR(原始資料!$A485="",10&gt;設定!$B$3,原始資料!M485=""),"",IF(AND(原始資料!L485&lt;&gt;"",原始資料!M485=原始資料!L485),N(J485)+1,1))</f>
        <v/>
      </c>
      <c r="L485" s="6">
        <f>IF(OR(原始資料!$A485="",11&gt;設定!$B$3,原始資料!N485=""),"",IF(AND(原始資料!M485&lt;&gt;"",原始資料!N485=原始資料!M485),N(K485)+1,1))</f>
        <v/>
      </c>
      <c r="M485" s="6">
        <f>IF(OR(原始資料!$A485="",12&gt;設定!$B$3,原始資料!O485=""),"",IF(AND(原始資料!N485&lt;&gt;"",原始資料!O485=原始資料!N485),N(L485)+1,1))</f>
        <v/>
      </c>
      <c r="N485" s="6">
        <f>IF(OR(原始資料!$A485="",13&gt;設定!$B$3,原始資料!P485=""),"",IF(AND(原始資料!O485&lt;&gt;"",原始資料!P485=原始資料!O485),N(M485)+1,1))</f>
        <v/>
      </c>
      <c r="O485" s="6">
        <f>IF(OR(原始資料!$A485="",14&gt;設定!$B$3,原始資料!Q485=""),"",IF(AND(原始資料!P485&lt;&gt;"",原始資料!Q485=原始資料!P485),N(N485)+1,1))</f>
        <v/>
      </c>
      <c r="P485" s="6">
        <f>IF(OR(原始資料!$A485="",15&gt;設定!$B$3,原始資料!R485=""),"",IF(AND(原始資料!Q485&lt;&gt;"",原始資料!R485=原始資料!Q485),N(O485)+1,1))</f>
        <v/>
      </c>
      <c r="Q485" s="6">
        <f>IF(OR(原始資料!$A485="",16&gt;設定!$B$3,原始資料!S485=""),"",IF(AND(原始資料!R485&lt;&gt;"",原始資料!S485=原始資料!R485),N(P485)+1,1))</f>
        <v/>
      </c>
      <c r="R485" s="6">
        <f>IF(OR(原始資料!$A485="",17&gt;設定!$B$3,原始資料!T485=""),"",IF(AND(原始資料!S485&lt;&gt;"",原始資料!T485=原始資料!S485),N(Q485)+1,1))</f>
        <v/>
      </c>
      <c r="S485" s="6">
        <f>IF(OR(原始資料!$A485="",18&gt;設定!$B$3,原始資料!U485=""),"",IF(AND(原始資料!T485&lt;&gt;"",原始資料!U485=原始資料!T485),N(R485)+1,1))</f>
        <v/>
      </c>
      <c r="T485" s="6">
        <f>IF(OR(原始資料!$A485="",19&gt;設定!$B$3,原始資料!V485=""),"",IF(AND(原始資料!U485&lt;&gt;"",原始資料!V485=原始資料!U485),N(S485)+1,1))</f>
        <v/>
      </c>
      <c r="U485" s="6">
        <f>IF(OR(原始資料!$A485="",20&gt;設定!$B$3,原始資料!W485=""),"",IF(AND(原始資料!V485&lt;&gt;"",原始資料!W485=原始資料!V485),N(T485)+1,1))</f>
        <v/>
      </c>
      <c r="V485" s="6">
        <f>IF(OR(原始資料!$A485="",21&gt;設定!$B$3,原始資料!X485=""),"",IF(AND(原始資料!W485&lt;&gt;"",原始資料!X485=原始資料!W485),N(U485)+1,1))</f>
        <v/>
      </c>
      <c r="W485" s="6">
        <f>IF(OR(原始資料!$A485="",22&gt;設定!$B$3,原始資料!Y485=""),"",IF(AND(原始資料!X485&lt;&gt;"",原始資料!Y485=原始資料!X485),N(V485)+1,1))</f>
        <v/>
      </c>
      <c r="X485" s="6">
        <f>IF(OR(原始資料!$A485="",23&gt;設定!$B$3,原始資料!Z485=""),"",IF(AND(原始資料!Y485&lt;&gt;"",原始資料!Z485=原始資料!Y485),N(W485)+1,1))</f>
        <v/>
      </c>
      <c r="Y485" s="6">
        <f>IF(OR(原始資料!$A485="",24&gt;設定!$B$3,原始資料!AA485=""),"",IF(AND(原始資料!Z485&lt;&gt;"",原始資料!AA485=原始資料!Z485),N(X485)+1,1))</f>
        <v/>
      </c>
      <c r="Z485" s="6">
        <f>IF(OR(原始資料!$A485="",25&gt;設定!$B$3,原始資料!AB485=""),"",IF(AND(原始資料!AA485&lt;&gt;"",原始資料!AB485=原始資料!AA485),N(Y485)+1,1))</f>
        <v/>
      </c>
      <c r="AA485" s="6">
        <f>IF(OR(原始資料!$A485="",26&gt;設定!$B$3,原始資料!AC485=""),"",IF(AND(原始資料!AB485&lt;&gt;"",原始資料!AC485=原始資料!AB485),N(Z485)+1,1))</f>
        <v/>
      </c>
      <c r="AB485" s="6">
        <f>IF(OR(原始資料!$A485="",27&gt;設定!$B$3,原始資料!AD485=""),"",IF(AND(原始資料!AC485&lt;&gt;"",原始資料!AD485=原始資料!AC485),N(AA485)+1,1))</f>
        <v/>
      </c>
      <c r="AC485" s="6">
        <f>IF(OR(原始資料!$A485="",28&gt;設定!$B$3,原始資料!AE485=""),"",IF(AND(原始資料!AD485&lt;&gt;"",原始資料!AE485=原始資料!AD485),N(AB485)+1,1))</f>
        <v/>
      </c>
      <c r="AD485" s="6">
        <f>IF(OR(原始資料!$A485="",29&gt;設定!$B$3,原始資料!AF485=""),"",IF(AND(原始資料!AE485&lt;&gt;"",原始資料!AF485=原始資料!AE485),N(AC485)+1,1))</f>
        <v/>
      </c>
      <c r="AE485" s="6">
        <f>IF(OR(原始資料!$A485="",30&gt;設定!$B$3,原始資料!AG485=""),"",IF(AND(原始資料!AF485&lt;&gt;"",原始資料!AG485=原始資料!AF485),N(AD485)+1,1))</f>
        <v/>
      </c>
      <c r="AF485" s="6">
        <f>IF(OR(原始資料!$A485="",31&gt;設定!$B$3,原始資料!AH485=""),"",IF(AND(原始資料!AG485&lt;&gt;"",原始資料!AH485=原始資料!AG485),N(AE485)+1,1))</f>
        <v/>
      </c>
      <c r="AG485" s="6">
        <f>IF(OR(原始資料!$A485="",32&gt;設定!$B$3,原始資料!AI485=""),"",IF(AND(原始資料!AH485&lt;&gt;"",原始資料!AI485=原始資料!AH485),N(AF485)+1,1))</f>
        <v/>
      </c>
      <c r="AH485" s="6">
        <f>IF(OR(原始資料!$A485="",33&gt;設定!$B$3,原始資料!AJ485=""),"",IF(AND(原始資料!AI485&lt;&gt;"",原始資料!AJ485=原始資料!AI485),N(AG485)+1,1))</f>
        <v/>
      </c>
      <c r="AI485" s="6">
        <f>IF(OR(原始資料!$A485="",34&gt;設定!$B$3,原始資料!AK485=""),"",IF(AND(原始資料!AJ485&lt;&gt;"",原始資料!AK485=原始資料!AJ485),N(AH485)+1,1))</f>
        <v/>
      </c>
      <c r="AJ485" s="6">
        <f>IF(OR(原始資料!$A485="",35&gt;設定!$B$3,原始資料!AL485=""),"",IF(AND(原始資料!AK485&lt;&gt;"",原始資料!AL485=原始資料!AK485),N(AI485)+1,1))</f>
        <v/>
      </c>
      <c r="AK485" s="6">
        <f>IF(OR(原始資料!$A485="",36&gt;設定!$B$3,原始資料!AM485=""),"",IF(AND(原始資料!AL485&lt;&gt;"",原始資料!AM485=原始資料!AL485),N(AJ485)+1,1))</f>
        <v/>
      </c>
      <c r="AL485" s="6">
        <f>IF(OR(原始資料!$A485="",37&gt;設定!$B$3,原始資料!AN485=""),"",IF(AND(原始資料!AM485&lt;&gt;"",原始資料!AN485=原始資料!AM485),N(AK485)+1,1))</f>
        <v/>
      </c>
      <c r="AM485" s="6">
        <f>IF(OR(原始資料!$A485="",38&gt;設定!$B$3,原始資料!AO485=""),"",IF(AND(原始資料!AN485&lt;&gt;"",原始資料!AO485=原始資料!AN485),N(AL485)+1,1))</f>
        <v/>
      </c>
      <c r="AN485" s="6">
        <f>IF(OR(原始資料!$A485="",39&gt;設定!$B$3,原始資料!AP485=""),"",IF(AND(原始資料!AO485&lt;&gt;"",原始資料!AP485=原始資料!AO485),N(AM485)+1,1))</f>
        <v/>
      </c>
      <c r="AO485" s="6">
        <f>IF(OR(原始資料!$A485="",40&gt;設定!$B$3,原始資料!AQ485=""),"",IF(AND(原始資料!AP485&lt;&gt;"",原始資料!AQ485=原始資料!AP485),N(AN485)+1,1))</f>
        <v/>
      </c>
      <c r="AP485" s="6">
        <f>IF(OR(原始資料!$A485="",41&gt;設定!$B$3,原始資料!AR485=""),"",IF(AND(原始資料!AQ485&lt;&gt;"",原始資料!AR485=原始資料!AQ485),N(AO485)+1,1))</f>
        <v/>
      </c>
      <c r="AQ485" s="6">
        <f>IF(OR(原始資料!$A485="",42&gt;設定!$B$3,原始資料!AS485=""),"",IF(AND(原始資料!AR485&lt;&gt;"",原始資料!AS485=原始資料!AR485),N(AP485)+1,1))</f>
        <v/>
      </c>
      <c r="AR485" s="6">
        <f>IF(OR(原始資料!$A485="",43&gt;設定!$B$3,原始資料!AT485=""),"",IF(AND(原始資料!AS485&lt;&gt;"",原始資料!AT485=原始資料!AS485),N(AQ485)+1,1))</f>
        <v/>
      </c>
      <c r="AS485" s="6">
        <f>IF(OR(原始資料!$A485="",44&gt;設定!$B$3,原始資料!AU485=""),"",IF(AND(原始資料!AT485&lt;&gt;"",原始資料!AU485=原始資料!AT485),N(AR485)+1,1))</f>
        <v/>
      </c>
      <c r="AT485" s="6">
        <f>IF(OR(原始資料!$A485="",45&gt;設定!$B$3,原始資料!AV485=""),"",IF(AND(原始資料!AU485&lt;&gt;"",原始資料!AV485=原始資料!AU485),N(AS485)+1,1))</f>
        <v/>
      </c>
      <c r="AU485" s="6">
        <f>IF(OR(原始資料!$A485="",46&gt;設定!$B$3,原始資料!AW485=""),"",IF(AND(原始資料!AV485&lt;&gt;"",原始資料!AW485=原始資料!AV485),N(AT485)+1,1))</f>
        <v/>
      </c>
      <c r="AV485" s="6">
        <f>IF(OR(原始資料!$A485="",47&gt;設定!$B$3,原始資料!AX485=""),"",IF(AND(原始資料!AW485&lt;&gt;"",原始資料!AX485=原始資料!AW485),N(AU485)+1,1))</f>
        <v/>
      </c>
      <c r="AW485" s="6">
        <f>IF(OR(原始資料!$A485="",48&gt;設定!$B$3,原始資料!AY485=""),"",IF(AND(原始資料!AX485&lt;&gt;"",原始資料!AY485=原始資料!AX485),N(AV485)+1,1))</f>
        <v/>
      </c>
      <c r="AX485" s="6">
        <f>IF(OR(原始資料!$A485="",49&gt;設定!$B$3,原始資料!AZ485=""),"",IF(AND(原始資料!AY485&lt;&gt;"",原始資料!AZ485=原始資料!AY485),N(AW485)+1,1))</f>
        <v/>
      </c>
      <c r="AY485" s="6">
        <f>IF(OR(原始資料!$A485="",50&gt;設定!$B$3,原始資料!BA485=""),"",IF(AND(原始資料!AZ485&lt;&gt;"",原始資料!BA485=原始資料!AZ485),N(AX485)+1,1))</f>
        <v/>
      </c>
      <c r="AZ485" s="6">
        <f>IF(OR(原始資料!$A485="",51&gt;設定!$B$3,原始資料!BB485=""),"",IF(AND(原始資料!BA485&lt;&gt;"",原始資料!BB485=原始資料!BA485),N(AY485)+1,1))</f>
        <v/>
      </c>
      <c r="BA485" s="6">
        <f>IF(OR(原始資料!$A485="",52&gt;設定!$B$3,原始資料!BC485=""),"",IF(AND(原始資料!BB485&lt;&gt;"",原始資料!BC485=原始資料!BB485),N(AZ485)+1,1))</f>
        <v/>
      </c>
      <c r="BB485" s="6">
        <f>IF(OR(原始資料!$A485="",53&gt;設定!$B$3,原始資料!BD485=""),"",IF(AND(原始資料!BC485&lt;&gt;"",原始資料!BD485=原始資料!BC485),N(BA485)+1,1))</f>
        <v/>
      </c>
      <c r="BC485" s="6">
        <f>IF(OR(原始資料!$A485="",54&gt;設定!$B$3,原始資料!BE485=""),"",IF(AND(原始資料!BD485&lt;&gt;"",原始資料!BE485=原始資料!BD485),N(BB485)+1,1))</f>
        <v/>
      </c>
      <c r="BD485" s="6">
        <f>IF(OR(原始資料!$A485="",55&gt;設定!$B$3,原始資料!BF485=""),"",IF(AND(原始資料!BE485&lt;&gt;"",原始資料!BF485=原始資料!BE485),N(BC485)+1,1))</f>
        <v/>
      </c>
      <c r="BE485" s="6">
        <f>IF(OR(原始資料!$A485="",56&gt;設定!$B$3,原始資料!BG485=""),"",IF(AND(原始資料!BF485&lt;&gt;"",原始資料!BG485=原始資料!BF485),N(BD485)+1,1))</f>
        <v/>
      </c>
      <c r="BF485" s="6">
        <f>IF(OR(原始資料!$A485="",57&gt;設定!$B$3,原始資料!BH485=""),"",IF(AND(原始資料!BG485&lt;&gt;"",原始資料!BH485=原始資料!BG485),N(BE485)+1,1))</f>
        <v/>
      </c>
      <c r="BG485" s="6">
        <f>IF(OR(原始資料!$A485="",58&gt;設定!$B$3,原始資料!BI485=""),"",IF(AND(原始資料!BH485&lt;&gt;"",原始資料!BI485=原始資料!BH485),N(BF485)+1,1))</f>
        <v/>
      </c>
      <c r="BH485" s="6">
        <f>IF(OR(原始資料!$A485="",59&gt;設定!$B$3,原始資料!BJ485=""),"",IF(AND(原始資料!BI485&lt;&gt;"",原始資料!BJ485=原始資料!BI485),N(BG485)+1,1))</f>
        <v/>
      </c>
      <c r="BI485" s="6">
        <f>IF(OR(原始資料!$A485="",60&gt;設定!$B$3,原始資料!BK485=""),"",IF(AND(原始資料!BJ485&lt;&gt;"",原始資料!BK485=原始資料!BJ485),N(BH485)+1,1))</f>
        <v/>
      </c>
    </row>
    <row r="486">
      <c r="A486" s="6">
        <f>IF(原始資料!$A486="","",原始資料!$A486)</f>
        <v/>
      </c>
      <c r="B486" s="6">
        <f>IF(OR(原始資料!$A486="",1&gt;設定!$B$3,原始資料!D486=""),"",1)</f>
        <v/>
      </c>
      <c r="C486" s="6">
        <f>IF(OR(原始資料!$A486="",2&gt;設定!$B$3,原始資料!E486=""),"",IF(AND(原始資料!D486&lt;&gt;"",原始資料!E486=原始資料!D486),N(B486)+1,1))</f>
        <v/>
      </c>
      <c r="D486" s="6">
        <f>IF(OR(原始資料!$A486="",3&gt;設定!$B$3,原始資料!F486=""),"",IF(AND(原始資料!E486&lt;&gt;"",原始資料!F486=原始資料!E486),N(C486)+1,1))</f>
        <v/>
      </c>
      <c r="E486" s="6">
        <f>IF(OR(原始資料!$A486="",4&gt;設定!$B$3,原始資料!G486=""),"",IF(AND(原始資料!F486&lt;&gt;"",原始資料!G486=原始資料!F486),N(D486)+1,1))</f>
        <v/>
      </c>
      <c r="F486" s="6">
        <f>IF(OR(原始資料!$A486="",5&gt;設定!$B$3,原始資料!H486=""),"",IF(AND(原始資料!G486&lt;&gt;"",原始資料!H486=原始資料!G486),N(E486)+1,1))</f>
        <v/>
      </c>
      <c r="G486" s="6">
        <f>IF(OR(原始資料!$A486="",6&gt;設定!$B$3,原始資料!I486=""),"",IF(AND(原始資料!H486&lt;&gt;"",原始資料!I486=原始資料!H486),N(F486)+1,1))</f>
        <v/>
      </c>
      <c r="H486" s="6">
        <f>IF(OR(原始資料!$A486="",7&gt;設定!$B$3,原始資料!J486=""),"",IF(AND(原始資料!I486&lt;&gt;"",原始資料!J486=原始資料!I486),N(G486)+1,1))</f>
        <v/>
      </c>
      <c r="I486" s="6">
        <f>IF(OR(原始資料!$A486="",8&gt;設定!$B$3,原始資料!K486=""),"",IF(AND(原始資料!J486&lt;&gt;"",原始資料!K486=原始資料!J486),N(H486)+1,1))</f>
        <v/>
      </c>
      <c r="J486" s="6">
        <f>IF(OR(原始資料!$A486="",9&gt;設定!$B$3,原始資料!L486=""),"",IF(AND(原始資料!K486&lt;&gt;"",原始資料!L486=原始資料!K486),N(I486)+1,1))</f>
        <v/>
      </c>
      <c r="K486" s="6">
        <f>IF(OR(原始資料!$A486="",10&gt;設定!$B$3,原始資料!M486=""),"",IF(AND(原始資料!L486&lt;&gt;"",原始資料!M486=原始資料!L486),N(J486)+1,1))</f>
        <v/>
      </c>
      <c r="L486" s="6">
        <f>IF(OR(原始資料!$A486="",11&gt;設定!$B$3,原始資料!N486=""),"",IF(AND(原始資料!M486&lt;&gt;"",原始資料!N486=原始資料!M486),N(K486)+1,1))</f>
        <v/>
      </c>
      <c r="M486" s="6">
        <f>IF(OR(原始資料!$A486="",12&gt;設定!$B$3,原始資料!O486=""),"",IF(AND(原始資料!N486&lt;&gt;"",原始資料!O486=原始資料!N486),N(L486)+1,1))</f>
        <v/>
      </c>
      <c r="N486" s="6">
        <f>IF(OR(原始資料!$A486="",13&gt;設定!$B$3,原始資料!P486=""),"",IF(AND(原始資料!O486&lt;&gt;"",原始資料!P486=原始資料!O486),N(M486)+1,1))</f>
        <v/>
      </c>
      <c r="O486" s="6">
        <f>IF(OR(原始資料!$A486="",14&gt;設定!$B$3,原始資料!Q486=""),"",IF(AND(原始資料!P486&lt;&gt;"",原始資料!Q486=原始資料!P486),N(N486)+1,1))</f>
        <v/>
      </c>
      <c r="P486" s="6">
        <f>IF(OR(原始資料!$A486="",15&gt;設定!$B$3,原始資料!R486=""),"",IF(AND(原始資料!Q486&lt;&gt;"",原始資料!R486=原始資料!Q486),N(O486)+1,1))</f>
        <v/>
      </c>
      <c r="Q486" s="6">
        <f>IF(OR(原始資料!$A486="",16&gt;設定!$B$3,原始資料!S486=""),"",IF(AND(原始資料!R486&lt;&gt;"",原始資料!S486=原始資料!R486),N(P486)+1,1))</f>
        <v/>
      </c>
      <c r="R486" s="6">
        <f>IF(OR(原始資料!$A486="",17&gt;設定!$B$3,原始資料!T486=""),"",IF(AND(原始資料!S486&lt;&gt;"",原始資料!T486=原始資料!S486),N(Q486)+1,1))</f>
        <v/>
      </c>
      <c r="S486" s="6">
        <f>IF(OR(原始資料!$A486="",18&gt;設定!$B$3,原始資料!U486=""),"",IF(AND(原始資料!T486&lt;&gt;"",原始資料!U486=原始資料!T486),N(R486)+1,1))</f>
        <v/>
      </c>
      <c r="T486" s="6">
        <f>IF(OR(原始資料!$A486="",19&gt;設定!$B$3,原始資料!V486=""),"",IF(AND(原始資料!U486&lt;&gt;"",原始資料!V486=原始資料!U486),N(S486)+1,1))</f>
        <v/>
      </c>
      <c r="U486" s="6">
        <f>IF(OR(原始資料!$A486="",20&gt;設定!$B$3,原始資料!W486=""),"",IF(AND(原始資料!V486&lt;&gt;"",原始資料!W486=原始資料!V486),N(T486)+1,1))</f>
        <v/>
      </c>
      <c r="V486" s="6">
        <f>IF(OR(原始資料!$A486="",21&gt;設定!$B$3,原始資料!X486=""),"",IF(AND(原始資料!W486&lt;&gt;"",原始資料!X486=原始資料!W486),N(U486)+1,1))</f>
        <v/>
      </c>
      <c r="W486" s="6">
        <f>IF(OR(原始資料!$A486="",22&gt;設定!$B$3,原始資料!Y486=""),"",IF(AND(原始資料!X486&lt;&gt;"",原始資料!Y486=原始資料!X486),N(V486)+1,1))</f>
        <v/>
      </c>
      <c r="X486" s="6">
        <f>IF(OR(原始資料!$A486="",23&gt;設定!$B$3,原始資料!Z486=""),"",IF(AND(原始資料!Y486&lt;&gt;"",原始資料!Z486=原始資料!Y486),N(W486)+1,1))</f>
        <v/>
      </c>
      <c r="Y486" s="6">
        <f>IF(OR(原始資料!$A486="",24&gt;設定!$B$3,原始資料!AA486=""),"",IF(AND(原始資料!Z486&lt;&gt;"",原始資料!AA486=原始資料!Z486),N(X486)+1,1))</f>
        <v/>
      </c>
      <c r="Z486" s="6">
        <f>IF(OR(原始資料!$A486="",25&gt;設定!$B$3,原始資料!AB486=""),"",IF(AND(原始資料!AA486&lt;&gt;"",原始資料!AB486=原始資料!AA486),N(Y486)+1,1))</f>
        <v/>
      </c>
      <c r="AA486" s="6">
        <f>IF(OR(原始資料!$A486="",26&gt;設定!$B$3,原始資料!AC486=""),"",IF(AND(原始資料!AB486&lt;&gt;"",原始資料!AC486=原始資料!AB486),N(Z486)+1,1))</f>
        <v/>
      </c>
      <c r="AB486" s="6">
        <f>IF(OR(原始資料!$A486="",27&gt;設定!$B$3,原始資料!AD486=""),"",IF(AND(原始資料!AC486&lt;&gt;"",原始資料!AD486=原始資料!AC486),N(AA486)+1,1))</f>
        <v/>
      </c>
      <c r="AC486" s="6">
        <f>IF(OR(原始資料!$A486="",28&gt;設定!$B$3,原始資料!AE486=""),"",IF(AND(原始資料!AD486&lt;&gt;"",原始資料!AE486=原始資料!AD486),N(AB486)+1,1))</f>
        <v/>
      </c>
      <c r="AD486" s="6">
        <f>IF(OR(原始資料!$A486="",29&gt;設定!$B$3,原始資料!AF486=""),"",IF(AND(原始資料!AE486&lt;&gt;"",原始資料!AF486=原始資料!AE486),N(AC486)+1,1))</f>
        <v/>
      </c>
      <c r="AE486" s="6">
        <f>IF(OR(原始資料!$A486="",30&gt;設定!$B$3,原始資料!AG486=""),"",IF(AND(原始資料!AF486&lt;&gt;"",原始資料!AG486=原始資料!AF486),N(AD486)+1,1))</f>
        <v/>
      </c>
      <c r="AF486" s="6">
        <f>IF(OR(原始資料!$A486="",31&gt;設定!$B$3,原始資料!AH486=""),"",IF(AND(原始資料!AG486&lt;&gt;"",原始資料!AH486=原始資料!AG486),N(AE486)+1,1))</f>
        <v/>
      </c>
      <c r="AG486" s="6">
        <f>IF(OR(原始資料!$A486="",32&gt;設定!$B$3,原始資料!AI486=""),"",IF(AND(原始資料!AH486&lt;&gt;"",原始資料!AI486=原始資料!AH486),N(AF486)+1,1))</f>
        <v/>
      </c>
      <c r="AH486" s="6">
        <f>IF(OR(原始資料!$A486="",33&gt;設定!$B$3,原始資料!AJ486=""),"",IF(AND(原始資料!AI486&lt;&gt;"",原始資料!AJ486=原始資料!AI486),N(AG486)+1,1))</f>
        <v/>
      </c>
      <c r="AI486" s="6">
        <f>IF(OR(原始資料!$A486="",34&gt;設定!$B$3,原始資料!AK486=""),"",IF(AND(原始資料!AJ486&lt;&gt;"",原始資料!AK486=原始資料!AJ486),N(AH486)+1,1))</f>
        <v/>
      </c>
      <c r="AJ486" s="6">
        <f>IF(OR(原始資料!$A486="",35&gt;設定!$B$3,原始資料!AL486=""),"",IF(AND(原始資料!AK486&lt;&gt;"",原始資料!AL486=原始資料!AK486),N(AI486)+1,1))</f>
        <v/>
      </c>
      <c r="AK486" s="6">
        <f>IF(OR(原始資料!$A486="",36&gt;設定!$B$3,原始資料!AM486=""),"",IF(AND(原始資料!AL486&lt;&gt;"",原始資料!AM486=原始資料!AL486),N(AJ486)+1,1))</f>
        <v/>
      </c>
      <c r="AL486" s="6">
        <f>IF(OR(原始資料!$A486="",37&gt;設定!$B$3,原始資料!AN486=""),"",IF(AND(原始資料!AM486&lt;&gt;"",原始資料!AN486=原始資料!AM486),N(AK486)+1,1))</f>
        <v/>
      </c>
      <c r="AM486" s="6">
        <f>IF(OR(原始資料!$A486="",38&gt;設定!$B$3,原始資料!AO486=""),"",IF(AND(原始資料!AN486&lt;&gt;"",原始資料!AO486=原始資料!AN486),N(AL486)+1,1))</f>
        <v/>
      </c>
      <c r="AN486" s="6">
        <f>IF(OR(原始資料!$A486="",39&gt;設定!$B$3,原始資料!AP486=""),"",IF(AND(原始資料!AO486&lt;&gt;"",原始資料!AP486=原始資料!AO486),N(AM486)+1,1))</f>
        <v/>
      </c>
      <c r="AO486" s="6">
        <f>IF(OR(原始資料!$A486="",40&gt;設定!$B$3,原始資料!AQ486=""),"",IF(AND(原始資料!AP486&lt;&gt;"",原始資料!AQ486=原始資料!AP486),N(AN486)+1,1))</f>
        <v/>
      </c>
      <c r="AP486" s="6">
        <f>IF(OR(原始資料!$A486="",41&gt;設定!$B$3,原始資料!AR486=""),"",IF(AND(原始資料!AQ486&lt;&gt;"",原始資料!AR486=原始資料!AQ486),N(AO486)+1,1))</f>
        <v/>
      </c>
      <c r="AQ486" s="6">
        <f>IF(OR(原始資料!$A486="",42&gt;設定!$B$3,原始資料!AS486=""),"",IF(AND(原始資料!AR486&lt;&gt;"",原始資料!AS486=原始資料!AR486),N(AP486)+1,1))</f>
        <v/>
      </c>
      <c r="AR486" s="6">
        <f>IF(OR(原始資料!$A486="",43&gt;設定!$B$3,原始資料!AT486=""),"",IF(AND(原始資料!AS486&lt;&gt;"",原始資料!AT486=原始資料!AS486),N(AQ486)+1,1))</f>
        <v/>
      </c>
      <c r="AS486" s="6">
        <f>IF(OR(原始資料!$A486="",44&gt;設定!$B$3,原始資料!AU486=""),"",IF(AND(原始資料!AT486&lt;&gt;"",原始資料!AU486=原始資料!AT486),N(AR486)+1,1))</f>
        <v/>
      </c>
      <c r="AT486" s="6">
        <f>IF(OR(原始資料!$A486="",45&gt;設定!$B$3,原始資料!AV486=""),"",IF(AND(原始資料!AU486&lt;&gt;"",原始資料!AV486=原始資料!AU486),N(AS486)+1,1))</f>
        <v/>
      </c>
      <c r="AU486" s="6">
        <f>IF(OR(原始資料!$A486="",46&gt;設定!$B$3,原始資料!AW486=""),"",IF(AND(原始資料!AV486&lt;&gt;"",原始資料!AW486=原始資料!AV486),N(AT486)+1,1))</f>
        <v/>
      </c>
      <c r="AV486" s="6">
        <f>IF(OR(原始資料!$A486="",47&gt;設定!$B$3,原始資料!AX486=""),"",IF(AND(原始資料!AW486&lt;&gt;"",原始資料!AX486=原始資料!AW486),N(AU486)+1,1))</f>
        <v/>
      </c>
      <c r="AW486" s="6">
        <f>IF(OR(原始資料!$A486="",48&gt;設定!$B$3,原始資料!AY486=""),"",IF(AND(原始資料!AX486&lt;&gt;"",原始資料!AY486=原始資料!AX486),N(AV486)+1,1))</f>
        <v/>
      </c>
      <c r="AX486" s="6">
        <f>IF(OR(原始資料!$A486="",49&gt;設定!$B$3,原始資料!AZ486=""),"",IF(AND(原始資料!AY486&lt;&gt;"",原始資料!AZ486=原始資料!AY486),N(AW486)+1,1))</f>
        <v/>
      </c>
      <c r="AY486" s="6">
        <f>IF(OR(原始資料!$A486="",50&gt;設定!$B$3,原始資料!BA486=""),"",IF(AND(原始資料!AZ486&lt;&gt;"",原始資料!BA486=原始資料!AZ486),N(AX486)+1,1))</f>
        <v/>
      </c>
      <c r="AZ486" s="6">
        <f>IF(OR(原始資料!$A486="",51&gt;設定!$B$3,原始資料!BB486=""),"",IF(AND(原始資料!BA486&lt;&gt;"",原始資料!BB486=原始資料!BA486),N(AY486)+1,1))</f>
        <v/>
      </c>
      <c r="BA486" s="6">
        <f>IF(OR(原始資料!$A486="",52&gt;設定!$B$3,原始資料!BC486=""),"",IF(AND(原始資料!BB486&lt;&gt;"",原始資料!BC486=原始資料!BB486),N(AZ486)+1,1))</f>
        <v/>
      </c>
      <c r="BB486" s="6">
        <f>IF(OR(原始資料!$A486="",53&gt;設定!$B$3,原始資料!BD486=""),"",IF(AND(原始資料!BC486&lt;&gt;"",原始資料!BD486=原始資料!BC486),N(BA486)+1,1))</f>
        <v/>
      </c>
      <c r="BC486" s="6">
        <f>IF(OR(原始資料!$A486="",54&gt;設定!$B$3,原始資料!BE486=""),"",IF(AND(原始資料!BD486&lt;&gt;"",原始資料!BE486=原始資料!BD486),N(BB486)+1,1))</f>
        <v/>
      </c>
      <c r="BD486" s="6">
        <f>IF(OR(原始資料!$A486="",55&gt;設定!$B$3,原始資料!BF486=""),"",IF(AND(原始資料!BE486&lt;&gt;"",原始資料!BF486=原始資料!BE486),N(BC486)+1,1))</f>
        <v/>
      </c>
      <c r="BE486" s="6">
        <f>IF(OR(原始資料!$A486="",56&gt;設定!$B$3,原始資料!BG486=""),"",IF(AND(原始資料!BF486&lt;&gt;"",原始資料!BG486=原始資料!BF486),N(BD486)+1,1))</f>
        <v/>
      </c>
      <c r="BF486" s="6">
        <f>IF(OR(原始資料!$A486="",57&gt;設定!$B$3,原始資料!BH486=""),"",IF(AND(原始資料!BG486&lt;&gt;"",原始資料!BH486=原始資料!BG486),N(BE486)+1,1))</f>
        <v/>
      </c>
      <c r="BG486" s="6">
        <f>IF(OR(原始資料!$A486="",58&gt;設定!$B$3,原始資料!BI486=""),"",IF(AND(原始資料!BH486&lt;&gt;"",原始資料!BI486=原始資料!BH486),N(BF486)+1,1))</f>
        <v/>
      </c>
      <c r="BH486" s="6">
        <f>IF(OR(原始資料!$A486="",59&gt;設定!$B$3,原始資料!BJ486=""),"",IF(AND(原始資料!BI486&lt;&gt;"",原始資料!BJ486=原始資料!BI486),N(BG486)+1,1))</f>
        <v/>
      </c>
      <c r="BI486" s="6">
        <f>IF(OR(原始資料!$A486="",60&gt;設定!$B$3,原始資料!BK486=""),"",IF(AND(原始資料!BJ486&lt;&gt;"",原始資料!BK486=原始資料!BJ486),N(BH486)+1,1))</f>
        <v/>
      </c>
    </row>
    <row r="487">
      <c r="A487" s="6">
        <f>IF(原始資料!$A487="","",原始資料!$A487)</f>
        <v/>
      </c>
      <c r="B487" s="6">
        <f>IF(OR(原始資料!$A487="",1&gt;設定!$B$3,原始資料!D487=""),"",1)</f>
        <v/>
      </c>
      <c r="C487" s="6">
        <f>IF(OR(原始資料!$A487="",2&gt;設定!$B$3,原始資料!E487=""),"",IF(AND(原始資料!D487&lt;&gt;"",原始資料!E487=原始資料!D487),N(B487)+1,1))</f>
        <v/>
      </c>
      <c r="D487" s="6">
        <f>IF(OR(原始資料!$A487="",3&gt;設定!$B$3,原始資料!F487=""),"",IF(AND(原始資料!E487&lt;&gt;"",原始資料!F487=原始資料!E487),N(C487)+1,1))</f>
        <v/>
      </c>
      <c r="E487" s="6">
        <f>IF(OR(原始資料!$A487="",4&gt;設定!$B$3,原始資料!G487=""),"",IF(AND(原始資料!F487&lt;&gt;"",原始資料!G487=原始資料!F487),N(D487)+1,1))</f>
        <v/>
      </c>
      <c r="F487" s="6">
        <f>IF(OR(原始資料!$A487="",5&gt;設定!$B$3,原始資料!H487=""),"",IF(AND(原始資料!G487&lt;&gt;"",原始資料!H487=原始資料!G487),N(E487)+1,1))</f>
        <v/>
      </c>
      <c r="G487" s="6">
        <f>IF(OR(原始資料!$A487="",6&gt;設定!$B$3,原始資料!I487=""),"",IF(AND(原始資料!H487&lt;&gt;"",原始資料!I487=原始資料!H487),N(F487)+1,1))</f>
        <v/>
      </c>
      <c r="H487" s="6">
        <f>IF(OR(原始資料!$A487="",7&gt;設定!$B$3,原始資料!J487=""),"",IF(AND(原始資料!I487&lt;&gt;"",原始資料!J487=原始資料!I487),N(G487)+1,1))</f>
        <v/>
      </c>
      <c r="I487" s="6">
        <f>IF(OR(原始資料!$A487="",8&gt;設定!$B$3,原始資料!K487=""),"",IF(AND(原始資料!J487&lt;&gt;"",原始資料!K487=原始資料!J487),N(H487)+1,1))</f>
        <v/>
      </c>
      <c r="J487" s="6">
        <f>IF(OR(原始資料!$A487="",9&gt;設定!$B$3,原始資料!L487=""),"",IF(AND(原始資料!K487&lt;&gt;"",原始資料!L487=原始資料!K487),N(I487)+1,1))</f>
        <v/>
      </c>
      <c r="K487" s="6">
        <f>IF(OR(原始資料!$A487="",10&gt;設定!$B$3,原始資料!M487=""),"",IF(AND(原始資料!L487&lt;&gt;"",原始資料!M487=原始資料!L487),N(J487)+1,1))</f>
        <v/>
      </c>
      <c r="L487" s="6">
        <f>IF(OR(原始資料!$A487="",11&gt;設定!$B$3,原始資料!N487=""),"",IF(AND(原始資料!M487&lt;&gt;"",原始資料!N487=原始資料!M487),N(K487)+1,1))</f>
        <v/>
      </c>
      <c r="M487" s="6">
        <f>IF(OR(原始資料!$A487="",12&gt;設定!$B$3,原始資料!O487=""),"",IF(AND(原始資料!N487&lt;&gt;"",原始資料!O487=原始資料!N487),N(L487)+1,1))</f>
        <v/>
      </c>
      <c r="N487" s="6">
        <f>IF(OR(原始資料!$A487="",13&gt;設定!$B$3,原始資料!P487=""),"",IF(AND(原始資料!O487&lt;&gt;"",原始資料!P487=原始資料!O487),N(M487)+1,1))</f>
        <v/>
      </c>
      <c r="O487" s="6">
        <f>IF(OR(原始資料!$A487="",14&gt;設定!$B$3,原始資料!Q487=""),"",IF(AND(原始資料!P487&lt;&gt;"",原始資料!Q487=原始資料!P487),N(N487)+1,1))</f>
        <v/>
      </c>
      <c r="P487" s="6">
        <f>IF(OR(原始資料!$A487="",15&gt;設定!$B$3,原始資料!R487=""),"",IF(AND(原始資料!Q487&lt;&gt;"",原始資料!R487=原始資料!Q487),N(O487)+1,1))</f>
        <v/>
      </c>
      <c r="Q487" s="6">
        <f>IF(OR(原始資料!$A487="",16&gt;設定!$B$3,原始資料!S487=""),"",IF(AND(原始資料!R487&lt;&gt;"",原始資料!S487=原始資料!R487),N(P487)+1,1))</f>
        <v/>
      </c>
      <c r="R487" s="6">
        <f>IF(OR(原始資料!$A487="",17&gt;設定!$B$3,原始資料!T487=""),"",IF(AND(原始資料!S487&lt;&gt;"",原始資料!T487=原始資料!S487),N(Q487)+1,1))</f>
        <v/>
      </c>
      <c r="S487" s="6">
        <f>IF(OR(原始資料!$A487="",18&gt;設定!$B$3,原始資料!U487=""),"",IF(AND(原始資料!T487&lt;&gt;"",原始資料!U487=原始資料!T487),N(R487)+1,1))</f>
        <v/>
      </c>
      <c r="T487" s="6">
        <f>IF(OR(原始資料!$A487="",19&gt;設定!$B$3,原始資料!V487=""),"",IF(AND(原始資料!U487&lt;&gt;"",原始資料!V487=原始資料!U487),N(S487)+1,1))</f>
        <v/>
      </c>
      <c r="U487" s="6">
        <f>IF(OR(原始資料!$A487="",20&gt;設定!$B$3,原始資料!W487=""),"",IF(AND(原始資料!V487&lt;&gt;"",原始資料!W487=原始資料!V487),N(T487)+1,1))</f>
        <v/>
      </c>
      <c r="V487" s="6">
        <f>IF(OR(原始資料!$A487="",21&gt;設定!$B$3,原始資料!X487=""),"",IF(AND(原始資料!W487&lt;&gt;"",原始資料!X487=原始資料!W487),N(U487)+1,1))</f>
        <v/>
      </c>
      <c r="W487" s="6">
        <f>IF(OR(原始資料!$A487="",22&gt;設定!$B$3,原始資料!Y487=""),"",IF(AND(原始資料!X487&lt;&gt;"",原始資料!Y487=原始資料!X487),N(V487)+1,1))</f>
        <v/>
      </c>
      <c r="X487" s="6">
        <f>IF(OR(原始資料!$A487="",23&gt;設定!$B$3,原始資料!Z487=""),"",IF(AND(原始資料!Y487&lt;&gt;"",原始資料!Z487=原始資料!Y487),N(W487)+1,1))</f>
        <v/>
      </c>
      <c r="Y487" s="6">
        <f>IF(OR(原始資料!$A487="",24&gt;設定!$B$3,原始資料!AA487=""),"",IF(AND(原始資料!Z487&lt;&gt;"",原始資料!AA487=原始資料!Z487),N(X487)+1,1))</f>
        <v/>
      </c>
      <c r="Z487" s="6">
        <f>IF(OR(原始資料!$A487="",25&gt;設定!$B$3,原始資料!AB487=""),"",IF(AND(原始資料!AA487&lt;&gt;"",原始資料!AB487=原始資料!AA487),N(Y487)+1,1))</f>
        <v/>
      </c>
      <c r="AA487" s="6">
        <f>IF(OR(原始資料!$A487="",26&gt;設定!$B$3,原始資料!AC487=""),"",IF(AND(原始資料!AB487&lt;&gt;"",原始資料!AC487=原始資料!AB487),N(Z487)+1,1))</f>
        <v/>
      </c>
      <c r="AB487" s="6">
        <f>IF(OR(原始資料!$A487="",27&gt;設定!$B$3,原始資料!AD487=""),"",IF(AND(原始資料!AC487&lt;&gt;"",原始資料!AD487=原始資料!AC487),N(AA487)+1,1))</f>
        <v/>
      </c>
      <c r="AC487" s="6">
        <f>IF(OR(原始資料!$A487="",28&gt;設定!$B$3,原始資料!AE487=""),"",IF(AND(原始資料!AD487&lt;&gt;"",原始資料!AE487=原始資料!AD487),N(AB487)+1,1))</f>
        <v/>
      </c>
      <c r="AD487" s="6">
        <f>IF(OR(原始資料!$A487="",29&gt;設定!$B$3,原始資料!AF487=""),"",IF(AND(原始資料!AE487&lt;&gt;"",原始資料!AF487=原始資料!AE487),N(AC487)+1,1))</f>
        <v/>
      </c>
      <c r="AE487" s="6">
        <f>IF(OR(原始資料!$A487="",30&gt;設定!$B$3,原始資料!AG487=""),"",IF(AND(原始資料!AF487&lt;&gt;"",原始資料!AG487=原始資料!AF487),N(AD487)+1,1))</f>
        <v/>
      </c>
      <c r="AF487" s="6">
        <f>IF(OR(原始資料!$A487="",31&gt;設定!$B$3,原始資料!AH487=""),"",IF(AND(原始資料!AG487&lt;&gt;"",原始資料!AH487=原始資料!AG487),N(AE487)+1,1))</f>
        <v/>
      </c>
      <c r="AG487" s="6">
        <f>IF(OR(原始資料!$A487="",32&gt;設定!$B$3,原始資料!AI487=""),"",IF(AND(原始資料!AH487&lt;&gt;"",原始資料!AI487=原始資料!AH487),N(AF487)+1,1))</f>
        <v/>
      </c>
      <c r="AH487" s="6">
        <f>IF(OR(原始資料!$A487="",33&gt;設定!$B$3,原始資料!AJ487=""),"",IF(AND(原始資料!AI487&lt;&gt;"",原始資料!AJ487=原始資料!AI487),N(AG487)+1,1))</f>
        <v/>
      </c>
      <c r="AI487" s="6">
        <f>IF(OR(原始資料!$A487="",34&gt;設定!$B$3,原始資料!AK487=""),"",IF(AND(原始資料!AJ487&lt;&gt;"",原始資料!AK487=原始資料!AJ487),N(AH487)+1,1))</f>
        <v/>
      </c>
      <c r="AJ487" s="6">
        <f>IF(OR(原始資料!$A487="",35&gt;設定!$B$3,原始資料!AL487=""),"",IF(AND(原始資料!AK487&lt;&gt;"",原始資料!AL487=原始資料!AK487),N(AI487)+1,1))</f>
        <v/>
      </c>
      <c r="AK487" s="6">
        <f>IF(OR(原始資料!$A487="",36&gt;設定!$B$3,原始資料!AM487=""),"",IF(AND(原始資料!AL487&lt;&gt;"",原始資料!AM487=原始資料!AL487),N(AJ487)+1,1))</f>
        <v/>
      </c>
      <c r="AL487" s="6">
        <f>IF(OR(原始資料!$A487="",37&gt;設定!$B$3,原始資料!AN487=""),"",IF(AND(原始資料!AM487&lt;&gt;"",原始資料!AN487=原始資料!AM487),N(AK487)+1,1))</f>
        <v/>
      </c>
      <c r="AM487" s="6">
        <f>IF(OR(原始資料!$A487="",38&gt;設定!$B$3,原始資料!AO487=""),"",IF(AND(原始資料!AN487&lt;&gt;"",原始資料!AO487=原始資料!AN487),N(AL487)+1,1))</f>
        <v/>
      </c>
      <c r="AN487" s="6">
        <f>IF(OR(原始資料!$A487="",39&gt;設定!$B$3,原始資料!AP487=""),"",IF(AND(原始資料!AO487&lt;&gt;"",原始資料!AP487=原始資料!AO487),N(AM487)+1,1))</f>
        <v/>
      </c>
      <c r="AO487" s="6">
        <f>IF(OR(原始資料!$A487="",40&gt;設定!$B$3,原始資料!AQ487=""),"",IF(AND(原始資料!AP487&lt;&gt;"",原始資料!AQ487=原始資料!AP487),N(AN487)+1,1))</f>
        <v/>
      </c>
      <c r="AP487" s="6">
        <f>IF(OR(原始資料!$A487="",41&gt;設定!$B$3,原始資料!AR487=""),"",IF(AND(原始資料!AQ487&lt;&gt;"",原始資料!AR487=原始資料!AQ487),N(AO487)+1,1))</f>
        <v/>
      </c>
      <c r="AQ487" s="6">
        <f>IF(OR(原始資料!$A487="",42&gt;設定!$B$3,原始資料!AS487=""),"",IF(AND(原始資料!AR487&lt;&gt;"",原始資料!AS487=原始資料!AR487),N(AP487)+1,1))</f>
        <v/>
      </c>
      <c r="AR487" s="6">
        <f>IF(OR(原始資料!$A487="",43&gt;設定!$B$3,原始資料!AT487=""),"",IF(AND(原始資料!AS487&lt;&gt;"",原始資料!AT487=原始資料!AS487),N(AQ487)+1,1))</f>
        <v/>
      </c>
      <c r="AS487" s="6">
        <f>IF(OR(原始資料!$A487="",44&gt;設定!$B$3,原始資料!AU487=""),"",IF(AND(原始資料!AT487&lt;&gt;"",原始資料!AU487=原始資料!AT487),N(AR487)+1,1))</f>
        <v/>
      </c>
      <c r="AT487" s="6">
        <f>IF(OR(原始資料!$A487="",45&gt;設定!$B$3,原始資料!AV487=""),"",IF(AND(原始資料!AU487&lt;&gt;"",原始資料!AV487=原始資料!AU487),N(AS487)+1,1))</f>
        <v/>
      </c>
      <c r="AU487" s="6">
        <f>IF(OR(原始資料!$A487="",46&gt;設定!$B$3,原始資料!AW487=""),"",IF(AND(原始資料!AV487&lt;&gt;"",原始資料!AW487=原始資料!AV487),N(AT487)+1,1))</f>
        <v/>
      </c>
      <c r="AV487" s="6">
        <f>IF(OR(原始資料!$A487="",47&gt;設定!$B$3,原始資料!AX487=""),"",IF(AND(原始資料!AW487&lt;&gt;"",原始資料!AX487=原始資料!AW487),N(AU487)+1,1))</f>
        <v/>
      </c>
      <c r="AW487" s="6">
        <f>IF(OR(原始資料!$A487="",48&gt;設定!$B$3,原始資料!AY487=""),"",IF(AND(原始資料!AX487&lt;&gt;"",原始資料!AY487=原始資料!AX487),N(AV487)+1,1))</f>
        <v/>
      </c>
      <c r="AX487" s="6">
        <f>IF(OR(原始資料!$A487="",49&gt;設定!$B$3,原始資料!AZ487=""),"",IF(AND(原始資料!AY487&lt;&gt;"",原始資料!AZ487=原始資料!AY487),N(AW487)+1,1))</f>
        <v/>
      </c>
      <c r="AY487" s="6">
        <f>IF(OR(原始資料!$A487="",50&gt;設定!$B$3,原始資料!BA487=""),"",IF(AND(原始資料!AZ487&lt;&gt;"",原始資料!BA487=原始資料!AZ487),N(AX487)+1,1))</f>
        <v/>
      </c>
      <c r="AZ487" s="6">
        <f>IF(OR(原始資料!$A487="",51&gt;設定!$B$3,原始資料!BB487=""),"",IF(AND(原始資料!BA487&lt;&gt;"",原始資料!BB487=原始資料!BA487),N(AY487)+1,1))</f>
        <v/>
      </c>
      <c r="BA487" s="6">
        <f>IF(OR(原始資料!$A487="",52&gt;設定!$B$3,原始資料!BC487=""),"",IF(AND(原始資料!BB487&lt;&gt;"",原始資料!BC487=原始資料!BB487),N(AZ487)+1,1))</f>
        <v/>
      </c>
      <c r="BB487" s="6">
        <f>IF(OR(原始資料!$A487="",53&gt;設定!$B$3,原始資料!BD487=""),"",IF(AND(原始資料!BC487&lt;&gt;"",原始資料!BD487=原始資料!BC487),N(BA487)+1,1))</f>
        <v/>
      </c>
      <c r="BC487" s="6">
        <f>IF(OR(原始資料!$A487="",54&gt;設定!$B$3,原始資料!BE487=""),"",IF(AND(原始資料!BD487&lt;&gt;"",原始資料!BE487=原始資料!BD487),N(BB487)+1,1))</f>
        <v/>
      </c>
      <c r="BD487" s="6">
        <f>IF(OR(原始資料!$A487="",55&gt;設定!$B$3,原始資料!BF487=""),"",IF(AND(原始資料!BE487&lt;&gt;"",原始資料!BF487=原始資料!BE487),N(BC487)+1,1))</f>
        <v/>
      </c>
      <c r="BE487" s="6">
        <f>IF(OR(原始資料!$A487="",56&gt;設定!$B$3,原始資料!BG487=""),"",IF(AND(原始資料!BF487&lt;&gt;"",原始資料!BG487=原始資料!BF487),N(BD487)+1,1))</f>
        <v/>
      </c>
      <c r="BF487" s="6">
        <f>IF(OR(原始資料!$A487="",57&gt;設定!$B$3,原始資料!BH487=""),"",IF(AND(原始資料!BG487&lt;&gt;"",原始資料!BH487=原始資料!BG487),N(BE487)+1,1))</f>
        <v/>
      </c>
      <c r="BG487" s="6">
        <f>IF(OR(原始資料!$A487="",58&gt;設定!$B$3,原始資料!BI487=""),"",IF(AND(原始資料!BH487&lt;&gt;"",原始資料!BI487=原始資料!BH487),N(BF487)+1,1))</f>
        <v/>
      </c>
      <c r="BH487" s="6">
        <f>IF(OR(原始資料!$A487="",59&gt;設定!$B$3,原始資料!BJ487=""),"",IF(AND(原始資料!BI487&lt;&gt;"",原始資料!BJ487=原始資料!BI487),N(BG487)+1,1))</f>
        <v/>
      </c>
      <c r="BI487" s="6">
        <f>IF(OR(原始資料!$A487="",60&gt;設定!$B$3,原始資料!BK487=""),"",IF(AND(原始資料!BJ487&lt;&gt;"",原始資料!BK487=原始資料!BJ487),N(BH487)+1,1))</f>
        <v/>
      </c>
    </row>
    <row r="488">
      <c r="A488" s="6">
        <f>IF(原始資料!$A488="","",原始資料!$A488)</f>
        <v/>
      </c>
      <c r="B488" s="6">
        <f>IF(OR(原始資料!$A488="",1&gt;設定!$B$3,原始資料!D488=""),"",1)</f>
        <v/>
      </c>
      <c r="C488" s="6">
        <f>IF(OR(原始資料!$A488="",2&gt;設定!$B$3,原始資料!E488=""),"",IF(AND(原始資料!D488&lt;&gt;"",原始資料!E488=原始資料!D488),N(B488)+1,1))</f>
        <v/>
      </c>
      <c r="D488" s="6">
        <f>IF(OR(原始資料!$A488="",3&gt;設定!$B$3,原始資料!F488=""),"",IF(AND(原始資料!E488&lt;&gt;"",原始資料!F488=原始資料!E488),N(C488)+1,1))</f>
        <v/>
      </c>
      <c r="E488" s="6">
        <f>IF(OR(原始資料!$A488="",4&gt;設定!$B$3,原始資料!G488=""),"",IF(AND(原始資料!F488&lt;&gt;"",原始資料!G488=原始資料!F488),N(D488)+1,1))</f>
        <v/>
      </c>
      <c r="F488" s="6">
        <f>IF(OR(原始資料!$A488="",5&gt;設定!$B$3,原始資料!H488=""),"",IF(AND(原始資料!G488&lt;&gt;"",原始資料!H488=原始資料!G488),N(E488)+1,1))</f>
        <v/>
      </c>
      <c r="G488" s="6">
        <f>IF(OR(原始資料!$A488="",6&gt;設定!$B$3,原始資料!I488=""),"",IF(AND(原始資料!H488&lt;&gt;"",原始資料!I488=原始資料!H488),N(F488)+1,1))</f>
        <v/>
      </c>
      <c r="H488" s="6">
        <f>IF(OR(原始資料!$A488="",7&gt;設定!$B$3,原始資料!J488=""),"",IF(AND(原始資料!I488&lt;&gt;"",原始資料!J488=原始資料!I488),N(G488)+1,1))</f>
        <v/>
      </c>
      <c r="I488" s="6">
        <f>IF(OR(原始資料!$A488="",8&gt;設定!$B$3,原始資料!K488=""),"",IF(AND(原始資料!J488&lt;&gt;"",原始資料!K488=原始資料!J488),N(H488)+1,1))</f>
        <v/>
      </c>
      <c r="J488" s="6">
        <f>IF(OR(原始資料!$A488="",9&gt;設定!$B$3,原始資料!L488=""),"",IF(AND(原始資料!K488&lt;&gt;"",原始資料!L488=原始資料!K488),N(I488)+1,1))</f>
        <v/>
      </c>
      <c r="K488" s="6">
        <f>IF(OR(原始資料!$A488="",10&gt;設定!$B$3,原始資料!M488=""),"",IF(AND(原始資料!L488&lt;&gt;"",原始資料!M488=原始資料!L488),N(J488)+1,1))</f>
        <v/>
      </c>
      <c r="L488" s="6">
        <f>IF(OR(原始資料!$A488="",11&gt;設定!$B$3,原始資料!N488=""),"",IF(AND(原始資料!M488&lt;&gt;"",原始資料!N488=原始資料!M488),N(K488)+1,1))</f>
        <v/>
      </c>
      <c r="M488" s="6">
        <f>IF(OR(原始資料!$A488="",12&gt;設定!$B$3,原始資料!O488=""),"",IF(AND(原始資料!N488&lt;&gt;"",原始資料!O488=原始資料!N488),N(L488)+1,1))</f>
        <v/>
      </c>
      <c r="N488" s="6">
        <f>IF(OR(原始資料!$A488="",13&gt;設定!$B$3,原始資料!P488=""),"",IF(AND(原始資料!O488&lt;&gt;"",原始資料!P488=原始資料!O488),N(M488)+1,1))</f>
        <v/>
      </c>
      <c r="O488" s="6">
        <f>IF(OR(原始資料!$A488="",14&gt;設定!$B$3,原始資料!Q488=""),"",IF(AND(原始資料!P488&lt;&gt;"",原始資料!Q488=原始資料!P488),N(N488)+1,1))</f>
        <v/>
      </c>
      <c r="P488" s="6">
        <f>IF(OR(原始資料!$A488="",15&gt;設定!$B$3,原始資料!R488=""),"",IF(AND(原始資料!Q488&lt;&gt;"",原始資料!R488=原始資料!Q488),N(O488)+1,1))</f>
        <v/>
      </c>
      <c r="Q488" s="6">
        <f>IF(OR(原始資料!$A488="",16&gt;設定!$B$3,原始資料!S488=""),"",IF(AND(原始資料!R488&lt;&gt;"",原始資料!S488=原始資料!R488),N(P488)+1,1))</f>
        <v/>
      </c>
      <c r="R488" s="6">
        <f>IF(OR(原始資料!$A488="",17&gt;設定!$B$3,原始資料!T488=""),"",IF(AND(原始資料!S488&lt;&gt;"",原始資料!T488=原始資料!S488),N(Q488)+1,1))</f>
        <v/>
      </c>
      <c r="S488" s="6">
        <f>IF(OR(原始資料!$A488="",18&gt;設定!$B$3,原始資料!U488=""),"",IF(AND(原始資料!T488&lt;&gt;"",原始資料!U488=原始資料!T488),N(R488)+1,1))</f>
        <v/>
      </c>
      <c r="T488" s="6">
        <f>IF(OR(原始資料!$A488="",19&gt;設定!$B$3,原始資料!V488=""),"",IF(AND(原始資料!U488&lt;&gt;"",原始資料!V488=原始資料!U488),N(S488)+1,1))</f>
        <v/>
      </c>
      <c r="U488" s="6">
        <f>IF(OR(原始資料!$A488="",20&gt;設定!$B$3,原始資料!W488=""),"",IF(AND(原始資料!V488&lt;&gt;"",原始資料!W488=原始資料!V488),N(T488)+1,1))</f>
        <v/>
      </c>
      <c r="V488" s="6">
        <f>IF(OR(原始資料!$A488="",21&gt;設定!$B$3,原始資料!X488=""),"",IF(AND(原始資料!W488&lt;&gt;"",原始資料!X488=原始資料!W488),N(U488)+1,1))</f>
        <v/>
      </c>
      <c r="W488" s="6">
        <f>IF(OR(原始資料!$A488="",22&gt;設定!$B$3,原始資料!Y488=""),"",IF(AND(原始資料!X488&lt;&gt;"",原始資料!Y488=原始資料!X488),N(V488)+1,1))</f>
        <v/>
      </c>
      <c r="X488" s="6">
        <f>IF(OR(原始資料!$A488="",23&gt;設定!$B$3,原始資料!Z488=""),"",IF(AND(原始資料!Y488&lt;&gt;"",原始資料!Z488=原始資料!Y488),N(W488)+1,1))</f>
        <v/>
      </c>
      <c r="Y488" s="6">
        <f>IF(OR(原始資料!$A488="",24&gt;設定!$B$3,原始資料!AA488=""),"",IF(AND(原始資料!Z488&lt;&gt;"",原始資料!AA488=原始資料!Z488),N(X488)+1,1))</f>
        <v/>
      </c>
      <c r="Z488" s="6">
        <f>IF(OR(原始資料!$A488="",25&gt;設定!$B$3,原始資料!AB488=""),"",IF(AND(原始資料!AA488&lt;&gt;"",原始資料!AB488=原始資料!AA488),N(Y488)+1,1))</f>
        <v/>
      </c>
      <c r="AA488" s="6">
        <f>IF(OR(原始資料!$A488="",26&gt;設定!$B$3,原始資料!AC488=""),"",IF(AND(原始資料!AB488&lt;&gt;"",原始資料!AC488=原始資料!AB488),N(Z488)+1,1))</f>
        <v/>
      </c>
      <c r="AB488" s="6">
        <f>IF(OR(原始資料!$A488="",27&gt;設定!$B$3,原始資料!AD488=""),"",IF(AND(原始資料!AC488&lt;&gt;"",原始資料!AD488=原始資料!AC488),N(AA488)+1,1))</f>
        <v/>
      </c>
      <c r="AC488" s="6">
        <f>IF(OR(原始資料!$A488="",28&gt;設定!$B$3,原始資料!AE488=""),"",IF(AND(原始資料!AD488&lt;&gt;"",原始資料!AE488=原始資料!AD488),N(AB488)+1,1))</f>
        <v/>
      </c>
      <c r="AD488" s="6">
        <f>IF(OR(原始資料!$A488="",29&gt;設定!$B$3,原始資料!AF488=""),"",IF(AND(原始資料!AE488&lt;&gt;"",原始資料!AF488=原始資料!AE488),N(AC488)+1,1))</f>
        <v/>
      </c>
      <c r="AE488" s="6">
        <f>IF(OR(原始資料!$A488="",30&gt;設定!$B$3,原始資料!AG488=""),"",IF(AND(原始資料!AF488&lt;&gt;"",原始資料!AG488=原始資料!AF488),N(AD488)+1,1))</f>
        <v/>
      </c>
      <c r="AF488" s="6">
        <f>IF(OR(原始資料!$A488="",31&gt;設定!$B$3,原始資料!AH488=""),"",IF(AND(原始資料!AG488&lt;&gt;"",原始資料!AH488=原始資料!AG488),N(AE488)+1,1))</f>
        <v/>
      </c>
      <c r="AG488" s="6">
        <f>IF(OR(原始資料!$A488="",32&gt;設定!$B$3,原始資料!AI488=""),"",IF(AND(原始資料!AH488&lt;&gt;"",原始資料!AI488=原始資料!AH488),N(AF488)+1,1))</f>
        <v/>
      </c>
      <c r="AH488" s="6">
        <f>IF(OR(原始資料!$A488="",33&gt;設定!$B$3,原始資料!AJ488=""),"",IF(AND(原始資料!AI488&lt;&gt;"",原始資料!AJ488=原始資料!AI488),N(AG488)+1,1))</f>
        <v/>
      </c>
      <c r="AI488" s="6">
        <f>IF(OR(原始資料!$A488="",34&gt;設定!$B$3,原始資料!AK488=""),"",IF(AND(原始資料!AJ488&lt;&gt;"",原始資料!AK488=原始資料!AJ488),N(AH488)+1,1))</f>
        <v/>
      </c>
      <c r="AJ488" s="6">
        <f>IF(OR(原始資料!$A488="",35&gt;設定!$B$3,原始資料!AL488=""),"",IF(AND(原始資料!AK488&lt;&gt;"",原始資料!AL488=原始資料!AK488),N(AI488)+1,1))</f>
        <v/>
      </c>
      <c r="AK488" s="6">
        <f>IF(OR(原始資料!$A488="",36&gt;設定!$B$3,原始資料!AM488=""),"",IF(AND(原始資料!AL488&lt;&gt;"",原始資料!AM488=原始資料!AL488),N(AJ488)+1,1))</f>
        <v/>
      </c>
      <c r="AL488" s="6">
        <f>IF(OR(原始資料!$A488="",37&gt;設定!$B$3,原始資料!AN488=""),"",IF(AND(原始資料!AM488&lt;&gt;"",原始資料!AN488=原始資料!AM488),N(AK488)+1,1))</f>
        <v/>
      </c>
      <c r="AM488" s="6">
        <f>IF(OR(原始資料!$A488="",38&gt;設定!$B$3,原始資料!AO488=""),"",IF(AND(原始資料!AN488&lt;&gt;"",原始資料!AO488=原始資料!AN488),N(AL488)+1,1))</f>
        <v/>
      </c>
      <c r="AN488" s="6">
        <f>IF(OR(原始資料!$A488="",39&gt;設定!$B$3,原始資料!AP488=""),"",IF(AND(原始資料!AO488&lt;&gt;"",原始資料!AP488=原始資料!AO488),N(AM488)+1,1))</f>
        <v/>
      </c>
      <c r="AO488" s="6">
        <f>IF(OR(原始資料!$A488="",40&gt;設定!$B$3,原始資料!AQ488=""),"",IF(AND(原始資料!AP488&lt;&gt;"",原始資料!AQ488=原始資料!AP488),N(AN488)+1,1))</f>
        <v/>
      </c>
      <c r="AP488" s="6">
        <f>IF(OR(原始資料!$A488="",41&gt;設定!$B$3,原始資料!AR488=""),"",IF(AND(原始資料!AQ488&lt;&gt;"",原始資料!AR488=原始資料!AQ488),N(AO488)+1,1))</f>
        <v/>
      </c>
      <c r="AQ488" s="6">
        <f>IF(OR(原始資料!$A488="",42&gt;設定!$B$3,原始資料!AS488=""),"",IF(AND(原始資料!AR488&lt;&gt;"",原始資料!AS488=原始資料!AR488),N(AP488)+1,1))</f>
        <v/>
      </c>
      <c r="AR488" s="6">
        <f>IF(OR(原始資料!$A488="",43&gt;設定!$B$3,原始資料!AT488=""),"",IF(AND(原始資料!AS488&lt;&gt;"",原始資料!AT488=原始資料!AS488),N(AQ488)+1,1))</f>
        <v/>
      </c>
      <c r="AS488" s="6">
        <f>IF(OR(原始資料!$A488="",44&gt;設定!$B$3,原始資料!AU488=""),"",IF(AND(原始資料!AT488&lt;&gt;"",原始資料!AU488=原始資料!AT488),N(AR488)+1,1))</f>
        <v/>
      </c>
      <c r="AT488" s="6">
        <f>IF(OR(原始資料!$A488="",45&gt;設定!$B$3,原始資料!AV488=""),"",IF(AND(原始資料!AU488&lt;&gt;"",原始資料!AV488=原始資料!AU488),N(AS488)+1,1))</f>
        <v/>
      </c>
      <c r="AU488" s="6">
        <f>IF(OR(原始資料!$A488="",46&gt;設定!$B$3,原始資料!AW488=""),"",IF(AND(原始資料!AV488&lt;&gt;"",原始資料!AW488=原始資料!AV488),N(AT488)+1,1))</f>
        <v/>
      </c>
      <c r="AV488" s="6">
        <f>IF(OR(原始資料!$A488="",47&gt;設定!$B$3,原始資料!AX488=""),"",IF(AND(原始資料!AW488&lt;&gt;"",原始資料!AX488=原始資料!AW488),N(AU488)+1,1))</f>
        <v/>
      </c>
      <c r="AW488" s="6">
        <f>IF(OR(原始資料!$A488="",48&gt;設定!$B$3,原始資料!AY488=""),"",IF(AND(原始資料!AX488&lt;&gt;"",原始資料!AY488=原始資料!AX488),N(AV488)+1,1))</f>
        <v/>
      </c>
      <c r="AX488" s="6">
        <f>IF(OR(原始資料!$A488="",49&gt;設定!$B$3,原始資料!AZ488=""),"",IF(AND(原始資料!AY488&lt;&gt;"",原始資料!AZ488=原始資料!AY488),N(AW488)+1,1))</f>
        <v/>
      </c>
      <c r="AY488" s="6">
        <f>IF(OR(原始資料!$A488="",50&gt;設定!$B$3,原始資料!BA488=""),"",IF(AND(原始資料!AZ488&lt;&gt;"",原始資料!BA488=原始資料!AZ488),N(AX488)+1,1))</f>
        <v/>
      </c>
      <c r="AZ488" s="6">
        <f>IF(OR(原始資料!$A488="",51&gt;設定!$B$3,原始資料!BB488=""),"",IF(AND(原始資料!BA488&lt;&gt;"",原始資料!BB488=原始資料!BA488),N(AY488)+1,1))</f>
        <v/>
      </c>
      <c r="BA488" s="6">
        <f>IF(OR(原始資料!$A488="",52&gt;設定!$B$3,原始資料!BC488=""),"",IF(AND(原始資料!BB488&lt;&gt;"",原始資料!BC488=原始資料!BB488),N(AZ488)+1,1))</f>
        <v/>
      </c>
      <c r="BB488" s="6">
        <f>IF(OR(原始資料!$A488="",53&gt;設定!$B$3,原始資料!BD488=""),"",IF(AND(原始資料!BC488&lt;&gt;"",原始資料!BD488=原始資料!BC488),N(BA488)+1,1))</f>
        <v/>
      </c>
      <c r="BC488" s="6">
        <f>IF(OR(原始資料!$A488="",54&gt;設定!$B$3,原始資料!BE488=""),"",IF(AND(原始資料!BD488&lt;&gt;"",原始資料!BE488=原始資料!BD488),N(BB488)+1,1))</f>
        <v/>
      </c>
      <c r="BD488" s="6">
        <f>IF(OR(原始資料!$A488="",55&gt;設定!$B$3,原始資料!BF488=""),"",IF(AND(原始資料!BE488&lt;&gt;"",原始資料!BF488=原始資料!BE488),N(BC488)+1,1))</f>
        <v/>
      </c>
      <c r="BE488" s="6">
        <f>IF(OR(原始資料!$A488="",56&gt;設定!$B$3,原始資料!BG488=""),"",IF(AND(原始資料!BF488&lt;&gt;"",原始資料!BG488=原始資料!BF488),N(BD488)+1,1))</f>
        <v/>
      </c>
      <c r="BF488" s="6">
        <f>IF(OR(原始資料!$A488="",57&gt;設定!$B$3,原始資料!BH488=""),"",IF(AND(原始資料!BG488&lt;&gt;"",原始資料!BH488=原始資料!BG488),N(BE488)+1,1))</f>
        <v/>
      </c>
      <c r="BG488" s="6">
        <f>IF(OR(原始資料!$A488="",58&gt;設定!$B$3,原始資料!BI488=""),"",IF(AND(原始資料!BH488&lt;&gt;"",原始資料!BI488=原始資料!BH488),N(BF488)+1,1))</f>
        <v/>
      </c>
      <c r="BH488" s="6">
        <f>IF(OR(原始資料!$A488="",59&gt;設定!$B$3,原始資料!BJ488=""),"",IF(AND(原始資料!BI488&lt;&gt;"",原始資料!BJ488=原始資料!BI488),N(BG488)+1,1))</f>
        <v/>
      </c>
      <c r="BI488" s="6">
        <f>IF(OR(原始資料!$A488="",60&gt;設定!$B$3,原始資料!BK488=""),"",IF(AND(原始資料!BJ488&lt;&gt;"",原始資料!BK488=原始資料!BJ488),N(BH488)+1,1))</f>
        <v/>
      </c>
    </row>
    <row r="489">
      <c r="A489" s="6">
        <f>IF(原始資料!$A489="","",原始資料!$A489)</f>
        <v/>
      </c>
      <c r="B489" s="6">
        <f>IF(OR(原始資料!$A489="",1&gt;設定!$B$3,原始資料!D489=""),"",1)</f>
        <v/>
      </c>
      <c r="C489" s="6">
        <f>IF(OR(原始資料!$A489="",2&gt;設定!$B$3,原始資料!E489=""),"",IF(AND(原始資料!D489&lt;&gt;"",原始資料!E489=原始資料!D489),N(B489)+1,1))</f>
        <v/>
      </c>
      <c r="D489" s="6">
        <f>IF(OR(原始資料!$A489="",3&gt;設定!$B$3,原始資料!F489=""),"",IF(AND(原始資料!E489&lt;&gt;"",原始資料!F489=原始資料!E489),N(C489)+1,1))</f>
        <v/>
      </c>
      <c r="E489" s="6">
        <f>IF(OR(原始資料!$A489="",4&gt;設定!$B$3,原始資料!G489=""),"",IF(AND(原始資料!F489&lt;&gt;"",原始資料!G489=原始資料!F489),N(D489)+1,1))</f>
        <v/>
      </c>
      <c r="F489" s="6">
        <f>IF(OR(原始資料!$A489="",5&gt;設定!$B$3,原始資料!H489=""),"",IF(AND(原始資料!G489&lt;&gt;"",原始資料!H489=原始資料!G489),N(E489)+1,1))</f>
        <v/>
      </c>
      <c r="G489" s="6">
        <f>IF(OR(原始資料!$A489="",6&gt;設定!$B$3,原始資料!I489=""),"",IF(AND(原始資料!H489&lt;&gt;"",原始資料!I489=原始資料!H489),N(F489)+1,1))</f>
        <v/>
      </c>
      <c r="H489" s="6">
        <f>IF(OR(原始資料!$A489="",7&gt;設定!$B$3,原始資料!J489=""),"",IF(AND(原始資料!I489&lt;&gt;"",原始資料!J489=原始資料!I489),N(G489)+1,1))</f>
        <v/>
      </c>
      <c r="I489" s="6">
        <f>IF(OR(原始資料!$A489="",8&gt;設定!$B$3,原始資料!K489=""),"",IF(AND(原始資料!J489&lt;&gt;"",原始資料!K489=原始資料!J489),N(H489)+1,1))</f>
        <v/>
      </c>
      <c r="J489" s="6">
        <f>IF(OR(原始資料!$A489="",9&gt;設定!$B$3,原始資料!L489=""),"",IF(AND(原始資料!K489&lt;&gt;"",原始資料!L489=原始資料!K489),N(I489)+1,1))</f>
        <v/>
      </c>
      <c r="K489" s="6">
        <f>IF(OR(原始資料!$A489="",10&gt;設定!$B$3,原始資料!M489=""),"",IF(AND(原始資料!L489&lt;&gt;"",原始資料!M489=原始資料!L489),N(J489)+1,1))</f>
        <v/>
      </c>
      <c r="L489" s="6">
        <f>IF(OR(原始資料!$A489="",11&gt;設定!$B$3,原始資料!N489=""),"",IF(AND(原始資料!M489&lt;&gt;"",原始資料!N489=原始資料!M489),N(K489)+1,1))</f>
        <v/>
      </c>
      <c r="M489" s="6">
        <f>IF(OR(原始資料!$A489="",12&gt;設定!$B$3,原始資料!O489=""),"",IF(AND(原始資料!N489&lt;&gt;"",原始資料!O489=原始資料!N489),N(L489)+1,1))</f>
        <v/>
      </c>
      <c r="N489" s="6">
        <f>IF(OR(原始資料!$A489="",13&gt;設定!$B$3,原始資料!P489=""),"",IF(AND(原始資料!O489&lt;&gt;"",原始資料!P489=原始資料!O489),N(M489)+1,1))</f>
        <v/>
      </c>
      <c r="O489" s="6">
        <f>IF(OR(原始資料!$A489="",14&gt;設定!$B$3,原始資料!Q489=""),"",IF(AND(原始資料!P489&lt;&gt;"",原始資料!Q489=原始資料!P489),N(N489)+1,1))</f>
        <v/>
      </c>
      <c r="P489" s="6">
        <f>IF(OR(原始資料!$A489="",15&gt;設定!$B$3,原始資料!R489=""),"",IF(AND(原始資料!Q489&lt;&gt;"",原始資料!R489=原始資料!Q489),N(O489)+1,1))</f>
        <v/>
      </c>
      <c r="Q489" s="6">
        <f>IF(OR(原始資料!$A489="",16&gt;設定!$B$3,原始資料!S489=""),"",IF(AND(原始資料!R489&lt;&gt;"",原始資料!S489=原始資料!R489),N(P489)+1,1))</f>
        <v/>
      </c>
      <c r="R489" s="6">
        <f>IF(OR(原始資料!$A489="",17&gt;設定!$B$3,原始資料!T489=""),"",IF(AND(原始資料!S489&lt;&gt;"",原始資料!T489=原始資料!S489),N(Q489)+1,1))</f>
        <v/>
      </c>
      <c r="S489" s="6">
        <f>IF(OR(原始資料!$A489="",18&gt;設定!$B$3,原始資料!U489=""),"",IF(AND(原始資料!T489&lt;&gt;"",原始資料!U489=原始資料!T489),N(R489)+1,1))</f>
        <v/>
      </c>
      <c r="T489" s="6">
        <f>IF(OR(原始資料!$A489="",19&gt;設定!$B$3,原始資料!V489=""),"",IF(AND(原始資料!U489&lt;&gt;"",原始資料!V489=原始資料!U489),N(S489)+1,1))</f>
        <v/>
      </c>
      <c r="U489" s="6">
        <f>IF(OR(原始資料!$A489="",20&gt;設定!$B$3,原始資料!W489=""),"",IF(AND(原始資料!V489&lt;&gt;"",原始資料!W489=原始資料!V489),N(T489)+1,1))</f>
        <v/>
      </c>
      <c r="V489" s="6">
        <f>IF(OR(原始資料!$A489="",21&gt;設定!$B$3,原始資料!X489=""),"",IF(AND(原始資料!W489&lt;&gt;"",原始資料!X489=原始資料!W489),N(U489)+1,1))</f>
        <v/>
      </c>
      <c r="W489" s="6">
        <f>IF(OR(原始資料!$A489="",22&gt;設定!$B$3,原始資料!Y489=""),"",IF(AND(原始資料!X489&lt;&gt;"",原始資料!Y489=原始資料!X489),N(V489)+1,1))</f>
        <v/>
      </c>
      <c r="X489" s="6">
        <f>IF(OR(原始資料!$A489="",23&gt;設定!$B$3,原始資料!Z489=""),"",IF(AND(原始資料!Y489&lt;&gt;"",原始資料!Z489=原始資料!Y489),N(W489)+1,1))</f>
        <v/>
      </c>
      <c r="Y489" s="6">
        <f>IF(OR(原始資料!$A489="",24&gt;設定!$B$3,原始資料!AA489=""),"",IF(AND(原始資料!Z489&lt;&gt;"",原始資料!AA489=原始資料!Z489),N(X489)+1,1))</f>
        <v/>
      </c>
      <c r="Z489" s="6">
        <f>IF(OR(原始資料!$A489="",25&gt;設定!$B$3,原始資料!AB489=""),"",IF(AND(原始資料!AA489&lt;&gt;"",原始資料!AB489=原始資料!AA489),N(Y489)+1,1))</f>
        <v/>
      </c>
      <c r="AA489" s="6">
        <f>IF(OR(原始資料!$A489="",26&gt;設定!$B$3,原始資料!AC489=""),"",IF(AND(原始資料!AB489&lt;&gt;"",原始資料!AC489=原始資料!AB489),N(Z489)+1,1))</f>
        <v/>
      </c>
      <c r="AB489" s="6">
        <f>IF(OR(原始資料!$A489="",27&gt;設定!$B$3,原始資料!AD489=""),"",IF(AND(原始資料!AC489&lt;&gt;"",原始資料!AD489=原始資料!AC489),N(AA489)+1,1))</f>
        <v/>
      </c>
      <c r="AC489" s="6">
        <f>IF(OR(原始資料!$A489="",28&gt;設定!$B$3,原始資料!AE489=""),"",IF(AND(原始資料!AD489&lt;&gt;"",原始資料!AE489=原始資料!AD489),N(AB489)+1,1))</f>
        <v/>
      </c>
      <c r="AD489" s="6">
        <f>IF(OR(原始資料!$A489="",29&gt;設定!$B$3,原始資料!AF489=""),"",IF(AND(原始資料!AE489&lt;&gt;"",原始資料!AF489=原始資料!AE489),N(AC489)+1,1))</f>
        <v/>
      </c>
      <c r="AE489" s="6">
        <f>IF(OR(原始資料!$A489="",30&gt;設定!$B$3,原始資料!AG489=""),"",IF(AND(原始資料!AF489&lt;&gt;"",原始資料!AG489=原始資料!AF489),N(AD489)+1,1))</f>
        <v/>
      </c>
      <c r="AF489" s="6">
        <f>IF(OR(原始資料!$A489="",31&gt;設定!$B$3,原始資料!AH489=""),"",IF(AND(原始資料!AG489&lt;&gt;"",原始資料!AH489=原始資料!AG489),N(AE489)+1,1))</f>
        <v/>
      </c>
      <c r="AG489" s="6">
        <f>IF(OR(原始資料!$A489="",32&gt;設定!$B$3,原始資料!AI489=""),"",IF(AND(原始資料!AH489&lt;&gt;"",原始資料!AI489=原始資料!AH489),N(AF489)+1,1))</f>
        <v/>
      </c>
      <c r="AH489" s="6">
        <f>IF(OR(原始資料!$A489="",33&gt;設定!$B$3,原始資料!AJ489=""),"",IF(AND(原始資料!AI489&lt;&gt;"",原始資料!AJ489=原始資料!AI489),N(AG489)+1,1))</f>
        <v/>
      </c>
      <c r="AI489" s="6">
        <f>IF(OR(原始資料!$A489="",34&gt;設定!$B$3,原始資料!AK489=""),"",IF(AND(原始資料!AJ489&lt;&gt;"",原始資料!AK489=原始資料!AJ489),N(AH489)+1,1))</f>
        <v/>
      </c>
      <c r="AJ489" s="6">
        <f>IF(OR(原始資料!$A489="",35&gt;設定!$B$3,原始資料!AL489=""),"",IF(AND(原始資料!AK489&lt;&gt;"",原始資料!AL489=原始資料!AK489),N(AI489)+1,1))</f>
        <v/>
      </c>
      <c r="AK489" s="6">
        <f>IF(OR(原始資料!$A489="",36&gt;設定!$B$3,原始資料!AM489=""),"",IF(AND(原始資料!AL489&lt;&gt;"",原始資料!AM489=原始資料!AL489),N(AJ489)+1,1))</f>
        <v/>
      </c>
      <c r="AL489" s="6">
        <f>IF(OR(原始資料!$A489="",37&gt;設定!$B$3,原始資料!AN489=""),"",IF(AND(原始資料!AM489&lt;&gt;"",原始資料!AN489=原始資料!AM489),N(AK489)+1,1))</f>
        <v/>
      </c>
      <c r="AM489" s="6">
        <f>IF(OR(原始資料!$A489="",38&gt;設定!$B$3,原始資料!AO489=""),"",IF(AND(原始資料!AN489&lt;&gt;"",原始資料!AO489=原始資料!AN489),N(AL489)+1,1))</f>
        <v/>
      </c>
      <c r="AN489" s="6">
        <f>IF(OR(原始資料!$A489="",39&gt;設定!$B$3,原始資料!AP489=""),"",IF(AND(原始資料!AO489&lt;&gt;"",原始資料!AP489=原始資料!AO489),N(AM489)+1,1))</f>
        <v/>
      </c>
      <c r="AO489" s="6">
        <f>IF(OR(原始資料!$A489="",40&gt;設定!$B$3,原始資料!AQ489=""),"",IF(AND(原始資料!AP489&lt;&gt;"",原始資料!AQ489=原始資料!AP489),N(AN489)+1,1))</f>
        <v/>
      </c>
      <c r="AP489" s="6">
        <f>IF(OR(原始資料!$A489="",41&gt;設定!$B$3,原始資料!AR489=""),"",IF(AND(原始資料!AQ489&lt;&gt;"",原始資料!AR489=原始資料!AQ489),N(AO489)+1,1))</f>
        <v/>
      </c>
      <c r="AQ489" s="6">
        <f>IF(OR(原始資料!$A489="",42&gt;設定!$B$3,原始資料!AS489=""),"",IF(AND(原始資料!AR489&lt;&gt;"",原始資料!AS489=原始資料!AR489),N(AP489)+1,1))</f>
        <v/>
      </c>
      <c r="AR489" s="6">
        <f>IF(OR(原始資料!$A489="",43&gt;設定!$B$3,原始資料!AT489=""),"",IF(AND(原始資料!AS489&lt;&gt;"",原始資料!AT489=原始資料!AS489),N(AQ489)+1,1))</f>
        <v/>
      </c>
      <c r="AS489" s="6">
        <f>IF(OR(原始資料!$A489="",44&gt;設定!$B$3,原始資料!AU489=""),"",IF(AND(原始資料!AT489&lt;&gt;"",原始資料!AU489=原始資料!AT489),N(AR489)+1,1))</f>
        <v/>
      </c>
      <c r="AT489" s="6">
        <f>IF(OR(原始資料!$A489="",45&gt;設定!$B$3,原始資料!AV489=""),"",IF(AND(原始資料!AU489&lt;&gt;"",原始資料!AV489=原始資料!AU489),N(AS489)+1,1))</f>
        <v/>
      </c>
      <c r="AU489" s="6">
        <f>IF(OR(原始資料!$A489="",46&gt;設定!$B$3,原始資料!AW489=""),"",IF(AND(原始資料!AV489&lt;&gt;"",原始資料!AW489=原始資料!AV489),N(AT489)+1,1))</f>
        <v/>
      </c>
      <c r="AV489" s="6">
        <f>IF(OR(原始資料!$A489="",47&gt;設定!$B$3,原始資料!AX489=""),"",IF(AND(原始資料!AW489&lt;&gt;"",原始資料!AX489=原始資料!AW489),N(AU489)+1,1))</f>
        <v/>
      </c>
      <c r="AW489" s="6">
        <f>IF(OR(原始資料!$A489="",48&gt;設定!$B$3,原始資料!AY489=""),"",IF(AND(原始資料!AX489&lt;&gt;"",原始資料!AY489=原始資料!AX489),N(AV489)+1,1))</f>
        <v/>
      </c>
      <c r="AX489" s="6">
        <f>IF(OR(原始資料!$A489="",49&gt;設定!$B$3,原始資料!AZ489=""),"",IF(AND(原始資料!AY489&lt;&gt;"",原始資料!AZ489=原始資料!AY489),N(AW489)+1,1))</f>
        <v/>
      </c>
      <c r="AY489" s="6">
        <f>IF(OR(原始資料!$A489="",50&gt;設定!$B$3,原始資料!BA489=""),"",IF(AND(原始資料!AZ489&lt;&gt;"",原始資料!BA489=原始資料!AZ489),N(AX489)+1,1))</f>
        <v/>
      </c>
      <c r="AZ489" s="6">
        <f>IF(OR(原始資料!$A489="",51&gt;設定!$B$3,原始資料!BB489=""),"",IF(AND(原始資料!BA489&lt;&gt;"",原始資料!BB489=原始資料!BA489),N(AY489)+1,1))</f>
        <v/>
      </c>
      <c r="BA489" s="6">
        <f>IF(OR(原始資料!$A489="",52&gt;設定!$B$3,原始資料!BC489=""),"",IF(AND(原始資料!BB489&lt;&gt;"",原始資料!BC489=原始資料!BB489),N(AZ489)+1,1))</f>
        <v/>
      </c>
      <c r="BB489" s="6">
        <f>IF(OR(原始資料!$A489="",53&gt;設定!$B$3,原始資料!BD489=""),"",IF(AND(原始資料!BC489&lt;&gt;"",原始資料!BD489=原始資料!BC489),N(BA489)+1,1))</f>
        <v/>
      </c>
      <c r="BC489" s="6">
        <f>IF(OR(原始資料!$A489="",54&gt;設定!$B$3,原始資料!BE489=""),"",IF(AND(原始資料!BD489&lt;&gt;"",原始資料!BE489=原始資料!BD489),N(BB489)+1,1))</f>
        <v/>
      </c>
      <c r="BD489" s="6">
        <f>IF(OR(原始資料!$A489="",55&gt;設定!$B$3,原始資料!BF489=""),"",IF(AND(原始資料!BE489&lt;&gt;"",原始資料!BF489=原始資料!BE489),N(BC489)+1,1))</f>
        <v/>
      </c>
      <c r="BE489" s="6">
        <f>IF(OR(原始資料!$A489="",56&gt;設定!$B$3,原始資料!BG489=""),"",IF(AND(原始資料!BF489&lt;&gt;"",原始資料!BG489=原始資料!BF489),N(BD489)+1,1))</f>
        <v/>
      </c>
      <c r="BF489" s="6">
        <f>IF(OR(原始資料!$A489="",57&gt;設定!$B$3,原始資料!BH489=""),"",IF(AND(原始資料!BG489&lt;&gt;"",原始資料!BH489=原始資料!BG489),N(BE489)+1,1))</f>
        <v/>
      </c>
      <c r="BG489" s="6">
        <f>IF(OR(原始資料!$A489="",58&gt;設定!$B$3,原始資料!BI489=""),"",IF(AND(原始資料!BH489&lt;&gt;"",原始資料!BI489=原始資料!BH489),N(BF489)+1,1))</f>
        <v/>
      </c>
      <c r="BH489" s="6">
        <f>IF(OR(原始資料!$A489="",59&gt;設定!$B$3,原始資料!BJ489=""),"",IF(AND(原始資料!BI489&lt;&gt;"",原始資料!BJ489=原始資料!BI489),N(BG489)+1,1))</f>
        <v/>
      </c>
      <c r="BI489" s="6">
        <f>IF(OR(原始資料!$A489="",60&gt;設定!$B$3,原始資料!BK489=""),"",IF(AND(原始資料!BJ489&lt;&gt;"",原始資料!BK489=原始資料!BJ489),N(BH489)+1,1))</f>
        <v/>
      </c>
    </row>
    <row r="490">
      <c r="A490" s="6">
        <f>IF(原始資料!$A490="","",原始資料!$A490)</f>
        <v/>
      </c>
      <c r="B490" s="6">
        <f>IF(OR(原始資料!$A490="",1&gt;設定!$B$3,原始資料!D490=""),"",1)</f>
        <v/>
      </c>
      <c r="C490" s="6">
        <f>IF(OR(原始資料!$A490="",2&gt;設定!$B$3,原始資料!E490=""),"",IF(AND(原始資料!D490&lt;&gt;"",原始資料!E490=原始資料!D490),N(B490)+1,1))</f>
        <v/>
      </c>
      <c r="D490" s="6">
        <f>IF(OR(原始資料!$A490="",3&gt;設定!$B$3,原始資料!F490=""),"",IF(AND(原始資料!E490&lt;&gt;"",原始資料!F490=原始資料!E490),N(C490)+1,1))</f>
        <v/>
      </c>
      <c r="E490" s="6">
        <f>IF(OR(原始資料!$A490="",4&gt;設定!$B$3,原始資料!G490=""),"",IF(AND(原始資料!F490&lt;&gt;"",原始資料!G490=原始資料!F490),N(D490)+1,1))</f>
        <v/>
      </c>
      <c r="F490" s="6">
        <f>IF(OR(原始資料!$A490="",5&gt;設定!$B$3,原始資料!H490=""),"",IF(AND(原始資料!G490&lt;&gt;"",原始資料!H490=原始資料!G490),N(E490)+1,1))</f>
        <v/>
      </c>
      <c r="G490" s="6">
        <f>IF(OR(原始資料!$A490="",6&gt;設定!$B$3,原始資料!I490=""),"",IF(AND(原始資料!H490&lt;&gt;"",原始資料!I490=原始資料!H490),N(F490)+1,1))</f>
        <v/>
      </c>
      <c r="H490" s="6">
        <f>IF(OR(原始資料!$A490="",7&gt;設定!$B$3,原始資料!J490=""),"",IF(AND(原始資料!I490&lt;&gt;"",原始資料!J490=原始資料!I490),N(G490)+1,1))</f>
        <v/>
      </c>
      <c r="I490" s="6">
        <f>IF(OR(原始資料!$A490="",8&gt;設定!$B$3,原始資料!K490=""),"",IF(AND(原始資料!J490&lt;&gt;"",原始資料!K490=原始資料!J490),N(H490)+1,1))</f>
        <v/>
      </c>
      <c r="J490" s="6">
        <f>IF(OR(原始資料!$A490="",9&gt;設定!$B$3,原始資料!L490=""),"",IF(AND(原始資料!K490&lt;&gt;"",原始資料!L490=原始資料!K490),N(I490)+1,1))</f>
        <v/>
      </c>
      <c r="K490" s="6">
        <f>IF(OR(原始資料!$A490="",10&gt;設定!$B$3,原始資料!M490=""),"",IF(AND(原始資料!L490&lt;&gt;"",原始資料!M490=原始資料!L490),N(J490)+1,1))</f>
        <v/>
      </c>
      <c r="L490" s="6">
        <f>IF(OR(原始資料!$A490="",11&gt;設定!$B$3,原始資料!N490=""),"",IF(AND(原始資料!M490&lt;&gt;"",原始資料!N490=原始資料!M490),N(K490)+1,1))</f>
        <v/>
      </c>
      <c r="M490" s="6">
        <f>IF(OR(原始資料!$A490="",12&gt;設定!$B$3,原始資料!O490=""),"",IF(AND(原始資料!N490&lt;&gt;"",原始資料!O490=原始資料!N490),N(L490)+1,1))</f>
        <v/>
      </c>
      <c r="N490" s="6">
        <f>IF(OR(原始資料!$A490="",13&gt;設定!$B$3,原始資料!P490=""),"",IF(AND(原始資料!O490&lt;&gt;"",原始資料!P490=原始資料!O490),N(M490)+1,1))</f>
        <v/>
      </c>
      <c r="O490" s="6">
        <f>IF(OR(原始資料!$A490="",14&gt;設定!$B$3,原始資料!Q490=""),"",IF(AND(原始資料!P490&lt;&gt;"",原始資料!Q490=原始資料!P490),N(N490)+1,1))</f>
        <v/>
      </c>
      <c r="P490" s="6">
        <f>IF(OR(原始資料!$A490="",15&gt;設定!$B$3,原始資料!R490=""),"",IF(AND(原始資料!Q490&lt;&gt;"",原始資料!R490=原始資料!Q490),N(O490)+1,1))</f>
        <v/>
      </c>
      <c r="Q490" s="6">
        <f>IF(OR(原始資料!$A490="",16&gt;設定!$B$3,原始資料!S490=""),"",IF(AND(原始資料!R490&lt;&gt;"",原始資料!S490=原始資料!R490),N(P490)+1,1))</f>
        <v/>
      </c>
      <c r="R490" s="6">
        <f>IF(OR(原始資料!$A490="",17&gt;設定!$B$3,原始資料!T490=""),"",IF(AND(原始資料!S490&lt;&gt;"",原始資料!T490=原始資料!S490),N(Q490)+1,1))</f>
        <v/>
      </c>
      <c r="S490" s="6">
        <f>IF(OR(原始資料!$A490="",18&gt;設定!$B$3,原始資料!U490=""),"",IF(AND(原始資料!T490&lt;&gt;"",原始資料!U490=原始資料!T490),N(R490)+1,1))</f>
        <v/>
      </c>
      <c r="T490" s="6">
        <f>IF(OR(原始資料!$A490="",19&gt;設定!$B$3,原始資料!V490=""),"",IF(AND(原始資料!U490&lt;&gt;"",原始資料!V490=原始資料!U490),N(S490)+1,1))</f>
        <v/>
      </c>
      <c r="U490" s="6">
        <f>IF(OR(原始資料!$A490="",20&gt;設定!$B$3,原始資料!W490=""),"",IF(AND(原始資料!V490&lt;&gt;"",原始資料!W490=原始資料!V490),N(T490)+1,1))</f>
        <v/>
      </c>
      <c r="V490" s="6">
        <f>IF(OR(原始資料!$A490="",21&gt;設定!$B$3,原始資料!X490=""),"",IF(AND(原始資料!W490&lt;&gt;"",原始資料!X490=原始資料!W490),N(U490)+1,1))</f>
        <v/>
      </c>
      <c r="W490" s="6">
        <f>IF(OR(原始資料!$A490="",22&gt;設定!$B$3,原始資料!Y490=""),"",IF(AND(原始資料!X490&lt;&gt;"",原始資料!Y490=原始資料!X490),N(V490)+1,1))</f>
        <v/>
      </c>
      <c r="X490" s="6">
        <f>IF(OR(原始資料!$A490="",23&gt;設定!$B$3,原始資料!Z490=""),"",IF(AND(原始資料!Y490&lt;&gt;"",原始資料!Z490=原始資料!Y490),N(W490)+1,1))</f>
        <v/>
      </c>
      <c r="Y490" s="6">
        <f>IF(OR(原始資料!$A490="",24&gt;設定!$B$3,原始資料!AA490=""),"",IF(AND(原始資料!Z490&lt;&gt;"",原始資料!AA490=原始資料!Z490),N(X490)+1,1))</f>
        <v/>
      </c>
      <c r="Z490" s="6">
        <f>IF(OR(原始資料!$A490="",25&gt;設定!$B$3,原始資料!AB490=""),"",IF(AND(原始資料!AA490&lt;&gt;"",原始資料!AB490=原始資料!AA490),N(Y490)+1,1))</f>
        <v/>
      </c>
      <c r="AA490" s="6">
        <f>IF(OR(原始資料!$A490="",26&gt;設定!$B$3,原始資料!AC490=""),"",IF(AND(原始資料!AB490&lt;&gt;"",原始資料!AC490=原始資料!AB490),N(Z490)+1,1))</f>
        <v/>
      </c>
      <c r="AB490" s="6">
        <f>IF(OR(原始資料!$A490="",27&gt;設定!$B$3,原始資料!AD490=""),"",IF(AND(原始資料!AC490&lt;&gt;"",原始資料!AD490=原始資料!AC490),N(AA490)+1,1))</f>
        <v/>
      </c>
      <c r="AC490" s="6">
        <f>IF(OR(原始資料!$A490="",28&gt;設定!$B$3,原始資料!AE490=""),"",IF(AND(原始資料!AD490&lt;&gt;"",原始資料!AE490=原始資料!AD490),N(AB490)+1,1))</f>
        <v/>
      </c>
      <c r="AD490" s="6">
        <f>IF(OR(原始資料!$A490="",29&gt;設定!$B$3,原始資料!AF490=""),"",IF(AND(原始資料!AE490&lt;&gt;"",原始資料!AF490=原始資料!AE490),N(AC490)+1,1))</f>
        <v/>
      </c>
      <c r="AE490" s="6">
        <f>IF(OR(原始資料!$A490="",30&gt;設定!$B$3,原始資料!AG490=""),"",IF(AND(原始資料!AF490&lt;&gt;"",原始資料!AG490=原始資料!AF490),N(AD490)+1,1))</f>
        <v/>
      </c>
      <c r="AF490" s="6">
        <f>IF(OR(原始資料!$A490="",31&gt;設定!$B$3,原始資料!AH490=""),"",IF(AND(原始資料!AG490&lt;&gt;"",原始資料!AH490=原始資料!AG490),N(AE490)+1,1))</f>
        <v/>
      </c>
      <c r="AG490" s="6">
        <f>IF(OR(原始資料!$A490="",32&gt;設定!$B$3,原始資料!AI490=""),"",IF(AND(原始資料!AH490&lt;&gt;"",原始資料!AI490=原始資料!AH490),N(AF490)+1,1))</f>
        <v/>
      </c>
      <c r="AH490" s="6">
        <f>IF(OR(原始資料!$A490="",33&gt;設定!$B$3,原始資料!AJ490=""),"",IF(AND(原始資料!AI490&lt;&gt;"",原始資料!AJ490=原始資料!AI490),N(AG490)+1,1))</f>
        <v/>
      </c>
      <c r="AI490" s="6">
        <f>IF(OR(原始資料!$A490="",34&gt;設定!$B$3,原始資料!AK490=""),"",IF(AND(原始資料!AJ490&lt;&gt;"",原始資料!AK490=原始資料!AJ490),N(AH490)+1,1))</f>
        <v/>
      </c>
      <c r="AJ490" s="6">
        <f>IF(OR(原始資料!$A490="",35&gt;設定!$B$3,原始資料!AL490=""),"",IF(AND(原始資料!AK490&lt;&gt;"",原始資料!AL490=原始資料!AK490),N(AI490)+1,1))</f>
        <v/>
      </c>
      <c r="AK490" s="6">
        <f>IF(OR(原始資料!$A490="",36&gt;設定!$B$3,原始資料!AM490=""),"",IF(AND(原始資料!AL490&lt;&gt;"",原始資料!AM490=原始資料!AL490),N(AJ490)+1,1))</f>
        <v/>
      </c>
      <c r="AL490" s="6">
        <f>IF(OR(原始資料!$A490="",37&gt;設定!$B$3,原始資料!AN490=""),"",IF(AND(原始資料!AM490&lt;&gt;"",原始資料!AN490=原始資料!AM490),N(AK490)+1,1))</f>
        <v/>
      </c>
      <c r="AM490" s="6">
        <f>IF(OR(原始資料!$A490="",38&gt;設定!$B$3,原始資料!AO490=""),"",IF(AND(原始資料!AN490&lt;&gt;"",原始資料!AO490=原始資料!AN490),N(AL490)+1,1))</f>
        <v/>
      </c>
      <c r="AN490" s="6">
        <f>IF(OR(原始資料!$A490="",39&gt;設定!$B$3,原始資料!AP490=""),"",IF(AND(原始資料!AO490&lt;&gt;"",原始資料!AP490=原始資料!AO490),N(AM490)+1,1))</f>
        <v/>
      </c>
      <c r="AO490" s="6">
        <f>IF(OR(原始資料!$A490="",40&gt;設定!$B$3,原始資料!AQ490=""),"",IF(AND(原始資料!AP490&lt;&gt;"",原始資料!AQ490=原始資料!AP490),N(AN490)+1,1))</f>
        <v/>
      </c>
      <c r="AP490" s="6">
        <f>IF(OR(原始資料!$A490="",41&gt;設定!$B$3,原始資料!AR490=""),"",IF(AND(原始資料!AQ490&lt;&gt;"",原始資料!AR490=原始資料!AQ490),N(AO490)+1,1))</f>
        <v/>
      </c>
      <c r="AQ490" s="6">
        <f>IF(OR(原始資料!$A490="",42&gt;設定!$B$3,原始資料!AS490=""),"",IF(AND(原始資料!AR490&lt;&gt;"",原始資料!AS490=原始資料!AR490),N(AP490)+1,1))</f>
        <v/>
      </c>
      <c r="AR490" s="6">
        <f>IF(OR(原始資料!$A490="",43&gt;設定!$B$3,原始資料!AT490=""),"",IF(AND(原始資料!AS490&lt;&gt;"",原始資料!AT490=原始資料!AS490),N(AQ490)+1,1))</f>
        <v/>
      </c>
      <c r="AS490" s="6">
        <f>IF(OR(原始資料!$A490="",44&gt;設定!$B$3,原始資料!AU490=""),"",IF(AND(原始資料!AT490&lt;&gt;"",原始資料!AU490=原始資料!AT490),N(AR490)+1,1))</f>
        <v/>
      </c>
      <c r="AT490" s="6">
        <f>IF(OR(原始資料!$A490="",45&gt;設定!$B$3,原始資料!AV490=""),"",IF(AND(原始資料!AU490&lt;&gt;"",原始資料!AV490=原始資料!AU490),N(AS490)+1,1))</f>
        <v/>
      </c>
      <c r="AU490" s="6">
        <f>IF(OR(原始資料!$A490="",46&gt;設定!$B$3,原始資料!AW490=""),"",IF(AND(原始資料!AV490&lt;&gt;"",原始資料!AW490=原始資料!AV490),N(AT490)+1,1))</f>
        <v/>
      </c>
      <c r="AV490" s="6">
        <f>IF(OR(原始資料!$A490="",47&gt;設定!$B$3,原始資料!AX490=""),"",IF(AND(原始資料!AW490&lt;&gt;"",原始資料!AX490=原始資料!AW490),N(AU490)+1,1))</f>
        <v/>
      </c>
      <c r="AW490" s="6">
        <f>IF(OR(原始資料!$A490="",48&gt;設定!$B$3,原始資料!AY490=""),"",IF(AND(原始資料!AX490&lt;&gt;"",原始資料!AY490=原始資料!AX490),N(AV490)+1,1))</f>
        <v/>
      </c>
      <c r="AX490" s="6">
        <f>IF(OR(原始資料!$A490="",49&gt;設定!$B$3,原始資料!AZ490=""),"",IF(AND(原始資料!AY490&lt;&gt;"",原始資料!AZ490=原始資料!AY490),N(AW490)+1,1))</f>
        <v/>
      </c>
      <c r="AY490" s="6">
        <f>IF(OR(原始資料!$A490="",50&gt;設定!$B$3,原始資料!BA490=""),"",IF(AND(原始資料!AZ490&lt;&gt;"",原始資料!BA490=原始資料!AZ490),N(AX490)+1,1))</f>
        <v/>
      </c>
      <c r="AZ490" s="6">
        <f>IF(OR(原始資料!$A490="",51&gt;設定!$B$3,原始資料!BB490=""),"",IF(AND(原始資料!BA490&lt;&gt;"",原始資料!BB490=原始資料!BA490),N(AY490)+1,1))</f>
        <v/>
      </c>
      <c r="BA490" s="6">
        <f>IF(OR(原始資料!$A490="",52&gt;設定!$B$3,原始資料!BC490=""),"",IF(AND(原始資料!BB490&lt;&gt;"",原始資料!BC490=原始資料!BB490),N(AZ490)+1,1))</f>
        <v/>
      </c>
      <c r="BB490" s="6">
        <f>IF(OR(原始資料!$A490="",53&gt;設定!$B$3,原始資料!BD490=""),"",IF(AND(原始資料!BC490&lt;&gt;"",原始資料!BD490=原始資料!BC490),N(BA490)+1,1))</f>
        <v/>
      </c>
      <c r="BC490" s="6">
        <f>IF(OR(原始資料!$A490="",54&gt;設定!$B$3,原始資料!BE490=""),"",IF(AND(原始資料!BD490&lt;&gt;"",原始資料!BE490=原始資料!BD490),N(BB490)+1,1))</f>
        <v/>
      </c>
      <c r="BD490" s="6">
        <f>IF(OR(原始資料!$A490="",55&gt;設定!$B$3,原始資料!BF490=""),"",IF(AND(原始資料!BE490&lt;&gt;"",原始資料!BF490=原始資料!BE490),N(BC490)+1,1))</f>
        <v/>
      </c>
      <c r="BE490" s="6">
        <f>IF(OR(原始資料!$A490="",56&gt;設定!$B$3,原始資料!BG490=""),"",IF(AND(原始資料!BF490&lt;&gt;"",原始資料!BG490=原始資料!BF490),N(BD490)+1,1))</f>
        <v/>
      </c>
      <c r="BF490" s="6">
        <f>IF(OR(原始資料!$A490="",57&gt;設定!$B$3,原始資料!BH490=""),"",IF(AND(原始資料!BG490&lt;&gt;"",原始資料!BH490=原始資料!BG490),N(BE490)+1,1))</f>
        <v/>
      </c>
      <c r="BG490" s="6">
        <f>IF(OR(原始資料!$A490="",58&gt;設定!$B$3,原始資料!BI490=""),"",IF(AND(原始資料!BH490&lt;&gt;"",原始資料!BI490=原始資料!BH490),N(BF490)+1,1))</f>
        <v/>
      </c>
      <c r="BH490" s="6">
        <f>IF(OR(原始資料!$A490="",59&gt;設定!$B$3,原始資料!BJ490=""),"",IF(AND(原始資料!BI490&lt;&gt;"",原始資料!BJ490=原始資料!BI490),N(BG490)+1,1))</f>
        <v/>
      </c>
      <c r="BI490" s="6">
        <f>IF(OR(原始資料!$A490="",60&gt;設定!$B$3,原始資料!BK490=""),"",IF(AND(原始資料!BJ490&lt;&gt;"",原始資料!BK490=原始資料!BJ490),N(BH490)+1,1))</f>
        <v/>
      </c>
    </row>
    <row r="491">
      <c r="A491" s="6">
        <f>IF(原始資料!$A491="","",原始資料!$A491)</f>
        <v/>
      </c>
      <c r="B491" s="6">
        <f>IF(OR(原始資料!$A491="",1&gt;設定!$B$3,原始資料!D491=""),"",1)</f>
        <v/>
      </c>
      <c r="C491" s="6">
        <f>IF(OR(原始資料!$A491="",2&gt;設定!$B$3,原始資料!E491=""),"",IF(AND(原始資料!D491&lt;&gt;"",原始資料!E491=原始資料!D491),N(B491)+1,1))</f>
        <v/>
      </c>
      <c r="D491" s="6">
        <f>IF(OR(原始資料!$A491="",3&gt;設定!$B$3,原始資料!F491=""),"",IF(AND(原始資料!E491&lt;&gt;"",原始資料!F491=原始資料!E491),N(C491)+1,1))</f>
        <v/>
      </c>
      <c r="E491" s="6">
        <f>IF(OR(原始資料!$A491="",4&gt;設定!$B$3,原始資料!G491=""),"",IF(AND(原始資料!F491&lt;&gt;"",原始資料!G491=原始資料!F491),N(D491)+1,1))</f>
        <v/>
      </c>
      <c r="F491" s="6">
        <f>IF(OR(原始資料!$A491="",5&gt;設定!$B$3,原始資料!H491=""),"",IF(AND(原始資料!G491&lt;&gt;"",原始資料!H491=原始資料!G491),N(E491)+1,1))</f>
        <v/>
      </c>
      <c r="G491" s="6">
        <f>IF(OR(原始資料!$A491="",6&gt;設定!$B$3,原始資料!I491=""),"",IF(AND(原始資料!H491&lt;&gt;"",原始資料!I491=原始資料!H491),N(F491)+1,1))</f>
        <v/>
      </c>
      <c r="H491" s="6">
        <f>IF(OR(原始資料!$A491="",7&gt;設定!$B$3,原始資料!J491=""),"",IF(AND(原始資料!I491&lt;&gt;"",原始資料!J491=原始資料!I491),N(G491)+1,1))</f>
        <v/>
      </c>
      <c r="I491" s="6">
        <f>IF(OR(原始資料!$A491="",8&gt;設定!$B$3,原始資料!K491=""),"",IF(AND(原始資料!J491&lt;&gt;"",原始資料!K491=原始資料!J491),N(H491)+1,1))</f>
        <v/>
      </c>
      <c r="J491" s="6">
        <f>IF(OR(原始資料!$A491="",9&gt;設定!$B$3,原始資料!L491=""),"",IF(AND(原始資料!K491&lt;&gt;"",原始資料!L491=原始資料!K491),N(I491)+1,1))</f>
        <v/>
      </c>
      <c r="K491" s="6">
        <f>IF(OR(原始資料!$A491="",10&gt;設定!$B$3,原始資料!M491=""),"",IF(AND(原始資料!L491&lt;&gt;"",原始資料!M491=原始資料!L491),N(J491)+1,1))</f>
        <v/>
      </c>
      <c r="L491" s="6">
        <f>IF(OR(原始資料!$A491="",11&gt;設定!$B$3,原始資料!N491=""),"",IF(AND(原始資料!M491&lt;&gt;"",原始資料!N491=原始資料!M491),N(K491)+1,1))</f>
        <v/>
      </c>
      <c r="M491" s="6">
        <f>IF(OR(原始資料!$A491="",12&gt;設定!$B$3,原始資料!O491=""),"",IF(AND(原始資料!N491&lt;&gt;"",原始資料!O491=原始資料!N491),N(L491)+1,1))</f>
        <v/>
      </c>
      <c r="N491" s="6">
        <f>IF(OR(原始資料!$A491="",13&gt;設定!$B$3,原始資料!P491=""),"",IF(AND(原始資料!O491&lt;&gt;"",原始資料!P491=原始資料!O491),N(M491)+1,1))</f>
        <v/>
      </c>
      <c r="O491" s="6">
        <f>IF(OR(原始資料!$A491="",14&gt;設定!$B$3,原始資料!Q491=""),"",IF(AND(原始資料!P491&lt;&gt;"",原始資料!Q491=原始資料!P491),N(N491)+1,1))</f>
        <v/>
      </c>
      <c r="P491" s="6">
        <f>IF(OR(原始資料!$A491="",15&gt;設定!$B$3,原始資料!R491=""),"",IF(AND(原始資料!Q491&lt;&gt;"",原始資料!R491=原始資料!Q491),N(O491)+1,1))</f>
        <v/>
      </c>
      <c r="Q491" s="6">
        <f>IF(OR(原始資料!$A491="",16&gt;設定!$B$3,原始資料!S491=""),"",IF(AND(原始資料!R491&lt;&gt;"",原始資料!S491=原始資料!R491),N(P491)+1,1))</f>
        <v/>
      </c>
      <c r="R491" s="6">
        <f>IF(OR(原始資料!$A491="",17&gt;設定!$B$3,原始資料!T491=""),"",IF(AND(原始資料!S491&lt;&gt;"",原始資料!T491=原始資料!S491),N(Q491)+1,1))</f>
        <v/>
      </c>
      <c r="S491" s="6">
        <f>IF(OR(原始資料!$A491="",18&gt;設定!$B$3,原始資料!U491=""),"",IF(AND(原始資料!T491&lt;&gt;"",原始資料!U491=原始資料!T491),N(R491)+1,1))</f>
        <v/>
      </c>
      <c r="T491" s="6">
        <f>IF(OR(原始資料!$A491="",19&gt;設定!$B$3,原始資料!V491=""),"",IF(AND(原始資料!U491&lt;&gt;"",原始資料!V491=原始資料!U491),N(S491)+1,1))</f>
        <v/>
      </c>
      <c r="U491" s="6">
        <f>IF(OR(原始資料!$A491="",20&gt;設定!$B$3,原始資料!W491=""),"",IF(AND(原始資料!V491&lt;&gt;"",原始資料!W491=原始資料!V491),N(T491)+1,1))</f>
        <v/>
      </c>
      <c r="V491" s="6">
        <f>IF(OR(原始資料!$A491="",21&gt;設定!$B$3,原始資料!X491=""),"",IF(AND(原始資料!W491&lt;&gt;"",原始資料!X491=原始資料!W491),N(U491)+1,1))</f>
        <v/>
      </c>
      <c r="W491" s="6">
        <f>IF(OR(原始資料!$A491="",22&gt;設定!$B$3,原始資料!Y491=""),"",IF(AND(原始資料!X491&lt;&gt;"",原始資料!Y491=原始資料!X491),N(V491)+1,1))</f>
        <v/>
      </c>
      <c r="X491" s="6">
        <f>IF(OR(原始資料!$A491="",23&gt;設定!$B$3,原始資料!Z491=""),"",IF(AND(原始資料!Y491&lt;&gt;"",原始資料!Z491=原始資料!Y491),N(W491)+1,1))</f>
        <v/>
      </c>
      <c r="Y491" s="6">
        <f>IF(OR(原始資料!$A491="",24&gt;設定!$B$3,原始資料!AA491=""),"",IF(AND(原始資料!Z491&lt;&gt;"",原始資料!AA491=原始資料!Z491),N(X491)+1,1))</f>
        <v/>
      </c>
      <c r="Z491" s="6">
        <f>IF(OR(原始資料!$A491="",25&gt;設定!$B$3,原始資料!AB491=""),"",IF(AND(原始資料!AA491&lt;&gt;"",原始資料!AB491=原始資料!AA491),N(Y491)+1,1))</f>
        <v/>
      </c>
      <c r="AA491" s="6">
        <f>IF(OR(原始資料!$A491="",26&gt;設定!$B$3,原始資料!AC491=""),"",IF(AND(原始資料!AB491&lt;&gt;"",原始資料!AC491=原始資料!AB491),N(Z491)+1,1))</f>
        <v/>
      </c>
      <c r="AB491" s="6">
        <f>IF(OR(原始資料!$A491="",27&gt;設定!$B$3,原始資料!AD491=""),"",IF(AND(原始資料!AC491&lt;&gt;"",原始資料!AD491=原始資料!AC491),N(AA491)+1,1))</f>
        <v/>
      </c>
      <c r="AC491" s="6">
        <f>IF(OR(原始資料!$A491="",28&gt;設定!$B$3,原始資料!AE491=""),"",IF(AND(原始資料!AD491&lt;&gt;"",原始資料!AE491=原始資料!AD491),N(AB491)+1,1))</f>
        <v/>
      </c>
      <c r="AD491" s="6">
        <f>IF(OR(原始資料!$A491="",29&gt;設定!$B$3,原始資料!AF491=""),"",IF(AND(原始資料!AE491&lt;&gt;"",原始資料!AF491=原始資料!AE491),N(AC491)+1,1))</f>
        <v/>
      </c>
      <c r="AE491" s="6">
        <f>IF(OR(原始資料!$A491="",30&gt;設定!$B$3,原始資料!AG491=""),"",IF(AND(原始資料!AF491&lt;&gt;"",原始資料!AG491=原始資料!AF491),N(AD491)+1,1))</f>
        <v/>
      </c>
      <c r="AF491" s="6">
        <f>IF(OR(原始資料!$A491="",31&gt;設定!$B$3,原始資料!AH491=""),"",IF(AND(原始資料!AG491&lt;&gt;"",原始資料!AH491=原始資料!AG491),N(AE491)+1,1))</f>
        <v/>
      </c>
      <c r="AG491" s="6">
        <f>IF(OR(原始資料!$A491="",32&gt;設定!$B$3,原始資料!AI491=""),"",IF(AND(原始資料!AH491&lt;&gt;"",原始資料!AI491=原始資料!AH491),N(AF491)+1,1))</f>
        <v/>
      </c>
      <c r="AH491" s="6">
        <f>IF(OR(原始資料!$A491="",33&gt;設定!$B$3,原始資料!AJ491=""),"",IF(AND(原始資料!AI491&lt;&gt;"",原始資料!AJ491=原始資料!AI491),N(AG491)+1,1))</f>
        <v/>
      </c>
      <c r="AI491" s="6">
        <f>IF(OR(原始資料!$A491="",34&gt;設定!$B$3,原始資料!AK491=""),"",IF(AND(原始資料!AJ491&lt;&gt;"",原始資料!AK491=原始資料!AJ491),N(AH491)+1,1))</f>
        <v/>
      </c>
      <c r="AJ491" s="6">
        <f>IF(OR(原始資料!$A491="",35&gt;設定!$B$3,原始資料!AL491=""),"",IF(AND(原始資料!AK491&lt;&gt;"",原始資料!AL491=原始資料!AK491),N(AI491)+1,1))</f>
        <v/>
      </c>
      <c r="AK491" s="6">
        <f>IF(OR(原始資料!$A491="",36&gt;設定!$B$3,原始資料!AM491=""),"",IF(AND(原始資料!AL491&lt;&gt;"",原始資料!AM491=原始資料!AL491),N(AJ491)+1,1))</f>
        <v/>
      </c>
      <c r="AL491" s="6">
        <f>IF(OR(原始資料!$A491="",37&gt;設定!$B$3,原始資料!AN491=""),"",IF(AND(原始資料!AM491&lt;&gt;"",原始資料!AN491=原始資料!AM491),N(AK491)+1,1))</f>
        <v/>
      </c>
      <c r="AM491" s="6">
        <f>IF(OR(原始資料!$A491="",38&gt;設定!$B$3,原始資料!AO491=""),"",IF(AND(原始資料!AN491&lt;&gt;"",原始資料!AO491=原始資料!AN491),N(AL491)+1,1))</f>
        <v/>
      </c>
      <c r="AN491" s="6">
        <f>IF(OR(原始資料!$A491="",39&gt;設定!$B$3,原始資料!AP491=""),"",IF(AND(原始資料!AO491&lt;&gt;"",原始資料!AP491=原始資料!AO491),N(AM491)+1,1))</f>
        <v/>
      </c>
      <c r="AO491" s="6">
        <f>IF(OR(原始資料!$A491="",40&gt;設定!$B$3,原始資料!AQ491=""),"",IF(AND(原始資料!AP491&lt;&gt;"",原始資料!AQ491=原始資料!AP491),N(AN491)+1,1))</f>
        <v/>
      </c>
      <c r="AP491" s="6">
        <f>IF(OR(原始資料!$A491="",41&gt;設定!$B$3,原始資料!AR491=""),"",IF(AND(原始資料!AQ491&lt;&gt;"",原始資料!AR491=原始資料!AQ491),N(AO491)+1,1))</f>
        <v/>
      </c>
      <c r="AQ491" s="6">
        <f>IF(OR(原始資料!$A491="",42&gt;設定!$B$3,原始資料!AS491=""),"",IF(AND(原始資料!AR491&lt;&gt;"",原始資料!AS491=原始資料!AR491),N(AP491)+1,1))</f>
        <v/>
      </c>
      <c r="AR491" s="6">
        <f>IF(OR(原始資料!$A491="",43&gt;設定!$B$3,原始資料!AT491=""),"",IF(AND(原始資料!AS491&lt;&gt;"",原始資料!AT491=原始資料!AS491),N(AQ491)+1,1))</f>
        <v/>
      </c>
      <c r="AS491" s="6">
        <f>IF(OR(原始資料!$A491="",44&gt;設定!$B$3,原始資料!AU491=""),"",IF(AND(原始資料!AT491&lt;&gt;"",原始資料!AU491=原始資料!AT491),N(AR491)+1,1))</f>
        <v/>
      </c>
      <c r="AT491" s="6">
        <f>IF(OR(原始資料!$A491="",45&gt;設定!$B$3,原始資料!AV491=""),"",IF(AND(原始資料!AU491&lt;&gt;"",原始資料!AV491=原始資料!AU491),N(AS491)+1,1))</f>
        <v/>
      </c>
      <c r="AU491" s="6">
        <f>IF(OR(原始資料!$A491="",46&gt;設定!$B$3,原始資料!AW491=""),"",IF(AND(原始資料!AV491&lt;&gt;"",原始資料!AW491=原始資料!AV491),N(AT491)+1,1))</f>
        <v/>
      </c>
      <c r="AV491" s="6">
        <f>IF(OR(原始資料!$A491="",47&gt;設定!$B$3,原始資料!AX491=""),"",IF(AND(原始資料!AW491&lt;&gt;"",原始資料!AX491=原始資料!AW491),N(AU491)+1,1))</f>
        <v/>
      </c>
      <c r="AW491" s="6">
        <f>IF(OR(原始資料!$A491="",48&gt;設定!$B$3,原始資料!AY491=""),"",IF(AND(原始資料!AX491&lt;&gt;"",原始資料!AY491=原始資料!AX491),N(AV491)+1,1))</f>
        <v/>
      </c>
      <c r="AX491" s="6">
        <f>IF(OR(原始資料!$A491="",49&gt;設定!$B$3,原始資料!AZ491=""),"",IF(AND(原始資料!AY491&lt;&gt;"",原始資料!AZ491=原始資料!AY491),N(AW491)+1,1))</f>
        <v/>
      </c>
      <c r="AY491" s="6">
        <f>IF(OR(原始資料!$A491="",50&gt;設定!$B$3,原始資料!BA491=""),"",IF(AND(原始資料!AZ491&lt;&gt;"",原始資料!BA491=原始資料!AZ491),N(AX491)+1,1))</f>
        <v/>
      </c>
      <c r="AZ491" s="6">
        <f>IF(OR(原始資料!$A491="",51&gt;設定!$B$3,原始資料!BB491=""),"",IF(AND(原始資料!BA491&lt;&gt;"",原始資料!BB491=原始資料!BA491),N(AY491)+1,1))</f>
        <v/>
      </c>
      <c r="BA491" s="6">
        <f>IF(OR(原始資料!$A491="",52&gt;設定!$B$3,原始資料!BC491=""),"",IF(AND(原始資料!BB491&lt;&gt;"",原始資料!BC491=原始資料!BB491),N(AZ491)+1,1))</f>
        <v/>
      </c>
      <c r="BB491" s="6">
        <f>IF(OR(原始資料!$A491="",53&gt;設定!$B$3,原始資料!BD491=""),"",IF(AND(原始資料!BC491&lt;&gt;"",原始資料!BD491=原始資料!BC491),N(BA491)+1,1))</f>
        <v/>
      </c>
      <c r="BC491" s="6">
        <f>IF(OR(原始資料!$A491="",54&gt;設定!$B$3,原始資料!BE491=""),"",IF(AND(原始資料!BD491&lt;&gt;"",原始資料!BE491=原始資料!BD491),N(BB491)+1,1))</f>
        <v/>
      </c>
      <c r="BD491" s="6">
        <f>IF(OR(原始資料!$A491="",55&gt;設定!$B$3,原始資料!BF491=""),"",IF(AND(原始資料!BE491&lt;&gt;"",原始資料!BF491=原始資料!BE491),N(BC491)+1,1))</f>
        <v/>
      </c>
      <c r="BE491" s="6">
        <f>IF(OR(原始資料!$A491="",56&gt;設定!$B$3,原始資料!BG491=""),"",IF(AND(原始資料!BF491&lt;&gt;"",原始資料!BG491=原始資料!BF491),N(BD491)+1,1))</f>
        <v/>
      </c>
      <c r="BF491" s="6">
        <f>IF(OR(原始資料!$A491="",57&gt;設定!$B$3,原始資料!BH491=""),"",IF(AND(原始資料!BG491&lt;&gt;"",原始資料!BH491=原始資料!BG491),N(BE491)+1,1))</f>
        <v/>
      </c>
      <c r="BG491" s="6">
        <f>IF(OR(原始資料!$A491="",58&gt;設定!$B$3,原始資料!BI491=""),"",IF(AND(原始資料!BH491&lt;&gt;"",原始資料!BI491=原始資料!BH491),N(BF491)+1,1))</f>
        <v/>
      </c>
      <c r="BH491" s="6">
        <f>IF(OR(原始資料!$A491="",59&gt;設定!$B$3,原始資料!BJ491=""),"",IF(AND(原始資料!BI491&lt;&gt;"",原始資料!BJ491=原始資料!BI491),N(BG491)+1,1))</f>
        <v/>
      </c>
      <c r="BI491" s="6">
        <f>IF(OR(原始資料!$A491="",60&gt;設定!$B$3,原始資料!BK491=""),"",IF(AND(原始資料!BJ491&lt;&gt;"",原始資料!BK491=原始資料!BJ491),N(BH491)+1,1))</f>
        <v/>
      </c>
    </row>
    <row r="492">
      <c r="A492" s="6">
        <f>IF(原始資料!$A492="","",原始資料!$A492)</f>
        <v/>
      </c>
      <c r="B492" s="6">
        <f>IF(OR(原始資料!$A492="",1&gt;設定!$B$3,原始資料!D492=""),"",1)</f>
        <v/>
      </c>
      <c r="C492" s="6">
        <f>IF(OR(原始資料!$A492="",2&gt;設定!$B$3,原始資料!E492=""),"",IF(AND(原始資料!D492&lt;&gt;"",原始資料!E492=原始資料!D492),N(B492)+1,1))</f>
        <v/>
      </c>
      <c r="D492" s="6">
        <f>IF(OR(原始資料!$A492="",3&gt;設定!$B$3,原始資料!F492=""),"",IF(AND(原始資料!E492&lt;&gt;"",原始資料!F492=原始資料!E492),N(C492)+1,1))</f>
        <v/>
      </c>
      <c r="E492" s="6">
        <f>IF(OR(原始資料!$A492="",4&gt;設定!$B$3,原始資料!G492=""),"",IF(AND(原始資料!F492&lt;&gt;"",原始資料!G492=原始資料!F492),N(D492)+1,1))</f>
        <v/>
      </c>
      <c r="F492" s="6">
        <f>IF(OR(原始資料!$A492="",5&gt;設定!$B$3,原始資料!H492=""),"",IF(AND(原始資料!G492&lt;&gt;"",原始資料!H492=原始資料!G492),N(E492)+1,1))</f>
        <v/>
      </c>
      <c r="G492" s="6">
        <f>IF(OR(原始資料!$A492="",6&gt;設定!$B$3,原始資料!I492=""),"",IF(AND(原始資料!H492&lt;&gt;"",原始資料!I492=原始資料!H492),N(F492)+1,1))</f>
        <v/>
      </c>
      <c r="H492" s="6">
        <f>IF(OR(原始資料!$A492="",7&gt;設定!$B$3,原始資料!J492=""),"",IF(AND(原始資料!I492&lt;&gt;"",原始資料!J492=原始資料!I492),N(G492)+1,1))</f>
        <v/>
      </c>
      <c r="I492" s="6">
        <f>IF(OR(原始資料!$A492="",8&gt;設定!$B$3,原始資料!K492=""),"",IF(AND(原始資料!J492&lt;&gt;"",原始資料!K492=原始資料!J492),N(H492)+1,1))</f>
        <v/>
      </c>
      <c r="J492" s="6">
        <f>IF(OR(原始資料!$A492="",9&gt;設定!$B$3,原始資料!L492=""),"",IF(AND(原始資料!K492&lt;&gt;"",原始資料!L492=原始資料!K492),N(I492)+1,1))</f>
        <v/>
      </c>
      <c r="K492" s="6">
        <f>IF(OR(原始資料!$A492="",10&gt;設定!$B$3,原始資料!M492=""),"",IF(AND(原始資料!L492&lt;&gt;"",原始資料!M492=原始資料!L492),N(J492)+1,1))</f>
        <v/>
      </c>
      <c r="L492" s="6">
        <f>IF(OR(原始資料!$A492="",11&gt;設定!$B$3,原始資料!N492=""),"",IF(AND(原始資料!M492&lt;&gt;"",原始資料!N492=原始資料!M492),N(K492)+1,1))</f>
        <v/>
      </c>
      <c r="M492" s="6">
        <f>IF(OR(原始資料!$A492="",12&gt;設定!$B$3,原始資料!O492=""),"",IF(AND(原始資料!N492&lt;&gt;"",原始資料!O492=原始資料!N492),N(L492)+1,1))</f>
        <v/>
      </c>
      <c r="N492" s="6">
        <f>IF(OR(原始資料!$A492="",13&gt;設定!$B$3,原始資料!P492=""),"",IF(AND(原始資料!O492&lt;&gt;"",原始資料!P492=原始資料!O492),N(M492)+1,1))</f>
        <v/>
      </c>
      <c r="O492" s="6">
        <f>IF(OR(原始資料!$A492="",14&gt;設定!$B$3,原始資料!Q492=""),"",IF(AND(原始資料!P492&lt;&gt;"",原始資料!Q492=原始資料!P492),N(N492)+1,1))</f>
        <v/>
      </c>
      <c r="P492" s="6">
        <f>IF(OR(原始資料!$A492="",15&gt;設定!$B$3,原始資料!R492=""),"",IF(AND(原始資料!Q492&lt;&gt;"",原始資料!R492=原始資料!Q492),N(O492)+1,1))</f>
        <v/>
      </c>
      <c r="Q492" s="6">
        <f>IF(OR(原始資料!$A492="",16&gt;設定!$B$3,原始資料!S492=""),"",IF(AND(原始資料!R492&lt;&gt;"",原始資料!S492=原始資料!R492),N(P492)+1,1))</f>
        <v/>
      </c>
      <c r="R492" s="6">
        <f>IF(OR(原始資料!$A492="",17&gt;設定!$B$3,原始資料!T492=""),"",IF(AND(原始資料!S492&lt;&gt;"",原始資料!T492=原始資料!S492),N(Q492)+1,1))</f>
        <v/>
      </c>
      <c r="S492" s="6">
        <f>IF(OR(原始資料!$A492="",18&gt;設定!$B$3,原始資料!U492=""),"",IF(AND(原始資料!T492&lt;&gt;"",原始資料!U492=原始資料!T492),N(R492)+1,1))</f>
        <v/>
      </c>
      <c r="T492" s="6">
        <f>IF(OR(原始資料!$A492="",19&gt;設定!$B$3,原始資料!V492=""),"",IF(AND(原始資料!U492&lt;&gt;"",原始資料!V492=原始資料!U492),N(S492)+1,1))</f>
        <v/>
      </c>
      <c r="U492" s="6">
        <f>IF(OR(原始資料!$A492="",20&gt;設定!$B$3,原始資料!W492=""),"",IF(AND(原始資料!V492&lt;&gt;"",原始資料!W492=原始資料!V492),N(T492)+1,1))</f>
        <v/>
      </c>
      <c r="V492" s="6">
        <f>IF(OR(原始資料!$A492="",21&gt;設定!$B$3,原始資料!X492=""),"",IF(AND(原始資料!W492&lt;&gt;"",原始資料!X492=原始資料!W492),N(U492)+1,1))</f>
        <v/>
      </c>
      <c r="W492" s="6">
        <f>IF(OR(原始資料!$A492="",22&gt;設定!$B$3,原始資料!Y492=""),"",IF(AND(原始資料!X492&lt;&gt;"",原始資料!Y492=原始資料!X492),N(V492)+1,1))</f>
        <v/>
      </c>
      <c r="X492" s="6">
        <f>IF(OR(原始資料!$A492="",23&gt;設定!$B$3,原始資料!Z492=""),"",IF(AND(原始資料!Y492&lt;&gt;"",原始資料!Z492=原始資料!Y492),N(W492)+1,1))</f>
        <v/>
      </c>
      <c r="Y492" s="6">
        <f>IF(OR(原始資料!$A492="",24&gt;設定!$B$3,原始資料!AA492=""),"",IF(AND(原始資料!Z492&lt;&gt;"",原始資料!AA492=原始資料!Z492),N(X492)+1,1))</f>
        <v/>
      </c>
      <c r="Z492" s="6">
        <f>IF(OR(原始資料!$A492="",25&gt;設定!$B$3,原始資料!AB492=""),"",IF(AND(原始資料!AA492&lt;&gt;"",原始資料!AB492=原始資料!AA492),N(Y492)+1,1))</f>
        <v/>
      </c>
      <c r="AA492" s="6">
        <f>IF(OR(原始資料!$A492="",26&gt;設定!$B$3,原始資料!AC492=""),"",IF(AND(原始資料!AB492&lt;&gt;"",原始資料!AC492=原始資料!AB492),N(Z492)+1,1))</f>
        <v/>
      </c>
      <c r="AB492" s="6">
        <f>IF(OR(原始資料!$A492="",27&gt;設定!$B$3,原始資料!AD492=""),"",IF(AND(原始資料!AC492&lt;&gt;"",原始資料!AD492=原始資料!AC492),N(AA492)+1,1))</f>
        <v/>
      </c>
      <c r="AC492" s="6">
        <f>IF(OR(原始資料!$A492="",28&gt;設定!$B$3,原始資料!AE492=""),"",IF(AND(原始資料!AD492&lt;&gt;"",原始資料!AE492=原始資料!AD492),N(AB492)+1,1))</f>
        <v/>
      </c>
      <c r="AD492" s="6">
        <f>IF(OR(原始資料!$A492="",29&gt;設定!$B$3,原始資料!AF492=""),"",IF(AND(原始資料!AE492&lt;&gt;"",原始資料!AF492=原始資料!AE492),N(AC492)+1,1))</f>
        <v/>
      </c>
      <c r="AE492" s="6">
        <f>IF(OR(原始資料!$A492="",30&gt;設定!$B$3,原始資料!AG492=""),"",IF(AND(原始資料!AF492&lt;&gt;"",原始資料!AG492=原始資料!AF492),N(AD492)+1,1))</f>
        <v/>
      </c>
      <c r="AF492" s="6">
        <f>IF(OR(原始資料!$A492="",31&gt;設定!$B$3,原始資料!AH492=""),"",IF(AND(原始資料!AG492&lt;&gt;"",原始資料!AH492=原始資料!AG492),N(AE492)+1,1))</f>
        <v/>
      </c>
      <c r="AG492" s="6">
        <f>IF(OR(原始資料!$A492="",32&gt;設定!$B$3,原始資料!AI492=""),"",IF(AND(原始資料!AH492&lt;&gt;"",原始資料!AI492=原始資料!AH492),N(AF492)+1,1))</f>
        <v/>
      </c>
      <c r="AH492" s="6">
        <f>IF(OR(原始資料!$A492="",33&gt;設定!$B$3,原始資料!AJ492=""),"",IF(AND(原始資料!AI492&lt;&gt;"",原始資料!AJ492=原始資料!AI492),N(AG492)+1,1))</f>
        <v/>
      </c>
      <c r="AI492" s="6">
        <f>IF(OR(原始資料!$A492="",34&gt;設定!$B$3,原始資料!AK492=""),"",IF(AND(原始資料!AJ492&lt;&gt;"",原始資料!AK492=原始資料!AJ492),N(AH492)+1,1))</f>
        <v/>
      </c>
      <c r="AJ492" s="6">
        <f>IF(OR(原始資料!$A492="",35&gt;設定!$B$3,原始資料!AL492=""),"",IF(AND(原始資料!AK492&lt;&gt;"",原始資料!AL492=原始資料!AK492),N(AI492)+1,1))</f>
        <v/>
      </c>
      <c r="AK492" s="6">
        <f>IF(OR(原始資料!$A492="",36&gt;設定!$B$3,原始資料!AM492=""),"",IF(AND(原始資料!AL492&lt;&gt;"",原始資料!AM492=原始資料!AL492),N(AJ492)+1,1))</f>
        <v/>
      </c>
      <c r="AL492" s="6">
        <f>IF(OR(原始資料!$A492="",37&gt;設定!$B$3,原始資料!AN492=""),"",IF(AND(原始資料!AM492&lt;&gt;"",原始資料!AN492=原始資料!AM492),N(AK492)+1,1))</f>
        <v/>
      </c>
      <c r="AM492" s="6">
        <f>IF(OR(原始資料!$A492="",38&gt;設定!$B$3,原始資料!AO492=""),"",IF(AND(原始資料!AN492&lt;&gt;"",原始資料!AO492=原始資料!AN492),N(AL492)+1,1))</f>
        <v/>
      </c>
      <c r="AN492" s="6">
        <f>IF(OR(原始資料!$A492="",39&gt;設定!$B$3,原始資料!AP492=""),"",IF(AND(原始資料!AO492&lt;&gt;"",原始資料!AP492=原始資料!AO492),N(AM492)+1,1))</f>
        <v/>
      </c>
      <c r="AO492" s="6">
        <f>IF(OR(原始資料!$A492="",40&gt;設定!$B$3,原始資料!AQ492=""),"",IF(AND(原始資料!AP492&lt;&gt;"",原始資料!AQ492=原始資料!AP492),N(AN492)+1,1))</f>
        <v/>
      </c>
      <c r="AP492" s="6">
        <f>IF(OR(原始資料!$A492="",41&gt;設定!$B$3,原始資料!AR492=""),"",IF(AND(原始資料!AQ492&lt;&gt;"",原始資料!AR492=原始資料!AQ492),N(AO492)+1,1))</f>
        <v/>
      </c>
      <c r="AQ492" s="6">
        <f>IF(OR(原始資料!$A492="",42&gt;設定!$B$3,原始資料!AS492=""),"",IF(AND(原始資料!AR492&lt;&gt;"",原始資料!AS492=原始資料!AR492),N(AP492)+1,1))</f>
        <v/>
      </c>
      <c r="AR492" s="6">
        <f>IF(OR(原始資料!$A492="",43&gt;設定!$B$3,原始資料!AT492=""),"",IF(AND(原始資料!AS492&lt;&gt;"",原始資料!AT492=原始資料!AS492),N(AQ492)+1,1))</f>
        <v/>
      </c>
      <c r="AS492" s="6">
        <f>IF(OR(原始資料!$A492="",44&gt;設定!$B$3,原始資料!AU492=""),"",IF(AND(原始資料!AT492&lt;&gt;"",原始資料!AU492=原始資料!AT492),N(AR492)+1,1))</f>
        <v/>
      </c>
      <c r="AT492" s="6">
        <f>IF(OR(原始資料!$A492="",45&gt;設定!$B$3,原始資料!AV492=""),"",IF(AND(原始資料!AU492&lt;&gt;"",原始資料!AV492=原始資料!AU492),N(AS492)+1,1))</f>
        <v/>
      </c>
      <c r="AU492" s="6">
        <f>IF(OR(原始資料!$A492="",46&gt;設定!$B$3,原始資料!AW492=""),"",IF(AND(原始資料!AV492&lt;&gt;"",原始資料!AW492=原始資料!AV492),N(AT492)+1,1))</f>
        <v/>
      </c>
      <c r="AV492" s="6">
        <f>IF(OR(原始資料!$A492="",47&gt;設定!$B$3,原始資料!AX492=""),"",IF(AND(原始資料!AW492&lt;&gt;"",原始資料!AX492=原始資料!AW492),N(AU492)+1,1))</f>
        <v/>
      </c>
      <c r="AW492" s="6">
        <f>IF(OR(原始資料!$A492="",48&gt;設定!$B$3,原始資料!AY492=""),"",IF(AND(原始資料!AX492&lt;&gt;"",原始資料!AY492=原始資料!AX492),N(AV492)+1,1))</f>
        <v/>
      </c>
      <c r="AX492" s="6">
        <f>IF(OR(原始資料!$A492="",49&gt;設定!$B$3,原始資料!AZ492=""),"",IF(AND(原始資料!AY492&lt;&gt;"",原始資料!AZ492=原始資料!AY492),N(AW492)+1,1))</f>
        <v/>
      </c>
      <c r="AY492" s="6">
        <f>IF(OR(原始資料!$A492="",50&gt;設定!$B$3,原始資料!BA492=""),"",IF(AND(原始資料!AZ492&lt;&gt;"",原始資料!BA492=原始資料!AZ492),N(AX492)+1,1))</f>
        <v/>
      </c>
      <c r="AZ492" s="6">
        <f>IF(OR(原始資料!$A492="",51&gt;設定!$B$3,原始資料!BB492=""),"",IF(AND(原始資料!BA492&lt;&gt;"",原始資料!BB492=原始資料!BA492),N(AY492)+1,1))</f>
        <v/>
      </c>
      <c r="BA492" s="6">
        <f>IF(OR(原始資料!$A492="",52&gt;設定!$B$3,原始資料!BC492=""),"",IF(AND(原始資料!BB492&lt;&gt;"",原始資料!BC492=原始資料!BB492),N(AZ492)+1,1))</f>
        <v/>
      </c>
      <c r="BB492" s="6">
        <f>IF(OR(原始資料!$A492="",53&gt;設定!$B$3,原始資料!BD492=""),"",IF(AND(原始資料!BC492&lt;&gt;"",原始資料!BD492=原始資料!BC492),N(BA492)+1,1))</f>
        <v/>
      </c>
      <c r="BC492" s="6">
        <f>IF(OR(原始資料!$A492="",54&gt;設定!$B$3,原始資料!BE492=""),"",IF(AND(原始資料!BD492&lt;&gt;"",原始資料!BE492=原始資料!BD492),N(BB492)+1,1))</f>
        <v/>
      </c>
      <c r="BD492" s="6">
        <f>IF(OR(原始資料!$A492="",55&gt;設定!$B$3,原始資料!BF492=""),"",IF(AND(原始資料!BE492&lt;&gt;"",原始資料!BF492=原始資料!BE492),N(BC492)+1,1))</f>
        <v/>
      </c>
      <c r="BE492" s="6">
        <f>IF(OR(原始資料!$A492="",56&gt;設定!$B$3,原始資料!BG492=""),"",IF(AND(原始資料!BF492&lt;&gt;"",原始資料!BG492=原始資料!BF492),N(BD492)+1,1))</f>
        <v/>
      </c>
      <c r="BF492" s="6">
        <f>IF(OR(原始資料!$A492="",57&gt;設定!$B$3,原始資料!BH492=""),"",IF(AND(原始資料!BG492&lt;&gt;"",原始資料!BH492=原始資料!BG492),N(BE492)+1,1))</f>
        <v/>
      </c>
      <c r="BG492" s="6">
        <f>IF(OR(原始資料!$A492="",58&gt;設定!$B$3,原始資料!BI492=""),"",IF(AND(原始資料!BH492&lt;&gt;"",原始資料!BI492=原始資料!BH492),N(BF492)+1,1))</f>
        <v/>
      </c>
      <c r="BH492" s="6">
        <f>IF(OR(原始資料!$A492="",59&gt;設定!$B$3,原始資料!BJ492=""),"",IF(AND(原始資料!BI492&lt;&gt;"",原始資料!BJ492=原始資料!BI492),N(BG492)+1,1))</f>
        <v/>
      </c>
      <c r="BI492" s="6">
        <f>IF(OR(原始資料!$A492="",60&gt;設定!$B$3,原始資料!BK492=""),"",IF(AND(原始資料!BJ492&lt;&gt;"",原始資料!BK492=原始資料!BJ492),N(BH492)+1,1))</f>
        <v/>
      </c>
    </row>
    <row r="493">
      <c r="A493" s="6">
        <f>IF(原始資料!$A493="","",原始資料!$A493)</f>
        <v/>
      </c>
      <c r="B493" s="6">
        <f>IF(OR(原始資料!$A493="",1&gt;設定!$B$3,原始資料!D493=""),"",1)</f>
        <v/>
      </c>
      <c r="C493" s="6">
        <f>IF(OR(原始資料!$A493="",2&gt;設定!$B$3,原始資料!E493=""),"",IF(AND(原始資料!D493&lt;&gt;"",原始資料!E493=原始資料!D493),N(B493)+1,1))</f>
        <v/>
      </c>
      <c r="D493" s="6">
        <f>IF(OR(原始資料!$A493="",3&gt;設定!$B$3,原始資料!F493=""),"",IF(AND(原始資料!E493&lt;&gt;"",原始資料!F493=原始資料!E493),N(C493)+1,1))</f>
        <v/>
      </c>
      <c r="E493" s="6">
        <f>IF(OR(原始資料!$A493="",4&gt;設定!$B$3,原始資料!G493=""),"",IF(AND(原始資料!F493&lt;&gt;"",原始資料!G493=原始資料!F493),N(D493)+1,1))</f>
        <v/>
      </c>
      <c r="F493" s="6">
        <f>IF(OR(原始資料!$A493="",5&gt;設定!$B$3,原始資料!H493=""),"",IF(AND(原始資料!G493&lt;&gt;"",原始資料!H493=原始資料!G493),N(E493)+1,1))</f>
        <v/>
      </c>
      <c r="G493" s="6">
        <f>IF(OR(原始資料!$A493="",6&gt;設定!$B$3,原始資料!I493=""),"",IF(AND(原始資料!H493&lt;&gt;"",原始資料!I493=原始資料!H493),N(F493)+1,1))</f>
        <v/>
      </c>
      <c r="H493" s="6">
        <f>IF(OR(原始資料!$A493="",7&gt;設定!$B$3,原始資料!J493=""),"",IF(AND(原始資料!I493&lt;&gt;"",原始資料!J493=原始資料!I493),N(G493)+1,1))</f>
        <v/>
      </c>
      <c r="I493" s="6">
        <f>IF(OR(原始資料!$A493="",8&gt;設定!$B$3,原始資料!K493=""),"",IF(AND(原始資料!J493&lt;&gt;"",原始資料!K493=原始資料!J493),N(H493)+1,1))</f>
        <v/>
      </c>
      <c r="J493" s="6">
        <f>IF(OR(原始資料!$A493="",9&gt;設定!$B$3,原始資料!L493=""),"",IF(AND(原始資料!K493&lt;&gt;"",原始資料!L493=原始資料!K493),N(I493)+1,1))</f>
        <v/>
      </c>
      <c r="K493" s="6">
        <f>IF(OR(原始資料!$A493="",10&gt;設定!$B$3,原始資料!M493=""),"",IF(AND(原始資料!L493&lt;&gt;"",原始資料!M493=原始資料!L493),N(J493)+1,1))</f>
        <v/>
      </c>
      <c r="L493" s="6">
        <f>IF(OR(原始資料!$A493="",11&gt;設定!$B$3,原始資料!N493=""),"",IF(AND(原始資料!M493&lt;&gt;"",原始資料!N493=原始資料!M493),N(K493)+1,1))</f>
        <v/>
      </c>
      <c r="M493" s="6">
        <f>IF(OR(原始資料!$A493="",12&gt;設定!$B$3,原始資料!O493=""),"",IF(AND(原始資料!N493&lt;&gt;"",原始資料!O493=原始資料!N493),N(L493)+1,1))</f>
        <v/>
      </c>
      <c r="N493" s="6">
        <f>IF(OR(原始資料!$A493="",13&gt;設定!$B$3,原始資料!P493=""),"",IF(AND(原始資料!O493&lt;&gt;"",原始資料!P493=原始資料!O493),N(M493)+1,1))</f>
        <v/>
      </c>
      <c r="O493" s="6">
        <f>IF(OR(原始資料!$A493="",14&gt;設定!$B$3,原始資料!Q493=""),"",IF(AND(原始資料!P493&lt;&gt;"",原始資料!Q493=原始資料!P493),N(N493)+1,1))</f>
        <v/>
      </c>
      <c r="P493" s="6">
        <f>IF(OR(原始資料!$A493="",15&gt;設定!$B$3,原始資料!R493=""),"",IF(AND(原始資料!Q493&lt;&gt;"",原始資料!R493=原始資料!Q493),N(O493)+1,1))</f>
        <v/>
      </c>
      <c r="Q493" s="6">
        <f>IF(OR(原始資料!$A493="",16&gt;設定!$B$3,原始資料!S493=""),"",IF(AND(原始資料!R493&lt;&gt;"",原始資料!S493=原始資料!R493),N(P493)+1,1))</f>
        <v/>
      </c>
      <c r="R493" s="6">
        <f>IF(OR(原始資料!$A493="",17&gt;設定!$B$3,原始資料!T493=""),"",IF(AND(原始資料!S493&lt;&gt;"",原始資料!T493=原始資料!S493),N(Q493)+1,1))</f>
        <v/>
      </c>
      <c r="S493" s="6">
        <f>IF(OR(原始資料!$A493="",18&gt;設定!$B$3,原始資料!U493=""),"",IF(AND(原始資料!T493&lt;&gt;"",原始資料!U493=原始資料!T493),N(R493)+1,1))</f>
        <v/>
      </c>
      <c r="T493" s="6">
        <f>IF(OR(原始資料!$A493="",19&gt;設定!$B$3,原始資料!V493=""),"",IF(AND(原始資料!U493&lt;&gt;"",原始資料!V493=原始資料!U493),N(S493)+1,1))</f>
        <v/>
      </c>
      <c r="U493" s="6">
        <f>IF(OR(原始資料!$A493="",20&gt;設定!$B$3,原始資料!W493=""),"",IF(AND(原始資料!V493&lt;&gt;"",原始資料!W493=原始資料!V493),N(T493)+1,1))</f>
        <v/>
      </c>
      <c r="V493" s="6">
        <f>IF(OR(原始資料!$A493="",21&gt;設定!$B$3,原始資料!X493=""),"",IF(AND(原始資料!W493&lt;&gt;"",原始資料!X493=原始資料!W493),N(U493)+1,1))</f>
        <v/>
      </c>
      <c r="W493" s="6">
        <f>IF(OR(原始資料!$A493="",22&gt;設定!$B$3,原始資料!Y493=""),"",IF(AND(原始資料!X493&lt;&gt;"",原始資料!Y493=原始資料!X493),N(V493)+1,1))</f>
        <v/>
      </c>
      <c r="X493" s="6">
        <f>IF(OR(原始資料!$A493="",23&gt;設定!$B$3,原始資料!Z493=""),"",IF(AND(原始資料!Y493&lt;&gt;"",原始資料!Z493=原始資料!Y493),N(W493)+1,1))</f>
        <v/>
      </c>
      <c r="Y493" s="6">
        <f>IF(OR(原始資料!$A493="",24&gt;設定!$B$3,原始資料!AA493=""),"",IF(AND(原始資料!Z493&lt;&gt;"",原始資料!AA493=原始資料!Z493),N(X493)+1,1))</f>
        <v/>
      </c>
      <c r="Z493" s="6">
        <f>IF(OR(原始資料!$A493="",25&gt;設定!$B$3,原始資料!AB493=""),"",IF(AND(原始資料!AA493&lt;&gt;"",原始資料!AB493=原始資料!AA493),N(Y493)+1,1))</f>
        <v/>
      </c>
      <c r="AA493" s="6">
        <f>IF(OR(原始資料!$A493="",26&gt;設定!$B$3,原始資料!AC493=""),"",IF(AND(原始資料!AB493&lt;&gt;"",原始資料!AC493=原始資料!AB493),N(Z493)+1,1))</f>
        <v/>
      </c>
      <c r="AB493" s="6">
        <f>IF(OR(原始資料!$A493="",27&gt;設定!$B$3,原始資料!AD493=""),"",IF(AND(原始資料!AC493&lt;&gt;"",原始資料!AD493=原始資料!AC493),N(AA493)+1,1))</f>
        <v/>
      </c>
      <c r="AC493" s="6">
        <f>IF(OR(原始資料!$A493="",28&gt;設定!$B$3,原始資料!AE493=""),"",IF(AND(原始資料!AD493&lt;&gt;"",原始資料!AE493=原始資料!AD493),N(AB493)+1,1))</f>
        <v/>
      </c>
      <c r="AD493" s="6">
        <f>IF(OR(原始資料!$A493="",29&gt;設定!$B$3,原始資料!AF493=""),"",IF(AND(原始資料!AE493&lt;&gt;"",原始資料!AF493=原始資料!AE493),N(AC493)+1,1))</f>
        <v/>
      </c>
      <c r="AE493" s="6">
        <f>IF(OR(原始資料!$A493="",30&gt;設定!$B$3,原始資料!AG493=""),"",IF(AND(原始資料!AF493&lt;&gt;"",原始資料!AG493=原始資料!AF493),N(AD493)+1,1))</f>
        <v/>
      </c>
      <c r="AF493" s="6">
        <f>IF(OR(原始資料!$A493="",31&gt;設定!$B$3,原始資料!AH493=""),"",IF(AND(原始資料!AG493&lt;&gt;"",原始資料!AH493=原始資料!AG493),N(AE493)+1,1))</f>
        <v/>
      </c>
      <c r="AG493" s="6">
        <f>IF(OR(原始資料!$A493="",32&gt;設定!$B$3,原始資料!AI493=""),"",IF(AND(原始資料!AH493&lt;&gt;"",原始資料!AI493=原始資料!AH493),N(AF493)+1,1))</f>
        <v/>
      </c>
      <c r="AH493" s="6">
        <f>IF(OR(原始資料!$A493="",33&gt;設定!$B$3,原始資料!AJ493=""),"",IF(AND(原始資料!AI493&lt;&gt;"",原始資料!AJ493=原始資料!AI493),N(AG493)+1,1))</f>
        <v/>
      </c>
      <c r="AI493" s="6">
        <f>IF(OR(原始資料!$A493="",34&gt;設定!$B$3,原始資料!AK493=""),"",IF(AND(原始資料!AJ493&lt;&gt;"",原始資料!AK493=原始資料!AJ493),N(AH493)+1,1))</f>
        <v/>
      </c>
      <c r="AJ493" s="6">
        <f>IF(OR(原始資料!$A493="",35&gt;設定!$B$3,原始資料!AL493=""),"",IF(AND(原始資料!AK493&lt;&gt;"",原始資料!AL493=原始資料!AK493),N(AI493)+1,1))</f>
        <v/>
      </c>
      <c r="AK493" s="6">
        <f>IF(OR(原始資料!$A493="",36&gt;設定!$B$3,原始資料!AM493=""),"",IF(AND(原始資料!AL493&lt;&gt;"",原始資料!AM493=原始資料!AL493),N(AJ493)+1,1))</f>
        <v/>
      </c>
      <c r="AL493" s="6">
        <f>IF(OR(原始資料!$A493="",37&gt;設定!$B$3,原始資料!AN493=""),"",IF(AND(原始資料!AM493&lt;&gt;"",原始資料!AN493=原始資料!AM493),N(AK493)+1,1))</f>
        <v/>
      </c>
      <c r="AM493" s="6">
        <f>IF(OR(原始資料!$A493="",38&gt;設定!$B$3,原始資料!AO493=""),"",IF(AND(原始資料!AN493&lt;&gt;"",原始資料!AO493=原始資料!AN493),N(AL493)+1,1))</f>
        <v/>
      </c>
      <c r="AN493" s="6">
        <f>IF(OR(原始資料!$A493="",39&gt;設定!$B$3,原始資料!AP493=""),"",IF(AND(原始資料!AO493&lt;&gt;"",原始資料!AP493=原始資料!AO493),N(AM493)+1,1))</f>
        <v/>
      </c>
      <c r="AO493" s="6">
        <f>IF(OR(原始資料!$A493="",40&gt;設定!$B$3,原始資料!AQ493=""),"",IF(AND(原始資料!AP493&lt;&gt;"",原始資料!AQ493=原始資料!AP493),N(AN493)+1,1))</f>
        <v/>
      </c>
      <c r="AP493" s="6">
        <f>IF(OR(原始資料!$A493="",41&gt;設定!$B$3,原始資料!AR493=""),"",IF(AND(原始資料!AQ493&lt;&gt;"",原始資料!AR493=原始資料!AQ493),N(AO493)+1,1))</f>
        <v/>
      </c>
      <c r="AQ493" s="6">
        <f>IF(OR(原始資料!$A493="",42&gt;設定!$B$3,原始資料!AS493=""),"",IF(AND(原始資料!AR493&lt;&gt;"",原始資料!AS493=原始資料!AR493),N(AP493)+1,1))</f>
        <v/>
      </c>
      <c r="AR493" s="6">
        <f>IF(OR(原始資料!$A493="",43&gt;設定!$B$3,原始資料!AT493=""),"",IF(AND(原始資料!AS493&lt;&gt;"",原始資料!AT493=原始資料!AS493),N(AQ493)+1,1))</f>
        <v/>
      </c>
      <c r="AS493" s="6">
        <f>IF(OR(原始資料!$A493="",44&gt;設定!$B$3,原始資料!AU493=""),"",IF(AND(原始資料!AT493&lt;&gt;"",原始資料!AU493=原始資料!AT493),N(AR493)+1,1))</f>
        <v/>
      </c>
      <c r="AT493" s="6">
        <f>IF(OR(原始資料!$A493="",45&gt;設定!$B$3,原始資料!AV493=""),"",IF(AND(原始資料!AU493&lt;&gt;"",原始資料!AV493=原始資料!AU493),N(AS493)+1,1))</f>
        <v/>
      </c>
      <c r="AU493" s="6">
        <f>IF(OR(原始資料!$A493="",46&gt;設定!$B$3,原始資料!AW493=""),"",IF(AND(原始資料!AV493&lt;&gt;"",原始資料!AW493=原始資料!AV493),N(AT493)+1,1))</f>
        <v/>
      </c>
      <c r="AV493" s="6">
        <f>IF(OR(原始資料!$A493="",47&gt;設定!$B$3,原始資料!AX493=""),"",IF(AND(原始資料!AW493&lt;&gt;"",原始資料!AX493=原始資料!AW493),N(AU493)+1,1))</f>
        <v/>
      </c>
      <c r="AW493" s="6">
        <f>IF(OR(原始資料!$A493="",48&gt;設定!$B$3,原始資料!AY493=""),"",IF(AND(原始資料!AX493&lt;&gt;"",原始資料!AY493=原始資料!AX493),N(AV493)+1,1))</f>
        <v/>
      </c>
      <c r="AX493" s="6">
        <f>IF(OR(原始資料!$A493="",49&gt;設定!$B$3,原始資料!AZ493=""),"",IF(AND(原始資料!AY493&lt;&gt;"",原始資料!AZ493=原始資料!AY493),N(AW493)+1,1))</f>
        <v/>
      </c>
      <c r="AY493" s="6">
        <f>IF(OR(原始資料!$A493="",50&gt;設定!$B$3,原始資料!BA493=""),"",IF(AND(原始資料!AZ493&lt;&gt;"",原始資料!BA493=原始資料!AZ493),N(AX493)+1,1))</f>
        <v/>
      </c>
      <c r="AZ493" s="6">
        <f>IF(OR(原始資料!$A493="",51&gt;設定!$B$3,原始資料!BB493=""),"",IF(AND(原始資料!BA493&lt;&gt;"",原始資料!BB493=原始資料!BA493),N(AY493)+1,1))</f>
        <v/>
      </c>
      <c r="BA493" s="6">
        <f>IF(OR(原始資料!$A493="",52&gt;設定!$B$3,原始資料!BC493=""),"",IF(AND(原始資料!BB493&lt;&gt;"",原始資料!BC493=原始資料!BB493),N(AZ493)+1,1))</f>
        <v/>
      </c>
      <c r="BB493" s="6">
        <f>IF(OR(原始資料!$A493="",53&gt;設定!$B$3,原始資料!BD493=""),"",IF(AND(原始資料!BC493&lt;&gt;"",原始資料!BD493=原始資料!BC493),N(BA493)+1,1))</f>
        <v/>
      </c>
      <c r="BC493" s="6">
        <f>IF(OR(原始資料!$A493="",54&gt;設定!$B$3,原始資料!BE493=""),"",IF(AND(原始資料!BD493&lt;&gt;"",原始資料!BE493=原始資料!BD493),N(BB493)+1,1))</f>
        <v/>
      </c>
      <c r="BD493" s="6">
        <f>IF(OR(原始資料!$A493="",55&gt;設定!$B$3,原始資料!BF493=""),"",IF(AND(原始資料!BE493&lt;&gt;"",原始資料!BF493=原始資料!BE493),N(BC493)+1,1))</f>
        <v/>
      </c>
      <c r="BE493" s="6">
        <f>IF(OR(原始資料!$A493="",56&gt;設定!$B$3,原始資料!BG493=""),"",IF(AND(原始資料!BF493&lt;&gt;"",原始資料!BG493=原始資料!BF493),N(BD493)+1,1))</f>
        <v/>
      </c>
      <c r="BF493" s="6">
        <f>IF(OR(原始資料!$A493="",57&gt;設定!$B$3,原始資料!BH493=""),"",IF(AND(原始資料!BG493&lt;&gt;"",原始資料!BH493=原始資料!BG493),N(BE493)+1,1))</f>
        <v/>
      </c>
      <c r="BG493" s="6">
        <f>IF(OR(原始資料!$A493="",58&gt;設定!$B$3,原始資料!BI493=""),"",IF(AND(原始資料!BH493&lt;&gt;"",原始資料!BI493=原始資料!BH493),N(BF493)+1,1))</f>
        <v/>
      </c>
      <c r="BH493" s="6">
        <f>IF(OR(原始資料!$A493="",59&gt;設定!$B$3,原始資料!BJ493=""),"",IF(AND(原始資料!BI493&lt;&gt;"",原始資料!BJ493=原始資料!BI493),N(BG493)+1,1))</f>
        <v/>
      </c>
      <c r="BI493" s="6">
        <f>IF(OR(原始資料!$A493="",60&gt;設定!$B$3,原始資料!BK493=""),"",IF(AND(原始資料!BJ493&lt;&gt;"",原始資料!BK493=原始資料!BJ493),N(BH493)+1,1))</f>
        <v/>
      </c>
    </row>
    <row r="494">
      <c r="A494" s="6">
        <f>IF(原始資料!$A494="","",原始資料!$A494)</f>
        <v/>
      </c>
      <c r="B494" s="6">
        <f>IF(OR(原始資料!$A494="",1&gt;設定!$B$3,原始資料!D494=""),"",1)</f>
        <v/>
      </c>
      <c r="C494" s="6">
        <f>IF(OR(原始資料!$A494="",2&gt;設定!$B$3,原始資料!E494=""),"",IF(AND(原始資料!D494&lt;&gt;"",原始資料!E494=原始資料!D494),N(B494)+1,1))</f>
        <v/>
      </c>
      <c r="D494" s="6">
        <f>IF(OR(原始資料!$A494="",3&gt;設定!$B$3,原始資料!F494=""),"",IF(AND(原始資料!E494&lt;&gt;"",原始資料!F494=原始資料!E494),N(C494)+1,1))</f>
        <v/>
      </c>
      <c r="E494" s="6">
        <f>IF(OR(原始資料!$A494="",4&gt;設定!$B$3,原始資料!G494=""),"",IF(AND(原始資料!F494&lt;&gt;"",原始資料!G494=原始資料!F494),N(D494)+1,1))</f>
        <v/>
      </c>
      <c r="F494" s="6">
        <f>IF(OR(原始資料!$A494="",5&gt;設定!$B$3,原始資料!H494=""),"",IF(AND(原始資料!G494&lt;&gt;"",原始資料!H494=原始資料!G494),N(E494)+1,1))</f>
        <v/>
      </c>
      <c r="G494" s="6">
        <f>IF(OR(原始資料!$A494="",6&gt;設定!$B$3,原始資料!I494=""),"",IF(AND(原始資料!H494&lt;&gt;"",原始資料!I494=原始資料!H494),N(F494)+1,1))</f>
        <v/>
      </c>
      <c r="H494" s="6">
        <f>IF(OR(原始資料!$A494="",7&gt;設定!$B$3,原始資料!J494=""),"",IF(AND(原始資料!I494&lt;&gt;"",原始資料!J494=原始資料!I494),N(G494)+1,1))</f>
        <v/>
      </c>
      <c r="I494" s="6">
        <f>IF(OR(原始資料!$A494="",8&gt;設定!$B$3,原始資料!K494=""),"",IF(AND(原始資料!J494&lt;&gt;"",原始資料!K494=原始資料!J494),N(H494)+1,1))</f>
        <v/>
      </c>
      <c r="J494" s="6">
        <f>IF(OR(原始資料!$A494="",9&gt;設定!$B$3,原始資料!L494=""),"",IF(AND(原始資料!K494&lt;&gt;"",原始資料!L494=原始資料!K494),N(I494)+1,1))</f>
        <v/>
      </c>
      <c r="K494" s="6">
        <f>IF(OR(原始資料!$A494="",10&gt;設定!$B$3,原始資料!M494=""),"",IF(AND(原始資料!L494&lt;&gt;"",原始資料!M494=原始資料!L494),N(J494)+1,1))</f>
        <v/>
      </c>
      <c r="L494" s="6">
        <f>IF(OR(原始資料!$A494="",11&gt;設定!$B$3,原始資料!N494=""),"",IF(AND(原始資料!M494&lt;&gt;"",原始資料!N494=原始資料!M494),N(K494)+1,1))</f>
        <v/>
      </c>
      <c r="M494" s="6">
        <f>IF(OR(原始資料!$A494="",12&gt;設定!$B$3,原始資料!O494=""),"",IF(AND(原始資料!N494&lt;&gt;"",原始資料!O494=原始資料!N494),N(L494)+1,1))</f>
        <v/>
      </c>
      <c r="N494" s="6">
        <f>IF(OR(原始資料!$A494="",13&gt;設定!$B$3,原始資料!P494=""),"",IF(AND(原始資料!O494&lt;&gt;"",原始資料!P494=原始資料!O494),N(M494)+1,1))</f>
        <v/>
      </c>
      <c r="O494" s="6">
        <f>IF(OR(原始資料!$A494="",14&gt;設定!$B$3,原始資料!Q494=""),"",IF(AND(原始資料!P494&lt;&gt;"",原始資料!Q494=原始資料!P494),N(N494)+1,1))</f>
        <v/>
      </c>
      <c r="P494" s="6">
        <f>IF(OR(原始資料!$A494="",15&gt;設定!$B$3,原始資料!R494=""),"",IF(AND(原始資料!Q494&lt;&gt;"",原始資料!R494=原始資料!Q494),N(O494)+1,1))</f>
        <v/>
      </c>
      <c r="Q494" s="6">
        <f>IF(OR(原始資料!$A494="",16&gt;設定!$B$3,原始資料!S494=""),"",IF(AND(原始資料!R494&lt;&gt;"",原始資料!S494=原始資料!R494),N(P494)+1,1))</f>
        <v/>
      </c>
      <c r="R494" s="6">
        <f>IF(OR(原始資料!$A494="",17&gt;設定!$B$3,原始資料!T494=""),"",IF(AND(原始資料!S494&lt;&gt;"",原始資料!T494=原始資料!S494),N(Q494)+1,1))</f>
        <v/>
      </c>
      <c r="S494" s="6">
        <f>IF(OR(原始資料!$A494="",18&gt;設定!$B$3,原始資料!U494=""),"",IF(AND(原始資料!T494&lt;&gt;"",原始資料!U494=原始資料!T494),N(R494)+1,1))</f>
        <v/>
      </c>
      <c r="T494" s="6">
        <f>IF(OR(原始資料!$A494="",19&gt;設定!$B$3,原始資料!V494=""),"",IF(AND(原始資料!U494&lt;&gt;"",原始資料!V494=原始資料!U494),N(S494)+1,1))</f>
        <v/>
      </c>
      <c r="U494" s="6">
        <f>IF(OR(原始資料!$A494="",20&gt;設定!$B$3,原始資料!W494=""),"",IF(AND(原始資料!V494&lt;&gt;"",原始資料!W494=原始資料!V494),N(T494)+1,1))</f>
        <v/>
      </c>
      <c r="V494" s="6">
        <f>IF(OR(原始資料!$A494="",21&gt;設定!$B$3,原始資料!X494=""),"",IF(AND(原始資料!W494&lt;&gt;"",原始資料!X494=原始資料!W494),N(U494)+1,1))</f>
        <v/>
      </c>
      <c r="W494" s="6">
        <f>IF(OR(原始資料!$A494="",22&gt;設定!$B$3,原始資料!Y494=""),"",IF(AND(原始資料!X494&lt;&gt;"",原始資料!Y494=原始資料!X494),N(V494)+1,1))</f>
        <v/>
      </c>
      <c r="X494" s="6">
        <f>IF(OR(原始資料!$A494="",23&gt;設定!$B$3,原始資料!Z494=""),"",IF(AND(原始資料!Y494&lt;&gt;"",原始資料!Z494=原始資料!Y494),N(W494)+1,1))</f>
        <v/>
      </c>
      <c r="Y494" s="6">
        <f>IF(OR(原始資料!$A494="",24&gt;設定!$B$3,原始資料!AA494=""),"",IF(AND(原始資料!Z494&lt;&gt;"",原始資料!AA494=原始資料!Z494),N(X494)+1,1))</f>
        <v/>
      </c>
      <c r="Z494" s="6">
        <f>IF(OR(原始資料!$A494="",25&gt;設定!$B$3,原始資料!AB494=""),"",IF(AND(原始資料!AA494&lt;&gt;"",原始資料!AB494=原始資料!AA494),N(Y494)+1,1))</f>
        <v/>
      </c>
      <c r="AA494" s="6">
        <f>IF(OR(原始資料!$A494="",26&gt;設定!$B$3,原始資料!AC494=""),"",IF(AND(原始資料!AB494&lt;&gt;"",原始資料!AC494=原始資料!AB494),N(Z494)+1,1))</f>
        <v/>
      </c>
      <c r="AB494" s="6">
        <f>IF(OR(原始資料!$A494="",27&gt;設定!$B$3,原始資料!AD494=""),"",IF(AND(原始資料!AC494&lt;&gt;"",原始資料!AD494=原始資料!AC494),N(AA494)+1,1))</f>
        <v/>
      </c>
      <c r="AC494" s="6">
        <f>IF(OR(原始資料!$A494="",28&gt;設定!$B$3,原始資料!AE494=""),"",IF(AND(原始資料!AD494&lt;&gt;"",原始資料!AE494=原始資料!AD494),N(AB494)+1,1))</f>
        <v/>
      </c>
      <c r="AD494" s="6">
        <f>IF(OR(原始資料!$A494="",29&gt;設定!$B$3,原始資料!AF494=""),"",IF(AND(原始資料!AE494&lt;&gt;"",原始資料!AF494=原始資料!AE494),N(AC494)+1,1))</f>
        <v/>
      </c>
      <c r="AE494" s="6">
        <f>IF(OR(原始資料!$A494="",30&gt;設定!$B$3,原始資料!AG494=""),"",IF(AND(原始資料!AF494&lt;&gt;"",原始資料!AG494=原始資料!AF494),N(AD494)+1,1))</f>
        <v/>
      </c>
      <c r="AF494" s="6">
        <f>IF(OR(原始資料!$A494="",31&gt;設定!$B$3,原始資料!AH494=""),"",IF(AND(原始資料!AG494&lt;&gt;"",原始資料!AH494=原始資料!AG494),N(AE494)+1,1))</f>
        <v/>
      </c>
      <c r="AG494" s="6">
        <f>IF(OR(原始資料!$A494="",32&gt;設定!$B$3,原始資料!AI494=""),"",IF(AND(原始資料!AH494&lt;&gt;"",原始資料!AI494=原始資料!AH494),N(AF494)+1,1))</f>
        <v/>
      </c>
      <c r="AH494" s="6">
        <f>IF(OR(原始資料!$A494="",33&gt;設定!$B$3,原始資料!AJ494=""),"",IF(AND(原始資料!AI494&lt;&gt;"",原始資料!AJ494=原始資料!AI494),N(AG494)+1,1))</f>
        <v/>
      </c>
      <c r="AI494" s="6">
        <f>IF(OR(原始資料!$A494="",34&gt;設定!$B$3,原始資料!AK494=""),"",IF(AND(原始資料!AJ494&lt;&gt;"",原始資料!AK494=原始資料!AJ494),N(AH494)+1,1))</f>
        <v/>
      </c>
      <c r="AJ494" s="6">
        <f>IF(OR(原始資料!$A494="",35&gt;設定!$B$3,原始資料!AL494=""),"",IF(AND(原始資料!AK494&lt;&gt;"",原始資料!AL494=原始資料!AK494),N(AI494)+1,1))</f>
        <v/>
      </c>
      <c r="AK494" s="6">
        <f>IF(OR(原始資料!$A494="",36&gt;設定!$B$3,原始資料!AM494=""),"",IF(AND(原始資料!AL494&lt;&gt;"",原始資料!AM494=原始資料!AL494),N(AJ494)+1,1))</f>
        <v/>
      </c>
      <c r="AL494" s="6">
        <f>IF(OR(原始資料!$A494="",37&gt;設定!$B$3,原始資料!AN494=""),"",IF(AND(原始資料!AM494&lt;&gt;"",原始資料!AN494=原始資料!AM494),N(AK494)+1,1))</f>
        <v/>
      </c>
      <c r="AM494" s="6">
        <f>IF(OR(原始資料!$A494="",38&gt;設定!$B$3,原始資料!AO494=""),"",IF(AND(原始資料!AN494&lt;&gt;"",原始資料!AO494=原始資料!AN494),N(AL494)+1,1))</f>
        <v/>
      </c>
      <c r="AN494" s="6">
        <f>IF(OR(原始資料!$A494="",39&gt;設定!$B$3,原始資料!AP494=""),"",IF(AND(原始資料!AO494&lt;&gt;"",原始資料!AP494=原始資料!AO494),N(AM494)+1,1))</f>
        <v/>
      </c>
      <c r="AO494" s="6">
        <f>IF(OR(原始資料!$A494="",40&gt;設定!$B$3,原始資料!AQ494=""),"",IF(AND(原始資料!AP494&lt;&gt;"",原始資料!AQ494=原始資料!AP494),N(AN494)+1,1))</f>
        <v/>
      </c>
      <c r="AP494" s="6">
        <f>IF(OR(原始資料!$A494="",41&gt;設定!$B$3,原始資料!AR494=""),"",IF(AND(原始資料!AQ494&lt;&gt;"",原始資料!AR494=原始資料!AQ494),N(AO494)+1,1))</f>
        <v/>
      </c>
      <c r="AQ494" s="6">
        <f>IF(OR(原始資料!$A494="",42&gt;設定!$B$3,原始資料!AS494=""),"",IF(AND(原始資料!AR494&lt;&gt;"",原始資料!AS494=原始資料!AR494),N(AP494)+1,1))</f>
        <v/>
      </c>
      <c r="AR494" s="6">
        <f>IF(OR(原始資料!$A494="",43&gt;設定!$B$3,原始資料!AT494=""),"",IF(AND(原始資料!AS494&lt;&gt;"",原始資料!AT494=原始資料!AS494),N(AQ494)+1,1))</f>
        <v/>
      </c>
      <c r="AS494" s="6">
        <f>IF(OR(原始資料!$A494="",44&gt;設定!$B$3,原始資料!AU494=""),"",IF(AND(原始資料!AT494&lt;&gt;"",原始資料!AU494=原始資料!AT494),N(AR494)+1,1))</f>
        <v/>
      </c>
      <c r="AT494" s="6">
        <f>IF(OR(原始資料!$A494="",45&gt;設定!$B$3,原始資料!AV494=""),"",IF(AND(原始資料!AU494&lt;&gt;"",原始資料!AV494=原始資料!AU494),N(AS494)+1,1))</f>
        <v/>
      </c>
      <c r="AU494" s="6">
        <f>IF(OR(原始資料!$A494="",46&gt;設定!$B$3,原始資料!AW494=""),"",IF(AND(原始資料!AV494&lt;&gt;"",原始資料!AW494=原始資料!AV494),N(AT494)+1,1))</f>
        <v/>
      </c>
      <c r="AV494" s="6">
        <f>IF(OR(原始資料!$A494="",47&gt;設定!$B$3,原始資料!AX494=""),"",IF(AND(原始資料!AW494&lt;&gt;"",原始資料!AX494=原始資料!AW494),N(AU494)+1,1))</f>
        <v/>
      </c>
      <c r="AW494" s="6">
        <f>IF(OR(原始資料!$A494="",48&gt;設定!$B$3,原始資料!AY494=""),"",IF(AND(原始資料!AX494&lt;&gt;"",原始資料!AY494=原始資料!AX494),N(AV494)+1,1))</f>
        <v/>
      </c>
      <c r="AX494" s="6">
        <f>IF(OR(原始資料!$A494="",49&gt;設定!$B$3,原始資料!AZ494=""),"",IF(AND(原始資料!AY494&lt;&gt;"",原始資料!AZ494=原始資料!AY494),N(AW494)+1,1))</f>
        <v/>
      </c>
      <c r="AY494" s="6">
        <f>IF(OR(原始資料!$A494="",50&gt;設定!$B$3,原始資料!BA494=""),"",IF(AND(原始資料!AZ494&lt;&gt;"",原始資料!BA494=原始資料!AZ494),N(AX494)+1,1))</f>
        <v/>
      </c>
      <c r="AZ494" s="6">
        <f>IF(OR(原始資料!$A494="",51&gt;設定!$B$3,原始資料!BB494=""),"",IF(AND(原始資料!BA494&lt;&gt;"",原始資料!BB494=原始資料!BA494),N(AY494)+1,1))</f>
        <v/>
      </c>
      <c r="BA494" s="6">
        <f>IF(OR(原始資料!$A494="",52&gt;設定!$B$3,原始資料!BC494=""),"",IF(AND(原始資料!BB494&lt;&gt;"",原始資料!BC494=原始資料!BB494),N(AZ494)+1,1))</f>
        <v/>
      </c>
      <c r="BB494" s="6">
        <f>IF(OR(原始資料!$A494="",53&gt;設定!$B$3,原始資料!BD494=""),"",IF(AND(原始資料!BC494&lt;&gt;"",原始資料!BD494=原始資料!BC494),N(BA494)+1,1))</f>
        <v/>
      </c>
      <c r="BC494" s="6">
        <f>IF(OR(原始資料!$A494="",54&gt;設定!$B$3,原始資料!BE494=""),"",IF(AND(原始資料!BD494&lt;&gt;"",原始資料!BE494=原始資料!BD494),N(BB494)+1,1))</f>
        <v/>
      </c>
      <c r="BD494" s="6">
        <f>IF(OR(原始資料!$A494="",55&gt;設定!$B$3,原始資料!BF494=""),"",IF(AND(原始資料!BE494&lt;&gt;"",原始資料!BF494=原始資料!BE494),N(BC494)+1,1))</f>
        <v/>
      </c>
      <c r="BE494" s="6">
        <f>IF(OR(原始資料!$A494="",56&gt;設定!$B$3,原始資料!BG494=""),"",IF(AND(原始資料!BF494&lt;&gt;"",原始資料!BG494=原始資料!BF494),N(BD494)+1,1))</f>
        <v/>
      </c>
      <c r="BF494" s="6">
        <f>IF(OR(原始資料!$A494="",57&gt;設定!$B$3,原始資料!BH494=""),"",IF(AND(原始資料!BG494&lt;&gt;"",原始資料!BH494=原始資料!BG494),N(BE494)+1,1))</f>
        <v/>
      </c>
      <c r="BG494" s="6">
        <f>IF(OR(原始資料!$A494="",58&gt;設定!$B$3,原始資料!BI494=""),"",IF(AND(原始資料!BH494&lt;&gt;"",原始資料!BI494=原始資料!BH494),N(BF494)+1,1))</f>
        <v/>
      </c>
      <c r="BH494" s="6">
        <f>IF(OR(原始資料!$A494="",59&gt;設定!$B$3,原始資料!BJ494=""),"",IF(AND(原始資料!BI494&lt;&gt;"",原始資料!BJ494=原始資料!BI494),N(BG494)+1,1))</f>
        <v/>
      </c>
      <c r="BI494" s="6">
        <f>IF(OR(原始資料!$A494="",60&gt;設定!$B$3,原始資料!BK494=""),"",IF(AND(原始資料!BJ494&lt;&gt;"",原始資料!BK494=原始資料!BJ494),N(BH494)+1,1))</f>
        <v/>
      </c>
    </row>
    <row r="495">
      <c r="A495" s="6">
        <f>IF(原始資料!$A495="","",原始資料!$A495)</f>
        <v/>
      </c>
      <c r="B495" s="6">
        <f>IF(OR(原始資料!$A495="",1&gt;設定!$B$3,原始資料!D495=""),"",1)</f>
        <v/>
      </c>
      <c r="C495" s="6">
        <f>IF(OR(原始資料!$A495="",2&gt;設定!$B$3,原始資料!E495=""),"",IF(AND(原始資料!D495&lt;&gt;"",原始資料!E495=原始資料!D495),N(B495)+1,1))</f>
        <v/>
      </c>
      <c r="D495" s="6">
        <f>IF(OR(原始資料!$A495="",3&gt;設定!$B$3,原始資料!F495=""),"",IF(AND(原始資料!E495&lt;&gt;"",原始資料!F495=原始資料!E495),N(C495)+1,1))</f>
        <v/>
      </c>
      <c r="E495" s="6">
        <f>IF(OR(原始資料!$A495="",4&gt;設定!$B$3,原始資料!G495=""),"",IF(AND(原始資料!F495&lt;&gt;"",原始資料!G495=原始資料!F495),N(D495)+1,1))</f>
        <v/>
      </c>
      <c r="F495" s="6">
        <f>IF(OR(原始資料!$A495="",5&gt;設定!$B$3,原始資料!H495=""),"",IF(AND(原始資料!G495&lt;&gt;"",原始資料!H495=原始資料!G495),N(E495)+1,1))</f>
        <v/>
      </c>
      <c r="G495" s="6">
        <f>IF(OR(原始資料!$A495="",6&gt;設定!$B$3,原始資料!I495=""),"",IF(AND(原始資料!H495&lt;&gt;"",原始資料!I495=原始資料!H495),N(F495)+1,1))</f>
        <v/>
      </c>
      <c r="H495" s="6">
        <f>IF(OR(原始資料!$A495="",7&gt;設定!$B$3,原始資料!J495=""),"",IF(AND(原始資料!I495&lt;&gt;"",原始資料!J495=原始資料!I495),N(G495)+1,1))</f>
        <v/>
      </c>
      <c r="I495" s="6">
        <f>IF(OR(原始資料!$A495="",8&gt;設定!$B$3,原始資料!K495=""),"",IF(AND(原始資料!J495&lt;&gt;"",原始資料!K495=原始資料!J495),N(H495)+1,1))</f>
        <v/>
      </c>
      <c r="J495" s="6">
        <f>IF(OR(原始資料!$A495="",9&gt;設定!$B$3,原始資料!L495=""),"",IF(AND(原始資料!K495&lt;&gt;"",原始資料!L495=原始資料!K495),N(I495)+1,1))</f>
        <v/>
      </c>
      <c r="K495" s="6">
        <f>IF(OR(原始資料!$A495="",10&gt;設定!$B$3,原始資料!M495=""),"",IF(AND(原始資料!L495&lt;&gt;"",原始資料!M495=原始資料!L495),N(J495)+1,1))</f>
        <v/>
      </c>
      <c r="L495" s="6">
        <f>IF(OR(原始資料!$A495="",11&gt;設定!$B$3,原始資料!N495=""),"",IF(AND(原始資料!M495&lt;&gt;"",原始資料!N495=原始資料!M495),N(K495)+1,1))</f>
        <v/>
      </c>
      <c r="M495" s="6">
        <f>IF(OR(原始資料!$A495="",12&gt;設定!$B$3,原始資料!O495=""),"",IF(AND(原始資料!N495&lt;&gt;"",原始資料!O495=原始資料!N495),N(L495)+1,1))</f>
        <v/>
      </c>
      <c r="N495" s="6">
        <f>IF(OR(原始資料!$A495="",13&gt;設定!$B$3,原始資料!P495=""),"",IF(AND(原始資料!O495&lt;&gt;"",原始資料!P495=原始資料!O495),N(M495)+1,1))</f>
        <v/>
      </c>
      <c r="O495" s="6">
        <f>IF(OR(原始資料!$A495="",14&gt;設定!$B$3,原始資料!Q495=""),"",IF(AND(原始資料!P495&lt;&gt;"",原始資料!Q495=原始資料!P495),N(N495)+1,1))</f>
        <v/>
      </c>
      <c r="P495" s="6">
        <f>IF(OR(原始資料!$A495="",15&gt;設定!$B$3,原始資料!R495=""),"",IF(AND(原始資料!Q495&lt;&gt;"",原始資料!R495=原始資料!Q495),N(O495)+1,1))</f>
        <v/>
      </c>
      <c r="Q495" s="6">
        <f>IF(OR(原始資料!$A495="",16&gt;設定!$B$3,原始資料!S495=""),"",IF(AND(原始資料!R495&lt;&gt;"",原始資料!S495=原始資料!R495),N(P495)+1,1))</f>
        <v/>
      </c>
      <c r="R495" s="6">
        <f>IF(OR(原始資料!$A495="",17&gt;設定!$B$3,原始資料!T495=""),"",IF(AND(原始資料!S495&lt;&gt;"",原始資料!T495=原始資料!S495),N(Q495)+1,1))</f>
        <v/>
      </c>
      <c r="S495" s="6">
        <f>IF(OR(原始資料!$A495="",18&gt;設定!$B$3,原始資料!U495=""),"",IF(AND(原始資料!T495&lt;&gt;"",原始資料!U495=原始資料!T495),N(R495)+1,1))</f>
        <v/>
      </c>
      <c r="T495" s="6">
        <f>IF(OR(原始資料!$A495="",19&gt;設定!$B$3,原始資料!V495=""),"",IF(AND(原始資料!U495&lt;&gt;"",原始資料!V495=原始資料!U495),N(S495)+1,1))</f>
        <v/>
      </c>
      <c r="U495" s="6">
        <f>IF(OR(原始資料!$A495="",20&gt;設定!$B$3,原始資料!W495=""),"",IF(AND(原始資料!V495&lt;&gt;"",原始資料!W495=原始資料!V495),N(T495)+1,1))</f>
        <v/>
      </c>
      <c r="V495" s="6">
        <f>IF(OR(原始資料!$A495="",21&gt;設定!$B$3,原始資料!X495=""),"",IF(AND(原始資料!W495&lt;&gt;"",原始資料!X495=原始資料!W495),N(U495)+1,1))</f>
        <v/>
      </c>
      <c r="W495" s="6">
        <f>IF(OR(原始資料!$A495="",22&gt;設定!$B$3,原始資料!Y495=""),"",IF(AND(原始資料!X495&lt;&gt;"",原始資料!Y495=原始資料!X495),N(V495)+1,1))</f>
        <v/>
      </c>
      <c r="X495" s="6">
        <f>IF(OR(原始資料!$A495="",23&gt;設定!$B$3,原始資料!Z495=""),"",IF(AND(原始資料!Y495&lt;&gt;"",原始資料!Z495=原始資料!Y495),N(W495)+1,1))</f>
        <v/>
      </c>
      <c r="Y495" s="6">
        <f>IF(OR(原始資料!$A495="",24&gt;設定!$B$3,原始資料!AA495=""),"",IF(AND(原始資料!Z495&lt;&gt;"",原始資料!AA495=原始資料!Z495),N(X495)+1,1))</f>
        <v/>
      </c>
      <c r="Z495" s="6">
        <f>IF(OR(原始資料!$A495="",25&gt;設定!$B$3,原始資料!AB495=""),"",IF(AND(原始資料!AA495&lt;&gt;"",原始資料!AB495=原始資料!AA495),N(Y495)+1,1))</f>
        <v/>
      </c>
      <c r="AA495" s="6">
        <f>IF(OR(原始資料!$A495="",26&gt;設定!$B$3,原始資料!AC495=""),"",IF(AND(原始資料!AB495&lt;&gt;"",原始資料!AC495=原始資料!AB495),N(Z495)+1,1))</f>
        <v/>
      </c>
      <c r="AB495" s="6">
        <f>IF(OR(原始資料!$A495="",27&gt;設定!$B$3,原始資料!AD495=""),"",IF(AND(原始資料!AC495&lt;&gt;"",原始資料!AD495=原始資料!AC495),N(AA495)+1,1))</f>
        <v/>
      </c>
      <c r="AC495" s="6">
        <f>IF(OR(原始資料!$A495="",28&gt;設定!$B$3,原始資料!AE495=""),"",IF(AND(原始資料!AD495&lt;&gt;"",原始資料!AE495=原始資料!AD495),N(AB495)+1,1))</f>
        <v/>
      </c>
      <c r="AD495" s="6">
        <f>IF(OR(原始資料!$A495="",29&gt;設定!$B$3,原始資料!AF495=""),"",IF(AND(原始資料!AE495&lt;&gt;"",原始資料!AF495=原始資料!AE495),N(AC495)+1,1))</f>
        <v/>
      </c>
      <c r="AE495" s="6">
        <f>IF(OR(原始資料!$A495="",30&gt;設定!$B$3,原始資料!AG495=""),"",IF(AND(原始資料!AF495&lt;&gt;"",原始資料!AG495=原始資料!AF495),N(AD495)+1,1))</f>
        <v/>
      </c>
      <c r="AF495" s="6">
        <f>IF(OR(原始資料!$A495="",31&gt;設定!$B$3,原始資料!AH495=""),"",IF(AND(原始資料!AG495&lt;&gt;"",原始資料!AH495=原始資料!AG495),N(AE495)+1,1))</f>
        <v/>
      </c>
      <c r="AG495" s="6">
        <f>IF(OR(原始資料!$A495="",32&gt;設定!$B$3,原始資料!AI495=""),"",IF(AND(原始資料!AH495&lt;&gt;"",原始資料!AI495=原始資料!AH495),N(AF495)+1,1))</f>
        <v/>
      </c>
      <c r="AH495" s="6">
        <f>IF(OR(原始資料!$A495="",33&gt;設定!$B$3,原始資料!AJ495=""),"",IF(AND(原始資料!AI495&lt;&gt;"",原始資料!AJ495=原始資料!AI495),N(AG495)+1,1))</f>
        <v/>
      </c>
      <c r="AI495" s="6">
        <f>IF(OR(原始資料!$A495="",34&gt;設定!$B$3,原始資料!AK495=""),"",IF(AND(原始資料!AJ495&lt;&gt;"",原始資料!AK495=原始資料!AJ495),N(AH495)+1,1))</f>
        <v/>
      </c>
      <c r="AJ495" s="6">
        <f>IF(OR(原始資料!$A495="",35&gt;設定!$B$3,原始資料!AL495=""),"",IF(AND(原始資料!AK495&lt;&gt;"",原始資料!AL495=原始資料!AK495),N(AI495)+1,1))</f>
        <v/>
      </c>
      <c r="AK495" s="6">
        <f>IF(OR(原始資料!$A495="",36&gt;設定!$B$3,原始資料!AM495=""),"",IF(AND(原始資料!AL495&lt;&gt;"",原始資料!AM495=原始資料!AL495),N(AJ495)+1,1))</f>
        <v/>
      </c>
      <c r="AL495" s="6">
        <f>IF(OR(原始資料!$A495="",37&gt;設定!$B$3,原始資料!AN495=""),"",IF(AND(原始資料!AM495&lt;&gt;"",原始資料!AN495=原始資料!AM495),N(AK495)+1,1))</f>
        <v/>
      </c>
      <c r="AM495" s="6">
        <f>IF(OR(原始資料!$A495="",38&gt;設定!$B$3,原始資料!AO495=""),"",IF(AND(原始資料!AN495&lt;&gt;"",原始資料!AO495=原始資料!AN495),N(AL495)+1,1))</f>
        <v/>
      </c>
      <c r="AN495" s="6">
        <f>IF(OR(原始資料!$A495="",39&gt;設定!$B$3,原始資料!AP495=""),"",IF(AND(原始資料!AO495&lt;&gt;"",原始資料!AP495=原始資料!AO495),N(AM495)+1,1))</f>
        <v/>
      </c>
      <c r="AO495" s="6">
        <f>IF(OR(原始資料!$A495="",40&gt;設定!$B$3,原始資料!AQ495=""),"",IF(AND(原始資料!AP495&lt;&gt;"",原始資料!AQ495=原始資料!AP495),N(AN495)+1,1))</f>
        <v/>
      </c>
      <c r="AP495" s="6">
        <f>IF(OR(原始資料!$A495="",41&gt;設定!$B$3,原始資料!AR495=""),"",IF(AND(原始資料!AQ495&lt;&gt;"",原始資料!AR495=原始資料!AQ495),N(AO495)+1,1))</f>
        <v/>
      </c>
      <c r="AQ495" s="6">
        <f>IF(OR(原始資料!$A495="",42&gt;設定!$B$3,原始資料!AS495=""),"",IF(AND(原始資料!AR495&lt;&gt;"",原始資料!AS495=原始資料!AR495),N(AP495)+1,1))</f>
        <v/>
      </c>
      <c r="AR495" s="6">
        <f>IF(OR(原始資料!$A495="",43&gt;設定!$B$3,原始資料!AT495=""),"",IF(AND(原始資料!AS495&lt;&gt;"",原始資料!AT495=原始資料!AS495),N(AQ495)+1,1))</f>
        <v/>
      </c>
      <c r="AS495" s="6">
        <f>IF(OR(原始資料!$A495="",44&gt;設定!$B$3,原始資料!AU495=""),"",IF(AND(原始資料!AT495&lt;&gt;"",原始資料!AU495=原始資料!AT495),N(AR495)+1,1))</f>
        <v/>
      </c>
      <c r="AT495" s="6">
        <f>IF(OR(原始資料!$A495="",45&gt;設定!$B$3,原始資料!AV495=""),"",IF(AND(原始資料!AU495&lt;&gt;"",原始資料!AV495=原始資料!AU495),N(AS495)+1,1))</f>
        <v/>
      </c>
      <c r="AU495" s="6">
        <f>IF(OR(原始資料!$A495="",46&gt;設定!$B$3,原始資料!AW495=""),"",IF(AND(原始資料!AV495&lt;&gt;"",原始資料!AW495=原始資料!AV495),N(AT495)+1,1))</f>
        <v/>
      </c>
      <c r="AV495" s="6">
        <f>IF(OR(原始資料!$A495="",47&gt;設定!$B$3,原始資料!AX495=""),"",IF(AND(原始資料!AW495&lt;&gt;"",原始資料!AX495=原始資料!AW495),N(AU495)+1,1))</f>
        <v/>
      </c>
      <c r="AW495" s="6">
        <f>IF(OR(原始資料!$A495="",48&gt;設定!$B$3,原始資料!AY495=""),"",IF(AND(原始資料!AX495&lt;&gt;"",原始資料!AY495=原始資料!AX495),N(AV495)+1,1))</f>
        <v/>
      </c>
      <c r="AX495" s="6">
        <f>IF(OR(原始資料!$A495="",49&gt;設定!$B$3,原始資料!AZ495=""),"",IF(AND(原始資料!AY495&lt;&gt;"",原始資料!AZ495=原始資料!AY495),N(AW495)+1,1))</f>
        <v/>
      </c>
      <c r="AY495" s="6">
        <f>IF(OR(原始資料!$A495="",50&gt;設定!$B$3,原始資料!BA495=""),"",IF(AND(原始資料!AZ495&lt;&gt;"",原始資料!BA495=原始資料!AZ495),N(AX495)+1,1))</f>
        <v/>
      </c>
      <c r="AZ495" s="6">
        <f>IF(OR(原始資料!$A495="",51&gt;設定!$B$3,原始資料!BB495=""),"",IF(AND(原始資料!BA495&lt;&gt;"",原始資料!BB495=原始資料!BA495),N(AY495)+1,1))</f>
        <v/>
      </c>
      <c r="BA495" s="6">
        <f>IF(OR(原始資料!$A495="",52&gt;設定!$B$3,原始資料!BC495=""),"",IF(AND(原始資料!BB495&lt;&gt;"",原始資料!BC495=原始資料!BB495),N(AZ495)+1,1))</f>
        <v/>
      </c>
      <c r="BB495" s="6">
        <f>IF(OR(原始資料!$A495="",53&gt;設定!$B$3,原始資料!BD495=""),"",IF(AND(原始資料!BC495&lt;&gt;"",原始資料!BD495=原始資料!BC495),N(BA495)+1,1))</f>
        <v/>
      </c>
      <c r="BC495" s="6">
        <f>IF(OR(原始資料!$A495="",54&gt;設定!$B$3,原始資料!BE495=""),"",IF(AND(原始資料!BD495&lt;&gt;"",原始資料!BE495=原始資料!BD495),N(BB495)+1,1))</f>
        <v/>
      </c>
      <c r="BD495" s="6">
        <f>IF(OR(原始資料!$A495="",55&gt;設定!$B$3,原始資料!BF495=""),"",IF(AND(原始資料!BE495&lt;&gt;"",原始資料!BF495=原始資料!BE495),N(BC495)+1,1))</f>
        <v/>
      </c>
      <c r="BE495" s="6">
        <f>IF(OR(原始資料!$A495="",56&gt;設定!$B$3,原始資料!BG495=""),"",IF(AND(原始資料!BF495&lt;&gt;"",原始資料!BG495=原始資料!BF495),N(BD495)+1,1))</f>
        <v/>
      </c>
      <c r="BF495" s="6">
        <f>IF(OR(原始資料!$A495="",57&gt;設定!$B$3,原始資料!BH495=""),"",IF(AND(原始資料!BG495&lt;&gt;"",原始資料!BH495=原始資料!BG495),N(BE495)+1,1))</f>
        <v/>
      </c>
      <c r="BG495" s="6">
        <f>IF(OR(原始資料!$A495="",58&gt;設定!$B$3,原始資料!BI495=""),"",IF(AND(原始資料!BH495&lt;&gt;"",原始資料!BI495=原始資料!BH495),N(BF495)+1,1))</f>
        <v/>
      </c>
      <c r="BH495" s="6">
        <f>IF(OR(原始資料!$A495="",59&gt;設定!$B$3,原始資料!BJ495=""),"",IF(AND(原始資料!BI495&lt;&gt;"",原始資料!BJ495=原始資料!BI495),N(BG495)+1,1))</f>
        <v/>
      </c>
      <c r="BI495" s="6">
        <f>IF(OR(原始資料!$A495="",60&gt;設定!$B$3,原始資料!BK495=""),"",IF(AND(原始資料!BJ495&lt;&gt;"",原始資料!BK495=原始資料!BJ495),N(BH495)+1,1))</f>
        <v/>
      </c>
    </row>
    <row r="496">
      <c r="A496" s="6">
        <f>IF(原始資料!$A496="","",原始資料!$A496)</f>
        <v/>
      </c>
      <c r="B496" s="6">
        <f>IF(OR(原始資料!$A496="",1&gt;設定!$B$3,原始資料!D496=""),"",1)</f>
        <v/>
      </c>
      <c r="C496" s="6">
        <f>IF(OR(原始資料!$A496="",2&gt;設定!$B$3,原始資料!E496=""),"",IF(AND(原始資料!D496&lt;&gt;"",原始資料!E496=原始資料!D496),N(B496)+1,1))</f>
        <v/>
      </c>
      <c r="D496" s="6">
        <f>IF(OR(原始資料!$A496="",3&gt;設定!$B$3,原始資料!F496=""),"",IF(AND(原始資料!E496&lt;&gt;"",原始資料!F496=原始資料!E496),N(C496)+1,1))</f>
        <v/>
      </c>
      <c r="E496" s="6">
        <f>IF(OR(原始資料!$A496="",4&gt;設定!$B$3,原始資料!G496=""),"",IF(AND(原始資料!F496&lt;&gt;"",原始資料!G496=原始資料!F496),N(D496)+1,1))</f>
        <v/>
      </c>
      <c r="F496" s="6">
        <f>IF(OR(原始資料!$A496="",5&gt;設定!$B$3,原始資料!H496=""),"",IF(AND(原始資料!G496&lt;&gt;"",原始資料!H496=原始資料!G496),N(E496)+1,1))</f>
        <v/>
      </c>
      <c r="G496" s="6">
        <f>IF(OR(原始資料!$A496="",6&gt;設定!$B$3,原始資料!I496=""),"",IF(AND(原始資料!H496&lt;&gt;"",原始資料!I496=原始資料!H496),N(F496)+1,1))</f>
        <v/>
      </c>
      <c r="H496" s="6">
        <f>IF(OR(原始資料!$A496="",7&gt;設定!$B$3,原始資料!J496=""),"",IF(AND(原始資料!I496&lt;&gt;"",原始資料!J496=原始資料!I496),N(G496)+1,1))</f>
        <v/>
      </c>
      <c r="I496" s="6">
        <f>IF(OR(原始資料!$A496="",8&gt;設定!$B$3,原始資料!K496=""),"",IF(AND(原始資料!J496&lt;&gt;"",原始資料!K496=原始資料!J496),N(H496)+1,1))</f>
        <v/>
      </c>
      <c r="J496" s="6">
        <f>IF(OR(原始資料!$A496="",9&gt;設定!$B$3,原始資料!L496=""),"",IF(AND(原始資料!K496&lt;&gt;"",原始資料!L496=原始資料!K496),N(I496)+1,1))</f>
        <v/>
      </c>
      <c r="K496" s="6">
        <f>IF(OR(原始資料!$A496="",10&gt;設定!$B$3,原始資料!M496=""),"",IF(AND(原始資料!L496&lt;&gt;"",原始資料!M496=原始資料!L496),N(J496)+1,1))</f>
        <v/>
      </c>
      <c r="L496" s="6">
        <f>IF(OR(原始資料!$A496="",11&gt;設定!$B$3,原始資料!N496=""),"",IF(AND(原始資料!M496&lt;&gt;"",原始資料!N496=原始資料!M496),N(K496)+1,1))</f>
        <v/>
      </c>
      <c r="M496" s="6">
        <f>IF(OR(原始資料!$A496="",12&gt;設定!$B$3,原始資料!O496=""),"",IF(AND(原始資料!N496&lt;&gt;"",原始資料!O496=原始資料!N496),N(L496)+1,1))</f>
        <v/>
      </c>
      <c r="N496" s="6">
        <f>IF(OR(原始資料!$A496="",13&gt;設定!$B$3,原始資料!P496=""),"",IF(AND(原始資料!O496&lt;&gt;"",原始資料!P496=原始資料!O496),N(M496)+1,1))</f>
        <v/>
      </c>
      <c r="O496" s="6">
        <f>IF(OR(原始資料!$A496="",14&gt;設定!$B$3,原始資料!Q496=""),"",IF(AND(原始資料!P496&lt;&gt;"",原始資料!Q496=原始資料!P496),N(N496)+1,1))</f>
        <v/>
      </c>
      <c r="P496" s="6">
        <f>IF(OR(原始資料!$A496="",15&gt;設定!$B$3,原始資料!R496=""),"",IF(AND(原始資料!Q496&lt;&gt;"",原始資料!R496=原始資料!Q496),N(O496)+1,1))</f>
        <v/>
      </c>
      <c r="Q496" s="6">
        <f>IF(OR(原始資料!$A496="",16&gt;設定!$B$3,原始資料!S496=""),"",IF(AND(原始資料!R496&lt;&gt;"",原始資料!S496=原始資料!R496),N(P496)+1,1))</f>
        <v/>
      </c>
      <c r="R496" s="6">
        <f>IF(OR(原始資料!$A496="",17&gt;設定!$B$3,原始資料!T496=""),"",IF(AND(原始資料!S496&lt;&gt;"",原始資料!T496=原始資料!S496),N(Q496)+1,1))</f>
        <v/>
      </c>
      <c r="S496" s="6">
        <f>IF(OR(原始資料!$A496="",18&gt;設定!$B$3,原始資料!U496=""),"",IF(AND(原始資料!T496&lt;&gt;"",原始資料!U496=原始資料!T496),N(R496)+1,1))</f>
        <v/>
      </c>
      <c r="T496" s="6">
        <f>IF(OR(原始資料!$A496="",19&gt;設定!$B$3,原始資料!V496=""),"",IF(AND(原始資料!U496&lt;&gt;"",原始資料!V496=原始資料!U496),N(S496)+1,1))</f>
        <v/>
      </c>
      <c r="U496" s="6">
        <f>IF(OR(原始資料!$A496="",20&gt;設定!$B$3,原始資料!W496=""),"",IF(AND(原始資料!V496&lt;&gt;"",原始資料!W496=原始資料!V496),N(T496)+1,1))</f>
        <v/>
      </c>
      <c r="V496" s="6">
        <f>IF(OR(原始資料!$A496="",21&gt;設定!$B$3,原始資料!X496=""),"",IF(AND(原始資料!W496&lt;&gt;"",原始資料!X496=原始資料!W496),N(U496)+1,1))</f>
        <v/>
      </c>
      <c r="W496" s="6">
        <f>IF(OR(原始資料!$A496="",22&gt;設定!$B$3,原始資料!Y496=""),"",IF(AND(原始資料!X496&lt;&gt;"",原始資料!Y496=原始資料!X496),N(V496)+1,1))</f>
        <v/>
      </c>
      <c r="X496" s="6">
        <f>IF(OR(原始資料!$A496="",23&gt;設定!$B$3,原始資料!Z496=""),"",IF(AND(原始資料!Y496&lt;&gt;"",原始資料!Z496=原始資料!Y496),N(W496)+1,1))</f>
        <v/>
      </c>
      <c r="Y496" s="6">
        <f>IF(OR(原始資料!$A496="",24&gt;設定!$B$3,原始資料!AA496=""),"",IF(AND(原始資料!Z496&lt;&gt;"",原始資料!AA496=原始資料!Z496),N(X496)+1,1))</f>
        <v/>
      </c>
      <c r="Z496" s="6">
        <f>IF(OR(原始資料!$A496="",25&gt;設定!$B$3,原始資料!AB496=""),"",IF(AND(原始資料!AA496&lt;&gt;"",原始資料!AB496=原始資料!AA496),N(Y496)+1,1))</f>
        <v/>
      </c>
      <c r="AA496" s="6">
        <f>IF(OR(原始資料!$A496="",26&gt;設定!$B$3,原始資料!AC496=""),"",IF(AND(原始資料!AB496&lt;&gt;"",原始資料!AC496=原始資料!AB496),N(Z496)+1,1))</f>
        <v/>
      </c>
      <c r="AB496" s="6">
        <f>IF(OR(原始資料!$A496="",27&gt;設定!$B$3,原始資料!AD496=""),"",IF(AND(原始資料!AC496&lt;&gt;"",原始資料!AD496=原始資料!AC496),N(AA496)+1,1))</f>
        <v/>
      </c>
      <c r="AC496" s="6">
        <f>IF(OR(原始資料!$A496="",28&gt;設定!$B$3,原始資料!AE496=""),"",IF(AND(原始資料!AD496&lt;&gt;"",原始資料!AE496=原始資料!AD496),N(AB496)+1,1))</f>
        <v/>
      </c>
      <c r="AD496" s="6">
        <f>IF(OR(原始資料!$A496="",29&gt;設定!$B$3,原始資料!AF496=""),"",IF(AND(原始資料!AE496&lt;&gt;"",原始資料!AF496=原始資料!AE496),N(AC496)+1,1))</f>
        <v/>
      </c>
      <c r="AE496" s="6">
        <f>IF(OR(原始資料!$A496="",30&gt;設定!$B$3,原始資料!AG496=""),"",IF(AND(原始資料!AF496&lt;&gt;"",原始資料!AG496=原始資料!AF496),N(AD496)+1,1))</f>
        <v/>
      </c>
      <c r="AF496" s="6">
        <f>IF(OR(原始資料!$A496="",31&gt;設定!$B$3,原始資料!AH496=""),"",IF(AND(原始資料!AG496&lt;&gt;"",原始資料!AH496=原始資料!AG496),N(AE496)+1,1))</f>
        <v/>
      </c>
      <c r="AG496" s="6">
        <f>IF(OR(原始資料!$A496="",32&gt;設定!$B$3,原始資料!AI496=""),"",IF(AND(原始資料!AH496&lt;&gt;"",原始資料!AI496=原始資料!AH496),N(AF496)+1,1))</f>
        <v/>
      </c>
      <c r="AH496" s="6">
        <f>IF(OR(原始資料!$A496="",33&gt;設定!$B$3,原始資料!AJ496=""),"",IF(AND(原始資料!AI496&lt;&gt;"",原始資料!AJ496=原始資料!AI496),N(AG496)+1,1))</f>
        <v/>
      </c>
      <c r="AI496" s="6">
        <f>IF(OR(原始資料!$A496="",34&gt;設定!$B$3,原始資料!AK496=""),"",IF(AND(原始資料!AJ496&lt;&gt;"",原始資料!AK496=原始資料!AJ496),N(AH496)+1,1))</f>
        <v/>
      </c>
      <c r="AJ496" s="6">
        <f>IF(OR(原始資料!$A496="",35&gt;設定!$B$3,原始資料!AL496=""),"",IF(AND(原始資料!AK496&lt;&gt;"",原始資料!AL496=原始資料!AK496),N(AI496)+1,1))</f>
        <v/>
      </c>
      <c r="AK496" s="6">
        <f>IF(OR(原始資料!$A496="",36&gt;設定!$B$3,原始資料!AM496=""),"",IF(AND(原始資料!AL496&lt;&gt;"",原始資料!AM496=原始資料!AL496),N(AJ496)+1,1))</f>
        <v/>
      </c>
      <c r="AL496" s="6">
        <f>IF(OR(原始資料!$A496="",37&gt;設定!$B$3,原始資料!AN496=""),"",IF(AND(原始資料!AM496&lt;&gt;"",原始資料!AN496=原始資料!AM496),N(AK496)+1,1))</f>
        <v/>
      </c>
      <c r="AM496" s="6">
        <f>IF(OR(原始資料!$A496="",38&gt;設定!$B$3,原始資料!AO496=""),"",IF(AND(原始資料!AN496&lt;&gt;"",原始資料!AO496=原始資料!AN496),N(AL496)+1,1))</f>
        <v/>
      </c>
      <c r="AN496" s="6">
        <f>IF(OR(原始資料!$A496="",39&gt;設定!$B$3,原始資料!AP496=""),"",IF(AND(原始資料!AO496&lt;&gt;"",原始資料!AP496=原始資料!AO496),N(AM496)+1,1))</f>
        <v/>
      </c>
      <c r="AO496" s="6">
        <f>IF(OR(原始資料!$A496="",40&gt;設定!$B$3,原始資料!AQ496=""),"",IF(AND(原始資料!AP496&lt;&gt;"",原始資料!AQ496=原始資料!AP496),N(AN496)+1,1))</f>
        <v/>
      </c>
      <c r="AP496" s="6">
        <f>IF(OR(原始資料!$A496="",41&gt;設定!$B$3,原始資料!AR496=""),"",IF(AND(原始資料!AQ496&lt;&gt;"",原始資料!AR496=原始資料!AQ496),N(AO496)+1,1))</f>
        <v/>
      </c>
      <c r="AQ496" s="6">
        <f>IF(OR(原始資料!$A496="",42&gt;設定!$B$3,原始資料!AS496=""),"",IF(AND(原始資料!AR496&lt;&gt;"",原始資料!AS496=原始資料!AR496),N(AP496)+1,1))</f>
        <v/>
      </c>
      <c r="AR496" s="6">
        <f>IF(OR(原始資料!$A496="",43&gt;設定!$B$3,原始資料!AT496=""),"",IF(AND(原始資料!AS496&lt;&gt;"",原始資料!AT496=原始資料!AS496),N(AQ496)+1,1))</f>
        <v/>
      </c>
      <c r="AS496" s="6">
        <f>IF(OR(原始資料!$A496="",44&gt;設定!$B$3,原始資料!AU496=""),"",IF(AND(原始資料!AT496&lt;&gt;"",原始資料!AU496=原始資料!AT496),N(AR496)+1,1))</f>
        <v/>
      </c>
      <c r="AT496" s="6">
        <f>IF(OR(原始資料!$A496="",45&gt;設定!$B$3,原始資料!AV496=""),"",IF(AND(原始資料!AU496&lt;&gt;"",原始資料!AV496=原始資料!AU496),N(AS496)+1,1))</f>
        <v/>
      </c>
      <c r="AU496" s="6">
        <f>IF(OR(原始資料!$A496="",46&gt;設定!$B$3,原始資料!AW496=""),"",IF(AND(原始資料!AV496&lt;&gt;"",原始資料!AW496=原始資料!AV496),N(AT496)+1,1))</f>
        <v/>
      </c>
      <c r="AV496" s="6">
        <f>IF(OR(原始資料!$A496="",47&gt;設定!$B$3,原始資料!AX496=""),"",IF(AND(原始資料!AW496&lt;&gt;"",原始資料!AX496=原始資料!AW496),N(AU496)+1,1))</f>
        <v/>
      </c>
      <c r="AW496" s="6">
        <f>IF(OR(原始資料!$A496="",48&gt;設定!$B$3,原始資料!AY496=""),"",IF(AND(原始資料!AX496&lt;&gt;"",原始資料!AY496=原始資料!AX496),N(AV496)+1,1))</f>
        <v/>
      </c>
      <c r="AX496" s="6">
        <f>IF(OR(原始資料!$A496="",49&gt;設定!$B$3,原始資料!AZ496=""),"",IF(AND(原始資料!AY496&lt;&gt;"",原始資料!AZ496=原始資料!AY496),N(AW496)+1,1))</f>
        <v/>
      </c>
      <c r="AY496" s="6">
        <f>IF(OR(原始資料!$A496="",50&gt;設定!$B$3,原始資料!BA496=""),"",IF(AND(原始資料!AZ496&lt;&gt;"",原始資料!BA496=原始資料!AZ496),N(AX496)+1,1))</f>
        <v/>
      </c>
      <c r="AZ496" s="6">
        <f>IF(OR(原始資料!$A496="",51&gt;設定!$B$3,原始資料!BB496=""),"",IF(AND(原始資料!BA496&lt;&gt;"",原始資料!BB496=原始資料!BA496),N(AY496)+1,1))</f>
        <v/>
      </c>
      <c r="BA496" s="6">
        <f>IF(OR(原始資料!$A496="",52&gt;設定!$B$3,原始資料!BC496=""),"",IF(AND(原始資料!BB496&lt;&gt;"",原始資料!BC496=原始資料!BB496),N(AZ496)+1,1))</f>
        <v/>
      </c>
      <c r="BB496" s="6">
        <f>IF(OR(原始資料!$A496="",53&gt;設定!$B$3,原始資料!BD496=""),"",IF(AND(原始資料!BC496&lt;&gt;"",原始資料!BD496=原始資料!BC496),N(BA496)+1,1))</f>
        <v/>
      </c>
      <c r="BC496" s="6">
        <f>IF(OR(原始資料!$A496="",54&gt;設定!$B$3,原始資料!BE496=""),"",IF(AND(原始資料!BD496&lt;&gt;"",原始資料!BE496=原始資料!BD496),N(BB496)+1,1))</f>
        <v/>
      </c>
      <c r="BD496" s="6">
        <f>IF(OR(原始資料!$A496="",55&gt;設定!$B$3,原始資料!BF496=""),"",IF(AND(原始資料!BE496&lt;&gt;"",原始資料!BF496=原始資料!BE496),N(BC496)+1,1))</f>
        <v/>
      </c>
      <c r="BE496" s="6">
        <f>IF(OR(原始資料!$A496="",56&gt;設定!$B$3,原始資料!BG496=""),"",IF(AND(原始資料!BF496&lt;&gt;"",原始資料!BG496=原始資料!BF496),N(BD496)+1,1))</f>
        <v/>
      </c>
      <c r="BF496" s="6">
        <f>IF(OR(原始資料!$A496="",57&gt;設定!$B$3,原始資料!BH496=""),"",IF(AND(原始資料!BG496&lt;&gt;"",原始資料!BH496=原始資料!BG496),N(BE496)+1,1))</f>
        <v/>
      </c>
      <c r="BG496" s="6">
        <f>IF(OR(原始資料!$A496="",58&gt;設定!$B$3,原始資料!BI496=""),"",IF(AND(原始資料!BH496&lt;&gt;"",原始資料!BI496=原始資料!BH496),N(BF496)+1,1))</f>
        <v/>
      </c>
      <c r="BH496" s="6">
        <f>IF(OR(原始資料!$A496="",59&gt;設定!$B$3,原始資料!BJ496=""),"",IF(AND(原始資料!BI496&lt;&gt;"",原始資料!BJ496=原始資料!BI496),N(BG496)+1,1))</f>
        <v/>
      </c>
      <c r="BI496" s="6">
        <f>IF(OR(原始資料!$A496="",60&gt;設定!$B$3,原始資料!BK496=""),"",IF(AND(原始資料!BJ496&lt;&gt;"",原始資料!BK496=原始資料!BJ496),N(BH496)+1,1))</f>
        <v/>
      </c>
    </row>
    <row r="497">
      <c r="A497" s="6">
        <f>IF(原始資料!$A497="","",原始資料!$A497)</f>
        <v/>
      </c>
      <c r="B497" s="6">
        <f>IF(OR(原始資料!$A497="",1&gt;設定!$B$3,原始資料!D497=""),"",1)</f>
        <v/>
      </c>
      <c r="C497" s="6">
        <f>IF(OR(原始資料!$A497="",2&gt;設定!$B$3,原始資料!E497=""),"",IF(AND(原始資料!D497&lt;&gt;"",原始資料!E497=原始資料!D497),N(B497)+1,1))</f>
        <v/>
      </c>
      <c r="D497" s="6">
        <f>IF(OR(原始資料!$A497="",3&gt;設定!$B$3,原始資料!F497=""),"",IF(AND(原始資料!E497&lt;&gt;"",原始資料!F497=原始資料!E497),N(C497)+1,1))</f>
        <v/>
      </c>
      <c r="E497" s="6">
        <f>IF(OR(原始資料!$A497="",4&gt;設定!$B$3,原始資料!G497=""),"",IF(AND(原始資料!F497&lt;&gt;"",原始資料!G497=原始資料!F497),N(D497)+1,1))</f>
        <v/>
      </c>
      <c r="F497" s="6">
        <f>IF(OR(原始資料!$A497="",5&gt;設定!$B$3,原始資料!H497=""),"",IF(AND(原始資料!G497&lt;&gt;"",原始資料!H497=原始資料!G497),N(E497)+1,1))</f>
        <v/>
      </c>
      <c r="G497" s="6">
        <f>IF(OR(原始資料!$A497="",6&gt;設定!$B$3,原始資料!I497=""),"",IF(AND(原始資料!H497&lt;&gt;"",原始資料!I497=原始資料!H497),N(F497)+1,1))</f>
        <v/>
      </c>
      <c r="H497" s="6">
        <f>IF(OR(原始資料!$A497="",7&gt;設定!$B$3,原始資料!J497=""),"",IF(AND(原始資料!I497&lt;&gt;"",原始資料!J497=原始資料!I497),N(G497)+1,1))</f>
        <v/>
      </c>
      <c r="I497" s="6">
        <f>IF(OR(原始資料!$A497="",8&gt;設定!$B$3,原始資料!K497=""),"",IF(AND(原始資料!J497&lt;&gt;"",原始資料!K497=原始資料!J497),N(H497)+1,1))</f>
        <v/>
      </c>
      <c r="J497" s="6">
        <f>IF(OR(原始資料!$A497="",9&gt;設定!$B$3,原始資料!L497=""),"",IF(AND(原始資料!K497&lt;&gt;"",原始資料!L497=原始資料!K497),N(I497)+1,1))</f>
        <v/>
      </c>
      <c r="K497" s="6">
        <f>IF(OR(原始資料!$A497="",10&gt;設定!$B$3,原始資料!M497=""),"",IF(AND(原始資料!L497&lt;&gt;"",原始資料!M497=原始資料!L497),N(J497)+1,1))</f>
        <v/>
      </c>
      <c r="L497" s="6">
        <f>IF(OR(原始資料!$A497="",11&gt;設定!$B$3,原始資料!N497=""),"",IF(AND(原始資料!M497&lt;&gt;"",原始資料!N497=原始資料!M497),N(K497)+1,1))</f>
        <v/>
      </c>
      <c r="M497" s="6">
        <f>IF(OR(原始資料!$A497="",12&gt;設定!$B$3,原始資料!O497=""),"",IF(AND(原始資料!N497&lt;&gt;"",原始資料!O497=原始資料!N497),N(L497)+1,1))</f>
        <v/>
      </c>
      <c r="N497" s="6">
        <f>IF(OR(原始資料!$A497="",13&gt;設定!$B$3,原始資料!P497=""),"",IF(AND(原始資料!O497&lt;&gt;"",原始資料!P497=原始資料!O497),N(M497)+1,1))</f>
        <v/>
      </c>
      <c r="O497" s="6">
        <f>IF(OR(原始資料!$A497="",14&gt;設定!$B$3,原始資料!Q497=""),"",IF(AND(原始資料!P497&lt;&gt;"",原始資料!Q497=原始資料!P497),N(N497)+1,1))</f>
        <v/>
      </c>
      <c r="P497" s="6">
        <f>IF(OR(原始資料!$A497="",15&gt;設定!$B$3,原始資料!R497=""),"",IF(AND(原始資料!Q497&lt;&gt;"",原始資料!R497=原始資料!Q497),N(O497)+1,1))</f>
        <v/>
      </c>
      <c r="Q497" s="6">
        <f>IF(OR(原始資料!$A497="",16&gt;設定!$B$3,原始資料!S497=""),"",IF(AND(原始資料!R497&lt;&gt;"",原始資料!S497=原始資料!R497),N(P497)+1,1))</f>
        <v/>
      </c>
      <c r="R497" s="6">
        <f>IF(OR(原始資料!$A497="",17&gt;設定!$B$3,原始資料!T497=""),"",IF(AND(原始資料!S497&lt;&gt;"",原始資料!T497=原始資料!S497),N(Q497)+1,1))</f>
        <v/>
      </c>
      <c r="S497" s="6">
        <f>IF(OR(原始資料!$A497="",18&gt;設定!$B$3,原始資料!U497=""),"",IF(AND(原始資料!T497&lt;&gt;"",原始資料!U497=原始資料!T497),N(R497)+1,1))</f>
        <v/>
      </c>
      <c r="T497" s="6">
        <f>IF(OR(原始資料!$A497="",19&gt;設定!$B$3,原始資料!V497=""),"",IF(AND(原始資料!U497&lt;&gt;"",原始資料!V497=原始資料!U497),N(S497)+1,1))</f>
        <v/>
      </c>
      <c r="U497" s="6">
        <f>IF(OR(原始資料!$A497="",20&gt;設定!$B$3,原始資料!W497=""),"",IF(AND(原始資料!V497&lt;&gt;"",原始資料!W497=原始資料!V497),N(T497)+1,1))</f>
        <v/>
      </c>
      <c r="V497" s="6">
        <f>IF(OR(原始資料!$A497="",21&gt;設定!$B$3,原始資料!X497=""),"",IF(AND(原始資料!W497&lt;&gt;"",原始資料!X497=原始資料!W497),N(U497)+1,1))</f>
        <v/>
      </c>
      <c r="W497" s="6">
        <f>IF(OR(原始資料!$A497="",22&gt;設定!$B$3,原始資料!Y497=""),"",IF(AND(原始資料!X497&lt;&gt;"",原始資料!Y497=原始資料!X497),N(V497)+1,1))</f>
        <v/>
      </c>
      <c r="X497" s="6">
        <f>IF(OR(原始資料!$A497="",23&gt;設定!$B$3,原始資料!Z497=""),"",IF(AND(原始資料!Y497&lt;&gt;"",原始資料!Z497=原始資料!Y497),N(W497)+1,1))</f>
        <v/>
      </c>
      <c r="Y497" s="6">
        <f>IF(OR(原始資料!$A497="",24&gt;設定!$B$3,原始資料!AA497=""),"",IF(AND(原始資料!Z497&lt;&gt;"",原始資料!AA497=原始資料!Z497),N(X497)+1,1))</f>
        <v/>
      </c>
      <c r="Z497" s="6">
        <f>IF(OR(原始資料!$A497="",25&gt;設定!$B$3,原始資料!AB497=""),"",IF(AND(原始資料!AA497&lt;&gt;"",原始資料!AB497=原始資料!AA497),N(Y497)+1,1))</f>
        <v/>
      </c>
      <c r="AA497" s="6">
        <f>IF(OR(原始資料!$A497="",26&gt;設定!$B$3,原始資料!AC497=""),"",IF(AND(原始資料!AB497&lt;&gt;"",原始資料!AC497=原始資料!AB497),N(Z497)+1,1))</f>
        <v/>
      </c>
      <c r="AB497" s="6">
        <f>IF(OR(原始資料!$A497="",27&gt;設定!$B$3,原始資料!AD497=""),"",IF(AND(原始資料!AC497&lt;&gt;"",原始資料!AD497=原始資料!AC497),N(AA497)+1,1))</f>
        <v/>
      </c>
      <c r="AC497" s="6">
        <f>IF(OR(原始資料!$A497="",28&gt;設定!$B$3,原始資料!AE497=""),"",IF(AND(原始資料!AD497&lt;&gt;"",原始資料!AE497=原始資料!AD497),N(AB497)+1,1))</f>
        <v/>
      </c>
      <c r="AD497" s="6">
        <f>IF(OR(原始資料!$A497="",29&gt;設定!$B$3,原始資料!AF497=""),"",IF(AND(原始資料!AE497&lt;&gt;"",原始資料!AF497=原始資料!AE497),N(AC497)+1,1))</f>
        <v/>
      </c>
      <c r="AE497" s="6">
        <f>IF(OR(原始資料!$A497="",30&gt;設定!$B$3,原始資料!AG497=""),"",IF(AND(原始資料!AF497&lt;&gt;"",原始資料!AG497=原始資料!AF497),N(AD497)+1,1))</f>
        <v/>
      </c>
      <c r="AF497" s="6">
        <f>IF(OR(原始資料!$A497="",31&gt;設定!$B$3,原始資料!AH497=""),"",IF(AND(原始資料!AG497&lt;&gt;"",原始資料!AH497=原始資料!AG497),N(AE497)+1,1))</f>
        <v/>
      </c>
      <c r="AG497" s="6">
        <f>IF(OR(原始資料!$A497="",32&gt;設定!$B$3,原始資料!AI497=""),"",IF(AND(原始資料!AH497&lt;&gt;"",原始資料!AI497=原始資料!AH497),N(AF497)+1,1))</f>
        <v/>
      </c>
      <c r="AH497" s="6">
        <f>IF(OR(原始資料!$A497="",33&gt;設定!$B$3,原始資料!AJ497=""),"",IF(AND(原始資料!AI497&lt;&gt;"",原始資料!AJ497=原始資料!AI497),N(AG497)+1,1))</f>
        <v/>
      </c>
      <c r="AI497" s="6">
        <f>IF(OR(原始資料!$A497="",34&gt;設定!$B$3,原始資料!AK497=""),"",IF(AND(原始資料!AJ497&lt;&gt;"",原始資料!AK497=原始資料!AJ497),N(AH497)+1,1))</f>
        <v/>
      </c>
      <c r="AJ497" s="6">
        <f>IF(OR(原始資料!$A497="",35&gt;設定!$B$3,原始資料!AL497=""),"",IF(AND(原始資料!AK497&lt;&gt;"",原始資料!AL497=原始資料!AK497),N(AI497)+1,1))</f>
        <v/>
      </c>
      <c r="AK497" s="6">
        <f>IF(OR(原始資料!$A497="",36&gt;設定!$B$3,原始資料!AM497=""),"",IF(AND(原始資料!AL497&lt;&gt;"",原始資料!AM497=原始資料!AL497),N(AJ497)+1,1))</f>
        <v/>
      </c>
      <c r="AL497" s="6">
        <f>IF(OR(原始資料!$A497="",37&gt;設定!$B$3,原始資料!AN497=""),"",IF(AND(原始資料!AM497&lt;&gt;"",原始資料!AN497=原始資料!AM497),N(AK497)+1,1))</f>
        <v/>
      </c>
      <c r="AM497" s="6">
        <f>IF(OR(原始資料!$A497="",38&gt;設定!$B$3,原始資料!AO497=""),"",IF(AND(原始資料!AN497&lt;&gt;"",原始資料!AO497=原始資料!AN497),N(AL497)+1,1))</f>
        <v/>
      </c>
      <c r="AN497" s="6">
        <f>IF(OR(原始資料!$A497="",39&gt;設定!$B$3,原始資料!AP497=""),"",IF(AND(原始資料!AO497&lt;&gt;"",原始資料!AP497=原始資料!AO497),N(AM497)+1,1))</f>
        <v/>
      </c>
      <c r="AO497" s="6">
        <f>IF(OR(原始資料!$A497="",40&gt;設定!$B$3,原始資料!AQ497=""),"",IF(AND(原始資料!AP497&lt;&gt;"",原始資料!AQ497=原始資料!AP497),N(AN497)+1,1))</f>
        <v/>
      </c>
      <c r="AP497" s="6">
        <f>IF(OR(原始資料!$A497="",41&gt;設定!$B$3,原始資料!AR497=""),"",IF(AND(原始資料!AQ497&lt;&gt;"",原始資料!AR497=原始資料!AQ497),N(AO497)+1,1))</f>
        <v/>
      </c>
      <c r="AQ497" s="6">
        <f>IF(OR(原始資料!$A497="",42&gt;設定!$B$3,原始資料!AS497=""),"",IF(AND(原始資料!AR497&lt;&gt;"",原始資料!AS497=原始資料!AR497),N(AP497)+1,1))</f>
        <v/>
      </c>
      <c r="AR497" s="6">
        <f>IF(OR(原始資料!$A497="",43&gt;設定!$B$3,原始資料!AT497=""),"",IF(AND(原始資料!AS497&lt;&gt;"",原始資料!AT497=原始資料!AS497),N(AQ497)+1,1))</f>
        <v/>
      </c>
      <c r="AS497" s="6">
        <f>IF(OR(原始資料!$A497="",44&gt;設定!$B$3,原始資料!AU497=""),"",IF(AND(原始資料!AT497&lt;&gt;"",原始資料!AU497=原始資料!AT497),N(AR497)+1,1))</f>
        <v/>
      </c>
      <c r="AT497" s="6">
        <f>IF(OR(原始資料!$A497="",45&gt;設定!$B$3,原始資料!AV497=""),"",IF(AND(原始資料!AU497&lt;&gt;"",原始資料!AV497=原始資料!AU497),N(AS497)+1,1))</f>
        <v/>
      </c>
      <c r="AU497" s="6">
        <f>IF(OR(原始資料!$A497="",46&gt;設定!$B$3,原始資料!AW497=""),"",IF(AND(原始資料!AV497&lt;&gt;"",原始資料!AW497=原始資料!AV497),N(AT497)+1,1))</f>
        <v/>
      </c>
      <c r="AV497" s="6">
        <f>IF(OR(原始資料!$A497="",47&gt;設定!$B$3,原始資料!AX497=""),"",IF(AND(原始資料!AW497&lt;&gt;"",原始資料!AX497=原始資料!AW497),N(AU497)+1,1))</f>
        <v/>
      </c>
      <c r="AW497" s="6">
        <f>IF(OR(原始資料!$A497="",48&gt;設定!$B$3,原始資料!AY497=""),"",IF(AND(原始資料!AX497&lt;&gt;"",原始資料!AY497=原始資料!AX497),N(AV497)+1,1))</f>
        <v/>
      </c>
      <c r="AX497" s="6">
        <f>IF(OR(原始資料!$A497="",49&gt;設定!$B$3,原始資料!AZ497=""),"",IF(AND(原始資料!AY497&lt;&gt;"",原始資料!AZ497=原始資料!AY497),N(AW497)+1,1))</f>
        <v/>
      </c>
      <c r="AY497" s="6">
        <f>IF(OR(原始資料!$A497="",50&gt;設定!$B$3,原始資料!BA497=""),"",IF(AND(原始資料!AZ497&lt;&gt;"",原始資料!BA497=原始資料!AZ497),N(AX497)+1,1))</f>
        <v/>
      </c>
      <c r="AZ497" s="6">
        <f>IF(OR(原始資料!$A497="",51&gt;設定!$B$3,原始資料!BB497=""),"",IF(AND(原始資料!BA497&lt;&gt;"",原始資料!BB497=原始資料!BA497),N(AY497)+1,1))</f>
        <v/>
      </c>
      <c r="BA497" s="6">
        <f>IF(OR(原始資料!$A497="",52&gt;設定!$B$3,原始資料!BC497=""),"",IF(AND(原始資料!BB497&lt;&gt;"",原始資料!BC497=原始資料!BB497),N(AZ497)+1,1))</f>
        <v/>
      </c>
      <c r="BB497" s="6">
        <f>IF(OR(原始資料!$A497="",53&gt;設定!$B$3,原始資料!BD497=""),"",IF(AND(原始資料!BC497&lt;&gt;"",原始資料!BD497=原始資料!BC497),N(BA497)+1,1))</f>
        <v/>
      </c>
      <c r="BC497" s="6">
        <f>IF(OR(原始資料!$A497="",54&gt;設定!$B$3,原始資料!BE497=""),"",IF(AND(原始資料!BD497&lt;&gt;"",原始資料!BE497=原始資料!BD497),N(BB497)+1,1))</f>
        <v/>
      </c>
      <c r="BD497" s="6">
        <f>IF(OR(原始資料!$A497="",55&gt;設定!$B$3,原始資料!BF497=""),"",IF(AND(原始資料!BE497&lt;&gt;"",原始資料!BF497=原始資料!BE497),N(BC497)+1,1))</f>
        <v/>
      </c>
      <c r="BE497" s="6">
        <f>IF(OR(原始資料!$A497="",56&gt;設定!$B$3,原始資料!BG497=""),"",IF(AND(原始資料!BF497&lt;&gt;"",原始資料!BG497=原始資料!BF497),N(BD497)+1,1))</f>
        <v/>
      </c>
      <c r="BF497" s="6">
        <f>IF(OR(原始資料!$A497="",57&gt;設定!$B$3,原始資料!BH497=""),"",IF(AND(原始資料!BG497&lt;&gt;"",原始資料!BH497=原始資料!BG497),N(BE497)+1,1))</f>
        <v/>
      </c>
      <c r="BG497" s="6">
        <f>IF(OR(原始資料!$A497="",58&gt;設定!$B$3,原始資料!BI497=""),"",IF(AND(原始資料!BH497&lt;&gt;"",原始資料!BI497=原始資料!BH497),N(BF497)+1,1))</f>
        <v/>
      </c>
      <c r="BH497" s="6">
        <f>IF(OR(原始資料!$A497="",59&gt;設定!$B$3,原始資料!BJ497=""),"",IF(AND(原始資料!BI497&lt;&gt;"",原始資料!BJ497=原始資料!BI497),N(BG497)+1,1))</f>
        <v/>
      </c>
      <c r="BI497" s="6">
        <f>IF(OR(原始資料!$A497="",60&gt;設定!$B$3,原始資料!BK497=""),"",IF(AND(原始資料!BJ497&lt;&gt;"",原始資料!BK497=原始資料!BJ497),N(BH497)+1,1))</f>
        <v/>
      </c>
    </row>
    <row r="498">
      <c r="A498" s="6">
        <f>IF(原始資料!$A498="","",原始資料!$A498)</f>
        <v/>
      </c>
      <c r="B498" s="6">
        <f>IF(OR(原始資料!$A498="",1&gt;設定!$B$3,原始資料!D498=""),"",1)</f>
        <v/>
      </c>
      <c r="C498" s="6">
        <f>IF(OR(原始資料!$A498="",2&gt;設定!$B$3,原始資料!E498=""),"",IF(AND(原始資料!D498&lt;&gt;"",原始資料!E498=原始資料!D498),N(B498)+1,1))</f>
        <v/>
      </c>
      <c r="D498" s="6">
        <f>IF(OR(原始資料!$A498="",3&gt;設定!$B$3,原始資料!F498=""),"",IF(AND(原始資料!E498&lt;&gt;"",原始資料!F498=原始資料!E498),N(C498)+1,1))</f>
        <v/>
      </c>
      <c r="E498" s="6">
        <f>IF(OR(原始資料!$A498="",4&gt;設定!$B$3,原始資料!G498=""),"",IF(AND(原始資料!F498&lt;&gt;"",原始資料!G498=原始資料!F498),N(D498)+1,1))</f>
        <v/>
      </c>
      <c r="F498" s="6">
        <f>IF(OR(原始資料!$A498="",5&gt;設定!$B$3,原始資料!H498=""),"",IF(AND(原始資料!G498&lt;&gt;"",原始資料!H498=原始資料!G498),N(E498)+1,1))</f>
        <v/>
      </c>
      <c r="G498" s="6">
        <f>IF(OR(原始資料!$A498="",6&gt;設定!$B$3,原始資料!I498=""),"",IF(AND(原始資料!H498&lt;&gt;"",原始資料!I498=原始資料!H498),N(F498)+1,1))</f>
        <v/>
      </c>
      <c r="H498" s="6">
        <f>IF(OR(原始資料!$A498="",7&gt;設定!$B$3,原始資料!J498=""),"",IF(AND(原始資料!I498&lt;&gt;"",原始資料!J498=原始資料!I498),N(G498)+1,1))</f>
        <v/>
      </c>
      <c r="I498" s="6">
        <f>IF(OR(原始資料!$A498="",8&gt;設定!$B$3,原始資料!K498=""),"",IF(AND(原始資料!J498&lt;&gt;"",原始資料!K498=原始資料!J498),N(H498)+1,1))</f>
        <v/>
      </c>
      <c r="J498" s="6">
        <f>IF(OR(原始資料!$A498="",9&gt;設定!$B$3,原始資料!L498=""),"",IF(AND(原始資料!K498&lt;&gt;"",原始資料!L498=原始資料!K498),N(I498)+1,1))</f>
        <v/>
      </c>
      <c r="K498" s="6">
        <f>IF(OR(原始資料!$A498="",10&gt;設定!$B$3,原始資料!M498=""),"",IF(AND(原始資料!L498&lt;&gt;"",原始資料!M498=原始資料!L498),N(J498)+1,1))</f>
        <v/>
      </c>
      <c r="L498" s="6">
        <f>IF(OR(原始資料!$A498="",11&gt;設定!$B$3,原始資料!N498=""),"",IF(AND(原始資料!M498&lt;&gt;"",原始資料!N498=原始資料!M498),N(K498)+1,1))</f>
        <v/>
      </c>
      <c r="M498" s="6">
        <f>IF(OR(原始資料!$A498="",12&gt;設定!$B$3,原始資料!O498=""),"",IF(AND(原始資料!N498&lt;&gt;"",原始資料!O498=原始資料!N498),N(L498)+1,1))</f>
        <v/>
      </c>
      <c r="N498" s="6">
        <f>IF(OR(原始資料!$A498="",13&gt;設定!$B$3,原始資料!P498=""),"",IF(AND(原始資料!O498&lt;&gt;"",原始資料!P498=原始資料!O498),N(M498)+1,1))</f>
        <v/>
      </c>
      <c r="O498" s="6">
        <f>IF(OR(原始資料!$A498="",14&gt;設定!$B$3,原始資料!Q498=""),"",IF(AND(原始資料!P498&lt;&gt;"",原始資料!Q498=原始資料!P498),N(N498)+1,1))</f>
        <v/>
      </c>
      <c r="P498" s="6">
        <f>IF(OR(原始資料!$A498="",15&gt;設定!$B$3,原始資料!R498=""),"",IF(AND(原始資料!Q498&lt;&gt;"",原始資料!R498=原始資料!Q498),N(O498)+1,1))</f>
        <v/>
      </c>
      <c r="Q498" s="6">
        <f>IF(OR(原始資料!$A498="",16&gt;設定!$B$3,原始資料!S498=""),"",IF(AND(原始資料!R498&lt;&gt;"",原始資料!S498=原始資料!R498),N(P498)+1,1))</f>
        <v/>
      </c>
      <c r="R498" s="6">
        <f>IF(OR(原始資料!$A498="",17&gt;設定!$B$3,原始資料!T498=""),"",IF(AND(原始資料!S498&lt;&gt;"",原始資料!T498=原始資料!S498),N(Q498)+1,1))</f>
        <v/>
      </c>
      <c r="S498" s="6">
        <f>IF(OR(原始資料!$A498="",18&gt;設定!$B$3,原始資料!U498=""),"",IF(AND(原始資料!T498&lt;&gt;"",原始資料!U498=原始資料!T498),N(R498)+1,1))</f>
        <v/>
      </c>
      <c r="T498" s="6">
        <f>IF(OR(原始資料!$A498="",19&gt;設定!$B$3,原始資料!V498=""),"",IF(AND(原始資料!U498&lt;&gt;"",原始資料!V498=原始資料!U498),N(S498)+1,1))</f>
        <v/>
      </c>
      <c r="U498" s="6">
        <f>IF(OR(原始資料!$A498="",20&gt;設定!$B$3,原始資料!W498=""),"",IF(AND(原始資料!V498&lt;&gt;"",原始資料!W498=原始資料!V498),N(T498)+1,1))</f>
        <v/>
      </c>
      <c r="V498" s="6">
        <f>IF(OR(原始資料!$A498="",21&gt;設定!$B$3,原始資料!X498=""),"",IF(AND(原始資料!W498&lt;&gt;"",原始資料!X498=原始資料!W498),N(U498)+1,1))</f>
        <v/>
      </c>
      <c r="W498" s="6">
        <f>IF(OR(原始資料!$A498="",22&gt;設定!$B$3,原始資料!Y498=""),"",IF(AND(原始資料!X498&lt;&gt;"",原始資料!Y498=原始資料!X498),N(V498)+1,1))</f>
        <v/>
      </c>
      <c r="X498" s="6">
        <f>IF(OR(原始資料!$A498="",23&gt;設定!$B$3,原始資料!Z498=""),"",IF(AND(原始資料!Y498&lt;&gt;"",原始資料!Z498=原始資料!Y498),N(W498)+1,1))</f>
        <v/>
      </c>
      <c r="Y498" s="6">
        <f>IF(OR(原始資料!$A498="",24&gt;設定!$B$3,原始資料!AA498=""),"",IF(AND(原始資料!Z498&lt;&gt;"",原始資料!AA498=原始資料!Z498),N(X498)+1,1))</f>
        <v/>
      </c>
      <c r="Z498" s="6">
        <f>IF(OR(原始資料!$A498="",25&gt;設定!$B$3,原始資料!AB498=""),"",IF(AND(原始資料!AA498&lt;&gt;"",原始資料!AB498=原始資料!AA498),N(Y498)+1,1))</f>
        <v/>
      </c>
      <c r="AA498" s="6">
        <f>IF(OR(原始資料!$A498="",26&gt;設定!$B$3,原始資料!AC498=""),"",IF(AND(原始資料!AB498&lt;&gt;"",原始資料!AC498=原始資料!AB498),N(Z498)+1,1))</f>
        <v/>
      </c>
      <c r="AB498" s="6">
        <f>IF(OR(原始資料!$A498="",27&gt;設定!$B$3,原始資料!AD498=""),"",IF(AND(原始資料!AC498&lt;&gt;"",原始資料!AD498=原始資料!AC498),N(AA498)+1,1))</f>
        <v/>
      </c>
      <c r="AC498" s="6">
        <f>IF(OR(原始資料!$A498="",28&gt;設定!$B$3,原始資料!AE498=""),"",IF(AND(原始資料!AD498&lt;&gt;"",原始資料!AE498=原始資料!AD498),N(AB498)+1,1))</f>
        <v/>
      </c>
      <c r="AD498" s="6">
        <f>IF(OR(原始資料!$A498="",29&gt;設定!$B$3,原始資料!AF498=""),"",IF(AND(原始資料!AE498&lt;&gt;"",原始資料!AF498=原始資料!AE498),N(AC498)+1,1))</f>
        <v/>
      </c>
      <c r="AE498" s="6">
        <f>IF(OR(原始資料!$A498="",30&gt;設定!$B$3,原始資料!AG498=""),"",IF(AND(原始資料!AF498&lt;&gt;"",原始資料!AG498=原始資料!AF498),N(AD498)+1,1))</f>
        <v/>
      </c>
      <c r="AF498" s="6">
        <f>IF(OR(原始資料!$A498="",31&gt;設定!$B$3,原始資料!AH498=""),"",IF(AND(原始資料!AG498&lt;&gt;"",原始資料!AH498=原始資料!AG498),N(AE498)+1,1))</f>
        <v/>
      </c>
      <c r="AG498" s="6">
        <f>IF(OR(原始資料!$A498="",32&gt;設定!$B$3,原始資料!AI498=""),"",IF(AND(原始資料!AH498&lt;&gt;"",原始資料!AI498=原始資料!AH498),N(AF498)+1,1))</f>
        <v/>
      </c>
      <c r="AH498" s="6">
        <f>IF(OR(原始資料!$A498="",33&gt;設定!$B$3,原始資料!AJ498=""),"",IF(AND(原始資料!AI498&lt;&gt;"",原始資料!AJ498=原始資料!AI498),N(AG498)+1,1))</f>
        <v/>
      </c>
      <c r="AI498" s="6">
        <f>IF(OR(原始資料!$A498="",34&gt;設定!$B$3,原始資料!AK498=""),"",IF(AND(原始資料!AJ498&lt;&gt;"",原始資料!AK498=原始資料!AJ498),N(AH498)+1,1))</f>
        <v/>
      </c>
      <c r="AJ498" s="6">
        <f>IF(OR(原始資料!$A498="",35&gt;設定!$B$3,原始資料!AL498=""),"",IF(AND(原始資料!AK498&lt;&gt;"",原始資料!AL498=原始資料!AK498),N(AI498)+1,1))</f>
        <v/>
      </c>
      <c r="AK498" s="6">
        <f>IF(OR(原始資料!$A498="",36&gt;設定!$B$3,原始資料!AM498=""),"",IF(AND(原始資料!AL498&lt;&gt;"",原始資料!AM498=原始資料!AL498),N(AJ498)+1,1))</f>
        <v/>
      </c>
      <c r="AL498" s="6">
        <f>IF(OR(原始資料!$A498="",37&gt;設定!$B$3,原始資料!AN498=""),"",IF(AND(原始資料!AM498&lt;&gt;"",原始資料!AN498=原始資料!AM498),N(AK498)+1,1))</f>
        <v/>
      </c>
      <c r="AM498" s="6">
        <f>IF(OR(原始資料!$A498="",38&gt;設定!$B$3,原始資料!AO498=""),"",IF(AND(原始資料!AN498&lt;&gt;"",原始資料!AO498=原始資料!AN498),N(AL498)+1,1))</f>
        <v/>
      </c>
      <c r="AN498" s="6">
        <f>IF(OR(原始資料!$A498="",39&gt;設定!$B$3,原始資料!AP498=""),"",IF(AND(原始資料!AO498&lt;&gt;"",原始資料!AP498=原始資料!AO498),N(AM498)+1,1))</f>
        <v/>
      </c>
      <c r="AO498" s="6">
        <f>IF(OR(原始資料!$A498="",40&gt;設定!$B$3,原始資料!AQ498=""),"",IF(AND(原始資料!AP498&lt;&gt;"",原始資料!AQ498=原始資料!AP498),N(AN498)+1,1))</f>
        <v/>
      </c>
      <c r="AP498" s="6">
        <f>IF(OR(原始資料!$A498="",41&gt;設定!$B$3,原始資料!AR498=""),"",IF(AND(原始資料!AQ498&lt;&gt;"",原始資料!AR498=原始資料!AQ498),N(AO498)+1,1))</f>
        <v/>
      </c>
      <c r="AQ498" s="6">
        <f>IF(OR(原始資料!$A498="",42&gt;設定!$B$3,原始資料!AS498=""),"",IF(AND(原始資料!AR498&lt;&gt;"",原始資料!AS498=原始資料!AR498),N(AP498)+1,1))</f>
        <v/>
      </c>
      <c r="AR498" s="6">
        <f>IF(OR(原始資料!$A498="",43&gt;設定!$B$3,原始資料!AT498=""),"",IF(AND(原始資料!AS498&lt;&gt;"",原始資料!AT498=原始資料!AS498),N(AQ498)+1,1))</f>
        <v/>
      </c>
      <c r="AS498" s="6">
        <f>IF(OR(原始資料!$A498="",44&gt;設定!$B$3,原始資料!AU498=""),"",IF(AND(原始資料!AT498&lt;&gt;"",原始資料!AU498=原始資料!AT498),N(AR498)+1,1))</f>
        <v/>
      </c>
      <c r="AT498" s="6">
        <f>IF(OR(原始資料!$A498="",45&gt;設定!$B$3,原始資料!AV498=""),"",IF(AND(原始資料!AU498&lt;&gt;"",原始資料!AV498=原始資料!AU498),N(AS498)+1,1))</f>
        <v/>
      </c>
      <c r="AU498" s="6">
        <f>IF(OR(原始資料!$A498="",46&gt;設定!$B$3,原始資料!AW498=""),"",IF(AND(原始資料!AV498&lt;&gt;"",原始資料!AW498=原始資料!AV498),N(AT498)+1,1))</f>
        <v/>
      </c>
      <c r="AV498" s="6">
        <f>IF(OR(原始資料!$A498="",47&gt;設定!$B$3,原始資料!AX498=""),"",IF(AND(原始資料!AW498&lt;&gt;"",原始資料!AX498=原始資料!AW498),N(AU498)+1,1))</f>
        <v/>
      </c>
      <c r="AW498" s="6">
        <f>IF(OR(原始資料!$A498="",48&gt;設定!$B$3,原始資料!AY498=""),"",IF(AND(原始資料!AX498&lt;&gt;"",原始資料!AY498=原始資料!AX498),N(AV498)+1,1))</f>
        <v/>
      </c>
      <c r="AX498" s="6">
        <f>IF(OR(原始資料!$A498="",49&gt;設定!$B$3,原始資料!AZ498=""),"",IF(AND(原始資料!AY498&lt;&gt;"",原始資料!AZ498=原始資料!AY498),N(AW498)+1,1))</f>
        <v/>
      </c>
      <c r="AY498" s="6">
        <f>IF(OR(原始資料!$A498="",50&gt;設定!$B$3,原始資料!BA498=""),"",IF(AND(原始資料!AZ498&lt;&gt;"",原始資料!BA498=原始資料!AZ498),N(AX498)+1,1))</f>
        <v/>
      </c>
      <c r="AZ498" s="6">
        <f>IF(OR(原始資料!$A498="",51&gt;設定!$B$3,原始資料!BB498=""),"",IF(AND(原始資料!BA498&lt;&gt;"",原始資料!BB498=原始資料!BA498),N(AY498)+1,1))</f>
        <v/>
      </c>
      <c r="BA498" s="6">
        <f>IF(OR(原始資料!$A498="",52&gt;設定!$B$3,原始資料!BC498=""),"",IF(AND(原始資料!BB498&lt;&gt;"",原始資料!BC498=原始資料!BB498),N(AZ498)+1,1))</f>
        <v/>
      </c>
      <c r="BB498" s="6">
        <f>IF(OR(原始資料!$A498="",53&gt;設定!$B$3,原始資料!BD498=""),"",IF(AND(原始資料!BC498&lt;&gt;"",原始資料!BD498=原始資料!BC498),N(BA498)+1,1))</f>
        <v/>
      </c>
      <c r="BC498" s="6">
        <f>IF(OR(原始資料!$A498="",54&gt;設定!$B$3,原始資料!BE498=""),"",IF(AND(原始資料!BD498&lt;&gt;"",原始資料!BE498=原始資料!BD498),N(BB498)+1,1))</f>
        <v/>
      </c>
      <c r="BD498" s="6">
        <f>IF(OR(原始資料!$A498="",55&gt;設定!$B$3,原始資料!BF498=""),"",IF(AND(原始資料!BE498&lt;&gt;"",原始資料!BF498=原始資料!BE498),N(BC498)+1,1))</f>
        <v/>
      </c>
      <c r="BE498" s="6">
        <f>IF(OR(原始資料!$A498="",56&gt;設定!$B$3,原始資料!BG498=""),"",IF(AND(原始資料!BF498&lt;&gt;"",原始資料!BG498=原始資料!BF498),N(BD498)+1,1))</f>
        <v/>
      </c>
      <c r="BF498" s="6">
        <f>IF(OR(原始資料!$A498="",57&gt;設定!$B$3,原始資料!BH498=""),"",IF(AND(原始資料!BG498&lt;&gt;"",原始資料!BH498=原始資料!BG498),N(BE498)+1,1))</f>
        <v/>
      </c>
      <c r="BG498" s="6">
        <f>IF(OR(原始資料!$A498="",58&gt;設定!$B$3,原始資料!BI498=""),"",IF(AND(原始資料!BH498&lt;&gt;"",原始資料!BI498=原始資料!BH498),N(BF498)+1,1))</f>
        <v/>
      </c>
      <c r="BH498" s="6">
        <f>IF(OR(原始資料!$A498="",59&gt;設定!$B$3,原始資料!BJ498=""),"",IF(AND(原始資料!BI498&lt;&gt;"",原始資料!BJ498=原始資料!BI498),N(BG498)+1,1))</f>
        <v/>
      </c>
      <c r="BI498" s="6">
        <f>IF(OR(原始資料!$A498="",60&gt;設定!$B$3,原始資料!BK498=""),"",IF(AND(原始資料!BJ498&lt;&gt;"",原始資料!BK498=原始資料!BJ498),N(BH498)+1,1))</f>
        <v/>
      </c>
    </row>
    <row r="499">
      <c r="A499" s="6">
        <f>IF(原始資料!$A499="","",原始資料!$A499)</f>
        <v/>
      </c>
      <c r="B499" s="6">
        <f>IF(OR(原始資料!$A499="",1&gt;設定!$B$3,原始資料!D499=""),"",1)</f>
        <v/>
      </c>
      <c r="C499" s="6">
        <f>IF(OR(原始資料!$A499="",2&gt;設定!$B$3,原始資料!E499=""),"",IF(AND(原始資料!D499&lt;&gt;"",原始資料!E499=原始資料!D499),N(B499)+1,1))</f>
        <v/>
      </c>
      <c r="D499" s="6">
        <f>IF(OR(原始資料!$A499="",3&gt;設定!$B$3,原始資料!F499=""),"",IF(AND(原始資料!E499&lt;&gt;"",原始資料!F499=原始資料!E499),N(C499)+1,1))</f>
        <v/>
      </c>
      <c r="E499" s="6">
        <f>IF(OR(原始資料!$A499="",4&gt;設定!$B$3,原始資料!G499=""),"",IF(AND(原始資料!F499&lt;&gt;"",原始資料!G499=原始資料!F499),N(D499)+1,1))</f>
        <v/>
      </c>
      <c r="F499" s="6">
        <f>IF(OR(原始資料!$A499="",5&gt;設定!$B$3,原始資料!H499=""),"",IF(AND(原始資料!G499&lt;&gt;"",原始資料!H499=原始資料!G499),N(E499)+1,1))</f>
        <v/>
      </c>
      <c r="G499" s="6">
        <f>IF(OR(原始資料!$A499="",6&gt;設定!$B$3,原始資料!I499=""),"",IF(AND(原始資料!H499&lt;&gt;"",原始資料!I499=原始資料!H499),N(F499)+1,1))</f>
        <v/>
      </c>
      <c r="H499" s="6">
        <f>IF(OR(原始資料!$A499="",7&gt;設定!$B$3,原始資料!J499=""),"",IF(AND(原始資料!I499&lt;&gt;"",原始資料!J499=原始資料!I499),N(G499)+1,1))</f>
        <v/>
      </c>
      <c r="I499" s="6">
        <f>IF(OR(原始資料!$A499="",8&gt;設定!$B$3,原始資料!K499=""),"",IF(AND(原始資料!J499&lt;&gt;"",原始資料!K499=原始資料!J499),N(H499)+1,1))</f>
        <v/>
      </c>
      <c r="J499" s="6">
        <f>IF(OR(原始資料!$A499="",9&gt;設定!$B$3,原始資料!L499=""),"",IF(AND(原始資料!K499&lt;&gt;"",原始資料!L499=原始資料!K499),N(I499)+1,1))</f>
        <v/>
      </c>
      <c r="K499" s="6">
        <f>IF(OR(原始資料!$A499="",10&gt;設定!$B$3,原始資料!M499=""),"",IF(AND(原始資料!L499&lt;&gt;"",原始資料!M499=原始資料!L499),N(J499)+1,1))</f>
        <v/>
      </c>
      <c r="L499" s="6">
        <f>IF(OR(原始資料!$A499="",11&gt;設定!$B$3,原始資料!N499=""),"",IF(AND(原始資料!M499&lt;&gt;"",原始資料!N499=原始資料!M499),N(K499)+1,1))</f>
        <v/>
      </c>
      <c r="M499" s="6">
        <f>IF(OR(原始資料!$A499="",12&gt;設定!$B$3,原始資料!O499=""),"",IF(AND(原始資料!N499&lt;&gt;"",原始資料!O499=原始資料!N499),N(L499)+1,1))</f>
        <v/>
      </c>
      <c r="N499" s="6">
        <f>IF(OR(原始資料!$A499="",13&gt;設定!$B$3,原始資料!P499=""),"",IF(AND(原始資料!O499&lt;&gt;"",原始資料!P499=原始資料!O499),N(M499)+1,1))</f>
        <v/>
      </c>
      <c r="O499" s="6">
        <f>IF(OR(原始資料!$A499="",14&gt;設定!$B$3,原始資料!Q499=""),"",IF(AND(原始資料!P499&lt;&gt;"",原始資料!Q499=原始資料!P499),N(N499)+1,1))</f>
        <v/>
      </c>
      <c r="P499" s="6">
        <f>IF(OR(原始資料!$A499="",15&gt;設定!$B$3,原始資料!R499=""),"",IF(AND(原始資料!Q499&lt;&gt;"",原始資料!R499=原始資料!Q499),N(O499)+1,1))</f>
        <v/>
      </c>
      <c r="Q499" s="6">
        <f>IF(OR(原始資料!$A499="",16&gt;設定!$B$3,原始資料!S499=""),"",IF(AND(原始資料!R499&lt;&gt;"",原始資料!S499=原始資料!R499),N(P499)+1,1))</f>
        <v/>
      </c>
      <c r="R499" s="6">
        <f>IF(OR(原始資料!$A499="",17&gt;設定!$B$3,原始資料!T499=""),"",IF(AND(原始資料!S499&lt;&gt;"",原始資料!T499=原始資料!S499),N(Q499)+1,1))</f>
        <v/>
      </c>
      <c r="S499" s="6">
        <f>IF(OR(原始資料!$A499="",18&gt;設定!$B$3,原始資料!U499=""),"",IF(AND(原始資料!T499&lt;&gt;"",原始資料!U499=原始資料!T499),N(R499)+1,1))</f>
        <v/>
      </c>
      <c r="T499" s="6">
        <f>IF(OR(原始資料!$A499="",19&gt;設定!$B$3,原始資料!V499=""),"",IF(AND(原始資料!U499&lt;&gt;"",原始資料!V499=原始資料!U499),N(S499)+1,1))</f>
        <v/>
      </c>
      <c r="U499" s="6">
        <f>IF(OR(原始資料!$A499="",20&gt;設定!$B$3,原始資料!W499=""),"",IF(AND(原始資料!V499&lt;&gt;"",原始資料!W499=原始資料!V499),N(T499)+1,1))</f>
        <v/>
      </c>
      <c r="V499" s="6">
        <f>IF(OR(原始資料!$A499="",21&gt;設定!$B$3,原始資料!X499=""),"",IF(AND(原始資料!W499&lt;&gt;"",原始資料!X499=原始資料!W499),N(U499)+1,1))</f>
        <v/>
      </c>
      <c r="W499" s="6">
        <f>IF(OR(原始資料!$A499="",22&gt;設定!$B$3,原始資料!Y499=""),"",IF(AND(原始資料!X499&lt;&gt;"",原始資料!Y499=原始資料!X499),N(V499)+1,1))</f>
        <v/>
      </c>
      <c r="X499" s="6">
        <f>IF(OR(原始資料!$A499="",23&gt;設定!$B$3,原始資料!Z499=""),"",IF(AND(原始資料!Y499&lt;&gt;"",原始資料!Z499=原始資料!Y499),N(W499)+1,1))</f>
        <v/>
      </c>
      <c r="Y499" s="6">
        <f>IF(OR(原始資料!$A499="",24&gt;設定!$B$3,原始資料!AA499=""),"",IF(AND(原始資料!Z499&lt;&gt;"",原始資料!AA499=原始資料!Z499),N(X499)+1,1))</f>
        <v/>
      </c>
      <c r="Z499" s="6">
        <f>IF(OR(原始資料!$A499="",25&gt;設定!$B$3,原始資料!AB499=""),"",IF(AND(原始資料!AA499&lt;&gt;"",原始資料!AB499=原始資料!AA499),N(Y499)+1,1))</f>
        <v/>
      </c>
      <c r="AA499" s="6">
        <f>IF(OR(原始資料!$A499="",26&gt;設定!$B$3,原始資料!AC499=""),"",IF(AND(原始資料!AB499&lt;&gt;"",原始資料!AC499=原始資料!AB499),N(Z499)+1,1))</f>
        <v/>
      </c>
      <c r="AB499" s="6">
        <f>IF(OR(原始資料!$A499="",27&gt;設定!$B$3,原始資料!AD499=""),"",IF(AND(原始資料!AC499&lt;&gt;"",原始資料!AD499=原始資料!AC499),N(AA499)+1,1))</f>
        <v/>
      </c>
      <c r="AC499" s="6">
        <f>IF(OR(原始資料!$A499="",28&gt;設定!$B$3,原始資料!AE499=""),"",IF(AND(原始資料!AD499&lt;&gt;"",原始資料!AE499=原始資料!AD499),N(AB499)+1,1))</f>
        <v/>
      </c>
      <c r="AD499" s="6">
        <f>IF(OR(原始資料!$A499="",29&gt;設定!$B$3,原始資料!AF499=""),"",IF(AND(原始資料!AE499&lt;&gt;"",原始資料!AF499=原始資料!AE499),N(AC499)+1,1))</f>
        <v/>
      </c>
      <c r="AE499" s="6">
        <f>IF(OR(原始資料!$A499="",30&gt;設定!$B$3,原始資料!AG499=""),"",IF(AND(原始資料!AF499&lt;&gt;"",原始資料!AG499=原始資料!AF499),N(AD499)+1,1))</f>
        <v/>
      </c>
      <c r="AF499" s="6">
        <f>IF(OR(原始資料!$A499="",31&gt;設定!$B$3,原始資料!AH499=""),"",IF(AND(原始資料!AG499&lt;&gt;"",原始資料!AH499=原始資料!AG499),N(AE499)+1,1))</f>
        <v/>
      </c>
      <c r="AG499" s="6">
        <f>IF(OR(原始資料!$A499="",32&gt;設定!$B$3,原始資料!AI499=""),"",IF(AND(原始資料!AH499&lt;&gt;"",原始資料!AI499=原始資料!AH499),N(AF499)+1,1))</f>
        <v/>
      </c>
      <c r="AH499" s="6">
        <f>IF(OR(原始資料!$A499="",33&gt;設定!$B$3,原始資料!AJ499=""),"",IF(AND(原始資料!AI499&lt;&gt;"",原始資料!AJ499=原始資料!AI499),N(AG499)+1,1))</f>
        <v/>
      </c>
      <c r="AI499" s="6">
        <f>IF(OR(原始資料!$A499="",34&gt;設定!$B$3,原始資料!AK499=""),"",IF(AND(原始資料!AJ499&lt;&gt;"",原始資料!AK499=原始資料!AJ499),N(AH499)+1,1))</f>
        <v/>
      </c>
      <c r="AJ499" s="6">
        <f>IF(OR(原始資料!$A499="",35&gt;設定!$B$3,原始資料!AL499=""),"",IF(AND(原始資料!AK499&lt;&gt;"",原始資料!AL499=原始資料!AK499),N(AI499)+1,1))</f>
        <v/>
      </c>
      <c r="AK499" s="6">
        <f>IF(OR(原始資料!$A499="",36&gt;設定!$B$3,原始資料!AM499=""),"",IF(AND(原始資料!AL499&lt;&gt;"",原始資料!AM499=原始資料!AL499),N(AJ499)+1,1))</f>
        <v/>
      </c>
      <c r="AL499" s="6">
        <f>IF(OR(原始資料!$A499="",37&gt;設定!$B$3,原始資料!AN499=""),"",IF(AND(原始資料!AM499&lt;&gt;"",原始資料!AN499=原始資料!AM499),N(AK499)+1,1))</f>
        <v/>
      </c>
      <c r="AM499" s="6">
        <f>IF(OR(原始資料!$A499="",38&gt;設定!$B$3,原始資料!AO499=""),"",IF(AND(原始資料!AN499&lt;&gt;"",原始資料!AO499=原始資料!AN499),N(AL499)+1,1))</f>
        <v/>
      </c>
      <c r="AN499" s="6">
        <f>IF(OR(原始資料!$A499="",39&gt;設定!$B$3,原始資料!AP499=""),"",IF(AND(原始資料!AO499&lt;&gt;"",原始資料!AP499=原始資料!AO499),N(AM499)+1,1))</f>
        <v/>
      </c>
      <c r="AO499" s="6">
        <f>IF(OR(原始資料!$A499="",40&gt;設定!$B$3,原始資料!AQ499=""),"",IF(AND(原始資料!AP499&lt;&gt;"",原始資料!AQ499=原始資料!AP499),N(AN499)+1,1))</f>
        <v/>
      </c>
      <c r="AP499" s="6">
        <f>IF(OR(原始資料!$A499="",41&gt;設定!$B$3,原始資料!AR499=""),"",IF(AND(原始資料!AQ499&lt;&gt;"",原始資料!AR499=原始資料!AQ499),N(AO499)+1,1))</f>
        <v/>
      </c>
      <c r="AQ499" s="6">
        <f>IF(OR(原始資料!$A499="",42&gt;設定!$B$3,原始資料!AS499=""),"",IF(AND(原始資料!AR499&lt;&gt;"",原始資料!AS499=原始資料!AR499),N(AP499)+1,1))</f>
        <v/>
      </c>
      <c r="AR499" s="6">
        <f>IF(OR(原始資料!$A499="",43&gt;設定!$B$3,原始資料!AT499=""),"",IF(AND(原始資料!AS499&lt;&gt;"",原始資料!AT499=原始資料!AS499),N(AQ499)+1,1))</f>
        <v/>
      </c>
      <c r="AS499" s="6">
        <f>IF(OR(原始資料!$A499="",44&gt;設定!$B$3,原始資料!AU499=""),"",IF(AND(原始資料!AT499&lt;&gt;"",原始資料!AU499=原始資料!AT499),N(AR499)+1,1))</f>
        <v/>
      </c>
      <c r="AT499" s="6">
        <f>IF(OR(原始資料!$A499="",45&gt;設定!$B$3,原始資料!AV499=""),"",IF(AND(原始資料!AU499&lt;&gt;"",原始資料!AV499=原始資料!AU499),N(AS499)+1,1))</f>
        <v/>
      </c>
      <c r="AU499" s="6">
        <f>IF(OR(原始資料!$A499="",46&gt;設定!$B$3,原始資料!AW499=""),"",IF(AND(原始資料!AV499&lt;&gt;"",原始資料!AW499=原始資料!AV499),N(AT499)+1,1))</f>
        <v/>
      </c>
      <c r="AV499" s="6">
        <f>IF(OR(原始資料!$A499="",47&gt;設定!$B$3,原始資料!AX499=""),"",IF(AND(原始資料!AW499&lt;&gt;"",原始資料!AX499=原始資料!AW499),N(AU499)+1,1))</f>
        <v/>
      </c>
      <c r="AW499" s="6">
        <f>IF(OR(原始資料!$A499="",48&gt;設定!$B$3,原始資料!AY499=""),"",IF(AND(原始資料!AX499&lt;&gt;"",原始資料!AY499=原始資料!AX499),N(AV499)+1,1))</f>
        <v/>
      </c>
      <c r="AX499" s="6">
        <f>IF(OR(原始資料!$A499="",49&gt;設定!$B$3,原始資料!AZ499=""),"",IF(AND(原始資料!AY499&lt;&gt;"",原始資料!AZ499=原始資料!AY499),N(AW499)+1,1))</f>
        <v/>
      </c>
      <c r="AY499" s="6">
        <f>IF(OR(原始資料!$A499="",50&gt;設定!$B$3,原始資料!BA499=""),"",IF(AND(原始資料!AZ499&lt;&gt;"",原始資料!BA499=原始資料!AZ499),N(AX499)+1,1))</f>
        <v/>
      </c>
      <c r="AZ499" s="6">
        <f>IF(OR(原始資料!$A499="",51&gt;設定!$B$3,原始資料!BB499=""),"",IF(AND(原始資料!BA499&lt;&gt;"",原始資料!BB499=原始資料!BA499),N(AY499)+1,1))</f>
        <v/>
      </c>
      <c r="BA499" s="6">
        <f>IF(OR(原始資料!$A499="",52&gt;設定!$B$3,原始資料!BC499=""),"",IF(AND(原始資料!BB499&lt;&gt;"",原始資料!BC499=原始資料!BB499),N(AZ499)+1,1))</f>
        <v/>
      </c>
      <c r="BB499" s="6">
        <f>IF(OR(原始資料!$A499="",53&gt;設定!$B$3,原始資料!BD499=""),"",IF(AND(原始資料!BC499&lt;&gt;"",原始資料!BD499=原始資料!BC499),N(BA499)+1,1))</f>
        <v/>
      </c>
      <c r="BC499" s="6">
        <f>IF(OR(原始資料!$A499="",54&gt;設定!$B$3,原始資料!BE499=""),"",IF(AND(原始資料!BD499&lt;&gt;"",原始資料!BE499=原始資料!BD499),N(BB499)+1,1))</f>
        <v/>
      </c>
      <c r="BD499" s="6">
        <f>IF(OR(原始資料!$A499="",55&gt;設定!$B$3,原始資料!BF499=""),"",IF(AND(原始資料!BE499&lt;&gt;"",原始資料!BF499=原始資料!BE499),N(BC499)+1,1))</f>
        <v/>
      </c>
      <c r="BE499" s="6">
        <f>IF(OR(原始資料!$A499="",56&gt;設定!$B$3,原始資料!BG499=""),"",IF(AND(原始資料!BF499&lt;&gt;"",原始資料!BG499=原始資料!BF499),N(BD499)+1,1))</f>
        <v/>
      </c>
      <c r="BF499" s="6">
        <f>IF(OR(原始資料!$A499="",57&gt;設定!$B$3,原始資料!BH499=""),"",IF(AND(原始資料!BG499&lt;&gt;"",原始資料!BH499=原始資料!BG499),N(BE499)+1,1))</f>
        <v/>
      </c>
      <c r="BG499" s="6">
        <f>IF(OR(原始資料!$A499="",58&gt;設定!$B$3,原始資料!BI499=""),"",IF(AND(原始資料!BH499&lt;&gt;"",原始資料!BI499=原始資料!BH499),N(BF499)+1,1))</f>
        <v/>
      </c>
      <c r="BH499" s="6">
        <f>IF(OR(原始資料!$A499="",59&gt;設定!$B$3,原始資料!BJ499=""),"",IF(AND(原始資料!BI499&lt;&gt;"",原始資料!BJ499=原始資料!BI499),N(BG499)+1,1))</f>
        <v/>
      </c>
      <c r="BI499" s="6">
        <f>IF(OR(原始資料!$A499="",60&gt;設定!$B$3,原始資料!BK499=""),"",IF(AND(原始資料!BJ499&lt;&gt;"",原始資料!BK499=原始資料!BJ499),N(BH499)+1,1))</f>
        <v/>
      </c>
    </row>
    <row r="500">
      <c r="A500" s="6">
        <f>IF(原始資料!$A500="","",原始資料!$A500)</f>
        <v/>
      </c>
      <c r="B500" s="6">
        <f>IF(OR(原始資料!$A500="",1&gt;設定!$B$3,原始資料!D500=""),"",1)</f>
        <v/>
      </c>
      <c r="C500" s="6">
        <f>IF(OR(原始資料!$A500="",2&gt;設定!$B$3,原始資料!E500=""),"",IF(AND(原始資料!D500&lt;&gt;"",原始資料!E500=原始資料!D500),N(B500)+1,1))</f>
        <v/>
      </c>
      <c r="D500" s="6">
        <f>IF(OR(原始資料!$A500="",3&gt;設定!$B$3,原始資料!F500=""),"",IF(AND(原始資料!E500&lt;&gt;"",原始資料!F500=原始資料!E500),N(C500)+1,1))</f>
        <v/>
      </c>
      <c r="E500" s="6">
        <f>IF(OR(原始資料!$A500="",4&gt;設定!$B$3,原始資料!G500=""),"",IF(AND(原始資料!F500&lt;&gt;"",原始資料!G500=原始資料!F500),N(D500)+1,1))</f>
        <v/>
      </c>
      <c r="F500" s="6">
        <f>IF(OR(原始資料!$A500="",5&gt;設定!$B$3,原始資料!H500=""),"",IF(AND(原始資料!G500&lt;&gt;"",原始資料!H500=原始資料!G500),N(E500)+1,1))</f>
        <v/>
      </c>
      <c r="G500" s="6">
        <f>IF(OR(原始資料!$A500="",6&gt;設定!$B$3,原始資料!I500=""),"",IF(AND(原始資料!H500&lt;&gt;"",原始資料!I500=原始資料!H500),N(F500)+1,1))</f>
        <v/>
      </c>
      <c r="H500" s="6">
        <f>IF(OR(原始資料!$A500="",7&gt;設定!$B$3,原始資料!J500=""),"",IF(AND(原始資料!I500&lt;&gt;"",原始資料!J500=原始資料!I500),N(G500)+1,1))</f>
        <v/>
      </c>
      <c r="I500" s="6">
        <f>IF(OR(原始資料!$A500="",8&gt;設定!$B$3,原始資料!K500=""),"",IF(AND(原始資料!J500&lt;&gt;"",原始資料!K500=原始資料!J500),N(H500)+1,1))</f>
        <v/>
      </c>
      <c r="J500" s="6">
        <f>IF(OR(原始資料!$A500="",9&gt;設定!$B$3,原始資料!L500=""),"",IF(AND(原始資料!K500&lt;&gt;"",原始資料!L500=原始資料!K500),N(I500)+1,1))</f>
        <v/>
      </c>
      <c r="K500" s="6">
        <f>IF(OR(原始資料!$A500="",10&gt;設定!$B$3,原始資料!M500=""),"",IF(AND(原始資料!L500&lt;&gt;"",原始資料!M500=原始資料!L500),N(J500)+1,1))</f>
        <v/>
      </c>
      <c r="L500" s="6">
        <f>IF(OR(原始資料!$A500="",11&gt;設定!$B$3,原始資料!N500=""),"",IF(AND(原始資料!M500&lt;&gt;"",原始資料!N500=原始資料!M500),N(K500)+1,1))</f>
        <v/>
      </c>
      <c r="M500" s="6">
        <f>IF(OR(原始資料!$A500="",12&gt;設定!$B$3,原始資料!O500=""),"",IF(AND(原始資料!N500&lt;&gt;"",原始資料!O500=原始資料!N500),N(L500)+1,1))</f>
        <v/>
      </c>
      <c r="N500" s="6">
        <f>IF(OR(原始資料!$A500="",13&gt;設定!$B$3,原始資料!P500=""),"",IF(AND(原始資料!O500&lt;&gt;"",原始資料!P500=原始資料!O500),N(M500)+1,1))</f>
        <v/>
      </c>
      <c r="O500" s="6">
        <f>IF(OR(原始資料!$A500="",14&gt;設定!$B$3,原始資料!Q500=""),"",IF(AND(原始資料!P500&lt;&gt;"",原始資料!Q500=原始資料!P500),N(N500)+1,1))</f>
        <v/>
      </c>
      <c r="P500" s="6">
        <f>IF(OR(原始資料!$A500="",15&gt;設定!$B$3,原始資料!R500=""),"",IF(AND(原始資料!Q500&lt;&gt;"",原始資料!R500=原始資料!Q500),N(O500)+1,1))</f>
        <v/>
      </c>
      <c r="Q500" s="6">
        <f>IF(OR(原始資料!$A500="",16&gt;設定!$B$3,原始資料!S500=""),"",IF(AND(原始資料!R500&lt;&gt;"",原始資料!S500=原始資料!R500),N(P500)+1,1))</f>
        <v/>
      </c>
      <c r="R500" s="6">
        <f>IF(OR(原始資料!$A500="",17&gt;設定!$B$3,原始資料!T500=""),"",IF(AND(原始資料!S500&lt;&gt;"",原始資料!T500=原始資料!S500),N(Q500)+1,1))</f>
        <v/>
      </c>
      <c r="S500" s="6">
        <f>IF(OR(原始資料!$A500="",18&gt;設定!$B$3,原始資料!U500=""),"",IF(AND(原始資料!T500&lt;&gt;"",原始資料!U500=原始資料!T500),N(R500)+1,1))</f>
        <v/>
      </c>
      <c r="T500" s="6">
        <f>IF(OR(原始資料!$A500="",19&gt;設定!$B$3,原始資料!V500=""),"",IF(AND(原始資料!U500&lt;&gt;"",原始資料!V500=原始資料!U500),N(S500)+1,1))</f>
        <v/>
      </c>
      <c r="U500" s="6">
        <f>IF(OR(原始資料!$A500="",20&gt;設定!$B$3,原始資料!W500=""),"",IF(AND(原始資料!V500&lt;&gt;"",原始資料!W500=原始資料!V500),N(T500)+1,1))</f>
        <v/>
      </c>
      <c r="V500" s="6">
        <f>IF(OR(原始資料!$A500="",21&gt;設定!$B$3,原始資料!X500=""),"",IF(AND(原始資料!W500&lt;&gt;"",原始資料!X500=原始資料!W500),N(U500)+1,1))</f>
        <v/>
      </c>
      <c r="W500" s="6">
        <f>IF(OR(原始資料!$A500="",22&gt;設定!$B$3,原始資料!Y500=""),"",IF(AND(原始資料!X500&lt;&gt;"",原始資料!Y500=原始資料!X500),N(V500)+1,1))</f>
        <v/>
      </c>
      <c r="X500" s="6">
        <f>IF(OR(原始資料!$A500="",23&gt;設定!$B$3,原始資料!Z500=""),"",IF(AND(原始資料!Y500&lt;&gt;"",原始資料!Z500=原始資料!Y500),N(W500)+1,1))</f>
        <v/>
      </c>
      <c r="Y500" s="6">
        <f>IF(OR(原始資料!$A500="",24&gt;設定!$B$3,原始資料!AA500=""),"",IF(AND(原始資料!Z500&lt;&gt;"",原始資料!AA500=原始資料!Z500),N(X500)+1,1))</f>
        <v/>
      </c>
      <c r="Z500" s="6">
        <f>IF(OR(原始資料!$A500="",25&gt;設定!$B$3,原始資料!AB500=""),"",IF(AND(原始資料!AA500&lt;&gt;"",原始資料!AB500=原始資料!AA500),N(Y500)+1,1))</f>
        <v/>
      </c>
      <c r="AA500" s="6">
        <f>IF(OR(原始資料!$A500="",26&gt;設定!$B$3,原始資料!AC500=""),"",IF(AND(原始資料!AB500&lt;&gt;"",原始資料!AC500=原始資料!AB500),N(Z500)+1,1))</f>
        <v/>
      </c>
      <c r="AB500" s="6">
        <f>IF(OR(原始資料!$A500="",27&gt;設定!$B$3,原始資料!AD500=""),"",IF(AND(原始資料!AC500&lt;&gt;"",原始資料!AD500=原始資料!AC500),N(AA500)+1,1))</f>
        <v/>
      </c>
      <c r="AC500" s="6">
        <f>IF(OR(原始資料!$A500="",28&gt;設定!$B$3,原始資料!AE500=""),"",IF(AND(原始資料!AD500&lt;&gt;"",原始資料!AE500=原始資料!AD500),N(AB500)+1,1))</f>
        <v/>
      </c>
      <c r="AD500" s="6">
        <f>IF(OR(原始資料!$A500="",29&gt;設定!$B$3,原始資料!AF500=""),"",IF(AND(原始資料!AE500&lt;&gt;"",原始資料!AF500=原始資料!AE500),N(AC500)+1,1))</f>
        <v/>
      </c>
      <c r="AE500" s="6">
        <f>IF(OR(原始資料!$A500="",30&gt;設定!$B$3,原始資料!AG500=""),"",IF(AND(原始資料!AF500&lt;&gt;"",原始資料!AG500=原始資料!AF500),N(AD500)+1,1))</f>
        <v/>
      </c>
      <c r="AF500" s="6">
        <f>IF(OR(原始資料!$A500="",31&gt;設定!$B$3,原始資料!AH500=""),"",IF(AND(原始資料!AG500&lt;&gt;"",原始資料!AH500=原始資料!AG500),N(AE500)+1,1))</f>
        <v/>
      </c>
      <c r="AG500" s="6">
        <f>IF(OR(原始資料!$A500="",32&gt;設定!$B$3,原始資料!AI500=""),"",IF(AND(原始資料!AH500&lt;&gt;"",原始資料!AI500=原始資料!AH500),N(AF500)+1,1))</f>
        <v/>
      </c>
      <c r="AH500" s="6">
        <f>IF(OR(原始資料!$A500="",33&gt;設定!$B$3,原始資料!AJ500=""),"",IF(AND(原始資料!AI500&lt;&gt;"",原始資料!AJ500=原始資料!AI500),N(AG500)+1,1))</f>
        <v/>
      </c>
      <c r="AI500" s="6">
        <f>IF(OR(原始資料!$A500="",34&gt;設定!$B$3,原始資料!AK500=""),"",IF(AND(原始資料!AJ500&lt;&gt;"",原始資料!AK500=原始資料!AJ500),N(AH500)+1,1))</f>
        <v/>
      </c>
      <c r="AJ500" s="6">
        <f>IF(OR(原始資料!$A500="",35&gt;設定!$B$3,原始資料!AL500=""),"",IF(AND(原始資料!AK500&lt;&gt;"",原始資料!AL500=原始資料!AK500),N(AI500)+1,1))</f>
        <v/>
      </c>
      <c r="AK500" s="6">
        <f>IF(OR(原始資料!$A500="",36&gt;設定!$B$3,原始資料!AM500=""),"",IF(AND(原始資料!AL500&lt;&gt;"",原始資料!AM500=原始資料!AL500),N(AJ500)+1,1))</f>
        <v/>
      </c>
      <c r="AL500" s="6">
        <f>IF(OR(原始資料!$A500="",37&gt;設定!$B$3,原始資料!AN500=""),"",IF(AND(原始資料!AM500&lt;&gt;"",原始資料!AN500=原始資料!AM500),N(AK500)+1,1))</f>
        <v/>
      </c>
      <c r="AM500" s="6">
        <f>IF(OR(原始資料!$A500="",38&gt;設定!$B$3,原始資料!AO500=""),"",IF(AND(原始資料!AN500&lt;&gt;"",原始資料!AO500=原始資料!AN500),N(AL500)+1,1))</f>
        <v/>
      </c>
      <c r="AN500" s="6">
        <f>IF(OR(原始資料!$A500="",39&gt;設定!$B$3,原始資料!AP500=""),"",IF(AND(原始資料!AO500&lt;&gt;"",原始資料!AP500=原始資料!AO500),N(AM500)+1,1))</f>
        <v/>
      </c>
      <c r="AO500" s="6">
        <f>IF(OR(原始資料!$A500="",40&gt;設定!$B$3,原始資料!AQ500=""),"",IF(AND(原始資料!AP500&lt;&gt;"",原始資料!AQ500=原始資料!AP500),N(AN500)+1,1))</f>
        <v/>
      </c>
      <c r="AP500" s="6">
        <f>IF(OR(原始資料!$A500="",41&gt;設定!$B$3,原始資料!AR500=""),"",IF(AND(原始資料!AQ500&lt;&gt;"",原始資料!AR500=原始資料!AQ500),N(AO500)+1,1))</f>
        <v/>
      </c>
      <c r="AQ500" s="6">
        <f>IF(OR(原始資料!$A500="",42&gt;設定!$B$3,原始資料!AS500=""),"",IF(AND(原始資料!AR500&lt;&gt;"",原始資料!AS500=原始資料!AR500),N(AP500)+1,1))</f>
        <v/>
      </c>
      <c r="AR500" s="6">
        <f>IF(OR(原始資料!$A500="",43&gt;設定!$B$3,原始資料!AT500=""),"",IF(AND(原始資料!AS500&lt;&gt;"",原始資料!AT500=原始資料!AS500),N(AQ500)+1,1))</f>
        <v/>
      </c>
      <c r="AS500" s="6">
        <f>IF(OR(原始資料!$A500="",44&gt;設定!$B$3,原始資料!AU500=""),"",IF(AND(原始資料!AT500&lt;&gt;"",原始資料!AU500=原始資料!AT500),N(AR500)+1,1))</f>
        <v/>
      </c>
      <c r="AT500" s="6">
        <f>IF(OR(原始資料!$A500="",45&gt;設定!$B$3,原始資料!AV500=""),"",IF(AND(原始資料!AU500&lt;&gt;"",原始資料!AV500=原始資料!AU500),N(AS500)+1,1))</f>
        <v/>
      </c>
      <c r="AU500" s="6">
        <f>IF(OR(原始資料!$A500="",46&gt;設定!$B$3,原始資料!AW500=""),"",IF(AND(原始資料!AV500&lt;&gt;"",原始資料!AW500=原始資料!AV500),N(AT500)+1,1))</f>
        <v/>
      </c>
      <c r="AV500" s="6">
        <f>IF(OR(原始資料!$A500="",47&gt;設定!$B$3,原始資料!AX500=""),"",IF(AND(原始資料!AW500&lt;&gt;"",原始資料!AX500=原始資料!AW500),N(AU500)+1,1))</f>
        <v/>
      </c>
      <c r="AW500" s="6">
        <f>IF(OR(原始資料!$A500="",48&gt;設定!$B$3,原始資料!AY500=""),"",IF(AND(原始資料!AX500&lt;&gt;"",原始資料!AY500=原始資料!AX500),N(AV500)+1,1))</f>
        <v/>
      </c>
      <c r="AX500" s="6">
        <f>IF(OR(原始資料!$A500="",49&gt;設定!$B$3,原始資料!AZ500=""),"",IF(AND(原始資料!AY500&lt;&gt;"",原始資料!AZ500=原始資料!AY500),N(AW500)+1,1))</f>
        <v/>
      </c>
      <c r="AY500" s="6">
        <f>IF(OR(原始資料!$A500="",50&gt;設定!$B$3,原始資料!BA500=""),"",IF(AND(原始資料!AZ500&lt;&gt;"",原始資料!BA500=原始資料!AZ500),N(AX500)+1,1))</f>
        <v/>
      </c>
      <c r="AZ500" s="6">
        <f>IF(OR(原始資料!$A500="",51&gt;設定!$B$3,原始資料!BB500=""),"",IF(AND(原始資料!BA500&lt;&gt;"",原始資料!BB500=原始資料!BA500),N(AY500)+1,1))</f>
        <v/>
      </c>
      <c r="BA500" s="6">
        <f>IF(OR(原始資料!$A500="",52&gt;設定!$B$3,原始資料!BC500=""),"",IF(AND(原始資料!BB500&lt;&gt;"",原始資料!BC500=原始資料!BB500),N(AZ500)+1,1))</f>
        <v/>
      </c>
      <c r="BB500" s="6">
        <f>IF(OR(原始資料!$A500="",53&gt;設定!$B$3,原始資料!BD500=""),"",IF(AND(原始資料!BC500&lt;&gt;"",原始資料!BD500=原始資料!BC500),N(BA500)+1,1))</f>
        <v/>
      </c>
      <c r="BC500" s="6">
        <f>IF(OR(原始資料!$A500="",54&gt;設定!$B$3,原始資料!BE500=""),"",IF(AND(原始資料!BD500&lt;&gt;"",原始資料!BE500=原始資料!BD500),N(BB500)+1,1))</f>
        <v/>
      </c>
      <c r="BD500" s="6">
        <f>IF(OR(原始資料!$A500="",55&gt;設定!$B$3,原始資料!BF500=""),"",IF(AND(原始資料!BE500&lt;&gt;"",原始資料!BF500=原始資料!BE500),N(BC500)+1,1))</f>
        <v/>
      </c>
      <c r="BE500" s="6">
        <f>IF(OR(原始資料!$A500="",56&gt;設定!$B$3,原始資料!BG500=""),"",IF(AND(原始資料!BF500&lt;&gt;"",原始資料!BG500=原始資料!BF500),N(BD500)+1,1))</f>
        <v/>
      </c>
      <c r="BF500" s="6">
        <f>IF(OR(原始資料!$A500="",57&gt;設定!$B$3,原始資料!BH500=""),"",IF(AND(原始資料!BG500&lt;&gt;"",原始資料!BH500=原始資料!BG500),N(BE500)+1,1))</f>
        <v/>
      </c>
      <c r="BG500" s="6">
        <f>IF(OR(原始資料!$A500="",58&gt;設定!$B$3,原始資料!BI500=""),"",IF(AND(原始資料!BH500&lt;&gt;"",原始資料!BI500=原始資料!BH500),N(BF500)+1,1))</f>
        <v/>
      </c>
      <c r="BH500" s="6">
        <f>IF(OR(原始資料!$A500="",59&gt;設定!$B$3,原始資料!BJ500=""),"",IF(AND(原始資料!BI500&lt;&gt;"",原始資料!BJ500=原始資料!BI500),N(BG500)+1,1))</f>
        <v/>
      </c>
      <c r="BI500" s="6">
        <f>IF(OR(原始資料!$A500="",60&gt;設定!$B$3,原始資料!BK500=""),"",IF(AND(原始資料!BJ500&lt;&gt;"",原始資料!BK500=原始資料!BJ500),N(BH500)+1,1))</f>
        <v/>
      </c>
    </row>
    <row r="501">
      <c r="A501" s="6">
        <f>IF(原始資料!$A501="","",原始資料!$A501)</f>
        <v/>
      </c>
      <c r="B501" s="6">
        <f>IF(OR(原始資料!$A501="",1&gt;設定!$B$3,原始資料!D501=""),"",1)</f>
        <v/>
      </c>
      <c r="C501" s="6">
        <f>IF(OR(原始資料!$A501="",2&gt;設定!$B$3,原始資料!E501=""),"",IF(AND(原始資料!D501&lt;&gt;"",原始資料!E501=原始資料!D501),N(B501)+1,1))</f>
        <v/>
      </c>
      <c r="D501" s="6">
        <f>IF(OR(原始資料!$A501="",3&gt;設定!$B$3,原始資料!F501=""),"",IF(AND(原始資料!E501&lt;&gt;"",原始資料!F501=原始資料!E501),N(C501)+1,1))</f>
        <v/>
      </c>
      <c r="E501" s="6">
        <f>IF(OR(原始資料!$A501="",4&gt;設定!$B$3,原始資料!G501=""),"",IF(AND(原始資料!F501&lt;&gt;"",原始資料!G501=原始資料!F501),N(D501)+1,1))</f>
        <v/>
      </c>
      <c r="F501" s="6">
        <f>IF(OR(原始資料!$A501="",5&gt;設定!$B$3,原始資料!H501=""),"",IF(AND(原始資料!G501&lt;&gt;"",原始資料!H501=原始資料!G501),N(E501)+1,1))</f>
        <v/>
      </c>
      <c r="G501" s="6">
        <f>IF(OR(原始資料!$A501="",6&gt;設定!$B$3,原始資料!I501=""),"",IF(AND(原始資料!H501&lt;&gt;"",原始資料!I501=原始資料!H501),N(F501)+1,1))</f>
        <v/>
      </c>
      <c r="H501" s="6">
        <f>IF(OR(原始資料!$A501="",7&gt;設定!$B$3,原始資料!J501=""),"",IF(AND(原始資料!I501&lt;&gt;"",原始資料!J501=原始資料!I501),N(G501)+1,1))</f>
        <v/>
      </c>
      <c r="I501" s="6">
        <f>IF(OR(原始資料!$A501="",8&gt;設定!$B$3,原始資料!K501=""),"",IF(AND(原始資料!J501&lt;&gt;"",原始資料!K501=原始資料!J501),N(H501)+1,1))</f>
        <v/>
      </c>
      <c r="J501" s="6">
        <f>IF(OR(原始資料!$A501="",9&gt;設定!$B$3,原始資料!L501=""),"",IF(AND(原始資料!K501&lt;&gt;"",原始資料!L501=原始資料!K501),N(I501)+1,1))</f>
        <v/>
      </c>
      <c r="K501" s="6">
        <f>IF(OR(原始資料!$A501="",10&gt;設定!$B$3,原始資料!M501=""),"",IF(AND(原始資料!L501&lt;&gt;"",原始資料!M501=原始資料!L501),N(J501)+1,1))</f>
        <v/>
      </c>
      <c r="L501" s="6">
        <f>IF(OR(原始資料!$A501="",11&gt;設定!$B$3,原始資料!N501=""),"",IF(AND(原始資料!M501&lt;&gt;"",原始資料!N501=原始資料!M501),N(K501)+1,1))</f>
        <v/>
      </c>
      <c r="M501" s="6">
        <f>IF(OR(原始資料!$A501="",12&gt;設定!$B$3,原始資料!O501=""),"",IF(AND(原始資料!N501&lt;&gt;"",原始資料!O501=原始資料!N501),N(L501)+1,1))</f>
        <v/>
      </c>
      <c r="N501" s="6">
        <f>IF(OR(原始資料!$A501="",13&gt;設定!$B$3,原始資料!P501=""),"",IF(AND(原始資料!O501&lt;&gt;"",原始資料!P501=原始資料!O501),N(M501)+1,1))</f>
        <v/>
      </c>
      <c r="O501" s="6">
        <f>IF(OR(原始資料!$A501="",14&gt;設定!$B$3,原始資料!Q501=""),"",IF(AND(原始資料!P501&lt;&gt;"",原始資料!Q501=原始資料!P501),N(N501)+1,1))</f>
        <v/>
      </c>
      <c r="P501" s="6">
        <f>IF(OR(原始資料!$A501="",15&gt;設定!$B$3,原始資料!R501=""),"",IF(AND(原始資料!Q501&lt;&gt;"",原始資料!R501=原始資料!Q501),N(O501)+1,1))</f>
        <v/>
      </c>
      <c r="Q501" s="6">
        <f>IF(OR(原始資料!$A501="",16&gt;設定!$B$3,原始資料!S501=""),"",IF(AND(原始資料!R501&lt;&gt;"",原始資料!S501=原始資料!R501),N(P501)+1,1))</f>
        <v/>
      </c>
      <c r="R501" s="6">
        <f>IF(OR(原始資料!$A501="",17&gt;設定!$B$3,原始資料!T501=""),"",IF(AND(原始資料!S501&lt;&gt;"",原始資料!T501=原始資料!S501),N(Q501)+1,1))</f>
        <v/>
      </c>
      <c r="S501" s="6">
        <f>IF(OR(原始資料!$A501="",18&gt;設定!$B$3,原始資料!U501=""),"",IF(AND(原始資料!T501&lt;&gt;"",原始資料!U501=原始資料!T501),N(R501)+1,1))</f>
        <v/>
      </c>
      <c r="T501" s="6">
        <f>IF(OR(原始資料!$A501="",19&gt;設定!$B$3,原始資料!V501=""),"",IF(AND(原始資料!U501&lt;&gt;"",原始資料!V501=原始資料!U501),N(S501)+1,1))</f>
        <v/>
      </c>
      <c r="U501" s="6">
        <f>IF(OR(原始資料!$A501="",20&gt;設定!$B$3,原始資料!W501=""),"",IF(AND(原始資料!V501&lt;&gt;"",原始資料!W501=原始資料!V501),N(T501)+1,1))</f>
        <v/>
      </c>
      <c r="V501" s="6">
        <f>IF(OR(原始資料!$A501="",21&gt;設定!$B$3,原始資料!X501=""),"",IF(AND(原始資料!W501&lt;&gt;"",原始資料!X501=原始資料!W501),N(U501)+1,1))</f>
        <v/>
      </c>
      <c r="W501" s="6">
        <f>IF(OR(原始資料!$A501="",22&gt;設定!$B$3,原始資料!Y501=""),"",IF(AND(原始資料!X501&lt;&gt;"",原始資料!Y501=原始資料!X501),N(V501)+1,1))</f>
        <v/>
      </c>
      <c r="X501" s="6">
        <f>IF(OR(原始資料!$A501="",23&gt;設定!$B$3,原始資料!Z501=""),"",IF(AND(原始資料!Y501&lt;&gt;"",原始資料!Z501=原始資料!Y501),N(W501)+1,1))</f>
        <v/>
      </c>
      <c r="Y501" s="6">
        <f>IF(OR(原始資料!$A501="",24&gt;設定!$B$3,原始資料!AA501=""),"",IF(AND(原始資料!Z501&lt;&gt;"",原始資料!AA501=原始資料!Z501),N(X501)+1,1))</f>
        <v/>
      </c>
      <c r="Z501" s="6">
        <f>IF(OR(原始資料!$A501="",25&gt;設定!$B$3,原始資料!AB501=""),"",IF(AND(原始資料!AA501&lt;&gt;"",原始資料!AB501=原始資料!AA501),N(Y501)+1,1))</f>
        <v/>
      </c>
      <c r="AA501" s="6">
        <f>IF(OR(原始資料!$A501="",26&gt;設定!$B$3,原始資料!AC501=""),"",IF(AND(原始資料!AB501&lt;&gt;"",原始資料!AC501=原始資料!AB501),N(Z501)+1,1))</f>
        <v/>
      </c>
      <c r="AB501" s="6">
        <f>IF(OR(原始資料!$A501="",27&gt;設定!$B$3,原始資料!AD501=""),"",IF(AND(原始資料!AC501&lt;&gt;"",原始資料!AD501=原始資料!AC501),N(AA501)+1,1))</f>
        <v/>
      </c>
      <c r="AC501" s="6">
        <f>IF(OR(原始資料!$A501="",28&gt;設定!$B$3,原始資料!AE501=""),"",IF(AND(原始資料!AD501&lt;&gt;"",原始資料!AE501=原始資料!AD501),N(AB501)+1,1))</f>
        <v/>
      </c>
      <c r="AD501" s="6">
        <f>IF(OR(原始資料!$A501="",29&gt;設定!$B$3,原始資料!AF501=""),"",IF(AND(原始資料!AE501&lt;&gt;"",原始資料!AF501=原始資料!AE501),N(AC501)+1,1))</f>
        <v/>
      </c>
      <c r="AE501" s="6">
        <f>IF(OR(原始資料!$A501="",30&gt;設定!$B$3,原始資料!AG501=""),"",IF(AND(原始資料!AF501&lt;&gt;"",原始資料!AG501=原始資料!AF501),N(AD501)+1,1))</f>
        <v/>
      </c>
      <c r="AF501" s="6">
        <f>IF(OR(原始資料!$A501="",31&gt;設定!$B$3,原始資料!AH501=""),"",IF(AND(原始資料!AG501&lt;&gt;"",原始資料!AH501=原始資料!AG501),N(AE501)+1,1))</f>
        <v/>
      </c>
      <c r="AG501" s="6">
        <f>IF(OR(原始資料!$A501="",32&gt;設定!$B$3,原始資料!AI501=""),"",IF(AND(原始資料!AH501&lt;&gt;"",原始資料!AI501=原始資料!AH501),N(AF501)+1,1))</f>
        <v/>
      </c>
      <c r="AH501" s="6">
        <f>IF(OR(原始資料!$A501="",33&gt;設定!$B$3,原始資料!AJ501=""),"",IF(AND(原始資料!AI501&lt;&gt;"",原始資料!AJ501=原始資料!AI501),N(AG501)+1,1))</f>
        <v/>
      </c>
      <c r="AI501" s="6">
        <f>IF(OR(原始資料!$A501="",34&gt;設定!$B$3,原始資料!AK501=""),"",IF(AND(原始資料!AJ501&lt;&gt;"",原始資料!AK501=原始資料!AJ501),N(AH501)+1,1))</f>
        <v/>
      </c>
      <c r="AJ501" s="6">
        <f>IF(OR(原始資料!$A501="",35&gt;設定!$B$3,原始資料!AL501=""),"",IF(AND(原始資料!AK501&lt;&gt;"",原始資料!AL501=原始資料!AK501),N(AI501)+1,1))</f>
        <v/>
      </c>
      <c r="AK501" s="6">
        <f>IF(OR(原始資料!$A501="",36&gt;設定!$B$3,原始資料!AM501=""),"",IF(AND(原始資料!AL501&lt;&gt;"",原始資料!AM501=原始資料!AL501),N(AJ501)+1,1))</f>
        <v/>
      </c>
      <c r="AL501" s="6">
        <f>IF(OR(原始資料!$A501="",37&gt;設定!$B$3,原始資料!AN501=""),"",IF(AND(原始資料!AM501&lt;&gt;"",原始資料!AN501=原始資料!AM501),N(AK501)+1,1))</f>
        <v/>
      </c>
      <c r="AM501" s="6">
        <f>IF(OR(原始資料!$A501="",38&gt;設定!$B$3,原始資料!AO501=""),"",IF(AND(原始資料!AN501&lt;&gt;"",原始資料!AO501=原始資料!AN501),N(AL501)+1,1))</f>
        <v/>
      </c>
      <c r="AN501" s="6">
        <f>IF(OR(原始資料!$A501="",39&gt;設定!$B$3,原始資料!AP501=""),"",IF(AND(原始資料!AO501&lt;&gt;"",原始資料!AP501=原始資料!AO501),N(AM501)+1,1))</f>
        <v/>
      </c>
      <c r="AO501" s="6">
        <f>IF(OR(原始資料!$A501="",40&gt;設定!$B$3,原始資料!AQ501=""),"",IF(AND(原始資料!AP501&lt;&gt;"",原始資料!AQ501=原始資料!AP501),N(AN501)+1,1))</f>
        <v/>
      </c>
      <c r="AP501" s="6">
        <f>IF(OR(原始資料!$A501="",41&gt;設定!$B$3,原始資料!AR501=""),"",IF(AND(原始資料!AQ501&lt;&gt;"",原始資料!AR501=原始資料!AQ501),N(AO501)+1,1))</f>
        <v/>
      </c>
      <c r="AQ501" s="6">
        <f>IF(OR(原始資料!$A501="",42&gt;設定!$B$3,原始資料!AS501=""),"",IF(AND(原始資料!AR501&lt;&gt;"",原始資料!AS501=原始資料!AR501),N(AP501)+1,1))</f>
        <v/>
      </c>
      <c r="AR501" s="6">
        <f>IF(OR(原始資料!$A501="",43&gt;設定!$B$3,原始資料!AT501=""),"",IF(AND(原始資料!AS501&lt;&gt;"",原始資料!AT501=原始資料!AS501),N(AQ501)+1,1))</f>
        <v/>
      </c>
      <c r="AS501" s="6">
        <f>IF(OR(原始資料!$A501="",44&gt;設定!$B$3,原始資料!AU501=""),"",IF(AND(原始資料!AT501&lt;&gt;"",原始資料!AU501=原始資料!AT501),N(AR501)+1,1))</f>
        <v/>
      </c>
      <c r="AT501" s="6">
        <f>IF(OR(原始資料!$A501="",45&gt;設定!$B$3,原始資料!AV501=""),"",IF(AND(原始資料!AU501&lt;&gt;"",原始資料!AV501=原始資料!AU501),N(AS501)+1,1))</f>
        <v/>
      </c>
      <c r="AU501" s="6">
        <f>IF(OR(原始資料!$A501="",46&gt;設定!$B$3,原始資料!AW501=""),"",IF(AND(原始資料!AV501&lt;&gt;"",原始資料!AW501=原始資料!AV501),N(AT501)+1,1))</f>
        <v/>
      </c>
      <c r="AV501" s="6">
        <f>IF(OR(原始資料!$A501="",47&gt;設定!$B$3,原始資料!AX501=""),"",IF(AND(原始資料!AW501&lt;&gt;"",原始資料!AX501=原始資料!AW501),N(AU501)+1,1))</f>
        <v/>
      </c>
      <c r="AW501" s="6">
        <f>IF(OR(原始資料!$A501="",48&gt;設定!$B$3,原始資料!AY501=""),"",IF(AND(原始資料!AX501&lt;&gt;"",原始資料!AY501=原始資料!AX501),N(AV501)+1,1))</f>
        <v/>
      </c>
      <c r="AX501" s="6">
        <f>IF(OR(原始資料!$A501="",49&gt;設定!$B$3,原始資料!AZ501=""),"",IF(AND(原始資料!AY501&lt;&gt;"",原始資料!AZ501=原始資料!AY501),N(AW501)+1,1))</f>
        <v/>
      </c>
      <c r="AY501" s="6">
        <f>IF(OR(原始資料!$A501="",50&gt;設定!$B$3,原始資料!BA501=""),"",IF(AND(原始資料!AZ501&lt;&gt;"",原始資料!BA501=原始資料!AZ501),N(AX501)+1,1))</f>
        <v/>
      </c>
      <c r="AZ501" s="6">
        <f>IF(OR(原始資料!$A501="",51&gt;設定!$B$3,原始資料!BB501=""),"",IF(AND(原始資料!BA501&lt;&gt;"",原始資料!BB501=原始資料!BA501),N(AY501)+1,1))</f>
        <v/>
      </c>
      <c r="BA501" s="6">
        <f>IF(OR(原始資料!$A501="",52&gt;設定!$B$3,原始資料!BC501=""),"",IF(AND(原始資料!BB501&lt;&gt;"",原始資料!BC501=原始資料!BB501),N(AZ501)+1,1))</f>
        <v/>
      </c>
      <c r="BB501" s="6">
        <f>IF(OR(原始資料!$A501="",53&gt;設定!$B$3,原始資料!BD501=""),"",IF(AND(原始資料!BC501&lt;&gt;"",原始資料!BD501=原始資料!BC501),N(BA501)+1,1))</f>
        <v/>
      </c>
      <c r="BC501" s="6">
        <f>IF(OR(原始資料!$A501="",54&gt;設定!$B$3,原始資料!BE501=""),"",IF(AND(原始資料!BD501&lt;&gt;"",原始資料!BE501=原始資料!BD501),N(BB501)+1,1))</f>
        <v/>
      </c>
      <c r="BD501" s="6">
        <f>IF(OR(原始資料!$A501="",55&gt;設定!$B$3,原始資料!BF501=""),"",IF(AND(原始資料!BE501&lt;&gt;"",原始資料!BF501=原始資料!BE501),N(BC501)+1,1))</f>
        <v/>
      </c>
      <c r="BE501" s="6">
        <f>IF(OR(原始資料!$A501="",56&gt;設定!$B$3,原始資料!BG501=""),"",IF(AND(原始資料!BF501&lt;&gt;"",原始資料!BG501=原始資料!BF501),N(BD501)+1,1))</f>
        <v/>
      </c>
      <c r="BF501" s="6">
        <f>IF(OR(原始資料!$A501="",57&gt;設定!$B$3,原始資料!BH501=""),"",IF(AND(原始資料!BG501&lt;&gt;"",原始資料!BH501=原始資料!BG501),N(BE501)+1,1))</f>
        <v/>
      </c>
      <c r="BG501" s="6">
        <f>IF(OR(原始資料!$A501="",58&gt;設定!$B$3,原始資料!BI501=""),"",IF(AND(原始資料!BH501&lt;&gt;"",原始資料!BI501=原始資料!BH501),N(BF501)+1,1))</f>
        <v/>
      </c>
      <c r="BH501" s="6">
        <f>IF(OR(原始資料!$A501="",59&gt;設定!$B$3,原始資料!BJ501=""),"",IF(AND(原始資料!BI501&lt;&gt;"",原始資料!BJ501=原始資料!BI501),N(BG501)+1,1))</f>
        <v/>
      </c>
      <c r="BI501" s="6">
        <f>IF(OR(原始資料!$A501="",60&gt;設定!$B$3,原始資料!BK501=""),"",IF(AND(原始資料!BJ501&lt;&gt;"",原始資料!BK501=原始資料!BJ501),N(BH501)+1,1))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</cols>
  <sheetData>
    <row r="1">
      <c r="A1" s="7" t="inlineStr">
        <is>
          <t>編號</t>
        </is>
      </c>
      <c r="B1" s="7" t="inlineStr">
        <is>
          <t>最長連續相同</t>
        </is>
      </c>
      <c r="C1" s="7" t="inlineStr">
        <is>
          <t>檢核題答錯</t>
        </is>
      </c>
      <c r="D1" s="7" t="inlineStr">
        <is>
          <t>作答過快</t>
        </is>
      </c>
      <c r="E1" s="7" t="inlineStr">
        <is>
          <t>直線作答</t>
        </is>
      </c>
      <c r="F1" s="7" t="inlineStr">
        <is>
          <t>人工剔除</t>
        </is>
      </c>
      <c r="G1" s="7" t="inlineStr">
        <is>
          <t>判定</t>
        </is>
      </c>
      <c r="H1" s="7" t="inlineStr">
        <is>
          <t>保留序號</t>
        </is>
      </c>
    </row>
    <row r="2">
      <c r="A2" s="12">
        <f>IF(原始資料!$A2="","",原始資料!$A2)</f>
        <v/>
      </c>
      <c r="B2" s="12">
        <f>IF(原始資料!$A2="","",MAX(連續計數!B2:BI2))</f>
        <v/>
      </c>
      <c r="C2" s="12">
        <f>IF(OR(原始資料!$A2="",設定!$B$4=""),"",IF(原始資料!$C2&lt;&gt;設定!$B$4,"是",""))</f>
        <v/>
      </c>
      <c r="D2" s="12">
        <f>IF(OR(原始資料!$A2="",設定!$B$5=""),"",IF(原始資料!$B2&lt;設定!$B$5,"是",""))</f>
        <v/>
      </c>
      <c r="E2" s="12">
        <f>IF(OR(原始資料!$A2="",設定!$B$6=""),"",IF(B2&gt;=設定!$B$6,"是",""))</f>
        <v/>
      </c>
      <c r="F2" s="13" t="n"/>
      <c r="G2" s="12">
        <f>IF(原始資料!$A2="","",IF(OR(C2="是",D2="是",E2="是",F2="是"),"剔除","保留"))</f>
        <v/>
      </c>
      <c r="H2" s="12">
        <f>IF(G2="保留",COUNTIF($G$2:G2,"保留"),"")</f>
        <v/>
      </c>
    </row>
    <row r="3">
      <c r="A3" s="12">
        <f>IF(原始資料!$A3="","",原始資料!$A3)</f>
        <v/>
      </c>
      <c r="B3" s="12">
        <f>IF(原始資料!$A3="","",MAX(連續計數!B3:BI3))</f>
        <v/>
      </c>
      <c r="C3" s="12">
        <f>IF(OR(原始資料!$A3="",設定!$B$4=""),"",IF(原始資料!$C3&lt;&gt;設定!$B$4,"是",""))</f>
        <v/>
      </c>
      <c r="D3" s="12">
        <f>IF(OR(原始資料!$A3="",設定!$B$5=""),"",IF(原始資料!$B3&lt;設定!$B$5,"是",""))</f>
        <v/>
      </c>
      <c r="E3" s="12">
        <f>IF(OR(原始資料!$A3="",設定!$B$6=""),"",IF(B3&gt;=設定!$B$6,"是",""))</f>
        <v/>
      </c>
      <c r="F3" s="13" t="n"/>
      <c r="G3" s="12">
        <f>IF(原始資料!$A3="","",IF(OR(C3="是",D3="是",E3="是",F3="是"),"剔除","保留"))</f>
        <v/>
      </c>
      <c r="H3" s="12">
        <f>IF(G3="保留",COUNTIF($G$2:G3,"保留"),"")</f>
        <v/>
      </c>
    </row>
    <row r="4">
      <c r="A4" s="12">
        <f>IF(原始資料!$A4="","",原始資料!$A4)</f>
        <v/>
      </c>
      <c r="B4" s="12">
        <f>IF(原始資料!$A4="","",MAX(連續計數!B4:BI4))</f>
        <v/>
      </c>
      <c r="C4" s="12">
        <f>IF(OR(原始資料!$A4="",設定!$B$4=""),"",IF(原始資料!$C4&lt;&gt;設定!$B$4,"是",""))</f>
        <v/>
      </c>
      <c r="D4" s="12">
        <f>IF(OR(原始資料!$A4="",設定!$B$5=""),"",IF(原始資料!$B4&lt;設定!$B$5,"是",""))</f>
        <v/>
      </c>
      <c r="E4" s="12">
        <f>IF(OR(原始資料!$A4="",設定!$B$6=""),"",IF(B4&gt;=設定!$B$6,"是",""))</f>
        <v/>
      </c>
      <c r="F4" s="13" t="n"/>
      <c r="G4" s="12">
        <f>IF(原始資料!$A4="","",IF(OR(C4="是",D4="是",E4="是",F4="是"),"剔除","保留"))</f>
        <v/>
      </c>
      <c r="H4" s="12">
        <f>IF(G4="保留",COUNTIF($G$2:G4,"保留"),"")</f>
        <v/>
      </c>
    </row>
    <row r="5">
      <c r="A5" s="12">
        <f>IF(原始資料!$A5="","",原始資料!$A5)</f>
        <v/>
      </c>
      <c r="B5" s="12">
        <f>IF(原始資料!$A5="","",MAX(連續計數!B5:BI5))</f>
        <v/>
      </c>
      <c r="C5" s="12">
        <f>IF(OR(原始資料!$A5="",設定!$B$4=""),"",IF(原始資料!$C5&lt;&gt;設定!$B$4,"是",""))</f>
        <v/>
      </c>
      <c r="D5" s="12">
        <f>IF(OR(原始資料!$A5="",設定!$B$5=""),"",IF(原始資料!$B5&lt;設定!$B$5,"是",""))</f>
        <v/>
      </c>
      <c r="E5" s="12">
        <f>IF(OR(原始資料!$A5="",設定!$B$6=""),"",IF(B5&gt;=設定!$B$6,"是",""))</f>
        <v/>
      </c>
      <c r="F5" s="13" t="n"/>
      <c r="G5" s="12">
        <f>IF(原始資料!$A5="","",IF(OR(C5="是",D5="是",E5="是",F5="是"),"剔除","保留"))</f>
        <v/>
      </c>
      <c r="H5" s="12">
        <f>IF(G5="保留",COUNTIF($G$2:G5,"保留"),"")</f>
        <v/>
      </c>
    </row>
    <row r="6">
      <c r="A6" s="12">
        <f>IF(原始資料!$A6="","",原始資料!$A6)</f>
        <v/>
      </c>
      <c r="B6" s="12">
        <f>IF(原始資料!$A6="","",MAX(連續計數!B6:BI6))</f>
        <v/>
      </c>
      <c r="C6" s="12">
        <f>IF(OR(原始資料!$A6="",設定!$B$4=""),"",IF(原始資料!$C6&lt;&gt;設定!$B$4,"是",""))</f>
        <v/>
      </c>
      <c r="D6" s="12">
        <f>IF(OR(原始資料!$A6="",設定!$B$5=""),"",IF(原始資料!$B6&lt;設定!$B$5,"是",""))</f>
        <v/>
      </c>
      <c r="E6" s="12">
        <f>IF(OR(原始資料!$A6="",設定!$B$6=""),"",IF(B6&gt;=設定!$B$6,"是",""))</f>
        <v/>
      </c>
      <c r="F6" s="13" t="n"/>
      <c r="G6" s="12">
        <f>IF(原始資料!$A6="","",IF(OR(C6="是",D6="是",E6="是",F6="是"),"剔除","保留"))</f>
        <v/>
      </c>
      <c r="H6" s="12">
        <f>IF(G6="保留",COUNTIF($G$2:G6,"保留"),"")</f>
        <v/>
      </c>
    </row>
    <row r="7">
      <c r="A7" s="12">
        <f>IF(原始資料!$A7="","",原始資料!$A7)</f>
        <v/>
      </c>
      <c r="B7" s="12">
        <f>IF(原始資料!$A7="","",MAX(連續計數!B7:BI7))</f>
        <v/>
      </c>
      <c r="C7" s="12">
        <f>IF(OR(原始資料!$A7="",設定!$B$4=""),"",IF(原始資料!$C7&lt;&gt;設定!$B$4,"是",""))</f>
        <v/>
      </c>
      <c r="D7" s="12">
        <f>IF(OR(原始資料!$A7="",設定!$B$5=""),"",IF(原始資料!$B7&lt;設定!$B$5,"是",""))</f>
        <v/>
      </c>
      <c r="E7" s="12">
        <f>IF(OR(原始資料!$A7="",設定!$B$6=""),"",IF(B7&gt;=設定!$B$6,"是",""))</f>
        <v/>
      </c>
      <c r="F7" s="13" t="n"/>
      <c r="G7" s="12">
        <f>IF(原始資料!$A7="","",IF(OR(C7="是",D7="是",E7="是",F7="是"),"剔除","保留"))</f>
        <v/>
      </c>
      <c r="H7" s="12">
        <f>IF(G7="保留",COUNTIF($G$2:G7,"保留"),"")</f>
        <v/>
      </c>
    </row>
    <row r="8">
      <c r="A8" s="12">
        <f>IF(原始資料!$A8="","",原始資料!$A8)</f>
        <v/>
      </c>
      <c r="B8" s="12">
        <f>IF(原始資料!$A8="","",MAX(連續計數!B8:BI8))</f>
        <v/>
      </c>
      <c r="C8" s="12">
        <f>IF(OR(原始資料!$A8="",設定!$B$4=""),"",IF(原始資料!$C8&lt;&gt;設定!$B$4,"是",""))</f>
        <v/>
      </c>
      <c r="D8" s="12">
        <f>IF(OR(原始資料!$A8="",設定!$B$5=""),"",IF(原始資料!$B8&lt;設定!$B$5,"是",""))</f>
        <v/>
      </c>
      <c r="E8" s="12">
        <f>IF(OR(原始資料!$A8="",設定!$B$6=""),"",IF(B8&gt;=設定!$B$6,"是",""))</f>
        <v/>
      </c>
      <c r="F8" s="13" t="n"/>
      <c r="G8" s="12">
        <f>IF(原始資料!$A8="","",IF(OR(C8="是",D8="是",E8="是",F8="是"),"剔除","保留"))</f>
        <v/>
      </c>
      <c r="H8" s="12">
        <f>IF(G8="保留",COUNTIF($G$2:G8,"保留"),"")</f>
        <v/>
      </c>
    </row>
    <row r="9">
      <c r="A9" s="12">
        <f>IF(原始資料!$A9="","",原始資料!$A9)</f>
        <v/>
      </c>
      <c r="B9" s="12">
        <f>IF(原始資料!$A9="","",MAX(連續計數!B9:BI9))</f>
        <v/>
      </c>
      <c r="C9" s="12">
        <f>IF(OR(原始資料!$A9="",設定!$B$4=""),"",IF(原始資料!$C9&lt;&gt;設定!$B$4,"是",""))</f>
        <v/>
      </c>
      <c r="D9" s="12">
        <f>IF(OR(原始資料!$A9="",設定!$B$5=""),"",IF(原始資料!$B9&lt;設定!$B$5,"是",""))</f>
        <v/>
      </c>
      <c r="E9" s="12">
        <f>IF(OR(原始資料!$A9="",設定!$B$6=""),"",IF(B9&gt;=設定!$B$6,"是",""))</f>
        <v/>
      </c>
      <c r="F9" s="13" t="n"/>
      <c r="G9" s="12">
        <f>IF(原始資料!$A9="","",IF(OR(C9="是",D9="是",E9="是",F9="是"),"剔除","保留"))</f>
        <v/>
      </c>
      <c r="H9" s="12">
        <f>IF(G9="保留",COUNTIF($G$2:G9,"保留"),"")</f>
        <v/>
      </c>
    </row>
    <row r="10">
      <c r="A10" s="12">
        <f>IF(原始資料!$A10="","",原始資料!$A10)</f>
        <v/>
      </c>
      <c r="B10" s="12">
        <f>IF(原始資料!$A10="","",MAX(連續計數!B10:BI10))</f>
        <v/>
      </c>
      <c r="C10" s="12">
        <f>IF(OR(原始資料!$A10="",設定!$B$4=""),"",IF(原始資料!$C10&lt;&gt;設定!$B$4,"是",""))</f>
        <v/>
      </c>
      <c r="D10" s="12">
        <f>IF(OR(原始資料!$A10="",設定!$B$5=""),"",IF(原始資料!$B10&lt;設定!$B$5,"是",""))</f>
        <v/>
      </c>
      <c r="E10" s="12">
        <f>IF(OR(原始資料!$A10="",設定!$B$6=""),"",IF(B10&gt;=設定!$B$6,"是",""))</f>
        <v/>
      </c>
      <c r="F10" s="13" t="n"/>
      <c r="G10" s="12">
        <f>IF(原始資料!$A10="","",IF(OR(C10="是",D10="是",E10="是",F10="是"),"剔除","保留"))</f>
        <v/>
      </c>
      <c r="H10" s="12">
        <f>IF(G10="保留",COUNTIF($G$2:G10,"保留"),"")</f>
        <v/>
      </c>
    </row>
    <row r="11">
      <c r="A11" s="12">
        <f>IF(原始資料!$A11="","",原始資料!$A11)</f>
        <v/>
      </c>
      <c r="B11" s="12">
        <f>IF(原始資料!$A11="","",MAX(連續計數!B11:BI11))</f>
        <v/>
      </c>
      <c r="C11" s="12">
        <f>IF(OR(原始資料!$A11="",設定!$B$4=""),"",IF(原始資料!$C11&lt;&gt;設定!$B$4,"是",""))</f>
        <v/>
      </c>
      <c r="D11" s="12">
        <f>IF(OR(原始資料!$A11="",設定!$B$5=""),"",IF(原始資料!$B11&lt;設定!$B$5,"是",""))</f>
        <v/>
      </c>
      <c r="E11" s="12">
        <f>IF(OR(原始資料!$A11="",設定!$B$6=""),"",IF(B11&gt;=設定!$B$6,"是",""))</f>
        <v/>
      </c>
      <c r="F11" s="13" t="n"/>
      <c r="G11" s="12">
        <f>IF(原始資料!$A11="","",IF(OR(C11="是",D11="是",E11="是",F11="是"),"剔除","保留"))</f>
        <v/>
      </c>
      <c r="H11" s="12">
        <f>IF(G11="保留",COUNTIF($G$2:G11,"保留"),"")</f>
        <v/>
      </c>
    </row>
    <row r="12">
      <c r="A12" s="12">
        <f>IF(原始資料!$A12="","",原始資料!$A12)</f>
        <v/>
      </c>
      <c r="B12" s="12">
        <f>IF(原始資料!$A12="","",MAX(連續計數!B12:BI12))</f>
        <v/>
      </c>
      <c r="C12" s="12">
        <f>IF(OR(原始資料!$A12="",設定!$B$4=""),"",IF(原始資料!$C12&lt;&gt;設定!$B$4,"是",""))</f>
        <v/>
      </c>
      <c r="D12" s="12">
        <f>IF(OR(原始資料!$A12="",設定!$B$5=""),"",IF(原始資料!$B12&lt;設定!$B$5,"是",""))</f>
        <v/>
      </c>
      <c r="E12" s="12">
        <f>IF(OR(原始資料!$A12="",設定!$B$6=""),"",IF(B12&gt;=設定!$B$6,"是",""))</f>
        <v/>
      </c>
      <c r="F12" s="13" t="n"/>
      <c r="G12" s="12">
        <f>IF(原始資料!$A12="","",IF(OR(C12="是",D12="是",E12="是",F12="是"),"剔除","保留"))</f>
        <v/>
      </c>
      <c r="H12" s="12">
        <f>IF(G12="保留",COUNTIF($G$2:G12,"保留"),"")</f>
        <v/>
      </c>
    </row>
    <row r="13">
      <c r="A13" s="12">
        <f>IF(原始資料!$A13="","",原始資料!$A13)</f>
        <v/>
      </c>
      <c r="B13" s="12">
        <f>IF(原始資料!$A13="","",MAX(連續計數!B13:BI13))</f>
        <v/>
      </c>
      <c r="C13" s="12">
        <f>IF(OR(原始資料!$A13="",設定!$B$4=""),"",IF(原始資料!$C13&lt;&gt;設定!$B$4,"是",""))</f>
        <v/>
      </c>
      <c r="D13" s="12">
        <f>IF(OR(原始資料!$A13="",設定!$B$5=""),"",IF(原始資料!$B13&lt;設定!$B$5,"是",""))</f>
        <v/>
      </c>
      <c r="E13" s="12">
        <f>IF(OR(原始資料!$A13="",設定!$B$6=""),"",IF(B13&gt;=設定!$B$6,"是",""))</f>
        <v/>
      </c>
      <c r="F13" s="13" t="n"/>
      <c r="G13" s="12">
        <f>IF(原始資料!$A13="","",IF(OR(C13="是",D13="是",E13="是",F13="是"),"剔除","保留"))</f>
        <v/>
      </c>
      <c r="H13" s="12">
        <f>IF(G13="保留",COUNTIF($G$2:G13,"保留"),"")</f>
        <v/>
      </c>
    </row>
    <row r="14">
      <c r="A14" s="12">
        <f>IF(原始資料!$A14="","",原始資料!$A14)</f>
        <v/>
      </c>
      <c r="B14" s="12">
        <f>IF(原始資料!$A14="","",MAX(連續計數!B14:BI14))</f>
        <v/>
      </c>
      <c r="C14" s="12">
        <f>IF(OR(原始資料!$A14="",設定!$B$4=""),"",IF(原始資料!$C14&lt;&gt;設定!$B$4,"是",""))</f>
        <v/>
      </c>
      <c r="D14" s="12">
        <f>IF(OR(原始資料!$A14="",設定!$B$5=""),"",IF(原始資料!$B14&lt;設定!$B$5,"是",""))</f>
        <v/>
      </c>
      <c r="E14" s="12">
        <f>IF(OR(原始資料!$A14="",設定!$B$6=""),"",IF(B14&gt;=設定!$B$6,"是",""))</f>
        <v/>
      </c>
      <c r="F14" s="13" t="n"/>
      <c r="G14" s="12">
        <f>IF(原始資料!$A14="","",IF(OR(C14="是",D14="是",E14="是",F14="是"),"剔除","保留"))</f>
        <v/>
      </c>
      <c r="H14" s="12">
        <f>IF(G14="保留",COUNTIF($G$2:G14,"保留"),"")</f>
        <v/>
      </c>
    </row>
    <row r="15">
      <c r="A15" s="12">
        <f>IF(原始資料!$A15="","",原始資料!$A15)</f>
        <v/>
      </c>
      <c r="B15" s="12">
        <f>IF(原始資料!$A15="","",MAX(連續計數!B15:BI15))</f>
        <v/>
      </c>
      <c r="C15" s="12">
        <f>IF(OR(原始資料!$A15="",設定!$B$4=""),"",IF(原始資料!$C15&lt;&gt;設定!$B$4,"是",""))</f>
        <v/>
      </c>
      <c r="D15" s="12">
        <f>IF(OR(原始資料!$A15="",設定!$B$5=""),"",IF(原始資料!$B15&lt;設定!$B$5,"是",""))</f>
        <v/>
      </c>
      <c r="E15" s="12">
        <f>IF(OR(原始資料!$A15="",設定!$B$6=""),"",IF(B15&gt;=設定!$B$6,"是",""))</f>
        <v/>
      </c>
      <c r="F15" s="13" t="n"/>
      <c r="G15" s="12">
        <f>IF(原始資料!$A15="","",IF(OR(C15="是",D15="是",E15="是",F15="是"),"剔除","保留"))</f>
        <v/>
      </c>
      <c r="H15" s="12">
        <f>IF(G15="保留",COUNTIF($G$2:G15,"保留"),"")</f>
        <v/>
      </c>
    </row>
    <row r="16">
      <c r="A16" s="12">
        <f>IF(原始資料!$A16="","",原始資料!$A16)</f>
        <v/>
      </c>
      <c r="B16" s="12">
        <f>IF(原始資料!$A16="","",MAX(連續計數!B16:BI16))</f>
        <v/>
      </c>
      <c r="C16" s="12">
        <f>IF(OR(原始資料!$A16="",設定!$B$4=""),"",IF(原始資料!$C16&lt;&gt;設定!$B$4,"是",""))</f>
        <v/>
      </c>
      <c r="D16" s="12">
        <f>IF(OR(原始資料!$A16="",設定!$B$5=""),"",IF(原始資料!$B16&lt;設定!$B$5,"是",""))</f>
        <v/>
      </c>
      <c r="E16" s="12">
        <f>IF(OR(原始資料!$A16="",設定!$B$6=""),"",IF(B16&gt;=設定!$B$6,"是",""))</f>
        <v/>
      </c>
      <c r="F16" s="13" t="n"/>
      <c r="G16" s="12">
        <f>IF(原始資料!$A16="","",IF(OR(C16="是",D16="是",E16="是",F16="是"),"剔除","保留"))</f>
        <v/>
      </c>
      <c r="H16" s="12">
        <f>IF(G16="保留",COUNTIF($G$2:G16,"保留"),"")</f>
        <v/>
      </c>
    </row>
    <row r="17">
      <c r="A17" s="12">
        <f>IF(原始資料!$A17="","",原始資料!$A17)</f>
        <v/>
      </c>
      <c r="B17" s="12">
        <f>IF(原始資料!$A17="","",MAX(連續計數!B17:BI17))</f>
        <v/>
      </c>
      <c r="C17" s="12">
        <f>IF(OR(原始資料!$A17="",設定!$B$4=""),"",IF(原始資料!$C17&lt;&gt;設定!$B$4,"是",""))</f>
        <v/>
      </c>
      <c r="D17" s="12">
        <f>IF(OR(原始資料!$A17="",設定!$B$5=""),"",IF(原始資料!$B17&lt;設定!$B$5,"是",""))</f>
        <v/>
      </c>
      <c r="E17" s="12">
        <f>IF(OR(原始資料!$A17="",設定!$B$6=""),"",IF(B17&gt;=設定!$B$6,"是",""))</f>
        <v/>
      </c>
      <c r="F17" s="13" t="n"/>
      <c r="G17" s="12">
        <f>IF(原始資料!$A17="","",IF(OR(C17="是",D17="是",E17="是",F17="是"),"剔除","保留"))</f>
        <v/>
      </c>
      <c r="H17" s="12">
        <f>IF(G17="保留",COUNTIF($G$2:G17,"保留"),"")</f>
        <v/>
      </c>
    </row>
    <row r="18">
      <c r="A18" s="12">
        <f>IF(原始資料!$A18="","",原始資料!$A18)</f>
        <v/>
      </c>
      <c r="B18" s="12">
        <f>IF(原始資料!$A18="","",MAX(連續計數!B18:BI18))</f>
        <v/>
      </c>
      <c r="C18" s="12">
        <f>IF(OR(原始資料!$A18="",設定!$B$4=""),"",IF(原始資料!$C18&lt;&gt;設定!$B$4,"是",""))</f>
        <v/>
      </c>
      <c r="D18" s="12">
        <f>IF(OR(原始資料!$A18="",設定!$B$5=""),"",IF(原始資料!$B18&lt;設定!$B$5,"是",""))</f>
        <v/>
      </c>
      <c r="E18" s="12">
        <f>IF(OR(原始資料!$A18="",設定!$B$6=""),"",IF(B18&gt;=設定!$B$6,"是",""))</f>
        <v/>
      </c>
      <c r="F18" s="13" t="n"/>
      <c r="G18" s="12">
        <f>IF(原始資料!$A18="","",IF(OR(C18="是",D18="是",E18="是",F18="是"),"剔除","保留"))</f>
        <v/>
      </c>
      <c r="H18" s="12">
        <f>IF(G18="保留",COUNTIF($G$2:G18,"保留"),"")</f>
        <v/>
      </c>
    </row>
    <row r="19">
      <c r="A19" s="12">
        <f>IF(原始資料!$A19="","",原始資料!$A19)</f>
        <v/>
      </c>
      <c r="B19" s="12">
        <f>IF(原始資料!$A19="","",MAX(連續計數!B19:BI19))</f>
        <v/>
      </c>
      <c r="C19" s="12">
        <f>IF(OR(原始資料!$A19="",設定!$B$4=""),"",IF(原始資料!$C19&lt;&gt;設定!$B$4,"是",""))</f>
        <v/>
      </c>
      <c r="D19" s="12">
        <f>IF(OR(原始資料!$A19="",設定!$B$5=""),"",IF(原始資料!$B19&lt;設定!$B$5,"是",""))</f>
        <v/>
      </c>
      <c r="E19" s="12">
        <f>IF(OR(原始資料!$A19="",設定!$B$6=""),"",IF(B19&gt;=設定!$B$6,"是",""))</f>
        <v/>
      </c>
      <c r="F19" s="13" t="n"/>
      <c r="G19" s="12">
        <f>IF(原始資料!$A19="","",IF(OR(C19="是",D19="是",E19="是",F19="是"),"剔除","保留"))</f>
        <v/>
      </c>
      <c r="H19" s="12">
        <f>IF(G19="保留",COUNTIF($G$2:G19,"保留"),"")</f>
        <v/>
      </c>
    </row>
    <row r="20">
      <c r="A20" s="12">
        <f>IF(原始資料!$A20="","",原始資料!$A20)</f>
        <v/>
      </c>
      <c r="B20" s="12">
        <f>IF(原始資料!$A20="","",MAX(連續計數!B20:BI20))</f>
        <v/>
      </c>
      <c r="C20" s="12">
        <f>IF(OR(原始資料!$A20="",設定!$B$4=""),"",IF(原始資料!$C20&lt;&gt;設定!$B$4,"是",""))</f>
        <v/>
      </c>
      <c r="D20" s="12">
        <f>IF(OR(原始資料!$A20="",設定!$B$5=""),"",IF(原始資料!$B20&lt;設定!$B$5,"是",""))</f>
        <v/>
      </c>
      <c r="E20" s="12">
        <f>IF(OR(原始資料!$A20="",設定!$B$6=""),"",IF(B20&gt;=設定!$B$6,"是",""))</f>
        <v/>
      </c>
      <c r="F20" s="13" t="n"/>
      <c r="G20" s="12">
        <f>IF(原始資料!$A20="","",IF(OR(C20="是",D20="是",E20="是",F20="是"),"剔除","保留"))</f>
        <v/>
      </c>
      <c r="H20" s="12">
        <f>IF(G20="保留",COUNTIF($G$2:G20,"保留"),"")</f>
        <v/>
      </c>
    </row>
    <row r="21">
      <c r="A21" s="12">
        <f>IF(原始資料!$A21="","",原始資料!$A21)</f>
        <v/>
      </c>
      <c r="B21" s="12">
        <f>IF(原始資料!$A21="","",MAX(連續計數!B21:BI21))</f>
        <v/>
      </c>
      <c r="C21" s="12">
        <f>IF(OR(原始資料!$A21="",設定!$B$4=""),"",IF(原始資料!$C21&lt;&gt;設定!$B$4,"是",""))</f>
        <v/>
      </c>
      <c r="D21" s="12">
        <f>IF(OR(原始資料!$A21="",設定!$B$5=""),"",IF(原始資料!$B21&lt;設定!$B$5,"是",""))</f>
        <v/>
      </c>
      <c r="E21" s="12">
        <f>IF(OR(原始資料!$A21="",設定!$B$6=""),"",IF(B21&gt;=設定!$B$6,"是",""))</f>
        <v/>
      </c>
      <c r="F21" s="13" t="n"/>
      <c r="G21" s="12">
        <f>IF(原始資料!$A21="","",IF(OR(C21="是",D21="是",E21="是",F21="是"),"剔除","保留"))</f>
        <v/>
      </c>
      <c r="H21" s="12">
        <f>IF(G21="保留",COUNTIF($G$2:G21,"保留"),"")</f>
        <v/>
      </c>
    </row>
    <row r="22">
      <c r="A22" s="12">
        <f>IF(原始資料!$A22="","",原始資料!$A22)</f>
        <v/>
      </c>
      <c r="B22" s="12">
        <f>IF(原始資料!$A22="","",MAX(連續計數!B22:BI22))</f>
        <v/>
      </c>
      <c r="C22" s="12">
        <f>IF(OR(原始資料!$A22="",設定!$B$4=""),"",IF(原始資料!$C22&lt;&gt;設定!$B$4,"是",""))</f>
        <v/>
      </c>
      <c r="D22" s="12">
        <f>IF(OR(原始資料!$A22="",設定!$B$5=""),"",IF(原始資料!$B22&lt;設定!$B$5,"是",""))</f>
        <v/>
      </c>
      <c r="E22" s="12">
        <f>IF(OR(原始資料!$A22="",設定!$B$6=""),"",IF(B22&gt;=設定!$B$6,"是",""))</f>
        <v/>
      </c>
      <c r="F22" s="13" t="n"/>
      <c r="G22" s="12">
        <f>IF(原始資料!$A22="","",IF(OR(C22="是",D22="是",E22="是",F22="是"),"剔除","保留"))</f>
        <v/>
      </c>
      <c r="H22" s="12">
        <f>IF(G22="保留",COUNTIF($G$2:G22,"保留"),"")</f>
        <v/>
      </c>
    </row>
    <row r="23">
      <c r="A23" s="12">
        <f>IF(原始資料!$A23="","",原始資料!$A23)</f>
        <v/>
      </c>
      <c r="B23" s="12">
        <f>IF(原始資料!$A23="","",MAX(連續計數!B23:BI23))</f>
        <v/>
      </c>
      <c r="C23" s="12">
        <f>IF(OR(原始資料!$A23="",設定!$B$4=""),"",IF(原始資料!$C23&lt;&gt;設定!$B$4,"是",""))</f>
        <v/>
      </c>
      <c r="D23" s="12">
        <f>IF(OR(原始資料!$A23="",設定!$B$5=""),"",IF(原始資料!$B23&lt;設定!$B$5,"是",""))</f>
        <v/>
      </c>
      <c r="E23" s="12">
        <f>IF(OR(原始資料!$A23="",設定!$B$6=""),"",IF(B23&gt;=設定!$B$6,"是",""))</f>
        <v/>
      </c>
      <c r="F23" s="13" t="n"/>
      <c r="G23" s="12">
        <f>IF(原始資料!$A23="","",IF(OR(C23="是",D23="是",E23="是",F23="是"),"剔除","保留"))</f>
        <v/>
      </c>
      <c r="H23" s="12">
        <f>IF(G23="保留",COUNTIF($G$2:G23,"保留"),"")</f>
        <v/>
      </c>
    </row>
    <row r="24">
      <c r="A24" s="12">
        <f>IF(原始資料!$A24="","",原始資料!$A24)</f>
        <v/>
      </c>
      <c r="B24" s="12">
        <f>IF(原始資料!$A24="","",MAX(連續計數!B24:BI24))</f>
        <v/>
      </c>
      <c r="C24" s="12">
        <f>IF(OR(原始資料!$A24="",設定!$B$4=""),"",IF(原始資料!$C24&lt;&gt;設定!$B$4,"是",""))</f>
        <v/>
      </c>
      <c r="D24" s="12">
        <f>IF(OR(原始資料!$A24="",設定!$B$5=""),"",IF(原始資料!$B24&lt;設定!$B$5,"是",""))</f>
        <v/>
      </c>
      <c r="E24" s="12">
        <f>IF(OR(原始資料!$A24="",設定!$B$6=""),"",IF(B24&gt;=設定!$B$6,"是",""))</f>
        <v/>
      </c>
      <c r="F24" s="13" t="n"/>
      <c r="G24" s="12">
        <f>IF(原始資料!$A24="","",IF(OR(C24="是",D24="是",E24="是",F24="是"),"剔除","保留"))</f>
        <v/>
      </c>
      <c r="H24" s="12">
        <f>IF(G24="保留",COUNTIF($G$2:G24,"保留"),"")</f>
        <v/>
      </c>
    </row>
    <row r="25">
      <c r="A25" s="12">
        <f>IF(原始資料!$A25="","",原始資料!$A25)</f>
        <v/>
      </c>
      <c r="B25" s="12">
        <f>IF(原始資料!$A25="","",MAX(連續計數!B25:BI25))</f>
        <v/>
      </c>
      <c r="C25" s="12">
        <f>IF(OR(原始資料!$A25="",設定!$B$4=""),"",IF(原始資料!$C25&lt;&gt;設定!$B$4,"是",""))</f>
        <v/>
      </c>
      <c r="D25" s="12">
        <f>IF(OR(原始資料!$A25="",設定!$B$5=""),"",IF(原始資料!$B25&lt;設定!$B$5,"是",""))</f>
        <v/>
      </c>
      <c r="E25" s="12">
        <f>IF(OR(原始資料!$A25="",設定!$B$6=""),"",IF(B25&gt;=設定!$B$6,"是",""))</f>
        <v/>
      </c>
      <c r="F25" s="13" t="n"/>
      <c r="G25" s="12">
        <f>IF(原始資料!$A25="","",IF(OR(C25="是",D25="是",E25="是",F25="是"),"剔除","保留"))</f>
        <v/>
      </c>
      <c r="H25" s="12">
        <f>IF(G25="保留",COUNTIF($G$2:G25,"保留"),"")</f>
        <v/>
      </c>
    </row>
    <row r="26">
      <c r="A26" s="12">
        <f>IF(原始資料!$A26="","",原始資料!$A26)</f>
        <v/>
      </c>
      <c r="B26" s="12">
        <f>IF(原始資料!$A26="","",MAX(連續計數!B26:BI26))</f>
        <v/>
      </c>
      <c r="C26" s="12">
        <f>IF(OR(原始資料!$A26="",設定!$B$4=""),"",IF(原始資料!$C26&lt;&gt;設定!$B$4,"是",""))</f>
        <v/>
      </c>
      <c r="D26" s="12">
        <f>IF(OR(原始資料!$A26="",設定!$B$5=""),"",IF(原始資料!$B26&lt;設定!$B$5,"是",""))</f>
        <v/>
      </c>
      <c r="E26" s="12">
        <f>IF(OR(原始資料!$A26="",設定!$B$6=""),"",IF(B26&gt;=設定!$B$6,"是",""))</f>
        <v/>
      </c>
      <c r="F26" s="13" t="n"/>
      <c r="G26" s="12">
        <f>IF(原始資料!$A26="","",IF(OR(C26="是",D26="是",E26="是",F26="是"),"剔除","保留"))</f>
        <v/>
      </c>
      <c r="H26" s="12">
        <f>IF(G26="保留",COUNTIF($G$2:G26,"保留"),"")</f>
        <v/>
      </c>
    </row>
    <row r="27">
      <c r="A27" s="12">
        <f>IF(原始資料!$A27="","",原始資料!$A27)</f>
        <v/>
      </c>
      <c r="B27" s="12">
        <f>IF(原始資料!$A27="","",MAX(連續計數!B27:BI27))</f>
        <v/>
      </c>
      <c r="C27" s="12">
        <f>IF(OR(原始資料!$A27="",設定!$B$4=""),"",IF(原始資料!$C27&lt;&gt;設定!$B$4,"是",""))</f>
        <v/>
      </c>
      <c r="D27" s="12">
        <f>IF(OR(原始資料!$A27="",設定!$B$5=""),"",IF(原始資料!$B27&lt;設定!$B$5,"是",""))</f>
        <v/>
      </c>
      <c r="E27" s="12">
        <f>IF(OR(原始資料!$A27="",設定!$B$6=""),"",IF(B27&gt;=設定!$B$6,"是",""))</f>
        <v/>
      </c>
      <c r="F27" s="13" t="n"/>
      <c r="G27" s="12">
        <f>IF(原始資料!$A27="","",IF(OR(C27="是",D27="是",E27="是",F27="是"),"剔除","保留"))</f>
        <v/>
      </c>
      <c r="H27" s="12">
        <f>IF(G27="保留",COUNTIF($G$2:G27,"保留"),"")</f>
        <v/>
      </c>
    </row>
    <row r="28">
      <c r="A28" s="12">
        <f>IF(原始資料!$A28="","",原始資料!$A28)</f>
        <v/>
      </c>
      <c r="B28" s="12">
        <f>IF(原始資料!$A28="","",MAX(連續計數!B28:BI28))</f>
        <v/>
      </c>
      <c r="C28" s="12">
        <f>IF(OR(原始資料!$A28="",設定!$B$4=""),"",IF(原始資料!$C28&lt;&gt;設定!$B$4,"是",""))</f>
        <v/>
      </c>
      <c r="D28" s="12">
        <f>IF(OR(原始資料!$A28="",設定!$B$5=""),"",IF(原始資料!$B28&lt;設定!$B$5,"是",""))</f>
        <v/>
      </c>
      <c r="E28" s="12">
        <f>IF(OR(原始資料!$A28="",設定!$B$6=""),"",IF(B28&gt;=設定!$B$6,"是",""))</f>
        <v/>
      </c>
      <c r="F28" s="13" t="n"/>
      <c r="G28" s="12">
        <f>IF(原始資料!$A28="","",IF(OR(C28="是",D28="是",E28="是",F28="是"),"剔除","保留"))</f>
        <v/>
      </c>
      <c r="H28" s="12">
        <f>IF(G28="保留",COUNTIF($G$2:G28,"保留"),"")</f>
        <v/>
      </c>
    </row>
    <row r="29">
      <c r="A29" s="12">
        <f>IF(原始資料!$A29="","",原始資料!$A29)</f>
        <v/>
      </c>
      <c r="B29" s="12">
        <f>IF(原始資料!$A29="","",MAX(連續計數!B29:BI29))</f>
        <v/>
      </c>
      <c r="C29" s="12">
        <f>IF(OR(原始資料!$A29="",設定!$B$4=""),"",IF(原始資料!$C29&lt;&gt;設定!$B$4,"是",""))</f>
        <v/>
      </c>
      <c r="D29" s="12">
        <f>IF(OR(原始資料!$A29="",設定!$B$5=""),"",IF(原始資料!$B29&lt;設定!$B$5,"是",""))</f>
        <v/>
      </c>
      <c r="E29" s="12">
        <f>IF(OR(原始資料!$A29="",設定!$B$6=""),"",IF(B29&gt;=設定!$B$6,"是",""))</f>
        <v/>
      </c>
      <c r="F29" s="13" t="n"/>
      <c r="G29" s="12">
        <f>IF(原始資料!$A29="","",IF(OR(C29="是",D29="是",E29="是",F29="是"),"剔除","保留"))</f>
        <v/>
      </c>
      <c r="H29" s="12">
        <f>IF(G29="保留",COUNTIF($G$2:G29,"保留"),"")</f>
        <v/>
      </c>
    </row>
    <row r="30">
      <c r="A30" s="12">
        <f>IF(原始資料!$A30="","",原始資料!$A30)</f>
        <v/>
      </c>
      <c r="B30" s="12">
        <f>IF(原始資料!$A30="","",MAX(連續計數!B30:BI30))</f>
        <v/>
      </c>
      <c r="C30" s="12">
        <f>IF(OR(原始資料!$A30="",設定!$B$4=""),"",IF(原始資料!$C30&lt;&gt;設定!$B$4,"是",""))</f>
        <v/>
      </c>
      <c r="D30" s="12">
        <f>IF(OR(原始資料!$A30="",設定!$B$5=""),"",IF(原始資料!$B30&lt;設定!$B$5,"是",""))</f>
        <v/>
      </c>
      <c r="E30" s="12">
        <f>IF(OR(原始資料!$A30="",設定!$B$6=""),"",IF(B30&gt;=設定!$B$6,"是",""))</f>
        <v/>
      </c>
      <c r="F30" s="13" t="n"/>
      <c r="G30" s="12">
        <f>IF(原始資料!$A30="","",IF(OR(C30="是",D30="是",E30="是",F30="是"),"剔除","保留"))</f>
        <v/>
      </c>
      <c r="H30" s="12">
        <f>IF(G30="保留",COUNTIF($G$2:G30,"保留"),"")</f>
        <v/>
      </c>
    </row>
    <row r="31">
      <c r="A31" s="12">
        <f>IF(原始資料!$A31="","",原始資料!$A31)</f>
        <v/>
      </c>
      <c r="B31" s="12">
        <f>IF(原始資料!$A31="","",MAX(連續計數!B31:BI31))</f>
        <v/>
      </c>
      <c r="C31" s="12">
        <f>IF(OR(原始資料!$A31="",設定!$B$4=""),"",IF(原始資料!$C31&lt;&gt;設定!$B$4,"是",""))</f>
        <v/>
      </c>
      <c r="D31" s="12">
        <f>IF(OR(原始資料!$A31="",設定!$B$5=""),"",IF(原始資料!$B31&lt;設定!$B$5,"是",""))</f>
        <v/>
      </c>
      <c r="E31" s="12">
        <f>IF(OR(原始資料!$A31="",設定!$B$6=""),"",IF(B31&gt;=設定!$B$6,"是",""))</f>
        <v/>
      </c>
      <c r="F31" s="13" t="n"/>
      <c r="G31" s="12">
        <f>IF(原始資料!$A31="","",IF(OR(C31="是",D31="是",E31="是",F31="是"),"剔除","保留"))</f>
        <v/>
      </c>
      <c r="H31" s="12">
        <f>IF(G31="保留",COUNTIF($G$2:G31,"保留"),"")</f>
        <v/>
      </c>
    </row>
    <row r="32">
      <c r="A32" s="12">
        <f>IF(原始資料!$A32="","",原始資料!$A32)</f>
        <v/>
      </c>
      <c r="B32" s="12">
        <f>IF(原始資料!$A32="","",MAX(連續計數!B32:BI32))</f>
        <v/>
      </c>
      <c r="C32" s="12">
        <f>IF(OR(原始資料!$A32="",設定!$B$4=""),"",IF(原始資料!$C32&lt;&gt;設定!$B$4,"是",""))</f>
        <v/>
      </c>
      <c r="D32" s="12">
        <f>IF(OR(原始資料!$A32="",設定!$B$5=""),"",IF(原始資料!$B32&lt;設定!$B$5,"是",""))</f>
        <v/>
      </c>
      <c r="E32" s="12">
        <f>IF(OR(原始資料!$A32="",設定!$B$6=""),"",IF(B32&gt;=設定!$B$6,"是",""))</f>
        <v/>
      </c>
      <c r="F32" s="13" t="n"/>
      <c r="G32" s="12">
        <f>IF(原始資料!$A32="","",IF(OR(C32="是",D32="是",E32="是",F32="是"),"剔除","保留"))</f>
        <v/>
      </c>
      <c r="H32" s="12">
        <f>IF(G32="保留",COUNTIF($G$2:G32,"保留"),"")</f>
        <v/>
      </c>
    </row>
    <row r="33">
      <c r="A33" s="12">
        <f>IF(原始資料!$A33="","",原始資料!$A33)</f>
        <v/>
      </c>
      <c r="B33" s="12">
        <f>IF(原始資料!$A33="","",MAX(連續計數!B33:BI33))</f>
        <v/>
      </c>
      <c r="C33" s="12">
        <f>IF(OR(原始資料!$A33="",設定!$B$4=""),"",IF(原始資料!$C33&lt;&gt;設定!$B$4,"是",""))</f>
        <v/>
      </c>
      <c r="D33" s="12">
        <f>IF(OR(原始資料!$A33="",設定!$B$5=""),"",IF(原始資料!$B33&lt;設定!$B$5,"是",""))</f>
        <v/>
      </c>
      <c r="E33" s="12">
        <f>IF(OR(原始資料!$A33="",設定!$B$6=""),"",IF(B33&gt;=設定!$B$6,"是",""))</f>
        <v/>
      </c>
      <c r="F33" s="13" t="n"/>
      <c r="G33" s="12">
        <f>IF(原始資料!$A33="","",IF(OR(C33="是",D33="是",E33="是",F33="是"),"剔除","保留"))</f>
        <v/>
      </c>
      <c r="H33" s="12">
        <f>IF(G33="保留",COUNTIF($G$2:G33,"保留"),"")</f>
        <v/>
      </c>
    </row>
    <row r="34">
      <c r="A34" s="12">
        <f>IF(原始資料!$A34="","",原始資料!$A34)</f>
        <v/>
      </c>
      <c r="B34" s="12">
        <f>IF(原始資料!$A34="","",MAX(連續計數!B34:BI34))</f>
        <v/>
      </c>
      <c r="C34" s="12">
        <f>IF(OR(原始資料!$A34="",設定!$B$4=""),"",IF(原始資料!$C34&lt;&gt;設定!$B$4,"是",""))</f>
        <v/>
      </c>
      <c r="D34" s="12">
        <f>IF(OR(原始資料!$A34="",設定!$B$5=""),"",IF(原始資料!$B34&lt;設定!$B$5,"是",""))</f>
        <v/>
      </c>
      <c r="E34" s="12">
        <f>IF(OR(原始資料!$A34="",設定!$B$6=""),"",IF(B34&gt;=設定!$B$6,"是",""))</f>
        <v/>
      </c>
      <c r="F34" s="13" t="n"/>
      <c r="G34" s="12">
        <f>IF(原始資料!$A34="","",IF(OR(C34="是",D34="是",E34="是",F34="是"),"剔除","保留"))</f>
        <v/>
      </c>
      <c r="H34" s="12">
        <f>IF(G34="保留",COUNTIF($G$2:G34,"保留"),"")</f>
        <v/>
      </c>
    </row>
    <row r="35">
      <c r="A35" s="12">
        <f>IF(原始資料!$A35="","",原始資料!$A35)</f>
        <v/>
      </c>
      <c r="B35" s="12">
        <f>IF(原始資料!$A35="","",MAX(連續計數!B35:BI35))</f>
        <v/>
      </c>
      <c r="C35" s="12">
        <f>IF(OR(原始資料!$A35="",設定!$B$4=""),"",IF(原始資料!$C35&lt;&gt;設定!$B$4,"是",""))</f>
        <v/>
      </c>
      <c r="D35" s="12">
        <f>IF(OR(原始資料!$A35="",設定!$B$5=""),"",IF(原始資料!$B35&lt;設定!$B$5,"是",""))</f>
        <v/>
      </c>
      <c r="E35" s="12">
        <f>IF(OR(原始資料!$A35="",設定!$B$6=""),"",IF(B35&gt;=設定!$B$6,"是",""))</f>
        <v/>
      </c>
      <c r="F35" s="13" t="n"/>
      <c r="G35" s="12">
        <f>IF(原始資料!$A35="","",IF(OR(C35="是",D35="是",E35="是",F35="是"),"剔除","保留"))</f>
        <v/>
      </c>
      <c r="H35" s="12">
        <f>IF(G35="保留",COUNTIF($G$2:G35,"保留"),"")</f>
        <v/>
      </c>
    </row>
    <row r="36">
      <c r="A36" s="12">
        <f>IF(原始資料!$A36="","",原始資料!$A36)</f>
        <v/>
      </c>
      <c r="B36" s="12">
        <f>IF(原始資料!$A36="","",MAX(連續計數!B36:BI36))</f>
        <v/>
      </c>
      <c r="C36" s="12">
        <f>IF(OR(原始資料!$A36="",設定!$B$4=""),"",IF(原始資料!$C36&lt;&gt;設定!$B$4,"是",""))</f>
        <v/>
      </c>
      <c r="D36" s="12">
        <f>IF(OR(原始資料!$A36="",設定!$B$5=""),"",IF(原始資料!$B36&lt;設定!$B$5,"是",""))</f>
        <v/>
      </c>
      <c r="E36" s="12">
        <f>IF(OR(原始資料!$A36="",設定!$B$6=""),"",IF(B36&gt;=設定!$B$6,"是",""))</f>
        <v/>
      </c>
      <c r="F36" s="13" t="n"/>
      <c r="G36" s="12">
        <f>IF(原始資料!$A36="","",IF(OR(C36="是",D36="是",E36="是",F36="是"),"剔除","保留"))</f>
        <v/>
      </c>
      <c r="H36" s="12">
        <f>IF(G36="保留",COUNTIF($G$2:G36,"保留"),"")</f>
        <v/>
      </c>
    </row>
    <row r="37">
      <c r="A37" s="12">
        <f>IF(原始資料!$A37="","",原始資料!$A37)</f>
        <v/>
      </c>
      <c r="B37" s="12">
        <f>IF(原始資料!$A37="","",MAX(連續計數!B37:BI37))</f>
        <v/>
      </c>
      <c r="C37" s="12">
        <f>IF(OR(原始資料!$A37="",設定!$B$4=""),"",IF(原始資料!$C37&lt;&gt;設定!$B$4,"是",""))</f>
        <v/>
      </c>
      <c r="D37" s="12">
        <f>IF(OR(原始資料!$A37="",設定!$B$5=""),"",IF(原始資料!$B37&lt;設定!$B$5,"是",""))</f>
        <v/>
      </c>
      <c r="E37" s="12">
        <f>IF(OR(原始資料!$A37="",設定!$B$6=""),"",IF(B37&gt;=設定!$B$6,"是",""))</f>
        <v/>
      </c>
      <c r="F37" s="13" t="n"/>
      <c r="G37" s="12">
        <f>IF(原始資料!$A37="","",IF(OR(C37="是",D37="是",E37="是",F37="是"),"剔除","保留"))</f>
        <v/>
      </c>
      <c r="H37" s="12">
        <f>IF(G37="保留",COUNTIF($G$2:G37,"保留"),"")</f>
        <v/>
      </c>
    </row>
    <row r="38">
      <c r="A38" s="12">
        <f>IF(原始資料!$A38="","",原始資料!$A38)</f>
        <v/>
      </c>
      <c r="B38" s="12">
        <f>IF(原始資料!$A38="","",MAX(連續計數!B38:BI38))</f>
        <v/>
      </c>
      <c r="C38" s="12">
        <f>IF(OR(原始資料!$A38="",設定!$B$4=""),"",IF(原始資料!$C38&lt;&gt;設定!$B$4,"是",""))</f>
        <v/>
      </c>
      <c r="D38" s="12">
        <f>IF(OR(原始資料!$A38="",設定!$B$5=""),"",IF(原始資料!$B38&lt;設定!$B$5,"是",""))</f>
        <v/>
      </c>
      <c r="E38" s="12">
        <f>IF(OR(原始資料!$A38="",設定!$B$6=""),"",IF(B38&gt;=設定!$B$6,"是",""))</f>
        <v/>
      </c>
      <c r="F38" s="13" t="n"/>
      <c r="G38" s="12">
        <f>IF(原始資料!$A38="","",IF(OR(C38="是",D38="是",E38="是",F38="是"),"剔除","保留"))</f>
        <v/>
      </c>
      <c r="H38" s="12">
        <f>IF(G38="保留",COUNTIF($G$2:G38,"保留"),"")</f>
        <v/>
      </c>
    </row>
    <row r="39">
      <c r="A39" s="12">
        <f>IF(原始資料!$A39="","",原始資料!$A39)</f>
        <v/>
      </c>
      <c r="B39" s="12">
        <f>IF(原始資料!$A39="","",MAX(連續計數!B39:BI39))</f>
        <v/>
      </c>
      <c r="C39" s="12">
        <f>IF(OR(原始資料!$A39="",設定!$B$4=""),"",IF(原始資料!$C39&lt;&gt;設定!$B$4,"是",""))</f>
        <v/>
      </c>
      <c r="D39" s="12">
        <f>IF(OR(原始資料!$A39="",設定!$B$5=""),"",IF(原始資料!$B39&lt;設定!$B$5,"是",""))</f>
        <v/>
      </c>
      <c r="E39" s="12">
        <f>IF(OR(原始資料!$A39="",設定!$B$6=""),"",IF(B39&gt;=設定!$B$6,"是",""))</f>
        <v/>
      </c>
      <c r="F39" s="13" t="n"/>
      <c r="G39" s="12">
        <f>IF(原始資料!$A39="","",IF(OR(C39="是",D39="是",E39="是",F39="是"),"剔除","保留"))</f>
        <v/>
      </c>
      <c r="H39" s="12">
        <f>IF(G39="保留",COUNTIF($G$2:G39,"保留"),"")</f>
        <v/>
      </c>
    </row>
    <row r="40">
      <c r="A40" s="12">
        <f>IF(原始資料!$A40="","",原始資料!$A40)</f>
        <v/>
      </c>
      <c r="B40" s="12">
        <f>IF(原始資料!$A40="","",MAX(連續計數!B40:BI40))</f>
        <v/>
      </c>
      <c r="C40" s="12">
        <f>IF(OR(原始資料!$A40="",設定!$B$4=""),"",IF(原始資料!$C40&lt;&gt;設定!$B$4,"是",""))</f>
        <v/>
      </c>
      <c r="D40" s="12">
        <f>IF(OR(原始資料!$A40="",設定!$B$5=""),"",IF(原始資料!$B40&lt;設定!$B$5,"是",""))</f>
        <v/>
      </c>
      <c r="E40" s="12">
        <f>IF(OR(原始資料!$A40="",設定!$B$6=""),"",IF(B40&gt;=設定!$B$6,"是",""))</f>
        <v/>
      </c>
      <c r="F40" s="13" t="n"/>
      <c r="G40" s="12">
        <f>IF(原始資料!$A40="","",IF(OR(C40="是",D40="是",E40="是",F40="是"),"剔除","保留"))</f>
        <v/>
      </c>
      <c r="H40" s="12">
        <f>IF(G40="保留",COUNTIF($G$2:G40,"保留"),"")</f>
        <v/>
      </c>
    </row>
    <row r="41">
      <c r="A41" s="12">
        <f>IF(原始資料!$A41="","",原始資料!$A41)</f>
        <v/>
      </c>
      <c r="B41" s="12">
        <f>IF(原始資料!$A41="","",MAX(連續計數!B41:BI41))</f>
        <v/>
      </c>
      <c r="C41" s="12">
        <f>IF(OR(原始資料!$A41="",設定!$B$4=""),"",IF(原始資料!$C41&lt;&gt;設定!$B$4,"是",""))</f>
        <v/>
      </c>
      <c r="D41" s="12">
        <f>IF(OR(原始資料!$A41="",設定!$B$5=""),"",IF(原始資料!$B41&lt;設定!$B$5,"是",""))</f>
        <v/>
      </c>
      <c r="E41" s="12">
        <f>IF(OR(原始資料!$A41="",設定!$B$6=""),"",IF(B41&gt;=設定!$B$6,"是",""))</f>
        <v/>
      </c>
      <c r="F41" s="13" t="n"/>
      <c r="G41" s="12">
        <f>IF(原始資料!$A41="","",IF(OR(C41="是",D41="是",E41="是",F41="是"),"剔除","保留"))</f>
        <v/>
      </c>
      <c r="H41" s="12">
        <f>IF(G41="保留",COUNTIF($G$2:G41,"保留"),"")</f>
        <v/>
      </c>
    </row>
    <row r="42">
      <c r="A42" s="12">
        <f>IF(原始資料!$A42="","",原始資料!$A42)</f>
        <v/>
      </c>
      <c r="B42" s="12">
        <f>IF(原始資料!$A42="","",MAX(連續計數!B42:BI42))</f>
        <v/>
      </c>
      <c r="C42" s="12">
        <f>IF(OR(原始資料!$A42="",設定!$B$4=""),"",IF(原始資料!$C42&lt;&gt;設定!$B$4,"是",""))</f>
        <v/>
      </c>
      <c r="D42" s="12">
        <f>IF(OR(原始資料!$A42="",設定!$B$5=""),"",IF(原始資料!$B42&lt;設定!$B$5,"是",""))</f>
        <v/>
      </c>
      <c r="E42" s="12">
        <f>IF(OR(原始資料!$A42="",設定!$B$6=""),"",IF(B42&gt;=設定!$B$6,"是",""))</f>
        <v/>
      </c>
      <c r="F42" s="13" t="n"/>
      <c r="G42" s="12">
        <f>IF(原始資料!$A42="","",IF(OR(C42="是",D42="是",E42="是",F42="是"),"剔除","保留"))</f>
        <v/>
      </c>
      <c r="H42" s="12">
        <f>IF(G42="保留",COUNTIF($G$2:G42,"保留"),"")</f>
        <v/>
      </c>
    </row>
    <row r="43">
      <c r="A43" s="12">
        <f>IF(原始資料!$A43="","",原始資料!$A43)</f>
        <v/>
      </c>
      <c r="B43" s="12">
        <f>IF(原始資料!$A43="","",MAX(連續計數!B43:BI43))</f>
        <v/>
      </c>
      <c r="C43" s="12">
        <f>IF(OR(原始資料!$A43="",設定!$B$4=""),"",IF(原始資料!$C43&lt;&gt;設定!$B$4,"是",""))</f>
        <v/>
      </c>
      <c r="D43" s="12">
        <f>IF(OR(原始資料!$A43="",設定!$B$5=""),"",IF(原始資料!$B43&lt;設定!$B$5,"是",""))</f>
        <v/>
      </c>
      <c r="E43" s="12">
        <f>IF(OR(原始資料!$A43="",設定!$B$6=""),"",IF(B43&gt;=設定!$B$6,"是",""))</f>
        <v/>
      </c>
      <c r="F43" s="13" t="n"/>
      <c r="G43" s="12">
        <f>IF(原始資料!$A43="","",IF(OR(C43="是",D43="是",E43="是",F43="是"),"剔除","保留"))</f>
        <v/>
      </c>
      <c r="H43" s="12">
        <f>IF(G43="保留",COUNTIF($G$2:G43,"保留"),"")</f>
        <v/>
      </c>
    </row>
    <row r="44">
      <c r="A44" s="12">
        <f>IF(原始資料!$A44="","",原始資料!$A44)</f>
        <v/>
      </c>
      <c r="B44" s="12">
        <f>IF(原始資料!$A44="","",MAX(連續計數!B44:BI44))</f>
        <v/>
      </c>
      <c r="C44" s="12">
        <f>IF(OR(原始資料!$A44="",設定!$B$4=""),"",IF(原始資料!$C44&lt;&gt;設定!$B$4,"是",""))</f>
        <v/>
      </c>
      <c r="D44" s="12">
        <f>IF(OR(原始資料!$A44="",設定!$B$5=""),"",IF(原始資料!$B44&lt;設定!$B$5,"是",""))</f>
        <v/>
      </c>
      <c r="E44" s="12">
        <f>IF(OR(原始資料!$A44="",設定!$B$6=""),"",IF(B44&gt;=設定!$B$6,"是",""))</f>
        <v/>
      </c>
      <c r="F44" s="13" t="n"/>
      <c r="G44" s="12">
        <f>IF(原始資料!$A44="","",IF(OR(C44="是",D44="是",E44="是",F44="是"),"剔除","保留"))</f>
        <v/>
      </c>
      <c r="H44" s="12">
        <f>IF(G44="保留",COUNTIF($G$2:G44,"保留"),"")</f>
        <v/>
      </c>
    </row>
    <row r="45">
      <c r="A45" s="12">
        <f>IF(原始資料!$A45="","",原始資料!$A45)</f>
        <v/>
      </c>
      <c r="B45" s="12">
        <f>IF(原始資料!$A45="","",MAX(連續計數!B45:BI45))</f>
        <v/>
      </c>
      <c r="C45" s="12">
        <f>IF(OR(原始資料!$A45="",設定!$B$4=""),"",IF(原始資料!$C45&lt;&gt;設定!$B$4,"是",""))</f>
        <v/>
      </c>
      <c r="D45" s="12">
        <f>IF(OR(原始資料!$A45="",設定!$B$5=""),"",IF(原始資料!$B45&lt;設定!$B$5,"是",""))</f>
        <v/>
      </c>
      <c r="E45" s="12">
        <f>IF(OR(原始資料!$A45="",設定!$B$6=""),"",IF(B45&gt;=設定!$B$6,"是",""))</f>
        <v/>
      </c>
      <c r="F45" s="13" t="n"/>
      <c r="G45" s="12">
        <f>IF(原始資料!$A45="","",IF(OR(C45="是",D45="是",E45="是",F45="是"),"剔除","保留"))</f>
        <v/>
      </c>
      <c r="H45" s="12">
        <f>IF(G45="保留",COUNTIF($G$2:G45,"保留"),"")</f>
        <v/>
      </c>
    </row>
    <row r="46">
      <c r="A46" s="12">
        <f>IF(原始資料!$A46="","",原始資料!$A46)</f>
        <v/>
      </c>
      <c r="B46" s="12">
        <f>IF(原始資料!$A46="","",MAX(連續計數!B46:BI46))</f>
        <v/>
      </c>
      <c r="C46" s="12">
        <f>IF(OR(原始資料!$A46="",設定!$B$4=""),"",IF(原始資料!$C46&lt;&gt;設定!$B$4,"是",""))</f>
        <v/>
      </c>
      <c r="D46" s="12">
        <f>IF(OR(原始資料!$A46="",設定!$B$5=""),"",IF(原始資料!$B46&lt;設定!$B$5,"是",""))</f>
        <v/>
      </c>
      <c r="E46" s="12">
        <f>IF(OR(原始資料!$A46="",設定!$B$6=""),"",IF(B46&gt;=設定!$B$6,"是",""))</f>
        <v/>
      </c>
      <c r="F46" s="13" t="n"/>
      <c r="G46" s="12">
        <f>IF(原始資料!$A46="","",IF(OR(C46="是",D46="是",E46="是",F46="是"),"剔除","保留"))</f>
        <v/>
      </c>
      <c r="H46" s="12">
        <f>IF(G46="保留",COUNTIF($G$2:G46,"保留"),"")</f>
        <v/>
      </c>
    </row>
    <row r="47">
      <c r="A47" s="12">
        <f>IF(原始資料!$A47="","",原始資料!$A47)</f>
        <v/>
      </c>
      <c r="B47" s="12">
        <f>IF(原始資料!$A47="","",MAX(連續計數!B47:BI47))</f>
        <v/>
      </c>
      <c r="C47" s="12">
        <f>IF(OR(原始資料!$A47="",設定!$B$4=""),"",IF(原始資料!$C47&lt;&gt;設定!$B$4,"是",""))</f>
        <v/>
      </c>
      <c r="D47" s="12">
        <f>IF(OR(原始資料!$A47="",設定!$B$5=""),"",IF(原始資料!$B47&lt;設定!$B$5,"是",""))</f>
        <v/>
      </c>
      <c r="E47" s="12">
        <f>IF(OR(原始資料!$A47="",設定!$B$6=""),"",IF(B47&gt;=設定!$B$6,"是",""))</f>
        <v/>
      </c>
      <c r="F47" s="13" t="n"/>
      <c r="G47" s="12">
        <f>IF(原始資料!$A47="","",IF(OR(C47="是",D47="是",E47="是",F47="是"),"剔除","保留"))</f>
        <v/>
      </c>
      <c r="H47" s="12">
        <f>IF(G47="保留",COUNTIF($G$2:G47,"保留"),"")</f>
        <v/>
      </c>
    </row>
    <row r="48">
      <c r="A48" s="12">
        <f>IF(原始資料!$A48="","",原始資料!$A48)</f>
        <v/>
      </c>
      <c r="B48" s="12">
        <f>IF(原始資料!$A48="","",MAX(連續計數!B48:BI48))</f>
        <v/>
      </c>
      <c r="C48" s="12">
        <f>IF(OR(原始資料!$A48="",設定!$B$4=""),"",IF(原始資料!$C48&lt;&gt;設定!$B$4,"是",""))</f>
        <v/>
      </c>
      <c r="D48" s="12">
        <f>IF(OR(原始資料!$A48="",設定!$B$5=""),"",IF(原始資料!$B48&lt;設定!$B$5,"是",""))</f>
        <v/>
      </c>
      <c r="E48" s="12">
        <f>IF(OR(原始資料!$A48="",設定!$B$6=""),"",IF(B48&gt;=設定!$B$6,"是",""))</f>
        <v/>
      </c>
      <c r="F48" s="13" t="n"/>
      <c r="G48" s="12">
        <f>IF(原始資料!$A48="","",IF(OR(C48="是",D48="是",E48="是",F48="是"),"剔除","保留"))</f>
        <v/>
      </c>
      <c r="H48" s="12">
        <f>IF(G48="保留",COUNTIF($G$2:G48,"保留"),"")</f>
        <v/>
      </c>
    </row>
    <row r="49">
      <c r="A49" s="12">
        <f>IF(原始資料!$A49="","",原始資料!$A49)</f>
        <v/>
      </c>
      <c r="B49" s="12">
        <f>IF(原始資料!$A49="","",MAX(連續計數!B49:BI49))</f>
        <v/>
      </c>
      <c r="C49" s="12">
        <f>IF(OR(原始資料!$A49="",設定!$B$4=""),"",IF(原始資料!$C49&lt;&gt;設定!$B$4,"是",""))</f>
        <v/>
      </c>
      <c r="D49" s="12">
        <f>IF(OR(原始資料!$A49="",設定!$B$5=""),"",IF(原始資料!$B49&lt;設定!$B$5,"是",""))</f>
        <v/>
      </c>
      <c r="E49" s="12">
        <f>IF(OR(原始資料!$A49="",設定!$B$6=""),"",IF(B49&gt;=設定!$B$6,"是",""))</f>
        <v/>
      </c>
      <c r="F49" s="13" t="n"/>
      <c r="G49" s="12">
        <f>IF(原始資料!$A49="","",IF(OR(C49="是",D49="是",E49="是",F49="是"),"剔除","保留"))</f>
        <v/>
      </c>
      <c r="H49" s="12">
        <f>IF(G49="保留",COUNTIF($G$2:G49,"保留"),"")</f>
        <v/>
      </c>
    </row>
    <row r="50">
      <c r="A50" s="12">
        <f>IF(原始資料!$A50="","",原始資料!$A50)</f>
        <v/>
      </c>
      <c r="B50" s="12">
        <f>IF(原始資料!$A50="","",MAX(連續計數!B50:BI50))</f>
        <v/>
      </c>
      <c r="C50" s="12">
        <f>IF(OR(原始資料!$A50="",設定!$B$4=""),"",IF(原始資料!$C50&lt;&gt;設定!$B$4,"是",""))</f>
        <v/>
      </c>
      <c r="D50" s="12">
        <f>IF(OR(原始資料!$A50="",設定!$B$5=""),"",IF(原始資料!$B50&lt;設定!$B$5,"是",""))</f>
        <v/>
      </c>
      <c r="E50" s="12">
        <f>IF(OR(原始資料!$A50="",設定!$B$6=""),"",IF(B50&gt;=設定!$B$6,"是",""))</f>
        <v/>
      </c>
      <c r="F50" s="13" t="n"/>
      <c r="G50" s="12">
        <f>IF(原始資料!$A50="","",IF(OR(C50="是",D50="是",E50="是",F50="是"),"剔除","保留"))</f>
        <v/>
      </c>
      <c r="H50" s="12">
        <f>IF(G50="保留",COUNTIF($G$2:G50,"保留"),"")</f>
        <v/>
      </c>
    </row>
    <row r="51">
      <c r="A51" s="12">
        <f>IF(原始資料!$A51="","",原始資料!$A51)</f>
        <v/>
      </c>
      <c r="B51" s="12">
        <f>IF(原始資料!$A51="","",MAX(連續計數!B51:BI51))</f>
        <v/>
      </c>
      <c r="C51" s="12">
        <f>IF(OR(原始資料!$A51="",設定!$B$4=""),"",IF(原始資料!$C51&lt;&gt;設定!$B$4,"是",""))</f>
        <v/>
      </c>
      <c r="D51" s="12">
        <f>IF(OR(原始資料!$A51="",設定!$B$5=""),"",IF(原始資料!$B51&lt;設定!$B$5,"是",""))</f>
        <v/>
      </c>
      <c r="E51" s="12">
        <f>IF(OR(原始資料!$A51="",設定!$B$6=""),"",IF(B51&gt;=設定!$B$6,"是",""))</f>
        <v/>
      </c>
      <c r="F51" s="13" t="n"/>
      <c r="G51" s="12">
        <f>IF(原始資料!$A51="","",IF(OR(C51="是",D51="是",E51="是",F51="是"),"剔除","保留"))</f>
        <v/>
      </c>
      <c r="H51" s="12">
        <f>IF(G51="保留",COUNTIF($G$2:G51,"保留"),"")</f>
        <v/>
      </c>
    </row>
    <row r="52">
      <c r="A52" s="12">
        <f>IF(原始資料!$A52="","",原始資料!$A52)</f>
        <v/>
      </c>
      <c r="B52" s="12">
        <f>IF(原始資料!$A52="","",MAX(連續計數!B52:BI52))</f>
        <v/>
      </c>
      <c r="C52" s="12">
        <f>IF(OR(原始資料!$A52="",設定!$B$4=""),"",IF(原始資料!$C52&lt;&gt;設定!$B$4,"是",""))</f>
        <v/>
      </c>
      <c r="D52" s="12">
        <f>IF(OR(原始資料!$A52="",設定!$B$5=""),"",IF(原始資料!$B52&lt;設定!$B$5,"是",""))</f>
        <v/>
      </c>
      <c r="E52" s="12">
        <f>IF(OR(原始資料!$A52="",設定!$B$6=""),"",IF(B52&gt;=設定!$B$6,"是",""))</f>
        <v/>
      </c>
      <c r="F52" s="13" t="n"/>
      <c r="G52" s="12">
        <f>IF(原始資料!$A52="","",IF(OR(C52="是",D52="是",E52="是",F52="是"),"剔除","保留"))</f>
        <v/>
      </c>
      <c r="H52" s="12">
        <f>IF(G52="保留",COUNTIF($G$2:G52,"保留"),"")</f>
        <v/>
      </c>
    </row>
    <row r="53">
      <c r="A53" s="12">
        <f>IF(原始資料!$A53="","",原始資料!$A53)</f>
        <v/>
      </c>
      <c r="B53" s="12">
        <f>IF(原始資料!$A53="","",MAX(連續計數!B53:BI53))</f>
        <v/>
      </c>
      <c r="C53" s="12">
        <f>IF(OR(原始資料!$A53="",設定!$B$4=""),"",IF(原始資料!$C53&lt;&gt;設定!$B$4,"是",""))</f>
        <v/>
      </c>
      <c r="D53" s="12">
        <f>IF(OR(原始資料!$A53="",設定!$B$5=""),"",IF(原始資料!$B53&lt;設定!$B$5,"是",""))</f>
        <v/>
      </c>
      <c r="E53" s="12">
        <f>IF(OR(原始資料!$A53="",設定!$B$6=""),"",IF(B53&gt;=設定!$B$6,"是",""))</f>
        <v/>
      </c>
      <c r="F53" s="13" t="n"/>
      <c r="G53" s="12">
        <f>IF(原始資料!$A53="","",IF(OR(C53="是",D53="是",E53="是",F53="是"),"剔除","保留"))</f>
        <v/>
      </c>
      <c r="H53" s="12">
        <f>IF(G53="保留",COUNTIF($G$2:G53,"保留"),"")</f>
        <v/>
      </c>
    </row>
    <row r="54">
      <c r="A54" s="12">
        <f>IF(原始資料!$A54="","",原始資料!$A54)</f>
        <v/>
      </c>
      <c r="B54" s="12">
        <f>IF(原始資料!$A54="","",MAX(連續計數!B54:BI54))</f>
        <v/>
      </c>
      <c r="C54" s="12">
        <f>IF(OR(原始資料!$A54="",設定!$B$4=""),"",IF(原始資料!$C54&lt;&gt;設定!$B$4,"是",""))</f>
        <v/>
      </c>
      <c r="D54" s="12">
        <f>IF(OR(原始資料!$A54="",設定!$B$5=""),"",IF(原始資料!$B54&lt;設定!$B$5,"是",""))</f>
        <v/>
      </c>
      <c r="E54" s="12">
        <f>IF(OR(原始資料!$A54="",設定!$B$6=""),"",IF(B54&gt;=設定!$B$6,"是",""))</f>
        <v/>
      </c>
      <c r="F54" s="13" t="n"/>
      <c r="G54" s="12">
        <f>IF(原始資料!$A54="","",IF(OR(C54="是",D54="是",E54="是",F54="是"),"剔除","保留"))</f>
        <v/>
      </c>
      <c r="H54" s="12">
        <f>IF(G54="保留",COUNTIF($G$2:G54,"保留"),"")</f>
        <v/>
      </c>
    </row>
    <row r="55">
      <c r="A55" s="12">
        <f>IF(原始資料!$A55="","",原始資料!$A55)</f>
        <v/>
      </c>
      <c r="B55" s="12">
        <f>IF(原始資料!$A55="","",MAX(連續計數!B55:BI55))</f>
        <v/>
      </c>
      <c r="C55" s="12">
        <f>IF(OR(原始資料!$A55="",設定!$B$4=""),"",IF(原始資料!$C55&lt;&gt;設定!$B$4,"是",""))</f>
        <v/>
      </c>
      <c r="D55" s="12">
        <f>IF(OR(原始資料!$A55="",設定!$B$5=""),"",IF(原始資料!$B55&lt;設定!$B$5,"是",""))</f>
        <v/>
      </c>
      <c r="E55" s="12">
        <f>IF(OR(原始資料!$A55="",設定!$B$6=""),"",IF(B55&gt;=設定!$B$6,"是",""))</f>
        <v/>
      </c>
      <c r="F55" s="13" t="n"/>
      <c r="G55" s="12">
        <f>IF(原始資料!$A55="","",IF(OR(C55="是",D55="是",E55="是",F55="是"),"剔除","保留"))</f>
        <v/>
      </c>
      <c r="H55" s="12">
        <f>IF(G55="保留",COUNTIF($G$2:G55,"保留"),"")</f>
        <v/>
      </c>
    </row>
    <row r="56">
      <c r="A56" s="12">
        <f>IF(原始資料!$A56="","",原始資料!$A56)</f>
        <v/>
      </c>
      <c r="B56" s="12">
        <f>IF(原始資料!$A56="","",MAX(連續計數!B56:BI56))</f>
        <v/>
      </c>
      <c r="C56" s="12">
        <f>IF(OR(原始資料!$A56="",設定!$B$4=""),"",IF(原始資料!$C56&lt;&gt;設定!$B$4,"是",""))</f>
        <v/>
      </c>
      <c r="D56" s="12">
        <f>IF(OR(原始資料!$A56="",設定!$B$5=""),"",IF(原始資料!$B56&lt;設定!$B$5,"是",""))</f>
        <v/>
      </c>
      <c r="E56" s="12">
        <f>IF(OR(原始資料!$A56="",設定!$B$6=""),"",IF(B56&gt;=設定!$B$6,"是",""))</f>
        <v/>
      </c>
      <c r="F56" s="13" t="n"/>
      <c r="G56" s="12">
        <f>IF(原始資料!$A56="","",IF(OR(C56="是",D56="是",E56="是",F56="是"),"剔除","保留"))</f>
        <v/>
      </c>
      <c r="H56" s="12">
        <f>IF(G56="保留",COUNTIF($G$2:G56,"保留"),"")</f>
        <v/>
      </c>
    </row>
    <row r="57">
      <c r="A57" s="12">
        <f>IF(原始資料!$A57="","",原始資料!$A57)</f>
        <v/>
      </c>
      <c r="B57" s="12">
        <f>IF(原始資料!$A57="","",MAX(連續計數!B57:BI57))</f>
        <v/>
      </c>
      <c r="C57" s="12">
        <f>IF(OR(原始資料!$A57="",設定!$B$4=""),"",IF(原始資料!$C57&lt;&gt;設定!$B$4,"是",""))</f>
        <v/>
      </c>
      <c r="D57" s="12">
        <f>IF(OR(原始資料!$A57="",設定!$B$5=""),"",IF(原始資料!$B57&lt;設定!$B$5,"是",""))</f>
        <v/>
      </c>
      <c r="E57" s="12">
        <f>IF(OR(原始資料!$A57="",設定!$B$6=""),"",IF(B57&gt;=設定!$B$6,"是",""))</f>
        <v/>
      </c>
      <c r="F57" s="13" t="n"/>
      <c r="G57" s="12">
        <f>IF(原始資料!$A57="","",IF(OR(C57="是",D57="是",E57="是",F57="是"),"剔除","保留"))</f>
        <v/>
      </c>
      <c r="H57" s="12">
        <f>IF(G57="保留",COUNTIF($G$2:G57,"保留"),"")</f>
        <v/>
      </c>
    </row>
    <row r="58">
      <c r="A58" s="12">
        <f>IF(原始資料!$A58="","",原始資料!$A58)</f>
        <v/>
      </c>
      <c r="B58" s="12">
        <f>IF(原始資料!$A58="","",MAX(連續計數!B58:BI58))</f>
        <v/>
      </c>
      <c r="C58" s="12">
        <f>IF(OR(原始資料!$A58="",設定!$B$4=""),"",IF(原始資料!$C58&lt;&gt;設定!$B$4,"是",""))</f>
        <v/>
      </c>
      <c r="D58" s="12">
        <f>IF(OR(原始資料!$A58="",設定!$B$5=""),"",IF(原始資料!$B58&lt;設定!$B$5,"是",""))</f>
        <v/>
      </c>
      <c r="E58" s="12">
        <f>IF(OR(原始資料!$A58="",設定!$B$6=""),"",IF(B58&gt;=設定!$B$6,"是",""))</f>
        <v/>
      </c>
      <c r="F58" s="13" t="n"/>
      <c r="G58" s="12">
        <f>IF(原始資料!$A58="","",IF(OR(C58="是",D58="是",E58="是",F58="是"),"剔除","保留"))</f>
        <v/>
      </c>
      <c r="H58" s="12">
        <f>IF(G58="保留",COUNTIF($G$2:G58,"保留"),"")</f>
        <v/>
      </c>
    </row>
    <row r="59">
      <c r="A59" s="12">
        <f>IF(原始資料!$A59="","",原始資料!$A59)</f>
        <v/>
      </c>
      <c r="B59" s="12">
        <f>IF(原始資料!$A59="","",MAX(連續計數!B59:BI59))</f>
        <v/>
      </c>
      <c r="C59" s="12">
        <f>IF(OR(原始資料!$A59="",設定!$B$4=""),"",IF(原始資料!$C59&lt;&gt;設定!$B$4,"是",""))</f>
        <v/>
      </c>
      <c r="D59" s="12">
        <f>IF(OR(原始資料!$A59="",設定!$B$5=""),"",IF(原始資料!$B59&lt;設定!$B$5,"是",""))</f>
        <v/>
      </c>
      <c r="E59" s="12">
        <f>IF(OR(原始資料!$A59="",設定!$B$6=""),"",IF(B59&gt;=設定!$B$6,"是",""))</f>
        <v/>
      </c>
      <c r="F59" s="13" t="n"/>
      <c r="G59" s="12">
        <f>IF(原始資料!$A59="","",IF(OR(C59="是",D59="是",E59="是",F59="是"),"剔除","保留"))</f>
        <v/>
      </c>
      <c r="H59" s="12">
        <f>IF(G59="保留",COUNTIF($G$2:G59,"保留"),"")</f>
        <v/>
      </c>
    </row>
    <row r="60">
      <c r="A60" s="12">
        <f>IF(原始資料!$A60="","",原始資料!$A60)</f>
        <v/>
      </c>
      <c r="B60" s="12">
        <f>IF(原始資料!$A60="","",MAX(連續計數!B60:BI60))</f>
        <v/>
      </c>
      <c r="C60" s="12">
        <f>IF(OR(原始資料!$A60="",設定!$B$4=""),"",IF(原始資料!$C60&lt;&gt;設定!$B$4,"是",""))</f>
        <v/>
      </c>
      <c r="D60" s="12">
        <f>IF(OR(原始資料!$A60="",設定!$B$5=""),"",IF(原始資料!$B60&lt;設定!$B$5,"是",""))</f>
        <v/>
      </c>
      <c r="E60" s="12">
        <f>IF(OR(原始資料!$A60="",設定!$B$6=""),"",IF(B60&gt;=設定!$B$6,"是",""))</f>
        <v/>
      </c>
      <c r="F60" s="13" t="n"/>
      <c r="G60" s="12">
        <f>IF(原始資料!$A60="","",IF(OR(C60="是",D60="是",E60="是",F60="是"),"剔除","保留"))</f>
        <v/>
      </c>
      <c r="H60" s="12">
        <f>IF(G60="保留",COUNTIF($G$2:G60,"保留"),"")</f>
        <v/>
      </c>
    </row>
    <row r="61">
      <c r="A61" s="12">
        <f>IF(原始資料!$A61="","",原始資料!$A61)</f>
        <v/>
      </c>
      <c r="B61" s="12">
        <f>IF(原始資料!$A61="","",MAX(連續計數!B61:BI61))</f>
        <v/>
      </c>
      <c r="C61" s="12">
        <f>IF(OR(原始資料!$A61="",設定!$B$4=""),"",IF(原始資料!$C61&lt;&gt;設定!$B$4,"是",""))</f>
        <v/>
      </c>
      <c r="D61" s="12">
        <f>IF(OR(原始資料!$A61="",設定!$B$5=""),"",IF(原始資料!$B61&lt;設定!$B$5,"是",""))</f>
        <v/>
      </c>
      <c r="E61" s="12">
        <f>IF(OR(原始資料!$A61="",設定!$B$6=""),"",IF(B61&gt;=設定!$B$6,"是",""))</f>
        <v/>
      </c>
      <c r="F61" s="13" t="n"/>
      <c r="G61" s="12">
        <f>IF(原始資料!$A61="","",IF(OR(C61="是",D61="是",E61="是",F61="是"),"剔除","保留"))</f>
        <v/>
      </c>
      <c r="H61" s="12">
        <f>IF(G61="保留",COUNTIF($G$2:G61,"保留"),"")</f>
        <v/>
      </c>
    </row>
    <row r="62">
      <c r="A62" s="12">
        <f>IF(原始資料!$A62="","",原始資料!$A62)</f>
        <v/>
      </c>
      <c r="B62" s="12">
        <f>IF(原始資料!$A62="","",MAX(連續計數!B62:BI62))</f>
        <v/>
      </c>
      <c r="C62" s="12">
        <f>IF(OR(原始資料!$A62="",設定!$B$4=""),"",IF(原始資料!$C62&lt;&gt;設定!$B$4,"是",""))</f>
        <v/>
      </c>
      <c r="D62" s="12">
        <f>IF(OR(原始資料!$A62="",設定!$B$5=""),"",IF(原始資料!$B62&lt;設定!$B$5,"是",""))</f>
        <v/>
      </c>
      <c r="E62" s="12">
        <f>IF(OR(原始資料!$A62="",設定!$B$6=""),"",IF(B62&gt;=設定!$B$6,"是",""))</f>
        <v/>
      </c>
      <c r="F62" s="13" t="n"/>
      <c r="G62" s="12">
        <f>IF(原始資料!$A62="","",IF(OR(C62="是",D62="是",E62="是",F62="是"),"剔除","保留"))</f>
        <v/>
      </c>
      <c r="H62" s="12">
        <f>IF(G62="保留",COUNTIF($G$2:G62,"保留"),"")</f>
        <v/>
      </c>
    </row>
    <row r="63">
      <c r="A63" s="12">
        <f>IF(原始資料!$A63="","",原始資料!$A63)</f>
        <v/>
      </c>
      <c r="B63" s="12">
        <f>IF(原始資料!$A63="","",MAX(連續計數!B63:BI63))</f>
        <v/>
      </c>
      <c r="C63" s="12">
        <f>IF(OR(原始資料!$A63="",設定!$B$4=""),"",IF(原始資料!$C63&lt;&gt;設定!$B$4,"是",""))</f>
        <v/>
      </c>
      <c r="D63" s="12">
        <f>IF(OR(原始資料!$A63="",設定!$B$5=""),"",IF(原始資料!$B63&lt;設定!$B$5,"是",""))</f>
        <v/>
      </c>
      <c r="E63" s="12">
        <f>IF(OR(原始資料!$A63="",設定!$B$6=""),"",IF(B63&gt;=設定!$B$6,"是",""))</f>
        <v/>
      </c>
      <c r="F63" s="13" t="n"/>
      <c r="G63" s="12">
        <f>IF(原始資料!$A63="","",IF(OR(C63="是",D63="是",E63="是",F63="是"),"剔除","保留"))</f>
        <v/>
      </c>
      <c r="H63" s="12">
        <f>IF(G63="保留",COUNTIF($G$2:G63,"保留"),"")</f>
        <v/>
      </c>
    </row>
    <row r="64">
      <c r="A64" s="12">
        <f>IF(原始資料!$A64="","",原始資料!$A64)</f>
        <v/>
      </c>
      <c r="B64" s="12">
        <f>IF(原始資料!$A64="","",MAX(連續計數!B64:BI64))</f>
        <v/>
      </c>
      <c r="C64" s="12">
        <f>IF(OR(原始資料!$A64="",設定!$B$4=""),"",IF(原始資料!$C64&lt;&gt;設定!$B$4,"是",""))</f>
        <v/>
      </c>
      <c r="D64" s="12">
        <f>IF(OR(原始資料!$A64="",設定!$B$5=""),"",IF(原始資料!$B64&lt;設定!$B$5,"是",""))</f>
        <v/>
      </c>
      <c r="E64" s="12">
        <f>IF(OR(原始資料!$A64="",設定!$B$6=""),"",IF(B64&gt;=設定!$B$6,"是",""))</f>
        <v/>
      </c>
      <c r="F64" s="13" t="n"/>
      <c r="G64" s="12">
        <f>IF(原始資料!$A64="","",IF(OR(C64="是",D64="是",E64="是",F64="是"),"剔除","保留"))</f>
        <v/>
      </c>
      <c r="H64" s="12">
        <f>IF(G64="保留",COUNTIF($G$2:G64,"保留"),"")</f>
        <v/>
      </c>
    </row>
    <row r="65">
      <c r="A65" s="12">
        <f>IF(原始資料!$A65="","",原始資料!$A65)</f>
        <v/>
      </c>
      <c r="B65" s="12">
        <f>IF(原始資料!$A65="","",MAX(連續計數!B65:BI65))</f>
        <v/>
      </c>
      <c r="C65" s="12">
        <f>IF(OR(原始資料!$A65="",設定!$B$4=""),"",IF(原始資料!$C65&lt;&gt;設定!$B$4,"是",""))</f>
        <v/>
      </c>
      <c r="D65" s="12">
        <f>IF(OR(原始資料!$A65="",設定!$B$5=""),"",IF(原始資料!$B65&lt;設定!$B$5,"是",""))</f>
        <v/>
      </c>
      <c r="E65" s="12">
        <f>IF(OR(原始資料!$A65="",設定!$B$6=""),"",IF(B65&gt;=設定!$B$6,"是",""))</f>
        <v/>
      </c>
      <c r="F65" s="13" t="n"/>
      <c r="G65" s="12">
        <f>IF(原始資料!$A65="","",IF(OR(C65="是",D65="是",E65="是",F65="是"),"剔除","保留"))</f>
        <v/>
      </c>
      <c r="H65" s="12">
        <f>IF(G65="保留",COUNTIF($G$2:G65,"保留"),"")</f>
        <v/>
      </c>
    </row>
    <row r="66">
      <c r="A66" s="12">
        <f>IF(原始資料!$A66="","",原始資料!$A66)</f>
        <v/>
      </c>
      <c r="B66" s="12">
        <f>IF(原始資料!$A66="","",MAX(連續計數!B66:BI66))</f>
        <v/>
      </c>
      <c r="C66" s="12">
        <f>IF(OR(原始資料!$A66="",設定!$B$4=""),"",IF(原始資料!$C66&lt;&gt;設定!$B$4,"是",""))</f>
        <v/>
      </c>
      <c r="D66" s="12">
        <f>IF(OR(原始資料!$A66="",設定!$B$5=""),"",IF(原始資料!$B66&lt;設定!$B$5,"是",""))</f>
        <v/>
      </c>
      <c r="E66" s="12">
        <f>IF(OR(原始資料!$A66="",設定!$B$6=""),"",IF(B66&gt;=設定!$B$6,"是",""))</f>
        <v/>
      </c>
      <c r="F66" s="13" t="n"/>
      <c r="G66" s="12">
        <f>IF(原始資料!$A66="","",IF(OR(C66="是",D66="是",E66="是",F66="是"),"剔除","保留"))</f>
        <v/>
      </c>
      <c r="H66" s="12">
        <f>IF(G66="保留",COUNTIF($G$2:G66,"保留"),"")</f>
        <v/>
      </c>
    </row>
    <row r="67">
      <c r="A67" s="12">
        <f>IF(原始資料!$A67="","",原始資料!$A67)</f>
        <v/>
      </c>
      <c r="B67" s="12">
        <f>IF(原始資料!$A67="","",MAX(連續計數!B67:BI67))</f>
        <v/>
      </c>
      <c r="C67" s="12">
        <f>IF(OR(原始資料!$A67="",設定!$B$4=""),"",IF(原始資料!$C67&lt;&gt;設定!$B$4,"是",""))</f>
        <v/>
      </c>
      <c r="D67" s="12">
        <f>IF(OR(原始資料!$A67="",設定!$B$5=""),"",IF(原始資料!$B67&lt;設定!$B$5,"是",""))</f>
        <v/>
      </c>
      <c r="E67" s="12">
        <f>IF(OR(原始資料!$A67="",設定!$B$6=""),"",IF(B67&gt;=設定!$B$6,"是",""))</f>
        <v/>
      </c>
      <c r="F67" s="13" t="n"/>
      <c r="G67" s="12">
        <f>IF(原始資料!$A67="","",IF(OR(C67="是",D67="是",E67="是",F67="是"),"剔除","保留"))</f>
        <v/>
      </c>
      <c r="H67" s="12">
        <f>IF(G67="保留",COUNTIF($G$2:G67,"保留"),"")</f>
        <v/>
      </c>
    </row>
    <row r="68">
      <c r="A68" s="12">
        <f>IF(原始資料!$A68="","",原始資料!$A68)</f>
        <v/>
      </c>
      <c r="B68" s="12">
        <f>IF(原始資料!$A68="","",MAX(連續計數!B68:BI68))</f>
        <v/>
      </c>
      <c r="C68" s="12">
        <f>IF(OR(原始資料!$A68="",設定!$B$4=""),"",IF(原始資料!$C68&lt;&gt;設定!$B$4,"是",""))</f>
        <v/>
      </c>
      <c r="D68" s="12">
        <f>IF(OR(原始資料!$A68="",設定!$B$5=""),"",IF(原始資料!$B68&lt;設定!$B$5,"是",""))</f>
        <v/>
      </c>
      <c r="E68" s="12">
        <f>IF(OR(原始資料!$A68="",設定!$B$6=""),"",IF(B68&gt;=設定!$B$6,"是",""))</f>
        <v/>
      </c>
      <c r="F68" s="13" t="n"/>
      <c r="G68" s="12">
        <f>IF(原始資料!$A68="","",IF(OR(C68="是",D68="是",E68="是",F68="是"),"剔除","保留"))</f>
        <v/>
      </c>
      <c r="H68" s="12">
        <f>IF(G68="保留",COUNTIF($G$2:G68,"保留"),"")</f>
        <v/>
      </c>
    </row>
    <row r="69">
      <c r="A69" s="12">
        <f>IF(原始資料!$A69="","",原始資料!$A69)</f>
        <v/>
      </c>
      <c r="B69" s="12">
        <f>IF(原始資料!$A69="","",MAX(連續計數!B69:BI69))</f>
        <v/>
      </c>
      <c r="C69" s="12">
        <f>IF(OR(原始資料!$A69="",設定!$B$4=""),"",IF(原始資料!$C69&lt;&gt;設定!$B$4,"是",""))</f>
        <v/>
      </c>
      <c r="D69" s="12">
        <f>IF(OR(原始資料!$A69="",設定!$B$5=""),"",IF(原始資料!$B69&lt;設定!$B$5,"是",""))</f>
        <v/>
      </c>
      <c r="E69" s="12">
        <f>IF(OR(原始資料!$A69="",設定!$B$6=""),"",IF(B69&gt;=設定!$B$6,"是",""))</f>
        <v/>
      </c>
      <c r="F69" s="13" t="n"/>
      <c r="G69" s="12">
        <f>IF(原始資料!$A69="","",IF(OR(C69="是",D69="是",E69="是",F69="是"),"剔除","保留"))</f>
        <v/>
      </c>
      <c r="H69" s="12">
        <f>IF(G69="保留",COUNTIF($G$2:G69,"保留"),"")</f>
        <v/>
      </c>
    </row>
    <row r="70">
      <c r="A70" s="12">
        <f>IF(原始資料!$A70="","",原始資料!$A70)</f>
        <v/>
      </c>
      <c r="B70" s="12">
        <f>IF(原始資料!$A70="","",MAX(連續計數!B70:BI70))</f>
        <v/>
      </c>
      <c r="C70" s="12">
        <f>IF(OR(原始資料!$A70="",設定!$B$4=""),"",IF(原始資料!$C70&lt;&gt;設定!$B$4,"是",""))</f>
        <v/>
      </c>
      <c r="D70" s="12">
        <f>IF(OR(原始資料!$A70="",設定!$B$5=""),"",IF(原始資料!$B70&lt;設定!$B$5,"是",""))</f>
        <v/>
      </c>
      <c r="E70" s="12">
        <f>IF(OR(原始資料!$A70="",設定!$B$6=""),"",IF(B70&gt;=設定!$B$6,"是",""))</f>
        <v/>
      </c>
      <c r="F70" s="13" t="n"/>
      <c r="G70" s="12">
        <f>IF(原始資料!$A70="","",IF(OR(C70="是",D70="是",E70="是",F70="是"),"剔除","保留"))</f>
        <v/>
      </c>
      <c r="H70" s="12">
        <f>IF(G70="保留",COUNTIF($G$2:G70,"保留"),"")</f>
        <v/>
      </c>
    </row>
    <row r="71">
      <c r="A71" s="12">
        <f>IF(原始資料!$A71="","",原始資料!$A71)</f>
        <v/>
      </c>
      <c r="B71" s="12">
        <f>IF(原始資料!$A71="","",MAX(連續計數!B71:BI71))</f>
        <v/>
      </c>
      <c r="C71" s="12">
        <f>IF(OR(原始資料!$A71="",設定!$B$4=""),"",IF(原始資料!$C71&lt;&gt;設定!$B$4,"是",""))</f>
        <v/>
      </c>
      <c r="D71" s="12">
        <f>IF(OR(原始資料!$A71="",設定!$B$5=""),"",IF(原始資料!$B71&lt;設定!$B$5,"是",""))</f>
        <v/>
      </c>
      <c r="E71" s="12">
        <f>IF(OR(原始資料!$A71="",設定!$B$6=""),"",IF(B71&gt;=設定!$B$6,"是",""))</f>
        <v/>
      </c>
      <c r="F71" s="13" t="n"/>
      <c r="G71" s="12">
        <f>IF(原始資料!$A71="","",IF(OR(C71="是",D71="是",E71="是",F71="是"),"剔除","保留"))</f>
        <v/>
      </c>
      <c r="H71" s="12">
        <f>IF(G71="保留",COUNTIF($G$2:G71,"保留"),"")</f>
        <v/>
      </c>
    </row>
    <row r="72">
      <c r="A72" s="12">
        <f>IF(原始資料!$A72="","",原始資料!$A72)</f>
        <v/>
      </c>
      <c r="B72" s="12">
        <f>IF(原始資料!$A72="","",MAX(連續計數!B72:BI72))</f>
        <v/>
      </c>
      <c r="C72" s="12">
        <f>IF(OR(原始資料!$A72="",設定!$B$4=""),"",IF(原始資料!$C72&lt;&gt;設定!$B$4,"是",""))</f>
        <v/>
      </c>
      <c r="D72" s="12">
        <f>IF(OR(原始資料!$A72="",設定!$B$5=""),"",IF(原始資料!$B72&lt;設定!$B$5,"是",""))</f>
        <v/>
      </c>
      <c r="E72" s="12">
        <f>IF(OR(原始資料!$A72="",設定!$B$6=""),"",IF(B72&gt;=設定!$B$6,"是",""))</f>
        <v/>
      </c>
      <c r="F72" s="13" t="n"/>
      <c r="G72" s="12">
        <f>IF(原始資料!$A72="","",IF(OR(C72="是",D72="是",E72="是",F72="是"),"剔除","保留"))</f>
        <v/>
      </c>
      <c r="H72" s="12">
        <f>IF(G72="保留",COUNTIF($G$2:G72,"保留"),"")</f>
        <v/>
      </c>
    </row>
    <row r="73">
      <c r="A73" s="12">
        <f>IF(原始資料!$A73="","",原始資料!$A73)</f>
        <v/>
      </c>
      <c r="B73" s="12">
        <f>IF(原始資料!$A73="","",MAX(連續計數!B73:BI73))</f>
        <v/>
      </c>
      <c r="C73" s="12">
        <f>IF(OR(原始資料!$A73="",設定!$B$4=""),"",IF(原始資料!$C73&lt;&gt;設定!$B$4,"是",""))</f>
        <v/>
      </c>
      <c r="D73" s="12">
        <f>IF(OR(原始資料!$A73="",設定!$B$5=""),"",IF(原始資料!$B73&lt;設定!$B$5,"是",""))</f>
        <v/>
      </c>
      <c r="E73" s="12">
        <f>IF(OR(原始資料!$A73="",設定!$B$6=""),"",IF(B73&gt;=設定!$B$6,"是",""))</f>
        <v/>
      </c>
      <c r="F73" s="13" t="n"/>
      <c r="G73" s="12">
        <f>IF(原始資料!$A73="","",IF(OR(C73="是",D73="是",E73="是",F73="是"),"剔除","保留"))</f>
        <v/>
      </c>
      <c r="H73" s="12">
        <f>IF(G73="保留",COUNTIF($G$2:G73,"保留"),"")</f>
        <v/>
      </c>
    </row>
    <row r="74">
      <c r="A74" s="12">
        <f>IF(原始資料!$A74="","",原始資料!$A74)</f>
        <v/>
      </c>
      <c r="B74" s="12">
        <f>IF(原始資料!$A74="","",MAX(連續計數!B74:BI74))</f>
        <v/>
      </c>
      <c r="C74" s="12">
        <f>IF(OR(原始資料!$A74="",設定!$B$4=""),"",IF(原始資料!$C74&lt;&gt;設定!$B$4,"是",""))</f>
        <v/>
      </c>
      <c r="D74" s="12">
        <f>IF(OR(原始資料!$A74="",設定!$B$5=""),"",IF(原始資料!$B74&lt;設定!$B$5,"是",""))</f>
        <v/>
      </c>
      <c r="E74" s="12">
        <f>IF(OR(原始資料!$A74="",設定!$B$6=""),"",IF(B74&gt;=設定!$B$6,"是",""))</f>
        <v/>
      </c>
      <c r="F74" s="13" t="n"/>
      <c r="G74" s="12">
        <f>IF(原始資料!$A74="","",IF(OR(C74="是",D74="是",E74="是",F74="是"),"剔除","保留"))</f>
        <v/>
      </c>
      <c r="H74" s="12">
        <f>IF(G74="保留",COUNTIF($G$2:G74,"保留"),"")</f>
        <v/>
      </c>
    </row>
    <row r="75">
      <c r="A75" s="12">
        <f>IF(原始資料!$A75="","",原始資料!$A75)</f>
        <v/>
      </c>
      <c r="B75" s="12">
        <f>IF(原始資料!$A75="","",MAX(連續計數!B75:BI75))</f>
        <v/>
      </c>
      <c r="C75" s="12">
        <f>IF(OR(原始資料!$A75="",設定!$B$4=""),"",IF(原始資料!$C75&lt;&gt;設定!$B$4,"是",""))</f>
        <v/>
      </c>
      <c r="D75" s="12">
        <f>IF(OR(原始資料!$A75="",設定!$B$5=""),"",IF(原始資料!$B75&lt;設定!$B$5,"是",""))</f>
        <v/>
      </c>
      <c r="E75" s="12">
        <f>IF(OR(原始資料!$A75="",設定!$B$6=""),"",IF(B75&gt;=設定!$B$6,"是",""))</f>
        <v/>
      </c>
      <c r="F75" s="13" t="n"/>
      <c r="G75" s="12">
        <f>IF(原始資料!$A75="","",IF(OR(C75="是",D75="是",E75="是",F75="是"),"剔除","保留"))</f>
        <v/>
      </c>
      <c r="H75" s="12">
        <f>IF(G75="保留",COUNTIF($G$2:G75,"保留"),"")</f>
        <v/>
      </c>
    </row>
    <row r="76">
      <c r="A76" s="12">
        <f>IF(原始資料!$A76="","",原始資料!$A76)</f>
        <v/>
      </c>
      <c r="B76" s="12">
        <f>IF(原始資料!$A76="","",MAX(連續計數!B76:BI76))</f>
        <v/>
      </c>
      <c r="C76" s="12">
        <f>IF(OR(原始資料!$A76="",設定!$B$4=""),"",IF(原始資料!$C76&lt;&gt;設定!$B$4,"是",""))</f>
        <v/>
      </c>
      <c r="D76" s="12">
        <f>IF(OR(原始資料!$A76="",設定!$B$5=""),"",IF(原始資料!$B76&lt;設定!$B$5,"是",""))</f>
        <v/>
      </c>
      <c r="E76" s="12">
        <f>IF(OR(原始資料!$A76="",設定!$B$6=""),"",IF(B76&gt;=設定!$B$6,"是",""))</f>
        <v/>
      </c>
      <c r="F76" s="13" t="n"/>
      <c r="G76" s="12">
        <f>IF(原始資料!$A76="","",IF(OR(C76="是",D76="是",E76="是",F76="是"),"剔除","保留"))</f>
        <v/>
      </c>
      <c r="H76" s="12">
        <f>IF(G76="保留",COUNTIF($G$2:G76,"保留"),"")</f>
        <v/>
      </c>
    </row>
    <row r="77">
      <c r="A77" s="12">
        <f>IF(原始資料!$A77="","",原始資料!$A77)</f>
        <v/>
      </c>
      <c r="B77" s="12">
        <f>IF(原始資料!$A77="","",MAX(連續計數!B77:BI77))</f>
        <v/>
      </c>
      <c r="C77" s="12">
        <f>IF(OR(原始資料!$A77="",設定!$B$4=""),"",IF(原始資料!$C77&lt;&gt;設定!$B$4,"是",""))</f>
        <v/>
      </c>
      <c r="D77" s="12">
        <f>IF(OR(原始資料!$A77="",設定!$B$5=""),"",IF(原始資料!$B77&lt;設定!$B$5,"是",""))</f>
        <v/>
      </c>
      <c r="E77" s="12">
        <f>IF(OR(原始資料!$A77="",設定!$B$6=""),"",IF(B77&gt;=設定!$B$6,"是",""))</f>
        <v/>
      </c>
      <c r="F77" s="13" t="n"/>
      <c r="G77" s="12">
        <f>IF(原始資料!$A77="","",IF(OR(C77="是",D77="是",E77="是",F77="是"),"剔除","保留"))</f>
        <v/>
      </c>
      <c r="H77" s="12">
        <f>IF(G77="保留",COUNTIF($G$2:G77,"保留"),"")</f>
        <v/>
      </c>
    </row>
    <row r="78">
      <c r="A78" s="12">
        <f>IF(原始資料!$A78="","",原始資料!$A78)</f>
        <v/>
      </c>
      <c r="B78" s="12">
        <f>IF(原始資料!$A78="","",MAX(連續計數!B78:BI78))</f>
        <v/>
      </c>
      <c r="C78" s="12">
        <f>IF(OR(原始資料!$A78="",設定!$B$4=""),"",IF(原始資料!$C78&lt;&gt;設定!$B$4,"是",""))</f>
        <v/>
      </c>
      <c r="D78" s="12">
        <f>IF(OR(原始資料!$A78="",設定!$B$5=""),"",IF(原始資料!$B78&lt;設定!$B$5,"是",""))</f>
        <v/>
      </c>
      <c r="E78" s="12">
        <f>IF(OR(原始資料!$A78="",設定!$B$6=""),"",IF(B78&gt;=設定!$B$6,"是",""))</f>
        <v/>
      </c>
      <c r="F78" s="13" t="n"/>
      <c r="G78" s="12">
        <f>IF(原始資料!$A78="","",IF(OR(C78="是",D78="是",E78="是",F78="是"),"剔除","保留"))</f>
        <v/>
      </c>
      <c r="H78" s="12">
        <f>IF(G78="保留",COUNTIF($G$2:G78,"保留"),"")</f>
        <v/>
      </c>
    </row>
    <row r="79">
      <c r="A79" s="12">
        <f>IF(原始資料!$A79="","",原始資料!$A79)</f>
        <v/>
      </c>
      <c r="B79" s="12">
        <f>IF(原始資料!$A79="","",MAX(連續計數!B79:BI79))</f>
        <v/>
      </c>
      <c r="C79" s="12">
        <f>IF(OR(原始資料!$A79="",設定!$B$4=""),"",IF(原始資料!$C79&lt;&gt;設定!$B$4,"是",""))</f>
        <v/>
      </c>
      <c r="D79" s="12">
        <f>IF(OR(原始資料!$A79="",設定!$B$5=""),"",IF(原始資料!$B79&lt;設定!$B$5,"是",""))</f>
        <v/>
      </c>
      <c r="E79" s="12">
        <f>IF(OR(原始資料!$A79="",設定!$B$6=""),"",IF(B79&gt;=設定!$B$6,"是",""))</f>
        <v/>
      </c>
      <c r="F79" s="13" t="n"/>
      <c r="G79" s="12">
        <f>IF(原始資料!$A79="","",IF(OR(C79="是",D79="是",E79="是",F79="是"),"剔除","保留"))</f>
        <v/>
      </c>
      <c r="H79" s="12">
        <f>IF(G79="保留",COUNTIF($G$2:G79,"保留"),"")</f>
        <v/>
      </c>
    </row>
    <row r="80">
      <c r="A80" s="12">
        <f>IF(原始資料!$A80="","",原始資料!$A80)</f>
        <v/>
      </c>
      <c r="B80" s="12">
        <f>IF(原始資料!$A80="","",MAX(連續計數!B80:BI80))</f>
        <v/>
      </c>
      <c r="C80" s="12">
        <f>IF(OR(原始資料!$A80="",設定!$B$4=""),"",IF(原始資料!$C80&lt;&gt;設定!$B$4,"是",""))</f>
        <v/>
      </c>
      <c r="D80" s="12">
        <f>IF(OR(原始資料!$A80="",設定!$B$5=""),"",IF(原始資料!$B80&lt;設定!$B$5,"是",""))</f>
        <v/>
      </c>
      <c r="E80" s="12">
        <f>IF(OR(原始資料!$A80="",設定!$B$6=""),"",IF(B80&gt;=設定!$B$6,"是",""))</f>
        <v/>
      </c>
      <c r="F80" s="13" t="n"/>
      <c r="G80" s="12">
        <f>IF(原始資料!$A80="","",IF(OR(C80="是",D80="是",E80="是",F80="是"),"剔除","保留"))</f>
        <v/>
      </c>
      <c r="H80" s="12">
        <f>IF(G80="保留",COUNTIF($G$2:G80,"保留"),"")</f>
        <v/>
      </c>
    </row>
    <row r="81">
      <c r="A81" s="12">
        <f>IF(原始資料!$A81="","",原始資料!$A81)</f>
        <v/>
      </c>
      <c r="B81" s="12">
        <f>IF(原始資料!$A81="","",MAX(連續計數!B81:BI81))</f>
        <v/>
      </c>
      <c r="C81" s="12">
        <f>IF(OR(原始資料!$A81="",設定!$B$4=""),"",IF(原始資料!$C81&lt;&gt;設定!$B$4,"是",""))</f>
        <v/>
      </c>
      <c r="D81" s="12">
        <f>IF(OR(原始資料!$A81="",設定!$B$5=""),"",IF(原始資料!$B81&lt;設定!$B$5,"是",""))</f>
        <v/>
      </c>
      <c r="E81" s="12">
        <f>IF(OR(原始資料!$A81="",設定!$B$6=""),"",IF(B81&gt;=設定!$B$6,"是",""))</f>
        <v/>
      </c>
      <c r="F81" s="13" t="n"/>
      <c r="G81" s="12">
        <f>IF(原始資料!$A81="","",IF(OR(C81="是",D81="是",E81="是",F81="是"),"剔除","保留"))</f>
        <v/>
      </c>
      <c r="H81" s="12">
        <f>IF(G81="保留",COUNTIF($G$2:G81,"保留"),"")</f>
        <v/>
      </c>
    </row>
    <row r="82">
      <c r="A82" s="12">
        <f>IF(原始資料!$A82="","",原始資料!$A82)</f>
        <v/>
      </c>
      <c r="B82" s="12">
        <f>IF(原始資料!$A82="","",MAX(連續計數!B82:BI82))</f>
        <v/>
      </c>
      <c r="C82" s="12">
        <f>IF(OR(原始資料!$A82="",設定!$B$4=""),"",IF(原始資料!$C82&lt;&gt;設定!$B$4,"是",""))</f>
        <v/>
      </c>
      <c r="D82" s="12">
        <f>IF(OR(原始資料!$A82="",設定!$B$5=""),"",IF(原始資料!$B82&lt;設定!$B$5,"是",""))</f>
        <v/>
      </c>
      <c r="E82" s="12">
        <f>IF(OR(原始資料!$A82="",設定!$B$6=""),"",IF(B82&gt;=設定!$B$6,"是",""))</f>
        <v/>
      </c>
      <c r="F82" s="13" t="n"/>
      <c r="G82" s="12">
        <f>IF(原始資料!$A82="","",IF(OR(C82="是",D82="是",E82="是",F82="是"),"剔除","保留"))</f>
        <v/>
      </c>
      <c r="H82" s="12">
        <f>IF(G82="保留",COUNTIF($G$2:G82,"保留"),"")</f>
        <v/>
      </c>
    </row>
    <row r="83">
      <c r="A83" s="12">
        <f>IF(原始資料!$A83="","",原始資料!$A83)</f>
        <v/>
      </c>
      <c r="B83" s="12">
        <f>IF(原始資料!$A83="","",MAX(連續計數!B83:BI83))</f>
        <v/>
      </c>
      <c r="C83" s="12">
        <f>IF(OR(原始資料!$A83="",設定!$B$4=""),"",IF(原始資料!$C83&lt;&gt;設定!$B$4,"是",""))</f>
        <v/>
      </c>
      <c r="D83" s="12">
        <f>IF(OR(原始資料!$A83="",設定!$B$5=""),"",IF(原始資料!$B83&lt;設定!$B$5,"是",""))</f>
        <v/>
      </c>
      <c r="E83" s="12">
        <f>IF(OR(原始資料!$A83="",設定!$B$6=""),"",IF(B83&gt;=設定!$B$6,"是",""))</f>
        <v/>
      </c>
      <c r="F83" s="13" t="n"/>
      <c r="G83" s="12">
        <f>IF(原始資料!$A83="","",IF(OR(C83="是",D83="是",E83="是",F83="是"),"剔除","保留"))</f>
        <v/>
      </c>
      <c r="H83" s="12">
        <f>IF(G83="保留",COUNTIF($G$2:G83,"保留"),"")</f>
        <v/>
      </c>
    </row>
    <row r="84">
      <c r="A84" s="12">
        <f>IF(原始資料!$A84="","",原始資料!$A84)</f>
        <v/>
      </c>
      <c r="B84" s="12">
        <f>IF(原始資料!$A84="","",MAX(連續計數!B84:BI84))</f>
        <v/>
      </c>
      <c r="C84" s="12">
        <f>IF(OR(原始資料!$A84="",設定!$B$4=""),"",IF(原始資料!$C84&lt;&gt;設定!$B$4,"是",""))</f>
        <v/>
      </c>
      <c r="D84" s="12">
        <f>IF(OR(原始資料!$A84="",設定!$B$5=""),"",IF(原始資料!$B84&lt;設定!$B$5,"是",""))</f>
        <v/>
      </c>
      <c r="E84" s="12">
        <f>IF(OR(原始資料!$A84="",設定!$B$6=""),"",IF(B84&gt;=設定!$B$6,"是",""))</f>
        <v/>
      </c>
      <c r="F84" s="13" t="n"/>
      <c r="G84" s="12">
        <f>IF(原始資料!$A84="","",IF(OR(C84="是",D84="是",E84="是",F84="是"),"剔除","保留"))</f>
        <v/>
      </c>
      <c r="H84" s="12">
        <f>IF(G84="保留",COUNTIF($G$2:G84,"保留"),"")</f>
        <v/>
      </c>
    </row>
    <row r="85">
      <c r="A85" s="12">
        <f>IF(原始資料!$A85="","",原始資料!$A85)</f>
        <v/>
      </c>
      <c r="B85" s="12">
        <f>IF(原始資料!$A85="","",MAX(連續計數!B85:BI85))</f>
        <v/>
      </c>
      <c r="C85" s="12">
        <f>IF(OR(原始資料!$A85="",設定!$B$4=""),"",IF(原始資料!$C85&lt;&gt;設定!$B$4,"是",""))</f>
        <v/>
      </c>
      <c r="D85" s="12">
        <f>IF(OR(原始資料!$A85="",設定!$B$5=""),"",IF(原始資料!$B85&lt;設定!$B$5,"是",""))</f>
        <v/>
      </c>
      <c r="E85" s="12">
        <f>IF(OR(原始資料!$A85="",設定!$B$6=""),"",IF(B85&gt;=設定!$B$6,"是",""))</f>
        <v/>
      </c>
      <c r="F85" s="13" t="n"/>
      <c r="G85" s="12">
        <f>IF(原始資料!$A85="","",IF(OR(C85="是",D85="是",E85="是",F85="是"),"剔除","保留"))</f>
        <v/>
      </c>
      <c r="H85" s="12">
        <f>IF(G85="保留",COUNTIF($G$2:G85,"保留"),"")</f>
        <v/>
      </c>
    </row>
    <row r="86">
      <c r="A86" s="12">
        <f>IF(原始資料!$A86="","",原始資料!$A86)</f>
        <v/>
      </c>
      <c r="B86" s="12">
        <f>IF(原始資料!$A86="","",MAX(連續計數!B86:BI86))</f>
        <v/>
      </c>
      <c r="C86" s="12">
        <f>IF(OR(原始資料!$A86="",設定!$B$4=""),"",IF(原始資料!$C86&lt;&gt;設定!$B$4,"是",""))</f>
        <v/>
      </c>
      <c r="D86" s="12">
        <f>IF(OR(原始資料!$A86="",設定!$B$5=""),"",IF(原始資料!$B86&lt;設定!$B$5,"是",""))</f>
        <v/>
      </c>
      <c r="E86" s="12">
        <f>IF(OR(原始資料!$A86="",設定!$B$6=""),"",IF(B86&gt;=設定!$B$6,"是",""))</f>
        <v/>
      </c>
      <c r="F86" s="13" t="n"/>
      <c r="G86" s="12">
        <f>IF(原始資料!$A86="","",IF(OR(C86="是",D86="是",E86="是",F86="是"),"剔除","保留"))</f>
        <v/>
      </c>
      <c r="H86" s="12">
        <f>IF(G86="保留",COUNTIF($G$2:G86,"保留"),"")</f>
        <v/>
      </c>
    </row>
    <row r="87">
      <c r="A87" s="12">
        <f>IF(原始資料!$A87="","",原始資料!$A87)</f>
        <v/>
      </c>
      <c r="B87" s="12">
        <f>IF(原始資料!$A87="","",MAX(連續計數!B87:BI87))</f>
        <v/>
      </c>
      <c r="C87" s="12">
        <f>IF(OR(原始資料!$A87="",設定!$B$4=""),"",IF(原始資料!$C87&lt;&gt;設定!$B$4,"是",""))</f>
        <v/>
      </c>
      <c r="D87" s="12">
        <f>IF(OR(原始資料!$A87="",設定!$B$5=""),"",IF(原始資料!$B87&lt;設定!$B$5,"是",""))</f>
        <v/>
      </c>
      <c r="E87" s="12">
        <f>IF(OR(原始資料!$A87="",設定!$B$6=""),"",IF(B87&gt;=設定!$B$6,"是",""))</f>
        <v/>
      </c>
      <c r="F87" s="13" t="n"/>
      <c r="G87" s="12">
        <f>IF(原始資料!$A87="","",IF(OR(C87="是",D87="是",E87="是",F87="是"),"剔除","保留"))</f>
        <v/>
      </c>
      <c r="H87" s="12">
        <f>IF(G87="保留",COUNTIF($G$2:G87,"保留"),"")</f>
        <v/>
      </c>
    </row>
    <row r="88">
      <c r="A88" s="12">
        <f>IF(原始資料!$A88="","",原始資料!$A88)</f>
        <v/>
      </c>
      <c r="B88" s="12">
        <f>IF(原始資料!$A88="","",MAX(連續計數!B88:BI88))</f>
        <v/>
      </c>
      <c r="C88" s="12">
        <f>IF(OR(原始資料!$A88="",設定!$B$4=""),"",IF(原始資料!$C88&lt;&gt;設定!$B$4,"是",""))</f>
        <v/>
      </c>
      <c r="D88" s="12">
        <f>IF(OR(原始資料!$A88="",設定!$B$5=""),"",IF(原始資料!$B88&lt;設定!$B$5,"是",""))</f>
        <v/>
      </c>
      <c r="E88" s="12">
        <f>IF(OR(原始資料!$A88="",設定!$B$6=""),"",IF(B88&gt;=設定!$B$6,"是",""))</f>
        <v/>
      </c>
      <c r="F88" s="13" t="n"/>
      <c r="G88" s="12">
        <f>IF(原始資料!$A88="","",IF(OR(C88="是",D88="是",E88="是",F88="是"),"剔除","保留"))</f>
        <v/>
      </c>
      <c r="H88" s="12">
        <f>IF(G88="保留",COUNTIF($G$2:G88,"保留"),"")</f>
        <v/>
      </c>
    </row>
    <row r="89">
      <c r="A89" s="12">
        <f>IF(原始資料!$A89="","",原始資料!$A89)</f>
        <v/>
      </c>
      <c r="B89" s="12">
        <f>IF(原始資料!$A89="","",MAX(連續計數!B89:BI89))</f>
        <v/>
      </c>
      <c r="C89" s="12">
        <f>IF(OR(原始資料!$A89="",設定!$B$4=""),"",IF(原始資料!$C89&lt;&gt;設定!$B$4,"是",""))</f>
        <v/>
      </c>
      <c r="D89" s="12">
        <f>IF(OR(原始資料!$A89="",設定!$B$5=""),"",IF(原始資料!$B89&lt;設定!$B$5,"是",""))</f>
        <v/>
      </c>
      <c r="E89" s="12">
        <f>IF(OR(原始資料!$A89="",設定!$B$6=""),"",IF(B89&gt;=設定!$B$6,"是",""))</f>
        <v/>
      </c>
      <c r="F89" s="13" t="n"/>
      <c r="G89" s="12">
        <f>IF(原始資料!$A89="","",IF(OR(C89="是",D89="是",E89="是",F89="是"),"剔除","保留"))</f>
        <v/>
      </c>
      <c r="H89" s="12">
        <f>IF(G89="保留",COUNTIF($G$2:G89,"保留"),"")</f>
        <v/>
      </c>
    </row>
    <row r="90">
      <c r="A90" s="12">
        <f>IF(原始資料!$A90="","",原始資料!$A90)</f>
        <v/>
      </c>
      <c r="B90" s="12">
        <f>IF(原始資料!$A90="","",MAX(連續計數!B90:BI90))</f>
        <v/>
      </c>
      <c r="C90" s="12">
        <f>IF(OR(原始資料!$A90="",設定!$B$4=""),"",IF(原始資料!$C90&lt;&gt;設定!$B$4,"是",""))</f>
        <v/>
      </c>
      <c r="D90" s="12">
        <f>IF(OR(原始資料!$A90="",設定!$B$5=""),"",IF(原始資料!$B90&lt;設定!$B$5,"是",""))</f>
        <v/>
      </c>
      <c r="E90" s="12">
        <f>IF(OR(原始資料!$A90="",設定!$B$6=""),"",IF(B90&gt;=設定!$B$6,"是",""))</f>
        <v/>
      </c>
      <c r="F90" s="13" t="n"/>
      <c r="G90" s="12">
        <f>IF(原始資料!$A90="","",IF(OR(C90="是",D90="是",E90="是",F90="是"),"剔除","保留"))</f>
        <v/>
      </c>
      <c r="H90" s="12">
        <f>IF(G90="保留",COUNTIF($G$2:G90,"保留"),"")</f>
        <v/>
      </c>
    </row>
    <row r="91">
      <c r="A91" s="12">
        <f>IF(原始資料!$A91="","",原始資料!$A91)</f>
        <v/>
      </c>
      <c r="B91" s="12">
        <f>IF(原始資料!$A91="","",MAX(連續計數!B91:BI91))</f>
        <v/>
      </c>
      <c r="C91" s="12">
        <f>IF(OR(原始資料!$A91="",設定!$B$4=""),"",IF(原始資料!$C91&lt;&gt;設定!$B$4,"是",""))</f>
        <v/>
      </c>
      <c r="D91" s="12">
        <f>IF(OR(原始資料!$A91="",設定!$B$5=""),"",IF(原始資料!$B91&lt;設定!$B$5,"是",""))</f>
        <v/>
      </c>
      <c r="E91" s="12">
        <f>IF(OR(原始資料!$A91="",設定!$B$6=""),"",IF(B91&gt;=設定!$B$6,"是",""))</f>
        <v/>
      </c>
      <c r="F91" s="13" t="n"/>
      <c r="G91" s="12">
        <f>IF(原始資料!$A91="","",IF(OR(C91="是",D91="是",E91="是",F91="是"),"剔除","保留"))</f>
        <v/>
      </c>
      <c r="H91" s="12">
        <f>IF(G91="保留",COUNTIF($G$2:G91,"保留"),"")</f>
        <v/>
      </c>
    </row>
    <row r="92">
      <c r="A92" s="12">
        <f>IF(原始資料!$A92="","",原始資料!$A92)</f>
        <v/>
      </c>
      <c r="B92" s="12">
        <f>IF(原始資料!$A92="","",MAX(連續計數!B92:BI92))</f>
        <v/>
      </c>
      <c r="C92" s="12">
        <f>IF(OR(原始資料!$A92="",設定!$B$4=""),"",IF(原始資料!$C92&lt;&gt;設定!$B$4,"是",""))</f>
        <v/>
      </c>
      <c r="D92" s="12">
        <f>IF(OR(原始資料!$A92="",設定!$B$5=""),"",IF(原始資料!$B92&lt;設定!$B$5,"是",""))</f>
        <v/>
      </c>
      <c r="E92" s="12">
        <f>IF(OR(原始資料!$A92="",設定!$B$6=""),"",IF(B92&gt;=設定!$B$6,"是",""))</f>
        <v/>
      </c>
      <c r="F92" s="13" t="n"/>
      <c r="G92" s="12">
        <f>IF(原始資料!$A92="","",IF(OR(C92="是",D92="是",E92="是",F92="是"),"剔除","保留"))</f>
        <v/>
      </c>
      <c r="H92" s="12">
        <f>IF(G92="保留",COUNTIF($G$2:G92,"保留"),"")</f>
        <v/>
      </c>
    </row>
    <row r="93">
      <c r="A93" s="12">
        <f>IF(原始資料!$A93="","",原始資料!$A93)</f>
        <v/>
      </c>
      <c r="B93" s="12">
        <f>IF(原始資料!$A93="","",MAX(連續計數!B93:BI93))</f>
        <v/>
      </c>
      <c r="C93" s="12">
        <f>IF(OR(原始資料!$A93="",設定!$B$4=""),"",IF(原始資料!$C93&lt;&gt;設定!$B$4,"是",""))</f>
        <v/>
      </c>
      <c r="D93" s="12">
        <f>IF(OR(原始資料!$A93="",設定!$B$5=""),"",IF(原始資料!$B93&lt;設定!$B$5,"是",""))</f>
        <v/>
      </c>
      <c r="E93" s="12">
        <f>IF(OR(原始資料!$A93="",設定!$B$6=""),"",IF(B93&gt;=設定!$B$6,"是",""))</f>
        <v/>
      </c>
      <c r="F93" s="13" t="n"/>
      <c r="G93" s="12">
        <f>IF(原始資料!$A93="","",IF(OR(C93="是",D93="是",E93="是",F93="是"),"剔除","保留"))</f>
        <v/>
      </c>
      <c r="H93" s="12">
        <f>IF(G93="保留",COUNTIF($G$2:G93,"保留"),"")</f>
        <v/>
      </c>
    </row>
    <row r="94">
      <c r="A94" s="12">
        <f>IF(原始資料!$A94="","",原始資料!$A94)</f>
        <v/>
      </c>
      <c r="B94" s="12">
        <f>IF(原始資料!$A94="","",MAX(連續計數!B94:BI94))</f>
        <v/>
      </c>
      <c r="C94" s="12">
        <f>IF(OR(原始資料!$A94="",設定!$B$4=""),"",IF(原始資料!$C94&lt;&gt;設定!$B$4,"是",""))</f>
        <v/>
      </c>
      <c r="D94" s="12">
        <f>IF(OR(原始資料!$A94="",設定!$B$5=""),"",IF(原始資料!$B94&lt;設定!$B$5,"是",""))</f>
        <v/>
      </c>
      <c r="E94" s="12">
        <f>IF(OR(原始資料!$A94="",設定!$B$6=""),"",IF(B94&gt;=設定!$B$6,"是",""))</f>
        <v/>
      </c>
      <c r="F94" s="13" t="n"/>
      <c r="G94" s="12">
        <f>IF(原始資料!$A94="","",IF(OR(C94="是",D94="是",E94="是",F94="是"),"剔除","保留"))</f>
        <v/>
      </c>
      <c r="H94" s="12">
        <f>IF(G94="保留",COUNTIF($G$2:G94,"保留"),"")</f>
        <v/>
      </c>
    </row>
    <row r="95">
      <c r="A95" s="12">
        <f>IF(原始資料!$A95="","",原始資料!$A95)</f>
        <v/>
      </c>
      <c r="B95" s="12">
        <f>IF(原始資料!$A95="","",MAX(連續計數!B95:BI95))</f>
        <v/>
      </c>
      <c r="C95" s="12">
        <f>IF(OR(原始資料!$A95="",設定!$B$4=""),"",IF(原始資料!$C95&lt;&gt;設定!$B$4,"是",""))</f>
        <v/>
      </c>
      <c r="D95" s="12">
        <f>IF(OR(原始資料!$A95="",設定!$B$5=""),"",IF(原始資料!$B95&lt;設定!$B$5,"是",""))</f>
        <v/>
      </c>
      <c r="E95" s="12">
        <f>IF(OR(原始資料!$A95="",設定!$B$6=""),"",IF(B95&gt;=設定!$B$6,"是",""))</f>
        <v/>
      </c>
      <c r="F95" s="13" t="n"/>
      <c r="G95" s="12">
        <f>IF(原始資料!$A95="","",IF(OR(C95="是",D95="是",E95="是",F95="是"),"剔除","保留"))</f>
        <v/>
      </c>
      <c r="H95" s="12">
        <f>IF(G95="保留",COUNTIF($G$2:G95,"保留"),"")</f>
        <v/>
      </c>
    </row>
    <row r="96">
      <c r="A96" s="12">
        <f>IF(原始資料!$A96="","",原始資料!$A96)</f>
        <v/>
      </c>
      <c r="B96" s="12">
        <f>IF(原始資料!$A96="","",MAX(連續計數!B96:BI96))</f>
        <v/>
      </c>
      <c r="C96" s="12">
        <f>IF(OR(原始資料!$A96="",設定!$B$4=""),"",IF(原始資料!$C96&lt;&gt;設定!$B$4,"是",""))</f>
        <v/>
      </c>
      <c r="D96" s="12">
        <f>IF(OR(原始資料!$A96="",設定!$B$5=""),"",IF(原始資料!$B96&lt;設定!$B$5,"是",""))</f>
        <v/>
      </c>
      <c r="E96" s="12">
        <f>IF(OR(原始資料!$A96="",設定!$B$6=""),"",IF(B96&gt;=設定!$B$6,"是",""))</f>
        <v/>
      </c>
      <c r="F96" s="13" t="n"/>
      <c r="G96" s="12">
        <f>IF(原始資料!$A96="","",IF(OR(C96="是",D96="是",E96="是",F96="是"),"剔除","保留"))</f>
        <v/>
      </c>
      <c r="H96" s="12">
        <f>IF(G96="保留",COUNTIF($G$2:G96,"保留"),"")</f>
        <v/>
      </c>
    </row>
    <row r="97">
      <c r="A97" s="12">
        <f>IF(原始資料!$A97="","",原始資料!$A97)</f>
        <v/>
      </c>
      <c r="B97" s="12">
        <f>IF(原始資料!$A97="","",MAX(連續計數!B97:BI97))</f>
        <v/>
      </c>
      <c r="C97" s="12">
        <f>IF(OR(原始資料!$A97="",設定!$B$4=""),"",IF(原始資料!$C97&lt;&gt;設定!$B$4,"是",""))</f>
        <v/>
      </c>
      <c r="D97" s="12">
        <f>IF(OR(原始資料!$A97="",設定!$B$5=""),"",IF(原始資料!$B97&lt;設定!$B$5,"是",""))</f>
        <v/>
      </c>
      <c r="E97" s="12">
        <f>IF(OR(原始資料!$A97="",設定!$B$6=""),"",IF(B97&gt;=設定!$B$6,"是",""))</f>
        <v/>
      </c>
      <c r="F97" s="13" t="n"/>
      <c r="G97" s="12">
        <f>IF(原始資料!$A97="","",IF(OR(C97="是",D97="是",E97="是",F97="是"),"剔除","保留"))</f>
        <v/>
      </c>
      <c r="H97" s="12">
        <f>IF(G97="保留",COUNTIF($G$2:G97,"保留"),"")</f>
        <v/>
      </c>
    </row>
    <row r="98">
      <c r="A98" s="12">
        <f>IF(原始資料!$A98="","",原始資料!$A98)</f>
        <v/>
      </c>
      <c r="B98" s="12">
        <f>IF(原始資料!$A98="","",MAX(連續計數!B98:BI98))</f>
        <v/>
      </c>
      <c r="C98" s="12">
        <f>IF(OR(原始資料!$A98="",設定!$B$4=""),"",IF(原始資料!$C98&lt;&gt;設定!$B$4,"是",""))</f>
        <v/>
      </c>
      <c r="D98" s="12">
        <f>IF(OR(原始資料!$A98="",設定!$B$5=""),"",IF(原始資料!$B98&lt;設定!$B$5,"是",""))</f>
        <v/>
      </c>
      <c r="E98" s="12">
        <f>IF(OR(原始資料!$A98="",設定!$B$6=""),"",IF(B98&gt;=設定!$B$6,"是",""))</f>
        <v/>
      </c>
      <c r="F98" s="13" t="n"/>
      <c r="G98" s="12">
        <f>IF(原始資料!$A98="","",IF(OR(C98="是",D98="是",E98="是",F98="是"),"剔除","保留"))</f>
        <v/>
      </c>
      <c r="H98" s="12">
        <f>IF(G98="保留",COUNTIF($G$2:G98,"保留"),"")</f>
        <v/>
      </c>
    </row>
    <row r="99">
      <c r="A99" s="12">
        <f>IF(原始資料!$A99="","",原始資料!$A99)</f>
        <v/>
      </c>
      <c r="B99" s="12">
        <f>IF(原始資料!$A99="","",MAX(連續計數!B99:BI99))</f>
        <v/>
      </c>
      <c r="C99" s="12">
        <f>IF(OR(原始資料!$A99="",設定!$B$4=""),"",IF(原始資料!$C99&lt;&gt;設定!$B$4,"是",""))</f>
        <v/>
      </c>
      <c r="D99" s="12">
        <f>IF(OR(原始資料!$A99="",設定!$B$5=""),"",IF(原始資料!$B99&lt;設定!$B$5,"是",""))</f>
        <v/>
      </c>
      <c r="E99" s="12">
        <f>IF(OR(原始資料!$A99="",設定!$B$6=""),"",IF(B99&gt;=設定!$B$6,"是",""))</f>
        <v/>
      </c>
      <c r="F99" s="13" t="n"/>
      <c r="G99" s="12">
        <f>IF(原始資料!$A99="","",IF(OR(C99="是",D99="是",E99="是",F99="是"),"剔除","保留"))</f>
        <v/>
      </c>
      <c r="H99" s="12">
        <f>IF(G99="保留",COUNTIF($G$2:G99,"保留"),"")</f>
        <v/>
      </c>
    </row>
    <row r="100">
      <c r="A100" s="12">
        <f>IF(原始資料!$A100="","",原始資料!$A100)</f>
        <v/>
      </c>
      <c r="B100" s="12">
        <f>IF(原始資料!$A100="","",MAX(連續計數!B100:BI100))</f>
        <v/>
      </c>
      <c r="C100" s="12">
        <f>IF(OR(原始資料!$A100="",設定!$B$4=""),"",IF(原始資料!$C100&lt;&gt;設定!$B$4,"是",""))</f>
        <v/>
      </c>
      <c r="D100" s="12">
        <f>IF(OR(原始資料!$A100="",設定!$B$5=""),"",IF(原始資料!$B100&lt;設定!$B$5,"是",""))</f>
        <v/>
      </c>
      <c r="E100" s="12">
        <f>IF(OR(原始資料!$A100="",設定!$B$6=""),"",IF(B100&gt;=設定!$B$6,"是",""))</f>
        <v/>
      </c>
      <c r="F100" s="13" t="n"/>
      <c r="G100" s="12">
        <f>IF(原始資料!$A100="","",IF(OR(C100="是",D100="是",E100="是",F100="是"),"剔除","保留"))</f>
        <v/>
      </c>
      <c r="H100" s="12">
        <f>IF(G100="保留",COUNTIF($G$2:G100,"保留"),"")</f>
        <v/>
      </c>
    </row>
    <row r="101">
      <c r="A101" s="12">
        <f>IF(原始資料!$A101="","",原始資料!$A101)</f>
        <v/>
      </c>
      <c r="B101" s="12">
        <f>IF(原始資料!$A101="","",MAX(連續計數!B101:BI101))</f>
        <v/>
      </c>
      <c r="C101" s="12">
        <f>IF(OR(原始資料!$A101="",設定!$B$4=""),"",IF(原始資料!$C101&lt;&gt;設定!$B$4,"是",""))</f>
        <v/>
      </c>
      <c r="D101" s="12">
        <f>IF(OR(原始資料!$A101="",設定!$B$5=""),"",IF(原始資料!$B101&lt;設定!$B$5,"是",""))</f>
        <v/>
      </c>
      <c r="E101" s="12">
        <f>IF(OR(原始資料!$A101="",設定!$B$6=""),"",IF(B101&gt;=設定!$B$6,"是",""))</f>
        <v/>
      </c>
      <c r="F101" s="13" t="n"/>
      <c r="G101" s="12">
        <f>IF(原始資料!$A101="","",IF(OR(C101="是",D101="是",E101="是",F101="是"),"剔除","保留"))</f>
        <v/>
      </c>
      <c r="H101" s="12">
        <f>IF(G101="保留",COUNTIF($G$2:G101,"保留"),"")</f>
        <v/>
      </c>
    </row>
    <row r="102">
      <c r="A102" s="12">
        <f>IF(原始資料!$A102="","",原始資料!$A102)</f>
        <v/>
      </c>
      <c r="B102" s="12">
        <f>IF(原始資料!$A102="","",MAX(連續計數!B102:BI102))</f>
        <v/>
      </c>
      <c r="C102" s="12">
        <f>IF(OR(原始資料!$A102="",設定!$B$4=""),"",IF(原始資料!$C102&lt;&gt;設定!$B$4,"是",""))</f>
        <v/>
      </c>
      <c r="D102" s="12">
        <f>IF(OR(原始資料!$A102="",設定!$B$5=""),"",IF(原始資料!$B102&lt;設定!$B$5,"是",""))</f>
        <v/>
      </c>
      <c r="E102" s="12">
        <f>IF(OR(原始資料!$A102="",設定!$B$6=""),"",IF(B102&gt;=設定!$B$6,"是",""))</f>
        <v/>
      </c>
      <c r="F102" s="13" t="n"/>
      <c r="G102" s="12">
        <f>IF(原始資料!$A102="","",IF(OR(C102="是",D102="是",E102="是",F102="是"),"剔除","保留"))</f>
        <v/>
      </c>
      <c r="H102" s="12">
        <f>IF(G102="保留",COUNTIF($G$2:G102,"保留"),"")</f>
        <v/>
      </c>
    </row>
    <row r="103">
      <c r="A103" s="12">
        <f>IF(原始資料!$A103="","",原始資料!$A103)</f>
        <v/>
      </c>
      <c r="B103" s="12">
        <f>IF(原始資料!$A103="","",MAX(連續計數!B103:BI103))</f>
        <v/>
      </c>
      <c r="C103" s="12">
        <f>IF(OR(原始資料!$A103="",設定!$B$4=""),"",IF(原始資料!$C103&lt;&gt;設定!$B$4,"是",""))</f>
        <v/>
      </c>
      <c r="D103" s="12">
        <f>IF(OR(原始資料!$A103="",設定!$B$5=""),"",IF(原始資料!$B103&lt;設定!$B$5,"是",""))</f>
        <v/>
      </c>
      <c r="E103" s="12">
        <f>IF(OR(原始資料!$A103="",設定!$B$6=""),"",IF(B103&gt;=設定!$B$6,"是",""))</f>
        <v/>
      </c>
      <c r="F103" s="13" t="n"/>
      <c r="G103" s="12">
        <f>IF(原始資料!$A103="","",IF(OR(C103="是",D103="是",E103="是",F103="是"),"剔除","保留"))</f>
        <v/>
      </c>
      <c r="H103" s="12">
        <f>IF(G103="保留",COUNTIF($G$2:G103,"保留"),"")</f>
        <v/>
      </c>
    </row>
    <row r="104">
      <c r="A104" s="12">
        <f>IF(原始資料!$A104="","",原始資料!$A104)</f>
        <v/>
      </c>
      <c r="B104" s="12">
        <f>IF(原始資料!$A104="","",MAX(連續計數!B104:BI104))</f>
        <v/>
      </c>
      <c r="C104" s="12">
        <f>IF(OR(原始資料!$A104="",設定!$B$4=""),"",IF(原始資料!$C104&lt;&gt;設定!$B$4,"是",""))</f>
        <v/>
      </c>
      <c r="D104" s="12">
        <f>IF(OR(原始資料!$A104="",設定!$B$5=""),"",IF(原始資料!$B104&lt;設定!$B$5,"是",""))</f>
        <v/>
      </c>
      <c r="E104" s="12">
        <f>IF(OR(原始資料!$A104="",設定!$B$6=""),"",IF(B104&gt;=設定!$B$6,"是",""))</f>
        <v/>
      </c>
      <c r="F104" s="13" t="n"/>
      <c r="G104" s="12">
        <f>IF(原始資料!$A104="","",IF(OR(C104="是",D104="是",E104="是",F104="是"),"剔除","保留"))</f>
        <v/>
      </c>
      <c r="H104" s="12">
        <f>IF(G104="保留",COUNTIF($G$2:G104,"保留"),"")</f>
        <v/>
      </c>
    </row>
    <row r="105">
      <c r="A105" s="12">
        <f>IF(原始資料!$A105="","",原始資料!$A105)</f>
        <v/>
      </c>
      <c r="B105" s="12">
        <f>IF(原始資料!$A105="","",MAX(連續計數!B105:BI105))</f>
        <v/>
      </c>
      <c r="C105" s="12">
        <f>IF(OR(原始資料!$A105="",設定!$B$4=""),"",IF(原始資料!$C105&lt;&gt;設定!$B$4,"是",""))</f>
        <v/>
      </c>
      <c r="D105" s="12">
        <f>IF(OR(原始資料!$A105="",設定!$B$5=""),"",IF(原始資料!$B105&lt;設定!$B$5,"是",""))</f>
        <v/>
      </c>
      <c r="E105" s="12">
        <f>IF(OR(原始資料!$A105="",設定!$B$6=""),"",IF(B105&gt;=設定!$B$6,"是",""))</f>
        <v/>
      </c>
      <c r="F105" s="13" t="n"/>
      <c r="G105" s="12">
        <f>IF(原始資料!$A105="","",IF(OR(C105="是",D105="是",E105="是",F105="是"),"剔除","保留"))</f>
        <v/>
      </c>
      <c r="H105" s="12">
        <f>IF(G105="保留",COUNTIF($G$2:G105,"保留"),"")</f>
        <v/>
      </c>
    </row>
    <row r="106">
      <c r="A106" s="12">
        <f>IF(原始資料!$A106="","",原始資料!$A106)</f>
        <v/>
      </c>
      <c r="B106" s="12">
        <f>IF(原始資料!$A106="","",MAX(連續計數!B106:BI106))</f>
        <v/>
      </c>
      <c r="C106" s="12">
        <f>IF(OR(原始資料!$A106="",設定!$B$4=""),"",IF(原始資料!$C106&lt;&gt;設定!$B$4,"是",""))</f>
        <v/>
      </c>
      <c r="D106" s="12">
        <f>IF(OR(原始資料!$A106="",設定!$B$5=""),"",IF(原始資料!$B106&lt;設定!$B$5,"是",""))</f>
        <v/>
      </c>
      <c r="E106" s="12">
        <f>IF(OR(原始資料!$A106="",設定!$B$6=""),"",IF(B106&gt;=設定!$B$6,"是",""))</f>
        <v/>
      </c>
      <c r="F106" s="13" t="n"/>
      <c r="G106" s="12">
        <f>IF(原始資料!$A106="","",IF(OR(C106="是",D106="是",E106="是",F106="是"),"剔除","保留"))</f>
        <v/>
      </c>
      <c r="H106" s="12">
        <f>IF(G106="保留",COUNTIF($G$2:G106,"保留"),"")</f>
        <v/>
      </c>
    </row>
    <row r="107">
      <c r="A107" s="12">
        <f>IF(原始資料!$A107="","",原始資料!$A107)</f>
        <v/>
      </c>
      <c r="B107" s="12">
        <f>IF(原始資料!$A107="","",MAX(連續計數!B107:BI107))</f>
        <v/>
      </c>
      <c r="C107" s="12">
        <f>IF(OR(原始資料!$A107="",設定!$B$4=""),"",IF(原始資料!$C107&lt;&gt;設定!$B$4,"是",""))</f>
        <v/>
      </c>
      <c r="D107" s="12">
        <f>IF(OR(原始資料!$A107="",設定!$B$5=""),"",IF(原始資料!$B107&lt;設定!$B$5,"是",""))</f>
        <v/>
      </c>
      <c r="E107" s="12">
        <f>IF(OR(原始資料!$A107="",設定!$B$6=""),"",IF(B107&gt;=設定!$B$6,"是",""))</f>
        <v/>
      </c>
      <c r="F107" s="13" t="n"/>
      <c r="G107" s="12">
        <f>IF(原始資料!$A107="","",IF(OR(C107="是",D107="是",E107="是",F107="是"),"剔除","保留"))</f>
        <v/>
      </c>
      <c r="H107" s="12">
        <f>IF(G107="保留",COUNTIF($G$2:G107,"保留"),"")</f>
        <v/>
      </c>
    </row>
    <row r="108">
      <c r="A108" s="12">
        <f>IF(原始資料!$A108="","",原始資料!$A108)</f>
        <v/>
      </c>
      <c r="B108" s="12">
        <f>IF(原始資料!$A108="","",MAX(連續計數!B108:BI108))</f>
        <v/>
      </c>
      <c r="C108" s="12">
        <f>IF(OR(原始資料!$A108="",設定!$B$4=""),"",IF(原始資料!$C108&lt;&gt;設定!$B$4,"是",""))</f>
        <v/>
      </c>
      <c r="D108" s="12">
        <f>IF(OR(原始資料!$A108="",設定!$B$5=""),"",IF(原始資料!$B108&lt;設定!$B$5,"是",""))</f>
        <v/>
      </c>
      <c r="E108" s="12">
        <f>IF(OR(原始資料!$A108="",設定!$B$6=""),"",IF(B108&gt;=設定!$B$6,"是",""))</f>
        <v/>
      </c>
      <c r="F108" s="13" t="n"/>
      <c r="G108" s="12">
        <f>IF(原始資料!$A108="","",IF(OR(C108="是",D108="是",E108="是",F108="是"),"剔除","保留"))</f>
        <v/>
      </c>
      <c r="H108" s="12">
        <f>IF(G108="保留",COUNTIF($G$2:G108,"保留"),"")</f>
        <v/>
      </c>
    </row>
    <row r="109">
      <c r="A109" s="12">
        <f>IF(原始資料!$A109="","",原始資料!$A109)</f>
        <v/>
      </c>
      <c r="B109" s="12">
        <f>IF(原始資料!$A109="","",MAX(連續計數!B109:BI109))</f>
        <v/>
      </c>
      <c r="C109" s="12">
        <f>IF(OR(原始資料!$A109="",設定!$B$4=""),"",IF(原始資料!$C109&lt;&gt;設定!$B$4,"是",""))</f>
        <v/>
      </c>
      <c r="D109" s="12">
        <f>IF(OR(原始資料!$A109="",設定!$B$5=""),"",IF(原始資料!$B109&lt;設定!$B$5,"是",""))</f>
        <v/>
      </c>
      <c r="E109" s="12">
        <f>IF(OR(原始資料!$A109="",設定!$B$6=""),"",IF(B109&gt;=設定!$B$6,"是",""))</f>
        <v/>
      </c>
      <c r="F109" s="13" t="n"/>
      <c r="G109" s="12">
        <f>IF(原始資料!$A109="","",IF(OR(C109="是",D109="是",E109="是",F109="是"),"剔除","保留"))</f>
        <v/>
      </c>
      <c r="H109" s="12">
        <f>IF(G109="保留",COUNTIF($G$2:G109,"保留"),"")</f>
        <v/>
      </c>
    </row>
    <row r="110">
      <c r="A110" s="12">
        <f>IF(原始資料!$A110="","",原始資料!$A110)</f>
        <v/>
      </c>
      <c r="B110" s="12">
        <f>IF(原始資料!$A110="","",MAX(連續計數!B110:BI110))</f>
        <v/>
      </c>
      <c r="C110" s="12">
        <f>IF(OR(原始資料!$A110="",設定!$B$4=""),"",IF(原始資料!$C110&lt;&gt;設定!$B$4,"是",""))</f>
        <v/>
      </c>
      <c r="D110" s="12">
        <f>IF(OR(原始資料!$A110="",設定!$B$5=""),"",IF(原始資料!$B110&lt;設定!$B$5,"是",""))</f>
        <v/>
      </c>
      <c r="E110" s="12">
        <f>IF(OR(原始資料!$A110="",設定!$B$6=""),"",IF(B110&gt;=設定!$B$6,"是",""))</f>
        <v/>
      </c>
      <c r="F110" s="13" t="n"/>
      <c r="G110" s="12">
        <f>IF(原始資料!$A110="","",IF(OR(C110="是",D110="是",E110="是",F110="是"),"剔除","保留"))</f>
        <v/>
      </c>
      <c r="H110" s="12">
        <f>IF(G110="保留",COUNTIF($G$2:G110,"保留"),"")</f>
        <v/>
      </c>
    </row>
    <row r="111">
      <c r="A111" s="12">
        <f>IF(原始資料!$A111="","",原始資料!$A111)</f>
        <v/>
      </c>
      <c r="B111" s="12">
        <f>IF(原始資料!$A111="","",MAX(連續計數!B111:BI111))</f>
        <v/>
      </c>
      <c r="C111" s="12">
        <f>IF(OR(原始資料!$A111="",設定!$B$4=""),"",IF(原始資料!$C111&lt;&gt;設定!$B$4,"是",""))</f>
        <v/>
      </c>
      <c r="D111" s="12">
        <f>IF(OR(原始資料!$A111="",設定!$B$5=""),"",IF(原始資料!$B111&lt;設定!$B$5,"是",""))</f>
        <v/>
      </c>
      <c r="E111" s="12">
        <f>IF(OR(原始資料!$A111="",設定!$B$6=""),"",IF(B111&gt;=設定!$B$6,"是",""))</f>
        <v/>
      </c>
      <c r="F111" s="13" t="n"/>
      <c r="G111" s="12">
        <f>IF(原始資料!$A111="","",IF(OR(C111="是",D111="是",E111="是",F111="是"),"剔除","保留"))</f>
        <v/>
      </c>
      <c r="H111" s="12">
        <f>IF(G111="保留",COUNTIF($G$2:G111,"保留"),"")</f>
        <v/>
      </c>
    </row>
    <row r="112">
      <c r="A112" s="12">
        <f>IF(原始資料!$A112="","",原始資料!$A112)</f>
        <v/>
      </c>
      <c r="B112" s="12">
        <f>IF(原始資料!$A112="","",MAX(連續計數!B112:BI112))</f>
        <v/>
      </c>
      <c r="C112" s="12">
        <f>IF(OR(原始資料!$A112="",設定!$B$4=""),"",IF(原始資料!$C112&lt;&gt;設定!$B$4,"是",""))</f>
        <v/>
      </c>
      <c r="D112" s="12">
        <f>IF(OR(原始資料!$A112="",設定!$B$5=""),"",IF(原始資料!$B112&lt;設定!$B$5,"是",""))</f>
        <v/>
      </c>
      <c r="E112" s="12">
        <f>IF(OR(原始資料!$A112="",設定!$B$6=""),"",IF(B112&gt;=設定!$B$6,"是",""))</f>
        <v/>
      </c>
      <c r="F112" s="13" t="n"/>
      <c r="G112" s="12">
        <f>IF(原始資料!$A112="","",IF(OR(C112="是",D112="是",E112="是",F112="是"),"剔除","保留"))</f>
        <v/>
      </c>
      <c r="H112" s="12">
        <f>IF(G112="保留",COUNTIF($G$2:G112,"保留"),"")</f>
        <v/>
      </c>
    </row>
    <row r="113">
      <c r="A113" s="12">
        <f>IF(原始資料!$A113="","",原始資料!$A113)</f>
        <v/>
      </c>
      <c r="B113" s="12">
        <f>IF(原始資料!$A113="","",MAX(連續計數!B113:BI113))</f>
        <v/>
      </c>
      <c r="C113" s="12">
        <f>IF(OR(原始資料!$A113="",設定!$B$4=""),"",IF(原始資料!$C113&lt;&gt;設定!$B$4,"是",""))</f>
        <v/>
      </c>
      <c r="D113" s="12">
        <f>IF(OR(原始資料!$A113="",設定!$B$5=""),"",IF(原始資料!$B113&lt;設定!$B$5,"是",""))</f>
        <v/>
      </c>
      <c r="E113" s="12">
        <f>IF(OR(原始資料!$A113="",設定!$B$6=""),"",IF(B113&gt;=設定!$B$6,"是",""))</f>
        <v/>
      </c>
      <c r="F113" s="13" t="n"/>
      <c r="G113" s="12">
        <f>IF(原始資料!$A113="","",IF(OR(C113="是",D113="是",E113="是",F113="是"),"剔除","保留"))</f>
        <v/>
      </c>
      <c r="H113" s="12">
        <f>IF(G113="保留",COUNTIF($G$2:G113,"保留"),"")</f>
        <v/>
      </c>
    </row>
    <row r="114">
      <c r="A114" s="12">
        <f>IF(原始資料!$A114="","",原始資料!$A114)</f>
        <v/>
      </c>
      <c r="B114" s="12">
        <f>IF(原始資料!$A114="","",MAX(連續計數!B114:BI114))</f>
        <v/>
      </c>
      <c r="C114" s="12">
        <f>IF(OR(原始資料!$A114="",設定!$B$4=""),"",IF(原始資料!$C114&lt;&gt;設定!$B$4,"是",""))</f>
        <v/>
      </c>
      <c r="D114" s="12">
        <f>IF(OR(原始資料!$A114="",設定!$B$5=""),"",IF(原始資料!$B114&lt;設定!$B$5,"是",""))</f>
        <v/>
      </c>
      <c r="E114" s="12">
        <f>IF(OR(原始資料!$A114="",設定!$B$6=""),"",IF(B114&gt;=設定!$B$6,"是",""))</f>
        <v/>
      </c>
      <c r="F114" s="13" t="n"/>
      <c r="G114" s="12">
        <f>IF(原始資料!$A114="","",IF(OR(C114="是",D114="是",E114="是",F114="是"),"剔除","保留"))</f>
        <v/>
      </c>
      <c r="H114" s="12">
        <f>IF(G114="保留",COUNTIF($G$2:G114,"保留"),"")</f>
        <v/>
      </c>
    </row>
    <row r="115">
      <c r="A115" s="12">
        <f>IF(原始資料!$A115="","",原始資料!$A115)</f>
        <v/>
      </c>
      <c r="B115" s="12">
        <f>IF(原始資料!$A115="","",MAX(連續計數!B115:BI115))</f>
        <v/>
      </c>
      <c r="C115" s="12">
        <f>IF(OR(原始資料!$A115="",設定!$B$4=""),"",IF(原始資料!$C115&lt;&gt;設定!$B$4,"是",""))</f>
        <v/>
      </c>
      <c r="D115" s="12">
        <f>IF(OR(原始資料!$A115="",設定!$B$5=""),"",IF(原始資料!$B115&lt;設定!$B$5,"是",""))</f>
        <v/>
      </c>
      <c r="E115" s="12">
        <f>IF(OR(原始資料!$A115="",設定!$B$6=""),"",IF(B115&gt;=設定!$B$6,"是",""))</f>
        <v/>
      </c>
      <c r="F115" s="13" t="n"/>
      <c r="G115" s="12">
        <f>IF(原始資料!$A115="","",IF(OR(C115="是",D115="是",E115="是",F115="是"),"剔除","保留"))</f>
        <v/>
      </c>
      <c r="H115" s="12">
        <f>IF(G115="保留",COUNTIF($G$2:G115,"保留"),"")</f>
        <v/>
      </c>
    </row>
    <row r="116">
      <c r="A116" s="12">
        <f>IF(原始資料!$A116="","",原始資料!$A116)</f>
        <v/>
      </c>
      <c r="B116" s="12">
        <f>IF(原始資料!$A116="","",MAX(連續計數!B116:BI116))</f>
        <v/>
      </c>
      <c r="C116" s="12">
        <f>IF(OR(原始資料!$A116="",設定!$B$4=""),"",IF(原始資料!$C116&lt;&gt;設定!$B$4,"是",""))</f>
        <v/>
      </c>
      <c r="D116" s="12">
        <f>IF(OR(原始資料!$A116="",設定!$B$5=""),"",IF(原始資料!$B116&lt;設定!$B$5,"是",""))</f>
        <v/>
      </c>
      <c r="E116" s="12">
        <f>IF(OR(原始資料!$A116="",設定!$B$6=""),"",IF(B116&gt;=設定!$B$6,"是",""))</f>
        <v/>
      </c>
      <c r="F116" s="13" t="n"/>
      <c r="G116" s="12">
        <f>IF(原始資料!$A116="","",IF(OR(C116="是",D116="是",E116="是",F116="是"),"剔除","保留"))</f>
        <v/>
      </c>
      <c r="H116" s="12">
        <f>IF(G116="保留",COUNTIF($G$2:G116,"保留"),"")</f>
        <v/>
      </c>
    </row>
    <row r="117">
      <c r="A117" s="12">
        <f>IF(原始資料!$A117="","",原始資料!$A117)</f>
        <v/>
      </c>
      <c r="B117" s="12">
        <f>IF(原始資料!$A117="","",MAX(連續計數!B117:BI117))</f>
        <v/>
      </c>
      <c r="C117" s="12">
        <f>IF(OR(原始資料!$A117="",設定!$B$4=""),"",IF(原始資料!$C117&lt;&gt;設定!$B$4,"是",""))</f>
        <v/>
      </c>
      <c r="D117" s="12">
        <f>IF(OR(原始資料!$A117="",設定!$B$5=""),"",IF(原始資料!$B117&lt;設定!$B$5,"是",""))</f>
        <v/>
      </c>
      <c r="E117" s="12">
        <f>IF(OR(原始資料!$A117="",設定!$B$6=""),"",IF(B117&gt;=設定!$B$6,"是",""))</f>
        <v/>
      </c>
      <c r="F117" s="13" t="n"/>
      <c r="G117" s="12">
        <f>IF(原始資料!$A117="","",IF(OR(C117="是",D117="是",E117="是",F117="是"),"剔除","保留"))</f>
        <v/>
      </c>
      <c r="H117" s="12">
        <f>IF(G117="保留",COUNTIF($G$2:G117,"保留"),"")</f>
        <v/>
      </c>
    </row>
    <row r="118">
      <c r="A118" s="12">
        <f>IF(原始資料!$A118="","",原始資料!$A118)</f>
        <v/>
      </c>
      <c r="B118" s="12">
        <f>IF(原始資料!$A118="","",MAX(連續計數!B118:BI118))</f>
        <v/>
      </c>
      <c r="C118" s="12">
        <f>IF(OR(原始資料!$A118="",設定!$B$4=""),"",IF(原始資料!$C118&lt;&gt;設定!$B$4,"是",""))</f>
        <v/>
      </c>
      <c r="D118" s="12">
        <f>IF(OR(原始資料!$A118="",設定!$B$5=""),"",IF(原始資料!$B118&lt;設定!$B$5,"是",""))</f>
        <v/>
      </c>
      <c r="E118" s="12">
        <f>IF(OR(原始資料!$A118="",設定!$B$6=""),"",IF(B118&gt;=設定!$B$6,"是",""))</f>
        <v/>
      </c>
      <c r="F118" s="13" t="n"/>
      <c r="G118" s="12">
        <f>IF(原始資料!$A118="","",IF(OR(C118="是",D118="是",E118="是",F118="是"),"剔除","保留"))</f>
        <v/>
      </c>
      <c r="H118" s="12">
        <f>IF(G118="保留",COUNTIF($G$2:G118,"保留"),"")</f>
        <v/>
      </c>
    </row>
    <row r="119">
      <c r="A119" s="12">
        <f>IF(原始資料!$A119="","",原始資料!$A119)</f>
        <v/>
      </c>
      <c r="B119" s="12">
        <f>IF(原始資料!$A119="","",MAX(連續計數!B119:BI119))</f>
        <v/>
      </c>
      <c r="C119" s="12">
        <f>IF(OR(原始資料!$A119="",設定!$B$4=""),"",IF(原始資料!$C119&lt;&gt;設定!$B$4,"是",""))</f>
        <v/>
      </c>
      <c r="D119" s="12">
        <f>IF(OR(原始資料!$A119="",設定!$B$5=""),"",IF(原始資料!$B119&lt;設定!$B$5,"是",""))</f>
        <v/>
      </c>
      <c r="E119" s="12">
        <f>IF(OR(原始資料!$A119="",設定!$B$6=""),"",IF(B119&gt;=設定!$B$6,"是",""))</f>
        <v/>
      </c>
      <c r="F119" s="13" t="n"/>
      <c r="G119" s="12">
        <f>IF(原始資料!$A119="","",IF(OR(C119="是",D119="是",E119="是",F119="是"),"剔除","保留"))</f>
        <v/>
      </c>
      <c r="H119" s="12">
        <f>IF(G119="保留",COUNTIF($G$2:G119,"保留"),"")</f>
        <v/>
      </c>
    </row>
    <row r="120">
      <c r="A120" s="12">
        <f>IF(原始資料!$A120="","",原始資料!$A120)</f>
        <v/>
      </c>
      <c r="B120" s="12">
        <f>IF(原始資料!$A120="","",MAX(連續計數!B120:BI120))</f>
        <v/>
      </c>
      <c r="C120" s="12">
        <f>IF(OR(原始資料!$A120="",設定!$B$4=""),"",IF(原始資料!$C120&lt;&gt;設定!$B$4,"是",""))</f>
        <v/>
      </c>
      <c r="D120" s="12">
        <f>IF(OR(原始資料!$A120="",設定!$B$5=""),"",IF(原始資料!$B120&lt;設定!$B$5,"是",""))</f>
        <v/>
      </c>
      <c r="E120" s="12">
        <f>IF(OR(原始資料!$A120="",設定!$B$6=""),"",IF(B120&gt;=設定!$B$6,"是",""))</f>
        <v/>
      </c>
      <c r="F120" s="13" t="n"/>
      <c r="G120" s="12">
        <f>IF(原始資料!$A120="","",IF(OR(C120="是",D120="是",E120="是",F120="是"),"剔除","保留"))</f>
        <v/>
      </c>
      <c r="H120" s="12">
        <f>IF(G120="保留",COUNTIF($G$2:G120,"保留"),"")</f>
        <v/>
      </c>
    </row>
    <row r="121">
      <c r="A121" s="12">
        <f>IF(原始資料!$A121="","",原始資料!$A121)</f>
        <v/>
      </c>
      <c r="B121" s="12">
        <f>IF(原始資料!$A121="","",MAX(連續計數!B121:BI121))</f>
        <v/>
      </c>
      <c r="C121" s="12">
        <f>IF(OR(原始資料!$A121="",設定!$B$4=""),"",IF(原始資料!$C121&lt;&gt;設定!$B$4,"是",""))</f>
        <v/>
      </c>
      <c r="D121" s="12">
        <f>IF(OR(原始資料!$A121="",設定!$B$5=""),"",IF(原始資料!$B121&lt;設定!$B$5,"是",""))</f>
        <v/>
      </c>
      <c r="E121" s="12">
        <f>IF(OR(原始資料!$A121="",設定!$B$6=""),"",IF(B121&gt;=設定!$B$6,"是",""))</f>
        <v/>
      </c>
      <c r="F121" s="13" t="n"/>
      <c r="G121" s="12">
        <f>IF(原始資料!$A121="","",IF(OR(C121="是",D121="是",E121="是",F121="是"),"剔除","保留"))</f>
        <v/>
      </c>
      <c r="H121" s="12">
        <f>IF(G121="保留",COUNTIF($G$2:G121,"保留"),"")</f>
        <v/>
      </c>
    </row>
    <row r="122">
      <c r="A122" s="12">
        <f>IF(原始資料!$A122="","",原始資料!$A122)</f>
        <v/>
      </c>
      <c r="B122" s="12">
        <f>IF(原始資料!$A122="","",MAX(連續計數!B122:BI122))</f>
        <v/>
      </c>
      <c r="C122" s="12">
        <f>IF(OR(原始資料!$A122="",設定!$B$4=""),"",IF(原始資料!$C122&lt;&gt;設定!$B$4,"是",""))</f>
        <v/>
      </c>
      <c r="D122" s="12">
        <f>IF(OR(原始資料!$A122="",設定!$B$5=""),"",IF(原始資料!$B122&lt;設定!$B$5,"是",""))</f>
        <v/>
      </c>
      <c r="E122" s="12">
        <f>IF(OR(原始資料!$A122="",設定!$B$6=""),"",IF(B122&gt;=設定!$B$6,"是",""))</f>
        <v/>
      </c>
      <c r="F122" s="13" t="n"/>
      <c r="G122" s="12">
        <f>IF(原始資料!$A122="","",IF(OR(C122="是",D122="是",E122="是",F122="是"),"剔除","保留"))</f>
        <v/>
      </c>
      <c r="H122" s="12">
        <f>IF(G122="保留",COUNTIF($G$2:G122,"保留"),"")</f>
        <v/>
      </c>
    </row>
    <row r="123">
      <c r="A123" s="12">
        <f>IF(原始資料!$A123="","",原始資料!$A123)</f>
        <v/>
      </c>
      <c r="B123" s="12">
        <f>IF(原始資料!$A123="","",MAX(連續計數!B123:BI123))</f>
        <v/>
      </c>
      <c r="C123" s="12">
        <f>IF(OR(原始資料!$A123="",設定!$B$4=""),"",IF(原始資料!$C123&lt;&gt;設定!$B$4,"是",""))</f>
        <v/>
      </c>
      <c r="D123" s="12">
        <f>IF(OR(原始資料!$A123="",設定!$B$5=""),"",IF(原始資料!$B123&lt;設定!$B$5,"是",""))</f>
        <v/>
      </c>
      <c r="E123" s="12">
        <f>IF(OR(原始資料!$A123="",設定!$B$6=""),"",IF(B123&gt;=設定!$B$6,"是",""))</f>
        <v/>
      </c>
      <c r="F123" s="13" t="n"/>
      <c r="G123" s="12">
        <f>IF(原始資料!$A123="","",IF(OR(C123="是",D123="是",E123="是",F123="是"),"剔除","保留"))</f>
        <v/>
      </c>
      <c r="H123" s="12">
        <f>IF(G123="保留",COUNTIF($G$2:G123,"保留"),"")</f>
        <v/>
      </c>
    </row>
    <row r="124">
      <c r="A124" s="12">
        <f>IF(原始資料!$A124="","",原始資料!$A124)</f>
        <v/>
      </c>
      <c r="B124" s="12">
        <f>IF(原始資料!$A124="","",MAX(連續計數!B124:BI124))</f>
        <v/>
      </c>
      <c r="C124" s="12">
        <f>IF(OR(原始資料!$A124="",設定!$B$4=""),"",IF(原始資料!$C124&lt;&gt;設定!$B$4,"是",""))</f>
        <v/>
      </c>
      <c r="D124" s="12">
        <f>IF(OR(原始資料!$A124="",設定!$B$5=""),"",IF(原始資料!$B124&lt;設定!$B$5,"是",""))</f>
        <v/>
      </c>
      <c r="E124" s="12">
        <f>IF(OR(原始資料!$A124="",設定!$B$6=""),"",IF(B124&gt;=設定!$B$6,"是",""))</f>
        <v/>
      </c>
      <c r="F124" s="13" t="n"/>
      <c r="G124" s="12">
        <f>IF(原始資料!$A124="","",IF(OR(C124="是",D124="是",E124="是",F124="是"),"剔除","保留"))</f>
        <v/>
      </c>
      <c r="H124" s="12">
        <f>IF(G124="保留",COUNTIF($G$2:G124,"保留"),"")</f>
        <v/>
      </c>
    </row>
    <row r="125">
      <c r="A125" s="12">
        <f>IF(原始資料!$A125="","",原始資料!$A125)</f>
        <v/>
      </c>
      <c r="B125" s="12">
        <f>IF(原始資料!$A125="","",MAX(連續計數!B125:BI125))</f>
        <v/>
      </c>
      <c r="C125" s="12">
        <f>IF(OR(原始資料!$A125="",設定!$B$4=""),"",IF(原始資料!$C125&lt;&gt;設定!$B$4,"是",""))</f>
        <v/>
      </c>
      <c r="D125" s="12">
        <f>IF(OR(原始資料!$A125="",設定!$B$5=""),"",IF(原始資料!$B125&lt;設定!$B$5,"是",""))</f>
        <v/>
      </c>
      <c r="E125" s="12">
        <f>IF(OR(原始資料!$A125="",設定!$B$6=""),"",IF(B125&gt;=設定!$B$6,"是",""))</f>
        <v/>
      </c>
      <c r="F125" s="13" t="n"/>
      <c r="G125" s="12">
        <f>IF(原始資料!$A125="","",IF(OR(C125="是",D125="是",E125="是",F125="是"),"剔除","保留"))</f>
        <v/>
      </c>
      <c r="H125" s="12">
        <f>IF(G125="保留",COUNTIF($G$2:G125,"保留"),"")</f>
        <v/>
      </c>
    </row>
    <row r="126">
      <c r="A126" s="12">
        <f>IF(原始資料!$A126="","",原始資料!$A126)</f>
        <v/>
      </c>
      <c r="B126" s="12">
        <f>IF(原始資料!$A126="","",MAX(連續計數!B126:BI126))</f>
        <v/>
      </c>
      <c r="C126" s="12">
        <f>IF(OR(原始資料!$A126="",設定!$B$4=""),"",IF(原始資料!$C126&lt;&gt;設定!$B$4,"是",""))</f>
        <v/>
      </c>
      <c r="D126" s="12">
        <f>IF(OR(原始資料!$A126="",設定!$B$5=""),"",IF(原始資料!$B126&lt;設定!$B$5,"是",""))</f>
        <v/>
      </c>
      <c r="E126" s="12">
        <f>IF(OR(原始資料!$A126="",設定!$B$6=""),"",IF(B126&gt;=設定!$B$6,"是",""))</f>
        <v/>
      </c>
      <c r="F126" s="13" t="n"/>
      <c r="G126" s="12">
        <f>IF(原始資料!$A126="","",IF(OR(C126="是",D126="是",E126="是",F126="是"),"剔除","保留"))</f>
        <v/>
      </c>
      <c r="H126" s="12">
        <f>IF(G126="保留",COUNTIF($G$2:G126,"保留"),"")</f>
        <v/>
      </c>
    </row>
    <row r="127">
      <c r="A127" s="12">
        <f>IF(原始資料!$A127="","",原始資料!$A127)</f>
        <v/>
      </c>
      <c r="B127" s="12">
        <f>IF(原始資料!$A127="","",MAX(連續計數!B127:BI127))</f>
        <v/>
      </c>
      <c r="C127" s="12">
        <f>IF(OR(原始資料!$A127="",設定!$B$4=""),"",IF(原始資料!$C127&lt;&gt;設定!$B$4,"是",""))</f>
        <v/>
      </c>
      <c r="D127" s="12">
        <f>IF(OR(原始資料!$A127="",設定!$B$5=""),"",IF(原始資料!$B127&lt;設定!$B$5,"是",""))</f>
        <v/>
      </c>
      <c r="E127" s="12">
        <f>IF(OR(原始資料!$A127="",設定!$B$6=""),"",IF(B127&gt;=設定!$B$6,"是",""))</f>
        <v/>
      </c>
      <c r="F127" s="13" t="n"/>
      <c r="G127" s="12">
        <f>IF(原始資料!$A127="","",IF(OR(C127="是",D127="是",E127="是",F127="是"),"剔除","保留"))</f>
        <v/>
      </c>
      <c r="H127" s="12">
        <f>IF(G127="保留",COUNTIF($G$2:G127,"保留"),"")</f>
        <v/>
      </c>
    </row>
    <row r="128">
      <c r="A128" s="12">
        <f>IF(原始資料!$A128="","",原始資料!$A128)</f>
        <v/>
      </c>
      <c r="B128" s="12">
        <f>IF(原始資料!$A128="","",MAX(連續計數!B128:BI128))</f>
        <v/>
      </c>
      <c r="C128" s="12">
        <f>IF(OR(原始資料!$A128="",設定!$B$4=""),"",IF(原始資料!$C128&lt;&gt;設定!$B$4,"是",""))</f>
        <v/>
      </c>
      <c r="D128" s="12">
        <f>IF(OR(原始資料!$A128="",設定!$B$5=""),"",IF(原始資料!$B128&lt;設定!$B$5,"是",""))</f>
        <v/>
      </c>
      <c r="E128" s="12">
        <f>IF(OR(原始資料!$A128="",設定!$B$6=""),"",IF(B128&gt;=設定!$B$6,"是",""))</f>
        <v/>
      </c>
      <c r="F128" s="13" t="n"/>
      <c r="G128" s="12">
        <f>IF(原始資料!$A128="","",IF(OR(C128="是",D128="是",E128="是",F128="是"),"剔除","保留"))</f>
        <v/>
      </c>
      <c r="H128" s="12">
        <f>IF(G128="保留",COUNTIF($G$2:G128,"保留"),"")</f>
        <v/>
      </c>
    </row>
    <row r="129">
      <c r="A129" s="12">
        <f>IF(原始資料!$A129="","",原始資料!$A129)</f>
        <v/>
      </c>
      <c r="B129" s="12">
        <f>IF(原始資料!$A129="","",MAX(連續計數!B129:BI129))</f>
        <v/>
      </c>
      <c r="C129" s="12">
        <f>IF(OR(原始資料!$A129="",設定!$B$4=""),"",IF(原始資料!$C129&lt;&gt;設定!$B$4,"是",""))</f>
        <v/>
      </c>
      <c r="D129" s="12">
        <f>IF(OR(原始資料!$A129="",設定!$B$5=""),"",IF(原始資料!$B129&lt;設定!$B$5,"是",""))</f>
        <v/>
      </c>
      <c r="E129" s="12">
        <f>IF(OR(原始資料!$A129="",設定!$B$6=""),"",IF(B129&gt;=設定!$B$6,"是",""))</f>
        <v/>
      </c>
      <c r="F129" s="13" t="n"/>
      <c r="G129" s="12">
        <f>IF(原始資料!$A129="","",IF(OR(C129="是",D129="是",E129="是",F129="是"),"剔除","保留"))</f>
        <v/>
      </c>
      <c r="H129" s="12">
        <f>IF(G129="保留",COUNTIF($G$2:G129,"保留"),"")</f>
        <v/>
      </c>
    </row>
    <row r="130">
      <c r="A130" s="12">
        <f>IF(原始資料!$A130="","",原始資料!$A130)</f>
        <v/>
      </c>
      <c r="B130" s="12">
        <f>IF(原始資料!$A130="","",MAX(連續計數!B130:BI130))</f>
        <v/>
      </c>
      <c r="C130" s="12">
        <f>IF(OR(原始資料!$A130="",設定!$B$4=""),"",IF(原始資料!$C130&lt;&gt;設定!$B$4,"是",""))</f>
        <v/>
      </c>
      <c r="D130" s="12">
        <f>IF(OR(原始資料!$A130="",設定!$B$5=""),"",IF(原始資料!$B130&lt;設定!$B$5,"是",""))</f>
        <v/>
      </c>
      <c r="E130" s="12">
        <f>IF(OR(原始資料!$A130="",設定!$B$6=""),"",IF(B130&gt;=設定!$B$6,"是",""))</f>
        <v/>
      </c>
      <c r="F130" s="13" t="n"/>
      <c r="G130" s="12">
        <f>IF(原始資料!$A130="","",IF(OR(C130="是",D130="是",E130="是",F130="是"),"剔除","保留"))</f>
        <v/>
      </c>
      <c r="H130" s="12">
        <f>IF(G130="保留",COUNTIF($G$2:G130,"保留"),"")</f>
        <v/>
      </c>
    </row>
    <row r="131">
      <c r="A131" s="12">
        <f>IF(原始資料!$A131="","",原始資料!$A131)</f>
        <v/>
      </c>
      <c r="B131" s="12">
        <f>IF(原始資料!$A131="","",MAX(連續計數!B131:BI131))</f>
        <v/>
      </c>
      <c r="C131" s="12">
        <f>IF(OR(原始資料!$A131="",設定!$B$4=""),"",IF(原始資料!$C131&lt;&gt;設定!$B$4,"是",""))</f>
        <v/>
      </c>
      <c r="D131" s="12">
        <f>IF(OR(原始資料!$A131="",設定!$B$5=""),"",IF(原始資料!$B131&lt;設定!$B$5,"是",""))</f>
        <v/>
      </c>
      <c r="E131" s="12">
        <f>IF(OR(原始資料!$A131="",設定!$B$6=""),"",IF(B131&gt;=設定!$B$6,"是",""))</f>
        <v/>
      </c>
      <c r="F131" s="13" t="n"/>
      <c r="G131" s="12">
        <f>IF(原始資料!$A131="","",IF(OR(C131="是",D131="是",E131="是",F131="是"),"剔除","保留"))</f>
        <v/>
      </c>
      <c r="H131" s="12">
        <f>IF(G131="保留",COUNTIF($G$2:G131,"保留"),"")</f>
        <v/>
      </c>
    </row>
    <row r="132">
      <c r="A132" s="12">
        <f>IF(原始資料!$A132="","",原始資料!$A132)</f>
        <v/>
      </c>
      <c r="B132" s="12">
        <f>IF(原始資料!$A132="","",MAX(連續計數!B132:BI132))</f>
        <v/>
      </c>
      <c r="C132" s="12">
        <f>IF(OR(原始資料!$A132="",設定!$B$4=""),"",IF(原始資料!$C132&lt;&gt;設定!$B$4,"是",""))</f>
        <v/>
      </c>
      <c r="D132" s="12">
        <f>IF(OR(原始資料!$A132="",設定!$B$5=""),"",IF(原始資料!$B132&lt;設定!$B$5,"是",""))</f>
        <v/>
      </c>
      <c r="E132" s="12">
        <f>IF(OR(原始資料!$A132="",設定!$B$6=""),"",IF(B132&gt;=設定!$B$6,"是",""))</f>
        <v/>
      </c>
      <c r="F132" s="13" t="n"/>
      <c r="G132" s="12">
        <f>IF(原始資料!$A132="","",IF(OR(C132="是",D132="是",E132="是",F132="是"),"剔除","保留"))</f>
        <v/>
      </c>
      <c r="H132" s="12">
        <f>IF(G132="保留",COUNTIF($G$2:G132,"保留"),"")</f>
        <v/>
      </c>
    </row>
    <row r="133">
      <c r="A133" s="12">
        <f>IF(原始資料!$A133="","",原始資料!$A133)</f>
        <v/>
      </c>
      <c r="B133" s="12">
        <f>IF(原始資料!$A133="","",MAX(連續計數!B133:BI133))</f>
        <v/>
      </c>
      <c r="C133" s="12">
        <f>IF(OR(原始資料!$A133="",設定!$B$4=""),"",IF(原始資料!$C133&lt;&gt;設定!$B$4,"是",""))</f>
        <v/>
      </c>
      <c r="D133" s="12">
        <f>IF(OR(原始資料!$A133="",設定!$B$5=""),"",IF(原始資料!$B133&lt;設定!$B$5,"是",""))</f>
        <v/>
      </c>
      <c r="E133" s="12">
        <f>IF(OR(原始資料!$A133="",設定!$B$6=""),"",IF(B133&gt;=設定!$B$6,"是",""))</f>
        <v/>
      </c>
      <c r="F133" s="13" t="n"/>
      <c r="G133" s="12">
        <f>IF(原始資料!$A133="","",IF(OR(C133="是",D133="是",E133="是",F133="是"),"剔除","保留"))</f>
        <v/>
      </c>
      <c r="H133" s="12">
        <f>IF(G133="保留",COUNTIF($G$2:G133,"保留"),"")</f>
        <v/>
      </c>
    </row>
    <row r="134">
      <c r="A134" s="12">
        <f>IF(原始資料!$A134="","",原始資料!$A134)</f>
        <v/>
      </c>
      <c r="B134" s="12">
        <f>IF(原始資料!$A134="","",MAX(連續計數!B134:BI134))</f>
        <v/>
      </c>
      <c r="C134" s="12">
        <f>IF(OR(原始資料!$A134="",設定!$B$4=""),"",IF(原始資料!$C134&lt;&gt;設定!$B$4,"是",""))</f>
        <v/>
      </c>
      <c r="D134" s="12">
        <f>IF(OR(原始資料!$A134="",設定!$B$5=""),"",IF(原始資料!$B134&lt;設定!$B$5,"是",""))</f>
        <v/>
      </c>
      <c r="E134" s="12">
        <f>IF(OR(原始資料!$A134="",設定!$B$6=""),"",IF(B134&gt;=設定!$B$6,"是",""))</f>
        <v/>
      </c>
      <c r="F134" s="13" t="n"/>
      <c r="G134" s="12">
        <f>IF(原始資料!$A134="","",IF(OR(C134="是",D134="是",E134="是",F134="是"),"剔除","保留"))</f>
        <v/>
      </c>
      <c r="H134" s="12">
        <f>IF(G134="保留",COUNTIF($G$2:G134,"保留"),"")</f>
        <v/>
      </c>
    </row>
    <row r="135">
      <c r="A135" s="12">
        <f>IF(原始資料!$A135="","",原始資料!$A135)</f>
        <v/>
      </c>
      <c r="B135" s="12">
        <f>IF(原始資料!$A135="","",MAX(連續計數!B135:BI135))</f>
        <v/>
      </c>
      <c r="C135" s="12">
        <f>IF(OR(原始資料!$A135="",設定!$B$4=""),"",IF(原始資料!$C135&lt;&gt;設定!$B$4,"是",""))</f>
        <v/>
      </c>
      <c r="D135" s="12">
        <f>IF(OR(原始資料!$A135="",設定!$B$5=""),"",IF(原始資料!$B135&lt;設定!$B$5,"是",""))</f>
        <v/>
      </c>
      <c r="E135" s="12">
        <f>IF(OR(原始資料!$A135="",設定!$B$6=""),"",IF(B135&gt;=設定!$B$6,"是",""))</f>
        <v/>
      </c>
      <c r="F135" s="13" t="n"/>
      <c r="G135" s="12">
        <f>IF(原始資料!$A135="","",IF(OR(C135="是",D135="是",E135="是",F135="是"),"剔除","保留"))</f>
        <v/>
      </c>
      <c r="H135" s="12">
        <f>IF(G135="保留",COUNTIF($G$2:G135,"保留"),"")</f>
        <v/>
      </c>
    </row>
    <row r="136">
      <c r="A136" s="12">
        <f>IF(原始資料!$A136="","",原始資料!$A136)</f>
        <v/>
      </c>
      <c r="B136" s="12">
        <f>IF(原始資料!$A136="","",MAX(連續計數!B136:BI136))</f>
        <v/>
      </c>
      <c r="C136" s="12">
        <f>IF(OR(原始資料!$A136="",設定!$B$4=""),"",IF(原始資料!$C136&lt;&gt;設定!$B$4,"是",""))</f>
        <v/>
      </c>
      <c r="D136" s="12">
        <f>IF(OR(原始資料!$A136="",設定!$B$5=""),"",IF(原始資料!$B136&lt;設定!$B$5,"是",""))</f>
        <v/>
      </c>
      <c r="E136" s="12">
        <f>IF(OR(原始資料!$A136="",設定!$B$6=""),"",IF(B136&gt;=設定!$B$6,"是",""))</f>
        <v/>
      </c>
      <c r="F136" s="13" t="n"/>
      <c r="G136" s="12">
        <f>IF(原始資料!$A136="","",IF(OR(C136="是",D136="是",E136="是",F136="是"),"剔除","保留"))</f>
        <v/>
      </c>
      <c r="H136" s="12">
        <f>IF(G136="保留",COUNTIF($G$2:G136,"保留"),"")</f>
        <v/>
      </c>
    </row>
    <row r="137">
      <c r="A137" s="12">
        <f>IF(原始資料!$A137="","",原始資料!$A137)</f>
        <v/>
      </c>
      <c r="B137" s="12">
        <f>IF(原始資料!$A137="","",MAX(連續計數!B137:BI137))</f>
        <v/>
      </c>
      <c r="C137" s="12">
        <f>IF(OR(原始資料!$A137="",設定!$B$4=""),"",IF(原始資料!$C137&lt;&gt;設定!$B$4,"是",""))</f>
        <v/>
      </c>
      <c r="D137" s="12">
        <f>IF(OR(原始資料!$A137="",設定!$B$5=""),"",IF(原始資料!$B137&lt;設定!$B$5,"是",""))</f>
        <v/>
      </c>
      <c r="E137" s="12">
        <f>IF(OR(原始資料!$A137="",設定!$B$6=""),"",IF(B137&gt;=設定!$B$6,"是",""))</f>
        <v/>
      </c>
      <c r="F137" s="13" t="n"/>
      <c r="G137" s="12">
        <f>IF(原始資料!$A137="","",IF(OR(C137="是",D137="是",E137="是",F137="是"),"剔除","保留"))</f>
        <v/>
      </c>
      <c r="H137" s="12">
        <f>IF(G137="保留",COUNTIF($G$2:G137,"保留"),"")</f>
        <v/>
      </c>
    </row>
    <row r="138">
      <c r="A138" s="12">
        <f>IF(原始資料!$A138="","",原始資料!$A138)</f>
        <v/>
      </c>
      <c r="B138" s="12">
        <f>IF(原始資料!$A138="","",MAX(連續計數!B138:BI138))</f>
        <v/>
      </c>
      <c r="C138" s="12">
        <f>IF(OR(原始資料!$A138="",設定!$B$4=""),"",IF(原始資料!$C138&lt;&gt;設定!$B$4,"是",""))</f>
        <v/>
      </c>
      <c r="D138" s="12">
        <f>IF(OR(原始資料!$A138="",設定!$B$5=""),"",IF(原始資料!$B138&lt;設定!$B$5,"是",""))</f>
        <v/>
      </c>
      <c r="E138" s="12">
        <f>IF(OR(原始資料!$A138="",設定!$B$6=""),"",IF(B138&gt;=設定!$B$6,"是",""))</f>
        <v/>
      </c>
      <c r="F138" s="13" t="n"/>
      <c r="G138" s="12">
        <f>IF(原始資料!$A138="","",IF(OR(C138="是",D138="是",E138="是",F138="是"),"剔除","保留"))</f>
        <v/>
      </c>
      <c r="H138" s="12">
        <f>IF(G138="保留",COUNTIF($G$2:G138,"保留"),"")</f>
        <v/>
      </c>
    </row>
    <row r="139">
      <c r="A139" s="12">
        <f>IF(原始資料!$A139="","",原始資料!$A139)</f>
        <v/>
      </c>
      <c r="B139" s="12">
        <f>IF(原始資料!$A139="","",MAX(連續計數!B139:BI139))</f>
        <v/>
      </c>
      <c r="C139" s="12">
        <f>IF(OR(原始資料!$A139="",設定!$B$4=""),"",IF(原始資料!$C139&lt;&gt;設定!$B$4,"是",""))</f>
        <v/>
      </c>
      <c r="D139" s="12">
        <f>IF(OR(原始資料!$A139="",設定!$B$5=""),"",IF(原始資料!$B139&lt;設定!$B$5,"是",""))</f>
        <v/>
      </c>
      <c r="E139" s="12">
        <f>IF(OR(原始資料!$A139="",設定!$B$6=""),"",IF(B139&gt;=設定!$B$6,"是",""))</f>
        <v/>
      </c>
      <c r="F139" s="13" t="n"/>
      <c r="G139" s="12">
        <f>IF(原始資料!$A139="","",IF(OR(C139="是",D139="是",E139="是",F139="是"),"剔除","保留"))</f>
        <v/>
      </c>
      <c r="H139" s="12">
        <f>IF(G139="保留",COUNTIF($G$2:G139,"保留"),"")</f>
        <v/>
      </c>
    </row>
    <row r="140">
      <c r="A140" s="12">
        <f>IF(原始資料!$A140="","",原始資料!$A140)</f>
        <v/>
      </c>
      <c r="B140" s="12">
        <f>IF(原始資料!$A140="","",MAX(連續計數!B140:BI140))</f>
        <v/>
      </c>
      <c r="C140" s="12">
        <f>IF(OR(原始資料!$A140="",設定!$B$4=""),"",IF(原始資料!$C140&lt;&gt;設定!$B$4,"是",""))</f>
        <v/>
      </c>
      <c r="D140" s="12">
        <f>IF(OR(原始資料!$A140="",設定!$B$5=""),"",IF(原始資料!$B140&lt;設定!$B$5,"是",""))</f>
        <v/>
      </c>
      <c r="E140" s="12">
        <f>IF(OR(原始資料!$A140="",設定!$B$6=""),"",IF(B140&gt;=設定!$B$6,"是",""))</f>
        <v/>
      </c>
      <c r="F140" s="13" t="n"/>
      <c r="G140" s="12">
        <f>IF(原始資料!$A140="","",IF(OR(C140="是",D140="是",E140="是",F140="是"),"剔除","保留"))</f>
        <v/>
      </c>
      <c r="H140" s="12">
        <f>IF(G140="保留",COUNTIF($G$2:G140,"保留"),"")</f>
        <v/>
      </c>
    </row>
    <row r="141">
      <c r="A141" s="12">
        <f>IF(原始資料!$A141="","",原始資料!$A141)</f>
        <v/>
      </c>
      <c r="B141" s="12">
        <f>IF(原始資料!$A141="","",MAX(連續計數!B141:BI141))</f>
        <v/>
      </c>
      <c r="C141" s="12">
        <f>IF(OR(原始資料!$A141="",設定!$B$4=""),"",IF(原始資料!$C141&lt;&gt;設定!$B$4,"是",""))</f>
        <v/>
      </c>
      <c r="D141" s="12">
        <f>IF(OR(原始資料!$A141="",設定!$B$5=""),"",IF(原始資料!$B141&lt;設定!$B$5,"是",""))</f>
        <v/>
      </c>
      <c r="E141" s="12">
        <f>IF(OR(原始資料!$A141="",設定!$B$6=""),"",IF(B141&gt;=設定!$B$6,"是",""))</f>
        <v/>
      </c>
      <c r="F141" s="13" t="n"/>
      <c r="G141" s="12">
        <f>IF(原始資料!$A141="","",IF(OR(C141="是",D141="是",E141="是",F141="是"),"剔除","保留"))</f>
        <v/>
      </c>
      <c r="H141" s="12">
        <f>IF(G141="保留",COUNTIF($G$2:G141,"保留"),"")</f>
        <v/>
      </c>
    </row>
    <row r="142">
      <c r="A142" s="12">
        <f>IF(原始資料!$A142="","",原始資料!$A142)</f>
        <v/>
      </c>
      <c r="B142" s="12">
        <f>IF(原始資料!$A142="","",MAX(連續計數!B142:BI142))</f>
        <v/>
      </c>
      <c r="C142" s="12">
        <f>IF(OR(原始資料!$A142="",設定!$B$4=""),"",IF(原始資料!$C142&lt;&gt;設定!$B$4,"是",""))</f>
        <v/>
      </c>
      <c r="D142" s="12">
        <f>IF(OR(原始資料!$A142="",設定!$B$5=""),"",IF(原始資料!$B142&lt;設定!$B$5,"是",""))</f>
        <v/>
      </c>
      <c r="E142" s="12">
        <f>IF(OR(原始資料!$A142="",設定!$B$6=""),"",IF(B142&gt;=設定!$B$6,"是",""))</f>
        <v/>
      </c>
      <c r="F142" s="13" t="n"/>
      <c r="G142" s="12">
        <f>IF(原始資料!$A142="","",IF(OR(C142="是",D142="是",E142="是",F142="是"),"剔除","保留"))</f>
        <v/>
      </c>
      <c r="H142" s="12">
        <f>IF(G142="保留",COUNTIF($G$2:G142,"保留"),"")</f>
        <v/>
      </c>
    </row>
    <row r="143">
      <c r="A143" s="12">
        <f>IF(原始資料!$A143="","",原始資料!$A143)</f>
        <v/>
      </c>
      <c r="B143" s="12">
        <f>IF(原始資料!$A143="","",MAX(連續計數!B143:BI143))</f>
        <v/>
      </c>
      <c r="C143" s="12">
        <f>IF(OR(原始資料!$A143="",設定!$B$4=""),"",IF(原始資料!$C143&lt;&gt;設定!$B$4,"是",""))</f>
        <v/>
      </c>
      <c r="D143" s="12">
        <f>IF(OR(原始資料!$A143="",設定!$B$5=""),"",IF(原始資料!$B143&lt;設定!$B$5,"是",""))</f>
        <v/>
      </c>
      <c r="E143" s="12">
        <f>IF(OR(原始資料!$A143="",設定!$B$6=""),"",IF(B143&gt;=設定!$B$6,"是",""))</f>
        <v/>
      </c>
      <c r="F143" s="13" t="n"/>
      <c r="G143" s="12">
        <f>IF(原始資料!$A143="","",IF(OR(C143="是",D143="是",E143="是",F143="是"),"剔除","保留"))</f>
        <v/>
      </c>
      <c r="H143" s="12">
        <f>IF(G143="保留",COUNTIF($G$2:G143,"保留"),"")</f>
        <v/>
      </c>
    </row>
    <row r="144">
      <c r="A144" s="12">
        <f>IF(原始資料!$A144="","",原始資料!$A144)</f>
        <v/>
      </c>
      <c r="B144" s="12">
        <f>IF(原始資料!$A144="","",MAX(連續計數!B144:BI144))</f>
        <v/>
      </c>
      <c r="C144" s="12">
        <f>IF(OR(原始資料!$A144="",設定!$B$4=""),"",IF(原始資料!$C144&lt;&gt;設定!$B$4,"是",""))</f>
        <v/>
      </c>
      <c r="D144" s="12">
        <f>IF(OR(原始資料!$A144="",設定!$B$5=""),"",IF(原始資料!$B144&lt;設定!$B$5,"是",""))</f>
        <v/>
      </c>
      <c r="E144" s="12">
        <f>IF(OR(原始資料!$A144="",設定!$B$6=""),"",IF(B144&gt;=設定!$B$6,"是",""))</f>
        <v/>
      </c>
      <c r="F144" s="13" t="n"/>
      <c r="G144" s="12">
        <f>IF(原始資料!$A144="","",IF(OR(C144="是",D144="是",E144="是",F144="是"),"剔除","保留"))</f>
        <v/>
      </c>
      <c r="H144" s="12">
        <f>IF(G144="保留",COUNTIF($G$2:G144,"保留"),"")</f>
        <v/>
      </c>
    </row>
    <row r="145">
      <c r="A145" s="12">
        <f>IF(原始資料!$A145="","",原始資料!$A145)</f>
        <v/>
      </c>
      <c r="B145" s="12">
        <f>IF(原始資料!$A145="","",MAX(連續計數!B145:BI145))</f>
        <v/>
      </c>
      <c r="C145" s="12">
        <f>IF(OR(原始資料!$A145="",設定!$B$4=""),"",IF(原始資料!$C145&lt;&gt;設定!$B$4,"是",""))</f>
        <v/>
      </c>
      <c r="D145" s="12">
        <f>IF(OR(原始資料!$A145="",設定!$B$5=""),"",IF(原始資料!$B145&lt;設定!$B$5,"是",""))</f>
        <v/>
      </c>
      <c r="E145" s="12">
        <f>IF(OR(原始資料!$A145="",設定!$B$6=""),"",IF(B145&gt;=設定!$B$6,"是",""))</f>
        <v/>
      </c>
      <c r="F145" s="13" t="n"/>
      <c r="G145" s="12">
        <f>IF(原始資料!$A145="","",IF(OR(C145="是",D145="是",E145="是",F145="是"),"剔除","保留"))</f>
        <v/>
      </c>
      <c r="H145" s="12">
        <f>IF(G145="保留",COUNTIF($G$2:G145,"保留"),"")</f>
        <v/>
      </c>
    </row>
    <row r="146">
      <c r="A146" s="12">
        <f>IF(原始資料!$A146="","",原始資料!$A146)</f>
        <v/>
      </c>
      <c r="B146" s="12">
        <f>IF(原始資料!$A146="","",MAX(連續計數!B146:BI146))</f>
        <v/>
      </c>
      <c r="C146" s="12">
        <f>IF(OR(原始資料!$A146="",設定!$B$4=""),"",IF(原始資料!$C146&lt;&gt;設定!$B$4,"是",""))</f>
        <v/>
      </c>
      <c r="D146" s="12">
        <f>IF(OR(原始資料!$A146="",設定!$B$5=""),"",IF(原始資料!$B146&lt;設定!$B$5,"是",""))</f>
        <v/>
      </c>
      <c r="E146" s="12">
        <f>IF(OR(原始資料!$A146="",設定!$B$6=""),"",IF(B146&gt;=設定!$B$6,"是",""))</f>
        <v/>
      </c>
      <c r="F146" s="13" t="n"/>
      <c r="G146" s="12">
        <f>IF(原始資料!$A146="","",IF(OR(C146="是",D146="是",E146="是",F146="是"),"剔除","保留"))</f>
        <v/>
      </c>
      <c r="H146" s="12">
        <f>IF(G146="保留",COUNTIF($G$2:G146,"保留"),"")</f>
        <v/>
      </c>
    </row>
    <row r="147">
      <c r="A147" s="12">
        <f>IF(原始資料!$A147="","",原始資料!$A147)</f>
        <v/>
      </c>
      <c r="B147" s="12">
        <f>IF(原始資料!$A147="","",MAX(連續計數!B147:BI147))</f>
        <v/>
      </c>
      <c r="C147" s="12">
        <f>IF(OR(原始資料!$A147="",設定!$B$4=""),"",IF(原始資料!$C147&lt;&gt;設定!$B$4,"是",""))</f>
        <v/>
      </c>
      <c r="D147" s="12">
        <f>IF(OR(原始資料!$A147="",設定!$B$5=""),"",IF(原始資料!$B147&lt;設定!$B$5,"是",""))</f>
        <v/>
      </c>
      <c r="E147" s="12">
        <f>IF(OR(原始資料!$A147="",設定!$B$6=""),"",IF(B147&gt;=設定!$B$6,"是",""))</f>
        <v/>
      </c>
      <c r="F147" s="13" t="n"/>
      <c r="G147" s="12">
        <f>IF(原始資料!$A147="","",IF(OR(C147="是",D147="是",E147="是",F147="是"),"剔除","保留"))</f>
        <v/>
      </c>
      <c r="H147" s="12">
        <f>IF(G147="保留",COUNTIF($G$2:G147,"保留"),"")</f>
        <v/>
      </c>
    </row>
    <row r="148">
      <c r="A148" s="12">
        <f>IF(原始資料!$A148="","",原始資料!$A148)</f>
        <v/>
      </c>
      <c r="B148" s="12">
        <f>IF(原始資料!$A148="","",MAX(連續計數!B148:BI148))</f>
        <v/>
      </c>
      <c r="C148" s="12">
        <f>IF(OR(原始資料!$A148="",設定!$B$4=""),"",IF(原始資料!$C148&lt;&gt;設定!$B$4,"是",""))</f>
        <v/>
      </c>
      <c r="D148" s="12">
        <f>IF(OR(原始資料!$A148="",設定!$B$5=""),"",IF(原始資料!$B148&lt;設定!$B$5,"是",""))</f>
        <v/>
      </c>
      <c r="E148" s="12">
        <f>IF(OR(原始資料!$A148="",設定!$B$6=""),"",IF(B148&gt;=設定!$B$6,"是",""))</f>
        <v/>
      </c>
      <c r="F148" s="13" t="n"/>
      <c r="G148" s="12">
        <f>IF(原始資料!$A148="","",IF(OR(C148="是",D148="是",E148="是",F148="是"),"剔除","保留"))</f>
        <v/>
      </c>
      <c r="H148" s="12">
        <f>IF(G148="保留",COUNTIF($G$2:G148,"保留"),"")</f>
        <v/>
      </c>
    </row>
    <row r="149">
      <c r="A149" s="12">
        <f>IF(原始資料!$A149="","",原始資料!$A149)</f>
        <v/>
      </c>
      <c r="B149" s="12">
        <f>IF(原始資料!$A149="","",MAX(連續計數!B149:BI149))</f>
        <v/>
      </c>
      <c r="C149" s="12">
        <f>IF(OR(原始資料!$A149="",設定!$B$4=""),"",IF(原始資料!$C149&lt;&gt;設定!$B$4,"是",""))</f>
        <v/>
      </c>
      <c r="D149" s="12">
        <f>IF(OR(原始資料!$A149="",設定!$B$5=""),"",IF(原始資料!$B149&lt;設定!$B$5,"是",""))</f>
        <v/>
      </c>
      <c r="E149" s="12">
        <f>IF(OR(原始資料!$A149="",設定!$B$6=""),"",IF(B149&gt;=設定!$B$6,"是",""))</f>
        <v/>
      </c>
      <c r="F149" s="13" t="n"/>
      <c r="G149" s="12">
        <f>IF(原始資料!$A149="","",IF(OR(C149="是",D149="是",E149="是",F149="是"),"剔除","保留"))</f>
        <v/>
      </c>
      <c r="H149" s="12">
        <f>IF(G149="保留",COUNTIF($G$2:G149,"保留"),"")</f>
        <v/>
      </c>
    </row>
    <row r="150">
      <c r="A150" s="12">
        <f>IF(原始資料!$A150="","",原始資料!$A150)</f>
        <v/>
      </c>
      <c r="B150" s="12">
        <f>IF(原始資料!$A150="","",MAX(連續計數!B150:BI150))</f>
        <v/>
      </c>
      <c r="C150" s="12">
        <f>IF(OR(原始資料!$A150="",設定!$B$4=""),"",IF(原始資料!$C150&lt;&gt;設定!$B$4,"是",""))</f>
        <v/>
      </c>
      <c r="D150" s="12">
        <f>IF(OR(原始資料!$A150="",設定!$B$5=""),"",IF(原始資料!$B150&lt;設定!$B$5,"是",""))</f>
        <v/>
      </c>
      <c r="E150" s="12">
        <f>IF(OR(原始資料!$A150="",設定!$B$6=""),"",IF(B150&gt;=設定!$B$6,"是",""))</f>
        <v/>
      </c>
      <c r="F150" s="13" t="n"/>
      <c r="G150" s="12">
        <f>IF(原始資料!$A150="","",IF(OR(C150="是",D150="是",E150="是",F150="是"),"剔除","保留"))</f>
        <v/>
      </c>
      <c r="H150" s="12">
        <f>IF(G150="保留",COUNTIF($G$2:G150,"保留"),"")</f>
        <v/>
      </c>
    </row>
    <row r="151">
      <c r="A151" s="12">
        <f>IF(原始資料!$A151="","",原始資料!$A151)</f>
        <v/>
      </c>
      <c r="B151" s="12">
        <f>IF(原始資料!$A151="","",MAX(連續計數!B151:BI151))</f>
        <v/>
      </c>
      <c r="C151" s="12">
        <f>IF(OR(原始資料!$A151="",設定!$B$4=""),"",IF(原始資料!$C151&lt;&gt;設定!$B$4,"是",""))</f>
        <v/>
      </c>
      <c r="D151" s="12">
        <f>IF(OR(原始資料!$A151="",設定!$B$5=""),"",IF(原始資料!$B151&lt;設定!$B$5,"是",""))</f>
        <v/>
      </c>
      <c r="E151" s="12">
        <f>IF(OR(原始資料!$A151="",設定!$B$6=""),"",IF(B151&gt;=設定!$B$6,"是",""))</f>
        <v/>
      </c>
      <c r="F151" s="13" t="n"/>
      <c r="G151" s="12">
        <f>IF(原始資料!$A151="","",IF(OR(C151="是",D151="是",E151="是",F151="是"),"剔除","保留"))</f>
        <v/>
      </c>
      <c r="H151" s="12">
        <f>IF(G151="保留",COUNTIF($G$2:G151,"保留"),"")</f>
        <v/>
      </c>
    </row>
    <row r="152">
      <c r="A152" s="12">
        <f>IF(原始資料!$A152="","",原始資料!$A152)</f>
        <v/>
      </c>
      <c r="B152" s="12">
        <f>IF(原始資料!$A152="","",MAX(連續計數!B152:BI152))</f>
        <v/>
      </c>
      <c r="C152" s="12">
        <f>IF(OR(原始資料!$A152="",設定!$B$4=""),"",IF(原始資料!$C152&lt;&gt;設定!$B$4,"是",""))</f>
        <v/>
      </c>
      <c r="D152" s="12">
        <f>IF(OR(原始資料!$A152="",設定!$B$5=""),"",IF(原始資料!$B152&lt;設定!$B$5,"是",""))</f>
        <v/>
      </c>
      <c r="E152" s="12">
        <f>IF(OR(原始資料!$A152="",設定!$B$6=""),"",IF(B152&gt;=設定!$B$6,"是",""))</f>
        <v/>
      </c>
      <c r="F152" s="13" t="n"/>
      <c r="G152" s="12">
        <f>IF(原始資料!$A152="","",IF(OR(C152="是",D152="是",E152="是",F152="是"),"剔除","保留"))</f>
        <v/>
      </c>
      <c r="H152" s="12">
        <f>IF(G152="保留",COUNTIF($G$2:G152,"保留"),"")</f>
        <v/>
      </c>
    </row>
    <row r="153">
      <c r="A153" s="12">
        <f>IF(原始資料!$A153="","",原始資料!$A153)</f>
        <v/>
      </c>
      <c r="B153" s="12">
        <f>IF(原始資料!$A153="","",MAX(連續計數!B153:BI153))</f>
        <v/>
      </c>
      <c r="C153" s="12">
        <f>IF(OR(原始資料!$A153="",設定!$B$4=""),"",IF(原始資料!$C153&lt;&gt;設定!$B$4,"是",""))</f>
        <v/>
      </c>
      <c r="D153" s="12">
        <f>IF(OR(原始資料!$A153="",設定!$B$5=""),"",IF(原始資料!$B153&lt;設定!$B$5,"是",""))</f>
        <v/>
      </c>
      <c r="E153" s="12">
        <f>IF(OR(原始資料!$A153="",設定!$B$6=""),"",IF(B153&gt;=設定!$B$6,"是",""))</f>
        <v/>
      </c>
      <c r="F153" s="13" t="n"/>
      <c r="G153" s="12">
        <f>IF(原始資料!$A153="","",IF(OR(C153="是",D153="是",E153="是",F153="是"),"剔除","保留"))</f>
        <v/>
      </c>
      <c r="H153" s="12">
        <f>IF(G153="保留",COUNTIF($G$2:G153,"保留"),"")</f>
        <v/>
      </c>
    </row>
    <row r="154">
      <c r="A154" s="12">
        <f>IF(原始資料!$A154="","",原始資料!$A154)</f>
        <v/>
      </c>
      <c r="B154" s="12">
        <f>IF(原始資料!$A154="","",MAX(連續計數!B154:BI154))</f>
        <v/>
      </c>
      <c r="C154" s="12">
        <f>IF(OR(原始資料!$A154="",設定!$B$4=""),"",IF(原始資料!$C154&lt;&gt;設定!$B$4,"是",""))</f>
        <v/>
      </c>
      <c r="D154" s="12">
        <f>IF(OR(原始資料!$A154="",設定!$B$5=""),"",IF(原始資料!$B154&lt;設定!$B$5,"是",""))</f>
        <v/>
      </c>
      <c r="E154" s="12">
        <f>IF(OR(原始資料!$A154="",設定!$B$6=""),"",IF(B154&gt;=設定!$B$6,"是",""))</f>
        <v/>
      </c>
      <c r="F154" s="13" t="n"/>
      <c r="G154" s="12">
        <f>IF(原始資料!$A154="","",IF(OR(C154="是",D154="是",E154="是",F154="是"),"剔除","保留"))</f>
        <v/>
      </c>
      <c r="H154" s="12">
        <f>IF(G154="保留",COUNTIF($G$2:G154,"保留"),"")</f>
        <v/>
      </c>
    </row>
    <row r="155">
      <c r="A155" s="12">
        <f>IF(原始資料!$A155="","",原始資料!$A155)</f>
        <v/>
      </c>
      <c r="B155" s="12">
        <f>IF(原始資料!$A155="","",MAX(連續計數!B155:BI155))</f>
        <v/>
      </c>
      <c r="C155" s="12">
        <f>IF(OR(原始資料!$A155="",設定!$B$4=""),"",IF(原始資料!$C155&lt;&gt;設定!$B$4,"是",""))</f>
        <v/>
      </c>
      <c r="D155" s="12">
        <f>IF(OR(原始資料!$A155="",設定!$B$5=""),"",IF(原始資料!$B155&lt;設定!$B$5,"是",""))</f>
        <v/>
      </c>
      <c r="E155" s="12">
        <f>IF(OR(原始資料!$A155="",設定!$B$6=""),"",IF(B155&gt;=設定!$B$6,"是",""))</f>
        <v/>
      </c>
      <c r="F155" s="13" t="n"/>
      <c r="G155" s="12">
        <f>IF(原始資料!$A155="","",IF(OR(C155="是",D155="是",E155="是",F155="是"),"剔除","保留"))</f>
        <v/>
      </c>
      <c r="H155" s="12">
        <f>IF(G155="保留",COUNTIF($G$2:G155,"保留"),"")</f>
        <v/>
      </c>
    </row>
    <row r="156">
      <c r="A156" s="12">
        <f>IF(原始資料!$A156="","",原始資料!$A156)</f>
        <v/>
      </c>
      <c r="B156" s="12">
        <f>IF(原始資料!$A156="","",MAX(連續計數!B156:BI156))</f>
        <v/>
      </c>
      <c r="C156" s="12">
        <f>IF(OR(原始資料!$A156="",設定!$B$4=""),"",IF(原始資料!$C156&lt;&gt;設定!$B$4,"是",""))</f>
        <v/>
      </c>
      <c r="D156" s="12">
        <f>IF(OR(原始資料!$A156="",設定!$B$5=""),"",IF(原始資料!$B156&lt;設定!$B$5,"是",""))</f>
        <v/>
      </c>
      <c r="E156" s="12">
        <f>IF(OR(原始資料!$A156="",設定!$B$6=""),"",IF(B156&gt;=設定!$B$6,"是",""))</f>
        <v/>
      </c>
      <c r="F156" s="13" t="n"/>
      <c r="G156" s="12">
        <f>IF(原始資料!$A156="","",IF(OR(C156="是",D156="是",E156="是",F156="是"),"剔除","保留"))</f>
        <v/>
      </c>
      <c r="H156" s="12">
        <f>IF(G156="保留",COUNTIF($G$2:G156,"保留"),"")</f>
        <v/>
      </c>
    </row>
    <row r="157">
      <c r="A157" s="12">
        <f>IF(原始資料!$A157="","",原始資料!$A157)</f>
        <v/>
      </c>
      <c r="B157" s="12">
        <f>IF(原始資料!$A157="","",MAX(連續計數!B157:BI157))</f>
        <v/>
      </c>
      <c r="C157" s="12">
        <f>IF(OR(原始資料!$A157="",設定!$B$4=""),"",IF(原始資料!$C157&lt;&gt;設定!$B$4,"是",""))</f>
        <v/>
      </c>
      <c r="D157" s="12">
        <f>IF(OR(原始資料!$A157="",設定!$B$5=""),"",IF(原始資料!$B157&lt;設定!$B$5,"是",""))</f>
        <v/>
      </c>
      <c r="E157" s="12">
        <f>IF(OR(原始資料!$A157="",設定!$B$6=""),"",IF(B157&gt;=設定!$B$6,"是",""))</f>
        <v/>
      </c>
      <c r="F157" s="13" t="n"/>
      <c r="G157" s="12">
        <f>IF(原始資料!$A157="","",IF(OR(C157="是",D157="是",E157="是",F157="是"),"剔除","保留"))</f>
        <v/>
      </c>
      <c r="H157" s="12">
        <f>IF(G157="保留",COUNTIF($G$2:G157,"保留"),"")</f>
        <v/>
      </c>
    </row>
    <row r="158">
      <c r="A158" s="12">
        <f>IF(原始資料!$A158="","",原始資料!$A158)</f>
        <v/>
      </c>
      <c r="B158" s="12">
        <f>IF(原始資料!$A158="","",MAX(連續計數!B158:BI158))</f>
        <v/>
      </c>
      <c r="C158" s="12">
        <f>IF(OR(原始資料!$A158="",設定!$B$4=""),"",IF(原始資料!$C158&lt;&gt;設定!$B$4,"是",""))</f>
        <v/>
      </c>
      <c r="D158" s="12">
        <f>IF(OR(原始資料!$A158="",設定!$B$5=""),"",IF(原始資料!$B158&lt;設定!$B$5,"是",""))</f>
        <v/>
      </c>
      <c r="E158" s="12">
        <f>IF(OR(原始資料!$A158="",設定!$B$6=""),"",IF(B158&gt;=設定!$B$6,"是",""))</f>
        <v/>
      </c>
      <c r="F158" s="13" t="n"/>
      <c r="G158" s="12">
        <f>IF(原始資料!$A158="","",IF(OR(C158="是",D158="是",E158="是",F158="是"),"剔除","保留"))</f>
        <v/>
      </c>
      <c r="H158" s="12">
        <f>IF(G158="保留",COUNTIF($G$2:G158,"保留"),"")</f>
        <v/>
      </c>
    </row>
    <row r="159">
      <c r="A159" s="12">
        <f>IF(原始資料!$A159="","",原始資料!$A159)</f>
        <v/>
      </c>
      <c r="B159" s="12">
        <f>IF(原始資料!$A159="","",MAX(連續計數!B159:BI159))</f>
        <v/>
      </c>
      <c r="C159" s="12">
        <f>IF(OR(原始資料!$A159="",設定!$B$4=""),"",IF(原始資料!$C159&lt;&gt;設定!$B$4,"是",""))</f>
        <v/>
      </c>
      <c r="D159" s="12">
        <f>IF(OR(原始資料!$A159="",設定!$B$5=""),"",IF(原始資料!$B159&lt;設定!$B$5,"是",""))</f>
        <v/>
      </c>
      <c r="E159" s="12">
        <f>IF(OR(原始資料!$A159="",設定!$B$6=""),"",IF(B159&gt;=設定!$B$6,"是",""))</f>
        <v/>
      </c>
      <c r="F159" s="13" t="n"/>
      <c r="G159" s="12">
        <f>IF(原始資料!$A159="","",IF(OR(C159="是",D159="是",E159="是",F159="是"),"剔除","保留"))</f>
        <v/>
      </c>
      <c r="H159" s="12">
        <f>IF(G159="保留",COUNTIF($G$2:G159,"保留"),"")</f>
        <v/>
      </c>
    </row>
    <row r="160">
      <c r="A160" s="12">
        <f>IF(原始資料!$A160="","",原始資料!$A160)</f>
        <v/>
      </c>
      <c r="B160" s="12">
        <f>IF(原始資料!$A160="","",MAX(連續計數!B160:BI160))</f>
        <v/>
      </c>
      <c r="C160" s="12">
        <f>IF(OR(原始資料!$A160="",設定!$B$4=""),"",IF(原始資料!$C160&lt;&gt;設定!$B$4,"是",""))</f>
        <v/>
      </c>
      <c r="D160" s="12">
        <f>IF(OR(原始資料!$A160="",設定!$B$5=""),"",IF(原始資料!$B160&lt;設定!$B$5,"是",""))</f>
        <v/>
      </c>
      <c r="E160" s="12">
        <f>IF(OR(原始資料!$A160="",設定!$B$6=""),"",IF(B160&gt;=設定!$B$6,"是",""))</f>
        <v/>
      </c>
      <c r="F160" s="13" t="n"/>
      <c r="G160" s="12">
        <f>IF(原始資料!$A160="","",IF(OR(C160="是",D160="是",E160="是",F160="是"),"剔除","保留"))</f>
        <v/>
      </c>
      <c r="H160" s="12">
        <f>IF(G160="保留",COUNTIF($G$2:G160,"保留"),"")</f>
        <v/>
      </c>
    </row>
    <row r="161">
      <c r="A161" s="12">
        <f>IF(原始資料!$A161="","",原始資料!$A161)</f>
        <v/>
      </c>
      <c r="B161" s="12">
        <f>IF(原始資料!$A161="","",MAX(連續計數!B161:BI161))</f>
        <v/>
      </c>
      <c r="C161" s="12">
        <f>IF(OR(原始資料!$A161="",設定!$B$4=""),"",IF(原始資料!$C161&lt;&gt;設定!$B$4,"是",""))</f>
        <v/>
      </c>
      <c r="D161" s="12">
        <f>IF(OR(原始資料!$A161="",設定!$B$5=""),"",IF(原始資料!$B161&lt;設定!$B$5,"是",""))</f>
        <v/>
      </c>
      <c r="E161" s="12">
        <f>IF(OR(原始資料!$A161="",設定!$B$6=""),"",IF(B161&gt;=設定!$B$6,"是",""))</f>
        <v/>
      </c>
      <c r="F161" s="13" t="n"/>
      <c r="G161" s="12">
        <f>IF(原始資料!$A161="","",IF(OR(C161="是",D161="是",E161="是",F161="是"),"剔除","保留"))</f>
        <v/>
      </c>
      <c r="H161" s="12">
        <f>IF(G161="保留",COUNTIF($G$2:G161,"保留"),"")</f>
        <v/>
      </c>
    </row>
    <row r="162">
      <c r="A162" s="12">
        <f>IF(原始資料!$A162="","",原始資料!$A162)</f>
        <v/>
      </c>
      <c r="B162" s="12">
        <f>IF(原始資料!$A162="","",MAX(連續計數!B162:BI162))</f>
        <v/>
      </c>
      <c r="C162" s="12">
        <f>IF(OR(原始資料!$A162="",設定!$B$4=""),"",IF(原始資料!$C162&lt;&gt;設定!$B$4,"是",""))</f>
        <v/>
      </c>
      <c r="D162" s="12">
        <f>IF(OR(原始資料!$A162="",設定!$B$5=""),"",IF(原始資料!$B162&lt;設定!$B$5,"是",""))</f>
        <v/>
      </c>
      <c r="E162" s="12">
        <f>IF(OR(原始資料!$A162="",設定!$B$6=""),"",IF(B162&gt;=設定!$B$6,"是",""))</f>
        <v/>
      </c>
      <c r="F162" s="13" t="n"/>
      <c r="G162" s="12">
        <f>IF(原始資料!$A162="","",IF(OR(C162="是",D162="是",E162="是",F162="是"),"剔除","保留"))</f>
        <v/>
      </c>
      <c r="H162" s="12">
        <f>IF(G162="保留",COUNTIF($G$2:G162,"保留"),"")</f>
        <v/>
      </c>
    </row>
    <row r="163">
      <c r="A163" s="12">
        <f>IF(原始資料!$A163="","",原始資料!$A163)</f>
        <v/>
      </c>
      <c r="B163" s="12">
        <f>IF(原始資料!$A163="","",MAX(連續計數!B163:BI163))</f>
        <v/>
      </c>
      <c r="C163" s="12">
        <f>IF(OR(原始資料!$A163="",設定!$B$4=""),"",IF(原始資料!$C163&lt;&gt;設定!$B$4,"是",""))</f>
        <v/>
      </c>
      <c r="D163" s="12">
        <f>IF(OR(原始資料!$A163="",設定!$B$5=""),"",IF(原始資料!$B163&lt;設定!$B$5,"是",""))</f>
        <v/>
      </c>
      <c r="E163" s="12">
        <f>IF(OR(原始資料!$A163="",設定!$B$6=""),"",IF(B163&gt;=設定!$B$6,"是",""))</f>
        <v/>
      </c>
      <c r="F163" s="13" t="n"/>
      <c r="G163" s="12">
        <f>IF(原始資料!$A163="","",IF(OR(C163="是",D163="是",E163="是",F163="是"),"剔除","保留"))</f>
        <v/>
      </c>
      <c r="H163" s="12">
        <f>IF(G163="保留",COUNTIF($G$2:G163,"保留"),"")</f>
        <v/>
      </c>
    </row>
    <row r="164">
      <c r="A164" s="12">
        <f>IF(原始資料!$A164="","",原始資料!$A164)</f>
        <v/>
      </c>
      <c r="B164" s="12">
        <f>IF(原始資料!$A164="","",MAX(連續計數!B164:BI164))</f>
        <v/>
      </c>
      <c r="C164" s="12">
        <f>IF(OR(原始資料!$A164="",設定!$B$4=""),"",IF(原始資料!$C164&lt;&gt;設定!$B$4,"是",""))</f>
        <v/>
      </c>
      <c r="D164" s="12">
        <f>IF(OR(原始資料!$A164="",設定!$B$5=""),"",IF(原始資料!$B164&lt;設定!$B$5,"是",""))</f>
        <v/>
      </c>
      <c r="E164" s="12">
        <f>IF(OR(原始資料!$A164="",設定!$B$6=""),"",IF(B164&gt;=設定!$B$6,"是",""))</f>
        <v/>
      </c>
      <c r="F164" s="13" t="n"/>
      <c r="G164" s="12">
        <f>IF(原始資料!$A164="","",IF(OR(C164="是",D164="是",E164="是",F164="是"),"剔除","保留"))</f>
        <v/>
      </c>
      <c r="H164" s="12">
        <f>IF(G164="保留",COUNTIF($G$2:G164,"保留"),"")</f>
        <v/>
      </c>
    </row>
    <row r="165">
      <c r="A165" s="12">
        <f>IF(原始資料!$A165="","",原始資料!$A165)</f>
        <v/>
      </c>
      <c r="B165" s="12">
        <f>IF(原始資料!$A165="","",MAX(連續計數!B165:BI165))</f>
        <v/>
      </c>
      <c r="C165" s="12">
        <f>IF(OR(原始資料!$A165="",設定!$B$4=""),"",IF(原始資料!$C165&lt;&gt;設定!$B$4,"是",""))</f>
        <v/>
      </c>
      <c r="D165" s="12">
        <f>IF(OR(原始資料!$A165="",設定!$B$5=""),"",IF(原始資料!$B165&lt;設定!$B$5,"是",""))</f>
        <v/>
      </c>
      <c r="E165" s="12">
        <f>IF(OR(原始資料!$A165="",設定!$B$6=""),"",IF(B165&gt;=設定!$B$6,"是",""))</f>
        <v/>
      </c>
      <c r="F165" s="13" t="n"/>
      <c r="G165" s="12">
        <f>IF(原始資料!$A165="","",IF(OR(C165="是",D165="是",E165="是",F165="是"),"剔除","保留"))</f>
        <v/>
      </c>
      <c r="H165" s="12">
        <f>IF(G165="保留",COUNTIF($G$2:G165,"保留"),"")</f>
        <v/>
      </c>
    </row>
    <row r="166">
      <c r="A166" s="12">
        <f>IF(原始資料!$A166="","",原始資料!$A166)</f>
        <v/>
      </c>
      <c r="B166" s="12">
        <f>IF(原始資料!$A166="","",MAX(連續計數!B166:BI166))</f>
        <v/>
      </c>
      <c r="C166" s="12">
        <f>IF(OR(原始資料!$A166="",設定!$B$4=""),"",IF(原始資料!$C166&lt;&gt;設定!$B$4,"是",""))</f>
        <v/>
      </c>
      <c r="D166" s="12">
        <f>IF(OR(原始資料!$A166="",設定!$B$5=""),"",IF(原始資料!$B166&lt;設定!$B$5,"是",""))</f>
        <v/>
      </c>
      <c r="E166" s="12">
        <f>IF(OR(原始資料!$A166="",設定!$B$6=""),"",IF(B166&gt;=設定!$B$6,"是",""))</f>
        <v/>
      </c>
      <c r="F166" s="13" t="n"/>
      <c r="G166" s="12">
        <f>IF(原始資料!$A166="","",IF(OR(C166="是",D166="是",E166="是",F166="是"),"剔除","保留"))</f>
        <v/>
      </c>
      <c r="H166" s="12">
        <f>IF(G166="保留",COUNTIF($G$2:G166,"保留"),"")</f>
        <v/>
      </c>
    </row>
    <row r="167">
      <c r="A167" s="12">
        <f>IF(原始資料!$A167="","",原始資料!$A167)</f>
        <v/>
      </c>
      <c r="B167" s="12">
        <f>IF(原始資料!$A167="","",MAX(連續計數!B167:BI167))</f>
        <v/>
      </c>
      <c r="C167" s="12">
        <f>IF(OR(原始資料!$A167="",設定!$B$4=""),"",IF(原始資料!$C167&lt;&gt;設定!$B$4,"是",""))</f>
        <v/>
      </c>
      <c r="D167" s="12">
        <f>IF(OR(原始資料!$A167="",設定!$B$5=""),"",IF(原始資料!$B167&lt;設定!$B$5,"是",""))</f>
        <v/>
      </c>
      <c r="E167" s="12">
        <f>IF(OR(原始資料!$A167="",設定!$B$6=""),"",IF(B167&gt;=設定!$B$6,"是",""))</f>
        <v/>
      </c>
      <c r="F167" s="13" t="n"/>
      <c r="G167" s="12">
        <f>IF(原始資料!$A167="","",IF(OR(C167="是",D167="是",E167="是",F167="是"),"剔除","保留"))</f>
        <v/>
      </c>
      <c r="H167" s="12">
        <f>IF(G167="保留",COUNTIF($G$2:G167,"保留"),"")</f>
        <v/>
      </c>
    </row>
    <row r="168">
      <c r="A168" s="12">
        <f>IF(原始資料!$A168="","",原始資料!$A168)</f>
        <v/>
      </c>
      <c r="B168" s="12">
        <f>IF(原始資料!$A168="","",MAX(連續計數!B168:BI168))</f>
        <v/>
      </c>
      <c r="C168" s="12">
        <f>IF(OR(原始資料!$A168="",設定!$B$4=""),"",IF(原始資料!$C168&lt;&gt;設定!$B$4,"是",""))</f>
        <v/>
      </c>
      <c r="D168" s="12">
        <f>IF(OR(原始資料!$A168="",設定!$B$5=""),"",IF(原始資料!$B168&lt;設定!$B$5,"是",""))</f>
        <v/>
      </c>
      <c r="E168" s="12">
        <f>IF(OR(原始資料!$A168="",設定!$B$6=""),"",IF(B168&gt;=設定!$B$6,"是",""))</f>
        <v/>
      </c>
      <c r="F168" s="13" t="n"/>
      <c r="G168" s="12">
        <f>IF(原始資料!$A168="","",IF(OR(C168="是",D168="是",E168="是",F168="是"),"剔除","保留"))</f>
        <v/>
      </c>
      <c r="H168" s="12">
        <f>IF(G168="保留",COUNTIF($G$2:G168,"保留"),"")</f>
        <v/>
      </c>
    </row>
    <row r="169">
      <c r="A169" s="12">
        <f>IF(原始資料!$A169="","",原始資料!$A169)</f>
        <v/>
      </c>
      <c r="B169" s="12">
        <f>IF(原始資料!$A169="","",MAX(連續計數!B169:BI169))</f>
        <v/>
      </c>
      <c r="C169" s="12">
        <f>IF(OR(原始資料!$A169="",設定!$B$4=""),"",IF(原始資料!$C169&lt;&gt;設定!$B$4,"是",""))</f>
        <v/>
      </c>
      <c r="D169" s="12">
        <f>IF(OR(原始資料!$A169="",設定!$B$5=""),"",IF(原始資料!$B169&lt;設定!$B$5,"是",""))</f>
        <v/>
      </c>
      <c r="E169" s="12">
        <f>IF(OR(原始資料!$A169="",設定!$B$6=""),"",IF(B169&gt;=設定!$B$6,"是",""))</f>
        <v/>
      </c>
      <c r="F169" s="13" t="n"/>
      <c r="G169" s="12">
        <f>IF(原始資料!$A169="","",IF(OR(C169="是",D169="是",E169="是",F169="是"),"剔除","保留"))</f>
        <v/>
      </c>
      <c r="H169" s="12">
        <f>IF(G169="保留",COUNTIF($G$2:G169,"保留"),"")</f>
        <v/>
      </c>
    </row>
    <row r="170">
      <c r="A170" s="12">
        <f>IF(原始資料!$A170="","",原始資料!$A170)</f>
        <v/>
      </c>
      <c r="B170" s="12">
        <f>IF(原始資料!$A170="","",MAX(連續計數!B170:BI170))</f>
        <v/>
      </c>
      <c r="C170" s="12">
        <f>IF(OR(原始資料!$A170="",設定!$B$4=""),"",IF(原始資料!$C170&lt;&gt;設定!$B$4,"是",""))</f>
        <v/>
      </c>
      <c r="D170" s="12">
        <f>IF(OR(原始資料!$A170="",設定!$B$5=""),"",IF(原始資料!$B170&lt;設定!$B$5,"是",""))</f>
        <v/>
      </c>
      <c r="E170" s="12">
        <f>IF(OR(原始資料!$A170="",設定!$B$6=""),"",IF(B170&gt;=設定!$B$6,"是",""))</f>
        <v/>
      </c>
      <c r="F170" s="13" t="n"/>
      <c r="G170" s="12">
        <f>IF(原始資料!$A170="","",IF(OR(C170="是",D170="是",E170="是",F170="是"),"剔除","保留"))</f>
        <v/>
      </c>
      <c r="H170" s="12">
        <f>IF(G170="保留",COUNTIF($G$2:G170,"保留"),"")</f>
        <v/>
      </c>
    </row>
    <row r="171">
      <c r="A171" s="12">
        <f>IF(原始資料!$A171="","",原始資料!$A171)</f>
        <v/>
      </c>
      <c r="B171" s="12">
        <f>IF(原始資料!$A171="","",MAX(連續計數!B171:BI171))</f>
        <v/>
      </c>
      <c r="C171" s="12">
        <f>IF(OR(原始資料!$A171="",設定!$B$4=""),"",IF(原始資料!$C171&lt;&gt;設定!$B$4,"是",""))</f>
        <v/>
      </c>
      <c r="D171" s="12">
        <f>IF(OR(原始資料!$A171="",設定!$B$5=""),"",IF(原始資料!$B171&lt;設定!$B$5,"是",""))</f>
        <v/>
      </c>
      <c r="E171" s="12">
        <f>IF(OR(原始資料!$A171="",設定!$B$6=""),"",IF(B171&gt;=設定!$B$6,"是",""))</f>
        <v/>
      </c>
      <c r="F171" s="13" t="n"/>
      <c r="G171" s="12">
        <f>IF(原始資料!$A171="","",IF(OR(C171="是",D171="是",E171="是",F171="是"),"剔除","保留"))</f>
        <v/>
      </c>
      <c r="H171" s="12">
        <f>IF(G171="保留",COUNTIF($G$2:G171,"保留"),"")</f>
        <v/>
      </c>
    </row>
    <row r="172">
      <c r="A172" s="12">
        <f>IF(原始資料!$A172="","",原始資料!$A172)</f>
        <v/>
      </c>
      <c r="B172" s="12">
        <f>IF(原始資料!$A172="","",MAX(連續計數!B172:BI172))</f>
        <v/>
      </c>
      <c r="C172" s="12">
        <f>IF(OR(原始資料!$A172="",設定!$B$4=""),"",IF(原始資料!$C172&lt;&gt;設定!$B$4,"是",""))</f>
        <v/>
      </c>
      <c r="D172" s="12">
        <f>IF(OR(原始資料!$A172="",設定!$B$5=""),"",IF(原始資料!$B172&lt;設定!$B$5,"是",""))</f>
        <v/>
      </c>
      <c r="E172" s="12">
        <f>IF(OR(原始資料!$A172="",設定!$B$6=""),"",IF(B172&gt;=設定!$B$6,"是",""))</f>
        <v/>
      </c>
      <c r="F172" s="13" t="n"/>
      <c r="G172" s="12">
        <f>IF(原始資料!$A172="","",IF(OR(C172="是",D172="是",E172="是",F172="是"),"剔除","保留"))</f>
        <v/>
      </c>
      <c r="H172" s="12">
        <f>IF(G172="保留",COUNTIF($G$2:G172,"保留"),"")</f>
        <v/>
      </c>
    </row>
    <row r="173">
      <c r="A173" s="12">
        <f>IF(原始資料!$A173="","",原始資料!$A173)</f>
        <v/>
      </c>
      <c r="B173" s="12">
        <f>IF(原始資料!$A173="","",MAX(連續計數!B173:BI173))</f>
        <v/>
      </c>
      <c r="C173" s="12">
        <f>IF(OR(原始資料!$A173="",設定!$B$4=""),"",IF(原始資料!$C173&lt;&gt;設定!$B$4,"是",""))</f>
        <v/>
      </c>
      <c r="D173" s="12">
        <f>IF(OR(原始資料!$A173="",設定!$B$5=""),"",IF(原始資料!$B173&lt;設定!$B$5,"是",""))</f>
        <v/>
      </c>
      <c r="E173" s="12">
        <f>IF(OR(原始資料!$A173="",設定!$B$6=""),"",IF(B173&gt;=設定!$B$6,"是",""))</f>
        <v/>
      </c>
      <c r="F173" s="13" t="n"/>
      <c r="G173" s="12">
        <f>IF(原始資料!$A173="","",IF(OR(C173="是",D173="是",E173="是",F173="是"),"剔除","保留"))</f>
        <v/>
      </c>
      <c r="H173" s="12">
        <f>IF(G173="保留",COUNTIF($G$2:G173,"保留"),"")</f>
        <v/>
      </c>
    </row>
    <row r="174">
      <c r="A174" s="12">
        <f>IF(原始資料!$A174="","",原始資料!$A174)</f>
        <v/>
      </c>
      <c r="B174" s="12">
        <f>IF(原始資料!$A174="","",MAX(連續計數!B174:BI174))</f>
        <v/>
      </c>
      <c r="C174" s="12">
        <f>IF(OR(原始資料!$A174="",設定!$B$4=""),"",IF(原始資料!$C174&lt;&gt;設定!$B$4,"是",""))</f>
        <v/>
      </c>
      <c r="D174" s="12">
        <f>IF(OR(原始資料!$A174="",設定!$B$5=""),"",IF(原始資料!$B174&lt;設定!$B$5,"是",""))</f>
        <v/>
      </c>
      <c r="E174" s="12">
        <f>IF(OR(原始資料!$A174="",設定!$B$6=""),"",IF(B174&gt;=設定!$B$6,"是",""))</f>
        <v/>
      </c>
      <c r="F174" s="13" t="n"/>
      <c r="G174" s="12">
        <f>IF(原始資料!$A174="","",IF(OR(C174="是",D174="是",E174="是",F174="是"),"剔除","保留"))</f>
        <v/>
      </c>
      <c r="H174" s="12">
        <f>IF(G174="保留",COUNTIF($G$2:G174,"保留"),"")</f>
        <v/>
      </c>
    </row>
    <row r="175">
      <c r="A175" s="12">
        <f>IF(原始資料!$A175="","",原始資料!$A175)</f>
        <v/>
      </c>
      <c r="B175" s="12">
        <f>IF(原始資料!$A175="","",MAX(連續計數!B175:BI175))</f>
        <v/>
      </c>
      <c r="C175" s="12">
        <f>IF(OR(原始資料!$A175="",設定!$B$4=""),"",IF(原始資料!$C175&lt;&gt;設定!$B$4,"是",""))</f>
        <v/>
      </c>
      <c r="D175" s="12">
        <f>IF(OR(原始資料!$A175="",設定!$B$5=""),"",IF(原始資料!$B175&lt;設定!$B$5,"是",""))</f>
        <v/>
      </c>
      <c r="E175" s="12">
        <f>IF(OR(原始資料!$A175="",設定!$B$6=""),"",IF(B175&gt;=設定!$B$6,"是",""))</f>
        <v/>
      </c>
      <c r="F175" s="13" t="n"/>
      <c r="G175" s="12">
        <f>IF(原始資料!$A175="","",IF(OR(C175="是",D175="是",E175="是",F175="是"),"剔除","保留"))</f>
        <v/>
      </c>
      <c r="H175" s="12">
        <f>IF(G175="保留",COUNTIF($G$2:G175,"保留"),"")</f>
        <v/>
      </c>
    </row>
    <row r="176">
      <c r="A176" s="12">
        <f>IF(原始資料!$A176="","",原始資料!$A176)</f>
        <v/>
      </c>
      <c r="B176" s="12">
        <f>IF(原始資料!$A176="","",MAX(連續計數!B176:BI176))</f>
        <v/>
      </c>
      <c r="C176" s="12">
        <f>IF(OR(原始資料!$A176="",設定!$B$4=""),"",IF(原始資料!$C176&lt;&gt;設定!$B$4,"是",""))</f>
        <v/>
      </c>
      <c r="D176" s="12">
        <f>IF(OR(原始資料!$A176="",設定!$B$5=""),"",IF(原始資料!$B176&lt;設定!$B$5,"是",""))</f>
        <v/>
      </c>
      <c r="E176" s="12">
        <f>IF(OR(原始資料!$A176="",設定!$B$6=""),"",IF(B176&gt;=設定!$B$6,"是",""))</f>
        <v/>
      </c>
      <c r="F176" s="13" t="n"/>
      <c r="G176" s="12">
        <f>IF(原始資料!$A176="","",IF(OR(C176="是",D176="是",E176="是",F176="是"),"剔除","保留"))</f>
        <v/>
      </c>
      <c r="H176" s="12">
        <f>IF(G176="保留",COUNTIF($G$2:G176,"保留"),"")</f>
        <v/>
      </c>
    </row>
    <row r="177">
      <c r="A177" s="12">
        <f>IF(原始資料!$A177="","",原始資料!$A177)</f>
        <v/>
      </c>
      <c r="B177" s="12">
        <f>IF(原始資料!$A177="","",MAX(連續計數!B177:BI177))</f>
        <v/>
      </c>
      <c r="C177" s="12">
        <f>IF(OR(原始資料!$A177="",設定!$B$4=""),"",IF(原始資料!$C177&lt;&gt;設定!$B$4,"是",""))</f>
        <v/>
      </c>
      <c r="D177" s="12">
        <f>IF(OR(原始資料!$A177="",設定!$B$5=""),"",IF(原始資料!$B177&lt;設定!$B$5,"是",""))</f>
        <v/>
      </c>
      <c r="E177" s="12">
        <f>IF(OR(原始資料!$A177="",設定!$B$6=""),"",IF(B177&gt;=設定!$B$6,"是",""))</f>
        <v/>
      </c>
      <c r="F177" s="13" t="n"/>
      <c r="G177" s="12">
        <f>IF(原始資料!$A177="","",IF(OR(C177="是",D177="是",E177="是",F177="是"),"剔除","保留"))</f>
        <v/>
      </c>
      <c r="H177" s="12">
        <f>IF(G177="保留",COUNTIF($G$2:G177,"保留"),"")</f>
        <v/>
      </c>
    </row>
    <row r="178">
      <c r="A178" s="12">
        <f>IF(原始資料!$A178="","",原始資料!$A178)</f>
        <v/>
      </c>
      <c r="B178" s="12">
        <f>IF(原始資料!$A178="","",MAX(連續計數!B178:BI178))</f>
        <v/>
      </c>
      <c r="C178" s="12">
        <f>IF(OR(原始資料!$A178="",設定!$B$4=""),"",IF(原始資料!$C178&lt;&gt;設定!$B$4,"是",""))</f>
        <v/>
      </c>
      <c r="D178" s="12">
        <f>IF(OR(原始資料!$A178="",設定!$B$5=""),"",IF(原始資料!$B178&lt;設定!$B$5,"是",""))</f>
        <v/>
      </c>
      <c r="E178" s="12">
        <f>IF(OR(原始資料!$A178="",設定!$B$6=""),"",IF(B178&gt;=設定!$B$6,"是",""))</f>
        <v/>
      </c>
      <c r="F178" s="13" t="n"/>
      <c r="G178" s="12">
        <f>IF(原始資料!$A178="","",IF(OR(C178="是",D178="是",E178="是",F178="是"),"剔除","保留"))</f>
        <v/>
      </c>
      <c r="H178" s="12">
        <f>IF(G178="保留",COUNTIF($G$2:G178,"保留"),"")</f>
        <v/>
      </c>
    </row>
    <row r="179">
      <c r="A179" s="12">
        <f>IF(原始資料!$A179="","",原始資料!$A179)</f>
        <v/>
      </c>
      <c r="B179" s="12">
        <f>IF(原始資料!$A179="","",MAX(連續計數!B179:BI179))</f>
        <v/>
      </c>
      <c r="C179" s="12">
        <f>IF(OR(原始資料!$A179="",設定!$B$4=""),"",IF(原始資料!$C179&lt;&gt;設定!$B$4,"是",""))</f>
        <v/>
      </c>
      <c r="D179" s="12">
        <f>IF(OR(原始資料!$A179="",設定!$B$5=""),"",IF(原始資料!$B179&lt;設定!$B$5,"是",""))</f>
        <v/>
      </c>
      <c r="E179" s="12">
        <f>IF(OR(原始資料!$A179="",設定!$B$6=""),"",IF(B179&gt;=設定!$B$6,"是",""))</f>
        <v/>
      </c>
      <c r="F179" s="13" t="n"/>
      <c r="G179" s="12">
        <f>IF(原始資料!$A179="","",IF(OR(C179="是",D179="是",E179="是",F179="是"),"剔除","保留"))</f>
        <v/>
      </c>
      <c r="H179" s="12">
        <f>IF(G179="保留",COUNTIF($G$2:G179,"保留"),"")</f>
        <v/>
      </c>
    </row>
    <row r="180">
      <c r="A180" s="12">
        <f>IF(原始資料!$A180="","",原始資料!$A180)</f>
        <v/>
      </c>
      <c r="B180" s="12">
        <f>IF(原始資料!$A180="","",MAX(連續計數!B180:BI180))</f>
        <v/>
      </c>
      <c r="C180" s="12">
        <f>IF(OR(原始資料!$A180="",設定!$B$4=""),"",IF(原始資料!$C180&lt;&gt;設定!$B$4,"是",""))</f>
        <v/>
      </c>
      <c r="D180" s="12">
        <f>IF(OR(原始資料!$A180="",設定!$B$5=""),"",IF(原始資料!$B180&lt;設定!$B$5,"是",""))</f>
        <v/>
      </c>
      <c r="E180" s="12">
        <f>IF(OR(原始資料!$A180="",設定!$B$6=""),"",IF(B180&gt;=設定!$B$6,"是",""))</f>
        <v/>
      </c>
      <c r="F180" s="13" t="n"/>
      <c r="G180" s="12">
        <f>IF(原始資料!$A180="","",IF(OR(C180="是",D180="是",E180="是",F180="是"),"剔除","保留"))</f>
        <v/>
      </c>
      <c r="H180" s="12">
        <f>IF(G180="保留",COUNTIF($G$2:G180,"保留"),"")</f>
        <v/>
      </c>
    </row>
    <row r="181">
      <c r="A181" s="12">
        <f>IF(原始資料!$A181="","",原始資料!$A181)</f>
        <v/>
      </c>
      <c r="B181" s="12">
        <f>IF(原始資料!$A181="","",MAX(連續計數!B181:BI181))</f>
        <v/>
      </c>
      <c r="C181" s="12">
        <f>IF(OR(原始資料!$A181="",設定!$B$4=""),"",IF(原始資料!$C181&lt;&gt;設定!$B$4,"是",""))</f>
        <v/>
      </c>
      <c r="D181" s="12">
        <f>IF(OR(原始資料!$A181="",設定!$B$5=""),"",IF(原始資料!$B181&lt;設定!$B$5,"是",""))</f>
        <v/>
      </c>
      <c r="E181" s="12">
        <f>IF(OR(原始資料!$A181="",設定!$B$6=""),"",IF(B181&gt;=設定!$B$6,"是",""))</f>
        <v/>
      </c>
      <c r="F181" s="13" t="n"/>
      <c r="G181" s="12">
        <f>IF(原始資料!$A181="","",IF(OR(C181="是",D181="是",E181="是",F181="是"),"剔除","保留"))</f>
        <v/>
      </c>
      <c r="H181" s="12">
        <f>IF(G181="保留",COUNTIF($G$2:G181,"保留"),"")</f>
        <v/>
      </c>
    </row>
    <row r="182">
      <c r="A182" s="12">
        <f>IF(原始資料!$A182="","",原始資料!$A182)</f>
        <v/>
      </c>
      <c r="B182" s="12">
        <f>IF(原始資料!$A182="","",MAX(連續計數!B182:BI182))</f>
        <v/>
      </c>
      <c r="C182" s="12">
        <f>IF(OR(原始資料!$A182="",設定!$B$4=""),"",IF(原始資料!$C182&lt;&gt;設定!$B$4,"是",""))</f>
        <v/>
      </c>
      <c r="D182" s="12">
        <f>IF(OR(原始資料!$A182="",設定!$B$5=""),"",IF(原始資料!$B182&lt;設定!$B$5,"是",""))</f>
        <v/>
      </c>
      <c r="E182" s="12">
        <f>IF(OR(原始資料!$A182="",設定!$B$6=""),"",IF(B182&gt;=設定!$B$6,"是",""))</f>
        <v/>
      </c>
      <c r="F182" s="13" t="n"/>
      <c r="G182" s="12">
        <f>IF(原始資料!$A182="","",IF(OR(C182="是",D182="是",E182="是",F182="是"),"剔除","保留"))</f>
        <v/>
      </c>
      <c r="H182" s="12">
        <f>IF(G182="保留",COUNTIF($G$2:G182,"保留"),"")</f>
        <v/>
      </c>
    </row>
    <row r="183">
      <c r="A183" s="12">
        <f>IF(原始資料!$A183="","",原始資料!$A183)</f>
        <v/>
      </c>
      <c r="B183" s="12">
        <f>IF(原始資料!$A183="","",MAX(連續計數!B183:BI183))</f>
        <v/>
      </c>
      <c r="C183" s="12">
        <f>IF(OR(原始資料!$A183="",設定!$B$4=""),"",IF(原始資料!$C183&lt;&gt;設定!$B$4,"是",""))</f>
        <v/>
      </c>
      <c r="D183" s="12">
        <f>IF(OR(原始資料!$A183="",設定!$B$5=""),"",IF(原始資料!$B183&lt;設定!$B$5,"是",""))</f>
        <v/>
      </c>
      <c r="E183" s="12">
        <f>IF(OR(原始資料!$A183="",設定!$B$6=""),"",IF(B183&gt;=設定!$B$6,"是",""))</f>
        <v/>
      </c>
      <c r="F183" s="13" t="n"/>
      <c r="G183" s="12">
        <f>IF(原始資料!$A183="","",IF(OR(C183="是",D183="是",E183="是",F183="是"),"剔除","保留"))</f>
        <v/>
      </c>
      <c r="H183" s="12">
        <f>IF(G183="保留",COUNTIF($G$2:G183,"保留"),"")</f>
        <v/>
      </c>
    </row>
    <row r="184">
      <c r="A184" s="12">
        <f>IF(原始資料!$A184="","",原始資料!$A184)</f>
        <v/>
      </c>
      <c r="B184" s="12">
        <f>IF(原始資料!$A184="","",MAX(連續計數!B184:BI184))</f>
        <v/>
      </c>
      <c r="C184" s="12">
        <f>IF(OR(原始資料!$A184="",設定!$B$4=""),"",IF(原始資料!$C184&lt;&gt;設定!$B$4,"是",""))</f>
        <v/>
      </c>
      <c r="D184" s="12">
        <f>IF(OR(原始資料!$A184="",設定!$B$5=""),"",IF(原始資料!$B184&lt;設定!$B$5,"是",""))</f>
        <v/>
      </c>
      <c r="E184" s="12">
        <f>IF(OR(原始資料!$A184="",設定!$B$6=""),"",IF(B184&gt;=設定!$B$6,"是",""))</f>
        <v/>
      </c>
      <c r="F184" s="13" t="n"/>
      <c r="G184" s="12">
        <f>IF(原始資料!$A184="","",IF(OR(C184="是",D184="是",E184="是",F184="是"),"剔除","保留"))</f>
        <v/>
      </c>
      <c r="H184" s="12">
        <f>IF(G184="保留",COUNTIF($G$2:G184,"保留"),"")</f>
        <v/>
      </c>
    </row>
    <row r="185">
      <c r="A185" s="12">
        <f>IF(原始資料!$A185="","",原始資料!$A185)</f>
        <v/>
      </c>
      <c r="B185" s="12">
        <f>IF(原始資料!$A185="","",MAX(連續計數!B185:BI185))</f>
        <v/>
      </c>
      <c r="C185" s="12">
        <f>IF(OR(原始資料!$A185="",設定!$B$4=""),"",IF(原始資料!$C185&lt;&gt;設定!$B$4,"是",""))</f>
        <v/>
      </c>
      <c r="D185" s="12">
        <f>IF(OR(原始資料!$A185="",設定!$B$5=""),"",IF(原始資料!$B185&lt;設定!$B$5,"是",""))</f>
        <v/>
      </c>
      <c r="E185" s="12">
        <f>IF(OR(原始資料!$A185="",設定!$B$6=""),"",IF(B185&gt;=設定!$B$6,"是",""))</f>
        <v/>
      </c>
      <c r="F185" s="13" t="n"/>
      <c r="G185" s="12">
        <f>IF(原始資料!$A185="","",IF(OR(C185="是",D185="是",E185="是",F185="是"),"剔除","保留"))</f>
        <v/>
      </c>
      <c r="H185" s="12">
        <f>IF(G185="保留",COUNTIF($G$2:G185,"保留"),"")</f>
        <v/>
      </c>
    </row>
    <row r="186">
      <c r="A186" s="12">
        <f>IF(原始資料!$A186="","",原始資料!$A186)</f>
        <v/>
      </c>
      <c r="B186" s="12">
        <f>IF(原始資料!$A186="","",MAX(連續計數!B186:BI186))</f>
        <v/>
      </c>
      <c r="C186" s="12">
        <f>IF(OR(原始資料!$A186="",設定!$B$4=""),"",IF(原始資料!$C186&lt;&gt;設定!$B$4,"是",""))</f>
        <v/>
      </c>
      <c r="D186" s="12">
        <f>IF(OR(原始資料!$A186="",設定!$B$5=""),"",IF(原始資料!$B186&lt;設定!$B$5,"是",""))</f>
        <v/>
      </c>
      <c r="E186" s="12">
        <f>IF(OR(原始資料!$A186="",設定!$B$6=""),"",IF(B186&gt;=設定!$B$6,"是",""))</f>
        <v/>
      </c>
      <c r="F186" s="13" t="n"/>
      <c r="G186" s="12">
        <f>IF(原始資料!$A186="","",IF(OR(C186="是",D186="是",E186="是",F186="是"),"剔除","保留"))</f>
        <v/>
      </c>
      <c r="H186" s="12">
        <f>IF(G186="保留",COUNTIF($G$2:G186,"保留"),"")</f>
        <v/>
      </c>
    </row>
    <row r="187">
      <c r="A187" s="12">
        <f>IF(原始資料!$A187="","",原始資料!$A187)</f>
        <v/>
      </c>
      <c r="B187" s="12">
        <f>IF(原始資料!$A187="","",MAX(連續計數!B187:BI187))</f>
        <v/>
      </c>
      <c r="C187" s="12">
        <f>IF(OR(原始資料!$A187="",設定!$B$4=""),"",IF(原始資料!$C187&lt;&gt;設定!$B$4,"是",""))</f>
        <v/>
      </c>
      <c r="D187" s="12">
        <f>IF(OR(原始資料!$A187="",設定!$B$5=""),"",IF(原始資料!$B187&lt;設定!$B$5,"是",""))</f>
        <v/>
      </c>
      <c r="E187" s="12">
        <f>IF(OR(原始資料!$A187="",設定!$B$6=""),"",IF(B187&gt;=設定!$B$6,"是",""))</f>
        <v/>
      </c>
      <c r="F187" s="13" t="n"/>
      <c r="G187" s="12">
        <f>IF(原始資料!$A187="","",IF(OR(C187="是",D187="是",E187="是",F187="是"),"剔除","保留"))</f>
        <v/>
      </c>
      <c r="H187" s="12">
        <f>IF(G187="保留",COUNTIF($G$2:G187,"保留"),"")</f>
        <v/>
      </c>
    </row>
    <row r="188">
      <c r="A188" s="12">
        <f>IF(原始資料!$A188="","",原始資料!$A188)</f>
        <v/>
      </c>
      <c r="B188" s="12">
        <f>IF(原始資料!$A188="","",MAX(連續計數!B188:BI188))</f>
        <v/>
      </c>
      <c r="C188" s="12">
        <f>IF(OR(原始資料!$A188="",設定!$B$4=""),"",IF(原始資料!$C188&lt;&gt;設定!$B$4,"是",""))</f>
        <v/>
      </c>
      <c r="D188" s="12">
        <f>IF(OR(原始資料!$A188="",設定!$B$5=""),"",IF(原始資料!$B188&lt;設定!$B$5,"是",""))</f>
        <v/>
      </c>
      <c r="E188" s="12">
        <f>IF(OR(原始資料!$A188="",設定!$B$6=""),"",IF(B188&gt;=設定!$B$6,"是",""))</f>
        <v/>
      </c>
      <c r="F188" s="13" t="n"/>
      <c r="G188" s="12">
        <f>IF(原始資料!$A188="","",IF(OR(C188="是",D188="是",E188="是",F188="是"),"剔除","保留"))</f>
        <v/>
      </c>
      <c r="H188" s="12">
        <f>IF(G188="保留",COUNTIF($G$2:G188,"保留"),"")</f>
        <v/>
      </c>
    </row>
    <row r="189">
      <c r="A189" s="12">
        <f>IF(原始資料!$A189="","",原始資料!$A189)</f>
        <v/>
      </c>
      <c r="B189" s="12">
        <f>IF(原始資料!$A189="","",MAX(連續計數!B189:BI189))</f>
        <v/>
      </c>
      <c r="C189" s="12">
        <f>IF(OR(原始資料!$A189="",設定!$B$4=""),"",IF(原始資料!$C189&lt;&gt;設定!$B$4,"是",""))</f>
        <v/>
      </c>
      <c r="D189" s="12">
        <f>IF(OR(原始資料!$A189="",設定!$B$5=""),"",IF(原始資料!$B189&lt;設定!$B$5,"是",""))</f>
        <v/>
      </c>
      <c r="E189" s="12">
        <f>IF(OR(原始資料!$A189="",設定!$B$6=""),"",IF(B189&gt;=設定!$B$6,"是",""))</f>
        <v/>
      </c>
      <c r="F189" s="13" t="n"/>
      <c r="G189" s="12">
        <f>IF(原始資料!$A189="","",IF(OR(C189="是",D189="是",E189="是",F189="是"),"剔除","保留"))</f>
        <v/>
      </c>
      <c r="H189" s="12">
        <f>IF(G189="保留",COUNTIF($G$2:G189,"保留"),"")</f>
        <v/>
      </c>
    </row>
    <row r="190">
      <c r="A190" s="12">
        <f>IF(原始資料!$A190="","",原始資料!$A190)</f>
        <v/>
      </c>
      <c r="B190" s="12">
        <f>IF(原始資料!$A190="","",MAX(連續計數!B190:BI190))</f>
        <v/>
      </c>
      <c r="C190" s="12">
        <f>IF(OR(原始資料!$A190="",設定!$B$4=""),"",IF(原始資料!$C190&lt;&gt;設定!$B$4,"是",""))</f>
        <v/>
      </c>
      <c r="D190" s="12">
        <f>IF(OR(原始資料!$A190="",設定!$B$5=""),"",IF(原始資料!$B190&lt;設定!$B$5,"是",""))</f>
        <v/>
      </c>
      <c r="E190" s="12">
        <f>IF(OR(原始資料!$A190="",設定!$B$6=""),"",IF(B190&gt;=設定!$B$6,"是",""))</f>
        <v/>
      </c>
      <c r="F190" s="13" t="n"/>
      <c r="G190" s="12">
        <f>IF(原始資料!$A190="","",IF(OR(C190="是",D190="是",E190="是",F190="是"),"剔除","保留"))</f>
        <v/>
      </c>
      <c r="H190" s="12">
        <f>IF(G190="保留",COUNTIF($G$2:G190,"保留"),"")</f>
        <v/>
      </c>
    </row>
    <row r="191">
      <c r="A191" s="12">
        <f>IF(原始資料!$A191="","",原始資料!$A191)</f>
        <v/>
      </c>
      <c r="B191" s="12">
        <f>IF(原始資料!$A191="","",MAX(連續計數!B191:BI191))</f>
        <v/>
      </c>
      <c r="C191" s="12">
        <f>IF(OR(原始資料!$A191="",設定!$B$4=""),"",IF(原始資料!$C191&lt;&gt;設定!$B$4,"是",""))</f>
        <v/>
      </c>
      <c r="D191" s="12">
        <f>IF(OR(原始資料!$A191="",設定!$B$5=""),"",IF(原始資料!$B191&lt;設定!$B$5,"是",""))</f>
        <v/>
      </c>
      <c r="E191" s="12">
        <f>IF(OR(原始資料!$A191="",設定!$B$6=""),"",IF(B191&gt;=設定!$B$6,"是",""))</f>
        <v/>
      </c>
      <c r="F191" s="13" t="n"/>
      <c r="G191" s="12">
        <f>IF(原始資料!$A191="","",IF(OR(C191="是",D191="是",E191="是",F191="是"),"剔除","保留"))</f>
        <v/>
      </c>
      <c r="H191" s="12">
        <f>IF(G191="保留",COUNTIF($G$2:G191,"保留"),"")</f>
        <v/>
      </c>
    </row>
    <row r="192">
      <c r="A192" s="12">
        <f>IF(原始資料!$A192="","",原始資料!$A192)</f>
        <v/>
      </c>
      <c r="B192" s="12">
        <f>IF(原始資料!$A192="","",MAX(連續計數!B192:BI192))</f>
        <v/>
      </c>
      <c r="C192" s="12">
        <f>IF(OR(原始資料!$A192="",設定!$B$4=""),"",IF(原始資料!$C192&lt;&gt;設定!$B$4,"是",""))</f>
        <v/>
      </c>
      <c r="D192" s="12">
        <f>IF(OR(原始資料!$A192="",設定!$B$5=""),"",IF(原始資料!$B192&lt;設定!$B$5,"是",""))</f>
        <v/>
      </c>
      <c r="E192" s="12">
        <f>IF(OR(原始資料!$A192="",設定!$B$6=""),"",IF(B192&gt;=設定!$B$6,"是",""))</f>
        <v/>
      </c>
      <c r="F192" s="13" t="n"/>
      <c r="G192" s="12">
        <f>IF(原始資料!$A192="","",IF(OR(C192="是",D192="是",E192="是",F192="是"),"剔除","保留"))</f>
        <v/>
      </c>
      <c r="H192" s="12">
        <f>IF(G192="保留",COUNTIF($G$2:G192,"保留"),"")</f>
        <v/>
      </c>
    </row>
    <row r="193">
      <c r="A193" s="12">
        <f>IF(原始資料!$A193="","",原始資料!$A193)</f>
        <v/>
      </c>
      <c r="B193" s="12">
        <f>IF(原始資料!$A193="","",MAX(連續計數!B193:BI193))</f>
        <v/>
      </c>
      <c r="C193" s="12">
        <f>IF(OR(原始資料!$A193="",設定!$B$4=""),"",IF(原始資料!$C193&lt;&gt;設定!$B$4,"是",""))</f>
        <v/>
      </c>
      <c r="D193" s="12">
        <f>IF(OR(原始資料!$A193="",設定!$B$5=""),"",IF(原始資料!$B193&lt;設定!$B$5,"是",""))</f>
        <v/>
      </c>
      <c r="E193" s="12">
        <f>IF(OR(原始資料!$A193="",設定!$B$6=""),"",IF(B193&gt;=設定!$B$6,"是",""))</f>
        <v/>
      </c>
      <c r="F193" s="13" t="n"/>
      <c r="G193" s="12">
        <f>IF(原始資料!$A193="","",IF(OR(C193="是",D193="是",E193="是",F193="是"),"剔除","保留"))</f>
        <v/>
      </c>
      <c r="H193" s="12">
        <f>IF(G193="保留",COUNTIF($G$2:G193,"保留"),"")</f>
        <v/>
      </c>
    </row>
    <row r="194">
      <c r="A194" s="12">
        <f>IF(原始資料!$A194="","",原始資料!$A194)</f>
        <v/>
      </c>
      <c r="B194" s="12">
        <f>IF(原始資料!$A194="","",MAX(連續計數!B194:BI194))</f>
        <v/>
      </c>
      <c r="C194" s="12">
        <f>IF(OR(原始資料!$A194="",設定!$B$4=""),"",IF(原始資料!$C194&lt;&gt;設定!$B$4,"是",""))</f>
        <v/>
      </c>
      <c r="D194" s="12">
        <f>IF(OR(原始資料!$A194="",設定!$B$5=""),"",IF(原始資料!$B194&lt;設定!$B$5,"是",""))</f>
        <v/>
      </c>
      <c r="E194" s="12">
        <f>IF(OR(原始資料!$A194="",設定!$B$6=""),"",IF(B194&gt;=設定!$B$6,"是",""))</f>
        <v/>
      </c>
      <c r="F194" s="13" t="n"/>
      <c r="G194" s="12">
        <f>IF(原始資料!$A194="","",IF(OR(C194="是",D194="是",E194="是",F194="是"),"剔除","保留"))</f>
        <v/>
      </c>
      <c r="H194" s="12">
        <f>IF(G194="保留",COUNTIF($G$2:G194,"保留"),"")</f>
        <v/>
      </c>
    </row>
    <row r="195">
      <c r="A195" s="12">
        <f>IF(原始資料!$A195="","",原始資料!$A195)</f>
        <v/>
      </c>
      <c r="B195" s="12">
        <f>IF(原始資料!$A195="","",MAX(連續計數!B195:BI195))</f>
        <v/>
      </c>
      <c r="C195" s="12">
        <f>IF(OR(原始資料!$A195="",設定!$B$4=""),"",IF(原始資料!$C195&lt;&gt;設定!$B$4,"是",""))</f>
        <v/>
      </c>
      <c r="D195" s="12">
        <f>IF(OR(原始資料!$A195="",設定!$B$5=""),"",IF(原始資料!$B195&lt;設定!$B$5,"是",""))</f>
        <v/>
      </c>
      <c r="E195" s="12">
        <f>IF(OR(原始資料!$A195="",設定!$B$6=""),"",IF(B195&gt;=設定!$B$6,"是",""))</f>
        <v/>
      </c>
      <c r="F195" s="13" t="n"/>
      <c r="G195" s="12">
        <f>IF(原始資料!$A195="","",IF(OR(C195="是",D195="是",E195="是",F195="是"),"剔除","保留"))</f>
        <v/>
      </c>
      <c r="H195" s="12">
        <f>IF(G195="保留",COUNTIF($G$2:G195,"保留"),"")</f>
        <v/>
      </c>
    </row>
    <row r="196">
      <c r="A196" s="12">
        <f>IF(原始資料!$A196="","",原始資料!$A196)</f>
        <v/>
      </c>
      <c r="B196" s="12">
        <f>IF(原始資料!$A196="","",MAX(連續計數!B196:BI196))</f>
        <v/>
      </c>
      <c r="C196" s="12">
        <f>IF(OR(原始資料!$A196="",設定!$B$4=""),"",IF(原始資料!$C196&lt;&gt;設定!$B$4,"是",""))</f>
        <v/>
      </c>
      <c r="D196" s="12">
        <f>IF(OR(原始資料!$A196="",設定!$B$5=""),"",IF(原始資料!$B196&lt;設定!$B$5,"是",""))</f>
        <v/>
      </c>
      <c r="E196" s="12">
        <f>IF(OR(原始資料!$A196="",設定!$B$6=""),"",IF(B196&gt;=設定!$B$6,"是",""))</f>
        <v/>
      </c>
      <c r="F196" s="13" t="n"/>
      <c r="G196" s="12">
        <f>IF(原始資料!$A196="","",IF(OR(C196="是",D196="是",E196="是",F196="是"),"剔除","保留"))</f>
        <v/>
      </c>
      <c r="H196" s="12">
        <f>IF(G196="保留",COUNTIF($G$2:G196,"保留"),"")</f>
        <v/>
      </c>
    </row>
    <row r="197">
      <c r="A197" s="12">
        <f>IF(原始資料!$A197="","",原始資料!$A197)</f>
        <v/>
      </c>
      <c r="B197" s="12">
        <f>IF(原始資料!$A197="","",MAX(連續計數!B197:BI197))</f>
        <v/>
      </c>
      <c r="C197" s="12">
        <f>IF(OR(原始資料!$A197="",設定!$B$4=""),"",IF(原始資料!$C197&lt;&gt;設定!$B$4,"是",""))</f>
        <v/>
      </c>
      <c r="D197" s="12">
        <f>IF(OR(原始資料!$A197="",設定!$B$5=""),"",IF(原始資料!$B197&lt;設定!$B$5,"是",""))</f>
        <v/>
      </c>
      <c r="E197" s="12">
        <f>IF(OR(原始資料!$A197="",設定!$B$6=""),"",IF(B197&gt;=設定!$B$6,"是",""))</f>
        <v/>
      </c>
      <c r="F197" s="13" t="n"/>
      <c r="G197" s="12">
        <f>IF(原始資料!$A197="","",IF(OR(C197="是",D197="是",E197="是",F197="是"),"剔除","保留"))</f>
        <v/>
      </c>
      <c r="H197" s="12">
        <f>IF(G197="保留",COUNTIF($G$2:G197,"保留"),"")</f>
        <v/>
      </c>
    </row>
    <row r="198">
      <c r="A198" s="12">
        <f>IF(原始資料!$A198="","",原始資料!$A198)</f>
        <v/>
      </c>
      <c r="B198" s="12">
        <f>IF(原始資料!$A198="","",MAX(連續計數!B198:BI198))</f>
        <v/>
      </c>
      <c r="C198" s="12">
        <f>IF(OR(原始資料!$A198="",設定!$B$4=""),"",IF(原始資料!$C198&lt;&gt;設定!$B$4,"是",""))</f>
        <v/>
      </c>
      <c r="D198" s="12">
        <f>IF(OR(原始資料!$A198="",設定!$B$5=""),"",IF(原始資料!$B198&lt;設定!$B$5,"是",""))</f>
        <v/>
      </c>
      <c r="E198" s="12">
        <f>IF(OR(原始資料!$A198="",設定!$B$6=""),"",IF(B198&gt;=設定!$B$6,"是",""))</f>
        <v/>
      </c>
      <c r="F198" s="13" t="n"/>
      <c r="G198" s="12">
        <f>IF(原始資料!$A198="","",IF(OR(C198="是",D198="是",E198="是",F198="是"),"剔除","保留"))</f>
        <v/>
      </c>
      <c r="H198" s="12">
        <f>IF(G198="保留",COUNTIF($G$2:G198,"保留"),"")</f>
        <v/>
      </c>
    </row>
    <row r="199">
      <c r="A199" s="12">
        <f>IF(原始資料!$A199="","",原始資料!$A199)</f>
        <v/>
      </c>
      <c r="B199" s="12">
        <f>IF(原始資料!$A199="","",MAX(連續計數!B199:BI199))</f>
        <v/>
      </c>
      <c r="C199" s="12">
        <f>IF(OR(原始資料!$A199="",設定!$B$4=""),"",IF(原始資料!$C199&lt;&gt;設定!$B$4,"是",""))</f>
        <v/>
      </c>
      <c r="D199" s="12">
        <f>IF(OR(原始資料!$A199="",設定!$B$5=""),"",IF(原始資料!$B199&lt;設定!$B$5,"是",""))</f>
        <v/>
      </c>
      <c r="E199" s="12">
        <f>IF(OR(原始資料!$A199="",設定!$B$6=""),"",IF(B199&gt;=設定!$B$6,"是",""))</f>
        <v/>
      </c>
      <c r="F199" s="13" t="n"/>
      <c r="G199" s="12">
        <f>IF(原始資料!$A199="","",IF(OR(C199="是",D199="是",E199="是",F199="是"),"剔除","保留"))</f>
        <v/>
      </c>
      <c r="H199" s="12">
        <f>IF(G199="保留",COUNTIF($G$2:G199,"保留"),"")</f>
        <v/>
      </c>
    </row>
    <row r="200">
      <c r="A200" s="12">
        <f>IF(原始資料!$A200="","",原始資料!$A200)</f>
        <v/>
      </c>
      <c r="B200" s="12">
        <f>IF(原始資料!$A200="","",MAX(連續計數!B200:BI200))</f>
        <v/>
      </c>
      <c r="C200" s="12">
        <f>IF(OR(原始資料!$A200="",設定!$B$4=""),"",IF(原始資料!$C200&lt;&gt;設定!$B$4,"是",""))</f>
        <v/>
      </c>
      <c r="D200" s="12">
        <f>IF(OR(原始資料!$A200="",設定!$B$5=""),"",IF(原始資料!$B200&lt;設定!$B$5,"是",""))</f>
        <v/>
      </c>
      <c r="E200" s="12">
        <f>IF(OR(原始資料!$A200="",設定!$B$6=""),"",IF(B200&gt;=設定!$B$6,"是",""))</f>
        <v/>
      </c>
      <c r="F200" s="13" t="n"/>
      <c r="G200" s="12">
        <f>IF(原始資料!$A200="","",IF(OR(C200="是",D200="是",E200="是",F200="是"),"剔除","保留"))</f>
        <v/>
      </c>
      <c r="H200" s="12">
        <f>IF(G200="保留",COUNTIF($G$2:G200,"保留"),"")</f>
        <v/>
      </c>
    </row>
    <row r="201">
      <c r="A201" s="12">
        <f>IF(原始資料!$A201="","",原始資料!$A201)</f>
        <v/>
      </c>
      <c r="B201" s="12">
        <f>IF(原始資料!$A201="","",MAX(連續計數!B201:BI201))</f>
        <v/>
      </c>
      <c r="C201" s="12">
        <f>IF(OR(原始資料!$A201="",設定!$B$4=""),"",IF(原始資料!$C201&lt;&gt;設定!$B$4,"是",""))</f>
        <v/>
      </c>
      <c r="D201" s="12">
        <f>IF(OR(原始資料!$A201="",設定!$B$5=""),"",IF(原始資料!$B201&lt;設定!$B$5,"是",""))</f>
        <v/>
      </c>
      <c r="E201" s="12">
        <f>IF(OR(原始資料!$A201="",設定!$B$6=""),"",IF(B201&gt;=設定!$B$6,"是",""))</f>
        <v/>
      </c>
      <c r="F201" s="13" t="n"/>
      <c r="G201" s="12">
        <f>IF(原始資料!$A201="","",IF(OR(C201="是",D201="是",E201="是",F201="是"),"剔除","保留"))</f>
        <v/>
      </c>
      <c r="H201" s="12">
        <f>IF(G201="保留",COUNTIF($G$2:G201,"保留"),"")</f>
        <v/>
      </c>
    </row>
    <row r="202">
      <c r="A202" s="12">
        <f>IF(原始資料!$A202="","",原始資料!$A202)</f>
        <v/>
      </c>
      <c r="B202" s="12">
        <f>IF(原始資料!$A202="","",MAX(連續計數!B202:BI202))</f>
        <v/>
      </c>
      <c r="C202" s="12">
        <f>IF(OR(原始資料!$A202="",設定!$B$4=""),"",IF(原始資料!$C202&lt;&gt;設定!$B$4,"是",""))</f>
        <v/>
      </c>
      <c r="D202" s="12">
        <f>IF(OR(原始資料!$A202="",設定!$B$5=""),"",IF(原始資料!$B202&lt;設定!$B$5,"是",""))</f>
        <v/>
      </c>
      <c r="E202" s="12">
        <f>IF(OR(原始資料!$A202="",設定!$B$6=""),"",IF(B202&gt;=設定!$B$6,"是",""))</f>
        <v/>
      </c>
      <c r="F202" s="13" t="n"/>
      <c r="G202" s="12">
        <f>IF(原始資料!$A202="","",IF(OR(C202="是",D202="是",E202="是",F202="是"),"剔除","保留"))</f>
        <v/>
      </c>
      <c r="H202" s="12">
        <f>IF(G202="保留",COUNTIF($G$2:G202,"保留"),"")</f>
        <v/>
      </c>
    </row>
    <row r="203">
      <c r="A203" s="12">
        <f>IF(原始資料!$A203="","",原始資料!$A203)</f>
        <v/>
      </c>
      <c r="B203" s="12">
        <f>IF(原始資料!$A203="","",MAX(連續計數!B203:BI203))</f>
        <v/>
      </c>
      <c r="C203" s="12">
        <f>IF(OR(原始資料!$A203="",設定!$B$4=""),"",IF(原始資料!$C203&lt;&gt;設定!$B$4,"是",""))</f>
        <v/>
      </c>
      <c r="D203" s="12">
        <f>IF(OR(原始資料!$A203="",設定!$B$5=""),"",IF(原始資料!$B203&lt;設定!$B$5,"是",""))</f>
        <v/>
      </c>
      <c r="E203" s="12">
        <f>IF(OR(原始資料!$A203="",設定!$B$6=""),"",IF(B203&gt;=設定!$B$6,"是",""))</f>
        <v/>
      </c>
      <c r="F203" s="13" t="n"/>
      <c r="G203" s="12">
        <f>IF(原始資料!$A203="","",IF(OR(C203="是",D203="是",E203="是",F203="是"),"剔除","保留"))</f>
        <v/>
      </c>
      <c r="H203" s="12">
        <f>IF(G203="保留",COUNTIF($G$2:G203,"保留"),"")</f>
        <v/>
      </c>
    </row>
    <row r="204">
      <c r="A204" s="12">
        <f>IF(原始資料!$A204="","",原始資料!$A204)</f>
        <v/>
      </c>
      <c r="B204" s="12">
        <f>IF(原始資料!$A204="","",MAX(連續計數!B204:BI204))</f>
        <v/>
      </c>
      <c r="C204" s="12">
        <f>IF(OR(原始資料!$A204="",設定!$B$4=""),"",IF(原始資料!$C204&lt;&gt;設定!$B$4,"是",""))</f>
        <v/>
      </c>
      <c r="D204" s="12">
        <f>IF(OR(原始資料!$A204="",設定!$B$5=""),"",IF(原始資料!$B204&lt;設定!$B$5,"是",""))</f>
        <v/>
      </c>
      <c r="E204" s="12">
        <f>IF(OR(原始資料!$A204="",設定!$B$6=""),"",IF(B204&gt;=設定!$B$6,"是",""))</f>
        <v/>
      </c>
      <c r="F204" s="13" t="n"/>
      <c r="G204" s="12">
        <f>IF(原始資料!$A204="","",IF(OR(C204="是",D204="是",E204="是",F204="是"),"剔除","保留"))</f>
        <v/>
      </c>
      <c r="H204" s="12">
        <f>IF(G204="保留",COUNTIF($G$2:G204,"保留"),"")</f>
        <v/>
      </c>
    </row>
    <row r="205">
      <c r="A205" s="12">
        <f>IF(原始資料!$A205="","",原始資料!$A205)</f>
        <v/>
      </c>
      <c r="B205" s="12">
        <f>IF(原始資料!$A205="","",MAX(連續計數!B205:BI205))</f>
        <v/>
      </c>
      <c r="C205" s="12">
        <f>IF(OR(原始資料!$A205="",設定!$B$4=""),"",IF(原始資料!$C205&lt;&gt;設定!$B$4,"是",""))</f>
        <v/>
      </c>
      <c r="D205" s="12">
        <f>IF(OR(原始資料!$A205="",設定!$B$5=""),"",IF(原始資料!$B205&lt;設定!$B$5,"是",""))</f>
        <v/>
      </c>
      <c r="E205" s="12">
        <f>IF(OR(原始資料!$A205="",設定!$B$6=""),"",IF(B205&gt;=設定!$B$6,"是",""))</f>
        <v/>
      </c>
      <c r="F205" s="13" t="n"/>
      <c r="G205" s="12">
        <f>IF(原始資料!$A205="","",IF(OR(C205="是",D205="是",E205="是",F205="是"),"剔除","保留"))</f>
        <v/>
      </c>
      <c r="H205" s="12">
        <f>IF(G205="保留",COUNTIF($G$2:G205,"保留"),"")</f>
        <v/>
      </c>
    </row>
    <row r="206">
      <c r="A206" s="12">
        <f>IF(原始資料!$A206="","",原始資料!$A206)</f>
        <v/>
      </c>
      <c r="B206" s="12">
        <f>IF(原始資料!$A206="","",MAX(連續計數!B206:BI206))</f>
        <v/>
      </c>
      <c r="C206" s="12">
        <f>IF(OR(原始資料!$A206="",設定!$B$4=""),"",IF(原始資料!$C206&lt;&gt;設定!$B$4,"是",""))</f>
        <v/>
      </c>
      <c r="D206" s="12">
        <f>IF(OR(原始資料!$A206="",設定!$B$5=""),"",IF(原始資料!$B206&lt;設定!$B$5,"是",""))</f>
        <v/>
      </c>
      <c r="E206" s="12">
        <f>IF(OR(原始資料!$A206="",設定!$B$6=""),"",IF(B206&gt;=設定!$B$6,"是",""))</f>
        <v/>
      </c>
      <c r="F206" s="13" t="n"/>
      <c r="G206" s="12">
        <f>IF(原始資料!$A206="","",IF(OR(C206="是",D206="是",E206="是",F206="是"),"剔除","保留"))</f>
        <v/>
      </c>
      <c r="H206" s="12">
        <f>IF(G206="保留",COUNTIF($G$2:G206,"保留"),"")</f>
        <v/>
      </c>
    </row>
    <row r="207">
      <c r="A207" s="12">
        <f>IF(原始資料!$A207="","",原始資料!$A207)</f>
        <v/>
      </c>
      <c r="B207" s="12">
        <f>IF(原始資料!$A207="","",MAX(連續計數!B207:BI207))</f>
        <v/>
      </c>
      <c r="C207" s="12">
        <f>IF(OR(原始資料!$A207="",設定!$B$4=""),"",IF(原始資料!$C207&lt;&gt;設定!$B$4,"是",""))</f>
        <v/>
      </c>
      <c r="D207" s="12">
        <f>IF(OR(原始資料!$A207="",設定!$B$5=""),"",IF(原始資料!$B207&lt;設定!$B$5,"是",""))</f>
        <v/>
      </c>
      <c r="E207" s="12">
        <f>IF(OR(原始資料!$A207="",設定!$B$6=""),"",IF(B207&gt;=設定!$B$6,"是",""))</f>
        <v/>
      </c>
      <c r="F207" s="13" t="n"/>
      <c r="G207" s="12">
        <f>IF(原始資料!$A207="","",IF(OR(C207="是",D207="是",E207="是",F207="是"),"剔除","保留"))</f>
        <v/>
      </c>
      <c r="H207" s="12">
        <f>IF(G207="保留",COUNTIF($G$2:G207,"保留"),"")</f>
        <v/>
      </c>
    </row>
    <row r="208">
      <c r="A208" s="12">
        <f>IF(原始資料!$A208="","",原始資料!$A208)</f>
        <v/>
      </c>
      <c r="B208" s="12">
        <f>IF(原始資料!$A208="","",MAX(連續計數!B208:BI208))</f>
        <v/>
      </c>
      <c r="C208" s="12">
        <f>IF(OR(原始資料!$A208="",設定!$B$4=""),"",IF(原始資料!$C208&lt;&gt;設定!$B$4,"是",""))</f>
        <v/>
      </c>
      <c r="D208" s="12">
        <f>IF(OR(原始資料!$A208="",設定!$B$5=""),"",IF(原始資料!$B208&lt;設定!$B$5,"是",""))</f>
        <v/>
      </c>
      <c r="E208" s="12">
        <f>IF(OR(原始資料!$A208="",設定!$B$6=""),"",IF(B208&gt;=設定!$B$6,"是",""))</f>
        <v/>
      </c>
      <c r="F208" s="13" t="n"/>
      <c r="G208" s="12">
        <f>IF(原始資料!$A208="","",IF(OR(C208="是",D208="是",E208="是",F208="是"),"剔除","保留"))</f>
        <v/>
      </c>
      <c r="H208" s="12">
        <f>IF(G208="保留",COUNTIF($G$2:G208,"保留"),"")</f>
        <v/>
      </c>
    </row>
    <row r="209">
      <c r="A209" s="12">
        <f>IF(原始資料!$A209="","",原始資料!$A209)</f>
        <v/>
      </c>
      <c r="B209" s="12">
        <f>IF(原始資料!$A209="","",MAX(連續計數!B209:BI209))</f>
        <v/>
      </c>
      <c r="C209" s="12">
        <f>IF(OR(原始資料!$A209="",設定!$B$4=""),"",IF(原始資料!$C209&lt;&gt;設定!$B$4,"是",""))</f>
        <v/>
      </c>
      <c r="D209" s="12">
        <f>IF(OR(原始資料!$A209="",設定!$B$5=""),"",IF(原始資料!$B209&lt;設定!$B$5,"是",""))</f>
        <v/>
      </c>
      <c r="E209" s="12">
        <f>IF(OR(原始資料!$A209="",設定!$B$6=""),"",IF(B209&gt;=設定!$B$6,"是",""))</f>
        <v/>
      </c>
      <c r="F209" s="13" t="n"/>
      <c r="G209" s="12">
        <f>IF(原始資料!$A209="","",IF(OR(C209="是",D209="是",E209="是",F209="是"),"剔除","保留"))</f>
        <v/>
      </c>
      <c r="H209" s="12">
        <f>IF(G209="保留",COUNTIF($G$2:G209,"保留"),"")</f>
        <v/>
      </c>
    </row>
    <row r="210">
      <c r="A210" s="12">
        <f>IF(原始資料!$A210="","",原始資料!$A210)</f>
        <v/>
      </c>
      <c r="B210" s="12">
        <f>IF(原始資料!$A210="","",MAX(連續計數!B210:BI210))</f>
        <v/>
      </c>
      <c r="C210" s="12">
        <f>IF(OR(原始資料!$A210="",設定!$B$4=""),"",IF(原始資料!$C210&lt;&gt;設定!$B$4,"是",""))</f>
        <v/>
      </c>
      <c r="D210" s="12">
        <f>IF(OR(原始資料!$A210="",設定!$B$5=""),"",IF(原始資料!$B210&lt;設定!$B$5,"是",""))</f>
        <v/>
      </c>
      <c r="E210" s="12">
        <f>IF(OR(原始資料!$A210="",設定!$B$6=""),"",IF(B210&gt;=設定!$B$6,"是",""))</f>
        <v/>
      </c>
      <c r="F210" s="13" t="n"/>
      <c r="G210" s="12">
        <f>IF(原始資料!$A210="","",IF(OR(C210="是",D210="是",E210="是",F210="是"),"剔除","保留"))</f>
        <v/>
      </c>
      <c r="H210" s="12">
        <f>IF(G210="保留",COUNTIF($G$2:G210,"保留"),"")</f>
        <v/>
      </c>
    </row>
    <row r="211">
      <c r="A211" s="12">
        <f>IF(原始資料!$A211="","",原始資料!$A211)</f>
        <v/>
      </c>
      <c r="B211" s="12">
        <f>IF(原始資料!$A211="","",MAX(連續計數!B211:BI211))</f>
        <v/>
      </c>
      <c r="C211" s="12">
        <f>IF(OR(原始資料!$A211="",設定!$B$4=""),"",IF(原始資料!$C211&lt;&gt;設定!$B$4,"是",""))</f>
        <v/>
      </c>
      <c r="D211" s="12">
        <f>IF(OR(原始資料!$A211="",設定!$B$5=""),"",IF(原始資料!$B211&lt;設定!$B$5,"是",""))</f>
        <v/>
      </c>
      <c r="E211" s="12">
        <f>IF(OR(原始資料!$A211="",設定!$B$6=""),"",IF(B211&gt;=設定!$B$6,"是",""))</f>
        <v/>
      </c>
      <c r="F211" s="13" t="n"/>
      <c r="G211" s="12">
        <f>IF(原始資料!$A211="","",IF(OR(C211="是",D211="是",E211="是",F211="是"),"剔除","保留"))</f>
        <v/>
      </c>
      <c r="H211" s="12">
        <f>IF(G211="保留",COUNTIF($G$2:G211,"保留"),"")</f>
        <v/>
      </c>
    </row>
    <row r="212">
      <c r="A212" s="12">
        <f>IF(原始資料!$A212="","",原始資料!$A212)</f>
        <v/>
      </c>
      <c r="B212" s="12">
        <f>IF(原始資料!$A212="","",MAX(連續計數!B212:BI212))</f>
        <v/>
      </c>
      <c r="C212" s="12">
        <f>IF(OR(原始資料!$A212="",設定!$B$4=""),"",IF(原始資料!$C212&lt;&gt;設定!$B$4,"是",""))</f>
        <v/>
      </c>
      <c r="D212" s="12">
        <f>IF(OR(原始資料!$A212="",設定!$B$5=""),"",IF(原始資料!$B212&lt;設定!$B$5,"是",""))</f>
        <v/>
      </c>
      <c r="E212" s="12">
        <f>IF(OR(原始資料!$A212="",設定!$B$6=""),"",IF(B212&gt;=設定!$B$6,"是",""))</f>
        <v/>
      </c>
      <c r="F212" s="13" t="n"/>
      <c r="G212" s="12">
        <f>IF(原始資料!$A212="","",IF(OR(C212="是",D212="是",E212="是",F212="是"),"剔除","保留"))</f>
        <v/>
      </c>
      <c r="H212" s="12">
        <f>IF(G212="保留",COUNTIF($G$2:G212,"保留"),"")</f>
        <v/>
      </c>
    </row>
    <row r="213">
      <c r="A213" s="12">
        <f>IF(原始資料!$A213="","",原始資料!$A213)</f>
        <v/>
      </c>
      <c r="B213" s="12">
        <f>IF(原始資料!$A213="","",MAX(連續計數!B213:BI213))</f>
        <v/>
      </c>
      <c r="C213" s="12">
        <f>IF(OR(原始資料!$A213="",設定!$B$4=""),"",IF(原始資料!$C213&lt;&gt;設定!$B$4,"是",""))</f>
        <v/>
      </c>
      <c r="D213" s="12">
        <f>IF(OR(原始資料!$A213="",設定!$B$5=""),"",IF(原始資料!$B213&lt;設定!$B$5,"是",""))</f>
        <v/>
      </c>
      <c r="E213" s="12">
        <f>IF(OR(原始資料!$A213="",設定!$B$6=""),"",IF(B213&gt;=設定!$B$6,"是",""))</f>
        <v/>
      </c>
      <c r="F213" s="13" t="n"/>
      <c r="G213" s="12">
        <f>IF(原始資料!$A213="","",IF(OR(C213="是",D213="是",E213="是",F213="是"),"剔除","保留"))</f>
        <v/>
      </c>
      <c r="H213" s="12">
        <f>IF(G213="保留",COUNTIF($G$2:G213,"保留"),"")</f>
        <v/>
      </c>
    </row>
    <row r="214">
      <c r="A214" s="12">
        <f>IF(原始資料!$A214="","",原始資料!$A214)</f>
        <v/>
      </c>
      <c r="B214" s="12">
        <f>IF(原始資料!$A214="","",MAX(連續計數!B214:BI214))</f>
        <v/>
      </c>
      <c r="C214" s="12">
        <f>IF(OR(原始資料!$A214="",設定!$B$4=""),"",IF(原始資料!$C214&lt;&gt;設定!$B$4,"是",""))</f>
        <v/>
      </c>
      <c r="D214" s="12">
        <f>IF(OR(原始資料!$A214="",設定!$B$5=""),"",IF(原始資料!$B214&lt;設定!$B$5,"是",""))</f>
        <v/>
      </c>
      <c r="E214" s="12">
        <f>IF(OR(原始資料!$A214="",設定!$B$6=""),"",IF(B214&gt;=設定!$B$6,"是",""))</f>
        <v/>
      </c>
      <c r="F214" s="13" t="n"/>
      <c r="G214" s="12">
        <f>IF(原始資料!$A214="","",IF(OR(C214="是",D214="是",E214="是",F214="是"),"剔除","保留"))</f>
        <v/>
      </c>
      <c r="H214" s="12">
        <f>IF(G214="保留",COUNTIF($G$2:G214,"保留"),"")</f>
        <v/>
      </c>
    </row>
    <row r="215">
      <c r="A215" s="12">
        <f>IF(原始資料!$A215="","",原始資料!$A215)</f>
        <v/>
      </c>
      <c r="B215" s="12">
        <f>IF(原始資料!$A215="","",MAX(連續計數!B215:BI215))</f>
        <v/>
      </c>
      <c r="C215" s="12">
        <f>IF(OR(原始資料!$A215="",設定!$B$4=""),"",IF(原始資料!$C215&lt;&gt;設定!$B$4,"是",""))</f>
        <v/>
      </c>
      <c r="D215" s="12">
        <f>IF(OR(原始資料!$A215="",設定!$B$5=""),"",IF(原始資料!$B215&lt;設定!$B$5,"是",""))</f>
        <v/>
      </c>
      <c r="E215" s="12">
        <f>IF(OR(原始資料!$A215="",設定!$B$6=""),"",IF(B215&gt;=設定!$B$6,"是",""))</f>
        <v/>
      </c>
      <c r="F215" s="13" t="n"/>
      <c r="G215" s="12">
        <f>IF(原始資料!$A215="","",IF(OR(C215="是",D215="是",E215="是",F215="是"),"剔除","保留"))</f>
        <v/>
      </c>
      <c r="H215" s="12">
        <f>IF(G215="保留",COUNTIF($G$2:G215,"保留"),"")</f>
        <v/>
      </c>
    </row>
    <row r="216">
      <c r="A216" s="12">
        <f>IF(原始資料!$A216="","",原始資料!$A216)</f>
        <v/>
      </c>
      <c r="B216" s="12">
        <f>IF(原始資料!$A216="","",MAX(連續計數!B216:BI216))</f>
        <v/>
      </c>
      <c r="C216" s="12">
        <f>IF(OR(原始資料!$A216="",設定!$B$4=""),"",IF(原始資料!$C216&lt;&gt;設定!$B$4,"是",""))</f>
        <v/>
      </c>
      <c r="D216" s="12">
        <f>IF(OR(原始資料!$A216="",設定!$B$5=""),"",IF(原始資料!$B216&lt;設定!$B$5,"是",""))</f>
        <v/>
      </c>
      <c r="E216" s="12">
        <f>IF(OR(原始資料!$A216="",設定!$B$6=""),"",IF(B216&gt;=設定!$B$6,"是",""))</f>
        <v/>
      </c>
      <c r="F216" s="13" t="n"/>
      <c r="G216" s="12">
        <f>IF(原始資料!$A216="","",IF(OR(C216="是",D216="是",E216="是",F216="是"),"剔除","保留"))</f>
        <v/>
      </c>
      <c r="H216" s="12">
        <f>IF(G216="保留",COUNTIF($G$2:G216,"保留"),"")</f>
        <v/>
      </c>
    </row>
    <row r="217">
      <c r="A217" s="12">
        <f>IF(原始資料!$A217="","",原始資料!$A217)</f>
        <v/>
      </c>
      <c r="B217" s="12">
        <f>IF(原始資料!$A217="","",MAX(連續計數!B217:BI217))</f>
        <v/>
      </c>
      <c r="C217" s="12">
        <f>IF(OR(原始資料!$A217="",設定!$B$4=""),"",IF(原始資料!$C217&lt;&gt;設定!$B$4,"是",""))</f>
        <v/>
      </c>
      <c r="D217" s="12">
        <f>IF(OR(原始資料!$A217="",設定!$B$5=""),"",IF(原始資料!$B217&lt;設定!$B$5,"是",""))</f>
        <v/>
      </c>
      <c r="E217" s="12">
        <f>IF(OR(原始資料!$A217="",設定!$B$6=""),"",IF(B217&gt;=設定!$B$6,"是",""))</f>
        <v/>
      </c>
      <c r="F217" s="13" t="n"/>
      <c r="G217" s="12">
        <f>IF(原始資料!$A217="","",IF(OR(C217="是",D217="是",E217="是",F217="是"),"剔除","保留"))</f>
        <v/>
      </c>
      <c r="H217" s="12">
        <f>IF(G217="保留",COUNTIF($G$2:G217,"保留"),"")</f>
        <v/>
      </c>
    </row>
    <row r="218">
      <c r="A218" s="12">
        <f>IF(原始資料!$A218="","",原始資料!$A218)</f>
        <v/>
      </c>
      <c r="B218" s="12">
        <f>IF(原始資料!$A218="","",MAX(連續計數!B218:BI218))</f>
        <v/>
      </c>
      <c r="C218" s="12">
        <f>IF(OR(原始資料!$A218="",設定!$B$4=""),"",IF(原始資料!$C218&lt;&gt;設定!$B$4,"是",""))</f>
        <v/>
      </c>
      <c r="D218" s="12">
        <f>IF(OR(原始資料!$A218="",設定!$B$5=""),"",IF(原始資料!$B218&lt;設定!$B$5,"是",""))</f>
        <v/>
      </c>
      <c r="E218" s="12">
        <f>IF(OR(原始資料!$A218="",設定!$B$6=""),"",IF(B218&gt;=設定!$B$6,"是",""))</f>
        <v/>
      </c>
      <c r="F218" s="13" t="n"/>
      <c r="G218" s="12">
        <f>IF(原始資料!$A218="","",IF(OR(C218="是",D218="是",E218="是",F218="是"),"剔除","保留"))</f>
        <v/>
      </c>
      <c r="H218" s="12">
        <f>IF(G218="保留",COUNTIF($G$2:G218,"保留"),"")</f>
        <v/>
      </c>
    </row>
    <row r="219">
      <c r="A219" s="12">
        <f>IF(原始資料!$A219="","",原始資料!$A219)</f>
        <v/>
      </c>
      <c r="B219" s="12">
        <f>IF(原始資料!$A219="","",MAX(連續計數!B219:BI219))</f>
        <v/>
      </c>
      <c r="C219" s="12">
        <f>IF(OR(原始資料!$A219="",設定!$B$4=""),"",IF(原始資料!$C219&lt;&gt;設定!$B$4,"是",""))</f>
        <v/>
      </c>
      <c r="D219" s="12">
        <f>IF(OR(原始資料!$A219="",設定!$B$5=""),"",IF(原始資料!$B219&lt;設定!$B$5,"是",""))</f>
        <v/>
      </c>
      <c r="E219" s="12">
        <f>IF(OR(原始資料!$A219="",設定!$B$6=""),"",IF(B219&gt;=設定!$B$6,"是",""))</f>
        <v/>
      </c>
      <c r="F219" s="13" t="n"/>
      <c r="G219" s="12">
        <f>IF(原始資料!$A219="","",IF(OR(C219="是",D219="是",E219="是",F219="是"),"剔除","保留"))</f>
        <v/>
      </c>
      <c r="H219" s="12">
        <f>IF(G219="保留",COUNTIF($G$2:G219,"保留"),"")</f>
        <v/>
      </c>
    </row>
    <row r="220">
      <c r="A220" s="12">
        <f>IF(原始資料!$A220="","",原始資料!$A220)</f>
        <v/>
      </c>
      <c r="B220" s="12">
        <f>IF(原始資料!$A220="","",MAX(連續計數!B220:BI220))</f>
        <v/>
      </c>
      <c r="C220" s="12">
        <f>IF(OR(原始資料!$A220="",設定!$B$4=""),"",IF(原始資料!$C220&lt;&gt;設定!$B$4,"是",""))</f>
        <v/>
      </c>
      <c r="D220" s="12">
        <f>IF(OR(原始資料!$A220="",設定!$B$5=""),"",IF(原始資料!$B220&lt;設定!$B$5,"是",""))</f>
        <v/>
      </c>
      <c r="E220" s="12">
        <f>IF(OR(原始資料!$A220="",設定!$B$6=""),"",IF(B220&gt;=設定!$B$6,"是",""))</f>
        <v/>
      </c>
      <c r="F220" s="13" t="n"/>
      <c r="G220" s="12">
        <f>IF(原始資料!$A220="","",IF(OR(C220="是",D220="是",E220="是",F220="是"),"剔除","保留"))</f>
        <v/>
      </c>
      <c r="H220" s="12">
        <f>IF(G220="保留",COUNTIF($G$2:G220,"保留"),"")</f>
        <v/>
      </c>
    </row>
    <row r="221">
      <c r="A221" s="12">
        <f>IF(原始資料!$A221="","",原始資料!$A221)</f>
        <v/>
      </c>
      <c r="B221" s="12">
        <f>IF(原始資料!$A221="","",MAX(連續計數!B221:BI221))</f>
        <v/>
      </c>
      <c r="C221" s="12">
        <f>IF(OR(原始資料!$A221="",設定!$B$4=""),"",IF(原始資料!$C221&lt;&gt;設定!$B$4,"是",""))</f>
        <v/>
      </c>
      <c r="D221" s="12">
        <f>IF(OR(原始資料!$A221="",設定!$B$5=""),"",IF(原始資料!$B221&lt;設定!$B$5,"是",""))</f>
        <v/>
      </c>
      <c r="E221" s="12">
        <f>IF(OR(原始資料!$A221="",設定!$B$6=""),"",IF(B221&gt;=設定!$B$6,"是",""))</f>
        <v/>
      </c>
      <c r="F221" s="13" t="n"/>
      <c r="G221" s="12">
        <f>IF(原始資料!$A221="","",IF(OR(C221="是",D221="是",E221="是",F221="是"),"剔除","保留"))</f>
        <v/>
      </c>
      <c r="H221" s="12">
        <f>IF(G221="保留",COUNTIF($G$2:G221,"保留"),"")</f>
        <v/>
      </c>
    </row>
    <row r="222">
      <c r="A222" s="12">
        <f>IF(原始資料!$A222="","",原始資料!$A222)</f>
        <v/>
      </c>
      <c r="B222" s="12">
        <f>IF(原始資料!$A222="","",MAX(連續計數!B222:BI222))</f>
        <v/>
      </c>
      <c r="C222" s="12">
        <f>IF(OR(原始資料!$A222="",設定!$B$4=""),"",IF(原始資料!$C222&lt;&gt;設定!$B$4,"是",""))</f>
        <v/>
      </c>
      <c r="D222" s="12">
        <f>IF(OR(原始資料!$A222="",設定!$B$5=""),"",IF(原始資料!$B222&lt;設定!$B$5,"是",""))</f>
        <v/>
      </c>
      <c r="E222" s="12">
        <f>IF(OR(原始資料!$A222="",設定!$B$6=""),"",IF(B222&gt;=設定!$B$6,"是",""))</f>
        <v/>
      </c>
      <c r="F222" s="13" t="n"/>
      <c r="G222" s="12">
        <f>IF(原始資料!$A222="","",IF(OR(C222="是",D222="是",E222="是",F222="是"),"剔除","保留"))</f>
        <v/>
      </c>
      <c r="H222" s="12">
        <f>IF(G222="保留",COUNTIF($G$2:G222,"保留"),"")</f>
        <v/>
      </c>
    </row>
    <row r="223">
      <c r="A223" s="12">
        <f>IF(原始資料!$A223="","",原始資料!$A223)</f>
        <v/>
      </c>
      <c r="B223" s="12">
        <f>IF(原始資料!$A223="","",MAX(連續計數!B223:BI223))</f>
        <v/>
      </c>
      <c r="C223" s="12">
        <f>IF(OR(原始資料!$A223="",設定!$B$4=""),"",IF(原始資料!$C223&lt;&gt;設定!$B$4,"是",""))</f>
        <v/>
      </c>
      <c r="D223" s="12">
        <f>IF(OR(原始資料!$A223="",設定!$B$5=""),"",IF(原始資料!$B223&lt;設定!$B$5,"是",""))</f>
        <v/>
      </c>
      <c r="E223" s="12">
        <f>IF(OR(原始資料!$A223="",設定!$B$6=""),"",IF(B223&gt;=設定!$B$6,"是",""))</f>
        <v/>
      </c>
      <c r="F223" s="13" t="n"/>
      <c r="G223" s="12">
        <f>IF(原始資料!$A223="","",IF(OR(C223="是",D223="是",E223="是",F223="是"),"剔除","保留"))</f>
        <v/>
      </c>
      <c r="H223" s="12">
        <f>IF(G223="保留",COUNTIF($G$2:G223,"保留"),"")</f>
        <v/>
      </c>
    </row>
    <row r="224">
      <c r="A224" s="12">
        <f>IF(原始資料!$A224="","",原始資料!$A224)</f>
        <v/>
      </c>
      <c r="B224" s="12">
        <f>IF(原始資料!$A224="","",MAX(連續計數!B224:BI224))</f>
        <v/>
      </c>
      <c r="C224" s="12">
        <f>IF(OR(原始資料!$A224="",設定!$B$4=""),"",IF(原始資料!$C224&lt;&gt;設定!$B$4,"是",""))</f>
        <v/>
      </c>
      <c r="D224" s="12">
        <f>IF(OR(原始資料!$A224="",設定!$B$5=""),"",IF(原始資料!$B224&lt;設定!$B$5,"是",""))</f>
        <v/>
      </c>
      <c r="E224" s="12">
        <f>IF(OR(原始資料!$A224="",設定!$B$6=""),"",IF(B224&gt;=設定!$B$6,"是",""))</f>
        <v/>
      </c>
      <c r="F224" s="13" t="n"/>
      <c r="G224" s="12">
        <f>IF(原始資料!$A224="","",IF(OR(C224="是",D224="是",E224="是",F224="是"),"剔除","保留"))</f>
        <v/>
      </c>
      <c r="H224" s="12">
        <f>IF(G224="保留",COUNTIF($G$2:G224,"保留"),"")</f>
        <v/>
      </c>
    </row>
    <row r="225">
      <c r="A225" s="12">
        <f>IF(原始資料!$A225="","",原始資料!$A225)</f>
        <v/>
      </c>
      <c r="B225" s="12">
        <f>IF(原始資料!$A225="","",MAX(連續計數!B225:BI225))</f>
        <v/>
      </c>
      <c r="C225" s="12">
        <f>IF(OR(原始資料!$A225="",設定!$B$4=""),"",IF(原始資料!$C225&lt;&gt;設定!$B$4,"是",""))</f>
        <v/>
      </c>
      <c r="D225" s="12">
        <f>IF(OR(原始資料!$A225="",設定!$B$5=""),"",IF(原始資料!$B225&lt;設定!$B$5,"是",""))</f>
        <v/>
      </c>
      <c r="E225" s="12">
        <f>IF(OR(原始資料!$A225="",設定!$B$6=""),"",IF(B225&gt;=設定!$B$6,"是",""))</f>
        <v/>
      </c>
      <c r="F225" s="13" t="n"/>
      <c r="G225" s="12">
        <f>IF(原始資料!$A225="","",IF(OR(C225="是",D225="是",E225="是",F225="是"),"剔除","保留"))</f>
        <v/>
      </c>
      <c r="H225" s="12">
        <f>IF(G225="保留",COUNTIF($G$2:G225,"保留"),"")</f>
        <v/>
      </c>
    </row>
    <row r="226">
      <c r="A226" s="12">
        <f>IF(原始資料!$A226="","",原始資料!$A226)</f>
        <v/>
      </c>
      <c r="B226" s="12">
        <f>IF(原始資料!$A226="","",MAX(連續計數!B226:BI226))</f>
        <v/>
      </c>
      <c r="C226" s="12">
        <f>IF(OR(原始資料!$A226="",設定!$B$4=""),"",IF(原始資料!$C226&lt;&gt;設定!$B$4,"是",""))</f>
        <v/>
      </c>
      <c r="D226" s="12">
        <f>IF(OR(原始資料!$A226="",設定!$B$5=""),"",IF(原始資料!$B226&lt;設定!$B$5,"是",""))</f>
        <v/>
      </c>
      <c r="E226" s="12">
        <f>IF(OR(原始資料!$A226="",設定!$B$6=""),"",IF(B226&gt;=設定!$B$6,"是",""))</f>
        <v/>
      </c>
      <c r="F226" s="13" t="n"/>
      <c r="G226" s="12">
        <f>IF(原始資料!$A226="","",IF(OR(C226="是",D226="是",E226="是",F226="是"),"剔除","保留"))</f>
        <v/>
      </c>
      <c r="H226" s="12">
        <f>IF(G226="保留",COUNTIF($G$2:G226,"保留"),"")</f>
        <v/>
      </c>
    </row>
    <row r="227">
      <c r="A227" s="12">
        <f>IF(原始資料!$A227="","",原始資料!$A227)</f>
        <v/>
      </c>
      <c r="B227" s="12">
        <f>IF(原始資料!$A227="","",MAX(連續計數!B227:BI227))</f>
        <v/>
      </c>
      <c r="C227" s="12">
        <f>IF(OR(原始資料!$A227="",設定!$B$4=""),"",IF(原始資料!$C227&lt;&gt;設定!$B$4,"是",""))</f>
        <v/>
      </c>
      <c r="D227" s="12">
        <f>IF(OR(原始資料!$A227="",設定!$B$5=""),"",IF(原始資料!$B227&lt;設定!$B$5,"是",""))</f>
        <v/>
      </c>
      <c r="E227" s="12">
        <f>IF(OR(原始資料!$A227="",設定!$B$6=""),"",IF(B227&gt;=設定!$B$6,"是",""))</f>
        <v/>
      </c>
      <c r="F227" s="13" t="n"/>
      <c r="G227" s="12">
        <f>IF(原始資料!$A227="","",IF(OR(C227="是",D227="是",E227="是",F227="是"),"剔除","保留"))</f>
        <v/>
      </c>
      <c r="H227" s="12">
        <f>IF(G227="保留",COUNTIF($G$2:G227,"保留"),"")</f>
        <v/>
      </c>
    </row>
    <row r="228">
      <c r="A228" s="12">
        <f>IF(原始資料!$A228="","",原始資料!$A228)</f>
        <v/>
      </c>
      <c r="B228" s="12">
        <f>IF(原始資料!$A228="","",MAX(連續計數!B228:BI228))</f>
        <v/>
      </c>
      <c r="C228" s="12">
        <f>IF(OR(原始資料!$A228="",設定!$B$4=""),"",IF(原始資料!$C228&lt;&gt;設定!$B$4,"是",""))</f>
        <v/>
      </c>
      <c r="D228" s="12">
        <f>IF(OR(原始資料!$A228="",設定!$B$5=""),"",IF(原始資料!$B228&lt;設定!$B$5,"是",""))</f>
        <v/>
      </c>
      <c r="E228" s="12">
        <f>IF(OR(原始資料!$A228="",設定!$B$6=""),"",IF(B228&gt;=設定!$B$6,"是",""))</f>
        <v/>
      </c>
      <c r="F228" s="13" t="n"/>
      <c r="G228" s="12">
        <f>IF(原始資料!$A228="","",IF(OR(C228="是",D228="是",E228="是",F228="是"),"剔除","保留"))</f>
        <v/>
      </c>
      <c r="H228" s="12">
        <f>IF(G228="保留",COUNTIF($G$2:G228,"保留"),"")</f>
        <v/>
      </c>
    </row>
    <row r="229">
      <c r="A229" s="12">
        <f>IF(原始資料!$A229="","",原始資料!$A229)</f>
        <v/>
      </c>
      <c r="B229" s="12">
        <f>IF(原始資料!$A229="","",MAX(連續計數!B229:BI229))</f>
        <v/>
      </c>
      <c r="C229" s="12">
        <f>IF(OR(原始資料!$A229="",設定!$B$4=""),"",IF(原始資料!$C229&lt;&gt;設定!$B$4,"是",""))</f>
        <v/>
      </c>
      <c r="D229" s="12">
        <f>IF(OR(原始資料!$A229="",設定!$B$5=""),"",IF(原始資料!$B229&lt;設定!$B$5,"是",""))</f>
        <v/>
      </c>
      <c r="E229" s="12">
        <f>IF(OR(原始資料!$A229="",設定!$B$6=""),"",IF(B229&gt;=設定!$B$6,"是",""))</f>
        <v/>
      </c>
      <c r="F229" s="13" t="n"/>
      <c r="G229" s="12">
        <f>IF(原始資料!$A229="","",IF(OR(C229="是",D229="是",E229="是",F229="是"),"剔除","保留"))</f>
        <v/>
      </c>
      <c r="H229" s="12">
        <f>IF(G229="保留",COUNTIF($G$2:G229,"保留"),"")</f>
        <v/>
      </c>
    </row>
    <row r="230">
      <c r="A230" s="12">
        <f>IF(原始資料!$A230="","",原始資料!$A230)</f>
        <v/>
      </c>
      <c r="B230" s="12">
        <f>IF(原始資料!$A230="","",MAX(連續計數!B230:BI230))</f>
        <v/>
      </c>
      <c r="C230" s="12">
        <f>IF(OR(原始資料!$A230="",設定!$B$4=""),"",IF(原始資料!$C230&lt;&gt;設定!$B$4,"是",""))</f>
        <v/>
      </c>
      <c r="D230" s="12">
        <f>IF(OR(原始資料!$A230="",設定!$B$5=""),"",IF(原始資料!$B230&lt;設定!$B$5,"是",""))</f>
        <v/>
      </c>
      <c r="E230" s="12">
        <f>IF(OR(原始資料!$A230="",設定!$B$6=""),"",IF(B230&gt;=設定!$B$6,"是",""))</f>
        <v/>
      </c>
      <c r="F230" s="13" t="n"/>
      <c r="G230" s="12">
        <f>IF(原始資料!$A230="","",IF(OR(C230="是",D230="是",E230="是",F230="是"),"剔除","保留"))</f>
        <v/>
      </c>
      <c r="H230" s="12">
        <f>IF(G230="保留",COUNTIF($G$2:G230,"保留"),"")</f>
        <v/>
      </c>
    </row>
    <row r="231">
      <c r="A231" s="12">
        <f>IF(原始資料!$A231="","",原始資料!$A231)</f>
        <v/>
      </c>
      <c r="B231" s="12">
        <f>IF(原始資料!$A231="","",MAX(連續計數!B231:BI231))</f>
        <v/>
      </c>
      <c r="C231" s="12">
        <f>IF(OR(原始資料!$A231="",設定!$B$4=""),"",IF(原始資料!$C231&lt;&gt;設定!$B$4,"是",""))</f>
        <v/>
      </c>
      <c r="D231" s="12">
        <f>IF(OR(原始資料!$A231="",設定!$B$5=""),"",IF(原始資料!$B231&lt;設定!$B$5,"是",""))</f>
        <v/>
      </c>
      <c r="E231" s="12">
        <f>IF(OR(原始資料!$A231="",設定!$B$6=""),"",IF(B231&gt;=設定!$B$6,"是",""))</f>
        <v/>
      </c>
      <c r="F231" s="13" t="n"/>
      <c r="G231" s="12">
        <f>IF(原始資料!$A231="","",IF(OR(C231="是",D231="是",E231="是",F231="是"),"剔除","保留"))</f>
        <v/>
      </c>
      <c r="H231" s="12">
        <f>IF(G231="保留",COUNTIF($G$2:G231,"保留"),"")</f>
        <v/>
      </c>
    </row>
    <row r="232">
      <c r="A232" s="12">
        <f>IF(原始資料!$A232="","",原始資料!$A232)</f>
        <v/>
      </c>
      <c r="B232" s="12">
        <f>IF(原始資料!$A232="","",MAX(連續計數!B232:BI232))</f>
        <v/>
      </c>
      <c r="C232" s="12">
        <f>IF(OR(原始資料!$A232="",設定!$B$4=""),"",IF(原始資料!$C232&lt;&gt;設定!$B$4,"是",""))</f>
        <v/>
      </c>
      <c r="D232" s="12">
        <f>IF(OR(原始資料!$A232="",設定!$B$5=""),"",IF(原始資料!$B232&lt;設定!$B$5,"是",""))</f>
        <v/>
      </c>
      <c r="E232" s="12">
        <f>IF(OR(原始資料!$A232="",設定!$B$6=""),"",IF(B232&gt;=設定!$B$6,"是",""))</f>
        <v/>
      </c>
      <c r="F232" s="13" t="n"/>
      <c r="G232" s="12">
        <f>IF(原始資料!$A232="","",IF(OR(C232="是",D232="是",E232="是",F232="是"),"剔除","保留"))</f>
        <v/>
      </c>
      <c r="H232" s="12">
        <f>IF(G232="保留",COUNTIF($G$2:G232,"保留"),"")</f>
        <v/>
      </c>
    </row>
    <row r="233">
      <c r="A233" s="12">
        <f>IF(原始資料!$A233="","",原始資料!$A233)</f>
        <v/>
      </c>
      <c r="B233" s="12">
        <f>IF(原始資料!$A233="","",MAX(連續計數!B233:BI233))</f>
        <v/>
      </c>
      <c r="C233" s="12">
        <f>IF(OR(原始資料!$A233="",設定!$B$4=""),"",IF(原始資料!$C233&lt;&gt;設定!$B$4,"是",""))</f>
        <v/>
      </c>
      <c r="D233" s="12">
        <f>IF(OR(原始資料!$A233="",設定!$B$5=""),"",IF(原始資料!$B233&lt;設定!$B$5,"是",""))</f>
        <v/>
      </c>
      <c r="E233" s="12">
        <f>IF(OR(原始資料!$A233="",設定!$B$6=""),"",IF(B233&gt;=設定!$B$6,"是",""))</f>
        <v/>
      </c>
      <c r="F233" s="13" t="n"/>
      <c r="G233" s="12">
        <f>IF(原始資料!$A233="","",IF(OR(C233="是",D233="是",E233="是",F233="是"),"剔除","保留"))</f>
        <v/>
      </c>
      <c r="H233" s="12">
        <f>IF(G233="保留",COUNTIF($G$2:G233,"保留"),"")</f>
        <v/>
      </c>
    </row>
    <row r="234">
      <c r="A234" s="12">
        <f>IF(原始資料!$A234="","",原始資料!$A234)</f>
        <v/>
      </c>
      <c r="B234" s="12">
        <f>IF(原始資料!$A234="","",MAX(連續計數!B234:BI234))</f>
        <v/>
      </c>
      <c r="C234" s="12">
        <f>IF(OR(原始資料!$A234="",設定!$B$4=""),"",IF(原始資料!$C234&lt;&gt;設定!$B$4,"是",""))</f>
        <v/>
      </c>
      <c r="D234" s="12">
        <f>IF(OR(原始資料!$A234="",設定!$B$5=""),"",IF(原始資料!$B234&lt;設定!$B$5,"是",""))</f>
        <v/>
      </c>
      <c r="E234" s="12">
        <f>IF(OR(原始資料!$A234="",設定!$B$6=""),"",IF(B234&gt;=設定!$B$6,"是",""))</f>
        <v/>
      </c>
      <c r="F234" s="13" t="n"/>
      <c r="G234" s="12">
        <f>IF(原始資料!$A234="","",IF(OR(C234="是",D234="是",E234="是",F234="是"),"剔除","保留"))</f>
        <v/>
      </c>
      <c r="H234" s="12">
        <f>IF(G234="保留",COUNTIF($G$2:G234,"保留"),"")</f>
        <v/>
      </c>
    </row>
    <row r="235">
      <c r="A235" s="12">
        <f>IF(原始資料!$A235="","",原始資料!$A235)</f>
        <v/>
      </c>
      <c r="B235" s="12">
        <f>IF(原始資料!$A235="","",MAX(連續計數!B235:BI235))</f>
        <v/>
      </c>
      <c r="C235" s="12">
        <f>IF(OR(原始資料!$A235="",設定!$B$4=""),"",IF(原始資料!$C235&lt;&gt;設定!$B$4,"是",""))</f>
        <v/>
      </c>
      <c r="D235" s="12">
        <f>IF(OR(原始資料!$A235="",設定!$B$5=""),"",IF(原始資料!$B235&lt;設定!$B$5,"是",""))</f>
        <v/>
      </c>
      <c r="E235" s="12">
        <f>IF(OR(原始資料!$A235="",設定!$B$6=""),"",IF(B235&gt;=設定!$B$6,"是",""))</f>
        <v/>
      </c>
      <c r="F235" s="13" t="n"/>
      <c r="G235" s="12">
        <f>IF(原始資料!$A235="","",IF(OR(C235="是",D235="是",E235="是",F235="是"),"剔除","保留"))</f>
        <v/>
      </c>
      <c r="H235" s="12">
        <f>IF(G235="保留",COUNTIF($G$2:G235,"保留"),"")</f>
        <v/>
      </c>
    </row>
    <row r="236">
      <c r="A236" s="12">
        <f>IF(原始資料!$A236="","",原始資料!$A236)</f>
        <v/>
      </c>
      <c r="B236" s="12">
        <f>IF(原始資料!$A236="","",MAX(連續計數!B236:BI236))</f>
        <v/>
      </c>
      <c r="C236" s="12">
        <f>IF(OR(原始資料!$A236="",設定!$B$4=""),"",IF(原始資料!$C236&lt;&gt;設定!$B$4,"是",""))</f>
        <v/>
      </c>
      <c r="D236" s="12">
        <f>IF(OR(原始資料!$A236="",設定!$B$5=""),"",IF(原始資料!$B236&lt;設定!$B$5,"是",""))</f>
        <v/>
      </c>
      <c r="E236" s="12">
        <f>IF(OR(原始資料!$A236="",設定!$B$6=""),"",IF(B236&gt;=設定!$B$6,"是",""))</f>
        <v/>
      </c>
      <c r="F236" s="13" t="n"/>
      <c r="G236" s="12">
        <f>IF(原始資料!$A236="","",IF(OR(C236="是",D236="是",E236="是",F236="是"),"剔除","保留"))</f>
        <v/>
      </c>
      <c r="H236" s="12">
        <f>IF(G236="保留",COUNTIF($G$2:G236,"保留"),"")</f>
        <v/>
      </c>
    </row>
    <row r="237">
      <c r="A237" s="12">
        <f>IF(原始資料!$A237="","",原始資料!$A237)</f>
        <v/>
      </c>
      <c r="B237" s="12">
        <f>IF(原始資料!$A237="","",MAX(連續計數!B237:BI237))</f>
        <v/>
      </c>
      <c r="C237" s="12">
        <f>IF(OR(原始資料!$A237="",設定!$B$4=""),"",IF(原始資料!$C237&lt;&gt;設定!$B$4,"是",""))</f>
        <v/>
      </c>
      <c r="D237" s="12">
        <f>IF(OR(原始資料!$A237="",設定!$B$5=""),"",IF(原始資料!$B237&lt;設定!$B$5,"是",""))</f>
        <v/>
      </c>
      <c r="E237" s="12">
        <f>IF(OR(原始資料!$A237="",設定!$B$6=""),"",IF(B237&gt;=設定!$B$6,"是",""))</f>
        <v/>
      </c>
      <c r="F237" s="13" t="n"/>
      <c r="G237" s="12">
        <f>IF(原始資料!$A237="","",IF(OR(C237="是",D237="是",E237="是",F237="是"),"剔除","保留"))</f>
        <v/>
      </c>
      <c r="H237" s="12">
        <f>IF(G237="保留",COUNTIF($G$2:G237,"保留"),"")</f>
        <v/>
      </c>
    </row>
    <row r="238">
      <c r="A238" s="12">
        <f>IF(原始資料!$A238="","",原始資料!$A238)</f>
        <v/>
      </c>
      <c r="B238" s="12">
        <f>IF(原始資料!$A238="","",MAX(連續計數!B238:BI238))</f>
        <v/>
      </c>
      <c r="C238" s="12">
        <f>IF(OR(原始資料!$A238="",設定!$B$4=""),"",IF(原始資料!$C238&lt;&gt;設定!$B$4,"是",""))</f>
        <v/>
      </c>
      <c r="D238" s="12">
        <f>IF(OR(原始資料!$A238="",設定!$B$5=""),"",IF(原始資料!$B238&lt;設定!$B$5,"是",""))</f>
        <v/>
      </c>
      <c r="E238" s="12">
        <f>IF(OR(原始資料!$A238="",設定!$B$6=""),"",IF(B238&gt;=設定!$B$6,"是",""))</f>
        <v/>
      </c>
      <c r="F238" s="13" t="n"/>
      <c r="G238" s="12">
        <f>IF(原始資料!$A238="","",IF(OR(C238="是",D238="是",E238="是",F238="是"),"剔除","保留"))</f>
        <v/>
      </c>
      <c r="H238" s="12">
        <f>IF(G238="保留",COUNTIF($G$2:G238,"保留"),"")</f>
        <v/>
      </c>
    </row>
    <row r="239">
      <c r="A239" s="12">
        <f>IF(原始資料!$A239="","",原始資料!$A239)</f>
        <v/>
      </c>
      <c r="B239" s="12">
        <f>IF(原始資料!$A239="","",MAX(連續計數!B239:BI239))</f>
        <v/>
      </c>
      <c r="C239" s="12">
        <f>IF(OR(原始資料!$A239="",設定!$B$4=""),"",IF(原始資料!$C239&lt;&gt;設定!$B$4,"是",""))</f>
        <v/>
      </c>
      <c r="D239" s="12">
        <f>IF(OR(原始資料!$A239="",設定!$B$5=""),"",IF(原始資料!$B239&lt;設定!$B$5,"是",""))</f>
        <v/>
      </c>
      <c r="E239" s="12">
        <f>IF(OR(原始資料!$A239="",設定!$B$6=""),"",IF(B239&gt;=設定!$B$6,"是",""))</f>
        <v/>
      </c>
      <c r="F239" s="13" t="n"/>
      <c r="G239" s="12">
        <f>IF(原始資料!$A239="","",IF(OR(C239="是",D239="是",E239="是",F239="是"),"剔除","保留"))</f>
        <v/>
      </c>
      <c r="H239" s="12">
        <f>IF(G239="保留",COUNTIF($G$2:G239,"保留"),"")</f>
        <v/>
      </c>
    </row>
    <row r="240">
      <c r="A240" s="12">
        <f>IF(原始資料!$A240="","",原始資料!$A240)</f>
        <v/>
      </c>
      <c r="B240" s="12">
        <f>IF(原始資料!$A240="","",MAX(連續計數!B240:BI240))</f>
        <v/>
      </c>
      <c r="C240" s="12">
        <f>IF(OR(原始資料!$A240="",設定!$B$4=""),"",IF(原始資料!$C240&lt;&gt;設定!$B$4,"是",""))</f>
        <v/>
      </c>
      <c r="D240" s="12">
        <f>IF(OR(原始資料!$A240="",設定!$B$5=""),"",IF(原始資料!$B240&lt;設定!$B$5,"是",""))</f>
        <v/>
      </c>
      <c r="E240" s="12">
        <f>IF(OR(原始資料!$A240="",設定!$B$6=""),"",IF(B240&gt;=設定!$B$6,"是",""))</f>
        <v/>
      </c>
      <c r="F240" s="13" t="n"/>
      <c r="G240" s="12">
        <f>IF(原始資料!$A240="","",IF(OR(C240="是",D240="是",E240="是",F240="是"),"剔除","保留"))</f>
        <v/>
      </c>
      <c r="H240" s="12">
        <f>IF(G240="保留",COUNTIF($G$2:G240,"保留"),"")</f>
        <v/>
      </c>
    </row>
    <row r="241">
      <c r="A241" s="12">
        <f>IF(原始資料!$A241="","",原始資料!$A241)</f>
        <v/>
      </c>
      <c r="B241" s="12">
        <f>IF(原始資料!$A241="","",MAX(連續計數!B241:BI241))</f>
        <v/>
      </c>
      <c r="C241" s="12">
        <f>IF(OR(原始資料!$A241="",設定!$B$4=""),"",IF(原始資料!$C241&lt;&gt;設定!$B$4,"是",""))</f>
        <v/>
      </c>
      <c r="D241" s="12">
        <f>IF(OR(原始資料!$A241="",設定!$B$5=""),"",IF(原始資料!$B241&lt;設定!$B$5,"是",""))</f>
        <v/>
      </c>
      <c r="E241" s="12">
        <f>IF(OR(原始資料!$A241="",設定!$B$6=""),"",IF(B241&gt;=設定!$B$6,"是",""))</f>
        <v/>
      </c>
      <c r="F241" s="13" t="n"/>
      <c r="G241" s="12">
        <f>IF(原始資料!$A241="","",IF(OR(C241="是",D241="是",E241="是",F241="是"),"剔除","保留"))</f>
        <v/>
      </c>
      <c r="H241" s="12">
        <f>IF(G241="保留",COUNTIF($G$2:G241,"保留"),"")</f>
        <v/>
      </c>
    </row>
    <row r="242">
      <c r="A242" s="12">
        <f>IF(原始資料!$A242="","",原始資料!$A242)</f>
        <v/>
      </c>
      <c r="B242" s="12">
        <f>IF(原始資料!$A242="","",MAX(連續計數!B242:BI242))</f>
        <v/>
      </c>
      <c r="C242" s="12">
        <f>IF(OR(原始資料!$A242="",設定!$B$4=""),"",IF(原始資料!$C242&lt;&gt;設定!$B$4,"是",""))</f>
        <v/>
      </c>
      <c r="D242" s="12">
        <f>IF(OR(原始資料!$A242="",設定!$B$5=""),"",IF(原始資料!$B242&lt;設定!$B$5,"是",""))</f>
        <v/>
      </c>
      <c r="E242" s="12">
        <f>IF(OR(原始資料!$A242="",設定!$B$6=""),"",IF(B242&gt;=設定!$B$6,"是",""))</f>
        <v/>
      </c>
      <c r="F242" s="13" t="n"/>
      <c r="G242" s="12">
        <f>IF(原始資料!$A242="","",IF(OR(C242="是",D242="是",E242="是",F242="是"),"剔除","保留"))</f>
        <v/>
      </c>
      <c r="H242" s="12">
        <f>IF(G242="保留",COUNTIF($G$2:G242,"保留"),"")</f>
        <v/>
      </c>
    </row>
    <row r="243">
      <c r="A243" s="12">
        <f>IF(原始資料!$A243="","",原始資料!$A243)</f>
        <v/>
      </c>
      <c r="B243" s="12">
        <f>IF(原始資料!$A243="","",MAX(連續計數!B243:BI243))</f>
        <v/>
      </c>
      <c r="C243" s="12">
        <f>IF(OR(原始資料!$A243="",設定!$B$4=""),"",IF(原始資料!$C243&lt;&gt;設定!$B$4,"是",""))</f>
        <v/>
      </c>
      <c r="D243" s="12">
        <f>IF(OR(原始資料!$A243="",設定!$B$5=""),"",IF(原始資料!$B243&lt;設定!$B$5,"是",""))</f>
        <v/>
      </c>
      <c r="E243" s="12">
        <f>IF(OR(原始資料!$A243="",設定!$B$6=""),"",IF(B243&gt;=設定!$B$6,"是",""))</f>
        <v/>
      </c>
      <c r="F243" s="13" t="n"/>
      <c r="G243" s="12">
        <f>IF(原始資料!$A243="","",IF(OR(C243="是",D243="是",E243="是",F243="是"),"剔除","保留"))</f>
        <v/>
      </c>
      <c r="H243" s="12">
        <f>IF(G243="保留",COUNTIF($G$2:G243,"保留"),"")</f>
        <v/>
      </c>
    </row>
    <row r="244">
      <c r="A244" s="12">
        <f>IF(原始資料!$A244="","",原始資料!$A244)</f>
        <v/>
      </c>
      <c r="B244" s="12">
        <f>IF(原始資料!$A244="","",MAX(連續計數!B244:BI244))</f>
        <v/>
      </c>
      <c r="C244" s="12">
        <f>IF(OR(原始資料!$A244="",設定!$B$4=""),"",IF(原始資料!$C244&lt;&gt;設定!$B$4,"是",""))</f>
        <v/>
      </c>
      <c r="D244" s="12">
        <f>IF(OR(原始資料!$A244="",設定!$B$5=""),"",IF(原始資料!$B244&lt;設定!$B$5,"是",""))</f>
        <v/>
      </c>
      <c r="E244" s="12">
        <f>IF(OR(原始資料!$A244="",設定!$B$6=""),"",IF(B244&gt;=設定!$B$6,"是",""))</f>
        <v/>
      </c>
      <c r="F244" s="13" t="n"/>
      <c r="G244" s="12">
        <f>IF(原始資料!$A244="","",IF(OR(C244="是",D244="是",E244="是",F244="是"),"剔除","保留"))</f>
        <v/>
      </c>
      <c r="H244" s="12">
        <f>IF(G244="保留",COUNTIF($G$2:G244,"保留"),"")</f>
        <v/>
      </c>
    </row>
    <row r="245">
      <c r="A245" s="12">
        <f>IF(原始資料!$A245="","",原始資料!$A245)</f>
        <v/>
      </c>
      <c r="B245" s="12">
        <f>IF(原始資料!$A245="","",MAX(連續計數!B245:BI245))</f>
        <v/>
      </c>
      <c r="C245" s="12">
        <f>IF(OR(原始資料!$A245="",設定!$B$4=""),"",IF(原始資料!$C245&lt;&gt;設定!$B$4,"是",""))</f>
        <v/>
      </c>
      <c r="D245" s="12">
        <f>IF(OR(原始資料!$A245="",設定!$B$5=""),"",IF(原始資料!$B245&lt;設定!$B$5,"是",""))</f>
        <v/>
      </c>
      <c r="E245" s="12">
        <f>IF(OR(原始資料!$A245="",設定!$B$6=""),"",IF(B245&gt;=設定!$B$6,"是",""))</f>
        <v/>
      </c>
      <c r="F245" s="13" t="n"/>
      <c r="G245" s="12">
        <f>IF(原始資料!$A245="","",IF(OR(C245="是",D245="是",E245="是",F245="是"),"剔除","保留"))</f>
        <v/>
      </c>
      <c r="H245" s="12">
        <f>IF(G245="保留",COUNTIF($G$2:G245,"保留"),"")</f>
        <v/>
      </c>
    </row>
    <row r="246">
      <c r="A246" s="12">
        <f>IF(原始資料!$A246="","",原始資料!$A246)</f>
        <v/>
      </c>
      <c r="B246" s="12">
        <f>IF(原始資料!$A246="","",MAX(連續計數!B246:BI246))</f>
        <v/>
      </c>
      <c r="C246" s="12">
        <f>IF(OR(原始資料!$A246="",設定!$B$4=""),"",IF(原始資料!$C246&lt;&gt;設定!$B$4,"是",""))</f>
        <v/>
      </c>
      <c r="D246" s="12">
        <f>IF(OR(原始資料!$A246="",設定!$B$5=""),"",IF(原始資料!$B246&lt;設定!$B$5,"是",""))</f>
        <v/>
      </c>
      <c r="E246" s="12">
        <f>IF(OR(原始資料!$A246="",設定!$B$6=""),"",IF(B246&gt;=設定!$B$6,"是",""))</f>
        <v/>
      </c>
      <c r="F246" s="13" t="n"/>
      <c r="G246" s="12">
        <f>IF(原始資料!$A246="","",IF(OR(C246="是",D246="是",E246="是",F246="是"),"剔除","保留"))</f>
        <v/>
      </c>
      <c r="H246" s="12">
        <f>IF(G246="保留",COUNTIF($G$2:G246,"保留"),"")</f>
        <v/>
      </c>
    </row>
    <row r="247">
      <c r="A247" s="12">
        <f>IF(原始資料!$A247="","",原始資料!$A247)</f>
        <v/>
      </c>
      <c r="B247" s="12">
        <f>IF(原始資料!$A247="","",MAX(連續計數!B247:BI247))</f>
        <v/>
      </c>
      <c r="C247" s="12">
        <f>IF(OR(原始資料!$A247="",設定!$B$4=""),"",IF(原始資料!$C247&lt;&gt;設定!$B$4,"是",""))</f>
        <v/>
      </c>
      <c r="D247" s="12">
        <f>IF(OR(原始資料!$A247="",設定!$B$5=""),"",IF(原始資料!$B247&lt;設定!$B$5,"是",""))</f>
        <v/>
      </c>
      <c r="E247" s="12">
        <f>IF(OR(原始資料!$A247="",設定!$B$6=""),"",IF(B247&gt;=設定!$B$6,"是",""))</f>
        <v/>
      </c>
      <c r="F247" s="13" t="n"/>
      <c r="G247" s="12">
        <f>IF(原始資料!$A247="","",IF(OR(C247="是",D247="是",E247="是",F247="是"),"剔除","保留"))</f>
        <v/>
      </c>
      <c r="H247" s="12">
        <f>IF(G247="保留",COUNTIF($G$2:G247,"保留"),"")</f>
        <v/>
      </c>
    </row>
    <row r="248">
      <c r="A248" s="12">
        <f>IF(原始資料!$A248="","",原始資料!$A248)</f>
        <v/>
      </c>
      <c r="B248" s="12">
        <f>IF(原始資料!$A248="","",MAX(連續計數!B248:BI248))</f>
        <v/>
      </c>
      <c r="C248" s="12">
        <f>IF(OR(原始資料!$A248="",設定!$B$4=""),"",IF(原始資料!$C248&lt;&gt;設定!$B$4,"是",""))</f>
        <v/>
      </c>
      <c r="D248" s="12">
        <f>IF(OR(原始資料!$A248="",設定!$B$5=""),"",IF(原始資料!$B248&lt;設定!$B$5,"是",""))</f>
        <v/>
      </c>
      <c r="E248" s="12">
        <f>IF(OR(原始資料!$A248="",設定!$B$6=""),"",IF(B248&gt;=設定!$B$6,"是",""))</f>
        <v/>
      </c>
      <c r="F248" s="13" t="n"/>
      <c r="G248" s="12">
        <f>IF(原始資料!$A248="","",IF(OR(C248="是",D248="是",E248="是",F248="是"),"剔除","保留"))</f>
        <v/>
      </c>
      <c r="H248" s="12">
        <f>IF(G248="保留",COUNTIF($G$2:G248,"保留"),"")</f>
        <v/>
      </c>
    </row>
    <row r="249">
      <c r="A249" s="12">
        <f>IF(原始資料!$A249="","",原始資料!$A249)</f>
        <v/>
      </c>
      <c r="B249" s="12">
        <f>IF(原始資料!$A249="","",MAX(連續計數!B249:BI249))</f>
        <v/>
      </c>
      <c r="C249" s="12">
        <f>IF(OR(原始資料!$A249="",設定!$B$4=""),"",IF(原始資料!$C249&lt;&gt;設定!$B$4,"是",""))</f>
        <v/>
      </c>
      <c r="D249" s="12">
        <f>IF(OR(原始資料!$A249="",設定!$B$5=""),"",IF(原始資料!$B249&lt;設定!$B$5,"是",""))</f>
        <v/>
      </c>
      <c r="E249" s="12">
        <f>IF(OR(原始資料!$A249="",設定!$B$6=""),"",IF(B249&gt;=設定!$B$6,"是",""))</f>
        <v/>
      </c>
      <c r="F249" s="13" t="n"/>
      <c r="G249" s="12">
        <f>IF(原始資料!$A249="","",IF(OR(C249="是",D249="是",E249="是",F249="是"),"剔除","保留"))</f>
        <v/>
      </c>
      <c r="H249" s="12">
        <f>IF(G249="保留",COUNTIF($G$2:G249,"保留"),"")</f>
        <v/>
      </c>
    </row>
    <row r="250">
      <c r="A250" s="12">
        <f>IF(原始資料!$A250="","",原始資料!$A250)</f>
        <v/>
      </c>
      <c r="B250" s="12">
        <f>IF(原始資料!$A250="","",MAX(連續計數!B250:BI250))</f>
        <v/>
      </c>
      <c r="C250" s="12">
        <f>IF(OR(原始資料!$A250="",設定!$B$4=""),"",IF(原始資料!$C250&lt;&gt;設定!$B$4,"是",""))</f>
        <v/>
      </c>
      <c r="D250" s="12">
        <f>IF(OR(原始資料!$A250="",設定!$B$5=""),"",IF(原始資料!$B250&lt;設定!$B$5,"是",""))</f>
        <v/>
      </c>
      <c r="E250" s="12">
        <f>IF(OR(原始資料!$A250="",設定!$B$6=""),"",IF(B250&gt;=設定!$B$6,"是",""))</f>
        <v/>
      </c>
      <c r="F250" s="13" t="n"/>
      <c r="G250" s="12">
        <f>IF(原始資料!$A250="","",IF(OR(C250="是",D250="是",E250="是",F250="是"),"剔除","保留"))</f>
        <v/>
      </c>
      <c r="H250" s="12">
        <f>IF(G250="保留",COUNTIF($G$2:G250,"保留"),"")</f>
        <v/>
      </c>
    </row>
    <row r="251">
      <c r="A251" s="12">
        <f>IF(原始資料!$A251="","",原始資料!$A251)</f>
        <v/>
      </c>
      <c r="B251" s="12">
        <f>IF(原始資料!$A251="","",MAX(連續計數!B251:BI251))</f>
        <v/>
      </c>
      <c r="C251" s="12">
        <f>IF(OR(原始資料!$A251="",設定!$B$4=""),"",IF(原始資料!$C251&lt;&gt;設定!$B$4,"是",""))</f>
        <v/>
      </c>
      <c r="D251" s="12">
        <f>IF(OR(原始資料!$A251="",設定!$B$5=""),"",IF(原始資料!$B251&lt;設定!$B$5,"是",""))</f>
        <v/>
      </c>
      <c r="E251" s="12">
        <f>IF(OR(原始資料!$A251="",設定!$B$6=""),"",IF(B251&gt;=設定!$B$6,"是",""))</f>
        <v/>
      </c>
      <c r="F251" s="13" t="n"/>
      <c r="G251" s="12">
        <f>IF(原始資料!$A251="","",IF(OR(C251="是",D251="是",E251="是",F251="是"),"剔除","保留"))</f>
        <v/>
      </c>
      <c r="H251" s="12">
        <f>IF(G251="保留",COUNTIF($G$2:G251,"保留"),"")</f>
        <v/>
      </c>
    </row>
    <row r="252">
      <c r="A252" s="12">
        <f>IF(原始資料!$A252="","",原始資料!$A252)</f>
        <v/>
      </c>
      <c r="B252" s="12">
        <f>IF(原始資料!$A252="","",MAX(連續計數!B252:BI252))</f>
        <v/>
      </c>
      <c r="C252" s="12">
        <f>IF(OR(原始資料!$A252="",設定!$B$4=""),"",IF(原始資料!$C252&lt;&gt;設定!$B$4,"是",""))</f>
        <v/>
      </c>
      <c r="D252" s="12">
        <f>IF(OR(原始資料!$A252="",設定!$B$5=""),"",IF(原始資料!$B252&lt;設定!$B$5,"是",""))</f>
        <v/>
      </c>
      <c r="E252" s="12">
        <f>IF(OR(原始資料!$A252="",設定!$B$6=""),"",IF(B252&gt;=設定!$B$6,"是",""))</f>
        <v/>
      </c>
      <c r="F252" s="13" t="n"/>
      <c r="G252" s="12">
        <f>IF(原始資料!$A252="","",IF(OR(C252="是",D252="是",E252="是",F252="是"),"剔除","保留"))</f>
        <v/>
      </c>
      <c r="H252" s="12">
        <f>IF(G252="保留",COUNTIF($G$2:G252,"保留"),"")</f>
        <v/>
      </c>
    </row>
    <row r="253">
      <c r="A253" s="12">
        <f>IF(原始資料!$A253="","",原始資料!$A253)</f>
        <v/>
      </c>
      <c r="B253" s="12">
        <f>IF(原始資料!$A253="","",MAX(連續計數!B253:BI253))</f>
        <v/>
      </c>
      <c r="C253" s="12">
        <f>IF(OR(原始資料!$A253="",設定!$B$4=""),"",IF(原始資料!$C253&lt;&gt;設定!$B$4,"是",""))</f>
        <v/>
      </c>
      <c r="D253" s="12">
        <f>IF(OR(原始資料!$A253="",設定!$B$5=""),"",IF(原始資料!$B253&lt;設定!$B$5,"是",""))</f>
        <v/>
      </c>
      <c r="E253" s="12">
        <f>IF(OR(原始資料!$A253="",設定!$B$6=""),"",IF(B253&gt;=設定!$B$6,"是",""))</f>
        <v/>
      </c>
      <c r="F253" s="13" t="n"/>
      <c r="G253" s="12">
        <f>IF(原始資料!$A253="","",IF(OR(C253="是",D253="是",E253="是",F253="是"),"剔除","保留"))</f>
        <v/>
      </c>
      <c r="H253" s="12">
        <f>IF(G253="保留",COUNTIF($G$2:G253,"保留"),"")</f>
        <v/>
      </c>
    </row>
    <row r="254">
      <c r="A254" s="12">
        <f>IF(原始資料!$A254="","",原始資料!$A254)</f>
        <v/>
      </c>
      <c r="B254" s="12">
        <f>IF(原始資料!$A254="","",MAX(連續計數!B254:BI254))</f>
        <v/>
      </c>
      <c r="C254" s="12">
        <f>IF(OR(原始資料!$A254="",設定!$B$4=""),"",IF(原始資料!$C254&lt;&gt;設定!$B$4,"是",""))</f>
        <v/>
      </c>
      <c r="D254" s="12">
        <f>IF(OR(原始資料!$A254="",設定!$B$5=""),"",IF(原始資料!$B254&lt;設定!$B$5,"是",""))</f>
        <v/>
      </c>
      <c r="E254" s="12">
        <f>IF(OR(原始資料!$A254="",設定!$B$6=""),"",IF(B254&gt;=設定!$B$6,"是",""))</f>
        <v/>
      </c>
      <c r="F254" s="13" t="n"/>
      <c r="G254" s="12">
        <f>IF(原始資料!$A254="","",IF(OR(C254="是",D254="是",E254="是",F254="是"),"剔除","保留"))</f>
        <v/>
      </c>
      <c r="H254" s="12">
        <f>IF(G254="保留",COUNTIF($G$2:G254,"保留"),"")</f>
        <v/>
      </c>
    </row>
    <row r="255">
      <c r="A255" s="12">
        <f>IF(原始資料!$A255="","",原始資料!$A255)</f>
        <v/>
      </c>
      <c r="B255" s="12">
        <f>IF(原始資料!$A255="","",MAX(連續計數!B255:BI255))</f>
        <v/>
      </c>
      <c r="C255" s="12">
        <f>IF(OR(原始資料!$A255="",設定!$B$4=""),"",IF(原始資料!$C255&lt;&gt;設定!$B$4,"是",""))</f>
        <v/>
      </c>
      <c r="D255" s="12">
        <f>IF(OR(原始資料!$A255="",設定!$B$5=""),"",IF(原始資料!$B255&lt;設定!$B$5,"是",""))</f>
        <v/>
      </c>
      <c r="E255" s="12">
        <f>IF(OR(原始資料!$A255="",設定!$B$6=""),"",IF(B255&gt;=設定!$B$6,"是",""))</f>
        <v/>
      </c>
      <c r="F255" s="13" t="n"/>
      <c r="G255" s="12">
        <f>IF(原始資料!$A255="","",IF(OR(C255="是",D255="是",E255="是",F255="是"),"剔除","保留"))</f>
        <v/>
      </c>
      <c r="H255" s="12">
        <f>IF(G255="保留",COUNTIF($G$2:G255,"保留"),"")</f>
        <v/>
      </c>
    </row>
    <row r="256">
      <c r="A256" s="12">
        <f>IF(原始資料!$A256="","",原始資料!$A256)</f>
        <v/>
      </c>
      <c r="B256" s="12">
        <f>IF(原始資料!$A256="","",MAX(連續計數!B256:BI256))</f>
        <v/>
      </c>
      <c r="C256" s="12">
        <f>IF(OR(原始資料!$A256="",設定!$B$4=""),"",IF(原始資料!$C256&lt;&gt;設定!$B$4,"是",""))</f>
        <v/>
      </c>
      <c r="D256" s="12">
        <f>IF(OR(原始資料!$A256="",設定!$B$5=""),"",IF(原始資料!$B256&lt;設定!$B$5,"是",""))</f>
        <v/>
      </c>
      <c r="E256" s="12">
        <f>IF(OR(原始資料!$A256="",設定!$B$6=""),"",IF(B256&gt;=設定!$B$6,"是",""))</f>
        <v/>
      </c>
      <c r="F256" s="13" t="n"/>
      <c r="G256" s="12">
        <f>IF(原始資料!$A256="","",IF(OR(C256="是",D256="是",E256="是",F256="是"),"剔除","保留"))</f>
        <v/>
      </c>
      <c r="H256" s="12">
        <f>IF(G256="保留",COUNTIF($G$2:G256,"保留"),"")</f>
        <v/>
      </c>
    </row>
    <row r="257">
      <c r="A257" s="12">
        <f>IF(原始資料!$A257="","",原始資料!$A257)</f>
        <v/>
      </c>
      <c r="B257" s="12">
        <f>IF(原始資料!$A257="","",MAX(連續計數!B257:BI257))</f>
        <v/>
      </c>
      <c r="C257" s="12">
        <f>IF(OR(原始資料!$A257="",設定!$B$4=""),"",IF(原始資料!$C257&lt;&gt;設定!$B$4,"是",""))</f>
        <v/>
      </c>
      <c r="D257" s="12">
        <f>IF(OR(原始資料!$A257="",設定!$B$5=""),"",IF(原始資料!$B257&lt;設定!$B$5,"是",""))</f>
        <v/>
      </c>
      <c r="E257" s="12">
        <f>IF(OR(原始資料!$A257="",設定!$B$6=""),"",IF(B257&gt;=設定!$B$6,"是",""))</f>
        <v/>
      </c>
      <c r="F257" s="13" t="n"/>
      <c r="G257" s="12">
        <f>IF(原始資料!$A257="","",IF(OR(C257="是",D257="是",E257="是",F257="是"),"剔除","保留"))</f>
        <v/>
      </c>
      <c r="H257" s="12">
        <f>IF(G257="保留",COUNTIF($G$2:G257,"保留"),"")</f>
        <v/>
      </c>
    </row>
    <row r="258">
      <c r="A258" s="12">
        <f>IF(原始資料!$A258="","",原始資料!$A258)</f>
        <v/>
      </c>
      <c r="B258" s="12">
        <f>IF(原始資料!$A258="","",MAX(連續計數!B258:BI258))</f>
        <v/>
      </c>
      <c r="C258" s="12">
        <f>IF(OR(原始資料!$A258="",設定!$B$4=""),"",IF(原始資料!$C258&lt;&gt;設定!$B$4,"是",""))</f>
        <v/>
      </c>
      <c r="D258" s="12">
        <f>IF(OR(原始資料!$A258="",設定!$B$5=""),"",IF(原始資料!$B258&lt;設定!$B$5,"是",""))</f>
        <v/>
      </c>
      <c r="E258" s="12">
        <f>IF(OR(原始資料!$A258="",設定!$B$6=""),"",IF(B258&gt;=設定!$B$6,"是",""))</f>
        <v/>
      </c>
      <c r="F258" s="13" t="n"/>
      <c r="G258" s="12">
        <f>IF(原始資料!$A258="","",IF(OR(C258="是",D258="是",E258="是",F258="是"),"剔除","保留"))</f>
        <v/>
      </c>
      <c r="H258" s="12">
        <f>IF(G258="保留",COUNTIF($G$2:G258,"保留"),"")</f>
        <v/>
      </c>
    </row>
    <row r="259">
      <c r="A259" s="12">
        <f>IF(原始資料!$A259="","",原始資料!$A259)</f>
        <v/>
      </c>
      <c r="B259" s="12">
        <f>IF(原始資料!$A259="","",MAX(連續計數!B259:BI259))</f>
        <v/>
      </c>
      <c r="C259" s="12">
        <f>IF(OR(原始資料!$A259="",設定!$B$4=""),"",IF(原始資料!$C259&lt;&gt;設定!$B$4,"是",""))</f>
        <v/>
      </c>
      <c r="D259" s="12">
        <f>IF(OR(原始資料!$A259="",設定!$B$5=""),"",IF(原始資料!$B259&lt;設定!$B$5,"是",""))</f>
        <v/>
      </c>
      <c r="E259" s="12">
        <f>IF(OR(原始資料!$A259="",設定!$B$6=""),"",IF(B259&gt;=設定!$B$6,"是",""))</f>
        <v/>
      </c>
      <c r="F259" s="13" t="n"/>
      <c r="G259" s="12">
        <f>IF(原始資料!$A259="","",IF(OR(C259="是",D259="是",E259="是",F259="是"),"剔除","保留"))</f>
        <v/>
      </c>
      <c r="H259" s="12">
        <f>IF(G259="保留",COUNTIF($G$2:G259,"保留"),"")</f>
        <v/>
      </c>
    </row>
    <row r="260">
      <c r="A260" s="12">
        <f>IF(原始資料!$A260="","",原始資料!$A260)</f>
        <v/>
      </c>
      <c r="B260" s="12">
        <f>IF(原始資料!$A260="","",MAX(連續計數!B260:BI260))</f>
        <v/>
      </c>
      <c r="C260" s="12">
        <f>IF(OR(原始資料!$A260="",設定!$B$4=""),"",IF(原始資料!$C260&lt;&gt;設定!$B$4,"是",""))</f>
        <v/>
      </c>
      <c r="D260" s="12">
        <f>IF(OR(原始資料!$A260="",設定!$B$5=""),"",IF(原始資料!$B260&lt;設定!$B$5,"是",""))</f>
        <v/>
      </c>
      <c r="E260" s="12">
        <f>IF(OR(原始資料!$A260="",設定!$B$6=""),"",IF(B260&gt;=設定!$B$6,"是",""))</f>
        <v/>
      </c>
      <c r="F260" s="13" t="n"/>
      <c r="G260" s="12">
        <f>IF(原始資料!$A260="","",IF(OR(C260="是",D260="是",E260="是",F260="是"),"剔除","保留"))</f>
        <v/>
      </c>
      <c r="H260" s="12">
        <f>IF(G260="保留",COUNTIF($G$2:G260,"保留"),"")</f>
        <v/>
      </c>
    </row>
    <row r="261">
      <c r="A261" s="12">
        <f>IF(原始資料!$A261="","",原始資料!$A261)</f>
        <v/>
      </c>
      <c r="B261" s="12">
        <f>IF(原始資料!$A261="","",MAX(連續計數!B261:BI261))</f>
        <v/>
      </c>
      <c r="C261" s="12">
        <f>IF(OR(原始資料!$A261="",設定!$B$4=""),"",IF(原始資料!$C261&lt;&gt;設定!$B$4,"是",""))</f>
        <v/>
      </c>
      <c r="D261" s="12">
        <f>IF(OR(原始資料!$A261="",設定!$B$5=""),"",IF(原始資料!$B261&lt;設定!$B$5,"是",""))</f>
        <v/>
      </c>
      <c r="E261" s="12">
        <f>IF(OR(原始資料!$A261="",設定!$B$6=""),"",IF(B261&gt;=設定!$B$6,"是",""))</f>
        <v/>
      </c>
      <c r="F261" s="13" t="n"/>
      <c r="G261" s="12">
        <f>IF(原始資料!$A261="","",IF(OR(C261="是",D261="是",E261="是",F261="是"),"剔除","保留"))</f>
        <v/>
      </c>
      <c r="H261" s="12">
        <f>IF(G261="保留",COUNTIF($G$2:G261,"保留"),"")</f>
        <v/>
      </c>
    </row>
    <row r="262">
      <c r="A262" s="12">
        <f>IF(原始資料!$A262="","",原始資料!$A262)</f>
        <v/>
      </c>
      <c r="B262" s="12">
        <f>IF(原始資料!$A262="","",MAX(連續計數!B262:BI262))</f>
        <v/>
      </c>
      <c r="C262" s="12">
        <f>IF(OR(原始資料!$A262="",設定!$B$4=""),"",IF(原始資料!$C262&lt;&gt;設定!$B$4,"是",""))</f>
        <v/>
      </c>
      <c r="D262" s="12">
        <f>IF(OR(原始資料!$A262="",設定!$B$5=""),"",IF(原始資料!$B262&lt;設定!$B$5,"是",""))</f>
        <v/>
      </c>
      <c r="E262" s="12">
        <f>IF(OR(原始資料!$A262="",設定!$B$6=""),"",IF(B262&gt;=設定!$B$6,"是",""))</f>
        <v/>
      </c>
      <c r="F262" s="13" t="n"/>
      <c r="G262" s="12">
        <f>IF(原始資料!$A262="","",IF(OR(C262="是",D262="是",E262="是",F262="是"),"剔除","保留"))</f>
        <v/>
      </c>
      <c r="H262" s="12">
        <f>IF(G262="保留",COUNTIF($G$2:G262,"保留"),"")</f>
        <v/>
      </c>
    </row>
    <row r="263">
      <c r="A263" s="12">
        <f>IF(原始資料!$A263="","",原始資料!$A263)</f>
        <v/>
      </c>
      <c r="B263" s="12">
        <f>IF(原始資料!$A263="","",MAX(連續計數!B263:BI263))</f>
        <v/>
      </c>
      <c r="C263" s="12">
        <f>IF(OR(原始資料!$A263="",設定!$B$4=""),"",IF(原始資料!$C263&lt;&gt;設定!$B$4,"是",""))</f>
        <v/>
      </c>
      <c r="D263" s="12">
        <f>IF(OR(原始資料!$A263="",設定!$B$5=""),"",IF(原始資料!$B263&lt;設定!$B$5,"是",""))</f>
        <v/>
      </c>
      <c r="E263" s="12">
        <f>IF(OR(原始資料!$A263="",設定!$B$6=""),"",IF(B263&gt;=設定!$B$6,"是",""))</f>
        <v/>
      </c>
      <c r="F263" s="13" t="n"/>
      <c r="G263" s="12">
        <f>IF(原始資料!$A263="","",IF(OR(C263="是",D263="是",E263="是",F263="是"),"剔除","保留"))</f>
        <v/>
      </c>
      <c r="H263" s="12">
        <f>IF(G263="保留",COUNTIF($G$2:G263,"保留"),"")</f>
        <v/>
      </c>
    </row>
    <row r="264">
      <c r="A264" s="12">
        <f>IF(原始資料!$A264="","",原始資料!$A264)</f>
        <v/>
      </c>
      <c r="B264" s="12">
        <f>IF(原始資料!$A264="","",MAX(連續計數!B264:BI264))</f>
        <v/>
      </c>
      <c r="C264" s="12">
        <f>IF(OR(原始資料!$A264="",設定!$B$4=""),"",IF(原始資料!$C264&lt;&gt;設定!$B$4,"是",""))</f>
        <v/>
      </c>
      <c r="D264" s="12">
        <f>IF(OR(原始資料!$A264="",設定!$B$5=""),"",IF(原始資料!$B264&lt;設定!$B$5,"是",""))</f>
        <v/>
      </c>
      <c r="E264" s="12">
        <f>IF(OR(原始資料!$A264="",設定!$B$6=""),"",IF(B264&gt;=設定!$B$6,"是",""))</f>
        <v/>
      </c>
      <c r="F264" s="13" t="n"/>
      <c r="G264" s="12">
        <f>IF(原始資料!$A264="","",IF(OR(C264="是",D264="是",E264="是",F264="是"),"剔除","保留"))</f>
        <v/>
      </c>
      <c r="H264" s="12">
        <f>IF(G264="保留",COUNTIF($G$2:G264,"保留"),"")</f>
        <v/>
      </c>
    </row>
    <row r="265">
      <c r="A265" s="12">
        <f>IF(原始資料!$A265="","",原始資料!$A265)</f>
        <v/>
      </c>
      <c r="B265" s="12">
        <f>IF(原始資料!$A265="","",MAX(連續計數!B265:BI265))</f>
        <v/>
      </c>
      <c r="C265" s="12">
        <f>IF(OR(原始資料!$A265="",設定!$B$4=""),"",IF(原始資料!$C265&lt;&gt;設定!$B$4,"是",""))</f>
        <v/>
      </c>
      <c r="D265" s="12">
        <f>IF(OR(原始資料!$A265="",設定!$B$5=""),"",IF(原始資料!$B265&lt;設定!$B$5,"是",""))</f>
        <v/>
      </c>
      <c r="E265" s="12">
        <f>IF(OR(原始資料!$A265="",設定!$B$6=""),"",IF(B265&gt;=設定!$B$6,"是",""))</f>
        <v/>
      </c>
      <c r="F265" s="13" t="n"/>
      <c r="G265" s="12">
        <f>IF(原始資料!$A265="","",IF(OR(C265="是",D265="是",E265="是",F265="是"),"剔除","保留"))</f>
        <v/>
      </c>
      <c r="H265" s="12">
        <f>IF(G265="保留",COUNTIF($G$2:G265,"保留"),"")</f>
        <v/>
      </c>
    </row>
    <row r="266">
      <c r="A266" s="12">
        <f>IF(原始資料!$A266="","",原始資料!$A266)</f>
        <v/>
      </c>
      <c r="B266" s="12">
        <f>IF(原始資料!$A266="","",MAX(連續計數!B266:BI266))</f>
        <v/>
      </c>
      <c r="C266" s="12">
        <f>IF(OR(原始資料!$A266="",設定!$B$4=""),"",IF(原始資料!$C266&lt;&gt;設定!$B$4,"是",""))</f>
        <v/>
      </c>
      <c r="D266" s="12">
        <f>IF(OR(原始資料!$A266="",設定!$B$5=""),"",IF(原始資料!$B266&lt;設定!$B$5,"是",""))</f>
        <v/>
      </c>
      <c r="E266" s="12">
        <f>IF(OR(原始資料!$A266="",設定!$B$6=""),"",IF(B266&gt;=設定!$B$6,"是",""))</f>
        <v/>
      </c>
      <c r="F266" s="13" t="n"/>
      <c r="G266" s="12">
        <f>IF(原始資料!$A266="","",IF(OR(C266="是",D266="是",E266="是",F266="是"),"剔除","保留"))</f>
        <v/>
      </c>
      <c r="H266" s="12">
        <f>IF(G266="保留",COUNTIF($G$2:G266,"保留"),"")</f>
        <v/>
      </c>
    </row>
    <row r="267">
      <c r="A267" s="12">
        <f>IF(原始資料!$A267="","",原始資料!$A267)</f>
        <v/>
      </c>
      <c r="B267" s="12">
        <f>IF(原始資料!$A267="","",MAX(連續計數!B267:BI267))</f>
        <v/>
      </c>
      <c r="C267" s="12">
        <f>IF(OR(原始資料!$A267="",設定!$B$4=""),"",IF(原始資料!$C267&lt;&gt;設定!$B$4,"是",""))</f>
        <v/>
      </c>
      <c r="D267" s="12">
        <f>IF(OR(原始資料!$A267="",設定!$B$5=""),"",IF(原始資料!$B267&lt;設定!$B$5,"是",""))</f>
        <v/>
      </c>
      <c r="E267" s="12">
        <f>IF(OR(原始資料!$A267="",設定!$B$6=""),"",IF(B267&gt;=設定!$B$6,"是",""))</f>
        <v/>
      </c>
      <c r="F267" s="13" t="n"/>
      <c r="G267" s="12">
        <f>IF(原始資料!$A267="","",IF(OR(C267="是",D267="是",E267="是",F267="是"),"剔除","保留"))</f>
        <v/>
      </c>
      <c r="H267" s="12">
        <f>IF(G267="保留",COUNTIF($G$2:G267,"保留"),"")</f>
        <v/>
      </c>
    </row>
    <row r="268">
      <c r="A268" s="12">
        <f>IF(原始資料!$A268="","",原始資料!$A268)</f>
        <v/>
      </c>
      <c r="B268" s="12">
        <f>IF(原始資料!$A268="","",MAX(連續計數!B268:BI268))</f>
        <v/>
      </c>
      <c r="C268" s="12">
        <f>IF(OR(原始資料!$A268="",設定!$B$4=""),"",IF(原始資料!$C268&lt;&gt;設定!$B$4,"是",""))</f>
        <v/>
      </c>
      <c r="D268" s="12">
        <f>IF(OR(原始資料!$A268="",設定!$B$5=""),"",IF(原始資料!$B268&lt;設定!$B$5,"是",""))</f>
        <v/>
      </c>
      <c r="E268" s="12">
        <f>IF(OR(原始資料!$A268="",設定!$B$6=""),"",IF(B268&gt;=設定!$B$6,"是",""))</f>
        <v/>
      </c>
      <c r="F268" s="13" t="n"/>
      <c r="G268" s="12">
        <f>IF(原始資料!$A268="","",IF(OR(C268="是",D268="是",E268="是",F268="是"),"剔除","保留"))</f>
        <v/>
      </c>
      <c r="H268" s="12">
        <f>IF(G268="保留",COUNTIF($G$2:G268,"保留"),"")</f>
        <v/>
      </c>
    </row>
    <row r="269">
      <c r="A269" s="12">
        <f>IF(原始資料!$A269="","",原始資料!$A269)</f>
        <v/>
      </c>
      <c r="B269" s="12">
        <f>IF(原始資料!$A269="","",MAX(連續計數!B269:BI269))</f>
        <v/>
      </c>
      <c r="C269" s="12">
        <f>IF(OR(原始資料!$A269="",設定!$B$4=""),"",IF(原始資料!$C269&lt;&gt;設定!$B$4,"是",""))</f>
        <v/>
      </c>
      <c r="D269" s="12">
        <f>IF(OR(原始資料!$A269="",設定!$B$5=""),"",IF(原始資料!$B269&lt;設定!$B$5,"是",""))</f>
        <v/>
      </c>
      <c r="E269" s="12">
        <f>IF(OR(原始資料!$A269="",設定!$B$6=""),"",IF(B269&gt;=設定!$B$6,"是",""))</f>
        <v/>
      </c>
      <c r="F269" s="13" t="n"/>
      <c r="G269" s="12">
        <f>IF(原始資料!$A269="","",IF(OR(C269="是",D269="是",E269="是",F269="是"),"剔除","保留"))</f>
        <v/>
      </c>
      <c r="H269" s="12">
        <f>IF(G269="保留",COUNTIF($G$2:G269,"保留"),"")</f>
        <v/>
      </c>
    </row>
    <row r="270">
      <c r="A270" s="12">
        <f>IF(原始資料!$A270="","",原始資料!$A270)</f>
        <v/>
      </c>
      <c r="B270" s="12">
        <f>IF(原始資料!$A270="","",MAX(連續計數!B270:BI270))</f>
        <v/>
      </c>
      <c r="C270" s="12">
        <f>IF(OR(原始資料!$A270="",設定!$B$4=""),"",IF(原始資料!$C270&lt;&gt;設定!$B$4,"是",""))</f>
        <v/>
      </c>
      <c r="D270" s="12">
        <f>IF(OR(原始資料!$A270="",設定!$B$5=""),"",IF(原始資料!$B270&lt;設定!$B$5,"是",""))</f>
        <v/>
      </c>
      <c r="E270" s="12">
        <f>IF(OR(原始資料!$A270="",設定!$B$6=""),"",IF(B270&gt;=設定!$B$6,"是",""))</f>
        <v/>
      </c>
      <c r="F270" s="13" t="n"/>
      <c r="G270" s="12">
        <f>IF(原始資料!$A270="","",IF(OR(C270="是",D270="是",E270="是",F270="是"),"剔除","保留"))</f>
        <v/>
      </c>
      <c r="H270" s="12">
        <f>IF(G270="保留",COUNTIF($G$2:G270,"保留"),"")</f>
        <v/>
      </c>
    </row>
    <row r="271">
      <c r="A271" s="12">
        <f>IF(原始資料!$A271="","",原始資料!$A271)</f>
        <v/>
      </c>
      <c r="B271" s="12">
        <f>IF(原始資料!$A271="","",MAX(連續計數!B271:BI271))</f>
        <v/>
      </c>
      <c r="C271" s="12">
        <f>IF(OR(原始資料!$A271="",設定!$B$4=""),"",IF(原始資料!$C271&lt;&gt;設定!$B$4,"是",""))</f>
        <v/>
      </c>
      <c r="D271" s="12">
        <f>IF(OR(原始資料!$A271="",設定!$B$5=""),"",IF(原始資料!$B271&lt;設定!$B$5,"是",""))</f>
        <v/>
      </c>
      <c r="E271" s="12">
        <f>IF(OR(原始資料!$A271="",設定!$B$6=""),"",IF(B271&gt;=設定!$B$6,"是",""))</f>
        <v/>
      </c>
      <c r="F271" s="13" t="n"/>
      <c r="G271" s="12">
        <f>IF(原始資料!$A271="","",IF(OR(C271="是",D271="是",E271="是",F271="是"),"剔除","保留"))</f>
        <v/>
      </c>
      <c r="H271" s="12">
        <f>IF(G271="保留",COUNTIF($G$2:G271,"保留"),"")</f>
        <v/>
      </c>
    </row>
    <row r="272">
      <c r="A272" s="12">
        <f>IF(原始資料!$A272="","",原始資料!$A272)</f>
        <v/>
      </c>
      <c r="B272" s="12">
        <f>IF(原始資料!$A272="","",MAX(連續計數!B272:BI272))</f>
        <v/>
      </c>
      <c r="C272" s="12">
        <f>IF(OR(原始資料!$A272="",設定!$B$4=""),"",IF(原始資料!$C272&lt;&gt;設定!$B$4,"是",""))</f>
        <v/>
      </c>
      <c r="D272" s="12">
        <f>IF(OR(原始資料!$A272="",設定!$B$5=""),"",IF(原始資料!$B272&lt;設定!$B$5,"是",""))</f>
        <v/>
      </c>
      <c r="E272" s="12">
        <f>IF(OR(原始資料!$A272="",設定!$B$6=""),"",IF(B272&gt;=設定!$B$6,"是",""))</f>
        <v/>
      </c>
      <c r="F272" s="13" t="n"/>
      <c r="G272" s="12">
        <f>IF(原始資料!$A272="","",IF(OR(C272="是",D272="是",E272="是",F272="是"),"剔除","保留"))</f>
        <v/>
      </c>
      <c r="H272" s="12">
        <f>IF(G272="保留",COUNTIF($G$2:G272,"保留"),"")</f>
        <v/>
      </c>
    </row>
    <row r="273">
      <c r="A273" s="12">
        <f>IF(原始資料!$A273="","",原始資料!$A273)</f>
        <v/>
      </c>
      <c r="B273" s="12">
        <f>IF(原始資料!$A273="","",MAX(連續計數!B273:BI273))</f>
        <v/>
      </c>
      <c r="C273" s="12">
        <f>IF(OR(原始資料!$A273="",設定!$B$4=""),"",IF(原始資料!$C273&lt;&gt;設定!$B$4,"是",""))</f>
        <v/>
      </c>
      <c r="D273" s="12">
        <f>IF(OR(原始資料!$A273="",設定!$B$5=""),"",IF(原始資料!$B273&lt;設定!$B$5,"是",""))</f>
        <v/>
      </c>
      <c r="E273" s="12">
        <f>IF(OR(原始資料!$A273="",設定!$B$6=""),"",IF(B273&gt;=設定!$B$6,"是",""))</f>
        <v/>
      </c>
      <c r="F273" s="13" t="n"/>
      <c r="G273" s="12">
        <f>IF(原始資料!$A273="","",IF(OR(C273="是",D273="是",E273="是",F273="是"),"剔除","保留"))</f>
        <v/>
      </c>
      <c r="H273" s="12">
        <f>IF(G273="保留",COUNTIF($G$2:G273,"保留"),"")</f>
        <v/>
      </c>
    </row>
    <row r="274">
      <c r="A274" s="12">
        <f>IF(原始資料!$A274="","",原始資料!$A274)</f>
        <v/>
      </c>
      <c r="B274" s="12">
        <f>IF(原始資料!$A274="","",MAX(連續計數!B274:BI274))</f>
        <v/>
      </c>
      <c r="C274" s="12">
        <f>IF(OR(原始資料!$A274="",設定!$B$4=""),"",IF(原始資料!$C274&lt;&gt;設定!$B$4,"是",""))</f>
        <v/>
      </c>
      <c r="D274" s="12">
        <f>IF(OR(原始資料!$A274="",設定!$B$5=""),"",IF(原始資料!$B274&lt;設定!$B$5,"是",""))</f>
        <v/>
      </c>
      <c r="E274" s="12">
        <f>IF(OR(原始資料!$A274="",設定!$B$6=""),"",IF(B274&gt;=設定!$B$6,"是",""))</f>
        <v/>
      </c>
      <c r="F274" s="13" t="n"/>
      <c r="G274" s="12">
        <f>IF(原始資料!$A274="","",IF(OR(C274="是",D274="是",E274="是",F274="是"),"剔除","保留"))</f>
        <v/>
      </c>
      <c r="H274" s="12">
        <f>IF(G274="保留",COUNTIF($G$2:G274,"保留"),"")</f>
        <v/>
      </c>
    </row>
    <row r="275">
      <c r="A275" s="12">
        <f>IF(原始資料!$A275="","",原始資料!$A275)</f>
        <v/>
      </c>
      <c r="B275" s="12">
        <f>IF(原始資料!$A275="","",MAX(連續計數!B275:BI275))</f>
        <v/>
      </c>
      <c r="C275" s="12">
        <f>IF(OR(原始資料!$A275="",設定!$B$4=""),"",IF(原始資料!$C275&lt;&gt;設定!$B$4,"是",""))</f>
        <v/>
      </c>
      <c r="D275" s="12">
        <f>IF(OR(原始資料!$A275="",設定!$B$5=""),"",IF(原始資料!$B275&lt;設定!$B$5,"是",""))</f>
        <v/>
      </c>
      <c r="E275" s="12">
        <f>IF(OR(原始資料!$A275="",設定!$B$6=""),"",IF(B275&gt;=設定!$B$6,"是",""))</f>
        <v/>
      </c>
      <c r="F275" s="13" t="n"/>
      <c r="G275" s="12">
        <f>IF(原始資料!$A275="","",IF(OR(C275="是",D275="是",E275="是",F275="是"),"剔除","保留"))</f>
        <v/>
      </c>
      <c r="H275" s="12">
        <f>IF(G275="保留",COUNTIF($G$2:G275,"保留"),"")</f>
        <v/>
      </c>
    </row>
    <row r="276">
      <c r="A276" s="12">
        <f>IF(原始資料!$A276="","",原始資料!$A276)</f>
        <v/>
      </c>
      <c r="B276" s="12">
        <f>IF(原始資料!$A276="","",MAX(連續計數!B276:BI276))</f>
        <v/>
      </c>
      <c r="C276" s="12">
        <f>IF(OR(原始資料!$A276="",設定!$B$4=""),"",IF(原始資料!$C276&lt;&gt;設定!$B$4,"是",""))</f>
        <v/>
      </c>
      <c r="D276" s="12">
        <f>IF(OR(原始資料!$A276="",設定!$B$5=""),"",IF(原始資料!$B276&lt;設定!$B$5,"是",""))</f>
        <v/>
      </c>
      <c r="E276" s="12">
        <f>IF(OR(原始資料!$A276="",設定!$B$6=""),"",IF(B276&gt;=設定!$B$6,"是",""))</f>
        <v/>
      </c>
      <c r="F276" s="13" t="n"/>
      <c r="G276" s="12">
        <f>IF(原始資料!$A276="","",IF(OR(C276="是",D276="是",E276="是",F276="是"),"剔除","保留"))</f>
        <v/>
      </c>
      <c r="H276" s="12">
        <f>IF(G276="保留",COUNTIF($G$2:G276,"保留"),"")</f>
        <v/>
      </c>
    </row>
    <row r="277">
      <c r="A277" s="12">
        <f>IF(原始資料!$A277="","",原始資料!$A277)</f>
        <v/>
      </c>
      <c r="B277" s="12">
        <f>IF(原始資料!$A277="","",MAX(連續計數!B277:BI277))</f>
        <v/>
      </c>
      <c r="C277" s="12">
        <f>IF(OR(原始資料!$A277="",設定!$B$4=""),"",IF(原始資料!$C277&lt;&gt;設定!$B$4,"是",""))</f>
        <v/>
      </c>
      <c r="D277" s="12">
        <f>IF(OR(原始資料!$A277="",設定!$B$5=""),"",IF(原始資料!$B277&lt;設定!$B$5,"是",""))</f>
        <v/>
      </c>
      <c r="E277" s="12">
        <f>IF(OR(原始資料!$A277="",設定!$B$6=""),"",IF(B277&gt;=設定!$B$6,"是",""))</f>
        <v/>
      </c>
      <c r="F277" s="13" t="n"/>
      <c r="G277" s="12">
        <f>IF(原始資料!$A277="","",IF(OR(C277="是",D277="是",E277="是",F277="是"),"剔除","保留"))</f>
        <v/>
      </c>
      <c r="H277" s="12">
        <f>IF(G277="保留",COUNTIF($G$2:G277,"保留"),"")</f>
        <v/>
      </c>
    </row>
    <row r="278">
      <c r="A278" s="12">
        <f>IF(原始資料!$A278="","",原始資料!$A278)</f>
        <v/>
      </c>
      <c r="B278" s="12">
        <f>IF(原始資料!$A278="","",MAX(連續計數!B278:BI278))</f>
        <v/>
      </c>
      <c r="C278" s="12">
        <f>IF(OR(原始資料!$A278="",設定!$B$4=""),"",IF(原始資料!$C278&lt;&gt;設定!$B$4,"是",""))</f>
        <v/>
      </c>
      <c r="D278" s="12">
        <f>IF(OR(原始資料!$A278="",設定!$B$5=""),"",IF(原始資料!$B278&lt;設定!$B$5,"是",""))</f>
        <v/>
      </c>
      <c r="E278" s="12">
        <f>IF(OR(原始資料!$A278="",設定!$B$6=""),"",IF(B278&gt;=設定!$B$6,"是",""))</f>
        <v/>
      </c>
      <c r="F278" s="13" t="n"/>
      <c r="G278" s="12">
        <f>IF(原始資料!$A278="","",IF(OR(C278="是",D278="是",E278="是",F278="是"),"剔除","保留"))</f>
        <v/>
      </c>
      <c r="H278" s="12">
        <f>IF(G278="保留",COUNTIF($G$2:G278,"保留"),"")</f>
        <v/>
      </c>
    </row>
    <row r="279">
      <c r="A279" s="12">
        <f>IF(原始資料!$A279="","",原始資料!$A279)</f>
        <v/>
      </c>
      <c r="B279" s="12">
        <f>IF(原始資料!$A279="","",MAX(連續計數!B279:BI279))</f>
        <v/>
      </c>
      <c r="C279" s="12">
        <f>IF(OR(原始資料!$A279="",設定!$B$4=""),"",IF(原始資料!$C279&lt;&gt;設定!$B$4,"是",""))</f>
        <v/>
      </c>
      <c r="D279" s="12">
        <f>IF(OR(原始資料!$A279="",設定!$B$5=""),"",IF(原始資料!$B279&lt;設定!$B$5,"是",""))</f>
        <v/>
      </c>
      <c r="E279" s="12">
        <f>IF(OR(原始資料!$A279="",設定!$B$6=""),"",IF(B279&gt;=設定!$B$6,"是",""))</f>
        <v/>
      </c>
      <c r="F279" s="13" t="n"/>
      <c r="G279" s="12">
        <f>IF(原始資料!$A279="","",IF(OR(C279="是",D279="是",E279="是",F279="是"),"剔除","保留"))</f>
        <v/>
      </c>
      <c r="H279" s="12">
        <f>IF(G279="保留",COUNTIF($G$2:G279,"保留"),"")</f>
        <v/>
      </c>
    </row>
    <row r="280">
      <c r="A280" s="12">
        <f>IF(原始資料!$A280="","",原始資料!$A280)</f>
        <v/>
      </c>
      <c r="B280" s="12">
        <f>IF(原始資料!$A280="","",MAX(連續計數!B280:BI280))</f>
        <v/>
      </c>
      <c r="C280" s="12">
        <f>IF(OR(原始資料!$A280="",設定!$B$4=""),"",IF(原始資料!$C280&lt;&gt;設定!$B$4,"是",""))</f>
        <v/>
      </c>
      <c r="D280" s="12">
        <f>IF(OR(原始資料!$A280="",設定!$B$5=""),"",IF(原始資料!$B280&lt;設定!$B$5,"是",""))</f>
        <v/>
      </c>
      <c r="E280" s="12">
        <f>IF(OR(原始資料!$A280="",設定!$B$6=""),"",IF(B280&gt;=設定!$B$6,"是",""))</f>
        <v/>
      </c>
      <c r="F280" s="13" t="n"/>
      <c r="G280" s="12">
        <f>IF(原始資料!$A280="","",IF(OR(C280="是",D280="是",E280="是",F280="是"),"剔除","保留"))</f>
        <v/>
      </c>
      <c r="H280" s="12">
        <f>IF(G280="保留",COUNTIF($G$2:G280,"保留"),"")</f>
        <v/>
      </c>
    </row>
    <row r="281">
      <c r="A281" s="12">
        <f>IF(原始資料!$A281="","",原始資料!$A281)</f>
        <v/>
      </c>
      <c r="B281" s="12">
        <f>IF(原始資料!$A281="","",MAX(連續計數!B281:BI281))</f>
        <v/>
      </c>
      <c r="C281" s="12">
        <f>IF(OR(原始資料!$A281="",設定!$B$4=""),"",IF(原始資料!$C281&lt;&gt;設定!$B$4,"是",""))</f>
        <v/>
      </c>
      <c r="D281" s="12">
        <f>IF(OR(原始資料!$A281="",設定!$B$5=""),"",IF(原始資料!$B281&lt;設定!$B$5,"是",""))</f>
        <v/>
      </c>
      <c r="E281" s="12">
        <f>IF(OR(原始資料!$A281="",設定!$B$6=""),"",IF(B281&gt;=設定!$B$6,"是",""))</f>
        <v/>
      </c>
      <c r="F281" s="13" t="n"/>
      <c r="G281" s="12">
        <f>IF(原始資料!$A281="","",IF(OR(C281="是",D281="是",E281="是",F281="是"),"剔除","保留"))</f>
        <v/>
      </c>
      <c r="H281" s="12">
        <f>IF(G281="保留",COUNTIF($G$2:G281,"保留"),"")</f>
        <v/>
      </c>
    </row>
    <row r="282">
      <c r="A282" s="12">
        <f>IF(原始資料!$A282="","",原始資料!$A282)</f>
        <v/>
      </c>
      <c r="B282" s="12">
        <f>IF(原始資料!$A282="","",MAX(連續計數!B282:BI282))</f>
        <v/>
      </c>
      <c r="C282" s="12">
        <f>IF(OR(原始資料!$A282="",設定!$B$4=""),"",IF(原始資料!$C282&lt;&gt;設定!$B$4,"是",""))</f>
        <v/>
      </c>
      <c r="D282" s="12">
        <f>IF(OR(原始資料!$A282="",設定!$B$5=""),"",IF(原始資料!$B282&lt;設定!$B$5,"是",""))</f>
        <v/>
      </c>
      <c r="E282" s="12">
        <f>IF(OR(原始資料!$A282="",設定!$B$6=""),"",IF(B282&gt;=設定!$B$6,"是",""))</f>
        <v/>
      </c>
      <c r="F282" s="13" t="n"/>
      <c r="G282" s="12">
        <f>IF(原始資料!$A282="","",IF(OR(C282="是",D282="是",E282="是",F282="是"),"剔除","保留"))</f>
        <v/>
      </c>
      <c r="H282" s="12">
        <f>IF(G282="保留",COUNTIF($G$2:G282,"保留"),"")</f>
        <v/>
      </c>
    </row>
    <row r="283">
      <c r="A283" s="12">
        <f>IF(原始資料!$A283="","",原始資料!$A283)</f>
        <v/>
      </c>
      <c r="B283" s="12">
        <f>IF(原始資料!$A283="","",MAX(連續計數!B283:BI283))</f>
        <v/>
      </c>
      <c r="C283" s="12">
        <f>IF(OR(原始資料!$A283="",設定!$B$4=""),"",IF(原始資料!$C283&lt;&gt;設定!$B$4,"是",""))</f>
        <v/>
      </c>
      <c r="D283" s="12">
        <f>IF(OR(原始資料!$A283="",設定!$B$5=""),"",IF(原始資料!$B283&lt;設定!$B$5,"是",""))</f>
        <v/>
      </c>
      <c r="E283" s="12">
        <f>IF(OR(原始資料!$A283="",設定!$B$6=""),"",IF(B283&gt;=設定!$B$6,"是",""))</f>
        <v/>
      </c>
      <c r="F283" s="13" t="n"/>
      <c r="G283" s="12">
        <f>IF(原始資料!$A283="","",IF(OR(C283="是",D283="是",E283="是",F283="是"),"剔除","保留"))</f>
        <v/>
      </c>
      <c r="H283" s="12">
        <f>IF(G283="保留",COUNTIF($G$2:G283,"保留"),"")</f>
        <v/>
      </c>
    </row>
    <row r="284">
      <c r="A284" s="12">
        <f>IF(原始資料!$A284="","",原始資料!$A284)</f>
        <v/>
      </c>
      <c r="B284" s="12">
        <f>IF(原始資料!$A284="","",MAX(連續計數!B284:BI284))</f>
        <v/>
      </c>
      <c r="C284" s="12">
        <f>IF(OR(原始資料!$A284="",設定!$B$4=""),"",IF(原始資料!$C284&lt;&gt;設定!$B$4,"是",""))</f>
        <v/>
      </c>
      <c r="D284" s="12">
        <f>IF(OR(原始資料!$A284="",設定!$B$5=""),"",IF(原始資料!$B284&lt;設定!$B$5,"是",""))</f>
        <v/>
      </c>
      <c r="E284" s="12">
        <f>IF(OR(原始資料!$A284="",設定!$B$6=""),"",IF(B284&gt;=設定!$B$6,"是",""))</f>
        <v/>
      </c>
      <c r="F284" s="13" t="n"/>
      <c r="G284" s="12">
        <f>IF(原始資料!$A284="","",IF(OR(C284="是",D284="是",E284="是",F284="是"),"剔除","保留"))</f>
        <v/>
      </c>
      <c r="H284" s="12">
        <f>IF(G284="保留",COUNTIF($G$2:G284,"保留"),"")</f>
        <v/>
      </c>
    </row>
    <row r="285">
      <c r="A285" s="12">
        <f>IF(原始資料!$A285="","",原始資料!$A285)</f>
        <v/>
      </c>
      <c r="B285" s="12">
        <f>IF(原始資料!$A285="","",MAX(連續計數!B285:BI285))</f>
        <v/>
      </c>
      <c r="C285" s="12">
        <f>IF(OR(原始資料!$A285="",設定!$B$4=""),"",IF(原始資料!$C285&lt;&gt;設定!$B$4,"是",""))</f>
        <v/>
      </c>
      <c r="D285" s="12">
        <f>IF(OR(原始資料!$A285="",設定!$B$5=""),"",IF(原始資料!$B285&lt;設定!$B$5,"是",""))</f>
        <v/>
      </c>
      <c r="E285" s="12">
        <f>IF(OR(原始資料!$A285="",設定!$B$6=""),"",IF(B285&gt;=設定!$B$6,"是",""))</f>
        <v/>
      </c>
      <c r="F285" s="13" t="n"/>
      <c r="G285" s="12">
        <f>IF(原始資料!$A285="","",IF(OR(C285="是",D285="是",E285="是",F285="是"),"剔除","保留"))</f>
        <v/>
      </c>
      <c r="H285" s="12">
        <f>IF(G285="保留",COUNTIF($G$2:G285,"保留"),"")</f>
        <v/>
      </c>
    </row>
    <row r="286">
      <c r="A286" s="12">
        <f>IF(原始資料!$A286="","",原始資料!$A286)</f>
        <v/>
      </c>
      <c r="B286" s="12">
        <f>IF(原始資料!$A286="","",MAX(連續計數!B286:BI286))</f>
        <v/>
      </c>
      <c r="C286" s="12">
        <f>IF(OR(原始資料!$A286="",設定!$B$4=""),"",IF(原始資料!$C286&lt;&gt;設定!$B$4,"是",""))</f>
        <v/>
      </c>
      <c r="D286" s="12">
        <f>IF(OR(原始資料!$A286="",設定!$B$5=""),"",IF(原始資料!$B286&lt;設定!$B$5,"是",""))</f>
        <v/>
      </c>
      <c r="E286" s="12">
        <f>IF(OR(原始資料!$A286="",設定!$B$6=""),"",IF(B286&gt;=設定!$B$6,"是",""))</f>
        <v/>
      </c>
      <c r="F286" s="13" t="n"/>
      <c r="G286" s="12">
        <f>IF(原始資料!$A286="","",IF(OR(C286="是",D286="是",E286="是",F286="是"),"剔除","保留"))</f>
        <v/>
      </c>
      <c r="H286" s="12">
        <f>IF(G286="保留",COUNTIF($G$2:G286,"保留"),"")</f>
        <v/>
      </c>
    </row>
    <row r="287">
      <c r="A287" s="12">
        <f>IF(原始資料!$A287="","",原始資料!$A287)</f>
        <v/>
      </c>
      <c r="B287" s="12">
        <f>IF(原始資料!$A287="","",MAX(連續計數!B287:BI287))</f>
        <v/>
      </c>
      <c r="C287" s="12">
        <f>IF(OR(原始資料!$A287="",設定!$B$4=""),"",IF(原始資料!$C287&lt;&gt;設定!$B$4,"是",""))</f>
        <v/>
      </c>
      <c r="D287" s="12">
        <f>IF(OR(原始資料!$A287="",設定!$B$5=""),"",IF(原始資料!$B287&lt;設定!$B$5,"是",""))</f>
        <v/>
      </c>
      <c r="E287" s="12">
        <f>IF(OR(原始資料!$A287="",設定!$B$6=""),"",IF(B287&gt;=設定!$B$6,"是",""))</f>
        <v/>
      </c>
      <c r="F287" s="13" t="n"/>
      <c r="G287" s="12">
        <f>IF(原始資料!$A287="","",IF(OR(C287="是",D287="是",E287="是",F287="是"),"剔除","保留"))</f>
        <v/>
      </c>
      <c r="H287" s="12">
        <f>IF(G287="保留",COUNTIF($G$2:G287,"保留"),"")</f>
        <v/>
      </c>
    </row>
    <row r="288">
      <c r="A288" s="12">
        <f>IF(原始資料!$A288="","",原始資料!$A288)</f>
        <v/>
      </c>
      <c r="B288" s="12">
        <f>IF(原始資料!$A288="","",MAX(連續計數!B288:BI288))</f>
        <v/>
      </c>
      <c r="C288" s="12">
        <f>IF(OR(原始資料!$A288="",設定!$B$4=""),"",IF(原始資料!$C288&lt;&gt;設定!$B$4,"是",""))</f>
        <v/>
      </c>
      <c r="D288" s="12">
        <f>IF(OR(原始資料!$A288="",設定!$B$5=""),"",IF(原始資料!$B288&lt;設定!$B$5,"是",""))</f>
        <v/>
      </c>
      <c r="E288" s="12">
        <f>IF(OR(原始資料!$A288="",設定!$B$6=""),"",IF(B288&gt;=設定!$B$6,"是",""))</f>
        <v/>
      </c>
      <c r="F288" s="13" t="n"/>
      <c r="G288" s="12">
        <f>IF(原始資料!$A288="","",IF(OR(C288="是",D288="是",E288="是",F288="是"),"剔除","保留"))</f>
        <v/>
      </c>
      <c r="H288" s="12">
        <f>IF(G288="保留",COUNTIF($G$2:G288,"保留"),"")</f>
        <v/>
      </c>
    </row>
    <row r="289">
      <c r="A289" s="12">
        <f>IF(原始資料!$A289="","",原始資料!$A289)</f>
        <v/>
      </c>
      <c r="B289" s="12">
        <f>IF(原始資料!$A289="","",MAX(連續計數!B289:BI289))</f>
        <v/>
      </c>
      <c r="C289" s="12">
        <f>IF(OR(原始資料!$A289="",設定!$B$4=""),"",IF(原始資料!$C289&lt;&gt;設定!$B$4,"是",""))</f>
        <v/>
      </c>
      <c r="D289" s="12">
        <f>IF(OR(原始資料!$A289="",設定!$B$5=""),"",IF(原始資料!$B289&lt;設定!$B$5,"是",""))</f>
        <v/>
      </c>
      <c r="E289" s="12">
        <f>IF(OR(原始資料!$A289="",設定!$B$6=""),"",IF(B289&gt;=設定!$B$6,"是",""))</f>
        <v/>
      </c>
      <c r="F289" s="13" t="n"/>
      <c r="G289" s="12">
        <f>IF(原始資料!$A289="","",IF(OR(C289="是",D289="是",E289="是",F289="是"),"剔除","保留"))</f>
        <v/>
      </c>
      <c r="H289" s="12">
        <f>IF(G289="保留",COUNTIF($G$2:G289,"保留"),"")</f>
        <v/>
      </c>
    </row>
    <row r="290">
      <c r="A290" s="12">
        <f>IF(原始資料!$A290="","",原始資料!$A290)</f>
        <v/>
      </c>
      <c r="B290" s="12">
        <f>IF(原始資料!$A290="","",MAX(連續計數!B290:BI290))</f>
        <v/>
      </c>
      <c r="C290" s="12">
        <f>IF(OR(原始資料!$A290="",設定!$B$4=""),"",IF(原始資料!$C290&lt;&gt;設定!$B$4,"是",""))</f>
        <v/>
      </c>
      <c r="D290" s="12">
        <f>IF(OR(原始資料!$A290="",設定!$B$5=""),"",IF(原始資料!$B290&lt;設定!$B$5,"是",""))</f>
        <v/>
      </c>
      <c r="E290" s="12">
        <f>IF(OR(原始資料!$A290="",設定!$B$6=""),"",IF(B290&gt;=設定!$B$6,"是",""))</f>
        <v/>
      </c>
      <c r="F290" s="13" t="n"/>
      <c r="G290" s="12">
        <f>IF(原始資料!$A290="","",IF(OR(C290="是",D290="是",E290="是",F290="是"),"剔除","保留"))</f>
        <v/>
      </c>
      <c r="H290" s="12">
        <f>IF(G290="保留",COUNTIF($G$2:G290,"保留"),"")</f>
        <v/>
      </c>
    </row>
    <row r="291">
      <c r="A291" s="12">
        <f>IF(原始資料!$A291="","",原始資料!$A291)</f>
        <v/>
      </c>
      <c r="B291" s="12">
        <f>IF(原始資料!$A291="","",MAX(連續計數!B291:BI291))</f>
        <v/>
      </c>
      <c r="C291" s="12">
        <f>IF(OR(原始資料!$A291="",設定!$B$4=""),"",IF(原始資料!$C291&lt;&gt;設定!$B$4,"是",""))</f>
        <v/>
      </c>
      <c r="D291" s="12">
        <f>IF(OR(原始資料!$A291="",設定!$B$5=""),"",IF(原始資料!$B291&lt;設定!$B$5,"是",""))</f>
        <v/>
      </c>
      <c r="E291" s="12">
        <f>IF(OR(原始資料!$A291="",設定!$B$6=""),"",IF(B291&gt;=設定!$B$6,"是",""))</f>
        <v/>
      </c>
      <c r="F291" s="13" t="n"/>
      <c r="G291" s="12">
        <f>IF(原始資料!$A291="","",IF(OR(C291="是",D291="是",E291="是",F291="是"),"剔除","保留"))</f>
        <v/>
      </c>
      <c r="H291" s="12">
        <f>IF(G291="保留",COUNTIF($G$2:G291,"保留"),"")</f>
        <v/>
      </c>
    </row>
    <row r="292">
      <c r="A292" s="12">
        <f>IF(原始資料!$A292="","",原始資料!$A292)</f>
        <v/>
      </c>
      <c r="B292" s="12">
        <f>IF(原始資料!$A292="","",MAX(連續計數!B292:BI292))</f>
        <v/>
      </c>
      <c r="C292" s="12">
        <f>IF(OR(原始資料!$A292="",設定!$B$4=""),"",IF(原始資料!$C292&lt;&gt;設定!$B$4,"是",""))</f>
        <v/>
      </c>
      <c r="D292" s="12">
        <f>IF(OR(原始資料!$A292="",設定!$B$5=""),"",IF(原始資料!$B292&lt;設定!$B$5,"是",""))</f>
        <v/>
      </c>
      <c r="E292" s="12">
        <f>IF(OR(原始資料!$A292="",設定!$B$6=""),"",IF(B292&gt;=設定!$B$6,"是",""))</f>
        <v/>
      </c>
      <c r="F292" s="13" t="n"/>
      <c r="G292" s="12">
        <f>IF(原始資料!$A292="","",IF(OR(C292="是",D292="是",E292="是",F292="是"),"剔除","保留"))</f>
        <v/>
      </c>
      <c r="H292" s="12">
        <f>IF(G292="保留",COUNTIF($G$2:G292,"保留"),"")</f>
        <v/>
      </c>
    </row>
    <row r="293">
      <c r="A293" s="12">
        <f>IF(原始資料!$A293="","",原始資料!$A293)</f>
        <v/>
      </c>
      <c r="B293" s="12">
        <f>IF(原始資料!$A293="","",MAX(連續計數!B293:BI293))</f>
        <v/>
      </c>
      <c r="C293" s="12">
        <f>IF(OR(原始資料!$A293="",設定!$B$4=""),"",IF(原始資料!$C293&lt;&gt;設定!$B$4,"是",""))</f>
        <v/>
      </c>
      <c r="D293" s="12">
        <f>IF(OR(原始資料!$A293="",設定!$B$5=""),"",IF(原始資料!$B293&lt;設定!$B$5,"是",""))</f>
        <v/>
      </c>
      <c r="E293" s="12">
        <f>IF(OR(原始資料!$A293="",設定!$B$6=""),"",IF(B293&gt;=設定!$B$6,"是",""))</f>
        <v/>
      </c>
      <c r="F293" s="13" t="n"/>
      <c r="G293" s="12">
        <f>IF(原始資料!$A293="","",IF(OR(C293="是",D293="是",E293="是",F293="是"),"剔除","保留"))</f>
        <v/>
      </c>
      <c r="H293" s="12">
        <f>IF(G293="保留",COUNTIF($G$2:G293,"保留"),"")</f>
        <v/>
      </c>
    </row>
    <row r="294">
      <c r="A294" s="12">
        <f>IF(原始資料!$A294="","",原始資料!$A294)</f>
        <v/>
      </c>
      <c r="B294" s="12">
        <f>IF(原始資料!$A294="","",MAX(連續計數!B294:BI294))</f>
        <v/>
      </c>
      <c r="C294" s="12">
        <f>IF(OR(原始資料!$A294="",設定!$B$4=""),"",IF(原始資料!$C294&lt;&gt;設定!$B$4,"是",""))</f>
        <v/>
      </c>
      <c r="D294" s="12">
        <f>IF(OR(原始資料!$A294="",設定!$B$5=""),"",IF(原始資料!$B294&lt;設定!$B$5,"是",""))</f>
        <v/>
      </c>
      <c r="E294" s="12">
        <f>IF(OR(原始資料!$A294="",設定!$B$6=""),"",IF(B294&gt;=設定!$B$6,"是",""))</f>
        <v/>
      </c>
      <c r="F294" s="13" t="n"/>
      <c r="G294" s="12">
        <f>IF(原始資料!$A294="","",IF(OR(C294="是",D294="是",E294="是",F294="是"),"剔除","保留"))</f>
        <v/>
      </c>
      <c r="H294" s="12">
        <f>IF(G294="保留",COUNTIF($G$2:G294,"保留"),"")</f>
        <v/>
      </c>
    </row>
    <row r="295">
      <c r="A295" s="12">
        <f>IF(原始資料!$A295="","",原始資料!$A295)</f>
        <v/>
      </c>
      <c r="B295" s="12">
        <f>IF(原始資料!$A295="","",MAX(連續計數!B295:BI295))</f>
        <v/>
      </c>
      <c r="C295" s="12">
        <f>IF(OR(原始資料!$A295="",設定!$B$4=""),"",IF(原始資料!$C295&lt;&gt;設定!$B$4,"是",""))</f>
        <v/>
      </c>
      <c r="D295" s="12">
        <f>IF(OR(原始資料!$A295="",設定!$B$5=""),"",IF(原始資料!$B295&lt;設定!$B$5,"是",""))</f>
        <v/>
      </c>
      <c r="E295" s="12">
        <f>IF(OR(原始資料!$A295="",設定!$B$6=""),"",IF(B295&gt;=設定!$B$6,"是",""))</f>
        <v/>
      </c>
      <c r="F295" s="13" t="n"/>
      <c r="G295" s="12">
        <f>IF(原始資料!$A295="","",IF(OR(C295="是",D295="是",E295="是",F295="是"),"剔除","保留"))</f>
        <v/>
      </c>
      <c r="H295" s="12">
        <f>IF(G295="保留",COUNTIF($G$2:G295,"保留"),"")</f>
        <v/>
      </c>
    </row>
    <row r="296">
      <c r="A296" s="12">
        <f>IF(原始資料!$A296="","",原始資料!$A296)</f>
        <v/>
      </c>
      <c r="B296" s="12">
        <f>IF(原始資料!$A296="","",MAX(連續計數!B296:BI296))</f>
        <v/>
      </c>
      <c r="C296" s="12">
        <f>IF(OR(原始資料!$A296="",設定!$B$4=""),"",IF(原始資料!$C296&lt;&gt;設定!$B$4,"是",""))</f>
        <v/>
      </c>
      <c r="D296" s="12">
        <f>IF(OR(原始資料!$A296="",設定!$B$5=""),"",IF(原始資料!$B296&lt;設定!$B$5,"是",""))</f>
        <v/>
      </c>
      <c r="E296" s="12">
        <f>IF(OR(原始資料!$A296="",設定!$B$6=""),"",IF(B296&gt;=設定!$B$6,"是",""))</f>
        <v/>
      </c>
      <c r="F296" s="13" t="n"/>
      <c r="G296" s="12">
        <f>IF(原始資料!$A296="","",IF(OR(C296="是",D296="是",E296="是",F296="是"),"剔除","保留"))</f>
        <v/>
      </c>
      <c r="H296" s="12">
        <f>IF(G296="保留",COUNTIF($G$2:G296,"保留"),"")</f>
        <v/>
      </c>
    </row>
    <row r="297">
      <c r="A297" s="12">
        <f>IF(原始資料!$A297="","",原始資料!$A297)</f>
        <v/>
      </c>
      <c r="B297" s="12">
        <f>IF(原始資料!$A297="","",MAX(連續計數!B297:BI297))</f>
        <v/>
      </c>
      <c r="C297" s="12">
        <f>IF(OR(原始資料!$A297="",設定!$B$4=""),"",IF(原始資料!$C297&lt;&gt;設定!$B$4,"是",""))</f>
        <v/>
      </c>
      <c r="D297" s="12">
        <f>IF(OR(原始資料!$A297="",設定!$B$5=""),"",IF(原始資料!$B297&lt;設定!$B$5,"是",""))</f>
        <v/>
      </c>
      <c r="E297" s="12">
        <f>IF(OR(原始資料!$A297="",設定!$B$6=""),"",IF(B297&gt;=設定!$B$6,"是",""))</f>
        <v/>
      </c>
      <c r="F297" s="13" t="n"/>
      <c r="G297" s="12">
        <f>IF(原始資料!$A297="","",IF(OR(C297="是",D297="是",E297="是",F297="是"),"剔除","保留"))</f>
        <v/>
      </c>
      <c r="H297" s="12">
        <f>IF(G297="保留",COUNTIF($G$2:G297,"保留"),"")</f>
        <v/>
      </c>
    </row>
    <row r="298">
      <c r="A298" s="12">
        <f>IF(原始資料!$A298="","",原始資料!$A298)</f>
        <v/>
      </c>
      <c r="B298" s="12">
        <f>IF(原始資料!$A298="","",MAX(連續計數!B298:BI298))</f>
        <v/>
      </c>
      <c r="C298" s="12">
        <f>IF(OR(原始資料!$A298="",設定!$B$4=""),"",IF(原始資料!$C298&lt;&gt;設定!$B$4,"是",""))</f>
        <v/>
      </c>
      <c r="D298" s="12">
        <f>IF(OR(原始資料!$A298="",設定!$B$5=""),"",IF(原始資料!$B298&lt;設定!$B$5,"是",""))</f>
        <v/>
      </c>
      <c r="E298" s="12">
        <f>IF(OR(原始資料!$A298="",設定!$B$6=""),"",IF(B298&gt;=設定!$B$6,"是",""))</f>
        <v/>
      </c>
      <c r="F298" s="13" t="n"/>
      <c r="G298" s="12">
        <f>IF(原始資料!$A298="","",IF(OR(C298="是",D298="是",E298="是",F298="是"),"剔除","保留"))</f>
        <v/>
      </c>
      <c r="H298" s="12">
        <f>IF(G298="保留",COUNTIF($G$2:G298,"保留"),"")</f>
        <v/>
      </c>
    </row>
    <row r="299">
      <c r="A299" s="12">
        <f>IF(原始資料!$A299="","",原始資料!$A299)</f>
        <v/>
      </c>
      <c r="B299" s="12">
        <f>IF(原始資料!$A299="","",MAX(連續計數!B299:BI299))</f>
        <v/>
      </c>
      <c r="C299" s="12">
        <f>IF(OR(原始資料!$A299="",設定!$B$4=""),"",IF(原始資料!$C299&lt;&gt;設定!$B$4,"是",""))</f>
        <v/>
      </c>
      <c r="D299" s="12">
        <f>IF(OR(原始資料!$A299="",設定!$B$5=""),"",IF(原始資料!$B299&lt;設定!$B$5,"是",""))</f>
        <v/>
      </c>
      <c r="E299" s="12">
        <f>IF(OR(原始資料!$A299="",設定!$B$6=""),"",IF(B299&gt;=設定!$B$6,"是",""))</f>
        <v/>
      </c>
      <c r="F299" s="13" t="n"/>
      <c r="G299" s="12">
        <f>IF(原始資料!$A299="","",IF(OR(C299="是",D299="是",E299="是",F299="是"),"剔除","保留"))</f>
        <v/>
      </c>
      <c r="H299" s="12">
        <f>IF(G299="保留",COUNTIF($G$2:G299,"保留"),"")</f>
        <v/>
      </c>
    </row>
    <row r="300">
      <c r="A300" s="12">
        <f>IF(原始資料!$A300="","",原始資料!$A300)</f>
        <v/>
      </c>
      <c r="B300" s="12">
        <f>IF(原始資料!$A300="","",MAX(連續計數!B300:BI300))</f>
        <v/>
      </c>
      <c r="C300" s="12">
        <f>IF(OR(原始資料!$A300="",設定!$B$4=""),"",IF(原始資料!$C300&lt;&gt;設定!$B$4,"是",""))</f>
        <v/>
      </c>
      <c r="D300" s="12">
        <f>IF(OR(原始資料!$A300="",設定!$B$5=""),"",IF(原始資料!$B300&lt;設定!$B$5,"是",""))</f>
        <v/>
      </c>
      <c r="E300" s="12">
        <f>IF(OR(原始資料!$A300="",設定!$B$6=""),"",IF(B300&gt;=設定!$B$6,"是",""))</f>
        <v/>
      </c>
      <c r="F300" s="13" t="n"/>
      <c r="G300" s="12">
        <f>IF(原始資料!$A300="","",IF(OR(C300="是",D300="是",E300="是",F300="是"),"剔除","保留"))</f>
        <v/>
      </c>
      <c r="H300" s="12">
        <f>IF(G300="保留",COUNTIF($G$2:G300,"保留"),"")</f>
        <v/>
      </c>
    </row>
    <row r="301">
      <c r="A301" s="12">
        <f>IF(原始資料!$A301="","",原始資料!$A301)</f>
        <v/>
      </c>
      <c r="B301" s="12">
        <f>IF(原始資料!$A301="","",MAX(連續計數!B301:BI301))</f>
        <v/>
      </c>
      <c r="C301" s="12">
        <f>IF(OR(原始資料!$A301="",設定!$B$4=""),"",IF(原始資料!$C301&lt;&gt;設定!$B$4,"是",""))</f>
        <v/>
      </c>
      <c r="D301" s="12">
        <f>IF(OR(原始資料!$A301="",設定!$B$5=""),"",IF(原始資料!$B301&lt;設定!$B$5,"是",""))</f>
        <v/>
      </c>
      <c r="E301" s="12">
        <f>IF(OR(原始資料!$A301="",設定!$B$6=""),"",IF(B301&gt;=設定!$B$6,"是",""))</f>
        <v/>
      </c>
      <c r="F301" s="13" t="n"/>
      <c r="G301" s="12">
        <f>IF(原始資料!$A301="","",IF(OR(C301="是",D301="是",E301="是",F301="是"),"剔除","保留"))</f>
        <v/>
      </c>
      <c r="H301" s="12">
        <f>IF(G301="保留",COUNTIF($G$2:G301,"保留"),"")</f>
        <v/>
      </c>
    </row>
    <row r="302">
      <c r="A302" s="12">
        <f>IF(原始資料!$A302="","",原始資料!$A302)</f>
        <v/>
      </c>
      <c r="B302" s="12">
        <f>IF(原始資料!$A302="","",MAX(連續計數!B302:BI302))</f>
        <v/>
      </c>
      <c r="C302" s="12">
        <f>IF(OR(原始資料!$A302="",設定!$B$4=""),"",IF(原始資料!$C302&lt;&gt;設定!$B$4,"是",""))</f>
        <v/>
      </c>
      <c r="D302" s="12">
        <f>IF(OR(原始資料!$A302="",設定!$B$5=""),"",IF(原始資料!$B302&lt;設定!$B$5,"是",""))</f>
        <v/>
      </c>
      <c r="E302" s="12">
        <f>IF(OR(原始資料!$A302="",設定!$B$6=""),"",IF(B302&gt;=設定!$B$6,"是",""))</f>
        <v/>
      </c>
      <c r="F302" s="13" t="n"/>
      <c r="G302" s="12">
        <f>IF(原始資料!$A302="","",IF(OR(C302="是",D302="是",E302="是",F302="是"),"剔除","保留"))</f>
        <v/>
      </c>
      <c r="H302" s="12">
        <f>IF(G302="保留",COUNTIF($G$2:G302,"保留"),"")</f>
        <v/>
      </c>
    </row>
    <row r="303">
      <c r="A303" s="12">
        <f>IF(原始資料!$A303="","",原始資料!$A303)</f>
        <v/>
      </c>
      <c r="B303" s="12">
        <f>IF(原始資料!$A303="","",MAX(連續計數!B303:BI303))</f>
        <v/>
      </c>
      <c r="C303" s="12">
        <f>IF(OR(原始資料!$A303="",設定!$B$4=""),"",IF(原始資料!$C303&lt;&gt;設定!$B$4,"是",""))</f>
        <v/>
      </c>
      <c r="D303" s="12">
        <f>IF(OR(原始資料!$A303="",設定!$B$5=""),"",IF(原始資料!$B303&lt;設定!$B$5,"是",""))</f>
        <v/>
      </c>
      <c r="E303" s="12">
        <f>IF(OR(原始資料!$A303="",設定!$B$6=""),"",IF(B303&gt;=設定!$B$6,"是",""))</f>
        <v/>
      </c>
      <c r="F303" s="13" t="n"/>
      <c r="G303" s="12">
        <f>IF(原始資料!$A303="","",IF(OR(C303="是",D303="是",E303="是",F303="是"),"剔除","保留"))</f>
        <v/>
      </c>
      <c r="H303" s="12">
        <f>IF(G303="保留",COUNTIF($G$2:G303,"保留"),"")</f>
        <v/>
      </c>
    </row>
    <row r="304">
      <c r="A304" s="12">
        <f>IF(原始資料!$A304="","",原始資料!$A304)</f>
        <v/>
      </c>
      <c r="B304" s="12">
        <f>IF(原始資料!$A304="","",MAX(連續計數!B304:BI304))</f>
        <v/>
      </c>
      <c r="C304" s="12">
        <f>IF(OR(原始資料!$A304="",設定!$B$4=""),"",IF(原始資料!$C304&lt;&gt;設定!$B$4,"是",""))</f>
        <v/>
      </c>
      <c r="D304" s="12">
        <f>IF(OR(原始資料!$A304="",設定!$B$5=""),"",IF(原始資料!$B304&lt;設定!$B$5,"是",""))</f>
        <v/>
      </c>
      <c r="E304" s="12">
        <f>IF(OR(原始資料!$A304="",設定!$B$6=""),"",IF(B304&gt;=設定!$B$6,"是",""))</f>
        <v/>
      </c>
      <c r="F304" s="13" t="n"/>
      <c r="G304" s="12">
        <f>IF(原始資料!$A304="","",IF(OR(C304="是",D304="是",E304="是",F304="是"),"剔除","保留"))</f>
        <v/>
      </c>
      <c r="H304" s="12">
        <f>IF(G304="保留",COUNTIF($G$2:G304,"保留"),"")</f>
        <v/>
      </c>
    </row>
    <row r="305">
      <c r="A305" s="12">
        <f>IF(原始資料!$A305="","",原始資料!$A305)</f>
        <v/>
      </c>
      <c r="B305" s="12">
        <f>IF(原始資料!$A305="","",MAX(連續計數!B305:BI305))</f>
        <v/>
      </c>
      <c r="C305" s="12">
        <f>IF(OR(原始資料!$A305="",設定!$B$4=""),"",IF(原始資料!$C305&lt;&gt;設定!$B$4,"是",""))</f>
        <v/>
      </c>
      <c r="D305" s="12">
        <f>IF(OR(原始資料!$A305="",設定!$B$5=""),"",IF(原始資料!$B305&lt;設定!$B$5,"是",""))</f>
        <v/>
      </c>
      <c r="E305" s="12">
        <f>IF(OR(原始資料!$A305="",設定!$B$6=""),"",IF(B305&gt;=設定!$B$6,"是",""))</f>
        <v/>
      </c>
      <c r="F305" s="13" t="n"/>
      <c r="G305" s="12">
        <f>IF(原始資料!$A305="","",IF(OR(C305="是",D305="是",E305="是",F305="是"),"剔除","保留"))</f>
        <v/>
      </c>
      <c r="H305" s="12">
        <f>IF(G305="保留",COUNTIF($G$2:G305,"保留"),"")</f>
        <v/>
      </c>
    </row>
    <row r="306">
      <c r="A306" s="12">
        <f>IF(原始資料!$A306="","",原始資料!$A306)</f>
        <v/>
      </c>
      <c r="B306" s="12">
        <f>IF(原始資料!$A306="","",MAX(連續計數!B306:BI306))</f>
        <v/>
      </c>
      <c r="C306" s="12">
        <f>IF(OR(原始資料!$A306="",設定!$B$4=""),"",IF(原始資料!$C306&lt;&gt;設定!$B$4,"是",""))</f>
        <v/>
      </c>
      <c r="D306" s="12">
        <f>IF(OR(原始資料!$A306="",設定!$B$5=""),"",IF(原始資料!$B306&lt;設定!$B$5,"是",""))</f>
        <v/>
      </c>
      <c r="E306" s="12">
        <f>IF(OR(原始資料!$A306="",設定!$B$6=""),"",IF(B306&gt;=設定!$B$6,"是",""))</f>
        <v/>
      </c>
      <c r="F306" s="13" t="n"/>
      <c r="G306" s="12">
        <f>IF(原始資料!$A306="","",IF(OR(C306="是",D306="是",E306="是",F306="是"),"剔除","保留"))</f>
        <v/>
      </c>
      <c r="H306" s="12">
        <f>IF(G306="保留",COUNTIF($G$2:G306,"保留"),"")</f>
        <v/>
      </c>
    </row>
    <row r="307">
      <c r="A307" s="12">
        <f>IF(原始資料!$A307="","",原始資料!$A307)</f>
        <v/>
      </c>
      <c r="B307" s="12">
        <f>IF(原始資料!$A307="","",MAX(連續計數!B307:BI307))</f>
        <v/>
      </c>
      <c r="C307" s="12">
        <f>IF(OR(原始資料!$A307="",設定!$B$4=""),"",IF(原始資料!$C307&lt;&gt;設定!$B$4,"是",""))</f>
        <v/>
      </c>
      <c r="D307" s="12">
        <f>IF(OR(原始資料!$A307="",設定!$B$5=""),"",IF(原始資料!$B307&lt;設定!$B$5,"是",""))</f>
        <v/>
      </c>
      <c r="E307" s="12">
        <f>IF(OR(原始資料!$A307="",設定!$B$6=""),"",IF(B307&gt;=設定!$B$6,"是",""))</f>
        <v/>
      </c>
      <c r="F307" s="13" t="n"/>
      <c r="G307" s="12">
        <f>IF(原始資料!$A307="","",IF(OR(C307="是",D307="是",E307="是",F307="是"),"剔除","保留"))</f>
        <v/>
      </c>
      <c r="H307" s="12">
        <f>IF(G307="保留",COUNTIF($G$2:G307,"保留"),"")</f>
        <v/>
      </c>
    </row>
    <row r="308">
      <c r="A308" s="12">
        <f>IF(原始資料!$A308="","",原始資料!$A308)</f>
        <v/>
      </c>
      <c r="B308" s="12">
        <f>IF(原始資料!$A308="","",MAX(連續計數!B308:BI308))</f>
        <v/>
      </c>
      <c r="C308" s="12">
        <f>IF(OR(原始資料!$A308="",設定!$B$4=""),"",IF(原始資料!$C308&lt;&gt;設定!$B$4,"是",""))</f>
        <v/>
      </c>
      <c r="D308" s="12">
        <f>IF(OR(原始資料!$A308="",設定!$B$5=""),"",IF(原始資料!$B308&lt;設定!$B$5,"是",""))</f>
        <v/>
      </c>
      <c r="E308" s="12">
        <f>IF(OR(原始資料!$A308="",設定!$B$6=""),"",IF(B308&gt;=設定!$B$6,"是",""))</f>
        <v/>
      </c>
      <c r="F308" s="13" t="n"/>
      <c r="G308" s="12">
        <f>IF(原始資料!$A308="","",IF(OR(C308="是",D308="是",E308="是",F308="是"),"剔除","保留"))</f>
        <v/>
      </c>
      <c r="H308" s="12">
        <f>IF(G308="保留",COUNTIF($G$2:G308,"保留"),"")</f>
        <v/>
      </c>
    </row>
    <row r="309">
      <c r="A309" s="12">
        <f>IF(原始資料!$A309="","",原始資料!$A309)</f>
        <v/>
      </c>
      <c r="B309" s="12">
        <f>IF(原始資料!$A309="","",MAX(連續計數!B309:BI309))</f>
        <v/>
      </c>
      <c r="C309" s="12">
        <f>IF(OR(原始資料!$A309="",設定!$B$4=""),"",IF(原始資料!$C309&lt;&gt;設定!$B$4,"是",""))</f>
        <v/>
      </c>
      <c r="D309" s="12">
        <f>IF(OR(原始資料!$A309="",設定!$B$5=""),"",IF(原始資料!$B309&lt;設定!$B$5,"是",""))</f>
        <v/>
      </c>
      <c r="E309" s="12">
        <f>IF(OR(原始資料!$A309="",設定!$B$6=""),"",IF(B309&gt;=設定!$B$6,"是",""))</f>
        <v/>
      </c>
      <c r="F309" s="13" t="n"/>
      <c r="G309" s="12">
        <f>IF(原始資料!$A309="","",IF(OR(C309="是",D309="是",E309="是",F309="是"),"剔除","保留"))</f>
        <v/>
      </c>
      <c r="H309" s="12">
        <f>IF(G309="保留",COUNTIF($G$2:G309,"保留"),"")</f>
        <v/>
      </c>
    </row>
    <row r="310">
      <c r="A310" s="12">
        <f>IF(原始資料!$A310="","",原始資料!$A310)</f>
        <v/>
      </c>
      <c r="B310" s="12">
        <f>IF(原始資料!$A310="","",MAX(連續計數!B310:BI310))</f>
        <v/>
      </c>
      <c r="C310" s="12">
        <f>IF(OR(原始資料!$A310="",設定!$B$4=""),"",IF(原始資料!$C310&lt;&gt;設定!$B$4,"是",""))</f>
        <v/>
      </c>
      <c r="D310" s="12">
        <f>IF(OR(原始資料!$A310="",設定!$B$5=""),"",IF(原始資料!$B310&lt;設定!$B$5,"是",""))</f>
        <v/>
      </c>
      <c r="E310" s="12">
        <f>IF(OR(原始資料!$A310="",設定!$B$6=""),"",IF(B310&gt;=設定!$B$6,"是",""))</f>
        <v/>
      </c>
      <c r="F310" s="13" t="n"/>
      <c r="G310" s="12">
        <f>IF(原始資料!$A310="","",IF(OR(C310="是",D310="是",E310="是",F310="是"),"剔除","保留"))</f>
        <v/>
      </c>
      <c r="H310" s="12">
        <f>IF(G310="保留",COUNTIF($G$2:G310,"保留"),"")</f>
        <v/>
      </c>
    </row>
    <row r="311">
      <c r="A311" s="12">
        <f>IF(原始資料!$A311="","",原始資料!$A311)</f>
        <v/>
      </c>
      <c r="B311" s="12">
        <f>IF(原始資料!$A311="","",MAX(連續計數!B311:BI311))</f>
        <v/>
      </c>
      <c r="C311" s="12">
        <f>IF(OR(原始資料!$A311="",設定!$B$4=""),"",IF(原始資料!$C311&lt;&gt;設定!$B$4,"是",""))</f>
        <v/>
      </c>
      <c r="D311" s="12">
        <f>IF(OR(原始資料!$A311="",設定!$B$5=""),"",IF(原始資料!$B311&lt;設定!$B$5,"是",""))</f>
        <v/>
      </c>
      <c r="E311" s="12">
        <f>IF(OR(原始資料!$A311="",設定!$B$6=""),"",IF(B311&gt;=設定!$B$6,"是",""))</f>
        <v/>
      </c>
      <c r="F311" s="13" t="n"/>
      <c r="G311" s="12">
        <f>IF(原始資料!$A311="","",IF(OR(C311="是",D311="是",E311="是",F311="是"),"剔除","保留"))</f>
        <v/>
      </c>
      <c r="H311" s="12">
        <f>IF(G311="保留",COUNTIF($G$2:G311,"保留"),"")</f>
        <v/>
      </c>
    </row>
    <row r="312">
      <c r="A312" s="12">
        <f>IF(原始資料!$A312="","",原始資料!$A312)</f>
        <v/>
      </c>
      <c r="B312" s="12">
        <f>IF(原始資料!$A312="","",MAX(連續計數!B312:BI312))</f>
        <v/>
      </c>
      <c r="C312" s="12">
        <f>IF(OR(原始資料!$A312="",設定!$B$4=""),"",IF(原始資料!$C312&lt;&gt;設定!$B$4,"是",""))</f>
        <v/>
      </c>
      <c r="D312" s="12">
        <f>IF(OR(原始資料!$A312="",設定!$B$5=""),"",IF(原始資料!$B312&lt;設定!$B$5,"是",""))</f>
        <v/>
      </c>
      <c r="E312" s="12">
        <f>IF(OR(原始資料!$A312="",設定!$B$6=""),"",IF(B312&gt;=設定!$B$6,"是",""))</f>
        <v/>
      </c>
      <c r="F312" s="13" t="n"/>
      <c r="G312" s="12">
        <f>IF(原始資料!$A312="","",IF(OR(C312="是",D312="是",E312="是",F312="是"),"剔除","保留"))</f>
        <v/>
      </c>
      <c r="H312" s="12">
        <f>IF(G312="保留",COUNTIF($G$2:G312,"保留"),"")</f>
        <v/>
      </c>
    </row>
    <row r="313">
      <c r="A313" s="12">
        <f>IF(原始資料!$A313="","",原始資料!$A313)</f>
        <v/>
      </c>
      <c r="B313" s="12">
        <f>IF(原始資料!$A313="","",MAX(連續計數!B313:BI313))</f>
        <v/>
      </c>
      <c r="C313" s="12">
        <f>IF(OR(原始資料!$A313="",設定!$B$4=""),"",IF(原始資料!$C313&lt;&gt;設定!$B$4,"是",""))</f>
        <v/>
      </c>
      <c r="D313" s="12">
        <f>IF(OR(原始資料!$A313="",設定!$B$5=""),"",IF(原始資料!$B313&lt;設定!$B$5,"是",""))</f>
        <v/>
      </c>
      <c r="E313" s="12">
        <f>IF(OR(原始資料!$A313="",設定!$B$6=""),"",IF(B313&gt;=設定!$B$6,"是",""))</f>
        <v/>
      </c>
      <c r="F313" s="13" t="n"/>
      <c r="G313" s="12">
        <f>IF(原始資料!$A313="","",IF(OR(C313="是",D313="是",E313="是",F313="是"),"剔除","保留"))</f>
        <v/>
      </c>
      <c r="H313" s="12">
        <f>IF(G313="保留",COUNTIF($G$2:G313,"保留"),"")</f>
        <v/>
      </c>
    </row>
    <row r="314">
      <c r="A314" s="12">
        <f>IF(原始資料!$A314="","",原始資料!$A314)</f>
        <v/>
      </c>
      <c r="B314" s="12">
        <f>IF(原始資料!$A314="","",MAX(連續計數!B314:BI314))</f>
        <v/>
      </c>
      <c r="C314" s="12">
        <f>IF(OR(原始資料!$A314="",設定!$B$4=""),"",IF(原始資料!$C314&lt;&gt;設定!$B$4,"是",""))</f>
        <v/>
      </c>
      <c r="D314" s="12">
        <f>IF(OR(原始資料!$A314="",設定!$B$5=""),"",IF(原始資料!$B314&lt;設定!$B$5,"是",""))</f>
        <v/>
      </c>
      <c r="E314" s="12">
        <f>IF(OR(原始資料!$A314="",設定!$B$6=""),"",IF(B314&gt;=設定!$B$6,"是",""))</f>
        <v/>
      </c>
      <c r="F314" s="13" t="n"/>
      <c r="G314" s="12">
        <f>IF(原始資料!$A314="","",IF(OR(C314="是",D314="是",E314="是",F314="是"),"剔除","保留"))</f>
        <v/>
      </c>
      <c r="H314" s="12">
        <f>IF(G314="保留",COUNTIF($G$2:G314,"保留"),"")</f>
        <v/>
      </c>
    </row>
    <row r="315">
      <c r="A315" s="12">
        <f>IF(原始資料!$A315="","",原始資料!$A315)</f>
        <v/>
      </c>
      <c r="B315" s="12">
        <f>IF(原始資料!$A315="","",MAX(連續計數!B315:BI315))</f>
        <v/>
      </c>
      <c r="C315" s="12">
        <f>IF(OR(原始資料!$A315="",設定!$B$4=""),"",IF(原始資料!$C315&lt;&gt;設定!$B$4,"是",""))</f>
        <v/>
      </c>
      <c r="D315" s="12">
        <f>IF(OR(原始資料!$A315="",設定!$B$5=""),"",IF(原始資料!$B315&lt;設定!$B$5,"是",""))</f>
        <v/>
      </c>
      <c r="E315" s="12">
        <f>IF(OR(原始資料!$A315="",設定!$B$6=""),"",IF(B315&gt;=設定!$B$6,"是",""))</f>
        <v/>
      </c>
      <c r="F315" s="13" t="n"/>
      <c r="G315" s="12">
        <f>IF(原始資料!$A315="","",IF(OR(C315="是",D315="是",E315="是",F315="是"),"剔除","保留"))</f>
        <v/>
      </c>
      <c r="H315" s="12">
        <f>IF(G315="保留",COUNTIF($G$2:G315,"保留"),"")</f>
        <v/>
      </c>
    </row>
    <row r="316">
      <c r="A316" s="12">
        <f>IF(原始資料!$A316="","",原始資料!$A316)</f>
        <v/>
      </c>
      <c r="B316" s="12">
        <f>IF(原始資料!$A316="","",MAX(連續計數!B316:BI316))</f>
        <v/>
      </c>
      <c r="C316" s="12">
        <f>IF(OR(原始資料!$A316="",設定!$B$4=""),"",IF(原始資料!$C316&lt;&gt;設定!$B$4,"是",""))</f>
        <v/>
      </c>
      <c r="D316" s="12">
        <f>IF(OR(原始資料!$A316="",設定!$B$5=""),"",IF(原始資料!$B316&lt;設定!$B$5,"是",""))</f>
        <v/>
      </c>
      <c r="E316" s="12">
        <f>IF(OR(原始資料!$A316="",設定!$B$6=""),"",IF(B316&gt;=設定!$B$6,"是",""))</f>
        <v/>
      </c>
      <c r="F316" s="13" t="n"/>
      <c r="G316" s="12">
        <f>IF(原始資料!$A316="","",IF(OR(C316="是",D316="是",E316="是",F316="是"),"剔除","保留"))</f>
        <v/>
      </c>
      <c r="H316" s="12">
        <f>IF(G316="保留",COUNTIF($G$2:G316,"保留"),"")</f>
        <v/>
      </c>
    </row>
    <row r="317">
      <c r="A317" s="12">
        <f>IF(原始資料!$A317="","",原始資料!$A317)</f>
        <v/>
      </c>
      <c r="B317" s="12">
        <f>IF(原始資料!$A317="","",MAX(連續計數!B317:BI317))</f>
        <v/>
      </c>
      <c r="C317" s="12">
        <f>IF(OR(原始資料!$A317="",設定!$B$4=""),"",IF(原始資料!$C317&lt;&gt;設定!$B$4,"是",""))</f>
        <v/>
      </c>
      <c r="D317" s="12">
        <f>IF(OR(原始資料!$A317="",設定!$B$5=""),"",IF(原始資料!$B317&lt;設定!$B$5,"是",""))</f>
        <v/>
      </c>
      <c r="E317" s="12">
        <f>IF(OR(原始資料!$A317="",設定!$B$6=""),"",IF(B317&gt;=設定!$B$6,"是",""))</f>
        <v/>
      </c>
      <c r="F317" s="13" t="n"/>
      <c r="G317" s="12">
        <f>IF(原始資料!$A317="","",IF(OR(C317="是",D317="是",E317="是",F317="是"),"剔除","保留"))</f>
        <v/>
      </c>
      <c r="H317" s="12">
        <f>IF(G317="保留",COUNTIF($G$2:G317,"保留"),"")</f>
        <v/>
      </c>
    </row>
    <row r="318">
      <c r="A318" s="12">
        <f>IF(原始資料!$A318="","",原始資料!$A318)</f>
        <v/>
      </c>
      <c r="B318" s="12">
        <f>IF(原始資料!$A318="","",MAX(連續計數!B318:BI318))</f>
        <v/>
      </c>
      <c r="C318" s="12">
        <f>IF(OR(原始資料!$A318="",設定!$B$4=""),"",IF(原始資料!$C318&lt;&gt;設定!$B$4,"是",""))</f>
        <v/>
      </c>
      <c r="D318" s="12">
        <f>IF(OR(原始資料!$A318="",設定!$B$5=""),"",IF(原始資料!$B318&lt;設定!$B$5,"是",""))</f>
        <v/>
      </c>
      <c r="E318" s="12">
        <f>IF(OR(原始資料!$A318="",設定!$B$6=""),"",IF(B318&gt;=設定!$B$6,"是",""))</f>
        <v/>
      </c>
      <c r="F318" s="13" t="n"/>
      <c r="G318" s="12">
        <f>IF(原始資料!$A318="","",IF(OR(C318="是",D318="是",E318="是",F318="是"),"剔除","保留"))</f>
        <v/>
      </c>
      <c r="H318" s="12">
        <f>IF(G318="保留",COUNTIF($G$2:G318,"保留"),"")</f>
        <v/>
      </c>
    </row>
    <row r="319">
      <c r="A319" s="12">
        <f>IF(原始資料!$A319="","",原始資料!$A319)</f>
        <v/>
      </c>
      <c r="B319" s="12">
        <f>IF(原始資料!$A319="","",MAX(連續計數!B319:BI319))</f>
        <v/>
      </c>
      <c r="C319" s="12">
        <f>IF(OR(原始資料!$A319="",設定!$B$4=""),"",IF(原始資料!$C319&lt;&gt;設定!$B$4,"是",""))</f>
        <v/>
      </c>
      <c r="D319" s="12">
        <f>IF(OR(原始資料!$A319="",設定!$B$5=""),"",IF(原始資料!$B319&lt;設定!$B$5,"是",""))</f>
        <v/>
      </c>
      <c r="E319" s="12">
        <f>IF(OR(原始資料!$A319="",設定!$B$6=""),"",IF(B319&gt;=設定!$B$6,"是",""))</f>
        <v/>
      </c>
      <c r="F319" s="13" t="n"/>
      <c r="G319" s="12">
        <f>IF(原始資料!$A319="","",IF(OR(C319="是",D319="是",E319="是",F319="是"),"剔除","保留"))</f>
        <v/>
      </c>
      <c r="H319" s="12">
        <f>IF(G319="保留",COUNTIF($G$2:G319,"保留"),"")</f>
        <v/>
      </c>
    </row>
    <row r="320">
      <c r="A320" s="12">
        <f>IF(原始資料!$A320="","",原始資料!$A320)</f>
        <v/>
      </c>
      <c r="B320" s="12">
        <f>IF(原始資料!$A320="","",MAX(連續計數!B320:BI320))</f>
        <v/>
      </c>
      <c r="C320" s="12">
        <f>IF(OR(原始資料!$A320="",設定!$B$4=""),"",IF(原始資料!$C320&lt;&gt;設定!$B$4,"是",""))</f>
        <v/>
      </c>
      <c r="D320" s="12">
        <f>IF(OR(原始資料!$A320="",設定!$B$5=""),"",IF(原始資料!$B320&lt;設定!$B$5,"是",""))</f>
        <v/>
      </c>
      <c r="E320" s="12">
        <f>IF(OR(原始資料!$A320="",設定!$B$6=""),"",IF(B320&gt;=設定!$B$6,"是",""))</f>
        <v/>
      </c>
      <c r="F320" s="13" t="n"/>
      <c r="G320" s="12">
        <f>IF(原始資料!$A320="","",IF(OR(C320="是",D320="是",E320="是",F320="是"),"剔除","保留"))</f>
        <v/>
      </c>
      <c r="H320" s="12">
        <f>IF(G320="保留",COUNTIF($G$2:G320,"保留"),"")</f>
        <v/>
      </c>
    </row>
    <row r="321">
      <c r="A321" s="12">
        <f>IF(原始資料!$A321="","",原始資料!$A321)</f>
        <v/>
      </c>
      <c r="B321" s="12">
        <f>IF(原始資料!$A321="","",MAX(連續計數!B321:BI321))</f>
        <v/>
      </c>
      <c r="C321" s="12">
        <f>IF(OR(原始資料!$A321="",設定!$B$4=""),"",IF(原始資料!$C321&lt;&gt;設定!$B$4,"是",""))</f>
        <v/>
      </c>
      <c r="D321" s="12">
        <f>IF(OR(原始資料!$A321="",設定!$B$5=""),"",IF(原始資料!$B321&lt;設定!$B$5,"是",""))</f>
        <v/>
      </c>
      <c r="E321" s="12">
        <f>IF(OR(原始資料!$A321="",設定!$B$6=""),"",IF(B321&gt;=設定!$B$6,"是",""))</f>
        <v/>
      </c>
      <c r="F321" s="13" t="n"/>
      <c r="G321" s="12">
        <f>IF(原始資料!$A321="","",IF(OR(C321="是",D321="是",E321="是",F321="是"),"剔除","保留"))</f>
        <v/>
      </c>
      <c r="H321" s="12">
        <f>IF(G321="保留",COUNTIF($G$2:G321,"保留"),"")</f>
        <v/>
      </c>
    </row>
    <row r="322">
      <c r="A322" s="12">
        <f>IF(原始資料!$A322="","",原始資料!$A322)</f>
        <v/>
      </c>
      <c r="B322" s="12">
        <f>IF(原始資料!$A322="","",MAX(連續計數!B322:BI322))</f>
        <v/>
      </c>
      <c r="C322" s="12">
        <f>IF(OR(原始資料!$A322="",設定!$B$4=""),"",IF(原始資料!$C322&lt;&gt;設定!$B$4,"是",""))</f>
        <v/>
      </c>
      <c r="D322" s="12">
        <f>IF(OR(原始資料!$A322="",設定!$B$5=""),"",IF(原始資料!$B322&lt;設定!$B$5,"是",""))</f>
        <v/>
      </c>
      <c r="E322" s="12">
        <f>IF(OR(原始資料!$A322="",設定!$B$6=""),"",IF(B322&gt;=設定!$B$6,"是",""))</f>
        <v/>
      </c>
      <c r="F322" s="13" t="n"/>
      <c r="G322" s="12">
        <f>IF(原始資料!$A322="","",IF(OR(C322="是",D322="是",E322="是",F322="是"),"剔除","保留"))</f>
        <v/>
      </c>
      <c r="H322" s="12">
        <f>IF(G322="保留",COUNTIF($G$2:G322,"保留"),"")</f>
        <v/>
      </c>
    </row>
    <row r="323">
      <c r="A323" s="12">
        <f>IF(原始資料!$A323="","",原始資料!$A323)</f>
        <v/>
      </c>
      <c r="B323" s="12">
        <f>IF(原始資料!$A323="","",MAX(連續計數!B323:BI323))</f>
        <v/>
      </c>
      <c r="C323" s="12">
        <f>IF(OR(原始資料!$A323="",設定!$B$4=""),"",IF(原始資料!$C323&lt;&gt;設定!$B$4,"是",""))</f>
        <v/>
      </c>
      <c r="D323" s="12">
        <f>IF(OR(原始資料!$A323="",設定!$B$5=""),"",IF(原始資料!$B323&lt;設定!$B$5,"是",""))</f>
        <v/>
      </c>
      <c r="E323" s="12">
        <f>IF(OR(原始資料!$A323="",設定!$B$6=""),"",IF(B323&gt;=設定!$B$6,"是",""))</f>
        <v/>
      </c>
      <c r="F323" s="13" t="n"/>
      <c r="G323" s="12">
        <f>IF(原始資料!$A323="","",IF(OR(C323="是",D323="是",E323="是",F323="是"),"剔除","保留"))</f>
        <v/>
      </c>
      <c r="H323" s="12">
        <f>IF(G323="保留",COUNTIF($G$2:G323,"保留"),"")</f>
        <v/>
      </c>
    </row>
    <row r="324">
      <c r="A324" s="12">
        <f>IF(原始資料!$A324="","",原始資料!$A324)</f>
        <v/>
      </c>
      <c r="B324" s="12">
        <f>IF(原始資料!$A324="","",MAX(連續計數!B324:BI324))</f>
        <v/>
      </c>
      <c r="C324" s="12">
        <f>IF(OR(原始資料!$A324="",設定!$B$4=""),"",IF(原始資料!$C324&lt;&gt;設定!$B$4,"是",""))</f>
        <v/>
      </c>
      <c r="D324" s="12">
        <f>IF(OR(原始資料!$A324="",設定!$B$5=""),"",IF(原始資料!$B324&lt;設定!$B$5,"是",""))</f>
        <v/>
      </c>
      <c r="E324" s="12">
        <f>IF(OR(原始資料!$A324="",設定!$B$6=""),"",IF(B324&gt;=設定!$B$6,"是",""))</f>
        <v/>
      </c>
      <c r="F324" s="13" t="n"/>
      <c r="G324" s="12">
        <f>IF(原始資料!$A324="","",IF(OR(C324="是",D324="是",E324="是",F324="是"),"剔除","保留"))</f>
        <v/>
      </c>
      <c r="H324" s="12">
        <f>IF(G324="保留",COUNTIF($G$2:G324,"保留"),"")</f>
        <v/>
      </c>
    </row>
    <row r="325">
      <c r="A325" s="12">
        <f>IF(原始資料!$A325="","",原始資料!$A325)</f>
        <v/>
      </c>
      <c r="B325" s="12">
        <f>IF(原始資料!$A325="","",MAX(連續計數!B325:BI325))</f>
        <v/>
      </c>
      <c r="C325" s="12">
        <f>IF(OR(原始資料!$A325="",設定!$B$4=""),"",IF(原始資料!$C325&lt;&gt;設定!$B$4,"是",""))</f>
        <v/>
      </c>
      <c r="D325" s="12">
        <f>IF(OR(原始資料!$A325="",設定!$B$5=""),"",IF(原始資料!$B325&lt;設定!$B$5,"是",""))</f>
        <v/>
      </c>
      <c r="E325" s="12">
        <f>IF(OR(原始資料!$A325="",設定!$B$6=""),"",IF(B325&gt;=設定!$B$6,"是",""))</f>
        <v/>
      </c>
      <c r="F325" s="13" t="n"/>
      <c r="G325" s="12">
        <f>IF(原始資料!$A325="","",IF(OR(C325="是",D325="是",E325="是",F325="是"),"剔除","保留"))</f>
        <v/>
      </c>
      <c r="H325" s="12">
        <f>IF(G325="保留",COUNTIF($G$2:G325,"保留"),"")</f>
        <v/>
      </c>
    </row>
    <row r="326">
      <c r="A326" s="12">
        <f>IF(原始資料!$A326="","",原始資料!$A326)</f>
        <v/>
      </c>
      <c r="B326" s="12">
        <f>IF(原始資料!$A326="","",MAX(連續計數!B326:BI326))</f>
        <v/>
      </c>
      <c r="C326" s="12">
        <f>IF(OR(原始資料!$A326="",設定!$B$4=""),"",IF(原始資料!$C326&lt;&gt;設定!$B$4,"是",""))</f>
        <v/>
      </c>
      <c r="D326" s="12">
        <f>IF(OR(原始資料!$A326="",設定!$B$5=""),"",IF(原始資料!$B326&lt;設定!$B$5,"是",""))</f>
        <v/>
      </c>
      <c r="E326" s="12">
        <f>IF(OR(原始資料!$A326="",設定!$B$6=""),"",IF(B326&gt;=設定!$B$6,"是",""))</f>
        <v/>
      </c>
      <c r="F326" s="13" t="n"/>
      <c r="G326" s="12">
        <f>IF(原始資料!$A326="","",IF(OR(C326="是",D326="是",E326="是",F326="是"),"剔除","保留"))</f>
        <v/>
      </c>
      <c r="H326" s="12">
        <f>IF(G326="保留",COUNTIF($G$2:G326,"保留"),"")</f>
        <v/>
      </c>
    </row>
    <row r="327">
      <c r="A327" s="12">
        <f>IF(原始資料!$A327="","",原始資料!$A327)</f>
        <v/>
      </c>
      <c r="B327" s="12">
        <f>IF(原始資料!$A327="","",MAX(連續計數!B327:BI327))</f>
        <v/>
      </c>
      <c r="C327" s="12">
        <f>IF(OR(原始資料!$A327="",設定!$B$4=""),"",IF(原始資料!$C327&lt;&gt;設定!$B$4,"是",""))</f>
        <v/>
      </c>
      <c r="D327" s="12">
        <f>IF(OR(原始資料!$A327="",設定!$B$5=""),"",IF(原始資料!$B327&lt;設定!$B$5,"是",""))</f>
        <v/>
      </c>
      <c r="E327" s="12">
        <f>IF(OR(原始資料!$A327="",設定!$B$6=""),"",IF(B327&gt;=設定!$B$6,"是",""))</f>
        <v/>
      </c>
      <c r="F327" s="13" t="n"/>
      <c r="G327" s="12">
        <f>IF(原始資料!$A327="","",IF(OR(C327="是",D327="是",E327="是",F327="是"),"剔除","保留"))</f>
        <v/>
      </c>
      <c r="H327" s="12">
        <f>IF(G327="保留",COUNTIF($G$2:G327,"保留"),"")</f>
        <v/>
      </c>
    </row>
    <row r="328">
      <c r="A328" s="12">
        <f>IF(原始資料!$A328="","",原始資料!$A328)</f>
        <v/>
      </c>
      <c r="B328" s="12">
        <f>IF(原始資料!$A328="","",MAX(連續計數!B328:BI328))</f>
        <v/>
      </c>
      <c r="C328" s="12">
        <f>IF(OR(原始資料!$A328="",設定!$B$4=""),"",IF(原始資料!$C328&lt;&gt;設定!$B$4,"是",""))</f>
        <v/>
      </c>
      <c r="D328" s="12">
        <f>IF(OR(原始資料!$A328="",設定!$B$5=""),"",IF(原始資料!$B328&lt;設定!$B$5,"是",""))</f>
        <v/>
      </c>
      <c r="E328" s="12">
        <f>IF(OR(原始資料!$A328="",設定!$B$6=""),"",IF(B328&gt;=設定!$B$6,"是",""))</f>
        <v/>
      </c>
      <c r="F328" s="13" t="n"/>
      <c r="G328" s="12">
        <f>IF(原始資料!$A328="","",IF(OR(C328="是",D328="是",E328="是",F328="是"),"剔除","保留"))</f>
        <v/>
      </c>
      <c r="H328" s="12">
        <f>IF(G328="保留",COUNTIF($G$2:G328,"保留"),"")</f>
        <v/>
      </c>
    </row>
    <row r="329">
      <c r="A329" s="12">
        <f>IF(原始資料!$A329="","",原始資料!$A329)</f>
        <v/>
      </c>
      <c r="B329" s="12">
        <f>IF(原始資料!$A329="","",MAX(連續計數!B329:BI329))</f>
        <v/>
      </c>
      <c r="C329" s="12">
        <f>IF(OR(原始資料!$A329="",設定!$B$4=""),"",IF(原始資料!$C329&lt;&gt;設定!$B$4,"是",""))</f>
        <v/>
      </c>
      <c r="D329" s="12">
        <f>IF(OR(原始資料!$A329="",設定!$B$5=""),"",IF(原始資料!$B329&lt;設定!$B$5,"是",""))</f>
        <v/>
      </c>
      <c r="E329" s="12">
        <f>IF(OR(原始資料!$A329="",設定!$B$6=""),"",IF(B329&gt;=設定!$B$6,"是",""))</f>
        <v/>
      </c>
      <c r="F329" s="13" t="n"/>
      <c r="G329" s="12">
        <f>IF(原始資料!$A329="","",IF(OR(C329="是",D329="是",E329="是",F329="是"),"剔除","保留"))</f>
        <v/>
      </c>
      <c r="H329" s="12">
        <f>IF(G329="保留",COUNTIF($G$2:G329,"保留"),"")</f>
        <v/>
      </c>
    </row>
    <row r="330">
      <c r="A330" s="12">
        <f>IF(原始資料!$A330="","",原始資料!$A330)</f>
        <v/>
      </c>
      <c r="B330" s="12">
        <f>IF(原始資料!$A330="","",MAX(連續計數!B330:BI330))</f>
        <v/>
      </c>
      <c r="C330" s="12">
        <f>IF(OR(原始資料!$A330="",設定!$B$4=""),"",IF(原始資料!$C330&lt;&gt;設定!$B$4,"是",""))</f>
        <v/>
      </c>
      <c r="D330" s="12">
        <f>IF(OR(原始資料!$A330="",設定!$B$5=""),"",IF(原始資料!$B330&lt;設定!$B$5,"是",""))</f>
        <v/>
      </c>
      <c r="E330" s="12">
        <f>IF(OR(原始資料!$A330="",設定!$B$6=""),"",IF(B330&gt;=設定!$B$6,"是",""))</f>
        <v/>
      </c>
      <c r="F330" s="13" t="n"/>
      <c r="G330" s="12">
        <f>IF(原始資料!$A330="","",IF(OR(C330="是",D330="是",E330="是",F330="是"),"剔除","保留"))</f>
        <v/>
      </c>
      <c r="H330" s="12">
        <f>IF(G330="保留",COUNTIF($G$2:G330,"保留"),"")</f>
        <v/>
      </c>
    </row>
    <row r="331">
      <c r="A331" s="12">
        <f>IF(原始資料!$A331="","",原始資料!$A331)</f>
        <v/>
      </c>
      <c r="B331" s="12">
        <f>IF(原始資料!$A331="","",MAX(連續計數!B331:BI331))</f>
        <v/>
      </c>
      <c r="C331" s="12">
        <f>IF(OR(原始資料!$A331="",設定!$B$4=""),"",IF(原始資料!$C331&lt;&gt;設定!$B$4,"是",""))</f>
        <v/>
      </c>
      <c r="D331" s="12">
        <f>IF(OR(原始資料!$A331="",設定!$B$5=""),"",IF(原始資料!$B331&lt;設定!$B$5,"是",""))</f>
        <v/>
      </c>
      <c r="E331" s="12">
        <f>IF(OR(原始資料!$A331="",設定!$B$6=""),"",IF(B331&gt;=設定!$B$6,"是",""))</f>
        <v/>
      </c>
      <c r="F331" s="13" t="n"/>
      <c r="G331" s="12">
        <f>IF(原始資料!$A331="","",IF(OR(C331="是",D331="是",E331="是",F331="是"),"剔除","保留"))</f>
        <v/>
      </c>
      <c r="H331" s="12">
        <f>IF(G331="保留",COUNTIF($G$2:G331,"保留"),"")</f>
        <v/>
      </c>
    </row>
    <row r="332">
      <c r="A332" s="12">
        <f>IF(原始資料!$A332="","",原始資料!$A332)</f>
        <v/>
      </c>
      <c r="B332" s="12">
        <f>IF(原始資料!$A332="","",MAX(連續計數!B332:BI332))</f>
        <v/>
      </c>
      <c r="C332" s="12">
        <f>IF(OR(原始資料!$A332="",設定!$B$4=""),"",IF(原始資料!$C332&lt;&gt;設定!$B$4,"是",""))</f>
        <v/>
      </c>
      <c r="D332" s="12">
        <f>IF(OR(原始資料!$A332="",設定!$B$5=""),"",IF(原始資料!$B332&lt;設定!$B$5,"是",""))</f>
        <v/>
      </c>
      <c r="E332" s="12">
        <f>IF(OR(原始資料!$A332="",設定!$B$6=""),"",IF(B332&gt;=設定!$B$6,"是",""))</f>
        <v/>
      </c>
      <c r="F332" s="13" t="n"/>
      <c r="G332" s="12">
        <f>IF(原始資料!$A332="","",IF(OR(C332="是",D332="是",E332="是",F332="是"),"剔除","保留"))</f>
        <v/>
      </c>
      <c r="H332" s="12">
        <f>IF(G332="保留",COUNTIF($G$2:G332,"保留"),"")</f>
        <v/>
      </c>
    </row>
    <row r="333">
      <c r="A333" s="12">
        <f>IF(原始資料!$A333="","",原始資料!$A333)</f>
        <v/>
      </c>
      <c r="B333" s="12">
        <f>IF(原始資料!$A333="","",MAX(連續計數!B333:BI333))</f>
        <v/>
      </c>
      <c r="C333" s="12">
        <f>IF(OR(原始資料!$A333="",設定!$B$4=""),"",IF(原始資料!$C333&lt;&gt;設定!$B$4,"是",""))</f>
        <v/>
      </c>
      <c r="D333" s="12">
        <f>IF(OR(原始資料!$A333="",設定!$B$5=""),"",IF(原始資料!$B333&lt;設定!$B$5,"是",""))</f>
        <v/>
      </c>
      <c r="E333" s="12">
        <f>IF(OR(原始資料!$A333="",設定!$B$6=""),"",IF(B333&gt;=設定!$B$6,"是",""))</f>
        <v/>
      </c>
      <c r="F333" s="13" t="n"/>
      <c r="G333" s="12">
        <f>IF(原始資料!$A333="","",IF(OR(C333="是",D333="是",E333="是",F333="是"),"剔除","保留"))</f>
        <v/>
      </c>
      <c r="H333" s="12">
        <f>IF(G333="保留",COUNTIF($G$2:G333,"保留"),"")</f>
        <v/>
      </c>
    </row>
    <row r="334">
      <c r="A334" s="12">
        <f>IF(原始資料!$A334="","",原始資料!$A334)</f>
        <v/>
      </c>
      <c r="B334" s="12">
        <f>IF(原始資料!$A334="","",MAX(連續計數!B334:BI334))</f>
        <v/>
      </c>
      <c r="C334" s="12">
        <f>IF(OR(原始資料!$A334="",設定!$B$4=""),"",IF(原始資料!$C334&lt;&gt;設定!$B$4,"是",""))</f>
        <v/>
      </c>
      <c r="D334" s="12">
        <f>IF(OR(原始資料!$A334="",設定!$B$5=""),"",IF(原始資料!$B334&lt;設定!$B$5,"是",""))</f>
        <v/>
      </c>
      <c r="E334" s="12">
        <f>IF(OR(原始資料!$A334="",設定!$B$6=""),"",IF(B334&gt;=設定!$B$6,"是",""))</f>
        <v/>
      </c>
      <c r="F334" s="13" t="n"/>
      <c r="G334" s="12">
        <f>IF(原始資料!$A334="","",IF(OR(C334="是",D334="是",E334="是",F334="是"),"剔除","保留"))</f>
        <v/>
      </c>
      <c r="H334" s="12">
        <f>IF(G334="保留",COUNTIF($G$2:G334,"保留"),"")</f>
        <v/>
      </c>
    </row>
    <row r="335">
      <c r="A335" s="12">
        <f>IF(原始資料!$A335="","",原始資料!$A335)</f>
        <v/>
      </c>
      <c r="B335" s="12">
        <f>IF(原始資料!$A335="","",MAX(連續計數!B335:BI335))</f>
        <v/>
      </c>
      <c r="C335" s="12">
        <f>IF(OR(原始資料!$A335="",設定!$B$4=""),"",IF(原始資料!$C335&lt;&gt;設定!$B$4,"是",""))</f>
        <v/>
      </c>
      <c r="D335" s="12">
        <f>IF(OR(原始資料!$A335="",設定!$B$5=""),"",IF(原始資料!$B335&lt;設定!$B$5,"是",""))</f>
        <v/>
      </c>
      <c r="E335" s="12">
        <f>IF(OR(原始資料!$A335="",設定!$B$6=""),"",IF(B335&gt;=設定!$B$6,"是",""))</f>
        <v/>
      </c>
      <c r="F335" s="13" t="n"/>
      <c r="G335" s="12">
        <f>IF(原始資料!$A335="","",IF(OR(C335="是",D335="是",E335="是",F335="是"),"剔除","保留"))</f>
        <v/>
      </c>
      <c r="H335" s="12">
        <f>IF(G335="保留",COUNTIF($G$2:G335,"保留"),"")</f>
        <v/>
      </c>
    </row>
    <row r="336">
      <c r="A336" s="12">
        <f>IF(原始資料!$A336="","",原始資料!$A336)</f>
        <v/>
      </c>
      <c r="B336" s="12">
        <f>IF(原始資料!$A336="","",MAX(連續計數!B336:BI336))</f>
        <v/>
      </c>
      <c r="C336" s="12">
        <f>IF(OR(原始資料!$A336="",設定!$B$4=""),"",IF(原始資料!$C336&lt;&gt;設定!$B$4,"是",""))</f>
        <v/>
      </c>
      <c r="D336" s="12">
        <f>IF(OR(原始資料!$A336="",設定!$B$5=""),"",IF(原始資料!$B336&lt;設定!$B$5,"是",""))</f>
        <v/>
      </c>
      <c r="E336" s="12">
        <f>IF(OR(原始資料!$A336="",設定!$B$6=""),"",IF(B336&gt;=設定!$B$6,"是",""))</f>
        <v/>
      </c>
      <c r="F336" s="13" t="n"/>
      <c r="G336" s="12">
        <f>IF(原始資料!$A336="","",IF(OR(C336="是",D336="是",E336="是",F336="是"),"剔除","保留"))</f>
        <v/>
      </c>
      <c r="H336" s="12">
        <f>IF(G336="保留",COUNTIF($G$2:G336,"保留"),"")</f>
        <v/>
      </c>
    </row>
    <row r="337">
      <c r="A337" s="12">
        <f>IF(原始資料!$A337="","",原始資料!$A337)</f>
        <v/>
      </c>
      <c r="B337" s="12">
        <f>IF(原始資料!$A337="","",MAX(連續計數!B337:BI337))</f>
        <v/>
      </c>
      <c r="C337" s="12">
        <f>IF(OR(原始資料!$A337="",設定!$B$4=""),"",IF(原始資料!$C337&lt;&gt;設定!$B$4,"是",""))</f>
        <v/>
      </c>
      <c r="D337" s="12">
        <f>IF(OR(原始資料!$A337="",設定!$B$5=""),"",IF(原始資料!$B337&lt;設定!$B$5,"是",""))</f>
        <v/>
      </c>
      <c r="E337" s="12">
        <f>IF(OR(原始資料!$A337="",設定!$B$6=""),"",IF(B337&gt;=設定!$B$6,"是",""))</f>
        <v/>
      </c>
      <c r="F337" s="13" t="n"/>
      <c r="G337" s="12">
        <f>IF(原始資料!$A337="","",IF(OR(C337="是",D337="是",E337="是",F337="是"),"剔除","保留"))</f>
        <v/>
      </c>
      <c r="H337" s="12">
        <f>IF(G337="保留",COUNTIF($G$2:G337,"保留"),"")</f>
        <v/>
      </c>
    </row>
    <row r="338">
      <c r="A338" s="12">
        <f>IF(原始資料!$A338="","",原始資料!$A338)</f>
        <v/>
      </c>
      <c r="B338" s="12">
        <f>IF(原始資料!$A338="","",MAX(連續計數!B338:BI338))</f>
        <v/>
      </c>
      <c r="C338" s="12">
        <f>IF(OR(原始資料!$A338="",設定!$B$4=""),"",IF(原始資料!$C338&lt;&gt;設定!$B$4,"是",""))</f>
        <v/>
      </c>
      <c r="D338" s="12">
        <f>IF(OR(原始資料!$A338="",設定!$B$5=""),"",IF(原始資料!$B338&lt;設定!$B$5,"是",""))</f>
        <v/>
      </c>
      <c r="E338" s="12">
        <f>IF(OR(原始資料!$A338="",設定!$B$6=""),"",IF(B338&gt;=設定!$B$6,"是",""))</f>
        <v/>
      </c>
      <c r="F338" s="13" t="n"/>
      <c r="G338" s="12">
        <f>IF(原始資料!$A338="","",IF(OR(C338="是",D338="是",E338="是",F338="是"),"剔除","保留"))</f>
        <v/>
      </c>
      <c r="H338" s="12">
        <f>IF(G338="保留",COUNTIF($G$2:G338,"保留"),"")</f>
        <v/>
      </c>
    </row>
    <row r="339">
      <c r="A339" s="12">
        <f>IF(原始資料!$A339="","",原始資料!$A339)</f>
        <v/>
      </c>
      <c r="B339" s="12">
        <f>IF(原始資料!$A339="","",MAX(連續計數!B339:BI339))</f>
        <v/>
      </c>
      <c r="C339" s="12">
        <f>IF(OR(原始資料!$A339="",設定!$B$4=""),"",IF(原始資料!$C339&lt;&gt;設定!$B$4,"是",""))</f>
        <v/>
      </c>
      <c r="D339" s="12">
        <f>IF(OR(原始資料!$A339="",設定!$B$5=""),"",IF(原始資料!$B339&lt;設定!$B$5,"是",""))</f>
        <v/>
      </c>
      <c r="E339" s="12">
        <f>IF(OR(原始資料!$A339="",設定!$B$6=""),"",IF(B339&gt;=設定!$B$6,"是",""))</f>
        <v/>
      </c>
      <c r="F339" s="13" t="n"/>
      <c r="G339" s="12">
        <f>IF(原始資料!$A339="","",IF(OR(C339="是",D339="是",E339="是",F339="是"),"剔除","保留"))</f>
        <v/>
      </c>
      <c r="H339" s="12">
        <f>IF(G339="保留",COUNTIF($G$2:G339,"保留"),"")</f>
        <v/>
      </c>
    </row>
    <row r="340">
      <c r="A340" s="12">
        <f>IF(原始資料!$A340="","",原始資料!$A340)</f>
        <v/>
      </c>
      <c r="B340" s="12">
        <f>IF(原始資料!$A340="","",MAX(連續計數!B340:BI340))</f>
        <v/>
      </c>
      <c r="C340" s="12">
        <f>IF(OR(原始資料!$A340="",設定!$B$4=""),"",IF(原始資料!$C340&lt;&gt;設定!$B$4,"是",""))</f>
        <v/>
      </c>
      <c r="D340" s="12">
        <f>IF(OR(原始資料!$A340="",設定!$B$5=""),"",IF(原始資料!$B340&lt;設定!$B$5,"是",""))</f>
        <v/>
      </c>
      <c r="E340" s="12">
        <f>IF(OR(原始資料!$A340="",設定!$B$6=""),"",IF(B340&gt;=設定!$B$6,"是",""))</f>
        <v/>
      </c>
      <c r="F340" s="13" t="n"/>
      <c r="G340" s="12">
        <f>IF(原始資料!$A340="","",IF(OR(C340="是",D340="是",E340="是",F340="是"),"剔除","保留"))</f>
        <v/>
      </c>
      <c r="H340" s="12">
        <f>IF(G340="保留",COUNTIF($G$2:G340,"保留"),"")</f>
        <v/>
      </c>
    </row>
    <row r="341">
      <c r="A341" s="12">
        <f>IF(原始資料!$A341="","",原始資料!$A341)</f>
        <v/>
      </c>
      <c r="B341" s="12">
        <f>IF(原始資料!$A341="","",MAX(連續計數!B341:BI341))</f>
        <v/>
      </c>
      <c r="C341" s="12">
        <f>IF(OR(原始資料!$A341="",設定!$B$4=""),"",IF(原始資料!$C341&lt;&gt;設定!$B$4,"是",""))</f>
        <v/>
      </c>
      <c r="D341" s="12">
        <f>IF(OR(原始資料!$A341="",設定!$B$5=""),"",IF(原始資料!$B341&lt;設定!$B$5,"是",""))</f>
        <v/>
      </c>
      <c r="E341" s="12">
        <f>IF(OR(原始資料!$A341="",設定!$B$6=""),"",IF(B341&gt;=設定!$B$6,"是",""))</f>
        <v/>
      </c>
      <c r="F341" s="13" t="n"/>
      <c r="G341" s="12">
        <f>IF(原始資料!$A341="","",IF(OR(C341="是",D341="是",E341="是",F341="是"),"剔除","保留"))</f>
        <v/>
      </c>
      <c r="H341" s="12">
        <f>IF(G341="保留",COUNTIF($G$2:G341,"保留"),"")</f>
        <v/>
      </c>
    </row>
    <row r="342">
      <c r="A342" s="12">
        <f>IF(原始資料!$A342="","",原始資料!$A342)</f>
        <v/>
      </c>
      <c r="B342" s="12">
        <f>IF(原始資料!$A342="","",MAX(連續計數!B342:BI342))</f>
        <v/>
      </c>
      <c r="C342" s="12">
        <f>IF(OR(原始資料!$A342="",設定!$B$4=""),"",IF(原始資料!$C342&lt;&gt;設定!$B$4,"是",""))</f>
        <v/>
      </c>
      <c r="D342" s="12">
        <f>IF(OR(原始資料!$A342="",設定!$B$5=""),"",IF(原始資料!$B342&lt;設定!$B$5,"是",""))</f>
        <v/>
      </c>
      <c r="E342" s="12">
        <f>IF(OR(原始資料!$A342="",設定!$B$6=""),"",IF(B342&gt;=設定!$B$6,"是",""))</f>
        <v/>
      </c>
      <c r="F342" s="13" t="n"/>
      <c r="G342" s="12">
        <f>IF(原始資料!$A342="","",IF(OR(C342="是",D342="是",E342="是",F342="是"),"剔除","保留"))</f>
        <v/>
      </c>
      <c r="H342" s="12">
        <f>IF(G342="保留",COUNTIF($G$2:G342,"保留"),"")</f>
        <v/>
      </c>
    </row>
    <row r="343">
      <c r="A343" s="12">
        <f>IF(原始資料!$A343="","",原始資料!$A343)</f>
        <v/>
      </c>
      <c r="B343" s="12">
        <f>IF(原始資料!$A343="","",MAX(連續計數!B343:BI343))</f>
        <v/>
      </c>
      <c r="C343" s="12">
        <f>IF(OR(原始資料!$A343="",設定!$B$4=""),"",IF(原始資料!$C343&lt;&gt;設定!$B$4,"是",""))</f>
        <v/>
      </c>
      <c r="D343" s="12">
        <f>IF(OR(原始資料!$A343="",設定!$B$5=""),"",IF(原始資料!$B343&lt;設定!$B$5,"是",""))</f>
        <v/>
      </c>
      <c r="E343" s="12">
        <f>IF(OR(原始資料!$A343="",設定!$B$6=""),"",IF(B343&gt;=設定!$B$6,"是",""))</f>
        <v/>
      </c>
      <c r="F343" s="13" t="n"/>
      <c r="G343" s="12">
        <f>IF(原始資料!$A343="","",IF(OR(C343="是",D343="是",E343="是",F343="是"),"剔除","保留"))</f>
        <v/>
      </c>
      <c r="H343" s="12">
        <f>IF(G343="保留",COUNTIF($G$2:G343,"保留"),"")</f>
        <v/>
      </c>
    </row>
    <row r="344">
      <c r="A344" s="12">
        <f>IF(原始資料!$A344="","",原始資料!$A344)</f>
        <v/>
      </c>
      <c r="B344" s="12">
        <f>IF(原始資料!$A344="","",MAX(連續計數!B344:BI344))</f>
        <v/>
      </c>
      <c r="C344" s="12">
        <f>IF(OR(原始資料!$A344="",設定!$B$4=""),"",IF(原始資料!$C344&lt;&gt;設定!$B$4,"是",""))</f>
        <v/>
      </c>
      <c r="D344" s="12">
        <f>IF(OR(原始資料!$A344="",設定!$B$5=""),"",IF(原始資料!$B344&lt;設定!$B$5,"是",""))</f>
        <v/>
      </c>
      <c r="E344" s="12">
        <f>IF(OR(原始資料!$A344="",設定!$B$6=""),"",IF(B344&gt;=設定!$B$6,"是",""))</f>
        <v/>
      </c>
      <c r="F344" s="13" t="n"/>
      <c r="G344" s="12">
        <f>IF(原始資料!$A344="","",IF(OR(C344="是",D344="是",E344="是",F344="是"),"剔除","保留"))</f>
        <v/>
      </c>
      <c r="H344" s="12">
        <f>IF(G344="保留",COUNTIF($G$2:G344,"保留"),"")</f>
        <v/>
      </c>
    </row>
    <row r="345">
      <c r="A345" s="12">
        <f>IF(原始資料!$A345="","",原始資料!$A345)</f>
        <v/>
      </c>
      <c r="B345" s="12">
        <f>IF(原始資料!$A345="","",MAX(連續計數!B345:BI345))</f>
        <v/>
      </c>
      <c r="C345" s="12">
        <f>IF(OR(原始資料!$A345="",設定!$B$4=""),"",IF(原始資料!$C345&lt;&gt;設定!$B$4,"是",""))</f>
        <v/>
      </c>
      <c r="D345" s="12">
        <f>IF(OR(原始資料!$A345="",設定!$B$5=""),"",IF(原始資料!$B345&lt;設定!$B$5,"是",""))</f>
        <v/>
      </c>
      <c r="E345" s="12">
        <f>IF(OR(原始資料!$A345="",設定!$B$6=""),"",IF(B345&gt;=設定!$B$6,"是",""))</f>
        <v/>
      </c>
      <c r="F345" s="13" t="n"/>
      <c r="G345" s="12">
        <f>IF(原始資料!$A345="","",IF(OR(C345="是",D345="是",E345="是",F345="是"),"剔除","保留"))</f>
        <v/>
      </c>
      <c r="H345" s="12">
        <f>IF(G345="保留",COUNTIF($G$2:G345,"保留"),"")</f>
        <v/>
      </c>
    </row>
    <row r="346">
      <c r="A346" s="12">
        <f>IF(原始資料!$A346="","",原始資料!$A346)</f>
        <v/>
      </c>
      <c r="B346" s="12">
        <f>IF(原始資料!$A346="","",MAX(連續計數!B346:BI346))</f>
        <v/>
      </c>
      <c r="C346" s="12">
        <f>IF(OR(原始資料!$A346="",設定!$B$4=""),"",IF(原始資料!$C346&lt;&gt;設定!$B$4,"是",""))</f>
        <v/>
      </c>
      <c r="D346" s="12">
        <f>IF(OR(原始資料!$A346="",設定!$B$5=""),"",IF(原始資料!$B346&lt;設定!$B$5,"是",""))</f>
        <v/>
      </c>
      <c r="E346" s="12">
        <f>IF(OR(原始資料!$A346="",設定!$B$6=""),"",IF(B346&gt;=設定!$B$6,"是",""))</f>
        <v/>
      </c>
      <c r="F346" s="13" t="n"/>
      <c r="G346" s="12">
        <f>IF(原始資料!$A346="","",IF(OR(C346="是",D346="是",E346="是",F346="是"),"剔除","保留"))</f>
        <v/>
      </c>
      <c r="H346" s="12">
        <f>IF(G346="保留",COUNTIF($G$2:G346,"保留"),"")</f>
        <v/>
      </c>
    </row>
    <row r="347">
      <c r="A347" s="12">
        <f>IF(原始資料!$A347="","",原始資料!$A347)</f>
        <v/>
      </c>
      <c r="B347" s="12">
        <f>IF(原始資料!$A347="","",MAX(連續計數!B347:BI347))</f>
        <v/>
      </c>
      <c r="C347" s="12">
        <f>IF(OR(原始資料!$A347="",設定!$B$4=""),"",IF(原始資料!$C347&lt;&gt;設定!$B$4,"是",""))</f>
        <v/>
      </c>
      <c r="D347" s="12">
        <f>IF(OR(原始資料!$A347="",設定!$B$5=""),"",IF(原始資料!$B347&lt;設定!$B$5,"是",""))</f>
        <v/>
      </c>
      <c r="E347" s="12">
        <f>IF(OR(原始資料!$A347="",設定!$B$6=""),"",IF(B347&gt;=設定!$B$6,"是",""))</f>
        <v/>
      </c>
      <c r="F347" s="13" t="n"/>
      <c r="G347" s="12">
        <f>IF(原始資料!$A347="","",IF(OR(C347="是",D347="是",E347="是",F347="是"),"剔除","保留"))</f>
        <v/>
      </c>
      <c r="H347" s="12">
        <f>IF(G347="保留",COUNTIF($G$2:G347,"保留"),"")</f>
        <v/>
      </c>
    </row>
    <row r="348">
      <c r="A348" s="12">
        <f>IF(原始資料!$A348="","",原始資料!$A348)</f>
        <v/>
      </c>
      <c r="B348" s="12">
        <f>IF(原始資料!$A348="","",MAX(連續計數!B348:BI348))</f>
        <v/>
      </c>
      <c r="C348" s="12">
        <f>IF(OR(原始資料!$A348="",設定!$B$4=""),"",IF(原始資料!$C348&lt;&gt;設定!$B$4,"是",""))</f>
        <v/>
      </c>
      <c r="D348" s="12">
        <f>IF(OR(原始資料!$A348="",設定!$B$5=""),"",IF(原始資料!$B348&lt;設定!$B$5,"是",""))</f>
        <v/>
      </c>
      <c r="E348" s="12">
        <f>IF(OR(原始資料!$A348="",設定!$B$6=""),"",IF(B348&gt;=設定!$B$6,"是",""))</f>
        <v/>
      </c>
      <c r="F348" s="13" t="n"/>
      <c r="G348" s="12">
        <f>IF(原始資料!$A348="","",IF(OR(C348="是",D348="是",E348="是",F348="是"),"剔除","保留"))</f>
        <v/>
      </c>
      <c r="H348" s="12">
        <f>IF(G348="保留",COUNTIF($G$2:G348,"保留"),"")</f>
        <v/>
      </c>
    </row>
    <row r="349">
      <c r="A349" s="12">
        <f>IF(原始資料!$A349="","",原始資料!$A349)</f>
        <v/>
      </c>
      <c r="B349" s="12">
        <f>IF(原始資料!$A349="","",MAX(連續計數!B349:BI349))</f>
        <v/>
      </c>
      <c r="C349" s="12">
        <f>IF(OR(原始資料!$A349="",設定!$B$4=""),"",IF(原始資料!$C349&lt;&gt;設定!$B$4,"是",""))</f>
        <v/>
      </c>
      <c r="D349" s="12">
        <f>IF(OR(原始資料!$A349="",設定!$B$5=""),"",IF(原始資料!$B349&lt;設定!$B$5,"是",""))</f>
        <v/>
      </c>
      <c r="E349" s="12">
        <f>IF(OR(原始資料!$A349="",設定!$B$6=""),"",IF(B349&gt;=設定!$B$6,"是",""))</f>
        <v/>
      </c>
      <c r="F349" s="13" t="n"/>
      <c r="G349" s="12">
        <f>IF(原始資料!$A349="","",IF(OR(C349="是",D349="是",E349="是",F349="是"),"剔除","保留"))</f>
        <v/>
      </c>
      <c r="H349" s="12">
        <f>IF(G349="保留",COUNTIF($G$2:G349,"保留"),"")</f>
        <v/>
      </c>
    </row>
    <row r="350">
      <c r="A350" s="12">
        <f>IF(原始資料!$A350="","",原始資料!$A350)</f>
        <v/>
      </c>
      <c r="B350" s="12">
        <f>IF(原始資料!$A350="","",MAX(連續計數!B350:BI350))</f>
        <v/>
      </c>
      <c r="C350" s="12">
        <f>IF(OR(原始資料!$A350="",設定!$B$4=""),"",IF(原始資料!$C350&lt;&gt;設定!$B$4,"是",""))</f>
        <v/>
      </c>
      <c r="D350" s="12">
        <f>IF(OR(原始資料!$A350="",設定!$B$5=""),"",IF(原始資料!$B350&lt;設定!$B$5,"是",""))</f>
        <v/>
      </c>
      <c r="E350" s="12">
        <f>IF(OR(原始資料!$A350="",設定!$B$6=""),"",IF(B350&gt;=設定!$B$6,"是",""))</f>
        <v/>
      </c>
      <c r="F350" s="13" t="n"/>
      <c r="G350" s="12">
        <f>IF(原始資料!$A350="","",IF(OR(C350="是",D350="是",E350="是",F350="是"),"剔除","保留"))</f>
        <v/>
      </c>
      <c r="H350" s="12">
        <f>IF(G350="保留",COUNTIF($G$2:G350,"保留"),"")</f>
        <v/>
      </c>
    </row>
    <row r="351">
      <c r="A351" s="12">
        <f>IF(原始資料!$A351="","",原始資料!$A351)</f>
        <v/>
      </c>
      <c r="B351" s="12">
        <f>IF(原始資料!$A351="","",MAX(連續計數!B351:BI351))</f>
        <v/>
      </c>
      <c r="C351" s="12">
        <f>IF(OR(原始資料!$A351="",設定!$B$4=""),"",IF(原始資料!$C351&lt;&gt;設定!$B$4,"是",""))</f>
        <v/>
      </c>
      <c r="D351" s="12">
        <f>IF(OR(原始資料!$A351="",設定!$B$5=""),"",IF(原始資料!$B351&lt;設定!$B$5,"是",""))</f>
        <v/>
      </c>
      <c r="E351" s="12">
        <f>IF(OR(原始資料!$A351="",設定!$B$6=""),"",IF(B351&gt;=設定!$B$6,"是",""))</f>
        <v/>
      </c>
      <c r="F351" s="13" t="n"/>
      <c r="G351" s="12">
        <f>IF(原始資料!$A351="","",IF(OR(C351="是",D351="是",E351="是",F351="是"),"剔除","保留"))</f>
        <v/>
      </c>
      <c r="H351" s="12">
        <f>IF(G351="保留",COUNTIF($G$2:G351,"保留"),"")</f>
        <v/>
      </c>
    </row>
    <row r="352">
      <c r="A352" s="12">
        <f>IF(原始資料!$A352="","",原始資料!$A352)</f>
        <v/>
      </c>
      <c r="B352" s="12">
        <f>IF(原始資料!$A352="","",MAX(連續計數!B352:BI352))</f>
        <v/>
      </c>
      <c r="C352" s="12">
        <f>IF(OR(原始資料!$A352="",設定!$B$4=""),"",IF(原始資料!$C352&lt;&gt;設定!$B$4,"是",""))</f>
        <v/>
      </c>
      <c r="D352" s="12">
        <f>IF(OR(原始資料!$A352="",設定!$B$5=""),"",IF(原始資料!$B352&lt;設定!$B$5,"是",""))</f>
        <v/>
      </c>
      <c r="E352" s="12">
        <f>IF(OR(原始資料!$A352="",設定!$B$6=""),"",IF(B352&gt;=設定!$B$6,"是",""))</f>
        <v/>
      </c>
      <c r="F352" s="13" t="n"/>
      <c r="G352" s="12">
        <f>IF(原始資料!$A352="","",IF(OR(C352="是",D352="是",E352="是",F352="是"),"剔除","保留"))</f>
        <v/>
      </c>
      <c r="H352" s="12">
        <f>IF(G352="保留",COUNTIF($G$2:G352,"保留"),"")</f>
        <v/>
      </c>
    </row>
    <row r="353">
      <c r="A353" s="12">
        <f>IF(原始資料!$A353="","",原始資料!$A353)</f>
        <v/>
      </c>
      <c r="B353" s="12">
        <f>IF(原始資料!$A353="","",MAX(連續計數!B353:BI353))</f>
        <v/>
      </c>
      <c r="C353" s="12">
        <f>IF(OR(原始資料!$A353="",設定!$B$4=""),"",IF(原始資料!$C353&lt;&gt;設定!$B$4,"是",""))</f>
        <v/>
      </c>
      <c r="D353" s="12">
        <f>IF(OR(原始資料!$A353="",設定!$B$5=""),"",IF(原始資料!$B353&lt;設定!$B$5,"是",""))</f>
        <v/>
      </c>
      <c r="E353" s="12">
        <f>IF(OR(原始資料!$A353="",設定!$B$6=""),"",IF(B353&gt;=設定!$B$6,"是",""))</f>
        <v/>
      </c>
      <c r="F353" s="13" t="n"/>
      <c r="G353" s="12">
        <f>IF(原始資料!$A353="","",IF(OR(C353="是",D353="是",E353="是",F353="是"),"剔除","保留"))</f>
        <v/>
      </c>
      <c r="H353" s="12">
        <f>IF(G353="保留",COUNTIF($G$2:G353,"保留"),"")</f>
        <v/>
      </c>
    </row>
    <row r="354">
      <c r="A354" s="12">
        <f>IF(原始資料!$A354="","",原始資料!$A354)</f>
        <v/>
      </c>
      <c r="B354" s="12">
        <f>IF(原始資料!$A354="","",MAX(連續計數!B354:BI354))</f>
        <v/>
      </c>
      <c r="C354" s="12">
        <f>IF(OR(原始資料!$A354="",設定!$B$4=""),"",IF(原始資料!$C354&lt;&gt;設定!$B$4,"是",""))</f>
        <v/>
      </c>
      <c r="D354" s="12">
        <f>IF(OR(原始資料!$A354="",設定!$B$5=""),"",IF(原始資料!$B354&lt;設定!$B$5,"是",""))</f>
        <v/>
      </c>
      <c r="E354" s="12">
        <f>IF(OR(原始資料!$A354="",設定!$B$6=""),"",IF(B354&gt;=設定!$B$6,"是",""))</f>
        <v/>
      </c>
      <c r="F354" s="13" t="n"/>
      <c r="G354" s="12">
        <f>IF(原始資料!$A354="","",IF(OR(C354="是",D354="是",E354="是",F354="是"),"剔除","保留"))</f>
        <v/>
      </c>
      <c r="H354" s="12">
        <f>IF(G354="保留",COUNTIF($G$2:G354,"保留"),"")</f>
        <v/>
      </c>
    </row>
    <row r="355">
      <c r="A355" s="12">
        <f>IF(原始資料!$A355="","",原始資料!$A355)</f>
        <v/>
      </c>
      <c r="B355" s="12">
        <f>IF(原始資料!$A355="","",MAX(連續計數!B355:BI355))</f>
        <v/>
      </c>
      <c r="C355" s="12">
        <f>IF(OR(原始資料!$A355="",設定!$B$4=""),"",IF(原始資料!$C355&lt;&gt;設定!$B$4,"是",""))</f>
        <v/>
      </c>
      <c r="D355" s="12">
        <f>IF(OR(原始資料!$A355="",設定!$B$5=""),"",IF(原始資料!$B355&lt;設定!$B$5,"是",""))</f>
        <v/>
      </c>
      <c r="E355" s="12">
        <f>IF(OR(原始資料!$A355="",設定!$B$6=""),"",IF(B355&gt;=設定!$B$6,"是",""))</f>
        <v/>
      </c>
      <c r="F355" s="13" t="n"/>
      <c r="G355" s="12">
        <f>IF(原始資料!$A355="","",IF(OR(C355="是",D355="是",E355="是",F355="是"),"剔除","保留"))</f>
        <v/>
      </c>
      <c r="H355" s="12">
        <f>IF(G355="保留",COUNTIF($G$2:G355,"保留"),"")</f>
        <v/>
      </c>
    </row>
    <row r="356">
      <c r="A356" s="12">
        <f>IF(原始資料!$A356="","",原始資料!$A356)</f>
        <v/>
      </c>
      <c r="B356" s="12">
        <f>IF(原始資料!$A356="","",MAX(連續計數!B356:BI356))</f>
        <v/>
      </c>
      <c r="C356" s="12">
        <f>IF(OR(原始資料!$A356="",設定!$B$4=""),"",IF(原始資料!$C356&lt;&gt;設定!$B$4,"是",""))</f>
        <v/>
      </c>
      <c r="D356" s="12">
        <f>IF(OR(原始資料!$A356="",設定!$B$5=""),"",IF(原始資料!$B356&lt;設定!$B$5,"是",""))</f>
        <v/>
      </c>
      <c r="E356" s="12">
        <f>IF(OR(原始資料!$A356="",設定!$B$6=""),"",IF(B356&gt;=設定!$B$6,"是",""))</f>
        <v/>
      </c>
      <c r="F356" s="13" t="n"/>
      <c r="G356" s="12">
        <f>IF(原始資料!$A356="","",IF(OR(C356="是",D356="是",E356="是",F356="是"),"剔除","保留"))</f>
        <v/>
      </c>
      <c r="H356" s="12">
        <f>IF(G356="保留",COUNTIF($G$2:G356,"保留"),"")</f>
        <v/>
      </c>
    </row>
    <row r="357">
      <c r="A357" s="12">
        <f>IF(原始資料!$A357="","",原始資料!$A357)</f>
        <v/>
      </c>
      <c r="B357" s="12">
        <f>IF(原始資料!$A357="","",MAX(連續計數!B357:BI357))</f>
        <v/>
      </c>
      <c r="C357" s="12">
        <f>IF(OR(原始資料!$A357="",設定!$B$4=""),"",IF(原始資料!$C357&lt;&gt;設定!$B$4,"是",""))</f>
        <v/>
      </c>
      <c r="D357" s="12">
        <f>IF(OR(原始資料!$A357="",設定!$B$5=""),"",IF(原始資料!$B357&lt;設定!$B$5,"是",""))</f>
        <v/>
      </c>
      <c r="E357" s="12">
        <f>IF(OR(原始資料!$A357="",設定!$B$6=""),"",IF(B357&gt;=設定!$B$6,"是",""))</f>
        <v/>
      </c>
      <c r="F357" s="13" t="n"/>
      <c r="G357" s="12">
        <f>IF(原始資料!$A357="","",IF(OR(C357="是",D357="是",E357="是",F357="是"),"剔除","保留"))</f>
        <v/>
      </c>
      <c r="H357" s="12">
        <f>IF(G357="保留",COUNTIF($G$2:G357,"保留"),"")</f>
        <v/>
      </c>
    </row>
    <row r="358">
      <c r="A358" s="12">
        <f>IF(原始資料!$A358="","",原始資料!$A358)</f>
        <v/>
      </c>
      <c r="B358" s="12">
        <f>IF(原始資料!$A358="","",MAX(連續計數!B358:BI358))</f>
        <v/>
      </c>
      <c r="C358" s="12">
        <f>IF(OR(原始資料!$A358="",設定!$B$4=""),"",IF(原始資料!$C358&lt;&gt;設定!$B$4,"是",""))</f>
        <v/>
      </c>
      <c r="D358" s="12">
        <f>IF(OR(原始資料!$A358="",設定!$B$5=""),"",IF(原始資料!$B358&lt;設定!$B$5,"是",""))</f>
        <v/>
      </c>
      <c r="E358" s="12">
        <f>IF(OR(原始資料!$A358="",設定!$B$6=""),"",IF(B358&gt;=設定!$B$6,"是",""))</f>
        <v/>
      </c>
      <c r="F358" s="13" t="n"/>
      <c r="G358" s="12">
        <f>IF(原始資料!$A358="","",IF(OR(C358="是",D358="是",E358="是",F358="是"),"剔除","保留"))</f>
        <v/>
      </c>
      <c r="H358" s="12">
        <f>IF(G358="保留",COUNTIF($G$2:G358,"保留"),"")</f>
        <v/>
      </c>
    </row>
    <row r="359">
      <c r="A359" s="12">
        <f>IF(原始資料!$A359="","",原始資料!$A359)</f>
        <v/>
      </c>
      <c r="B359" s="12">
        <f>IF(原始資料!$A359="","",MAX(連續計數!B359:BI359))</f>
        <v/>
      </c>
      <c r="C359" s="12">
        <f>IF(OR(原始資料!$A359="",設定!$B$4=""),"",IF(原始資料!$C359&lt;&gt;設定!$B$4,"是",""))</f>
        <v/>
      </c>
      <c r="D359" s="12">
        <f>IF(OR(原始資料!$A359="",設定!$B$5=""),"",IF(原始資料!$B359&lt;設定!$B$5,"是",""))</f>
        <v/>
      </c>
      <c r="E359" s="12">
        <f>IF(OR(原始資料!$A359="",設定!$B$6=""),"",IF(B359&gt;=設定!$B$6,"是",""))</f>
        <v/>
      </c>
      <c r="F359" s="13" t="n"/>
      <c r="G359" s="12">
        <f>IF(原始資料!$A359="","",IF(OR(C359="是",D359="是",E359="是",F359="是"),"剔除","保留"))</f>
        <v/>
      </c>
      <c r="H359" s="12">
        <f>IF(G359="保留",COUNTIF($G$2:G359,"保留"),"")</f>
        <v/>
      </c>
    </row>
    <row r="360">
      <c r="A360" s="12">
        <f>IF(原始資料!$A360="","",原始資料!$A360)</f>
        <v/>
      </c>
      <c r="B360" s="12">
        <f>IF(原始資料!$A360="","",MAX(連續計數!B360:BI360))</f>
        <v/>
      </c>
      <c r="C360" s="12">
        <f>IF(OR(原始資料!$A360="",設定!$B$4=""),"",IF(原始資料!$C360&lt;&gt;設定!$B$4,"是",""))</f>
        <v/>
      </c>
      <c r="D360" s="12">
        <f>IF(OR(原始資料!$A360="",設定!$B$5=""),"",IF(原始資料!$B360&lt;設定!$B$5,"是",""))</f>
        <v/>
      </c>
      <c r="E360" s="12">
        <f>IF(OR(原始資料!$A360="",設定!$B$6=""),"",IF(B360&gt;=設定!$B$6,"是",""))</f>
        <v/>
      </c>
      <c r="F360" s="13" t="n"/>
      <c r="G360" s="12">
        <f>IF(原始資料!$A360="","",IF(OR(C360="是",D360="是",E360="是",F360="是"),"剔除","保留"))</f>
        <v/>
      </c>
      <c r="H360" s="12">
        <f>IF(G360="保留",COUNTIF($G$2:G360,"保留"),"")</f>
        <v/>
      </c>
    </row>
    <row r="361">
      <c r="A361" s="12">
        <f>IF(原始資料!$A361="","",原始資料!$A361)</f>
        <v/>
      </c>
      <c r="B361" s="12">
        <f>IF(原始資料!$A361="","",MAX(連續計數!B361:BI361))</f>
        <v/>
      </c>
      <c r="C361" s="12">
        <f>IF(OR(原始資料!$A361="",設定!$B$4=""),"",IF(原始資料!$C361&lt;&gt;設定!$B$4,"是",""))</f>
        <v/>
      </c>
      <c r="D361" s="12">
        <f>IF(OR(原始資料!$A361="",設定!$B$5=""),"",IF(原始資料!$B361&lt;設定!$B$5,"是",""))</f>
        <v/>
      </c>
      <c r="E361" s="12">
        <f>IF(OR(原始資料!$A361="",設定!$B$6=""),"",IF(B361&gt;=設定!$B$6,"是",""))</f>
        <v/>
      </c>
      <c r="F361" s="13" t="n"/>
      <c r="G361" s="12">
        <f>IF(原始資料!$A361="","",IF(OR(C361="是",D361="是",E361="是",F361="是"),"剔除","保留"))</f>
        <v/>
      </c>
      <c r="H361" s="12">
        <f>IF(G361="保留",COUNTIF($G$2:G361,"保留"),"")</f>
        <v/>
      </c>
    </row>
    <row r="362">
      <c r="A362" s="12">
        <f>IF(原始資料!$A362="","",原始資料!$A362)</f>
        <v/>
      </c>
      <c r="B362" s="12">
        <f>IF(原始資料!$A362="","",MAX(連續計數!B362:BI362))</f>
        <v/>
      </c>
      <c r="C362" s="12">
        <f>IF(OR(原始資料!$A362="",設定!$B$4=""),"",IF(原始資料!$C362&lt;&gt;設定!$B$4,"是",""))</f>
        <v/>
      </c>
      <c r="D362" s="12">
        <f>IF(OR(原始資料!$A362="",設定!$B$5=""),"",IF(原始資料!$B362&lt;設定!$B$5,"是",""))</f>
        <v/>
      </c>
      <c r="E362" s="12">
        <f>IF(OR(原始資料!$A362="",設定!$B$6=""),"",IF(B362&gt;=設定!$B$6,"是",""))</f>
        <v/>
      </c>
      <c r="F362" s="13" t="n"/>
      <c r="G362" s="12">
        <f>IF(原始資料!$A362="","",IF(OR(C362="是",D362="是",E362="是",F362="是"),"剔除","保留"))</f>
        <v/>
      </c>
      <c r="H362" s="12">
        <f>IF(G362="保留",COUNTIF($G$2:G362,"保留"),"")</f>
        <v/>
      </c>
    </row>
    <row r="363">
      <c r="A363" s="12">
        <f>IF(原始資料!$A363="","",原始資料!$A363)</f>
        <v/>
      </c>
      <c r="B363" s="12">
        <f>IF(原始資料!$A363="","",MAX(連續計數!B363:BI363))</f>
        <v/>
      </c>
      <c r="C363" s="12">
        <f>IF(OR(原始資料!$A363="",設定!$B$4=""),"",IF(原始資料!$C363&lt;&gt;設定!$B$4,"是",""))</f>
        <v/>
      </c>
      <c r="D363" s="12">
        <f>IF(OR(原始資料!$A363="",設定!$B$5=""),"",IF(原始資料!$B363&lt;設定!$B$5,"是",""))</f>
        <v/>
      </c>
      <c r="E363" s="12">
        <f>IF(OR(原始資料!$A363="",設定!$B$6=""),"",IF(B363&gt;=設定!$B$6,"是",""))</f>
        <v/>
      </c>
      <c r="F363" s="13" t="n"/>
      <c r="G363" s="12">
        <f>IF(原始資料!$A363="","",IF(OR(C363="是",D363="是",E363="是",F363="是"),"剔除","保留"))</f>
        <v/>
      </c>
      <c r="H363" s="12">
        <f>IF(G363="保留",COUNTIF($G$2:G363,"保留"),"")</f>
        <v/>
      </c>
    </row>
    <row r="364">
      <c r="A364" s="12">
        <f>IF(原始資料!$A364="","",原始資料!$A364)</f>
        <v/>
      </c>
      <c r="B364" s="12">
        <f>IF(原始資料!$A364="","",MAX(連續計數!B364:BI364))</f>
        <v/>
      </c>
      <c r="C364" s="12">
        <f>IF(OR(原始資料!$A364="",設定!$B$4=""),"",IF(原始資料!$C364&lt;&gt;設定!$B$4,"是",""))</f>
        <v/>
      </c>
      <c r="D364" s="12">
        <f>IF(OR(原始資料!$A364="",設定!$B$5=""),"",IF(原始資料!$B364&lt;設定!$B$5,"是",""))</f>
        <v/>
      </c>
      <c r="E364" s="12">
        <f>IF(OR(原始資料!$A364="",設定!$B$6=""),"",IF(B364&gt;=設定!$B$6,"是",""))</f>
        <v/>
      </c>
      <c r="F364" s="13" t="n"/>
      <c r="G364" s="12">
        <f>IF(原始資料!$A364="","",IF(OR(C364="是",D364="是",E364="是",F364="是"),"剔除","保留"))</f>
        <v/>
      </c>
      <c r="H364" s="12">
        <f>IF(G364="保留",COUNTIF($G$2:G364,"保留"),"")</f>
        <v/>
      </c>
    </row>
    <row r="365">
      <c r="A365" s="12">
        <f>IF(原始資料!$A365="","",原始資料!$A365)</f>
        <v/>
      </c>
      <c r="B365" s="12">
        <f>IF(原始資料!$A365="","",MAX(連續計數!B365:BI365))</f>
        <v/>
      </c>
      <c r="C365" s="12">
        <f>IF(OR(原始資料!$A365="",設定!$B$4=""),"",IF(原始資料!$C365&lt;&gt;設定!$B$4,"是",""))</f>
        <v/>
      </c>
      <c r="D365" s="12">
        <f>IF(OR(原始資料!$A365="",設定!$B$5=""),"",IF(原始資料!$B365&lt;設定!$B$5,"是",""))</f>
        <v/>
      </c>
      <c r="E365" s="12">
        <f>IF(OR(原始資料!$A365="",設定!$B$6=""),"",IF(B365&gt;=設定!$B$6,"是",""))</f>
        <v/>
      </c>
      <c r="F365" s="13" t="n"/>
      <c r="G365" s="12">
        <f>IF(原始資料!$A365="","",IF(OR(C365="是",D365="是",E365="是",F365="是"),"剔除","保留"))</f>
        <v/>
      </c>
      <c r="H365" s="12">
        <f>IF(G365="保留",COUNTIF($G$2:G365,"保留"),"")</f>
        <v/>
      </c>
    </row>
    <row r="366">
      <c r="A366" s="12">
        <f>IF(原始資料!$A366="","",原始資料!$A366)</f>
        <v/>
      </c>
      <c r="B366" s="12">
        <f>IF(原始資料!$A366="","",MAX(連續計數!B366:BI366))</f>
        <v/>
      </c>
      <c r="C366" s="12">
        <f>IF(OR(原始資料!$A366="",設定!$B$4=""),"",IF(原始資料!$C366&lt;&gt;設定!$B$4,"是",""))</f>
        <v/>
      </c>
      <c r="D366" s="12">
        <f>IF(OR(原始資料!$A366="",設定!$B$5=""),"",IF(原始資料!$B366&lt;設定!$B$5,"是",""))</f>
        <v/>
      </c>
      <c r="E366" s="12">
        <f>IF(OR(原始資料!$A366="",設定!$B$6=""),"",IF(B366&gt;=設定!$B$6,"是",""))</f>
        <v/>
      </c>
      <c r="F366" s="13" t="n"/>
      <c r="G366" s="12">
        <f>IF(原始資料!$A366="","",IF(OR(C366="是",D366="是",E366="是",F366="是"),"剔除","保留"))</f>
        <v/>
      </c>
      <c r="H366" s="12">
        <f>IF(G366="保留",COUNTIF($G$2:G366,"保留"),"")</f>
        <v/>
      </c>
    </row>
    <row r="367">
      <c r="A367" s="12">
        <f>IF(原始資料!$A367="","",原始資料!$A367)</f>
        <v/>
      </c>
      <c r="B367" s="12">
        <f>IF(原始資料!$A367="","",MAX(連續計數!B367:BI367))</f>
        <v/>
      </c>
      <c r="C367" s="12">
        <f>IF(OR(原始資料!$A367="",設定!$B$4=""),"",IF(原始資料!$C367&lt;&gt;設定!$B$4,"是",""))</f>
        <v/>
      </c>
      <c r="D367" s="12">
        <f>IF(OR(原始資料!$A367="",設定!$B$5=""),"",IF(原始資料!$B367&lt;設定!$B$5,"是",""))</f>
        <v/>
      </c>
      <c r="E367" s="12">
        <f>IF(OR(原始資料!$A367="",設定!$B$6=""),"",IF(B367&gt;=設定!$B$6,"是",""))</f>
        <v/>
      </c>
      <c r="F367" s="13" t="n"/>
      <c r="G367" s="12">
        <f>IF(原始資料!$A367="","",IF(OR(C367="是",D367="是",E367="是",F367="是"),"剔除","保留"))</f>
        <v/>
      </c>
      <c r="H367" s="12">
        <f>IF(G367="保留",COUNTIF($G$2:G367,"保留"),"")</f>
        <v/>
      </c>
    </row>
    <row r="368">
      <c r="A368" s="12">
        <f>IF(原始資料!$A368="","",原始資料!$A368)</f>
        <v/>
      </c>
      <c r="B368" s="12">
        <f>IF(原始資料!$A368="","",MAX(連續計數!B368:BI368))</f>
        <v/>
      </c>
      <c r="C368" s="12">
        <f>IF(OR(原始資料!$A368="",設定!$B$4=""),"",IF(原始資料!$C368&lt;&gt;設定!$B$4,"是",""))</f>
        <v/>
      </c>
      <c r="D368" s="12">
        <f>IF(OR(原始資料!$A368="",設定!$B$5=""),"",IF(原始資料!$B368&lt;設定!$B$5,"是",""))</f>
        <v/>
      </c>
      <c r="E368" s="12">
        <f>IF(OR(原始資料!$A368="",設定!$B$6=""),"",IF(B368&gt;=設定!$B$6,"是",""))</f>
        <v/>
      </c>
      <c r="F368" s="13" t="n"/>
      <c r="G368" s="12">
        <f>IF(原始資料!$A368="","",IF(OR(C368="是",D368="是",E368="是",F368="是"),"剔除","保留"))</f>
        <v/>
      </c>
      <c r="H368" s="12">
        <f>IF(G368="保留",COUNTIF($G$2:G368,"保留"),"")</f>
        <v/>
      </c>
    </row>
    <row r="369">
      <c r="A369" s="12">
        <f>IF(原始資料!$A369="","",原始資料!$A369)</f>
        <v/>
      </c>
      <c r="B369" s="12">
        <f>IF(原始資料!$A369="","",MAX(連續計數!B369:BI369))</f>
        <v/>
      </c>
      <c r="C369" s="12">
        <f>IF(OR(原始資料!$A369="",設定!$B$4=""),"",IF(原始資料!$C369&lt;&gt;設定!$B$4,"是",""))</f>
        <v/>
      </c>
      <c r="D369" s="12">
        <f>IF(OR(原始資料!$A369="",設定!$B$5=""),"",IF(原始資料!$B369&lt;設定!$B$5,"是",""))</f>
        <v/>
      </c>
      <c r="E369" s="12">
        <f>IF(OR(原始資料!$A369="",設定!$B$6=""),"",IF(B369&gt;=設定!$B$6,"是",""))</f>
        <v/>
      </c>
      <c r="F369" s="13" t="n"/>
      <c r="G369" s="12">
        <f>IF(原始資料!$A369="","",IF(OR(C369="是",D369="是",E369="是",F369="是"),"剔除","保留"))</f>
        <v/>
      </c>
      <c r="H369" s="12">
        <f>IF(G369="保留",COUNTIF($G$2:G369,"保留"),"")</f>
        <v/>
      </c>
    </row>
    <row r="370">
      <c r="A370" s="12">
        <f>IF(原始資料!$A370="","",原始資料!$A370)</f>
        <v/>
      </c>
      <c r="B370" s="12">
        <f>IF(原始資料!$A370="","",MAX(連續計數!B370:BI370))</f>
        <v/>
      </c>
      <c r="C370" s="12">
        <f>IF(OR(原始資料!$A370="",設定!$B$4=""),"",IF(原始資料!$C370&lt;&gt;設定!$B$4,"是",""))</f>
        <v/>
      </c>
      <c r="D370" s="12">
        <f>IF(OR(原始資料!$A370="",設定!$B$5=""),"",IF(原始資料!$B370&lt;設定!$B$5,"是",""))</f>
        <v/>
      </c>
      <c r="E370" s="12">
        <f>IF(OR(原始資料!$A370="",設定!$B$6=""),"",IF(B370&gt;=設定!$B$6,"是",""))</f>
        <v/>
      </c>
      <c r="F370" s="13" t="n"/>
      <c r="G370" s="12">
        <f>IF(原始資料!$A370="","",IF(OR(C370="是",D370="是",E370="是",F370="是"),"剔除","保留"))</f>
        <v/>
      </c>
      <c r="H370" s="12">
        <f>IF(G370="保留",COUNTIF($G$2:G370,"保留"),"")</f>
        <v/>
      </c>
    </row>
    <row r="371">
      <c r="A371" s="12">
        <f>IF(原始資料!$A371="","",原始資料!$A371)</f>
        <v/>
      </c>
      <c r="B371" s="12">
        <f>IF(原始資料!$A371="","",MAX(連續計數!B371:BI371))</f>
        <v/>
      </c>
      <c r="C371" s="12">
        <f>IF(OR(原始資料!$A371="",設定!$B$4=""),"",IF(原始資料!$C371&lt;&gt;設定!$B$4,"是",""))</f>
        <v/>
      </c>
      <c r="D371" s="12">
        <f>IF(OR(原始資料!$A371="",設定!$B$5=""),"",IF(原始資料!$B371&lt;設定!$B$5,"是",""))</f>
        <v/>
      </c>
      <c r="E371" s="12">
        <f>IF(OR(原始資料!$A371="",設定!$B$6=""),"",IF(B371&gt;=設定!$B$6,"是",""))</f>
        <v/>
      </c>
      <c r="F371" s="13" t="n"/>
      <c r="G371" s="12">
        <f>IF(原始資料!$A371="","",IF(OR(C371="是",D371="是",E371="是",F371="是"),"剔除","保留"))</f>
        <v/>
      </c>
      <c r="H371" s="12">
        <f>IF(G371="保留",COUNTIF($G$2:G371,"保留"),"")</f>
        <v/>
      </c>
    </row>
    <row r="372">
      <c r="A372" s="12">
        <f>IF(原始資料!$A372="","",原始資料!$A372)</f>
        <v/>
      </c>
      <c r="B372" s="12">
        <f>IF(原始資料!$A372="","",MAX(連續計數!B372:BI372))</f>
        <v/>
      </c>
      <c r="C372" s="12">
        <f>IF(OR(原始資料!$A372="",設定!$B$4=""),"",IF(原始資料!$C372&lt;&gt;設定!$B$4,"是",""))</f>
        <v/>
      </c>
      <c r="D372" s="12">
        <f>IF(OR(原始資料!$A372="",設定!$B$5=""),"",IF(原始資料!$B372&lt;設定!$B$5,"是",""))</f>
        <v/>
      </c>
      <c r="E372" s="12">
        <f>IF(OR(原始資料!$A372="",設定!$B$6=""),"",IF(B372&gt;=設定!$B$6,"是",""))</f>
        <v/>
      </c>
      <c r="F372" s="13" t="n"/>
      <c r="G372" s="12">
        <f>IF(原始資料!$A372="","",IF(OR(C372="是",D372="是",E372="是",F372="是"),"剔除","保留"))</f>
        <v/>
      </c>
      <c r="H372" s="12">
        <f>IF(G372="保留",COUNTIF($G$2:G372,"保留"),"")</f>
        <v/>
      </c>
    </row>
    <row r="373">
      <c r="A373" s="12">
        <f>IF(原始資料!$A373="","",原始資料!$A373)</f>
        <v/>
      </c>
      <c r="B373" s="12">
        <f>IF(原始資料!$A373="","",MAX(連續計數!B373:BI373))</f>
        <v/>
      </c>
      <c r="C373" s="12">
        <f>IF(OR(原始資料!$A373="",設定!$B$4=""),"",IF(原始資料!$C373&lt;&gt;設定!$B$4,"是",""))</f>
        <v/>
      </c>
      <c r="D373" s="12">
        <f>IF(OR(原始資料!$A373="",設定!$B$5=""),"",IF(原始資料!$B373&lt;設定!$B$5,"是",""))</f>
        <v/>
      </c>
      <c r="E373" s="12">
        <f>IF(OR(原始資料!$A373="",設定!$B$6=""),"",IF(B373&gt;=設定!$B$6,"是",""))</f>
        <v/>
      </c>
      <c r="F373" s="13" t="n"/>
      <c r="G373" s="12">
        <f>IF(原始資料!$A373="","",IF(OR(C373="是",D373="是",E373="是",F373="是"),"剔除","保留"))</f>
        <v/>
      </c>
      <c r="H373" s="12">
        <f>IF(G373="保留",COUNTIF($G$2:G373,"保留"),"")</f>
        <v/>
      </c>
    </row>
    <row r="374">
      <c r="A374" s="12">
        <f>IF(原始資料!$A374="","",原始資料!$A374)</f>
        <v/>
      </c>
      <c r="B374" s="12">
        <f>IF(原始資料!$A374="","",MAX(連續計數!B374:BI374))</f>
        <v/>
      </c>
      <c r="C374" s="12">
        <f>IF(OR(原始資料!$A374="",設定!$B$4=""),"",IF(原始資料!$C374&lt;&gt;設定!$B$4,"是",""))</f>
        <v/>
      </c>
      <c r="D374" s="12">
        <f>IF(OR(原始資料!$A374="",設定!$B$5=""),"",IF(原始資料!$B374&lt;設定!$B$5,"是",""))</f>
        <v/>
      </c>
      <c r="E374" s="12">
        <f>IF(OR(原始資料!$A374="",設定!$B$6=""),"",IF(B374&gt;=設定!$B$6,"是",""))</f>
        <v/>
      </c>
      <c r="F374" s="13" t="n"/>
      <c r="G374" s="12">
        <f>IF(原始資料!$A374="","",IF(OR(C374="是",D374="是",E374="是",F374="是"),"剔除","保留"))</f>
        <v/>
      </c>
      <c r="H374" s="12">
        <f>IF(G374="保留",COUNTIF($G$2:G374,"保留"),"")</f>
        <v/>
      </c>
    </row>
    <row r="375">
      <c r="A375" s="12">
        <f>IF(原始資料!$A375="","",原始資料!$A375)</f>
        <v/>
      </c>
      <c r="B375" s="12">
        <f>IF(原始資料!$A375="","",MAX(連續計數!B375:BI375))</f>
        <v/>
      </c>
      <c r="C375" s="12">
        <f>IF(OR(原始資料!$A375="",設定!$B$4=""),"",IF(原始資料!$C375&lt;&gt;設定!$B$4,"是",""))</f>
        <v/>
      </c>
      <c r="D375" s="12">
        <f>IF(OR(原始資料!$A375="",設定!$B$5=""),"",IF(原始資料!$B375&lt;設定!$B$5,"是",""))</f>
        <v/>
      </c>
      <c r="E375" s="12">
        <f>IF(OR(原始資料!$A375="",設定!$B$6=""),"",IF(B375&gt;=設定!$B$6,"是",""))</f>
        <v/>
      </c>
      <c r="F375" s="13" t="n"/>
      <c r="G375" s="12">
        <f>IF(原始資料!$A375="","",IF(OR(C375="是",D375="是",E375="是",F375="是"),"剔除","保留"))</f>
        <v/>
      </c>
      <c r="H375" s="12">
        <f>IF(G375="保留",COUNTIF($G$2:G375,"保留"),"")</f>
        <v/>
      </c>
    </row>
    <row r="376">
      <c r="A376" s="12">
        <f>IF(原始資料!$A376="","",原始資料!$A376)</f>
        <v/>
      </c>
      <c r="B376" s="12">
        <f>IF(原始資料!$A376="","",MAX(連續計數!B376:BI376))</f>
        <v/>
      </c>
      <c r="C376" s="12">
        <f>IF(OR(原始資料!$A376="",設定!$B$4=""),"",IF(原始資料!$C376&lt;&gt;設定!$B$4,"是",""))</f>
        <v/>
      </c>
      <c r="D376" s="12">
        <f>IF(OR(原始資料!$A376="",設定!$B$5=""),"",IF(原始資料!$B376&lt;設定!$B$5,"是",""))</f>
        <v/>
      </c>
      <c r="E376" s="12">
        <f>IF(OR(原始資料!$A376="",設定!$B$6=""),"",IF(B376&gt;=設定!$B$6,"是",""))</f>
        <v/>
      </c>
      <c r="F376" s="13" t="n"/>
      <c r="G376" s="12">
        <f>IF(原始資料!$A376="","",IF(OR(C376="是",D376="是",E376="是",F376="是"),"剔除","保留"))</f>
        <v/>
      </c>
      <c r="H376" s="12">
        <f>IF(G376="保留",COUNTIF($G$2:G376,"保留"),"")</f>
        <v/>
      </c>
    </row>
    <row r="377">
      <c r="A377" s="12">
        <f>IF(原始資料!$A377="","",原始資料!$A377)</f>
        <v/>
      </c>
      <c r="B377" s="12">
        <f>IF(原始資料!$A377="","",MAX(連續計數!B377:BI377))</f>
        <v/>
      </c>
      <c r="C377" s="12">
        <f>IF(OR(原始資料!$A377="",設定!$B$4=""),"",IF(原始資料!$C377&lt;&gt;設定!$B$4,"是",""))</f>
        <v/>
      </c>
      <c r="D377" s="12">
        <f>IF(OR(原始資料!$A377="",設定!$B$5=""),"",IF(原始資料!$B377&lt;設定!$B$5,"是",""))</f>
        <v/>
      </c>
      <c r="E377" s="12">
        <f>IF(OR(原始資料!$A377="",設定!$B$6=""),"",IF(B377&gt;=設定!$B$6,"是",""))</f>
        <v/>
      </c>
      <c r="F377" s="13" t="n"/>
      <c r="G377" s="12">
        <f>IF(原始資料!$A377="","",IF(OR(C377="是",D377="是",E377="是",F377="是"),"剔除","保留"))</f>
        <v/>
      </c>
      <c r="H377" s="12">
        <f>IF(G377="保留",COUNTIF($G$2:G377,"保留"),"")</f>
        <v/>
      </c>
    </row>
    <row r="378">
      <c r="A378" s="12">
        <f>IF(原始資料!$A378="","",原始資料!$A378)</f>
        <v/>
      </c>
      <c r="B378" s="12">
        <f>IF(原始資料!$A378="","",MAX(連續計數!B378:BI378))</f>
        <v/>
      </c>
      <c r="C378" s="12">
        <f>IF(OR(原始資料!$A378="",設定!$B$4=""),"",IF(原始資料!$C378&lt;&gt;設定!$B$4,"是",""))</f>
        <v/>
      </c>
      <c r="D378" s="12">
        <f>IF(OR(原始資料!$A378="",設定!$B$5=""),"",IF(原始資料!$B378&lt;設定!$B$5,"是",""))</f>
        <v/>
      </c>
      <c r="E378" s="12">
        <f>IF(OR(原始資料!$A378="",設定!$B$6=""),"",IF(B378&gt;=設定!$B$6,"是",""))</f>
        <v/>
      </c>
      <c r="F378" s="13" t="n"/>
      <c r="G378" s="12">
        <f>IF(原始資料!$A378="","",IF(OR(C378="是",D378="是",E378="是",F378="是"),"剔除","保留"))</f>
        <v/>
      </c>
      <c r="H378" s="12">
        <f>IF(G378="保留",COUNTIF($G$2:G378,"保留"),"")</f>
        <v/>
      </c>
    </row>
    <row r="379">
      <c r="A379" s="12">
        <f>IF(原始資料!$A379="","",原始資料!$A379)</f>
        <v/>
      </c>
      <c r="B379" s="12">
        <f>IF(原始資料!$A379="","",MAX(連續計數!B379:BI379))</f>
        <v/>
      </c>
      <c r="C379" s="12">
        <f>IF(OR(原始資料!$A379="",設定!$B$4=""),"",IF(原始資料!$C379&lt;&gt;設定!$B$4,"是",""))</f>
        <v/>
      </c>
      <c r="D379" s="12">
        <f>IF(OR(原始資料!$A379="",設定!$B$5=""),"",IF(原始資料!$B379&lt;設定!$B$5,"是",""))</f>
        <v/>
      </c>
      <c r="E379" s="12">
        <f>IF(OR(原始資料!$A379="",設定!$B$6=""),"",IF(B379&gt;=設定!$B$6,"是",""))</f>
        <v/>
      </c>
      <c r="F379" s="13" t="n"/>
      <c r="G379" s="12">
        <f>IF(原始資料!$A379="","",IF(OR(C379="是",D379="是",E379="是",F379="是"),"剔除","保留"))</f>
        <v/>
      </c>
      <c r="H379" s="12">
        <f>IF(G379="保留",COUNTIF($G$2:G379,"保留"),"")</f>
        <v/>
      </c>
    </row>
    <row r="380">
      <c r="A380" s="12">
        <f>IF(原始資料!$A380="","",原始資料!$A380)</f>
        <v/>
      </c>
      <c r="B380" s="12">
        <f>IF(原始資料!$A380="","",MAX(連續計數!B380:BI380))</f>
        <v/>
      </c>
      <c r="C380" s="12">
        <f>IF(OR(原始資料!$A380="",設定!$B$4=""),"",IF(原始資料!$C380&lt;&gt;設定!$B$4,"是",""))</f>
        <v/>
      </c>
      <c r="D380" s="12">
        <f>IF(OR(原始資料!$A380="",設定!$B$5=""),"",IF(原始資料!$B380&lt;設定!$B$5,"是",""))</f>
        <v/>
      </c>
      <c r="E380" s="12">
        <f>IF(OR(原始資料!$A380="",設定!$B$6=""),"",IF(B380&gt;=設定!$B$6,"是",""))</f>
        <v/>
      </c>
      <c r="F380" s="13" t="n"/>
      <c r="G380" s="12">
        <f>IF(原始資料!$A380="","",IF(OR(C380="是",D380="是",E380="是",F380="是"),"剔除","保留"))</f>
        <v/>
      </c>
      <c r="H380" s="12">
        <f>IF(G380="保留",COUNTIF($G$2:G380,"保留"),"")</f>
        <v/>
      </c>
    </row>
    <row r="381">
      <c r="A381" s="12">
        <f>IF(原始資料!$A381="","",原始資料!$A381)</f>
        <v/>
      </c>
      <c r="B381" s="12">
        <f>IF(原始資料!$A381="","",MAX(連續計數!B381:BI381))</f>
        <v/>
      </c>
      <c r="C381" s="12">
        <f>IF(OR(原始資料!$A381="",設定!$B$4=""),"",IF(原始資料!$C381&lt;&gt;設定!$B$4,"是",""))</f>
        <v/>
      </c>
      <c r="D381" s="12">
        <f>IF(OR(原始資料!$A381="",設定!$B$5=""),"",IF(原始資料!$B381&lt;設定!$B$5,"是",""))</f>
        <v/>
      </c>
      <c r="E381" s="12">
        <f>IF(OR(原始資料!$A381="",設定!$B$6=""),"",IF(B381&gt;=設定!$B$6,"是",""))</f>
        <v/>
      </c>
      <c r="F381" s="13" t="n"/>
      <c r="G381" s="12">
        <f>IF(原始資料!$A381="","",IF(OR(C381="是",D381="是",E381="是",F381="是"),"剔除","保留"))</f>
        <v/>
      </c>
      <c r="H381" s="12">
        <f>IF(G381="保留",COUNTIF($G$2:G381,"保留"),"")</f>
        <v/>
      </c>
    </row>
    <row r="382">
      <c r="A382" s="12">
        <f>IF(原始資料!$A382="","",原始資料!$A382)</f>
        <v/>
      </c>
      <c r="B382" s="12">
        <f>IF(原始資料!$A382="","",MAX(連續計數!B382:BI382))</f>
        <v/>
      </c>
      <c r="C382" s="12">
        <f>IF(OR(原始資料!$A382="",設定!$B$4=""),"",IF(原始資料!$C382&lt;&gt;設定!$B$4,"是",""))</f>
        <v/>
      </c>
      <c r="D382" s="12">
        <f>IF(OR(原始資料!$A382="",設定!$B$5=""),"",IF(原始資料!$B382&lt;設定!$B$5,"是",""))</f>
        <v/>
      </c>
      <c r="E382" s="12">
        <f>IF(OR(原始資料!$A382="",設定!$B$6=""),"",IF(B382&gt;=設定!$B$6,"是",""))</f>
        <v/>
      </c>
      <c r="F382" s="13" t="n"/>
      <c r="G382" s="12">
        <f>IF(原始資料!$A382="","",IF(OR(C382="是",D382="是",E382="是",F382="是"),"剔除","保留"))</f>
        <v/>
      </c>
      <c r="H382" s="12">
        <f>IF(G382="保留",COUNTIF($G$2:G382,"保留"),"")</f>
        <v/>
      </c>
    </row>
    <row r="383">
      <c r="A383" s="12">
        <f>IF(原始資料!$A383="","",原始資料!$A383)</f>
        <v/>
      </c>
      <c r="B383" s="12">
        <f>IF(原始資料!$A383="","",MAX(連續計數!B383:BI383))</f>
        <v/>
      </c>
      <c r="C383" s="12">
        <f>IF(OR(原始資料!$A383="",設定!$B$4=""),"",IF(原始資料!$C383&lt;&gt;設定!$B$4,"是",""))</f>
        <v/>
      </c>
      <c r="D383" s="12">
        <f>IF(OR(原始資料!$A383="",設定!$B$5=""),"",IF(原始資料!$B383&lt;設定!$B$5,"是",""))</f>
        <v/>
      </c>
      <c r="E383" s="12">
        <f>IF(OR(原始資料!$A383="",設定!$B$6=""),"",IF(B383&gt;=設定!$B$6,"是",""))</f>
        <v/>
      </c>
      <c r="F383" s="13" t="n"/>
      <c r="G383" s="12">
        <f>IF(原始資料!$A383="","",IF(OR(C383="是",D383="是",E383="是",F383="是"),"剔除","保留"))</f>
        <v/>
      </c>
      <c r="H383" s="12">
        <f>IF(G383="保留",COUNTIF($G$2:G383,"保留"),"")</f>
        <v/>
      </c>
    </row>
    <row r="384">
      <c r="A384" s="12">
        <f>IF(原始資料!$A384="","",原始資料!$A384)</f>
        <v/>
      </c>
      <c r="B384" s="12">
        <f>IF(原始資料!$A384="","",MAX(連續計數!B384:BI384))</f>
        <v/>
      </c>
      <c r="C384" s="12">
        <f>IF(OR(原始資料!$A384="",設定!$B$4=""),"",IF(原始資料!$C384&lt;&gt;設定!$B$4,"是",""))</f>
        <v/>
      </c>
      <c r="D384" s="12">
        <f>IF(OR(原始資料!$A384="",設定!$B$5=""),"",IF(原始資料!$B384&lt;設定!$B$5,"是",""))</f>
        <v/>
      </c>
      <c r="E384" s="12">
        <f>IF(OR(原始資料!$A384="",設定!$B$6=""),"",IF(B384&gt;=設定!$B$6,"是",""))</f>
        <v/>
      </c>
      <c r="F384" s="13" t="n"/>
      <c r="G384" s="12">
        <f>IF(原始資料!$A384="","",IF(OR(C384="是",D384="是",E384="是",F384="是"),"剔除","保留"))</f>
        <v/>
      </c>
      <c r="H384" s="12">
        <f>IF(G384="保留",COUNTIF($G$2:G384,"保留"),"")</f>
        <v/>
      </c>
    </row>
    <row r="385">
      <c r="A385" s="12">
        <f>IF(原始資料!$A385="","",原始資料!$A385)</f>
        <v/>
      </c>
      <c r="B385" s="12">
        <f>IF(原始資料!$A385="","",MAX(連續計數!B385:BI385))</f>
        <v/>
      </c>
      <c r="C385" s="12">
        <f>IF(OR(原始資料!$A385="",設定!$B$4=""),"",IF(原始資料!$C385&lt;&gt;設定!$B$4,"是",""))</f>
        <v/>
      </c>
      <c r="D385" s="12">
        <f>IF(OR(原始資料!$A385="",設定!$B$5=""),"",IF(原始資料!$B385&lt;設定!$B$5,"是",""))</f>
        <v/>
      </c>
      <c r="E385" s="12">
        <f>IF(OR(原始資料!$A385="",設定!$B$6=""),"",IF(B385&gt;=設定!$B$6,"是",""))</f>
        <v/>
      </c>
      <c r="F385" s="13" t="n"/>
      <c r="G385" s="12">
        <f>IF(原始資料!$A385="","",IF(OR(C385="是",D385="是",E385="是",F385="是"),"剔除","保留"))</f>
        <v/>
      </c>
      <c r="H385" s="12">
        <f>IF(G385="保留",COUNTIF($G$2:G385,"保留"),"")</f>
        <v/>
      </c>
    </row>
    <row r="386">
      <c r="A386" s="12">
        <f>IF(原始資料!$A386="","",原始資料!$A386)</f>
        <v/>
      </c>
      <c r="B386" s="12">
        <f>IF(原始資料!$A386="","",MAX(連續計數!B386:BI386))</f>
        <v/>
      </c>
      <c r="C386" s="12">
        <f>IF(OR(原始資料!$A386="",設定!$B$4=""),"",IF(原始資料!$C386&lt;&gt;設定!$B$4,"是",""))</f>
        <v/>
      </c>
      <c r="D386" s="12">
        <f>IF(OR(原始資料!$A386="",設定!$B$5=""),"",IF(原始資料!$B386&lt;設定!$B$5,"是",""))</f>
        <v/>
      </c>
      <c r="E386" s="12">
        <f>IF(OR(原始資料!$A386="",設定!$B$6=""),"",IF(B386&gt;=設定!$B$6,"是",""))</f>
        <v/>
      </c>
      <c r="F386" s="13" t="n"/>
      <c r="G386" s="12">
        <f>IF(原始資料!$A386="","",IF(OR(C386="是",D386="是",E386="是",F386="是"),"剔除","保留"))</f>
        <v/>
      </c>
      <c r="H386" s="12">
        <f>IF(G386="保留",COUNTIF($G$2:G386,"保留"),"")</f>
        <v/>
      </c>
    </row>
    <row r="387">
      <c r="A387" s="12">
        <f>IF(原始資料!$A387="","",原始資料!$A387)</f>
        <v/>
      </c>
      <c r="B387" s="12">
        <f>IF(原始資料!$A387="","",MAX(連續計數!B387:BI387))</f>
        <v/>
      </c>
      <c r="C387" s="12">
        <f>IF(OR(原始資料!$A387="",設定!$B$4=""),"",IF(原始資料!$C387&lt;&gt;設定!$B$4,"是",""))</f>
        <v/>
      </c>
      <c r="D387" s="12">
        <f>IF(OR(原始資料!$A387="",設定!$B$5=""),"",IF(原始資料!$B387&lt;設定!$B$5,"是",""))</f>
        <v/>
      </c>
      <c r="E387" s="12">
        <f>IF(OR(原始資料!$A387="",設定!$B$6=""),"",IF(B387&gt;=設定!$B$6,"是",""))</f>
        <v/>
      </c>
      <c r="F387" s="13" t="n"/>
      <c r="G387" s="12">
        <f>IF(原始資料!$A387="","",IF(OR(C387="是",D387="是",E387="是",F387="是"),"剔除","保留"))</f>
        <v/>
      </c>
      <c r="H387" s="12">
        <f>IF(G387="保留",COUNTIF($G$2:G387,"保留"),"")</f>
        <v/>
      </c>
    </row>
    <row r="388">
      <c r="A388" s="12">
        <f>IF(原始資料!$A388="","",原始資料!$A388)</f>
        <v/>
      </c>
      <c r="B388" s="12">
        <f>IF(原始資料!$A388="","",MAX(連續計數!B388:BI388))</f>
        <v/>
      </c>
      <c r="C388" s="12">
        <f>IF(OR(原始資料!$A388="",設定!$B$4=""),"",IF(原始資料!$C388&lt;&gt;設定!$B$4,"是",""))</f>
        <v/>
      </c>
      <c r="D388" s="12">
        <f>IF(OR(原始資料!$A388="",設定!$B$5=""),"",IF(原始資料!$B388&lt;設定!$B$5,"是",""))</f>
        <v/>
      </c>
      <c r="E388" s="12">
        <f>IF(OR(原始資料!$A388="",設定!$B$6=""),"",IF(B388&gt;=設定!$B$6,"是",""))</f>
        <v/>
      </c>
      <c r="F388" s="13" t="n"/>
      <c r="G388" s="12">
        <f>IF(原始資料!$A388="","",IF(OR(C388="是",D388="是",E388="是",F388="是"),"剔除","保留"))</f>
        <v/>
      </c>
      <c r="H388" s="12">
        <f>IF(G388="保留",COUNTIF($G$2:G388,"保留"),"")</f>
        <v/>
      </c>
    </row>
    <row r="389">
      <c r="A389" s="12">
        <f>IF(原始資料!$A389="","",原始資料!$A389)</f>
        <v/>
      </c>
      <c r="B389" s="12">
        <f>IF(原始資料!$A389="","",MAX(連續計數!B389:BI389))</f>
        <v/>
      </c>
      <c r="C389" s="12">
        <f>IF(OR(原始資料!$A389="",設定!$B$4=""),"",IF(原始資料!$C389&lt;&gt;設定!$B$4,"是",""))</f>
        <v/>
      </c>
      <c r="D389" s="12">
        <f>IF(OR(原始資料!$A389="",設定!$B$5=""),"",IF(原始資料!$B389&lt;設定!$B$5,"是",""))</f>
        <v/>
      </c>
      <c r="E389" s="12">
        <f>IF(OR(原始資料!$A389="",設定!$B$6=""),"",IF(B389&gt;=設定!$B$6,"是",""))</f>
        <v/>
      </c>
      <c r="F389" s="13" t="n"/>
      <c r="G389" s="12">
        <f>IF(原始資料!$A389="","",IF(OR(C389="是",D389="是",E389="是",F389="是"),"剔除","保留"))</f>
        <v/>
      </c>
      <c r="H389" s="12">
        <f>IF(G389="保留",COUNTIF($G$2:G389,"保留"),"")</f>
        <v/>
      </c>
    </row>
    <row r="390">
      <c r="A390" s="12">
        <f>IF(原始資料!$A390="","",原始資料!$A390)</f>
        <v/>
      </c>
      <c r="B390" s="12">
        <f>IF(原始資料!$A390="","",MAX(連續計數!B390:BI390))</f>
        <v/>
      </c>
      <c r="C390" s="12">
        <f>IF(OR(原始資料!$A390="",設定!$B$4=""),"",IF(原始資料!$C390&lt;&gt;設定!$B$4,"是",""))</f>
        <v/>
      </c>
      <c r="D390" s="12">
        <f>IF(OR(原始資料!$A390="",設定!$B$5=""),"",IF(原始資料!$B390&lt;設定!$B$5,"是",""))</f>
        <v/>
      </c>
      <c r="E390" s="12">
        <f>IF(OR(原始資料!$A390="",設定!$B$6=""),"",IF(B390&gt;=設定!$B$6,"是",""))</f>
        <v/>
      </c>
      <c r="F390" s="13" t="n"/>
      <c r="G390" s="12">
        <f>IF(原始資料!$A390="","",IF(OR(C390="是",D390="是",E390="是",F390="是"),"剔除","保留"))</f>
        <v/>
      </c>
      <c r="H390" s="12">
        <f>IF(G390="保留",COUNTIF($G$2:G390,"保留"),"")</f>
        <v/>
      </c>
    </row>
    <row r="391">
      <c r="A391" s="12">
        <f>IF(原始資料!$A391="","",原始資料!$A391)</f>
        <v/>
      </c>
      <c r="B391" s="12">
        <f>IF(原始資料!$A391="","",MAX(連續計數!B391:BI391))</f>
        <v/>
      </c>
      <c r="C391" s="12">
        <f>IF(OR(原始資料!$A391="",設定!$B$4=""),"",IF(原始資料!$C391&lt;&gt;設定!$B$4,"是",""))</f>
        <v/>
      </c>
      <c r="D391" s="12">
        <f>IF(OR(原始資料!$A391="",設定!$B$5=""),"",IF(原始資料!$B391&lt;設定!$B$5,"是",""))</f>
        <v/>
      </c>
      <c r="E391" s="12">
        <f>IF(OR(原始資料!$A391="",設定!$B$6=""),"",IF(B391&gt;=設定!$B$6,"是",""))</f>
        <v/>
      </c>
      <c r="F391" s="13" t="n"/>
      <c r="G391" s="12">
        <f>IF(原始資料!$A391="","",IF(OR(C391="是",D391="是",E391="是",F391="是"),"剔除","保留"))</f>
        <v/>
      </c>
      <c r="H391" s="12">
        <f>IF(G391="保留",COUNTIF($G$2:G391,"保留"),"")</f>
        <v/>
      </c>
    </row>
    <row r="392">
      <c r="A392" s="12">
        <f>IF(原始資料!$A392="","",原始資料!$A392)</f>
        <v/>
      </c>
      <c r="B392" s="12">
        <f>IF(原始資料!$A392="","",MAX(連續計數!B392:BI392))</f>
        <v/>
      </c>
      <c r="C392" s="12">
        <f>IF(OR(原始資料!$A392="",設定!$B$4=""),"",IF(原始資料!$C392&lt;&gt;設定!$B$4,"是",""))</f>
        <v/>
      </c>
      <c r="D392" s="12">
        <f>IF(OR(原始資料!$A392="",設定!$B$5=""),"",IF(原始資料!$B392&lt;設定!$B$5,"是",""))</f>
        <v/>
      </c>
      <c r="E392" s="12">
        <f>IF(OR(原始資料!$A392="",設定!$B$6=""),"",IF(B392&gt;=設定!$B$6,"是",""))</f>
        <v/>
      </c>
      <c r="F392" s="13" t="n"/>
      <c r="G392" s="12">
        <f>IF(原始資料!$A392="","",IF(OR(C392="是",D392="是",E392="是",F392="是"),"剔除","保留"))</f>
        <v/>
      </c>
      <c r="H392" s="12">
        <f>IF(G392="保留",COUNTIF($G$2:G392,"保留"),"")</f>
        <v/>
      </c>
    </row>
    <row r="393">
      <c r="A393" s="12">
        <f>IF(原始資料!$A393="","",原始資料!$A393)</f>
        <v/>
      </c>
      <c r="B393" s="12">
        <f>IF(原始資料!$A393="","",MAX(連續計數!B393:BI393))</f>
        <v/>
      </c>
      <c r="C393" s="12">
        <f>IF(OR(原始資料!$A393="",設定!$B$4=""),"",IF(原始資料!$C393&lt;&gt;設定!$B$4,"是",""))</f>
        <v/>
      </c>
      <c r="D393" s="12">
        <f>IF(OR(原始資料!$A393="",設定!$B$5=""),"",IF(原始資料!$B393&lt;設定!$B$5,"是",""))</f>
        <v/>
      </c>
      <c r="E393" s="12">
        <f>IF(OR(原始資料!$A393="",設定!$B$6=""),"",IF(B393&gt;=設定!$B$6,"是",""))</f>
        <v/>
      </c>
      <c r="F393" s="13" t="n"/>
      <c r="G393" s="12">
        <f>IF(原始資料!$A393="","",IF(OR(C393="是",D393="是",E393="是",F393="是"),"剔除","保留"))</f>
        <v/>
      </c>
      <c r="H393" s="12">
        <f>IF(G393="保留",COUNTIF($G$2:G393,"保留"),"")</f>
        <v/>
      </c>
    </row>
    <row r="394">
      <c r="A394" s="12">
        <f>IF(原始資料!$A394="","",原始資料!$A394)</f>
        <v/>
      </c>
      <c r="B394" s="12">
        <f>IF(原始資料!$A394="","",MAX(連續計數!B394:BI394))</f>
        <v/>
      </c>
      <c r="C394" s="12">
        <f>IF(OR(原始資料!$A394="",設定!$B$4=""),"",IF(原始資料!$C394&lt;&gt;設定!$B$4,"是",""))</f>
        <v/>
      </c>
      <c r="D394" s="12">
        <f>IF(OR(原始資料!$A394="",設定!$B$5=""),"",IF(原始資料!$B394&lt;設定!$B$5,"是",""))</f>
        <v/>
      </c>
      <c r="E394" s="12">
        <f>IF(OR(原始資料!$A394="",設定!$B$6=""),"",IF(B394&gt;=設定!$B$6,"是",""))</f>
        <v/>
      </c>
      <c r="F394" s="13" t="n"/>
      <c r="G394" s="12">
        <f>IF(原始資料!$A394="","",IF(OR(C394="是",D394="是",E394="是",F394="是"),"剔除","保留"))</f>
        <v/>
      </c>
      <c r="H394" s="12">
        <f>IF(G394="保留",COUNTIF($G$2:G394,"保留"),"")</f>
        <v/>
      </c>
    </row>
    <row r="395">
      <c r="A395" s="12">
        <f>IF(原始資料!$A395="","",原始資料!$A395)</f>
        <v/>
      </c>
      <c r="B395" s="12">
        <f>IF(原始資料!$A395="","",MAX(連續計數!B395:BI395))</f>
        <v/>
      </c>
      <c r="C395" s="12">
        <f>IF(OR(原始資料!$A395="",設定!$B$4=""),"",IF(原始資料!$C395&lt;&gt;設定!$B$4,"是",""))</f>
        <v/>
      </c>
      <c r="D395" s="12">
        <f>IF(OR(原始資料!$A395="",設定!$B$5=""),"",IF(原始資料!$B395&lt;設定!$B$5,"是",""))</f>
        <v/>
      </c>
      <c r="E395" s="12">
        <f>IF(OR(原始資料!$A395="",設定!$B$6=""),"",IF(B395&gt;=設定!$B$6,"是",""))</f>
        <v/>
      </c>
      <c r="F395" s="13" t="n"/>
      <c r="G395" s="12">
        <f>IF(原始資料!$A395="","",IF(OR(C395="是",D395="是",E395="是",F395="是"),"剔除","保留"))</f>
        <v/>
      </c>
      <c r="H395" s="12">
        <f>IF(G395="保留",COUNTIF($G$2:G395,"保留"),"")</f>
        <v/>
      </c>
    </row>
    <row r="396">
      <c r="A396" s="12">
        <f>IF(原始資料!$A396="","",原始資料!$A396)</f>
        <v/>
      </c>
      <c r="B396" s="12">
        <f>IF(原始資料!$A396="","",MAX(連續計數!B396:BI396))</f>
        <v/>
      </c>
      <c r="C396" s="12">
        <f>IF(OR(原始資料!$A396="",設定!$B$4=""),"",IF(原始資料!$C396&lt;&gt;設定!$B$4,"是",""))</f>
        <v/>
      </c>
      <c r="D396" s="12">
        <f>IF(OR(原始資料!$A396="",設定!$B$5=""),"",IF(原始資料!$B396&lt;設定!$B$5,"是",""))</f>
        <v/>
      </c>
      <c r="E396" s="12">
        <f>IF(OR(原始資料!$A396="",設定!$B$6=""),"",IF(B396&gt;=設定!$B$6,"是",""))</f>
        <v/>
      </c>
      <c r="F396" s="13" t="n"/>
      <c r="G396" s="12">
        <f>IF(原始資料!$A396="","",IF(OR(C396="是",D396="是",E396="是",F396="是"),"剔除","保留"))</f>
        <v/>
      </c>
      <c r="H396" s="12">
        <f>IF(G396="保留",COUNTIF($G$2:G396,"保留"),"")</f>
        <v/>
      </c>
    </row>
    <row r="397">
      <c r="A397" s="12">
        <f>IF(原始資料!$A397="","",原始資料!$A397)</f>
        <v/>
      </c>
      <c r="B397" s="12">
        <f>IF(原始資料!$A397="","",MAX(連續計數!B397:BI397))</f>
        <v/>
      </c>
      <c r="C397" s="12">
        <f>IF(OR(原始資料!$A397="",設定!$B$4=""),"",IF(原始資料!$C397&lt;&gt;設定!$B$4,"是",""))</f>
        <v/>
      </c>
      <c r="D397" s="12">
        <f>IF(OR(原始資料!$A397="",設定!$B$5=""),"",IF(原始資料!$B397&lt;設定!$B$5,"是",""))</f>
        <v/>
      </c>
      <c r="E397" s="12">
        <f>IF(OR(原始資料!$A397="",設定!$B$6=""),"",IF(B397&gt;=設定!$B$6,"是",""))</f>
        <v/>
      </c>
      <c r="F397" s="13" t="n"/>
      <c r="G397" s="12">
        <f>IF(原始資料!$A397="","",IF(OR(C397="是",D397="是",E397="是",F397="是"),"剔除","保留"))</f>
        <v/>
      </c>
      <c r="H397" s="12">
        <f>IF(G397="保留",COUNTIF($G$2:G397,"保留"),"")</f>
        <v/>
      </c>
    </row>
    <row r="398">
      <c r="A398" s="12">
        <f>IF(原始資料!$A398="","",原始資料!$A398)</f>
        <v/>
      </c>
      <c r="B398" s="12">
        <f>IF(原始資料!$A398="","",MAX(連續計數!B398:BI398))</f>
        <v/>
      </c>
      <c r="C398" s="12">
        <f>IF(OR(原始資料!$A398="",設定!$B$4=""),"",IF(原始資料!$C398&lt;&gt;設定!$B$4,"是",""))</f>
        <v/>
      </c>
      <c r="D398" s="12">
        <f>IF(OR(原始資料!$A398="",設定!$B$5=""),"",IF(原始資料!$B398&lt;設定!$B$5,"是",""))</f>
        <v/>
      </c>
      <c r="E398" s="12">
        <f>IF(OR(原始資料!$A398="",設定!$B$6=""),"",IF(B398&gt;=設定!$B$6,"是",""))</f>
        <v/>
      </c>
      <c r="F398" s="13" t="n"/>
      <c r="G398" s="12">
        <f>IF(原始資料!$A398="","",IF(OR(C398="是",D398="是",E398="是",F398="是"),"剔除","保留"))</f>
        <v/>
      </c>
      <c r="H398" s="12">
        <f>IF(G398="保留",COUNTIF($G$2:G398,"保留"),"")</f>
        <v/>
      </c>
    </row>
    <row r="399">
      <c r="A399" s="12">
        <f>IF(原始資料!$A399="","",原始資料!$A399)</f>
        <v/>
      </c>
      <c r="B399" s="12">
        <f>IF(原始資料!$A399="","",MAX(連續計數!B399:BI399))</f>
        <v/>
      </c>
      <c r="C399" s="12">
        <f>IF(OR(原始資料!$A399="",設定!$B$4=""),"",IF(原始資料!$C399&lt;&gt;設定!$B$4,"是",""))</f>
        <v/>
      </c>
      <c r="D399" s="12">
        <f>IF(OR(原始資料!$A399="",設定!$B$5=""),"",IF(原始資料!$B399&lt;設定!$B$5,"是",""))</f>
        <v/>
      </c>
      <c r="E399" s="12">
        <f>IF(OR(原始資料!$A399="",設定!$B$6=""),"",IF(B399&gt;=設定!$B$6,"是",""))</f>
        <v/>
      </c>
      <c r="F399" s="13" t="n"/>
      <c r="G399" s="12">
        <f>IF(原始資料!$A399="","",IF(OR(C399="是",D399="是",E399="是",F399="是"),"剔除","保留"))</f>
        <v/>
      </c>
      <c r="H399" s="12">
        <f>IF(G399="保留",COUNTIF($G$2:G399,"保留"),"")</f>
        <v/>
      </c>
    </row>
    <row r="400">
      <c r="A400" s="12">
        <f>IF(原始資料!$A400="","",原始資料!$A400)</f>
        <v/>
      </c>
      <c r="B400" s="12">
        <f>IF(原始資料!$A400="","",MAX(連續計數!B400:BI400))</f>
        <v/>
      </c>
      <c r="C400" s="12">
        <f>IF(OR(原始資料!$A400="",設定!$B$4=""),"",IF(原始資料!$C400&lt;&gt;設定!$B$4,"是",""))</f>
        <v/>
      </c>
      <c r="D400" s="12">
        <f>IF(OR(原始資料!$A400="",設定!$B$5=""),"",IF(原始資料!$B400&lt;設定!$B$5,"是",""))</f>
        <v/>
      </c>
      <c r="E400" s="12">
        <f>IF(OR(原始資料!$A400="",設定!$B$6=""),"",IF(B400&gt;=設定!$B$6,"是",""))</f>
        <v/>
      </c>
      <c r="F400" s="13" t="n"/>
      <c r="G400" s="12">
        <f>IF(原始資料!$A400="","",IF(OR(C400="是",D400="是",E400="是",F400="是"),"剔除","保留"))</f>
        <v/>
      </c>
      <c r="H400" s="12">
        <f>IF(G400="保留",COUNTIF($G$2:G400,"保留"),"")</f>
        <v/>
      </c>
    </row>
    <row r="401">
      <c r="A401" s="12">
        <f>IF(原始資料!$A401="","",原始資料!$A401)</f>
        <v/>
      </c>
      <c r="B401" s="12">
        <f>IF(原始資料!$A401="","",MAX(連續計數!B401:BI401))</f>
        <v/>
      </c>
      <c r="C401" s="12">
        <f>IF(OR(原始資料!$A401="",設定!$B$4=""),"",IF(原始資料!$C401&lt;&gt;設定!$B$4,"是",""))</f>
        <v/>
      </c>
      <c r="D401" s="12">
        <f>IF(OR(原始資料!$A401="",設定!$B$5=""),"",IF(原始資料!$B401&lt;設定!$B$5,"是",""))</f>
        <v/>
      </c>
      <c r="E401" s="12">
        <f>IF(OR(原始資料!$A401="",設定!$B$6=""),"",IF(B401&gt;=設定!$B$6,"是",""))</f>
        <v/>
      </c>
      <c r="F401" s="13" t="n"/>
      <c r="G401" s="12">
        <f>IF(原始資料!$A401="","",IF(OR(C401="是",D401="是",E401="是",F401="是"),"剔除","保留"))</f>
        <v/>
      </c>
      <c r="H401" s="12">
        <f>IF(G401="保留",COUNTIF($G$2:G401,"保留"),"")</f>
        <v/>
      </c>
    </row>
    <row r="402">
      <c r="A402" s="12">
        <f>IF(原始資料!$A402="","",原始資料!$A402)</f>
        <v/>
      </c>
      <c r="B402" s="12">
        <f>IF(原始資料!$A402="","",MAX(連續計數!B402:BI402))</f>
        <v/>
      </c>
      <c r="C402" s="12">
        <f>IF(OR(原始資料!$A402="",設定!$B$4=""),"",IF(原始資料!$C402&lt;&gt;設定!$B$4,"是",""))</f>
        <v/>
      </c>
      <c r="D402" s="12">
        <f>IF(OR(原始資料!$A402="",設定!$B$5=""),"",IF(原始資料!$B402&lt;設定!$B$5,"是",""))</f>
        <v/>
      </c>
      <c r="E402" s="12">
        <f>IF(OR(原始資料!$A402="",設定!$B$6=""),"",IF(B402&gt;=設定!$B$6,"是",""))</f>
        <v/>
      </c>
      <c r="F402" s="13" t="n"/>
      <c r="G402" s="12">
        <f>IF(原始資料!$A402="","",IF(OR(C402="是",D402="是",E402="是",F402="是"),"剔除","保留"))</f>
        <v/>
      </c>
      <c r="H402" s="12">
        <f>IF(G402="保留",COUNTIF($G$2:G402,"保留"),"")</f>
        <v/>
      </c>
    </row>
    <row r="403">
      <c r="A403" s="12">
        <f>IF(原始資料!$A403="","",原始資料!$A403)</f>
        <v/>
      </c>
      <c r="B403" s="12">
        <f>IF(原始資料!$A403="","",MAX(連續計數!B403:BI403))</f>
        <v/>
      </c>
      <c r="C403" s="12">
        <f>IF(OR(原始資料!$A403="",設定!$B$4=""),"",IF(原始資料!$C403&lt;&gt;設定!$B$4,"是",""))</f>
        <v/>
      </c>
      <c r="D403" s="12">
        <f>IF(OR(原始資料!$A403="",設定!$B$5=""),"",IF(原始資料!$B403&lt;設定!$B$5,"是",""))</f>
        <v/>
      </c>
      <c r="E403" s="12">
        <f>IF(OR(原始資料!$A403="",設定!$B$6=""),"",IF(B403&gt;=設定!$B$6,"是",""))</f>
        <v/>
      </c>
      <c r="F403" s="13" t="n"/>
      <c r="G403" s="12">
        <f>IF(原始資料!$A403="","",IF(OR(C403="是",D403="是",E403="是",F403="是"),"剔除","保留"))</f>
        <v/>
      </c>
      <c r="H403" s="12">
        <f>IF(G403="保留",COUNTIF($G$2:G403,"保留"),"")</f>
        <v/>
      </c>
    </row>
    <row r="404">
      <c r="A404" s="12">
        <f>IF(原始資料!$A404="","",原始資料!$A404)</f>
        <v/>
      </c>
      <c r="B404" s="12">
        <f>IF(原始資料!$A404="","",MAX(連續計數!B404:BI404))</f>
        <v/>
      </c>
      <c r="C404" s="12">
        <f>IF(OR(原始資料!$A404="",設定!$B$4=""),"",IF(原始資料!$C404&lt;&gt;設定!$B$4,"是",""))</f>
        <v/>
      </c>
      <c r="D404" s="12">
        <f>IF(OR(原始資料!$A404="",設定!$B$5=""),"",IF(原始資料!$B404&lt;設定!$B$5,"是",""))</f>
        <v/>
      </c>
      <c r="E404" s="12">
        <f>IF(OR(原始資料!$A404="",設定!$B$6=""),"",IF(B404&gt;=設定!$B$6,"是",""))</f>
        <v/>
      </c>
      <c r="F404" s="13" t="n"/>
      <c r="G404" s="12">
        <f>IF(原始資料!$A404="","",IF(OR(C404="是",D404="是",E404="是",F404="是"),"剔除","保留"))</f>
        <v/>
      </c>
      <c r="H404" s="12">
        <f>IF(G404="保留",COUNTIF($G$2:G404,"保留"),"")</f>
        <v/>
      </c>
    </row>
    <row r="405">
      <c r="A405" s="12">
        <f>IF(原始資料!$A405="","",原始資料!$A405)</f>
        <v/>
      </c>
      <c r="B405" s="12">
        <f>IF(原始資料!$A405="","",MAX(連續計數!B405:BI405))</f>
        <v/>
      </c>
      <c r="C405" s="12">
        <f>IF(OR(原始資料!$A405="",設定!$B$4=""),"",IF(原始資料!$C405&lt;&gt;設定!$B$4,"是",""))</f>
        <v/>
      </c>
      <c r="D405" s="12">
        <f>IF(OR(原始資料!$A405="",設定!$B$5=""),"",IF(原始資料!$B405&lt;設定!$B$5,"是",""))</f>
        <v/>
      </c>
      <c r="E405" s="12">
        <f>IF(OR(原始資料!$A405="",設定!$B$6=""),"",IF(B405&gt;=設定!$B$6,"是",""))</f>
        <v/>
      </c>
      <c r="F405" s="13" t="n"/>
      <c r="G405" s="12">
        <f>IF(原始資料!$A405="","",IF(OR(C405="是",D405="是",E405="是",F405="是"),"剔除","保留"))</f>
        <v/>
      </c>
      <c r="H405" s="12">
        <f>IF(G405="保留",COUNTIF($G$2:G405,"保留"),"")</f>
        <v/>
      </c>
    </row>
    <row r="406">
      <c r="A406" s="12">
        <f>IF(原始資料!$A406="","",原始資料!$A406)</f>
        <v/>
      </c>
      <c r="B406" s="12">
        <f>IF(原始資料!$A406="","",MAX(連續計數!B406:BI406))</f>
        <v/>
      </c>
      <c r="C406" s="12">
        <f>IF(OR(原始資料!$A406="",設定!$B$4=""),"",IF(原始資料!$C406&lt;&gt;設定!$B$4,"是",""))</f>
        <v/>
      </c>
      <c r="D406" s="12">
        <f>IF(OR(原始資料!$A406="",設定!$B$5=""),"",IF(原始資料!$B406&lt;設定!$B$5,"是",""))</f>
        <v/>
      </c>
      <c r="E406" s="12">
        <f>IF(OR(原始資料!$A406="",設定!$B$6=""),"",IF(B406&gt;=設定!$B$6,"是",""))</f>
        <v/>
      </c>
      <c r="F406" s="13" t="n"/>
      <c r="G406" s="12">
        <f>IF(原始資料!$A406="","",IF(OR(C406="是",D406="是",E406="是",F406="是"),"剔除","保留"))</f>
        <v/>
      </c>
      <c r="H406" s="12">
        <f>IF(G406="保留",COUNTIF($G$2:G406,"保留"),"")</f>
        <v/>
      </c>
    </row>
    <row r="407">
      <c r="A407" s="12">
        <f>IF(原始資料!$A407="","",原始資料!$A407)</f>
        <v/>
      </c>
      <c r="B407" s="12">
        <f>IF(原始資料!$A407="","",MAX(連續計數!B407:BI407))</f>
        <v/>
      </c>
      <c r="C407" s="12">
        <f>IF(OR(原始資料!$A407="",設定!$B$4=""),"",IF(原始資料!$C407&lt;&gt;設定!$B$4,"是",""))</f>
        <v/>
      </c>
      <c r="D407" s="12">
        <f>IF(OR(原始資料!$A407="",設定!$B$5=""),"",IF(原始資料!$B407&lt;設定!$B$5,"是",""))</f>
        <v/>
      </c>
      <c r="E407" s="12">
        <f>IF(OR(原始資料!$A407="",設定!$B$6=""),"",IF(B407&gt;=設定!$B$6,"是",""))</f>
        <v/>
      </c>
      <c r="F407" s="13" t="n"/>
      <c r="G407" s="12">
        <f>IF(原始資料!$A407="","",IF(OR(C407="是",D407="是",E407="是",F407="是"),"剔除","保留"))</f>
        <v/>
      </c>
      <c r="H407" s="12">
        <f>IF(G407="保留",COUNTIF($G$2:G407,"保留"),"")</f>
        <v/>
      </c>
    </row>
    <row r="408">
      <c r="A408" s="12">
        <f>IF(原始資料!$A408="","",原始資料!$A408)</f>
        <v/>
      </c>
      <c r="B408" s="12">
        <f>IF(原始資料!$A408="","",MAX(連續計數!B408:BI408))</f>
        <v/>
      </c>
      <c r="C408" s="12">
        <f>IF(OR(原始資料!$A408="",設定!$B$4=""),"",IF(原始資料!$C408&lt;&gt;設定!$B$4,"是",""))</f>
        <v/>
      </c>
      <c r="D408" s="12">
        <f>IF(OR(原始資料!$A408="",設定!$B$5=""),"",IF(原始資料!$B408&lt;設定!$B$5,"是",""))</f>
        <v/>
      </c>
      <c r="E408" s="12">
        <f>IF(OR(原始資料!$A408="",設定!$B$6=""),"",IF(B408&gt;=設定!$B$6,"是",""))</f>
        <v/>
      </c>
      <c r="F408" s="13" t="n"/>
      <c r="G408" s="12">
        <f>IF(原始資料!$A408="","",IF(OR(C408="是",D408="是",E408="是",F408="是"),"剔除","保留"))</f>
        <v/>
      </c>
      <c r="H408" s="12">
        <f>IF(G408="保留",COUNTIF($G$2:G408,"保留"),"")</f>
        <v/>
      </c>
    </row>
    <row r="409">
      <c r="A409" s="12">
        <f>IF(原始資料!$A409="","",原始資料!$A409)</f>
        <v/>
      </c>
      <c r="B409" s="12">
        <f>IF(原始資料!$A409="","",MAX(連續計數!B409:BI409))</f>
        <v/>
      </c>
      <c r="C409" s="12">
        <f>IF(OR(原始資料!$A409="",設定!$B$4=""),"",IF(原始資料!$C409&lt;&gt;設定!$B$4,"是",""))</f>
        <v/>
      </c>
      <c r="D409" s="12">
        <f>IF(OR(原始資料!$A409="",設定!$B$5=""),"",IF(原始資料!$B409&lt;設定!$B$5,"是",""))</f>
        <v/>
      </c>
      <c r="E409" s="12">
        <f>IF(OR(原始資料!$A409="",設定!$B$6=""),"",IF(B409&gt;=設定!$B$6,"是",""))</f>
        <v/>
      </c>
      <c r="F409" s="13" t="n"/>
      <c r="G409" s="12">
        <f>IF(原始資料!$A409="","",IF(OR(C409="是",D409="是",E409="是",F409="是"),"剔除","保留"))</f>
        <v/>
      </c>
      <c r="H409" s="12">
        <f>IF(G409="保留",COUNTIF($G$2:G409,"保留"),"")</f>
        <v/>
      </c>
    </row>
    <row r="410">
      <c r="A410" s="12">
        <f>IF(原始資料!$A410="","",原始資料!$A410)</f>
        <v/>
      </c>
      <c r="B410" s="12">
        <f>IF(原始資料!$A410="","",MAX(連續計數!B410:BI410))</f>
        <v/>
      </c>
      <c r="C410" s="12">
        <f>IF(OR(原始資料!$A410="",設定!$B$4=""),"",IF(原始資料!$C410&lt;&gt;設定!$B$4,"是",""))</f>
        <v/>
      </c>
      <c r="D410" s="12">
        <f>IF(OR(原始資料!$A410="",設定!$B$5=""),"",IF(原始資料!$B410&lt;設定!$B$5,"是",""))</f>
        <v/>
      </c>
      <c r="E410" s="12">
        <f>IF(OR(原始資料!$A410="",設定!$B$6=""),"",IF(B410&gt;=設定!$B$6,"是",""))</f>
        <v/>
      </c>
      <c r="F410" s="13" t="n"/>
      <c r="G410" s="12">
        <f>IF(原始資料!$A410="","",IF(OR(C410="是",D410="是",E410="是",F410="是"),"剔除","保留"))</f>
        <v/>
      </c>
      <c r="H410" s="12">
        <f>IF(G410="保留",COUNTIF($G$2:G410,"保留"),"")</f>
        <v/>
      </c>
    </row>
    <row r="411">
      <c r="A411" s="12">
        <f>IF(原始資料!$A411="","",原始資料!$A411)</f>
        <v/>
      </c>
      <c r="B411" s="12">
        <f>IF(原始資料!$A411="","",MAX(連續計數!B411:BI411))</f>
        <v/>
      </c>
      <c r="C411" s="12">
        <f>IF(OR(原始資料!$A411="",設定!$B$4=""),"",IF(原始資料!$C411&lt;&gt;設定!$B$4,"是",""))</f>
        <v/>
      </c>
      <c r="D411" s="12">
        <f>IF(OR(原始資料!$A411="",設定!$B$5=""),"",IF(原始資料!$B411&lt;設定!$B$5,"是",""))</f>
        <v/>
      </c>
      <c r="E411" s="12">
        <f>IF(OR(原始資料!$A411="",設定!$B$6=""),"",IF(B411&gt;=設定!$B$6,"是",""))</f>
        <v/>
      </c>
      <c r="F411" s="13" t="n"/>
      <c r="G411" s="12">
        <f>IF(原始資料!$A411="","",IF(OR(C411="是",D411="是",E411="是",F411="是"),"剔除","保留"))</f>
        <v/>
      </c>
      <c r="H411" s="12">
        <f>IF(G411="保留",COUNTIF($G$2:G411,"保留"),"")</f>
        <v/>
      </c>
    </row>
    <row r="412">
      <c r="A412" s="12">
        <f>IF(原始資料!$A412="","",原始資料!$A412)</f>
        <v/>
      </c>
      <c r="B412" s="12">
        <f>IF(原始資料!$A412="","",MAX(連續計數!B412:BI412))</f>
        <v/>
      </c>
      <c r="C412" s="12">
        <f>IF(OR(原始資料!$A412="",設定!$B$4=""),"",IF(原始資料!$C412&lt;&gt;設定!$B$4,"是",""))</f>
        <v/>
      </c>
      <c r="D412" s="12">
        <f>IF(OR(原始資料!$A412="",設定!$B$5=""),"",IF(原始資料!$B412&lt;設定!$B$5,"是",""))</f>
        <v/>
      </c>
      <c r="E412" s="12">
        <f>IF(OR(原始資料!$A412="",設定!$B$6=""),"",IF(B412&gt;=設定!$B$6,"是",""))</f>
        <v/>
      </c>
      <c r="F412" s="13" t="n"/>
      <c r="G412" s="12">
        <f>IF(原始資料!$A412="","",IF(OR(C412="是",D412="是",E412="是",F412="是"),"剔除","保留"))</f>
        <v/>
      </c>
      <c r="H412" s="12">
        <f>IF(G412="保留",COUNTIF($G$2:G412,"保留"),"")</f>
        <v/>
      </c>
    </row>
    <row r="413">
      <c r="A413" s="12">
        <f>IF(原始資料!$A413="","",原始資料!$A413)</f>
        <v/>
      </c>
      <c r="B413" s="12">
        <f>IF(原始資料!$A413="","",MAX(連續計數!B413:BI413))</f>
        <v/>
      </c>
      <c r="C413" s="12">
        <f>IF(OR(原始資料!$A413="",設定!$B$4=""),"",IF(原始資料!$C413&lt;&gt;設定!$B$4,"是",""))</f>
        <v/>
      </c>
      <c r="D413" s="12">
        <f>IF(OR(原始資料!$A413="",設定!$B$5=""),"",IF(原始資料!$B413&lt;設定!$B$5,"是",""))</f>
        <v/>
      </c>
      <c r="E413" s="12">
        <f>IF(OR(原始資料!$A413="",設定!$B$6=""),"",IF(B413&gt;=設定!$B$6,"是",""))</f>
        <v/>
      </c>
      <c r="F413" s="13" t="n"/>
      <c r="G413" s="12">
        <f>IF(原始資料!$A413="","",IF(OR(C413="是",D413="是",E413="是",F413="是"),"剔除","保留"))</f>
        <v/>
      </c>
      <c r="H413" s="12">
        <f>IF(G413="保留",COUNTIF($G$2:G413,"保留"),"")</f>
        <v/>
      </c>
    </row>
    <row r="414">
      <c r="A414" s="12">
        <f>IF(原始資料!$A414="","",原始資料!$A414)</f>
        <v/>
      </c>
      <c r="B414" s="12">
        <f>IF(原始資料!$A414="","",MAX(連續計數!B414:BI414))</f>
        <v/>
      </c>
      <c r="C414" s="12">
        <f>IF(OR(原始資料!$A414="",設定!$B$4=""),"",IF(原始資料!$C414&lt;&gt;設定!$B$4,"是",""))</f>
        <v/>
      </c>
      <c r="D414" s="12">
        <f>IF(OR(原始資料!$A414="",設定!$B$5=""),"",IF(原始資料!$B414&lt;設定!$B$5,"是",""))</f>
        <v/>
      </c>
      <c r="E414" s="12">
        <f>IF(OR(原始資料!$A414="",設定!$B$6=""),"",IF(B414&gt;=設定!$B$6,"是",""))</f>
        <v/>
      </c>
      <c r="F414" s="13" t="n"/>
      <c r="G414" s="12">
        <f>IF(原始資料!$A414="","",IF(OR(C414="是",D414="是",E414="是",F414="是"),"剔除","保留"))</f>
        <v/>
      </c>
      <c r="H414" s="12">
        <f>IF(G414="保留",COUNTIF($G$2:G414,"保留"),"")</f>
        <v/>
      </c>
    </row>
    <row r="415">
      <c r="A415" s="12">
        <f>IF(原始資料!$A415="","",原始資料!$A415)</f>
        <v/>
      </c>
      <c r="B415" s="12">
        <f>IF(原始資料!$A415="","",MAX(連續計數!B415:BI415))</f>
        <v/>
      </c>
      <c r="C415" s="12">
        <f>IF(OR(原始資料!$A415="",設定!$B$4=""),"",IF(原始資料!$C415&lt;&gt;設定!$B$4,"是",""))</f>
        <v/>
      </c>
      <c r="D415" s="12">
        <f>IF(OR(原始資料!$A415="",設定!$B$5=""),"",IF(原始資料!$B415&lt;設定!$B$5,"是",""))</f>
        <v/>
      </c>
      <c r="E415" s="12">
        <f>IF(OR(原始資料!$A415="",設定!$B$6=""),"",IF(B415&gt;=設定!$B$6,"是",""))</f>
        <v/>
      </c>
      <c r="F415" s="13" t="n"/>
      <c r="G415" s="12">
        <f>IF(原始資料!$A415="","",IF(OR(C415="是",D415="是",E415="是",F415="是"),"剔除","保留"))</f>
        <v/>
      </c>
      <c r="H415" s="12">
        <f>IF(G415="保留",COUNTIF($G$2:G415,"保留"),"")</f>
        <v/>
      </c>
    </row>
    <row r="416">
      <c r="A416" s="12">
        <f>IF(原始資料!$A416="","",原始資料!$A416)</f>
        <v/>
      </c>
      <c r="B416" s="12">
        <f>IF(原始資料!$A416="","",MAX(連續計數!B416:BI416))</f>
        <v/>
      </c>
      <c r="C416" s="12">
        <f>IF(OR(原始資料!$A416="",設定!$B$4=""),"",IF(原始資料!$C416&lt;&gt;設定!$B$4,"是",""))</f>
        <v/>
      </c>
      <c r="D416" s="12">
        <f>IF(OR(原始資料!$A416="",設定!$B$5=""),"",IF(原始資料!$B416&lt;設定!$B$5,"是",""))</f>
        <v/>
      </c>
      <c r="E416" s="12">
        <f>IF(OR(原始資料!$A416="",設定!$B$6=""),"",IF(B416&gt;=設定!$B$6,"是",""))</f>
        <v/>
      </c>
      <c r="F416" s="13" t="n"/>
      <c r="G416" s="12">
        <f>IF(原始資料!$A416="","",IF(OR(C416="是",D416="是",E416="是",F416="是"),"剔除","保留"))</f>
        <v/>
      </c>
      <c r="H416" s="12">
        <f>IF(G416="保留",COUNTIF($G$2:G416,"保留"),"")</f>
        <v/>
      </c>
    </row>
    <row r="417">
      <c r="A417" s="12">
        <f>IF(原始資料!$A417="","",原始資料!$A417)</f>
        <v/>
      </c>
      <c r="B417" s="12">
        <f>IF(原始資料!$A417="","",MAX(連續計數!B417:BI417))</f>
        <v/>
      </c>
      <c r="C417" s="12">
        <f>IF(OR(原始資料!$A417="",設定!$B$4=""),"",IF(原始資料!$C417&lt;&gt;設定!$B$4,"是",""))</f>
        <v/>
      </c>
      <c r="D417" s="12">
        <f>IF(OR(原始資料!$A417="",設定!$B$5=""),"",IF(原始資料!$B417&lt;設定!$B$5,"是",""))</f>
        <v/>
      </c>
      <c r="E417" s="12">
        <f>IF(OR(原始資料!$A417="",設定!$B$6=""),"",IF(B417&gt;=設定!$B$6,"是",""))</f>
        <v/>
      </c>
      <c r="F417" s="13" t="n"/>
      <c r="G417" s="12">
        <f>IF(原始資料!$A417="","",IF(OR(C417="是",D417="是",E417="是",F417="是"),"剔除","保留"))</f>
        <v/>
      </c>
      <c r="H417" s="12">
        <f>IF(G417="保留",COUNTIF($G$2:G417,"保留"),"")</f>
        <v/>
      </c>
    </row>
    <row r="418">
      <c r="A418" s="12">
        <f>IF(原始資料!$A418="","",原始資料!$A418)</f>
        <v/>
      </c>
      <c r="B418" s="12">
        <f>IF(原始資料!$A418="","",MAX(連續計數!B418:BI418))</f>
        <v/>
      </c>
      <c r="C418" s="12">
        <f>IF(OR(原始資料!$A418="",設定!$B$4=""),"",IF(原始資料!$C418&lt;&gt;設定!$B$4,"是",""))</f>
        <v/>
      </c>
      <c r="D418" s="12">
        <f>IF(OR(原始資料!$A418="",設定!$B$5=""),"",IF(原始資料!$B418&lt;設定!$B$5,"是",""))</f>
        <v/>
      </c>
      <c r="E418" s="12">
        <f>IF(OR(原始資料!$A418="",設定!$B$6=""),"",IF(B418&gt;=設定!$B$6,"是",""))</f>
        <v/>
      </c>
      <c r="F418" s="13" t="n"/>
      <c r="G418" s="12">
        <f>IF(原始資料!$A418="","",IF(OR(C418="是",D418="是",E418="是",F418="是"),"剔除","保留"))</f>
        <v/>
      </c>
      <c r="H418" s="12">
        <f>IF(G418="保留",COUNTIF($G$2:G418,"保留"),"")</f>
        <v/>
      </c>
    </row>
    <row r="419">
      <c r="A419" s="12">
        <f>IF(原始資料!$A419="","",原始資料!$A419)</f>
        <v/>
      </c>
      <c r="B419" s="12">
        <f>IF(原始資料!$A419="","",MAX(連續計數!B419:BI419))</f>
        <v/>
      </c>
      <c r="C419" s="12">
        <f>IF(OR(原始資料!$A419="",設定!$B$4=""),"",IF(原始資料!$C419&lt;&gt;設定!$B$4,"是",""))</f>
        <v/>
      </c>
      <c r="D419" s="12">
        <f>IF(OR(原始資料!$A419="",設定!$B$5=""),"",IF(原始資料!$B419&lt;設定!$B$5,"是",""))</f>
        <v/>
      </c>
      <c r="E419" s="12">
        <f>IF(OR(原始資料!$A419="",設定!$B$6=""),"",IF(B419&gt;=設定!$B$6,"是",""))</f>
        <v/>
      </c>
      <c r="F419" s="13" t="n"/>
      <c r="G419" s="12">
        <f>IF(原始資料!$A419="","",IF(OR(C419="是",D419="是",E419="是",F419="是"),"剔除","保留"))</f>
        <v/>
      </c>
      <c r="H419" s="12">
        <f>IF(G419="保留",COUNTIF($G$2:G419,"保留"),"")</f>
        <v/>
      </c>
    </row>
    <row r="420">
      <c r="A420" s="12">
        <f>IF(原始資料!$A420="","",原始資料!$A420)</f>
        <v/>
      </c>
      <c r="B420" s="12">
        <f>IF(原始資料!$A420="","",MAX(連續計數!B420:BI420))</f>
        <v/>
      </c>
      <c r="C420" s="12">
        <f>IF(OR(原始資料!$A420="",設定!$B$4=""),"",IF(原始資料!$C420&lt;&gt;設定!$B$4,"是",""))</f>
        <v/>
      </c>
      <c r="D420" s="12">
        <f>IF(OR(原始資料!$A420="",設定!$B$5=""),"",IF(原始資料!$B420&lt;設定!$B$5,"是",""))</f>
        <v/>
      </c>
      <c r="E420" s="12">
        <f>IF(OR(原始資料!$A420="",設定!$B$6=""),"",IF(B420&gt;=設定!$B$6,"是",""))</f>
        <v/>
      </c>
      <c r="F420" s="13" t="n"/>
      <c r="G420" s="12">
        <f>IF(原始資料!$A420="","",IF(OR(C420="是",D420="是",E420="是",F420="是"),"剔除","保留"))</f>
        <v/>
      </c>
      <c r="H420" s="12">
        <f>IF(G420="保留",COUNTIF($G$2:G420,"保留"),"")</f>
        <v/>
      </c>
    </row>
    <row r="421">
      <c r="A421" s="12">
        <f>IF(原始資料!$A421="","",原始資料!$A421)</f>
        <v/>
      </c>
      <c r="B421" s="12">
        <f>IF(原始資料!$A421="","",MAX(連續計數!B421:BI421))</f>
        <v/>
      </c>
      <c r="C421" s="12">
        <f>IF(OR(原始資料!$A421="",設定!$B$4=""),"",IF(原始資料!$C421&lt;&gt;設定!$B$4,"是",""))</f>
        <v/>
      </c>
      <c r="D421" s="12">
        <f>IF(OR(原始資料!$A421="",設定!$B$5=""),"",IF(原始資料!$B421&lt;設定!$B$5,"是",""))</f>
        <v/>
      </c>
      <c r="E421" s="12">
        <f>IF(OR(原始資料!$A421="",設定!$B$6=""),"",IF(B421&gt;=設定!$B$6,"是",""))</f>
        <v/>
      </c>
      <c r="F421" s="13" t="n"/>
      <c r="G421" s="12">
        <f>IF(原始資料!$A421="","",IF(OR(C421="是",D421="是",E421="是",F421="是"),"剔除","保留"))</f>
        <v/>
      </c>
      <c r="H421" s="12">
        <f>IF(G421="保留",COUNTIF($G$2:G421,"保留"),"")</f>
        <v/>
      </c>
    </row>
    <row r="422">
      <c r="A422" s="12">
        <f>IF(原始資料!$A422="","",原始資料!$A422)</f>
        <v/>
      </c>
      <c r="B422" s="12">
        <f>IF(原始資料!$A422="","",MAX(連續計數!B422:BI422))</f>
        <v/>
      </c>
      <c r="C422" s="12">
        <f>IF(OR(原始資料!$A422="",設定!$B$4=""),"",IF(原始資料!$C422&lt;&gt;設定!$B$4,"是",""))</f>
        <v/>
      </c>
      <c r="D422" s="12">
        <f>IF(OR(原始資料!$A422="",設定!$B$5=""),"",IF(原始資料!$B422&lt;設定!$B$5,"是",""))</f>
        <v/>
      </c>
      <c r="E422" s="12">
        <f>IF(OR(原始資料!$A422="",設定!$B$6=""),"",IF(B422&gt;=設定!$B$6,"是",""))</f>
        <v/>
      </c>
      <c r="F422" s="13" t="n"/>
      <c r="G422" s="12">
        <f>IF(原始資料!$A422="","",IF(OR(C422="是",D422="是",E422="是",F422="是"),"剔除","保留"))</f>
        <v/>
      </c>
      <c r="H422" s="12">
        <f>IF(G422="保留",COUNTIF($G$2:G422,"保留"),"")</f>
        <v/>
      </c>
    </row>
    <row r="423">
      <c r="A423" s="12">
        <f>IF(原始資料!$A423="","",原始資料!$A423)</f>
        <v/>
      </c>
      <c r="B423" s="12">
        <f>IF(原始資料!$A423="","",MAX(連續計數!B423:BI423))</f>
        <v/>
      </c>
      <c r="C423" s="12">
        <f>IF(OR(原始資料!$A423="",設定!$B$4=""),"",IF(原始資料!$C423&lt;&gt;設定!$B$4,"是",""))</f>
        <v/>
      </c>
      <c r="D423" s="12">
        <f>IF(OR(原始資料!$A423="",設定!$B$5=""),"",IF(原始資料!$B423&lt;設定!$B$5,"是",""))</f>
        <v/>
      </c>
      <c r="E423" s="12">
        <f>IF(OR(原始資料!$A423="",設定!$B$6=""),"",IF(B423&gt;=設定!$B$6,"是",""))</f>
        <v/>
      </c>
      <c r="F423" s="13" t="n"/>
      <c r="G423" s="12">
        <f>IF(原始資料!$A423="","",IF(OR(C423="是",D423="是",E423="是",F423="是"),"剔除","保留"))</f>
        <v/>
      </c>
      <c r="H423" s="12">
        <f>IF(G423="保留",COUNTIF($G$2:G423,"保留"),"")</f>
        <v/>
      </c>
    </row>
    <row r="424">
      <c r="A424" s="12">
        <f>IF(原始資料!$A424="","",原始資料!$A424)</f>
        <v/>
      </c>
      <c r="B424" s="12">
        <f>IF(原始資料!$A424="","",MAX(連續計數!B424:BI424))</f>
        <v/>
      </c>
      <c r="C424" s="12">
        <f>IF(OR(原始資料!$A424="",設定!$B$4=""),"",IF(原始資料!$C424&lt;&gt;設定!$B$4,"是",""))</f>
        <v/>
      </c>
      <c r="D424" s="12">
        <f>IF(OR(原始資料!$A424="",設定!$B$5=""),"",IF(原始資料!$B424&lt;設定!$B$5,"是",""))</f>
        <v/>
      </c>
      <c r="E424" s="12">
        <f>IF(OR(原始資料!$A424="",設定!$B$6=""),"",IF(B424&gt;=設定!$B$6,"是",""))</f>
        <v/>
      </c>
      <c r="F424" s="13" t="n"/>
      <c r="G424" s="12">
        <f>IF(原始資料!$A424="","",IF(OR(C424="是",D424="是",E424="是",F424="是"),"剔除","保留"))</f>
        <v/>
      </c>
      <c r="H424" s="12">
        <f>IF(G424="保留",COUNTIF($G$2:G424,"保留"),"")</f>
        <v/>
      </c>
    </row>
    <row r="425">
      <c r="A425" s="12">
        <f>IF(原始資料!$A425="","",原始資料!$A425)</f>
        <v/>
      </c>
      <c r="B425" s="12">
        <f>IF(原始資料!$A425="","",MAX(連續計數!B425:BI425))</f>
        <v/>
      </c>
      <c r="C425" s="12">
        <f>IF(OR(原始資料!$A425="",設定!$B$4=""),"",IF(原始資料!$C425&lt;&gt;設定!$B$4,"是",""))</f>
        <v/>
      </c>
      <c r="D425" s="12">
        <f>IF(OR(原始資料!$A425="",設定!$B$5=""),"",IF(原始資料!$B425&lt;設定!$B$5,"是",""))</f>
        <v/>
      </c>
      <c r="E425" s="12">
        <f>IF(OR(原始資料!$A425="",設定!$B$6=""),"",IF(B425&gt;=設定!$B$6,"是",""))</f>
        <v/>
      </c>
      <c r="F425" s="13" t="n"/>
      <c r="G425" s="12">
        <f>IF(原始資料!$A425="","",IF(OR(C425="是",D425="是",E425="是",F425="是"),"剔除","保留"))</f>
        <v/>
      </c>
      <c r="H425" s="12">
        <f>IF(G425="保留",COUNTIF($G$2:G425,"保留"),"")</f>
        <v/>
      </c>
    </row>
    <row r="426">
      <c r="A426" s="12">
        <f>IF(原始資料!$A426="","",原始資料!$A426)</f>
        <v/>
      </c>
      <c r="B426" s="12">
        <f>IF(原始資料!$A426="","",MAX(連續計數!B426:BI426))</f>
        <v/>
      </c>
      <c r="C426" s="12">
        <f>IF(OR(原始資料!$A426="",設定!$B$4=""),"",IF(原始資料!$C426&lt;&gt;設定!$B$4,"是",""))</f>
        <v/>
      </c>
      <c r="D426" s="12">
        <f>IF(OR(原始資料!$A426="",設定!$B$5=""),"",IF(原始資料!$B426&lt;設定!$B$5,"是",""))</f>
        <v/>
      </c>
      <c r="E426" s="12">
        <f>IF(OR(原始資料!$A426="",設定!$B$6=""),"",IF(B426&gt;=設定!$B$6,"是",""))</f>
        <v/>
      </c>
      <c r="F426" s="13" t="n"/>
      <c r="G426" s="12">
        <f>IF(原始資料!$A426="","",IF(OR(C426="是",D426="是",E426="是",F426="是"),"剔除","保留"))</f>
        <v/>
      </c>
      <c r="H426" s="12">
        <f>IF(G426="保留",COUNTIF($G$2:G426,"保留"),"")</f>
        <v/>
      </c>
    </row>
    <row r="427">
      <c r="A427" s="12">
        <f>IF(原始資料!$A427="","",原始資料!$A427)</f>
        <v/>
      </c>
      <c r="B427" s="12">
        <f>IF(原始資料!$A427="","",MAX(連續計數!B427:BI427))</f>
        <v/>
      </c>
      <c r="C427" s="12">
        <f>IF(OR(原始資料!$A427="",設定!$B$4=""),"",IF(原始資料!$C427&lt;&gt;設定!$B$4,"是",""))</f>
        <v/>
      </c>
      <c r="D427" s="12">
        <f>IF(OR(原始資料!$A427="",設定!$B$5=""),"",IF(原始資料!$B427&lt;設定!$B$5,"是",""))</f>
        <v/>
      </c>
      <c r="E427" s="12">
        <f>IF(OR(原始資料!$A427="",設定!$B$6=""),"",IF(B427&gt;=設定!$B$6,"是",""))</f>
        <v/>
      </c>
      <c r="F427" s="13" t="n"/>
      <c r="G427" s="12">
        <f>IF(原始資料!$A427="","",IF(OR(C427="是",D427="是",E427="是",F427="是"),"剔除","保留"))</f>
        <v/>
      </c>
      <c r="H427" s="12">
        <f>IF(G427="保留",COUNTIF($G$2:G427,"保留"),"")</f>
        <v/>
      </c>
    </row>
    <row r="428">
      <c r="A428" s="12">
        <f>IF(原始資料!$A428="","",原始資料!$A428)</f>
        <v/>
      </c>
      <c r="B428" s="12">
        <f>IF(原始資料!$A428="","",MAX(連續計數!B428:BI428))</f>
        <v/>
      </c>
      <c r="C428" s="12">
        <f>IF(OR(原始資料!$A428="",設定!$B$4=""),"",IF(原始資料!$C428&lt;&gt;設定!$B$4,"是",""))</f>
        <v/>
      </c>
      <c r="D428" s="12">
        <f>IF(OR(原始資料!$A428="",設定!$B$5=""),"",IF(原始資料!$B428&lt;設定!$B$5,"是",""))</f>
        <v/>
      </c>
      <c r="E428" s="12">
        <f>IF(OR(原始資料!$A428="",設定!$B$6=""),"",IF(B428&gt;=設定!$B$6,"是",""))</f>
        <v/>
      </c>
      <c r="F428" s="13" t="n"/>
      <c r="G428" s="12">
        <f>IF(原始資料!$A428="","",IF(OR(C428="是",D428="是",E428="是",F428="是"),"剔除","保留"))</f>
        <v/>
      </c>
      <c r="H428" s="12">
        <f>IF(G428="保留",COUNTIF($G$2:G428,"保留"),"")</f>
        <v/>
      </c>
    </row>
    <row r="429">
      <c r="A429" s="12">
        <f>IF(原始資料!$A429="","",原始資料!$A429)</f>
        <v/>
      </c>
      <c r="B429" s="12">
        <f>IF(原始資料!$A429="","",MAX(連續計數!B429:BI429))</f>
        <v/>
      </c>
      <c r="C429" s="12">
        <f>IF(OR(原始資料!$A429="",設定!$B$4=""),"",IF(原始資料!$C429&lt;&gt;設定!$B$4,"是",""))</f>
        <v/>
      </c>
      <c r="D429" s="12">
        <f>IF(OR(原始資料!$A429="",設定!$B$5=""),"",IF(原始資料!$B429&lt;設定!$B$5,"是",""))</f>
        <v/>
      </c>
      <c r="E429" s="12">
        <f>IF(OR(原始資料!$A429="",設定!$B$6=""),"",IF(B429&gt;=設定!$B$6,"是",""))</f>
        <v/>
      </c>
      <c r="F429" s="13" t="n"/>
      <c r="G429" s="12">
        <f>IF(原始資料!$A429="","",IF(OR(C429="是",D429="是",E429="是",F429="是"),"剔除","保留"))</f>
        <v/>
      </c>
      <c r="H429" s="12">
        <f>IF(G429="保留",COUNTIF($G$2:G429,"保留"),"")</f>
        <v/>
      </c>
    </row>
    <row r="430">
      <c r="A430" s="12">
        <f>IF(原始資料!$A430="","",原始資料!$A430)</f>
        <v/>
      </c>
      <c r="B430" s="12">
        <f>IF(原始資料!$A430="","",MAX(連續計數!B430:BI430))</f>
        <v/>
      </c>
      <c r="C430" s="12">
        <f>IF(OR(原始資料!$A430="",設定!$B$4=""),"",IF(原始資料!$C430&lt;&gt;設定!$B$4,"是",""))</f>
        <v/>
      </c>
      <c r="D430" s="12">
        <f>IF(OR(原始資料!$A430="",設定!$B$5=""),"",IF(原始資料!$B430&lt;設定!$B$5,"是",""))</f>
        <v/>
      </c>
      <c r="E430" s="12">
        <f>IF(OR(原始資料!$A430="",設定!$B$6=""),"",IF(B430&gt;=設定!$B$6,"是",""))</f>
        <v/>
      </c>
      <c r="F430" s="13" t="n"/>
      <c r="G430" s="12">
        <f>IF(原始資料!$A430="","",IF(OR(C430="是",D430="是",E430="是",F430="是"),"剔除","保留"))</f>
        <v/>
      </c>
      <c r="H430" s="12">
        <f>IF(G430="保留",COUNTIF($G$2:G430,"保留"),"")</f>
        <v/>
      </c>
    </row>
    <row r="431">
      <c r="A431" s="12">
        <f>IF(原始資料!$A431="","",原始資料!$A431)</f>
        <v/>
      </c>
      <c r="B431" s="12">
        <f>IF(原始資料!$A431="","",MAX(連續計數!B431:BI431))</f>
        <v/>
      </c>
      <c r="C431" s="12">
        <f>IF(OR(原始資料!$A431="",設定!$B$4=""),"",IF(原始資料!$C431&lt;&gt;設定!$B$4,"是",""))</f>
        <v/>
      </c>
      <c r="D431" s="12">
        <f>IF(OR(原始資料!$A431="",設定!$B$5=""),"",IF(原始資料!$B431&lt;設定!$B$5,"是",""))</f>
        <v/>
      </c>
      <c r="E431" s="12">
        <f>IF(OR(原始資料!$A431="",設定!$B$6=""),"",IF(B431&gt;=設定!$B$6,"是",""))</f>
        <v/>
      </c>
      <c r="F431" s="13" t="n"/>
      <c r="G431" s="12">
        <f>IF(原始資料!$A431="","",IF(OR(C431="是",D431="是",E431="是",F431="是"),"剔除","保留"))</f>
        <v/>
      </c>
      <c r="H431" s="12">
        <f>IF(G431="保留",COUNTIF($G$2:G431,"保留"),"")</f>
        <v/>
      </c>
    </row>
    <row r="432">
      <c r="A432" s="12">
        <f>IF(原始資料!$A432="","",原始資料!$A432)</f>
        <v/>
      </c>
      <c r="B432" s="12">
        <f>IF(原始資料!$A432="","",MAX(連續計數!B432:BI432))</f>
        <v/>
      </c>
      <c r="C432" s="12">
        <f>IF(OR(原始資料!$A432="",設定!$B$4=""),"",IF(原始資料!$C432&lt;&gt;設定!$B$4,"是",""))</f>
        <v/>
      </c>
      <c r="D432" s="12">
        <f>IF(OR(原始資料!$A432="",設定!$B$5=""),"",IF(原始資料!$B432&lt;設定!$B$5,"是",""))</f>
        <v/>
      </c>
      <c r="E432" s="12">
        <f>IF(OR(原始資料!$A432="",設定!$B$6=""),"",IF(B432&gt;=設定!$B$6,"是",""))</f>
        <v/>
      </c>
      <c r="F432" s="13" t="n"/>
      <c r="G432" s="12">
        <f>IF(原始資料!$A432="","",IF(OR(C432="是",D432="是",E432="是",F432="是"),"剔除","保留"))</f>
        <v/>
      </c>
      <c r="H432" s="12">
        <f>IF(G432="保留",COUNTIF($G$2:G432,"保留"),"")</f>
        <v/>
      </c>
    </row>
    <row r="433">
      <c r="A433" s="12">
        <f>IF(原始資料!$A433="","",原始資料!$A433)</f>
        <v/>
      </c>
      <c r="B433" s="12">
        <f>IF(原始資料!$A433="","",MAX(連續計數!B433:BI433))</f>
        <v/>
      </c>
      <c r="C433" s="12">
        <f>IF(OR(原始資料!$A433="",設定!$B$4=""),"",IF(原始資料!$C433&lt;&gt;設定!$B$4,"是",""))</f>
        <v/>
      </c>
      <c r="D433" s="12">
        <f>IF(OR(原始資料!$A433="",設定!$B$5=""),"",IF(原始資料!$B433&lt;設定!$B$5,"是",""))</f>
        <v/>
      </c>
      <c r="E433" s="12">
        <f>IF(OR(原始資料!$A433="",設定!$B$6=""),"",IF(B433&gt;=設定!$B$6,"是",""))</f>
        <v/>
      </c>
      <c r="F433" s="13" t="n"/>
      <c r="G433" s="12">
        <f>IF(原始資料!$A433="","",IF(OR(C433="是",D433="是",E433="是",F433="是"),"剔除","保留"))</f>
        <v/>
      </c>
      <c r="H433" s="12">
        <f>IF(G433="保留",COUNTIF($G$2:G433,"保留"),"")</f>
        <v/>
      </c>
    </row>
    <row r="434">
      <c r="A434" s="12">
        <f>IF(原始資料!$A434="","",原始資料!$A434)</f>
        <v/>
      </c>
      <c r="B434" s="12">
        <f>IF(原始資料!$A434="","",MAX(連續計數!B434:BI434))</f>
        <v/>
      </c>
      <c r="C434" s="12">
        <f>IF(OR(原始資料!$A434="",設定!$B$4=""),"",IF(原始資料!$C434&lt;&gt;設定!$B$4,"是",""))</f>
        <v/>
      </c>
      <c r="D434" s="12">
        <f>IF(OR(原始資料!$A434="",設定!$B$5=""),"",IF(原始資料!$B434&lt;設定!$B$5,"是",""))</f>
        <v/>
      </c>
      <c r="E434" s="12">
        <f>IF(OR(原始資料!$A434="",設定!$B$6=""),"",IF(B434&gt;=設定!$B$6,"是",""))</f>
        <v/>
      </c>
      <c r="F434" s="13" t="n"/>
      <c r="G434" s="12">
        <f>IF(原始資料!$A434="","",IF(OR(C434="是",D434="是",E434="是",F434="是"),"剔除","保留"))</f>
        <v/>
      </c>
      <c r="H434" s="12">
        <f>IF(G434="保留",COUNTIF($G$2:G434,"保留"),"")</f>
        <v/>
      </c>
    </row>
    <row r="435">
      <c r="A435" s="12">
        <f>IF(原始資料!$A435="","",原始資料!$A435)</f>
        <v/>
      </c>
      <c r="B435" s="12">
        <f>IF(原始資料!$A435="","",MAX(連續計數!B435:BI435))</f>
        <v/>
      </c>
      <c r="C435" s="12">
        <f>IF(OR(原始資料!$A435="",設定!$B$4=""),"",IF(原始資料!$C435&lt;&gt;設定!$B$4,"是",""))</f>
        <v/>
      </c>
      <c r="D435" s="12">
        <f>IF(OR(原始資料!$A435="",設定!$B$5=""),"",IF(原始資料!$B435&lt;設定!$B$5,"是",""))</f>
        <v/>
      </c>
      <c r="E435" s="12">
        <f>IF(OR(原始資料!$A435="",設定!$B$6=""),"",IF(B435&gt;=設定!$B$6,"是",""))</f>
        <v/>
      </c>
      <c r="F435" s="13" t="n"/>
      <c r="G435" s="12">
        <f>IF(原始資料!$A435="","",IF(OR(C435="是",D435="是",E435="是",F435="是"),"剔除","保留"))</f>
        <v/>
      </c>
      <c r="H435" s="12">
        <f>IF(G435="保留",COUNTIF($G$2:G435,"保留"),"")</f>
        <v/>
      </c>
    </row>
    <row r="436">
      <c r="A436" s="12">
        <f>IF(原始資料!$A436="","",原始資料!$A436)</f>
        <v/>
      </c>
      <c r="B436" s="12">
        <f>IF(原始資料!$A436="","",MAX(連續計數!B436:BI436))</f>
        <v/>
      </c>
      <c r="C436" s="12">
        <f>IF(OR(原始資料!$A436="",設定!$B$4=""),"",IF(原始資料!$C436&lt;&gt;設定!$B$4,"是",""))</f>
        <v/>
      </c>
      <c r="D436" s="12">
        <f>IF(OR(原始資料!$A436="",設定!$B$5=""),"",IF(原始資料!$B436&lt;設定!$B$5,"是",""))</f>
        <v/>
      </c>
      <c r="E436" s="12">
        <f>IF(OR(原始資料!$A436="",設定!$B$6=""),"",IF(B436&gt;=設定!$B$6,"是",""))</f>
        <v/>
      </c>
      <c r="F436" s="13" t="n"/>
      <c r="G436" s="12">
        <f>IF(原始資料!$A436="","",IF(OR(C436="是",D436="是",E436="是",F436="是"),"剔除","保留"))</f>
        <v/>
      </c>
      <c r="H436" s="12">
        <f>IF(G436="保留",COUNTIF($G$2:G436,"保留"),"")</f>
        <v/>
      </c>
    </row>
    <row r="437">
      <c r="A437" s="12">
        <f>IF(原始資料!$A437="","",原始資料!$A437)</f>
        <v/>
      </c>
      <c r="B437" s="12">
        <f>IF(原始資料!$A437="","",MAX(連續計數!B437:BI437))</f>
        <v/>
      </c>
      <c r="C437" s="12">
        <f>IF(OR(原始資料!$A437="",設定!$B$4=""),"",IF(原始資料!$C437&lt;&gt;設定!$B$4,"是",""))</f>
        <v/>
      </c>
      <c r="D437" s="12">
        <f>IF(OR(原始資料!$A437="",設定!$B$5=""),"",IF(原始資料!$B437&lt;設定!$B$5,"是",""))</f>
        <v/>
      </c>
      <c r="E437" s="12">
        <f>IF(OR(原始資料!$A437="",設定!$B$6=""),"",IF(B437&gt;=設定!$B$6,"是",""))</f>
        <v/>
      </c>
      <c r="F437" s="13" t="n"/>
      <c r="G437" s="12">
        <f>IF(原始資料!$A437="","",IF(OR(C437="是",D437="是",E437="是",F437="是"),"剔除","保留"))</f>
        <v/>
      </c>
      <c r="H437" s="12">
        <f>IF(G437="保留",COUNTIF($G$2:G437,"保留"),"")</f>
        <v/>
      </c>
    </row>
    <row r="438">
      <c r="A438" s="12">
        <f>IF(原始資料!$A438="","",原始資料!$A438)</f>
        <v/>
      </c>
      <c r="B438" s="12">
        <f>IF(原始資料!$A438="","",MAX(連續計數!B438:BI438))</f>
        <v/>
      </c>
      <c r="C438" s="12">
        <f>IF(OR(原始資料!$A438="",設定!$B$4=""),"",IF(原始資料!$C438&lt;&gt;設定!$B$4,"是",""))</f>
        <v/>
      </c>
      <c r="D438" s="12">
        <f>IF(OR(原始資料!$A438="",設定!$B$5=""),"",IF(原始資料!$B438&lt;設定!$B$5,"是",""))</f>
        <v/>
      </c>
      <c r="E438" s="12">
        <f>IF(OR(原始資料!$A438="",設定!$B$6=""),"",IF(B438&gt;=設定!$B$6,"是",""))</f>
        <v/>
      </c>
      <c r="F438" s="13" t="n"/>
      <c r="G438" s="12">
        <f>IF(原始資料!$A438="","",IF(OR(C438="是",D438="是",E438="是",F438="是"),"剔除","保留"))</f>
        <v/>
      </c>
      <c r="H438" s="12">
        <f>IF(G438="保留",COUNTIF($G$2:G438,"保留"),"")</f>
        <v/>
      </c>
    </row>
    <row r="439">
      <c r="A439" s="12">
        <f>IF(原始資料!$A439="","",原始資料!$A439)</f>
        <v/>
      </c>
      <c r="B439" s="12">
        <f>IF(原始資料!$A439="","",MAX(連續計數!B439:BI439))</f>
        <v/>
      </c>
      <c r="C439" s="12">
        <f>IF(OR(原始資料!$A439="",設定!$B$4=""),"",IF(原始資料!$C439&lt;&gt;設定!$B$4,"是",""))</f>
        <v/>
      </c>
      <c r="D439" s="12">
        <f>IF(OR(原始資料!$A439="",設定!$B$5=""),"",IF(原始資料!$B439&lt;設定!$B$5,"是",""))</f>
        <v/>
      </c>
      <c r="E439" s="12">
        <f>IF(OR(原始資料!$A439="",設定!$B$6=""),"",IF(B439&gt;=設定!$B$6,"是",""))</f>
        <v/>
      </c>
      <c r="F439" s="13" t="n"/>
      <c r="G439" s="12">
        <f>IF(原始資料!$A439="","",IF(OR(C439="是",D439="是",E439="是",F439="是"),"剔除","保留"))</f>
        <v/>
      </c>
      <c r="H439" s="12">
        <f>IF(G439="保留",COUNTIF($G$2:G439,"保留"),"")</f>
        <v/>
      </c>
    </row>
    <row r="440">
      <c r="A440" s="12">
        <f>IF(原始資料!$A440="","",原始資料!$A440)</f>
        <v/>
      </c>
      <c r="B440" s="12">
        <f>IF(原始資料!$A440="","",MAX(連續計數!B440:BI440))</f>
        <v/>
      </c>
      <c r="C440" s="12">
        <f>IF(OR(原始資料!$A440="",設定!$B$4=""),"",IF(原始資料!$C440&lt;&gt;設定!$B$4,"是",""))</f>
        <v/>
      </c>
      <c r="D440" s="12">
        <f>IF(OR(原始資料!$A440="",設定!$B$5=""),"",IF(原始資料!$B440&lt;設定!$B$5,"是",""))</f>
        <v/>
      </c>
      <c r="E440" s="12">
        <f>IF(OR(原始資料!$A440="",設定!$B$6=""),"",IF(B440&gt;=設定!$B$6,"是",""))</f>
        <v/>
      </c>
      <c r="F440" s="13" t="n"/>
      <c r="G440" s="12">
        <f>IF(原始資料!$A440="","",IF(OR(C440="是",D440="是",E440="是",F440="是"),"剔除","保留"))</f>
        <v/>
      </c>
      <c r="H440" s="12">
        <f>IF(G440="保留",COUNTIF($G$2:G440,"保留"),"")</f>
        <v/>
      </c>
    </row>
    <row r="441">
      <c r="A441" s="12">
        <f>IF(原始資料!$A441="","",原始資料!$A441)</f>
        <v/>
      </c>
      <c r="B441" s="12">
        <f>IF(原始資料!$A441="","",MAX(連續計數!B441:BI441))</f>
        <v/>
      </c>
      <c r="C441" s="12">
        <f>IF(OR(原始資料!$A441="",設定!$B$4=""),"",IF(原始資料!$C441&lt;&gt;設定!$B$4,"是",""))</f>
        <v/>
      </c>
      <c r="D441" s="12">
        <f>IF(OR(原始資料!$A441="",設定!$B$5=""),"",IF(原始資料!$B441&lt;設定!$B$5,"是",""))</f>
        <v/>
      </c>
      <c r="E441" s="12">
        <f>IF(OR(原始資料!$A441="",設定!$B$6=""),"",IF(B441&gt;=設定!$B$6,"是",""))</f>
        <v/>
      </c>
      <c r="F441" s="13" t="n"/>
      <c r="G441" s="12">
        <f>IF(原始資料!$A441="","",IF(OR(C441="是",D441="是",E441="是",F441="是"),"剔除","保留"))</f>
        <v/>
      </c>
      <c r="H441" s="12">
        <f>IF(G441="保留",COUNTIF($G$2:G441,"保留"),"")</f>
        <v/>
      </c>
    </row>
    <row r="442">
      <c r="A442" s="12">
        <f>IF(原始資料!$A442="","",原始資料!$A442)</f>
        <v/>
      </c>
      <c r="B442" s="12">
        <f>IF(原始資料!$A442="","",MAX(連續計數!B442:BI442))</f>
        <v/>
      </c>
      <c r="C442" s="12">
        <f>IF(OR(原始資料!$A442="",設定!$B$4=""),"",IF(原始資料!$C442&lt;&gt;設定!$B$4,"是",""))</f>
        <v/>
      </c>
      <c r="D442" s="12">
        <f>IF(OR(原始資料!$A442="",設定!$B$5=""),"",IF(原始資料!$B442&lt;設定!$B$5,"是",""))</f>
        <v/>
      </c>
      <c r="E442" s="12">
        <f>IF(OR(原始資料!$A442="",設定!$B$6=""),"",IF(B442&gt;=設定!$B$6,"是",""))</f>
        <v/>
      </c>
      <c r="F442" s="13" t="n"/>
      <c r="G442" s="12">
        <f>IF(原始資料!$A442="","",IF(OR(C442="是",D442="是",E442="是",F442="是"),"剔除","保留"))</f>
        <v/>
      </c>
      <c r="H442" s="12">
        <f>IF(G442="保留",COUNTIF($G$2:G442,"保留"),"")</f>
        <v/>
      </c>
    </row>
    <row r="443">
      <c r="A443" s="12">
        <f>IF(原始資料!$A443="","",原始資料!$A443)</f>
        <v/>
      </c>
      <c r="B443" s="12">
        <f>IF(原始資料!$A443="","",MAX(連續計數!B443:BI443))</f>
        <v/>
      </c>
      <c r="C443" s="12">
        <f>IF(OR(原始資料!$A443="",設定!$B$4=""),"",IF(原始資料!$C443&lt;&gt;設定!$B$4,"是",""))</f>
        <v/>
      </c>
      <c r="D443" s="12">
        <f>IF(OR(原始資料!$A443="",設定!$B$5=""),"",IF(原始資料!$B443&lt;設定!$B$5,"是",""))</f>
        <v/>
      </c>
      <c r="E443" s="12">
        <f>IF(OR(原始資料!$A443="",設定!$B$6=""),"",IF(B443&gt;=設定!$B$6,"是",""))</f>
        <v/>
      </c>
      <c r="F443" s="13" t="n"/>
      <c r="G443" s="12">
        <f>IF(原始資料!$A443="","",IF(OR(C443="是",D443="是",E443="是",F443="是"),"剔除","保留"))</f>
        <v/>
      </c>
      <c r="H443" s="12">
        <f>IF(G443="保留",COUNTIF($G$2:G443,"保留"),"")</f>
        <v/>
      </c>
    </row>
    <row r="444">
      <c r="A444" s="12">
        <f>IF(原始資料!$A444="","",原始資料!$A444)</f>
        <v/>
      </c>
      <c r="B444" s="12">
        <f>IF(原始資料!$A444="","",MAX(連續計數!B444:BI444))</f>
        <v/>
      </c>
      <c r="C444" s="12">
        <f>IF(OR(原始資料!$A444="",設定!$B$4=""),"",IF(原始資料!$C444&lt;&gt;設定!$B$4,"是",""))</f>
        <v/>
      </c>
      <c r="D444" s="12">
        <f>IF(OR(原始資料!$A444="",設定!$B$5=""),"",IF(原始資料!$B444&lt;設定!$B$5,"是",""))</f>
        <v/>
      </c>
      <c r="E444" s="12">
        <f>IF(OR(原始資料!$A444="",設定!$B$6=""),"",IF(B444&gt;=設定!$B$6,"是",""))</f>
        <v/>
      </c>
      <c r="F444" s="13" t="n"/>
      <c r="G444" s="12">
        <f>IF(原始資料!$A444="","",IF(OR(C444="是",D444="是",E444="是",F444="是"),"剔除","保留"))</f>
        <v/>
      </c>
      <c r="H444" s="12">
        <f>IF(G444="保留",COUNTIF($G$2:G444,"保留"),"")</f>
        <v/>
      </c>
    </row>
    <row r="445">
      <c r="A445" s="12">
        <f>IF(原始資料!$A445="","",原始資料!$A445)</f>
        <v/>
      </c>
      <c r="B445" s="12">
        <f>IF(原始資料!$A445="","",MAX(連續計數!B445:BI445))</f>
        <v/>
      </c>
      <c r="C445" s="12">
        <f>IF(OR(原始資料!$A445="",設定!$B$4=""),"",IF(原始資料!$C445&lt;&gt;設定!$B$4,"是",""))</f>
        <v/>
      </c>
      <c r="D445" s="12">
        <f>IF(OR(原始資料!$A445="",設定!$B$5=""),"",IF(原始資料!$B445&lt;設定!$B$5,"是",""))</f>
        <v/>
      </c>
      <c r="E445" s="12">
        <f>IF(OR(原始資料!$A445="",設定!$B$6=""),"",IF(B445&gt;=設定!$B$6,"是",""))</f>
        <v/>
      </c>
      <c r="F445" s="13" t="n"/>
      <c r="G445" s="12">
        <f>IF(原始資料!$A445="","",IF(OR(C445="是",D445="是",E445="是",F445="是"),"剔除","保留"))</f>
        <v/>
      </c>
      <c r="H445" s="12">
        <f>IF(G445="保留",COUNTIF($G$2:G445,"保留"),"")</f>
        <v/>
      </c>
    </row>
    <row r="446">
      <c r="A446" s="12">
        <f>IF(原始資料!$A446="","",原始資料!$A446)</f>
        <v/>
      </c>
      <c r="B446" s="12">
        <f>IF(原始資料!$A446="","",MAX(連續計數!B446:BI446))</f>
        <v/>
      </c>
      <c r="C446" s="12">
        <f>IF(OR(原始資料!$A446="",設定!$B$4=""),"",IF(原始資料!$C446&lt;&gt;設定!$B$4,"是",""))</f>
        <v/>
      </c>
      <c r="D446" s="12">
        <f>IF(OR(原始資料!$A446="",設定!$B$5=""),"",IF(原始資料!$B446&lt;設定!$B$5,"是",""))</f>
        <v/>
      </c>
      <c r="E446" s="12">
        <f>IF(OR(原始資料!$A446="",設定!$B$6=""),"",IF(B446&gt;=設定!$B$6,"是",""))</f>
        <v/>
      </c>
      <c r="F446" s="13" t="n"/>
      <c r="G446" s="12">
        <f>IF(原始資料!$A446="","",IF(OR(C446="是",D446="是",E446="是",F446="是"),"剔除","保留"))</f>
        <v/>
      </c>
      <c r="H446" s="12">
        <f>IF(G446="保留",COUNTIF($G$2:G446,"保留"),"")</f>
        <v/>
      </c>
    </row>
    <row r="447">
      <c r="A447" s="12">
        <f>IF(原始資料!$A447="","",原始資料!$A447)</f>
        <v/>
      </c>
      <c r="B447" s="12">
        <f>IF(原始資料!$A447="","",MAX(連續計數!B447:BI447))</f>
        <v/>
      </c>
      <c r="C447" s="12">
        <f>IF(OR(原始資料!$A447="",設定!$B$4=""),"",IF(原始資料!$C447&lt;&gt;設定!$B$4,"是",""))</f>
        <v/>
      </c>
      <c r="D447" s="12">
        <f>IF(OR(原始資料!$A447="",設定!$B$5=""),"",IF(原始資料!$B447&lt;設定!$B$5,"是",""))</f>
        <v/>
      </c>
      <c r="E447" s="12">
        <f>IF(OR(原始資料!$A447="",設定!$B$6=""),"",IF(B447&gt;=設定!$B$6,"是",""))</f>
        <v/>
      </c>
      <c r="F447" s="13" t="n"/>
      <c r="G447" s="12">
        <f>IF(原始資料!$A447="","",IF(OR(C447="是",D447="是",E447="是",F447="是"),"剔除","保留"))</f>
        <v/>
      </c>
      <c r="H447" s="12">
        <f>IF(G447="保留",COUNTIF($G$2:G447,"保留"),"")</f>
        <v/>
      </c>
    </row>
    <row r="448">
      <c r="A448" s="12">
        <f>IF(原始資料!$A448="","",原始資料!$A448)</f>
        <v/>
      </c>
      <c r="B448" s="12">
        <f>IF(原始資料!$A448="","",MAX(連續計數!B448:BI448))</f>
        <v/>
      </c>
      <c r="C448" s="12">
        <f>IF(OR(原始資料!$A448="",設定!$B$4=""),"",IF(原始資料!$C448&lt;&gt;設定!$B$4,"是",""))</f>
        <v/>
      </c>
      <c r="D448" s="12">
        <f>IF(OR(原始資料!$A448="",設定!$B$5=""),"",IF(原始資料!$B448&lt;設定!$B$5,"是",""))</f>
        <v/>
      </c>
      <c r="E448" s="12">
        <f>IF(OR(原始資料!$A448="",設定!$B$6=""),"",IF(B448&gt;=設定!$B$6,"是",""))</f>
        <v/>
      </c>
      <c r="F448" s="13" t="n"/>
      <c r="G448" s="12">
        <f>IF(原始資料!$A448="","",IF(OR(C448="是",D448="是",E448="是",F448="是"),"剔除","保留"))</f>
        <v/>
      </c>
      <c r="H448" s="12">
        <f>IF(G448="保留",COUNTIF($G$2:G448,"保留"),"")</f>
        <v/>
      </c>
    </row>
    <row r="449">
      <c r="A449" s="12">
        <f>IF(原始資料!$A449="","",原始資料!$A449)</f>
        <v/>
      </c>
      <c r="B449" s="12">
        <f>IF(原始資料!$A449="","",MAX(連續計數!B449:BI449))</f>
        <v/>
      </c>
      <c r="C449" s="12">
        <f>IF(OR(原始資料!$A449="",設定!$B$4=""),"",IF(原始資料!$C449&lt;&gt;設定!$B$4,"是",""))</f>
        <v/>
      </c>
      <c r="D449" s="12">
        <f>IF(OR(原始資料!$A449="",設定!$B$5=""),"",IF(原始資料!$B449&lt;設定!$B$5,"是",""))</f>
        <v/>
      </c>
      <c r="E449" s="12">
        <f>IF(OR(原始資料!$A449="",設定!$B$6=""),"",IF(B449&gt;=設定!$B$6,"是",""))</f>
        <v/>
      </c>
      <c r="F449" s="13" t="n"/>
      <c r="G449" s="12">
        <f>IF(原始資料!$A449="","",IF(OR(C449="是",D449="是",E449="是",F449="是"),"剔除","保留"))</f>
        <v/>
      </c>
      <c r="H449" s="12">
        <f>IF(G449="保留",COUNTIF($G$2:G449,"保留"),"")</f>
        <v/>
      </c>
    </row>
    <row r="450">
      <c r="A450" s="12">
        <f>IF(原始資料!$A450="","",原始資料!$A450)</f>
        <v/>
      </c>
      <c r="B450" s="12">
        <f>IF(原始資料!$A450="","",MAX(連續計數!B450:BI450))</f>
        <v/>
      </c>
      <c r="C450" s="12">
        <f>IF(OR(原始資料!$A450="",設定!$B$4=""),"",IF(原始資料!$C450&lt;&gt;設定!$B$4,"是",""))</f>
        <v/>
      </c>
      <c r="D450" s="12">
        <f>IF(OR(原始資料!$A450="",設定!$B$5=""),"",IF(原始資料!$B450&lt;設定!$B$5,"是",""))</f>
        <v/>
      </c>
      <c r="E450" s="12">
        <f>IF(OR(原始資料!$A450="",設定!$B$6=""),"",IF(B450&gt;=設定!$B$6,"是",""))</f>
        <v/>
      </c>
      <c r="F450" s="13" t="n"/>
      <c r="G450" s="12">
        <f>IF(原始資料!$A450="","",IF(OR(C450="是",D450="是",E450="是",F450="是"),"剔除","保留"))</f>
        <v/>
      </c>
      <c r="H450" s="12">
        <f>IF(G450="保留",COUNTIF($G$2:G450,"保留"),"")</f>
        <v/>
      </c>
    </row>
    <row r="451">
      <c r="A451" s="12">
        <f>IF(原始資料!$A451="","",原始資料!$A451)</f>
        <v/>
      </c>
      <c r="B451" s="12">
        <f>IF(原始資料!$A451="","",MAX(連續計數!B451:BI451))</f>
        <v/>
      </c>
      <c r="C451" s="12">
        <f>IF(OR(原始資料!$A451="",設定!$B$4=""),"",IF(原始資料!$C451&lt;&gt;設定!$B$4,"是",""))</f>
        <v/>
      </c>
      <c r="D451" s="12">
        <f>IF(OR(原始資料!$A451="",設定!$B$5=""),"",IF(原始資料!$B451&lt;設定!$B$5,"是",""))</f>
        <v/>
      </c>
      <c r="E451" s="12">
        <f>IF(OR(原始資料!$A451="",設定!$B$6=""),"",IF(B451&gt;=設定!$B$6,"是",""))</f>
        <v/>
      </c>
      <c r="F451" s="13" t="n"/>
      <c r="G451" s="12">
        <f>IF(原始資料!$A451="","",IF(OR(C451="是",D451="是",E451="是",F451="是"),"剔除","保留"))</f>
        <v/>
      </c>
      <c r="H451" s="12">
        <f>IF(G451="保留",COUNTIF($G$2:G451,"保留"),"")</f>
        <v/>
      </c>
    </row>
    <row r="452">
      <c r="A452" s="12">
        <f>IF(原始資料!$A452="","",原始資料!$A452)</f>
        <v/>
      </c>
      <c r="B452" s="12">
        <f>IF(原始資料!$A452="","",MAX(連續計數!B452:BI452))</f>
        <v/>
      </c>
      <c r="C452" s="12">
        <f>IF(OR(原始資料!$A452="",設定!$B$4=""),"",IF(原始資料!$C452&lt;&gt;設定!$B$4,"是",""))</f>
        <v/>
      </c>
      <c r="D452" s="12">
        <f>IF(OR(原始資料!$A452="",設定!$B$5=""),"",IF(原始資料!$B452&lt;設定!$B$5,"是",""))</f>
        <v/>
      </c>
      <c r="E452" s="12">
        <f>IF(OR(原始資料!$A452="",設定!$B$6=""),"",IF(B452&gt;=設定!$B$6,"是",""))</f>
        <v/>
      </c>
      <c r="F452" s="13" t="n"/>
      <c r="G452" s="12">
        <f>IF(原始資料!$A452="","",IF(OR(C452="是",D452="是",E452="是",F452="是"),"剔除","保留"))</f>
        <v/>
      </c>
      <c r="H452" s="12">
        <f>IF(G452="保留",COUNTIF($G$2:G452,"保留"),"")</f>
        <v/>
      </c>
    </row>
    <row r="453">
      <c r="A453" s="12">
        <f>IF(原始資料!$A453="","",原始資料!$A453)</f>
        <v/>
      </c>
      <c r="B453" s="12">
        <f>IF(原始資料!$A453="","",MAX(連續計數!B453:BI453))</f>
        <v/>
      </c>
      <c r="C453" s="12">
        <f>IF(OR(原始資料!$A453="",設定!$B$4=""),"",IF(原始資料!$C453&lt;&gt;設定!$B$4,"是",""))</f>
        <v/>
      </c>
      <c r="D453" s="12">
        <f>IF(OR(原始資料!$A453="",設定!$B$5=""),"",IF(原始資料!$B453&lt;設定!$B$5,"是",""))</f>
        <v/>
      </c>
      <c r="E453" s="12">
        <f>IF(OR(原始資料!$A453="",設定!$B$6=""),"",IF(B453&gt;=設定!$B$6,"是",""))</f>
        <v/>
      </c>
      <c r="F453" s="13" t="n"/>
      <c r="G453" s="12">
        <f>IF(原始資料!$A453="","",IF(OR(C453="是",D453="是",E453="是",F453="是"),"剔除","保留"))</f>
        <v/>
      </c>
      <c r="H453" s="12">
        <f>IF(G453="保留",COUNTIF($G$2:G453,"保留"),"")</f>
        <v/>
      </c>
    </row>
    <row r="454">
      <c r="A454" s="12">
        <f>IF(原始資料!$A454="","",原始資料!$A454)</f>
        <v/>
      </c>
      <c r="B454" s="12">
        <f>IF(原始資料!$A454="","",MAX(連續計數!B454:BI454))</f>
        <v/>
      </c>
      <c r="C454" s="12">
        <f>IF(OR(原始資料!$A454="",設定!$B$4=""),"",IF(原始資料!$C454&lt;&gt;設定!$B$4,"是",""))</f>
        <v/>
      </c>
      <c r="D454" s="12">
        <f>IF(OR(原始資料!$A454="",設定!$B$5=""),"",IF(原始資料!$B454&lt;設定!$B$5,"是",""))</f>
        <v/>
      </c>
      <c r="E454" s="12">
        <f>IF(OR(原始資料!$A454="",設定!$B$6=""),"",IF(B454&gt;=設定!$B$6,"是",""))</f>
        <v/>
      </c>
      <c r="F454" s="13" t="n"/>
      <c r="G454" s="12">
        <f>IF(原始資料!$A454="","",IF(OR(C454="是",D454="是",E454="是",F454="是"),"剔除","保留"))</f>
        <v/>
      </c>
      <c r="H454" s="12">
        <f>IF(G454="保留",COUNTIF($G$2:G454,"保留"),"")</f>
        <v/>
      </c>
    </row>
    <row r="455">
      <c r="A455" s="12">
        <f>IF(原始資料!$A455="","",原始資料!$A455)</f>
        <v/>
      </c>
      <c r="B455" s="12">
        <f>IF(原始資料!$A455="","",MAX(連續計數!B455:BI455))</f>
        <v/>
      </c>
      <c r="C455" s="12">
        <f>IF(OR(原始資料!$A455="",設定!$B$4=""),"",IF(原始資料!$C455&lt;&gt;設定!$B$4,"是",""))</f>
        <v/>
      </c>
      <c r="D455" s="12">
        <f>IF(OR(原始資料!$A455="",設定!$B$5=""),"",IF(原始資料!$B455&lt;設定!$B$5,"是",""))</f>
        <v/>
      </c>
      <c r="E455" s="12">
        <f>IF(OR(原始資料!$A455="",設定!$B$6=""),"",IF(B455&gt;=設定!$B$6,"是",""))</f>
        <v/>
      </c>
      <c r="F455" s="13" t="n"/>
      <c r="G455" s="12">
        <f>IF(原始資料!$A455="","",IF(OR(C455="是",D455="是",E455="是",F455="是"),"剔除","保留"))</f>
        <v/>
      </c>
      <c r="H455" s="12">
        <f>IF(G455="保留",COUNTIF($G$2:G455,"保留"),"")</f>
        <v/>
      </c>
    </row>
    <row r="456">
      <c r="A456" s="12">
        <f>IF(原始資料!$A456="","",原始資料!$A456)</f>
        <v/>
      </c>
      <c r="B456" s="12">
        <f>IF(原始資料!$A456="","",MAX(連續計數!B456:BI456))</f>
        <v/>
      </c>
      <c r="C456" s="12">
        <f>IF(OR(原始資料!$A456="",設定!$B$4=""),"",IF(原始資料!$C456&lt;&gt;設定!$B$4,"是",""))</f>
        <v/>
      </c>
      <c r="D456" s="12">
        <f>IF(OR(原始資料!$A456="",設定!$B$5=""),"",IF(原始資料!$B456&lt;設定!$B$5,"是",""))</f>
        <v/>
      </c>
      <c r="E456" s="12">
        <f>IF(OR(原始資料!$A456="",設定!$B$6=""),"",IF(B456&gt;=設定!$B$6,"是",""))</f>
        <v/>
      </c>
      <c r="F456" s="13" t="n"/>
      <c r="G456" s="12">
        <f>IF(原始資料!$A456="","",IF(OR(C456="是",D456="是",E456="是",F456="是"),"剔除","保留"))</f>
        <v/>
      </c>
      <c r="H456" s="12">
        <f>IF(G456="保留",COUNTIF($G$2:G456,"保留"),"")</f>
        <v/>
      </c>
    </row>
    <row r="457">
      <c r="A457" s="12">
        <f>IF(原始資料!$A457="","",原始資料!$A457)</f>
        <v/>
      </c>
      <c r="B457" s="12">
        <f>IF(原始資料!$A457="","",MAX(連續計數!B457:BI457))</f>
        <v/>
      </c>
      <c r="C457" s="12">
        <f>IF(OR(原始資料!$A457="",設定!$B$4=""),"",IF(原始資料!$C457&lt;&gt;設定!$B$4,"是",""))</f>
        <v/>
      </c>
      <c r="D457" s="12">
        <f>IF(OR(原始資料!$A457="",設定!$B$5=""),"",IF(原始資料!$B457&lt;設定!$B$5,"是",""))</f>
        <v/>
      </c>
      <c r="E457" s="12">
        <f>IF(OR(原始資料!$A457="",設定!$B$6=""),"",IF(B457&gt;=設定!$B$6,"是",""))</f>
        <v/>
      </c>
      <c r="F457" s="13" t="n"/>
      <c r="G457" s="12">
        <f>IF(原始資料!$A457="","",IF(OR(C457="是",D457="是",E457="是",F457="是"),"剔除","保留"))</f>
        <v/>
      </c>
      <c r="H457" s="12">
        <f>IF(G457="保留",COUNTIF($G$2:G457,"保留"),"")</f>
        <v/>
      </c>
    </row>
    <row r="458">
      <c r="A458" s="12">
        <f>IF(原始資料!$A458="","",原始資料!$A458)</f>
        <v/>
      </c>
      <c r="B458" s="12">
        <f>IF(原始資料!$A458="","",MAX(連續計數!B458:BI458))</f>
        <v/>
      </c>
      <c r="C458" s="12">
        <f>IF(OR(原始資料!$A458="",設定!$B$4=""),"",IF(原始資料!$C458&lt;&gt;設定!$B$4,"是",""))</f>
        <v/>
      </c>
      <c r="D458" s="12">
        <f>IF(OR(原始資料!$A458="",設定!$B$5=""),"",IF(原始資料!$B458&lt;設定!$B$5,"是",""))</f>
        <v/>
      </c>
      <c r="E458" s="12">
        <f>IF(OR(原始資料!$A458="",設定!$B$6=""),"",IF(B458&gt;=設定!$B$6,"是",""))</f>
        <v/>
      </c>
      <c r="F458" s="13" t="n"/>
      <c r="G458" s="12">
        <f>IF(原始資料!$A458="","",IF(OR(C458="是",D458="是",E458="是",F458="是"),"剔除","保留"))</f>
        <v/>
      </c>
      <c r="H458" s="12">
        <f>IF(G458="保留",COUNTIF($G$2:G458,"保留"),"")</f>
        <v/>
      </c>
    </row>
    <row r="459">
      <c r="A459" s="12">
        <f>IF(原始資料!$A459="","",原始資料!$A459)</f>
        <v/>
      </c>
      <c r="B459" s="12">
        <f>IF(原始資料!$A459="","",MAX(連續計數!B459:BI459))</f>
        <v/>
      </c>
      <c r="C459" s="12">
        <f>IF(OR(原始資料!$A459="",設定!$B$4=""),"",IF(原始資料!$C459&lt;&gt;設定!$B$4,"是",""))</f>
        <v/>
      </c>
      <c r="D459" s="12">
        <f>IF(OR(原始資料!$A459="",設定!$B$5=""),"",IF(原始資料!$B459&lt;設定!$B$5,"是",""))</f>
        <v/>
      </c>
      <c r="E459" s="12">
        <f>IF(OR(原始資料!$A459="",設定!$B$6=""),"",IF(B459&gt;=設定!$B$6,"是",""))</f>
        <v/>
      </c>
      <c r="F459" s="13" t="n"/>
      <c r="G459" s="12">
        <f>IF(原始資料!$A459="","",IF(OR(C459="是",D459="是",E459="是",F459="是"),"剔除","保留"))</f>
        <v/>
      </c>
      <c r="H459" s="12">
        <f>IF(G459="保留",COUNTIF($G$2:G459,"保留"),"")</f>
        <v/>
      </c>
    </row>
    <row r="460">
      <c r="A460" s="12">
        <f>IF(原始資料!$A460="","",原始資料!$A460)</f>
        <v/>
      </c>
      <c r="B460" s="12">
        <f>IF(原始資料!$A460="","",MAX(連續計數!B460:BI460))</f>
        <v/>
      </c>
      <c r="C460" s="12">
        <f>IF(OR(原始資料!$A460="",設定!$B$4=""),"",IF(原始資料!$C460&lt;&gt;設定!$B$4,"是",""))</f>
        <v/>
      </c>
      <c r="D460" s="12">
        <f>IF(OR(原始資料!$A460="",設定!$B$5=""),"",IF(原始資料!$B460&lt;設定!$B$5,"是",""))</f>
        <v/>
      </c>
      <c r="E460" s="12">
        <f>IF(OR(原始資料!$A460="",設定!$B$6=""),"",IF(B460&gt;=設定!$B$6,"是",""))</f>
        <v/>
      </c>
      <c r="F460" s="13" t="n"/>
      <c r="G460" s="12">
        <f>IF(原始資料!$A460="","",IF(OR(C460="是",D460="是",E460="是",F460="是"),"剔除","保留"))</f>
        <v/>
      </c>
      <c r="H460" s="12">
        <f>IF(G460="保留",COUNTIF($G$2:G460,"保留"),"")</f>
        <v/>
      </c>
    </row>
    <row r="461">
      <c r="A461" s="12">
        <f>IF(原始資料!$A461="","",原始資料!$A461)</f>
        <v/>
      </c>
      <c r="B461" s="12">
        <f>IF(原始資料!$A461="","",MAX(連續計數!B461:BI461))</f>
        <v/>
      </c>
      <c r="C461" s="12">
        <f>IF(OR(原始資料!$A461="",設定!$B$4=""),"",IF(原始資料!$C461&lt;&gt;設定!$B$4,"是",""))</f>
        <v/>
      </c>
      <c r="D461" s="12">
        <f>IF(OR(原始資料!$A461="",設定!$B$5=""),"",IF(原始資料!$B461&lt;設定!$B$5,"是",""))</f>
        <v/>
      </c>
      <c r="E461" s="12">
        <f>IF(OR(原始資料!$A461="",設定!$B$6=""),"",IF(B461&gt;=設定!$B$6,"是",""))</f>
        <v/>
      </c>
      <c r="F461" s="13" t="n"/>
      <c r="G461" s="12">
        <f>IF(原始資料!$A461="","",IF(OR(C461="是",D461="是",E461="是",F461="是"),"剔除","保留"))</f>
        <v/>
      </c>
      <c r="H461" s="12">
        <f>IF(G461="保留",COUNTIF($G$2:G461,"保留"),"")</f>
        <v/>
      </c>
    </row>
    <row r="462">
      <c r="A462" s="12">
        <f>IF(原始資料!$A462="","",原始資料!$A462)</f>
        <v/>
      </c>
      <c r="B462" s="12">
        <f>IF(原始資料!$A462="","",MAX(連續計數!B462:BI462))</f>
        <v/>
      </c>
      <c r="C462" s="12">
        <f>IF(OR(原始資料!$A462="",設定!$B$4=""),"",IF(原始資料!$C462&lt;&gt;設定!$B$4,"是",""))</f>
        <v/>
      </c>
      <c r="D462" s="12">
        <f>IF(OR(原始資料!$A462="",設定!$B$5=""),"",IF(原始資料!$B462&lt;設定!$B$5,"是",""))</f>
        <v/>
      </c>
      <c r="E462" s="12">
        <f>IF(OR(原始資料!$A462="",設定!$B$6=""),"",IF(B462&gt;=設定!$B$6,"是",""))</f>
        <v/>
      </c>
      <c r="F462" s="13" t="n"/>
      <c r="G462" s="12">
        <f>IF(原始資料!$A462="","",IF(OR(C462="是",D462="是",E462="是",F462="是"),"剔除","保留"))</f>
        <v/>
      </c>
      <c r="H462" s="12">
        <f>IF(G462="保留",COUNTIF($G$2:G462,"保留"),"")</f>
        <v/>
      </c>
    </row>
    <row r="463">
      <c r="A463" s="12">
        <f>IF(原始資料!$A463="","",原始資料!$A463)</f>
        <v/>
      </c>
      <c r="B463" s="12">
        <f>IF(原始資料!$A463="","",MAX(連續計數!B463:BI463))</f>
        <v/>
      </c>
      <c r="C463" s="12">
        <f>IF(OR(原始資料!$A463="",設定!$B$4=""),"",IF(原始資料!$C463&lt;&gt;設定!$B$4,"是",""))</f>
        <v/>
      </c>
      <c r="D463" s="12">
        <f>IF(OR(原始資料!$A463="",設定!$B$5=""),"",IF(原始資料!$B463&lt;設定!$B$5,"是",""))</f>
        <v/>
      </c>
      <c r="E463" s="12">
        <f>IF(OR(原始資料!$A463="",設定!$B$6=""),"",IF(B463&gt;=設定!$B$6,"是",""))</f>
        <v/>
      </c>
      <c r="F463" s="13" t="n"/>
      <c r="G463" s="12">
        <f>IF(原始資料!$A463="","",IF(OR(C463="是",D463="是",E463="是",F463="是"),"剔除","保留"))</f>
        <v/>
      </c>
      <c r="H463" s="12">
        <f>IF(G463="保留",COUNTIF($G$2:G463,"保留"),"")</f>
        <v/>
      </c>
    </row>
    <row r="464">
      <c r="A464" s="12">
        <f>IF(原始資料!$A464="","",原始資料!$A464)</f>
        <v/>
      </c>
      <c r="B464" s="12">
        <f>IF(原始資料!$A464="","",MAX(連續計數!B464:BI464))</f>
        <v/>
      </c>
      <c r="C464" s="12">
        <f>IF(OR(原始資料!$A464="",設定!$B$4=""),"",IF(原始資料!$C464&lt;&gt;設定!$B$4,"是",""))</f>
        <v/>
      </c>
      <c r="D464" s="12">
        <f>IF(OR(原始資料!$A464="",設定!$B$5=""),"",IF(原始資料!$B464&lt;設定!$B$5,"是",""))</f>
        <v/>
      </c>
      <c r="E464" s="12">
        <f>IF(OR(原始資料!$A464="",設定!$B$6=""),"",IF(B464&gt;=設定!$B$6,"是",""))</f>
        <v/>
      </c>
      <c r="F464" s="13" t="n"/>
      <c r="G464" s="12">
        <f>IF(原始資料!$A464="","",IF(OR(C464="是",D464="是",E464="是",F464="是"),"剔除","保留"))</f>
        <v/>
      </c>
      <c r="H464" s="12">
        <f>IF(G464="保留",COUNTIF($G$2:G464,"保留"),"")</f>
        <v/>
      </c>
    </row>
    <row r="465">
      <c r="A465" s="12">
        <f>IF(原始資料!$A465="","",原始資料!$A465)</f>
        <v/>
      </c>
      <c r="B465" s="12">
        <f>IF(原始資料!$A465="","",MAX(連續計數!B465:BI465))</f>
        <v/>
      </c>
      <c r="C465" s="12">
        <f>IF(OR(原始資料!$A465="",設定!$B$4=""),"",IF(原始資料!$C465&lt;&gt;設定!$B$4,"是",""))</f>
        <v/>
      </c>
      <c r="D465" s="12">
        <f>IF(OR(原始資料!$A465="",設定!$B$5=""),"",IF(原始資料!$B465&lt;設定!$B$5,"是",""))</f>
        <v/>
      </c>
      <c r="E465" s="12">
        <f>IF(OR(原始資料!$A465="",設定!$B$6=""),"",IF(B465&gt;=設定!$B$6,"是",""))</f>
        <v/>
      </c>
      <c r="F465" s="13" t="n"/>
      <c r="G465" s="12">
        <f>IF(原始資料!$A465="","",IF(OR(C465="是",D465="是",E465="是",F465="是"),"剔除","保留"))</f>
        <v/>
      </c>
      <c r="H465" s="12">
        <f>IF(G465="保留",COUNTIF($G$2:G465,"保留"),"")</f>
        <v/>
      </c>
    </row>
    <row r="466">
      <c r="A466" s="12">
        <f>IF(原始資料!$A466="","",原始資料!$A466)</f>
        <v/>
      </c>
      <c r="B466" s="12">
        <f>IF(原始資料!$A466="","",MAX(連續計數!B466:BI466))</f>
        <v/>
      </c>
      <c r="C466" s="12">
        <f>IF(OR(原始資料!$A466="",設定!$B$4=""),"",IF(原始資料!$C466&lt;&gt;設定!$B$4,"是",""))</f>
        <v/>
      </c>
      <c r="D466" s="12">
        <f>IF(OR(原始資料!$A466="",設定!$B$5=""),"",IF(原始資料!$B466&lt;設定!$B$5,"是",""))</f>
        <v/>
      </c>
      <c r="E466" s="12">
        <f>IF(OR(原始資料!$A466="",設定!$B$6=""),"",IF(B466&gt;=設定!$B$6,"是",""))</f>
        <v/>
      </c>
      <c r="F466" s="13" t="n"/>
      <c r="G466" s="12">
        <f>IF(原始資料!$A466="","",IF(OR(C466="是",D466="是",E466="是",F466="是"),"剔除","保留"))</f>
        <v/>
      </c>
      <c r="H466" s="12">
        <f>IF(G466="保留",COUNTIF($G$2:G466,"保留"),"")</f>
        <v/>
      </c>
    </row>
    <row r="467">
      <c r="A467" s="12">
        <f>IF(原始資料!$A467="","",原始資料!$A467)</f>
        <v/>
      </c>
      <c r="B467" s="12">
        <f>IF(原始資料!$A467="","",MAX(連續計數!B467:BI467))</f>
        <v/>
      </c>
      <c r="C467" s="12">
        <f>IF(OR(原始資料!$A467="",設定!$B$4=""),"",IF(原始資料!$C467&lt;&gt;設定!$B$4,"是",""))</f>
        <v/>
      </c>
      <c r="D467" s="12">
        <f>IF(OR(原始資料!$A467="",設定!$B$5=""),"",IF(原始資料!$B467&lt;設定!$B$5,"是",""))</f>
        <v/>
      </c>
      <c r="E467" s="12">
        <f>IF(OR(原始資料!$A467="",設定!$B$6=""),"",IF(B467&gt;=設定!$B$6,"是",""))</f>
        <v/>
      </c>
      <c r="F467" s="13" t="n"/>
      <c r="G467" s="12">
        <f>IF(原始資料!$A467="","",IF(OR(C467="是",D467="是",E467="是",F467="是"),"剔除","保留"))</f>
        <v/>
      </c>
      <c r="H467" s="12">
        <f>IF(G467="保留",COUNTIF($G$2:G467,"保留"),"")</f>
        <v/>
      </c>
    </row>
    <row r="468">
      <c r="A468" s="12">
        <f>IF(原始資料!$A468="","",原始資料!$A468)</f>
        <v/>
      </c>
      <c r="B468" s="12">
        <f>IF(原始資料!$A468="","",MAX(連續計數!B468:BI468))</f>
        <v/>
      </c>
      <c r="C468" s="12">
        <f>IF(OR(原始資料!$A468="",設定!$B$4=""),"",IF(原始資料!$C468&lt;&gt;設定!$B$4,"是",""))</f>
        <v/>
      </c>
      <c r="D468" s="12">
        <f>IF(OR(原始資料!$A468="",設定!$B$5=""),"",IF(原始資料!$B468&lt;設定!$B$5,"是",""))</f>
        <v/>
      </c>
      <c r="E468" s="12">
        <f>IF(OR(原始資料!$A468="",設定!$B$6=""),"",IF(B468&gt;=設定!$B$6,"是",""))</f>
        <v/>
      </c>
      <c r="F468" s="13" t="n"/>
      <c r="G468" s="12">
        <f>IF(原始資料!$A468="","",IF(OR(C468="是",D468="是",E468="是",F468="是"),"剔除","保留"))</f>
        <v/>
      </c>
      <c r="H468" s="12">
        <f>IF(G468="保留",COUNTIF($G$2:G468,"保留"),"")</f>
        <v/>
      </c>
    </row>
    <row r="469">
      <c r="A469" s="12">
        <f>IF(原始資料!$A469="","",原始資料!$A469)</f>
        <v/>
      </c>
      <c r="B469" s="12">
        <f>IF(原始資料!$A469="","",MAX(連續計數!B469:BI469))</f>
        <v/>
      </c>
      <c r="C469" s="12">
        <f>IF(OR(原始資料!$A469="",設定!$B$4=""),"",IF(原始資料!$C469&lt;&gt;設定!$B$4,"是",""))</f>
        <v/>
      </c>
      <c r="D469" s="12">
        <f>IF(OR(原始資料!$A469="",設定!$B$5=""),"",IF(原始資料!$B469&lt;設定!$B$5,"是",""))</f>
        <v/>
      </c>
      <c r="E469" s="12">
        <f>IF(OR(原始資料!$A469="",設定!$B$6=""),"",IF(B469&gt;=設定!$B$6,"是",""))</f>
        <v/>
      </c>
      <c r="F469" s="13" t="n"/>
      <c r="G469" s="12">
        <f>IF(原始資料!$A469="","",IF(OR(C469="是",D469="是",E469="是",F469="是"),"剔除","保留"))</f>
        <v/>
      </c>
      <c r="H469" s="12">
        <f>IF(G469="保留",COUNTIF($G$2:G469,"保留"),"")</f>
        <v/>
      </c>
    </row>
    <row r="470">
      <c r="A470" s="12">
        <f>IF(原始資料!$A470="","",原始資料!$A470)</f>
        <v/>
      </c>
      <c r="B470" s="12">
        <f>IF(原始資料!$A470="","",MAX(連續計數!B470:BI470))</f>
        <v/>
      </c>
      <c r="C470" s="12">
        <f>IF(OR(原始資料!$A470="",設定!$B$4=""),"",IF(原始資料!$C470&lt;&gt;設定!$B$4,"是",""))</f>
        <v/>
      </c>
      <c r="D470" s="12">
        <f>IF(OR(原始資料!$A470="",設定!$B$5=""),"",IF(原始資料!$B470&lt;設定!$B$5,"是",""))</f>
        <v/>
      </c>
      <c r="E470" s="12">
        <f>IF(OR(原始資料!$A470="",設定!$B$6=""),"",IF(B470&gt;=設定!$B$6,"是",""))</f>
        <v/>
      </c>
      <c r="F470" s="13" t="n"/>
      <c r="G470" s="12">
        <f>IF(原始資料!$A470="","",IF(OR(C470="是",D470="是",E470="是",F470="是"),"剔除","保留"))</f>
        <v/>
      </c>
      <c r="H470" s="12">
        <f>IF(G470="保留",COUNTIF($G$2:G470,"保留"),"")</f>
        <v/>
      </c>
    </row>
    <row r="471">
      <c r="A471" s="12">
        <f>IF(原始資料!$A471="","",原始資料!$A471)</f>
        <v/>
      </c>
      <c r="B471" s="12">
        <f>IF(原始資料!$A471="","",MAX(連續計數!B471:BI471))</f>
        <v/>
      </c>
      <c r="C471" s="12">
        <f>IF(OR(原始資料!$A471="",設定!$B$4=""),"",IF(原始資料!$C471&lt;&gt;設定!$B$4,"是",""))</f>
        <v/>
      </c>
      <c r="D471" s="12">
        <f>IF(OR(原始資料!$A471="",設定!$B$5=""),"",IF(原始資料!$B471&lt;設定!$B$5,"是",""))</f>
        <v/>
      </c>
      <c r="E471" s="12">
        <f>IF(OR(原始資料!$A471="",設定!$B$6=""),"",IF(B471&gt;=設定!$B$6,"是",""))</f>
        <v/>
      </c>
      <c r="F471" s="13" t="n"/>
      <c r="G471" s="12">
        <f>IF(原始資料!$A471="","",IF(OR(C471="是",D471="是",E471="是",F471="是"),"剔除","保留"))</f>
        <v/>
      </c>
      <c r="H471" s="12">
        <f>IF(G471="保留",COUNTIF($G$2:G471,"保留"),"")</f>
        <v/>
      </c>
    </row>
    <row r="472">
      <c r="A472" s="12">
        <f>IF(原始資料!$A472="","",原始資料!$A472)</f>
        <v/>
      </c>
      <c r="B472" s="12">
        <f>IF(原始資料!$A472="","",MAX(連續計數!B472:BI472))</f>
        <v/>
      </c>
      <c r="C472" s="12">
        <f>IF(OR(原始資料!$A472="",設定!$B$4=""),"",IF(原始資料!$C472&lt;&gt;設定!$B$4,"是",""))</f>
        <v/>
      </c>
      <c r="D472" s="12">
        <f>IF(OR(原始資料!$A472="",設定!$B$5=""),"",IF(原始資料!$B472&lt;設定!$B$5,"是",""))</f>
        <v/>
      </c>
      <c r="E472" s="12">
        <f>IF(OR(原始資料!$A472="",設定!$B$6=""),"",IF(B472&gt;=設定!$B$6,"是",""))</f>
        <v/>
      </c>
      <c r="F472" s="13" t="n"/>
      <c r="G472" s="12">
        <f>IF(原始資料!$A472="","",IF(OR(C472="是",D472="是",E472="是",F472="是"),"剔除","保留"))</f>
        <v/>
      </c>
      <c r="H472" s="12">
        <f>IF(G472="保留",COUNTIF($G$2:G472,"保留"),"")</f>
        <v/>
      </c>
    </row>
    <row r="473">
      <c r="A473" s="12">
        <f>IF(原始資料!$A473="","",原始資料!$A473)</f>
        <v/>
      </c>
      <c r="B473" s="12">
        <f>IF(原始資料!$A473="","",MAX(連續計數!B473:BI473))</f>
        <v/>
      </c>
      <c r="C473" s="12">
        <f>IF(OR(原始資料!$A473="",設定!$B$4=""),"",IF(原始資料!$C473&lt;&gt;設定!$B$4,"是",""))</f>
        <v/>
      </c>
      <c r="D473" s="12">
        <f>IF(OR(原始資料!$A473="",設定!$B$5=""),"",IF(原始資料!$B473&lt;設定!$B$5,"是",""))</f>
        <v/>
      </c>
      <c r="E473" s="12">
        <f>IF(OR(原始資料!$A473="",設定!$B$6=""),"",IF(B473&gt;=設定!$B$6,"是",""))</f>
        <v/>
      </c>
      <c r="F473" s="13" t="n"/>
      <c r="G473" s="12">
        <f>IF(原始資料!$A473="","",IF(OR(C473="是",D473="是",E473="是",F473="是"),"剔除","保留"))</f>
        <v/>
      </c>
      <c r="H473" s="12">
        <f>IF(G473="保留",COUNTIF($G$2:G473,"保留"),"")</f>
        <v/>
      </c>
    </row>
    <row r="474">
      <c r="A474" s="12">
        <f>IF(原始資料!$A474="","",原始資料!$A474)</f>
        <v/>
      </c>
      <c r="B474" s="12">
        <f>IF(原始資料!$A474="","",MAX(連續計數!B474:BI474))</f>
        <v/>
      </c>
      <c r="C474" s="12">
        <f>IF(OR(原始資料!$A474="",設定!$B$4=""),"",IF(原始資料!$C474&lt;&gt;設定!$B$4,"是",""))</f>
        <v/>
      </c>
      <c r="D474" s="12">
        <f>IF(OR(原始資料!$A474="",設定!$B$5=""),"",IF(原始資料!$B474&lt;設定!$B$5,"是",""))</f>
        <v/>
      </c>
      <c r="E474" s="12">
        <f>IF(OR(原始資料!$A474="",設定!$B$6=""),"",IF(B474&gt;=設定!$B$6,"是",""))</f>
        <v/>
      </c>
      <c r="F474" s="13" t="n"/>
      <c r="G474" s="12">
        <f>IF(原始資料!$A474="","",IF(OR(C474="是",D474="是",E474="是",F474="是"),"剔除","保留"))</f>
        <v/>
      </c>
      <c r="H474" s="12">
        <f>IF(G474="保留",COUNTIF($G$2:G474,"保留"),"")</f>
        <v/>
      </c>
    </row>
    <row r="475">
      <c r="A475" s="12">
        <f>IF(原始資料!$A475="","",原始資料!$A475)</f>
        <v/>
      </c>
      <c r="B475" s="12">
        <f>IF(原始資料!$A475="","",MAX(連續計數!B475:BI475))</f>
        <v/>
      </c>
      <c r="C475" s="12">
        <f>IF(OR(原始資料!$A475="",設定!$B$4=""),"",IF(原始資料!$C475&lt;&gt;設定!$B$4,"是",""))</f>
        <v/>
      </c>
      <c r="D475" s="12">
        <f>IF(OR(原始資料!$A475="",設定!$B$5=""),"",IF(原始資料!$B475&lt;設定!$B$5,"是",""))</f>
        <v/>
      </c>
      <c r="E475" s="12">
        <f>IF(OR(原始資料!$A475="",設定!$B$6=""),"",IF(B475&gt;=設定!$B$6,"是",""))</f>
        <v/>
      </c>
      <c r="F475" s="13" t="n"/>
      <c r="G475" s="12">
        <f>IF(原始資料!$A475="","",IF(OR(C475="是",D475="是",E475="是",F475="是"),"剔除","保留"))</f>
        <v/>
      </c>
      <c r="H475" s="12">
        <f>IF(G475="保留",COUNTIF($G$2:G475,"保留"),"")</f>
        <v/>
      </c>
    </row>
    <row r="476">
      <c r="A476" s="12">
        <f>IF(原始資料!$A476="","",原始資料!$A476)</f>
        <v/>
      </c>
      <c r="B476" s="12">
        <f>IF(原始資料!$A476="","",MAX(連續計數!B476:BI476))</f>
        <v/>
      </c>
      <c r="C476" s="12">
        <f>IF(OR(原始資料!$A476="",設定!$B$4=""),"",IF(原始資料!$C476&lt;&gt;設定!$B$4,"是",""))</f>
        <v/>
      </c>
      <c r="D476" s="12">
        <f>IF(OR(原始資料!$A476="",設定!$B$5=""),"",IF(原始資料!$B476&lt;設定!$B$5,"是",""))</f>
        <v/>
      </c>
      <c r="E476" s="12">
        <f>IF(OR(原始資料!$A476="",設定!$B$6=""),"",IF(B476&gt;=設定!$B$6,"是",""))</f>
        <v/>
      </c>
      <c r="F476" s="13" t="n"/>
      <c r="G476" s="12">
        <f>IF(原始資料!$A476="","",IF(OR(C476="是",D476="是",E476="是",F476="是"),"剔除","保留"))</f>
        <v/>
      </c>
      <c r="H476" s="12">
        <f>IF(G476="保留",COUNTIF($G$2:G476,"保留"),"")</f>
        <v/>
      </c>
    </row>
    <row r="477">
      <c r="A477" s="12">
        <f>IF(原始資料!$A477="","",原始資料!$A477)</f>
        <v/>
      </c>
      <c r="B477" s="12">
        <f>IF(原始資料!$A477="","",MAX(連續計數!B477:BI477))</f>
        <v/>
      </c>
      <c r="C477" s="12">
        <f>IF(OR(原始資料!$A477="",設定!$B$4=""),"",IF(原始資料!$C477&lt;&gt;設定!$B$4,"是",""))</f>
        <v/>
      </c>
      <c r="D477" s="12">
        <f>IF(OR(原始資料!$A477="",設定!$B$5=""),"",IF(原始資料!$B477&lt;設定!$B$5,"是",""))</f>
        <v/>
      </c>
      <c r="E477" s="12">
        <f>IF(OR(原始資料!$A477="",設定!$B$6=""),"",IF(B477&gt;=設定!$B$6,"是",""))</f>
        <v/>
      </c>
      <c r="F477" s="13" t="n"/>
      <c r="G477" s="12">
        <f>IF(原始資料!$A477="","",IF(OR(C477="是",D477="是",E477="是",F477="是"),"剔除","保留"))</f>
        <v/>
      </c>
      <c r="H477" s="12">
        <f>IF(G477="保留",COUNTIF($G$2:G477,"保留"),"")</f>
        <v/>
      </c>
    </row>
    <row r="478">
      <c r="A478" s="12">
        <f>IF(原始資料!$A478="","",原始資料!$A478)</f>
        <v/>
      </c>
      <c r="B478" s="12">
        <f>IF(原始資料!$A478="","",MAX(連續計數!B478:BI478))</f>
        <v/>
      </c>
      <c r="C478" s="12">
        <f>IF(OR(原始資料!$A478="",設定!$B$4=""),"",IF(原始資料!$C478&lt;&gt;設定!$B$4,"是",""))</f>
        <v/>
      </c>
      <c r="D478" s="12">
        <f>IF(OR(原始資料!$A478="",設定!$B$5=""),"",IF(原始資料!$B478&lt;設定!$B$5,"是",""))</f>
        <v/>
      </c>
      <c r="E478" s="12">
        <f>IF(OR(原始資料!$A478="",設定!$B$6=""),"",IF(B478&gt;=設定!$B$6,"是",""))</f>
        <v/>
      </c>
      <c r="F478" s="13" t="n"/>
      <c r="G478" s="12">
        <f>IF(原始資料!$A478="","",IF(OR(C478="是",D478="是",E478="是",F478="是"),"剔除","保留"))</f>
        <v/>
      </c>
      <c r="H478" s="12">
        <f>IF(G478="保留",COUNTIF($G$2:G478,"保留"),"")</f>
        <v/>
      </c>
    </row>
    <row r="479">
      <c r="A479" s="12">
        <f>IF(原始資料!$A479="","",原始資料!$A479)</f>
        <v/>
      </c>
      <c r="B479" s="12">
        <f>IF(原始資料!$A479="","",MAX(連續計數!B479:BI479))</f>
        <v/>
      </c>
      <c r="C479" s="12">
        <f>IF(OR(原始資料!$A479="",設定!$B$4=""),"",IF(原始資料!$C479&lt;&gt;設定!$B$4,"是",""))</f>
        <v/>
      </c>
      <c r="D479" s="12">
        <f>IF(OR(原始資料!$A479="",設定!$B$5=""),"",IF(原始資料!$B479&lt;設定!$B$5,"是",""))</f>
        <v/>
      </c>
      <c r="E479" s="12">
        <f>IF(OR(原始資料!$A479="",設定!$B$6=""),"",IF(B479&gt;=設定!$B$6,"是",""))</f>
        <v/>
      </c>
      <c r="F479" s="13" t="n"/>
      <c r="G479" s="12">
        <f>IF(原始資料!$A479="","",IF(OR(C479="是",D479="是",E479="是",F479="是"),"剔除","保留"))</f>
        <v/>
      </c>
      <c r="H479" s="12">
        <f>IF(G479="保留",COUNTIF($G$2:G479,"保留"),"")</f>
        <v/>
      </c>
    </row>
    <row r="480">
      <c r="A480" s="12">
        <f>IF(原始資料!$A480="","",原始資料!$A480)</f>
        <v/>
      </c>
      <c r="B480" s="12">
        <f>IF(原始資料!$A480="","",MAX(連續計數!B480:BI480))</f>
        <v/>
      </c>
      <c r="C480" s="12">
        <f>IF(OR(原始資料!$A480="",設定!$B$4=""),"",IF(原始資料!$C480&lt;&gt;設定!$B$4,"是",""))</f>
        <v/>
      </c>
      <c r="D480" s="12">
        <f>IF(OR(原始資料!$A480="",設定!$B$5=""),"",IF(原始資料!$B480&lt;設定!$B$5,"是",""))</f>
        <v/>
      </c>
      <c r="E480" s="12">
        <f>IF(OR(原始資料!$A480="",設定!$B$6=""),"",IF(B480&gt;=設定!$B$6,"是",""))</f>
        <v/>
      </c>
      <c r="F480" s="13" t="n"/>
      <c r="G480" s="12">
        <f>IF(原始資料!$A480="","",IF(OR(C480="是",D480="是",E480="是",F480="是"),"剔除","保留"))</f>
        <v/>
      </c>
      <c r="H480" s="12">
        <f>IF(G480="保留",COUNTIF($G$2:G480,"保留"),"")</f>
        <v/>
      </c>
    </row>
    <row r="481">
      <c r="A481" s="12">
        <f>IF(原始資料!$A481="","",原始資料!$A481)</f>
        <v/>
      </c>
      <c r="B481" s="12">
        <f>IF(原始資料!$A481="","",MAX(連續計數!B481:BI481))</f>
        <v/>
      </c>
      <c r="C481" s="12">
        <f>IF(OR(原始資料!$A481="",設定!$B$4=""),"",IF(原始資料!$C481&lt;&gt;設定!$B$4,"是",""))</f>
        <v/>
      </c>
      <c r="D481" s="12">
        <f>IF(OR(原始資料!$A481="",設定!$B$5=""),"",IF(原始資料!$B481&lt;設定!$B$5,"是",""))</f>
        <v/>
      </c>
      <c r="E481" s="12">
        <f>IF(OR(原始資料!$A481="",設定!$B$6=""),"",IF(B481&gt;=設定!$B$6,"是",""))</f>
        <v/>
      </c>
      <c r="F481" s="13" t="n"/>
      <c r="G481" s="12">
        <f>IF(原始資料!$A481="","",IF(OR(C481="是",D481="是",E481="是",F481="是"),"剔除","保留"))</f>
        <v/>
      </c>
      <c r="H481" s="12">
        <f>IF(G481="保留",COUNTIF($G$2:G481,"保留"),"")</f>
        <v/>
      </c>
    </row>
    <row r="482">
      <c r="A482" s="12">
        <f>IF(原始資料!$A482="","",原始資料!$A482)</f>
        <v/>
      </c>
      <c r="B482" s="12">
        <f>IF(原始資料!$A482="","",MAX(連續計數!B482:BI482))</f>
        <v/>
      </c>
      <c r="C482" s="12">
        <f>IF(OR(原始資料!$A482="",設定!$B$4=""),"",IF(原始資料!$C482&lt;&gt;設定!$B$4,"是",""))</f>
        <v/>
      </c>
      <c r="D482" s="12">
        <f>IF(OR(原始資料!$A482="",設定!$B$5=""),"",IF(原始資料!$B482&lt;設定!$B$5,"是",""))</f>
        <v/>
      </c>
      <c r="E482" s="12">
        <f>IF(OR(原始資料!$A482="",設定!$B$6=""),"",IF(B482&gt;=設定!$B$6,"是",""))</f>
        <v/>
      </c>
      <c r="F482" s="13" t="n"/>
      <c r="G482" s="12">
        <f>IF(原始資料!$A482="","",IF(OR(C482="是",D482="是",E482="是",F482="是"),"剔除","保留"))</f>
        <v/>
      </c>
      <c r="H482" s="12">
        <f>IF(G482="保留",COUNTIF($G$2:G482,"保留"),"")</f>
        <v/>
      </c>
    </row>
    <row r="483">
      <c r="A483" s="12">
        <f>IF(原始資料!$A483="","",原始資料!$A483)</f>
        <v/>
      </c>
      <c r="B483" s="12">
        <f>IF(原始資料!$A483="","",MAX(連續計數!B483:BI483))</f>
        <v/>
      </c>
      <c r="C483" s="12">
        <f>IF(OR(原始資料!$A483="",設定!$B$4=""),"",IF(原始資料!$C483&lt;&gt;設定!$B$4,"是",""))</f>
        <v/>
      </c>
      <c r="D483" s="12">
        <f>IF(OR(原始資料!$A483="",設定!$B$5=""),"",IF(原始資料!$B483&lt;設定!$B$5,"是",""))</f>
        <v/>
      </c>
      <c r="E483" s="12">
        <f>IF(OR(原始資料!$A483="",設定!$B$6=""),"",IF(B483&gt;=設定!$B$6,"是",""))</f>
        <v/>
      </c>
      <c r="F483" s="13" t="n"/>
      <c r="G483" s="12">
        <f>IF(原始資料!$A483="","",IF(OR(C483="是",D483="是",E483="是",F483="是"),"剔除","保留"))</f>
        <v/>
      </c>
      <c r="H483" s="12">
        <f>IF(G483="保留",COUNTIF($G$2:G483,"保留"),"")</f>
        <v/>
      </c>
    </row>
    <row r="484">
      <c r="A484" s="12">
        <f>IF(原始資料!$A484="","",原始資料!$A484)</f>
        <v/>
      </c>
      <c r="B484" s="12">
        <f>IF(原始資料!$A484="","",MAX(連續計數!B484:BI484))</f>
        <v/>
      </c>
      <c r="C484" s="12">
        <f>IF(OR(原始資料!$A484="",設定!$B$4=""),"",IF(原始資料!$C484&lt;&gt;設定!$B$4,"是",""))</f>
        <v/>
      </c>
      <c r="D484" s="12">
        <f>IF(OR(原始資料!$A484="",設定!$B$5=""),"",IF(原始資料!$B484&lt;設定!$B$5,"是",""))</f>
        <v/>
      </c>
      <c r="E484" s="12">
        <f>IF(OR(原始資料!$A484="",設定!$B$6=""),"",IF(B484&gt;=設定!$B$6,"是",""))</f>
        <v/>
      </c>
      <c r="F484" s="13" t="n"/>
      <c r="G484" s="12">
        <f>IF(原始資料!$A484="","",IF(OR(C484="是",D484="是",E484="是",F484="是"),"剔除","保留"))</f>
        <v/>
      </c>
      <c r="H484" s="12">
        <f>IF(G484="保留",COUNTIF($G$2:G484,"保留"),"")</f>
        <v/>
      </c>
    </row>
    <row r="485">
      <c r="A485" s="12">
        <f>IF(原始資料!$A485="","",原始資料!$A485)</f>
        <v/>
      </c>
      <c r="B485" s="12">
        <f>IF(原始資料!$A485="","",MAX(連續計數!B485:BI485))</f>
        <v/>
      </c>
      <c r="C485" s="12">
        <f>IF(OR(原始資料!$A485="",設定!$B$4=""),"",IF(原始資料!$C485&lt;&gt;設定!$B$4,"是",""))</f>
        <v/>
      </c>
      <c r="D485" s="12">
        <f>IF(OR(原始資料!$A485="",設定!$B$5=""),"",IF(原始資料!$B485&lt;設定!$B$5,"是",""))</f>
        <v/>
      </c>
      <c r="E485" s="12">
        <f>IF(OR(原始資料!$A485="",設定!$B$6=""),"",IF(B485&gt;=設定!$B$6,"是",""))</f>
        <v/>
      </c>
      <c r="F485" s="13" t="n"/>
      <c r="G485" s="12">
        <f>IF(原始資料!$A485="","",IF(OR(C485="是",D485="是",E485="是",F485="是"),"剔除","保留"))</f>
        <v/>
      </c>
      <c r="H485" s="12">
        <f>IF(G485="保留",COUNTIF($G$2:G485,"保留"),"")</f>
        <v/>
      </c>
    </row>
    <row r="486">
      <c r="A486" s="12">
        <f>IF(原始資料!$A486="","",原始資料!$A486)</f>
        <v/>
      </c>
      <c r="B486" s="12">
        <f>IF(原始資料!$A486="","",MAX(連續計數!B486:BI486))</f>
        <v/>
      </c>
      <c r="C486" s="12">
        <f>IF(OR(原始資料!$A486="",設定!$B$4=""),"",IF(原始資料!$C486&lt;&gt;設定!$B$4,"是",""))</f>
        <v/>
      </c>
      <c r="D486" s="12">
        <f>IF(OR(原始資料!$A486="",設定!$B$5=""),"",IF(原始資料!$B486&lt;設定!$B$5,"是",""))</f>
        <v/>
      </c>
      <c r="E486" s="12">
        <f>IF(OR(原始資料!$A486="",設定!$B$6=""),"",IF(B486&gt;=設定!$B$6,"是",""))</f>
        <v/>
      </c>
      <c r="F486" s="13" t="n"/>
      <c r="G486" s="12">
        <f>IF(原始資料!$A486="","",IF(OR(C486="是",D486="是",E486="是",F486="是"),"剔除","保留"))</f>
        <v/>
      </c>
      <c r="H486" s="12">
        <f>IF(G486="保留",COUNTIF($G$2:G486,"保留"),"")</f>
        <v/>
      </c>
    </row>
    <row r="487">
      <c r="A487" s="12">
        <f>IF(原始資料!$A487="","",原始資料!$A487)</f>
        <v/>
      </c>
      <c r="B487" s="12">
        <f>IF(原始資料!$A487="","",MAX(連續計數!B487:BI487))</f>
        <v/>
      </c>
      <c r="C487" s="12">
        <f>IF(OR(原始資料!$A487="",設定!$B$4=""),"",IF(原始資料!$C487&lt;&gt;設定!$B$4,"是",""))</f>
        <v/>
      </c>
      <c r="D487" s="12">
        <f>IF(OR(原始資料!$A487="",設定!$B$5=""),"",IF(原始資料!$B487&lt;設定!$B$5,"是",""))</f>
        <v/>
      </c>
      <c r="E487" s="12">
        <f>IF(OR(原始資料!$A487="",設定!$B$6=""),"",IF(B487&gt;=設定!$B$6,"是",""))</f>
        <v/>
      </c>
      <c r="F487" s="13" t="n"/>
      <c r="G487" s="12">
        <f>IF(原始資料!$A487="","",IF(OR(C487="是",D487="是",E487="是",F487="是"),"剔除","保留"))</f>
        <v/>
      </c>
      <c r="H487" s="12">
        <f>IF(G487="保留",COUNTIF($G$2:G487,"保留"),"")</f>
        <v/>
      </c>
    </row>
    <row r="488">
      <c r="A488" s="12">
        <f>IF(原始資料!$A488="","",原始資料!$A488)</f>
        <v/>
      </c>
      <c r="B488" s="12">
        <f>IF(原始資料!$A488="","",MAX(連續計數!B488:BI488))</f>
        <v/>
      </c>
      <c r="C488" s="12">
        <f>IF(OR(原始資料!$A488="",設定!$B$4=""),"",IF(原始資料!$C488&lt;&gt;設定!$B$4,"是",""))</f>
        <v/>
      </c>
      <c r="D488" s="12">
        <f>IF(OR(原始資料!$A488="",設定!$B$5=""),"",IF(原始資料!$B488&lt;設定!$B$5,"是",""))</f>
        <v/>
      </c>
      <c r="E488" s="12">
        <f>IF(OR(原始資料!$A488="",設定!$B$6=""),"",IF(B488&gt;=設定!$B$6,"是",""))</f>
        <v/>
      </c>
      <c r="F488" s="13" t="n"/>
      <c r="G488" s="12">
        <f>IF(原始資料!$A488="","",IF(OR(C488="是",D488="是",E488="是",F488="是"),"剔除","保留"))</f>
        <v/>
      </c>
      <c r="H488" s="12">
        <f>IF(G488="保留",COUNTIF($G$2:G488,"保留"),"")</f>
        <v/>
      </c>
    </row>
    <row r="489">
      <c r="A489" s="12">
        <f>IF(原始資料!$A489="","",原始資料!$A489)</f>
        <v/>
      </c>
      <c r="B489" s="12">
        <f>IF(原始資料!$A489="","",MAX(連續計數!B489:BI489))</f>
        <v/>
      </c>
      <c r="C489" s="12">
        <f>IF(OR(原始資料!$A489="",設定!$B$4=""),"",IF(原始資料!$C489&lt;&gt;設定!$B$4,"是",""))</f>
        <v/>
      </c>
      <c r="D489" s="12">
        <f>IF(OR(原始資料!$A489="",設定!$B$5=""),"",IF(原始資料!$B489&lt;設定!$B$5,"是",""))</f>
        <v/>
      </c>
      <c r="E489" s="12">
        <f>IF(OR(原始資料!$A489="",設定!$B$6=""),"",IF(B489&gt;=設定!$B$6,"是",""))</f>
        <v/>
      </c>
      <c r="F489" s="13" t="n"/>
      <c r="G489" s="12">
        <f>IF(原始資料!$A489="","",IF(OR(C489="是",D489="是",E489="是",F489="是"),"剔除","保留"))</f>
        <v/>
      </c>
      <c r="H489" s="12">
        <f>IF(G489="保留",COUNTIF($G$2:G489,"保留"),"")</f>
        <v/>
      </c>
    </row>
    <row r="490">
      <c r="A490" s="12">
        <f>IF(原始資料!$A490="","",原始資料!$A490)</f>
        <v/>
      </c>
      <c r="B490" s="12">
        <f>IF(原始資料!$A490="","",MAX(連續計數!B490:BI490))</f>
        <v/>
      </c>
      <c r="C490" s="12">
        <f>IF(OR(原始資料!$A490="",設定!$B$4=""),"",IF(原始資料!$C490&lt;&gt;設定!$B$4,"是",""))</f>
        <v/>
      </c>
      <c r="D490" s="12">
        <f>IF(OR(原始資料!$A490="",設定!$B$5=""),"",IF(原始資料!$B490&lt;設定!$B$5,"是",""))</f>
        <v/>
      </c>
      <c r="E490" s="12">
        <f>IF(OR(原始資料!$A490="",設定!$B$6=""),"",IF(B490&gt;=設定!$B$6,"是",""))</f>
        <v/>
      </c>
      <c r="F490" s="13" t="n"/>
      <c r="G490" s="12">
        <f>IF(原始資料!$A490="","",IF(OR(C490="是",D490="是",E490="是",F490="是"),"剔除","保留"))</f>
        <v/>
      </c>
      <c r="H490" s="12">
        <f>IF(G490="保留",COUNTIF($G$2:G490,"保留"),"")</f>
        <v/>
      </c>
    </row>
    <row r="491">
      <c r="A491" s="12">
        <f>IF(原始資料!$A491="","",原始資料!$A491)</f>
        <v/>
      </c>
      <c r="B491" s="12">
        <f>IF(原始資料!$A491="","",MAX(連續計數!B491:BI491))</f>
        <v/>
      </c>
      <c r="C491" s="12">
        <f>IF(OR(原始資料!$A491="",設定!$B$4=""),"",IF(原始資料!$C491&lt;&gt;設定!$B$4,"是",""))</f>
        <v/>
      </c>
      <c r="D491" s="12">
        <f>IF(OR(原始資料!$A491="",設定!$B$5=""),"",IF(原始資料!$B491&lt;設定!$B$5,"是",""))</f>
        <v/>
      </c>
      <c r="E491" s="12">
        <f>IF(OR(原始資料!$A491="",設定!$B$6=""),"",IF(B491&gt;=設定!$B$6,"是",""))</f>
        <v/>
      </c>
      <c r="F491" s="13" t="n"/>
      <c r="G491" s="12">
        <f>IF(原始資料!$A491="","",IF(OR(C491="是",D491="是",E491="是",F491="是"),"剔除","保留"))</f>
        <v/>
      </c>
      <c r="H491" s="12">
        <f>IF(G491="保留",COUNTIF($G$2:G491,"保留"),"")</f>
        <v/>
      </c>
    </row>
    <row r="492">
      <c r="A492" s="12">
        <f>IF(原始資料!$A492="","",原始資料!$A492)</f>
        <v/>
      </c>
      <c r="B492" s="12">
        <f>IF(原始資料!$A492="","",MAX(連續計數!B492:BI492))</f>
        <v/>
      </c>
      <c r="C492" s="12">
        <f>IF(OR(原始資料!$A492="",設定!$B$4=""),"",IF(原始資料!$C492&lt;&gt;設定!$B$4,"是",""))</f>
        <v/>
      </c>
      <c r="D492" s="12">
        <f>IF(OR(原始資料!$A492="",設定!$B$5=""),"",IF(原始資料!$B492&lt;設定!$B$5,"是",""))</f>
        <v/>
      </c>
      <c r="E492" s="12">
        <f>IF(OR(原始資料!$A492="",設定!$B$6=""),"",IF(B492&gt;=設定!$B$6,"是",""))</f>
        <v/>
      </c>
      <c r="F492" s="13" t="n"/>
      <c r="G492" s="12">
        <f>IF(原始資料!$A492="","",IF(OR(C492="是",D492="是",E492="是",F492="是"),"剔除","保留"))</f>
        <v/>
      </c>
      <c r="H492" s="12">
        <f>IF(G492="保留",COUNTIF($G$2:G492,"保留"),"")</f>
        <v/>
      </c>
    </row>
    <row r="493">
      <c r="A493" s="12">
        <f>IF(原始資料!$A493="","",原始資料!$A493)</f>
        <v/>
      </c>
      <c r="B493" s="12">
        <f>IF(原始資料!$A493="","",MAX(連續計數!B493:BI493))</f>
        <v/>
      </c>
      <c r="C493" s="12">
        <f>IF(OR(原始資料!$A493="",設定!$B$4=""),"",IF(原始資料!$C493&lt;&gt;設定!$B$4,"是",""))</f>
        <v/>
      </c>
      <c r="D493" s="12">
        <f>IF(OR(原始資料!$A493="",設定!$B$5=""),"",IF(原始資料!$B493&lt;設定!$B$5,"是",""))</f>
        <v/>
      </c>
      <c r="E493" s="12">
        <f>IF(OR(原始資料!$A493="",設定!$B$6=""),"",IF(B493&gt;=設定!$B$6,"是",""))</f>
        <v/>
      </c>
      <c r="F493" s="13" t="n"/>
      <c r="G493" s="12">
        <f>IF(原始資料!$A493="","",IF(OR(C493="是",D493="是",E493="是",F493="是"),"剔除","保留"))</f>
        <v/>
      </c>
      <c r="H493" s="12">
        <f>IF(G493="保留",COUNTIF($G$2:G493,"保留"),"")</f>
        <v/>
      </c>
    </row>
    <row r="494">
      <c r="A494" s="12">
        <f>IF(原始資料!$A494="","",原始資料!$A494)</f>
        <v/>
      </c>
      <c r="B494" s="12">
        <f>IF(原始資料!$A494="","",MAX(連續計數!B494:BI494))</f>
        <v/>
      </c>
      <c r="C494" s="12">
        <f>IF(OR(原始資料!$A494="",設定!$B$4=""),"",IF(原始資料!$C494&lt;&gt;設定!$B$4,"是",""))</f>
        <v/>
      </c>
      <c r="D494" s="12">
        <f>IF(OR(原始資料!$A494="",設定!$B$5=""),"",IF(原始資料!$B494&lt;設定!$B$5,"是",""))</f>
        <v/>
      </c>
      <c r="E494" s="12">
        <f>IF(OR(原始資料!$A494="",設定!$B$6=""),"",IF(B494&gt;=設定!$B$6,"是",""))</f>
        <v/>
      </c>
      <c r="F494" s="13" t="n"/>
      <c r="G494" s="12">
        <f>IF(原始資料!$A494="","",IF(OR(C494="是",D494="是",E494="是",F494="是"),"剔除","保留"))</f>
        <v/>
      </c>
      <c r="H494" s="12">
        <f>IF(G494="保留",COUNTIF($G$2:G494,"保留"),"")</f>
        <v/>
      </c>
    </row>
    <row r="495">
      <c r="A495" s="12">
        <f>IF(原始資料!$A495="","",原始資料!$A495)</f>
        <v/>
      </c>
      <c r="B495" s="12">
        <f>IF(原始資料!$A495="","",MAX(連續計數!B495:BI495))</f>
        <v/>
      </c>
      <c r="C495" s="12">
        <f>IF(OR(原始資料!$A495="",設定!$B$4=""),"",IF(原始資料!$C495&lt;&gt;設定!$B$4,"是",""))</f>
        <v/>
      </c>
      <c r="D495" s="12">
        <f>IF(OR(原始資料!$A495="",設定!$B$5=""),"",IF(原始資料!$B495&lt;設定!$B$5,"是",""))</f>
        <v/>
      </c>
      <c r="E495" s="12">
        <f>IF(OR(原始資料!$A495="",設定!$B$6=""),"",IF(B495&gt;=設定!$B$6,"是",""))</f>
        <v/>
      </c>
      <c r="F495" s="13" t="n"/>
      <c r="G495" s="12">
        <f>IF(原始資料!$A495="","",IF(OR(C495="是",D495="是",E495="是",F495="是"),"剔除","保留"))</f>
        <v/>
      </c>
      <c r="H495" s="12">
        <f>IF(G495="保留",COUNTIF($G$2:G495,"保留"),"")</f>
        <v/>
      </c>
    </row>
    <row r="496">
      <c r="A496" s="12">
        <f>IF(原始資料!$A496="","",原始資料!$A496)</f>
        <v/>
      </c>
      <c r="B496" s="12">
        <f>IF(原始資料!$A496="","",MAX(連續計數!B496:BI496))</f>
        <v/>
      </c>
      <c r="C496" s="12">
        <f>IF(OR(原始資料!$A496="",設定!$B$4=""),"",IF(原始資料!$C496&lt;&gt;設定!$B$4,"是",""))</f>
        <v/>
      </c>
      <c r="D496" s="12">
        <f>IF(OR(原始資料!$A496="",設定!$B$5=""),"",IF(原始資料!$B496&lt;設定!$B$5,"是",""))</f>
        <v/>
      </c>
      <c r="E496" s="12">
        <f>IF(OR(原始資料!$A496="",設定!$B$6=""),"",IF(B496&gt;=設定!$B$6,"是",""))</f>
        <v/>
      </c>
      <c r="F496" s="13" t="n"/>
      <c r="G496" s="12">
        <f>IF(原始資料!$A496="","",IF(OR(C496="是",D496="是",E496="是",F496="是"),"剔除","保留"))</f>
        <v/>
      </c>
      <c r="H496" s="12">
        <f>IF(G496="保留",COUNTIF($G$2:G496,"保留"),"")</f>
        <v/>
      </c>
    </row>
    <row r="497">
      <c r="A497" s="12">
        <f>IF(原始資料!$A497="","",原始資料!$A497)</f>
        <v/>
      </c>
      <c r="B497" s="12">
        <f>IF(原始資料!$A497="","",MAX(連續計數!B497:BI497))</f>
        <v/>
      </c>
      <c r="C497" s="12">
        <f>IF(OR(原始資料!$A497="",設定!$B$4=""),"",IF(原始資料!$C497&lt;&gt;設定!$B$4,"是",""))</f>
        <v/>
      </c>
      <c r="D497" s="12">
        <f>IF(OR(原始資料!$A497="",設定!$B$5=""),"",IF(原始資料!$B497&lt;設定!$B$5,"是",""))</f>
        <v/>
      </c>
      <c r="E497" s="12">
        <f>IF(OR(原始資料!$A497="",設定!$B$6=""),"",IF(B497&gt;=設定!$B$6,"是",""))</f>
        <v/>
      </c>
      <c r="F497" s="13" t="n"/>
      <c r="G497" s="12">
        <f>IF(原始資料!$A497="","",IF(OR(C497="是",D497="是",E497="是",F497="是"),"剔除","保留"))</f>
        <v/>
      </c>
      <c r="H497" s="12">
        <f>IF(G497="保留",COUNTIF($G$2:G497,"保留"),"")</f>
        <v/>
      </c>
    </row>
    <row r="498">
      <c r="A498" s="12">
        <f>IF(原始資料!$A498="","",原始資料!$A498)</f>
        <v/>
      </c>
      <c r="B498" s="12">
        <f>IF(原始資料!$A498="","",MAX(連續計數!B498:BI498))</f>
        <v/>
      </c>
      <c r="C498" s="12">
        <f>IF(OR(原始資料!$A498="",設定!$B$4=""),"",IF(原始資料!$C498&lt;&gt;設定!$B$4,"是",""))</f>
        <v/>
      </c>
      <c r="D498" s="12">
        <f>IF(OR(原始資料!$A498="",設定!$B$5=""),"",IF(原始資料!$B498&lt;設定!$B$5,"是",""))</f>
        <v/>
      </c>
      <c r="E498" s="12">
        <f>IF(OR(原始資料!$A498="",設定!$B$6=""),"",IF(B498&gt;=設定!$B$6,"是",""))</f>
        <v/>
      </c>
      <c r="F498" s="13" t="n"/>
      <c r="G498" s="12">
        <f>IF(原始資料!$A498="","",IF(OR(C498="是",D498="是",E498="是",F498="是"),"剔除","保留"))</f>
        <v/>
      </c>
      <c r="H498" s="12">
        <f>IF(G498="保留",COUNTIF($G$2:G498,"保留"),"")</f>
        <v/>
      </c>
    </row>
    <row r="499">
      <c r="A499" s="12">
        <f>IF(原始資料!$A499="","",原始資料!$A499)</f>
        <v/>
      </c>
      <c r="B499" s="12">
        <f>IF(原始資料!$A499="","",MAX(連續計數!B499:BI499))</f>
        <v/>
      </c>
      <c r="C499" s="12">
        <f>IF(OR(原始資料!$A499="",設定!$B$4=""),"",IF(原始資料!$C499&lt;&gt;設定!$B$4,"是",""))</f>
        <v/>
      </c>
      <c r="D499" s="12">
        <f>IF(OR(原始資料!$A499="",設定!$B$5=""),"",IF(原始資料!$B499&lt;設定!$B$5,"是",""))</f>
        <v/>
      </c>
      <c r="E499" s="12">
        <f>IF(OR(原始資料!$A499="",設定!$B$6=""),"",IF(B499&gt;=設定!$B$6,"是",""))</f>
        <v/>
      </c>
      <c r="F499" s="13" t="n"/>
      <c r="G499" s="12">
        <f>IF(原始資料!$A499="","",IF(OR(C499="是",D499="是",E499="是",F499="是"),"剔除","保留"))</f>
        <v/>
      </c>
      <c r="H499" s="12">
        <f>IF(G499="保留",COUNTIF($G$2:G499,"保留"),"")</f>
        <v/>
      </c>
    </row>
    <row r="500">
      <c r="A500" s="12">
        <f>IF(原始資料!$A500="","",原始資料!$A500)</f>
        <v/>
      </c>
      <c r="B500" s="12">
        <f>IF(原始資料!$A500="","",MAX(連續計數!B500:BI500))</f>
        <v/>
      </c>
      <c r="C500" s="12">
        <f>IF(OR(原始資料!$A500="",設定!$B$4=""),"",IF(原始資料!$C500&lt;&gt;設定!$B$4,"是",""))</f>
        <v/>
      </c>
      <c r="D500" s="12">
        <f>IF(OR(原始資料!$A500="",設定!$B$5=""),"",IF(原始資料!$B500&lt;設定!$B$5,"是",""))</f>
        <v/>
      </c>
      <c r="E500" s="12">
        <f>IF(OR(原始資料!$A500="",設定!$B$6=""),"",IF(B500&gt;=設定!$B$6,"是",""))</f>
        <v/>
      </c>
      <c r="F500" s="13" t="n"/>
      <c r="G500" s="12">
        <f>IF(原始資料!$A500="","",IF(OR(C500="是",D500="是",E500="是",F500="是"),"剔除","保留"))</f>
        <v/>
      </c>
      <c r="H500" s="12">
        <f>IF(G500="保留",COUNTIF($G$2:G500,"保留"),"")</f>
        <v/>
      </c>
    </row>
    <row r="501">
      <c r="A501" s="12">
        <f>IF(原始資料!$A501="","",原始資料!$A501)</f>
        <v/>
      </c>
      <c r="B501" s="12">
        <f>IF(原始資料!$A501="","",MAX(連續計數!B501:BI501))</f>
        <v/>
      </c>
      <c r="C501" s="12">
        <f>IF(OR(原始資料!$A501="",設定!$B$4=""),"",IF(原始資料!$C501&lt;&gt;設定!$B$4,"是",""))</f>
        <v/>
      </c>
      <c r="D501" s="12">
        <f>IF(OR(原始資料!$A501="",設定!$B$5=""),"",IF(原始資料!$B501&lt;設定!$B$5,"是",""))</f>
        <v/>
      </c>
      <c r="E501" s="12">
        <f>IF(OR(原始資料!$A501="",設定!$B$6=""),"",IF(B501&gt;=設定!$B$6,"是",""))</f>
        <v/>
      </c>
      <c r="F501" s="13" t="n"/>
      <c r="G501" s="12">
        <f>IF(原始資料!$A501="","",IF(OR(C501="是",D501="是",E501="是",F501="是"),"剔除","保留"))</f>
        <v/>
      </c>
      <c r="H501" s="12">
        <f>IF(G501="保留",COUNTIF($G$2:G501,"保留"),"")</f>
        <v/>
      </c>
    </row>
  </sheetData>
  <conditionalFormatting sqref="A2:H501">
    <cfRule type="expression" priority="1" dxfId="0">
      <formula>$G2="剔除"</formula>
    </cfRule>
  </conditionalFormatting>
  <dataValidations count="1">
    <dataValidation sqref="F2:F501" showDropDown="0" showInputMessage="0" showErrorMessage="0" allowBlank="1" type="list">
      <formula1>"是"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14" customWidth="1" min="3" max="3"/>
    <col width="16" customWidth="1" min="4" max="4"/>
  </cols>
  <sheetData>
    <row r="1">
      <c r="A1" s="5" t="inlineStr">
        <is>
          <t>企劃書 4.4 草率作答篩檢</t>
        </is>
      </c>
      <c r="B1" s="6" t="n"/>
      <c r="C1" s="6" t="n"/>
      <c r="D1" s="6" t="n"/>
    </row>
    <row r="2">
      <c r="A2" s="2" t="inlineStr">
        <is>
          <t>依表列順序套用，已被前一項剔除者不重複計算；「符合人數」為只看該項時的人數，供核對</t>
        </is>
      </c>
      <c r="B2" s="6" t="n"/>
      <c r="C2" s="6" t="n"/>
      <c r="D2" s="6" t="n"/>
    </row>
    <row r="3">
      <c r="A3" s="6" t="n"/>
      <c r="B3" s="6" t="n"/>
      <c r="C3" s="6" t="n"/>
      <c r="D3" s="6" t="n"/>
    </row>
    <row r="4">
      <c r="A4" s="7" t="inlineStr">
        <is>
          <t>篩檢指標</t>
        </is>
      </c>
      <c r="B4" s="7" t="inlineStr">
        <is>
          <t>標準</t>
        </is>
      </c>
      <c r="C4" s="7" t="inlineStr">
        <is>
          <t>依序剔除人數</t>
        </is>
      </c>
      <c r="D4" s="7" t="inlineStr">
        <is>
          <t>符合人數（核對用）</t>
        </is>
      </c>
    </row>
    <row r="5">
      <c r="A5" s="14" t="inlineStr">
        <is>
          <t>注意力檢核題</t>
        </is>
      </c>
      <c r="B5" s="14">
        <f>IF(設定!B4="","未使用","檢核題未選 "&amp;設定!B4&amp;" 者剔除")</f>
        <v/>
      </c>
      <c r="C5" s="15">
        <f>COUNTIF(判定!C$2:C$501,"是")</f>
        <v/>
      </c>
      <c r="D5" s="15">
        <f>COUNTIF(判定!C$2:C$501,"是")</f>
        <v/>
      </c>
    </row>
    <row r="6">
      <c r="A6" s="14" t="inlineStr">
        <is>
          <t>作答時間</t>
        </is>
      </c>
      <c r="B6" s="14">
        <f>IF(設定!B5="","未使用",IF(設定!B3="","作答少於 "&amp;設定!B5&amp;" 秒者剔除",設定!B3&amp;" 題少於 "&amp;設定!B5&amp;" 秒者剔除"))</f>
        <v/>
      </c>
      <c r="C6" s="15">
        <f>COUNTIFS(判定!C$2:C$501,"&lt;&gt;是",判定!D$2:D$501,"是")</f>
        <v/>
      </c>
      <c r="D6" s="15">
        <f>COUNTIF(判定!D$2:D$501,"是")</f>
        <v/>
      </c>
    </row>
    <row r="7">
      <c r="A7" s="14" t="inlineStr">
        <is>
          <t>連續相同作答</t>
        </is>
      </c>
      <c r="B7" s="14">
        <f>IF(設定!B6="","未使用",設定!B3&amp;" 題中連續 "&amp;設定!B6&amp;" 題以上選同一個選項者剔除")</f>
        <v/>
      </c>
      <c r="C7" s="15">
        <f>COUNTIFS(判定!C$2:C$501,"&lt;&gt;是",判定!D$2:D$501,"&lt;&gt;是",判定!E$2:E$501,"是")</f>
        <v/>
      </c>
      <c r="D7" s="15">
        <f>COUNTIF(判定!E$2:E$501,"是")</f>
        <v/>
      </c>
    </row>
    <row r="8">
      <c r="A8" s="14" t="inlineStr">
        <is>
          <t>人工複核（開放題 AI 代答等）</t>
        </is>
      </c>
      <c r="B8" s="14" t="inlineStr">
        <is>
          <t>多項文字特徵同時出現，經兩位組員複核確認者剔除</t>
        </is>
      </c>
      <c r="C8" s="15">
        <f>COUNTIFS(判定!C$2:C$501,"&lt;&gt;是",判定!D$2:D$501,"&lt;&gt;是",判定!E$2:E$501,"&lt;&gt;是",判定!F$2:F$501,"是")</f>
        <v/>
      </c>
      <c r="D8" s="15">
        <f>COUNTIF(判定!F$2:F$501,"是")</f>
        <v/>
      </c>
    </row>
    <row r="9">
      <c r="A9" s="6" t="n"/>
      <c r="B9" s="6" t="n"/>
      <c r="C9" s="6" t="n"/>
      <c r="D9" s="6" t="n"/>
    </row>
    <row r="10">
      <c r="A10" s="8" t="inlineStr">
        <is>
          <t>回收數</t>
        </is>
      </c>
      <c r="B10" s="16" t="n"/>
      <c r="C10" s="11">
        <f>COUNTIF(判定!G$2:G$501,"剔除")+COUNTIF(判定!G$2:G$501,"保留")</f>
        <v/>
      </c>
      <c r="D10" s="6" t="n"/>
    </row>
    <row r="11">
      <c r="A11" s="8" t="inlineStr">
        <is>
          <t>剔除合計</t>
        </is>
      </c>
      <c r="B11" s="16" t="n"/>
      <c r="C11" s="11">
        <f>SUM(C5:C8)</f>
        <v/>
      </c>
      <c r="D11" s="6" t="n"/>
    </row>
    <row r="12">
      <c r="A12" s="8" t="inlineStr">
        <is>
          <t>有效樣本</t>
        </is>
      </c>
      <c r="B12" s="17">
        <f>"回收 "&amp;C10&amp;" − 剔除 "&amp;C11&amp;" ＝ "&amp;C12&amp;" 份"</f>
        <v/>
      </c>
      <c r="C12" s="11">
        <f>COUNTIF(判定!G$2:G$501,"保留")</f>
        <v/>
      </c>
      <c r="D12" s="6" t="n"/>
    </row>
    <row r="13">
      <c r="A13" s="8" t="inlineStr">
        <is>
          <t>預試最低人數</t>
        </is>
      </c>
      <c r="B13" s="16" t="n"/>
      <c r="C13" s="11">
        <f>設定!B8</f>
        <v/>
      </c>
      <c r="D13" s="6" t="n"/>
    </row>
    <row r="14">
      <c r="A14" s="8" t="inlineStr">
        <is>
          <t>是否達標</t>
        </is>
      </c>
      <c r="B14" s="16" t="n"/>
      <c r="C14" s="11">
        <f>IF(OR(C10=0,C13=""),"",IF(C12&gt;=C13,"達標","未達標"))</f>
        <v/>
      </c>
      <c r="D14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62" max="62"/>
  </cols>
  <sheetData>
    <row r="1">
      <c r="A1" s="18">
        <f>原始資料!A1</f>
        <v/>
      </c>
      <c r="B1" s="18">
        <f>IF(1&gt;設定!$B$3,"",原始資料!D1)</f>
        <v/>
      </c>
      <c r="C1" s="18">
        <f>IF(2&gt;設定!$B$3,"",原始資料!E1)</f>
        <v/>
      </c>
      <c r="D1" s="18">
        <f>IF(3&gt;設定!$B$3,"",原始資料!F1)</f>
        <v/>
      </c>
      <c r="E1" s="18">
        <f>IF(4&gt;設定!$B$3,"",原始資料!G1)</f>
        <v/>
      </c>
      <c r="F1" s="18">
        <f>IF(5&gt;設定!$B$3,"",原始資料!H1)</f>
        <v/>
      </c>
      <c r="G1" s="18">
        <f>IF(6&gt;設定!$B$3,"",原始資料!I1)</f>
        <v/>
      </c>
      <c r="H1" s="18">
        <f>IF(7&gt;設定!$B$3,"",原始資料!J1)</f>
        <v/>
      </c>
      <c r="I1" s="18">
        <f>IF(8&gt;設定!$B$3,"",原始資料!K1)</f>
        <v/>
      </c>
      <c r="J1" s="18">
        <f>IF(9&gt;設定!$B$3,"",原始資料!L1)</f>
        <v/>
      </c>
      <c r="K1" s="18">
        <f>IF(10&gt;設定!$B$3,"",原始資料!M1)</f>
        <v/>
      </c>
      <c r="L1" s="18">
        <f>IF(11&gt;設定!$B$3,"",原始資料!N1)</f>
        <v/>
      </c>
      <c r="M1" s="18">
        <f>IF(12&gt;設定!$B$3,"",原始資料!O1)</f>
        <v/>
      </c>
      <c r="N1" s="18">
        <f>IF(13&gt;設定!$B$3,"",原始資料!P1)</f>
        <v/>
      </c>
      <c r="O1" s="18">
        <f>IF(14&gt;設定!$B$3,"",原始資料!Q1)</f>
        <v/>
      </c>
      <c r="P1" s="18">
        <f>IF(15&gt;設定!$B$3,"",原始資料!R1)</f>
        <v/>
      </c>
      <c r="Q1" s="18">
        <f>IF(16&gt;設定!$B$3,"",原始資料!S1)</f>
        <v/>
      </c>
      <c r="R1" s="18">
        <f>IF(17&gt;設定!$B$3,"",原始資料!T1)</f>
        <v/>
      </c>
      <c r="S1" s="18">
        <f>IF(18&gt;設定!$B$3,"",原始資料!U1)</f>
        <v/>
      </c>
      <c r="T1" s="18">
        <f>IF(19&gt;設定!$B$3,"",原始資料!V1)</f>
        <v/>
      </c>
      <c r="U1" s="18">
        <f>IF(20&gt;設定!$B$3,"",原始資料!W1)</f>
        <v/>
      </c>
      <c r="V1" s="18">
        <f>IF(21&gt;設定!$B$3,"",原始資料!X1)</f>
        <v/>
      </c>
      <c r="W1" s="18">
        <f>IF(22&gt;設定!$B$3,"",原始資料!Y1)</f>
        <v/>
      </c>
      <c r="X1" s="18">
        <f>IF(23&gt;設定!$B$3,"",原始資料!Z1)</f>
        <v/>
      </c>
      <c r="Y1" s="18">
        <f>IF(24&gt;設定!$B$3,"",原始資料!AA1)</f>
        <v/>
      </c>
      <c r="Z1" s="18">
        <f>IF(25&gt;設定!$B$3,"",原始資料!AB1)</f>
        <v/>
      </c>
      <c r="AA1" s="18">
        <f>IF(26&gt;設定!$B$3,"",原始資料!AC1)</f>
        <v/>
      </c>
      <c r="AB1" s="18">
        <f>IF(27&gt;設定!$B$3,"",原始資料!AD1)</f>
        <v/>
      </c>
      <c r="AC1" s="18">
        <f>IF(28&gt;設定!$B$3,"",原始資料!AE1)</f>
        <v/>
      </c>
      <c r="AD1" s="18">
        <f>IF(29&gt;設定!$B$3,"",原始資料!AF1)</f>
        <v/>
      </c>
      <c r="AE1" s="18">
        <f>IF(30&gt;設定!$B$3,"",原始資料!AG1)</f>
        <v/>
      </c>
      <c r="AF1" s="18">
        <f>IF(31&gt;設定!$B$3,"",原始資料!AH1)</f>
        <v/>
      </c>
      <c r="AG1" s="18">
        <f>IF(32&gt;設定!$B$3,"",原始資料!AI1)</f>
        <v/>
      </c>
      <c r="AH1" s="18">
        <f>IF(33&gt;設定!$B$3,"",原始資料!AJ1)</f>
        <v/>
      </c>
      <c r="AI1" s="18">
        <f>IF(34&gt;設定!$B$3,"",原始資料!AK1)</f>
        <v/>
      </c>
      <c r="AJ1" s="18">
        <f>IF(35&gt;設定!$B$3,"",原始資料!AL1)</f>
        <v/>
      </c>
      <c r="AK1" s="18">
        <f>IF(36&gt;設定!$B$3,"",原始資料!AM1)</f>
        <v/>
      </c>
      <c r="AL1" s="18">
        <f>IF(37&gt;設定!$B$3,"",原始資料!AN1)</f>
        <v/>
      </c>
      <c r="AM1" s="18">
        <f>IF(38&gt;設定!$B$3,"",原始資料!AO1)</f>
        <v/>
      </c>
      <c r="AN1" s="18">
        <f>IF(39&gt;設定!$B$3,"",原始資料!AP1)</f>
        <v/>
      </c>
      <c r="AO1" s="18">
        <f>IF(40&gt;設定!$B$3,"",原始資料!AQ1)</f>
        <v/>
      </c>
      <c r="AP1" s="18">
        <f>IF(41&gt;設定!$B$3,"",原始資料!AR1)</f>
        <v/>
      </c>
      <c r="AQ1" s="18">
        <f>IF(42&gt;設定!$B$3,"",原始資料!AS1)</f>
        <v/>
      </c>
      <c r="AR1" s="18">
        <f>IF(43&gt;設定!$B$3,"",原始資料!AT1)</f>
        <v/>
      </c>
      <c r="AS1" s="18">
        <f>IF(44&gt;設定!$B$3,"",原始資料!AU1)</f>
        <v/>
      </c>
      <c r="AT1" s="18">
        <f>IF(45&gt;設定!$B$3,"",原始資料!AV1)</f>
        <v/>
      </c>
      <c r="AU1" s="18">
        <f>IF(46&gt;設定!$B$3,"",原始資料!AW1)</f>
        <v/>
      </c>
      <c r="AV1" s="18">
        <f>IF(47&gt;設定!$B$3,"",原始資料!AX1)</f>
        <v/>
      </c>
      <c r="AW1" s="18">
        <f>IF(48&gt;設定!$B$3,"",原始資料!AY1)</f>
        <v/>
      </c>
      <c r="AX1" s="18">
        <f>IF(49&gt;設定!$B$3,"",原始資料!AZ1)</f>
        <v/>
      </c>
      <c r="AY1" s="18">
        <f>IF(50&gt;設定!$B$3,"",原始資料!BA1)</f>
        <v/>
      </c>
      <c r="AZ1" s="18">
        <f>IF(51&gt;設定!$B$3,"",原始資料!BB1)</f>
        <v/>
      </c>
      <c r="BA1" s="18">
        <f>IF(52&gt;設定!$B$3,"",原始資料!BC1)</f>
        <v/>
      </c>
      <c r="BB1" s="18">
        <f>IF(53&gt;設定!$B$3,"",原始資料!BD1)</f>
        <v/>
      </c>
      <c r="BC1" s="18">
        <f>IF(54&gt;設定!$B$3,"",原始資料!BE1)</f>
        <v/>
      </c>
      <c r="BD1" s="18">
        <f>IF(55&gt;設定!$B$3,"",原始資料!BF1)</f>
        <v/>
      </c>
      <c r="BE1" s="18">
        <f>IF(56&gt;設定!$B$3,"",原始資料!BG1)</f>
        <v/>
      </c>
      <c r="BF1" s="18">
        <f>IF(57&gt;設定!$B$3,"",原始資料!BH1)</f>
        <v/>
      </c>
      <c r="BG1" s="18">
        <f>IF(58&gt;設定!$B$3,"",原始資料!BI1)</f>
        <v/>
      </c>
      <c r="BH1" s="18">
        <f>IF(59&gt;設定!$B$3,"",原始資料!BJ1)</f>
        <v/>
      </c>
      <c r="BI1" s="18">
        <f>IF(60&gt;設定!$B$3,"",原始資料!BK1)</f>
        <v/>
      </c>
      <c r="BJ1" s="18" t="inlineStr">
        <is>
          <t>列號（輔助欄）</t>
        </is>
      </c>
    </row>
    <row r="2">
      <c r="A2" s="6">
        <f>IF($BJ2="","",INDEX(原始資料!$A$2:$A$501,$BJ2))</f>
        <v/>
      </c>
      <c r="B2" s="6">
        <f>IF(OR($BJ2="",1&gt;設定!$B$3),"",IF(INDEX(原始資料!D$2:D$501,$BJ2)="","",INDEX(原始資料!D$2:D$501,$BJ2)))</f>
        <v/>
      </c>
      <c r="C2" s="6">
        <f>IF(OR($BJ2="",2&gt;設定!$B$3),"",IF(INDEX(原始資料!E$2:E$501,$BJ2)="","",INDEX(原始資料!E$2:E$501,$BJ2)))</f>
        <v/>
      </c>
      <c r="D2" s="6">
        <f>IF(OR($BJ2="",3&gt;設定!$B$3),"",IF(INDEX(原始資料!F$2:F$501,$BJ2)="","",INDEX(原始資料!F$2:F$501,$BJ2)))</f>
        <v/>
      </c>
      <c r="E2" s="6">
        <f>IF(OR($BJ2="",4&gt;設定!$B$3),"",IF(INDEX(原始資料!G$2:G$501,$BJ2)="","",INDEX(原始資料!G$2:G$501,$BJ2)))</f>
        <v/>
      </c>
      <c r="F2" s="6">
        <f>IF(OR($BJ2="",5&gt;設定!$B$3),"",IF(INDEX(原始資料!H$2:H$501,$BJ2)="","",INDEX(原始資料!H$2:H$501,$BJ2)))</f>
        <v/>
      </c>
      <c r="G2" s="6">
        <f>IF(OR($BJ2="",6&gt;設定!$B$3),"",IF(INDEX(原始資料!I$2:I$501,$BJ2)="","",INDEX(原始資料!I$2:I$501,$BJ2)))</f>
        <v/>
      </c>
      <c r="H2" s="6">
        <f>IF(OR($BJ2="",7&gt;設定!$B$3),"",IF(INDEX(原始資料!J$2:J$501,$BJ2)="","",INDEX(原始資料!J$2:J$501,$BJ2)))</f>
        <v/>
      </c>
      <c r="I2" s="6">
        <f>IF(OR($BJ2="",8&gt;設定!$B$3),"",IF(INDEX(原始資料!K$2:K$501,$BJ2)="","",INDEX(原始資料!K$2:K$501,$BJ2)))</f>
        <v/>
      </c>
      <c r="J2" s="6">
        <f>IF(OR($BJ2="",9&gt;設定!$B$3),"",IF(INDEX(原始資料!L$2:L$501,$BJ2)="","",INDEX(原始資料!L$2:L$501,$BJ2)))</f>
        <v/>
      </c>
      <c r="K2" s="6">
        <f>IF(OR($BJ2="",10&gt;設定!$B$3),"",IF(INDEX(原始資料!M$2:M$501,$BJ2)="","",INDEX(原始資料!M$2:M$501,$BJ2)))</f>
        <v/>
      </c>
      <c r="L2" s="6">
        <f>IF(OR($BJ2="",11&gt;設定!$B$3),"",IF(INDEX(原始資料!N$2:N$501,$BJ2)="","",INDEX(原始資料!N$2:N$501,$BJ2)))</f>
        <v/>
      </c>
      <c r="M2" s="6">
        <f>IF(OR($BJ2="",12&gt;設定!$B$3),"",IF(INDEX(原始資料!O$2:O$501,$BJ2)="","",INDEX(原始資料!O$2:O$501,$BJ2)))</f>
        <v/>
      </c>
      <c r="N2" s="6">
        <f>IF(OR($BJ2="",13&gt;設定!$B$3),"",IF(INDEX(原始資料!P$2:P$501,$BJ2)="","",INDEX(原始資料!P$2:P$501,$BJ2)))</f>
        <v/>
      </c>
      <c r="O2" s="6">
        <f>IF(OR($BJ2="",14&gt;設定!$B$3),"",IF(INDEX(原始資料!Q$2:Q$501,$BJ2)="","",INDEX(原始資料!Q$2:Q$501,$BJ2)))</f>
        <v/>
      </c>
      <c r="P2" s="6">
        <f>IF(OR($BJ2="",15&gt;設定!$B$3),"",IF(INDEX(原始資料!R$2:R$501,$BJ2)="","",INDEX(原始資料!R$2:R$501,$BJ2)))</f>
        <v/>
      </c>
      <c r="Q2" s="6">
        <f>IF(OR($BJ2="",16&gt;設定!$B$3),"",IF(INDEX(原始資料!S$2:S$501,$BJ2)="","",INDEX(原始資料!S$2:S$501,$BJ2)))</f>
        <v/>
      </c>
      <c r="R2" s="6">
        <f>IF(OR($BJ2="",17&gt;設定!$B$3),"",IF(INDEX(原始資料!T$2:T$501,$BJ2)="","",INDEX(原始資料!T$2:T$501,$BJ2)))</f>
        <v/>
      </c>
      <c r="S2" s="6">
        <f>IF(OR($BJ2="",18&gt;設定!$B$3),"",IF(INDEX(原始資料!U$2:U$501,$BJ2)="","",INDEX(原始資料!U$2:U$501,$BJ2)))</f>
        <v/>
      </c>
      <c r="T2" s="6">
        <f>IF(OR($BJ2="",19&gt;設定!$B$3),"",IF(INDEX(原始資料!V$2:V$501,$BJ2)="","",INDEX(原始資料!V$2:V$501,$BJ2)))</f>
        <v/>
      </c>
      <c r="U2" s="6">
        <f>IF(OR($BJ2="",20&gt;設定!$B$3),"",IF(INDEX(原始資料!W$2:W$501,$BJ2)="","",INDEX(原始資料!W$2:W$501,$BJ2)))</f>
        <v/>
      </c>
      <c r="V2" s="6">
        <f>IF(OR($BJ2="",21&gt;設定!$B$3),"",IF(INDEX(原始資料!X$2:X$501,$BJ2)="","",INDEX(原始資料!X$2:X$501,$BJ2)))</f>
        <v/>
      </c>
      <c r="W2" s="6">
        <f>IF(OR($BJ2="",22&gt;設定!$B$3),"",IF(INDEX(原始資料!Y$2:Y$501,$BJ2)="","",INDEX(原始資料!Y$2:Y$501,$BJ2)))</f>
        <v/>
      </c>
      <c r="X2" s="6">
        <f>IF(OR($BJ2="",23&gt;設定!$B$3),"",IF(INDEX(原始資料!Z$2:Z$501,$BJ2)="","",INDEX(原始資料!Z$2:Z$501,$BJ2)))</f>
        <v/>
      </c>
      <c r="Y2" s="6">
        <f>IF(OR($BJ2="",24&gt;設定!$B$3),"",IF(INDEX(原始資料!AA$2:AA$501,$BJ2)="","",INDEX(原始資料!AA$2:AA$501,$BJ2)))</f>
        <v/>
      </c>
      <c r="Z2" s="6">
        <f>IF(OR($BJ2="",25&gt;設定!$B$3),"",IF(INDEX(原始資料!AB$2:AB$501,$BJ2)="","",INDEX(原始資料!AB$2:AB$501,$BJ2)))</f>
        <v/>
      </c>
      <c r="AA2" s="6">
        <f>IF(OR($BJ2="",26&gt;設定!$B$3),"",IF(INDEX(原始資料!AC$2:AC$501,$BJ2)="","",INDEX(原始資料!AC$2:AC$501,$BJ2)))</f>
        <v/>
      </c>
      <c r="AB2" s="6">
        <f>IF(OR($BJ2="",27&gt;設定!$B$3),"",IF(INDEX(原始資料!AD$2:AD$501,$BJ2)="","",INDEX(原始資料!AD$2:AD$501,$BJ2)))</f>
        <v/>
      </c>
      <c r="AC2" s="6">
        <f>IF(OR($BJ2="",28&gt;設定!$B$3),"",IF(INDEX(原始資料!AE$2:AE$501,$BJ2)="","",INDEX(原始資料!AE$2:AE$501,$BJ2)))</f>
        <v/>
      </c>
      <c r="AD2" s="6">
        <f>IF(OR($BJ2="",29&gt;設定!$B$3),"",IF(INDEX(原始資料!AF$2:AF$501,$BJ2)="","",INDEX(原始資料!AF$2:AF$501,$BJ2)))</f>
        <v/>
      </c>
      <c r="AE2" s="6">
        <f>IF(OR($BJ2="",30&gt;設定!$B$3),"",IF(INDEX(原始資料!AG$2:AG$501,$BJ2)="","",INDEX(原始資料!AG$2:AG$501,$BJ2)))</f>
        <v/>
      </c>
      <c r="AF2" s="6">
        <f>IF(OR($BJ2="",31&gt;設定!$B$3),"",IF(INDEX(原始資料!AH$2:AH$501,$BJ2)="","",INDEX(原始資料!AH$2:AH$501,$BJ2)))</f>
        <v/>
      </c>
      <c r="AG2" s="6">
        <f>IF(OR($BJ2="",32&gt;設定!$B$3),"",IF(INDEX(原始資料!AI$2:AI$501,$BJ2)="","",INDEX(原始資料!AI$2:AI$501,$BJ2)))</f>
        <v/>
      </c>
      <c r="AH2" s="6">
        <f>IF(OR($BJ2="",33&gt;設定!$B$3),"",IF(INDEX(原始資料!AJ$2:AJ$501,$BJ2)="","",INDEX(原始資料!AJ$2:AJ$501,$BJ2)))</f>
        <v/>
      </c>
      <c r="AI2" s="6">
        <f>IF(OR($BJ2="",34&gt;設定!$B$3),"",IF(INDEX(原始資料!AK$2:AK$501,$BJ2)="","",INDEX(原始資料!AK$2:AK$501,$BJ2)))</f>
        <v/>
      </c>
      <c r="AJ2" s="6">
        <f>IF(OR($BJ2="",35&gt;設定!$B$3),"",IF(INDEX(原始資料!AL$2:AL$501,$BJ2)="","",INDEX(原始資料!AL$2:AL$501,$BJ2)))</f>
        <v/>
      </c>
      <c r="AK2" s="6">
        <f>IF(OR($BJ2="",36&gt;設定!$B$3),"",IF(INDEX(原始資料!AM$2:AM$501,$BJ2)="","",INDEX(原始資料!AM$2:AM$501,$BJ2)))</f>
        <v/>
      </c>
      <c r="AL2" s="6">
        <f>IF(OR($BJ2="",37&gt;設定!$B$3),"",IF(INDEX(原始資料!AN$2:AN$501,$BJ2)="","",INDEX(原始資料!AN$2:AN$501,$BJ2)))</f>
        <v/>
      </c>
      <c r="AM2" s="6">
        <f>IF(OR($BJ2="",38&gt;設定!$B$3),"",IF(INDEX(原始資料!AO$2:AO$501,$BJ2)="","",INDEX(原始資料!AO$2:AO$501,$BJ2)))</f>
        <v/>
      </c>
      <c r="AN2" s="6">
        <f>IF(OR($BJ2="",39&gt;設定!$B$3),"",IF(INDEX(原始資料!AP$2:AP$501,$BJ2)="","",INDEX(原始資料!AP$2:AP$501,$BJ2)))</f>
        <v/>
      </c>
      <c r="AO2" s="6">
        <f>IF(OR($BJ2="",40&gt;設定!$B$3),"",IF(INDEX(原始資料!AQ$2:AQ$501,$BJ2)="","",INDEX(原始資料!AQ$2:AQ$501,$BJ2)))</f>
        <v/>
      </c>
      <c r="AP2" s="6">
        <f>IF(OR($BJ2="",41&gt;設定!$B$3),"",IF(INDEX(原始資料!AR$2:AR$501,$BJ2)="","",INDEX(原始資料!AR$2:AR$501,$BJ2)))</f>
        <v/>
      </c>
      <c r="AQ2" s="6">
        <f>IF(OR($BJ2="",42&gt;設定!$B$3),"",IF(INDEX(原始資料!AS$2:AS$501,$BJ2)="","",INDEX(原始資料!AS$2:AS$501,$BJ2)))</f>
        <v/>
      </c>
      <c r="AR2" s="6">
        <f>IF(OR($BJ2="",43&gt;設定!$B$3),"",IF(INDEX(原始資料!AT$2:AT$501,$BJ2)="","",INDEX(原始資料!AT$2:AT$501,$BJ2)))</f>
        <v/>
      </c>
      <c r="AS2" s="6">
        <f>IF(OR($BJ2="",44&gt;設定!$B$3),"",IF(INDEX(原始資料!AU$2:AU$501,$BJ2)="","",INDEX(原始資料!AU$2:AU$501,$BJ2)))</f>
        <v/>
      </c>
      <c r="AT2" s="6">
        <f>IF(OR($BJ2="",45&gt;設定!$B$3),"",IF(INDEX(原始資料!AV$2:AV$501,$BJ2)="","",INDEX(原始資料!AV$2:AV$501,$BJ2)))</f>
        <v/>
      </c>
      <c r="AU2" s="6">
        <f>IF(OR($BJ2="",46&gt;設定!$B$3),"",IF(INDEX(原始資料!AW$2:AW$501,$BJ2)="","",INDEX(原始資料!AW$2:AW$501,$BJ2)))</f>
        <v/>
      </c>
      <c r="AV2" s="6">
        <f>IF(OR($BJ2="",47&gt;設定!$B$3),"",IF(INDEX(原始資料!AX$2:AX$501,$BJ2)="","",INDEX(原始資料!AX$2:AX$501,$BJ2)))</f>
        <v/>
      </c>
      <c r="AW2" s="6">
        <f>IF(OR($BJ2="",48&gt;設定!$B$3),"",IF(INDEX(原始資料!AY$2:AY$501,$BJ2)="","",INDEX(原始資料!AY$2:AY$501,$BJ2)))</f>
        <v/>
      </c>
      <c r="AX2" s="6">
        <f>IF(OR($BJ2="",49&gt;設定!$B$3),"",IF(INDEX(原始資料!AZ$2:AZ$501,$BJ2)="","",INDEX(原始資料!AZ$2:AZ$501,$BJ2)))</f>
        <v/>
      </c>
      <c r="AY2" s="6">
        <f>IF(OR($BJ2="",50&gt;設定!$B$3),"",IF(INDEX(原始資料!BA$2:BA$501,$BJ2)="","",INDEX(原始資料!BA$2:BA$501,$BJ2)))</f>
        <v/>
      </c>
      <c r="AZ2" s="6">
        <f>IF(OR($BJ2="",51&gt;設定!$B$3),"",IF(INDEX(原始資料!BB$2:BB$501,$BJ2)="","",INDEX(原始資料!BB$2:BB$501,$BJ2)))</f>
        <v/>
      </c>
      <c r="BA2" s="6">
        <f>IF(OR($BJ2="",52&gt;設定!$B$3),"",IF(INDEX(原始資料!BC$2:BC$501,$BJ2)="","",INDEX(原始資料!BC$2:BC$501,$BJ2)))</f>
        <v/>
      </c>
      <c r="BB2" s="6">
        <f>IF(OR($BJ2="",53&gt;設定!$B$3),"",IF(INDEX(原始資料!BD$2:BD$501,$BJ2)="","",INDEX(原始資料!BD$2:BD$501,$BJ2)))</f>
        <v/>
      </c>
      <c r="BC2" s="6">
        <f>IF(OR($BJ2="",54&gt;設定!$B$3),"",IF(INDEX(原始資料!BE$2:BE$501,$BJ2)="","",INDEX(原始資料!BE$2:BE$501,$BJ2)))</f>
        <v/>
      </c>
      <c r="BD2" s="6">
        <f>IF(OR($BJ2="",55&gt;設定!$B$3),"",IF(INDEX(原始資料!BF$2:BF$501,$BJ2)="","",INDEX(原始資料!BF$2:BF$501,$BJ2)))</f>
        <v/>
      </c>
      <c r="BE2" s="6">
        <f>IF(OR($BJ2="",56&gt;設定!$B$3),"",IF(INDEX(原始資料!BG$2:BG$501,$BJ2)="","",INDEX(原始資料!BG$2:BG$501,$BJ2)))</f>
        <v/>
      </c>
      <c r="BF2" s="6">
        <f>IF(OR($BJ2="",57&gt;設定!$B$3),"",IF(INDEX(原始資料!BH$2:BH$501,$BJ2)="","",INDEX(原始資料!BH$2:BH$501,$BJ2)))</f>
        <v/>
      </c>
      <c r="BG2" s="6">
        <f>IF(OR($BJ2="",58&gt;設定!$B$3),"",IF(INDEX(原始資料!BI$2:BI$501,$BJ2)="","",INDEX(原始資料!BI$2:BI$501,$BJ2)))</f>
        <v/>
      </c>
      <c r="BH2" s="6">
        <f>IF(OR($BJ2="",59&gt;設定!$B$3),"",IF(INDEX(原始資料!BJ$2:BJ$501,$BJ2)="","",INDEX(原始資料!BJ$2:BJ$501,$BJ2)))</f>
        <v/>
      </c>
      <c r="BI2" s="6">
        <f>IF(OR($BJ2="",60&gt;設定!$B$3),"",IF(INDEX(原始資料!BK$2:BK$501,$BJ2)="","",INDEX(原始資料!BK$2:BK$501,$BJ2)))</f>
        <v/>
      </c>
      <c r="BJ2" s="6">
        <f>IFERROR(MATCH(ROW()-1,判定!$H$2:$H$501,0),"")</f>
        <v/>
      </c>
    </row>
    <row r="3">
      <c r="A3" s="6">
        <f>IF($BJ3="","",INDEX(原始資料!$A$2:$A$501,$BJ3))</f>
        <v/>
      </c>
      <c r="B3" s="6">
        <f>IF(OR($BJ3="",1&gt;設定!$B$3),"",IF(INDEX(原始資料!D$2:D$501,$BJ3)="","",INDEX(原始資料!D$2:D$501,$BJ3)))</f>
        <v/>
      </c>
      <c r="C3" s="6">
        <f>IF(OR($BJ3="",2&gt;設定!$B$3),"",IF(INDEX(原始資料!E$2:E$501,$BJ3)="","",INDEX(原始資料!E$2:E$501,$BJ3)))</f>
        <v/>
      </c>
      <c r="D3" s="6">
        <f>IF(OR($BJ3="",3&gt;設定!$B$3),"",IF(INDEX(原始資料!F$2:F$501,$BJ3)="","",INDEX(原始資料!F$2:F$501,$BJ3)))</f>
        <v/>
      </c>
      <c r="E3" s="6">
        <f>IF(OR($BJ3="",4&gt;設定!$B$3),"",IF(INDEX(原始資料!G$2:G$501,$BJ3)="","",INDEX(原始資料!G$2:G$501,$BJ3)))</f>
        <v/>
      </c>
      <c r="F3" s="6">
        <f>IF(OR($BJ3="",5&gt;設定!$B$3),"",IF(INDEX(原始資料!H$2:H$501,$BJ3)="","",INDEX(原始資料!H$2:H$501,$BJ3)))</f>
        <v/>
      </c>
      <c r="G3" s="6">
        <f>IF(OR($BJ3="",6&gt;設定!$B$3),"",IF(INDEX(原始資料!I$2:I$501,$BJ3)="","",INDEX(原始資料!I$2:I$501,$BJ3)))</f>
        <v/>
      </c>
      <c r="H3" s="6">
        <f>IF(OR($BJ3="",7&gt;設定!$B$3),"",IF(INDEX(原始資料!J$2:J$501,$BJ3)="","",INDEX(原始資料!J$2:J$501,$BJ3)))</f>
        <v/>
      </c>
      <c r="I3" s="6">
        <f>IF(OR($BJ3="",8&gt;設定!$B$3),"",IF(INDEX(原始資料!K$2:K$501,$BJ3)="","",INDEX(原始資料!K$2:K$501,$BJ3)))</f>
        <v/>
      </c>
      <c r="J3" s="6">
        <f>IF(OR($BJ3="",9&gt;設定!$B$3),"",IF(INDEX(原始資料!L$2:L$501,$BJ3)="","",INDEX(原始資料!L$2:L$501,$BJ3)))</f>
        <v/>
      </c>
      <c r="K3" s="6">
        <f>IF(OR($BJ3="",10&gt;設定!$B$3),"",IF(INDEX(原始資料!M$2:M$501,$BJ3)="","",INDEX(原始資料!M$2:M$501,$BJ3)))</f>
        <v/>
      </c>
      <c r="L3" s="6">
        <f>IF(OR($BJ3="",11&gt;設定!$B$3),"",IF(INDEX(原始資料!N$2:N$501,$BJ3)="","",INDEX(原始資料!N$2:N$501,$BJ3)))</f>
        <v/>
      </c>
      <c r="M3" s="6">
        <f>IF(OR($BJ3="",12&gt;設定!$B$3),"",IF(INDEX(原始資料!O$2:O$501,$BJ3)="","",INDEX(原始資料!O$2:O$501,$BJ3)))</f>
        <v/>
      </c>
      <c r="N3" s="6">
        <f>IF(OR($BJ3="",13&gt;設定!$B$3),"",IF(INDEX(原始資料!P$2:P$501,$BJ3)="","",INDEX(原始資料!P$2:P$501,$BJ3)))</f>
        <v/>
      </c>
      <c r="O3" s="6">
        <f>IF(OR($BJ3="",14&gt;設定!$B$3),"",IF(INDEX(原始資料!Q$2:Q$501,$BJ3)="","",INDEX(原始資料!Q$2:Q$501,$BJ3)))</f>
        <v/>
      </c>
      <c r="P3" s="6">
        <f>IF(OR($BJ3="",15&gt;設定!$B$3),"",IF(INDEX(原始資料!R$2:R$501,$BJ3)="","",INDEX(原始資料!R$2:R$501,$BJ3)))</f>
        <v/>
      </c>
      <c r="Q3" s="6">
        <f>IF(OR($BJ3="",16&gt;設定!$B$3),"",IF(INDEX(原始資料!S$2:S$501,$BJ3)="","",INDEX(原始資料!S$2:S$501,$BJ3)))</f>
        <v/>
      </c>
      <c r="R3" s="6">
        <f>IF(OR($BJ3="",17&gt;設定!$B$3),"",IF(INDEX(原始資料!T$2:T$501,$BJ3)="","",INDEX(原始資料!T$2:T$501,$BJ3)))</f>
        <v/>
      </c>
      <c r="S3" s="6">
        <f>IF(OR($BJ3="",18&gt;設定!$B$3),"",IF(INDEX(原始資料!U$2:U$501,$BJ3)="","",INDEX(原始資料!U$2:U$501,$BJ3)))</f>
        <v/>
      </c>
      <c r="T3" s="6">
        <f>IF(OR($BJ3="",19&gt;設定!$B$3),"",IF(INDEX(原始資料!V$2:V$501,$BJ3)="","",INDEX(原始資料!V$2:V$501,$BJ3)))</f>
        <v/>
      </c>
      <c r="U3" s="6">
        <f>IF(OR($BJ3="",20&gt;設定!$B$3),"",IF(INDEX(原始資料!W$2:W$501,$BJ3)="","",INDEX(原始資料!W$2:W$501,$BJ3)))</f>
        <v/>
      </c>
      <c r="V3" s="6">
        <f>IF(OR($BJ3="",21&gt;設定!$B$3),"",IF(INDEX(原始資料!X$2:X$501,$BJ3)="","",INDEX(原始資料!X$2:X$501,$BJ3)))</f>
        <v/>
      </c>
      <c r="W3" s="6">
        <f>IF(OR($BJ3="",22&gt;設定!$B$3),"",IF(INDEX(原始資料!Y$2:Y$501,$BJ3)="","",INDEX(原始資料!Y$2:Y$501,$BJ3)))</f>
        <v/>
      </c>
      <c r="X3" s="6">
        <f>IF(OR($BJ3="",23&gt;設定!$B$3),"",IF(INDEX(原始資料!Z$2:Z$501,$BJ3)="","",INDEX(原始資料!Z$2:Z$501,$BJ3)))</f>
        <v/>
      </c>
      <c r="Y3" s="6">
        <f>IF(OR($BJ3="",24&gt;設定!$B$3),"",IF(INDEX(原始資料!AA$2:AA$501,$BJ3)="","",INDEX(原始資料!AA$2:AA$501,$BJ3)))</f>
        <v/>
      </c>
      <c r="Z3" s="6">
        <f>IF(OR($BJ3="",25&gt;設定!$B$3),"",IF(INDEX(原始資料!AB$2:AB$501,$BJ3)="","",INDEX(原始資料!AB$2:AB$501,$BJ3)))</f>
        <v/>
      </c>
      <c r="AA3" s="6">
        <f>IF(OR($BJ3="",26&gt;設定!$B$3),"",IF(INDEX(原始資料!AC$2:AC$501,$BJ3)="","",INDEX(原始資料!AC$2:AC$501,$BJ3)))</f>
        <v/>
      </c>
      <c r="AB3" s="6">
        <f>IF(OR($BJ3="",27&gt;設定!$B$3),"",IF(INDEX(原始資料!AD$2:AD$501,$BJ3)="","",INDEX(原始資料!AD$2:AD$501,$BJ3)))</f>
        <v/>
      </c>
      <c r="AC3" s="6">
        <f>IF(OR($BJ3="",28&gt;設定!$B$3),"",IF(INDEX(原始資料!AE$2:AE$501,$BJ3)="","",INDEX(原始資料!AE$2:AE$501,$BJ3)))</f>
        <v/>
      </c>
      <c r="AD3" s="6">
        <f>IF(OR($BJ3="",29&gt;設定!$B$3),"",IF(INDEX(原始資料!AF$2:AF$501,$BJ3)="","",INDEX(原始資料!AF$2:AF$501,$BJ3)))</f>
        <v/>
      </c>
      <c r="AE3" s="6">
        <f>IF(OR($BJ3="",30&gt;設定!$B$3),"",IF(INDEX(原始資料!AG$2:AG$501,$BJ3)="","",INDEX(原始資料!AG$2:AG$501,$BJ3)))</f>
        <v/>
      </c>
      <c r="AF3" s="6">
        <f>IF(OR($BJ3="",31&gt;設定!$B$3),"",IF(INDEX(原始資料!AH$2:AH$501,$BJ3)="","",INDEX(原始資料!AH$2:AH$501,$BJ3)))</f>
        <v/>
      </c>
      <c r="AG3" s="6">
        <f>IF(OR($BJ3="",32&gt;設定!$B$3),"",IF(INDEX(原始資料!AI$2:AI$501,$BJ3)="","",INDEX(原始資料!AI$2:AI$501,$BJ3)))</f>
        <v/>
      </c>
      <c r="AH3" s="6">
        <f>IF(OR($BJ3="",33&gt;設定!$B$3),"",IF(INDEX(原始資料!AJ$2:AJ$501,$BJ3)="","",INDEX(原始資料!AJ$2:AJ$501,$BJ3)))</f>
        <v/>
      </c>
      <c r="AI3" s="6">
        <f>IF(OR($BJ3="",34&gt;設定!$B$3),"",IF(INDEX(原始資料!AK$2:AK$501,$BJ3)="","",INDEX(原始資料!AK$2:AK$501,$BJ3)))</f>
        <v/>
      </c>
      <c r="AJ3" s="6">
        <f>IF(OR($BJ3="",35&gt;設定!$B$3),"",IF(INDEX(原始資料!AL$2:AL$501,$BJ3)="","",INDEX(原始資料!AL$2:AL$501,$BJ3)))</f>
        <v/>
      </c>
      <c r="AK3" s="6">
        <f>IF(OR($BJ3="",36&gt;設定!$B$3),"",IF(INDEX(原始資料!AM$2:AM$501,$BJ3)="","",INDEX(原始資料!AM$2:AM$501,$BJ3)))</f>
        <v/>
      </c>
      <c r="AL3" s="6">
        <f>IF(OR($BJ3="",37&gt;設定!$B$3),"",IF(INDEX(原始資料!AN$2:AN$501,$BJ3)="","",INDEX(原始資料!AN$2:AN$501,$BJ3)))</f>
        <v/>
      </c>
      <c r="AM3" s="6">
        <f>IF(OR($BJ3="",38&gt;設定!$B$3),"",IF(INDEX(原始資料!AO$2:AO$501,$BJ3)="","",INDEX(原始資料!AO$2:AO$501,$BJ3)))</f>
        <v/>
      </c>
      <c r="AN3" s="6">
        <f>IF(OR($BJ3="",39&gt;設定!$B$3),"",IF(INDEX(原始資料!AP$2:AP$501,$BJ3)="","",INDEX(原始資料!AP$2:AP$501,$BJ3)))</f>
        <v/>
      </c>
      <c r="AO3" s="6">
        <f>IF(OR($BJ3="",40&gt;設定!$B$3),"",IF(INDEX(原始資料!AQ$2:AQ$501,$BJ3)="","",INDEX(原始資料!AQ$2:AQ$501,$BJ3)))</f>
        <v/>
      </c>
      <c r="AP3" s="6">
        <f>IF(OR($BJ3="",41&gt;設定!$B$3),"",IF(INDEX(原始資料!AR$2:AR$501,$BJ3)="","",INDEX(原始資料!AR$2:AR$501,$BJ3)))</f>
        <v/>
      </c>
      <c r="AQ3" s="6">
        <f>IF(OR($BJ3="",42&gt;設定!$B$3),"",IF(INDEX(原始資料!AS$2:AS$501,$BJ3)="","",INDEX(原始資料!AS$2:AS$501,$BJ3)))</f>
        <v/>
      </c>
      <c r="AR3" s="6">
        <f>IF(OR($BJ3="",43&gt;設定!$B$3),"",IF(INDEX(原始資料!AT$2:AT$501,$BJ3)="","",INDEX(原始資料!AT$2:AT$501,$BJ3)))</f>
        <v/>
      </c>
      <c r="AS3" s="6">
        <f>IF(OR($BJ3="",44&gt;設定!$B$3),"",IF(INDEX(原始資料!AU$2:AU$501,$BJ3)="","",INDEX(原始資料!AU$2:AU$501,$BJ3)))</f>
        <v/>
      </c>
      <c r="AT3" s="6">
        <f>IF(OR($BJ3="",45&gt;設定!$B$3),"",IF(INDEX(原始資料!AV$2:AV$501,$BJ3)="","",INDEX(原始資料!AV$2:AV$501,$BJ3)))</f>
        <v/>
      </c>
      <c r="AU3" s="6">
        <f>IF(OR($BJ3="",46&gt;設定!$B$3),"",IF(INDEX(原始資料!AW$2:AW$501,$BJ3)="","",INDEX(原始資料!AW$2:AW$501,$BJ3)))</f>
        <v/>
      </c>
      <c r="AV3" s="6">
        <f>IF(OR($BJ3="",47&gt;設定!$B$3),"",IF(INDEX(原始資料!AX$2:AX$501,$BJ3)="","",INDEX(原始資料!AX$2:AX$501,$BJ3)))</f>
        <v/>
      </c>
      <c r="AW3" s="6">
        <f>IF(OR($BJ3="",48&gt;設定!$B$3),"",IF(INDEX(原始資料!AY$2:AY$501,$BJ3)="","",INDEX(原始資料!AY$2:AY$501,$BJ3)))</f>
        <v/>
      </c>
      <c r="AX3" s="6">
        <f>IF(OR($BJ3="",49&gt;設定!$B$3),"",IF(INDEX(原始資料!AZ$2:AZ$501,$BJ3)="","",INDEX(原始資料!AZ$2:AZ$501,$BJ3)))</f>
        <v/>
      </c>
      <c r="AY3" s="6">
        <f>IF(OR($BJ3="",50&gt;設定!$B$3),"",IF(INDEX(原始資料!BA$2:BA$501,$BJ3)="","",INDEX(原始資料!BA$2:BA$501,$BJ3)))</f>
        <v/>
      </c>
      <c r="AZ3" s="6">
        <f>IF(OR($BJ3="",51&gt;設定!$B$3),"",IF(INDEX(原始資料!BB$2:BB$501,$BJ3)="","",INDEX(原始資料!BB$2:BB$501,$BJ3)))</f>
        <v/>
      </c>
      <c r="BA3" s="6">
        <f>IF(OR($BJ3="",52&gt;設定!$B$3),"",IF(INDEX(原始資料!BC$2:BC$501,$BJ3)="","",INDEX(原始資料!BC$2:BC$501,$BJ3)))</f>
        <v/>
      </c>
      <c r="BB3" s="6">
        <f>IF(OR($BJ3="",53&gt;設定!$B$3),"",IF(INDEX(原始資料!BD$2:BD$501,$BJ3)="","",INDEX(原始資料!BD$2:BD$501,$BJ3)))</f>
        <v/>
      </c>
      <c r="BC3" s="6">
        <f>IF(OR($BJ3="",54&gt;設定!$B$3),"",IF(INDEX(原始資料!BE$2:BE$501,$BJ3)="","",INDEX(原始資料!BE$2:BE$501,$BJ3)))</f>
        <v/>
      </c>
      <c r="BD3" s="6">
        <f>IF(OR($BJ3="",55&gt;設定!$B$3),"",IF(INDEX(原始資料!BF$2:BF$501,$BJ3)="","",INDEX(原始資料!BF$2:BF$501,$BJ3)))</f>
        <v/>
      </c>
      <c r="BE3" s="6">
        <f>IF(OR($BJ3="",56&gt;設定!$B$3),"",IF(INDEX(原始資料!BG$2:BG$501,$BJ3)="","",INDEX(原始資料!BG$2:BG$501,$BJ3)))</f>
        <v/>
      </c>
      <c r="BF3" s="6">
        <f>IF(OR($BJ3="",57&gt;設定!$B$3),"",IF(INDEX(原始資料!BH$2:BH$501,$BJ3)="","",INDEX(原始資料!BH$2:BH$501,$BJ3)))</f>
        <v/>
      </c>
      <c r="BG3" s="6">
        <f>IF(OR($BJ3="",58&gt;設定!$B$3),"",IF(INDEX(原始資料!BI$2:BI$501,$BJ3)="","",INDEX(原始資料!BI$2:BI$501,$BJ3)))</f>
        <v/>
      </c>
      <c r="BH3" s="6">
        <f>IF(OR($BJ3="",59&gt;設定!$B$3),"",IF(INDEX(原始資料!BJ$2:BJ$501,$BJ3)="","",INDEX(原始資料!BJ$2:BJ$501,$BJ3)))</f>
        <v/>
      </c>
      <c r="BI3" s="6">
        <f>IF(OR($BJ3="",60&gt;設定!$B$3),"",IF(INDEX(原始資料!BK$2:BK$501,$BJ3)="","",INDEX(原始資料!BK$2:BK$501,$BJ3)))</f>
        <v/>
      </c>
      <c r="BJ3" s="6">
        <f>IFERROR(MATCH(ROW()-1,判定!$H$2:$H$501,0),"")</f>
        <v/>
      </c>
    </row>
    <row r="4">
      <c r="A4" s="6">
        <f>IF($BJ4="","",INDEX(原始資料!$A$2:$A$501,$BJ4))</f>
        <v/>
      </c>
      <c r="B4" s="6">
        <f>IF(OR($BJ4="",1&gt;設定!$B$3),"",IF(INDEX(原始資料!D$2:D$501,$BJ4)="","",INDEX(原始資料!D$2:D$501,$BJ4)))</f>
        <v/>
      </c>
      <c r="C4" s="6">
        <f>IF(OR($BJ4="",2&gt;設定!$B$3),"",IF(INDEX(原始資料!E$2:E$501,$BJ4)="","",INDEX(原始資料!E$2:E$501,$BJ4)))</f>
        <v/>
      </c>
      <c r="D4" s="6">
        <f>IF(OR($BJ4="",3&gt;設定!$B$3),"",IF(INDEX(原始資料!F$2:F$501,$BJ4)="","",INDEX(原始資料!F$2:F$501,$BJ4)))</f>
        <v/>
      </c>
      <c r="E4" s="6">
        <f>IF(OR($BJ4="",4&gt;設定!$B$3),"",IF(INDEX(原始資料!G$2:G$501,$BJ4)="","",INDEX(原始資料!G$2:G$501,$BJ4)))</f>
        <v/>
      </c>
      <c r="F4" s="6">
        <f>IF(OR($BJ4="",5&gt;設定!$B$3),"",IF(INDEX(原始資料!H$2:H$501,$BJ4)="","",INDEX(原始資料!H$2:H$501,$BJ4)))</f>
        <v/>
      </c>
      <c r="G4" s="6">
        <f>IF(OR($BJ4="",6&gt;設定!$B$3),"",IF(INDEX(原始資料!I$2:I$501,$BJ4)="","",INDEX(原始資料!I$2:I$501,$BJ4)))</f>
        <v/>
      </c>
      <c r="H4" s="6">
        <f>IF(OR($BJ4="",7&gt;設定!$B$3),"",IF(INDEX(原始資料!J$2:J$501,$BJ4)="","",INDEX(原始資料!J$2:J$501,$BJ4)))</f>
        <v/>
      </c>
      <c r="I4" s="6">
        <f>IF(OR($BJ4="",8&gt;設定!$B$3),"",IF(INDEX(原始資料!K$2:K$501,$BJ4)="","",INDEX(原始資料!K$2:K$501,$BJ4)))</f>
        <v/>
      </c>
      <c r="J4" s="6">
        <f>IF(OR($BJ4="",9&gt;設定!$B$3),"",IF(INDEX(原始資料!L$2:L$501,$BJ4)="","",INDEX(原始資料!L$2:L$501,$BJ4)))</f>
        <v/>
      </c>
      <c r="K4" s="6">
        <f>IF(OR($BJ4="",10&gt;設定!$B$3),"",IF(INDEX(原始資料!M$2:M$501,$BJ4)="","",INDEX(原始資料!M$2:M$501,$BJ4)))</f>
        <v/>
      </c>
      <c r="L4" s="6">
        <f>IF(OR($BJ4="",11&gt;設定!$B$3),"",IF(INDEX(原始資料!N$2:N$501,$BJ4)="","",INDEX(原始資料!N$2:N$501,$BJ4)))</f>
        <v/>
      </c>
      <c r="M4" s="6">
        <f>IF(OR($BJ4="",12&gt;設定!$B$3),"",IF(INDEX(原始資料!O$2:O$501,$BJ4)="","",INDEX(原始資料!O$2:O$501,$BJ4)))</f>
        <v/>
      </c>
      <c r="N4" s="6">
        <f>IF(OR($BJ4="",13&gt;設定!$B$3),"",IF(INDEX(原始資料!P$2:P$501,$BJ4)="","",INDEX(原始資料!P$2:P$501,$BJ4)))</f>
        <v/>
      </c>
      <c r="O4" s="6">
        <f>IF(OR($BJ4="",14&gt;設定!$B$3),"",IF(INDEX(原始資料!Q$2:Q$501,$BJ4)="","",INDEX(原始資料!Q$2:Q$501,$BJ4)))</f>
        <v/>
      </c>
      <c r="P4" s="6">
        <f>IF(OR($BJ4="",15&gt;設定!$B$3),"",IF(INDEX(原始資料!R$2:R$501,$BJ4)="","",INDEX(原始資料!R$2:R$501,$BJ4)))</f>
        <v/>
      </c>
      <c r="Q4" s="6">
        <f>IF(OR($BJ4="",16&gt;設定!$B$3),"",IF(INDEX(原始資料!S$2:S$501,$BJ4)="","",INDEX(原始資料!S$2:S$501,$BJ4)))</f>
        <v/>
      </c>
      <c r="R4" s="6">
        <f>IF(OR($BJ4="",17&gt;設定!$B$3),"",IF(INDEX(原始資料!T$2:T$501,$BJ4)="","",INDEX(原始資料!T$2:T$501,$BJ4)))</f>
        <v/>
      </c>
      <c r="S4" s="6">
        <f>IF(OR($BJ4="",18&gt;設定!$B$3),"",IF(INDEX(原始資料!U$2:U$501,$BJ4)="","",INDEX(原始資料!U$2:U$501,$BJ4)))</f>
        <v/>
      </c>
      <c r="T4" s="6">
        <f>IF(OR($BJ4="",19&gt;設定!$B$3),"",IF(INDEX(原始資料!V$2:V$501,$BJ4)="","",INDEX(原始資料!V$2:V$501,$BJ4)))</f>
        <v/>
      </c>
      <c r="U4" s="6">
        <f>IF(OR($BJ4="",20&gt;設定!$B$3),"",IF(INDEX(原始資料!W$2:W$501,$BJ4)="","",INDEX(原始資料!W$2:W$501,$BJ4)))</f>
        <v/>
      </c>
      <c r="V4" s="6">
        <f>IF(OR($BJ4="",21&gt;設定!$B$3),"",IF(INDEX(原始資料!X$2:X$501,$BJ4)="","",INDEX(原始資料!X$2:X$501,$BJ4)))</f>
        <v/>
      </c>
      <c r="W4" s="6">
        <f>IF(OR($BJ4="",22&gt;設定!$B$3),"",IF(INDEX(原始資料!Y$2:Y$501,$BJ4)="","",INDEX(原始資料!Y$2:Y$501,$BJ4)))</f>
        <v/>
      </c>
      <c r="X4" s="6">
        <f>IF(OR($BJ4="",23&gt;設定!$B$3),"",IF(INDEX(原始資料!Z$2:Z$501,$BJ4)="","",INDEX(原始資料!Z$2:Z$501,$BJ4)))</f>
        <v/>
      </c>
      <c r="Y4" s="6">
        <f>IF(OR($BJ4="",24&gt;設定!$B$3),"",IF(INDEX(原始資料!AA$2:AA$501,$BJ4)="","",INDEX(原始資料!AA$2:AA$501,$BJ4)))</f>
        <v/>
      </c>
      <c r="Z4" s="6">
        <f>IF(OR($BJ4="",25&gt;設定!$B$3),"",IF(INDEX(原始資料!AB$2:AB$501,$BJ4)="","",INDEX(原始資料!AB$2:AB$501,$BJ4)))</f>
        <v/>
      </c>
      <c r="AA4" s="6">
        <f>IF(OR($BJ4="",26&gt;設定!$B$3),"",IF(INDEX(原始資料!AC$2:AC$501,$BJ4)="","",INDEX(原始資料!AC$2:AC$501,$BJ4)))</f>
        <v/>
      </c>
      <c r="AB4" s="6">
        <f>IF(OR($BJ4="",27&gt;設定!$B$3),"",IF(INDEX(原始資料!AD$2:AD$501,$BJ4)="","",INDEX(原始資料!AD$2:AD$501,$BJ4)))</f>
        <v/>
      </c>
      <c r="AC4" s="6">
        <f>IF(OR($BJ4="",28&gt;設定!$B$3),"",IF(INDEX(原始資料!AE$2:AE$501,$BJ4)="","",INDEX(原始資料!AE$2:AE$501,$BJ4)))</f>
        <v/>
      </c>
      <c r="AD4" s="6">
        <f>IF(OR($BJ4="",29&gt;設定!$B$3),"",IF(INDEX(原始資料!AF$2:AF$501,$BJ4)="","",INDEX(原始資料!AF$2:AF$501,$BJ4)))</f>
        <v/>
      </c>
      <c r="AE4" s="6">
        <f>IF(OR($BJ4="",30&gt;設定!$B$3),"",IF(INDEX(原始資料!AG$2:AG$501,$BJ4)="","",INDEX(原始資料!AG$2:AG$501,$BJ4)))</f>
        <v/>
      </c>
      <c r="AF4" s="6">
        <f>IF(OR($BJ4="",31&gt;設定!$B$3),"",IF(INDEX(原始資料!AH$2:AH$501,$BJ4)="","",INDEX(原始資料!AH$2:AH$501,$BJ4)))</f>
        <v/>
      </c>
      <c r="AG4" s="6">
        <f>IF(OR($BJ4="",32&gt;設定!$B$3),"",IF(INDEX(原始資料!AI$2:AI$501,$BJ4)="","",INDEX(原始資料!AI$2:AI$501,$BJ4)))</f>
        <v/>
      </c>
      <c r="AH4" s="6">
        <f>IF(OR($BJ4="",33&gt;設定!$B$3),"",IF(INDEX(原始資料!AJ$2:AJ$501,$BJ4)="","",INDEX(原始資料!AJ$2:AJ$501,$BJ4)))</f>
        <v/>
      </c>
      <c r="AI4" s="6">
        <f>IF(OR($BJ4="",34&gt;設定!$B$3),"",IF(INDEX(原始資料!AK$2:AK$501,$BJ4)="","",INDEX(原始資料!AK$2:AK$501,$BJ4)))</f>
        <v/>
      </c>
      <c r="AJ4" s="6">
        <f>IF(OR($BJ4="",35&gt;設定!$B$3),"",IF(INDEX(原始資料!AL$2:AL$501,$BJ4)="","",INDEX(原始資料!AL$2:AL$501,$BJ4)))</f>
        <v/>
      </c>
      <c r="AK4" s="6">
        <f>IF(OR($BJ4="",36&gt;設定!$B$3),"",IF(INDEX(原始資料!AM$2:AM$501,$BJ4)="","",INDEX(原始資料!AM$2:AM$501,$BJ4)))</f>
        <v/>
      </c>
      <c r="AL4" s="6">
        <f>IF(OR($BJ4="",37&gt;設定!$B$3),"",IF(INDEX(原始資料!AN$2:AN$501,$BJ4)="","",INDEX(原始資料!AN$2:AN$501,$BJ4)))</f>
        <v/>
      </c>
      <c r="AM4" s="6">
        <f>IF(OR($BJ4="",38&gt;設定!$B$3),"",IF(INDEX(原始資料!AO$2:AO$501,$BJ4)="","",INDEX(原始資料!AO$2:AO$501,$BJ4)))</f>
        <v/>
      </c>
      <c r="AN4" s="6">
        <f>IF(OR($BJ4="",39&gt;設定!$B$3),"",IF(INDEX(原始資料!AP$2:AP$501,$BJ4)="","",INDEX(原始資料!AP$2:AP$501,$BJ4)))</f>
        <v/>
      </c>
      <c r="AO4" s="6">
        <f>IF(OR($BJ4="",40&gt;設定!$B$3),"",IF(INDEX(原始資料!AQ$2:AQ$501,$BJ4)="","",INDEX(原始資料!AQ$2:AQ$501,$BJ4)))</f>
        <v/>
      </c>
      <c r="AP4" s="6">
        <f>IF(OR($BJ4="",41&gt;設定!$B$3),"",IF(INDEX(原始資料!AR$2:AR$501,$BJ4)="","",INDEX(原始資料!AR$2:AR$501,$BJ4)))</f>
        <v/>
      </c>
      <c r="AQ4" s="6">
        <f>IF(OR($BJ4="",42&gt;設定!$B$3),"",IF(INDEX(原始資料!AS$2:AS$501,$BJ4)="","",INDEX(原始資料!AS$2:AS$501,$BJ4)))</f>
        <v/>
      </c>
      <c r="AR4" s="6">
        <f>IF(OR($BJ4="",43&gt;設定!$B$3),"",IF(INDEX(原始資料!AT$2:AT$501,$BJ4)="","",INDEX(原始資料!AT$2:AT$501,$BJ4)))</f>
        <v/>
      </c>
      <c r="AS4" s="6">
        <f>IF(OR($BJ4="",44&gt;設定!$B$3),"",IF(INDEX(原始資料!AU$2:AU$501,$BJ4)="","",INDEX(原始資料!AU$2:AU$501,$BJ4)))</f>
        <v/>
      </c>
      <c r="AT4" s="6">
        <f>IF(OR($BJ4="",45&gt;設定!$B$3),"",IF(INDEX(原始資料!AV$2:AV$501,$BJ4)="","",INDEX(原始資料!AV$2:AV$501,$BJ4)))</f>
        <v/>
      </c>
      <c r="AU4" s="6">
        <f>IF(OR($BJ4="",46&gt;設定!$B$3),"",IF(INDEX(原始資料!AW$2:AW$501,$BJ4)="","",INDEX(原始資料!AW$2:AW$501,$BJ4)))</f>
        <v/>
      </c>
      <c r="AV4" s="6">
        <f>IF(OR($BJ4="",47&gt;設定!$B$3),"",IF(INDEX(原始資料!AX$2:AX$501,$BJ4)="","",INDEX(原始資料!AX$2:AX$501,$BJ4)))</f>
        <v/>
      </c>
      <c r="AW4" s="6">
        <f>IF(OR($BJ4="",48&gt;設定!$B$3),"",IF(INDEX(原始資料!AY$2:AY$501,$BJ4)="","",INDEX(原始資料!AY$2:AY$501,$BJ4)))</f>
        <v/>
      </c>
      <c r="AX4" s="6">
        <f>IF(OR($BJ4="",49&gt;設定!$B$3),"",IF(INDEX(原始資料!AZ$2:AZ$501,$BJ4)="","",INDEX(原始資料!AZ$2:AZ$501,$BJ4)))</f>
        <v/>
      </c>
      <c r="AY4" s="6">
        <f>IF(OR($BJ4="",50&gt;設定!$B$3),"",IF(INDEX(原始資料!BA$2:BA$501,$BJ4)="","",INDEX(原始資料!BA$2:BA$501,$BJ4)))</f>
        <v/>
      </c>
      <c r="AZ4" s="6">
        <f>IF(OR($BJ4="",51&gt;設定!$B$3),"",IF(INDEX(原始資料!BB$2:BB$501,$BJ4)="","",INDEX(原始資料!BB$2:BB$501,$BJ4)))</f>
        <v/>
      </c>
      <c r="BA4" s="6">
        <f>IF(OR($BJ4="",52&gt;設定!$B$3),"",IF(INDEX(原始資料!BC$2:BC$501,$BJ4)="","",INDEX(原始資料!BC$2:BC$501,$BJ4)))</f>
        <v/>
      </c>
      <c r="BB4" s="6">
        <f>IF(OR($BJ4="",53&gt;設定!$B$3),"",IF(INDEX(原始資料!BD$2:BD$501,$BJ4)="","",INDEX(原始資料!BD$2:BD$501,$BJ4)))</f>
        <v/>
      </c>
      <c r="BC4" s="6">
        <f>IF(OR($BJ4="",54&gt;設定!$B$3),"",IF(INDEX(原始資料!BE$2:BE$501,$BJ4)="","",INDEX(原始資料!BE$2:BE$501,$BJ4)))</f>
        <v/>
      </c>
      <c r="BD4" s="6">
        <f>IF(OR($BJ4="",55&gt;設定!$B$3),"",IF(INDEX(原始資料!BF$2:BF$501,$BJ4)="","",INDEX(原始資料!BF$2:BF$501,$BJ4)))</f>
        <v/>
      </c>
      <c r="BE4" s="6">
        <f>IF(OR($BJ4="",56&gt;設定!$B$3),"",IF(INDEX(原始資料!BG$2:BG$501,$BJ4)="","",INDEX(原始資料!BG$2:BG$501,$BJ4)))</f>
        <v/>
      </c>
      <c r="BF4" s="6">
        <f>IF(OR($BJ4="",57&gt;設定!$B$3),"",IF(INDEX(原始資料!BH$2:BH$501,$BJ4)="","",INDEX(原始資料!BH$2:BH$501,$BJ4)))</f>
        <v/>
      </c>
      <c r="BG4" s="6">
        <f>IF(OR($BJ4="",58&gt;設定!$B$3),"",IF(INDEX(原始資料!BI$2:BI$501,$BJ4)="","",INDEX(原始資料!BI$2:BI$501,$BJ4)))</f>
        <v/>
      </c>
      <c r="BH4" s="6">
        <f>IF(OR($BJ4="",59&gt;設定!$B$3),"",IF(INDEX(原始資料!BJ$2:BJ$501,$BJ4)="","",INDEX(原始資料!BJ$2:BJ$501,$BJ4)))</f>
        <v/>
      </c>
      <c r="BI4" s="6">
        <f>IF(OR($BJ4="",60&gt;設定!$B$3),"",IF(INDEX(原始資料!BK$2:BK$501,$BJ4)="","",INDEX(原始資料!BK$2:BK$501,$BJ4)))</f>
        <v/>
      </c>
      <c r="BJ4" s="6">
        <f>IFERROR(MATCH(ROW()-1,判定!$H$2:$H$501,0),"")</f>
        <v/>
      </c>
    </row>
    <row r="5">
      <c r="A5" s="6">
        <f>IF($BJ5="","",INDEX(原始資料!$A$2:$A$501,$BJ5))</f>
        <v/>
      </c>
      <c r="B5" s="6">
        <f>IF(OR($BJ5="",1&gt;設定!$B$3),"",IF(INDEX(原始資料!D$2:D$501,$BJ5)="","",INDEX(原始資料!D$2:D$501,$BJ5)))</f>
        <v/>
      </c>
      <c r="C5" s="6">
        <f>IF(OR($BJ5="",2&gt;設定!$B$3),"",IF(INDEX(原始資料!E$2:E$501,$BJ5)="","",INDEX(原始資料!E$2:E$501,$BJ5)))</f>
        <v/>
      </c>
      <c r="D5" s="6">
        <f>IF(OR($BJ5="",3&gt;設定!$B$3),"",IF(INDEX(原始資料!F$2:F$501,$BJ5)="","",INDEX(原始資料!F$2:F$501,$BJ5)))</f>
        <v/>
      </c>
      <c r="E5" s="6">
        <f>IF(OR($BJ5="",4&gt;設定!$B$3),"",IF(INDEX(原始資料!G$2:G$501,$BJ5)="","",INDEX(原始資料!G$2:G$501,$BJ5)))</f>
        <v/>
      </c>
      <c r="F5" s="6">
        <f>IF(OR($BJ5="",5&gt;設定!$B$3),"",IF(INDEX(原始資料!H$2:H$501,$BJ5)="","",INDEX(原始資料!H$2:H$501,$BJ5)))</f>
        <v/>
      </c>
      <c r="G5" s="6">
        <f>IF(OR($BJ5="",6&gt;設定!$B$3),"",IF(INDEX(原始資料!I$2:I$501,$BJ5)="","",INDEX(原始資料!I$2:I$501,$BJ5)))</f>
        <v/>
      </c>
      <c r="H5" s="6">
        <f>IF(OR($BJ5="",7&gt;設定!$B$3),"",IF(INDEX(原始資料!J$2:J$501,$BJ5)="","",INDEX(原始資料!J$2:J$501,$BJ5)))</f>
        <v/>
      </c>
      <c r="I5" s="6">
        <f>IF(OR($BJ5="",8&gt;設定!$B$3),"",IF(INDEX(原始資料!K$2:K$501,$BJ5)="","",INDEX(原始資料!K$2:K$501,$BJ5)))</f>
        <v/>
      </c>
      <c r="J5" s="6">
        <f>IF(OR($BJ5="",9&gt;設定!$B$3),"",IF(INDEX(原始資料!L$2:L$501,$BJ5)="","",INDEX(原始資料!L$2:L$501,$BJ5)))</f>
        <v/>
      </c>
      <c r="K5" s="6">
        <f>IF(OR($BJ5="",10&gt;設定!$B$3),"",IF(INDEX(原始資料!M$2:M$501,$BJ5)="","",INDEX(原始資料!M$2:M$501,$BJ5)))</f>
        <v/>
      </c>
      <c r="L5" s="6">
        <f>IF(OR($BJ5="",11&gt;設定!$B$3),"",IF(INDEX(原始資料!N$2:N$501,$BJ5)="","",INDEX(原始資料!N$2:N$501,$BJ5)))</f>
        <v/>
      </c>
      <c r="M5" s="6">
        <f>IF(OR($BJ5="",12&gt;設定!$B$3),"",IF(INDEX(原始資料!O$2:O$501,$BJ5)="","",INDEX(原始資料!O$2:O$501,$BJ5)))</f>
        <v/>
      </c>
      <c r="N5" s="6">
        <f>IF(OR($BJ5="",13&gt;設定!$B$3),"",IF(INDEX(原始資料!P$2:P$501,$BJ5)="","",INDEX(原始資料!P$2:P$501,$BJ5)))</f>
        <v/>
      </c>
      <c r="O5" s="6">
        <f>IF(OR($BJ5="",14&gt;設定!$B$3),"",IF(INDEX(原始資料!Q$2:Q$501,$BJ5)="","",INDEX(原始資料!Q$2:Q$501,$BJ5)))</f>
        <v/>
      </c>
      <c r="P5" s="6">
        <f>IF(OR($BJ5="",15&gt;設定!$B$3),"",IF(INDEX(原始資料!R$2:R$501,$BJ5)="","",INDEX(原始資料!R$2:R$501,$BJ5)))</f>
        <v/>
      </c>
      <c r="Q5" s="6">
        <f>IF(OR($BJ5="",16&gt;設定!$B$3),"",IF(INDEX(原始資料!S$2:S$501,$BJ5)="","",INDEX(原始資料!S$2:S$501,$BJ5)))</f>
        <v/>
      </c>
      <c r="R5" s="6">
        <f>IF(OR($BJ5="",17&gt;設定!$B$3),"",IF(INDEX(原始資料!T$2:T$501,$BJ5)="","",INDEX(原始資料!T$2:T$501,$BJ5)))</f>
        <v/>
      </c>
      <c r="S5" s="6">
        <f>IF(OR($BJ5="",18&gt;設定!$B$3),"",IF(INDEX(原始資料!U$2:U$501,$BJ5)="","",INDEX(原始資料!U$2:U$501,$BJ5)))</f>
        <v/>
      </c>
      <c r="T5" s="6">
        <f>IF(OR($BJ5="",19&gt;設定!$B$3),"",IF(INDEX(原始資料!V$2:V$501,$BJ5)="","",INDEX(原始資料!V$2:V$501,$BJ5)))</f>
        <v/>
      </c>
      <c r="U5" s="6">
        <f>IF(OR($BJ5="",20&gt;設定!$B$3),"",IF(INDEX(原始資料!W$2:W$501,$BJ5)="","",INDEX(原始資料!W$2:W$501,$BJ5)))</f>
        <v/>
      </c>
      <c r="V5" s="6">
        <f>IF(OR($BJ5="",21&gt;設定!$B$3),"",IF(INDEX(原始資料!X$2:X$501,$BJ5)="","",INDEX(原始資料!X$2:X$501,$BJ5)))</f>
        <v/>
      </c>
      <c r="W5" s="6">
        <f>IF(OR($BJ5="",22&gt;設定!$B$3),"",IF(INDEX(原始資料!Y$2:Y$501,$BJ5)="","",INDEX(原始資料!Y$2:Y$501,$BJ5)))</f>
        <v/>
      </c>
      <c r="X5" s="6">
        <f>IF(OR($BJ5="",23&gt;設定!$B$3),"",IF(INDEX(原始資料!Z$2:Z$501,$BJ5)="","",INDEX(原始資料!Z$2:Z$501,$BJ5)))</f>
        <v/>
      </c>
      <c r="Y5" s="6">
        <f>IF(OR($BJ5="",24&gt;設定!$B$3),"",IF(INDEX(原始資料!AA$2:AA$501,$BJ5)="","",INDEX(原始資料!AA$2:AA$501,$BJ5)))</f>
        <v/>
      </c>
      <c r="Z5" s="6">
        <f>IF(OR($BJ5="",25&gt;設定!$B$3),"",IF(INDEX(原始資料!AB$2:AB$501,$BJ5)="","",INDEX(原始資料!AB$2:AB$501,$BJ5)))</f>
        <v/>
      </c>
      <c r="AA5" s="6">
        <f>IF(OR($BJ5="",26&gt;設定!$B$3),"",IF(INDEX(原始資料!AC$2:AC$501,$BJ5)="","",INDEX(原始資料!AC$2:AC$501,$BJ5)))</f>
        <v/>
      </c>
      <c r="AB5" s="6">
        <f>IF(OR($BJ5="",27&gt;設定!$B$3),"",IF(INDEX(原始資料!AD$2:AD$501,$BJ5)="","",INDEX(原始資料!AD$2:AD$501,$BJ5)))</f>
        <v/>
      </c>
      <c r="AC5" s="6">
        <f>IF(OR($BJ5="",28&gt;設定!$B$3),"",IF(INDEX(原始資料!AE$2:AE$501,$BJ5)="","",INDEX(原始資料!AE$2:AE$501,$BJ5)))</f>
        <v/>
      </c>
      <c r="AD5" s="6">
        <f>IF(OR($BJ5="",29&gt;設定!$B$3),"",IF(INDEX(原始資料!AF$2:AF$501,$BJ5)="","",INDEX(原始資料!AF$2:AF$501,$BJ5)))</f>
        <v/>
      </c>
      <c r="AE5" s="6">
        <f>IF(OR($BJ5="",30&gt;設定!$B$3),"",IF(INDEX(原始資料!AG$2:AG$501,$BJ5)="","",INDEX(原始資料!AG$2:AG$501,$BJ5)))</f>
        <v/>
      </c>
      <c r="AF5" s="6">
        <f>IF(OR($BJ5="",31&gt;設定!$B$3),"",IF(INDEX(原始資料!AH$2:AH$501,$BJ5)="","",INDEX(原始資料!AH$2:AH$501,$BJ5)))</f>
        <v/>
      </c>
      <c r="AG5" s="6">
        <f>IF(OR($BJ5="",32&gt;設定!$B$3),"",IF(INDEX(原始資料!AI$2:AI$501,$BJ5)="","",INDEX(原始資料!AI$2:AI$501,$BJ5)))</f>
        <v/>
      </c>
      <c r="AH5" s="6">
        <f>IF(OR($BJ5="",33&gt;設定!$B$3),"",IF(INDEX(原始資料!AJ$2:AJ$501,$BJ5)="","",INDEX(原始資料!AJ$2:AJ$501,$BJ5)))</f>
        <v/>
      </c>
      <c r="AI5" s="6">
        <f>IF(OR($BJ5="",34&gt;設定!$B$3),"",IF(INDEX(原始資料!AK$2:AK$501,$BJ5)="","",INDEX(原始資料!AK$2:AK$501,$BJ5)))</f>
        <v/>
      </c>
      <c r="AJ5" s="6">
        <f>IF(OR($BJ5="",35&gt;設定!$B$3),"",IF(INDEX(原始資料!AL$2:AL$501,$BJ5)="","",INDEX(原始資料!AL$2:AL$501,$BJ5)))</f>
        <v/>
      </c>
      <c r="AK5" s="6">
        <f>IF(OR($BJ5="",36&gt;設定!$B$3),"",IF(INDEX(原始資料!AM$2:AM$501,$BJ5)="","",INDEX(原始資料!AM$2:AM$501,$BJ5)))</f>
        <v/>
      </c>
      <c r="AL5" s="6">
        <f>IF(OR($BJ5="",37&gt;設定!$B$3),"",IF(INDEX(原始資料!AN$2:AN$501,$BJ5)="","",INDEX(原始資料!AN$2:AN$501,$BJ5)))</f>
        <v/>
      </c>
      <c r="AM5" s="6">
        <f>IF(OR($BJ5="",38&gt;設定!$B$3),"",IF(INDEX(原始資料!AO$2:AO$501,$BJ5)="","",INDEX(原始資料!AO$2:AO$501,$BJ5)))</f>
        <v/>
      </c>
      <c r="AN5" s="6">
        <f>IF(OR($BJ5="",39&gt;設定!$B$3),"",IF(INDEX(原始資料!AP$2:AP$501,$BJ5)="","",INDEX(原始資料!AP$2:AP$501,$BJ5)))</f>
        <v/>
      </c>
      <c r="AO5" s="6">
        <f>IF(OR($BJ5="",40&gt;設定!$B$3),"",IF(INDEX(原始資料!AQ$2:AQ$501,$BJ5)="","",INDEX(原始資料!AQ$2:AQ$501,$BJ5)))</f>
        <v/>
      </c>
      <c r="AP5" s="6">
        <f>IF(OR($BJ5="",41&gt;設定!$B$3),"",IF(INDEX(原始資料!AR$2:AR$501,$BJ5)="","",INDEX(原始資料!AR$2:AR$501,$BJ5)))</f>
        <v/>
      </c>
      <c r="AQ5" s="6">
        <f>IF(OR($BJ5="",42&gt;設定!$B$3),"",IF(INDEX(原始資料!AS$2:AS$501,$BJ5)="","",INDEX(原始資料!AS$2:AS$501,$BJ5)))</f>
        <v/>
      </c>
      <c r="AR5" s="6">
        <f>IF(OR($BJ5="",43&gt;設定!$B$3),"",IF(INDEX(原始資料!AT$2:AT$501,$BJ5)="","",INDEX(原始資料!AT$2:AT$501,$BJ5)))</f>
        <v/>
      </c>
      <c r="AS5" s="6">
        <f>IF(OR($BJ5="",44&gt;設定!$B$3),"",IF(INDEX(原始資料!AU$2:AU$501,$BJ5)="","",INDEX(原始資料!AU$2:AU$501,$BJ5)))</f>
        <v/>
      </c>
      <c r="AT5" s="6">
        <f>IF(OR($BJ5="",45&gt;設定!$B$3),"",IF(INDEX(原始資料!AV$2:AV$501,$BJ5)="","",INDEX(原始資料!AV$2:AV$501,$BJ5)))</f>
        <v/>
      </c>
      <c r="AU5" s="6">
        <f>IF(OR($BJ5="",46&gt;設定!$B$3),"",IF(INDEX(原始資料!AW$2:AW$501,$BJ5)="","",INDEX(原始資料!AW$2:AW$501,$BJ5)))</f>
        <v/>
      </c>
      <c r="AV5" s="6">
        <f>IF(OR($BJ5="",47&gt;設定!$B$3),"",IF(INDEX(原始資料!AX$2:AX$501,$BJ5)="","",INDEX(原始資料!AX$2:AX$501,$BJ5)))</f>
        <v/>
      </c>
      <c r="AW5" s="6">
        <f>IF(OR($BJ5="",48&gt;設定!$B$3),"",IF(INDEX(原始資料!AY$2:AY$501,$BJ5)="","",INDEX(原始資料!AY$2:AY$501,$BJ5)))</f>
        <v/>
      </c>
      <c r="AX5" s="6">
        <f>IF(OR($BJ5="",49&gt;設定!$B$3),"",IF(INDEX(原始資料!AZ$2:AZ$501,$BJ5)="","",INDEX(原始資料!AZ$2:AZ$501,$BJ5)))</f>
        <v/>
      </c>
      <c r="AY5" s="6">
        <f>IF(OR($BJ5="",50&gt;設定!$B$3),"",IF(INDEX(原始資料!BA$2:BA$501,$BJ5)="","",INDEX(原始資料!BA$2:BA$501,$BJ5)))</f>
        <v/>
      </c>
      <c r="AZ5" s="6">
        <f>IF(OR($BJ5="",51&gt;設定!$B$3),"",IF(INDEX(原始資料!BB$2:BB$501,$BJ5)="","",INDEX(原始資料!BB$2:BB$501,$BJ5)))</f>
        <v/>
      </c>
      <c r="BA5" s="6">
        <f>IF(OR($BJ5="",52&gt;設定!$B$3),"",IF(INDEX(原始資料!BC$2:BC$501,$BJ5)="","",INDEX(原始資料!BC$2:BC$501,$BJ5)))</f>
        <v/>
      </c>
      <c r="BB5" s="6">
        <f>IF(OR($BJ5="",53&gt;設定!$B$3),"",IF(INDEX(原始資料!BD$2:BD$501,$BJ5)="","",INDEX(原始資料!BD$2:BD$501,$BJ5)))</f>
        <v/>
      </c>
      <c r="BC5" s="6">
        <f>IF(OR($BJ5="",54&gt;設定!$B$3),"",IF(INDEX(原始資料!BE$2:BE$501,$BJ5)="","",INDEX(原始資料!BE$2:BE$501,$BJ5)))</f>
        <v/>
      </c>
      <c r="BD5" s="6">
        <f>IF(OR($BJ5="",55&gt;設定!$B$3),"",IF(INDEX(原始資料!BF$2:BF$501,$BJ5)="","",INDEX(原始資料!BF$2:BF$501,$BJ5)))</f>
        <v/>
      </c>
      <c r="BE5" s="6">
        <f>IF(OR($BJ5="",56&gt;設定!$B$3),"",IF(INDEX(原始資料!BG$2:BG$501,$BJ5)="","",INDEX(原始資料!BG$2:BG$501,$BJ5)))</f>
        <v/>
      </c>
      <c r="BF5" s="6">
        <f>IF(OR($BJ5="",57&gt;設定!$B$3),"",IF(INDEX(原始資料!BH$2:BH$501,$BJ5)="","",INDEX(原始資料!BH$2:BH$501,$BJ5)))</f>
        <v/>
      </c>
      <c r="BG5" s="6">
        <f>IF(OR($BJ5="",58&gt;設定!$B$3),"",IF(INDEX(原始資料!BI$2:BI$501,$BJ5)="","",INDEX(原始資料!BI$2:BI$501,$BJ5)))</f>
        <v/>
      </c>
      <c r="BH5" s="6">
        <f>IF(OR($BJ5="",59&gt;設定!$B$3),"",IF(INDEX(原始資料!BJ$2:BJ$501,$BJ5)="","",INDEX(原始資料!BJ$2:BJ$501,$BJ5)))</f>
        <v/>
      </c>
      <c r="BI5" s="6">
        <f>IF(OR($BJ5="",60&gt;設定!$B$3),"",IF(INDEX(原始資料!BK$2:BK$501,$BJ5)="","",INDEX(原始資料!BK$2:BK$501,$BJ5)))</f>
        <v/>
      </c>
      <c r="BJ5" s="6">
        <f>IFERROR(MATCH(ROW()-1,判定!$H$2:$H$501,0),"")</f>
        <v/>
      </c>
    </row>
    <row r="6">
      <c r="A6" s="6">
        <f>IF($BJ6="","",INDEX(原始資料!$A$2:$A$501,$BJ6))</f>
        <v/>
      </c>
      <c r="B6" s="6">
        <f>IF(OR($BJ6="",1&gt;設定!$B$3),"",IF(INDEX(原始資料!D$2:D$501,$BJ6)="","",INDEX(原始資料!D$2:D$501,$BJ6)))</f>
        <v/>
      </c>
      <c r="C6" s="6">
        <f>IF(OR($BJ6="",2&gt;設定!$B$3),"",IF(INDEX(原始資料!E$2:E$501,$BJ6)="","",INDEX(原始資料!E$2:E$501,$BJ6)))</f>
        <v/>
      </c>
      <c r="D6" s="6">
        <f>IF(OR($BJ6="",3&gt;設定!$B$3),"",IF(INDEX(原始資料!F$2:F$501,$BJ6)="","",INDEX(原始資料!F$2:F$501,$BJ6)))</f>
        <v/>
      </c>
      <c r="E6" s="6">
        <f>IF(OR($BJ6="",4&gt;設定!$B$3),"",IF(INDEX(原始資料!G$2:G$501,$BJ6)="","",INDEX(原始資料!G$2:G$501,$BJ6)))</f>
        <v/>
      </c>
      <c r="F6" s="6">
        <f>IF(OR($BJ6="",5&gt;設定!$B$3),"",IF(INDEX(原始資料!H$2:H$501,$BJ6)="","",INDEX(原始資料!H$2:H$501,$BJ6)))</f>
        <v/>
      </c>
      <c r="G6" s="6">
        <f>IF(OR($BJ6="",6&gt;設定!$B$3),"",IF(INDEX(原始資料!I$2:I$501,$BJ6)="","",INDEX(原始資料!I$2:I$501,$BJ6)))</f>
        <v/>
      </c>
      <c r="H6" s="6">
        <f>IF(OR($BJ6="",7&gt;設定!$B$3),"",IF(INDEX(原始資料!J$2:J$501,$BJ6)="","",INDEX(原始資料!J$2:J$501,$BJ6)))</f>
        <v/>
      </c>
      <c r="I6" s="6">
        <f>IF(OR($BJ6="",8&gt;設定!$B$3),"",IF(INDEX(原始資料!K$2:K$501,$BJ6)="","",INDEX(原始資料!K$2:K$501,$BJ6)))</f>
        <v/>
      </c>
      <c r="J6" s="6">
        <f>IF(OR($BJ6="",9&gt;設定!$B$3),"",IF(INDEX(原始資料!L$2:L$501,$BJ6)="","",INDEX(原始資料!L$2:L$501,$BJ6)))</f>
        <v/>
      </c>
      <c r="K6" s="6">
        <f>IF(OR($BJ6="",10&gt;設定!$B$3),"",IF(INDEX(原始資料!M$2:M$501,$BJ6)="","",INDEX(原始資料!M$2:M$501,$BJ6)))</f>
        <v/>
      </c>
      <c r="L6" s="6">
        <f>IF(OR($BJ6="",11&gt;設定!$B$3),"",IF(INDEX(原始資料!N$2:N$501,$BJ6)="","",INDEX(原始資料!N$2:N$501,$BJ6)))</f>
        <v/>
      </c>
      <c r="M6" s="6">
        <f>IF(OR($BJ6="",12&gt;設定!$B$3),"",IF(INDEX(原始資料!O$2:O$501,$BJ6)="","",INDEX(原始資料!O$2:O$501,$BJ6)))</f>
        <v/>
      </c>
      <c r="N6" s="6">
        <f>IF(OR($BJ6="",13&gt;設定!$B$3),"",IF(INDEX(原始資料!P$2:P$501,$BJ6)="","",INDEX(原始資料!P$2:P$501,$BJ6)))</f>
        <v/>
      </c>
      <c r="O6" s="6">
        <f>IF(OR($BJ6="",14&gt;設定!$B$3),"",IF(INDEX(原始資料!Q$2:Q$501,$BJ6)="","",INDEX(原始資料!Q$2:Q$501,$BJ6)))</f>
        <v/>
      </c>
      <c r="P6" s="6">
        <f>IF(OR($BJ6="",15&gt;設定!$B$3),"",IF(INDEX(原始資料!R$2:R$501,$BJ6)="","",INDEX(原始資料!R$2:R$501,$BJ6)))</f>
        <v/>
      </c>
      <c r="Q6" s="6">
        <f>IF(OR($BJ6="",16&gt;設定!$B$3),"",IF(INDEX(原始資料!S$2:S$501,$BJ6)="","",INDEX(原始資料!S$2:S$501,$BJ6)))</f>
        <v/>
      </c>
      <c r="R6" s="6">
        <f>IF(OR($BJ6="",17&gt;設定!$B$3),"",IF(INDEX(原始資料!T$2:T$501,$BJ6)="","",INDEX(原始資料!T$2:T$501,$BJ6)))</f>
        <v/>
      </c>
      <c r="S6" s="6">
        <f>IF(OR($BJ6="",18&gt;設定!$B$3),"",IF(INDEX(原始資料!U$2:U$501,$BJ6)="","",INDEX(原始資料!U$2:U$501,$BJ6)))</f>
        <v/>
      </c>
      <c r="T6" s="6">
        <f>IF(OR($BJ6="",19&gt;設定!$B$3),"",IF(INDEX(原始資料!V$2:V$501,$BJ6)="","",INDEX(原始資料!V$2:V$501,$BJ6)))</f>
        <v/>
      </c>
      <c r="U6" s="6">
        <f>IF(OR($BJ6="",20&gt;設定!$B$3),"",IF(INDEX(原始資料!W$2:W$501,$BJ6)="","",INDEX(原始資料!W$2:W$501,$BJ6)))</f>
        <v/>
      </c>
      <c r="V6" s="6">
        <f>IF(OR($BJ6="",21&gt;設定!$B$3),"",IF(INDEX(原始資料!X$2:X$501,$BJ6)="","",INDEX(原始資料!X$2:X$501,$BJ6)))</f>
        <v/>
      </c>
      <c r="W6" s="6">
        <f>IF(OR($BJ6="",22&gt;設定!$B$3),"",IF(INDEX(原始資料!Y$2:Y$501,$BJ6)="","",INDEX(原始資料!Y$2:Y$501,$BJ6)))</f>
        <v/>
      </c>
      <c r="X6" s="6">
        <f>IF(OR($BJ6="",23&gt;設定!$B$3),"",IF(INDEX(原始資料!Z$2:Z$501,$BJ6)="","",INDEX(原始資料!Z$2:Z$501,$BJ6)))</f>
        <v/>
      </c>
      <c r="Y6" s="6">
        <f>IF(OR($BJ6="",24&gt;設定!$B$3),"",IF(INDEX(原始資料!AA$2:AA$501,$BJ6)="","",INDEX(原始資料!AA$2:AA$501,$BJ6)))</f>
        <v/>
      </c>
      <c r="Z6" s="6">
        <f>IF(OR($BJ6="",25&gt;設定!$B$3),"",IF(INDEX(原始資料!AB$2:AB$501,$BJ6)="","",INDEX(原始資料!AB$2:AB$501,$BJ6)))</f>
        <v/>
      </c>
      <c r="AA6" s="6">
        <f>IF(OR($BJ6="",26&gt;設定!$B$3),"",IF(INDEX(原始資料!AC$2:AC$501,$BJ6)="","",INDEX(原始資料!AC$2:AC$501,$BJ6)))</f>
        <v/>
      </c>
      <c r="AB6" s="6">
        <f>IF(OR($BJ6="",27&gt;設定!$B$3),"",IF(INDEX(原始資料!AD$2:AD$501,$BJ6)="","",INDEX(原始資料!AD$2:AD$501,$BJ6)))</f>
        <v/>
      </c>
      <c r="AC6" s="6">
        <f>IF(OR($BJ6="",28&gt;設定!$B$3),"",IF(INDEX(原始資料!AE$2:AE$501,$BJ6)="","",INDEX(原始資料!AE$2:AE$501,$BJ6)))</f>
        <v/>
      </c>
      <c r="AD6" s="6">
        <f>IF(OR($BJ6="",29&gt;設定!$B$3),"",IF(INDEX(原始資料!AF$2:AF$501,$BJ6)="","",INDEX(原始資料!AF$2:AF$501,$BJ6)))</f>
        <v/>
      </c>
      <c r="AE6" s="6">
        <f>IF(OR($BJ6="",30&gt;設定!$B$3),"",IF(INDEX(原始資料!AG$2:AG$501,$BJ6)="","",INDEX(原始資料!AG$2:AG$501,$BJ6)))</f>
        <v/>
      </c>
      <c r="AF6" s="6">
        <f>IF(OR($BJ6="",31&gt;設定!$B$3),"",IF(INDEX(原始資料!AH$2:AH$501,$BJ6)="","",INDEX(原始資料!AH$2:AH$501,$BJ6)))</f>
        <v/>
      </c>
      <c r="AG6" s="6">
        <f>IF(OR($BJ6="",32&gt;設定!$B$3),"",IF(INDEX(原始資料!AI$2:AI$501,$BJ6)="","",INDEX(原始資料!AI$2:AI$501,$BJ6)))</f>
        <v/>
      </c>
      <c r="AH6" s="6">
        <f>IF(OR($BJ6="",33&gt;設定!$B$3),"",IF(INDEX(原始資料!AJ$2:AJ$501,$BJ6)="","",INDEX(原始資料!AJ$2:AJ$501,$BJ6)))</f>
        <v/>
      </c>
      <c r="AI6" s="6">
        <f>IF(OR($BJ6="",34&gt;設定!$B$3),"",IF(INDEX(原始資料!AK$2:AK$501,$BJ6)="","",INDEX(原始資料!AK$2:AK$501,$BJ6)))</f>
        <v/>
      </c>
      <c r="AJ6" s="6">
        <f>IF(OR($BJ6="",35&gt;設定!$B$3),"",IF(INDEX(原始資料!AL$2:AL$501,$BJ6)="","",INDEX(原始資料!AL$2:AL$501,$BJ6)))</f>
        <v/>
      </c>
      <c r="AK6" s="6">
        <f>IF(OR($BJ6="",36&gt;設定!$B$3),"",IF(INDEX(原始資料!AM$2:AM$501,$BJ6)="","",INDEX(原始資料!AM$2:AM$501,$BJ6)))</f>
        <v/>
      </c>
      <c r="AL6" s="6">
        <f>IF(OR($BJ6="",37&gt;設定!$B$3),"",IF(INDEX(原始資料!AN$2:AN$501,$BJ6)="","",INDEX(原始資料!AN$2:AN$501,$BJ6)))</f>
        <v/>
      </c>
      <c r="AM6" s="6">
        <f>IF(OR($BJ6="",38&gt;設定!$B$3),"",IF(INDEX(原始資料!AO$2:AO$501,$BJ6)="","",INDEX(原始資料!AO$2:AO$501,$BJ6)))</f>
        <v/>
      </c>
      <c r="AN6" s="6">
        <f>IF(OR($BJ6="",39&gt;設定!$B$3),"",IF(INDEX(原始資料!AP$2:AP$501,$BJ6)="","",INDEX(原始資料!AP$2:AP$501,$BJ6)))</f>
        <v/>
      </c>
      <c r="AO6" s="6">
        <f>IF(OR($BJ6="",40&gt;設定!$B$3),"",IF(INDEX(原始資料!AQ$2:AQ$501,$BJ6)="","",INDEX(原始資料!AQ$2:AQ$501,$BJ6)))</f>
        <v/>
      </c>
      <c r="AP6" s="6">
        <f>IF(OR($BJ6="",41&gt;設定!$B$3),"",IF(INDEX(原始資料!AR$2:AR$501,$BJ6)="","",INDEX(原始資料!AR$2:AR$501,$BJ6)))</f>
        <v/>
      </c>
      <c r="AQ6" s="6">
        <f>IF(OR($BJ6="",42&gt;設定!$B$3),"",IF(INDEX(原始資料!AS$2:AS$501,$BJ6)="","",INDEX(原始資料!AS$2:AS$501,$BJ6)))</f>
        <v/>
      </c>
      <c r="AR6" s="6">
        <f>IF(OR($BJ6="",43&gt;設定!$B$3),"",IF(INDEX(原始資料!AT$2:AT$501,$BJ6)="","",INDEX(原始資料!AT$2:AT$501,$BJ6)))</f>
        <v/>
      </c>
      <c r="AS6" s="6">
        <f>IF(OR($BJ6="",44&gt;設定!$B$3),"",IF(INDEX(原始資料!AU$2:AU$501,$BJ6)="","",INDEX(原始資料!AU$2:AU$501,$BJ6)))</f>
        <v/>
      </c>
      <c r="AT6" s="6">
        <f>IF(OR($BJ6="",45&gt;設定!$B$3),"",IF(INDEX(原始資料!AV$2:AV$501,$BJ6)="","",INDEX(原始資料!AV$2:AV$501,$BJ6)))</f>
        <v/>
      </c>
      <c r="AU6" s="6">
        <f>IF(OR($BJ6="",46&gt;設定!$B$3),"",IF(INDEX(原始資料!AW$2:AW$501,$BJ6)="","",INDEX(原始資料!AW$2:AW$501,$BJ6)))</f>
        <v/>
      </c>
      <c r="AV6" s="6">
        <f>IF(OR($BJ6="",47&gt;設定!$B$3),"",IF(INDEX(原始資料!AX$2:AX$501,$BJ6)="","",INDEX(原始資料!AX$2:AX$501,$BJ6)))</f>
        <v/>
      </c>
      <c r="AW6" s="6">
        <f>IF(OR($BJ6="",48&gt;設定!$B$3),"",IF(INDEX(原始資料!AY$2:AY$501,$BJ6)="","",INDEX(原始資料!AY$2:AY$501,$BJ6)))</f>
        <v/>
      </c>
      <c r="AX6" s="6">
        <f>IF(OR($BJ6="",49&gt;設定!$B$3),"",IF(INDEX(原始資料!AZ$2:AZ$501,$BJ6)="","",INDEX(原始資料!AZ$2:AZ$501,$BJ6)))</f>
        <v/>
      </c>
      <c r="AY6" s="6">
        <f>IF(OR($BJ6="",50&gt;設定!$B$3),"",IF(INDEX(原始資料!BA$2:BA$501,$BJ6)="","",INDEX(原始資料!BA$2:BA$501,$BJ6)))</f>
        <v/>
      </c>
      <c r="AZ6" s="6">
        <f>IF(OR($BJ6="",51&gt;設定!$B$3),"",IF(INDEX(原始資料!BB$2:BB$501,$BJ6)="","",INDEX(原始資料!BB$2:BB$501,$BJ6)))</f>
        <v/>
      </c>
      <c r="BA6" s="6">
        <f>IF(OR($BJ6="",52&gt;設定!$B$3),"",IF(INDEX(原始資料!BC$2:BC$501,$BJ6)="","",INDEX(原始資料!BC$2:BC$501,$BJ6)))</f>
        <v/>
      </c>
      <c r="BB6" s="6">
        <f>IF(OR($BJ6="",53&gt;設定!$B$3),"",IF(INDEX(原始資料!BD$2:BD$501,$BJ6)="","",INDEX(原始資料!BD$2:BD$501,$BJ6)))</f>
        <v/>
      </c>
      <c r="BC6" s="6">
        <f>IF(OR($BJ6="",54&gt;設定!$B$3),"",IF(INDEX(原始資料!BE$2:BE$501,$BJ6)="","",INDEX(原始資料!BE$2:BE$501,$BJ6)))</f>
        <v/>
      </c>
      <c r="BD6" s="6">
        <f>IF(OR($BJ6="",55&gt;設定!$B$3),"",IF(INDEX(原始資料!BF$2:BF$501,$BJ6)="","",INDEX(原始資料!BF$2:BF$501,$BJ6)))</f>
        <v/>
      </c>
      <c r="BE6" s="6">
        <f>IF(OR($BJ6="",56&gt;設定!$B$3),"",IF(INDEX(原始資料!BG$2:BG$501,$BJ6)="","",INDEX(原始資料!BG$2:BG$501,$BJ6)))</f>
        <v/>
      </c>
      <c r="BF6" s="6">
        <f>IF(OR($BJ6="",57&gt;設定!$B$3),"",IF(INDEX(原始資料!BH$2:BH$501,$BJ6)="","",INDEX(原始資料!BH$2:BH$501,$BJ6)))</f>
        <v/>
      </c>
      <c r="BG6" s="6">
        <f>IF(OR($BJ6="",58&gt;設定!$B$3),"",IF(INDEX(原始資料!BI$2:BI$501,$BJ6)="","",INDEX(原始資料!BI$2:BI$501,$BJ6)))</f>
        <v/>
      </c>
      <c r="BH6" s="6">
        <f>IF(OR($BJ6="",59&gt;設定!$B$3),"",IF(INDEX(原始資料!BJ$2:BJ$501,$BJ6)="","",INDEX(原始資料!BJ$2:BJ$501,$BJ6)))</f>
        <v/>
      </c>
      <c r="BI6" s="6">
        <f>IF(OR($BJ6="",60&gt;設定!$B$3),"",IF(INDEX(原始資料!BK$2:BK$501,$BJ6)="","",INDEX(原始資料!BK$2:BK$501,$BJ6)))</f>
        <v/>
      </c>
      <c r="BJ6" s="6">
        <f>IFERROR(MATCH(ROW()-1,判定!$H$2:$H$501,0),"")</f>
        <v/>
      </c>
    </row>
    <row r="7">
      <c r="A7" s="6">
        <f>IF($BJ7="","",INDEX(原始資料!$A$2:$A$501,$BJ7))</f>
        <v/>
      </c>
      <c r="B7" s="6">
        <f>IF(OR($BJ7="",1&gt;設定!$B$3),"",IF(INDEX(原始資料!D$2:D$501,$BJ7)="","",INDEX(原始資料!D$2:D$501,$BJ7)))</f>
        <v/>
      </c>
      <c r="C7" s="6">
        <f>IF(OR($BJ7="",2&gt;設定!$B$3),"",IF(INDEX(原始資料!E$2:E$501,$BJ7)="","",INDEX(原始資料!E$2:E$501,$BJ7)))</f>
        <v/>
      </c>
      <c r="D7" s="6">
        <f>IF(OR($BJ7="",3&gt;設定!$B$3),"",IF(INDEX(原始資料!F$2:F$501,$BJ7)="","",INDEX(原始資料!F$2:F$501,$BJ7)))</f>
        <v/>
      </c>
      <c r="E7" s="6">
        <f>IF(OR($BJ7="",4&gt;設定!$B$3),"",IF(INDEX(原始資料!G$2:G$501,$BJ7)="","",INDEX(原始資料!G$2:G$501,$BJ7)))</f>
        <v/>
      </c>
      <c r="F7" s="6">
        <f>IF(OR($BJ7="",5&gt;設定!$B$3),"",IF(INDEX(原始資料!H$2:H$501,$BJ7)="","",INDEX(原始資料!H$2:H$501,$BJ7)))</f>
        <v/>
      </c>
      <c r="G7" s="6">
        <f>IF(OR($BJ7="",6&gt;設定!$B$3),"",IF(INDEX(原始資料!I$2:I$501,$BJ7)="","",INDEX(原始資料!I$2:I$501,$BJ7)))</f>
        <v/>
      </c>
      <c r="H7" s="6">
        <f>IF(OR($BJ7="",7&gt;設定!$B$3),"",IF(INDEX(原始資料!J$2:J$501,$BJ7)="","",INDEX(原始資料!J$2:J$501,$BJ7)))</f>
        <v/>
      </c>
      <c r="I7" s="6">
        <f>IF(OR($BJ7="",8&gt;設定!$B$3),"",IF(INDEX(原始資料!K$2:K$501,$BJ7)="","",INDEX(原始資料!K$2:K$501,$BJ7)))</f>
        <v/>
      </c>
      <c r="J7" s="6">
        <f>IF(OR($BJ7="",9&gt;設定!$B$3),"",IF(INDEX(原始資料!L$2:L$501,$BJ7)="","",INDEX(原始資料!L$2:L$501,$BJ7)))</f>
        <v/>
      </c>
      <c r="K7" s="6">
        <f>IF(OR($BJ7="",10&gt;設定!$B$3),"",IF(INDEX(原始資料!M$2:M$501,$BJ7)="","",INDEX(原始資料!M$2:M$501,$BJ7)))</f>
        <v/>
      </c>
      <c r="L7" s="6">
        <f>IF(OR($BJ7="",11&gt;設定!$B$3),"",IF(INDEX(原始資料!N$2:N$501,$BJ7)="","",INDEX(原始資料!N$2:N$501,$BJ7)))</f>
        <v/>
      </c>
      <c r="M7" s="6">
        <f>IF(OR($BJ7="",12&gt;設定!$B$3),"",IF(INDEX(原始資料!O$2:O$501,$BJ7)="","",INDEX(原始資料!O$2:O$501,$BJ7)))</f>
        <v/>
      </c>
      <c r="N7" s="6">
        <f>IF(OR($BJ7="",13&gt;設定!$B$3),"",IF(INDEX(原始資料!P$2:P$501,$BJ7)="","",INDEX(原始資料!P$2:P$501,$BJ7)))</f>
        <v/>
      </c>
      <c r="O7" s="6">
        <f>IF(OR($BJ7="",14&gt;設定!$B$3),"",IF(INDEX(原始資料!Q$2:Q$501,$BJ7)="","",INDEX(原始資料!Q$2:Q$501,$BJ7)))</f>
        <v/>
      </c>
      <c r="P7" s="6">
        <f>IF(OR($BJ7="",15&gt;設定!$B$3),"",IF(INDEX(原始資料!R$2:R$501,$BJ7)="","",INDEX(原始資料!R$2:R$501,$BJ7)))</f>
        <v/>
      </c>
      <c r="Q7" s="6">
        <f>IF(OR($BJ7="",16&gt;設定!$B$3),"",IF(INDEX(原始資料!S$2:S$501,$BJ7)="","",INDEX(原始資料!S$2:S$501,$BJ7)))</f>
        <v/>
      </c>
      <c r="R7" s="6">
        <f>IF(OR($BJ7="",17&gt;設定!$B$3),"",IF(INDEX(原始資料!T$2:T$501,$BJ7)="","",INDEX(原始資料!T$2:T$501,$BJ7)))</f>
        <v/>
      </c>
      <c r="S7" s="6">
        <f>IF(OR($BJ7="",18&gt;設定!$B$3),"",IF(INDEX(原始資料!U$2:U$501,$BJ7)="","",INDEX(原始資料!U$2:U$501,$BJ7)))</f>
        <v/>
      </c>
      <c r="T7" s="6">
        <f>IF(OR($BJ7="",19&gt;設定!$B$3),"",IF(INDEX(原始資料!V$2:V$501,$BJ7)="","",INDEX(原始資料!V$2:V$501,$BJ7)))</f>
        <v/>
      </c>
      <c r="U7" s="6">
        <f>IF(OR($BJ7="",20&gt;設定!$B$3),"",IF(INDEX(原始資料!W$2:W$501,$BJ7)="","",INDEX(原始資料!W$2:W$501,$BJ7)))</f>
        <v/>
      </c>
      <c r="V7" s="6">
        <f>IF(OR($BJ7="",21&gt;設定!$B$3),"",IF(INDEX(原始資料!X$2:X$501,$BJ7)="","",INDEX(原始資料!X$2:X$501,$BJ7)))</f>
        <v/>
      </c>
      <c r="W7" s="6">
        <f>IF(OR($BJ7="",22&gt;設定!$B$3),"",IF(INDEX(原始資料!Y$2:Y$501,$BJ7)="","",INDEX(原始資料!Y$2:Y$501,$BJ7)))</f>
        <v/>
      </c>
      <c r="X7" s="6">
        <f>IF(OR($BJ7="",23&gt;設定!$B$3),"",IF(INDEX(原始資料!Z$2:Z$501,$BJ7)="","",INDEX(原始資料!Z$2:Z$501,$BJ7)))</f>
        <v/>
      </c>
      <c r="Y7" s="6">
        <f>IF(OR($BJ7="",24&gt;設定!$B$3),"",IF(INDEX(原始資料!AA$2:AA$501,$BJ7)="","",INDEX(原始資料!AA$2:AA$501,$BJ7)))</f>
        <v/>
      </c>
      <c r="Z7" s="6">
        <f>IF(OR($BJ7="",25&gt;設定!$B$3),"",IF(INDEX(原始資料!AB$2:AB$501,$BJ7)="","",INDEX(原始資料!AB$2:AB$501,$BJ7)))</f>
        <v/>
      </c>
      <c r="AA7" s="6">
        <f>IF(OR($BJ7="",26&gt;設定!$B$3),"",IF(INDEX(原始資料!AC$2:AC$501,$BJ7)="","",INDEX(原始資料!AC$2:AC$501,$BJ7)))</f>
        <v/>
      </c>
      <c r="AB7" s="6">
        <f>IF(OR($BJ7="",27&gt;設定!$B$3),"",IF(INDEX(原始資料!AD$2:AD$501,$BJ7)="","",INDEX(原始資料!AD$2:AD$501,$BJ7)))</f>
        <v/>
      </c>
      <c r="AC7" s="6">
        <f>IF(OR($BJ7="",28&gt;設定!$B$3),"",IF(INDEX(原始資料!AE$2:AE$501,$BJ7)="","",INDEX(原始資料!AE$2:AE$501,$BJ7)))</f>
        <v/>
      </c>
      <c r="AD7" s="6">
        <f>IF(OR($BJ7="",29&gt;設定!$B$3),"",IF(INDEX(原始資料!AF$2:AF$501,$BJ7)="","",INDEX(原始資料!AF$2:AF$501,$BJ7)))</f>
        <v/>
      </c>
      <c r="AE7" s="6">
        <f>IF(OR($BJ7="",30&gt;設定!$B$3),"",IF(INDEX(原始資料!AG$2:AG$501,$BJ7)="","",INDEX(原始資料!AG$2:AG$501,$BJ7)))</f>
        <v/>
      </c>
      <c r="AF7" s="6">
        <f>IF(OR($BJ7="",31&gt;設定!$B$3),"",IF(INDEX(原始資料!AH$2:AH$501,$BJ7)="","",INDEX(原始資料!AH$2:AH$501,$BJ7)))</f>
        <v/>
      </c>
      <c r="AG7" s="6">
        <f>IF(OR($BJ7="",32&gt;設定!$B$3),"",IF(INDEX(原始資料!AI$2:AI$501,$BJ7)="","",INDEX(原始資料!AI$2:AI$501,$BJ7)))</f>
        <v/>
      </c>
      <c r="AH7" s="6">
        <f>IF(OR($BJ7="",33&gt;設定!$B$3),"",IF(INDEX(原始資料!AJ$2:AJ$501,$BJ7)="","",INDEX(原始資料!AJ$2:AJ$501,$BJ7)))</f>
        <v/>
      </c>
      <c r="AI7" s="6">
        <f>IF(OR($BJ7="",34&gt;設定!$B$3),"",IF(INDEX(原始資料!AK$2:AK$501,$BJ7)="","",INDEX(原始資料!AK$2:AK$501,$BJ7)))</f>
        <v/>
      </c>
      <c r="AJ7" s="6">
        <f>IF(OR($BJ7="",35&gt;設定!$B$3),"",IF(INDEX(原始資料!AL$2:AL$501,$BJ7)="","",INDEX(原始資料!AL$2:AL$501,$BJ7)))</f>
        <v/>
      </c>
      <c r="AK7" s="6">
        <f>IF(OR($BJ7="",36&gt;設定!$B$3),"",IF(INDEX(原始資料!AM$2:AM$501,$BJ7)="","",INDEX(原始資料!AM$2:AM$501,$BJ7)))</f>
        <v/>
      </c>
      <c r="AL7" s="6">
        <f>IF(OR($BJ7="",37&gt;設定!$B$3),"",IF(INDEX(原始資料!AN$2:AN$501,$BJ7)="","",INDEX(原始資料!AN$2:AN$501,$BJ7)))</f>
        <v/>
      </c>
      <c r="AM7" s="6">
        <f>IF(OR($BJ7="",38&gt;設定!$B$3),"",IF(INDEX(原始資料!AO$2:AO$501,$BJ7)="","",INDEX(原始資料!AO$2:AO$501,$BJ7)))</f>
        <v/>
      </c>
      <c r="AN7" s="6">
        <f>IF(OR($BJ7="",39&gt;設定!$B$3),"",IF(INDEX(原始資料!AP$2:AP$501,$BJ7)="","",INDEX(原始資料!AP$2:AP$501,$BJ7)))</f>
        <v/>
      </c>
      <c r="AO7" s="6">
        <f>IF(OR($BJ7="",40&gt;設定!$B$3),"",IF(INDEX(原始資料!AQ$2:AQ$501,$BJ7)="","",INDEX(原始資料!AQ$2:AQ$501,$BJ7)))</f>
        <v/>
      </c>
      <c r="AP7" s="6">
        <f>IF(OR($BJ7="",41&gt;設定!$B$3),"",IF(INDEX(原始資料!AR$2:AR$501,$BJ7)="","",INDEX(原始資料!AR$2:AR$501,$BJ7)))</f>
        <v/>
      </c>
      <c r="AQ7" s="6">
        <f>IF(OR($BJ7="",42&gt;設定!$B$3),"",IF(INDEX(原始資料!AS$2:AS$501,$BJ7)="","",INDEX(原始資料!AS$2:AS$501,$BJ7)))</f>
        <v/>
      </c>
      <c r="AR7" s="6">
        <f>IF(OR($BJ7="",43&gt;設定!$B$3),"",IF(INDEX(原始資料!AT$2:AT$501,$BJ7)="","",INDEX(原始資料!AT$2:AT$501,$BJ7)))</f>
        <v/>
      </c>
      <c r="AS7" s="6">
        <f>IF(OR($BJ7="",44&gt;設定!$B$3),"",IF(INDEX(原始資料!AU$2:AU$501,$BJ7)="","",INDEX(原始資料!AU$2:AU$501,$BJ7)))</f>
        <v/>
      </c>
      <c r="AT7" s="6">
        <f>IF(OR($BJ7="",45&gt;設定!$B$3),"",IF(INDEX(原始資料!AV$2:AV$501,$BJ7)="","",INDEX(原始資料!AV$2:AV$501,$BJ7)))</f>
        <v/>
      </c>
      <c r="AU7" s="6">
        <f>IF(OR($BJ7="",46&gt;設定!$B$3),"",IF(INDEX(原始資料!AW$2:AW$501,$BJ7)="","",INDEX(原始資料!AW$2:AW$501,$BJ7)))</f>
        <v/>
      </c>
      <c r="AV7" s="6">
        <f>IF(OR($BJ7="",47&gt;設定!$B$3),"",IF(INDEX(原始資料!AX$2:AX$501,$BJ7)="","",INDEX(原始資料!AX$2:AX$501,$BJ7)))</f>
        <v/>
      </c>
      <c r="AW7" s="6">
        <f>IF(OR($BJ7="",48&gt;設定!$B$3),"",IF(INDEX(原始資料!AY$2:AY$501,$BJ7)="","",INDEX(原始資料!AY$2:AY$501,$BJ7)))</f>
        <v/>
      </c>
      <c r="AX7" s="6">
        <f>IF(OR($BJ7="",49&gt;設定!$B$3),"",IF(INDEX(原始資料!AZ$2:AZ$501,$BJ7)="","",INDEX(原始資料!AZ$2:AZ$501,$BJ7)))</f>
        <v/>
      </c>
      <c r="AY7" s="6">
        <f>IF(OR($BJ7="",50&gt;設定!$B$3),"",IF(INDEX(原始資料!BA$2:BA$501,$BJ7)="","",INDEX(原始資料!BA$2:BA$501,$BJ7)))</f>
        <v/>
      </c>
      <c r="AZ7" s="6">
        <f>IF(OR($BJ7="",51&gt;設定!$B$3),"",IF(INDEX(原始資料!BB$2:BB$501,$BJ7)="","",INDEX(原始資料!BB$2:BB$501,$BJ7)))</f>
        <v/>
      </c>
      <c r="BA7" s="6">
        <f>IF(OR($BJ7="",52&gt;設定!$B$3),"",IF(INDEX(原始資料!BC$2:BC$501,$BJ7)="","",INDEX(原始資料!BC$2:BC$501,$BJ7)))</f>
        <v/>
      </c>
      <c r="BB7" s="6">
        <f>IF(OR($BJ7="",53&gt;設定!$B$3),"",IF(INDEX(原始資料!BD$2:BD$501,$BJ7)="","",INDEX(原始資料!BD$2:BD$501,$BJ7)))</f>
        <v/>
      </c>
      <c r="BC7" s="6">
        <f>IF(OR($BJ7="",54&gt;設定!$B$3),"",IF(INDEX(原始資料!BE$2:BE$501,$BJ7)="","",INDEX(原始資料!BE$2:BE$501,$BJ7)))</f>
        <v/>
      </c>
      <c r="BD7" s="6">
        <f>IF(OR($BJ7="",55&gt;設定!$B$3),"",IF(INDEX(原始資料!BF$2:BF$501,$BJ7)="","",INDEX(原始資料!BF$2:BF$501,$BJ7)))</f>
        <v/>
      </c>
      <c r="BE7" s="6">
        <f>IF(OR($BJ7="",56&gt;設定!$B$3),"",IF(INDEX(原始資料!BG$2:BG$501,$BJ7)="","",INDEX(原始資料!BG$2:BG$501,$BJ7)))</f>
        <v/>
      </c>
      <c r="BF7" s="6">
        <f>IF(OR($BJ7="",57&gt;設定!$B$3),"",IF(INDEX(原始資料!BH$2:BH$501,$BJ7)="","",INDEX(原始資料!BH$2:BH$501,$BJ7)))</f>
        <v/>
      </c>
      <c r="BG7" s="6">
        <f>IF(OR($BJ7="",58&gt;設定!$B$3),"",IF(INDEX(原始資料!BI$2:BI$501,$BJ7)="","",INDEX(原始資料!BI$2:BI$501,$BJ7)))</f>
        <v/>
      </c>
      <c r="BH7" s="6">
        <f>IF(OR($BJ7="",59&gt;設定!$B$3),"",IF(INDEX(原始資料!BJ$2:BJ$501,$BJ7)="","",INDEX(原始資料!BJ$2:BJ$501,$BJ7)))</f>
        <v/>
      </c>
      <c r="BI7" s="6">
        <f>IF(OR($BJ7="",60&gt;設定!$B$3),"",IF(INDEX(原始資料!BK$2:BK$501,$BJ7)="","",INDEX(原始資料!BK$2:BK$501,$BJ7)))</f>
        <v/>
      </c>
      <c r="BJ7" s="6">
        <f>IFERROR(MATCH(ROW()-1,判定!$H$2:$H$501,0),"")</f>
        <v/>
      </c>
    </row>
    <row r="8">
      <c r="A8" s="6">
        <f>IF($BJ8="","",INDEX(原始資料!$A$2:$A$501,$BJ8))</f>
        <v/>
      </c>
      <c r="B8" s="6">
        <f>IF(OR($BJ8="",1&gt;設定!$B$3),"",IF(INDEX(原始資料!D$2:D$501,$BJ8)="","",INDEX(原始資料!D$2:D$501,$BJ8)))</f>
        <v/>
      </c>
      <c r="C8" s="6">
        <f>IF(OR($BJ8="",2&gt;設定!$B$3),"",IF(INDEX(原始資料!E$2:E$501,$BJ8)="","",INDEX(原始資料!E$2:E$501,$BJ8)))</f>
        <v/>
      </c>
      <c r="D8" s="6">
        <f>IF(OR($BJ8="",3&gt;設定!$B$3),"",IF(INDEX(原始資料!F$2:F$501,$BJ8)="","",INDEX(原始資料!F$2:F$501,$BJ8)))</f>
        <v/>
      </c>
      <c r="E8" s="6">
        <f>IF(OR($BJ8="",4&gt;設定!$B$3),"",IF(INDEX(原始資料!G$2:G$501,$BJ8)="","",INDEX(原始資料!G$2:G$501,$BJ8)))</f>
        <v/>
      </c>
      <c r="F8" s="6">
        <f>IF(OR($BJ8="",5&gt;設定!$B$3),"",IF(INDEX(原始資料!H$2:H$501,$BJ8)="","",INDEX(原始資料!H$2:H$501,$BJ8)))</f>
        <v/>
      </c>
      <c r="G8" s="6">
        <f>IF(OR($BJ8="",6&gt;設定!$B$3),"",IF(INDEX(原始資料!I$2:I$501,$BJ8)="","",INDEX(原始資料!I$2:I$501,$BJ8)))</f>
        <v/>
      </c>
      <c r="H8" s="6">
        <f>IF(OR($BJ8="",7&gt;設定!$B$3),"",IF(INDEX(原始資料!J$2:J$501,$BJ8)="","",INDEX(原始資料!J$2:J$501,$BJ8)))</f>
        <v/>
      </c>
      <c r="I8" s="6">
        <f>IF(OR($BJ8="",8&gt;設定!$B$3),"",IF(INDEX(原始資料!K$2:K$501,$BJ8)="","",INDEX(原始資料!K$2:K$501,$BJ8)))</f>
        <v/>
      </c>
      <c r="J8" s="6">
        <f>IF(OR($BJ8="",9&gt;設定!$B$3),"",IF(INDEX(原始資料!L$2:L$501,$BJ8)="","",INDEX(原始資料!L$2:L$501,$BJ8)))</f>
        <v/>
      </c>
      <c r="K8" s="6">
        <f>IF(OR($BJ8="",10&gt;設定!$B$3),"",IF(INDEX(原始資料!M$2:M$501,$BJ8)="","",INDEX(原始資料!M$2:M$501,$BJ8)))</f>
        <v/>
      </c>
      <c r="L8" s="6">
        <f>IF(OR($BJ8="",11&gt;設定!$B$3),"",IF(INDEX(原始資料!N$2:N$501,$BJ8)="","",INDEX(原始資料!N$2:N$501,$BJ8)))</f>
        <v/>
      </c>
      <c r="M8" s="6">
        <f>IF(OR($BJ8="",12&gt;設定!$B$3),"",IF(INDEX(原始資料!O$2:O$501,$BJ8)="","",INDEX(原始資料!O$2:O$501,$BJ8)))</f>
        <v/>
      </c>
      <c r="N8" s="6">
        <f>IF(OR($BJ8="",13&gt;設定!$B$3),"",IF(INDEX(原始資料!P$2:P$501,$BJ8)="","",INDEX(原始資料!P$2:P$501,$BJ8)))</f>
        <v/>
      </c>
      <c r="O8" s="6">
        <f>IF(OR($BJ8="",14&gt;設定!$B$3),"",IF(INDEX(原始資料!Q$2:Q$501,$BJ8)="","",INDEX(原始資料!Q$2:Q$501,$BJ8)))</f>
        <v/>
      </c>
      <c r="P8" s="6">
        <f>IF(OR($BJ8="",15&gt;設定!$B$3),"",IF(INDEX(原始資料!R$2:R$501,$BJ8)="","",INDEX(原始資料!R$2:R$501,$BJ8)))</f>
        <v/>
      </c>
      <c r="Q8" s="6">
        <f>IF(OR($BJ8="",16&gt;設定!$B$3),"",IF(INDEX(原始資料!S$2:S$501,$BJ8)="","",INDEX(原始資料!S$2:S$501,$BJ8)))</f>
        <v/>
      </c>
      <c r="R8" s="6">
        <f>IF(OR($BJ8="",17&gt;設定!$B$3),"",IF(INDEX(原始資料!T$2:T$501,$BJ8)="","",INDEX(原始資料!T$2:T$501,$BJ8)))</f>
        <v/>
      </c>
      <c r="S8" s="6">
        <f>IF(OR($BJ8="",18&gt;設定!$B$3),"",IF(INDEX(原始資料!U$2:U$501,$BJ8)="","",INDEX(原始資料!U$2:U$501,$BJ8)))</f>
        <v/>
      </c>
      <c r="T8" s="6">
        <f>IF(OR($BJ8="",19&gt;設定!$B$3),"",IF(INDEX(原始資料!V$2:V$501,$BJ8)="","",INDEX(原始資料!V$2:V$501,$BJ8)))</f>
        <v/>
      </c>
      <c r="U8" s="6">
        <f>IF(OR($BJ8="",20&gt;設定!$B$3),"",IF(INDEX(原始資料!W$2:W$501,$BJ8)="","",INDEX(原始資料!W$2:W$501,$BJ8)))</f>
        <v/>
      </c>
      <c r="V8" s="6">
        <f>IF(OR($BJ8="",21&gt;設定!$B$3),"",IF(INDEX(原始資料!X$2:X$501,$BJ8)="","",INDEX(原始資料!X$2:X$501,$BJ8)))</f>
        <v/>
      </c>
      <c r="W8" s="6">
        <f>IF(OR($BJ8="",22&gt;設定!$B$3),"",IF(INDEX(原始資料!Y$2:Y$501,$BJ8)="","",INDEX(原始資料!Y$2:Y$501,$BJ8)))</f>
        <v/>
      </c>
      <c r="X8" s="6">
        <f>IF(OR($BJ8="",23&gt;設定!$B$3),"",IF(INDEX(原始資料!Z$2:Z$501,$BJ8)="","",INDEX(原始資料!Z$2:Z$501,$BJ8)))</f>
        <v/>
      </c>
      <c r="Y8" s="6">
        <f>IF(OR($BJ8="",24&gt;設定!$B$3),"",IF(INDEX(原始資料!AA$2:AA$501,$BJ8)="","",INDEX(原始資料!AA$2:AA$501,$BJ8)))</f>
        <v/>
      </c>
      <c r="Z8" s="6">
        <f>IF(OR($BJ8="",25&gt;設定!$B$3),"",IF(INDEX(原始資料!AB$2:AB$501,$BJ8)="","",INDEX(原始資料!AB$2:AB$501,$BJ8)))</f>
        <v/>
      </c>
      <c r="AA8" s="6">
        <f>IF(OR($BJ8="",26&gt;設定!$B$3),"",IF(INDEX(原始資料!AC$2:AC$501,$BJ8)="","",INDEX(原始資料!AC$2:AC$501,$BJ8)))</f>
        <v/>
      </c>
      <c r="AB8" s="6">
        <f>IF(OR($BJ8="",27&gt;設定!$B$3),"",IF(INDEX(原始資料!AD$2:AD$501,$BJ8)="","",INDEX(原始資料!AD$2:AD$501,$BJ8)))</f>
        <v/>
      </c>
      <c r="AC8" s="6">
        <f>IF(OR($BJ8="",28&gt;設定!$B$3),"",IF(INDEX(原始資料!AE$2:AE$501,$BJ8)="","",INDEX(原始資料!AE$2:AE$501,$BJ8)))</f>
        <v/>
      </c>
      <c r="AD8" s="6">
        <f>IF(OR($BJ8="",29&gt;設定!$B$3),"",IF(INDEX(原始資料!AF$2:AF$501,$BJ8)="","",INDEX(原始資料!AF$2:AF$501,$BJ8)))</f>
        <v/>
      </c>
      <c r="AE8" s="6">
        <f>IF(OR($BJ8="",30&gt;設定!$B$3),"",IF(INDEX(原始資料!AG$2:AG$501,$BJ8)="","",INDEX(原始資料!AG$2:AG$501,$BJ8)))</f>
        <v/>
      </c>
      <c r="AF8" s="6">
        <f>IF(OR($BJ8="",31&gt;設定!$B$3),"",IF(INDEX(原始資料!AH$2:AH$501,$BJ8)="","",INDEX(原始資料!AH$2:AH$501,$BJ8)))</f>
        <v/>
      </c>
      <c r="AG8" s="6">
        <f>IF(OR($BJ8="",32&gt;設定!$B$3),"",IF(INDEX(原始資料!AI$2:AI$501,$BJ8)="","",INDEX(原始資料!AI$2:AI$501,$BJ8)))</f>
        <v/>
      </c>
      <c r="AH8" s="6">
        <f>IF(OR($BJ8="",33&gt;設定!$B$3),"",IF(INDEX(原始資料!AJ$2:AJ$501,$BJ8)="","",INDEX(原始資料!AJ$2:AJ$501,$BJ8)))</f>
        <v/>
      </c>
      <c r="AI8" s="6">
        <f>IF(OR($BJ8="",34&gt;設定!$B$3),"",IF(INDEX(原始資料!AK$2:AK$501,$BJ8)="","",INDEX(原始資料!AK$2:AK$501,$BJ8)))</f>
        <v/>
      </c>
      <c r="AJ8" s="6">
        <f>IF(OR($BJ8="",35&gt;設定!$B$3),"",IF(INDEX(原始資料!AL$2:AL$501,$BJ8)="","",INDEX(原始資料!AL$2:AL$501,$BJ8)))</f>
        <v/>
      </c>
      <c r="AK8" s="6">
        <f>IF(OR($BJ8="",36&gt;設定!$B$3),"",IF(INDEX(原始資料!AM$2:AM$501,$BJ8)="","",INDEX(原始資料!AM$2:AM$501,$BJ8)))</f>
        <v/>
      </c>
      <c r="AL8" s="6">
        <f>IF(OR($BJ8="",37&gt;設定!$B$3),"",IF(INDEX(原始資料!AN$2:AN$501,$BJ8)="","",INDEX(原始資料!AN$2:AN$501,$BJ8)))</f>
        <v/>
      </c>
      <c r="AM8" s="6">
        <f>IF(OR($BJ8="",38&gt;設定!$B$3),"",IF(INDEX(原始資料!AO$2:AO$501,$BJ8)="","",INDEX(原始資料!AO$2:AO$501,$BJ8)))</f>
        <v/>
      </c>
      <c r="AN8" s="6">
        <f>IF(OR($BJ8="",39&gt;設定!$B$3),"",IF(INDEX(原始資料!AP$2:AP$501,$BJ8)="","",INDEX(原始資料!AP$2:AP$501,$BJ8)))</f>
        <v/>
      </c>
      <c r="AO8" s="6">
        <f>IF(OR($BJ8="",40&gt;設定!$B$3),"",IF(INDEX(原始資料!AQ$2:AQ$501,$BJ8)="","",INDEX(原始資料!AQ$2:AQ$501,$BJ8)))</f>
        <v/>
      </c>
      <c r="AP8" s="6">
        <f>IF(OR($BJ8="",41&gt;設定!$B$3),"",IF(INDEX(原始資料!AR$2:AR$501,$BJ8)="","",INDEX(原始資料!AR$2:AR$501,$BJ8)))</f>
        <v/>
      </c>
      <c r="AQ8" s="6">
        <f>IF(OR($BJ8="",42&gt;設定!$B$3),"",IF(INDEX(原始資料!AS$2:AS$501,$BJ8)="","",INDEX(原始資料!AS$2:AS$501,$BJ8)))</f>
        <v/>
      </c>
      <c r="AR8" s="6">
        <f>IF(OR($BJ8="",43&gt;設定!$B$3),"",IF(INDEX(原始資料!AT$2:AT$501,$BJ8)="","",INDEX(原始資料!AT$2:AT$501,$BJ8)))</f>
        <v/>
      </c>
      <c r="AS8" s="6">
        <f>IF(OR($BJ8="",44&gt;設定!$B$3),"",IF(INDEX(原始資料!AU$2:AU$501,$BJ8)="","",INDEX(原始資料!AU$2:AU$501,$BJ8)))</f>
        <v/>
      </c>
      <c r="AT8" s="6">
        <f>IF(OR($BJ8="",45&gt;設定!$B$3),"",IF(INDEX(原始資料!AV$2:AV$501,$BJ8)="","",INDEX(原始資料!AV$2:AV$501,$BJ8)))</f>
        <v/>
      </c>
      <c r="AU8" s="6">
        <f>IF(OR($BJ8="",46&gt;設定!$B$3),"",IF(INDEX(原始資料!AW$2:AW$501,$BJ8)="","",INDEX(原始資料!AW$2:AW$501,$BJ8)))</f>
        <v/>
      </c>
      <c r="AV8" s="6">
        <f>IF(OR($BJ8="",47&gt;設定!$B$3),"",IF(INDEX(原始資料!AX$2:AX$501,$BJ8)="","",INDEX(原始資料!AX$2:AX$501,$BJ8)))</f>
        <v/>
      </c>
      <c r="AW8" s="6">
        <f>IF(OR($BJ8="",48&gt;設定!$B$3),"",IF(INDEX(原始資料!AY$2:AY$501,$BJ8)="","",INDEX(原始資料!AY$2:AY$501,$BJ8)))</f>
        <v/>
      </c>
      <c r="AX8" s="6">
        <f>IF(OR($BJ8="",49&gt;設定!$B$3),"",IF(INDEX(原始資料!AZ$2:AZ$501,$BJ8)="","",INDEX(原始資料!AZ$2:AZ$501,$BJ8)))</f>
        <v/>
      </c>
      <c r="AY8" s="6">
        <f>IF(OR($BJ8="",50&gt;設定!$B$3),"",IF(INDEX(原始資料!BA$2:BA$501,$BJ8)="","",INDEX(原始資料!BA$2:BA$501,$BJ8)))</f>
        <v/>
      </c>
      <c r="AZ8" s="6">
        <f>IF(OR($BJ8="",51&gt;設定!$B$3),"",IF(INDEX(原始資料!BB$2:BB$501,$BJ8)="","",INDEX(原始資料!BB$2:BB$501,$BJ8)))</f>
        <v/>
      </c>
      <c r="BA8" s="6">
        <f>IF(OR($BJ8="",52&gt;設定!$B$3),"",IF(INDEX(原始資料!BC$2:BC$501,$BJ8)="","",INDEX(原始資料!BC$2:BC$501,$BJ8)))</f>
        <v/>
      </c>
      <c r="BB8" s="6">
        <f>IF(OR($BJ8="",53&gt;設定!$B$3),"",IF(INDEX(原始資料!BD$2:BD$501,$BJ8)="","",INDEX(原始資料!BD$2:BD$501,$BJ8)))</f>
        <v/>
      </c>
      <c r="BC8" s="6">
        <f>IF(OR($BJ8="",54&gt;設定!$B$3),"",IF(INDEX(原始資料!BE$2:BE$501,$BJ8)="","",INDEX(原始資料!BE$2:BE$501,$BJ8)))</f>
        <v/>
      </c>
      <c r="BD8" s="6">
        <f>IF(OR($BJ8="",55&gt;設定!$B$3),"",IF(INDEX(原始資料!BF$2:BF$501,$BJ8)="","",INDEX(原始資料!BF$2:BF$501,$BJ8)))</f>
        <v/>
      </c>
      <c r="BE8" s="6">
        <f>IF(OR($BJ8="",56&gt;設定!$B$3),"",IF(INDEX(原始資料!BG$2:BG$501,$BJ8)="","",INDEX(原始資料!BG$2:BG$501,$BJ8)))</f>
        <v/>
      </c>
      <c r="BF8" s="6">
        <f>IF(OR($BJ8="",57&gt;設定!$B$3),"",IF(INDEX(原始資料!BH$2:BH$501,$BJ8)="","",INDEX(原始資料!BH$2:BH$501,$BJ8)))</f>
        <v/>
      </c>
      <c r="BG8" s="6">
        <f>IF(OR($BJ8="",58&gt;設定!$B$3),"",IF(INDEX(原始資料!BI$2:BI$501,$BJ8)="","",INDEX(原始資料!BI$2:BI$501,$BJ8)))</f>
        <v/>
      </c>
      <c r="BH8" s="6">
        <f>IF(OR($BJ8="",59&gt;設定!$B$3),"",IF(INDEX(原始資料!BJ$2:BJ$501,$BJ8)="","",INDEX(原始資料!BJ$2:BJ$501,$BJ8)))</f>
        <v/>
      </c>
      <c r="BI8" s="6">
        <f>IF(OR($BJ8="",60&gt;設定!$B$3),"",IF(INDEX(原始資料!BK$2:BK$501,$BJ8)="","",INDEX(原始資料!BK$2:BK$501,$BJ8)))</f>
        <v/>
      </c>
      <c r="BJ8" s="6">
        <f>IFERROR(MATCH(ROW()-1,判定!$H$2:$H$501,0),"")</f>
        <v/>
      </c>
    </row>
    <row r="9">
      <c r="A9" s="6">
        <f>IF($BJ9="","",INDEX(原始資料!$A$2:$A$501,$BJ9))</f>
        <v/>
      </c>
      <c r="B9" s="6">
        <f>IF(OR($BJ9="",1&gt;設定!$B$3),"",IF(INDEX(原始資料!D$2:D$501,$BJ9)="","",INDEX(原始資料!D$2:D$501,$BJ9)))</f>
        <v/>
      </c>
      <c r="C9" s="6">
        <f>IF(OR($BJ9="",2&gt;設定!$B$3),"",IF(INDEX(原始資料!E$2:E$501,$BJ9)="","",INDEX(原始資料!E$2:E$501,$BJ9)))</f>
        <v/>
      </c>
      <c r="D9" s="6">
        <f>IF(OR($BJ9="",3&gt;設定!$B$3),"",IF(INDEX(原始資料!F$2:F$501,$BJ9)="","",INDEX(原始資料!F$2:F$501,$BJ9)))</f>
        <v/>
      </c>
      <c r="E9" s="6">
        <f>IF(OR($BJ9="",4&gt;設定!$B$3),"",IF(INDEX(原始資料!G$2:G$501,$BJ9)="","",INDEX(原始資料!G$2:G$501,$BJ9)))</f>
        <v/>
      </c>
      <c r="F9" s="6">
        <f>IF(OR($BJ9="",5&gt;設定!$B$3),"",IF(INDEX(原始資料!H$2:H$501,$BJ9)="","",INDEX(原始資料!H$2:H$501,$BJ9)))</f>
        <v/>
      </c>
      <c r="G9" s="6">
        <f>IF(OR($BJ9="",6&gt;設定!$B$3),"",IF(INDEX(原始資料!I$2:I$501,$BJ9)="","",INDEX(原始資料!I$2:I$501,$BJ9)))</f>
        <v/>
      </c>
      <c r="H9" s="6">
        <f>IF(OR($BJ9="",7&gt;設定!$B$3),"",IF(INDEX(原始資料!J$2:J$501,$BJ9)="","",INDEX(原始資料!J$2:J$501,$BJ9)))</f>
        <v/>
      </c>
      <c r="I9" s="6">
        <f>IF(OR($BJ9="",8&gt;設定!$B$3),"",IF(INDEX(原始資料!K$2:K$501,$BJ9)="","",INDEX(原始資料!K$2:K$501,$BJ9)))</f>
        <v/>
      </c>
      <c r="J9" s="6">
        <f>IF(OR($BJ9="",9&gt;設定!$B$3),"",IF(INDEX(原始資料!L$2:L$501,$BJ9)="","",INDEX(原始資料!L$2:L$501,$BJ9)))</f>
        <v/>
      </c>
      <c r="K9" s="6">
        <f>IF(OR($BJ9="",10&gt;設定!$B$3),"",IF(INDEX(原始資料!M$2:M$501,$BJ9)="","",INDEX(原始資料!M$2:M$501,$BJ9)))</f>
        <v/>
      </c>
      <c r="L9" s="6">
        <f>IF(OR($BJ9="",11&gt;設定!$B$3),"",IF(INDEX(原始資料!N$2:N$501,$BJ9)="","",INDEX(原始資料!N$2:N$501,$BJ9)))</f>
        <v/>
      </c>
      <c r="M9" s="6">
        <f>IF(OR($BJ9="",12&gt;設定!$B$3),"",IF(INDEX(原始資料!O$2:O$501,$BJ9)="","",INDEX(原始資料!O$2:O$501,$BJ9)))</f>
        <v/>
      </c>
      <c r="N9" s="6">
        <f>IF(OR($BJ9="",13&gt;設定!$B$3),"",IF(INDEX(原始資料!P$2:P$501,$BJ9)="","",INDEX(原始資料!P$2:P$501,$BJ9)))</f>
        <v/>
      </c>
      <c r="O9" s="6">
        <f>IF(OR($BJ9="",14&gt;設定!$B$3),"",IF(INDEX(原始資料!Q$2:Q$501,$BJ9)="","",INDEX(原始資料!Q$2:Q$501,$BJ9)))</f>
        <v/>
      </c>
      <c r="P9" s="6">
        <f>IF(OR($BJ9="",15&gt;設定!$B$3),"",IF(INDEX(原始資料!R$2:R$501,$BJ9)="","",INDEX(原始資料!R$2:R$501,$BJ9)))</f>
        <v/>
      </c>
      <c r="Q9" s="6">
        <f>IF(OR($BJ9="",16&gt;設定!$B$3),"",IF(INDEX(原始資料!S$2:S$501,$BJ9)="","",INDEX(原始資料!S$2:S$501,$BJ9)))</f>
        <v/>
      </c>
      <c r="R9" s="6">
        <f>IF(OR($BJ9="",17&gt;設定!$B$3),"",IF(INDEX(原始資料!T$2:T$501,$BJ9)="","",INDEX(原始資料!T$2:T$501,$BJ9)))</f>
        <v/>
      </c>
      <c r="S9" s="6">
        <f>IF(OR($BJ9="",18&gt;設定!$B$3),"",IF(INDEX(原始資料!U$2:U$501,$BJ9)="","",INDEX(原始資料!U$2:U$501,$BJ9)))</f>
        <v/>
      </c>
      <c r="T9" s="6">
        <f>IF(OR($BJ9="",19&gt;設定!$B$3),"",IF(INDEX(原始資料!V$2:V$501,$BJ9)="","",INDEX(原始資料!V$2:V$501,$BJ9)))</f>
        <v/>
      </c>
      <c r="U9" s="6">
        <f>IF(OR($BJ9="",20&gt;設定!$B$3),"",IF(INDEX(原始資料!W$2:W$501,$BJ9)="","",INDEX(原始資料!W$2:W$501,$BJ9)))</f>
        <v/>
      </c>
      <c r="V9" s="6">
        <f>IF(OR($BJ9="",21&gt;設定!$B$3),"",IF(INDEX(原始資料!X$2:X$501,$BJ9)="","",INDEX(原始資料!X$2:X$501,$BJ9)))</f>
        <v/>
      </c>
      <c r="W9" s="6">
        <f>IF(OR($BJ9="",22&gt;設定!$B$3),"",IF(INDEX(原始資料!Y$2:Y$501,$BJ9)="","",INDEX(原始資料!Y$2:Y$501,$BJ9)))</f>
        <v/>
      </c>
      <c r="X9" s="6">
        <f>IF(OR($BJ9="",23&gt;設定!$B$3),"",IF(INDEX(原始資料!Z$2:Z$501,$BJ9)="","",INDEX(原始資料!Z$2:Z$501,$BJ9)))</f>
        <v/>
      </c>
      <c r="Y9" s="6">
        <f>IF(OR($BJ9="",24&gt;設定!$B$3),"",IF(INDEX(原始資料!AA$2:AA$501,$BJ9)="","",INDEX(原始資料!AA$2:AA$501,$BJ9)))</f>
        <v/>
      </c>
      <c r="Z9" s="6">
        <f>IF(OR($BJ9="",25&gt;設定!$B$3),"",IF(INDEX(原始資料!AB$2:AB$501,$BJ9)="","",INDEX(原始資料!AB$2:AB$501,$BJ9)))</f>
        <v/>
      </c>
      <c r="AA9" s="6">
        <f>IF(OR($BJ9="",26&gt;設定!$B$3),"",IF(INDEX(原始資料!AC$2:AC$501,$BJ9)="","",INDEX(原始資料!AC$2:AC$501,$BJ9)))</f>
        <v/>
      </c>
      <c r="AB9" s="6">
        <f>IF(OR($BJ9="",27&gt;設定!$B$3),"",IF(INDEX(原始資料!AD$2:AD$501,$BJ9)="","",INDEX(原始資料!AD$2:AD$501,$BJ9)))</f>
        <v/>
      </c>
      <c r="AC9" s="6">
        <f>IF(OR($BJ9="",28&gt;設定!$B$3),"",IF(INDEX(原始資料!AE$2:AE$501,$BJ9)="","",INDEX(原始資料!AE$2:AE$501,$BJ9)))</f>
        <v/>
      </c>
      <c r="AD9" s="6">
        <f>IF(OR($BJ9="",29&gt;設定!$B$3),"",IF(INDEX(原始資料!AF$2:AF$501,$BJ9)="","",INDEX(原始資料!AF$2:AF$501,$BJ9)))</f>
        <v/>
      </c>
      <c r="AE9" s="6">
        <f>IF(OR($BJ9="",30&gt;設定!$B$3),"",IF(INDEX(原始資料!AG$2:AG$501,$BJ9)="","",INDEX(原始資料!AG$2:AG$501,$BJ9)))</f>
        <v/>
      </c>
      <c r="AF9" s="6">
        <f>IF(OR($BJ9="",31&gt;設定!$B$3),"",IF(INDEX(原始資料!AH$2:AH$501,$BJ9)="","",INDEX(原始資料!AH$2:AH$501,$BJ9)))</f>
        <v/>
      </c>
      <c r="AG9" s="6">
        <f>IF(OR($BJ9="",32&gt;設定!$B$3),"",IF(INDEX(原始資料!AI$2:AI$501,$BJ9)="","",INDEX(原始資料!AI$2:AI$501,$BJ9)))</f>
        <v/>
      </c>
      <c r="AH9" s="6">
        <f>IF(OR($BJ9="",33&gt;設定!$B$3),"",IF(INDEX(原始資料!AJ$2:AJ$501,$BJ9)="","",INDEX(原始資料!AJ$2:AJ$501,$BJ9)))</f>
        <v/>
      </c>
      <c r="AI9" s="6">
        <f>IF(OR($BJ9="",34&gt;設定!$B$3),"",IF(INDEX(原始資料!AK$2:AK$501,$BJ9)="","",INDEX(原始資料!AK$2:AK$501,$BJ9)))</f>
        <v/>
      </c>
      <c r="AJ9" s="6">
        <f>IF(OR($BJ9="",35&gt;設定!$B$3),"",IF(INDEX(原始資料!AL$2:AL$501,$BJ9)="","",INDEX(原始資料!AL$2:AL$501,$BJ9)))</f>
        <v/>
      </c>
      <c r="AK9" s="6">
        <f>IF(OR($BJ9="",36&gt;設定!$B$3),"",IF(INDEX(原始資料!AM$2:AM$501,$BJ9)="","",INDEX(原始資料!AM$2:AM$501,$BJ9)))</f>
        <v/>
      </c>
      <c r="AL9" s="6">
        <f>IF(OR($BJ9="",37&gt;設定!$B$3),"",IF(INDEX(原始資料!AN$2:AN$501,$BJ9)="","",INDEX(原始資料!AN$2:AN$501,$BJ9)))</f>
        <v/>
      </c>
      <c r="AM9" s="6">
        <f>IF(OR($BJ9="",38&gt;設定!$B$3),"",IF(INDEX(原始資料!AO$2:AO$501,$BJ9)="","",INDEX(原始資料!AO$2:AO$501,$BJ9)))</f>
        <v/>
      </c>
      <c r="AN9" s="6">
        <f>IF(OR($BJ9="",39&gt;設定!$B$3),"",IF(INDEX(原始資料!AP$2:AP$501,$BJ9)="","",INDEX(原始資料!AP$2:AP$501,$BJ9)))</f>
        <v/>
      </c>
      <c r="AO9" s="6">
        <f>IF(OR($BJ9="",40&gt;設定!$B$3),"",IF(INDEX(原始資料!AQ$2:AQ$501,$BJ9)="","",INDEX(原始資料!AQ$2:AQ$501,$BJ9)))</f>
        <v/>
      </c>
      <c r="AP9" s="6">
        <f>IF(OR($BJ9="",41&gt;設定!$B$3),"",IF(INDEX(原始資料!AR$2:AR$501,$BJ9)="","",INDEX(原始資料!AR$2:AR$501,$BJ9)))</f>
        <v/>
      </c>
      <c r="AQ9" s="6">
        <f>IF(OR($BJ9="",42&gt;設定!$B$3),"",IF(INDEX(原始資料!AS$2:AS$501,$BJ9)="","",INDEX(原始資料!AS$2:AS$501,$BJ9)))</f>
        <v/>
      </c>
      <c r="AR9" s="6">
        <f>IF(OR($BJ9="",43&gt;設定!$B$3),"",IF(INDEX(原始資料!AT$2:AT$501,$BJ9)="","",INDEX(原始資料!AT$2:AT$501,$BJ9)))</f>
        <v/>
      </c>
      <c r="AS9" s="6">
        <f>IF(OR($BJ9="",44&gt;設定!$B$3),"",IF(INDEX(原始資料!AU$2:AU$501,$BJ9)="","",INDEX(原始資料!AU$2:AU$501,$BJ9)))</f>
        <v/>
      </c>
      <c r="AT9" s="6">
        <f>IF(OR($BJ9="",45&gt;設定!$B$3),"",IF(INDEX(原始資料!AV$2:AV$501,$BJ9)="","",INDEX(原始資料!AV$2:AV$501,$BJ9)))</f>
        <v/>
      </c>
      <c r="AU9" s="6">
        <f>IF(OR($BJ9="",46&gt;設定!$B$3),"",IF(INDEX(原始資料!AW$2:AW$501,$BJ9)="","",INDEX(原始資料!AW$2:AW$501,$BJ9)))</f>
        <v/>
      </c>
      <c r="AV9" s="6">
        <f>IF(OR($BJ9="",47&gt;設定!$B$3),"",IF(INDEX(原始資料!AX$2:AX$501,$BJ9)="","",INDEX(原始資料!AX$2:AX$501,$BJ9)))</f>
        <v/>
      </c>
      <c r="AW9" s="6">
        <f>IF(OR($BJ9="",48&gt;設定!$B$3),"",IF(INDEX(原始資料!AY$2:AY$501,$BJ9)="","",INDEX(原始資料!AY$2:AY$501,$BJ9)))</f>
        <v/>
      </c>
      <c r="AX9" s="6">
        <f>IF(OR($BJ9="",49&gt;設定!$B$3),"",IF(INDEX(原始資料!AZ$2:AZ$501,$BJ9)="","",INDEX(原始資料!AZ$2:AZ$501,$BJ9)))</f>
        <v/>
      </c>
      <c r="AY9" s="6">
        <f>IF(OR($BJ9="",50&gt;設定!$B$3),"",IF(INDEX(原始資料!BA$2:BA$501,$BJ9)="","",INDEX(原始資料!BA$2:BA$501,$BJ9)))</f>
        <v/>
      </c>
      <c r="AZ9" s="6">
        <f>IF(OR($BJ9="",51&gt;設定!$B$3),"",IF(INDEX(原始資料!BB$2:BB$501,$BJ9)="","",INDEX(原始資料!BB$2:BB$501,$BJ9)))</f>
        <v/>
      </c>
      <c r="BA9" s="6">
        <f>IF(OR($BJ9="",52&gt;設定!$B$3),"",IF(INDEX(原始資料!BC$2:BC$501,$BJ9)="","",INDEX(原始資料!BC$2:BC$501,$BJ9)))</f>
        <v/>
      </c>
      <c r="BB9" s="6">
        <f>IF(OR($BJ9="",53&gt;設定!$B$3),"",IF(INDEX(原始資料!BD$2:BD$501,$BJ9)="","",INDEX(原始資料!BD$2:BD$501,$BJ9)))</f>
        <v/>
      </c>
      <c r="BC9" s="6">
        <f>IF(OR($BJ9="",54&gt;設定!$B$3),"",IF(INDEX(原始資料!BE$2:BE$501,$BJ9)="","",INDEX(原始資料!BE$2:BE$501,$BJ9)))</f>
        <v/>
      </c>
      <c r="BD9" s="6">
        <f>IF(OR($BJ9="",55&gt;設定!$B$3),"",IF(INDEX(原始資料!BF$2:BF$501,$BJ9)="","",INDEX(原始資料!BF$2:BF$501,$BJ9)))</f>
        <v/>
      </c>
      <c r="BE9" s="6">
        <f>IF(OR($BJ9="",56&gt;設定!$B$3),"",IF(INDEX(原始資料!BG$2:BG$501,$BJ9)="","",INDEX(原始資料!BG$2:BG$501,$BJ9)))</f>
        <v/>
      </c>
      <c r="BF9" s="6">
        <f>IF(OR($BJ9="",57&gt;設定!$B$3),"",IF(INDEX(原始資料!BH$2:BH$501,$BJ9)="","",INDEX(原始資料!BH$2:BH$501,$BJ9)))</f>
        <v/>
      </c>
      <c r="BG9" s="6">
        <f>IF(OR($BJ9="",58&gt;設定!$B$3),"",IF(INDEX(原始資料!BI$2:BI$501,$BJ9)="","",INDEX(原始資料!BI$2:BI$501,$BJ9)))</f>
        <v/>
      </c>
      <c r="BH9" s="6">
        <f>IF(OR($BJ9="",59&gt;設定!$B$3),"",IF(INDEX(原始資料!BJ$2:BJ$501,$BJ9)="","",INDEX(原始資料!BJ$2:BJ$501,$BJ9)))</f>
        <v/>
      </c>
      <c r="BI9" s="6">
        <f>IF(OR($BJ9="",60&gt;設定!$B$3),"",IF(INDEX(原始資料!BK$2:BK$501,$BJ9)="","",INDEX(原始資料!BK$2:BK$501,$BJ9)))</f>
        <v/>
      </c>
      <c r="BJ9" s="6">
        <f>IFERROR(MATCH(ROW()-1,判定!$H$2:$H$501,0),"")</f>
        <v/>
      </c>
    </row>
    <row r="10">
      <c r="A10" s="6">
        <f>IF($BJ10="","",INDEX(原始資料!$A$2:$A$501,$BJ10))</f>
        <v/>
      </c>
      <c r="B10" s="6">
        <f>IF(OR($BJ10="",1&gt;設定!$B$3),"",IF(INDEX(原始資料!D$2:D$501,$BJ10)="","",INDEX(原始資料!D$2:D$501,$BJ10)))</f>
        <v/>
      </c>
      <c r="C10" s="6">
        <f>IF(OR($BJ10="",2&gt;設定!$B$3),"",IF(INDEX(原始資料!E$2:E$501,$BJ10)="","",INDEX(原始資料!E$2:E$501,$BJ10)))</f>
        <v/>
      </c>
      <c r="D10" s="6">
        <f>IF(OR($BJ10="",3&gt;設定!$B$3),"",IF(INDEX(原始資料!F$2:F$501,$BJ10)="","",INDEX(原始資料!F$2:F$501,$BJ10)))</f>
        <v/>
      </c>
      <c r="E10" s="6">
        <f>IF(OR($BJ10="",4&gt;設定!$B$3),"",IF(INDEX(原始資料!G$2:G$501,$BJ10)="","",INDEX(原始資料!G$2:G$501,$BJ10)))</f>
        <v/>
      </c>
      <c r="F10" s="6">
        <f>IF(OR($BJ10="",5&gt;設定!$B$3),"",IF(INDEX(原始資料!H$2:H$501,$BJ10)="","",INDEX(原始資料!H$2:H$501,$BJ10)))</f>
        <v/>
      </c>
      <c r="G10" s="6">
        <f>IF(OR($BJ10="",6&gt;設定!$B$3),"",IF(INDEX(原始資料!I$2:I$501,$BJ10)="","",INDEX(原始資料!I$2:I$501,$BJ10)))</f>
        <v/>
      </c>
      <c r="H10" s="6">
        <f>IF(OR($BJ10="",7&gt;設定!$B$3),"",IF(INDEX(原始資料!J$2:J$501,$BJ10)="","",INDEX(原始資料!J$2:J$501,$BJ10)))</f>
        <v/>
      </c>
      <c r="I10" s="6">
        <f>IF(OR($BJ10="",8&gt;設定!$B$3),"",IF(INDEX(原始資料!K$2:K$501,$BJ10)="","",INDEX(原始資料!K$2:K$501,$BJ10)))</f>
        <v/>
      </c>
      <c r="J10" s="6">
        <f>IF(OR($BJ10="",9&gt;設定!$B$3),"",IF(INDEX(原始資料!L$2:L$501,$BJ10)="","",INDEX(原始資料!L$2:L$501,$BJ10)))</f>
        <v/>
      </c>
      <c r="K10" s="6">
        <f>IF(OR($BJ10="",10&gt;設定!$B$3),"",IF(INDEX(原始資料!M$2:M$501,$BJ10)="","",INDEX(原始資料!M$2:M$501,$BJ10)))</f>
        <v/>
      </c>
      <c r="L10" s="6">
        <f>IF(OR($BJ10="",11&gt;設定!$B$3),"",IF(INDEX(原始資料!N$2:N$501,$BJ10)="","",INDEX(原始資料!N$2:N$501,$BJ10)))</f>
        <v/>
      </c>
      <c r="M10" s="6">
        <f>IF(OR($BJ10="",12&gt;設定!$B$3),"",IF(INDEX(原始資料!O$2:O$501,$BJ10)="","",INDEX(原始資料!O$2:O$501,$BJ10)))</f>
        <v/>
      </c>
      <c r="N10" s="6">
        <f>IF(OR($BJ10="",13&gt;設定!$B$3),"",IF(INDEX(原始資料!P$2:P$501,$BJ10)="","",INDEX(原始資料!P$2:P$501,$BJ10)))</f>
        <v/>
      </c>
      <c r="O10" s="6">
        <f>IF(OR($BJ10="",14&gt;設定!$B$3),"",IF(INDEX(原始資料!Q$2:Q$501,$BJ10)="","",INDEX(原始資料!Q$2:Q$501,$BJ10)))</f>
        <v/>
      </c>
      <c r="P10" s="6">
        <f>IF(OR($BJ10="",15&gt;設定!$B$3),"",IF(INDEX(原始資料!R$2:R$501,$BJ10)="","",INDEX(原始資料!R$2:R$501,$BJ10)))</f>
        <v/>
      </c>
      <c r="Q10" s="6">
        <f>IF(OR($BJ10="",16&gt;設定!$B$3),"",IF(INDEX(原始資料!S$2:S$501,$BJ10)="","",INDEX(原始資料!S$2:S$501,$BJ10)))</f>
        <v/>
      </c>
      <c r="R10" s="6">
        <f>IF(OR($BJ10="",17&gt;設定!$B$3),"",IF(INDEX(原始資料!T$2:T$501,$BJ10)="","",INDEX(原始資料!T$2:T$501,$BJ10)))</f>
        <v/>
      </c>
      <c r="S10" s="6">
        <f>IF(OR($BJ10="",18&gt;設定!$B$3),"",IF(INDEX(原始資料!U$2:U$501,$BJ10)="","",INDEX(原始資料!U$2:U$501,$BJ10)))</f>
        <v/>
      </c>
      <c r="T10" s="6">
        <f>IF(OR($BJ10="",19&gt;設定!$B$3),"",IF(INDEX(原始資料!V$2:V$501,$BJ10)="","",INDEX(原始資料!V$2:V$501,$BJ10)))</f>
        <v/>
      </c>
      <c r="U10" s="6">
        <f>IF(OR($BJ10="",20&gt;設定!$B$3),"",IF(INDEX(原始資料!W$2:W$501,$BJ10)="","",INDEX(原始資料!W$2:W$501,$BJ10)))</f>
        <v/>
      </c>
      <c r="V10" s="6">
        <f>IF(OR($BJ10="",21&gt;設定!$B$3),"",IF(INDEX(原始資料!X$2:X$501,$BJ10)="","",INDEX(原始資料!X$2:X$501,$BJ10)))</f>
        <v/>
      </c>
      <c r="W10" s="6">
        <f>IF(OR($BJ10="",22&gt;設定!$B$3),"",IF(INDEX(原始資料!Y$2:Y$501,$BJ10)="","",INDEX(原始資料!Y$2:Y$501,$BJ10)))</f>
        <v/>
      </c>
      <c r="X10" s="6">
        <f>IF(OR($BJ10="",23&gt;設定!$B$3),"",IF(INDEX(原始資料!Z$2:Z$501,$BJ10)="","",INDEX(原始資料!Z$2:Z$501,$BJ10)))</f>
        <v/>
      </c>
      <c r="Y10" s="6">
        <f>IF(OR($BJ10="",24&gt;設定!$B$3),"",IF(INDEX(原始資料!AA$2:AA$501,$BJ10)="","",INDEX(原始資料!AA$2:AA$501,$BJ10)))</f>
        <v/>
      </c>
      <c r="Z10" s="6">
        <f>IF(OR($BJ10="",25&gt;設定!$B$3),"",IF(INDEX(原始資料!AB$2:AB$501,$BJ10)="","",INDEX(原始資料!AB$2:AB$501,$BJ10)))</f>
        <v/>
      </c>
      <c r="AA10" s="6">
        <f>IF(OR($BJ10="",26&gt;設定!$B$3),"",IF(INDEX(原始資料!AC$2:AC$501,$BJ10)="","",INDEX(原始資料!AC$2:AC$501,$BJ10)))</f>
        <v/>
      </c>
      <c r="AB10" s="6">
        <f>IF(OR($BJ10="",27&gt;設定!$B$3),"",IF(INDEX(原始資料!AD$2:AD$501,$BJ10)="","",INDEX(原始資料!AD$2:AD$501,$BJ10)))</f>
        <v/>
      </c>
      <c r="AC10" s="6">
        <f>IF(OR($BJ10="",28&gt;設定!$B$3),"",IF(INDEX(原始資料!AE$2:AE$501,$BJ10)="","",INDEX(原始資料!AE$2:AE$501,$BJ10)))</f>
        <v/>
      </c>
      <c r="AD10" s="6">
        <f>IF(OR($BJ10="",29&gt;設定!$B$3),"",IF(INDEX(原始資料!AF$2:AF$501,$BJ10)="","",INDEX(原始資料!AF$2:AF$501,$BJ10)))</f>
        <v/>
      </c>
      <c r="AE10" s="6">
        <f>IF(OR($BJ10="",30&gt;設定!$B$3),"",IF(INDEX(原始資料!AG$2:AG$501,$BJ10)="","",INDEX(原始資料!AG$2:AG$501,$BJ10)))</f>
        <v/>
      </c>
      <c r="AF10" s="6">
        <f>IF(OR($BJ10="",31&gt;設定!$B$3),"",IF(INDEX(原始資料!AH$2:AH$501,$BJ10)="","",INDEX(原始資料!AH$2:AH$501,$BJ10)))</f>
        <v/>
      </c>
      <c r="AG10" s="6">
        <f>IF(OR($BJ10="",32&gt;設定!$B$3),"",IF(INDEX(原始資料!AI$2:AI$501,$BJ10)="","",INDEX(原始資料!AI$2:AI$501,$BJ10)))</f>
        <v/>
      </c>
      <c r="AH10" s="6">
        <f>IF(OR($BJ10="",33&gt;設定!$B$3),"",IF(INDEX(原始資料!AJ$2:AJ$501,$BJ10)="","",INDEX(原始資料!AJ$2:AJ$501,$BJ10)))</f>
        <v/>
      </c>
      <c r="AI10" s="6">
        <f>IF(OR($BJ10="",34&gt;設定!$B$3),"",IF(INDEX(原始資料!AK$2:AK$501,$BJ10)="","",INDEX(原始資料!AK$2:AK$501,$BJ10)))</f>
        <v/>
      </c>
      <c r="AJ10" s="6">
        <f>IF(OR($BJ10="",35&gt;設定!$B$3),"",IF(INDEX(原始資料!AL$2:AL$501,$BJ10)="","",INDEX(原始資料!AL$2:AL$501,$BJ10)))</f>
        <v/>
      </c>
      <c r="AK10" s="6">
        <f>IF(OR($BJ10="",36&gt;設定!$B$3),"",IF(INDEX(原始資料!AM$2:AM$501,$BJ10)="","",INDEX(原始資料!AM$2:AM$501,$BJ10)))</f>
        <v/>
      </c>
      <c r="AL10" s="6">
        <f>IF(OR($BJ10="",37&gt;設定!$B$3),"",IF(INDEX(原始資料!AN$2:AN$501,$BJ10)="","",INDEX(原始資料!AN$2:AN$501,$BJ10)))</f>
        <v/>
      </c>
      <c r="AM10" s="6">
        <f>IF(OR($BJ10="",38&gt;設定!$B$3),"",IF(INDEX(原始資料!AO$2:AO$501,$BJ10)="","",INDEX(原始資料!AO$2:AO$501,$BJ10)))</f>
        <v/>
      </c>
      <c r="AN10" s="6">
        <f>IF(OR($BJ10="",39&gt;設定!$B$3),"",IF(INDEX(原始資料!AP$2:AP$501,$BJ10)="","",INDEX(原始資料!AP$2:AP$501,$BJ10)))</f>
        <v/>
      </c>
      <c r="AO10" s="6">
        <f>IF(OR($BJ10="",40&gt;設定!$B$3),"",IF(INDEX(原始資料!AQ$2:AQ$501,$BJ10)="","",INDEX(原始資料!AQ$2:AQ$501,$BJ10)))</f>
        <v/>
      </c>
      <c r="AP10" s="6">
        <f>IF(OR($BJ10="",41&gt;設定!$B$3),"",IF(INDEX(原始資料!AR$2:AR$501,$BJ10)="","",INDEX(原始資料!AR$2:AR$501,$BJ10)))</f>
        <v/>
      </c>
      <c r="AQ10" s="6">
        <f>IF(OR($BJ10="",42&gt;設定!$B$3),"",IF(INDEX(原始資料!AS$2:AS$501,$BJ10)="","",INDEX(原始資料!AS$2:AS$501,$BJ10)))</f>
        <v/>
      </c>
      <c r="AR10" s="6">
        <f>IF(OR($BJ10="",43&gt;設定!$B$3),"",IF(INDEX(原始資料!AT$2:AT$501,$BJ10)="","",INDEX(原始資料!AT$2:AT$501,$BJ10)))</f>
        <v/>
      </c>
      <c r="AS10" s="6">
        <f>IF(OR($BJ10="",44&gt;設定!$B$3),"",IF(INDEX(原始資料!AU$2:AU$501,$BJ10)="","",INDEX(原始資料!AU$2:AU$501,$BJ10)))</f>
        <v/>
      </c>
      <c r="AT10" s="6">
        <f>IF(OR($BJ10="",45&gt;設定!$B$3),"",IF(INDEX(原始資料!AV$2:AV$501,$BJ10)="","",INDEX(原始資料!AV$2:AV$501,$BJ10)))</f>
        <v/>
      </c>
      <c r="AU10" s="6">
        <f>IF(OR($BJ10="",46&gt;設定!$B$3),"",IF(INDEX(原始資料!AW$2:AW$501,$BJ10)="","",INDEX(原始資料!AW$2:AW$501,$BJ10)))</f>
        <v/>
      </c>
      <c r="AV10" s="6">
        <f>IF(OR($BJ10="",47&gt;設定!$B$3),"",IF(INDEX(原始資料!AX$2:AX$501,$BJ10)="","",INDEX(原始資料!AX$2:AX$501,$BJ10)))</f>
        <v/>
      </c>
      <c r="AW10" s="6">
        <f>IF(OR($BJ10="",48&gt;設定!$B$3),"",IF(INDEX(原始資料!AY$2:AY$501,$BJ10)="","",INDEX(原始資料!AY$2:AY$501,$BJ10)))</f>
        <v/>
      </c>
      <c r="AX10" s="6">
        <f>IF(OR($BJ10="",49&gt;設定!$B$3),"",IF(INDEX(原始資料!AZ$2:AZ$501,$BJ10)="","",INDEX(原始資料!AZ$2:AZ$501,$BJ10)))</f>
        <v/>
      </c>
      <c r="AY10" s="6">
        <f>IF(OR($BJ10="",50&gt;設定!$B$3),"",IF(INDEX(原始資料!BA$2:BA$501,$BJ10)="","",INDEX(原始資料!BA$2:BA$501,$BJ10)))</f>
        <v/>
      </c>
      <c r="AZ10" s="6">
        <f>IF(OR($BJ10="",51&gt;設定!$B$3),"",IF(INDEX(原始資料!BB$2:BB$501,$BJ10)="","",INDEX(原始資料!BB$2:BB$501,$BJ10)))</f>
        <v/>
      </c>
      <c r="BA10" s="6">
        <f>IF(OR($BJ10="",52&gt;設定!$B$3),"",IF(INDEX(原始資料!BC$2:BC$501,$BJ10)="","",INDEX(原始資料!BC$2:BC$501,$BJ10)))</f>
        <v/>
      </c>
      <c r="BB10" s="6">
        <f>IF(OR($BJ10="",53&gt;設定!$B$3),"",IF(INDEX(原始資料!BD$2:BD$501,$BJ10)="","",INDEX(原始資料!BD$2:BD$501,$BJ10)))</f>
        <v/>
      </c>
      <c r="BC10" s="6">
        <f>IF(OR($BJ10="",54&gt;設定!$B$3),"",IF(INDEX(原始資料!BE$2:BE$501,$BJ10)="","",INDEX(原始資料!BE$2:BE$501,$BJ10)))</f>
        <v/>
      </c>
      <c r="BD10" s="6">
        <f>IF(OR($BJ10="",55&gt;設定!$B$3),"",IF(INDEX(原始資料!BF$2:BF$501,$BJ10)="","",INDEX(原始資料!BF$2:BF$501,$BJ10)))</f>
        <v/>
      </c>
      <c r="BE10" s="6">
        <f>IF(OR($BJ10="",56&gt;設定!$B$3),"",IF(INDEX(原始資料!BG$2:BG$501,$BJ10)="","",INDEX(原始資料!BG$2:BG$501,$BJ10)))</f>
        <v/>
      </c>
      <c r="BF10" s="6">
        <f>IF(OR($BJ10="",57&gt;設定!$B$3),"",IF(INDEX(原始資料!BH$2:BH$501,$BJ10)="","",INDEX(原始資料!BH$2:BH$501,$BJ10)))</f>
        <v/>
      </c>
      <c r="BG10" s="6">
        <f>IF(OR($BJ10="",58&gt;設定!$B$3),"",IF(INDEX(原始資料!BI$2:BI$501,$BJ10)="","",INDEX(原始資料!BI$2:BI$501,$BJ10)))</f>
        <v/>
      </c>
      <c r="BH10" s="6">
        <f>IF(OR($BJ10="",59&gt;設定!$B$3),"",IF(INDEX(原始資料!BJ$2:BJ$501,$BJ10)="","",INDEX(原始資料!BJ$2:BJ$501,$BJ10)))</f>
        <v/>
      </c>
      <c r="BI10" s="6">
        <f>IF(OR($BJ10="",60&gt;設定!$B$3),"",IF(INDEX(原始資料!BK$2:BK$501,$BJ10)="","",INDEX(原始資料!BK$2:BK$501,$BJ10)))</f>
        <v/>
      </c>
      <c r="BJ10" s="6">
        <f>IFERROR(MATCH(ROW()-1,判定!$H$2:$H$501,0),"")</f>
        <v/>
      </c>
    </row>
    <row r="11">
      <c r="A11" s="6">
        <f>IF($BJ11="","",INDEX(原始資料!$A$2:$A$501,$BJ11))</f>
        <v/>
      </c>
      <c r="B11" s="6">
        <f>IF(OR($BJ11="",1&gt;設定!$B$3),"",IF(INDEX(原始資料!D$2:D$501,$BJ11)="","",INDEX(原始資料!D$2:D$501,$BJ11)))</f>
        <v/>
      </c>
      <c r="C11" s="6">
        <f>IF(OR($BJ11="",2&gt;設定!$B$3),"",IF(INDEX(原始資料!E$2:E$501,$BJ11)="","",INDEX(原始資料!E$2:E$501,$BJ11)))</f>
        <v/>
      </c>
      <c r="D11" s="6">
        <f>IF(OR($BJ11="",3&gt;設定!$B$3),"",IF(INDEX(原始資料!F$2:F$501,$BJ11)="","",INDEX(原始資料!F$2:F$501,$BJ11)))</f>
        <v/>
      </c>
      <c r="E11" s="6">
        <f>IF(OR($BJ11="",4&gt;設定!$B$3),"",IF(INDEX(原始資料!G$2:G$501,$BJ11)="","",INDEX(原始資料!G$2:G$501,$BJ11)))</f>
        <v/>
      </c>
      <c r="F11" s="6">
        <f>IF(OR($BJ11="",5&gt;設定!$B$3),"",IF(INDEX(原始資料!H$2:H$501,$BJ11)="","",INDEX(原始資料!H$2:H$501,$BJ11)))</f>
        <v/>
      </c>
      <c r="G11" s="6">
        <f>IF(OR($BJ11="",6&gt;設定!$B$3),"",IF(INDEX(原始資料!I$2:I$501,$BJ11)="","",INDEX(原始資料!I$2:I$501,$BJ11)))</f>
        <v/>
      </c>
      <c r="H11" s="6">
        <f>IF(OR($BJ11="",7&gt;設定!$B$3),"",IF(INDEX(原始資料!J$2:J$501,$BJ11)="","",INDEX(原始資料!J$2:J$501,$BJ11)))</f>
        <v/>
      </c>
      <c r="I11" s="6">
        <f>IF(OR($BJ11="",8&gt;設定!$B$3),"",IF(INDEX(原始資料!K$2:K$501,$BJ11)="","",INDEX(原始資料!K$2:K$501,$BJ11)))</f>
        <v/>
      </c>
      <c r="J11" s="6">
        <f>IF(OR($BJ11="",9&gt;設定!$B$3),"",IF(INDEX(原始資料!L$2:L$501,$BJ11)="","",INDEX(原始資料!L$2:L$501,$BJ11)))</f>
        <v/>
      </c>
      <c r="K11" s="6">
        <f>IF(OR($BJ11="",10&gt;設定!$B$3),"",IF(INDEX(原始資料!M$2:M$501,$BJ11)="","",INDEX(原始資料!M$2:M$501,$BJ11)))</f>
        <v/>
      </c>
      <c r="L11" s="6">
        <f>IF(OR($BJ11="",11&gt;設定!$B$3),"",IF(INDEX(原始資料!N$2:N$501,$BJ11)="","",INDEX(原始資料!N$2:N$501,$BJ11)))</f>
        <v/>
      </c>
      <c r="M11" s="6">
        <f>IF(OR($BJ11="",12&gt;設定!$B$3),"",IF(INDEX(原始資料!O$2:O$501,$BJ11)="","",INDEX(原始資料!O$2:O$501,$BJ11)))</f>
        <v/>
      </c>
      <c r="N11" s="6">
        <f>IF(OR($BJ11="",13&gt;設定!$B$3),"",IF(INDEX(原始資料!P$2:P$501,$BJ11)="","",INDEX(原始資料!P$2:P$501,$BJ11)))</f>
        <v/>
      </c>
      <c r="O11" s="6">
        <f>IF(OR($BJ11="",14&gt;設定!$B$3),"",IF(INDEX(原始資料!Q$2:Q$501,$BJ11)="","",INDEX(原始資料!Q$2:Q$501,$BJ11)))</f>
        <v/>
      </c>
      <c r="P11" s="6">
        <f>IF(OR($BJ11="",15&gt;設定!$B$3),"",IF(INDEX(原始資料!R$2:R$501,$BJ11)="","",INDEX(原始資料!R$2:R$501,$BJ11)))</f>
        <v/>
      </c>
      <c r="Q11" s="6">
        <f>IF(OR($BJ11="",16&gt;設定!$B$3),"",IF(INDEX(原始資料!S$2:S$501,$BJ11)="","",INDEX(原始資料!S$2:S$501,$BJ11)))</f>
        <v/>
      </c>
      <c r="R11" s="6">
        <f>IF(OR($BJ11="",17&gt;設定!$B$3),"",IF(INDEX(原始資料!T$2:T$501,$BJ11)="","",INDEX(原始資料!T$2:T$501,$BJ11)))</f>
        <v/>
      </c>
      <c r="S11" s="6">
        <f>IF(OR($BJ11="",18&gt;設定!$B$3),"",IF(INDEX(原始資料!U$2:U$501,$BJ11)="","",INDEX(原始資料!U$2:U$501,$BJ11)))</f>
        <v/>
      </c>
      <c r="T11" s="6">
        <f>IF(OR($BJ11="",19&gt;設定!$B$3),"",IF(INDEX(原始資料!V$2:V$501,$BJ11)="","",INDEX(原始資料!V$2:V$501,$BJ11)))</f>
        <v/>
      </c>
      <c r="U11" s="6">
        <f>IF(OR($BJ11="",20&gt;設定!$B$3),"",IF(INDEX(原始資料!W$2:W$501,$BJ11)="","",INDEX(原始資料!W$2:W$501,$BJ11)))</f>
        <v/>
      </c>
      <c r="V11" s="6">
        <f>IF(OR($BJ11="",21&gt;設定!$B$3),"",IF(INDEX(原始資料!X$2:X$501,$BJ11)="","",INDEX(原始資料!X$2:X$501,$BJ11)))</f>
        <v/>
      </c>
      <c r="W11" s="6">
        <f>IF(OR($BJ11="",22&gt;設定!$B$3),"",IF(INDEX(原始資料!Y$2:Y$501,$BJ11)="","",INDEX(原始資料!Y$2:Y$501,$BJ11)))</f>
        <v/>
      </c>
      <c r="X11" s="6">
        <f>IF(OR($BJ11="",23&gt;設定!$B$3),"",IF(INDEX(原始資料!Z$2:Z$501,$BJ11)="","",INDEX(原始資料!Z$2:Z$501,$BJ11)))</f>
        <v/>
      </c>
      <c r="Y11" s="6">
        <f>IF(OR($BJ11="",24&gt;設定!$B$3),"",IF(INDEX(原始資料!AA$2:AA$501,$BJ11)="","",INDEX(原始資料!AA$2:AA$501,$BJ11)))</f>
        <v/>
      </c>
      <c r="Z11" s="6">
        <f>IF(OR($BJ11="",25&gt;設定!$B$3),"",IF(INDEX(原始資料!AB$2:AB$501,$BJ11)="","",INDEX(原始資料!AB$2:AB$501,$BJ11)))</f>
        <v/>
      </c>
      <c r="AA11" s="6">
        <f>IF(OR($BJ11="",26&gt;設定!$B$3),"",IF(INDEX(原始資料!AC$2:AC$501,$BJ11)="","",INDEX(原始資料!AC$2:AC$501,$BJ11)))</f>
        <v/>
      </c>
      <c r="AB11" s="6">
        <f>IF(OR($BJ11="",27&gt;設定!$B$3),"",IF(INDEX(原始資料!AD$2:AD$501,$BJ11)="","",INDEX(原始資料!AD$2:AD$501,$BJ11)))</f>
        <v/>
      </c>
      <c r="AC11" s="6">
        <f>IF(OR($BJ11="",28&gt;設定!$B$3),"",IF(INDEX(原始資料!AE$2:AE$501,$BJ11)="","",INDEX(原始資料!AE$2:AE$501,$BJ11)))</f>
        <v/>
      </c>
      <c r="AD11" s="6">
        <f>IF(OR($BJ11="",29&gt;設定!$B$3),"",IF(INDEX(原始資料!AF$2:AF$501,$BJ11)="","",INDEX(原始資料!AF$2:AF$501,$BJ11)))</f>
        <v/>
      </c>
      <c r="AE11" s="6">
        <f>IF(OR($BJ11="",30&gt;設定!$B$3),"",IF(INDEX(原始資料!AG$2:AG$501,$BJ11)="","",INDEX(原始資料!AG$2:AG$501,$BJ11)))</f>
        <v/>
      </c>
      <c r="AF11" s="6">
        <f>IF(OR($BJ11="",31&gt;設定!$B$3),"",IF(INDEX(原始資料!AH$2:AH$501,$BJ11)="","",INDEX(原始資料!AH$2:AH$501,$BJ11)))</f>
        <v/>
      </c>
      <c r="AG11" s="6">
        <f>IF(OR($BJ11="",32&gt;設定!$B$3),"",IF(INDEX(原始資料!AI$2:AI$501,$BJ11)="","",INDEX(原始資料!AI$2:AI$501,$BJ11)))</f>
        <v/>
      </c>
      <c r="AH11" s="6">
        <f>IF(OR($BJ11="",33&gt;設定!$B$3),"",IF(INDEX(原始資料!AJ$2:AJ$501,$BJ11)="","",INDEX(原始資料!AJ$2:AJ$501,$BJ11)))</f>
        <v/>
      </c>
      <c r="AI11" s="6">
        <f>IF(OR($BJ11="",34&gt;設定!$B$3),"",IF(INDEX(原始資料!AK$2:AK$501,$BJ11)="","",INDEX(原始資料!AK$2:AK$501,$BJ11)))</f>
        <v/>
      </c>
      <c r="AJ11" s="6">
        <f>IF(OR($BJ11="",35&gt;設定!$B$3),"",IF(INDEX(原始資料!AL$2:AL$501,$BJ11)="","",INDEX(原始資料!AL$2:AL$501,$BJ11)))</f>
        <v/>
      </c>
      <c r="AK11" s="6">
        <f>IF(OR($BJ11="",36&gt;設定!$B$3),"",IF(INDEX(原始資料!AM$2:AM$501,$BJ11)="","",INDEX(原始資料!AM$2:AM$501,$BJ11)))</f>
        <v/>
      </c>
      <c r="AL11" s="6">
        <f>IF(OR($BJ11="",37&gt;設定!$B$3),"",IF(INDEX(原始資料!AN$2:AN$501,$BJ11)="","",INDEX(原始資料!AN$2:AN$501,$BJ11)))</f>
        <v/>
      </c>
      <c r="AM11" s="6">
        <f>IF(OR($BJ11="",38&gt;設定!$B$3),"",IF(INDEX(原始資料!AO$2:AO$501,$BJ11)="","",INDEX(原始資料!AO$2:AO$501,$BJ11)))</f>
        <v/>
      </c>
      <c r="AN11" s="6">
        <f>IF(OR($BJ11="",39&gt;設定!$B$3),"",IF(INDEX(原始資料!AP$2:AP$501,$BJ11)="","",INDEX(原始資料!AP$2:AP$501,$BJ11)))</f>
        <v/>
      </c>
      <c r="AO11" s="6">
        <f>IF(OR($BJ11="",40&gt;設定!$B$3),"",IF(INDEX(原始資料!AQ$2:AQ$501,$BJ11)="","",INDEX(原始資料!AQ$2:AQ$501,$BJ11)))</f>
        <v/>
      </c>
      <c r="AP11" s="6">
        <f>IF(OR($BJ11="",41&gt;設定!$B$3),"",IF(INDEX(原始資料!AR$2:AR$501,$BJ11)="","",INDEX(原始資料!AR$2:AR$501,$BJ11)))</f>
        <v/>
      </c>
      <c r="AQ11" s="6">
        <f>IF(OR($BJ11="",42&gt;設定!$B$3),"",IF(INDEX(原始資料!AS$2:AS$501,$BJ11)="","",INDEX(原始資料!AS$2:AS$501,$BJ11)))</f>
        <v/>
      </c>
      <c r="AR11" s="6">
        <f>IF(OR($BJ11="",43&gt;設定!$B$3),"",IF(INDEX(原始資料!AT$2:AT$501,$BJ11)="","",INDEX(原始資料!AT$2:AT$501,$BJ11)))</f>
        <v/>
      </c>
      <c r="AS11" s="6">
        <f>IF(OR($BJ11="",44&gt;設定!$B$3),"",IF(INDEX(原始資料!AU$2:AU$501,$BJ11)="","",INDEX(原始資料!AU$2:AU$501,$BJ11)))</f>
        <v/>
      </c>
      <c r="AT11" s="6">
        <f>IF(OR($BJ11="",45&gt;設定!$B$3),"",IF(INDEX(原始資料!AV$2:AV$501,$BJ11)="","",INDEX(原始資料!AV$2:AV$501,$BJ11)))</f>
        <v/>
      </c>
      <c r="AU11" s="6">
        <f>IF(OR($BJ11="",46&gt;設定!$B$3),"",IF(INDEX(原始資料!AW$2:AW$501,$BJ11)="","",INDEX(原始資料!AW$2:AW$501,$BJ11)))</f>
        <v/>
      </c>
      <c r="AV11" s="6">
        <f>IF(OR($BJ11="",47&gt;設定!$B$3),"",IF(INDEX(原始資料!AX$2:AX$501,$BJ11)="","",INDEX(原始資料!AX$2:AX$501,$BJ11)))</f>
        <v/>
      </c>
      <c r="AW11" s="6">
        <f>IF(OR($BJ11="",48&gt;設定!$B$3),"",IF(INDEX(原始資料!AY$2:AY$501,$BJ11)="","",INDEX(原始資料!AY$2:AY$501,$BJ11)))</f>
        <v/>
      </c>
      <c r="AX11" s="6">
        <f>IF(OR($BJ11="",49&gt;設定!$B$3),"",IF(INDEX(原始資料!AZ$2:AZ$501,$BJ11)="","",INDEX(原始資料!AZ$2:AZ$501,$BJ11)))</f>
        <v/>
      </c>
      <c r="AY11" s="6">
        <f>IF(OR($BJ11="",50&gt;設定!$B$3),"",IF(INDEX(原始資料!BA$2:BA$501,$BJ11)="","",INDEX(原始資料!BA$2:BA$501,$BJ11)))</f>
        <v/>
      </c>
      <c r="AZ11" s="6">
        <f>IF(OR($BJ11="",51&gt;設定!$B$3),"",IF(INDEX(原始資料!BB$2:BB$501,$BJ11)="","",INDEX(原始資料!BB$2:BB$501,$BJ11)))</f>
        <v/>
      </c>
      <c r="BA11" s="6">
        <f>IF(OR($BJ11="",52&gt;設定!$B$3),"",IF(INDEX(原始資料!BC$2:BC$501,$BJ11)="","",INDEX(原始資料!BC$2:BC$501,$BJ11)))</f>
        <v/>
      </c>
      <c r="BB11" s="6">
        <f>IF(OR($BJ11="",53&gt;設定!$B$3),"",IF(INDEX(原始資料!BD$2:BD$501,$BJ11)="","",INDEX(原始資料!BD$2:BD$501,$BJ11)))</f>
        <v/>
      </c>
      <c r="BC11" s="6">
        <f>IF(OR($BJ11="",54&gt;設定!$B$3),"",IF(INDEX(原始資料!BE$2:BE$501,$BJ11)="","",INDEX(原始資料!BE$2:BE$501,$BJ11)))</f>
        <v/>
      </c>
      <c r="BD11" s="6">
        <f>IF(OR($BJ11="",55&gt;設定!$B$3),"",IF(INDEX(原始資料!BF$2:BF$501,$BJ11)="","",INDEX(原始資料!BF$2:BF$501,$BJ11)))</f>
        <v/>
      </c>
      <c r="BE11" s="6">
        <f>IF(OR($BJ11="",56&gt;設定!$B$3),"",IF(INDEX(原始資料!BG$2:BG$501,$BJ11)="","",INDEX(原始資料!BG$2:BG$501,$BJ11)))</f>
        <v/>
      </c>
      <c r="BF11" s="6">
        <f>IF(OR($BJ11="",57&gt;設定!$B$3),"",IF(INDEX(原始資料!BH$2:BH$501,$BJ11)="","",INDEX(原始資料!BH$2:BH$501,$BJ11)))</f>
        <v/>
      </c>
      <c r="BG11" s="6">
        <f>IF(OR($BJ11="",58&gt;設定!$B$3),"",IF(INDEX(原始資料!BI$2:BI$501,$BJ11)="","",INDEX(原始資料!BI$2:BI$501,$BJ11)))</f>
        <v/>
      </c>
      <c r="BH11" s="6">
        <f>IF(OR($BJ11="",59&gt;設定!$B$3),"",IF(INDEX(原始資料!BJ$2:BJ$501,$BJ11)="","",INDEX(原始資料!BJ$2:BJ$501,$BJ11)))</f>
        <v/>
      </c>
      <c r="BI11" s="6">
        <f>IF(OR($BJ11="",60&gt;設定!$B$3),"",IF(INDEX(原始資料!BK$2:BK$501,$BJ11)="","",INDEX(原始資料!BK$2:BK$501,$BJ11)))</f>
        <v/>
      </c>
      <c r="BJ11" s="6">
        <f>IFERROR(MATCH(ROW()-1,判定!$H$2:$H$501,0),"")</f>
        <v/>
      </c>
    </row>
    <row r="12">
      <c r="A12" s="6">
        <f>IF($BJ12="","",INDEX(原始資料!$A$2:$A$501,$BJ12))</f>
        <v/>
      </c>
      <c r="B12" s="6">
        <f>IF(OR($BJ12="",1&gt;設定!$B$3),"",IF(INDEX(原始資料!D$2:D$501,$BJ12)="","",INDEX(原始資料!D$2:D$501,$BJ12)))</f>
        <v/>
      </c>
      <c r="C12" s="6">
        <f>IF(OR($BJ12="",2&gt;設定!$B$3),"",IF(INDEX(原始資料!E$2:E$501,$BJ12)="","",INDEX(原始資料!E$2:E$501,$BJ12)))</f>
        <v/>
      </c>
      <c r="D12" s="6">
        <f>IF(OR($BJ12="",3&gt;設定!$B$3),"",IF(INDEX(原始資料!F$2:F$501,$BJ12)="","",INDEX(原始資料!F$2:F$501,$BJ12)))</f>
        <v/>
      </c>
      <c r="E12" s="6">
        <f>IF(OR($BJ12="",4&gt;設定!$B$3),"",IF(INDEX(原始資料!G$2:G$501,$BJ12)="","",INDEX(原始資料!G$2:G$501,$BJ12)))</f>
        <v/>
      </c>
      <c r="F12" s="6">
        <f>IF(OR($BJ12="",5&gt;設定!$B$3),"",IF(INDEX(原始資料!H$2:H$501,$BJ12)="","",INDEX(原始資料!H$2:H$501,$BJ12)))</f>
        <v/>
      </c>
      <c r="G12" s="6">
        <f>IF(OR($BJ12="",6&gt;設定!$B$3),"",IF(INDEX(原始資料!I$2:I$501,$BJ12)="","",INDEX(原始資料!I$2:I$501,$BJ12)))</f>
        <v/>
      </c>
      <c r="H12" s="6">
        <f>IF(OR($BJ12="",7&gt;設定!$B$3),"",IF(INDEX(原始資料!J$2:J$501,$BJ12)="","",INDEX(原始資料!J$2:J$501,$BJ12)))</f>
        <v/>
      </c>
      <c r="I12" s="6">
        <f>IF(OR($BJ12="",8&gt;設定!$B$3),"",IF(INDEX(原始資料!K$2:K$501,$BJ12)="","",INDEX(原始資料!K$2:K$501,$BJ12)))</f>
        <v/>
      </c>
      <c r="J12" s="6">
        <f>IF(OR($BJ12="",9&gt;設定!$B$3),"",IF(INDEX(原始資料!L$2:L$501,$BJ12)="","",INDEX(原始資料!L$2:L$501,$BJ12)))</f>
        <v/>
      </c>
      <c r="K12" s="6">
        <f>IF(OR($BJ12="",10&gt;設定!$B$3),"",IF(INDEX(原始資料!M$2:M$501,$BJ12)="","",INDEX(原始資料!M$2:M$501,$BJ12)))</f>
        <v/>
      </c>
      <c r="L12" s="6">
        <f>IF(OR($BJ12="",11&gt;設定!$B$3),"",IF(INDEX(原始資料!N$2:N$501,$BJ12)="","",INDEX(原始資料!N$2:N$501,$BJ12)))</f>
        <v/>
      </c>
      <c r="M12" s="6">
        <f>IF(OR($BJ12="",12&gt;設定!$B$3),"",IF(INDEX(原始資料!O$2:O$501,$BJ12)="","",INDEX(原始資料!O$2:O$501,$BJ12)))</f>
        <v/>
      </c>
      <c r="N12" s="6">
        <f>IF(OR($BJ12="",13&gt;設定!$B$3),"",IF(INDEX(原始資料!P$2:P$501,$BJ12)="","",INDEX(原始資料!P$2:P$501,$BJ12)))</f>
        <v/>
      </c>
      <c r="O12" s="6">
        <f>IF(OR($BJ12="",14&gt;設定!$B$3),"",IF(INDEX(原始資料!Q$2:Q$501,$BJ12)="","",INDEX(原始資料!Q$2:Q$501,$BJ12)))</f>
        <v/>
      </c>
      <c r="P12" s="6">
        <f>IF(OR($BJ12="",15&gt;設定!$B$3),"",IF(INDEX(原始資料!R$2:R$501,$BJ12)="","",INDEX(原始資料!R$2:R$501,$BJ12)))</f>
        <v/>
      </c>
      <c r="Q12" s="6">
        <f>IF(OR($BJ12="",16&gt;設定!$B$3),"",IF(INDEX(原始資料!S$2:S$501,$BJ12)="","",INDEX(原始資料!S$2:S$501,$BJ12)))</f>
        <v/>
      </c>
      <c r="R12" s="6">
        <f>IF(OR($BJ12="",17&gt;設定!$B$3),"",IF(INDEX(原始資料!T$2:T$501,$BJ12)="","",INDEX(原始資料!T$2:T$501,$BJ12)))</f>
        <v/>
      </c>
      <c r="S12" s="6">
        <f>IF(OR($BJ12="",18&gt;設定!$B$3),"",IF(INDEX(原始資料!U$2:U$501,$BJ12)="","",INDEX(原始資料!U$2:U$501,$BJ12)))</f>
        <v/>
      </c>
      <c r="T12" s="6">
        <f>IF(OR($BJ12="",19&gt;設定!$B$3),"",IF(INDEX(原始資料!V$2:V$501,$BJ12)="","",INDEX(原始資料!V$2:V$501,$BJ12)))</f>
        <v/>
      </c>
      <c r="U12" s="6">
        <f>IF(OR($BJ12="",20&gt;設定!$B$3),"",IF(INDEX(原始資料!W$2:W$501,$BJ12)="","",INDEX(原始資料!W$2:W$501,$BJ12)))</f>
        <v/>
      </c>
      <c r="V12" s="6">
        <f>IF(OR($BJ12="",21&gt;設定!$B$3),"",IF(INDEX(原始資料!X$2:X$501,$BJ12)="","",INDEX(原始資料!X$2:X$501,$BJ12)))</f>
        <v/>
      </c>
      <c r="W12" s="6">
        <f>IF(OR($BJ12="",22&gt;設定!$B$3),"",IF(INDEX(原始資料!Y$2:Y$501,$BJ12)="","",INDEX(原始資料!Y$2:Y$501,$BJ12)))</f>
        <v/>
      </c>
      <c r="X12" s="6">
        <f>IF(OR($BJ12="",23&gt;設定!$B$3),"",IF(INDEX(原始資料!Z$2:Z$501,$BJ12)="","",INDEX(原始資料!Z$2:Z$501,$BJ12)))</f>
        <v/>
      </c>
      <c r="Y12" s="6">
        <f>IF(OR($BJ12="",24&gt;設定!$B$3),"",IF(INDEX(原始資料!AA$2:AA$501,$BJ12)="","",INDEX(原始資料!AA$2:AA$501,$BJ12)))</f>
        <v/>
      </c>
      <c r="Z12" s="6">
        <f>IF(OR($BJ12="",25&gt;設定!$B$3),"",IF(INDEX(原始資料!AB$2:AB$501,$BJ12)="","",INDEX(原始資料!AB$2:AB$501,$BJ12)))</f>
        <v/>
      </c>
      <c r="AA12" s="6">
        <f>IF(OR($BJ12="",26&gt;設定!$B$3),"",IF(INDEX(原始資料!AC$2:AC$501,$BJ12)="","",INDEX(原始資料!AC$2:AC$501,$BJ12)))</f>
        <v/>
      </c>
      <c r="AB12" s="6">
        <f>IF(OR($BJ12="",27&gt;設定!$B$3),"",IF(INDEX(原始資料!AD$2:AD$501,$BJ12)="","",INDEX(原始資料!AD$2:AD$501,$BJ12)))</f>
        <v/>
      </c>
      <c r="AC12" s="6">
        <f>IF(OR($BJ12="",28&gt;設定!$B$3),"",IF(INDEX(原始資料!AE$2:AE$501,$BJ12)="","",INDEX(原始資料!AE$2:AE$501,$BJ12)))</f>
        <v/>
      </c>
      <c r="AD12" s="6">
        <f>IF(OR($BJ12="",29&gt;設定!$B$3),"",IF(INDEX(原始資料!AF$2:AF$501,$BJ12)="","",INDEX(原始資料!AF$2:AF$501,$BJ12)))</f>
        <v/>
      </c>
      <c r="AE12" s="6">
        <f>IF(OR($BJ12="",30&gt;設定!$B$3),"",IF(INDEX(原始資料!AG$2:AG$501,$BJ12)="","",INDEX(原始資料!AG$2:AG$501,$BJ12)))</f>
        <v/>
      </c>
      <c r="AF12" s="6">
        <f>IF(OR($BJ12="",31&gt;設定!$B$3),"",IF(INDEX(原始資料!AH$2:AH$501,$BJ12)="","",INDEX(原始資料!AH$2:AH$501,$BJ12)))</f>
        <v/>
      </c>
      <c r="AG12" s="6">
        <f>IF(OR($BJ12="",32&gt;設定!$B$3),"",IF(INDEX(原始資料!AI$2:AI$501,$BJ12)="","",INDEX(原始資料!AI$2:AI$501,$BJ12)))</f>
        <v/>
      </c>
      <c r="AH12" s="6">
        <f>IF(OR($BJ12="",33&gt;設定!$B$3),"",IF(INDEX(原始資料!AJ$2:AJ$501,$BJ12)="","",INDEX(原始資料!AJ$2:AJ$501,$BJ12)))</f>
        <v/>
      </c>
      <c r="AI12" s="6">
        <f>IF(OR($BJ12="",34&gt;設定!$B$3),"",IF(INDEX(原始資料!AK$2:AK$501,$BJ12)="","",INDEX(原始資料!AK$2:AK$501,$BJ12)))</f>
        <v/>
      </c>
      <c r="AJ12" s="6">
        <f>IF(OR($BJ12="",35&gt;設定!$B$3),"",IF(INDEX(原始資料!AL$2:AL$501,$BJ12)="","",INDEX(原始資料!AL$2:AL$501,$BJ12)))</f>
        <v/>
      </c>
      <c r="AK12" s="6">
        <f>IF(OR($BJ12="",36&gt;設定!$B$3),"",IF(INDEX(原始資料!AM$2:AM$501,$BJ12)="","",INDEX(原始資料!AM$2:AM$501,$BJ12)))</f>
        <v/>
      </c>
      <c r="AL12" s="6">
        <f>IF(OR($BJ12="",37&gt;設定!$B$3),"",IF(INDEX(原始資料!AN$2:AN$501,$BJ12)="","",INDEX(原始資料!AN$2:AN$501,$BJ12)))</f>
        <v/>
      </c>
      <c r="AM12" s="6">
        <f>IF(OR($BJ12="",38&gt;設定!$B$3),"",IF(INDEX(原始資料!AO$2:AO$501,$BJ12)="","",INDEX(原始資料!AO$2:AO$501,$BJ12)))</f>
        <v/>
      </c>
      <c r="AN12" s="6">
        <f>IF(OR($BJ12="",39&gt;設定!$B$3),"",IF(INDEX(原始資料!AP$2:AP$501,$BJ12)="","",INDEX(原始資料!AP$2:AP$501,$BJ12)))</f>
        <v/>
      </c>
      <c r="AO12" s="6">
        <f>IF(OR($BJ12="",40&gt;設定!$B$3),"",IF(INDEX(原始資料!AQ$2:AQ$501,$BJ12)="","",INDEX(原始資料!AQ$2:AQ$501,$BJ12)))</f>
        <v/>
      </c>
      <c r="AP12" s="6">
        <f>IF(OR($BJ12="",41&gt;設定!$B$3),"",IF(INDEX(原始資料!AR$2:AR$501,$BJ12)="","",INDEX(原始資料!AR$2:AR$501,$BJ12)))</f>
        <v/>
      </c>
      <c r="AQ12" s="6">
        <f>IF(OR($BJ12="",42&gt;設定!$B$3),"",IF(INDEX(原始資料!AS$2:AS$501,$BJ12)="","",INDEX(原始資料!AS$2:AS$501,$BJ12)))</f>
        <v/>
      </c>
      <c r="AR12" s="6">
        <f>IF(OR($BJ12="",43&gt;設定!$B$3),"",IF(INDEX(原始資料!AT$2:AT$501,$BJ12)="","",INDEX(原始資料!AT$2:AT$501,$BJ12)))</f>
        <v/>
      </c>
      <c r="AS12" s="6">
        <f>IF(OR($BJ12="",44&gt;設定!$B$3),"",IF(INDEX(原始資料!AU$2:AU$501,$BJ12)="","",INDEX(原始資料!AU$2:AU$501,$BJ12)))</f>
        <v/>
      </c>
      <c r="AT12" s="6">
        <f>IF(OR($BJ12="",45&gt;設定!$B$3),"",IF(INDEX(原始資料!AV$2:AV$501,$BJ12)="","",INDEX(原始資料!AV$2:AV$501,$BJ12)))</f>
        <v/>
      </c>
      <c r="AU12" s="6">
        <f>IF(OR($BJ12="",46&gt;設定!$B$3),"",IF(INDEX(原始資料!AW$2:AW$501,$BJ12)="","",INDEX(原始資料!AW$2:AW$501,$BJ12)))</f>
        <v/>
      </c>
      <c r="AV12" s="6">
        <f>IF(OR($BJ12="",47&gt;設定!$B$3),"",IF(INDEX(原始資料!AX$2:AX$501,$BJ12)="","",INDEX(原始資料!AX$2:AX$501,$BJ12)))</f>
        <v/>
      </c>
      <c r="AW12" s="6">
        <f>IF(OR($BJ12="",48&gt;設定!$B$3),"",IF(INDEX(原始資料!AY$2:AY$501,$BJ12)="","",INDEX(原始資料!AY$2:AY$501,$BJ12)))</f>
        <v/>
      </c>
      <c r="AX12" s="6">
        <f>IF(OR($BJ12="",49&gt;設定!$B$3),"",IF(INDEX(原始資料!AZ$2:AZ$501,$BJ12)="","",INDEX(原始資料!AZ$2:AZ$501,$BJ12)))</f>
        <v/>
      </c>
      <c r="AY12" s="6">
        <f>IF(OR($BJ12="",50&gt;設定!$B$3),"",IF(INDEX(原始資料!BA$2:BA$501,$BJ12)="","",INDEX(原始資料!BA$2:BA$501,$BJ12)))</f>
        <v/>
      </c>
      <c r="AZ12" s="6">
        <f>IF(OR($BJ12="",51&gt;設定!$B$3),"",IF(INDEX(原始資料!BB$2:BB$501,$BJ12)="","",INDEX(原始資料!BB$2:BB$501,$BJ12)))</f>
        <v/>
      </c>
      <c r="BA12" s="6">
        <f>IF(OR($BJ12="",52&gt;設定!$B$3),"",IF(INDEX(原始資料!BC$2:BC$501,$BJ12)="","",INDEX(原始資料!BC$2:BC$501,$BJ12)))</f>
        <v/>
      </c>
      <c r="BB12" s="6">
        <f>IF(OR($BJ12="",53&gt;設定!$B$3),"",IF(INDEX(原始資料!BD$2:BD$501,$BJ12)="","",INDEX(原始資料!BD$2:BD$501,$BJ12)))</f>
        <v/>
      </c>
      <c r="BC12" s="6">
        <f>IF(OR($BJ12="",54&gt;設定!$B$3),"",IF(INDEX(原始資料!BE$2:BE$501,$BJ12)="","",INDEX(原始資料!BE$2:BE$501,$BJ12)))</f>
        <v/>
      </c>
      <c r="BD12" s="6">
        <f>IF(OR($BJ12="",55&gt;設定!$B$3),"",IF(INDEX(原始資料!BF$2:BF$501,$BJ12)="","",INDEX(原始資料!BF$2:BF$501,$BJ12)))</f>
        <v/>
      </c>
      <c r="BE12" s="6">
        <f>IF(OR($BJ12="",56&gt;設定!$B$3),"",IF(INDEX(原始資料!BG$2:BG$501,$BJ12)="","",INDEX(原始資料!BG$2:BG$501,$BJ12)))</f>
        <v/>
      </c>
      <c r="BF12" s="6">
        <f>IF(OR($BJ12="",57&gt;設定!$B$3),"",IF(INDEX(原始資料!BH$2:BH$501,$BJ12)="","",INDEX(原始資料!BH$2:BH$501,$BJ12)))</f>
        <v/>
      </c>
      <c r="BG12" s="6">
        <f>IF(OR($BJ12="",58&gt;設定!$B$3),"",IF(INDEX(原始資料!BI$2:BI$501,$BJ12)="","",INDEX(原始資料!BI$2:BI$501,$BJ12)))</f>
        <v/>
      </c>
      <c r="BH12" s="6">
        <f>IF(OR($BJ12="",59&gt;設定!$B$3),"",IF(INDEX(原始資料!BJ$2:BJ$501,$BJ12)="","",INDEX(原始資料!BJ$2:BJ$501,$BJ12)))</f>
        <v/>
      </c>
      <c r="BI12" s="6">
        <f>IF(OR($BJ12="",60&gt;設定!$B$3),"",IF(INDEX(原始資料!BK$2:BK$501,$BJ12)="","",INDEX(原始資料!BK$2:BK$501,$BJ12)))</f>
        <v/>
      </c>
      <c r="BJ12" s="6">
        <f>IFERROR(MATCH(ROW()-1,判定!$H$2:$H$501,0),"")</f>
        <v/>
      </c>
    </row>
    <row r="13">
      <c r="A13" s="6">
        <f>IF($BJ13="","",INDEX(原始資料!$A$2:$A$501,$BJ13))</f>
        <v/>
      </c>
      <c r="B13" s="6">
        <f>IF(OR($BJ13="",1&gt;設定!$B$3),"",IF(INDEX(原始資料!D$2:D$501,$BJ13)="","",INDEX(原始資料!D$2:D$501,$BJ13)))</f>
        <v/>
      </c>
      <c r="C13" s="6">
        <f>IF(OR($BJ13="",2&gt;設定!$B$3),"",IF(INDEX(原始資料!E$2:E$501,$BJ13)="","",INDEX(原始資料!E$2:E$501,$BJ13)))</f>
        <v/>
      </c>
      <c r="D13" s="6">
        <f>IF(OR($BJ13="",3&gt;設定!$B$3),"",IF(INDEX(原始資料!F$2:F$501,$BJ13)="","",INDEX(原始資料!F$2:F$501,$BJ13)))</f>
        <v/>
      </c>
      <c r="E13" s="6">
        <f>IF(OR($BJ13="",4&gt;設定!$B$3),"",IF(INDEX(原始資料!G$2:G$501,$BJ13)="","",INDEX(原始資料!G$2:G$501,$BJ13)))</f>
        <v/>
      </c>
      <c r="F13" s="6">
        <f>IF(OR($BJ13="",5&gt;設定!$B$3),"",IF(INDEX(原始資料!H$2:H$501,$BJ13)="","",INDEX(原始資料!H$2:H$501,$BJ13)))</f>
        <v/>
      </c>
      <c r="G13" s="6">
        <f>IF(OR($BJ13="",6&gt;設定!$B$3),"",IF(INDEX(原始資料!I$2:I$501,$BJ13)="","",INDEX(原始資料!I$2:I$501,$BJ13)))</f>
        <v/>
      </c>
      <c r="H13" s="6">
        <f>IF(OR($BJ13="",7&gt;設定!$B$3),"",IF(INDEX(原始資料!J$2:J$501,$BJ13)="","",INDEX(原始資料!J$2:J$501,$BJ13)))</f>
        <v/>
      </c>
      <c r="I13" s="6">
        <f>IF(OR($BJ13="",8&gt;設定!$B$3),"",IF(INDEX(原始資料!K$2:K$501,$BJ13)="","",INDEX(原始資料!K$2:K$501,$BJ13)))</f>
        <v/>
      </c>
      <c r="J13" s="6">
        <f>IF(OR($BJ13="",9&gt;設定!$B$3),"",IF(INDEX(原始資料!L$2:L$501,$BJ13)="","",INDEX(原始資料!L$2:L$501,$BJ13)))</f>
        <v/>
      </c>
      <c r="K13" s="6">
        <f>IF(OR($BJ13="",10&gt;設定!$B$3),"",IF(INDEX(原始資料!M$2:M$501,$BJ13)="","",INDEX(原始資料!M$2:M$501,$BJ13)))</f>
        <v/>
      </c>
      <c r="L13" s="6">
        <f>IF(OR($BJ13="",11&gt;設定!$B$3),"",IF(INDEX(原始資料!N$2:N$501,$BJ13)="","",INDEX(原始資料!N$2:N$501,$BJ13)))</f>
        <v/>
      </c>
      <c r="M13" s="6">
        <f>IF(OR($BJ13="",12&gt;設定!$B$3),"",IF(INDEX(原始資料!O$2:O$501,$BJ13)="","",INDEX(原始資料!O$2:O$501,$BJ13)))</f>
        <v/>
      </c>
      <c r="N13" s="6">
        <f>IF(OR($BJ13="",13&gt;設定!$B$3),"",IF(INDEX(原始資料!P$2:P$501,$BJ13)="","",INDEX(原始資料!P$2:P$501,$BJ13)))</f>
        <v/>
      </c>
      <c r="O13" s="6">
        <f>IF(OR($BJ13="",14&gt;設定!$B$3),"",IF(INDEX(原始資料!Q$2:Q$501,$BJ13)="","",INDEX(原始資料!Q$2:Q$501,$BJ13)))</f>
        <v/>
      </c>
      <c r="P13" s="6">
        <f>IF(OR($BJ13="",15&gt;設定!$B$3),"",IF(INDEX(原始資料!R$2:R$501,$BJ13)="","",INDEX(原始資料!R$2:R$501,$BJ13)))</f>
        <v/>
      </c>
      <c r="Q13" s="6">
        <f>IF(OR($BJ13="",16&gt;設定!$B$3),"",IF(INDEX(原始資料!S$2:S$501,$BJ13)="","",INDEX(原始資料!S$2:S$501,$BJ13)))</f>
        <v/>
      </c>
      <c r="R13" s="6">
        <f>IF(OR($BJ13="",17&gt;設定!$B$3),"",IF(INDEX(原始資料!T$2:T$501,$BJ13)="","",INDEX(原始資料!T$2:T$501,$BJ13)))</f>
        <v/>
      </c>
      <c r="S13" s="6">
        <f>IF(OR($BJ13="",18&gt;設定!$B$3),"",IF(INDEX(原始資料!U$2:U$501,$BJ13)="","",INDEX(原始資料!U$2:U$501,$BJ13)))</f>
        <v/>
      </c>
      <c r="T13" s="6">
        <f>IF(OR($BJ13="",19&gt;設定!$B$3),"",IF(INDEX(原始資料!V$2:V$501,$BJ13)="","",INDEX(原始資料!V$2:V$501,$BJ13)))</f>
        <v/>
      </c>
      <c r="U13" s="6">
        <f>IF(OR($BJ13="",20&gt;設定!$B$3),"",IF(INDEX(原始資料!W$2:W$501,$BJ13)="","",INDEX(原始資料!W$2:W$501,$BJ13)))</f>
        <v/>
      </c>
      <c r="V13" s="6">
        <f>IF(OR($BJ13="",21&gt;設定!$B$3),"",IF(INDEX(原始資料!X$2:X$501,$BJ13)="","",INDEX(原始資料!X$2:X$501,$BJ13)))</f>
        <v/>
      </c>
      <c r="W13" s="6">
        <f>IF(OR($BJ13="",22&gt;設定!$B$3),"",IF(INDEX(原始資料!Y$2:Y$501,$BJ13)="","",INDEX(原始資料!Y$2:Y$501,$BJ13)))</f>
        <v/>
      </c>
      <c r="X13" s="6">
        <f>IF(OR($BJ13="",23&gt;設定!$B$3),"",IF(INDEX(原始資料!Z$2:Z$501,$BJ13)="","",INDEX(原始資料!Z$2:Z$501,$BJ13)))</f>
        <v/>
      </c>
      <c r="Y13" s="6">
        <f>IF(OR($BJ13="",24&gt;設定!$B$3),"",IF(INDEX(原始資料!AA$2:AA$501,$BJ13)="","",INDEX(原始資料!AA$2:AA$501,$BJ13)))</f>
        <v/>
      </c>
      <c r="Z13" s="6">
        <f>IF(OR($BJ13="",25&gt;設定!$B$3),"",IF(INDEX(原始資料!AB$2:AB$501,$BJ13)="","",INDEX(原始資料!AB$2:AB$501,$BJ13)))</f>
        <v/>
      </c>
      <c r="AA13" s="6">
        <f>IF(OR($BJ13="",26&gt;設定!$B$3),"",IF(INDEX(原始資料!AC$2:AC$501,$BJ13)="","",INDEX(原始資料!AC$2:AC$501,$BJ13)))</f>
        <v/>
      </c>
      <c r="AB13" s="6">
        <f>IF(OR($BJ13="",27&gt;設定!$B$3),"",IF(INDEX(原始資料!AD$2:AD$501,$BJ13)="","",INDEX(原始資料!AD$2:AD$501,$BJ13)))</f>
        <v/>
      </c>
      <c r="AC13" s="6">
        <f>IF(OR($BJ13="",28&gt;設定!$B$3),"",IF(INDEX(原始資料!AE$2:AE$501,$BJ13)="","",INDEX(原始資料!AE$2:AE$501,$BJ13)))</f>
        <v/>
      </c>
      <c r="AD13" s="6">
        <f>IF(OR($BJ13="",29&gt;設定!$B$3),"",IF(INDEX(原始資料!AF$2:AF$501,$BJ13)="","",INDEX(原始資料!AF$2:AF$501,$BJ13)))</f>
        <v/>
      </c>
      <c r="AE13" s="6">
        <f>IF(OR($BJ13="",30&gt;設定!$B$3),"",IF(INDEX(原始資料!AG$2:AG$501,$BJ13)="","",INDEX(原始資料!AG$2:AG$501,$BJ13)))</f>
        <v/>
      </c>
      <c r="AF13" s="6">
        <f>IF(OR($BJ13="",31&gt;設定!$B$3),"",IF(INDEX(原始資料!AH$2:AH$501,$BJ13)="","",INDEX(原始資料!AH$2:AH$501,$BJ13)))</f>
        <v/>
      </c>
      <c r="AG13" s="6">
        <f>IF(OR($BJ13="",32&gt;設定!$B$3),"",IF(INDEX(原始資料!AI$2:AI$501,$BJ13)="","",INDEX(原始資料!AI$2:AI$501,$BJ13)))</f>
        <v/>
      </c>
      <c r="AH13" s="6">
        <f>IF(OR($BJ13="",33&gt;設定!$B$3),"",IF(INDEX(原始資料!AJ$2:AJ$501,$BJ13)="","",INDEX(原始資料!AJ$2:AJ$501,$BJ13)))</f>
        <v/>
      </c>
      <c r="AI13" s="6">
        <f>IF(OR($BJ13="",34&gt;設定!$B$3),"",IF(INDEX(原始資料!AK$2:AK$501,$BJ13)="","",INDEX(原始資料!AK$2:AK$501,$BJ13)))</f>
        <v/>
      </c>
      <c r="AJ13" s="6">
        <f>IF(OR($BJ13="",35&gt;設定!$B$3),"",IF(INDEX(原始資料!AL$2:AL$501,$BJ13)="","",INDEX(原始資料!AL$2:AL$501,$BJ13)))</f>
        <v/>
      </c>
      <c r="AK13" s="6">
        <f>IF(OR($BJ13="",36&gt;設定!$B$3),"",IF(INDEX(原始資料!AM$2:AM$501,$BJ13)="","",INDEX(原始資料!AM$2:AM$501,$BJ13)))</f>
        <v/>
      </c>
      <c r="AL13" s="6">
        <f>IF(OR($BJ13="",37&gt;設定!$B$3),"",IF(INDEX(原始資料!AN$2:AN$501,$BJ13)="","",INDEX(原始資料!AN$2:AN$501,$BJ13)))</f>
        <v/>
      </c>
      <c r="AM13" s="6">
        <f>IF(OR($BJ13="",38&gt;設定!$B$3),"",IF(INDEX(原始資料!AO$2:AO$501,$BJ13)="","",INDEX(原始資料!AO$2:AO$501,$BJ13)))</f>
        <v/>
      </c>
      <c r="AN13" s="6">
        <f>IF(OR($BJ13="",39&gt;設定!$B$3),"",IF(INDEX(原始資料!AP$2:AP$501,$BJ13)="","",INDEX(原始資料!AP$2:AP$501,$BJ13)))</f>
        <v/>
      </c>
      <c r="AO13" s="6">
        <f>IF(OR($BJ13="",40&gt;設定!$B$3),"",IF(INDEX(原始資料!AQ$2:AQ$501,$BJ13)="","",INDEX(原始資料!AQ$2:AQ$501,$BJ13)))</f>
        <v/>
      </c>
      <c r="AP13" s="6">
        <f>IF(OR($BJ13="",41&gt;設定!$B$3),"",IF(INDEX(原始資料!AR$2:AR$501,$BJ13)="","",INDEX(原始資料!AR$2:AR$501,$BJ13)))</f>
        <v/>
      </c>
      <c r="AQ13" s="6">
        <f>IF(OR($BJ13="",42&gt;設定!$B$3),"",IF(INDEX(原始資料!AS$2:AS$501,$BJ13)="","",INDEX(原始資料!AS$2:AS$501,$BJ13)))</f>
        <v/>
      </c>
      <c r="AR13" s="6">
        <f>IF(OR($BJ13="",43&gt;設定!$B$3),"",IF(INDEX(原始資料!AT$2:AT$501,$BJ13)="","",INDEX(原始資料!AT$2:AT$501,$BJ13)))</f>
        <v/>
      </c>
      <c r="AS13" s="6">
        <f>IF(OR($BJ13="",44&gt;設定!$B$3),"",IF(INDEX(原始資料!AU$2:AU$501,$BJ13)="","",INDEX(原始資料!AU$2:AU$501,$BJ13)))</f>
        <v/>
      </c>
      <c r="AT13" s="6">
        <f>IF(OR($BJ13="",45&gt;設定!$B$3),"",IF(INDEX(原始資料!AV$2:AV$501,$BJ13)="","",INDEX(原始資料!AV$2:AV$501,$BJ13)))</f>
        <v/>
      </c>
      <c r="AU13" s="6">
        <f>IF(OR($BJ13="",46&gt;設定!$B$3),"",IF(INDEX(原始資料!AW$2:AW$501,$BJ13)="","",INDEX(原始資料!AW$2:AW$501,$BJ13)))</f>
        <v/>
      </c>
      <c r="AV13" s="6">
        <f>IF(OR($BJ13="",47&gt;設定!$B$3),"",IF(INDEX(原始資料!AX$2:AX$501,$BJ13)="","",INDEX(原始資料!AX$2:AX$501,$BJ13)))</f>
        <v/>
      </c>
      <c r="AW13" s="6">
        <f>IF(OR($BJ13="",48&gt;設定!$B$3),"",IF(INDEX(原始資料!AY$2:AY$501,$BJ13)="","",INDEX(原始資料!AY$2:AY$501,$BJ13)))</f>
        <v/>
      </c>
      <c r="AX13" s="6">
        <f>IF(OR($BJ13="",49&gt;設定!$B$3),"",IF(INDEX(原始資料!AZ$2:AZ$501,$BJ13)="","",INDEX(原始資料!AZ$2:AZ$501,$BJ13)))</f>
        <v/>
      </c>
      <c r="AY13" s="6">
        <f>IF(OR($BJ13="",50&gt;設定!$B$3),"",IF(INDEX(原始資料!BA$2:BA$501,$BJ13)="","",INDEX(原始資料!BA$2:BA$501,$BJ13)))</f>
        <v/>
      </c>
      <c r="AZ13" s="6">
        <f>IF(OR($BJ13="",51&gt;設定!$B$3),"",IF(INDEX(原始資料!BB$2:BB$501,$BJ13)="","",INDEX(原始資料!BB$2:BB$501,$BJ13)))</f>
        <v/>
      </c>
      <c r="BA13" s="6">
        <f>IF(OR($BJ13="",52&gt;設定!$B$3),"",IF(INDEX(原始資料!BC$2:BC$501,$BJ13)="","",INDEX(原始資料!BC$2:BC$501,$BJ13)))</f>
        <v/>
      </c>
      <c r="BB13" s="6">
        <f>IF(OR($BJ13="",53&gt;設定!$B$3),"",IF(INDEX(原始資料!BD$2:BD$501,$BJ13)="","",INDEX(原始資料!BD$2:BD$501,$BJ13)))</f>
        <v/>
      </c>
      <c r="BC13" s="6">
        <f>IF(OR($BJ13="",54&gt;設定!$B$3),"",IF(INDEX(原始資料!BE$2:BE$501,$BJ13)="","",INDEX(原始資料!BE$2:BE$501,$BJ13)))</f>
        <v/>
      </c>
      <c r="BD13" s="6">
        <f>IF(OR($BJ13="",55&gt;設定!$B$3),"",IF(INDEX(原始資料!BF$2:BF$501,$BJ13)="","",INDEX(原始資料!BF$2:BF$501,$BJ13)))</f>
        <v/>
      </c>
      <c r="BE13" s="6">
        <f>IF(OR($BJ13="",56&gt;設定!$B$3),"",IF(INDEX(原始資料!BG$2:BG$501,$BJ13)="","",INDEX(原始資料!BG$2:BG$501,$BJ13)))</f>
        <v/>
      </c>
      <c r="BF13" s="6">
        <f>IF(OR($BJ13="",57&gt;設定!$B$3),"",IF(INDEX(原始資料!BH$2:BH$501,$BJ13)="","",INDEX(原始資料!BH$2:BH$501,$BJ13)))</f>
        <v/>
      </c>
      <c r="BG13" s="6">
        <f>IF(OR($BJ13="",58&gt;設定!$B$3),"",IF(INDEX(原始資料!BI$2:BI$501,$BJ13)="","",INDEX(原始資料!BI$2:BI$501,$BJ13)))</f>
        <v/>
      </c>
      <c r="BH13" s="6">
        <f>IF(OR($BJ13="",59&gt;設定!$B$3),"",IF(INDEX(原始資料!BJ$2:BJ$501,$BJ13)="","",INDEX(原始資料!BJ$2:BJ$501,$BJ13)))</f>
        <v/>
      </c>
      <c r="BI13" s="6">
        <f>IF(OR($BJ13="",60&gt;設定!$B$3),"",IF(INDEX(原始資料!BK$2:BK$501,$BJ13)="","",INDEX(原始資料!BK$2:BK$501,$BJ13)))</f>
        <v/>
      </c>
      <c r="BJ13" s="6">
        <f>IFERROR(MATCH(ROW()-1,判定!$H$2:$H$501,0),"")</f>
        <v/>
      </c>
    </row>
    <row r="14">
      <c r="A14" s="6">
        <f>IF($BJ14="","",INDEX(原始資料!$A$2:$A$501,$BJ14))</f>
        <v/>
      </c>
      <c r="B14" s="6">
        <f>IF(OR($BJ14="",1&gt;設定!$B$3),"",IF(INDEX(原始資料!D$2:D$501,$BJ14)="","",INDEX(原始資料!D$2:D$501,$BJ14)))</f>
        <v/>
      </c>
      <c r="C14" s="6">
        <f>IF(OR($BJ14="",2&gt;設定!$B$3),"",IF(INDEX(原始資料!E$2:E$501,$BJ14)="","",INDEX(原始資料!E$2:E$501,$BJ14)))</f>
        <v/>
      </c>
      <c r="D14" s="6">
        <f>IF(OR($BJ14="",3&gt;設定!$B$3),"",IF(INDEX(原始資料!F$2:F$501,$BJ14)="","",INDEX(原始資料!F$2:F$501,$BJ14)))</f>
        <v/>
      </c>
      <c r="E14" s="6">
        <f>IF(OR($BJ14="",4&gt;設定!$B$3),"",IF(INDEX(原始資料!G$2:G$501,$BJ14)="","",INDEX(原始資料!G$2:G$501,$BJ14)))</f>
        <v/>
      </c>
      <c r="F14" s="6">
        <f>IF(OR($BJ14="",5&gt;設定!$B$3),"",IF(INDEX(原始資料!H$2:H$501,$BJ14)="","",INDEX(原始資料!H$2:H$501,$BJ14)))</f>
        <v/>
      </c>
      <c r="G14" s="6">
        <f>IF(OR($BJ14="",6&gt;設定!$B$3),"",IF(INDEX(原始資料!I$2:I$501,$BJ14)="","",INDEX(原始資料!I$2:I$501,$BJ14)))</f>
        <v/>
      </c>
      <c r="H14" s="6">
        <f>IF(OR($BJ14="",7&gt;設定!$B$3),"",IF(INDEX(原始資料!J$2:J$501,$BJ14)="","",INDEX(原始資料!J$2:J$501,$BJ14)))</f>
        <v/>
      </c>
      <c r="I14" s="6">
        <f>IF(OR($BJ14="",8&gt;設定!$B$3),"",IF(INDEX(原始資料!K$2:K$501,$BJ14)="","",INDEX(原始資料!K$2:K$501,$BJ14)))</f>
        <v/>
      </c>
      <c r="J14" s="6">
        <f>IF(OR($BJ14="",9&gt;設定!$B$3),"",IF(INDEX(原始資料!L$2:L$501,$BJ14)="","",INDEX(原始資料!L$2:L$501,$BJ14)))</f>
        <v/>
      </c>
      <c r="K14" s="6">
        <f>IF(OR($BJ14="",10&gt;設定!$B$3),"",IF(INDEX(原始資料!M$2:M$501,$BJ14)="","",INDEX(原始資料!M$2:M$501,$BJ14)))</f>
        <v/>
      </c>
      <c r="L14" s="6">
        <f>IF(OR($BJ14="",11&gt;設定!$B$3),"",IF(INDEX(原始資料!N$2:N$501,$BJ14)="","",INDEX(原始資料!N$2:N$501,$BJ14)))</f>
        <v/>
      </c>
      <c r="M14" s="6">
        <f>IF(OR($BJ14="",12&gt;設定!$B$3),"",IF(INDEX(原始資料!O$2:O$501,$BJ14)="","",INDEX(原始資料!O$2:O$501,$BJ14)))</f>
        <v/>
      </c>
      <c r="N14" s="6">
        <f>IF(OR($BJ14="",13&gt;設定!$B$3),"",IF(INDEX(原始資料!P$2:P$501,$BJ14)="","",INDEX(原始資料!P$2:P$501,$BJ14)))</f>
        <v/>
      </c>
      <c r="O14" s="6">
        <f>IF(OR($BJ14="",14&gt;設定!$B$3),"",IF(INDEX(原始資料!Q$2:Q$501,$BJ14)="","",INDEX(原始資料!Q$2:Q$501,$BJ14)))</f>
        <v/>
      </c>
      <c r="P14" s="6">
        <f>IF(OR($BJ14="",15&gt;設定!$B$3),"",IF(INDEX(原始資料!R$2:R$501,$BJ14)="","",INDEX(原始資料!R$2:R$501,$BJ14)))</f>
        <v/>
      </c>
      <c r="Q14" s="6">
        <f>IF(OR($BJ14="",16&gt;設定!$B$3),"",IF(INDEX(原始資料!S$2:S$501,$BJ14)="","",INDEX(原始資料!S$2:S$501,$BJ14)))</f>
        <v/>
      </c>
      <c r="R14" s="6">
        <f>IF(OR($BJ14="",17&gt;設定!$B$3),"",IF(INDEX(原始資料!T$2:T$501,$BJ14)="","",INDEX(原始資料!T$2:T$501,$BJ14)))</f>
        <v/>
      </c>
      <c r="S14" s="6">
        <f>IF(OR($BJ14="",18&gt;設定!$B$3),"",IF(INDEX(原始資料!U$2:U$501,$BJ14)="","",INDEX(原始資料!U$2:U$501,$BJ14)))</f>
        <v/>
      </c>
      <c r="T14" s="6">
        <f>IF(OR($BJ14="",19&gt;設定!$B$3),"",IF(INDEX(原始資料!V$2:V$501,$BJ14)="","",INDEX(原始資料!V$2:V$501,$BJ14)))</f>
        <v/>
      </c>
      <c r="U14" s="6">
        <f>IF(OR($BJ14="",20&gt;設定!$B$3),"",IF(INDEX(原始資料!W$2:W$501,$BJ14)="","",INDEX(原始資料!W$2:W$501,$BJ14)))</f>
        <v/>
      </c>
      <c r="V14" s="6">
        <f>IF(OR($BJ14="",21&gt;設定!$B$3),"",IF(INDEX(原始資料!X$2:X$501,$BJ14)="","",INDEX(原始資料!X$2:X$501,$BJ14)))</f>
        <v/>
      </c>
      <c r="W14" s="6">
        <f>IF(OR($BJ14="",22&gt;設定!$B$3),"",IF(INDEX(原始資料!Y$2:Y$501,$BJ14)="","",INDEX(原始資料!Y$2:Y$501,$BJ14)))</f>
        <v/>
      </c>
      <c r="X14" s="6">
        <f>IF(OR($BJ14="",23&gt;設定!$B$3),"",IF(INDEX(原始資料!Z$2:Z$501,$BJ14)="","",INDEX(原始資料!Z$2:Z$501,$BJ14)))</f>
        <v/>
      </c>
      <c r="Y14" s="6">
        <f>IF(OR($BJ14="",24&gt;設定!$B$3),"",IF(INDEX(原始資料!AA$2:AA$501,$BJ14)="","",INDEX(原始資料!AA$2:AA$501,$BJ14)))</f>
        <v/>
      </c>
      <c r="Z14" s="6">
        <f>IF(OR($BJ14="",25&gt;設定!$B$3),"",IF(INDEX(原始資料!AB$2:AB$501,$BJ14)="","",INDEX(原始資料!AB$2:AB$501,$BJ14)))</f>
        <v/>
      </c>
      <c r="AA14" s="6">
        <f>IF(OR($BJ14="",26&gt;設定!$B$3),"",IF(INDEX(原始資料!AC$2:AC$501,$BJ14)="","",INDEX(原始資料!AC$2:AC$501,$BJ14)))</f>
        <v/>
      </c>
      <c r="AB14" s="6">
        <f>IF(OR($BJ14="",27&gt;設定!$B$3),"",IF(INDEX(原始資料!AD$2:AD$501,$BJ14)="","",INDEX(原始資料!AD$2:AD$501,$BJ14)))</f>
        <v/>
      </c>
      <c r="AC14" s="6">
        <f>IF(OR($BJ14="",28&gt;設定!$B$3),"",IF(INDEX(原始資料!AE$2:AE$501,$BJ14)="","",INDEX(原始資料!AE$2:AE$501,$BJ14)))</f>
        <v/>
      </c>
      <c r="AD14" s="6">
        <f>IF(OR($BJ14="",29&gt;設定!$B$3),"",IF(INDEX(原始資料!AF$2:AF$501,$BJ14)="","",INDEX(原始資料!AF$2:AF$501,$BJ14)))</f>
        <v/>
      </c>
      <c r="AE14" s="6">
        <f>IF(OR($BJ14="",30&gt;設定!$B$3),"",IF(INDEX(原始資料!AG$2:AG$501,$BJ14)="","",INDEX(原始資料!AG$2:AG$501,$BJ14)))</f>
        <v/>
      </c>
      <c r="AF14" s="6">
        <f>IF(OR($BJ14="",31&gt;設定!$B$3),"",IF(INDEX(原始資料!AH$2:AH$501,$BJ14)="","",INDEX(原始資料!AH$2:AH$501,$BJ14)))</f>
        <v/>
      </c>
      <c r="AG14" s="6">
        <f>IF(OR($BJ14="",32&gt;設定!$B$3),"",IF(INDEX(原始資料!AI$2:AI$501,$BJ14)="","",INDEX(原始資料!AI$2:AI$501,$BJ14)))</f>
        <v/>
      </c>
      <c r="AH14" s="6">
        <f>IF(OR($BJ14="",33&gt;設定!$B$3),"",IF(INDEX(原始資料!AJ$2:AJ$501,$BJ14)="","",INDEX(原始資料!AJ$2:AJ$501,$BJ14)))</f>
        <v/>
      </c>
      <c r="AI14" s="6">
        <f>IF(OR($BJ14="",34&gt;設定!$B$3),"",IF(INDEX(原始資料!AK$2:AK$501,$BJ14)="","",INDEX(原始資料!AK$2:AK$501,$BJ14)))</f>
        <v/>
      </c>
      <c r="AJ14" s="6">
        <f>IF(OR($BJ14="",35&gt;設定!$B$3),"",IF(INDEX(原始資料!AL$2:AL$501,$BJ14)="","",INDEX(原始資料!AL$2:AL$501,$BJ14)))</f>
        <v/>
      </c>
      <c r="AK14" s="6">
        <f>IF(OR($BJ14="",36&gt;設定!$B$3),"",IF(INDEX(原始資料!AM$2:AM$501,$BJ14)="","",INDEX(原始資料!AM$2:AM$501,$BJ14)))</f>
        <v/>
      </c>
      <c r="AL14" s="6">
        <f>IF(OR($BJ14="",37&gt;設定!$B$3),"",IF(INDEX(原始資料!AN$2:AN$501,$BJ14)="","",INDEX(原始資料!AN$2:AN$501,$BJ14)))</f>
        <v/>
      </c>
      <c r="AM14" s="6">
        <f>IF(OR($BJ14="",38&gt;設定!$B$3),"",IF(INDEX(原始資料!AO$2:AO$501,$BJ14)="","",INDEX(原始資料!AO$2:AO$501,$BJ14)))</f>
        <v/>
      </c>
      <c r="AN14" s="6">
        <f>IF(OR($BJ14="",39&gt;設定!$B$3),"",IF(INDEX(原始資料!AP$2:AP$501,$BJ14)="","",INDEX(原始資料!AP$2:AP$501,$BJ14)))</f>
        <v/>
      </c>
      <c r="AO14" s="6">
        <f>IF(OR($BJ14="",40&gt;設定!$B$3),"",IF(INDEX(原始資料!AQ$2:AQ$501,$BJ14)="","",INDEX(原始資料!AQ$2:AQ$501,$BJ14)))</f>
        <v/>
      </c>
      <c r="AP14" s="6">
        <f>IF(OR($BJ14="",41&gt;設定!$B$3),"",IF(INDEX(原始資料!AR$2:AR$501,$BJ14)="","",INDEX(原始資料!AR$2:AR$501,$BJ14)))</f>
        <v/>
      </c>
      <c r="AQ14" s="6">
        <f>IF(OR($BJ14="",42&gt;設定!$B$3),"",IF(INDEX(原始資料!AS$2:AS$501,$BJ14)="","",INDEX(原始資料!AS$2:AS$501,$BJ14)))</f>
        <v/>
      </c>
      <c r="AR14" s="6">
        <f>IF(OR($BJ14="",43&gt;設定!$B$3),"",IF(INDEX(原始資料!AT$2:AT$501,$BJ14)="","",INDEX(原始資料!AT$2:AT$501,$BJ14)))</f>
        <v/>
      </c>
      <c r="AS14" s="6">
        <f>IF(OR($BJ14="",44&gt;設定!$B$3),"",IF(INDEX(原始資料!AU$2:AU$501,$BJ14)="","",INDEX(原始資料!AU$2:AU$501,$BJ14)))</f>
        <v/>
      </c>
      <c r="AT14" s="6">
        <f>IF(OR($BJ14="",45&gt;設定!$B$3),"",IF(INDEX(原始資料!AV$2:AV$501,$BJ14)="","",INDEX(原始資料!AV$2:AV$501,$BJ14)))</f>
        <v/>
      </c>
      <c r="AU14" s="6">
        <f>IF(OR($BJ14="",46&gt;設定!$B$3),"",IF(INDEX(原始資料!AW$2:AW$501,$BJ14)="","",INDEX(原始資料!AW$2:AW$501,$BJ14)))</f>
        <v/>
      </c>
      <c r="AV14" s="6">
        <f>IF(OR($BJ14="",47&gt;設定!$B$3),"",IF(INDEX(原始資料!AX$2:AX$501,$BJ14)="","",INDEX(原始資料!AX$2:AX$501,$BJ14)))</f>
        <v/>
      </c>
      <c r="AW14" s="6">
        <f>IF(OR($BJ14="",48&gt;設定!$B$3),"",IF(INDEX(原始資料!AY$2:AY$501,$BJ14)="","",INDEX(原始資料!AY$2:AY$501,$BJ14)))</f>
        <v/>
      </c>
      <c r="AX14" s="6">
        <f>IF(OR($BJ14="",49&gt;設定!$B$3),"",IF(INDEX(原始資料!AZ$2:AZ$501,$BJ14)="","",INDEX(原始資料!AZ$2:AZ$501,$BJ14)))</f>
        <v/>
      </c>
      <c r="AY14" s="6">
        <f>IF(OR($BJ14="",50&gt;設定!$B$3),"",IF(INDEX(原始資料!BA$2:BA$501,$BJ14)="","",INDEX(原始資料!BA$2:BA$501,$BJ14)))</f>
        <v/>
      </c>
      <c r="AZ14" s="6">
        <f>IF(OR($BJ14="",51&gt;設定!$B$3),"",IF(INDEX(原始資料!BB$2:BB$501,$BJ14)="","",INDEX(原始資料!BB$2:BB$501,$BJ14)))</f>
        <v/>
      </c>
      <c r="BA14" s="6">
        <f>IF(OR($BJ14="",52&gt;設定!$B$3),"",IF(INDEX(原始資料!BC$2:BC$501,$BJ14)="","",INDEX(原始資料!BC$2:BC$501,$BJ14)))</f>
        <v/>
      </c>
      <c r="BB14" s="6">
        <f>IF(OR($BJ14="",53&gt;設定!$B$3),"",IF(INDEX(原始資料!BD$2:BD$501,$BJ14)="","",INDEX(原始資料!BD$2:BD$501,$BJ14)))</f>
        <v/>
      </c>
      <c r="BC14" s="6">
        <f>IF(OR($BJ14="",54&gt;設定!$B$3),"",IF(INDEX(原始資料!BE$2:BE$501,$BJ14)="","",INDEX(原始資料!BE$2:BE$501,$BJ14)))</f>
        <v/>
      </c>
      <c r="BD14" s="6">
        <f>IF(OR($BJ14="",55&gt;設定!$B$3),"",IF(INDEX(原始資料!BF$2:BF$501,$BJ14)="","",INDEX(原始資料!BF$2:BF$501,$BJ14)))</f>
        <v/>
      </c>
      <c r="BE14" s="6">
        <f>IF(OR($BJ14="",56&gt;設定!$B$3),"",IF(INDEX(原始資料!BG$2:BG$501,$BJ14)="","",INDEX(原始資料!BG$2:BG$501,$BJ14)))</f>
        <v/>
      </c>
      <c r="BF14" s="6">
        <f>IF(OR($BJ14="",57&gt;設定!$B$3),"",IF(INDEX(原始資料!BH$2:BH$501,$BJ14)="","",INDEX(原始資料!BH$2:BH$501,$BJ14)))</f>
        <v/>
      </c>
      <c r="BG14" s="6">
        <f>IF(OR($BJ14="",58&gt;設定!$B$3),"",IF(INDEX(原始資料!BI$2:BI$501,$BJ14)="","",INDEX(原始資料!BI$2:BI$501,$BJ14)))</f>
        <v/>
      </c>
      <c r="BH14" s="6">
        <f>IF(OR($BJ14="",59&gt;設定!$B$3),"",IF(INDEX(原始資料!BJ$2:BJ$501,$BJ14)="","",INDEX(原始資料!BJ$2:BJ$501,$BJ14)))</f>
        <v/>
      </c>
      <c r="BI14" s="6">
        <f>IF(OR($BJ14="",60&gt;設定!$B$3),"",IF(INDEX(原始資料!BK$2:BK$501,$BJ14)="","",INDEX(原始資料!BK$2:BK$501,$BJ14)))</f>
        <v/>
      </c>
      <c r="BJ14" s="6">
        <f>IFERROR(MATCH(ROW()-1,判定!$H$2:$H$501,0),"")</f>
        <v/>
      </c>
    </row>
    <row r="15">
      <c r="A15" s="6">
        <f>IF($BJ15="","",INDEX(原始資料!$A$2:$A$501,$BJ15))</f>
        <v/>
      </c>
      <c r="B15" s="6">
        <f>IF(OR($BJ15="",1&gt;設定!$B$3),"",IF(INDEX(原始資料!D$2:D$501,$BJ15)="","",INDEX(原始資料!D$2:D$501,$BJ15)))</f>
        <v/>
      </c>
      <c r="C15" s="6">
        <f>IF(OR($BJ15="",2&gt;設定!$B$3),"",IF(INDEX(原始資料!E$2:E$501,$BJ15)="","",INDEX(原始資料!E$2:E$501,$BJ15)))</f>
        <v/>
      </c>
      <c r="D15" s="6">
        <f>IF(OR($BJ15="",3&gt;設定!$B$3),"",IF(INDEX(原始資料!F$2:F$501,$BJ15)="","",INDEX(原始資料!F$2:F$501,$BJ15)))</f>
        <v/>
      </c>
      <c r="E15" s="6">
        <f>IF(OR($BJ15="",4&gt;設定!$B$3),"",IF(INDEX(原始資料!G$2:G$501,$BJ15)="","",INDEX(原始資料!G$2:G$501,$BJ15)))</f>
        <v/>
      </c>
      <c r="F15" s="6">
        <f>IF(OR($BJ15="",5&gt;設定!$B$3),"",IF(INDEX(原始資料!H$2:H$501,$BJ15)="","",INDEX(原始資料!H$2:H$501,$BJ15)))</f>
        <v/>
      </c>
      <c r="G15" s="6">
        <f>IF(OR($BJ15="",6&gt;設定!$B$3),"",IF(INDEX(原始資料!I$2:I$501,$BJ15)="","",INDEX(原始資料!I$2:I$501,$BJ15)))</f>
        <v/>
      </c>
      <c r="H15" s="6">
        <f>IF(OR($BJ15="",7&gt;設定!$B$3),"",IF(INDEX(原始資料!J$2:J$501,$BJ15)="","",INDEX(原始資料!J$2:J$501,$BJ15)))</f>
        <v/>
      </c>
      <c r="I15" s="6">
        <f>IF(OR($BJ15="",8&gt;設定!$B$3),"",IF(INDEX(原始資料!K$2:K$501,$BJ15)="","",INDEX(原始資料!K$2:K$501,$BJ15)))</f>
        <v/>
      </c>
      <c r="J15" s="6">
        <f>IF(OR($BJ15="",9&gt;設定!$B$3),"",IF(INDEX(原始資料!L$2:L$501,$BJ15)="","",INDEX(原始資料!L$2:L$501,$BJ15)))</f>
        <v/>
      </c>
      <c r="K15" s="6">
        <f>IF(OR($BJ15="",10&gt;設定!$B$3),"",IF(INDEX(原始資料!M$2:M$501,$BJ15)="","",INDEX(原始資料!M$2:M$501,$BJ15)))</f>
        <v/>
      </c>
      <c r="L15" s="6">
        <f>IF(OR($BJ15="",11&gt;設定!$B$3),"",IF(INDEX(原始資料!N$2:N$501,$BJ15)="","",INDEX(原始資料!N$2:N$501,$BJ15)))</f>
        <v/>
      </c>
      <c r="M15" s="6">
        <f>IF(OR($BJ15="",12&gt;設定!$B$3),"",IF(INDEX(原始資料!O$2:O$501,$BJ15)="","",INDEX(原始資料!O$2:O$501,$BJ15)))</f>
        <v/>
      </c>
      <c r="N15" s="6">
        <f>IF(OR($BJ15="",13&gt;設定!$B$3),"",IF(INDEX(原始資料!P$2:P$501,$BJ15)="","",INDEX(原始資料!P$2:P$501,$BJ15)))</f>
        <v/>
      </c>
      <c r="O15" s="6">
        <f>IF(OR($BJ15="",14&gt;設定!$B$3),"",IF(INDEX(原始資料!Q$2:Q$501,$BJ15)="","",INDEX(原始資料!Q$2:Q$501,$BJ15)))</f>
        <v/>
      </c>
      <c r="P15" s="6">
        <f>IF(OR($BJ15="",15&gt;設定!$B$3),"",IF(INDEX(原始資料!R$2:R$501,$BJ15)="","",INDEX(原始資料!R$2:R$501,$BJ15)))</f>
        <v/>
      </c>
      <c r="Q15" s="6">
        <f>IF(OR($BJ15="",16&gt;設定!$B$3),"",IF(INDEX(原始資料!S$2:S$501,$BJ15)="","",INDEX(原始資料!S$2:S$501,$BJ15)))</f>
        <v/>
      </c>
      <c r="R15" s="6">
        <f>IF(OR($BJ15="",17&gt;設定!$B$3),"",IF(INDEX(原始資料!T$2:T$501,$BJ15)="","",INDEX(原始資料!T$2:T$501,$BJ15)))</f>
        <v/>
      </c>
      <c r="S15" s="6">
        <f>IF(OR($BJ15="",18&gt;設定!$B$3),"",IF(INDEX(原始資料!U$2:U$501,$BJ15)="","",INDEX(原始資料!U$2:U$501,$BJ15)))</f>
        <v/>
      </c>
      <c r="T15" s="6">
        <f>IF(OR($BJ15="",19&gt;設定!$B$3),"",IF(INDEX(原始資料!V$2:V$501,$BJ15)="","",INDEX(原始資料!V$2:V$501,$BJ15)))</f>
        <v/>
      </c>
      <c r="U15" s="6">
        <f>IF(OR($BJ15="",20&gt;設定!$B$3),"",IF(INDEX(原始資料!W$2:W$501,$BJ15)="","",INDEX(原始資料!W$2:W$501,$BJ15)))</f>
        <v/>
      </c>
      <c r="V15" s="6">
        <f>IF(OR($BJ15="",21&gt;設定!$B$3),"",IF(INDEX(原始資料!X$2:X$501,$BJ15)="","",INDEX(原始資料!X$2:X$501,$BJ15)))</f>
        <v/>
      </c>
      <c r="W15" s="6">
        <f>IF(OR($BJ15="",22&gt;設定!$B$3),"",IF(INDEX(原始資料!Y$2:Y$501,$BJ15)="","",INDEX(原始資料!Y$2:Y$501,$BJ15)))</f>
        <v/>
      </c>
      <c r="X15" s="6">
        <f>IF(OR($BJ15="",23&gt;設定!$B$3),"",IF(INDEX(原始資料!Z$2:Z$501,$BJ15)="","",INDEX(原始資料!Z$2:Z$501,$BJ15)))</f>
        <v/>
      </c>
      <c r="Y15" s="6">
        <f>IF(OR($BJ15="",24&gt;設定!$B$3),"",IF(INDEX(原始資料!AA$2:AA$501,$BJ15)="","",INDEX(原始資料!AA$2:AA$501,$BJ15)))</f>
        <v/>
      </c>
      <c r="Z15" s="6">
        <f>IF(OR($BJ15="",25&gt;設定!$B$3),"",IF(INDEX(原始資料!AB$2:AB$501,$BJ15)="","",INDEX(原始資料!AB$2:AB$501,$BJ15)))</f>
        <v/>
      </c>
      <c r="AA15" s="6">
        <f>IF(OR($BJ15="",26&gt;設定!$B$3),"",IF(INDEX(原始資料!AC$2:AC$501,$BJ15)="","",INDEX(原始資料!AC$2:AC$501,$BJ15)))</f>
        <v/>
      </c>
      <c r="AB15" s="6">
        <f>IF(OR($BJ15="",27&gt;設定!$B$3),"",IF(INDEX(原始資料!AD$2:AD$501,$BJ15)="","",INDEX(原始資料!AD$2:AD$501,$BJ15)))</f>
        <v/>
      </c>
      <c r="AC15" s="6">
        <f>IF(OR($BJ15="",28&gt;設定!$B$3),"",IF(INDEX(原始資料!AE$2:AE$501,$BJ15)="","",INDEX(原始資料!AE$2:AE$501,$BJ15)))</f>
        <v/>
      </c>
      <c r="AD15" s="6">
        <f>IF(OR($BJ15="",29&gt;設定!$B$3),"",IF(INDEX(原始資料!AF$2:AF$501,$BJ15)="","",INDEX(原始資料!AF$2:AF$501,$BJ15)))</f>
        <v/>
      </c>
      <c r="AE15" s="6">
        <f>IF(OR($BJ15="",30&gt;設定!$B$3),"",IF(INDEX(原始資料!AG$2:AG$501,$BJ15)="","",INDEX(原始資料!AG$2:AG$501,$BJ15)))</f>
        <v/>
      </c>
      <c r="AF15" s="6">
        <f>IF(OR($BJ15="",31&gt;設定!$B$3),"",IF(INDEX(原始資料!AH$2:AH$501,$BJ15)="","",INDEX(原始資料!AH$2:AH$501,$BJ15)))</f>
        <v/>
      </c>
      <c r="AG15" s="6">
        <f>IF(OR($BJ15="",32&gt;設定!$B$3),"",IF(INDEX(原始資料!AI$2:AI$501,$BJ15)="","",INDEX(原始資料!AI$2:AI$501,$BJ15)))</f>
        <v/>
      </c>
      <c r="AH15" s="6">
        <f>IF(OR($BJ15="",33&gt;設定!$B$3),"",IF(INDEX(原始資料!AJ$2:AJ$501,$BJ15)="","",INDEX(原始資料!AJ$2:AJ$501,$BJ15)))</f>
        <v/>
      </c>
      <c r="AI15" s="6">
        <f>IF(OR($BJ15="",34&gt;設定!$B$3),"",IF(INDEX(原始資料!AK$2:AK$501,$BJ15)="","",INDEX(原始資料!AK$2:AK$501,$BJ15)))</f>
        <v/>
      </c>
      <c r="AJ15" s="6">
        <f>IF(OR($BJ15="",35&gt;設定!$B$3),"",IF(INDEX(原始資料!AL$2:AL$501,$BJ15)="","",INDEX(原始資料!AL$2:AL$501,$BJ15)))</f>
        <v/>
      </c>
      <c r="AK15" s="6">
        <f>IF(OR($BJ15="",36&gt;設定!$B$3),"",IF(INDEX(原始資料!AM$2:AM$501,$BJ15)="","",INDEX(原始資料!AM$2:AM$501,$BJ15)))</f>
        <v/>
      </c>
      <c r="AL15" s="6">
        <f>IF(OR($BJ15="",37&gt;設定!$B$3),"",IF(INDEX(原始資料!AN$2:AN$501,$BJ15)="","",INDEX(原始資料!AN$2:AN$501,$BJ15)))</f>
        <v/>
      </c>
      <c r="AM15" s="6">
        <f>IF(OR($BJ15="",38&gt;設定!$B$3),"",IF(INDEX(原始資料!AO$2:AO$501,$BJ15)="","",INDEX(原始資料!AO$2:AO$501,$BJ15)))</f>
        <v/>
      </c>
      <c r="AN15" s="6">
        <f>IF(OR($BJ15="",39&gt;設定!$B$3),"",IF(INDEX(原始資料!AP$2:AP$501,$BJ15)="","",INDEX(原始資料!AP$2:AP$501,$BJ15)))</f>
        <v/>
      </c>
      <c r="AO15" s="6">
        <f>IF(OR($BJ15="",40&gt;設定!$B$3),"",IF(INDEX(原始資料!AQ$2:AQ$501,$BJ15)="","",INDEX(原始資料!AQ$2:AQ$501,$BJ15)))</f>
        <v/>
      </c>
      <c r="AP15" s="6">
        <f>IF(OR($BJ15="",41&gt;設定!$B$3),"",IF(INDEX(原始資料!AR$2:AR$501,$BJ15)="","",INDEX(原始資料!AR$2:AR$501,$BJ15)))</f>
        <v/>
      </c>
      <c r="AQ15" s="6">
        <f>IF(OR($BJ15="",42&gt;設定!$B$3),"",IF(INDEX(原始資料!AS$2:AS$501,$BJ15)="","",INDEX(原始資料!AS$2:AS$501,$BJ15)))</f>
        <v/>
      </c>
      <c r="AR15" s="6">
        <f>IF(OR($BJ15="",43&gt;設定!$B$3),"",IF(INDEX(原始資料!AT$2:AT$501,$BJ15)="","",INDEX(原始資料!AT$2:AT$501,$BJ15)))</f>
        <v/>
      </c>
      <c r="AS15" s="6">
        <f>IF(OR($BJ15="",44&gt;設定!$B$3),"",IF(INDEX(原始資料!AU$2:AU$501,$BJ15)="","",INDEX(原始資料!AU$2:AU$501,$BJ15)))</f>
        <v/>
      </c>
      <c r="AT15" s="6">
        <f>IF(OR($BJ15="",45&gt;設定!$B$3),"",IF(INDEX(原始資料!AV$2:AV$501,$BJ15)="","",INDEX(原始資料!AV$2:AV$501,$BJ15)))</f>
        <v/>
      </c>
      <c r="AU15" s="6">
        <f>IF(OR($BJ15="",46&gt;設定!$B$3),"",IF(INDEX(原始資料!AW$2:AW$501,$BJ15)="","",INDEX(原始資料!AW$2:AW$501,$BJ15)))</f>
        <v/>
      </c>
      <c r="AV15" s="6">
        <f>IF(OR($BJ15="",47&gt;設定!$B$3),"",IF(INDEX(原始資料!AX$2:AX$501,$BJ15)="","",INDEX(原始資料!AX$2:AX$501,$BJ15)))</f>
        <v/>
      </c>
      <c r="AW15" s="6">
        <f>IF(OR($BJ15="",48&gt;設定!$B$3),"",IF(INDEX(原始資料!AY$2:AY$501,$BJ15)="","",INDEX(原始資料!AY$2:AY$501,$BJ15)))</f>
        <v/>
      </c>
      <c r="AX15" s="6">
        <f>IF(OR($BJ15="",49&gt;設定!$B$3),"",IF(INDEX(原始資料!AZ$2:AZ$501,$BJ15)="","",INDEX(原始資料!AZ$2:AZ$501,$BJ15)))</f>
        <v/>
      </c>
      <c r="AY15" s="6">
        <f>IF(OR($BJ15="",50&gt;設定!$B$3),"",IF(INDEX(原始資料!BA$2:BA$501,$BJ15)="","",INDEX(原始資料!BA$2:BA$501,$BJ15)))</f>
        <v/>
      </c>
      <c r="AZ15" s="6">
        <f>IF(OR($BJ15="",51&gt;設定!$B$3),"",IF(INDEX(原始資料!BB$2:BB$501,$BJ15)="","",INDEX(原始資料!BB$2:BB$501,$BJ15)))</f>
        <v/>
      </c>
      <c r="BA15" s="6">
        <f>IF(OR($BJ15="",52&gt;設定!$B$3),"",IF(INDEX(原始資料!BC$2:BC$501,$BJ15)="","",INDEX(原始資料!BC$2:BC$501,$BJ15)))</f>
        <v/>
      </c>
      <c r="BB15" s="6">
        <f>IF(OR($BJ15="",53&gt;設定!$B$3),"",IF(INDEX(原始資料!BD$2:BD$501,$BJ15)="","",INDEX(原始資料!BD$2:BD$501,$BJ15)))</f>
        <v/>
      </c>
      <c r="BC15" s="6">
        <f>IF(OR($BJ15="",54&gt;設定!$B$3),"",IF(INDEX(原始資料!BE$2:BE$501,$BJ15)="","",INDEX(原始資料!BE$2:BE$501,$BJ15)))</f>
        <v/>
      </c>
      <c r="BD15" s="6">
        <f>IF(OR($BJ15="",55&gt;設定!$B$3),"",IF(INDEX(原始資料!BF$2:BF$501,$BJ15)="","",INDEX(原始資料!BF$2:BF$501,$BJ15)))</f>
        <v/>
      </c>
      <c r="BE15" s="6">
        <f>IF(OR($BJ15="",56&gt;設定!$B$3),"",IF(INDEX(原始資料!BG$2:BG$501,$BJ15)="","",INDEX(原始資料!BG$2:BG$501,$BJ15)))</f>
        <v/>
      </c>
      <c r="BF15" s="6">
        <f>IF(OR($BJ15="",57&gt;設定!$B$3),"",IF(INDEX(原始資料!BH$2:BH$501,$BJ15)="","",INDEX(原始資料!BH$2:BH$501,$BJ15)))</f>
        <v/>
      </c>
      <c r="BG15" s="6">
        <f>IF(OR($BJ15="",58&gt;設定!$B$3),"",IF(INDEX(原始資料!BI$2:BI$501,$BJ15)="","",INDEX(原始資料!BI$2:BI$501,$BJ15)))</f>
        <v/>
      </c>
      <c r="BH15" s="6">
        <f>IF(OR($BJ15="",59&gt;設定!$B$3),"",IF(INDEX(原始資料!BJ$2:BJ$501,$BJ15)="","",INDEX(原始資料!BJ$2:BJ$501,$BJ15)))</f>
        <v/>
      </c>
      <c r="BI15" s="6">
        <f>IF(OR($BJ15="",60&gt;設定!$B$3),"",IF(INDEX(原始資料!BK$2:BK$501,$BJ15)="","",INDEX(原始資料!BK$2:BK$501,$BJ15)))</f>
        <v/>
      </c>
      <c r="BJ15" s="6">
        <f>IFERROR(MATCH(ROW()-1,判定!$H$2:$H$501,0),"")</f>
        <v/>
      </c>
    </row>
    <row r="16">
      <c r="A16" s="6">
        <f>IF($BJ16="","",INDEX(原始資料!$A$2:$A$501,$BJ16))</f>
        <v/>
      </c>
      <c r="B16" s="6">
        <f>IF(OR($BJ16="",1&gt;設定!$B$3),"",IF(INDEX(原始資料!D$2:D$501,$BJ16)="","",INDEX(原始資料!D$2:D$501,$BJ16)))</f>
        <v/>
      </c>
      <c r="C16" s="6">
        <f>IF(OR($BJ16="",2&gt;設定!$B$3),"",IF(INDEX(原始資料!E$2:E$501,$BJ16)="","",INDEX(原始資料!E$2:E$501,$BJ16)))</f>
        <v/>
      </c>
      <c r="D16" s="6">
        <f>IF(OR($BJ16="",3&gt;設定!$B$3),"",IF(INDEX(原始資料!F$2:F$501,$BJ16)="","",INDEX(原始資料!F$2:F$501,$BJ16)))</f>
        <v/>
      </c>
      <c r="E16" s="6">
        <f>IF(OR($BJ16="",4&gt;設定!$B$3),"",IF(INDEX(原始資料!G$2:G$501,$BJ16)="","",INDEX(原始資料!G$2:G$501,$BJ16)))</f>
        <v/>
      </c>
      <c r="F16" s="6">
        <f>IF(OR($BJ16="",5&gt;設定!$B$3),"",IF(INDEX(原始資料!H$2:H$501,$BJ16)="","",INDEX(原始資料!H$2:H$501,$BJ16)))</f>
        <v/>
      </c>
      <c r="G16" s="6">
        <f>IF(OR($BJ16="",6&gt;設定!$B$3),"",IF(INDEX(原始資料!I$2:I$501,$BJ16)="","",INDEX(原始資料!I$2:I$501,$BJ16)))</f>
        <v/>
      </c>
      <c r="H16" s="6">
        <f>IF(OR($BJ16="",7&gt;設定!$B$3),"",IF(INDEX(原始資料!J$2:J$501,$BJ16)="","",INDEX(原始資料!J$2:J$501,$BJ16)))</f>
        <v/>
      </c>
      <c r="I16" s="6">
        <f>IF(OR($BJ16="",8&gt;設定!$B$3),"",IF(INDEX(原始資料!K$2:K$501,$BJ16)="","",INDEX(原始資料!K$2:K$501,$BJ16)))</f>
        <v/>
      </c>
      <c r="J16" s="6">
        <f>IF(OR($BJ16="",9&gt;設定!$B$3),"",IF(INDEX(原始資料!L$2:L$501,$BJ16)="","",INDEX(原始資料!L$2:L$501,$BJ16)))</f>
        <v/>
      </c>
      <c r="K16" s="6">
        <f>IF(OR($BJ16="",10&gt;設定!$B$3),"",IF(INDEX(原始資料!M$2:M$501,$BJ16)="","",INDEX(原始資料!M$2:M$501,$BJ16)))</f>
        <v/>
      </c>
      <c r="L16" s="6">
        <f>IF(OR($BJ16="",11&gt;設定!$B$3),"",IF(INDEX(原始資料!N$2:N$501,$BJ16)="","",INDEX(原始資料!N$2:N$501,$BJ16)))</f>
        <v/>
      </c>
      <c r="M16" s="6">
        <f>IF(OR($BJ16="",12&gt;設定!$B$3),"",IF(INDEX(原始資料!O$2:O$501,$BJ16)="","",INDEX(原始資料!O$2:O$501,$BJ16)))</f>
        <v/>
      </c>
      <c r="N16" s="6">
        <f>IF(OR($BJ16="",13&gt;設定!$B$3),"",IF(INDEX(原始資料!P$2:P$501,$BJ16)="","",INDEX(原始資料!P$2:P$501,$BJ16)))</f>
        <v/>
      </c>
      <c r="O16" s="6">
        <f>IF(OR($BJ16="",14&gt;設定!$B$3),"",IF(INDEX(原始資料!Q$2:Q$501,$BJ16)="","",INDEX(原始資料!Q$2:Q$501,$BJ16)))</f>
        <v/>
      </c>
      <c r="P16" s="6">
        <f>IF(OR($BJ16="",15&gt;設定!$B$3),"",IF(INDEX(原始資料!R$2:R$501,$BJ16)="","",INDEX(原始資料!R$2:R$501,$BJ16)))</f>
        <v/>
      </c>
      <c r="Q16" s="6">
        <f>IF(OR($BJ16="",16&gt;設定!$B$3),"",IF(INDEX(原始資料!S$2:S$501,$BJ16)="","",INDEX(原始資料!S$2:S$501,$BJ16)))</f>
        <v/>
      </c>
      <c r="R16" s="6">
        <f>IF(OR($BJ16="",17&gt;設定!$B$3),"",IF(INDEX(原始資料!T$2:T$501,$BJ16)="","",INDEX(原始資料!T$2:T$501,$BJ16)))</f>
        <v/>
      </c>
      <c r="S16" s="6">
        <f>IF(OR($BJ16="",18&gt;設定!$B$3),"",IF(INDEX(原始資料!U$2:U$501,$BJ16)="","",INDEX(原始資料!U$2:U$501,$BJ16)))</f>
        <v/>
      </c>
      <c r="T16" s="6">
        <f>IF(OR($BJ16="",19&gt;設定!$B$3),"",IF(INDEX(原始資料!V$2:V$501,$BJ16)="","",INDEX(原始資料!V$2:V$501,$BJ16)))</f>
        <v/>
      </c>
      <c r="U16" s="6">
        <f>IF(OR($BJ16="",20&gt;設定!$B$3),"",IF(INDEX(原始資料!W$2:W$501,$BJ16)="","",INDEX(原始資料!W$2:W$501,$BJ16)))</f>
        <v/>
      </c>
      <c r="V16" s="6">
        <f>IF(OR($BJ16="",21&gt;設定!$B$3),"",IF(INDEX(原始資料!X$2:X$501,$BJ16)="","",INDEX(原始資料!X$2:X$501,$BJ16)))</f>
        <v/>
      </c>
      <c r="W16" s="6">
        <f>IF(OR($BJ16="",22&gt;設定!$B$3),"",IF(INDEX(原始資料!Y$2:Y$501,$BJ16)="","",INDEX(原始資料!Y$2:Y$501,$BJ16)))</f>
        <v/>
      </c>
      <c r="X16" s="6">
        <f>IF(OR($BJ16="",23&gt;設定!$B$3),"",IF(INDEX(原始資料!Z$2:Z$501,$BJ16)="","",INDEX(原始資料!Z$2:Z$501,$BJ16)))</f>
        <v/>
      </c>
      <c r="Y16" s="6">
        <f>IF(OR($BJ16="",24&gt;設定!$B$3),"",IF(INDEX(原始資料!AA$2:AA$501,$BJ16)="","",INDEX(原始資料!AA$2:AA$501,$BJ16)))</f>
        <v/>
      </c>
      <c r="Z16" s="6">
        <f>IF(OR($BJ16="",25&gt;設定!$B$3),"",IF(INDEX(原始資料!AB$2:AB$501,$BJ16)="","",INDEX(原始資料!AB$2:AB$501,$BJ16)))</f>
        <v/>
      </c>
      <c r="AA16" s="6">
        <f>IF(OR($BJ16="",26&gt;設定!$B$3),"",IF(INDEX(原始資料!AC$2:AC$501,$BJ16)="","",INDEX(原始資料!AC$2:AC$501,$BJ16)))</f>
        <v/>
      </c>
      <c r="AB16" s="6">
        <f>IF(OR($BJ16="",27&gt;設定!$B$3),"",IF(INDEX(原始資料!AD$2:AD$501,$BJ16)="","",INDEX(原始資料!AD$2:AD$501,$BJ16)))</f>
        <v/>
      </c>
      <c r="AC16" s="6">
        <f>IF(OR($BJ16="",28&gt;設定!$B$3),"",IF(INDEX(原始資料!AE$2:AE$501,$BJ16)="","",INDEX(原始資料!AE$2:AE$501,$BJ16)))</f>
        <v/>
      </c>
      <c r="AD16" s="6">
        <f>IF(OR($BJ16="",29&gt;設定!$B$3),"",IF(INDEX(原始資料!AF$2:AF$501,$BJ16)="","",INDEX(原始資料!AF$2:AF$501,$BJ16)))</f>
        <v/>
      </c>
      <c r="AE16" s="6">
        <f>IF(OR($BJ16="",30&gt;設定!$B$3),"",IF(INDEX(原始資料!AG$2:AG$501,$BJ16)="","",INDEX(原始資料!AG$2:AG$501,$BJ16)))</f>
        <v/>
      </c>
      <c r="AF16" s="6">
        <f>IF(OR($BJ16="",31&gt;設定!$B$3),"",IF(INDEX(原始資料!AH$2:AH$501,$BJ16)="","",INDEX(原始資料!AH$2:AH$501,$BJ16)))</f>
        <v/>
      </c>
      <c r="AG16" s="6">
        <f>IF(OR($BJ16="",32&gt;設定!$B$3),"",IF(INDEX(原始資料!AI$2:AI$501,$BJ16)="","",INDEX(原始資料!AI$2:AI$501,$BJ16)))</f>
        <v/>
      </c>
      <c r="AH16" s="6">
        <f>IF(OR($BJ16="",33&gt;設定!$B$3),"",IF(INDEX(原始資料!AJ$2:AJ$501,$BJ16)="","",INDEX(原始資料!AJ$2:AJ$501,$BJ16)))</f>
        <v/>
      </c>
      <c r="AI16" s="6">
        <f>IF(OR($BJ16="",34&gt;設定!$B$3),"",IF(INDEX(原始資料!AK$2:AK$501,$BJ16)="","",INDEX(原始資料!AK$2:AK$501,$BJ16)))</f>
        <v/>
      </c>
      <c r="AJ16" s="6">
        <f>IF(OR($BJ16="",35&gt;設定!$B$3),"",IF(INDEX(原始資料!AL$2:AL$501,$BJ16)="","",INDEX(原始資料!AL$2:AL$501,$BJ16)))</f>
        <v/>
      </c>
      <c r="AK16" s="6">
        <f>IF(OR($BJ16="",36&gt;設定!$B$3),"",IF(INDEX(原始資料!AM$2:AM$501,$BJ16)="","",INDEX(原始資料!AM$2:AM$501,$BJ16)))</f>
        <v/>
      </c>
      <c r="AL16" s="6">
        <f>IF(OR($BJ16="",37&gt;設定!$B$3),"",IF(INDEX(原始資料!AN$2:AN$501,$BJ16)="","",INDEX(原始資料!AN$2:AN$501,$BJ16)))</f>
        <v/>
      </c>
      <c r="AM16" s="6">
        <f>IF(OR($BJ16="",38&gt;設定!$B$3),"",IF(INDEX(原始資料!AO$2:AO$501,$BJ16)="","",INDEX(原始資料!AO$2:AO$501,$BJ16)))</f>
        <v/>
      </c>
      <c r="AN16" s="6">
        <f>IF(OR($BJ16="",39&gt;設定!$B$3),"",IF(INDEX(原始資料!AP$2:AP$501,$BJ16)="","",INDEX(原始資料!AP$2:AP$501,$BJ16)))</f>
        <v/>
      </c>
      <c r="AO16" s="6">
        <f>IF(OR($BJ16="",40&gt;設定!$B$3),"",IF(INDEX(原始資料!AQ$2:AQ$501,$BJ16)="","",INDEX(原始資料!AQ$2:AQ$501,$BJ16)))</f>
        <v/>
      </c>
      <c r="AP16" s="6">
        <f>IF(OR($BJ16="",41&gt;設定!$B$3),"",IF(INDEX(原始資料!AR$2:AR$501,$BJ16)="","",INDEX(原始資料!AR$2:AR$501,$BJ16)))</f>
        <v/>
      </c>
      <c r="AQ16" s="6">
        <f>IF(OR($BJ16="",42&gt;設定!$B$3),"",IF(INDEX(原始資料!AS$2:AS$501,$BJ16)="","",INDEX(原始資料!AS$2:AS$501,$BJ16)))</f>
        <v/>
      </c>
      <c r="AR16" s="6">
        <f>IF(OR($BJ16="",43&gt;設定!$B$3),"",IF(INDEX(原始資料!AT$2:AT$501,$BJ16)="","",INDEX(原始資料!AT$2:AT$501,$BJ16)))</f>
        <v/>
      </c>
      <c r="AS16" s="6">
        <f>IF(OR($BJ16="",44&gt;設定!$B$3),"",IF(INDEX(原始資料!AU$2:AU$501,$BJ16)="","",INDEX(原始資料!AU$2:AU$501,$BJ16)))</f>
        <v/>
      </c>
      <c r="AT16" s="6">
        <f>IF(OR($BJ16="",45&gt;設定!$B$3),"",IF(INDEX(原始資料!AV$2:AV$501,$BJ16)="","",INDEX(原始資料!AV$2:AV$501,$BJ16)))</f>
        <v/>
      </c>
      <c r="AU16" s="6">
        <f>IF(OR($BJ16="",46&gt;設定!$B$3),"",IF(INDEX(原始資料!AW$2:AW$501,$BJ16)="","",INDEX(原始資料!AW$2:AW$501,$BJ16)))</f>
        <v/>
      </c>
      <c r="AV16" s="6">
        <f>IF(OR($BJ16="",47&gt;設定!$B$3),"",IF(INDEX(原始資料!AX$2:AX$501,$BJ16)="","",INDEX(原始資料!AX$2:AX$501,$BJ16)))</f>
        <v/>
      </c>
      <c r="AW16" s="6">
        <f>IF(OR($BJ16="",48&gt;設定!$B$3),"",IF(INDEX(原始資料!AY$2:AY$501,$BJ16)="","",INDEX(原始資料!AY$2:AY$501,$BJ16)))</f>
        <v/>
      </c>
      <c r="AX16" s="6">
        <f>IF(OR($BJ16="",49&gt;設定!$B$3),"",IF(INDEX(原始資料!AZ$2:AZ$501,$BJ16)="","",INDEX(原始資料!AZ$2:AZ$501,$BJ16)))</f>
        <v/>
      </c>
      <c r="AY16" s="6">
        <f>IF(OR($BJ16="",50&gt;設定!$B$3),"",IF(INDEX(原始資料!BA$2:BA$501,$BJ16)="","",INDEX(原始資料!BA$2:BA$501,$BJ16)))</f>
        <v/>
      </c>
      <c r="AZ16" s="6">
        <f>IF(OR($BJ16="",51&gt;設定!$B$3),"",IF(INDEX(原始資料!BB$2:BB$501,$BJ16)="","",INDEX(原始資料!BB$2:BB$501,$BJ16)))</f>
        <v/>
      </c>
      <c r="BA16" s="6">
        <f>IF(OR($BJ16="",52&gt;設定!$B$3),"",IF(INDEX(原始資料!BC$2:BC$501,$BJ16)="","",INDEX(原始資料!BC$2:BC$501,$BJ16)))</f>
        <v/>
      </c>
      <c r="BB16" s="6">
        <f>IF(OR($BJ16="",53&gt;設定!$B$3),"",IF(INDEX(原始資料!BD$2:BD$501,$BJ16)="","",INDEX(原始資料!BD$2:BD$501,$BJ16)))</f>
        <v/>
      </c>
      <c r="BC16" s="6">
        <f>IF(OR($BJ16="",54&gt;設定!$B$3),"",IF(INDEX(原始資料!BE$2:BE$501,$BJ16)="","",INDEX(原始資料!BE$2:BE$501,$BJ16)))</f>
        <v/>
      </c>
      <c r="BD16" s="6">
        <f>IF(OR($BJ16="",55&gt;設定!$B$3),"",IF(INDEX(原始資料!BF$2:BF$501,$BJ16)="","",INDEX(原始資料!BF$2:BF$501,$BJ16)))</f>
        <v/>
      </c>
      <c r="BE16" s="6">
        <f>IF(OR($BJ16="",56&gt;設定!$B$3),"",IF(INDEX(原始資料!BG$2:BG$501,$BJ16)="","",INDEX(原始資料!BG$2:BG$501,$BJ16)))</f>
        <v/>
      </c>
      <c r="BF16" s="6">
        <f>IF(OR($BJ16="",57&gt;設定!$B$3),"",IF(INDEX(原始資料!BH$2:BH$501,$BJ16)="","",INDEX(原始資料!BH$2:BH$501,$BJ16)))</f>
        <v/>
      </c>
      <c r="BG16" s="6">
        <f>IF(OR($BJ16="",58&gt;設定!$B$3),"",IF(INDEX(原始資料!BI$2:BI$501,$BJ16)="","",INDEX(原始資料!BI$2:BI$501,$BJ16)))</f>
        <v/>
      </c>
      <c r="BH16" s="6">
        <f>IF(OR($BJ16="",59&gt;設定!$B$3),"",IF(INDEX(原始資料!BJ$2:BJ$501,$BJ16)="","",INDEX(原始資料!BJ$2:BJ$501,$BJ16)))</f>
        <v/>
      </c>
      <c r="BI16" s="6">
        <f>IF(OR($BJ16="",60&gt;設定!$B$3),"",IF(INDEX(原始資料!BK$2:BK$501,$BJ16)="","",INDEX(原始資料!BK$2:BK$501,$BJ16)))</f>
        <v/>
      </c>
      <c r="BJ16" s="6">
        <f>IFERROR(MATCH(ROW()-1,判定!$H$2:$H$501,0),"")</f>
        <v/>
      </c>
    </row>
    <row r="17">
      <c r="A17" s="6">
        <f>IF($BJ17="","",INDEX(原始資料!$A$2:$A$501,$BJ17))</f>
        <v/>
      </c>
      <c r="B17" s="6">
        <f>IF(OR($BJ17="",1&gt;設定!$B$3),"",IF(INDEX(原始資料!D$2:D$501,$BJ17)="","",INDEX(原始資料!D$2:D$501,$BJ17)))</f>
        <v/>
      </c>
      <c r="C17" s="6">
        <f>IF(OR($BJ17="",2&gt;設定!$B$3),"",IF(INDEX(原始資料!E$2:E$501,$BJ17)="","",INDEX(原始資料!E$2:E$501,$BJ17)))</f>
        <v/>
      </c>
      <c r="D17" s="6">
        <f>IF(OR($BJ17="",3&gt;設定!$B$3),"",IF(INDEX(原始資料!F$2:F$501,$BJ17)="","",INDEX(原始資料!F$2:F$501,$BJ17)))</f>
        <v/>
      </c>
      <c r="E17" s="6">
        <f>IF(OR($BJ17="",4&gt;設定!$B$3),"",IF(INDEX(原始資料!G$2:G$501,$BJ17)="","",INDEX(原始資料!G$2:G$501,$BJ17)))</f>
        <v/>
      </c>
      <c r="F17" s="6">
        <f>IF(OR($BJ17="",5&gt;設定!$B$3),"",IF(INDEX(原始資料!H$2:H$501,$BJ17)="","",INDEX(原始資料!H$2:H$501,$BJ17)))</f>
        <v/>
      </c>
      <c r="G17" s="6">
        <f>IF(OR($BJ17="",6&gt;設定!$B$3),"",IF(INDEX(原始資料!I$2:I$501,$BJ17)="","",INDEX(原始資料!I$2:I$501,$BJ17)))</f>
        <v/>
      </c>
      <c r="H17" s="6">
        <f>IF(OR($BJ17="",7&gt;設定!$B$3),"",IF(INDEX(原始資料!J$2:J$501,$BJ17)="","",INDEX(原始資料!J$2:J$501,$BJ17)))</f>
        <v/>
      </c>
      <c r="I17" s="6">
        <f>IF(OR($BJ17="",8&gt;設定!$B$3),"",IF(INDEX(原始資料!K$2:K$501,$BJ17)="","",INDEX(原始資料!K$2:K$501,$BJ17)))</f>
        <v/>
      </c>
      <c r="J17" s="6">
        <f>IF(OR($BJ17="",9&gt;設定!$B$3),"",IF(INDEX(原始資料!L$2:L$501,$BJ17)="","",INDEX(原始資料!L$2:L$501,$BJ17)))</f>
        <v/>
      </c>
      <c r="K17" s="6">
        <f>IF(OR($BJ17="",10&gt;設定!$B$3),"",IF(INDEX(原始資料!M$2:M$501,$BJ17)="","",INDEX(原始資料!M$2:M$501,$BJ17)))</f>
        <v/>
      </c>
      <c r="L17" s="6">
        <f>IF(OR($BJ17="",11&gt;設定!$B$3),"",IF(INDEX(原始資料!N$2:N$501,$BJ17)="","",INDEX(原始資料!N$2:N$501,$BJ17)))</f>
        <v/>
      </c>
      <c r="M17" s="6">
        <f>IF(OR($BJ17="",12&gt;設定!$B$3),"",IF(INDEX(原始資料!O$2:O$501,$BJ17)="","",INDEX(原始資料!O$2:O$501,$BJ17)))</f>
        <v/>
      </c>
      <c r="N17" s="6">
        <f>IF(OR($BJ17="",13&gt;設定!$B$3),"",IF(INDEX(原始資料!P$2:P$501,$BJ17)="","",INDEX(原始資料!P$2:P$501,$BJ17)))</f>
        <v/>
      </c>
      <c r="O17" s="6">
        <f>IF(OR($BJ17="",14&gt;設定!$B$3),"",IF(INDEX(原始資料!Q$2:Q$501,$BJ17)="","",INDEX(原始資料!Q$2:Q$501,$BJ17)))</f>
        <v/>
      </c>
      <c r="P17" s="6">
        <f>IF(OR($BJ17="",15&gt;設定!$B$3),"",IF(INDEX(原始資料!R$2:R$501,$BJ17)="","",INDEX(原始資料!R$2:R$501,$BJ17)))</f>
        <v/>
      </c>
      <c r="Q17" s="6">
        <f>IF(OR($BJ17="",16&gt;設定!$B$3),"",IF(INDEX(原始資料!S$2:S$501,$BJ17)="","",INDEX(原始資料!S$2:S$501,$BJ17)))</f>
        <v/>
      </c>
      <c r="R17" s="6">
        <f>IF(OR($BJ17="",17&gt;設定!$B$3),"",IF(INDEX(原始資料!T$2:T$501,$BJ17)="","",INDEX(原始資料!T$2:T$501,$BJ17)))</f>
        <v/>
      </c>
      <c r="S17" s="6">
        <f>IF(OR($BJ17="",18&gt;設定!$B$3),"",IF(INDEX(原始資料!U$2:U$501,$BJ17)="","",INDEX(原始資料!U$2:U$501,$BJ17)))</f>
        <v/>
      </c>
      <c r="T17" s="6">
        <f>IF(OR($BJ17="",19&gt;設定!$B$3),"",IF(INDEX(原始資料!V$2:V$501,$BJ17)="","",INDEX(原始資料!V$2:V$501,$BJ17)))</f>
        <v/>
      </c>
      <c r="U17" s="6">
        <f>IF(OR($BJ17="",20&gt;設定!$B$3),"",IF(INDEX(原始資料!W$2:W$501,$BJ17)="","",INDEX(原始資料!W$2:W$501,$BJ17)))</f>
        <v/>
      </c>
      <c r="V17" s="6">
        <f>IF(OR($BJ17="",21&gt;設定!$B$3),"",IF(INDEX(原始資料!X$2:X$501,$BJ17)="","",INDEX(原始資料!X$2:X$501,$BJ17)))</f>
        <v/>
      </c>
      <c r="W17" s="6">
        <f>IF(OR($BJ17="",22&gt;設定!$B$3),"",IF(INDEX(原始資料!Y$2:Y$501,$BJ17)="","",INDEX(原始資料!Y$2:Y$501,$BJ17)))</f>
        <v/>
      </c>
      <c r="X17" s="6">
        <f>IF(OR($BJ17="",23&gt;設定!$B$3),"",IF(INDEX(原始資料!Z$2:Z$501,$BJ17)="","",INDEX(原始資料!Z$2:Z$501,$BJ17)))</f>
        <v/>
      </c>
      <c r="Y17" s="6">
        <f>IF(OR($BJ17="",24&gt;設定!$B$3),"",IF(INDEX(原始資料!AA$2:AA$501,$BJ17)="","",INDEX(原始資料!AA$2:AA$501,$BJ17)))</f>
        <v/>
      </c>
      <c r="Z17" s="6">
        <f>IF(OR($BJ17="",25&gt;設定!$B$3),"",IF(INDEX(原始資料!AB$2:AB$501,$BJ17)="","",INDEX(原始資料!AB$2:AB$501,$BJ17)))</f>
        <v/>
      </c>
      <c r="AA17" s="6">
        <f>IF(OR($BJ17="",26&gt;設定!$B$3),"",IF(INDEX(原始資料!AC$2:AC$501,$BJ17)="","",INDEX(原始資料!AC$2:AC$501,$BJ17)))</f>
        <v/>
      </c>
      <c r="AB17" s="6">
        <f>IF(OR($BJ17="",27&gt;設定!$B$3),"",IF(INDEX(原始資料!AD$2:AD$501,$BJ17)="","",INDEX(原始資料!AD$2:AD$501,$BJ17)))</f>
        <v/>
      </c>
      <c r="AC17" s="6">
        <f>IF(OR($BJ17="",28&gt;設定!$B$3),"",IF(INDEX(原始資料!AE$2:AE$501,$BJ17)="","",INDEX(原始資料!AE$2:AE$501,$BJ17)))</f>
        <v/>
      </c>
      <c r="AD17" s="6">
        <f>IF(OR($BJ17="",29&gt;設定!$B$3),"",IF(INDEX(原始資料!AF$2:AF$501,$BJ17)="","",INDEX(原始資料!AF$2:AF$501,$BJ17)))</f>
        <v/>
      </c>
      <c r="AE17" s="6">
        <f>IF(OR($BJ17="",30&gt;設定!$B$3),"",IF(INDEX(原始資料!AG$2:AG$501,$BJ17)="","",INDEX(原始資料!AG$2:AG$501,$BJ17)))</f>
        <v/>
      </c>
      <c r="AF17" s="6">
        <f>IF(OR($BJ17="",31&gt;設定!$B$3),"",IF(INDEX(原始資料!AH$2:AH$501,$BJ17)="","",INDEX(原始資料!AH$2:AH$501,$BJ17)))</f>
        <v/>
      </c>
      <c r="AG17" s="6">
        <f>IF(OR($BJ17="",32&gt;設定!$B$3),"",IF(INDEX(原始資料!AI$2:AI$501,$BJ17)="","",INDEX(原始資料!AI$2:AI$501,$BJ17)))</f>
        <v/>
      </c>
      <c r="AH17" s="6">
        <f>IF(OR($BJ17="",33&gt;設定!$B$3),"",IF(INDEX(原始資料!AJ$2:AJ$501,$BJ17)="","",INDEX(原始資料!AJ$2:AJ$501,$BJ17)))</f>
        <v/>
      </c>
      <c r="AI17" s="6">
        <f>IF(OR($BJ17="",34&gt;設定!$B$3),"",IF(INDEX(原始資料!AK$2:AK$501,$BJ17)="","",INDEX(原始資料!AK$2:AK$501,$BJ17)))</f>
        <v/>
      </c>
      <c r="AJ17" s="6">
        <f>IF(OR($BJ17="",35&gt;設定!$B$3),"",IF(INDEX(原始資料!AL$2:AL$501,$BJ17)="","",INDEX(原始資料!AL$2:AL$501,$BJ17)))</f>
        <v/>
      </c>
      <c r="AK17" s="6">
        <f>IF(OR($BJ17="",36&gt;設定!$B$3),"",IF(INDEX(原始資料!AM$2:AM$501,$BJ17)="","",INDEX(原始資料!AM$2:AM$501,$BJ17)))</f>
        <v/>
      </c>
      <c r="AL17" s="6">
        <f>IF(OR($BJ17="",37&gt;設定!$B$3),"",IF(INDEX(原始資料!AN$2:AN$501,$BJ17)="","",INDEX(原始資料!AN$2:AN$501,$BJ17)))</f>
        <v/>
      </c>
      <c r="AM17" s="6">
        <f>IF(OR($BJ17="",38&gt;設定!$B$3),"",IF(INDEX(原始資料!AO$2:AO$501,$BJ17)="","",INDEX(原始資料!AO$2:AO$501,$BJ17)))</f>
        <v/>
      </c>
      <c r="AN17" s="6">
        <f>IF(OR($BJ17="",39&gt;設定!$B$3),"",IF(INDEX(原始資料!AP$2:AP$501,$BJ17)="","",INDEX(原始資料!AP$2:AP$501,$BJ17)))</f>
        <v/>
      </c>
      <c r="AO17" s="6">
        <f>IF(OR($BJ17="",40&gt;設定!$B$3),"",IF(INDEX(原始資料!AQ$2:AQ$501,$BJ17)="","",INDEX(原始資料!AQ$2:AQ$501,$BJ17)))</f>
        <v/>
      </c>
      <c r="AP17" s="6">
        <f>IF(OR($BJ17="",41&gt;設定!$B$3),"",IF(INDEX(原始資料!AR$2:AR$501,$BJ17)="","",INDEX(原始資料!AR$2:AR$501,$BJ17)))</f>
        <v/>
      </c>
      <c r="AQ17" s="6">
        <f>IF(OR($BJ17="",42&gt;設定!$B$3),"",IF(INDEX(原始資料!AS$2:AS$501,$BJ17)="","",INDEX(原始資料!AS$2:AS$501,$BJ17)))</f>
        <v/>
      </c>
      <c r="AR17" s="6">
        <f>IF(OR($BJ17="",43&gt;設定!$B$3),"",IF(INDEX(原始資料!AT$2:AT$501,$BJ17)="","",INDEX(原始資料!AT$2:AT$501,$BJ17)))</f>
        <v/>
      </c>
      <c r="AS17" s="6">
        <f>IF(OR($BJ17="",44&gt;設定!$B$3),"",IF(INDEX(原始資料!AU$2:AU$501,$BJ17)="","",INDEX(原始資料!AU$2:AU$501,$BJ17)))</f>
        <v/>
      </c>
      <c r="AT17" s="6">
        <f>IF(OR($BJ17="",45&gt;設定!$B$3),"",IF(INDEX(原始資料!AV$2:AV$501,$BJ17)="","",INDEX(原始資料!AV$2:AV$501,$BJ17)))</f>
        <v/>
      </c>
      <c r="AU17" s="6">
        <f>IF(OR($BJ17="",46&gt;設定!$B$3),"",IF(INDEX(原始資料!AW$2:AW$501,$BJ17)="","",INDEX(原始資料!AW$2:AW$501,$BJ17)))</f>
        <v/>
      </c>
      <c r="AV17" s="6">
        <f>IF(OR($BJ17="",47&gt;設定!$B$3),"",IF(INDEX(原始資料!AX$2:AX$501,$BJ17)="","",INDEX(原始資料!AX$2:AX$501,$BJ17)))</f>
        <v/>
      </c>
      <c r="AW17" s="6">
        <f>IF(OR($BJ17="",48&gt;設定!$B$3),"",IF(INDEX(原始資料!AY$2:AY$501,$BJ17)="","",INDEX(原始資料!AY$2:AY$501,$BJ17)))</f>
        <v/>
      </c>
      <c r="AX17" s="6">
        <f>IF(OR($BJ17="",49&gt;設定!$B$3),"",IF(INDEX(原始資料!AZ$2:AZ$501,$BJ17)="","",INDEX(原始資料!AZ$2:AZ$501,$BJ17)))</f>
        <v/>
      </c>
      <c r="AY17" s="6">
        <f>IF(OR($BJ17="",50&gt;設定!$B$3),"",IF(INDEX(原始資料!BA$2:BA$501,$BJ17)="","",INDEX(原始資料!BA$2:BA$501,$BJ17)))</f>
        <v/>
      </c>
      <c r="AZ17" s="6">
        <f>IF(OR($BJ17="",51&gt;設定!$B$3),"",IF(INDEX(原始資料!BB$2:BB$501,$BJ17)="","",INDEX(原始資料!BB$2:BB$501,$BJ17)))</f>
        <v/>
      </c>
      <c r="BA17" s="6">
        <f>IF(OR($BJ17="",52&gt;設定!$B$3),"",IF(INDEX(原始資料!BC$2:BC$501,$BJ17)="","",INDEX(原始資料!BC$2:BC$501,$BJ17)))</f>
        <v/>
      </c>
      <c r="BB17" s="6">
        <f>IF(OR($BJ17="",53&gt;設定!$B$3),"",IF(INDEX(原始資料!BD$2:BD$501,$BJ17)="","",INDEX(原始資料!BD$2:BD$501,$BJ17)))</f>
        <v/>
      </c>
      <c r="BC17" s="6">
        <f>IF(OR($BJ17="",54&gt;設定!$B$3),"",IF(INDEX(原始資料!BE$2:BE$501,$BJ17)="","",INDEX(原始資料!BE$2:BE$501,$BJ17)))</f>
        <v/>
      </c>
      <c r="BD17" s="6">
        <f>IF(OR($BJ17="",55&gt;設定!$B$3),"",IF(INDEX(原始資料!BF$2:BF$501,$BJ17)="","",INDEX(原始資料!BF$2:BF$501,$BJ17)))</f>
        <v/>
      </c>
      <c r="BE17" s="6">
        <f>IF(OR($BJ17="",56&gt;設定!$B$3),"",IF(INDEX(原始資料!BG$2:BG$501,$BJ17)="","",INDEX(原始資料!BG$2:BG$501,$BJ17)))</f>
        <v/>
      </c>
      <c r="BF17" s="6">
        <f>IF(OR($BJ17="",57&gt;設定!$B$3),"",IF(INDEX(原始資料!BH$2:BH$501,$BJ17)="","",INDEX(原始資料!BH$2:BH$501,$BJ17)))</f>
        <v/>
      </c>
      <c r="BG17" s="6">
        <f>IF(OR($BJ17="",58&gt;設定!$B$3),"",IF(INDEX(原始資料!BI$2:BI$501,$BJ17)="","",INDEX(原始資料!BI$2:BI$501,$BJ17)))</f>
        <v/>
      </c>
      <c r="BH17" s="6">
        <f>IF(OR($BJ17="",59&gt;設定!$B$3),"",IF(INDEX(原始資料!BJ$2:BJ$501,$BJ17)="","",INDEX(原始資料!BJ$2:BJ$501,$BJ17)))</f>
        <v/>
      </c>
      <c r="BI17" s="6">
        <f>IF(OR($BJ17="",60&gt;設定!$B$3),"",IF(INDEX(原始資料!BK$2:BK$501,$BJ17)="","",INDEX(原始資料!BK$2:BK$501,$BJ17)))</f>
        <v/>
      </c>
      <c r="BJ17" s="6">
        <f>IFERROR(MATCH(ROW()-1,判定!$H$2:$H$501,0),"")</f>
        <v/>
      </c>
    </row>
    <row r="18">
      <c r="A18" s="6">
        <f>IF($BJ18="","",INDEX(原始資料!$A$2:$A$501,$BJ18))</f>
        <v/>
      </c>
      <c r="B18" s="6">
        <f>IF(OR($BJ18="",1&gt;設定!$B$3),"",IF(INDEX(原始資料!D$2:D$501,$BJ18)="","",INDEX(原始資料!D$2:D$501,$BJ18)))</f>
        <v/>
      </c>
      <c r="C18" s="6">
        <f>IF(OR($BJ18="",2&gt;設定!$B$3),"",IF(INDEX(原始資料!E$2:E$501,$BJ18)="","",INDEX(原始資料!E$2:E$501,$BJ18)))</f>
        <v/>
      </c>
      <c r="D18" s="6">
        <f>IF(OR($BJ18="",3&gt;設定!$B$3),"",IF(INDEX(原始資料!F$2:F$501,$BJ18)="","",INDEX(原始資料!F$2:F$501,$BJ18)))</f>
        <v/>
      </c>
      <c r="E18" s="6">
        <f>IF(OR($BJ18="",4&gt;設定!$B$3),"",IF(INDEX(原始資料!G$2:G$501,$BJ18)="","",INDEX(原始資料!G$2:G$501,$BJ18)))</f>
        <v/>
      </c>
      <c r="F18" s="6">
        <f>IF(OR($BJ18="",5&gt;設定!$B$3),"",IF(INDEX(原始資料!H$2:H$501,$BJ18)="","",INDEX(原始資料!H$2:H$501,$BJ18)))</f>
        <v/>
      </c>
      <c r="G18" s="6">
        <f>IF(OR($BJ18="",6&gt;設定!$B$3),"",IF(INDEX(原始資料!I$2:I$501,$BJ18)="","",INDEX(原始資料!I$2:I$501,$BJ18)))</f>
        <v/>
      </c>
      <c r="H18" s="6">
        <f>IF(OR($BJ18="",7&gt;設定!$B$3),"",IF(INDEX(原始資料!J$2:J$501,$BJ18)="","",INDEX(原始資料!J$2:J$501,$BJ18)))</f>
        <v/>
      </c>
      <c r="I18" s="6">
        <f>IF(OR($BJ18="",8&gt;設定!$B$3),"",IF(INDEX(原始資料!K$2:K$501,$BJ18)="","",INDEX(原始資料!K$2:K$501,$BJ18)))</f>
        <v/>
      </c>
      <c r="J18" s="6">
        <f>IF(OR($BJ18="",9&gt;設定!$B$3),"",IF(INDEX(原始資料!L$2:L$501,$BJ18)="","",INDEX(原始資料!L$2:L$501,$BJ18)))</f>
        <v/>
      </c>
      <c r="K18" s="6">
        <f>IF(OR($BJ18="",10&gt;設定!$B$3),"",IF(INDEX(原始資料!M$2:M$501,$BJ18)="","",INDEX(原始資料!M$2:M$501,$BJ18)))</f>
        <v/>
      </c>
      <c r="L18" s="6">
        <f>IF(OR($BJ18="",11&gt;設定!$B$3),"",IF(INDEX(原始資料!N$2:N$501,$BJ18)="","",INDEX(原始資料!N$2:N$501,$BJ18)))</f>
        <v/>
      </c>
      <c r="M18" s="6">
        <f>IF(OR($BJ18="",12&gt;設定!$B$3),"",IF(INDEX(原始資料!O$2:O$501,$BJ18)="","",INDEX(原始資料!O$2:O$501,$BJ18)))</f>
        <v/>
      </c>
      <c r="N18" s="6">
        <f>IF(OR($BJ18="",13&gt;設定!$B$3),"",IF(INDEX(原始資料!P$2:P$501,$BJ18)="","",INDEX(原始資料!P$2:P$501,$BJ18)))</f>
        <v/>
      </c>
      <c r="O18" s="6">
        <f>IF(OR($BJ18="",14&gt;設定!$B$3),"",IF(INDEX(原始資料!Q$2:Q$501,$BJ18)="","",INDEX(原始資料!Q$2:Q$501,$BJ18)))</f>
        <v/>
      </c>
      <c r="P18" s="6">
        <f>IF(OR($BJ18="",15&gt;設定!$B$3),"",IF(INDEX(原始資料!R$2:R$501,$BJ18)="","",INDEX(原始資料!R$2:R$501,$BJ18)))</f>
        <v/>
      </c>
      <c r="Q18" s="6">
        <f>IF(OR($BJ18="",16&gt;設定!$B$3),"",IF(INDEX(原始資料!S$2:S$501,$BJ18)="","",INDEX(原始資料!S$2:S$501,$BJ18)))</f>
        <v/>
      </c>
      <c r="R18" s="6">
        <f>IF(OR($BJ18="",17&gt;設定!$B$3),"",IF(INDEX(原始資料!T$2:T$501,$BJ18)="","",INDEX(原始資料!T$2:T$501,$BJ18)))</f>
        <v/>
      </c>
      <c r="S18" s="6">
        <f>IF(OR($BJ18="",18&gt;設定!$B$3),"",IF(INDEX(原始資料!U$2:U$501,$BJ18)="","",INDEX(原始資料!U$2:U$501,$BJ18)))</f>
        <v/>
      </c>
      <c r="T18" s="6">
        <f>IF(OR($BJ18="",19&gt;設定!$B$3),"",IF(INDEX(原始資料!V$2:V$501,$BJ18)="","",INDEX(原始資料!V$2:V$501,$BJ18)))</f>
        <v/>
      </c>
      <c r="U18" s="6">
        <f>IF(OR($BJ18="",20&gt;設定!$B$3),"",IF(INDEX(原始資料!W$2:W$501,$BJ18)="","",INDEX(原始資料!W$2:W$501,$BJ18)))</f>
        <v/>
      </c>
      <c r="V18" s="6">
        <f>IF(OR($BJ18="",21&gt;設定!$B$3),"",IF(INDEX(原始資料!X$2:X$501,$BJ18)="","",INDEX(原始資料!X$2:X$501,$BJ18)))</f>
        <v/>
      </c>
      <c r="W18" s="6">
        <f>IF(OR($BJ18="",22&gt;設定!$B$3),"",IF(INDEX(原始資料!Y$2:Y$501,$BJ18)="","",INDEX(原始資料!Y$2:Y$501,$BJ18)))</f>
        <v/>
      </c>
      <c r="X18" s="6">
        <f>IF(OR($BJ18="",23&gt;設定!$B$3),"",IF(INDEX(原始資料!Z$2:Z$501,$BJ18)="","",INDEX(原始資料!Z$2:Z$501,$BJ18)))</f>
        <v/>
      </c>
      <c r="Y18" s="6">
        <f>IF(OR($BJ18="",24&gt;設定!$B$3),"",IF(INDEX(原始資料!AA$2:AA$501,$BJ18)="","",INDEX(原始資料!AA$2:AA$501,$BJ18)))</f>
        <v/>
      </c>
      <c r="Z18" s="6">
        <f>IF(OR($BJ18="",25&gt;設定!$B$3),"",IF(INDEX(原始資料!AB$2:AB$501,$BJ18)="","",INDEX(原始資料!AB$2:AB$501,$BJ18)))</f>
        <v/>
      </c>
      <c r="AA18" s="6">
        <f>IF(OR($BJ18="",26&gt;設定!$B$3),"",IF(INDEX(原始資料!AC$2:AC$501,$BJ18)="","",INDEX(原始資料!AC$2:AC$501,$BJ18)))</f>
        <v/>
      </c>
      <c r="AB18" s="6">
        <f>IF(OR($BJ18="",27&gt;設定!$B$3),"",IF(INDEX(原始資料!AD$2:AD$501,$BJ18)="","",INDEX(原始資料!AD$2:AD$501,$BJ18)))</f>
        <v/>
      </c>
      <c r="AC18" s="6">
        <f>IF(OR($BJ18="",28&gt;設定!$B$3),"",IF(INDEX(原始資料!AE$2:AE$501,$BJ18)="","",INDEX(原始資料!AE$2:AE$501,$BJ18)))</f>
        <v/>
      </c>
      <c r="AD18" s="6">
        <f>IF(OR($BJ18="",29&gt;設定!$B$3),"",IF(INDEX(原始資料!AF$2:AF$501,$BJ18)="","",INDEX(原始資料!AF$2:AF$501,$BJ18)))</f>
        <v/>
      </c>
      <c r="AE18" s="6">
        <f>IF(OR($BJ18="",30&gt;設定!$B$3),"",IF(INDEX(原始資料!AG$2:AG$501,$BJ18)="","",INDEX(原始資料!AG$2:AG$501,$BJ18)))</f>
        <v/>
      </c>
      <c r="AF18" s="6">
        <f>IF(OR($BJ18="",31&gt;設定!$B$3),"",IF(INDEX(原始資料!AH$2:AH$501,$BJ18)="","",INDEX(原始資料!AH$2:AH$501,$BJ18)))</f>
        <v/>
      </c>
      <c r="AG18" s="6">
        <f>IF(OR($BJ18="",32&gt;設定!$B$3),"",IF(INDEX(原始資料!AI$2:AI$501,$BJ18)="","",INDEX(原始資料!AI$2:AI$501,$BJ18)))</f>
        <v/>
      </c>
      <c r="AH18" s="6">
        <f>IF(OR($BJ18="",33&gt;設定!$B$3),"",IF(INDEX(原始資料!AJ$2:AJ$501,$BJ18)="","",INDEX(原始資料!AJ$2:AJ$501,$BJ18)))</f>
        <v/>
      </c>
      <c r="AI18" s="6">
        <f>IF(OR($BJ18="",34&gt;設定!$B$3),"",IF(INDEX(原始資料!AK$2:AK$501,$BJ18)="","",INDEX(原始資料!AK$2:AK$501,$BJ18)))</f>
        <v/>
      </c>
      <c r="AJ18" s="6">
        <f>IF(OR($BJ18="",35&gt;設定!$B$3),"",IF(INDEX(原始資料!AL$2:AL$501,$BJ18)="","",INDEX(原始資料!AL$2:AL$501,$BJ18)))</f>
        <v/>
      </c>
      <c r="AK18" s="6">
        <f>IF(OR($BJ18="",36&gt;設定!$B$3),"",IF(INDEX(原始資料!AM$2:AM$501,$BJ18)="","",INDEX(原始資料!AM$2:AM$501,$BJ18)))</f>
        <v/>
      </c>
      <c r="AL18" s="6">
        <f>IF(OR($BJ18="",37&gt;設定!$B$3),"",IF(INDEX(原始資料!AN$2:AN$501,$BJ18)="","",INDEX(原始資料!AN$2:AN$501,$BJ18)))</f>
        <v/>
      </c>
      <c r="AM18" s="6">
        <f>IF(OR($BJ18="",38&gt;設定!$B$3),"",IF(INDEX(原始資料!AO$2:AO$501,$BJ18)="","",INDEX(原始資料!AO$2:AO$501,$BJ18)))</f>
        <v/>
      </c>
      <c r="AN18" s="6">
        <f>IF(OR($BJ18="",39&gt;設定!$B$3),"",IF(INDEX(原始資料!AP$2:AP$501,$BJ18)="","",INDEX(原始資料!AP$2:AP$501,$BJ18)))</f>
        <v/>
      </c>
      <c r="AO18" s="6">
        <f>IF(OR($BJ18="",40&gt;設定!$B$3),"",IF(INDEX(原始資料!AQ$2:AQ$501,$BJ18)="","",INDEX(原始資料!AQ$2:AQ$501,$BJ18)))</f>
        <v/>
      </c>
      <c r="AP18" s="6">
        <f>IF(OR($BJ18="",41&gt;設定!$B$3),"",IF(INDEX(原始資料!AR$2:AR$501,$BJ18)="","",INDEX(原始資料!AR$2:AR$501,$BJ18)))</f>
        <v/>
      </c>
      <c r="AQ18" s="6">
        <f>IF(OR($BJ18="",42&gt;設定!$B$3),"",IF(INDEX(原始資料!AS$2:AS$501,$BJ18)="","",INDEX(原始資料!AS$2:AS$501,$BJ18)))</f>
        <v/>
      </c>
      <c r="AR18" s="6">
        <f>IF(OR($BJ18="",43&gt;設定!$B$3),"",IF(INDEX(原始資料!AT$2:AT$501,$BJ18)="","",INDEX(原始資料!AT$2:AT$501,$BJ18)))</f>
        <v/>
      </c>
      <c r="AS18" s="6">
        <f>IF(OR($BJ18="",44&gt;設定!$B$3),"",IF(INDEX(原始資料!AU$2:AU$501,$BJ18)="","",INDEX(原始資料!AU$2:AU$501,$BJ18)))</f>
        <v/>
      </c>
      <c r="AT18" s="6">
        <f>IF(OR($BJ18="",45&gt;設定!$B$3),"",IF(INDEX(原始資料!AV$2:AV$501,$BJ18)="","",INDEX(原始資料!AV$2:AV$501,$BJ18)))</f>
        <v/>
      </c>
      <c r="AU18" s="6">
        <f>IF(OR($BJ18="",46&gt;設定!$B$3),"",IF(INDEX(原始資料!AW$2:AW$501,$BJ18)="","",INDEX(原始資料!AW$2:AW$501,$BJ18)))</f>
        <v/>
      </c>
      <c r="AV18" s="6">
        <f>IF(OR($BJ18="",47&gt;設定!$B$3),"",IF(INDEX(原始資料!AX$2:AX$501,$BJ18)="","",INDEX(原始資料!AX$2:AX$501,$BJ18)))</f>
        <v/>
      </c>
      <c r="AW18" s="6">
        <f>IF(OR($BJ18="",48&gt;設定!$B$3),"",IF(INDEX(原始資料!AY$2:AY$501,$BJ18)="","",INDEX(原始資料!AY$2:AY$501,$BJ18)))</f>
        <v/>
      </c>
      <c r="AX18" s="6">
        <f>IF(OR($BJ18="",49&gt;設定!$B$3),"",IF(INDEX(原始資料!AZ$2:AZ$501,$BJ18)="","",INDEX(原始資料!AZ$2:AZ$501,$BJ18)))</f>
        <v/>
      </c>
      <c r="AY18" s="6">
        <f>IF(OR($BJ18="",50&gt;設定!$B$3),"",IF(INDEX(原始資料!BA$2:BA$501,$BJ18)="","",INDEX(原始資料!BA$2:BA$501,$BJ18)))</f>
        <v/>
      </c>
      <c r="AZ18" s="6">
        <f>IF(OR($BJ18="",51&gt;設定!$B$3),"",IF(INDEX(原始資料!BB$2:BB$501,$BJ18)="","",INDEX(原始資料!BB$2:BB$501,$BJ18)))</f>
        <v/>
      </c>
      <c r="BA18" s="6">
        <f>IF(OR($BJ18="",52&gt;設定!$B$3),"",IF(INDEX(原始資料!BC$2:BC$501,$BJ18)="","",INDEX(原始資料!BC$2:BC$501,$BJ18)))</f>
        <v/>
      </c>
      <c r="BB18" s="6">
        <f>IF(OR($BJ18="",53&gt;設定!$B$3),"",IF(INDEX(原始資料!BD$2:BD$501,$BJ18)="","",INDEX(原始資料!BD$2:BD$501,$BJ18)))</f>
        <v/>
      </c>
      <c r="BC18" s="6">
        <f>IF(OR($BJ18="",54&gt;設定!$B$3),"",IF(INDEX(原始資料!BE$2:BE$501,$BJ18)="","",INDEX(原始資料!BE$2:BE$501,$BJ18)))</f>
        <v/>
      </c>
      <c r="BD18" s="6">
        <f>IF(OR($BJ18="",55&gt;設定!$B$3),"",IF(INDEX(原始資料!BF$2:BF$501,$BJ18)="","",INDEX(原始資料!BF$2:BF$501,$BJ18)))</f>
        <v/>
      </c>
      <c r="BE18" s="6">
        <f>IF(OR($BJ18="",56&gt;設定!$B$3),"",IF(INDEX(原始資料!BG$2:BG$501,$BJ18)="","",INDEX(原始資料!BG$2:BG$501,$BJ18)))</f>
        <v/>
      </c>
      <c r="BF18" s="6">
        <f>IF(OR($BJ18="",57&gt;設定!$B$3),"",IF(INDEX(原始資料!BH$2:BH$501,$BJ18)="","",INDEX(原始資料!BH$2:BH$501,$BJ18)))</f>
        <v/>
      </c>
      <c r="BG18" s="6">
        <f>IF(OR($BJ18="",58&gt;設定!$B$3),"",IF(INDEX(原始資料!BI$2:BI$501,$BJ18)="","",INDEX(原始資料!BI$2:BI$501,$BJ18)))</f>
        <v/>
      </c>
      <c r="BH18" s="6">
        <f>IF(OR($BJ18="",59&gt;設定!$B$3),"",IF(INDEX(原始資料!BJ$2:BJ$501,$BJ18)="","",INDEX(原始資料!BJ$2:BJ$501,$BJ18)))</f>
        <v/>
      </c>
      <c r="BI18" s="6">
        <f>IF(OR($BJ18="",60&gt;設定!$B$3),"",IF(INDEX(原始資料!BK$2:BK$501,$BJ18)="","",INDEX(原始資料!BK$2:BK$501,$BJ18)))</f>
        <v/>
      </c>
      <c r="BJ18" s="6">
        <f>IFERROR(MATCH(ROW()-1,判定!$H$2:$H$501,0),"")</f>
        <v/>
      </c>
    </row>
    <row r="19">
      <c r="A19" s="6">
        <f>IF($BJ19="","",INDEX(原始資料!$A$2:$A$501,$BJ19))</f>
        <v/>
      </c>
      <c r="B19" s="6">
        <f>IF(OR($BJ19="",1&gt;設定!$B$3),"",IF(INDEX(原始資料!D$2:D$501,$BJ19)="","",INDEX(原始資料!D$2:D$501,$BJ19)))</f>
        <v/>
      </c>
      <c r="C19" s="6">
        <f>IF(OR($BJ19="",2&gt;設定!$B$3),"",IF(INDEX(原始資料!E$2:E$501,$BJ19)="","",INDEX(原始資料!E$2:E$501,$BJ19)))</f>
        <v/>
      </c>
      <c r="D19" s="6">
        <f>IF(OR($BJ19="",3&gt;設定!$B$3),"",IF(INDEX(原始資料!F$2:F$501,$BJ19)="","",INDEX(原始資料!F$2:F$501,$BJ19)))</f>
        <v/>
      </c>
      <c r="E19" s="6">
        <f>IF(OR($BJ19="",4&gt;設定!$B$3),"",IF(INDEX(原始資料!G$2:G$501,$BJ19)="","",INDEX(原始資料!G$2:G$501,$BJ19)))</f>
        <v/>
      </c>
      <c r="F19" s="6">
        <f>IF(OR($BJ19="",5&gt;設定!$B$3),"",IF(INDEX(原始資料!H$2:H$501,$BJ19)="","",INDEX(原始資料!H$2:H$501,$BJ19)))</f>
        <v/>
      </c>
      <c r="G19" s="6">
        <f>IF(OR($BJ19="",6&gt;設定!$B$3),"",IF(INDEX(原始資料!I$2:I$501,$BJ19)="","",INDEX(原始資料!I$2:I$501,$BJ19)))</f>
        <v/>
      </c>
      <c r="H19" s="6">
        <f>IF(OR($BJ19="",7&gt;設定!$B$3),"",IF(INDEX(原始資料!J$2:J$501,$BJ19)="","",INDEX(原始資料!J$2:J$501,$BJ19)))</f>
        <v/>
      </c>
      <c r="I19" s="6">
        <f>IF(OR($BJ19="",8&gt;設定!$B$3),"",IF(INDEX(原始資料!K$2:K$501,$BJ19)="","",INDEX(原始資料!K$2:K$501,$BJ19)))</f>
        <v/>
      </c>
      <c r="J19" s="6">
        <f>IF(OR($BJ19="",9&gt;設定!$B$3),"",IF(INDEX(原始資料!L$2:L$501,$BJ19)="","",INDEX(原始資料!L$2:L$501,$BJ19)))</f>
        <v/>
      </c>
      <c r="K19" s="6">
        <f>IF(OR($BJ19="",10&gt;設定!$B$3),"",IF(INDEX(原始資料!M$2:M$501,$BJ19)="","",INDEX(原始資料!M$2:M$501,$BJ19)))</f>
        <v/>
      </c>
      <c r="L19" s="6">
        <f>IF(OR($BJ19="",11&gt;設定!$B$3),"",IF(INDEX(原始資料!N$2:N$501,$BJ19)="","",INDEX(原始資料!N$2:N$501,$BJ19)))</f>
        <v/>
      </c>
      <c r="M19" s="6">
        <f>IF(OR($BJ19="",12&gt;設定!$B$3),"",IF(INDEX(原始資料!O$2:O$501,$BJ19)="","",INDEX(原始資料!O$2:O$501,$BJ19)))</f>
        <v/>
      </c>
      <c r="N19" s="6">
        <f>IF(OR($BJ19="",13&gt;設定!$B$3),"",IF(INDEX(原始資料!P$2:P$501,$BJ19)="","",INDEX(原始資料!P$2:P$501,$BJ19)))</f>
        <v/>
      </c>
      <c r="O19" s="6">
        <f>IF(OR($BJ19="",14&gt;設定!$B$3),"",IF(INDEX(原始資料!Q$2:Q$501,$BJ19)="","",INDEX(原始資料!Q$2:Q$501,$BJ19)))</f>
        <v/>
      </c>
      <c r="P19" s="6">
        <f>IF(OR($BJ19="",15&gt;設定!$B$3),"",IF(INDEX(原始資料!R$2:R$501,$BJ19)="","",INDEX(原始資料!R$2:R$501,$BJ19)))</f>
        <v/>
      </c>
      <c r="Q19" s="6">
        <f>IF(OR($BJ19="",16&gt;設定!$B$3),"",IF(INDEX(原始資料!S$2:S$501,$BJ19)="","",INDEX(原始資料!S$2:S$501,$BJ19)))</f>
        <v/>
      </c>
      <c r="R19" s="6">
        <f>IF(OR($BJ19="",17&gt;設定!$B$3),"",IF(INDEX(原始資料!T$2:T$501,$BJ19)="","",INDEX(原始資料!T$2:T$501,$BJ19)))</f>
        <v/>
      </c>
      <c r="S19" s="6">
        <f>IF(OR($BJ19="",18&gt;設定!$B$3),"",IF(INDEX(原始資料!U$2:U$501,$BJ19)="","",INDEX(原始資料!U$2:U$501,$BJ19)))</f>
        <v/>
      </c>
      <c r="T19" s="6">
        <f>IF(OR($BJ19="",19&gt;設定!$B$3),"",IF(INDEX(原始資料!V$2:V$501,$BJ19)="","",INDEX(原始資料!V$2:V$501,$BJ19)))</f>
        <v/>
      </c>
      <c r="U19" s="6">
        <f>IF(OR($BJ19="",20&gt;設定!$B$3),"",IF(INDEX(原始資料!W$2:W$501,$BJ19)="","",INDEX(原始資料!W$2:W$501,$BJ19)))</f>
        <v/>
      </c>
      <c r="V19" s="6">
        <f>IF(OR($BJ19="",21&gt;設定!$B$3),"",IF(INDEX(原始資料!X$2:X$501,$BJ19)="","",INDEX(原始資料!X$2:X$501,$BJ19)))</f>
        <v/>
      </c>
      <c r="W19" s="6">
        <f>IF(OR($BJ19="",22&gt;設定!$B$3),"",IF(INDEX(原始資料!Y$2:Y$501,$BJ19)="","",INDEX(原始資料!Y$2:Y$501,$BJ19)))</f>
        <v/>
      </c>
      <c r="X19" s="6">
        <f>IF(OR($BJ19="",23&gt;設定!$B$3),"",IF(INDEX(原始資料!Z$2:Z$501,$BJ19)="","",INDEX(原始資料!Z$2:Z$501,$BJ19)))</f>
        <v/>
      </c>
      <c r="Y19" s="6">
        <f>IF(OR($BJ19="",24&gt;設定!$B$3),"",IF(INDEX(原始資料!AA$2:AA$501,$BJ19)="","",INDEX(原始資料!AA$2:AA$501,$BJ19)))</f>
        <v/>
      </c>
      <c r="Z19" s="6">
        <f>IF(OR($BJ19="",25&gt;設定!$B$3),"",IF(INDEX(原始資料!AB$2:AB$501,$BJ19)="","",INDEX(原始資料!AB$2:AB$501,$BJ19)))</f>
        <v/>
      </c>
      <c r="AA19" s="6">
        <f>IF(OR($BJ19="",26&gt;設定!$B$3),"",IF(INDEX(原始資料!AC$2:AC$501,$BJ19)="","",INDEX(原始資料!AC$2:AC$501,$BJ19)))</f>
        <v/>
      </c>
      <c r="AB19" s="6">
        <f>IF(OR($BJ19="",27&gt;設定!$B$3),"",IF(INDEX(原始資料!AD$2:AD$501,$BJ19)="","",INDEX(原始資料!AD$2:AD$501,$BJ19)))</f>
        <v/>
      </c>
      <c r="AC19" s="6">
        <f>IF(OR($BJ19="",28&gt;設定!$B$3),"",IF(INDEX(原始資料!AE$2:AE$501,$BJ19)="","",INDEX(原始資料!AE$2:AE$501,$BJ19)))</f>
        <v/>
      </c>
      <c r="AD19" s="6">
        <f>IF(OR($BJ19="",29&gt;設定!$B$3),"",IF(INDEX(原始資料!AF$2:AF$501,$BJ19)="","",INDEX(原始資料!AF$2:AF$501,$BJ19)))</f>
        <v/>
      </c>
      <c r="AE19" s="6">
        <f>IF(OR($BJ19="",30&gt;設定!$B$3),"",IF(INDEX(原始資料!AG$2:AG$501,$BJ19)="","",INDEX(原始資料!AG$2:AG$501,$BJ19)))</f>
        <v/>
      </c>
      <c r="AF19" s="6">
        <f>IF(OR($BJ19="",31&gt;設定!$B$3),"",IF(INDEX(原始資料!AH$2:AH$501,$BJ19)="","",INDEX(原始資料!AH$2:AH$501,$BJ19)))</f>
        <v/>
      </c>
      <c r="AG19" s="6">
        <f>IF(OR($BJ19="",32&gt;設定!$B$3),"",IF(INDEX(原始資料!AI$2:AI$501,$BJ19)="","",INDEX(原始資料!AI$2:AI$501,$BJ19)))</f>
        <v/>
      </c>
      <c r="AH19" s="6">
        <f>IF(OR($BJ19="",33&gt;設定!$B$3),"",IF(INDEX(原始資料!AJ$2:AJ$501,$BJ19)="","",INDEX(原始資料!AJ$2:AJ$501,$BJ19)))</f>
        <v/>
      </c>
      <c r="AI19" s="6">
        <f>IF(OR($BJ19="",34&gt;設定!$B$3),"",IF(INDEX(原始資料!AK$2:AK$501,$BJ19)="","",INDEX(原始資料!AK$2:AK$501,$BJ19)))</f>
        <v/>
      </c>
      <c r="AJ19" s="6">
        <f>IF(OR($BJ19="",35&gt;設定!$B$3),"",IF(INDEX(原始資料!AL$2:AL$501,$BJ19)="","",INDEX(原始資料!AL$2:AL$501,$BJ19)))</f>
        <v/>
      </c>
      <c r="AK19" s="6">
        <f>IF(OR($BJ19="",36&gt;設定!$B$3),"",IF(INDEX(原始資料!AM$2:AM$501,$BJ19)="","",INDEX(原始資料!AM$2:AM$501,$BJ19)))</f>
        <v/>
      </c>
      <c r="AL19" s="6">
        <f>IF(OR($BJ19="",37&gt;設定!$B$3),"",IF(INDEX(原始資料!AN$2:AN$501,$BJ19)="","",INDEX(原始資料!AN$2:AN$501,$BJ19)))</f>
        <v/>
      </c>
      <c r="AM19" s="6">
        <f>IF(OR($BJ19="",38&gt;設定!$B$3),"",IF(INDEX(原始資料!AO$2:AO$501,$BJ19)="","",INDEX(原始資料!AO$2:AO$501,$BJ19)))</f>
        <v/>
      </c>
      <c r="AN19" s="6">
        <f>IF(OR($BJ19="",39&gt;設定!$B$3),"",IF(INDEX(原始資料!AP$2:AP$501,$BJ19)="","",INDEX(原始資料!AP$2:AP$501,$BJ19)))</f>
        <v/>
      </c>
      <c r="AO19" s="6">
        <f>IF(OR($BJ19="",40&gt;設定!$B$3),"",IF(INDEX(原始資料!AQ$2:AQ$501,$BJ19)="","",INDEX(原始資料!AQ$2:AQ$501,$BJ19)))</f>
        <v/>
      </c>
      <c r="AP19" s="6">
        <f>IF(OR($BJ19="",41&gt;設定!$B$3),"",IF(INDEX(原始資料!AR$2:AR$501,$BJ19)="","",INDEX(原始資料!AR$2:AR$501,$BJ19)))</f>
        <v/>
      </c>
      <c r="AQ19" s="6">
        <f>IF(OR($BJ19="",42&gt;設定!$B$3),"",IF(INDEX(原始資料!AS$2:AS$501,$BJ19)="","",INDEX(原始資料!AS$2:AS$501,$BJ19)))</f>
        <v/>
      </c>
      <c r="AR19" s="6">
        <f>IF(OR($BJ19="",43&gt;設定!$B$3),"",IF(INDEX(原始資料!AT$2:AT$501,$BJ19)="","",INDEX(原始資料!AT$2:AT$501,$BJ19)))</f>
        <v/>
      </c>
      <c r="AS19" s="6">
        <f>IF(OR($BJ19="",44&gt;設定!$B$3),"",IF(INDEX(原始資料!AU$2:AU$501,$BJ19)="","",INDEX(原始資料!AU$2:AU$501,$BJ19)))</f>
        <v/>
      </c>
      <c r="AT19" s="6">
        <f>IF(OR($BJ19="",45&gt;設定!$B$3),"",IF(INDEX(原始資料!AV$2:AV$501,$BJ19)="","",INDEX(原始資料!AV$2:AV$501,$BJ19)))</f>
        <v/>
      </c>
      <c r="AU19" s="6">
        <f>IF(OR($BJ19="",46&gt;設定!$B$3),"",IF(INDEX(原始資料!AW$2:AW$501,$BJ19)="","",INDEX(原始資料!AW$2:AW$501,$BJ19)))</f>
        <v/>
      </c>
      <c r="AV19" s="6">
        <f>IF(OR($BJ19="",47&gt;設定!$B$3),"",IF(INDEX(原始資料!AX$2:AX$501,$BJ19)="","",INDEX(原始資料!AX$2:AX$501,$BJ19)))</f>
        <v/>
      </c>
      <c r="AW19" s="6">
        <f>IF(OR($BJ19="",48&gt;設定!$B$3),"",IF(INDEX(原始資料!AY$2:AY$501,$BJ19)="","",INDEX(原始資料!AY$2:AY$501,$BJ19)))</f>
        <v/>
      </c>
      <c r="AX19" s="6">
        <f>IF(OR($BJ19="",49&gt;設定!$B$3),"",IF(INDEX(原始資料!AZ$2:AZ$501,$BJ19)="","",INDEX(原始資料!AZ$2:AZ$501,$BJ19)))</f>
        <v/>
      </c>
      <c r="AY19" s="6">
        <f>IF(OR($BJ19="",50&gt;設定!$B$3),"",IF(INDEX(原始資料!BA$2:BA$501,$BJ19)="","",INDEX(原始資料!BA$2:BA$501,$BJ19)))</f>
        <v/>
      </c>
      <c r="AZ19" s="6">
        <f>IF(OR($BJ19="",51&gt;設定!$B$3),"",IF(INDEX(原始資料!BB$2:BB$501,$BJ19)="","",INDEX(原始資料!BB$2:BB$501,$BJ19)))</f>
        <v/>
      </c>
      <c r="BA19" s="6">
        <f>IF(OR($BJ19="",52&gt;設定!$B$3),"",IF(INDEX(原始資料!BC$2:BC$501,$BJ19)="","",INDEX(原始資料!BC$2:BC$501,$BJ19)))</f>
        <v/>
      </c>
      <c r="BB19" s="6">
        <f>IF(OR($BJ19="",53&gt;設定!$B$3),"",IF(INDEX(原始資料!BD$2:BD$501,$BJ19)="","",INDEX(原始資料!BD$2:BD$501,$BJ19)))</f>
        <v/>
      </c>
      <c r="BC19" s="6">
        <f>IF(OR($BJ19="",54&gt;設定!$B$3),"",IF(INDEX(原始資料!BE$2:BE$501,$BJ19)="","",INDEX(原始資料!BE$2:BE$501,$BJ19)))</f>
        <v/>
      </c>
      <c r="BD19" s="6">
        <f>IF(OR($BJ19="",55&gt;設定!$B$3),"",IF(INDEX(原始資料!BF$2:BF$501,$BJ19)="","",INDEX(原始資料!BF$2:BF$501,$BJ19)))</f>
        <v/>
      </c>
      <c r="BE19" s="6">
        <f>IF(OR($BJ19="",56&gt;設定!$B$3),"",IF(INDEX(原始資料!BG$2:BG$501,$BJ19)="","",INDEX(原始資料!BG$2:BG$501,$BJ19)))</f>
        <v/>
      </c>
      <c r="BF19" s="6">
        <f>IF(OR($BJ19="",57&gt;設定!$B$3),"",IF(INDEX(原始資料!BH$2:BH$501,$BJ19)="","",INDEX(原始資料!BH$2:BH$501,$BJ19)))</f>
        <v/>
      </c>
      <c r="BG19" s="6">
        <f>IF(OR($BJ19="",58&gt;設定!$B$3),"",IF(INDEX(原始資料!BI$2:BI$501,$BJ19)="","",INDEX(原始資料!BI$2:BI$501,$BJ19)))</f>
        <v/>
      </c>
      <c r="BH19" s="6">
        <f>IF(OR($BJ19="",59&gt;設定!$B$3),"",IF(INDEX(原始資料!BJ$2:BJ$501,$BJ19)="","",INDEX(原始資料!BJ$2:BJ$501,$BJ19)))</f>
        <v/>
      </c>
      <c r="BI19" s="6">
        <f>IF(OR($BJ19="",60&gt;設定!$B$3),"",IF(INDEX(原始資料!BK$2:BK$501,$BJ19)="","",INDEX(原始資料!BK$2:BK$501,$BJ19)))</f>
        <v/>
      </c>
      <c r="BJ19" s="6">
        <f>IFERROR(MATCH(ROW()-1,判定!$H$2:$H$501,0),"")</f>
        <v/>
      </c>
    </row>
    <row r="20">
      <c r="A20" s="6">
        <f>IF($BJ20="","",INDEX(原始資料!$A$2:$A$501,$BJ20))</f>
        <v/>
      </c>
      <c r="B20" s="6">
        <f>IF(OR($BJ20="",1&gt;設定!$B$3),"",IF(INDEX(原始資料!D$2:D$501,$BJ20)="","",INDEX(原始資料!D$2:D$501,$BJ20)))</f>
        <v/>
      </c>
      <c r="C20" s="6">
        <f>IF(OR($BJ20="",2&gt;設定!$B$3),"",IF(INDEX(原始資料!E$2:E$501,$BJ20)="","",INDEX(原始資料!E$2:E$501,$BJ20)))</f>
        <v/>
      </c>
      <c r="D20" s="6">
        <f>IF(OR($BJ20="",3&gt;設定!$B$3),"",IF(INDEX(原始資料!F$2:F$501,$BJ20)="","",INDEX(原始資料!F$2:F$501,$BJ20)))</f>
        <v/>
      </c>
      <c r="E20" s="6">
        <f>IF(OR($BJ20="",4&gt;設定!$B$3),"",IF(INDEX(原始資料!G$2:G$501,$BJ20)="","",INDEX(原始資料!G$2:G$501,$BJ20)))</f>
        <v/>
      </c>
      <c r="F20" s="6">
        <f>IF(OR($BJ20="",5&gt;設定!$B$3),"",IF(INDEX(原始資料!H$2:H$501,$BJ20)="","",INDEX(原始資料!H$2:H$501,$BJ20)))</f>
        <v/>
      </c>
      <c r="G20" s="6">
        <f>IF(OR($BJ20="",6&gt;設定!$B$3),"",IF(INDEX(原始資料!I$2:I$501,$BJ20)="","",INDEX(原始資料!I$2:I$501,$BJ20)))</f>
        <v/>
      </c>
      <c r="H20" s="6">
        <f>IF(OR($BJ20="",7&gt;設定!$B$3),"",IF(INDEX(原始資料!J$2:J$501,$BJ20)="","",INDEX(原始資料!J$2:J$501,$BJ20)))</f>
        <v/>
      </c>
      <c r="I20" s="6">
        <f>IF(OR($BJ20="",8&gt;設定!$B$3),"",IF(INDEX(原始資料!K$2:K$501,$BJ20)="","",INDEX(原始資料!K$2:K$501,$BJ20)))</f>
        <v/>
      </c>
      <c r="J20" s="6">
        <f>IF(OR($BJ20="",9&gt;設定!$B$3),"",IF(INDEX(原始資料!L$2:L$501,$BJ20)="","",INDEX(原始資料!L$2:L$501,$BJ20)))</f>
        <v/>
      </c>
      <c r="K20" s="6">
        <f>IF(OR($BJ20="",10&gt;設定!$B$3),"",IF(INDEX(原始資料!M$2:M$501,$BJ20)="","",INDEX(原始資料!M$2:M$501,$BJ20)))</f>
        <v/>
      </c>
      <c r="L20" s="6">
        <f>IF(OR($BJ20="",11&gt;設定!$B$3),"",IF(INDEX(原始資料!N$2:N$501,$BJ20)="","",INDEX(原始資料!N$2:N$501,$BJ20)))</f>
        <v/>
      </c>
      <c r="M20" s="6">
        <f>IF(OR($BJ20="",12&gt;設定!$B$3),"",IF(INDEX(原始資料!O$2:O$501,$BJ20)="","",INDEX(原始資料!O$2:O$501,$BJ20)))</f>
        <v/>
      </c>
      <c r="N20" s="6">
        <f>IF(OR($BJ20="",13&gt;設定!$B$3),"",IF(INDEX(原始資料!P$2:P$501,$BJ20)="","",INDEX(原始資料!P$2:P$501,$BJ20)))</f>
        <v/>
      </c>
      <c r="O20" s="6">
        <f>IF(OR($BJ20="",14&gt;設定!$B$3),"",IF(INDEX(原始資料!Q$2:Q$501,$BJ20)="","",INDEX(原始資料!Q$2:Q$501,$BJ20)))</f>
        <v/>
      </c>
      <c r="P20" s="6">
        <f>IF(OR($BJ20="",15&gt;設定!$B$3),"",IF(INDEX(原始資料!R$2:R$501,$BJ20)="","",INDEX(原始資料!R$2:R$501,$BJ20)))</f>
        <v/>
      </c>
      <c r="Q20" s="6">
        <f>IF(OR($BJ20="",16&gt;設定!$B$3),"",IF(INDEX(原始資料!S$2:S$501,$BJ20)="","",INDEX(原始資料!S$2:S$501,$BJ20)))</f>
        <v/>
      </c>
      <c r="R20" s="6">
        <f>IF(OR($BJ20="",17&gt;設定!$B$3),"",IF(INDEX(原始資料!T$2:T$501,$BJ20)="","",INDEX(原始資料!T$2:T$501,$BJ20)))</f>
        <v/>
      </c>
      <c r="S20" s="6">
        <f>IF(OR($BJ20="",18&gt;設定!$B$3),"",IF(INDEX(原始資料!U$2:U$501,$BJ20)="","",INDEX(原始資料!U$2:U$501,$BJ20)))</f>
        <v/>
      </c>
      <c r="T20" s="6">
        <f>IF(OR($BJ20="",19&gt;設定!$B$3),"",IF(INDEX(原始資料!V$2:V$501,$BJ20)="","",INDEX(原始資料!V$2:V$501,$BJ20)))</f>
        <v/>
      </c>
      <c r="U20" s="6">
        <f>IF(OR($BJ20="",20&gt;設定!$B$3),"",IF(INDEX(原始資料!W$2:W$501,$BJ20)="","",INDEX(原始資料!W$2:W$501,$BJ20)))</f>
        <v/>
      </c>
      <c r="V20" s="6">
        <f>IF(OR($BJ20="",21&gt;設定!$B$3),"",IF(INDEX(原始資料!X$2:X$501,$BJ20)="","",INDEX(原始資料!X$2:X$501,$BJ20)))</f>
        <v/>
      </c>
      <c r="W20" s="6">
        <f>IF(OR($BJ20="",22&gt;設定!$B$3),"",IF(INDEX(原始資料!Y$2:Y$501,$BJ20)="","",INDEX(原始資料!Y$2:Y$501,$BJ20)))</f>
        <v/>
      </c>
      <c r="X20" s="6">
        <f>IF(OR($BJ20="",23&gt;設定!$B$3),"",IF(INDEX(原始資料!Z$2:Z$501,$BJ20)="","",INDEX(原始資料!Z$2:Z$501,$BJ20)))</f>
        <v/>
      </c>
      <c r="Y20" s="6">
        <f>IF(OR($BJ20="",24&gt;設定!$B$3),"",IF(INDEX(原始資料!AA$2:AA$501,$BJ20)="","",INDEX(原始資料!AA$2:AA$501,$BJ20)))</f>
        <v/>
      </c>
      <c r="Z20" s="6">
        <f>IF(OR($BJ20="",25&gt;設定!$B$3),"",IF(INDEX(原始資料!AB$2:AB$501,$BJ20)="","",INDEX(原始資料!AB$2:AB$501,$BJ20)))</f>
        <v/>
      </c>
      <c r="AA20" s="6">
        <f>IF(OR($BJ20="",26&gt;設定!$B$3),"",IF(INDEX(原始資料!AC$2:AC$501,$BJ20)="","",INDEX(原始資料!AC$2:AC$501,$BJ20)))</f>
        <v/>
      </c>
      <c r="AB20" s="6">
        <f>IF(OR($BJ20="",27&gt;設定!$B$3),"",IF(INDEX(原始資料!AD$2:AD$501,$BJ20)="","",INDEX(原始資料!AD$2:AD$501,$BJ20)))</f>
        <v/>
      </c>
      <c r="AC20" s="6">
        <f>IF(OR($BJ20="",28&gt;設定!$B$3),"",IF(INDEX(原始資料!AE$2:AE$501,$BJ20)="","",INDEX(原始資料!AE$2:AE$501,$BJ20)))</f>
        <v/>
      </c>
      <c r="AD20" s="6">
        <f>IF(OR($BJ20="",29&gt;設定!$B$3),"",IF(INDEX(原始資料!AF$2:AF$501,$BJ20)="","",INDEX(原始資料!AF$2:AF$501,$BJ20)))</f>
        <v/>
      </c>
      <c r="AE20" s="6">
        <f>IF(OR($BJ20="",30&gt;設定!$B$3),"",IF(INDEX(原始資料!AG$2:AG$501,$BJ20)="","",INDEX(原始資料!AG$2:AG$501,$BJ20)))</f>
        <v/>
      </c>
      <c r="AF20" s="6">
        <f>IF(OR($BJ20="",31&gt;設定!$B$3),"",IF(INDEX(原始資料!AH$2:AH$501,$BJ20)="","",INDEX(原始資料!AH$2:AH$501,$BJ20)))</f>
        <v/>
      </c>
      <c r="AG20" s="6">
        <f>IF(OR($BJ20="",32&gt;設定!$B$3),"",IF(INDEX(原始資料!AI$2:AI$501,$BJ20)="","",INDEX(原始資料!AI$2:AI$501,$BJ20)))</f>
        <v/>
      </c>
      <c r="AH20" s="6">
        <f>IF(OR($BJ20="",33&gt;設定!$B$3),"",IF(INDEX(原始資料!AJ$2:AJ$501,$BJ20)="","",INDEX(原始資料!AJ$2:AJ$501,$BJ20)))</f>
        <v/>
      </c>
      <c r="AI20" s="6">
        <f>IF(OR($BJ20="",34&gt;設定!$B$3),"",IF(INDEX(原始資料!AK$2:AK$501,$BJ20)="","",INDEX(原始資料!AK$2:AK$501,$BJ20)))</f>
        <v/>
      </c>
      <c r="AJ20" s="6">
        <f>IF(OR($BJ20="",35&gt;設定!$B$3),"",IF(INDEX(原始資料!AL$2:AL$501,$BJ20)="","",INDEX(原始資料!AL$2:AL$501,$BJ20)))</f>
        <v/>
      </c>
      <c r="AK20" s="6">
        <f>IF(OR($BJ20="",36&gt;設定!$B$3),"",IF(INDEX(原始資料!AM$2:AM$501,$BJ20)="","",INDEX(原始資料!AM$2:AM$501,$BJ20)))</f>
        <v/>
      </c>
      <c r="AL20" s="6">
        <f>IF(OR($BJ20="",37&gt;設定!$B$3),"",IF(INDEX(原始資料!AN$2:AN$501,$BJ20)="","",INDEX(原始資料!AN$2:AN$501,$BJ20)))</f>
        <v/>
      </c>
      <c r="AM20" s="6">
        <f>IF(OR($BJ20="",38&gt;設定!$B$3),"",IF(INDEX(原始資料!AO$2:AO$501,$BJ20)="","",INDEX(原始資料!AO$2:AO$501,$BJ20)))</f>
        <v/>
      </c>
      <c r="AN20" s="6">
        <f>IF(OR($BJ20="",39&gt;設定!$B$3),"",IF(INDEX(原始資料!AP$2:AP$501,$BJ20)="","",INDEX(原始資料!AP$2:AP$501,$BJ20)))</f>
        <v/>
      </c>
      <c r="AO20" s="6">
        <f>IF(OR($BJ20="",40&gt;設定!$B$3),"",IF(INDEX(原始資料!AQ$2:AQ$501,$BJ20)="","",INDEX(原始資料!AQ$2:AQ$501,$BJ20)))</f>
        <v/>
      </c>
      <c r="AP20" s="6">
        <f>IF(OR($BJ20="",41&gt;設定!$B$3),"",IF(INDEX(原始資料!AR$2:AR$501,$BJ20)="","",INDEX(原始資料!AR$2:AR$501,$BJ20)))</f>
        <v/>
      </c>
      <c r="AQ20" s="6">
        <f>IF(OR($BJ20="",42&gt;設定!$B$3),"",IF(INDEX(原始資料!AS$2:AS$501,$BJ20)="","",INDEX(原始資料!AS$2:AS$501,$BJ20)))</f>
        <v/>
      </c>
      <c r="AR20" s="6">
        <f>IF(OR($BJ20="",43&gt;設定!$B$3),"",IF(INDEX(原始資料!AT$2:AT$501,$BJ20)="","",INDEX(原始資料!AT$2:AT$501,$BJ20)))</f>
        <v/>
      </c>
      <c r="AS20" s="6">
        <f>IF(OR($BJ20="",44&gt;設定!$B$3),"",IF(INDEX(原始資料!AU$2:AU$501,$BJ20)="","",INDEX(原始資料!AU$2:AU$501,$BJ20)))</f>
        <v/>
      </c>
      <c r="AT20" s="6">
        <f>IF(OR($BJ20="",45&gt;設定!$B$3),"",IF(INDEX(原始資料!AV$2:AV$501,$BJ20)="","",INDEX(原始資料!AV$2:AV$501,$BJ20)))</f>
        <v/>
      </c>
      <c r="AU20" s="6">
        <f>IF(OR($BJ20="",46&gt;設定!$B$3),"",IF(INDEX(原始資料!AW$2:AW$501,$BJ20)="","",INDEX(原始資料!AW$2:AW$501,$BJ20)))</f>
        <v/>
      </c>
      <c r="AV20" s="6">
        <f>IF(OR($BJ20="",47&gt;設定!$B$3),"",IF(INDEX(原始資料!AX$2:AX$501,$BJ20)="","",INDEX(原始資料!AX$2:AX$501,$BJ20)))</f>
        <v/>
      </c>
      <c r="AW20" s="6">
        <f>IF(OR($BJ20="",48&gt;設定!$B$3),"",IF(INDEX(原始資料!AY$2:AY$501,$BJ20)="","",INDEX(原始資料!AY$2:AY$501,$BJ20)))</f>
        <v/>
      </c>
      <c r="AX20" s="6">
        <f>IF(OR($BJ20="",49&gt;設定!$B$3),"",IF(INDEX(原始資料!AZ$2:AZ$501,$BJ20)="","",INDEX(原始資料!AZ$2:AZ$501,$BJ20)))</f>
        <v/>
      </c>
      <c r="AY20" s="6">
        <f>IF(OR($BJ20="",50&gt;設定!$B$3),"",IF(INDEX(原始資料!BA$2:BA$501,$BJ20)="","",INDEX(原始資料!BA$2:BA$501,$BJ20)))</f>
        <v/>
      </c>
      <c r="AZ20" s="6">
        <f>IF(OR($BJ20="",51&gt;設定!$B$3),"",IF(INDEX(原始資料!BB$2:BB$501,$BJ20)="","",INDEX(原始資料!BB$2:BB$501,$BJ20)))</f>
        <v/>
      </c>
      <c r="BA20" s="6">
        <f>IF(OR($BJ20="",52&gt;設定!$B$3),"",IF(INDEX(原始資料!BC$2:BC$501,$BJ20)="","",INDEX(原始資料!BC$2:BC$501,$BJ20)))</f>
        <v/>
      </c>
      <c r="BB20" s="6">
        <f>IF(OR($BJ20="",53&gt;設定!$B$3),"",IF(INDEX(原始資料!BD$2:BD$501,$BJ20)="","",INDEX(原始資料!BD$2:BD$501,$BJ20)))</f>
        <v/>
      </c>
      <c r="BC20" s="6">
        <f>IF(OR($BJ20="",54&gt;設定!$B$3),"",IF(INDEX(原始資料!BE$2:BE$501,$BJ20)="","",INDEX(原始資料!BE$2:BE$501,$BJ20)))</f>
        <v/>
      </c>
      <c r="BD20" s="6">
        <f>IF(OR($BJ20="",55&gt;設定!$B$3),"",IF(INDEX(原始資料!BF$2:BF$501,$BJ20)="","",INDEX(原始資料!BF$2:BF$501,$BJ20)))</f>
        <v/>
      </c>
      <c r="BE20" s="6">
        <f>IF(OR($BJ20="",56&gt;設定!$B$3),"",IF(INDEX(原始資料!BG$2:BG$501,$BJ20)="","",INDEX(原始資料!BG$2:BG$501,$BJ20)))</f>
        <v/>
      </c>
      <c r="BF20" s="6">
        <f>IF(OR($BJ20="",57&gt;設定!$B$3),"",IF(INDEX(原始資料!BH$2:BH$501,$BJ20)="","",INDEX(原始資料!BH$2:BH$501,$BJ20)))</f>
        <v/>
      </c>
      <c r="BG20" s="6">
        <f>IF(OR($BJ20="",58&gt;設定!$B$3),"",IF(INDEX(原始資料!BI$2:BI$501,$BJ20)="","",INDEX(原始資料!BI$2:BI$501,$BJ20)))</f>
        <v/>
      </c>
      <c r="BH20" s="6">
        <f>IF(OR($BJ20="",59&gt;設定!$B$3),"",IF(INDEX(原始資料!BJ$2:BJ$501,$BJ20)="","",INDEX(原始資料!BJ$2:BJ$501,$BJ20)))</f>
        <v/>
      </c>
      <c r="BI20" s="6">
        <f>IF(OR($BJ20="",60&gt;設定!$B$3),"",IF(INDEX(原始資料!BK$2:BK$501,$BJ20)="","",INDEX(原始資料!BK$2:BK$501,$BJ20)))</f>
        <v/>
      </c>
      <c r="BJ20" s="6">
        <f>IFERROR(MATCH(ROW()-1,判定!$H$2:$H$501,0),"")</f>
        <v/>
      </c>
    </row>
    <row r="21">
      <c r="A21" s="6">
        <f>IF($BJ21="","",INDEX(原始資料!$A$2:$A$501,$BJ21))</f>
        <v/>
      </c>
      <c r="B21" s="6">
        <f>IF(OR($BJ21="",1&gt;設定!$B$3),"",IF(INDEX(原始資料!D$2:D$501,$BJ21)="","",INDEX(原始資料!D$2:D$501,$BJ21)))</f>
        <v/>
      </c>
      <c r="C21" s="6">
        <f>IF(OR($BJ21="",2&gt;設定!$B$3),"",IF(INDEX(原始資料!E$2:E$501,$BJ21)="","",INDEX(原始資料!E$2:E$501,$BJ21)))</f>
        <v/>
      </c>
      <c r="D21" s="6">
        <f>IF(OR($BJ21="",3&gt;設定!$B$3),"",IF(INDEX(原始資料!F$2:F$501,$BJ21)="","",INDEX(原始資料!F$2:F$501,$BJ21)))</f>
        <v/>
      </c>
      <c r="E21" s="6">
        <f>IF(OR($BJ21="",4&gt;設定!$B$3),"",IF(INDEX(原始資料!G$2:G$501,$BJ21)="","",INDEX(原始資料!G$2:G$501,$BJ21)))</f>
        <v/>
      </c>
      <c r="F21" s="6">
        <f>IF(OR($BJ21="",5&gt;設定!$B$3),"",IF(INDEX(原始資料!H$2:H$501,$BJ21)="","",INDEX(原始資料!H$2:H$501,$BJ21)))</f>
        <v/>
      </c>
      <c r="G21" s="6">
        <f>IF(OR($BJ21="",6&gt;設定!$B$3),"",IF(INDEX(原始資料!I$2:I$501,$BJ21)="","",INDEX(原始資料!I$2:I$501,$BJ21)))</f>
        <v/>
      </c>
      <c r="H21" s="6">
        <f>IF(OR($BJ21="",7&gt;設定!$B$3),"",IF(INDEX(原始資料!J$2:J$501,$BJ21)="","",INDEX(原始資料!J$2:J$501,$BJ21)))</f>
        <v/>
      </c>
      <c r="I21" s="6">
        <f>IF(OR($BJ21="",8&gt;設定!$B$3),"",IF(INDEX(原始資料!K$2:K$501,$BJ21)="","",INDEX(原始資料!K$2:K$501,$BJ21)))</f>
        <v/>
      </c>
      <c r="J21" s="6">
        <f>IF(OR($BJ21="",9&gt;設定!$B$3),"",IF(INDEX(原始資料!L$2:L$501,$BJ21)="","",INDEX(原始資料!L$2:L$501,$BJ21)))</f>
        <v/>
      </c>
      <c r="K21" s="6">
        <f>IF(OR($BJ21="",10&gt;設定!$B$3),"",IF(INDEX(原始資料!M$2:M$501,$BJ21)="","",INDEX(原始資料!M$2:M$501,$BJ21)))</f>
        <v/>
      </c>
      <c r="L21" s="6">
        <f>IF(OR($BJ21="",11&gt;設定!$B$3),"",IF(INDEX(原始資料!N$2:N$501,$BJ21)="","",INDEX(原始資料!N$2:N$501,$BJ21)))</f>
        <v/>
      </c>
      <c r="M21" s="6">
        <f>IF(OR($BJ21="",12&gt;設定!$B$3),"",IF(INDEX(原始資料!O$2:O$501,$BJ21)="","",INDEX(原始資料!O$2:O$501,$BJ21)))</f>
        <v/>
      </c>
      <c r="N21" s="6">
        <f>IF(OR($BJ21="",13&gt;設定!$B$3),"",IF(INDEX(原始資料!P$2:P$501,$BJ21)="","",INDEX(原始資料!P$2:P$501,$BJ21)))</f>
        <v/>
      </c>
      <c r="O21" s="6">
        <f>IF(OR($BJ21="",14&gt;設定!$B$3),"",IF(INDEX(原始資料!Q$2:Q$501,$BJ21)="","",INDEX(原始資料!Q$2:Q$501,$BJ21)))</f>
        <v/>
      </c>
      <c r="P21" s="6">
        <f>IF(OR($BJ21="",15&gt;設定!$B$3),"",IF(INDEX(原始資料!R$2:R$501,$BJ21)="","",INDEX(原始資料!R$2:R$501,$BJ21)))</f>
        <v/>
      </c>
      <c r="Q21" s="6">
        <f>IF(OR($BJ21="",16&gt;設定!$B$3),"",IF(INDEX(原始資料!S$2:S$501,$BJ21)="","",INDEX(原始資料!S$2:S$501,$BJ21)))</f>
        <v/>
      </c>
      <c r="R21" s="6">
        <f>IF(OR($BJ21="",17&gt;設定!$B$3),"",IF(INDEX(原始資料!T$2:T$501,$BJ21)="","",INDEX(原始資料!T$2:T$501,$BJ21)))</f>
        <v/>
      </c>
      <c r="S21" s="6">
        <f>IF(OR($BJ21="",18&gt;設定!$B$3),"",IF(INDEX(原始資料!U$2:U$501,$BJ21)="","",INDEX(原始資料!U$2:U$501,$BJ21)))</f>
        <v/>
      </c>
      <c r="T21" s="6">
        <f>IF(OR($BJ21="",19&gt;設定!$B$3),"",IF(INDEX(原始資料!V$2:V$501,$BJ21)="","",INDEX(原始資料!V$2:V$501,$BJ21)))</f>
        <v/>
      </c>
      <c r="U21" s="6">
        <f>IF(OR($BJ21="",20&gt;設定!$B$3),"",IF(INDEX(原始資料!W$2:W$501,$BJ21)="","",INDEX(原始資料!W$2:W$501,$BJ21)))</f>
        <v/>
      </c>
      <c r="V21" s="6">
        <f>IF(OR($BJ21="",21&gt;設定!$B$3),"",IF(INDEX(原始資料!X$2:X$501,$BJ21)="","",INDEX(原始資料!X$2:X$501,$BJ21)))</f>
        <v/>
      </c>
      <c r="W21" s="6">
        <f>IF(OR($BJ21="",22&gt;設定!$B$3),"",IF(INDEX(原始資料!Y$2:Y$501,$BJ21)="","",INDEX(原始資料!Y$2:Y$501,$BJ21)))</f>
        <v/>
      </c>
      <c r="X21" s="6">
        <f>IF(OR($BJ21="",23&gt;設定!$B$3),"",IF(INDEX(原始資料!Z$2:Z$501,$BJ21)="","",INDEX(原始資料!Z$2:Z$501,$BJ21)))</f>
        <v/>
      </c>
      <c r="Y21" s="6">
        <f>IF(OR($BJ21="",24&gt;設定!$B$3),"",IF(INDEX(原始資料!AA$2:AA$501,$BJ21)="","",INDEX(原始資料!AA$2:AA$501,$BJ21)))</f>
        <v/>
      </c>
      <c r="Z21" s="6">
        <f>IF(OR($BJ21="",25&gt;設定!$B$3),"",IF(INDEX(原始資料!AB$2:AB$501,$BJ21)="","",INDEX(原始資料!AB$2:AB$501,$BJ21)))</f>
        <v/>
      </c>
      <c r="AA21" s="6">
        <f>IF(OR($BJ21="",26&gt;設定!$B$3),"",IF(INDEX(原始資料!AC$2:AC$501,$BJ21)="","",INDEX(原始資料!AC$2:AC$501,$BJ21)))</f>
        <v/>
      </c>
      <c r="AB21" s="6">
        <f>IF(OR($BJ21="",27&gt;設定!$B$3),"",IF(INDEX(原始資料!AD$2:AD$501,$BJ21)="","",INDEX(原始資料!AD$2:AD$501,$BJ21)))</f>
        <v/>
      </c>
      <c r="AC21" s="6">
        <f>IF(OR($BJ21="",28&gt;設定!$B$3),"",IF(INDEX(原始資料!AE$2:AE$501,$BJ21)="","",INDEX(原始資料!AE$2:AE$501,$BJ21)))</f>
        <v/>
      </c>
      <c r="AD21" s="6">
        <f>IF(OR($BJ21="",29&gt;設定!$B$3),"",IF(INDEX(原始資料!AF$2:AF$501,$BJ21)="","",INDEX(原始資料!AF$2:AF$501,$BJ21)))</f>
        <v/>
      </c>
      <c r="AE21" s="6">
        <f>IF(OR($BJ21="",30&gt;設定!$B$3),"",IF(INDEX(原始資料!AG$2:AG$501,$BJ21)="","",INDEX(原始資料!AG$2:AG$501,$BJ21)))</f>
        <v/>
      </c>
      <c r="AF21" s="6">
        <f>IF(OR($BJ21="",31&gt;設定!$B$3),"",IF(INDEX(原始資料!AH$2:AH$501,$BJ21)="","",INDEX(原始資料!AH$2:AH$501,$BJ21)))</f>
        <v/>
      </c>
      <c r="AG21" s="6">
        <f>IF(OR($BJ21="",32&gt;設定!$B$3),"",IF(INDEX(原始資料!AI$2:AI$501,$BJ21)="","",INDEX(原始資料!AI$2:AI$501,$BJ21)))</f>
        <v/>
      </c>
      <c r="AH21" s="6">
        <f>IF(OR($BJ21="",33&gt;設定!$B$3),"",IF(INDEX(原始資料!AJ$2:AJ$501,$BJ21)="","",INDEX(原始資料!AJ$2:AJ$501,$BJ21)))</f>
        <v/>
      </c>
      <c r="AI21" s="6">
        <f>IF(OR($BJ21="",34&gt;設定!$B$3),"",IF(INDEX(原始資料!AK$2:AK$501,$BJ21)="","",INDEX(原始資料!AK$2:AK$501,$BJ21)))</f>
        <v/>
      </c>
      <c r="AJ21" s="6">
        <f>IF(OR($BJ21="",35&gt;設定!$B$3),"",IF(INDEX(原始資料!AL$2:AL$501,$BJ21)="","",INDEX(原始資料!AL$2:AL$501,$BJ21)))</f>
        <v/>
      </c>
      <c r="AK21" s="6">
        <f>IF(OR($BJ21="",36&gt;設定!$B$3),"",IF(INDEX(原始資料!AM$2:AM$501,$BJ21)="","",INDEX(原始資料!AM$2:AM$501,$BJ21)))</f>
        <v/>
      </c>
      <c r="AL21" s="6">
        <f>IF(OR($BJ21="",37&gt;設定!$B$3),"",IF(INDEX(原始資料!AN$2:AN$501,$BJ21)="","",INDEX(原始資料!AN$2:AN$501,$BJ21)))</f>
        <v/>
      </c>
      <c r="AM21" s="6">
        <f>IF(OR($BJ21="",38&gt;設定!$B$3),"",IF(INDEX(原始資料!AO$2:AO$501,$BJ21)="","",INDEX(原始資料!AO$2:AO$501,$BJ21)))</f>
        <v/>
      </c>
      <c r="AN21" s="6">
        <f>IF(OR($BJ21="",39&gt;設定!$B$3),"",IF(INDEX(原始資料!AP$2:AP$501,$BJ21)="","",INDEX(原始資料!AP$2:AP$501,$BJ21)))</f>
        <v/>
      </c>
      <c r="AO21" s="6">
        <f>IF(OR($BJ21="",40&gt;設定!$B$3),"",IF(INDEX(原始資料!AQ$2:AQ$501,$BJ21)="","",INDEX(原始資料!AQ$2:AQ$501,$BJ21)))</f>
        <v/>
      </c>
      <c r="AP21" s="6">
        <f>IF(OR($BJ21="",41&gt;設定!$B$3),"",IF(INDEX(原始資料!AR$2:AR$501,$BJ21)="","",INDEX(原始資料!AR$2:AR$501,$BJ21)))</f>
        <v/>
      </c>
      <c r="AQ21" s="6">
        <f>IF(OR($BJ21="",42&gt;設定!$B$3),"",IF(INDEX(原始資料!AS$2:AS$501,$BJ21)="","",INDEX(原始資料!AS$2:AS$501,$BJ21)))</f>
        <v/>
      </c>
      <c r="AR21" s="6">
        <f>IF(OR($BJ21="",43&gt;設定!$B$3),"",IF(INDEX(原始資料!AT$2:AT$501,$BJ21)="","",INDEX(原始資料!AT$2:AT$501,$BJ21)))</f>
        <v/>
      </c>
      <c r="AS21" s="6">
        <f>IF(OR($BJ21="",44&gt;設定!$B$3),"",IF(INDEX(原始資料!AU$2:AU$501,$BJ21)="","",INDEX(原始資料!AU$2:AU$501,$BJ21)))</f>
        <v/>
      </c>
      <c r="AT21" s="6">
        <f>IF(OR($BJ21="",45&gt;設定!$B$3),"",IF(INDEX(原始資料!AV$2:AV$501,$BJ21)="","",INDEX(原始資料!AV$2:AV$501,$BJ21)))</f>
        <v/>
      </c>
      <c r="AU21" s="6">
        <f>IF(OR($BJ21="",46&gt;設定!$B$3),"",IF(INDEX(原始資料!AW$2:AW$501,$BJ21)="","",INDEX(原始資料!AW$2:AW$501,$BJ21)))</f>
        <v/>
      </c>
      <c r="AV21" s="6">
        <f>IF(OR($BJ21="",47&gt;設定!$B$3),"",IF(INDEX(原始資料!AX$2:AX$501,$BJ21)="","",INDEX(原始資料!AX$2:AX$501,$BJ21)))</f>
        <v/>
      </c>
      <c r="AW21" s="6">
        <f>IF(OR($BJ21="",48&gt;設定!$B$3),"",IF(INDEX(原始資料!AY$2:AY$501,$BJ21)="","",INDEX(原始資料!AY$2:AY$501,$BJ21)))</f>
        <v/>
      </c>
      <c r="AX21" s="6">
        <f>IF(OR($BJ21="",49&gt;設定!$B$3),"",IF(INDEX(原始資料!AZ$2:AZ$501,$BJ21)="","",INDEX(原始資料!AZ$2:AZ$501,$BJ21)))</f>
        <v/>
      </c>
      <c r="AY21" s="6">
        <f>IF(OR($BJ21="",50&gt;設定!$B$3),"",IF(INDEX(原始資料!BA$2:BA$501,$BJ21)="","",INDEX(原始資料!BA$2:BA$501,$BJ21)))</f>
        <v/>
      </c>
      <c r="AZ21" s="6">
        <f>IF(OR($BJ21="",51&gt;設定!$B$3),"",IF(INDEX(原始資料!BB$2:BB$501,$BJ21)="","",INDEX(原始資料!BB$2:BB$501,$BJ21)))</f>
        <v/>
      </c>
      <c r="BA21" s="6">
        <f>IF(OR($BJ21="",52&gt;設定!$B$3),"",IF(INDEX(原始資料!BC$2:BC$501,$BJ21)="","",INDEX(原始資料!BC$2:BC$501,$BJ21)))</f>
        <v/>
      </c>
      <c r="BB21" s="6">
        <f>IF(OR($BJ21="",53&gt;設定!$B$3),"",IF(INDEX(原始資料!BD$2:BD$501,$BJ21)="","",INDEX(原始資料!BD$2:BD$501,$BJ21)))</f>
        <v/>
      </c>
      <c r="BC21" s="6">
        <f>IF(OR($BJ21="",54&gt;設定!$B$3),"",IF(INDEX(原始資料!BE$2:BE$501,$BJ21)="","",INDEX(原始資料!BE$2:BE$501,$BJ21)))</f>
        <v/>
      </c>
      <c r="BD21" s="6">
        <f>IF(OR($BJ21="",55&gt;設定!$B$3),"",IF(INDEX(原始資料!BF$2:BF$501,$BJ21)="","",INDEX(原始資料!BF$2:BF$501,$BJ21)))</f>
        <v/>
      </c>
      <c r="BE21" s="6">
        <f>IF(OR($BJ21="",56&gt;設定!$B$3),"",IF(INDEX(原始資料!BG$2:BG$501,$BJ21)="","",INDEX(原始資料!BG$2:BG$501,$BJ21)))</f>
        <v/>
      </c>
      <c r="BF21" s="6">
        <f>IF(OR($BJ21="",57&gt;設定!$B$3),"",IF(INDEX(原始資料!BH$2:BH$501,$BJ21)="","",INDEX(原始資料!BH$2:BH$501,$BJ21)))</f>
        <v/>
      </c>
      <c r="BG21" s="6">
        <f>IF(OR($BJ21="",58&gt;設定!$B$3),"",IF(INDEX(原始資料!BI$2:BI$501,$BJ21)="","",INDEX(原始資料!BI$2:BI$501,$BJ21)))</f>
        <v/>
      </c>
      <c r="BH21" s="6">
        <f>IF(OR($BJ21="",59&gt;設定!$B$3),"",IF(INDEX(原始資料!BJ$2:BJ$501,$BJ21)="","",INDEX(原始資料!BJ$2:BJ$501,$BJ21)))</f>
        <v/>
      </c>
      <c r="BI21" s="6">
        <f>IF(OR($BJ21="",60&gt;設定!$B$3),"",IF(INDEX(原始資料!BK$2:BK$501,$BJ21)="","",INDEX(原始資料!BK$2:BK$501,$BJ21)))</f>
        <v/>
      </c>
      <c r="BJ21" s="6">
        <f>IFERROR(MATCH(ROW()-1,判定!$H$2:$H$501,0),"")</f>
        <v/>
      </c>
    </row>
    <row r="22">
      <c r="A22" s="6">
        <f>IF($BJ22="","",INDEX(原始資料!$A$2:$A$501,$BJ22))</f>
        <v/>
      </c>
      <c r="B22" s="6">
        <f>IF(OR($BJ22="",1&gt;設定!$B$3),"",IF(INDEX(原始資料!D$2:D$501,$BJ22)="","",INDEX(原始資料!D$2:D$501,$BJ22)))</f>
        <v/>
      </c>
      <c r="C22" s="6">
        <f>IF(OR($BJ22="",2&gt;設定!$B$3),"",IF(INDEX(原始資料!E$2:E$501,$BJ22)="","",INDEX(原始資料!E$2:E$501,$BJ22)))</f>
        <v/>
      </c>
      <c r="D22" s="6">
        <f>IF(OR($BJ22="",3&gt;設定!$B$3),"",IF(INDEX(原始資料!F$2:F$501,$BJ22)="","",INDEX(原始資料!F$2:F$501,$BJ22)))</f>
        <v/>
      </c>
      <c r="E22" s="6">
        <f>IF(OR($BJ22="",4&gt;設定!$B$3),"",IF(INDEX(原始資料!G$2:G$501,$BJ22)="","",INDEX(原始資料!G$2:G$501,$BJ22)))</f>
        <v/>
      </c>
      <c r="F22" s="6">
        <f>IF(OR($BJ22="",5&gt;設定!$B$3),"",IF(INDEX(原始資料!H$2:H$501,$BJ22)="","",INDEX(原始資料!H$2:H$501,$BJ22)))</f>
        <v/>
      </c>
      <c r="G22" s="6">
        <f>IF(OR($BJ22="",6&gt;設定!$B$3),"",IF(INDEX(原始資料!I$2:I$501,$BJ22)="","",INDEX(原始資料!I$2:I$501,$BJ22)))</f>
        <v/>
      </c>
      <c r="H22" s="6">
        <f>IF(OR($BJ22="",7&gt;設定!$B$3),"",IF(INDEX(原始資料!J$2:J$501,$BJ22)="","",INDEX(原始資料!J$2:J$501,$BJ22)))</f>
        <v/>
      </c>
      <c r="I22" s="6">
        <f>IF(OR($BJ22="",8&gt;設定!$B$3),"",IF(INDEX(原始資料!K$2:K$501,$BJ22)="","",INDEX(原始資料!K$2:K$501,$BJ22)))</f>
        <v/>
      </c>
      <c r="J22" s="6">
        <f>IF(OR($BJ22="",9&gt;設定!$B$3),"",IF(INDEX(原始資料!L$2:L$501,$BJ22)="","",INDEX(原始資料!L$2:L$501,$BJ22)))</f>
        <v/>
      </c>
      <c r="K22" s="6">
        <f>IF(OR($BJ22="",10&gt;設定!$B$3),"",IF(INDEX(原始資料!M$2:M$501,$BJ22)="","",INDEX(原始資料!M$2:M$501,$BJ22)))</f>
        <v/>
      </c>
      <c r="L22" s="6">
        <f>IF(OR($BJ22="",11&gt;設定!$B$3),"",IF(INDEX(原始資料!N$2:N$501,$BJ22)="","",INDEX(原始資料!N$2:N$501,$BJ22)))</f>
        <v/>
      </c>
      <c r="M22" s="6">
        <f>IF(OR($BJ22="",12&gt;設定!$B$3),"",IF(INDEX(原始資料!O$2:O$501,$BJ22)="","",INDEX(原始資料!O$2:O$501,$BJ22)))</f>
        <v/>
      </c>
      <c r="N22" s="6">
        <f>IF(OR($BJ22="",13&gt;設定!$B$3),"",IF(INDEX(原始資料!P$2:P$501,$BJ22)="","",INDEX(原始資料!P$2:P$501,$BJ22)))</f>
        <v/>
      </c>
      <c r="O22" s="6">
        <f>IF(OR($BJ22="",14&gt;設定!$B$3),"",IF(INDEX(原始資料!Q$2:Q$501,$BJ22)="","",INDEX(原始資料!Q$2:Q$501,$BJ22)))</f>
        <v/>
      </c>
      <c r="P22" s="6">
        <f>IF(OR($BJ22="",15&gt;設定!$B$3),"",IF(INDEX(原始資料!R$2:R$501,$BJ22)="","",INDEX(原始資料!R$2:R$501,$BJ22)))</f>
        <v/>
      </c>
      <c r="Q22" s="6">
        <f>IF(OR($BJ22="",16&gt;設定!$B$3),"",IF(INDEX(原始資料!S$2:S$501,$BJ22)="","",INDEX(原始資料!S$2:S$501,$BJ22)))</f>
        <v/>
      </c>
      <c r="R22" s="6">
        <f>IF(OR($BJ22="",17&gt;設定!$B$3),"",IF(INDEX(原始資料!T$2:T$501,$BJ22)="","",INDEX(原始資料!T$2:T$501,$BJ22)))</f>
        <v/>
      </c>
      <c r="S22" s="6">
        <f>IF(OR($BJ22="",18&gt;設定!$B$3),"",IF(INDEX(原始資料!U$2:U$501,$BJ22)="","",INDEX(原始資料!U$2:U$501,$BJ22)))</f>
        <v/>
      </c>
      <c r="T22" s="6">
        <f>IF(OR($BJ22="",19&gt;設定!$B$3),"",IF(INDEX(原始資料!V$2:V$501,$BJ22)="","",INDEX(原始資料!V$2:V$501,$BJ22)))</f>
        <v/>
      </c>
      <c r="U22" s="6">
        <f>IF(OR($BJ22="",20&gt;設定!$B$3),"",IF(INDEX(原始資料!W$2:W$501,$BJ22)="","",INDEX(原始資料!W$2:W$501,$BJ22)))</f>
        <v/>
      </c>
      <c r="V22" s="6">
        <f>IF(OR($BJ22="",21&gt;設定!$B$3),"",IF(INDEX(原始資料!X$2:X$501,$BJ22)="","",INDEX(原始資料!X$2:X$501,$BJ22)))</f>
        <v/>
      </c>
      <c r="W22" s="6">
        <f>IF(OR($BJ22="",22&gt;設定!$B$3),"",IF(INDEX(原始資料!Y$2:Y$501,$BJ22)="","",INDEX(原始資料!Y$2:Y$501,$BJ22)))</f>
        <v/>
      </c>
      <c r="X22" s="6">
        <f>IF(OR($BJ22="",23&gt;設定!$B$3),"",IF(INDEX(原始資料!Z$2:Z$501,$BJ22)="","",INDEX(原始資料!Z$2:Z$501,$BJ22)))</f>
        <v/>
      </c>
      <c r="Y22" s="6">
        <f>IF(OR($BJ22="",24&gt;設定!$B$3),"",IF(INDEX(原始資料!AA$2:AA$501,$BJ22)="","",INDEX(原始資料!AA$2:AA$501,$BJ22)))</f>
        <v/>
      </c>
      <c r="Z22" s="6">
        <f>IF(OR($BJ22="",25&gt;設定!$B$3),"",IF(INDEX(原始資料!AB$2:AB$501,$BJ22)="","",INDEX(原始資料!AB$2:AB$501,$BJ22)))</f>
        <v/>
      </c>
      <c r="AA22" s="6">
        <f>IF(OR($BJ22="",26&gt;設定!$B$3),"",IF(INDEX(原始資料!AC$2:AC$501,$BJ22)="","",INDEX(原始資料!AC$2:AC$501,$BJ22)))</f>
        <v/>
      </c>
      <c r="AB22" s="6">
        <f>IF(OR($BJ22="",27&gt;設定!$B$3),"",IF(INDEX(原始資料!AD$2:AD$501,$BJ22)="","",INDEX(原始資料!AD$2:AD$501,$BJ22)))</f>
        <v/>
      </c>
      <c r="AC22" s="6">
        <f>IF(OR($BJ22="",28&gt;設定!$B$3),"",IF(INDEX(原始資料!AE$2:AE$501,$BJ22)="","",INDEX(原始資料!AE$2:AE$501,$BJ22)))</f>
        <v/>
      </c>
      <c r="AD22" s="6">
        <f>IF(OR($BJ22="",29&gt;設定!$B$3),"",IF(INDEX(原始資料!AF$2:AF$501,$BJ22)="","",INDEX(原始資料!AF$2:AF$501,$BJ22)))</f>
        <v/>
      </c>
      <c r="AE22" s="6">
        <f>IF(OR($BJ22="",30&gt;設定!$B$3),"",IF(INDEX(原始資料!AG$2:AG$501,$BJ22)="","",INDEX(原始資料!AG$2:AG$501,$BJ22)))</f>
        <v/>
      </c>
      <c r="AF22" s="6">
        <f>IF(OR($BJ22="",31&gt;設定!$B$3),"",IF(INDEX(原始資料!AH$2:AH$501,$BJ22)="","",INDEX(原始資料!AH$2:AH$501,$BJ22)))</f>
        <v/>
      </c>
      <c r="AG22" s="6">
        <f>IF(OR($BJ22="",32&gt;設定!$B$3),"",IF(INDEX(原始資料!AI$2:AI$501,$BJ22)="","",INDEX(原始資料!AI$2:AI$501,$BJ22)))</f>
        <v/>
      </c>
      <c r="AH22" s="6">
        <f>IF(OR($BJ22="",33&gt;設定!$B$3),"",IF(INDEX(原始資料!AJ$2:AJ$501,$BJ22)="","",INDEX(原始資料!AJ$2:AJ$501,$BJ22)))</f>
        <v/>
      </c>
      <c r="AI22" s="6">
        <f>IF(OR($BJ22="",34&gt;設定!$B$3),"",IF(INDEX(原始資料!AK$2:AK$501,$BJ22)="","",INDEX(原始資料!AK$2:AK$501,$BJ22)))</f>
        <v/>
      </c>
      <c r="AJ22" s="6">
        <f>IF(OR($BJ22="",35&gt;設定!$B$3),"",IF(INDEX(原始資料!AL$2:AL$501,$BJ22)="","",INDEX(原始資料!AL$2:AL$501,$BJ22)))</f>
        <v/>
      </c>
      <c r="AK22" s="6">
        <f>IF(OR($BJ22="",36&gt;設定!$B$3),"",IF(INDEX(原始資料!AM$2:AM$501,$BJ22)="","",INDEX(原始資料!AM$2:AM$501,$BJ22)))</f>
        <v/>
      </c>
      <c r="AL22" s="6">
        <f>IF(OR($BJ22="",37&gt;設定!$B$3),"",IF(INDEX(原始資料!AN$2:AN$501,$BJ22)="","",INDEX(原始資料!AN$2:AN$501,$BJ22)))</f>
        <v/>
      </c>
      <c r="AM22" s="6">
        <f>IF(OR($BJ22="",38&gt;設定!$B$3),"",IF(INDEX(原始資料!AO$2:AO$501,$BJ22)="","",INDEX(原始資料!AO$2:AO$501,$BJ22)))</f>
        <v/>
      </c>
      <c r="AN22" s="6">
        <f>IF(OR($BJ22="",39&gt;設定!$B$3),"",IF(INDEX(原始資料!AP$2:AP$501,$BJ22)="","",INDEX(原始資料!AP$2:AP$501,$BJ22)))</f>
        <v/>
      </c>
      <c r="AO22" s="6">
        <f>IF(OR($BJ22="",40&gt;設定!$B$3),"",IF(INDEX(原始資料!AQ$2:AQ$501,$BJ22)="","",INDEX(原始資料!AQ$2:AQ$501,$BJ22)))</f>
        <v/>
      </c>
      <c r="AP22" s="6">
        <f>IF(OR($BJ22="",41&gt;設定!$B$3),"",IF(INDEX(原始資料!AR$2:AR$501,$BJ22)="","",INDEX(原始資料!AR$2:AR$501,$BJ22)))</f>
        <v/>
      </c>
      <c r="AQ22" s="6">
        <f>IF(OR($BJ22="",42&gt;設定!$B$3),"",IF(INDEX(原始資料!AS$2:AS$501,$BJ22)="","",INDEX(原始資料!AS$2:AS$501,$BJ22)))</f>
        <v/>
      </c>
      <c r="AR22" s="6">
        <f>IF(OR($BJ22="",43&gt;設定!$B$3),"",IF(INDEX(原始資料!AT$2:AT$501,$BJ22)="","",INDEX(原始資料!AT$2:AT$501,$BJ22)))</f>
        <v/>
      </c>
      <c r="AS22" s="6">
        <f>IF(OR($BJ22="",44&gt;設定!$B$3),"",IF(INDEX(原始資料!AU$2:AU$501,$BJ22)="","",INDEX(原始資料!AU$2:AU$501,$BJ22)))</f>
        <v/>
      </c>
      <c r="AT22" s="6">
        <f>IF(OR($BJ22="",45&gt;設定!$B$3),"",IF(INDEX(原始資料!AV$2:AV$501,$BJ22)="","",INDEX(原始資料!AV$2:AV$501,$BJ22)))</f>
        <v/>
      </c>
      <c r="AU22" s="6">
        <f>IF(OR($BJ22="",46&gt;設定!$B$3),"",IF(INDEX(原始資料!AW$2:AW$501,$BJ22)="","",INDEX(原始資料!AW$2:AW$501,$BJ22)))</f>
        <v/>
      </c>
      <c r="AV22" s="6">
        <f>IF(OR($BJ22="",47&gt;設定!$B$3),"",IF(INDEX(原始資料!AX$2:AX$501,$BJ22)="","",INDEX(原始資料!AX$2:AX$501,$BJ22)))</f>
        <v/>
      </c>
      <c r="AW22" s="6">
        <f>IF(OR($BJ22="",48&gt;設定!$B$3),"",IF(INDEX(原始資料!AY$2:AY$501,$BJ22)="","",INDEX(原始資料!AY$2:AY$501,$BJ22)))</f>
        <v/>
      </c>
      <c r="AX22" s="6">
        <f>IF(OR($BJ22="",49&gt;設定!$B$3),"",IF(INDEX(原始資料!AZ$2:AZ$501,$BJ22)="","",INDEX(原始資料!AZ$2:AZ$501,$BJ22)))</f>
        <v/>
      </c>
      <c r="AY22" s="6">
        <f>IF(OR($BJ22="",50&gt;設定!$B$3),"",IF(INDEX(原始資料!BA$2:BA$501,$BJ22)="","",INDEX(原始資料!BA$2:BA$501,$BJ22)))</f>
        <v/>
      </c>
      <c r="AZ22" s="6">
        <f>IF(OR($BJ22="",51&gt;設定!$B$3),"",IF(INDEX(原始資料!BB$2:BB$501,$BJ22)="","",INDEX(原始資料!BB$2:BB$501,$BJ22)))</f>
        <v/>
      </c>
      <c r="BA22" s="6">
        <f>IF(OR($BJ22="",52&gt;設定!$B$3),"",IF(INDEX(原始資料!BC$2:BC$501,$BJ22)="","",INDEX(原始資料!BC$2:BC$501,$BJ22)))</f>
        <v/>
      </c>
      <c r="BB22" s="6">
        <f>IF(OR($BJ22="",53&gt;設定!$B$3),"",IF(INDEX(原始資料!BD$2:BD$501,$BJ22)="","",INDEX(原始資料!BD$2:BD$501,$BJ22)))</f>
        <v/>
      </c>
      <c r="BC22" s="6">
        <f>IF(OR($BJ22="",54&gt;設定!$B$3),"",IF(INDEX(原始資料!BE$2:BE$501,$BJ22)="","",INDEX(原始資料!BE$2:BE$501,$BJ22)))</f>
        <v/>
      </c>
      <c r="BD22" s="6">
        <f>IF(OR($BJ22="",55&gt;設定!$B$3),"",IF(INDEX(原始資料!BF$2:BF$501,$BJ22)="","",INDEX(原始資料!BF$2:BF$501,$BJ22)))</f>
        <v/>
      </c>
      <c r="BE22" s="6">
        <f>IF(OR($BJ22="",56&gt;設定!$B$3),"",IF(INDEX(原始資料!BG$2:BG$501,$BJ22)="","",INDEX(原始資料!BG$2:BG$501,$BJ22)))</f>
        <v/>
      </c>
      <c r="BF22" s="6">
        <f>IF(OR($BJ22="",57&gt;設定!$B$3),"",IF(INDEX(原始資料!BH$2:BH$501,$BJ22)="","",INDEX(原始資料!BH$2:BH$501,$BJ22)))</f>
        <v/>
      </c>
      <c r="BG22" s="6">
        <f>IF(OR($BJ22="",58&gt;設定!$B$3),"",IF(INDEX(原始資料!BI$2:BI$501,$BJ22)="","",INDEX(原始資料!BI$2:BI$501,$BJ22)))</f>
        <v/>
      </c>
      <c r="BH22" s="6">
        <f>IF(OR($BJ22="",59&gt;設定!$B$3),"",IF(INDEX(原始資料!BJ$2:BJ$501,$BJ22)="","",INDEX(原始資料!BJ$2:BJ$501,$BJ22)))</f>
        <v/>
      </c>
      <c r="BI22" s="6">
        <f>IF(OR($BJ22="",60&gt;設定!$B$3),"",IF(INDEX(原始資料!BK$2:BK$501,$BJ22)="","",INDEX(原始資料!BK$2:BK$501,$BJ22)))</f>
        <v/>
      </c>
      <c r="BJ22" s="6">
        <f>IFERROR(MATCH(ROW()-1,判定!$H$2:$H$501,0),"")</f>
        <v/>
      </c>
    </row>
    <row r="23">
      <c r="A23" s="6">
        <f>IF($BJ23="","",INDEX(原始資料!$A$2:$A$501,$BJ23))</f>
        <v/>
      </c>
      <c r="B23" s="6">
        <f>IF(OR($BJ23="",1&gt;設定!$B$3),"",IF(INDEX(原始資料!D$2:D$501,$BJ23)="","",INDEX(原始資料!D$2:D$501,$BJ23)))</f>
        <v/>
      </c>
      <c r="C23" s="6">
        <f>IF(OR($BJ23="",2&gt;設定!$B$3),"",IF(INDEX(原始資料!E$2:E$501,$BJ23)="","",INDEX(原始資料!E$2:E$501,$BJ23)))</f>
        <v/>
      </c>
      <c r="D23" s="6">
        <f>IF(OR($BJ23="",3&gt;設定!$B$3),"",IF(INDEX(原始資料!F$2:F$501,$BJ23)="","",INDEX(原始資料!F$2:F$501,$BJ23)))</f>
        <v/>
      </c>
      <c r="E23" s="6">
        <f>IF(OR($BJ23="",4&gt;設定!$B$3),"",IF(INDEX(原始資料!G$2:G$501,$BJ23)="","",INDEX(原始資料!G$2:G$501,$BJ23)))</f>
        <v/>
      </c>
      <c r="F23" s="6">
        <f>IF(OR($BJ23="",5&gt;設定!$B$3),"",IF(INDEX(原始資料!H$2:H$501,$BJ23)="","",INDEX(原始資料!H$2:H$501,$BJ23)))</f>
        <v/>
      </c>
      <c r="G23" s="6">
        <f>IF(OR($BJ23="",6&gt;設定!$B$3),"",IF(INDEX(原始資料!I$2:I$501,$BJ23)="","",INDEX(原始資料!I$2:I$501,$BJ23)))</f>
        <v/>
      </c>
      <c r="H23" s="6">
        <f>IF(OR($BJ23="",7&gt;設定!$B$3),"",IF(INDEX(原始資料!J$2:J$501,$BJ23)="","",INDEX(原始資料!J$2:J$501,$BJ23)))</f>
        <v/>
      </c>
      <c r="I23" s="6">
        <f>IF(OR($BJ23="",8&gt;設定!$B$3),"",IF(INDEX(原始資料!K$2:K$501,$BJ23)="","",INDEX(原始資料!K$2:K$501,$BJ23)))</f>
        <v/>
      </c>
      <c r="J23" s="6">
        <f>IF(OR($BJ23="",9&gt;設定!$B$3),"",IF(INDEX(原始資料!L$2:L$501,$BJ23)="","",INDEX(原始資料!L$2:L$501,$BJ23)))</f>
        <v/>
      </c>
      <c r="K23" s="6">
        <f>IF(OR($BJ23="",10&gt;設定!$B$3),"",IF(INDEX(原始資料!M$2:M$501,$BJ23)="","",INDEX(原始資料!M$2:M$501,$BJ23)))</f>
        <v/>
      </c>
      <c r="L23" s="6">
        <f>IF(OR($BJ23="",11&gt;設定!$B$3),"",IF(INDEX(原始資料!N$2:N$501,$BJ23)="","",INDEX(原始資料!N$2:N$501,$BJ23)))</f>
        <v/>
      </c>
      <c r="M23" s="6">
        <f>IF(OR($BJ23="",12&gt;設定!$B$3),"",IF(INDEX(原始資料!O$2:O$501,$BJ23)="","",INDEX(原始資料!O$2:O$501,$BJ23)))</f>
        <v/>
      </c>
      <c r="N23" s="6">
        <f>IF(OR($BJ23="",13&gt;設定!$B$3),"",IF(INDEX(原始資料!P$2:P$501,$BJ23)="","",INDEX(原始資料!P$2:P$501,$BJ23)))</f>
        <v/>
      </c>
      <c r="O23" s="6">
        <f>IF(OR($BJ23="",14&gt;設定!$B$3),"",IF(INDEX(原始資料!Q$2:Q$501,$BJ23)="","",INDEX(原始資料!Q$2:Q$501,$BJ23)))</f>
        <v/>
      </c>
      <c r="P23" s="6">
        <f>IF(OR($BJ23="",15&gt;設定!$B$3),"",IF(INDEX(原始資料!R$2:R$501,$BJ23)="","",INDEX(原始資料!R$2:R$501,$BJ23)))</f>
        <v/>
      </c>
      <c r="Q23" s="6">
        <f>IF(OR($BJ23="",16&gt;設定!$B$3),"",IF(INDEX(原始資料!S$2:S$501,$BJ23)="","",INDEX(原始資料!S$2:S$501,$BJ23)))</f>
        <v/>
      </c>
      <c r="R23" s="6">
        <f>IF(OR($BJ23="",17&gt;設定!$B$3),"",IF(INDEX(原始資料!T$2:T$501,$BJ23)="","",INDEX(原始資料!T$2:T$501,$BJ23)))</f>
        <v/>
      </c>
      <c r="S23" s="6">
        <f>IF(OR($BJ23="",18&gt;設定!$B$3),"",IF(INDEX(原始資料!U$2:U$501,$BJ23)="","",INDEX(原始資料!U$2:U$501,$BJ23)))</f>
        <v/>
      </c>
      <c r="T23" s="6">
        <f>IF(OR($BJ23="",19&gt;設定!$B$3),"",IF(INDEX(原始資料!V$2:V$501,$BJ23)="","",INDEX(原始資料!V$2:V$501,$BJ23)))</f>
        <v/>
      </c>
      <c r="U23" s="6">
        <f>IF(OR($BJ23="",20&gt;設定!$B$3),"",IF(INDEX(原始資料!W$2:W$501,$BJ23)="","",INDEX(原始資料!W$2:W$501,$BJ23)))</f>
        <v/>
      </c>
      <c r="V23" s="6">
        <f>IF(OR($BJ23="",21&gt;設定!$B$3),"",IF(INDEX(原始資料!X$2:X$501,$BJ23)="","",INDEX(原始資料!X$2:X$501,$BJ23)))</f>
        <v/>
      </c>
      <c r="W23" s="6">
        <f>IF(OR($BJ23="",22&gt;設定!$B$3),"",IF(INDEX(原始資料!Y$2:Y$501,$BJ23)="","",INDEX(原始資料!Y$2:Y$501,$BJ23)))</f>
        <v/>
      </c>
      <c r="X23" s="6">
        <f>IF(OR($BJ23="",23&gt;設定!$B$3),"",IF(INDEX(原始資料!Z$2:Z$501,$BJ23)="","",INDEX(原始資料!Z$2:Z$501,$BJ23)))</f>
        <v/>
      </c>
      <c r="Y23" s="6">
        <f>IF(OR($BJ23="",24&gt;設定!$B$3),"",IF(INDEX(原始資料!AA$2:AA$501,$BJ23)="","",INDEX(原始資料!AA$2:AA$501,$BJ23)))</f>
        <v/>
      </c>
      <c r="Z23" s="6">
        <f>IF(OR($BJ23="",25&gt;設定!$B$3),"",IF(INDEX(原始資料!AB$2:AB$501,$BJ23)="","",INDEX(原始資料!AB$2:AB$501,$BJ23)))</f>
        <v/>
      </c>
      <c r="AA23" s="6">
        <f>IF(OR($BJ23="",26&gt;設定!$B$3),"",IF(INDEX(原始資料!AC$2:AC$501,$BJ23)="","",INDEX(原始資料!AC$2:AC$501,$BJ23)))</f>
        <v/>
      </c>
      <c r="AB23" s="6">
        <f>IF(OR($BJ23="",27&gt;設定!$B$3),"",IF(INDEX(原始資料!AD$2:AD$501,$BJ23)="","",INDEX(原始資料!AD$2:AD$501,$BJ23)))</f>
        <v/>
      </c>
      <c r="AC23" s="6">
        <f>IF(OR($BJ23="",28&gt;設定!$B$3),"",IF(INDEX(原始資料!AE$2:AE$501,$BJ23)="","",INDEX(原始資料!AE$2:AE$501,$BJ23)))</f>
        <v/>
      </c>
      <c r="AD23" s="6">
        <f>IF(OR($BJ23="",29&gt;設定!$B$3),"",IF(INDEX(原始資料!AF$2:AF$501,$BJ23)="","",INDEX(原始資料!AF$2:AF$501,$BJ23)))</f>
        <v/>
      </c>
      <c r="AE23" s="6">
        <f>IF(OR($BJ23="",30&gt;設定!$B$3),"",IF(INDEX(原始資料!AG$2:AG$501,$BJ23)="","",INDEX(原始資料!AG$2:AG$501,$BJ23)))</f>
        <v/>
      </c>
      <c r="AF23" s="6">
        <f>IF(OR($BJ23="",31&gt;設定!$B$3),"",IF(INDEX(原始資料!AH$2:AH$501,$BJ23)="","",INDEX(原始資料!AH$2:AH$501,$BJ23)))</f>
        <v/>
      </c>
      <c r="AG23" s="6">
        <f>IF(OR($BJ23="",32&gt;設定!$B$3),"",IF(INDEX(原始資料!AI$2:AI$501,$BJ23)="","",INDEX(原始資料!AI$2:AI$501,$BJ23)))</f>
        <v/>
      </c>
      <c r="AH23" s="6">
        <f>IF(OR($BJ23="",33&gt;設定!$B$3),"",IF(INDEX(原始資料!AJ$2:AJ$501,$BJ23)="","",INDEX(原始資料!AJ$2:AJ$501,$BJ23)))</f>
        <v/>
      </c>
      <c r="AI23" s="6">
        <f>IF(OR($BJ23="",34&gt;設定!$B$3),"",IF(INDEX(原始資料!AK$2:AK$501,$BJ23)="","",INDEX(原始資料!AK$2:AK$501,$BJ23)))</f>
        <v/>
      </c>
      <c r="AJ23" s="6">
        <f>IF(OR($BJ23="",35&gt;設定!$B$3),"",IF(INDEX(原始資料!AL$2:AL$501,$BJ23)="","",INDEX(原始資料!AL$2:AL$501,$BJ23)))</f>
        <v/>
      </c>
      <c r="AK23" s="6">
        <f>IF(OR($BJ23="",36&gt;設定!$B$3),"",IF(INDEX(原始資料!AM$2:AM$501,$BJ23)="","",INDEX(原始資料!AM$2:AM$501,$BJ23)))</f>
        <v/>
      </c>
      <c r="AL23" s="6">
        <f>IF(OR($BJ23="",37&gt;設定!$B$3),"",IF(INDEX(原始資料!AN$2:AN$501,$BJ23)="","",INDEX(原始資料!AN$2:AN$501,$BJ23)))</f>
        <v/>
      </c>
      <c r="AM23" s="6">
        <f>IF(OR($BJ23="",38&gt;設定!$B$3),"",IF(INDEX(原始資料!AO$2:AO$501,$BJ23)="","",INDEX(原始資料!AO$2:AO$501,$BJ23)))</f>
        <v/>
      </c>
      <c r="AN23" s="6">
        <f>IF(OR($BJ23="",39&gt;設定!$B$3),"",IF(INDEX(原始資料!AP$2:AP$501,$BJ23)="","",INDEX(原始資料!AP$2:AP$501,$BJ23)))</f>
        <v/>
      </c>
      <c r="AO23" s="6">
        <f>IF(OR($BJ23="",40&gt;設定!$B$3),"",IF(INDEX(原始資料!AQ$2:AQ$501,$BJ23)="","",INDEX(原始資料!AQ$2:AQ$501,$BJ23)))</f>
        <v/>
      </c>
      <c r="AP23" s="6">
        <f>IF(OR($BJ23="",41&gt;設定!$B$3),"",IF(INDEX(原始資料!AR$2:AR$501,$BJ23)="","",INDEX(原始資料!AR$2:AR$501,$BJ23)))</f>
        <v/>
      </c>
      <c r="AQ23" s="6">
        <f>IF(OR($BJ23="",42&gt;設定!$B$3),"",IF(INDEX(原始資料!AS$2:AS$501,$BJ23)="","",INDEX(原始資料!AS$2:AS$501,$BJ23)))</f>
        <v/>
      </c>
      <c r="AR23" s="6">
        <f>IF(OR($BJ23="",43&gt;設定!$B$3),"",IF(INDEX(原始資料!AT$2:AT$501,$BJ23)="","",INDEX(原始資料!AT$2:AT$501,$BJ23)))</f>
        <v/>
      </c>
      <c r="AS23" s="6">
        <f>IF(OR($BJ23="",44&gt;設定!$B$3),"",IF(INDEX(原始資料!AU$2:AU$501,$BJ23)="","",INDEX(原始資料!AU$2:AU$501,$BJ23)))</f>
        <v/>
      </c>
      <c r="AT23" s="6">
        <f>IF(OR($BJ23="",45&gt;設定!$B$3),"",IF(INDEX(原始資料!AV$2:AV$501,$BJ23)="","",INDEX(原始資料!AV$2:AV$501,$BJ23)))</f>
        <v/>
      </c>
      <c r="AU23" s="6">
        <f>IF(OR($BJ23="",46&gt;設定!$B$3),"",IF(INDEX(原始資料!AW$2:AW$501,$BJ23)="","",INDEX(原始資料!AW$2:AW$501,$BJ23)))</f>
        <v/>
      </c>
      <c r="AV23" s="6">
        <f>IF(OR($BJ23="",47&gt;設定!$B$3),"",IF(INDEX(原始資料!AX$2:AX$501,$BJ23)="","",INDEX(原始資料!AX$2:AX$501,$BJ23)))</f>
        <v/>
      </c>
      <c r="AW23" s="6">
        <f>IF(OR($BJ23="",48&gt;設定!$B$3),"",IF(INDEX(原始資料!AY$2:AY$501,$BJ23)="","",INDEX(原始資料!AY$2:AY$501,$BJ23)))</f>
        <v/>
      </c>
      <c r="AX23" s="6">
        <f>IF(OR($BJ23="",49&gt;設定!$B$3),"",IF(INDEX(原始資料!AZ$2:AZ$501,$BJ23)="","",INDEX(原始資料!AZ$2:AZ$501,$BJ23)))</f>
        <v/>
      </c>
      <c r="AY23" s="6">
        <f>IF(OR($BJ23="",50&gt;設定!$B$3),"",IF(INDEX(原始資料!BA$2:BA$501,$BJ23)="","",INDEX(原始資料!BA$2:BA$501,$BJ23)))</f>
        <v/>
      </c>
      <c r="AZ23" s="6">
        <f>IF(OR($BJ23="",51&gt;設定!$B$3),"",IF(INDEX(原始資料!BB$2:BB$501,$BJ23)="","",INDEX(原始資料!BB$2:BB$501,$BJ23)))</f>
        <v/>
      </c>
      <c r="BA23" s="6">
        <f>IF(OR($BJ23="",52&gt;設定!$B$3),"",IF(INDEX(原始資料!BC$2:BC$501,$BJ23)="","",INDEX(原始資料!BC$2:BC$501,$BJ23)))</f>
        <v/>
      </c>
      <c r="BB23" s="6">
        <f>IF(OR($BJ23="",53&gt;設定!$B$3),"",IF(INDEX(原始資料!BD$2:BD$501,$BJ23)="","",INDEX(原始資料!BD$2:BD$501,$BJ23)))</f>
        <v/>
      </c>
      <c r="BC23" s="6">
        <f>IF(OR($BJ23="",54&gt;設定!$B$3),"",IF(INDEX(原始資料!BE$2:BE$501,$BJ23)="","",INDEX(原始資料!BE$2:BE$501,$BJ23)))</f>
        <v/>
      </c>
      <c r="BD23" s="6">
        <f>IF(OR($BJ23="",55&gt;設定!$B$3),"",IF(INDEX(原始資料!BF$2:BF$501,$BJ23)="","",INDEX(原始資料!BF$2:BF$501,$BJ23)))</f>
        <v/>
      </c>
      <c r="BE23" s="6">
        <f>IF(OR($BJ23="",56&gt;設定!$B$3),"",IF(INDEX(原始資料!BG$2:BG$501,$BJ23)="","",INDEX(原始資料!BG$2:BG$501,$BJ23)))</f>
        <v/>
      </c>
      <c r="BF23" s="6">
        <f>IF(OR($BJ23="",57&gt;設定!$B$3),"",IF(INDEX(原始資料!BH$2:BH$501,$BJ23)="","",INDEX(原始資料!BH$2:BH$501,$BJ23)))</f>
        <v/>
      </c>
      <c r="BG23" s="6">
        <f>IF(OR($BJ23="",58&gt;設定!$B$3),"",IF(INDEX(原始資料!BI$2:BI$501,$BJ23)="","",INDEX(原始資料!BI$2:BI$501,$BJ23)))</f>
        <v/>
      </c>
      <c r="BH23" s="6">
        <f>IF(OR($BJ23="",59&gt;設定!$B$3),"",IF(INDEX(原始資料!BJ$2:BJ$501,$BJ23)="","",INDEX(原始資料!BJ$2:BJ$501,$BJ23)))</f>
        <v/>
      </c>
      <c r="BI23" s="6">
        <f>IF(OR($BJ23="",60&gt;設定!$B$3),"",IF(INDEX(原始資料!BK$2:BK$501,$BJ23)="","",INDEX(原始資料!BK$2:BK$501,$BJ23)))</f>
        <v/>
      </c>
      <c r="BJ23" s="6">
        <f>IFERROR(MATCH(ROW()-1,判定!$H$2:$H$501,0),"")</f>
        <v/>
      </c>
    </row>
    <row r="24">
      <c r="A24" s="6">
        <f>IF($BJ24="","",INDEX(原始資料!$A$2:$A$501,$BJ24))</f>
        <v/>
      </c>
      <c r="B24" s="6">
        <f>IF(OR($BJ24="",1&gt;設定!$B$3),"",IF(INDEX(原始資料!D$2:D$501,$BJ24)="","",INDEX(原始資料!D$2:D$501,$BJ24)))</f>
        <v/>
      </c>
      <c r="C24" s="6">
        <f>IF(OR($BJ24="",2&gt;設定!$B$3),"",IF(INDEX(原始資料!E$2:E$501,$BJ24)="","",INDEX(原始資料!E$2:E$501,$BJ24)))</f>
        <v/>
      </c>
      <c r="D24" s="6">
        <f>IF(OR($BJ24="",3&gt;設定!$B$3),"",IF(INDEX(原始資料!F$2:F$501,$BJ24)="","",INDEX(原始資料!F$2:F$501,$BJ24)))</f>
        <v/>
      </c>
      <c r="E24" s="6">
        <f>IF(OR($BJ24="",4&gt;設定!$B$3),"",IF(INDEX(原始資料!G$2:G$501,$BJ24)="","",INDEX(原始資料!G$2:G$501,$BJ24)))</f>
        <v/>
      </c>
      <c r="F24" s="6">
        <f>IF(OR($BJ24="",5&gt;設定!$B$3),"",IF(INDEX(原始資料!H$2:H$501,$BJ24)="","",INDEX(原始資料!H$2:H$501,$BJ24)))</f>
        <v/>
      </c>
      <c r="G24" s="6">
        <f>IF(OR($BJ24="",6&gt;設定!$B$3),"",IF(INDEX(原始資料!I$2:I$501,$BJ24)="","",INDEX(原始資料!I$2:I$501,$BJ24)))</f>
        <v/>
      </c>
      <c r="H24" s="6">
        <f>IF(OR($BJ24="",7&gt;設定!$B$3),"",IF(INDEX(原始資料!J$2:J$501,$BJ24)="","",INDEX(原始資料!J$2:J$501,$BJ24)))</f>
        <v/>
      </c>
      <c r="I24" s="6">
        <f>IF(OR($BJ24="",8&gt;設定!$B$3),"",IF(INDEX(原始資料!K$2:K$501,$BJ24)="","",INDEX(原始資料!K$2:K$501,$BJ24)))</f>
        <v/>
      </c>
      <c r="J24" s="6">
        <f>IF(OR($BJ24="",9&gt;設定!$B$3),"",IF(INDEX(原始資料!L$2:L$501,$BJ24)="","",INDEX(原始資料!L$2:L$501,$BJ24)))</f>
        <v/>
      </c>
      <c r="K24" s="6">
        <f>IF(OR($BJ24="",10&gt;設定!$B$3),"",IF(INDEX(原始資料!M$2:M$501,$BJ24)="","",INDEX(原始資料!M$2:M$501,$BJ24)))</f>
        <v/>
      </c>
      <c r="L24" s="6">
        <f>IF(OR($BJ24="",11&gt;設定!$B$3),"",IF(INDEX(原始資料!N$2:N$501,$BJ24)="","",INDEX(原始資料!N$2:N$501,$BJ24)))</f>
        <v/>
      </c>
      <c r="M24" s="6">
        <f>IF(OR($BJ24="",12&gt;設定!$B$3),"",IF(INDEX(原始資料!O$2:O$501,$BJ24)="","",INDEX(原始資料!O$2:O$501,$BJ24)))</f>
        <v/>
      </c>
      <c r="N24" s="6">
        <f>IF(OR($BJ24="",13&gt;設定!$B$3),"",IF(INDEX(原始資料!P$2:P$501,$BJ24)="","",INDEX(原始資料!P$2:P$501,$BJ24)))</f>
        <v/>
      </c>
      <c r="O24" s="6">
        <f>IF(OR($BJ24="",14&gt;設定!$B$3),"",IF(INDEX(原始資料!Q$2:Q$501,$BJ24)="","",INDEX(原始資料!Q$2:Q$501,$BJ24)))</f>
        <v/>
      </c>
      <c r="P24" s="6">
        <f>IF(OR($BJ24="",15&gt;設定!$B$3),"",IF(INDEX(原始資料!R$2:R$501,$BJ24)="","",INDEX(原始資料!R$2:R$501,$BJ24)))</f>
        <v/>
      </c>
      <c r="Q24" s="6">
        <f>IF(OR($BJ24="",16&gt;設定!$B$3),"",IF(INDEX(原始資料!S$2:S$501,$BJ24)="","",INDEX(原始資料!S$2:S$501,$BJ24)))</f>
        <v/>
      </c>
      <c r="R24" s="6">
        <f>IF(OR($BJ24="",17&gt;設定!$B$3),"",IF(INDEX(原始資料!T$2:T$501,$BJ24)="","",INDEX(原始資料!T$2:T$501,$BJ24)))</f>
        <v/>
      </c>
      <c r="S24" s="6">
        <f>IF(OR($BJ24="",18&gt;設定!$B$3),"",IF(INDEX(原始資料!U$2:U$501,$BJ24)="","",INDEX(原始資料!U$2:U$501,$BJ24)))</f>
        <v/>
      </c>
      <c r="T24" s="6">
        <f>IF(OR($BJ24="",19&gt;設定!$B$3),"",IF(INDEX(原始資料!V$2:V$501,$BJ24)="","",INDEX(原始資料!V$2:V$501,$BJ24)))</f>
        <v/>
      </c>
      <c r="U24" s="6">
        <f>IF(OR($BJ24="",20&gt;設定!$B$3),"",IF(INDEX(原始資料!W$2:W$501,$BJ24)="","",INDEX(原始資料!W$2:W$501,$BJ24)))</f>
        <v/>
      </c>
      <c r="V24" s="6">
        <f>IF(OR($BJ24="",21&gt;設定!$B$3),"",IF(INDEX(原始資料!X$2:X$501,$BJ24)="","",INDEX(原始資料!X$2:X$501,$BJ24)))</f>
        <v/>
      </c>
      <c r="W24" s="6">
        <f>IF(OR($BJ24="",22&gt;設定!$B$3),"",IF(INDEX(原始資料!Y$2:Y$501,$BJ24)="","",INDEX(原始資料!Y$2:Y$501,$BJ24)))</f>
        <v/>
      </c>
      <c r="X24" s="6">
        <f>IF(OR($BJ24="",23&gt;設定!$B$3),"",IF(INDEX(原始資料!Z$2:Z$501,$BJ24)="","",INDEX(原始資料!Z$2:Z$501,$BJ24)))</f>
        <v/>
      </c>
      <c r="Y24" s="6">
        <f>IF(OR($BJ24="",24&gt;設定!$B$3),"",IF(INDEX(原始資料!AA$2:AA$501,$BJ24)="","",INDEX(原始資料!AA$2:AA$501,$BJ24)))</f>
        <v/>
      </c>
      <c r="Z24" s="6">
        <f>IF(OR($BJ24="",25&gt;設定!$B$3),"",IF(INDEX(原始資料!AB$2:AB$501,$BJ24)="","",INDEX(原始資料!AB$2:AB$501,$BJ24)))</f>
        <v/>
      </c>
      <c r="AA24" s="6">
        <f>IF(OR($BJ24="",26&gt;設定!$B$3),"",IF(INDEX(原始資料!AC$2:AC$501,$BJ24)="","",INDEX(原始資料!AC$2:AC$501,$BJ24)))</f>
        <v/>
      </c>
      <c r="AB24" s="6">
        <f>IF(OR($BJ24="",27&gt;設定!$B$3),"",IF(INDEX(原始資料!AD$2:AD$501,$BJ24)="","",INDEX(原始資料!AD$2:AD$501,$BJ24)))</f>
        <v/>
      </c>
      <c r="AC24" s="6">
        <f>IF(OR($BJ24="",28&gt;設定!$B$3),"",IF(INDEX(原始資料!AE$2:AE$501,$BJ24)="","",INDEX(原始資料!AE$2:AE$501,$BJ24)))</f>
        <v/>
      </c>
      <c r="AD24" s="6">
        <f>IF(OR($BJ24="",29&gt;設定!$B$3),"",IF(INDEX(原始資料!AF$2:AF$501,$BJ24)="","",INDEX(原始資料!AF$2:AF$501,$BJ24)))</f>
        <v/>
      </c>
      <c r="AE24" s="6">
        <f>IF(OR($BJ24="",30&gt;設定!$B$3),"",IF(INDEX(原始資料!AG$2:AG$501,$BJ24)="","",INDEX(原始資料!AG$2:AG$501,$BJ24)))</f>
        <v/>
      </c>
      <c r="AF24" s="6">
        <f>IF(OR($BJ24="",31&gt;設定!$B$3),"",IF(INDEX(原始資料!AH$2:AH$501,$BJ24)="","",INDEX(原始資料!AH$2:AH$501,$BJ24)))</f>
        <v/>
      </c>
      <c r="AG24" s="6">
        <f>IF(OR($BJ24="",32&gt;設定!$B$3),"",IF(INDEX(原始資料!AI$2:AI$501,$BJ24)="","",INDEX(原始資料!AI$2:AI$501,$BJ24)))</f>
        <v/>
      </c>
      <c r="AH24" s="6">
        <f>IF(OR($BJ24="",33&gt;設定!$B$3),"",IF(INDEX(原始資料!AJ$2:AJ$501,$BJ24)="","",INDEX(原始資料!AJ$2:AJ$501,$BJ24)))</f>
        <v/>
      </c>
      <c r="AI24" s="6">
        <f>IF(OR($BJ24="",34&gt;設定!$B$3),"",IF(INDEX(原始資料!AK$2:AK$501,$BJ24)="","",INDEX(原始資料!AK$2:AK$501,$BJ24)))</f>
        <v/>
      </c>
      <c r="AJ24" s="6">
        <f>IF(OR($BJ24="",35&gt;設定!$B$3),"",IF(INDEX(原始資料!AL$2:AL$501,$BJ24)="","",INDEX(原始資料!AL$2:AL$501,$BJ24)))</f>
        <v/>
      </c>
      <c r="AK24" s="6">
        <f>IF(OR($BJ24="",36&gt;設定!$B$3),"",IF(INDEX(原始資料!AM$2:AM$501,$BJ24)="","",INDEX(原始資料!AM$2:AM$501,$BJ24)))</f>
        <v/>
      </c>
      <c r="AL24" s="6">
        <f>IF(OR($BJ24="",37&gt;設定!$B$3),"",IF(INDEX(原始資料!AN$2:AN$501,$BJ24)="","",INDEX(原始資料!AN$2:AN$501,$BJ24)))</f>
        <v/>
      </c>
      <c r="AM24" s="6">
        <f>IF(OR($BJ24="",38&gt;設定!$B$3),"",IF(INDEX(原始資料!AO$2:AO$501,$BJ24)="","",INDEX(原始資料!AO$2:AO$501,$BJ24)))</f>
        <v/>
      </c>
      <c r="AN24" s="6">
        <f>IF(OR($BJ24="",39&gt;設定!$B$3),"",IF(INDEX(原始資料!AP$2:AP$501,$BJ24)="","",INDEX(原始資料!AP$2:AP$501,$BJ24)))</f>
        <v/>
      </c>
      <c r="AO24" s="6">
        <f>IF(OR($BJ24="",40&gt;設定!$B$3),"",IF(INDEX(原始資料!AQ$2:AQ$501,$BJ24)="","",INDEX(原始資料!AQ$2:AQ$501,$BJ24)))</f>
        <v/>
      </c>
      <c r="AP24" s="6">
        <f>IF(OR($BJ24="",41&gt;設定!$B$3),"",IF(INDEX(原始資料!AR$2:AR$501,$BJ24)="","",INDEX(原始資料!AR$2:AR$501,$BJ24)))</f>
        <v/>
      </c>
      <c r="AQ24" s="6">
        <f>IF(OR($BJ24="",42&gt;設定!$B$3),"",IF(INDEX(原始資料!AS$2:AS$501,$BJ24)="","",INDEX(原始資料!AS$2:AS$501,$BJ24)))</f>
        <v/>
      </c>
      <c r="AR24" s="6">
        <f>IF(OR($BJ24="",43&gt;設定!$B$3),"",IF(INDEX(原始資料!AT$2:AT$501,$BJ24)="","",INDEX(原始資料!AT$2:AT$501,$BJ24)))</f>
        <v/>
      </c>
      <c r="AS24" s="6">
        <f>IF(OR($BJ24="",44&gt;設定!$B$3),"",IF(INDEX(原始資料!AU$2:AU$501,$BJ24)="","",INDEX(原始資料!AU$2:AU$501,$BJ24)))</f>
        <v/>
      </c>
      <c r="AT24" s="6">
        <f>IF(OR($BJ24="",45&gt;設定!$B$3),"",IF(INDEX(原始資料!AV$2:AV$501,$BJ24)="","",INDEX(原始資料!AV$2:AV$501,$BJ24)))</f>
        <v/>
      </c>
      <c r="AU24" s="6">
        <f>IF(OR($BJ24="",46&gt;設定!$B$3),"",IF(INDEX(原始資料!AW$2:AW$501,$BJ24)="","",INDEX(原始資料!AW$2:AW$501,$BJ24)))</f>
        <v/>
      </c>
      <c r="AV24" s="6">
        <f>IF(OR($BJ24="",47&gt;設定!$B$3),"",IF(INDEX(原始資料!AX$2:AX$501,$BJ24)="","",INDEX(原始資料!AX$2:AX$501,$BJ24)))</f>
        <v/>
      </c>
      <c r="AW24" s="6">
        <f>IF(OR($BJ24="",48&gt;設定!$B$3),"",IF(INDEX(原始資料!AY$2:AY$501,$BJ24)="","",INDEX(原始資料!AY$2:AY$501,$BJ24)))</f>
        <v/>
      </c>
      <c r="AX24" s="6">
        <f>IF(OR($BJ24="",49&gt;設定!$B$3),"",IF(INDEX(原始資料!AZ$2:AZ$501,$BJ24)="","",INDEX(原始資料!AZ$2:AZ$501,$BJ24)))</f>
        <v/>
      </c>
      <c r="AY24" s="6">
        <f>IF(OR($BJ24="",50&gt;設定!$B$3),"",IF(INDEX(原始資料!BA$2:BA$501,$BJ24)="","",INDEX(原始資料!BA$2:BA$501,$BJ24)))</f>
        <v/>
      </c>
      <c r="AZ24" s="6">
        <f>IF(OR($BJ24="",51&gt;設定!$B$3),"",IF(INDEX(原始資料!BB$2:BB$501,$BJ24)="","",INDEX(原始資料!BB$2:BB$501,$BJ24)))</f>
        <v/>
      </c>
      <c r="BA24" s="6">
        <f>IF(OR($BJ24="",52&gt;設定!$B$3),"",IF(INDEX(原始資料!BC$2:BC$501,$BJ24)="","",INDEX(原始資料!BC$2:BC$501,$BJ24)))</f>
        <v/>
      </c>
      <c r="BB24" s="6">
        <f>IF(OR($BJ24="",53&gt;設定!$B$3),"",IF(INDEX(原始資料!BD$2:BD$501,$BJ24)="","",INDEX(原始資料!BD$2:BD$501,$BJ24)))</f>
        <v/>
      </c>
      <c r="BC24" s="6">
        <f>IF(OR($BJ24="",54&gt;設定!$B$3),"",IF(INDEX(原始資料!BE$2:BE$501,$BJ24)="","",INDEX(原始資料!BE$2:BE$501,$BJ24)))</f>
        <v/>
      </c>
      <c r="BD24" s="6">
        <f>IF(OR($BJ24="",55&gt;設定!$B$3),"",IF(INDEX(原始資料!BF$2:BF$501,$BJ24)="","",INDEX(原始資料!BF$2:BF$501,$BJ24)))</f>
        <v/>
      </c>
      <c r="BE24" s="6">
        <f>IF(OR($BJ24="",56&gt;設定!$B$3),"",IF(INDEX(原始資料!BG$2:BG$501,$BJ24)="","",INDEX(原始資料!BG$2:BG$501,$BJ24)))</f>
        <v/>
      </c>
      <c r="BF24" s="6">
        <f>IF(OR($BJ24="",57&gt;設定!$B$3),"",IF(INDEX(原始資料!BH$2:BH$501,$BJ24)="","",INDEX(原始資料!BH$2:BH$501,$BJ24)))</f>
        <v/>
      </c>
      <c r="BG24" s="6">
        <f>IF(OR($BJ24="",58&gt;設定!$B$3),"",IF(INDEX(原始資料!BI$2:BI$501,$BJ24)="","",INDEX(原始資料!BI$2:BI$501,$BJ24)))</f>
        <v/>
      </c>
      <c r="BH24" s="6">
        <f>IF(OR($BJ24="",59&gt;設定!$B$3),"",IF(INDEX(原始資料!BJ$2:BJ$501,$BJ24)="","",INDEX(原始資料!BJ$2:BJ$501,$BJ24)))</f>
        <v/>
      </c>
      <c r="BI24" s="6">
        <f>IF(OR($BJ24="",60&gt;設定!$B$3),"",IF(INDEX(原始資料!BK$2:BK$501,$BJ24)="","",INDEX(原始資料!BK$2:BK$501,$BJ24)))</f>
        <v/>
      </c>
      <c r="BJ24" s="6">
        <f>IFERROR(MATCH(ROW()-1,判定!$H$2:$H$501,0),"")</f>
        <v/>
      </c>
    </row>
    <row r="25">
      <c r="A25" s="6">
        <f>IF($BJ25="","",INDEX(原始資料!$A$2:$A$501,$BJ25))</f>
        <v/>
      </c>
      <c r="B25" s="6">
        <f>IF(OR($BJ25="",1&gt;設定!$B$3),"",IF(INDEX(原始資料!D$2:D$501,$BJ25)="","",INDEX(原始資料!D$2:D$501,$BJ25)))</f>
        <v/>
      </c>
      <c r="C25" s="6">
        <f>IF(OR($BJ25="",2&gt;設定!$B$3),"",IF(INDEX(原始資料!E$2:E$501,$BJ25)="","",INDEX(原始資料!E$2:E$501,$BJ25)))</f>
        <v/>
      </c>
      <c r="D25" s="6">
        <f>IF(OR($BJ25="",3&gt;設定!$B$3),"",IF(INDEX(原始資料!F$2:F$501,$BJ25)="","",INDEX(原始資料!F$2:F$501,$BJ25)))</f>
        <v/>
      </c>
      <c r="E25" s="6">
        <f>IF(OR($BJ25="",4&gt;設定!$B$3),"",IF(INDEX(原始資料!G$2:G$501,$BJ25)="","",INDEX(原始資料!G$2:G$501,$BJ25)))</f>
        <v/>
      </c>
      <c r="F25" s="6">
        <f>IF(OR($BJ25="",5&gt;設定!$B$3),"",IF(INDEX(原始資料!H$2:H$501,$BJ25)="","",INDEX(原始資料!H$2:H$501,$BJ25)))</f>
        <v/>
      </c>
      <c r="G25" s="6">
        <f>IF(OR($BJ25="",6&gt;設定!$B$3),"",IF(INDEX(原始資料!I$2:I$501,$BJ25)="","",INDEX(原始資料!I$2:I$501,$BJ25)))</f>
        <v/>
      </c>
      <c r="H25" s="6">
        <f>IF(OR($BJ25="",7&gt;設定!$B$3),"",IF(INDEX(原始資料!J$2:J$501,$BJ25)="","",INDEX(原始資料!J$2:J$501,$BJ25)))</f>
        <v/>
      </c>
      <c r="I25" s="6">
        <f>IF(OR($BJ25="",8&gt;設定!$B$3),"",IF(INDEX(原始資料!K$2:K$501,$BJ25)="","",INDEX(原始資料!K$2:K$501,$BJ25)))</f>
        <v/>
      </c>
      <c r="J25" s="6">
        <f>IF(OR($BJ25="",9&gt;設定!$B$3),"",IF(INDEX(原始資料!L$2:L$501,$BJ25)="","",INDEX(原始資料!L$2:L$501,$BJ25)))</f>
        <v/>
      </c>
      <c r="K25" s="6">
        <f>IF(OR($BJ25="",10&gt;設定!$B$3),"",IF(INDEX(原始資料!M$2:M$501,$BJ25)="","",INDEX(原始資料!M$2:M$501,$BJ25)))</f>
        <v/>
      </c>
      <c r="L25" s="6">
        <f>IF(OR($BJ25="",11&gt;設定!$B$3),"",IF(INDEX(原始資料!N$2:N$501,$BJ25)="","",INDEX(原始資料!N$2:N$501,$BJ25)))</f>
        <v/>
      </c>
      <c r="M25" s="6">
        <f>IF(OR($BJ25="",12&gt;設定!$B$3),"",IF(INDEX(原始資料!O$2:O$501,$BJ25)="","",INDEX(原始資料!O$2:O$501,$BJ25)))</f>
        <v/>
      </c>
      <c r="N25" s="6">
        <f>IF(OR($BJ25="",13&gt;設定!$B$3),"",IF(INDEX(原始資料!P$2:P$501,$BJ25)="","",INDEX(原始資料!P$2:P$501,$BJ25)))</f>
        <v/>
      </c>
      <c r="O25" s="6">
        <f>IF(OR($BJ25="",14&gt;設定!$B$3),"",IF(INDEX(原始資料!Q$2:Q$501,$BJ25)="","",INDEX(原始資料!Q$2:Q$501,$BJ25)))</f>
        <v/>
      </c>
      <c r="P25" s="6">
        <f>IF(OR($BJ25="",15&gt;設定!$B$3),"",IF(INDEX(原始資料!R$2:R$501,$BJ25)="","",INDEX(原始資料!R$2:R$501,$BJ25)))</f>
        <v/>
      </c>
      <c r="Q25" s="6">
        <f>IF(OR($BJ25="",16&gt;設定!$B$3),"",IF(INDEX(原始資料!S$2:S$501,$BJ25)="","",INDEX(原始資料!S$2:S$501,$BJ25)))</f>
        <v/>
      </c>
      <c r="R25" s="6">
        <f>IF(OR($BJ25="",17&gt;設定!$B$3),"",IF(INDEX(原始資料!T$2:T$501,$BJ25)="","",INDEX(原始資料!T$2:T$501,$BJ25)))</f>
        <v/>
      </c>
      <c r="S25" s="6">
        <f>IF(OR($BJ25="",18&gt;設定!$B$3),"",IF(INDEX(原始資料!U$2:U$501,$BJ25)="","",INDEX(原始資料!U$2:U$501,$BJ25)))</f>
        <v/>
      </c>
      <c r="T25" s="6">
        <f>IF(OR($BJ25="",19&gt;設定!$B$3),"",IF(INDEX(原始資料!V$2:V$501,$BJ25)="","",INDEX(原始資料!V$2:V$501,$BJ25)))</f>
        <v/>
      </c>
      <c r="U25" s="6">
        <f>IF(OR($BJ25="",20&gt;設定!$B$3),"",IF(INDEX(原始資料!W$2:W$501,$BJ25)="","",INDEX(原始資料!W$2:W$501,$BJ25)))</f>
        <v/>
      </c>
      <c r="V25" s="6">
        <f>IF(OR($BJ25="",21&gt;設定!$B$3),"",IF(INDEX(原始資料!X$2:X$501,$BJ25)="","",INDEX(原始資料!X$2:X$501,$BJ25)))</f>
        <v/>
      </c>
      <c r="W25" s="6">
        <f>IF(OR($BJ25="",22&gt;設定!$B$3),"",IF(INDEX(原始資料!Y$2:Y$501,$BJ25)="","",INDEX(原始資料!Y$2:Y$501,$BJ25)))</f>
        <v/>
      </c>
      <c r="X25" s="6">
        <f>IF(OR($BJ25="",23&gt;設定!$B$3),"",IF(INDEX(原始資料!Z$2:Z$501,$BJ25)="","",INDEX(原始資料!Z$2:Z$501,$BJ25)))</f>
        <v/>
      </c>
      <c r="Y25" s="6">
        <f>IF(OR($BJ25="",24&gt;設定!$B$3),"",IF(INDEX(原始資料!AA$2:AA$501,$BJ25)="","",INDEX(原始資料!AA$2:AA$501,$BJ25)))</f>
        <v/>
      </c>
      <c r="Z25" s="6">
        <f>IF(OR($BJ25="",25&gt;設定!$B$3),"",IF(INDEX(原始資料!AB$2:AB$501,$BJ25)="","",INDEX(原始資料!AB$2:AB$501,$BJ25)))</f>
        <v/>
      </c>
      <c r="AA25" s="6">
        <f>IF(OR($BJ25="",26&gt;設定!$B$3),"",IF(INDEX(原始資料!AC$2:AC$501,$BJ25)="","",INDEX(原始資料!AC$2:AC$501,$BJ25)))</f>
        <v/>
      </c>
      <c r="AB25" s="6">
        <f>IF(OR($BJ25="",27&gt;設定!$B$3),"",IF(INDEX(原始資料!AD$2:AD$501,$BJ25)="","",INDEX(原始資料!AD$2:AD$501,$BJ25)))</f>
        <v/>
      </c>
      <c r="AC25" s="6">
        <f>IF(OR($BJ25="",28&gt;設定!$B$3),"",IF(INDEX(原始資料!AE$2:AE$501,$BJ25)="","",INDEX(原始資料!AE$2:AE$501,$BJ25)))</f>
        <v/>
      </c>
      <c r="AD25" s="6">
        <f>IF(OR($BJ25="",29&gt;設定!$B$3),"",IF(INDEX(原始資料!AF$2:AF$501,$BJ25)="","",INDEX(原始資料!AF$2:AF$501,$BJ25)))</f>
        <v/>
      </c>
      <c r="AE25" s="6">
        <f>IF(OR($BJ25="",30&gt;設定!$B$3),"",IF(INDEX(原始資料!AG$2:AG$501,$BJ25)="","",INDEX(原始資料!AG$2:AG$501,$BJ25)))</f>
        <v/>
      </c>
      <c r="AF25" s="6">
        <f>IF(OR($BJ25="",31&gt;設定!$B$3),"",IF(INDEX(原始資料!AH$2:AH$501,$BJ25)="","",INDEX(原始資料!AH$2:AH$501,$BJ25)))</f>
        <v/>
      </c>
      <c r="AG25" s="6">
        <f>IF(OR($BJ25="",32&gt;設定!$B$3),"",IF(INDEX(原始資料!AI$2:AI$501,$BJ25)="","",INDEX(原始資料!AI$2:AI$501,$BJ25)))</f>
        <v/>
      </c>
      <c r="AH25" s="6">
        <f>IF(OR($BJ25="",33&gt;設定!$B$3),"",IF(INDEX(原始資料!AJ$2:AJ$501,$BJ25)="","",INDEX(原始資料!AJ$2:AJ$501,$BJ25)))</f>
        <v/>
      </c>
      <c r="AI25" s="6">
        <f>IF(OR($BJ25="",34&gt;設定!$B$3),"",IF(INDEX(原始資料!AK$2:AK$501,$BJ25)="","",INDEX(原始資料!AK$2:AK$501,$BJ25)))</f>
        <v/>
      </c>
      <c r="AJ25" s="6">
        <f>IF(OR($BJ25="",35&gt;設定!$B$3),"",IF(INDEX(原始資料!AL$2:AL$501,$BJ25)="","",INDEX(原始資料!AL$2:AL$501,$BJ25)))</f>
        <v/>
      </c>
      <c r="AK25" s="6">
        <f>IF(OR($BJ25="",36&gt;設定!$B$3),"",IF(INDEX(原始資料!AM$2:AM$501,$BJ25)="","",INDEX(原始資料!AM$2:AM$501,$BJ25)))</f>
        <v/>
      </c>
      <c r="AL25" s="6">
        <f>IF(OR($BJ25="",37&gt;設定!$B$3),"",IF(INDEX(原始資料!AN$2:AN$501,$BJ25)="","",INDEX(原始資料!AN$2:AN$501,$BJ25)))</f>
        <v/>
      </c>
      <c r="AM25" s="6">
        <f>IF(OR($BJ25="",38&gt;設定!$B$3),"",IF(INDEX(原始資料!AO$2:AO$501,$BJ25)="","",INDEX(原始資料!AO$2:AO$501,$BJ25)))</f>
        <v/>
      </c>
      <c r="AN25" s="6">
        <f>IF(OR($BJ25="",39&gt;設定!$B$3),"",IF(INDEX(原始資料!AP$2:AP$501,$BJ25)="","",INDEX(原始資料!AP$2:AP$501,$BJ25)))</f>
        <v/>
      </c>
      <c r="AO25" s="6">
        <f>IF(OR($BJ25="",40&gt;設定!$B$3),"",IF(INDEX(原始資料!AQ$2:AQ$501,$BJ25)="","",INDEX(原始資料!AQ$2:AQ$501,$BJ25)))</f>
        <v/>
      </c>
      <c r="AP25" s="6">
        <f>IF(OR($BJ25="",41&gt;設定!$B$3),"",IF(INDEX(原始資料!AR$2:AR$501,$BJ25)="","",INDEX(原始資料!AR$2:AR$501,$BJ25)))</f>
        <v/>
      </c>
      <c r="AQ25" s="6">
        <f>IF(OR($BJ25="",42&gt;設定!$B$3),"",IF(INDEX(原始資料!AS$2:AS$501,$BJ25)="","",INDEX(原始資料!AS$2:AS$501,$BJ25)))</f>
        <v/>
      </c>
      <c r="AR25" s="6">
        <f>IF(OR($BJ25="",43&gt;設定!$B$3),"",IF(INDEX(原始資料!AT$2:AT$501,$BJ25)="","",INDEX(原始資料!AT$2:AT$501,$BJ25)))</f>
        <v/>
      </c>
      <c r="AS25" s="6">
        <f>IF(OR($BJ25="",44&gt;設定!$B$3),"",IF(INDEX(原始資料!AU$2:AU$501,$BJ25)="","",INDEX(原始資料!AU$2:AU$501,$BJ25)))</f>
        <v/>
      </c>
      <c r="AT25" s="6">
        <f>IF(OR($BJ25="",45&gt;設定!$B$3),"",IF(INDEX(原始資料!AV$2:AV$501,$BJ25)="","",INDEX(原始資料!AV$2:AV$501,$BJ25)))</f>
        <v/>
      </c>
      <c r="AU25" s="6">
        <f>IF(OR($BJ25="",46&gt;設定!$B$3),"",IF(INDEX(原始資料!AW$2:AW$501,$BJ25)="","",INDEX(原始資料!AW$2:AW$501,$BJ25)))</f>
        <v/>
      </c>
      <c r="AV25" s="6">
        <f>IF(OR($BJ25="",47&gt;設定!$B$3),"",IF(INDEX(原始資料!AX$2:AX$501,$BJ25)="","",INDEX(原始資料!AX$2:AX$501,$BJ25)))</f>
        <v/>
      </c>
      <c r="AW25" s="6">
        <f>IF(OR($BJ25="",48&gt;設定!$B$3),"",IF(INDEX(原始資料!AY$2:AY$501,$BJ25)="","",INDEX(原始資料!AY$2:AY$501,$BJ25)))</f>
        <v/>
      </c>
      <c r="AX25" s="6">
        <f>IF(OR($BJ25="",49&gt;設定!$B$3),"",IF(INDEX(原始資料!AZ$2:AZ$501,$BJ25)="","",INDEX(原始資料!AZ$2:AZ$501,$BJ25)))</f>
        <v/>
      </c>
      <c r="AY25" s="6">
        <f>IF(OR($BJ25="",50&gt;設定!$B$3),"",IF(INDEX(原始資料!BA$2:BA$501,$BJ25)="","",INDEX(原始資料!BA$2:BA$501,$BJ25)))</f>
        <v/>
      </c>
      <c r="AZ25" s="6">
        <f>IF(OR($BJ25="",51&gt;設定!$B$3),"",IF(INDEX(原始資料!BB$2:BB$501,$BJ25)="","",INDEX(原始資料!BB$2:BB$501,$BJ25)))</f>
        <v/>
      </c>
      <c r="BA25" s="6">
        <f>IF(OR($BJ25="",52&gt;設定!$B$3),"",IF(INDEX(原始資料!BC$2:BC$501,$BJ25)="","",INDEX(原始資料!BC$2:BC$501,$BJ25)))</f>
        <v/>
      </c>
      <c r="BB25" s="6">
        <f>IF(OR($BJ25="",53&gt;設定!$B$3),"",IF(INDEX(原始資料!BD$2:BD$501,$BJ25)="","",INDEX(原始資料!BD$2:BD$501,$BJ25)))</f>
        <v/>
      </c>
      <c r="BC25" s="6">
        <f>IF(OR($BJ25="",54&gt;設定!$B$3),"",IF(INDEX(原始資料!BE$2:BE$501,$BJ25)="","",INDEX(原始資料!BE$2:BE$501,$BJ25)))</f>
        <v/>
      </c>
      <c r="BD25" s="6">
        <f>IF(OR($BJ25="",55&gt;設定!$B$3),"",IF(INDEX(原始資料!BF$2:BF$501,$BJ25)="","",INDEX(原始資料!BF$2:BF$501,$BJ25)))</f>
        <v/>
      </c>
      <c r="BE25" s="6">
        <f>IF(OR($BJ25="",56&gt;設定!$B$3),"",IF(INDEX(原始資料!BG$2:BG$501,$BJ25)="","",INDEX(原始資料!BG$2:BG$501,$BJ25)))</f>
        <v/>
      </c>
      <c r="BF25" s="6">
        <f>IF(OR($BJ25="",57&gt;設定!$B$3),"",IF(INDEX(原始資料!BH$2:BH$501,$BJ25)="","",INDEX(原始資料!BH$2:BH$501,$BJ25)))</f>
        <v/>
      </c>
      <c r="BG25" s="6">
        <f>IF(OR($BJ25="",58&gt;設定!$B$3),"",IF(INDEX(原始資料!BI$2:BI$501,$BJ25)="","",INDEX(原始資料!BI$2:BI$501,$BJ25)))</f>
        <v/>
      </c>
      <c r="BH25" s="6">
        <f>IF(OR($BJ25="",59&gt;設定!$B$3),"",IF(INDEX(原始資料!BJ$2:BJ$501,$BJ25)="","",INDEX(原始資料!BJ$2:BJ$501,$BJ25)))</f>
        <v/>
      </c>
      <c r="BI25" s="6">
        <f>IF(OR($BJ25="",60&gt;設定!$B$3),"",IF(INDEX(原始資料!BK$2:BK$501,$BJ25)="","",INDEX(原始資料!BK$2:BK$501,$BJ25)))</f>
        <v/>
      </c>
      <c r="BJ25" s="6">
        <f>IFERROR(MATCH(ROW()-1,判定!$H$2:$H$501,0),"")</f>
        <v/>
      </c>
    </row>
    <row r="26">
      <c r="A26" s="6">
        <f>IF($BJ26="","",INDEX(原始資料!$A$2:$A$501,$BJ26))</f>
        <v/>
      </c>
      <c r="B26" s="6">
        <f>IF(OR($BJ26="",1&gt;設定!$B$3),"",IF(INDEX(原始資料!D$2:D$501,$BJ26)="","",INDEX(原始資料!D$2:D$501,$BJ26)))</f>
        <v/>
      </c>
      <c r="C26" s="6">
        <f>IF(OR($BJ26="",2&gt;設定!$B$3),"",IF(INDEX(原始資料!E$2:E$501,$BJ26)="","",INDEX(原始資料!E$2:E$501,$BJ26)))</f>
        <v/>
      </c>
      <c r="D26" s="6">
        <f>IF(OR($BJ26="",3&gt;設定!$B$3),"",IF(INDEX(原始資料!F$2:F$501,$BJ26)="","",INDEX(原始資料!F$2:F$501,$BJ26)))</f>
        <v/>
      </c>
      <c r="E26" s="6">
        <f>IF(OR($BJ26="",4&gt;設定!$B$3),"",IF(INDEX(原始資料!G$2:G$501,$BJ26)="","",INDEX(原始資料!G$2:G$501,$BJ26)))</f>
        <v/>
      </c>
      <c r="F26" s="6">
        <f>IF(OR($BJ26="",5&gt;設定!$B$3),"",IF(INDEX(原始資料!H$2:H$501,$BJ26)="","",INDEX(原始資料!H$2:H$501,$BJ26)))</f>
        <v/>
      </c>
      <c r="G26" s="6">
        <f>IF(OR($BJ26="",6&gt;設定!$B$3),"",IF(INDEX(原始資料!I$2:I$501,$BJ26)="","",INDEX(原始資料!I$2:I$501,$BJ26)))</f>
        <v/>
      </c>
      <c r="H26" s="6">
        <f>IF(OR($BJ26="",7&gt;設定!$B$3),"",IF(INDEX(原始資料!J$2:J$501,$BJ26)="","",INDEX(原始資料!J$2:J$501,$BJ26)))</f>
        <v/>
      </c>
      <c r="I26" s="6">
        <f>IF(OR($BJ26="",8&gt;設定!$B$3),"",IF(INDEX(原始資料!K$2:K$501,$BJ26)="","",INDEX(原始資料!K$2:K$501,$BJ26)))</f>
        <v/>
      </c>
      <c r="J26" s="6">
        <f>IF(OR($BJ26="",9&gt;設定!$B$3),"",IF(INDEX(原始資料!L$2:L$501,$BJ26)="","",INDEX(原始資料!L$2:L$501,$BJ26)))</f>
        <v/>
      </c>
      <c r="K26" s="6">
        <f>IF(OR($BJ26="",10&gt;設定!$B$3),"",IF(INDEX(原始資料!M$2:M$501,$BJ26)="","",INDEX(原始資料!M$2:M$501,$BJ26)))</f>
        <v/>
      </c>
      <c r="L26" s="6">
        <f>IF(OR($BJ26="",11&gt;設定!$B$3),"",IF(INDEX(原始資料!N$2:N$501,$BJ26)="","",INDEX(原始資料!N$2:N$501,$BJ26)))</f>
        <v/>
      </c>
      <c r="M26" s="6">
        <f>IF(OR($BJ26="",12&gt;設定!$B$3),"",IF(INDEX(原始資料!O$2:O$501,$BJ26)="","",INDEX(原始資料!O$2:O$501,$BJ26)))</f>
        <v/>
      </c>
      <c r="N26" s="6">
        <f>IF(OR($BJ26="",13&gt;設定!$B$3),"",IF(INDEX(原始資料!P$2:P$501,$BJ26)="","",INDEX(原始資料!P$2:P$501,$BJ26)))</f>
        <v/>
      </c>
      <c r="O26" s="6">
        <f>IF(OR($BJ26="",14&gt;設定!$B$3),"",IF(INDEX(原始資料!Q$2:Q$501,$BJ26)="","",INDEX(原始資料!Q$2:Q$501,$BJ26)))</f>
        <v/>
      </c>
      <c r="P26" s="6">
        <f>IF(OR($BJ26="",15&gt;設定!$B$3),"",IF(INDEX(原始資料!R$2:R$501,$BJ26)="","",INDEX(原始資料!R$2:R$501,$BJ26)))</f>
        <v/>
      </c>
      <c r="Q26" s="6">
        <f>IF(OR($BJ26="",16&gt;設定!$B$3),"",IF(INDEX(原始資料!S$2:S$501,$BJ26)="","",INDEX(原始資料!S$2:S$501,$BJ26)))</f>
        <v/>
      </c>
      <c r="R26" s="6">
        <f>IF(OR($BJ26="",17&gt;設定!$B$3),"",IF(INDEX(原始資料!T$2:T$501,$BJ26)="","",INDEX(原始資料!T$2:T$501,$BJ26)))</f>
        <v/>
      </c>
      <c r="S26" s="6">
        <f>IF(OR($BJ26="",18&gt;設定!$B$3),"",IF(INDEX(原始資料!U$2:U$501,$BJ26)="","",INDEX(原始資料!U$2:U$501,$BJ26)))</f>
        <v/>
      </c>
      <c r="T26" s="6">
        <f>IF(OR($BJ26="",19&gt;設定!$B$3),"",IF(INDEX(原始資料!V$2:V$501,$BJ26)="","",INDEX(原始資料!V$2:V$501,$BJ26)))</f>
        <v/>
      </c>
      <c r="U26" s="6">
        <f>IF(OR($BJ26="",20&gt;設定!$B$3),"",IF(INDEX(原始資料!W$2:W$501,$BJ26)="","",INDEX(原始資料!W$2:W$501,$BJ26)))</f>
        <v/>
      </c>
      <c r="V26" s="6">
        <f>IF(OR($BJ26="",21&gt;設定!$B$3),"",IF(INDEX(原始資料!X$2:X$501,$BJ26)="","",INDEX(原始資料!X$2:X$501,$BJ26)))</f>
        <v/>
      </c>
      <c r="W26" s="6">
        <f>IF(OR($BJ26="",22&gt;設定!$B$3),"",IF(INDEX(原始資料!Y$2:Y$501,$BJ26)="","",INDEX(原始資料!Y$2:Y$501,$BJ26)))</f>
        <v/>
      </c>
      <c r="X26" s="6">
        <f>IF(OR($BJ26="",23&gt;設定!$B$3),"",IF(INDEX(原始資料!Z$2:Z$501,$BJ26)="","",INDEX(原始資料!Z$2:Z$501,$BJ26)))</f>
        <v/>
      </c>
      <c r="Y26" s="6">
        <f>IF(OR($BJ26="",24&gt;設定!$B$3),"",IF(INDEX(原始資料!AA$2:AA$501,$BJ26)="","",INDEX(原始資料!AA$2:AA$501,$BJ26)))</f>
        <v/>
      </c>
      <c r="Z26" s="6">
        <f>IF(OR($BJ26="",25&gt;設定!$B$3),"",IF(INDEX(原始資料!AB$2:AB$501,$BJ26)="","",INDEX(原始資料!AB$2:AB$501,$BJ26)))</f>
        <v/>
      </c>
      <c r="AA26" s="6">
        <f>IF(OR($BJ26="",26&gt;設定!$B$3),"",IF(INDEX(原始資料!AC$2:AC$501,$BJ26)="","",INDEX(原始資料!AC$2:AC$501,$BJ26)))</f>
        <v/>
      </c>
      <c r="AB26" s="6">
        <f>IF(OR($BJ26="",27&gt;設定!$B$3),"",IF(INDEX(原始資料!AD$2:AD$501,$BJ26)="","",INDEX(原始資料!AD$2:AD$501,$BJ26)))</f>
        <v/>
      </c>
      <c r="AC26" s="6">
        <f>IF(OR($BJ26="",28&gt;設定!$B$3),"",IF(INDEX(原始資料!AE$2:AE$501,$BJ26)="","",INDEX(原始資料!AE$2:AE$501,$BJ26)))</f>
        <v/>
      </c>
      <c r="AD26" s="6">
        <f>IF(OR($BJ26="",29&gt;設定!$B$3),"",IF(INDEX(原始資料!AF$2:AF$501,$BJ26)="","",INDEX(原始資料!AF$2:AF$501,$BJ26)))</f>
        <v/>
      </c>
      <c r="AE26" s="6">
        <f>IF(OR($BJ26="",30&gt;設定!$B$3),"",IF(INDEX(原始資料!AG$2:AG$501,$BJ26)="","",INDEX(原始資料!AG$2:AG$501,$BJ26)))</f>
        <v/>
      </c>
      <c r="AF26" s="6">
        <f>IF(OR($BJ26="",31&gt;設定!$B$3),"",IF(INDEX(原始資料!AH$2:AH$501,$BJ26)="","",INDEX(原始資料!AH$2:AH$501,$BJ26)))</f>
        <v/>
      </c>
      <c r="AG26" s="6">
        <f>IF(OR($BJ26="",32&gt;設定!$B$3),"",IF(INDEX(原始資料!AI$2:AI$501,$BJ26)="","",INDEX(原始資料!AI$2:AI$501,$BJ26)))</f>
        <v/>
      </c>
      <c r="AH26" s="6">
        <f>IF(OR($BJ26="",33&gt;設定!$B$3),"",IF(INDEX(原始資料!AJ$2:AJ$501,$BJ26)="","",INDEX(原始資料!AJ$2:AJ$501,$BJ26)))</f>
        <v/>
      </c>
      <c r="AI26" s="6">
        <f>IF(OR($BJ26="",34&gt;設定!$B$3),"",IF(INDEX(原始資料!AK$2:AK$501,$BJ26)="","",INDEX(原始資料!AK$2:AK$501,$BJ26)))</f>
        <v/>
      </c>
      <c r="AJ26" s="6">
        <f>IF(OR($BJ26="",35&gt;設定!$B$3),"",IF(INDEX(原始資料!AL$2:AL$501,$BJ26)="","",INDEX(原始資料!AL$2:AL$501,$BJ26)))</f>
        <v/>
      </c>
      <c r="AK26" s="6">
        <f>IF(OR($BJ26="",36&gt;設定!$B$3),"",IF(INDEX(原始資料!AM$2:AM$501,$BJ26)="","",INDEX(原始資料!AM$2:AM$501,$BJ26)))</f>
        <v/>
      </c>
      <c r="AL26" s="6">
        <f>IF(OR($BJ26="",37&gt;設定!$B$3),"",IF(INDEX(原始資料!AN$2:AN$501,$BJ26)="","",INDEX(原始資料!AN$2:AN$501,$BJ26)))</f>
        <v/>
      </c>
      <c r="AM26" s="6">
        <f>IF(OR($BJ26="",38&gt;設定!$B$3),"",IF(INDEX(原始資料!AO$2:AO$501,$BJ26)="","",INDEX(原始資料!AO$2:AO$501,$BJ26)))</f>
        <v/>
      </c>
      <c r="AN26" s="6">
        <f>IF(OR($BJ26="",39&gt;設定!$B$3),"",IF(INDEX(原始資料!AP$2:AP$501,$BJ26)="","",INDEX(原始資料!AP$2:AP$501,$BJ26)))</f>
        <v/>
      </c>
      <c r="AO26" s="6">
        <f>IF(OR($BJ26="",40&gt;設定!$B$3),"",IF(INDEX(原始資料!AQ$2:AQ$501,$BJ26)="","",INDEX(原始資料!AQ$2:AQ$501,$BJ26)))</f>
        <v/>
      </c>
      <c r="AP26" s="6">
        <f>IF(OR($BJ26="",41&gt;設定!$B$3),"",IF(INDEX(原始資料!AR$2:AR$501,$BJ26)="","",INDEX(原始資料!AR$2:AR$501,$BJ26)))</f>
        <v/>
      </c>
      <c r="AQ26" s="6">
        <f>IF(OR($BJ26="",42&gt;設定!$B$3),"",IF(INDEX(原始資料!AS$2:AS$501,$BJ26)="","",INDEX(原始資料!AS$2:AS$501,$BJ26)))</f>
        <v/>
      </c>
      <c r="AR26" s="6">
        <f>IF(OR($BJ26="",43&gt;設定!$B$3),"",IF(INDEX(原始資料!AT$2:AT$501,$BJ26)="","",INDEX(原始資料!AT$2:AT$501,$BJ26)))</f>
        <v/>
      </c>
      <c r="AS26" s="6">
        <f>IF(OR($BJ26="",44&gt;設定!$B$3),"",IF(INDEX(原始資料!AU$2:AU$501,$BJ26)="","",INDEX(原始資料!AU$2:AU$501,$BJ26)))</f>
        <v/>
      </c>
      <c r="AT26" s="6">
        <f>IF(OR($BJ26="",45&gt;設定!$B$3),"",IF(INDEX(原始資料!AV$2:AV$501,$BJ26)="","",INDEX(原始資料!AV$2:AV$501,$BJ26)))</f>
        <v/>
      </c>
      <c r="AU26" s="6">
        <f>IF(OR($BJ26="",46&gt;設定!$B$3),"",IF(INDEX(原始資料!AW$2:AW$501,$BJ26)="","",INDEX(原始資料!AW$2:AW$501,$BJ26)))</f>
        <v/>
      </c>
      <c r="AV26" s="6">
        <f>IF(OR($BJ26="",47&gt;設定!$B$3),"",IF(INDEX(原始資料!AX$2:AX$501,$BJ26)="","",INDEX(原始資料!AX$2:AX$501,$BJ26)))</f>
        <v/>
      </c>
      <c r="AW26" s="6">
        <f>IF(OR($BJ26="",48&gt;設定!$B$3),"",IF(INDEX(原始資料!AY$2:AY$501,$BJ26)="","",INDEX(原始資料!AY$2:AY$501,$BJ26)))</f>
        <v/>
      </c>
      <c r="AX26" s="6">
        <f>IF(OR($BJ26="",49&gt;設定!$B$3),"",IF(INDEX(原始資料!AZ$2:AZ$501,$BJ26)="","",INDEX(原始資料!AZ$2:AZ$501,$BJ26)))</f>
        <v/>
      </c>
      <c r="AY26" s="6">
        <f>IF(OR($BJ26="",50&gt;設定!$B$3),"",IF(INDEX(原始資料!BA$2:BA$501,$BJ26)="","",INDEX(原始資料!BA$2:BA$501,$BJ26)))</f>
        <v/>
      </c>
      <c r="AZ26" s="6">
        <f>IF(OR($BJ26="",51&gt;設定!$B$3),"",IF(INDEX(原始資料!BB$2:BB$501,$BJ26)="","",INDEX(原始資料!BB$2:BB$501,$BJ26)))</f>
        <v/>
      </c>
      <c r="BA26" s="6">
        <f>IF(OR($BJ26="",52&gt;設定!$B$3),"",IF(INDEX(原始資料!BC$2:BC$501,$BJ26)="","",INDEX(原始資料!BC$2:BC$501,$BJ26)))</f>
        <v/>
      </c>
      <c r="BB26" s="6">
        <f>IF(OR($BJ26="",53&gt;設定!$B$3),"",IF(INDEX(原始資料!BD$2:BD$501,$BJ26)="","",INDEX(原始資料!BD$2:BD$501,$BJ26)))</f>
        <v/>
      </c>
      <c r="BC26" s="6">
        <f>IF(OR($BJ26="",54&gt;設定!$B$3),"",IF(INDEX(原始資料!BE$2:BE$501,$BJ26)="","",INDEX(原始資料!BE$2:BE$501,$BJ26)))</f>
        <v/>
      </c>
      <c r="BD26" s="6">
        <f>IF(OR($BJ26="",55&gt;設定!$B$3),"",IF(INDEX(原始資料!BF$2:BF$501,$BJ26)="","",INDEX(原始資料!BF$2:BF$501,$BJ26)))</f>
        <v/>
      </c>
      <c r="BE26" s="6">
        <f>IF(OR($BJ26="",56&gt;設定!$B$3),"",IF(INDEX(原始資料!BG$2:BG$501,$BJ26)="","",INDEX(原始資料!BG$2:BG$501,$BJ26)))</f>
        <v/>
      </c>
      <c r="BF26" s="6">
        <f>IF(OR($BJ26="",57&gt;設定!$B$3),"",IF(INDEX(原始資料!BH$2:BH$501,$BJ26)="","",INDEX(原始資料!BH$2:BH$501,$BJ26)))</f>
        <v/>
      </c>
      <c r="BG26" s="6">
        <f>IF(OR($BJ26="",58&gt;設定!$B$3),"",IF(INDEX(原始資料!BI$2:BI$501,$BJ26)="","",INDEX(原始資料!BI$2:BI$501,$BJ26)))</f>
        <v/>
      </c>
      <c r="BH26" s="6">
        <f>IF(OR($BJ26="",59&gt;設定!$B$3),"",IF(INDEX(原始資料!BJ$2:BJ$501,$BJ26)="","",INDEX(原始資料!BJ$2:BJ$501,$BJ26)))</f>
        <v/>
      </c>
      <c r="BI26" s="6">
        <f>IF(OR($BJ26="",60&gt;設定!$B$3),"",IF(INDEX(原始資料!BK$2:BK$501,$BJ26)="","",INDEX(原始資料!BK$2:BK$501,$BJ26)))</f>
        <v/>
      </c>
      <c r="BJ26" s="6">
        <f>IFERROR(MATCH(ROW()-1,判定!$H$2:$H$501,0),"")</f>
        <v/>
      </c>
    </row>
    <row r="27">
      <c r="A27" s="6">
        <f>IF($BJ27="","",INDEX(原始資料!$A$2:$A$501,$BJ27))</f>
        <v/>
      </c>
      <c r="B27" s="6">
        <f>IF(OR($BJ27="",1&gt;設定!$B$3),"",IF(INDEX(原始資料!D$2:D$501,$BJ27)="","",INDEX(原始資料!D$2:D$501,$BJ27)))</f>
        <v/>
      </c>
      <c r="C27" s="6">
        <f>IF(OR($BJ27="",2&gt;設定!$B$3),"",IF(INDEX(原始資料!E$2:E$501,$BJ27)="","",INDEX(原始資料!E$2:E$501,$BJ27)))</f>
        <v/>
      </c>
      <c r="D27" s="6">
        <f>IF(OR($BJ27="",3&gt;設定!$B$3),"",IF(INDEX(原始資料!F$2:F$501,$BJ27)="","",INDEX(原始資料!F$2:F$501,$BJ27)))</f>
        <v/>
      </c>
      <c r="E27" s="6">
        <f>IF(OR($BJ27="",4&gt;設定!$B$3),"",IF(INDEX(原始資料!G$2:G$501,$BJ27)="","",INDEX(原始資料!G$2:G$501,$BJ27)))</f>
        <v/>
      </c>
      <c r="F27" s="6">
        <f>IF(OR($BJ27="",5&gt;設定!$B$3),"",IF(INDEX(原始資料!H$2:H$501,$BJ27)="","",INDEX(原始資料!H$2:H$501,$BJ27)))</f>
        <v/>
      </c>
      <c r="G27" s="6">
        <f>IF(OR($BJ27="",6&gt;設定!$B$3),"",IF(INDEX(原始資料!I$2:I$501,$BJ27)="","",INDEX(原始資料!I$2:I$501,$BJ27)))</f>
        <v/>
      </c>
      <c r="H27" s="6">
        <f>IF(OR($BJ27="",7&gt;設定!$B$3),"",IF(INDEX(原始資料!J$2:J$501,$BJ27)="","",INDEX(原始資料!J$2:J$501,$BJ27)))</f>
        <v/>
      </c>
      <c r="I27" s="6">
        <f>IF(OR($BJ27="",8&gt;設定!$B$3),"",IF(INDEX(原始資料!K$2:K$501,$BJ27)="","",INDEX(原始資料!K$2:K$501,$BJ27)))</f>
        <v/>
      </c>
      <c r="J27" s="6">
        <f>IF(OR($BJ27="",9&gt;設定!$B$3),"",IF(INDEX(原始資料!L$2:L$501,$BJ27)="","",INDEX(原始資料!L$2:L$501,$BJ27)))</f>
        <v/>
      </c>
      <c r="K27" s="6">
        <f>IF(OR($BJ27="",10&gt;設定!$B$3),"",IF(INDEX(原始資料!M$2:M$501,$BJ27)="","",INDEX(原始資料!M$2:M$501,$BJ27)))</f>
        <v/>
      </c>
      <c r="L27" s="6">
        <f>IF(OR($BJ27="",11&gt;設定!$B$3),"",IF(INDEX(原始資料!N$2:N$501,$BJ27)="","",INDEX(原始資料!N$2:N$501,$BJ27)))</f>
        <v/>
      </c>
      <c r="M27" s="6">
        <f>IF(OR($BJ27="",12&gt;設定!$B$3),"",IF(INDEX(原始資料!O$2:O$501,$BJ27)="","",INDEX(原始資料!O$2:O$501,$BJ27)))</f>
        <v/>
      </c>
      <c r="N27" s="6">
        <f>IF(OR($BJ27="",13&gt;設定!$B$3),"",IF(INDEX(原始資料!P$2:P$501,$BJ27)="","",INDEX(原始資料!P$2:P$501,$BJ27)))</f>
        <v/>
      </c>
      <c r="O27" s="6">
        <f>IF(OR($BJ27="",14&gt;設定!$B$3),"",IF(INDEX(原始資料!Q$2:Q$501,$BJ27)="","",INDEX(原始資料!Q$2:Q$501,$BJ27)))</f>
        <v/>
      </c>
      <c r="P27" s="6">
        <f>IF(OR($BJ27="",15&gt;設定!$B$3),"",IF(INDEX(原始資料!R$2:R$501,$BJ27)="","",INDEX(原始資料!R$2:R$501,$BJ27)))</f>
        <v/>
      </c>
      <c r="Q27" s="6">
        <f>IF(OR($BJ27="",16&gt;設定!$B$3),"",IF(INDEX(原始資料!S$2:S$501,$BJ27)="","",INDEX(原始資料!S$2:S$501,$BJ27)))</f>
        <v/>
      </c>
      <c r="R27" s="6">
        <f>IF(OR($BJ27="",17&gt;設定!$B$3),"",IF(INDEX(原始資料!T$2:T$501,$BJ27)="","",INDEX(原始資料!T$2:T$501,$BJ27)))</f>
        <v/>
      </c>
      <c r="S27" s="6">
        <f>IF(OR($BJ27="",18&gt;設定!$B$3),"",IF(INDEX(原始資料!U$2:U$501,$BJ27)="","",INDEX(原始資料!U$2:U$501,$BJ27)))</f>
        <v/>
      </c>
      <c r="T27" s="6">
        <f>IF(OR($BJ27="",19&gt;設定!$B$3),"",IF(INDEX(原始資料!V$2:V$501,$BJ27)="","",INDEX(原始資料!V$2:V$501,$BJ27)))</f>
        <v/>
      </c>
      <c r="U27" s="6">
        <f>IF(OR($BJ27="",20&gt;設定!$B$3),"",IF(INDEX(原始資料!W$2:W$501,$BJ27)="","",INDEX(原始資料!W$2:W$501,$BJ27)))</f>
        <v/>
      </c>
      <c r="V27" s="6">
        <f>IF(OR($BJ27="",21&gt;設定!$B$3),"",IF(INDEX(原始資料!X$2:X$501,$BJ27)="","",INDEX(原始資料!X$2:X$501,$BJ27)))</f>
        <v/>
      </c>
      <c r="W27" s="6">
        <f>IF(OR($BJ27="",22&gt;設定!$B$3),"",IF(INDEX(原始資料!Y$2:Y$501,$BJ27)="","",INDEX(原始資料!Y$2:Y$501,$BJ27)))</f>
        <v/>
      </c>
      <c r="X27" s="6">
        <f>IF(OR($BJ27="",23&gt;設定!$B$3),"",IF(INDEX(原始資料!Z$2:Z$501,$BJ27)="","",INDEX(原始資料!Z$2:Z$501,$BJ27)))</f>
        <v/>
      </c>
      <c r="Y27" s="6">
        <f>IF(OR($BJ27="",24&gt;設定!$B$3),"",IF(INDEX(原始資料!AA$2:AA$501,$BJ27)="","",INDEX(原始資料!AA$2:AA$501,$BJ27)))</f>
        <v/>
      </c>
      <c r="Z27" s="6">
        <f>IF(OR($BJ27="",25&gt;設定!$B$3),"",IF(INDEX(原始資料!AB$2:AB$501,$BJ27)="","",INDEX(原始資料!AB$2:AB$501,$BJ27)))</f>
        <v/>
      </c>
      <c r="AA27" s="6">
        <f>IF(OR($BJ27="",26&gt;設定!$B$3),"",IF(INDEX(原始資料!AC$2:AC$501,$BJ27)="","",INDEX(原始資料!AC$2:AC$501,$BJ27)))</f>
        <v/>
      </c>
      <c r="AB27" s="6">
        <f>IF(OR($BJ27="",27&gt;設定!$B$3),"",IF(INDEX(原始資料!AD$2:AD$501,$BJ27)="","",INDEX(原始資料!AD$2:AD$501,$BJ27)))</f>
        <v/>
      </c>
      <c r="AC27" s="6">
        <f>IF(OR($BJ27="",28&gt;設定!$B$3),"",IF(INDEX(原始資料!AE$2:AE$501,$BJ27)="","",INDEX(原始資料!AE$2:AE$501,$BJ27)))</f>
        <v/>
      </c>
      <c r="AD27" s="6">
        <f>IF(OR($BJ27="",29&gt;設定!$B$3),"",IF(INDEX(原始資料!AF$2:AF$501,$BJ27)="","",INDEX(原始資料!AF$2:AF$501,$BJ27)))</f>
        <v/>
      </c>
      <c r="AE27" s="6">
        <f>IF(OR($BJ27="",30&gt;設定!$B$3),"",IF(INDEX(原始資料!AG$2:AG$501,$BJ27)="","",INDEX(原始資料!AG$2:AG$501,$BJ27)))</f>
        <v/>
      </c>
      <c r="AF27" s="6">
        <f>IF(OR($BJ27="",31&gt;設定!$B$3),"",IF(INDEX(原始資料!AH$2:AH$501,$BJ27)="","",INDEX(原始資料!AH$2:AH$501,$BJ27)))</f>
        <v/>
      </c>
      <c r="AG27" s="6">
        <f>IF(OR($BJ27="",32&gt;設定!$B$3),"",IF(INDEX(原始資料!AI$2:AI$501,$BJ27)="","",INDEX(原始資料!AI$2:AI$501,$BJ27)))</f>
        <v/>
      </c>
      <c r="AH27" s="6">
        <f>IF(OR($BJ27="",33&gt;設定!$B$3),"",IF(INDEX(原始資料!AJ$2:AJ$501,$BJ27)="","",INDEX(原始資料!AJ$2:AJ$501,$BJ27)))</f>
        <v/>
      </c>
      <c r="AI27" s="6">
        <f>IF(OR($BJ27="",34&gt;設定!$B$3),"",IF(INDEX(原始資料!AK$2:AK$501,$BJ27)="","",INDEX(原始資料!AK$2:AK$501,$BJ27)))</f>
        <v/>
      </c>
      <c r="AJ27" s="6">
        <f>IF(OR($BJ27="",35&gt;設定!$B$3),"",IF(INDEX(原始資料!AL$2:AL$501,$BJ27)="","",INDEX(原始資料!AL$2:AL$501,$BJ27)))</f>
        <v/>
      </c>
      <c r="AK27" s="6">
        <f>IF(OR($BJ27="",36&gt;設定!$B$3),"",IF(INDEX(原始資料!AM$2:AM$501,$BJ27)="","",INDEX(原始資料!AM$2:AM$501,$BJ27)))</f>
        <v/>
      </c>
      <c r="AL27" s="6">
        <f>IF(OR($BJ27="",37&gt;設定!$B$3),"",IF(INDEX(原始資料!AN$2:AN$501,$BJ27)="","",INDEX(原始資料!AN$2:AN$501,$BJ27)))</f>
        <v/>
      </c>
      <c r="AM27" s="6">
        <f>IF(OR($BJ27="",38&gt;設定!$B$3),"",IF(INDEX(原始資料!AO$2:AO$501,$BJ27)="","",INDEX(原始資料!AO$2:AO$501,$BJ27)))</f>
        <v/>
      </c>
      <c r="AN27" s="6">
        <f>IF(OR($BJ27="",39&gt;設定!$B$3),"",IF(INDEX(原始資料!AP$2:AP$501,$BJ27)="","",INDEX(原始資料!AP$2:AP$501,$BJ27)))</f>
        <v/>
      </c>
      <c r="AO27" s="6">
        <f>IF(OR($BJ27="",40&gt;設定!$B$3),"",IF(INDEX(原始資料!AQ$2:AQ$501,$BJ27)="","",INDEX(原始資料!AQ$2:AQ$501,$BJ27)))</f>
        <v/>
      </c>
      <c r="AP27" s="6">
        <f>IF(OR($BJ27="",41&gt;設定!$B$3),"",IF(INDEX(原始資料!AR$2:AR$501,$BJ27)="","",INDEX(原始資料!AR$2:AR$501,$BJ27)))</f>
        <v/>
      </c>
      <c r="AQ27" s="6">
        <f>IF(OR($BJ27="",42&gt;設定!$B$3),"",IF(INDEX(原始資料!AS$2:AS$501,$BJ27)="","",INDEX(原始資料!AS$2:AS$501,$BJ27)))</f>
        <v/>
      </c>
      <c r="AR27" s="6">
        <f>IF(OR($BJ27="",43&gt;設定!$B$3),"",IF(INDEX(原始資料!AT$2:AT$501,$BJ27)="","",INDEX(原始資料!AT$2:AT$501,$BJ27)))</f>
        <v/>
      </c>
      <c r="AS27" s="6">
        <f>IF(OR($BJ27="",44&gt;設定!$B$3),"",IF(INDEX(原始資料!AU$2:AU$501,$BJ27)="","",INDEX(原始資料!AU$2:AU$501,$BJ27)))</f>
        <v/>
      </c>
      <c r="AT27" s="6">
        <f>IF(OR($BJ27="",45&gt;設定!$B$3),"",IF(INDEX(原始資料!AV$2:AV$501,$BJ27)="","",INDEX(原始資料!AV$2:AV$501,$BJ27)))</f>
        <v/>
      </c>
      <c r="AU27" s="6">
        <f>IF(OR($BJ27="",46&gt;設定!$B$3),"",IF(INDEX(原始資料!AW$2:AW$501,$BJ27)="","",INDEX(原始資料!AW$2:AW$501,$BJ27)))</f>
        <v/>
      </c>
      <c r="AV27" s="6">
        <f>IF(OR($BJ27="",47&gt;設定!$B$3),"",IF(INDEX(原始資料!AX$2:AX$501,$BJ27)="","",INDEX(原始資料!AX$2:AX$501,$BJ27)))</f>
        <v/>
      </c>
      <c r="AW27" s="6">
        <f>IF(OR($BJ27="",48&gt;設定!$B$3),"",IF(INDEX(原始資料!AY$2:AY$501,$BJ27)="","",INDEX(原始資料!AY$2:AY$501,$BJ27)))</f>
        <v/>
      </c>
      <c r="AX27" s="6">
        <f>IF(OR($BJ27="",49&gt;設定!$B$3),"",IF(INDEX(原始資料!AZ$2:AZ$501,$BJ27)="","",INDEX(原始資料!AZ$2:AZ$501,$BJ27)))</f>
        <v/>
      </c>
      <c r="AY27" s="6">
        <f>IF(OR($BJ27="",50&gt;設定!$B$3),"",IF(INDEX(原始資料!BA$2:BA$501,$BJ27)="","",INDEX(原始資料!BA$2:BA$501,$BJ27)))</f>
        <v/>
      </c>
      <c r="AZ27" s="6">
        <f>IF(OR($BJ27="",51&gt;設定!$B$3),"",IF(INDEX(原始資料!BB$2:BB$501,$BJ27)="","",INDEX(原始資料!BB$2:BB$501,$BJ27)))</f>
        <v/>
      </c>
      <c r="BA27" s="6">
        <f>IF(OR($BJ27="",52&gt;設定!$B$3),"",IF(INDEX(原始資料!BC$2:BC$501,$BJ27)="","",INDEX(原始資料!BC$2:BC$501,$BJ27)))</f>
        <v/>
      </c>
      <c r="BB27" s="6">
        <f>IF(OR($BJ27="",53&gt;設定!$B$3),"",IF(INDEX(原始資料!BD$2:BD$501,$BJ27)="","",INDEX(原始資料!BD$2:BD$501,$BJ27)))</f>
        <v/>
      </c>
      <c r="BC27" s="6">
        <f>IF(OR($BJ27="",54&gt;設定!$B$3),"",IF(INDEX(原始資料!BE$2:BE$501,$BJ27)="","",INDEX(原始資料!BE$2:BE$501,$BJ27)))</f>
        <v/>
      </c>
      <c r="BD27" s="6">
        <f>IF(OR($BJ27="",55&gt;設定!$B$3),"",IF(INDEX(原始資料!BF$2:BF$501,$BJ27)="","",INDEX(原始資料!BF$2:BF$501,$BJ27)))</f>
        <v/>
      </c>
      <c r="BE27" s="6">
        <f>IF(OR($BJ27="",56&gt;設定!$B$3),"",IF(INDEX(原始資料!BG$2:BG$501,$BJ27)="","",INDEX(原始資料!BG$2:BG$501,$BJ27)))</f>
        <v/>
      </c>
      <c r="BF27" s="6">
        <f>IF(OR($BJ27="",57&gt;設定!$B$3),"",IF(INDEX(原始資料!BH$2:BH$501,$BJ27)="","",INDEX(原始資料!BH$2:BH$501,$BJ27)))</f>
        <v/>
      </c>
      <c r="BG27" s="6">
        <f>IF(OR($BJ27="",58&gt;設定!$B$3),"",IF(INDEX(原始資料!BI$2:BI$501,$BJ27)="","",INDEX(原始資料!BI$2:BI$501,$BJ27)))</f>
        <v/>
      </c>
      <c r="BH27" s="6">
        <f>IF(OR($BJ27="",59&gt;設定!$B$3),"",IF(INDEX(原始資料!BJ$2:BJ$501,$BJ27)="","",INDEX(原始資料!BJ$2:BJ$501,$BJ27)))</f>
        <v/>
      </c>
      <c r="BI27" s="6">
        <f>IF(OR($BJ27="",60&gt;設定!$B$3),"",IF(INDEX(原始資料!BK$2:BK$501,$BJ27)="","",INDEX(原始資料!BK$2:BK$501,$BJ27)))</f>
        <v/>
      </c>
      <c r="BJ27" s="6">
        <f>IFERROR(MATCH(ROW()-1,判定!$H$2:$H$501,0),"")</f>
        <v/>
      </c>
    </row>
    <row r="28">
      <c r="A28" s="6">
        <f>IF($BJ28="","",INDEX(原始資料!$A$2:$A$501,$BJ28))</f>
        <v/>
      </c>
      <c r="B28" s="6">
        <f>IF(OR($BJ28="",1&gt;設定!$B$3),"",IF(INDEX(原始資料!D$2:D$501,$BJ28)="","",INDEX(原始資料!D$2:D$501,$BJ28)))</f>
        <v/>
      </c>
      <c r="C28" s="6">
        <f>IF(OR($BJ28="",2&gt;設定!$B$3),"",IF(INDEX(原始資料!E$2:E$501,$BJ28)="","",INDEX(原始資料!E$2:E$501,$BJ28)))</f>
        <v/>
      </c>
      <c r="D28" s="6">
        <f>IF(OR($BJ28="",3&gt;設定!$B$3),"",IF(INDEX(原始資料!F$2:F$501,$BJ28)="","",INDEX(原始資料!F$2:F$501,$BJ28)))</f>
        <v/>
      </c>
      <c r="E28" s="6">
        <f>IF(OR($BJ28="",4&gt;設定!$B$3),"",IF(INDEX(原始資料!G$2:G$501,$BJ28)="","",INDEX(原始資料!G$2:G$501,$BJ28)))</f>
        <v/>
      </c>
      <c r="F28" s="6">
        <f>IF(OR($BJ28="",5&gt;設定!$B$3),"",IF(INDEX(原始資料!H$2:H$501,$BJ28)="","",INDEX(原始資料!H$2:H$501,$BJ28)))</f>
        <v/>
      </c>
      <c r="G28" s="6">
        <f>IF(OR($BJ28="",6&gt;設定!$B$3),"",IF(INDEX(原始資料!I$2:I$501,$BJ28)="","",INDEX(原始資料!I$2:I$501,$BJ28)))</f>
        <v/>
      </c>
      <c r="H28" s="6">
        <f>IF(OR($BJ28="",7&gt;設定!$B$3),"",IF(INDEX(原始資料!J$2:J$501,$BJ28)="","",INDEX(原始資料!J$2:J$501,$BJ28)))</f>
        <v/>
      </c>
      <c r="I28" s="6">
        <f>IF(OR($BJ28="",8&gt;設定!$B$3),"",IF(INDEX(原始資料!K$2:K$501,$BJ28)="","",INDEX(原始資料!K$2:K$501,$BJ28)))</f>
        <v/>
      </c>
      <c r="J28" s="6">
        <f>IF(OR($BJ28="",9&gt;設定!$B$3),"",IF(INDEX(原始資料!L$2:L$501,$BJ28)="","",INDEX(原始資料!L$2:L$501,$BJ28)))</f>
        <v/>
      </c>
      <c r="K28" s="6">
        <f>IF(OR($BJ28="",10&gt;設定!$B$3),"",IF(INDEX(原始資料!M$2:M$501,$BJ28)="","",INDEX(原始資料!M$2:M$501,$BJ28)))</f>
        <v/>
      </c>
      <c r="L28" s="6">
        <f>IF(OR($BJ28="",11&gt;設定!$B$3),"",IF(INDEX(原始資料!N$2:N$501,$BJ28)="","",INDEX(原始資料!N$2:N$501,$BJ28)))</f>
        <v/>
      </c>
      <c r="M28" s="6">
        <f>IF(OR($BJ28="",12&gt;設定!$B$3),"",IF(INDEX(原始資料!O$2:O$501,$BJ28)="","",INDEX(原始資料!O$2:O$501,$BJ28)))</f>
        <v/>
      </c>
      <c r="N28" s="6">
        <f>IF(OR($BJ28="",13&gt;設定!$B$3),"",IF(INDEX(原始資料!P$2:P$501,$BJ28)="","",INDEX(原始資料!P$2:P$501,$BJ28)))</f>
        <v/>
      </c>
      <c r="O28" s="6">
        <f>IF(OR($BJ28="",14&gt;設定!$B$3),"",IF(INDEX(原始資料!Q$2:Q$501,$BJ28)="","",INDEX(原始資料!Q$2:Q$501,$BJ28)))</f>
        <v/>
      </c>
      <c r="P28" s="6">
        <f>IF(OR($BJ28="",15&gt;設定!$B$3),"",IF(INDEX(原始資料!R$2:R$501,$BJ28)="","",INDEX(原始資料!R$2:R$501,$BJ28)))</f>
        <v/>
      </c>
      <c r="Q28" s="6">
        <f>IF(OR($BJ28="",16&gt;設定!$B$3),"",IF(INDEX(原始資料!S$2:S$501,$BJ28)="","",INDEX(原始資料!S$2:S$501,$BJ28)))</f>
        <v/>
      </c>
      <c r="R28" s="6">
        <f>IF(OR($BJ28="",17&gt;設定!$B$3),"",IF(INDEX(原始資料!T$2:T$501,$BJ28)="","",INDEX(原始資料!T$2:T$501,$BJ28)))</f>
        <v/>
      </c>
      <c r="S28" s="6">
        <f>IF(OR($BJ28="",18&gt;設定!$B$3),"",IF(INDEX(原始資料!U$2:U$501,$BJ28)="","",INDEX(原始資料!U$2:U$501,$BJ28)))</f>
        <v/>
      </c>
      <c r="T28" s="6">
        <f>IF(OR($BJ28="",19&gt;設定!$B$3),"",IF(INDEX(原始資料!V$2:V$501,$BJ28)="","",INDEX(原始資料!V$2:V$501,$BJ28)))</f>
        <v/>
      </c>
      <c r="U28" s="6">
        <f>IF(OR($BJ28="",20&gt;設定!$B$3),"",IF(INDEX(原始資料!W$2:W$501,$BJ28)="","",INDEX(原始資料!W$2:W$501,$BJ28)))</f>
        <v/>
      </c>
      <c r="V28" s="6">
        <f>IF(OR($BJ28="",21&gt;設定!$B$3),"",IF(INDEX(原始資料!X$2:X$501,$BJ28)="","",INDEX(原始資料!X$2:X$501,$BJ28)))</f>
        <v/>
      </c>
      <c r="W28" s="6">
        <f>IF(OR($BJ28="",22&gt;設定!$B$3),"",IF(INDEX(原始資料!Y$2:Y$501,$BJ28)="","",INDEX(原始資料!Y$2:Y$501,$BJ28)))</f>
        <v/>
      </c>
      <c r="X28" s="6">
        <f>IF(OR($BJ28="",23&gt;設定!$B$3),"",IF(INDEX(原始資料!Z$2:Z$501,$BJ28)="","",INDEX(原始資料!Z$2:Z$501,$BJ28)))</f>
        <v/>
      </c>
      <c r="Y28" s="6">
        <f>IF(OR($BJ28="",24&gt;設定!$B$3),"",IF(INDEX(原始資料!AA$2:AA$501,$BJ28)="","",INDEX(原始資料!AA$2:AA$501,$BJ28)))</f>
        <v/>
      </c>
      <c r="Z28" s="6">
        <f>IF(OR($BJ28="",25&gt;設定!$B$3),"",IF(INDEX(原始資料!AB$2:AB$501,$BJ28)="","",INDEX(原始資料!AB$2:AB$501,$BJ28)))</f>
        <v/>
      </c>
      <c r="AA28" s="6">
        <f>IF(OR($BJ28="",26&gt;設定!$B$3),"",IF(INDEX(原始資料!AC$2:AC$501,$BJ28)="","",INDEX(原始資料!AC$2:AC$501,$BJ28)))</f>
        <v/>
      </c>
      <c r="AB28" s="6">
        <f>IF(OR($BJ28="",27&gt;設定!$B$3),"",IF(INDEX(原始資料!AD$2:AD$501,$BJ28)="","",INDEX(原始資料!AD$2:AD$501,$BJ28)))</f>
        <v/>
      </c>
      <c r="AC28" s="6">
        <f>IF(OR($BJ28="",28&gt;設定!$B$3),"",IF(INDEX(原始資料!AE$2:AE$501,$BJ28)="","",INDEX(原始資料!AE$2:AE$501,$BJ28)))</f>
        <v/>
      </c>
      <c r="AD28" s="6">
        <f>IF(OR($BJ28="",29&gt;設定!$B$3),"",IF(INDEX(原始資料!AF$2:AF$501,$BJ28)="","",INDEX(原始資料!AF$2:AF$501,$BJ28)))</f>
        <v/>
      </c>
      <c r="AE28" s="6">
        <f>IF(OR($BJ28="",30&gt;設定!$B$3),"",IF(INDEX(原始資料!AG$2:AG$501,$BJ28)="","",INDEX(原始資料!AG$2:AG$501,$BJ28)))</f>
        <v/>
      </c>
      <c r="AF28" s="6">
        <f>IF(OR($BJ28="",31&gt;設定!$B$3),"",IF(INDEX(原始資料!AH$2:AH$501,$BJ28)="","",INDEX(原始資料!AH$2:AH$501,$BJ28)))</f>
        <v/>
      </c>
      <c r="AG28" s="6">
        <f>IF(OR($BJ28="",32&gt;設定!$B$3),"",IF(INDEX(原始資料!AI$2:AI$501,$BJ28)="","",INDEX(原始資料!AI$2:AI$501,$BJ28)))</f>
        <v/>
      </c>
      <c r="AH28" s="6">
        <f>IF(OR($BJ28="",33&gt;設定!$B$3),"",IF(INDEX(原始資料!AJ$2:AJ$501,$BJ28)="","",INDEX(原始資料!AJ$2:AJ$501,$BJ28)))</f>
        <v/>
      </c>
      <c r="AI28" s="6">
        <f>IF(OR($BJ28="",34&gt;設定!$B$3),"",IF(INDEX(原始資料!AK$2:AK$501,$BJ28)="","",INDEX(原始資料!AK$2:AK$501,$BJ28)))</f>
        <v/>
      </c>
      <c r="AJ28" s="6">
        <f>IF(OR($BJ28="",35&gt;設定!$B$3),"",IF(INDEX(原始資料!AL$2:AL$501,$BJ28)="","",INDEX(原始資料!AL$2:AL$501,$BJ28)))</f>
        <v/>
      </c>
      <c r="AK28" s="6">
        <f>IF(OR($BJ28="",36&gt;設定!$B$3),"",IF(INDEX(原始資料!AM$2:AM$501,$BJ28)="","",INDEX(原始資料!AM$2:AM$501,$BJ28)))</f>
        <v/>
      </c>
      <c r="AL28" s="6">
        <f>IF(OR($BJ28="",37&gt;設定!$B$3),"",IF(INDEX(原始資料!AN$2:AN$501,$BJ28)="","",INDEX(原始資料!AN$2:AN$501,$BJ28)))</f>
        <v/>
      </c>
      <c r="AM28" s="6">
        <f>IF(OR($BJ28="",38&gt;設定!$B$3),"",IF(INDEX(原始資料!AO$2:AO$501,$BJ28)="","",INDEX(原始資料!AO$2:AO$501,$BJ28)))</f>
        <v/>
      </c>
      <c r="AN28" s="6">
        <f>IF(OR($BJ28="",39&gt;設定!$B$3),"",IF(INDEX(原始資料!AP$2:AP$501,$BJ28)="","",INDEX(原始資料!AP$2:AP$501,$BJ28)))</f>
        <v/>
      </c>
      <c r="AO28" s="6">
        <f>IF(OR($BJ28="",40&gt;設定!$B$3),"",IF(INDEX(原始資料!AQ$2:AQ$501,$BJ28)="","",INDEX(原始資料!AQ$2:AQ$501,$BJ28)))</f>
        <v/>
      </c>
      <c r="AP28" s="6">
        <f>IF(OR($BJ28="",41&gt;設定!$B$3),"",IF(INDEX(原始資料!AR$2:AR$501,$BJ28)="","",INDEX(原始資料!AR$2:AR$501,$BJ28)))</f>
        <v/>
      </c>
      <c r="AQ28" s="6">
        <f>IF(OR($BJ28="",42&gt;設定!$B$3),"",IF(INDEX(原始資料!AS$2:AS$501,$BJ28)="","",INDEX(原始資料!AS$2:AS$501,$BJ28)))</f>
        <v/>
      </c>
      <c r="AR28" s="6">
        <f>IF(OR($BJ28="",43&gt;設定!$B$3),"",IF(INDEX(原始資料!AT$2:AT$501,$BJ28)="","",INDEX(原始資料!AT$2:AT$501,$BJ28)))</f>
        <v/>
      </c>
      <c r="AS28" s="6">
        <f>IF(OR($BJ28="",44&gt;設定!$B$3),"",IF(INDEX(原始資料!AU$2:AU$501,$BJ28)="","",INDEX(原始資料!AU$2:AU$501,$BJ28)))</f>
        <v/>
      </c>
      <c r="AT28" s="6">
        <f>IF(OR($BJ28="",45&gt;設定!$B$3),"",IF(INDEX(原始資料!AV$2:AV$501,$BJ28)="","",INDEX(原始資料!AV$2:AV$501,$BJ28)))</f>
        <v/>
      </c>
      <c r="AU28" s="6">
        <f>IF(OR($BJ28="",46&gt;設定!$B$3),"",IF(INDEX(原始資料!AW$2:AW$501,$BJ28)="","",INDEX(原始資料!AW$2:AW$501,$BJ28)))</f>
        <v/>
      </c>
      <c r="AV28" s="6">
        <f>IF(OR($BJ28="",47&gt;設定!$B$3),"",IF(INDEX(原始資料!AX$2:AX$501,$BJ28)="","",INDEX(原始資料!AX$2:AX$501,$BJ28)))</f>
        <v/>
      </c>
      <c r="AW28" s="6">
        <f>IF(OR($BJ28="",48&gt;設定!$B$3),"",IF(INDEX(原始資料!AY$2:AY$501,$BJ28)="","",INDEX(原始資料!AY$2:AY$501,$BJ28)))</f>
        <v/>
      </c>
      <c r="AX28" s="6">
        <f>IF(OR($BJ28="",49&gt;設定!$B$3),"",IF(INDEX(原始資料!AZ$2:AZ$501,$BJ28)="","",INDEX(原始資料!AZ$2:AZ$501,$BJ28)))</f>
        <v/>
      </c>
      <c r="AY28" s="6">
        <f>IF(OR($BJ28="",50&gt;設定!$B$3),"",IF(INDEX(原始資料!BA$2:BA$501,$BJ28)="","",INDEX(原始資料!BA$2:BA$501,$BJ28)))</f>
        <v/>
      </c>
      <c r="AZ28" s="6">
        <f>IF(OR($BJ28="",51&gt;設定!$B$3),"",IF(INDEX(原始資料!BB$2:BB$501,$BJ28)="","",INDEX(原始資料!BB$2:BB$501,$BJ28)))</f>
        <v/>
      </c>
      <c r="BA28" s="6">
        <f>IF(OR($BJ28="",52&gt;設定!$B$3),"",IF(INDEX(原始資料!BC$2:BC$501,$BJ28)="","",INDEX(原始資料!BC$2:BC$501,$BJ28)))</f>
        <v/>
      </c>
      <c r="BB28" s="6">
        <f>IF(OR($BJ28="",53&gt;設定!$B$3),"",IF(INDEX(原始資料!BD$2:BD$501,$BJ28)="","",INDEX(原始資料!BD$2:BD$501,$BJ28)))</f>
        <v/>
      </c>
      <c r="BC28" s="6">
        <f>IF(OR($BJ28="",54&gt;設定!$B$3),"",IF(INDEX(原始資料!BE$2:BE$501,$BJ28)="","",INDEX(原始資料!BE$2:BE$501,$BJ28)))</f>
        <v/>
      </c>
      <c r="BD28" s="6">
        <f>IF(OR($BJ28="",55&gt;設定!$B$3),"",IF(INDEX(原始資料!BF$2:BF$501,$BJ28)="","",INDEX(原始資料!BF$2:BF$501,$BJ28)))</f>
        <v/>
      </c>
      <c r="BE28" s="6">
        <f>IF(OR($BJ28="",56&gt;設定!$B$3),"",IF(INDEX(原始資料!BG$2:BG$501,$BJ28)="","",INDEX(原始資料!BG$2:BG$501,$BJ28)))</f>
        <v/>
      </c>
      <c r="BF28" s="6">
        <f>IF(OR($BJ28="",57&gt;設定!$B$3),"",IF(INDEX(原始資料!BH$2:BH$501,$BJ28)="","",INDEX(原始資料!BH$2:BH$501,$BJ28)))</f>
        <v/>
      </c>
      <c r="BG28" s="6">
        <f>IF(OR($BJ28="",58&gt;設定!$B$3),"",IF(INDEX(原始資料!BI$2:BI$501,$BJ28)="","",INDEX(原始資料!BI$2:BI$501,$BJ28)))</f>
        <v/>
      </c>
      <c r="BH28" s="6">
        <f>IF(OR($BJ28="",59&gt;設定!$B$3),"",IF(INDEX(原始資料!BJ$2:BJ$501,$BJ28)="","",INDEX(原始資料!BJ$2:BJ$501,$BJ28)))</f>
        <v/>
      </c>
      <c r="BI28" s="6">
        <f>IF(OR($BJ28="",60&gt;設定!$B$3),"",IF(INDEX(原始資料!BK$2:BK$501,$BJ28)="","",INDEX(原始資料!BK$2:BK$501,$BJ28)))</f>
        <v/>
      </c>
      <c r="BJ28" s="6">
        <f>IFERROR(MATCH(ROW()-1,判定!$H$2:$H$501,0),"")</f>
        <v/>
      </c>
    </row>
    <row r="29">
      <c r="A29" s="6">
        <f>IF($BJ29="","",INDEX(原始資料!$A$2:$A$501,$BJ29))</f>
        <v/>
      </c>
      <c r="B29" s="6">
        <f>IF(OR($BJ29="",1&gt;設定!$B$3),"",IF(INDEX(原始資料!D$2:D$501,$BJ29)="","",INDEX(原始資料!D$2:D$501,$BJ29)))</f>
        <v/>
      </c>
      <c r="C29" s="6">
        <f>IF(OR($BJ29="",2&gt;設定!$B$3),"",IF(INDEX(原始資料!E$2:E$501,$BJ29)="","",INDEX(原始資料!E$2:E$501,$BJ29)))</f>
        <v/>
      </c>
      <c r="D29" s="6">
        <f>IF(OR($BJ29="",3&gt;設定!$B$3),"",IF(INDEX(原始資料!F$2:F$501,$BJ29)="","",INDEX(原始資料!F$2:F$501,$BJ29)))</f>
        <v/>
      </c>
      <c r="E29" s="6">
        <f>IF(OR($BJ29="",4&gt;設定!$B$3),"",IF(INDEX(原始資料!G$2:G$501,$BJ29)="","",INDEX(原始資料!G$2:G$501,$BJ29)))</f>
        <v/>
      </c>
      <c r="F29" s="6">
        <f>IF(OR($BJ29="",5&gt;設定!$B$3),"",IF(INDEX(原始資料!H$2:H$501,$BJ29)="","",INDEX(原始資料!H$2:H$501,$BJ29)))</f>
        <v/>
      </c>
      <c r="G29" s="6">
        <f>IF(OR($BJ29="",6&gt;設定!$B$3),"",IF(INDEX(原始資料!I$2:I$501,$BJ29)="","",INDEX(原始資料!I$2:I$501,$BJ29)))</f>
        <v/>
      </c>
      <c r="H29" s="6">
        <f>IF(OR($BJ29="",7&gt;設定!$B$3),"",IF(INDEX(原始資料!J$2:J$501,$BJ29)="","",INDEX(原始資料!J$2:J$501,$BJ29)))</f>
        <v/>
      </c>
      <c r="I29" s="6">
        <f>IF(OR($BJ29="",8&gt;設定!$B$3),"",IF(INDEX(原始資料!K$2:K$501,$BJ29)="","",INDEX(原始資料!K$2:K$501,$BJ29)))</f>
        <v/>
      </c>
      <c r="J29" s="6">
        <f>IF(OR($BJ29="",9&gt;設定!$B$3),"",IF(INDEX(原始資料!L$2:L$501,$BJ29)="","",INDEX(原始資料!L$2:L$501,$BJ29)))</f>
        <v/>
      </c>
      <c r="K29" s="6">
        <f>IF(OR($BJ29="",10&gt;設定!$B$3),"",IF(INDEX(原始資料!M$2:M$501,$BJ29)="","",INDEX(原始資料!M$2:M$501,$BJ29)))</f>
        <v/>
      </c>
      <c r="L29" s="6">
        <f>IF(OR($BJ29="",11&gt;設定!$B$3),"",IF(INDEX(原始資料!N$2:N$501,$BJ29)="","",INDEX(原始資料!N$2:N$501,$BJ29)))</f>
        <v/>
      </c>
      <c r="M29" s="6">
        <f>IF(OR($BJ29="",12&gt;設定!$B$3),"",IF(INDEX(原始資料!O$2:O$501,$BJ29)="","",INDEX(原始資料!O$2:O$501,$BJ29)))</f>
        <v/>
      </c>
      <c r="N29" s="6">
        <f>IF(OR($BJ29="",13&gt;設定!$B$3),"",IF(INDEX(原始資料!P$2:P$501,$BJ29)="","",INDEX(原始資料!P$2:P$501,$BJ29)))</f>
        <v/>
      </c>
      <c r="O29" s="6">
        <f>IF(OR($BJ29="",14&gt;設定!$B$3),"",IF(INDEX(原始資料!Q$2:Q$501,$BJ29)="","",INDEX(原始資料!Q$2:Q$501,$BJ29)))</f>
        <v/>
      </c>
      <c r="P29" s="6">
        <f>IF(OR($BJ29="",15&gt;設定!$B$3),"",IF(INDEX(原始資料!R$2:R$501,$BJ29)="","",INDEX(原始資料!R$2:R$501,$BJ29)))</f>
        <v/>
      </c>
      <c r="Q29" s="6">
        <f>IF(OR($BJ29="",16&gt;設定!$B$3),"",IF(INDEX(原始資料!S$2:S$501,$BJ29)="","",INDEX(原始資料!S$2:S$501,$BJ29)))</f>
        <v/>
      </c>
      <c r="R29" s="6">
        <f>IF(OR($BJ29="",17&gt;設定!$B$3),"",IF(INDEX(原始資料!T$2:T$501,$BJ29)="","",INDEX(原始資料!T$2:T$501,$BJ29)))</f>
        <v/>
      </c>
      <c r="S29" s="6">
        <f>IF(OR($BJ29="",18&gt;設定!$B$3),"",IF(INDEX(原始資料!U$2:U$501,$BJ29)="","",INDEX(原始資料!U$2:U$501,$BJ29)))</f>
        <v/>
      </c>
      <c r="T29" s="6">
        <f>IF(OR($BJ29="",19&gt;設定!$B$3),"",IF(INDEX(原始資料!V$2:V$501,$BJ29)="","",INDEX(原始資料!V$2:V$501,$BJ29)))</f>
        <v/>
      </c>
      <c r="U29" s="6">
        <f>IF(OR($BJ29="",20&gt;設定!$B$3),"",IF(INDEX(原始資料!W$2:W$501,$BJ29)="","",INDEX(原始資料!W$2:W$501,$BJ29)))</f>
        <v/>
      </c>
      <c r="V29" s="6">
        <f>IF(OR($BJ29="",21&gt;設定!$B$3),"",IF(INDEX(原始資料!X$2:X$501,$BJ29)="","",INDEX(原始資料!X$2:X$501,$BJ29)))</f>
        <v/>
      </c>
      <c r="W29" s="6">
        <f>IF(OR($BJ29="",22&gt;設定!$B$3),"",IF(INDEX(原始資料!Y$2:Y$501,$BJ29)="","",INDEX(原始資料!Y$2:Y$501,$BJ29)))</f>
        <v/>
      </c>
      <c r="X29" s="6">
        <f>IF(OR($BJ29="",23&gt;設定!$B$3),"",IF(INDEX(原始資料!Z$2:Z$501,$BJ29)="","",INDEX(原始資料!Z$2:Z$501,$BJ29)))</f>
        <v/>
      </c>
      <c r="Y29" s="6">
        <f>IF(OR($BJ29="",24&gt;設定!$B$3),"",IF(INDEX(原始資料!AA$2:AA$501,$BJ29)="","",INDEX(原始資料!AA$2:AA$501,$BJ29)))</f>
        <v/>
      </c>
      <c r="Z29" s="6">
        <f>IF(OR($BJ29="",25&gt;設定!$B$3),"",IF(INDEX(原始資料!AB$2:AB$501,$BJ29)="","",INDEX(原始資料!AB$2:AB$501,$BJ29)))</f>
        <v/>
      </c>
      <c r="AA29" s="6">
        <f>IF(OR($BJ29="",26&gt;設定!$B$3),"",IF(INDEX(原始資料!AC$2:AC$501,$BJ29)="","",INDEX(原始資料!AC$2:AC$501,$BJ29)))</f>
        <v/>
      </c>
      <c r="AB29" s="6">
        <f>IF(OR($BJ29="",27&gt;設定!$B$3),"",IF(INDEX(原始資料!AD$2:AD$501,$BJ29)="","",INDEX(原始資料!AD$2:AD$501,$BJ29)))</f>
        <v/>
      </c>
      <c r="AC29" s="6">
        <f>IF(OR($BJ29="",28&gt;設定!$B$3),"",IF(INDEX(原始資料!AE$2:AE$501,$BJ29)="","",INDEX(原始資料!AE$2:AE$501,$BJ29)))</f>
        <v/>
      </c>
      <c r="AD29" s="6">
        <f>IF(OR($BJ29="",29&gt;設定!$B$3),"",IF(INDEX(原始資料!AF$2:AF$501,$BJ29)="","",INDEX(原始資料!AF$2:AF$501,$BJ29)))</f>
        <v/>
      </c>
      <c r="AE29" s="6">
        <f>IF(OR($BJ29="",30&gt;設定!$B$3),"",IF(INDEX(原始資料!AG$2:AG$501,$BJ29)="","",INDEX(原始資料!AG$2:AG$501,$BJ29)))</f>
        <v/>
      </c>
      <c r="AF29" s="6">
        <f>IF(OR($BJ29="",31&gt;設定!$B$3),"",IF(INDEX(原始資料!AH$2:AH$501,$BJ29)="","",INDEX(原始資料!AH$2:AH$501,$BJ29)))</f>
        <v/>
      </c>
      <c r="AG29" s="6">
        <f>IF(OR($BJ29="",32&gt;設定!$B$3),"",IF(INDEX(原始資料!AI$2:AI$501,$BJ29)="","",INDEX(原始資料!AI$2:AI$501,$BJ29)))</f>
        <v/>
      </c>
      <c r="AH29" s="6">
        <f>IF(OR($BJ29="",33&gt;設定!$B$3),"",IF(INDEX(原始資料!AJ$2:AJ$501,$BJ29)="","",INDEX(原始資料!AJ$2:AJ$501,$BJ29)))</f>
        <v/>
      </c>
      <c r="AI29" s="6">
        <f>IF(OR($BJ29="",34&gt;設定!$B$3),"",IF(INDEX(原始資料!AK$2:AK$501,$BJ29)="","",INDEX(原始資料!AK$2:AK$501,$BJ29)))</f>
        <v/>
      </c>
      <c r="AJ29" s="6">
        <f>IF(OR($BJ29="",35&gt;設定!$B$3),"",IF(INDEX(原始資料!AL$2:AL$501,$BJ29)="","",INDEX(原始資料!AL$2:AL$501,$BJ29)))</f>
        <v/>
      </c>
      <c r="AK29" s="6">
        <f>IF(OR($BJ29="",36&gt;設定!$B$3),"",IF(INDEX(原始資料!AM$2:AM$501,$BJ29)="","",INDEX(原始資料!AM$2:AM$501,$BJ29)))</f>
        <v/>
      </c>
      <c r="AL29" s="6">
        <f>IF(OR($BJ29="",37&gt;設定!$B$3),"",IF(INDEX(原始資料!AN$2:AN$501,$BJ29)="","",INDEX(原始資料!AN$2:AN$501,$BJ29)))</f>
        <v/>
      </c>
      <c r="AM29" s="6">
        <f>IF(OR($BJ29="",38&gt;設定!$B$3),"",IF(INDEX(原始資料!AO$2:AO$501,$BJ29)="","",INDEX(原始資料!AO$2:AO$501,$BJ29)))</f>
        <v/>
      </c>
      <c r="AN29" s="6">
        <f>IF(OR($BJ29="",39&gt;設定!$B$3),"",IF(INDEX(原始資料!AP$2:AP$501,$BJ29)="","",INDEX(原始資料!AP$2:AP$501,$BJ29)))</f>
        <v/>
      </c>
      <c r="AO29" s="6">
        <f>IF(OR($BJ29="",40&gt;設定!$B$3),"",IF(INDEX(原始資料!AQ$2:AQ$501,$BJ29)="","",INDEX(原始資料!AQ$2:AQ$501,$BJ29)))</f>
        <v/>
      </c>
      <c r="AP29" s="6">
        <f>IF(OR($BJ29="",41&gt;設定!$B$3),"",IF(INDEX(原始資料!AR$2:AR$501,$BJ29)="","",INDEX(原始資料!AR$2:AR$501,$BJ29)))</f>
        <v/>
      </c>
      <c r="AQ29" s="6">
        <f>IF(OR($BJ29="",42&gt;設定!$B$3),"",IF(INDEX(原始資料!AS$2:AS$501,$BJ29)="","",INDEX(原始資料!AS$2:AS$501,$BJ29)))</f>
        <v/>
      </c>
      <c r="AR29" s="6">
        <f>IF(OR($BJ29="",43&gt;設定!$B$3),"",IF(INDEX(原始資料!AT$2:AT$501,$BJ29)="","",INDEX(原始資料!AT$2:AT$501,$BJ29)))</f>
        <v/>
      </c>
      <c r="AS29" s="6">
        <f>IF(OR($BJ29="",44&gt;設定!$B$3),"",IF(INDEX(原始資料!AU$2:AU$501,$BJ29)="","",INDEX(原始資料!AU$2:AU$501,$BJ29)))</f>
        <v/>
      </c>
      <c r="AT29" s="6">
        <f>IF(OR($BJ29="",45&gt;設定!$B$3),"",IF(INDEX(原始資料!AV$2:AV$501,$BJ29)="","",INDEX(原始資料!AV$2:AV$501,$BJ29)))</f>
        <v/>
      </c>
      <c r="AU29" s="6">
        <f>IF(OR($BJ29="",46&gt;設定!$B$3),"",IF(INDEX(原始資料!AW$2:AW$501,$BJ29)="","",INDEX(原始資料!AW$2:AW$501,$BJ29)))</f>
        <v/>
      </c>
      <c r="AV29" s="6">
        <f>IF(OR($BJ29="",47&gt;設定!$B$3),"",IF(INDEX(原始資料!AX$2:AX$501,$BJ29)="","",INDEX(原始資料!AX$2:AX$501,$BJ29)))</f>
        <v/>
      </c>
      <c r="AW29" s="6">
        <f>IF(OR($BJ29="",48&gt;設定!$B$3),"",IF(INDEX(原始資料!AY$2:AY$501,$BJ29)="","",INDEX(原始資料!AY$2:AY$501,$BJ29)))</f>
        <v/>
      </c>
      <c r="AX29" s="6">
        <f>IF(OR($BJ29="",49&gt;設定!$B$3),"",IF(INDEX(原始資料!AZ$2:AZ$501,$BJ29)="","",INDEX(原始資料!AZ$2:AZ$501,$BJ29)))</f>
        <v/>
      </c>
      <c r="AY29" s="6">
        <f>IF(OR($BJ29="",50&gt;設定!$B$3),"",IF(INDEX(原始資料!BA$2:BA$501,$BJ29)="","",INDEX(原始資料!BA$2:BA$501,$BJ29)))</f>
        <v/>
      </c>
      <c r="AZ29" s="6">
        <f>IF(OR($BJ29="",51&gt;設定!$B$3),"",IF(INDEX(原始資料!BB$2:BB$501,$BJ29)="","",INDEX(原始資料!BB$2:BB$501,$BJ29)))</f>
        <v/>
      </c>
      <c r="BA29" s="6">
        <f>IF(OR($BJ29="",52&gt;設定!$B$3),"",IF(INDEX(原始資料!BC$2:BC$501,$BJ29)="","",INDEX(原始資料!BC$2:BC$501,$BJ29)))</f>
        <v/>
      </c>
      <c r="BB29" s="6">
        <f>IF(OR($BJ29="",53&gt;設定!$B$3),"",IF(INDEX(原始資料!BD$2:BD$501,$BJ29)="","",INDEX(原始資料!BD$2:BD$501,$BJ29)))</f>
        <v/>
      </c>
      <c r="BC29" s="6">
        <f>IF(OR($BJ29="",54&gt;設定!$B$3),"",IF(INDEX(原始資料!BE$2:BE$501,$BJ29)="","",INDEX(原始資料!BE$2:BE$501,$BJ29)))</f>
        <v/>
      </c>
      <c r="BD29" s="6">
        <f>IF(OR($BJ29="",55&gt;設定!$B$3),"",IF(INDEX(原始資料!BF$2:BF$501,$BJ29)="","",INDEX(原始資料!BF$2:BF$501,$BJ29)))</f>
        <v/>
      </c>
      <c r="BE29" s="6">
        <f>IF(OR($BJ29="",56&gt;設定!$B$3),"",IF(INDEX(原始資料!BG$2:BG$501,$BJ29)="","",INDEX(原始資料!BG$2:BG$501,$BJ29)))</f>
        <v/>
      </c>
      <c r="BF29" s="6">
        <f>IF(OR($BJ29="",57&gt;設定!$B$3),"",IF(INDEX(原始資料!BH$2:BH$501,$BJ29)="","",INDEX(原始資料!BH$2:BH$501,$BJ29)))</f>
        <v/>
      </c>
      <c r="BG29" s="6">
        <f>IF(OR($BJ29="",58&gt;設定!$B$3),"",IF(INDEX(原始資料!BI$2:BI$501,$BJ29)="","",INDEX(原始資料!BI$2:BI$501,$BJ29)))</f>
        <v/>
      </c>
      <c r="BH29" s="6">
        <f>IF(OR($BJ29="",59&gt;設定!$B$3),"",IF(INDEX(原始資料!BJ$2:BJ$501,$BJ29)="","",INDEX(原始資料!BJ$2:BJ$501,$BJ29)))</f>
        <v/>
      </c>
      <c r="BI29" s="6">
        <f>IF(OR($BJ29="",60&gt;設定!$B$3),"",IF(INDEX(原始資料!BK$2:BK$501,$BJ29)="","",INDEX(原始資料!BK$2:BK$501,$BJ29)))</f>
        <v/>
      </c>
      <c r="BJ29" s="6">
        <f>IFERROR(MATCH(ROW()-1,判定!$H$2:$H$501,0),"")</f>
        <v/>
      </c>
    </row>
    <row r="30">
      <c r="A30" s="6">
        <f>IF($BJ30="","",INDEX(原始資料!$A$2:$A$501,$BJ30))</f>
        <v/>
      </c>
      <c r="B30" s="6">
        <f>IF(OR($BJ30="",1&gt;設定!$B$3),"",IF(INDEX(原始資料!D$2:D$501,$BJ30)="","",INDEX(原始資料!D$2:D$501,$BJ30)))</f>
        <v/>
      </c>
      <c r="C30" s="6">
        <f>IF(OR($BJ30="",2&gt;設定!$B$3),"",IF(INDEX(原始資料!E$2:E$501,$BJ30)="","",INDEX(原始資料!E$2:E$501,$BJ30)))</f>
        <v/>
      </c>
      <c r="D30" s="6">
        <f>IF(OR($BJ30="",3&gt;設定!$B$3),"",IF(INDEX(原始資料!F$2:F$501,$BJ30)="","",INDEX(原始資料!F$2:F$501,$BJ30)))</f>
        <v/>
      </c>
      <c r="E30" s="6">
        <f>IF(OR($BJ30="",4&gt;設定!$B$3),"",IF(INDEX(原始資料!G$2:G$501,$BJ30)="","",INDEX(原始資料!G$2:G$501,$BJ30)))</f>
        <v/>
      </c>
      <c r="F30" s="6">
        <f>IF(OR($BJ30="",5&gt;設定!$B$3),"",IF(INDEX(原始資料!H$2:H$501,$BJ30)="","",INDEX(原始資料!H$2:H$501,$BJ30)))</f>
        <v/>
      </c>
      <c r="G30" s="6">
        <f>IF(OR($BJ30="",6&gt;設定!$B$3),"",IF(INDEX(原始資料!I$2:I$501,$BJ30)="","",INDEX(原始資料!I$2:I$501,$BJ30)))</f>
        <v/>
      </c>
      <c r="H30" s="6">
        <f>IF(OR($BJ30="",7&gt;設定!$B$3),"",IF(INDEX(原始資料!J$2:J$501,$BJ30)="","",INDEX(原始資料!J$2:J$501,$BJ30)))</f>
        <v/>
      </c>
      <c r="I30" s="6">
        <f>IF(OR($BJ30="",8&gt;設定!$B$3),"",IF(INDEX(原始資料!K$2:K$501,$BJ30)="","",INDEX(原始資料!K$2:K$501,$BJ30)))</f>
        <v/>
      </c>
      <c r="J30" s="6">
        <f>IF(OR($BJ30="",9&gt;設定!$B$3),"",IF(INDEX(原始資料!L$2:L$501,$BJ30)="","",INDEX(原始資料!L$2:L$501,$BJ30)))</f>
        <v/>
      </c>
      <c r="K30" s="6">
        <f>IF(OR($BJ30="",10&gt;設定!$B$3),"",IF(INDEX(原始資料!M$2:M$501,$BJ30)="","",INDEX(原始資料!M$2:M$501,$BJ30)))</f>
        <v/>
      </c>
      <c r="L30" s="6">
        <f>IF(OR($BJ30="",11&gt;設定!$B$3),"",IF(INDEX(原始資料!N$2:N$501,$BJ30)="","",INDEX(原始資料!N$2:N$501,$BJ30)))</f>
        <v/>
      </c>
      <c r="M30" s="6">
        <f>IF(OR($BJ30="",12&gt;設定!$B$3),"",IF(INDEX(原始資料!O$2:O$501,$BJ30)="","",INDEX(原始資料!O$2:O$501,$BJ30)))</f>
        <v/>
      </c>
      <c r="N30" s="6">
        <f>IF(OR($BJ30="",13&gt;設定!$B$3),"",IF(INDEX(原始資料!P$2:P$501,$BJ30)="","",INDEX(原始資料!P$2:P$501,$BJ30)))</f>
        <v/>
      </c>
      <c r="O30" s="6">
        <f>IF(OR($BJ30="",14&gt;設定!$B$3),"",IF(INDEX(原始資料!Q$2:Q$501,$BJ30)="","",INDEX(原始資料!Q$2:Q$501,$BJ30)))</f>
        <v/>
      </c>
      <c r="P30" s="6">
        <f>IF(OR($BJ30="",15&gt;設定!$B$3),"",IF(INDEX(原始資料!R$2:R$501,$BJ30)="","",INDEX(原始資料!R$2:R$501,$BJ30)))</f>
        <v/>
      </c>
      <c r="Q30" s="6">
        <f>IF(OR($BJ30="",16&gt;設定!$B$3),"",IF(INDEX(原始資料!S$2:S$501,$BJ30)="","",INDEX(原始資料!S$2:S$501,$BJ30)))</f>
        <v/>
      </c>
      <c r="R30" s="6">
        <f>IF(OR($BJ30="",17&gt;設定!$B$3),"",IF(INDEX(原始資料!T$2:T$501,$BJ30)="","",INDEX(原始資料!T$2:T$501,$BJ30)))</f>
        <v/>
      </c>
      <c r="S30" s="6">
        <f>IF(OR($BJ30="",18&gt;設定!$B$3),"",IF(INDEX(原始資料!U$2:U$501,$BJ30)="","",INDEX(原始資料!U$2:U$501,$BJ30)))</f>
        <v/>
      </c>
      <c r="T30" s="6">
        <f>IF(OR($BJ30="",19&gt;設定!$B$3),"",IF(INDEX(原始資料!V$2:V$501,$BJ30)="","",INDEX(原始資料!V$2:V$501,$BJ30)))</f>
        <v/>
      </c>
      <c r="U30" s="6">
        <f>IF(OR($BJ30="",20&gt;設定!$B$3),"",IF(INDEX(原始資料!W$2:W$501,$BJ30)="","",INDEX(原始資料!W$2:W$501,$BJ30)))</f>
        <v/>
      </c>
      <c r="V30" s="6">
        <f>IF(OR($BJ30="",21&gt;設定!$B$3),"",IF(INDEX(原始資料!X$2:X$501,$BJ30)="","",INDEX(原始資料!X$2:X$501,$BJ30)))</f>
        <v/>
      </c>
      <c r="W30" s="6">
        <f>IF(OR($BJ30="",22&gt;設定!$B$3),"",IF(INDEX(原始資料!Y$2:Y$501,$BJ30)="","",INDEX(原始資料!Y$2:Y$501,$BJ30)))</f>
        <v/>
      </c>
      <c r="X30" s="6">
        <f>IF(OR($BJ30="",23&gt;設定!$B$3),"",IF(INDEX(原始資料!Z$2:Z$501,$BJ30)="","",INDEX(原始資料!Z$2:Z$501,$BJ30)))</f>
        <v/>
      </c>
      <c r="Y30" s="6">
        <f>IF(OR($BJ30="",24&gt;設定!$B$3),"",IF(INDEX(原始資料!AA$2:AA$501,$BJ30)="","",INDEX(原始資料!AA$2:AA$501,$BJ30)))</f>
        <v/>
      </c>
      <c r="Z30" s="6">
        <f>IF(OR($BJ30="",25&gt;設定!$B$3),"",IF(INDEX(原始資料!AB$2:AB$501,$BJ30)="","",INDEX(原始資料!AB$2:AB$501,$BJ30)))</f>
        <v/>
      </c>
      <c r="AA30" s="6">
        <f>IF(OR($BJ30="",26&gt;設定!$B$3),"",IF(INDEX(原始資料!AC$2:AC$501,$BJ30)="","",INDEX(原始資料!AC$2:AC$501,$BJ30)))</f>
        <v/>
      </c>
      <c r="AB30" s="6">
        <f>IF(OR($BJ30="",27&gt;設定!$B$3),"",IF(INDEX(原始資料!AD$2:AD$501,$BJ30)="","",INDEX(原始資料!AD$2:AD$501,$BJ30)))</f>
        <v/>
      </c>
      <c r="AC30" s="6">
        <f>IF(OR($BJ30="",28&gt;設定!$B$3),"",IF(INDEX(原始資料!AE$2:AE$501,$BJ30)="","",INDEX(原始資料!AE$2:AE$501,$BJ30)))</f>
        <v/>
      </c>
      <c r="AD30" s="6">
        <f>IF(OR($BJ30="",29&gt;設定!$B$3),"",IF(INDEX(原始資料!AF$2:AF$501,$BJ30)="","",INDEX(原始資料!AF$2:AF$501,$BJ30)))</f>
        <v/>
      </c>
      <c r="AE30" s="6">
        <f>IF(OR($BJ30="",30&gt;設定!$B$3),"",IF(INDEX(原始資料!AG$2:AG$501,$BJ30)="","",INDEX(原始資料!AG$2:AG$501,$BJ30)))</f>
        <v/>
      </c>
      <c r="AF30" s="6">
        <f>IF(OR($BJ30="",31&gt;設定!$B$3),"",IF(INDEX(原始資料!AH$2:AH$501,$BJ30)="","",INDEX(原始資料!AH$2:AH$501,$BJ30)))</f>
        <v/>
      </c>
      <c r="AG30" s="6">
        <f>IF(OR($BJ30="",32&gt;設定!$B$3),"",IF(INDEX(原始資料!AI$2:AI$501,$BJ30)="","",INDEX(原始資料!AI$2:AI$501,$BJ30)))</f>
        <v/>
      </c>
      <c r="AH30" s="6">
        <f>IF(OR($BJ30="",33&gt;設定!$B$3),"",IF(INDEX(原始資料!AJ$2:AJ$501,$BJ30)="","",INDEX(原始資料!AJ$2:AJ$501,$BJ30)))</f>
        <v/>
      </c>
      <c r="AI30" s="6">
        <f>IF(OR($BJ30="",34&gt;設定!$B$3),"",IF(INDEX(原始資料!AK$2:AK$501,$BJ30)="","",INDEX(原始資料!AK$2:AK$501,$BJ30)))</f>
        <v/>
      </c>
      <c r="AJ30" s="6">
        <f>IF(OR($BJ30="",35&gt;設定!$B$3),"",IF(INDEX(原始資料!AL$2:AL$501,$BJ30)="","",INDEX(原始資料!AL$2:AL$501,$BJ30)))</f>
        <v/>
      </c>
      <c r="AK30" s="6">
        <f>IF(OR($BJ30="",36&gt;設定!$B$3),"",IF(INDEX(原始資料!AM$2:AM$501,$BJ30)="","",INDEX(原始資料!AM$2:AM$501,$BJ30)))</f>
        <v/>
      </c>
      <c r="AL30" s="6">
        <f>IF(OR($BJ30="",37&gt;設定!$B$3),"",IF(INDEX(原始資料!AN$2:AN$501,$BJ30)="","",INDEX(原始資料!AN$2:AN$501,$BJ30)))</f>
        <v/>
      </c>
      <c r="AM30" s="6">
        <f>IF(OR($BJ30="",38&gt;設定!$B$3),"",IF(INDEX(原始資料!AO$2:AO$501,$BJ30)="","",INDEX(原始資料!AO$2:AO$501,$BJ30)))</f>
        <v/>
      </c>
      <c r="AN30" s="6">
        <f>IF(OR($BJ30="",39&gt;設定!$B$3),"",IF(INDEX(原始資料!AP$2:AP$501,$BJ30)="","",INDEX(原始資料!AP$2:AP$501,$BJ30)))</f>
        <v/>
      </c>
      <c r="AO30" s="6">
        <f>IF(OR($BJ30="",40&gt;設定!$B$3),"",IF(INDEX(原始資料!AQ$2:AQ$501,$BJ30)="","",INDEX(原始資料!AQ$2:AQ$501,$BJ30)))</f>
        <v/>
      </c>
      <c r="AP30" s="6">
        <f>IF(OR($BJ30="",41&gt;設定!$B$3),"",IF(INDEX(原始資料!AR$2:AR$501,$BJ30)="","",INDEX(原始資料!AR$2:AR$501,$BJ30)))</f>
        <v/>
      </c>
      <c r="AQ30" s="6">
        <f>IF(OR($BJ30="",42&gt;設定!$B$3),"",IF(INDEX(原始資料!AS$2:AS$501,$BJ30)="","",INDEX(原始資料!AS$2:AS$501,$BJ30)))</f>
        <v/>
      </c>
      <c r="AR30" s="6">
        <f>IF(OR($BJ30="",43&gt;設定!$B$3),"",IF(INDEX(原始資料!AT$2:AT$501,$BJ30)="","",INDEX(原始資料!AT$2:AT$501,$BJ30)))</f>
        <v/>
      </c>
      <c r="AS30" s="6">
        <f>IF(OR($BJ30="",44&gt;設定!$B$3),"",IF(INDEX(原始資料!AU$2:AU$501,$BJ30)="","",INDEX(原始資料!AU$2:AU$501,$BJ30)))</f>
        <v/>
      </c>
      <c r="AT30" s="6">
        <f>IF(OR($BJ30="",45&gt;設定!$B$3),"",IF(INDEX(原始資料!AV$2:AV$501,$BJ30)="","",INDEX(原始資料!AV$2:AV$501,$BJ30)))</f>
        <v/>
      </c>
      <c r="AU30" s="6">
        <f>IF(OR($BJ30="",46&gt;設定!$B$3),"",IF(INDEX(原始資料!AW$2:AW$501,$BJ30)="","",INDEX(原始資料!AW$2:AW$501,$BJ30)))</f>
        <v/>
      </c>
      <c r="AV30" s="6">
        <f>IF(OR($BJ30="",47&gt;設定!$B$3),"",IF(INDEX(原始資料!AX$2:AX$501,$BJ30)="","",INDEX(原始資料!AX$2:AX$501,$BJ30)))</f>
        <v/>
      </c>
      <c r="AW30" s="6">
        <f>IF(OR($BJ30="",48&gt;設定!$B$3),"",IF(INDEX(原始資料!AY$2:AY$501,$BJ30)="","",INDEX(原始資料!AY$2:AY$501,$BJ30)))</f>
        <v/>
      </c>
      <c r="AX30" s="6">
        <f>IF(OR($BJ30="",49&gt;設定!$B$3),"",IF(INDEX(原始資料!AZ$2:AZ$501,$BJ30)="","",INDEX(原始資料!AZ$2:AZ$501,$BJ30)))</f>
        <v/>
      </c>
      <c r="AY30" s="6">
        <f>IF(OR($BJ30="",50&gt;設定!$B$3),"",IF(INDEX(原始資料!BA$2:BA$501,$BJ30)="","",INDEX(原始資料!BA$2:BA$501,$BJ30)))</f>
        <v/>
      </c>
      <c r="AZ30" s="6">
        <f>IF(OR($BJ30="",51&gt;設定!$B$3),"",IF(INDEX(原始資料!BB$2:BB$501,$BJ30)="","",INDEX(原始資料!BB$2:BB$501,$BJ30)))</f>
        <v/>
      </c>
      <c r="BA30" s="6">
        <f>IF(OR($BJ30="",52&gt;設定!$B$3),"",IF(INDEX(原始資料!BC$2:BC$501,$BJ30)="","",INDEX(原始資料!BC$2:BC$501,$BJ30)))</f>
        <v/>
      </c>
      <c r="BB30" s="6">
        <f>IF(OR($BJ30="",53&gt;設定!$B$3),"",IF(INDEX(原始資料!BD$2:BD$501,$BJ30)="","",INDEX(原始資料!BD$2:BD$501,$BJ30)))</f>
        <v/>
      </c>
      <c r="BC30" s="6">
        <f>IF(OR($BJ30="",54&gt;設定!$B$3),"",IF(INDEX(原始資料!BE$2:BE$501,$BJ30)="","",INDEX(原始資料!BE$2:BE$501,$BJ30)))</f>
        <v/>
      </c>
      <c r="BD30" s="6">
        <f>IF(OR($BJ30="",55&gt;設定!$B$3),"",IF(INDEX(原始資料!BF$2:BF$501,$BJ30)="","",INDEX(原始資料!BF$2:BF$501,$BJ30)))</f>
        <v/>
      </c>
      <c r="BE30" s="6">
        <f>IF(OR($BJ30="",56&gt;設定!$B$3),"",IF(INDEX(原始資料!BG$2:BG$501,$BJ30)="","",INDEX(原始資料!BG$2:BG$501,$BJ30)))</f>
        <v/>
      </c>
      <c r="BF30" s="6">
        <f>IF(OR($BJ30="",57&gt;設定!$B$3),"",IF(INDEX(原始資料!BH$2:BH$501,$BJ30)="","",INDEX(原始資料!BH$2:BH$501,$BJ30)))</f>
        <v/>
      </c>
      <c r="BG30" s="6">
        <f>IF(OR($BJ30="",58&gt;設定!$B$3),"",IF(INDEX(原始資料!BI$2:BI$501,$BJ30)="","",INDEX(原始資料!BI$2:BI$501,$BJ30)))</f>
        <v/>
      </c>
      <c r="BH30" s="6">
        <f>IF(OR($BJ30="",59&gt;設定!$B$3),"",IF(INDEX(原始資料!BJ$2:BJ$501,$BJ30)="","",INDEX(原始資料!BJ$2:BJ$501,$BJ30)))</f>
        <v/>
      </c>
      <c r="BI30" s="6">
        <f>IF(OR($BJ30="",60&gt;設定!$B$3),"",IF(INDEX(原始資料!BK$2:BK$501,$BJ30)="","",INDEX(原始資料!BK$2:BK$501,$BJ30)))</f>
        <v/>
      </c>
      <c r="BJ30" s="6">
        <f>IFERROR(MATCH(ROW()-1,判定!$H$2:$H$501,0),"")</f>
        <v/>
      </c>
    </row>
    <row r="31">
      <c r="A31" s="6">
        <f>IF($BJ31="","",INDEX(原始資料!$A$2:$A$501,$BJ31))</f>
        <v/>
      </c>
      <c r="B31" s="6">
        <f>IF(OR($BJ31="",1&gt;設定!$B$3),"",IF(INDEX(原始資料!D$2:D$501,$BJ31)="","",INDEX(原始資料!D$2:D$501,$BJ31)))</f>
        <v/>
      </c>
      <c r="C31" s="6">
        <f>IF(OR($BJ31="",2&gt;設定!$B$3),"",IF(INDEX(原始資料!E$2:E$501,$BJ31)="","",INDEX(原始資料!E$2:E$501,$BJ31)))</f>
        <v/>
      </c>
      <c r="D31" s="6">
        <f>IF(OR($BJ31="",3&gt;設定!$B$3),"",IF(INDEX(原始資料!F$2:F$501,$BJ31)="","",INDEX(原始資料!F$2:F$501,$BJ31)))</f>
        <v/>
      </c>
      <c r="E31" s="6">
        <f>IF(OR($BJ31="",4&gt;設定!$B$3),"",IF(INDEX(原始資料!G$2:G$501,$BJ31)="","",INDEX(原始資料!G$2:G$501,$BJ31)))</f>
        <v/>
      </c>
      <c r="F31" s="6">
        <f>IF(OR($BJ31="",5&gt;設定!$B$3),"",IF(INDEX(原始資料!H$2:H$501,$BJ31)="","",INDEX(原始資料!H$2:H$501,$BJ31)))</f>
        <v/>
      </c>
      <c r="G31" s="6">
        <f>IF(OR($BJ31="",6&gt;設定!$B$3),"",IF(INDEX(原始資料!I$2:I$501,$BJ31)="","",INDEX(原始資料!I$2:I$501,$BJ31)))</f>
        <v/>
      </c>
      <c r="H31" s="6">
        <f>IF(OR($BJ31="",7&gt;設定!$B$3),"",IF(INDEX(原始資料!J$2:J$501,$BJ31)="","",INDEX(原始資料!J$2:J$501,$BJ31)))</f>
        <v/>
      </c>
      <c r="I31" s="6">
        <f>IF(OR($BJ31="",8&gt;設定!$B$3),"",IF(INDEX(原始資料!K$2:K$501,$BJ31)="","",INDEX(原始資料!K$2:K$501,$BJ31)))</f>
        <v/>
      </c>
      <c r="J31" s="6">
        <f>IF(OR($BJ31="",9&gt;設定!$B$3),"",IF(INDEX(原始資料!L$2:L$501,$BJ31)="","",INDEX(原始資料!L$2:L$501,$BJ31)))</f>
        <v/>
      </c>
      <c r="K31" s="6">
        <f>IF(OR($BJ31="",10&gt;設定!$B$3),"",IF(INDEX(原始資料!M$2:M$501,$BJ31)="","",INDEX(原始資料!M$2:M$501,$BJ31)))</f>
        <v/>
      </c>
      <c r="L31" s="6">
        <f>IF(OR($BJ31="",11&gt;設定!$B$3),"",IF(INDEX(原始資料!N$2:N$501,$BJ31)="","",INDEX(原始資料!N$2:N$501,$BJ31)))</f>
        <v/>
      </c>
      <c r="M31" s="6">
        <f>IF(OR($BJ31="",12&gt;設定!$B$3),"",IF(INDEX(原始資料!O$2:O$501,$BJ31)="","",INDEX(原始資料!O$2:O$501,$BJ31)))</f>
        <v/>
      </c>
      <c r="N31" s="6">
        <f>IF(OR($BJ31="",13&gt;設定!$B$3),"",IF(INDEX(原始資料!P$2:P$501,$BJ31)="","",INDEX(原始資料!P$2:P$501,$BJ31)))</f>
        <v/>
      </c>
      <c r="O31" s="6">
        <f>IF(OR($BJ31="",14&gt;設定!$B$3),"",IF(INDEX(原始資料!Q$2:Q$501,$BJ31)="","",INDEX(原始資料!Q$2:Q$501,$BJ31)))</f>
        <v/>
      </c>
      <c r="P31" s="6">
        <f>IF(OR($BJ31="",15&gt;設定!$B$3),"",IF(INDEX(原始資料!R$2:R$501,$BJ31)="","",INDEX(原始資料!R$2:R$501,$BJ31)))</f>
        <v/>
      </c>
      <c r="Q31" s="6">
        <f>IF(OR($BJ31="",16&gt;設定!$B$3),"",IF(INDEX(原始資料!S$2:S$501,$BJ31)="","",INDEX(原始資料!S$2:S$501,$BJ31)))</f>
        <v/>
      </c>
      <c r="R31" s="6">
        <f>IF(OR($BJ31="",17&gt;設定!$B$3),"",IF(INDEX(原始資料!T$2:T$501,$BJ31)="","",INDEX(原始資料!T$2:T$501,$BJ31)))</f>
        <v/>
      </c>
      <c r="S31" s="6">
        <f>IF(OR($BJ31="",18&gt;設定!$B$3),"",IF(INDEX(原始資料!U$2:U$501,$BJ31)="","",INDEX(原始資料!U$2:U$501,$BJ31)))</f>
        <v/>
      </c>
      <c r="T31" s="6">
        <f>IF(OR($BJ31="",19&gt;設定!$B$3),"",IF(INDEX(原始資料!V$2:V$501,$BJ31)="","",INDEX(原始資料!V$2:V$501,$BJ31)))</f>
        <v/>
      </c>
      <c r="U31" s="6">
        <f>IF(OR($BJ31="",20&gt;設定!$B$3),"",IF(INDEX(原始資料!W$2:W$501,$BJ31)="","",INDEX(原始資料!W$2:W$501,$BJ31)))</f>
        <v/>
      </c>
      <c r="V31" s="6">
        <f>IF(OR($BJ31="",21&gt;設定!$B$3),"",IF(INDEX(原始資料!X$2:X$501,$BJ31)="","",INDEX(原始資料!X$2:X$501,$BJ31)))</f>
        <v/>
      </c>
      <c r="W31" s="6">
        <f>IF(OR($BJ31="",22&gt;設定!$B$3),"",IF(INDEX(原始資料!Y$2:Y$501,$BJ31)="","",INDEX(原始資料!Y$2:Y$501,$BJ31)))</f>
        <v/>
      </c>
      <c r="X31" s="6">
        <f>IF(OR($BJ31="",23&gt;設定!$B$3),"",IF(INDEX(原始資料!Z$2:Z$501,$BJ31)="","",INDEX(原始資料!Z$2:Z$501,$BJ31)))</f>
        <v/>
      </c>
      <c r="Y31" s="6">
        <f>IF(OR($BJ31="",24&gt;設定!$B$3),"",IF(INDEX(原始資料!AA$2:AA$501,$BJ31)="","",INDEX(原始資料!AA$2:AA$501,$BJ31)))</f>
        <v/>
      </c>
      <c r="Z31" s="6">
        <f>IF(OR($BJ31="",25&gt;設定!$B$3),"",IF(INDEX(原始資料!AB$2:AB$501,$BJ31)="","",INDEX(原始資料!AB$2:AB$501,$BJ31)))</f>
        <v/>
      </c>
      <c r="AA31" s="6">
        <f>IF(OR($BJ31="",26&gt;設定!$B$3),"",IF(INDEX(原始資料!AC$2:AC$501,$BJ31)="","",INDEX(原始資料!AC$2:AC$501,$BJ31)))</f>
        <v/>
      </c>
      <c r="AB31" s="6">
        <f>IF(OR($BJ31="",27&gt;設定!$B$3),"",IF(INDEX(原始資料!AD$2:AD$501,$BJ31)="","",INDEX(原始資料!AD$2:AD$501,$BJ31)))</f>
        <v/>
      </c>
      <c r="AC31" s="6">
        <f>IF(OR($BJ31="",28&gt;設定!$B$3),"",IF(INDEX(原始資料!AE$2:AE$501,$BJ31)="","",INDEX(原始資料!AE$2:AE$501,$BJ31)))</f>
        <v/>
      </c>
      <c r="AD31" s="6">
        <f>IF(OR($BJ31="",29&gt;設定!$B$3),"",IF(INDEX(原始資料!AF$2:AF$501,$BJ31)="","",INDEX(原始資料!AF$2:AF$501,$BJ31)))</f>
        <v/>
      </c>
      <c r="AE31" s="6">
        <f>IF(OR($BJ31="",30&gt;設定!$B$3),"",IF(INDEX(原始資料!AG$2:AG$501,$BJ31)="","",INDEX(原始資料!AG$2:AG$501,$BJ31)))</f>
        <v/>
      </c>
      <c r="AF31" s="6">
        <f>IF(OR($BJ31="",31&gt;設定!$B$3),"",IF(INDEX(原始資料!AH$2:AH$501,$BJ31)="","",INDEX(原始資料!AH$2:AH$501,$BJ31)))</f>
        <v/>
      </c>
      <c r="AG31" s="6">
        <f>IF(OR($BJ31="",32&gt;設定!$B$3),"",IF(INDEX(原始資料!AI$2:AI$501,$BJ31)="","",INDEX(原始資料!AI$2:AI$501,$BJ31)))</f>
        <v/>
      </c>
      <c r="AH31" s="6">
        <f>IF(OR($BJ31="",33&gt;設定!$B$3),"",IF(INDEX(原始資料!AJ$2:AJ$501,$BJ31)="","",INDEX(原始資料!AJ$2:AJ$501,$BJ31)))</f>
        <v/>
      </c>
      <c r="AI31" s="6">
        <f>IF(OR($BJ31="",34&gt;設定!$B$3),"",IF(INDEX(原始資料!AK$2:AK$501,$BJ31)="","",INDEX(原始資料!AK$2:AK$501,$BJ31)))</f>
        <v/>
      </c>
      <c r="AJ31" s="6">
        <f>IF(OR($BJ31="",35&gt;設定!$B$3),"",IF(INDEX(原始資料!AL$2:AL$501,$BJ31)="","",INDEX(原始資料!AL$2:AL$501,$BJ31)))</f>
        <v/>
      </c>
      <c r="AK31" s="6">
        <f>IF(OR($BJ31="",36&gt;設定!$B$3),"",IF(INDEX(原始資料!AM$2:AM$501,$BJ31)="","",INDEX(原始資料!AM$2:AM$501,$BJ31)))</f>
        <v/>
      </c>
      <c r="AL31" s="6">
        <f>IF(OR($BJ31="",37&gt;設定!$B$3),"",IF(INDEX(原始資料!AN$2:AN$501,$BJ31)="","",INDEX(原始資料!AN$2:AN$501,$BJ31)))</f>
        <v/>
      </c>
      <c r="AM31" s="6">
        <f>IF(OR($BJ31="",38&gt;設定!$B$3),"",IF(INDEX(原始資料!AO$2:AO$501,$BJ31)="","",INDEX(原始資料!AO$2:AO$501,$BJ31)))</f>
        <v/>
      </c>
      <c r="AN31" s="6">
        <f>IF(OR($BJ31="",39&gt;設定!$B$3),"",IF(INDEX(原始資料!AP$2:AP$501,$BJ31)="","",INDEX(原始資料!AP$2:AP$501,$BJ31)))</f>
        <v/>
      </c>
      <c r="AO31" s="6">
        <f>IF(OR($BJ31="",40&gt;設定!$B$3),"",IF(INDEX(原始資料!AQ$2:AQ$501,$BJ31)="","",INDEX(原始資料!AQ$2:AQ$501,$BJ31)))</f>
        <v/>
      </c>
      <c r="AP31" s="6">
        <f>IF(OR($BJ31="",41&gt;設定!$B$3),"",IF(INDEX(原始資料!AR$2:AR$501,$BJ31)="","",INDEX(原始資料!AR$2:AR$501,$BJ31)))</f>
        <v/>
      </c>
      <c r="AQ31" s="6">
        <f>IF(OR($BJ31="",42&gt;設定!$B$3),"",IF(INDEX(原始資料!AS$2:AS$501,$BJ31)="","",INDEX(原始資料!AS$2:AS$501,$BJ31)))</f>
        <v/>
      </c>
      <c r="AR31" s="6">
        <f>IF(OR($BJ31="",43&gt;設定!$B$3),"",IF(INDEX(原始資料!AT$2:AT$501,$BJ31)="","",INDEX(原始資料!AT$2:AT$501,$BJ31)))</f>
        <v/>
      </c>
      <c r="AS31" s="6">
        <f>IF(OR($BJ31="",44&gt;設定!$B$3),"",IF(INDEX(原始資料!AU$2:AU$501,$BJ31)="","",INDEX(原始資料!AU$2:AU$501,$BJ31)))</f>
        <v/>
      </c>
      <c r="AT31" s="6">
        <f>IF(OR($BJ31="",45&gt;設定!$B$3),"",IF(INDEX(原始資料!AV$2:AV$501,$BJ31)="","",INDEX(原始資料!AV$2:AV$501,$BJ31)))</f>
        <v/>
      </c>
      <c r="AU31" s="6">
        <f>IF(OR($BJ31="",46&gt;設定!$B$3),"",IF(INDEX(原始資料!AW$2:AW$501,$BJ31)="","",INDEX(原始資料!AW$2:AW$501,$BJ31)))</f>
        <v/>
      </c>
      <c r="AV31" s="6">
        <f>IF(OR($BJ31="",47&gt;設定!$B$3),"",IF(INDEX(原始資料!AX$2:AX$501,$BJ31)="","",INDEX(原始資料!AX$2:AX$501,$BJ31)))</f>
        <v/>
      </c>
      <c r="AW31" s="6">
        <f>IF(OR($BJ31="",48&gt;設定!$B$3),"",IF(INDEX(原始資料!AY$2:AY$501,$BJ31)="","",INDEX(原始資料!AY$2:AY$501,$BJ31)))</f>
        <v/>
      </c>
      <c r="AX31" s="6">
        <f>IF(OR($BJ31="",49&gt;設定!$B$3),"",IF(INDEX(原始資料!AZ$2:AZ$501,$BJ31)="","",INDEX(原始資料!AZ$2:AZ$501,$BJ31)))</f>
        <v/>
      </c>
      <c r="AY31" s="6">
        <f>IF(OR($BJ31="",50&gt;設定!$B$3),"",IF(INDEX(原始資料!BA$2:BA$501,$BJ31)="","",INDEX(原始資料!BA$2:BA$501,$BJ31)))</f>
        <v/>
      </c>
      <c r="AZ31" s="6">
        <f>IF(OR($BJ31="",51&gt;設定!$B$3),"",IF(INDEX(原始資料!BB$2:BB$501,$BJ31)="","",INDEX(原始資料!BB$2:BB$501,$BJ31)))</f>
        <v/>
      </c>
      <c r="BA31" s="6">
        <f>IF(OR($BJ31="",52&gt;設定!$B$3),"",IF(INDEX(原始資料!BC$2:BC$501,$BJ31)="","",INDEX(原始資料!BC$2:BC$501,$BJ31)))</f>
        <v/>
      </c>
      <c r="BB31" s="6">
        <f>IF(OR($BJ31="",53&gt;設定!$B$3),"",IF(INDEX(原始資料!BD$2:BD$501,$BJ31)="","",INDEX(原始資料!BD$2:BD$501,$BJ31)))</f>
        <v/>
      </c>
      <c r="BC31" s="6">
        <f>IF(OR($BJ31="",54&gt;設定!$B$3),"",IF(INDEX(原始資料!BE$2:BE$501,$BJ31)="","",INDEX(原始資料!BE$2:BE$501,$BJ31)))</f>
        <v/>
      </c>
      <c r="BD31" s="6">
        <f>IF(OR($BJ31="",55&gt;設定!$B$3),"",IF(INDEX(原始資料!BF$2:BF$501,$BJ31)="","",INDEX(原始資料!BF$2:BF$501,$BJ31)))</f>
        <v/>
      </c>
      <c r="BE31" s="6">
        <f>IF(OR($BJ31="",56&gt;設定!$B$3),"",IF(INDEX(原始資料!BG$2:BG$501,$BJ31)="","",INDEX(原始資料!BG$2:BG$501,$BJ31)))</f>
        <v/>
      </c>
      <c r="BF31" s="6">
        <f>IF(OR($BJ31="",57&gt;設定!$B$3),"",IF(INDEX(原始資料!BH$2:BH$501,$BJ31)="","",INDEX(原始資料!BH$2:BH$501,$BJ31)))</f>
        <v/>
      </c>
      <c r="BG31" s="6">
        <f>IF(OR($BJ31="",58&gt;設定!$B$3),"",IF(INDEX(原始資料!BI$2:BI$501,$BJ31)="","",INDEX(原始資料!BI$2:BI$501,$BJ31)))</f>
        <v/>
      </c>
      <c r="BH31" s="6">
        <f>IF(OR($BJ31="",59&gt;設定!$B$3),"",IF(INDEX(原始資料!BJ$2:BJ$501,$BJ31)="","",INDEX(原始資料!BJ$2:BJ$501,$BJ31)))</f>
        <v/>
      </c>
      <c r="BI31" s="6">
        <f>IF(OR($BJ31="",60&gt;設定!$B$3),"",IF(INDEX(原始資料!BK$2:BK$501,$BJ31)="","",INDEX(原始資料!BK$2:BK$501,$BJ31)))</f>
        <v/>
      </c>
      <c r="BJ31" s="6">
        <f>IFERROR(MATCH(ROW()-1,判定!$H$2:$H$501,0),"")</f>
        <v/>
      </c>
    </row>
    <row r="32">
      <c r="A32" s="6">
        <f>IF($BJ32="","",INDEX(原始資料!$A$2:$A$501,$BJ32))</f>
        <v/>
      </c>
      <c r="B32" s="6">
        <f>IF(OR($BJ32="",1&gt;設定!$B$3),"",IF(INDEX(原始資料!D$2:D$501,$BJ32)="","",INDEX(原始資料!D$2:D$501,$BJ32)))</f>
        <v/>
      </c>
      <c r="C32" s="6">
        <f>IF(OR($BJ32="",2&gt;設定!$B$3),"",IF(INDEX(原始資料!E$2:E$501,$BJ32)="","",INDEX(原始資料!E$2:E$501,$BJ32)))</f>
        <v/>
      </c>
      <c r="D32" s="6">
        <f>IF(OR($BJ32="",3&gt;設定!$B$3),"",IF(INDEX(原始資料!F$2:F$501,$BJ32)="","",INDEX(原始資料!F$2:F$501,$BJ32)))</f>
        <v/>
      </c>
      <c r="E32" s="6">
        <f>IF(OR($BJ32="",4&gt;設定!$B$3),"",IF(INDEX(原始資料!G$2:G$501,$BJ32)="","",INDEX(原始資料!G$2:G$501,$BJ32)))</f>
        <v/>
      </c>
      <c r="F32" s="6">
        <f>IF(OR($BJ32="",5&gt;設定!$B$3),"",IF(INDEX(原始資料!H$2:H$501,$BJ32)="","",INDEX(原始資料!H$2:H$501,$BJ32)))</f>
        <v/>
      </c>
      <c r="G32" s="6">
        <f>IF(OR($BJ32="",6&gt;設定!$B$3),"",IF(INDEX(原始資料!I$2:I$501,$BJ32)="","",INDEX(原始資料!I$2:I$501,$BJ32)))</f>
        <v/>
      </c>
      <c r="H32" s="6">
        <f>IF(OR($BJ32="",7&gt;設定!$B$3),"",IF(INDEX(原始資料!J$2:J$501,$BJ32)="","",INDEX(原始資料!J$2:J$501,$BJ32)))</f>
        <v/>
      </c>
      <c r="I32" s="6">
        <f>IF(OR($BJ32="",8&gt;設定!$B$3),"",IF(INDEX(原始資料!K$2:K$501,$BJ32)="","",INDEX(原始資料!K$2:K$501,$BJ32)))</f>
        <v/>
      </c>
      <c r="J32" s="6">
        <f>IF(OR($BJ32="",9&gt;設定!$B$3),"",IF(INDEX(原始資料!L$2:L$501,$BJ32)="","",INDEX(原始資料!L$2:L$501,$BJ32)))</f>
        <v/>
      </c>
      <c r="K32" s="6">
        <f>IF(OR($BJ32="",10&gt;設定!$B$3),"",IF(INDEX(原始資料!M$2:M$501,$BJ32)="","",INDEX(原始資料!M$2:M$501,$BJ32)))</f>
        <v/>
      </c>
      <c r="L32" s="6">
        <f>IF(OR($BJ32="",11&gt;設定!$B$3),"",IF(INDEX(原始資料!N$2:N$501,$BJ32)="","",INDEX(原始資料!N$2:N$501,$BJ32)))</f>
        <v/>
      </c>
      <c r="M32" s="6">
        <f>IF(OR($BJ32="",12&gt;設定!$B$3),"",IF(INDEX(原始資料!O$2:O$501,$BJ32)="","",INDEX(原始資料!O$2:O$501,$BJ32)))</f>
        <v/>
      </c>
      <c r="N32" s="6">
        <f>IF(OR($BJ32="",13&gt;設定!$B$3),"",IF(INDEX(原始資料!P$2:P$501,$BJ32)="","",INDEX(原始資料!P$2:P$501,$BJ32)))</f>
        <v/>
      </c>
      <c r="O32" s="6">
        <f>IF(OR($BJ32="",14&gt;設定!$B$3),"",IF(INDEX(原始資料!Q$2:Q$501,$BJ32)="","",INDEX(原始資料!Q$2:Q$501,$BJ32)))</f>
        <v/>
      </c>
      <c r="P32" s="6">
        <f>IF(OR($BJ32="",15&gt;設定!$B$3),"",IF(INDEX(原始資料!R$2:R$501,$BJ32)="","",INDEX(原始資料!R$2:R$501,$BJ32)))</f>
        <v/>
      </c>
      <c r="Q32" s="6">
        <f>IF(OR($BJ32="",16&gt;設定!$B$3),"",IF(INDEX(原始資料!S$2:S$501,$BJ32)="","",INDEX(原始資料!S$2:S$501,$BJ32)))</f>
        <v/>
      </c>
      <c r="R32" s="6">
        <f>IF(OR($BJ32="",17&gt;設定!$B$3),"",IF(INDEX(原始資料!T$2:T$501,$BJ32)="","",INDEX(原始資料!T$2:T$501,$BJ32)))</f>
        <v/>
      </c>
      <c r="S32" s="6">
        <f>IF(OR($BJ32="",18&gt;設定!$B$3),"",IF(INDEX(原始資料!U$2:U$501,$BJ32)="","",INDEX(原始資料!U$2:U$501,$BJ32)))</f>
        <v/>
      </c>
      <c r="T32" s="6">
        <f>IF(OR($BJ32="",19&gt;設定!$B$3),"",IF(INDEX(原始資料!V$2:V$501,$BJ32)="","",INDEX(原始資料!V$2:V$501,$BJ32)))</f>
        <v/>
      </c>
      <c r="U32" s="6">
        <f>IF(OR($BJ32="",20&gt;設定!$B$3),"",IF(INDEX(原始資料!W$2:W$501,$BJ32)="","",INDEX(原始資料!W$2:W$501,$BJ32)))</f>
        <v/>
      </c>
      <c r="V32" s="6">
        <f>IF(OR($BJ32="",21&gt;設定!$B$3),"",IF(INDEX(原始資料!X$2:X$501,$BJ32)="","",INDEX(原始資料!X$2:X$501,$BJ32)))</f>
        <v/>
      </c>
      <c r="W32" s="6">
        <f>IF(OR($BJ32="",22&gt;設定!$B$3),"",IF(INDEX(原始資料!Y$2:Y$501,$BJ32)="","",INDEX(原始資料!Y$2:Y$501,$BJ32)))</f>
        <v/>
      </c>
      <c r="X32" s="6">
        <f>IF(OR($BJ32="",23&gt;設定!$B$3),"",IF(INDEX(原始資料!Z$2:Z$501,$BJ32)="","",INDEX(原始資料!Z$2:Z$501,$BJ32)))</f>
        <v/>
      </c>
      <c r="Y32" s="6">
        <f>IF(OR($BJ32="",24&gt;設定!$B$3),"",IF(INDEX(原始資料!AA$2:AA$501,$BJ32)="","",INDEX(原始資料!AA$2:AA$501,$BJ32)))</f>
        <v/>
      </c>
      <c r="Z32" s="6">
        <f>IF(OR($BJ32="",25&gt;設定!$B$3),"",IF(INDEX(原始資料!AB$2:AB$501,$BJ32)="","",INDEX(原始資料!AB$2:AB$501,$BJ32)))</f>
        <v/>
      </c>
      <c r="AA32" s="6">
        <f>IF(OR($BJ32="",26&gt;設定!$B$3),"",IF(INDEX(原始資料!AC$2:AC$501,$BJ32)="","",INDEX(原始資料!AC$2:AC$501,$BJ32)))</f>
        <v/>
      </c>
      <c r="AB32" s="6">
        <f>IF(OR($BJ32="",27&gt;設定!$B$3),"",IF(INDEX(原始資料!AD$2:AD$501,$BJ32)="","",INDEX(原始資料!AD$2:AD$501,$BJ32)))</f>
        <v/>
      </c>
      <c r="AC32" s="6">
        <f>IF(OR($BJ32="",28&gt;設定!$B$3),"",IF(INDEX(原始資料!AE$2:AE$501,$BJ32)="","",INDEX(原始資料!AE$2:AE$501,$BJ32)))</f>
        <v/>
      </c>
      <c r="AD32" s="6">
        <f>IF(OR($BJ32="",29&gt;設定!$B$3),"",IF(INDEX(原始資料!AF$2:AF$501,$BJ32)="","",INDEX(原始資料!AF$2:AF$501,$BJ32)))</f>
        <v/>
      </c>
      <c r="AE32" s="6">
        <f>IF(OR($BJ32="",30&gt;設定!$B$3),"",IF(INDEX(原始資料!AG$2:AG$501,$BJ32)="","",INDEX(原始資料!AG$2:AG$501,$BJ32)))</f>
        <v/>
      </c>
      <c r="AF32" s="6">
        <f>IF(OR($BJ32="",31&gt;設定!$B$3),"",IF(INDEX(原始資料!AH$2:AH$501,$BJ32)="","",INDEX(原始資料!AH$2:AH$501,$BJ32)))</f>
        <v/>
      </c>
      <c r="AG32" s="6">
        <f>IF(OR($BJ32="",32&gt;設定!$B$3),"",IF(INDEX(原始資料!AI$2:AI$501,$BJ32)="","",INDEX(原始資料!AI$2:AI$501,$BJ32)))</f>
        <v/>
      </c>
      <c r="AH32" s="6">
        <f>IF(OR($BJ32="",33&gt;設定!$B$3),"",IF(INDEX(原始資料!AJ$2:AJ$501,$BJ32)="","",INDEX(原始資料!AJ$2:AJ$501,$BJ32)))</f>
        <v/>
      </c>
      <c r="AI32" s="6">
        <f>IF(OR($BJ32="",34&gt;設定!$B$3),"",IF(INDEX(原始資料!AK$2:AK$501,$BJ32)="","",INDEX(原始資料!AK$2:AK$501,$BJ32)))</f>
        <v/>
      </c>
      <c r="AJ32" s="6">
        <f>IF(OR($BJ32="",35&gt;設定!$B$3),"",IF(INDEX(原始資料!AL$2:AL$501,$BJ32)="","",INDEX(原始資料!AL$2:AL$501,$BJ32)))</f>
        <v/>
      </c>
      <c r="AK32" s="6">
        <f>IF(OR($BJ32="",36&gt;設定!$B$3),"",IF(INDEX(原始資料!AM$2:AM$501,$BJ32)="","",INDEX(原始資料!AM$2:AM$501,$BJ32)))</f>
        <v/>
      </c>
      <c r="AL32" s="6">
        <f>IF(OR($BJ32="",37&gt;設定!$B$3),"",IF(INDEX(原始資料!AN$2:AN$501,$BJ32)="","",INDEX(原始資料!AN$2:AN$501,$BJ32)))</f>
        <v/>
      </c>
      <c r="AM32" s="6">
        <f>IF(OR($BJ32="",38&gt;設定!$B$3),"",IF(INDEX(原始資料!AO$2:AO$501,$BJ32)="","",INDEX(原始資料!AO$2:AO$501,$BJ32)))</f>
        <v/>
      </c>
      <c r="AN32" s="6">
        <f>IF(OR($BJ32="",39&gt;設定!$B$3),"",IF(INDEX(原始資料!AP$2:AP$501,$BJ32)="","",INDEX(原始資料!AP$2:AP$501,$BJ32)))</f>
        <v/>
      </c>
      <c r="AO32" s="6">
        <f>IF(OR($BJ32="",40&gt;設定!$B$3),"",IF(INDEX(原始資料!AQ$2:AQ$501,$BJ32)="","",INDEX(原始資料!AQ$2:AQ$501,$BJ32)))</f>
        <v/>
      </c>
      <c r="AP32" s="6">
        <f>IF(OR($BJ32="",41&gt;設定!$B$3),"",IF(INDEX(原始資料!AR$2:AR$501,$BJ32)="","",INDEX(原始資料!AR$2:AR$501,$BJ32)))</f>
        <v/>
      </c>
      <c r="AQ32" s="6">
        <f>IF(OR($BJ32="",42&gt;設定!$B$3),"",IF(INDEX(原始資料!AS$2:AS$501,$BJ32)="","",INDEX(原始資料!AS$2:AS$501,$BJ32)))</f>
        <v/>
      </c>
      <c r="AR32" s="6">
        <f>IF(OR($BJ32="",43&gt;設定!$B$3),"",IF(INDEX(原始資料!AT$2:AT$501,$BJ32)="","",INDEX(原始資料!AT$2:AT$501,$BJ32)))</f>
        <v/>
      </c>
      <c r="AS32" s="6">
        <f>IF(OR($BJ32="",44&gt;設定!$B$3),"",IF(INDEX(原始資料!AU$2:AU$501,$BJ32)="","",INDEX(原始資料!AU$2:AU$501,$BJ32)))</f>
        <v/>
      </c>
      <c r="AT32" s="6">
        <f>IF(OR($BJ32="",45&gt;設定!$B$3),"",IF(INDEX(原始資料!AV$2:AV$501,$BJ32)="","",INDEX(原始資料!AV$2:AV$501,$BJ32)))</f>
        <v/>
      </c>
      <c r="AU32" s="6">
        <f>IF(OR($BJ32="",46&gt;設定!$B$3),"",IF(INDEX(原始資料!AW$2:AW$501,$BJ32)="","",INDEX(原始資料!AW$2:AW$501,$BJ32)))</f>
        <v/>
      </c>
      <c r="AV32" s="6">
        <f>IF(OR($BJ32="",47&gt;設定!$B$3),"",IF(INDEX(原始資料!AX$2:AX$501,$BJ32)="","",INDEX(原始資料!AX$2:AX$501,$BJ32)))</f>
        <v/>
      </c>
      <c r="AW32" s="6">
        <f>IF(OR($BJ32="",48&gt;設定!$B$3),"",IF(INDEX(原始資料!AY$2:AY$501,$BJ32)="","",INDEX(原始資料!AY$2:AY$501,$BJ32)))</f>
        <v/>
      </c>
      <c r="AX32" s="6">
        <f>IF(OR($BJ32="",49&gt;設定!$B$3),"",IF(INDEX(原始資料!AZ$2:AZ$501,$BJ32)="","",INDEX(原始資料!AZ$2:AZ$501,$BJ32)))</f>
        <v/>
      </c>
      <c r="AY32" s="6">
        <f>IF(OR($BJ32="",50&gt;設定!$B$3),"",IF(INDEX(原始資料!BA$2:BA$501,$BJ32)="","",INDEX(原始資料!BA$2:BA$501,$BJ32)))</f>
        <v/>
      </c>
      <c r="AZ32" s="6">
        <f>IF(OR($BJ32="",51&gt;設定!$B$3),"",IF(INDEX(原始資料!BB$2:BB$501,$BJ32)="","",INDEX(原始資料!BB$2:BB$501,$BJ32)))</f>
        <v/>
      </c>
      <c r="BA32" s="6">
        <f>IF(OR($BJ32="",52&gt;設定!$B$3),"",IF(INDEX(原始資料!BC$2:BC$501,$BJ32)="","",INDEX(原始資料!BC$2:BC$501,$BJ32)))</f>
        <v/>
      </c>
      <c r="BB32" s="6">
        <f>IF(OR($BJ32="",53&gt;設定!$B$3),"",IF(INDEX(原始資料!BD$2:BD$501,$BJ32)="","",INDEX(原始資料!BD$2:BD$501,$BJ32)))</f>
        <v/>
      </c>
      <c r="BC32" s="6">
        <f>IF(OR($BJ32="",54&gt;設定!$B$3),"",IF(INDEX(原始資料!BE$2:BE$501,$BJ32)="","",INDEX(原始資料!BE$2:BE$501,$BJ32)))</f>
        <v/>
      </c>
      <c r="BD32" s="6">
        <f>IF(OR($BJ32="",55&gt;設定!$B$3),"",IF(INDEX(原始資料!BF$2:BF$501,$BJ32)="","",INDEX(原始資料!BF$2:BF$501,$BJ32)))</f>
        <v/>
      </c>
      <c r="BE32" s="6">
        <f>IF(OR($BJ32="",56&gt;設定!$B$3),"",IF(INDEX(原始資料!BG$2:BG$501,$BJ32)="","",INDEX(原始資料!BG$2:BG$501,$BJ32)))</f>
        <v/>
      </c>
      <c r="BF32" s="6">
        <f>IF(OR($BJ32="",57&gt;設定!$B$3),"",IF(INDEX(原始資料!BH$2:BH$501,$BJ32)="","",INDEX(原始資料!BH$2:BH$501,$BJ32)))</f>
        <v/>
      </c>
      <c r="BG32" s="6">
        <f>IF(OR($BJ32="",58&gt;設定!$B$3),"",IF(INDEX(原始資料!BI$2:BI$501,$BJ32)="","",INDEX(原始資料!BI$2:BI$501,$BJ32)))</f>
        <v/>
      </c>
      <c r="BH32" s="6">
        <f>IF(OR($BJ32="",59&gt;設定!$B$3),"",IF(INDEX(原始資料!BJ$2:BJ$501,$BJ32)="","",INDEX(原始資料!BJ$2:BJ$501,$BJ32)))</f>
        <v/>
      </c>
      <c r="BI32" s="6">
        <f>IF(OR($BJ32="",60&gt;設定!$B$3),"",IF(INDEX(原始資料!BK$2:BK$501,$BJ32)="","",INDEX(原始資料!BK$2:BK$501,$BJ32)))</f>
        <v/>
      </c>
      <c r="BJ32" s="6">
        <f>IFERROR(MATCH(ROW()-1,判定!$H$2:$H$501,0),"")</f>
        <v/>
      </c>
    </row>
    <row r="33">
      <c r="A33" s="6">
        <f>IF($BJ33="","",INDEX(原始資料!$A$2:$A$501,$BJ33))</f>
        <v/>
      </c>
      <c r="B33" s="6">
        <f>IF(OR($BJ33="",1&gt;設定!$B$3),"",IF(INDEX(原始資料!D$2:D$501,$BJ33)="","",INDEX(原始資料!D$2:D$501,$BJ33)))</f>
        <v/>
      </c>
      <c r="C33" s="6">
        <f>IF(OR($BJ33="",2&gt;設定!$B$3),"",IF(INDEX(原始資料!E$2:E$501,$BJ33)="","",INDEX(原始資料!E$2:E$501,$BJ33)))</f>
        <v/>
      </c>
      <c r="D33" s="6">
        <f>IF(OR($BJ33="",3&gt;設定!$B$3),"",IF(INDEX(原始資料!F$2:F$501,$BJ33)="","",INDEX(原始資料!F$2:F$501,$BJ33)))</f>
        <v/>
      </c>
      <c r="E33" s="6">
        <f>IF(OR($BJ33="",4&gt;設定!$B$3),"",IF(INDEX(原始資料!G$2:G$501,$BJ33)="","",INDEX(原始資料!G$2:G$501,$BJ33)))</f>
        <v/>
      </c>
      <c r="F33" s="6">
        <f>IF(OR($BJ33="",5&gt;設定!$B$3),"",IF(INDEX(原始資料!H$2:H$501,$BJ33)="","",INDEX(原始資料!H$2:H$501,$BJ33)))</f>
        <v/>
      </c>
      <c r="G33" s="6">
        <f>IF(OR($BJ33="",6&gt;設定!$B$3),"",IF(INDEX(原始資料!I$2:I$501,$BJ33)="","",INDEX(原始資料!I$2:I$501,$BJ33)))</f>
        <v/>
      </c>
      <c r="H33" s="6">
        <f>IF(OR($BJ33="",7&gt;設定!$B$3),"",IF(INDEX(原始資料!J$2:J$501,$BJ33)="","",INDEX(原始資料!J$2:J$501,$BJ33)))</f>
        <v/>
      </c>
      <c r="I33" s="6">
        <f>IF(OR($BJ33="",8&gt;設定!$B$3),"",IF(INDEX(原始資料!K$2:K$501,$BJ33)="","",INDEX(原始資料!K$2:K$501,$BJ33)))</f>
        <v/>
      </c>
      <c r="J33" s="6">
        <f>IF(OR($BJ33="",9&gt;設定!$B$3),"",IF(INDEX(原始資料!L$2:L$501,$BJ33)="","",INDEX(原始資料!L$2:L$501,$BJ33)))</f>
        <v/>
      </c>
      <c r="K33" s="6">
        <f>IF(OR($BJ33="",10&gt;設定!$B$3),"",IF(INDEX(原始資料!M$2:M$501,$BJ33)="","",INDEX(原始資料!M$2:M$501,$BJ33)))</f>
        <v/>
      </c>
      <c r="L33" s="6">
        <f>IF(OR($BJ33="",11&gt;設定!$B$3),"",IF(INDEX(原始資料!N$2:N$501,$BJ33)="","",INDEX(原始資料!N$2:N$501,$BJ33)))</f>
        <v/>
      </c>
      <c r="M33" s="6">
        <f>IF(OR($BJ33="",12&gt;設定!$B$3),"",IF(INDEX(原始資料!O$2:O$501,$BJ33)="","",INDEX(原始資料!O$2:O$501,$BJ33)))</f>
        <v/>
      </c>
      <c r="N33" s="6">
        <f>IF(OR($BJ33="",13&gt;設定!$B$3),"",IF(INDEX(原始資料!P$2:P$501,$BJ33)="","",INDEX(原始資料!P$2:P$501,$BJ33)))</f>
        <v/>
      </c>
      <c r="O33" s="6">
        <f>IF(OR($BJ33="",14&gt;設定!$B$3),"",IF(INDEX(原始資料!Q$2:Q$501,$BJ33)="","",INDEX(原始資料!Q$2:Q$501,$BJ33)))</f>
        <v/>
      </c>
      <c r="P33" s="6">
        <f>IF(OR($BJ33="",15&gt;設定!$B$3),"",IF(INDEX(原始資料!R$2:R$501,$BJ33)="","",INDEX(原始資料!R$2:R$501,$BJ33)))</f>
        <v/>
      </c>
      <c r="Q33" s="6">
        <f>IF(OR($BJ33="",16&gt;設定!$B$3),"",IF(INDEX(原始資料!S$2:S$501,$BJ33)="","",INDEX(原始資料!S$2:S$501,$BJ33)))</f>
        <v/>
      </c>
      <c r="R33" s="6">
        <f>IF(OR($BJ33="",17&gt;設定!$B$3),"",IF(INDEX(原始資料!T$2:T$501,$BJ33)="","",INDEX(原始資料!T$2:T$501,$BJ33)))</f>
        <v/>
      </c>
      <c r="S33" s="6">
        <f>IF(OR($BJ33="",18&gt;設定!$B$3),"",IF(INDEX(原始資料!U$2:U$501,$BJ33)="","",INDEX(原始資料!U$2:U$501,$BJ33)))</f>
        <v/>
      </c>
      <c r="T33" s="6">
        <f>IF(OR($BJ33="",19&gt;設定!$B$3),"",IF(INDEX(原始資料!V$2:V$501,$BJ33)="","",INDEX(原始資料!V$2:V$501,$BJ33)))</f>
        <v/>
      </c>
      <c r="U33" s="6">
        <f>IF(OR($BJ33="",20&gt;設定!$B$3),"",IF(INDEX(原始資料!W$2:W$501,$BJ33)="","",INDEX(原始資料!W$2:W$501,$BJ33)))</f>
        <v/>
      </c>
      <c r="V33" s="6">
        <f>IF(OR($BJ33="",21&gt;設定!$B$3),"",IF(INDEX(原始資料!X$2:X$501,$BJ33)="","",INDEX(原始資料!X$2:X$501,$BJ33)))</f>
        <v/>
      </c>
      <c r="W33" s="6">
        <f>IF(OR($BJ33="",22&gt;設定!$B$3),"",IF(INDEX(原始資料!Y$2:Y$501,$BJ33)="","",INDEX(原始資料!Y$2:Y$501,$BJ33)))</f>
        <v/>
      </c>
      <c r="X33" s="6">
        <f>IF(OR($BJ33="",23&gt;設定!$B$3),"",IF(INDEX(原始資料!Z$2:Z$501,$BJ33)="","",INDEX(原始資料!Z$2:Z$501,$BJ33)))</f>
        <v/>
      </c>
      <c r="Y33" s="6">
        <f>IF(OR($BJ33="",24&gt;設定!$B$3),"",IF(INDEX(原始資料!AA$2:AA$501,$BJ33)="","",INDEX(原始資料!AA$2:AA$501,$BJ33)))</f>
        <v/>
      </c>
      <c r="Z33" s="6">
        <f>IF(OR($BJ33="",25&gt;設定!$B$3),"",IF(INDEX(原始資料!AB$2:AB$501,$BJ33)="","",INDEX(原始資料!AB$2:AB$501,$BJ33)))</f>
        <v/>
      </c>
      <c r="AA33" s="6">
        <f>IF(OR($BJ33="",26&gt;設定!$B$3),"",IF(INDEX(原始資料!AC$2:AC$501,$BJ33)="","",INDEX(原始資料!AC$2:AC$501,$BJ33)))</f>
        <v/>
      </c>
      <c r="AB33" s="6">
        <f>IF(OR($BJ33="",27&gt;設定!$B$3),"",IF(INDEX(原始資料!AD$2:AD$501,$BJ33)="","",INDEX(原始資料!AD$2:AD$501,$BJ33)))</f>
        <v/>
      </c>
      <c r="AC33" s="6">
        <f>IF(OR($BJ33="",28&gt;設定!$B$3),"",IF(INDEX(原始資料!AE$2:AE$501,$BJ33)="","",INDEX(原始資料!AE$2:AE$501,$BJ33)))</f>
        <v/>
      </c>
      <c r="AD33" s="6">
        <f>IF(OR($BJ33="",29&gt;設定!$B$3),"",IF(INDEX(原始資料!AF$2:AF$501,$BJ33)="","",INDEX(原始資料!AF$2:AF$501,$BJ33)))</f>
        <v/>
      </c>
      <c r="AE33" s="6">
        <f>IF(OR($BJ33="",30&gt;設定!$B$3),"",IF(INDEX(原始資料!AG$2:AG$501,$BJ33)="","",INDEX(原始資料!AG$2:AG$501,$BJ33)))</f>
        <v/>
      </c>
      <c r="AF33" s="6">
        <f>IF(OR($BJ33="",31&gt;設定!$B$3),"",IF(INDEX(原始資料!AH$2:AH$501,$BJ33)="","",INDEX(原始資料!AH$2:AH$501,$BJ33)))</f>
        <v/>
      </c>
      <c r="AG33" s="6">
        <f>IF(OR($BJ33="",32&gt;設定!$B$3),"",IF(INDEX(原始資料!AI$2:AI$501,$BJ33)="","",INDEX(原始資料!AI$2:AI$501,$BJ33)))</f>
        <v/>
      </c>
      <c r="AH33" s="6">
        <f>IF(OR($BJ33="",33&gt;設定!$B$3),"",IF(INDEX(原始資料!AJ$2:AJ$501,$BJ33)="","",INDEX(原始資料!AJ$2:AJ$501,$BJ33)))</f>
        <v/>
      </c>
      <c r="AI33" s="6">
        <f>IF(OR($BJ33="",34&gt;設定!$B$3),"",IF(INDEX(原始資料!AK$2:AK$501,$BJ33)="","",INDEX(原始資料!AK$2:AK$501,$BJ33)))</f>
        <v/>
      </c>
      <c r="AJ33" s="6">
        <f>IF(OR($BJ33="",35&gt;設定!$B$3),"",IF(INDEX(原始資料!AL$2:AL$501,$BJ33)="","",INDEX(原始資料!AL$2:AL$501,$BJ33)))</f>
        <v/>
      </c>
      <c r="AK33" s="6">
        <f>IF(OR($BJ33="",36&gt;設定!$B$3),"",IF(INDEX(原始資料!AM$2:AM$501,$BJ33)="","",INDEX(原始資料!AM$2:AM$501,$BJ33)))</f>
        <v/>
      </c>
      <c r="AL33" s="6">
        <f>IF(OR($BJ33="",37&gt;設定!$B$3),"",IF(INDEX(原始資料!AN$2:AN$501,$BJ33)="","",INDEX(原始資料!AN$2:AN$501,$BJ33)))</f>
        <v/>
      </c>
      <c r="AM33" s="6">
        <f>IF(OR($BJ33="",38&gt;設定!$B$3),"",IF(INDEX(原始資料!AO$2:AO$501,$BJ33)="","",INDEX(原始資料!AO$2:AO$501,$BJ33)))</f>
        <v/>
      </c>
      <c r="AN33" s="6">
        <f>IF(OR($BJ33="",39&gt;設定!$B$3),"",IF(INDEX(原始資料!AP$2:AP$501,$BJ33)="","",INDEX(原始資料!AP$2:AP$501,$BJ33)))</f>
        <v/>
      </c>
      <c r="AO33" s="6">
        <f>IF(OR($BJ33="",40&gt;設定!$B$3),"",IF(INDEX(原始資料!AQ$2:AQ$501,$BJ33)="","",INDEX(原始資料!AQ$2:AQ$501,$BJ33)))</f>
        <v/>
      </c>
      <c r="AP33" s="6">
        <f>IF(OR($BJ33="",41&gt;設定!$B$3),"",IF(INDEX(原始資料!AR$2:AR$501,$BJ33)="","",INDEX(原始資料!AR$2:AR$501,$BJ33)))</f>
        <v/>
      </c>
      <c r="AQ33" s="6">
        <f>IF(OR($BJ33="",42&gt;設定!$B$3),"",IF(INDEX(原始資料!AS$2:AS$501,$BJ33)="","",INDEX(原始資料!AS$2:AS$501,$BJ33)))</f>
        <v/>
      </c>
      <c r="AR33" s="6">
        <f>IF(OR($BJ33="",43&gt;設定!$B$3),"",IF(INDEX(原始資料!AT$2:AT$501,$BJ33)="","",INDEX(原始資料!AT$2:AT$501,$BJ33)))</f>
        <v/>
      </c>
      <c r="AS33" s="6">
        <f>IF(OR($BJ33="",44&gt;設定!$B$3),"",IF(INDEX(原始資料!AU$2:AU$501,$BJ33)="","",INDEX(原始資料!AU$2:AU$501,$BJ33)))</f>
        <v/>
      </c>
      <c r="AT33" s="6">
        <f>IF(OR($BJ33="",45&gt;設定!$B$3),"",IF(INDEX(原始資料!AV$2:AV$501,$BJ33)="","",INDEX(原始資料!AV$2:AV$501,$BJ33)))</f>
        <v/>
      </c>
      <c r="AU33" s="6">
        <f>IF(OR($BJ33="",46&gt;設定!$B$3),"",IF(INDEX(原始資料!AW$2:AW$501,$BJ33)="","",INDEX(原始資料!AW$2:AW$501,$BJ33)))</f>
        <v/>
      </c>
      <c r="AV33" s="6">
        <f>IF(OR($BJ33="",47&gt;設定!$B$3),"",IF(INDEX(原始資料!AX$2:AX$501,$BJ33)="","",INDEX(原始資料!AX$2:AX$501,$BJ33)))</f>
        <v/>
      </c>
      <c r="AW33" s="6">
        <f>IF(OR($BJ33="",48&gt;設定!$B$3),"",IF(INDEX(原始資料!AY$2:AY$501,$BJ33)="","",INDEX(原始資料!AY$2:AY$501,$BJ33)))</f>
        <v/>
      </c>
      <c r="AX33" s="6">
        <f>IF(OR($BJ33="",49&gt;設定!$B$3),"",IF(INDEX(原始資料!AZ$2:AZ$501,$BJ33)="","",INDEX(原始資料!AZ$2:AZ$501,$BJ33)))</f>
        <v/>
      </c>
      <c r="AY33" s="6">
        <f>IF(OR($BJ33="",50&gt;設定!$B$3),"",IF(INDEX(原始資料!BA$2:BA$501,$BJ33)="","",INDEX(原始資料!BA$2:BA$501,$BJ33)))</f>
        <v/>
      </c>
      <c r="AZ33" s="6">
        <f>IF(OR($BJ33="",51&gt;設定!$B$3),"",IF(INDEX(原始資料!BB$2:BB$501,$BJ33)="","",INDEX(原始資料!BB$2:BB$501,$BJ33)))</f>
        <v/>
      </c>
      <c r="BA33" s="6">
        <f>IF(OR($BJ33="",52&gt;設定!$B$3),"",IF(INDEX(原始資料!BC$2:BC$501,$BJ33)="","",INDEX(原始資料!BC$2:BC$501,$BJ33)))</f>
        <v/>
      </c>
      <c r="BB33" s="6">
        <f>IF(OR($BJ33="",53&gt;設定!$B$3),"",IF(INDEX(原始資料!BD$2:BD$501,$BJ33)="","",INDEX(原始資料!BD$2:BD$501,$BJ33)))</f>
        <v/>
      </c>
      <c r="BC33" s="6">
        <f>IF(OR($BJ33="",54&gt;設定!$B$3),"",IF(INDEX(原始資料!BE$2:BE$501,$BJ33)="","",INDEX(原始資料!BE$2:BE$501,$BJ33)))</f>
        <v/>
      </c>
      <c r="BD33" s="6">
        <f>IF(OR($BJ33="",55&gt;設定!$B$3),"",IF(INDEX(原始資料!BF$2:BF$501,$BJ33)="","",INDEX(原始資料!BF$2:BF$501,$BJ33)))</f>
        <v/>
      </c>
      <c r="BE33" s="6">
        <f>IF(OR($BJ33="",56&gt;設定!$B$3),"",IF(INDEX(原始資料!BG$2:BG$501,$BJ33)="","",INDEX(原始資料!BG$2:BG$501,$BJ33)))</f>
        <v/>
      </c>
      <c r="BF33" s="6">
        <f>IF(OR($BJ33="",57&gt;設定!$B$3),"",IF(INDEX(原始資料!BH$2:BH$501,$BJ33)="","",INDEX(原始資料!BH$2:BH$501,$BJ33)))</f>
        <v/>
      </c>
      <c r="BG33" s="6">
        <f>IF(OR($BJ33="",58&gt;設定!$B$3),"",IF(INDEX(原始資料!BI$2:BI$501,$BJ33)="","",INDEX(原始資料!BI$2:BI$501,$BJ33)))</f>
        <v/>
      </c>
      <c r="BH33" s="6">
        <f>IF(OR($BJ33="",59&gt;設定!$B$3),"",IF(INDEX(原始資料!BJ$2:BJ$501,$BJ33)="","",INDEX(原始資料!BJ$2:BJ$501,$BJ33)))</f>
        <v/>
      </c>
      <c r="BI33" s="6">
        <f>IF(OR($BJ33="",60&gt;設定!$B$3),"",IF(INDEX(原始資料!BK$2:BK$501,$BJ33)="","",INDEX(原始資料!BK$2:BK$501,$BJ33)))</f>
        <v/>
      </c>
      <c r="BJ33" s="6">
        <f>IFERROR(MATCH(ROW()-1,判定!$H$2:$H$501,0),"")</f>
        <v/>
      </c>
    </row>
    <row r="34">
      <c r="A34" s="6">
        <f>IF($BJ34="","",INDEX(原始資料!$A$2:$A$501,$BJ34))</f>
        <v/>
      </c>
      <c r="B34" s="6">
        <f>IF(OR($BJ34="",1&gt;設定!$B$3),"",IF(INDEX(原始資料!D$2:D$501,$BJ34)="","",INDEX(原始資料!D$2:D$501,$BJ34)))</f>
        <v/>
      </c>
      <c r="C34" s="6">
        <f>IF(OR($BJ34="",2&gt;設定!$B$3),"",IF(INDEX(原始資料!E$2:E$501,$BJ34)="","",INDEX(原始資料!E$2:E$501,$BJ34)))</f>
        <v/>
      </c>
      <c r="D34" s="6">
        <f>IF(OR($BJ34="",3&gt;設定!$B$3),"",IF(INDEX(原始資料!F$2:F$501,$BJ34)="","",INDEX(原始資料!F$2:F$501,$BJ34)))</f>
        <v/>
      </c>
      <c r="E34" s="6">
        <f>IF(OR($BJ34="",4&gt;設定!$B$3),"",IF(INDEX(原始資料!G$2:G$501,$BJ34)="","",INDEX(原始資料!G$2:G$501,$BJ34)))</f>
        <v/>
      </c>
      <c r="F34" s="6">
        <f>IF(OR($BJ34="",5&gt;設定!$B$3),"",IF(INDEX(原始資料!H$2:H$501,$BJ34)="","",INDEX(原始資料!H$2:H$501,$BJ34)))</f>
        <v/>
      </c>
      <c r="G34" s="6">
        <f>IF(OR($BJ34="",6&gt;設定!$B$3),"",IF(INDEX(原始資料!I$2:I$501,$BJ34)="","",INDEX(原始資料!I$2:I$501,$BJ34)))</f>
        <v/>
      </c>
      <c r="H34" s="6">
        <f>IF(OR($BJ34="",7&gt;設定!$B$3),"",IF(INDEX(原始資料!J$2:J$501,$BJ34)="","",INDEX(原始資料!J$2:J$501,$BJ34)))</f>
        <v/>
      </c>
      <c r="I34" s="6">
        <f>IF(OR($BJ34="",8&gt;設定!$B$3),"",IF(INDEX(原始資料!K$2:K$501,$BJ34)="","",INDEX(原始資料!K$2:K$501,$BJ34)))</f>
        <v/>
      </c>
      <c r="J34" s="6">
        <f>IF(OR($BJ34="",9&gt;設定!$B$3),"",IF(INDEX(原始資料!L$2:L$501,$BJ34)="","",INDEX(原始資料!L$2:L$501,$BJ34)))</f>
        <v/>
      </c>
      <c r="K34" s="6">
        <f>IF(OR($BJ34="",10&gt;設定!$B$3),"",IF(INDEX(原始資料!M$2:M$501,$BJ34)="","",INDEX(原始資料!M$2:M$501,$BJ34)))</f>
        <v/>
      </c>
      <c r="L34" s="6">
        <f>IF(OR($BJ34="",11&gt;設定!$B$3),"",IF(INDEX(原始資料!N$2:N$501,$BJ34)="","",INDEX(原始資料!N$2:N$501,$BJ34)))</f>
        <v/>
      </c>
      <c r="M34" s="6">
        <f>IF(OR($BJ34="",12&gt;設定!$B$3),"",IF(INDEX(原始資料!O$2:O$501,$BJ34)="","",INDEX(原始資料!O$2:O$501,$BJ34)))</f>
        <v/>
      </c>
      <c r="N34" s="6">
        <f>IF(OR($BJ34="",13&gt;設定!$B$3),"",IF(INDEX(原始資料!P$2:P$501,$BJ34)="","",INDEX(原始資料!P$2:P$501,$BJ34)))</f>
        <v/>
      </c>
      <c r="O34" s="6">
        <f>IF(OR($BJ34="",14&gt;設定!$B$3),"",IF(INDEX(原始資料!Q$2:Q$501,$BJ34)="","",INDEX(原始資料!Q$2:Q$501,$BJ34)))</f>
        <v/>
      </c>
      <c r="P34" s="6">
        <f>IF(OR($BJ34="",15&gt;設定!$B$3),"",IF(INDEX(原始資料!R$2:R$501,$BJ34)="","",INDEX(原始資料!R$2:R$501,$BJ34)))</f>
        <v/>
      </c>
      <c r="Q34" s="6">
        <f>IF(OR($BJ34="",16&gt;設定!$B$3),"",IF(INDEX(原始資料!S$2:S$501,$BJ34)="","",INDEX(原始資料!S$2:S$501,$BJ34)))</f>
        <v/>
      </c>
      <c r="R34" s="6">
        <f>IF(OR($BJ34="",17&gt;設定!$B$3),"",IF(INDEX(原始資料!T$2:T$501,$BJ34)="","",INDEX(原始資料!T$2:T$501,$BJ34)))</f>
        <v/>
      </c>
      <c r="S34" s="6">
        <f>IF(OR($BJ34="",18&gt;設定!$B$3),"",IF(INDEX(原始資料!U$2:U$501,$BJ34)="","",INDEX(原始資料!U$2:U$501,$BJ34)))</f>
        <v/>
      </c>
      <c r="T34" s="6">
        <f>IF(OR($BJ34="",19&gt;設定!$B$3),"",IF(INDEX(原始資料!V$2:V$501,$BJ34)="","",INDEX(原始資料!V$2:V$501,$BJ34)))</f>
        <v/>
      </c>
      <c r="U34" s="6">
        <f>IF(OR($BJ34="",20&gt;設定!$B$3),"",IF(INDEX(原始資料!W$2:W$501,$BJ34)="","",INDEX(原始資料!W$2:W$501,$BJ34)))</f>
        <v/>
      </c>
      <c r="V34" s="6">
        <f>IF(OR($BJ34="",21&gt;設定!$B$3),"",IF(INDEX(原始資料!X$2:X$501,$BJ34)="","",INDEX(原始資料!X$2:X$501,$BJ34)))</f>
        <v/>
      </c>
      <c r="W34" s="6">
        <f>IF(OR($BJ34="",22&gt;設定!$B$3),"",IF(INDEX(原始資料!Y$2:Y$501,$BJ34)="","",INDEX(原始資料!Y$2:Y$501,$BJ34)))</f>
        <v/>
      </c>
      <c r="X34" s="6">
        <f>IF(OR($BJ34="",23&gt;設定!$B$3),"",IF(INDEX(原始資料!Z$2:Z$501,$BJ34)="","",INDEX(原始資料!Z$2:Z$501,$BJ34)))</f>
        <v/>
      </c>
      <c r="Y34" s="6">
        <f>IF(OR($BJ34="",24&gt;設定!$B$3),"",IF(INDEX(原始資料!AA$2:AA$501,$BJ34)="","",INDEX(原始資料!AA$2:AA$501,$BJ34)))</f>
        <v/>
      </c>
      <c r="Z34" s="6">
        <f>IF(OR($BJ34="",25&gt;設定!$B$3),"",IF(INDEX(原始資料!AB$2:AB$501,$BJ34)="","",INDEX(原始資料!AB$2:AB$501,$BJ34)))</f>
        <v/>
      </c>
      <c r="AA34" s="6">
        <f>IF(OR($BJ34="",26&gt;設定!$B$3),"",IF(INDEX(原始資料!AC$2:AC$501,$BJ34)="","",INDEX(原始資料!AC$2:AC$501,$BJ34)))</f>
        <v/>
      </c>
      <c r="AB34" s="6">
        <f>IF(OR($BJ34="",27&gt;設定!$B$3),"",IF(INDEX(原始資料!AD$2:AD$501,$BJ34)="","",INDEX(原始資料!AD$2:AD$501,$BJ34)))</f>
        <v/>
      </c>
      <c r="AC34" s="6">
        <f>IF(OR($BJ34="",28&gt;設定!$B$3),"",IF(INDEX(原始資料!AE$2:AE$501,$BJ34)="","",INDEX(原始資料!AE$2:AE$501,$BJ34)))</f>
        <v/>
      </c>
      <c r="AD34" s="6">
        <f>IF(OR($BJ34="",29&gt;設定!$B$3),"",IF(INDEX(原始資料!AF$2:AF$501,$BJ34)="","",INDEX(原始資料!AF$2:AF$501,$BJ34)))</f>
        <v/>
      </c>
      <c r="AE34" s="6">
        <f>IF(OR($BJ34="",30&gt;設定!$B$3),"",IF(INDEX(原始資料!AG$2:AG$501,$BJ34)="","",INDEX(原始資料!AG$2:AG$501,$BJ34)))</f>
        <v/>
      </c>
      <c r="AF34" s="6">
        <f>IF(OR($BJ34="",31&gt;設定!$B$3),"",IF(INDEX(原始資料!AH$2:AH$501,$BJ34)="","",INDEX(原始資料!AH$2:AH$501,$BJ34)))</f>
        <v/>
      </c>
      <c r="AG34" s="6">
        <f>IF(OR($BJ34="",32&gt;設定!$B$3),"",IF(INDEX(原始資料!AI$2:AI$501,$BJ34)="","",INDEX(原始資料!AI$2:AI$501,$BJ34)))</f>
        <v/>
      </c>
      <c r="AH34" s="6">
        <f>IF(OR($BJ34="",33&gt;設定!$B$3),"",IF(INDEX(原始資料!AJ$2:AJ$501,$BJ34)="","",INDEX(原始資料!AJ$2:AJ$501,$BJ34)))</f>
        <v/>
      </c>
      <c r="AI34" s="6">
        <f>IF(OR($BJ34="",34&gt;設定!$B$3),"",IF(INDEX(原始資料!AK$2:AK$501,$BJ34)="","",INDEX(原始資料!AK$2:AK$501,$BJ34)))</f>
        <v/>
      </c>
      <c r="AJ34" s="6">
        <f>IF(OR($BJ34="",35&gt;設定!$B$3),"",IF(INDEX(原始資料!AL$2:AL$501,$BJ34)="","",INDEX(原始資料!AL$2:AL$501,$BJ34)))</f>
        <v/>
      </c>
      <c r="AK34" s="6">
        <f>IF(OR($BJ34="",36&gt;設定!$B$3),"",IF(INDEX(原始資料!AM$2:AM$501,$BJ34)="","",INDEX(原始資料!AM$2:AM$501,$BJ34)))</f>
        <v/>
      </c>
      <c r="AL34" s="6">
        <f>IF(OR($BJ34="",37&gt;設定!$B$3),"",IF(INDEX(原始資料!AN$2:AN$501,$BJ34)="","",INDEX(原始資料!AN$2:AN$501,$BJ34)))</f>
        <v/>
      </c>
      <c r="AM34" s="6">
        <f>IF(OR($BJ34="",38&gt;設定!$B$3),"",IF(INDEX(原始資料!AO$2:AO$501,$BJ34)="","",INDEX(原始資料!AO$2:AO$501,$BJ34)))</f>
        <v/>
      </c>
      <c r="AN34" s="6">
        <f>IF(OR($BJ34="",39&gt;設定!$B$3),"",IF(INDEX(原始資料!AP$2:AP$501,$BJ34)="","",INDEX(原始資料!AP$2:AP$501,$BJ34)))</f>
        <v/>
      </c>
      <c r="AO34" s="6">
        <f>IF(OR($BJ34="",40&gt;設定!$B$3),"",IF(INDEX(原始資料!AQ$2:AQ$501,$BJ34)="","",INDEX(原始資料!AQ$2:AQ$501,$BJ34)))</f>
        <v/>
      </c>
      <c r="AP34" s="6">
        <f>IF(OR($BJ34="",41&gt;設定!$B$3),"",IF(INDEX(原始資料!AR$2:AR$501,$BJ34)="","",INDEX(原始資料!AR$2:AR$501,$BJ34)))</f>
        <v/>
      </c>
      <c r="AQ34" s="6">
        <f>IF(OR($BJ34="",42&gt;設定!$B$3),"",IF(INDEX(原始資料!AS$2:AS$501,$BJ34)="","",INDEX(原始資料!AS$2:AS$501,$BJ34)))</f>
        <v/>
      </c>
      <c r="AR34" s="6">
        <f>IF(OR($BJ34="",43&gt;設定!$B$3),"",IF(INDEX(原始資料!AT$2:AT$501,$BJ34)="","",INDEX(原始資料!AT$2:AT$501,$BJ34)))</f>
        <v/>
      </c>
      <c r="AS34" s="6">
        <f>IF(OR($BJ34="",44&gt;設定!$B$3),"",IF(INDEX(原始資料!AU$2:AU$501,$BJ34)="","",INDEX(原始資料!AU$2:AU$501,$BJ34)))</f>
        <v/>
      </c>
      <c r="AT34" s="6">
        <f>IF(OR($BJ34="",45&gt;設定!$B$3),"",IF(INDEX(原始資料!AV$2:AV$501,$BJ34)="","",INDEX(原始資料!AV$2:AV$501,$BJ34)))</f>
        <v/>
      </c>
      <c r="AU34" s="6">
        <f>IF(OR($BJ34="",46&gt;設定!$B$3),"",IF(INDEX(原始資料!AW$2:AW$501,$BJ34)="","",INDEX(原始資料!AW$2:AW$501,$BJ34)))</f>
        <v/>
      </c>
      <c r="AV34" s="6">
        <f>IF(OR($BJ34="",47&gt;設定!$B$3),"",IF(INDEX(原始資料!AX$2:AX$501,$BJ34)="","",INDEX(原始資料!AX$2:AX$501,$BJ34)))</f>
        <v/>
      </c>
      <c r="AW34" s="6">
        <f>IF(OR($BJ34="",48&gt;設定!$B$3),"",IF(INDEX(原始資料!AY$2:AY$501,$BJ34)="","",INDEX(原始資料!AY$2:AY$501,$BJ34)))</f>
        <v/>
      </c>
      <c r="AX34" s="6">
        <f>IF(OR($BJ34="",49&gt;設定!$B$3),"",IF(INDEX(原始資料!AZ$2:AZ$501,$BJ34)="","",INDEX(原始資料!AZ$2:AZ$501,$BJ34)))</f>
        <v/>
      </c>
      <c r="AY34" s="6">
        <f>IF(OR($BJ34="",50&gt;設定!$B$3),"",IF(INDEX(原始資料!BA$2:BA$501,$BJ34)="","",INDEX(原始資料!BA$2:BA$501,$BJ34)))</f>
        <v/>
      </c>
      <c r="AZ34" s="6">
        <f>IF(OR($BJ34="",51&gt;設定!$B$3),"",IF(INDEX(原始資料!BB$2:BB$501,$BJ34)="","",INDEX(原始資料!BB$2:BB$501,$BJ34)))</f>
        <v/>
      </c>
      <c r="BA34" s="6">
        <f>IF(OR($BJ34="",52&gt;設定!$B$3),"",IF(INDEX(原始資料!BC$2:BC$501,$BJ34)="","",INDEX(原始資料!BC$2:BC$501,$BJ34)))</f>
        <v/>
      </c>
      <c r="BB34" s="6">
        <f>IF(OR($BJ34="",53&gt;設定!$B$3),"",IF(INDEX(原始資料!BD$2:BD$501,$BJ34)="","",INDEX(原始資料!BD$2:BD$501,$BJ34)))</f>
        <v/>
      </c>
      <c r="BC34" s="6">
        <f>IF(OR($BJ34="",54&gt;設定!$B$3),"",IF(INDEX(原始資料!BE$2:BE$501,$BJ34)="","",INDEX(原始資料!BE$2:BE$501,$BJ34)))</f>
        <v/>
      </c>
      <c r="BD34" s="6">
        <f>IF(OR($BJ34="",55&gt;設定!$B$3),"",IF(INDEX(原始資料!BF$2:BF$501,$BJ34)="","",INDEX(原始資料!BF$2:BF$501,$BJ34)))</f>
        <v/>
      </c>
      <c r="BE34" s="6">
        <f>IF(OR($BJ34="",56&gt;設定!$B$3),"",IF(INDEX(原始資料!BG$2:BG$501,$BJ34)="","",INDEX(原始資料!BG$2:BG$501,$BJ34)))</f>
        <v/>
      </c>
      <c r="BF34" s="6">
        <f>IF(OR($BJ34="",57&gt;設定!$B$3),"",IF(INDEX(原始資料!BH$2:BH$501,$BJ34)="","",INDEX(原始資料!BH$2:BH$501,$BJ34)))</f>
        <v/>
      </c>
      <c r="BG34" s="6">
        <f>IF(OR($BJ34="",58&gt;設定!$B$3),"",IF(INDEX(原始資料!BI$2:BI$501,$BJ34)="","",INDEX(原始資料!BI$2:BI$501,$BJ34)))</f>
        <v/>
      </c>
      <c r="BH34" s="6">
        <f>IF(OR($BJ34="",59&gt;設定!$B$3),"",IF(INDEX(原始資料!BJ$2:BJ$501,$BJ34)="","",INDEX(原始資料!BJ$2:BJ$501,$BJ34)))</f>
        <v/>
      </c>
      <c r="BI34" s="6">
        <f>IF(OR($BJ34="",60&gt;設定!$B$3),"",IF(INDEX(原始資料!BK$2:BK$501,$BJ34)="","",INDEX(原始資料!BK$2:BK$501,$BJ34)))</f>
        <v/>
      </c>
      <c r="BJ34" s="6">
        <f>IFERROR(MATCH(ROW()-1,判定!$H$2:$H$501,0),"")</f>
        <v/>
      </c>
    </row>
    <row r="35">
      <c r="A35" s="6">
        <f>IF($BJ35="","",INDEX(原始資料!$A$2:$A$501,$BJ35))</f>
        <v/>
      </c>
      <c r="B35" s="6">
        <f>IF(OR($BJ35="",1&gt;設定!$B$3),"",IF(INDEX(原始資料!D$2:D$501,$BJ35)="","",INDEX(原始資料!D$2:D$501,$BJ35)))</f>
        <v/>
      </c>
      <c r="C35" s="6">
        <f>IF(OR($BJ35="",2&gt;設定!$B$3),"",IF(INDEX(原始資料!E$2:E$501,$BJ35)="","",INDEX(原始資料!E$2:E$501,$BJ35)))</f>
        <v/>
      </c>
      <c r="D35" s="6">
        <f>IF(OR($BJ35="",3&gt;設定!$B$3),"",IF(INDEX(原始資料!F$2:F$501,$BJ35)="","",INDEX(原始資料!F$2:F$501,$BJ35)))</f>
        <v/>
      </c>
      <c r="E35" s="6">
        <f>IF(OR($BJ35="",4&gt;設定!$B$3),"",IF(INDEX(原始資料!G$2:G$501,$BJ35)="","",INDEX(原始資料!G$2:G$501,$BJ35)))</f>
        <v/>
      </c>
      <c r="F35" s="6">
        <f>IF(OR($BJ35="",5&gt;設定!$B$3),"",IF(INDEX(原始資料!H$2:H$501,$BJ35)="","",INDEX(原始資料!H$2:H$501,$BJ35)))</f>
        <v/>
      </c>
      <c r="G35" s="6">
        <f>IF(OR($BJ35="",6&gt;設定!$B$3),"",IF(INDEX(原始資料!I$2:I$501,$BJ35)="","",INDEX(原始資料!I$2:I$501,$BJ35)))</f>
        <v/>
      </c>
      <c r="H35" s="6">
        <f>IF(OR($BJ35="",7&gt;設定!$B$3),"",IF(INDEX(原始資料!J$2:J$501,$BJ35)="","",INDEX(原始資料!J$2:J$501,$BJ35)))</f>
        <v/>
      </c>
      <c r="I35" s="6">
        <f>IF(OR($BJ35="",8&gt;設定!$B$3),"",IF(INDEX(原始資料!K$2:K$501,$BJ35)="","",INDEX(原始資料!K$2:K$501,$BJ35)))</f>
        <v/>
      </c>
      <c r="J35" s="6">
        <f>IF(OR($BJ35="",9&gt;設定!$B$3),"",IF(INDEX(原始資料!L$2:L$501,$BJ35)="","",INDEX(原始資料!L$2:L$501,$BJ35)))</f>
        <v/>
      </c>
      <c r="K35" s="6">
        <f>IF(OR($BJ35="",10&gt;設定!$B$3),"",IF(INDEX(原始資料!M$2:M$501,$BJ35)="","",INDEX(原始資料!M$2:M$501,$BJ35)))</f>
        <v/>
      </c>
      <c r="L35" s="6">
        <f>IF(OR($BJ35="",11&gt;設定!$B$3),"",IF(INDEX(原始資料!N$2:N$501,$BJ35)="","",INDEX(原始資料!N$2:N$501,$BJ35)))</f>
        <v/>
      </c>
      <c r="M35" s="6">
        <f>IF(OR($BJ35="",12&gt;設定!$B$3),"",IF(INDEX(原始資料!O$2:O$501,$BJ35)="","",INDEX(原始資料!O$2:O$501,$BJ35)))</f>
        <v/>
      </c>
      <c r="N35" s="6">
        <f>IF(OR($BJ35="",13&gt;設定!$B$3),"",IF(INDEX(原始資料!P$2:P$501,$BJ35)="","",INDEX(原始資料!P$2:P$501,$BJ35)))</f>
        <v/>
      </c>
      <c r="O35" s="6">
        <f>IF(OR($BJ35="",14&gt;設定!$B$3),"",IF(INDEX(原始資料!Q$2:Q$501,$BJ35)="","",INDEX(原始資料!Q$2:Q$501,$BJ35)))</f>
        <v/>
      </c>
      <c r="P35" s="6">
        <f>IF(OR($BJ35="",15&gt;設定!$B$3),"",IF(INDEX(原始資料!R$2:R$501,$BJ35)="","",INDEX(原始資料!R$2:R$501,$BJ35)))</f>
        <v/>
      </c>
      <c r="Q35" s="6">
        <f>IF(OR($BJ35="",16&gt;設定!$B$3),"",IF(INDEX(原始資料!S$2:S$501,$BJ35)="","",INDEX(原始資料!S$2:S$501,$BJ35)))</f>
        <v/>
      </c>
      <c r="R35" s="6">
        <f>IF(OR($BJ35="",17&gt;設定!$B$3),"",IF(INDEX(原始資料!T$2:T$501,$BJ35)="","",INDEX(原始資料!T$2:T$501,$BJ35)))</f>
        <v/>
      </c>
      <c r="S35" s="6">
        <f>IF(OR($BJ35="",18&gt;設定!$B$3),"",IF(INDEX(原始資料!U$2:U$501,$BJ35)="","",INDEX(原始資料!U$2:U$501,$BJ35)))</f>
        <v/>
      </c>
      <c r="T35" s="6">
        <f>IF(OR($BJ35="",19&gt;設定!$B$3),"",IF(INDEX(原始資料!V$2:V$501,$BJ35)="","",INDEX(原始資料!V$2:V$501,$BJ35)))</f>
        <v/>
      </c>
      <c r="U35" s="6">
        <f>IF(OR($BJ35="",20&gt;設定!$B$3),"",IF(INDEX(原始資料!W$2:W$501,$BJ35)="","",INDEX(原始資料!W$2:W$501,$BJ35)))</f>
        <v/>
      </c>
      <c r="V35" s="6">
        <f>IF(OR($BJ35="",21&gt;設定!$B$3),"",IF(INDEX(原始資料!X$2:X$501,$BJ35)="","",INDEX(原始資料!X$2:X$501,$BJ35)))</f>
        <v/>
      </c>
      <c r="W35" s="6">
        <f>IF(OR($BJ35="",22&gt;設定!$B$3),"",IF(INDEX(原始資料!Y$2:Y$501,$BJ35)="","",INDEX(原始資料!Y$2:Y$501,$BJ35)))</f>
        <v/>
      </c>
      <c r="X35" s="6">
        <f>IF(OR($BJ35="",23&gt;設定!$B$3),"",IF(INDEX(原始資料!Z$2:Z$501,$BJ35)="","",INDEX(原始資料!Z$2:Z$501,$BJ35)))</f>
        <v/>
      </c>
      <c r="Y35" s="6">
        <f>IF(OR($BJ35="",24&gt;設定!$B$3),"",IF(INDEX(原始資料!AA$2:AA$501,$BJ35)="","",INDEX(原始資料!AA$2:AA$501,$BJ35)))</f>
        <v/>
      </c>
      <c r="Z35" s="6">
        <f>IF(OR($BJ35="",25&gt;設定!$B$3),"",IF(INDEX(原始資料!AB$2:AB$501,$BJ35)="","",INDEX(原始資料!AB$2:AB$501,$BJ35)))</f>
        <v/>
      </c>
      <c r="AA35" s="6">
        <f>IF(OR($BJ35="",26&gt;設定!$B$3),"",IF(INDEX(原始資料!AC$2:AC$501,$BJ35)="","",INDEX(原始資料!AC$2:AC$501,$BJ35)))</f>
        <v/>
      </c>
      <c r="AB35" s="6">
        <f>IF(OR($BJ35="",27&gt;設定!$B$3),"",IF(INDEX(原始資料!AD$2:AD$501,$BJ35)="","",INDEX(原始資料!AD$2:AD$501,$BJ35)))</f>
        <v/>
      </c>
      <c r="AC35" s="6">
        <f>IF(OR($BJ35="",28&gt;設定!$B$3),"",IF(INDEX(原始資料!AE$2:AE$501,$BJ35)="","",INDEX(原始資料!AE$2:AE$501,$BJ35)))</f>
        <v/>
      </c>
      <c r="AD35" s="6">
        <f>IF(OR($BJ35="",29&gt;設定!$B$3),"",IF(INDEX(原始資料!AF$2:AF$501,$BJ35)="","",INDEX(原始資料!AF$2:AF$501,$BJ35)))</f>
        <v/>
      </c>
      <c r="AE35" s="6">
        <f>IF(OR($BJ35="",30&gt;設定!$B$3),"",IF(INDEX(原始資料!AG$2:AG$501,$BJ35)="","",INDEX(原始資料!AG$2:AG$501,$BJ35)))</f>
        <v/>
      </c>
      <c r="AF35" s="6">
        <f>IF(OR($BJ35="",31&gt;設定!$B$3),"",IF(INDEX(原始資料!AH$2:AH$501,$BJ35)="","",INDEX(原始資料!AH$2:AH$501,$BJ35)))</f>
        <v/>
      </c>
      <c r="AG35" s="6">
        <f>IF(OR($BJ35="",32&gt;設定!$B$3),"",IF(INDEX(原始資料!AI$2:AI$501,$BJ35)="","",INDEX(原始資料!AI$2:AI$501,$BJ35)))</f>
        <v/>
      </c>
      <c r="AH35" s="6">
        <f>IF(OR($BJ35="",33&gt;設定!$B$3),"",IF(INDEX(原始資料!AJ$2:AJ$501,$BJ35)="","",INDEX(原始資料!AJ$2:AJ$501,$BJ35)))</f>
        <v/>
      </c>
      <c r="AI35" s="6">
        <f>IF(OR($BJ35="",34&gt;設定!$B$3),"",IF(INDEX(原始資料!AK$2:AK$501,$BJ35)="","",INDEX(原始資料!AK$2:AK$501,$BJ35)))</f>
        <v/>
      </c>
      <c r="AJ35" s="6">
        <f>IF(OR($BJ35="",35&gt;設定!$B$3),"",IF(INDEX(原始資料!AL$2:AL$501,$BJ35)="","",INDEX(原始資料!AL$2:AL$501,$BJ35)))</f>
        <v/>
      </c>
      <c r="AK35" s="6">
        <f>IF(OR($BJ35="",36&gt;設定!$B$3),"",IF(INDEX(原始資料!AM$2:AM$501,$BJ35)="","",INDEX(原始資料!AM$2:AM$501,$BJ35)))</f>
        <v/>
      </c>
      <c r="AL35" s="6">
        <f>IF(OR($BJ35="",37&gt;設定!$B$3),"",IF(INDEX(原始資料!AN$2:AN$501,$BJ35)="","",INDEX(原始資料!AN$2:AN$501,$BJ35)))</f>
        <v/>
      </c>
      <c r="AM35" s="6">
        <f>IF(OR($BJ35="",38&gt;設定!$B$3),"",IF(INDEX(原始資料!AO$2:AO$501,$BJ35)="","",INDEX(原始資料!AO$2:AO$501,$BJ35)))</f>
        <v/>
      </c>
      <c r="AN35" s="6">
        <f>IF(OR($BJ35="",39&gt;設定!$B$3),"",IF(INDEX(原始資料!AP$2:AP$501,$BJ35)="","",INDEX(原始資料!AP$2:AP$501,$BJ35)))</f>
        <v/>
      </c>
      <c r="AO35" s="6">
        <f>IF(OR($BJ35="",40&gt;設定!$B$3),"",IF(INDEX(原始資料!AQ$2:AQ$501,$BJ35)="","",INDEX(原始資料!AQ$2:AQ$501,$BJ35)))</f>
        <v/>
      </c>
      <c r="AP35" s="6">
        <f>IF(OR($BJ35="",41&gt;設定!$B$3),"",IF(INDEX(原始資料!AR$2:AR$501,$BJ35)="","",INDEX(原始資料!AR$2:AR$501,$BJ35)))</f>
        <v/>
      </c>
      <c r="AQ35" s="6">
        <f>IF(OR($BJ35="",42&gt;設定!$B$3),"",IF(INDEX(原始資料!AS$2:AS$501,$BJ35)="","",INDEX(原始資料!AS$2:AS$501,$BJ35)))</f>
        <v/>
      </c>
      <c r="AR35" s="6">
        <f>IF(OR($BJ35="",43&gt;設定!$B$3),"",IF(INDEX(原始資料!AT$2:AT$501,$BJ35)="","",INDEX(原始資料!AT$2:AT$501,$BJ35)))</f>
        <v/>
      </c>
      <c r="AS35" s="6">
        <f>IF(OR($BJ35="",44&gt;設定!$B$3),"",IF(INDEX(原始資料!AU$2:AU$501,$BJ35)="","",INDEX(原始資料!AU$2:AU$501,$BJ35)))</f>
        <v/>
      </c>
      <c r="AT35" s="6">
        <f>IF(OR($BJ35="",45&gt;設定!$B$3),"",IF(INDEX(原始資料!AV$2:AV$501,$BJ35)="","",INDEX(原始資料!AV$2:AV$501,$BJ35)))</f>
        <v/>
      </c>
      <c r="AU35" s="6">
        <f>IF(OR($BJ35="",46&gt;設定!$B$3),"",IF(INDEX(原始資料!AW$2:AW$501,$BJ35)="","",INDEX(原始資料!AW$2:AW$501,$BJ35)))</f>
        <v/>
      </c>
      <c r="AV35" s="6">
        <f>IF(OR($BJ35="",47&gt;設定!$B$3),"",IF(INDEX(原始資料!AX$2:AX$501,$BJ35)="","",INDEX(原始資料!AX$2:AX$501,$BJ35)))</f>
        <v/>
      </c>
      <c r="AW35" s="6">
        <f>IF(OR($BJ35="",48&gt;設定!$B$3),"",IF(INDEX(原始資料!AY$2:AY$501,$BJ35)="","",INDEX(原始資料!AY$2:AY$501,$BJ35)))</f>
        <v/>
      </c>
      <c r="AX35" s="6">
        <f>IF(OR($BJ35="",49&gt;設定!$B$3),"",IF(INDEX(原始資料!AZ$2:AZ$501,$BJ35)="","",INDEX(原始資料!AZ$2:AZ$501,$BJ35)))</f>
        <v/>
      </c>
      <c r="AY35" s="6">
        <f>IF(OR($BJ35="",50&gt;設定!$B$3),"",IF(INDEX(原始資料!BA$2:BA$501,$BJ35)="","",INDEX(原始資料!BA$2:BA$501,$BJ35)))</f>
        <v/>
      </c>
      <c r="AZ35" s="6">
        <f>IF(OR($BJ35="",51&gt;設定!$B$3),"",IF(INDEX(原始資料!BB$2:BB$501,$BJ35)="","",INDEX(原始資料!BB$2:BB$501,$BJ35)))</f>
        <v/>
      </c>
      <c r="BA35" s="6">
        <f>IF(OR($BJ35="",52&gt;設定!$B$3),"",IF(INDEX(原始資料!BC$2:BC$501,$BJ35)="","",INDEX(原始資料!BC$2:BC$501,$BJ35)))</f>
        <v/>
      </c>
      <c r="BB35" s="6">
        <f>IF(OR($BJ35="",53&gt;設定!$B$3),"",IF(INDEX(原始資料!BD$2:BD$501,$BJ35)="","",INDEX(原始資料!BD$2:BD$501,$BJ35)))</f>
        <v/>
      </c>
      <c r="BC35" s="6">
        <f>IF(OR($BJ35="",54&gt;設定!$B$3),"",IF(INDEX(原始資料!BE$2:BE$501,$BJ35)="","",INDEX(原始資料!BE$2:BE$501,$BJ35)))</f>
        <v/>
      </c>
      <c r="BD35" s="6">
        <f>IF(OR($BJ35="",55&gt;設定!$B$3),"",IF(INDEX(原始資料!BF$2:BF$501,$BJ35)="","",INDEX(原始資料!BF$2:BF$501,$BJ35)))</f>
        <v/>
      </c>
      <c r="BE35" s="6">
        <f>IF(OR($BJ35="",56&gt;設定!$B$3),"",IF(INDEX(原始資料!BG$2:BG$501,$BJ35)="","",INDEX(原始資料!BG$2:BG$501,$BJ35)))</f>
        <v/>
      </c>
      <c r="BF35" s="6">
        <f>IF(OR($BJ35="",57&gt;設定!$B$3),"",IF(INDEX(原始資料!BH$2:BH$501,$BJ35)="","",INDEX(原始資料!BH$2:BH$501,$BJ35)))</f>
        <v/>
      </c>
      <c r="BG35" s="6">
        <f>IF(OR($BJ35="",58&gt;設定!$B$3),"",IF(INDEX(原始資料!BI$2:BI$501,$BJ35)="","",INDEX(原始資料!BI$2:BI$501,$BJ35)))</f>
        <v/>
      </c>
      <c r="BH35" s="6">
        <f>IF(OR($BJ35="",59&gt;設定!$B$3),"",IF(INDEX(原始資料!BJ$2:BJ$501,$BJ35)="","",INDEX(原始資料!BJ$2:BJ$501,$BJ35)))</f>
        <v/>
      </c>
      <c r="BI35" s="6">
        <f>IF(OR($BJ35="",60&gt;設定!$B$3),"",IF(INDEX(原始資料!BK$2:BK$501,$BJ35)="","",INDEX(原始資料!BK$2:BK$501,$BJ35)))</f>
        <v/>
      </c>
      <c r="BJ35" s="6">
        <f>IFERROR(MATCH(ROW()-1,判定!$H$2:$H$501,0),"")</f>
        <v/>
      </c>
    </row>
    <row r="36">
      <c r="A36" s="6">
        <f>IF($BJ36="","",INDEX(原始資料!$A$2:$A$501,$BJ36))</f>
        <v/>
      </c>
      <c r="B36" s="6">
        <f>IF(OR($BJ36="",1&gt;設定!$B$3),"",IF(INDEX(原始資料!D$2:D$501,$BJ36)="","",INDEX(原始資料!D$2:D$501,$BJ36)))</f>
        <v/>
      </c>
      <c r="C36" s="6">
        <f>IF(OR($BJ36="",2&gt;設定!$B$3),"",IF(INDEX(原始資料!E$2:E$501,$BJ36)="","",INDEX(原始資料!E$2:E$501,$BJ36)))</f>
        <v/>
      </c>
      <c r="D36" s="6">
        <f>IF(OR($BJ36="",3&gt;設定!$B$3),"",IF(INDEX(原始資料!F$2:F$501,$BJ36)="","",INDEX(原始資料!F$2:F$501,$BJ36)))</f>
        <v/>
      </c>
      <c r="E36" s="6">
        <f>IF(OR($BJ36="",4&gt;設定!$B$3),"",IF(INDEX(原始資料!G$2:G$501,$BJ36)="","",INDEX(原始資料!G$2:G$501,$BJ36)))</f>
        <v/>
      </c>
      <c r="F36" s="6">
        <f>IF(OR($BJ36="",5&gt;設定!$B$3),"",IF(INDEX(原始資料!H$2:H$501,$BJ36)="","",INDEX(原始資料!H$2:H$501,$BJ36)))</f>
        <v/>
      </c>
      <c r="G36" s="6">
        <f>IF(OR($BJ36="",6&gt;設定!$B$3),"",IF(INDEX(原始資料!I$2:I$501,$BJ36)="","",INDEX(原始資料!I$2:I$501,$BJ36)))</f>
        <v/>
      </c>
      <c r="H36" s="6">
        <f>IF(OR($BJ36="",7&gt;設定!$B$3),"",IF(INDEX(原始資料!J$2:J$501,$BJ36)="","",INDEX(原始資料!J$2:J$501,$BJ36)))</f>
        <v/>
      </c>
      <c r="I36" s="6">
        <f>IF(OR($BJ36="",8&gt;設定!$B$3),"",IF(INDEX(原始資料!K$2:K$501,$BJ36)="","",INDEX(原始資料!K$2:K$501,$BJ36)))</f>
        <v/>
      </c>
      <c r="J36" s="6">
        <f>IF(OR($BJ36="",9&gt;設定!$B$3),"",IF(INDEX(原始資料!L$2:L$501,$BJ36)="","",INDEX(原始資料!L$2:L$501,$BJ36)))</f>
        <v/>
      </c>
      <c r="K36" s="6">
        <f>IF(OR($BJ36="",10&gt;設定!$B$3),"",IF(INDEX(原始資料!M$2:M$501,$BJ36)="","",INDEX(原始資料!M$2:M$501,$BJ36)))</f>
        <v/>
      </c>
      <c r="L36" s="6">
        <f>IF(OR($BJ36="",11&gt;設定!$B$3),"",IF(INDEX(原始資料!N$2:N$501,$BJ36)="","",INDEX(原始資料!N$2:N$501,$BJ36)))</f>
        <v/>
      </c>
      <c r="M36" s="6">
        <f>IF(OR($BJ36="",12&gt;設定!$B$3),"",IF(INDEX(原始資料!O$2:O$501,$BJ36)="","",INDEX(原始資料!O$2:O$501,$BJ36)))</f>
        <v/>
      </c>
      <c r="N36" s="6">
        <f>IF(OR($BJ36="",13&gt;設定!$B$3),"",IF(INDEX(原始資料!P$2:P$501,$BJ36)="","",INDEX(原始資料!P$2:P$501,$BJ36)))</f>
        <v/>
      </c>
      <c r="O36" s="6">
        <f>IF(OR($BJ36="",14&gt;設定!$B$3),"",IF(INDEX(原始資料!Q$2:Q$501,$BJ36)="","",INDEX(原始資料!Q$2:Q$501,$BJ36)))</f>
        <v/>
      </c>
      <c r="P36" s="6">
        <f>IF(OR($BJ36="",15&gt;設定!$B$3),"",IF(INDEX(原始資料!R$2:R$501,$BJ36)="","",INDEX(原始資料!R$2:R$501,$BJ36)))</f>
        <v/>
      </c>
      <c r="Q36" s="6">
        <f>IF(OR($BJ36="",16&gt;設定!$B$3),"",IF(INDEX(原始資料!S$2:S$501,$BJ36)="","",INDEX(原始資料!S$2:S$501,$BJ36)))</f>
        <v/>
      </c>
      <c r="R36" s="6">
        <f>IF(OR($BJ36="",17&gt;設定!$B$3),"",IF(INDEX(原始資料!T$2:T$501,$BJ36)="","",INDEX(原始資料!T$2:T$501,$BJ36)))</f>
        <v/>
      </c>
      <c r="S36" s="6">
        <f>IF(OR($BJ36="",18&gt;設定!$B$3),"",IF(INDEX(原始資料!U$2:U$501,$BJ36)="","",INDEX(原始資料!U$2:U$501,$BJ36)))</f>
        <v/>
      </c>
      <c r="T36" s="6">
        <f>IF(OR($BJ36="",19&gt;設定!$B$3),"",IF(INDEX(原始資料!V$2:V$501,$BJ36)="","",INDEX(原始資料!V$2:V$501,$BJ36)))</f>
        <v/>
      </c>
      <c r="U36" s="6">
        <f>IF(OR($BJ36="",20&gt;設定!$B$3),"",IF(INDEX(原始資料!W$2:W$501,$BJ36)="","",INDEX(原始資料!W$2:W$501,$BJ36)))</f>
        <v/>
      </c>
      <c r="V36" s="6">
        <f>IF(OR($BJ36="",21&gt;設定!$B$3),"",IF(INDEX(原始資料!X$2:X$501,$BJ36)="","",INDEX(原始資料!X$2:X$501,$BJ36)))</f>
        <v/>
      </c>
      <c r="W36" s="6">
        <f>IF(OR($BJ36="",22&gt;設定!$B$3),"",IF(INDEX(原始資料!Y$2:Y$501,$BJ36)="","",INDEX(原始資料!Y$2:Y$501,$BJ36)))</f>
        <v/>
      </c>
      <c r="X36" s="6">
        <f>IF(OR($BJ36="",23&gt;設定!$B$3),"",IF(INDEX(原始資料!Z$2:Z$501,$BJ36)="","",INDEX(原始資料!Z$2:Z$501,$BJ36)))</f>
        <v/>
      </c>
      <c r="Y36" s="6">
        <f>IF(OR($BJ36="",24&gt;設定!$B$3),"",IF(INDEX(原始資料!AA$2:AA$501,$BJ36)="","",INDEX(原始資料!AA$2:AA$501,$BJ36)))</f>
        <v/>
      </c>
      <c r="Z36" s="6">
        <f>IF(OR($BJ36="",25&gt;設定!$B$3),"",IF(INDEX(原始資料!AB$2:AB$501,$BJ36)="","",INDEX(原始資料!AB$2:AB$501,$BJ36)))</f>
        <v/>
      </c>
      <c r="AA36" s="6">
        <f>IF(OR($BJ36="",26&gt;設定!$B$3),"",IF(INDEX(原始資料!AC$2:AC$501,$BJ36)="","",INDEX(原始資料!AC$2:AC$501,$BJ36)))</f>
        <v/>
      </c>
      <c r="AB36" s="6">
        <f>IF(OR($BJ36="",27&gt;設定!$B$3),"",IF(INDEX(原始資料!AD$2:AD$501,$BJ36)="","",INDEX(原始資料!AD$2:AD$501,$BJ36)))</f>
        <v/>
      </c>
      <c r="AC36" s="6">
        <f>IF(OR($BJ36="",28&gt;設定!$B$3),"",IF(INDEX(原始資料!AE$2:AE$501,$BJ36)="","",INDEX(原始資料!AE$2:AE$501,$BJ36)))</f>
        <v/>
      </c>
      <c r="AD36" s="6">
        <f>IF(OR($BJ36="",29&gt;設定!$B$3),"",IF(INDEX(原始資料!AF$2:AF$501,$BJ36)="","",INDEX(原始資料!AF$2:AF$501,$BJ36)))</f>
        <v/>
      </c>
      <c r="AE36" s="6">
        <f>IF(OR($BJ36="",30&gt;設定!$B$3),"",IF(INDEX(原始資料!AG$2:AG$501,$BJ36)="","",INDEX(原始資料!AG$2:AG$501,$BJ36)))</f>
        <v/>
      </c>
      <c r="AF36" s="6">
        <f>IF(OR($BJ36="",31&gt;設定!$B$3),"",IF(INDEX(原始資料!AH$2:AH$501,$BJ36)="","",INDEX(原始資料!AH$2:AH$501,$BJ36)))</f>
        <v/>
      </c>
      <c r="AG36" s="6">
        <f>IF(OR($BJ36="",32&gt;設定!$B$3),"",IF(INDEX(原始資料!AI$2:AI$501,$BJ36)="","",INDEX(原始資料!AI$2:AI$501,$BJ36)))</f>
        <v/>
      </c>
      <c r="AH36" s="6">
        <f>IF(OR($BJ36="",33&gt;設定!$B$3),"",IF(INDEX(原始資料!AJ$2:AJ$501,$BJ36)="","",INDEX(原始資料!AJ$2:AJ$501,$BJ36)))</f>
        <v/>
      </c>
      <c r="AI36" s="6">
        <f>IF(OR($BJ36="",34&gt;設定!$B$3),"",IF(INDEX(原始資料!AK$2:AK$501,$BJ36)="","",INDEX(原始資料!AK$2:AK$501,$BJ36)))</f>
        <v/>
      </c>
      <c r="AJ36" s="6">
        <f>IF(OR($BJ36="",35&gt;設定!$B$3),"",IF(INDEX(原始資料!AL$2:AL$501,$BJ36)="","",INDEX(原始資料!AL$2:AL$501,$BJ36)))</f>
        <v/>
      </c>
      <c r="AK36" s="6">
        <f>IF(OR($BJ36="",36&gt;設定!$B$3),"",IF(INDEX(原始資料!AM$2:AM$501,$BJ36)="","",INDEX(原始資料!AM$2:AM$501,$BJ36)))</f>
        <v/>
      </c>
      <c r="AL36" s="6">
        <f>IF(OR($BJ36="",37&gt;設定!$B$3),"",IF(INDEX(原始資料!AN$2:AN$501,$BJ36)="","",INDEX(原始資料!AN$2:AN$501,$BJ36)))</f>
        <v/>
      </c>
      <c r="AM36" s="6">
        <f>IF(OR($BJ36="",38&gt;設定!$B$3),"",IF(INDEX(原始資料!AO$2:AO$501,$BJ36)="","",INDEX(原始資料!AO$2:AO$501,$BJ36)))</f>
        <v/>
      </c>
      <c r="AN36" s="6">
        <f>IF(OR($BJ36="",39&gt;設定!$B$3),"",IF(INDEX(原始資料!AP$2:AP$501,$BJ36)="","",INDEX(原始資料!AP$2:AP$501,$BJ36)))</f>
        <v/>
      </c>
      <c r="AO36" s="6">
        <f>IF(OR($BJ36="",40&gt;設定!$B$3),"",IF(INDEX(原始資料!AQ$2:AQ$501,$BJ36)="","",INDEX(原始資料!AQ$2:AQ$501,$BJ36)))</f>
        <v/>
      </c>
      <c r="AP36" s="6">
        <f>IF(OR($BJ36="",41&gt;設定!$B$3),"",IF(INDEX(原始資料!AR$2:AR$501,$BJ36)="","",INDEX(原始資料!AR$2:AR$501,$BJ36)))</f>
        <v/>
      </c>
      <c r="AQ36" s="6">
        <f>IF(OR($BJ36="",42&gt;設定!$B$3),"",IF(INDEX(原始資料!AS$2:AS$501,$BJ36)="","",INDEX(原始資料!AS$2:AS$501,$BJ36)))</f>
        <v/>
      </c>
      <c r="AR36" s="6">
        <f>IF(OR($BJ36="",43&gt;設定!$B$3),"",IF(INDEX(原始資料!AT$2:AT$501,$BJ36)="","",INDEX(原始資料!AT$2:AT$501,$BJ36)))</f>
        <v/>
      </c>
      <c r="AS36" s="6">
        <f>IF(OR($BJ36="",44&gt;設定!$B$3),"",IF(INDEX(原始資料!AU$2:AU$501,$BJ36)="","",INDEX(原始資料!AU$2:AU$501,$BJ36)))</f>
        <v/>
      </c>
      <c r="AT36" s="6">
        <f>IF(OR($BJ36="",45&gt;設定!$B$3),"",IF(INDEX(原始資料!AV$2:AV$501,$BJ36)="","",INDEX(原始資料!AV$2:AV$501,$BJ36)))</f>
        <v/>
      </c>
      <c r="AU36" s="6">
        <f>IF(OR($BJ36="",46&gt;設定!$B$3),"",IF(INDEX(原始資料!AW$2:AW$501,$BJ36)="","",INDEX(原始資料!AW$2:AW$501,$BJ36)))</f>
        <v/>
      </c>
      <c r="AV36" s="6">
        <f>IF(OR($BJ36="",47&gt;設定!$B$3),"",IF(INDEX(原始資料!AX$2:AX$501,$BJ36)="","",INDEX(原始資料!AX$2:AX$501,$BJ36)))</f>
        <v/>
      </c>
      <c r="AW36" s="6">
        <f>IF(OR($BJ36="",48&gt;設定!$B$3),"",IF(INDEX(原始資料!AY$2:AY$501,$BJ36)="","",INDEX(原始資料!AY$2:AY$501,$BJ36)))</f>
        <v/>
      </c>
      <c r="AX36" s="6">
        <f>IF(OR($BJ36="",49&gt;設定!$B$3),"",IF(INDEX(原始資料!AZ$2:AZ$501,$BJ36)="","",INDEX(原始資料!AZ$2:AZ$501,$BJ36)))</f>
        <v/>
      </c>
      <c r="AY36" s="6">
        <f>IF(OR($BJ36="",50&gt;設定!$B$3),"",IF(INDEX(原始資料!BA$2:BA$501,$BJ36)="","",INDEX(原始資料!BA$2:BA$501,$BJ36)))</f>
        <v/>
      </c>
      <c r="AZ36" s="6">
        <f>IF(OR($BJ36="",51&gt;設定!$B$3),"",IF(INDEX(原始資料!BB$2:BB$501,$BJ36)="","",INDEX(原始資料!BB$2:BB$501,$BJ36)))</f>
        <v/>
      </c>
      <c r="BA36" s="6">
        <f>IF(OR($BJ36="",52&gt;設定!$B$3),"",IF(INDEX(原始資料!BC$2:BC$501,$BJ36)="","",INDEX(原始資料!BC$2:BC$501,$BJ36)))</f>
        <v/>
      </c>
      <c r="BB36" s="6">
        <f>IF(OR($BJ36="",53&gt;設定!$B$3),"",IF(INDEX(原始資料!BD$2:BD$501,$BJ36)="","",INDEX(原始資料!BD$2:BD$501,$BJ36)))</f>
        <v/>
      </c>
      <c r="BC36" s="6">
        <f>IF(OR($BJ36="",54&gt;設定!$B$3),"",IF(INDEX(原始資料!BE$2:BE$501,$BJ36)="","",INDEX(原始資料!BE$2:BE$501,$BJ36)))</f>
        <v/>
      </c>
      <c r="BD36" s="6">
        <f>IF(OR($BJ36="",55&gt;設定!$B$3),"",IF(INDEX(原始資料!BF$2:BF$501,$BJ36)="","",INDEX(原始資料!BF$2:BF$501,$BJ36)))</f>
        <v/>
      </c>
      <c r="BE36" s="6">
        <f>IF(OR($BJ36="",56&gt;設定!$B$3),"",IF(INDEX(原始資料!BG$2:BG$501,$BJ36)="","",INDEX(原始資料!BG$2:BG$501,$BJ36)))</f>
        <v/>
      </c>
      <c r="BF36" s="6">
        <f>IF(OR($BJ36="",57&gt;設定!$B$3),"",IF(INDEX(原始資料!BH$2:BH$501,$BJ36)="","",INDEX(原始資料!BH$2:BH$501,$BJ36)))</f>
        <v/>
      </c>
      <c r="BG36" s="6">
        <f>IF(OR($BJ36="",58&gt;設定!$B$3),"",IF(INDEX(原始資料!BI$2:BI$501,$BJ36)="","",INDEX(原始資料!BI$2:BI$501,$BJ36)))</f>
        <v/>
      </c>
      <c r="BH36" s="6">
        <f>IF(OR($BJ36="",59&gt;設定!$B$3),"",IF(INDEX(原始資料!BJ$2:BJ$501,$BJ36)="","",INDEX(原始資料!BJ$2:BJ$501,$BJ36)))</f>
        <v/>
      </c>
      <c r="BI36" s="6">
        <f>IF(OR($BJ36="",60&gt;設定!$B$3),"",IF(INDEX(原始資料!BK$2:BK$501,$BJ36)="","",INDEX(原始資料!BK$2:BK$501,$BJ36)))</f>
        <v/>
      </c>
      <c r="BJ36" s="6">
        <f>IFERROR(MATCH(ROW()-1,判定!$H$2:$H$501,0),"")</f>
        <v/>
      </c>
    </row>
    <row r="37">
      <c r="A37" s="6">
        <f>IF($BJ37="","",INDEX(原始資料!$A$2:$A$501,$BJ37))</f>
        <v/>
      </c>
      <c r="B37" s="6">
        <f>IF(OR($BJ37="",1&gt;設定!$B$3),"",IF(INDEX(原始資料!D$2:D$501,$BJ37)="","",INDEX(原始資料!D$2:D$501,$BJ37)))</f>
        <v/>
      </c>
      <c r="C37" s="6">
        <f>IF(OR($BJ37="",2&gt;設定!$B$3),"",IF(INDEX(原始資料!E$2:E$501,$BJ37)="","",INDEX(原始資料!E$2:E$501,$BJ37)))</f>
        <v/>
      </c>
      <c r="D37" s="6">
        <f>IF(OR($BJ37="",3&gt;設定!$B$3),"",IF(INDEX(原始資料!F$2:F$501,$BJ37)="","",INDEX(原始資料!F$2:F$501,$BJ37)))</f>
        <v/>
      </c>
      <c r="E37" s="6">
        <f>IF(OR($BJ37="",4&gt;設定!$B$3),"",IF(INDEX(原始資料!G$2:G$501,$BJ37)="","",INDEX(原始資料!G$2:G$501,$BJ37)))</f>
        <v/>
      </c>
      <c r="F37" s="6">
        <f>IF(OR($BJ37="",5&gt;設定!$B$3),"",IF(INDEX(原始資料!H$2:H$501,$BJ37)="","",INDEX(原始資料!H$2:H$501,$BJ37)))</f>
        <v/>
      </c>
      <c r="G37" s="6">
        <f>IF(OR($BJ37="",6&gt;設定!$B$3),"",IF(INDEX(原始資料!I$2:I$501,$BJ37)="","",INDEX(原始資料!I$2:I$501,$BJ37)))</f>
        <v/>
      </c>
      <c r="H37" s="6">
        <f>IF(OR($BJ37="",7&gt;設定!$B$3),"",IF(INDEX(原始資料!J$2:J$501,$BJ37)="","",INDEX(原始資料!J$2:J$501,$BJ37)))</f>
        <v/>
      </c>
      <c r="I37" s="6">
        <f>IF(OR($BJ37="",8&gt;設定!$B$3),"",IF(INDEX(原始資料!K$2:K$501,$BJ37)="","",INDEX(原始資料!K$2:K$501,$BJ37)))</f>
        <v/>
      </c>
      <c r="J37" s="6">
        <f>IF(OR($BJ37="",9&gt;設定!$B$3),"",IF(INDEX(原始資料!L$2:L$501,$BJ37)="","",INDEX(原始資料!L$2:L$501,$BJ37)))</f>
        <v/>
      </c>
      <c r="K37" s="6">
        <f>IF(OR($BJ37="",10&gt;設定!$B$3),"",IF(INDEX(原始資料!M$2:M$501,$BJ37)="","",INDEX(原始資料!M$2:M$501,$BJ37)))</f>
        <v/>
      </c>
      <c r="L37" s="6">
        <f>IF(OR($BJ37="",11&gt;設定!$B$3),"",IF(INDEX(原始資料!N$2:N$501,$BJ37)="","",INDEX(原始資料!N$2:N$501,$BJ37)))</f>
        <v/>
      </c>
      <c r="M37" s="6">
        <f>IF(OR($BJ37="",12&gt;設定!$B$3),"",IF(INDEX(原始資料!O$2:O$501,$BJ37)="","",INDEX(原始資料!O$2:O$501,$BJ37)))</f>
        <v/>
      </c>
      <c r="N37" s="6">
        <f>IF(OR($BJ37="",13&gt;設定!$B$3),"",IF(INDEX(原始資料!P$2:P$501,$BJ37)="","",INDEX(原始資料!P$2:P$501,$BJ37)))</f>
        <v/>
      </c>
      <c r="O37" s="6">
        <f>IF(OR($BJ37="",14&gt;設定!$B$3),"",IF(INDEX(原始資料!Q$2:Q$501,$BJ37)="","",INDEX(原始資料!Q$2:Q$501,$BJ37)))</f>
        <v/>
      </c>
      <c r="P37" s="6">
        <f>IF(OR($BJ37="",15&gt;設定!$B$3),"",IF(INDEX(原始資料!R$2:R$501,$BJ37)="","",INDEX(原始資料!R$2:R$501,$BJ37)))</f>
        <v/>
      </c>
      <c r="Q37" s="6">
        <f>IF(OR($BJ37="",16&gt;設定!$B$3),"",IF(INDEX(原始資料!S$2:S$501,$BJ37)="","",INDEX(原始資料!S$2:S$501,$BJ37)))</f>
        <v/>
      </c>
      <c r="R37" s="6">
        <f>IF(OR($BJ37="",17&gt;設定!$B$3),"",IF(INDEX(原始資料!T$2:T$501,$BJ37)="","",INDEX(原始資料!T$2:T$501,$BJ37)))</f>
        <v/>
      </c>
      <c r="S37" s="6">
        <f>IF(OR($BJ37="",18&gt;設定!$B$3),"",IF(INDEX(原始資料!U$2:U$501,$BJ37)="","",INDEX(原始資料!U$2:U$501,$BJ37)))</f>
        <v/>
      </c>
      <c r="T37" s="6">
        <f>IF(OR($BJ37="",19&gt;設定!$B$3),"",IF(INDEX(原始資料!V$2:V$501,$BJ37)="","",INDEX(原始資料!V$2:V$501,$BJ37)))</f>
        <v/>
      </c>
      <c r="U37" s="6">
        <f>IF(OR($BJ37="",20&gt;設定!$B$3),"",IF(INDEX(原始資料!W$2:W$501,$BJ37)="","",INDEX(原始資料!W$2:W$501,$BJ37)))</f>
        <v/>
      </c>
      <c r="V37" s="6">
        <f>IF(OR($BJ37="",21&gt;設定!$B$3),"",IF(INDEX(原始資料!X$2:X$501,$BJ37)="","",INDEX(原始資料!X$2:X$501,$BJ37)))</f>
        <v/>
      </c>
      <c r="W37" s="6">
        <f>IF(OR($BJ37="",22&gt;設定!$B$3),"",IF(INDEX(原始資料!Y$2:Y$501,$BJ37)="","",INDEX(原始資料!Y$2:Y$501,$BJ37)))</f>
        <v/>
      </c>
      <c r="X37" s="6">
        <f>IF(OR($BJ37="",23&gt;設定!$B$3),"",IF(INDEX(原始資料!Z$2:Z$501,$BJ37)="","",INDEX(原始資料!Z$2:Z$501,$BJ37)))</f>
        <v/>
      </c>
      <c r="Y37" s="6">
        <f>IF(OR($BJ37="",24&gt;設定!$B$3),"",IF(INDEX(原始資料!AA$2:AA$501,$BJ37)="","",INDEX(原始資料!AA$2:AA$501,$BJ37)))</f>
        <v/>
      </c>
      <c r="Z37" s="6">
        <f>IF(OR($BJ37="",25&gt;設定!$B$3),"",IF(INDEX(原始資料!AB$2:AB$501,$BJ37)="","",INDEX(原始資料!AB$2:AB$501,$BJ37)))</f>
        <v/>
      </c>
      <c r="AA37" s="6">
        <f>IF(OR($BJ37="",26&gt;設定!$B$3),"",IF(INDEX(原始資料!AC$2:AC$501,$BJ37)="","",INDEX(原始資料!AC$2:AC$501,$BJ37)))</f>
        <v/>
      </c>
      <c r="AB37" s="6">
        <f>IF(OR($BJ37="",27&gt;設定!$B$3),"",IF(INDEX(原始資料!AD$2:AD$501,$BJ37)="","",INDEX(原始資料!AD$2:AD$501,$BJ37)))</f>
        <v/>
      </c>
      <c r="AC37" s="6">
        <f>IF(OR($BJ37="",28&gt;設定!$B$3),"",IF(INDEX(原始資料!AE$2:AE$501,$BJ37)="","",INDEX(原始資料!AE$2:AE$501,$BJ37)))</f>
        <v/>
      </c>
      <c r="AD37" s="6">
        <f>IF(OR($BJ37="",29&gt;設定!$B$3),"",IF(INDEX(原始資料!AF$2:AF$501,$BJ37)="","",INDEX(原始資料!AF$2:AF$501,$BJ37)))</f>
        <v/>
      </c>
      <c r="AE37" s="6">
        <f>IF(OR($BJ37="",30&gt;設定!$B$3),"",IF(INDEX(原始資料!AG$2:AG$501,$BJ37)="","",INDEX(原始資料!AG$2:AG$501,$BJ37)))</f>
        <v/>
      </c>
      <c r="AF37" s="6">
        <f>IF(OR($BJ37="",31&gt;設定!$B$3),"",IF(INDEX(原始資料!AH$2:AH$501,$BJ37)="","",INDEX(原始資料!AH$2:AH$501,$BJ37)))</f>
        <v/>
      </c>
      <c r="AG37" s="6">
        <f>IF(OR($BJ37="",32&gt;設定!$B$3),"",IF(INDEX(原始資料!AI$2:AI$501,$BJ37)="","",INDEX(原始資料!AI$2:AI$501,$BJ37)))</f>
        <v/>
      </c>
      <c r="AH37" s="6">
        <f>IF(OR($BJ37="",33&gt;設定!$B$3),"",IF(INDEX(原始資料!AJ$2:AJ$501,$BJ37)="","",INDEX(原始資料!AJ$2:AJ$501,$BJ37)))</f>
        <v/>
      </c>
      <c r="AI37" s="6">
        <f>IF(OR($BJ37="",34&gt;設定!$B$3),"",IF(INDEX(原始資料!AK$2:AK$501,$BJ37)="","",INDEX(原始資料!AK$2:AK$501,$BJ37)))</f>
        <v/>
      </c>
      <c r="AJ37" s="6">
        <f>IF(OR($BJ37="",35&gt;設定!$B$3),"",IF(INDEX(原始資料!AL$2:AL$501,$BJ37)="","",INDEX(原始資料!AL$2:AL$501,$BJ37)))</f>
        <v/>
      </c>
      <c r="AK37" s="6">
        <f>IF(OR($BJ37="",36&gt;設定!$B$3),"",IF(INDEX(原始資料!AM$2:AM$501,$BJ37)="","",INDEX(原始資料!AM$2:AM$501,$BJ37)))</f>
        <v/>
      </c>
      <c r="AL37" s="6">
        <f>IF(OR($BJ37="",37&gt;設定!$B$3),"",IF(INDEX(原始資料!AN$2:AN$501,$BJ37)="","",INDEX(原始資料!AN$2:AN$501,$BJ37)))</f>
        <v/>
      </c>
      <c r="AM37" s="6">
        <f>IF(OR($BJ37="",38&gt;設定!$B$3),"",IF(INDEX(原始資料!AO$2:AO$501,$BJ37)="","",INDEX(原始資料!AO$2:AO$501,$BJ37)))</f>
        <v/>
      </c>
      <c r="AN37" s="6">
        <f>IF(OR($BJ37="",39&gt;設定!$B$3),"",IF(INDEX(原始資料!AP$2:AP$501,$BJ37)="","",INDEX(原始資料!AP$2:AP$501,$BJ37)))</f>
        <v/>
      </c>
      <c r="AO37" s="6">
        <f>IF(OR($BJ37="",40&gt;設定!$B$3),"",IF(INDEX(原始資料!AQ$2:AQ$501,$BJ37)="","",INDEX(原始資料!AQ$2:AQ$501,$BJ37)))</f>
        <v/>
      </c>
      <c r="AP37" s="6">
        <f>IF(OR($BJ37="",41&gt;設定!$B$3),"",IF(INDEX(原始資料!AR$2:AR$501,$BJ37)="","",INDEX(原始資料!AR$2:AR$501,$BJ37)))</f>
        <v/>
      </c>
      <c r="AQ37" s="6">
        <f>IF(OR($BJ37="",42&gt;設定!$B$3),"",IF(INDEX(原始資料!AS$2:AS$501,$BJ37)="","",INDEX(原始資料!AS$2:AS$501,$BJ37)))</f>
        <v/>
      </c>
      <c r="AR37" s="6">
        <f>IF(OR($BJ37="",43&gt;設定!$B$3),"",IF(INDEX(原始資料!AT$2:AT$501,$BJ37)="","",INDEX(原始資料!AT$2:AT$501,$BJ37)))</f>
        <v/>
      </c>
      <c r="AS37" s="6">
        <f>IF(OR($BJ37="",44&gt;設定!$B$3),"",IF(INDEX(原始資料!AU$2:AU$501,$BJ37)="","",INDEX(原始資料!AU$2:AU$501,$BJ37)))</f>
        <v/>
      </c>
      <c r="AT37" s="6">
        <f>IF(OR($BJ37="",45&gt;設定!$B$3),"",IF(INDEX(原始資料!AV$2:AV$501,$BJ37)="","",INDEX(原始資料!AV$2:AV$501,$BJ37)))</f>
        <v/>
      </c>
      <c r="AU37" s="6">
        <f>IF(OR($BJ37="",46&gt;設定!$B$3),"",IF(INDEX(原始資料!AW$2:AW$501,$BJ37)="","",INDEX(原始資料!AW$2:AW$501,$BJ37)))</f>
        <v/>
      </c>
      <c r="AV37" s="6">
        <f>IF(OR($BJ37="",47&gt;設定!$B$3),"",IF(INDEX(原始資料!AX$2:AX$501,$BJ37)="","",INDEX(原始資料!AX$2:AX$501,$BJ37)))</f>
        <v/>
      </c>
      <c r="AW37" s="6">
        <f>IF(OR($BJ37="",48&gt;設定!$B$3),"",IF(INDEX(原始資料!AY$2:AY$501,$BJ37)="","",INDEX(原始資料!AY$2:AY$501,$BJ37)))</f>
        <v/>
      </c>
      <c r="AX37" s="6">
        <f>IF(OR($BJ37="",49&gt;設定!$B$3),"",IF(INDEX(原始資料!AZ$2:AZ$501,$BJ37)="","",INDEX(原始資料!AZ$2:AZ$501,$BJ37)))</f>
        <v/>
      </c>
      <c r="AY37" s="6">
        <f>IF(OR($BJ37="",50&gt;設定!$B$3),"",IF(INDEX(原始資料!BA$2:BA$501,$BJ37)="","",INDEX(原始資料!BA$2:BA$501,$BJ37)))</f>
        <v/>
      </c>
      <c r="AZ37" s="6">
        <f>IF(OR($BJ37="",51&gt;設定!$B$3),"",IF(INDEX(原始資料!BB$2:BB$501,$BJ37)="","",INDEX(原始資料!BB$2:BB$501,$BJ37)))</f>
        <v/>
      </c>
      <c r="BA37" s="6">
        <f>IF(OR($BJ37="",52&gt;設定!$B$3),"",IF(INDEX(原始資料!BC$2:BC$501,$BJ37)="","",INDEX(原始資料!BC$2:BC$501,$BJ37)))</f>
        <v/>
      </c>
      <c r="BB37" s="6">
        <f>IF(OR($BJ37="",53&gt;設定!$B$3),"",IF(INDEX(原始資料!BD$2:BD$501,$BJ37)="","",INDEX(原始資料!BD$2:BD$501,$BJ37)))</f>
        <v/>
      </c>
      <c r="BC37" s="6">
        <f>IF(OR($BJ37="",54&gt;設定!$B$3),"",IF(INDEX(原始資料!BE$2:BE$501,$BJ37)="","",INDEX(原始資料!BE$2:BE$501,$BJ37)))</f>
        <v/>
      </c>
      <c r="BD37" s="6">
        <f>IF(OR($BJ37="",55&gt;設定!$B$3),"",IF(INDEX(原始資料!BF$2:BF$501,$BJ37)="","",INDEX(原始資料!BF$2:BF$501,$BJ37)))</f>
        <v/>
      </c>
      <c r="BE37" s="6">
        <f>IF(OR($BJ37="",56&gt;設定!$B$3),"",IF(INDEX(原始資料!BG$2:BG$501,$BJ37)="","",INDEX(原始資料!BG$2:BG$501,$BJ37)))</f>
        <v/>
      </c>
      <c r="BF37" s="6">
        <f>IF(OR($BJ37="",57&gt;設定!$B$3),"",IF(INDEX(原始資料!BH$2:BH$501,$BJ37)="","",INDEX(原始資料!BH$2:BH$501,$BJ37)))</f>
        <v/>
      </c>
      <c r="BG37" s="6">
        <f>IF(OR($BJ37="",58&gt;設定!$B$3),"",IF(INDEX(原始資料!BI$2:BI$501,$BJ37)="","",INDEX(原始資料!BI$2:BI$501,$BJ37)))</f>
        <v/>
      </c>
      <c r="BH37" s="6">
        <f>IF(OR($BJ37="",59&gt;設定!$B$3),"",IF(INDEX(原始資料!BJ$2:BJ$501,$BJ37)="","",INDEX(原始資料!BJ$2:BJ$501,$BJ37)))</f>
        <v/>
      </c>
      <c r="BI37" s="6">
        <f>IF(OR($BJ37="",60&gt;設定!$B$3),"",IF(INDEX(原始資料!BK$2:BK$501,$BJ37)="","",INDEX(原始資料!BK$2:BK$501,$BJ37)))</f>
        <v/>
      </c>
      <c r="BJ37" s="6">
        <f>IFERROR(MATCH(ROW()-1,判定!$H$2:$H$501,0),"")</f>
        <v/>
      </c>
    </row>
    <row r="38">
      <c r="A38" s="6">
        <f>IF($BJ38="","",INDEX(原始資料!$A$2:$A$501,$BJ38))</f>
        <v/>
      </c>
      <c r="B38" s="6">
        <f>IF(OR($BJ38="",1&gt;設定!$B$3),"",IF(INDEX(原始資料!D$2:D$501,$BJ38)="","",INDEX(原始資料!D$2:D$501,$BJ38)))</f>
        <v/>
      </c>
      <c r="C38" s="6">
        <f>IF(OR($BJ38="",2&gt;設定!$B$3),"",IF(INDEX(原始資料!E$2:E$501,$BJ38)="","",INDEX(原始資料!E$2:E$501,$BJ38)))</f>
        <v/>
      </c>
      <c r="D38" s="6">
        <f>IF(OR($BJ38="",3&gt;設定!$B$3),"",IF(INDEX(原始資料!F$2:F$501,$BJ38)="","",INDEX(原始資料!F$2:F$501,$BJ38)))</f>
        <v/>
      </c>
      <c r="E38" s="6">
        <f>IF(OR($BJ38="",4&gt;設定!$B$3),"",IF(INDEX(原始資料!G$2:G$501,$BJ38)="","",INDEX(原始資料!G$2:G$501,$BJ38)))</f>
        <v/>
      </c>
      <c r="F38" s="6">
        <f>IF(OR($BJ38="",5&gt;設定!$B$3),"",IF(INDEX(原始資料!H$2:H$501,$BJ38)="","",INDEX(原始資料!H$2:H$501,$BJ38)))</f>
        <v/>
      </c>
      <c r="G38" s="6">
        <f>IF(OR($BJ38="",6&gt;設定!$B$3),"",IF(INDEX(原始資料!I$2:I$501,$BJ38)="","",INDEX(原始資料!I$2:I$501,$BJ38)))</f>
        <v/>
      </c>
      <c r="H38" s="6">
        <f>IF(OR($BJ38="",7&gt;設定!$B$3),"",IF(INDEX(原始資料!J$2:J$501,$BJ38)="","",INDEX(原始資料!J$2:J$501,$BJ38)))</f>
        <v/>
      </c>
      <c r="I38" s="6">
        <f>IF(OR($BJ38="",8&gt;設定!$B$3),"",IF(INDEX(原始資料!K$2:K$501,$BJ38)="","",INDEX(原始資料!K$2:K$501,$BJ38)))</f>
        <v/>
      </c>
      <c r="J38" s="6">
        <f>IF(OR($BJ38="",9&gt;設定!$B$3),"",IF(INDEX(原始資料!L$2:L$501,$BJ38)="","",INDEX(原始資料!L$2:L$501,$BJ38)))</f>
        <v/>
      </c>
      <c r="K38" s="6">
        <f>IF(OR($BJ38="",10&gt;設定!$B$3),"",IF(INDEX(原始資料!M$2:M$501,$BJ38)="","",INDEX(原始資料!M$2:M$501,$BJ38)))</f>
        <v/>
      </c>
      <c r="L38" s="6">
        <f>IF(OR($BJ38="",11&gt;設定!$B$3),"",IF(INDEX(原始資料!N$2:N$501,$BJ38)="","",INDEX(原始資料!N$2:N$501,$BJ38)))</f>
        <v/>
      </c>
      <c r="M38" s="6">
        <f>IF(OR($BJ38="",12&gt;設定!$B$3),"",IF(INDEX(原始資料!O$2:O$501,$BJ38)="","",INDEX(原始資料!O$2:O$501,$BJ38)))</f>
        <v/>
      </c>
      <c r="N38" s="6">
        <f>IF(OR($BJ38="",13&gt;設定!$B$3),"",IF(INDEX(原始資料!P$2:P$501,$BJ38)="","",INDEX(原始資料!P$2:P$501,$BJ38)))</f>
        <v/>
      </c>
      <c r="O38" s="6">
        <f>IF(OR($BJ38="",14&gt;設定!$B$3),"",IF(INDEX(原始資料!Q$2:Q$501,$BJ38)="","",INDEX(原始資料!Q$2:Q$501,$BJ38)))</f>
        <v/>
      </c>
      <c r="P38" s="6">
        <f>IF(OR($BJ38="",15&gt;設定!$B$3),"",IF(INDEX(原始資料!R$2:R$501,$BJ38)="","",INDEX(原始資料!R$2:R$501,$BJ38)))</f>
        <v/>
      </c>
      <c r="Q38" s="6">
        <f>IF(OR($BJ38="",16&gt;設定!$B$3),"",IF(INDEX(原始資料!S$2:S$501,$BJ38)="","",INDEX(原始資料!S$2:S$501,$BJ38)))</f>
        <v/>
      </c>
      <c r="R38" s="6">
        <f>IF(OR($BJ38="",17&gt;設定!$B$3),"",IF(INDEX(原始資料!T$2:T$501,$BJ38)="","",INDEX(原始資料!T$2:T$501,$BJ38)))</f>
        <v/>
      </c>
      <c r="S38" s="6">
        <f>IF(OR($BJ38="",18&gt;設定!$B$3),"",IF(INDEX(原始資料!U$2:U$501,$BJ38)="","",INDEX(原始資料!U$2:U$501,$BJ38)))</f>
        <v/>
      </c>
      <c r="T38" s="6">
        <f>IF(OR($BJ38="",19&gt;設定!$B$3),"",IF(INDEX(原始資料!V$2:V$501,$BJ38)="","",INDEX(原始資料!V$2:V$501,$BJ38)))</f>
        <v/>
      </c>
      <c r="U38" s="6">
        <f>IF(OR($BJ38="",20&gt;設定!$B$3),"",IF(INDEX(原始資料!W$2:W$501,$BJ38)="","",INDEX(原始資料!W$2:W$501,$BJ38)))</f>
        <v/>
      </c>
      <c r="V38" s="6">
        <f>IF(OR($BJ38="",21&gt;設定!$B$3),"",IF(INDEX(原始資料!X$2:X$501,$BJ38)="","",INDEX(原始資料!X$2:X$501,$BJ38)))</f>
        <v/>
      </c>
      <c r="W38" s="6">
        <f>IF(OR($BJ38="",22&gt;設定!$B$3),"",IF(INDEX(原始資料!Y$2:Y$501,$BJ38)="","",INDEX(原始資料!Y$2:Y$501,$BJ38)))</f>
        <v/>
      </c>
      <c r="X38" s="6">
        <f>IF(OR($BJ38="",23&gt;設定!$B$3),"",IF(INDEX(原始資料!Z$2:Z$501,$BJ38)="","",INDEX(原始資料!Z$2:Z$501,$BJ38)))</f>
        <v/>
      </c>
      <c r="Y38" s="6">
        <f>IF(OR($BJ38="",24&gt;設定!$B$3),"",IF(INDEX(原始資料!AA$2:AA$501,$BJ38)="","",INDEX(原始資料!AA$2:AA$501,$BJ38)))</f>
        <v/>
      </c>
      <c r="Z38" s="6">
        <f>IF(OR($BJ38="",25&gt;設定!$B$3),"",IF(INDEX(原始資料!AB$2:AB$501,$BJ38)="","",INDEX(原始資料!AB$2:AB$501,$BJ38)))</f>
        <v/>
      </c>
      <c r="AA38" s="6">
        <f>IF(OR($BJ38="",26&gt;設定!$B$3),"",IF(INDEX(原始資料!AC$2:AC$501,$BJ38)="","",INDEX(原始資料!AC$2:AC$501,$BJ38)))</f>
        <v/>
      </c>
      <c r="AB38" s="6">
        <f>IF(OR($BJ38="",27&gt;設定!$B$3),"",IF(INDEX(原始資料!AD$2:AD$501,$BJ38)="","",INDEX(原始資料!AD$2:AD$501,$BJ38)))</f>
        <v/>
      </c>
      <c r="AC38" s="6">
        <f>IF(OR($BJ38="",28&gt;設定!$B$3),"",IF(INDEX(原始資料!AE$2:AE$501,$BJ38)="","",INDEX(原始資料!AE$2:AE$501,$BJ38)))</f>
        <v/>
      </c>
      <c r="AD38" s="6">
        <f>IF(OR($BJ38="",29&gt;設定!$B$3),"",IF(INDEX(原始資料!AF$2:AF$501,$BJ38)="","",INDEX(原始資料!AF$2:AF$501,$BJ38)))</f>
        <v/>
      </c>
      <c r="AE38" s="6">
        <f>IF(OR($BJ38="",30&gt;設定!$B$3),"",IF(INDEX(原始資料!AG$2:AG$501,$BJ38)="","",INDEX(原始資料!AG$2:AG$501,$BJ38)))</f>
        <v/>
      </c>
      <c r="AF38" s="6">
        <f>IF(OR($BJ38="",31&gt;設定!$B$3),"",IF(INDEX(原始資料!AH$2:AH$501,$BJ38)="","",INDEX(原始資料!AH$2:AH$501,$BJ38)))</f>
        <v/>
      </c>
      <c r="AG38" s="6">
        <f>IF(OR($BJ38="",32&gt;設定!$B$3),"",IF(INDEX(原始資料!AI$2:AI$501,$BJ38)="","",INDEX(原始資料!AI$2:AI$501,$BJ38)))</f>
        <v/>
      </c>
      <c r="AH38" s="6">
        <f>IF(OR($BJ38="",33&gt;設定!$B$3),"",IF(INDEX(原始資料!AJ$2:AJ$501,$BJ38)="","",INDEX(原始資料!AJ$2:AJ$501,$BJ38)))</f>
        <v/>
      </c>
      <c r="AI38" s="6">
        <f>IF(OR($BJ38="",34&gt;設定!$B$3),"",IF(INDEX(原始資料!AK$2:AK$501,$BJ38)="","",INDEX(原始資料!AK$2:AK$501,$BJ38)))</f>
        <v/>
      </c>
      <c r="AJ38" s="6">
        <f>IF(OR($BJ38="",35&gt;設定!$B$3),"",IF(INDEX(原始資料!AL$2:AL$501,$BJ38)="","",INDEX(原始資料!AL$2:AL$501,$BJ38)))</f>
        <v/>
      </c>
      <c r="AK38" s="6">
        <f>IF(OR($BJ38="",36&gt;設定!$B$3),"",IF(INDEX(原始資料!AM$2:AM$501,$BJ38)="","",INDEX(原始資料!AM$2:AM$501,$BJ38)))</f>
        <v/>
      </c>
      <c r="AL38" s="6">
        <f>IF(OR($BJ38="",37&gt;設定!$B$3),"",IF(INDEX(原始資料!AN$2:AN$501,$BJ38)="","",INDEX(原始資料!AN$2:AN$501,$BJ38)))</f>
        <v/>
      </c>
      <c r="AM38" s="6">
        <f>IF(OR($BJ38="",38&gt;設定!$B$3),"",IF(INDEX(原始資料!AO$2:AO$501,$BJ38)="","",INDEX(原始資料!AO$2:AO$501,$BJ38)))</f>
        <v/>
      </c>
      <c r="AN38" s="6">
        <f>IF(OR($BJ38="",39&gt;設定!$B$3),"",IF(INDEX(原始資料!AP$2:AP$501,$BJ38)="","",INDEX(原始資料!AP$2:AP$501,$BJ38)))</f>
        <v/>
      </c>
      <c r="AO38" s="6">
        <f>IF(OR($BJ38="",40&gt;設定!$B$3),"",IF(INDEX(原始資料!AQ$2:AQ$501,$BJ38)="","",INDEX(原始資料!AQ$2:AQ$501,$BJ38)))</f>
        <v/>
      </c>
      <c r="AP38" s="6">
        <f>IF(OR($BJ38="",41&gt;設定!$B$3),"",IF(INDEX(原始資料!AR$2:AR$501,$BJ38)="","",INDEX(原始資料!AR$2:AR$501,$BJ38)))</f>
        <v/>
      </c>
      <c r="AQ38" s="6">
        <f>IF(OR($BJ38="",42&gt;設定!$B$3),"",IF(INDEX(原始資料!AS$2:AS$501,$BJ38)="","",INDEX(原始資料!AS$2:AS$501,$BJ38)))</f>
        <v/>
      </c>
      <c r="AR38" s="6">
        <f>IF(OR($BJ38="",43&gt;設定!$B$3),"",IF(INDEX(原始資料!AT$2:AT$501,$BJ38)="","",INDEX(原始資料!AT$2:AT$501,$BJ38)))</f>
        <v/>
      </c>
      <c r="AS38" s="6">
        <f>IF(OR($BJ38="",44&gt;設定!$B$3),"",IF(INDEX(原始資料!AU$2:AU$501,$BJ38)="","",INDEX(原始資料!AU$2:AU$501,$BJ38)))</f>
        <v/>
      </c>
      <c r="AT38" s="6">
        <f>IF(OR($BJ38="",45&gt;設定!$B$3),"",IF(INDEX(原始資料!AV$2:AV$501,$BJ38)="","",INDEX(原始資料!AV$2:AV$501,$BJ38)))</f>
        <v/>
      </c>
      <c r="AU38" s="6">
        <f>IF(OR($BJ38="",46&gt;設定!$B$3),"",IF(INDEX(原始資料!AW$2:AW$501,$BJ38)="","",INDEX(原始資料!AW$2:AW$501,$BJ38)))</f>
        <v/>
      </c>
      <c r="AV38" s="6">
        <f>IF(OR($BJ38="",47&gt;設定!$B$3),"",IF(INDEX(原始資料!AX$2:AX$501,$BJ38)="","",INDEX(原始資料!AX$2:AX$501,$BJ38)))</f>
        <v/>
      </c>
      <c r="AW38" s="6">
        <f>IF(OR($BJ38="",48&gt;設定!$B$3),"",IF(INDEX(原始資料!AY$2:AY$501,$BJ38)="","",INDEX(原始資料!AY$2:AY$501,$BJ38)))</f>
        <v/>
      </c>
      <c r="AX38" s="6">
        <f>IF(OR($BJ38="",49&gt;設定!$B$3),"",IF(INDEX(原始資料!AZ$2:AZ$501,$BJ38)="","",INDEX(原始資料!AZ$2:AZ$501,$BJ38)))</f>
        <v/>
      </c>
      <c r="AY38" s="6">
        <f>IF(OR($BJ38="",50&gt;設定!$B$3),"",IF(INDEX(原始資料!BA$2:BA$501,$BJ38)="","",INDEX(原始資料!BA$2:BA$501,$BJ38)))</f>
        <v/>
      </c>
      <c r="AZ38" s="6">
        <f>IF(OR($BJ38="",51&gt;設定!$B$3),"",IF(INDEX(原始資料!BB$2:BB$501,$BJ38)="","",INDEX(原始資料!BB$2:BB$501,$BJ38)))</f>
        <v/>
      </c>
      <c r="BA38" s="6">
        <f>IF(OR($BJ38="",52&gt;設定!$B$3),"",IF(INDEX(原始資料!BC$2:BC$501,$BJ38)="","",INDEX(原始資料!BC$2:BC$501,$BJ38)))</f>
        <v/>
      </c>
      <c r="BB38" s="6">
        <f>IF(OR($BJ38="",53&gt;設定!$B$3),"",IF(INDEX(原始資料!BD$2:BD$501,$BJ38)="","",INDEX(原始資料!BD$2:BD$501,$BJ38)))</f>
        <v/>
      </c>
      <c r="BC38" s="6">
        <f>IF(OR($BJ38="",54&gt;設定!$B$3),"",IF(INDEX(原始資料!BE$2:BE$501,$BJ38)="","",INDEX(原始資料!BE$2:BE$501,$BJ38)))</f>
        <v/>
      </c>
      <c r="BD38" s="6">
        <f>IF(OR($BJ38="",55&gt;設定!$B$3),"",IF(INDEX(原始資料!BF$2:BF$501,$BJ38)="","",INDEX(原始資料!BF$2:BF$501,$BJ38)))</f>
        <v/>
      </c>
      <c r="BE38" s="6">
        <f>IF(OR($BJ38="",56&gt;設定!$B$3),"",IF(INDEX(原始資料!BG$2:BG$501,$BJ38)="","",INDEX(原始資料!BG$2:BG$501,$BJ38)))</f>
        <v/>
      </c>
      <c r="BF38" s="6">
        <f>IF(OR($BJ38="",57&gt;設定!$B$3),"",IF(INDEX(原始資料!BH$2:BH$501,$BJ38)="","",INDEX(原始資料!BH$2:BH$501,$BJ38)))</f>
        <v/>
      </c>
      <c r="BG38" s="6">
        <f>IF(OR($BJ38="",58&gt;設定!$B$3),"",IF(INDEX(原始資料!BI$2:BI$501,$BJ38)="","",INDEX(原始資料!BI$2:BI$501,$BJ38)))</f>
        <v/>
      </c>
      <c r="BH38" s="6">
        <f>IF(OR($BJ38="",59&gt;設定!$B$3),"",IF(INDEX(原始資料!BJ$2:BJ$501,$BJ38)="","",INDEX(原始資料!BJ$2:BJ$501,$BJ38)))</f>
        <v/>
      </c>
      <c r="BI38" s="6">
        <f>IF(OR($BJ38="",60&gt;設定!$B$3),"",IF(INDEX(原始資料!BK$2:BK$501,$BJ38)="","",INDEX(原始資料!BK$2:BK$501,$BJ38)))</f>
        <v/>
      </c>
      <c r="BJ38" s="6">
        <f>IFERROR(MATCH(ROW()-1,判定!$H$2:$H$501,0),"")</f>
        <v/>
      </c>
    </row>
    <row r="39">
      <c r="A39" s="6">
        <f>IF($BJ39="","",INDEX(原始資料!$A$2:$A$501,$BJ39))</f>
        <v/>
      </c>
      <c r="B39" s="6">
        <f>IF(OR($BJ39="",1&gt;設定!$B$3),"",IF(INDEX(原始資料!D$2:D$501,$BJ39)="","",INDEX(原始資料!D$2:D$501,$BJ39)))</f>
        <v/>
      </c>
      <c r="C39" s="6">
        <f>IF(OR($BJ39="",2&gt;設定!$B$3),"",IF(INDEX(原始資料!E$2:E$501,$BJ39)="","",INDEX(原始資料!E$2:E$501,$BJ39)))</f>
        <v/>
      </c>
      <c r="D39" s="6">
        <f>IF(OR($BJ39="",3&gt;設定!$B$3),"",IF(INDEX(原始資料!F$2:F$501,$BJ39)="","",INDEX(原始資料!F$2:F$501,$BJ39)))</f>
        <v/>
      </c>
      <c r="E39" s="6">
        <f>IF(OR($BJ39="",4&gt;設定!$B$3),"",IF(INDEX(原始資料!G$2:G$501,$BJ39)="","",INDEX(原始資料!G$2:G$501,$BJ39)))</f>
        <v/>
      </c>
      <c r="F39" s="6">
        <f>IF(OR($BJ39="",5&gt;設定!$B$3),"",IF(INDEX(原始資料!H$2:H$501,$BJ39)="","",INDEX(原始資料!H$2:H$501,$BJ39)))</f>
        <v/>
      </c>
      <c r="G39" s="6">
        <f>IF(OR($BJ39="",6&gt;設定!$B$3),"",IF(INDEX(原始資料!I$2:I$501,$BJ39)="","",INDEX(原始資料!I$2:I$501,$BJ39)))</f>
        <v/>
      </c>
      <c r="H39" s="6">
        <f>IF(OR($BJ39="",7&gt;設定!$B$3),"",IF(INDEX(原始資料!J$2:J$501,$BJ39)="","",INDEX(原始資料!J$2:J$501,$BJ39)))</f>
        <v/>
      </c>
      <c r="I39" s="6">
        <f>IF(OR($BJ39="",8&gt;設定!$B$3),"",IF(INDEX(原始資料!K$2:K$501,$BJ39)="","",INDEX(原始資料!K$2:K$501,$BJ39)))</f>
        <v/>
      </c>
      <c r="J39" s="6">
        <f>IF(OR($BJ39="",9&gt;設定!$B$3),"",IF(INDEX(原始資料!L$2:L$501,$BJ39)="","",INDEX(原始資料!L$2:L$501,$BJ39)))</f>
        <v/>
      </c>
      <c r="K39" s="6">
        <f>IF(OR($BJ39="",10&gt;設定!$B$3),"",IF(INDEX(原始資料!M$2:M$501,$BJ39)="","",INDEX(原始資料!M$2:M$501,$BJ39)))</f>
        <v/>
      </c>
      <c r="L39" s="6">
        <f>IF(OR($BJ39="",11&gt;設定!$B$3),"",IF(INDEX(原始資料!N$2:N$501,$BJ39)="","",INDEX(原始資料!N$2:N$501,$BJ39)))</f>
        <v/>
      </c>
      <c r="M39" s="6">
        <f>IF(OR($BJ39="",12&gt;設定!$B$3),"",IF(INDEX(原始資料!O$2:O$501,$BJ39)="","",INDEX(原始資料!O$2:O$501,$BJ39)))</f>
        <v/>
      </c>
      <c r="N39" s="6">
        <f>IF(OR($BJ39="",13&gt;設定!$B$3),"",IF(INDEX(原始資料!P$2:P$501,$BJ39)="","",INDEX(原始資料!P$2:P$501,$BJ39)))</f>
        <v/>
      </c>
      <c r="O39" s="6">
        <f>IF(OR($BJ39="",14&gt;設定!$B$3),"",IF(INDEX(原始資料!Q$2:Q$501,$BJ39)="","",INDEX(原始資料!Q$2:Q$501,$BJ39)))</f>
        <v/>
      </c>
      <c r="P39" s="6">
        <f>IF(OR($BJ39="",15&gt;設定!$B$3),"",IF(INDEX(原始資料!R$2:R$501,$BJ39)="","",INDEX(原始資料!R$2:R$501,$BJ39)))</f>
        <v/>
      </c>
      <c r="Q39" s="6">
        <f>IF(OR($BJ39="",16&gt;設定!$B$3),"",IF(INDEX(原始資料!S$2:S$501,$BJ39)="","",INDEX(原始資料!S$2:S$501,$BJ39)))</f>
        <v/>
      </c>
      <c r="R39" s="6">
        <f>IF(OR($BJ39="",17&gt;設定!$B$3),"",IF(INDEX(原始資料!T$2:T$501,$BJ39)="","",INDEX(原始資料!T$2:T$501,$BJ39)))</f>
        <v/>
      </c>
      <c r="S39" s="6">
        <f>IF(OR($BJ39="",18&gt;設定!$B$3),"",IF(INDEX(原始資料!U$2:U$501,$BJ39)="","",INDEX(原始資料!U$2:U$501,$BJ39)))</f>
        <v/>
      </c>
      <c r="T39" s="6">
        <f>IF(OR($BJ39="",19&gt;設定!$B$3),"",IF(INDEX(原始資料!V$2:V$501,$BJ39)="","",INDEX(原始資料!V$2:V$501,$BJ39)))</f>
        <v/>
      </c>
      <c r="U39" s="6">
        <f>IF(OR($BJ39="",20&gt;設定!$B$3),"",IF(INDEX(原始資料!W$2:W$501,$BJ39)="","",INDEX(原始資料!W$2:W$501,$BJ39)))</f>
        <v/>
      </c>
      <c r="V39" s="6">
        <f>IF(OR($BJ39="",21&gt;設定!$B$3),"",IF(INDEX(原始資料!X$2:X$501,$BJ39)="","",INDEX(原始資料!X$2:X$501,$BJ39)))</f>
        <v/>
      </c>
      <c r="W39" s="6">
        <f>IF(OR($BJ39="",22&gt;設定!$B$3),"",IF(INDEX(原始資料!Y$2:Y$501,$BJ39)="","",INDEX(原始資料!Y$2:Y$501,$BJ39)))</f>
        <v/>
      </c>
      <c r="X39" s="6">
        <f>IF(OR($BJ39="",23&gt;設定!$B$3),"",IF(INDEX(原始資料!Z$2:Z$501,$BJ39)="","",INDEX(原始資料!Z$2:Z$501,$BJ39)))</f>
        <v/>
      </c>
      <c r="Y39" s="6">
        <f>IF(OR($BJ39="",24&gt;設定!$B$3),"",IF(INDEX(原始資料!AA$2:AA$501,$BJ39)="","",INDEX(原始資料!AA$2:AA$501,$BJ39)))</f>
        <v/>
      </c>
      <c r="Z39" s="6">
        <f>IF(OR($BJ39="",25&gt;設定!$B$3),"",IF(INDEX(原始資料!AB$2:AB$501,$BJ39)="","",INDEX(原始資料!AB$2:AB$501,$BJ39)))</f>
        <v/>
      </c>
      <c r="AA39" s="6">
        <f>IF(OR($BJ39="",26&gt;設定!$B$3),"",IF(INDEX(原始資料!AC$2:AC$501,$BJ39)="","",INDEX(原始資料!AC$2:AC$501,$BJ39)))</f>
        <v/>
      </c>
      <c r="AB39" s="6">
        <f>IF(OR($BJ39="",27&gt;設定!$B$3),"",IF(INDEX(原始資料!AD$2:AD$501,$BJ39)="","",INDEX(原始資料!AD$2:AD$501,$BJ39)))</f>
        <v/>
      </c>
      <c r="AC39" s="6">
        <f>IF(OR($BJ39="",28&gt;設定!$B$3),"",IF(INDEX(原始資料!AE$2:AE$501,$BJ39)="","",INDEX(原始資料!AE$2:AE$501,$BJ39)))</f>
        <v/>
      </c>
      <c r="AD39" s="6">
        <f>IF(OR($BJ39="",29&gt;設定!$B$3),"",IF(INDEX(原始資料!AF$2:AF$501,$BJ39)="","",INDEX(原始資料!AF$2:AF$501,$BJ39)))</f>
        <v/>
      </c>
      <c r="AE39" s="6">
        <f>IF(OR($BJ39="",30&gt;設定!$B$3),"",IF(INDEX(原始資料!AG$2:AG$501,$BJ39)="","",INDEX(原始資料!AG$2:AG$501,$BJ39)))</f>
        <v/>
      </c>
      <c r="AF39" s="6">
        <f>IF(OR($BJ39="",31&gt;設定!$B$3),"",IF(INDEX(原始資料!AH$2:AH$501,$BJ39)="","",INDEX(原始資料!AH$2:AH$501,$BJ39)))</f>
        <v/>
      </c>
      <c r="AG39" s="6">
        <f>IF(OR($BJ39="",32&gt;設定!$B$3),"",IF(INDEX(原始資料!AI$2:AI$501,$BJ39)="","",INDEX(原始資料!AI$2:AI$501,$BJ39)))</f>
        <v/>
      </c>
      <c r="AH39" s="6">
        <f>IF(OR($BJ39="",33&gt;設定!$B$3),"",IF(INDEX(原始資料!AJ$2:AJ$501,$BJ39)="","",INDEX(原始資料!AJ$2:AJ$501,$BJ39)))</f>
        <v/>
      </c>
      <c r="AI39" s="6">
        <f>IF(OR($BJ39="",34&gt;設定!$B$3),"",IF(INDEX(原始資料!AK$2:AK$501,$BJ39)="","",INDEX(原始資料!AK$2:AK$501,$BJ39)))</f>
        <v/>
      </c>
      <c r="AJ39" s="6">
        <f>IF(OR($BJ39="",35&gt;設定!$B$3),"",IF(INDEX(原始資料!AL$2:AL$501,$BJ39)="","",INDEX(原始資料!AL$2:AL$501,$BJ39)))</f>
        <v/>
      </c>
      <c r="AK39" s="6">
        <f>IF(OR($BJ39="",36&gt;設定!$B$3),"",IF(INDEX(原始資料!AM$2:AM$501,$BJ39)="","",INDEX(原始資料!AM$2:AM$501,$BJ39)))</f>
        <v/>
      </c>
      <c r="AL39" s="6">
        <f>IF(OR($BJ39="",37&gt;設定!$B$3),"",IF(INDEX(原始資料!AN$2:AN$501,$BJ39)="","",INDEX(原始資料!AN$2:AN$501,$BJ39)))</f>
        <v/>
      </c>
      <c r="AM39" s="6">
        <f>IF(OR($BJ39="",38&gt;設定!$B$3),"",IF(INDEX(原始資料!AO$2:AO$501,$BJ39)="","",INDEX(原始資料!AO$2:AO$501,$BJ39)))</f>
        <v/>
      </c>
      <c r="AN39" s="6">
        <f>IF(OR($BJ39="",39&gt;設定!$B$3),"",IF(INDEX(原始資料!AP$2:AP$501,$BJ39)="","",INDEX(原始資料!AP$2:AP$501,$BJ39)))</f>
        <v/>
      </c>
      <c r="AO39" s="6">
        <f>IF(OR($BJ39="",40&gt;設定!$B$3),"",IF(INDEX(原始資料!AQ$2:AQ$501,$BJ39)="","",INDEX(原始資料!AQ$2:AQ$501,$BJ39)))</f>
        <v/>
      </c>
      <c r="AP39" s="6">
        <f>IF(OR($BJ39="",41&gt;設定!$B$3),"",IF(INDEX(原始資料!AR$2:AR$501,$BJ39)="","",INDEX(原始資料!AR$2:AR$501,$BJ39)))</f>
        <v/>
      </c>
      <c r="AQ39" s="6">
        <f>IF(OR($BJ39="",42&gt;設定!$B$3),"",IF(INDEX(原始資料!AS$2:AS$501,$BJ39)="","",INDEX(原始資料!AS$2:AS$501,$BJ39)))</f>
        <v/>
      </c>
      <c r="AR39" s="6">
        <f>IF(OR($BJ39="",43&gt;設定!$B$3),"",IF(INDEX(原始資料!AT$2:AT$501,$BJ39)="","",INDEX(原始資料!AT$2:AT$501,$BJ39)))</f>
        <v/>
      </c>
      <c r="AS39" s="6">
        <f>IF(OR($BJ39="",44&gt;設定!$B$3),"",IF(INDEX(原始資料!AU$2:AU$501,$BJ39)="","",INDEX(原始資料!AU$2:AU$501,$BJ39)))</f>
        <v/>
      </c>
      <c r="AT39" s="6">
        <f>IF(OR($BJ39="",45&gt;設定!$B$3),"",IF(INDEX(原始資料!AV$2:AV$501,$BJ39)="","",INDEX(原始資料!AV$2:AV$501,$BJ39)))</f>
        <v/>
      </c>
      <c r="AU39" s="6">
        <f>IF(OR($BJ39="",46&gt;設定!$B$3),"",IF(INDEX(原始資料!AW$2:AW$501,$BJ39)="","",INDEX(原始資料!AW$2:AW$501,$BJ39)))</f>
        <v/>
      </c>
      <c r="AV39" s="6">
        <f>IF(OR($BJ39="",47&gt;設定!$B$3),"",IF(INDEX(原始資料!AX$2:AX$501,$BJ39)="","",INDEX(原始資料!AX$2:AX$501,$BJ39)))</f>
        <v/>
      </c>
      <c r="AW39" s="6">
        <f>IF(OR($BJ39="",48&gt;設定!$B$3),"",IF(INDEX(原始資料!AY$2:AY$501,$BJ39)="","",INDEX(原始資料!AY$2:AY$501,$BJ39)))</f>
        <v/>
      </c>
      <c r="AX39" s="6">
        <f>IF(OR($BJ39="",49&gt;設定!$B$3),"",IF(INDEX(原始資料!AZ$2:AZ$501,$BJ39)="","",INDEX(原始資料!AZ$2:AZ$501,$BJ39)))</f>
        <v/>
      </c>
      <c r="AY39" s="6">
        <f>IF(OR($BJ39="",50&gt;設定!$B$3),"",IF(INDEX(原始資料!BA$2:BA$501,$BJ39)="","",INDEX(原始資料!BA$2:BA$501,$BJ39)))</f>
        <v/>
      </c>
      <c r="AZ39" s="6">
        <f>IF(OR($BJ39="",51&gt;設定!$B$3),"",IF(INDEX(原始資料!BB$2:BB$501,$BJ39)="","",INDEX(原始資料!BB$2:BB$501,$BJ39)))</f>
        <v/>
      </c>
      <c r="BA39" s="6">
        <f>IF(OR($BJ39="",52&gt;設定!$B$3),"",IF(INDEX(原始資料!BC$2:BC$501,$BJ39)="","",INDEX(原始資料!BC$2:BC$501,$BJ39)))</f>
        <v/>
      </c>
      <c r="BB39" s="6">
        <f>IF(OR($BJ39="",53&gt;設定!$B$3),"",IF(INDEX(原始資料!BD$2:BD$501,$BJ39)="","",INDEX(原始資料!BD$2:BD$501,$BJ39)))</f>
        <v/>
      </c>
      <c r="BC39" s="6">
        <f>IF(OR($BJ39="",54&gt;設定!$B$3),"",IF(INDEX(原始資料!BE$2:BE$501,$BJ39)="","",INDEX(原始資料!BE$2:BE$501,$BJ39)))</f>
        <v/>
      </c>
      <c r="BD39" s="6">
        <f>IF(OR($BJ39="",55&gt;設定!$B$3),"",IF(INDEX(原始資料!BF$2:BF$501,$BJ39)="","",INDEX(原始資料!BF$2:BF$501,$BJ39)))</f>
        <v/>
      </c>
      <c r="BE39" s="6">
        <f>IF(OR($BJ39="",56&gt;設定!$B$3),"",IF(INDEX(原始資料!BG$2:BG$501,$BJ39)="","",INDEX(原始資料!BG$2:BG$501,$BJ39)))</f>
        <v/>
      </c>
      <c r="BF39" s="6">
        <f>IF(OR($BJ39="",57&gt;設定!$B$3),"",IF(INDEX(原始資料!BH$2:BH$501,$BJ39)="","",INDEX(原始資料!BH$2:BH$501,$BJ39)))</f>
        <v/>
      </c>
      <c r="BG39" s="6">
        <f>IF(OR($BJ39="",58&gt;設定!$B$3),"",IF(INDEX(原始資料!BI$2:BI$501,$BJ39)="","",INDEX(原始資料!BI$2:BI$501,$BJ39)))</f>
        <v/>
      </c>
      <c r="BH39" s="6">
        <f>IF(OR($BJ39="",59&gt;設定!$B$3),"",IF(INDEX(原始資料!BJ$2:BJ$501,$BJ39)="","",INDEX(原始資料!BJ$2:BJ$501,$BJ39)))</f>
        <v/>
      </c>
      <c r="BI39" s="6">
        <f>IF(OR($BJ39="",60&gt;設定!$B$3),"",IF(INDEX(原始資料!BK$2:BK$501,$BJ39)="","",INDEX(原始資料!BK$2:BK$501,$BJ39)))</f>
        <v/>
      </c>
      <c r="BJ39" s="6">
        <f>IFERROR(MATCH(ROW()-1,判定!$H$2:$H$501,0),"")</f>
        <v/>
      </c>
    </row>
    <row r="40">
      <c r="A40" s="6">
        <f>IF($BJ40="","",INDEX(原始資料!$A$2:$A$501,$BJ40))</f>
        <v/>
      </c>
      <c r="B40" s="6">
        <f>IF(OR($BJ40="",1&gt;設定!$B$3),"",IF(INDEX(原始資料!D$2:D$501,$BJ40)="","",INDEX(原始資料!D$2:D$501,$BJ40)))</f>
        <v/>
      </c>
      <c r="C40" s="6">
        <f>IF(OR($BJ40="",2&gt;設定!$B$3),"",IF(INDEX(原始資料!E$2:E$501,$BJ40)="","",INDEX(原始資料!E$2:E$501,$BJ40)))</f>
        <v/>
      </c>
      <c r="D40" s="6">
        <f>IF(OR($BJ40="",3&gt;設定!$B$3),"",IF(INDEX(原始資料!F$2:F$501,$BJ40)="","",INDEX(原始資料!F$2:F$501,$BJ40)))</f>
        <v/>
      </c>
      <c r="E40" s="6">
        <f>IF(OR($BJ40="",4&gt;設定!$B$3),"",IF(INDEX(原始資料!G$2:G$501,$BJ40)="","",INDEX(原始資料!G$2:G$501,$BJ40)))</f>
        <v/>
      </c>
      <c r="F40" s="6">
        <f>IF(OR($BJ40="",5&gt;設定!$B$3),"",IF(INDEX(原始資料!H$2:H$501,$BJ40)="","",INDEX(原始資料!H$2:H$501,$BJ40)))</f>
        <v/>
      </c>
      <c r="G40" s="6">
        <f>IF(OR($BJ40="",6&gt;設定!$B$3),"",IF(INDEX(原始資料!I$2:I$501,$BJ40)="","",INDEX(原始資料!I$2:I$501,$BJ40)))</f>
        <v/>
      </c>
      <c r="H40" s="6">
        <f>IF(OR($BJ40="",7&gt;設定!$B$3),"",IF(INDEX(原始資料!J$2:J$501,$BJ40)="","",INDEX(原始資料!J$2:J$501,$BJ40)))</f>
        <v/>
      </c>
      <c r="I40" s="6">
        <f>IF(OR($BJ40="",8&gt;設定!$B$3),"",IF(INDEX(原始資料!K$2:K$501,$BJ40)="","",INDEX(原始資料!K$2:K$501,$BJ40)))</f>
        <v/>
      </c>
      <c r="J40" s="6">
        <f>IF(OR($BJ40="",9&gt;設定!$B$3),"",IF(INDEX(原始資料!L$2:L$501,$BJ40)="","",INDEX(原始資料!L$2:L$501,$BJ40)))</f>
        <v/>
      </c>
      <c r="K40" s="6">
        <f>IF(OR($BJ40="",10&gt;設定!$B$3),"",IF(INDEX(原始資料!M$2:M$501,$BJ40)="","",INDEX(原始資料!M$2:M$501,$BJ40)))</f>
        <v/>
      </c>
      <c r="L40" s="6">
        <f>IF(OR($BJ40="",11&gt;設定!$B$3),"",IF(INDEX(原始資料!N$2:N$501,$BJ40)="","",INDEX(原始資料!N$2:N$501,$BJ40)))</f>
        <v/>
      </c>
      <c r="M40" s="6">
        <f>IF(OR($BJ40="",12&gt;設定!$B$3),"",IF(INDEX(原始資料!O$2:O$501,$BJ40)="","",INDEX(原始資料!O$2:O$501,$BJ40)))</f>
        <v/>
      </c>
      <c r="N40" s="6">
        <f>IF(OR($BJ40="",13&gt;設定!$B$3),"",IF(INDEX(原始資料!P$2:P$501,$BJ40)="","",INDEX(原始資料!P$2:P$501,$BJ40)))</f>
        <v/>
      </c>
      <c r="O40" s="6">
        <f>IF(OR($BJ40="",14&gt;設定!$B$3),"",IF(INDEX(原始資料!Q$2:Q$501,$BJ40)="","",INDEX(原始資料!Q$2:Q$501,$BJ40)))</f>
        <v/>
      </c>
      <c r="P40" s="6">
        <f>IF(OR($BJ40="",15&gt;設定!$B$3),"",IF(INDEX(原始資料!R$2:R$501,$BJ40)="","",INDEX(原始資料!R$2:R$501,$BJ40)))</f>
        <v/>
      </c>
      <c r="Q40" s="6">
        <f>IF(OR($BJ40="",16&gt;設定!$B$3),"",IF(INDEX(原始資料!S$2:S$501,$BJ40)="","",INDEX(原始資料!S$2:S$501,$BJ40)))</f>
        <v/>
      </c>
      <c r="R40" s="6">
        <f>IF(OR($BJ40="",17&gt;設定!$B$3),"",IF(INDEX(原始資料!T$2:T$501,$BJ40)="","",INDEX(原始資料!T$2:T$501,$BJ40)))</f>
        <v/>
      </c>
      <c r="S40" s="6">
        <f>IF(OR($BJ40="",18&gt;設定!$B$3),"",IF(INDEX(原始資料!U$2:U$501,$BJ40)="","",INDEX(原始資料!U$2:U$501,$BJ40)))</f>
        <v/>
      </c>
      <c r="T40" s="6">
        <f>IF(OR($BJ40="",19&gt;設定!$B$3),"",IF(INDEX(原始資料!V$2:V$501,$BJ40)="","",INDEX(原始資料!V$2:V$501,$BJ40)))</f>
        <v/>
      </c>
      <c r="U40" s="6">
        <f>IF(OR($BJ40="",20&gt;設定!$B$3),"",IF(INDEX(原始資料!W$2:W$501,$BJ40)="","",INDEX(原始資料!W$2:W$501,$BJ40)))</f>
        <v/>
      </c>
      <c r="V40" s="6">
        <f>IF(OR($BJ40="",21&gt;設定!$B$3),"",IF(INDEX(原始資料!X$2:X$501,$BJ40)="","",INDEX(原始資料!X$2:X$501,$BJ40)))</f>
        <v/>
      </c>
      <c r="W40" s="6">
        <f>IF(OR($BJ40="",22&gt;設定!$B$3),"",IF(INDEX(原始資料!Y$2:Y$501,$BJ40)="","",INDEX(原始資料!Y$2:Y$501,$BJ40)))</f>
        <v/>
      </c>
      <c r="X40" s="6">
        <f>IF(OR($BJ40="",23&gt;設定!$B$3),"",IF(INDEX(原始資料!Z$2:Z$501,$BJ40)="","",INDEX(原始資料!Z$2:Z$501,$BJ40)))</f>
        <v/>
      </c>
      <c r="Y40" s="6">
        <f>IF(OR($BJ40="",24&gt;設定!$B$3),"",IF(INDEX(原始資料!AA$2:AA$501,$BJ40)="","",INDEX(原始資料!AA$2:AA$501,$BJ40)))</f>
        <v/>
      </c>
      <c r="Z40" s="6">
        <f>IF(OR($BJ40="",25&gt;設定!$B$3),"",IF(INDEX(原始資料!AB$2:AB$501,$BJ40)="","",INDEX(原始資料!AB$2:AB$501,$BJ40)))</f>
        <v/>
      </c>
      <c r="AA40" s="6">
        <f>IF(OR($BJ40="",26&gt;設定!$B$3),"",IF(INDEX(原始資料!AC$2:AC$501,$BJ40)="","",INDEX(原始資料!AC$2:AC$501,$BJ40)))</f>
        <v/>
      </c>
      <c r="AB40" s="6">
        <f>IF(OR($BJ40="",27&gt;設定!$B$3),"",IF(INDEX(原始資料!AD$2:AD$501,$BJ40)="","",INDEX(原始資料!AD$2:AD$501,$BJ40)))</f>
        <v/>
      </c>
      <c r="AC40" s="6">
        <f>IF(OR($BJ40="",28&gt;設定!$B$3),"",IF(INDEX(原始資料!AE$2:AE$501,$BJ40)="","",INDEX(原始資料!AE$2:AE$501,$BJ40)))</f>
        <v/>
      </c>
      <c r="AD40" s="6">
        <f>IF(OR($BJ40="",29&gt;設定!$B$3),"",IF(INDEX(原始資料!AF$2:AF$501,$BJ40)="","",INDEX(原始資料!AF$2:AF$501,$BJ40)))</f>
        <v/>
      </c>
      <c r="AE40" s="6">
        <f>IF(OR($BJ40="",30&gt;設定!$B$3),"",IF(INDEX(原始資料!AG$2:AG$501,$BJ40)="","",INDEX(原始資料!AG$2:AG$501,$BJ40)))</f>
        <v/>
      </c>
      <c r="AF40" s="6">
        <f>IF(OR($BJ40="",31&gt;設定!$B$3),"",IF(INDEX(原始資料!AH$2:AH$501,$BJ40)="","",INDEX(原始資料!AH$2:AH$501,$BJ40)))</f>
        <v/>
      </c>
      <c r="AG40" s="6">
        <f>IF(OR($BJ40="",32&gt;設定!$B$3),"",IF(INDEX(原始資料!AI$2:AI$501,$BJ40)="","",INDEX(原始資料!AI$2:AI$501,$BJ40)))</f>
        <v/>
      </c>
      <c r="AH40" s="6">
        <f>IF(OR($BJ40="",33&gt;設定!$B$3),"",IF(INDEX(原始資料!AJ$2:AJ$501,$BJ40)="","",INDEX(原始資料!AJ$2:AJ$501,$BJ40)))</f>
        <v/>
      </c>
      <c r="AI40" s="6">
        <f>IF(OR($BJ40="",34&gt;設定!$B$3),"",IF(INDEX(原始資料!AK$2:AK$501,$BJ40)="","",INDEX(原始資料!AK$2:AK$501,$BJ40)))</f>
        <v/>
      </c>
      <c r="AJ40" s="6">
        <f>IF(OR($BJ40="",35&gt;設定!$B$3),"",IF(INDEX(原始資料!AL$2:AL$501,$BJ40)="","",INDEX(原始資料!AL$2:AL$501,$BJ40)))</f>
        <v/>
      </c>
      <c r="AK40" s="6">
        <f>IF(OR($BJ40="",36&gt;設定!$B$3),"",IF(INDEX(原始資料!AM$2:AM$501,$BJ40)="","",INDEX(原始資料!AM$2:AM$501,$BJ40)))</f>
        <v/>
      </c>
      <c r="AL40" s="6">
        <f>IF(OR($BJ40="",37&gt;設定!$B$3),"",IF(INDEX(原始資料!AN$2:AN$501,$BJ40)="","",INDEX(原始資料!AN$2:AN$501,$BJ40)))</f>
        <v/>
      </c>
      <c r="AM40" s="6">
        <f>IF(OR($BJ40="",38&gt;設定!$B$3),"",IF(INDEX(原始資料!AO$2:AO$501,$BJ40)="","",INDEX(原始資料!AO$2:AO$501,$BJ40)))</f>
        <v/>
      </c>
      <c r="AN40" s="6">
        <f>IF(OR($BJ40="",39&gt;設定!$B$3),"",IF(INDEX(原始資料!AP$2:AP$501,$BJ40)="","",INDEX(原始資料!AP$2:AP$501,$BJ40)))</f>
        <v/>
      </c>
      <c r="AO40" s="6">
        <f>IF(OR($BJ40="",40&gt;設定!$B$3),"",IF(INDEX(原始資料!AQ$2:AQ$501,$BJ40)="","",INDEX(原始資料!AQ$2:AQ$501,$BJ40)))</f>
        <v/>
      </c>
      <c r="AP40" s="6">
        <f>IF(OR($BJ40="",41&gt;設定!$B$3),"",IF(INDEX(原始資料!AR$2:AR$501,$BJ40)="","",INDEX(原始資料!AR$2:AR$501,$BJ40)))</f>
        <v/>
      </c>
      <c r="AQ40" s="6">
        <f>IF(OR($BJ40="",42&gt;設定!$B$3),"",IF(INDEX(原始資料!AS$2:AS$501,$BJ40)="","",INDEX(原始資料!AS$2:AS$501,$BJ40)))</f>
        <v/>
      </c>
      <c r="AR40" s="6">
        <f>IF(OR($BJ40="",43&gt;設定!$B$3),"",IF(INDEX(原始資料!AT$2:AT$501,$BJ40)="","",INDEX(原始資料!AT$2:AT$501,$BJ40)))</f>
        <v/>
      </c>
      <c r="AS40" s="6">
        <f>IF(OR($BJ40="",44&gt;設定!$B$3),"",IF(INDEX(原始資料!AU$2:AU$501,$BJ40)="","",INDEX(原始資料!AU$2:AU$501,$BJ40)))</f>
        <v/>
      </c>
      <c r="AT40" s="6">
        <f>IF(OR($BJ40="",45&gt;設定!$B$3),"",IF(INDEX(原始資料!AV$2:AV$501,$BJ40)="","",INDEX(原始資料!AV$2:AV$501,$BJ40)))</f>
        <v/>
      </c>
      <c r="AU40" s="6">
        <f>IF(OR($BJ40="",46&gt;設定!$B$3),"",IF(INDEX(原始資料!AW$2:AW$501,$BJ40)="","",INDEX(原始資料!AW$2:AW$501,$BJ40)))</f>
        <v/>
      </c>
      <c r="AV40" s="6">
        <f>IF(OR($BJ40="",47&gt;設定!$B$3),"",IF(INDEX(原始資料!AX$2:AX$501,$BJ40)="","",INDEX(原始資料!AX$2:AX$501,$BJ40)))</f>
        <v/>
      </c>
      <c r="AW40" s="6">
        <f>IF(OR($BJ40="",48&gt;設定!$B$3),"",IF(INDEX(原始資料!AY$2:AY$501,$BJ40)="","",INDEX(原始資料!AY$2:AY$501,$BJ40)))</f>
        <v/>
      </c>
      <c r="AX40" s="6">
        <f>IF(OR($BJ40="",49&gt;設定!$B$3),"",IF(INDEX(原始資料!AZ$2:AZ$501,$BJ40)="","",INDEX(原始資料!AZ$2:AZ$501,$BJ40)))</f>
        <v/>
      </c>
      <c r="AY40" s="6">
        <f>IF(OR($BJ40="",50&gt;設定!$B$3),"",IF(INDEX(原始資料!BA$2:BA$501,$BJ40)="","",INDEX(原始資料!BA$2:BA$501,$BJ40)))</f>
        <v/>
      </c>
      <c r="AZ40" s="6">
        <f>IF(OR($BJ40="",51&gt;設定!$B$3),"",IF(INDEX(原始資料!BB$2:BB$501,$BJ40)="","",INDEX(原始資料!BB$2:BB$501,$BJ40)))</f>
        <v/>
      </c>
      <c r="BA40" s="6">
        <f>IF(OR($BJ40="",52&gt;設定!$B$3),"",IF(INDEX(原始資料!BC$2:BC$501,$BJ40)="","",INDEX(原始資料!BC$2:BC$501,$BJ40)))</f>
        <v/>
      </c>
      <c r="BB40" s="6">
        <f>IF(OR($BJ40="",53&gt;設定!$B$3),"",IF(INDEX(原始資料!BD$2:BD$501,$BJ40)="","",INDEX(原始資料!BD$2:BD$501,$BJ40)))</f>
        <v/>
      </c>
      <c r="BC40" s="6">
        <f>IF(OR($BJ40="",54&gt;設定!$B$3),"",IF(INDEX(原始資料!BE$2:BE$501,$BJ40)="","",INDEX(原始資料!BE$2:BE$501,$BJ40)))</f>
        <v/>
      </c>
      <c r="BD40" s="6">
        <f>IF(OR($BJ40="",55&gt;設定!$B$3),"",IF(INDEX(原始資料!BF$2:BF$501,$BJ40)="","",INDEX(原始資料!BF$2:BF$501,$BJ40)))</f>
        <v/>
      </c>
      <c r="BE40" s="6">
        <f>IF(OR($BJ40="",56&gt;設定!$B$3),"",IF(INDEX(原始資料!BG$2:BG$501,$BJ40)="","",INDEX(原始資料!BG$2:BG$501,$BJ40)))</f>
        <v/>
      </c>
      <c r="BF40" s="6">
        <f>IF(OR($BJ40="",57&gt;設定!$B$3),"",IF(INDEX(原始資料!BH$2:BH$501,$BJ40)="","",INDEX(原始資料!BH$2:BH$501,$BJ40)))</f>
        <v/>
      </c>
      <c r="BG40" s="6">
        <f>IF(OR($BJ40="",58&gt;設定!$B$3),"",IF(INDEX(原始資料!BI$2:BI$501,$BJ40)="","",INDEX(原始資料!BI$2:BI$501,$BJ40)))</f>
        <v/>
      </c>
      <c r="BH40" s="6">
        <f>IF(OR($BJ40="",59&gt;設定!$B$3),"",IF(INDEX(原始資料!BJ$2:BJ$501,$BJ40)="","",INDEX(原始資料!BJ$2:BJ$501,$BJ40)))</f>
        <v/>
      </c>
      <c r="BI40" s="6">
        <f>IF(OR($BJ40="",60&gt;設定!$B$3),"",IF(INDEX(原始資料!BK$2:BK$501,$BJ40)="","",INDEX(原始資料!BK$2:BK$501,$BJ40)))</f>
        <v/>
      </c>
      <c r="BJ40" s="6">
        <f>IFERROR(MATCH(ROW()-1,判定!$H$2:$H$501,0),"")</f>
        <v/>
      </c>
    </row>
    <row r="41">
      <c r="A41" s="6">
        <f>IF($BJ41="","",INDEX(原始資料!$A$2:$A$501,$BJ41))</f>
        <v/>
      </c>
      <c r="B41" s="6">
        <f>IF(OR($BJ41="",1&gt;設定!$B$3),"",IF(INDEX(原始資料!D$2:D$501,$BJ41)="","",INDEX(原始資料!D$2:D$501,$BJ41)))</f>
        <v/>
      </c>
      <c r="C41" s="6">
        <f>IF(OR($BJ41="",2&gt;設定!$B$3),"",IF(INDEX(原始資料!E$2:E$501,$BJ41)="","",INDEX(原始資料!E$2:E$501,$BJ41)))</f>
        <v/>
      </c>
      <c r="D41" s="6">
        <f>IF(OR($BJ41="",3&gt;設定!$B$3),"",IF(INDEX(原始資料!F$2:F$501,$BJ41)="","",INDEX(原始資料!F$2:F$501,$BJ41)))</f>
        <v/>
      </c>
      <c r="E41" s="6">
        <f>IF(OR($BJ41="",4&gt;設定!$B$3),"",IF(INDEX(原始資料!G$2:G$501,$BJ41)="","",INDEX(原始資料!G$2:G$501,$BJ41)))</f>
        <v/>
      </c>
      <c r="F41" s="6">
        <f>IF(OR($BJ41="",5&gt;設定!$B$3),"",IF(INDEX(原始資料!H$2:H$501,$BJ41)="","",INDEX(原始資料!H$2:H$501,$BJ41)))</f>
        <v/>
      </c>
      <c r="G41" s="6">
        <f>IF(OR($BJ41="",6&gt;設定!$B$3),"",IF(INDEX(原始資料!I$2:I$501,$BJ41)="","",INDEX(原始資料!I$2:I$501,$BJ41)))</f>
        <v/>
      </c>
      <c r="H41" s="6">
        <f>IF(OR($BJ41="",7&gt;設定!$B$3),"",IF(INDEX(原始資料!J$2:J$501,$BJ41)="","",INDEX(原始資料!J$2:J$501,$BJ41)))</f>
        <v/>
      </c>
      <c r="I41" s="6">
        <f>IF(OR($BJ41="",8&gt;設定!$B$3),"",IF(INDEX(原始資料!K$2:K$501,$BJ41)="","",INDEX(原始資料!K$2:K$501,$BJ41)))</f>
        <v/>
      </c>
      <c r="J41" s="6">
        <f>IF(OR($BJ41="",9&gt;設定!$B$3),"",IF(INDEX(原始資料!L$2:L$501,$BJ41)="","",INDEX(原始資料!L$2:L$501,$BJ41)))</f>
        <v/>
      </c>
      <c r="K41" s="6">
        <f>IF(OR($BJ41="",10&gt;設定!$B$3),"",IF(INDEX(原始資料!M$2:M$501,$BJ41)="","",INDEX(原始資料!M$2:M$501,$BJ41)))</f>
        <v/>
      </c>
      <c r="L41" s="6">
        <f>IF(OR($BJ41="",11&gt;設定!$B$3),"",IF(INDEX(原始資料!N$2:N$501,$BJ41)="","",INDEX(原始資料!N$2:N$501,$BJ41)))</f>
        <v/>
      </c>
      <c r="M41" s="6">
        <f>IF(OR($BJ41="",12&gt;設定!$B$3),"",IF(INDEX(原始資料!O$2:O$501,$BJ41)="","",INDEX(原始資料!O$2:O$501,$BJ41)))</f>
        <v/>
      </c>
      <c r="N41" s="6">
        <f>IF(OR($BJ41="",13&gt;設定!$B$3),"",IF(INDEX(原始資料!P$2:P$501,$BJ41)="","",INDEX(原始資料!P$2:P$501,$BJ41)))</f>
        <v/>
      </c>
      <c r="O41" s="6">
        <f>IF(OR($BJ41="",14&gt;設定!$B$3),"",IF(INDEX(原始資料!Q$2:Q$501,$BJ41)="","",INDEX(原始資料!Q$2:Q$501,$BJ41)))</f>
        <v/>
      </c>
      <c r="P41" s="6">
        <f>IF(OR($BJ41="",15&gt;設定!$B$3),"",IF(INDEX(原始資料!R$2:R$501,$BJ41)="","",INDEX(原始資料!R$2:R$501,$BJ41)))</f>
        <v/>
      </c>
      <c r="Q41" s="6">
        <f>IF(OR($BJ41="",16&gt;設定!$B$3),"",IF(INDEX(原始資料!S$2:S$501,$BJ41)="","",INDEX(原始資料!S$2:S$501,$BJ41)))</f>
        <v/>
      </c>
      <c r="R41" s="6">
        <f>IF(OR($BJ41="",17&gt;設定!$B$3),"",IF(INDEX(原始資料!T$2:T$501,$BJ41)="","",INDEX(原始資料!T$2:T$501,$BJ41)))</f>
        <v/>
      </c>
      <c r="S41" s="6">
        <f>IF(OR($BJ41="",18&gt;設定!$B$3),"",IF(INDEX(原始資料!U$2:U$501,$BJ41)="","",INDEX(原始資料!U$2:U$501,$BJ41)))</f>
        <v/>
      </c>
      <c r="T41" s="6">
        <f>IF(OR($BJ41="",19&gt;設定!$B$3),"",IF(INDEX(原始資料!V$2:V$501,$BJ41)="","",INDEX(原始資料!V$2:V$501,$BJ41)))</f>
        <v/>
      </c>
      <c r="U41" s="6">
        <f>IF(OR($BJ41="",20&gt;設定!$B$3),"",IF(INDEX(原始資料!W$2:W$501,$BJ41)="","",INDEX(原始資料!W$2:W$501,$BJ41)))</f>
        <v/>
      </c>
      <c r="V41" s="6">
        <f>IF(OR($BJ41="",21&gt;設定!$B$3),"",IF(INDEX(原始資料!X$2:X$501,$BJ41)="","",INDEX(原始資料!X$2:X$501,$BJ41)))</f>
        <v/>
      </c>
      <c r="W41" s="6">
        <f>IF(OR($BJ41="",22&gt;設定!$B$3),"",IF(INDEX(原始資料!Y$2:Y$501,$BJ41)="","",INDEX(原始資料!Y$2:Y$501,$BJ41)))</f>
        <v/>
      </c>
      <c r="X41" s="6">
        <f>IF(OR($BJ41="",23&gt;設定!$B$3),"",IF(INDEX(原始資料!Z$2:Z$501,$BJ41)="","",INDEX(原始資料!Z$2:Z$501,$BJ41)))</f>
        <v/>
      </c>
      <c r="Y41" s="6">
        <f>IF(OR($BJ41="",24&gt;設定!$B$3),"",IF(INDEX(原始資料!AA$2:AA$501,$BJ41)="","",INDEX(原始資料!AA$2:AA$501,$BJ41)))</f>
        <v/>
      </c>
      <c r="Z41" s="6">
        <f>IF(OR($BJ41="",25&gt;設定!$B$3),"",IF(INDEX(原始資料!AB$2:AB$501,$BJ41)="","",INDEX(原始資料!AB$2:AB$501,$BJ41)))</f>
        <v/>
      </c>
      <c r="AA41" s="6">
        <f>IF(OR($BJ41="",26&gt;設定!$B$3),"",IF(INDEX(原始資料!AC$2:AC$501,$BJ41)="","",INDEX(原始資料!AC$2:AC$501,$BJ41)))</f>
        <v/>
      </c>
      <c r="AB41" s="6">
        <f>IF(OR($BJ41="",27&gt;設定!$B$3),"",IF(INDEX(原始資料!AD$2:AD$501,$BJ41)="","",INDEX(原始資料!AD$2:AD$501,$BJ41)))</f>
        <v/>
      </c>
      <c r="AC41" s="6">
        <f>IF(OR($BJ41="",28&gt;設定!$B$3),"",IF(INDEX(原始資料!AE$2:AE$501,$BJ41)="","",INDEX(原始資料!AE$2:AE$501,$BJ41)))</f>
        <v/>
      </c>
      <c r="AD41" s="6">
        <f>IF(OR($BJ41="",29&gt;設定!$B$3),"",IF(INDEX(原始資料!AF$2:AF$501,$BJ41)="","",INDEX(原始資料!AF$2:AF$501,$BJ41)))</f>
        <v/>
      </c>
      <c r="AE41" s="6">
        <f>IF(OR($BJ41="",30&gt;設定!$B$3),"",IF(INDEX(原始資料!AG$2:AG$501,$BJ41)="","",INDEX(原始資料!AG$2:AG$501,$BJ41)))</f>
        <v/>
      </c>
      <c r="AF41" s="6">
        <f>IF(OR($BJ41="",31&gt;設定!$B$3),"",IF(INDEX(原始資料!AH$2:AH$501,$BJ41)="","",INDEX(原始資料!AH$2:AH$501,$BJ41)))</f>
        <v/>
      </c>
      <c r="AG41" s="6">
        <f>IF(OR($BJ41="",32&gt;設定!$B$3),"",IF(INDEX(原始資料!AI$2:AI$501,$BJ41)="","",INDEX(原始資料!AI$2:AI$501,$BJ41)))</f>
        <v/>
      </c>
      <c r="AH41" s="6">
        <f>IF(OR($BJ41="",33&gt;設定!$B$3),"",IF(INDEX(原始資料!AJ$2:AJ$501,$BJ41)="","",INDEX(原始資料!AJ$2:AJ$501,$BJ41)))</f>
        <v/>
      </c>
      <c r="AI41" s="6">
        <f>IF(OR($BJ41="",34&gt;設定!$B$3),"",IF(INDEX(原始資料!AK$2:AK$501,$BJ41)="","",INDEX(原始資料!AK$2:AK$501,$BJ41)))</f>
        <v/>
      </c>
      <c r="AJ41" s="6">
        <f>IF(OR($BJ41="",35&gt;設定!$B$3),"",IF(INDEX(原始資料!AL$2:AL$501,$BJ41)="","",INDEX(原始資料!AL$2:AL$501,$BJ41)))</f>
        <v/>
      </c>
      <c r="AK41" s="6">
        <f>IF(OR($BJ41="",36&gt;設定!$B$3),"",IF(INDEX(原始資料!AM$2:AM$501,$BJ41)="","",INDEX(原始資料!AM$2:AM$501,$BJ41)))</f>
        <v/>
      </c>
      <c r="AL41" s="6">
        <f>IF(OR($BJ41="",37&gt;設定!$B$3),"",IF(INDEX(原始資料!AN$2:AN$501,$BJ41)="","",INDEX(原始資料!AN$2:AN$501,$BJ41)))</f>
        <v/>
      </c>
      <c r="AM41" s="6">
        <f>IF(OR($BJ41="",38&gt;設定!$B$3),"",IF(INDEX(原始資料!AO$2:AO$501,$BJ41)="","",INDEX(原始資料!AO$2:AO$501,$BJ41)))</f>
        <v/>
      </c>
      <c r="AN41" s="6">
        <f>IF(OR($BJ41="",39&gt;設定!$B$3),"",IF(INDEX(原始資料!AP$2:AP$501,$BJ41)="","",INDEX(原始資料!AP$2:AP$501,$BJ41)))</f>
        <v/>
      </c>
      <c r="AO41" s="6">
        <f>IF(OR($BJ41="",40&gt;設定!$B$3),"",IF(INDEX(原始資料!AQ$2:AQ$501,$BJ41)="","",INDEX(原始資料!AQ$2:AQ$501,$BJ41)))</f>
        <v/>
      </c>
      <c r="AP41" s="6">
        <f>IF(OR($BJ41="",41&gt;設定!$B$3),"",IF(INDEX(原始資料!AR$2:AR$501,$BJ41)="","",INDEX(原始資料!AR$2:AR$501,$BJ41)))</f>
        <v/>
      </c>
      <c r="AQ41" s="6">
        <f>IF(OR($BJ41="",42&gt;設定!$B$3),"",IF(INDEX(原始資料!AS$2:AS$501,$BJ41)="","",INDEX(原始資料!AS$2:AS$501,$BJ41)))</f>
        <v/>
      </c>
      <c r="AR41" s="6">
        <f>IF(OR($BJ41="",43&gt;設定!$B$3),"",IF(INDEX(原始資料!AT$2:AT$501,$BJ41)="","",INDEX(原始資料!AT$2:AT$501,$BJ41)))</f>
        <v/>
      </c>
      <c r="AS41" s="6">
        <f>IF(OR($BJ41="",44&gt;設定!$B$3),"",IF(INDEX(原始資料!AU$2:AU$501,$BJ41)="","",INDEX(原始資料!AU$2:AU$501,$BJ41)))</f>
        <v/>
      </c>
      <c r="AT41" s="6">
        <f>IF(OR($BJ41="",45&gt;設定!$B$3),"",IF(INDEX(原始資料!AV$2:AV$501,$BJ41)="","",INDEX(原始資料!AV$2:AV$501,$BJ41)))</f>
        <v/>
      </c>
      <c r="AU41" s="6">
        <f>IF(OR($BJ41="",46&gt;設定!$B$3),"",IF(INDEX(原始資料!AW$2:AW$501,$BJ41)="","",INDEX(原始資料!AW$2:AW$501,$BJ41)))</f>
        <v/>
      </c>
      <c r="AV41" s="6">
        <f>IF(OR($BJ41="",47&gt;設定!$B$3),"",IF(INDEX(原始資料!AX$2:AX$501,$BJ41)="","",INDEX(原始資料!AX$2:AX$501,$BJ41)))</f>
        <v/>
      </c>
      <c r="AW41" s="6">
        <f>IF(OR($BJ41="",48&gt;設定!$B$3),"",IF(INDEX(原始資料!AY$2:AY$501,$BJ41)="","",INDEX(原始資料!AY$2:AY$501,$BJ41)))</f>
        <v/>
      </c>
      <c r="AX41" s="6">
        <f>IF(OR($BJ41="",49&gt;設定!$B$3),"",IF(INDEX(原始資料!AZ$2:AZ$501,$BJ41)="","",INDEX(原始資料!AZ$2:AZ$501,$BJ41)))</f>
        <v/>
      </c>
      <c r="AY41" s="6">
        <f>IF(OR($BJ41="",50&gt;設定!$B$3),"",IF(INDEX(原始資料!BA$2:BA$501,$BJ41)="","",INDEX(原始資料!BA$2:BA$501,$BJ41)))</f>
        <v/>
      </c>
      <c r="AZ41" s="6">
        <f>IF(OR($BJ41="",51&gt;設定!$B$3),"",IF(INDEX(原始資料!BB$2:BB$501,$BJ41)="","",INDEX(原始資料!BB$2:BB$501,$BJ41)))</f>
        <v/>
      </c>
      <c r="BA41" s="6">
        <f>IF(OR($BJ41="",52&gt;設定!$B$3),"",IF(INDEX(原始資料!BC$2:BC$501,$BJ41)="","",INDEX(原始資料!BC$2:BC$501,$BJ41)))</f>
        <v/>
      </c>
      <c r="BB41" s="6">
        <f>IF(OR($BJ41="",53&gt;設定!$B$3),"",IF(INDEX(原始資料!BD$2:BD$501,$BJ41)="","",INDEX(原始資料!BD$2:BD$501,$BJ41)))</f>
        <v/>
      </c>
      <c r="BC41" s="6">
        <f>IF(OR($BJ41="",54&gt;設定!$B$3),"",IF(INDEX(原始資料!BE$2:BE$501,$BJ41)="","",INDEX(原始資料!BE$2:BE$501,$BJ41)))</f>
        <v/>
      </c>
      <c r="BD41" s="6">
        <f>IF(OR($BJ41="",55&gt;設定!$B$3),"",IF(INDEX(原始資料!BF$2:BF$501,$BJ41)="","",INDEX(原始資料!BF$2:BF$501,$BJ41)))</f>
        <v/>
      </c>
      <c r="BE41" s="6">
        <f>IF(OR($BJ41="",56&gt;設定!$B$3),"",IF(INDEX(原始資料!BG$2:BG$501,$BJ41)="","",INDEX(原始資料!BG$2:BG$501,$BJ41)))</f>
        <v/>
      </c>
      <c r="BF41" s="6">
        <f>IF(OR($BJ41="",57&gt;設定!$B$3),"",IF(INDEX(原始資料!BH$2:BH$501,$BJ41)="","",INDEX(原始資料!BH$2:BH$501,$BJ41)))</f>
        <v/>
      </c>
      <c r="BG41" s="6">
        <f>IF(OR($BJ41="",58&gt;設定!$B$3),"",IF(INDEX(原始資料!BI$2:BI$501,$BJ41)="","",INDEX(原始資料!BI$2:BI$501,$BJ41)))</f>
        <v/>
      </c>
      <c r="BH41" s="6">
        <f>IF(OR($BJ41="",59&gt;設定!$B$3),"",IF(INDEX(原始資料!BJ$2:BJ$501,$BJ41)="","",INDEX(原始資料!BJ$2:BJ$501,$BJ41)))</f>
        <v/>
      </c>
      <c r="BI41" s="6">
        <f>IF(OR($BJ41="",60&gt;設定!$B$3),"",IF(INDEX(原始資料!BK$2:BK$501,$BJ41)="","",INDEX(原始資料!BK$2:BK$501,$BJ41)))</f>
        <v/>
      </c>
      <c r="BJ41" s="6">
        <f>IFERROR(MATCH(ROW()-1,判定!$H$2:$H$501,0),"")</f>
        <v/>
      </c>
    </row>
    <row r="42">
      <c r="A42" s="6">
        <f>IF($BJ42="","",INDEX(原始資料!$A$2:$A$501,$BJ42))</f>
        <v/>
      </c>
      <c r="B42" s="6">
        <f>IF(OR($BJ42="",1&gt;設定!$B$3),"",IF(INDEX(原始資料!D$2:D$501,$BJ42)="","",INDEX(原始資料!D$2:D$501,$BJ42)))</f>
        <v/>
      </c>
      <c r="C42" s="6">
        <f>IF(OR($BJ42="",2&gt;設定!$B$3),"",IF(INDEX(原始資料!E$2:E$501,$BJ42)="","",INDEX(原始資料!E$2:E$501,$BJ42)))</f>
        <v/>
      </c>
      <c r="D42" s="6">
        <f>IF(OR($BJ42="",3&gt;設定!$B$3),"",IF(INDEX(原始資料!F$2:F$501,$BJ42)="","",INDEX(原始資料!F$2:F$501,$BJ42)))</f>
        <v/>
      </c>
      <c r="E42" s="6">
        <f>IF(OR($BJ42="",4&gt;設定!$B$3),"",IF(INDEX(原始資料!G$2:G$501,$BJ42)="","",INDEX(原始資料!G$2:G$501,$BJ42)))</f>
        <v/>
      </c>
      <c r="F42" s="6">
        <f>IF(OR($BJ42="",5&gt;設定!$B$3),"",IF(INDEX(原始資料!H$2:H$501,$BJ42)="","",INDEX(原始資料!H$2:H$501,$BJ42)))</f>
        <v/>
      </c>
      <c r="G42" s="6">
        <f>IF(OR($BJ42="",6&gt;設定!$B$3),"",IF(INDEX(原始資料!I$2:I$501,$BJ42)="","",INDEX(原始資料!I$2:I$501,$BJ42)))</f>
        <v/>
      </c>
      <c r="H42" s="6">
        <f>IF(OR($BJ42="",7&gt;設定!$B$3),"",IF(INDEX(原始資料!J$2:J$501,$BJ42)="","",INDEX(原始資料!J$2:J$501,$BJ42)))</f>
        <v/>
      </c>
      <c r="I42" s="6">
        <f>IF(OR($BJ42="",8&gt;設定!$B$3),"",IF(INDEX(原始資料!K$2:K$501,$BJ42)="","",INDEX(原始資料!K$2:K$501,$BJ42)))</f>
        <v/>
      </c>
      <c r="J42" s="6">
        <f>IF(OR($BJ42="",9&gt;設定!$B$3),"",IF(INDEX(原始資料!L$2:L$501,$BJ42)="","",INDEX(原始資料!L$2:L$501,$BJ42)))</f>
        <v/>
      </c>
      <c r="K42" s="6">
        <f>IF(OR($BJ42="",10&gt;設定!$B$3),"",IF(INDEX(原始資料!M$2:M$501,$BJ42)="","",INDEX(原始資料!M$2:M$501,$BJ42)))</f>
        <v/>
      </c>
      <c r="L42" s="6">
        <f>IF(OR($BJ42="",11&gt;設定!$B$3),"",IF(INDEX(原始資料!N$2:N$501,$BJ42)="","",INDEX(原始資料!N$2:N$501,$BJ42)))</f>
        <v/>
      </c>
      <c r="M42" s="6">
        <f>IF(OR($BJ42="",12&gt;設定!$B$3),"",IF(INDEX(原始資料!O$2:O$501,$BJ42)="","",INDEX(原始資料!O$2:O$501,$BJ42)))</f>
        <v/>
      </c>
      <c r="N42" s="6">
        <f>IF(OR($BJ42="",13&gt;設定!$B$3),"",IF(INDEX(原始資料!P$2:P$501,$BJ42)="","",INDEX(原始資料!P$2:P$501,$BJ42)))</f>
        <v/>
      </c>
      <c r="O42" s="6">
        <f>IF(OR($BJ42="",14&gt;設定!$B$3),"",IF(INDEX(原始資料!Q$2:Q$501,$BJ42)="","",INDEX(原始資料!Q$2:Q$501,$BJ42)))</f>
        <v/>
      </c>
      <c r="P42" s="6">
        <f>IF(OR($BJ42="",15&gt;設定!$B$3),"",IF(INDEX(原始資料!R$2:R$501,$BJ42)="","",INDEX(原始資料!R$2:R$501,$BJ42)))</f>
        <v/>
      </c>
      <c r="Q42" s="6">
        <f>IF(OR($BJ42="",16&gt;設定!$B$3),"",IF(INDEX(原始資料!S$2:S$501,$BJ42)="","",INDEX(原始資料!S$2:S$501,$BJ42)))</f>
        <v/>
      </c>
      <c r="R42" s="6">
        <f>IF(OR($BJ42="",17&gt;設定!$B$3),"",IF(INDEX(原始資料!T$2:T$501,$BJ42)="","",INDEX(原始資料!T$2:T$501,$BJ42)))</f>
        <v/>
      </c>
      <c r="S42" s="6">
        <f>IF(OR($BJ42="",18&gt;設定!$B$3),"",IF(INDEX(原始資料!U$2:U$501,$BJ42)="","",INDEX(原始資料!U$2:U$501,$BJ42)))</f>
        <v/>
      </c>
      <c r="T42" s="6">
        <f>IF(OR($BJ42="",19&gt;設定!$B$3),"",IF(INDEX(原始資料!V$2:V$501,$BJ42)="","",INDEX(原始資料!V$2:V$501,$BJ42)))</f>
        <v/>
      </c>
      <c r="U42" s="6">
        <f>IF(OR($BJ42="",20&gt;設定!$B$3),"",IF(INDEX(原始資料!W$2:W$501,$BJ42)="","",INDEX(原始資料!W$2:W$501,$BJ42)))</f>
        <v/>
      </c>
      <c r="V42" s="6">
        <f>IF(OR($BJ42="",21&gt;設定!$B$3),"",IF(INDEX(原始資料!X$2:X$501,$BJ42)="","",INDEX(原始資料!X$2:X$501,$BJ42)))</f>
        <v/>
      </c>
      <c r="W42" s="6">
        <f>IF(OR($BJ42="",22&gt;設定!$B$3),"",IF(INDEX(原始資料!Y$2:Y$501,$BJ42)="","",INDEX(原始資料!Y$2:Y$501,$BJ42)))</f>
        <v/>
      </c>
      <c r="X42" s="6">
        <f>IF(OR($BJ42="",23&gt;設定!$B$3),"",IF(INDEX(原始資料!Z$2:Z$501,$BJ42)="","",INDEX(原始資料!Z$2:Z$501,$BJ42)))</f>
        <v/>
      </c>
      <c r="Y42" s="6">
        <f>IF(OR($BJ42="",24&gt;設定!$B$3),"",IF(INDEX(原始資料!AA$2:AA$501,$BJ42)="","",INDEX(原始資料!AA$2:AA$501,$BJ42)))</f>
        <v/>
      </c>
      <c r="Z42" s="6">
        <f>IF(OR($BJ42="",25&gt;設定!$B$3),"",IF(INDEX(原始資料!AB$2:AB$501,$BJ42)="","",INDEX(原始資料!AB$2:AB$501,$BJ42)))</f>
        <v/>
      </c>
      <c r="AA42" s="6">
        <f>IF(OR($BJ42="",26&gt;設定!$B$3),"",IF(INDEX(原始資料!AC$2:AC$501,$BJ42)="","",INDEX(原始資料!AC$2:AC$501,$BJ42)))</f>
        <v/>
      </c>
      <c r="AB42" s="6">
        <f>IF(OR($BJ42="",27&gt;設定!$B$3),"",IF(INDEX(原始資料!AD$2:AD$501,$BJ42)="","",INDEX(原始資料!AD$2:AD$501,$BJ42)))</f>
        <v/>
      </c>
      <c r="AC42" s="6">
        <f>IF(OR($BJ42="",28&gt;設定!$B$3),"",IF(INDEX(原始資料!AE$2:AE$501,$BJ42)="","",INDEX(原始資料!AE$2:AE$501,$BJ42)))</f>
        <v/>
      </c>
      <c r="AD42" s="6">
        <f>IF(OR($BJ42="",29&gt;設定!$B$3),"",IF(INDEX(原始資料!AF$2:AF$501,$BJ42)="","",INDEX(原始資料!AF$2:AF$501,$BJ42)))</f>
        <v/>
      </c>
      <c r="AE42" s="6">
        <f>IF(OR($BJ42="",30&gt;設定!$B$3),"",IF(INDEX(原始資料!AG$2:AG$501,$BJ42)="","",INDEX(原始資料!AG$2:AG$501,$BJ42)))</f>
        <v/>
      </c>
      <c r="AF42" s="6">
        <f>IF(OR($BJ42="",31&gt;設定!$B$3),"",IF(INDEX(原始資料!AH$2:AH$501,$BJ42)="","",INDEX(原始資料!AH$2:AH$501,$BJ42)))</f>
        <v/>
      </c>
      <c r="AG42" s="6">
        <f>IF(OR($BJ42="",32&gt;設定!$B$3),"",IF(INDEX(原始資料!AI$2:AI$501,$BJ42)="","",INDEX(原始資料!AI$2:AI$501,$BJ42)))</f>
        <v/>
      </c>
      <c r="AH42" s="6">
        <f>IF(OR($BJ42="",33&gt;設定!$B$3),"",IF(INDEX(原始資料!AJ$2:AJ$501,$BJ42)="","",INDEX(原始資料!AJ$2:AJ$501,$BJ42)))</f>
        <v/>
      </c>
      <c r="AI42" s="6">
        <f>IF(OR($BJ42="",34&gt;設定!$B$3),"",IF(INDEX(原始資料!AK$2:AK$501,$BJ42)="","",INDEX(原始資料!AK$2:AK$501,$BJ42)))</f>
        <v/>
      </c>
      <c r="AJ42" s="6">
        <f>IF(OR($BJ42="",35&gt;設定!$B$3),"",IF(INDEX(原始資料!AL$2:AL$501,$BJ42)="","",INDEX(原始資料!AL$2:AL$501,$BJ42)))</f>
        <v/>
      </c>
      <c r="AK42" s="6">
        <f>IF(OR($BJ42="",36&gt;設定!$B$3),"",IF(INDEX(原始資料!AM$2:AM$501,$BJ42)="","",INDEX(原始資料!AM$2:AM$501,$BJ42)))</f>
        <v/>
      </c>
      <c r="AL42" s="6">
        <f>IF(OR($BJ42="",37&gt;設定!$B$3),"",IF(INDEX(原始資料!AN$2:AN$501,$BJ42)="","",INDEX(原始資料!AN$2:AN$501,$BJ42)))</f>
        <v/>
      </c>
      <c r="AM42" s="6">
        <f>IF(OR($BJ42="",38&gt;設定!$B$3),"",IF(INDEX(原始資料!AO$2:AO$501,$BJ42)="","",INDEX(原始資料!AO$2:AO$501,$BJ42)))</f>
        <v/>
      </c>
      <c r="AN42" s="6">
        <f>IF(OR($BJ42="",39&gt;設定!$B$3),"",IF(INDEX(原始資料!AP$2:AP$501,$BJ42)="","",INDEX(原始資料!AP$2:AP$501,$BJ42)))</f>
        <v/>
      </c>
      <c r="AO42" s="6">
        <f>IF(OR($BJ42="",40&gt;設定!$B$3),"",IF(INDEX(原始資料!AQ$2:AQ$501,$BJ42)="","",INDEX(原始資料!AQ$2:AQ$501,$BJ42)))</f>
        <v/>
      </c>
      <c r="AP42" s="6">
        <f>IF(OR($BJ42="",41&gt;設定!$B$3),"",IF(INDEX(原始資料!AR$2:AR$501,$BJ42)="","",INDEX(原始資料!AR$2:AR$501,$BJ42)))</f>
        <v/>
      </c>
      <c r="AQ42" s="6">
        <f>IF(OR($BJ42="",42&gt;設定!$B$3),"",IF(INDEX(原始資料!AS$2:AS$501,$BJ42)="","",INDEX(原始資料!AS$2:AS$501,$BJ42)))</f>
        <v/>
      </c>
      <c r="AR42" s="6">
        <f>IF(OR($BJ42="",43&gt;設定!$B$3),"",IF(INDEX(原始資料!AT$2:AT$501,$BJ42)="","",INDEX(原始資料!AT$2:AT$501,$BJ42)))</f>
        <v/>
      </c>
      <c r="AS42" s="6">
        <f>IF(OR($BJ42="",44&gt;設定!$B$3),"",IF(INDEX(原始資料!AU$2:AU$501,$BJ42)="","",INDEX(原始資料!AU$2:AU$501,$BJ42)))</f>
        <v/>
      </c>
      <c r="AT42" s="6">
        <f>IF(OR($BJ42="",45&gt;設定!$B$3),"",IF(INDEX(原始資料!AV$2:AV$501,$BJ42)="","",INDEX(原始資料!AV$2:AV$501,$BJ42)))</f>
        <v/>
      </c>
      <c r="AU42" s="6">
        <f>IF(OR($BJ42="",46&gt;設定!$B$3),"",IF(INDEX(原始資料!AW$2:AW$501,$BJ42)="","",INDEX(原始資料!AW$2:AW$501,$BJ42)))</f>
        <v/>
      </c>
      <c r="AV42" s="6">
        <f>IF(OR($BJ42="",47&gt;設定!$B$3),"",IF(INDEX(原始資料!AX$2:AX$501,$BJ42)="","",INDEX(原始資料!AX$2:AX$501,$BJ42)))</f>
        <v/>
      </c>
      <c r="AW42" s="6">
        <f>IF(OR($BJ42="",48&gt;設定!$B$3),"",IF(INDEX(原始資料!AY$2:AY$501,$BJ42)="","",INDEX(原始資料!AY$2:AY$501,$BJ42)))</f>
        <v/>
      </c>
      <c r="AX42" s="6">
        <f>IF(OR($BJ42="",49&gt;設定!$B$3),"",IF(INDEX(原始資料!AZ$2:AZ$501,$BJ42)="","",INDEX(原始資料!AZ$2:AZ$501,$BJ42)))</f>
        <v/>
      </c>
      <c r="AY42" s="6">
        <f>IF(OR($BJ42="",50&gt;設定!$B$3),"",IF(INDEX(原始資料!BA$2:BA$501,$BJ42)="","",INDEX(原始資料!BA$2:BA$501,$BJ42)))</f>
        <v/>
      </c>
      <c r="AZ42" s="6">
        <f>IF(OR($BJ42="",51&gt;設定!$B$3),"",IF(INDEX(原始資料!BB$2:BB$501,$BJ42)="","",INDEX(原始資料!BB$2:BB$501,$BJ42)))</f>
        <v/>
      </c>
      <c r="BA42" s="6">
        <f>IF(OR($BJ42="",52&gt;設定!$B$3),"",IF(INDEX(原始資料!BC$2:BC$501,$BJ42)="","",INDEX(原始資料!BC$2:BC$501,$BJ42)))</f>
        <v/>
      </c>
      <c r="BB42" s="6">
        <f>IF(OR($BJ42="",53&gt;設定!$B$3),"",IF(INDEX(原始資料!BD$2:BD$501,$BJ42)="","",INDEX(原始資料!BD$2:BD$501,$BJ42)))</f>
        <v/>
      </c>
      <c r="BC42" s="6">
        <f>IF(OR($BJ42="",54&gt;設定!$B$3),"",IF(INDEX(原始資料!BE$2:BE$501,$BJ42)="","",INDEX(原始資料!BE$2:BE$501,$BJ42)))</f>
        <v/>
      </c>
      <c r="BD42" s="6">
        <f>IF(OR($BJ42="",55&gt;設定!$B$3),"",IF(INDEX(原始資料!BF$2:BF$501,$BJ42)="","",INDEX(原始資料!BF$2:BF$501,$BJ42)))</f>
        <v/>
      </c>
      <c r="BE42" s="6">
        <f>IF(OR($BJ42="",56&gt;設定!$B$3),"",IF(INDEX(原始資料!BG$2:BG$501,$BJ42)="","",INDEX(原始資料!BG$2:BG$501,$BJ42)))</f>
        <v/>
      </c>
      <c r="BF42" s="6">
        <f>IF(OR($BJ42="",57&gt;設定!$B$3),"",IF(INDEX(原始資料!BH$2:BH$501,$BJ42)="","",INDEX(原始資料!BH$2:BH$501,$BJ42)))</f>
        <v/>
      </c>
      <c r="BG42" s="6">
        <f>IF(OR($BJ42="",58&gt;設定!$B$3),"",IF(INDEX(原始資料!BI$2:BI$501,$BJ42)="","",INDEX(原始資料!BI$2:BI$501,$BJ42)))</f>
        <v/>
      </c>
      <c r="BH42" s="6">
        <f>IF(OR($BJ42="",59&gt;設定!$B$3),"",IF(INDEX(原始資料!BJ$2:BJ$501,$BJ42)="","",INDEX(原始資料!BJ$2:BJ$501,$BJ42)))</f>
        <v/>
      </c>
      <c r="BI42" s="6">
        <f>IF(OR($BJ42="",60&gt;設定!$B$3),"",IF(INDEX(原始資料!BK$2:BK$501,$BJ42)="","",INDEX(原始資料!BK$2:BK$501,$BJ42)))</f>
        <v/>
      </c>
      <c r="BJ42" s="6">
        <f>IFERROR(MATCH(ROW()-1,判定!$H$2:$H$501,0),"")</f>
        <v/>
      </c>
    </row>
    <row r="43">
      <c r="A43" s="6">
        <f>IF($BJ43="","",INDEX(原始資料!$A$2:$A$501,$BJ43))</f>
        <v/>
      </c>
      <c r="B43" s="6">
        <f>IF(OR($BJ43="",1&gt;設定!$B$3),"",IF(INDEX(原始資料!D$2:D$501,$BJ43)="","",INDEX(原始資料!D$2:D$501,$BJ43)))</f>
        <v/>
      </c>
      <c r="C43" s="6">
        <f>IF(OR($BJ43="",2&gt;設定!$B$3),"",IF(INDEX(原始資料!E$2:E$501,$BJ43)="","",INDEX(原始資料!E$2:E$501,$BJ43)))</f>
        <v/>
      </c>
      <c r="D43" s="6">
        <f>IF(OR($BJ43="",3&gt;設定!$B$3),"",IF(INDEX(原始資料!F$2:F$501,$BJ43)="","",INDEX(原始資料!F$2:F$501,$BJ43)))</f>
        <v/>
      </c>
      <c r="E43" s="6">
        <f>IF(OR($BJ43="",4&gt;設定!$B$3),"",IF(INDEX(原始資料!G$2:G$501,$BJ43)="","",INDEX(原始資料!G$2:G$501,$BJ43)))</f>
        <v/>
      </c>
      <c r="F43" s="6">
        <f>IF(OR($BJ43="",5&gt;設定!$B$3),"",IF(INDEX(原始資料!H$2:H$501,$BJ43)="","",INDEX(原始資料!H$2:H$501,$BJ43)))</f>
        <v/>
      </c>
      <c r="G43" s="6">
        <f>IF(OR($BJ43="",6&gt;設定!$B$3),"",IF(INDEX(原始資料!I$2:I$501,$BJ43)="","",INDEX(原始資料!I$2:I$501,$BJ43)))</f>
        <v/>
      </c>
      <c r="H43" s="6">
        <f>IF(OR($BJ43="",7&gt;設定!$B$3),"",IF(INDEX(原始資料!J$2:J$501,$BJ43)="","",INDEX(原始資料!J$2:J$501,$BJ43)))</f>
        <v/>
      </c>
      <c r="I43" s="6">
        <f>IF(OR($BJ43="",8&gt;設定!$B$3),"",IF(INDEX(原始資料!K$2:K$501,$BJ43)="","",INDEX(原始資料!K$2:K$501,$BJ43)))</f>
        <v/>
      </c>
      <c r="J43" s="6">
        <f>IF(OR($BJ43="",9&gt;設定!$B$3),"",IF(INDEX(原始資料!L$2:L$501,$BJ43)="","",INDEX(原始資料!L$2:L$501,$BJ43)))</f>
        <v/>
      </c>
      <c r="K43" s="6">
        <f>IF(OR($BJ43="",10&gt;設定!$B$3),"",IF(INDEX(原始資料!M$2:M$501,$BJ43)="","",INDEX(原始資料!M$2:M$501,$BJ43)))</f>
        <v/>
      </c>
      <c r="L43" s="6">
        <f>IF(OR($BJ43="",11&gt;設定!$B$3),"",IF(INDEX(原始資料!N$2:N$501,$BJ43)="","",INDEX(原始資料!N$2:N$501,$BJ43)))</f>
        <v/>
      </c>
      <c r="M43" s="6">
        <f>IF(OR($BJ43="",12&gt;設定!$B$3),"",IF(INDEX(原始資料!O$2:O$501,$BJ43)="","",INDEX(原始資料!O$2:O$501,$BJ43)))</f>
        <v/>
      </c>
      <c r="N43" s="6">
        <f>IF(OR($BJ43="",13&gt;設定!$B$3),"",IF(INDEX(原始資料!P$2:P$501,$BJ43)="","",INDEX(原始資料!P$2:P$501,$BJ43)))</f>
        <v/>
      </c>
      <c r="O43" s="6">
        <f>IF(OR($BJ43="",14&gt;設定!$B$3),"",IF(INDEX(原始資料!Q$2:Q$501,$BJ43)="","",INDEX(原始資料!Q$2:Q$501,$BJ43)))</f>
        <v/>
      </c>
      <c r="P43" s="6">
        <f>IF(OR($BJ43="",15&gt;設定!$B$3),"",IF(INDEX(原始資料!R$2:R$501,$BJ43)="","",INDEX(原始資料!R$2:R$501,$BJ43)))</f>
        <v/>
      </c>
      <c r="Q43" s="6">
        <f>IF(OR($BJ43="",16&gt;設定!$B$3),"",IF(INDEX(原始資料!S$2:S$501,$BJ43)="","",INDEX(原始資料!S$2:S$501,$BJ43)))</f>
        <v/>
      </c>
      <c r="R43" s="6">
        <f>IF(OR($BJ43="",17&gt;設定!$B$3),"",IF(INDEX(原始資料!T$2:T$501,$BJ43)="","",INDEX(原始資料!T$2:T$501,$BJ43)))</f>
        <v/>
      </c>
      <c r="S43" s="6">
        <f>IF(OR($BJ43="",18&gt;設定!$B$3),"",IF(INDEX(原始資料!U$2:U$501,$BJ43)="","",INDEX(原始資料!U$2:U$501,$BJ43)))</f>
        <v/>
      </c>
      <c r="T43" s="6">
        <f>IF(OR($BJ43="",19&gt;設定!$B$3),"",IF(INDEX(原始資料!V$2:V$501,$BJ43)="","",INDEX(原始資料!V$2:V$501,$BJ43)))</f>
        <v/>
      </c>
      <c r="U43" s="6">
        <f>IF(OR($BJ43="",20&gt;設定!$B$3),"",IF(INDEX(原始資料!W$2:W$501,$BJ43)="","",INDEX(原始資料!W$2:W$501,$BJ43)))</f>
        <v/>
      </c>
      <c r="V43" s="6">
        <f>IF(OR($BJ43="",21&gt;設定!$B$3),"",IF(INDEX(原始資料!X$2:X$501,$BJ43)="","",INDEX(原始資料!X$2:X$501,$BJ43)))</f>
        <v/>
      </c>
      <c r="W43" s="6">
        <f>IF(OR($BJ43="",22&gt;設定!$B$3),"",IF(INDEX(原始資料!Y$2:Y$501,$BJ43)="","",INDEX(原始資料!Y$2:Y$501,$BJ43)))</f>
        <v/>
      </c>
      <c r="X43" s="6">
        <f>IF(OR($BJ43="",23&gt;設定!$B$3),"",IF(INDEX(原始資料!Z$2:Z$501,$BJ43)="","",INDEX(原始資料!Z$2:Z$501,$BJ43)))</f>
        <v/>
      </c>
      <c r="Y43" s="6">
        <f>IF(OR($BJ43="",24&gt;設定!$B$3),"",IF(INDEX(原始資料!AA$2:AA$501,$BJ43)="","",INDEX(原始資料!AA$2:AA$501,$BJ43)))</f>
        <v/>
      </c>
      <c r="Z43" s="6">
        <f>IF(OR($BJ43="",25&gt;設定!$B$3),"",IF(INDEX(原始資料!AB$2:AB$501,$BJ43)="","",INDEX(原始資料!AB$2:AB$501,$BJ43)))</f>
        <v/>
      </c>
      <c r="AA43" s="6">
        <f>IF(OR($BJ43="",26&gt;設定!$B$3),"",IF(INDEX(原始資料!AC$2:AC$501,$BJ43)="","",INDEX(原始資料!AC$2:AC$501,$BJ43)))</f>
        <v/>
      </c>
      <c r="AB43" s="6">
        <f>IF(OR($BJ43="",27&gt;設定!$B$3),"",IF(INDEX(原始資料!AD$2:AD$501,$BJ43)="","",INDEX(原始資料!AD$2:AD$501,$BJ43)))</f>
        <v/>
      </c>
      <c r="AC43" s="6">
        <f>IF(OR($BJ43="",28&gt;設定!$B$3),"",IF(INDEX(原始資料!AE$2:AE$501,$BJ43)="","",INDEX(原始資料!AE$2:AE$501,$BJ43)))</f>
        <v/>
      </c>
      <c r="AD43" s="6">
        <f>IF(OR($BJ43="",29&gt;設定!$B$3),"",IF(INDEX(原始資料!AF$2:AF$501,$BJ43)="","",INDEX(原始資料!AF$2:AF$501,$BJ43)))</f>
        <v/>
      </c>
      <c r="AE43" s="6">
        <f>IF(OR($BJ43="",30&gt;設定!$B$3),"",IF(INDEX(原始資料!AG$2:AG$501,$BJ43)="","",INDEX(原始資料!AG$2:AG$501,$BJ43)))</f>
        <v/>
      </c>
      <c r="AF43" s="6">
        <f>IF(OR($BJ43="",31&gt;設定!$B$3),"",IF(INDEX(原始資料!AH$2:AH$501,$BJ43)="","",INDEX(原始資料!AH$2:AH$501,$BJ43)))</f>
        <v/>
      </c>
      <c r="AG43" s="6">
        <f>IF(OR($BJ43="",32&gt;設定!$B$3),"",IF(INDEX(原始資料!AI$2:AI$501,$BJ43)="","",INDEX(原始資料!AI$2:AI$501,$BJ43)))</f>
        <v/>
      </c>
      <c r="AH43" s="6">
        <f>IF(OR($BJ43="",33&gt;設定!$B$3),"",IF(INDEX(原始資料!AJ$2:AJ$501,$BJ43)="","",INDEX(原始資料!AJ$2:AJ$501,$BJ43)))</f>
        <v/>
      </c>
      <c r="AI43" s="6">
        <f>IF(OR($BJ43="",34&gt;設定!$B$3),"",IF(INDEX(原始資料!AK$2:AK$501,$BJ43)="","",INDEX(原始資料!AK$2:AK$501,$BJ43)))</f>
        <v/>
      </c>
      <c r="AJ43" s="6">
        <f>IF(OR($BJ43="",35&gt;設定!$B$3),"",IF(INDEX(原始資料!AL$2:AL$501,$BJ43)="","",INDEX(原始資料!AL$2:AL$501,$BJ43)))</f>
        <v/>
      </c>
      <c r="AK43" s="6">
        <f>IF(OR($BJ43="",36&gt;設定!$B$3),"",IF(INDEX(原始資料!AM$2:AM$501,$BJ43)="","",INDEX(原始資料!AM$2:AM$501,$BJ43)))</f>
        <v/>
      </c>
      <c r="AL43" s="6">
        <f>IF(OR($BJ43="",37&gt;設定!$B$3),"",IF(INDEX(原始資料!AN$2:AN$501,$BJ43)="","",INDEX(原始資料!AN$2:AN$501,$BJ43)))</f>
        <v/>
      </c>
      <c r="AM43" s="6">
        <f>IF(OR($BJ43="",38&gt;設定!$B$3),"",IF(INDEX(原始資料!AO$2:AO$501,$BJ43)="","",INDEX(原始資料!AO$2:AO$501,$BJ43)))</f>
        <v/>
      </c>
      <c r="AN43" s="6">
        <f>IF(OR($BJ43="",39&gt;設定!$B$3),"",IF(INDEX(原始資料!AP$2:AP$501,$BJ43)="","",INDEX(原始資料!AP$2:AP$501,$BJ43)))</f>
        <v/>
      </c>
      <c r="AO43" s="6">
        <f>IF(OR($BJ43="",40&gt;設定!$B$3),"",IF(INDEX(原始資料!AQ$2:AQ$501,$BJ43)="","",INDEX(原始資料!AQ$2:AQ$501,$BJ43)))</f>
        <v/>
      </c>
      <c r="AP43" s="6">
        <f>IF(OR($BJ43="",41&gt;設定!$B$3),"",IF(INDEX(原始資料!AR$2:AR$501,$BJ43)="","",INDEX(原始資料!AR$2:AR$501,$BJ43)))</f>
        <v/>
      </c>
      <c r="AQ43" s="6">
        <f>IF(OR($BJ43="",42&gt;設定!$B$3),"",IF(INDEX(原始資料!AS$2:AS$501,$BJ43)="","",INDEX(原始資料!AS$2:AS$501,$BJ43)))</f>
        <v/>
      </c>
      <c r="AR43" s="6">
        <f>IF(OR($BJ43="",43&gt;設定!$B$3),"",IF(INDEX(原始資料!AT$2:AT$501,$BJ43)="","",INDEX(原始資料!AT$2:AT$501,$BJ43)))</f>
        <v/>
      </c>
      <c r="AS43" s="6">
        <f>IF(OR($BJ43="",44&gt;設定!$B$3),"",IF(INDEX(原始資料!AU$2:AU$501,$BJ43)="","",INDEX(原始資料!AU$2:AU$501,$BJ43)))</f>
        <v/>
      </c>
      <c r="AT43" s="6">
        <f>IF(OR($BJ43="",45&gt;設定!$B$3),"",IF(INDEX(原始資料!AV$2:AV$501,$BJ43)="","",INDEX(原始資料!AV$2:AV$501,$BJ43)))</f>
        <v/>
      </c>
      <c r="AU43" s="6">
        <f>IF(OR($BJ43="",46&gt;設定!$B$3),"",IF(INDEX(原始資料!AW$2:AW$501,$BJ43)="","",INDEX(原始資料!AW$2:AW$501,$BJ43)))</f>
        <v/>
      </c>
      <c r="AV43" s="6">
        <f>IF(OR($BJ43="",47&gt;設定!$B$3),"",IF(INDEX(原始資料!AX$2:AX$501,$BJ43)="","",INDEX(原始資料!AX$2:AX$501,$BJ43)))</f>
        <v/>
      </c>
      <c r="AW43" s="6">
        <f>IF(OR($BJ43="",48&gt;設定!$B$3),"",IF(INDEX(原始資料!AY$2:AY$501,$BJ43)="","",INDEX(原始資料!AY$2:AY$501,$BJ43)))</f>
        <v/>
      </c>
      <c r="AX43" s="6">
        <f>IF(OR($BJ43="",49&gt;設定!$B$3),"",IF(INDEX(原始資料!AZ$2:AZ$501,$BJ43)="","",INDEX(原始資料!AZ$2:AZ$501,$BJ43)))</f>
        <v/>
      </c>
      <c r="AY43" s="6">
        <f>IF(OR($BJ43="",50&gt;設定!$B$3),"",IF(INDEX(原始資料!BA$2:BA$501,$BJ43)="","",INDEX(原始資料!BA$2:BA$501,$BJ43)))</f>
        <v/>
      </c>
      <c r="AZ43" s="6">
        <f>IF(OR($BJ43="",51&gt;設定!$B$3),"",IF(INDEX(原始資料!BB$2:BB$501,$BJ43)="","",INDEX(原始資料!BB$2:BB$501,$BJ43)))</f>
        <v/>
      </c>
      <c r="BA43" s="6">
        <f>IF(OR($BJ43="",52&gt;設定!$B$3),"",IF(INDEX(原始資料!BC$2:BC$501,$BJ43)="","",INDEX(原始資料!BC$2:BC$501,$BJ43)))</f>
        <v/>
      </c>
      <c r="BB43" s="6">
        <f>IF(OR($BJ43="",53&gt;設定!$B$3),"",IF(INDEX(原始資料!BD$2:BD$501,$BJ43)="","",INDEX(原始資料!BD$2:BD$501,$BJ43)))</f>
        <v/>
      </c>
      <c r="BC43" s="6">
        <f>IF(OR($BJ43="",54&gt;設定!$B$3),"",IF(INDEX(原始資料!BE$2:BE$501,$BJ43)="","",INDEX(原始資料!BE$2:BE$501,$BJ43)))</f>
        <v/>
      </c>
      <c r="BD43" s="6">
        <f>IF(OR($BJ43="",55&gt;設定!$B$3),"",IF(INDEX(原始資料!BF$2:BF$501,$BJ43)="","",INDEX(原始資料!BF$2:BF$501,$BJ43)))</f>
        <v/>
      </c>
      <c r="BE43" s="6">
        <f>IF(OR($BJ43="",56&gt;設定!$B$3),"",IF(INDEX(原始資料!BG$2:BG$501,$BJ43)="","",INDEX(原始資料!BG$2:BG$501,$BJ43)))</f>
        <v/>
      </c>
      <c r="BF43" s="6">
        <f>IF(OR($BJ43="",57&gt;設定!$B$3),"",IF(INDEX(原始資料!BH$2:BH$501,$BJ43)="","",INDEX(原始資料!BH$2:BH$501,$BJ43)))</f>
        <v/>
      </c>
      <c r="BG43" s="6">
        <f>IF(OR($BJ43="",58&gt;設定!$B$3),"",IF(INDEX(原始資料!BI$2:BI$501,$BJ43)="","",INDEX(原始資料!BI$2:BI$501,$BJ43)))</f>
        <v/>
      </c>
      <c r="BH43" s="6">
        <f>IF(OR($BJ43="",59&gt;設定!$B$3),"",IF(INDEX(原始資料!BJ$2:BJ$501,$BJ43)="","",INDEX(原始資料!BJ$2:BJ$501,$BJ43)))</f>
        <v/>
      </c>
      <c r="BI43" s="6">
        <f>IF(OR($BJ43="",60&gt;設定!$B$3),"",IF(INDEX(原始資料!BK$2:BK$501,$BJ43)="","",INDEX(原始資料!BK$2:BK$501,$BJ43)))</f>
        <v/>
      </c>
      <c r="BJ43" s="6">
        <f>IFERROR(MATCH(ROW()-1,判定!$H$2:$H$501,0),"")</f>
        <v/>
      </c>
    </row>
    <row r="44">
      <c r="A44" s="6">
        <f>IF($BJ44="","",INDEX(原始資料!$A$2:$A$501,$BJ44))</f>
        <v/>
      </c>
      <c r="B44" s="6">
        <f>IF(OR($BJ44="",1&gt;設定!$B$3),"",IF(INDEX(原始資料!D$2:D$501,$BJ44)="","",INDEX(原始資料!D$2:D$501,$BJ44)))</f>
        <v/>
      </c>
      <c r="C44" s="6">
        <f>IF(OR($BJ44="",2&gt;設定!$B$3),"",IF(INDEX(原始資料!E$2:E$501,$BJ44)="","",INDEX(原始資料!E$2:E$501,$BJ44)))</f>
        <v/>
      </c>
      <c r="D44" s="6">
        <f>IF(OR($BJ44="",3&gt;設定!$B$3),"",IF(INDEX(原始資料!F$2:F$501,$BJ44)="","",INDEX(原始資料!F$2:F$501,$BJ44)))</f>
        <v/>
      </c>
      <c r="E44" s="6">
        <f>IF(OR($BJ44="",4&gt;設定!$B$3),"",IF(INDEX(原始資料!G$2:G$501,$BJ44)="","",INDEX(原始資料!G$2:G$501,$BJ44)))</f>
        <v/>
      </c>
      <c r="F44" s="6">
        <f>IF(OR($BJ44="",5&gt;設定!$B$3),"",IF(INDEX(原始資料!H$2:H$501,$BJ44)="","",INDEX(原始資料!H$2:H$501,$BJ44)))</f>
        <v/>
      </c>
      <c r="G44" s="6">
        <f>IF(OR($BJ44="",6&gt;設定!$B$3),"",IF(INDEX(原始資料!I$2:I$501,$BJ44)="","",INDEX(原始資料!I$2:I$501,$BJ44)))</f>
        <v/>
      </c>
      <c r="H44" s="6">
        <f>IF(OR($BJ44="",7&gt;設定!$B$3),"",IF(INDEX(原始資料!J$2:J$501,$BJ44)="","",INDEX(原始資料!J$2:J$501,$BJ44)))</f>
        <v/>
      </c>
      <c r="I44" s="6">
        <f>IF(OR($BJ44="",8&gt;設定!$B$3),"",IF(INDEX(原始資料!K$2:K$501,$BJ44)="","",INDEX(原始資料!K$2:K$501,$BJ44)))</f>
        <v/>
      </c>
      <c r="J44" s="6">
        <f>IF(OR($BJ44="",9&gt;設定!$B$3),"",IF(INDEX(原始資料!L$2:L$501,$BJ44)="","",INDEX(原始資料!L$2:L$501,$BJ44)))</f>
        <v/>
      </c>
      <c r="K44" s="6">
        <f>IF(OR($BJ44="",10&gt;設定!$B$3),"",IF(INDEX(原始資料!M$2:M$501,$BJ44)="","",INDEX(原始資料!M$2:M$501,$BJ44)))</f>
        <v/>
      </c>
      <c r="L44" s="6">
        <f>IF(OR($BJ44="",11&gt;設定!$B$3),"",IF(INDEX(原始資料!N$2:N$501,$BJ44)="","",INDEX(原始資料!N$2:N$501,$BJ44)))</f>
        <v/>
      </c>
      <c r="M44" s="6">
        <f>IF(OR($BJ44="",12&gt;設定!$B$3),"",IF(INDEX(原始資料!O$2:O$501,$BJ44)="","",INDEX(原始資料!O$2:O$501,$BJ44)))</f>
        <v/>
      </c>
      <c r="N44" s="6">
        <f>IF(OR($BJ44="",13&gt;設定!$B$3),"",IF(INDEX(原始資料!P$2:P$501,$BJ44)="","",INDEX(原始資料!P$2:P$501,$BJ44)))</f>
        <v/>
      </c>
      <c r="O44" s="6">
        <f>IF(OR($BJ44="",14&gt;設定!$B$3),"",IF(INDEX(原始資料!Q$2:Q$501,$BJ44)="","",INDEX(原始資料!Q$2:Q$501,$BJ44)))</f>
        <v/>
      </c>
      <c r="P44" s="6">
        <f>IF(OR($BJ44="",15&gt;設定!$B$3),"",IF(INDEX(原始資料!R$2:R$501,$BJ44)="","",INDEX(原始資料!R$2:R$501,$BJ44)))</f>
        <v/>
      </c>
      <c r="Q44" s="6">
        <f>IF(OR($BJ44="",16&gt;設定!$B$3),"",IF(INDEX(原始資料!S$2:S$501,$BJ44)="","",INDEX(原始資料!S$2:S$501,$BJ44)))</f>
        <v/>
      </c>
      <c r="R44" s="6">
        <f>IF(OR($BJ44="",17&gt;設定!$B$3),"",IF(INDEX(原始資料!T$2:T$501,$BJ44)="","",INDEX(原始資料!T$2:T$501,$BJ44)))</f>
        <v/>
      </c>
      <c r="S44" s="6">
        <f>IF(OR($BJ44="",18&gt;設定!$B$3),"",IF(INDEX(原始資料!U$2:U$501,$BJ44)="","",INDEX(原始資料!U$2:U$501,$BJ44)))</f>
        <v/>
      </c>
      <c r="T44" s="6">
        <f>IF(OR($BJ44="",19&gt;設定!$B$3),"",IF(INDEX(原始資料!V$2:V$501,$BJ44)="","",INDEX(原始資料!V$2:V$501,$BJ44)))</f>
        <v/>
      </c>
      <c r="U44" s="6">
        <f>IF(OR($BJ44="",20&gt;設定!$B$3),"",IF(INDEX(原始資料!W$2:W$501,$BJ44)="","",INDEX(原始資料!W$2:W$501,$BJ44)))</f>
        <v/>
      </c>
      <c r="V44" s="6">
        <f>IF(OR($BJ44="",21&gt;設定!$B$3),"",IF(INDEX(原始資料!X$2:X$501,$BJ44)="","",INDEX(原始資料!X$2:X$501,$BJ44)))</f>
        <v/>
      </c>
      <c r="W44" s="6">
        <f>IF(OR($BJ44="",22&gt;設定!$B$3),"",IF(INDEX(原始資料!Y$2:Y$501,$BJ44)="","",INDEX(原始資料!Y$2:Y$501,$BJ44)))</f>
        <v/>
      </c>
      <c r="X44" s="6">
        <f>IF(OR($BJ44="",23&gt;設定!$B$3),"",IF(INDEX(原始資料!Z$2:Z$501,$BJ44)="","",INDEX(原始資料!Z$2:Z$501,$BJ44)))</f>
        <v/>
      </c>
      <c r="Y44" s="6">
        <f>IF(OR($BJ44="",24&gt;設定!$B$3),"",IF(INDEX(原始資料!AA$2:AA$501,$BJ44)="","",INDEX(原始資料!AA$2:AA$501,$BJ44)))</f>
        <v/>
      </c>
      <c r="Z44" s="6">
        <f>IF(OR($BJ44="",25&gt;設定!$B$3),"",IF(INDEX(原始資料!AB$2:AB$501,$BJ44)="","",INDEX(原始資料!AB$2:AB$501,$BJ44)))</f>
        <v/>
      </c>
      <c r="AA44" s="6">
        <f>IF(OR($BJ44="",26&gt;設定!$B$3),"",IF(INDEX(原始資料!AC$2:AC$501,$BJ44)="","",INDEX(原始資料!AC$2:AC$501,$BJ44)))</f>
        <v/>
      </c>
      <c r="AB44" s="6">
        <f>IF(OR($BJ44="",27&gt;設定!$B$3),"",IF(INDEX(原始資料!AD$2:AD$501,$BJ44)="","",INDEX(原始資料!AD$2:AD$501,$BJ44)))</f>
        <v/>
      </c>
      <c r="AC44" s="6">
        <f>IF(OR($BJ44="",28&gt;設定!$B$3),"",IF(INDEX(原始資料!AE$2:AE$501,$BJ44)="","",INDEX(原始資料!AE$2:AE$501,$BJ44)))</f>
        <v/>
      </c>
      <c r="AD44" s="6">
        <f>IF(OR($BJ44="",29&gt;設定!$B$3),"",IF(INDEX(原始資料!AF$2:AF$501,$BJ44)="","",INDEX(原始資料!AF$2:AF$501,$BJ44)))</f>
        <v/>
      </c>
      <c r="AE44" s="6">
        <f>IF(OR($BJ44="",30&gt;設定!$B$3),"",IF(INDEX(原始資料!AG$2:AG$501,$BJ44)="","",INDEX(原始資料!AG$2:AG$501,$BJ44)))</f>
        <v/>
      </c>
      <c r="AF44" s="6">
        <f>IF(OR($BJ44="",31&gt;設定!$B$3),"",IF(INDEX(原始資料!AH$2:AH$501,$BJ44)="","",INDEX(原始資料!AH$2:AH$501,$BJ44)))</f>
        <v/>
      </c>
      <c r="AG44" s="6">
        <f>IF(OR($BJ44="",32&gt;設定!$B$3),"",IF(INDEX(原始資料!AI$2:AI$501,$BJ44)="","",INDEX(原始資料!AI$2:AI$501,$BJ44)))</f>
        <v/>
      </c>
      <c r="AH44" s="6">
        <f>IF(OR($BJ44="",33&gt;設定!$B$3),"",IF(INDEX(原始資料!AJ$2:AJ$501,$BJ44)="","",INDEX(原始資料!AJ$2:AJ$501,$BJ44)))</f>
        <v/>
      </c>
      <c r="AI44" s="6">
        <f>IF(OR($BJ44="",34&gt;設定!$B$3),"",IF(INDEX(原始資料!AK$2:AK$501,$BJ44)="","",INDEX(原始資料!AK$2:AK$501,$BJ44)))</f>
        <v/>
      </c>
      <c r="AJ44" s="6">
        <f>IF(OR($BJ44="",35&gt;設定!$B$3),"",IF(INDEX(原始資料!AL$2:AL$501,$BJ44)="","",INDEX(原始資料!AL$2:AL$501,$BJ44)))</f>
        <v/>
      </c>
      <c r="AK44" s="6">
        <f>IF(OR($BJ44="",36&gt;設定!$B$3),"",IF(INDEX(原始資料!AM$2:AM$501,$BJ44)="","",INDEX(原始資料!AM$2:AM$501,$BJ44)))</f>
        <v/>
      </c>
      <c r="AL44" s="6">
        <f>IF(OR($BJ44="",37&gt;設定!$B$3),"",IF(INDEX(原始資料!AN$2:AN$501,$BJ44)="","",INDEX(原始資料!AN$2:AN$501,$BJ44)))</f>
        <v/>
      </c>
      <c r="AM44" s="6">
        <f>IF(OR($BJ44="",38&gt;設定!$B$3),"",IF(INDEX(原始資料!AO$2:AO$501,$BJ44)="","",INDEX(原始資料!AO$2:AO$501,$BJ44)))</f>
        <v/>
      </c>
      <c r="AN44" s="6">
        <f>IF(OR($BJ44="",39&gt;設定!$B$3),"",IF(INDEX(原始資料!AP$2:AP$501,$BJ44)="","",INDEX(原始資料!AP$2:AP$501,$BJ44)))</f>
        <v/>
      </c>
      <c r="AO44" s="6">
        <f>IF(OR($BJ44="",40&gt;設定!$B$3),"",IF(INDEX(原始資料!AQ$2:AQ$501,$BJ44)="","",INDEX(原始資料!AQ$2:AQ$501,$BJ44)))</f>
        <v/>
      </c>
      <c r="AP44" s="6">
        <f>IF(OR($BJ44="",41&gt;設定!$B$3),"",IF(INDEX(原始資料!AR$2:AR$501,$BJ44)="","",INDEX(原始資料!AR$2:AR$501,$BJ44)))</f>
        <v/>
      </c>
      <c r="AQ44" s="6">
        <f>IF(OR($BJ44="",42&gt;設定!$B$3),"",IF(INDEX(原始資料!AS$2:AS$501,$BJ44)="","",INDEX(原始資料!AS$2:AS$501,$BJ44)))</f>
        <v/>
      </c>
      <c r="AR44" s="6">
        <f>IF(OR($BJ44="",43&gt;設定!$B$3),"",IF(INDEX(原始資料!AT$2:AT$501,$BJ44)="","",INDEX(原始資料!AT$2:AT$501,$BJ44)))</f>
        <v/>
      </c>
      <c r="AS44" s="6">
        <f>IF(OR($BJ44="",44&gt;設定!$B$3),"",IF(INDEX(原始資料!AU$2:AU$501,$BJ44)="","",INDEX(原始資料!AU$2:AU$501,$BJ44)))</f>
        <v/>
      </c>
      <c r="AT44" s="6">
        <f>IF(OR($BJ44="",45&gt;設定!$B$3),"",IF(INDEX(原始資料!AV$2:AV$501,$BJ44)="","",INDEX(原始資料!AV$2:AV$501,$BJ44)))</f>
        <v/>
      </c>
      <c r="AU44" s="6">
        <f>IF(OR($BJ44="",46&gt;設定!$B$3),"",IF(INDEX(原始資料!AW$2:AW$501,$BJ44)="","",INDEX(原始資料!AW$2:AW$501,$BJ44)))</f>
        <v/>
      </c>
      <c r="AV44" s="6">
        <f>IF(OR($BJ44="",47&gt;設定!$B$3),"",IF(INDEX(原始資料!AX$2:AX$501,$BJ44)="","",INDEX(原始資料!AX$2:AX$501,$BJ44)))</f>
        <v/>
      </c>
      <c r="AW44" s="6">
        <f>IF(OR($BJ44="",48&gt;設定!$B$3),"",IF(INDEX(原始資料!AY$2:AY$501,$BJ44)="","",INDEX(原始資料!AY$2:AY$501,$BJ44)))</f>
        <v/>
      </c>
      <c r="AX44" s="6">
        <f>IF(OR($BJ44="",49&gt;設定!$B$3),"",IF(INDEX(原始資料!AZ$2:AZ$501,$BJ44)="","",INDEX(原始資料!AZ$2:AZ$501,$BJ44)))</f>
        <v/>
      </c>
      <c r="AY44" s="6">
        <f>IF(OR($BJ44="",50&gt;設定!$B$3),"",IF(INDEX(原始資料!BA$2:BA$501,$BJ44)="","",INDEX(原始資料!BA$2:BA$501,$BJ44)))</f>
        <v/>
      </c>
      <c r="AZ44" s="6">
        <f>IF(OR($BJ44="",51&gt;設定!$B$3),"",IF(INDEX(原始資料!BB$2:BB$501,$BJ44)="","",INDEX(原始資料!BB$2:BB$501,$BJ44)))</f>
        <v/>
      </c>
      <c r="BA44" s="6">
        <f>IF(OR($BJ44="",52&gt;設定!$B$3),"",IF(INDEX(原始資料!BC$2:BC$501,$BJ44)="","",INDEX(原始資料!BC$2:BC$501,$BJ44)))</f>
        <v/>
      </c>
      <c r="BB44" s="6">
        <f>IF(OR($BJ44="",53&gt;設定!$B$3),"",IF(INDEX(原始資料!BD$2:BD$501,$BJ44)="","",INDEX(原始資料!BD$2:BD$501,$BJ44)))</f>
        <v/>
      </c>
      <c r="BC44" s="6">
        <f>IF(OR($BJ44="",54&gt;設定!$B$3),"",IF(INDEX(原始資料!BE$2:BE$501,$BJ44)="","",INDEX(原始資料!BE$2:BE$501,$BJ44)))</f>
        <v/>
      </c>
      <c r="BD44" s="6">
        <f>IF(OR($BJ44="",55&gt;設定!$B$3),"",IF(INDEX(原始資料!BF$2:BF$501,$BJ44)="","",INDEX(原始資料!BF$2:BF$501,$BJ44)))</f>
        <v/>
      </c>
      <c r="BE44" s="6">
        <f>IF(OR($BJ44="",56&gt;設定!$B$3),"",IF(INDEX(原始資料!BG$2:BG$501,$BJ44)="","",INDEX(原始資料!BG$2:BG$501,$BJ44)))</f>
        <v/>
      </c>
      <c r="BF44" s="6">
        <f>IF(OR($BJ44="",57&gt;設定!$B$3),"",IF(INDEX(原始資料!BH$2:BH$501,$BJ44)="","",INDEX(原始資料!BH$2:BH$501,$BJ44)))</f>
        <v/>
      </c>
      <c r="BG44" s="6">
        <f>IF(OR($BJ44="",58&gt;設定!$B$3),"",IF(INDEX(原始資料!BI$2:BI$501,$BJ44)="","",INDEX(原始資料!BI$2:BI$501,$BJ44)))</f>
        <v/>
      </c>
      <c r="BH44" s="6">
        <f>IF(OR($BJ44="",59&gt;設定!$B$3),"",IF(INDEX(原始資料!BJ$2:BJ$501,$BJ44)="","",INDEX(原始資料!BJ$2:BJ$501,$BJ44)))</f>
        <v/>
      </c>
      <c r="BI44" s="6">
        <f>IF(OR($BJ44="",60&gt;設定!$B$3),"",IF(INDEX(原始資料!BK$2:BK$501,$BJ44)="","",INDEX(原始資料!BK$2:BK$501,$BJ44)))</f>
        <v/>
      </c>
      <c r="BJ44" s="6">
        <f>IFERROR(MATCH(ROW()-1,判定!$H$2:$H$501,0),"")</f>
        <v/>
      </c>
    </row>
    <row r="45">
      <c r="A45" s="6">
        <f>IF($BJ45="","",INDEX(原始資料!$A$2:$A$501,$BJ45))</f>
        <v/>
      </c>
      <c r="B45" s="6">
        <f>IF(OR($BJ45="",1&gt;設定!$B$3),"",IF(INDEX(原始資料!D$2:D$501,$BJ45)="","",INDEX(原始資料!D$2:D$501,$BJ45)))</f>
        <v/>
      </c>
      <c r="C45" s="6">
        <f>IF(OR($BJ45="",2&gt;設定!$B$3),"",IF(INDEX(原始資料!E$2:E$501,$BJ45)="","",INDEX(原始資料!E$2:E$501,$BJ45)))</f>
        <v/>
      </c>
      <c r="D45" s="6">
        <f>IF(OR($BJ45="",3&gt;設定!$B$3),"",IF(INDEX(原始資料!F$2:F$501,$BJ45)="","",INDEX(原始資料!F$2:F$501,$BJ45)))</f>
        <v/>
      </c>
      <c r="E45" s="6">
        <f>IF(OR($BJ45="",4&gt;設定!$B$3),"",IF(INDEX(原始資料!G$2:G$501,$BJ45)="","",INDEX(原始資料!G$2:G$501,$BJ45)))</f>
        <v/>
      </c>
      <c r="F45" s="6">
        <f>IF(OR($BJ45="",5&gt;設定!$B$3),"",IF(INDEX(原始資料!H$2:H$501,$BJ45)="","",INDEX(原始資料!H$2:H$501,$BJ45)))</f>
        <v/>
      </c>
      <c r="G45" s="6">
        <f>IF(OR($BJ45="",6&gt;設定!$B$3),"",IF(INDEX(原始資料!I$2:I$501,$BJ45)="","",INDEX(原始資料!I$2:I$501,$BJ45)))</f>
        <v/>
      </c>
      <c r="H45" s="6">
        <f>IF(OR($BJ45="",7&gt;設定!$B$3),"",IF(INDEX(原始資料!J$2:J$501,$BJ45)="","",INDEX(原始資料!J$2:J$501,$BJ45)))</f>
        <v/>
      </c>
      <c r="I45" s="6">
        <f>IF(OR($BJ45="",8&gt;設定!$B$3),"",IF(INDEX(原始資料!K$2:K$501,$BJ45)="","",INDEX(原始資料!K$2:K$501,$BJ45)))</f>
        <v/>
      </c>
      <c r="J45" s="6">
        <f>IF(OR($BJ45="",9&gt;設定!$B$3),"",IF(INDEX(原始資料!L$2:L$501,$BJ45)="","",INDEX(原始資料!L$2:L$501,$BJ45)))</f>
        <v/>
      </c>
      <c r="K45" s="6">
        <f>IF(OR($BJ45="",10&gt;設定!$B$3),"",IF(INDEX(原始資料!M$2:M$501,$BJ45)="","",INDEX(原始資料!M$2:M$501,$BJ45)))</f>
        <v/>
      </c>
      <c r="L45" s="6">
        <f>IF(OR($BJ45="",11&gt;設定!$B$3),"",IF(INDEX(原始資料!N$2:N$501,$BJ45)="","",INDEX(原始資料!N$2:N$501,$BJ45)))</f>
        <v/>
      </c>
      <c r="M45" s="6">
        <f>IF(OR($BJ45="",12&gt;設定!$B$3),"",IF(INDEX(原始資料!O$2:O$501,$BJ45)="","",INDEX(原始資料!O$2:O$501,$BJ45)))</f>
        <v/>
      </c>
      <c r="N45" s="6">
        <f>IF(OR($BJ45="",13&gt;設定!$B$3),"",IF(INDEX(原始資料!P$2:P$501,$BJ45)="","",INDEX(原始資料!P$2:P$501,$BJ45)))</f>
        <v/>
      </c>
      <c r="O45" s="6">
        <f>IF(OR($BJ45="",14&gt;設定!$B$3),"",IF(INDEX(原始資料!Q$2:Q$501,$BJ45)="","",INDEX(原始資料!Q$2:Q$501,$BJ45)))</f>
        <v/>
      </c>
      <c r="P45" s="6">
        <f>IF(OR($BJ45="",15&gt;設定!$B$3),"",IF(INDEX(原始資料!R$2:R$501,$BJ45)="","",INDEX(原始資料!R$2:R$501,$BJ45)))</f>
        <v/>
      </c>
      <c r="Q45" s="6">
        <f>IF(OR($BJ45="",16&gt;設定!$B$3),"",IF(INDEX(原始資料!S$2:S$501,$BJ45)="","",INDEX(原始資料!S$2:S$501,$BJ45)))</f>
        <v/>
      </c>
      <c r="R45" s="6">
        <f>IF(OR($BJ45="",17&gt;設定!$B$3),"",IF(INDEX(原始資料!T$2:T$501,$BJ45)="","",INDEX(原始資料!T$2:T$501,$BJ45)))</f>
        <v/>
      </c>
      <c r="S45" s="6">
        <f>IF(OR($BJ45="",18&gt;設定!$B$3),"",IF(INDEX(原始資料!U$2:U$501,$BJ45)="","",INDEX(原始資料!U$2:U$501,$BJ45)))</f>
        <v/>
      </c>
      <c r="T45" s="6">
        <f>IF(OR($BJ45="",19&gt;設定!$B$3),"",IF(INDEX(原始資料!V$2:V$501,$BJ45)="","",INDEX(原始資料!V$2:V$501,$BJ45)))</f>
        <v/>
      </c>
      <c r="U45" s="6">
        <f>IF(OR($BJ45="",20&gt;設定!$B$3),"",IF(INDEX(原始資料!W$2:W$501,$BJ45)="","",INDEX(原始資料!W$2:W$501,$BJ45)))</f>
        <v/>
      </c>
      <c r="V45" s="6">
        <f>IF(OR($BJ45="",21&gt;設定!$B$3),"",IF(INDEX(原始資料!X$2:X$501,$BJ45)="","",INDEX(原始資料!X$2:X$501,$BJ45)))</f>
        <v/>
      </c>
      <c r="W45" s="6">
        <f>IF(OR($BJ45="",22&gt;設定!$B$3),"",IF(INDEX(原始資料!Y$2:Y$501,$BJ45)="","",INDEX(原始資料!Y$2:Y$501,$BJ45)))</f>
        <v/>
      </c>
      <c r="X45" s="6">
        <f>IF(OR($BJ45="",23&gt;設定!$B$3),"",IF(INDEX(原始資料!Z$2:Z$501,$BJ45)="","",INDEX(原始資料!Z$2:Z$501,$BJ45)))</f>
        <v/>
      </c>
      <c r="Y45" s="6">
        <f>IF(OR($BJ45="",24&gt;設定!$B$3),"",IF(INDEX(原始資料!AA$2:AA$501,$BJ45)="","",INDEX(原始資料!AA$2:AA$501,$BJ45)))</f>
        <v/>
      </c>
      <c r="Z45" s="6">
        <f>IF(OR($BJ45="",25&gt;設定!$B$3),"",IF(INDEX(原始資料!AB$2:AB$501,$BJ45)="","",INDEX(原始資料!AB$2:AB$501,$BJ45)))</f>
        <v/>
      </c>
      <c r="AA45" s="6">
        <f>IF(OR($BJ45="",26&gt;設定!$B$3),"",IF(INDEX(原始資料!AC$2:AC$501,$BJ45)="","",INDEX(原始資料!AC$2:AC$501,$BJ45)))</f>
        <v/>
      </c>
      <c r="AB45" s="6">
        <f>IF(OR($BJ45="",27&gt;設定!$B$3),"",IF(INDEX(原始資料!AD$2:AD$501,$BJ45)="","",INDEX(原始資料!AD$2:AD$501,$BJ45)))</f>
        <v/>
      </c>
      <c r="AC45" s="6">
        <f>IF(OR($BJ45="",28&gt;設定!$B$3),"",IF(INDEX(原始資料!AE$2:AE$501,$BJ45)="","",INDEX(原始資料!AE$2:AE$501,$BJ45)))</f>
        <v/>
      </c>
      <c r="AD45" s="6">
        <f>IF(OR($BJ45="",29&gt;設定!$B$3),"",IF(INDEX(原始資料!AF$2:AF$501,$BJ45)="","",INDEX(原始資料!AF$2:AF$501,$BJ45)))</f>
        <v/>
      </c>
      <c r="AE45" s="6">
        <f>IF(OR($BJ45="",30&gt;設定!$B$3),"",IF(INDEX(原始資料!AG$2:AG$501,$BJ45)="","",INDEX(原始資料!AG$2:AG$501,$BJ45)))</f>
        <v/>
      </c>
      <c r="AF45" s="6">
        <f>IF(OR($BJ45="",31&gt;設定!$B$3),"",IF(INDEX(原始資料!AH$2:AH$501,$BJ45)="","",INDEX(原始資料!AH$2:AH$501,$BJ45)))</f>
        <v/>
      </c>
      <c r="AG45" s="6">
        <f>IF(OR($BJ45="",32&gt;設定!$B$3),"",IF(INDEX(原始資料!AI$2:AI$501,$BJ45)="","",INDEX(原始資料!AI$2:AI$501,$BJ45)))</f>
        <v/>
      </c>
      <c r="AH45" s="6">
        <f>IF(OR($BJ45="",33&gt;設定!$B$3),"",IF(INDEX(原始資料!AJ$2:AJ$501,$BJ45)="","",INDEX(原始資料!AJ$2:AJ$501,$BJ45)))</f>
        <v/>
      </c>
      <c r="AI45" s="6">
        <f>IF(OR($BJ45="",34&gt;設定!$B$3),"",IF(INDEX(原始資料!AK$2:AK$501,$BJ45)="","",INDEX(原始資料!AK$2:AK$501,$BJ45)))</f>
        <v/>
      </c>
      <c r="AJ45" s="6">
        <f>IF(OR($BJ45="",35&gt;設定!$B$3),"",IF(INDEX(原始資料!AL$2:AL$501,$BJ45)="","",INDEX(原始資料!AL$2:AL$501,$BJ45)))</f>
        <v/>
      </c>
      <c r="AK45" s="6">
        <f>IF(OR($BJ45="",36&gt;設定!$B$3),"",IF(INDEX(原始資料!AM$2:AM$501,$BJ45)="","",INDEX(原始資料!AM$2:AM$501,$BJ45)))</f>
        <v/>
      </c>
      <c r="AL45" s="6">
        <f>IF(OR($BJ45="",37&gt;設定!$B$3),"",IF(INDEX(原始資料!AN$2:AN$501,$BJ45)="","",INDEX(原始資料!AN$2:AN$501,$BJ45)))</f>
        <v/>
      </c>
      <c r="AM45" s="6">
        <f>IF(OR($BJ45="",38&gt;設定!$B$3),"",IF(INDEX(原始資料!AO$2:AO$501,$BJ45)="","",INDEX(原始資料!AO$2:AO$501,$BJ45)))</f>
        <v/>
      </c>
      <c r="AN45" s="6">
        <f>IF(OR($BJ45="",39&gt;設定!$B$3),"",IF(INDEX(原始資料!AP$2:AP$501,$BJ45)="","",INDEX(原始資料!AP$2:AP$501,$BJ45)))</f>
        <v/>
      </c>
      <c r="AO45" s="6">
        <f>IF(OR($BJ45="",40&gt;設定!$B$3),"",IF(INDEX(原始資料!AQ$2:AQ$501,$BJ45)="","",INDEX(原始資料!AQ$2:AQ$501,$BJ45)))</f>
        <v/>
      </c>
      <c r="AP45" s="6">
        <f>IF(OR($BJ45="",41&gt;設定!$B$3),"",IF(INDEX(原始資料!AR$2:AR$501,$BJ45)="","",INDEX(原始資料!AR$2:AR$501,$BJ45)))</f>
        <v/>
      </c>
      <c r="AQ45" s="6">
        <f>IF(OR($BJ45="",42&gt;設定!$B$3),"",IF(INDEX(原始資料!AS$2:AS$501,$BJ45)="","",INDEX(原始資料!AS$2:AS$501,$BJ45)))</f>
        <v/>
      </c>
      <c r="AR45" s="6">
        <f>IF(OR($BJ45="",43&gt;設定!$B$3),"",IF(INDEX(原始資料!AT$2:AT$501,$BJ45)="","",INDEX(原始資料!AT$2:AT$501,$BJ45)))</f>
        <v/>
      </c>
      <c r="AS45" s="6">
        <f>IF(OR($BJ45="",44&gt;設定!$B$3),"",IF(INDEX(原始資料!AU$2:AU$501,$BJ45)="","",INDEX(原始資料!AU$2:AU$501,$BJ45)))</f>
        <v/>
      </c>
      <c r="AT45" s="6">
        <f>IF(OR($BJ45="",45&gt;設定!$B$3),"",IF(INDEX(原始資料!AV$2:AV$501,$BJ45)="","",INDEX(原始資料!AV$2:AV$501,$BJ45)))</f>
        <v/>
      </c>
      <c r="AU45" s="6">
        <f>IF(OR($BJ45="",46&gt;設定!$B$3),"",IF(INDEX(原始資料!AW$2:AW$501,$BJ45)="","",INDEX(原始資料!AW$2:AW$501,$BJ45)))</f>
        <v/>
      </c>
      <c r="AV45" s="6">
        <f>IF(OR($BJ45="",47&gt;設定!$B$3),"",IF(INDEX(原始資料!AX$2:AX$501,$BJ45)="","",INDEX(原始資料!AX$2:AX$501,$BJ45)))</f>
        <v/>
      </c>
      <c r="AW45" s="6">
        <f>IF(OR($BJ45="",48&gt;設定!$B$3),"",IF(INDEX(原始資料!AY$2:AY$501,$BJ45)="","",INDEX(原始資料!AY$2:AY$501,$BJ45)))</f>
        <v/>
      </c>
      <c r="AX45" s="6">
        <f>IF(OR($BJ45="",49&gt;設定!$B$3),"",IF(INDEX(原始資料!AZ$2:AZ$501,$BJ45)="","",INDEX(原始資料!AZ$2:AZ$501,$BJ45)))</f>
        <v/>
      </c>
      <c r="AY45" s="6">
        <f>IF(OR($BJ45="",50&gt;設定!$B$3),"",IF(INDEX(原始資料!BA$2:BA$501,$BJ45)="","",INDEX(原始資料!BA$2:BA$501,$BJ45)))</f>
        <v/>
      </c>
      <c r="AZ45" s="6">
        <f>IF(OR($BJ45="",51&gt;設定!$B$3),"",IF(INDEX(原始資料!BB$2:BB$501,$BJ45)="","",INDEX(原始資料!BB$2:BB$501,$BJ45)))</f>
        <v/>
      </c>
      <c r="BA45" s="6">
        <f>IF(OR($BJ45="",52&gt;設定!$B$3),"",IF(INDEX(原始資料!BC$2:BC$501,$BJ45)="","",INDEX(原始資料!BC$2:BC$501,$BJ45)))</f>
        <v/>
      </c>
      <c r="BB45" s="6">
        <f>IF(OR($BJ45="",53&gt;設定!$B$3),"",IF(INDEX(原始資料!BD$2:BD$501,$BJ45)="","",INDEX(原始資料!BD$2:BD$501,$BJ45)))</f>
        <v/>
      </c>
      <c r="BC45" s="6">
        <f>IF(OR($BJ45="",54&gt;設定!$B$3),"",IF(INDEX(原始資料!BE$2:BE$501,$BJ45)="","",INDEX(原始資料!BE$2:BE$501,$BJ45)))</f>
        <v/>
      </c>
      <c r="BD45" s="6">
        <f>IF(OR($BJ45="",55&gt;設定!$B$3),"",IF(INDEX(原始資料!BF$2:BF$501,$BJ45)="","",INDEX(原始資料!BF$2:BF$501,$BJ45)))</f>
        <v/>
      </c>
      <c r="BE45" s="6">
        <f>IF(OR($BJ45="",56&gt;設定!$B$3),"",IF(INDEX(原始資料!BG$2:BG$501,$BJ45)="","",INDEX(原始資料!BG$2:BG$501,$BJ45)))</f>
        <v/>
      </c>
      <c r="BF45" s="6">
        <f>IF(OR($BJ45="",57&gt;設定!$B$3),"",IF(INDEX(原始資料!BH$2:BH$501,$BJ45)="","",INDEX(原始資料!BH$2:BH$501,$BJ45)))</f>
        <v/>
      </c>
      <c r="BG45" s="6">
        <f>IF(OR($BJ45="",58&gt;設定!$B$3),"",IF(INDEX(原始資料!BI$2:BI$501,$BJ45)="","",INDEX(原始資料!BI$2:BI$501,$BJ45)))</f>
        <v/>
      </c>
      <c r="BH45" s="6">
        <f>IF(OR($BJ45="",59&gt;設定!$B$3),"",IF(INDEX(原始資料!BJ$2:BJ$501,$BJ45)="","",INDEX(原始資料!BJ$2:BJ$501,$BJ45)))</f>
        <v/>
      </c>
      <c r="BI45" s="6">
        <f>IF(OR($BJ45="",60&gt;設定!$B$3),"",IF(INDEX(原始資料!BK$2:BK$501,$BJ45)="","",INDEX(原始資料!BK$2:BK$501,$BJ45)))</f>
        <v/>
      </c>
      <c r="BJ45" s="6">
        <f>IFERROR(MATCH(ROW()-1,判定!$H$2:$H$501,0),"")</f>
        <v/>
      </c>
    </row>
    <row r="46">
      <c r="A46" s="6">
        <f>IF($BJ46="","",INDEX(原始資料!$A$2:$A$501,$BJ46))</f>
        <v/>
      </c>
      <c r="B46" s="6">
        <f>IF(OR($BJ46="",1&gt;設定!$B$3),"",IF(INDEX(原始資料!D$2:D$501,$BJ46)="","",INDEX(原始資料!D$2:D$501,$BJ46)))</f>
        <v/>
      </c>
      <c r="C46" s="6">
        <f>IF(OR($BJ46="",2&gt;設定!$B$3),"",IF(INDEX(原始資料!E$2:E$501,$BJ46)="","",INDEX(原始資料!E$2:E$501,$BJ46)))</f>
        <v/>
      </c>
      <c r="D46" s="6">
        <f>IF(OR($BJ46="",3&gt;設定!$B$3),"",IF(INDEX(原始資料!F$2:F$501,$BJ46)="","",INDEX(原始資料!F$2:F$501,$BJ46)))</f>
        <v/>
      </c>
      <c r="E46" s="6">
        <f>IF(OR($BJ46="",4&gt;設定!$B$3),"",IF(INDEX(原始資料!G$2:G$501,$BJ46)="","",INDEX(原始資料!G$2:G$501,$BJ46)))</f>
        <v/>
      </c>
      <c r="F46" s="6">
        <f>IF(OR($BJ46="",5&gt;設定!$B$3),"",IF(INDEX(原始資料!H$2:H$501,$BJ46)="","",INDEX(原始資料!H$2:H$501,$BJ46)))</f>
        <v/>
      </c>
      <c r="G46" s="6">
        <f>IF(OR($BJ46="",6&gt;設定!$B$3),"",IF(INDEX(原始資料!I$2:I$501,$BJ46)="","",INDEX(原始資料!I$2:I$501,$BJ46)))</f>
        <v/>
      </c>
      <c r="H46" s="6">
        <f>IF(OR($BJ46="",7&gt;設定!$B$3),"",IF(INDEX(原始資料!J$2:J$501,$BJ46)="","",INDEX(原始資料!J$2:J$501,$BJ46)))</f>
        <v/>
      </c>
      <c r="I46" s="6">
        <f>IF(OR($BJ46="",8&gt;設定!$B$3),"",IF(INDEX(原始資料!K$2:K$501,$BJ46)="","",INDEX(原始資料!K$2:K$501,$BJ46)))</f>
        <v/>
      </c>
      <c r="J46" s="6">
        <f>IF(OR($BJ46="",9&gt;設定!$B$3),"",IF(INDEX(原始資料!L$2:L$501,$BJ46)="","",INDEX(原始資料!L$2:L$501,$BJ46)))</f>
        <v/>
      </c>
      <c r="K46" s="6">
        <f>IF(OR($BJ46="",10&gt;設定!$B$3),"",IF(INDEX(原始資料!M$2:M$501,$BJ46)="","",INDEX(原始資料!M$2:M$501,$BJ46)))</f>
        <v/>
      </c>
      <c r="L46" s="6">
        <f>IF(OR($BJ46="",11&gt;設定!$B$3),"",IF(INDEX(原始資料!N$2:N$501,$BJ46)="","",INDEX(原始資料!N$2:N$501,$BJ46)))</f>
        <v/>
      </c>
      <c r="M46" s="6">
        <f>IF(OR($BJ46="",12&gt;設定!$B$3),"",IF(INDEX(原始資料!O$2:O$501,$BJ46)="","",INDEX(原始資料!O$2:O$501,$BJ46)))</f>
        <v/>
      </c>
      <c r="N46" s="6">
        <f>IF(OR($BJ46="",13&gt;設定!$B$3),"",IF(INDEX(原始資料!P$2:P$501,$BJ46)="","",INDEX(原始資料!P$2:P$501,$BJ46)))</f>
        <v/>
      </c>
      <c r="O46" s="6">
        <f>IF(OR($BJ46="",14&gt;設定!$B$3),"",IF(INDEX(原始資料!Q$2:Q$501,$BJ46)="","",INDEX(原始資料!Q$2:Q$501,$BJ46)))</f>
        <v/>
      </c>
      <c r="P46" s="6">
        <f>IF(OR($BJ46="",15&gt;設定!$B$3),"",IF(INDEX(原始資料!R$2:R$501,$BJ46)="","",INDEX(原始資料!R$2:R$501,$BJ46)))</f>
        <v/>
      </c>
      <c r="Q46" s="6">
        <f>IF(OR($BJ46="",16&gt;設定!$B$3),"",IF(INDEX(原始資料!S$2:S$501,$BJ46)="","",INDEX(原始資料!S$2:S$501,$BJ46)))</f>
        <v/>
      </c>
      <c r="R46" s="6">
        <f>IF(OR($BJ46="",17&gt;設定!$B$3),"",IF(INDEX(原始資料!T$2:T$501,$BJ46)="","",INDEX(原始資料!T$2:T$501,$BJ46)))</f>
        <v/>
      </c>
      <c r="S46" s="6">
        <f>IF(OR($BJ46="",18&gt;設定!$B$3),"",IF(INDEX(原始資料!U$2:U$501,$BJ46)="","",INDEX(原始資料!U$2:U$501,$BJ46)))</f>
        <v/>
      </c>
      <c r="T46" s="6">
        <f>IF(OR($BJ46="",19&gt;設定!$B$3),"",IF(INDEX(原始資料!V$2:V$501,$BJ46)="","",INDEX(原始資料!V$2:V$501,$BJ46)))</f>
        <v/>
      </c>
      <c r="U46" s="6">
        <f>IF(OR($BJ46="",20&gt;設定!$B$3),"",IF(INDEX(原始資料!W$2:W$501,$BJ46)="","",INDEX(原始資料!W$2:W$501,$BJ46)))</f>
        <v/>
      </c>
      <c r="V46" s="6">
        <f>IF(OR($BJ46="",21&gt;設定!$B$3),"",IF(INDEX(原始資料!X$2:X$501,$BJ46)="","",INDEX(原始資料!X$2:X$501,$BJ46)))</f>
        <v/>
      </c>
      <c r="W46" s="6">
        <f>IF(OR($BJ46="",22&gt;設定!$B$3),"",IF(INDEX(原始資料!Y$2:Y$501,$BJ46)="","",INDEX(原始資料!Y$2:Y$501,$BJ46)))</f>
        <v/>
      </c>
      <c r="X46" s="6">
        <f>IF(OR($BJ46="",23&gt;設定!$B$3),"",IF(INDEX(原始資料!Z$2:Z$501,$BJ46)="","",INDEX(原始資料!Z$2:Z$501,$BJ46)))</f>
        <v/>
      </c>
      <c r="Y46" s="6">
        <f>IF(OR($BJ46="",24&gt;設定!$B$3),"",IF(INDEX(原始資料!AA$2:AA$501,$BJ46)="","",INDEX(原始資料!AA$2:AA$501,$BJ46)))</f>
        <v/>
      </c>
      <c r="Z46" s="6">
        <f>IF(OR($BJ46="",25&gt;設定!$B$3),"",IF(INDEX(原始資料!AB$2:AB$501,$BJ46)="","",INDEX(原始資料!AB$2:AB$501,$BJ46)))</f>
        <v/>
      </c>
      <c r="AA46" s="6">
        <f>IF(OR($BJ46="",26&gt;設定!$B$3),"",IF(INDEX(原始資料!AC$2:AC$501,$BJ46)="","",INDEX(原始資料!AC$2:AC$501,$BJ46)))</f>
        <v/>
      </c>
      <c r="AB46" s="6">
        <f>IF(OR($BJ46="",27&gt;設定!$B$3),"",IF(INDEX(原始資料!AD$2:AD$501,$BJ46)="","",INDEX(原始資料!AD$2:AD$501,$BJ46)))</f>
        <v/>
      </c>
      <c r="AC46" s="6">
        <f>IF(OR($BJ46="",28&gt;設定!$B$3),"",IF(INDEX(原始資料!AE$2:AE$501,$BJ46)="","",INDEX(原始資料!AE$2:AE$501,$BJ46)))</f>
        <v/>
      </c>
      <c r="AD46" s="6">
        <f>IF(OR($BJ46="",29&gt;設定!$B$3),"",IF(INDEX(原始資料!AF$2:AF$501,$BJ46)="","",INDEX(原始資料!AF$2:AF$501,$BJ46)))</f>
        <v/>
      </c>
      <c r="AE46" s="6">
        <f>IF(OR($BJ46="",30&gt;設定!$B$3),"",IF(INDEX(原始資料!AG$2:AG$501,$BJ46)="","",INDEX(原始資料!AG$2:AG$501,$BJ46)))</f>
        <v/>
      </c>
      <c r="AF46" s="6">
        <f>IF(OR($BJ46="",31&gt;設定!$B$3),"",IF(INDEX(原始資料!AH$2:AH$501,$BJ46)="","",INDEX(原始資料!AH$2:AH$501,$BJ46)))</f>
        <v/>
      </c>
      <c r="AG46" s="6">
        <f>IF(OR($BJ46="",32&gt;設定!$B$3),"",IF(INDEX(原始資料!AI$2:AI$501,$BJ46)="","",INDEX(原始資料!AI$2:AI$501,$BJ46)))</f>
        <v/>
      </c>
      <c r="AH46" s="6">
        <f>IF(OR($BJ46="",33&gt;設定!$B$3),"",IF(INDEX(原始資料!AJ$2:AJ$501,$BJ46)="","",INDEX(原始資料!AJ$2:AJ$501,$BJ46)))</f>
        <v/>
      </c>
      <c r="AI46" s="6">
        <f>IF(OR($BJ46="",34&gt;設定!$B$3),"",IF(INDEX(原始資料!AK$2:AK$501,$BJ46)="","",INDEX(原始資料!AK$2:AK$501,$BJ46)))</f>
        <v/>
      </c>
      <c r="AJ46" s="6">
        <f>IF(OR($BJ46="",35&gt;設定!$B$3),"",IF(INDEX(原始資料!AL$2:AL$501,$BJ46)="","",INDEX(原始資料!AL$2:AL$501,$BJ46)))</f>
        <v/>
      </c>
      <c r="AK46" s="6">
        <f>IF(OR($BJ46="",36&gt;設定!$B$3),"",IF(INDEX(原始資料!AM$2:AM$501,$BJ46)="","",INDEX(原始資料!AM$2:AM$501,$BJ46)))</f>
        <v/>
      </c>
      <c r="AL46" s="6">
        <f>IF(OR($BJ46="",37&gt;設定!$B$3),"",IF(INDEX(原始資料!AN$2:AN$501,$BJ46)="","",INDEX(原始資料!AN$2:AN$501,$BJ46)))</f>
        <v/>
      </c>
      <c r="AM46" s="6">
        <f>IF(OR($BJ46="",38&gt;設定!$B$3),"",IF(INDEX(原始資料!AO$2:AO$501,$BJ46)="","",INDEX(原始資料!AO$2:AO$501,$BJ46)))</f>
        <v/>
      </c>
      <c r="AN46" s="6">
        <f>IF(OR($BJ46="",39&gt;設定!$B$3),"",IF(INDEX(原始資料!AP$2:AP$501,$BJ46)="","",INDEX(原始資料!AP$2:AP$501,$BJ46)))</f>
        <v/>
      </c>
      <c r="AO46" s="6">
        <f>IF(OR($BJ46="",40&gt;設定!$B$3),"",IF(INDEX(原始資料!AQ$2:AQ$501,$BJ46)="","",INDEX(原始資料!AQ$2:AQ$501,$BJ46)))</f>
        <v/>
      </c>
      <c r="AP46" s="6">
        <f>IF(OR($BJ46="",41&gt;設定!$B$3),"",IF(INDEX(原始資料!AR$2:AR$501,$BJ46)="","",INDEX(原始資料!AR$2:AR$501,$BJ46)))</f>
        <v/>
      </c>
      <c r="AQ46" s="6">
        <f>IF(OR($BJ46="",42&gt;設定!$B$3),"",IF(INDEX(原始資料!AS$2:AS$501,$BJ46)="","",INDEX(原始資料!AS$2:AS$501,$BJ46)))</f>
        <v/>
      </c>
      <c r="AR46" s="6">
        <f>IF(OR($BJ46="",43&gt;設定!$B$3),"",IF(INDEX(原始資料!AT$2:AT$501,$BJ46)="","",INDEX(原始資料!AT$2:AT$501,$BJ46)))</f>
        <v/>
      </c>
      <c r="AS46" s="6">
        <f>IF(OR($BJ46="",44&gt;設定!$B$3),"",IF(INDEX(原始資料!AU$2:AU$501,$BJ46)="","",INDEX(原始資料!AU$2:AU$501,$BJ46)))</f>
        <v/>
      </c>
      <c r="AT46" s="6">
        <f>IF(OR($BJ46="",45&gt;設定!$B$3),"",IF(INDEX(原始資料!AV$2:AV$501,$BJ46)="","",INDEX(原始資料!AV$2:AV$501,$BJ46)))</f>
        <v/>
      </c>
      <c r="AU46" s="6">
        <f>IF(OR($BJ46="",46&gt;設定!$B$3),"",IF(INDEX(原始資料!AW$2:AW$501,$BJ46)="","",INDEX(原始資料!AW$2:AW$501,$BJ46)))</f>
        <v/>
      </c>
      <c r="AV46" s="6">
        <f>IF(OR($BJ46="",47&gt;設定!$B$3),"",IF(INDEX(原始資料!AX$2:AX$501,$BJ46)="","",INDEX(原始資料!AX$2:AX$501,$BJ46)))</f>
        <v/>
      </c>
      <c r="AW46" s="6">
        <f>IF(OR($BJ46="",48&gt;設定!$B$3),"",IF(INDEX(原始資料!AY$2:AY$501,$BJ46)="","",INDEX(原始資料!AY$2:AY$501,$BJ46)))</f>
        <v/>
      </c>
      <c r="AX46" s="6">
        <f>IF(OR($BJ46="",49&gt;設定!$B$3),"",IF(INDEX(原始資料!AZ$2:AZ$501,$BJ46)="","",INDEX(原始資料!AZ$2:AZ$501,$BJ46)))</f>
        <v/>
      </c>
      <c r="AY46" s="6">
        <f>IF(OR($BJ46="",50&gt;設定!$B$3),"",IF(INDEX(原始資料!BA$2:BA$501,$BJ46)="","",INDEX(原始資料!BA$2:BA$501,$BJ46)))</f>
        <v/>
      </c>
      <c r="AZ46" s="6">
        <f>IF(OR($BJ46="",51&gt;設定!$B$3),"",IF(INDEX(原始資料!BB$2:BB$501,$BJ46)="","",INDEX(原始資料!BB$2:BB$501,$BJ46)))</f>
        <v/>
      </c>
      <c r="BA46" s="6">
        <f>IF(OR($BJ46="",52&gt;設定!$B$3),"",IF(INDEX(原始資料!BC$2:BC$501,$BJ46)="","",INDEX(原始資料!BC$2:BC$501,$BJ46)))</f>
        <v/>
      </c>
      <c r="BB46" s="6">
        <f>IF(OR($BJ46="",53&gt;設定!$B$3),"",IF(INDEX(原始資料!BD$2:BD$501,$BJ46)="","",INDEX(原始資料!BD$2:BD$501,$BJ46)))</f>
        <v/>
      </c>
      <c r="BC46" s="6">
        <f>IF(OR($BJ46="",54&gt;設定!$B$3),"",IF(INDEX(原始資料!BE$2:BE$501,$BJ46)="","",INDEX(原始資料!BE$2:BE$501,$BJ46)))</f>
        <v/>
      </c>
      <c r="BD46" s="6">
        <f>IF(OR($BJ46="",55&gt;設定!$B$3),"",IF(INDEX(原始資料!BF$2:BF$501,$BJ46)="","",INDEX(原始資料!BF$2:BF$501,$BJ46)))</f>
        <v/>
      </c>
      <c r="BE46" s="6">
        <f>IF(OR($BJ46="",56&gt;設定!$B$3),"",IF(INDEX(原始資料!BG$2:BG$501,$BJ46)="","",INDEX(原始資料!BG$2:BG$501,$BJ46)))</f>
        <v/>
      </c>
      <c r="BF46" s="6">
        <f>IF(OR($BJ46="",57&gt;設定!$B$3),"",IF(INDEX(原始資料!BH$2:BH$501,$BJ46)="","",INDEX(原始資料!BH$2:BH$501,$BJ46)))</f>
        <v/>
      </c>
      <c r="BG46" s="6">
        <f>IF(OR($BJ46="",58&gt;設定!$B$3),"",IF(INDEX(原始資料!BI$2:BI$501,$BJ46)="","",INDEX(原始資料!BI$2:BI$501,$BJ46)))</f>
        <v/>
      </c>
      <c r="BH46" s="6">
        <f>IF(OR($BJ46="",59&gt;設定!$B$3),"",IF(INDEX(原始資料!BJ$2:BJ$501,$BJ46)="","",INDEX(原始資料!BJ$2:BJ$501,$BJ46)))</f>
        <v/>
      </c>
      <c r="BI46" s="6">
        <f>IF(OR($BJ46="",60&gt;設定!$B$3),"",IF(INDEX(原始資料!BK$2:BK$501,$BJ46)="","",INDEX(原始資料!BK$2:BK$501,$BJ46)))</f>
        <v/>
      </c>
      <c r="BJ46" s="6">
        <f>IFERROR(MATCH(ROW()-1,判定!$H$2:$H$501,0),"")</f>
        <v/>
      </c>
    </row>
    <row r="47">
      <c r="A47" s="6">
        <f>IF($BJ47="","",INDEX(原始資料!$A$2:$A$501,$BJ47))</f>
        <v/>
      </c>
      <c r="B47" s="6">
        <f>IF(OR($BJ47="",1&gt;設定!$B$3),"",IF(INDEX(原始資料!D$2:D$501,$BJ47)="","",INDEX(原始資料!D$2:D$501,$BJ47)))</f>
        <v/>
      </c>
      <c r="C47" s="6">
        <f>IF(OR($BJ47="",2&gt;設定!$B$3),"",IF(INDEX(原始資料!E$2:E$501,$BJ47)="","",INDEX(原始資料!E$2:E$501,$BJ47)))</f>
        <v/>
      </c>
      <c r="D47" s="6">
        <f>IF(OR($BJ47="",3&gt;設定!$B$3),"",IF(INDEX(原始資料!F$2:F$501,$BJ47)="","",INDEX(原始資料!F$2:F$501,$BJ47)))</f>
        <v/>
      </c>
      <c r="E47" s="6">
        <f>IF(OR($BJ47="",4&gt;設定!$B$3),"",IF(INDEX(原始資料!G$2:G$501,$BJ47)="","",INDEX(原始資料!G$2:G$501,$BJ47)))</f>
        <v/>
      </c>
      <c r="F47" s="6">
        <f>IF(OR($BJ47="",5&gt;設定!$B$3),"",IF(INDEX(原始資料!H$2:H$501,$BJ47)="","",INDEX(原始資料!H$2:H$501,$BJ47)))</f>
        <v/>
      </c>
      <c r="G47" s="6">
        <f>IF(OR($BJ47="",6&gt;設定!$B$3),"",IF(INDEX(原始資料!I$2:I$501,$BJ47)="","",INDEX(原始資料!I$2:I$501,$BJ47)))</f>
        <v/>
      </c>
      <c r="H47" s="6">
        <f>IF(OR($BJ47="",7&gt;設定!$B$3),"",IF(INDEX(原始資料!J$2:J$501,$BJ47)="","",INDEX(原始資料!J$2:J$501,$BJ47)))</f>
        <v/>
      </c>
      <c r="I47" s="6">
        <f>IF(OR($BJ47="",8&gt;設定!$B$3),"",IF(INDEX(原始資料!K$2:K$501,$BJ47)="","",INDEX(原始資料!K$2:K$501,$BJ47)))</f>
        <v/>
      </c>
      <c r="J47" s="6">
        <f>IF(OR($BJ47="",9&gt;設定!$B$3),"",IF(INDEX(原始資料!L$2:L$501,$BJ47)="","",INDEX(原始資料!L$2:L$501,$BJ47)))</f>
        <v/>
      </c>
      <c r="K47" s="6">
        <f>IF(OR($BJ47="",10&gt;設定!$B$3),"",IF(INDEX(原始資料!M$2:M$501,$BJ47)="","",INDEX(原始資料!M$2:M$501,$BJ47)))</f>
        <v/>
      </c>
      <c r="L47" s="6">
        <f>IF(OR($BJ47="",11&gt;設定!$B$3),"",IF(INDEX(原始資料!N$2:N$501,$BJ47)="","",INDEX(原始資料!N$2:N$501,$BJ47)))</f>
        <v/>
      </c>
      <c r="M47" s="6">
        <f>IF(OR($BJ47="",12&gt;設定!$B$3),"",IF(INDEX(原始資料!O$2:O$501,$BJ47)="","",INDEX(原始資料!O$2:O$501,$BJ47)))</f>
        <v/>
      </c>
      <c r="N47" s="6">
        <f>IF(OR($BJ47="",13&gt;設定!$B$3),"",IF(INDEX(原始資料!P$2:P$501,$BJ47)="","",INDEX(原始資料!P$2:P$501,$BJ47)))</f>
        <v/>
      </c>
      <c r="O47" s="6">
        <f>IF(OR($BJ47="",14&gt;設定!$B$3),"",IF(INDEX(原始資料!Q$2:Q$501,$BJ47)="","",INDEX(原始資料!Q$2:Q$501,$BJ47)))</f>
        <v/>
      </c>
      <c r="P47" s="6">
        <f>IF(OR($BJ47="",15&gt;設定!$B$3),"",IF(INDEX(原始資料!R$2:R$501,$BJ47)="","",INDEX(原始資料!R$2:R$501,$BJ47)))</f>
        <v/>
      </c>
      <c r="Q47" s="6">
        <f>IF(OR($BJ47="",16&gt;設定!$B$3),"",IF(INDEX(原始資料!S$2:S$501,$BJ47)="","",INDEX(原始資料!S$2:S$501,$BJ47)))</f>
        <v/>
      </c>
      <c r="R47" s="6">
        <f>IF(OR($BJ47="",17&gt;設定!$B$3),"",IF(INDEX(原始資料!T$2:T$501,$BJ47)="","",INDEX(原始資料!T$2:T$501,$BJ47)))</f>
        <v/>
      </c>
      <c r="S47" s="6">
        <f>IF(OR($BJ47="",18&gt;設定!$B$3),"",IF(INDEX(原始資料!U$2:U$501,$BJ47)="","",INDEX(原始資料!U$2:U$501,$BJ47)))</f>
        <v/>
      </c>
      <c r="T47" s="6">
        <f>IF(OR($BJ47="",19&gt;設定!$B$3),"",IF(INDEX(原始資料!V$2:V$501,$BJ47)="","",INDEX(原始資料!V$2:V$501,$BJ47)))</f>
        <v/>
      </c>
      <c r="U47" s="6">
        <f>IF(OR($BJ47="",20&gt;設定!$B$3),"",IF(INDEX(原始資料!W$2:W$501,$BJ47)="","",INDEX(原始資料!W$2:W$501,$BJ47)))</f>
        <v/>
      </c>
      <c r="V47" s="6">
        <f>IF(OR($BJ47="",21&gt;設定!$B$3),"",IF(INDEX(原始資料!X$2:X$501,$BJ47)="","",INDEX(原始資料!X$2:X$501,$BJ47)))</f>
        <v/>
      </c>
      <c r="W47" s="6">
        <f>IF(OR($BJ47="",22&gt;設定!$B$3),"",IF(INDEX(原始資料!Y$2:Y$501,$BJ47)="","",INDEX(原始資料!Y$2:Y$501,$BJ47)))</f>
        <v/>
      </c>
      <c r="X47" s="6">
        <f>IF(OR($BJ47="",23&gt;設定!$B$3),"",IF(INDEX(原始資料!Z$2:Z$501,$BJ47)="","",INDEX(原始資料!Z$2:Z$501,$BJ47)))</f>
        <v/>
      </c>
      <c r="Y47" s="6">
        <f>IF(OR($BJ47="",24&gt;設定!$B$3),"",IF(INDEX(原始資料!AA$2:AA$501,$BJ47)="","",INDEX(原始資料!AA$2:AA$501,$BJ47)))</f>
        <v/>
      </c>
      <c r="Z47" s="6">
        <f>IF(OR($BJ47="",25&gt;設定!$B$3),"",IF(INDEX(原始資料!AB$2:AB$501,$BJ47)="","",INDEX(原始資料!AB$2:AB$501,$BJ47)))</f>
        <v/>
      </c>
      <c r="AA47" s="6">
        <f>IF(OR($BJ47="",26&gt;設定!$B$3),"",IF(INDEX(原始資料!AC$2:AC$501,$BJ47)="","",INDEX(原始資料!AC$2:AC$501,$BJ47)))</f>
        <v/>
      </c>
      <c r="AB47" s="6">
        <f>IF(OR($BJ47="",27&gt;設定!$B$3),"",IF(INDEX(原始資料!AD$2:AD$501,$BJ47)="","",INDEX(原始資料!AD$2:AD$501,$BJ47)))</f>
        <v/>
      </c>
      <c r="AC47" s="6">
        <f>IF(OR($BJ47="",28&gt;設定!$B$3),"",IF(INDEX(原始資料!AE$2:AE$501,$BJ47)="","",INDEX(原始資料!AE$2:AE$501,$BJ47)))</f>
        <v/>
      </c>
      <c r="AD47" s="6">
        <f>IF(OR($BJ47="",29&gt;設定!$B$3),"",IF(INDEX(原始資料!AF$2:AF$501,$BJ47)="","",INDEX(原始資料!AF$2:AF$501,$BJ47)))</f>
        <v/>
      </c>
      <c r="AE47" s="6">
        <f>IF(OR($BJ47="",30&gt;設定!$B$3),"",IF(INDEX(原始資料!AG$2:AG$501,$BJ47)="","",INDEX(原始資料!AG$2:AG$501,$BJ47)))</f>
        <v/>
      </c>
      <c r="AF47" s="6">
        <f>IF(OR($BJ47="",31&gt;設定!$B$3),"",IF(INDEX(原始資料!AH$2:AH$501,$BJ47)="","",INDEX(原始資料!AH$2:AH$501,$BJ47)))</f>
        <v/>
      </c>
      <c r="AG47" s="6">
        <f>IF(OR($BJ47="",32&gt;設定!$B$3),"",IF(INDEX(原始資料!AI$2:AI$501,$BJ47)="","",INDEX(原始資料!AI$2:AI$501,$BJ47)))</f>
        <v/>
      </c>
      <c r="AH47" s="6">
        <f>IF(OR($BJ47="",33&gt;設定!$B$3),"",IF(INDEX(原始資料!AJ$2:AJ$501,$BJ47)="","",INDEX(原始資料!AJ$2:AJ$501,$BJ47)))</f>
        <v/>
      </c>
      <c r="AI47" s="6">
        <f>IF(OR($BJ47="",34&gt;設定!$B$3),"",IF(INDEX(原始資料!AK$2:AK$501,$BJ47)="","",INDEX(原始資料!AK$2:AK$501,$BJ47)))</f>
        <v/>
      </c>
      <c r="AJ47" s="6">
        <f>IF(OR($BJ47="",35&gt;設定!$B$3),"",IF(INDEX(原始資料!AL$2:AL$501,$BJ47)="","",INDEX(原始資料!AL$2:AL$501,$BJ47)))</f>
        <v/>
      </c>
      <c r="AK47" s="6">
        <f>IF(OR($BJ47="",36&gt;設定!$B$3),"",IF(INDEX(原始資料!AM$2:AM$501,$BJ47)="","",INDEX(原始資料!AM$2:AM$501,$BJ47)))</f>
        <v/>
      </c>
      <c r="AL47" s="6">
        <f>IF(OR($BJ47="",37&gt;設定!$B$3),"",IF(INDEX(原始資料!AN$2:AN$501,$BJ47)="","",INDEX(原始資料!AN$2:AN$501,$BJ47)))</f>
        <v/>
      </c>
      <c r="AM47" s="6">
        <f>IF(OR($BJ47="",38&gt;設定!$B$3),"",IF(INDEX(原始資料!AO$2:AO$501,$BJ47)="","",INDEX(原始資料!AO$2:AO$501,$BJ47)))</f>
        <v/>
      </c>
      <c r="AN47" s="6">
        <f>IF(OR($BJ47="",39&gt;設定!$B$3),"",IF(INDEX(原始資料!AP$2:AP$501,$BJ47)="","",INDEX(原始資料!AP$2:AP$501,$BJ47)))</f>
        <v/>
      </c>
      <c r="AO47" s="6">
        <f>IF(OR($BJ47="",40&gt;設定!$B$3),"",IF(INDEX(原始資料!AQ$2:AQ$501,$BJ47)="","",INDEX(原始資料!AQ$2:AQ$501,$BJ47)))</f>
        <v/>
      </c>
      <c r="AP47" s="6">
        <f>IF(OR($BJ47="",41&gt;設定!$B$3),"",IF(INDEX(原始資料!AR$2:AR$501,$BJ47)="","",INDEX(原始資料!AR$2:AR$501,$BJ47)))</f>
        <v/>
      </c>
      <c r="AQ47" s="6">
        <f>IF(OR($BJ47="",42&gt;設定!$B$3),"",IF(INDEX(原始資料!AS$2:AS$501,$BJ47)="","",INDEX(原始資料!AS$2:AS$501,$BJ47)))</f>
        <v/>
      </c>
      <c r="AR47" s="6">
        <f>IF(OR($BJ47="",43&gt;設定!$B$3),"",IF(INDEX(原始資料!AT$2:AT$501,$BJ47)="","",INDEX(原始資料!AT$2:AT$501,$BJ47)))</f>
        <v/>
      </c>
      <c r="AS47" s="6">
        <f>IF(OR($BJ47="",44&gt;設定!$B$3),"",IF(INDEX(原始資料!AU$2:AU$501,$BJ47)="","",INDEX(原始資料!AU$2:AU$501,$BJ47)))</f>
        <v/>
      </c>
      <c r="AT47" s="6">
        <f>IF(OR($BJ47="",45&gt;設定!$B$3),"",IF(INDEX(原始資料!AV$2:AV$501,$BJ47)="","",INDEX(原始資料!AV$2:AV$501,$BJ47)))</f>
        <v/>
      </c>
      <c r="AU47" s="6">
        <f>IF(OR($BJ47="",46&gt;設定!$B$3),"",IF(INDEX(原始資料!AW$2:AW$501,$BJ47)="","",INDEX(原始資料!AW$2:AW$501,$BJ47)))</f>
        <v/>
      </c>
      <c r="AV47" s="6">
        <f>IF(OR($BJ47="",47&gt;設定!$B$3),"",IF(INDEX(原始資料!AX$2:AX$501,$BJ47)="","",INDEX(原始資料!AX$2:AX$501,$BJ47)))</f>
        <v/>
      </c>
      <c r="AW47" s="6">
        <f>IF(OR($BJ47="",48&gt;設定!$B$3),"",IF(INDEX(原始資料!AY$2:AY$501,$BJ47)="","",INDEX(原始資料!AY$2:AY$501,$BJ47)))</f>
        <v/>
      </c>
      <c r="AX47" s="6">
        <f>IF(OR($BJ47="",49&gt;設定!$B$3),"",IF(INDEX(原始資料!AZ$2:AZ$501,$BJ47)="","",INDEX(原始資料!AZ$2:AZ$501,$BJ47)))</f>
        <v/>
      </c>
      <c r="AY47" s="6">
        <f>IF(OR($BJ47="",50&gt;設定!$B$3),"",IF(INDEX(原始資料!BA$2:BA$501,$BJ47)="","",INDEX(原始資料!BA$2:BA$501,$BJ47)))</f>
        <v/>
      </c>
      <c r="AZ47" s="6">
        <f>IF(OR($BJ47="",51&gt;設定!$B$3),"",IF(INDEX(原始資料!BB$2:BB$501,$BJ47)="","",INDEX(原始資料!BB$2:BB$501,$BJ47)))</f>
        <v/>
      </c>
      <c r="BA47" s="6">
        <f>IF(OR($BJ47="",52&gt;設定!$B$3),"",IF(INDEX(原始資料!BC$2:BC$501,$BJ47)="","",INDEX(原始資料!BC$2:BC$501,$BJ47)))</f>
        <v/>
      </c>
      <c r="BB47" s="6">
        <f>IF(OR($BJ47="",53&gt;設定!$B$3),"",IF(INDEX(原始資料!BD$2:BD$501,$BJ47)="","",INDEX(原始資料!BD$2:BD$501,$BJ47)))</f>
        <v/>
      </c>
      <c r="BC47" s="6">
        <f>IF(OR($BJ47="",54&gt;設定!$B$3),"",IF(INDEX(原始資料!BE$2:BE$501,$BJ47)="","",INDEX(原始資料!BE$2:BE$501,$BJ47)))</f>
        <v/>
      </c>
      <c r="BD47" s="6">
        <f>IF(OR($BJ47="",55&gt;設定!$B$3),"",IF(INDEX(原始資料!BF$2:BF$501,$BJ47)="","",INDEX(原始資料!BF$2:BF$501,$BJ47)))</f>
        <v/>
      </c>
      <c r="BE47" s="6">
        <f>IF(OR($BJ47="",56&gt;設定!$B$3),"",IF(INDEX(原始資料!BG$2:BG$501,$BJ47)="","",INDEX(原始資料!BG$2:BG$501,$BJ47)))</f>
        <v/>
      </c>
      <c r="BF47" s="6">
        <f>IF(OR($BJ47="",57&gt;設定!$B$3),"",IF(INDEX(原始資料!BH$2:BH$501,$BJ47)="","",INDEX(原始資料!BH$2:BH$501,$BJ47)))</f>
        <v/>
      </c>
      <c r="BG47" s="6">
        <f>IF(OR($BJ47="",58&gt;設定!$B$3),"",IF(INDEX(原始資料!BI$2:BI$501,$BJ47)="","",INDEX(原始資料!BI$2:BI$501,$BJ47)))</f>
        <v/>
      </c>
      <c r="BH47" s="6">
        <f>IF(OR($BJ47="",59&gt;設定!$B$3),"",IF(INDEX(原始資料!BJ$2:BJ$501,$BJ47)="","",INDEX(原始資料!BJ$2:BJ$501,$BJ47)))</f>
        <v/>
      </c>
      <c r="BI47" s="6">
        <f>IF(OR($BJ47="",60&gt;設定!$B$3),"",IF(INDEX(原始資料!BK$2:BK$501,$BJ47)="","",INDEX(原始資料!BK$2:BK$501,$BJ47)))</f>
        <v/>
      </c>
      <c r="BJ47" s="6">
        <f>IFERROR(MATCH(ROW()-1,判定!$H$2:$H$501,0),"")</f>
        <v/>
      </c>
    </row>
    <row r="48">
      <c r="A48" s="6">
        <f>IF($BJ48="","",INDEX(原始資料!$A$2:$A$501,$BJ48))</f>
        <v/>
      </c>
      <c r="B48" s="6">
        <f>IF(OR($BJ48="",1&gt;設定!$B$3),"",IF(INDEX(原始資料!D$2:D$501,$BJ48)="","",INDEX(原始資料!D$2:D$501,$BJ48)))</f>
        <v/>
      </c>
      <c r="C48" s="6">
        <f>IF(OR($BJ48="",2&gt;設定!$B$3),"",IF(INDEX(原始資料!E$2:E$501,$BJ48)="","",INDEX(原始資料!E$2:E$501,$BJ48)))</f>
        <v/>
      </c>
      <c r="D48" s="6">
        <f>IF(OR($BJ48="",3&gt;設定!$B$3),"",IF(INDEX(原始資料!F$2:F$501,$BJ48)="","",INDEX(原始資料!F$2:F$501,$BJ48)))</f>
        <v/>
      </c>
      <c r="E48" s="6">
        <f>IF(OR($BJ48="",4&gt;設定!$B$3),"",IF(INDEX(原始資料!G$2:G$501,$BJ48)="","",INDEX(原始資料!G$2:G$501,$BJ48)))</f>
        <v/>
      </c>
      <c r="F48" s="6">
        <f>IF(OR($BJ48="",5&gt;設定!$B$3),"",IF(INDEX(原始資料!H$2:H$501,$BJ48)="","",INDEX(原始資料!H$2:H$501,$BJ48)))</f>
        <v/>
      </c>
      <c r="G48" s="6">
        <f>IF(OR($BJ48="",6&gt;設定!$B$3),"",IF(INDEX(原始資料!I$2:I$501,$BJ48)="","",INDEX(原始資料!I$2:I$501,$BJ48)))</f>
        <v/>
      </c>
      <c r="H48" s="6">
        <f>IF(OR($BJ48="",7&gt;設定!$B$3),"",IF(INDEX(原始資料!J$2:J$501,$BJ48)="","",INDEX(原始資料!J$2:J$501,$BJ48)))</f>
        <v/>
      </c>
      <c r="I48" s="6">
        <f>IF(OR($BJ48="",8&gt;設定!$B$3),"",IF(INDEX(原始資料!K$2:K$501,$BJ48)="","",INDEX(原始資料!K$2:K$501,$BJ48)))</f>
        <v/>
      </c>
      <c r="J48" s="6">
        <f>IF(OR($BJ48="",9&gt;設定!$B$3),"",IF(INDEX(原始資料!L$2:L$501,$BJ48)="","",INDEX(原始資料!L$2:L$501,$BJ48)))</f>
        <v/>
      </c>
      <c r="K48" s="6">
        <f>IF(OR($BJ48="",10&gt;設定!$B$3),"",IF(INDEX(原始資料!M$2:M$501,$BJ48)="","",INDEX(原始資料!M$2:M$501,$BJ48)))</f>
        <v/>
      </c>
      <c r="L48" s="6">
        <f>IF(OR($BJ48="",11&gt;設定!$B$3),"",IF(INDEX(原始資料!N$2:N$501,$BJ48)="","",INDEX(原始資料!N$2:N$501,$BJ48)))</f>
        <v/>
      </c>
      <c r="M48" s="6">
        <f>IF(OR($BJ48="",12&gt;設定!$B$3),"",IF(INDEX(原始資料!O$2:O$501,$BJ48)="","",INDEX(原始資料!O$2:O$501,$BJ48)))</f>
        <v/>
      </c>
      <c r="N48" s="6">
        <f>IF(OR($BJ48="",13&gt;設定!$B$3),"",IF(INDEX(原始資料!P$2:P$501,$BJ48)="","",INDEX(原始資料!P$2:P$501,$BJ48)))</f>
        <v/>
      </c>
      <c r="O48" s="6">
        <f>IF(OR($BJ48="",14&gt;設定!$B$3),"",IF(INDEX(原始資料!Q$2:Q$501,$BJ48)="","",INDEX(原始資料!Q$2:Q$501,$BJ48)))</f>
        <v/>
      </c>
      <c r="P48" s="6">
        <f>IF(OR($BJ48="",15&gt;設定!$B$3),"",IF(INDEX(原始資料!R$2:R$501,$BJ48)="","",INDEX(原始資料!R$2:R$501,$BJ48)))</f>
        <v/>
      </c>
      <c r="Q48" s="6">
        <f>IF(OR($BJ48="",16&gt;設定!$B$3),"",IF(INDEX(原始資料!S$2:S$501,$BJ48)="","",INDEX(原始資料!S$2:S$501,$BJ48)))</f>
        <v/>
      </c>
      <c r="R48" s="6">
        <f>IF(OR($BJ48="",17&gt;設定!$B$3),"",IF(INDEX(原始資料!T$2:T$501,$BJ48)="","",INDEX(原始資料!T$2:T$501,$BJ48)))</f>
        <v/>
      </c>
      <c r="S48" s="6">
        <f>IF(OR($BJ48="",18&gt;設定!$B$3),"",IF(INDEX(原始資料!U$2:U$501,$BJ48)="","",INDEX(原始資料!U$2:U$501,$BJ48)))</f>
        <v/>
      </c>
      <c r="T48" s="6">
        <f>IF(OR($BJ48="",19&gt;設定!$B$3),"",IF(INDEX(原始資料!V$2:V$501,$BJ48)="","",INDEX(原始資料!V$2:V$501,$BJ48)))</f>
        <v/>
      </c>
      <c r="U48" s="6">
        <f>IF(OR($BJ48="",20&gt;設定!$B$3),"",IF(INDEX(原始資料!W$2:W$501,$BJ48)="","",INDEX(原始資料!W$2:W$501,$BJ48)))</f>
        <v/>
      </c>
      <c r="V48" s="6">
        <f>IF(OR($BJ48="",21&gt;設定!$B$3),"",IF(INDEX(原始資料!X$2:X$501,$BJ48)="","",INDEX(原始資料!X$2:X$501,$BJ48)))</f>
        <v/>
      </c>
      <c r="W48" s="6">
        <f>IF(OR($BJ48="",22&gt;設定!$B$3),"",IF(INDEX(原始資料!Y$2:Y$501,$BJ48)="","",INDEX(原始資料!Y$2:Y$501,$BJ48)))</f>
        <v/>
      </c>
      <c r="X48" s="6">
        <f>IF(OR($BJ48="",23&gt;設定!$B$3),"",IF(INDEX(原始資料!Z$2:Z$501,$BJ48)="","",INDEX(原始資料!Z$2:Z$501,$BJ48)))</f>
        <v/>
      </c>
      <c r="Y48" s="6">
        <f>IF(OR($BJ48="",24&gt;設定!$B$3),"",IF(INDEX(原始資料!AA$2:AA$501,$BJ48)="","",INDEX(原始資料!AA$2:AA$501,$BJ48)))</f>
        <v/>
      </c>
      <c r="Z48" s="6">
        <f>IF(OR($BJ48="",25&gt;設定!$B$3),"",IF(INDEX(原始資料!AB$2:AB$501,$BJ48)="","",INDEX(原始資料!AB$2:AB$501,$BJ48)))</f>
        <v/>
      </c>
      <c r="AA48" s="6">
        <f>IF(OR($BJ48="",26&gt;設定!$B$3),"",IF(INDEX(原始資料!AC$2:AC$501,$BJ48)="","",INDEX(原始資料!AC$2:AC$501,$BJ48)))</f>
        <v/>
      </c>
      <c r="AB48" s="6">
        <f>IF(OR($BJ48="",27&gt;設定!$B$3),"",IF(INDEX(原始資料!AD$2:AD$501,$BJ48)="","",INDEX(原始資料!AD$2:AD$501,$BJ48)))</f>
        <v/>
      </c>
      <c r="AC48" s="6">
        <f>IF(OR($BJ48="",28&gt;設定!$B$3),"",IF(INDEX(原始資料!AE$2:AE$501,$BJ48)="","",INDEX(原始資料!AE$2:AE$501,$BJ48)))</f>
        <v/>
      </c>
      <c r="AD48" s="6">
        <f>IF(OR($BJ48="",29&gt;設定!$B$3),"",IF(INDEX(原始資料!AF$2:AF$501,$BJ48)="","",INDEX(原始資料!AF$2:AF$501,$BJ48)))</f>
        <v/>
      </c>
      <c r="AE48" s="6">
        <f>IF(OR($BJ48="",30&gt;設定!$B$3),"",IF(INDEX(原始資料!AG$2:AG$501,$BJ48)="","",INDEX(原始資料!AG$2:AG$501,$BJ48)))</f>
        <v/>
      </c>
      <c r="AF48" s="6">
        <f>IF(OR($BJ48="",31&gt;設定!$B$3),"",IF(INDEX(原始資料!AH$2:AH$501,$BJ48)="","",INDEX(原始資料!AH$2:AH$501,$BJ48)))</f>
        <v/>
      </c>
      <c r="AG48" s="6">
        <f>IF(OR($BJ48="",32&gt;設定!$B$3),"",IF(INDEX(原始資料!AI$2:AI$501,$BJ48)="","",INDEX(原始資料!AI$2:AI$501,$BJ48)))</f>
        <v/>
      </c>
      <c r="AH48" s="6">
        <f>IF(OR($BJ48="",33&gt;設定!$B$3),"",IF(INDEX(原始資料!AJ$2:AJ$501,$BJ48)="","",INDEX(原始資料!AJ$2:AJ$501,$BJ48)))</f>
        <v/>
      </c>
      <c r="AI48" s="6">
        <f>IF(OR($BJ48="",34&gt;設定!$B$3),"",IF(INDEX(原始資料!AK$2:AK$501,$BJ48)="","",INDEX(原始資料!AK$2:AK$501,$BJ48)))</f>
        <v/>
      </c>
      <c r="AJ48" s="6">
        <f>IF(OR($BJ48="",35&gt;設定!$B$3),"",IF(INDEX(原始資料!AL$2:AL$501,$BJ48)="","",INDEX(原始資料!AL$2:AL$501,$BJ48)))</f>
        <v/>
      </c>
      <c r="AK48" s="6">
        <f>IF(OR($BJ48="",36&gt;設定!$B$3),"",IF(INDEX(原始資料!AM$2:AM$501,$BJ48)="","",INDEX(原始資料!AM$2:AM$501,$BJ48)))</f>
        <v/>
      </c>
      <c r="AL48" s="6">
        <f>IF(OR($BJ48="",37&gt;設定!$B$3),"",IF(INDEX(原始資料!AN$2:AN$501,$BJ48)="","",INDEX(原始資料!AN$2:AN$501,$BJ48)))</f>
        <v/>
      </c>
      <c r="AM48" s="6">
        <f>IF(OR($BJ48="",38&gt;設定!$B$3),"",IF(INDEX(原始資料!AO$2:AO$501,$BJ48)="","",INDEX(原始資料!AO$2:AO$501,$BJ48)))</f>
        <v/>
      </c>
      <c r="AN48" s="6">
        <f>IF(OR($BJ48="",39&gt;設定!$B$3),"",IF(INDEX(原始資料!AP$2:AP$501,$BJ48)="","",INDEX(原始資料!AP$2:AP$501,$BJ48)))</f>
        <v/>
      </c>
      <c r="AO48" s="6">
        <f>IF(OR($BJ48="",40&gt;設定!$B$3),"",IF(INDEX(原始資料!AQ$2:AQ$501,$BJ48)="","",INDEX(原始資料!AQ$2:AQ$501,$BJ48)))</f>
        <v/>
      </c>
      <c r="AP48" s="6">
        <f>IF(OR($BJ48="",41&gt;設定!$B$3),"",IF(INDEX(原始資料!AR$2:AR$501,$BJ48)="","",INDEX(原始資料!AR$2:AR$501,$BJ48)))</f>
        <v/>
      </c>
      <c r="AQ48" s="6">
        <f>IF(OR($BJ48="",42&gt;設定!$B$3),"",IF(INDEX(原始資料!AS$2:AS$501,$BJ48)="","",INDEX(原始資料!AS$2:AS$501,$BJ48)))</f>
        <v/>
      </c>
      <c r="AR48" s="6">
        <f>IF(OR($BJ48="",43&gt;設定!$B$3),"",IF(INDEX(原始資料!AT$2:AT$501,$BJ48)="","",INDEX(原始資料!AT$2:AT$501,$BJ48)))</f>
        <v/>
      </c>
      <c r="AS48" s="6">
        <f>IF(OR($BJ48="",44&gt;設定!$B$3),"",IF(INDEX(原始資料!AU$2:AU$501,$BJ48)="","",INDEX(原始資料!AU$2:AU$501,$BJ48)))</f>
        <v/>
      </c>
      <c r="AT48" s="6">
        <f>IF(OR($BJ48="",45&gt;設定!$B$3),"",IF(INDEX(原始資料!AV$2:AV$501,$BJ48)="","",INDEX(原始資料!AV$2:AV$501,$BJ48)))</f>
        <v/>
      </c>
      <c r="AU48" s="6">
        <f>IF(OR($BJ48="",46&gt;設定!$B$3),"",IF(INDEX(原始資料!AW$2:AW$501,$BJ48)="","",INDEX(原始資料!AW$2:AW$501,$BJ48)))</f>
        <v/>
      </c>
      <c r="AV48" s="6">
        <f>IF(OR($BJ48="",47&gt;設定!$B$3),"",IF(INDEX(原始資料!AX$2:AX$501,$BJ48)="","",INDEX(原始資料!AX$2:AX$501,$BJ48)))</f>
        <v/>
      </c>
      <c r="AW48" s="6">
        <f>IF(OR($BJ48="",48&gt;設定!$B$3),"",IF(INDEX(原始資料!AY$2:AY$501,$BJ48)="","",INDEX(原始資料!AY$2:AY$501,$BJ48)))</f>
        <v/>
      </c>
      <c r="AX48" s="6">
        <f>IF(OR($BJ48="",49&gt;設定!$B$3),"",IF(INDEX(原始資料!AZ$2:AZ$501,$BJ48)="","",INDEX(原始資料!AZ$2:AZ$501,$BJ48)))</f>
        <v/>
      </c>
      <c r="AY48" s="6">
        <f>IF(OR($BJ48="",50&gt;設定!$B$3),"",IF(INDEX(原始資料!BA$2:BA$501,$BJ48)="","",INDEX(原始資料!BA$2:BA$501,$BJ48)))</f>
        <v/>
      </c>
      <c r="AZ48" s="6">
        <f>IF(OR($BJ48="",51&gt;設定!$B$3),"",IF(INDEX(原始資料!BB$2:BB$501,$BJ48)="","",INDEX(原始資料!BB$2:BB$501,$BJ48)))</f>
        <v/>
      </c>
      <c r="BA48" s="6">
        <f>IF(OR($BJ48="",52&gt;設定!$B$3),"",IF(INDEX(原始資料!BC$2:BC$501,$BJ48)="","",INDEX(原始資料!BC$2:BC$501,$BJ48)))</f>
        <v/>
      </c>
      <c r="BB48" s="6">
        <f>IF(OR($BJ48="",53&gt;設定!$B$3),"",IF(INDEX(原始資料!BD$2:BD$501,$BJ48)="","",INDEX(原始資料!BD$2:BD$501,$BJ48)))</f>
        <v/>
      </c>
      <c r="BC48" s="6">
        <f>IF(OR($BJ48="",54&gt;設定!$B$3),"",IF(INDEX(原始資料!BE$2:BE$501,$BJ48)="","",INDEX(原始資料!BE$2:BE$501,$BJ48)))</f>
        <v/>
      </c>
      <c r="BD48" s="6">
        <f>IF(OR($BJ48="",55&gt;設定!$B$3),"",IF(INDEX(原始資料!BF$2:BF$501,$BJ48)="","",INDEX(原始資料!BF$2:BF$501,$BJ48)))</f>
        <v/>
      </c>
      <c r="BE48" s="6">
        <f>IF(OR($BJ48="",56&gt;設定!$B$3),"",IF(INDEX(原始資料!BG$2:BG$501,$BJ48)="","",INDEX(原始資料!BG$2:BG$501,$BJ48)))</f>
        <v/>
      </c>
      <c r="BF48" s="6">
        <f>IF(OR($BJ48="",57&gt;設定!$B$3),"",IF(INDEX(原始資料!BH$2:BH$501,$BJ48)="","",INDEX(原始資料!BH$2:BH$501,$BJ48)))</f>
        <v/>
      </c>
      <c r="BG48" s="6">
        <f>IF(OR($BJ48="",58&gt;設定!$B$3),"",IF(INDEX(原始資料!BI$2:BI$501,$BJ48)="","",INDEX(原始資料!BI$2:BI$501,$BJ48)))</f>
        <v/>
      </c>
      <c r="BH48" s="6">
        <f>IF(OR($BJ48="",59&gt;設定!$B$3),"",IF(INDEX(原始資料!BJ$2:BJ$501,$BJ48)="","",INDEX(原始資料!BJ$2:BJ$501,$BJ48)))</f>
        <v/>
      </c>
      <c r="BI48" s="6">
        <f>IF(OR($BJ48="",60&gt;設定!$B$3),"",IF(INDEX(原始資料!BK$2:BK$501,$BJ48)="","",INDEX(原始資料!BK$2:BK$501,$BJ48)))</f>
        <v/>
      </c>
      <c r="BJ48" s="6">
        <f>IFERROR(MATCH(ROW()-1,判定!$H$2:$H$501,0),"")</f>
        <v/>
      </c>
    </row>
    <row r="49">
      <c r="A49" s="6">
        <f>IF($BJ49="","",INDEX(原始資料!$A$2:$A$501,$BJ49))</f>
        <v/>
      </c>
      <c r="B49" s="6">
        <f>IF(OR($BJ49="",1&gt;設定!$B$3),"",IF(INDEX(原始資料!D$2:D$501,$BJ49)="","",INDEX(原始資料!D$2:D$501,$BJ49)))</f>
        <v/>
      </c>
      <c r="C49" s="6">
        <f>IF(OR($BJ49="",2&gt;設定!$B$3),"",IF(INDEX(原始資料!E$2:E$501,$BJ49)="","",INDEX(原始資料!E$2:E$501,$BJ49)))</f>
        <v/>
      </c>
      <c r="D49" s="6">
        <f>IF(OR($BJ49="",3&gt;設定!$B$3),"",IF(INDEX(原始資料!F$2:F$501,$BJ49)="","",INDEX(原始資料!F$2:F$501,$BJ49)))</f>
        <v/>
      </c>
      <c r="E49" s="6">
        <f>IF(OR($BJ49="",4&gt;設定!$B$3),"",IF(INDEX(原始資料!G$2:G$501,$BJ49)="","",INDEX(原始資料!G$2:G$501,$BJ49)))</f>
        <v/>
      </c>
      <c r="F49" s="6">
        <f>IF(OR($BJ49="",5&gt;設定!$B$3),"",IF(INDEX(原始資料!H$2:H$501,$BJ49)="","",INDEX(原始資料!H$2:H$501,$BJ49)))</f>
        <v/>
      </c>
      <c r="G49" s="6">
        <f>IF(OR($BJ49="",6&gt;設定!$B$3),"",IF(INDEX(原始資料!I$2:I$501,$BJ49)="","",INDEX(原始資料!I$2:I$501,$BJ49)))</f>
        <v/>
      </c>
      <c r="H49" s="6">
        <f>IF(OR($BJ49="",7&gt;設定!$B$3),"",IF(INDEX(原始資料!J$2:J$501,$BJ49)="","",INDEX(原始資料!J$2:J$501,$BJ49)))</f>
        <v/>
      </c>
      <c r="I49" s="6">
        <f>IF(OR($BJ49="",8&gt;設定!$B$3),"",IF(INDEX(原始資料!K$2:K$501,$BJ49)="","",INDEX(原始資料!K$2:K$501,$BJ49)))</f>
        <v/>
      </c>
      <c r="J49" s="6">
        <f>IF(OR($BJ49="",9&gt;設定!$B$3),"",IF(INDEX(原始資料!L$2:L$501,$BJ49)="","",INDEX(原始資料!L$2:L$501,$BJ49)))</f>
        <v/>
      </c>
      <c r="K49" s="6">
        <f>IF(OR($BJ49="",10&gt;設定!$B$3),"",IF(INDEX(原始資料!M$2:M$501,$BJ49)="","",INDEX(原始資料!M$2:M$501,$BJ49)))</f>
        <v/>
      </c>
      <c r="L49" s="6">
        <f>IF(OR($BJ49="",11&gt;設定!$B$3),"",IF(INDEX(原始資料!N$2:N$501,$BJ49)="","",INDEX(原始資料!N$2:N$501,$BJ49)))</f>
        <v/>
      </c>
      <c r="M49" s="6">
        <f>IF(OR($BJ49="",12&gt;設定!$B$3),"",IF(INDEX(原始資料!O$2:O$501,$BJ49)="","",INDEX(原始資料!O$2:O$501,$BJ49)))</f>
        <v/>
      </c>
      <c r="N49" s="6">
        <f>IF(OR($BJ49="",13&gt;設定!$B$3),"",IF(INDEX(原始資料!P$2:P$501,$BJ49)="","",INDEX(原始資料!P$2:P$501,$BJ49)))</f>
        <v/>
      </c>
      <c r="O49" s="6">
        <f>IF(OR($BJ49="",14&gt;設定!$B$3),"",IF(INDEX(原始資料!Q$2:Q$501,$BJ49)="","",INDEX(原始資料!Q$2:Q$501,$BJ49)))</f>
        <v/>
      </c>
      <c r="P49" s="6">
        <f>IF(OR($BJ49="",15&gt;設定!$B$3),"",IF(INDEX(原始資料!R$2:R$501,$BJ49)="","",INDEX(原始資料!R$2:R$501,$BJ49)))</f>
        <v/>
      </c>
      <c r="Q49" s="6">
        <f>IF(OR($BJ49="",16&gt;設定!$B$3),"",IF(INDEX(原始資料!S$2:S$501,$BJ49)="","",INDEX(原始資料!S$2:S$501,$BJ49)))</f>
        <v/>
      </c>
      <c r="R49" s="6">
        <f>IF(OR($BJ49="",17&gt;設定!$B$3),"",IF(INDEX(原始資料!T$2:T$501,$BJ49)="","",INDEX(原始資料!T$2:T$501,$BJ49)))</f>
        <v/>
      </c>
      <c r="S49" s="6">
        <f>IF(OR($BJ49="",18&gt;設定!$B$3),"",IF(INDEX(原始資料!U$2:U$501,$BJ49)="","",INDEX(原始資料!U$2:U$501,$BJ49)))</f>
        <v/>
      </c>
      <c r="T49" s="6">
        <f>IF(OR($BJ49="",19&gt;設定!$B$3),"",IF(INDEX(原始資料!V$2:V$501,$BJ49)="","",INDEX(原始資料!V$2:V$501,$BJ49)))</f>
        <v/>
      </c>
      <c r="U49" s="6">
        <f>IF(OR($BJ49="",20&gt;設定!$B$3),"",IF(INDEX(原始資料!W$2:W$501,$BJ49)="","",INDEX(原始資料!W$2:W$501,$BJ49)))</f>
        <v/>
      </c>
      <c r="V49" s="6">
        <f>IF(OR($BJ49="",21&gt;設定!$B$3),"",IF(INDEX(原始資料!X$2:X$501,$BJ49)="","",INDEX(原始資料!X$2:X$501,$BJ49)))</f>
        <v/>
      </c>
      <c r="W49" s="6">
        <f>IF(OR($BJ49="",22&gt;設定!$B$3),"",IF(INDEX(原始資料!Y$2:Y$501,$BJ49)="","",INDEX(原始資料!Y$2:Y$501,$BJ49)))</f>
        <v/>
      </c>
      <c r="X49" s="6">
        <f>IF(OR($BJ49="",23&gt;設定!$B$3),"",IF(INDEX(原始資料!Z$2:Z$501,$BJ49)="","",INDEX(原始資料!Z$2:Z$501,$BJ49)))</f>
        <v/>
      </c>
      <c r="Y49" s="6">
        <f>IF(OR($BJ49="",24&gt;設定!$B$3),"",IF(INDEX(原始資料!AA$2:AA$501,$BJ49)="","",INDEX(原始資料!AA$2:AA$501,$BJ49)))</f>
        <v/>
      </c>
      <c r="Z49" s="6">
        <f>IF(OR($BJ49="",25&gt;設定!$B$3),"",IF(INDEX(原始資料!AB$2:AB$501,$BJ49)="","",INDEX(原始資料!AB$2:AB$501,$BJ49)))</f>
        <v/>
      </c>
      <c r="AA49" s="6">
        <f>IF(OR($BJ49="",26&gt;設定!$B$3),"",IF(INDEX(原始資料!AC$2:AC$501,$BJ49)="","",INDEX(原始資料!AC$2:AC$501,$BJ49)))</f>
        <v/>
      </c>
      <c r="AB49" s="6">
        <f>IF(OR($BJ49="",27&gt;設定!$B$3),"",IF(INDEX(原始資料!AD$2:AD$501,$BJ49)="","",INDEX(原始資料!AD$2:AD$501,$BJ49)))</f>
        <v/>
      </c>
      <c r="AC49" s="6">
        <f>IF(OR($BJ49="",28&gt;設定!$B$3),"",IF(INDEX(原始資料!AE$2:AE$501,$BJ49)="","",INDEX(原始資料!AE$2:AE$501,$BJ49)))</f>
        <v/>
      </c>
      <c r="AD49" s="6">
        <f>IF(OR($BJ49="",29&gt;設定!$B$3),"",IF(INDEX(原始資料!AF$2:AF$501,$BJ49)="","",INDEX(原始資料!AF$2:AF$501,$BJ49)))</f>
        <v/>
      </c>
      <c r="AE49" s="6">
        <f>IF(OR($BJ49="",30&gt;設定!$B$3),"",IF(INDEX(原始資料!AG$2:AG$501,$BJ49)="","",INDEX(原始資料!AG$2:AG$501,$BJ49)))</f>
        <v/>
      </c>
      <c r="AF49" s="6">
        <f>IF(OR($BJ49="",31&gt;設定!$B$3),"",IF(INDEX(原始資料!AH$2:AH$501,$BJ49)="","",INDEX(原始資料!AH$2:AH$501,$BJ49)))</f>
        <v/>
      </c>
      <c r="AG49" s="6">
        <f>IF(OR($BJ49="",32&gt;設定!$B$3),"",IF(INDEX(原始資料!AI$2:AI$501,$BJ49)="","",INDEX(原始資料!AI$2:AI$501,$BJ49)))</f>
        <v/>
      </c>
      <c r="AH49" s="6">
        <f>IF(OR($BJ49="",33&gt;設定!$B$3),"",IF(INDEX(原始資料!AJ$2:AJ$501,$BJ49)="","",INDEX(原始資料!AJ$2:AJ$501,$BJ49)))</f>
        <v/>
      </c>
      <c r="AI49" s="6">
        <f>IF(OR($BJ49="",34&gt;設定!$B$3),"",IF(INDEX(原始資料!AK$2:AK$501,$BJ49)="","",INDEX(原始資料!AK$2:AK$501,$BJ49)))</f>
        <v/>
      </c>
      <c r="AJ49" s="6">
        <f>IF(OR($BJ49="",35&gt;設定!$B$3),"",IF(INDEX(原始資料!AL$2:AL$501,$BJ49)="","",INDEX(原始資料!AL$2:AL$501,$BJ49)))</f>
        <v/>
      </c>
      <c r="AK49" s="6">
        <f>IF(OR($BJ49="",36&gt;設定!$B$3),"",IF(INDEX(原始資料!AM$2:AM$501,$BJ49)="","",INDEX(原始資料!AM$2:AM$501,$BJ49)))</f>
        <v/>
      </c>
      <c r="AL49" s="6">
        <f>IF(OR($BJ49="",37&gt;設定!$B$3),"",IF(INDEX(原始資料!AN$2:AN$501,$BJ49)="","",INDEX(原始資料!AN$2:AN$501,$BJ49)))</f>
        <v/>
      </c>
      <c r="AM49" s="6">
        <f>IF(OR($BJ49="",38&gt;設定!$B$3),"",IF(INDEX(原始資料!AO$2:AO$501,$BJ49)="","",INDEX(原始資料!AO$2:AO$501,$BJ49)))</f>
        <v/>
      </c>
      <c r="AN49" s="6">
        <f>IF(OR($BJ49="",39&gt;設定!$B$3),"",IF(INDEX(原始資料!AP$2:AP$501,$BJ49)="","",INDEX(原始資料!AP$2:AP$501,$BJ49)))</f>
        <v/>
      </c>
      <c r="AO49" s="6">
        <f>IF(OR($BJ49="",40&gt;設定!$B$3),"",IF(INDEX(原始資料!AQ$2:AQ$501,$BJ49)="","",INDEX(原始資料!AQ$2:AQ$501,$BJ49)))</f>
        <v/>
      </c>
      <c r="AP49" s="6">
        <f>IF(OR($BJ49="",41&gt;設定!$B$3),"",IF(INDEX(原始資料!AR$2:AR$501,$BJ49)="","",INDEX(原始資料!AR$2:AR$501,$BJ49)))</f>
        <v/>
      </c>
      <c r="AQ49" s="6">
        <f>IF(OR($BJ49="",42&gt;設定!$B$3),"",IF(INDEX(原始資料!AS$2:AS$501,$BJ49)="","",INDEX(原始資料!AS$2:AS$501,$BJ49)))</f>
        <v/>
      </c>
      <c r="AR49" s="6">
        <f>IF(OR($BJ49="",43&gt;設定!$B$3),"",IF(INDEX(原始資料!AT$2:AT$501,$BJ49)="","",INDEX(原始資料!AT$2:AT$501,$BJ49)))</f>
        <v/>
      </c>
      <c r="AS49" s="6">
        <f>IF(OR($BJ49="",44&gt;設定!$B$3),"",IF(INDEX(原始資料!AU$2:AU$501,$BJ49)="","",INDEX(原始資料!AU$2:AU$501,$BJ49)))</f>
        <v/>
      </c>
      <c r="AT49" s="6">
        <f>IF(OR($BJ49="",45&gt;設定!$B$3),"",IF(INDEX(原始資料!AV$2:AV$501,$BJ49)="","",INDEX(原始資料!AV$2:AV$501,$BJ49)))</f>
        <v/>
      </c>
      <c r="AU49" s="6">
        <f>IF(OR($BJ49="",46&gt;設定!$B$3),"",IF(INDEX(原始資料!AW$2:AW$501,$BJ49)="","",INDEX(原始資料!AW$2:AW$501,$BJ49)))</f>
        <v/>
      </c>
      <c r="AV49" s="6">
        <f>IF(OR($BJ49="",47&gt;設定!$B$3),"",IF(INDEX(原始資料!AX$2:AX$501,$BJ49)="","",INDEX(原始資料!AX$2:AX$501,$BJ49)))</f>
        <v/>
      </c>
      <c r="AW49" s="6">
        <f>IF(OR($BJ49="",48&gt;設定!$B$3),"",IF(INDEX(原始資料!AY$2:AY$501,$BJ49)="","",INDEX(原始資料!AY$2:AY$501,$BJ49)))</f>
        <v/>
      </c>
      <c r="AX49" s="6">
        <f>IF(OR($BJ49="",49&gt;設定!$B$3),"",IF(INDEX(原始資料!AZ$2:AZ$501,$BJ49)="","",INDEX(原始資料!AZ$2:AZ$501,$BJ49)))</f>
        <v/>
      </c>
      <c r="AY49" s="6">
        <f>IF(OR($BJ49="",50&gt;設定!$B$3),"",IF(INDEX(原始資料!BA$2:BA$501,$BJ49)="","",INDEX(原始資料!BA$2:BA$501,$BJ49)))</f>
        <v/>
      </c>
      <c r="AZ49" s="6">
        <f>IF(OR($BJ49="",51&gt;設定!$B$3),"",IF(INDEX(原始資料!BB$2:BB$501,$BJ49)="","",INDEX(原始資料!BB$2:BB$501,$BJ49)))</f>
        <v/>
      </c>
      <c r="BA49" s="6">
        <f>IF(OR($BJ49="",52&gt;設定!$B$3),"",IF(INDEX(原始資料!BC$2:BC$501,$BJ49)="","",INDEX(原始資料!BC$2:BC$501,$BJ49)))</f>
        <v/>
      </c>
      <c r="BB49" s="6">
        <f>IF(OR($BJ49="",53&gt;設定!$B$3),"",IF(INDEX(原始資料!BD$2:BD$501,$BJ49)="","",INDEX(原始資料!BD$2:BD$501,$BJ49)))</f>
        <v/>
      </c>
      <c r="BC49" s="6">
        <f>IF(OR($BJ49="",54&gt;設定!$B$3),"",IF(INDEX(原始資料!BE$2:BE$501,$BJ49)="","",INDEX(原始資料!BE$2:BE$501,$BJ49)))</f>
        <v/>
      </c>
      <c r="BD49" s="6">
        <f>IF(OR($BJ49="",55&gt;設定!$B$3),"",IF(INDEX(原始資料!BF$2:BF$501,$BJ49)="","",INDEX(原始資料!BF$2:BF$501,$BJ49)))</f>
        <v/>
      </c>
      <c r="BE49" s="6">
        <f>IF(OR($BJ49="",56&gt;設定!$B$3),"",IF(INDEX(原始資料!BG$2:BG$501,$BJ49)="","",INDEX(原始資料!BG$2:BG$501,$BJ49)))</f>
        <v/>
      </c>
      <c r="BF49" s="6">
        <f>IF(OR($BJ49="",57&gt;設定!$B$3),"",IF(INDEX(原始資料!BH$2:BH$501,$BJ49)="","",INDEX(原始資料!BH$2:BH$501,$BJ49)))</f>
        <v/>
      </c>
      <c r="BG49" s="6">
        <f>IF(OR($BJ49="",58&gt;設定!$B$3),"",IF(INDEX(原始資料!BI$2:BI$501,$BJ49)="","",INDEX(原始資料!BI$2:BI$501,$BJ49)))</f>
        <v/>
      </c>
      <c r="BH49" s="6">
        <f>IF(OR($BJ49="",59&gt;設定!$B$3),"",IF(INDEX(原始資料!BJ$2:BJ$501,$BJ49)="","",INDEX(原始資料!BJ$2:BJ$501,$BJ49)))</f>
        <v/>
      </c>
      <c r="BI49" s="6">
        <f>IF(OR($BJ49="",60&gt;設定!$B$3),"",IF(INDEX(原始資料!BK$2:BK$501,$BJ49)="","",INDEX(原始資料!BK$2:BK$501,$BJ49)))</f>
        <v/>
      </c>
      <c r="BJ49" s="6">
        <f>IFERROR(MATCH(ROW()-1,判定!$H$2:$H$501,0),"")</f>
        <v/>
      </c>
    </row>
    <row r="50">
      <c r="A50" s="6">
        <f>IF($BJ50="","",INDEX(原始資料!$A$2:$A$501,$BJ50))</f>
        <v/>
      </c>
      <c r="B50" s="6">
        <f>IF(OR($BJ50="",1&gt;設定!$B$3),"",IF(INDEX(原始資料!D$2:D$501,$BJ50)="","",INDEX(原始資料!D$2:D$501,$BJ50)))</f>
        <v/>
      </c>
      <c r="C50" s="6">
        <f>IF(OR($BJ50="",2&gt;設定!$B$3),"",IF(INDEX(原始資料!E$2:E$501,$BJ50)="","",INDEX(原始資料!E$2:E$501,$BJ50)))</f>
        <v/>
      </c>
      <c r="D50" s="6">
        <f>IF(OR($BJ50="",3&gt;設定!$B$3),"",IF(INDEX(原始資料!F$2:F$501,$BJ50)="","",INDEX(原始資料!F$2:F$501,$BJ50)))</f>
        <v/>
      </c>
      <c r="E50" s="6">
        <f>IF(OR($BJ50="",4&gt;設定!$B$3),"",IF(INDEX(原始資料!G$2:G$501,$BJ50)="","",INDEX(原始資料!G$2:G$501,$BJ50)))</f>
        <v/>
      </c>
      <c r="F50" s="6">
        <f>IF(OR($BJ50="",5&gt;設定!$B$3),"",IF(INDEX(原始資料!H$2:H$501,$BJ50)="","",INDEX(原始資料!H$2:H$501,$BJ50)))</f>
        <v/>
      </c>
      <c r="G50" s="6">
        <f>IF(OR($BJ50="",6&gt;設定!$B$3),"",IF(INDEX(原始資料!I$2:I$501,$BJ50)="","",INDEX(原始資料!I$2:I$501,$BJ50)))</f>
        <v/>
      </c>
      <c r="H50" s="6">
        <f>IF(OR($BJ50="",7&gt;設定!$B$3),"",IF(INDEX(原始資料!J$2:J$501,$BJ50)="","",INDEX(原始資料!J$2:J$501,$BJ50)))</f>
        <v/>
      </c>
      <c r="I50" s="6">
        <f>IF(OR($BJ50="",8&gt;設定!$B$3),"",IF(INDEX(原始資料!K$2:K$501,$BJ50)="","",INDEX(原始資料!K$2:K$501,$BJ50)))</f>
        <v/>
      </c>
      <c r="J50" s="6">
        <f>IF(OR($BJ50="",9&gt;設定!$B$3),"",IF(INDEX(原始資料!L$2:L$501,$BJ50)="","",INDEX(原始資料!L$2:L$501,$BJ50)))</f>
        <v/>
      </c>
      <c r="K50" s="6">
        <f>IF(OR($BJ50="",10&gt;設定!$B$3),"",IF(INDEX(原始資料!M$2:M$501,$BJ50)="","",INDEX(原始資料!M$2:M$501,$BJ50)))</f>
        <v/>
      </c>
      <c r="L50" s="6">
        <f>IF(OR($BJ50="",11&gt;設定!$B$3),"",IF(INDEX(原始資料!N$2:N$501,$BJ50)="","",INDEX(原始資料!N$2:N$501,$BJ50)))</f>
        <v/>
      </c>
      <c r="M50" s="6">
        <f>IF(OR($BJ50="",12&gt;設定!$B$3),"",IF(INDEX(原始資料!O$2:O$501,$BJ50)="","",INDEX(原始資料!O$2:O$501,$BJ50)))</f>
        <v/>
      </c>
      <c r="N50" s="6">
        <f>IF(OR($BJ50="",13&gt;設定!$B$3),"",IF(INDEX(原始資料!P$2:P$501,$BJ50)="","",INDEX(原始資料!P$2:P$501,$BJ50)))</f>
        <v/>
      </c>
      <c r="O50" s="6">
        <f>IF(OR($BJ50="",14&gt;設定!$B$3),"",IF(INDEX(原始資料!Q$2:Q$501,$BJ50)="","",INDEX(原始資料!Q$2:Q$501,$BJ50)))</f>
        <v/>
      </c>
      <c r="P50" s="6">
        <f>IF(OR($BJ50="",15&gt;設定!$B$3),"",IF(INDEX(原始資料!R$2:R$501,$BJ50)="","",INDEX(原始資料!R$2:R$501,$BJ50)))</f>
        <v/>
      </c>
      <c r="Q50" s="6">
        <f>IF(OR($BJ50="",16&gt;設定!$B$3),"",IF(INDEX(原始資料!S$2:S$501,$BJ50)="","",INDEX(原始資料!S$2:S$501,$BJ50)))</f>
        <v/>
      </c>
      <c r="R50" s="6">
        <f>IF(OR($BJ50="",17&gt;設定!$B$3),"",IF(INDEX(原始資料!T$2:T$501,$BJ50)="","",INDEX(原始資料!T$2:T$501,$BJ50)))</f>
        <v/>
      </c>
      <c r="S50" s="6">
        <f>IF(OR($BJ50="",18&gt;設定!$B$3),"",IF(INDEX(原始資料!U$2:U$501,$BJ50)="","",INDEX(原始資料!U$2:U$501,$BJ50)))</f>
        <v/>
      </c>
      <c r="T50" s="6">
        <f>IF(OR($BJ50="",19&gt;設定!$B$3),"",IF(INDEX(原始資料!V$2:V$501,$BJ50)="","",INDEX(原始資料!V$2:V$501,$BJ50)))</f>
        <v/>
      </c>
      <c r="U50" s="6">
        <f>IF(OR($BJ50="",20&gt;設定!$B$3),"",IF(INDEX(原始資料!W$2:W$501,$BJ50)="","",INDEX(原始資料!W$2:W$501,$BJ50)))</f>
        <v/>
      </c>
      <c r="V50" s="6">
        <f>IF(OR($BJ50="",21&gt;設定!$B$3),"",IF(INDEX(原始資料!X$2:X$501,$BJ50)="","",INDEX(原始資料!X$2:X$501,$BJ50)))</f>
        <v/>
      </c>
      <c r="W50" s="6">
        <f>IF(OR($BJ50="",22&gt;設定!$B$3),"",IF(INDEX(原始資料!Y$2:Y$501,$BJ50)="","",INDEX(原始資料!Y$2:Y$501,$BJ50)))</f>
        <v/>
      </c>
      <c r="X50" s="6">
        <f>IF(OR($BJ50="",23&gt;設定!$B$3),"",IF(INDEX(原始資料!Z$2:Z$501,$BJ50)="","",INDEX(原始資料!Z$2:Z$501,$BJ50)))</f>
        <v/>
      </c>
      <c r="Y50" s="6">
        <f>IF(OR($BJ50="",24&gt;設定!$B$3),"",IF(INDEX(原始資料!AA$2:AA$501,$BJ50)="","",INDEX(原始資料!AA$2:AA$501,$BJ50)))</f>
        <v/>
      </c>
      <c r="Z50" s="6">
        <f>IF(OR($BJ50="",25&gt;設定!$B$3),"",IF(INDEX(原始資料!AB$2:AB$501,$BJ50)="","",INDEX(原始資料!AB$2:AB$501,$BJ50)))</f>
        <v/>
      </c>
      <c r="AA50" s="6">
        <f>IF(OR($BJ50="",26&gt;設定!$B$3),"",IF(INDEX(原始資料!AC$2:AC$501,$BJ50)="","",INDEX(原始資料!AC$2:AC$501,$BJ50)))</f>
        <v/>
      </c>
      <c r="AB50" s="6">
        <f>IF(OR($BJ50="",27&gt;設定!$B$3),"",IF(INDEX(原始資料!AD$2:AD$501,$BJ50)="","",INDEX(原始資料!AD$2:AD$501,$BJ50)))</f>
        <v/>
      </c>
      <c r="AC50" s="6">
        <f>IF(OR($BJ50="",28&gt;設定!$B$3),"",IF(INDEX(原始資料!AE$2:AE$501,$BJ50)="","",INDEX(原始資料!AE$2:AE$501,$BJ50)))</f>
        <v/>
      </c>
      <c r="AD50" s="6">
        <f>IF(OR($BJ50="",29&gt;設定!$B$3),"",IF(INDEX(原始資料!AF$2:AF$501,$BJ50)="","",INDEX(原始資料!AF$2:AF$501,$BJ50)))</f>
        <v/>
      </c>
      <c r="AE50" s="6">
        <f>IF(OR($BJ50="",30&gt;設定!$B$3),"",IF(INDEX(原始資料!AG$2:AG$501,$BJ50)="","",INDEX(原始資料!AG$2:AG$501,$BJ50)))</f>
        <v/>
      </c>
      <c r="AF50" s="6">
        <f>IF(OR($BJ50="",31&gt;設定!$B$3),"",IF(INDEX(原始資料!AH$2:AH$501,$BJ50)="","",INDEX(原始資料!AH$2:AH$501,$BJ50)))</f>
        <v/>
      </c>
      <c r="AG50" s="6">
        <f>IF(OR($BJ50="",32&gt;設定!$B$3),"",IF(INDEX(原始資料!AI$2:AI$501,$BJ50)="","",INDEX(原始資料!AI$2:AI$501,$BJ50)))</f>
        <v/>
      </c>
      <c r="AH50" s="6">
        <f>IF(OR($BJ50="",33&gt;設定!$B$3),"",IF(INDEX(原始資料!AJ$2:AJ$501,$BJ50)="","",INDEX(原始資料!AJ$2:AJ$501,$BJ50)))</f>
        <v/>
      </c>
      <c r="AI50" s="6">
        <f>IF(OR($BJ50="",34&gt;設定!$B$3),"",IF(INDEX(原始資料!AK$2:AK$501,$BJ50)="","",INDEX(原始資料!AK$2:AK$501,$BJ50)))</f>
        <v/>
      </c>
      <c r="AJ50" s="6">
        <f>IF(OR($BJ50="",35&gt;設定!$B$3),"",IF(INDEX(原始資料!AL$2:AL$501,$BJ50)="","",INDEX(原始資料!AL$2:AL$501,$BJ50)))</f>
        <v/>
      </c>
      <c r="AK50" s="6">
        <f>IF(OR($BJ50="",36&gt;設定!$B$3),"",IF(INDEX(原始資料!AM$2:AM$501,$BJ50)="","",INDEX(原始資料!AM$2:AM$501,$BJ50)))</f>
        <v/>
      </c>
      <c r="AL50" s="6">
        <f>IF(OR($BJ50="",37&gt;設定!$B$3),"",IF(INDEX(原始資料!AN$2:AN$501,$BJ50)="","",INDEX(原始資料!AN$2:AN$501,$BJ50)))</f>
        <v/>
      </c>
      <c r="AM50" s="6">
        <f>IF(OR($BJ50="",38&gt;設定!$B$3),"",IF(INDEX(原始資料!AO$2:AO$501,$BJ50)="","",INDEX(原始資料!AO$2:AO$501,$BJ50)))</f>
        <v/>
      </c>
      <c r="AN50" s="6">
        <f>IF(OR($BJ50="",39&gt;設定!$B$3),"",IF(INDEX(原始資料!AP$2:AP$501,$BJ50)="","",INDEX(原始資料!AP$2:AP$501,$BJ50)))</f>
        <v/>
      </c>
      <c r="AO50" s="6">
        <f>IF(OR($BJ50="",40&gt;設定!$B$3),"",IF(INDEX(原始資料!AQ$2:AQ$501,$BJ50)="","",INDEX(原始資料!AQ$2:AQ$501,$BJ50)))</f>
        <v/>
      </c>
      <c r="AP50" s="6">
        <f>IF(OR($BJ50="",41&gt;設定!$B$3),"",IF(INDEX(原始資料!AR$2:AR$501,$BJ50)="","",INDEX(原始資料!AR$2:AR$501,$BJ50)))</f>
        <v/>
      </c>
      <c r="AQ50" s="6">
        <f>IF(OR($BJ50="",42&gt;設定!$B$3),"",IF(INDEX(原始資料!AS$2:AS$501,$BJ50)="","",INDEX(原始資料!AS$2:AS$501,$BJ50)))</f>
        <v/>
      </c>
      <c r="AR50" s="6">
        <f>IF(OR($BJ50="",43&gt;設定!$B$3),"",IF(INDEX(原始資料!AT$2:AT$501,$BJ50)="","",INDEX(原始資料!AT$2:AT$501,$BJ50)))</f>
        <v/>
      </c>
      <c r="AS50" s="6">
        <f>IF(OR($BJ50="",44&gt;設定!$B$3),"",IF(INDEX(原始資料!AU$2:AU$501,$BJ50)="","",INDEX(原始資料!AU$2:AU$501,$BJ50)))</f>
        <v/>
      </c>
      <c r="AT50" s="6">
        <f>IF(OR($BJ50="",45&gt;設定!$B$3),"",IF(INDEX(原始資料!AV$2:AV$501,$BJ50)="","",INDEX(原始資料!AV$2:AV$501,$BJ50)))</f>
        <v/>
      </c>
      <c r="AU50" s="6">
        <f>IF(OR($BJ50="",46&gt;設定!$B$3),"",IF(INDEX(原始資料!AW$2:AW$501,$BJ50)="","",INDEX(原始資料!AW$2:AW$501,$BJ50)))</f>
        <v/>
      </c>
      <c r="AV50" s="6">
        <f>IF(OR($BJ50="",47&gt;設定!$B$3),"",IF(INDEX(原始資料!AX$2:AX$501,$BJ50)="","",INDEX(原始資料!AX$2:AX$501,$BJ50)))</f>
        <v/>
      </c>
      <c r="AW50" s="6">
        <f>IF(OR($BJ50="",48&gt;設定!$B$3),"",IF(INDEX(原始資料!AY$2:AY$501,$BJ50)="","",INDEX(原始資料!AY$2:AY$501,$BJ50)))</f>
        <v/>
      </c>
      <c r="AX50" s="6">
        <f>IF(OR($BJ50="",49&gt;設定!$B$3),"",IF(INDEX(原始資料!AZ$2:AZ$501,$BJ50)="","",INDEX(原始資料!AZ$2:AZ$501,$BJ50)))</f>
        <v/>
      </c>
      <c r="AY50" s="6">
        <f>IF(OR($BJ50="",50&gt;設定!$B$3),"",IF(INDEX(原始資料!BA$2:BA$501,$BJ50)="","",INDEX(原始資料!BA$2:BA$501,$BJ50)))</f>
        <v/>
      </c>
      <c r="AZ50" s="6">
        <f>IF(OR($BJ50="",51&gt;設定!$B$3),"",IF(INDEX(原始資料!BB$2:BB$501,$BJ50)="","",INDEX(原始資料!BB$2:BB$501,$BJ50)))</f>
        <v/>
      </c>
      <c r="BA50" s="6">
        <f>IF(OR($BJ50="",52&gt;設定!$B$3),"",IF(INDEX(原始資料!BC$2:BC$501,$BJ50)="","",INDEX(原始資料!BC$2:BC$501,$BJ50)))</f>
        <v/>
      </c>
      <c r="BB50" s="6">
        <f>IF(OR($BJ50="",53&gt;設定!$B$3),"",IF(INDEX(原始資料!BD$2:BD$501,$BJ50)="","",INDEX(原始資料!BD$2:BD$501,$BJ50)))</f>
        <v/>
      </c>
      <c r="BC50" s="6">
        <f>IF(OR($BJ50="",54&gt;設定!$B$3),"",IF(INDEX(原始資料!BE$2:BE$501,$BJ50)="","",INDEX(原始資料!BE$2:BE$501,$BJ50)))</f>
        <v/>
      </c>
      <c r="BD50" s="6">
        <f>IF(OR($BJ50="",55&gt;設定!$B$3),"",IF(INDEX(原始資料!BF$2:BF$501,$BJ50)="","",INDEX(原始資料!BF$2:BF$501,$BJ50)))</f>
        <v/>
      </c>
      <c r="BE50" s="6">
        <f>IF(OR($BJ50="",56&gt;設定!$B$3),"",IF(INDEX(原始資料!BG$2:BG$501,$BJ50)="","",INDEX(原始資料!BG$2:BG$501,$BJ50)))</f>
        <v/>
      </c>
      <c r="BF50" s="6">
        <f>IF(OR($BJ50="",57&gt;設定!$B$3),"",IF(INDEX(原始資料!BH$2:BH$501,$BJ50)="","",INDEX(原始資料!BH$2:BH$501,$BJ50)))</f>
        <v/>
      </c>
      <c r="BG50" s="6">
        <f>IF(OR($BJ50="",58&gt;設定!$B$3),"",IF(INDEX(原始資料!BI$2:BI$501,$BJ50)="","",INDEX(原始資料!BI$2:BI$501,$BJ50)))</f>
        <v/>
      </c>
      <c r="BH50" s="6">
        <f>IF(OR($BJ50="",59&gt;設定!$B$3),"",IF(INDEX(原始資料!BJ$2:BJ$501,$BJ50)="","",INDEX(原始資料!BJ$2:BJ$501,$BJ50)))</f>
        <v/>
      </c>
      <c r="BI50" s="6">
        <f>IF(OR($BJ50="",60&gt;設定!$B$3),"",IF(INDEX(原始資料!BK$2:BK$501,$BJ50)="","",INDEX(原始資料!BK$2:BK$501,$BJ50)))</f>
        <v/>
      </c>
      <c r="BJ50" s="6">
        <f>IFERROR(MATCH(ROW()-1,判定!$H$2:$H$501,0),"")</f>
        <v/>
      </c>
    </row>
    <row r="51">
      <c r="A51" s="6">
        <f>IF($BJ51="","",INDEX(原始資料!$A$2:$A$501,$BJ51))</f>
        <v/>
      </c>
      <c r="B51" s="6">
        <f>IF(OR($BJ51="",1&gt;設定!$B$3),"",IF(INDEX(原始資料!D$2:D$501,$BJ51)="","",INDEX(原始資料!D$2:D$501,$BJ51)))</f>
        <v/>
      </c>
      <c r="C51" s="6">
        <f>IF(OR($BJ51="",2&gt;設定!$B$3),"",IF(INDEX(原始資料!E$2:E$501,$BJ51)="","",INDEX(原始資料!E$2:E$501,$BJ51)))</f>
        <v/>
      </c>
      <c r="D51" s="6">
        <f>IF(OR($BJ51="",3&gt;設定!$B$3),"",IF(INDEX(原始資料!F$2:F$501,$BJ51)="","",INDEX(原始資料!F$2:F$501,$BJ51)))</f>
        <v/>
      </c>
      <c r="E51" s="6">
        <f>IF(OR($BJ51="",4&gt;設定!$B$3),"",IF(INDEX(原始資料!G$2:G$501,$BJ51)="","",INDEX(原始資料!G$2:G$501,$BJ51)))</f>
        <v/>
      </c>
      <c r="F51" s="6">
        <f>IF(OR($BJ51="",5&gt;設定!$B$3),"",IF(INDEX(原始資料!H$2:H$501,$BJ51)="","",INDEX(原始資料!H$2:H$501,$BJ51)))</f>
        <v/>
      </c>
      <c r="G51" s="6">
        <f>IF(OR($BJ51="",6&gt;設定!$B$3),"",IF(INDEX(原始資料!I$2:I$501,$BJ51)="","",INDEX(原始資料!I$2:I$501,$BJ51)))</f>
        <v/>
      </c>
      <c r="H51" s="6">
        <f>IF(OR($BJ51="",7&gt;設定!$B$3),"",IF(INDEX(原始資料!J$2:J$501,$BJ51)="","",INDEX(原始資料!J$2:J$501,$BJ51)))</f>
        <v/>
      </c>
      <c r="I51" s="6">
        <f>IF(OR($BJ51="",8&gt;設定!$B$3),"",IF(INDEX(原始資料!K$2:K$501,$BJ51)="","",INDEX(原始資料!K$2:K$501,$BJ51)))</f>
        <v/>
      </c>
      <c r="J51" s="6">
        <f>IF(OR($BJ51="",9&gt;設定!$B$3),"",IF(INDEX(原始資料!L$2:L$501,$BJ51)="","",INDEX(原始資料!L$2:L$501,$BJ51)))</f>
        <v/>
      </c>
      <c r="K51" s="6">
        <f>IF(OR($BJ51="",10&gt;設定!$B$3),"",IF(INDEX(原始資料!M$2:M$501,$BJ51)="","",INDEX(原始資料!M$2:M$501,$BJ51)))</f>
        <v/>
      </c>
      <c r="L51" s="6">
        <f>IF(OR($BJ51="",11&gt;設定!$B$3),"",IF(INDEX(原始資料!N$2:N$501,$BJ51)="","",INDEX(原始資料!N$2:N$501,$BJ51)))</f>
        <v/>
      </c>
      <c r="M51" s="6">
        <f>IF(OR($BJ51="",12&gt;設定!$B$3),"",IF(INDEX(原始資料!O$2:O$501,$BJ51)="","",INDEX(原始資料!O$2:O$501,$BJ51)))</f>
        <v/>
      </c>
      <c r="N51" s="6">
        <f>IF(OR($BJ51="",13&gt;設定!$B$3),"",IF(INDEX(原始資料!P$2:P$501,$BJ51)="","",INDEX(原始資料!P$2:P$501,$BJ51)))</f>
        <v/>
      </c>
      <c r="O51" s="6">
        <f>IF(OR($BJ51="",14&gt;設定!$B$3),"",IF(INDEX(原始資料!Q$2:Q$501,$BJ51)="","",INDEX(原始資料!Q$2:Q$501,$BJ51)))</f>
        <v/>
      </c>
      <c r="P51" s="6">
        <f>IF(OR($BJ51="",15&gt;設定!$B$3),"",IF(INDEX(原始資料!R$2:R$501,$BJ51)="","",INDEX(原始資料!R$2:R$501,$BJ51)))</f>
        <v/>
      </c>
      <c r="Q51" s="6">
        <f>IF(OR($BJ51="",16&gt;設定!$B$3),"",IF(INDEX(原始資料!S$2:S$501,$BJ51)="","",INDEX(原始資料!S$2:S$501,$BJ51)))</f>
        <v/>
      </c>
      <c r="R51" s="6">
        <f>IF(OR($BJ51="",17&gt;設定!$B$3),"",IF(INDEX(原始資料!T$2:T$501,$BJ51)="","",INDEX(原始資料!T$2:T$501,$BJ51)))</f>
        <v/>
      </c>
      <c r="S51" s="6">
        <f>IF(OR($BJ51="",18&gt;設定!$B$3),"",IF(INDEX(原始資料!U$2:U$501,$BJ51)="","",INDEX(原始資料!U$2:U$501,$BJ51)))</f>
        <v/>
      </c>
      <c r="T51" s="6">
        <f>IF(OR($BJ51="",19&gt;設定!$B$3),"",IF(INDEX(原始資料!V$2:V$501,$BJ51)="","",INDEX(原始資料!V$2:V$501,$BJ51)))</f>
        <v/>
      </c>
      <c r="U51" s="6">
        <f>IF(OR($BJ51="",20&gt;設定!$B$3),"",IF(INDEX(原始資料!W$2:W$501,$BJ51)="","",INDEX(原始資料!W$2:W$501,$BJ51)))</f>
        <v/>
      </c>
      <c r="V51" s="6">
        <f>IF(OR($BJ51="",21&gt;設定!$B$3),"",IF(INDEX(原始資料!X$2:X$501,$BJ51)="","",INDEX(原始資料!X$2:X$501,$BJ51)))</f>
        <v/>
      </c>
      <c r="W51" s="6">
        <f>IF(OR($BJ51="",22&gt;設定!$B$3),"",IF(INDEX(原始資料!Y$2:Y$501,$BJ51)="","",INDEX(原始資料!Y$2:Y$501,$BJ51)))</f>
        <v/>
      </c>
      <c r="X51" s="6">
        <f>IF(OR($BJ51="",23&gt;設定!$B$3),"",IF(INDEX(原始資料!Z$2:Z$501,$BJ51)="","",INDEX(原始資料!Z$2:Z$501,$BJ51)))</f>
        <v/>
      </c>
      <c r="Y51" s="6">
        <f>IF(OR($BJ51="",24&gt;設定!$B$3),"",IF(INDEX(原始資料!AA$2:AA$501,$BJ51)="","",INDEX(原始資料!AA$2:AA$501,$BJ51)))</f>
        <v/>
      </c>
      <c r="Z51" s="6">
        <f>IF(OR($BJ51="",25&gt;設定!$B$3),"",IF(INDEX(原始資料!AB$2:AB$501,$BJ51)="","",INDEX(原始資料!AB$2:AB$501,$BJ51)))</f>
        <v/>
      </c>
      <c r="AA51" s="6">
        <f>IF(OR($BJ51="",26&gt;設定!$B$3),"",IF(INDEX(原始資料!AC$2:AC$501,$BJ51)="","",INDEX(原始資料!AC$2:AC$501,$BJ51)))</f>
        <v/>
      </c>
      <c r="AB51" s="6">
        <f>IF(OR($BJ51="",27&gt;設定!$B$3),"",IF(INDEX(原始資料!AD$2:AD$501,$BJ51)="","",INDEX(原始資料!AD$2:AD$501,$BJ51)))</f>
        <v/>
      </c>
      <c r="AC51" s="6">
        <f>IF(OR($BJ51="",28&gt;設定!$B$3),"",IF(INDEX(原始資料!AE$2:AE$501,$BJ51)="","",INDEX(原始資料!AE$2:AE$501,$BJ51)))</f>
        <v/>
      </c>
      <c r="AD51" s="6">
        <f>IF(OR($BJ51="",29&gt;設定!$B$3),"",IF(INDEX(原始資料!AF$2:AF$501,$BJ51)="","",INDEX(原始資料!AF$2:AF$501,$BJ51)))</f>
        <v/>
      </c>
      <c r="AE51" s="6">
        <f>IF(OR($BJ51="",30&gt;設定!$B$3),"",IF(INDEX(原始資料!AG$2:AG$501,$BJ51)="","",INDEX(原始資料!AG$2:AG$501,$BJ51)))</f>
        <v/>
      </c>
      <c r="AF51" s="6">
        <f>IF(OR($BJ51="",31&gt;設定!$B$3),"",IF(INDEX(原始資料!AH$2:AH$501,$BJ51)="","",INDEX(原始資料!AH$2:AH$501,$BJ51)))</f>
        <v/>
      </c>
      <c r="AG51" s="6">
        <f>IF(OR($BJ51="",32&gt;設定!$B$3),"",IF(INDEX(原始資料!AI$2:AI$501,$BJ51)="","",INDEX(原始資料!AI$2:AI$501,$BJ51)))</f>
        <v/>
      </c>
      <c r="AH51" s="6">
        <f>IF(OR($BJ51="",33&gt;設定!$B$3),"",IF(INDEX(原始資料!AJ$2:AJ$501,$BJ51)="","",INDEX(原始資料!AJ$2:AJ$501,$BJ51)))</f>
        <v/>
      </c>
      <c r="AI51" s="6">
        <f>IF(OR($BJ51="",34&gt;設定!$B$3),"",IF(INDEX(原始資料!AK$2:AK$501,$BJ51)="","",INDEX(原始資料!AK$2:AK$501,$BJ51)))</f>
        <v/>
      </c>
      <c r="AJ51" s="6">
        <f>IF(OR($BJ51="",35&gt;設定!$B$3),"",IF(INDEX(原始資料!AL$2:AL$501,$BJ51)="","",INDEX(原始資料!AL$2:AL$501,$BJ51)))</f>
        <v/>
      </c>
      <c r="AK51" s="6">
        <f>IF(OR($BJ51="",36&gt;設定!$B$3),"",IF(INDEX(原始資料!AM$2:AM$501,$BJ51)="","",INDEX(原始資料!AM$2:AM$501,$BJ51)))</f>
        <v/>
      </c>
      <c r="AL51" s="6">
        <f>IF(OR($BJ51="",37&gt;設定!$B$3),"",IF(INDEX(原始資料!AN$2:AN$501,$BJ51)="","",INDEX(原始資料!AN$2:AN$501,$BJ51)))</f>
        <v/>
      </c>
      <c r="AM51" s="6">
        <f>IF(OR($BJ51="",38&gt;設定!$B$3),"",IF(INDEX(原始資料!AO$2:AO$501,$BJ51)="","",INDEX(原始資料!AO$2:AO$501,$BJ51)))</f>
        <v/>
      </c>
      <c r="AN51" s="6">
        <f>IF(OR($BJ51="",39&gt;設定!$B$3),"",IF(INDEX(原始資料!AP$2:AP$501,$BJ51)="","",INDEX(原始資料!AP$2:AP$501,$BJ51)))</f>
        <v/>
      </c>
      <c r="AO51" s="6">
        <f>IF(OR($BJ51="",40&gt;設定!$B$3),"",IF(INDEX(原始資料!AQ$2:AQ$501,$BJ51)="","",INDEX(原始資料!AQ$2:AQ$501,$BJ51)))</f>
        <v/>
      </c>
      <c r="AP51" s="6">
        <f>IF(OR($BJ51="",41&gt;設定!$B$3),"",IF(INDEX(原始資料!AR$2:AR$501,$BJ51)="","",INDEX(原始資料!AR$2:AR$501,$BJ51)))</f>
        <v/>
      </c>
      <c r="AQ51" s="6">
        <f>IF(OR($BJ51="",42&gt;設定!$B$3),"",IF(INDEX(原始資料!AS$2:AS$501,$BJ51)="","",INDEX(原始資料!AS$2:AS$501,$BJ51)))</f>
        <v/>
      </c>
      <c r="AR51" s="6">
        <f>IF(OR($BJ51="",43&gt;設定!$B$3),"",IF(INDEX(原始資料!AT$2:AT$501,$BJ51)="","",INDEX(原始資料!AT$2:AT$501,$BJ51)))</f>
        <v/>
      </c>
      <c r="AS51" s="6">
        <f>IF(OR($BJ51="",44&gt;設定!$B$3),"",IF(INDEX(原始資料!AU$2:AU$501,$BJ51)="","",INDEX(原始資料!AU$2:AU$501,$BJ51)))</f>
        <v/>
      </c>
      <c r="AT51" s="6">
        <f>IF(OR($BJ51="",45&gt;設定!$B$3),"",IF(INDEX(原始資料!AV$2:AV$501,$BJ51)="","",INDEX(原始資料!AV$2:AV$501,$BJ51)))</f>
        <v/>
      </c>
      <c r="AU51" s="6">
        <f>IF(OR($BJ51="",46&gt;設定!$B$3),"",IF(INDEX(原始資料!AW$2:AW$501,$BJ51)="","",INDEX(原始資料!AW$2:AW$501,$BJ51)))</f>
        <v/>
      </c>
      <c r="AV51" s="6">
        <f>IF(OR($BJ51="",47&gt;設定!$B$3),"",IF(INDEX(原始資料!AX$2:AX$501,$BJ51)="","",INDEX(原始資料!AX$2:AX$501,$BJ51)))</f>
        <v/>
      </c>
      <c r="AW51" s="6">
        <f>IF(OR($BJ51="",48&gt;設定!$B$3),"",IF(INDEX(原始資料!AY$2:AY$501,$BJ51)="","",INDEX(原始資料!AY$2:AY$501,$BJ51)))</f>
        <v/>
      </c>
      <c r="AX51" s="6">
        <f>IF(OR($BJ51="",49&gt;設定!$B$3),"",IF(INDEX(原始資料!AZ$2:AZ$501,$BJ51)="","",INDEX(原始資料!AZ$2:AZ$501,$BJ51)))</f>
        <v/>
      </c>
      <c r="AY51" s="6">
        <f>IF(OR($BJ51="",50&gt;設定!$B$3),"",IF(INDEX(原始資料!BA$2:BA$501,$BJ51)="","",INDEX(原始資料!BA$2:BA$501,$BJ51)))</f>
        <v/>
      </c>
      <c r="AZ51" s="6">
        <f>IF(OR($BJ51="",51&gt;設定!$B$3),"",IF(INDEX(原始資料!BB$2:BB$501,$BJ51)="","",INDEX(原始資料!BB$2:BB$501,$BJ51)))</f>
        <v/>
      </c>
      <c r="BA51" s="6">
        <f>IF(OR($BJ51="",52&gt;設定!$B$3),"",IF(INDEX(原始資料!BC$2:BC$501,$BJ51)="","",INDEX(原始資料!BC$2:BC$501,$BJ51)))</f>
        <v/>
      </c>
      <c r="BB51" s="6">
        <f>IF(OR($BJ51="",53&gt;設定!$B$3),"",IF(INDEX(原始資料!BD$2:BD$501,$BJ51)="","",INDEX(原始資料!BD$2:BD$501,$BJ51)))</f>
        <v/>
      </c>
      <c r="BC51" s="6">
        <f>IF(OR($BJ51="",54&gt;設定!$B$3),"",IF(INDEX(原始資料!BE$2:BE$501,$BJ51)="","",INDEX(原始資料!BE$2:BE$501,$BJ51)))</f>
        <v/>
      </c>
      <c r="BD51" s="6">
        <f>IF(OR($BJ51="",55&gt;設定!$B$3),"",IF(INDEX(原始資料!BF$2:BF$501,$BJ51)="","",INDEX(原始資料!BF$2:BF$501,$BJ51)))</f>
        <v/>
      </c>
      <c r="BE51" s="6">
        <f>IF(OR($BJ51="",56&gt;設定!$B$3),"",IF(INDEX(原始資料!BG$2:BG$501,$BJ51)="","",INDEX(原始資料!BG$2:BG$501,$BJ51)))</f>
        <v/>
      </c>
      <c r="BF51" s="6">
        <f>IF(OR($BJ51="",57&gt;設定!$B$3),"",IF(INDEX(原始資料!BH$2:BH$501,$BJ51)="","",INDEX(原始資料!BH$2:BH$501,$BJ51)))</f>
        <v/>
      </c>
      <c r="BG51" s="6">
        <f>IF(OR($BJ51="",58&gt;設定!$B$3),"",IF(INDEX(原始資料!BI$2:BI$501,$BJ51)="","",INDEX(原始資料!BI$2:BI$501,$BJ51)))</f>
        <v/>
      </c>
      <c r="BH51" s="6">
        <f>IF(OR($BJ51="",59&gt;設定!$B$3),"",IF(INDEX(原始資料!BJ$2:BJ$501,$BJ51)="","",INDEX(原始資料!BJ$2:BJ$501,$BJ51)))</f>
        <v/>
      </c>
      <c r="BI51" s="6">
        <f>IF(OR($BJ51="",60&gt;設定!$B$3),"",IF(INDEX(原始資料!BK$2:BK$501,$BJ51)="","",INDEX(原始資料!BK$2:BK$501,$BJ51)))</f>
        <v/>
      </c>
      <c r="BJ51" s="6">
        <f>IFERROR(MATCH(ROW()-1,判定!$H$2:$H$501,0),"")</f>
        <v/>
      </c>
    </row>
    <row r="52">
      <c r="A52" s="6">
        <f>IF($BJ52="","",INDEX(原始資料!$A$2:$A$501,$BJ52))</f>
        <v/>
      </c>
      <c r="B52" s="6">
        <f>IF(OR($BJ52="",1&gt;設定!$B$3),"",IF(INDEX(原始資料!D$2:D$501,$BJ52)="","",INDEX(原始資料!D$2:D$501,$BJ52)))</f>
        <v/>
      </c>
      <c r="C52" s="6">
        <f>IF(OR($BJ52="",2&gt;設定!$B$3),"",IF(INDEX(原始資料!E$2:E$501,$BJ52)="","",INDEX(原始資料!E$2:E$501,$BJ52)))</f>
        <v/>
      </c>
      <c r="D52" s="6">
        <f>IF(OR($BJ52="",3&gt;設定!$B$3),"",IF(INDEX(原始資料!F$2:F$501,$BJ52)="","",INDEX(原始資料!F$2:F$501,$BJ52)))</f>
        <v/>
      </c>
      <c r="E52" s="6">
        <f>IF(OR($BJ52="",4&gt;設定!$B$3),"",IF(INDEX(原始資料!G$2:G$501,$BJ52)="","",INDEX(原始資料!G$2:G$501,$BJ52)))</f>
        <v/>
      </c>
      <c r="F52" s="6">
        <f>IF(OR($BJ52="",5&gt;設定!$B$3),"",IF(INDEX(原始資料!H$2:H$501,$BJ52)="","",INDEX(原始資料!H$2:H$501,$BJ52)))</f>
        <v/>
      </c>
      <c r="G52" s="6">
        <f>IF(OR($BJ52="",6&gt;設定!$B$3),"",IF(INDEX(原始資料!I$2:I$501,$BJ52)="","",INDEX(原始資料!I$2:I$501,$BJ52)))</f>
        <v/>
      </c>
      <c r="H52" s="6">
        <f>IF(OR($BJ52="",7&gt;設定!$B$3),"",IF(INDEX(原始資料!J$2:J$501,$BJ52)="","",INDEX(原始資料!J$2:J$501,$BJ52)))</f>
        <v/>
      </c>
      <c r="I52" s="6">
        <f>IF(OR($BJ52="",8&gt;設定!$B$3),"",IF(INDEX(原始資料!K$2:K$501,$BJ52)="","",INDEX(原始資料!K$2:K$501,$BJ52)))</f>
        <v/>
      </c>
      <c r="J52" s="6">
        <f>IF(OR($BJ52="",9&gt;設定!$B$3),"",IF(INDEX(原始資料!L$2:L$501,$BJ52)="","",INDEX(原始資料!L$2:L$501,$BJ52)))</f>
        <v/>
      </c>
      <c r="K52" s="6">
        <f>IF(OR($BJ52="",10&gt;設定!$B$3),"",IF(INDEX(原始資料!M$2:M$501,$BJ52)="","",INDEX(原始資料!M$2:M$501,$BJ52)))</f>
        <v/>
      </c>
      <c r="L52" s="6">
        <f>IF(OR($BJ52="",11&gt;設定!$B$3),"",IF(INDEX(原始資料!N$2:N$501,$BJ52)="","",INDEX(原始資料!N$2:N$501,$BJ52)))</f>
        <v/>
      </c>
      <c r="M52" s="6">
        <f>IF(OR($BJ52="",12&gt;設定!$B$3),"",IF(INDEX(原始資料!O$2:O$501,$BJ52)="","",INDEX(原始資料!O$2:O$501,$BJ52)))</f>
        <v/>
      </c>
      <c r="N52" s="6">
        <f>IF(OR($BJ52="",13&gt;設定!$B$3),"",IF(INDEX(原始資料!P$2:P$501,$BJ52)="","",INDEX(原始資料!P$2:P$501,$BJ52)))</f>
        <v/>
      </c>
      <c r="O52" s="6">
        <f>IF(OR($BJ52="",14&gt;設定!$B$3),"",IF(INDEX(原始資料!Q$2:Q$501,$BJ52)="","",INDEX(原始資料!Q$2:Q$501,$BJ52)))</f>
        <v/>
      </c>
      <c r="P52" s="6">
        <f>IF(OR($BJ52="",15&gt;設定!$B$3),"",IF(INDEX(原始資料!R$2:R$501,$BJ52)="","",INDEX(原始資料!R$2:R$501,$BJ52)))</f>
        <v/>
      </c>
      <c r="Q52" s="6">
        <f>IF(OR($BJ52="",16&gt;設定!$B$3),"",IF(INDEX(原始資料!S$2:S$501,$BJ52)="","",INDEX(原始資料!S$2:S$501,$BJ52)))</f>
        <v/>
      </c>
      <c r="R52" s="6">
        <f>IF(OR($BJ52="",17&gt;設定!$B$3),"",IF(INDEX(原始資料!T$2:T$501,$BJ52)="","",INDEX(原始資料!T$2:T$501,$BJ52)))</f>
        <v/>
      </c>
      <c r="S52" s="6">
        <f>IF(OR($BJ52="",18&gt;設定!$B$3),"",IF(INDEX(原始資料!U$2:U$501,$BJ52)="","",INDEX(原始資料!U$2:U$501,$BJ52)))</f>
        <v/>
      </c>
      <c r="T52" s="6">
        <f>IF(OR($BJ52="",19&gt;設定!$B$3),"",IF(INDEX(原始資料!V$2:V$501,$BJ52)="","",INDEX(原始資料!V$2:V$501,$BJ52)))</f>
        <v/>
      </c>
      <c r="U52" s="6">
        <f>IF(OR($BJ52="",20&gt;設定!$B$3),"",IF(INDEX(原始資料!W$2:W$501,$BJ52)="","",INDEX(原始資料!W$2:W$501,$BJ52)))</f>
        <v/>
      </c>
      <c r="V52" s="6">
        <f>IF(OR($BJ52="",21&gt;設定!$B$3),"",IF(INDEX(原始資料!X$2:X$501,$BJ52)="","",INDEX(原始資料!X$2:X$501,$BJ52)))</f>
        <v/>
      </c>
      <c r="W52" s="6">
        <f>IF(OR($BJ52="",22&gt;設定!$B$3),"",IF(INDEX(原始資料!Y$2:Y$501,$BJ52)="","",INDEX(原始資料!Y$2:Y$501,$BJ52)))</f>
        <v/>
      </c>
      <c r="X52" s="6">
        <f>IF(OR($BJ52="",23&gt;設定!$B$3),"",IF(INDEX(原始資料!Z$2:Z$501,$BJ52)="","",INDEX(原始資料!Z$2:Z$501,$BJ52)))</f>
        <v/>
      </c>
      <c r="Y52" s="6">
        <f>IF(OR($BJ52="",24&gt;設定!$B$3),"",IF(INDEX(原始資料!AA$2:AA$501,$BJ52)="","",INDEX(原始資料!AA$2:AA$501,$BJ52)))</f>
        <v/>
      </c>
      <c r="Z52" s="6">
        <f>IF(OR($BJ52="",25&gt;設定!$B$3),"",IF(INDEX(原始資料!AB$2:AB$501,$BJ52)="","",INDEX(原始資料!AB$2:AB$501,$BJ52)))</f>
        <v/>
      </c>
      <c r="AA52" s="6">
        <f>IF(OR($BJ52="",26&gt;設定!$B$3),"",IF(INDEX(原始資料!AC$2:AC$501,$BJ52)="","",INDEX(原始資料!AC$2:AC$501,$BJ52)))</f>
        <v/>
      </c>
      <c r="AB52" s="6">
        <f>IF(OR($BJ52="",27&gt;設定!$B$3),"",IF(INDEX(原始資料!AD$2:AD$501,$BJ52)="","",INDEX(原始資料!AD$2:AD$501,$BJ52)))</f>
        <v/>
      </c>
      <c r="AC52" s="6">
        <f>IF(OR($BJ52="",28&gt;設定!$B$3),"",IF(INDEX(原始資料!AE$2:AE$501,$BJ52)="","",INDEX(原始資料!AE$2:AE$501,$BJ52)))</f>
        <v/>
      </c>
      <c r="AD52" s="6">
        <f>IF(OR($BJ52="",29&gt;設定!$B$3),"",IF(INDEX(原始資料!AF$2:AF$501,$BJ52)="","",INDEX(原始資料!AF$2:AF$501,$BJ52)))</f>
        <v/>
      </c>
      <c r="AE52" s="6">
        <f>IF(OR($BJ52="",30&gt;設定!$B$3),"",IF(INDEX(原始資料!AG$2:AG$501,$BJ52)="","",INDEX(原始資料!AG$2:AG$501,$BJ52)))</f>
        <v/>
      </c>
      <c r="AF52" s="6">
        <f>IF(OR($BJ52="",31&gt;設定!$B$3),"",IF(INDEX(原始資料!AH$2:AH$501,$BJ52)="","",INDEX(原始資料!AH$2:AH$501,$BJ52)))</f>
        <v/>
      </c>
      <c r="AG52" s="6">
        <f>IF(OR($BJ52="",32&gt;設定!$B$3),"",IF(INDEX(原始資料!AI$2:AI$501,$BJ52)="","",INDEX(原始資料!AI$2:AI$501,$BJ52)))</f>
        <v/>
      </c>
      <c r="AH52" s="6">
        <f>IF(OR($BJ52="",33&gt;設定!$B$3),"",IF(INDEX(原始資料!AJ$2:AJ$501,$BJ52)="","",INDEX(原始資料!AJ$2:AJ$501,$BJ52)))</f>
        <v/>
      </c>
      <c r="AI52" s="6">
        <f>IF(OR($BJ52="",34&gt;設定!$B$3),"",IF(INDEX(原始資料!AK$2:AK$501,$BJ52)="","",INDEX(原始資料!AK$2:AK$501,$BJ52)))</f>
        <v/>
      </c>
      <c r="AJ52" s="6">
        <f>IF(OR($BJ52="",35&gt;設定!$B$3),"",IF(INDEX(原始資料!AL$2:AL$501,$BJ52)="","",INDEX(原始資料!AL$2:AL$501,$BJ52)))</f>
        <v/>
      </c>
      <c r="AK52" s="6">
        <f>IF(OR($BJ52="",36&gt;設定!$B$3),"",IF(INDEX(原始資料!AM$2:AM$501,$BJ52)="","",INDEX(原始資料!AM$2:AM$501,$BJ52)))</f>
        <v/>
      </c>
      <c r="AL52" s="6">
        <f>IF(OR($BJ52="",37&gt;設定!$B$3),"",IF(INDEX(原始資料!AN$2:AN$501,$BJ52)="","",INDEX(原始資料!AN$2:AN$501,$BJ52)))</f>
        <v/>
      </c>
      <c r="AM52" s="6">
        <f>IF(OR($BJ52="",38&gt;設定!$B$3),"",IF(INDEX(原始資料!AO$2:AO$501,$BJ52)="","",INDEX(原始資料!AO$2:AO$501,$BJ52)))</f>
        <v/>
      </c>
      <c r="AN52" s="6">
        <f>IF(OR($BJ52="",39&gt;設定!$B$3),"",IF(INDEX(原始資料!AP$2:AP$501,$BJ52)="","",INDEX(原始資料!AP$2:AP$501,$BJ52)))</f>
        <v/>
      </c>
      <c r="AO52" s="6">
        <f>IF(OR($BJ52="",40&gt;設定!$B$3),"",IF(INDEX(原始資料!AQ$2:AQ$501,$BJ52)="","",INDEX(原始資料!AQ$2:AQ$501,$BJ52)))</f>
        <v/>
      </c>
      <c r="AP52" s="6">
        <f>IF(OR($BJ52="",41&gt;設定!$B$3),"",IF(INDEX(原始資料!AR$2:AR$501,$BJ52)="","",INDEX(原始資料!AR$2:AR$501,$BJ52)))</f>
        <v/>
      </c>
      <c r="AQ52" s="6">
        <f>IF(OR($BJ52="",42&gt;設定!$B$3),"",IF(INDEX(原始資料!AS$2:AS$501,$BJ52)="","",INDEX(原始資料!AS$2:AS$501,$BJ52)))</f>
        <v/>
      </c>
      <c r="AR52" s="6">
        <f>IF(OR($BJ52="",43&gt;設定!$B$3),"",IF(INDEX(原始資料!AT$2:AT$501,$BJ52)="","",INDEX(原始資料!AT$2:AT$501,$BJ52)))</f>
        <v/>
      </c>
      <c r="AS52" s="6">
        <f>IF(OR($BJ52="",44&gt;設定!$B$3),"",IF(INDEX(原始資料!AU$2:AU$501,$BJ52)="","",INDEX(原始資料!AU$2:AU$501,$BJ52)))</f>
        <v/>
      </c>
      <c r="AT52" s="6">
        <f>IF(OR($BJ52="",45&gt;設定!$B$3),"",IF(INDEX(原始資料!AV$2:AV$501,$BJ52)="","",INDEX(原始資料!AV$2:AV$501,$BJ52)))</f>
        <v/>
      </c>
      <c r="AU52" s="6">
        <f>IF(OR($BJ52="",46&gt;設定!$B$3),"",IF(INDEX(原始資料!AW$2:AW$501,$BJ52)="","",INDEX(原始資料!AW$2:AW$501,$BJ52)))</f>
        <v/>
      </c>
      <c r="AV52" s="6">
        <f>IF(OR($BJ52="",47&gt;設定!$B$3),"",IF(INDEX(原始資料!AX$2:AX$501,$BJ52)="","",INDEX(原始資料!AX$2:AX$501,$BJ52)))</f>
        <v/>
      </c>
      <c r="AW52" s="6">
        <f>IF(OR($BJ52="",48&gt;設定!$B$3),"",IF(INDEX(原始資料!AY$2:AY$501,$BJ52)="","",INDEX(原始資料!AY$2:AY$501,$BJ52)))</f>
        <v/>
      </c>
      <c r="AX52" s="6">
        <f>IF(OR($BJ52="",49&gt;設定!$B$3),"",IF(INDEX(原始資料!AZ$2:AZ$501,$BJ52)="","",INDEX(原始資料!AZ$2:AZ$501,$BJ52)))</f>
        <v/>
      </c>
      <c r="AY52" s="6">
        <f>IF(OR($BJ52="",50&gt;設定!$B$3),"",IF(INDEX(原始資料!BA$2:BA$501,$BJ52)="","",INDEX(原始資料!BA$2:BA$501,$BJ52)))</f>
        <v/>
      </c>
      <c r="AZ52" s="6">
        <f>IF(OR($BJ52="",51&gt;設定!$B$3),"",IF(INDEX(原始資料!BB$2:BB$501,$BJ52)="","",INDEX(原始資料!BB$2:BB$501,$BJ52)))</f>
        <v/>
      </c>
      <c r="BA52" s="6">
        <f>IF(OR($BJ52="",52&gt;設定!$B$3),"",IF(INDEX(原始資料!BC$2:BC$501,$BJ52)="","",INDEX(原始資料!BC$2:BC$501,$BJ52)))</f>
        <v/>
      </c>
      <c r="BB52" s="6">
        <f>IF(OR($BJ52="",53&gt;設定!$B$3),"",IF(INDEX(原始資料!BD$2:BD$501,$BJ52)="","",INDEX(原始資料!BD$2:BD$501,$BJ52)))</f>
        <v/>
      </c>
      <c r="BC52" s="6">
        <f>IF(OR($BJ52="",54&gt;設定!$B$3),"",IF(INDEX(原始資料!BE$2:BE$501,$BJ52)="","",INDEX(原始資料!BE$2:BE$501,$BJ52)))</f>
        <v/>
      </c>
      <c r="BD52" s="6">
        <f>IF(OR($BJ52="",55&gt;設定!$B$3),"",IF(INDEX(原始資料!BF$2:BF$501,$BJ52)="","",INDEX(原始資料!BF$2:BF$501,$BJ52)))</f>
        <v/>
      </c>
      <c r="BE52" s="6">
        <f>IF(OR($BJ52="",56&gt;設定!$B$3),"",IF(INDEX(原始資料!BG$2:BG$501,$BJ52)="","",INDEX(原始資料!BG$2:BG$501,$BJ52)))</f>
        <v/>
      </c>
      <c r="BF52" s="6">
        <f>IF(OR($BJ52="",57&gt;設定!$B$3),"",IF(INDEX(原始資料!BH$2:BH$501,$BJ52)="","",INDEX(原始資料!BH$2:BH$501,$BJ52)))</f>
        <v/>
      </c>
      <c r="BG52" s="6">
        <f>IF(OR($BJ52="",58&gt;設定!$B$3),"",IF(INDEX(原始資料!BI$2:BI$501,$BJ52)="","",INDEX(原始資料!BI$2:BI$501,$BJ52)))</f>
        <v/>
      </c>
      <c r="BH52" s="6">
        <f>IF(OR($BJ52="",59&gt;設定!$B$3),"",IF(INDEX(原始資料!BJ$2:BJ$501,$BJ52)="","",INDEX(原始資料!BJ$2:BJ$501,$BJ52)))</f>
        <v/>
      </c>
      <c r="BI52" s="6">
        <f>IF(OR($BJ52="",60&gt;設定!$B$3),"",IF(INDEX(原始資料!BK$2:BK$501,$BJ52)="","",INDEX(原始資料!BK$2:BK$501,$BJ52)))</f>
        <v/>
      </c>
      <c r="BJ52" s="6">
        <f>IFERROR(MATCH(ROW()-1,判定!$H$2:$H$501,0),"")</f>
        <v/>
      </c>
    </row>
    <row r="53">
      <c r="A53" s="6">
        <f>IF($BJ53="","",INDEX(原始資料!$A$2:$A$501,$BJ53))</f>
        <v/>
      </c>
      <c r="B53" s="6">
        <f>IF(OR($BJ53="",1&gt;設定!$B$3),"",IF(INDEX(原始資料!D$2:D$501,$BJ53)="","",INDEX(原始資料!D$2:D$501,$BJ53)))</f>
        <v/>
      </c>
      <c r="C53" s="6">
        <f>IF(OR($BJ53="",2&gt;設定!$B$3),"",IF(INDEX(原始資料!E$2:E$501,$BJ53)="","",INDEX(原始資料!E$2:E$501,$BJ53)))</f>
        <v/>
      </c>
      <c r="D53" s="6">
        <f>IF(OR($BJ53="",3&gt;設定!$B$3),"",IF(INDEX(原始資料!F$2:F$501,$BJ53)="","",INDEX(原始資料!F$2:F$501,$BJ53)))</f>
        <v/>
      </c>
      <c r="E53" s="6">
        <f>IF(OR($BJ53="",4&gt;設定!$B$3),"",IF(INDEX(原始資料!G$2:G$501,$BJ53)="","",INDEX(原始資料!G$2:G$501,$BJ53)))</f>
        <v/>
      </c>
      <c r="F53" s="6">
        <f>IF(OR($BJ53="",5&gt;設定!$B$3),"",IF(INDEX(原始資料!H$2:H$501,$BJ53)="","",INDEX(原始資料!H$2:H$501,$BJ53)))</f>
        <v/>
      </c>
      <c r="G53" s="6">
        <f>IF(OR($BJ53="",6&gt;設定!$B$3),"",IF(INDEX(原始資料!I$2:I$501,$BJ53)="","",INDEX(原始資料!I$2:I$501,$BJ53)))</f>
        <v/>
      </c>
      <c r="H53" s="6">
        <f>IF(OR($BJ53="",7&gt;設定!$B$3),"",IF(INDEX(原始資料!J$2:J$501,$BJ53)="","",INDEX(原始資料!J$2:J$501,$BJ53)))</f>
        <v/>
      </c>
      <c r="I53" s="6">
        <f>IF(OR($BJ53="",8&gt;設定!$B$3),"",IF(INDEX(原始資料!K$2:K$501,$BJ53)="","",INDEX(原始資料!K$2:K$501,$BJ53)))</f>
        <v/>
      </c>
      <c r="J53" s="6">
        <f>IF(OR($BJ53="",9&gt;設定!$B$3),"",IF(INDEX(原始資料!L$2:L$501,$BJ53)="","",INDEX(原始資料!L$2:L$501,$BJ53)))</f>
        <v/>
      </c>
      <c r="K53" s="6">
        <f>IF(OR($BJ53="",10&gt;設定!$B$3),"",IF(INDEX(原始資料!M$2:M$501,$BJ53)="","",INDEX(原始資料!M$2:M$501,$BJ53)))</f>
        <v/>
      </c>
      <c r="L53" s="6">
        <f>IF(OR($BJ53="",11&gt;設定!$B$3),"",IF(INDEX(原始資料!N$2:N$501,$BJ53)="","",INDEX(原始資料!N$2:N$501,$BJ53)))</f>
        <v/>
      </c>
      <c r="M53" s="6">
        <f>IF(OR($BJ53="",12&gt;設定!$B$3),"",IF(INDEX(原始資料!O$2:O$501,$BJ53)="","",INDEX(原始資料!O$2:O$501,$BJ53)))</f>
        <v/>
      </c>
      <c r="N53" s="6">
        <f>IF(OR($BJ53="",13&gt;設定!$B$3),"",IF(INDEX(原始資料!P$2:P$501,$BJ53)="","",INDEX(原始資料!P$2:P$501,$BJ53)))</f>
        <v/>
      </c>
      <c r="O53" s="6">
        <f>IF(OR($BJ53="",14&gt;設定!$B$3),"",IF(INDEX(原始資料!Q$2:Q$501,$BJ53)="","",INDEX(原始資料!Q$2:Q$501,$BJ53)))</f>
        <v/>
      </c>
      <c r="P53" s="6">
        <f>IF(OR($BJ53="",15&gt;設定!$B$3),"",IF(INDEX(原始資料!R$2:R$501,$BJ53)="","",INDEX(原始資料!R$2:R$501,$BJ53)))</f>
        <v/>
      </c>
      <c r="Q53" s="6">
        <f>IF(OR($BJ53="",16&gt;設定!$B$3),"",IF(INDEX(原始資料!S$2:S$501,$BJ53)="","",INDEX(原始資料!S$2:S$501,$BJ53)))</f>
        <v/>
      </c>
      <c r="R53" s="6">
        <f>IF(OR($BJ53="",17&gt;設定!$B$3),"",IF(INDEX(原始資料!T$2:T$501,$BJ53)="","",INDEX(原始資料!T$2:T$501,$BJ53)))</f>
        <v/>
      </c>
      <c r="S53" s="6">
        <f>IF(OR($BJ53="",18&gt;設定!$B$3),"",IF(INDEX(原始資料!U$2:U$501,$BJ53)="","",INDEX(原始資料!U$2:U$501,$BJ53)))</f>
        <v/>
      </c>
      <c r="T53" s="6">
        <f>IF(OR($BJ53="",19&gt;設定!$B$3),"",IF(INDEX(原始資料!V$2:V$501,$BJ53)="","",INDEX(原始資料!V$2:V$501,$BJ53)))</f>
        <v/>
      </c>
      <c r="U53" s="6">
        <f>IF(OR($BJ53="",20&gt;設定!$B$3),"",IF(INDEX(原始資料!W$2:W$501,$BJ53)="","",INDEX(原始資料!W$2:W$501,$BJ53)))</f>
        <v/>
      </c>
      <c r="V53" s="6">
        <f>IF(OR($BJ53="",21&gt;設定!$B$3),"",IF(INDEX(原始資料!X$2:X$501,$BJ53)="","",INDEX(原始資料!X$2:X$501,$BJ53)))</f>
        <v/>
      </c>
      <c r="W53" s="6">
        <f>IF(OR($BJ53="",22&gt;設定!$B$3),"",IF(INDEX(原始資料!Y$2:Y$501,$BJ53)="","",INDEX(原始資料!Y$2:Y$501,$BJ53)))</f>
        <v/>
      </c>
      <c r="X53" s="6">
        <f>IF(OR($BJ53="",23&gt;設定!$B$3),"",IF(INDEX(原始資料!Z$2:Z$501,$BJ53)="","",INDEX(原始資料!Z$2:Z$501,$BJ53)))</f>
        <v/>
      </c>
      <c r="Y53" s="6">
        <f>IF(OR($BJ53="",24&gt;設定!$B$3),"",IF(INDEX(原始資料!AA$2:AA$501,$BJ53)="","",INDEX(原始資料!AA$2:AA$501,$BJ53)))</f>
        <v/>
      </c>
      <c r="Z53" s="6">
        <f>IF(OR($BJ53="",25&gt;設定!$B$3),"",IF(INDEX(原始資料!AB$2:AB$501,$BJ53)="","",INDEX(原始資料!AB$2:AB$501,$BJ53)))</f>
        <v/>
      </c>
      <c r="AA53" s="6">
        <f>IF(OR($BJ53="",26&gt;設定!$B$3),"",IF(INDEX(原始資料!AC$2:AC$501,$BJ53)="","",INDEX(原始資料!AC$2:AC$501,$BJ53)))</f>
        <v/>
      </c>
      <c r="AB53" s="6">
        <f>IF(OR($BJ53="",27&gt;設定!$B$3),"",IF(INDEX(原始資料!AD$2:AD$501,$BJ53)="","",INDEX(原始資料!AD$2:AD$501,$BJ53)))</f>
        <v/>
      </c>
      <c r="AC53" s="6">
        <f>IF(OR($BJ53="",28&gt;設定!$B$3),"",IF(INDEX(原始資料!AE$2:AE$501,$BJ53)="","",INDEX(原始資料!AE$2:AE$501,$BJ53)))</f>
        <v/>
      </c>
      <c r="AD53" s="6">
        <f>IF(OR($BJ53="",29&gt;設定!$B$3),"",IF(INDEX(原始資料!AF$2:AF$501,$BJ53)="","",INDEX(原始資料!AF$2:AF$501,$BJ53)))</f>
        <v/>
      </c>
      <c r="AE53" s="6">
        <f>IF(OR($BJ53="",30&gt;設定!$B$3),"",IF(INDEX(原始資料!AG$2:AG$501,$BJ53)="","",INDEX(原始資料!AG$2:AG$501,$BJ53)))</f>
        <v/>
      </c>
      <c r="AF53" s="6">
        <f>IF(OR($BJ53="",31&gt;設定!$B$3),"",IF(INDEX(原始資料!AH$2:AH$501,$BJ53)="","",INDEX(原始資料!AH$2:AH$501,$BJ53)))</f>
        <v/>
      </c>
      <c r="AG53" s="6">
        <f>IF(OR($BJ53="",32&gt;設定!$B$3),"",IF(INDEX(原始資料!AI$2:AI$501,$BJ53)="","",INDEX(原始資料!AI$2:AI$501,$BJ53)))</f>
        <v/>
      </c>
      <c r="AH53" s="6">
        <f>IF(OR($BJ53="",33&gt;設定!$B$3),"",IF(INDEX(原始資料!AJ$2:AJ$501,$BJ53)="","",INDEX(原始資料!AJ$2:AJ$501,$BJ53)))</f>
        <v/>
      </c>
      <c r="AI53" s="6">
        <f>IF(OR($BJ53="",34&gt;設定!$B$3),"",IF(INDEX(原始資料!AK$2:AK$501,$BJ53)="","",INDEX(原始資料!AK$2:AK$501,$BJ53)))</f>
        <v/>
      </c>
      <c r="AJ53" s="6">
        <f>IF(OR($BJ53="",35&gt;設定!$B$3),"",IF(INDEX(原始資料!AL$2:AL$501,$BJ53)="","",INDEX(原始資料!AL$2:AL$501,$BJ53)))</f>
        <v/>
      </c>
      <c r="AK53" s="6">
        <f>IF(OR($BJ53="",36&gt;設定!$B$3),"",IF(INDEX(原始資料!AM$2:AM$501,$BJ53)="","",INDEX(原始資料!AM$2:AM$501,$BJ53)))</f>
        <v/>
      </c>
      <c r="AL53" s="6">
        <f>IF(OR($BJ53="",37&gt;設定!$B$3),"",IF(INDEX(原始資料!AN$2:AN$501,$BJ53)="","",INDEX(原始資料!AN$2:AN$501,$BJ53)))</f>
        <v/>
      </c>
      <c r="AM53" s="6">
        <f>IF(OR($BJ53="",38&gt;設定!$B$3),"",IF(INDEX(原始資料!AO$2:AO$501,$BJ53)="","",INDEX(原始資料!AO$2:AO$501,$BJ53)))</f>
        <v/>
      </c>
      <c r="AN53" s="6">
        <f>IF(OR($BJ53="",39&gt;設定!$B$3),"",IF(INDEX(原始資料!AP$2:AP$501,$BJ53)="","",INDEX(原始資料!AP$2:AP$501,$BJ53)))</f>
        <v/>
      </c>
      <c r="AO53" s="6">
        <f>IF(OR($BJ53="",40&gt;設定!$B$3),"",IF(INDEX(原始資料!AQ$2:AQ$501,$BJ53)="","",INDEX(原始資料!AQ$2:AQ$501,$BJ53)))</f>
        <v/>
      </c>
      <c r="AP53" s="6">
        <f>IF(OR($BJ53="",41&gt;設定!$B$3),"",IF(INDEX(原始資料!AR$2:AR$501,$BJ53)="","",INDEX(原始資料!AR$2:AR$501,$BJ53)))</f>
        <v/>
      </c>
      <c r="AQ53" s="6">
        <f>IF(OR($BJ53="",42&gt;設定!$B$3),"",IF(INDEX(原始資料!AS$2:AS$501,$BJ53)="","",INDEX(原始資料!AS$2:AS$501,$BJ53)))</f>
        <v/>
      </c>
      <c r="AR53" s="6">
        <f>IF(OR($BJ53="",43&gt;設定!$B$3),"",IF(INDEX(原始資料!AT$2:AT$501,$BJ53)="","",INDEX(原始資料!AT$2:AT$501,$BJ53)))</f>
        <v/>
      </c>
      <c r="AS53" s="6">
        <f>IF(OR($BJ53="",44&gt;設定!$B$3),"",IF(INDEX(原始資料!AU$2:AU$501,$BJ53)="","",INDEX(原始資料!AU$2:AU$501,$BJ53)))</f>
        <v/>
      </c>
      <c r="AT53" s="6">
        <f>IF(OR($BJ53="",45&gt;設定!$B$3),"",IF(INDEX(原始資料!AV$2:AV$501,$BJ53)="","",INDEX(原始資料!AV$2:AV$501,$BJ53)))</f>
        <v/>
      </c>
      <c r="AU53" s="6">
        <f>IF(OR($BJ53="",46&gt;設定!$B$3),"",IF(INDEX(原始資料!AW$2:AW$501,$BJ53)="","",INDEX(原始資料!AW$2:AW$501,$BJ53)))</f>
        <v/>
      </c>
      <c r="AV53" s="6">
        <f>IF(OR($BJ53="",47&gt;設定!$B$3),"",IF(INDEX(原始資料!AX$2:AX$501,$BJ53)="","",INDEX(原始資料!AX$2:AX$501,$BJ53)))</f>
        <v/>
      </c>
      <c r="AW53" s="6">
        <f>IF(OR($BJ53="",48&gt;設定!$B$3),"",IF(INDEX(原始資料!AY$2:AY$501,$BJ53)="","",INDEX(原始資料!AY$2:AY$501,$BJ53)))</f>
        <v/>
      </c>
      <c r="AX53" s="6">
        <f>IF(OR($BJ53="",49&gt;設定!$B$3),"",IF(INDEX(原始資料!AZ$2:AZ$501,$BJ53)="","",INDEX(原始資料!AZ$2:AZ$501,$BJ53)))</f>
        <v/>
      </c>
      <c r="AY53" s="6">
        <f>IF(OR($BJ53="",50&gt;設定!$B$3),"",IF(INDEX(原始資料!BA$2:BA$501,$BJ53)="","",INDEX(原始資料!BA$2:BA$501,$BJ53)))</f>
        <v/>
      </c>
      <c r="AZ53" s="6">
        <f>IF(OR($BJ53="",51&gt;設定!$B$3),"",IF(INDEX(原始資料!BB$2:BB$501,$BJ53)="","",INDEX(原始資料!BB$2:BB$501,$BJ53)))</f>
        <v/>
      </c>
      <c r="BA53" s="6">
        <f>IF(OR($BJ53="",52&gt;設定!$B$3),"",IF(INDEX(原始資料!BC$2:BC$501,$BJ53)="","",INDEX(原始資料!BC$2:BC$501,$BJ53)))</f>
        <v/>
      </c>
      <c r="BB53" s="6">
        <f>IF(OR($BJ53="",53&gt;設定!$B$3),"",IF(INDEX(原始資料!BD$2:BD$501,$BJ53)="","",INDEX(原始資料!BD$2:BD$501,$BJ53)))</f>
        <v/>
      </c>
      <c r="BC53" s="6">
        <f>IF(OR($BJ53="",54&gt;設定!$B$3),"",IF(INDEX(原始資料!BE$2:BE$501,$BJ53)="","",INDEX(原始資料!BE$2:BE$501,$BJ53)))</f>
        <v/>
      </c>
      <c r="BD53" s="6">
        <f>IF(OR($BJ53="",55&gt;設定!$B$3),"",IF(INDEX(原始資料!BF$2:BF$501,$BJ53)="","",INDEX(原始資料!BF$2:BF$501,$BJ53)))</f>
        <v/>
      </c>
      <c r="BE53" s="6">
        <f>IF(OR($BJ53="",56&gt;設定!$B$3),"",IF(INDEX(原始資料!BG$2:BG$501,$BJ53)="","",INDEX(原始資料!BG$2:BG$501,$BJ53)))</f>
        <v/>
      </c>
      <c r="BF53" s="6">
        <f>IF(OR($BJ53="",57&gt;設定!$B$3),"",IF(INDEX(原始資料!BH$2:BH$501,$BJ53)="","",INDEX(原始資料!BH$2:BH$501,$BJ53)))</f>
        <v/>
      </c>
      <c r="BG53" s="6">
        <f>IF(OR($BJ53="",58&gt;設定!$B$3),"",IF(INDEX(原始資料!BI$2:BI$501,$BJ53)="","",INDEX(原始資料!BI$2:BI$501,$BJ53)))</f>
        <v/>
      </c>
      <c r="BH53" s="6">
        <f>IF(OR($BJ53="",59&gt;設定!$B$3),"",IF(INDEX(原始資料!BJ$2:BJ$501,$BJ53)="","",INDEX(原始資料!BJ$2:BJ$501,$BJ53)))</f>
        <v/>
      </c>
      <c r="BI53" s="6">
        <f>IF(OR($BJ53="",60&gt;設定!$B$3),"",IF(INDEX(原始資料!BK$2:BK$501,$BJ53)="","",INDEX(原始資料!BK$2:BK$501,$BJ53)))</f>
        <v/>
      </c>
      <c r="BJ53" s="6">
        <f>IFERROR(MATCH(ROW()-1,判定!$H$2:$H$501,0),"")</f>
        <v/>
      </c>
    </row>
    <row r="54">
      <c r="A54" s="6">
        <f>IF($BJ54="","",INDEX(原始資料!$A$2:$A$501,$BJ54))</f>
        <v/>
      </c>
      <c r="B54" s="6">
        <f>IF(OR($BJ54="",1&gt;設定!$B$3),"",IF(INDEX(原始資料!D$2:D$501,$BJ54)="","",INDEX(原始資料!D$2:D$501,$BJ54)))</f>
        <v/>
      </c>
      <c r="C54" s="6">
        <f>IF(OR($BJ54="",2&gt;設定!$B$3),"",IF(INDEX(原始資料!E$2:E$501,$BJ54)="","",INDEX(原始資料!E$2:E$501,$BJ54)))</f>
        <v/>
      </c>
      <c r="D54" s="6">
        <f>IF(OR($BJ54="",3&gt;設定!$B$3),"",IF(INDEX(原始資料!F$2:F$501,$BJ54)="","",INDEX(原始資料!F$2:F$501,$BJ54)))</f>
        <v/>
      </c>
      <c r="E54" s="6">
        <f>IF(OR($BJ54="",4&gt;設定!$B$3),"",IF(INDEX(原始資料!G$2:G$501,$BJ54)="","",INDEX(原始資料!G$2:G$501,$BJ54)))</f>
        <v/>
      </c>
      <c r="F54" s="6">
        <f>IF(OR($BJ54="",5&gt;設定!$B$3),"",IF(INDEX(原始資料!H$2:H$501,$BJ54)="","",INDEX(原始資料!H$2:H$501,$BJ54)))</f>
        <v/>
      </c>
      <c r="G54" s="6">
        <f>IF(OR($BJ54="",6&gt;設定!$B$3),"",IF(INDEX(原始資料!I$2:I$501,$BJ54)="","",INDEX(原始資料!I$2:I$501,$BJ54)))</f>
        <v/>
      </c>
      <c r="H54" s="6">
        <f>IF(OR($BJ54="",7&gt;設定!$B$3),"",IF(INDEX(原始資料!J$2:J$501,$BJ54)="","",INDEX(原始資料!J$2:J$501,$BJ54)))</f>
        <v/>
      </c>
      <c r="I54" s="6">
        <f>IF(OR($BJ54="",8&gt;設定!$B$3),"",IF(INDEX(原始資料!K$2:K$501,$BJ54)="","",INDEX(原始資料!K$2:K$501,$BJ54)))</f>
        <v/>
      </c>
      <c r="J54" s="6">
        <f>IF(OR($BJ54="",9&gt;設定!$B$3),"",IF(INDEX(原始資料!L$2:L$501,$BJ54)="","",INDEX(原始資料!L$2:L$501,$BJ54)))</f>
        <v/>
      </c>
      <c r="K54" s="6">
        <f>IF(OR($BJ54="",10&gt;設定!$B$3),"",IF(INDEX(原始資料!M$2:M$501,$BJ54)="","",INDEX(原始資料!M$2:M$501,$BJ54)))</f>
        <v/>
      </c>
      <c r="L54" s="6">
        <f>IF(OR($BJ54="",11&gt;設定!$B$3),"",IF(INDEX(原始資料!N$2:N$501,$BJ54)="","",INDEX(原始資料!N$2:N$501,$BJ54)))</f>
        <v/>
      </c>
      <c r="M54" s="6">
        <f>IF(OR($BJ54="",12&gt;設定!$B$3),"",IF(INDEX(原始資料!O$2:O$501,$BJ54)="","",INDEX(原始資料!O$2:O$501,$BJ54)))</f>
        <v/>
      </c>
      <c r="N54" s="6">
        <f>IF(OR($BJ54="",13&gt;設定!$B$3),"",IF(INDEX(原始資料!P$2:P$501,$BJ54)="","",INDEX(原始資料!P$2:P$501,$BJ54)))</f>
        <v/>
      </c>
      <c r="O54" s="6">
        <f>IF(OR($BJ54="",14&gt;設定!$B$3),"",IF(INDEX(原始資料!Q$2:Q$501,$BJ54)="","",INDEX(原始資料!Q$2:Q$501,$BJ54)))</f>
        <v/>
      </c>
      <c r="P54" s="6">
        <f>IF(OR($BJ54="",15&gt;設定!$B$3),"",IF(INDEX(原始資料!R$2:R$501,$BJ54)="","",INDEX(原始資料!R$2:R$501,$BJ54)))</f>
        <v/>
      </c>
      <c r="Q54" s="6">
        <f>IF(OR($BJ54="",16&gt;設定!$B$3),"",IF(INDEX(原始資料!S$2:S$501,$BJ54)="","",INDEX(原始資料!S$2:S$501,$BJ54)))</f>
        <v/>
      </c>
      <c r="R54" s="6">
        <f>IF(OR($BJ54="",17&gt;設定!$B$3),"",IF(INDEX(原始資料!T$2:T$501,$BJ54)="","",INDEX(原始資料!T$2:T$501,$BJ54)))</f>
        <v/>
      </c>
      <c r="S54" s="6">
        <f>IF(OR($BJ54="",18&gt;設定!$B$3),"",IF(INDEX(原始資料!U$2:U$501,$BJ54)="","",INDEX(原始資料!U$2:U$501,$BJ54)))</f>
        <v/>
      </c>
      <c r="T54" s="6">
        <f>IF(OR($BJ54="",19&gt;設定!$B$3),"",IF(INDEX(原始資料!V$2:V$501,$BJ54)="","",INDEX(原始資料!V$2:V$501,$BJ54)))</f>
        <v/>
      </c>
      <c r="U54" s="6">
        <f>IF(OR($BJ54="",20&gt;設定!$B$3),"",IF(INDEX(原始資料!W$2:W$501,$BJ54)="","",INDEX(原始資料!W$2:W$501,$BJ54)))</f>
        <v/>
      </c>
      <c r="V54" s="6">
        <f>IF(OR($BJ54="",21&gt;設定!$B$3),"",IF(INDEX(原始資料!X$2:X$501,$BJ54)="","",INDEX(原始資料!X$2:X$501,$BJ54)))</f>
        <v/>
      </c>
      <c r="W54" s="6">
        <f>IF(OR($BJ54="",22&gt;設定!$B$3),"",IF(INDEX(原始資料!Y$2:Y$501,$BJ54)="","",INDEX(原始資料!Y$2:Y$501,$BJ54)))</f>
        <v/>
      </c>
      <c r="X54" s="6">
        <f>IF(OR($BJ54="",23&gt;設定!$B$3),"",IF(INDEX(原始資料!Z$2:Z$501,$BJ54)="","",INDEX(原始資料!Z$2:Z$501,$BJ54)))</f>
        <v/>
      </c>
      <c r="Y54" s="6">
        <f>IF(OR($BJ54="",24&gt;設定!$B$3),"",IF(INDEX(原始資料!AA$2:AA$501,$BJ54)="","",INDEX(原始資料!AA$2:AA$501,$BJ54)))</f>
        <v/>
      </c>
      <c r="Z54" s="6">
        <f>IF(OR($BJ54="",25&gt;設定!$B$3),"",IF(INDEX(原始資料!AB$2:AB$501,$BJ54)="","",INDEX(原始資料!AB$2:AB$501,$BJ54)))</f>
        <v/>
      </c>
      <c r="AA54" s="6">
        <f>IF(OR($BJ54="",26&gt;設定!$B$3),"",IF(INDEX(原始資料!AC$2:AC$501,$BJ54)="","",INDEX(原始資料!AC$2:AC$501,$BJ54)))</f>
        <v/>
      </c>
      <c r="AB54" s="6">
        <f>IF(OR($BJ54="",27&gt;設定!$B$3),"",IF(INDEX(原始資料!AD$2:AD$501,$BJ54)="","",INDEX(原始資料!AD$2:AD$501,$BJ54)))</f>
        <v/>
      </c>
      <c r="AC54" s="6">
        <f>IF(OR($BJ54="",28&gt;設定!$B$3),"",IF(INDEX(原始資料!AE$2:AE$501,$BJ54)="","",INDEX(原始資料!AE$2:AE$501,$BJ54)))</f>
        <v/>
      </c>
      <c r="AD54" s="6">
        <f>IF(OR($BJ54="",29&gt;設定!$B$3),"",IF(INDEX(原始資料!AF$2:AF$501,$BJ54)="","",INDEX(原始資料!AF$2:AF$501,$BJ54)))</f>
        <v/>
      </c>
      <c r="AE54" s="6">
        <f>IF(OR($BJ54="",30&gt;設定!$B$3),"",IF(INDEX(原始資料!AG$2:AG$501,$BJ54)="","",INDEX(原始資料!AG$2:AG$501,$BJ54)))</f>
        <v/>
      </c>
      <c r="AF54" s="6">
        <f>IF(OR($BJ54="",31&gt;設定!$B$3),"",IF(INDEX(原始資料!AH$2:AH$501,$BJ54)="","",INDEX(原始資料!AH$2:AH$501,$BJ54)))</f>
        <v/>
      </c>
      <c r="AG54" s="6">
        <f>IF(OR($BJ54="",32&gt;設定!$B$3),"",IF(INDEX(原始資料!AI$2:AI$501,$BJ54)="","",INDEX(原始資料!AI$2:AI$501,$BJ54)))</f>
        <v/>
      </c>
      <c r="AH54" s="6">
        <f>IF(OR($BJ54="",33&gt;設定!$B$3),"",IF(INDEX(原始資料!AJ$2:AJ$501,$BJ54)="","",INDEX(原始資料!AJ$2:AJ$501,$BJ54)))</f>
        <v/>
      </c>
      <c r="AI54" s="6">
        <f>IF(OR($BJ54="",34&gt;設定!$B$3),"",IF(INDEX(原始資料!AK$2:AK$501,$BJ54)="","",INDEX(原始資料!AK$2:AK$501,$BJ54)))</f>
        <v/>
      </c>
      <c r="AJ54" s="6">
        <f>IF(OR($BJ54="",35&gt;設定!$B$3),"",IF(INDEX(原始資料!AL$2:AL$501,$BJ54)="","",INDEX(原始資料!AL$2:AL$501,$BJ54)))</f>
        <v/>
      </c>
      <c r="AK54" s="6">
        <f>IF(OR($BJ54="",36&gt;設定!$B$3),"",IF(INDEX(原始資料!AM$2:AM$501,$BJ54)="","",INDEX(原始資料!AM$2:AM$501,$BJ54)))</f>
        <v/>
      </c>
      <c r="AL54" s="6">
        <f>IF(OR($BJ54="",37&gt;設定!$B$3),"",IF(INDEX(原始資料!AN$2:AN$501,$BJ54)="","",INDEX(原始資料!AN$2:AN$501,$BJ54)))</f>
        <v/>
      </c>
      <c r="AM54" s="6">
        <f>IF(OR($BJ54="",38&gt;設定!$B$3),"",IF(INDEX(原始資料!AO$2:AO$501,$BJ54)="","",INDEX(原始資料!AO$2:AO$501,$BJ54)))</f>
        <v/>
      </c>
      <c r="AN54" s="6">
        <f>IF(OR($BJ54="",39&gt;設定!$B$3),"",IF(INDEX(原始資料!AP$2:AP$501,$BJ54)="","",INDEX(原始資料!AP$2:AP$501,$BJ54)))</f>
        <v/>
      </c>
      <c r="AO54" s="6">
        <f>IF(OR($BJ54="",40&gt;設定!$B$3),"",IF(INDEX(原始資料!AQ$2:AQ$501,$BJ54)="","",INDEX(原始資料!AQ$2:AQ$501,$BJ54)))</f>
        <v/>
      </c>
      <c r="AP54" s="6">
        <f>IF(OR($BJ54="",41&gt;設定!$B$3),"",IF(INDEX(原始資料!AR$2:AR$501,$BJ54)="","",INDEX(原始資料!AR$2:AR$501,$BJ54)))</f>
        <v/>
      </c>
      <c r="AQ54" s="6">
        <f>IF(OR($BJ54="",42&gt;設定!$B$3),"",IF(INDEX(原始資料!AS$2:AS$501,$BJ54)="","",INDEX(原始資料!AS$2:AS$501,$BJ54)))</f>
        <v/>
      </c>
      <c r="AR54" s="6">
        <f>IF(OR($BJ54="",43&gt;設定!$B$3),"",IF(INDEX(原始資料!AT$2:AT$501,$BJ54)="","",INDEX(原始資料!AT$2:AT$501,$BJ54)))</f>
        <v/>
      </c>
      <c r="AS54" s="6">
        <f>IF(OR($BJ54="",44&gt;設定!$B$3),"",IF(INDEX(原始資料!AU$2:AU$501,$BJ54)="","",INDEX(原始資料!AU$2:AU$501,$BJ54)))</f>
        <v/>
      </c>
      <c r="AT54" s="6">
        <f>IF(OR($BJ54="",45&gt;設定!$B$3),"",IF(INDEX(原始資料!AV$2:AV$501,$BJ54)="","",INDEX(原始資料!AV$2:AV$501,$BJ54)))</f>
        <v/>
      </c>
      <c r="AU54" s="6">
        <f>IF(OR($BJ54="",46&gt;設定!$B$3),"",IF(INDEX(原始資料!AW$2:AW$501,$BJ54)="","",INDEX(原始資料!AW$2:AW$501,$BJ54)))</f>
        <v/>
      </c>
      <c r="AV54" s="6">
        <f>IF(OR($BJ54="",47&gt;設定!$B$3),"",IF(INDEX(原始資料!AX$2:AX$501,$BJ54)="","",INDEX(原始資料!AX$2:AX$501,$BJ54)))</f>
        <v/>
      </c>
      <c r="AW54" s="6">
        <f>IF(OR($BJ54="",48&gt;設定!$B$3),"",IF(INDEX(原始資料!AY$2:AY$501,$BJ54)="","",INDEX(原始資料!AY$2:AY$501,$BJ54)))</f>
        <v/>
      </c>
      <c r="AX54" s="6">
        <f>IF(OR($BJ54="",49&gt;設定!$B$3),"",IF(INDEX(原始資料!AZ$2:AZ$501,$BJ54)="","",INDEX(原始資料!AZ$2:AZ$501,$BJ54)))</f>
        <v/>
      </c>
      <c r="AY54" s="6">
        <f>IF(OR($BJ54="",50&gt;設定!$B$3),"",IF(INDEX(原始資料!BA$2:BA$501,$BJ54)="","",INDEX(原始資料!BA$2:BA$501,$BJ54)))</f>
        <v/>
      </c>
      <c r="AZ54" s="6">
        <f>IF(OR($BJ54="",51&gt;設定!$B$3),"",IF(INDEX(原始資料!BB$2:BB$501,$BJ54)="","",INDEX(原始資料!BB$2:BB$501,$BJ54)))</f>
        <v/>
      </c>
      <c r="BA54" s="6">
        <f>IF(OR($BJ54="",52&gt;設定!$B$3),"",IF(INDEX(原始資料!BC$2:BC$501,$BJ54)="","",INDEX(原始資料!BC$2:BC$501,$BJ54)))</f>
        <v/>
      </c>
      <c r="BB54" s="6">
        <f>IF(OR($BJ54="",53&gt;設定!$B$3),"",IF(INDEX(原始資料!BD$2:BD$501,$BJ54)="","",INDEX(原始資料!BD$2:BD$501,$BJ54)))</f>
        <v/>
      </c>
      <c r="BC54" s="6">
        <f>IF(OR($BJ54="",54&gt;設定!$B$3),"",IF(INDEX(原始資料!BE$2:BE$501,$BJ54)="","",INDEX(原始資料!BE$2:BE$501,$BJ54)))</f>
        <v/>
      </c>
      <c r="BD54" s="6">
        <f>IF(OR($BJ54="",55&gt;設定!$B$3),"",IF(INDEX(原始資料!BF$2:BF$501,$BJ54)="","",INDEX(原始資料!BF$2:BF$501,$BJ54)))</f>
        <v/>
      </c>
      <c r="BE54" s="6">
        <f>IF(OR($BJ54="",56&gt;設定!$B$3),"",IF(INDEX(原始資料!BG$2:BG$501,$BJ54)="","",INDEX(原始資料!BG$2:BG$501,$BJ54)))</f>
        <v/>
      </c>
      <c r="BF54" s="6">
        <f>IF(OR($BJ54="",57&gt;設定!$B$3),"",IF(INDEX(原始資料!BH$2:BH$501,$BJ54)="","",INDEX(原始資料!BH$2:BH$501,$BJ54)))</f>
        <v/>
      </c>
      <c r="BG54" s="6">
        <f>IF(OR($BJ54="",58&gt;設定!$B$3),"",IF(INDEX(原始資料!BI$2:BI$501,$BJ54)="","",INDEX(原始資料!BI$2:BI$501,$BJ54)))</f>
        <v/>
      </c>
      <c r="BH54" s="6">
        <f>IF(OR($BJ54="",59&gt;設定!$B$3),"",IF(INDEX(原始資料!BJ$2:BJ$501,$BJ54)="","",INDEX(原始資料!BJ$2:BJ$501,$BJ54)))</f>
        <v/>
      </c>
      <c r="BI54" s="6">
        <f>IF(OR($BJ54="",60&gt;設定!$B$3),"",IF(INDEX(原始資料!BK$2:BK$501,$BJ54)="","",INDEX(原始資料!BK$2:BK$501,$BJ54)))</f>
        <v/>
      </c>
      <c r="BJ54" s="6">
        <f>IFERROR(MATCH(ROW()-1,判定!$H$2:$H$501,0),"")</f>
        <v/>
      </c>
    </row>
    <row r="55">
      <c r="A55" s="6">
        <f>IF($BJ55="","",INDEX(原始資料!$A$2:$A$501,$BJ55))</f>
        <v/>
      </c>
      <c r="B55" s="6">
        <f>IF(OR($BJ55="",1&gt;設定!$B$3),"",IF(INDEX(原始資料!D$2:D$501,$BJ55)="","",INDEX(原始資料!D$2:D$501,$BJ55)))</f>
        <v/>
      </c>
      <c r="C55" s="6">
        <f>IF(OR($BJ55="",2&gt;設定!$B$3),"",IF(INDEX(原始資料!E$2:E$501,$BJ55)="","",INDEX(原始資料!E$2:E$501,$BJ55)))</f>
        <v/>
      </c>
      <c r="D55" s="6">
        <f>IF(OR($BJ55="",3&gt;設定!$B$3),"",IF(INDEX(原始資料!F$2:F$501,$BJ55)="","",INDEX(原始資料!F$2:F$501,$BJ55)))</f>
        <v/>
      </c>
      <c r="E55" s="6">
        <f>IF(OR($BJ55="",4&gt;設定!$B$3),"",IF(INDEX(原始資料!G$2:G$501,$BJ55)="","",INDEX(原始資料!G$2:G$501,$BJ55)))</f>
        <v/>
      </c>
      <c r="F55" s="6">
        <f>IF(OR($BJ55="",5&gt;設定!$B$3),"",IF(INDEX(原始資料!H$2:H$501,$BJ55)="","",INDEX(原始資料!H$2:H$501,$BJ55)))</f>
        <v/>
      </c>
      <c r="G55" s="6">
        <f>IF(OR($BJ55="",6&gt;設定!$B$3),"",IF(INDEX(原始資料!I$2:I$501,$BJ55)="","",INDEX(原始資料!I$2:I$501,$BJ55)))</f>
        <v/>
      </c>
      <c r="H55" s="6">
        <f>IF(OR($BJ55="",7&gt;設定!$B$3),"",IF(INDEX(原始資料!J$2:J$501,$BJ55)="","",INDEX(原始資料!J$2:J$501,$BJ55)))</f>
        <v/>
      </c>
      <c r="I55" s="6">
        <f>IF(OR($BJ55="",8&gt;設定!$B$3),"",IF(INDEX(原始資料!K$2:K$501,$BJ55)="","",INDEX(原始資料!K$2:K$501,$BJ55)))</f>
        <v/>
      </c>
      <c r="J55" s="6">
        <f>IF(OR($BJ55="",9&gt;設定!$B$3),"",IF(INDEX(原始資料!L$2:L$501,$BJ55)="","",INDEX(原始資料!L$2:L$501,$BJ55)))</f>
        <v/>
      </c>
      <c r="K55" s="6">
        <f>IF(OR($BJ55="",10&gt;設定!$B$3),"",IF(INDEX(原始資料!M$2:M$501,$BJ55)="","",INDEX(原始資料!M$2:M$501,$BJ55)))</f>
        <v/>
      </c>
      <c r="L55" s="6">
        <f>IF(OR($BJ55="",11&gt;設定!$B$3),"",IF(INDEX(原始資料!N$2:N$501,$BJ55)="","",INDEX(原始資料!N$2:N$501,$BJ55)))</f>
        <v/>
      </c>
      <c r="M55" s="6">
        <f>IF(OR($BJ55="",12&gt;設定!$B$3),"",IF(INDEX(原始資料!O$2:O$501,$BJ55)="","",INDEX(原始資料!O$2:O$501,$BJ55)))</f>
        <v/>
      </c>
      <c r="N55" s="6">
        <f>IF(OR($BJ55="",13&gt;設定!$B$3),"",IF(INDEX(原始資料!P$2:P$501,$BJ55)="","",INDEX(原始資料!P$2:P$501,$BJ55)))</f>
        <v/>
      </c>
      <c r="O55" s="6">
        <f>IF(OR($BJ55="",14&gt;設定!$B$3),"",IF(INDEX(原始資料!Q$2:Q$501,$BJ55)="","",INDEX(原始資料!Q$2:Q$501,$BJ55)))</f>
        <v/>
      </c>
      <c r="P55" s="6">
        <f>IF(OR($BJ55="",15&gt;設定!$B$3),"",IF(INDEX(原始資料!R$2:R$501,$BJ55)="","",INDEX(原始資料!R$2:R$501,$BJ55)))</f>
        <v/>
      </c>
      <c r="Q55" s="6">
        <f>IF(OR($BJ55="",16&gt;設定!$B$3),"",IF(INDEX(原始資料!S$2:S$501,$BJ55)="","",INDEX(原始資料!S$2:S$501,$BJ55)))</f>
        <v/>
      </c>
      <c r="R55" s="6">
        <f>IF(OR($BJ55="",17&gt;設定!$B$3),"",IF(INDEX(原始資料!T$2:T$501,$BJ55)="","",INDEX(原始資料!T$2:T$501,$BJ55)))</f>
        <v/>
      </c>
      <c r="S55" s="6">
        <f>IF(OR($BJ55="",18&gt;設定!$B$3),"",IF(INDEX(原始資料!U$2:U$501,$BJ55)="","",INDEX(原始資料!U$2:U$501,$BJ55)))</f>
        <v/>
      </c>
      <c r="T55" s="6">
        <f>IF(OR($BJ55="",19&gt;設定!$B$3),"",IF(INDEX(原始資料!V$2:V$501,$BJ55)="","",INDEX(原始資料!V$2:V$501,$BJ55)))</f>
        <v/>
      </c>
      <c r="U55" s="6">
        <f>IF(OR($BJ55="",20&gt;設定!$B$3),"",IF(INDEX(原始資料!W$2:W$501,$BJ55)="","",INDEX(原始資料!W$2:W$501,$BJ55)))</f>
        <v/>
      </c>
      <c r="V55" s="6">
        <f>IF(OR($BJ55="",21&gt;設定!$B$3),"",IF(INDEX(原始資料!X$2:X$501,$BJ55)="","",INDEX(原始資料!X$2:X$501,$BJ55)))</f>
        <v/>
      </c>
      <c r="W55" s="6">
        <f>IF(OR($BJ55="",22&gt;設定!$B$3),"",IF(INDEX(原始資料!Y$2:Y$501,$BJ55)="","",INDEX(原始資料!Y$2:Y$501,$BJ55)))</f>
        <v/>
      </c>
      <c r="X55" s="6">
        <f>IF(OR($BJ55="",23&gt;設定!$B$3),"",IF(INDEX(原始資料!Z$2:Z$501,$BJ55)="","",INDEX(原始資料!Z$2:Z$501,$BJ55)))</f>
        <v/>
      </c>
      <c r="Y55" s="6">
        <f>IF(OR($BJ55="",24&gt;設定!$B$3),"",IF(INDEX(原始資料!AA$2:AA$501,$BJ55)="","",INDEX(原始資料!AA$2:AA$501,$BJ55)))</f>
        <v/>
      </c>
      <c r="Z55" s="6">
        <f>IF(OR($BJ55="",25&gt;設定!$B$3),"",IF(INDEX(原始資料!AB$2:AB$501,$BJ55)="","",INDEX(原始資料!AB$2:AB$501,$BJ55)))</f>
        <v/>
      </c>
      <c r="AA55" s="6">
        <f>IF(OR($BJ55="",26&gt;設定!$B$3),"",IF(INDEX(原始資料!AC$2:AC$501,$BJ55)="","",INDEX(原始資料!AC$2:AC$501,$BJ55)))</f>
        <v/>
      </c>
      <c r="AB55" s="6">
        <f>IF(OR($BJ55="",27&gt;設定!$B$3),"",IF(INDEX(原始資料!AD$2:AD$501,$BJ55)="","",INDEX(原始資料!AD$2:AD$501,$BJ55)))</f>
        <v/>
      </c>
      <c r="AC55" s="6">
        <f>IF(OR($BJ55="",28&gt;設定!$B$3),"",IF(INDEX(原始資料!AE$2:AE$501,$BJ55)="","",INDEX(原始資料!AE$2:AE$501,$BJ55)))</f>
        <v/>
      </c>
      <c r="AD55" s="6">
        <f>IF(OR($BJ55="",29&gt;設定!$B$3),"",IF(INDEX(原始資料!AF$2:AF$501,$BJ55)="","",INDEX(原始資料!AF$2:AF$501,$BJ55)))</f>
        <v/>
      </c>
      <c r="AE55" s="6">
        <f>IF(OR($BJ55="",30&gt;設定!$B$3),"",IF(INDEX(原始資料!AG$2:AG$501,$BJ55)="","",INDEX(原始資料!AG$2:AG$501,$BJ55)))</f>
        <v/>
      </c>
      <c r="AF55" s="6">
        <f>IF(OR($BJ55="",31&gt;設定!$B$3),"",IF(INDEX(原始資料!AH$2:AH$501,$BJ55)="","",INDEX(原始資料!AH$2:AH$501,$BJ55)))</f>
        <v/>
      </c>
      <c r="AG55" s="6">
        <f>IF(OR($BJ55="",32&gt;設定!$B$3),"",IF(INDEX(原始資料!AI$2:AI$501,$BJ55)="","",INDEX(原始資料!AI$2:AI$501,$BJ55)))</f>
        <v/>
      </c>
      <c r="AH55" s="6">
        <f>IF(OR($BJ55="",33&gt;設定!$B$3),"",IF(INDEX(原始資料!AJ$2:AJ$501,$BJ55)="","",INDEX(原始資料!AJ$2:AJ$501,$BJ55)))</f>
        <v/>
      </c>
      <c r="AI55" s="6">
        <f>IF(OR($BJ55="",34&gt;設定!$B$3),"",IF(INDEX(原始資料!AK$2:AK$501,$BJ55)="","",INDEX(原始資料!AK$2:AK$501,$BJ55)))</f>
        <v/>
      </c>
      <c r="AJ55" s="6">
        <f>IF(OR($BJ55="",35&gt;設定!$B$3),"",IF(INDEX(原始資料!AL$2:AL$501,$BJ55)="","",INDEX(原始資料!AL$2:AL$501,$BJ55)))</f>
        <v/>
      </c>
      <c r="AK55" s="6">
        <f>IF(OR($BJ55="",36&gt;設定!$B$3),"",IF(INDEX(原始資料!AM$2:AM$501,$BJ55)="","",INDEX(原始資料!AM$2:AM$501,$BJ55)))</f>
        <v/>
      </c>
      <c r="AL55" s="6">
        <f>IF(OR($BJ55="",37&gt;設定!$B$3),"",IF(INDEX(原始資料!AN$2:AN$501,$BJ55)="","",INDEX(原始資料!AN$2:AN$501,$BJ55)))</f>
        <v/>
      </c>
      <c r="AM55" s="6">
        <f>IF(OR($BJ55="",38&gt;設定!$B$3),"",IF(INDEX(原始資料!AO$2:AO$501,$BJ55)="","",INDEX(原始資料!AO$2:AO$501,$BJ55)))</f>
        <v/>
      </c>
      <c r="AN55" s="6">
        <f>IF(OR($BJ55="",39&gt;設定!$B$3),"",IF(INDEX(原始資料!AP$2:AP$501,$BJ55)="","",INDEX(原始資料!AP$2:AP$501,$BJ55)))</f>
        <v/>
      </c>
      <c r="AO55" s="6">
        <f>IF(OR($BJ55="",40&gt;設定!$B$3),"",IF(INDEX(原始資料!AQ$2:AQ$501,$BJ55)="","",INDEX(原始資料!AQ$2:AQ$501,$BJ55)))</f>
        <v/>
      </c>
      <c r="AP55" s="6">
        <f>IF(OR($BJ55="",41&gt;設定!$B$3),"",IF(INDEX(原始資料!AR$2:AR$501,$BJ55)="","",INDEX(原始資料!AR$2:AR$501,$BJ55)))</f>
        <v/>
      </c>
      <c r="AQ55" s="6">
        <f>IF(OR($BJ55="",42&gt;設定!$B$3),"",IF(INDEX(原始資料!AS$2:AS$501,$BJ55)="","",INDEX(原始資料!AS$2:AS$501,$BJ55)))</f>
        <v/>
      </c>
      <c r="AR55" s="6">
        <f>IF(OR($BJ55="",43&gt;設定!$B$3),"",IF(INDEX(原始資料!AT$2:AT$501,$BJ55)="","",INDEX(原始資料!AT$2:AT$501,$BJ55)))</f>
        <v/>
      </c>
      <c r="AS55" s="6">
        <f>IF(OR($BJ55="",44&gt;設定!$B$3),"",IF(INDEX(原始資料!AU$2:AU$501,$BJ55)="","",INDEX(原始資料!AU$2:AU$501,$BJ55)))</f>
        <v/>
      </c>
      <c r="AT55" s="6">
        <f>IF(OR($BJ55="",45&gt;設定!$B$3),"",IF(INDEX(原始資料!AV$2:AV$501,$BJ55)="","",INDEX(原始資料!AV$2:AV$501,$BJ55)))</f>
        <v/>
      </c>
      <c r="AU55" s="6">
        <f>IF(OR($BJ55="",46&gt;設定!$B$3),"",IF(INDEX(原始資料!AW$2:AW$501,$BJ55)="","",INDEX(原始資料!AW$2:AW$501,$BJ55)))</f>
        <v/>
      </c>
      <c r="AV55" s="6">
        <f>IF(OR($BJ55="",47&gt;設定!$B$3),"",IF(INDEX(原始資料!AX$2:AX$501,$BJ55)="","",INDEX(原始資料!AX$2:AX$501,$BJ55)))</f>
        <v/>
      </c>
      <c r="AW55" s="6">
        <f>IF(OR($BJ55="",48&gt;設定!$B$3),"",IF(INDEX(原始資料!AY$2:AY$501,$BJ55)="","",INDEX(原始資料!AY$2:AY$501,$BJ55)))</f>
        <v/>
      </c>
      <c r="AX55" s="6">
        <f>IF(OR($BJ55="",49&gt;設定!$B$3),"",IF(INDEX(原始資料!AZ$2:AZ$501,$BJ55)="","",INDEX(原始資料!AZ$2:AZ$501,$BJ55)))</f>
        <v/>
      </c>
      <c r="AY55" s="6">
        <f>IF(OR($BJ55="",50&gt;設定!$B$3),"",IF(INDEX(原始資料!BA$2:BA$501,$BJ55)="","",INDEX(原始資料!BA$2:BA$501,$BJ55)))</f>
        <v/>
      </c>
      <c r="AZ55" s="6">
        <f>IF(OR($BJ55="",51&gt;設定!$B$3),"",IF(INDEX(原始資料!BB$2:BB$501,$BJ55)="","",INDEX(原始資料!BB$2:BB$501,$BJ55)))</f>
        <v/>
      </c>
      <c r="BA55" s="6">
        <f>IF(OR($BJ55="",52&gt;設定!$B$3),"",IF(INDEX(原始資料!BC$2:BC$501,$BJ55)="","",INDEX(原始資料!BC$2:BC$501,$BJ55)))</f>
        <v/>
      </c>
      <c r="BB55" s="6">
        <f>IF(OR($BJ55="",53&gt;設定!$B$3),"",IF(INDEX(原始資料!BD$2:BD$501,$BJ55)="","",INDEX(原始資料!BD$2:BD$501,$BJ55)))</f>
        <v/>
      </c>
      <c r="BC55" s="6">
        <f>IF(OR($BJ55="",54&gt;設定!$B$3),"",IF(INDEX(原始資料!BE$2:BE$501,$BJ55)="","",INDEX(原始資料!BE$2:BE$501,$BJ55)))</f>
        <v/>
      </c>
      <c r="BD55" s="6">
        <f>IF(OR($BJ55="",55&gt;設定!$B$3),"",IF(INDEX(原始資料!BF$2:BF$501,$BJ55)="","",INDEX(原始資料!BF$2:BF$501,$BJ55)))</f>
        <v/>
      </c>
      <c r="BE55" s="6">
        <f>IF(OR($BJ55="",56&gt;設定!$B$3),"",IF(INDEX(原始資料!BG$2:BG$501,$BJ55)="","",INDEX(原始資料!BG$2:BG$501,$BJ55)))</f>
        <v/>
      </c>
      <c r="BF55" s="6">
        <f>IF(OR($BJ55="",57&gt;設定!$B$3),"",IF(INDEX(原始資料!BH$2:BH$501,$BJ55)="","",INDEX(原始資料!BH$2:BH$501,$BJ55)))</f>
        <v/>
      </c>
      <c r="BG55" s="6">
        <f>IF(OR($BJ55="",58&gt;設定!$B$3),"",IF(INDEX(原始資料!BI$2:BI$501,$BJ55)="","",INDEX(原始資料!BI$2:BI$501,$BJ55)))</f>
        <v/>
      </c>
      <c r="BH55" s="6">
        <f>IF(OR($BJ55="",59&gt;設定!$B$3),"",IF(INDEX(原始資料!BJ$2:BJ$501,$BJ55)="","",INDEX(原始資料!BJ$2:BJ$501,$BJ55)))</f>
        <v/>
      </c>
      <c r="BI55" s="6">
        <f>IF(OR($BJ55="",60&gt;設定!$B$3),"",IF(INDEX(原始資料!BK$2:BK$501,$BJ55)="","",INDEX(原始資料!BK$2:BK$501,$BJ55)))</f>
        <v/>
      </c>
      <c r="BJ55" s="6">
        <f>IFERROR(MATCH(ROW()-1,判定!$H$2:$H$501,0),"")</f>
        <v/>
      </c>
    </row>
    <row r="56">
      <c r="A56" s="6">
        <f>IF($BJ56="","",INDEX(原始資料!$A$2:$A$501,$BJ56))</f>
        <v/>
      </c>
      <c r="B56" s="6">
        <f>IF(OR($BJ56="",1&gt;設定!$B$3),"",IF(INDEX(原始資料!D$2:D$501,$BJ56)="","",INDEX(原始資料!D$2:D$501,$BJ56)))</f>
        <v/>
      </c>
      <c r="C56" s="6">
        <f>IF(OR($BJ56="",2&gt;設定!$B$3),"",IF(INDEX(原始資料!E$2:E$501,$BJ56)="","",INDEX(原始資料!E$2:E$501,$BJ56)))</f>
        <v/>
      </c>
      <c r="D56" s="6">
        <f>IF(OR($BJ56="",3&gt;設定!$B$3),"",IF(INDEX(原始資料!F$2:F$501,$BJ56)="","",INDEX(原始資料!F$2:F$501,$BJ56)))</f>
        <v/>
      </c>
      <c r="E56" s="6">
        <f>IF(OR($BJ56="",4&gt;設定!$B$3),"",IF(INDEX(原始資料!G$2:G$501,$BJ56)="","",INDEX(原始資料!G$2:G$501,$BJ56)))</f>
        <v/>
      </c>
      <c r="F56" s="6">
        <f>IF(OR($BJ56="",5&gt;設定!$B$3),"",IF(INDEX(原始資料!H$2:H$501,$BJ56)="","",INDEX(原始資料!H$2:H$501,$BJ56)))</f>
        <v/>
      </c>
      <c r="G56" s="6">
        <f>IF(OR($BJ56="",6&gt;設定!$B$3),"",IF(INDEX(原始資料!I$2:I$501,$BJ56)="","",INDEX(原始資料!I$2:I$501,$BJ56)))</f>
        <v/>
      </c>
      <c r="H56" s="6">
        <f>IF(OR($BJ56="",7&gt;設定!$B$3),"",IF(INDEX(原始資料!J$2:J$501,$BJ56)="","",INDEX(原始資料!J$2:J$501,$BJ56)))</f>
        <v/>
      </c>
      <c r="I56" s="6">
        <f>IF(OR($BJ56="",8&gt;設定!$B$3),"",IF(INDEX(原始資料!K$2:K$501,$BJ56)="","",INDEX(原始資料!K$2:K$501,$BJ56)))</f>
        <v/>
      </c>
      <c r="J56" s="6">
        <f>IF(OR($BJ56="",9&gt;設定!$B$3),"",IF(INDEX(原始資料!L$2:L$501,$BJ56)="","",INDEX(原始資料!L$2:L$501,$BJ56)))</f>
        <v/>
      </c>
      <c r="K56" s="6">
        <f>IF(OR($BJ56="",10&gt;設定!$B$3),"",IF(INDEX(原始資料!M$2:M$501,$BJ56)="","",INDEX(原始資料!M$2:M$501,$BJ56)))</f>
        <v/>
      </c>
      <c r="L56" s="6">
        <f>IF(OR($BJ56="",11&gt;設定!$B$3),"",IF(INDEX(原始資料!N$2:N$501,$BJ56)="","",INDEX(原始資料!N$2:N$501,$BJ56)))</f>
        <v/>
      </c>
      <c r="M56" s="6">
        <f>IF(OR($BJ56="",12&gt;設定!$B$3),"",IF(INDEX(原始資料!O$2:O$501,$BJ56)="","",INDEX(原始資料!O$2:O$501,$BJ56)))</f>
        <v/>
      </c>
      <c r="N56" s="6">
        <f>IF(OR($BJ56="",13&gt;設定!$B$3),"",IF(INDEX(原始資料!P$2:P$501,$BJ56)="","",INDEX(原始資料!P$2:P$501,$BJ56)))</f>
        <v/>
      </c>
      <c r="O56" s="6">
        <f>IF(OR($BJ56="",14&gt;設定!$B$3),"",IF(INDEX(原始資料!Q$2:Q$501,$BJ56)="","",INDEX(原始資料!Q$2:Q$501,$BJ56)))</f>
        <v/>
      </c>
      <c r="P56" s="6">
        <f>IF(OR($BJ56="",15&gt;設定!$B$3),"",IF(INDEX(原始資料!R$2:R$501,$BJ56)="","",INDEX(原始資料!R$2:R$501,$BJ56)))</f>
        <v/>
      </c>
      <c r="Q56" s="6">
        <f>IF(OR($BJ56="",16&gt;設定!$B$3),"",IF(INDEX(原始資料!S$2:S$501,$BJ56)="","",INDEX(原始資料!S$2:S$501,$BJ56)))</f>
        <v/>
      </c>
      <c r="R56" s="6">
        <f>IF(OR($BJ56="",17&gt;設定!$B$3),"",IF(INDEX(原始資料!T$2:T$501,$BJ56)="","",INDEX(原始資料!T$2:T$501,$BJ56)))</f>
        <v/>
      </c>
      <c r="S56" s="6">
        <f>IF(OR($BJ56="",18&gt;設定!$B$3),"",IF(INDEX(原始資料!U$2:U$501,$BJ56)="","",INDEX(原始資料!U$2:U$501,$BJ56)))</f>
        <v/>
      </c>
      <c r="T56" s="6">
        <f>IF(OR($BJ56="",19&gt;設定!$B$3),"",IF(INDEX(原始資料!V$2:V$501,$BJ56)="","",INDEX(原始資料!V$2:V$501,$BJ56)))</f>
        <v/>
      </c>
      <c r="U56" s="6">
        <f>IF(OR($BJ56="",20&gt;設定!$B$3),"",IF(INDEX(原始資料!W$2:W$501,$BJ56)="","",INDEX(原始資料!W$2:W$501,$BJ56)))</f>
        <v/>
      </c>
      <c r="V56" s="6">
        <f>IF(OR($BJ56="",21&gt;設定!$B$3),"",IF(INDEX(原始資料!X$2:X$501,$BJ56)="","",INDEX(原始資料!X$2:X$501,$BJ56)))</f>
        <v/>
      </c>
      <c r="W56" s="6">
        <f>IF(OR($BJ56="",22&gt;設定!$B$3),"",IF(INDEX(原始資料!Y$2:Y$501,$BJ56)="","",INDEX(原始資料!Y$2:Y$501,$BJ56)))</f>
        <v/>
      </c>
      <c r="X56" s="6">
        <f>IF(OR($BJ56="",23&gt;設定!$B$3),"",IF(INDEX(原始資料!Z$2:Z$501,$BJ56)="","",INDEX(原始資料!Z$2:Z$501,$BJ56)))</f>
        <v/>
      </c>
      <c r="Y56" s="6">
        <f>IF(OR($BJ56="",24&gt;設定!$B$3),"",IF(INDEX(原始資料!AA$2:AA$501,$BJ56)="","",INDEX(原始資料!AA$2:AA$501,$BJ56)))</f>
        <v/>
      </c>
      <c r="Z56" s="6">
        <f>IF(OR($BJ56="",25&gt;設定!$B$3),"",IF(INDEX(原始資料!AB$2:AB$501,$BJ56)="","",INDEX(原始資料!AB$2:AB$501,$BJ56)))</f>
        <v/>
      </c>
      <c r="AA56" s="6">
        <f>IF(OR($BJ56="",26&gt;設定!$B$3),"",IF(INDEX(原始資料!AC$2:AC$501,$BJ56)="","",INDEX(原始資料!AC$2:AC$501,$BJ56)))</f>
        <v/>
      </c>
      <c r="AB56" s="6">
        <f>IF(OR($BJ56="",27&gt;設定!$B$3),"",IF(INDEX(原始資料!AD$2:AD$501,$BJ56)="","",INDEX(原始資料!AD$2:AD$501,$BJ56)))</f>
        <v/>
      </c>
      <c r="AC56" s="6">
        <f>IF(OR($BJ56="",28&gt;設定!$B$3),"",IF(INDEX(原始資料!AE$2:AE$501,$BJ56)="","",INDEX(原始資料!AE$2:AE$501,$BJ56)))</f>
        <v/>
      </c>
      <c r="AD56" s="6">
        <f>IF(OR($BJ56="",29&gt;設定!$B$3),"",IF(INDEX(原始資料!AF$2:AF$501,$BJ56)="","",INDEX(原始資料!AF$2:AF$501,$BJ56)))</f>
        <v/>
      </c>
      <c r="AE56" s="6">
        <f>IF(OR($BJ56="",30&gt;設定!$B$3),"",IF(INDEX(原始資料!AG$2:AG$501,$BJ56)="","",INDEX(原始資料!AG$2:AG$501,$BJ56)))</f>
        <v/>
      </c>
      <c r="AF56" s="6">
        <f>IF(OR($BJ56="",31&gt;設定!$B$3),"",IF(INDEX(原始資料!AH$2:AH$501,$BJ56)="","",INDEX(原始資料!AH$2:AH$501,$BJ56)))</f>
        <v/>
      </c>
      <c r="AG56" s="6">
        <f>IF(OR($BJ56="",32&gt;設定!$B$3),"",IF(INDEX(原始資料!AI$2:AI$501,$BJ56)="","",INDEX(原始資料!AI$2:AI$501,$BJ56)))</f>
        <v/>
      </c>
      <c r="AH56" s="6">
        <f>IF(OR($BJ56="",33&gt;設定!$B$3),"",IF(INDEX(原始資料!AJ$2:AJ$501,$BJ56)="","",INDEX(原始資料!AJ$2:AJ$501,$BJ56)))</f>
        <v/>
      </c>
      <c r="AI56" s="6">
        <f>IF(OR($BJ56="",34&gt;設定!$B$3),"",IF(INDEX(原始資料!AK$2:AK$501,$BJ56)="","",INDEX(原始資料!AK$2:AK$501,$BJ56)))</f>
        <v/>
      </c>
      <c r="AJ56" s="6">
        <f>IF(OR($BJ56="",35&gt;設定!$B$3),"",IF(INDEX(原始資料!AL$2:AL$501,$BJ56)="","",INDEX(原始資料!AL$2:AL$501,$BJ56)))</f>
        <v/>
      </c>
      <c r="AK56" s="6">
        <f>IF(OR($BJ56="",36&gt;設定!$B$3),"",IF(INDEX(原始資料!AM$2:AM$501,$BJ56)="","",INDEX(原始資料!AM$2:AM$501,$BJ56)))</f>
        <v/>
      </c>
      <c r="AL56" s="6">
        <f>IF(OR($BJ56="",37&gt;設定!$B$3),"",IF(INDEX(原始資料!AN$2:AN$501,$BJ56)="","",INDEX(原始資料!AN$2:AN$501,$BJ56)))</f>
        <v/>
      </c>
      <c r="AM56" s="6">
        <f>IF(OR($BJ56="",38&gt;設定!$B$3),"",IF(INDEX(原始資料!AO$2:AO$501,$BJ56)="","",INDEX(原始資料!AO$2:AO$501,$BJ56)))</f>
        <v/>
      </c>
      <c r="AN56" s="6">
        <f>IF(OR($BJ56="",39&gt;設定!$B$3),"",IF(INDEX(原始資料!AP$2:AP$501,$BJ56)="","",INDEX(原始資料!AP$2:AP$501,$BJ56)))</f>
        <v/>
      </c>
      <c r="AO56" s="6">
        <f>IF(OR($BJ56="",40&gt;設定!$B$3),"",IF(INDEX(原始資料!AQ$2:AQ$501,$BJ56)="","",INDEX(原始資料!AQ$2:AQ$501,$BJ56)))</f>
        <v/>
      </c>
      <c r="AP56" s="6">
        <f>IF(OR($BJ56="",41&gt;設定!$B$3),"",IF(INDEX(原始資料!AR$2:AR$501,$BJ56)="","",INDEX(原始資料!AR$2:AR$501,$BJ56)))</f>
        <v/>
      </c>
      <c r="AQ56" s="6">
        <f>IF(OR($BJ56="",42&gt;設定!$B$3),"",IF(INDEX(原始資料!AS$2:AS$501,$BJ56)="","",INDEX(原始資料!AS$2:AS$501,$BJ56)))</f>
        <v/>
      </c>
      <c r="AR56" s="6">
        <f>IF(OR($BJ56="",43&gt;設定!$B$3),"",IF(INDEX(原始資料!AT$2:AT$501,$BJ56)="","",INDEX(原始資料!AT$2:AT$501,$BJ56)))</f>
        <v/>
      </c>
      <c r="AS56" s="6">
        <f>IF(OR($BJ56="",44&gt;設定!$B$3),"",IF(INDEX(原始資料!AU$2:AU$501,$BJ56)="","",INDEX(原始資料!AU$2:AU$501,$BJ56)))</f>
        <v/>
      </c>
      <c r="AT56" s="6">
        <f>IF(OR($BJ56="",45&gt;設定!$B$3),"",IF(INDEX(原始資料!AV$2:AV$501,$BJ56)="","",INDEX(原始資料!AV$2:AV$501,$BJ56)))</f>
        <v/>
      </c>
      <c r="AU56" s="6">
        <f>IF(OR($BJ56="",46&gt;設定!$B$3),"",IF(INDEX(原始資料!AW$2:AW$501,$BJ56)="","",INDEX(原始資料!AW$2:AW$501,$BJ56)))</f>
        <v/>
      </c>
      <c r="AV56" s="6">
        <f>IF(OR($BJ56="",47&gt;設定!$B$3),"",IF(INDEX(原始資料!AX$2:AX$501,$BJ56)="","",INDEX(原始資料!AX$2:AX$501,$BJ56)))</f>
        <v/>
      </c>
      <c r="AW56" s="6">
        <f>IF(OR($BJ56="",48&gt;設定!$B$3),"",IF(INDEX(原始資料!AY$2:AY$501,$BJ56)="","",INDEX(原始資料!AY$2:AY$501,$BJ56)))</f>
        <v/>
      </c>
      <c r="AX56" s="6">
        <f>IF(OR($BJ56="",49&gt;設定!$B$3),"",IF(INDEX(原始資料!AZ$2:AZ$501,$BJ56)="","",INDEX(原始資料!AZ$2:AZ$501,$BJ56)))</f>
        <v/>
      </c>
      <c r="AY56" s="6">
        <f>IF(OR($BJ56="",50&gt;設定!$B$3),"",IF(INDEX(原始資料!BA$2:BA$501,$BJ56)="","",INDEX(原始資料!BA$2:BA$501,$BJ56)))</f>
        <v/>
      </c>
      <c r="AZ56" s="6">
        <f>IF(OR($BJ56="",51&gt;設定!$B$3),"",IF(INDEX(原始資料!BB$2:BB$501,$BJ56)="","",INDEX(原始資料!BB$2:BB$501,$BJ56)))</f>
        <v/>
      </c>
      <c r="BA56" s="6">
        <f>IF(OR($BJ56="",52&gt;設定!$B$3),"",IF(INDEX(原始資料!BC$2:BC$501,$BJ56)="","",INDEX(原始資料!BC$2:BC$501,$BJ56)))</f>
        <v/>
      </c>
      <c r="BB56" s="6">
        <f>IF(OR($BJ56="",53&gt;設定!$B$3),"",IF(INDEX(原始資料!BD$2:BD$501,$BJ56)="","",INDEX(原始資料!BD$2:BD$501,$BJ56)))</f>
        <v/>
      </c>
      <c r="BC56" s="6">
        <f>IF(OR($BJ56="",54&gt;設定!$B$3),"",IF(INDEX(原始資料!BE$2:BE$501,$BJ56)="","",INDEX(原始資料!BE$2:BE$501,$BJ56)))</f>
        <v/>
      </c>
      <c r="BD56" s="6">
        <f>IF(OR($BJ56="",55&gt;設定!$B$3),"",IF(INDEX(原始資料!BF$2:BF$501,$BJ56)="","",INDEX(原始資料!BF$2:BF$501,$BJ56)))</f>
        <v/>
      </c>
      <c r="BE56" s="6">
        <f>IF(OR($BJ56="",56&gt;設定!$B$3),"",IF(INDEX(原始資料!BG$2:BG$501,$BJ56)="","",INDEX(原始資料!BG$2:BG$501,$BJ56)))</f>
        <v/>
      </c>
      <c r="BF56" s="6">
        <f>IF(OR($BJ56="",57&gt;設定!$B$3),"",IF(INDEX(原始資料!BH$2:BH$501,$BJ56)="","",INDEX(原始資料!BH$2:BH$501,$BJ56)))</f>
        <v/>
      </c>
      <c r="BG56" s="6">
        <f>IF(OR($BJ56="",58&gt;設定!$B$3),"",IF(INDEX(原始資料!BI$2:BI$501,$BJ56)="","",INDEX(原始資料!BI$2:BI$501,$BJ56)))</f>
        <v/>
      </c>
      <c r="BH56" s="6">
        <f>IF(OR($BJ56="",59&gt;設定!$B$3),"",IF(INDEX(原始資料!BJ$2:BJ$501,$BJ56)="","",INDEX(原始資料!BJ$2:BJ$501,$BJ56)))</f>
        <v/>
      </c>
      <c r="BI56" s="6">
        <f>IF(OR($BJ56="",60&gt;設定!$B$3),"",IF(INDEX(原始資料!BK$2:BK$501,$BJ56)="","",INDEX(原始資料!BK$2:BK$501,$BJ56)))</f>
        <v/>
      </c>
      <c r="BJ56" s="6">
        <f>IFERROR(MATCH(ROW()-1,判定!$H$2:$H$501,0),"")</f>
        <v/>
      </c>
    </row>
    <row r="57">
      <c r="A57" s="6">
        <f>IF($BJ57="","",INDEX(原始資料!$A$2:$A$501,$BJ57))</f>
        <v/>
      </c>
      <c r="B57" s="6">
        <f>IF(OR($BJ57="",1&gt;設定!$B$3),"",IF(INDEX(原始資料!D$2:D$501,$BJ57)="","",INDEX(原始資料!D$2:D$501,$BJ57)))</f>
        <v/>
      </c>
      <c r="C57" s="6">
        <f>IF(OR($BJ57="",2&gt;設定!$B$3),"",IF(INDEX(原始資料!E$2:E$501,$BJ57)="","",INDEX(原始資料!E$2:E$501,$BJ57)))</f>
        <v/>
      </c>
      <c r="D57" s="6">
        <f>IF(OR($BJ57="",3&gt;設定!$B$3),"",IF(INDEX(原始資料!F$2:F$501,$BJ57)="","",INDEX(原始資料!F$2:F$501,$BJ57)))</f>
        <v/>
      </c>
      <c r="E57" s="6">
        <f>IF(OR($BJ57="",4&gt;設定!$B$3),"",IF(INDEX(原始資料!G$2:G$501,$BJ57)="","",INDEX(原始資料!G$2:G$501,$BJ57)))</f>
        <v/>
      </c>
      <c r="F57" s="6">
        <f>IF(OR($BJ57="",5&gt;設定!$B$3),"",IF(INDEX(原始資料!H$2:H$501,$BJ57)="","",INDEX(原始資料!H$2:H$501,$BJ57)))</f>
        <v/>
      </c>
      <c r="G57" s="6">
        <f>IF(OR($BJ57="",6&gt;設定!$B$3),"",IF(INDEX(原始資料!I$2:I$501,$BJ57)="","",INDEX(原始資料!I$2:I$501,$BJ57)))</f>
        <v/>
      </c>
      <c r="H57" s="6">
        <f>IF(OR($BJ57="",7&gt;設定!$B$3),"",IF(INDEX(原始資料!J$2:J$501,$BJ57)="","",INDEX(原始資料!J$2:J$501,$BJ57)))</f>
        <v/>
      </c>
      <c r="I57" s="6">
        <f>IF(OR($BJ57="",8&gt;設定!$B$3),"",IF(INDEX(原始資料!K$2:K$501,$BJ57)="","",INDEX(原始資料!K$2:K$501,$BJ57)))</f>
        <v/>
      </c>
      <c r="J57" s="6">
        <f>IF(OR($BJ57="",9&gt;設定!$B$3),"",IF(INDEX(原始資料!L$2:L$501,$BJ57)="","",INDEX(原始資料!L$2:L$501,$BJ57)))</f>
        <v/>
      </c>
      <c r="K57" s="6">
        <f>IF(OR($BJ57="",10&gt;設定!$B$3),"",IF(INDEX(原始資料!M$2:M$501,$BJ57)="","",INDEX(原始資料!M$2:M$501,$BJ57)))</f>
        <v/>
      </c>
      <c r="L57" s="6">
        <f>IF(OR($BJ57="",11&gt;設定!$B$3),"",IF(INDEX(原始資料!N$2:N$501,$BJ57)="","",INDEX(原始資料!N$2:N$501,$BJ57)))</f>
        <v/>
      </c>
      <c r="M57" s="6">
        <f>IF(OR($BJ57="",12&gt;設定!$B$3),"",IF(INDEX(原始資料!O$2:O$501,$BJ57)="","",INDEX(原始資料!O$2:O$501,$BJ57)))</f>
        <v/>
      </c>
      <c r="N57" s="6">
        <f>IF(OR($BJ57="",13&gt;設定!$B$3),"",IF(INDEX(原始資料!P$2:P$501,$BJ57)="","",INDEX(原始資料!P$2:P$501,$BJ57)))</f>
        <v/>
      </c>
      <c r="O57" s="6">
        <f>IF(OR($BJ57="",14&gt;設定!$B$3),"",IF(INDEX(原始資料!Q$2:Q$501,$BJ57)="","",INDEX(原始資料!Q$2:Q$501,$BJ57)))</f>
        <v/>
      </c>
      <c r="P57" s="6">
        <f>IF(OR($BJ57="",15&gt;設定!$B$3),"",IF(INDEX(原始資料!R$2:R$501,$BJ57)="","",INDEX(原始資料!R$2:R$501,$BJ57)))</f>
        <v/>
      </c>
      <c r="Q57" s="6">
        <f>IF(OR($BJ57="",16&gt;設定!$B$3),"",IF(INDEX(原始資料!S$2:S$501,$BJ57)="","",INDEX(原始資料!S$2:S$501,$BJ57)))</f>
        <v/>
      </c>
      <c r="R57" s="6">
        <f>IF(OR($BJ57="",17&gt;設定!$B$3),"",IF(INDEX(原始資料!T$2:T$501,$BJ57)="","",INDEX(原始資料!T$2:T$501,$BJ57)))</f>
        <v/>
      </c>
      <c r="S57" s="6">
        <f>IF(OR($BJ57="",18&gt;設定!$B$3),"",IF(INDEX(原始資料!U$2:U$501,$BJ57)="","",INDEX(原始資料!U$2:U$501,$BJ57)))</f>
        <v/>
      </c>
      <c r="T57" s="6">
        <f>IF(OR($BJ57="",19&gt;設定!$B$3),"",IF(INDEX(原始資料!V$2:V$501,$BJ57)="","",INDEX(原始資料!V$2:V$501,$BJ57)))</f>
        <v/>
      </c>
      <c r="U57" s="6">
        <f>IF(OR($BJ57="",20&gt;設定!$B$3),"",IF(INDEX(原始資料!W$2:W$501,$BJ57)="","",INDEX(原始資料!W$2:W$501,$BJ57)))</f>
        <v/>
      </c>
      <c r="V57" s="6">
        <f>IF(OR($BJ57="",21&gt;設定!$B$3),"",IF(INDEX(原始資料!X$2:X$501,$BJ57)="","",INDEX(原始資料!X$2:X$501,$BJ57)))</f>
        <v/>
      </c>
      <c r="W57" s="6">
        <f>IF(OR($BJ57="",22&gt;設定!$B$3),"",IF(INDEX(原始資料!Y$2:Y$501,$BJ57)="","",INDEX(原始資料!Y$2:Y$501,$BJ57)))</f>
        <v/>
      </c>
      <c r="X57" s="6">
        <f>IF(OR($BJ57="",23&gt;設定!$B$3),"",IF(INDEX(原始資料!Z$2:Z$501,$BJ57)="","",INDEX(原始資料!Z$2:Z$501,$BJ57)))</f>
        <v/>
      </c>
      <c r="Y57" s="6">
        <f>IF(OR($BJ57="",24&gt;設定!$B$3),"",IF(INDEX(原始資料!AA$2:AA$501,$BJ57)="","",INDEX(原始資料!AA$2:AA$501,$BJ57)))</f>
        <v/>
      </c>
      <c r="Z57" s="6">
        <f>IF(OR($BJ57="",25&gt;設定!$B$3),"",IF(INDEX(原始資料!AB$2:AB$501,$BJ57)="","",INDEX(原始資料!AB$2:AB$501,$BJ57)))</f>
        <v/>
      </c>
      <c r="AA57" s="6">
        <f>IF(OR($BJ57="",26&gt;設定!$B$3),"",IF(INDEX(原始資料!AC$2:AC$501,$BJ57)="","",INDEX(原始資料!AC$2:AC$501,$BJ57)))</f>
        <v/>
      </c>
      <c r="AB57" s="6">
        <f>IF(OR($BJ57="",27&gt;設定!$B$3),"",IF(INDEX(原始資料!AD$2:AD$501,$BJ57)="","",INDEX(原始資料!AD$2:AD$501,$BJ57)))</f>
        <v/>
      </c>
      <c r="AC57" s="6">
        <f>IF(OR($BJ57="",28&gt;設定!$B$3),"",IF(INDEX(原始資料!AE$2:AE$501,$BJ57)="","",INDEX(原始資料!AE$2:AE$501,$BJ57)))</f>
        <v/>
      </c>
      <c r="AD57" s="6">
        <f>IF(OR($BJ57="",29&gt;設定!$B$3),"",IF(INDEX(原始資料!AF$2:AF$501,$BJ57)="","",INDEX(原始資料!AF$2:AF$501,$BJ57)))</f>
        <v/>
      </c>
      <c r="AE57" s="6">
        <f>IF(OR($BJ57="",30&gt;設定!$B$3),"",IF(INDEX(原始資料!AG$2:AG$501,$BJ57)="","",INDEX(原始資料!AG$2:AG$501,$BJ57)))</f>
        <v/>
      </c>
      <c r="AF57" s="6">
        <f>IF(OR($BJ57="",31&gt;設定!$B$3),"",IF(INDEX(原始資料!AH$2:AH$501,$BJ57)="","",INDEX(原始資料!AH$2:AH$501,$BJ57)))</f>
        <v/>
      </c>
      <c r="AG57" s="6">
        <f>IF(OR($BJ57="",32&gt;設定!$B$3),"",IF(INDEX(原始資料!AI$2:AI$501,$BJ57)="","",INDEX(原始資料!AI$2:AI$501,$BJ57)))</f>
        <v/>
      </c>
      <c r="AH57" s="6">
        <f>IF(OR($BJ57="",33&gt;設定!$B$3),"",IF(INDEX(原始資料!AJ$2:AJ$501,$BJ57)="","",INDEX(原始資料!AJ$2:AJ$501,$BJ57)))</f>
        <v/>
      </c>
      <c r="AI57" s="6">
        <f>IF(OR($BJ57="",34&gt;設定!$B$3),"",IF(INDEX(原始資料!AK$2:AK$501,$BJ57)="","",INDEX(原始資料!AK$2:AK$501,$BJ57)))</f>
        <v/>
      </c>
      <c r="AJ57" s="6">
        <f>IF(OR($BJ57="",35&gt;設定!$B$3),"",IF(INDEX(原始資料!AL$2:AL$501,$BJ57)="","",INDEX(原始資料!AL$2:AL$501,$BJ57)))</f>
        <v/>
      </c>
      <c r="AK57" s="6">
        <f>IF(OR($BJ57="",36&gt;設定!$B$3),"",IF(INDEX(原始資料!AM$2:AM$501,$BJ57)="","",INDEX(原始資料!AM$2:AM$501,$BJ57)))</f>
        <v/>
      </c>
      <c r="AL57" s="6">
        <f>IF(OR($BJ57="",37&gt;設定!$B$3),"",IF(INDEX(原始資料!AN$2:AN$501,$BJ57)="","",INDEX(原始資料!AN$2:AN$501,$BJ57)))</f>
        <v/>
      </c>
      <c r="AM57" s="6">
        <f>IF(OR($BJ57="",38&gt;設定!$B$3),"",IF(INDEX(原始資料!AO$2:AO$501,$BJ57)="","",INDEX(原始資料!AO$2:AO$501,$BJ57)))</f>
        <v/>
      </c>
      <c r="AN57" s="6">
        <f>IF(OR($BJ57="",39&gt;設定!$B$3),"",IF(INDEX(原始資料!AP$2:AP$501,$BJ57)="","",INDEX(原始資料!AP$2:AP$501,$BJ57)))</f>
        <v/>
      </c>
      <c r="AO57" s="6">
        <f>IF(OR($BJ57="",40&gt;設定!$B$3),"",IF(INDEX(原始資料!AQ$2:AQ$501,$BJ57)="","",INDEX(原始資料!AQ$2:AQ$501,$BJ57)))</f>
        <v/>
      </c>
      <c r="AP57" s="6">
        <f>IF(OR($BJ57="",41&gt;設定!$B$3),"",IF(INDEX(原始資料!AR$2:AR$501,$BJ57)="","",INDEX(原始資料!AR$2:AR$501,$BJ57)))</f>
        <v/>
      </c>
      <c r="AQ57" s="6">
        <f>IF(OR($BJ57="",42&gt;設定!$B$3),"",IF(INDEX(原始資料!AS$2:AS$501,$BJ57)="","",INDEX(原始資料!AS$2:AS$501,$BJ57)))</f>
        <v/>
      </c>
      <c r="AR57" s="6">
        <f>IF(OR($BJ57="",43&gt;設定!$B$3),"",IF(INDEX(原始資料!AT$2:AT$501,$BJ57)="","",INDEX(原始資料!AT$2:AT$501,$BJ57)))</f>
        <v/>
      </c>
      <c r="AS57" s="6">
        <f>IF(OR($BJ57="",44&gt;設定!$B$3),"",IF(INDEX(原始資料!AU$2:AU$501,$BJ57)="","",INDEX(原始資料!AU$2:AU$501,$BJ57)))</f>
        <v/>
      </c>
      <c r="AT57" s="6">
        <f>IF(OR($BJ57="",45&gt;設定!$B$3),"",IF(INDEX(原始資料!AV$2:AV$501,$BJ57)="","",INDEX(原始資料!AV$2:AV$501,$BJ57)))</f>
        <v/>
      </c>
      <c r="AU57" s="6">
        <f>IF(OR($BJ57="",46&gt;設定!$B$3),"",IF(INDEX(原始資料!AW$2:AW$501,$BJ57)="","",INDEX(原始資料!AW$2:AW$501,$BJ57)))</f>
        <v/>
      </c>
      <c r="AV57" s="6">
        <f>IF(OR($BJ57="",47&gt;設定!$B$3),"",IF(INDEX(原始資料!AX$2:AX$501,$BJ57)="","",INDEX(原始資料!AX$2:AX$501,$BJ57)))</f>
        <v/>
      </c>
      <c r="AW57" s="6">
        <f>IF(OR($BJ57="",48&gt;設定!$B$3),"",IF(INDEX(原始資料!AY$2:AY$501,$BJ57)="","",INDEX(原始資料!AY$2:AY$501,$BJ57)))</f>
        <v/>
      </c>
      <c r="AX57" s="6">
        <f>IF(OR($BJ57="",49&gt;設定!$B$3),"",IF(INDEX(原始資料!AZ$2:AZ$501,$BJ57)="","",INDEX(原始資料!AZ$2:AZ$501,$BJ57)))</f>
        <v/>
      </c>
      <c r="AY57" s="6">
        <f>IF(OR($BJ57="",50&gt;設定!$B$3),"",IF(INDEX(原始資料!BA$2:BA$501,$BJ57)="","",INDEX(原始資料!BA$2:BA$501,$BJ57)))</f>
        <v/>
      </c>
      <c r="AZ57" s="6">
        <f>IF(OR($BJ57="",51&gt;設定!$B$3),"",IF(INDEX(原始資料!BB$2:BB$501,$BJ57)="","",INDEX(原始資料!BB$2:BB$501,$BJ57)))</f>
        <v/>
      </c>
      <c r="BA57" s="6">
        <f>IF(OR($BJ57="",52&gt;設定!$B$3),"",IF(INDEX(原始資料!BC$2:BC$501,$BJ57)="","",INDEX(原始資料!BC$2:BC$501,$BJ57)))</f>
        <v/>
      </c>
      <c r="BB57" s="6">
        <f>IF(OR($BJ57="",53&gt;設定!$B$3),"",IF(INDEX(原始資料!BD$2:BD$501,$BJ57)="","",INDEX(原始資料!BD$2:BD$501,$BJ57)))</f>
        <v/>
      </c>
      <c r="BC57" s="6">
        <f>IF(OR($BJ57="",54&gt;設定!$B$3),"",IF(INDEX(原始資料!BE$2:BE$501,$BJ57)="","",INDEX(原始資料!BE$2:BE$501,$BJ57)))</f>
        <v/>
      </c>
      <c r="BD57" s="6">
        <f>IF(OR($BJ57="",55&gt;設定!$B$3),"",IF(INDEX(原始資料!BF$2:BF$501,$BJ57)="","",INDEX(原始資料!BF$2:BF$501,$BJ57)))</f>
        <v/>
      </c>
      <c r="BE57" s="6">
        <f>IF(OR($BJ57="",56&gt;設定!$B$3),"",IF(INDEX(原始資料!BG$2:BG$501,$BJ57)="","",INDEX(原始資料!BG$2:BG$501,$BJ57)))</f>
        <v/>
      </c>
      <c r="BF57" s="6">
        <f>IF(OR($BJ57="",57&gt;設定!$B$3),"",IF(INDEX(原始資料!BH$2:BH$501,$BJ57)="","",INDEX(原始資料!BH$2:BH$501,$BJ57)))</f>
        <v/>
      </c>
      <c r="BG57" s="6">
        <f>IF(OR($BJ57="",58&gt;設定!$B$3),"",IF(INDEX(原始資料!BI$2:BI$501,$BJ57)="","",INDEX(原始資料!BI$2:BI$501,$BJ57)))</f>
        <v/>
      </c>
      <c r="BH57" s="6">
        <f>IF(OR($BJ57="",59&gt;設定!$B$3),"",IF(INDEX(原始資料!BJ$2:BJ$501,$BJ57)="","",INDEX(原始資料!BJ$2:BJ$501,$BJ57)))</f>
        <v/>
      </c>
      <c r="BI57" s="6">
        <f>IF(OR($BJ57="",60&gt;設定!$B$3),"",IF(INDEX(原始資料!BK$2:BK$501,$BJ57)="","",INDEX(原始資料!BK$2:BK$501,$BJ57)))</f>
        <v/>
      </c>
      <c r="BJ57" s="6">
        <f>IFERROR(MATCH(ROW()-1,判定!$H$2:$H$501,0),"")</f>
        <v/>
      </c>
    </row>
    <row r="58">
      <c r="A58" s="6">
        <f>IF($BJ58="","",INDEX(原始資料!$A$2:$A$501,$BJ58))</f>
        <v/>
      </c>
      <c r="B58" s="6">
        <f>IF(OR($BJ58="",1&gt;設定!$B$3),"",IF(INDEX(原始資料!D$2:D$501,$BJ58)="","",INDEX(原始資料!D$2:D$501,$BJ58)))</f>
        <v/>
      </c>
      <c r="C58" s="6">
        <f>IF(OR($BJ58="",2&gt;設定!$B$3),"",IF(INDEX(原始資料!E$2:E$501,$BJ58)="","",INDEX(原始資料!E$2:E$501,$BJ58)))</f>
        <v/>
      </c>
      <c r="D58" s="6">
        <f>IF(OR($BJ58="",3&gt;設定!$B$3),"",IF(INDEX(原始資料!F$2:F$501,$BJ58)="","",INDEX(原始資料!F$2:F$501,$BJ58)))</f>
        <v/>
      </c>
      <c r="E58" s="6">
        <f>IF(OR($BJ58="",4&gt;設定!$B$3),"",IF(INDEX(原始資料!G$2:G$501,$BJ58)="","",INDEX(原始資料!G$2:G$501,$BJ58)))</f>
        <v/>
      </c>
      <c r="F58" s="6">
        <f>IF(OR($BJ58="",5&gt;設定!$B$3),"",IF(INDEX(原始資料!H$2:H$501,$BJ58)="","",INDEX(原始資料!H$2:H$501,$BJ58)))</f>
        <v/>
      </c>
      <c r="G58" s="6">
        <f>IF(OR($BJ58="",6&gt;設定!$B$3),"",IF(INDEX(原始資料!I$2:I$501,$BJ58)="","",INDEX(原始資料!I$2:I$501,$BJ58)))</f>
        <v/>
      </c>
      <c r="H58" s="6">
        <f>IF(OR($BJ58="",7&gt;設定!$B$3),"",IF(INDEX(原始資料!J$2:J$501,$BJ58)="","",INDEX(原始資料!J$2:J$501,$BJ58)))</f>
        <v/>
      </c>
      <c r="I58" s="6">
        <f>IF(OR($BJ58="",8&gt;設定!$B$3),"",IF(INDEX(原始資料!K$2:K$501,$BJ58)="","",INDEX(原始資料!K$2:K$501,$BJ58)))</f>
        <v/>
      </c>
      <c r="J58" s="6">
        <f>IF(OR($BJ58="",9&gt;設定!$B$3),"",IF(INDEX(原始資料!L$2:L$501,$BJ58)="","",INDEX(原始資料!L$2:L$501,$BJ58)))</f>
        <v/>
      </c>
      <c r="K58" s="6">
        <f>IF(OR($BJ58="",10&gt;設定!$B$3),"",IF(INDEX(原始資料!M$2:M$501,$BJ58)="","",INDEX(原始資料!M$2:M$501,$BJ58)))</f>
        <v/>
      </c>
      <c r="L58" s="6">
        <f>IF(OR($BJ58="",11&gt;設定!$B$3),"",IF(INDEX(原始資料!N$2:N$501,$BJ58)="","",INDEX(原始資料!N$2:N$501,$BJ58)))</f>
        <v/>
      </c>
      <c r="M58" s="6">
        <f>IF(OR($BJ58="",12&gt;設定!$B$3),"",IF(INDEX(原始資料!O$2:O$501,$BJ58)="","",INDEX(原始資料!O$2:O$501,$BJ58)))</f>
        <v/>
      </c>
      <c r="N58" s="6">
        <f>IF(OR($BJ58="",13&gt;設定!$B$3),"",IF(INDEX(原始資料!P$2:P$501,$BJ58)="","",INDEX(原始資料!P$2:P$501,$BJ58)))</f>
        <v/>
      </c>
      <c r="O58" s="6">
        <f>IF(OR($BJ58="",14&gt;設定!$B$3),"",IF(INDEX(原始資料!Q$2:Q$501,$BJ58)="","",INDEX(原始資料!Q$2:Q$501,$BJ58)))</f>
        <v/>
      </c>
      <c r="P58" s="6">
        <f>IF(OR($BJ58="",15&gt;設定!$B$3),"",IF(INDEX(原始資料!R$2:R$501,$BJ58)="","",INDEX(原始資料!R$2:R$501,$BJ58)))</f>
        <v/>
      </c>
      <c r="Q58" s="6">
        <f>IF(OR($BJ58="",16&gt;設定!$B$3),"",IF(INDEX(原始資料!S$2:S$501,$BJ58)="","",INDEX(原始資料!S$2:S$501,$BJ58)))</f>
        <v/>
      </c>
      <c r="R58" s="6">
        <f>IF(OR($BJ58="",17&gt;設定!$B$3),"",IF(INDEX(原始資料!T$2:T$501,$BJ58)="","",INDEX(原始資料!T$2:T$501,$BJ58)))</f>
        <v/>
      </c>
      <c r="S58" s="6">
        <f>IF(OR($BJ58="",18&gt;設定!$B$3),"",IF(INDEX(原始資料!U$2:U$501,$BJ58)="","",INDEX(原始資料!U$2:U$501,$BJ58)))</f>
        <v/>
      </c>
      <c r="T58" s="6">
        <f>IF(OR($BJ58="",19&gt;設定!$B$3),"",IF(INDEX(原始資料!V$2:V$501,$BJ58)="","",INDEX(原始資料!V$2:V$501,$BJ58)))</f>
        <v/>
      </c>
      <c r="U58" s="6">
        <f>IF(OR($BJ58="",20&gt;設定!$B$3),"",IF(INDEX(原始資料!W$2:W$501,$BJ58)="","",INDEX(原始資料!W$2:W$501,$BJ58)))</f>
        <v/>
      </c>
      <c r="V58" s="6">
        <f>IF(OR($BJ58="",21&gt;設定!$B$3),"",IF(INDEX(原始資料!X$2:X$501,$BJ58)="","",INDEX(原始資料!X$2:X$501,$BJ58)))</f>
        <v/>
      </c>
      <c r="W58" s="6">
        <f>IF(OR($BJ58="",22&gt;設定!$B$3),"",IF(INDEX(原始資料!Y$2:Y$501,$BJ58)="","",INDEX(原始資料!Y$2:Y$501,$BJ58)))</f>
        <v/>
      </c>
      <c r="X58" s="6">
        <f>IF(OR($BJ58="",23&gt;設定!$B$3),"",IF(INDEX(原始資料!Z$2:Z$501,$BJ58)="","",INDEX(原始資料!Z$2:Z$501,$BJ58)))</f>
        <v/>
      </c>
      <c r="Y58" s="6">
        <f>IF(OR($BJ58="",24&gt;設定!$B$3),"",IF(INDEX(原始資料!AA$2:AA$501,$BJ58)="","",INDEX(原始資料!AA$2:AA$501,$BJ58)))</f>
        <v/>
      </c>
      <c r="Z58" s="6">
        <f>IF(OR($BJ58="",25&gt;設定!$B$3),"",IF(INDEX(原始資料!AB$2:AB$501,$BJ58)="","",INDEX(原始資料!AB$2:AB$501,$BJ58)))</f>
        <v/>
      </c>
      <c r="AA58" s="6">
        <f>IF(OR($BJ58="",26&gt;設定!$B$3),"",IF(INDEX(原始資料!AC$2:AC$501,$BJ58)="","",INDEX(原始資料!AC$2:AC$501,$BJ58)))</f>
        <v/>
      </c>
      <c r="AB58" s="6">
        <f>IF(OR($BJ58="",27&gt;設定!$B$3),"",IF(INDEX(原始資料!AD$2:AD$501,$BJ58)="","",INDEX(原始資料!AD$2:AD$501,$BJ58)))</f>
        <v/>
      </c>
      <c r="AC58" s="6">
        <f>IF(OR($BJ58="",28&gt;設定!$B$3),"",IF(INDEX(原始資料!AE$2:AE$501,$BJ58)="","",INDEX(原始資料!AE$2:AE$501,$BJ58)))</f>
        <v/>
      </c>
      <c r="AD58" s="6">
        <f>IF(OR($BJ58="",29&gt;設定!$B$3),"",IF(INDEX(原始資料!AF$2:AF$501,$BJ58)="","",INDEX(原始資料!AF$2:AF$501,$BJ58)))</f>
        <v/>
      </c>
      <c r="AE58" s="6">
        <f>IF(OR($BJ58="",30&gt;設定!$B$3),"",IF(INDEX(原始資料!AG$2:AG$501,$BJ58)="","",INDEX(原始資料!AG$2:AG$501,$BJ58)))</f>
        <v/>
      </c>
      <c r="AF58" s="6">
        <f>IF(OR($BJ58="",31&gt;設定!$B$3),"",IF(INDEX(原始資料!AH$2:AH$501,$BJ58)="","",INDEX(原始資料!AH$2:AH$501,$BJ58)))</f>
        <v/>
      </c>
      <c r="AG58" s="6">
        <f>IF(OR($BJ58="",32&gt;設定!$B$3),"",IF(INDEX(原始資料!AI$2:AI$501,$BJ58)="","",INDEX(原始資料!AI$2:AI$501,$BJ58)))</f>
        <v/>
      </c>
      <c r="AH58" s="6">
        <f>IF(OR($BJ58="",33&gt;設定!$B$3),"",IF(INDEX(原始資料!AJ$2:AJ$501,$BJ58)="","",INDEX(原始資料!AJ$2:AJ$501,$BJ58)))</f>
        <v/>
      </c>
      <c r="AI58" s="6">
        <f>IF(OR($BJ58="",34&gt;設定!$B$3),"",IF(INDEX(原始資料!AK$2:AK$501,$BJ58)="","",INDEX(原始資料!AK$2:AK$501,$BJ58)))</f>
        <v/>
      </c>
      <c r="AJ58" s="6">
        <f>IF(OR($BJ58="",35&gt;設定!$B$3),"",IF(INDEX(原始資料!AL$2:AL$501,$BJ58)="","",INDEX(原始資料!AL$2:AL$501,$BJ58)))</f>
        <v/>
      </c>
      <c r="AK58" s="6">
        <f>IF(OR($BJ58="",36&gt;設定!$B$3),"",IF(INDEX(原始資料!AM$2:AM$501,$BJ58)="","",INDEX(原始資料!AM$2:AM$501,$BJ58)))</f>
        <v/>
      </c>
      <c r="AL58" s="6">
        <f>IF(OR($BJ58="",37&gt;設定!$B$3),"",IF(INDEX(原始資料!AN$2:AN$501,$BJ58)="","",INDEX(原始資料!AN$2:AN$501,$BJ58)))</f>
        <v/>
      </c>
      <c r="AM58" s="6">
        <f>IF(OR($BJ58="",38&gt;設定!$B$3),"",IF(INDEX(原始資料!AO$2:AO$501,$BJ58)="","",INDEX(原始資料!AO$2:AO$501,$BJ58)))</f>
        <v/>
      </c>
      <c r="AN58" s="6">
        <f>IF(OR($BJ58="",39&gt;設定!$B$3),"",IF(INDEX(原始資料!AP$2:AP$501,$BJ58)="","",INDEX(原始資料!AP$2:AP$501,$BJ58)))</f>
        <v/>
      </c>
      <c r="AO58" s="6">
        <f>IF(OR($BJ58="",40&gt;設定!$B$3),"",IF(INDEX(原始資料!AQ$2:AQ$501,$BJ58)="","",INDEX(原始資料!AQ$2:AQ$501,$BJ58)))</f>
        <v/>
      </c>
      <c r="AP58" s="6">
        <f>IF(OR($BJ58="",41&gt;設定!$B$3),"",IF(INDEX(原始資料!AR$2:AR$501,$BJ58)="","",INDEX(原始資料!AR$2:AR$501,$BJ58)))</f>
        <v/>
      </c>
      <c r="AQ58" s="6">
        <f>IF(OR($BJ58="",42&gt;設定!$B$3),"",IF(INDEX(原始資料!AS$2:AS$501,$BJ58)="","",INDEX(原始資料!AS$2:AS$501,$BJ58)))</f>
        <v/>
      </c>
      <c r="AR58" s="6">
        <f>IF(OR($BJ58="",43&gt;設定!$B$3),"",IF(INDEX(原始資料!AT$2:AT$501,$BJ58)="","",INDEX(原始資料!AT$2:AT$501,$BJ58)))</f>
        <v/>
      </c>
      <c r="AS58" s="6">
        <f>IF(OR($BJ58="",44&gt;設定!$B$3),"",IF(INDEX(原始資料!AU$2:AU$501,$BJ58)="","",INDEX(原始資料!AU$2:AU$501,$BJ58)))</f>
        <v/>
      </c>
      <c r="AT58" s="6">
        <f>IF(OR($BJ58="",45&gt;設定!$B$3),"",IF(INDEX(原始資料!AV$2:AV$501,$BJ58)="","",INDEX(原始資料!AV$2:AV$501,$BJ58)))</f>
        <v/>
      </c>
      <c r="AU58" s="6">
        <f>IF(OR($BJ58="",46&gt;設定!$B$3),"",IF(INDEX(原始資料!AW$2:AW$501,$BJ58)="","",INDEX(原始資料!AW$2:AW$501,$BJ58)))</f>
        <v/>
      </c>
      <c r="AV58" s="6">
        <f>IF(OR($BJ58="",47&gt;設定!$B$3),"",IF(INDEX(原始資料!AX$2:AX$501,$BJ58)="","",INDEX(原始資料!AX$2:AX$501,$BJ58)))</f>
        <v/>
      </c>
      <c r="AW58" s="6">
        <f>IF(OR($BJ58="",48&gt;設定!$B$3),"",IF(INDEX(原始資料!AY$2:AY$501,$BJ58)="","",INDEX(原始資料!AY$2:AY$501,$BJ58)))</f>
        <v/>
      </c>
      <c r="AX58" s="6">
        <f>IF(OR($BJ58="",49&gt;設定!$B$3),"",IF(INDEX(原始資料!AZ$2:AZ$501,$BJ58)="","",INDEX(原始資料!AZ$2:AZ$501,$BJ58)))</f>
        <v/>
      </c>
      <c r="AY58" s="6">
        <f>IF(OR($BJ58="",50&gt;設定!$B$3),"",IF(INDEX(原始資料!BA$2:BA$501,$BJ58)="","",INDEX(原始資料!BA$2:BA$501,$BJ58)))</f>
        <v/>
      </c>
      <c r="AZ58" s="6">
        <f>IF(OR($BJ58="",51&gt;設定!$B$3),"",IF(INDEX(原始資料!BB$2:BB$501,$BJ58)="","",INDEX(原始資料!BB$2:BB$501,$BJ58)))</f>
        <v/>
      </c>
      <c r="BA58" s="6">
        <f>IF(OR($BJ58="",52&gt;設定!$B$3),"",IF(INDEX(原始資料!BC$2:BC$501,$BJ58)="","",INDEX(原始資料!BC$2:BC$501,$BJ58)))</f>
        <v/>
      </c>
      <c r="BB58" s="6">
        <f>IF(OR($BJ58="",53&gt;設定!$B$3),"",IF(INDEX(原始資料!BD$2:BD$501,$BJ58)="","",INDEX(原始資料!BD$2:BD$501,$BJ58)))</f>
        <v/>
      </c>
      <c r="BC58" s="6">
        <f>IF(OR($BJ58="",54&gt;設定!$B$3),"",IF(INDEX(原始資料!BE$2:BE$501,$BJ58)="","",INDEX(原始資料!BE$2:BE$501,$BJ58)))</f>
        <v/>
      </c>
      <c r="BD58" s="6">
        <f>IF(OR($BJ58="",55&gt;設定!$B$3),"",IF(INDEX(原始資料!BF$2:BF$501,$BJ58)="","",INDEX(原始資料!BF$2:BF$501,$BJ58)))</f>
        <v/>
      </c>
      <c r="BE58" s="6">
        <f>IF(OR($BJ58="",56&gt;設定!$B$3),"",IF(INDEX(原始資料!BG$2:BG$501,$BJ58)="","",INDEX(原始資料!BG$2:BG$501,$BJ58)))</f>
        <v/>
      </c>
      <c r="BF58" s="6">
        <f>IF(OR($BJ58="",57&gt;設定!$B$3),"",IF(INDEX(原始資料!BH$2:BH$501,$BJ58)="","",INDEX(原始資料!BH$2:BH$501,$BJ58)))</f>
        <v/>
      </c>
      <c r="BG58" s="6">
        <f>IF(OR($BJ58="",58&gt;設定!$B$3),"",IF(INDEX(原始資料!BI$2:BI$501,$BJ58)="","",INDEX(原始資料!BI$2:BI$501,$BJ58)))</f>
        <v/>
      </c>
      <c r="BH58" s="6">
        <f>IF(OR($BJ58="",59&gt;設定!$B$3),"",IF(INDEX(原始資料!BJ$2:BJ$501,$BJ58)="","",INDEX(原始資料!BJ$2:BJ$501,$BJ58)))</f>
        <v/>
      </c>
      <c r="BI58" s="6">
        <f>IF(OR($BJ58="",60&gt;設定!$B$3),"",IF(INDEX(原始資料!BK$2:BK$501,$BJ58)="","",INDEX(原始資料!BK$2:BK$501,$BJ58)))</f>
        <v/>
      </c>
      <c r="BJ58" s="6">
        <f>IFERROR(MATCH(ROW()-1,判定!$H$2:$H$501,0),"")</f>
        <v/>
      </c>
    </row>
    <row r="59">
      <c r="A59" s="6">
        <f>IF($BJ59="","",INDEX(原始資料!$A$2:$A$501,$BJ59))</f>
        <v/>
      </c>
      <c r="B59" s="6">
        <f>IF(OR($BJ59="",1&gt;設定!$B$3),"",IF(INDEX(原始資料!D$2:D$501,$BJ59)="","",INDEX(原始資料!D$2:D$501,$BJ59)))</f>
        <v/>
      </c>
      <c r="C59" s="6">
        <f>IF(OR($BJ59="",2&gt;設定!$B$3),"",IF(INDEX(原始資料!E$2:E$501,$BJ59)="","",INDEX(原始資料!E$2:E$501,$BJ59)))</f>
        <v/>
      </c>
      <c r="D59" s="6">
        <f>IF(OR($BJ59="",3&gt;設定!$B$3),"",IF(INDEX(原始資料!F$2:F$501,$BJ59)="","",INDEX(原始資料!F$2:F$501,$BJ59)))</f>
        <v/>
      </c>
      <c r="E59" s="6">
        <f>IF(OR($BJ59="",4&gt;設定!$B$3),"",IF(INDEX(原始資料!G$2:G$501,$BJ59)="","",INDEX(原始資料!G$2:G$501,$BJ59)))</f>
        <v/>
      </c>
      <c r="F59" s="6">
        <f>IF(OR($BJ59="",5&gt;設定!$B$3),"",IF(INDEX(原始資料!H$2:H$501,$BJ59)="","",INDEX(原始資料!H$2:H$501,$BJ59)))</f>
        <v/>
      </c>
      <c r="G59" s="6">
        <f>IF(OR($BJ59="",6&gt;設定!$B$3),"",IF(INDEX(原始資料!I$2:I$501,$BJ59)="","",INDEX(原始資料!I$2:I$501,$BJ59)))</f>
        <v/>
      </c>
      <c r="H59" s="6">
        <f>IF(OR($BJ59="",7&gt;設定!$B$3),"",IF(INDEX(原始資料!J$2:J$501,$BJ59)="","",INDEX(原始資料!J$2:J$501,$BJ59)))</f>
        <v/>
      </c>
      <c r="I59" s="6">
        <f>IF(OR($BJ59="",8&gt;設定!$B$3),"",IF(INDEX(原始資料!K$2:K$501,$BJ59)="","",INDEX(原始資料!K$2:K$501,$BJ59)))</f>
        <v/>
      </c>
      <c r="J59" s="6">
        <f>IF(OR($BJ59="",9&gt;設定!$B$3),"",IF(INDEX(原始資料!L$2:L$501,$BJ59)="","",INDEX(原始資料!L$2:L$501,$BJ59)))</f>
        <v/>
      </c>
      <c r="K59" s="6">
        <f>IF(OR($BJ59="",10&gt;設定!$B$3),"",IF(INDEX(原始資料!M$2:M$501,$BJ59)="","",INDEX(原始資料!M$2:M$501,$BJ59)))</f>
        <v/>
      </c>
      <c r="L59" s="6">
        <f>IF(OR($BJ59="",11&gt;設定!$B$3),"",IF(INDEX(原始資料!N$2:N$501,$BJ59)="","",INDEX(原始資料!N$2:N$501,$BJ59)))</f>
        <v/>
      </c>
      <c r="M59" s="6">
        <f>IF(OR($BJ59="",12&gt;設定!$B$3),"",IF(INDEX(原始資料!O$2:O$501,$BJ59)="","",INDEX(原始資料!O$2:O$501,$BJ59)))</f>
        <v/>
      </c>
      <c r="N59" s="6">
        <f>IF(OR($BJ59="",13&gt;設定!$B$3),"",IF(INDEX(原始資料!P$2:P$501,$BJ59)="","",INDEX(原始資料!P$2:P$501,$BJ59)))</f>
        <v/>
      </c>
      <c r="O59" s="6">
        <f>IF(OR($BJ59="",14&gt;設定!$B$3),"",IF(INDEX(原始資料!Q$2:Q$501,$BJ59)="","",INDEX(原始資料!Q$2:Q$501,$BJ59)))</f>
        <v/>
      </c>
      <c r="P59" s="6">
        <f>IF(OR($BJ59="",15&gt;設定!$B$3),"",IF(INDEX(原始資料!R$2:R$501,$BJ59)="","",INDEX(原始資料!R$2:R$501,$BJ59)))</f>
        <v/>
      </c>
      <c r="Q59" s="6">
        <f>IF(OR($BJ59="",16&gt;設定!$B$3),"",IF(INDEX(原始資料!S$2:S$501,$BJ59)="","",INDEX(原始資料!S$2:S$501,$BJ59)))</f>
        <v/>
      </c>
      <c r="R59" s="6">
        <f>IF(OR($BJ59="",17&gt;設定!$B$3),"",IF(INDEX(原始資料!T$2:T$501,$BJ59)="","",INDEX(原始資料!T$2:T$501,$BJ59)))</f>
        <v/>
      </c>
      <c r="S59" s="6">
        <f>IF(OR($BJ59="",18&gt;設定!$B$3),"",IF(INDEX(原始資料!U$2:U$501,$BJ59)="","",INDEX(原始資料!U$2:U$501,$BJ59)))</f>
        <v/>
      </c>
      <c r="T59" s="6">
        <f>IF(OR($BJ59="",19&gt;設定!$B$3),"",IF(INDEX(原始資料!V$2:V$501,$BJ59)="","",INDEX(原始資料!V$2:V$501,$BJ59)))</f>
        <v/>
      </c>
      <c r="U59" s="6">
        <f>IF(OR($BJ59="",20&gt;設定!$B$3),"",IF(INDEX(原始資料!W$2:W$501,$BJ59)="","",INDEX(原始資料!W$2:W$501,$BJ59)))</f>
        <v/>
      </c>
      <c r="V59" s="6">
        <f>IF(OR($BJ59="",21&gt;設定!$B$3),"",IF(INDEX(原始資料!X$2:X$501,$BJ59)="","",INDEX(原始資料!X$2:X$501,$BJ59)))</f>
        <v/>
      </c>
      <c r="W59" s="6">
        <f>IF(OR($BJ59="",22&gt;設定!$B$3),"",IF(INDEX(原始資料!Y$2:Y$501,$BJ59)="","",INDEX(原始資料!Y$2:Y$501,$BJ59)))</f>
        <v/>
      </c>
      <c r="X59" s="6">
        <f>IF(OR($BJ59="",23&gt;設定!$B$3),"",IF(INDEX(原始資料!Z$2:Z$501,$BJ59)="","",INDEX(原始資料!Z$2:Z$501,$BJ59)))</f>
        <v/>
      </c>
      <c r="Y59" s="6">
        <f>IF(OR($BJ59="",24&gt;設定!$B$3),"",IF(INDEX(原始資料!AA$2:AA$501,$BJ59)="","",INDEX(原始資料!AA$2:AA$501,$BJ59)))</f>
        <v/>
      </c>
      <c r="Z59" s="6">
        <f>IF(OR($BJ59="",25&gt;設定!$B$3),"",IF(INDEX(原始資料!AB$2:AB$501,$BJ59)="","",INDEX(原始資料!AB$2:AB$501,$BJ59)))</f>
        <v/>
      </c>
      <c r="AA59" s="6">
        <f>IF(OR($BJ59="",26&gt;設定!$B$3),"",IF(INDEX(原始資料!AC$2:AC$501,$BJ59)="","",INDEX(原始資料!AC$2:AC$501,$BJ59)))</f>
        <v/>
      </c>
      <c r="AB59" s="6">
        <f>IF(OR($BJ59="",27&gt;設定!$B$3),"",IF(INDEX(原始資料!AD$2:AD$501,$BJ59)="","",INDEX(原始資料!AD$2:AD$501,$BJ59)))</f>
        <v/>
      </c>
      <c r="AC59" s="6">
        <f>IF(OR($BJ59="",28&gt;設定!$B$3),"",IF(INDEX(原始資料!AE$2:AE$501,$BJ59)="","",INDEX(原始資料!AE$2:AE$501,$BJ59)))</f>
        <v/>
      </c>
      <c r="AD59" s="6">
        <f>IF(OR($BJ59="",29&gt;設定!$B$3),"",IF(INDEX(原始資料!AF$2:AF$501,$BJ59)="","",INDEX(原始資料!AF$2:AF$501,$BJ59)))</f>
        <v/>
      </c>
      <c r="AE59" s="6">
        <f>IF(OR($BJ59="",30&gt;設定!$B$3),"",IF(INDEX(原始資料!AG$2:AG$501,$BJ59)="","",INDEX(原始資料!AG$2:AG$501,$BJ59)))</f>
        <v/>
      </c>
      <c r="AF59" s="6">
        <f>IF(OR($BJ59="",31&gt;設定!$B$3),"",IF(INDEX(原始資料!AH$2:AH$501,$BJ59)="","",INDEX(原始資料!AH$2:AH$501,$BJ59)))</f>
        <v/>
      </c>
      <c r="AG59" s="6">
        <f>IF(OR($BJ59="",32&gt;設定!$B$3),"",IF(INDEX(原始資料!AI$2:AI$501,$BJ59)="","",INDEX(原始資料!AI$2:AI$501,$BJ59)))</f>
        <v/>
      </c>
      <c r="AH59" s="6">
        <f>IF(OR($BJ59="",33&gt;設定!$B$3),"",IF(INDEX(原始資料!AJ$2:AJ$501,$BJ59)="","",INDEX(原始資料!AJ$2:AJ$501,$BJ59)))</f>
        <v/>
      </c>
      <c r="AI59" s="6">
        <f>IF(OR($BJ59="",34&gt;設定!$B$3),"",IF(INDEX(原始資料!AK$2:AK$501,$BJ59)="","",INDEX(原始資料!AK$2:AK$501,$BJ59)))</f>
        <v/>
      </c>
      <c r="AJ59" s="6">
        <f>IF(OR($BJ59="",35&gt;設定!$B$3),"",IF(INDEX(原始資料!AL$2:AL$501,$BJ59)="","",INDEX(原始資料!AL$2:AL$501,$BJ59)))</f>
        <v/>
      </c>
      <c r="AK59" s="6">
        <f>IF(OR($BJ59="",36&gt;設定!$B$3),"",IF(INDEX(原始資料!AM$2:AM$501,$BJ59)="","",INDEX(原始資料!AM$2:AM$501,$BJ59)))</f>
        <v/>
      </c>
      <c r="AL59" s="6">
        <f>IF(OR($BJ59="",37&gt;設定!$B$3),"",IF(INDEX(原始資料!AN$2:AN$501,$BJ59)="","",INDEX(原始資料!AN$2:AN$501,$BJ59)))</f>
        <v/>
      </c>
      <c r="AM59" s="6">
        <f>IF(OR($BJ59="",38&gt;設定!$B$3),"",IF(INDEX(原始資料!AO$2:AO$501,$BJ59)="","",INDEX(原始資料!AO$2:AO$501,$BJ59)))</f>
        <v/>
      </c>
      <c r="AN59" s="6">
        <f>IF(OR($BJ59="",39&gt;設定!$B$3),"",IF(INDEX(原始資料!AP$2:AP$501,$BJ59)="","",INDEX(原始資料!AP$2:AP$501,$BJ59)))</f>
        <v/>
      </c>
      <c r="AO59" s="6">
        <f>IF(OR($BJ59="",40&gt;設定!$B$3),"",IF(INDEX(原始資料!AQ$2:AQ$501,$BJ59)="","",INDEX(原始資料!AQ$2:AQ$501,$BJ59)))</f>
        <v/>
      </c>
      <c r="AP59" s="6">
        <f>IF(OR($BJ59="",41&gt;設定!$B$3),"",IF(INDEX(原始資料!AR$2:AR$501,$BJ59)="","",INDEX(原始資料!AR$2:AR$501,$BJ59)))</f>
        <v/>
      </c>
      <c r="AQ59" s="6">
        <f>IF(OR($BJ59="",42&gt;設定!$B$3),"",IF(INDEX(原始資料!AS$2:AS$501,$BJ59)="","",INDEX(原始資料!AS$2:AS$501,$BJ59)))</f>
        <v/>
      </c>
      <c r="AR59" s="6">
        <f>IF(OR($BJ59="",43&gt;設定!$B$3),"",IF(INDEX(原始資料!AT$2:AT$501,$BJ59)="","",INDEX(原始資料!AT$2:AT$501,$BJ59)))</f>
        <v/>
      </c>
      <c r="AS59" s="6">
        <f>IF(OR($BJ59="",44&gt;設定!$B$3),"",IF(INDEX(原始資料!AU$2:AU$501,$BJ59)="","",INDEX(原始資料!AU$2:AU$501,$BJ59)))</f>
        <v/>
      </c>
      <c r="AT59" s="6">
        <f>IF(OR($BJ59="",45&gt;設定!$B$3),"",IF(INDEX(原始資料!AV$2:AV$501,$BJ59)="","",INDEX(原始資料!AV$2:AV$501,$BJ59)))</f>
        <v/>
      </c>
      <c r="AU59" s="6">
        <f>IF(OR($BJ59="",46&gt;設定!$B$3),"",IF(INDEX(原始資料!AW$2:AW$501,$BJ59)="","",INDEX(原始資料!AW$2:AW$501,$BJ59)))</f>
        <v/>
      </c>
      <c r="AV59" s="6">
        <f>IF(OR($BJ59="",47&gt;設定!$B$3),"",IF(INDEX(原始資料!AX$2:AX$501,$BJ59)="","",INDEX(原始資料!AX$2:AX$501,$BJ59)))</f>
        <v/>
      </c>
      <c r="AW59" s="6">
        <f>IF(OR($BJ59="",48&gt;設定!$B$3),"",IF(INDEX(原始資料!AY$2:AY$501,$BJ59)="","",INDEX(原始資料!AY$2:AY$501,$BJ59)))</f>
        <v/>
      </c>
      <c r="AX59" s="6">
        <f>IF(OR($BJ59="",49&gt;設定!$B$3),"",IF(INDEX(原始資料!AZ$2:AZ$501,$BJ59)="","",INDEX(原始資料!AZ$2:AZ$501,$BJ59)))</f>
        <v/>
      </c>
      <c r="AY59" s="6">
        <f>IF(OR($BJ59="",50&gt;設定!$B$3),"",IF(INDEX(原始資料!BA$2:BA$501,$BJ59)="","",INDEX(原始資料!BA$2:BA$501,$BJ59)))</f>
        <v/>
      </c>
      <c r="AZ59" s="6">
        <f>IF(OR($BJ59="",51&gt;設定!$B$3),"",IF(INDEX(原始資料!BB$2:BB$501,$BJ59)="","",INDEX(原始資料!BB$2:BB$501,$BJ59)))</f>
        <v/>
      </c>
      <c r="BA59" s="6">
        <f>IF(OR($BJ59="",52&gt;設定!$B$3),"",IF(INDEX(原始資料!BC$2:BC$501,$BJ59)="","",INDEX(原始資料!BC$2:BC$501,$BJ59)))</f>
        <v/>
      </c>
      <c r="BB59" s="6">
        <f>IF(OR($BJ59="",53&gt;設定!$B$3),"",IF(INDEX(原始資料!BD$2:BD$501,$BJ59)="","",INDEX(原始資料!BD$2:BD$501,$BJ59)))</f>
        <v/>
      </c>
      <c r="BC59" s="6">
        <f>IF(OR($BJ59="",54&gt;設定!$B$3),"",IF(INDEX(原始資料!BE$2:BE$501,$BJ59)="","",INDEX(原始資料!BE$2:BE$501,$BJ59)))</f>
        <v/>
      </c>
      <c r="BD59" s="6">
        <f>IF(OR($BJ59="",55&gt;設定!$B$3),"",IF(INDEX(原始資料!BF$2:BF$501,$BJ59)="","",INDEX(原始資料!BF$2:BF$501,$BJ59)))</f>
        <v/>
      </c>
      <c r="BE59" s="6">
        <f>IF(OR($BJ59="",56&gt;設定!$B$3),"",IF(INDEX(原始資料!BG$2:BG$501,$BJ59)="","",INDEX(原始資料!BG$2:BG$501,$BJ59)))</f>
        <v/>
      </c>
      <c r="BF59" s="6">
        <f>IF(OR($BJ59="",57&gt;設定!$B$3),"",IF(INDEX(原始資料!BH$2:BH$501,$BJ59)="","",INDEX(原始資料!BH$2:BH$501,$BJ59)))</f>
        <v/>
      </c>
      <c r="BG59" s="6">
        <f>IF(OR($BJ59="",58&gt;設定!$B$3),"",IF(INDEX(原始資料!BI$2:BI$501,$BJ59)="","",INDEX(原始資料!BI$2:BI$501,$BJ59)))</f>
        <v/>
      </c>
      <c r="BH59" s="6">
        <f>IF(OR($BJ59="",59&gt;設定!$B$3),"",IF(INDEX(原始資料!BJ$2:BJ$501,$BJ59)="","",INDEX(原始資料!BJ$2:BJ$501,$BJ59)))</f>
        <v/>
      </c>
      <c r="BI59" s="6">
        <f>IF(OR($BJ59="",60&gt;設定!$B$3),"",IF(INDEX(原始資料!BK$2:BK$501,$BJ59)="","",INDEX(原始資料!BK$2:BK$501,$BJ59)))</f>
        <v/>
      </c>
      <c r="BJ59" s="6">
        <f>IFERROR(MATCH(ROW()-1,判定!$H$2:$H$501,0),"")</f>
        <v/>
      </c>
    </row>
    <row r="60">
      <c r="A60" s="6">
        <f>IF($BJ60="","",INDEX(原始資料!$A$2:$A$501,$BJ60))</f>
        <v/>
      </c>
      <c r="B60" s="6">
        <f>IF(OR($BJ60="",1&gt;設定!$B$3),"",IF(INDEX(原始資料!D$2:D$501,$BJ60)="","",INDEX(原始資料!D$2:D$501,$BJ60)))</f>
        <v/>
      </c>
      <c r="C60" s="6">
        <f>IF(OR($BJ60="",2&gt;設定!$B$3),"",IF(INDEX(原始資料!E$2:E$501,$BJ60)="","",INDEX(原始資料!E$2:E$501,$BJ60)))</f>
        <v/>
      </c>
      <c r="D60" s="6">
        <f>IF(OR($BJ60="",3&gt;設定!$B$3),"",IF(INDEX(原始資料!F$2:F$501,$BJ60)="","",INDEX(原始資料!F$2:F$501,$BJ60)))</f>
        <v/>
      </c>
      <c r="E60" s="6">
        <f>IF(OR($BJ60="",4&gt;設定!$B$3),"",IF(INDEX(原始資料!G$2:G$501,$BJ60)="","",INDEX(原始資料!G$2:G$501,$BJ60)))</f>
        <v/>
      </c>
      <c r="F60" s="6">
        <f>IF(OR($BJ60="",5&gt;設定!$B$3),"",IF(INDEX(原始資料!H$2:H$501,$BJ60)="","",INDEX(原始資料!H$2:H$501,$BJ60)))</f>
        <v/>
      </c>
      <c r="G60" s="6">
        <f>IF(OR($BJ60="",6&gt;設定!$B$3),"",IF(INDEX(原始資料!I$2:I$501,$BJ60)="","",INDEX(原始資料!I$2:I$501,$BJ60)))</f>
        <v/>
      </c>
      <c r="H60" s="6">
        <f>IF(OR($BJ60="",7&gt;設定!$B$3),"",IF(INDEX(原始資料!J$2:J$501,$BJ60)="","",INDEX(原始資料!J$2:J$501,$BJ60)))</f>
        <v/>
      </c>
      <c r="I60" s="6">
        <f>IF(OR($BJ60="",8&gt;設定!$B$3),"",IF(INDEX(原始資料!K$2:K$501,$BJ60)="","",INDEX(原始資料!K$2:K$501,$BJ60)))</f>
        <v/>
      </c>
      <c r="J60" s="6">
        <f>IF(OR($BJ60="",9&gt;設定!$B$3),"",IF(INDEX(原始資料!L$2:L$501,$BJ60)="","",INDEX(原始資料!L$2:L$501,$BJ60)))</f>
        <v/>
      </c>
      <c r="K60" s="6">
        <f>IF(OR($BJ60="",10&gt;設定!$B$3),"",IF(INDEX(原始資料!M$2:M$501,$BJ60)="","",INDEX(原始資料!M$2:M$501,$BJ60)))</f>
        <v/>
      </c>
      <c r="L60" s="6">
        <f>IF(OR($BJ60="",11&gt;設定!$B$3),"",IF(INDEX(原始資料!N$2:N$501,$BJ60)="","",INDEX(原始資料!N$2:N$501,$BJ60)))</f>
        <v/>
      </c>
      <c r="M60" s="6">
        <f>IF(OR($BJ60="",12&gt;設定!$B$3),"",IF(INDEX(原始資料!O$2:O$501,$BJ60)="","",INDEX(原始資料!O$2:O$501,$BJ60)))</f>
        <v/>
      </c>
      <c r="N60" s="6">
        <f>IF(OR($BJ60="",13&gt;設定!$B$3),"",IF(INDEX(原始資料!P$2:P$501,$BJ60)="","",INDEX(原始資料!P$2:P$501,$BJ60)))</f>
        <v/>
      </c>
      <c r="O60" s="6">
        <f>IF(OR($BJ60="",14&gt;設定!$B$3),"",IF(INDEX(原始資料!Q$2:Q$501,$BJ60)="","",INDEX(原始資料!Q$2:Q$501,$BJ60)))</f>
        <v/>
      </c>
      <c r="P60" s="6">
        <f>IF(OR($BJ60="",15&gt;設定!$B$3),"",IF(INDEX(原始資料!R$2:R$501,$BJ60)="","",INDEX(原始資料!R$2:R$501,$BJ60)))</f>
        <v/>
      </c>
      <c r="Q60" s="6">
        <f>IF(OR($BJ60="",16&gt;設定!$B$3),"",IF(INDEX(原始資料!S$2:S$501,$BJ60)="","",INDEX(原始資料!S$2:S$501,$BJ60)))</f>
        <v/>
      </c>
      <c r="R60" s="6">
        <f>IF(OR($BJ60="",17&gt;設定!$B$3),"",IF(INDEX(原始資料!T$2:T$501,$BJ60)="","",INDEX(原始資料!T$2:T$501,$BJ60)))</f>
        <v/>
      </c>
      <c r="S60" s="6">
        <f>IF(OR($BJ60="",18&gt;設定!$B$3),"",IF(INDEX(原始資料!U$2:U$501,$BJ60)="","",INDEX(原始資料!U$2:U$501,$BJ60)))</f>
        <v/>
      </c>
      <c r="T60" s="6">
        <f>IF(OR($BJ60="",19&gt;設定!$B$3),"",IF(INDEX(原始資料!V$2:V$501,$BJ60)="","",INDEX(原始資料!V$2:V$501,$BJ60)))</f>
        <v/>
      </c>
      <c r="U60" s="6">
        <f>IF(OR($BJ60="",20&gt;設定!$B$3),"",IF(INDEX(原始資料!W$2:W$501,$BJ60)="","",INDEX(原始資料!W$2:W$501,$BJ60)))</f>
        <v/>
      </c>
      <c r="V60" s="6">
        <f>IF(OR($BJ60="",21&gt;設定!$B$3),"",IF(INDEX(原始資料!X$2:X$501,$BJ60)="","",INDEX(原始資料!X$2:X$501,$BJ60)))</f>
        <v/>
      </c>
      <c r="W60" s="6">
        <f>IF(OR($BJ60="",22&gt;設定!$B$3),"",IF(INDEX(原始資料!Y$2:Y$501,$BJ60)="","",INDEX(原始資料!Y$2:Y$501,$BJ60)))</f>
        <v/>
      </c>
      <c r="X60" s="6">
        <f>IF(OR($BJ60="",23&gt;設定!$B$3),"",IF(INDEX(原始資料!Z$2:Z$501,$BJ60)="","",INDEX(原始資料!Z$2:Z$501,$BJ60)))</f>
        <v/>
      </c>
      <c r="Y60" s="6">
        <f>IF(OR($BJ60="",24&gt;設定!$B$3),"",IF(INDEX(原始資料!AA$2:AA$501,$BJ60)="","",INDEX(原始資料!AA$2:AA$501,$BJ60)))</f>
        <v/>
      </c>
      <c r="Z60" s="6">
        <f>IF(OR($BJ60="",25&gt;設定!$B$3),"",IF(INDEX(原始資料!AB$2:AB$501,$BJ60)="","",INDEX(原始資料!AB$2:AB$501,$BJ60)))</f>
        <v/>
      </c>
      <c r="AA60" s="6">
        <f>IF(OR($BJ60="",26&gt;設定!$B$3),"",IF(INDEX(原始資料!AC$2:AC$501,$BJ60)="","",INDEX(原始資料!AC$2:AC$501,$BJ60)))</f>
        <v/>
      </c>
      <c r="AB60" s="6">
        <f>IF(OR($BJ60="",27&gt;設定!$B$3),"",IF(INDEX(原始資料!AD$2:AD$501,$BJ60)="","",INDEX(原始資料!AD$2:AD$501,$BJ60)))</f>
        <v/>
      </c>
      <c r="AC60" s="6">
        <f>IF(OR($BJ60="",28&gt;設定!$B$3),"",IF(INDEX(原始資料!AE$2:AE$501,$BJ60)="","",INDEX(原始資料!AE$2:AE$501,$BJ60)))</f>
        <v/>
      </c>
      <c r="AD60" s="6">
        <f>IF(OR($BJ60="",29&gt;設定!$B$3),"",IF(INDEX(原始資料!AF$2:AF$501,$BJ60)="","",INDEX(原始資料!AF$2:AF$501,$BJ60)))</f>
        <v/>
      </c>
      <c r="AE60" s="6">
        <f>IF(OR($BJ60="",30&gt;設定!$B$3),"",IF(INDEX(原始資料!AG$2:AG$501,$BJ60)="","",INDEX(原始資料!AG$2:AG$501,$BJ60)))</f>
        <v/>
      </c>
      <c r="AF60" s="6">
        <f>IF(OR($BJ60="",31&gt;設定!$B$3),"",IF(INDEX(原始資料!AH$2:AH$501,$BJ60)="","",INDEX(原始資料!AH$2:AH$501,$BJ60)))</f>
        <v/>
      </c>
      <c r="AG60" s="6">
        <f>IF(OR($BJ60="",32&gt;設定!$B$3),"",IF(INDEX(原始資料!AI$2:AI$501,$BJ60)="","",INDEX(原始資料!AI$2:AI$501,$BJ60)))</f>
        <v/>
      </c>
      <c r="AH60" s="6">
        <f>IF(OR($BJ60="",33&gt;設定!$B$3),"",IF(INDEX(原始資料!AJ$2:AJ$501,$BJ60)="","",INDEX(原始資料!AJ$2:AJ$501,$BJ60)))</f>
        <v/>
      </c>
      <c r="AI60" s="6">
        <f>IF(OR($BJ60="",34&gt;設定!$B$3),"",IF(INDEX(原始資料!AK$2:AK$501,$BJ60)="","",INDEX(原始資料!AK$2:AK$501,$BJ60)))</f>
        <v/>
      </c>
      <c r="AJ60" s="6">
        <f>IF(OR($BJ60="",35&gt;設定!$B$3),"",IF(INDEX(原始資料!AL$2:AL$501,$BJ60)="","",INDEX(原始資料!AL$2:AL$501,$BJ60)))</f>
        <v/>
      </c>
      <c r="AK60" s="6">
        <f>IF(OR($BJ60="",36&gt;設定!$B$3),"",IF(INDEX(原始資料!AM$2:AM$501,$BJ60)="","",INDEX(原始資料!AM$2:AM$501,$BJ60)))</f>
        <v/>
      </c>
      <c r="AL60" s="6">
        <f>IF(OR($BJ60="",37&gt;設定!$B$3),"",IF(INDEX(原始資料!AN$2:AN$501,$BJ60)="","",INDEX(原始資料!AN$2:AN$501,$BJ60)))</f>
        <v/>
      </c>
      <c r="AM60" s="6">
        <f>IF(OR($BJ60="",38&gt;設定!$B$3),"",IF(INDEX(原始資料!AO$2:AO$501,$BJ60)="","",INDEX(原始資料!AO$2:AO$501,$BJ60)))</f>
        <v/>
      </c>
      <c r="AN60" s="6">
        <f>IF(OR($BJ60="",39&gt;設定!$B$3),"",IF(INDEX(原始資料!AP$2:AP$501,$BJ60)="","",INDEX(原始資料!AP$2:AP$501,$BJ60)))</f>
        <v/>
      </c>
      <c r="AO60" s="6">
        <f>IF(OR($BJ60="",40&gt;設定!$B$3),"",IF(INDEX(原始資料!AQ$2:AQ$501,$BJ60)="","",INDEX(原始資料!AQ$2:AQ$501,$BJ60)))</f>
        <v/>
      </c>
      <c r="AP60" s="6">
        <f>IF(OR($BJ60="",41&gt;設定!$B$3),"",IF(INDEX(原始資料!AR$2:AR$501,$BJ60)="","",INDEX(原始資料!AR$2:AR$501,$BJ60)))</f>
        <v/>
      </c>
      <c r="AQ60" s="6">
        <f>IF(OR($BJ60="",42&gt;設定!$B$3),"",IF(INDEX(原始資料!AS$2:AS$501,$BJ60)="","",INDEX(原始資料!AS$2:AS$501,$BJ60)))</f>
        <v/>
      </c>
      <c r="AR60" s="6">
        <f>IF(OR($BJ60="",43&gt;設定!$B$3),"",IF(INDEX(原始資料!AT$2:AT$501,$BJ60)="","",INDEX(原始資料!AT$2:AT$501,$BJ60)))</f>
        <v/>
      </c>
      <c r="AS60" s="6">
        <f>IF(OR($BJ60="",44&gt;設定!$B$3),"",IF(INDEX(原始資料!AU$2:AU$501,$BJ60)="","",INDEX(原始資料!AU$2:AU$501,$BJ60)))</f>
        <v/>
      </c>
      <c r="AT60" s="6">
        <f>IF(OR($BJ60="",45&gt;設定!$B$3),"",IF(INDEX(原始資料!AV$2:AV$501,$BJ60)="","",INDEX(原始資料!AV$2:AV$501,$BJ60)))</f>
        <v/>
      </c>
      <c r="AU60" s="6">
        <f>IF(OR($BJ60="",46&gt;設定!$B$3),"",IF(INDEX(原始資料!AW$2:AW$501,$BJ60)="","",INDEX(原始資料!AW$2:AW$501,$BJ60)))</f>
        <v/>
      </c>
      <c r="AV60" s="6">
        <f>IF(OR($BJ60="",47&gt;設定!$B$3),"",IF(INDEX(原始資料!AX$2:AX$501,$BJ60)="","",INDEX(原始資料!AX$2:AX$501,$BJ60)))</f>
        <v/>
      </c>
      <c r="AW60" s="6">
        <f>IF(OR($BJ60="",48&gt;設定!$B$3),"",IF(INDEX(原始資料!AY$2:AY$501,$BJ60)="","",INDEX(原始資料!AY$2:AY$501,$BJ60)))</f>
        <v/>
      </c>
      <c r="AX60" s="6">
        <f>IF(OR($BJ60="",49&gt;設定!$B$3),"",IF(INDEX(原始資料!AZ$2:AZ$501,$BJ60)="","",INDEX(原始資料!AZ$2:AZ$501,$BJ60)))</f>
        <v/>
      </c>
      <c r="AY60" s="6">
        <f>IF(OR($BJ60="",50&gt;設定!$B$3),"",IF(INDEX(原始資料!BA$2:BA$501,$BJ60)="","",INDEX(原始資料!BA$2:BA$501,$BJ60)))</f>
        <v/>
      </c>
      <c r="AZ60" s="6">
        <f>IF(OR($BJ60="",51&gt;設定!$B$3),"",IF(INDEX(原始資料!BB$2:BB$501,$BJ60)="","",INDEX(原始資料!BB$2:BB$501,$BJ60)))</f>
        <v/>
      </c>
      <c r="BA60" s="6">
        <f>IF(OR($BJ60="",52&gt;設定!$B$3),"",IF(INDEX(原始資料!BC$2:BC$501,$BJ60)="","",INDEX(原始資料!BC$2:BC$501,$BJ60)))</f>
        <v/>
      </c>
      <c r="BB60" s="6">
        <f>IF(OR($BJ60="",53&gt;設定!$B$3),"",IF(INDEX(原始資料!BD$2:BD$501,$BJ60)="","",INDEX(原始資料!BD$2:BD$501,$BJ60)))</f>
        <v/>
      </c>
      <c r="BC60" s="6">
        <f>IF(OR($BJ60="",54&gt;設定!$B$3),"",IF(INDEX(原始資料!BE$2:BE$501,$BJ60)="","",INDEX(原始資料!BE$2:BE$501,$BJ60)))</f>
        <v/>
      </c>
      <c r="BD60" s="6">
        <f>IF(OR($BJ60="",55&gt;設定!$B$3),"",IF(INDEX(原始資料!BF$2:BF$501,$BJ60)="","",INDEX(原始資料!BF$2:BF$501,$BJ60)))</f>
        <v/>
      </c>
      <c r="BE60" s="6">
        <f>IF(OR($BJ60="",56&gt;設定!$B$3),"",IF(INDEX(原始資料!BG$2:BG$501,$BJ60)="","",INDEX(原始資料!BG$2:BG$501,$BJ60)))</f>
        <v/>
      </c>
      <c r="BF60" s="6">
        <f>IF(OR($BJ60="",57&gt;設定!$B$3),"",IF(INDEX(原始資料!BH$2:BH$501,$BJ60)="","",INDEX(原始資料!BH$2:BH$501,$BJ60)))</f>
        <v/>
      </c>
      <c r="BG60" s="6">
        <f>IF(OR($BJ60="",58&gt;設定!$B$3),"",IF(INDEX(原始資料!BI$2:BI$501,$BJ60)="","",INDEX(原始資料!BI$2:BI$501,$BJ60)))</f>
        <v/>
      </c>
      <c r="BH60" s="6">
        <f>IF(OR($BJ60="",59&gt;設定!$B$3),"",IF(INDEX(原始資料!BJ$2:BJ$501,$BJ60)="","",INDEX(原始資料!BJ$2:BJ$501,$BJ60)))</f>
        <v/>
      </c>
      <c r="BI60" s="6">
        <f>IF(OR($BJ60="",60&gt;設定!$B$3),"",IF(INDEX(原始資料!BK$2:BK$501,$BJ60)="","",INDEX(原始資料!BK$2:BK$501,$BJ60)))</f>
        <v/>
      </c>
      <c r="BJ60" s="6">
        <f>IFERROR(MATCH(ROW()-1,判定!$H$2:$H$501,0),"")</f>
        <v/>
      </c>
    </row>
    <row r="61">
      <c r="A61" s="6">
        <f>IF($BJ61="","",INDEX(原始資料!$A$2:$A$501,$BJ61))</f>
        <v/>
      </c>
      <c r="B61" s="6">
        <f>IF(OR($BJ61="",1&gt;設定!$B$3),"",IF(INDEX(原始資料!D$2:D$501,$BJ61)="","",INDEX(原始資料!D$2:D$501,$BJ61)))</f>
        <v/>
      </c>
      <c r="C61" s="6">
        <f>IF(OR($BJ61="",2&gt;設定!$B$3),"",IF(INDEX(原始資料!E$2:E$501,$BJ61)="","",INDEX(原始資料!E$2:E$501,$BJ61)))</f>
        <v/>
      </c>
      <c r="D61" s="6">
        <f>IF(OR($BJ61="",3&gt;設定!$B$3),"",IF(INDEX(原始資料!F$2:F$501,$BJ61)="","",INDEX(原始資料!F$2:F$501,$BJ61)))</f>
        <v/>
      </c>
      <c r="E61" s="6">
        <f>IF(OR($BJ61="",4&gt;設定!$B$3),"",IF(INDEX(原始資料!G$2:G$501,$BJ61)="","",INDEX(原始資料!G$2:G$501,$BJ61)))</f>
        <v/>
      </c>
      <c r="F61" s="6">
        <f>IF(OR($BJ61="",5&gt;設定!$B$3),"",IF(INDEX(原始資料!H$2:H$501,$BJ61)="","",INDEX(原始資料!H$2:H$501,$BJ61)))</f>
        <v/>
      </c>
      <c r="G61" s="6">
        <f>IF(OR($BJ61="",6&gt;設定!$B$3),"",IF(INDEX(原始資料!I$2:I$501,$BJ61)="","",INDEX(原始資料!I$2:I$501,$BJ61)))</f>
        <v/>
      </c>
      <c r="H61" s="6">
        <f>IF(OR($BJ61="",7&gt;設定!$B$3),"",IF(INDEX(原始資料!J$2:J$501,$BJ61)="","",INDEX(原始資料!J$2:J$501,$BJ61)))</f>
        <v/>
      </c>
      <c r="I61" s="6">
        <f>IF(OR($BJ61="",8&gt;設定!$B$3),"",IF(INDEX(原始資料!K$2:K$501,$BJ61)="","",INDEX(原始資料!K$2:K$501,$BJ61)))</f>
        <v/>
      </c>
      <c r="J61" s="6">
        <f>IF(OR($BJ61="",9&gt;設定!$B$3),"",IF(INDEX(原始資料!L$2:L$501,$BJ61)="","",INDEX(原始資料!L$2:L$501,$BJ61)))</f>
        <v/>
      </c>
      <c r="K61" s="6">
        <f>IF(OR($BJ61="",10&gt;設定!$B$3),"",IF(INDEX(原始資料!M$2:M$501,$BJ61)="","",INDEX(原始資料!M$2:M$501,$BJ61)))</f>
        <v/>
      </c>
      <c r="L61" s="6">
        <f>IF(OR($BJ61="",11&gt;設定!$B$3),"",IF(INDEX(原始資料!N$2:N$501,$BJ61)="","",INDEX(原始資料!N$2:N$501,$BJ61)))</f>
        <v/>
      </c>
      <c r="M61" s="6">
        <f>IF(OR($BJ61="",12&gt;設定!$B$3),"",IF(INDEX(原始資料!O$2:O$501,$BJ61)="","",INDEX(原始資料!O$2:O$501,$BJ61)))</f>
        <v/>
      </c>
      <c r="N61" s="6">
        <f>IF(OR($BJ61="",13&gt;設定!$B$3),"",IF(INDEX(原始資料!P$2:P$501,$BJ61)="","",INDEX(原始資料!P$2:P$501,$BJ61)))</f>
        <v/>
      </c>
      <c r="O61" s="6">
        <f>IF(OR($BJ61="",14&gt;設定!$B$3),"",IF(INDEX(原始資料!Q$2:Q$501,$BJ61)="","",INDEX(原始資料!Q$2:Q$501,$BJ61)))</f>
        <v/>
      </c>
      <c r="P61" s="6">
        <f>IF(OR($BJ61="",15&gt;設定!$B$3),"",IF(INDEX(原始資料!R$2:R$501,$BJ61)="","",INDEX(原始資料!R$2:R$501,$BJ61)))</f>
        <v/>
      </c>
      <c r="Q61" s="6">
        <f>IF(OR($BJ61="",16&gt;設定!$B$3),"",IF(INDEX(原始資料!S$2:S$501,$BJ61)="","",INDEX(原始資料!S$2:S$501,$BJ61)))</f>
        <v/>
      </c>
      <c r="R61" s="6">
        <f>IF(OR($BJ61="",17&gt;設定!$B$3),"",IF(INDEX(原始資料!T$2:T$501,$BJ61)="","",INDEX(原始資料!T$2:T$501,$BJ61)))</f>
        <v/>
      </c>
      <c r="S61" s="6">
        <f>IF(OR($BJ61="",18&gt;設定!$B$3),"",IF(INDEX(原始資料!U$2:U$501,$BJ61)="","",INDEX(原始資料!U$2:U$501,$BJ61)))</f>
        <v/>
      </c>
      <c r="T61" s="6">
        <f>IF(OR($BJ61="",19&gt;設定!$B$3),"",IF(INDEX(原始資料!V$2:V$501,$BJ61)="","",INDEX(原始資料!V$2:V$501,$BJ61)))</f>
        <v/>
      </c>
      <c r="U61" s="6">
        <f>IF(OR($BJ61="",20&gt;設定!$B$3),"",IF(INDEX(原始資料!W$2:W$501,$BJ61)="","",INDEX(原始資料!W$2:W$501,$BJ61)))</f>
        <v/>
      </c>
      <c r="V61" s="6">
        <f>IF(OR($BJ61="",21&gt;設定!$B$3),"",IF(INDEX(原始資料!X$2:X$501,$BJ61)="","",INDEX(原始資料!X$2:X$501,$BJ61)))</f>
        <v/>
      </c>
      <c r="W61" s="6">
        <f>IF(OR($BJ61="",22&gt;設定!$B$3),"",IF(INDEX(原始資料!Y$2:Y$501,$BJ61)="","",INDEX(原始資料!Y$2:Y$501,$BJ61)))</f>
        <v/>
      </c>
      <c r="X61" s="6">
        <f>IF(OR($BJ61="",23&gt;設定!$B$3),"",IF(INDEX(原始資料!Z$2:Z$501,$BJ61)="","",INDEX(原始資料!Z$2:Z$501,$BJ61)))</f>
        <v/>
      </c>
      <c r="Y61" s="6">
        <f>IF(OR($BJ61="",24&gt;設定!$B$3),"",IF(INDEX(原始資料!AA$2:AA$501,$BJ61)="","",INDEX(原始資料!AA$2:AA$501,$BJ61)))</f>
        <v/>
      </c>
      <c r="Z61" s="6">
        <f>IF(OR($BJ61="",25&gt;設定!$B$3),"",IF(INDEX(原始資料!AB$2:AB$501,$BJ61)="","",INDEX(原始資料!AB$2:AB$501,$BJ61)))</f>
        <v/>
      </c>
      <c r="AA61" s="6">
        <f>IF(OR($BJ61="",26&gt;設定!$B$3),"",IF(INDEX(原始資料!AC$2:AC$501,$BJ61)="","",INDEX(原始資料!AC$2:AC$501,$BJ61)))</f>
        <v/>
      </c>
      <c r="AB61" s="6">
        <f>IF(OR($BJ61="",27&gt;設定!$B$3),"",IF(INDEX(原始資料!AD$2:AD$501,$BJ61)="","",INDEX(原始資料!AD$2:AD$501,$BJ61)))</f>
        <v/>
      </c>
      <c r="AC61" s="6">
        <f>IF(OR($BJ61="",28&gt;設定!$B$3),"",IF(INDEX(原始資料!AE$2:AE$501,$BJ61)="","",INDEX(原始資料!AE$2:AE$501,$BJ61)))</f>
        <v/>
      </c>
      <c r="AD61" s="6">
        <f>IF(OR($BJ61="",29&gt;設定!$B$3),"",IF(INDEX(原始資料!AF$2:AF$501,$BJ61)="","",INDEX(原始資料!AF$2:AF$501,$BJ61)))</f>
        <v/>
      </c>
      <c r="AE61" s="6">
        <f>IF(OR($BJ61="",30&gt;設定!$B$3),"",IF(INDEX(原始資料!AG$2:AG$501,$BJ61)="","",INDEX(原始資料!AG$2:AG$501,$BJ61)))</f>
        <v/>
      </c>
      <c r="AF61" s="6">
        <f>IF(OR($BJ61="",31&gt;設定!$B$3),"",IF(INDEX(原始資料!AH$2:AH$501,$BJ61)="","",INDEX(原始資料!AH$2:AH$501,$BJ61)))</f>
        <v/>
      </c>
      <c r="AG61" s="6">
        <f>IF(OR($BJ61="",32&gt;設定!$B$3),"",IF(INDEX(原始資料!AI$2:AI$501,$BJ61)="","",INDEX(原始資料!AI$2:AI$501,$BJ61)))</f>
        <v/>
      </c>
      <c r="AH61" s="6">
        <f>IF(OR($BJ61="",33&gt;設定!$B$3),"",IF(INDEX(原始資料!AJ$2:AJ$501,$BJ61)="","",INDEX(原始資料!AJ$2:AJ$501,$BJ61)))</f>
        <v/>
      </c>
      <c r="AI61" s="6">
        <f>IF(OR($BJ61="",34&gt;設定!$B$3),"",IF(INDEX(原始資料!AK$2:AK$501,$BJ61)="","",INDEX(原始資料!AK$2:AK$501,$BJ61)))</f>
        <v/>
      </c>
      <c r="AJ61" s="6">
        <f>IF(OR($BJ61="",35&gt;設定!$B$3),"",IF(INDEX(原始資料!AL$2:AL$501,$BJ61)="","",INDEX(原始資料!AL$2:AL$501,$BJ61)))</f>
        <v/>
      </c>
      <c r="AK61" s="6">
        <f>IF(OR($BJ61="",36&gt;設定!$B$3),"",IF(INDEX(原始資料!AM$2:AM$501,$BJ61)="","",INDEX(原始資料!AM$2:AM$501,$BJ61)))</f>
        <v/>
      </c>
      <c r="AL61" s="6">
        <f>IF(OR($BJ61="",37&gt;設定!$B$3),"",IF(INDEX(原始資料!AN$2:AN$501,$BJ61)="","",INDEX(原始資料!AN$2:AN$501,$BJ61)))</f>
        <v/>
      </c>
      <c r="AM61" s="6">
        <f>IF(OR($BJ61="",38&gt;設定!$B$3),"",IF(INDEX(原始資料!AO$2:AO$501,$BJ61)="","",INDEX(原始資料!AO$2:AO$501,$BJ61)))</f>
        <v/>
      </c>
      <c r="AN61" s="6">
        <f>IF(OR($BJ61="",39&gt;設定!$B$3),"",IF(INDEX(原始資料!AP$2:AP$501,$BJ61)="","",INDEX(原始資料!AP$2:AP$501,$BJ61)))</f>
        <v/>
      </c>
      <c r="AO61" s="6">
        <f>IF(OR($BJ61="",40&gt;設定!$B$3),"",IF(INDEX(原始資料!AQ$2:AQ$501,$BJ61)="","",INDEX(原始資料!AQ$2:AQ$501,$BJ61)))</f>
        <v/>
      </c>
      <c r="AP61" s="6">
        <f>IF(OR($BJ61="",41&gt;設定!$B$3),"",IF(INDEX(原始資料!AR$2:AR$501,$BJ61)="","",INDEX(原始資料!AR$2:AR$501,$BJ61)))</f>
        <v/>
      </c>
      <c r="AQ61" s="6">
        <f>IF(OR($BJ61="",42&gt;設定!$B$3),"",IF(INDEX(原始資料!AS$2:AS$501,$BJ61)="","",INDEX(原始資料!AS$2:AS$501,$BJ61)))</f>
        <v/>
      </c>
      <c r="AR61" s="6">
        <f>IF(OR($BJ61="",43&gt;設定!$B$3),"",IF(INDEX(原始資料!AT$2:AT$501,$BJ61)="","",INDEX(原始資料!AT$2:AT$501,$BJ61)))</f>
        <v/>
      </c>
      <c r="AS61" s="6">
        <f>IF(OR($BJ61="",44&gt;設定!$B$3),"",IF(INDEX(原始資料!AU$2:AU$501,$BJ61)="","",INDEX(原始資料!AU$2:AU$501,$BJ61)))</f>
        <v/>
      </c>
      <c r="AT61" s="6">
        <f>IF(OR($BJ61="",45&gt;設定!$B$3),"",IF(INDEX(原始資料!AV$2:AV$501,$BJ61)="","",INDEX(原始資料!AV$2:AV$501,$BJ61)))</f>
        <v/>
      </c>
      <c r="AU61" s="6">
        <f>IF(OR($BJ61="",46&gt;設定!$B$3),"",IF(INDEX(原始資料!AW$2:AW$501,$BJ61)="","",INDEX(原始資料!AW$2:AW$501,$BJ61)))</f>
        <v/>
      </c>
      <c r="AV61" s="6">
        <f>IF(OR($BJ61="",47&gt;設定!$B$3),"",IF(INDEX(原始資料!AX$2:AX$501,$BJ61)="","",INDEX(原始資料!AX$2:AX$501,$BJ61)))</f>
        <v/>
      </c>
      <c r="AW61" s="6">
        <f>IF(OR($BJ61="",48&gt;設定!$B$3),"",IF(INDEX(原始資料!AY$2:AY$501,$BJ61)="","",INDEX(原始資料!AY$2:AY$501,$BJ61)))</f>
        <v/>
      </c>
      <c r="AX61" s="6">
        <f>IF(OR($BJ61="",49&gt;設定!$B$3),"",IF(INDEX(原始資料!AZ$2:AZ$501,$BJ61)="","",INDEX(原始資料!AZ$2:AZ$501,$BJ61)))</f>
        <v/>
      </c>
      <c r="AY61" s="6">
        <f>IF(OR($BJ61="",50&gt;設定!$B$3),"",IF(INDEX(原始資料!BA$2:BA$501,$BJ61)="","",INDEX(原始資料!BA$2:BA$501,$BJ61)))</f>
        <v/>
      </c>
      <c r="AZ61" s="6">
        <f>IF(OR($BJ61="",51&gt;設定!$B$3),"",IF(INDEX(原始資料!BB$2:BB$501,$BJ61)="","",INDEX(原始資料!BB$2:BB$501,$BJ61)))</f>
        <v/>
      </c>
      <c r="BA61" s="6">
        <f>IF(OR($BJ61="",52&gt;設定!$B$3),"",IF(INDEX(原始資料!BC$2:BC$501,$BJ61)="","",INDEX(原始資料!BC$2:BC$501,$BJ61)))</f>
        <v/>
      </c>
      <c r="BB61" s="6">
        <f>IF(OR($BJ61="",53&gt;設定!$B$3),"",IF(INDEX(原始資料!BD$2:BD$501,$BJ61)="","",INDEX(原始資料!BD$2:BD$501,$BJ61)))</f>
        <v/>
      </c>
      <c r="BC61" s="6">
        <f>IF(OR($BJ61="",54&gt;設定!$B$3),"",IF(INDEX(原始資料!BE$2:BE$501,$BJ61)="","",INDEX(原始資料!BE$2:BE$501,$BJ61)))</f>
        <v/>
      </c>
      <c r="BD61" s="6">
        <f>IF(OR($BJ61="",55&gt;設定!$B$3),"",IF(INDEX(原始資料!BF$2:BF$501,$BJ61)="","",INDEX(原始資料!BF$2:BF$501,$BJ61)))</f>
        <v/>
      </c>
      <c r="BE61" s="6">
        <f>IF(OR($BJ61="",56&gt;設定!$B$3),"",IF(INDEX(原始資料!BG$2:BG$501,$BJ61)="","",INDEX(原始資料!BG$2:BG$501,$BJ61)))</f>
        <v/>
      </c>
      <c r="BF61" s="6">
        <f>IF(OR($BJ61="",57&gt;設定!$B$3),"",IF(INDEX(原始資料!BH$2:BH$501,$BJ61)="","",INDEX(原始資料!BH$2:BH$501,$BJ61)))</f>
        <v/>
      </c>
      <c r="BG61" s="6">
        <f>IF(OR($BJ61="",58&gt;設定!$B$3),"",IF(INDEX(原始資料!BI$2:BI$501,$BJ61)="","",INDEX(原始資料!BI$2:BI$501,$BJ61)))</f>
        <v/>
      </c>
      <c r="BH61" s="6">
        <f>IF(OR($BJ61="",59&gt;設定!$B$3),"",IF(INDEX(原始資料!BJ$2:BJ$501,$BJ61)="","",INDEX(原始資料!BJ$2:BJ$501,$BJ61)))</f>
        <v/>
      </c>
      <c r="BI61" s="6">
        <f>IF(OR($BJ61="",60&gt;設定!$B$3),"",IF(INDEX(原始資料!BK$2:BK$501,$BJ61)="","",INDEX(原始資料!BK$2:BK$501,$BJ61)))</f>
        <v/>
      </c>
      <c r="BJ61" s="6">
        <f>IFERROR(MATCH(ROW()-1,判定!$H$2:$H$501,0),"")</f>
        <v/>
      </c>
    </row>
    <row r="62">
      <c r="A62" s="6">
        <f>IF($BJ62="","",INDEX(原始資料!$A$2:$A$501,$BJ62))</f>
        <v/>
      </c>
      <c r="B62" s="6">
        <f>IF(OR($BJ62="",1&gt;設定!$B$3),"",IF(INDEX(原始資料!D$2:D$501,$BJ62)="","",INDEX(原始資料!D$2:D$501,$BJ62)))</f>
        <v/>
      </c>
      <c r="C62" s="6">
        <f>IF(OR($BJ62="",2&gt;設定!$B$3),"",IF(INDEX(原始資料!E$2:E$501,$BJ62)="","",INDEX(原始資料!E$2:E$501,$BJ62)))</f>
        <v/>
      </c>
      <c r="D62" s="6">
        <f>IF(OR($BJ62="",3&gt;設定!$B$3),"",IF(INDEX(原始資料!F$2:F$501,$BJ62)="","",INDEX(原始資料!F$2:F$501,$BJ62)))</f>
        <v/>
      </c>
      <c r="E62" s="6">
        <f>IF(OR($BJ62="",4&gt;設定!$B$3),"",IF(INDEX(原始資料!G$2:G$501,$BJ62)="","",INDEX(原始資料!G$2:G$501,$BJ62)))</f>
        <v/>
      </c>
      <c r="F62" s="6">
        <f>IF(OR($BJ62="",5&gt;設定!$B$3),"",IF(INDEX(原始資料!H$2:H$501,$BJ62)="","",INDEX(原始資料!H$2:H$501,$BJ62)))</f>
        <v/>
      </c>
      <c r="G62" s="6">
        <f>IF(OR($BJ62="",6&gt;設定!$B$3),"",IF(INDEX(原始資料!I$2:I$501,$BJ62)="","",INDEX(原始資料!I$2:I$501,$BJ62)))</f>
        <v/>
      </c>
      <c r="H62" s="6">
        <f>IF(OR($BJ62="",7&gt;設定!$B$3),"",IF(INDEX(原始資料!J$2:J$501,$BJ62)="","",INDEX(原始資料!J$2:J$501,$BJ62)))</f>
        <v/>
      </c>
      <c r="I62" s="6">
        <f>IF(OR($BJ62="",8&gt;設定!$B$3),"",IF(INDEX(原始資料!K$2:K$501,$BJ62)="","",INDEX(原始資料!K$2:K$501,$BJ62)))</f>
        <v/>
      </c>
      <c r="J62" s="6">
        <f>IF(OR($BJ62="",9&gt;設定!$B$3),"",IF(INDEX(原始資料!L$2:L$501,$BJ62)="","",INDEX(原始資料!L$2:L$501,$BJ62)))</f>
        <v/>
      </c>
      <c r="K62" s="6">
        <f>IF(OR($BJ62="",10&gt;設定!$B$3),"",IF(INDEX(原始資料!M$2:M$501,$BJ62)="","",INDEX(原始資料!M$2:M$501,$BJ62)))</f>
        <v/>
      </c>
      <c r="L62" s="6">
        <f>IF(OR($BJ62="",11&gt;設定!$B$3),"",IF(INDEX(原始資料!N$2:N$501,$BJ62)="","",INDEX(原始資料!N$2:N$501,$BJ62)))</f>
        <v/>
      </c>
      <c r="M62" s="6">
        <f>IF(OR($BJ62="",12&gt;設定!$B$3),"",IF(INDEX(原始資料!O$2:O$501,$BJ62)="","",INDEX(原始資料!O$2:O$501,$BJ62)))</f>
        <v/>
      </c>
      <c r="N62" s="6">
        <f>IF(OR($BJ62="",13&gt;設定!$B$3),"",IF(INDEX(原始資料!P$2:P$501,$BJ62)="","",INDEX(原始資料!P$2:P$501,$BJ62)))</f>
        <v/>
      </c>
      <c r="O62" s="6">
        <f>IF(OR($BJ62="",14&gt;設定!$B$3),"",IF(INDEX(原始資料!Q$2:Q$501,$BJ62)="","",INDEX(原始資料!Q$2:Q$501,$BJ62)))</f>
        <v/>
      </c>
      <c r="P62" s="6">
        <f>IF(OR($BJ62="",15&gt;設定!$B$3),"",IF(INDEX(原始資料!R$2:R$501,$BJ62)="","",INDEX(原始資料!R$2:R$501,$BJ62)))</f>
        <v/>
      </c>
      <c r="Q62" s="6">
        <f>IF(OR($BJ62="",16&gt;設定!$B$3),"",IF(INDEX(原始資料!S$2:S$501,$BJ62)="","",INDEX(原始資料!S$2:S$501,$BJ62)))</f>
        <v/>
      </c>
      <c r="R62" s="6">
        <f>IF(OR($BJ62="",17&gt;設定!$B$3),"",IF(INDEX(原始資料!T$2:T$501,$BJ62)="","",INDEX(原始資料!T$2:T$501,$BJ62)))</f>
        <v/>
      </c>
      <c r="S62" s="6">
        <f>IF(OR($BJ62="",18&gt;設定!$B$3),"",IF(INDEX(原始資料!U$2:U$501,$BJ62)="","",INDEX(原始資料!U$2:U$501,$BJ62)))</f>
        <v/>
      </c>
      <c r="T62" s="6">
        <f>IF(OR($BJ62="",19&gt;設定!$B$3),"",IF(INDEX(原始資料!V$2:V$501,$BJ62)="","",INDEX(原始資料!V$2:V$501,$BJ62)))</f>
        <v/>
      </c>
      <c r="U62" s="6">
        <f>IF(OR($BJ62="",20&gt;設定!$B$3),"",IF(INDEX(原始資料!W$2:W$501,$BJ62)="","",INDEX(原始資料!W$2:W$501,$BJ62)))</f>
        <v/>
      </c>
      <c r="V62" s="6">
        <f>IF(OR($BJ62="",21&gt;設定!$B$3),"",IF(INDEX(原始資料!X$2:X$501,$BJ62)="","",INDEX(原始資料!X$2:X$501,$BJ62)))</f>
        <v/>
      </c>
      <c r="W62" s="6">
        <f>IF(OR($BJ62="",22&gt;設定!$B$3),"",IF(INDEX(原始資料!Y$2:Y$501,$BJ62)="","",INDEX(原始資料!Y$2:Y$501,$BJ62)))</f>
        <v/>
      </c>
      <c r="X62" s="6">
        <f>IF(OR($BJ62="",23&gt;設定!$B$3),"",IF(INDEX(原始資料!Z$2:Z$501,$BJ62)="","",INDEX(原始資料!Z$2:Z$501,$BJ62)))</f>
        <v/>
      </c>
      <c r="Y62" s="6">
        <f>IF(OR($BJ62="",24&gt;設定!$B$3),"",IF(INDEX(原始資料!AA$2:AA$501,$BJ62)="","",INDEX(原始資料!AA$2:AA$501,$BJ62)))</f>
        <v/>
      </c>
      <c r="Z62" s="6">
        <f>IF(OR($BJ62="",25&gt;設定!$B$3),"",IF(INDEX(原始資料!AB$2:AB$501,$BJ62)="","",INDEX(原始資料!AB$2:AB$501,$BJ62)))</f>
        <v/>
      </c>
      <c r="AA62" s="6">
        <f>IF(OR($BJ62="",26&gt;設定!$B$3),"",IF(INDEX(原始資料!AC$2:AC$501,$BJ62)="","",INDEX(原始資料!AC$2:AC$501,$BJ62)))</f>
        <v/>
      </c>
      <c r="AB62" s="6">
        <f>IF(OR($BJ62="",27&gt;設定!$B$3),"",IF(INDEX(原始資料!AD$2:AD$501,$BJ62)="","",INDEX(原始資料!AD$2:AD$501,$BJ62)))</f>
        <v/>
      </c>
      <c r="AC62" s="6">
        <f>IF(OR($BJ62="",28&gt;設定!$B$3),"",IF(INDEX(原始資料!AE$2:AE$501,$BJ62)="","",INDEX(原始資料!AE$2:AE$501,$BJ62)))</f>
        <v/>
      </c>
      <c r="AD62" s="6">
        <f>IF(OR($BJ62="",29&gt;設定!$B$3),"",IF(INDEX(原始資料!AF$2:AF$501,$BJ62)="","",INDEX(原始資料!AF$2:AF$501,$BJ62)))</f>
        <v/>
      </c>
      <c r="AE62" s="6">
        <f>IF(OR($BJ62="",30&gt;設定!$B$3),"",IF(INDEX(原始資料!AG$2:AG$501,$BJ62)="","",INDEX(原始資料!AG$2:AG$501,$BJ62)))</f>
        <v/>
      </c>
      <c r="AF62" s="6">
        <f>IF(OR($BJ62="",31&gt;設定!$B$3),"",IF(INDEX(原始資料!AH$2:AH$501,$BJ62)="","",INDEX(原始資料!AH$2:AH$501,$BJ62)))</f>
        <v/>
      </c>
      <c r="AG62" s="6">
        <f>IF(OR($BJ62="",32&gt;設定!$B$3),"",IF(INDEX(原始資料!AI$2:AI$501,$BJ62)="","",INDEX(原始資料!AI$2:AI$501,$BJ62)))</f>
        <v/>
      </c>
      <c r="AH62" s="6">
        <f>IF(OR($BJ62="",33&gt;設定!$B$3),"",IF(INDEX(原始資料!AJ$2:AJ$501,$BJ62)="","",INDEX(原始資料!AJ$2:AJ$501,$BJ62)))</f>
        <v/>
      </c>
      <c r="AI62" s="6">
        <f>IF(OR($BJ62="",34&gt;設定!$B$3),"",IF(INDEX(原始資料!AK$2:AK$501,$BJ62)="","",INDEX(原始資料!AK$2:AK$501,$BJ62)))</f>
        <v/>
      </c>
      <c r="AJ62" s="6">
        <f>IF(OR($BJ62="",35&gt;設定!$B$3),"",IF(INDEX(原始資料!AL$2:AL$501,$BJ62)="","",INDEX(原始資料!AL$2:AL$501,$BJ62)))</f>
        <v/>
      </c>
      <c r="AK62" s="6">
        <f>IF(OR($BJ62="",36&gt;設定!$B$3),"",IF(INDEX(原始資料!AM$2:AM$501,$BJ62)="","",INDEX(原始資料!AM$2:AM$501,$BJ62)))</f>
        <v/>
      </c>
      <c r="AL62" s="6">
        <f>IF(OR($BJ62="",37&gt;設定!$B$3),"",IF(INDEX(原始資料!AN$2:AN$501,$BJ62)="","",INDEX(原始資料!AN$2:AN$501,$BJ62)))</f>
        <v/>
      </c>
      <c r="AM62" s="6">
        <f>IF(OR($BJ62="",38&gt;設定!$B$3),"",IF(INDEX(原始資料!AO$2:AO$501,$BJ62)="","",INDEX(原始資料!AO$2:AO$501,$BJ62)))</f>
        <v/>
      </c>
      <c r="AN62" s="6">
        <f>IF(OR($BJ62="",39&gt;設定!$B$3),"",IF(INDEX(原始資料!AP$2:AP$501,$BJ62)="","",INDEX(原始資料!AP$2:AP$501,$BJ62)))</f>
        <v/>
      </c>
      <c r="AO62" s="6">
        <f>IF(OR($BJ62="",40&gt;設定!$B$3),"",IF(INDEX(原始資料!AQ$2:AQ$501,$BJ62)="","",INDEX(原始資料!AQ$2:AQ$501,$BJ62)))</f>
        <v/>
      </c>
      <c r="AP62" s="6">
        <f>IF(OR($BJ62="",41&gt;設定!$B$3),"",IF(INDEX(原始資料!AR$2:AR$501,$BJ62)="","",INDEX(原始資料!AR$2:AR$501,$BJ62)))</f>
        <v/>
      </c>
      <c r="AQ62" s="6">
        <f>IF(OR($BJ62="",42&gt;設定!$B$3),"",IF(INDEX(原始資料!AS$2:AS$501,$BJ62)="","",INDEX(原始資料!AS$2:AS$501,$BJ62)))</f>
        <v/>
      </c>
      <c r="AR62" s="6">
        <f>IF(OR($BJ62="",43&gt;設定!$B$3),"",IF(INDEX(原始資料!AT$2:AT$501,$BJ62)="","",INDEX(原始資料!AT$2:AT$501,$BJ62)))</f>
        <v/>
      </c>
      <c r="AS62" s="6">
        <f>IF(OR($BJ62="",44&gt;設定!$B$3),"",IF(INDEX(原始資料!AU$2:AU$501,$BJ62)="","",INDEX(原始資料!AU$2:AU$501,$BJ62)))</f>
        <v/>
      </c>
      <c r="AT62" s="6">
        <f>IF(OR($BJ62="",45&gt;設定!$B$3),"",IF(INDEX(原始資料!AV$2:AV$501,$BJ62)="","",INDEX(原始資料!AV$2:AV$501,$BJ62)))</f>
        <v/>
      </c>
      <c r="AU62" s="6">
        <f>IF(OR($BJ62="",46&gt;設定!$B$3),"",IF(INDEX(原始資料!AW$2:AW$501,$BJ62)="","",INDEX(原始資料!AW$2:AW$501,$BJ62)))</f>
        <v/>
      </c>
      <c r="AV62" s="6">
        <f>IF(OR($BJ62="",47&gt;設定!$B$3),"",IF(INDEX(原始資料!AX$2:AX$501,$BJ62)="","",INDEX(原始資料!AX$2:AX$501,$BJ62)))</f>
        <v/>
      </c>
      <c r="AW62" s="6">
        <f>IF(OR($BJ62="",48&gt;設定!$B$3),"",IF(INDEX(原始資料!AY$2:AY$501,$BJ62)="","",INDEX(原始資料!AY$2:AY$501,$BJ62)))</f>
        <v/>
      </c>
      <c r="AX62" s="6">
        <f>IF(OR($BJ62="",49&gt;設定!$B$3),"",IF(INDEX(原始資料!AZ$2:AZ$501,$BJ62)="","",INDEX(原始資料!AZ$2:AZ$501,$BJ62)))</f>
        <v/>
      </c>
      <c r="AY62" s="6">
        <f>IF(OR($BJ62="",50&gt;設定!$B$3),"",IF(INDEX(原始資料!BA$2:BA$501,$BJ62)="","",INDEX(原始資料!BA$2:BA$501,$BJ62)))</f>
        <v/>
      </c>
      <c r="AZ62" s="6">
        <f>IF(OR($BJ62="",51&gt;設定!$B$3),"",IF(INDEX(原始資料!BB$2:BB$501,$BJ62)="","",INDEX(原始資料!BB$2:BB$501,$BJ62)))</f>
        <v/>
      </c>
      <c r="BA62" s="6">
        <f>IF(OR($BJ62="",52&gt;設定!$B$3),"",IF(INDEX(原始資料!BC$2:BC$501,$BJ62)="","",INDEX(原始資料!BC$2:BC$501,$BJ62)))</f>
        <v/>
      </c>
      <c r="BB62" s="6">
        <f>IF(OR($BJ62="",53&gt;設定!$B$3),"",IF(INDEX(原始資料!BD$2:BD$501,$BJ62)="","",INDEX(原始資料!BD$2:BD$501,$BJ62)))</f>
        <v/>
      </c>
      <c r="BC62" s="6">
        <f>IF(OR($BJ62="",54&gt;設定!$B$3),"",IF(INDEX(原始資料!BE$2:BE$501,$BJ62)="","",INDEX(原始資料!BE$2:BE$501,$BJ62)))</f>
        <v/>
      </c>
      <c r="BD62" s="6">
        <f>IF(OR($BJ62="",55&gt;設定!$B$3),"",IF(INDEX(原始資料!BF$2:BF$501,$BJ62)="","",INDEX(原始資料!BF$2:BF$501,$BJ62)))</f>
        <v/>
      </c>
      <c r="BE62" s="6">
        <f>IF(OR($BJ62="",56&gt;設定!$B$3),"",IF(INDEX(原始資料!BG$2:BG$501,$BJ62)="","",INDEX(原始資料!BG$2:BG$501,$BJ62)))</f>
        <v/>
      </c>
      <c r="BF62" s="6">
        <f>IF(OR($BJ62="",57&gt;設定!$B$3),"",IF(INDEX(原始資料!BH$2:BH$501,$BJ62)="","",INDEX(原始資料!BH$2:BH$501,$BJ62)))</f>
        <v/>
      </c>
      <c r="BG62" s="6">
        <f>IF(OR($BJ62="",58&gt;設定!$B$3),"",IF(INDEX(原始資料!BI$2:BI$501,$BJ62)="","",INDEX(原始資料!BI$2:BI$501,$BJ62)))</f>
        <v/>
      </c>
      <c r="BH62" s="6">
        <f>IF(OR($BJ62="",59&gt;設定!$B$3),"",IF(INDEX(原始資料!BJ$2:BJ$501,$BJ62)="","",INDEX(原始資料!BJ$2:BJ$501,$BJ62)))</f>
        <v/>
      </c>
      <c r="BI62" s="6">
        <f>IF(OR($BJ62="",60&gt;設定!$B$3),"",IF(INDEX(原始資料!BK$2:BK$501,$BJ62)="","",INDEX(原始資料!BK$2:BK$501,$BJ62)))</f>
        <v/>
      </c>
      <c r="BJ62" s="6">
        <f>IFERROR(MATCH(ROW()-1,判定!$H$2:$H$501,0),"")</f>
        <v/>
      </c>
    </row>
    <row r="63">
      <c r="A63" s="6">
        <f>IF($BJ63="","",INDEX(原始資料!$A$2:$A$501,$BJ63))</f>
        <v/>
      </c>
      <c r="B63" s="6">
        <f>IF(OR($BJ63="",1&gt;設定!$B$3),"",IF(INDEX(原始資料!D$2:D$501,$BJ63)="","",INDEX(原始資料!D$2:D$501,$BJ63)))</f>
        <v/>
      </c>
      <c r="C63" s="6">
        <f>IF(OR($BJ63="",2&gt;設定!$B$3),"",IF(INDEX(原始資料!E$2:E$501,$BJ63)="","",INDEX(原始資料!E$2:E$501,$BJ63)))</f>
        <v/>
      </c>
      <c r="D63" s="6">
        <f>IF(OR($BJ63="",3&gt;設定!$B$3),"",IF(INDEX(原始資料!F$2:F$501,$BJ63)="","",INDEX(原始資料!F$2:F$501,$BJ63)))</f>
        <v/>
      </c>
      <c r="E63" s="6">
        <f>IF(OR($BJ63="",4&gt;設定!$B$3),"",IF(INDEX(原始資料!G$2:G$501,$BJ63)="","",INDEX(原始資料!G$2:G$501,$BJ63)))</f>
        <v/>
      </c>
      <c r="F63" s="6">
        <f>IF(OR($BJ63="",5&gt;設定!$B$3),"",IF(INDEX(原始資料!H$2:H$501,$BJ63)="","",INDEX(原始資料!H$2:H$501,$BJ63)))</f>
        <v/>
      </c>
      <c r="G63" s="6">
        <f>IF(OR($BJ63="",6&gt;設定!$B$3),"",IF(INDEX(原始資料!I$2:I$501,$BJ63)="","",INDEX(原始資料!I$2:I$501,$BJ63)))</f>
        <v/>
      </c>
      <c r="H63" s="6">
        <f>IF(OR($BJ63="",7&gt;設定!$B$3),"",IF(INDEX(原始資料!J$2:J$501,$BJ63)="","",INDEX(原始資料!J$2:J$501,$BJ63)))</f>
        <v/>
      </c>
      <c r="I63" s="6">
        <f>IF(OR($BJ63="",8&gt;設定!$B$3),"",IF(INDEX(原始資料!K$2:K$501,$BJ63)="","",INDEX(原始資料!K$2:K$501,$BJ63)))</f>
        <v/>
      </c>
      <c r="J63" s="6">
        <f>IF(OR($BJ63="",9&gt;設定!$B$3),"",IF(INDEX(原始資料!L$2:L$501,$BJ63)="","",INDEX(原始資料!L$2:L$501,$BJ63)))</f>
        <v/>
      </c>
      <c r="K63" s="6">
        <f>IF(OR($BJ63="",10&gt;設定!$B$3),"",IF(INDEX(原始資料!M$2:M$501,$BJ63)="","",INDEX(原始資料!M$2:M$501,$BJ63)))</f>
        <v/>
      </c>
      <c r="L63" s="6">
        <f>IF(OR($BJ63="",11&gt;設定!$B$3),"",IF(INDEX(原始資料!N$2:N$501,$BJ63)="","",INDEX(原始資料!N$2:N$501,$BJ63)))</f>
        <v/>
      </c>
      <c r="M63" s="6">
        <f>IF(OR($BJ63="",12&gt;設定!$B$3),"",IF(INDEX(原始資料!O$2:O$501,$BJ63)="","",INDEX(原始資料!O$2:O$501,$BJ63)))</f>
        <v/>
      </c>
      <c r="N63" s="6">
        <f>IF(OR($BJ63="",13&gt;設定!$B$3),"",IF(INDEX(原始資料!P$2:P$501,$BJ63)="","",INDEX(原始資料!P$2:P$501,$BJ63)))</f>
        <v/>
      </c>
      <c r="O63" s="6">
        <f>IF(OR($BJ63="",14&gt;設定!$B$3),"",IF(INDEX(原始資料!Q$2:Q$501,$BJ63)="","",INDEX(原始資料!Q$2:Q$501,$BJ63)))</f>
        <v/>
      </c>
      <c r="P63" s="6">
        <f>IF(OR($BJ63="",15&gt;設定!$B$3),"",IF(INDEX(原始資料!R$2:R$501,$BJ63)="","",INDEX(原始資料!R$2:R$501,$BJ63)))</f>
        <v/>
      </c>
      <c r="Q63" s="6">
        <f>IF(OR($BJ63="",16&gt;設定!$B$3),"",IF(INDEX(原始資料!S$2:S$501,$BJ63)="","",INDEX(原始資料!S$2:S$501,$BJ63)))</f>
        <v/>
      </c>
      <c r="R63" s="6">
        <f>IF(OR($BJ63="",17&gt;設定!$B$3),"",IF(INDEX(原始資料!T$2:T$501,$BJ63)="","",INDEX(原始資料!T$2:T$501,$BJ63)))</f>
        <v/>
      </c>
      <c r="S63" s="6">
        <f>IF(OR($BJ63="",18&gt;設定!$B$3),"",IF(INDEX(原始資料!U$2:U$501,$BJ63)="","",INDEX(原始資料!U$2:U$501,$BJ63)))</f>
        <v/>
      </c>
      <c r="T63" s="6">
        <f>IF(OR($BJ63="",19&gt;設定!$B$3),"",IF(INDEX(原始資料!V$2:V$501,$BJ63)="","",INDEX(原始資料!V$2:V$501,$BJ63)))</f>
        <v/>
      </c>
      <c r="U63" s="6">
        <f>IF(OR($BJ63="",20&gt;設定!$B$3),"",IF(INDEX(原始資料!W$2:W$501,$BJ63)="","",INDEX(原始資料!W$2:W$501,$BJ63)))</f>
        <v/>
      </c>
      <c r="V63" s="6">
        <f>IF(OR($BJ63="",21&gt;設定!$B$3),"",IF(INDEX(原始資料!X$2:X$501,$BJ63)="","",INDEX(原始資料!X$2:X$501,$BJ63)))</f>
        <v/>
      </c>
      <c r="W63" s="6">
        <f>IF(OR($BJ63="",22&gt;設定!$B$3),"",IF(INDEX(原始資料!Y$2:Y$501,$BJ63)="","",INDEX(原始資料!Y$2:Y$501,$BJ63)))</f>
        <v/>
      </c>
      <c r="X63" s="6">
        <f>IF(OR($BJ63="",23&gt;設定!$B$3),"",IF(INDEX(原始資料!Z$2:Z$501,$BJ63)="","",INDEX(原始資料!Z$2:Z$501,$BJ63)))</f>
        <v/>
      </c>
      <c r="Y63" s="6">
        <f>IF(OR($BJ63="",24&gt;設定!$B$3),"",IF(INDEX(原始資料!AA$2:AA$501,$BJ63)="","",INDEX(原始資料!AA$2:AA$501,$BJ63)))</f>
        <v/>
      </c>
      <c r="Z63" s="6">
        <f>IF(OR($BJ63="",25&gt;設定!$B$3),"",IF(INDEX(原始資料!AB$2:AB$501,$BJ63)="","",INDEX(原始資料!AB$2:AB$501,$BJ63)))</f>
        <v/>
      </c>
      <c r="AA63" s="6">
        <f>IF(OR($BJ63="",26&gt;設定!$B$3),"",IF(INDEX(原始資料!AC$2:AC$501,$BJ63)="","",INDEX(原始資料!AC$2:AC$501,$BJ63)))</f>
        <v/>
      </c>
      <c r="AB63" s="6">
        <f>IF(OR($BJ63="",27&gt;設定!$B$3),"",IF(INDEX(原始資料!AD$2:AD$501,$BJ63)="","",INDEX(原始資料!AD$2:AD$501,$BJ63)))</f>
        <v/>
      </c>
      <c r="AC63" s="6">
        <f>IF(OR($BJ63="",28&gt;設定!$B$3),"",IF(INDEX(原始資料!AE$2:AE$501,$BJ63)="","",INDEX(原始資料!AE$2:AE$501,$BJ63)))</f>
        <v/>
      </c>
      <c r="AD63" s="6">
        <f>IF(OR($BJ63="",29&gt;設定!$B$3),"",IF(INDEX(原始資料!AF$2:AF$501,$BJ63)="","",INDEX(原始資料!AF$2:AF$501,$BJ63)))</f>
        <v/>
      </c>
      <c r="AE63" s="6">
        <f>IF(OR($BJ63="",30&gt;設定!$B$3),"",IF(INDEX(原始資料!AG$2:AG$501,$BJ63)="","",INDEX(原始資料!AG$2:AG$501,$BJ63)))</f>
        <v/>
      </c>
      <c r="AF63" s="6">
        <f>IF(OR($BJ63="",31&gt;設定!$B$3),"",IF(INDEX(原始資料!AH$2:AH$501,$BJ63)="","",INDEX(原始資料!AH$2:AH$501,$BJ63)))</f>
        <v/>
      </c>
      <c r="AG63" s="6">
        <f>IF(OR($BJ63="",32&gt;設定!$B$3),"",IF(INDEX(原始資料!AI$2:AI$501,$BJ63)="","",INDEX(原始資料!AI$2:AI$501,$BJ63)))</f>
        <v/>
      </c>
      <c r="AH63" s="6">
        <f>IF(OR($BJ63="",33&gt;設定!$B$3),"",IF(INDEX(原始資料!AJ$2:AJ$501,$BJ63)="","",INDEX(原始資料!AJ$2:AJ$501,$BJ63)))</f>
        <v/>
      </c>
      <c r="AI63" s="6">
        <f>IF(OR($BJ63="",34&gt;設定!$B$3),"",IF(INDEX(原始資料!AK$2:AK$501,$BJ63)="","",INDEX(原始資料!AK$2:AK$501,$BJ63)))</f>
        <v/>
      </c>
      <c r="AJ63" s="6">
        <f>IF(OR($BJ63="",35&gt;設定!$B$3),"",IF(INDEX(原始資料!AL$2:AL$501,$BJ63)="","",INDEX(原始資料!AL$2:AL$501,$BJ63)))</f>
        <v/>
      </c>
      <c r="AK63" s="6">
        <f>IF(OR($BJ63="",36&gt;設定!$B$3),"",IF(INDEX(原始資料!AM$2:AM$501,$BJ63)="","",INDEX(原始資料!AM$2:AM$501,$BJ63)))</f>
        <v/>
      </c>
      <c r="AL63" s="6">
        <f>IF(OR($BJ63="",37&gt;設定!$B$3),"",IF(INDEX(原始資料!AN$2:AN$501,$BJ63)="","",INDEX(原始資料!AN$2:AN$501,$BJ63)))</f>
        <v/>
      </c>
      <c r="AM63" s="6">
        <f>IF(OR($BJ63="",38&gt;設定!$B$3),"",IF(INDEX(原始資料!AO$2:AO$501,$BJ63)="","",INDEX(原始資料!AO$2:AO$501,$BJ63)))</f>
        <v/>
      </c>
      <c r="AN63" s="6">
        <f>IF(OR($BJ63="",39&gt;設定!$B$3),"",IF(INDEX(原始資料!AP$2:AP$501,$BJ63)="","",INDEX(原始資料!AP$2:AP$501,$BJ63)))</f>
        <v/>
      </c>
      <c r="AO63" s="6">
        <f>IF(OR($BJ63="",40&gt;設定!$B$3),"",IF(INDEX(原始資料!AQ$2:AQ$501,$BJ63)="","",INDEX(原始資料!AQ$2:AQ$501,$BJ63)))</f>
        <v/>
      </c>
      <c r="AP63" s="6">
        <f>IF(OR($BJ63="",41&gt;設定!$B$3),"",IF(INDEX(原始資料!AR$2:AR$501,$BJ63)="","",INDEX(原始資料!AR$2:AR$501,$BJ63)))</f>
        <v/>
      </c>
      <c r="AQ63" s="6">
        <f>IF(OR($BJ63="",42&gt;設定!$B$3),"",IF(INDEX(原始資料!AS$2:AS$501,$BJ63)="","",INDEX(原始資料!AS$2:AS$501,$BJ63)))</f>
        <v/>
      </c>
      <c r="AR63" s="6">
        <f>IF(OR($BJ63="",43&gt;設定!$B$3),"",IF(INDEX(原始資料!AT$2:AT$501,$BJ63)="","",INDEX(原始資料!AT$2:AT$501,$BJ63)))</f>
        <v/>
      </c>
      <c r="AS63" s="6">
        <f>IF(OR($BJ63="",44&gt;設定!$B$3),"",IF(INDEX(原始資料!AU$2:AU$501,$BJ63)="","",INDEX(原始資料!AU$2:AU$501,$BJ63)))</f>
        <v/>
      </c>
      <c r="AT63" s="6">
        <f>IF(OR($BJ63="",45&gt;設定!$B$3),"",IF(INDEX(原始資料!AV$2:AV$501,$BJ63)="","",INDEX(原始資料!AV$2:AV$501,$BJ63)))</f>
        <v/>
      </c>
      <c r="AU63" s="6">
        <f>IF(OR($BJ63="",46&gt;設定!$B$3),"",IF(INDEX(原始資料!AW$2:AW$501,$BJ63)="","",INDEX(原始資料!AW$2:AW$501,$BJ63)))</f>
        <v/>
      </c>
      <c r="AV63" s="6">
        <f>IF(OR($BJ63="",47&gt;設定!$B$3),"",IF(INDEX(原始資料!AX$2:AX$501,$BJ63)="","",INDEX(原始資料!AX$2:AX$501,$BJ63)))</f>
        <v/>
      </c>
      <c r="AW63" s="6">
        <f>IF(OR($BJ63="",48&gt;設定!$B$3),"",IF(INDEX(原始資料!AY$2:AY$501,$BJ63)="","",INDEX(原始資料!AY$2:AY$501,$BJ63)))</f>
        <v/>
      </c>
      <c r="AX63" s="6">
        <f>IF(OR($BJ63="",49&gt;設定!$B$3),"",IF(INDEX(原始資料!AZ$2:AZ$501,$BJ63)="","",INDEX(原始資料!AZ$2:AZ$501,$BJ63)))</f>
        <v/>
      </c>
      <c r="AY63" s="6">
        <f>IF(OR($BJ63="",50&gt;設定!$B$3),"",IF(INDEX(原始資料!BA$2:BA$501,$BJ63)="","",INDEX(原始資料!BA$2:BA$501,$BJ63)))</f>
        <v/>
      </c>
      <c r="AZ63" s="6">
        <f>IF(OR($BJ63="",51&gt;設定!$B$3),"",IF(INDEX(原始資料!BB$2:BB$501,$BJ63)="","",INDEX(原始資料!BB$2:BB$501,$BJ63)))</f>
        <v/>
      </c>
      <c r="BA63" s="6">
        <f>IF(OR($BJ63="",52&gt;設定!$B$3),"",IF(INDEX(原始資料!BC$2:BC$501,$BJ63)="","",INDEX(原始資料!BC$2:BC$501,$BJ63)))</f>
        <v/>
      </c>
      <c r="BB63" s="6">
        <f>IF(OR($BJ63="",53&gt;設定!$B$3),"",IF(INDEX(原始資料!BD$2:BD$501,$BJ63)="","",INDEX(原始資料!BD$2:BD$501,$BJ63)))</f>
        <v/>
      </c>
      <c r="BC63" s="6">
        <f>IF(OR($BJ63="",54&gt;設定!$B$3),"",IF(INDEX(原始資料!BE$2:BE$501,$BJ63)="","",INDEX(原始資料!BE$2:BE$501,$BJ63)))</f>
        <v/>
      </c>
      <c r="BD63" s="6">
        <f>IF(OR($BJ63="",55&gt;設定!$B$3),"",IF(INDEX(原始資料!BF$2:BF$501,$BJ63)="","",INDEX(原始資料!BF$2:BF$501,$BJ63)))</f>
        <v/>
      </c>
      <c r="BE63" s="6">
        <f>IF(OR($BJ63="",56&gt;設定!$B$3),"",IF(INDEX(原始資料!BG$2:BG$501,$BJ63)="","",INDEX(原始資料!BG$2:BG$501,$BJ63)))</f>
        <v/>
      </c>
      <c r="BF63" s="6">
        <f>IF(OR($BJ63="",57&gt;設定!$B$3),"",IF(INDEX(原始資料!BH$2:BH$501,$BJ63)="","",INDEX(原始資料!BH$2:BH$501,$BJ63)))</f>
        <v/>
      </c>
      <c r="BG63" s="6">
        <f>IF(OR($BJ63="",58&gt;設定!$B$3),"",IF(INDEX(原始資料!BI$2:BI$501,$BJ63)="","",INDEX(原始資料!BI$2:BI$501,$BJ63)))</f>
        <v/>
      </c>
      <c r="BH63" s="6">
        <f>IF(OR($BJ63="",59&gt;設定!$B$3),"",IF(INDEX(原始資料!BJ$2:BJ$501,$BJ63)="","",INDEX(原始資料!BJ$2:BJ$501,$BJ63)))</f>
        <v/>
      </c>
      <c r="BI63" s="6">
        <f>IF(OR($BJ63="",60&gt;設定!$B$3),"",IF(INDEX(原始資料!BK$2:BK$501,$BJ63)="","",INDEX(原始資料!BK$2:BK$501,$BJ63)))</f>
        <v/>
      </c>
      <c r="BJ63" s="6">
        <f>IFERROR(MATCH(ROW()-1,判定!$H$2:$H$501,0),"")</f>
        <v/>
      </c>
    </row>
    <row r="64">
      <c r="A64" s="6">
        <f>IF($BJ64="","",INDEX(原始資料!$A$2:$A$501,$BJ64))</f>
        <v/>
      </c>
      <c r="B64" s="6">
        <f>IF(OR($BJ64="",1&gt;設定!$B$3),"",IF(INDEX(原始資料!D$2:D$501,$BJ64)="","",INDEX(原始資料!D$2:D$501,$BJ64)))</f>
        <v/>
      </c>
      <c r="C64" s="6">
        <f>IF(OR($BJ64="",2&gt;設定!$B$3),"",IF(INDEX(原始資料!E$2:E$501,$BJ64)="","",INDEX(原始資料!E$2:E$501,$BJ64)))</f>
        <v/>
      </c>
      <c r="D64" s="6">
        <f>IF(OR($BJ64="",3&gt;設定!$B$3),"",IF(INDEX(原始資料!F$2:F$501,$BJ64)="","",INDEX(原始資料!F$2:F$501,$BJ64)))</f>
        <v/>
      </c>
      <c r="E64" s="6">
        <f>IF(OR($BJ64="",4&gt;設定!$B$3),"",IF(INDEX(原始資料!G$2:G$501,$BJ64)="","",INDEX(原始資料!G$2:G$501,$BJ64)))</f>
        <v/>
      </c>
      <c r="F64" s="6">
        <f>IF(OR($BJ64="",5&gt;設定!$B$3),"",IF(INDEX(原始資料!H$2:H$501,$BJ64)="","",INDEX(原始資料!H$2:H$501,$BJ64)))</f>
        <v/>
      </c>
      <c r="G64" s="6">
        <f>IF(OR($BJ64="",6&gt;設定!$B$3),"",IF(INDEX(原始資料!I$2:I$501,$BJ64)="","",INDEX(原始資料!I$2:I$501,$BJ64)))</f>
        <v/>
      </c>
      <c r="H64" s="6">
        <f>IF(OR($BJ64="",7&gt;設定!$B$3),"",IF(INDEX(原始資料!J$2:J$501,$BJ64)="","",INDEX(原始資料!J$2:J$501,$BJ64)))</f>
        <v/>
      </c>
      <c r="I64" s="6">
        <f>IF(OR($BJ64="",8&gt;設定!$B$3),"",IF(INDEX(原始資料!K$2:K$501,$BJ64)="","",INDEX(原始資料!K$2:K$501,$BJ64)))</f>
        <v/>
      </c>
      <c r="J64" s="6">
        <f>IF(OR($BJ64="",9&gt;設定!$B$3),"",IF(INDEX(原始資料!L$2:L$501,$BJ64)="","",INDEX(原始資料!L$2:L$501,$BJ64)))</f>
        <v/>
      </c>
      <c r="K64" s="6">
        <f>IF(OR($BJ64="",10&gt;設定!$B$3),"",IF(INDEX(原始資料!M$2:M$501,$BJ64)="","",INDEX(原始資料!M$2:M$501,$BJ64)))</f>
        <v/>
      </c>
      <c r="L64" s="6">
        <f>IF(OR($BJ64="",11&gt;設定!$B$3),"",IF(INDEX(原始資料!N$2:N$501,$BJ64)="","",INDEX(原始資料!N$2:N$501,$BJ64)))</f>
        <v/>
      </c>
      <c r="M64" s="6">
        <f>IF(OR($BJ64="",12&gt;設定!$B$3),"",IF(INDEX(原始資料!O$2:O$501,$BJ64)="","",INDEX(原始資料!O$2:O$501,$BJ64)))</f>
        <v/>
      </c>
      <c r="N64" s="6">
        <f>IF(OR($BJ64="",13&gt;設定!$B$3),"",IF(INDEX(原始資料!P$2:P$501,$BJ64)="","",INDEX(原始資料!P$2:P$501,$BJ64)))</f>
        <v/>
      </c>
      <c r="O64" s="6">
        <f>IF(OR($BJ64="",14&gt;設定!$B$3),"",IF(INDEX(原始資料!Q$2:Q$501,$BJ64)="","",INDEX(原始資料!Q$2:Q$501,$BJ64)))</f>
        <v/>
      </c>
      <c r="P64" s="6">
        <f>IF(OR($BJ64="",15&gt;設定!$B$3),"",IF(INDEX(原始資料!R$2:R$501,$BJ64)="","",INDEX(原始資料!R$2:R$501,$BJ64)))</f>
        <v/>
      </c>
      <c r="Q64" s="6">
        <f>IF(OR($BJ64="",16&gt;設定!$B$3),"",IF(INDEX(原始資料!S$2:S$501,$BJ64)="","",INDEX(原始資料!S$2:S$501,$BJ64)))</f>
        <v/>
      </c>
      <c r="R64" s="6">
        <f>IF(OR($BJ64="",17&gt;設定!$B$3),"",IF(INDEX(原始資料!T$2:T$501,$BJ64)="","",INDEX(原始資料!T$2:T$501,$BJ64)))</f>
        <v/>
      </c>
      <c r="S64" s="6">
        <f>IF(OR($BJ64="",18&gt;設定!$B$3),"",IF(INDEX(原始資料!U$2:U$501,$BJ64)="","",INDEX(原始資料!U$2:U$501,$BJ64)))</f>
        <v/>
      </c>
      <c r="T64" s="6">
        <f>IF(OR($BJ64="",19&gt;設定!$B$3),"",IF(INDEX(原始資料!V$2:V$501,$BJ64)="","",INDEX(原始資料!V$2:V$501,$BJ64)))</f>
        <v/>
      </c>
      <c r="U64" s="6">
        <f>IF(OR($BJ64="",20&gt;設定!$B$3),"",IF(INDEX(原始資料!W$2:W$501,$BJ64)="","",INDEX(原始資料!W$2:W$501,$BJ64)))</f>
        <v/>
      </c>
      <c r="V64" s="6">
        <f>IF(OR($BJ64="",21&gt;設定!$B$3),"",IF(INDEX(原始資料!X$2:X$501,$BJ64)="","",INDEX(原始資料!X$2:X$501,$BJ64)))</f>
        <v/>
      </c>
      <c r="W64" s="6">
        <f>IF(OR($BJ64="",22&gt;設定!$B$3),"",IF(INDEX(原始資料!Y$2:Y$501,$BJ64)="","",INDEX(原始資料!Y$2:Y$501,$BJ64)))</f>
        <v/>
      </c>
      <c r="X64" s="6">
        <f>IF(OR($BJ64="",23&gt;設定!$B$3),"",IF(INDEX(原始資料!Z$2:Z$501,$BJ64)="","",INDEX(原始資料!Z$2:Z$501,$BJ64)))</f>
        <v/>
      </c>
      <c r="Y64" s="6">
        <f>IF(OR($BJ64="",24&gt;設定!$B$3),"",IF(INDEX(原始資料!AA$2:AA$501,$BJ64)="","",INDEX(原始資料!AA$2:AA$501,$BJ64)))</f>
        <v/>
      </c>
      <c r="Z64" s="6">
        <f>IF(OR($BJ64="",25&gt;設定!$B$3),"",IF(INDEX(原始資料!AB$2:AB$501,$BJ64)="","",INDEX(原始資料!AB$2:AB$501,$BJ64)))</f>
        <v/>
      </c>
      <c r="AA64" s="6">
        <f>IF(OR($BJ64="",26&gt;設定!$B$3),"",IF(INDEX(原始資料!AC$2:AC$501,$BJ64)="","",INDEX(原始資料!AC$2:AC$501,$BJ64)))</f>
        <v/>
      </c>
      <c r="AB64" s="6">
        <f>IF(OR($BJ64="",27&gt;設定!$B$3),"",IF(INDEX(原始資料!AD$2:AD$501,$BJ64)="","",INDEX(原始資料!AD$2:AD$501,$BJ64)))</f>
        <v/>
      </c>
      <c r="AC64" s="6">
        <f>IF(OR($BJ64="",28&gt;設定!$B$3),"",IF(INDEX(原始資料!AE$2:AE$501,$BJ64)="","",INDEX(原始資料!AE$2:AE$501,$BJ64)))</f>
        <v/>
      </c>
      <c r="AD64" s="6">
        <f>IF(OR($BJ64="",29&gt;設定!$B$3),"",IF(INDEX(原始資料!AF$2:AF$501,$BJ64)="","",INDEX(原始資料!AF$2:AF$501,$BJ64)))</f>
        <v/>
      </c>
      <c r="AE64" s="6">
        <f>IF(OR($BJ64="",30&gt;設定!$B$3),"",IF(INDEX(原始資料!AG$2:AG$501,$BJ64)="","",INDEX(原始資料!AG$2:AG$501,$BJ64)))</f>
        <v/>
      </c>
      <c r="AF64" s="6">
        <f>IF(OR($BJ64="",31&gt;設定!$B$3),"",IF(INDEX(原始資料!AH$2:AH$501,$BJ64)="","",INDEX(原始資料!AH$2:AH$501,$BJ64)))</f>
        <v/>
      </c>
      <c r="AG64" s="6">
        <f>IF(OR($BJ64="",32&gt;設定!$B$3),"",IF(INDEX(原始資料!AI$2:AI$501,$BJ64)="","",INDEX(原始資料!AI$2:AI$501,$BJ64)))</f>
        <v/>
      </c>
      <c r="AH64" s="6">
        <f>IF(OR($BJ64="",33&gt;設定!$B$3),"",IF(INDEX(原始資料!AJ$2:AJ$501,$BJ64)="","",INDEX(原始資料!AJ$2:AJ$501,$BJ64)))</f>
        <v/>
      </c>
      <c r="AI64" s="6">
        <f>IF(OR($BJ64="",34&gt;設定!$B$3),"",IF(INDEX(原始資料!AK$2:AK$501,$BJ64)="","",INDEX(原始資料!AK$2:AK$501,$BJ64)))</f>
        <v/>
      </c>
      <c r="AJ64" s="6">
        <f>IF(OR($BJ64="",35&gt;設定!$B$3),"",IF(INDEX(原始資料!AL$2:AL$501,$BJ64)="","",INDEX(原始資料!AL$2:AL$501,$BJ64)))</f>
        <v/>
      </c>
      <c r="AK64" s="6">
        <f>IF(OR($BJ64="",36&gt;設定!$B$3),"",IF(INDEX(原始資料!AM$2:AM$501,$BJ64)="","",INDEX(原始資料!AM$2:AM$501,$BJ64)))</f>
        <v/>
      </c>
      <c r="AL64" s="6">
        <f>IF(OR($BJ64="",37&gt;設定!$B$3),"",IF(INDEX(原始資料!AN$2:AN$501,$BJ64)="","",INDEX(原始資料!AN$2:AN$501,$BJ64)))</f>
        <v/>
      </c>
      <c r="AM64" s="6">
        <f>IF(OR($BJ64="",38&gt;設定!$B$3),"",IF(INDEX(原始資料!AO$2:AO$501,$BJ64)="","",INDEX(原始資料!AO$2:AO$501,$BJ64)))</f>
        <v/>
      </c>
      <c r="AN64" s="6">
        <f>IF(OR($BJ64="",39&gt;設定!$B$3),"",IF(INDEX(原始資料!AP$2:AP$501,$BJ64)="","",INDEX(原始資料!AP$2:AP$501,$BJ64)))</f>
        <v/>
      </c>
      <c r="AO64" s="6">
        <f>IF(OR($BJ64="",40&gt;設定!$B$3),"",IF(INDEX(原始資料!AQ$2:AQ$501,$BJ64)="","",INDEX(原始資料!AQ$2:AQ$501,$BJ64)))</f>
        <v/>
      </c>
      <c r="AP64" s="6">
        <f>IF(OR($BJ64="",41&gt;設定!$B$3),"",IF(INDEX(原始資料!AR$2:AR$501,$BJ64)="","",INDEX(原始資料!AR$2:AR$501,$BJ64)))</f>
        <v/>
      </c>
      <c r="AQ64" s="6">
        <f>IF(OR($BJ64="",42&gt;設定!$B$3),"",IF(INDEX(原始資料!AS$2:AS$501,$BJ64)="","",INDEX(原始資料!AS$2:AS$501,$BJ64)))</f>
        <v/>
      </c>
      <c r="AR64" s="6">
        <f>IF(OR($BJ64="",43&gt;設定!$B$3),"",IF(INDEX(原始資料!AT$2:AT$501,$BJ64)="","",INDEX(原始資料!AT$2:AT$501,$BJ64)))</f>
        <v/>
      </c>
      <c r="AS64" s="6">
        <f>IF(OR($BJ64="",44&gt;設定!$B$3),"",IF(INDEX(原始資料!AU$2:AU$501,$BJ64)="","",INDEX(原始資料!AU$2:AU$501,$BJ64)))</f>
        <v/>
      </c>
      <c r="AT64" s="6">
        <f>IF(OR($BJ64="",45&gt;設定!$B$3),"",IF(INDEX(原始資料!AV$2:AV$501,$BJ64)="","",INDEX(原始資料!AV$2:AV$501,$BJ64)))</f>
        <v/>
      </c>
      <c r="AU64" s="6">
        <f>IF(OR($BJ64="",46&gt;設定!$B$3),"",IF(INDEX(原始資料!AW$2:AW$501,$BJ64)="","",INDEX(原始資料!AW$2:AW$501,$BJ64)))</f>
        <v/>
      </c>
      <c r="AV64" s="6">
        <f>IF(OR($BJ64="",47&gt;設定!$B$3),"",IF(INDEX(原始資料!AX$2:AX$501,$BJ64)="","",INDEX(原始資料!AX$2:AX$501,$BJ64)))</f>
        <v/>
      </c>
      <c r="AW64" s="6">
        <f>IF(OR($BJ64="",48&gt;設定!$B$3),"",IF(INDEX(原始資料!AY$2:AY$501,$BJ64)="","",INDEX(原始資料!AY$2:AY$501,$BJ64)))</f>
        <v/>
      </c>
      <c r="AX64" s="6">
        <f>IF(OR($BJ64="",49&gt;設定!$B$3),"",IF(INDEX(原始資料!AZ$2:AZ$501,$BJ64)="","",INDEX(原始資料!AZ$2:AZ$501,$BJ64)))</f>
        <v/>
      </c>
      <c r="AY64" s="6">
        <f>IF(OR($BJ64="",50&gt;設定!$B$3),"",IF(INDEX(原始資料!BA$2:BA$501,$BJ64)="","",INDEX(原始資料!BA$2:BA$501,$BJ64)))</f>
        <v/>
      </c>
      <c r="AZ64" s="6">
        <f>IF(OR($BJ64="",51&gt;設定!$B$3),"",IF(INDEX(原始資料!BB$2:BB$501,$BJ64)="","",INDEX(原始資料!BB$2:BB$501,$BJ64)))</f>
        <v/>
      </c>
      <c r="BA64" s="6">
        <f>IF(OR($BJ64="",52&gt;設定!$B$3),"",IF(INDEX(原始資料!BC$2:BC$501,$BJ64)="","",INDEX(原始資料!BC$2:BC$501,$BJ64)))</f>
        <v/>
      </c>
      <c r="BB64" s="6">
        <f>IF(OR($BJ64="",53&gt;設定!$B$3),"",IF(INDEX(原始資料!BD$2:BD$501,$BJ64)="","",INDEX(原始資料!BD$2:BD$501,$BJ64)))</f>
        <v/>
      </c>
      <c r="BC64" s="6">
        <f>IF(OR($BJ64="",54&gt;設定!$B$3),"",IF(INDEX(原始資料!BE$2:BE$501,$BJ64)="","",INDEX(原始資料!BE$2:BE$501,$BJ64)))</f>
        <v/>
      </c>
      <c r="BD64" s="6">
        <f>IF(OR($BJ64="",55&gt;設定!$B$3),"",IF(INDEX(原始資料!BF$2:BF$501,$BJ64)="","",INDEX(原始資料!BF$2:BF$501,$BJ64)))</f>
        <v/>
      </c>
      <c r="BE64" s="6">
        <f>IF(OR($BJ64="",56&gt;設定!$B$3),"",IF(INDEX(原始資料!BG$2:BG$501,$BJ64)="","",INDEX(原始資料!BG$2:BG$501,$BJ64)))</f>
        <v/>
      </c>
      <c r="BF64" s="6">
        <f>IF(OR($BJ64="",57&gt;設定!$B$3),"",IF(INDEX(原始資料!BH$2:BH$501,$BJ64)="","",INDEX(原始資料!BH$2:BH$501,$BJ64)))</f>
        <v/>
      </c>
      <c r="BG64" s="6">
        <f>IF(OR($BJ64="",58&gt;設定!$B$3),"",IF(INDEX(原始資料!BI$2:BI$501,$BJ64)="","",INDEX(原始資料!BI$2:BI$501,$BJ64)))</f>
        <v/>
      </c>
      <c r="BH64" s="6">
        <f>IF(OR($BJ64="",59&gt;設定!$B$3),"",IF(INDEX(原始資料!BJ$2:BJ$501,$BJ64)="","",INDEX(原始資料!BJ$2:BJ$501,$BJ64)))</f>
        <v/>
      </c>
      <c r="BI64" s="6">
        <f>IF(OR($BJ64="",60&gt;設定!$B$3),"",IF(INDEX(原始資料!BK$2:BK$501,$BJ64)="","",INDEX(原始資料!BK$2:BK$501,$BJ64)))</f>
        <v/>
      </c>
      <c r="BJ64" s="6">
        <f>IFERROR(MATCH(ROW()-1,判定!$H$2:$H$501,0),"")</f>
        <v/>
      </c>
    </row>
    <row r="65">
      <c r="A65" s="6">
        <f>IF($BJ65="","",INDEX(原始資料!$A$2:$A$501,$BJ65))</f>
        <v/>
      </c>
      <c r="B65" s="6">
        <f>IF(OR($BJ65="",1&gt;設定!$B$3),"",IF(INDEX(原始資料!D$2:D$501,$BJ65)="","",INDEX(原始資料!D$2:D$501,$BJ65)))</f>
        <v/>
      </c>
      <c r="C65" s="6">
        <f>IF(OR($BJ65="",2&gt;設定!$B$3),"",IF(INDEX(原始資料!E$2:E$501,$BJ65)="","",INDEX(原始資料!E$2:E$501,$BJ65)))</f>
        <v/>
      </c>
      <c r="D65" s="6">
        <f>IF(OR($BJ65="",3&gt;設定!$B$3),"",IF(INDEX(原始資料!F$2:F$501,$BJ65)="","",INDEX(原始資料!F$2:F$501,$BJ65)))</f>
        <v/>
      </c>
      <c r="E65" s="6">
        <f>IF(OR($BJ65="",4&gt;設定!$B$3),"",IF(INDEX(原始資料!G$2:G$501,$BJ65)="","",INDEX(原始資料!G$2:G$501,$BJ65)))</f>
        <v/>
      </c>
      <c r="F65" s="6">
        <f>IF(OR($BJ65="",5&gt;設定!$B$3),"",IF(INDEX(原始資料!H$2:H$501,$BJ65)="","",INDEX(原始資料!H$2:H$501,$BJ65)))</f>
        <v/>
      </c>
      <c r="G65" s="6">
        <f>IF(OR($BJ65="",6&gt;設定!$B$3),"",IF(INDEX(原始資料!I$2:I$501,$BJ65)="","",INDEX(原始資料!I$2:I$501,$BJ65)))</f>
        <v/>
      </c>
      <c r="H65" s="6">
        <f>IF(OR($BJ65="",7&gt;設定!$B$3),"",IF(INDEX(原始資料!J$2:J$501,$BJ65)="","",INDEX(原始資料!J$2:J$501,$BJ65)))</f>
        <v/>
      </c>
      <c r="I65" s="6">
        <f>IF(OR($BJ65="",8&gt;設定!$B$3),"",IF(INDEX(原始資料!K$2:K$501,$BJ65)="","",INDEX(原始資料!K$2:K$501,$BJ65)))</f>
        <v/>
      </c>
      <c r="J65" s="6">
        <f>IF(OR($BJ65="",9&gt;設定!$B$3),"",IF(INDEX(原始資料!L$2:L$501,$BJ65)="","",INDEX(原始資料!L$2:L$501,$BJ65)))</f>
        <v/>
      </c>
      <c r="K65" s="6">
        <f>IF(OR($BJ65="",10&gt;設定!$B$3),"",IF(INDEX(原始資料!M$2:M$501,$BJ65)="","",INDEX(原始資料!M$2:M$501,$BJ65)))</f>
        <v/>
      </c>
      <c r="L65" s="6">
        <f>IF(OR($BJ65="",11&gt;設定!$B$3),"",IF(INDEX(原始資料!N$2:N$501,$BJ65)="","",INDEX(原始資料!N$2:N$501,$BJ65)))</f>
        <v/>
      </c>
      <c r="M65" s="6">
        <f>IF(OR($BJ65="",12&gt;設定!$B$3),"",IF(INDEX(原始資料!O$2:O$501,$BJ65)="","",INDEX(原始資料!O$2:O$501,$BJ65)))</f>
        <v/>
      </c>
      <c r="N65" s="6">
        <f>IF(OR($BJ65="",13&gt;設定!$B$3),"",IF(INDEX(原始資料!P$2:P$501,$BJ65)="","",INDEX(原始資料!P$2:P$501,$BJ65)))</f>
        <v/>
      </c>
      <c r="O65" s="6">
        <f>IF(OR($BJ65="",14&gt;設定!$B$3),"",IF(INDEX(原始資料!Q$2:Q$501,$BJ65)="","",INDEX(原始資料!Q$2:Q$501,$BJ65)))</f>
        <v/>
      </c>
      <c r="P65" s="6">
        <f>IF(OR($BJ65="",15&gt;設定!$B$3),"",IF(INDEX(原始資料!R$2:R$501,$BJ65)="","",INDEX(原始資料!R$2:R$501,$BJ65)))</f>
        <v/>
      </c>
      <c r="Q65" s="6">
        <f>IF(OR($BJ65="",16&gt;設定!$B$3),"",IF(INDEX(原始資料!S$2:S$501,$BJ65)="","",INDEX(原始資料!S$2:S$501,$BJ65)))</f>
        <v/>
      </c>
      <c r="R65" s="6">
        <f>IF(OR($BJ65="",17&gt;設定!$B$3),"",IF(INDEX(原始資料!T$2:T$501,$BJ65)="","",INDEX(原始資料!T$2:T$501,$BJ65)))</f>
        <v/>
      </c>
      <c r="S65" s="6">
        <f>IF(OR($BJ65="",18&gt;設定!$B$3),"",IF(INDEX(原始資料!U$2:U$501,$BJ65)="","",INDEX(原始資料!U$2:U$501,$BJ65)))</f>
        <v/>
      </c>
      <c r="T65" s="6">
        <f>IF(OR($BJ65="",19&gt;設定!$B$3),"",IF(INDEX(原始資料!V$2:V$501,$BJ65)="","",INDEX(原始資料!V$2:V$501,$BJ65)))</f>
        <v/>
      </c>
      <c r="U65" s="6">
        <f>IF(OR($BJ65="",20&gt;設定!$B$3),"",IF(INDEX(原始資料!W$2:W$501,$BJ65)="","",INDEX(原始資料!W$2:W$501,$BJ65)))</f>
        <v/>
      </c>
      <c r="V65" s="6">
        <f>IF(OR($BJ65="",21&gt;設定!$B$3),"",IF(INDEX(原始資料!X$2:X$501,$BJ65)="","",INDEX(原始資料!X$2:X$501,$BJ65)))</f>
        <v/>
      </c>
      <c r="W65" s="6">
        <f>IF(OR($BJ65="",22&gt;設定!$B$3),"",IF(INDEX(原始資料!Y$2:Y$501,$BJ65)="","",INDEX(原始資料!Y$2:Y$501,$BJ65)))</f>
        <v/>
      </c>
      <c r="X65" s="6">
        <f>IF(OR($BJ65="",23&gt;設定!$B$3),"",IF(INDEX(原始資料!Z$2:Z$501,$BJ65)="","",INDEX(原始資料!Z$2:Z$501,$BJ65)))</f>
        <v/>
      </c>
      <c r="Y65" s="6">
        <f>IF(OR($BJ65="",24&gt;設定!$B$3),"",IF(INDEX(原始資料!AA$2:AA$501,$BJ65)="","",INDEX(原始資料!AA$2:AA$501,$BJ65)))</f>
        <v/>
      </c>
      <c r="Z65" s="6">
        <f>IF(OR($BJ65="",25&gt;設定!$B$3),"",IF(INDEX(原始資料!AB$2:AB$501,$BJ65)="","",INDEX(原始資料!AB$2:AB$501,$BJ65)))</f>
        <v/>
      </c>
      <c r="AA65" s="6">
        <f>IF(OR($BJ65="",26&gt;設定!$B$3),"",IF(INDEX(原始資料!AC$2:AC$501,$BJ65)="","",INDEX(原始資料!AC$2:AC$501,$BJ65)))</f>
        <v/>
      </c>
      <c r="AB65" s="6">
        <f>IF(OR($BJ65="",27&gt;設定!$B$3),"",IF(INDEX(原始資料!AD$2:AD$501,$BJ65)="","",INDEX(原始資料!AD$2:AD$501,$BJ65)))</f>
        <v/>
      </c>
      <c r="AC65" s="6">
        <f>IF(OR($BJ65="",28&gt;設定!$B$3),"",IF(INDEX(原始資料!AE$2:AE$501,$BJ65)="","",INDEX(原始資料!AE$2:AE$501,$BJ65)))</f>
        <v/>
      </c>
      <c r="AD65" s="6">
        <f>IF(OR($BJ65="",29&gt;設定!$B$3),"",IF(INDEX(原始資料!AF$2:AF$501,$BJ65)="","",INDEX(原始資料!AF$2:AF$501,$BJ65)))</f>
        <v/>
      </c>
      <c r="AE65" s="6">
        <f>IF(OR($BJ65="",30&gt;設定!$B$3),"",IF(INDEX(原始資料!AG$2:AG$501,$BJ65)="","",INDEX(原始資料!AG$2:AG$501,$BJ65)))</f>
        <v/>
      </c>
      <c r="AF65" s="6">
        <f>IF(OR($BJ65="",31&gt;設定!$B$3),"",IF(INDEX(原始資料!AH$2:AH$501,$BJ65)="","",INDEX(原始資料!AH$2:AH$501,$BJ65)))</f>
        <v/>
      </c>
      <c r="AG65" s="6">
        <f>IF(OR($BJ65="",32&gt;設定!$B$3),"",IF(INDEX(原始資料!AI$2:AI$501,$BJ65)="","",INDEX(原始資料!AI$2:AI$501,$BJ65)))</f>
        <v/>
      </c>
      <c r="AH65" s="6">
        <f>IF(OR($BJ65="",33&gt;設定!$B$3),"",IF(INDEX(原始資料!AJ$2:AJ$501,$BJ65)="","",INDEX(原始資料!AJ$2:AJ$501,$BJ65)))</f>
        <v/>
      </c>
      <c r="AI65" s="6">
        <f>IF(OR($BJ65="",34&gt;設定!$B$3),"",IF(INDEX(原始資料!AK$2:AK$501,$BJ65)="","",INDEX(原始資料!AK$2:AK$501,$BJ65)))</f>
        <v/>
      </c>
      <c r="AJ65" s="6">
        <f>IF(OR($BJ65="",35&gt;設定!$B$3),"",IF(INDEX(原始資料!AL$2:AL$501,$BJ65)="","",INDEX(原始資料!AL$2:AL$501,$BJ65)))</f>
        <v/>
      </c>
      <c r="AK65" s="6">
        <f>IF(OR($BJ65="",36&gt;設定!$B$3),"",IF(INDEX(原始資料!AM$2:AM$501,$BJ65)="","",INDEX(原始資料!AM$2:AM$501,$BJ65)))</f>
        <v/>
      </c>
      <c r="AL65" s="6">
        <f>IF(OR($BJ65="",37&gt;設定!$B$3),"",IF(INDEX(原始資料!AN$2:AN$501,$BJ65)="","",INDEX(原始資料!AN$2:AN$501,$BJ65)))</f>
        <v/>
      </c>
      <c r="AM65" s="6">
        <f>IF(OR($BJ65="",38&gt;設定!$B$3),"",IF(INDEX(原始資料!AO$2:AO$501,$BJ65)="","",INDEX(原始資料!AO$2:AO$501,$BJ65)))</f>
        <v/>
      </c>
      <c r="AN65" s="6">
        <f>IF(OR($BJ65="",39&gt;設定!$B$3),"",IF(INDEX(原始資料!AP$2:AP$501,$BJ65)="","",INDEX(原始資料!AP$2:AP$501,$BJ65)))</f>
        <v/>
      </c>
      <c r="AO65" s="6">
        <f>IF(OR($BJ65="",40&gt;設定!$B$3),"",IF(INDEX(原始資料!AQ$2:AQ$501,$BJ65)="","",INDEX(原始資料!AQ$2:AQ$501,$BJ65)))</f>
        <v/>
      </c>
      <c r="AP65" s="6">
        <f>IF(OR($BJ65="",41&gt;設定!$B$3),"",IF(INDEX(原始資料!AR$2:AR$501,$BJ65)="","",INDEX(原始資料!AR$2:AR$501,$BJ65)))</f>
        <v/>
      </c>
      <c r="AQ65" s="6">
        <f>IF(OR($BJ65="",42&gt;設定!$B$3),"",IF(INDEX(原始資料!AS$2:AS$501,$BJ65)="","",INDEX(原始資料!AS$2:AS$501,$BJ65)))</f>
        <v/>
      </c>
      <c r="AR65" s="6">
        <f>IF(OR($BJ65="",43&gt;設定!$B$3),"",IF(INDEX(原始資料!AT$2:AT$501,$BJ65)="","",INDEX(原始資料!AT$2:AT$501,$BJ65)))</f>
        <v/>
      </c>
      <c r="AS65" s="6">
        <f>IF(OR($BJ65="",44&gt;設定!$B$3),"",IF(INDEX(原始資料!AU$2:AU$501,$BJ65)="","",INDEX(原始資料!AU$2:AU$501,$BJ65)))</f>
        <v/>
      </c>
      <c r="AT65" s="6">
        <f>IF(OR($BJ65="",45&gt;設定!$B$3),"",IF(INDEX(原始資料!AV$2:AV$501,$BJ65)="","",INDEX(原始資料!AV$2:AV$501,$BJ65)))</f>
        <v/>
      </c>
      <c r="AU65" s="6">
        <f>IF(OR($BJ65="",46&gt;設定!$B$3),"",IF(INDEX(原始資料!AW$2:AW$501,$BJ65)="","",INDEX(原始資料!AW$2:AW$501,$BJ65)))</f>
        <v/>
      </c>
      <c r="AV65" s="6">
        <f>IF(OR($BJ65="",47&gt;設定!$B$3),"",IF(INDEX(原始資料!AX$2:AX$501,$BJ65)="","",INDEX(原始資料!AX$2:AX$501,$BJ65)))</f>
        <v/>
      </c>
      <c r="AW65" s="6">
        <f>IF(OR($BJ65="",48&gt;設定!$B$3),"",IF(INDEX(原始資料!AY$2:AY$501,$BJ65)="","",INDEX(原始資料!AY$2:AY$501,$BJ65)))</f>
        <v/>
      </c>
      <c r="AX65" s="6">
        <f>IF(OR($BJ65="",49&gt;設定!$B$3),"",IF(INDEX(原始資料!AZ$2:AZ$501,$BJ65)="","",INDEX(原始資料!AZ$2:AZ$501,$BJ65)))</f>
        <v/>
      </c>
      <c r="AY65" s="6">
        <f>IF(OR($BJ65="",50&gt;設定!$B$3),"",IF(INDEX(原始資料!BA$2:BA$501,$BJ65)="","",INDEX(原始資料!BA$2:BA$501,$BJ65)))</f>
        <v/>
      </c>
      <c r="AZ65" s="6">
        <f>IF(OR($BJ65="",51&gt;設定!$B$3),"",IF(INDEX(原始資料!BB$2:BB$501,$BJ65)="","",INDEX(原始資料!BB$2:BB$501,$BJ65)))</f>
        <v/>
      </c>
      <c r="BA65" s="6">
        <f>IF(OR($BJ65="",52&gt;設定!$B$3),"",IF(INDEX(原始資料!BC$2:BC$501,$BJ65)="","",INDEX(原始資料!BC$2:BC$501,$BJ65)))</f>
        <v/>
      </c>
      <c r="BB65" s="6">
        <f>IF(OR($BJ65="",53&gt;設定!$B$3),"",IF(INDEX(原始資料!BD$2:BD$501,$BJ65)="","",INDEX(原始資料!BD$2:BD$501,$BJ65)))</f>
        <v/>
      </c>
      <c r="BC65" s="6">
        <f>IF(OR($BJ65="",54&gt;設定!$B$3),"",IF(INDEX(原始資料!BE$2:BE$501,$BJ65)="","",INDEX(原始資料!BE$2:BE$501,$BJ65)))</f>
        <v/>
      </c>
      <c r="BD65" s="6">
        <f>IF(OR($BJ65="",55&gt;設定!$B$3),"",IF(INDEX(原始資料!BF$2:BF$501,$BJ65)="","",INDEX(原始資料!BF$2:BF$501,$BJ65)))</f>
        <v/>
      </c>
      <c r="BE65" s="6">
        <f>IF(OR($BJ65="",56&gt;設定!$B$3),"",IF(INDEX(原始資料!BG$2:BG$501,$BJ65)="","",INDEX(原始資料!BG$2:BG$501,$BJ65)))</f>
        <v/>
      </c>
      <c r="BF65" s="6">
        <f>IF(OR($BJ65="",57&gt;設定!$B$3),"",IF(INDEX(原始資料!BH$2:BH$501,$BJ65)="","",INDEX(原始資料!BH$2:BH$501,$BJ65)))</f>
        <v/>
      </c>
      <c r="BG65" s="6">
        <f>IF(OR($BJ65="",58&gt;設定!$B$3),"",IF(INDEX(原始資料!BI$2:BI$501,$BJ65)="","",INDEX(原始資料!BI$2:BI$501,$BJ65)))</f>
        <v/>
      </c>
      <c r="BH65" s="6">
        <f>IF(OR($BJ65="",59&gt;設定!$B$3),"",IF(INDEX(原始資料!BJ$2:BJ$501,$BJ65)="","",INDEX(原始資料!BJ$2:BJ$501,$BJ65)))</f>
        <v/>
      </c>
      <c r="BI65" s="6">
        <f>IF(OR($BJ65="",60&gt;設定!$B$3),"",IF(INDEX(原始資料!BK$2:BK$501,$BJ65)="","",INDEX(原始資料!BK$2:BK$501,$BJ65)))</f>
        <v/>
      </c>
      <c r="BJ65" s="6">
        <f>IFERROR(MATCH(ROW()-1,判定!$H$2:$H$501,0),"")</f>
        <v/>
      </c>
    </row>
    <row r="66">
      <c r="A66" s="6">
        <f>IF($BJ66="","",INDEX(原始資料!$A$2:$A$501,$BJ66))</f>
        <v/>
      </c>
      <c r="B66" s="6">
        <f>IF(OR($BJ66="",1&gt;設定!$B$3),"",IF(INDEX(原始資料!D$2:D$501,$BJ66)="","",INDEX(原始資料!D$2:D$501,$BJ66)))</f>
        <v/>
      </c>
      <c r="C66" s="6">
        <f>IF(OR($BJ66="",2&gt;設定!$B$3),"",IF(INDEX(原始資料!E$2:E$501,$BJ66)="","",INDEX(原始資料!E$2:E$501,$BJ66)))</f>
        <v/>
      </c>
      <c r="D66" s="6">
        <f>IF(OR($BJ66="",3&gt;設定!$B$3),"",IF(INDEX(原始資料!F$2:F$501,$BJ66)="","",INDEX(原始資料!F$2:F$501,$BJ66)))</f>
        <v/>
      </c>
      <c r="E66" s="6">
        <f>IF(OR($BJ66="",4&gt;設定!$B$3),"",IF(INDEX(原始資料!G$2:G$501,$BJ66)="","",INDEX(原始資料!G$2:G$501,$BJ66)))</f>
        <v/>
      </c>
      <c r="F66" s="6">
        <f>IF(OR($BJ66="",5&gt;設定!$B$3),"",IF(INDEX(原始資料!H$2:H$501,$BJ66)="","",INDEX(原始資料!H$2:H$501,$BJ66)))</f>
        <v/>
      </c>
      <c r="G66" s="6">
        <f>IF(OR($BJ66="",6&gt;設定!$B$3),"",IF(INDEX(原始資料!I$2:I$501,$BJ66)="","",INDEX(原始資料!I$2:I$501,$BJ66)))</f>
        <v/>
      </c>
      <c r="H66" s="6">
        <f>IF(OR($BJ66="",7&gt;設定!$B$3),"",IF(INDEX(原始資料!J$2:J$501,$BJ66)="","",INDEX(原始資料!J$2:J$501,$BJ66)))</f>
        <v/>
      </c>
      <c r="I66" s="6">
        <f>IF(OR($BJ66="",8&gt;設定!$B$3),"",IF(INDEX(原始資料!K$2:K$501,$BJ66)="","",INDEX(原始資料!K$2:K$501,$BJ66)))</f>
        <v/>
      </c>
      <c r="J66" s="6">
        <f>IF(OR($BJ66="",9&gt;設定!$B$3),"",IF(INDEX(原始資料!L$2:L$501,$BJ66)="","",INDEX(原始資料!L$2:L$501,$BJ66)))</f>
        <v/>
      </c>
      <c r="K66" s="6">
        <f>IF(OR($BJ66="",10&gt;設定!$B$3),"",IF(INDEX(原始資料!M$2:M$501,$BJ66)="","",INDEX(原始資料!M$2:M$501,$BJ66)))</f>
        <v/>
      </c>
      <c r="L66" s="6">
        <f>IF(OR($BJ66="",11&gt;設定!$B$3),"",IF(INDEX(原始資料!N$2:N$501,$BJ66)="","",INDEX(原始資料!N$2:N$501,$BJ66)))</f>
        <v/>
      </c>
      <c r="M66" s="6">
        <f>IF(OR($BJ66="",12&gt;設定!$B$3),"",IF(INDEX(原始資料!O$2:O$501,$BJ66)="","",INDEX(原始資料!O$2:O$501,$BJ66)))</f>
        <v/>
      </c>
      <c r="N66" s="6">
        <f>IF(OR($BJ66="",13&gt;設定!$B$3),"",IF(INDEX(原始資料!P$2:P$501,$BJ66)="","",INDEX(原始資料!P$2:P$501,$BJ66)))</f>
        <v/>
      </c>
      <c r="O66" s="6">
        <f>IF(OR($BJ66="",14&gt;設定!$B$3),"",IF(INDEX(原始資料!Q$2:Q$501,$BJ66)="","",INDEX(原始資料!Q$2:Q$501,$BJ66)))</f>
        <v/>
      </c>
      <c r="P66" s="6">
        <f>IF(OR($BJ66="",15&gt;設定!$B$3),"",IF(INDEX(原始資料!R$2:R$501,$BJ66)="","",INDEX(原始資料!R$2:R$501,$BJ66)))</f>
        <v/>
      </c>
      <c r="Q66" s="6">
        <f>IF(OR($BJ66="",16&gt;設定!$B$3),"",IF(INDEX(原始資料!S$2:S$501,$BJ66)="","",INDEX(原始資料!S$2:S$501,$BJ66)))</f>
        <v/>
      </c>
      <c r="R66" s="6">
        <f>IF(OR($BJ66="",17&gt;設定!$B$3),"",IF(INDEX(原始資料!T$2:T$501,$BJ66)="","",INDEX(原始資料!T$2:T$501,$BJ66)))</f>
        <v/>
      </c>
      <c r="S66" s="6">
        <f>IF(OR($BJ66="",18&gt;設定!$B$3),"",IF(INDEX(原始資料!U$2:U$501,$BJ66)="","",INDEX(原始資料!U$2:U$501,$BJ66)))</f>
        <v/>
      </c>
      <c r="T66" s="6">
        <f>IF(OR($BJ66="",19&gt;設定!$B$3),"",IF(INDEX(原始資料!V$2:V$501,$BJ66)="","",INDEX(原始資料!V$2:V$501,$BJ66)))</f>
        <v/>
      </c>
      <c r="U66" s="6">
        <f>IF(OR($BJ66="",20&gt;設定!$B$3),"",IF(INDEX(原始資料!W$2:W$501,$BJ66)="","",INDEX(原始資料!W$2:W$501,$BJ66)))</f>
        <v/>
      </c>
      <c r="V66" s="6">
        <f>IF(OR($BJ66="",21&gt;設定!$B$3),"",IF(INDEX(原始資料!X$2:X$501,$BJ66)="","",INDEX(原始資料!X$2:X$501,$BJ66)))</f>
        <v/>
      </c>
      <c r="W66" s="6">
        <f>IF(OR($BJ66="",22&gt;設定!$B$3),"",IF(INDEX(原始資料!Y$2:Y$501,$BJ66)="","",INDEX(原始資料!Y$2:Y$501,$BJ66)))</f>
        <v/>
      </c>
      <c r="X66" s="6">
        <f>IF(OR($BJ66="",23&gt;設定!$B$3),"",IF(INDEX(原始資料!Z$2:Z$501,$BJ66)="","",INDEX(原始資料!Z$2:Z$501,$BJ66)))</f>
        <v/>
      </c>
      <c r="Y66" s="6">
        <f>IF(OR($BJ66="",24&gt;設定!$B$3),"",IF(INDEX(原始資料!AA$2:AA$501,$BJ66)="","",INDEX(原始資料!AA$2:AA$501,$BJ66)))</f>
        <v/>
      </c>
      <c r="Z66" s="6">
        <f>IF(OR($BJ66="",25&gt;設定!$B$3),"",IF(INDEX(原始資料!AB$2:AB$501,$BJ66)="","",INDEX(原始資料!AB$2:AB$501,$BJ66)))</f>
        <v/>
      </c>
      <c r="AA66" s="6">
        <f>IF(OR($BJ66="",26&gt;設定!$B$3),"",IF(INDEX(原始資料!AC$2:AC$501,$BJ66)="","",INDEX(原始資料!AC$2:AC$501,$BJ66)))</f>
        <v/>
      </c>
      <c r="AB66" s="6">
        <f>IF(OR($BJ66="",27&gt;設定!$B$3),"",IF(INDEX(原始資料!AD$2:AD$501,$BJ66)="","",INDEX(原始資料!AD$2:AD$501,$BJ66)))</f>
        <v/>
      </c>
      <c r="AC66" s="6">
        <f>IF(OR($BJ66="",28&gt;設定!$B$3),"",IF(INDEX(原始資料!AE$2:AE$501,$BJ66)="","",INDEX(原始資料!AE$2:AE$501,$BJ66)))</f>
        <v/>
      </c>
      <c r="AD66" s="6">
        <f>IF(OR($BJ66="",29&gt;設定!$B$3),"",IF(INDEX(原始資料!AF$2:AF$501,$BJ66)="","",INDEX(原始資料!AF$2:AF$501,$BJ66)))</f>
        <v/>
      </c>
      <c r="AE66" s="6">
        <f>IF(OR($BJ66="",30&gt;設定!$B$3),"",IF(INDEX(原始資料!AG$2:AG$501,$BJ66)="","",INDEX(原始資料!AG$2:AG$501,$BJ66)))</f>
        <v/>
      </c>
      <c r="AF66" s="6">
        <f>IF(OR($BJ66="",31&gt;設定!$B$3),"",IF(INDEX(原始資料!AH$2:AH$501,$BJ66)="","",INDEX(原始資料!AH$2:AH$501,$BJ66)))</f>
        <v/>
      </c>
      <c r="AG66" s="6">
        <f>IF(OR($BJ66="",32&gt;設定!$B$3),"",IF(INDEX(原始資料!AI$2:AI$501,$BJ66)="","",INDEX(原始資料!AI$2:AI$501,$BJ66)))</f>
        <v/>
      </c>
      <c r="AH66" s="6">
        <f>IF(OR($BJ66="",33&gt;設定!$B$3),"",IF(INDEX(原始資料!AJ$2:AJ$501,$BJ66)="","",INDEX(原始資料!AJ$2:AJ$501,$BJ66)))</f>
        <v/>
      </c>
      <c r="AI66" s="6">
        <f>IF(OR($BJ66="",34&gt;設定!$B$3),"",IF(INDEX(原始資料!AK$2:AK$501,$BJ66)="","",INDEX(原始資料!AK$2:AK$501,$BJ66)))</f>
        <v/>
      </c>
      <c r="AJ66" s="6">
        <f>IF(OR($BJ66="",35&gt;設定!$B$3),"",IF(INDEX(原始資料!AL$2:AL$501,$BJ66)="","",INDEX(原始資料!AL$2:AL$501,$BJ66)))</f>
        <v/>
      </c>
      <c r="AK66" s="6">
        <f>IF(OR($BJ66="",36&gt;設定!$B$3),"",IF(INDEX(原始資料!AM$2:AM$501,$BJ66)="","",INDEX(原始資料!AM$2:AM$501,$BJ66)))</f>
        <v/>
      </c>
      <c r="AL66" s="6">
        <f>IF(OR($BJ66="",37&gt;設定!$B$3),"",IF(INDEX(原始資料!AN$2:AN$501,$BJ66)="","",INDEX(原始資料!AN$2:AN$501,$BJ66)))</f>
        <v/>
      </c>
      <c r="AM66" s="6">
        <f>IF(OR($BJ66="",38&gt;設定!$B$3),"",IF(INDEX(原始資料!AO$2:AO$501,$BJ66)="","",INDEX(原始資料!AO$2:AO$501,$BJ66)))</f>
        <v/>
      </c>
      <c r="AN66" s="6">
        <f>IF(OR($BJ66="",39&gt;設定!$B$3),"",IF(INDEX(原始資料!AP$2:AP$501,$BJ66)="","",INDEX(原始資料!AP$2:AP$501,$BJ66)))</f>
        <v/>
      </c>
      <c r="AO66" s="6">
        <f>IF(OR($BJ66="",40&gt;設定!$B$3),"",IF(INDEX(原始資料!AQ$2:AQ$501,$BJ66)="","",INDEX(原始資料!AQ$2:AQ$501,$BJ66)))</f>
        <v/>
      </c>
      <c r="AP66" s="6">
        <f>IF(OR($BJ66="",41&gt;設定!$B$3),"",IF(INDEX(原始資料!AR$2:AR$501,$BJ66)="","",INDEX(原始資料!AR$2:AR$501,$BJ66)))</f>
        <v/>
      </c>
      <c r="AQ66" s="6">
        <f>IF(OR($BJ66="",42&gt;設定!$B$3),"",IF(INDEX(原始資料!AS$2:AS$501,$BJ66)="","",INDEX(原始資料!AS$2:AS$501,$BJ66)))</f>
        <v/>
      </c>
      <c r="AR66" s="6">
        <f>IF(OR($BJ66="",43&gt;設定!$B$3),"",IF(INDEX(原始資料!AT$2:AT$501,$BJ66)="","",INDEX(原始資料!AT$2:AT$501,$BJ66)))</f>
        <v/>
      </c>
      <c r="AS66" s="6">
        <f>IF(OR($BJ66="",44&gt;設定!$B$3),"",IF(INDEX(原始資料!AU$2:AU$501,$BJ66)="","",INDEX(原始資料!AU$2:AU$501,$BJ66)))</f>
        <v/>
      </c>
      <c r="AT66" s="6">
        <f>IF(OR($BJ66="",45&gt;設定!$B$3),"",IF(INDEX(原始資料!AV$2:AV$501,$BJ66)="","",INDEX(原始資料!AV$2:AV$501,$BJ66)))</f>
        <v/>
      </c>
      <c r="AU66" s="6">
        <f>IF(OR($BJ66="",46&gt;設定!$B$3),"",IF(INDEX(原始資料!AW$2:AW$501,$BJ66)="","",INDEX(原始資料!AW$2:AW$501,$BJ66)))</f>
        <v/>
      </c>
      <c r="AV66" s="6">
        <f>IF(OR($BJ66="",47&gt;設定!$B$3),"",IF(INDEX(原始資料!AX$2:AX$501,$BJ66)="","",INDEX(原始資料!AX$2:AX$501,$BJ66)))</f>
        <v/>
      </c>
      <c r="AW66" s="6">
        <f>IF(OR($BJ66="",48&gt;設定!$B$3),"",IF(INDEX(原始資料!AY$2:AY$501,$BJ66)="","",INDEX(原始資料!AY$2:AY$501,$BJ66)))</f>
        <v/>
      </c>
      <c r="AX66" s="6">
        <f>IF(OR($BJ66="",49&gt;設定!$B$3),"",IF(INDEX(原始資料!AZ$2:AZ$501,$BJ66)="","",INDEX(原始資料!AZ$2:AZ$501,$BJ66)))</f>
        <v/>
      </c>
      <c r="AY66" s="6">
        <f>IF(OR($BJ66="",50&gt;設定!$B$3),"",IF(INDEX(原始資料!BA$2:BA$501,$BJ66)="","",INDEX(原始資料!BA$2:BA$501,$BJ66)))</f>
        <v/>
      </c>
      <c r="AZ66" s="6">
        <f>IF(OR($BJ66="",51&gt;設定!$B$3),"",IF(INDEX(原始資料!BB$2:BB$501,$BJ66)="","",INDEX(原始資料!BB$2:BB$501,$BJ66)))</f>
        <v/>
      </c>
      <c r="BA66" s="6">
        <f>IF(OR($BJ66="",52&gt;設定!$B$3),"",IF(INDEX(原始資料!BC$2:BC$501,$BJ66)="","",INDEX(原始資料!BC$2:BC$501,$BJ66)))</f>
        <v/>
      </c>
      <c r="BB66" s="6">
        <f>IF(OR($BJ66="",53&gt;設定!$B$3),"",IF(INDEX(原始資料!BD$2:BD$501,$BJ66)="","",INDEX(原始資料!BD$2:BD$501,$BJ66)))</f>
        <v/>
      </c>
      <c r="BC66" s="6">
        <f>IF(OR($BJ66="",54&gt;設定!$B$3),"",IF(INDEX(原始資料!BE$2:BE$501,$BJ66)="","",INDEX(原始資料!BE$2:BE$501,$BJ66)))</f>
        <v/>
      </c>
      <c r="BD66" s="6">
        <f>IF(OR($BJ66="",55&gt;設定!$B$3),"",IF(INDEX(原始資料!BF$2:BF$501,$BJ66)="","",INDEX(原始資料!BF$2:BF$501,$BJ66)))</f>
        <v/>
      </c>
      <c r="BE66" s="6">
        <f>IF(OR($BJ66="",56&gt;設定!$B$3),"",IF(INDEX(原始資料!BG$2:BG$501,$BJ66)="","",INDEX(原始資料!BG$2:BG$501,$BJ66)))</f>
        <v/>
      </c>
      <c r="BF66" s="6">
        <f>IF(OR($BJ66="",57&gt;設定!$B$3),"",IF(INDEX(原始資料!BH$2:BH$501,$BJ66)="","",INDEX(原始資料!BH$2:BH$501,$BJ66)))</f>
        <v/>
      </c>
      <c r="BG66" s="6">
        <f>IF(OR($BJ66="",58&gt;設定!$B$3),"",IF(INDEX(原始資料!BI$2:BI$501,$BJ66)="","",INDEX(原始資料!BI$2:BI$501,$BJ66)))</f>
        <v/>
      </c>
      <c r="BH66" s="6">
        <f>IF(OR($BJ66="",59&gt;設定!$B$3),"",IF(INDEX(原始資料!BJ$2:BJ$501,$BJ66)="","",INDEX(原始資料!BJ$2:BJ$501,$BJ66)))</f>
        <v/>
      </c>
      <c r="BI66" s="6">
        <f>IF(OR($BJ66="",60&gt;設定!$B$3),"",IF(INDEX(原始資料!BK$2:BK$501,$BJ66)="","",INDEX(原始資料!BK$2:BK$501,$BJ66)))</f>
        <v/>
      </c>
      <c r="BJ66" s="6">
        <f>IFERROR(MATCH(ROW()-1,判定!$H$2:$H$501,0),"")</f>
        <v/>
      </c>
    </row>
    <row r="67">
      <c r="A67" s="6">
        <f>IF($BJ67="","",INDEX(原始資料!$A$2:$A$501,$BJ67))</f>
        <v/>
      </c>
      <c r="B67" s="6">
        <f>IF(OR($BJ67="",1&gt;設定!$B$3),"",IF(INDEX(原始資料!D$2:D$501,$BJ67)="","",INDEX(原始資料!D$2:D$501,$BJ67)))</f>
        <v/>
      </c>
      <c r="C67" s="6">
        <f>IF(OR($BJ67="",2&gt;設定!$B$3),"",IF(INDEX(原始資料!E$2:E$501,$BJ67)="","",INDEX(原始資料!E$2:E$501,$BJ67)))</f>
        <v/>
      </c>
      <c r="D67" s="6">
        <f>IF(OR($BJ67="",3&gt;設定!$B$3),"",IF(INDEX(原始資料!F$2:F$501,$BJ67)="","",INDEX(原始資料!F$2:F$501,$BJ67)))</f>
        <v/>
      </c>
      <c r="E67" s="6">
        <f>IF(OR($BJ67="",4&gt;設定!$B$3),"",IF(INDEX(原始資料!G$2:G$501,$BJ67)="","",INDEX(原始資料!G$2:G$501,$BJ67)))</f>
        <v/>
      </c>
      <c r="F67" s="6">
        <f>IF(OR($BJ67="",5&gt;設定!$B$3),"",IF(INDEX(原始資料!H$2:H$501,$BJ67)="","",INDEX(原始資料!H$2:H$501,$BJ67)))</f>
        <v/>
      </c>
      <c r="G67" s="6">
        <f>IF(OR($BJ67="",6&gt;設定!$B$3),"",IF(INDEX(原始資料!I$2:I$501,$BJ67)="","",INDEX(原始資料!I$2:I$501,$BJ67)))</f>
        <v/>
      </c>
      <c r="H67" s="6">
        <f>IF(OR($BJ67="",7&gt;設定!$B$3),"",IF(INDEX(原始資料!J$2:J$501,$BJ67)="","",INDEX(原始資料!J$2:J$501,$BJ67)))</f>
        <v/>
      </c>
      <c r="I67" s="6">
        <f>IF(OR($BJ67="",8&gt;設定!$B$3),"",IF(INDEX(原始資料!K$2:K$501,$BJ67)="","",INDEX(原始資料!K$2:K$501,$BJ67)))</f>
        <v/>
      </c>
      <c r="J67" s="6">
        <f>IF(OR($BJ67="",9&gt;設定!$B$3),"",IF(INDEX(原始資料!L$2:L$501,$BJ67)="","",INDEX(原始資料!L$2:L$501,$BJ67)))</f>
        <v/>
      </c>
      <c r="K67" s="6">
        <f>IF(OR($BJ67="",10&gt;設定!$B$3),"",IF(INDEX(原始資料!M$2:M$501,$BJ67)="","",INDEX(原始資料!M$2:M$501,$BJ67)))</f>
        <v/>
      </c>
      <c r="L67" s="6">
        <f>IF(OR($BJ67="",11&gt;設定!$B$3),"",IF(INDEX(原始資料!N$2:N$501,$BJ67)="","",INDEX(原始資料!N$2:N$501,$BJ67)))</f>
        <v/>
      </c>
      <c r="M67" s="6">
        <f>IF(OR($BJ67="",12&gt;設定!$B$3),"",IF(INDEX(原始資料!O$2:O$501,$BJ67)="","",INDEX(原始資料!O$2:O$501,$BJ67)))</f>
        <v/>
      </c>
      <c r="N67" s="6">
        <f>IF(OR($BJ67="",13&gt;設定!$B$3),"",IF(INDEX(原始資料!P$2:P$501,$BJ67)="","",INDEX(原始資料!P$2:P$501,$BJ67)))</f>
        <v/>
      </c>
      <c r="O67" s="6">
        <f>IF(OR($BJ67="",14&gt;設定!$B$3),"",IF(INDEX(原始資料!Q$2:Q$501,$BJ67)="","",INDEX(原始資料!Q$2:Q$501,$BJ67)))</f>
        <v/>
      </c>
      <c r="P67" s="6">
        <f>IF(OR($BJ67="",15&gt;設定!$B$3),"",IF(INDEX(原始資料!R$2:R$501,$BJ67)="","",INDEX(原始資料!R$2:R$501,$BJ67)))</f>
        <v/>
      </c>
      <c r="Q67" s="6">
        <f>IF(OR($BJ67="",16&gt;設定!$B$3),"",IF(INDEX(原始資料!S$2:S$501,$BJ67)="","",INDEX(原始資料!S$2:S$501,$BJ67)))</f>
        <v/>
      </c>
      <c r="R67" s="6">
        <f>IF(OR($BJ67="",17&gt;設定!$B$3),"",IF(INDEX(原始資料!T$2:T$501,$BJ67)="","",INDEX(原始資料!T$2:T$501,$BJ67)))</f>
        <v/>
      </c>
      <c r="S67" s="6">
        <f>IF(OR($BJ67="",18&gt;設定!$B$3),"",IF(INDEX(原始資料!U$2:U$501,$BJ67)="","",INDEX(原始資料!U$2:U$501,$BJ67)))</f>
        <v/>
      </c>
      <c r="T67" s="6">
        <f>IF(OR($BJ67="",19&gt;設定!$B$3),"",IF(INDEX(原始資料!V$2:V$501,$BJ67)="","",INDEX(原始資料!V$2:V$501,$BJ67)))</f>
        <v/>
      </c>
      <c r="U67" s="6">
        <f>IF(OR($BJ67="",20&gt;設定!$B$3),"",IF(INDEX(原始資料!W$2:W$501,$BJ67)="","",INDEX(原始資料!W$2:W$501,$BJ67)))</f>
        <v/>
      </c>
      <c r="V67" s="6">
        <f>IF(OR($BJ67="",21&gt;設定!$B$3),"",IF(INDEX(原始資料!X$2:X$501,$BJ67)="","",INDEX(原始資料!X$2:X$501,$BJ67)))</f>
        <v/>
      </c>
      <c r="W67" s="6">
        <f>IF(OR($BJ67="",22&gt;設定!$B$3),"",IF(INDEX(原始資料!Y$2:Y$501,$BJ67)="","",INDEX(原始資料!Y$2:Y$501,$BJ67)))</f>
        <v/>
      </c>
      <c r="X67" s="6">
        <f>IF(OR($BJ67="",23&gt;設定!$B$3),"",IF(INDEX(原始資料!Z$2:Z$501,$BJ67)="","",INDEX(原始資料!Z$2:Z$501,$BJ67)))</f>
        <v/>
      </c>
      <c r="Y67" s="6">
        <f>IF(OR($BJ67="",24&gt;設定!$B$3),"",IF(INDEX(原始資料!AA$2:AA$501,$BJ67)="","",INDEX(原始資料!AA$2:AA$501,$BJ67)))</f>
        <v/>
      </c>
      <c r="Z67" s="6">
        <f>IF(OR($BJ67="",25&gt;設定!$B$3),"",IF(INDEX(原始資料!AB$2:AB$501,$BJ67)="","",INDEX(原始資料!AB$2:AB$501,$BJ67)))</f>
        <v/>
      </c>
      <c r="AA67" s="6">
        <f>IF(OR($BJ67="",26&gt;設定!$B$3),"",IF(INDEX(原始資料!AC$2:AC$501,$BJ67)="","",INDEX(原始資料!AC$2:AC$501,$BJ67)))</f>
        <v/>
      </c>
      <c r="AB67" s="6">
        <f>IF(OR($BJ67="",27&gt;設定!$B$3),"",IF(INDEX(原始資料!AD$2:AD$501,$BJ67)="","",INDEX(原始資料!AD$2:AD$501,$BJ67)))</f>
        <v/>
      </c>
      <c r="AC67" s="6">
        <f>IF(OR($BJ67="",28&gt;設定!$B$3),"",IF(INDEX(原始資料!AE$2:AE$501,$BJ67)="","",INDEX(原始資料!AE$2:AE$501,$BJ67)))</f>
        <v/>
      </c>
      <c r="AD67" s="6">
        <f>IF(OR($BJ67="",29&gt;設定!$B$3),"",IF(INDEX(原始資料!AF$2:AF$501,$BJ67)="","",INDEX(原始資料!AF$2:AF$501,$BJ67)))</f>
        <v/>
      </c>
      <c r="AE67" s="6">
        <f>IF(OR($BJ67="",30&gt;設定!$B$3),"",IF(INDEX(原始資料!AG$2:AG$501,$BJ67)="","",INDEX(原始資料!AG$2:AG$501,$BJ67)))</f>
        <v/>
      </c>
      <c r="AF67" s="6">
        <f>IF(OR($BJ67="",31&gt;設定!$B$3),"",IF(INDEX(原始資料!AH$2:AH$501,$BJ67)="","",INDEX(原始資料!AH$2:AH$501,$BJ67)))</f>
        <v/>
      </c>
      <c r="AG67" s="6">
        <f>IF(OR($BJ67="",32&gt;設定!$B$3),"",IF(INDEX(原始資料!AI$2:AI$501,$BJ67)="","",INDEX(原始資料!AI$2:AI$501,$BJ67)))</f>
        <v/>
      </c>
      <c r="AH67" s="6">
        <f>IF(OR($BJ67="",33&gt;設定!$B$3),"",IF(INDEX(原始資料!AJ$2:AJ$501,$BJ67)="","",INDEX(原始資料!AJ$2:AJ$501,$BJ67)))</f>
        <v/>
      </c>
      <c r="AI67" s="6">
        <f>IF(OR($BJ67="",34&gt;設定!$B$3),"",IF(INDEX(原始資料!AK$2:AK$501,$BJ67)="","",INDEX(原始資料!AK$2:AK$501,$BJ67)))</f>
        <v/>
      </c>
      <c r="AJ67" s="6">
        <f>IF(OR($BJ67="",35&gt;設定!$B$3),"",IF(INDEX(原始資料!AL$2:AL$501,$BJ67)="","",INDEX(原始資料!AL$2:AL$501,$BJ67)))</f>
        <v/>
      </c>
      <c r="AK67" s="6">
        <f>IF(OR($BJ67="",36&gt;設定!$B$3),"",IF(INDEX(原始資料!AM$2:AM$501,$BJ67)="","",INDEX(原始資料!AM$2:AM$501,$BJ67)))</f>
        <v/>
      </c>
      <c r="AL67" s="6">
        <f>IF(OR($BJ67="",37&gt;設定!$B$3),"",IF(INDEX(原始資料!AN$2:AN$501,$BJ67)="","",INDEX(原始資料!AN$2:AN$501,$BJ67)))</f>
        <v/>
      </c>
      <c r="AM67" s="6">
        <f>IF(OR($BJ67="",38&gt;設定!$B$3),"",IF(INDEX(原始資料!AO$2:AO$501,$BJ67)="","",INDEX(原始資料!AO$2:AO$501,$BJ67)))</f>
        <v/>
      </c>
      <c r="AN67" s="6">
        <f>IF(OR($BJ67="",39&gt;設定!$B$3),"",IF(INDEX(原始資料!AP$2:AP$501,$BJ67)="","",INDEX(原始資料!AP$2:AP$501,$BJ67)))</f>
        <v/>
      </c>
      <c r="AO67" s="6">
        <f>IF(OR($BJ67="",40&gt;設定!$B$3),"",IF(INDEX(原始資料!AQ$2:AQ$501,$BJ67)="","",INDEX(原始資料!AQ$2:AQ$501,$BJ67)))</f>
        <v/>
      </c>
      <c r="AP67" s="6">
        <f>IF(OR($BJ67="",41&gt;設定!$B$3),"",IF(INDEX(原始資料!AR$2:AR$501,$BJ67)="","",INDEX(原始資料!AR$2:AR$501,$BJ67)))</f>
        <v/>
      </c>
      <c r="AQ67" s="6">
        <f>IF(OR($BJ67="",42&gt;設定!$B$3),"",IF(INDEX(原始資料!AS$2:AS$501,$BJ67)="","",INDEX(原始資料!AS$2:AS$501,$BJ67)))</f>
        <v/>
      </c>
      <c r="AR67" s="6">
        <f>IF(OR($BJ67="",43&gt;設定!$B$3),"",IF(INDEX(原始資料!AT$2:AT$501,$BJ67)="","",INDEX(原始資料!AT$2:AT$501,$BJ67)))</f>
        <v/>
      </c>
      <c r="AS67" s="6">
        <f>IF(OR($BJ67="",44&gt;設定!$B$3),"",IF(INDEX(原始資料!AU$2:AU$501,$BJ67)="","",INDEX(原始資料!AU$2:AU$501,$BJ67)))</f>
        <v/>
      </c>
      <c r="AT67" s="6">
        <f>IF(OR($BJ67="",45&gt;設定!$B$3),"",IF(INDEX(原始資料!AV$2:AV$501,$BJ67)="","",INDEX(原始資料!AV$2:AV$501,$BJ67)))</f>
        <v/>
      </c>
      <c r="AU67" s="6">
        <f>IF(OR($BJ67="",46&gt;設定!$B$3),"",IF(INDEX(原始資料!AW$2:AW$501,$BJ67)="","",INDEX(原始資料!AW$2:AW$501,$BJ67)))</f>
        <v/>
      </c>
      <c r="AV67" s="6">
        <f>IF(OR($BJ67="",47&gt;設定!$B$3),"",IF(INDEX(原始資料!AX$2:AX$501,$BJ67)="","",INDEX(原始資料!AX$2:AX$501,$BJ67)))</f>
        <v/>
      </c>
      <c r="AW67" s="6">
        <f>IF(OR($BJ67="",48&gt;設定!$B$3),"",IF(INDEX(原始資料!AY$2:AY$501,$BJ67)="","",INDEX(原始資料!AY$2:AY$501,$BJ67)))</f>
        <v/>
      </c>
      <c r="AX67" s="6">
        <f>IF(OR($BJ67="",49&gt;設定!$B$3),"",IF(INDEX(原始資料!AZ$2:AZ$501,$BJ67)="","",INDEX(原始資料!AZ$2:AZ$501,$BJ67)))</f>
        <v/>
      </c>
      <c r="AY67" s="6">
        <f>IF(OR($BJ67="",50&gt;設定!$B$3),"",IF(INDEX(原始資料!BA$2:BA$501,$BJ67)="","",INDEX(原始資料!BA$2:BA$501,$BJ67)))</f>
        <v/>
      </c>
      <c r="AZ67" s="6">
        <f>IF(OR($BJ67="",51&gt;設定!$B$3),"",IF(INDEX(原始資料!BB$2:BB$501,$BJ67)="","",INDEX(原始資料!BB$2:BB$501,$BJ67)))</f>
        <v/>
      </c>
      <c r="BA67" s="6">
        <f>IF(OR($BJ67="",52&gt;設定!$B$3),"",IF(INDEX(原始資料!BC$2:BC$501,$BJ67)="","",INDEX(原始資料!BC$2:BC$501,$BJ67)))</f>
        <v/>
      </c>
      <c r="BB67" s="6">
        <f>IF(OR($BJ67="",53&gt;設定!$B$3),"",IF(INDEX(原始資料!BD$2:BD$501,$BJ67)="","",INDEX(原始資料!BD$2:BD$501,$BJ67)))</f>
        <v/>
      </c>
      <c r="BC67" s="6">
        <f>IF(OR($BJ67="",54&gt;設定!$B$3),"",IF(INDEX(原始資料!BE$2:BE$501,$BJ67)="","",INDEX(原始資料!BE$2:BE$501,$BJ67)))</f>
        <v/>
      </c>
      <c r="BD67" s="6">
        <f>IF(OR($BJ67="",55&gt;設定!$B$3),"",IF(INDEX(原始資料!BF$2:BF$501,$BJ67)="","",INDEX(原始資料!BF$2:BF$501,$BJ67)))</f>
        <v/>
      </c>
      <c r="BE67" s="6">
        <f>IF(OR($BJ67="",56&gt;設定!$B$3),"",IF(INDEX(原始資料!BG$2:BG$501,$BJ67)="","",INDEX(原始資料!BG$2:BG$501,$BJ67)))</f>
        <v/>
      </c>
      <c r="BF67" s="6">
        <f>IF(OR($BJ67="",57&gt;設定!$B$3),"",IF(INDEX(原始資料!BH$2:BH$501,$BJ67)="","",INDEX(原始資料!BH$2:BH$501,$BJ67)))</f>
        <v/>
      </c>
      <c r="BG67" s="6">
        <f>IF(OR($BJ67="",58&gt;設定!$B$3),"",IF(INDEX(原始資料!BI$2:BI$501,$BJ67)="","",INDEX(原始資料!BI$2:BI$501,$BJ67)))</f>
        <v/>
      </c>
      <c r="BH67" s="6">
        <f>IF(OR($BJ67="",59&gt;設定!$B$3),"",IF(INDEX(原始資料!BJ$2:BJ$501,$BJ67)="","",INDEX(原始資料!BJ$2:BJ$501,$BJ67)))</f>
        <v/>
      </c>
      <c r="BI67" s="6">
        <f>IF(OR($BJ67="",60&gt;設定!$B$3),"",IF(INDEX(原始資料!BK$2:BK$501,$BJ67)="","",INDEX(原始資料!BK$2:BK$501,$BJ67)))</f>
        <v/>
      </c>
      <c r="BJ67" s="6">
        <f>IFERROR(MATCH(ROW()-1,判定!$H$2:$H$501,0),"")</f>
        <v/>
      </c>
    </row>
    <row r="68">
      <c r="A68" s="6">
        <f>IF($BJ68="","",INDEX(原始資料!$A$2:$A$501,$BJ68))</f>
        <v/>
      </c>
      <c r="B68" s="6">
        <f>IF(OR($BJ68="",1&gt;設定!$B$3),"",IF(INDEX(原始資料!D$2:D$501,$BJ68)="","",INDEX(原始資料!D$2:D$501,$BJ68)))</f>
        <v/>
      </c>
      <c r="C68" s="6">
        <f>IF(OR($BJ68="",2&gt;設定!$B$3),"",IF(INDEX(原始資料!E$2:E$501,$BJ68)="","",INDEX(原始資料!E$2:E$501,$BJ68)))</f>
        <v/>
      </c>
      <c r="D68" s="6">
        <f>IF(OR($BJ68="",3&gt;設定!$B$3),"",IF(INDEX(原始資料!F$2:F$501,$BJ68)="","",INDEX(原始資料!F$2:F$501,$BJ68)))</f>
        <v/>
      </c>
      <c r="E68" s="6">
        <f>IF(OR($BJ68="",4&gt;設定!$B$3),"",IF(INDEX(原始資料!G$2:G$501,$BJ68)="","",INDEX(原始資料!G$2:G$501,$BJ68)))</f>
        <v/>
      </c>
      <c r="F68" s="6">
        <f>IF(OR($BJ68="",5&gt;設定!$B$3),"",IF(INDEX(原始資料!H$2:H$501,$BJ68)="","",INDEX(原始資料!H$2:H$501,$BJ68)))</f>
        <v/>
      </c>
      <c r="G68" s="6">
        <f>IF(OR($BJ68="",6&gt;設定!$B$3),"",IF(INDEX(原始資料!I$2:I$501,$BJ68)="","",INDEX(原始資料!I$2:I$501,$BJ68)))</f>
        <v/>
      </c>
      <c r="H68" s="6">
        <f>IF(OR($BJ68="",7&gt;設定!$B$3),"",IF(INDEX(原始資料!J$2:J$501,$BJ68)="","",INDEX(原始資料!J$2:J$501,$BJ68)))</f>
        <v/>
      </c>
      <c r="I68" s="6">
        <f>IF(OR($BJ68="",8&gt;設定!$B$3),"",IF(INDEX(原始資料!K$2:K$501,$BJ68)="","",INDEX(原始資料!K$2:K$501,$BJ68)))</f>
        <v/>
      </c>
      <c r="J68" s="6">
        <f>IF(OR($BJ68="",9&gt;設定!$B$3),"",IF(INDEX(原始資料!L$2:L$501,$BJ68)="","",INDEX(原始資料!L$2:L$501,$BJ68)))</f>
        <v/>
      </c>
      <c r="K68" s="6">
        <f>IF(OR($BJ68="",10&gt;設定!$B$3),"",IF(INDEX(原始資料!M$2:M$501,$BJ68)="","",INDEX(原始資料!M$2:M$501,$BJ68)))</f>
        <v/>
      </c>
      <c r="L68" s="6">
        <f>IF(OR($BJ68="",11&gt;設定!$B$3),"",IF(INDEX(原始資料!N$2:N$501,$BJ68)="","",INDEX(原始資料!N$2:N$501,$BJ68)))</f>
        <v/>
      </c>
      <c r="M68" s="6">
        <f>IF(OR($BJ68="",12&gt;設定!$B$3),"",IF(INDEX(原始資料!O$2:O$501,$BJ68)="","",INDEX(原始資料!O$2:O$501,$BJ68)))</f>
        <v/>
      </c>
      <c r="N68" s="6">
        <f>IF(OR($BJ68="",13&gt;設定!$B$3),"",IF(INDEX(原始資料!P$2:P$501,$BJ68)="","",INDEX(原始資料!P$2:P$501,$BJ68)))</f>
        <v/>
      </c>
      <c r="O68" s="6">
        <f>IF(OR($BJ68="",14&gt;設定!$B$3),"",IF(INDEX(原始資料!Q$2:Q$501,$BJ68)="","",INDEX(原始資料!Q$2:Q$501,$BJ68)))</f>
        <v/>
      </c>
      <c r="P68" s="6">
        <f>IF(OR($BJ68="",15&gt;設定!$B$3),"",IF(INDEX(原始資料!R$2:R$501,$BJ68)="","",INDEX(原始資料!R$2:R$501,$BJ68)))</f>
        <v/>
      </c>
      <c r="Q68" s="6">
        <f>IF(OR($BJ68="",16&gt;設定!$B$3),"",IF(INDEX(原始資料!S$2:S$501,$BJ68)="","",INDEX(原始資料!S$2:S$501,$BJ68)))</f>
        <v/>
      </c>
      <c r="R68" s="6">
        <f>IF(OR($BJ68="",17&gt;設定!$B$3),"",IF(INDEX(原始資料!T$2:T$501,$BJ68)="","",INDEX(原始資料!T$2:T$501,$BJ68)))</f>
        <v/>
      </c>
      <c r="S68" s="6">
        <f>IF(OR($BJ68="",18&gt;設定!$B$3),"",IF(INDEX(原始資料!U$2:U$501,$BJ68)="","",INDEX(原始資料!U$2:U$501,$BJ68)))</f>
        <v/>
      </c>
      <c r="T68" s="6">
        <f>IF(OR($BJ68="",19&gt;設定!$B$3),"",IF(INDEX(原始資料!V$2:V$501,$BJ68)="","",INDEX(原始資料!V$2:V$501,$BJ68)))</f>
        <v/>
      </c>
      <c r="U68" s="6">
        <f>IF(OR($BJ68="",20&gt;設定!$B$3),"",IF(INDEX(原始資料!W$2:W$501,$BJ68)="","",INDEX(原始資料!W$2:W$501,$BJ68)))</f>
        <v/>
      </c>
      <c r="V68" s="6">
        <f>IF(OR($BJ68="",21&gt;設定!$B$3),"",IF(INDEX(原始資料!X$2:X$501,$BJ68)="","",INDEX(原始資料!X$2:X$501,$BJ68)))</f>
        <v/>
      </c>
      <c r="W68" s="6">
        <f>IF(OR($BJ68="",22&gt;設定!$B$3),"",IF(INDEX(原始資料!Y$2:Y$501,$BJ68)="","",INDEX(原始資料!Y$2:Y$501,$BJ68)))</f>
        <v/>
      </c>
      <c r="X68" s="6">
        <f>IF(OR($BJ68="",23&gt;設定!$B$3),"",IF(INDEX(原始資料!Z$2:Z$501,$BJ68)="","",INDEX(原始資料!Z$2:Z$501,$BJ68)))</f>
        <v/>
      </c>
      <c r="Y68" s="6">
        <f>IF(OR($BJ68="",24&gt;設定!$B$3),"",IF(INDEX(原始資料!AA$2:AA$501,$BJ68)="","",INDEX(原始資料!AA$2:AA$501,$BJ68)))</f>
        <v/>
      </c>
      <c r="Z68" s="6">
        <f>IF(OR($BJ68="",25&gt;設定!$B$3),"",IF(INDEX(原始資料!AB$2:AB$501,$BJ68)="","",INDEX(原始資料!AB$2:AB$501,$BJ68)))</f>
        <v/>
      </c>
      <c r="AA68" s="6">
        <f>IF(OR($BJ68="",26&gt;設定!$B$3),"",IF(INDEX(原始資料!AC$2:AC$501,$BJ68)="","",INDEX(原始資料!AC$2:AC$501,$BJ68)))</f>
        <v/>
      </c>
      <c r="AB68" s="6">
        <f>IF(OR($BJ68="",27&gt;設定!$B$3),"",IF(INDEX(原始資料!AD$2:AD$501,$BJ68)="","",INDEX(原始資料!AD$2:AD$501,$BJ68)))</f>
        <v/>
      </c>
      <c r="AC68" s="6">
        <f>IF(OR($BJ68="",28&gt;設定!$B$3),"",IF(INDEX(原始資料!AE$2:AE$501,$BJ68)="","",INDEX(原始資料!AE$2:AE$501,$BJ68)))</f>
        <v/>
      </c>
      <c r="AD68" s="6">
        <f>IF(OR($BJ68="",29&gt;設定!$B$3),"",IF(INDEX(原始資料!AF$2:AF$501,$BJ68)="","",INDEX(原始資料!AF$2:AF$501,$BJ68)))</f>
        <v/>
      </c>
      <c r="AE68" s="6">
        <f>IF(OR($BJ68="",30&gt;設定!$B$3),"",IF(INDEX(原始資料!AG$2:AG$501,$BJ68)="","",INDEX(原始資料!AG$2:AG$501,$BJ68)))</f>
        <v/>
      </c>
      <c r="AF68" s="6">
        <f>IF(OR($BJ68="",31&gt;設定!$B$3),"",IF(INDEX(原始資料!AH$2:AH$501,$BJ68)="","",INDEX(原始資料!AH$2:AH$501,$BJ68)))</f>
        <v/>
      </c>
      <c r="AG68" s="6">
        <f>IF(OR($BJ68="",32&gt;設定!$B$3),"",IF(INDEX(原始資料!AI$2:AI$501,$BJ68)="","",INDEX(原始資料!AI$2:AI$501,$BJ68)))</f>
        <v/>
      </c>
      <c r="AH68" s="6">
        <f>IF(OR($BJ68="",33&gt;設定!$B$3),"",IF(INDEX(原始資料!AJ$2:AJ$501,$BJ68)="","",INDEX(原始資料!AJ$2:AJ$501,$BJ68)))</f>
        <v/>
      </c>
      <c r="AI68" s="6">
        <f>IF(OR($BJ68="",34&gt;設定!$B$3),"",IF(INDEX(原始資料!AK$2:AK$501,$BJ68)="","",INDEX(原始資料!AK$2:AK$501,$BJ68)))</f>
        <v/>
      </c>
      <c r="AJ68" s="6">
        <f>IF(OR($BJ68="",35&gt;設定!$B$3),"",IF(INDEX(原始資料!AL$2:AL$501,$BJ68)="","",INDEX(原始資料!AL$2:AL$501,$BJ68)))</f>
        <v/>
      </c>
      <c r="AK68" s="6">
        <f>IF(OR($BJ68="",36&gt;設定!$B$3),"",IF(INDEX(原始資料!AM$2:AM$501,$BJ68)="","",INDEX(原始資料!AM$2:AM$501,$BJ68)))</f>
        <v/>
      </c>
      <c r="AL68" s="6">
        <f>IF(OR($BJ68="",37&gt;設定!$B$3),"",IF(INDEX(原始資料!AN$2:AN$501,$BJ68)="","",INDEX(原始資料!AN$2:AN$501,$BJ68)))</f>
        <v/>
      </c>
      <c r="AM68" s="6">
        <f>IF(OR($BJ68="",38&gt;設定!$B$3),"",IF(INDEX(原始資料!AO$2:AO$501,$BJ68)="","",INDEX(原始資料!AO$2:AO$501,$BJ68)))</f>
        <v/>
      </c>
      <c r="AN68" s="6">
        <f>IF(OR($BJ68="",39&gt;設定!$B$3),"",IF(INDEX(原始資料!AP$2:AP$501,$BJ68)="","",INDEX(原始資料!AP$2:AP$501,$BJ68)))</f>
        <v/>
      </c>
      <c r="AO68" s="6">
        <f>IF(OR($BJ68="",40&gt;設定!$B$3),"",IF(INDEX(原始資料!AQ$2:AQ$501,$BJ68)="","",INDEX(原始資料!AQ$2:AQ$501,$BJ68)))</f>
        <v/>
      </c>
      <c r="AP68" s="6">
        <f>IF(OR($BJ68="",41&gt;設定!$B$3),"",IF(INDEX(原始資料!AR$2:AR$501,$BJ68)="","",INDEX(原始資料!AR$2:AR$501,$BJ68)))</f>
        <v/>
      </c>
      <c r="AQ68" s="6">
        <f>IF(OR($BJ68="",42&gt;設定!$B$3),"",IF(INDEX(原始資料!AS$2:AS$501,$BJ68)="","",INDEX(原始資料!AS$2:AS$501,$BJ68)))</f>
        <v/>
      </c>
      <c r="AR68" s="6">
        <f>IF(OR($BJ68="",43&gt;設定!$B$3),"",IF(INDEX(原始資料!AT$2:AT$501,$BJ68)="","",INDEX(原始資料!AT$2:AT$501,$BJ68)))</f>
        <v/>
      </c>
      <c r="AS68" s="6">
        <f>IF(OR($BJ68="",44&gt;設定!$B$3),"",IF(INDEX(原始資料!AU$2:AU$501,$BJ68)="","",INDEX(原始資料!AU$2:AU$501,$BJ68)))</f>
        <v/>
      </c>
      <c r="AT68" s="6">
        <f>IF(OR($BJ68="",45&gt;設定!$B$3),"",IF(INDEX(原始資料!AV$2:AV$501,$BJ68)="","",INDEX(原始資料!AV$2:AV$501,$BJ68)))</f>
        <v/>
      </c>
      <c r="AU68" s="6">
        <f>IF(OR($BJ68="",46&gt;設定!$B$3),"",IF(INDEX(原始資料!AW$2:AW$501,$BJ68)="","",INDEX(原始資料!AW$2:AW$501,$BJ68)))</f>
        <v/>
      </c>
      <c r="AV68" s="6">
        <f>IF(OR($BJ68="",47&gt;設定!$B$3),"",IF(INDEX(原始資料!AX$2:AX$501,$BJ68)="","",INDEX(原始資料!AX$2:AX$501,$BJ68)))</f>
        <v/>
      </c>
      <c r="AW68" s="6">
        <f>IF(OR($BJ68="",48&gt;設定!$B$3),"",IF(INDEX(原始資料!AY$2:AY$501,$BJ68)="","",INDEX(原始資料!AY$2:AY$501,$BJ68)))</f>
        <v/>
      </c>
      <c r="AX68" s="6">
        <f>IF(OR($BJ68="",49&gt;設定!$B$3),"",IF(INDEX(原始資料!AZ$2:AZ$501,$BJ68)="","",INDEX(原始資料!AZ$2:AZ$501,$BJ68)))</f>
        <v/>
      </c>
      <c r="AY68" s="6">
        <f>IF(OR($BJ68="",50&gt;設定!$B$3),"",IF(INDEX(原始資料!BA$2:BA$501,$BJ68)="","",INDEX(原始資料!BA$2:BA$501,$BJ68)))</f>
        <v/>
      </c>
      <c r="AZ68" s="6">
        <f>IF(OR($BJ68="",51&gt;設定!$B$3),"",IF(INDEX(原始資料!BB$2:BB$501,$BJ68)="","",INDEX(原始資料!BB$2:BB$501,$BJ68)))</f>
        <v/>
      </c>
      <c r="BA68" s="6">
        <f>IF(OR($BJ68="",52&gt;設定!$B$3),"",IF(INDEX(原始資料!BC$2:BC$501,$BJ68)="","",INDEX(原始資料!BC$2:BC$501,$BJ68)))</f>
        <v/>
      </c>
      <c r="BB68" s="6">
        <f>IF(OR($BJ68="",53&gt;設定!$B$3),"",IF(INDEX(原始資料!BD$2:BD$501,$BJ68)="","",INDEX(原始資料!BD$2:BD$501,$BJ68)))</f>
        <v/>
      </c>
      <c r="BC68" s="6">
        <f>IF(OR($BJ68="",54&gt;設定!$B$3),"",IF(INDEX(原始資料!BE$2:BE$501,$BJ68)="","",INDEX(原始資料!BE$2:BE$501,$BJ68)))</f>
        <v/>
      </c>
      <c r="BD68" s="6">
        <f>IF(OR($BJ68="",55&gt;設定!$B$3),"",IF(INDEX(原始資料!BF$2:BF$501,$BJ68)="","",INDEX(原始資料!BF$2:BF$501,$BJ68)))</f>
        <v/>
      </c>
      <c r="BE68" s="6">
        <f>IF(OR($BJ68="",56&gt;設定!$B$3),"",IF(INDEX(原始資料!BG$2:BG$501,$BJ68)="","",INDEX(原始資料!BG$2:BG$501,$BJ68)))</f>
        <v/>
      </c>
      <c r="BF68" s="6">
        <f>IF(OR($BJ68="",57&gt;設定!$B$3),"",IF(INDEX(原始資料!BH$2:BH$501,$BJ68)="","",INDEX(原始資料!BH$2:BH$501,$BJ68)))</f>
        <v/>
      </c>
      <c r="BG68" s="6">
        <f>IF(OR($BJ68="",58&gt;設定!$B$3),"",IF(INDEX(原始資料!BI$2:BI$501,$BJ68)="","",INDEX(原始資料!BI$2:BI$501,$BJ68)))</f>
        <v/>
      </c>
      <c r="BH68" s="6">
        <f>IF(OR($BJ68="",59&gt;設定!$B$3),"",IF(INDEX(原始資料!BJ$2:BJ$501,$BJ68)="","",INDEX(原始資料!BJ$2:BJ$501,$BJ68)))</f>
        <v/>
      </c>
      <c r="BI68" s="6">
        <f>IF(OR($BJ68="",60&gt;設定!$B$3),"",IF(INDEX(原始資料!BK$2:BK$501,$BJ68)="","",INDEX(原始資料!BK$2:BK$501,$BJ68)))</f>
        <v/>
      </c>
      <c r="BJ68" s="6">
        <f>IFERROR(MATCH(ROW()-1,判定!$H$2:$H$501,0),"")</f>
        <v/>
      </c>
    </row>
    <row r="69">
      <c r="A69" s="6">
        <f>IF($BJ69="","",INDEX(原始資料!$A$2:$A$501,$BJ69))</f>
        <v/>
      </c>
      <c r="B69" s="6">
        <f>IF(OR($BJ69="",1&gt;設定!$B$3),"",IF(INDEX(原始資料!D$2:D$501,$BJ69)="","",INDEX(原始資料!D$2:D$501,$BJ69)))</f>
        <v/>
      </c>
      <c r="C69" s="6">
        <f>IF(OR($BJ69="",2&gt;設定!$B$3),"",IF(INDEX(原始資料!E$2:E$501,$BJ69)="","",INDEX(原始資料!E$2:E$501,$BJ69)))</f>
        <v/>
      </c>
      <c r="D69" s="6">
        <f>IF(OR($BJ69="",3&gt;設定!$B$3),"",IF(INDEX(原始資料!F$2:F$501,$BJ69)="","",INDEX(原始資料!F$2:F$501,$BJ69)))</f>
        <v/>
      </c>
      <c r="E69" s="6">
        <f>IF(OR($BJ69="",4&gt;設定!$B$3),"",IF(INDEX(原始資料!G$2:G$501,$BJ69)="","",INDEX(原始資料!G$2:G$501,$BJ69)))</f>
        <v/>
      </c>
      <c r="F69" s="6">
        <f>IF(OR($BJ69="",5&gt;設定!$B$3),"",IF(INDEX(原始資料!H$2:H$501,$BJ69)="","",INDEX(原始資料!H$2:H$501,$BJ69)))</f>
        <v/>
      </c>
      <c r="G69" s="6">
        <f>IF(OR($BJ69="",6&gt;設定!$B$3),"",IF(INDEX(原始資料!I$2:I$501,$BJ69)="","",INDEX(原始資料!I$2:I$501,$BJ69)))</f>
        <v/>
      </c>
      <c r="H69" s="6">
        <f>IF(OR($BJ69="",7&gt;設定!$B$3),"",IF(INDEX(原始資料!J$2:J$501,$BJ69)="","",INDEX(原始資料!J$2:J$501,$BJ69)))</f>
        <v/>
      </c>
      <c r="I69" s="6">
        <f>IF(OR($BJ69="",8&gt;設定!$B$3),"",IF(INDEX(原始資料!K$2:K$501,$BJ69)="","",INDEX(原始資料!K$2:K$501,$BJ69)))</f>
        <v/>
      </c>
      <c r="J69" s="6">
        <f>IF(OR($BJ69="",9&gt;設定!$B$3),"",IF(INDEX(原始資料!L$2:L$501,$BJ69)="","",INDEX(原始資料!L$2:L$501,$BJ69)))</f>
        <v/>
      </c>
      <c r="K69" s="6">
        <f>IF(OR($BJ69="",10&gt;設定!$B$3),"",IF(INDEX(原始資料!M$2:M$501,$BJ69)="","",INDEX(原始資料!M$2:M$501,$BJ69)))</f>
        <v/>
      </c>
      <c r="L69" s="6">
        <f>IF(OR($BJ69="",11&gt;設定!$B$3),"",IF(INDEX(原始資料!N$2:N$501,$BJ69)="","",INDEX(原始資料!N$2:N$501,$BJ69)))</f>
        <v/>
      </c>
      <c r="M69" s="6">
        <f>IF(OR($BJ69="",12&gt;設定!$B$3),"",IF(INDEX(原始資料!O$2:O$501,$BJ69)="","",INDEX(原始資料!O$2:O$501,$BJ69)))</f>
        <v/>
      </c>
      <c r="N69" s="6">
        <f>IF(OR($BJ69="",13&gt;設定!$B$3),"",IF(INDEX(原始資料!P$2:P$501,$BJ69)="","",INDEX(原始資料!P$2:P$501,$BJ69)))</f>
        <v/>
      </c>
      <c r="O69" s="6">
        <f>IF(OR($BJ69="",14&gt;設定!$B$3),"",IF(INDEX(原始資料!Q$2:Q$501,$BJ69)="","",INDEX(原始資料!Q$2:Q$501,$BJ69)))</f>
        <v/>
      </c>
      <c r="P69" s="6">
        <f>IF(OR($BJ69="",15&gt;設定!$B$3),"",IF(INDEX(原始資料!R$2:R$501,$BJ69)="","",INDEX(原始資料!R$2:R$501,$BJ69)))</f>
        <v/>
      </c>
      <c r="Q69" s="6">
        <f>IF(OR($BJ69="",16&gt;設定!$B$3),"",IF(INDEX(原始資料!S$2:S$501,$BJ69)="","",INDEX(原始資料!S$2:S$501,$BJ69)))</f>
        <v/>
      </c>
      <c r="R69" s="6">
        <f>IF(OR($BJ69="",17&gt;設定!$B$3),"",IF(INDEX(原始資料!T$2:T$501,$BJ69)="","",INDEX(原始資料!T$2:T$501,$BJ69)))</f>
        <v/>
      </c>
      <c r="S69" s="6">
        <f>IF(OR($BJ69="",18&gt;設定!$B$3),"",IF(INDEX(原始資料!U$2:U$501,$BJ69)="","",INDEX(原始資料!U$2:U$501,$BJ69)))</f>
        <v/>
      </c>
      <c r="T69" s="6">
        <f>IF(OR($BJ69="",19&gt;設定!$B$3),"",IF(INDEX(原始資料!V$2:V$501,$BJ69)="","",INDEX(原始資料!V$2:V$501,$BJ69)))</f>
        <v/>
      </c>
      <c r="U69" s="6">
        <f>IF(OR($BJ69="",20&gt;設定!$B$3),"",IF(INDEX(原始資料!W$2:W$501,$BJ69)="","",INDEX(原始資料!W$2:W$501,$BJ69)))</f>
        <v/>
      </c>
      <c r="V69" s="6">
        <f>IF(OR($BJ69="",21&gt;設定!$B$3),"",IF(INDEX(原始資料!X$2:X$501,$BJ69)="","",INDEX(原始資料!X$2:X$501,$BJ69)))</f>
        <v/>
      </c>
      <c r="W69" s="6">
        <f>IF(OR($BJ69="",22&gt;設定!$B$3),"",IF(INDEX(原始資料!Y$2:Y$501,$BJ69)="","",INDEX(原始資料!Y$2:Y$501,$BJ69)))</f>
        <v/>
      </c>
      <c r="X69" s="6">
        <f>IF(OR($BJ69="",23&gt;設定!$B$3),"",IF(INDEX(原始資料!Z$2:Z$501,$BJ69)="","",INDEX(原始資料!Z$2:Z$501,$BJ69)))</f>
        <v/>
      </c>
      <c r="Y69" s="6">
        <f>IF(OR($BJ69="",24&gt;設定!$B$3),"",IF(INDEX(原始資料!AA$2:AA$501,$BJ69)="","",INDEX(原始資料!AA$2:AA$501,$BJ69)))</f>
        <v/>
      </c>
      <c r="Z69" s="6">
        <f>IF(OR($BJ69="",25&gt;設定!$B$3),"",IF(INDEX(原始資料!AB$2:AB$501,$BJ69)="","",INDEX(原始資料!AB$2:AB$501,$BJ69)))</f>
        <v/>
      </c>
      <c r="AA69" s="6">
        <f>IF(OR($BJ69="",26&gt;設定!$B$3),"",IF(INDEX(原始資料!AC$2:AC$501,$BJ69)="","",INDEX(原始資料!AC$2:AC$501,$BJ69)))</f>
        <v/>
      </c>
      <c r="AB69" s="6">
        <f>IF(OR($BJ69="",27&gt;設定!$B$3),"",IF(INDEX(原始資料!AD$2:AD$501,$BJ69)="","",INDEX(原始資料!AD$2:AD$501,$BJ69)))</f>
        <v/>
      </c>
      <c r="AC69" s="6">
        <f>IF(OR($BJ69="",28&gt;設定!$B$3),"",IF(INDEX(原始資料!AE$2:AE$501,$BJ69)="","",INDEX(原始資料!AE$2:AE$501,$BJ69)))</f>
        <v/>
      </c>
      <c r="AD69" s="6">
        <f>IF(OR($BJ69="",29&gt;設定!$B$3),"",IF(INDEX(原始資料!AF$2:AF$501,$BJ69)="","",INDEX(原始資料!AF$2:AF$501,$BJ69)))</f>
        <v/>
      </c>
      <c r="AE69" s="6">
        <f>IF(OR($BJ69="",30&gt;設定!$B$3),"",IF(INDEX(原始資料!AG$2:AG$501,$BJ69)="","",INDEX(原始資料!AG$2:AG$501,$BJ69)))</f>
        <v/>
      </c>
      <c r="AF69" s="6">
        <f>IF(OR($BJ69="",31&gt;設定!$B$3),"",IF(INDEX(原始資料!AH$2:AH$501,$BJ69)="","",INDEX(原始資料!AH$2:AH$501,$BJ69)))</f>
        <v/>
      </c>
      <c r="AG69" s="6">
        <f>IF(OR($BJ69="",32&gt;設定!$B$3),"",IF(INDEX(原始資料!AI$2:AI$501,$BJ69)="","",INDEX(原始資料!AI$2:AI$501,$BJ69)))</f>
        <v/>
      </c>
      <c r="AH69" s="6">
        <f>IF(OR($BJ69="",33&gt;設定!$B$3),"",IF(INDEX(原始資料!AJ$2:AJ$501,$BJ69)="","",INDEX(原始資料!AJ$2:AJ$501,$BJ69)))</f>
        <v/>
      </c>
      <c r="AI69" s="6">
        <f>IF(OR($BJ69="",34&gt;設定!$B$3),"",IF(INDEX(原始資料!AK$2:AK$501,$BJ69)="","",INDEX(原始資料!AK$2:AK$501,$BJ69)))</f>
        <v/>
      </c>
      <c r="AJ69" s="6">
        <f>IF(OR($BJ69="",35&gt;設定!$B$3),"",IF(INDEX(原始資料!AL$2:AL$501,$BJ69)="","",INDEX(原始資料!AL$2:AL$501,$BJ69)))</f>
        <v/>
      </c>
      <c r="AK69" s="6">
        <f>IF(OR($BJ69="",36&gt;設定!$B$3),"",IF(INDEX(原始資料!AM$2:AM$501,$BJ69)="","",INDEX(原始資料!AM$2:AM$501,$BJ69)))</f>
        <v/>
      </c>
      <c r="AL69" s="6">
        <f>IF(OR($BJ69="",37&gt;設定!$B$3),"",IF(INDEX(原始資料!AN$2:AN$501,$BJ69)="","",INDEX(原始資料!AN$2:AN$501,$BJ69)))</f>
        <v/>
      </c>
      <c r="AM69" s="6">
        <f>IF(OR($BJ69="",38&gt;設定!$B$3),"",IF(INDEX(原始資料!AO$2:AO$501,$BJ69)="","",INDEX(原始資料!AO$2:AO$501,$BJ69)))</f>
        <v/>
      </c>
      <c r="AN69" s="6">
        <f>IF(OR($BJ69="",39&gt;設定!$B$3),"",IF(INDEX(原始資料!AP$2:AP$501,$BJ69)="","",INDEX(原始資料!AP$2:AP$501,$BJ69)))</f>
        <v/>
      </c>
      <c r="AO69" s="6">
        <f>IF(OR($BJ69="",40&gt;設定!$B$3),"",IF(INDEX(原始資料!AQ$2:AQ$501,$BJ69)="","",INDEX(原始資料!AQ$2:AQ$501,$BJ69)))</f>
        <v/>
      </c>
      <c r="AP69" s="6">
        <f>IF(OR($BJ69="",41&gt;設定!$B$3),"",IF(INDEX(原始資料!AR$2:AR$501,$BJ69)="","",INDEX(原始資料!AR$2:AR$501,$BJ69)))</f>
        <v/>
      </c>
      <c r="AQ69" s="6">
        <f>IF(OR($BJ69="",42&gt;設定!$B$3),"",IF(INDEX(原始資料!AS$2:AS$501,$BJ69)="","",INDEX(原始資料!AS$2:AS$501,$BJ69)))</f>
        <v/>
      </c>
      <c r="AR69" s="6">
        <f>IF(OR($BJ69="",43&gt;設定!$B$3),"",IF(INDEX(原始資料!AT$2:AT$501,$BJ69)="","",INDEX(原始資料!AT$2:AT$501,$BJ69)))</f>
        <v/>
      </c>
      <c r="AS69" s="6">
        <f>IF(OR($BJ69="",44&gt;設定!$B$3),"",IF(INDEX(原始資料!AU$2:AU$501,$BJ69)="","",INDEX(原始資料!AU$2:AU$501,$BJ69)))</f>
        <v/>
      </c>
      <c r="AT69" s="6">
        <f>IF(OR($BJ69="",45&gt;設定!$B$3),"",IF(INDEX(原始資料!AV$2:AV$501,$BJ69)="","",INDEX(原始資料!AV$2:AV$501,$BJ69)))</f>
        <v/>
      </c>
      <c r="AU69" s="6">
        <f>IF(OR($BJ69="",46&gt;設定!$B$3),"",IF(INDEX(原始資料!AW$2:AW$501,$BJ69)="","",INDEX(原始資料!AW$2:AW$501,$BJ69)))</f>
        <v/>
      </c>
      <c r="AV69" s="6">
        <f>IF(OR($BJ69="",47&gt;設定!$B$3),"",IF(INDEX(原始資料!AX$2:AX$501,$BJ69)="","",INDEX(原始資料!AX$2:AX$501,$BJ69)))</f>
        <v/>
      </c>
      <c r="AW69" s="6">
        <f>IF(OR($BJ69="",48&gt;設定!$B$3),"",IF(INDEX(原始資料!AY$2:AY$501,$BJ69)="","",INDEX(原始資料!AY$2:AY$501,$BJ69)))</f>
        <v/>
      </c>
      <c r="AX69" s="6">
        <f>IF(OR($BJ69="",49&gt;設定!$B$3),"",IF(INDEX(原始資料!AZ$2:AZ$501,$BJ69)="","",INDEX(原始資料!AZ$2:AZ$501,$BJ69)))</f>
        <v/>
      </c>
      <c r="AY69" s="6">
        <f>IF(OR($BJ69="",50&gt;設定!$B$3),"",IF(INDEX(原始資料!BA$2:BA$501,$BJ69)="","",INDEX(原始資料!BA$2:BA$501,$BJ69)))</f>
        <v/>
      </c>
      <c r="AZ69" s="6">
        <f>IF(OR($BJ69="",51&gt;設定!$B$3),"",IF(INDEX(原始資料!BB$2:BB$501,$BJ69)="","",INDEX(原始資料!BB$2:BB$501,$BJ69)))</f>
        <v/>
      </c>
      <c r="BA69" s="6">
        <f>IF(OR($BJ69="",52&gt;設定!$B$3),"",IF(INDEX(原始資料!BC$2:BC$501,$BJ69)="","",INDEX(原始資料!BC$2:BC$501,$BJ69)))</f>
        <v/>
      </c>
      <c r="BB69" s="6">
        <f>IF(OR($BJ69="",53&gt;設定!$B$3),"",IF(INDEX(原始資料!BD$2:BD$501,$BJ69)="","",INDEX(原始資料!BD$2:BD$501,$BJ69)))</f>
        <v/>
      </c>
      <c r="BC69" s="6">
        <f>IF(OR($BJ69="",54&gt;設定!$B$3),"",IF(INDEX(原始資料!BE$2:BE$501,$BJ69)="","",INDEX(原始資料!BE$2:BE$501,$BJ69)))</f>
        <v/>
      </c>
      <c r="BD69" s="6">
        <f>IF(OR($BJ69="",55&gt;設定!$B$3),"",IF(INDEX(原始資料!BF$2:BF$501,$BJ69)="","",INDEX(原始資料!BF$2:BF$501,$BJ69)))</f>
        <v/>
      </c>
      <c r="BE69" s="6">
        <f>IF(OR($BJ69="",56&gt;設定!$B$3),"",IF(INDEX(原始資料!BG$2:BG$501,$BJ69)="","",INDEX(原始資料!BG$2:BG$501,$BJ69)))</f>
        <v/>
      </c>
      <c r="BF69" s="6">
        <f>IF(OR($BJ69="",57&gt;設定!$B$3),"",IF(INDEX(原始資料!BH$2:BH$501,$BJ69)="","",INDEX(原始資料!BH$2:BH$501,$BJ69)))</f>
        <v/>
      </c>
      <c r="BG69" s="6">
        <f>IF(OR($BJ69="",58&gt;設定!$B$3),"",IF(INDEX(原始資料!BI$2:BI$501,$BJ69)="","",INDEX(原始資料!BI$2:BI$501,$BJ69)))</f>
        <v/>
      </c>
      <c r="BH69" s="6">
        <f>IF(OR($BJ69="",59&gt;設定!$B$3),"",IF(INDEX(原始資料!BJ$2:BJ$501,$BJ69)="","",INDEX(原始資料!BJ$2:BJ$501,$BJ69)))</f>
        <v/>
      </c>
      <c r="BI69" s="6">
        <f>IF(OR($BJ69="",60&gt;設定!$B$3),"",IF(INDEX(原始資料!BK$2:BK$501,$BJ69)="","",INDEX(原始資料!BK$2:BK$501,$BJ69)))</f>
        <v/>
      </c>
      <c r="BJ69" s="6">
        <f>IFERROR(MATCH(ROW()-1,判定!$H$2:$H$501,0),"")</f>
        <v/>
      </c>
    </row>
    <row r="70">
      <c r="A70" s="6">
        <f>IF($BJ70="","",INDEX(原始資料!$A$2:$A$501,$BJ70))</f>
        <v/>
      </c>
      <c r="B70" s="6">
        <f>IF(OR($BJ70="",1&gt;設定!$B$3),"",IF(INDEX(原始資料!D$2:D$501,$BJ70)="","",INDEX(原始資料!D$2:D$501,$BJ70)))</f>
        <v/>
      </c>
      <c r="C70" s="6">
        <f>IF(OR($BJ70="",2&gt;設定!$B$3),"",IF(INDEX(原始資料!E$2:E$501,$BJ70)="","",INDEX(原始資料!E$2:E$501,$BJ70)))</f>
        <v/>
      </c>
      <c r="D70" s="6">
        <f>IF(OR($BJ70="",3&gt;設定!$B$3),"",IF(INDEX(原始資料!F$2:F$501,$BJ70)="","",INDEX(原始資料!F$2:F$501,$BJ70)))</f>
        <v/>
      </c>
      <c r="E70" s="6">
        <f>IF(OR($BJ70="",4&gt;設定!$B$3),"",IF(INDEX(原始資料!G$2:G$501,$BJ70)="","",INDEX(原始資料!G$2:G$501,$BJ70)))</f>
        <v/>
      </c>
      <c r="F70" s="6">
        <f>IF(OR($BJ70="",5&gt;設定!$B$3),"",IF(INDEX(原始資料!H$2:H$501,$BJ70)="","",INDEX(原始資料!H$2:H$501,$BJ70)))</f>
        <v/>
      </c>
      <c r="G70" s="6">
        <f>IF(OR($BJ70="",6&gt;設定!$B$3),"",IF(INDEX(原始資料!I$2:I$501,$BJ70)="","",INDEX(原始資料!I$2:I$501,$BJ70)))</f>
        <v/>
      </c>
      <c r="H70" s="6">
        <f>IF(OR($BJ70="",7&gt;設定!$B$3),"",IF(INDEX(原始資料!J$2:J$501,$BJ70)="","",INDEX(原始資料!J$2:J$501,$BJ70)))</f>
        <v/>
      </c>
      <c r="I70" s="6">
        <f>IF(OR($BJ70="",8&gt;設定!$B$3),"",IF(INDEX(原始資料!K$2:K$501,$BJ70)="","",INDEX(原始資料!K$2:K$501,$BJ70)))</f>
        <v/>
      </c>
      <c r="J70" s="6">
        <f>IF(OR($BJ70="",9&gt;設定!$B$3),"",IF(INDEX(原始資料!L$2:L$501,$BJ70)="","",INDEX(原始資料!L$2:L$501,$BJ70)))</f>
        <v/>
      </c>
      <c r="K70" s="6">
        <f>IF(OR($BJ70="",10&gt;設定!$B$3),"",IF(INDEX(原始資料!M$2:M$501,$BJ70)="","",INDEX(原始資料!M$2:M$501,$BJ70)))</f>
        <v/>
      </c>
      <c r="L70" s="6">
        <f>IF(OR($BJ70="",11&gt;設定!$B$3),"",IF(INDEX(原始資料!N$2:N$501,$BJ70)="","",INDEX(原始資料!N$2:N$501,$BJ70)))</f>
        <v/>
      </c>
      <c r="M70" s="6">
        <f>IF(OR($BJ70="",12&gt;設定!$B$3),"",IF(INDEX(原始資料!O$2:O$501,$BJ70)="","",INDEX(原始資料!O$2:O$501,$BJ70)))</f>
        <v/>
      </c>
      <c r="N70" s="6">
        <f>IF(OR($BJ70="",13&gt;設定!$B$3),"",IF(INDEX(原始資料!P$2:P$501,$BJ70)="","",INDEX(原始資料!P$2:P$501,$BJ70)))</f>
        <v/>
      </c>
      <c r="O70" s="6">
        <f>IF(OR($BJ70="",14&gt;設定!$B$3),"",IF(INDEX(原始資料!Q$2:Q$501,$BJ70)="","",INDEX(原始資料!Q$2:Q$501,$BJ70)))</f>
        <v/>
      </c>
      <c r="P70" s="6">
        <f>IF(OR($BJ70="",15&gt;設定!$B$3),"",IF(INDEX(原始資料!R$2:R$501,$BJ70)="","",INDEX(原始資料!R$2:R$501,$BJ70)))</f>
        <v/>
      </c>
      <c r="Q70" s="6">
        <f>IF(OR($BJ70="",16&gt;設定!$B$3),"",IF(INDEX(原始資料!S$2:S$501,$BJ70)="","",INDEX(原始資料!S$2:S$501,$BJ70)))</f>
        <v/>
      </c>
      <c r="R70" s="6">
        <f>IF(OR($BJ70="",17&gt;設定!$B$3),"",IF(INDEX(原始資料!T$2:T$501,$BJ70)="","",INDEX(原始資料!T$2:T$501,$BJ70)))</f>
        <v/>
      </c>
      <c r="S70" s="6">
        <f>IF(OR($BJ70="",18&gt;設定!$B$3),"",IF(INDEX(原始資料!U$2:U$501,$BJ70)="","",INDEX(原始資料!U$2:U$501,$BJ70)))</f>
        <v/>
      </c>
      <c r="T70" s="6">
        <f>IF(OR($BJ70="",19&gt;設定!$B$3),"",IF(INDEX(原始資料!V$2:V$501,$BJ70)="","",INDEX(原始資料!V$2:V$501,$BJ70)))</f>
        <v/>
      </c>
      <c r="U70" s="6">
        <f>IF(OR($BJ70="",20&gt;設定!$B$3),"",IF(INDEX(原始資料!W$2:W$501,$BJ70)="","",INDEX(原始資料!W$2:W$501,$BJ70)))</f>
        <v/>
      </c>
      <c r="V70" s="6">
        <f>IF(OR($BJ70="",21&gt;設定!$B$3),"",IF(INDEX(原始資料!X$2:X$501,$BJ70)="","",INDEX(原始資料!X$2:X$501,$BJ70)))</f>
        <v/>
      </c>
      <c r="W70" s="6">
        <f>IF(OR($BJ70="",22&gt;設定!$B$3),"",IF(INDEX(原始資料!Y$2:Y$501,$BJ70)="","",INDEX(原始資料!Y$2:Y$501,$BJ70)))</f>
        <v/>
      </c>
      <c r="X70" s="6">
        <f>IF(OR($BJ70="",23&gt;設定!$B$3),"",IF(INDEX(原始資料!Z$2:Z$501,$BJ70)="","",INDEX(原始資料!Z$2:Z$501,$BJ70)))</f>
        <v/>
      </c>
      <c r="Y70" s="6">
        <f>IF(OR($BJ70="",24&gt;設定!$B$3),"",IF(INDEX(原始資料!AA$2:AA$501,$BJ70)="","",INDEX(原始資料!AA$2:AA$501,$BJ70)))</f>
        <v/>
      </c>
      <c r="Z70" s="6">
        <f>IF(OR($BJ70="",25&gt;設定!$B$3),"",IF(INDEX(原始資料!AB$2:AB$501,$BJ70)="","",INDEX(原始資料!AB$2:AB$501,$BJ70)))</f>
        <v/>
      </c>
      <c r="AA70" s="6">
        <f>IF(OR($BJ70="",26&gt;設定!$B$3),"",IF(INDEX(原始資料!AC$2:AC$501,$BJ70)="","",INDEX(原始資料!AC$2:AC$501,$BJ70)))</f>
        <v/>
      </c>
      <c r="AB70" s="6">
        <f>IF(OR($BJ70="",27&gt;設定!$B$3),"",IF(INDEX(原始資料!AD$2:AD$501,$BJ70)="","",INDEX(原始資料!AD$2:AD$501,$BJ70)))</f>
        <v/>
      </c>
      <c r="AC70" s="6">
        <f>IF(OR($BJ70="",28&gt;設定!$B$3),"",IF(INDEX(原始資料!AE$2:AE$501,$BJ70)="","",INDEX(原始資料!AE$2:AE$501,$BJ70)))</f>
        <v/>
      </c>
      <c r="AD70" s="6">
        <f>IF(OR($BJ70="",29&gt;設定!$B$3),"",IF(INDEX(原始資料!AF$2:AF$501,$BJ70)="","",INDEX(原始資料!AF$2:AF$501,$BJ70)))</f>
        <v/>
      </c>
      <c r="AE70" s="6">
        <f>IF(OR($BJ70="",30&gt;設定!$B$3),"",IF(INDEX(原始資料!AG$2:AG$501,$BJ70)="","",INDEX(原始資料!AG$2:AG$501,$BJ70)))</f>
        <v/>
      </c>
      <c r="AF70" s="6">
        <f>IF(OR($BJ70="",31&gt;設定!$B$3),"",IF(INDEX(原始資料!AH$2:AH$501,$BJ70)="","",INDEX(原始資料!AH$2:AH$501,$BJ70)))</f>
        <v/>
      </c>
      <c r="AG70" s="6">
        <f>IF(OR($BJ70="",32&gt;設定!$B$3),"",IF(INDEX(原始資料!AI$2:AI$501,$BJ70)="","",INDEX(原始資料!AI$2:AI$501,$BJ70)))</f>
        <v/>
      </c>
      <c r="AH70" s="6">
        <f>IF(OR($BJ70="",33&gt;設定!$B$3),"",IF(INDEX(原始資料!AJ$2:AJ$501,$BJ70)="","",INDEX(原始資料!AJ$2:AJ$501,$BJ70)))</f>
        <v/>
      </c>
      <c r="AI70" s="6">
        <f>IF(OR($BJ70="",34&gt;設定!$B$3),"",IF(INDEX(原始資料!AK$2:AK$501,$BJ70)="","",INDEX(原始資料!AK$2:AK$501,$BJ70)))</f>
        <v/>
      </c>
      <c r="AJ70" s="6">
        <f>IF(OR($BJ70="",35&gt;設定!$B$3),"",IF(INDEX(原始資料!AL$2:AL$501,$BJ70)="","",INDEX(原始資料!AL$2:AL$501,$BJ70)))</f>
        <v/>
      </c>
      <c r="AK70" s="6">
        <f>IF(OR($BJ70="",36&gt;設定!$B$3),"",IF(INDEX(原始資料!AM$2:AM$501,$BJ70)="","",INDEX(原始資料!AM$2:AM$501,$BJ70)))</f>
        <v/>
      </c>
      <c r="AL70" s="6">
        <f>IF(OR($BJ70="",37&gt;設定!$B$3),"",IF(INDEX(原始資料!AN$2:AN$501,$BJ70)="","",INDEX(原始資料!AN$2:AN$501,$BJ70)))</f>
        <v/>
      </c>
      <c r="AM70" s="6">
        <f>IF(OR($BJ70="",38&gt;設定!$B$3),"",IF(INDEX(原始資料!AO$2:AO$501,$BJ70)="","",INDEX(原始資料!AO$2:AO$501,$BJ70)))</f>
        <v/>
      </c>
      <c r="AN70" s="6">
        <f>IF(OR($BJ70="",39&gt;設定!$B$3),"",IF(INDEX(原始資料!AP$2:AP$501,$BJ70)="","",INDEX(原始資料!AP$2:AP$501,$BJ70)))</f>
        <v/>
      </c>
      <c r="AO70" s="6">
        <f>IF(OR($BJ70="",40&gt;設定!$B$3),"",IF(INDEX(原始資料!AQ$2:AQ$501,$BJ70)="","",INDEX(原始資料!AQ$2:AQ$501,$BJ70)))</f>
        <v/>
      </c>
      <c r="AP70" s="6">
        <f>IF(OR($BJ70="",41&gt;設定!$B$3),"",IF(INDEX(原始資料!AR$2:AR$501,$BJ70)="","",INDEX(原始資料!AR$2:AR$501,$BJ70)))</f>
        <v/>
      </c>
      <c r="AQ70" s="6">
        <f>IF(OR($BJ70="",42&gt;設定!$B$3),"",IF(INDEX(原始資料!AS$2:AS$501,$BJ70)="","",INDEX(原始資料!AS$2:AS$501,$BJ70)))</f>
        <v/>
      </c>
      <c r="AR70" s="6">
        <f>IF(OR($BJ70="",43&gt;設定!$B$3),"",IF(INDEX(原始資料!AT$2:AT$501,$BJ70)="","",INDEX(原始資料!AT$2:AT$501,$BJ70)))</f>
        <v/>
      </c>
      <c r="AS70" s="6">
        <f>IF(OR($BJ70="",44&gt;設定!$B$3),"",IF(INDEX(原始資料!AU$2:AU$501,$BJ70)="","",INDEX(原始資料!AU$2:AU$501,$BJ70)))</f>
        <v/>
      </c>
      <c r="AT70" s="6">
        <f>IF(OR($BJ70="",45&gt;設定!$B$3),"",IF(INDEX(原始資料!AV$2:AV$501,$BJ70)="","",INDEX(原始資料!AV$2:AV$501,$BJ70)))</f>
        <v/>
      </c>
      <c r="AU70" s="6">
        <f>IF(OR($BJ70="",46&gt;設定!$B$3),"",IF(INDEX(原始資料!AW$2:AW$501,$BJ70)="","",INDEX(原始資料!AW$2:AW$501,$BJ70)))</f>
        <v/>
      </c>
      <c r="AV70" s="6">
        <f>IF(OR($BJ70="",47&gt;設定!$B$3),"",IF(INDEX(原始資料!AX$2:AX$501,$BJ70)="","",INDEX(原始資料!AX$2:AX$501,$BJ70)))</f>
        <v/>
      </c>
      <c r="AW70" s="6">
        <f>IF(OR($BJ70="",48&gt;設定!$B$3),"",IF(INDEX(原始資料!AY$2:AY$501,$BJ70)="","",INDEX(原始資料!AY$2:AY$501,$BJ70)))</f>
        <v/>
      </c>
      <c r="AX70" s="6">
        <f>IF(OR($BJ70="",49&gt;設定!$B$3),"",IF(INDEX(原始資料!AZ$2:AZ$501,$BJ70)="","",INDEX(原始資料!AZ$2:AZ$501,$BJ70)))</f>
        <v/>
      </c>
      <c r="AY70" s="6">
        <f>IF(OR($BJ70="",50&gt;設定!$B$3),"",IF(INDEX(原始資料!BA$2:BA$501,$BJ70)="","",INDEX(原始資料!BA$2:BA$501,$BJ70)))</f>
        <v/>
      </c>
      <c r="AZ70" s="6">
        <f>IF(OR($BJ70="",51&gt;設定!$B$3),"",IF(INDEX(原始資料!BB$2:BB$501,$BJ70)="","",INDEX(原始資料!BB$2:BB$501,$BJ70)))</f>
        <v/>
      </c>
      <c r="BA70" s="6">
        <f>IF(OR($BJ70="",52&gt;設定!$B$3),"",IF(INDEX(原始資料!BC$2:BC$501,$BJ70)="","",INDEX(原始資料!BC$2:BC$501,$BJ70)))</f>
        <v/>
      </c>
      <c r="BB70" s="6">
        <f>IF(OR($BJ70="",53&gt;設定!$B$3),"",IF(INDEX(原始資料!BD$2:BD$501,$BJ70)="","",INDEX(原始資料!BD$2:BD$501,$BJ70)))</f>
        <v/>
      </c>
      <c r="BC70" s="6">
        <f>IF(OR($BJ70="",54&gt;設定!$B$3),"",IF(INDEX(原始資料!BE$2:BE$501,$BJ70)="","",INDEX(原始資料!BE$2:BE$501,$BJ70)))</f>
        <v/>
      </c>
      <c r="BD70" s="6">
        <f>IF(OR($BJ70="",55&gt;設定!$B$3),"",IF(INDEX(原始資料!BF$2:BF$501,$BJ70)="","",INDEX(原始資料!BF$2:BF$501,$BJ70)))</f>
        <v/>
      </c>
      <c r="BE70" s="6">
        <f>IF(OR($BJ70="",56&gt;設定!$B$3),"",IF(INDEX(原始資料!BG$2:BG$501,$BJ70)="","",INDEX(原始資料!BG$2:BG$501,$BJ70)))</f>
        <v/>
      </c>
      <c r="BF70" s="6">
        <f>IF(OR($BJ70="",57&gt;設定!$B$3),"",IF(INDEX(原始資料!BH$2:BH$501,$BJ70)="","",INDEX(原始資料!BH$2:BH$501,$BJ70)))</f>
        <v/>
      </c>
      <c r="BG70" s="6">
        <f>IF(OR($BJ70="",58&gt;設定!$B$3),"",IF(INDEX(原始資料!BI$2:BI$501,$BJ70)="","",INDEX(原始資料!BI$2:BI$501,$BJ70)))</f>
        <v/>
      </c>
      <c r="BH70" s="6">
        <f>IF(OR($BJ70="",59&gt;設定!$B$3),"",IF(INDEX(原始資料!BJ$2:BJ$501,$BJ70)="","",INDEX(原始資料!BJ$2:BJ$501,$BJ70)))</f>
        <v/>
      </c>
      <c r="BI70" s="6">
        <f>IF(OR($BJ70="",60&gt;設定!$B$3),"",IF(INDEX(原始資料!BK$2:BK$501,$BJ70)="","",INDEX(原始資料!BK$2:BK$501,$BJ70)))</f>
        <v/>
      </c>
      <c r="BJ70" s="6">
        <f>IFERROR(MATCH(ROW()-1,判定!$H$2:$H$501,0),"")</f>
        <v/>
      </c>
    </row>
    <row r="71">
      <c r="A71" s="6">
        <f>IF($BJ71="","",INDEX(原始資料!$A$2:$A$501,$BJ71))</f>
        <v/>
      </c>
      <c r="B71" s="6">
        <f>IF(OR($BJ71="",1&gt;設定!$B$3),"",IF(INDEX(原始資料!D$2:D$501,$BJ71)="","",INDEX(原始資料!D$2:D$501,$BJ71)))</f>
        <v/>
      </c>
      <c r="C71" s="6">
        <f>IF(OR($BJ71="",2&gt;設定!$B$3),"",IF(INDEX(原始資料!E$2:E$501,$BJ71)="","",INDEX(原始資料!E$2:E$501,$BJ71)))</f>
        <v/>
      </c>
      <c r="D71" s="6">
        <f>IF(OR($BJ71="",3&gt;設定!$B$3),"",IF(INDEX(原始資料!F$2:F$501,$BJ71)="","",INDEX(原始資料!F$2:F$501,$BJ71)))</f>
        <v/>
      </c>
      <c r="E71" s="6">
        <f>IF(OR($BJ71="",4&gt;設定!$B$3),"",IF(INDEX(原始資料!G$2:G$501,$BJ71)="","",INDEX(原始資料!G$2:G$501,$BJ71)))</f>
        <v/>
      </c>
      <c r="F71" s="6">
        <f>IF(OR($BJ71="",5&gt;設定!$B$3),"",IF(INDEX(原始資料!H$2:H$501,$BJ71)="","",INDEX(原始資料!H$2:H$501,$BJ71)))</f>
        <v/>
      </c>
      <c r="G71" s="6">
        <f>IF(OR($BJ71="",6&gt;設定!$B$3),"",IF(INDEX(原始資料!I$2:I$501,$BJ71)="","",INDEX(原始資料!I$2:I$501,$BJ71)))</f>
        <v/>
      </c>
      <c r="H71" s="6">
        <f>IF(OR($BJ71="",7&gt;設定!$B$3),"",IF(INDEX(原始資料!J$2:J$501,$BJ71)="","",INDEX(原始資料!J$2:J$501,$BJ71)))</f>
        <v/>
      </c>
      <c r="I71" s="6">
        <f>IF(OR($BJ71="",8&gt;設定!$B$3),"",IF(INDEX(原始資料!K$2:K$501,$BJ71)="","",INDEX(原始資料!K$2:K$501,$BJ71)))</f>
        <v/>
      </c>
      <c r="J71" s="6">
        <f>IF(OR($BJ71="",9&gt;設定!$B$3),"",IF(INDEX(原始資料!L$2:L$501,$BJ71)="","",INDEX(原始資料!L$2:L$501,$BJ71)))</f>
        <v/>
      </c>
      <c r="K71" s="6">
        <f>IF(OR($BJ71="",10&gt;設定!$B$3),"",IF(INDEX(原始資料!M$2:M$501,$BJ71)="","",INDEX(原始資料!M$2:M$501,$BJ71)))</f>
        <v/>
      </c>
      <c r="L71" s="6">
        <f>IF(OR($BJ71="",11&gt;設定!$B$3),"",IF(INDEX(原始資料!N$2:N$501,$BJ71)="","",INDEX(原始資料!N$2:N$501,$BJ71)))</f>
        <v/>
      </c>
      <c r="M71" s="6">
        <f>IF(OR($BJ71="",12&gt;設定!$B$3),"",IF(INDEX(原始資料!O$2:O$501,$BJ71)="","",INDEX(原始資料!O$2:O$501,$BJ71)))</f>
        <v/>
      </c>
      <c r="N71" s="6">
        <f>IF(OR($BJ71="",13&gt;設定!$B$3),"",IF(INDEX(原始資料!P$2:P$501,$BJ71)="","",INDEX(原始資料!P$2:P$501,$BJ71)))</f>
        <v/>
      </c>
      <c r="O71" s="6">
        <f>IF(OR($BJ71="",14&gt;設定!$B$3),"",IF(INDEX(原始資料!Q$2:Q$501,$BJ71)="","",INDEX(原始資料!Q$2:Q$501,$BJ71)))</f>
        <v/>
      </c>
      <c r="P71" s="6">
        <f>IF(OR($BJ71="",15&gt;設定!$B$3),"",IF(INDEX(原始資料!R$2:R$501,$BJ71)="","",INDEX(原始資料!R$2:R$501,$BJ71)))</f>
        <v/>
      </c>
      <c r="Q71" s="6">
        <f>IF(OR($BJ71="",16&gt;設定!$B$3),"",IF(INDEX(原始資料!S$2:S$501,$BJ71)="","",INDEX(原始資料!S$2:S$501,$BJ71)))</f>
        <v/>
      </c>
      <c r="R71" s="6">
        <f>IF(OR($BJ71="",17&gt;設定!$B$3),"",IF(INDEX(原始資料!T$2:T$501,$BJ71)="","",INDEX(原始資料!T$2:T$501,$BJ71)))</f>
        <v/>
      </c>
      <c r="S71" s="6">
        <f>IF(OR($BJ71="",18&gt;設定!$B$3),"",IF(INDEX(原始資料!U$2:U$501,$BJ71)="","",INDEX(原始資料!U$2:U$501,$BJ71)))</f>
        <v/>
      </c>
      <c r="T71" s="6">
        <f>IF(OR($BJ71="",19&gt;設定!$B$3),"",IF(INDEX(原始資料!V$2:V$501,$BJ71)="","",INDEX(原始資料!V$2:V$501,$BJ71)))</f>
        <v/>
      </c>
      <c r="U71" s="6">
        <f>IF(OR($BJ71="",20&gt;設定!$B$3),"",IF(INDEX(原始資料!W$2:W$501,$BJ71)="","",INDEX(原始資料!W$2:W$501,$BJ71)))</f>
        <v/>
      </c>
      <c r="V71" s="6">
        <f>IF(OR($BJ71="",21&gt;設定!$B$3),"",IF(INDEX(原始資料!X$2:X$501,$BJ71)="","",INDEX(原始資料!X$2:X$501,$BJ71)))</f>
        <v/>
      </c>
      <c r="W71" s="6">
        <f>IF(OR($BJ71="",22&gt;設定!$B$3),"",IF(INDEX(原始資料!Y$2:Y$501,$BJ71)="","",INDEX(原始資料!Y$2:Y$501,$BJ71)))</f>
        <v/>
      </c>
      <c r="X71" s="6">
        <f>IF(OR($BJ71="",23&gt;設定!$B$3),"",IF(INDEX(原始資料!Z$2:Z$501,$BJ71)="","",INDEX(原始資料!Z$2:Z$501,$BJ71)))</f>
        <v/>
      </c>
      <c r="Y71" s="6">
        <f>IF(OR($BJ71="",24&gt;設定!$B$3),"",IF(INDEX(原始資料!AA$2:AA$501,$BJ71)="","",INDEX(原始資料!AA$2:AA$501,$BJ71)))</f>
        <v/>
      </c>
      <c r="Z71" s="6">
        <f>IF(OR($BJ71="",25&gt;設定!$B$3),"",IF(INDEX(原始資料!AB$2:AB$501,$BJ71)="","",INDEX(原始資料!AB$2:AB$501,$BJ71)))</f>
        <v/>
      </c>
      <c r="AA71" s="6">
        <f>IF(OR($BJ71="",26&gt;設定!$B$3),"",IF(INDEX(原始資料!AC$2:AC$501,$BJ71)="","",INDEX(原始資料!AC$2:AC$501,$BJ71)))</f>
        <v/>
      </c>
      <c r="AB71" s="6">
        <f>IF(OR($BJ71="",27&gt;設定!$B$3),"",IF(INDEX(原始資料!AD$2:AD$501,$BJ71)="","",INDEX(原始資料!AD$2:AD$501,$BJ71)))</f>
        <v/>
      </c>
      <c r="AC71" s="6">
        <f>IF(OR($BJ71="",28&gt;設定!$B$3),"",IF(INDEX(原始資料!AE$2:AE$501,$BJ71)="","",INDEX(原始資料!AE$2:AE$501,$BJ71)))</f>
        <v/>
      </c>
      <c r="AD71" s="6">
        <f>IF(OR($BJ71="",29&gt;設定!$B$3),"",IF(INDEX(原始資料!AF$2:AF$501,$BJ71)="","",INDEX(原始資料!AF$2:AF$501,$BJ71)))</f>
        <v/>
      </c>
      <c r="AE71" s="6">
        <f>IF(OR($BJ71="",30&gt;設定!$B$3),"",IF(INDEX(原始資料!AG$2:AG$501,$BJ71)="","",INDEX(原始資料!AG$2:AG$501,$BJ71)))</f>
        <v/>
      </c>
      <c r="AF71" s="6">
        <f>IF(OR($BJ71="",31&gt;設定!$B$3),"",IF(INDEX(原始資料!AH$2:AH$501,$BJ71)="","",INDEX(原始資料!AH$2:AH$501,$BJ71)))</f>
        <v/>
      </c>
      <c r="AG71" s="6">
        <f>IF(OR($BJ71="",32&gt;設定!$B$3),"",IF(INDEX(原始資料!AI$2:AI$501,$BJ71)="","",INDEX(原始資料!AI$2:AI$501,$BJ71)))</f>
        <v/>
      </c>
      <c r="AH71" s="6">
        <f>IF(OR($BJ71="",33&gt;設定!$B$3),"",IF(INDEX(原始資料!AJ$2:AJ$501,$BJ71)="","",INDEX(原始資料!AJ$2:AJ$501,$BJ71)))</f>
        <v/>
      </c>
      <c r="AI71" s="6">
        <f>IF(OR($BJ71="",34&gt;設定!$B$3),"",IF(INDEX(原始資料!AK$2:AK$501,$BJ71)="","",INDEX(原始資料!AK$2:AK$501,$BJ71)))</f>
        <v/>
      </c>
      <c r="AJ71" s="6">
        <f>IF(OR($BJ71="",35&gt;設定!$B$3),"",IF(INDEX(原始資料!AL$2:AL$501,$BJ71)="","",INDEX(原始資料!AL$2:AL$501,$BJ71)))</f>
        <v/>
      </c>
      <c r="AK71" s="6">
        <f>IF(OR($BJ71="",36&gt;設定!$B$3),"",IF(INDEX(原始資料!AM$2:AM$501,$BJ71)="","",INDEX(原始資料!AM$2:AM$501,$BJ71)))</f>
        <v/>
      </c>
      <c r="AL71" s="6">
        <f>IF(OR($BJ71="",37&gt;設定!$B$3),"",IF(INDEX(原始資料!AN$2:AN$501,$BJ71)="","",INDEX(原始資料!AN$2:AN$501,$BJ71)))</f>
        <v/>
      </c>
      <c r="AM71" s="6">
        <f>IF(OR($BJ71="",38&gt;設定!$B$3),"",IF(INDEX(原始資料!AO$2:AO$501,$BJ71)="","",INDEX(原始資料!AO$2:AO$501,$BJ71)))</f>
        <v/>
      </c>
      <c r="AN71" s="6">
        <f>IF(OR($BJ71="",39&gt;設定!$B$3),"",IF(INDEX(原始資料!AP$2:AP$501,$BJ71)="","",INDEX(原始資料!AP$2:AP$501,$BJ71)))</f>
        <v/>
      </c>
      <c r="AO71" s="6">
        <f>IF(OR($BJ71="",40&gt;設定!$B$3),"",IF(INDEX(原始資料!AQ$2:AQ$501,$BJ71)="","",INDEX(原始資料!AQ$2:AQ$501,$BJ71)))</f>
        <v/>
      </c>
      <c r="AP71" s="6">
        <f>IF(OR($BJ71="",41&gt;設定!$B$3),"",IF(INDEX(原始資料!AR$2:AR$501,$BJ71)="","",INDEX(原始資料!AR$2:AR$501,$BJ71)))</f>
        <v/>
      </c>
      <c r="AQ71" s="6">
        <f>IF(OR($BJ71="",42&gt;設定!$B$3),"",IF(INDEX(原始資料!AS$2:AS$501,$BJ71)="","",INDEX(原始資料!AS$2:AS$501,$BJ71)))</f>
        <v/>
      </c>
      <c r="AR71" s="6">
        <f>IF(OR($BJ71="",43&gt;設定!$B$3),"",IF(INDEX(原始資料!AT$2:AT$501,$BJ71)="","",INDEX(原始資料!AT$2:AT$501,$BJ71)))</f>
        <v/>
      </c>
      <c r="AS71" s="6">
        <f>IF(OR($BJ71="",44&gt;設定!$B$3),"",IF(INDEX(原始資料!AU$2:AU$501,$BJ71)="","",INDEX(原始資料!AU$2:AU$501,$BJ71)))</f>
        <v/>
      </c>
      <c r="AT71" s="6">
        <f>IF(OR($BJ71="",45&gt;設定!$B$3),"",IF(INDEX(原始資料!AV$2:AV$501,$BJ71)="","",INDEX(原始資料!AV$2:AV$501,$BJ71)))</f>
        <v/>
      </c>
      <c r="AU71" s="6">
        <f>IF(OR($BJ71="",46&gt;設定!$B$3),"",IF(INDEX(原始資料!AW$2:AW$501,$BJ71)="","",INDEX(原始資料!AW$2:AW$501,$BJ71)))</f>
        <v/>
      </c>
      <c r="AV71" s="6">
        <f>IF(OR($BJ71="",47&gt;設定!$B$3),"",IF(INDEX(原始資料!AX$2:AX$501,$BJ71)="","",INDEX(原始資料!AX$2:AX$501,$BJ71)))</f>
        <v/>
      </c>
      <c r="AW71" s="6">
        <f>IF(OR($BJ71="",48&gt;設定!$B$3),"",IF(INDEX(原始資料!AY$2:AY$501,$BJ71)="","",INDEX(原始資料!AY$2:AY$501,$BJ71)))</f>
        <v/>
      </c>
      <c r="AX71" s="6">
        <f>IF(OR($BJ71="",49&gt;設定!$B$3),"",IF(INDEX(原始資料!AZ$2:AZ$501,$BJ71)="","",INDEX(原始資料!AZ$2:AZ$501,$BJ71)))</f>
        <v/>
      </c>
      <c r="AY71" s="6">
        <f>IF(OR($BJ71="",50&gt;設定!$B$3),"",IF(INDEX(原始資料!BA$2:BA$501,$BJ71)="","",INDEX(原始資料!BA$2:BA$501,$BJ71)))</f>
        <v/>
      </c>
      <c r="AZ71" s="6">
        <f>IF(OR($BJ71="",51&gt;設定!$B$3),"",IF(INDEX(原始資料!BB$2:BB$501,$BJ71)="","",INDEX(原始資料!BB$2:BB$501,$BJ71)))</f>
        <v/>
      </c>
      <c r="BA71" s="6">
        <f>IF(OR($BJ71="",52&gt;設定!$B$3),"",IF(INDEX(原始資料!BC$2:BC$501,$BJ71)="","",INDEX(原始資料!BC$2:BC$501,$BJ71)))</f>
        <v/>
      </c>
      <c r="BB71" s="6">
        <f>IF(OR($BJ71="",53&gt;設定!$B$3),"",IF(INDEX(原始資料!BD$2:BD$501,$BJ71)="","",INDEX(原始資料!BD$2:BD$501,$BJ71)))</f>
        <v/>
      </c>
      <c r="BC71" s="6">
        <f>IF(OR($BJ71="",54&gt;設定!$B$3),"",IF(INDEX(原始資料!BE$2:BE$501,$BJ71)="","",INDEX(原始資料!BE$2:BE$501,$BJ71)))</f>
        <v/>
      </c>
      <c r="BD71" s="6">
        <f>IF(OR($BJ71="",55&gt;設定!$B$3),"",IF(INDEX(原始資料!BF$2:BF$501,$BJ71)="","",INDEX(原始資料!BF$2:BF$501,$BJ71)))</f>
        <v/>
      </c>
      <c r="BE71" s="6">
        <f>IF(OR($BJ71="",56&gt;設定!$B$3),"",IF(INDEX(原始資料!BG$2:BG$501,$BJ71)="","",INDEX(原始資料!BG$2:BG$501,$BJ71)))</f>
        <v/>
      </c>
      <c r="BF71" s="6">
        <f>IF(OR($BJ71="",57&gt;設定!$B$3),"",IF(INDEX(原始資料!BH$2:BH$501,$BJ71)="","",INDEX(原始資料!BH$2:BH$501,$BJ71)))</f>
        <v/>
      </c>
      <c r="BG71" s="6">
        <f>IF(OR($BJ71="",58&gt;設定!$B$3),"",IF(INDEX(原始資料!BI$2:BI$501,$BJ71)="","",INDEX(原始資料!BI$2:BI$501,$BJ71)))</f>
        <v/>
      </c>
      <c r="BH71" s="6">
        <f>IF(OR($BJ71="",59&gt;設定!$B$3),"",IF(INDEX(原始資料!BJ$2:BJ$501,$BJ71)="","",INDEX(原始資料!BJ$2:BJ$501,$BJ71)))</f>
        <v/>
      </c>
      <c r="BI71" s="6">
        <f>IF(OR($BJ71="",60&gt;設定!$B$3),"",IF(INDEX(原始資料!BK$2:BK$501,$BJ71)="","",INDEX(原始資料!BK$2:BK$501,$BJ71)))</f>
        <v/>
      </c>
      <c r="BJ71" s="6">
        <f>IFERROR(MATCH(ROW()-1,判定!$H$2:$H$501,0),"")</f>
        <v/>
      </c>
    </row>
    <row r="72">
      <c r="A72" s="6">
        <f>IF($BJ72="","",INDEX(原始資料!$A$2:$A$501,$BJ72))</f>
        <v/>
      </c>
      <c r="B72" s="6">
        <f>IF(OR($BJ72="",1&gt;設定!$B$3),"",IF(INDEX(原始資料!D$2:D$501,$BJ72)="","",INDEX(原始資料!D$2:D$501,$BJ72)))</f>
        <v/>
      </c>
      <c r="C72" s="6">
        <f>IF(OR($BJ72="",2&gt;設定!$B$3),"",IF(INDEX(原始資料!E$2:E$501,$BJ72)="","",INDEX(原始資料!E$2:E$501,$BJ72)))</f>
        <v/>
      </c>
      <c r="D72" s="6">
        <f>IF(OR($BJ72="",3&gt;設定!$B$3),"",IF(INDEX(原始資料!F$2:F$501,$BJ72)="","",INDEX(原始資料!F$2:F$501,$BJ72)))</f>
        <v/>
      </c>
      <c r="E72" s="6">
        <f>IF(OR($BJ72="",4&gt;設定!$B$3),"",IF(INDEX(原始資料!G$2:G$501,$BJ72)="","",INDEX(原始資料!G$2:G$501,$BJ72)))</f>
        <v/>
      </c>
      <c r="F72" s="6">
        <f>IF(OR($BJ72="",5&gt;設定!$B$3),"",IF(INDEX(原始資料!H$2:H$501,$BJ72)="","",INDEX(原始資料!H$2:H$501,$BJ72)))</f>
        <v/>
      </c>
      <c r="G72" s="6">
        <f>IF(OR($BJ72="",6&gt;設定!$B$3),"",IF(INDEX(原始資料!I$2:I$501,$BJ72)="","",INDEX(原始資料!I$2:I$501,$BJ72)))</f>
        <v/>
      </c>
      <c r="H72" s="6">
        <f>IF(OR($BJ72="",7&gt;設定!$B$3),"",IF(INDEX(原始資料!J$2:J$501,$BJ72)="","",INDEX(原始資料!J$2:J$501,$BJ72)))</f>
        <v/>
      </c>
      <c r="I72" s="6">
        <f>IF(OR($BJ72="",8&gt;設定!$B$3),"",IF(INDEX(原始資料!K$2:K$501,$BJ72)="","",INDEX(原始資料!K$2:K$501,$BJ72)))</f>
        <v/>
      </c>
      <c r="J72" s="6">
        <f>IF(OR($BJ72="",9&gt;設定!$B$3),"",IF(INDEX(原始資料!L$2:L$501,$BJ72)="","",INDEX(原始資料!L$2:L$501,$BJ72)))</f>
        <v/>
      </c>
      <c r="K72" s="6">
        <f>IF(OR($BJ72="",10&gt;設定!$B$3),"",IF(INDEX(原始資料!M$2:M$501,$BJ72)="","",INDEX(原始資料!M$2:M$501,$BJ72)))</f>
        <v/>
      </c>
      <c r="L72" s="6">
        <f>IF(OR($BJ72="",11&gt;設定!$B$3),"",IF(INDEX(原始資料!N$2:N$501,$BJ72)="","",INDEX(原始資料!N$2:N$501,$BJ72)))</f>
        <v/>
      </c>
      <c r="M72" s="6">
        <f>IF(OR($BJ72="",12&gt;設定!$B$3),"",IF(INDEX(原始資料!O$2:O$501,$BJ72)="","",INDEX(原始資料!O$2:O$501,$BJ72)))</f>
        <v/>
      </c>
      <c r="N72" s="6">
        <f>IF(OR($BJ72="",13&gt;設定!$B$3),"",IF(INDEX(原始資料!P$2:P$501,$BJ72)="","",INDEX(原始資料!P$2:P$501,$BJ72)))</f>
        <v/>
      </c>
      <c r="O72" s="6">
        <f>IF(OR($BJ72="",14&gt;設定!$B$3),"",IF(INDEX(原始資料!Q$2:Q$501,$BJ72)="","",INDEX(原始資料!Q$2:Q$501,$BJ72)))</f>
        <v/>
      </c>
      <c r="P72" s="6">
        <f>IF(OR($BJ72="",15&gt;設定!$B$3),"",IF(INDEX(原始資料!R$2:R$501,$BJ72)="","",INDEX(原始資料!R$2:R$501,$BJ72)))</f>
        <v/>
      </c>
      <c r="Q72" s="6">
        <f>IF(OR($BJ72="",16&gt;設定!$B$3),"",IF(INDEX(原始資料!S$2:S$501,$BJ72)="","",INDEX(原始資料!S$2:S$501,$BJ72)))</f>
        <v/>
      </c>
      <c r="R72" s="6">
        <f>IF(OR($BJ72="",17&gt;設定!$B$3),"",IF(INDEX(原始資料!T$2:T$501,$BJ72)="","",INDEX(原始資料!T$2:T$501,$BJ72)))</f>
        <v/>
      </c>
      <c r="S72" s="6">
        <f>IF(OR($BJ72="",18&gt;設定!$B$3),"",IF(INDEX(原始資料!U$2:U$501,$BJ72)="","",INDEX(原始資料!U$2:U$501,$BJ72)))</f>
        <v/>
      </c>
      <c r="T72" s="6">
        <f>IF(OR($BJ72="",19&gt;設定!$B$3),"",IF(INDEX(原始資料!V$2:V$501,$BJ72)="","",INDEX(原始資料!V$2:V$501,$BJ72)))</f>
        <v/>
      </c>
      <c r="U72" s="6">
        <f>IF(OR($BJ72="",20&gt;設定!$B$3),"",IF(INDEX(原始資料!W$2:W$501,$BJ72)="","",INDEX(原始資料!W$2:W$501,$BJ72)))</f>
        <v/>
      </c>
      <c r="V72" s="6">
        <f>IF(OR($BJ72="",21&gt;設定!$B$3),"",IF(INDEX(原始資料!X$2:X$501,$BJ72)="","",INDEX(原始資料!X$2:X$501,$BJ72)))</f>
        <v/>
      </c>
      <c r="W72" s="6">
        <f>IF(OR($BJ72="",22&gt;設定!$B$3),"",IF(INDEX(原始資料!Y$2:Y$501,$BJ72)="","",INDEX(原始資料!Y$2:Y$501,$BJ72)))</f>
        <v/>
      </c>
      <c r="X72" s="6">
        <f>IF(OR($BJ72="",23&gt;設定!$B$3),"",IF(INDEX(原始資料!Z$2:Z$501,$BJ72)="","",INDEX(原始資料!Z$2:Z$501,$BJ72)))</f>
        <v/>
      </c>
      <c r="Y72" s="6">
        <f>IF(OR($BJ72="",24&gt;設定!$B$3),"",IF(INDEX(原始資料!AA$2:AA$501,$BJ72)="","",INDEX(原始資料!AA$2:AA$501,$BJ72)))</f>
        <v/>
      </c>
      <c r="Z72" s="6">
        <f>IF(OR($BJ72="",25&gt;設定!$B$3),"",IF(INDEX(原始資料!AB$2:AB$501,$BJ72)="","",INDEX(原始資料!AB$2:AB$501,$BJ72)))</f>
        <v/>
      </c>
      <c r="AA72" s="6">
        <f>IF(OR($BJ72="",26&gt;設定!$B$3),"",IF(INDEX(原始資料!AC$2:AC$501,$BJ72)="","",INDEX(原始資料!AC$2:AC$501,$BJ72)))</f>
        <v/>
      </c>
      <c r="AB72" s="6">
        <f>IF(OR($BJ72="",27&gt;設定!$B$3),"",IF(INDEX(原始資料!AD$2:AD$501,$BJ72)="","",INDEX(原始資料!AD$2:AD$501,$BJ72)))</f>
        <v/>
      </c>
      <c r="AC72" s="6">
        <f>IF(OR($BJ72="",28&gt;設定!$B$3),"",IF(INDEX(原始資料!AE$2:AE$501,$BJ72)="","",INDEX(原始資料!AE$2:AE$501,$BJ72)))</f>
        <v/>
      </c>
      <c r="AD72" s="6">
        <f>IF(OR($BJ72="",29&gt;設定!$B$3),"",IF(INDEX(原始資料!AF$2:AF$501,$BJ72)="","",INDEX(原始資料!AF$2:AF$501,$BJ72)))</f>
        <v/>
      </c>
      <c r="AE72" s="6">
        <f>IF(OR($BJ72="",30&gt;設定!$B$3),"",IF(INDEX(原始資料!AG$2:AG$501,$BJ72)="","",INDEX(原始資料!AG$2:AG$501,$BJ72)))</f>
        <v/>
      </c>
      <c r="AF72" s="6">
        <f>IF(OR($BJ72="",31&gt;設定!$B$3),"",IF(INDEX(原始資料!AH$2:AH$501,$BJ72)="","",INDEX(原始資料!AH$2:AH$501,$BJ72)))</f>
        <v/>
      </c>
      <c r="AG72" s="6">
        <f>IF(OR($BJ72="",32&gt;設定!$B$3),"",IF(INDEX(原始資料!AI$2:AI$501,$BJ72)="","",INDEX(原始資料!AI$2:AI$501,$BJ72)))</f>
        <v/>
      </c>
      <c r="AH72" s="6">
        <f>IF(OR($BJ72="",33&gt;設定!$B$3),"",IF(INDEX(原始資料!AJ$2:AJ$501,$BJ72)="","",INDEX(原始資料!AJ$2:AJ$501,$BJ72)))</f>
        <v/>
      </c>
      <c r="AI72" s="6">
        <f>IF(OR($BJ72="",34&gt;設定!$B$3),"",IF(INDEX(原始資料!AK$2:AK$501,$BJ72)="","",INDEX(原始資料!AK$2:AK$501,$BJ72)))</f>
        <v/>
      </c>
      <c r="AJ72" s="6">
        <f>IF(OR($BJ72="",35&gt;設定!$B$3),"",IF(INDEX(原始資料!AL$2:AL$501,$BJ72)="","",INDEX(原始資料!AL$2:AL$501,$BJ72)))</f>
        <v/>
      </c>
      <c r="AK72" s="6">
        <f>IF(OR($BJ72="",36&gt;設定!$B$3),"",IF(INDEX(原始資料!AM$2:AM$501,$BJ72)="","",INDEX(原始資料!AM$2:AM$501,$BJ72)))</f>
        <v/>
      </c>
      <c r="AL72" s="6">
        <f>IF(OR($BJ72="",37&gt;設定!$B$3),"",IF(INDEX(原始資料!AN$2:AN$501,$BJ72)="","",INDEX(原始資料!AN$2:AN$501,$BJ72)))</f>
        <v/>
      </c>
      <c r="AM72" s="6">
        <f>IF(OR($BJ72="",38&gt;設定!$B$3),"",IF(INDEX(原始資料!AO$2:AO$501,$BJ72)="","",INDEX(原始資料!AO$2:AO$501,$BJ72)))</f>
        <v/>
      </c>
      <c r="AN72" s="6">
        <f>IF(OR($BJ72="",39&gt;設定!$B$3),"",IF(INDEX(原始資料!AP$2:AP$501,$BJ72)="","",INDEX(原始資料!AP$2:AP$501,$BJ72)))</f>
        <v/>
      </c>
      <c r="AO72" s="6">
        <f>IF(OR($BJ72="",40&gt;設定!$B$3),"",IF(INDEX(原始資料!AQ$2:AQ$501,$BJ72)="","",INDEX(原始資料!AQ$2:AQ$501,$BJ72)))</f>
        <v/>
      </c>
      <c r="AP72" s="6">
        <f>IF(OR($BJ72="",41&gt;設定!$B$3),"",IF(INDEX(原始資料!AR$2:AR$501,$BJ72)="","",INDEX(原始資料!AR$2:AR$501,$BJ72)))</f>
        <v/>
      </c>
      <c r="AQ72" s="6">
        <f>IF(OR($BJ72="",42&gt;設定!$B$3),"",IF(INDEX(原始資料!AS$2:AS$501,$BJ72)="","",INDEX(原始資料!AS$2:AS$501,$BJ72)))</f>
        <v/>
      </c>
      <c r="AR72" s="6">
        <f>IF(OR($BJ72="",43&gt;設定!$B$3),"",IF(INDEX(原始資料!AT$2:AT$501,$BJ72)="","",INDEX(原始資料!AT$2:AT$501,$BJ72)))</f>
        <v/>
      </c>
      <c r="AS72" s="6">
        <f>IF(OR($BJ72="",44&gt;設定!$B$3),"",IF(INDEX(原始資料!AU$2:AU$501,$BJ72)="","",INDEX(原始資料!AU$2:AU$501,$BJ72)))</f>
        <v/>
      </c>
      <c r="AT72" s="6">
        <f>IF(OR($BJ72="",45&gt;設定!$B$3),"",IF(INDEX(原始資料!AV$2:AV$501,$BJ72)="","",INDEX(原始資料!AV$2:AV$501,$BJ72)))</f>
        <v/>
      </c>
      <c r="AU72" s="6">
        <f>IF(OR($BJ72="",46&gt;設定!$B$3),"",IF(INDEX(原始資料!AW$2:AW$501,$BJ72)="","",INDEX(原始資料!AW$2:AW$501,$BJ72)))</f>
        <v/>
      </c>
      <c r="AV72" s="6">
        <f>IF(OR($BJ72="",47&gt;設定!$B$3),"",IF(INDEX(原始資料!AX$2:AX$501,$BJ72)="","",INDEX(原始資料!AX$2:AX$501,$BJ72)))</f>
        <v/>
      </c>
      <c r="AW72" s="6">
        <f>IF(OR($BJ72="",48&gt;設定!$B$3),"",IF(INDEX(原始資料!AY$2:AY$501,$BJ72)="","",INDEX(原始資料!AY$2:AY$501,$BJ72)))</f>
        <v/>
      </c>
      <c r="AX72" s="6">
        <f>IF(OR($BJ72="",49&gt;設定!$B$3),"",IF(INDEX(原始資料!AZ$2:AZ$501,$BJ72)="","",INDEX(原始資料!AZ$2:AZ$501,$BJ72)))</f>
        <v/>
      </c>
      <c r="AY72" s="6">
        <f>IF(OR($BJ72="",50&gt;設定!$B$3),"",IF(INDEX(原始資料!BA$2:BA$501,$BJ72)="","",INDEX(原始資料!BA$2:BA$501,$BJ72)))</f>
        <v/>
      </c>
      <c r="AZ72" s="6">
        <f>IF(OR($BJ72="",51&gt;設定!$B$3),"",IF(INDEX(原始資料!BB$2:BB$501,$BJ72)="","",INDEX(原始資料!BB$2:BB$501,$BJ72)))</f>
        <v/>
      </c>
      <c r="BA72" s="6">
        <f>IF(OR($BJ72="",52&gt;設定!$B$3),"",IF(INDEX(原始資料!BC$2:BC$501,$BJ72)="","",INDEX(原始資料!BC$2:BC$501,$BJ72)))</f>
        <v/>
      </c>
      <c r="BB72" s="6">
        <f>IF(OR($BJ72="",53&gt;設定!$B$3),"",IF(INDEX(原始資料!BD$2:BD$501,$BJ72)="","",INDEX(原始資料!BD$2:BD$501,$BJ72)))</f>
        <v/>
      </c>
      <c r="BC72" s="6">
        <f>IF(OR($BJ72="",54&gt;設定!$B$3),"",IF(INDEX(原始資料!BE$2:BE$501,$BJ72)="","",INDEX(原始資料!BE$2:BE$501,$BJ72)))</f>
        <v/>
      </c>
      <c r="BD72" s="6">
        <f>IF(OR($BJ72="",55&gt;設定!$B$3),"",IF(INDEX(原始資料!BF$2:BF$501,$BJ72)="","",INDEX(原始資料!BF$2:BF$501,$BJ72)))</f>
        <v/>
      </c>
      <c r="BE72" s="6">
        <f>IF(OR($BJ72="",56&gt;設定!$B$3),"",IF(INDEX(原始資料!BG$2:BG$501,$BJ72)="","",INDEX(原始資料!BG$2:BG$501,$BJ72)))</f>
        <v/>
      </c>
      <c r="BF72" s="6">
        <f>IF(OR($BJ72="",57&gt;設定!$B$3),"",IF(INDEX(原始資料!BH$2:BH$501,$BJ72)="","",INDEX(原始資料!BH$2:BH$501,$BJ72)))</f>
        <v/>
      </c>
      <c r="BG72" s="6">
        <f>IF(OR($BJ72="",58&gt;設定!$B$3),"",IF(INDEX(原始資料!BI$2:BI$501,$BJ72)="","",INDEX(原始資料!BI$2:BI$501,$BJ72)))</f>
        <v/>
      </c>
      <c r="BH72" s="6">
        <f>IF(OR($BJ72="",59&gt;設定!$B$3),"",IF(INDEX(原始資料!BJ$2:BJ$501,$BJ72)="","",INDEX(原始資料!BJ$2:BJ$501,$BJ72)))</f>
        <v/>
      </c>
      <c r="BI72" s="6">
        <f>IF(OR($BJ72="",60&gt;設定!$B$3),"",IF(INDEX(原始資料!BK$2:BK$501,$BJ72)="","",INDEX(原始資料!BK$2:BK$501,$BJ72)))</f>
        <v/>
      </c>
      <c r="BJ72" s="6">
        <f>IFERROR(MATCH(ROW()-1,判定!$H$2:$H$501,0),"")</f>
        <v/>
      </c>
    </row>
    <row r="73">
      <c r="A73" s="6">
        <f>IF($BJ73="","",INDEX(原始資料!$A$2:$A$501,$BJ73))</f>
        <v/>
      </c>
      <c r="B73" s="6">
        <f>IF(OR($BJ73="",1&gt;設定!$B$3),"",IF(INDEX(原始資料!D$2:D$501,$BJ73)="","",INDEX(原始資料!D$2:D$501,$BJ73)))</f>
        <v/>
      </c>
      <c r="C73" s="6">
        <f>IF(OR($BJ73="",2&gt;設定!$B$3),"",IF(INDEX(原始資料!E$2:E$501,$BJ73)="","",INDEX(原始資料!E$2:E$501,$BJ73)))</f>
        <v/>
      </c>
      <c r="D73" s="6">
        <f>IF(OR($BJ73="",3&gt;設定!$B$3),"",IF(INDEX(原始資料!F$2:F$501,$BJ73)="","",INDEX(原始資料!F$2:F$501,$BJ73)))</f>
        <v/>
      </c>
      <c r="E73" s="6">
        <f>IF(OR($BJ73="",4&gt;設定!$B$3),"",IF(INDEX(原始資料!G$2:G$501,$BJ73)="","",INDEX(原始資料!G$2:G$501,$BJ73)))</f>
        <v/>
      </c>
      <c r="F73" s="6">
        <f>IF(OR($BJ73="",5&gt;設定!$B$3),"",IF(INDEX(原始資料!H$2:H$501,$BJ73)="","",INDEX(原始資料!H$2:H$501,$BJ73)))</f>
        <v/>
      </c>
      <c r="G73" s="6">
        <f>IF(OR($BJ73="",6&gt;設定!$B$3),"",IF(INDEX(原始資料!I$2:I$501,$BJ73)="","",INDEX(原始資料!I$2:I$501,$BJ73)))</f>
        <v/>
      </c>
      <c r="H73" s="6">
        <f>IF(OR($BJ73="",7&gt;設定!$B$3),"",IF(INDEX(原始資料!J$2:J$501,$BJ73)="","",INDEX(原始資料!J$2:J$501,$BJ73)))</f>
        <v/>
      </c>
      <c r="I73" s="6">
        <f>IF(OR($BJ73="",8&gt;設定!$B$3),"",IF(INDEX(原始資料!K$2:K$501,$BJ73)="","",INDEX(原始資料!K$2:K$501,$BJ73)))</f>
        <v/>
      </c>
      <c r="J73" s="6">
        <f>IF(OR($BJ73="",9&gt;設定!$B$3),"",IF(INDEX(原始資料!L$2:L$501,$BJ73)="","",INDEX(原始資料!L$2:L$501,$BJ73)))</f>
        <v/>
      </c>
      <c r="K73" s="6">
        <f>IF(OR($BJ73="",10&gt;設定!$B$3),"",IF(INDEX(原始資料!M$2:M$501,$BJ73)="","",INDEX(原始資料!M$2:M$501,$BJ73)))</f>
        <v/>
      </c>
      <c r="L73" s="6">
        <f>IF(OR($BJ73="",11&gt;設定!$B$3),"",IF(INDEX(原始資料!N$2:N$501,$BJ73)="","",INDEX(原始資料!N$2:N$501,$BJ73)))</f>
        <v/>
      </c>
      <c r="M73" s="6">
        <f>IF(OR($BJ73="",12&gt;設定!$B$3),"",IF(INDEX(原始資料!O$2:O$501,$BJ73)="","",INDEX(原始資料!O$2:O$501,$BJ73)))</f>
        <v/>
      </c>
      <c r="N73" s="6">
        <f>IF(OR($BJ73="",13&gt;設定!$B$3),"",IF(INDEX(原始資料!P$2:P$501,$BJ73)="","",INDEX(原始資料!P$2:P$501,$BJ73)))</f>
        <v/>
      </c>
      <c r="O73" s="6">
        <f>IF(OR($BJ73="",14&gt;設定!$B$3),"",IF(INDEX(原始資料!Q$2:Q$501,$BJ73)="","",INDEX(原始資料!Q$2:Q$501,$BJ73)))</f>
        <v/>
      </c>
      <c r="P73" s="6">
        <f>IF(OR($BJ73="",15&gt;設定!$B$3),"",IF(INDEX(原始資料!R$2:R$501,$BJ73)="","",INDEX(原始資料!R$2:R$501,$BJ73)))</f>
        <v/>
      </c>
      <c r="Q73" s="6">
        <f>IF(OR($BJ73="",16&gt;設定!$B$3),"",IF(INDEX(原始資料!S$2:S$501,$BJ73)="","",INDEX(原始資料!S$2:S$501,$BJ73)))</f>
        <v/>
      </c>
      <c r="R73" s="6">
        <f>IF(OR($BJ73="",17&gt;設定!$B$3),"",IF(INDEX(原始資料!T$2:T$501,$BJ73)="","",INDEX(原始資料!T$2:T$501,$BJ73)))</f>
        <v/>
      </c>
      <c r="S73" s="6">
        <f>IF(OR($BJ73="",18&gt;設定!$B$3),"",IF(INDEX(原始資料!U$2:U$501,$BJ73)="","",INDEX(原始資料!U$2:U$501,$BJ73)))</f>
        <v/>
      </c>
      <c r="T73" s="6">
        <f>IF(OR($BJ73="",19&gt;設定!$B$3),"",IF(INDEX(原始資料!V$2:V$501,$BJ73)="","",INDEX(原始資料!V$2:V$501,$BJ73)))</f>
        <v/>
      </c>
      <c r="U73" s="6">
        <f>IF(OR($BJ73="",20&gt;設定!$B$3),"",IF(INDEX(原始資料!W$2:W$501,$BJ73)="","",INDEX(原始資料!W$2:W$501,$BJ73)))</f>
        <v/>
      </c>
      <c r="V73" s="6">
        <f>IF(OR($BJ73="",21&gt;設定!$B$3),"",IF(INDEX(原始資料!X$2:X$501,$BJ73)="","",INDEX(原始資料!X$2:X$501,$BJ73)))</f>
        <v/>
      </c>
      <c r="W73" s="6">
        <f>IF(OR($BJ73="",22&gt;設定!$B$3),"",IF(INDEX(原始資料!Y$2:Y$501,$BJ73)="","",INDEX(原始資料!Y$2:Y$501,$BJ73)))</f>
        <v/>
      </c>
      <c r="X73" s="6">
        <f>IF(OR($BJ73="",23&gt;設定!$B$3),"",IF(INDEX(原始資料!Z$2:Z$501,$BJ73)="","",INDEX(原始資料!Z$2:Z$501,$BJ73)))</f>
        <v/>
      </c>
      <c r="Y73" s="6">
        <f>IF(OR($BJ73="",24&gt;設定!$B$3),"",IF(INDEX(原始資料!AA$2:AA$501,$BJ73)="","",INDEX(原始資料!AA$2:AA$501,$BJ73)))</f>
        <v/>
      </c>
      <c r="Z73" s="6">
        <f>IF(OR($BJ73="",25&gt;設定!$B$3),"",IF(INDEX(原始資料!AB$2:AB$501,$BJ73)="","",INDEX(原始資料!AB$2:AB$501,$BJ73)))</f>
        <v/>
      </c>
      <c r="AA73" s="6">
        <f>IF(OR($BJ73="",26&gt;設定!$B$3),"",IF(INDEX(原始資料!AC$2:AC$501,$BJ73)="","",INDEX(原始資料!AC$2:AC$501,$BJ73)))</f>
        <v/>
      </c>
      <c r="AB73" s="6">
        <f>IF(OR($BJ73="",27&gt;設定!$B$3),"",IF(INDEX(原始資料!AD$2:AD$501,$BJ73)="","",INDEX(原始資料!AD$2:AD$501,$BJ73)))</f>
        <v/>
      </c>
      <c r="AC73" s="6">
        <f>IF(OR($BJ73="",28&gt;設定!$B$3),"",IF(INDEX(原始資料!AE$2:AE$501,$BJ73)="","",INDEX(原始資料!AE$2:AE$501,$BJ73)))</f>
        <v/>
      </c>
      <c r="AD73" s="6">
        <f>IF(OR($BJ73="",29&gt;設定!$B$3),"",IF(INDEX(原始資料!AF$2:AF$501,$BJ73)="","",INDEX(原始資料!AF$2:AF$501,$BJ73)))</f>
        <v/>
      </c>
      <c r="AE73" s="6">
        <f>IF(OR($BJ73="",30&gt;設定!$B$3),"",IF(INDEX(原始資料!AG$2:AG$501,$BJ73)="","",INDEX(原始資料!AG$2:AG$501,$BJ73)))</f>
        <v/>
      </c>
      <c r="AF73" s="6">
        <f>IF(OR($BJ73="",31&gt;設定!$B$3),"",IF(INDEX(原始資料!AH$2:AH$501,$BJ73)="","",INDEX(原始資料!AH$2:AH$501,$BJ73)))</f>
        <v/>
      </c>
      <c r="AG73" s="6">
        <f>IF(OR($BJ73="",32&gt;設定!$B$3),"",IF(INDEX(原始資料!AI$2:AI$501,$BJ73)="","",INDEX(原始資料!AI$2:AI$501,$BJ73)))</f>
        <v/>
      </c>
      <c r="AH73" s="6">
        <f>IF(OR($BJ73="",33&gt;設定!$B$3),"",IF(INDEX(原始資料!AJ$2:AJ$501,$BJ73)="","",INDEX(原始資料!AJ$2:AJ$501,$BJ73)))</f>
        <v/>
      </c>
      <c r="AI73" s="6">
        <f>IF(OR($BJ73="",34&gt;設定!$B$3),"",IF(INDEX(原始資料!AK$2:AK$501,$BJ73)="","",INDEX(原始資料!AK$2:AK$501,$BJ73)))</f>
        <v/>
      </c>
      <c r="AJ73" s="6">
        <f>IF(OR($BJ73="",35&gt;設定!$B$3),"",IF(INDEX(原始資料!AL$2:AL$501,$BJ73)="","",INDEX(原始資料!AL$2:AL$501,$BJ73)))</f>
        <v/>
      </c>
      <c r="AK73" s="6">
        <f>IF(OR($BJ73="",36&gt;設定!$B$3),"",IF(INDEX(原始資料!AM$2:AM$501,$BJ73)="","",INDEX(原始資料!AM$2:AM$501,$BJ73)))</f>
        <v/>
      </c>
      <c r="AL73" s="6">
        <f>IF(OR($BJ73="",37&gt;設定!$B$3),"",IF(INDEX(原始資料!AN$2:AN$501,$BJ73)="","",INDEX(原始資料!AN$2:AN$501,$BJ73)))</f>
        <v/>
      </c>
      <c r="AM73" s="6">
        <f>IF(OR($BJ73="",38&gt;設定!$B$3),"",IF(INDEX(原始資料!AO$2:AO$501,$BJ73)="","",INDEX(原始資料!AO$2:AO$501,$BJ73)))</f>
        <v/>
      </c>
      <c r="AN73" s="6">
        <f>IF(OR($BJ73="",39&gt;設定!$B$3),"",IF(INDEX(原始資料!AP$2:AP$501,$BJ73)="","",INDEX(原始資料!AP$2:AP$501,$BJ73)))</f>
        <v/>
      </c>
      <c r="AO73" s="6">
        <f>IF(OR($BJ73="",40&gt;設定!$B$3),"",IF(INDEX(原始資料!AQ$2:AQ$501,$BJ73)="","",INDEX(原始資料!AQ$2:AQ$501,$BJ73)))</f>
        <v/>
      </c>
      <c r="AP73" s="6">
        <f>IF(OR($BJ73="",41&gt;設定!$B$3),"",IF(INDEX(原始資料!AR$2:AR$501,$BJ73)="","",INDEX(原始資料!AR$2:AR$501,$BJ73)))</f>
        <v/>
      </c>
      <c r="AQ73" s="6">
        <f>IF(OR($BJ73="",42&gt;設定!$B$3),"",IF(INDEX(原始資料!AS$2:AS$501,$BJ73)="","",INDEX(原始資料!AS$2:AS$501,$BJ73)))</f>
        <v/>
      </c>
      <c r="AR73" s="6">
        <f>IF(OR($BJ73="",43&gt;設定!$B$3),"",IF(INDEX(原始資料!AT$2:AT$501,$BJ73)="","",INDEX(原始資料!AT$2:AT$501,$BJ73)))</f>
        <v/>
      </c>
      <c r="AS73" s="6">
        <f>IF(OR($BJ73="",44&gt;設定!$B$3),"",IF(INDEX(原始資料!AU$2:AU$501,$BJ73)="","",INDEX(原始資料!AU$2:AU$501,$BJ73)))</f>
        <v/>
      </c>
      <c r="AT73" s="6">
        <f>IF(OR($BJ73="",45&gt;設定!$B$3),"",IF(INDEX(原始資料!AV$2:AV$501,$BJ73)="","",INDEX(原始資料!AV$2:AV$501,$BJ73)))</f>
        <v/>
      </c>
      <c r="AU73" s="6">
        <f>IF(OR($BJ73="",46&gt;設定!$B$3),"",IF(INDEX(原始資料!AW$2:AW$501,$BJ73)="","",INDEX(原始資料!AW$2:AW$501,$BJ73)))</f>
        <v/>
      </c>
      <c r="AV73" s="6">
        <f>IF(OR($BJ73="",47&gt;設定!$B$3),"",IF(INDEX(原始資料!AX$2:AX$501,$BJ73)="","",INDEX(原始資料!AX$2:AX$501,$BJ73)))</f>
        <v/>
      </c>
      <c r="AW73" s="6">
        <f>IF(OR($BJ73="",48&gt;設定!$B$3),"",IF(INDEX(原始資料!AY$2:AY$501,$BJ73)="","",INDEX(原始資料!AY$2:AY$501,$BJ73)))</f>
        <v/>
      </c>
      <c r="AX73" s="6">
        <f>IF(OR($BJ73="",49&gt;設定!$B$3),"",IF(INDEX(原始資料!AZ$2:AZ$501,$BJ73)="","",INDEX(原始資料!AZ$2:AZ$501,$BJ73)))</f>
        <v/>
      </c>
      <c r="AY73" s="6">
        <f>IF(OR($BJ73="",50&gt;設定!$B$3),"",IF(INDEX(原始資料!BA$2:BA$501,$BJ73)="","",INDEX(原始資料!BA$2:BA$501,$BJ73)))</f>
        <v/>
      </c>
      <c r="AZ73" s="6">
        <f>IF(OR($BJ73="",51&gt;設定!$B$3),"",IF(INDEX(原始資料!BB$2:BB$501,$BJ73)="","",INDEX(原始資料!BB$2:BB$501,$BJ73)))</f>
        <v/>
      </c>
      <c r="BA73" s="6">
        <f>IF(OR($BJ73="",52&gt;設定!$B$3),"",IF(INDEX(原始資料!BC$2:BC$501,$BJ73)="","",INDEX(原始資料!BC$2:BC$501,$BJ73)))</f>
        <v/>
      </c>
      <c r="BB73" s="6">
        <f>IF(OR($BJ73="",53&gt;設定!$B$3),"",IF(INDEX(原始資料!BD$2:BD$501,$BJ73)="","",INDEX(原始資料!BD$2:BD$501,$BJ73)))</f>
        <v/>
      </c>
      <c r="BC73" s="6">
        <f>IF(OR($BJ73="",54&gt;設定!$B$3),"",IF(INDEX(原始資料!BE$2:BE$501,$BJ73)="","",INDEX(原始資料!BE$2:BE$501,$BJ73)))</f>
        <v/>
      </c>
      <c r="BD73" s="6">
        <f>IF(OR($BJ73="",55&gt;設定!$B$3),"",IF(INDEX(原始資料!BF$2:BF$501,$BJ73)="","",INDEX(原始資料!BF$2:BF$501,$BJ73)))</f>
        <v/>
      </c>
      <c r="BE73" s="6">
        <f>IF(OR($BJ73="",56&gt;設定!$B$3),"",IF(INDEX(原始資料!BG$2:BG$501,$BJ73)="","",INDEX(原始資料!BG$2:BG$501,$BJ73)))</f>
        <v/>
      </c>
      <c r="BF73" s="6">
        <f>IF(OR($BJ73="",57&gt;設定!$B$3),"",IF(INDEX(原始資料!BH$2:BH$501,$BJ73)="","",INDEX(原始資料!BH$2:BH$501,$BJ73)))</f>
        <v/>
      </c>
      <c r="BG73" s="6">
        <f>IF(OR($BJ73="",58&gt;設定!$B$3),"",IF(INDEX(原始資料!BI$2:BI$501,$BJ73)="","",INDEX(原始資料!BI$2:BI$501,$BJ73)))</f>
        <v/>
      </c>
      <c r="BH73" s="6">
        <f>IF(OR($BJ73="",59&gt;設定!$B$3),"",IF(INDEX(原始資料!BJ$2:BJ$501,$BJ73)="","",INDEX(原始資料!BJ$2:BJ$501,$BJ73)))</f>
        <v/>
      </c>
      <c r="BI73" s="6">
        <f>IF(OR($BJ73="",60&gt;設定!$B$3),"",IF(INDEX(原始資料!BK$2:BK$501,$BJ73)="","",INDEX(原始資料!BK$2:BK$501,$BJ73)))</f>
        <v/>
      </c>
      <c r="BJ73" s="6">
        <f>IFERROR(MATCH(ROW()-1,判定!$H$2:$H$501,0),"")</f>
        <v/>
      </c>
    </row>
    <row r="74">
      <c r="A74" s="6">
        <f>IF($BJ74="","",INDEX(原始資料!$A$2:$A$501,$BJ74))</f>
        <v/>
      </c>
      <c r="B74" s="6">
        <f>IF(OR($BJ74="",1&gt;設定!$B$3),"",IF(INDEX(原始資料!D$2:D$501,$BJ74)="","",INDEX(原始資料!D$2:D$501,$BJ74)))</f>
        <v/>
      </c>
      <c r="C74" s="6">
        <f>IF(OR($BJ74="",2&gt;設定!$B$3),"",IF(INDEX(原始資料!E$2:E$501,$BJ74)="","",INDEX(原始資料!E$2:E$501,$BJ74)))</f>
        <v/>
      </c>
      <c r="D74" s="6">
        <f>IF(OR($BJ74="",3&gt;設定!$B$3),"",IF(INDEX(原始資料!F$2:F$501,$BJ74)="","",INDEX(原始資料!F$2:F$501,$BJ74)))</f>
        <v/>
      </c>
      <c r="E74" s="6">
        <f>IF(OR($BJ74="",4&gt;設定!$B$3),"",IF(INDEX(原始資料!G$2:G$501,$BJ74)="","",INDEX(原始資料!G$2:G$501,$BJ74)))</f>
        <v/>
      </c>
      <c r="F74" s="6">
        <f>IF(OR($BJ74="",5&gt;設定!$B$3),"",IF(INDEX(原始資料!H$2:H$501,$BJ74)="","",INDEX(原始資料!H$2:H$501,$BJ74)))</f>
        <v/>
      </c>
      <c r="G74" s="6">
        <f>IF(OR($BJ74="",6&gt;設定!$B$3),"",IF(INDEX(原始資料!I$2:I$501,$BJ74)="","",INDEX(原始資料!I$2:I$501,$BJ74)))</f>
        <v/>
      </c>
      <c r="H74" s="6">
        <f>IF(OR($BJ74="",7&gt;設定!$B$3),"",IF(INDEX(原始資料!J$2:J$501,$BJ74)="","",INDEX(原始資料!J$2:J$501,$BJ74)))</f>
        <v/>
      </c>
      <c r="I74" s="6">
        <f>IF(OR($BJ74="",8&gt;設定!$B$3),"",IF(INDEX(原始資料!K$2:K$501,$BJ74)="","",INDEX(原始資料!K$2:K$501,$BJ74)))</f>
        <v/>
      </c>
      <c r="J74" s="6">
        <f>IF(OR($BJ74="",9&gt;設定!$B$3),"",IF(INDEX(原始資料!L$2:L$501,$BJ74)="","",INDEX(原始資料!L$2:L$501,$BJ74)))</f>
        <v/>
      </c>
      <c r="K74" s="6">
        <f>IF(OR($BJ74="",10&gt;設定!$B$3),"",IF(INDEX(原始資料!M$2:M$501,$BJ74)="","",INDEX(原始資料!M$2:M$501,$BJ74)))</f>
        <v/>
      </c>
      <c r="L74" s="6">
        <f>IF(OR($BJ74="",11&gt;設定!$B$3),"",IF(INDEX(原始資料!N$2:N$501,$BJ74)="","",INDEX(原始資料!N$2:N$501,$BJ74)))</f>
        <v/>
      </c>
      <c r="M74" s="6">
        <f>IF(OR($BJ74="",12&gt;設定!$B$3),"",IF(INDEX(原始資料!O$2:O$501,$BJ74)="","",INDEX(原始資料!O$2:O$501,$BJ74)))</f>
        <v/>
      </c>
      <c r="N74" s="6">
        <f>IF(OR($BJ74="",13&gt;設定!$B$3),"",IF(INDEX(原始資料!P$2:P$501,$BJ74)="","",INDEX(原始資料!P$2:P$501,$BJ74)))</f>
        <v/>
      </c>
      <c r="O74" s="6">
        <f>IF(OR($BJ74="",14&gt;設定!$B$3),"",IF(INDEX(原始資料!Q$2:Q$501,$BJ74)="","",INDEX(原始資料!Q$2:Q$501,$BJ74)))</f>
        <v/>
      </c>
      <c r="P74" s="6">
        <f>IF(OR($BJ74="",15&gt;設定!$B$3),"",IF(INDEX(原始資料!R$2:R$501,$BJ74)="","",INDEX(原始資料!R$2:R$501,$BJ74)))</f>
        <v/>
      </c>
      <c r="Q74" s="6">
        <f>IF(OR($BJ74="",16&gt;設定!$B$3),"",IF(INDEX(原始資料!S$2:S$501,$BJ74)="","",INDEX(原始資料!S$2:S$501,$BJ74)))</f>
        <v/>
      </c>
      <c r="R74" s="6">
        <f>IF(OR($BJ74="",17&gt;設定!$B$3),"",IF(INDEX(原始資料!T$2:T$501,$BJ74)="","",INDEX(原始資料!T$2:T$501,$BJ74)))</f>
        <v/>
      </c>
      <c r="S74" s="6">
        <f>IF(OR($BJ74="",18&gt;設定!$B$3),"",IF(INDEX(原始資料!U$2:U$501,$BJ74)="","",INDEX(原始資料!U$2:U$501,$BJ74)))</f>
        <v/>
      </c>
      <c r="T74" s="6">
        <f>IF(OR($BJ74="",19&gt;設定!$B$3),"",IF(INDEX(原始資料!V$2:V$501,$BJ74)="","",INDEX(原始資料!V$2:V$501,$BJ74)))</f>
        <v/>
      </c>
      <c r="U74" s="6">
        <f>IF(OR($BJ74="",20&gt;設定!$B$3),"",IF(INDEX(原始資料!W$2:W$501,$BJ74)="","",INDEX(原始資料!W$2:W$501,$BJ74)))</f>
        <v/>
      </c>
      <c r="V74" s="6">
        <f>IF(OR($BJ74="",21&gt;設定!$B$3),"",IF(INDEX(原始資料!X$2:X$501,$BJ74)="","",INDEX(原始資料!X$2:X$501,$BJ74)))</f>
        <v/>
      </c>
      <c r="W74" s="6">
        <f>IF(OR($BJ74="",22&gt;設定!$B$3),"",IF(INDEX(原始資料!Y$2:Y$501,$BJ74)="","",INDEX(原始資料!Y$2:Y$501,$BJ74)))</f>
        <v/>
      </c>
      <c r="X74" s="6">
        <f>IF(OR($BJ74="",23&gt;設定!$B$3),"",IF(INDEX(原始資料!Z$2:Z$501,$BJ74)="","",INDEX(原始資料!Z$2:Z$501,$BJ74)))</f>
        <v/>
      </c>
      <c r="Y74" s="6">
        <f>IF(OR($BJ74="",24&gt;設定!$B$3),"",IF(INDEX(原始資料!AA$2:AA$501,$BJ74)="","",INDEX(原始資料!AA$2:AA$501,$BJ74)))</f>
        <v/>
      </c>
      <c r="Z74" s="6">
        <f>IF(OR($BJ74="",25&gt;設定!$B$3),"",IF(INDEX(原始資料!AB$2:AB$501,$BJ74)="","",INDEX(原始資料!AB$2:AB$501,$BJ74)))</f>
        <v/>
      </c>
      <c r="AA74" s="6">
        <f>IF(OR($BJ74="",26&gt;設定!$B$3),"",IF(INDEX(原始資料!AC$2:AC$501,$BJ74)="","",INDEX(原始資料!AC$2:AC$501,$BJ74)))</f>
        <v/>
      </c>
      <c r="AB74" s="6">
        <f>IF(OR($BJ74="",27&gt;設定!$B$3),"",IF(INDEX(原始資料!AD$2:AD$501,$BJ74)="","",INDEX(原始資料!AD$2:AD$501,$BJ74)))</f>
        <v/>
      </c>
      <c r="AC74" s="6">
        <f>IF(OR($BJ74="",28&gt;設定!$B$3),"",IF(INDEX(原始資料!AE$2:AE$501,$BJ74)="","",INDEX(原始資料!AE$2:AE$501,$BJ74)))</f>
        <v/>
      </c>
      <c r="AD74" s="6">
        <f>IF(OR($BJ74="",29&gt;設定!$B$3),"",IF(INDEX(原始資料!AF$2:AF$501,$BJ74)="","",INDEX(原始資料!AF$2:AF$501,$BJ74)))</f>
        <v/>
      </c>
      <c r="AE74" s="6">
        <f>IF(OR($BJ74="",30&gt;設定!$B$3),"",IF(INDEX(原始資料!AG$2:AG$501,$BJ74)="","",INDEX(原始資料!AG$2:AG$501,$BJ74)))</f>
        <v/>
      </c>
      <c r="AF74" s="6">
        <f>IF(OR($BJ74="",31&gt;設定!$B$3),"",IF(INDEX(原始資料!AH$2:AH$501,$BJ74)="","",INDEX(原始資料!AH$2:AH$501,$BJ74)))</f>
        <v/>
      </c>
      <c r="AG74" s="6">
        <f>IF(OR($BJ74="",32&gt;設定!$B$3),"",IF(INDEX(原始資料!AI$2:AI$501,$BJ74)="","",INDEX(原始資料!AI$2:AI$501,$BJ74)))</f>
        <v/>
      </c>
      <c r="AH74" s="6">
        <f>IF(OR($BJ74="",33&gt;設定!$B$3),"",IF(INDEX(原始資料!AJ$2:AJ$501,$BJ74)="","",INDEX(原始資料!AJ$2:AJ$501,$BJ74)))</f>
        <v/>
      </c>
      <c r="AI74" s="6">
        <f>IF(OR($BJ74="",34&gt;設定!$B$3),"",IF(INDEX(原始資料!AK$2:AK$501,$BJ74)="","",INDEX(原始資料!AK$2:AK$501,$BJ74)))</f>
        <v/>
      </c>
      <c r="AJ74" s="6">
        <f>IF(OR($BJ74="",35&gt;設定!$B$3),"",IF(INDEX(原始資料!AL$2:AL$501,$BJ74)="","",INDEX(原始資料!AL$2:AL$501,$BJ74)))</f>
        <v/>
      </c>
      <c r="AK74" s="6">
        <f>IF(OR($BJ74="",36&gt;設定!$B$3),"",IF(INDEX(原始資料!AM$2:AM$501,$BJ74)="","",INDEX(原始資料!AM$2:AM$501,$BJ74)))</f>
        <v/>
      </c>
      <c r="AL74" s="6">
        <f>IF(OR($BJ74="",37&gt;設定!$B$3),"",IF(INDEX(原始資料!AN$2:AN$501,$BJ74)="","",INDEX(原始資料!AN$2:AN$501,$BJ74)))</f>
        <v/>
      </c>
      <c r="AM74" s="6">
        <f>IF(OR($BJ74="",38&gt;設定!$B$3),"",IF(INDEX(原始資料!AO$2:AO$501,$BJ74)="","",INDEX(原始資料!AO$2:AO$501,$BJ74)))</f>
        <v/>
      </c>
      <c r="AN74" s="6">
        <f>IF(OR($BJ74="",39&gt;設定!$B$3),"",IF(INDEX(原始資料!AP$2:AP$501,$BJ74)="","",INDEX(原始資料!AP$2:AP$501,$BJ74)))</f>
        <v/>
      </c>
      <c r="AO74" s="6">
        <f>IF(OR($BJ74="",40&gt;設定!$B$3),"",IF(INDEX(原始資料!AQ$2:AQ$501,$BJ74)="","",INDEX(原始資料!AQ$2:AQ$501,$BJ74)))</f>
        <v/>
      </c>
      <c r="AP74" s="6">
        <f>IF(OR($BJ74="",41&gt;設定!$B$3),"",IF(INDEX(原始資料!AR$2:AR$501,$BJ74)="","",INDEX(原始資料!AR$2:AR$501,$BJ74)))</f>
        <v/>
      </c>
      <c r="AQ74" s="6">
        <f>IF(OR($BJ74="",42&gt;設定!$B$3),"",IF(INDEX(原始資料!AS$2:AS$501,$BJ74)="","",INDEX(原始資料!AS$2:AS$501,$BJ74)))</f>
        <v/>
      </c>
      <c r="AR74" s="6">
        <f>IF(OR($BJ74="",43&gt;設定!$B$3),"",IF(INDEX(原始資料!AT$2:AT$501,$BJ74)="","",INDEX(原始資料!AT$2:AT$501,$BJ74)))</f>
        <v/>
      </c>
      <c r="AS74" s="6">
        <f>IF(OR($BJ74="",44&gt;設定!$B$3),"",IF(INDEX(原始資料!AU$2:AU$501,$BJ74)="","",INDEX(原始資料!AU$2:AU$501,$BJ74)))</f>
        <v/>
      </c>
      <c r="AT74" s="6">
        <f>IF(OR($BJ74="",45&gt;設定!$B$3),"",IF(INDEX(原始資料!AV$2:AV$501,$BJ74)="","",INDEX(原始資料!AV$2:AV$501,$BJ74)))</f>
        <v/>
      </c>
      <c r="AU74" s="6">
        <f>IF(OR($BJ74="",46&gt;設定!$B$3),"",IF(INDEX(原始資料!AW$2:AW$501,$BJ74)="","",INDEX(原始資料!AW$2:AW$501,$BJ74)))</f>
        <v/>
      </c>
      <c r="AV74" s="6">
        <f>IF(OR($BJ74="",47&gt;設定!$B$3),"",IF(INDEX(原始資料!AX$2:AX$501,$BJ74)="","",INDEX(原始資料!AX$2:AX$501,$BJ74)))</f>
        <v/>
      </c>
      <c r="AW74" s="6">
        <f>IF(OR($BJ74="",48&gt;設定!$B$3),"",IF(INDEX(原始資料!AY$2:AY$501,$BJ74)="","",INDEX(原始資料!AY$2:AY$501,$BJ74)))</f>
        <v/>
      </c>
      <c r="AX74" s="6">
        <f>IF(OR($BJ74="",49&gt;設定!$B$3),"",IF(INDEX(原始資料!AZ$2:AZ$501,$BJ74)="","",INDEX(原始資料!AZ$2:AZ$501,$BJ74)))</f>
        <v/>
      </c>
      <c r="AY74" s="6">
        <f>IF(OR($BJ74="",50&gt;設定!$B$3),"",IF(INDEX(原始資料!BA$2:BA$501,$BJ74)="","",INDEX(原始資料!BA$2:BA$501,$BJ74)))</f>
        <v/>
      </c>
      <c r="AZ74" s="6">
        <f>IF(OR($BJ74="",51&gt;設定!$B$3),"",IF(INDEX(原始資料!BB$2:BB$501,$BJ74)="","",INDEX(原始資料!BB$2:BB$501,$BJ74)))</f>
        <v/>
      </c>
      <c r="BA74" s="6">
        <f>IF(OR($BJ74="",52&gt;設定!$B$3),"",IF(INDEX(原始資料!BC$2:BC$501,$BJ74)="","",INDEX(原始資料!BC$2:BC$501,$BJ74)))</f>
        <v/>
      </c>
      <c r="BB74" s="6">
        <f>IF(OR($BJ74="",53&gt;設定!$B$3),"",IF(INDEX(原始資料!BD$2:BD$501,$BJ74)="","",INDEX(原始資料!BD$2:BD$501,$BJ74)))</f>
        <v/>
      </c>
      <c r="BC74" s="6">
        <f>IF(OR($BJ74="",54&gt;設定!$B$3),"",IF(INDEX(原始資料!BE$2:BE$501,$BJ74)="","",INDEX(原始資料!BE$2:BE$501,$BJ74)))</f>
        <v/>
      </c>
      <c r="BD74" s="6">
        <f>IF(OR($BJ74="",55&gt;設定!$B$3),"",IF(INDEX(原始資料!BF$2:BF$501,$BJ74)="","",INDEX(原始資料!BF$2:BF$501,$BJ74)))</f>
        <v/>
      </c>
      <c r="BE74" s="6">
        <f>IF(OR($BJ74="",56&gt;設定!$B$3),"",IF(INDEX(原始資料!BG$2:BG$501,$BJ74)="","",INDEX(原始資料!BG$2:BG$501,$BJ74)))</f>
        <v/>
      </c>
      <c r="BF74" s="6">
        <f>IF(OR($BJ74="",57&gt;設定!$B$3),"",IF(INDEX(原始資料!BH$2:BH$501,$BJ74)="","",INDEX(原始資料!BH$2:BH$501,$BJ74)))</f>
        <v/>
      </c>
      <c r="BG74" s="6">
        <f>IF(OR($BJ74="",58&gt;設定!$B$3),"",IF(INDEX(原始資料!BI$2:BI$501,$BJ74)="","",INDEX(原始資料!BI$2:BI$501,$BJ74)))</f>
        <v/>
      </c>
      <c r="BH74" s="6">
        <f>IF(OR($BJ74="",59&gt;設定!$B$3),"",IF(INDEX(原始資料!BJ$2:BJ$501,$BJ74)="","",INDEX(原始資料!BJ$2:BJ$501,$BJ74)))</f>
        <v/>
      </c>
      <c r="BI74" s="6">
        <f>IF(OR($BJ74="",60&gt;設定!$B$3),"",IF(INDEX(原始資料!BK$2:BK$501,$BJ74)="","",INDEX(原始資料!BK$2:BK$501,$BJ74)))</f>
        <v/>
      </c>
      <c r="BJ74" s="6">
        <f>IFERROR(MATCH(ROW()-1,判定!$H$2:$H$501,0),"")</f>
        <v/>
      </c>
    </row>
    <row r="75">
      <c r="A75" s="6">
        <f>IF($BJ75="","",INDEX(原始資料!$A$2:$A$501,$BJ75))</f>
        <v/>
      </c>
      <c r="B75" s="6">
        <f>IF(OR($BJ75="",1&gt;設定!$B$3),"",IF(INDEX(原始資料!D$2:D$501,$BJ75)="","",INDEX(原始資料!D$2:D$501,$BJ75)))</f>
        <v/>
      </c>
      <c r="C75" s="6">
        <f>IF(OR($BJ75="",2&gt;設定!$B$3),"",IF(INDEX(原始資料!E$2:E$501,$BJ75)="","",INDEX(原始資料!E$2:E$501,$BJ75)))</f>
        <v/>
      </c>
      <c r="D75" s="6">
        <f>IF(OR($BJ75="",3&gt;設定!$B$3),"",IF(INDEX(原始資料!F$2:F$501,$BJ75)="","",INDEX(原始資料!F$2:F$501,$BJ75)))</f>
        <v/>
      </c>
      <c r="E75" s="6">
        <f>IF(OR($BJ75="",4&gt;設定!$B$3),"",IF(INDEX(原始資料!G$2:G$501,$BJ75)="","",INDEX(原始資料!G$2:G$501,$BJ75)))</f>
        <v/>
      </c>
      <c r="F75" s="6">
        <f>IF(OR($BJ75="",5&gt;設定!$B$3),"",IF(INDEX(原始資料!H$2:H$501,$BJ75)="","",INDEX(原始資料!H$2:H$501,$BJ75)))</f>
        <v/>
      </c>
      <c r="G75" s="6">
        <f>IF(OR($BJ75="",6&gt;設定!$B$3),"",IF(INDEX(原始資料!I$2:I$501,$BJ75)="","",INDEX(原始資料!I$2:I$501,$BJ75)))</f>
        <v/>
      </c>
      <c r="H75" s="6">
        <f>IF(OR($BJ75="",7&gt;設定!$B$3),"",IF(INDEX(原始資料!J$2:J$501,$BJ75)="","",INDEX(原始資料!J$2:J$501,$BJ75)))</f>
        <v/>
      </c>
      <c r="I75" s="6">
        <f>IF(OR($BJ75="",8&gt;設定!$B$3),"",IF(INDEX(原始資料!K$2:K$501,$BJ75)="","",INDEX(原始資料!K$2:K$501,$BJ75)))</f>
        <v/>
      </c>
      <c r="J75" s="6">
        <f>IF(OR($BJ75="",9&gt;設定!$B$3),"",IF(INDEX(原始資料!L$2:L$501,$BJ75)="","",INDEX(原始資料!L$2:L$501,$BJ75)))</f>
        <v/>
      </c>
      <c r="K75" s="6">
        <f>IF(OR($BJ75="",10&gt;設定!$B$3),"",IF(INDEX(原始資料!M$2:M$501,$BJ75)="","",INDEX(原始資料!M$2:M$501,$BJ75)))</f>
        <v/>
      </c>
      <c r="L75" s="6">
        <f>IF(OR($BJ75="",11&gt;設定!$B$3),"",IF(INDEX(原始資料!N$2:N$501,$BJ75)="","",INDEX(原始資料!N$2:N$501,$BJ75)))</f>
        <v/>
      </c>
      <c r="M75" s="6">
        <f>IF(OR($BJ75="",12&gt;設定!$B$3),"",IF(INDEX(原始資料!O$2:O$501,$BJ75)="","",INDEX(原始資料!O$2:O$501,$BJ75)))</f>
        <v/>
      </c>
      <c r="N75" s="6">
        <f>IF(OR($BJ75="",13&gt;設定!$B$3),"",IF(INDEX(原始資料!P$2:P$501,$BJ75)="","",INDEX(原始資料!P$2:P$501,$BJ75)))</f>
        <v/>
      </c>
      <c r="O75" s="6">
        <f>IF(OR($BJ75="",14&gt;設定!$B$3),"",IF(INDEX(原始資料!Q$2:Q$501,$BJ75)="","",INDEX(原始資料!Q$2:Q$501,$BJ75)))</f>
        <v/>
      </c>
      <c r="P75" s="6">
        <f>IF(OR($BJ75="",15&gt;設定!$B$3),"",IF(INDEX(原始資料!R$2:R$501,$BJ75)="","",INDEX(原始資料!R$2:R$501,$BJ75)))</f>
        <v/>
      </c>
      <c r="Q75" s="6">
        <f>IF(OR($BJ75="",16&gt;設定!$B$3),"",IF(INDEX(原始資料!S$2:S$501,$BJ75)="","",INDEX(原始資料!S$2:S$501,$BJ75)))</f>
        <v/>
      </c>
      <c r="R75" s="6">
        <f>IF(OR($BJ75="",17&gt;設定!$B$3),"",IF(INDEX(原始資料!T$2:T$501,$BJ75)="","",INDEX(原始資料!T$2:T$501,$BJ75)))</f>
        <v/>
      </c>
      <c r="S75" s="6">
        <f>IF(OR($BJ75="",18&gt;設定!$B$3),"",IF(INDEX(原始資料!U$2:U$501,$BJ75)="","",INDEX(原始資料!U$2:U$501,$BJ75)))</f>
        <v/>
      </c>
      <c r="T75" s="6">
        <f>IF(OR($BJ75="",19&gt;設定!$B$3),"",IF(INDEX(原始資料!V$2:V$501,$BJ75)="","",INDEX(原始資料!V$2:V$501,$BJ75)))</f>
        <v/>
      </c>
      <c r="U75" s="6">
        <f>IF(OR($BJ75="",20&gt;設定!$B$3),"",IF(INDEX(原始資料!W$2:W$501,$BJ75)="","",INDEX(原始資料!W$2:W$501,$BJ75)))</f>
        <v/>
      </c>
      <c r="V75" s="6">
        <f>IF(OR($BJ75="",21&gt;設定!$B$3),"",IF(INDEX(原始資料!X$2:X$501,$BJ75)="","",INDEX(原始資料!X$2:X$501,$BJ75)))</f>
        <v/>
      </c>
      <c r="W75" s="6">
        <f>IF(OR($BJ75="",22&gt;設定!$B$3),"",IF(INDEX(原始資料!Y$2:Y$501,$BJ75)="","",INDEX(原始資料!Y$2:Y$501,$BJ75)))</f>
        <v/>
      </c>
      <c r="X75" s="6">
        <f>IF(OR($BJ75="",23&gt;設定!$B$3),"",IF(INDEX(原始資料!Z$2:Z$501,$BJ75)="","",INDEX(原始資料!Z$2:Z$501,$BJ75)))</f>
        <v/>
      </c>
      <c r="Y75" s="6">
        <f>IF(OR($BJ75="",24&gt;設定!$B$3),"",IF(INDEX(原始資料!AA$2:AA$501,$BJ75)="","",INDEX(原始資料!AA$2:AA$501,$BJ75)))</f>
        <v/>
      </c>
      <c r="Z75" s="6">
        <f>IF(OR($BJ75="",25&gt;設定!$B$3),"",IF(INDEX(原始資料!AB$2:AB$501,$BJ75)="","",INDEX(原始資料!AB$2:AB$501,$BJ75)))</f>
        <v/>
      </c>
      <c r="AA75" s="6">
        <f>IF(OR($BJ75="",26&gt;設定!$B$3),"",IF(INDEX(原始資料!AC$2:AC$501,$BJ75)="","",INDEX(原始資料!AC$2:AC$501,$BJ75)))</f>
        <v/>
      </c>
      <c r="AB75" s="6">
        <f>IF(OR($BJ75="",27&gt;設定!$B$3),"",IF(INDEX(原始資料!AD$2:AD$501,$BJ75)="","",INDEX(原始資料!AD$2:AD$501,$BJ75)))</f>
        <v/>
      </c>
      <c r="AC75" s="6">
        <f>IF(OR($BJ75="",28&gt;設定!$B$3),"",IF(INDEX(原始資料!AE$2:AE$501,$BJ75)="","",INDEX(原始資料!AE$2:AE$501,$BJ75)))</f>
        <v/>
      </c>
      <c r="AD75" s="6">
        <f>IF(OR($BJ75="",29&gt;設定!$B$3),"",IF(INDEX(原始資料!AF$2:AF$501,$BJ75)="","",INDEX(原始資料!AF$2:AF$501,$BJ75)))</f>
        <v/>
      </c>
      <c r="AE75" s="6">
        <f>IF(OR($BJ75="",30&gt;設定!$B$3),"",IF(INDEX(原始資料!AG$2:AG$501,$BJ75)="","",INDEX(原始資料!AG$2:AG$501,$BJ75)))</f>
        <v/>
      </c>
      <c r="AF75" s="6">
        <f>IF(OR($BJ75="",31&gt;設定!$B$3),"",IF(INDEX(原始資料!AH$2:AH$501,$BJ75)="","",INDEX(原始資料!AH$2:AH$501,$BJ75)))</f>
        <v/>
      </c>
      <c r="AG75" s="6">
        <f>IF(OR($BJ75="",32&gt;設定!$B$3),"",IF(INDEX(原始資料!AI$2:AI$501,$BJ75)="","",INDEX(原始資料!AI$2:AI$501,$BJ75)))</f>
        <v/>
      </c>
      <c r="AH75" s="6">
        <f>IF(OR($BJ75="",33&gt;設定!$B$3),"",IF(INDEX(原始資料!AJ$2:AJ$501,$BJ75)="","",INDEX(原始資料!AJ$2:AJ$501,$BJ75)))</f>
        <v/>
      </c>
      <c r="AI75" s="6">
        <f>IF(OR($BJ75="",34&gt;設定!$B$3),"",IF(INDEX(原始資料!AK$2:AK$501,$BJ75)="","",INDEX(原始資料!AK$2:AK$501,$BJ75)))</f>
        <v/>
      </c>
      <c r="AJ75" s="6">
        <f>IF(OR($BJ75="",35&gt;設定!$B$3),"",IF(INDEX(原始資料!AL$2:AL$501,$BJ75)="","",INDEX(原始資料!AL$2:AL$501,$BJ75)))</f>
        <v/>
      </c>
      <c r="AK75" s="6">
        <f>IF(OR($BJ75="",36&gt;設定!$B$3),"",IF(INDEX(原始資料!AM$2:AM$501,$BJ75)="","",INDEX(原始資料!AM$2:AM$501,$BJ75)))</f>
        <v/>
      </c>
      <c r="AL75" s="6">
        <f>IF(OR($BJ75="",37&gt;設定!$B$3),"",IF(INDEX(原始資料!AN$2:AN$501,$BJ75)="","",INDEX(原始資料!AN$2:AN$501,$BJ75)))</f>
        <v/>
      </c>
      <c r="AM75" s="6">
        <f>IF(OR($BJ75="",38&gt;設定!$B$3),"",IF(INDEX(原始資料!AO$2:AO$501,$BJ75)="","",INDEX(原始資料!AO$2:AO$501,$BJ75)))</f>
        <v/>
      </c>
      <c r="AN75" s="6">
        <f>IF(OR($BJ75="",39&gt;設定!$B$3),"",IF(INDEX(原始資料!AP$2:AP$501,$BJ75)="","",INDEX(原始資料!AP$2:AP$501,$BJ75)))</f>
        <v/>
      </c>
      <c r="AO75" s="6">
        <f>IF(OR($BJ75="",40&gt;設定!$B$3),"",IF(INDEX(原始資料!AQ$2:AQ$501,$BJ75)="","",INDEX(原始資料!AQ$2:AQ$501,$BJ75)))</f>
        <v/>
      </c>
      <c r="AP75" s="6">
        <f>IF(OR($BJ75="",41&gt;設定!$B$3),"",IF(INDEX(原始資料!AR$2:AR$501,$BJ75)="","",INDEX(原始資料!AR$2:AR$501,$BJ75)))</f>
        <v/>
      </c>
      <c r="AQ75" s="6">
        <f>IF(OR($BJ75="",42&gt;設定!$B$3),"",IF(INDEX(原始資料!AS$2:AS$501,$BJ75)="","",INDEX(原始資料!AS$2:AS$501,$BJ75)))</f>
        <v/>
      </c>
      <c r="AR75" s="6">
        <f>IF(OR($BJ75="",43&gt;設定!$B$3),"",IF(INDEX(原始資料!AT$2:AT$501,$BJ75)="","",INDEX(原始資料!AT$2:AT$501,$BJ75)))</f>
        <v/>
      </c>
      <c r="AS75" s="6">
        <f>IF(OR($BJ75="",44&gt;設定!$B$3),"",IF(INDEX(原始資料!AU$2:AU$501,$BJ75)="","",INDEX(原始資料!AU$2:AU$501,$BJ75)))</f>
        <v/>
      </c>
      <c r="AT75" s="6">
        <f>IF(OR($BJ75="",45&gt;設定!$B$3),"",IF(INDEX(原始資料!AV$2:AV$501,$BJ75)="","",INDEX(原始資料!AV$2:AV$501,$BJ75)))</f>
        <v/>
      </c>
      <c r="AU75" s="6">
        <f>IF(OR($BJ75="",46&gt;設定!$B$3),"",IF(INDEX(原始資料!AW$2:AW$501,$BJ75)="","",INDEX(原始資料!AW$2:AW$501,$BJ75)))</f>
        <v/>
      </c>
      <c r="AV75" s="6">
        <f>IF(OR($BJ75="",47&gt;設定!$B$3),"",IF(INDEX(原始資料!AX$2:AX$501,$BJ75)="","",INDEX(原始資料!AX$2:AX$501,$BJ75)))</f>
        <v/>
      </c>
      <c r="AW75" s="6">
        <f>IF(OR($BJ75="",48&gt;設定!$B$3),"",IF(INDEX(原始資料!AY$2:AY$501,$BJ75)="","",INDEX(原始資料!AY$2:AY$501,$BJ75)))</f>
        <v/>
      </c>
      <c r="AX75" s="6">
        <f>IF(OR($BJ75="",49&gt;設定!$B$3),"",IF(INDEX(原始資料!AZ$2:AZ$501,$BJ75)="","",INDEX(原始資料!AZ$2:AZ$501,$BJ75)))</f>
        <v/>
      </c>
      <c r="AY75" s="6">
        <f>IF(OR($BJ75="",50&gt;設定!$B$3),"",IF(INDEX(原始資料!BA$2:BA$501,$BJ75)="","",INDEX(原始資料!BA$2:BA$501,$BJ75)))</f>
        <v/>
      </c>
      <c r="AZ75" s="6">
        <f>IF(OR($BJ75="",51&gt;設定!$B$3),"",IF(INDEX(原始資料!BB$2:BB$501,$BJ75)="","",INDEX(原始資料!BB$2:BB$501,$BJ75)))</f>
        <v/>
      </c>
      <c r="BA75" s="6">
        <f>IF(OR($BJ75="",52&gt;設定!$B$3),"",IF(INDEX(原始資料!BC$2:BC$501,$BJ75)="","",INDEX(原始資料!BC$2:BC$501,$BJ75)))</f>
        <v/>
      </c>
      <c r="BB75" s="6">
        <f>IF(OR($BJ75="",53&gt;設定!$B$3),"",IF(INDEX(原始資料!BD$2:BD$501,$BJ75)="","",INDEX(原始資料!BD$2:BD$501,$BJ75)))</f>
        <v/>
      </c>
      <c r="BC75" s="6">
        <f>IF(OR($BJ75="",54&gt;設定!$B$3),"",IF(INDEX(原始資料!BE$2:BE$501,$BJ75)="","",INDEX(原始資料!BE$2:BE$501,$BJ75)))</f>
        <v/>
      </c>
      <c r="BD75" s="6">
        <f>IF(OR($BJ75="",55&gt;設定!$B$3),"",IF(INDEX(原始資料!BF$2:BF$501,$BJ75)="","",INDEX(原始資料!BF$2:BF$501,$BJ75)))</f>
        <v/>
      </c>
      <c r="BE75" s="6">
        <f>IF(OR($BJ75="",56&gt;設定!$B$3),"",IF(INDEX(原始資料!BG$2:BG$501,$BJ75)="","",INDEX(原始資料!BG$2:BG$501,$BJ75)))</f>
        <v/>
      </c>
      <c r="BF75" s="6">
        <f>IF(OR($BJ75="",57&gt;設定!$B$3),"",IF(INDEX(原始資料!BH$2:BH$501,$BJ75)="","",INDEX(原始資料!BH$2:BH$501,$BJ75)))</f>
        <v/>
      </c>
      <c r="BG75" s="6">
        <f>IF(OR($BJ75="",58&gt;設定!$B$3),"",IF(INDEX(原始資料!BI$2:BI$501,$BJ75)="","",INDEX(原始資料!BI$2:BI$501,$BJ75)))</f>
        <v/>
      </c>
      <c r="BH75" s="6">
        <f>IF(OR($BJ75="",59&gt;設定!$B$3),"",IF(INDEX(原始資料!BJ$2:BJ$501,$BJ75)="","",INDEX(原始資料!BJ$2:BJ$501,$BJ75)))</f>
        <v/>
      </c>
      <c r="BI75" s="6">
        <f>IF(OR($BJ75="",60&gt;設定!$B$3),"",IF(INDEX(原始資料!BK$2:BK$501,$BJ75)="","",INDEX(原始資料!BK$2:BK$501,$BJ75)))</f>
        <v/>
      </c>
      <c r="BJ75" s="6">
        <f>IFERROR(MATCH(ROW()-1,判定!$H$2:$H$501,0),"")</f>
        <v/>
      </c>
    </row>
    <row r="76">
      <c r="A76" s="6">
        <f>IF($BJ76="","",INDEX(原始資料!$A$2:$A$501,$BJ76))</f>
        <v/>
      </c>
      <c r="B76" s="6">
        <f>IF(OR($BJ76="",1&gt;設定!$B$3),"",IF(INDEX(原始資料!D$2:D$501,$BJ76)="","",INDEX(原始資料!D$2:D$501,$BJ76)))</f>
        <v/>
      </c>
      <c r="C76" s="6">
        <f>IF(OR($BJ76="",2&gt;設定!$B$3),"",IF(INDEX(原始資料!E$2:E$501,$BJ76)="","",INDEX(原始資料!E$2:E$501,$BJ76)))</f>
        <v/>
      </c>
      <c r="D76" s="6">
        <f>IF(OR($BJ76="",3&gt;設定!$B$3),"",IF(INDEX(原始資料!F$2:F$501,$BJ76)="","",INDEX(原始資料!F$2:F$501,$BJ76)))</f>
        <v/>
      </c>
      <c r="E76" s="6">
        <f>IF(OR($BJ76="",4&gt;設定!$B$3),"",IF(INDEX(原始資料!G$2:G$501,$BJ76)="","",INDEX(原始資料!G$2:G$501,$BJ76)))</f>
        <v/>
      </c>
      <c r="F76" s="6">
        <f>IF(OR($BJ76="",5&gt;設定!$B$3),"",IF(INDEX(原始資料!H$2:H$501,$BJ76)="","",INDEX(原始資料!H$2:H$501,$BJ76)))</f>
        <v/>
      </c>
      <c r="G76" s="6">
        <f>IF(OR($BJ76="",6&gt;設定!$B$3),"",IF(INDEX(原始資料!I$2:I$501,$BJ76)="","",INDEX(原始資料!I$2:I$501,$BJ76)))</f>
        <v/>
      </c>
      <c r="H76" s="6">
        <f>IF(OR($BJ76="",7&gt;設定!$B$3),"",IF(INDEX(原始資料!J$2:J$501,$BJ76)="","",INDEX(原始資料!J$2:J$501,$BJ76)))</f>
        <v/>
      </c>
      <c r="I76" s="6">
        <f>IF(OR($BJ76="",8&gt;設定!$B$3),"",IF(INDEX(原始資料!K$2:K$501,$BJ76)="","",INDEX(原始資料!K$2:K$501,$BJ76)))</f>
        <v/>
      </c>
      <c r="J76" s="6">
        <f>IF(OR($BJ76="",9&gt;設定!$B$3),"",IF(INDEX(原始資料!L$2:L$501,$BJ76)="","",INDEX(原始資料!L$2:L$501,$BJ76)))</f>
        <v/>
      </c>
      <c r="K76" s="6">
        <f>IF(OR($BJ76="",10&gt;設定!$B$3),"",IF(INDEX(原始資料!M$2:M$501,$BJ76)="","",INDEX(原始資料!M$2:M$501,$BJ76)))</f>
        <v/>
      </c>
      <c r="L76" s="6">
        <f>IF(OR($BJ76="",11&gt;設定!$B$3),"",IF(INDEX(原始資料!N$2:N$501,$BJ76)="","",INDEX(原始資料!N$2:N$501,$BJ76)))</f>
        <v/>
      </c>
      <c r="M76" s="6">
        <f>IF(OR($BJ76="",12&gt;設定!$B$3),"",IF(INDEX(原始資料!O$2:O$501,$BJ76)="","",INDEX(原始資料!O$2:O$501,$BJ76)))</f>
        <v/>
      </c>
      <c r="N76" s="6">
        <f>IF(OR($BJ76="",13&gt;設定!$B$3),"",IF(INDEX(原始資料!P$2:P$501,$BJ76)="","",INDEX(原始資料!P$2:P$501,$BJ76)))</f>
        <v/>
      </c>
      <c r="O76" s="6">
        <f>IF(OR($BJ76="",14&gt;設定!$B$3),"",IF(INDEX(原始資料!Q$2:Q$501,$BJ76)="","",INDEX(原始資料!Q$2:Q$501,$BJ76)))</f>
        <v/>
      </c>
      <c r="P76" s="6">
        <f>IF(OR($BJ76="",15&gt;設定!$B$3),"",IF(INDEX(原始資料!R$2:R$501,$BJ76)="","",INDEX(原始資料!R$2:R$501,$BJ76)))</f>
        <v/>
      </c>
      <c r="Q76" s="6">
        <f>IF(OR($BJ76="",16&gt;設定!$B$3),"",IF(INDEX(原始資料!S$2:S$501,$BJ76)="","",INDEX(原始資料!S$2:S$501,$BJ76)))</f>
        <v/>
      </c>
      <c r="R76" s="6">
        <f>IF(OR($BJ76="",17&gt;設定!$B$3),"",IF(INDEX(原始資料!T$2:T$501,$BJ76)="","",INDEX(原始資料!T$2:T$501,$BJ76)))</f>
        <v/>
      </c>
      <c r="S76" s="6">
        <f>IF(OR($BJ76="",18&gt;設定!$B$3),"",IF(INDEX(原始資料!U$2:U$501,$BJ76)="","",INDEX(原始資料!U$2:U$501,$BJ76)))</f>
        <v/>
      </c>
      <c r="T76" s="6">
        <f>IF(OR($BJ76="",19&gt;設定!$B$3),"",IF(INDEX(原始資料!V$2:V$501,$BJ76)="","",INDEX(原始資料!V$2:V$501,$BJ76)))</f>
        <v/>
      </c>
      <c r="U76" s="6">
        <f>IF(OR($BJ76="",20&gt;設定!$B$3),"",IF(INDEX(原始資料!W$2:W$501,$BJ76)="","",INDEX(原始資料!W$2:W$501,$BJ76)))</f>
        <v/>
      </c>
      <c r="V76" s="6">
        <f>IF(OR($BJ76="",21&gt;設定!$B$3),"",IF(INDEX(原始資料!X$2:X$501,$BJ76)="","",INDEX(原始資料!X$2:X$501,$BJ76)))</f>
        <v/>
      </c>
      <c r="W76" s="6">
        <f>IF(OR($BJ76="",22&gt;設定!$B$3),"",IF(INDEX(原始資料!Y$2:Y$501,$BJ76)="","",INDEX(原始資料!Y$2:Y$501,$BJ76)))</f>
        <v/>
      </c>
      <c r="X76" s="6">
        <f>IF(OR($BJ76="",23&gt;設定!$B$3),"",IF(INDEX(原始資料!Z$2:Z$501,$BJ76)="","",INDEX(原始資料!Z$2:Z$501,$BJ76)))</f>
        <v/>
      </c>
      <c r="Y76" s="6">
        <f>IF(OR($BJ76="",24&gt;設定!$B$3),"",IF(INDEX(原始資料!AA$2:AA$501,$BJ76)="","",INDEX(原始資料!AA$2:AA$501,$BJ76)))</f>
        <v/>
      </c>
      <c r="Z76" s="6">
        <f>IF(OR($BJ76="",25&gt;設定!$B$3),"",IF(INDEX(原始資料!AB$2:AB$501,$BJ76)="","",INDEX(原始資料!AB$2:AB$501,$BJ76)))</f>
        <v/>
      </c>
      <c r="AA76" s="6">
        <f>IF(OR($BJ76="",26&gt;設定!$B$3),"",IF(INDEX(原始資料!AC$2:AC$501,$BJ76)="","",INDEX(原始資料!AC$2:AC$501,$BJ76)))</f>
        <v/>
      </c>
      <c r="AB76" s="6">
        <f>IF(OR($BJ76="",27&gt;設定!$B$3),"",IF(INDEX(原始資料!AD$2:AD$501,$BJ76)="","",INDEX(原始資料!AD$2:AD$501,$BJ76)))</f>
        <v/>
      </c>
      <c r="AC76" s="6">
        <f>IF(OR($BJ76="",28&gt;設定!$B$3),"",IF(INDEX(原始資料!AE$2:AE$501,$BJ76)="","",INDEX(原始資料!AE$2:AE$501,$BJ76)))</f>
        <v/>
      </c>
      <c r="AD76" s="6">
        <f>IF(OR($BJ76="",29&gt;設定!$B$3),"",IF(INDEX(原始資料!AF$2:AF$501,$BJ76)="","",INDEX(原始資料!AF$2:AF$501,$BJ76)))</f>
        <v/>
      </c>
      <c r="AE76" s="6">
        <f>IF(OR($BJ76="",30&gt;設定!$B$3),"",IF(INDEX(原始資料!AG$2:AG$501,$BJ76)="","",INDEX(原始資料!AG$2:AG$501,$BJ76)))</f>
        <v/>
      </c>
      <c r="AF76" s="6">
        <f>IF(OR($BJ76="",31&gt;設定!$B$3),"",IF(INDEX(原始資料!AH$2:AH$501,$BJ76)="","",INDEX(原始資料!AH$2:AH$501,$BJ76)))</f>
        <v/>
      </c>
      <c r="AG76" s="6">
        <f>IF(OR($BJ76="",32&gt;設定!$B$3),"",IF(INDEX(原始資料!AI$2:AI$501,$BJ76)="","",INDEX(原始資料!AI$2:AI$501,$BJ76)))</f>
        <v/>
      </c>
      <c r="AH76" s="6">
        <f>IF(OR($BJ76="",33&gt;設定!$B$3),"",IF(INDEX(原始資料!AJ$2:AJ$501,$BJ76)="","",INDEX(原始資料!AJ$2:AJ$501,$BJ76)))</f>
        <v/>
      </c>
      <c r="AI76" s="6">
        <f>IF(OR($BJ76="",34&gt;設定!$B$3),"",IF(INDEX(原始資料!AK$2:AK$501,$BJ76)="","",INDEX(原始資料!AK$2:AK$501,$BJ76)))</f>
        <v/>
      </c>
      <c r="AJ76" s="6">
        <f>IF(OR($BJ76="",35&gt;設定!$B$3),"",IF(INDEX(原始資料!AL$2:AL$501,$BJ76)="","",INDEX(原始資料!AL$2:AL$501,$BJ76)))</f>
        <v/>
      </c>
      <c r="AK76" s="6">
        <f>IF(OR($BJ76="",36&gt;設定!$B$3),"",IF(INDEX(原始資料!AM$2:AM$501,$BJ76)="","",INDEX(原始資料!AM$2:AM$501,$BJ76)))</f>
        <v/>
      </c>
      <c r="AL76" s="6">
        <f>IF(OR($BJ76="",37&gt;設定!$B$3),"",IF(INDEX(原始資料!AN$2:AN$501,$BJ76)="","",INDEX(原始資料!AN$2:AN$501,$BJ76)))</f>
        <v/>
      </c>
      <c r="AM76" s="6">
        <f>IF(OR($BJ76="",38&gt;設定!$B$3),"",IF(INDEX(原始資料!AO$2:AO$501,$BJ76)="","",INDEX(原始資料!AO$2:AO$501,$BJ76)))</f>
        <v/>
      </c>
      <c r="AN76" s="6">
        <f>IF(OR($BJ76="",39&gt;設定!$B$3),"",IF(INDEX(原始資料!AP$2:AP$501,$BJ76)="","",INDEX(原始資料!AP$2:AP$501,$BJ76)))</f>
        <v/>
      </c>
      <c r="AO76" s="6">
        <f>IF(OR($BJ76="",40&gt;設定!$B$3),"",IF(INDEX(原始資料!AQ$2:AQ$501,$BJ76)="","",INDEX(原始資料!AQ$2:AQ$501,$BJ76)))</f>
        <v/>
      </c>
      <c r="AP76" s="6">
        <f>IF(OR($BJ76="",41&gt;設定!$B$3),"",IF(INDEX(原始資料!AR$2:AR$501,$BJ76)="","",INDEX(原始資料!AR$2:AR$501,$BJ76)))</f>
        <v/>
      </c>
      <c r="AQ76" s="6">
        <f>IF(OR($BJ76="",42&gt;設定!$B$3),"",IF(INDEX(原始資料!AS$2:AS$501,$BJ76)="","",INDEX(原始資料!AS$2:AS$501,$BJ76)))</f>
        <v/>
      </c>
      <c r="AR76" s="6">
        <f>IF(OR($BJ76="",43&gt;設定!$B$3),"",IF(INDEX(原始資料!AT$2:AT$501,$BJ76)="","",INDEX(原始資料!AT$2:AT$501,$BJ76)))</f>
        <v/>
      </c>
      <c r="AS76" s="6">
        <f>IF(OR($BJ76="",44&gt;設定!$B$3),"",IF(INDEX(原始資料!AU$2:AU$501,$BJ76)="","",INDEX(原始資料!AU$2:AU$501,$BJ76)))</f>
        <v/>
      </c>
      <c r="AT76" s="6">
        <f>IF(OR($BJ76="",45&gt;設定!$B$3),"",IF(INDEX(原始資料!AV$2:AV$501,$BJ76)="","",INDEX(原始資料!AV$2:AV$501,$BJ76)))</f>
        <v/>
      </c>
      <c r="AU76" s="6">
        <f>IF(OR($BJ76="",46&gt;設定!$B$3),"",IF(INDEX(原始資料!AW$2:AW$501,$BJ76)="","",INDEX(原始資料!AW$2:AW$501,$BJ76)))</f>
        <v/>
      </c>
      <c r="AV76" s="6">
        <f>IF(OR($BJ76="",47&gt;設定!$B$3),"",IF(INDEX(原始資料!AX$2:AX$501,$BJ76)="","",INDEX(原始資料!AX$2:AX$501,$BJ76)))</f>
        <v/>
      </c>
      <c r="AW76" s="6">
        <f>IF(OR($BJ76="",48&gt;設定!$B$3),"",IF(INDEX(原始資料!AY$2:AY$501,$BJ76)="","",INDEX(原始資料!AY$2:AY$501,$BJ76)))</f>
        <v/>
      </c>
      <c r="AX76" s="6">
        <f>IF(OR($BJ76="",49&gt;設定!$B$3),"",IF(INDEX(原始資料!AZ$2:AZ$501,$BJ76)="","",INDEX(原始資料!AZ$2:AZ$501,$BJ76)))</f>
        <v/>
      </c>
      <c r="AY76" s="6">
        <f>IF(OR($BJ76="",50&gt;設定!$B$3),"",IF(INDEX(原始資料!BA$2:BA$501,$BJ76)="","",INDEX(原始資料!BA$2:BA$501,$BJ76)))</f>
        <v/>
      </c>
      <c r="AZ76" s="6">
        <f>IF(OR($BJ76="",51&gt;設定!$B$3),"",IF(INDEX(原始資料!BB$2:BB$501,$BJ76)="","",INDEX(原始資料!BB$2:BB$501,$BJ76)))</f>
        <v/>
      </c>
      <c r="BA76" s="6">
        <f>IF(OR($BJ76="",52&gt;設定!$B$3),"",IF(INDEX(原始資料!BC$2:BC$501,$BJ76)="","",INDEX(原始資料!BC$2:BC$501,$BJ76)))</f>
        <v/>
      </c>
      <c r="BB76" s="6">
        <f>IF(OR($BJ76="",53&gt;設定!$B$3),"",IF(INDEX(原始資料!BD$2:BD$501,$BJ76)="","",INDEX(原始資料!BD$2:BD$501,$BJ76)))</f>
        <v/>
      </c>
      <c r="BC76" s="6">
        <f>IF(OR($BJ76="",54&gt;設定!$B$3),"",IF(INDEX(原始資料!BE$2:BE$501,$BJ76)="","",INDEX(原始資料!BE$2:BE$501,$BJ76)))</f>
        <v/>
      </c>
      <c r="BD76" s="6">
        <f>IF(OR($BJ76="",55&gt;設定!$B$3),"",IF(INDEX(原始資料!BF$2:BF$501,$BJ76)="","",INDEX(原始資料!BF$2:BF$501,$BJ76)))</f>
        <v/>
      </c>
      <c r="BE76" s="6">
        <f>IF(OR($BJ76="",56&gt;設定!$B$3),"",IF(INDEX(原始資料!BG$2:BG$501,$BJ76)="","",INDEX(原始資料!BG$2:BG$501,$BJ76)))</f>
        <v/>
      </c>
      <c r="BF76" s="6">
        <f>IF(OR($BJ76="",57&gt;設定!$B$3),"",IF(INDEX(原始資料!BH$2:BH$501,$BJ76)="","",INDEX(原始資料!BH$2:BH$501,$BJ76)))</f>
        <v/>
      </c>
      <c r="BG76" s="6">
        <f>IF(OR($BJ76="",58&gt;設定!$B$3),"",IF(INDEX(原始資料!BI$2:BI$501,$BJ76)="","",INDEX(原始資料!BI$2:BI$501,$BJ76)))</f>
        <v/>
      </c>
      <c r="BH76" s="6">
        <f>IF(OR($BJ76="",59&gt;設定!$B$3),"",IF(INDEX(原始資料!BJ$2:BJ$501,$BJ76)="","",INDEX(原始資料!BJ$2:BJ$501,$BJ76)))</f>
        <v/>
      </c>
      <c r="BI76" s="6">
        <f>IF(OR($BJ76="",60&gt;設定!$B$3),"",IF(INDEX(原始資料!BK$2:BK$501,$BJ76)="","",INDEX(原始資料!BK$2:BK$501,$BJ76)))</f>
        <v/>
      </c>
      <c r="BJ76" s="6">
        <f>IFERROR(MATCH(ROW()-1,判定!$H$2:$H$501,0),"")</f>
        <v/>
      </c>
    </row>
    <row r="77">
      <c r="A77" s="6">
        <f>IF($BJ77="","",INDEX(原始資料!$A$2:$A$501,$BJ77))</f>
        <v/>
      </c>
      <c r="B77" s="6">
        <f>IF(OR($BJ77="",1&gt;設定!$B$3),"",IF(INDEX(原始資料!D$2:D$501,$BJ77)="","",INDEX(原始資料!D$2:D$501,$BJ77)))</f>
        <v/>
      </c>
      <c r="C77" s="6">
        <f>IF(OR($BJ77="",2&gt;設定!$B$3),"",IF(INDEX(原始資料!E$2:E$501,$BJ77)="","",INDEX(原始資料!E$2:E$501,$BJ77)))</f>
        <v/>
      </c>
      <c r="D77" s="6">
        <f>IF(OR($BJ77="",3&gt;設定!$B$3),"",IF(INDEX(原始資料!F$2:F$501,$BJ77)="","",INDEX(原始資料!F$2:F$501,$BJ77)))</f>
        <v/>
      </c>
      <c r="E77" s="6">
        <f>IF(OR($BJ77="",4&gt;設定!$B$3),"",IF(INDEX(原始資料!G$2:G$501,$BJ77)="","",INDEX(原始資料!G$2:G$501,$BJ77)))</f>
        <v/>
      </c>
      <c r="F77" s="6">
        <f>IF(OR($BJ77="",5&gt;設定!$B$3),"",IF(INDEX(原始資料!H$2:H$501,$BJ77)="","",INDEX(原始資料!H$2:H$501,$BJ77)))</f>
        <v/>
      </c>
      <c r="G77" s="6">
        <f>IF(OR($BJ77="",6&gt;設定!$B$3),"",IF(INDEX(原始資料!I$2:I$501,$BJ77)="","",INDEX(原始資料!I$2:I$501,$BJ77)))</f>
        <v/>
      </c>
      <c r="H77" s="6">
        <f>IF(OR($BJ77="",7&gt;設定!$B$3),"",IF(INDEX(原始資料!J$2:J$501,$BJ77)="","",INDEX(原始資料!J$2:J$501,$BJ77)))</f>
        <v/>
      </c>
      <c r="I77" s="6">
        <f>IF(OR($BJ77="",8&gt;設定!$B$3),"",IF(INDEX(原始資料!K$2:K$501,$BJ77)="","",INDEX(原始資料!K$2:K$501,$BJ77)))</f>
        <v/>
      </c>
      <c r="J77" s="6">
        <f>IF(OR($BJ77="",9&gt;設定!$B$3),"",IF(INDEX(原始資料!L$2:L$501,$BJ77)="","",INDEX(原始資料!L$2:L$501,$BJ77)))</f>
        <v/>
      </c>
      <c r="K77" s="6">
        <f>IF(OR($BJ77="",10&gt;設定!$B$3),"",IF(INDEX(原始資料!M$2:M$501,$BJ77)="","",INDEX(原始資料!M$2:M$501,$BJ77)))</f>
        <v/>
      </c>
      <c r="L77" s="6">
        <f>IF(OR($BJ77="",11&gt;設定!$B$3),"",IF(INDEX(原始資料!N$2:N$501,$BJ77)="","",INDEX(原始資料!N$2:N$501,$BJ77)))</f>
        <v/>
      </c>
      <c r="M77" s="6">
        <f>IF(OR($BJ77="",12&gt;設定!$B$3),"",IF(INDEX(原始資料!O$2:O$501,$BJ77)="","",INDEX(原始資料!O$2:O$501,$BJ77)))</f>
        <v/>
      </c>
      <c r="N77" s="6">
        <f>IF(OR($BJ77="",13&gt;設定!$B$3),"",IF(INDEX(原始資料!P$2:P$501,$BJ77)="","",INDEX(原始資料!P$2:P$501,$BJ77)))</f>
        <v/>
      </c>
      <c r="O77" s="6">
        <f>IF(OR($BJ77="",14&gt;設定!$B$3),"",IF(INDEX(原始資料!Q$2:Q$501,$BJ77)="","",INDEX(原始資料!Q$2:Q$501,$BJ77)))</f>
        <v/>
      </c>
      <c r="P77" s="6">
        <f>IF(OR($BJ77="",15&gt;設定!$B$3),"",IF(INDEX(原始資料!R$2:R$501,$BJ77)="","",INDEX(原始資料!R$2:R$501,$BJ77)))</f>
        <v/>
      </c>
      <c r="Q77" s="6">
        <f>IF(OR($BJ77="",16&gt;設定!$B$3),"",IF(INDEX(原始資料!S$2:S$501,$BJ77)="","",INDEX(原始資料!S$2:S$501,$BJ77)))</f>
        <v/>
      </c>
      <c r="R77" s="6">
        <f>IF(OR($BJ77="",17&gt;設定!$B$3),"",IF(INDEX(原始資料!T$2:T$501,$BJ77)="","",INDEX(原始資料!T$2:T$501,$BJ77)))</f>
        <v/>
      </c>
      <c r="S77" s="6">
        <f>IF(OR($BJ77="",18&gt;設定!$B$3),"",IF(INDEX(原始資料!U$2:U$501,$BJ77)="","",INDEX(原始資料!U$2:U$501,$BJ77)))</f>
        <v/>
      </c>
      <c r="T77" s="6">
        <f>IF(OR($BJ77="",19&gt;設定!$B$3),"",IF(INDEX(原始資料!V$2:V$501,$BJ77)="","",INDEX(原始資料!V$2:V$501,$BJ77)))</f>
        <v/>
      </c>
      <c r="U77" s="6">
        <f>IF(OR($BJ77="",20&gt;設定!$B$3),"",IF(INDEX(原始資料!W$2:W$501,$BJ77)="","",INDEX(原始資料!W$2:W$501,$BJ77)))</f>
        <v/>
      </c>
      <c r="V77" s="6">
        <f>IF(OR($BJ77="",21&gt;設定!$B$3),"",IF(INDEX(原始資料!X$2:X$501,$BJ77)="","",INDEX(原始資料!X$2:X$501,$BJ77)))</f>
        <v/>
      </c>
      <c r="W77" s="6">
        <f>IF(OR($BJ77="",22&gt;設定!$B$3),"",IF(INDEX(原始資料!Y$2:Y$501,$BJ77)="","",INDEX(原始資料!Y$2:Y$501,$BJ77)))</f>
        <v/>
      </c>
      <c r="X77" s="6">
        <f>IF(OR($BJ77="",23&gt;設定!$B$3),"",IF(INDEX(原始資料!Z$2:Z$501,$BJ77)="","",INDEX(原始資料!Z$2:Z$501,$BJ77)))</f>
        <v/>
      </c>
      <c r="Y77" s="6">
        <f>IF(OR($BJ77="",24&gt;設定!$B$3),"",IF(INDEX(原始資料!AA$2:AA$501,$BJ77)="","",INDEX(原始資料!AA$2:AA$501,$BJ77)))</f>
        <v/>
      </c>
      <c r="Z77" s="6">
        <f>IF(OR($BJ77="",25&gt;設定!$B$3),"",IF(INDEX(原始資料!AB$2:AB$501,$BJ77)="","",INDEX(原始資料!AB$2:AB$501,$BJ77)))</f>
        <v/>
      </c>
      <c r="AA77" s="6">
        <f>IF(OR($BJ77="",26&gt;設定!$B$3),"",IF(INDEX(原始資料!AC$2:AC$501,$BJ77)="","",INDEX(原始資料!AC$2:AC$501,$BJ77)))</f>
        <v/>
      </c>
      <c r="AB77" s="6">
        <f>IF(OR($BJ77="",27&gt;設定!$B$3),"",IF(INDEX(原始資料!AD$2:AD$501,$BJ77)="","",INDEX(原始資料!AD$2:AD$501,$BJ77)))</f>
        <v/>
      </c>
      <c r="AC77" s="6">
        <f>IF(OR($BJ77="",28&gt;設定!$B$3),"",IF(INDEX(原始資料!AE$2:AE$501,$BJ77)="","",INDEX(原始資料!AE$2:AE$501,$BJ77)))</f>
        <v/>
      </c>
      <c r="AD77" s="6">
        <f>IF(OR($BJ77="",29&gt;設定!$B$3),"",IF(INDEX(原始資料!AF$2:AF$501,$BJ77)="","",INDEX(原始資料!AF$2:AF$501,$BJ77)))</f>
        <v/>
      </c>
      <c r="AE77" s="6">
        <f>IF(OR($BJ77="",30&gt;設定!$B$3),"",IF(INDEX(原始資料!AG$2:AG$501,$BJ77)="","",INDEX(原始資料!AG$2:AG$501,$BJ77)))</f>
        <v/>
      </c>
      <c r="AF77" s="6">
        <f>IF(OR($BJ77="",31&gt;設定!$B$3),"",IF(INDEX(原始資料!AH$2:AH$501,$BJ77)="","",INDEX(原始資料!AH$2:AH$501,$BJ77)))</f>
        <v/>
      </c>
      <c r="AG77" s="6">
        <f>IF(OR($BJ77="",32&gt;設定!$B$3),"",IF(INDEX(原始資料!AI$2:AI$501,$BJ77)="","",INDEX(原始資料!AI$2:AI$501,$BJ77)))</f>
        <v/>
      </c>
      <c r="AH77" s="6">
        <f>IF(OR($BJ77="",33&gt;設定!$B$3),"",IF(INDEX(原始資料!AJ$2:AJ$501,$BJ77)="","",INDEX(原始資料!AJ$2:AJ$501,$BJ77)))</f>
        <v/>
      </c>
      <c r="AI77" s="6">
        <f>IF(OR($BJ77="",34&gt;設定!$B$3),"",IF(INDEX(原始資料!AK$2:AK$501,$BJ77)="","",INDEX(原始資料!AK$2:AK$501,$BJ77)))</f>
        <v/>
      </c>
      <c r="AJ77" s="6">
        <f>IF(OR($BJ77="",35&gt;設定!$B$3),"",IF(INDEX(原始資料!AL$2:AL$501,$BJ77)="","",INDEX(原始資料!AL$2:AL$501,$BJ77)))</f>
        <v/>
      </c>
      <c r="AK77" s="6">
        <f>IF(OR($BJ77="",36&gt;設定!$B$3),"",IF(INDEX(原始資料!AM$2:AM$501,$BJ77)="","",INDEX(原始資料!AM$2:AM$501,$BJ77)))</f>
        <v/>
      </c>
      <c r="AL77" s="6">
        <f>IF(OR($BJ77="",37&gt;設定!$B$3),"",IF(INDEX(原始資料!AN$2:AN$501,$BJ77)="","",INDEX(原始資料!AN$2:AN$501,$BJ77)))</f>
        <v/>
      </c>
      <c r="AM77" s="6">
        <f>IF(OR($BJ77="",38&gt;設定!$B$3),"",IF(INDEX(原始資料!AO$2:AO$501,$BJ77)="","",INDEX(原始資料!AO$2:AO$501,$BJ77)))</f>
        <v/>
      </c>
      <c r="AN77" s="6">
        <f>IF(OR($BJ77="",39&gt;設定!$B$3),"",IF(INDEX(原始資料!AP$2:AP$501,$BJ77)="","",INDEX(原始資料!AP$2:AP$501,$BJ77)))</f>
        <v/>
      </c>
      <c r="AO77" s="6">
        <f>IF(OR($BJ77="",40&gt;設定!$B$3),"",IF(INDEX(原始資料!AQ$2:AQ$501,$BJ77)="","",INDEX(原始資料!AQ$2:AQ$501,$BJ77)))</f>
        <v/>
      </c>
      <c r="AP77" s="6">
        <f>IF(OR($BJ77="",41&gt;設定!$B$3),"",IF(INDEX(原始資料!AR$2:AR$501,$BJ77)="","",INDEX(原始資料!AR$2:AR$501,$BJ77)))</f>
        <v/>
      </c>
      <c r="AQ77" s="6">
        <f>IF(OR($BJ77="",42&gt;設定!$B$3),"",IF(INDEX(原始資料!AS$2:AS$501,$BJ77)="","",INDEX(原始資料!AS$2:AS$501,$BJ77)))</f>
        <v/>
      </c>
      <c r="AR77" s="6">
        <f>IF(OR($BJ77="",43&gt;設定!$B$3),"",IF(INDEX(原始資料!AT$2:AT$501,$BJ77)="","",INDEX(原始資料!AT$2:AT$501,$BJ77)))</f>
        <v/>
      </c>
      <c r="AS77" s="6">
        <f>IF(OR($BJ77="",44&gt;設定!$B$3),"",IF(INDEX(原始資料!AU$2:AU$501,$BJ77)="","",INDEX(原始資料!AU$2:AU$501,$BJ77)))</f>
        <v/>
      </c>
      <c r="AT77" s="6">
        <f>IF(OR($BJ77="",45&gt;設定!$B$3),"",IF(INDEX(原始資料!AV$2:AV$501,$BJ77)="","",INDEX(原始資料!AV$2:AV$501,$BJ77)))</f>
        <v/>
      </c>
      <c r="AU77" s="6">
        <f>IF(OR($BJ77="",46&gt;設定!$B$3),"",IF(INDEX(原始資料!AW$2:AW$501,$BJ77)="","",INDEX(原始資料!AW$2:AW$501,$BJ77)))</f>
        <v/>
      </c>
      <c r="AV77" s="6">
        <f>IF(OR($BJ77="",47&gt;設定!$B$3),"",IF(INDEX(原始資料!AX$2:AX$501,$BJ77)="","",INDEX(原始資料!AX$2:AX$501,$BJ77)))</f>
        <v/>
      </c>
      <c r="AW77" s="6">
        <f>IF(OR($BJ77="",48&gt;設定!$B$3),"",IF(INDEX(原始資料!AY$2:AY$501,$BJ77)="","",INDEX(原始資料!AY$2:AY$501,$BJ77)))</f>
        <v/>
      </c>
      <c r="AX77" s="6">
        <f>IF(OR($BJ77="",49&gt;設定!$B$3),"",IF(INDEX(原始資料!AZ$2:AZ$501,$BJ77)="","",INDEX(原始資料!AZ$2:AZ$501,$BJ77)))</f>
        <v/>
      </c>
      <c r="AY77" s="6">
        <f>IF(OR($BJ77="",50&gt;設定!$B$3),"",IF(INDEX(原始資料!BA$2:BA$501,$BJ77)="","",INDEX(原始資料!BA$2:BA$501,$BJ77)))</f>
        <v/>
      </c>
      <c r="AZ77" s="6">
        <f>IF(OR($BJ77="",51&gt;設定!$B$3),"",IF(INDEX(原始資料!BB$2:BB$501,$BJ77)="","",INDEX(原始資料!BB$2:BB$501,$BJ77)))</f>
        <v/>
      </c>
      <c r="BA77" s="6">
        <f>IF(OR($BJ77="",52&gt;設定!$B$3),"",IF(INDEX(原始資料!BC$2:BC$501,$BJ77)="","",INDEX(原始資料!BC$2:BC$501,$BJ77)))</f>
        <v/>
      </c>
      <c r="BB77" s="6">
        <f>IF(OR($BJ77="",53&gt;設定!$B$3),"",IF(INDEX(原始資料!BD$2:BD$501,$BJ77)="","",INDEX(原始資料!BD$2:BD$501,$BJ77)))</f>
        <v/>
      </c>
      <c r="BC77" s="6">
        <f>IF(OR($BJ77="",54&gt;設定!$B$3),"",IF(INDEX(原始資料!BE$2:BE$501,$BJ77)="","",INDEX(原始資料!BE$2:BE$501,$BJ77)))</f>
        <v/>
      </c>
      <c r="BD77" s="6">
        <f>IF(OR($BJ77="",55&gt;設定!$B$3),"",IF(INDEX(原始資料!BF$2:BF$501,$BJ77)="","",INDEX(原始資料!BF$2:BF$501,$BJ77)))</f>
        <v/>
      </c>
      <c r="BE77" s="6">
        <f>IF(OR($BJ77="",56&gt;設定!$B$3),"",IF(INDEX(原始資料!BG$2:BG$501,$BJ77)="","",INDEX(原始資料!BG$2:BG$501,$BJ77)))</f>
        <v/>
      </c>
      <c r="BF77" s="6">
        <f>IF(OR($BJ77="",57&gt;設定!$B$3),"",IF(INDEX(原始資料!BH$2:BH$501,$BJ77)="","",INDEX(原始資料!BH$2:BH$501,$BJ77)))</f>
        <v/>
      </c>
      <c r="BG77" s="6">
        <f>IF(OR($BJ77="",58&gt;設定!$B$3),"",IF(INDEX(原始資料!BI$2:BI$501,$BJ77)="","",INDEX(原始資料!BI$2:BI$501,$BJ77)))</f>
        <v/>
      </c>
      <c r="BH77" s="6">
        <f>IF(OR($BJ77="",59&gt;設定!$B$3),"",IF(INDEX(原始資料!BJ$2:BJ$501,$BJ77)="","",INDEX(原始資料!BJ$2:BJ$501,$BJ77)))</f>
        <v/>
      </c>
      <c r="BI77" s="6">
        <f>IF(OR($BJ77="",60&gt;設定!$B$3),"",IF(INDEX(原始資料!BK$2:BK$501,$BJ77)="","",INDEX(原始資料!BK$2:BK$501,$BJ77)))</f>
        <v/>
      </c>
      <c r="BJ77" s="6">
        <f>IFERROR(MATCH(ROW()-1,判定!$H$2:$H$501,0),"")</f>
        <v/>
      </c>
    </row>
    <row r="78">
      <c r="A78" s="6">
        <f>IF($BJ78="","",INDEX(原始資料!$A$2:$A$501,$BJ78))</f>
        <v/>
      </c>
      <c r="B78" s="6">
        <f>IF(OR($BJ78="",1&gt;設定!$B$3),"",IF(INDEX(原始資料!D$2:D$501,$BJ78)="","",INDEX(原始資料!D$2:D$501,$BJ78)))</f>
        <v/>
      </c>
      <c r="C78" s="6">
        <f>IF(OR($BJ78="",2&gt;設定!$B$3),"",IF(INDEX(原始資料!E$2:E$501,$BJ78)="","",INDEX(原始資料!E$2:E$501,$BJ78)))</f>
        <v/>
      </c>
      <c r="D78" s="6">
        <f>IF(OR($BJ78="",3&gt;設定!$B$3),"",IF(INDEX(原始資料!F$2:F$501,$BJ78)="","",INDEX(原始資料!F$2:F$501,$BJ78)))</f>
        <v/>
      </c>
      <c r="E78" s="6">
        <f>IF(OR($BJ78="",4&gt;設定!$B$3),"",IF(INDEX(原始資料!G$2:G$501,$BJ78)="","",INDEX(原始資料!G$2:G$501,$BJ78)))</f>
        <v/>
      </c>
      <c r="F78" s="6">
        <f>IF(OR($BJ78="",5&gt;設定!$B$3),"",IF(INDEX(原始資料!H$2:H$501,$BJ78)="","",INDEX(原始資料!H$2:H$501,$BJ78)))</f>
        <v/>
      </c>
      <c r="G78" s="6">
        <f>IF(OR($BJ78="",6&gt;設定!$B$3),"",IF(INDEX(原始資料!I$2:I$501,$BJ78)="","",INDEX(原始資料!I$2:I$501,$BJ78)))</f>
        <v/>
      </c>
      <c r="H78" s="6">
        <f>IF(OR($BJ78="",7&gt;設定!$B$3),"",IF(INDEX(原始資料!J$2:J$501,$BJ78)="","",INDEX(原始資料!J$2:J$501,$BJ78)))</f>
        <v/>
      </c>
      <c r="I78" s="6">
        <f>IF(OR($BJ78="",8&gt;設定!$B$3),"",IF(INDEX(原始資料!K$2:K$501,$BJ78)="","",INDEX(原始資料!K$2:K$501,$BJ78)))</f>
        <v/>
      </c>
      <c r="J78" s="6">
        <f>IF(OR($BJ78="",9&gt;設定!$B$3),"",IF(INDEX(原始資料!L$2:L$501,$BJ78)="","",INDEX(原始資料!L$2:L$501,$BJ78)))</f>
        <v/>
      </c>
      <c r="K78" s="6">
        <f>IF(OR($BJ78="",10&gt;設定!$B$3),"",IF(INDEX(原始資料!M$2:M$501,$BJ78)="","",INDEX(原始資料!M$2:M$501,$BJ78)))</f>
        <v/>
      </c>
      <c r="L78" s="6">
        <f>IF(OR($BJ78="",11&gt;設定!$B$3),"",IF(INDEX(原始資料!N$2:N$501,$BJ78)="","",INDEX(原始資料!N$2:N$501,$BJ78)))</f>
        <v/>
      </c>
      <c r="M78" s="6">
        <f>IF(OR($BJ78="",12&gt;設定!$B$3),"",IF(INDEX(原始資料!O$2:O$501,$BJ78)="","",INDEX(原始資料!O$2:O$501,$BJ78)))</f>
        <v/>
      </c>
      <c r="N78" s="6">
        <f>IF(OR($BJ78="",13&gt;設定!$B$3),"",IF(INDEX(原始資料!P$2:P$501,$BJ78)="","",INDEX(原始資料!P$2:P$501,$BJ78)))</f>
        <v/>
      </c>
      <c r="O78" s="6">
        <f>IF(OR($BJ78="",14&gt;設定!$B$3),"",IF(INDEX(原始資料!Q$2:Q$501,$BJ78)="","",INDEX(原始資料!Q$2:Q$501,$BJ78)))</f>
        <v/>
      </c>
      <c r="P78" s="6">
        <f>IF(OR($BJ78="",15&gt;設定!$B$3),"",IF(INDEX(原始資料!R$2:R$501,$BJ78)="","",INDEX(原始資料!R$2:R$501,$BJ78)))</f>
        <v/>
      </c>
      <c r="Q78" s="6">
        <f>IF(OR($BJ78="",16&gt;設定!$B$3),"",IF(INDEX(原始資料!S$2:S$501,$BJ78)="","",INDEX(原始資料!S$2:S$501,$BJ78)))</f>
        <v/>
      </c>
      <c r="R78" s="6">
        <f>IF(OR($BJ78="",17&gt;設定!$B$3),"",IF(INDEX(原始資料!T$2:T$501,$BJ78)="","",INDEX(原始資料!T$2:T$501,$BJ78)))</f>
        <v/>
      </c>
      <c r="S78" s="6">
        <f>IF(OR($BJ78="",18&gt;設定!$B$3),"",IF(INDEX(原始資料!U$2:U$501,$BJ78)="","",INDEX(原始資料!U$2:U$501,$BJ78)))</f>
        <v/>
      </c>
      <c r="T78" s="6">
        <f>IF(OR($BJ78="",19&gt;設定!$B$3),"",IF(INDEX(原始資料!V$2:V$501,$BJ78)="","",INDEX(原始資料!V$2:V$501,$BJ78)))</f>
        <v/>
      </c>
      <c r="U78" s="6">
        <f>IF(OR($BJ78="",20&gt;設定!$B$3),"",IF(INDEX(原始資料!W$2:W$501,$BJ78)="","",INDEX(原始資料!W$2:W$501,$BJ78)))</f>
        <v/>
      </c>
      <c r="V78" s="6">
        <f>IF(OR($BJ78="",21&gt;設定!$B$3),"",IF(INDEX(原始資料!X$2:X$501,$BJ78)="","",INDEX(原始資料!X$2:X$501,$BJ78)))</f>
        <v/>
      </c>
      <c r="W78" s="6">
        <f>IF(OR($BJ78="",22&gt;設定!$B$3),"",IF(INDEX(原始資料!Y$2:Y$501,$BJ78)="","",INDEX(原始資料!Y$2:Y$501,$BJ78)))</f>
        <v/>
      </c>
      <c r="X78" s="6">
        <f>IF(OR($BJ78="",23&gt;設定!$B$3),"",IF(INDEX(原始資料!Z$2:Z$501,$BJ78)="","",INDEX(原始資料!Z$2:Z$501,$BJ78)))</f>
        <v/>
      </c>
      <c r="Y78" s="6">
        <f>IF(OR($BJ78="",24&gt;設定!$B$3),"",IF(INDEX(原始資料!AA$2:AA$501,$BJ78)="","",INDEX(原始資料!AA$2:AA$501,$BJ78)))</f>
        <v/>
      </c>
      <c r="Z78" s="6">
        <f>IF(OR($BJ78="",25&gt;設定!$B$3),"",IF(INDEX(原始資料!AB$2:AB$501,$BJ78)="","",INDEX(原始資料!AB$2:AB$501,$BJ78)))</f>
        <v/>
      </c>
      <c r="AA78" s="6">
        <f>IF(OR($BJ78="",26&gt;設定!$B$3),"",IF(INDEX(原始資料!AC$2:AC$501,$BJ78)="","",INDEX(原始資料!AC$2:AC$501,$BJ78)))</f>
        <v/>
      </c>
      <c r="AB78" s="6">
        <f>IF(OR($BJ78="",27&gt;設定!$B$3),"",IF(INDEX(原始資料!AD$2:AD$501,$BJ78)="","",INDEX(原始資料!AD$2:AD$501,$BJ78)))</f>
        <v/>
      </c>
      <c r="AC78" s="6">
        <f>IF(OR($BJ78="",28&gt;設定!$B$3),"",IF(INDEX(原始資料!AE$2:AE$501,$BJ78)="","",INDEX(原始資料!AE$2:AE$501,$BJ78)))</f>
        <v/>
      </c>
      <c r="AD78" s="6">
        <f>IF(OR($BJ78="",29&gt;設定!$B$3),"",IF(INDEX(原始資料!AF$2:AF$501,$BJ78)="","",INDEX(原始資料!AF$2:AF$501,$BJ78)))</f>
        <v/>
      </c>
      <c r="AE78" s="6">
        <f>IF(OR($BJ78="",30&gt;設定!$B$3),"",IF(INDEX(原始資料!AG$2:AG$501,$BJ78)="","",INDEX(原始資料!AG$2:AG$501,$BJ78)))</f>
        <v/>
      </c>
      <c r="AF78" s="6">
        <f>IF(OR($BJ78="",31&gt;設定!$B$3),"",IF(INDEX(原始資料!AH$2:AH$501,$BJ78)="","",INDEX(原始資料!AH$2:AH$501,$BJ78)))</f>
        <v/>
      </c>
      <c r="AG78" s="6">
        <f>IF(OR($BJ78="",32&gt;設定!$B$3),"",IF(INDEX(原始資料!AI$2:AI$501,$BJ78)="","",INDEX(原始資料!AI$2:AI$501,$BJ78)))</f>
        <v/>
      </c>
      <c r="AH78" s="6">
        <f>IF(OR($BJ78="",33&gt;設定!$B$3),"",IF(INDEX(原始資料!AJ$2:AJ$501,$BJ78)="","",INDEX(原始資料!AJ$2:AJ$501,$BJ78)))</f>
        <v/>
      </c>
      <c r="AI78" s="6">
        <f>IF(OR($BJ78="",34&gt;設定!$B$3),"",IF(INDEX(原始資料!AK$2:AK$501,$BJ78)="","",INDEX(原始資料!AK$2:AK$501,$BJ78)))</f>
        <v/>
      </c>
      <c r="AJ78" s="6">
        <f>IF(OR($BJ78="",35&gt;設定!$B$3),"",IF(INDEX(原始資料!AL$2:AL$501,$BJ78)="","",INDEX(原始資料!AL$2:AL$501,$BJ78)))</f>
        <v/>
      </c>
      <c r="AK78" s="6">
        <f>IF(OR($BJ78="",36&gt;設定!$B$3),"",IF(INDEX(原始資料!AM$2:AM$501,$BJ78)="","",INDEX(原始資料!AM$2:AM$501,$BJ78)))</f>
        <v/>
      </c>
      <c r="AL78" s="6">
        <f>IF(OR($BJ78="",37&gt;設定!$B$3),"",IF(INDEX(原始資料!AN$2:AN$501,$BJ78)="","",INDEX(原始資料!AN$2:AN$501,$BJ78)))</f>
        <v/>
      </c>
      <c r="AM78" s="6">
        <f>IF(OR($BJ78="",38&gt;設定!$B$3),"",IF(INDEX(原始資料!AO$2:AO$501,$BJ78)="","",INDEX(原始資料!AO$2:AO$501,$BJ78)))</f>
        <v/>
      </c>
      <c r="AN78" s="6">
        <f>IF(OR($BJ78="",39&gt;設定!$B$3),"",IF(INDEX(原始資料!AP$2:AP$501,$BJ78)="","",INDEX(原始資料!AP$2:AP$501,$BJ78)))</f>
        <v/>
      </c>
      <c r="AO78" s="6">
        <f>IF(OR($BJ78="",40&gt;設定!$B$3),"",IF(INDEX(原始資料!AQ$2:AQ$501,$BJ78)="","",INDEX(原始資料!AQ$2:AQ$501,$BJ78)))</f>
        <v/>
      </c>
      <c r="AP78" s="6">
        <f>IF(OR($BJ78="",41&gt;設定!$B$3),"",IF(INDEX(原始資料!AR$2:AR$501,$BJ78)="","",INDEX(原始資料!AR$2:AR$501,$BJ78)))</f>
        <v/>
      </c>
      <c r="AQ78" s="6">
        <f>IF(OR($BJ78="",42&gt;設定!$B$3),"",IF(INDEX(原始資料!AS$2:AS$501,$BJ78)="","",INDEX(原始資料!AS$2:AS$501,$BJ78)))</f>
        <v/>
      </c>
      <c r="AR78" s="6">
        <f>IF(OR($BJ78="",43&gt;設定!$B$3),"",IF(INDEX(原始資料!AT$2:AT$501,$BJ78)="","",INDEX(原始資料!AT$2:AT$501,$BJ78)))</f>
        <v/>
      </c>
      <c r="AS78" s="6">
        <f>IF(OR($BJ78="",44&gt;設定!$B$3),"",IF(INDEX(原始資料!AU$2:AU$501,$BJ78)="","",INDEX(原始資料!AU$2:AU$501,$BJ78)))</f>
        <v/>
      </c>
      <c r="AT78" s="6">
        <f>IF(OR($BJ78="",45&gt;設定!$B$3),"",IF(INDEX(原始資料!AV$2:AV$501,$BJ78)="","",INDEX(原始資料!AV$2:AV$501,$BJ78)))</f>
        <v/>
      </c>
      <c r="AU78" s="6">
        <f>IF(OR($BJ78="",46&gt;設定!$B$3),"",IF(INDEX(原始資料!AW$2:AW$501,$BJ78)="","",INDEX(原始資料!AW$2:AW$501,$BJ78)))</f>
        <v/>
      </c>
      <c r="AV78" s="6">
        <f>IF(OR($BJ78="",47&gt;設定!$B$3),"",IF(INDEX(原始資料!AX$2:AX$501,$BJ78)="","",INDEX(原始資料!AX$2:AX$501,$BJ78)))</f>
        <v/>
      </c>
      <c r="AW78" s="6">
        <f>IF(OR($BJ78="",48&gt;設定!$B$3),"",IF(INDEX(原始資料!AY$2:AY$501,$BJ78)="","",INDEX(原始資料!AY$2:AY$501,$BJ78)))</f>
        <v/>
      </c>
      <c r="AX78" s="6">
        <f>IF(OR($BJ78="",49&gt;設定!$B$3),"",IF(INDEX(原始資料!AZ$2:AZ$501,$BJ78)="","",INDEX(原始資料!AZ$2:AZ$501,$BJ78)))</f>
        <v/>
      </c>
      <c r="AY78" s="6">
        <f>IF(OR($BJ78="",50&gt;設定!$B$3),"",IF(INDEX(原始資料!BA$2:BA$501,$BJ78)="","",INDEX(原始資料!BA$2:BA$501,$BJ78)))</f>
        <v/>
      </c>
      <c r="AZ78" s="6">
        <f>IF(OR($BJ78="",51&gt;設定!$B$3),"",IF(INDEX(原始資料!BB$2:BB$501,$BJ78)="","",INDEX(原始資料!BB$2:BB$501,$BJ78)))</f>
        <v/>
      </c>
      <c r="BA78" s="6">
        <f>IF(OR($BJ78="",52&gt;設定!$B$3),"",IF(INDEX(原始資料!BC$2:BC$501,$BJ78)="","",INDEX(原始資料!BC$2:BC$501,$BJ78)))</f>
        <v/>
      </c>
      <c r="BB78" s="6">
        <f>IF(OR($BJ78="",53&gt;設定!$B$3),"",IF(INDEX(原始資料!BD$2:BD$501,$BJ78)="","",INDEX(原始資料!BD$2:BD$501,$BJ78)))</f>
        <v/>
      </c>
      <c r="BC78" s="6">
        <f>IF(OR($BJ78="",54&gt;設定!$B$3),"",IF(INDEX(原始資料!BE$2:BE$501,$BJ78)="","",INDEX(原始資料!BE$2:BE$501,$BJ78)))</f>
        <v/>
      </c>
      <c r="BD78" s="6">
        <f>IF(OR($BJ78="",55&gt;設定!$B$3),"",IF(INDEX(原始資料!BF$2:BF$501,$BJ78)="","",INDEX(原始資料!BF$2:BF$501,$BJ78)))</f>
        <v/>
      </c>
      <c r="BE78" s="6">
        <f>IF(OR($BJ78="",56&gt;設定!$B$3),"",IF(INDEX(原始資料!BG$2:BG$501,$BJ78)="","",INDEX(原始資料!BG$2:BG$501,$BJ78)))</f>
        <v/>
      </c>
      <c r="BF78" s="6">
        <f>IF(OR($BJ78="",57&gt;設定!$B$3),"",IF(INDEX(原始資料!BH$2:BH$501,$BJ78)="","",INDEX(原始資料!BH$2:BH$501,$BJ78)))</f>
        <v/>
      </c>
      <c r="BG78" s="6">
        <f>IF(OR($BJ78="",58&gt;設定!$B$3),"",IF(INDEX(原始資料!BI$2:BI$501,$BJ78)="","",INDEX(原始資料!BI$2:BI$501,$BJ78)))</f>
        <v/>
      </c>
      <c r="BH78" s="6">
        <f>IF(OR($BJ78="",59&gt;設定!$B$3),"",IF(INDEX(原始資料!BJ$2:BJ$501,$BJ78)="","",INDEX(原始資料!BJ$2:BJ$501,$BJ78)))</f>
        <v/>
      </c>
      <c r="BI78" s="6">
        <f>IF(OR($BJ78="",60&gt;設定!$B$3),"",IF(INDEX(原始資料!BK$2:BK$501,$BJ78)="","",INDEX(原始資料!BK$2:BK$501,$BJ78)))</f>
        <v/>
      </c>
      <c r="BJ78" s="6">
        <f>IFERROR(MATCH(ROW()-1,判定!$H$2:$H$501,0),"")</f>
        <v/>
      </c>
    </row>
    <row r="79">
      <c r="A79" s="6">
        <f>IF($BJ79="","",INDEX(原始資料!$A$2:$A$501,$BJ79))</f>
        <v/>
      </c>
      <c r="B79" s="6">
        <f>IF(OR($BJ79="",1&gt;設定!$B$3),"",IF(INDEX(原始資料!D$2:D$501,$BJ79)="","",INDEX(原始資料!D$2:D$501,$BJ79)))</f>
        <v/>
      </c>
      <c r="C79" s="6">
        <f>IF(OR($BJ79="",2&gt;設定!$B$3),"",IF(INDEX(原始資料!E$2:E$501,$BJ79)="","",INDEX(原始資料!E$2:E$501,$BJ79)))</f>
        <v/>
      </c>
      <c r="D79" s="6">
        <f>IF(OR($BJ79="",3&gt;設定!$B$3),"",IF(INDEX(原始資料!F$2:F$501,$BJ79)="","",INDEX(原始資料!F$2:F$501,$BJ79)))</f>
        <v/>
      </c>
      <c r="E79" s="6">
        <f>IF(OR($BJ79="",4&gt;設定!$B$3),"",IF(INDEX(原始資料!G$2:G$501,$BJ79)="","",INDEX(原始資料!G$2:G$501,$BJ79)))</f>
        <v/>
      </c>
      <c r="F79" s="6">
        <f>IF(OR($BJ79="",5&gt;設定!$B$3),"",IF(INDEX(原始資料!H$2:H$501,$BJ79)="","",INDEX(原始資料!H$2:H$501,$BJ79)))</f>
        <v/>
      </c>
      <c r="G79" s="6">
        <f>IF(OR($BJ79="",6&gt;設定!$B$3),"",IF(INDEX(原始資料!I$2:I$501,$BJ79)="","",INDEX(原始資料!I$2:I$501,$BJ79)))</f>
        <v/>
      </c>
      <c r="H79" s="6">
        <f>IF(OR($BJ79="",7&gt;設定!$B$3),"",IF(INDEX(原始資料!J$2:J$501,$BJ79)="","",INDEX(原始資料!J$2:J$501,$BJ79)))</f>
        <v/>
      </c>
      <c r="I79" s="6">
        <f>IF(OR($BJ79="",8&gt;設定!$B$3),"",IF(INDEX(原始資料!K$2:K$501,$BJ79)="","",INDEX(原始資料!K$2:K$501,$BJ79)))</f>
        <v/>
      </c>
      <c r="J79" s="6">
        <f>IF(OR($BJ79="",9&gt;設定!$B$3),"",IF(INDEX(原始資料!L$2:L$501,$BJ79)="","",INDEX(原始資料!L$2:L$501,$BJ79)))</f>
        <v/>
      </c>
      <c r="K79" s="6">
        <f>IF(OR($BJ79="",10&gt;設定!$B$3),"",IF(INDEX(原始資料!M$2:M$501,$BJ79)="","",INDEX(原始資料!M$2:M$501,$BJ79)))</f>
        <v/>
      </c>
      <c r="L79" s="6">
        <f>IF(OR($BJ79="",11&gt;設定!$B$3),"",IF(INDEX(原始資料!N$2:N$501,$BJ79)="","",INDEX(原始資料!N$2:N$501,$BJ79)))</f>
        <v/>
      </c>
      <c r="M79" s="6">
        <f>IF(OR($BJ79="",12&gt;設定!$B$3),"",IF(INDEX(原始資料!O$2:O$501,$BJ79)="","",INDEX(原始資料!O$2:O$501,$BJ79)))</f>
        <v/>
      </c>
      <c r="N79" s="6">
        <f>IF(OR($BJ79="",13&gt;設定!$B$3),"",IF(INDEX(原始資料!P$2:P$501,$BJ79)="","",INDEX(原始資料!P$2:P$501,$BJ79)))</f>
        <v/>
      </c>
      <c r="O79" s="6">
        <f>IF(OR($BJ79="",14&gt;設定!$B$3),"",IF(INDEX(原始資料!Q$2:Q$501,$BJ79)="","",INDEX(原始資料!Q$2:Q$501,$BJ79)))</f>
        <v/>
      </c>
      <c r="P79" s="6">
        <f>IF(OR($BJ79="",15&gt;設定!$B$3),"",IF(INDEX(原始資料!R$2:R$501,$BJ79)="","",INDEX(原始資料!R$2:R$501,$BJ79)))</f>
        <v/>
      </c>
      <c r="Q79" s="6">
        <f>IF(OR($BJ79="",16&gt;設定!$B$3),"",IF(INDEX(原始資料!S$2:S$501,$BJ79)="","",INDEX(原始資料!S$2:S$501,$BJ79)))</f>
        <v/>
      </c>
      <c r="R79" s="6">
        <f>IF(OR($BJ79="",17&gt;設定!$B$3),"",IF(INDEX(原始資料!T$2:T$501,$BJ79)="","",INDEX(原始資料!T$2:T$501,$BJ79)))</f>
        <v/>
      </c>
      <c r="S79" s="6">
        <f>IF(OR($BJ79="",18&gt;設定!$B$3),"",IF(INDEX(原始資料!U$2:U$501,$BJ79)="","",INDEX(原始資料!U$2:U$501,$BJ79)))</f>
        <v/>
      </c>
      <c r="T79" s="6">
        <f>IF(OR($BJ79="",19&gt;設定!$B$3),"",IF(INDEX(原始資料!V$2:V$501,$BJ79)="","",INDEX(原始資料!V$2:V$501,$BJ79)))</f>
        <v/>
      </c>
      <c r="U79" s="6">
        <f>IF(OR($BJ79="",20&gt;設定!$B$3),"",IF(INDEX(原始資料!W$2:W$501,$BJ79)="","",INDEX(原始資料!W$2:W$501,$BJ79)))</f>
        <v/>
      </c>
      <c r="V79" s="6">
        <f>IF(OR($BJ79="",21&gt;設定!$B$3),"",IF(INDEX(原始資料!X$2:X$501,$BJ79)="","",INDEX(原始資料!X$2:X$501,$BJ79)))</f>
        <v/>
      </c>
      <c r="W79" s="6">
        <f>IF(OR($BJ79="",22&gt;設定!$B$3),"",IF(INDEX(原始資料!Y$2:Y$501,$BJ79)="","",INDEX(原始資料!Y$2:Y$501,$BJ79)))</f>
        <v/>
      </c>
      <c r="X79" s="6">
        <f>IF(OR($BJ79="",23&gt;設定!$B$3),"",IF(INDEX(原始資料!Z$2:Z$501,$BJ79)="","",INDEX(原始資料!Z$2:Z$501,$BJ79)))</f>
        <v/>
      </c>
      <c r="Y79" s="6">
        <f>IF(OR($BJ79="",24&gt;設定!$B$3),"",IF(INDEX(原始資料!AA$2:AA$501,$BJ79)="","",INDEX(原始資料!AA$2:AA$501,$BJ79)))</f>
        <v/>
      </c>
      <c r="Z79" s="6">
        <f>IF(OR($BJ79="",25&gt;設定!$B$3),"",IF(INDEX(原始資料!AB$2:AB$501,$BJ79)="","",INDEX(原始資料!AB$2:AB$501,$BJ79)))</f>
        <v/>
      </c>
      <c r="AA79" s="6">
        <f>IF(OR($BJ79="",26&gt;設定!$B$3),"",IF(INDEX(原始資料!AC$2:AC$501,$BJ79)="","",INDEX(原始資料!AC$2:AC$501,$BJ79)))</f>
        <v/>
      </c>
      <c r="AB79" s="6">
        <f>IF(OR($BJ79="",27&gt;設定!$B$3),"",IF(INDEX(原始資料!AD$2:AD$501,$BJ79)="","",INDEX(原始資料!AD$2:AD$501,$BJ79)))</f>
        <v/>
      </c>
      <c r="AC79" s="6">
        <f>IF(OR($BJ79="",28&gt;設定!$B$3),"",IF(INDEX(原始資料!AE$2:AE$501,$BJ79)="","",INDEX(原始資料!AE$2:AE$501,$BJ79)))</f>
        <v/>
      </c>
      <c r="AD79" s="6">
        <f>IF(OR($BJ79="",29&gt;設定!$B$3),"",IF(INDEX(原始資料!AF$2:AF$501,$BJ79)="","",INDEX(原始資料!AF$2:AF$501,$BJ79)))</f>
        <v/>
      </c>
      <c r="AE79" s="6">
        <f>IF(OR($BJ79="",30&gt;設定!$B$3),"",IF(INDEX(原始資料!AG$2:AG$501,$BJ79)="","",INDEX(原始資料!AG$2:AG$501,$BJ79)))</f>
        <v/>
      </c>
      <c r="AF79" s="6">
        <f>IF(OR($BJ79="",31&gt;設定!$B$3),"",IF(INDEX(原始資料!AH$2:AH$501,$BJ79)="","",INDEX(原始資料!AH$2:AH$501,$BJ79)))</f>
        <v/>
      </c>
      <c r="AG79" s="6">
        <f>IF(OR($BJ79="",32&gt;設定!$B$3),"",IF(INDEX(原始資料!AI$2:AI$501,$BJ79)="","",INDEX(原始資料!AI$2:AI$501,$BJ79)))</f>
        <v/>
      </c>
      <c r="AH79" s="6">
        <f>IF(OR($BJ79="",33&gt;設定!$B$3),"",IF(INDEX(原始資料!AJ$2:AJ$501,$BJ79)="","",INDEX(原始資料!AJ$2:AJ$501,$BJ79)))</f>
        <v/>
      </c>
      <c r="AI79" s="6">
        <f>IF(OR($BJ79="",34&gt;設定!$B$3),"",IF(INDEX(原始資料!AK$2:AK$501,$BJ79)="","",INDEX(原始資料!AK$2:AK$501,$BJ79)))</f>
        <v/>
      </c>
      <c r="AJ79" s="6">
        <f>IF(OR($BJ79="",35&gt;設定!$B$3),"",IF(INDEX(原始資料!AL$2:AL$501,$BJ79)="","",INDEX(原始資料!AL$2:AL$501,$BJ79)))</f>
        <v/>
      </c>
      <c r="AK79" s="6">
        <f>IF(OR($BJ79="",36&gt;設定!$B$3),"",IF(INDEX(原始資料!AM$2:AM$501,$BJ79)="","",INDEX(原始資料!AM$2:AM$501,$BJ79)))</f>
        <v/>
      </c>
      <c r="AL79" s="6">
        <f>IF(OR($BJ79="",37&gt;設定!$B$3),"",IF(INDEX(原始資料!AN$2:AN$501,$BJ79)="","",INDEX(原始資料!AN$2:AN$501,$BJ79)))</f>
        <v/>
      </c>
      <c r="AM79" s="6">
        <f>IF(OR($BJ79="",38&gt;設定!$B$3),"",IF(INDEX(原始資料!AO$2:AO$501,$BJ79)="","",INDEX(原始資料!AO$2:AO$501,$BJ79)))</f>
        <v/>
      </c>
      <c r="AN79" s="6">
        <f>IF(OR($BJ79="",39&gt;設定!$B$3),"",IF(INDEX(原始資料!AP$2:AP$501,$BJ79)="","",INDEX(原始資料!AP$2:AP$501,$BJ79)))</f>
        <v/>
      </c>
      <c r="AO79" s="6">
        <f>IF(OR($BJ79="",40&gt;設定!$B$3),"",IF(INDEX(原始資料!AQ$2:AQ$501,$BJ79)="","",INDEX(原始資料!AQ$2:AQ$501,$BJ79)))</f>
        <v/>
      </c>
      <c r="AP79" s="6">
        <f>IF(OR($BJ79="",41&gt;設定!$B$3),"",IF(INDEX(原始資料!AR$2:AR$501,$BJ79)="","",INDEX(原始資料!AR$2:AR$501,$BJ79)))</f>
        <v/>
      </c>
      <c r="AQ79" s="6">
        <f>IF(OR($BJ79="",42&gt;設定!$B$3),"",IF(INDEX(原始資料!AS$2:AS$501,$BJ79)="","",INDEX(原始資料!AS$2:AS$501,$BJ79)))</f>
        <v/>
      </c>
      <c r="AR79" s="6">
        <f>IF(OR($BJ79="",43&gt;設定!$B$3),"",IF(INDEX(原始資料!AT$2:AT$501,$BJ79)="","",INDEX(原始資料!AT$2:AT$501,$BJ79)))</f>
        <v/>
      </c>
      <c r="AS79" s="6">
        <f>IF(OR($BJ79="",44&gt;設定!$B$3),"",IF(INDEX(原始資料!AU$2:AU$501,$BJ79)="","",INDEX(原始資料!AU$2:AU$501,$BJ79)))</f>
        <v/>
      </c>
      <c r="AT79" s="6">
        <f>IF(OR($BJ79="",45&gt;設定!$B$3),"",IF(INDEX(原始資料!AV$2:AV$501,$BJ79)="","",INDEX(原始資料!AV$2:AV$501,$BJ79)))</f>
        <v/>
      </c>
      <c r="AU79" s="6">
        <f>IF(OR($BJ79="",46&gt;設定!$B$3),"",IF(INDEX(原始資料!AW$2:AW$501,$BJ79)="","",INDEX(原始資料!AW$2:AW$501,$BJ79)))</f>
        <v/>
      </c>
      <c r="AV79" s="6">
        <f>IF(OR($BJ79="",47&gt;設定!$B$3),"",IF(INDEX(原始資料!AX$2:AX$501,$BJ79)="","",INDEX(原始資料!AX$2:AX$501,$BJ79)))</f>
        <v/>
      </c>
      <c r="AW79" s="6">
        <f>IF(OR($BJ79="",48&gt;設定!$B$3),"",IF(INDEX(原始資料!AY$2:AY$501,$BJ79)="","",INDEX(原始資料!AY$2:AY$501,$BJ79)))</f>
        <v/>
      </c>
      <c r="AX79" s="6">
        <f>IF(OR($BJ79="",49&gt;設定!$B$3),"",IF(INDEX(原始資料!AZ$2:AZ$501,$BJ79)="","",INDEX(原始資料!AZ$2:AZ$501,$BJ79)))</f>
        <v/>
      </c>
      <c r="AY79" s="6">
        <f>IF(OR($BJ79="",50&gt;設定!$B$3),"",IF(INDEX(原始資料!BA$2:BA$501,$BJ79)="","",INDEX(原始資料!BA$2:BA$501,$BJ79)))</f>
        <v/>
      </c>
      <c r="AZ79" s="6">
        <f>IF(OR($BJ79="",51&gt;設定!$B$3),"",IF(INDEX(原始資料!BB$2:BB$501,$BJ79)="","",INDEX(原始資料!BB$2:BB$501,$BJ79)))</f>
        <v/>
      </c>
      <c r="BA79" s="6">
        <f>IF(OR($BJ79="",52&gt;設定!$B$3),"",IF(INDEX(原始資料!BC$2:BC$501,$BJ79)="","",INDEX(原始資料!BC$2:BC$501,$BJ79)))</f>
        <v/>
      </c>
      <c r="BB79" s="6">
        <f>IF(OR($BJ79="",53&gt;設定!$B$3),"",IF(INDEX(原始資料!BD$2:BD$501,$BJ79)="","",INDEX(原始資料!BD$2:BD$501,$BJ79)))</f>
        <v/>
      </c>
      <c r="BC79" s="6">
        <f>IF(OR($BJ79="",54&gt;設定!$B$3),"",IF(INDEX(原始資料!BE$2:BE$501,$BJ79)="","",INDEX(原始資料!BE$2:BE$501,$BJ79)))</f>
        <v/>
      </c>
      <c r="BD79" s="6">
        <f>IF(OR($BJ79="",55&gt;設定!$B$3),"",IF(INDEX(原始資料!BF$2:BF$501,$BJ79)="","",INDEX(原始資料!BF$2:BF$501,$BJ79)))</f>
        <v/>
      </c>
      <c r="BE79" s="6">
        <f>IF(OR($BJ79="",56&gt;設定!$B$3),"",IF(INDEX(原始資料!BG$2:BG$501,$BJ79)="","",INDEX(原始資料!BG$2:BG$501,$BJ79)))</f>
        <v/>
      </c>
      <c r="BF79" s="6">
        <f>IF(OR($BJ79="",57&gt;設定!$B$3),"",IF(INDEX(原始資料!BH$2:BH$501,$BJ79)="","",INDEX(原始資料!BH$2:BH$501,$BJ79)))</f>
        <v/>
      </c>
      <c r="BG79" s="6">
        <f>IF(OR($BJ79="",58&gt;設定!$B$3),"",IF(INDEX(原始資料!BI$2:BI$501,$BJ79)="","",INDEX(原始資料!BI$2:BI$501,$BJ79)))</f>
        <v/>
      </c>
      <c r="BH79" s="6">
        <f>IF(OR($BJ79="",59&gt;設定!$B$3),"",IF(INDEX(原始資料!BJ$2:BJ$501,$BJ79)="","",INDEX(原始資料!BJ$2:BJ$501,$BJ79)))</f>
        <v/>
      </c>
      <c r="BI79" s="6">
        <f>IF(OR($BJ79="",60&gt;設定!$B$3),"",IF(INDEX(原始資料!BK$2:BK$501,$BJ79)="","",INDEX(原始資料!BK$2:BK$501,$BJ79)))</f>
        <v/>
      </c>
      <c r="BJ79" s="6">
        <f>IFERROR(MATCH(ROW()-1,判定!$H$2:$H$501,0),"")</f>
        <v/>
      </c>
    </row>
    <row r="80">
      <c r="A80" s="6">
        <f>IF($BJ80="","",INDEX(原始資料!$A$2:$A$501,$BJ80))</f>
        <v/>
      </c>
      <c r="B80" s="6">
        <f>IF(OR($BJ80="",1&gt;設定!$B$3),"",IF(INDEX(原始資料!D$2:D$501,$BJ80)="","",INDEX(原始資料!D$2:D$501,$BJ80)))</f>
        <v/>
      </c>
      <c r="C80" s="6">
        <f>IF(OR($BJ80="",2&gt;設定!$B$3),"",IF(INDEX(原始資料!E$2:E$501,$BJ80)="","",INDEX(原始資料!E$2:E$501,$BJ80)))</f>
        <v/>
      </c>
      <c r="D80" s="6">
        <f>IF(OR($BJ80="",3&gt;設定!$B$3),"",IF(INDEX(原始資料!F$2:F$501,$BJ80)="","",INDEX(原始資料!F$2:F$501,$BJ80)))</f>
        <v/>
      </c>
      <c r="E80" s="6">
        <f>IF(OR($BJ80="",4&gt;設定!$B$3),"",IF(INDEX(原始資料!G$2:G$501,$BJ80)="","",INDEX(原始資料!G$2:G$501,$BJ80)))</f>
        <v/>
      </c>
      <c r="F80" s="6">
        <f>IF(OR($BJ80="",5&gt;設定!$B$3),"",IF(INDEX(原始資料!H$2:H$501,$BJ80)="","",INDEX(原始資料!H$2:H$501,$BJ80)))</f>
        <v/>
      </c>
      <c r="G80" s="6">
        <f>IF(OR($BJ80="",6&gt;設定!$B$3),"",IF(INDEX(原始資料!I$2:I$501,$BJ80)="","",INDEX(原始資料!I$2:I$501,$BJ80)))</f>
        <v/>
      </c>
      <c r="H80" s="6">
        <f>IF(OR($BJ80="",7&gt;設定!$B$3),"",IF(INDEX(原始資料!J$2:J$501,$BJ80)="","",INDEX(原始資料!J$2:J$501,$BJ80)))</f>
        <v/>
      </c>
      <c r="I80" s="6">
        <f>IF(OR($BJ80="",8&gt;設定!$B$3),"",IF(INDEX(原始資料!K$2:K$501,$BJ80)="","",INDEX(原始資料!K$2:K$501,$BJ80)))</f>
        <v/>
      </c>
      <c r="J80" s="6">
        <f>IF(OR($BJ80="",9&gt;設定!$B$3),"",IF(INDEX(原始資料!L$2:L$501,$BJ80)="","",INDEX(原始資料!L$2:L$501,$BJ80)))</f>
        <v/>
      </c>
      <c r="K80" s="6">
        <f>IF(OR($BJ80="",10&gt;設定!$B$3),"",IF(INDEX(原始資料!M$2:M$501,$BJ80)="","",INDEX(原始資料!M$2:M$501,$BJ80)))</f>
        <v/>
      </c>
      <c r="L80" s="6">
        <f>IF(OR($BJ80="",11&gt;設定!$B$3),"",IF(INDEX(原始資料!N$2:N$501,$BJ80)="","",INDEX(原始資料!N$2:N$501,$BJ80)))</f>
        <v/>
      </c>
      <c r="M80" s="6">
        <f>IF(OR($BJ80="",12&gt;設定!$B$3),"",IF(INDEX(原始資料!O$2:O$501,$BJ80)="","",INDEX(原始資料!O$2:O$501,$BJ80)))</f>
        <v/>
      </c>
      <c r="N80" s="6">
        <f>IF(OR($BJ80="",13&gt;設定!$B$3),"",IF(INDEX(原始資料!P$2:P$501,$BJ80)="","",INDEX(原始資料!P$2:P$501,$BJ80)))</f>
        <v/>
      </c>
      <c r="O80" s="6">
        <f>IF(OR($BJ80="",14&gt;設定!$B$3),"",IF(INDEX(原始資料!Q$2:Q$501,$BJ80)="","",INDEX(原始資料!Q$2:Q$501,$BJ80)))</f>
        <v/>
      </c>
      <c r="P80" s="6">
        <f>IF(OR($BJ80="",15&gt;設定!$B$3),"",IF(INDEX(原始資料!R$2:R$501,$BJ80)="","",INDEX(原始資料!R$2:R$501,$BJ80)))</f>
        <v/>
      </c>
      <c r="Q80" s="6">
        <f>IF(OR($BJ80="",16&gt;設定!$B$3),"",IF(INDEX(原始資料!S$2:S$501,$BJ80)="","",INDEX(原始資料!S$2:S$501,$BJ80)))</f>
        <v/>
      </c>
      <c r="R80" s="6">
        <f>IF(OR($BJ80="",17&gt;設定!$B$3),"",IF(INDEX(原始資料!T$2:T$501,$BJ80)="","",INDEX(原始資料!T$2:T$501,$BJ80)))</f>
        <v/>
      </c>
      <c r="S80" s="6">
        <f>IF(OR($BJ80="",18&gt;設定!$B$3),"",IF(INDEX(原始資料!U$2:U$501,$BJ80)="","",INDEX(原始資料!U$2:U$501,$BJ80)))</f>
        <v/>
      </c>
      <c r="T80" s="6">
        <f>IF(OR($BJ80="",19&gt;設定!$B$3),"",IF(INDEX(原始資料!V$2:V$501,$BJ80)="","",INDEX(原始資料!V$2:V$501,$BJ80)))</f>
        <v/>
      </c>
      <c r="U80" s="6">
        <f>IF(OR($BJ80="",20&gt;設定!$B$3),"",IF(INDEX(原始資料!W$2:W$501,$BJ80)="","",INDEX(原始資料!W$2:W$501,$BJ80)))</f>
        <v/>
      </c>
      <c r="V80" s="6">
        <f>IF(OR($BJ80="",21&gt;設定!$B$3),"",IF(INDEX(原始資料!X$2:X$501,$BJ80)="","",INDEX(原始資料!X$2:X$501,$BJ80)))</f>
        <v/>
      </c>
      <c r="W80" s="6">
        <f>IF(OR($BJ80="",22&gt;設定!$B$3),"",IF(INDEX(原始資料!Y$2:Y$501,$BJ80)="","",INDEX(原始資料!Y$2:Y$501,$BJ80)))</f>
        <v/>
      </c>
      <c r="X80" s="6">
        <f>IF(OR($BJ80="",23&gt;設定!$B$3),"",IF(INDEX(原始資料!Z$2:Z$501,$BJ80)="","",INDEX(原始資料!Z$2:Z$501,$BJ80)))</f>
        <v/>
      </c>
      <c r="Y80" s="6">
        <f>IF(OR($BJ80="",24&gt;設定!$B$3),"",IF(INDEX(原始資料!AA$2:AA$501,$BJ80)="","",INDEX(原始資料!AA$2:AA$501,$BJ80)))</f>
        <v/>
      </c>
      <c r="Z80" s="6">
        <f>IF(OR($BJ80="",25&gt;設定!$B$3),"",IF(INDEX(原始資料!AB$2:AB$501,$BJ80)="","",INDEX(原始資料!AB$2:AB$501,$BJ80)))</f>
        <v/>
      </c>
      <c r="AA80" s="6">
        <f>IF(OR($BJ80="",26&gt;設定!$B$3),"",IF(INDEX(原始資料!AC$2:AC$501,$BJ80)="","",INDEX(原始資料!AC$2:AC$501,$BJ80)))</f>
        <v/>
      </c>
      <c r="AB80" s="6">
        <f>IF(OR($BJ80="",27&gt;設定!$B$3),"",IF(INDEX(原始資料!AD$2:AD$501,$BJ80)="","",INDEX(原始資料!AD$2:AD$501,$BJ80)))</f>
        <v/>
      </c>
      <c r="AC80" s="6">
        <f>IF(OR($BJ80="",28&gt;設定!$B$3),"",IF(INDEX(原始資料!AE$2:AE$501,$BJ80)="","",INDEX(原始資料!AE$2:AE$501,$BJ80)))</f>
        <v/>
      </c>
      <c r="AD80" s="6">
        <f>IF(OR($BJ80="",29&gt;設定!$B$3),"",IF(INDEX(原始資料!AF$2:AF$501,$BJ80)="","",INDEX(原始資料!AF$2:AF$501,$BJ80)))</f>
        <v/>
      </c>
      <c r="AE80" s="6">
        <f>IF(OR($BJ80="",30&gt;設定!$B$3),"",IF(INDEX(原始資料!AG$2:AG$501,$BJ80)="","",INDEX(原始資料!AG$2:AG$501,$BJ80)))</f>
        <v/>
      </c>
      <c r="AF80" s="6">
        <f>IF(OR($BJ80="",31&gt;設定!$B$3),"",IF(INDEX(原始資料!AH$2:AH$501,$BJ80)="","",INDEX(原始資料!AH$2:AH$501,$BJ80)))</f>
        <v/>
      </c>
      <c r="AG80" s="6">
        <f>IF(OR($BJ80="",32&gt;設定!$B$3),"",IF(INDEX(原始資料!AI$2:AI$501,$BJ80)="","",INDEX(原始資料!AI$2:AI$501,$BJ80)))</f>
        <v/>
      </c>
      <c r="AH80" s="6">
        <f>IF(OR($BJ80="",33&gt;設定!$B$3),"",IF(INDEX(原始資料!AJ$2:AJ$501,$BJ80)="","",INDEX(原始資料!AJ$2:AJ$501,$BJ80)))</f>
        <v/>
      </c>
      <c r="AI80" s="6">
        <f>IF(OR($BJ80="",34&gt;設定!$B$3),"",IF(INDEX(原始資料!AK$2:AK$501,$BJ80)="","",INDEX(原始資料!AK$2:AK$501,$BJ80)))</f>
        <v/>
      </c>
      <c r="AJ80" s="6">
        <f>IF(OR($BJ80="",35&gt;設定!$B$3),"",IF(INDEX(原始資料!AL$2:AL$501,$BJ80)="","",INDEX(原始資料!AL$2:AL$501,$BJ80)))</f>
        <v/>
      </c>
      <c r="AK80" s="6">
        <f>IF(OR($BJ80="",36&gt;設定!$B$3),"",IF(INDEX(原始資料!AM$2:AM$501,$BJ80)="","",INDEX(原始資料!AM$2:AM$501,$BJ80)))</f>
        <v/>
      </c>
      <c r="AL80" s="6">
        <f>IF(OR($BJ80="",37&gt;設定!$B$3),"",IF(INDEX(原始資料!AN$2:AN$501,$BJ80)="","",INDEX(原始資料!AN$2:AN$501,$BJ80)))</f>
        <v/>
      </c>
      <c r="AM80" s="6">
        <f>IF(OR($BJ80="",38&gt;設定!$B$3),"",IF(INDEX(原始資料!AO$2:AO$501,$BJ80)="","",INDEX(原始資料!AO$2:AO$501,$BJ80)))</f>
        <v/>
      </c>
      <c r="AN80" s="6">
        <f>IF(OR($BJ80="",39&gt;設定!$B$3),"",IF(INDEX(原始資料!AP$2:AP$501,$BJ80)="","",INDEX(原始資料!AP$2:AP$501,$BJ80)))</f>
        <v/>
      </c>
      <c r="AO80" s="6">
        <f>IF(OR($BJ80="",40&gt;設定!$B$3),"",IF(INDEX(原始資料!AQ$2:AQ$501,$BJ80)="","",INDEX(原始資料!AQ$2:AQ$501,$BJ80)))</f>
        <v/>
      </c>
      <c r="AP80" s="6">
        <f>IF(OR($BJ80="",41&gt;設定!$B$3),"",IF(INDEX(原始資料!AR$2:AR$501,$BJ80)="","",INDEX(原始資料!AR$2:AR$501,$BJ80)))</f>
        <v/>
      </c>
      <c r="AQ80" s="6">
        <f>IF(OR($BJ80="",42&gt;設定!$B$3),"",IF(INDEX(原始資料!AS$2:AS$501,$BJ80)="","",INDEX(原始資料!AS$2:AS$501,$BJ80)))</f>
        <v/>
      </c>
      <c r="AR80" s="6">
        <f>IF(OR($BJ80="",43&gt;設定!$B$3),"",IF(INDEX(原始資料!AT$2:AT$501,$BJ80)="","",INDEX(原始資料!AT$2:AT$501,$BJ80)))</f>
        <v/>
      </c>
      <c r="AS80" s="6">
        <f>IF(OR($BJ80="",44&gt;設定!$B$3),"",IF(INDEX(原始資料!AU$2:AU$501,$BJ80)="","",INDEX(原始資料!AU$2:AU$501,$BJ80)))</f>
        <v/>
      </c>
      <c r="AT80" s="6">
        <f>IF(OR($BJ80="",45&gt;設定!$B$3),"",IF(INDEX(原始資料!AV$2:AV$501,$BJ80)="","",INDEX(原始資料!AV$2:AV$501,$BJ80)))</f>
        <v/>
      </c>
      <c r="AU80" s="6">
        <f>IF(OR($BJ80="",46&gt;設定!$B$3),"",IF(INDEX(原始資料!AW$2:AW$501,$BJ80)="","",INDEX(原始資料!AW$2:AW$501,$BJ80)))</f>
        <v/>
      </c>
      <c r="AV80" s="6">
        <f>IF(OR($BJ80="",47&gt;設定!$B$3),"",IF(INDEX(原始資料!AX$2:AX$501,$BJ80)="","",INDEX(原始資料!AX$2:AX$501,$BJ80)))</f>
        <v/>
      </c>
      <c r="AW80" s="6">
        <f>IF(OR($BJ80="",48&gt;設定!$B$3),"",IF(INDEX(原始資料!AY$2:AY$501,$BJ80)="","",INDEX(原始資料!AY$2:AY$501,$BJ80)))</f>
        <v/>
      </c>
      <c r="AX80" s="6">
        <f>IF(OR($BJ80="",49&gt;設定!$B$3),"",IF(INDEX(原始資料!AZ$2:AZ$501,$BJ80)="","",INDEX(原始資料!AZ$2:AZ$501,$BJ80)))</f>
        <v/>
      </c>
      <c r="AY80" s="6">
        <f>IF(OR($BJ80="",50&gt;設定!$B$3),"",IF(INDEX(原始資料!BA$2:BA$501,$BJ80)="","",INDEX(原始資料!BA$2:BA$501,$BJ80)))</f>
        <v/>
      </c>
      <c r="AZ80" s="6">
        <f>IF(OR($BJ80="",51&gt;設定!$B$3),"",IF(INDEX(原始資料!BB$2:BB$501,$BJ80)="","",INDEX(原始資料!BB$2:BB$501,$BJ80)))</f>
        <v/>
      </c>
      <c r="BA80" s="6">
        <f>IF(OR($BJ80="",52&gt;設定!$B$3),"",IF(INDEX(原始資料!BC$2:BC$501,$BJ80)="","",INDEX(原始資料!BC$2:BC$501,$BJ80)))</f>
        <v/>
      </c>
      <c r="BB80" s="6">
        <f>IF(OR($BJ80="",53&gt;設定!$B$3),"",IF(INDEX(原始資料!BD$2:BD$501,$BJ80)="","",INDEX(原始資料!BD$2:BD$501,$BJ80)))</f>
        <v/>
      </c>
      <c r="BC80" s="6">
        <f>IF(OR($BJ80="",54&gt;設定!$B$3),"",IF(INDEX(原始資料!BE$2:BE$501,$BJ80)="","",INDEX(原始資料!BE$2:BE$501,$BJ80)))</f>
        <v/>
      </c>
      <c r="BD80" s="6">
        <f>IF(OR($BJ80="",55&gt;設定!$B$3),"",IF(INDEX(原始資料!BF$2:BF$501,$BJ80)="","",INDEX(原始資料!BF$2:BF$501,$BJ80)))</f>
        <v/>
      </c>
      <c r="BE80" s="6">
        <f>IF(OR($BJ80="",56&gt;設定!$B$3),"",IF(INDEX(原始資料!BG$2:BG$501,$BJ80)="","",INDEX(原始資料!BG$2:BG$501,$BJ80)))</f>
        <v/>
      </c>
      <c r="BF80" s="6">
        <f>IF(OR($BJ80="",57&gt;設定!$B$3),"",IF(INDEX(原始資料!BH$2:BH$501,$BJ80)="","",INDEX(原始資料!BH$2:BH$501,$BJ80)))</f>
        <v/>
      </c>
      <c r="BG80" s="6">
        <f>IF(OR($BJ80="",58&gt;設定!$B$3),"",IF(INDEX(原始資料!BI$2:BI$501,$BJ80)="","",INDEX(原始資料!BI$2:BI$501,$BJ80)))</f>
        <v/>
      </c>
      <c r="BH80" s="6">
        <f>IF(OR($BJ80="",59&gt;設定!$B$3),"",IF(INDEX(原始資料!BJ$2:BJ$501,$BJ80)="","",INDEX(原始資料!BJ$2:BJ$501,$BJ80)))</f>
        <v/>
      </c>
      <c r="BI80" s="6">
        <f>IF(OR($BJ80="",60&gt;設定!$B$3),"",IF(INDEX(原始資料!BK$2:BK$501,$BJ80)="","",INDEX(原始資料!BK$2:BK$501,$BJ80)))</f>
        <v/>
      </c>
      <c r="BJ80" s="6">
        <f>IFERROR(MATCH(ROW()-1,判定!$H$2:$H$501,0),"")</f>
        <v/>
      </c>
    </row>
    <row r="81">
      <c r="A81" s="6">
        <f>IF($BJ81="","",INDEX(原始資料!$A$2:$A$501,$BJ81))</f>
        <v/>
      </c>
      <c r="B81" s="6">
        <f>IF(OR($BJ81="",1&gt;設定!$B$3),"",IF(INDEX(原始資料!D$2:D$501,$BJ81)="","",INDEX(原始資料!D$2:D$501,$BJ81)))</f>
        <v/>
      </c>
      <c r="C81" s="6">
        <f>IF(OR($BJ81="",2&gt;設定!$B$3),"",IF(INDEX(原始資料!E$2:E$501,$BJ81)="","",INDEX(原始資料!E$2:E$501,$BJ81)))</f>
        <v/>
      </c>
      <c r="D81" s="6">
        <f>IF(OR($BJ81="",3&gt;設定!$B$3),"",IF(INDEX(原始資料!F$2:F$501,$BJ81)="","",INDEX(原始資料!F$2:F$501,$BJ81)))</f>
        <v/>
      </c>
      <c r="E81" s="6">
        <f>IF(OR($BJ81="",4&gt;設定!$B$3),"",IF(INDEX(原始資料!G$2:G$501,$BJ81)="","",INDEX(原始資料!G$2:G$501,$BJ81)))</f>
        <v/>
      </c>
      <c r="F81" s="6">
        <f>IF(OR($BJ81="",5&gt;設定!$B$3),"",IF(INDEX(原始資料!H$2:H$501,$BJ81)="","",INDEX(原始資料!H$2:H$501,$BJ81)))</f>
        <v/>
      </c>
      <c r="G81" s="6">
        <f>IF(OR($BJ81="",6&gt;設定!$B$3),"",IF(INDEX(原始資料!I$2:I$501,$BJ81)="","",INDEX(原始資料!I$2:I$501,$BJ81)))</f>
        <v/>
      </c>
      <c r="H81" s="6">
        <f>IF(OR($BJ81="",7&gt;設定!$B$3),"",IF(INDEX(原始資料!J$2:J$501,$BJ81)="","",INDEX(原始資料!J$2:J$501,$BJ81)))</f>
        <v/>
      </c>
      <c r="I81" s="6">
        <f>IF(OR($BJ81="",8&gt;設定!$B$3),"",IF(INDEX(原始資料!K$2:K$501,$BJ81)="","",INDEX(原始資料!K$2:K$501,$BJ81)))</f>
        <v/>
      </c>
      <c r="J81" s="6">
        <f>IF(OR($BJ81="",9&gt;設定!$B$3),"",IF(INDEX(原始資料!L$2:L$501,$BJ81)="","",INDEX(原始資料!L$2:L$501,$BJ81)))</f>
        <v/>
      </c>
      <c r="K81" s="6">
        <f>IF(OR($BJ81="",10&gt;設定!$B$3),"",IF(INDEX(原始資料!M$2:M$501,$BJ81)="","",INDEX(原始資料!M$2:M$501,$BJ81)))</f>
        <v/>
      </c>
      <c r="L81" s="6">
        <f>IF(OR($BJ81="",11&gt;設定!$B$3),"",IF(INDEX(原始資料!N$2:N$501,$BJ81)="","",INDEX(原始資料!N$2:N$501,$BJ81)))</f>
        <v/>
      </c>
      <c r="M81" s="6">
        <f>IF(OR($BJ81="",12&gt;設定!$B$3),"",IF(INDEX(原始資料!O$2:O$501,$BJ81)="","",INDEX(原始資料!O$2:O$501,$BJ81)))</f>
        <v/>
      </c>
      <c r="N81" s="6">
        <f>IF(OR($BJ81="",13&gt;設定!$B$3),"",IF(INDEX(原始資料!P$2:P$501,$BJ81)="","",INDEX(原始資料!P$2:P$501,$BJ81)))</f>
        <v/>
      </c>
      <c r="O81" s="6">
        <f>IF(OR($BJ81="",14&gt;設定!$B$3),"",IF(INDEX(原始資料!Q$2:Q$501,$BJ81)="","",INDEX(原始資料!Q$2:Q$501,$BJ81)))</f>
        <v/>
      </c>
      <c r="P81" s="6">
        <f>IF(OR($BJ81="",15&gt;設定!$B$3),"",IF(INDEX(原始資料!R$2:R$501,$BJ81)="","",INDEX(原始資料!R$2:R$501,$BJ81)))</f>
        <v/>
      </c>
      <c r="Q81" s="6">
        <f>IF(OR($BJ81="",16&gt;設定!$B$3),"",IF(INDEX(原始資料!S$2:S$501,$BJ81)="","",INDEX(原始資料!S$2:S$501,$BJ81)))</f>
        <v/>
      </c>
      <c r="R81" s="6">
        <f>IF(OR($BJ81="",17&gt;設定!$B$3),"",IF(INDEX(原始資料!T$2:T$501,$BJ81)="","",INDEX(原始資料!T$2:T$501,$BJ81)))</f>
        <v/>
      </c>
      <c r="S81" s="6">
        <f>IF(OR($BJ81="",18&gt;設定!$B$3),"",IF(INDEX(原始資料!U$2:U$501,$BJ81)="","",INDEX(原始資料!U$2:U$501,$BJ81)))</f>
        <v/>
      </c>
      <c r="T81" s="6">
        <f>IF(OR($BJ81="",19&gt;設定!$B$3),"",IF(INDEX(原始資料!V$2:V$501,$BJ81)="","",INDEX(原始資料!V$2:V$501,$BJ81)))</f>
        <v/>
      </c>
      <c r="U81" s="6">
        <f>IF(OR($BJ81="",20&gt;設定!$B$3),"",IF(INDEX(原始資料!W$2:W$501,$BJ81)="","",INDEX(原始資料!W$2:W$501,$BJ81)))</f>
        <v/>
      </c>
      <c r="V81" s="6">
        <f>IF(OR($BJ81="",21&gt;設定!$B$3),"",IF(INDEX(原始資料!X$2:X$501,$BJ81)="","",INDEX(原始資料!X$2:X$501,$BJ81)))</f>
        <v/>
      </c>
      <c r="W81" s="6">
        <f>IF(OR($BJ81="",22&gt;設定!$B$3),"",IF(INDEX(原始資料!Y$2:Y$501,$BJ81)="","",INDEX(原始資料!Y$2:Y$501,$BJ81)))</f>
        <v/>
      </c>
      <c r="X81" s="6">
        <f>IF(OR($BJ81="",23&gt;設定!$B$3),"",IF(INDEX(原始資料!Z$2:Z$501,$BJ81)="","",INDEX(原始資料!Z$2:Z$501,$BJ81)))</f>
        <v/>
      </c>
      <c r="Y81" s="6">
        <f>IF(OR($BJ81="",24&gt;設定!$B$3),"",IF(INDEX(原始資料!AA$2:AA$501,$BJ81)="","",INDEX(原始資料!AA$2:AA$501,$BJ81)))</f>
        <v/>
      </c>
      <c r="Z81" s="6">
        <f>IF(OR($BJ81="",25&gt;設定!$B$3),"",IF(INDEX(原始資料!AB$2:AB$501,$BJ81)="","",INDEX(原始資料!AB$2:AB$501,$BJ81)))</f>
        <v/>
      </c>
      <c r="AA81" s="6">
        <f>IF(OR($BJ81="",26&gt;設定!$B$3),"",IF(INDEX(原始資料!AC$2:AC$501,$BJ81)="","",INDEX(原始資料!AC$2:AC$501,$BJ81)))</f>
        <v/>
      </c>
      <c r="AB81" s="6">
        <f>IF(OR($BJ81="",27&gt;設定!$B$3),"",IF(INDEX(原始資料!AD$2:AD$501,$BJ81)="","",INDEX(原始資料!AD$2:AD$501,$BJ81)))</f>
        <v/>
      </c>
      <c r="AC81" s="6">
        <f>IF(OR($BJ81="",28&gt;設定!$B$3),"",IF(INDEX(原始資料!AE$2:AE$501,$BJ81)="","",INDEX(原始資料!AE$2:AE$501,$BJ81)))</f>
        <v/>
      </c>
      <c r="AD81" s="6">
        <f>IF(OR($BJ81="",29&gt;設定!$B$3),"",IF(INDEX(原始資料!AF$2:AF$501,$BJ81)="","",INDEX(原始資料!AF$2:AF$501,$BJ81)))</f>
        <v/>
      </c>
      <c r="AE81" s="6">
        <f>IF(OR($BJ81="",30&gt;設定!$B$3),"",IF(INDEX(原始資料!AG$2:AG$501,$BJ81)="","",INDEX(原始資料!AG$2:AG$501,$BJ81)))</f>
        <v/>
      </c>
      <c r="AF81" s="6">
        <f>IF(OR($BJ81="",31&gt;設定!$B$3),"",IF(INDEX(原始資料!AH$2:AH$501,$BJ81)="","",INDEX(原始資料!AH$2:AH$501,$BJ81)))</f>
        <v/>
      </c>
      <c r="AG81" s="6">
        <f>IF(OR($BJ81="",32&gt;設定!$B$3),"",IF(INDEX(原始資料!AI$2:AI$501,$BJ81)="","",INDEX(原始資料!AI$2:AI$501,$BJ81)))</f>
        <v/>
      </c>
      <c r="AH81" s="6">
        <f>IF(OR($BJ81="",33&gt;設定!$B$3),"",IF(INDEX(原始資料!AJ$2:AJ$501,$BJ81)="","",INDEX(原始資料!AJ$2:AJ$501,$BJ81)))</f>
        <v/>
      </c>
      <c r="AI81" s="6">
        <f>IF(OR($BJ81="",34&gt;設定!$B$3),"",IF(INDEX(原始資料!AK$2:AK$501,$BJ81)="","",INDEX(原始資料!AK$2:AK$501,$BJ81)))</f>
        <v/>
      </c>
      <c r="AJ81" s="6">
        <f>IF(OR($BJ81="",35&gt;設定!$B$3),"",IF(INDEX(原始資料!AL$2:AL$501,$BJ81)="","",INDEX(原始資料!AL$2:AL$501,$BJ81)))</f>
        <v/>
      </c>
      <c r="AK81" s="6">
        <f>IF(OR($BJ81="",36&gt;設定!$B$3),"",IF(INDEX(原始資料!AM$2:AM$501,$BJ81)="","",INDEX(原始資料!AM$2:AM$501,$BJ81)))</f>
        <v/>
      </c>
      <c r="AL81" s="6">
        <f>IF(OR($BJ81="",37&gt;設定!$B$3),"",IF(INDEX(原始資料!AN$2:AN$501,$BJ81)="","",INDEX(原始資料!AN$2:AN$501,$BJ81)))</f>
        <v/>
      </c>
      <c r="AM81" s="6">
        <f>IF(OR($BJ81="",38&gt;設定!$B$3),"",IF(INDEX(原始資料!AO$2:AO$501,$BJ81)="","",INDEX(原始資料!AO$2:AO$501,$BJ81)))</f>
        <v/>
      </c>
      <c r="AN81" s="6">
        <f>IF(OR($BJ81="",39&gt;設定!$B$3),"",IF(INDEX(原始資料!AP$2:AP$501,$BJ81)="","",INDEX(原始資料!AP$2:AP$501,$BJ81)))</f>
        <v/>
      </c>
      <c r="AO81" s="6">
        <f>IF(OR($BJ81="",40&gt;設定!$B$3),"",IF(INDEX(原始資料!AQ$2:AQ$501,$BJ81)="","",INDEX(原始資料!AQ$2:AQ$501,$BJ81)))</f>
        <v/>
      </c>
      <c r="AP81" s="6">
        <f>IF(OR($BJ81="",41&gt;設定!$B$3),"",IF(INDEX(原始資料!AR$2:AR$501,$BJ81)="","",INDEX(原始資料!AR$2:AR$501,$BJ81)))</f>
        <v/>
      </c>
      <c r="AQ81" s="6">
        <f>IF(OR($BJ81="",42&gt;設定!$B$3),"",IF(INDEX(原始資料!AS$2:AS$501,$BJ81)="","",INDEX(原始資料!AS$2:AS$501,$BJ81)))</f>
        <v/>
      </c>
      <c r="AR81" s="6">
        <f>IF(OR($BJ81="",43&gt;設定!$B$3),"",IF(INDEX(原始資料!AT$2:AT$501,$BJ81)="","",INDEX(原始資料!AT$2:AT$501,$BJ81)))</f>
        <v/>
      </c>
      <c r="AS81" s="6">
        <f>IF(OR($BJ81="",44&gt;設定!$B$3),"",IF(INDEX(原始資料!AU$2:AU$501,$BJ81)="","",INDEX(原始資料!AU$2:AU$501,$BJ81)))</f>
        <v/>
      </c>
      <c r="AT81" s="6">
        <f>IF(OR($BJ81="",45&gt;設定!$B$3),"",IF(INDEX(原始資料!AV$2:AV$501,$BJ81)="","",INDEX(原始資料!AV$2:AV$501,$BJ81)))</f>
        <v/>
      </c>
      <c r="AU81" s="6">
        <f>IF(OR($BJ81="",46&gt;設定!$B$3),"",IF(INDEX(原始資料!AW$2:AW$501,$BJ81)="","",INDEX(原始資料!AW$2:AW$501,$BJ81)))</f>
        <v/>
      </c>
      <c r="AV81" s="6">
        <f>IF(OR($BJ81="",47&gt;設定!$B$3),"",IF(INDEX(原始資料!AX$2:AX$501,$BJ81)="","",INDEX(原始資料!AX$2:AX$501,$BJ81)))</f>
        <v/>
      </c>
      <c r="AW81" s="6">
        <f>IF(OR($BJ81="",48&gt;設定!$B$3),"",IF(INDEX(原始資料!AY$2:AY$501,$BJ81)="","",INDEX(原始資料!AY$2:AY$501,$BJ81)))</f>
        <v/>
      </c>
      <c r="AX81" s="6">
        <f>IF(OR($BJ81="",49&gt;設定!$B$3),"",IF(INDEX(原始資料!AZ$2:AZ$501,$BJ81)="","",INDEX(原始資料!AZ$2:AZ$501,$BJ81)))</f>
        <v/>
      </c>
      <c r="AY81" s="6">
        <f>IF(OR($BJ81="",50&gt;設定!$B$3),"",IF(INDEX(原始資料!BA$2:BA$501,$BJ81)="","",INDEX(原始資料!BA$2:BA$501,$BJ81)))</f>
        <v/>
      </c>
      <c r="AZ81" s="6">
        <f>IF(OR($BJ81="",51&gt;設定!$B$3),"",IF(INDEX(原始資料!BB$2:BB$501,$BJ81)="","",INDEX(原始資料!BB$2:BB$501,$BJ81)))</f>
        <v/>
      </c>
      <c r="BA81" s="6">
        <f>IF(OR($BJ81="",52&gt;設定!$B$3),"",IF(INDEX(原始資料!BC$2:BC$501,$BJ81)="","",INDEX(原始資料!BC$2:BC$501,$BJ81)))</f>
        <v/>
      </c>
      <c r="BB81" s="6">
        <f>IF(OR($BJ81="",53&gt;設定!$B$3),"",IF(INDEX(原始資料!BD$2:BD$501,$BJ81)="","",INDEX(原始資料!BD$2:BD$501,$BJ81)))</f>
        <v/>
      </c>
      <c r="BC81" s="6">
        <f>IF(OR($BJ81="",54&gt;設定!$B$3),"",IF(INDEX(原始資料!BE$2:BE$501,$BJ81)="","",INDEX(原始資料!BE$2:BE$501,$BJ81)))</f>
        <v/>
      </c>
      <c r="BD81" s="6">
        <f>IF(OR($BJ81="",55&gt;設定!$B$3),"",IF(INDEX(原始資料!BF$2:BF$501,$BJ81)="","",INDEX(原始資料!BF$2:BF$501,$BJ81)))</f>
        <v/>
      </c>
      <c r="BE81" s="6">
        <f>IF(OR($BJ81="",56&gt;設定!$B$3),"",IF(INDEX(原始資料!BG$2:BG$501,$BJ81)="","",INDEX(原始資料!BG$2:BG$501,$BJ81)))</f>
        <v/>
      </c>
      <c r="BF81" s="6">
        <f>IF(OR($BJ81="",57&gt;設定!$B$3),"",IF(INDEX(原始資料!BH$2:BH$501,$BJ81)="","",INDEX(原始資料!BH$2:BH$501,$BJ81)))</f>
        <v/>
      </c>
      <c r="BG81" s="6">
        <f>IF(OR($BJ81="",58&gt;設定!$B$3),"",IF(INDEX(原始資料!BI$2:BI$501,$BJ81)="","",INDEX(原始資料!BI$2:BI$501,$BJ81)))</f>
        <v/>
      </c>
      <c r="BH81" s="6">
        <f>IF(OR($BJ81="",59&gt;設定!$B$3),"",IF(INDEX(原始資料!BJ$2:BJ$501,$BJ81)="","",INDEX(原始資料!BJ$2:BJ$501,$BJ81)))</f>
        <v/>
      </c>
      <c r="BI81" s="6">
        <f>IF(OR($BJ81="",60&gt;設定!$B$3),"",IF(INDEX(原始資料!BK$2:BK$501,$BJ81)="","",INDEX(原始資料!BK$2:BK$501,$BJ81)))</f>
        <v/>
      </c>
      <c r="BJ81" s="6">
        <f>IFERROR(MATCH(ROW()-1,判定!$H$2:$H$501,0),"")</f>
        <v/>
      </c>
    </row>
    <row r="82">
      <c r="A82" s="6">
        <f>IF($BJ82="","",INDEX(原始資料!$A$2:$A$501,$BJ82))</f>
        <v/>
      </c>
      <c r="B82" s="6">
        <f>IF(OR($BJ82="",1&gt;設定!$B$3),"",IF(INDEX(原始資料!D$2:D$501,$BJ82)="","",INDEX(原始資料!D$2:D$501,$BJ82)))</f>
        <v/>
      </c>
      <c r="C82" s="6">
        <f>IF(OR($BJ82="",2&gt;設定!$B$3),"",IF(INDEX(原始資料!E$2:E$501,$BJ82)="","",INDEX(原始資料!E$2:E$501,$BJ82)))</f>
        <v/>
      </c>
      <c r="D82" s="6">
        <f>IF(OR($BJ82="",3&gt;設定!$B$3),"",IF(INDEX(原始資料!F$2:F$501,$BJ82)="","",INDEX(原始資料!F$2:F$501,$BJ82)))</f>
        <v/>
      </c>
      <c r="E82" s="6">
        <f>IF(OR($BJ82="",4&gt;設定!$B$3),"",IF(INDEX(原始資料!G$2:G$501,$BJ82)="","",INDEX(原始資料!G$2:G$501,$BJ82)))</f>
        <v/>
      </c>
      <c r="F82" s="6">
        <f>IF(OR($BJ82="",5&gt;設定!$B$3),"",IF(INDEX(原始資料!H$2:H$501,$BJ82)="","",INDEX(原始資料!H$2:H$501,$BJ82)))</f>
        <v/>
      </c>
      <c r="G82" s="6">
        <f>IF(OR($BJ82="",6&gt;設定!$B$3),"",IF(INDEX(原始資料!I$2:I$501,$BJ82)="","",INDEX(原始資料!I$2:I$501,$BJ82)))</f>
        <v/>
      </c>
      <c r="H82" s="6">
        <f>IF(OR($BJ82="",7&gt;設定!$B$3),"",IF(INDEX(原始資料!J$2:J$501,$BJ82)="","",INDEX(原始資料!J$2:J$501,$BJ82)))</f>
        <v/>
      </c>
      <c r="I82" s="6">
        <f>IF(OR($BJ82="",8&gt;設定!$B$3),"",IF(INDEX(原始資料!K$2:K$501,$BJ82)="","",INDEX(原始資料!K$2:K$501,$BJ82)))</f>
        <v/>
      </c>
      <c r="J82" s="6">
        <f>IF(OR($BJ82="",9&gt;設定!$B$3),"",IF(INDEX(原始資料!L$2:L$501,$BJ82)="","",INDEX(原始資料!L$2:L$501,$BJ82)))</f>
        <v/>
      </c>
      <c r="K82" s="6">
        <f>IF(OR($BJ82="",10&gt;設定!$B$3),"",IF(INDEX(原始資料!M$2:M$501,$BJ82)="","",INDEX(原始資料!M$2:M$501,$BJ82)))</f>
        <v/>
      </c>
      <c r="L82" s="6">
        <f>IF(OR($BJ82="",11&gt;設定!$B$3),"",IF(INDEX(原始資料!N$2:N$501,$BJ82)="","",INDEX(原始資料!N$2:N$501,$BJ82)))</f>
        <v/>
      </c>
      <c r="M82" s="6">
        <f>IF(OR($BJ82="",12&gt;設定!$B$3),"",IF(INDEX(原始資料!O$2:O$501,$BJ82)="","",INDEX(原始資料!O$2:O$501,$BJ82)))</f>
        <v/>
      </c>
      <c r="N82" s="6">
        <f>IF(OR($BJ82="",13&gt;設定!$B$3),"",IF(INDEX(原始資料!P$2:P$501,$BJ82)="","",INDEX(原始資料!P$2:P$501,$BJ82)))</f>
        <v/>
      </c>
      <c r="O82" s="6">
        <f>IF(OR($BJ82="",14&gt;設定!$B$3),"",IF(INDEX(原始資料!Q$2:Q$501,$BJ82)="","",INDEX(原始資料!Q$2:Q$501,$BJ82)))</f>
        <v/>
      </c>
      <c r="P82" s="6">
        <f>IF(OR($BJ82="",15&gt;設定!$B$3),"",IF(INDEX(原始資料!R$2:R$501,$BJ82)="","",INDEX(原始資料!R$2:R$501,$BJ82)))</f>
        <v/>
      </c>
      <c r="Q82" s="6">
        <f>IF(OR($BJ82="",16&gt;設定!$B$3),"",IF(INDEX(原始資料!S$2:S$501,$BJ82)="","",INDEX(原始資料!S$2:S$501,$BJ82)))</f>
        <v/>
      </c>
      <c r="R82" s="6">
        <f>IF(OR($BJ82="",17&gt;設定!$B$3),"",IF(INDEX(原始資料!T$2:T$501,$BJ82)="","",INDEX(原始資料!T$2:T$501,$BJ82)))</f>
        <v/>
      </c>
      <c r="S82" s="6">
        <f>IF(OR($BJ82="",18&gt;設定!$B$3),"",IF(INDEX(原始資料!U$2:U$501,$BJ82)="","",INDEX(原始資料!U$2:U$501,$BJ82)))</f>
        <v/>
      </c>
      <c r="T82" s="6">
        <f>IF(OR($BJ82="",19&gt;設定!$B$3),"",IF(INDEX(原始資料!V$2:V$501,$BJ82)="","",INDEX(原始資料!V$2:V$501,$BJ82)))</f>
        <v/>
      </c>
      <c r="U82" s="6">
        <f>IF(OR($BJ82="",20&gt;設定!$B$3),"",IF(INDEX(原始資料!W$2:W$501,$BJ82)="","",INDEX(原始資料!W$2:W$501,$BJ82)))</f>
        <v/>
      </c>
      <c r="V82" s="6">
        <f>IF(OR($BJ82="",21&gt;設定!$B$3),"",IF(INDEX(原始資料!X$2:X$501,$BJ82)="","",INDEX(原始資料!X$2:X$501,$BJ82)))</f>
        <v/>
      </c>
      <c r="W82" s="6">
        <f>IF(OR($BJ82="",22&gt;設定!$B$3),"",IF(INDEX(原始資料!Y$2:Y$501,$BJ82)="","",INDEX(原始資料!Y$2:Y$501,$BJ82)))</f>
        <v/>
      </c>
      <c r="X82" s="6">
        <f>IF(OR($BJ82="",23&gt;設定!$B$3),"",IF(INDEX(原始資料!Z$2:Z$501,$BJ82)="","",INDEX(原始資料!Z$2:Z$501,$BJ82)))</f>
        <v/>
      </c>
      <c r="Y82" s="6">
        <f>IF(OR($BJ82="",24&gt;設定!$B$3),"",IF(INDEX(原始資料!AA$2:AA$501,$BJ82)="","",INDEX(原始資料!AA$2:AA$501,$BJ82)))</f>
        <v/>
      </c>
      <c r="Z82" s="6">
        <f>IF(OR($BJ82="",25&gt;設定!$B$3),"",IF(INDEX(原始資料!AB$2:AB$501,$BJ82)="","",INDEX(原始資料!AB$2:AB$501,$BJ82)))</f>
        <v/>
      </c>
      <c r="AA82" s="6">
        <f>IF(OR($BJ82="",26&gt;設定!$B$3),"",IF(INDEX(原始資料!AC$2:AC$501,$BJ82)="","",INDEX(原始資料!AC$2:AC$501,$BJ82)))</f>
        <v/>
      </c>
      <c r="AB82" s="6">
        <f>IF(OR($BJ82="",27&gt;設定!$B$3),"",IF(INDEX(原始資料!AD$2:AD$501,$BJ82)="","",INDEX(原始資料!AD$2:AD$501,$BJ82)))</f>
        <v/>
      </c>
      <c r="AC82" s="6">
        <f>IF(OR($BJ82="",28&gt;設定!$B$3),"",IF(INDEX(原始資料!AE$2:AE$501,$BJ82)="","",INDEX(原始資料!AE$2:AE$501,$BJ82)))</f>
        <v/>
      </c>
      <c r="AD82" s="6">
        <f>IF(OR($BJ82="",29&gt;設定!$B$3),"",IF(INDEX(原始資料!AF$2:AF$501,$BJ82)="","",INDEX(原始資料!AF$2:AF$501,$BJ82)))</f>
        <v/>
      </c>
      <c r="AE82" s="6">
        <f>IF(OR($BJ82="",30&gt;設定!$B$3),"",IF(INDEX(原始資料!AG$2:AG$501,$BJ82)="","",INDEX(原始資料!AG$2:AG$501,$BJ82)))</f>
        <v/>
      </c>
      <c r="AF82" s="6">
        <f>IF(OR($BJ82="",31&gt;設定!$B$3),"",IF(INDEX(原始資料!AH$2:AH$501,$BJ82)="","",INDEX(原始資料!AH$2:AH$501,$BJ82)))</f>
        <v/>
      </c>
      <c r="AG82" s="6">
        <f>IF(OR($BJ82="",32&gt;設定!$B$3),"",IF(INDEX(原始資料!AI$2:AI$501,$BJ82)="","",INDEX(原始資料!AI$2:AI$501,$BJ82)))</f>
        <v/>
      </c>
      <c r="AH82" s="6">
        <f>IF(OR($BJ82="",33&gt;設定!$B$3),"",IF(INDEX(原始資料!AJ$2:AJ$501,$BJ82)="","",INDEX(原始資料!AJ$2:AJ$501,$BJ82)))</f>
        <v/>
      </c>
      <c r="AI82" s="6">
        <f>IF(OR($BJ82="",34&gt;設定!$B$3),"",IF(INDEX(原始資料!AK$2:AK$501,$BJ82)="","",INDEX(原始資料!AK$2:AK$501,$BJ82)))</f>
        <v/>
      </c>
      <c r="AJ82" s="6">
        <f>IF(OR($BJ82="",35&gt;設定!$B$3),"",IF(INDEX(原始資料!AL$2:AL$501,$BJ82)="","",INDEX(原始資料!AL$2:AL$501,$BJ82)))</f>
        <v/>
      </c>
      <c r="AK82" s="6">
        <f>IF(OR($BJ82="",36&gt;設定!$B$3),"",IF(INDEX(原始資料!AM$2:AM$501,$BJ82)="","",INDEX(原始資料!AM$2:AM$501,$BJ82)))</f>
        <v/>
      </c>
      <c r="AL82" s="6">
        <f>IF(OR($BJ82="",37&gt;設定!$B$3),"",IF(INDEX(原始資料!AN$2:AN$501,$BJ82)="","",INDEX(原始資料!AN$2:AN$501,$BJ82)))</f>
        <v/>
      </c>
      <c r="AM82" s="6">
        <f>IF(OR($BJ82="",38&gt;設定!$B$3),"",IF(INDEX(原始資料!AO$2:AO$501,$BJ82)="","",INDEX(原始資料!AO$2:AO$501,$BJ82)))</f>
        <v/>
      </c>
      <c r="AN82" s="6">
        <f>IF(OR($BJ82="",39&gt;設定!$B$3),"",IF(INDEX(原始資料!AP$2:AP$501,$BJ82)="","",INDEX(原始資料!AP$2:AP$501,$BJ82)))</f>
        <v/>
      </c>
      <c r="AO82" s="6">
        <f>IF(OR($BJ82="",40&gt;設定!$B$3),"",IF(INDEX(原始資料!AQ$2:AQ$501,$BJ82)="","",INDEX(原始資料!AQ$2:AQ$501,$BJ82)))</f>
        <v/>
      </c>
      <c r="AP82" s="6">
        <f>IF(OR($BJ82="",41&gt;設定!$B$3),"",IF(INDEX(原始資料!AR$2:AR$501,$BJ82)="","",INDEX(原始資料!AR$2:AR$501,$BJ82)))</f>
        <v/>
      </c>
      <c r="AQ82" s="6">
        <f>IF(OR($BJ82="",42&gt;設定!$B$3),"",IF(INDEX(原始資料!AS$2:AS$501,$BJ82)="","",INDEX(原始資料!AS$2:AS$501,$BJ82)))</f>
        <v/>
      </c>
      <c r="AR82" s="6">
        <f>IF(OR($BJ82="",43&gt;設定!$B$3),"",IF(INDEX(原始資料!AT$2:AT$501,$BJ82)="","",INDEX(原始資料!AT$2:AT$501,$BJ82)))</f>
        <v/>
      </c>
      <c r="AS82" s="6">
        <f>IF(OR($BJ82="",44&gt;設定!$B$3),"",IF(INDEX(原始資料!AU$2:AU$501,$BJ82)="","",INDEX(原始資料!AU$2:AU$501,$BJ82)))</f>
        <v/>
      </c>
      <c r="AT82" s="6">
        <f>IF(OR($BJ82="",45&gt;設定!$B$3),"",IF(INDEX(原始資料!AV$2:AV$501,$BJ82)="","",INDEX(原始資料!AV$2:AV$501,$BJ82)))</f>
        <v/>
      </c>
      <c r="AU82" s="6">
        <f>IF(OR($BJ82="",46&gt;設定!$B$3),"",IF(INDEX(原始資料!AW$2:AW$501,$BJ82)="","",INDEX(原始資料!AW$2:AW$501,$BJ82)))</f>
        <v/>
      </c>
      <c r="AV82" s="6">
        <f>IF(OR($BJ82="",47&gt;設定!$B$3),"",IF(INDEX(原始資料!AX$2:AX$501,$BJ82)="","",INDEX(原始資料!AX$2:AX$501,$BJ82)))</f>
        <v/>
      </c>
      <c r="AW82" s="6">
        <f>IF(OR($BJ82="",48&gt;設定!$B$3),"",IF(INDEX(原始資料!AY$2:AY$501,$BJ82)="","",INDEX(原始資料!AY$2:AY$501,$BJ82)))</f>
        <v/>
      </c>
      <c r="AX82" s="6">
        <f>IF(OR($BJ82="",49&gt;設定!$B$3),"",IF(INDEX(原始資料!AZ$2:AZ$501,$BJ82)="","",INDEX(原始資料!AZ$2:AZ$501,$BJ82)))</f>
        <v/>
      </c>
      <c r="AY82" s="6">
        <f>IF(OR($BJ82="",50&gt;設定!$B$3),"",IF(INDEX(原始資料!BA$2:BA$501,$BJ82)="","",INDEX(原始資料!BA$2:BA$501,$BJ82)))</f>
        <v/>
      </c>
      <c r="AZ82" s="6">
        <f>IF(OR($BJ82="",51&gt;設定!$B$3),"",IF(INDEX(原始資料!BB$2:BB$501,$BJ82)="","",INDEX(原始資料!BB$2:BB$501,$BJ82)))</f>
        <v/>
      </c>
      <c r="BA82" s="6">
        <f>IF(OR($BJ82="",52&gt;設定!$B$3),"",IF(INDEX(原始資料!BC$2:BC$501,$BJ82)="","",INDEX(原始資料!BC$2:BC$501,$BJ82)))</f>
        <v/>
      </c>
      <c r="BB82" s="6">
        <f>IF(OR($BJ82="",53&gt;設定!$B$3),"",IF(INDEX(原始資料!BD$2:BD$501,$BJ82)="","",INDEX(原始資料!BD$2:BD$501,$BJ82)))</f>
        <v/>
      </c>
      <c r="BC82" s="6">
        <f>IF(OR($BJ82="",54&gt;設定!$B$3),"",IF(INDEX(原始資料!BE$2:BE$501,$BJ82)="","",INDEX(原始資料!BE$2:BE$501,$BJ82)))</f>
        <v/>
      </c>
      <c r="BD82" s="6">
        <f>IF(OR($BJ82="",55&gt;設定!$B$3),"",IF(INDEX(原始資料!BF$2:BF$501,$BJ82)="","",INDEX(原始資料!BF$2:BF$501,$BJ82)))</f>
        <v/>
      </c>
      <c r="BE82" s="6">
        <f>IF(OR($BJ82="",56&gt;設定!$B$3),"",IF(INDEX(原始資料!BG$2:BG$501,$BJ82)="","",INDEX(原始資料!BG$2:BG$501,$BJ82)))</f>
        <v/>
      </c>
      <c r="BF82" s="6">
        <f>IF(OR($BJ82="",57&gt;設定!$B$3),"",IF(INDEX(原始資料!BH$2:BH$501,$BJ82)="","",INDEX(原始資料!BH$2:BH$501,$BJ82)))</f>
        <v/>
      </c>
      <c r="BG82" s="6">
        <f>IF(OR($BJ82="",58&gt;設定!$B$3),"",IF(INDEX(原始資料!BI$2:BI$501,$BJ82)="","",INDEX(原始資料!BI$2:BI$501,$BJ82)))</f>
        <v/>
      </c>
      <c r="BH82" s="6">
        <f>IF(OR($BJ82="",59&gt;設定!$B$3),"",IF(INDEX(原始資料!BJ$2:BJ$501,$BJ82)="","",INDEX(原始資料!BJ$2:BJ$501,$BJ82)))</f>
        <v/>
      </c>
      <c r="BI82" s="6">
        <f>IF(OR($BJ82="",60&gt;設定!$B$3),"",IF(INDEX(原始資料!BK$2:BK$501,$BJ82)="","",INDEX(原始資料!BK$2:BK$501,$BJ82)))</f>
        <v/>
      </c>
      <c r="BJ82" s="6">
        <f>IFERROR(MATCH(ROW()-1,判定!$H$2:$H$501,0),"")</f>
        <v/>
      </c>
    </row>
    <row r="83">
      <c r="A83" s="6">
        <f>IF($BJ83="","",INDEX(原始資料!$A$2:$A$501,$BJ83))</f>
        <v/>
      </c>
      <c r="B83" s="6">
        <f>IF(OR($BJ83="",1&gt;設定!$B$3),"",IF(INDEX(原始資料!D$2:D$501,$BJ83)="","",INDEX(原始資料!D$2:D$501,$BJ83)))</f>
        <v/>
      </c>
      <c r="C83" s="6">
        <f>IF(OR($BJ83="",2&gt;設定!$B$3),"",IF(INDEX(原始資料!E$2:E$501,$BJ83)="","",INDEX(原始資料!E$2:E$501,$BJ83)))</f>
        <v/>
      </c>
      <c r="D83" s="6">
        <f>IF(OR($BJ83="",3&gt;設定!$B$3),"",IF(INDEX(原始資料!F$2:F$501,$BJ83)="","",INDEX(原始資料!F$2:F$501,$BJ83)))</f>
        <v/>
      </c>
      <c r="E83" s="6">
        <f>IF(OR($BJ83="",4&gt;設定!$B$3),"",IF(INDEX(原始資料!G$2:G$501,$BJ83)="","",INDEX(原始資料!G$2:G$501,$BJ83)))</f>
        <v/>
      </c>
      <c r="F83" s="6">
        <f>IF(OR($BJ83="",5&gt;設定!$B$3),"",IF(INDEX(原始資料!H$2:H$501,$BJ83)="","",INDEX(原始資料!H$2:H$501,$BJ83)))</f>
        <v/>
      </c>
      <c r="G83" s="6">
        <f>IF(OR($BJ83="",6&gt;設定!$B$3),"",IF(INDEX(原始資料!I$2:I$501,$BJ83)="","",INDEX(原始資料!I$2:I$501,$BJ83)))</f>
        <v/>
      </c>
      <c r="H83" s="6">
        <f>IF(OR($BJ83="",7&gt;設定!$B$3),"",IF(INDEX(原始資料!J$2:J$501,$BJ83)="","",INDEX(原始資料!J$2:J$501,$BJ83)))</f>
        <v/>
      </c>
      <c r="I83" s="6">
        <f>IF(OR($BJ83="",8&gt;設定!$B$3),"",IF(INDEX(原始資料!K$2:K$501,$BJ83)="","",INDEX(原始資料!K$2:K$501,$BJ83)))</f>
        <v/>
      </c>
      <c r="J83" s="6">
        <f>IF(OR($BJ83="",9&gt;設定!$B$3),"",IF(INDEX(原始資料!L$2:L$501,$BJ83)="","",INDEX(原始資料!L$2:L$501,$BJ83)))</f>
        <v/>
      </c>
      <c r="K83" s="6">
        <f>IF(OR($BJ83="",10&gt;設定!$B$3),"",IF(INDEX(原始資料!M$2:M$501,$BJ83)="","",INDEX(原始資料!M$2:M$501,$BJ83)))</f>
        <v/>
      </c>
      <c r="L83" s="6">
        <f>IF(OR($BJ83="",11&gt;設定!$B$3),"",IF(INDEX(原始資料!N$2:N$501,$BJ83)="","",INDEX(原始資料!N$2:N$501,$BJ83)))</f>
        <v/>
      </c>
      <c r="M83" s="6">
        <f>IF(OR($BJ83="",12&gt;設定!$B$3),"",IF(INDEX(原始資料!O$2:O$501,$BJ83)="","",INDEX(原始資料!O$2:O$501,$BJ83)))</f>
        <v/>
      </c>
      <c r="N83" s="6">
        <f>IF(OR($BJ83="",13&gt;設定!$B$3),"",IF(INDEX(原始資料!P$2:P$501,$BJ83)="","",INDEX(原始資料!P$2:P$501,$BJ83)))</f>
        <v/>
      </c>
      <c r="O83" s="6">
        <f>IF(OR($BJ83="",14&gt;設定!$B$3),"",IF(INDEX(原始資料!Q$2:Q$501,$BJ83)="","",INDEX(原始資料!Q$2:Q$501,$BJ83)))</f>
        <v/>
      </c>
      <c r="P83" s="6">
        <f>IF(OR($BJ83="",15&gt;設定!$B$3),"",IF(INDEX(原始資料!R$2:R$501,$BJ83)="","",INDEX(原始資料!R$2:R$501,$BJ83)))</f>
        <v/>
      </c>
      <c r="Q83" s="6">
        <f>IF(OR($BJ83="",16&gt;設定!$B$3),"",IF(INDEX(原始資料!S$2:S$501,$BJ83)="","",INDEX(原始資料!S$2:S$501,$BJ83)))</f>
        <v/>
      </c>
      <c r="R83" s="6">
        <f>IF(OR($BJ83="",17&gt;設定!$B$3),"",IF(INDEX(原始資料!T$2:T$501,$BJ83)="","",INDEX(原始資料!T$2:T$501,$BJ83)))</f>
        <v/>
      </c>
      <c r="S83" s="6">
        <f>IF(OR($BJ83="",18&gt;設定!$B$3),"",IF(INDEX(原始資料!U$2:U$501,$BJ83)="","",INDEX(原始資料!U$2:U$501,$BJ83)))</f>
        <v/>
      </c>
      <c r="T83" s="6">
        <f>IF(OR($BJ83="",19&gt;設定!$B$3),"",IF(INDEX(原始資料!V$2:V$501,$BJ83)="","",INDEX(原始資料!V$2:V$501,$BJ83)))</f>
        <v/>
      </c>
      <c r="U83" s="6">
        <f>IF(OR($BJ83="",20&gt;設定!$B$3),"",IF(INDEX(原始資料!W$2:W$501,$BJ83)="","",INDEX(原始資料!W$2:W$501,$BJ83)))</f>
        <v/>
      </c>
      <c r="V83" s="6">
        <f>IF(OR($BJ83="",21&gt;設定!$B$3),"",IF(INDEX(原始資料!X$2:X$501,$BJ83)="","",INDEX(原始資料!X$2:X$501,$BJ83)))</f>
        <v/>
      </c>
      <c r="W83" s="6">
        <f>IF(OR($BJ83="",22&gt;設定!$B$3),"",IF(INDEX(原始資料!Y$2:Y$501,$BJ83)="","",INDEX(原始資料!Y$2:Y$501,$BJ83)))</f>
        <v/>
      </c>
      <c r="X83" s="6">
        <f>IF(OR($BJ83="",23&gt;設定!$B$3),"",IF(INDEX(原始資料!Z$2:Z$501,$BJ83)="","",INDEX(原始資料!Z$2:Z$501,$BJ83)))</f>
        <v/>
      </c>
      <c r="Y83" s="6">
        <f>IF(OR($BJ83="",24&gt;設定!$B$3),"",IF(INDEX(原始資料!AA$2:AA$501,$BJ83)="","",INDEX(原始資料!AA$2:AA$501,$BJ83)))</f>
        <v/>
      </c>
      <c r="Z83" s="6">
        <f>IF(OR($BJ83="",25&gt;設定!$B$3),"",IF(INDEX(原始資料!AB$2:AB$501,$BJ83)="","",INDEX(原始資料!AB$2:AB$501,$BJ83)))</f>
        <v/>
      </c>
      <c r="AA83" s="6">
        <f>IF(OR($BJ83="",26&gt;設定!$B$3),"",IF(INDEX(原始資料!AC$2:AC$501,$BJ83)="","",INDEX(原始資料!AC$2:AC$501,$BJ83)))</f>
        <v/>
      </c>
      <c r="AB83" s="6">
        <f>IF(OR($BJ83="",27&gt;設定!$B$3),"",IF(INDEX(原始資料!AD$2:AD$501,$BJ83)="","",INDEX(原始資料!AD$2:AD$501,$BJ83)))</f>
        <v/>
      </c>
      <c r="AC83" s="6">
        <f>IF(OR($BJ83="",28&gt;設定!$B$3),"",IF(INDEX(原始資料!AE$2:AE$501,$BJ83)="","",INDEX(原始資料!AE$2:AE$501,$BJ83)))</f>
        <v/>
      </c>
      <c r="AD83" s="6">
        <f>IF(OR($BJ83="",29&gt;設定!$B$3),"",IF(INDEX(原始資料!AF$2:AF$501,$BJ83)="","",INDEX(原始資料!AF$2:AF$501,$BJ83)))</f>
        <v/>
      </c>
      <c r="AE83" s="6">
        <f>IF(OR($BJ83="",30&gt;設定!$B$3),"",IF(INDEX(原始資料!AG$2:AG$501,$BJ83)="","",INDEX(原始資料!AG$2:AG$501,$BJ83)))</f>
        <v/>
      </c>
      <c r="AF83" s="6">
        <f>IF(OR($BJ83="",31&gt;設定!$B$3),"",IF(INDEX(原始資料!AH$2:AH$501,$BJ83)="","",INDEX(原始資料!AH$2:AH$501,$BJ83)))</f>
        <v/>
      </c>
      <c r="AG83" s="6">
        <f>IF(OR($BJ83="",32&gt;設定!$B$3),"",IF(INDEX(原始資料!AI$2:AI$501,$BJ83)="","",INDEX(原始資料!AI$2:AI$501,$BJ83)))</f>
        <v/>
      </c>
      <c r="AH83" s="6">
        <f>IF(OR($BJ83="",33&gt;設定!$B$3),"",IF(INDEX(原始資料!AJ$2:AJ$501,$BJ83)="","",INDEX(原始資料!AJ$2:AJ$501,$BJ83)))</f>
        <v/>
      </c>
      <c r="AI83" s="6">
        <f>IF(OR($BJ83="",34&gt;設定!$B$3),"",IF(INDEX(原始資料!AK$2:AK$501,$BJ83)="","",INDEX(原始資料!AK$2:AK$501,$BJ83)))</f>
        <v/>
      </c>
      <c r="AJ83" s="6">
        <f>IF(OR($BJ83="",35&gt;設定!$B$3),"",IF(INDEX(原始資料!AL$2:AL$501,$BJ83)="","",INDEX(原始資料!AL$2:AL$501,$BJ83)))</f>
        <v/>
      </c>
      <c r="AK83" s="6">
        <f>IF(OR($BJ83="",36&gt;設定!$B$3),"",IF(INDEX(原始資料!AM$2:AM$501,$BJ83)="","",INDEX(原始資料!AM$2:AM$501,$BJ83)))</f>
        <v/>
      </c>
      <c r="AL83" s="6">
        <f>IF(OR($BJ83="",37&gt;設定!$B$3),"",IF(INDEX(原始資料!AN$2:AN$501,$BJ83)="","",INDEX(原始資料!AN$2:AN$501,$BJ83)))</f>
        <v/>
      </c>
      <c r="AM83" s="6">
        <f>IF(OR($BJ83="",38&gt;設定!$B$3),"",IF(INDEX(原始資料!AO$2:AO$501,$BJ83)="","",INDEX(原始資料!AO$2:AO$501,$BJ83)))</f>
        <v/>
      </c>
      <c r="AN83" s="6">
        <f>IF(OR($BJ83="",39&gt;設定!$B$3),"",IF(INDEX(原始資料!AP$2:AP$501,$BJ83)="","",INDEX(原始資料!AP$2:AP$501,$BJ83)))</f>
        <v/>
      </c>
      <c r="AO83" s="6">
        <f>IF(OR($BJ83="",40&gt;設定!$B$3),"",IF(INDEX(原始資料!AQ$2:AQ$501,$BJ83)="","",INDEX(原始資料!AQ$2:AQ$501,$BJ83)))</f>
        <v/>
      </c>
      <c r="AP83" s="6">
        <f>IF(OR($BJ83="",41&gt;設定!$B$3),"",IF(INDEX(原始資料!AR$2:AR$501,$BJ83)="","",INDEX(原始資料!AR$2:AR$501,$BJ83)))</f>
        <v/>
      </c>
      <c r="AQ83" s="6">
        <f>IF(OR($BJ83="",42&gt;設定!$B$3),"",IF(INDEX(原始資料!AS$2:AS$501,$BJ83)="","",INDEX(原始資料!AS$2:AS$501,$BJ83)))</f>
        <v/>
      </c>
      <c r="AR83" s="6">
        <f>IF(OR($BJ83="",43&gt;設定!$B$3),"",IF(INDEX(原始資料!AT$2:AT$501,$BJ83)="","",INDEX(原始資料!AT$2:AT$501,$BJ83)))</f>
        <v/>
      </c>
      <c r="AS83" s="6">
        <f>IF(OR($BJ83="",44&gt;設定!$B$3),"",IF(INDEX(原始資料!AU$2:AU$501,$BJ83)="","",INDEX(原始資料!AU$2:AU$501,$BJ83)))</f>
        <v/>
      </c>
      <c r="AT83" s="6">
        <f>IF(OR($BJ83="",45&gt;設定!$B$3),"",IF(INDEX(原始資料!AV$2:AV$501,$BJ83)="","",INDEX(原始資料!AV$2:AV$501,$BJ83)))</f>
        <v/>
      </c>
      <c r="AU83" s="6">
        <f>IF(OR($BJ83="",46&gt;設定!$B$3),"",IF(INDEX(原始資料!AW$2:AW$501,$BJ83)="","",INDEX(原始資料!AW$2:AW$501,$BJ83)))</f>
        <v/>
      </c>
      <c r="AV83" s="6">
        <f>IF(OR($BJ83="",47&gt;設定!$B$3),"",IF(INDEX(原始資料!AX$2:AX$501,$BJ83)="","",INDEX(原始資料!AX$2:AX$501,$BJ83)))</f>
        <v/>
      </c>
      <c r="AW83" s="6">
        <f>IF(OR($BJ83="",48&gt;設定!$B$3),"",IF(INDEX(原始資料!AY$2:AY$501,$BJ83)="","",INDEX(原始資料!AY$2:AY$501,$BJ83)))</f>
        <v/>
      </c>
      <c r="AX83" s="6">
        <f>IF(OR($BJ83="",49&gt;設定!$B$3),"",IF(INDEX(原始資料!AZ$2:AZ$501,$BJ83)="","",INDEX(原始資料!AZ$2:AZ$501,$BJ83)))</f>
        <v/>
      </c>
      <c r="AY83" s="6">
        <f>IF(OR($BJ83="",50&gt;設定!$B$3),"",IF(INDEX(原始資料!BA$2:BA$501,$BJ83)="","",INDEX(原始資料!BA$2:BA$501,$BJ83)))</f>
        <v/>
      </c>
      <c r="AZ83" s="6">
        <f>IF(OR($BJ83="",51&gt;設定!$B$3),"",IF(INDEX(原始資料!BB$2:BB$501,$BJ83)="","",INDEX(原始資料!BB$2:BB$501,$BJ83)))</f>
        <v/>
      </c>
      <c r="BA83" s="6">
        <f>IF(OR($BJ83="",52&gt;設定!$B$3),"",IF(INDEX(原始資料!BC$2:BC$501,$BJ83)="","",INDEX(原始資料!BC$2:BC$501,$BJ83)))</f>
        <v/>
      </c>
      <c r="BB83" s="6">
        <f>IF(OR($BJ83="",53&gt;設定!$B$3),"",IF(INDEX(原始資料!BD$2:BD$501,$BJ83)="","",INDEX(原始資料!BD$2:BD$501,$BJ83)))</f>
        <v/>
      </c>
      <c r="BC83" s="6">
        <f>IF(OR($BJ83="",54&gt;設定!$B$3),"",IF(INDEX(原始資料!BE$2:BE$501,$BJ83)="","",INDEX(原始資料!BE$2:BE$501,$BJ83)))</f>
        <v/>
      </c>
      <c r="BD83" s="6">
        <f>IF(OR($BJ83="",55&gt;設定!$B$3),"",IF(INDEX(原始資料!BF$2:BF$501,$BJ83)="","",INDEX(原始資料!BF$2:BF$501,$BJ83)))</f>
        <v/>
      </c>
      <c r="BE83" s="6">
        <f>IF(OR($BJ83="",56&gt;設定!$B$3),"",IF(INDEX(原始資料!BG$2:BG$501,$BJ83)="","",INDEX(原始資料!BG$2:BG$501,$BJ83)))</f>
        <v/>
      </c>
      <c r="BF83" s="6">
        <f>IF(OR($BJ83="",57&gt;設定!$B$3),"",IF(INDEX(原始資料!BH$2:BH$501,$BJ83)="","",INDEX(原始資料!BH$2:BH$501,$BJ83)))</f>
        <v/>
      </c>
      <c r="BG83" s="6">
        <f>IF(OR($BJ83="",58&gt;設定!$B$3),"",IF(INDEX(原始資料!BI$2:BI$501,$BJ83)="","",INDEX(原始資料!BI$2:BI$501,$BJ83)))</f>
        <v/>
      </c>
      <c r="BH83" s="6">
        <f>IF(OR($BJ83="",59&gt;設定!$B$3),"",IF(INDEX(原始資料!BJ$2:BJ$501,$BJ83)="","",INDEX(原始資料!BJ$2:BJ$501,$BJ83)))</f>
        <v/>
      </c>
      <c r="BI83" s="6">
        <f>IF(OR($BJ83="",60&gt;設定!$B$3),"",IF(INDEX(原始資料!BK$2:BK$501,$BJ83)="","",INDEX(原始資料!BK$2:BK$501,$BJ83)))</f>
        <v/>
      </c>
      <c r="BJ83" s="6">
        <f>IFERROR(MATCH(ROW()-1,判定!$H$2:$H$501,0),"")</f>
        <v/>
      </c>
    </row>
    <row r="84">
      <c r="A84" s="6">
        <f>IF($BJ84="","",INDEX(原始資料!$A$2:$A$501,$BJ84))</f>
        <v/>
      </c>
      <c r="B84" s="6">
        <f>IF(OR($BJ84="",1&gt;設定!$B$3),"",IF(INDEX(原始資料!D$2:D$501,$BJ84)="","",INDEX(原始資料!D$2:D$501,$BJ84)))</f>
        <v/>
      </c>
      <c r="C84" s="6">
        <f>IF(OR($BJ84="",2&gt;設定!$B$3),"",IF(INDEX(原始資料!E$2:E$501,$BJ84)="","",INDEX(原始資料!E$2:E$501,$BJ84)))</f>
        <v/>
      </c>
      <c r="D84" s="6">
        <f>IF(OR($BJ84="",3&gt;設定!$B$3),"",IF(INDEX(原始資料!F$2:F$501,$BJ84)="","",INDEX(原始資料!F$2:F$501,$BJ84)))</f>
        <v/>
      </c>
      <c r="E84" s="6">
        <f>IF(OR($BJ84="",4&gt;設定!$B$3),"",IF(INDEX(原始資料!G$2:G$501,$BJ84)="","",INDEX(原始資料!G$2:G$501,$BJ84)))</f>
        <v/>
      </c>
      <c r="F84" s="6">
        <f>IF(OR($BJ84="",5&gt;設定!$B$3),"",IF(INDEX(原始資料!H$2:H$501,$BJ84)="","",INDEX(原始資料!H$2:H$501,$BJ84)))</f>
        <v/>
      </c>
      <c r="G84" s="6">
        <f>IF(OR($BJ84="",6&gt;設定!$B$3),"",IF(INDEX(原始資料!I$2:I$501,$BJ84)="","",INDEX(原始資料!I$2:I$501,$BJ84)))</f>
        <v/>
      </c>
      <c r="H84" s="6">
        <f>IF(OR($BJ84="",7&gt;設定!$B$3),"",IF(INDEX(原始資料!J$2:J$501,$BJ84)="","",INDEX(原始資料!J$2:J$501,$BJ84)))</f>
        <v/>
      </c>
      <c r="I84" s="6">
        <f>IF(OR($BJ84="",8&gt;設定!$B$3),"",IF(INDEX(原始資料!K$2:K$501,$BJ84)="","",INDEX(原始資料!K$2:K$501,$BJ84)))</f>
        <v/>
      </c>
      <c r="J84" s="6">
        <f>IF(OR($BJ84="",9&gt;設定!$B$3),"",IF(INDEX(原始資料!L$2:L$501,$BJ84)="","",INDEX(原始資料!L$2:L$501,$BJ84)))</f>
        <v/>
      </c>
      <c r="K84" s="6">
        <f>IF(OR($BJ84="",10&gt;設定!$B$3),"",IF(INDEX(原始資料!M$2:M$501,$BJ84)="","",INDEX(原始資料!M$2:M$501,$BJ84)))</f>
        <v/>
      </c>
      <c r="L84" s="6">
        <f>IF(OR($BJ84="",11&gt;設定!$B$3),"",IF(INDEX(原始資料!N$2:N$501,$BJ84)="","",INDEX(原始資料!N$2:N$501,$BJ84)))</f>
        <v/>
      </c>
      <c r="M84" s="6">
        <f>IF(OR($BJ84="",12&gt;設定!$B$3),"",IF(INDEX(原始資料!O$2:O$501,$BJ84)="","",INDEX(原始資料!O$2:O$501,$BJ84)))</f>
        <v/>
      </c>
      <c r="N84" s="6">
        <f>IF(OR($BJ84="",13&gt;設定!$B$3),"",IF(INDEX(原始資料!P$2:P$501,$BJ84)="","",INDEX(原始資料!P$2:P$501,$BJ84)))</f>
        <v/>
      </c>
      <c r="O84" s="6">
        <f>IF(OR($BJ84="",14&gt;設定!$B$3),"",IF(INDEX(原始資料!Q$2:Q$501,$BJ84)="","",INDEX(原始資料!Q$2:Q$501,$BJ84)))</f>
        <v/>
      </c>
      <c r="P84" s="6">
        <f>IF(OR($BJ84="",15&gt;設定!$B$3),"",IF(INDEX(原始資料!R$2:R$501,$BJ84)="","",INDEX(原始資料!R$2:R$501,$BJ84)))</f>
        <v/>
      </c>
      <c r="Q84" s="6">
        <f>IF(OR($BJ84="",16&gt;設定!$B$3),"",IF(INDEX(原始資料!S$2:S$501,$BJ84)="","",INDEX(原始資料!S$2:S$501,$BJ84)))</f>
        <v/>
      </c>
      <c r="R84" s="6">
        <f>IF(OR($BJ84="",17&gt;設定!$B$3),"",IF(INDEX(原始資料!T$2:T$501,$BJ84)="","",INDEX(原始資料!T$2:T$501,$BJ84)))</f>
        <v/>
      </c>
      <c r="S84" s="6">
        <f>IF(OR($BJ84="",18&gt;設定!$B$3),"",IF(INDEX(原始資料!U$2:U$501,$BJ84)="","",INDEX(原始資料!U$2:U$501,$BJ84)))</f>
        <v/>
      </c>
      <c r="T84" s="6">
        <f>IF(OR($BJ84="",19&gt;設定!$B$3),"",IF(INDEX(原始資料!V$2:V$501,$BJ84)="","",INDEX(原始資料!V$2:V$501,$BJ84)))</f>
        <v/>
      </c>
      <c r="U84" s="6">
        <f>IF(OR($BJ84="",20&gt;設定!$B$3),"",IF(INDEX(原始資料!W$2:W$501,$BJ84)="","",INDEX(原始資料!W$2:W$501,$BJ84)))</f>
        <v/>
      </c>
      <c r="V84" s="6">
        <f>IF(OR($BJ84="",21&gt;設定!$B$3),"",IF(INDEX(原始資料!X$2:X$501,$BJ84)="","",INDEX(原始資料!X$2:X$501,$BJ84)))</f>
        <v/>
      </c>
      <c r="W84" s="6">
        <f>IF(OR($BJ84="",22&gt;設定!$B$3),"",IF(INDEX(原始資料!Y$2:Y$501,$BJ84)="","",INDEX(原始資料!Y$2:Y$501,$BJ84)))</f>
        <v/>
      </c>
      <c r="X84" s="6">
        <f>IF(OR($BJ84="",23&gt;設定!$B$3),"",IF(INDEX(原始資料!Z$2:Z$501,$BJ84)="","",INDEX(原始資料!Z$2:Z$501,$BJ84)))</f>
        <v/>
      </c>
      <c r="Y84" s="6">
        <f>IF(OR($BJ84="",24&gt;設定!$B$3),"",IF(INDEX(原始資料!AA$2:AA$501,$BJ84)="","",INDEX(原始資料!AA$2:AA$501,$BJ84)))</f>
        <v/>
      </c>
      <c r="Z84" s="6">
        <f>IF(OR($BJ84="",25&gt;設定!$B$3),"",IF(INDEX(原始資料!AB$2:AB$501,$BJ84)="","",INDEX(原始資料!AB$2:AB$501,$BJ84)))</f>
        <v/>
      </c>
      <c r="AA84" s="6">
        <f>IF(OR($BJ84="",26&gt;設定!$B$3),"",IF(INDEX(原始資料!AC$2:AC$501,$BJ84)="","",INDEX(原始資料!AC$2:AC$501,$BJ84)))</f>
        <v/>
      </c>
      <c r="AB84" s="6">
        <f>IF(OR($BJ84="",27&gt;設定!$B$3),"",IF(INDEX(原始資料!AD$2:AD$501,$BJ84)="","",INDEX(原始資料!AD$2:AD$501,$BJ84)))</f>
        <v/>
      </c>
      <c r="AC84" s="6">
        <f>IF(OR($BJ84="",28&gt;設定!$B$3),"",IF(INDEX(原始資料!AE$2:AE$501,$BJ84)="","",INDEX(原始資料!AE$2:AE$501,$BJ84)))</f>
        <v/>
      </c>
      <c r="AD84" s="6">
        <f>IF(OR($BJ84="",29&gt;設定!$B$3),"",IF(INDEX(原始資料!AF$2:AF$501,$BJ84)="","",INDEX(原始資料!AF$2:AF$501,$BJ84)))</f>
        <v/>
      </c>
      <c r="AE84" s="6">
        <f>IF(OR($BJ84="",30&gt;設定!$B$3),"",IF(INDEX(原始資料!AG$2:AG$501,$BJ84)="","",INDEX(原始資料!AG$2:AG$501,$BJ84)))</f>
        <v/>
      </c>
      <c r="AF84" s="6">
        <f>IF(OR($BJ84="",31&gt;設定!$B$3),"",IF(INDEX(原始資料!AH$2:AH$501,$BJ84)="","",INDEX(原始資料!AH$2:AH$501,$BJ84)))</f>
        <v/>
      </c>
      <c r="AG84" s="6">
        <f>IF(OR($BJ84="",32&gt;設定!$B$3),"",IF(INDEX(原始資料!AI$2:AI$501,$BJ84)="","",INDEX(原始資料!AI$2:AI$501,$BJ84)))</f>
        <v/>
      </c>
      <c r="AH84" s="6">
        <f>IF(OR($BJ84="",33&gt;設定!$B$3),"",IF(INDEX(原始資料!AJ$2:AJ$501,$BJ84)="","",INDEX(原始資料!AJ$2:AJ$501,$BJ84)))</f>
        <v/>
      </c>
      <c r="AI84" s="6">
        <f>IF(OR($BJ84="",34&gt;設定!$B$3),"",IF(INDEX(原始資料!AK$2:AK$501,$BJ84)="","",INDEX(原始資料!AK$2:AK$501,$BJ84)))</f>
        <v/>
      </c>
      <c r="AJ84" s="6">
        <f>IF(OR($BJ84="",35&gt;設定!$B$3),"",IF(INDEX(原始資料!AL$2:AL$501,$BJ84)="","",INDEX(原始資料!AL$2:AL$501,$BJ84)))</f>
        <v/>
      </c>
      <c r="AK84" s="6">
        <f>IF(OR($BJ84="",36&gt;設定!$B$3),"",IF(INDEX(原始資料!AM$2:AM$501,$BJ84)="","",INDEX(原始資料!AM$2:AM$501,$BJ84)))</f>
        <v/>
      </c>
      <c r="AL84" s="6">
        <f>IF(OR($BJ84="",37&gt;設定!$B$3),"",IF(INDEX(原始資料!AN$2:AN$501,$BJ84)="","",INDEX(原始資料!AN$2:AN$501,$BJ84)))</f>
        <v/>
      </c>
      <c r="AM84" s="6">
        <f>IF(OR($BJ84="",38&gt;設定!$B$3),"",IF(INDEX(原始資料!AO$2:AO$501,$BJ84)="","",INDEX(原始資料!AO$2:AO$501,$BJ84)))</f>
        <v/>
      </c>
      <c r="AN84" s="6">
        <f>IF(OR($BJ84="",39&gt;設定!$B$3),"",IF(INDEX(原始資料!AP$2:AP$501,$BJ84)="","",INDEX(原始資料!AP$2:AP$501,$BJ84)))</f>
        <v/>
      </c>
      <c r="AO84" s="6">
        <f>IF(OR($BJ84="",40&gt;設定!$B$3),"",IF(INDEX(原始資料!AQ$2:AQ$501,$BJ84)="","",INDEX(原始資料!AQ$2:AQ$501,$BJ84)))</f>
        <v/>
      </c>
      <c r="AP84" s="6">
        <f>IF(OR($BJ84="",41&gt;設定!$B$3),"",IF(INDEX(原始資料!AR$2:AR$501,$BJ84)="","",INDEX(原始資料!AR$2:AR$501,$BJ84)))</f>
        <v/>
      </c>
      <c r="AQ84" s="6">
        <f>IF(OR($BJ84="",42&gt;設定!$B$3),"",IF(INDEX(原始資料!AS$2:AS$501,$BJ84)="","",INDEX(原始資料!AS$2:AS$501,$BJ84)))</f>
        <v/>
      </c>
      <c r="AR84" s="6">
        <f>IF(OR($BJ84="",43&gt;設定!$B$3),"",IF(INDEX(原始資料!AT$2:AT$501,$BJ84)="","",INDEX(原始資料!AT$2:AT$501,$BJ84)))</f>
        <v/>
      </c>
      <c r="AS84" s="6">
        <f>IF(OR($BJ84="",44&gt;設定!$B$3),"",IF(INDEX(原始資料!AU$2:AU$501,$BJ84)="","",INDEX(原始資料!AU$2:AU$501,$BJ84)))</f>
        <v/>
      </c>
      <c r="AT84" s="6">
        <f>IF(OR($BJ84="",45&gt;設定!$B$3),"",IF(INDEX(原始資料!AV$2:AV$501,$BJ84)="","",INDEX(原始資料!AV$2:AV$501,$BJ84)))</f>
        <v/>
      </c>
      <c r="AU84" s="6">
        <f>IF(OR($BJ84="",46&gt;設定!$B$3),"",IF(INDEX(原始資料!AW$2:AW$501,$BJ84)="","",INDEX(原始資料!AW$2:AW$501,$BJ84)))</f>
        <v/>
      </c>
      <c r="AV84" s="6">
        <f>IF(OR($BJ84="",47&gt;設定!$B$3),"",IF(INDEX(原始資料!AX$2:AX$501,$BJ84)="","",INDEX(原始資料!AX$2:AX$501,$BJ84)))</f>
        <v/>
      </c>
      <c r="AW84" s="6">
        <f>IF(OR($BJ84="",48&gt;設定!$B$3),"",IF(INDEX(原始資料!AY$2:AY$501,$BJ84)="","",INDEX(原始資料!AY$2:AY$501,$BJ84)))</f>
        <v/>
      </c>
      <c r="AX84" s="6">
        <f>IF(OR($BJ84="",49&gt;設定!$B$3),"",IF(INDEX(原始資料!AZ$2:AZ$501,$BJ84)="","",INDEX(原始資料!AZ$2:AZ$501,$BJ84)))</f>
        <v/>
      </c>
      <c r="AY84" s="6">
        <f>IF(OR($BJ84="",50&gt;設定!$B$3),"",IF(INDEX(原始資料!BA$2:BA$501,$BJ84)="","",INDEX(原始資料!BA$2:BA$501,$BJ84)))</f>
        <v/>
      </c>
      <c r="AZ84" s="6">
        <f>IF(OR($BJ84="",51&gt;設定!$B$3),"",IF(INDEX(原始資料!BB$2:BB$501,$BJ84)="","",INDEX(原始資料!BB$2:BB$501,$BJ84)))</f>
        <v/>
      </c>
      <c r="BA84" s="6">
        <f>IF(OR($BJ84="",52&gt;設定!$B$3),"",IF(INDEX(原始資料!BC$2:BC$501,$BJ84)="","",INDEX(原始資料!BC$2:BC$501,$BJ84)))</f>
        <v/>
      </c>
      <c r="BB84" s="6">
        <f>IF(OR($BJ84="",53&gt;設定!$B$3),"",IF(INDEX(原始資料!BD$2:BD$501,$BJ84)="","",INDEX(原始資料!BD$2:BD$501,$BJ84)))</f>
        <v/>
      </c>
      <c r="BC84" s="6">
        <f>IF(OR($BJ84="",54&gt;設定!$B$3),"",IF(INDEX(原始資料!BE$2:BE$501,$BJ84)="","",INDEX(原始資料!BE$2:BE$501,$BJ84)))</f>
        <v/>
      </c>
      <c r="BD84" s="6">
        <f>IF(OR($BJ84="",55&gt;設定!$B$3),"",IF(INDEX(原始資料!BF$2:BF$501,$BJ84)="","",INDEX(原始資料!BF$2:BF$501,$BJ84)))</f>
        <v/>
      </c>
      <c r="BE84" s="6">
        <f>IF(OR($BJ84="",56&gt;設定!$B$3),"",IF(INDEX(原始資料!BG$2:BG$501,$BJ84)="","",INDEX(原始資料!BG$2:BG$501,$BJ84)))</f>
        <v/>
      </c>
      <c r="BF84" s="6">
        <f>IF(OR($BJ84="",57&gt;設定!$B$3),"",IF(INDEX(原始資料!BH$2:BH$501,$BJ84)="","",INDEX(原始資料!BH$2:BH$501,$BJ84)))</f>
        <v/>
      </c>
      <c r="BG84" s="6">
        <f>IF(OR($BJ84="",58&gt;設定!$B$3),"",IF(INDEX(原始資料!BI$2:BI$501,$BJ84)="","",INDEX(原始資料!BI$2:BI$501,$BJ84)))</f>
        <v/>
      </c>
      <c r="BH84" s="6">
        <f>IF(OR($BJ84="",59&gt;設定!$B$3),"",IF(INDEX(原始資料!BJ$2:BJ$501,$BJ84)="","",INDEX(原始資料!BJ$2:BJ$501,$BJ84)))</f>
        <v/>
      </c>
      <c r="BI84" s="6">
        <f>IF(OR($BJ84="",60&gt;設定!$B$3),"",IF(INDEX(原始資料!BK$2:BK$501,$BJ84)="","",INDEX(原始資料!BK$2:BK$501,$BJ84)))</f>
        <v/>
      </c>
      <c r="BJ84" s="6">
        <f>IFERROR(MATCH(ROW()-1,判定!$H$2:$H$501,0),"")</f>
        <v/>
      </c>
    </row>
    <row r="85">
      <c r="A85" s="6">
        <f>IF($BJ85="","",INDEX(原始資料!$A$2:$A$501,$BJ85))</f>
        <v/>
      </c>
      <c r="B85" s="6">
        <f>IF(OR($BJ85="",1&gt;設定!$B$3),"",IF(INDEX(原始資料!D$2:D$501,$BJ85)="","",INDEX(原始資料!D$2:D$501,$BJ85)))</f>
        <v/>
      </c>
      <c r="C85" s="6">
        <f>IF(OR($BJ85="",2&gt;設定!$B$3),"",IF(INDEX(原始資料!E$2:E$501,$BJ85)="","",INDEX(原始資料!E$2:E$501,$BJ85)))</f>
        <v/>
      </c>
      <c r="D85" s="6">
        <f>IF(OR($BJ85="",3&gt;設定!$B$3),"",IF(INDEX(原始資料!F$2:F$501,$BJ85)="","",INDEX(原始資料!F$2:F$501,$BJ85)))</f>
        <v/>
      </c>
      <c r="E85" s="6">
        <f>IF(OR($BJ85="",4&gt;設定!$B$3),"",IF(INDEX(原始資料!G$2:G$501,$BJ85)="","",INDEX(原始資料!G$2:G$501,$BJ85)))</f>
        <v/>
      </c>
      <c r="F85" s="6">
        <f>IF(OR($BJ85="",5&gt;設定!$B$3),"",IF(INDEX(原始資料!H$2:H$501,$BJ85)="","",INDEX(原始資料!H$2:H$501,$BJ85)))</f>
        <v/>
      </c>
      <c r="G85" s="6">
        <f>IF(OR($BJ85="",6&gt;設定!$B$3),"",IF(INDEX(原始資料!I$2:I$501,$BJ85)="","",INDEX(原始資料!I$2:I$501,$BJ85)))</f>
        <v/>
      </c>
      <c r="H85" s="6">
        <f>IF(OR($BJ85="",7&gt;設定!$B$3),"",IF(INDEX(原始資料!J$2:J$501,$BJ85)="","",INDEX(原始資料!J$2:J$501,$BJ85)))</f>
        <v/>
      </c>
      <c r="I85" s="6">
        <f>IF(OR($BJ85="",8&gt;設定!$B$3),"",IF(INDEX(原始資料!K$2:K$501,$BJ85)="","",INDEX(原始資料!K$2:K$501,$BJ85)))</f>
        <v/>
      </c>
      <c r="J85" s="6">
        <f>IF(OR($BJ85="",9&gt;設定!$B$3),"",IF(INDEX(原始資料!L$2:L$501,$BJ85)="","",INDEX(原始資料!L$2:L$501,$BJ85)))</f>
        <v/>
      </c>
      <c r="K85" s="6">
        <f>IF(OR($BJ85="",10&gt;設定!$B$3),"",IF(INDEX(原始資料!M$2:M$501,$BJ85)="","",INDEX(原始資料!M$2:M$501,$BJ85)))</f>
        <v/>
      </c>
      <c r="L85" s="6">
        <f>IF(OR($BJ85="",11&gt;設定!$B$3),"",IF(INDEX(原始資料!N$2:N$501,$BJ85)="","",INDEX(原始資料!N$2:N$501,$BJ85)))</f>
        <v/>
      </c>
      <c r="M85" s="6">
        <f>IF(OR($BJ85="",12&gt;設定!$B$3),"",IF(INDEX(原始資料!O$2:O$501,$BJ85)="","",INDEX(原始資料!O$2:O$501,$BJ85)))</f>
        <v/>
      </c>
      <c r="N85" s="6">
        <f>IF(OR($BJ85="",13&gt;設定!$B$3),"",IF(INDEX(原始資料!P$2:P$501,$BJ85)="","",INDEX(原始資料!P$2:P$501,$BJ85)))</f>
        <v/>
      </c>
      <c r="O85" s="6">
        <f>IF(OR($BJ85="",14&gt;設定!$B$3),"",IF(INDEX(原始資料!Q$2:Q$501,$BJ85)="","",INDEX(原始資料!Q$2:Q$501,$BJ85)))</f>
        <v/>
      </c>
      <c r="P85" s="6">
        <f>IF(OR($BJ85="",15&gt;設定!$B$3),"",IF(INDEX(原始資料!R$2:R$501,$BJ85)="","",INDEX(原始資料!R$2:R$501,$BJ85)))</f>
        <v/>
      </c>
      <c r="Q85" s="6">
        <f>IF(OR($BJ85="",16&gt;設定!$B$3),"",IF(INDEX(原始資料!S$2:S$501,$BJ85)="","",INDEX(原始資料!S$2:S$501,$BJ85)))</f>
        <v/>
      </c>
      <c r="R85" s="6">
        <f>IF(OR($BJ85="",17&gt;設定!$B$3),"",IF(INDEX(原始資料!T$2:T$501,$BJ85)="","",INDEX(原始資料!T$2:T$501,$BJ85)))</f>
        <v/>
      </c>
      <c r="S85" s="6">
        <f>IF(OR($BJ85="",18&gt;設定!$B$3),"",IF(INDEX(原始資料!U$2:U$501,$BJ85)="","",INDEX(原始資料!U$2:U$501,$BJ85)))</f>
        <v/>
      </c>
      <c r="T85" s="6">
        <f>IF(OR($BJ85="",19&gt;設定!$B$3),"",IF(INDEX(原始資料!V$2:V$501,$BJ85)="","",INDEX(原始資料!V$2:V$501,$BJ85)))</f>
        <v/>
      </c>
      <c r="U85" s="6">
        <f>IF(OR($BJ85="",20&gt;設定!$B$3),"",IF(INDEX(原始資料!W$2:W$501,$BJ85)="","",INDEX(原始資料!W$2:W$501,$BJ85)))</f>
        <v/>
      </c>
      <c r="V85" s="6">
        <f>IF(OR($BJ85="",21&gt;設定!$B$3),"",IF(INDEX(原始資料!X$2:X$501,$BJ85)="","",INDEX(原始資料!X$2:X$501,$BJ85)))</f>
        <v/>
      </c>
      <c r="W85" s="6">
        <f>IF(OR($BJ85="",22&gt;設定!$B$3),"",IF(INDEX(原始資料!Y$2:Y$501,$BJ85)="","",INDEX(原始資料!Y$2:Y$501,$BJ85)))</f>
        <v/>
      </c>
      <c r="X85" s="6">
        <f>IF(OR($BJ85="",23&gt;設定!$B$3),"",IF(INDEX(原始資料!Z$2:Z$501,$BJ85)="","",INDEX(原始資料!Z$2:Z$501,$BJ85)))</f>
        <v/>
      </c>
      <c r="Y85" s="6">
        <f>IF(OR($BJ85="",24&gt;設定!$B$3),"",IF(INDEX(原始資料!AA$2:AA$501,$BJ85)="","",INDEX(原始資料!AA$2:AA$501,$BJ85)))</f>
        <v/>
      </c>
      <c r="Z85" s="6">
        <f>IF(OR($BJ85="",25&gt;設定!$B$3),"",IF(INDEX(原始資料!AB$2:AB$501,$BJ85)="","",INDEX(原始資料!AB$2:AB$501,$BJ85)))</f>
        <v/>
      </c>
      <c r="AA85" s="6">
        <f>IF(OR($BJ85="",26&gt;設定!$B$3),"",IF(INDEX(原始資料!AC$2:AC$501,$BJ85)="","",INDEX(原始資料!AC$2:AC$501,$BJ85)))</f>
        <v/>
      </c>
      <c r="AB85" s="6">
        <f>IF(OR($BJ85="",27&gt;設定!$B$3),"",IF(INDEX(原始資料!AD$2:AD$501,$BJ85)="","",INDEX(原始資料!AD$2:AD$501,$BJ85)))</f>
        <v/>
      </c>
      <c r="AC85" s="6">
        <f>IF(OR($BJ85="",28&gt;設定!$B$3),"",IF(INDEX(原始資料!AE$2:AE$501,$BJ85)="","",INDEX(原始資料!AE$2:AE$501,$BJ85)))</f>
        <v/>
      </c>
      <c r="AD85" s="6">
        <f>IF(OR($BJ85="",29&gt;設定!$B$3),"",IF(INDEX(原始資料!AF$2:AF$501,$BJ85)="","",INDEX(原始資料!AF$2:AF$501,$BJ85)))</f>
        <v/>
      </c>
      <c r="AE85" s="6">
        <f>IF(OR($BJ85="",30&gt;設定!$B$3),"",IF(INDEX(原始資料!AG$2:AG$501,$BJ85)="","",INDEX(原始資料!AG$2:AG$501,$BJ85)))</f>
        <v/>
      </c>
      <c r="AF85" s="6">
        <f>IF(OR($BJ85="",31&gt;設定!$B$3),"",IF(INDEX(原始資料!AH$2:AH$501,$BJ85)="","",INDEX(原始資料!AH$2:AH$501,$BJ85)))</f>
        <v/>
      </c>
      <c r="AG85" s="6">
        <f>IF(OR($BJ85="",32&gt;設定!$B$3),"",IF(INDEX(原始資料!AI$2:AI$501,$BJ85)="","",INDEX(原始資料!AI$2:AI$501,$BJ85)))</f>
        <v/>
      </c>
      <c r="AH85" s="6">
        <f>IF(OR($BJ85="",33&gt;設定!$B$3),"",IF(INDEX(原始資料!AJ$2:AJ$501,$BJ85)="","",INDEX(原始資料!AJ$2:AJ$501,$BJ85)))</f>
        <v/>
      </c>
      <c r="AI85" s="6">
        <f>IF(OR($BJ85="",34&gt;設定!$B$3),"",IF(INDEX(原始資料!AK$2:AK$501,$BJ85)="","",INDEX(原始資料!AK$2:AK$501,$BJ85)))</f>
        <v/>
      </c>
      <c r="AJ85" s="6">
        <f>IF(OR($BJ85="",35&gt;設定!$B$3),"",IF(INDEX(原始資料!AL$2:AL$501,$BJ85)="","",INDEX(原始資料!AL$2:AL$501,$BJ85)))</f>
        <v/>
      </c>
      <c r="AK85" s="6">
        <f>IF(OR($BJ85="",36&gt;設定!$B$3),"",IF(INDEX(原始資料!AM$2:AM$501,$BJ85)="","",INDEX(原始資料!AM$2:AM$501,$BJ85)))</f>
        <v/>
      </c>
      <c r="AL85" s="6">
        <f>IF(OR($BJ85="",37&gt;設定!$B$3),"",IF(INDEX(原始資料!AN$2:AN$501,$BJ85)="","",INDEX(原始資料!AN$2:AN$501,$BJ85)))</f>
        <v/>
      </c>
      <c r="AM85" s="6">
        <f>IF(OR($BJ85="",38&gt;設定!$B$3),"",IF(INDEX(原始資料!AO$2:AO$501,$BJ85)="","",INDEX(原始資料!AO$2:AO$501,$BJ85)))</f>
        <v/>
      </c>
      <c r="AN85" s="6">
        <f>IF(OR($BJ85="",39&gt;設定!$B$3),"",IF(INDEX(原始資料!AP$2:AP$501,$BJ85)="","",INDEX(原始資料!AP$2:AP$501,$BJ85)))</f>
        <v/>
      </c>
      <c r="AO85" s="6">
        <f>IF(OR($BJ85="",40&gt;設定!$B$3),"",IF(INDEX(原始資料!AQ$2:AQ$501,$BJ85)="","",INDEX(原始資料!AQ$2:AQ$501,$BJ85)))</f>
        <v/>
      </c>
      <c r="AP85" s="6">
        <f>IF(OR($BJ85="",41&gt;設定!$B$3),"",IF(INDEX(原始資料!AR$2:AR$501,$BJ85)="","",INDEX(原始資料!AR$2:AR$501,$BJ85)))</f>
        <v/>
      </c>
      <c r="AQ85" s="6">
        <f>IF(OR($BJ85="",42&gt;設定!$B$3),"",IF(INDEX(原始資料!AS$2:AS$501,$BJ85)="","",INDEX(原始資料!AS$2:AS$501,$BJ85)))</f>
        <v/>
      </c>
      <c r="AR85" s="6">
        <f>IF(OR($BJ85="",43&gt;設定!$B$3),"",IF(INDEX(原始資料!AT$2:AT$501,$BJ85)="","",INDEX(原始資料!AT$2:AT$501,$BJ85)))</f>
        <v/>
      </c>
      <c r="AS85" s="6">
        <f>IF(OR($BJ85="",44&gt;設定!$B$3),"",IF(INDEX(原始資料!AU$2:AU$501,$BJ85)="","",INDEX(原始資料!AU$2:AU$501,$BJ85)))</f>
        <v/>
      </c>
      <c r="AT85" s="6">
        <f>IF(OR($BJ85="",45&gt;設定!$B$3),"",IF(INDEX(原始資料!AV$2:AV$501,$BJ85)="","",INDEX(原始資料!AV$2:AV$501,$BJ85)))</f>
        <v/>
      </c>
      <c r="AU85" s="6">
        <f>IF(OR($BJ85="",46&gt;設定!$B$3),"",IF(INDEX(原始資料!AW$2:AW$501,$BJ85)="","",INDEX(原始資料!AW$2:AW$501,$BJ85)))</f>
        <v/>
      </c>
      <c r="AV85" s="6">
        <f>IF(OR($BJ85="",47&gt;設定!$B$3),"",IF(INDEX(原始資料!AX$2:AX$501,$BJ85)="","",INDEX(原始資料!AX$2:AX$501,$BJ85)))</f>
        <v/>
      </c>
      <c r="AW85" s="6">
        <f>IF(OR($BJ85="",48&gt;設定!$B$3),"",IF(INDEX(原始資料!AY$2:AY$501,$BJ85)="","",INDEX(原始資料!AY$2:AY$501,$BJ85)))</f>
        <v/>
      </c>
      <c r="AX85" s="6">
        <f>IF(OR($BJ85="",49&gt;設定!$B$3),"",IF(INDEX(原始資料!AZ$2:AZ$501,$BJ85)="","",INDEX(原始資料!AZ$2:AZ$501,$BJ85)))</f>
        <v/>
      </c>
      <c r="AY85" s="6">
        <f>IF(OR($BJ85="",50&gt;設定!$B$3),"",IF(INDEX(原始資料!BA$2:BA$501,$BJ85)="","",INDEX(原始資料!BA$2:BA$501,$BJ85)))</f>
        <v/>
      </c>
      <c r="AZ85" s="6">
        <f>IF(OR($BJ85="",51&gt;設定!$B$3),"",IF(INDEX(原始資料!BB$2:BB$501,$BJ85)="","",INDEX(原始資料!BB$2:BB$501,$BJ85)))</f>
        <v/>
      </c>
      <c r="BA85" s="6">
        <f>IF(OR($BJ85="",52&gt;設定!$B$3),"",IF(INDEX(原始資料!BC$2:BC$501,$BJ85)="","",INDEX(原始資料!BC$2:BC$501,$BJ85)))</f>
        <v/>
      </c>
      <c r="BB85" s="6">
        <f>IF(OR($BJ85="",53&gt;設定!$B$3),"",IF(INDEX(原始資料!BD$2:BD$501,$BJ85)="","",INDEX(原始資料!BD$2:BD$501,$BJ85)))</f>
        <v/>
      </c>
      <c r="BC85" s="6">
        <f>IF(OR($BJ85="",54&gt;設定!$B$3),"",IF(INDEX(原始資料!BE$2:BE$501,$BJ85)="","",INDEX(原始資料!BE$2:BE$501,$BJ85)))</f>
        <v/>
      </c>
      <c r="BD85" s="6">
        <f>IF(OR($BJ85="",55&gt;設定!$B$3),"",IF(INDEX(原始資料!BF$2:BF$501,$BJ85)="","",INDEX(原始資料!BF$2:BF$501,$BJ85)))</f>
        <v/>
      </c>
      <c r="BE85" s="6">
        <f>IF(OR($BJ85="",56&gt;設定!$B$3),"",IF(INDEX(原始資料!BG$2:BG$501,$BJ85)="","",INDEX(原始資料!BG$2:BG$501,$BJ85)))</f>
        <v/>
      </c>
      <c r="BF85" s="6">
        <f>IF(OR($BJ85="",57&gt;設定!$B$3),"",IF(INDEX(原始資料!BH$2:BH$501,$BJ85)="","",INDEX(原始資料!BH$2:BH$501,$BJ85)))</f>
        <v/>
      </c>
      <c r="BG85" s="6">
        <f>IF(OR($BJ85="",58&gt;設定!$B$3),"",IF(INDEX(原始資料!BI$2:BI$501,$BJ85)="","",INDEX(原始資料!BI$2:BI$501,$BJ85)))</f>
        <v/>
      </c>
      <c r="BH85" s="6">
        <f>IF(OR($BJ85="",59&gt;設定!$B$3),"",IF(INDEX(原始資料!BJ$2:BJ$501,$BJ85)="","",INDEX(原始資料!BJ$2:BJ$501,$BJ85)))</f>
        <v/>
      </c>
      <c r="BI85" s="6">
        <f>IF(OR($BJ85="",60&gt;設定!$B$3),"",IF(INDEX(原始資料!BK$2:BK$501,$BJ85)="","",INDEX(原始資料!BK$2:BK$501,$BJ85)))</f>
        <v/>
      </c>
      <c r="BJ85" s="6">
        <f>IFERROR(MATCH(ROW()-1,判定!$H$2:$H$501,0),"")</f>
        <v/>
      </c>
    </row>
    <row r="86">
      <c r="A86" s="6">
        <f>IF($BJ86="","",INDEX(原始資料!$A$2:$A$501,$BJ86))</f>
        <v/>
      </c>
      <c r="B86" s="6">
        <f>IF(OR($BJ86="",1&gt;設定!$B$3),"",IF(INDEX(原始資料!D$2:D$501,$BJ86)="","",INDEX(原始資料!D$2:D$501,$BJ86)))</f>
        <v/>
      </c>
      <c r="C86" s="6">
        <f>IF(OR($BJ86="",2&gt;設定!$B$3),"",IF(INDEX(原始資料!E$2:E$501,$BJ86)="","",INDEX(原始資料!E$2:E$501,$BJ86)))</f>
        <v/>
      </c>
      <c r="D86" s="6">
        <f>IF(OR($BJ86="",3&gt;設定!$B$3),"",IF(INDEX(原始資料!F$2:F$501,$BJ86)="","",INDEX(原始資料!F$2:F$501,$BJ86)))</f>
        <v/>
      </c>
      <c r="E86" s="6">
        <f>IF(OR($BJ86="",4&gt;設定!$B$3),"",IF(INDEX(原始資料!G$2:G$501,$BJ86)="","",INDEX(原始資料!G$2:G$501,$BJ86)))</f>
        <v/>
      </c>
      <c r="F86" s="6">
        <f>IF(OR($BJ86="",5&gt;設定!$B$3),"",IF(INDEX(原始資料!H$2:H$501,$BJ86)="","",INDEX(原始資料!H$2:H$501,$BJ86)))</f>
        <v/>
      </c>
      <c r="G86" s="6">
        <f>IF(OR($BJ86="",6&gt;設定!$B$3),"",IF(INDEX(原始資料!I$2:I$501,$BJ86)="","",INDEX(原始資料!I$2:I$501,$BJ86)))</f>
        <v/>
      </c>
      <c r="H86" s="6">
        <f>IF(OR($BJ86="",7&gt;設定!$B$3),"",IF(INDEX(原始資料!J$2:J$501,$BJ86)="","",INDEX(原始資料!J$2:J$501,$BJ86)))</f>
        <v/>
      </c>
      <c r="I86" s="6">
        <f>IF(OR($BJ86="",8&gt;設定!$B$3),"",IF(INDEX(原始資料!K$2:K$501,$BJ86)="","",INDEX(原始資料!K$2:K$501,$BJ86)))</f>
        <v/>
      </c>
      <c r="J86" s="6">
        <f>IF(OR($BJ86="",9&gt;設定!$B$3),"",IF(INDEX(原始資料!L$2:L$501,$BJ86)="","",INDEX(原始資料!L$2:L$501,$BJ86)))</f>
        <v/>
      </c>
      <c r="K86" s="6">
        <f>IF(OR($BJ86="",10&gt;設定!$B$3),"",IF(INDEX(原始資料!M$2:M$501,$BJ86)="","",INDEX(原始資料!M$2:M$501,$BJ86)))</f>
        <v/>
      </c>
      <c r="L86" s="6">
        <f>IF(OR($BJ86="",11&gt;設定!$B$3),"",IF(INDEX(原始資料!N$2:N$501,$BJ86)="","",INDEX(原始資料!N$2:N$501,$BJ86)))</f>
        <v/>
      </c>
      <c r="M86" s="6">
        <f>IF(OR($BJ86="",12&gt;設定!$B$3),"",IF(INDEX(原始資料!O$2:O$501,$BJ86)="","",INDEX(原始資料!O$2:O$501,$BJ86)))</f>
        <v/>
      </c>
      <c r="N86" s="6">
        <f>IF(OR($BJ86="",13&gt;設定!$B$3),"",IF(INDEX(原始資料!P$2:P$501,$BJ86)="","",INDEX(原始資料!P$2:P$501,$BJ86)))</f>
        <v/>
      </c>
      <c r="O86" s="6">
        <f>IF(OR($BJ86="",14&gt;設定!$B$3),"",IF(INDEX(原始資料!Q$2:Q$501,$BJ86)="","",INDEX(原始資料!Q$2:Q$501,$BJ86)))</f>
        <v/>
      </c>
      <c r="P86" s="6">
        <f>IF(OR($BJ86="",15&gt;設定!$B$3),"",IF(INDEX(原始資料!R$2:R$501,$BJ86)="","",INDEX(原始資料!R$2:R$501,$BJ86)))</f>
        <v/>
      </c>
      <c r="Q86" s="6">
        <f>IF(OR($BJ86="",16&gt;設定!$B$3),"",IF(INDEX(原始資料!S$2:S$501,$BJ86)="","",INDEX(原始資料!S$2:S$501,$BJ86)))</f>
        <v/>
      </c>
      <c r="R86" s="6">
        <f>IF(OR($BJ86="",17&gt;設定!$B$3),"",IF(INDEX(原始資料!T$2:T$501,$BJ86)="","",INDEX(原始資料!T$2:T$501,$BJ86)))</f>
        <v/>
      </c>
      <c r="S86" s="6">
        <f>IF(OR($BJ86="",18&gt;設定!$B$3),"",IF(INDEX(原始資料!U$2:U$501,$BJ86)="","",INDEX(原始資料!U$2:U$501,$BJ86)))</f>
        <v/>
      </c>
      <c r="T86" s="6">
        <f>IF(OR($BJ86="",19&gt;設定!$B$3),"",IF(INDEX(原始資料!V$2:V$501,$BJ86)="","",INDEX(原始資料!V$2:V$501,$BJ86)))</f>
        <v/>
      </c>
      <c r="U86" s="6">
        <f>IF(OR($BJ86="",20&gt;設定!$B$3),"",IF(INDEX(原始資料!W$2:W$501,$BJ86)="","",INDEX(原始資料!W$2:W$501,$BJ86)))</f>
        <v/>
      </c>
      <c r="V86" s="6">
        <f>IF(OR($BJ86="",21&gt;設定!$B$3),"",IF(INDEX(原始資料!X$2:X$501,$BJ86)="","",INDEX(原始資料!X$2:X$501,$BJ86)))</f>
        <v/>
      </c>
      <c r="W86" s="6">
        <f>IF(OR($BJ86="",22&gt;設定!$B$3),"",IF(INDEX(原始資料!Y$2:Y$501,$BJ86)="","",INDEX(原始資料!Y$2:Y$501,$BJ86)))</f>
        <v/>
      </c>
      <c r="X86" s="6">
        <f>IF(OR($BJ86="",23&gt;設定!$B$3),"",IF(INDEX(原始資料!Z$2:Z$501,$BJ86)="","",INDEX(原始資料!Z$2:Z$501,$BJ86)))</f>
        <v/>
      </c>
      <c r="Y86" s="6">
        <f>IF(OR($BJ86="",24&gt;設定!$B$3),"",IF(INDEX(原始資料!AA$2:AA$501,$BJ86)="","",INDEX(原始資料!AA$2:AA$501,$BJ86)))</f>
        <v/>
      </c>
      <c r="Z86" s="6">
        <f>IF(OR($BJ86="",25&gt;設定!$B$3),"",IF(INDEX(原始資料!AB$2:AB$501,$BJ86)="","",INDEX(原始資料!AB$2:AB$501,$BJ86)))</f>
        <v/>
      </c>
      <c r="AA86" s="6">
        <f>IF(OR($BJ86="",26&gt;設定!$B$3),"",IF(INDEX(原始資料!AC$2:AC$501,$BJ86)="","",INDEX(原始資料!AC$2:AC$501,$BJ86)))</f>
        <v/>
      </c>
      <c r="AB86" s="6">
        <f>IF(OR($BJ86="",27&gt;設定!$B$3),"",IF(INDEX(原始資料!AD$2:AD$501,$BJ86)="","",INDEX(原始資料!AD$2:AD$501,$BJ86)))</f>
        <v/>
      </c>
      <c r="AC86" s="6">
        <f>IF(OR($BJ86="",28&gt;設定!$B$3),"",IF(INDEX(原始資料!AE$2:AE$501,$BJ86)="","",INDEX(原始資料!AE$2:AE$501,$BJ86)))</f>
        <v/>
      </c>
      <c r="AD86" s="6">
        <f>IF(OR($BJ86="",29&gt;設定!$B$3),"",IF(INDEX(原始資料!AF$2:AF$501,$BJ86)="","",INDEX(原始資料!AF$2:AF$501,$BJ86)))</f>
        <v/>
      </c>
      <c r="AE86" s="6">
        <f>IF(OR($BJ86="",30&gt;設定!$B$3),"",IF(INDEX(原始資料!AG$2:AG$501,$BJ86)="","",INDEX(原始資料!AG$2:AG$501,$BJ86)))</f>
        <v/>
      </c>
      <c r="AF86" s="6">
        <f>IF(OR($BJ86="",31&gt;設定!$B$3),"",IF(INDEX(原始資料!AH$2:AH$501,$BJ86)="","",INDEX(原始資料!AH$2:AH$501,$BJ86)))</f>
        <v/>
      </c>
      <c r="AG86" s="6">
        <f>IF(OR($BJ86="",32&gt;設定!$B$3),"",IF(INDEX(原始資料!AI$2:AI$501,$BJ86)="","",INDEX(原始資料!AI$2:AI$501,$BJ86)))</f>
        <v/>
      </c>
      <c r="AH86" s="6">
        <f>IF(OR($BJ86="",33&gt;設定!$B$3),"",IF(INDEX(原始資料!AJ$2:AJ$501,$BJ86)="","",INDEX(原始資料!AJ$2:AJ$501,$BJ86)))</f>
        <v/>
      </c>
      <c r="AI86" s="6">
        <f>IF(OR($BJ86="",34&gt;設定!$B$3),"",IF(INDEX(原始資料!AK$2:AK$501,$BJ86)="","",INDEX(原始資料!AK$2:AK$501,$BJ86)))</f>
        <v/>
      </c>
      <c r="AJ86" s="6">
        <f>IF(OR($BJ86="",35&gt;設定!$B$3),"",IF(INDEX(原始資料!AL$2:AL$501,$BJ86)="","",INDEX(原始資料!AL$2:AL$501,$BJ86)))</f>
        <v/>
      </c>
      <c r="AK86" s="6">
        <f>IF(OR($BJ86="",36&gt;設定!$B$3),"",IF(INDEX(原始資料!AM$2:AM$501,$BJ86)="","",INDEX(原始資料!AM$2:AM$501,$BJ86)))</f>
        <v/>
      </c>
      <c r="AL86" s="6">
        <f>IF(OR($BJ86="",37&gt;設定!$B$3),"",IF(INDEX(原始資料!AN$2:AN$501,$BJ86)="","",INDEX(原始資料!AN$2:AN$501,$BJ86)))</f>
        <v/>
      </c>
      <c r="AM86" s="6">
        <f>IF(OR($BJ86="",38&gt;設定!$B$3),"",IF(INDEX(原始資料!AO$2:AO$501,$BJ86)="","",INDEX(原始資料!AO$2:AO$501,$BJ86)))</f>
        <v/>
      </c>
      <c r="AN86" s="6">
        <f>IF(OR($BJ86="",39&gt;設定!$B$3),"",IF(INDEX(原始資料!AP$2:AP$501,$BJ86)="","",INDEX(原始資料!AP$2:AP$501,$BJ86)))</f>
        <v/>
      </c>
      <c r="AO86" s="6">
        <f>IF(OR($BJ86="",40&gt;設定!$B$3),"",IF(INDEX(原始資料!AQ$2:AQ$501,$BJ86)="","",INDEX(原始資料!AQ$2:AQ$501,$BJ86)))</f>
        <v/>
      </c>
      <c r="AP86" s="6">
        <f>IF(OR($BJ86="",41&gt;設定!$B$3),"",IF(INDEX(原始資料!AR$2:AR$501,$BJ86)="","",INDEX(原始資料!AR$2:AR$501,$BJ86)))</f>
        <v/>
      </c>
      <c r="AQ86" s="6">
        <f>IF(OR($BJ86="",42&gt;設定!$B$3),"",IF(INDEX(原始資料!AS$2:AS$501,$BJ86)="","",INDEX(原始資料!AS$2:AS$501,$BJ86)))</f>
        <v/>
      </c>
      <c r="AR86" s="6">
        <f>IF(OR($BJ86="",43&gt;設定!$B$3),"",IF(INDEX(原始資料!AT$2:AT$501,$BJ86)="","",INDEX(原始資料!AT$2:AT$501,$BJ86)))</f>
        <v/>
      </c>
      <c r="AS86" s="6">
        <f>IF(OR($BJ86="",44&gt;設定!$B$3),"",IF(INDEX(原始資料!AU$2:AU$501,$BJ86)="","",INDEX(原始資料!AU$2:AU$501,$BJ86)))</f>
        <v/>
      </c>
      <c r="AT86" s="6">
        <f>IF(OR($BJ86="",45&gt;設定!$B$3),"",IF(INDEX(原始資料!AV$2:AV$501,$BJ86)="","",INDEX(原始資料!AV$2:AV$501,$BJ86)))</f>
        <v/>
      </c>
      <c r="AU86" s="6">
        <f>IF(OR($BJ86="",46&gt;設定!$B$3),"",IF(INDEX(原始資料!AW$2:AW$501,$BJ86)="","",INDEX(原始資料!AW$2:AW$501,$BJ86)))</f>
        <v/>
      </c>
      <c r="AV86" s="6">
        <f>IF(OR($BJ86="",47&gt;設定!$B$3),"",IF(INDEX(原始資料!AX$2:AX$501,$BJ86)="","",INDEX(原始資料!AX$2:AX$501,$BJ86)))</f>
        <v/>
      </c>
      <c r="AW86" s="6">
        <f>IF(OR($BJ86="",48&gt;設定!$B$3),"",IF(INDEX(原始資料!AY$2:AY$501,$BJ86)="","",INDEX(原始資料!AY$2:AY$501,$BJ86)))</f>
        <v/>
      </c>
      <c r="AX86" s="6">
        <f>IF(OR($BJ86="",49&gt;設定!$B$3),"",IF(INDEX(原始資料!AZ$2:AZ$501,$BJ86)="","",INDEX(原始資料!AZ$2:AZ$501,$BJ86)))</f>
        <v/>
      </c>
      <c r="AY86" s="6">
        <f>IF(OR($BJ86="",50&gt;設定!$B$3),"",IF(INDEX(原始資料!BA$2:BA$501,$BJ86)="","",INDEX(原始資料!BA$2:BA$501,$BJ86)))</f>
        <v/>
      </c>
      <c r="AZ86" s="6">
        <f>IF(OR($BJ86="",51&gt;設定!$B$3),"",IF(INDEX(原始資料!BB$2:BB$501,$BJ86)="","",INDEX(原始資料!BB$2:BB$501,$BJ86)))</f>
        <v/>
      </c>
      <c r="BA86" s="6">
        <f>IF(OR($BJ86="",52&gt;設定!$B$3),"",IF(INDEX(原始資料!BC$2:BC$501,$BJ86)="","",INDEX(原始資料!BC$2:BC$501,$BJ86)))</f>
        <v/>
      </c>
      <c r="BB86" s="6">
        <f>IF(OR($BJ86="",53&gt;設定!$B$3),"",IF(INDEX(原始資料!BD$2:BD$501,$BJ86)="","",INDEX(原始資料!BD$2:BD$501,$BJ86)))</f>
        <v/>
      </c>
      <c r="BC86" s="6">
        <f>IF(OR($BJ86="",54&gt;設定!$B$3),"",IF(INDEX(原始資料!BE$2:BE$501,$BJ86)="","",INDEX(原始資料!BE$2:BE$501,$BJ86)))</f>
        <v/>
      </c>
      <c r="BD86" s="6">
        <f>IF(OR($BJ86="",55&gt;設定!$B$3),"",IF(INDEX(原始資料!BF$2:BF$501,$BJ86)="","",INDEX(原始資料!BF$2:BF$501,$BJ86)))</f>
        <v/>
      </c>
      <c r="BE86" s="6">
        <f>IF(OR($BJ86="",56&gt;設定!$B$3),"",IF(INDEX(原始資料!BG$2:BG$501,$BJ86)="","",INDEX(原始資料!BG$2:BG$501,$BJ86)))</f>
        <v/>
      </c>
      <c r="BF86" s="6">
        <f>IF(OR($BJ86="",57&gt;設定!$B$3),"",IF(INDEX(原始資料!BH$2:BH$501,$BJ86)="","",INDEX(原始資料!BH$2:BH$501,$BJ86)))</f>
        <v/>
      </c>
      <c r="BG86" s="6">
        <f>IF(OR($BJ86="",58&gt;設定!$B$3),"",IF(INDEX(原始資料!BI$2:BI$501,$BJ86)="","",INDEX(原始資料!BI$2:BI$501,$BJ86)))</f>
        <v/>
      </c>
      <c r="BH86" s="6">
        <f>IF(OR($BJ86="",59&gt;設定!$B$3),"",IF(INDEX(原始資料!BJ$2:BJ$501,$BJ86)="","",INDEX(原始資料!BJ$2:BJ$501,$BJ86)))</f>
        <v/>
      </c>
      <c r="BI86" s="6">
        <f>IF(OR($BJ86="",60&gt;設定!$B$3),"",IF(INDEX(原始資料!BK$2:BK$501,$BJ86)="","",INDEX(原始資料!BK$2:BK$501,$BJ86)))</f>
        <v/>
      </c>
      <c r="BJ86" s="6">
        <f>IFERROR(MATCH(ROW()-1,判定!$H$2:$H$501,0),"")</f>
        <v/>
      </c>
    </row>
    <row r="87">
      <c r="A87" s="6">
        <f>IF($BJ87="","",INDEX(原始資料!$A$2:$A$501,$BJ87))</f>
        <v/>
      </c>
      <c r="B87" s="6">
        <f>IF(OR($BJ87="",1&gt;設定!$B$3),"",IF(INDEX(原始資料!D$2:D$501,$BJ87)="","",INDEX(原始資料!D$2:D$501,$BJ87)))</f>
        <v/>
      </c>
      <c r="C87" s="6">
        <f>IF(OR($BJ87="",2&gt;設定!$B$3),"",IF(INDEX(原始資料!E$2:E$501,$BJ87)="","",INDEX(原始資料!E$2:E$501,$BJ87)))</f>
        <v/>
      </c>
      <c r="D87" s="6">
        <f>IF(OR($BJ87="",3&gt;設定!$B$3),"",IF(INDEX(原始資料!F$2:F$501,$BJ87)="","",INDEX(原始資料!F$2:F$501,$BJ87)))</f>
        <v/>
      </c>
      <c r="E87" s="6">
        <f>IF(OR($BJ87="",4&gt;設定!$B$3),"",IF(INDEX(原始資料!G$2:G$501,$BJ87)="","",INDEX(原始資料!G$2:G$501,$BJ87)))</f>
        <v/>
      </c>
      <c r="F87" s="6">
        <f>IF(OR($BJ87="",5&gt;設定!$B$3),"",IF(INDEX(原始資料!H$2:H$501,$BJ87)="","",INDEX(原始資料!H$2:H$501,$BJ87)))</f>
        <v/>
      </c>
      <c r="G87" s="6">
        <f>IF(OR($BJ87="",6&gt;設定!$B$3),"",IF(INDEX(原始資料!I$2:I$501,$BJ87)="","",INDEX(原始資料!I$2:I$501,$BJ87)))</f>
        <v/>
      </c>
      <c r="H87" s="6">
        <f>IF(OR($BJ87="",7&gt;設定!$B$3),"",IF(INDEX(原始資料!J$2:J$501,$BJ87)="","",INDEX(原始資料!J$2:J$501,$BJ87)))</f>
        <v/>
      </c>
      <c r="I87" s="6">
        <f>IF(OR($BJ87="",8&gt;設定!$B$3),"",IF(INDEX(原始資料!K$2:K$501,$BJ87)="","",INDEX(原始資料!K$2:K$501,$BJ87)))</f>
        <v/>
      </c>
      <c r="J87" s="6">
        <f>IF(OR($BJ87="",9&gt;設定!$B$3),"",IF(INDEX(原始資料!L$2:L$501,$BJ87)="","",INDEX(原始資料!L$2:L$501,$BJ87)))</f>
        <v/>
      </c>
      <c r="K87" s="6">
        <f>IF(OR($BJ87="",10&gt;設定!$B$3),"",IF(INDEX(原始資料!M$2:M$501,$BJ87)="","",INDEX(原始資料!M$2:M$501,$BJ87)))</f>
        <v/>
      </c>
      <c r="L87" s="6">
        <f>IF(OR($BJ87="",11&gt;設定!$B$3),"",IF(INDEX(原始資料!N$2:N$501,$BJ87)="","",INDEX(原始資料!N$2:N$501,$BJ87)))</f>
        <v/>
      </c>
      <c r="M87" s="6">
        <f>IF(OR($BJ87="",12&gt;設定!$B$3),"",IF(INDEX(原始資料!O$2:O$501,$BJ87)="","",INDEX(原始資料!O$2:O$501,$BJ87)))</f>
        <v/>
      </c>
      <c r="N87" s="6">
        <f>IF(OR($BJ87="",13&gt;設定!$B$3),"",IF(INDEX(原始資料!P$2:P$501,$BJ87)="","",INDEX(原始資料!P$2:P$501,$BJ87)))</f>
        <v/>
      </c>
      <c r="O87" s="6">
        <f>IF(OR($BJ87="",14&gt;設定!$B$3),"",IF(INDEX(原始資料!Q$2:Q$501,$BJ87)="","",INDEX(原始資料!Q$2:Q$501,$BJ87)))</f>
        <v/>
      </c>
      <c r="P87" s="6">
        <f>IF(OR($BJ87="",15&gt;設定!$B$3),"",IF(INDEX(原始資料!R$2:R$501,$BJ87)="","",INDEX(原始資料!R$2:R$501,$BJ87)))</f>
        <v/>
      </c>
      <c r="Q87" s="6">
        <f>IF(OR($BJ87="",16&gt;設定!$B$3),"",IF(INDEX(原始資料!S$2:S$501,$BJ87)="","",INDEX(原始資料!S$2:S$501,$BJ87)))</f>
        <v/>
      </c>
      <c r="R87" s="6">
        <f>IF(OR($BJ87="",17&gt;設定!$B$3),"",IF(INDEX(原始資料!T$2:T$501,$BJ87)="","",INDEX(原始資料!T$2:T$501,$BJ87)))</f>
        <v/>
      </c>
      <c r="S87" s="6">
        <f>IF(OR($BJ87="",18&gt;設定!$B$3),"",IF(INDEX(原始資料!U$2:U$501,$BJ87)="","",INDEX(原始資料!U$2:U$501,$BJ87)))</f>
        <v/>
      </c>
      <c r="T87" s="6">
        <f>IF(OR($BJ87="",19&gt;設定!$B$3),"",IF(INDEX(原始資料!V$2:V$501,$BJ87)="","",INDEX(原始資料!V$2:V$501,$BJ87)))</f>
        <v/>
      </c>
      <c r="U87" s="6">
        <f>IF(OR($BJ87="",20&gt;設定!$B$3),"",IF(INDEX(原始資料!W$2:W$501,$BJ87)="","",INDEX(原始資料!W$2:W$501,$BJ87)))</f>
        <v/>
      </c>
      <c r="V87" s="6">
        <f>IF(OR($BJ87="",21&gt;設定!$B$3),"",IF(INDEX(原始資料!X$2:X$501,$BJ87)="","",INDEX(原始資料!X$2:X$501,$BJ87)))</f>
        <v/>
      </c>
      <c r="W87" s="6">
        <f>IF(OR($BJ87="",22&gt;設定!$B$3),"",IF(INDEX(原始資料!Y$2:Y$501,$BJ87)="","",INDEX(原始資料!Y$2:Y$501,$BJ87)))</f>
        <v/>
      </c>
      <c r="X87" s="6">
        <f>IF(OR($BJ87="",23&gt;設定!$B$3),"",IF(INDEX(原始資料!Z$2:Z$501,$BJ87)="","",INDEX(原始資料!Z$2:Z$501,$BJ87)))</f>
        <v/>
      </c>
      <c r="Y87" s="6">
        <f>IF(OR($BJ87="",24&gt;設定!$B$3),"",IF(INDEX(原始資料!AA$2:AA$501,$BJ87)="","",INDEX(原始資料!AA$2:AA$501,$BJ87)))</f>
        <v/>
      </c>
      <c r="Z87" s="6">
        <f>IF(OR($BJ87="",25&gt;設定!$B$3),"",IF(INDEX(原始資料!AB$2:AB$501,$BJ87)="","",INDEX(原始資料!AB$2:AB$501,$BJ87)))</f>
        <v/>
      </c>
      <c r="AA87" s="6">
        <f>IF(OR($BJ87="",26&gt;設定!$B$3),"",IF(INDEX(原始資料!AC$2:AC$501,$BJ87)="","",INDEX(原始資料!AC$2:AC$501,$BJ87)))</f>
        <v/>
      </c>
      <c r="AB87" s="6">
        <f>IF(OR($BJ87="",27&gt;設定!$B$3),"",IF(INDEX(原始資料!AD$2:AD$501,$BJ87)="","",INDEX(原始資料!AD$2:AD$501,$BJ87)))</f>
        <v/>
      </c>
      <c r="AC87" s="6">
        <f>IF(OR($BJ87="",28&gt;設定!$B$3),"",IF(INDEX(原始資料!AE$2:AE$501,$BJ87)="","",INDEX(原始資料!AE$2:AE$501,$BJ87)))</f>
        <v/>
      </c>
      <c r="AD87" s="6">
        <f>IF(OR($BJ87="",29&gt;設定!$B$3),"",IF(INDEX(原始資料!AF$2:AF$501,$BJ87)="","",INDEX(原始資料!AF$2:AF$501,$BJ87)))</f>
        <v/>
      </c>
      <c r="AE87" s="6">
        <f>IF(OR($BJ87="",30&gt;設定!$B$3),"",IF(INDEX(原始資料!AG$2:AG$501,$BJ87)="","",INDEX(原始資料!AG$2:AG$501,$BJ87)))</f>
        <v/>
      </c>
      <c r="AF87" s="6">
        <f>IF(OR($BJ87="",31&gt;設定!$B$3),"",IF(INDEX(原始資料!AH$2:AH$501,$BJ87)="","",INDEX(原始資料!AH$2:AH$501,$BJ87)))</f>
        <v/>
      </c>
      <c r="AG87" s="6">
        <f>IF(OR($BJ87="",32&gt;設定!$B$3),"",IF(INDEX(原始資料!AI$2:AI$501,$BJ87)="","",INDEX(原始資料!AI$2:AI$501,$BJ87)))</f>
        <v/>
      </c>
      <c r="AH87" s="6">
        <f>IF(OR($BJ87="",33&gt;設定!$B$3),"",IF(INDEX(原始資料!AJ$2:AJ$501,$BJ87)="","",INDEX(原始資料!AJ$2:AJ$501,$BJ87)))</f>
        <v/>
      </c>
      <c r="AI87" s="6">
        <f>IF(OR($BJ87="",34&gt;設定!$B$3),"",IF(INDEX(原始資料!AK$2:AK$501,$BJ87)="","",INDEX(原始資料!AK$2:AK$501,$BJ87)))</f>
        <v/>
      </c>
      <c r="AJ87" s="6">
        <f>IF(OR($BJ87="",35&gt;設定!$B$3),"",IF(INDEX(原始資料!AL$2:AL$501,$BJ87)="","",INDEX(原始資料!AL$2:AL$501,$BJ87)))</f>
        <v/>
      </c>
      <c r="AK87" s="6">
        <f>IF(OR($BJ87="",36&gt;設定!$B$3),"",IF(INDEX(原始資料!AM$2:AM$501,$BJ87)="","",INDEX(原始資料!AM$2:AM$501,$BJ87)))</f>
        <v/>
      </c>
      <c r="AL87" s="6">
        <f>IF(OR($BJ87="",37&gt;設定!$B$3),"",IF(INDEX(原始資料!AN$2:AN$501,$BJ87)="","",INDEX(原始資料!AN$2:AN$501,$BJ87)))</f>
        <v/>
      </c>
      <c r="AM87" s="6">
        <f>IF(OR($BJ87="",38&gt;設定!$B$3),"",IF(INDEX(原始資料!AO$2:AO$501,$BJ87)="","",INDEX(原始資料!AO$2:AO$501,$BJ87)))</f>
        <v/>
      </c>
      <c r="AN87" s="6">
        <f>IF(OR($BJ87="",39&gt;設定!$B$3),"",IF(INDEX(原始資料!AP$2:AP$501,$BJ87)="","",INDEX(原始資料!AP$2:AP$501,$BJ87)))</f>
        <v/>
      </c>
      <c r="AO87" s="6">
        <f>IF(OR($BJ87="",40&gt;設定!$B$3),"",IF(INDEX(原始資料!AQ$2:AQ$501,$BJ87)="","",INDEX(原始資料!AQ$2:AQ$501,$BJ87)))</f>
        <v/>
      </c>
      <c r="AP87" s="6">
        <f>IF(OR($BJ87="",41&gt;設定!$B$3),"",IF(INDEX(原始資料!AR$2:AR$501,$BJ87)="","",INDEX(原始資料!AR$2:AR$501,$BJ87)))</f>
        <v/>
      </c>
      <c r="AQ87" s="6">
        <f>IF(OR($BJ87="",42&gt;設定!$B$3),"",IF(INDEX(原始資料!AS$2:AS$501,$BJ87)="","",INDEX(原始資料!AS$2:AS$501,$BJ87)))</f>
        <v/>
      </c>
      <c r="AR87" s="6">
        <f>IF(OR($BJ87="",43&gt;設定!$B$3),"",IF(INDEX(原始資料!AT$2:AT$501,$BJ87)="","",INDEX(原始資料!AT$2:AT$501,$BJ87)))</f>
        <v/>
      </c>
      <c r="AS87" s="6">
        <f>IF(OR($BJ87="",44&gt;設定!$B$3),"",IF(INDEX(原始資料!AU$2:AU$501,$BJ87)="","",INDEX(原始資料!AU$2:AU$501,$BJ87)))</f>
        <v/>
      </c>
      <c r="AT87" s="6">
        <f>IF(OR($BJ87="",45&gt;設定!$B$3),"",IF(INDEX(原始資料!AV$2:AV$501,$BJ87)="","",INDEX(原始資料!AV$2:AV$501,$BJ87)))</f>
        <v/>
      </c>
      <c r="AU87" s="6">
        <f>IF(OR($BJ87="",46&gt;設定!$B$3),"",IF(INDEX(原始資料!AW$2:AW$501,$BJ87)="","",INDEX(原始資料!AW$2:AW$501,$BJ87)))</f>
        <v/>
      </c>
      <c r="AV87" s="6">
        <f>IF(OR($BJ87="",47&gt;設定!$B$3),"",IF(INDEX(原始資料!AX$2:AX$501,$BJ87)="","",INDEX(原始資料!AX$2:AX$501,$BJ87)))</f>
        <v/>
      </c>
      <c r="AW87" s="6">
        <f>IF(OR($BJ87="",48&gt;設定!$B$3),"",IF(INDEX(原始資料!AY$2:AY$501,$BJ87)="","",INDEX(原始資料!AY$2:AY$501,$BJ87)))</f>
        <v/>
      </c>
      <c r="AX87" s="6">
        <f>IF(OR($BJ87="",49&gt;設定!$B$3),"",IF(INDEX(原始資料!AZ$2:AZ$501,$BJ87)="","",INDEX(原始資料!AZ$2:AZ$501,$BJ87)))</f>
        <v/>
      </c>
      <c r="AY87" s="6">
        <f>IF(OR($BJ87="",50&gt;設定!$B$3),"",IF(INDEX(原始資料!BA$2:BA$501,$BJ87)="","",INDEX(原始資料!BA$2:BA$501,$BJ87)))</f>
        <v/>
      </c>
      <c r="AZ87" s="6">
        <f>IF(OR($BJ87="",51&gt;設定!$B$3),"",IF(INDEX(原始資料!BB$2:BB$501,$BJ87)="","",INDEX(原始資料!BB$2:BB$501,$BJ87)))</f>
        <v/>
      </c>
      <c r="BA87" s="6">
        <f>IF(OR($BJ87="",52&gt;設定!$B$3),"",IF(INDEX(原始資料!BC$2:BC$501,$BJ87)="","",INDEX(原始資料!BC$2:BC$501,$BJ87)))</f>
        <v/>
      </c>
      <c r="BB87" s="6">
        <f>IF(OR($BJ87="",53&gt;設定!$B$3),"",IF(INDEX(原始資料!BD$2:BD$501,$BJ87)="","",INDEX(原始資料!BD$2:BD$501,$BJ87)))</f>
        <v/>
      </c>
      <c r="BC87" s="6">
        <f>IF(OR($BJ87="",54&gt;設定!$B$3),"",IF(INDEX(原始資料!BE$2:BE$501,$BJ87)="","",INDEX(原始資料!BE$2:BE$501,$BJ87)))</f>
        <v/>
      </c>
      <c r="BD87" s="6">
        <f>IF(OR($BJ87="",55&gt;設定!$B$3),"",IF(INDEX(原始資料!BF$2:BF$501,$BJ87)="","",INDEX(原始資料!BF$2:BF$501,$BJ87)))</f>
        <v/>
      </c>
      <c r="BE87" s="6">
        <f>IF(OR($BJ87="",56&gt;設定!$B$3),"",IF(INDEX(原始資料!BG$2:BG$501,$BJ87)="","",INDEX(原始資料!BG$2:BG$501,$BJ87)))</f>
        <v/>
      </c>
      <c r="BF87" s="6">
        <f>IF(OR($BJ87="",57&gt;設定!$B$3),"",IF(INDEX(原始資料!BH$2:BH$501,$BJ87)="","",INDEX(原始資料!BH$2:BH$501,$BJ87)))</f>
        <v/>
      </c>
      <c r="BG87" s="6">
        <f>IF(OR($BJ87="",58&gt;設定!$B$3),"",IF(INDEX(原始資料!BI$2:BI$501,$BJ87)="","",INDEX(原始資料!BI$2:BI$501,$BJ87)))</f>
        <v/>
      </c>
      <c r="BH87" s="6">
        <f>IF(OR($BJ87="",59&gt;設定!$B$3),"",IF(INDEX(原始資料!BJ$2:BJ$501,$BJ87)="","",INDEX(原始資料!BJ$2:BJ$501,$BJ87)))</f>
        <v/>
      </c>
      <c r="BI87" s="6">
        <f>IF(OR($BJ87="",60&gt;設定!$B$3),"",IF(INDEX(原始資料!BK$2:BK$501,$BJ87)="","",INDEX(原始資料!BK$2:BK$501,$BJ87)))</f>
        <v/>
      </c>
      <c r="BJ87" s="6">
        <f>IFERROR(MATCH(ROW()-1,判定!$H$2:$H$501,0),"")</f>
        <v/>
      </c>
    </row>
    <row r="88">
      <c r="A88" s="6">
        <f>IF($BJ88="","",INDEX(原始資料!$A$2:$A$501,$BJ88))</f>
        <v/>
      </c>
      <c r="B88" s="6">
        <f>IF(OR($BJ88="",1&gt;設定!$B$3),"",IF(INDEX(原始資料!D$2:D$501,$BJ88)="","",INDEX(原始資料!D$2:D$501,$BJ88)))</f>
        <v/>
      </c>
      <c r="C88" s="6">
        <f>IF(OR($BJ88="",2&gt;設定!$B$3),"",IF(INDEX(原始資料!E$2:E$501,$BJ88)="","",INDEX(原始資料!E$2:E$501,$BJ88)))</f>
        <v/>
      </c>
      <c r="D88" s="6">
        <f>IF(OR($BJ88="",3&gt;設定!$B$3),"",IF(INDEX(原始資料!F$2:F$501,$BJ88)="","",INDEX(原始資料!F$2:F$501,$BJ88)))</f>
        <v/>
      </c>
      <c r="E88" s="6">
        <f>IF(OR($BJ88="",4&gt;設定!$B$3),"",IF(INDEX(原始資料!G$2:G$501,$BJ88)="","",INDEX(原始資料!G$2:G$501,$BJ88)))</f>
        <v/>
      </c>
      <c r="F88" s="6">
        <f>IF(OR($BJ88="",5&gt;設定!$B$3),"",IF(INDEX(原始資料!H$2:H$501,$BJ88)="","",INDEX(原始資料!H$2:H$501,$BJ88)))</f>
        <v/>
      </c>
      <c r="G88" s="6">
        <f>IF(OR($BJ88="",6&gt;設定!$B$3),"",IF(INDEX(原始資料!I$2:I$501,$BJ88)="","",INDEX(原始資料!I$2:I$501,$BJ88)))</f>
        <v/>
      </c>
      <c r="H88" s="6">
        <f>IF(OR($BJ88="",7&gt;設定!$B$3),"",IF(INDEX(原始資料!J$2:J$501,$BJ88)="","",INDEX(原始資料!J$2:J$501,$BJ88)))</f>
        <v/>
      </c>
      <c r="I88" s="6">
        <f>IF(OR($BJ88="",8&gt;設定!$B$3),"",IF(INDEX(原始資料!K$2:K$501,$BJ88)="","",INDEX(原始資料!K$2:K$501,$BJ88)))</f>
        <v/>
      </c>
      <c r="J88" s="6">
        <f>IF(OR($BJ88="",9&gt;設定!$B$3),"",IF(INDEX(原始資料!L$2:L$501,$BJ88)="","",INDEX(原始資料!L$2:L$501,$BJ88)))</f>
        <v/>
      </c>
      <c r="K88" s="6">
        <f>IF(OR($BJ88="",10&gt;設定!$B$3),"",IF(INDEX(原始資料!M$2:M$501,$BJ88)="","",INDEX(原始資料!M$2:M$501,$BJ88)))</f>
        <v/>
      </c>
      <c r="L88" s="6">
        <f>IF(OR($BJ88="",11&gt;設定!$B$3),"",IF(INDEX(原始資料!N$2:N$501,$BJ88)="","",INDEX(原始資料!N$2:N$501,$BJ88)))</f>
        <v/>
      </c>
      <c r="M88" s="6">
        <f>IF(OR($BJ88="",12&gt;設定!$B$3),"",IF(INDEX(原始資料!O$2:O$501,$BJ88)="","",INDEX(原始資料!O$2:O$501,$BJ88)))</f>
        <v/>
      </c>
      <c r="N88" s="6">
        <f>IF(OR($BJ88="",13&gt;設定!$B$3),"",IF(INDEX(原始資料!P$2:P$501,$BJ88)="","",INDEX(原始資料!P$2:P$501,$BJ88)))</f>
        <v/>
      </c>
      <c r="O88" s="6">
        <f>IF(OR($BJ88="",14&gt;設定!$B$3),"",IF(INDEX(原始資料!Q$2:Q$501,$BJ88)="","",INDEX(原始資料!Q$2:Q$501,$BJ88)))</f>
        <v/>
      </c>
      <c r="P88" s="6">
        <f>IF(OR($BJ88="",15&gt;設定!$B$3),"",IF(INDEX(原始資料!R$2:R$501,$BJ88)="","",INDEX(原始資料!R$2:R$501,$BJ88)))</f>
        <v/>
      </c>
      <c r="Q88" s="6">
        <f>IF(OR($BJ88="",16&gt;設定!$B$3),"",IF(INDEX(原始資料!S$2:S$501,$BJ88)="","",INDEX(原始資料!S$2:S$501,$BJ88)))</f>
        <v/>
      </c>
      <c r="R88" s="6">
        <f>IF(OR($BJ88="",17&gt;設定!$B$3),"",IF(INDEX(原始資料!T$2:T$501,$BJ88)="","",INDEX(原始資料!T$2:T$501,$BJ88)))</f>
        <v/>
      </c>
      <c r="S88" s="6">
        <f>IF(OR($BJ88="",18&gt;設定!$B$3),"",IF(INDEX(原始資料!U$2:U$501,$BJ88)="","",INDEX(原始資料!U$2:U$501,$BJ88)))</f>
        <v/>
      </c>
      <c r="T88" s="6">
        <f>IF(OR($BJ88="",19&gt;設定!$B$3),"",IF(INDEX(原始資料!V$2:V$501,$BJ88)="","",INDEX(原始資料!V$2:V$501,$BJ88)))</f>
        <v/>
      </c>
      <c r="U88" s="6">
        <f>IF(OR($BJ88="",20&gt;設定!$B$3),"",IF(INDEX(原始資料!W$2:W$501,$BJ88)="","",INDEX(原始資料!W$2:W$501,$BJ88)))</f>
        <v/>
      </c>
      <c r="V88" s="6">
        <f>IF(OR($BJ88="",21&gt;設定!$B$3),"",IF(INDEX(原始資料!X$2:X$501,$BJ88)="","",INDEX(原始資料!X$2:X$501,$BJ88)))</f>
        <v/>
      </c>
      <c r="W88" s="6">
        <f>IF(OR($BJ88="",22&gt;設定!$B$3),"",IF(INDEX(原始資料!Y$2:Y$501,$BJ88)="","",INDEX(原始資料!Y$2:Y$501,$BJ88)))</f>
        <v/>
      </c>
      <c r="X88" s="6">
        <f>IF(OR($BJ88="",23&gt;設定!$B$3),"",IF(INDEX(原始資料!Z$2:Z$501,$BJ88)="","",INDEX(原始資料!Z$2:Z$501,$BJ88)))</f>
        <v/>
      </c>
      <c r="Y88" s="6">
        <f>IF(OR($BJ88="",24&gt;設定!$B$3),"",IF(INDEX(原始資料!AA$2:AA$501,$BJ88)="","",INDEX(原始資料!AA$2:AA$501,$BJ88)))</f>
        <v/>
      </c>
      <c r="Z88" s="6">
        <f>IF(OR($BJ88="",25&gt;設定!$B$3),"",IF(INDEX(原始資料!AB$2:AB$501,$BJ88)="","",INDEX(原始資料!AB$2:AB$501,$BJ88)))</f>
        <v/>
      </c>
      <c r="AA88" s="6">
        <f>IF(OR($BJ88="",26&gt;設定!$B$3),"",IF(INDEX(原始資料!AC$2:AC$501,$BJ88)="","",INDEX(原始資料!AC$2:AC$501,$BJ88)))</f>
        <v/>
      </c>
      <c r="AB88" s="6">
        <f>IF(OR($BJ88="",27&gt;設定!$B$3),"",IF(INDEX(原始資料!AD$2:AD$501,$BJ88)="","",INDEX(原始資料!AD$2:AD$501,$BJ88)))</f>
        <v/>
      </c>
      <c r="AC88" s="6">
        <f>IF(OR($BJ88="",28&gt;設定!$B$3),"",IF(INDEX(原始資料!AE$2:AE$501,$BJ88)="","",INDEX(原始資料!AE$2:AE$501,$BJ88)))</f>
        <v/>
      </c>
      <c r="AD88" s="6">
        <f>IF(OR($BJ88="",29&gt;設定!$B$3),"",IF(INDEX(原始資料!AF$2:AF$501,$BJ88)="","",INDEX(原始資料!AF$2:AF$501,$BJ88)))</f>
        <v/>
      </c>
      <c r="AE88" s="6">
        <f>IF(OR($BJ88="",30&gt;設定!$B$3),"",IF(INDEX(原始資料!AG$2:AG$501,$BJ88)="","",INDEX(原始資料!AG$2:AG$501,$BJ88)))</f>
        <v/>
      </c>
      <c r="AF88" s="6">
        <f>IF(OR($BJ88="",31&gt;設定!$B$3),"",IF(INDEX(原始資料!AH$2:AH$501,$BJ88)="","",INDEX(原始資料!AH$2:AH$501,$BJ88)))</f>
        <v/>
      </c>
      <c r="AG88" s="6">
        <f>IF(OR($BJ88="",32&gt;設定!$B$3),"",IF(INDEX(原始資料!AI$2:AI$501,$BJ88)="","",INDEX(原始資料!AI$2:AI$501,$BJ88)))</f>
        <v/>
      </c>
      <c r="AH88" s="6">
        <f>IF(OR($BJ88="",33&gt;設定!$B$3),"",IF(INDEX(原始資料!AJ$2:AJ$501,$BJ88)="","",INDEX(原始資料!AJ$2:AJ$501,$BJ88)))</f>
        <v/>
      </c>
      <c r="AI88" s="6">
        <f>IF(OR($BJ88="",34&gt;設定!$B$3),"",IF(INDEX(原始資料!AK$2:AK$501,$BJ88)="","",INDEX(原始資料!AK$2:AK$501,$BJ88)))</f>
        <v/>
      </c>
      <c r="AJ88" s="6">
        <f>IF(OR($BJ88="",35&gt;設定!$B$3),"",IF(INDEX(原始資料!AL$2:AL$501,$BJ88)="","",INDEX(原始資料!AL$2:AL$501,$BJ88)))</f>
        <v/>
      </c>
      <c r="AK88" s="6">
        <f>IF(OR($BJ88="",36&gt;設定!$B$3),"",IF(INDEX(原始資料!AM$2:AM$501,$BJ88)="","",INDEX(原始資料!AM$2:AM$501,$BJ88)))</f>
        <v/>
      </c>
      <c r="AL88" s="6">
        <f>IF(OR($BJ88="",37&gt;設定!$B$3),"",IF(INDEX(原始資料!AN$2:AN$501,$BJ88)="","",INDEX(原始資料!AN$2:AN$501,$BJ88)))</f>
        <v/>
      </c>
      <c r="AM88" s="6">
        <f>IF(OR($BJ88="",38&gt;設定!$B$3),"",IF(INDEX(原始資料!AO$2:AO$501,$BJ88)="","",INDEX(原始資料!AO$2:AO$501,$BJ88)))</f>
        <v/>
      </c>
      <c r="AN88" s="6">
        <f>IF(OR($BJ88="",39&gt;設定!$B$3),"",IF(INDEX(原始資料!AP$2:AP$501,$BJ88)="","",INDEX(原始資料!AP$2:AP$501,$BJ88)))</f>
        <v/>
      </c>
      <c r="AO88" s="6">
        <f>IF(OR($BJ88="",40&gt;設定!$B$3),"",IF(INDEX(原始資料!AQ$2:AQ$501,$BJ88)="","",INDEX(原始資料!AQ$2:AQ$501,$BJ88)))</f>
        <v/>
      </c>
      <c r="AP88" s="6">
        <f>IF(OR($BJ88="",41&gt;設定!$B$3),"",IF(INDEX(原始資料!AR$2:AR$501,$BJ88)="","",INDEX(原始資料!AR$2:AR$501,$BJ88)))</f>
        <v/>
      </c>
      <c r="AQ88" s="6">
        <f>IF(OR($BJ88="",42&gt;設定!$B$3),"",IF(INDEX(原始資料!AS$2:AS$501,$BJ88)="","",INDEX(原始資料!AS$2:AS$501,$BJ88)))</f>
        <v/>
      </c>
      <c r="AR88" s="6">
        <f>IF(OR($BJ88="",43&gt;設定!$B$3),"",IF(INDEX(原始資料!AT$2:AT$501,$BJ88)="","",INDEX(原始資料!AT$2:AT$501,$BJ88)))</f>
        <v/>
      </c>
      <c r="AS88" s="6">
        <f>IF(OR($BJ88="",44&gt;設定!$B$3),"",IF(INDEX(原始資料!AU$2:AU$501,$BJ88)="","",INDEX(原始資料!AU$2:AU$501,$BJ88)))</f>
        <v/>
      </c>
      <c r="AT88" s="6">
        <f>IF(OR($BJ88="",45&gt;設定!$B$3),"",IF(INDEX(原始資料!AV$2:AV$501,$BJ88)="","",INDEX(原始資料!AV$2:AV$501,$BJ88)))</f>
        <v/>
      </c>
      <c r="AU88" s="6">
        <f>IF(OR($BJ88="",46&gt;設定!$B$3),"",IF(INDEX(原始資料!AW$2:AW$501,$BJ88)="","",INDEX(原始資料!AW$2:AW$501,$BJ88)))</f>
        <v/>
      </c>
      <c r="AV88" s="6">
        <f>IF(OR($BJ88="",47&gt;設定!$B$3),"",IF(INDEX(原始資料!AX$2:AX$501,$BJ88)="","",INDEX(原始資料!AX$2:AX$501,$BJ88)))</f>
        <v/>
      </c>
      <c r="AW88" s="6">
        <f>IF(OR($BJ88="",48&gt;設定!$B$3),"",IF(INDEX(原始資料!AY$2:AY$501,$BJ88)="","",INDEX(原始資料!AY$2:AY$501,$BJ88)))</f>
        <v/>
      </c>
      <c r="AX88" s="6">
        <f>IF(OR($BJ88="",49&gt;設定!$B$3),"",IF(INDEX(原始資料!AZ$2:AZ$501,$BJ88)="","",INDEX(原始資料!AZ$2:AZ$501,$BJ88)))</f>
        <v/>
      </c>
      <c r="AY88" s="6">
        <f>IF(OR($BJ88="",50&gt;設定!$B$3),"",IF(INDEX(原始資料!BA$2:BA$501,$BJ88)="","",INDEX(原始資料!BA$2:BA$501,$BJ88)))</f>
        <v/>
      </c>
      <c r="AZ88" s="6">
        <f>IF(OR($BJ88="",51&gt;設定!$B$3),"",IF(INDEX(原始資料!BB$2:BB$501,$BJ88)="","",INDEX(原始資料!BB$2:BB$501,$BJ88)))</f>
        <v/>
      </c>
      <c r="BA88" s="6">
        <f>IF(OR($BJ88="",52&gt;設定!$B$3),"",IF(INDEX(原始資料!BC$2:BC$501,$BJ88)="","",INDEX(原始資料!BC$2:BC$501,$BJ88)))</f>
        <v/>
      </c>
      <c r="BB88" s="6">
        <f>IF(OR($BJ88="",53&gt;設定!$B$3),"",IF(INDEX(原始資料!BD$2:BD$501,$BJ88)="","",INDEX(原始資料!BD$2:BD$501,$BJ88)))</f>
        <v/>
      </c>
      <c r="BC88" s="6">
        <f>IF(OR($BJ88="",54&gt;設定!$B$3),"",IF(INDEX(原始資料!BE$2:BE$501,$BJ88)="","",INDEX(原始資料!BE$2:BE$501,$BJ88)))</f>
        <v/>
      </c>
      <c r="BD88" s="6">
        <f>IF(OR($BJ88="",55&gt;設定!$B$3),"",IF(INDEX(原始資料!BF$2:BF$501,$BJ88)="","",INDEX(原始資料!BF$2:BF$501,$BJ88)))</f>
        <v/>
      </c>
      <c r="BE88" s="6">
        <f>IF(OR($BJ88="",56&gt;設定!$B$3),"",IF(INDEX(原始資料!BG$2:BG$501,$BJ88)="","",INDEX(原始資料!BG$2:BG$501,$BJ88)))</f>
        <v/>
      </c>
      <c r="BF88" s="6">
        <f>IF(OR($BJ88="",57&gt;設定!$B$3),"",IF(INDEX(原始資料!BH$2:BH$501,$BJ88)="","",INDEX(原始資料!BH$2:BH$501,$BJ88)))</f>
        <v/>
      </c>
      <c r="BG88" s="6">
        <f>IF(OR($BJ88="",58&gt;設定!$B$3),"",IF(INDEX(原始資料!BI$2:BI$501,$BJ88)="","",INDEX(原始資料!BI$2:BI$501,$BJ88)))</f>
        <v/>
      </c>
      <c r="BH88" s="6">
        <f>IF(OR($BJ88="",59&gt;設定!$B$3),"",IF(INDEX(原始資料!BJ$2:BJ$501,$BJ88)="","",INDEX(原始資料!BJ$2:BJ$501,$BJ88)))</f>
        <v/>
      </c>
      <c r="BI88" s="6">
        <f>IF(OR($BJ88="",60&gt;設定!$B$3),"",IF(INDEX(原始資料!BK$2:BK$501,$BJ88)="","",INDEX(原始資料!BK$2:BK$501,$BJ88)))</f>
        <v/>
      </c>
      <c r="BJ88" s="6">
        <f>IFERROR(MATCH(ROW()-1,判定!$H$2:$H$501,0),"")</f>
        <v/>
      </c>
    </row>
    <row r="89">
      <c r="A89" s="6">
        <f>IF($BJ89="","",INDEX(原始資料!$A$2:$A$501,$BJ89))</f>
        <v/>
      </c>
      <c r="B89" s="6">
        <f>IF(OR($BJ89="",1&gt;設定!$B$3),"",IF(INDEX(原始資料!D$2:D$501,$BJ89)="","",INDEX(原始資料!D$2:D$501,$BJ89)))</f>
        <v/>
      </c>
      <c r="C89" s="6">
        <f>IF(OR($BJ89="",2&gt;設定!$B$3),"",IF(INDEX(原始資料!E$2:E$501,$BJ89)="","",INDEX(原始資料!E$2:E$501,$BJ89)))</f>
        <v/>
      </c>
      <c r="D89" s="6">
        <f>IF(OR($BJ89="",3&gt;設定!$B$3),"",IF(INDEX(原始資料!F$2:F$501,$BJ89)="","",INDEX(原始資料!F$2:F$501,$BJ89)))</f>
        <v/>
      </c>
      <c r="E89" s="6">
        <f>IF(OR($BJ89="",4&gt;設定!$B$3),"",IF(INDEX(原始資料!G$2:G$501,$BJ89)="","",INDEX(原始資料!G$2:G$501,$BJ89)))</f>
        <v/>
      </c>
      <c r="F89" s="6">
        <f>IF(OR($BJ89="",5&gt;設定!$B$3),"",IF(INDEX(原始資料!H$2:H$501,$BJ89)="","",INDEX(原始資料!H$2:H$501,$BJ89)))</f>
        <v/>
      </c>
      <c r="G89" s="6">
        <f>IF(OR($BJ89="",6&gt;設定!$B$3),"",IF(INDEX(原始資料!I$2:I$501,$BJ89)="","",INDEX(原始資料!I$2:I$501,$BJ89)))</f>
        <v/>
      </c>
      <c r="H89" s="6">
        <f>IF(OR($BJ89="",7&gt;設定!$B$3),"",IF(INDEX(原始資料!J$2:J$501,$BJ89)="","",INDEX(原始資料!J$2:J$501,$BJ89)))</f>
        <v/>
      </c>
      <c r="I89" s="6">
        <f>IF(OR($BJ89="",8&gt;設定!$B$3),"",IF(INDEX(原始資料!K$2:K$501,$BJ89)="","",INDEX(原始資料!K$2:K$501,$BJ89)))</f>
        <v/>
      </c>
      <c r="J89" s="6">
        <f>IF(OR($BJ89="",9&gt;設定!$B$3),"",IF(INDEX(原始資料!L$2:L$501,$BJ89)="","",INDEX(原始資料!L$2:L$501,$BJ89)))</f>
        <v/>
      </c>
      <c r="K89" s="6">
        <f>IF(OR($BJ89="",10&gt;設定!$B$3),"",IF(INDEX(原始資料!M$2:M$501,$BJ89)="","",INDEX(原始資料!M$2:M$501,$BJ89)))</f>
        <v/>
      </c>
      <c r="L89" s="6">
        <f>IF(OR($BJ89="",11&gt;設定!$B$3),"",IF(INDEX(原始資料!N$2:N$501,$BJ89)="","",INDEX(原始資料!N$2:N$501,$BJ89)))</f>
        <v/>
      </c>
      <c r="M89" s="6">
        <f>IF(OR($BJ89="",12&gt;設定!$B$3),"",IF(INDEX(原始資料!O$2:O$501,$BJ89)="","",INDEX(原始資料!O$2:O$501,$BJ89)))</f>
        <v/>
      </c>
      <c r="N89" s="6">
        <f>IF(OR($BJ89="",13&gt;設定!$B$3),"",IF(INDEX(原始資料!P$2:P$501,$BJ89)="","",INDEX(原始資料!P$2:P$501,$BJ89)))</f>
        <v/>
      </c>
      <c r="O89" s="6">
        <f>IF(OR($BJ89="",14&gt;設定!$B$3),"",IF(INDEX(原始資料!Q$2:Q$501,$BJ89)="","",INDEX(原始資料!Q$2:Q$501,$BJ89)))</f>
        <v/>
      </c>
      <c r="P89" s="6">
        <f>IF(OR($BJ89="",15&gt;設定!$B$3),"",IF(INDEX(原始資料!R$2:R$501,$BJ89)="","",INDEX(原始資料!R$2:R$501,$BJ89)))</f>
        <v/>
      </c>
      <c r="Q89" s="6">
        <f>IF(OR($BJ89="",16&gt;設定!$B$3),"",IF(INDEX(原始資料!S$2:S$501,$BJ89)="","",INDEX(原始資料!S$2:S$501,$BJ89)))</f>
        <v/>
      </c>
      <c r="R89" s="6">
        <f>IF(OR($BJ89="",17&gt;設定!$B$3),"",IF(INDEX(原始資料!T$2:T$501,$BJ89)="","",INDEX(原始資料!T$2:T$501,$BJ89)))</f>
        <v/>
      </c>
      <c r="S89" s="6">
        <f>IF(OR($BJ89="",18&gt;設定!$B$3),"",IF(INDEX(原始資料!U$2:U$501,$BJ89)="","",INDEX(原始資料!U$2:U$501,$BJ89)))</f>
        <v/>
      </c>
      <c r="T89" s="6">
        <f>IF(OR($BJ89="",19&gt;設定!$B$3),"",IF(INDEX(原始資料!V$2:V$501,$BJ89)="","",INDEX(原始資料!V$2:V$501,$BJ89)))</f>
        <v/>
      </c>
      <c r="U89" s="6">
        <f>IF(OR($BJ89="",20&gt;設定!$B$3),"",IF(INDEX(原始資料!W$2:W$501,$BJ89)="","",INDEX(原始資料!W$2:W$501,$BJ89)))</f>
        <v/>
      </c>
      <c r="V89" s="6">
        <f>IF(OR($BJ89="",21&gt;設定!$B$3),"",IF(INDEX(原始資料!X$2:X$501,$BJ89)="","",INDEX(原始資料!X$2:X$501,$BJ89)))</f>
        <v/>
      </c>
      <c r="W89" s="6">
        <f>IF(OR($BJ89="",22&gt;設定!$B$3),"",IF(INDEX(原始資料!Y$2:Y$501,$BJ89)="","",INDEX(原始資料!Y$2:Y$501,$BJ89)))</f>
        <v/>
      </c>
      <c r="X89" s="6">
        <f>IF(OR($BJ89="",23&gt;設定!$B$3),"",IF(INDEX(原始資料!Z$2:Z$501,$BJ89)="","",INDEX(原始資料!Z$2:Z$501,$BJ89)))</f>
        <v/>
      </c>
      <c r="Y89" s="6">
        <f>IF(OR($BJ89="",24&gt;設定!$B$3),"",IF(INDEX(原始資料!AA$2:AA$501,$BJ89)="","",INDEX(原始資料!AA$2:AA$501,$BJ89)))</f>
        <v/>
      </c>
      <c r="Z89" s="6">
        <f>IF(OR($BJ89="",25&gt;設定!$B$3),"",IF(INDEX(原始資料!AB$2:AB$501,$BJ89)="","",INDEX(原始資料!AB$2:AB$501,$BJ89)))</f>
        <v/>
      </c>
      <c r="AA89" s="6">
        <f>IF(OR($BJ89="",26&gt;設定!$B$3),"",IF(INDEX(原始資料!AC$2:AC$501,$BJ89)="","",INDEX(原始資料!AC$2:AC$501,$BJ89)))</f>
        <v/>
      </c>
      <c r="AB89" s="6">
        <f>IF(OR($BJ89="",27&gt;設定!$B$3),"",IF(INDEX(原始資料!AD$2:AD$501,$BJ89)="","",INDEX(原始資料!AD$2:AD$501,$BJ89)))</f>
        <v/>
      </c>
      <c r="AC89" s="6">
        <f>IF(OR($BJ89="",28&gt;設定!$B$3),"",IF(INDEX(原始資料!AE$2:AE$501,$BJ89)="","",INDEX(原始資料!AE$2:AE$501,$BJ89)))</f>
        <v/>
      </c>
      <c r="AD89" s="6">
        <f>IF(OR($BJ89="",29&gt;設定!$B$3),"",IF(INDEX(原始資料!AF$2:AF$501,$BJ89)="","",INDEX(原始資料!AF$2:AF$501,$BJ89)))</f>
        <v/>
      </c>
      <c r="AE89" s="6">
        <f>IF(OR($BJ89="",30&gt;設定!$B$3),"",IF(INDEX(原始資料!AG$2:AG$501,$BJ89)="","",INDEX(原始資料!AG$2:AG$501,$BJ89)))</f>
        <v/>
      </c>
      <c r="AF89" s="6">
        <f>IF(OR($BJ89="",31&gt;設定!$B$3),"",IF(INDEX(原始資料!AH$2:AH$501,$BJ89)="","",INDEX(原始資料!AH$2:AH$501,$BJ89)))</f>
        <v/>
      </c>
      <c r="AG89" s="6">
        <f>IF(OR($BJ89="",32&gt;設定!$B$3),"",IF(INDEX(原始資料!AI$2:AI$501,$BJ89)="","",INDEX(原始資料!AI$2:AI$501,$BJ89)))</f>
        <v/>
      </c>
      <c r="AH89" s="6">
        <f>IF(OR($BJ89="",33&gt;設定!$B$3),"",IF(INDEX(原始資料!AJ$2:AJ$501,$BJ89)="","",INDEX(原始資料!AJ$2:AJ$501,$BJ89)))</f>
        <v/>
      </c>
      <c r="AI89" s="6">
        <f>IF(OR($BJ89="",34&gt;設定!$B$3),"",IF(INDEX(原始資料!AK$2:AK$501,$BJ89)="","",INDEX(原始資料!AK$2:AK$501,$BJ89)))</f>
        <v/>
      </c>
      <c r="AJ89" s="6">
        <f>IF(OR($BJ89="",35&gt;設定!$B$3),"",IF(INDEX(原始資料!AL$2:AL$501,$BJ89)="","",INDEX(原始資料!AL$2:AL$501,$BJ89)))</f>
        <v/>
      </c>
      <c r="AK89" s="6">
        <f>IF(OR($BJ89="",36&gt;設定!$B$3),"",IF(INDEX(原始資料!AM$2:AM$501,$BJ89)="","",INDEX(原始資料!AM$2:AM$501,$BJ89)))</f>
        <v/>
      </c>
      <c r="AL89" s="6">
        <f>IF(OR($BJ89="",37&gt;設定!$B$3),"",IF(INDEX(原始資料!AN$2:AN$501,$BJ89)="","",INDEX(原始資料!AN$2:AN$501,$BJ89)))</f>
        <v/>
      </c>
      <c r="AM89" s="6">
        <f>IF(OR($BJ89="",38&gt;設定!$B$3),"",IF(INDEX(原始資料!AO$2:AO$501,$BJ89)="","",INDEX(原始資料!AO$2:AO$501,$BJ89)))</f>
        <v/>
      </c>
      <c r="AN89" s="6">
        <f>IF(OR($BJ89="",39&gt;設定!$B$3),"",IF(INDEX(原始資料!AP$2:AP$501,$BJ89)="","",INDEX(原始資料!AP$2:AP$501,$BJ89)))</f>
        <v/>
      </c>
      <c r="AO89" s="6">
        <f>IF(OR($BJ89="",40&gt;設定!$B$3),"",IF(INDEX(原始資料!AQ$2:AQ$501,$BJ89)="","",INDEX(原始資料!AQ$2:AQ$501,$BJ89)))</f>
        <v/>
      </c>
      <c r="AP89" s="6">
        <f>IF(OR($BJ89="",41&gt;設定!$B$3),"",IF(INDEX(原始資料!AR$2:AR$501,$BJ89)="","",INDEX(原始資料!AR$2:AR$501,$BJ89)))</f>
        <v/>
      </c>
      <c r="AQ89" s="6">
        <f>IF(OR($BJ89="",42&gt;設定!$B$3),"",IF(INDEX(原始資料!AS$2:AS$501,$BJ89)="","",INDEX(原始資料!AS$2:AS$501,$BJ89)))</f>
        <v/>
      </c>
      <c r="AR89" s="6">
        <f>IF(OR($BJ89="",43&gt;設定!$B$3),"",IF(INDEX(原始資料!AT$2:AT$501,$BJ89)="","",INDEX(原始資料!AT$2:AT$501,$BJ89)))</f>
        <v/>
      </c>
      <c r="AS89" s="6">
        <f>IF(OR($BJ89="",44&gt;設定!$B$3),"",IF(INDEX(原始資料!AU$2:AU$501,$BJ89)="","",INDEX(原始資料!AU$2:AU$501,$BJ89)))</f>
        <v/>
      </c>
      <c r="AT89" s="6">
        <f>IF(OR($BJ89="",45&gt;設定!$B$3),"",IF(INDEX(原始資料!AV$2:AV$501,$BJ89)="","",INDEX(原始資料!AV$2:AV$501,$BJ89)))</f>
        <v/>
      </c>
      <c r="AU89" s="6">
        <f>IF(OR($BJ89="",46&gt;設定!$B$3),"",IF(INDEX(原始資料!AW$2:AW$501,$BJ89)="","",INDEX(原始資料!AW$2:AW$501,$BJ89)))</f>
        <v/>
      </c>
      <c r="AV89" s="6">
        <f>IF(OR($BJ89="",47&gt;設定!$B$3),"",IF(INDEX(原始資料!AX$2:AX$501,$BJ89)="","",INDEX(原始資料!AX$2:AX$501,$BJ89)))</f>
        <v/>
      </c>
      <c r="AW89" s="6">
        <f>IF(OR($BJ89="",48&gt;設定!$B$3),"",IF(INDEX(原始資料!AY$2:AY$501,$BJ89)="","",INDEX(原始資料!AY$2:AY$501,$BJ89)))</f>
        <v/>
      </c>
      <c r="AX89" s="6">
        <f>IF(OR($BJ89="",49&gt;設定!$B$3),"",IF(INDEX(原始資料!AZ$2:AZ$501,$BJ89)="","",INDEX(原始資料!AZ$2:AZ$501,$BJ89)))</f>
        <v/>
      </c>
      <c r="AY89" s="6">
        <f>IF(OR($BJ89="",50&gt;設定!$B$3),"",IF(INDEX(原始資料!BA$2:BA$501,$BJ89)="","",INDEX(原始資料!BA$2:BA$501,$BJ89)))</f>
        <v/>
      </c>
      <c r="AZ89" s="6">
        <f>IF(OR($BJ89="",51&gt;設定!$B$3),"",IF(INDEX(原始資料!BB$2:BB$501,$BJ89)="","",INDEX(原始資料!BB$2:BB$501,$BJ89)))</f>
        <v/>
      </c>
      <c r="BA89" s="6">
        <f>IF(OR($BJ89="",52&gt;設定!$B$3),"",IF(INDEX(原始資料!BC$2:BC$501,$BJ89)="","",INDEX(原始資料!BC$2:BC$501,$BJ89)))</f>
        <v/>
      </c>
      <c r="BB89" s="6">
        <f>IF(OR($BJ89="",53&gt;設定!$B$3),"",IF(INDEX(原始資料!BD$2:BD$501,$BJ89)="","",INDEX(原始資料!BD$2:BD$501,$BJ89)))</f>
        <v/>
      </c>
      <c r="BC89" s="6">
        <f>IF(OR($BJ89="",54&gt;設定!$B$3),"",IF(INDEX(原始資料!BE$2:BE$501,$BJ89)="","",INDEX(原始資料!BE$2:BE$501,$BJ89)))</f>
        <v/>
      </c>
      <c r="BD89" s="6">
        <f>IF(OR($BJ89="",55&gt;設定!$B$3),"",IF(INDEX(原始資料!BF$2:BF$501,$BJ89)="","",INDEX(原始資料!BF$2:BF$501,$BJ89)))</f>
        <v/>
      </c>
      <c r="BE89" s="6">
        <f>IF(OR($BJ89="",56&gt;設定!$B$3),"",IF(INDEX(原始資料!BG$2:BG$501,$BJ89)="","",INDEX(原始資料!BG$2:BG$501,$BJ89)))</f>
        <v/>
      </c>
      <c r="BF89" s="6">
        <f>IF(OR($BJ89="",57&gt;設定!$B$3),"",IF(INDEX(原始資料!BH$2:BH$501,$BJ89)="","",INDEX(原始資料!BH$2:BH$501,$BJ89)))</f>
        <v/>
      </c>
      <c r="BG89" s="6">
        <f>IF(OR($BJ89="",58&gt;設定!$B$3),"",IF(INDEX(原始資料!BI$2:BI$501,$BJ89)="","",INDEX(原始資料!BI$2:BI$501,$BJ89)))</f>
        <v/>
      </c>
      <c r="BH89" s="6">
        <f>IF(OR($BJ89="",59&gt;設定!$B$3),"",IF(INDEX(原始資料!BJ$2:BJ$501,$BJ89)="","",INDEX(原始資料!BJ$2:BJ$501,$BJ89)))</f>
        <v/>
      </c>
      <c r="BI89" s="6">
        <f>IF(OR($BJ89="",60&gt;設定!$B$3),"",IF(INDEX(原始資料!BK$2:BK$501,$BJ89)="","",INDEX(原始資料!BK$2:BK$501,$BJ89)))</f>
        <v/>
      </c>
      <c r="BJ89" s="6">
        <f>IFERROR(MATCH(ROW()-1,判定!$H$2:$H$501,0),"")</f>
        <v/>
      </c>
    </row>
    <row r="90">
      <c r="A90" s="6">
        <f>IF($BJ90="","",INDEX(原始資料!$A$2:$A$501,$BJ90))</f>
        <v/>
      </c>
      <c r="B90" s="6">
        <f>IF(OR($BJ90="",1&gt;設定!$B$3),"",IF(INDEX(原始資料!D$2:D$501,$BJ90)="","",INDEX(原始資料!D$2:D$501,$BJ90)))</f>
        <v/>
      </c>
      <c r="C90" s="6">
        <f>IF(OR($BJ90="",2&gt;設定!$B$3),"",IF(INDEX(原始資料!E$2:E$501,$BJ90)="","",INDEX(原始資料!E$2:E$501,$BJ90)))</f>
        <v/>
      </c>
      <c r="D90" s="6">
        <f>IF(OR($BJ90="",3&gt;設定!$B$3),"",IF(INDEX(原始資料!F$2:F$501,$BJ90)="","",INDEX(原始資料!F$2:F$501,$BJ90)))</f>
        <v/>
      </c>
      <c r="E90" s="6">
        <f>IF(OR($BJ90="",4&gt;設定!$B$3),"",IF(INDEX(原始資料!G$2:G$501,$BJ90)="","",INDEX(原始資料!G$2:G$501,$BJ90)))</f>
        <v/>
      </c>
      <c r="F90" s="6">
        <f>IF(OR($BJ90="",5&gt;設定!$B$3),"",IF(INDEX(原始資料!H$2:H$501,$BJ90)="","",INDEX(原始資料!H$2:H$501,$BJ90)))</f>
        <v/>
      </c>
      <c r="G90" s="6">
        <f>IF(OR($BJ90="",6&gt;設定!$B$3),"",IF(INDEX(原始資料!I$2:I$501,$BJ90)="","",INDEX(原始資料!I$2:I$501,$BJ90)))</f>
        <v/>
      </c>
      <c r="H90" s="6">
        <f>IF(OR($BJ90="",7&gt;設定!$B$3),"",IF(INDEX(原始資料!J$2:J$501,$BJ90)="","",INDEX(原始資料!J$2:J$501,$BJ90)))</f>
        <v/>
      </c>
      <c r="I90" s="6">
        <f>IF(OR($BJ90="",8&gt;設定!$B$3),"",IF(INDEX(原始資料!K$2:K$501,$BJ90)="","",INDEX(原始資料!K$2:K$501,$BJ90)))</f>
        <v/>
      </c>
      <c r="J90" s="6">
        <f>IF(OR($BJ90="",9&gt;設定!$B$3),"",IF(INDEX(原始資料!L$2:L$501,$BJ90)="","",INDEX(原始資料!L$2:L$501,$BJ90)))</f>
        <v/>
      </c>
      <c r="K90" s="6">
        <f>IF(OR($BJ90="",10&gt;設定!$B$3),"",IF(INDEX(原始資料!M$2:M$501,$BJ90)="","",INDEX(原始資料!M$2:M$501,$BJ90)))</f>
        <v/>
      </c>
      <c r="L90" s="6">
        <f>IF(OR($BJ90="",11&gt;設定!$B$3),"",IF(INDEX(原始資料!N$2:N$501,$BJ90)="","",INDEX(原始資料!N$2:N$501,$BJ90)))</f>
        <v/>
      </c>
      <c r="M90" s="6">
        <f>IF(OR($BJ90="",12&gt;設定!$B$3),"",IF(INDEX(原始資料!O$2:O$501,$BJ90)="","",INDEX(原始資料!O$2:O$501,$BJ90)))</f>
        <v/>
      </c>
      <c r="N90" s="6">
        <f>IF(OR($BJ90="",13&gt;設定!$B$3),"",IF(INDEX(原始資料!P$2:P$501,$BJ90)="","",INDEX(原始資料!P$2:P$501,$BJ90)))</f>
        <v/>
      </c>
      <c r="O90" s="6">
        <f>IF(OR($BJ90="",14&gt;設定!$B$3),"",IF(INDEX(原始資料!Q$2:Q$501,$BJ90)="","",INDEX(原始資料!Q$2:Q$501,$BJ90)))</f>
        <v/>
      </c>
      <c r="P90" s="6">
        <f>IF(OR($BJ90="",15&gt;設定!$B$3),"",IF(INDEX(原始資料!R$2:R$501,$BJ90)="","",INDEX(原始資料!R$2:R$501,$BJ90)))</f>
        <v/>
      </c>
      <c r="Q90" s="6">
        <f>IF(OR($BJ90="",16&gt;設定!$B$3),"",IF(INDEX(原始資料!S$2:S$501,$BJ90)="","",INDEX(原始資料!S$2:S$501,$BJ90)))</f>
        <v/>
      </c>
      <c r="R90" s="6">
        <f>IF(OR($BJ90="",17&gt;設定!$B$3),"",IF(INDEX(原始資料!T$2:T$501,$BJ90)="","",INDEX(原始資料!T$2:T$501,$BJ90)))</f>
        <v/>
      </c>
      <c r="S90" s="6">
        <f>IF(OR($BJ90="",18&gt;設定!$B$3),"",IF(INDEX(原始資料!U$2:U$501,$BJ90)="","",INDEX(原始資料!U$2:U$501,$BJ90)))</f>
        <v/>
      </c>
      <c r="T90" s="6">
        <f>IF(OR($BJ90="",19&gt;設定!$B$3),"",IF(INDEX(原始資料!V$2:V$501,$BJ90)="","",INDEX(原始資料!V$2:V$501,$BJ90)))</f>
        <v/>
      </c>
      <c r="U90" s="6">
        <f>IF(OR($BJ90="",20&gt;設定!$B$3),"",IF(INDEX(原始資料!W$2:W$501,$BJ90)="","",INDEX(原始資料!W$2:W$501,$BJ90)))</f>
        <v/>
      </c>
      <c r="V90" s="6">
        <f>IF(OR($BJ90="",21&gt;設定!$B$3),"",IF(INDEX(原始資料!X$2:X$501,$BJ90)="","",INDEX(原始資料!X$2:X$501,$BJ90)))</f>
        <v/>
      </c>
      <c r="W90" s="6">
        <f>IF(OR($BJ90="",22&gt;設定!$B$3),"",IF(INDEX(原始資料!Y$2:Y$501,$BJ90)="","",INDEX(原始資料!Y$2:Y$501,$BJ90)))</f>
        <v/>
      </c>
      <c r="X90" s="6">
        <f>IF(OR($BJ90="",23&gt;設定!$B$3),"",IF(INDEX(原始資料!Z$2:Z$501,$BJ90)="","",INDEX(原始資料!Z$2:Z$501,$BJ90)))</f>
        <v/>
      </c>
      <c r="Y90" s="6">
        <f>IF(OR($BJ90="",24&gt;設定!$B$3),"",IF(INDEX(原始資料!AA$2:AA$501,$BJ90)="","",INDEX(原始資料!AA$2:AA$501,$BJ90)))</f>
        <v/>
      </c>
      <c r="Z90" s="6">
        <f>IF(OR($BJ90="",25&gt;設定!$B$3),"",IF(INDEX(原始資料!AB$2:AB$501,$BJ90)="","",INDEX(原始資料!AB$2:AB$501,$BJ90)))</f>
        <v/>
      </c>
      <c r="AA90" s="6">
        <f>IF(OR($BJ90="",26&gt;設定!$B$3),"",IF(INDEX(原始資料!AC$2:AC$501,$BJ90)="","",INDEX(原始資料!AC$2:AC$501,$BJ90)))</f>
        <v/>
      </c>
      <c r="AB90" s="6">
        <f>IF(OR($BJ90="",27&gt;設定!$B$3),"",IF(INDEX(原始資料!AD$2:AD$501,$BJ90)="","",INDEX(原始資料!AD$2:AD$501,$BJ90)))</f>
        <v/>
      </c>
      <c r="AC90" s="6">
        <f>IF(OR($BJ90="",28&gt;設定!$B$3),"",IF(INDEX(原始資料!AE$2:AE$501,$BJ90)="","",INDEX(原始資料!AE$2:AE$501,$BJ90)))</f>
        <v/>
      </c>
      <c r="AD90" s="6">
        <f>IF(OR($BJ90="",29&gt;設定!$B$3),"",IF(INDEX(原始資料!AF$2:AF$501,$BJ90)="","",INDEX(原始資料!AF$2:AF$501,$BJ90)))</f>
        <v/>
      </c>
      <c r="AE90" s="6">
        <f>IF(OR($BJ90="",30&gt;設定!$B$3),"",IF(INDEX(原始資料!AG$2:AG$501,$BJ90)="","",INDEX(原始資料!AG$2:AG$501,$BJ90)))</f>
        <v/>
      </c>
      <c r="AF90" s="6">
        <f>IF(OR($BJ90="",31&gt;設定!$B$3),"",IF(INDEX(原始資料!AH$2:AH$501,$BJ90)="","",INDEX(原始資料!AH$2:AH$501,$BJ90)))</f>
        <v/>
      </c>
      <c r="AG90" s="6">
        <f>IF(OR($BJ90="",32&gt;設定!$B$3),"",IF(INDEX(原始資料!AI$2:AI$501,$BJ90)="","",INDEX(原始資料!AI$2:AI$501,$BJ90)))</f>
        <v/>
      </c>
      <c r="AH90" s="6">
        <f>IF(OR($BJ90="",33&gt;設定!$B$3),"",IF(INDEX(原始資料!AJ$2:AJ$501,$BJ90)="","",INDEX(原始資料!AJ$2:AJ$501,$BJ90)))</f>
        <v/>
      </c>
      <c r="AI90" s="6">
        <f>IF(OR($BJ90="",34&gt;設定!$B$3),"",IF(INDEX(原始資料!AK$2:AK$501,$BJ90)="","",INDEX(原始資料!AK$2:AK$501,$BJ90)))</f>
        <v/>
      </c>
      <c r="AJ90" s="6">
        <f>IF(OR($BJ90="",35&gt;設定!$B$3),"",IF(INDEX(原始資料!AL$2:AL$501,$BJ90)="","",INDEX(原始資料!AL$2:AL$501,$BJ90)))</f>
        <v/>
      </c>
      <c r="AK90" s="6">
        <f>IF(OR($BJ90="",36&gt;設定!$B$3),"",IF(INDEX(原始資料!AM$2:AM$501,$BJ90)="","",INDEX(原始資料!AM$2:AM$501,$BJ90)))</f>
        <v/>
      </c>
      <c r="AL90" s="6">
        <f>IF(OR($BJ90="",37&gt;設定!$B$3),"",IF(INDEX(原始資料!AN$2:AN$501,$BJ90)="","",INDEX(原始資料!AN$2:AN$501,$BJ90)))</f>
        <v/>
      </c>
      <c r="AM90" s="6">
        <f>IF(OR($BJ90="",38&gt;設定!$B$3),"",IF(INDEX(原始資料!AO$2:AO$501,$BJ90)="","",INDEX(原始資料!AO$2:AO$501,$BJ90)))</f>
        <v/>
      </c>
      <c r="AN90" s="6">
        <f>IF(OR($BJ90="",39&gt;設定!$B$3),"",IF(INDEX(原始資料!AP$2:AP$501,$BJ90)="","",INDEX(原始資料!AP$2:AP$501,$BJ90)))</f>
        <v/>
      </c>
      <c r="AO90" s="6">
        <f>IF(OR($BJ90="",40&gt;設定!$B$3),"",IF(INDEX(原始資料!AQ$2:AQ$501,$BJ90)="","",INDEX(原始資料!AQ$2:AQ$501,$BJ90)))</f>
        <v/>
      </c>
      <c r="AP90" s="6">
        <f>IF(OR($BJ90="",41&gt;設定!$B$3),"",IF(INDEX(原始資料!AR$2:AR$501,$BJ90)="","",INDEX(原始資料!AR$2:AR$501,$BJ90)))</f>
        <v/>
      </c>
      <c r="AQ90" s="6">
        <f>IF(OR($BJ90="",42&gt;設定!$B$3),"",IF(INDEX(原始資料!AS$2:AS$501,$BJ90)="","",INDEX(原始資料!AS$2:AS$501,$BJ90)))</f>
        <v/>
      </c>
      <c r="AR90" s="6">
        <f>IF(OR($BJ90="",43&gt;設定!$B$3),"",IF(INDEX(原始資料!AT$2:AT$501,$BJ90)="","",INDEX(原始資料!AT$2:AT$501,$BJ90)))</f>
        <v/>
      </c>
      <c r="AS90" s="6">
        <f>IF(OR($BJ90="",44&gt;設定!$B$3),"",IF(INDEX(原始資料!AU$2:AU$501,$BJ90)="","",INDEX(原始資料!AU$2:AU$501,$BJ90)))</f>
        <v/>
      </c>
      <c r="AT90" s="6">
        <f>IF(OR($BJ90="",45&gt;設定!$B$3),"",IF(INDEX(原始資料!AV$2:AV$501,$BJ90)="","",INDEX(原始資料!AV$2:AV$501,$BJ90)))</f>
        <v/>
      </c>
      <c r="AU90" s="6">
        <f>IF(OR($BJ90="",46&gt;設定!$B$3),"",IF(INDEX(原始資料!AW$2:AW$501,$BJ90)="","",INDEX(原始資料!AW$2:AW$501,$BJ90)))</f>
        <v/>
      </c>
      <c r="AV90" s="6">
        <f>IF(OR($BJ90="",47&gt;設定!$B$3),"",IF(INDEX(原始資料!AX$2:AX$501,$BJ90)="","",INDEX(原始資料!AX$2:AX$501,$BJ90)))</f>
        <v/>
      </c>
      <c r="AW90" s="6">
        <f>IF(OR($BJ90="",48&gt;設定!$B$3),"",IF(INDEX(原始資料!AY$2:AY$501,$BJ90)="","",INDEX(原始資料!AY$2:AY$501,$BJ90)))</f>
        <v/>
      </c>
      <c r="AX90" s="6">
        <f>IF(OR($BJ90="",49&gt;設定!$B$3),"",IF(INDEX(原始資料!AZ$2:AZ$501,$BJ90)="","",INDEX(原始資料!AZ$2:AZ$501,$BJ90)))</f>
        <v/>
      </c>
      <c r="AY90" s="6">
        <f>IF(OR($BJ90="",50&gt;設定!$B$3),"",IF(INDEX(原始資料!BA$2:BA$501,$BJ90)="","",INDEX(原始資料!BA$2:BA$501,$BJ90)))</f>
        <v/>
      </c>
      <c r="AZ90" s="6">
        <f>IF(OR($BJ90="",51&gt;設定!$B$3),"",IF(INDEX(原始資料!BB$2:BB$501,$BJ90)="","",INDEX(原始資料!BB$2:BB$501,$BJ90)))</f>
        <v/>
      </c>
      <c r="BA90" s="6">
        <f>IF(OR($BJ90="",52&gt;設定!$B$3),"",IF(INDEX(原始資料!BC$2:BC$501,$BJ90)="","",INDEX(原始資料!BC$2:BC$501,$BJ90)))</f>
        <v/>
      </c>
      <c r="BB90" s="6">
        <f>IF(OR($BJ90="",53&gt;設定!$B$3),"",IF(INDEX(原始資料!BD$2:BD$501,$BJ90)="","",INDEX(原始資料!BD$2:BD$501,$BJ90)))</f>
        <v/>
      </c>
      <c r="BC90" s="6">
        <f>IF(OR($BJ90="",54&gt;設定!$B$3),"",IF(INDEX(原始資料!BE$2:BE$501,$BJ90)="","",INDEX(原始資料!BE$2:BE$501,$BJ90)))</f>
        <v/>
      </c>
      <c r="BD90" s="6">
        <f>IF(OR($BJ90="",55&gt;設定!$B$3),"",IF(INDEX(原始資料!BF$2:BF$501,$BJ90)="","",INDEX(原始資料!BF$2:BF$501,$BJ90)))</f>
        <v/>
      </c>
      <c r="BE90" s="6">
        <f>IF(OR($BJ90="",56&gt;設定!$B$3),"",IF(INDEX(原始資料!BG$2:BG$501,$BJ90)="","",INDEX(原始資料!BG$2:BG$501,$BJ90)))</f>
        <v/>
      </c>
      <c r="BF90" s="6">
        <f>IF(OR($BJ90="",57&gt;設定!$B$3),"",IF(INDEX(原始資料!BH$2:BH$501,$BJ90)="","",INDEX(原始資料!BH$2:BH$501,$BJ90)))</f>
        <v/>
      </c>
      <c r="BG90" s="6">
        <f>IF(OR($BJ90="",58&gt;設定!$B$3),"",IF(INDEX(原始資料!BI$2:BI$501,$BJ90)="","",INDEX(原始資料!BI$2:BI$501,$BJ90)))</f>
        <v/>
      </c>
      <c r="BH90" s="6">
        <f>IF(OR($BJ90="",59&gt;設定!$B$3),"",IF(INDEX(原始資料!BJ$2:BJ$501,$BJ90)="","",INDEX(原始資料!BJ$2:BJ$501,$BJ90)))</f>
        <v/>
      </c>
      <c r="BI90" s="6">
        <f>IF(OR($BJ90="",60&gt;設定!$B$3),"",IF(INDEX(原始資料!BK$2:BK$501,$BJ90)="","",INDEX(原始資料!BK$2:BK$501,$BJ90)))</f>
        <v/>
      </c>
      <c r="BJ90" s="6">
        <f>IFERROR(MATCH(ROW()-1,判定!$H$2:$H$501,0),"")</f>
        <v/>
      </c>
    </row>
    <row r="91">
      <c r="A91" s="6">
        <f>IF($BJ91="","",INDEX(原始資料!$A$2:$A$501,$BJ91))</f>
        <v/>
      </c>
      <c r="B91" s="6">
        <f>IF(OR($BJ91="",1&gt;設定!$B$3),"",IF(INDEX(原始資料!D$2:D$501,$BJ91)="","",INDEX(原始資料!D$2:D$501,$BJ91)))</f>
        <v/>
      </c>
      <c r="C91" s="6">
        <f>IF(OR($BJ91="",2&gt;設定!$B$3),"",IF(INDEX(原始資料!E$2:E$501,$BJ91)="","",INDEX(原始資料!E$2:E$501,$BJ91)))</f>
        <v/>
      </c>
      <c r="D91" s="6">
        <f>IF(OR($BJ91="",3&gt;設定!$B$3),"",IF(INDEX(原始資料!F$2:F$501,$BJ91)="","",INDEX(原始資料!F$2:F$501,$BJ91)))</f>
        <v/>
      </c>
      <c r="E91" s="6">
        <f>IF(OR($BJ91="",4&gt;設定!$B$3),"",IF(INDEX(原始資料!G$2:G$501,$BJ91)="","",INDEX(原始資料!G$2:G$501,$BJ91)))</f>
        <v/>
      </c>
      <c r="F91" s="6">
        <f>IF(OR($BJ91="",5&gt;設定!$B$3),"",IF(INDEX(原始資料!H$2:H$501,$BJ91)="","",INDEX(原始資料!H$2:H$501,$BJ91)))</f>
        <v/>
      </c>
      <c r="G91" s="6">
        <f>IF(OR($BJ91="",6&gt;設定!$B$3),"",IF(INDEX(原始資料!I$2:I$501,$BJ91)="","",INDEX(原始資料!I$2:I$501,$BJ91)))</f>
        <v/>
      </c>
      <c r="H91" s="6">
        <f>IF(OR($BJ91="",7&gt;設定!$B$3),"",IF(INDEX(原始資料!J$2:J$501,$BJ91)="","",INDEX(原始資料!J$2:J$501,$BJ91)))</f>
        <v/>
      </c>
      <c r="I91" s="6">
        <f>IF(OR($BJ91="",8&gt;設定!$B$3),"",IF(INDEX(原始資料!K$2:K$501,$BJ91)="","",INDEX(原始資料!K$2:K$501,$BJ91)))</f>
        <v/>
      </c>
      <c r="J91" s="6">
        <f>IF(OR($BJ91="",9&gt;設定!$B$3),"",IF(INDEX(原始資料!L$2:L$501,$BJ91)="","",INDEX(原始資料!L$2:L$501,$BJ91)))</f>
        <v/>
      </c>
      <c r="K91" s="6">
        <f>IF(OR($BJ91="",10&gt;設定!$B$3),"",IF(INDEX(原始資料!M$2:M$501,$BJ91)="","",INDEX(原始資料!M$2:M$501,$BJ91)))</f>
        <v/>
      </c>
      <c r="L91" s="6">
        <f>IF(OR($BJ91="",11&gt;設定!$B$3),"",IF(INDEX(原始資料!N$2:N$501,$BJ91)="","",INDEX(原始資料!N$2:N$501,$BJ91)))</f>
        <v/>
      </c>
      <c r="M91" s="6">
        <f>IF(OR($BJ91="",12&gt;設定!$B$3),"",IF(INDEX(原始資料!O$2:O$501,$BJ91)="","",INDEX(原始資料!O$2:O$501,$BJ91)))</f>
        <v/>
      </c>
      <c r="N91" s="6">
        <f>IF(OR($BJ91="",13&gt;設定!$B$3),"",IF(INDEX(原始資料!P$2:P$501,$BJ91)="","",INDEX(原始資料!P$2:P$501,$BJ91)))</f>
        <v/>
      </c>
      <c r="O91" s="6">
        <f>IF(OR($BJ91="",14&gt;設定!$B$3),"",IF(INDEX(原始資料!Q$2:Q$501,$BJ91)="","",INDEX(原始資料!Q$2:Q$501,$BJ91)))</f>
        <v/>
      </c>
      <c r="P91" s="6">
        <f>IF(OR($BJ91="",15&gt;設定!$B$3),"",IF(INDEX(原始資料!R$2:R$501,$BJ91)="","",INDEX(原始資料!R$2:R$501,$BJ91)))</f>
        <v/>
      </c>
      <c r="Q91" s="6">
        <f>IF(OR($BJ91="",16&gt;設定!$B$3),"",IF(INDEX(原始資料!S$2:S$501,$BJ91)="","",INDEX(原始資料!S$2:S$501,$BJ91)))</f>
        <v/>
      </c>
      <c r="R91" s="6">
        <f>IF(OR($BJ91="",17&gt;設定!$B$3),"",IF(INDEX(原始資料!T$2:T$501,$BJ91)="","",INDEX(原始資料!T$2:T$501,$BJ91)))</f>
        <v/>
      </c>
      <c r="S91" s="6">
        <f>IF(OR($BJ91="",18&gt;設定!$B$3),"",IF(INDEX(原始資料!U$2:U$501,$BJ91)="","",INDEX(原始資料!U$2:U$501,$BJ91)))</f>
        <v/>
      </c>
      <c r="T91" s="6">
        <f>IF(OR($BJ91="",19&gt;設定!$B$3),"",IF(INDEX(原始資料!V$2:V$501,$BJ91)="","",INDEX(原始資料!V$2:V$501,$BJ91)))</f>
        <v/>
      </c>
      <c r="U91" s="6">
        <f>IF(OR($BJ91="",20&gt;設定!$B$3),"",IF(INDEX(原始資料!W$2:W$501,$BJ91)="","",INDEX(原始資料!W$2:W$501,$BJ91)))</f>
        <v/>
      </c>
      <c r="V91" s="6">
        <f>IF(OR($BJ91="",21&gt;設定!$B$3),"",IF(INDEX(原始資料!X$2:X$501,$BJ91)="","",INDEX(原始資料!X$2:X$501,$BJ91)))</f>
        <v/>
      </c>
      <c r="W91" s="6">
        <f>IF(OR($BJ91="",22&gt;設定!$B$3),"",IF(INDEX(原始資料!Y$2:Y$501,$BJ91)="","",INDEX(原始資料!Y$2:Y$501,$BJ91)))</f>
        <v/>
      </c>
      <c r="X91" s="6">
        <f>IF(OR($BJ91="",23&gt;設定!$B$3),"",IF(INDEX(原始資料!Z$2:Z$501,$BJ91)="","",INDEX(原始資料!Z$2:Z$501,$BJ91)))</f>
        <v/>
      </c>
      <c r="Y91" s="6">
        <f>IF(OR($BJ91="",24&gt;設定!$B$3),"",IF(INDEX(原始資料!AA$2:AA$501,$BJ91)="","",INDEX(原始資料!AA$2:AA$501,$BJ91)))</f>
        <v/>
      </c>
      <c r="Z91" s="6">
        <f>IF(OR($BJ91="",25&gt;設定!$B$3),"",IF(INDEX(原始資料!AB$2:AB$501,$BJ91)="","",INDEX(原始資料!AB$2:AB$501,$BJ91)))</f>
        <v/>
      </c>
      <c r="AA91" s="6">
        <f>IF(OR($BJ91="",26&gt;設定!$B$3),"",IF(INDEX(原始資料!AC$2:AC$501,$BJ91)="","",INDEX(原始資料!AC$2:AC$501,$BJ91)))</f>
        <v/>
      </c>
      <c r="AB91" s="6">
        <f>IF(OR($BJ91="",27&gt;設定!$B$3),"",IF(INDEX(原始資料!AD$2:AD$501,$BJ91)="","",INDEX(原始資料!AD$2:AD$501,$BJ91)))</f>
        <v/>
      </c>
      <c r="AC91" s="6">
        <f>IF(OR($BJ91="",28&gt;設定!$B$3),"",IF(INDEX(原始資料!AE$2:AE$501,$BJ91)="","",INDEX(原始資料!AE$2:AE$501,$BJ91)))</f>
        <v/>
      </c>
      <c r="AD91" s="6">
        <f>IF(OR($BJ91="",29&gt;設定!$B$3),"",IF(INDEX(原始資料!AF$2:AF$501,$BJ91)="","",INDEX(原始資料!AF$2:AF$501,$BJ91)))</f>
        <v/>
      </c>
      <c r="AE91" s="6">
        <f>IF(OR($BJ91="",30&gt;設定!$B$3),"",IF(INDEX(原始資料!AG$2:AG$501,$BJ91)="","",INDEX(原始資料!AG$2:AG$501,$BJ91)))</f>
        <v/>
      </c>
      <c r="AF91" s="6">
        <f>IF(OR($BJ91="",31&gt;設定!$B$3),"",IF(INDEX(原始資料!AH$2:AH$501,$BJ91)="","",INDEX(原始資料!AH$2:AH$501,$BJ91)))</f>
        <v/>
      </c>
      <c r="AG91" s="6">
        <f>IF(OR($BJ91="",32&gt;設定!$B$3),"",IF(INDEX(原始資料!AI$2:AI$501,$BJ91)="","",INDEX(原始資料!AI$2:AI$501,$BJ91)))</f>
        <v/>
      </c>
      <c r="AH91" s="6">
        <f>IF(OR($BJ91="",33&gt;設定!$B$3),"",IF(INDEX(原始資料!AJ$2:AJ$501,$BJ91)="","",INDEX(原始資料!AJ$2:AJ$501,$BJ91)))</f>
        <v/>
      </c>
      <c r="AI91" s="6">
        <f>IF(OR($BJ91="",34&gt;設定!$B$3),"",IF(INDEX(原始資料!AK$2:AK$501,$BJ91)="","",INDEX(原始資料!AK$2:AK$501,$BJ91)))</f>
        <v/>
      </c>
      <c r="AJ91" s="6">
        <f>IF(OR($BJ91="",35&gt;設定!$B$3),"",IF(INDEX(原始資料!AL$2:AL$501,$BJ91)="","",INDEX(原始資料!AL$2:AL$501,$BJ91)))</f>
        <v/>
      </c>
      <c r="AK91" s="6">
        <f>IF(OR($BJ91="",36&gt;設定!$B$3),"",IF(INDEX(原始資料!AM$2:AM$501,$BJ91)="","",INDEX(原始資料!AM$2:AM$501,$BJ91)))</f>
        <v/>
      </c>
      <c r="AL91" s="6">
        <f>IF(OR($BJ91="",37&gt;設定!$B$3),"",IF(INDEX(原始資料!AN$2:AN$501,$BJ91)="","",INDEX(原始資料!AN$2:AN$501,$BJ91)))</f>
        <v/>
      </c>
      <c r="AM91" s="6">
        <f>IF(OR($BJ91="",38&gt;設定!$B$3),"",IF(INDEX(原始資料!AO$2:AO$501,$BJ91)="","",INDEX(原始資料!AO$2:AO$501,$BJ91)))</f>
        <v/>
      </c>
      <c r="AN91" s="6">
        <f>IF(OR($BJ91="",39&gt;設定!$B$3),"",IF(INDEX(原始資料!AP$2:AP$501,$BJ91)="","",INDEX(原始資料!AP$2:AP$501,$BJ91)))</f>
        <v/>
      </c>
      <c r="AO91" s="6">
        <f>IF(OR($BJ91="",40&gt;設定!$B$3),"",IF(INDEX(原始資料!AQ$2:AQ$501,$BJ91)="","",INDEX(原始資料!AQ$2:AQ$501,$BJ91)))</f>
        <v/>
      </c>
      <c r="AP91" s="6">
        <f>IF(OR($BJ91="",41&gt;設定!$B$3),"",IF(INDEX(原始資料!AR$2:AR$501,$BJ91)="","",INDEX(原始資料!AR$2:AR$501,$BJ91)))</f>
        <v/>
      </c>
      <c r="AQ91" s="6">
        <f>IF(OR($BJ91="",42&gt;設定!$B$3),"",IF(INDEX(原始資料!AS$2:AS$501,$BJ91)="","",INDEX(原始資料!AS$2:AS$501,$BJ91)))</f>
        <v/>
      </c>
      <c r="AR91" s="6">
        <f>IF(OR($BJ91="",43&gt;設定!$B$3),"",IF(INDEX(原始資料!AT$2:AT$501,$BJ91)="","",INDEX(原始資料!AT$2:AT$501,$BJ91)))</f>
        <v/>
      </c>
      <c r="AS91" s="6">
        <f>IF(OR($BJ91="",44&gt;設定!$B$3),"",IF(INDEX(原始資料!AU$2:AU$501,$BJ91)="","",INDEX(原始資料!AU$2:AU$501,$BJ91)))</f>
        <v/>
      </c>
      <c r="AT91" s="6">
        <f>IF(OR($BJ91="",45&gt;設定!$B$3),"",IF(INDEX(原始資料!AV$2:AV$501,$BJ91)="","",INDEX(原始資料!AV$2:AV$501,$BJ91)))</f>
        <v/>
      </c>
      <c r="AU91" s="6">
        <f>IF(OR($BJ91="",46&gt;設定!$B$3),"",IF(INDEX(原始資料!AW$2:AW$501,$BJ91)="","",INDEX(原始資料!AW$2:AW$501,$BJ91)))</f>
        <v/>
      </c>
      <c r="AV91" s="6">
        <f>IF(OR($BJ91="",47&gt;設定!$B$3),"",IF(INDEX(原始資料!AX$2:AX$501,$BJ91)="","",INDEX(原始資料!AX$2:AX$501,$BJ91)))</f>
        <v/>
      </c>
      <c r="AW91" s="6">
        <f>IF(OR($BJ91="",48&gt;設定!$B$3),"",IF(INDEX(原始資料!AY$2:AY$501,$BJ91)="","",INDEX(原始資料!AY$2:AY$501,$BJ91)))</f>
        <v/>
      </c>
      <c r="AX91" s="6">
        <f>IF(OR($BJ91="",49&gt;設定!$B$3),"",IF(INDEX(原始資料!AZ$2:AZ$501,$BJ91)="","",INDEX(原始資料!AZ$2:AZ$501,$BJ91)))</f>
        <v/>
      </c>
      <c r="AY91" s="6">
        <f>IF(OR($BJ91="",50&gt;設定!$B$3),"",IF(INDEX(原始資料!BA$2:BA$501,$BJ91)="","",INDEX(原始資料!BA$2:BA$501,$BJ91)))</f>
        <v/>
      </c>
      <c r="AZ91" s="6">
        <f>IF(OR($BJ91="",51&gt;設定!$B$3),"",IF(INDEX(原始資料!BB$2:BB$501,$BJ91)="","",INDEX(原始資料!BB$2:BB$501,$BJ91)))</f>
        <v/>
      </c>
      <c r="BA91" s="6">
        <f>IF(OR($BJ91="",52&gt;設定!$B$3),"",IF(INDEX(原始資料!BC$2:BC$501,$BJ91)="","",INDEX(原始資料!BC$2:BC$501,$BJ91)))</f>
        <v/>
      </c>
      <c r="BB91" s="6">
        <f>IF(OR($BJ91="",53&gt;設定!$B$3),"",IF(INDEX(原始資料!BD$2:BD$501,$BJ91)="","",INDEX(原始資料!BD$2:BD$501,$BJ91)))</f>
        <v/>
      </c>
      <c r="BC91" s="6">
        <f>IF(OR($BJ91="",54&gt;設定!$B$3),"",IF(INDEX(原始資料!BE$2:BE$501,$BJ91)="","",INDEX(原始資料!BE$2:BE$501,$BJ91)))</f>
        <v/>
      </c>
      <c r="BD91" s="6">
        <f>IF(OR($BJ91="",55&gt;設定!$B$3),"",IF(INDEX(原始資料!BF$2:BF$501,$BJ91)="","",INDEX(原始資料!BF$2:BF$501,$BJ91)))</f>
        <v/>
      </c>
      <c r="BE91" s="6">
        <f>IF(OR($BJ91="",56&gt;設定!$B$3),"",IF(INDEX(原始資料!BG$2:BG$501,$BJ91)="","",INDEX(原始資料!BG$2:BG$501,$BJ91)))</f>
        <v/>
      </c>
      <c r="BF91" s="6">
        <f>IF(OR($BJ91="",57&gt;設定!$B$3),"",IF(INDEX(原始資料!BH$2:BH$501,$BJ91)="","",INDEX(原始資料!BH$2:BH$501,$BJ91)))</f>
        <v/>
      </c>
      <c r="BG91" s="6">
        <f>IF(OR($BJ91="",58&gt;設定!$B$3),"",IF(INDEX(原始資料!BI$2:BI$501,$BJ91)="","",INDEX(原始資料!BI$2:BI$501,$BJ91)))</f>
        <v/>
      </c>
      <c r="BH91" s="6">
        <f>IF(OR($BJ91="",59&gt;設定!$B$3),"",IF(INDEX(原始資料!BJ$2:BJ$501,$BJ91)="","",INDEX(原始資料!BJ$2:BJ$501,$BJ91)))</f>
        <v/>
      </c>
      <c r="BI91" s="6">
        <f>IF(OR($BJ91="",60&gt;設定!$B$3),"",IF(INDEX(原始資料!BK$2:BK$501,$BJ91)="","",INDEX(原始資料!BK$2:BK$501,$BJ91)))</f>
        <v/>
      </c>
      <c r="BJ91" s="6">
        <f>IFERROR(MATCH(ROW()-1,判定!$H$2:$H$501,0),"")</f>
        <v/>
      </c>
    </row>
    <row r="92">
      <c r="A92" s="6">
        <f>IF($BJ92="","",INDEX(原始資料!$A$2:$A$501,$BJ92))</f>
        <v/>
      </c>
      <c r="B92" s="6">
        <f>IF(OR($BJ92="",1&gt;設定!$B$3),"",IF(INDEX(原始資料!D$2:D$501,$BJ92)="","",INDEX(原始資料!D$2:D$501,$BJ92)))</f>
        <v/>
      </c>
      <c r="C92" s="6">
        <f>IF(OR($BJ92="",2&gt;設定!$B$3),"",IF(INDEX(原始資料!E$2:E$501,$BJ92)="","",INDEX(原始資料!E$2:E$501,$BJ92)))</f>
        <v/>
      </c>
      <c r="D92" s="6">
        <f>IF(OR($BJ92="",3&gt;設定!$B$3),"",IF(INDEX(原始資料!F$2:F$501,$BJ92)="","",INDEX(原始資料!F$2:F$501,$BJ92)))</f>
        <v/>
      </c>
      <c r="E92" s="6">
        <f>IF(OR($BJ92="",4&gt;設定!$B$3),"",IF(INDEX(原始資料!G$2:G$501,$BJ92)="","",INDEX(原始資料!G$2:G$501,$BJ92)))</f>
        <v/>
      </c>
      <c r="F92" s="6">
        <f>IF(OR($BJ92="",5&gt;設定!$B$3),"",IF(INDEX(原始資料!H$2:H$501,$BJ92)="","",INDEX(原始資料!H$2:H$501,$BJ92)))</f>
        <v/>
      </c>
      <c r="G92" s="6">
        <f>IF(OR($BJ92="",6&gt;設定!$B$3),"",IF(INDEX(原始資料!I$2:I$501,$BJ92)="","",INDEX(原始資料!I$2:I$501,$BJ92)))</f>
        <v/>
      </c>
      <c r="H92" s="6">
        <f>IF(OR($BJ92="",7&gt;設定!$B$3),"",IF(INDEX(原始資料!J$2:J$501,$BJ92)="","",INDEX(原始資料!J$2:J$501,$BJ92)))</f>
        <v/>
      </c>
      <c r="I92" s="6">
        <f>IF(OR($BJ92="",8&gt;設定!$B$3),"",IF(INDEX(原始資料!K$2:K$501,$BJ92)="","",INDEX(原始資料!K$2:K$501,$BJ92)))</f>
        <v/>
      </c>
      <c r="J92" s="6">
        <f>IF(OR($BJ92="",9&gt;設定!$B$3),"",IF(INDEX(原始資料!L$2:L$501,$BJ92)="","",INDEX(原始資料!L$2:L$501,$BJ92)))</f>
        <v/>
      </c>
      <c r="K92" s="6">
        <f>IF(OR($BJ92="",10&gt;設定!$B$3),"",IF(INDEX(原始資料!M$2:M$501,$BJ92)="","",INDEX(原始資料!M$2:M$501,$BJ92)))</f>
        <v/>
      </c>
      <c r="L92" s="6">
        <f>IF(OR($BJ92="",11&gt;設定!$B$3),"",IF(INDEX(原始資料!N$2:N$501,$BJ92)="","",INDEX(原始資料!N$2:N$501,$BJ92)))</f>
        <v/>
      </c>
      <c r="M92" s="6">
        <f>IF(OR($BJ92="",12&gt;設定!$B$3),"",IF(INDEX(原始資料!O$2:O$501,$BJ92)="","",INDEX(原始資料!O$2:O$501,$BJ92)))</f>
        <v/>
      </c>
      <c r="N92" s="6">
        <f>IF(OR($BJ92="",13&gt;設定!$B$3),"",IF(INDEX(原始資料!P$2:P$501,$BJ92)="","",INDEX(原始資料!P$2:P$501,$BJ92)))</f>
        <v/>
      </c>
      <c r="O92" s="6">
        <f>IF(OR($BJ92="",14&gt;設定!$B$3),"",IF(INDEX(原始資料!Q$2:Q$501,$BJ92)="","",INDEX(原始資料!Q$2:Q$501,$BJ92)))</f>
        <v/>
      </c>
      <c r="P92" s="6">
        <f>IF(OR($BJ92="",15&gt;設定!$B$3),"",IF(INDEX(原始資料!R$2:R$501,$BJ92)="","",INDEX(原始資料!R$2:R$501,$BJ92)))</f>
        <v/>
      </c>
      <c r="Q92" s="6">
        <f>IF(OR($BJ92="",16&gt;設定!$B$3),"",IF(INDEX(原始資料!S$2:S$501,$BJ92)="","",INDEX(原始資料!S$2:S$501,$BJ92)))</f>
        <v/>
      </c>
      <c r="R92" s="6">
        <f>IF(OR($BJ92="",17&gt;設定!$B$3),"",IF(INDEX(原始資料!T$2:T$501,$BJ92)="","",INDEX(原始資料!T$2:T$501,$BJ92)))</f>
        <v/>
      </c>
      <c r="S92" s="6">
        <f>IF(OR($BJ92="",18&gt;設定!$B$3),"",IF(INDEX(原始資料!U$2:U$501,$BJ92)="","",INDEX(原始資料!U$2:U$501,$BJ92)))</f>
        <v/>
      </c>
      <c r="T92" s="6">
        <f>IF(OR($BJ92="",19&gt;設定!$B$3),"",IF(INDEX(原始資料!V$2:V$501,$BJ92)="","",INDEX(原始資料!V$2:V$501,$BJ92)))</f>
        <v/>
      </c>
      <c r="U92" s="6">
        <f>IF(OR($BJ92="",20&gt;設定!$B$3),"",IF(INDEX(原始資料!W$2:W$501,$BJ92)="","",INDEX(原始資料!W$2:W$501,$BJ92)))</f>
        <v/>
      </c>
      <c r="V92" s="6">
        <f>IF(OR($BJ92="",21&gt;設定!$B$3),"",IF(INDEX(原始資料!X$2:X$501,$BJ92)="","",INDEX(原始資料!X$2:X$501,$BJ92)))</f>
        <v/>
      </c>
      <c r="W92" s="6">
        <f>IF(OR($BJ92="",22&gt;設定!$B$3),"",IF(INDEX(原始資料!Y$2:Y$501,$BJ92)="","",INDEX(原始資料!Y$2:Y$501,$BJ92)))</f>
        <v/>
      </c>
      <c r="X92" s="6">
        <f>IF(OR($BJ92="",23&gt;設定!$B$3),"",IF(INDEX(原始資料!Z$2:Z$501,$BJ92)="","",INDEX(原始資料!Z$2:Z$501,$BJ92)))</f>
        <v/>
      </c>
      <c r="Y92" s="6">
        <f>IF(OR($BJ92="",24&gt;設定!$B$3),"",IF(INDEX(原始資料!AA$2:AA$501,$BJ92)="","",INDEX(原始資料!AA$2:AA$501,$BJ92)))</f>
        <v/>
      </c>
      <c r="Z92" s="6">
        <f>IF(OR($BJ92="",25&gt;設定!$B$3),"",IF(INDEX(原始資料!AB$2:AB$501,$BJ92)="","",INDEX(原始資料!AB$2:AB$501,$BJ92)))</f>
        <v/>
      </c>
      <c r="AA92" s="6">
        <f>IF(OR($BJ92="",26&gt;設定!$B$3),"",IF(INDEX(原始資料!AC$2:AC$501,$BJ92)="","",INDEX(原始資料!AC$2:AC$501,$BJ92)))</f>
        <v/>
      </c>
      <c r="AB92" s="6">
        <f>IF(OR($BJ92="",27&gt;設定!$B$3),"",IF(INDEX(原始資料!AD$2:AD$501,$BJ92)="","",INDEX(原始資料!AD$2:AD$501,$BJ92)))</f>
        <v/>
      </c>
      <c r="AC92" s="6">
        <f>IF(OR($BJ92="",28&gt;設定!$B$3),"",IF(INDEX(原始資料!AE$2:AE$501,$BJ92)="","",INDEX(原始資料!AE$2:AE$501,$BJ92)))</f>
        <v/>
      </c>
      <c r="AD92" s="6">
        <f>IF(OR($BJ92="",29&gt;設定!$B$3),"",IF(INDEX(原始資料!AF$2:AF$501,$BJ92)="","",INDEX(原始資料!AF$2:AF$501,$BJ92)))</f>
        <v/>
      </c>
      <c r="AE92" s="6">
        <f>IF(OR($BJ92="",30&gt;設定!$B$3),"",IF(INDEX(原始資料!AG$2:AG$501,$BJ92)="","",INDEX(原始資料!AG$2:AG$501,$BJ92)))</f>
        <v/>
      </c>
      <c r="AF92" s="6">
        <f>IF(OR($BJ92="",31&gt;設定!$B$3),"",IF(INDEX(原始資料!AH$2:AH$501,$BJ92)="","",INDEX(原始資料!AH$2:AH$501,$BJ92)))</f>
        <v/>
      </c>
      <c r="AG92" s="6">
        <f>IF(OR($BJ92="",32&gt;設定!$B$3),"",IF(INDEX(原始資料!AI$2:AI$501,$BJ92)="","",INDEX(原始資料!AI$2:AI$501,$BJ92)))</f>
        <v/>
      </c>
      <c r="AH92" s="6">
        <f>IF(OR($BJ92="",33&gt;設定!$B$3),"",IF(INDEX(原始資料!AJ$2:AJ$501,$BJ92)="","",INDEX(原始資料!AJ$2:AJ$501,$BJ92)))</f>
        <v/>
      </c>
      <c r="AI92" s="6">
        <f>IF(OR($BJ92="",34&gt;設定!$B$3),"",IF(INDEX(原始資料!AK$2:AK$501,$BJ92)="","",INDEX(原始資料!AK$2:AK$501,$BJ92)))</f>
        <v/>
      </c>
      <c r="AJ92" s="6">
        <f>IF(OR($BJ92="",35&gt;設定!$B$3),"",IF(INDEX(原始資料!AL$2:AL$501,$BJ92)="","",INDEX(原始資料!AL$2:AL$501,$BJ92)))</f>
        <v/>
      </c>
      <c r="AK92" s="6">
        <f>IF(OR($BJ92="",36&gt;設定!$B$3),"",IF(INDEX(原始資料!AM$2:AM$501,$BJ92)="","",INDEX(原始資料!AM$2:AM$501,$BJ92)))</f>
        <v/>
      </c>
      <c r="AL92" s="6">
        <f>IF(OR($BJ92="",37&gt;設定!$B$3),"",IF(INDEX(原始資料!AN$2:AN$501,$BJ92)="","",INDEX(原始資料!AN$2:AN$501,$BJ92)))</f>
        <v/>
      </c>
      <c r="AM92" s="6">
        <f>IF(OR($BJ92="",38&gt;設定!$B$3),"",IF(INDEX(原始資料!AO$2:AO$501,$BJ92)="","",INDEX(原始資料!AO$2:AO$501,$BJ92)))</f>
        <v/>
      </c>
      <c r="AN92" s="6">
        <f>IF(OR($BJ92="",39&gt;設定!$B$3),"",IF(INDEX(原始資料!AP$2:AP$501,$BJ92)="","",INDEX(原始資料!AP$2:AP$501,$BJ92)))</f>
        <v/>
      </c>
      <c r="AO92" s="6">
        <f>IF(OR($BJ92="",40&gt;設定!$B$3),"",IF(INDEX(原始資料!AQ$2:AQ$501,$BJ92)="","",INDEX(原始資料!AQ$2:AQ$501,$BJ92)))</f>
        <v/>
      </c>
      <c r="AP92" s="6">
        <f>IF(OR($BJ92="",41&gt;設定!$B$3),"",IF(INDEX(原始資料!AR$2:AR$501,$BJ92)="","",INDEX(原始資料!AR$2:AR$501,$BJ92)))</f>
        <v/>
      </c>
      <c r="AQ92" s="6">
        <f>IF(OR($BJ92="",42&gt;設定!$B$3),"",IF(INDEX(原始資料!AS$2:AS$501,$BJ92)="","",INDEX(原始資料!AS$2:AS$501,$BJ92)))</f>
        <v/>
      </c>
      <c r="AR92" s="6">
        <f>IF(OR($BJ92="",43&gt;設定!$B$3),"",IF(INDEX(原始資料!AT$2:AT$501,$BJ92)="","",INDEX(原始資料!AT$2:AT$501,$BJ92)))</f>
        <v/>
      </c>
      <c r="AS92" s="6">
        <f>IF(OR($BJ92="",44&gt;設定!$B$3),"",IF(INDEX(原始資料!AU$2:AU$501,$BJ92)="","",INDEX(原始資料!AU$2:AU$501,$BJ92)))</f>
        <v/>
      </c>
      <c r="AT92" s="6">
        <f>IF(OR($BJ92="",45&gt;設定!$B$3),"",IF(INDEX(原始資料!AV$2:AV$501,$BJ92)="","",INDEX(原始資料!AV$2:AV$501,$BJ92)))</f>
        <v/>
      </c>
      <c r="AU92" s="6">
        <f>IF(OR($BJ92="",46&gt;設定!$B$3),"",IF(INDEX(原始資料!AW$2:AW$501,$BJ92)="","",INDEX(原始資料!AW$2:AW$501,$BJ92)))</f>
        <v/>
      </c>
      <c r="AV92" s="6">
        <f>IF(OR($BJ92="",47&gt;設定!$B$3),"",IF(INDEX(原始資料!AX$2:AX$501,$BJ92)="","",INDEX(原始資料!AX$2:AX$501,$BJ92)))</f>
        <v/>
      </c>
      <c r="AW92" s="6">
        <f>IF(OR($BJ92="",48&gt;設定!$B$3),"",IF(INDEX(原始資料!AY$2:AY$501,$BJ92)="","",INDEX(原始資料!AY$2:AY$501,$BJ92)))</f>
        <v/>
      </c>
      <c r="AX92" s="6">
        <f>IF(OR($BJ92="",49&gt;設定!$B$3),"",IF(INDEX(原始資料!AZ$2:AZ$501,$BJ92)="","",INDEX(原始資料!AZ$2:AZ$501,$BJ92)))</f>
        <v/>
      </c>
      <c r="AY92" s="6">
        <f>IF(OR($BJ92="",50&gt;設定!$B$3),"",IF(INDEX(原始資料!BA$2:BA$501,$BJ92)="","",INDEX(原始資料!BA$2:BA$501,$BJ92)))</f>
        <v/>
      </c>
      <c r="AZ92" s="6">
        <f>IF(OR($BJ92="",51&gt;設定!$B$3),"",IF(INDEX(原始資料!BB$2:BB$501,$BJ92)="","",INDEX(原始資料!BB$2:BB$501,$BJ92)))</f>
        <v/>
      </c>
      <c r="BA92" s="6">
        <f>IF(OR($BJ92="",52&gt;設定!$B$3),"",IF(INDEX(原始資料!BC$2:BC$501,$BJ92)="","",INDEX(原始資料!BC$2:BC$501,$BJ92)))</f>
        <v/>
      </c>
      <c r="BB92" s="6">
        <f>IF(OR($BJ92="",53&gt;設定!$B$3),"",IF(INDEX(原始資料!BD$2:BD$501,$BJ92)="","",INDEX(原始資料!BD$2:BD$501,$BJ92)))</f>
        <v/>
      </c>
      <c r="BC92" s="6">
        <f>IF(OR($BJ92="",54&gt;設定!$B$3),"",IF(INDEX(原始資料!BE$2:BE$501,$BJ92)="","",INDEX(原始資料!BE$2:BE$501,$BJ92)))</f>
        <v/>
      </c>
      <c r="BD92" s="6">
        <f>IF(OR($BJ92="",55&gt;設定!$B$3),"",IF(INDEX(原始資料!BF$2:BF$501,$BJ92)="","",INDEX(原始資料!BF$2:BF$501,$BJ92)))</f>
        <v/>
      </c>
      <c r="BE92" s="6">
        <f>IF(OR($BJ92="",56&gt;設定!$B$3),"",IF(INDEX(原始資料!BG$2:BG$501,$BJ92)="","",INDEX(原始資料!BG$2:BG$501,$BJ92)))</f>
        <v/>
      </c>
      <c r="BF92" s="6">
        <f>IF(OR($BJ92="",57&gt;設定!$B$3),"",IF(INDEX(原始資料!BH$2:BH$501,$BJ92)="","",INDEX(原始資料!BH$2:BH$501,$BJ92)))</f>
        <v/>
      </c>
      <c r="BG92" s="6">
        <f>IF(OR($BJ92="",58&gt;設定!$B$3),"",IF(INDEX(原始資料!BI$2:BI$501,$BJ92)="","",INDEX(原始資料!BI$2:BI$501,$BJ92)))</f>
        <v/>
      </c>
      <c r="BH92" s="6">
        <f>IF(OR($BJ92="",59&gt;設定!$B$3),"",IF(INDEX(原始資料!BJ$2:BJ$501,$BJ92)="","",INDEX(原始資料!BJ$2:BJ$501,$BJ92)))</f>
        <v/>
      </c>
      <c r="BI92" s="6">
        <f>IF(OR($BJ92="",60&gt;設定!$B$3),"",IF(INDEX(原始資料!BK$2:BK$501,$BJ92)="","",INDEX(原始資料!BK$2:BK$501,$BJ92)))</f>
        <v/>
      </c>
      <c r="BJ92" s="6">
        <f>IFERROR(MATCH(ROW()-1,判定!$H$2:$H$501,0),"")</f>
        <v/>
      </c>
    </row>
    <row r="93">
      <c r="A93" s="6">
        <f>IF($BJ93="","",INDEX(原始資料!$A$2:$A$501,$BJ93))</f>
        <v/>
      </c>
      <c r="B93" s="6">
        <f>IF(OR($BJ93="",1&gt;設定!$B$3),"",IF(INDEX(原始資料!D$2:D$501,$BJ93)="","",INDEX(原始資料!D$2:D$501,$BJ93)))</f>
        <v/>
      </c>
      <c r="C93" s="6">
        <f>IF(OR($BJ93="",2&gt;設定!$B$3),"",IF(INDEX(原始資料!E$2:E$501,$BJ93)="","",INDEX(原始資料!E$2:E$501,$BJ93)))</f>
        <v/>
      </c>
      <c r="D93" s="6">
        <f>IF(OR($BJ93="",3&gt;設定!$B$3),"",IF(INDEX(原始資料!F$2:F$501,$BJ93)="","",INDEX(原始資料!F$2:F$501,$BJ93)))</f>
        <v/>
      </c>
      <c r="E93" s="6">
        <f>IF(OR($BJ93="",4&gt;設定!$B$3),"",IF(INDEX(原始資料!G$2:G$501,$BJ93)="","",INDEX(原始資料!G$2:G$501,$BJ93)))</f>
        <v/>
      </c>
      <c r="F93" s="6">
        <f>IF(OR($BJ93="",5&gt;設定!$B$3),"",IF(INDEX(原始資料!H$2:H$501,$BJ93)="","",INDEX(原始資料!H$2:H$501,$BJ93)))</f>
        <v/>
      </c>
      <c r="G93" s="6">
        <f>IF(OR($BJ93="",6&gt;設定!$B$3),"",IF(INDEX(原始資料!I$2:I$501,$BJ93)="","",INDEX(原始資料!I$2:I$501,$BJ93)))</f>
        <v/>
      </c>
      <c r="H93" s="6">
        <f>IF(OR($BJ93="",7&gt;設定!$B$3),"",IF(INDEX(原始資料!J$2:J$501,$BJ93)="","",INDEX(原始資料!J$2:J$501,$BJ93)))</f>
        <v/>
      </c>
      <c r="I93" s="6">
        <f>IF(OR($BJ93="",8&gt;設定!$B$3),"",IF(INDEX(原始資料!K$2:K$501,$BJ93)="","",INDEX(原始資料!K$2:K$501,$BJ93)))</f>
        <v/>
      </c>
      <c r="J93" s="6">
        <f>IF(OR($BJ93="",9&gt;設定!$B$3),"",IF(INDEX(原始資料!L$2:L$501,$BJ93)="","",INDEX(原始資料!L$2:L$501,$BJ93)))</f>
        <v/>
      </c>
      <c r="K93" s="6">
        <f>IF(OR($BJ93="",10&gt;設定!$B$3),"",IF(INDEX(原始資料!M$2:M$501,$BJ93)="","",INDEX(原始資料!M$2:M$501,$BJ93)))</f>
        <v/>
      </c>
      <c r="L93" s="6">
        <f>IF(OR($BJ93="",11&gt;設定!$B$3),"",IF(INDEX(原始資料!N$2:N$501,$BJ93)="","",INDEX(原始資料!N$2:N$501,$BJ93)))</f>
        <v/>
      </c>
      <c r="M93" s="6">
        <f>IF(OR($BJ93="",12&gt;設定!$B$3),"",IF(INDEX(原始資料!O$2:O$501,$BJ93)="","",INDEX(原始資料!O$2:O$501,$BJ93)))</f>
        <v/>
      </c>
      <c r="N93" s="6">
        <f>IF(OR($BJ93="",13&gt;設定!$B$3),"",IF(INDEX(原始資料!P$2:P$501,$BJ93)="","",INDEX(原始資料!P$2:P$501,$BJ93)))</f>
        <v/>
      </c>
      <c r="O93" s="6">
        <f>IF(OR($BJ93="",14&gt;設定!$B$3),"",IF(INDEX(原始資料!Q$2:Q$501,$BJ93)="","",INDEX(原始資料!Q$2:Q$501,$BJ93)))</f>
        <v/>
      </c>
      <c r="P93" s="6">
        <f>IF(OR($BJ93="",15&gt;設定!$B$3),"",IF(INDEX(原始資料!R$2:R$501,$BJ93)="","",INDEX(原始資料!R$2:R$501,$BJ93)))</f>
        <v/>
      </c>
      <c r="Q93" s="6">
        <f>IF(OR($BJ93="",16&gt;設定!$B$3),"",IF(INDEX(原始資料!S$2:S$501,$BJ93)="","",INDEX(原始資料!S$2:S$501,$BJ93)))</f>
        <v/>
      </c>
      <c r="R93" s="6">
        <f>IF(OR($BJ93="",17&gt;設定!$B$3),"",IF(INDEX(原始資料!T$2:T$501,$BJ93)="","",INDEX(原始資料!T$2:T$501,$BJ93)))</f>
        <v/>
      </c>
      <c r="S93" s="6">
        <f>IF(OR($BJ93="",18&gt;設定!$B$3),"",IF(INDEX(原始資料!U$2:U$501,$BJ93)="","",INDEX(原始資料!U$2:U$501,$BJ93)))</f>
        <v/>
      </c>
      <c r="T93" s="6">
        <f>IF(OR($BJ93="",19&gt;設定!$B$3),"",IF(INDEX(原始資料!V$2:V$501,$BJ93)="","",INDEX(原始資料!V$2:V$501,$BJ93)))</f>
        <v/>
      </c>
      <c r="U93" s="6">
        <f>IF(OR($BJ93="",20&gt;設定!$B$3),"",IF(INDEX(原始資料!W$2:W$501,$BJ93)="","",INDEX(原始資料!W$2:W$501,$BJ93)))</f>
        <v/>
      </c>
      <c r="V93" s="6">
        <f>IF(OR($BJ93="",21&gt;設定!$B$3),"",IF(INDEX(原始資料!X$2:X$501,$BJ93)="","",INDEX(原始資料!X$2:X$501,$BJ93)))</f>
        <v/>
      </c>
      <c r="W93" s="6">
        <f>IF(OR($BJ93="",22&gt;設定!$B$3),"",IF(INDEX(原始資料!Y$2:Y$501,$BJ93)="","",INDEX(原始資料!Y$2:Y$501,$BJ93)))</f>
        <v/>
      </c>
      <c r="X93" s="6">
        <f>IF(OR($BJ93="",23&gt;設定!$B$3),"",IF(INDEX(原始資料!Z$2:Z$501,$BJ93)="","",INDEX(原始資料!Z$2:Z$501,$BJ93)))</f>
        <v/>
      </c>
      <c r="Y93" s="6">
        <f>IF(OR($BJ93="",24&gt;設定!$B$3),"",IF(INDEX(原始資料!AA$2:AA$501,$BJ93)="","",INDEX(原始資料!AA$2:AA$501,$BJ93)))</f>
        <v/>
      </c>
      <c r="Z93" s="6">
        <f>IF(OR($BJ93="",25&gt;設定!$B$3),"",IF(INDEX(原始資料!AB$2:AB$501,$BJ93)="","",INDEX(原始資料!AB$2:AB$501,$BJ93)))</f>
        <v/>
      </c>
      <c r="AA93" s="6">
        <f>IF(OR($BJ93="",26&gt;設定!$B$3),"",IF(INDEX(原始資料!AC$2:AC$501,$BJ93)="","",INDEX(原始資料!AC$2:AC$501,$BJ93)))</f>
        <v/>
      </c>
      <c r="AB93" s="6">
        <f>IF(OR($BJ93="",27&gt;設定!$B$3),"",IF(INDEX(原始資料!AD$2:AD$501,$BJ93)="","",INDEX(原始資料!AD$2:AD$501,$BJ93)))</f>
        <v/>
      </c>
      <c r="AC93" s="6">
        <f>IF(OR($BJ93="",28&gt;設定!$B$3),"",IF(INDEX(原始資料!AE$2:AE$501,$BJ93)="","",INDEX(原始資料!AE$2:AE$501,$BJ93)))</f>
        <v/>
      </c>
      <c r="AD93" s="6">
        <f>IF(OR($BJ93="",29&gt;設定!$B$3),"",IF(INDEX(原始資料!AF$2:AF$501,$BJ93)="","",INDEX(原始資料!AF$2:AF$501,$BJ93)))</f>
        <v/>
      </c>
      <c r="AE93" s="6">
        <f>IF(OR($BJ93="",30&gt;設定!$B$3),"",IF(INDEX(原始資料!AG$2:AG$501,$BJ93)="","",INDEX(原始資料!AG$2:AG$501,$BJ93)))</f>
        <v/>
      </c>
      <c r="AF93" s="6">
        <f>IF(OR($BJ93="",31&gt;設定!$B$3),"",IF(INDEX(原始資料!AH$2:AH$501,$BJ93)="","",INDEX(原始資料!AH$2:AH$501,$BJ93)))</f>
        <v/>
      </c>
      <c r="AG93" s="6">
        <f>IF(OR($BJ93="",32&gt;設定!$B$3),"",IF(INDEX(原始資料!AI$2:AI$501,$BJ93)="","",INDEX(原始資料!AI$2:AI$501,$BJ93)))</f>
        <v/>
      </c>
      <c r="AH93" s="6">
        <f>IF(OR($BJ93="",33&gt;設定!$B$3),"",IF(INDEX(原始資料!AJ$2:AJ$501,$BJ93)="","",INDEX(原始資料!AJ$2:AJ$501,$BJ93)))</f>
        <v/>
      </c>
      <c r="AI93" s="6">
        <f>IF(OR($BJ93="",34&gt;設定!$B$3),"",IF(INDEX(原始資料!AK$2:AK$501,$BJ93)="","",INDEX(原始資料!AK$2:AK$501,$BJ93)))</f>
        <v/>
      </c>
      <c r="AJ93" s="6">
        <f>IF(OR($BJ93="",35&gt;設定!$B$3),"",IF(INDEX(原始資料!AL$2:AL$501,$BJ93)="","",INDEX(原始資料!AL$2:AL$501,$BJ93)))</f>
        <v/>
      </c>
      <c r="AK93" s="6">
        <f>IF(OR($BJ93="",36&gt;設定!$B$3),"",IF(INDEX(原始資料!AM$2:AM$501,$BJ93)="","",INDEX(原始資料!AM$2:AM$501,$BJ93)))</f>
        <v/>
      </c>
      <c r="AL93" s="6">
        <f>IF(OR($BJ93="",37&gt;設定!$B$3),"",IF(INDEX(原始資料!AN$2:AN$501,$BJ93)="","",INDEX(原始資料!AN$2:AN$501,$BJ93)))</f>
        <v/>
      </c>
      <c r="AM93" s="6">
        <f>IF(OR($BJ93="",38&gt;設定!$B$3),"",IF(INDEX(原始資料!AO$2:AO$501,$BJ93)="","",INDEX(原始資料!AO$2:AO$501,$BJ93)))</f>
        <v/>
      </c>
      <c r="AN93" s="6">
        <f>IF(OR($BJ93="",39&gt;設定!$B$3),"",IF(INDEX(原始資料!AP$2:AP$501,$BJ93)="","",INDEX(原始資料!AP$2:AP$501,$BJ93)))</f>
        <v/>
      </c>
      <c r="AO93" s="6">
        <f>IF(OR($BJ93="",40&gt;設定!$B$3),"",IF(INDEX(原始資料!AQ$2:AQ$501,$BJ93)="","",INDEX(原始資料!AQ$2:AQ$501,$BJ93)))</f>
        <v/>
      </c>
      <c r="AP93" s="6">
        <f>IF(OR($BJ93="",41&gt;設定!$B$3),"",IF(INDEX(原始資料!AR$2:AR$501,$BJ93)="","",INDEX(原始資料!AR$2:AR$501,$BJ93)))</f>
        <v/>
      </c>
      <c r="AQ93" s="6">
        <f>IF(OR($BJ93="",42&gt;設定!$B$3),"",IF(INDEX(原始資料!AS$2:AS$501,$BJ93)="","",INDEX(原始資料!AS$2:AS$501,$BJ93)))</f>
        <v/>
      </c>
      <c r="AR93" s="6">
        <f>IF(OR($BJ93="",43&gt;設定!$B$3),"",IF(INDEX(原始資料!AT$2:AT$501,$BJ93)="","",INDEX(原始資料!AT$2:AT$501,$BJ93)))</f>
        <v/>
      </c>
      <c r="AS93" s="6">
        <f>IF(OR($BJ93="",44&gt;設定!$B$3),"",IF(INDEX(原始資料!AU$2:AU$501,$BJ93)="","",INDEX(原始資料!AU$2:AU$501,$BJ93)))</f>
        <v/>
      </c>
      <c r="AT93" s="6">
        <f>IF(OR($BJ93="",45&gt;設定!$B$3),"",IF(INDEX(原始資料!AV$2:AV$501,$BJ93)="","",INDEX(原始資料!AV$2:AV$501,$BJ93)))</f>
        <v/>
      </c>
      <c r="AU93" s="6">
        <f>IF(OR($BJ93="",46&gt;設定!$B$3),"",IF(INDEX(原始資料!AW$2:AW$501,$BJ93)="","",INDEX(原始資料!AW$2:AW$501,$BJ93)))</f>
        <v/>
      </c>
      <c r="AV93" s="6">
        <f>IF(OR($BJ93="",47&gt;設定!$B$3),"",IF(INDEX(原始資料!AX$2:AX$501,$BJ93)="","",INDEX(原始資料!AX$2:AX$501,$BJ93)))</f>
        <v/>
      </c>
      <c r="AW93" s="6">
        <f>IF(OR($BJ93="",48&gt;設定!$B$3),"",IF(INDEX(原始資料!AY$2:AY$501,$BJ93)="","",INDEX(原始資料!AY$2:AY$501,$BJ93)))</f>
        <v/>
      </c>
      <c r="AX93" s="6">
        <f>IF(OR($BJ93="",49&gt;設定!$B$3),"",IF(INDEX(原始資料!AZ$2:AZ$501,$BJ93)="","",INDEX(原始資料!AZ$2:AZ$501,$BJ93)))</f>
        <v/>
      </c>
      <c r="AY93" s="6">
        <f>IF(OR($BJ93="",50&gt;設定!$B$3),"",IF(INDEX(原始資料!BA$2:BA$501,$BJ93)="","",INDEX(原始資料!BA$2:BA$501,$BJ93)))</f>
        <v/>
      </c>
      <c r="AZ93" s="6">
        <f>IF(OR($BJ93="",51&gt;設定!$B$3),"",IF(INDEX(原始資料!BB$2:BB$501,$BJ93)="","",INDEX(原始資料!BB$2:BB$501,$BJ93)))</f>
        <v/>
      </c>
      <c r="BA93" s="6">
        <f>IF(OR($BJ93="",52&gt;設定!$B$3),"",IF(INDEX(原始資料!BC$2:BC$501,$BJ93)="","",INDEX(原始資料!BC$2:BC$501,$BJ93)))</f>
        <v/>
      </c>
      <c r="BB93" s="6">
        <f>IF(OR($BJ93="",53&gt;設定!$B$3),"",IF(INDEX(原始資料!BD$2:BD$501,$BJ93)="","",INDEX(原始資料!BD$2:BD$501,$BJ93)))</f>
        <v/>
      </c>
      <c r="BC93" s="6">
        <f>IF(OR($BJ93="",54&gt;設定!$B$3),"",IF(INDEX(原始資料!BE$2:BE$501,$BJ93)="","",INDEX(原始資料!BE$2:BE$501,$BJ93)))</f>
        <v/>
      </c>
      <c r="BD93" s="6">
        <f>IF(OR($BJ93="",55&gt;設定!$B$3),"",IF(INDEX(原始資料!BF$2:BF$501,$BJ93)="","",INDEX(原始資料!BF$2:BF$501,$BJ93)))</f>
        <v/>
      </c>
      <c r="BE93" s="6">
        <f>IF(OR($BJ93="",56&gt;設定!$B$3),"",IF(INDEX(原始資料!BG$2:BG$501,$BJ93)="","",INDEX(原始資料!BG$2:BG$501,$BJ93)))</f>
        <v/>
      </c>
      <c r="BF93" s="6">
        <f>IF(OR($BJ93="",57&gt;設定!$B$3),"",IF(INDEX(原始資料!BH$2:BH$501,$BJ93)="","",INDEX(原始資料!BH$2:BH$501,$BJ93)))</f>
        <v/>
      </c>
      <c r="BG93" s="6">
        <f>IF(OR($BJ93="",58&gt;設定!$B$3),"",IF(INDEX(原始資料!BI$2:BI$501,$BJ93)="","",INDEX(原始資料!BI$2:BI$501,$BJ93)))</f>
        <v/>
      </c>
      <c r="BH93" s="6">
        <f>IF(OR($BJ93="",59&gt;設定!$B$3),"",IF(INDEX(原始資料!BJ$2:BJ$501,$BJ93)="","",INDEX(原始資料!BJ$2:BJ$501,$BJ93)))</f>
        <v/>
      </c>
      <c r="BI93" s="6">
        <f>IF(OR($BJ93="",60&gt;設定!$B$3),"",IF(INDEX(原始資料!BK$2:BK$501,$BJ93)="","",INDEX(原始資料!BK$2:BK$501,$BJ93)))</f>
        <v/>
      </c>
      <c r="BJ93" s="6">
        <f>IFERROR(MATCH(ROW()-1,判定!$H$2:$H$501,0),"")</f>
        <v/>
      </c>
    </row>
    <row r="94">
      <c r="A94" s="6">
        <f>IF($BJ94="","",INDEX(原始資料!$A$2:$A$501,$BJ94))</f>
        <v/>
      </c>
      <c r="B94" s="6">
        <f>IF(OR($BJ94="",1&gt;設定!$B$3),"",IF(INDEX(原始資料!D$2:D$501,$BJ94)="","",INDEX(原始資料!D$2:D$501,$BJ94)))</f>
        <v/>
      </c>
      <c r="C94" s="6">
        <f>IF(OR($BJ94="",2&gt;設定!$B$3),"",IF(INDEX(原始資料!E$2:E$501,$BJ94)="","",INDEX(原始資料!E$2:E$501,$BJ94)))</f>
        <v/>
      </c>
      <c r="D94" s="6">
        <f>IF(OR($BJ94="",3&gt;設定!$B$3),"",IF(INDEX(原始資料!F$2:F$501,$BJ94)="","",INDEX(原始資料!F$2:F$501,$BJ94)))</f>
        <v/>
      </c>
      <c r="E94" s="6">
        <f>IF(OR($BJ94="",4&gt;設定!$B$3),"",IF(INDEX(原始資料!G$2:G$501,$BJ94)="","",INDEX(原始資料!G$2:G$501,$BJ94)))</f>
        <v/>
      </c>
      <c r="F94" s="6">
        <f>IF(OR($BJ94="",5&gt;設定!$B$3),"",IF(INDEX(原始資料!H$2:H$501,$BJ94)="","",INDEX(原始資料!H$2:H$501,$BJ94)))</f>
        <v/>
      </c>
      <c r="G94" s="6">
        <f>IF(OR($BJ94="",6&gt;設定!$B$3),"",IF(INDEX(原始資料!I$2:I$501,$BJ94)="","",INDEX(原始資料!I$2:I$501,$BJ94)))</f>
        <v/>
      </c>
      <c r="H94" s="6">
        <f>IF(OR($BJ94="",7&gt;設定!$B$3),"",IF(INDEX(原始資料!J$2:J$501,$BJ94)="","",INDEX(原始資料!J$2:J$501,$BJ94)))</f>
        <v/>
      </c>
      <c r="I94" s="6">
        <f>IF(OR($BJ94="",8&gt;設定!$B$3),"",IF(INDEX(原始資料!K$2:K$501,$BJ94)="","",INDEX(原始資料!K$2:K$501,$BJ94)))</f>
        <v/>
      </c>
      <c r="J94" s="6">
        <f>IF(OR($BJ94="",9&gt;設定!$B$3),"",IF(INDEX(原始資料!L$2:L$501,$BJ94)="","",INDEX(原始資料!L$2:L$501,$BJ94)))</f>
        <v/>
      </c>
      <c r="K94" s="6">
        <f>IF(OR($BJ94="",10&gt;設定!$B$3),"",IF(INDEX(原始資料!M$2:M$501,$BJ94)="","",INDEX(原始資料!M$2:M$501,$BJ94)))</f>
        <v/>
      </c>
      <c r="L94" s="6">
        <f>IF(OR($BJ94="",11&gt;設定!$B$3),"",IF(INDEX(原始資料!N$2:N$501,$BJ94)="","",INDEX(原始資料!N$2:N$501,$BJ94)))</f>
        <v/>
      </c>
      <c r="M94" s="6">
        <f>IF(OR($BJ94="",12&gt;設定!$B$3),"",IF(INDEX(原始資料!O$2:O$501,$BJ94)="","",INDEX(原始資料!O$2:O$501,$BJ94)))</f>
        <v/>
      </c>
      <c r="N94" s="6">
        <f>IF(OR($BJ94="",13&gt;設定!$B$3),"",IF(INDEX(原始資料!P$2:P$501,$BJ94)="","",INDEX(原始資料!P$2:P$501,$BJ94)))</f>
        <v/>
      </c>
      <c r="O94" s="6">
        <f>IF(OR($BJ94="",14&gt;設定!$B$3),"",IF(INDEX(原始資料!Q$2:Q$501,$BJ94)="","",INDEX(原始資料!Q$2:Q$501,$BJ94)))</f>
        <v/>
      </c>
      <c r="P94" s="6">
        <f>IF(OR($BJ94="",15&gt;設定!$B$3),"",IF(INDEX(原始資料!R$2:R$501,$BJ94)="","",INDEX(原始資料!R$2:R$501,$BJ94)))</f>
        <v/>
      </c>
      <c r="Q94" s="6">
        <f>IF(OR($BJ94="",16&gt;設定!$B$3),"",IF(INDEX(原始資料!S$2:S$501,$BJ94)="","",INDEX(原始資料!S$2:S$501,$BJ94)))</f>
        <v/>
      </c>
      <c r="R94" s="6">
        <f>IF(OR($BJ94="",17&gt;設定!$B$3),"",IF(INDEX(原始資料!T$2:T$501,$BJ94)="","",INDEX(原始資料!T$2:T$501,$BJ94)))</f>
        <v/>
      </c>
      <c r="S94" s="6">
        <f>IF(OR($BJ94="",18&gt;設定!$B$3),"",IF(INDEX(原始資料!U$2:U$501,$BJ94)="","",INDEX(原始資料!U$2:U$501,$BJ94)))</f>
        <v/>
      </c>
      <c r="T94" s="6">
        <f>IF(OR($BJ94="",19&gt;設定!$B$3),"",IF(INDEX(原始資料!V$2:V$501,$BJ94)="","",INDEX(原始資料!V$2:V$501,$BJ94)))</f>
        <v/>
      </c>
      <c r="U94" s="6">
        <f>IF(OR($BJ94="",20&gt;設定!$B$3),"",IF(INDEX(原始資料!W$2:W$501,$BJ94)="","",INDEX(原始資料!W$2:W$501,$BJ94)))</f>
        <v/>
      </c>
      <c r="V94" s="6">
        <f>IF(OR($BJ94="",21&gt;設定!$B$3),"",IF(INDEX(原始資料!X$2:X$501,$BJ94)="","",INDEX(原始資料!X$2:X$501,$BJ94)))</f>
        <v/>
      </c>
      <c r="W94" s="6">
        <f>IF(OR($BJ94="",22&gt;設定!$B$3),"",IF(INDEX(原始資料!Y$2:Y$501,$BJ94)="","",INDEX(原始資料!Y$2:Y$501,$BJ94)))</f>
        <v/>
      </c>
      <c r="X94" s="6">
        <f>IF(OR($BJ94="",23&gt;設定!$B$3),"",IF(INDEX(原始資料!Z$2:Z$501,$BJ94)="","",INDEX(原始資料!Z$2:Z$501,$BJ94)))</f>
        <v/>
      </c>
      <c r="Y94" s="6">
        <f>IF(OR($BJ94="",24&gt;設定!$B$3),"",IF(INDEX(原始資料!AA$2:AA$501,$BJ94)="","",INDEX(原始資料!AA$2:AA$501,$BJ94)))</f>
        <v/>
      </c>
      <c r="Z94" s="6">
        <f>IF(OR($BJ94="",25&gt;設定!$B$3),"",IF(INDEX(原始資料!AB$2:AB$501,$BJ94)="","",INDEX(原始資料!AB$2:AB$501,$BJ94)))</f>
        <v/>
      </c>
      <c r="AA94" s="6">
        <f>IF(OR($BJ94="",26&gt;設定!$B$3),"",IF(INDEX(原始資料!AC$2:AC$501,$BJ94)="","",INDEX(原始資料!AC$2:AC$501,$BJ94)))</f>
        <v/>
      </c>
      <c r="AB94" s="6">
        <f>IF(OR($BJ94="",27&gt;設定!$B$3),"",IF(INDEX(原始資料!AD$2:AD$501,$BJ94)="","",INDEX(原始資料!AD$2:AD$501,$BJ94)))</f>
        <v/>
      </c>
      <c r="AC94" s="6">
        <f>IF(OR($BJ94="",28&gt;設定!$B$3),"",IF(INDEX(原始資料!AE$2:AE$501,$BJ94)="","",INDEX(原始資料!AE$2:AE$501,$BJ94)))</f>
        <v/>
      </c>
      <c r="AD94" s="6">
        <f>IF(OR($BJ94="",29&gt;設定!$B$3),"",IF(INDEX(原始資料!AF$2:AF$501,$BJ94)="","",INDEX(原始資料!AF$2:AF$501,$BJ94)))</f>
        <v/>
      </c>
      <c r="AE94" s="6">
        <f>IF(OR($BJ94="",30&gt;設定!$B$3),"",IF(INDEX(原始資料!AG$2:AG$501,$BJ94)="","",INDEX(原始資料!AG$2:AG$501,$BJ94)))</f>
        <v/>
      </c>
      <c r="AF94" s="6">
        <f>IF(OR($BJ94="",31&gt;設定!$B$3),"",IF(INDEX(原始資料!AH$2:AH$501,$BJ94)="","",INDEX(原始資料!AH$2:AH$501,$BJ94)))</f>
        <v/>
      </c>
      <c r="AG94" s="6">
        <f>IF(OR($BJ94="",32&gt;設定!$B$3),"",IF(INDEX(原始資料!AI$2:AI$501,$BJ94)="","",INDEX(原始資料!AI$2:AI$501,$BJ94)))</f>
        <v/>
      </c>
      <c r="AH94" s="6">
        <f>IF(OR($BJ94="",33&gt;設定!$B$3),"",IF(INDEX(原始資料!AJ$2:AJ$501,$BJ94)="","",INDEX(原始資料!AJ$2:AJ$501,$BJ94)))</f>
        <v/>
      </c>
      <c r="AI94" s="6">
        <f>IF(OR($BJ94="",34&gt;設定!$B$3),"",IF(INDEX(原始資料!AK$2:AK$501,$BJ94)="","",INDEX(原始資料!AK$2:AK$501,$BJ94)))</f>
        <v/>
      </c>
      <c r="AJ94" s="6">
        <f>IF(OR($BJ94="",35&gt;設定!$B$3),"",IF(INDEX(原始資料!AL$2:AL$501,$BJ94)="","",INDEX(原始資料!AL$2:AL$501,$BJ94)))</f>
        <v/>
      </c>
      <c r="AK94" s="6">
        <f>IF(OR($BJ94="",36&gt;設定!$B$3),"",IF(INDEX(原始資料!AM$2:AM$501,$BJ94)="","",INDEX(原始資料!AM$2:AM$501,$BJ94)))</f>
        <v/>
      </c>
      <c r="AL94" s="6">
        <f>IF(OR($BJ94="",37&gt;設定!$B$3),"",IF(INDEX(原始資料!AN$2:AN$501,$BJ94)="","",INDEX(原始資料!AN$2:AN$501,$BJ94)))</f>
        <v/>
      </c>
      <c r="AM94" s="6">
        <f>IF(OR($BJ94="",38&gt;設定!$B$3),"",IF(INDEX(原始資料!AO$2:AO$501,$BJ94)="","",INDEX(原始資料!AO$2:AO$501,$BJ94)))</f>
        <v/>
      </c>
      <c r="AN94" s="6">
        <f>IF(OR($BJ94="",39&gt;設定!$B$3),"",IF(INDEX(原始資料!AP$2:AP$501,$BJ94)="","",INDEX(原始資料!AP$2:AP$501,$BJ94)))</f>
        <v/>
      </c>
      <c r="AO94" s="6">
        <f>IF(OR($BJ94="",40&gt;設定!$B$3),"",IF(INDEX(原始資料!AQ$2:AQ$501,$BJ94)="","",INDEX(原始資料!AQ$2:AQ$501,$BJ94)))</f>
        <v/>
      </c>
      <c r="AP94" s="6">
        <f>IF(OR($BJ94="",41&gt;設定!$B$3),"",IF(INDEX(原始資料!AR$2:AR$501,$BJ94)="","",INDEX(原始資料!AR$2:AR$501,$BJ94)))</f>
        <v/>
      </c>
      <c r="AQ94" s="6">
        <f>IF(OR($BJ94="",42&gt;設定!$B$3),"",IF(INDEX(原始資料!AS$2:AS$501,$BJ94)="","",INDEX(原始資料!AS$2:AS$501,$BJ94)))</f>
        <v/>
      </c>
      <c r="AR94" s="6">
        <f>IF(OR($BJ94="",43&gt;設定!$B$3),"",IF(INDEX(原始資料!AT$2:AT$501,$BJ94)="","",INDEX(原始資料!AT$2:AT$501,$BJ94)))</f>
        <v/>
      </c>
      <c r="AS94" s="6">
        <f>IF(OR($BJ94="",44&gt;設定!$B$3),"",IF(INDEX(原始資料!AU$2:AU$501,$BJ94)="","",INDEX(原始資料!AU$2:AU$501,$BJ94)))</f>
        <v/>
      </c>
      <c r="AT94" s="6">
        <f>IF(OR($BJ94="",45&gt;設定!$B$3),"",IF(INDEX(原始資料!AV$2:AV$501,$BJ94)="","",INDEX(原始資料!AV$2:AV$501,$BJ94)))</f>
        <v/>
      </c>
      <c r="AU94" s="6">
        <f>IF(OR($BJ94="",46&gt;設定!$B$3),"",IF(INDEX(原始資料!AW$2:AW$501,$BJ94)="","",INDEX(原始資料!AW$2:AW$501,$BJ94)))</f>
        <v/>
      </c>
      <c r="AV94" s="6">
        <f>IF(OR($BJ94="",47&gt;設定!$B$3),"",IF(INDEX(原始資料!AX$2:AX$501,$BJ94)="","",INDEX(原始資料!AX$2:AX$501,$BJ94)))</f>
        <v/>
      </c>
      <c r="AW94" s="6">
        <f>IF(OR($BJ94="",48&gt;設定!$B$3),"",IF(INDEX(原始資料!AY$2:AY$501,$BJ94)="","",INDEX(原始資料!AY$2:AY$501,$BJ94)))</f>
        <v/>
      </c>
      <c r="AX94" s="6">
        <f>IF(OR($BJ94="",49&gt;設定!$B$3),"",IF(INDEX(原始資料!AZ$2:AZ$501,$BJ94)="","",INDEX(原始資料!AZ$2:AZ$501,$BJ94)))</f>
        <v/>
      </c>
      <c r="AY94" s="6">
        <f>IF(OR($BJ94="",50&gt;設定!$B$3),"",IF(INDEX(原始資料!BA$2:BA$501,$BJ94)="","",INDEX(原始資料!BA$2:BA$501,$BJ94)))</f>
        <v/>
      </c>
      <c r="AZ94" s="6">
        <f>IF(OR($BJ94="",51&gt;設定!$B$3),"",IF(INDEX(原始資料!BB$2:BB$501,$BJ94)="","",INDEX(原始資料!BB$2:BB$501,$BJ94)))</f>
        <v/>
      </c>
      <c r="BA94" s="6">
        <f>IF(OR($BJ94="",52&gt;設定!$B$3),"",IF(INDEX(原始資料!BC$2:BC$501,$BJ94)="","",INDEX(原始資料!BC$2:BC$501,$BJ94)))</f>
        <v/>
      </c>
      <c r="BB94" s="6">
        <f>IF(OR($BJ94="",53&gt;設定!$B$3),"",IF(INDEX(原始資料!BD$2:BD$501,$BJ94)="","",INDEX(原始資料!BD$2:BD$501,$BJ94)))</f>
        <v/>
      </c>
      <c r="BC94" s="6">
        <f>IF(OR($BJ94="",54&gt;設定!$B$3),"",IF(INDEX(原始資料!BE$2:BE$501,$BJ94)="","",INDEX(原始資料!BE$2:BE$501,$BJ94)))</f>
        <v/>
      </c>
      <c r="BD94" s="6">
        <f>IF(OR($BJ94="",55&gt;設定!$B$3),"",IF(INDEX(原始資料!BF$2:BF$501,$BJ94)="","",INDEX(原始資料!BF$2:BF$501,$BJ94)))</f>
        <v/>
      </c>
      <c r="BE94" s="6">
        <f>IF(OR($BJ94="",56&gt;設定!$B$3),"",IF(INDEX(原始資料!BG$2:BG$501,$BJ94)="","",INDEX(原始資料!BG$2:BG$501,$BJ94)))</f>
        <v/>
      </c>
      <c r="BF94" s="6">
        <f>IF(OR($BJ94="",57&gt;設定!$B$3),"",IF(INDEX(原始資料!BH$2:BH$501,$BJ94)="","",INDEX(原始資料!BH$2:BH$501,$BJ94)))</f>
        <v/>
      </c>
      <c r="BG94" s="6">
        <f>IF(OR($BJ94="",58&gt;設定!$B$3),"",IF(INDEX(原始資料!BI$2:BI$501,$BJ94)="","",INDEX(原始資料!BI$2:BI$501,$BJ94)))</f>
        <v/>
      </c>
      <c r="BH94" s="6">
        <f>IF(OR($BJ94="",59&gt;設定!$B$3),"",IF(INDEX(原始資料!BJ$2:BJ$501,$BJ94)="","",INDEX(原始資料!BJ$2:BJ$501,$BJ94)))</f>
        <v/>
      </c>
      <c r="BI94" s="6">
        <f>IF(OR($BJ94="",60&gt;設定!$B$3),"",IF(INDEX(原始資料!BK$2:BK$501,$BJ94)="","",INDEX(原始資料!BK$2:BK$501,$BJ94)))</f>
        <v/>
      </c>
      <c r="BJ94" s="6">
        <f>IFERROR(MATCH(ROW()-1,判定!$H$2:$H$501,0),"")</f>
        <v/>
      </c>
    </row>
    <row r="95">
      <c r="A95" s="6">
        <f>IF($BJ95="","",INDEX(原始資料!$A$2:$A$501,$BJ95))</f>
        <v/>
      </c>
      <c r="B95" s="6">
        <f>IF(OR($BJ95="",1&gt;設定!$B$3),"",IF(INDEX(原始資料!D$2:D$501,$BJ95)="","",INDEX(原始資料!D$2:D$501,$BJ95)))</f>
        <v/>
      </c>
      <c r="C95" s="6">
        <f>IF(OR($BJ95="",2&gt;設定!$B$3),"",IF(INDEX(原始資料!E$2:E$501,$BJ95)="","",INDEX(原始資料!E$2:E$501,$BJ95)))</f>
        <v/>
      </c>
      <c r="D95" s="6">
        <f>IF(OR($BJ95="",3&gt;設定!$B$3),"",IF(INDEX(原始資料!F$2:F$501,$BJ95)="","",INDEX(原始資料!F$2:F$501,$BJ95)))</f>
        <v/>
      </c>
      <c r="E95" s="6">
        <f>IF(OR($BJ95="",4&gt;設定!$B$3),"",IF(INDEX(原始資料!G$2:G$501,$BJ95)="","",INDEX(原始資料!G$2:G$501,$BJ95)))</f>
        <v/>
      </c>
      <c r="F95" s="6">
        <f>IF(OR($BJ95="",5&gt;設定!$B$3),"",IF(INDEX(原始資料!H$2:H$501,$BJ95)="","",INDEX(原始資料!H$2:H$501,$BJ95)))</f>
        <v/>
      </c>
      <c r="G95" s="6">
        <f>IF(OR($BJ95="",6&gt;設定!$B$3),"",IF(INDEX(原始資料!I$2:I$501,$BJ95)="","",INDEX(原始資料!I$2:I$501,$BJ95)))</f>
        <v/>
      </c>
      <c r="H95" s="6">
        <f>IF(OR($BJ95="",7&gt;設定!$B$3),"",IF(INDEX(原始資料!J$2:J$501,$BJ95)="","",INDEX(原始資料!J$2:J$501,$BJ95)))</f>
        <v/>
      </c>
      <c r="I95" s="6">
        <f>IF(OR($BJ95="",8&gt;設定!$B$3),"",IF(INDEX(原始資料!K$2:K$501,$BJ95)="","",INDEX(原始資料!K$2:K$501,$BJ95)))</f>
        <v/>
      </c>
      <c r="J95" s="6">
        <f>IF(OR($BJ95="",9&gt;設定!$B$3),"",IF(INDEX(原始資料!L$2:L$501,$BJ95)="","",INDEX(原始資料!L$2:L$501,$BJ95)))</f>
        <v/>
      </c>
      <c r="K95" s="6">
        <f>IF(OR($BJ95="",10&gt;設定!$B$3),"",IF(INDEX(原始資料!M$2:M$501,$BJ95)="","",INDEX(原始資料!M$2:M$501,$BJ95)))</f>
        <v/>
      </c>
      <c r="L95" s="6">
        <f>IF(OR($BJ95="",11&gt;設定!$B$3),"",IF(INDEX(原始資料!N$2:N$501,$BJ95)="","",INDEX(原始資料!N$2:N$501,$BJ95)))</f>
        <v/>
      </c>
      <c r="M95" s="6">
        <f>IF(OR($BJ95="",12&gt;設定!$B$3),"",IF(INDEX(原始資料!O$2:O$501,$BJ95)="","",INDEX(原始資料!O$2:O$501,$BJ95)))</f>
        <v/>
      </c>
      <c r="N95" s="6">
        <f>IF(OR($BJ95="",13&gt;設定!$B$3),"",IF(INDEX(原始資料!P$2:P$501,$BJ95)="","",INDEX(原始資料!P$2:P$501,$BJ95)))</f>
        <v/>
      </c>
      <c r="O95" s="6">
        <f>IF(OR($BJ95="",14&gt;設定!$B$3),"",IF(INDEX(原始資料!Q$2:Q$501,$BJ95)="","",INDEX(原始資料!Q$2:Q$501,$BJ95)))</f>
        <v/>
      </c>
      <c r="P95" s="6">
        <f>IF(OR($BJ95="",15&gt;設定!$B$3),"",IF(INDEX(原始資料!R$2:R$501,$BJ95)="","",INDEX(原始資料!R$2:R$501,$BJ95)))</f>
        <v/>
      </c>
      <c r="Q95" s="6">
        <f>IF(OR($BJ95="",16&gt;設定!$B$3),"",IF(INDEX(原始資料!S$2:S$501,$BJ95)="","",INDEX(原始資料!S$2:S$501,$BJ95)))</f>
        <v/>
      </c>
      <c r="R95" s="6">
        <f>IF(OR($BJ95="",17&gt;設定!$B$3),"",IF(INDEX(原始資料!T$2:T$501,$BJ95)="","",INDEX(原始資料!T$2:T$501,$BJ95)))</f>
        <v/>
      </c>
      <c r="S95" s="6">
        <f>IF(OR($BJ95="",18&gt;設定!$B$3),"",IF(INDEX(原始資料!U$2:U$501,$BJ95)="","",INDEX(原始資料!U$2:U$501,$BJ95)))</f>
        <v/>
      </c>
      <c r="T95" s="6">
        <f>IF(OR($BJ95="",19&gt;設定!$B$3),"",IF(INDEX(原始資料!V$2:V$501,$BJ95)="","",INDEX(原始資料!V$2:V$501,$BJ95)))</f>
        <v/>
      </c>
      <c r="U95" s="6">
        <f>IF(OR($BJ95="",20&gt;設定!$B$3),"",IF(INDEX(原始資料!W$2:W$501,$BJ95)="","",INDEX(原始資料!W$2:W$501,$BJ95)))</f>
        <v/>
      </c>
      <c r="V95" s="6">
        <f>IF(OR($BJ95="",21&gt;設定!$B$3),"",IF(INDEX(原始資料!X$2:X$501,$BJ95)="","",INDEX(原始資料!X$2:X$501,$BJ95)))</f>
        <v/>
      </c>
      <c r="W95" s="6">
        <f>IF(OR($BJ95="",22&gt;設定!$B$3),"",IF(INDEX(原始資料!Y$2:Y$501,$BJ95)="","",INDEX(原始資料!Y$2:Y$501,$BJ95)))</f>
        <v/>
      </c>
      <c r="X95" s="6">
        <f>IF(OR($BJ95="",23&gt;設定!$B$3),"",IF(INDEX(原始資料!Z$2:Z$501,$BJ95)="","",INDEX(原始資料!Z$2:Z$501,$BJ95)))</f>
        <v/>
      </c>
      <c r="Y95" s="6">
        <f>IF(OR($BJ95="",24&gt;設定!$B$3),"",IF(INDEX(原始資料!AA$2:AA$501,$BJ95)="","",INDEX(原始資料!AA$2:AA$501,$BJ95)))</f>
        <v/>
      </c>
      <c r="Z95" s="6">
        <f>IF(OR($BJ95="",25&gt;設定!$B$3),"",IF(INDEX(原始資料!AB$2:AB$501,$BJ95)="","",INDEX(原始資料!AB$2:AB$501,$BJ95)))</f>
        <v/>
      </c>
      <c r="AA95" s="6">
        <f>IF(OR($BJ95="",26&gt;設定!$B$3),"",IF(INDEX(原始資料!AC$2:AC$501,$BJ95)="","",INDEX(原始資料!AC$2:AC$501,$BJ95)))</f>
        <v/>
      </c>
      <c r="AB95" s="6">
        <f>IF(OR($BJ95="",27&gt;設定!$B$3),"",IF(INDEX(原始資料!AD$2:AD$501,$BJ95)="","",INDEX(原始資料!AD$2:AD$501,$BJ95)))</f>
        <v/>
      </c>
      <c r="AC95" s="6">
        <f>IF(OR($BJ95="",28&gt;設定!$B$3),"",IF(INDEX(原始資料!AE$2:AE$501,$BJ95)="","",INDEX(原始資料!AE$2:AE$501,$BJ95)))</f>
        <v/>
      </c>
      <c r="AD95" s="6">
        <f>IF(OR($BJ95="",29&gt;設定!$B$3),"",IF(INDEX(原始資料!AF$2:AF$501,$BJ95)="","",INDEX(原始資料!AF$2:AF$501,$BJ95)))</f>
        <v/>
      </c>
      <c r="AE95" s="6">
        <f>IF(OR($BJ95="",30&gt;設定!$B$3),"",IF(INDEX(原始資料!AG$2:AG$501,$BJ95)="","",INDEX(原始資料!AG$2:AG$501,$BJ95)))</f>
        <v/>
      </c>
      <c r="AF95" s="6">
        <f>IF(OR($BJ95="",31&gt;設定!$B$3),"",IF(INDEX(原始資料!AH$2:AH$501,$BJ95)="","",INDEX(原始資料!AH$2:AH$501,$BJ95)))</f>
        <v/>
      </c>
      <c r="AG95" s="6">
        <f>IF(OR($BJ95="",32&gt;設定!$B$3),"",IF(INDEX(原始資料!AI$2:AI$501,$BJ95)="","",INDEX(原始資料!AI$2:AI$501,$BJ95)))</f>
        <v/>
      </c>
      <c r="AH95" s="6">
        <f>IF(OR($BJ95="",33&gt;設定!$B$3),"",IF(INDEX(原始資料!AJ$2:AJ$501,$BJ95)="","",INDEX(原始資料!AJ$2:AJ$501,$BJ95)))</f>
        <v/>
      </c>
      <c r="AI95" s="6">
        <f>IF(OR($BJ95="",34&gt;設定!$B$3),"",IF(INDEX(原始資料!AK$2:AK$501,$BJ95)="","",INDEX(原始資料!AK$2:AK$501,$BJ95)))</f>
        <v/>
      </c>
      <c r="AJ95" s="6">
        <f>IF(OR($BJ95="",35&gt;設定!$B$3),"",IF(INDEX(原始資料!AL$2:AL$501,$BJ95)="","",INDEX(原始資料!AL$2:AL$501,$BJ95)))</f>
        <v/>
      </c>
      <c r="AK95" s="6">
        <f>IF(OR($BJ95="",36&gt;設定!$B$3),"",IF(INDEX(原始資料!AM$2:AM$501,$BJ95)="","",INDEX(原始資料!AM$2:AM$501,$BJ95)))</f>
        <v/>
      </c>
      <c r="AL95" s="6">
        <f>IF(OR($BJ95="",37&gt;設定!$B$3),"",IF(INDEX(原始資料!AN$2:AN$501,$BJ95)="","",INDEX(原始資料!AN$2:AN$501,$BJ95)))</f>
        <v/>
      </c>
      <c r="AM95" s="6">
        <f>IF(OR($BJ95="",38&gt;設定!$B$3),"",IF(INDEX(原始資料!AO$2:AO$501,$BJ95)="","",INDEX(原始資料!AO$2:AO$501,$BJ95)))</f>
        <v/>
      </c>
      <c r="AN95" s="6">
        <f>IF(OR($BJ95="",39&gt;設定!$B$3),"",IF(INDEX(原始資料!AP$2:AP$501,$BJ95)="","",INDEX(原始資料!AP$2:AP$501,$BJ95)))</f>
        <v/>
      </c>
      <c r="AO95" s="6">
        <f>IF(OR($BJ95="",40&gt;設定!$B$3),"",IF(INDEX(原始資料!AQ$2:AQ$501,$BJ95)="","",INDEX(原始資料!AQ$2:AQ$501,$BJ95)))</f>
        <v/>
      </c>
      <c r="AP95" s="6">
        <f>IF(OR($BJ95="",41&gt;設定!$B$3),"",IF(INDEX(原始資料!AR$2:AR$501,$BJ95)="","",INDEX(原始資料!AR$2:AR$501,$BJ95)))</f>
        <v/>
      </c>
      <c r="AQ95" s="6">
        <f>IF(OR($BJ95="",42&gt;設定!$B$3),"",IF(INDEX(原始資料!AS$2:AS$501,$BJ95)="","",INDEX(原始資料!AS$2:AS$501,$BJ95)))</f>
        <v/>
      </c>
      <c r="AR95" s="6">
        <f>IF(OR($BJ95="",43&gt;設定!$B$3),"",IF(INDEX(原始資料!AT$2:AT$501,$BJ95)="","",INDEX(原始資料!AT$2:AT$501,$BJ95)))</f>
        <v/>
      </c>
      <c r="AS95" s="6">
        <f>IF(OR($BJ95="",44&gt;設定!$B$3),"",IF(INDEX(原始資料!AU$2:AU$501,$BJ95)="","",INDEX(原始資料!AU$2:AU$501,$BJ95)))</f>
        <v/>
      </c>
      <c r="AT95" s="6">
        <f>IF(OR($BJ95="",45&gt;設定!$B$3),"",IF(INDEX(原始資料!AV$2:AV$501,$BJ95)="","",INDEX(原始資料!AV$2:AV$501,$BJ95)))</f>
        <v/>
      </c>
      <c r="AU95" s="6">
        <f>IF(OR($BJ95="",46&gt;設定!$B$3),"",IF(INDEX(原始資料!AW$2:AW$501,$BJ95)="","",INDEX(原始資料!AW$2:AW$501,$BJ95)))</f>
        <v/>
      </c>
      <c r="AV95" s="6">
        <f>IF(OR($BJ95="",47&gt;設定!$B$3),"",IF(INDEX(原始資料!AX$2:AX$501,$BJ95)="","",INDEX(原始資料!AX$2:AX$501,$BJ95)))</f>
        <v/>
      </c>
      <c r="AW95" s="6">
        <f>IF(OR($BJ95="",48&gt;設定!$B$3),"",IF(INDEX(原始資料!AY$2:AY$501,$BJ95)="","",INDEX(原始資料!AY$2:AY$501,$BJ95)))</f>
        <v/>
      </c>
      <c r="AX95" s="6">
        <f>IF(OR($BJ95="",49&gt;設定!$B$3),"",IF(INDEX(原始資料!AZ$2:AZ$501,$BJ95)="","",INDEX(原始資料!AZ$2:AZ$501,$BJ95)))</f>
        <v/>
      </c>
      <c r="AY95" s="6">
        <f>IF(OR($BJ95="",50&gt;設定!$B$3),"",IF(INDEX(原始資料!BA$2:BA$501,$BJ95)="","",INDEX(原始資料!BA$2:BA$501,$BJ95)))</f>
        <v/>
      </c>
      <c r="AZ95" s="6">
        <f>IF(OR($BJ95="",51&gt;設定!$B$3),"",IF(INDEX(原始資料!BB$2:BB$501,$BJ95)="","",INDEX(原始資料!BB$2:BB$501,$BJ95)))</f>
        <v/>
      </c>
      <c r="BA95" s="6">
        <f>IF(OR($BJ95="",52&gt;設定!$B$3),"",IF(INDEX(原始資料!BC$2:BC$501,$BJ95)="","",INDEX(原始資料!BC$2:BC$501,$BJ95)))</f>
        <v/>
      </c>
      <c r="BB95" s="6">
        <f>IF(OR($BJ95="",53&gt;設定!$B$3),"",IF(INDEX(原始資料!BD$2:BD$501,$BJ95)="","",INDEX(原始資料!BD$2:BD$501,$BJ95)))</f>
        <v/>
      </c>
      <c r="BC95" s="6">
        <f>IF(OR($BJ95="",54&gt;設定!$B$3),"",IF(INDEX(原始資料!BE$2:BE$501,$BJ95)="","",INDEX(原始資料!BE$2:BE$501,$BJ95)))</f>
        <v/>
      </c>
      <c r="BD95" s="6">
        <f>IF(OR($BJ95="",55&gt;設定!$B$3),"",IF(INDEX(原始資料!BF$2:BF$501,$BJ95)="","",INDEX(原始資料!BF$2:BF$501,$BJ95)))</f>
        <v/>
      </c>
      <c r="BE95" s="6">
        <f>IF(OR($BJ95="",56&gt;設定!$B$3),"",IF(INDEX(原始資料!BG$2:BG$501,$BJ95)="","",INDEX(原始資料!BG$2:BG$501,$BJ95)))</f>
        <v/>
      </c>
      <c r="BF95" s="6">
        <f>IF(OR($BJ95="",57&gt;設定!$B$3),"",IF(INDEX(原始資料!BH$2:BH$501,$BJ95)="","",INDEX(原始資料!BH$2:BH$501,$BJ95)))</f>
        <v/>
      </c>
      <c r="BG95" s="6">
        <f>IF(OR($BJ95="",58&gt;設定!$B$3),"",IF(INDEX(原始資料!BI$2:BI$501,$BJ95)="","",INDEX(原始資料!BI$2:BI$501,$BJ95)))</f>
        <v/>
      </c>
      <c r="BH95" s="6">
        <f>IF(OR($BJ95="",59&gt;設定!$B$3),"",IF(INDEX(原始資料!BJ$2:BJ$501,$BJ95)="","",INDEX(原始資料!BJ$2:BJ$501,$BJ95)))</f>
        <v/>
      </c>
      <c r="BI95" s="6">
        <f>IF(OR($BJ95="",60&gt;設定!$B$3),"",IF(INDEX(原始資料!BK$2:BK$501,$BJ95)="","",INDEX(原始資料!BK$2:BK$501,$BJ95)))</f>
        <v/>
      </c>
      <c r="BJ95" s="6">
        <f>IFERROR(MATCH(ROW()-1,判定!$H$2:$H$501,0),"")</f>
        <v/>
      </c>
    </row>
    <row r="96">
      <c r="A96" s="6">
        <f>IF($BJ96="","",INDEX(原始資料!$A$2:$A$501,$BJ96))</f>
        <v/>
      </c>
      <c r="B96" s="6">
        <f>IF(OR($BJ96="",1&gt;設定!$B$3),"",IF(INDEX(原始資料!D$2:D$501,$BJ96)="","",INDEX(原始資料!D$2:D$501,$BJ96)))</f>
        <v/>
      </c>
      <c r="C96" s="6">
        <f>IF(OR($BJ96="",2&gt;設定!$B$3),"",IF(INDEX(原始資料!E$2:E$501,$BJ96)="","",INDEX(原始資料!E$2:E$501,$BJ96)))</f>
        <v/>
      </c>
      <c r="D96" s="6">
        <f>IF(OR($BJ96="",3&gt;設定!$B$3),"",IF(INDEX(原始資料!F$2:F$501,$BJ96)="","",INDEX(原始資料!F$2:F$501,$BJ96)))</f>
        <v/>
      </c>
      <c r="E96" s="6">
        <f>IF(OR($BJ96="",4&gt;設定!$B$3),"",IF(INDEX(原始資料!G$2:G$501,$BJ96)="","",INDEX(原始資料!G$2:G$501,$BJ96)))</f>
        <v/>
      </c>
      <c r="F96" s="6">
        <f>IF(OR($BJ96="",5&gt;設定!$B$3),"",IF(INDEX(原始資料!H$2:H$501,$BJ96)="","",INDEX(原始資料!H$2:H$501,$BJ96)))</f>
        <v/>
      </c>
      <c r="G96" s="6">
        <f>IF(OR($BJ96="",6&gt;設定!$B$3),"",IF(INDEX(原始資料!I$2:I$501,$BJ96)="","",INDEX(原始資料!I$2:I$501,$BJ96)))</f>
        <v/>
      </c>
      <c r="H96" s="6">
        <f>IF(OR($BJ96="",7&gt;設定!$B$3),"",IF(INDEX(原始資料!J$2:J$501,$BJ96)="","",INDEX(原始資料!J$2:J$501,$BJ96)))</f>
        <v/>
      </c>
      <c r="I96" s="6">
        <f>IF(OR($BJ96="",8&gt;設定!$B$3),"",IF(INDEX(原始資料!K$2:K$501,$BJ96)="","",INDEX(原始資料!K$2:K$501,$BJ96)))</f>
        <v/>
      </c>
      <c r="J96" s="6">
        <f>IF(OR($BJ96="",9&gt;設定!$B$3),"",IF(INDEX(原始資料!L$2:L$501,$BJ96)="","",INDEX(原始資料!L$2:L$501,$BJ96)))</f>
        <v/>
      </c>
      <c r="K96" s="6">
        <f>IF(OR($BJ96="",10&gt;設定!$B$3),"",IF(INDEX(原始資料!M$2:M$501,$BJ96)="","",INDEX(原始資料!M$2:M$501,$BJ96)))</f>
        <v/>
      </c>
      <c r="L96" s="6">
        <f>IF(OR($BJ96="",11&gt;設定!$B$3),"",IF(INDEX(原始資料!N$2:N$501,$BJ96)="","",INDEX(原始資料!N$2:N$501,$BJ96)))</f>
        <v/>
      </c>
      <c r="M96" s="6">
        <f>IF(OR($BJ96="",12&gt;設定!$B$3),"",IF(INDEX(原始資料!O$2:O$501,$BJ96)="","",INDEX(原始資料!O$2:O$501,$BJ96)))</f>
        <v/>
      </c>
      <c r="N96" s="6">
        <f>IF(OR($BJ96="",13&gt;設定!$B$3),"",IF(INDEX(原始資料!P$2:P$501,$BJ96)="","",INDEX(原始資料!P$2:P$501,$BJ96)))</f>
        <v/>
      </c>
      <c r="O96" s="6">
        <f>IF(OR($BJ96="",14&gt;設定!$B$3),"",IF(INDEX(原始資料!Q$2:Q$501,$BJ96)="","",INDEX(原始資料!Q$2:Q$501,$BJ96)))</f>
        <v/>
      </c>
      <c r="P96" s="6">
        <f>IF(OR($BJ96="",15&gt;設定!$B$3),"",IF(INDEX(原始資料!R$2:R$501,$BJ96)="","",INDEX(原始資料!R$2:R$501,$BJ96)))</f>
        <v/>
      </c>
      <c r="Q96" s="6">
        <f>IF(OR($BJ96="",16&gt;設定!$B$3),"",IF(INDEX(原始資料!S$2:S$501,$BJ96)="","",INDEX(原始資料!S$2:S$501,$BJ96)))</f>
        <v/>
      </c>
      <c r="R96" s="6">
        <f>IF(OR($BJ96="",17&gt;設定!$B$3),"",IF(INDEX(原始資料!T$2:T$501,$BJ96)="","",INDEX(原始資料!T$2:T$501,$BJ96)))</f>
        <v/>
      </c>
      <c r="S96" s="6">
        <f>IF(OR($BJ96="",18&gt;設定!$B$3),"",IF(INDEX(原始資料!U$2:U$501,$BJ96)="","",INDEX(原始資料!U$2:U$501,$BJ96)))</f>
        <v/>
      </c>
      <c r="T96" s="6">
        <f>IF(OR($BJ96="",19&gt;設定!$B$3),"",IF(INDEX(原始資料!V$2:V$501,$BJ96)="","",INDEX(原始資料!V$2:V$501,$BJ96)))</f>
        <v/>
      </c>
      <c r="U96" s="6">
        <f>IF(OR($BJ96="",20&gt;設定!$B$3),"",IF(INDEX(原始資料!W$2:W$501,$BJ96)="","",INDEX(原始資料!W$2:W$501,$BJ96)))</f>
        <v/>
      </c>
      <c r="V96" s="6">
        <f>IF(OR($BJ96="",21&gt;設定!$B$3),"",IF(INDEX(原始資料!X$2:X$501,$BJ96)="","",INDEX(原始資料!X$2:X$501,$BJ96)))</f>
        <v/>
      </c>
      <c r="W96" s="6">
        <f>IF(OR($BJ96="",22&gt;設定!$B$3),"",IF(INDEX(原始資料!Y$2:Y$501,$BJ96)="","",INDEX(原始資料!Y$2:Y$501,$BJ96)))</f>
        <v/>
      </c>
      <c r="X96" s="6">
        <f>IF(OR($BJ96="",23&gt;設定!$B$3),"",IF(INDEX(原始資料!Z$2:Z$501,$BJ96)="","",INDEX(原始資料!Z$2:Z$501,$BJ96)))</f>
        <v/>
      </c>
      <c r="Y96" s="6">
        <f>IF(OR($BJ96="",24&gt;設定!$B$3),"",IF(INDEX(原始資料!AA$2:AA$501,$BJ96)="","",INDEX(原始資料!AA$2:AA$501,$BJ96)))</f>
        <v/>
      </c>
      <c r="Z96" s="6">
        <f>IF(OR($BJ96="",25&gt;設定!$B$3),"",IF(INDEX(原始資料!AB$2:AB$501,$BJ96)="","",INDEX(原始資料!AB$2:AB$501,$BJ96)))</f>
        <v/>
      </c>
      <c r="AA96" s="6">
        <f>IF(OR($BJ96="",26&gt;設定!$B$3),"",IF(INDEX(原始資料!AC$2:AC$501,$BJ96)="","",INDEX(原始資料!AC$2:AC$501,$BJ96)))</f>
        <v/>
      </c>
      <c r="AB96" s="6">
        <f>IF(OR($BJ96="",27&gt;設定!$B$3),"",IF(INDEX(原始資料!AD$2:AD$501,$BJ96)="","",INDEX(原始資料!AD$2:AD$501,$BJ96)))</f>
        <v/>
      </c>
      <c r="AC96" s="6">
        <f>IF(OR($BJ96="",28&gt;設定!$B$3),"",IF(INDEX(原始資料!AE$2:AE$501,$BJ96)="","",INDEX(原始資料!AE$2:AE$501,$BJ96)))</f>
        <v/>
      </c>
      <c r="AD96" s="6">
        <f>IF(OR($BJ96="",29&gt;設定!$B$3),"",IF(INDEX(原始資料!AF$2:AF$501,$BJ96)="","",INDEX(原始資料!AF$2:AF$501,$BJ96)))</f>
        <v/>
      </c>
      <c r="AE96" s="6">
        <f>IF(OR($BJ96="",30&gt;設定!$B$3),"",IF(INDEX(原始資料!AG$2:AG$501,$BJ96)="","",INDEX(原始資料!AG$2:AG$501,$BJ96)))</f>
        <v/>
      </c>
      <c r="AF96" s="6">
        <f>IF(OR($BJ96="",31&gt;設定!$B$3),"",IF(INDEX(原始資料!AH$2:AH$501,$BJ96)="","",INDEX(原始資料!AH$2:AH$501,$BJ96)))</f>
        <v/>
      </c>
      <c r="AG96" s="6">
        <f>IF(OR($BJ96="",32&gt;設定!$B$3),"",IF(INDEX(原始資料!AI$2:AI$501,$BJ96)="","",INDEX(原始資料!AI$2:AI$501,$BJ96)))</f>
        <v/>
      </c>
      <c r="AH96" s="6">
        <f>IF(OR($BJ96="",33&gt;設定!$B$3),"",IF(INDEX(原始資料!AJ$2:AJ$501,$BJ96)="","",INDEX(原始資料!AJ$2:AJ$501,$BJ96)))</f>
        <v/>
      </c>
      <c r="AI96" s="6">
        <f>IF(OR($BJ96="",34&gt;設定!$B$3),"",IF(INDEX(原始資料!AK$2:AK$501,$BJ96)="","",INDEX(原始資料!AK$2:AK$501,$BJ96)))</f>
        <v/>
      </c>
      <c r="AJ96" s="6">
        <f>IF(OR($BJ96="",35&gt;設定!$B$3),"",IF(INDEX(原始資料!AL$2:AL$501,$BJ96)="","",INDEX(原始資料!AL$2:AL$501,$BJ96)))</f>
        <v/>
      </c>
      <c r="AK96" s="6">
        <f>IF(OR($BJ96="",36&gt;設定!$B$3),"",IF(INDEX(原始資料!AM$2:AM$501,$BJ96)="","",INDEX(原始資料!AM$2:AM$501,$BJ96)))</f>
        <v/>
      </c>
      <c r="AL96" s="6">
        <f>IF(OR($BJ96="",37&gt;設定!$B$3),"",IF(INDEX(原始資料!AN$2:AN$501,$BJ96)="","",INDEX(原始資料!AN$2:AN$501,$BJ96)))</f>
        <v/>
      </c>
      <c r="AM96" s="6">
        <f>IF(OR($BJ96="",38&gt;設定!$B$3),"",IF(INDEX(原始資料!AO$2:AO$501,$BJ96)="","",INDEX(原始資料!AO$2:AO$501,$BJ96)))</f>
        <v/>
      </c>
      <c r="AN96" s="6">
        <f>IF(OR($BJ96="",39&gt;設定!$B$3),"",IF(INDEX(原始資料!AP$2:AP$501,$BJ96)="","",INDEX(原始資料!AP$2:AP$501,$BJ96)))</f>
        <v/>
      </c>
      <c r="AO96" s="6">
        <f>IF(OR($BJ96="",40&gt;設定!$B$3),"",IF(INDEX(原始資料!AQ$2:AQ$501,$BJ96)="","",INDEX(原始資料!AQ$2:AQ$501,$BJ96)))</f>
        <v/>
      </c>
      <c r="AP96" s="6">
        <f>IF(OR($BJ96="",41&gt;設定!$B$3),"",IF(INDEX(原始資料!AR$2:AR$501,$BJ96)="","",INDEX(原始資料!AR$2:AR$501,$BJ96)))</f>
        <v/>
      </c>
      <c r="AQ96" s="6">
        <f>IF(OR($BJ96="",42&gt;設定!$B$3),"",IF(INDEX(原始資料!AS$2:AS$501,$BJ96)="","",INDEX(原始資料!AS$2:AS$501,$BJ96)))</f>
        <v/>
      </c>
      <c r="AR96" s="6">
        <f>IF(OR($BJ96="",43&gt;設定!$B$3),"",IF(INDEX(原始資料!AT$2:AT$501,$BJ96)="","",INDEX(原始資料!AT$2:AT$501,$BJ96)))</f>
        <v/>
      </c>
      <c r="AS96" s="6">
        <f>IF(OR($BJ96="",44&gt;設定!$B$3),"",IF(INDEX(原始資料!AU$2:AU$501,$BJ96)="","",INDEX(原始資料!AU$2:AU$501,$BJ96)))</f>
        <v/>
      </c>
      <c r="AT96" s="6">
        <f>IF(OR($BJ96="",45&gt;設定!$B$3),"",IF(INDEX(原始資料!AV$2:AV$501,$BJ96)="","",INDEX(原始資料!AV$2:AV$501,$BJ96)))</f>
        <v/>
      </c>
      <c r="AU96" s="6">
        <f>IF(OR($BJ96="",46&gt;設定!$B$3),"",IF(INDEX(原始資料!AW$2:AW$501,$BJ96)="","",INDEX(原始資料!AW$2:AW$501,$BJ96)))</f>
        <v/>
      </c>
      <c r="AV96" s="6">
        <f>IF(OR($BJ96="",47&gt;設定!$B$3),"",IF(INDEX(原始資料!AX$2:AX$501,$BJ96)="","",INDEX(原始資料!AX$2:AX$501,$BJ96)))</f>
        <v/>
      </c>
      <c r="AW96" s="6">
        <f>IF(OR($BJ96="",48&gt;設定!$B$3),"",IF(INDEX(原始資料!AY$2:AY$501,$BJ96)="","",INDEX(原始資料!AY$2:AY$501,$BJ96)))</f>
        <v/>
      </c>
      <c r="AX96" s="6">
        <f>IF(OR($BJ96="",49&gt;設定!$B$3),"",IF(INDEX(原始資料!AZ$2:AZ$501,$BJ96)="","",INDEX(原始資料!AZ$2:AZ$501,$BJ96)))</f>
        <v/>
      </c>
      <c r="AY96" s="6">
        <f>IF(OR($BJ96="",50&gt;設定!$B$3),"",IF(INDEX(原始資料!BA$2:BA$501,$BJ96)="","",INDEX(原始資料!BA$2:BA$501,$BJ96)))</f>
        <v/>
      </c>
      <c r="AZ96" s="6">
        <f>IF(OR($BJ96="",51&gt;設定!$B$3),"",IF(INDEX(原始資料!BB$2:BB$501,$BJ96)="","",INDEX(原始資料!BB$2:BB$501,$BJ96)))</f>
        <v/>
      </c>
      <c r="BA96" s="6">
        <f>IF(OR($BJ96="",52&gt;設定!$B$3),"",IF(INDEX(原始資料!BC$2:BC$501,$BJ96)="","",INDEX(原始資料!BC$2:BC$501,$BJ96)))</f>
        <v/>
      </c>
      <c r="BB96" s="6">
        <f>IF(OR($BJ96="",53&gt;設定!$B$3),"",IF(INDEX(原始資料!BD$2:BD$501,$BJ96)="","",INDEX(原始資料!BD$2:BD$501,$BJ96)))</f>
        <v/>
      </c>
      <c r="BC96" s="6">
        <f>IF(OR($BJ96="",54&gt;設定!$B$3),"",IF(INDEX(原始資料!BE$2:BE$501,$BJ96)="","",INDEX(原始資料!BE$2:BE$501,$BJ96)))</f>
        <v/>
      </c>
      <c r="BD96" s="6">
        <f>IF(OR($BJ96="",55&gt;設定!$B$3),"",IF(INDEX(原始資料!BF$2:BF$501,$BJ96)="","",INDEX(原始資料!BF$2:BF$501,$BJ96)))</f>
        <v/>
      </c>
      <c r="BE96" s="6">
        <f>IF(OR($BJ96="",56&gt;設定!$B$3),"",IF(INDEX(原始資料!BG$2:BG$501,$BJ96)="","",INDEX(原始資料!BG$2:BG$501,$BJ96)))</f>
        <v/>
      </c>
      <c r="BF96" s="6">
        <f>IF(OR($BJ96="",57&gt;設定!$B$3),"",IF(INDEX(原始資料!BH$2:BH$501,$BJ96)="","",INDEX(原始資料!BH$2:BH$501,$BJ96)))</f>
        <v/>
      </c>
      <c r="BG96" s="6">
        <f>IF(OR($BJ96="",58&gt;設定!$B$3),"",IF(INDEX(原始資料!BI$2:BI$501,$BJ96)="","",INDEX(原始資料!BI$2:BI$501,$BJ96)))</f>
        <v/>
      </c>
      <c r="BH96" s="6">
        <f>IF(OR($BJ96="",59&gt;設定!$B$3),"",IF(INDEX(原始資料!BJ$2:BJ$501,$BJ96)="","",INDEX(原始資料!BJ$2:BJ$501,$BJ96)))</f>
        <v/>
      </c>
      <c r="BI96" s="6">
        <f>IF(OR($BJ96="",60&gt;設定!$B$3),"",IF(INDEX(原始資料!BK$2:BK$501,$BJ96)="","",INDEX(原始資料!BK$2:BK$501,$BJ96)))</f>
        <v/>
      </c>
      <c r="BJ96" s="6">
        <f>IFERROR(MATCH(ROW()-1,判定!$H$2:$H$501,0),"")</f>
        <v/>
      </c>
    </row>
    <row r="97">
      <c r="A97" s="6">
        <f>IF($BJ97="","",INDEX(原始資料!$A$2:$A$501,$BJ97))</f>
        <v/>
      </c>
      <c r="B97" s="6">
        <f>IF(OR($BJ97="",1&gt;設定!$B$3),"",IF(INDEX(原始資料!D$2:D$501,$BJ97)="","",INDEX(原始資料!D$2:D$501,$BJ97)))</f>
        <v/>
      </c>
      <c r="C97" s="6">
        <f>IF(OR($BJ97="",2&gt;設定!$B$3),"",IF(INDEX(原始資料!E$2:E$501,$BJ97)="","",INDEX(原始資料!E$2:E$501,$BJ97)))</f>
        <v/>
      </c>
      <c r="D97" s="6">
        <f>IF(OR($BJ97="",3&gt;設定!$B$3),"",IF(INDEX(原始資料!F$2:F$501,$BJ97)="","",INDEX(原始資料!F$2:F$501,$BJ97)))</f>
        <v/>
      </c>
      <c r="E97" s="6">
        <f>IF(OR($BJ97="",4&gt;設定!$B$3),"",IF(INDEX(原始資料!G$2:G$501,$BJ97)="","",INDEX(原始資料!G$2:G$501,$BJ97)))</f>
        <v/>
      </c>
      <c r="F97" s="6">
        <f>IF(OR($BJ97="",5&gt;設定!$B$3),"",IF(INDEX(原始資料!H$2:H$501,$BJ97)="","",INDEX(原始資料!H$2:H$501,$BJ97)))</f>
        <v/>
      </c>
      <c r="G97" s="6">
        <f>IF(OR($BJ97="",6&gt;設定!$B$3),"",IF(INDEX(原始資料!I$2:I$501,$BJ97)="","",INDEX(原始資料!I$2:I$501,$BJ97)))</f>
        <v/>
      </c>
      <c r="H97" s="6">
        <f>IF(OR($BJ97="",7&gt;設定!$B$3),"",IF(INDEX(原始資料!J$2:J$501,$BJ97)="","",INDEX(原始資料!J$2:J$501,$BJ97)))</f>
        <v/>
      </c>
      <c r="I97" s="6">
        <f>IF(OR($BJ97="",8&gt;設定!$B$3),"",IF(INDEX(原始資料!K$2:K$501,$BJ97)="","",INDEX(原始資料!K$2:K$501,$BJ97)))</f>
        <v/>
      </c>
      <c r="J97" s="6">
        <f>IF(OR($BJ97="",9&gt;設定!$B$3),"",IF(INDEX(原始資料!L$2:L$501,$BJ97)="","",INDEX(原始資料!L$2:L$501,$BJ97)))</f>
        <v/>
      </c>
      <c r="K97" s="6">
        <f>IF(OR($BJ97="",10&gt;設定!$B$3),"",IF(INDEX(原始資料!M$2:M$501,$BJ97)="","",INDEX(原始資料!M$2:M$501,$BJ97)))</f>
        <v/>
      </c>
      <c r="L97" s="6">
        <f>IF(OR($BJ97="",11&gt;設定!$B$3),"",IF(INDEX(原始資料!N$2:N$501,$BJ97)="","",INDEX(原始資料!N$2:N$501,$BJ97)))</f>
        <v/>
      </c>
      <c r="M97" s="6">
        <f>IF(OR($BJ97="",12&gt;設定!$B$3),"",IF(INDEX(原始資料!O$2:O$501,$BJ97)="","",INDEX(原始資料!O$2:O$501,$BJ97)))</f>
        <v/>
      </c>
      <c r="N97" s="6">
        <f>IF(OR($BJ97="",13&gt;設定!$B$3),"",IF(INDEX(原始資料!P$2:P$501,$BJ97)="","",INDEX(原始資料!P$2:P$501,$BJ97)))</f>
        <v/>
      </c>
      <c r="O97" s="6">
        <f>IF(OR($BJ97="",14&gt;設定!$B$3),"",IF(INDEX(原始資料!Q$2:Q$501,$BJ97)="","",INDEX(原始資料!Q$2:Q$501,$BJ97)))</f>
        <v/>
      </c>
      <c r="P97" s="6">
        <f>IF(OR($BJ97="",15&gt;設定!$B$3),"",IF(INDEX(原始資料!R$2:R$501,$BJ97)="","",INDEX(原始資料!R$2:R$501,$BJ97)))</f>
        <v/>
      </c>
      <c r="Q97" s="6">
        <f>IF(OR($BJ97="",16&gt;設定!$B$3),"",IF(INDEX(原始資料!S$2:S$501,$BJ97)="","",INDEX(原始資料!S$2:S$501,$BJ97)))</f>
        <v/>
      </c>
      <c r="R97" s="6">
        <f>IF(OR($BJ97="",17&gt;設定!$B$3),"",IF(INDEX(原始資料!T$2:T$501,$BJ97)="","",INDEX(原始資料!T$2:T$501,$BJ97)))</f>
        <v/>
      </c>
      <c r="S97" s="6">
        <f>IF(OR($BJ97="",18&gt;設定!$B$3),"",IF(INDEX(原始資料!U$2:U$501,$BJ97)="","",INDEX(原始資料!U$2:U$501,$BJ97)))</f>
        <v/>
      </c>
      <c r="T97" s="6">
        <f>IF(OR($BJ97="",19&gt;設定!$B$3),"",IF(INDEX(原始資料!V$2:V$501,$BJ97)="","",INDEX(原始資料!V$2:V$501,$BJ97)))</f>
        <v/>
      </c>
      <c r="U97" s="6">
        <f>IF(OR($BJ97="",20&gt;設定!$B$3),"",IF(INDEX(原始資料!W$2:W$501,$BJ97)="","",INDEX(原始資料!W$2:W$501,$BJ97)))</f>
        <v/>
      </c>
      <c r="V97" s="6">
        <f>IF(OR($BJ97="",21&gt;設定!$B$3),"",IF(INDEX(原始資料!X$2:X$501,$BJ97)="","",INDEX(原始資料!X$2:X$501,$BJ97)))</f>
        <v/>
      </c>
      <c r="W97" s="6">
        <f>IF(OR($BJ97="",22&gt;設定!$B$3),"",IF(INDEX(原始資料!Y$2:Y$501,$BJ97)="","",INDEX(原始資料!Y$2:Y$501,$BJ97)))</f>
        <v/>
      </c>
      <c r="X97" s="6">
        <f>IF(OR($BJ97="",23&gt;設定!$B$3),"",IF(INDEX(原始資料!Z$2:Z$501,$BJ97)="","",INDEX(原始資料!Z$2:Z$501,$BJ97)))</f>
        <v/>
      </c>
      <c r="Y97" s="6">
        <f>IF(OR($BJ97="",24&gt;設定!$B$3),"",IF(INDEX(原始資料!AA$2:AA$501,$BJ97)="","",INDEX(原始資料!AA$2:AA$501,$BJ97)))</f>
        <v/>
      </c>
      <c r="Z97" s="6">
        <f>IF(OR($BJ97="",25&gt;設定!$B$3),"",IF(INDEX(原始資料!AB$2:AB$501,$BJ97)="","",INDEX(原始資料!AB$2:AB$501,$BJ97)))</f>
        <v/>
      </c>
      <c r="AA97" s="6">
        <f>IF(OR($BJ97="",26&gt;設定!$B$3),"",IF(INDEX(原始資料!AC$2:AC$501,$BJ97)="","",INDEX(原始資料!AC$2:AC$501,$BJ97)))</f>
        <v/>
      </c>
      <c r="AB97" s="6">
        <f>IF(OR($BJ97="",27&gt;設定!$B$3),"",IF(INDEX(原始資料!AD$2:AD$501,$BJ97)="","",INDEX(原始資料!AD$2:AD$501,$BJ97)))</f>
        <v/>
      </c>
      <c r="AC97" s="6">
        <f>IF(OR($BJ97="",28&gt;設定!$B$3),"",IF(INDEX(原始資料!AE$2:AE$501,$BJ97)="","",INDEX(原始資料!AE$2:AE$501,$BJ97)))</f>
        <v/>
      </c>
      <c r="AD97" s="6">
        <f>IF(OR($BJ97="",29&gt;設定!$B$3),"",IF(INDEX(原始資料!AF$2:AF$501,$BJ97)="","",INDEX(原始資料!AF$2:AF$501,$BJ97)))</f>
        <v/>
      </c>
      <c r="AE97" s="6">
        <f>IF(OR($BJ97="",30&gt;設定!$B$3),"",IF(INDEX(原始資料!AG$2:AG$501,$BJ97)="","",INDEX(原始資料!AG$2:AG$501,$BJ97)))</f>
        <v/>
      </c>
      <c r="AF97" s="6">
        <f>IF(OR($BJ97="",31&gt;設定!$B$3),"",IF(INDEX(原始資料!AH$2:AH$501,$BJ97)="","",INDEX(原始資料!AH$2:AH$501,$BJ97)))</f>
        <v/>
      </c>
      <c r="AG97" s="6">
        <f>IF(OR($BJ97="",32&gt;設定!$B$3),"",IF(INDEX(原始資料!AI$2:AI$501,$BJ97)="","",INDEX(原始資料!AI$2:AI$501,$BJ97)))</f>
        <v/>
      </c>
      <c r="AH97" s="6">
        <f>IF(OR($BJ97="",33&gt;設定!$B$3),"",IF(INDEX(原始資料!AJ$2:AJ$501,$BJ97)="","",INDEX(原始資料!AJ$2:AJ$501,$BJ97)))</f>
        <v/>
      </c>
      <c r="AI97" s="6">
        <f>IF(OR($BJ97="",34&gt;設定!$B$3),"",IF(INDEX(原始資料!AK$2:AK$501,$BJ97)="","",INDEX(原始資料!AK$2:AK$501,$BJ97)))</f>
        <v/>
      </c>
      <c r="AJ97" s="6">
        <f>IF(OR($BJ97="",35&gt;設定!$B$3),"",IF(INDEX(原始資料!AL$2:AL$501,$BJ97)="","",INDEX(原始資料!AL$2:AL$501,$BJ97)))</f>
        <v/>
      </c>
      <c r="AK97" s="6">
        <f>IF(OR($BJ97="",36&gt;設定!$B$3),"",IF(INDEX(原始資料!AM$2:AM$501,$BJ97)="","",INDEX(原始資料!AM$2:AM$501,$BJ97)))</f>
        <v/>
      </c>
      <c r="AL97" s="6">
        <f>IF(OR($BJ97="",37&gt;設定!$B$3),"",IF(INDEX(原始資料!AN$2:AN$501,$BJ97)="","",INDEX(原始資料!AN$2:AN$501,$BJ97)))</f>
        <v/>
      </c>
      <c r="AM97" s="6">
        <f>IF(OR($BJ97="",38&gt;設定!$B$3),"",IF(INDEX(原始資料!AO$2:AO$501,$BJ97)="","",INDEX(原始資料!AO$2:AO$501,$BJ97)))</f>
        <v/>
      </c>
      <c r="AN97" s="6">
        <f>IF(OR($BJ97="",39&gt;設定!$B$3),"",IF(INDEX(原始資料!AP$2:AP$501,$BJ97)="","",INDEX(原始資料!AP$2:AP$501,$BJ97)))</f>
        <v/>
      </c>
      <c r="AO97" s="6">
        <f>IF(OR($BJ97="",40&gt;設定!$B$3),"",IF(INDEX(原始資料!AQ$2:AQ$501,$BJ97)="","",INDEX(原始資料!AQ$2:AQ$501,$BJ97)))</f>
        <v/>
      </c>
      <c r="AP97" s="6">
        <f>IF(OR($BJ97="",41&gt;設定!$B$3),"",IF(INDEX(原始資料!AR$2:AR$501,$BJ97)="","",INDEX(原始資料!AR$2:AR$501,$BJ97)))</f>
        <v/>
      </c>
      <c r="AQ97" s="6">
        <f>IF(OR($BJ97="",42&gt;設定!$B$3),"",IF(INDEX(原始資料!AS$2:AS$501,$BJ97)="","",INDEX(原始資料!AS$2:AS$501,$BJ97)))</f>
        <v/>
      </c>
      <c r="AR97" s="6">
        <f>IF(OR($BJ97="",43&gt;設定!$B$3),"",IF(INDEX(原始資料!AT$2:AT$501,$BJ97)="","",INDEX(原始資料!AT$2:AT$501,$BJ97)))</f>
        <v/>
      </c>
      <c r="AS97" s="6">
        <f>IF(OR($BJ97="",44&gt;設定!$B$3),"",IF(INDEX(原始資料!AU$2:AU$501,$BJ97)="","",INDEX(原始資料!AU$2:AU$501,$BJ97)))</f>
        <v/>
      </c>
      <c r="AT97" s="6">
        <f>IF(OR($BJ97="",45&gt;設定!$B$3),"",IF(INDEX(原始資料!AV$2:AV$501,$BJ97)="","",INDEX(原始資料!AV$2:AV$501,$BJ97)))</f>
        <v/>
      </c>
      <c r="AU97" s="6">
        <f>IF(OR($BJ97="",46&gt;設定!$B$3),"",IF(INDEX(原始資料!AW$2:AW$501,$BJ97)="","",INDEX(原始資料!AW$2:AW$501,$BJ97)))</f>
        <v/>
      </c>
      <c r="AV97" s="6">
        <f>IF(OR($BJ97="",47&gt;設定!$B$3),"",IF(INDEX(原始資料!AX$2:AX$501,$BJ97)="","",INDEX(原始資料!AX$2:AX$501,$BJ97)))</f>
        <v/>
      </c>
      <c r="AW97" s="6">
        <f>IF(OR($BJ97="",48&gt;設定!$B$3),"",IF(INDEX(原始資料!AY$2:AY$501,$BJ97)="","",INDEX(原始資料!AY$2:AY$501,$BJ97)))</f>
        <v/>
      </c>
      <c r="AX97" s="6">
        <f>IF(OR($BJ97="",49&gt;設定!$B$3),"",IF(INDEX(原始資料!AZ$2:AZ$501,$BJ97)="","",INDEX(原始資料!AZ$2:AZ$501,$BJ97)))</f>
        <v/>
      </c>
      <c r="AY97" s="6">
        <f>IF(OR($BJ97="",50&gt;設定!$B$3),"",IF(INDEX(原始資料!BA$2:BA$501,$BJ97)="","",INDEX(原始資料!BA$2:BA$501,$BJ97)))</f>
        <v/>
      </c>
      <c r="AZ97" s="6">
        <f>IF(OR($BJ97="",51&gt;設定!$B$3),"",IF(INDEX(原始資料!BB$2:BB$501,$BJ97)="","",INDEX(原始資料!BB$2:BB$501,$BJ97)))</f>
        <v/>
      </c>
      <c r="BA97" s="6">
        <f>IF(OR($BJ97="",52&gt;設定!$B$3),"",IF(INDEX(原始資料!BC$2:BC$501,$BJ97)="","",INDEX(原始資料!BC$2:BC$501,$BJ97)))</f>
        <v/>
      </c>
      <c r="BB97" s="6">
        <f>IF(OR($BJ97="",53&gt;設定!$B$3),"",IF(INDEX(原始資料!BD$2:BD$501,$BJ97)="","",INDEX(原始資料!BD$2:BD$501,$BJ97)))</f>
        <v/>
      </c>
      <c r="BC97" s="6">
        <f>IF(OR($BJ97="",54&gt;設定!$B$3),"",IF(INDEX(原始資料!BE$2:BE$501,$BJ97)="","",INDEX(原始資料!BE$2:BE$501,$BJ97)))</f>
        <v/>
      </c>
      <c r="BD97" s="6">
        <f>IF(OR($BJ97="",55&gt;設定!$B$3),"",IF(INDEX(原始資料!BF$2:BF$501,$BJ97)="","",INDEX(原始資料!BF$2:BF$501,$BJ97)))</f>
        <v/>
      </c>
      <c r="BE97" s="6">
        <f>IF(OR($BJ97="",56&gt;設定!$B$3),"",IF(INDEX(原始資料!BG$2:BG$501,$BJ97)="","",INDEX(原始資料!BG$2:BG$501,$BJ97)))</f>
        <v/>
      </c>
      <c r="BF97" s="6">
        <f>IF(OR($BJ97="",57&gt;設定!$B$3),"",IF(INDEX(原始資料!BH$2:BH$501,$BJ97)="","",INDEX(原始資料!BH$2:BH$501,$BJ97)))</f>
        <v/>
      </c>
      <c r="BG97" s="6">
        <f>IF(OR($BJ97="",58&gt;設定!$B$3),"",IF(INDEX(原始資料!BI$2:BI$501,$BJ97)="","",INDEX(原始資料!BI$2:BI$501,$BJ97)))</f>
        <v/>
      </c>
      <c r="BH97" s="6">
        <f>IF(OR($BJ97="",59&gt;設定!$B$3),"",IF(INDEX(原始資料!BJ$2:BJ$501,$BJ97)="","",INDEX(原始資料!BJ$2:BJ$501,$BJ97)))</f>
        <v/>
      </c>
      <c r="BI97" s="6">
        <f>IF(OR($BJ97="",60&gt;設定!$B$3),"",IF(INDEX(原始資料!BK$2:BK$501,$BJ97)="","",INDEX(原始資料!BK$2:BK$501,$BJ97)))</f>
        <v/>
      </c>
      <c r="BJ97" s="6">
        <f>IFERROR(MATCH(ROW()-1,判定!$H$2:$H$501,0),"")</f>
        <v/>
      </c>
    </row>
    <row r="98">
      <c r="A98" s="6">
        <f>IF($BJ98="","",INDEX(原始資料!$A$2:$A$501,$BJ98))</f>
        <v/>
      </c>
      <c r="B98" s="6">
        <f>IF(OR($BJ98="",1&gt;設定!$B$3),"",IF(INDEX(原始資料!D$2:D$501,$BJ98)="","",INDEX(原始資料!D$2:D$501,$BJ98)))</f>
        <v/>
      </c>
      <c r="C98" s="6">
        <f>IF(OR($BJ98="",2&gt;設定!$B$3),"",IF(INDEX(原始資料!E$2:E$501,$BJ98)="","",INDEX(原始資料!E$2:E$501,$BJ98)))</f>
        <v/>
      </c>
      <c r="D98" s="6">
        <f>IF(OR($BJ98="",3&gt;設定!$B$3),"",IF(INDEX(原始資料!F$2:F$501,$BJ98)="","",INDEX(原始資料!F$2:F$501,$BJ98)))</f>
        <v/>
      </c>
      <c r="E98" s="6">
        <f>IF(OR($BJ98="",4&gt;設定!$B$3),"",IF(INDEX(原始資料!G$2:G$501,$BJ98)="","",INDEX(原始資料!G$2:G$501,$BJ98)))</f>
        <v/>
      </c>
      <c r="F98" s="6">
        <f>IF(OR($BJ98="",5&gt;設定!$B$3),"",IF(INDEX(原始資料!H$2:H$501,$BJ98)="","",INDEX(原始資料!H$2:H$501,$BJ98)))</f>
        <v/>
      </c>
      <c r="G98" s="6">
        <f>IF(OR($BJ98="",6&gt;設定!$B$3),"",IF(INDEX(原始資料!I$2:I$501,$BJ98)="","",INDEX(原始資料!I$2:I$501,$BJ98)))</f>
        <v/>
      </c>
      <c r="H98" s="6">
        <f>IF(OR($BJ98="",7&gt;設定!$B$3),"",IF(INDEX(原始資料!J$2:J$501,$BJ98)="","",INDEX(原始資料!J$2:J$501,$BJ98)))</f>
        <v/>
      </c>
      <c r="I98" s="6">
        <f>IF(OR($BJ98="",8&gt;設定!$B$3),"",IF(INDEX(原始資料!K$2:K$501,$BJ98)="","",INDEX(原始資料!K$2:K$501,$BJ98)))</f>
        <v/>
      </c>
      <c r="J98" s="6">
        <f>IF(OR($BJ98="",9&gt;設定!$B$3),"",IF(INDEX(原始資料!L$2:L$501,$BJ98)="","",INDEX(原始資料!L$2:L$501,$BJ98)))</f>
        <v/>
      </c>
      <c r="K98" s="6">
        <f>IF(OR($BJ98="",10&gt;設定!$B$3),"",IF(INDEX(原始資料!M$2:M$501,$BJ98)="","",INDEX(原始資料!M$2:M$501,$BJ98)))</f>
        <v/>
      </c>
      <c r="L98" s="6">
        <f>IF(OR($BJ98="",11&gt;設定!$B$3),"",IF(INDEX(原始資料!N$2:N$501,$BJ98)="","",INDEX(原始資料!N$2:N$501,$BJ98)))</f>
        <v/>
      </c>
      <c r="M98" s="6">
        <f>IF(OR($BJ98="",12&gt;設定!$B$3),"",IF(INDEX(原始資料!O$2:O$501,$BJ98)="","",INDEX(原始資料!O$2:O$501,$BJ98)))</f>
        <v/>
      </c>
      <c r="N98" s="6">
        <f>IF(OR($BJ98="",13&gt;設定!$B$3),"",IF(INDEX(原始資料!P$2:P$501,$BJ98)="","",INDEX(原始資料!P$2:P$501,$BJ98)))</f>
        <v/>
      </c>
      <c r="O98" s="6">
        <f>IF(OR($BJ98="",14&gt;設定!$B$3),"",IF(INDEX(原始資料!Q$2:Q$501,$BJ98)="","",INDEX(原始資料!Q$2:Q$501,$BJ98)))</f>
        <v/>
      </c>
      <c r="P98" s="6">
        <f>IF(OR($BJ98="",15&gt;設定!$B$3),"",IF(INDEX(原始資料!R$2:R$501,$BJ98)="","",INDEX(原始資料!R$2:R$501,$BJ98)))</f>
        <v/>
      </c>
      <c r="Q98" s="6">
        <f>IF(OR($BJ98="",16&gt;設定!$B$3),"",IF(INDEX(原始資料!S$2:S$501,$BJ98)="","",INDEX(原始資料!S$2:S$501,$BJ98)))</f>
        <v/>
      </c>
      <c r="R98" s="6">
        <f>IF(OR($BJ98="",17&gt;設定!$B$3),"",IF(INDEX(原始資料!T$2:T$501,$BJ98)="","",INDEX(原始資料!T$2:T$501,$BJ98)))</f>
        <v/>
      </c>
      <c r="S98" s="6">
        <f>IF(OR($BJ98="",18&gt;設定!$B$3),"",IF(INDEX(原始資料!U$2:U$501,$BJ98)="","",INDEX(原始資料!U$2:U$501,$BJ98)))</f>
        <v/>
      </c>
      <c r="T98" s="6">
        <f>IF(OR($BJ98="",19&gt;設定!$B$3),"",IF(INDEX(原始資料!V$2:V$501,$BJ98)="","",INDEX(原始資料!V$2:V$501,$BJ98)))</f>
        <v/>
      </c>
      <c r="U98" s="6">
        <f>IF(OR($BJ98="",20&gt;設定!$B$3),"",IF(INDEX(原始資料!W$2:W$501,$BJ98)="","",INDEX(原始資料!W$2:W$501,$BJ98)))</f>
        <v/>
      </c>
      <c r="V98" s="6">
        <f>IF(OR($BJ98="",21&gt;設定!$B$3),"",IF(INDEX(原始資料!X$2:X$501,$BJ98)="","",INDEX(原始資料!X$2:X$501,$BJ98)))</f>
        <v/>
      </c>
      <c r="W98" s="6">
        <f>IF(OR($BJ98="",22&gt;設定!$B$3),"",IF(INDEX(原始資料!Y$2:Y$501,$BJ98)="","",INDEX(原始資料!Y$2:Y$501,$BJ98)))</f>
        <v/>
      </c>
      <c r="X98" s="6">
        <f>IF(OR($BJ98="",23&gt;設定!$B$3),"",IF(INDEX(原始資料!Z$2:Z$501,$BJ98)="","",INDEX(原始資料!Z$2:Z$501,$BJ98)))</f>
        <v/>
      </c>
      <c r="Y98" s="6">
        <f>IF(OR($BJ98="",24&gt;設定!$B$3),"",IF(INDEX(原始資料!AA$2:AA$501,$BJ98)="","",INDEX(原始資料!AA$2:AA$501,$BJ98)))</f>
        <v/>
      </c>
      <c r="Z98" s="6">
        <f>IF(OR($BJ98="",25&gt;設定!$B$3),"",IF(INDEX(原始資料!AB$2:AB$501,$BJ98)="","",INDEX(原始資料!AB$2:AB$501,$BJ98)))</f>
        <v/>
      </c>
      <c r="AA98" s="6">
        <f>IF(OR($BJ98="",26&gt;設定!$B$3),"",IF(INDEX(原始資料!AC$2:AC$501,$BJ98)="","",INDEX(原始資料!AC$2:AC$501,$BJ98)))</f>
        <v/>
      </c>
      <c r="AB98" s="6">
        <f>IF(OR($BJ98="",27&gt;設定!$B$3),"",IF(INDEX(原始資料!AD$2:AD$501,$BJ98)="","",INDEX(原始資料!AD$2:AD$501,$BJ98)))</f>
        <v/>
      </c>
      <c r="AC98" s="6">
        <f>IF(OR($BJ98="",28&gt;設定!$B$3),"",IF(INDEX(原始資料!AE$2:AE$501,$BJ98)="","",INDEX(原始資料!AE$2:AE$501,$BJ98)))</f>
        <v/>
      </c>
      <c r="AD98" s="6">
        <f>IF(OR($BJ98="",29&gt;設定!$B$3),"",IF(INDEX(原始資料!AF$2:AF$501,$BJ98)="","",INDEX(原始資料!AF$2:AF$501,$BJ98)))</f>
        <v/>
      </c>
      <c r="AE98" s="6">
        <f>IF(OR($BJ98="",30&gt;設定!$B$3),"",IF(INDEX(原始資料!AG$2:AG$501,$BJ98)="","",INDEX(原始資料!AG$2:AG$501,$BJ98)))</f>
        <v/>
      </c>
      <c r="AF98" s="6">
        <f>IF(OR($BJ98="",31&gt;設定!$B$3),"",IF(INDEX(原始資料!AH$2:AH$501,$BJ98)="","",INDEX(原始資料!AH$2:AH$501,$BJ98)))</f>
        <v/>
      </c>
      <c r="AG98" s="6">
        <f>IF(OR($BJ98="",32&gt;設定!$B$3),"",IF(INDEX(原始資料!AI$2:AI$501,$BJ98)="","",INDEX(原始資料!AI$2:AI$501,$BJ98)))</f>
        <v/>
      </c>
      <c r="AH98" s="6">
        <f>IF(OR($BJ98="",33&gt;設定!$B$3),"",IF(INDEX(原始資料!AJ$2:AJ$501,$BJ98)="","",INDEX(原始資料!AJ$2:AJ$501,$BJ98)))</f>
        <v/>
      </c>
      <c r="AI98" s="6">
        <f>IF(OR($BJ98="",34&gt;設定!$B$3),"",IF(INDEX(原始資料!AK$2:AK$501,$BJ98)="","",INDEX(原始資料!AK$2:AK$501,$BJ98)))</f>
        <v/>
      </c>
      <c r="AJ98" s="6">
        <f>IF(OR($BJ98="",35&gt;設定!$B$3),"",IF(INDEX(原始資料!AL$2:AL$501,$BJ98)="","",INDEX(原始資料!AL$2:AL$501,$BJ98)))</f>
        <v/>
      </c>
      <c r="AK98" s="6">
        <f>IF(OR($BJ98="",36&gt;設定!$B$3),"",IF(INDEX(原始資料!AM$2:AM$501,$BJ98)="","",INDEX(原始資料!AM$2:AM$501,$BJ98)))</f>
        <v/>
      </c>
      <c r="AL98" s="6">
        <f>IF(OR($BJ98="",37&gt;設定!$B$3),"",IF(INDEX(原始資料!AN$2:AN$501,$BJ98)="","",INDEX(原始資料!AN$2:AN$501,$BJ98)))</f>
        <v/>
      </c>
      <c r="AM98" s="6">
        <f>IF(OR($BJ98="",38&gt;設定!$B$3),"",IF(INDEX(原始資料!AO$2:AO$501,$BJ98)="","",INDEX(原始資料!AO$2:AO$501,$BJ98)))</f>
        <v/>
      </c>
      <c r="AN98" s="6">
        <f>IF(OR($BJ98="",39&gt;設定!$B$3),"",IF(INDEX(原始資料!AP$2:AP$501,$BJ98)="","",INDEX(原始資料!AP$2:AP$501,$BJ98)))</f>
        <v/>
      </c>
      <c r="AO98" s="6">
        <f>IF(OR($BJ98="",40&gt;設定!$B$3),"",IF(INDEX(原始資料!AQ$2:AQ$501,$BJ98)="","",INDEX(原始資料!AQ$2:AQ$501,$BJ98)))</f>
        <v/>
      </c>
      <c r="AP98" s="6">
        <f>IF(OR($BJ98="",41&gt;設定!$B$3),"",IF(INDEX(原始資料!AR$2:AR$501,$BJ98)="","",INDEX(原始資料!AR$2:AR$501,$BJ98)))</f>
        <v/>
      </c>
      <c r="AQ98" s="6">
        <f>IF(OR($BJ98="",42&gt;設定!$B$3),"",IF(INDEX(原始資料!AS$2:AS$501,$BJ98)="","",INDEX(原始資料!AS$2:AS$501,$BJ98)))</f>
        <v/>
      </c>
      <c r="AR98" s="6">
        <f>IF(OR($BJ98="",43&gt;設定!$B$3),"",IF(INDEX(原始資料!AT$2:AT$501,$BJ98)="","",INDEX(原始資料!AT$2:AT$501,$BJ98)))</f>
        <v/>
      </c>
      <c r="AS98" s="6">
        <f>IF(OR($BJ98="",44&gt;設定!$B$3),"",IF(INDEX(原始資料!AU$2:AU$501,$BJ98)="","",INDEX(原始資料!AU$2:AU$501,$BJ98)))</f>
        <v/>
      </c>
      <c r="AT98" s="6">
        <f>IF(OR($BJ98="",45&gt;設定!$B$3),"",IF(INDEX(原始資料!AV$2:AV$501,$BJ98)="","",INDEX(原始資料!AV$2:AV$501,$BJ98)))</f>
        <v/>
      </c>
      <c r="AU98" s="6">
        <f>IF(OR($BJ98="",46&gt;設定!$B$3),"",IF(INDEX(原始資料!AW$2:AW$501,$BJ98)="","",INDEX(原始資料!AW$2:AW$501,$BJ98)))</f>
        <v/>
      </c>
      <c r="AV98" s="6">
        <f>IF(OR($BJ98="",47&gt;設定!$B$3),"",IF(INDEX(原始資料!AX$2:AX$501,$BJ98)="","",INDEX(原始資料!AX$2:AX$501,$BJ98)))</f>
        <v/>
      </c>
      <c r="AW98" s="6">
        <f>IF(OR($BJ98="",48&gt;設定!$B$3),"",IF(INDEX(原始資料!AY$2:AY$501,$BJ98)="","",INDEX(原始資料!AY$2:AY$501,$BJ98)))</f>
        <v/>
      </c>
      <c r="AX98" s="6">
        <f>IF(OR($BJ98="",49&gt;設定!$B$3),"",IF(INDEX(原始資料!AZ$2:AZ$501,$BJ98)="","",INDEX(原始資料!AZ$2:AZ$501,$BJ98)))</f>
        <v/>
      </c>
      <c r="AY98" s="6">
        <f>IF(OR($BJ98="",50&gt;設定!$B$3),"",IF(INDEX(原始資料!BA$2:BA$501,$BJ98)="","",INDEX(原始資料!BA$2:BA$501,$BJ98)))</f>
        <v/>
      </c>
      <c r="AZ98" s="6">
        <f>IF(OR($BJ98="",51&gt;設定!$B$3),"",IF(INDEX(原始資料!BB$2:BB$501,$BJ98)="","",INDEX(原始資料!BB$2:BB$501,$BJ98)))</f>
        <v/>
      </c>
      <c r="BA98" s="6">
        <f>IF(OR($BJ98="",52&gt;設定!$B$3),"",IF(INDEX(原始資料!BC$2:BC$501,$BJ98)="","",INDEX(原始資料!BC$2:BC$501,$BJ98)))</f>
        <v/>
      </c>
      <c r="BB98" s="6">
        <f>IF(OR($BJ98="",53&gt;設定!$B$3),"",IF(INDEX(原始資料!BD$2:BD$501,$BJ98)="","",INDEX(原始資料!BD$2:BD$501,$BJ98)))</f>
        <v/>
      </c>
      <c r="BC98" s="6">
        <f>IF(OR($BJ98="",54&gt;設定!$B$3),"",IF(INDEX(原始資料!BE$2:BE$501,$BJ98)="","",INDEX(原始資料!BE$2:BE$501,$BJ98)))</f>
        <v/>
      </c>
      <c r="BD98" s="6">
        <f>IF(OR($BJ98="",55&gt;設定!$B$3),"",IF(INDEX(原始資料!BF$2:BF$501,$BJ98)="","",INDEX(原始資料!BF$2:BF$501,$BJ98)))</f>
        <v/>
      </c>
      <c r="BE98" s="6">
        <f>IF(OR($BJ98="",56&gt;設定!$B$3),"",IF(INDEX(原始資料!BG$2:BG$501,$BJ98)="","",INDEX(原始資料!BG$2:BG$501,$BJ98)))</f>
        <v/>
      </c>
      <c r="BF98" s="6">
        <f>IF(OR($BJ98="",57&gt;設定!$B$3),"",IF(INDEX(原始資料!BH$2:BH$501,$BJ98)="","",INDEX(原始資料!BH$2:BH$501,$BJ98)))</f>
        <v/>
      </c>
      <c r="BG98" s="6">
        <f>IF(OR($BJ98="",58&gt;設定!$B$3),"",IF(INDEX(原始資料!BI$2:BI$501,$BJ98)="","",INDEX(原始資料!BI$2:BI$501,$BJ98)))</f>
        <v/>
      </c>
      <c r="BH98" s="6">
        <f>IF(OR($BJ98="",59&gt;設定!$B$3),"",IF(INDEX(原始資料!BJ$2:BJ$501,$BJ98)="","",INDEX(原始資料!BJ$2:BJ$501,$BJ98)))</f>
        <v/>
      </c>
      <c r="BI98" s="6">
        <f>IF(OR($BJ98="",60&gt;設定!$B$3),"",IF(INDEX(原始資料!BK$2:BK$501,$BJ98)="","",INDEX(原始資料!BK$2:BK$501,$BJ98)))</f>
        <v/>
      </c>
      <c r="BJ98" s="6">
        <f>IFERROR(MATCH(ROW()-1,判定!$H$2:$H$501,0),"")</f>
        <v/>
      </c>
    </row>
    <row r="99">
      <c r="A99" s="6">
        <f>IF($BJ99="","",INDEX(原始資料!$A$2:$A$501,$BJ99))</f>
        <v/>
      </c>
      <c r="B99" s="6">
        <f>IF(OR($BJ99="",1&gt;設定!$B$3),"",IF(INDEX(原始資料!D$2:D$501,$BJ99)="","",INDEX(原始資料!D$2:D$501,$BJ99)))</f>
        <v/>
      </c>
      <c r="C99" s="6">
        <f>IF(OR($BJ99="",2&gt;設定!$B$3),"",IF(INDEX(原始資料!E$2:E$501,$BJ99)="","",INDEX(原始資料!E$2:E$501,$BJ99)))</f>
        <v/>
      </c>
      <c r="D99" s="6">
        <f>IF(OR($BJ99="",3&gt;設定!$B$3),"",IF(INDEX(原始資料!F$2:F$501,$BJ99)="","",INDEX(原始資料!F$2:F$501,$BJ99)))</f>
        <v/>
      </c>
      <c r="E99" s="6">
        <f>IF(OR($BJ99="",4&gt;設定!$B$3),"",IF(INDEX(原始資料!G$2:G$501,$BJ99)="","",INDEX(原始資料!G$2:G$501,$BJ99)))</f>
        <v/>
      </c>
      <c r="F99" s="6">
        <f>IF(OR($BJ99="",5&gt;設定!$B$3),"",IF(INDEX(原始資料!H$2:H$501,$BJ99)="","",INDEX(原始資料!H$2:H$501,$BJ99)))</f>
        <v/>
      </c>
      <c r="G99" s="6">
        <f>IF(OR($BJ99="",6&gt;設定!$B$3),"",IF(INDEX(原始資料!I$2:I$501,$BJ99)="","",INDEX(原始資料!I$2:I$501,$BJ99)))</f>
        <v/>
      </c>
      <c r="H99" s="6">
        <f>IF(OR($BJ99="",7&gt;設定!$B$3),"",IF(INDEX(原始資料!J$2:J$501,$BJ99)="","",INDEX(原始資料!J$2:J$501,$BJ99)))</f>
        <v/>
      </c>
      <c r="I99" s="6">
        <f>IF(OR($BJ99="",8&gt;設定!$B$3),"",IF(INDEX(原始資料!K$2:K$501,$BJ99)="","",INDEX(原始資料!K$2:K$501,$BJ99)))</f>
        <v/>
      </c>
      <c r="J99" s="6">
        <f>IF(OR($BJ99="",9&gt;設定!$B$3),"",IF(INDEX(原始資料!L$2:L$501,$BJ99)="","",INDEX(原始資料!L$2:L$501,$BJ99)))</f>
        <v/>
      </c>
      <c r="K99" s="6">
        <f>IF(OR($BJ99="",10&gt;設定!$B$3),"",IF(INDEX(原始資料!M$2:M$501,$BJ99)="","",INDEX(原始資料!M$2:M$501,$BJ99)))</f>
        <v/>
      </c>
      <c r="L99" s="6">
        <f>IF(OR($BJ99="",11&gt;設定!$B$3),"",IF(INDEX(原始資料!N$2:N$501,$BJ99)="","",INDEX(原始資料!N$2:N$501,$BJ99)))</f>
        <v/>
      </c>
      <c r="M99" s="6">
        <f>IF(OR($BJ99="",12&gt;設定!$B$3),"",IF(INDEX(原始資料!O$2:O$501,$BJ99)="","",INDEX(原始資料!O$2:O$501,$BJ99)))</f>
        <v/>
      </c>
      <c r="N99" s="6">
        <f>IF(OR($BJ99="",13&gt;設定!$B$3),"",IF(INDEX(原始資料!P$2:P$501,$BJ99)="","",INDEX(原始資料!P$2:P$501,$BJ99)))</f>
        <v/>
      </c>
      <c r="O99" s="6">
        <f>IF(OR($BJ99="",14&gt;設定!$B$3),"",IF(INDEX(原始資料!Q$2:Q$501,$BJ99)="","",INDEX(原始資料!Q$2:Q$501,$BJ99)))</f>
        <v/>
      </c>
      <c r="P99" s="6">
        <f>IF(OR($BJ99="",15&gt;設定!$B$3),"",IF(INDEX(原始資料!R$2:R$501,$BJ99)="","",INDEX(原始資料!R$2:R$501,$BJ99)))</f>
        <v/>
      </c>
      <c r="Q99" s="6">
        <f>IF(OR($BJ99="",16&gt;設定!$B$3),"",IF(INDEX(原始資料!S$2:S$501,$BJ99)="","",INDEX(原始資料!S$2:S$501,$BJ99)))</f>
        <v/>
      </c>
      <c r="R99" s="6">
        <f>IF(OR($BJ99="",17&gt;設定!$B$3),"",IF(INDEX(原始資料!T$2:T$501,$BJ99)="","",INDEX(原始資料!T$2:T$501,$BJ99)))</f>
        <v/>
      </c>
      <c r="S99" s="6">
        <f>IF(OR($BJ99="",18&gt;設定!$B$3),"",IF(INDEX(原始資料!U$2:U$501,$BJ99)="","",INDEX(原始資料!U$2:U$501,$BJ99)))</f>
        <v/>
      </c>
      <c r="T99" s="6">
        <f>IF(OR($BJ99="",19&gt;設定!$B$3),"",IF(INDEX(原始資料!V$2:V$501,$BJ99)="","",INDEX(原始資料!V$2:V$501,$BJ99)))</f>
        <v/>
      </c>
      <c r="U99" s="6">
        <f>IF(OR($BJ99="",20&gt;設定!$B$3),"",IF(INDEX(原始資料!W$2:W$501,$BJ99)="","",INDEX(原始資料!W$2:W$501,$BJ99)))</f>
        <v/>
      </c>
      <c r="V99" s="6">
        <f>IF(OR($BJ99="",21&gt;設定!$B$3),"",IF(INDEX(原始資料!X$2:X$501,$BJ99)="","",INDEX(原始資料!X$2:X$501,$BJ99)))</f>
        <v/>
      </c>
      <c r="W99" s="6">
        <f>IF(OR($BJ99="",22&gt;設定!$B$3),"",IF(INDEX(原始資料!Y$2:Y$501,$BJ99)="","",INDEX(原始資料!Y$2:Y$501,$BJ99)))</f>
        <v/>
      </c>
      <c r="X99" s="6">
        <f>IF(OR($BJ99="",23&gt;設定!$B$3),"",IF(INDEX(原始資料!Z$2:Z$501,$BJ99)="","",INDEX(原始資料!Z$2:Z$501,$BJ99)))</f>
        <v/>
      </c>
      <c r="Y99" s="6">
        <f>IF(OR($BJ99="",24&gt;設定!$B$3),"",IF(INDEX(原始資料!AA$2:AA$501,$BJ99)="","",INDEX(原始資料!AA$2:AA$501,$BJ99)))</f>
        <v/>
      </c>
      <c r="Z99" s="6">
        <f>IF(OR($BJ99="",25&gt;設定!$B$3),"",IF(INDEX(原始資料!AB$2:AB$501,$BJ99)="","",INDEX(原始資料!AB$2:AB$501,$BJ99)))</f>
        <v/>
      </c>
      <c r="AA99" s="6">
        <f>IF(OR($BJ99="",26&gt;設定!$B$3),"",IF(INDEX(原始資料!AC$2:AC$501,$BJ99)="","",INDEX(原始資料!AC$2:AC$501,$BJ99)))</f>
        <v/>
      </c>
      <c r="AB99" s="6">
        <f>IF(OR($BJ99="",27&gt;設定!$B$3),"",IF(INDEX(原始資料!AD$2:AD$501,$BJ99)="","",INDEX(原始資料!AD$2:AD$501,$BJ99)))</f>
        <v/>
      </c>
      <c r="AC99" s="6">
        <f>IF(OR($BJ99="",28&gt;設定!$B$3),"",IF(INDEX(原始資料!AE$2:AE$501,$BJ99)="","",INDEX(原始資料!AE$2:AE$501,$BJ99)))</f>
        <v/>
      </c>
      <c r="AD99" s="6">
        <f>IF(OR($BJ99="",29&gt;設定!$B$3),"",IF(INDEX(原始資料!AF$2:AF$501,$BJ99)="","",INDEX(原始資料!AF$2:AF$501,$BJ99)))</f>
        <v/>
      </c>
      <c r="AE99" s="6">
        <f>IF(OR($BJ99="",30&gt;設定!$B$3),"",IF(INDEX(原始資料!AG$2:AG$501,$BJ99)="","",INDEX(原始資料!AG$2:AG$501,$BJ99)))</f>
        <v/>
      </c>
      <c r="AF99" s="6">
        <f>IF(OR($BJ99="",31&gt;設定!$B$3),"",IF(INDEX(原始資料!AH$2:AH$501,$BJ99)="","",INDEX(原始資料!AH$2:AH$501,$BJ99)))</f>
        <v/>
      </c>
      <c r="AG99" s="6">
        <f>IF(OR($BJ99="",32&gt;設定!$B$3),"",IF(INDEX(原始資料!AI$2:AI$501,$BJ99)="","",INDEX(原始資料!AI$2:AI$501,$BJ99)))</f>
        <v/>
      </c>
      <c r="AH99" s="6">
        <f>IF(OR($BJ99="",33&gt;設定!$B$3),"",IF(INDEX(原始資料!AJ$2:AJ$501,$BJ99)="","",INDEX(原始資料!AJ$2:AJ$501,$BJ99)))</f>
        <v/>
      </c>
      <c r="AI99" s="6">
        <f>IF(OR($BJ99="",34&gt;設定!$B$3),"",IF(INDEX(原始資料!AK$2:AK$501,$BJ99)="","",INDEX(原始資料!AK$2:AK$501,$BJ99)))</f>
        <v/>
      </c>
      <c r="AJ99" s="6">
        <f>IF(OR($BJ99="",35&gt;設定!$B$3),"",IF(INDEX(原始資料!AL$2:AL$501,$BJ99)="","",INDEX(原始資料!AL$2:AL$501,$BJ99)))</f>
        <v/>
      </c>
      <c r="AK99" s="6">
        <f>IF(OR($BJ99="",36&gt;設定!$B$3),"",IF(INDEX(原始資料!AM$2:AM$501,$BJ99)="","",INDEX(原始資料!AM$2:AM$501,$BJ99)))</f>
        <v/>
      </c>
      <c r="AL99" s="6">
        <f>IF(OR($BJ99="",37&gt;設定!$B$3),"",IF(INDEX(原始資料!AN$2:AN$501,$BJ99)="","",INDEX(原始資料!AN$2:AN$501,$BJ99)))</f>
        <v/>
      </c>
      <c r="AM99" s="6">
        <f>IF(OR($BJ99="",38&gt;設定!$B$3),"",IF(INDEX(原始資料!AO$2:AO$501,$BJ99)="","",INDEX(原始資料!AO$2:AO$501,$BJ99)))</f>
        <v/>
      </c>
      <c r="AN99" s="6">
        <f>IF(OR($BJ99="",39&gt;設定!$B$3),"",IF(INDEX(原始資料!AP$2:AP$501,$BJ99)="","",INDEX(原始資料!AP$2:AP$501,$BJ99)))</f>
        <v/>
      </c>
      <c r="AO99" s="6">
        <f>IF(OR($BJ99="",40&gt;設定!$B$3),"",IF(INDEX(原始資料!AQ$2:AQ$501,$BJ99)="","",INDEX(原始資料!AQ$2:AQ$501,$BJ99)))</f>
        <v/>
      </c>
      <c r="AP99" s="6">
        <f>IF(OR($BJ99="",41&gt;設定!$B$3),"",IF(INDEX(原始資料!AR$2:AR$501,$BJ99)="","",INDEX(原始資料!AR$2:AR$501,$BJ99)))</f>
        <v/>
      </c>
      <c r="AQ99" s="6">
        <f>IF(OR($BJ99="",42&gt;設定!$B$3),"",IF(INDEX(原始資料!AS$2:AS$501,$BJ99)="","",INDEX(原始資料!AS$2:AS$501,$BJ99)))</f>
        <v/>
      </c>
      <c r="AR99" s="6">
        <f>IF(OR($BJ99="",43&gt;設定!$B$3),"",IF(INDEX(原始資料!AT$2:AT$501,$BJ99)="","",INDEX(原始資料!AT$2:AT$501,$BJ99)))</f>
        <v/>
      </c>
      <c r="AS99" s="6">
        <f>IF(OR($BJ99="",44&gt;設定!$B$3),"",IF(INDEX(原始資料!AU$2:AU$501,$BJ99)="","",INDEX(原始資料!AU$2:AU$501,$BJ99)))</f>
        <v/>
      </c>
      <c r="AT99" s="6">
        <f>IF(OR($BJ99="",45&gt;設定!$B$3),"",IF(INDEX(原始資料!AV$2:AV$501,$BJ99)="","",INDEX(原始資料!AV$2:AV$501,$BJ99)))</f>
        <v/>
      </c>
      <c r="AU99" s="6">
        <f>IF(OR($BJ99="",46&gt;設定!$B$3),"",IF(INDEX(原始資料!AW$2:AW$501,$BJ99)="","",INDEX(原始資料!AW$2:AW$501,$BJ99)))</f>
        <v/>
      </c>
      <c r="AV99" s="6">
        <f>IF(OR($BJ99="",47&gt;設定!$B$3),"",IF(INDEX(原始資料!AX$2:AX$501,$BJ99)="","",INDEX(原始資料!AX$2:AX$501,$BJ99)))</f>
        <v/>
      </c>
      <c r="AW99" s="6">
        <f>IF(OR($BJ99="",48&gt;設定!$B$3),"",IF(INDEX(原始資料!AY$2:AY$501,$BJ99)="","",INDEX(原始資料!AY$2:AY$501,$BJ99)))</f>
        <v/>
      </c>
      <c r="AX99" s="6">
        <f>IF(OR($BJ99="",49&gt;設定!$B$3),"",IF(INDEX(原始資料!AZ$2:AZ$501,$BJ99)="","",INDEX(原始資料!AZ$2:AZ$501,$BJ99)))</f>
        <v/>
      </c>
      <c r="AY99" s="6">
        <f>IF(OR($BJ99="",50&gt;設定!$B$3),"",IF(INDEX(原始資料!BA$2:BA$501,$BJ99)="","",INDEX(原始資料!BA$2:BA$501,$BJ99)))</f>
        <v/>
      </c>
      <c r="AZ99" s="6">
        <f>IF(OR($BJ99="",51&gt;設定!$B$3),"",IF(INDEX(原始資料!BB$2:BB$501,$BJ99)="","",INDEX(原始資料!BB$2:BB$501,$BJ99)))</f>
        <v/>
      </c>
      <c r="BA99" s="6">
        <f>IF(OR($BJ99="",52&gt;設定!$B$3),"",IF(INDEX(原始資料!BC$2:BC$501,$BJ99)="","",INDEX(原始資料!BC$2:BC$501,$BJ99)))</f>
        <v/>
      </c>
      <c r="BB99" s="6">
        <f>IF(OR($BJ99="",53&gt;設定!$B$3),"",IF(INDEX(原始資料!BD$2:BD$501,$BJ99)="","",INDEX(原始資料!BD$2:BD$501,$BJ99)))</f>
        <v/>
      </c>
      <c r="BC99" s="6">
        <f>IF(OR($BJ99="",54&gt;設定!$B$3),"",IF(INDEX(原始資料!BE$2:BE$501,$BJ99)="","",INDEX(原始資料!BE$2:BE$501,$BJ99)))</f>
        <v/>
      </c>
      <c r="BD99" s="6">
        <f>IF(OR($BJ99="",55&gt;設定!$B$3),"",IF(INDEX(原始資料!BF$2:BF$501,$BJ99)="","",INDEX(原始資料!BF$2:BF$501,$BJ99)))</f>
        <v/>
      </c>
      <c r="BE99" s="6">
        <f>IF(OR($BJ99="",56&gt;設定!$B$3),"",IF(INDEX(原始資料!BG$2:BG$501,$BJ99)="","",INDEX(原始資料!BG$2:BG$501,$BJ99)))</f>
        <v/>
      </c>
      <c r="BF99" s="6">
        <f>IF(OR($BJ99="",57&gt;設定!$B$3),"",IF(INDEX(原始資料!BH$2:BH$501,$BJ99)="","",INDEX(原始資料!BH$2:BH$501,$BJ99)))</f>
        <v/>
      </c>
      <c r="BG99" s="6">
        <f>IF(OR($BJ99="",58&gt;設定!$B$3),"",IF(INDEX(原始資料!BI$2:BI$501,$BJ99)="","",INDEX(原始資料!BI$2:BI$501,$BJ99)))</f>
        <v/>
      </c>
      <c r="BH99" s="6">
        <f>IF(OR($BJ99="",59&gt;設定!$B$3),"",IF(INDEX(原始資料!BJ$2:BJ$501,$BJ99)="","",INDEX(原始資料!BJ$2:BJ$501,$BJ99)))</f>
        <v/>
      </c>
      <c r="BI99" s="6">
        <f>IF(OR($BJ99="",60&gt;設定!$B$3),"",IF(INDEX(原始資料!BK$2:BK$501,$BJ99)="","",INDEX(原始資料!BK$2:BK$501,$BJ99)))</f>
        <v/>
      </c>
      <c r="BJ99" s="6">
        <f>IFERROR(MATCH(ROW()-1,判定!$H$2:$H$501,0),"")</f>
        <v/>
      </c>
    </row>
    <row r="100">
      <c r="A100" s="6">
        <f>IF($BJ100="","",INDEX(原始資料!$A$2:$A$501,$BJ100))</f>
        <v/>
      </c>
      <c r="B100" s="6">
        <f>IF(OR($BJ100="",1&gt;設定!$B$3),"",IF(INDEX(原始資料!D$2:D$501,$BJ100)="","",INDEX(原始資料!D$2:D$501,$BJ100)))</f>
        <v/>
      </c>
      <c r="C100" s="6">
        <f>IF(OR($BJ100="",2&gt;設定!$B$3),"",IF(INDEX(原始資料!E$2:E$501,$BJ100)="","",INDEX(原始資料!E$2:E$501,$BJ100)))</f>
        <v/>
      </c>
      <c r="D100" s="6">
        <f>IF(OR($BJ100="",3&gt;設定!$B$3),"",IF(INDEX(原始資料!F$2:F$501,$BJ100)="","",INDEX(原始資料!F$2:F$501,$BJ100)))</f>
        <v/>
      </c>
      <c r="E100" s="6">
        <f>IF(OR($BJ100="",4&gt;設定!$B$3),"",IF(INDEX(原始資料!G$2:G$501,$BJ100)="","",INDEX(原始資料!G$2:G$501,$BJ100)))</f>
        <v/>
      </c>
      <c r="F100" s="6">
        <f>IF(OR($BJ100="",5&gt;設定!$B$3),"",IF(INDEX(原始資料!H$2:H$501,$BJ100)="","",INDEX(原始資料!H$2:H$501,$BJ100)))</f>
        <v/>
      </c>
      <c r="G100" s="6">
        <f>IF(OR($BJ100="",6&gt;設定!$B$3),"",IF(INDEX(原始資料!I$2:I$501,$BJ100)="","",INDEX(原始資料!I$2:I$501,$BJ100)))</f>
        <v/>
      </c>
      <c r="H100" s="6">
        <f>IF(OR($BJ100="",7&gt;設定!$B$3),"",IF(INDEX(原始資料!J$2:J$501,$BJ100)="","",INDEX(原始資料!J$2:J$501,$BJ100)))</f>
        <v/>
      </c>
      <c r="I100" s="6">
        <f>IF(OR($BJ100="",8&gt;設定!$B$3),"",IF(INDEX(原始資料!K$2:K$501,$BJ100)="","",INDEX(原始資料!K$2:K$501,$BJ100)))</f>
        <v/>
      </c>
      <c r="J100" s="6">
        <f>IF(OR($BJ100="",9&gt;設定!$B$3),"",IF(INDEX(原始資料!L$2:L$501,$BJ100)="","",INDEX(原始資料!L$2:L$501,$BJ100)))</f>
        <v/>
      </c>
      <c r="K100" s="6">
        <f>IF(OR($BJ100="",10&gt;設定!$B$3),"",IF(INDEX(原始資料!M$2:M$501,$BJ100)="","",INDEX(原始資料!M$2:M$501,$BJ100)))</f>
        <v/>
      </c>
      <c r="L100" s="6">
        <f>IF(OR($BJ100="",11&gt;設定!$B$3),"",IF(INDEX(原始資料!N$2:N$501,$BJ100)="","",INDEX(原始資料!N$2:N$501,$BJ100)))</f>
        <v/>
      </c>
      <c r="M100" s="6">
        <f>IF(OR($BJ100="",12&gt;設定!$B$3),"",IF(INDEX(原始資料!O$2:O$501,$BJ100)="","",INDEX(原始資料!O$2:O$501,$BJ100)))</f>
        <v/>
      </c>
      <c r="N100" s="6">
        <f>IF(OR($BJ100="",13&gt;設定!$B$3),"",IF(INDEX(原始資料!P$2:P$501,$BJ100)="","",INDEX(原始資料!P$2:P$501,$BJ100)))</f>
        <v/>
      </c>
      <c r="O100" s="6">
        <f>IF(OR($BJ100="",14&gt;設定!$B$3),"",IF(INDEX(原始資料!Q$2:Q$501,$BJ100)="","",INDEX(原始資料!Q$2:Q$501,$BJ100)))</f>
        <v/>
      </c>
      <c r="P100" s="6">
        <f>IF(OR($BJ100="",15&gt;設定!$B$3),"",IF(INDEX(原始資料!R$2:R$501,$BJ100)="","",INDEX(原始資料!R$2:R$501,$BJ100)))</f>
        <v/>
      </c>
      <c r="Q100" s="6">
        <f>IF(OR($BJ100="",16&gt;設定!$B$3),"",IF(INDEX(原始資料!S$2:S$501,$BJ100)="","",INDEX(原始資料!S$2:S$501,$BJ100)))</f>
        <v/>
      </c>
      <c r="R100" s="6">
        <f>IF(OR($BJ100="",17&gt;設定!$B$3),"",IF(INDEX(原始資料!T$2:T$501,$BJ100)="","",INDEX(原始資料!T$2:T$501,$BJ100)))</f>
        <v/>
      </c>
      <c r="S100" s="6">
        <f>IF(OR($BJ100="",18&gt;設定!$B$3),"",IF(INDEX(原始資料!U$2:U$501,$BJ100)="","",INDEX(原始資料!U$2:U$501,$BJ100)))</f>
        <v/>
      </c>
      <c r="T100" s="6">
        <f>IF(OR($BJ100="",19&gt;設定!$B$3),"",IF(INDEX(原始資料!V$2:V$501,$BJ100)="","",INDEX(原始資料!V$2:V$501,$BJ100)))</f>
        <v/>
      </c>
      <c r="U100" s="6">
        <f>IF(OR($BJ100="",20&gt;設定!$B$3),"",IF(INDEX(原始資料!W$2:W$501,$BJ100)="","",INDEX(原始資料!W$2:W$501,$BJ100)))</f>
        <v/>
      </c>
      <c r="V100" s="6">
        <f>IF(OR($BJ100="",21&gt;設定!$B$3),"",IF(INDEX(原始資料!X$2:X$501,$BJ100)="","",INDEX(原始資料!X$2:X$501,$BJ100)))</f>
        <v/>
      </c>
      <c r="W100" s="6">
        <f>IF(OR($BJ100="",22&gt;設定!$B$3),"",IF(INDEX(原始資料!Y$2:Y$501,$BJ100)="","",INDEX(原始資料!Y$2:Y$501,$BJ100)))</f>
        <v/>
      </c>
      <c r="X100" s="6">
        <f>IF(OR($BJ100="",23&gt;設定!$B$3),"",IF(INDEX(原始資料!Z$2:Z$501,$BJ100)="","",INDEX(原始資料!Z$2:Z$501,$BJ100)))</f>
        <v/>
      </c>
      <c r="Y100" s="6">
        <f>IF(OR($BJ100="",24&gt;設定!$B$3),"",IF(INDEX(原始資料!AA$2:AA$501,$BJ100)="","",INDEX(原始資料!AA$2:AA$501,$BJ100)))</f>
        <v/>
      </c>
      <c r="Z100" s="6">
        <f>IF(OR($BJ100="",25&gt;設定!$B$3),"",IF(INDEX(原始資料!AB$2:AB$501,$BJ100)="","",INDEX(原始資料!AB$2:AB$501,$BJ100)))</f>
        <v/>
      </c>
      <c r="AA100" s="6">
        <f>IF(OR($BJ100="",26&gt;設定!$B$3),"",IF(INDEX(原始資料!AC$2:AC$501,$BJ100)="","",INDEX(原始資料!AC$2:AC$501,$BJ100)))</f>
        <v/>
      </c>
      <c r="AB100" s="6">
        <f>IF(OR($BJ100="",27&gt;設定!$B$3),"",IF(INDEX(原始資料!AD$2:AD$501,$BJ100)="","",INDEX(原始資料!AD$2:AD$501,$BJ100)))</f>
        <v/>
      </c>
      <c r="AC100" s="6">
        <f>IF(OR($BJ100="",28&gt;設定!$B$3),"",IF(INDEX(原始資料!AE$2:AE$501,$BJ100)="","",INDEX(原始資料!AE$2:AE$501,$BJ100)))</f>
        <v/>
      </c>
      <c r="AD100" s="6">
        <f>IF(OR($BJ100="",29&gt;設定!$B$3),"",IF(INDEX(原始資料!AF$2:AF$501,$BJ100)="","",INDEX(原始資料!AF$2:AF$501,$BJ100)))</f>
        <v/>
      </c>
      <c r="AE100" s="6">
        <f>IF(OR($BJ100="",30&gt;設定!$B$3),"",IF(INDEX(原始資料!AG$2:AG$501,$BJ100)="","",INDEX(原始資料!AG$2:AG$501,$BJ100)))</f>
        <v/>
      </c>
      <c r="AF100" s="6">
        <f>IF(OR($BJ100="",31&gt;設定!$B$3),"",IF(INDEX(原始資料!AH$2:AH$501,$BJ100)="","",INDEX(原始資料!AH$2:AH$501,$BJ100)))</f>
        <v/>
      </c>
      <c r="AG100" s="6">
        <f>IF(OR($BJ100="",32&gt;設定!$B$3),"",IF(INDEX(原始資料!AI$2:AI$501,$BJ100)="","",INDEX(原始資料!AI$2:AI$501,$BJ100)))</f>
        <v/>
      </c>
      <c r="AH100" s="6">
        <f>IF(OR($BJ100="",33&gt;設定!$B$3),"",IF(INDEX(原始資料!AJ$2:AJ$501,$BJ100)="","",INDEX(原始資料!AJ$2:AJ$501,$BJ100)))</f>
        <v/>
      </c>
      <c r="AI100" s="6">
        <f>IF(OR($BJ100="",34&gt;設定!$B$3),"",IF(INDEX(原始資料!AK$2:AK$501,$BJ100)="","",INDEX(原始資料!AK$2:AK$501,$BJ100)))</f>
        <v/>
      </c>
      <c r="AJ100" s="6">
        <f>IF(OR($BJ100="",35&gt;設定!$B$3),"",IF(INDEX(原始資料!AL$2:AL$501,$BJ100)="","",INDEX(原始資料!AL$2:AL$501,$BJ100)))</f>
        <v/>
      </c>
      <c r="AK100" s="6">
        <f>IF(OR($BJ100="",36&gt;設定!$B$3),"",IF(INDEX(原始資料!AM$2:AM$501,$BJ100)="","",INDEX(原始資料!AM$2:AM$501,$BJ100)))</f>
        <v/>
      </c>
      <c r="AL100" s="6">
        <f>IF(OR($BJ100="",37&gt;設定!$B$3),"",IF(INDEX(原始資料!AN$2:AN$501,$BJ100)="","",INDEX(原始資料!AN$2:AN$501,$BJ100)))</f>
        <v/>
      </c>
      <c r="AM100" s="6">
        <f>IF(OR($BJ100="",38&gt;設定!$B$3),"",IF(INDEX(原始資料!AO$2:AO$501,$BJ100)="","",INDEX(原始資料!AO$2:AO$501,$BJ100)))</f>
        <v/>
      </c>
      <c r="AN100" s="6">
        <f>IF(OR($BJ100="",39&gt;設定!$B$3),"",IF(INDEX(原始資料!AP$2:AP$501,$BJ100)="","",INDEX(原始資料!AP$2:AP$501,$BJ100)))</f>
        <v/>
      </c>
      <c r="AO100" s="6">
        <f>IF(OR($BJ100="",40&gt;設定!$B$3),"",IF(INDEX(原始資料!AQ$2:AQ$501,$BJ100)="","",INDEX(原始資料!AQ$2:AQ$501,$BJ100)))</f>
        <v/>
      </c>
      <c r="AP100" s="6">
        <f>IF(OR($BJ100="",41&gt;設定!$B$3),"",IF(INDEX(原始資料!AR$2:AR$501,$BJ100)="","",INDEX(原始資料!AR$2:AR$501,$BJ100)))</f>
        <v/>
      </c>
      <c r="AQ100" s="6">
        <f>IF(OR($BJ100="",42&gt;設定!$B$3),"",IF(INDEX(原始資料!AS$2:AS$501,$BJ100)="","",INDEX(原始資料!AS$2:AS$501,$BJ100)))</f>
        <v/>
      </c>
      <c r="AR100" s="6">
        <f>IF(OR($BJ100="",43&gt;設定!$B$3),"",IF(INDEX(原始資料!AT$2:AT$501,$BJ100)="","",INDEX(原始資料!AT$2:AT$501,$BJ100)))</f>
        <v/>
      </c>
      <c r="AS100" s="6">
        <f>IF(OR($BJ100="",44&gt;設定!$B$3),"",IF(INDEX(原始資料!AU$2:AU$501,$BJ100)="","",INDEX(原始資料!AU$2:AU$501,$BJ100)))</f>
        <v/>
      </c>
      <c r="AT100" s="6">
        <f>IF(OR($BJ100="",45&gt;設定!$B$3),"",IF(INDEX(原始資料!AV$2:AV$501,$BJ100)="","",INDEX(原始資料!AV$2:AV$501,$BJ100)))</f>
        <v/>
      </c>
      <c r="AU100" s="6">
        <f>IF(OR($BJ100="",46&gt;設定!$B$3),"",IF(INDEX(原始資料!AW$2:AW$501,$BJ100)="","",INDEX(原始資料!AW$2:AW$501,$BJ100)))</f>
        <v/>
      </c>
      <c r="AV100" s="6">
        <f>IF(OR($BJ100="",47&gt;設定!$B$3),"",IF(INDEX(原始資料!AX$2:AX$501,$BJ100)="","",INDEX(原始資料!AX$2:AX$501,$BJ100)))</f>
        <v/>
      </c>
      <c r="AW100" s="6">
        <f>IF(OR($BJ100="",48&gt;設定!$B$3),"",IF(INDEX(原始資料!AY$2:AY$501,$BJ100)="","",INDEX(原始資料!AY$2:AY$501,$BJ100)))</f>
        <v/>
      </c>
      <c r="AX100" s="6">
        <f>IF(OR($BJ100="",49&gt;設定!$B$3),"",IF(INDEX(原始資料!AZ$2:AZ$501,$BJ100)="","",INDEX(原始資料!AZ$2:AZ$501,$BJ100)))</f>
        <v/>
      </c>
      <c r="AY100" s="6">
        <f>IF(OR($BJ100="",50&gt;設定!$B$3),"",IF(INDEX(原始資料!BA$2:BA$501,$BJ100)="","",INDEX(原始資料!BA$2:BA$501,$BJ100)))</f>
        <v/>
      </c>
      <c r="AZ100" s="6">
        <f>IF(OR($BJ100="",51&gt;設定!$B$3),"",IF(INDEX(原始資料!BB$2:BB$501,$BJ100)="","",INDEX(原始資料!BB$2:BB$501,$BJ100)))</f>
        <v/>
      </c>
      <c r="BA100" s="6">
        <f>IF(OR($BJ100="",52&gt;設定!$B$3),"",IF(INDEX(原始資料!BC$2:BC$501,$BJ100)="","",INDEX(原始資料!BC$2:BC$501,$BJ100)))</f>
        <v/>
      </c>
      <c r="BB100" s="6">
        <f>IF(OR($BJ100="",53&gt;設定!$B$3),"",IF(INDEX(原始資料!BD$2:BD$501,$BJ100)="","",INDEX(原始資料!BD$2:BD$501,$BJ100)))</f>
        <v/>
      </c>
      <c r="BC100" s="6">
        <f>IF(OR($BJ100="",54&gt;設定!$B$3),"",IF(INDEX(原始資料!BE$2:BE$501,$BJ100)="","",INDEX(原始資料!BE$2:BE$501,$BJ100)))</f>
        <v/>
      </c>
      <c r="BD100" s="6">
        <f>IF(OR($BJ100="",55&gt;設定!$B$3),"",IF(INDEX(原始資料!BF$2:BF$501,$BJ100)="","",INDEX(原始資料!BF$2:BF$501,$BJ100)))</f>
        <v/>
      </c>
      <c r="BE100" s="6">
        <f>IF(OR($BJ100="",56&gt;設定!$B$3),"",IF(INDEX(原始資料!BG$2:BG$501,$BJ100)="","",INDEX(原始資料!BG$2:BG$501,$BJ100)))</f>
        <v/>
      </c>
      <c r="BF100" s="6">
        <f>IF(OR($BJ100="",57&gt;設定!$B$3),"",IF(INDEX(原始資料!BH$2:BH$501,$BJ100)="","",INDEX(原始資料!BH$2:BH$501,$BJ100)))</f>
        <v/>
      </c>
      <c r="BG100" s="6">
        <f>IF(OR($BJ100="",58&gt;設定!$B$3),"",IF(INDEX(原始資料!BI$2:BI$501,$BJ100)="","",INDEX(原始資料!BI$2:BI$501,$BJ100)))</f>
        <v/>
      </c>
      <c r="BH100" s="6">
        <f>IF(OR($BJ100="",59&gt;設定!$B$3),"",IF(INDEX(原始資料!BJ$2:BJ$501,$BJ100)="","",INDEX(原始資料!BJ$2:BJ$501,$BJ100)))</f>
        <v/>
      </c>
      <c r="BI100" s="6">
        <f>IF(OR($BJ100="",60&gt;設定!$B$3),"",IF(INDEX(原始資料!BK$2:BK$501,$BJ100)="","",INDEX(原始資料!BK$2:BK$501,$BJ100)))</f>
        <v/>
      </c>
      <c r="BJ100" s="6">
        <f>IFERROR(MATCH(ROW()-1,判定!$H$2:$H$501,0),"")</f>
        <v/>
      </c>
    </row>
    <row r="101">
      <c r="A101" s="6">
        <f>IF($BJ101="","",INDEX(原始資料!$A$2:$A$501,$BJ101))</f>
        <v/>
      </c>
      <c r="B101" s="6">
        <f>IF(OR($BJ101="",1&gt;設定!$B$3),"",IF(INDEX(原始資料!D$2:D$501,$BJ101)="","",INDEX(原始資料!D$2:D$501,$BJ101)))</f>
        <v/>
      </c>
      <c r="C101" s="6">
        <f>IF(OR($BJ101="",2&gt;設定!$B$3),"",IF(INDEX(原始資料!E$2:E$501,$BJ101)="","",INDEX(原始資料!E$2:E$501,$BJ101)))</f>
        <v/>
      </c>
      <c r="D101" s="6">
        <f>IF(OR($BJ101="",3&gt;設定!$B$3),"",IF(INDEX(原始資料!F$2:F$501,$BJ101)="","",INDEX(原始資料!F$2:F$501,$BJ101)))</f>
        <v/>
      </c>
      <c r="E101" s="6">
        <f>IF(OR($BJ101="",4&gt;設定!$B$3),"",IF(INDEX(原始資料!G$2:G$501,$BJ101)="","",INDEX(原始資料!G$2:G$501,$BJ101)))</f>
        <v/>
      </c>
      <c r="F101" s="6">
        <f>IF(OR($BJ101="",5&gt;設定!$B$3),"",IF(INDEX(原始資料!H$2:H$501,$BJ101)="","",INDEX(原始資料!H$2:H$501,$BJ101)))</f>
        <v/>
      </c>
      <c r="G101" s="6">
        <f>IF(OR($BJ101="",6&gt;設定!$B$3),"",IF(INDEX(原始資料!I$2:I$501,$BJ101)="","",INDEX(原始資料!I$2:I$501,$BJ101)))</f>
        <v/>
      </c>
      <c r="H101" s="6">
        <f>IF(OR($BJ101="",7&gt;設定!$B$3),"",IF(INDEX(原始資料!J$2:J$501,$BJ101)="","",INDEX(原始資料!J$2:J$501,$BJ101)))</f>
        <v/>
      </c>
      <c r="I101" s="6">
        <f>IF(OR($BJ101="",8&gt;設定!$B$3),"",IF(INDEX(原始資料!K$2:K$501,$BJ101)="","",INDEX(原始資料!K$2:K$501,$BJ101)))</f>
        <v/>
      </c>
      <c r="J101" s="6">
        <f>IF(OR($BJ101="",9&gt;設定!$B$3),"",IF(INDEX(原始資料!L$2:L$501,$BJ101)="","",INDEX(原始資料!L$2:L$501,$BJ101)))</f>
        <v/>
      </c>
      <c r="K101" s="6">
        <f>IF(OR($BJ101="",10&gt;設定!$B$3),"",IF(INDEX(原始資料!M$2:M$501,$BJ101)="","",INDEX(原始資料!M$2:M$501,$BJ101)))</f>
        <v/>
      </c>
      <c r="L101" s="6">
        <f>IF(OR($BJ101="",11&gt;設定!$B$3),"",IF(INDEX(原始資料!N$2:N$501,$BJ101)="","",INDEX(原始資料!N$2:N$501,$BJ101)))</f>
        <v/>
      </c>
      <c r="M101" s="6">
        <f>IF(OR($BJ101="",12&gt;設定!$B$3),"",IF(INDEX(原始資料!O$2:O$501,$BJ101)="","",INDEX(原始資料!O$2:O$501,$BJ101)))</f>
        <v/>
      </c>
      <c r="N101" s="6">
        <f>IF(OR($BJ101="",13&gt;設定!$B$3),"",IF(INDEX(原始資料!P$2:P$501,$BJ101)="","",INDEX(原始資料!P$2:P$501,$BJ101)))</f>
        <v/>
      </c>
      <c r="O101" s="6">
        <f>IF(OR($BJ101="",14&gt;設定!$B$3),"",IF(INDEX(原始資料!Q$2:Q$501,$BJ101)="","",INDEX(原始資料!Q$2:Q$501,$BJ101)))</f>
        <v/>
      </c>
      <c r="P101" s="6">
        <f>IF(OR($BJ101="",15&gt;設定!$B$3),"",IF(INDEX(原始資料!R$2:R$501,$BJ101)="","",INDEX(原始資料!R$2:R$501,$BJ101)))</f>
        <v/>
      </c>
      <c r="Q101" s="6">
        <f>IF(OR($BJ101="",16&gt;設定!$B$3),"",IF(INDEX(原始資料!S$2:S$501,$BJ101)="","",INDEX(原始資料!S$2:S$501,$BJ101)))</f>
        <v/>
      </c>
      <c r="R101" s="6">
        <f>IF(OR($BJ101="",17&gt;設定!$B$3),"",IF(INDEX(原始資料!T$2:T$501,$BJ101)="","",INDEX(原始資料!T$2:T$501,$BJ101)))</f>
        <v/>
      </c>
      <c r="S101" s="6">
        <f>IF(OR($BJ101="",18&gt;設定!$B$3),"",IF(INDEX(原始資料!U$2:U$501,$BJ101)="","",INDEX(原始資料!U$2:U$501,$BJ101)))</f>
        <v/>
      </c>
      <c r="T101" s="6">
        <f>IF(OR($BJ101="",19&gt;設定!$B$3),"",IF(INDEX(原始資料!V$2:V$501,$BJ101)="","",INDEX(原始資料!V$2:V$501,$BJ101)))</f>
        <v/>
      </c>
      <c r="U101" s="6">
        <f>IF(OR($BJ101="",20&gt;設定!$B$3),"",IF(INDEX(原始資料!W$2:W$501,$BJ101)="","",INDEX(原始資料!W$2:W$501,$BJ101)))</f>
        <v/>
      </c>
      <c r="V101" s="6">
        <f>IF(OR($BJ101="",21&gt;設定!$B$3),"",IF(INDEX(原始資料!X$2:X$501,$BJ101)="","",INDEX(原始資料!X$2:X$501,$BJ101)))</f>
        <v/>
      </c>
      <c r="W101" s="6">
        <f>IF(OR($BJ101="",22&gt;設定!$B$3),"",IF(INDEX(原始資料!Y$2:Y$501,$BJ101)="","",INDEX(原始資料!Y$2:Y$501,$BJ101)))</f>
        <v/>
      </c>
      <c r="X101" s="6">
        <f>IF(OR($BJ101="",23&gt;設定!$B$3),"",IF(INDEX(原始資料!Z$2:Z$501,$BJ101)="","",INDEX(原始資料!Z$2:Z$501,$BJ101)))</f>
        <v/>
      </c>
      <c r="Y101" s="6">
        <f>IF(OR($BJ101="",24&gt;設定!$B$3),"",IF(INDEX(原始資料!AA$2:AA$501,$BJ101)="","",INDEX(原始資料!AA$2:AA$501,$BJ101)))</f>
        <v/>
      </c>
      <c r="Z101" s="6">
        <f>IF(OR($BJ101="",25&gt;設定!$B$3),"",IF(INDEX(原始資料!AB$2:AB$501,$BJ101)="","",INDEX(原始資料!AB$2:AB$501,$BJ101)))</f>
        <v/>
      </c>
      <c r="AA101" s="6">
        <f>IF(OR($BJ101="",26&gt;設定!$B$3),"",IF(INDEX(原始資料!AC$2:AC$501,$BJ101)="","",INDEX(原始資料!AC$2:AC$501,$BJ101)))</f>
        <v/>
      </c>
      <c r="AB101" s="6">
        <f>IF(OR($BJ101="",27&gt;設定!$B$3),"",IF(INDEX(原始資料!AD$2:AD$501,$BJ101)="","",INDEX(原始資料!AD$2:AD$501,$BJ101)))</f>
        <v/>
      </c>
      <c r="AC101" s="6">
        <f>IF(OR($BJ101="",28&gt;設定!$B$3),"",IF(INDEX(原始資料!AE$2:AE$501,$BJ101)="","",INDEX(原始資料!AE$2:AE$501,$BJ101)))</f>
        <v/>
      </c>
      <c r="AD101" s="6">
        <f>IF(OR($BJ101="",29&gt;設定!$B$3),"",IF(INDEX(原始資料!AF$2:AF$501,$BJ101)="","",INDEX(原始資料!AF$2:AF$501,$BJ101)))</f>
        <v/>
      </c>
      <c r="AE101" s="6">
        <f>IF(OR($BJ101="",30&gt;設定!$B$3),"",IF(INDEX(原始資料!AG$2:AG$501,$BJ101)="","",INDEX(原始資料!AG$2:AG$501,$BJ101)))</f>
        <v/>
      </c>
      <c r="AF101" s="6">
        <f>IF(OR($BJ101="",31&gt;設定!$B$3),"",IF(INDEX(原始資料!AH$2:AH$501,$BJ101)="","",INDEX(原始資料!AH$2:AH$501,$BJ101)))</f>
        <v/>
      </c>
      <c r="AG101" s="6">
        <f>IF(OR($BJ101="",32&gt;設定!$B$3),"",IF(INDEX(原始資料!AI$2:AI$501,$BJ101)="","",INDEX(原始資料!AI$2:AI$501,$BJ101)))</f>
        <v/>
      </c>
      <c r="AH101" s="6">
        <f>IF(OR($BJ101="",33&gt;設定!$B$3),"",IF(INDEX(原始資料!AJ$2:AJ$501,$BJ101)="","",INDEX(原始資料!AJ$2:AJ$501,$BJ101)))</f>
        <v/>
      </c>
      <c r="AI101" s="6">
        <f>IF(OR($BJ101="",34&gt;設定!$B$3),"",IF(INDEX(原始資料!AK$2:AK$501,$BJ101)="","",INDEX(原始資料!AK$2:AK$501,$BJ101)))</f>
        <v/>
      </c>
      <c r="AJ101" s="6">
        <f>IF(OR($BJ101="",35&gt;設定!$B$3),"",IF(INDEX(原始資料!AL$2:AL$501,$BJ101)="","",INDEX(原始資料!AL$2:AL$501,$BJ101)))</f>
        <v/>
      </c>
      <c r="AK101" s="6">
        <f>IF(OR($BJ101="",36&gt;設定!$B$3),"",IF(INDEX(原始資料!AM$2:AM$501,$BJ101)="","",INDEX(原始資料!AM$2:AM$501,$BJ101)))</f>
        <v/>
      </c>
      <c r="AL101" s="6">
        <f>IF(OR($BJ101="",37&gt;設定!$B$3),"",IF(INDEX(原始資料!AN$2:AN$501,$BJ101)="","",INDEX(原始資料!AN$2:AN$501,$BJ101)))</f>
        <v/>
      </c>
      <c r="AM101" s="6">
        <f>IF(OR($BJ101="",38&gt;設定!$B$3),"",IF(INDEX(原始資料!AO$2:AO$501,$BJ101)="","",INDEX(原始資料!AO$2:AO$501,$BJ101)))</f>
        <v/>
      </c>
      <c r="AN101" s="6">
        <f>IF(OR($BJ101="",39&gt;設定!$B$3),"",IF(INDEX(原始資料!AP$2:AP$501,$BJ101)="","",INDEX(原始資料!AP$2:AP$501,$BJ101)))</f>
        <v/>
      </c>
      <c r="AO101" s="6">
        <f>IF(OR($BJ101="",40&gt;設定!$B$3),"",IF(INDEX(原始資料!AQ$2:AQ$501,$BJ101)="","",INDEX(原始資料!AQ$2:AQ$501,$BJ101)))</f>
        <v/>
      </c>
      <c r="AP101" s="6">
        <f>IF(OR($BJ101="",41&gt;設定!$B$3),"",IF(INDEX(原始資料!AR$2:AR$501,$BJ101)="","",INDEX(原始資料!AR$2:AR$501,$BJ101)))</f>
        <v/>
      </c>
      <c r="AQ101" s="6">
        <f>IF(OR($BJ101="",42&gt;設定!$B$3),"",IF(INDEX(原始資料!AS$2:AS$501,$BJ101)="","",INDEX(原始資料!AS$2:AS$501,$BJ101)))</f>
        <v/>
      </c>
      <c r="AR101" s="6">
        <f>IF(OR($BJ101="",43&gt;設定!$B$3),"",IF(INDEX(原始資料!AT$2:AT$501,$BJ101)="","",INDEX(原始資料!AT$2:AT$501,$BJ101)))</f>
        <v/>
      </c>
      <c r="AS101" s="6">
        <f>IF(OR($BJ101="",44&gt;設定!$B$3),"",IF(INDEX(原始資料!AU$2:AU$501,$BJ101)="","",INDEX(原始資料!AU$2:AU$501,$BJ101)))</f>
        <v/>
      </c>
      <c r="AT101" s="6">
        <f>IF(OR($BJ101="",45&gt;設定!$B$3),"",IF(INDEX(原始資料!AV$2:AV$501,$BJ101)="","",INDEX(原始資料!AV$2:AV$501,$BJ101)))</f>
        <v/>
      </c>
      <c r="AU101" s="6">
        <f>IF(OR($BJ101="",46&gt;設定!$B$3),"",IF(INDEX(原始資料!AW$2:AW$501,$BJ101)="","",INDEX(原始資料!AW$2:AW$501,$BJ101)))</f>
        <v/>
      </c>
      <c r="AV101" s="6">
        <f>IF(OR($BJ101="",47&gt;設定!$B$3),"",IF(INDEX(原始資料!AX$2:AX$501,$BJ101)="","",INDEX(原始資料!AX$2:AX$501,$BJ101)))</f>
        <v/>
      </c>
      <c r="AW101" s="6">
        <f>IF(OR($BJ101="",48&gt;設定!$B$3),"",IF(INDEX(原始資料!AY$2:AY$501,$BJ101)="","",INDEX(原始資料!AY$2:AY$501,$BJ101)))</f>
        <v/>
      </c>
      <c r="AX101" s="6">
        <f>IF(OR($BJ101="",49&gt;設定!$B$3),"",IF(INDEX(原始資料!AZ$2:AZ$501,$BJ101)="","",INDEX(原始資料!AZ$2:AZ$501,$BJ101)))</f>
        <v/>
      </c>
      <c r="AY101" s="6">
        <f>IF(OR($BJ101="",50&gt;設定!$B$3),"",IF(INDEX(原始資料!BA$2:BA$501,$BJ101)="","",INDEX(原始資料!BA$2:BA$501,$BJ101)))</f>
        <v/>
      </c>
      <c r="AZ101" s="6">
        <f>IF(OR($BJ101="",51&gt;設定!$B$3),"",IF(INDEX(原始資料!BB$2:BB$501,$BJ101)="","",INDEX(原始資料!BB$2:BB$501,$BJ101)))</f>
        <v/>
      </c>
      <c r="BA101" s="6">
        <f>IF(OR($BJ101="",52&gt;設定!$B$3),"",IF(INDEX(原始資料!BC$2:BC$501,$BJ101)="","",INDEX(原始資料!BC$2:BC$501,$BJ101)))</f>
        <v/>
      </c>
      <c r="BB101" s="6">
        <f>IF(OR($BJ101="",53&gt;設定!$B$3),"",IF(INDEX(原始資料!BD$2:BD$501,$BJ101)="","",INDEX(原始資料!BD$2:BD$501,$BJ101)))</f>
        <v/>
      </c>
      <c r="BC101" s="6">
        <f>IF(OR($BJ101="",54&gt;設定!$B$3),"",IF(INDEX(原始資料!BE$2:BE$501,$BJ101)="","",INDEX(原始資料!BE$2:BE$501,$BJ101)))</f>
        <v/>
      </c>
      <c r="BD101" s="6">
        <f>IF(OR($BJ101="",55&gt;設定!$B$3),"",IF(INDEX(原始資料!BF$2:BF$501,$BJ101)="","",INDEX(原始資料!BF$2:BF$501,$BJ101)))</f>
        <v/>
      </c>
      <c r="BE101" s="6">
        <f>IF(OR($BJ101="",56&gt;設定!$B$3),"",IF(INDEX(原始資料!BG$2:BG$501,$BJ101)="","",INDEX(原始資料!BG$2:BG$501,$BJ101)))</f>
        <v/>
      </c>
      <c r="BF101" s="6">
        <f>IF(OR($BJ101="",57&gt;設定!$B$3),"",IF(INDEX(原始資料!BH$2:BH$501,$BJ101)="","",INDEX(原始資料!BH$2:BH$501,$BJ101)))</f>
        <v/>
      </c>
      <c r="BG101" s="6">
        <f>IF(OR($BJ101="",58&gt;設定!$B$3),"",IF(INDEX(原始資料!BI$2:BI$501,$BJ101)="","",INDEX(原始資料!BI$2:BI$501,$BJ101)))</f>
        <v/>
      </c>
      <c r="BH101" s="6">
        <f>IF(OR($BJ101="",59&gt;設定!$B$3),"",IF(INDEX(原始資料!BJ$2:BJ$501,$BJ101)="","",INDEX(原始資料!BJ$2:BJ$501,$BJ101)))</f>
        <v/>
      </c>
      <c r="BI101" s="6">
        <f>IF(OR($BJ101="",60&gt;設定!$B$3),"",IF(INDEX(原始資料!BK$2:BK$501,$BJ101)="","",INDEX(原始資料!BK$2:BK$501,$BJ101)))</f>
        <v/>
      </c>
      <c r="BJ101" s="6">
        <f>IFERROR(MATCH(ROW()-1,判定!$H$2:$H$501,0),"")</f>
        <v/>
      </c>
    </row>
    <row r="102">
      <c r="A102" s="6">
        <f>IF($BJ102="","",INDEX(原始資料!$A$2:$A$501,$BJ102))</f>
        <v/>
      </c>
      <c r="B102" s="6">
        <f>IF(OR($BJ102="",1&gt;設定!$B$3),"",IF(INDEX(原始資料!D$2:D$501,$BJ102)="","",INDEX(原始資料!D$2:D$501,$BJ102)))</f>
        <v/>
      </c>
      <c r="C102" s="6">
        <f>IF(OR($BJ102="",2&gt;設定!$B$3),"",IF(INDEX(原始資料!E$2:E$501,$BJ102)="","",INDEX(原始資料!E$2:E$501,$BJ102)))</f>
        <v/>
      </c>
      <c r="D102" s="6">
        <f>IF(OR($BJ102="",3&gt;設定!$B$3),"",IF(INDEX(原始資料!F$2:F$501,$BJ102)="","",INDEX(原始資料!F$2:F$501,$BJ102)))</f>
        <v/>
      </c>
      <c r="E102" s="6">
        <f>IF(OR($BJ102="",4&gt;設定!$B$3),"",IF(INDEX(原始資料!G$2:G$501,$BJ102)="","",INDEX(原始資料!G$2:G$501,$BJ102)))</f>
        <v/>
      </c>
      <c r="F102" s="6">
        <f>IF(OR($BJ102="",5&gt;設定!$B$3),"",IF(INDEX(原始資料!H$2:H$501,$BJ102)="","",INDEX(原始資料!H$2:H$501,$BJ102)))</f>
        <v/>
      </c>
      <c r="G102" s="6">
        <f>IF(OR($BJ102="",6&gt;設定!$B$3),"",IF(INDEX(原始資料!I$2:I$501,$BJ102)="","",INDEX(原始資料!I$2:I$501,$BJ102)))</f>
        <v/>
      </c>
      <c r="H102" s="6">
        <f>IF(OR($BJ102="",7&gt;設定!$B$3),"",IF(INDEX(原始資料!J$2:J$501,$BJ102)="","",INDEX(原始資料!J$2:J$501,$BJ102)))</f>
        <v/>
      </c>
      <c r="I102" s="6">
        <f>IF(OR($BJ102="",8&gt;設定!$B$3),"",IF(INDEX(原始資料!K$2:K$501,$BJ102)="","",INDEX(原始資料!K$2:K$501,$BJ102)))</f>
        <v/>
      </c>
      <c r="J102" s="6">
        <f>IF(OR($BJ102="",9&gt;設定!$B$3),"",IF(INDEX(原始資料!L$2:L$501,$BJ102)="","",INDEX(原始資料!L$2:L$501,$BJ102)))</f>
        <v/>
      </c>
      <c r="K102" s="6">
        <f>IF(OR($BJ102="",10&gt;設定!$B$3),"",IF(INDEX(原始資料!M$2:M$501,$BJ102)="","",INDEX(原始資料!M$2:M$501,$BJ102)))</f>
        <v/>
      </c>
      <c r="L102" s="6">
        <f>IF(OR($BJ102="",11&gt;設定!$B$3),"",IF(INDEX(原始資料!N$2:N$501,$BJ102)="","",INDEX(原始資料!N$2:N$501,$BJ102)))</f>
        <v/>
      </c>
      <c r="M102" s="6">
        <f>IF(OR($BJ102="",12&gt;設定!$B$3),"",IF(INDEX(原始資料!O$2:O$501,$BJ102)="","",INDEX(原始資料!O$2:O$501,$BJ102)))</f>
        <v/>
      </c>
      <c r="N102" s="6">
        <f>IF(OR($BJ102="",13&gt;設定!$B$3),"",IF(INDEX(原始資料!P$2:P$501,$BJ102)="","",INDEX(原始資料!P$2:P$501,$BJ102)))</f>
        <v/>
      </c>
      <c r="O102" s="6">
        <f>IF(OR($BJ102="",14&gt;設定!$B$3),"",IF(INDEX(原始資料!Q$2:Q$501,$BJ102)="","",INDEX(原始資料!Q$2:Q$501,$BJ102)))</f>
        <v/>
      </c>
      <c r="P102" s="6">
        <f>IF(OR($BJ102="",15&gt;設定!$B$3),"",IF(INDEX(原始資料!R$2:R$501,$BJ102)="","",INDEX(原始資料!R$2:R$501,$BJ102)))</f>
        <v/>
      </c>
      <c r="Q102" s="6">
        <f>IF(OR($BJ102="",16&gt;設定!$B$3),"",IF(INDEX(原始資料!S$2:S$501,$BJ102)="","",INDEX(原始資料!S$2:S$501,$BJ102)))</f>
        <v/>
      </c>
      <c r="R102" s="6">
        <f>IF(OR($BJ102="",17&gt;設定!$B$3),"",IF(INDEX(原始資料!T$2:T$501,$BJ102)="","",INDEX(原始資料!T$2:T$501,$BJ102)))</f>
        <v/>
      </c>
      <c r="S102" s="6">
        <f>IF(OR($BJ102="",18&gt;設定!$B$3),"",IF(INDEX(原始資料!U$2:U$501,$BJ102)="","",INDEX(原始資料!U$2:U$501,$BJ102)))</f>
        <v/>
      </c>
      <c r="T102" s="6">
        <f>IF(OR($BJ102="",19&gt;設定!$B$3),"",IF(INDEX(原始資料!V$2:V$501,$BJ102)="","",INDEX(原始資料!V$2:V$501,$BJ102)))</f>
        <v/>
      </c>
      <c r="U102" s="6">
        <f>IF(OR($BJ102="",20&gt;設定!$B$3),"",IF(INDEX(原始資料!W$2:W$501,$BJ102)="","",INDEX(原始資料!W$2:W$501,$BJ102)))</f>
        <v/>
      </c>
      <c r="V102" s="6">
        <f>IF(OR($BJ102="",21&gt;設定!$B$3),"",IF(INDEX(原始資料!X$2:X$501,$BJ102)="","",INDEX(原始資料!X$2:X$501,$BJ102)))</f>
        <v/>
      </c>
      <c r="W102" s="6">
        <f>IF(OR($BJ102="",22&gt;設定!$B$3),"",IF(INDEX(原始資料!Y$2:Y$501,$BJ102)="","",INDEX(原始資料!Y$2:Y$501,$BJ102)))</f>
        <v/>
      </c>
      <c r="X102" s="6">
        <f>IF(OR($BJ102="",23&gt;設定!$B$3),"",IF(INDEX(原始資料!Z$2:Z$501,$BJ102)="","",INDEX(原始資料!Z$2:Z$501,$BJ102)))</f>
        <v/>
      </c>
      <c r="Y102" s="6">
        <f>IF(OR($BJ102="",24&gt;設定!$B$3),"",IF(INDEX(原始資料!AA$2:AA$501,$BJ102)="","",INDEX(原始資料!AA$2:AA$501,$BJ102)))</f>
        <v/>
      </c>
      <c r="Z102" s="6">
        <f>IF(OR($BJ102="",25&gt;設定!$B$3),"",IF(INDEX(原始資料!AB$2:AB$501,$BJ102)="","",INDEX(原始資料!AB$2:AB$501,$BJ102)))</f>
        <v/>
      </c>
      <c r="AA102" s="6">
        <f>IF(OR($BJ102="",26&gt;設定!$B$3),"",IF(INDEX(原始資料!AC$2:AC$501,$BJ102)="","",INDEX(原始資料!AC$2:AC$501,$BJ102)))</f>
        <v/>
      </c>
      <c r="AB102" s="6">
        <f>IF(OR($BJ102="",27&gt;設定!$B$3),"",IF(INDEX(原始資料!AD$2:AD$501,$BJ102)="","",INDEX(原始資料!AD$2:AD$501,$BJ102)))</f>
        <v/>
      </c>
      <c r="AC102" s="6">
        <f>IF(OR($BJ102="",28&gt;設定!$B$3),"",IF(INDEX(原始資料!AE$2:AE$501,$BJ102)="","",INDEX(原始資料!AE$2:AE$501,$BJ102)))</f>
        <v/>
      </c>
      <c r="AD102" s="6">
        <f>IF(OR($BJ102="",29&gt;設定!$B$3),"",IF(INDEX(原始資料!AF$2:AF$501,$BJ102)="","",INDEX(原始資料!AF$2:AF$501,$BJ102)))</f>
        <v/>
      </c>
      <c r="AE102" s="6">
        <f>IF(OR($BJ102="",30&gt;設定!$B$3),"",IF(INDEX(原始資料!AG$2:AG$501,$BJ102)="","",INDEX(原始資料!AG$2:AG$501,$BJ102)))</f>
        <v/>
      </c>
      <c r="AF102" s="6">
        <f>IF(OR($BJ102="",31&gt;設定!$B$3),"",IF(INDEX(原始資料!AH$2:AH$501,$BJ102)="","",INDEX(原始資料!AH$2:AH$501,$BJ102)))</f>
        <v/>
      </c>
      <c r="AG102" s="6">
        <f>IF(OR($BJ102="",32&gt;設定!$B$3),"",IF(INDEX(原始資料!AI$2:AI$501,$BJ102)="","",INDEX(原始資料!AI$2:AI$501,$BJ102)))</f>
        <v/>
      </c>
      <c r="AH102" s="6">
        <f>IF(OR($BJ102="",33&gt;設定!$B$3),"",IF(INDEX(原始資料!AJ$2:AJ$501,$BJ102)="","",INDEX(原始資料!AJ$2:AJ$501,$BJ102)))</f>
        <v/>
      </c>
      <c r="AI102" s="6">
        <f>IF(OR($BJ102="",34&gt;設定!$B$3),"",IF(INDEX(原始資料!AK$2:AK$501,$BJ102)="","",INDEX(原始資料!AK$2:AK$501,$BJ102)))</f>
        <v/>
      </c>
      <c r="AJ102" s="6">
        <f>IF(OR($BJ102="",35&gt;設定!$B$3),"",IF(INDEX(原始資料!AL$2:AL$501,$BJ102)="","",INDEX(原始資料!AL$2:AL$501,$BJ102)))</f>
        <v/>
      </c>
      <c r="AK102" s="6">
        <f>IF(OR($BJ102="",36&gt;設定!$B$3),"",IF(INDEX(原始資料!AM$2:AM$501,$BJ102)="","",INDEX(原始資料!AM$2:AM$501,$BJ102)))</f>
        <v/>
      </c>
      <c r="AL102" s="6">
        <f>IF(OR($BJ102="",37&gt;設定!$B$3),"",IF(INDEX(原始資料!AN$2:AN$501,$BJ102)="","",INDEX(原始資料!AN$2:AN$501,$BJ102)))</f>
        <v/>
      </c>
      <c r="AM102" s="6">
        <f>IF(OR($BJ102="",38&gt;設定!$B$3),"",IF(INDEX(原始資料!AO$2:AO$501,$BJ102)="","",INDEX(原始資料!AO$2:AO$501,$BJ102)))</f>
        <v/>
      </c>
      <c r="AN102" s="6">
        <f>IF(OR($BJ102="",39&gt;設定!$B$3),"",IF(INDEX(原始資料!AP$2:AP$501,$BJ102)="","",INDEX(原始資料!AP$2:AP$501,$BJ102)))</f>
        <v/>
      </c>
      <c r="AO102" s="6">
        <f>IF(OR($BJ102="",40&gt;設定!$B$3),"",IF(INDEX(原始資料!AQ$2:AQ$501,$BJ102)="","",INDEX(原始資料!AQ$2:AQ$501,$BJ102)))</f>
        <v/>
      </c>
      <c r="AP102" s="6">
        <f>IF(OR($BJ102="",41&gt;設定!$B$3),"",IF(INDEX(原始資料!AR$2:AR$501,$BJ102)="","",INDEX(原始資料!AR$2:AR$501,$BJ102)))</f>
        <v/>
      </c>
      <c r="AQ102" s="6">
        <f>IF(OR($BJ102="",42&gt;設定!$B$3),"",IF(INDEX(原始資料!AS$2:AS$501,$BJ102)="","",INDEX(原始資料!AS$2:AS$501,$BJ102)))</f>
        <v/>
      </c>
      <c r="AR102" s="6">
        <f>IF(OR($BJ102="",43&gt;設定!$B$3),"",IF(INDEX(原始資料!AT$2:AT$501,$BJ102)="","",INDEX(原始資料!AT$2:AT$501,$BJ102)))</f>
        <v/>
      </c>
      <c r="AS102" s="6">
        <f>IF(OR($BJ102="",44&gt;設定!$B$3),"",IF(INDEX(原始資料!AU$2:AU$501,$BJ102)="","",INDEX(原始資料!AU$2:AU$501,$BJ102)))</f>
        <v/>
      </c>
      <c r="AT102" s="6">
        <f>IF(OR($BJ102="",45&gt;設定!$B$3),"",IF(INDEX(原始資料!AV$2:AV$501,$BJ102)="","",INDEX(原始資料!AV$2:AV$501,$BJ102)))</f>
        <v/>
      </c>
      <c r="AU102" s="6">
        <f>IF(OR($BJ102="",46&gt;設定!$B$3),"",IF(INDEX(原始資料!AW$2:AW$501,$BJ102)="","",INDEX(原始資料!AW$2:AW$501,$BJ102)))</f>
        <v/>
      </c>
      <c r="AV102" s="6">
        <f>IF(OR($BJ102="",47&gt;設定!$B$3),"",IF(INDEX(原始資料!AX$2:AX$501,$BJ102)="","",INDEX(原始資料!AX$2:AX$501,$BJ102)))</f>
        <v/>
      </c>
      <c r="AW102" s="6">
        <f>IF(OR($BJ102="",48&gt;設定!$B$3),"",IF(INDEX(原始資料!AY$2:AY$501,$BJ102)="","",INDEX(原始資料!AY$2:AY$501,$BJ102)))</f>
        <v/>
      </c>
      <c r="AX102" s="6">
        <f>IF(OR($BJ102="",49&gt;設定!$B$3),"",IF(INDEX(原始資料!AZ$2:AZ$501,$BJ102)="","",INDEX(原始資料!AZ$2:AZ$501,$BJ102)))</f>
        <v/>
      </c>
      <c r="AY102" s="6">
        <f>IF(OR($BJ102="",50&gt;設定!$B$3),"",IF(INDEX(原始資料!BA$2:BA$501,$BJ102)="","",INDEX(原始資料!BA$2:BA$501,$BJ102)))</f>
        <v/>
      </c>
      <c r="AZ102" s="6">
        <f>IF(OR($BJ102="",51&gt;設定!$B$3),"",IF(INDEX(原始資料!BB$2:BB$501,$BJ102)="","",INDEX(原始資料!BB$2:BB$501,$BJ102)))</f>
        <v/>
      </c>
      <c r="BA102" s="6">
        <f>IF(OR($BJ102="",52&gt;設定!$B$3),"",IF(INDEX(原始資料!BC$2:BC$501,$BJ102)="","",INDEX(原始資料!BC$2:BC$501,$BJ102)))</f>
        <v/>
      </c>
      <c r="BB102" s="6">
        <f>IF(OR($BJ102="",53&gt;設定!$B$3),"",IF(INDEX(原始資料!BD$2:BD$501,$BJ102)="","",INDEX(原始資料!BD$2:BD$501,$BJ102)))</f>
        <v/>
      </c>
      <c r="BC102" s="6">
        <f>IF(OR($BJ102="",54&gt;設定!$B$3),"",IF(INDEX(原始資料!BE$2:BE$501,$BJ102)="","",INDEX(原始資料!BE$2:BE$501,$BJ102)))</f>
        <v/>
      </c>
      <c r="BD102" s="6">
        <f>IF(OR($BJ102="",55&gt;設定!$B$3),"",IF(INDEX(原始資料!BF$2:BF$501,$BJ102)="","",INDEX(原始資料!BF$2:BF$501,$BJ102)))</f>
        <v/>
      </c>
      <c r="BE102" s="6">
        <f>IF(OR($BJ102="",56&gt;設定!$B$3),"",IF(INDEX(原始資料!BG$2:BG$501,$BJ102)="","",INDEX(原始資料!BG$2:BG$501,$BJ102)))</f>
        <v/>
      </c>
      <c r="BF102" s="6">
        <f>IF(OR($BJ102="",57&gt;設定!$B$3),"",IF(INDEX(原始資料!BH$2:BH$501,$BJ102)="","",INDEX(原始資料!BH$2:BH$501,$BJ102)))</f>
        <v/>
      </c>
      <c r="BG102" s="6">
        <f>IF(OR($BJ102="",58&gt;設定!$B$3),"",IF(INDEX(原始資料!BI$2:BI$501,$BJ102)="","",INDEX(原始資料!BI$2:BI$501,$BJ102)))</f>
        <v/>
      </c>
      <c r="BH102" s="6">
        <f>IF(OR($BJ102="",59&gt;設定!$B$3),"",IF(INDEX(原始資料!BJ$2:BJ$501,$BJ102)="","",INDEX(原始資料!BJ$2:BJ$501,$BJ102)))</f>
        <v/>
      </c>
      <c r="BI102" s="6">
        <f>IF(OR($BJ102="",60&gt;設定!$B$3),"",IF(INDEX(原始資料!BK$2:BK$501,$BJ102)="","",INDEX(原始資料!BK$2:BK$501,$BJ102)))</f>
        <v/>
      </c>
      <c r="BJ102" s="6">
        <f>IFERROR(MATCH(ROW()-1,判定!$H$2:$H$501,0),"")</f>
        <v/>
      </c>
    </row>
    <row r="103">
      <c r="A103" s="6">
        <f>IF($BJ103="","",INDEX(原始資料!$A$2:$A$501,$BJ103))</f>
        <v/>
      </c>
      <c r="B103" s="6">
        <f>IF(OR($BJ103="",1&gt;設定!$B$3),"",IF(INDEX(原始資料!D$2:D$501,$BJ103)="","",INDEX(原始資料!D$2:D$501,$BJ103)))</f>
        <v/>
      </c>
      <c r="C103" s="6">
        <f>IF(OR($BJ103="",2&gt;設定!$B$3),"",IF(INDEX(原始資料!E$2:E$501,$BJ103)="","",INDEX(原始資料!E$2:E$501,$BJ103)))</f>
        <v/>
      </c>
      <c r="D103" s="6">
        <f>IF(OR($BJ103="",3&gt;設定!$B$3),"",IF(INDEX(原始資料!F$2:F$501,$BJ103)="","",INDEX(原始資料!F$2:F$501,$BJ103)))</f>
        <v/>
      </c>
      <c r="E103" s="6">
        <f>IF(OR($BJ103="",4&gt;設定!$B$3),"",IF(INDEX(原始資料!G$2:G$501,$BJ103)="","",INDEX(原始資料!G$2:G$501,$BJ103)))</f>
        <v/>
      </c>
      <c r="F103" s="6">
        <f>IF(OR($BJ103="",5&gt;設定!$B$3),"",IF(INDEX(原始資料!H$2:H$501,$BJ103)="","",INDEX(原始資料!H$2:H$501,$BJ103)))</f>
        <v/>
      </c>
      <c r="G103" s="6">
        <f>IF(OR($BJ103="",6&gt;設定!$B$3),"",IF(INDEX(原始資料!I$2:I$501,$BJ103)="","",INDEX(原始資料!I$2:I$501,$BJ103)))</f>
        <v/>
      </c>
      <c r="H103" s="6">
        <f>IF(OR($BJ103="",7&gt;設定!$B$3),"",IF(INDEX(原始資料!J$2:J$501,$BJ103)="","",INDEX(原始資料!J$2:J$501,$BJ103)))</f>
        <v/>
      </c>
      <c r="I103" s="6">
        <f>IF(OR($BJ103="",8&gt;設定!$B$3),"",IF(INDEX(原始資料!K$2:K$501,$BJ103)="","",INDEX(原始資料!K$2:K$501,$BJ103)))</f>
        <v/>
      </c>
      <c r="J103" s="6">
        <f>IF(OR($BJ103="",9&gt;設定!$B$3),"",IF(INDEX(原始資料!L$2:L$501,$BJ103)="","",INDEX(原始資料!L$2:L$501,$BJ103)))</f>
        <v/>
      </c>
      <c r="K103" s="6">
        <f>IF(OR($BJ103="",10&gt;設定!$B$3),"",IF(INDEX(原始資料!M$2:M$501,$BJ103)="","",INDEX(原始資料!M$2:M$501,$BJ103)))</f>
        <v/>
      </c>
      <c r="L103" s="6">
        <f>IF(OR($BJ103="",11&gt;設定!$B$3),"",IF(INDEX(原始資料!N$2:N$501,$BJ103)="","",INDEX(原始資料!N$2:N$501,$BJ103)))</f>
        <v/>
      </c>
      <c r="M103" s="6">
        <f>IF(OR($BJ103="",12&gt;設定!$B$3),"",IF(INDEX(原始資料!O$2:O$501,$BJ103)="","",INDEX(原始資料!O$2:O$501,$BJ103)))</f>
        <v/>
      </c>
      <c r="N103" s="6">
        <f>IF(OR($BJ103="",13&gt;設定!$B$3),"",IF(INDEX(原始資料!P$2:P$501,$BJ103)="","",INDEX(原始資料!P$2:P$501,$BJ103)))</f>
        <v/>
      </c>
      <c r="O103" s="6">
        <f>IF(OR($BJ103="",14&gt;設定!$B$3),"",IF(INDEX(原始資料!Q$2:Q$501,$BJ103)="","",INDEX(原始資料!Q$2:Q$501,$BJ103)))</f>
        <v/>
      </c>
      <c r="P103" s="6">
        <f>IF(OR($BJ103="",15&gt;設定!$B$3),"",IF(INDEX(原始資料!R$2:R$501,$BJ103)="","",INDEX(原始資料!R$2:R$501,$BJ103)))</f>
        <v/>
      </c>
      <c r="Q103" s="6">
        <f>IF(OR($BJ103="",16&gt;設定!$B$3),"",IF(INDEX(原始資料!S$2:S$501,$BJ103)="","",INDEX(原始資料!S$2:S$501,$BJ103)))</f>
        <v/>
      </c>
      <c r="R103" s="6">
        <f>IF(OR($BJ103="",17&gt;設定!$B$3),"",IF(INDEX(原始資料!T$2:T$501,$BJ103)="","",INDEX(原始資料!T$2:T$501,$BJ103)))</f>
        <v/>
      </c>
      <c r="S103" s="6">
        <f>IF(OR($BJ103="",18&gt;設定!$B$3),"",IF(INDEX(原始資料!U$2:U$501,$BJ103)="","",INDEX(原始資料!U$2:U$501,$BJ103)))</f>
        <v/>
      </c>
      <c r="T103" s="6">
        <f>IF(OR($BJ103="",19&gt;設定!$B$3),"",IF(INDEX(原始資料!V$2:V$501,$BJ103)="","",INDEX(原始資料!V$2:V$501,$BJ103)))</f>
        <v/>
      </c>
      <c r="U103" s="6">
        <f>IF(OR($BJ103="",20&gt;設定!$B$3),"",IF(INDEX(原始資料!W$2:W$501,$BJ103)="","",INDEX(原始資料!W$2:W$501,$BJ103)))</f>
        <v/>
      </c>
      <c r="V103" s="6">
        <f>IF(OR($BJ103="",21&gt;設定!$B$3),"",IF(INDEX(原始資料!X$2:X$501,$BJ103)="","",INDEX(原始資料!X$2:X$501,$BJ103)))</f>
        <v/>
      </c>
      <c r="W103" s="6">
        <f>IF(OR($BJ103="",22&gt;設定!$B$3),"",IF(INDEX(原始資料!Y$2:Y$501,$BJ103)="","",INDEX(原始資料!Y$2:Y$501,$BJ103)))</f>
        <v/>
      </c>
      <c r="X103" s="6">
        <f>IF(OR($BJ103="",23&gt;設定!$B$3),"",IF(INDEX(原始資料!Z$2:Z$501,$BJ103)="","",INDEX(原始資料!Z$2:Z$501,$BJ103)))</f>
        <v/>
      </c>
      <c r="Y103" s="6">
        <f>IF(OR($BJ103="",24&gt;設定!$B$3),"",IF(INDEX(原始資料!AA$2:AA$501,$BJ103)="","",INDEX(原始資料!AA$2:AA$501,$BJ103)))</f>
        <v/>
      </c>
      <c r="Z103" s="6">
        <f>IF(OR($BJ103="",25&gt;設定!$B$3),"",IF(INDEX(原始資料!AB$2:AB$501,$BJ103)="","",INDEX(原始資料!AB$2:AB$501,$BJ103)))</f>
        <v/>
      </c>
      <c r="AA103" s="6">
        <f>IF(OR($BJ103="",26&gt;設定!$B$3),"",IF(INDEX(原始資料!AC$2:AC$501,$BJ103)="","",INDEX(原始資料!AC$2:AC$501,$BJ103)))</f>
        <v/>
      </c>
      <c r="AB103" s="6">
        <f>IF(OR($BJ103="",27&gt;設定!$B$3),"",IF(INDEX(原始資料!AD$2:AD$501,$BJ103)="","",INDEX(原始資料!AD$2:AD$501,$BJ103)))</f>
        <v/>
      </c>
      <c r="AC103" s="6">
        <f>IF(OR($BJ103="",28&gt;設定!$B$3),"",IF(INDEX(原始資料!AE$2:AE$501,$BJ103)="","",INDEX(原始資料!AE$2:AE$501,$BJ103)))</f>
        <v/>
      </c>
      <c r="AD103" s="6">
        <f>IF(OR($BJ103="",29&gt;設定!$B$3),"",IF(INDEX(原始資料!AF$2:AF$501,$BJ103)="","",INDEX(原始資料!AF$2:AF$501,$BJ103)))</f>
        <v/>
      </c>
      <c r="AE103" s="6">
        <f>IF(OR($BJ103="",30&gt;設定!$B$3),"",IF(INDEX(原始資料!AG$2:AG$501,$BJ103)="","",INDEX(原始資料!AG$2:AG$501,$BJ103)))</f>
        <v/>
      </c>
      <c r="AF103" s="6">
        <f>IF(OR($BJ103="",31&gt;設定!$B$3),"",IF(INDEX(原始資料!AH$2:AH$501,$BJ103)="","",INDEX(原始資料!AH$2:AH$501,$BJ103)))</f>
        <v/>
      </c>
      <c r="AG103" s="6">
        <f>IF(OR($BJ103="",32&gt;設定!$B$3),"",IF(INDEX(原始資料!AI$2:AI$501,$BJ103)="","",INDEX(原始資料!AI$2:AI$501,$BJ103)))</f>
        <v/>
      </c>
      <c r="AH103" s="6">
        <f>IF(OR($BJ103="",33&gt;設定!$B$3),"",IF(INDEX(原始資料!AJ$2:AJ$501,$BJ103)="","",INDEX(原始資料!AJ$2:AJ$501,$BJ103)))</f>
        <v/>
      </c>
      <c r="AI103" s="6">
        <f>IF(OR($BJ103="",34&gt;設定!$B$3),"",IF(INDEX(原始資料!AK$2:AK$501,$BJ103)="","",INDEX(原始資料!AK$2:AK$501,$BJ103)))</f>
        <v/>
      </c>
      <c r="AJ103" s="6">
        <f>IF(OR($BJ103="",35&gt;設定!$B$3),"",IF(INDEX(原始資料!AL$2:AL$501,$BJ103)="","",INDEX(原始資料!AL$2:AL$501,$BJ103)))</f>
        <v/>
      </c>
      <c r="AK103" s="6">
        <f>IF(OR($BJ103="",36&gt;設定!$B$3),"",IF(INDEX(原始資料!AM$2:AM$501,$BJ103)="","",INDEX(原始資料!AM$2:AM$501,$BJ103)))</f>
        <v/>
      </c>
      <c r="AL103" s="6">
        <f>IF(OR($BJ103="",37&gt;設定!$B$3),"",IF(INDEX(原始資料!AN$2:AN$501,$BJ103)="","",INDEX(原始資料!AN$2:AN$501,$BJ103)))</f>
        <v/>
      </c>
      <c r="AM103" s="6">
        <f>IF(OR($BJ103="",38&gt;設定!$B$3),"",IF(INDEX(原始資料!AO$2:AO$501,$BJ103)="","",INDEX(原始資料!AO$2:AO$501,$BJ103)))</f>
        <v/>
      </c>
      <c r="AN103" s="6">
        <f>IF(OR($BJ103="",39&gt;設定!$B$3),"",IF(INDEX(原始資料!AP$2:AP$501,$BJ103)="","",INDEX(原始資料!AP$2:AP$501,$BJ103)))</f>
        <v/>
      </c>
      <c r="AO103" s="6">
        <f>IF(OR($BJ103="",40&gt;設定!$B$3),"",IF(INDEX(原始資料!AQ$2:AQ$501,$BJ103)="","",INDEX(原始資料!AQ$2:AQ$501,$BJ103)))</f>
        <v/>
      </c>
      <c r="AP103" s="6">
        <f>IF(OR($BJ103="",41&gt;設定!$B$3),"",IF(INDEX(原始資料!AR$2:AR$501,$BJ103)="","",INDEX(原始資料!AR$2:AR$501,$BJ103)))</f>
        <v/>
      </c>
      <c r="AQ103" s="6">
        <f>IF(OR($BJ103="",42&gt;設定!$B$3),"",IF(INDEX(原始資料!AS$2:AS$501,$BJ103)="","",INDEX(原始資料!AS$2:AS$501,$BJ103)))</f>
        <v/>
      </c>
      <c r="AR103" s="6">
        <f>IF(OR($BJ103="",43&gt;設定!$B$3),"",IF(INDEX(原始資料!AT$2:AT$501,$BJ103)="","",INDEX(原始資料!AT$2:AT$501,$BJ103)))</f>
        <v/>
      </c>
      <c r="AS103" s="6">
        <f>IF(OR($BJ103="",44&gt;設定!$B$3),"",IF(INDEX(原始資料!AU$2:AU$501,$BJ103)="","",INDEX(原始資料!AU$2:AU$501,$BJ103)))</f>
        <v/>
      </c>
      <c r="AT103" s="6">
        <f>IF(OR($BJ103="",45&gt;設定!$B$3),"",IF(INDEX(原始資料!AV$2:AV$501,$BJ103)="","",INDEX(原始資料!AV$2:AV$501,$BJ103)))</f>
        <v/>
      </c>
      <c r="AU103" s="6">
        <f>IF(OR($BJ103="",46&gt;設定!$B$3),"",IF(INDEX(原始資料!AW$2:AW$501,$BJ103)="","",INDEX(原始資料!AW$2:AW$501,$BJ103)))</f>
        <v/>
      </c>
      <c r="AV103" s="6">
        <f>IF(OR($BJ103="",47&gt;設定!$B$3),"",IF(INDEX(原始資料!AX$2:AX$501,$BJ103)="","",INDEX(原始資料!AX$2:AX$501,$BJ103)))</f>
        <v/>
      </c>
      <c r="AW103" s="6">
        <f>IF(OR($BJ103="",48&gt;設定!$B$3),"",IF(INDEX(原始資料!AY$2:AY$501,$BJ103)="","",INDEX(原始資料!AY$2:AY$501,$BJ103)))</f>
        <v/>
      </c>
      <c r="AX103" s="6">
        <f>IF(OR($BJ103="",49&gt;設定!$B$3),"",IF(INDEX(原始資料!AZ$2:AZ$501,$BJ103)="","",INDEX(原始資料!AZ$2:AZ$501,$BJ103)))</f>
        <v/>
      </c>
      <c r="AY103" s="6">
        <f>IF(OR($BJ103="",50&gt;設定!$B$3),"",IF(INDEX(原始資料!BA$2:BA$501,$BJ103)="","",INDEX(原始資料!BA$2:BA$501,$BJ103)))</f>
        <v/>
      </c>
      <c r="AZ103" s="6">
        <f>IF(OR($BJ103="",51&gt;設定!$B$3),"",IF(INDEX(原始資料!BB$2:BB$501,$BJ103)="","",INDEX(原始資料!BB$2:BB$501,$BJ103)))</f>
        <v/>
      </c>
      <c r="BA103" s="6">
        <f>IF(OR($BJ103="",52&gt;設定!$B$3),"",IF(INDEX(原始資料!BC$2:BC$501,$BJ103)="","",INDEX(原始資料!BC$2:BC$501,$BJ103)))</f>
        <v/>
      </c>
      <c r="BB103" s="6">
        <f>IF(OR($BJ103="",53&gt;設定!$B$3),"",IF(INDEX(原始資料!BD$2:BD$501,$BJ103)="","",INDEX(原始資料!BD$2:BD$501,$BJ103)))</f>
        <v/>
      </c>
      <c r="BC103" s="6">
        <f>IF(OR($BJ103="",54&gt;設定!$B$3),"",IF(INDEX(原始資料!BE$2:BE$501,$BJ103)="","",INDEX(原始資料!BE$2:BE$501,$BJ103)))</f>
        <v/>
      </c>
      <c r="BD103" s="6">
        <f>IF(OR($BJ103="",55&gt;設定!$B$3),"",IF(INDEX(原始資料!BF$2:BF$501,$BJ103)="","",INDEX(原始資料!BF$2:BF$501,$BJ103)))</f>
        <v/>
      </c>
      <c r="BE103" s="6">
        <f>IF(OR($BJ103="",56&gt;設定!$B$3),"",IF(INDEX(原始資料!BG$2:BG$501,$BJ103)="","",INDEX(原始資料!BG$2:BG$501,$BJ103)))</f>
        <v/>
      </c>
      <c r="BF103" s="6">
        <f>IF(OR($BJ103="",57&gt;設定!$B$3),"",IF(INDEX(原始資料!BH$2:BH$501,$BJ103)="","",INDEX(原始資料!BH$2:BH$501,$BJ103)))</f>
        <v/>
      </c>
      <c r="BG103" s="6">
        <f>IF(OR($BJ103="",58&gt;設定!$B$3),"",IF(INDEX(原始資料!BI$2:BI$501,$BJ103)="","",INDEX(原始資料!BI$2:BI$501,$BJ103)))</f>
        <v/>
      </c>
      <c r="BH103" s="6">
        <f>IF(OR($BJ103="",59&gt;設定!$B$3),"",IF(INDEX(原始資料!BJ$2:BJ$501,$BJ103)="","",INDEX(原始資料!BJ$2:BJ$501,$BJ103)))</f>
        <v/>
      </c>
      <c r="BI103" s="6">
        <f>IF(OR($BJ103="",60&gt;設定!$B$3),"",IF(INDEX(原始資料!BK$2:BK$501,$BJ103)="","",INDEX(原始資料!BK$2:BK$501,$BJ103)))</f>
        <v/>
      </c>
      <c r="BJ103" s="6">
        <f>IFERROR(MATCH(ROW()-1,判定!$H$2:$H$501,0),"")</f>
        <v/>
      </c>
    </row>
    <row r="104">
      <c r="A104" s="6">
        <f>IF($BJ104="","",INDEX(原始資料!$A$2:$A$501,$BJ104))</f>
        <v/>
      </c>
      <c r="B104" s="6">
        <f>IF(OR($BJ104="",1&gt;設定!$B$3),"",IF(INDEX(原始資料!D$2:D$501,$BJ104)="","",INDEX(原始資料!D$2:D$501,$BJ104)))</f>
        <v/>
      </c>
      <c r="C104" s="6">
        <f>IF(OR($BJ104="",2&gt;設定!$B$3),"",IF(INDEX(原始資料!E$2:E$501,$BJ104)="","",INDEX(原始資料!E$2:E$501,$BJ104)))</f>
        <v/>
      </c>
      <c r="D104" s="6">
        <f>IF(OR($BJ104="",3&gt;設定!$B$3),"",IF(INDEX(原始資料!F$2:F$501,$BJ104)="","",INDEX(原始資料!F$2:F$501,$BJ104)))</f>
        <v/>
      </c>
      <c r="E104" s="6">
        <f>IF(OR($BJ104="",4&gt;設定!$B$3),"",IF(INDEX(原始資料!G$2:G$501,$BJ104)="","",INDEX(原始資料!G$2:G$501,$BJ104)))</f>
        <v/>
      </c>
      <c r="F104" s="6">
        <f>IF(OR($BJ104="",5&gt;設定!$B$3),"",IF(INDEX(原始資料!H$2:H$501,$BJ104)="","",INDEX(原始資料!H$2:H$501,$BJ104)))</f>
        <v/>
      </c>
      <c r="G104" s="6">
        <f>IF(OR($BJ104="",6&gt;設定!$B$3),"",IF(INDEX(原始資料!I$2:I$501,$BJ104)="","",INDEX(原始資料!I$2:I$501,$BJ104)))</f>
        <v/>
      </c>
      <c r="H104" s="6">
        <f>IF(OR($BJ104="",7&gt;設定!$B$3),"",IF(INDEX(原始資料!J$2:J$501,$BJ104)="","",INDEX(原始資料!J$2:J$501,$BJ104)))</f>
        <v/>
      </c>
      <c r="I104" s="6">
        <f>IF(OR($BJ104="",8&gt;設定!$B$3),"",IF(INDEX(原始資料!K$2:K$501,$BJ104)="","",INDEX(原始資料!K$2:K$501,$BJ104)))</f>
        <v/>
      </c>
      <c r="J104" s="6">
        <f>IF(OR($BJ104="",9&gt;設定!$B$3),"",IF(INDEX(原始資料!L$2:L$501,$BJ104)="","",INDEX(原始資料!L$2:L$501,$BJ104)))</f>
        <v/>
      </c>
      <c r="K104" s="6">
        <f>IF(OR($BJ104="",10&gt;設定!$B$3),"",IF(INDEX(原始資料!M$2:M$501,$BJ104)="","",INDEX(原始資料!M$2:M$501,$BJ104)))</f>
        <v/>
      </c>
      <c r="L104" s="6">
        <f>IF(OR($BJ104="",11&gt;設定!$B$3),"",IF(INDEX(原始資料!N$2:N$501,$BJ104)="","",INDEX(原始資料!N$2:N$501,$BJ104)))</f>
        <v/>
      </c>
      <c r="M104" s="6">
        <f>IF(OR($BJ104="",12&gt;設定!$B$3),"",IF(INDEX(原始資料!O$2:O$501,$BJ104)="","",INDEX(原始資料!O$2:O$501,$BJ104)))</f>
        <v/>
      </c>
      <c r="N104" s="6">
        <f>IF(OR($BJ104="",13&gt;設定!$B$3),"",IF(INDEX(原始資料!P$2:P$501,$BJ104)="","",INDEX(原始資料!P$2:P$501,$BJ104)))</f>
        <v/>
      </c>
      <c r="O104" s="6">
        <f>IF(OR($BJ104="",14&gt;設定!$B$3),"",IF(INDEX(原始資料!Q$2:Q$501,$BJ104)="","",INDEX(原始資料!Q$2:Q$501,$BJ104)))</f>
        <v/>
      </c>
      <c r="P104" s="6">
        <f>IF(OR($BJ104="",15&gt;設定!$B$3),"",IF(INDEX(原始資料!R$2:R$501,$BJ104)="","",INDEX(原始資料!R$2:R$501,$BJ104)))</f>
        <v/>
      </c>
      <c r="Q104" s="6">
        <f>IF(OR($BJ104="",16&gt;設定!$B$3),"",IF(INDEX(原始資料!S$2:S$501,$BJ104)="","",INDEX(原始資料!S$2:S$501,$BJ104)))</f>
        <v/>
      </c>
      <c r="R104" s="6">
        <f>IF(OR($BJ104="",17&gt;設定!$B$3),"",IF(INDEX(原始資料!T$2:T$501,$BJ104)="","",INDEX(原始資料!T$2:T$501,$BJ104)))</f>
        <v/>
      </c>
      <c r="S104" s="6">
        <f>IF(OR($BJ104="",18&gt;設定!$B$3),"",IF(INDEX(原始資料!U$2:U$501,$BJ104)="","",INDEX(原始資料!U$2:U$501,$BJ104)))</f>
        <v/>
      </c>
      <c r="T104" s="6">
        <f>IF(OR($BJ104="",19&gt;設定!$B$3),"",IF(INDEX(原始資料!V$2:V$501,$BJ104)="","",INDEX(原始資料!V$2:V$501,$BJ104)))</f>
        <v/>
      </c>
      <c r="U104" s="6">
        <f>IF(OR($BJ104="",20&gt;設定!$B$3),"",IF(INDEX(原始資料!W$2:W$501,$BJ104)="","",INDEX(原始資料!W$2:W$501,$BJ104)))</f>
        <v/>
      </c>
      <c r="V104" s="6">
        <f>IF(OR($BJ104="",21&gt;設定!$B$3),"",IF(INDEX(原始資料!X$2:X$501,$BJ104)="","",INDEX(原始資料!X$2:X$501,$BJ104)))</f>
        <v/>
      </c>
      <c r="W104" s="6">
        <f>IF(OR($BJ104="",22&gt;設定!$B$3),"",IF(INDEX(原始資料!Y$2:Y$501,$BJ104)="","",INDEX(原始資料!Y$2:Y$501,$BJ104)))</f>
        <v/>
      </c>
      <c r="X104" s="6">
        <f>IF(OR($BJ104="",23&gt;設定!$B$3),"",IF(INDEX(原始資料!Z$2:Z$501,$BJ104)="","",INDEX(原始資料!Z$2:Z$501,$BJ104)))</f>
        <v/>
      </c>
      <c r="Y104" s="6">
        <f>IF(OR($BJ104="",24&gt;設定!$B$3),"",IF(INDEX(原始資料!AA$2:AA$501,$BJ104)="","",INDEX(原始資料!AA$2:AA$501,$BJ104)))</f>
        <v/>
      </c>
      <c r="Z104" s="6">
        <f>IF(OR($BJ104="",25&gt;設定!$B$3),"",IF(INDEX(原始資料!AB$2:AB$501,$BJ104)="","",INDEX(原始資料!AB$2:AB$501,$BJ104)))</f>
        <v/>
      </c>
      <c r="AA104" s="6">
        <f>IF(OR($BJ104="",26&gt;設定!$B$3),"",IF(INDEX(原始資料!AC$2:AC$501,$BJ104)="","",INDEX(原始資料!AC$2:AC$501,$BJ104)))</f>
        <v/>
      </c>
      <c r="AB104" s="6">
        <f>IF(OR($BJ104="",27&gt;設定!$B$3),"",IF(INDEX(原始資料!AD$2:AD$501,$BJ104)="","",INDEX(原始資料!AD$2:AD$501,$BJ104)))</f>
        <v/>
      </c>
      <c r="AC104" s="6">
        <f>IF(OR($BJ104="",28&gt;設定!$B$3),"",IF(INDEX(原始資料!AE$2:AE$501,$BJ104)="","",INDEX(原始資料!AE$2:AE$501,$BJ104)))</f>
        <v/>
      </c>
      <c r="AD104" s="6">
        <f>IF(OR($BJ104="",29&gt;設定!$B$3),"",IF(INDEX(原始資料!AF$2:AF$501,$BJ104)="","",INDEX(原始資料!AF$2:AF$501,$BJ104)))</f>
        <v/>
      </c>
      <c r="AE104" s="6">
        <f>IF(OR($BJ104="",30&gt;設定!$B$3),"",IF(INDEX(原始資料!AG$2:AG$501,$BJ104)="","",INDEX(原始資料!AG$2:AG$501,$BJ104)))</f>
        <v/>
      </c>
      <c r="AF104" s="6">
        <f>IF(OR($BJ104="",31&gt;設定!$B$3),"",IF(INDEX(原始資料!AH$2:AH$501,$BJ104)="","",INDEX(原始資料!AH$2:AH$501,$BJ104)))</f>
        <v/>
      </c>
      <c r="AG104" s="6">
        <f>IF(OR($BJ104="",32&gt;設定!$B$3),"",IF(INDEX(原始資料!AI$2:AI$501,$BJ104)="","",INDEX(原始資料!AI$2:AI$501,$BJ104)))</f>
        <v/>
      </c>
      <c r="AH104" s="6">
        <f>IF(OR($BJ104="",33&gt;設定!$B$3),"",IF(INDEX(原始資料!AJ$2:AJ$501,$BJ104)="","",INDEX(原始資料!AJ$2:AJ$501,$BJ104)))</f>
        <v/>
      </c>
      <c r="AI104" s="6">
        <f>IF(OR($BJ104="",34&gt;設定!$B$3),"",IF(INDEX(原始資料!AK$2:AK$501,$BJ104)="","",INDEX(原始資料!AK$2:AK$501,$BJ104)))</f>
        <v/>
      </c>
      <c r="AJ104" s="6">
        <f>IF(OR($BJ104="",35&gt;設定!$B$3),"",IF(INDEX(原始資料!AL$2:AL$501,$BJ104)="","",INDEX(原始資料!AL$2:AL$501,$BJ104)))</f>
        <v/>
      </c>
      <c r="AK104" s="6">
        <f>IF(OR($BJ104="",36&gt;設定!$B$3),"",IF(INDEX(原始資料!AM$2:AM$501,$BJ104)="","",INDEX(原始資料!AM$2:AM$501,$BJ104)))</f>
        <v/>
      </c>
      <c r="AL104" s="6">
        <f>IF(OR($BJ104="",37&gt;設定!$B$3),"",IF(INDEX(原始資料!AN$2:AN$501,$BJ104)="","",INDEX(原始資料!AN$2:AN$501,$BJ104)))</f>
        <v/>
      </c>
      <c r="AM104" s="6">
        <f>IF(OR($BJ104="",38&gt;設定!$B$3),"",IF(INDEX(原始資料!AO$2:AO$501,$BJ104)="","",INDEX(原始資料!AO$2:AO$501,$BJ104)))</f>
        <v/>
      </c>
      <c r="AN104" s="6">
        <f>IF(OR($BJ104="",39&gt;設定!$B$3),"",IF(INDEX(原始資料!AP$2:AP$501,$BJ104)="","",INDEX(原始資料!AP$2:AP$501,$BJ104)))</f>
        <v/>
      </c>
      <c r="AO104" s="6">
        <f>IF(OR($BJ104="",40&gt;設定!$B$3),"",IF(INDEX(原始資料!AQ$2:AQ$501,$BJ104)="","",INDEX(原始資料!AQ$2:AQ$501,$BJ104)))</f>
        <v/>
      </c>
      <c r="AP104" s="6">
        <f>IF(OR($BJ104="",41&gt;設定!$B$3),"",IF(INDEX(原始資料!AR$2:AR$501,$BJ104)="","",INDEX(原始資料!AR$2:AR$501,$BJ104)))</f>
        <v/>
      </c>
      <c r="AQ104" s="6">
        <f>IF(OR($BJ104="",42&gt;設定!$B$3),"",IF(INDEX(原始資料!AS$2:AS$501,$BJ104)="","",INDEX(原始資料!AS$2:AS$501,$BJ104)))</f>
        <v/>
      </c>
      <c r="AR104" s="6">
        <f>IF(OR($BJ104="",43&gt;設定!$B$3),"",IF(INDEX(原始資料!AT$2:AT$501,$BJ104)="","",INDEX(原始資料!AT$2:AT$501,$BJ104)))</f>
        <v/>
      </c>
      <c r="AS104" s="6">
        <f>IF(OR($BJ104="",44&gt;設定!$B$3),"",IF(INDEX(原始資料!AU$2:AU$501,$BJ104)="","",INDEX(原始資料!AU$2:AU$501,$BJ104)))</f>
        <v/>
      </c>
      <c r="AT104" s="6">
        <f>IF(OR($BJ104="",45&gt;設定!$B$3),"",IF(INDEX(原始資料!AV$2:AV$501,$BJ104)="","",INDEX(原始資料!AV$2:AV$501,$BJ104)))</f>
        <v/>
      </c>
      <c r="AU104" s="6">
        <f>IF(OR($BJ104="",46&gt;設定!$B$3),"",IF(INDEX(原始資料!AW$2:AW$501,$BJ104)="","",INDEX(原始資料!AW$2:AW$501,$BJ104)))</f>
        <v/>
      </c>
      <c r="AV104" s="6">
        <f>IF(OR($BJ104="",47&gt;設定!$B$3),"",IF(INDEX(原始資料!AX$2:AX$501,$BJ104)="","",INDEX(原始資料!AX$2:AX$501,$BJ104)))</f>
        <v/>
      </c>
      <c r="AW104" s="6">
        <f>IF(OR($BJ104="",48&gt;設定!$B$3),"",IF(INDEX(原始資料!AY$2:AY$501,$BJ104)="","",INDEX(原始資料!AY$2:AY$501,$BJ104)))</f>
        <v/>
      </c>
      <c r="AX104" s="6">
        <f>IF(OR($BJ104="",49&gt;設定!$B$3),"",IF(INDEX(原始資料!AZ$2:AZ$501,$BJ104)="","",INDEX(原始資料!AZ$2:AZ$501,$BJ104)))</f>
        <v/>
      </c>
      <c r="AY104" s="6">
        <f>IF(OR($BJ104="",50&gt;設定!$B$3),"",IF(INDEX(原始資料!BA$2:BA$501,$BJ104)="","",INDEX(原始資料!BA$2:BA$501,$BJ104)))</f>
        <v/>
      </c>
      <c r="AZ104" s="6">
        <f>IF(OR($BJ104="",51&gt;設定!$B$3),"",IF(INDEX(原始資料!BB$2:BB$501,$BJ104)="","",INDEX(原始資料!BB$2:BB$501,$BJ104)))</f>
        <v/>
      </c>
      <c r="BA104" s="6">
        <f>IF(OR($BJ104="",52&gt;設定!$B$3),"",IF(INDEX(原始資料!BC$2:BC$501,$BJ104)="","",INDEX(原始資料!BC$2:BC$501,$BJ104)))</f>
        <v/>
      </c>
      <c r="BB104" s="6">
        <f>IF(OR($BJ104="",53&gt;設定!$B$3),"",IF(INDEX(原始資料!BD$2:BD$501,$BJ104)="","",INDEX(原始資料!BD$2:BD$501,$BJ104)))</f>
        <v/>
      </c>
      <c r="BC104" s="6">
        <f>IF(OR($BJ104="",54&gt;設定!$B$3),"",IF(INDEX(原始資料!BE$2:BE$501,$BJ104)="","",INDEX(原始資料!BE$2:BE$501,$BJ104)))</f>
        <v/>
      </c>
      <c r="BD104" s="6">
        <f>IF(OR($BJ104="",55&gt;設定!$B$3),"",IF(INDEX(原始資料!BF$2:BF$501,$BJ104)="","",INDEX(原始資料!BF$2:BF$501,$BJ104)))</f>
        <v/>
      </c>
      <c r="BE104" s="6">
        <f>IF(OR($BJ104="",56&gt;設定!$B$3),"",IF(INDEX(原始資料!BG$2:BG$501,$BJ104)="","",INDEX(原始資料!BG$2:BG$501,$BJ104)))</f>
        <v/>
      </c>
      <c r="BF104" s="6">
        <f>IF(OR($BJ104="",57&gt;設定!$B$3),"",IF(INDEX(原始資料!BH$2:BH$501,$BJ104)="","",INDEX(原始資料!BH$2:BH$501,$BJ104)))</f>
        <v/>
      </c>
      <c r="BG104" s="6">
        <f>IF(OR($BJ104="",58&gt;設定!$B$3),"",IF(INDEX(原始資料!BI$2:BI$501,$BJ104)="","",INDEX(原始資料!BI$2:BI$501,$BJ104)))</f>
        <v/>
      </c>
      <c r="BH104" s="6">
        <f>IF(OR($BJ104="",59&gt;設定!$B$3),"",IF(INDEX(原始資料!BJ$2:BJ$501,$BJ104)="","",INDEX(原始資料!BJ$2:BJ$501,$BJ104)))</f>
        <v/>
      </c>
      <c r="BI104" s="6">
        <f>IF(OR($BJ104="",60&gt;設定!$B$3),"",IF(INDEX(原始資料!BK$2:BK$501,$BJ104)="","",INDEX(原始資料!BK$2:BK$501,$BJ104)))</f>
        <v/>
      </c>
      <c r="BJ104" s="6">
        <f>IFERROR(MATCH(ROW()-1,判定!$H$2:$H$501,0),"")</f>
        <v/>
      </c>
    </row>
    <row r="105">
      <c r="A105" s="6">
        <f>IF($BJ105="","",INDEX(原始資料!$A$2:$A$501,$BJ105))</f>
        <v/>
      </c>
      <c r="B105" s="6">
        <f>IF(OR($BJ105="",1&gt;設定!$B$3),"",IF(INDEX(原始資料!D$2:D$501,$BJ105)="","",INDEX(原始資料!D$2:D$501,$BJ105)))</f>
        <v/>
      </c>
      <c r="C105" s="6">
        <f>IF(OR($BJ105="",2&gt;設定!$B$3),"",IF(INDEX(原始資料!E$2:E$501,$BJ105)="","",INDEX(原始資料!E$2:E$501,$BJ105)))</f>
        <v/>
      </c>
      <c r="D105" s="6">
        <f>IF(OR($BJ105="",3&gt;設定!$B$3),"",IF(INDEX(原始資料!F$2:F$501,$BJ105)="","",INDEX(原始資料!F$2:F$501,$BJ105)))</f>
        <v/>
      </c>
      <c r="E105" s="6">
        <f>IF(OR($BJ105="",4&gt;設定!$B$3),"",IF(INDEX(原始資料!G$2:G$501,$BJ105)="","",INDEX(原始資料!G$2:G$501,$BJ105)))</f>
        <v/>
      </c>
      <c r="F105" s="6">
        <f>IF(OR($BJ105="",5&gt;設定!$B$3),"",IF(INDEX(原始資料!H$2:H$501,$BJ105)="","",INDEX(原始資料!H$2:H$501,$BJ105)))</f>
        <v/>
      </c>
      <c r="G105" s="6">
        <f>IF(OR($BJ105="",6&gt;設定!$B$3),"",IF(INDEX(原始資料!I$2:I$501,$BJ105)="","",INDEX(原始資料!I$2:I$501,$BJ105)))</f>
        <v/>
      </c>
      <c r="H105" s="6">
        <f>IF(OR($BJ105="",7&gt;設定!$B$3),"",IF(INDEX(原始資料!J$2:J$501,$BJ105)="","",INDEX(原始資料!J$2:J$501,$BJ105)))</f>
        <v/>
      </c>
      <c r="I105" s="6">
        <f>IF(OR($BJ105="",8&gt;設定!$B$3),"",IF(INDEX(原始資料!K$2:K$501,$BJ105)="","",INDEX(原始資料!K$2:K$501,$BJ105)))</f>
        <v/>
      </c>
      <c r="J105" s="6">
        <f>IF(OR($BJ105="",9&gt;設定!$B$3),"",IF(INDEX(原始資料!L$2:L$501,$BJ105)="","",INDEX(原始資料!L$2:L$501,$BJ105)))</f>
        <v/>
      </c>
      <c r="K105" s="6">
        <f>IF(OR($BJ105="",10&gt;設定!$B$3),"",IF(INDEX(原始資料!M$2:M$501,$BJ105)="","",INDEX(原始資料!M$2:M$501,$BJ105)))</f>
        <v/>
      </c>
      <c r="L105" s="6">
        <f>IF(OR($BJ105="",11&gt;設定!$B$3),"",IF(INDEX(原始資料!N$2:N$501,$BJ105)="","",INDEX(原始資料!N$2:N$501,$BJ105)))</f>
        <v/>
      </c>
      <c r="M105" s="6">
        <f>IF(OR($BJ105="",12&gt;設定!$B$3),"",IF(INDEX(原始資料!O$2:O$501,$BJ105)="","",INDEX(原始資料!O$2:O$501,$BJ105)))</f>
        <v/>
      </c>
      <c r="N105" s="6">
        <f>IF(OR($BJ105="",13&gt;設定!$B$3),"",IF(INDEX(原始資料!P$2:P$501,$BJ105)="","",INDEX(原始資料!P$2:P$501,$BJ105)))</f>
        <v/>
      </c>
      <c r="O105" s="6">
        <f>IF(OR($BJ105="",14&gt;設定!$B$3),"",IF(INDEX(原始資料!Q$2:Q$501,$BJ105)="","",INDEX(原始資料!Q$2:Q$501,$BJ105)))</f>
        <v/>
      </c>
      <c r="P105" s="6">
        <f>IF(OR($BJ105="",15&gt;設定!$B$3),"",IF(INDEX(原始資料!R$2:R$501,$BJ105)="","",INDEX(原始資料!R$2:R$501,$BJ105)))</f>
        <v/>
      </c>
      <c r="Q105" s="6">
        <f>IF(OR($BJ105="",16&gt;設定!$B$3),"",IF(INDEX(原始資料!S$2:S$501,$BJ105)="","",INDEX(原始資料!S$2:S$501,$BJ105)))</f>
        <v/>
      </c>
      <c r="R105" s="6">
        <f>IF(OR($BJ105="",17&gt;設定!$B$3),"",IF(INDEX(原始資料!T$2:T$501,$BJ105)="","",INDEX(原始資料!T$2:T$501,$BJ105)))</f>
        <v/>
      </c>
      <c r="S105" s="6">
        <f>IF(OR($BJ105="",18&gt;設定!$B$3),"",IF(INDEX(原始資料!U$2:U$501,$BJ105)="","",INDEX(原始資料!U$2:U$501,$BJ105)))</f>
        <v/>
      </c>
      <c r="T105" s="6">
        <f>IF(OR($BJ105="",19&gt;設定!$B$3),"",IF(INDEX(原始資料!V$2:V$501,$BJ105)="","",INDEX(原始資料!V$2:V$501,$BJ105)))</f>
        <v/>
      </c>
      <c r="U105" s="6">
        <f>IF(OR($BJ105="",20&gt;設定!$B$3),"",IF(INDEX(原始資料!W$2:W$501,$BJ105)="","",INDEX(原始資料!W$2:W$501,$BJ105)))</f>
        <v/>
      </c>
      <c r="V105" s="6">
        <f>IF(OR($BJ105="",21&gt;設定!$B$3),"",IF(INDEX(原始資料!X$2:X$501,$BJ105)="","",INDEX(原始資料!X$2:X$501,$BJ105)))</f>
        <v/>
      </c>
      <c r="W105" s="6">
        <f>IF(OR($BJ105="",22&gt;設定!$B$3),"",IF(INDEX(原始資料!Y$2:Y$501,$BJ105)="","",INDEX(原始資料!Y$2:Y$501,$BJ105)))</f>
        <v/>
      </c>
      <c r="X105" s="6">
        <f>IF(OR($BJ105="",23&gt;設定!$B$3),"",IF(INDEX(原始資料!Z$2:Z$501,$BJ105)="","",INDEX(原始資料!Z$2:Z$501,$BJ105)))</f>
        <v/>
      </c>
      <c r="Y105" s="6">
        <f>IF(OR($BJ105="",24&gt;設定!$B$3),"",IF(INDEX(原始資料!AA$2:AA$501,$BJ105)="","",INDEX(原始資料!AA$2:AA$501,$BJ105)))</f>
        <v/>
      </c>
      <c r="Z105" s="6">
        <f>IF(OR($BJ105="",25&gt;設定!$B$3),"",IF(INDEX(原始資料!AB$2:AB$501,$BJ105)="","",INDEX(原始資料!AB$2:AB$501,$BJ105)))</f>
        <v/>
      </c>
      <c r="AA105" s="6">
        <f>IF(OR($BJ105="",26&gt;設定!$B$3),"",IF(INDEX(原始資料!AC$2:AC$501,$BJ105)="","",INDEX(原始資料!AC$2:AC$501,$BJ105)))</f>
        <v/>
      </c>
      <c r="AB105" s="6">
        <f>IF(OR($BJ105="",27&gt;設定!$B$3),"",IF(INDEX(原始資料!AD$2:AD$501,$BJ105)="","",INDEX(原始資料!AD$2:AD$501,$BJ105)))</f>
        <v/>
      </c>
      <c r="AC105" s="6">
        <f>IF(OR($BJ105="",28&gt;設定!$B$3),"",IF(INDEX(原始資料!AE$2:AE$501,$BJ105)="","",INDEX(原始資料!AE$2:AE$501,$BJ105)))</f>
        <v/>
      </c>
      <c r="AD105" s="6">
        <f>IF(OR($BJ105="",29&gt;設定!$B$3),"",IF(INDEX(原始資料!AF$2:AF$501,$BJ105)="","",INDEX(原始資料!AF$2:AF$501,$BJ105)))</f>
        <v/>
      </c>
      <c r="AE105" s="6">
        <f>IF(OR($BJ105="",30&gt;設定!$B$3),"",IF(INDEX(原始資料!AG$2:AG$501,$BJ105)="","",INDEX(原始資料!AG$2:AG$501,$BJ105)))</f>
        <v/>
      </c>
      <c r="AF105" s="6">
        <f>IF(OR($BJ105="",31&gt;設定!$B$3),"",IF(INDEX(原始資料!AH$2:AH$501,$BJ105)="","",INDEX(原始資料!AH$2:AH$501,$BJ105)))</f>
        <v/>
      </c>
      <c r="AG105" s="6">
        <f>IF(OR($BJ105="",32&gt;設定!$B$3),"",IF(INDEX(原始資料!AI$2:AI$501,$BJ105)="","",INDEX(原始資料!AI$2:AI$501,$BJ105)))</f>
        <v/>
      </c>
      <c r="AH105" s="6">
        <f>IF(OR($BJ105="",33&gt;設定!$B$3),"",IF(INDEX(原始資料!AJ$2:AJ$501,$BJ105)="","",INDEX(原始資料!AJ$2:AJ$501,$BJ105)))</f>
        <v/>
      </c>
      <c r="AI105" s="6">
        <f>IF(OR($BJ105="",34&gt;設定!$B$3),"",IF(INDEX(原始資料!AK$2:AK$501,$BJ105)="","",INDEX(原始資料!AK$2:AK$501,$BJ105)))</f>
        <v/>
      </c>
      <c r="AJ105" s="6">
        <f>IF(OR($BJ105="",35&gt;設定!$B$3),"",IF(INDEX(原始資料!AL$2:AL$501,$BJ105)="","",INDEX(原始資料!AL$2:AL$501,$BJ105)))</f>
        <v/>
      </c>
      <c r="AK105" s="6">
        <f>IF(OR($BJ105="",36&gt;設定!$B$3),"",IF(INDEX(原始資料!AM$2:AM$501,$BJ105)="","",INDEX(原始資料!AM$2:AM$501,$BJ105)))</f>
        <v/>
      </c>
      <c r="AL105" s="6">
        <f>IF(OR($BJ105="",37&gt;設定!$B$3),"",IF(INDEX(原始資料!AN$2:AN$501,$BJ105)="","",INDEX(原始資料!AN$2:AN$501,$BJ105)))</f>
        <v/>
      </c>
      <c r="AM105" s="6">
        <f>IF(OR($BJ105="",38&gt;設定!$B$3),"",IF(INDEX(原始資料!AO$2:AO$501,$BJ105)="","",INDEX(原始資料!AO$2:AO$501,$BJ105)))</f>
        <v/>
      </c>
      <c r="AN105" s="6">
        <f>IF(OR($BJ105="",39&gt;設定!$B$3),"",IF(INDEX(原始資料!AP$2:AP$501,$BJ105)="","",INDEX(原始資料!AP$2:AP$501,$BJ105)))</f>
        <v/>
      </c>
      <c r="AO105" s="6">
        <f>IF(OR($BJ105="",40&gt;設定!$B$3),"",IF(INDEX(原始資料!AQ$2:AQ$501,$BJ105)="","",INDEX(原始資料!AQ$2:AQ$501,$BJ105)))</f>
        <v/>
      </c>
      <c r="AP105" s="6">
        <f>IF(OR($BJ105="",41&gt;設定!$B$3),"",IF(INDEX(原始資料!AR$2:AR$501,$BJ105)="","",INDEX(原始資料!AR$2:AR$501,$BJ105)))</f>
        <v/>
      </c>
      <c r="AQ105" s="6">
        <f>IF(OR($BJ105="",42&gt;設定!$B$3),"",IF(INDEX(原始資料!AS$2:AS$501,$BJ105)="","",INDEX(原始資料!AS$2:AS$501,$BJ105)))</f>
        <v/>
      </c>
      <c r="AR105" s="6">
        <f>IF(OR($BJ105="",43&gt;設定!$B$3),"",IF(INDEX(原始資料!AT$2:AT$501,$BJ105)="","",INDEX(原始資料!AT$2:AT$501,$BJ105)))</f>
        <v/>
      </c>
      <c r="AS105" s="6">
        <f>IF(OR($BJ105="",44&gt;設定!$B$3),"",IF(INDEX(原始資料!AU$2:AU$501,$BJ105)="","",INDEX(原始資料!AU$2:AU$501,$BJ105)))</f>
        <v/>
      </c>
      <c r="AT105" s="6">
        <f>IF(OR($BJ105="",45&gt;設定!$B$3),"",IF(INDEX(原始資料!AV$2:AV$501,$BJ105)="","",INDEX(原始資料!AV$2:AV$501,$BJ105)))</f>
        <v/>
      </c>
      <c r="AU105" s="6">
        <f>IF(OR($BJ105="",46&gt;設定!$B$3),"",IF(INDEX(原始資料!AW$2:AW$501,$BJ105)="","",INDEX(原始資料!AW$2:AW$501,$BJ105)))</f>
        <v/>
      </c>
      <c r="AV105" s="6">
        <f>IF(OR($BJ105="",47&gt;設定!$B$3),"",IF(INDEX(原始資料!AX$2:AX$501,$BJ105)="","",INDEX(原始資料!AX$2:AX$501,$BJ105)))</f>
        <v/>
      </c>
      <c r="AW105" s="6">
        <f>IF(OR($BJ105="",48&gt;設定!$B$3),"",IF(INDEX(原始資料!AY$2:AY$501,$BJ105)="","",INDEX(原始資料!AY$2:AY$501,$BJ105)))</f>
        <v/>
      </c>
      <c r="AX105" s="6">
        <f>IF(OR($BJ105="",49&gt;設定!$B$3),"",IF(INDEX(原始資料!AZ$2:AZ$501,$BJ105)="","",INDEX(原始資料!AZ$2:AZ$501,$BJ105)))</f>
        <v/>
      </c>
      <c r="AY105" s="6">
        <f>IF(OR($BJ105="",50&gt;設定!$B$3),"",IF(INDEX(原始資料!BA$2:BA$501,$BJ105)="","",INDEX(原始資料!BA$2:BA$501,$BJ105)))</f>
        <v/>
      </c>
      <c r="AZ105" s="6">
        <f>IF(OR($BJ105="",51&gt;設定!$B$3),"",IF(INDEX(原始資料!BB$2:BB$501,$BJ105)="","",INDEX(原始資料!BB$2:BB$501,$BJ105)))</f>
        <v/>
      </c>
      <c r="BA105" s="6">
        <f>IF(OR($BJ105="",52&gt;設定!$B$3),"",IF(INDEX(原始資料!BC$2:BC$501,$BJ105)="","",INDEX(原始資料!BC$2:BC$501,$BJ105)))</f>
        <v/>
      </c>
      <c r="BB105" s="6">
        <f>IF(OR($BJ105="",53&gt;設定!$B$3),"",IF(INDEX(原始資料!BD$2:BD$501,$BJ105)="","",INDEX(原始資料!BD$2:BD$501,$BJ105)))</f>
        <v/>
      </c>
      <c r="BC105" s="6">
        <f>IF(OR($BJ105="",54&gt;設定!$B$3),"",IF(INDEX(原始資料!BE$2:BE$501,$BJ105)="","",INDEX(原始資料!BE$2:BE$501,$BJ105)))</f>
        <v/>
      </c>
      <c r="BD105" s="6">
        <f>IF(OR($BJ105="",55&gt;設定!$B$3),"",IF(INDEX(原始資料!BF$2:BF$501,$BJ105)="","",INDEX(原始資料!BF$2:BF$501,$BJ105)))</f>
        <v/>
      </c>
      <c r="BE105" s="6">
        <f>IF(OR($BJ105="",56&gt;設定!$B$3),"",IF(INDEX(原始資料!BG$2:BG$501,$BJ105)="","",INDEX(原始資料!BG$2:BG$501,$BJ105)))</f>
        <v/>
      </c>
      <c r="BF105" s="6">
        <f>IF(OR($BJ105="",57&gt;設定!$B$3),"",IF(INDEX(原始資料!BH$2:BH$501,$BJ105)="","",INDEX(原始資料!BH$2:BH$501,$BJ105)))</f>
        <v/>
      </c>
      <c r="BG105" s="6">
        <f>IF(OR($BJ105="",58&gt;設定!$B$3),"",IF(INDEX(原始資料!BI$2:BI$501,$BJ105)="","",INDEX(原始資料!BI$2:BI$501,$BJ105)))</f>
        <v/>
      </c>
      <c r="BH105" s="6">
        <f>IF(OR($BJ105="",59&gt;設定!$B$3),"",IF(INDEX(原始資料!BJ$2:BJ$501,$BJ105)="","",INDEX(原始資料!BJ$2:BJ$501,$BJ105)))</f>
        <v/>
      </c>
      <c r="BI105" s="6">
        <f>IF(OR($BJ105="",60&gt;設定!$B$3),"",IF(INDEX(原始資料!BK$2:BK$501,$BJ105)="","",INDEX(原始資料!BK$2:BK$501,$BJ105)))</f>
        <v/>
      </c>
      <c r="BJ105" s="6">
        <f>IFERROR(MATCH(ROW()-1,判定!$H$2:$H$501,0),"")</f>
        <v/>
      </c>
    </row>
    <row r="106">
      <c r="A106" s="6">
        <f>IF($BJ106="","",INDEX(原始資料!$A$2:$A$501,$BJ106))</f>
        <v/>
      </c>
      <c r="B106" s="6">
        <f>IF(OR($BJ106="",1&gt;設定!$B$3),"",IF(INDEX(原始資料!D$2:D$501,$BJ106)="","",INDEX(原始資料!D$2:D$501,$BJ106)))</f>
        <v/>
      </c>
      <c r="C106" s="6">
        <f>IF(OR($BJ106="",2&gt;設定!$B$3),"",IF(INDEX(原始資料!E$2:E$501,$BJ106)="","",INDEX(原始資料!E$2:E$501,$BJ106)))</f>
        <v/>
      </c>
      <c r="D106" s="6">
        <f>IF(OR($BJ106="",3&gt;設定!$B$3),"",IF(INDEX(原始資料!F$2:F$501,$BJ106)="","",INDEX(原始資料!F$2:F$501,$BJ106)))</f>
        <v/>
      </c>
      <c r="E106" s="6">
        <f>IF(OR($BJ106="",4&gt;設定!$B$3),"",IF(INDEX(原始資料!G$2:G$501,$BJ106)="","",INDEX(原始資料!G$2:G$501,$BJ106)))</f>
        <v/>
      </c>
      <c r="F106" s="6">
        <f>IF(OR($BJ106="",5&gt;設定!$B$3),"",IF(INDEX(原始資料!H$2:H$501,$BJ106)="","",INDEX(原始資料!H$2:H$501,$BJ106)))</f>
        <v/>
      </c>
      <c r="G106" s="6">
        <f>IF(OR($BJ106="",6&gt;設定!$B$3),"",IF(INDEX(原始資料!I$2:I$501,$BJ106)="","",INDEX(原始資料!I$2:I$501,$BJ106)))</f>
        <v/>
      </c>
      <c r="H106" s="6">
        <f>IF(OR($BJ106="",7&gt;設定!$B$3),"",IF(INDEX(原始資料!J$2:J$501,$BJ106)="","",INDEX(原始資料!J$2:J$501,$BJ106)))</f>
        <v/>
      </c>
      <c r="I106" s="6">
        <f>IF(OR($BJ106="",8&gt;設定!$B$3),"",IF(INDEX(原始資料!K$2:K$501,$BJ106)="","",INDEX(原始資料!K$2:K$501,$BJ106)))</f>
        <v/>
      </c>
      <c r="J106" s="6">
        <f>IF(OR($BJ106="",9&gt;設定!$B$3),"",IF(INDEX(原始資料!L$2:L$501,$BJ106)="","",INDEX(原始資料!L$2:L$501,$BJ106)))</f>
        <v/>
      </c>
      <c r="K106" s="6">
        <f>IF(OR($BJ106="",10&gt;設定!$B$3),"",IF(INDEX(原始資料!M$2:M$501,$BJ106)="","",INDEX(原始資料!M$2:M$501,$BJ106)))</f>
        <v/>
      </c>
      <c r="L106" s="6">
        <f>IF(OR($BJ106="",11&gt;設定!$B$3),"",IF(INDEX(原始資料!N$2:N$501,$BJ106)="","",INDEX(原始資料!N$2:N$501,$BJ106)))</f>
        <v/>
      </c>
      <c r="M106" s="6">
        <f>IF(OR($BJ106="",12&gt;設定!$B$3),"",IF(INDEX(原始資料!O$2:O$501,$BJ106)="","",INDEX(原始資料!O$2:O$501,$BJ106)))</f>
        <v/>
      </c>
      <c r="N106" s="6">
        <f>IF(OR($BJ106="",13&gt;設定!$B$3),"",IF(INDEX(原始資料!P$2:P$501,$BJ106)="","",INDEX(原始資料!P$2:P$501,$BJ106)))</f>
        <v/>
      </c>
      <c r="O106" s="6">
        <f>IF(OR($BJ106="",14&gt;設定!$B$3),"",IF(INDEX(原始資料!Q$2:Q$501,$BJ106)="","",INDEX(原始資料!Q$2:Q$501,$BJ106)))</f>
        <v/>
      </c>
      <c r="P106" s="6">
        <f>IF(OR($BJ106="",15&gt;設定!$B$3),"",IF(INDEX(原始資料!R$2:R$501,$BJ106)="","",INDEX(原始資料!R$2:R$501,$BJ106)))</f>
        <v/>
      </c>
      <c r="Q106" s="6">
        <f>IF(OR($BJ106="",16&gt;設定!$B$3),"",IF(INDEX(原始資料!S$2:S$501,$BJ106)="","",INDEX(原始資料!S$2:S$501,$BJ106)))</f>
        <v/>
      </c>
      <c r="R106" s="6">
        <f>IF(OR($BJ106="",17&gt;設定!$B$3),"",IF(INDEX(原始資料!T$2:T$501,$BJ106)="","",INDEX(原始資料!T$2:T$501,$BJ106)))</f>
        <v/>
      </c>
      <c r="S106" s="6">
        <f>IF(OR($BJ106="",18&gt;設定!$B$3),"",IF(INDEX(原始資料!U$2:U$501,$BJ106)="","",INDEX(原始資料!U$2:U$501,$BJ106)))</f>
        <v/>
      </c>
      <c r="T106" s="6">
        <f>IF(OR($BJ106="",19&gt;設定!$B$3),"",IF(INDEX(原始資料!V$2:V$501,$BJ106)="","",INDEX(原始資料!V$2:V$501,$BJ106)))</f>
        <v/>
      </c>
      <c r="U106" s="6">
        <f>IF(OR($BJ106="",20&gt;設定!$B$3),"",IF(INDEX(原始資料!W$2:W$501,$BJ106)="","",INDEX(原始資料!W$2:W$501,$BJ106)))</f>
        <v/>
      </c>
      <c r="V106" s="6">
        <f>IF(OR($BJ106="",21&gt;設定!$B$3),"",IF(INDEX(原始資料!X$2:X$501,$BJ106)="","",INDEX(原始資料!X$2:X$501,$BJ106)))</f>
        <v/>
      </c>
      <c r="W106" s="6">
        <f>IF(OR($BJ106="",22&gt;設定!$B$3),"",IF(INDEX(原始資料!Y$2:Y$501,$BJ106)="","",INDEX(原始資料!Y$2:Y$501,$BJ106)))</f>
        <v/>
      </c>
      <c r="X106" s="6">
        <f>IF(OR($BJ106="",23&gt;設定!$B$3),"",IF(INDEX(原始資料!Z$2:Z$501,$BJ106)="","",INDEX(原始資料!Z$2:Z$501,$BJ106)))</f>
        <v/>
      </c>
      <c r="Y106" s="6">
        <f>IF(OR($BJ106="",24&gt;設定!$B$3),"",IF(INDEX(原始資料!AA$2:AA$501,$BJ106)="","",INDEX(原始資料!AA$2:AA$501,$BJ106)))</f>
        <v/>
      </c>
      <c r="Z106" s="6">
        <f>IF(OR($BJ106="",25&gt;設定!$B$3),"",IF(INDEX(原始資料!AB$2:AB$501,$BJ106)="","",INDEX(原始資料!AB$2:AB$501,$BJ106)))</f>
        <v/>
      </c>
      <c r="AA106" s="6">
        <f>IF(OR($BJ106="",26&gt;設定!$B$3),"",IF(INDEX(原始資料!AC$2:AC$501,$BJ106)="","",INDEX(原始資料!AC$2:AC$501,$BJ106)))</f>
        <v/>
      </c>
      <c r="AB106" s="6">
        <f>IF(OR($BJ106="",27&gt;設定!$B$3),"",IF(INDEX(原始資料!AD$2:AD$501,$BJ106)="","",INDEX(原始資料!AD$2:AD$501,$BJ106)))</f>
        <v/>
      </c>
      <c r="AC106" s="6">
        <f>IF(OR($BJ106="",28&gt;設定!$B$3),"",IF(INDEX(原始資料!AE$2:AE$501,$BJ106)="","",INDEX(原始資料!AE$2:AE$501,$BJ106)))</f>
        <v/>
      </c>
      <c r="AD106" s="6">
        <f>IF(OR($BJ106="",29&gt;設定!$B$3),"",IF(INDEX(原始資料!AF$2:AF$501,$BJ106)="","",INDEX(原始資料!AF$2:AF$501,$BJ106)))</f>
        <v/>
      </c>
      <c r="AE106" s="6">
        <f>IF(OR($BJ106="",30&gt;設定!$B$3),"",IF(INDEX(原始資料!AG$2:AG$501,$BJ106)="","",INDEX(原始資料!AG$2:AG$501,$BJ106)))</f>
        <v/>
      </c>
      <c r="AF106" s="6">
        <f>IF(OR($BJ106="",31&gt;設定!$B$3),"",IF(INDEX(原始資料!AH$2:AH$501,$BJ106)="","",INDEX(原始資料!AH$2:AH$501,$BJ106)))</f>
        <v/>
      </c>
      <c r="AG106" s="6">
        <f>IF(OR($BJ106="",32&gt;設定!$B$3),"",IF(INDEX(原始資料!AI$2:AI$501,$BJ106)="","",INDEX(原始資料!AI$2:AI$501,$BJ106)))</f>
        <v/>
      </c>
      <c r="AH106" s="6">
        <f>IF(OR($BJ106="",33&gt;設定!$B$3),"",IF(INDEX(原始資料!AJ$2:AJ$501,$BJ106)="","",INDEX(原始資料!AJ$2:AJ$501,$BJ106)))</f>
        <v/>
      </c>
      <c r="AI106" s="6">
        <f>IF(OR($BJ106="",34&gt;設定!$B$3),"",IF(INDEX(原始資料!AK$2:AK$501,$BJ106)="","",INDEX(原始資料!AK$2:AK$501,$BJ106)))</f>
        <v/>
      </c>
      <c r="AJ106" s="6">
        <f>IF(OR($BJ106="",35&gt;設定!$B$3),"",IF(INDEX(原始資料!AL$2:AL$501,$BJ106)="","",INDEX(原始資料!AL$2:AL$501,$BJ106)))</f>
        <v/>
      </c>
      <c r="AK106" s="6">
        <f>IF(OR($BJ106="",36&gt;設定!$B$3),"",IF(INDEX(原始資料!AM$2:AM$501,$BJ106)="","",INDEX(原始資料!AM$2:AM$501,$BJ106)))</f>
        <v/>
      </c>
      <c r="AL106" s="6">
        <f>IF(OR($BJ106="",37&gt;設定!$B$3),"",IF(INDEX(原始資料!AN$2:AN$501,$BJ106)="","",INDEX(原始資料!AN$2:AN$501,$BJ106)))</f>
        <v/>
      </c>
      <c r="AM106" s="6">
        <f>IF(OR($BJ106="",38&gt;設定!$B$3),"",IF(INDEX(原始資料!AO$2:AO$501,$BJ106)="","",INDEX(原始資料!AO$2:AO$501,$BJ106)))</f>
        <v/>
      </c>
      <c r="AN106" s="6">
        <f>IF(OR($BJ106="",39&gt;設定!$B$3),"",IF(INDEX(原始資料!AP$2:AP$501,$BJ106)="","",INDEX(原始資料!AP$2:AP$501,$BJ106)))</f>
        <v/>
      </c>
      <c r="AO106" s="6">
        <f>IF(OR($BJ106="",40&gt;設定!$B$3),"",IF(INDEX(原始資料!AQ$2:AQ$501,$BJ106)="","",INDEX(原始資料!AQ$2:AQ$501,$BJ106)))</f>
        <v/>
      </c>
      <c r="AP106" s="6">
        <f>IF(OR($BJ106="",41&gt;設定!$B$3),"",IF(INDEX(原始資料!AR$2:AR$501,$BJ106)="","",INDEX(原始資料!AR$2:AR$501,$BJ106)))</f>
        <v/>
      </c>
      <c r="AQ106" s="6">
        <f>IF(OR($BJ106="",42&gt;設定!$B$3),"",IF(INDEX(原始資料!AS$2:AS$501,$BJ106)="","",INDEX(原始資料!AS$2:AS$501,$BJ106)))</f>
        <v/>
      </c>
      <c r="AR106" s="6">
        <f>IF(OR($BJ106="",43&gt;設定!$B$3),"",IF(INDEX(原始資料!AT$2:AT$501,$BJ106)="","",INDEX(原始資料!AT$2:AT$501,$BJ106)))</f>
        <v/>
      </c>
      <c r="AS106" s="6">
        <f>IF(OR($BJ106="",44&gt;設定!$B$3),"",IF(INDEX(原始資料!AU$2:AU$501,$BJ106)="","",INDEX(原始資料!AU$2:AU$501,$BJ106)))</f>
        <v/>
      </c>
      <c r="AT106" s="6">
        <f>IF(OR($BJ106="",45&gt;設定!$B$3),"",IF(INDEX(原始資料!AV$2:AV$501,$BJ106)="","",INDEX(原始資料!AV$2:AV$501,$BJ106)))</f>
        <v/>
      </c>
      <c r="AU106" s="6">
        <f>IF(OR($BJ106="",46&gt;設定!$B$3),"",IF(INDEX(原始資料!AW$2:AW$501,$BJ106)="","",INDEX(原始資料!AW$2:AW$501,$BJ106)))</f>
        <v/>
      </c>
      <c r="AV106" s="6">
        <f>IF(OR($BJ106="",47&gt;設定!$B$3),"",IF(INDEX(原始資料!AX$2:AX$501,$BJ106)="","",INDEX(原始資料!AX$2:AX$501,$BJ106)))</f>
        <v/>
      </c>
      <c r="AW106" s="6">
        <f>IF(OR($BJ106="",48&gt;設定!$B$3),"",IF(INDEX(原始資料!AY$2:AY$501,$BJ106)="","",INDEX(原始資料!AY$2:AY$501,$BJ106)))</f>
        <v/>
      </c>
      <c r="AX106" s="6">
        <f>IF(OR($BJ106="",49&gt;設定!$B$3),"",IF(INDEX(原始資料!AZ$2:AZ$501,$BJ106)="","",INDEX(原始資料!AZ$2:AZ$501,$BJ106)))</f>
        <v/>
      </c>
      <c r="AY106" s="6">
        <f>IF(OR($BJ106="",50&gt;設定!$B$3),"",IF(INDEX(原始資料!BA$2:BA$501,$BJ106)="","",INDEX(原始資料!BA$2:BA$501,$BJ106)))</f>
        <v/>
      </c>
      <c r="AZ106" s="6">
        <f>IF(OR($BJ106="",51&gt;設定!$B$3),"",IF(INDEX(原始資料!BB$2:BB$501,$BJ106)="","",INDEX(原始資料!BB$2:BB$501,$BJ106)))</f>
        <v/>
      </c>
      <c r="BA106" s="6">
        <f>IF(OR($BJ106="",52&gt;設定!$B$3),"",IF(INDEX(原始資料!BC$2:BC$501,$BJ106)="","",INDEX(原始資料!BC$2:BC$501,$BJ106)))</f>
        <v/>
      </c>
      <c r="BB106" s="6">
        <f>IF(OR($BJ106="",53&gt;設定!$B$3),"",IF(INDEX(原始資料!BD$2:BD$501,$BJ106)="","",INDEX(原始資料!BD$2:BD$501,$BJ106)))</f>
        <v/>
      </c>
      <c r="BC106" s="6">
        <f>IF(OR($BJ106="",54&gt;設定!$B$3),"",IF(INDEX(原始資料!BE$2:BE$501,$BJ106)="","",INDEX(原始資料!BE$2:BE$501,$BJ106)))</f>
        <v/>
      </c>
      <c r="BD106" s="6">
        <f>IF(OR($BJ106="",55&gt;設定!$B$3),"",IF(INDEX(原始資料!BF$2:BF$501,$BJ106)="","",INDEX(原始資料!BF$2:BF$501,$BJ106)))</f>
        <v/>
      </c>
      <c r="BE106" s="6">
        <f>IF(OR($BJ106="",56&gt;設定!$B$3),"",IF(INDEX(原始資料!BG$2:BG$501,$BJ106)="","",INDEX(原始資料!BG$2:BG$501,$BJ106)))</f>
        <v/>
      </c>
      <c r="BF106" s="6">
        <f>IF(OR($BJ106="",57&gt;設定!$B$3),"",IF(INDEX(原始資料!BH$2:BH$501,$BJ106)="","",INDEX(原始資料!BH$2:BH$501,$BJ106)))</f>
        <v/>
      </c>
      <c r="BG106" s="6">
        <f>IF(OR($BJ106="",58&gt;設定!$B$3),"",IF(INDEX(原始資料!BI$2:BI$501,$BJ106)="","",INDEX(原始資料!BI$2:BI$501,$BJ106)))</f>
        <v/>
      </c>
      <c r="BH106" s="6">
        <f>IF(OR($BJ106="",59&gt;設定!$B$3),"",IF(INDEX(原始資料!BJ$2:BJ$501,$BJ106)="","",INDEX(原始資料!BJ$2:BJ$501,$BJ106)))</f>
        <v/>
      </c>
      <c r="BI106" s="6">
        <f>IF(OR($BJ106="",60&gt;設定!$B$3),"",IF(INDEX(原始資料!BK$2:BK$501,$BJ106)="","",INDEX(原始資料!BK$2:BK$501,$BJ106)))</f>
        <v/>
      </c>
      <c r="BJ106" s="6">
        <f>IFERROR(MATCH(ROW()-1,判定!$H$2:$H$501,0),"")</f>
        <v/>
      </c>
    </row>
    <row r="107">
      <c r="A107" s="6">
        <f>IF($BJ107="","",INDEX(原始資料!$A$2:$A$501,$BJ107))</f>
        <v/>
      </c>
      <c r="B107" s="6">
        <f>IF(OR($BJ107="",1&gt;設定!$B$3),"",IF(INDEX(原始資料!D$2:D$501,$BJ107)="","",INDEX(原始資料!D$2:D$501,$BJ107)))</f>
        <v/>
      </c>
      <c r="C107" s="6">
        <f>IF(OR($BJ107="",2&gt;設定!$B$3),"",IF(INDEX(原始資料!E$2:E$501,$BJ107)="","",INDEX(原始資料!E$2:E$501,$BJ107)))</f>
        <v/>
      </c>
      <c r="D107" s="6">
        <f>IF(OR($BJ107="",3&gt;設定!$B$3),"",IF(INDEX(原始資料!F$2:F$501,$BJ107)="","",INDEX(原始資料!F$2:F$501,$BJ107)))</f>
        <v/>
      </c>
      <c r="E107" s="6">
        <f>IF(OR($BJ107="",4&gt;設定!$B$3),"",IF(INDEX(原始資料!G$2:G$501,$BJ107)="","",INDEX(原始資料!G$2:G$501,$BJ107)))</f>
        <v/>
      </c>
      <c r="F107" s="6">
        <f>IF(OR($BJ107="",5&gt;設定!$B$3),"",IF(INDEX(原始資料!H$2:H$501,$BJ107)="","",INDEX(原始資料!H$2:H$501,$BJ107)))</f>
        <v/>
      </c>
      <c r="G107" s="6">
        <f>IF(OR($BJ107="",6&gt;設定!$B$3),"",IF(INDEX(原始資料!I$2:I$501,$BJ107)="","",INDEX(原始資料!I$2:I$501,$BJ107)))</f>
        <v/>
      </c>
      <c r="H107" s="6">
        <f>IF(OR($BJ107="",7&gt;設定!$B$3),"",IF(INDEX(原始資料!J$2:J$501,$BJ107)="","",INDEX(原始資料!J$2:J$501,$BJ107)))</f>
        <v/>
      </c>
      <c r="I107" s="6">
        <f>IF(OR($BJ107="",8&gt;設定!$B$3),"",IF(INDEX(原始資料!K$2:K$501,$BJ107)="","",INDEX(原始資料!K$2:K$501,$BJ107)))</f>
        <v/>
      </c>
      <c r="J107" s="6">
        <f>IF(OR($BJ107="",9&gt;設定!$B$3),"",IF(INDEX(原始資料!L$2:L$501,$BJ107)="","",INDEX(原始資料!L$2:L$501,$BJ107)))</f>
        <v/>
      </c>
      <c r="K107" s="6">
        <f>IF(OR($BJ107="",10&gt;設定!$B$3),"",IF(INDEX(原始資料!M$2:M$501,$BJ107)="","",INDEX(原始資料!M$2:M$501,$BJ107)))</f>
        <v/>
      </c>
      <c r="L107" s="6">
        <f>IF(OR($BJ107="",11&gt;設定!$B$3),"",IF(INDEX(原始資料!N$2:N$501,$BJ107)="","",INDEX(原始資料!N$2:N$501,$BJ107)))</f>
        <v/>
      </c>
      <c r="M107" s="6">
        <f>IF(OR($BJ107="",12&gt;設定!$B$3),"",IF(INDEX(原始資料!O$2:O$501,$BJ107)="","",INDEX(原始資料!O$2:O$501,$BJ107)))</f>
        <v/>
      </c>
      <c r="N107" s="6">
        <f>IF(OR($BJ107="",13&gt;設定!$B$3),"",IF(INDEX(原始資料!P$2:P$501,$BJ107)="","",INDEX(原始資料!P$2:P$501,$BJ107)))</f>
        <v/>
      </c>
      <c r="O107" s="6">
        <f>IF(OR($BJ107="",14&gt;設定!$B$3),"",IF(INDEX(原始資料!Q$2:Q$501,$BJ107)="","",INDEX(原始資料!Q$2:Q$501,$BJ107)))</f>
        <v/>
      </c>
      <c r="P107" s="6">
        <f>IF(OR($BJ107="",15&gt;設定!$B$3),"",IF(INDEX(原始資料!R$2:R$501,$BJ107)="","",INDEX(原始資料!R$2:R$501,$BJ107)))</f>
        <v/>
      </c>
      <c r="Q107" s="6">
        <f>IF(OR($BJ107="",16&gt;設定!$B$3),"",IF(INDEX(原始資料!S$2:S$501,$BJ107)="","",INDEX(原始資料!S$2:S$501,$BJ107)))</f>
        <v/>
      </c>
      <c r="R107" s="6">
        <f>IF(OR($BJ107="",17&gt;設定!$B$3),"",IF(INDEX(原始資料!T$2:T$501,$BJ107)="","",INDEX(原始資料!T$2:T$501,$BJ107)))</f>
        <v/>
      </c>
      <c r="S107" s="6">
        <f>IF(OR($BJ107="",18&gt;設定!$B$3),"",IF(INDEX(原始資料!U$2:U$501,$BJ107)="","",INDEX(原始資料!U$2:U$501,$BJ107)))</f>
        <v/>
      </c>
      <c r="T107" s="6">
        <f>IF(OR($BJ107="",19&gt;設定!$B$3),"",IF(INDEX(原始資料!V$2:V$501,$BJ107)="","",INDEX(原始資料!V$2:V$501,$BJ107)))</f>
        <v/>
      </c>
      <c r="U107" s="6">
        <f>IF(OR($BJ107="",20&gt;設定!$B$3),"",IF(INDEX(原始資料!W$2:W$501,$BJ107)="","",INDEX(原始資料!W$2:W$501,$BJ107)))</f>
        <v/>
      </c>
      <c r="V107" s="6">
        <f>IF(OR($BJ107="",21&gt;設定!$B$3),"",IF(INDEX(原始資料!X$2:X$501,$BJ107)="","",INDEX(原始資料!X$2:X$501,$BJ107)))</f>
        <v/>
      </c>
      <c r="W107" s="6">
        <f>IF(OR($BJ107="",22&gt;設定!$B$3),"",IF(INDEX(原始資料!Y$2:Y$501,$BJ107)="","",INDEX(原始資料!Y$2:Y$501,$BJ107)))</f>
        <v/>
      </c>
      <c r="X107" s="6">
        <f>IF(OR($BJ107="",23&gt;設定!$B$3),"",IF(INDEX(原始資料!Z$2:Z$501,$BJ107)="","",INDEX(原始資料!Z$2:Z$501,$BJ107)))</f>
        <v/>
      </c>
      <c r="Y107" s="6">
        <f>IF(OR($BJ107="",24&gt;設定!$B$3),"",IF(INDEX(原始資料!AA$2:AA$501,$BJ107)="","",INDEX(原始資料!AA$2:AA$501,$BJ107)))</f>
        <v/>
      </c>
      <c r="Z107" s="6">
        <f>IF(OR($BJ107="",25&gt;設定!$B$3),"",IF(INDEX(原始資料!AB$2:AB$501,$BJ107)="","",INDEX(原始資料!AB$2:AB$501,$BJ107)))</f>
        <v/>
      </c>
      <c r="AA107" s="6">
        <f>IF(OR($BJ107="",26&gt;設定!$B$3),"",IF(INDEX(原始資料!AC$2:AC$501,$BJ107)="","",INDEX(原始資料!AC$2:AC$501,$BJ107)))</f>
        <v/>
      </c>
      <c r="AB107" s="6">
        <f>IF(OR($BJ107="",27&gt;設定!$B$3),"",IF(INDEX(原始資料!AD$2:AD$501,$BJ107)="","",INDEX(原始資料!AD$2:AD$501,$BJ107)))</f>
        <v/>
      </c>
      <c r="AC107" s="6">
        <f>IF(OR($BJ107="",28&gt;設定!$B$3),"",IF(INDEX(原始資料!AE$2:AE$501,$BJ107)="","",INDEX(原始資料!AE$2:AE$501,$BJ107)))</f>
        <v/>
      </c>
      <c r="AD107" s="6">
        <f>IF(OR($BJ107="",29&gt;設定!$B$3),"",IF(INDEX(原始資料!AF$2:AF$501,$BJ107)="","",INDEX(原始資料!AF$2:AF$501,$BJ107)))</f>
        <v/>
      </c>
      <c r="AE107" s="6">
        <f>IF(OR($BJ107="",30&gt;設定!$B$3),"",IF(INDEX(原始資料!AG$2:AG$501,$BJ107)="","",INDEX(原始資料!AG$2:AG$501,$BJ107)))</f>
        <v/>
      </c>
      <c r="AF107" s="6">
        <f>IF(OR($BJ107="",31&gt;設定!$B$3),"",IF(INDEX(原始資料!AH$2:AH$501,$BJ107)="","",INDEX(原始資料!AH$2:AH$501,$BJ107)))</f>
        <v/>
      </c>
      <c r="AG107" s="6">
        <f>IF(OR($BJ107="",32&gt;設定!$B$3),"",IF(INDEX(原始資料!AI$2:AI$501,$BJ107)="","",INDEX(原始資料!AI$2:AI$501,$BJ107)))</f>
        <v/>
      </c>
      <c r="AH107" s="6">
        <f>IF(OR($BJ107="",33&gt;設定!$B$3),"",IF(INDEX(原始資料!AJ$2:AJ$501,$BJ107)="","",INDEX(原始資料!AJ$2:AJ$501,$BJ107)))</f>
        <v/>
      </c>
      <c r="AI107" s="6">
        <f>IF(OR($BJ107="",34&gt;設定!$B$3),"",IF(INDEX(原始資料!AK$2:AK$501,$BJ107)="","",INDEX(原始資料!AK$2:AK$501,$BJ107)))</f>
        <v/>
      </c>
      <c r="AJ107" s="6">
        <f>IF(OR($BJ107="",35&gt;設定!$B$3),"",IF(INDEX(原始資料!AL$2:AL$501,$BJ107)="","",INDEX(原始資料!AL$2:AL$501,$BJ107)))</f>
        <v/>
      </c>
      <c r="AK107" s="6">
        <f>IF(OR($BJ107="",36&gt;設定!$B$3),"",IF(INDEX(原始資料!AM$2:AM$501,$BJ107)="","",INDEX(原始資料!AM$2:AM$501,$BJ107)))</f>
        <v/>
      </c>
      <c r="AL107" s="6">
        <f>IF(OR($BJ107="",37&gt;設定!$B$3),"",IF(INDEX(原始資料!AN$2:AN$501,$BJ107)="","",INDEX(原始資料!AN$2:AN$501,$BJ107)))</f>
        <v/>
      </c>
      <c r="AM107" s="6">
        <f>IF(OR($BJ107="",38&gt;設定!$B$3),"",IF(INDEX(原始資料!AO$2:AO$501,$BJ107)="","",INDEX(原始資料!AO$2:AO$501,$BJ107)))</f>
        <v/>
      </c>
      <c r="AN107" s="6">
        <f>IF(OR($BJ107="",39&gt;設定!$B$3),"",IF(INDEX(原始資料!AP$2:AP$501,$BJ107)="","",INDEX(原始資料!AP$2:AP$501,$BJ107)))</f>
        <v/>
      </c>
      <c r="AO107" s="6">
        <f>IF(OR($BJ107="",40&gt;設定!$B$3),"",IF(INDEX(原始資料!AQ$2:AQ$501,$BJ107)="","",INDEX(原始資料!AQ$2:AQ$501,$BJ107)))</f>
        <v/>
      </c>
      <c r="AP107" s="6">
        <f>IF(OR($BJ107="",41&gt;設定!$B$3),"",IF(INDEX(原始資料!AR$2:AR$501,$BJ107)="","",INDEX(原始資料!AR$2:AR$501,$BJ107)))</f>
        <v/>
      </c>
      <c r="AQ107" s="6">
        <f>IF(OR($BJ107="",42&gt;設定!$B$3),"",IF(INDEX(原始資料!AS$2:AS$501,$BJ107)="","",INDEX(原始資料!AS$2:AS$501,$BJ107)))</f>
        <v/>
      </c>
      <c r="AR107" s="6">
        <f>IF(OR($BJ107="",43&gt;設定!$B$3),"",IF(INDEX(原始資料!AT$2:AT$501,$BJ107)="","",INDEX(原始資料!AT$2:AT$501,$BJ107)))</f>
        <v/>
      </c>
      <c r="AS107" s="6">
        <f>IF(OR($BJ107="",44&gt;設定!$B$3),"",IF(INDEX(原始資料!AU$2:AU$501,$BJ107)="","",INDEX(原始資料!AU$2:AU$501,$BJ107)))</f>
        <v/>
      </c>
      <c r="AT107" s="6">
        <f>IF(OR($BJ107="",45&gt;設定!$B$3),"",IF(INDEX(原始資料!AV$2:AV$501,$BJ107)="","",INDEX(原始資料!AV$2:AV$501,$BJ107)))</f>
        <v/>
      </c>
      <c r="AU107" s="6">
        <f>IF(OR($BJ107="",46&gt;設定!$B$3),"",IF(INDEX(原始資料!AW$2:AW$501,$BJ107)="","",INDEX(原始資料!AW$2:AW$501,$BJ107)))</f>
        <v/>
      </c>
      <c r="AV107" s="6">
        <f>IF(OR($BJ107="",47&gt;設定!$B$3),"",IF(INDEX(原始資料!AX$2:AX$501,$BJ107)="","",INDEX(原始資料!AX$2:AX$501,$BJ107)))</f>
        <v/>
      </c>
      <c r="AW107" s="6">
        <f>IF(OR($BJ107="",48&gt;設定!$B$3),"",IF(INDEX(原始資料!AY$2:AY$501,$BJ107)="","",INDEX(原始資料!AY$2:AY$501,$BJ107)))</f>
        <v/>
      </c>
      <c r="AX107" s="6">
        <f>IF(OR($BJ107="",49&gt;設定!$B$3),"",IF(INDEX(原始資料!AZ$2:AZ$501,$BJ107)="","",INDEX(原始資料!AZ$2:AZ$501,$BJ107)))</f>
        <v/>
      </c>
      <c r="AY107" s="6">
        <f>IF(OR($BJ107="",50&gt;設定!$B$3),"",IF(INDEX(原始資料!BA$2:BA$501,$BJ107)="","",INDEX(原始資料!BA$2:BA$501,$BJ107)))</f>
        <v/>
      </c>
      <c r="AZ107" s="6">
        <f>IF(OR($BJ107="",51&gt;設定!$B$3),"",IF(INDEX(原始資料!BB$2:BB$501,$BJ107)="","",INDEX(原始資料!BB$2:BB$501,$BJ107)))</f>
        <v/>
      </c>
      <c r="BA107" s="6">
        <f>IF(OR($BJ107="",52&gt;設定!$B$3),"",IF(INDEX(原始資料!BC$2:BC$501,$BJ107)="","",INDEX(原始資料!BC$2:BC$501,$BJ107)))</f>
        <v/>
      </c>
      <c r="BB107" s="6">
        <f>IF(OR($BJ107="",53&gt;設定!$B$3),"",IF(INDEX(原始資料!BD$2:BD$501,$BJ107)="","",INDEX(原始資料!BD$2:BD$501,$BJ107)))</f>
        <v/>
      </c>
      <c r="BC107" s="6">
        <f>IF(OR($BJ107="",54&gt;設定!$B$3),"",IF(INDEX(原始資料!BE$2:BE$501,$BJ107)="","",INDEX(原始資料!BE$2:BE$501,$BJ107)))</f>
        <v/>
      </c>
      <c r="BD107" s="6">
        <f>IF(OR($BJ107="",55&gt;設定!$B$3),"",IF(INDEX(原始資料!BF$2:BF$501,$BJ107)="","",INDEX(原始資料!BF$2:BF$501,$BJ107)))</f>
        <v/>
      </c>
      <c r="BE107" s="6">
        <f>IF(OR($BJ107="",56&gt;設定!$B$3),"",IF(INDEX(原始資料!BG$2:BG$501,$BJ107)="","",INDEX(原始資料!BG$2:BG$501,$BJ107)))</f>
        <v/>
      </c>
      <c r="BF107" s="6">
        <f>IF(OR($BJ107="",57&gt;設定!$B$3),"",IF(INDEX(原始資料!BH$2:BH$501,$BJ107)="","",INDEX(原始資料!BH$2:BH$501,$BJ107)))</f>
        <v/>
      </c>
      <c r="BG107" s="6">
        <f>IF(OR($BJ107="",58&gt;設定!$B$3),"",IF(INDEX(原始資料!BI$2:BI$501,$BJ107)="","",INDEX(原始資料!BI$2:BI$501,$BJ107)))</f>
        <v/>
      </c>
      <c r="BH107" s="6">
        <f>IF(OR($BJ107="",59&gt;設定!$B$3),"",IF(INDEX(原始資料!BJ$2:BJ$501,$BJ107)="","",INDEX(原始資料!BJ$2:BJ$501,$BJ107)))</f>
        <v/>
      </c>
      <c r="BI107" s="6">
        <f>IF(OR($BJ107="",60&gt;設定!$B$3),"",IF(INDEX(原始資料!BK$2:BK$501,$BJ107)="","",INDEX(原始資料!BK$2:BK$501,$BJ107)))</f>
        <v/>
      </c>
      <c r="BJ107" s="6">
        <f>IFERROR(MATCH(ROW()-1,判定!$H$2:$H$501,0),"")</f>
        <v/>
      </c>
    </row>
    <row r="108">
      <c r="A108" s="6">
        <f>IF($BJ108="","",INDEX(原始資料!$A$2:$A$501,$BJ108))</f>
        <v/>
      </c>
      <c r="B108" s="6">
        <f>IF(OR($BJ108="",1&gt;設定!$B$3),"",IF(INDEX(原始資料!D$2:D$501,$BJ108)="","",INDEX(原始資料!D$2:D$501,$BJ108)))</f>
        <v/>
      </c>
      <c r="C108" s="6">
        <f>IF(OR($BJ108="",2&gt;設定!$B$3),"",IF(INDEX(原始資料!E$2:E$501,$BJ108)="","",INDEX(原始資料!E$2:E$501,$BJ108)))</f>
        <v/>
      </c>
      <c r="D108" s="6">
        <f>IF(OR($BJ108="",3&gt;設定!$B$3),"",IF(INDEX(原始資料!F$2:F$501,$BJ108)="","",INDEX(原始資料!F$2:F$501,$BJ108)))</f>
        <v/>
      </c>
      <c r="E108" s="6">
        <f>IF(OR($BJ108="",4&gt;設定!$B$3),"",IF(INDEX(原始資料!G$2:G$501,$BJ108)="","",INDEX(原始資料!G$2:G$501,$BJ108)))</f>
        <v/>
      </c>
      <c r="F108" s="6">
        <f>IF(OR($BJ108="",5&gt;設定!$B$3),"",IF(INDEX(原始資料!H$2:H$501,$BJ108)="","",INDEX(原始資料!H$2:H$501,$BJ108)))</f>
        <v/>
      </c>
      <c r="G108" s="6">
        <f>IF(OR($BJ108="",6&gt;設定!$B$3),"",IF(INDEX(原始資料!I$2:I$501,$BJ108)="","",INDEX(原始資料!I$2:I$501,$BJ108)))</f>
        <v/>
      </c>
      <c r="H108" s="6">
        <f>IF(OR($BJ108="",7&gt;設定!$B$3),"",IF(INDEX(原始資料!J$2:J$501,$BJ108)="","",INDEX(原始資料!J$2:J$501,$BJ108)))</f>
        <v/>
      </c>
      <c r="I108" s="6">
        <f>IF(OR($BJ108="",8&gt;設定!$B$3),"",IF(INDEX(原始資料!K$2:K$501,$BJ108)="","",INDEX(原始資料!K$2:K$501,$BJ108)))</f>
        <v/>
      </c>
      <c r="J108" s="6">
        <f>IF(OR($BJ108="",9&gt;設定!$B$3),"",IF(INDEX(原始資料!L$2:L$501,$BJ108)="","",INDEX(原始資料!L$2:L$501,$BJ108)))</f>
        <v/>
      </c>
      <c r="K108" s="6">
        <f>IF(OR($BJ108="",10&gt;設定!$B$3),"",IF(INDEX(原始資料!M$2:M$501,$BJ108)="","",INDEX(原始資料!M$2:M$501,$BJ108)))</f>
        <v/>
      </c>
      <c r="L108" s="6">
        <f>IF(OR($BJ108="",11&gt;設定!$B$3),"",IF(INDEX(原始資料!N$2:N$501,$BJ108)="","",INDEX(原始資料!N$2:N$501,$BJ108)))</f>
        <v/>
      </c>
      <c r="M108" s="6">
        <f>IF(OR($BJ108="",12&gt;設定!$B$3),"",IF(INDEX(原始資料!O$2:O$501,$BJ108)="","",INDEX(原始資料!O$2:O$501,$BJ108)))</f>
        <v/>
      </c>
      <c r="N108" s="6">
        <f>IF(OR($BJ108="",13&gt;設定!$B$3),"",IF(INDEX(原始資料!P$2:P$501,$BJ108)="","",INDEX(原始資料!P$2:P$501,$BJ108)))</f>
        <v/>
      </c>
      <c r="O108" s="6">
        <f>IF(OR($BJ108="",14&gt;設定!$B$3),"",IF(INDEX(原始資料!Q$2:Q$501,$BJ108)="","",INDEX(原始資料!Q$2:Q$501,$BJ108)))</f>
        <v/>
      </c>
      <c r="P108" s="6">
        <f>IF(OR($BJ108="",15&gt;設定!$B$3),"",IF(INDEX(原始資料!R$2:R$501,$BJ108)="","",INDEX(原始資料!R$2:R$501,$BJ108)))</f>
        <v/>
      </c>
      <c r="Q108" s="6">
        <f>IF(OR($BJ108="",16&gt;設定!$B$3),"",IF(INDEX(原始資料!S$2:S$501,$BJ108)="","",INDEX(原始資料!S$2:S$501,$BJ108)))</f>
        <v/>
      </c>
      <c r="R108" s="6">
        <f>IF(OR($BJ108="",17&gt;設定!$B$3),"",IF(INDEX(原始資料!T$2:T$501,$BJ108)="","",INDEX(原始資料!T$2:T$501,$BJ108)))</f>
        <v/>
      </c>
      <c r="S108" s="6">
        <f>IF(OR($BJ108="",18&gt;設定!$B$3),"",IF(INDEX(原始資料!U$2:U$501,$BJ108)="","",INDEX(原始資料!U$2:U$501,$BJ108)))</f>
        <v/>
      </c>
      <c r="T108" s="6">
        <f>IF(OR($BJ108="",19&gt;設定!$B$3),"",IF(INDEX(原始資料!V$2:V$501,$BJ108)="","",INDEX(原始資料!V$2:V$501,$BJ108)))</f>
        <v/>
      </c>
      <c r="U108" s="6">
        <f>IF(OR($BJ108="",20&gt;設定!$B$3),"",IF(INDEX(原始資料!W$2:W$501,$BJ108)="","",INDEX(原始資料!W$2:W$501,$BJ108)))</f>
        <v/>
      </c>
      <c r="V108" s="6">
        <f>IF(OR($BJ108="",21&gt;設定!$B$3),"",IF(INDEX(原始資料!X$2:X$501,$BJ108)="","",INDEX(原始資料!X$2:X$501,$BJ108)))</f>
        <v/>
      </c>
      <c r="W108" s="6">
        <f>IF(OR($BJ108="",22&gt;設定!$B$3),"",IF(INDEX(原始資料!Y$2:Y$501,$BJ108)="","",INDEX(原始資料!Y$2:Y$501,$BJ108)))</f>
        <v/>
      </c>
      <c r="X108" s="6">
        <f>IF(OR($BJ108="",23&gt;設定!$B$3),"",IF(INDEX(原始資料!Z$2:Z$501,$BJ108)="","",INDEX(原始資料!Z$2:Z$501,$BJ108)))</f>
        <v/>
      </c>
      <c r="Y108" s="6">
        <f>IF(OR($BJ108="",24&gt;設定!$B$3),"",IF(INDEX(原始資料!AA$2:AA$501,$BJ108)="","",INDEX(原始資料!AA$2:AA$501,$BJ108)))</f>
        <v/>
      </c>
      <c r="Z108" s="6">
        <f>IF(OR($BJ108="",25&gt;設定!$B$3),"",IF(INDEX(原始資料!AB$2:AB$501,$BJ108)="","",INDEX(原始資料!AB$2:AB$501,$BJ108)))</f>
        <v/>
      </c>
      <c r="AA108" s="6">
        <f>IF(OR($BJ108="",26&gt;設定!$B$3),"",IF(INDEX(原始資料!AC$2:AC$501,$BJ108)="","",INDEX(原始資料!AC$2:AC$501,$BJ108)))</f>
        <v/>
      </c>
      <c r="AB108" s="6">
        <f>IF(OR($BJ108="",27&gt;設定!$B$3),"",IF(INDEX(原始資料!AD$2:AD$501,$BJ108)="","",INDEX(原始資料!AD$2:AD$501,$BJ108)))</f>
        <v/>
      </c>
      <c r="AC108" s="6">
        <f>IF(OR($BJ108="",28&gt;設定!$B$3),"",IF(INDEX(原始資料!AE$2:AE$501,$BJ108)="","",INDEX(原始資料!AE$2:AE$501,$BJ108)))</f>
        <v/>
      </c>
      <c r="AD108" s="6">
        <f>IF(OR($BJ108="",29&gt;設定!$B$3),"",IF(INDEX(原始資料!AF$2:AF$501,$BJ108)="","",INDEX(原始資料!AF$2:AF$501,$BJ108)))</f>
        <v/>
      </c>
      <c r="AE108" s="6">
        <f>IF(OR($BJ108="",30&gt;設定!$B$3),"",IF(INDEX(原始資料!AG$2:AG$501,$BJ108)="","",INDEX(原始資料!AG$2:AG$501,$BJ108)))</f>
        <v/>
      </c>
      <c r="AF108" s="6">
        <f>IF(OR($BJ108="",31&gt;設定!$B$3),"",IF(INDEX(原始資料!AH$2:AH$501,$BJ108)="","",INDEX(原始資料!AH$2:AH$501,$BJ108)))</f>
        <v/>
      </c>
      <c r="AG108" s="6">
        <f>IF(OR($BJ108="",32&gt;設定!$B$3),"",IF(INDEX(原始資料!AI$2:AI$501,$BJ108)="","",INDEX(原始資料!AI$2:AI$501,$BJ108)))</f>
        <v/>
      </c>
      <c r="AH108" s="6">
        <f>IF(OR($BJ108="",33&gt;設定!$B$3),"",IF(INDEX(原始資料!AJ$2:AJ$501,$BJ108)="","",INDEX(原始資料!AJ$2:AJ$501,$BJ108)))</f>
        <v/>
      </c>
      <c r="AI108" s="6">
        <f>IF(OR($BJ108="",34&gt;設定!$B$3),"",IF(INDEX(原始資料!AK$2:AK$501,$BJ108)="","",INDEX(原始資料!AK$2:AK$501,$BJ108)))</f>
        <v/>
      </c>
      <c r="AJ108" s="6">
        <f>IF(OR($BJ108="",35&gt;設定!$B$3),"",IF(INDEX(原始資料!AL$2:AL$501,$BJ108)="","",INDEX(原始資料!AL$2:AL$501,$BJ108)))</f>
        <v/>
      </c>
      <c r="AK108" s="6">
        <f>IF(OR($BJ108="",36&gt;設定!$B$3),"",IF(INDEX(原始資料!AM$2:AM$501,$BJ108)="","",INDEX(原始資料!AM$2:AM$501,$BJ108)))</f>
        <v/>
      </c>
      <c r="AL108" s="6">
        <f>IF(OR($BJ108="",37&gt;設定!$B$3),"",IF(INDEX(原始資料!AN$2:AN$501,$BJ108)="","",INDEX(原始資料!AN$2:AN$501,$BJ108)))</f>
        <v/>
      </c>
      <c r="AM108" s="6">
        <f>IF(OR($BJ108="",38&gt;設定!$B$3),"",IF(INDEX(原始資料!AO$2:AO$501,$BJ108)="","",INDEX(原始資料!AO$2:AO$501,$BJ108)))</f>
        <v/>
      </c>
      <c r="AN108" s="6">
        <f>IF(OR($BJ108="",39&gt;設定!$B$3),"",IF(INDEX(原始資料!AP$2:AP$501,$BJ108)="","",INDEX(原始資料!AP$2:AP$501,$BJ108)))</f>
        <v/>
      </c>
      <c r="AO108" s="6">
        <f>IF(OR($BJ108="",40&gt;設定!$B$3),"",IF(INDEX(原始資料!AQ$2:AQ$501,$BJ108)="","",INDEX(原始資料!AQ$2:AQ$501,$BJ108)))</f>
        <v/>
      </c>
      <c r="AP108" s="6">
        <f>IF(OR($BJ108="",41&gt;設定!$B$3),"",IF(INDEX(原始資料!AR$2:AR$501,$BJ108)="","",INDEX(原始資料!AR$2:AR$501,$BJ108)))</f>
        <v/>
      </c>
      <c r="AQ108" s="6">
        <f>IF(OR($BJ108="",42&gt;設定!$B$3),"",IF(INDEX(原始資料!AS$2:AS$501,$BJ108)="","",INDEX(原始資料!AS$2:AS$501,$BJ108)))</f>
        <v/>
      </c>
      <c r="AR108" s="6">
        <f>IF(OR($BJ108="",43&gt;設定!$B$3),"",IF(INDEX(原始資料!AT$2:AT$501,$BJ108)="","",INDEX(原始資料!AT$2:AT$501,$BJ108)))</f>
        <v/>
      </c>
      <c r="AS108" s="6">
        <f>IF(OR($BJ108="",44&gt;設定!$B$3),"",IF(INDEX(原始資料!AU$2:AU$501,$BJ108)="","",INDEX(原始資料!AU$2:AU$501,$BJ108)))</f>
        <v/>
      </c>
      <c r="AT108" s="6">
        <f>IF(OR($BJ108="",45&gt;設定!$B$3),"",IF(INDEX(原始資料!AV$2:AV$501,$BJ108)="","",INDEX(原始資料!AV$2:AV$501,$BJ108)))</f>
        <v/>
      </c>
      <c r="AU108" s="6">
        <f>IF(OR($BJ108="",46&gt;設定!$B$3),"",IF(INDEX(原始資料!AW$2:AW$501,$BJ108)="","",INDEX(原始資料!AW$2:AW$501,$BJ108)))</f>
        <v/>
      </c>
      <c r="AV108" s="6">
        <f>IF(OR($BJ108="",47&gt;設定!$B$3),"",IF(INDEX(原始資料!AX$2:AX$501,$BJ108)="","",INDEX(原始資料!AX$2:AX$501,$BJ108)))</f>
        <v/>
      </c>
      <c r="AW108" s="6">
        <f>IF(OR($BJ108="",48&gt;設定!$B$3),"",IF(INDEX(原始資料!AY$2:AY$501,$BJ108)="","",INDEX(原始資料!AY$2:AY$501,$BJ108)))</f>
        <v/>
      </c>
      <c r="AX108" s="6">
        <f>IF(OR($BJ108="",49&gt;設定!$B$3),"",IF(INDEX(原始資料!AZ$2:AZ$501,$BJ108)="","",INDEX(原始資料!AZ$2:AZ$501,$BJ108)))</f>
        <v/>
      </c>
      <c r="AY108" s="6">
        <f>IF(OR($BJ108="",50&gt;設定!$B$3),"",IF(INDEX(原始資料!BA$2:BA$501,$BJ108)="","",INDEX(原始資料!BA$2:BA$501,$BJ108)))</f>
        <v/>
      </c>
      <c r="AZ108" s="6">
        <f>IF(OR($BJ108="",51&gt;設定!$B$3),"",IF(INDEX(原始資料!BB$2:BB$501,$BJ108)="","",INDEX(原始資料!BB$2:BB$501,$BJ108)))</f>
        <v/>
      </c>
      <c r="BA108" s="6">
        <f>IF(OR($BJ108="",52&gt;設定!$B$3),"",IF(INDEX(原始資料!BC$2:BC$501,$BJ108)="","",INDEX(原始資料!BC$2:BC$501,$BJ108)))</f>
        <v/>
      </c>
      <c r="BB108" s="6">
        <f>IF(OR($BJ108="",53&gt;設定!$B$3),"",IF(INDEX(原始資料!BD$2:BD$501,$BJ108)="","",INDEX(原始資料!BD$2:BD$501,$BJ108)))</f>
        <v/>
      </c>
      <c r="BC108" s="6">
        <f>IF(OR($BJ108="",54&gt;設定!$B$3),"",IF(INDEX(原始資料!BE$2:BE$501,$BJ108)="","",INDEX(原始資料!BE$2:BE$501,$BJ108)))</f>
        <v/>
      </c>
      <c r="BD108" s="6">
        <f>IF(OR($BJ108="",55&gt;設定!$B$3),"",IF(INDEX(原始資料!BF$2:BF$501,$BJ108)="","",INDEX(原始資料!BF$2:BF$501,$BJ108)))</f>
        <v/>
      </c>
      <c r="BE108" s="6">
        <f>IF(OR($BJ108="",56&gt;設定!$B$3),"",IF(INDEX(原始資料!BG$2:BG$501,$BJ108)="","",INDEX(原始資料!BG$2:BG$501,$BJ108)))</f>
        <v/>
      </c>
      <c r="BF108" s="6">
        <f>IF(OR($BJ108="",57&gt;設定!$B$3),"",IF(INDEX(原始資料!BH$2:BH$501,$BJ108)="","",INDEX(原始資料!BH$2:BH$501,$BJ108)))</f>
        <v/>
      </c>
      <c r="BG108" s="6">
        <f>IF(OR($BJ108="",58&gt;設定!$B$3),"",IF(INDEX(原始資料!BI$2:BI$501,$BJ108)="","",INDEX(原始資料!BI$2:BI$501,$BJ108)))</f>
        <v/>
      </c>
      <c r="BH108" s="6">
        <f>IF(OR($BJ108="",59&gt;設定!$B$3),"",IF(INDEX(原始資料!BJ$2:BJ$501,$BJ108)="","",INDEX(原始資料!BJ$2:BJ$501,$BJ108)))</f>
        <v/>
      </c>
      <c r="BI108" s="6">
        <f>IF(OR($BJ108="",60&gt;設定!$B$3),"",IF(INDEX(原始資料!BK$2:BK$501,$BJ108)="","",INDEX(原始資料!BK$2:BK$501,$BJ108)))</f>
        <v/>
      </c>
      <c r="BJ108" s="6">
        <f>IFERROR(MATCH(ROW()-1,判定!$H$2:$H$501,0),"")</f>
        <v/>
      </c>
    </row>
    <row r="109">
      <c r="A109" s="6">
        <f>IF($BJ109="","",INDEX(原始資料!$A$2:$A$501,$BJ109))</f>
        <v/>
      </c>
      <c r="B109" s="6">
        <f>IF(OR($BJ109="",1&gt;設定!$B$3),"",IF(INDEX(原始資料!D$2:D$501,$BJ109)="","",INDEX(原始資料!D$2:D$501,$BJ109)))</f>
        <v/>
      </c>
      <c r="C109" s="6">
        <f>IF(OR($BJ109="",2&gt;設定!$B$3),"",IF(INDEX(原始資料!E$2:E$501,$BJ109)="","",INDEX(原始資料!E$2:E$501,$BJ109)))</f>
        <v/>
      </c>
      <c r="D109" s="6">
        <f>IF(OR($BJ109="",3&gt;設定!$B$3),"",IF(INDEX(原始資料!F$2:F$501,$BJ109)="","",INDEX(原始資料!F$2:F$501,$BJ109)))</f>
        <v/>
      </c>
      <c r="E109" s="6">
        <f>IF(OR($BJ109="",4&gt;設定!$B$3),"",IF(INDEX(原始資料!G$2:G$501,$BJ109)="","",INDEX(原始資料!G$2:G$501,$BJ109)))</f>
        <v/>
      </c>
      <c r="F109" s="6">
        <f>IF(OR($BJ109="",5&gt;設定!$B$3),"",IF(INDEX(原始資料!H$2:H$501,$BJ109)="","",INDEX(原始資料!H$2:H$501,$BJ109)))</f>
        <v/>
      </c>
      <c r="G109" s="6">
        <f>IF(OR($BJ109="",6&gt;設定!$B$3),"",IF(INDEX(原始資料!I$2:I$501,$BJ109)="","",INDEX(原始資料!I$2:I$501,$BJ109)))</f>
        <v/>
      </c>
      <c r="H109" s="6">
        <f>IF(OR($BJ109="",7&gt;設定!$B$3),"",IF(INDEX(原始資料!J$2:J$501,$BJ109)="","",INDEX(原始資料!J$2:J$501,$BJ109)))</f>
        <v/>
      </c>
      <c r="I109" s="6">
        <f>IF(OR($BJ109="",8&gt;設定!$B$3),"",IF(INDEX(原始資料!K$2:K$501,$BJ109)="","",INDEX(原始資料!K$2:K$501,$BJ109)))</f>
        <v/>
      </c>
      <c r="J109" s="6">
        <f>IF(OR($BJ109="",9&gt;設定!$B$3),"",IF(INDEX(原始資料!L$2:L$501,$BJ109)="","",INDEX(原始資料!L$2:L$501,$BJ109)))</f>
        <v/>
      </c>
      <c r="K109" s="6">
        <f>IF(OR($BJ109="",10&gt;設定!$B$3),"",IF(INDEX(原始資料!M$2:M$501,$BJ109)="","",INDEX(原始資料!M$2:M$501,$BJ109)))</f>
        <v/>
      </c>
      <c r="L109" s="6">
        <f>IF(OR($BJ109="",11&gt;設定!$B$3),"",IF(INDEX(原始資料!N$2:N$501,$BJ109)="","",INDEX(原始資料!N$2:N$501,$BJ109)))</f>
        <v/>
      </c>
      <c r="M109" s="6">
        <f>IF(OR($BJ109="",12&gt;設定!$B$3),"",IF(INDEX(原始資料!O$2:O$501,$BJ109)="","",INDEX(原始資料!O$2:O$501,$BJ109)))</f>
        <v/>
      </c>
      <c r="N109" s="6">
        <f>IF(OR($BJ109="",13&gt;設定!$B$3),"",IF(INDEX(原始資料!P$2:P$501,$BJ109)="","",INDEX(原始資料!P$2:P$501,$BJ109)))</f>
        <v/>
      </c>
      <c r="O109" s="6">
        <f>IF(OR($BJ109="",14&gt;設定!$B$3),"",IF(INDEX(原始資料!Q$2:Q$501,$BJ109)="","",INDEX(原始資料!Q$2:Q$501,$BJ109)))</f>
        <v/>
      </c>
      <c r="P109" s="6">
        <f>IF(OR($BJ109="",15&gt;設定!$B$3),"",IF(INDEX(原始資料!R$2:R$501,$BJ109)="","",INDEX(原始資料!R$2:R$501,$BJ109)))</f>
        <v/>
      </c>
      <c r="Q109" s="6">
        <f>IF(OR($BJ109="",16&gt;設定!$B$3),"",IF(INDEX(原始資料!S$2:S$501,$BJ109)="","",INDEX(原始資料!S$2:S$501,$BJ109)))</f>
        <v/>
      </c>
      <c r="R109" s="6">
        <f>IF(OR($BJ109="",17&gt;設定!$B$3),"",IF(INDEX(原始資料!T$2:T$501,$BJ109)="","",INDEX(原始資料!T$2:T$501,$BJ109)))</f>
        <v/>
      </c>
      <c r="S109" s="6">
        <f>IF(OR($BJ109="",18&gt;設定!$B$3),"",IF(INDEX(原始資料!U$2:U$501,$BJ109)="","",INDEX(原始資料!U$2:U$501,$BJ109)))</f>
        <v/>
      </c>
      <c r="T109" s="6">
        <f>IF(OR($BJ109="",19&gt;設定!$B$3),"",IF(INDEX(原始資料!V$2:V$501,$BJ109)="","",INDEX(原始資料!V$2:V$501,$BJ109)))</f>
        <v/>
      </c>
      <c r="U109" s="6">
        <f>IF(OR($BJ109="",20&gt;設定!$B$3),"",IF(INDEX(原始資料!W$2:W$501,$BJ109)="","",INDEX(原始資料!W$2:W$501,$BJ109)))</f>
        <v/>
      </c>
      <c r="V109" s="6">
        <f>IF(OR($BJ109="",21&gt;設定!$B$3),"",IF(INDEX(原始資料!X$2:X$501,$BJ109)="","",INDEX(原始資料!X$2:X$501,$BJ109)))</f>
        <v/>
      </c>
      <c r="W109" s="6">
        <f>IF(OR($BJ109="",22&gt;設定!$B$3),"",IF(INDEX(原始資料!Y$2:Y$501,$BJ109)="","",INDEX(原始資料!Y$2:Y$501,$BJ109)))</f>
        <v/>
      </c>
      <c r="X109" s="6">
        <f>IF(OR($BJ109="",23&gt;設定!$B$3),"",IF(INDEX(原始資料!Z$2:Z$501,$BJ109)="","",INDEX(原始資料!Z$2:Z$501,$BJ109)))</f>
        <v/>
      </c>
      <c r="Y109" s="6">
        <f>IF(OR($BJ109="",24&gt;設定!$B$3),"",IF(INDEX(原始資料!AA$2:AA$501,$BJ109)="","",INDEX(原始資料!AA$2:AA$501,$BJ109)))</f>
        <v/>
      </c>
      <c r="Z109" s="6">
        <f>IF(OR($BJ109="",25&gt;設定!$B$3),"",IF(INDEX(原始資料!AB$2:AB$501,$BJ109)="","",INDEX(原始資料!AB$2:AB$501,$BJ109)))</f>
        <v/>
      </c>
      <c r="AA109" s="6">
        <f>IF(OR($BJ109="",26&gt;設定!$B$3),"",IF(INDEX(原始資料!AC$2:AC$501,$BJ109)="","",INDEX(原始資料!AC$2:AC$501,$BJ109)))</f>
        <v/>
      </c>
      <c r="AB109" s="6">
        <f>IF(OR($BJ109="",27&gt;設定!$B$3),"",IF(INDEX(原始資料!AD$2:AD$501,$BJ109)="","",INDEX(原始資料!AD$2:AD$501,$BJ109)))</f>
        <v/>
      </c>
      <c r="AC109" s="6">
        <f>IF(OR($BJ109="",28&gt;設定!$B$3),"",IF(INDEX(原始資料!AE$2:AE$501,$BJ109)="","",INDEX(原始資料!AE$2:AE$501,$BJ109)))</f>
        <v/>
      </c>
      <c r="AD109" s="6">
        <f>IF(OR($BJ109="",29&gt;設定!$B$3),"",IF(INDEX(原始資料!AF$2:AF$501,$BJ109)="","",INDEX(原始資料!AF$2:AF$501,$BJ109)))</f>
        <v/>
      </c>
      <c r="AE109" s="6">
        <f>IF(OR($BJ109="",30&gt;設定!$B$3),"",IF(INDEX(原始資料!AG$2:AG$501,$BJ109)="","",INDEX(原始資料!AG$2:AG$501,$BJ109)))</f>
        <v/>
      </c>
      <c r="AF109" s="6">
        <f>IF(OR($BJ109="",31&gt;設定!$B$3),"",IF(INDEX(原始資料!AH$2:AH$501,$BJ109)="","",INDEX(原始資料!AH$2:AH$501,$BJ109)))</f>
        <v/>
      </c>
      <c r="AG109" s="6">
        <f>IF(OR($BJ109="",32&gt;設定!$B$3),"",IF(INDEX(原始資料!AI$2:AI$501,$BJ109)="","",INDEX(原始資料!AI$2:AI$501,$BJ109)))</f>
        <v/>
      </c>
      <c r="AH109" s="6">
        <f>IF(OR($BJ109="",33&gt;設定!$B$3),"",IF(INDEX(原始資料!AJ$2:AJ$501,$BJ109)="","",INDEX(原始資料!AJ$2:AJ$501,$BJ109)))</f>
        <v/>
      </c>
      <c r="AI109" s="6">
        <f>IF(OR($BJ109="",34&gt;設定!$B$3),"",IF(INDEX(原始資料!AK$2:AK$501,$BJ109)="","",INDEX(原始資料!AK$2:AK$501,$BJ109)))</f>
        <v/>
      </c>
      <c r="AJ109" s="6">
        <f>IF(OR($BJ109="",35&gt;設定!$B$3),"",IF(INDEX(原始資料!AL$2:AL$501,$BJ109)="","",INDEX(原始資料!AL$2:AL$501,$BJ109)))</f>
        <v/>
      </c>
      <c r="AK109" s="6">
        <f>IF(OR($BJ109="",36&gt;設定!$B$3),"",IF(INDEX(原始資料!AM$2:AM$501,$BJ109)="","",INDEX(原始資料!AM$2:AM$501,$BJ109)))</f>
        <v/>
      </c>
      <c r="AL109" s="6">
        <f>IF(OR($BJ109="",37&gt;設定!$B$3),"",IF(INDEX(原始資料!AN$2:AN$501,$BJ109)="","",INDEX(原始資料!AN$2:AN$501,$BJ109)))</f>
        <v/>
      </c>
      <c r="AM109" s="6">
        <f>IF(OR($BJ109="",38&gt;設定!$B$3),"",IF(INDEX(原始資料!AO$2:AO$501,$BJ109)="","",INDEX(原始資料!AO$2:AO$501,$BJ109)))</f>
        <v/>
      </c>
      <c r="AN109" s="6">
        <f>IF(OR($BJ109="",39&gt;設定!$B$3),"",IF(INDEX(原始資料!AP$2:AP$501,$BJ109)="","",INDEX(原始資料!AP$2:AP$501,$BJ109)))</f>
        <v/>
      </c>
      <c r="AO109" s="6">
        <f>IF(OR($BJ109="",40&gt;設定!$B$3),"",IF(INDEX(原始資料!AQ$2:AQ$501,$BJ109)="","",INDEX(原始資料!AQ$2:AQ$501,$BJ109)))</f>
        <v/>
      </c>
      <c r="AP109" s="6">
        <f>IF(OR($BJ109="",41&gt;設定!$B$3),"",IF(INDEX(原始資料!AR$2:AR$501,$BJ109)="","",INDEX(原始資料!AR$2:AR$501,$BJ109)))</f>
        <v/>
      </c>
      <c r="AQ109" s="6">
        <f>IF(OR($BJ109="",42&gt;設定!$B$3),"",IF(INDEX(原始資料!AS$2:AS$501,$BJ109)="","",INDEX(原始資料!AS$2:AS$501,$BJ109)))</f>
        <v/>
      </c>
      <c r="AR109" s="6">
        <f>IF(OR($BJ109="",43&gt;設定!$B$3),"",IF(INDEX(原始資料!AT$2:AT$501,$BJ109)="","",INDEX(原始資料!AT$2:AT$501,$BJ109)))</f>
        <v/>
      </c>
      <c r="AS109" s="6">
        <f>IF(OR($BJ109="",44&gt;設定!$B$3),"",IF(INDEX(原始資料!AU$2:AU$501,$BJ109)="","",INDEX(原始資料!AU$2:AU$501,$BJ109)))</f>
        <v/>
      </c>
      <c r="AT109" s="6">
        <f>IF(OR($BJ109="",45&gt;設定!$B$3),"",IF(INDEX(原始資料!AV$2:AV$501,$BJ109)="","",INDEX(原始資料!AV$2:AV$501,$BJ109)))</f>
        <v/>
      </c>
      <c r="AU109" s="6">
        <f>IF(OR($BJ109="",46&gt;設定!$B$3),"",IF(INDEX(原始資料!AW$2:AW$501,$BJ109)="","",INDEX(原始資料!AW$2:AW$501,$BJ109)))</f>
        <v/>
      </c>
      <c r="AV109" s="6">
        <f>IF(OR($BJ109="",47&gt;設定!$B$3),"",IF(INDEX(原始資料!AX$2:AX$501,$BJ109)="","",INDEX(原始資料!AX$2:AX$501,$BJ109)))</f>
        <v/>
      </c>
      <c r="AW109" s="6">
        <f>IF(OR($BJ109="",48&gt;設定!$B$3),"",IF(INDEX(原始資料!AY$2:AY$501,$BJ109)="","",INDEX(原始資料!AY$2:AY$501,$BJ109)))</f>
        <v/>
      </c>
      <c r="AX109" s="6">
        <f>IF(OR($BJ109="",49&gt;設定!$B$3),"",IF(INDEX(原始資料!AZ$2:AZ$501,$BJ109)="","",INDEX(原始資料!AZ$2:AZ$501,$BJ109)))</f>
        <v/>
      </c>
      <c r="AY109" s="6">
        <f>IF(OR($BJ109="",50&gt;設定!$B$3),"",IF(INDEX(原始資料!BA$2:BA$501,$BJ109)="","",INDEX(原始資料!BA$2:BA$501,$BJ109)))</f>
        <v/>
      </c>
      <c r="AZ109" s="6">
        <f>IF(OR($BJ109="",51&gt;設定!$B$3),"",IF(INDEX(原始資料!BB$2:BB$501,$BJ109)="","",INDEX(原始資料!BB$2:BB$501,$BJ109)))</f>
        <v/>
      </c>
      <c r="BA109" s="6">
        <f>IF(OR($BJ109="",52&gt;設定!$B$3),"",IF(INDEX(原始資料!BC$2:BC$501,$BJ109)="","",INDEX(原始資料!BC$2:BC$501,$BJ109)))</f>
        <v/>
      </c>
      <c r="BB109" s="6">
        <f>IF(OR($BJ109="",53&gt;設定!$B$3),"",IF(INDEX(原始資料!BD$2:BD$501,$BJ109)="","",INDEX(原始資料!BD$2:BD$501,$BJ109)))</f>
        <v/>
      </c>
      <c r="BC109" s="6">
        <f>IF(OR($BJ109="",54&gt;設定!$B$3),"",IF(INDEX(原始資料!BE$2:BE$501,$BJ109)="","",INDEX(原始資料!BE$2:BE$501,$BJ109)))</f>
        <v/>
      </c>
      <c r="BD109" s="6">
        <f>IF(OR($BJ109="",55&gt;設定!$B$3),"",IF(INDEX(原始資料!BF$2:BF$501,$BJ109)="","",INDEX(原始資料!BF$2:BF$501,$BJ109)))</f>
        <v/>
      </c>
      <c r="BE109" s="6">
        <f>IF(OR($BJ109="",56&gt;設定!$B$3),"",IF(INDEX(原始資料!BG$2:BG$501,$BJ109)="","",INDEX(原始資料!BG$2:BG$501,$BJ109)))</f>
        <v/>
      </c>
      <c r="BF109" s="6">
        <f>IF(OR($BJ109="",57&gt;設定!$B$3),"",IF(INDEX(原始資料!BH$2:BH$501,$BJ109)="","",INDEX(原始資料!BH$2:BH$501,$BJ109)))</f>
        <v/>
      </c>
      <c r="BG109" s="6">
        <f>IF(OR($BJ109="",58&gt;設定!$B$3),"",IF(INDEX(原始資料!BI$2:BI$501,$BJ109)="","",INDEX(原始資料!BI$2:BI$501,$BJ109)))</f>
        <v/>
      </c>
      <c r="BH109" s="6">
        <f>IF(OR($BJ109="",59&gt;設定!$B$3),"",IF(INDEX(原始資料!BJ$2:BJ$501,$BJ109)="","",INDEX(原始資料!BJ$2:BJ$501,$BJ109)))</f>
        <v/>
      </c>
      <c r="BI109" s="6">
        <f>IF(OR($BJ109="",60&gt;設定!$B$3),"",IF(INDEX(原始資料!BK$2:BK$501,$BJ109)="","",INDEX(原始資料!BK$2:BK$501,$BJ109)))</f>
        <v/>
      </c>
      <c r="BJ109" s="6">
        <f>IFERROR(MATCH(ROW()-1,判定!$H$2:$H$501,0),"")</f>
        <v/>
      </c>
    </row>
    <row r="110">
      <c r="A110" s="6">
        <f>IF($BJ110="","",INDEX(原始資料!$A$2:$A$501,$BJ110))</f>
        <v/>
      </c>
      <c r="B110" s="6">
        <f>IF(OR($BJ110="",1&gt;設定!$B$3),"",IF(INDEX(原始資料!D$2:D$501,$BJ110)="","",INDEX(原始資料!D$2:D$501,$BJ110)))</f>
        <v/>
      </c>
      <c r="C110" s="6">
        <f>IF(OR($BJ110="",2&gt;設定!$B$3),"",IF(INDEX(原始資料!E$2:E$501,$BJ110)="","",INDEX(原始資料!E$2:E$501,$BJ110)))</f>
        <v/>
      </c>
      <c r="D110" s="6">
        <f>IF(OR($BJ110="",3&gt;設定!$B$3),"",IF(INDEX(原始資料!F$2:F$501,$BJ110)="","",INDEX(原始資料!F$2:F$501,$BJ110)))</f>
        <v/>
      </c>
      <c r="E110" s="6">
        <f>IF(OR($BJ110="",4&gt;設定!$B$3),"",IF(INDEX(原始資料!G$2:G$501,$BJ110)="","",INDEX(原始資料!G$2:G$501,$BJ110)))</f>
        <v/>
      </c>
      <c r="F110" s="6">
        <f>IF(OR($BJ110="",5&gt;設定!$B$3),"",IF(INDEX(原始資料!H$2:H$501,$BJ110)="","",INDEX(原始資料!H$2:H$501,$BJ110)))</f>
        <v/>
      </c>
      <c r="G110" s="6">
        <f>IF(OR($BJ110="",6&gt;設定!$B$3),"",IF(INDEX(原始資料!I$2:I$501,$BJ110)="","",INDEX(原始資料!I$2:I$501,$BJ110)))</f>
        <v/>
      </c>
      <c r="H110" s="6">
        <f>IF(OR($BJ110="",7&gt;設定!$B$3),"",IF(INDEX(原始資料!J$2:J$501,$BJ110)="","",INDEX(原始資料!J$2:J$501,$BJ110)))</f>
        <v/>
      </c>
      <c r="I110" s="6">
        <f>IF(OR($BJ110="",8&gt;設定!$B$3),"",IF(INDEX(原始資料!K$2:K$501,$BJ110)="","",INDEX(原始資料!K$2:K$501,$BJ110)))</f>
        <v/>
      </c>
      <c r="J110" s="6">
        <f>IF(OR($BJ110="",9&gt;設定!$B$3),"",IF(INDEX(原始資料!L$2:L$501,$BJ110)="","",INDEX(原始資料!L$2:L$501,$BJ110)))</f>
        <v/>
      </c>
      <c r="K110" s="6">
        <f>IF(OR($BJ110="",10&gt;設定!$B$3),"",IF(INDEX(原始資料!M$2:M$501,$BJ110)="","",INDEX(原始資料!M$2:M$501,$BJ110)))</f>
        <v/>
      </c>
      <c r="L110" s="6">
        <f>IF(OR($BJ110="",11&gt;設定!$B$3),"",IF(INDEX(原始資料!N$2:N$501,$BJ110)="","",INDEX(原始資料!N$2:N$501,$BJ110)))</f>
        <v/>
      </c>
      <c r="M110" s="6">
        <f>IF(OR($BJ110="",12&gt;設定!$B$3),"",IF(INDEX(原始資料!O$2:O$501,$BJ110)="","",INDEX(原始資料!O$2:O$501,$BJ110)))</f>
        <v/>
      </c>
      <c r="N110" s="6">
        <f>IF(OR($BJ110="",13&gt;設定!$B$3),"",IF(INDEX(原始資料!P$2:P$501,$BJ110)="","",INDEX(原始資料!P$2:P$501,$BJ110)))</f>
        <v/>
      </c>
      <c r="O110" s="6">
        <f>IF(OR($BJ110="",14&gt;設定!$B$3),"",IF(INDEX(原始資料!Q$2:Q$501,$BJ110)="","",INDEX(原始資料!Q$2:Q$501,$BJ110)))</f>
        <v/>
      </c>
      <c r="P110" s="6">
        <f>IF(OR($BJ110="",15&gt;設定!$B$3),"",IF(INDEX(原始資料!R$2:R$501,$BJ110)="","",INDEX(原始資料!R$2:R$501,$BJ110)))</f>
        <v/>
      </c>
      <c r="Q110" s="6">
        <f>IF(OR($BJ110="",16&gt;設定!$B$3),"",IF(INDEX(原始資料!S$2:S$501,$BJ110)="","",INDEX(原始資料!S$2:S$501,$BJ110)))</f>
        <v/>
      </c>
      <c r="R110" s="6">
        <f>IF(OR($BJ110="",17&gt;設定!$B$3),"",IF(INDEX(原始資料!T$2:T$501,$BJ110)="","",INDEX(原始資料!T$2:T$501,$BJ110)))</f>
        <v/>
      </c>
      <c r="S110" s="6">
        <f>IF(OR($BJ110="",18&gt;設定!$B$3),"",IF(INDEX(原始資料!U$2:U$501,$BJ110)="","",INDEX(原始資料!U$2:U$501,$BJ110)))</f>
        <v/>
      </c>
      <c r="T110" s="6">
        <f>IF(OR($BJ110="",19&gt;設定!$B$3),"",IF(INDEX(原始資料!V$2:V$501,$BJ110)="","",INDEX(原始資料!V$2:V$501,$BJ110)))</f>
        <v/>
      </c>
      <c r="U110" s="6">
        <f>IF(OR($BJ110="",20&gt;設定!$B$3),"",IF(INDEX(原始資料!W$2:W$501,$BJ110)="","",INDEX(原始資料!W$2:W$501,$BJ110)))</f>
        <v/>
      </c>
      <c r="V110" s="6">
        <f>IF(OR($BJ110="",21&gt;設定!$B$3),"",IF(INDEX(原始資料!X$2:X$501,$BJ110)="","",INDEX(原始資料!X$2:X$501,$BJ110)))</f>
        <v/>
      </c>
      <c r="W110" s="6">
        <f>IF(OR($BJ110="",22&gt;設定!$B$3),"",IF(INDEX(原始資料!Y$2:Y$501,$BJ110)="","",INDEX(原始資料!Y$2:Y$501,$BJ110)))</f>
        <v/>
      </c>
      <c r="X110" s="6">
        <f>IF(OR($BJ110="",23&gt;設定!$B$3),"",IF(INDEX(原始資料!Z$2:Z$501,$BJ110)="","",INDEX(原始資料!Z$2:Z$501,$BJ110)))</f>
        <v/>
      </c>
      <c r="Y110" s="6">
        <f>IF(OR($BJ110="",24&gt;設定!$B$3),"",IF(INDEX(原始資料!AA$2:AA$501,$BJ110)="","",INDEX(原始資料!AA$2:AA$501,$BJ110)))</f>
        <v/>
      </c>
      <c r="Z110" s="6">
        <f>IF(OR($BJ110="",25&gt;設定!$B$3),"",IF(INDEX(原始資料!AB$2:AB$501,$BJ110)="","",INDEX(原始資料!AB$2:AB$501,$BJ110)))</f>
        <v/>
      </c>
      <c r="AA110" s="6">
        <f>IF(OR($BJ110="",26&gt;設定!$B$3),"",IF(INDEX(原始資料!AC$2:AC$501,$BJ110)="","",INDEX(原始資料!AC$2:AC$501,$BJ110)))</f>
        <v/>
      </c>
      <c r="AB110" s="6">
        <f>IF(OR($BJ110="",27&gt;設定!$B$3),"",IF(INDEX(原始資料!AD$2:AD$501,$BJ110)="","",INDEX(原始資料!AD$2:AD$501,$BJ110)))</f>
        <v/>
      </c>
      <c r="AC110" s="6">
        <f>IF(OR($BJ110="",28&gt;設定!$B$3),"",IF(INDEX(原始資料!AE$2:AE$501,$BJ110)="","",INDEX(原始資料!AE$2:AE$501,$BJ110)))</f>
        <v/>
      </c>
      <c r="AD110" s="6">
        <f>IF(OR($BJ110="",29&gt;設定!$B$3),"",IF(INDEX(原始資料!AF$2:AF$501,$BJ110)="","",INDEX(原始資料!AF$2:AF$501,$BJ110)))</f>
        <v/>
      </c>
      <c r="AE110" s="6">
        <f>IF(OR($BJ110="",30&gt;設定!$B$3),"",IF(INDEX(原始資料!AG$2:AG$501,$BJ110)="","",INDEX(原始資料!AG$2:AG$501,$BJ110)))</f>
        <v/>
      </c>
      <c r="AF110" s="6">
        <f>IF(OR($BJ110="",31&gt;設定!$B$3),"",IF(INDEX(原始資料!AH$2:AH$501,$BJ110)="","",INDEX(原始資料!AH$2:AH$501,$BJ110)))</f>
        <v/>
      </c>
      <c r="AG110" s="6">
        <f>IF(OR($BJ110="",32&gt;設定!$B$3),"",IF(INDEX(原始資料!AI$2:AI$501,$BJ110)="","",INDEX(原始資料!AI$2:AI$501,$BJ110)))</f>
        <v/>
      </c>
      <c r="AH110" s="6">
        <f>IF(OR($BJ110="",33&gt;設定!$B$3),"",IF(INDEX(原始資料!AJ$2:AJ$501,$BJ110)="","",INDEX(原始資料!AJ$2:AJ$501,$BJ110)))</f>
        <v/>
      </c>
      <c r="AI110" s="6">
        <f>IF(OR($BJ110="",34&gt;設定!$B$3),"",IF(INDEX(原始資料!AK$2:AK$501,$BJ110)="","",INDEX(原始資料!AK$2:AK$501,$BJ110)))</f>
        <v/>
      </c>
      <c r="AJ110" s="6">
        <f>IF(OR($BJ110="",35&gt;設定!$B$3),"",IF(INDEX(原始資料!AL$2:AL$501,$BJ110)="","",INDEX(原始資料!AL$2:AL$501,$BJ110)))</f>
        <v/>
      </c>
      <c r="AK110" s="6">
        <f>IF(OR($BJ110="",36&gt;設定!$B$3),"",IF(INDEX(原始資料!AM$2:AM$501,$BJ110)="","",INDEX(原始資料!AM$2:AM$501,$BJ110)))</f>
        <v/>
      </c>
      <c r="AL110" s="6">
        <f>IF(OR($BJ110="",37&gt;設定!$B$3),"",IF(INDEX(原始資料!AN$2:AN$501,$BJ110)="","",INDEX(原始資料!AN$2:AN$501,$BJ110)))</f>
        <v/>
      </c>
      <c r="AM110" s="6">
        <f>IF(OR($BJ110="",38&gt;設定!$B$3),"",IF(INDEX(原始資料!AO$2:AO$501,$BJ110)="","",INDEX(原始資料!AO$2:AO$501,$BJ110)))</f>
        <v/>
      </c>
      <c r="AN110" s="6">
        <f>IF(OR($BJ110="",39&gt;設定!$B$3),"",IF(INDEX(原始資料!AP$2:AP$501,$BJ110)="","",INDEX(原始資料!AP$2:AP$501,$BJ110)))</f>
        <v/>
      </c>
      <c r="AO110" s="6">
        <f>IF(OR($BJ110="",40&gt;設定!$B$3),"",IF(INDEX(原始資料!AQ$2:AQ$501,$BJ110)="","",INDEX(原始資料!AQ$2:AQ$501,$BJ110)))</f>
        <v/>
      </c>
      <c r="AP110" s="6">
        <f>IF(OR($BJ110="",41&gt;設定!$B$3),"",IF(INDEX(原始資料!AR$2:AR$501,$BJ110)="","",INDEX(原始資料!AR$2:AR$501,$BJ110)))</f>
        <v/>
      </c>
      <c r="AQ110" s="6">
        <f>IF(OR($BJ110="",42&gt;設定!$B$3),"",IF(INDEX(原始資料!AS$2:AS$501,$BJ110)="","",INDEX(原始資料!AS$2:AS$501,$BJ110)))</f>
        <v/>
      </c>
      <c r="AR110" s="6">
        <f>IF(OR($BJ110="",43&gt;設定!$B$3),"",IF(INDEX(原始資料!AT$2:AT$501,$BJ110)="","",INDEX(原始資料!AT$2:AT$501,$BJ110)))</f>
        <v/>
      </c>
      <c r="AS110" s="6">
        <f>IF(OR($BJ110="",44&gt;設定!$B$3),"",IF(INDEX(原始資料!AU$2:AU$501,$BJ110)="","",INDEX(原始資料!AU$2:AU$501,$BJ110)))</f>
        <v/>
      </c>
      <c r="AT110" s="6">
        <f>IF(OR($BJ110="",45&gt;設定!$B$3),"",IF(INDEX(原始資料!AV$2:AV$501,$BJ110)="","",INDEX(原始資料!AV$2:AV$501,$BJ110)))</f>
        <v/>
      </c>
      <c r="AU110" s="6">
        <f>IF(OR($BJ110="",46&gt;設定!$B$3),"",IF(INDEX(原始資料!AW$2:AW$501,$BJ110)="","",INDEX(原始資料!AW$2:AW$501,$BJ110)))</f>
        <v/>
      </c>
      <c r="AV110" s="6">
        <f>IF(OR($BJ110="",47&gt;設定!$B$3),"",IF(INDEX(原始資料!AX$2:AX$501,$BJ110)="","",INDEX(原始資料!AX$2:AX$501,$BJ110)))</f>
        <v/>
      </c>
      <c r="AW110" s="6">
        <f>IF(OR($BJ110="",48&gt;設定!$B$3),"",IF(INDEX(原始資料!AY$2:AY$501,$BJ110)="","",INDEX(原始資料!AY$2:AY$501,$BJ110)))</f>
        <v/>
      </c>
      <c r="AX110" s="6">
        <f>IF(OR($BJ110="",49&gt;設定!$B$3),"",IF(INDEX(原始資料!AZ$2:AZ$501,$BJ110)="","",INDEX(原始資料!AZ$2:AZ$501,$BJ110)))</f>
        <v/>
      </c>
      <c r="AY110" s="6">
        <f>IF(OR($BJ110="",50&gt;設定!$B$3),"",IF(INDEX(原始資料!BA$2:BA$501,$BJ110)="","",INDEX(原始資料!BA$2:BA$501,$BJ110)))</f>
        <v/>
      </c>
      <c r="AZ110" s="6">
        <f>IF(OR($BJ110="",51&gt;設定!$B$3),"",IF(INDEX(原始資料!BB$2:BB$501,$BJ110)="","",INDEX(原始資料!BB$2:BB$501,$BJ110)))</f>
        <v/>
      </c>
      <c r="BA110" s="6">
        <f>IF(OR($BJ110="",52&gt;設定!$B$3),"",IF(INDEX(原始資料!BC$2:BC$501,$BJ110)="","",INDEX(原始資料!BC$2:BC$501,$BJ110)))</f>
        <v/>
      </c>
      <c r="BB110" s="6">
        <f>IF(OR($BJ110="",53&gt;設定!$B$3),"",IF(INDEX(原始資料!BD$2:BD$501,$BJ110)="","",INDEX(原始資料!BD$2:BD$501,$BJ110)))</f>
        <v/>
      </c>
      <c r="BC110" s="6">
        <f>IF(OR($BJ110="",54&gt;設定!$B$3),"",IF(INDEX(原始資料!BE$2:BE$501,$BJ110)="","",INDEX(原始資料!BE$2:BE$501,$BJ110)))</f>
        <v/>
      </c>
      <c r="BD110" s="6">
        <f>IF(OR($BJ110="",55&gt;設定!$B$3),"",IF(INDEX(原始資料!BF$2:BF$501,$BJ110)="","",INDEX(原始資料!BF$2:BF$501,$BJ110)))</f>
        <v/>
      </c>
      <c r="BE110" s="6">
        <f>IF(OR($BJ110="",56&gt;設定!$B$3),"",IF(INDEX(原始資料!BG$2:BG$501,$BJ110)="","",INDEX(原始資料!BG$2:BG$501,$BJ110)))</f>
        <v/>
      </c>
      <c r="BF110" s="6">
        <f>IF(OR($BJ110="",57&gt;設定!$B$3),"",IF(INDEX(原始資料!BH$2:BH$501,$BJ110)="","",INDEX(原始資料!BH$2:BH$501,$BJ110)))</f>
        <v/>
      </c>
      <c r="BG110" s="6">
        <f>IF(OR($BJ110="",58&gt;設定!$B$3),"",IF(INDEX(原始資料!BI$2:BI$501,$BJ110)="","",INDEX(原始資料!BI$2:BI$501,$BJ110)))</f>
        <v/>
      </c>
      <c r="BH110" s="6">
        <f>IF(OR($BJ110="",59&gt;設定!$B$3),"",IF(INDEX(原始資料!BJ$2:BJ$501,$BJ110)="","",INDEX(原始資料!BJ$2:BJ$501,$BJ110)))</f>
        <v/>
      </c>
      <c r="BI110" s="6">
        <f>IF(OR($BJ110="",60&gt;設定!$B$3),"",IF(INDEX(原始資料!BK$2:BK$501,$BJ110)="","",INDEX(原始資料!BK$2:BK$501,$BJ110)))</f>
        <v/>
      </c>
      <c r="BJ110" s="6">
        <f>IFERROR(MATCH(ROW()-1,判定!$H$2:$H$501,0),"")</f>
        <v/>
      </c>
    </row>
    <row r="111">
      <c r="A111" s="6">
        <f>IF($BJ111="","",INDEX(原始資料!$A$2:$A$501,$BJ111))</f>
        <v/>
      </c>
      <c r="B111" s="6">
        <f>IF(OR($BJ111="",1&gt;設定!$B$3),"",IF(INDEX(原始資料!D$2:D$501,$BJ111)="","",INDEX(原始資料!D$2:D$501,$BJ111)))</f>
        <v/>
      </c>
      <c r="C111" s="6">
        <f>IF(OR($BJ111="",2&gt;設定!$B$3),"",IF(INDEX(原始資料!E$2:E$501,$BJ111)="","",INDEX(原始資料!E$2:E$501,$BJ111)))</f>
        <v/>
      </c>
      <c r="D111" s="6">
        <f>IF(OR($BJ111="",3&gt;設定!$B$3),"",IF(INDEX(原始資料!F$2:F$501,$BJ111)="","",INDEX(原始資料!F$2:F$501,$BJ111)))</f>
        <v/>
      </c>
      <c r="E111" s="6">
        <f>IF(OR($BJ111="",4&gt;設定!$B$3),"",IF(INDEX(原始資料!G$2:G$501,$BJ111)="","",INDEX(原始資料!G$2:G$501,$BJ111)))</f>
        <v/>
      </c>
      <c r="F111" s="6">
        <f>IF(OR($BJ111="",5&gt;設定!$B$3),"",IF(INDEX(原始資料!H$2:H$501,$BJ111)="","",INDEX(原始資料!H$2:H$501,$BJ111)))</f>
        <v/>
      </c>
      <c r="G111" s="6">
        <f>IF(OR($BJ111="",6&gt;設定!$B$3),"",IF(INDEX(原始資料!I$2:I$501,$BJ111)="","",INDEX(原始資料!I$2:I$501,$BJ111)))</f>
        <v/>
      </c>
      <c r="H111" s="6">
        <f>IF(OR($BJ111="",7&gt;設定!$B$3),"",IF(INDEX(原始資料!J$2:J$501,$BJ111)="","",INDEX(原始資料!J$2:J$501,$BJ111)))</f>
        <v/>
      </c>
      <c r="I111" s="6">
        <f>IF(OR($BJ111="",8&gt;設定!$B$3),"",IF(INDEX(原始資料!K$2:K$501,$BJ111)="","",INDEX(原始資料!K$2:K$501,$BJ111)))</f>
        <v/>
      </c>
      <c r="J111" s="6">
        <f>IF(OR($BJ111="",9&gt;設定!$B$3),"",IF(INDEX(原始資料!L$2:L$501,$BJ111)="","",INDEX(原始資料!L$2:L$501,$BJ111)))</f>
        <v/>
      </c>
      <c r="K111" s="6">
        <f>IF(OR($BJ111="",10&gt;設定!$B$3),"",IF(INDEX(原始資料!M$2:M$501,$BJ111)="","",INDEX(原始資料!M$2:M$501,$BJ111)))</f>
        <v/>
      </c>
      <c r="L111" s="6">
        <f>IF(OR($BJ111="",11&gt;設定!$B$3),"",IF(INDEX(原始資料!N$2:N$501,$BJ111)="","",INDEX(原始資料!N$2:N$501,$BJ111)))</f>
        <v/>
      </c>
      <c r="M111" s="6">
        <f>IF(OR($BJ111="",12&gt;設定!$B$3),"",IF(INDEX(原始資料!O$2:O$501,$BJ111)="","",INDEX(原始資料!O$2:O$501,$BJ111)))</f>
        <v/>
      </c>
      <c r="N111" s="6">
        <f>IF(OR($BJ111="",13&gt;設定!$B$3),"",IF(INDEX(原始資料!P$2:P$501,$BJ111)="","",INDEX(原始資料!P$2:P$501,$BJ111)))</f>
        <v/>
      </c>
      <c r="O111" s="6">
        <f>IF(OR($BJ111="",14&gt;設定!$B$3),"",IF(INDEX(原始資料!Q$2:Q$501,$BJ111)="","",INDEX(原始資料!Q$2:Q$501,$BJ111)))</f>
        <v/>
      </c>
      <c r="P111" s="6">
        <f>IF(OR($BJ111="",15&gt;設定!$B$3),"",IF(INDEX(原始資料!R$2:R$501,$BJ111)="","",INDEX(原始資料!R$2:R$501,$BJ111)))</f>
        <v/>
      </c>
      <c r="Q111" s="6">
        <f>IF(OR($BJ111="",16&gt;設定!$B$3),"",IF(INDEX(原始資料!S$2:S$501,$BJ111)="","",INDEX(原始資料!S$2:S$501,$BJ111)))</f>
        <v/>
      </c>
      <c r="R111" s="6">
        <f>IF(OR($BJ111="",17&gt;設定!$B$3),"",IF(INDEX(原始資料!T$2:T$501,$BJ111)="","",INDEX(原始資料!T$2:T$501,$BJ111)))</f>
        <v/>
      </c>
      <c r="S111" s="6">
        <f>IF(OR($BJ111="",18&gt;設定!$B$3),"",IF(INDEX(原始資料!U$2:U$501,$BJ111)="","",INDEX(原始資料!U$2:U$501,$BJ111)))</f>
        <v/>
      </c>
      <c r="T111" s="6">
        <f>IF(OR($BJ111="",19&gt;設定!$B$3),"",IF(INDEX(原始資料!V$2:V$501,$BJ111)="","",INDEX(原始資料!V$2:V$501,$BJ111)))</f>
        <v/>
      </c>
      <c r="U111" s="6">
        <f>IF(OR($BJ111="",20&gt;設定!$B$3),"",IF(INDEX(原始資料!W$2:W$501,$BJ111)="","",INDEX(原始資料!W$2:W$501,$BJ111)))</f>
        <v/>
      </c>
      <c r="V111" s="6">
        <f>IF(OR($BJ111="",21&gt;設定!$B$3),"",IF(INDEX(原始資料!X$2:X$501,$BJ111)="","",INDEX(原始資料!X$2:X$501,$BJ111)))</f>
        <v/>
      </c>
      <c r="W111" s="6">
        <f>IF(OR($BJ111="",22&gt;設定!$B$3),"",IF(INDEX(原始資料!Y$2:Y$501,$BJ111)="","",INDEX(原始資料!Y$2:Y$501,$BJ111)))</f>
        <v/>
      </c>
      <c r="X111" s="6">
        <f>IF(OR($BJ111="",23&gt;設定!$B$3),"",IF(INDEX(原始資料!Z$2:Z$501,$BJ111)="","",INDEX(原始資料!Z$2:Z$501,$BJ111)))</f>
        <v/>
      </c>
      <c r="Y111" s="6">
        <f>IF(OR($BJ111="",24&gt;設定!$B$3),"",IF(INDEX(原始資料!AA$2:AA$501,$BJ111)="","",INDEX(原始資料!AA$2:AA$501,$BJ111)))</f>
        <v/>
      </c>
      <c r="Z111" s="6">
        <f>IF(OR($BJ111="",25&gt;設定!$B$3),"",IF(INDEX(原始資料!AB$2:AB$501,$BJ111)="","",INDEX(原始資料!AB$2:AB$501,$BJ111)))</f>
        <v/>
      </c>
      <c r="AA111" s="6">
        <f>IF(OR($BJ111="",26&gt;設定!$B$3),"",IF(INDEX(原始資料!AC$2:AC$501,$BJ111)="","",INDEX(原始資料!AC$2:AC$501,$BJ111)))</f>
        <v/>
      </c>
      <c r="AB111" s="6">
        <f>IF(OR($BJ111="",27&gt;設定!$B$3),"",IF(INDEX(原始資料!AD$2:AD$501,$BJ111)="","",INDEX(原始資料!AD$2:AD$501,$BJ111)))</f>
        <v/>
      </c>
      <c r="AC111" s="6">
        <f>IF(OR($BJ111="",28&gt;設定!$B$3),"",IF(INDEX(原始資料!AE$2:AE$501,$BJ111)="","",INDEX(原始資料!AE$2:AE$501,$BJ111)))</f>
        <v/>
      </c>
      <c r="AD111" s="6">
        <f>IF(OR($BJ111="",29&gt;設定!$B$3),"",IF(INDEX(原始資料!AF$2:AF$501,$BJ111)="","",INDEX(原始資料!AF$2:AF$501,$BJ111)))</f>
        <v/>
      </c>
      <c r="AE111" s="6">
        <f>IF(OR($BJ111="",30&gt;設定!$B$3),"",IF(INDEX(原始資料!AG$2:AG$501,$BJ111)="","",INDEX(原始資料!AG$2:AG$501,$BJ111)))</f>
        <v/>
      </c>
      <c r="AF111" s="6">
        <f>IF(OR($BJ111="",31&gt;設定!$B$3),"",IF(INDEX(原始資料!AH$2:AH$501,$BJ111)="","",INDEX(原始資料!AH$2:AH$501,$BJ111)))</f>
        <v/>
      </c>
      <c r="AG111" s="6">
        <f>IF(OR($BJ111="",32&gt;設定!$B$3),"",IF(INDEX(原始資料!AI$2:AI$501,$BJ111)="","",INDEX(原始資料!AI$2:AI$501,$BJ111)))</f>
        <v/>
      </c>
      <c r="AH111" s="6">
        <f>IF(OR($BJ111="",33&gt;設定!$B$3),"",IF(INDEX(原始資料!AJ$2:AJ$501,$BJ111)="","",INDEX(原始資料!AJ$2:AJ$501,$BJ111)))</f>
        <v/>
      </c>
      <c r="AI111" s="6">
        <f>IF(OR($BJ111="",34&gt;設定!$B$3),"",IF(INDEX(原始資料!AK$2:AK$501,$BJ111)="","",INDEX(原始資料!AK$2:AK$501,$BJ111)))</f>
        <v/>
      </c>
      <c r="AJ111" s="6">
        <f>IF(OR($BJ111="",35&gt;設定!$B$3),"",IF(INDEX(原始資料!AL$2:AL$501,$BJ111)="","",INDEX(原始資料!AL$2:AL$501,$BJ111)))</f>
        <v/>
      </c>
      <c r="AK111" s="6">
        <f>IF(OR($BJ111="",36&gt;設定!$B$3),"",IF(INDEX(原始資料!AM$2:AM$501,$BJ111)="","",INDEX(原始資料!AM$2:AM$501,$BJ111)))</f>
        <v/>
      </c>
      <c r="AL111" s="6">
        <f>IF(OR($BJ111="",37&gt;設定!$B$3),"",IF(INDEX(原始資料!AN$2:AN$501,$BJ111)="","",INDEX(原始資料!AN$2:AN$501,$BJ111)))</f>
        <v/>
      </c>
      <c r="AM111" s="6">
        <f>IF(OR($BJ111="",38&gt;設定!$B$3),"",IF(INDEX(原始資料!AO$2:AO$501,$BJ111)="","",INDEX(原始資料!AO$2:AO$501,$BJ111)))</f>
        <v/>
      </c>
      <c r="AN111" s="6">
        <f>IF(OR($BJ111="",39&gt;設定!$B$3),"",IF(INDEX(原始資料!AP$2:AP$501,$BJ111)="","",INDEX(原始資料!AP$2:AP$501,$BJ111)))</f>
        <v/>
      </c>
      <c r="AO111" s="6">
        <f>IF(OR($BJ111="",40&gt;設定!$B$3),"",IF(INDEX(原始資料!AQ$2:AQ$501,$BJ111)="","",INDEX(原始資料!AQ$2:AQ$501,$BJ111)))</f>
        <v/>
      </c>
      <c r="AP111" s="6">
        <f>IF(OR($BJ111="",41&gt;設定!$B$3),"",IF(INDEX(原始資料!AR$2:AR$501,$BJ111)="","",INDEX(原始資料!AR$2:AR$501,$BJ111)))</f>
        <v/>
      </c>
      <c r="AQ111" s="6">
        <f>IF(OR($BJ111="",42&gt;設定!$B$3),"",IF(INDEX(原始資料!AS$2:AS$501,$BJ111)="","",INDEX(原始資料!AS$2:AS$501,$BJ111)))</f>
        <v/>
      </c>
      <c r="AR111" s="6">
        <f>IF(OR($BJ111="",43&gt;設定!$B$3),"",IF(INDEX(原始資料!AT$2:AT$501,$BJ111)="","",INDEX(原始資料!AT$2:AT$501,$BJ111)))</f>
        <v/>
      </c>
      <c r="AS111" s="6">
        <f>IF(OR($BJ111="",44&gt;設定!$B$3),"",IF(INDEX(原始資料!AU$2:AU$501,$BJ111)="","",INDEX(原始資料!AU$2:AU$501,$BJ111)))</f>
        <v/>
      </c>
      <c r="AT111" s="6">
        <f>IF(OR($BJ111="",45&gt;設定!$B$3),"",IF(INDEX(原始資料!AV$2:AV$501,$BJ111)="","",INDEX(原始資料!AV$2:AV$501,$BJ111)))</f>
        <v/>
      </c>
      <c r="AU111" s="6">
        <f>IF(OR($BJ111="",46&gt;設定!$B$3),"",IF(INDEX(原始資料!AW$2:AW$501,$BJ111)="","",INDEX(原始資料!AW$2:AW$501,$BJ111)))</f>
        <v/>
      </c>
      <c r="AV111" s="6">
        <f>IF(OR($BJ111="",47&gt;設定!$B$3),"",IF(INDEX(原始資料!AX$2:AX$501,$BJ111)="","",INDEX(原始資料!AX$2:AX$501,$BJ111)))</f>
        <v/>
      </c>
      <c r="AW111" s="6">
        <f>IF(OR($BJ111="",48&gt;設定!$B$3),"",IF(INDEX(原始資料!AY$2:AY$501,$BJ111)="","",INDEX(原始資料!AY$2:AY$501,$BJ111)))</f>
        <v/>
      </c>
      <c r="AX111" s="6">
        <f>IF(OR($BJ111="",49&gt;設定!$B$3),"",IF(INDEX(原始資料!AZ$2:AZ$501,$BJ111)="","",INDEX(原始資料!AZ$2:AZ$501,$BJ111)))</f>
        <v/>
      </c>
      <c r="AY111" s="6">
        <f>IF(OR($BJ111="",50&gt;設定!$B$3),"",IF(INDEX(原始資料!BA$2:BA$501,$BJ111)="","",INDEX(原始資料!BA$2:BA$501,$BJ111)))</f>
        <v/>
      </c>
      <c r="AZ111" s="6">
        <f>IF(OR($BJ111="",51&gt;設定!$B$3),"",IF(INDEX(原始資料!BB$2:BB$501,$BJ111)="","",INDEX(原始資料!BB$2:BB$501,$BJ111)))</f>
        <v/>
      </c>
      <c r="BA111" s="6">
        <f>IF(OR($BJ111="",52&gt;設定!$B$3),"",IF(INDEX(原始資料!BC$2:BC$501,$BJ111)="","",INDEX(原始資料!BC$2:BC$501,$BJ111)))</f>
        <v/>
      </c>
      <c r="BB111" s="6">
        <f>IF(OR($BJ111="",53&gt;設定!$B$3),"",IF(INDEX(原始資料!BD$2:BD$501,$BJ111)="","",INDEX(原始資料!BD$2:BD$501,$BJ111)))</f>
        <v/>
      </c>
      <c r="BC111" s="6">
        <f>IF(OR($BJ111="",54&gt;設定!$B$3),"",IF(INDEX(原始資料!BE$2:BE$501,$BJ111)="","",INDEX(原始資料!BE$2:BE$501,$BJ111)))</f>
        <v/>
      </c>
      <c r="BD111" s="6">
        <f>IF(OR($BJ111="",55&gt;設定!$B$3),"",IF(INDEX(原始資料!BF$2:BF$501,$BJ111)="","",INDEX(原始資料!BF$2:BF$501,$BJ111)))</f>
        <v/>
      </c>
      <c r="BE111" s="6">
        <f>IF(OR($BJ111="",56&gt;設定!$B$3),"",IF(INDEX(原始資料!BG$2:BG$501,$BJ111)="","",INDEX(原始資料!BG$2:BG$501,$BJ111)))</f>
        <v/>
      </c>
      <c r="BF111" s="6">
        <f>IF(OR($BJ111="",57&gt;設定!$B$3),"",IF(INDEX(原始資料!BH$2:BH$501,$BJ111)="","",INDEX(原始資料!BH$2:BH$501,$BJ111)))</f>
        <v/>
      </c>
      <c r="BG111" s="6">
        <f>IF(OR($BJ111="",58&gt;設定!$B$3),"",IF(INDEX(原始資料!BI$2:BI$501,$BJ111)="","",INDEX(原始資料!BI$2:BI$501,$BJ111)))</f>
        <v/>
      </c>
      <c r="BH111" s="6">
        <f>IF(OR($BJ111="",59&gt;設定!$B$3),"",IF(INDEX(原始資料!BJ$2:BJ$501,$BJ111)="","",INDEX(原始資料!BJ$2:BJ$501,$BJ111)))</f>
        <v/>
      </c>
      <c r="BI111" s="6">
        <f>IF(OR($BJ111="",60&gt;設定!$B$3),"",IF(INDEX(原始資料!BK$2:BK$501,$BJ111)="","",INDEX(原始資料!BK$2:BK$501,$BJ111)))</f>
        <v/>
      </c>
      <c r="BJ111" s="6">
        <f>IFERROR(MATCH(ROW()-1,判定!$H$2:$H$501,0),"")</f>
        <v/>
      </c>
    </row>
    <row r="112">
      <c r="A112" s="6">
        <f>IF($BJ112="","",INDEX(原始資料!$A$2:$A$501,$BJ112))</f>
        <v/>
      </c>
      <c r="B112" s="6">
        <f>IF(OR($BJ112="",1&gt;設定!$B$3),"",IF(INDEX(原始資料!D$2:D$501,$BJ112)="","",INDEX(原始資料!D$2:D$501,$BJ112)))</f>
        <v/>
      </c>
      <c r="C112" s="6">
        <f>IF(OR($BJ112="",2&gt;設定!$B$3),"",IF(INDEX(原始資料!E$2:E$501,$BJ112)="","",INDEX(原始資料!E$2:E$501,$BJ112)))</f>
        <v/>
      </c>
      <c r="D112" s="6">
        <f>IF(OR($BJ112="",3&gt;設定!$B$3),"",IF(INDEX(原始資料!F$2:F$501,$BJ112)="","",INDEX(原始資料!F$2:F$501,$BJ112)))</f>
        <v/>
      </c>
      <c r="E112" s="6">
        <f>IF(OR($BJ112="",4&gt;設定!$B$3),"",IF(INDEX(原始資料!G$2:G$501,$BJ112)="","",INDEX(原始資料!G$2:G$501,$BJ112)))</f>
        <v/>
      </c>
      <c r="F112" s="6">
        <f>IF(OR($BJ112="",5&gt;設定!$B$3),"",IF(INDEX(原始資料!H$2:H$501,$BJ112)="","",INDEX(原始資料!H$2:H$501,$BJ112)))</f>
        <v/>
      </c>
      <c r="G112" s="6">
        <f>IF(OR($BJ112="",6&gt;設定!$B$3),"",IF(INDEX(原始資料!I$2:I$501,$BJ112)="","",INDEX(原始資料!I$2:I$501,$BJ112)))</f>
        <v/>
      </c>
      <c r="H112" s="6">
        <f>IF(OR($BJ112="",7&gt;設定!$B$3),"",IF(INDEX(原始資料!J$2:J$501,$BJ112)="","",INDEX(原始資料!J$2:J$501,$BJ112)))</f>
        <v/>
      </c>
      <c r="I112" s="6">
        <f>IF(OR($BJ112="",8&gt;設定!$B$3),"",IF(INDEX(原始資料!K$2:K$501,$BJ112)="","",INDEX(原始資料!K$2:K$501,$BJ112)))</f>
        <v/>
      </c>
      <c r="J112" s="6">
        <f>IF(OR($BJ112="",9&gt;設定!$B$3),"",IF(INDEX(原始資料!L$2:L$501,$BJ112)="","",INDEX(原始資料!L$2:L$501,$BJ112)))</f>
        <v/>
      </c>
      <c r="K112" s="6">
        <f>IF(OR($BJ112="",10&gt;設定!$B$3),"",IF(INDEX(原始資料!M$2:M$501,$BJ112)="","",INDEX(原始資料!M$2:M$501,$BJ112)))</f>
        <v/>
      </c>
      <c r="L112" s="6">
        <f>IF(OR($BJ112="",11&gt;設定!$B$3),"",IF(INDEX(原始資料!N$2:N$501,$BJ112)="","",INDEX(原始資料!N$2:N$501,$BJ112)))</f>
        <v/>
      </c>
      <c r="M112" s="6">
        <f>IF(OR($BJ112="",12&gt;設定!$B$3),"",IF(INDEX(原始資料!O$2:O$501,$BJ112)="","",INDEX(原始資料!O$2:O$501,$BJ112)))</f>
        <v/>
      </c>
      <c r="N112" s="6">
        <f>IF(OR($BJ112="",13&gt;設定!$B$3),"",IF(INDEX(原始資料!P$2:P$501,$BJ112)="","",INDEX(原始資料!P$2:P$501,$BJ112)))</f>
        <v/>
      </c>
      <c r="O112" s="6">
        <f>IF(OR($BJ112="",14&gt;設定!$B$3),"",IF(INDEX(原始資料!Q$2:Q$501,$BJ112)="","",INDEX(原始資料!Q$2:Q$501,$BJ112)))</f>
        <v/>
      </c>
      <c r="P112" s="6">
        <f>IF(OR($BJ112="",15&gt;設定!$B$3),"",IF(INDEX(原始資料!R$2:R$501,$BJ112)="","",INDEX(原始資料!R$2:R$501,$BJ112)))</f>
        <v/>
      </c>
      <c r="Q112" s="6">
        <f>IF(OR($BJ112="",16&gt;設定!$B$3),"",IF(INDEX(原始資料!S$2:S$501,$BJ112)="","",INDEX(原始資料!S$2:S$501,$BJ112)))</f>
        <v/>
      </c>
      <c r="R112" s="6">
        <f>IF(OR($BJ112="",17&gt;設定!$B$3),"",IF(INDEX(原始資料!T$2:T$501,$BJ112)="","",INDEX(原始資料!T$2:T$501,$BJ112)))</f>
        <v/>
      </c>
      <c r="S112" s="6">
        <f>IF(OR($BJ112="",18&gt;設定!$B$3),"",IF(INDEX(原始資料!U$2:U$501,$BJ112)="","",INDEX(原始資料!U$2:U$501,$BJ112)))</f>
        <v/>
      </c>
      <c r="T112" s="6">
        <f>IF(OR($BJ112="",19&gt;設定!$B$3),"",IF(INDEX(原始資料!V$2:V$501,$BJ112)="","",INDEX(原始資料!V$2:V$501,$BJ112)))</f>
        <v/>
      </c>
      <c r="U112" s="6">
        <f>IF(OR($BJ112="",20&gt;設定!$B$3),"",IF(INDEX(原始資料!W$2:W$501,$BJ112)="","",INDEX(原始資料!W$2:W$501,$BJ112)))</f>
        <v/>
      </c>
      <c r="V112" s="6">
        <f>IF(OR($BJ112="",21&gt;設定!$B$3),"",IF(INDEX(原始資料!X$2:X$501,$BJ112)="","",INDEX(原始資料!X$2:X$501,$BJ112)))</f>
        <v/>
      </c>
      <c r="W112" s="6">
        <f>IF(OR($BJ112="",22&gt;設定!$B$3),"",IF(INDEX(原始資料!Y$2:Y$501,$BJ112)="","",INDEX(原始資料!Y$2:Y$501,$BJ112)))</f>
        <v/>
      </c>
      <c r="X112" s="6">
        <f>IF(OR($BJ112="",23&gt;設定!$B$3),"",IF(INDEX(原始資料!Z$2:Z$501,$BJ112)="","",INDEX(原始資料!Z$2:Z$501,$BJ112)))</f>
        <v/>
      </c>
      <c r="Y112" s="6">
        <f>IF(OR($BJ112="",24&gt;設定!$B$3),"",IF(INDEX(原始資料!AA$2:AA$501,$BJ112)="","",INDEX(原始資料!AA$2:AA$501,$BJ112)))</f>
        <v/>
      </c>
      <c r="Z112" s="6">
        <f>IF(OR($BJ112="",25&gt;設定!$B$3),"",IF(INDEX(原始資料!AB$2:AB$501,$BJ112)="","",INDEX(原始資料!AB$2:AB$501,$BJ112)))</f>
        <v/>
      </c>
      <c r="AA112" s="6">
        <f>IF(OR($BJ112="",26&gt;設定!$B$3),"",IF(INDEX(原始資料!AC$2:AC$501,$BJ112)="","",INDEX(原始資料!AC$2:AC$501,$BJ112)))</f>
        <v/>
      </c>
      <c r="AB112" s="6">
        <f>IF(OR($BJ112="",27&gt;設定!$B$3),"",IF(INDEX(原始資料!AD$2:AD$501,$BJ112)="","",INDEX(原始資料!AD$2:AD$501,$BJ112)))</f>
        <v/>
      </c>
      <c r="AC112" s="6">
        <f>IF(OR($BJ112="",28&gt;設定!$B$3),"",IF(INDEX(原始資料!AE$2:AE$501,$BJ112)="","",INDEX(原始資料!AE$2:AE$501,$BJ112)))</f>
        <v/>
      </c>
      <c r="AD112" s="6">
        <f>IF(OR($BJ112="",29&gt;設定!$B$3),"",IF(INDEX(原始資料!AF$2:AF$501,$BJ112)="","",INDEX(原始資料!AF$2:AF$501,$BJ112)))</f>
        <v/>
      </c>
      <c r="AE112" s="6">
        <f>IF(OR($BJ112="",30&gt;設定!$B$3),"",IF(INDEX(原始資料!AG$2:AG$501,$BJ112)="","",INDEX(原始資料!AG$2:AG$501,$BJ112)))</f>
        <v/>
      </c>
      <c r="AF112" s="6">
        <f>IF(OR($BJ112="",31&gt;設定!$B$3),"",IF(INDEX(原始資料!AH$2:AH$501,$BJ112)="","",INDEX(原始資料!AH$2:AH$501,$BJ112)))</f>
        <v/>
      </c>
      <c r="AG112" s="6">
        <f>IF(OR($BJ112="",32&gt;設定!$B$3),"",IF(INDEX(原始資料!AI$2:AI$501,$BJ112)="","",INDEX(原始資料!AI$2:AI$501,$BJ112)))</f>
        <v/>
      </c>
      <c r="AH112" s="6">
        <f>IF(OR($BJ112="",33&gt;設定!$B$3),"",IF(INDEX(原始資料!AJ$2:AJ$501,$BJ112)="","",INDEX(原始資料!AJ$2:AJ$501,$BJ112)))</f>
        <v/>
      </c>
      <c r="AI112" s="6">
        <f>IF(OR($BJ112="",34&gt;設定!$B$3),"",IF(INDEX(原始資料!AK$2:AK$501,$BJ112)="","",INDEX(原始資料!AK$2:AK$501,$BJ112)))</f>
        <v/>
      </c>
      <c r="AJ112" s="6">
        <f>IF(OR($BJ112="",35&gt;設定!$B$3),"",IF(INDEX(原始資料!AL$2:AL$501,$BJ112)="","",INDEX(原始資料!AL$2:AL$501,$BJ112)))</f>
        <v/>
      </c>
      <c r="AK112" s="6">
        <f>IF(OR($BJ112="",36&gt;設定!$B$3),"",IF(INDEX(原始資料!AM$2:AM$501,$BJ112)="","",INDEX(原始資料!AM$2:AM$501,$BJ112)))</f>
        <v/>
      </c>
      <c r="AL112" s="6">
        <f>IF(OR($BJ112="",37&gt;設定!$B$3),"",IF(INDEX(原始資料!AN$2:AN$501,$BJ112)="","",INDEX(原始資料!AN$2:AN$501,$BJ112)))</f>
        <v/>
      </c>
      <c r="AM112" s="6">
        <f>IF(OR($BJ112="",38&gt;設定!$B$3),"",IF(INDEX(原始資料!AO$2:AO$501,$BJ112)="","",INDEX(原始資料!AO$2:AO$501,$BJ112)))</f>
        <v/>
      </c>
      <c r="AN112" s="6">
        <f>IF(OR($BJ112="",39&gt;設定!$B$3),"",IF(INDEX(原始資料!AP$2:AP$501,$BJ112)="","",INDEX(原始資料!AP$2:AP$501,$BJ112)))</f>
        <v/>
      </c>
      <c r="AO112" s="6">
        <f>IF(OR($BJ112="",40&gt;設定!$B$3),"",IF(INDEX(原始資料!AQ$2:AQ$501,$BJ112)="","",INDEX(原始資料!AQ$2:AQ$501,$BJ112)))</f>
        <v/>
      </c>
      <c r="AP112" s="6">
        <f>IF(OR($BJ112="",41&gt;設定!$B$3),"",IF(INDEX(原始資料!AR$2:AR$501,$BJ112)="","",INDEX(原始資料!AR$2:AR$501,$BJ112)))</f>
        <v/>
      </c>
      <c r="AQ112" s="6">
        <f>IF(OR($BJ112="",42&gt;設定!$B$3),"",IF(INDEX(原始資料!AS$2:AS$501,$BJ112)="","",INDEX(原始資料!AS$2:AS$501,$BJ112)))</f>
        <v/>
      </c>
      <c r="AR112" s="6">
        <f>IF(OR($BJ112="",43&gt;設定!$B$3),"",IF(INDEX(原始資料!AT$2:AT$501,$BJ112)="","",INDEX(原始資料!AT$2:AT$501,$BJ112)))</f>
        <v/>
      </c>
      <c r="AS112" s="6">
        <f>IF(OR($BJ112="",44&gt;設定!$B$3),"",IF(INDEX(原始資料!AU$2:AU$501,$BJ112)="","",INDEX(原始資料!AU$2:AU$501,$BJ112)))</f>
        <v/>
      </c>
      <c r="AT112" s="6">
        <f>IF(OR($BJ112="",45&gt;設定!$B$3),"",IF(INDEX(原始資料!AV$2:AV$501,$BJ112)="","",INDEX(原始資料!AV$2:AV$501,$BJ112)))</f>
        <v/>
      </c>
      <c r="AU112" s="6">
        <f>IF(OR($BJ112="",46&gt;設定!$B$3),"",IF(INDEX(原始資料!AW$2:AW$501,$BJ112)="","",INDEX(原始資料!AW$2:AW$501,$BJ112)))</f>
        <v/>
      </c>
      <c r="AV112" s="6">
        <f>IF(OR($BJ112="",47&gt;設定!$B$3),"",IF(INDEX(原始資料!AX$2:AX$501,$BJ112)="","",INDEX(原始資料!AX$2:AX$501,$BJ112)))</f>
        <v/>
      </c>
      <c r="AW112" s="6">
        <f>IF(OR($BJ112="",48&gt;設定!$B$3),"",IF(INDEX(原始資料!AY$2:AY$501,$BJ112)="","",INDEX(原始資料!AY$2:AY$501,$BJ112)))</f>
        <v/>
      </c>
      <c r="AX112" s="6">
        <f>IF(OR($BJ112="",49&gt;設定!$B$3),"",IF(INDEX(原始資料!AZ$2:AZ$501,$BJ112)="","",INDEX(原始資料!AZ$2:AZ$501,$BJ112)))</f>
        <v/>
      </c>
      <c r="AY112" s="6">
        <f>IF(OR($BJ112="",50&gt;設定!$B$3),"",IF(INDEX(原始資料!BA$2:BA$501,$BJ112)="","",INDEX(原始資料!BA$2:BA$501,$BJ112)))</f>
        <v/>
      </c>
      <c r="AZ112" s="6">
        <f>IF(OR($BJ112="",51&gt;設定!$B$3),"",IF(INDEX(原始資料!BB$2:BB$501,$BJ112)="","",INDEX(原始資料!BB$2:BB$501,$BJ112)))</f>
        <v/>
      </c>
      <c r="BA112" s="6">
        <f>IF(OR($BJ112="",52&gt;設定!$B$3),"",IF(INDEX(原始資料!BC$2:BC$501,$BJ112)="","",INDEX(原始資料!BC$2:BC$501,$BJ112)))</f>
        <v/>
      </c>
      <c r="BB112" s="6">
        <f>IF(OR($BJ112="",53&gt;設定!$B$3),"",IF(INDEX(原始資料!BD$2:BD$501,$BJ112)="","",INDEX(原始資料!BD$2:BD$501,$BJ112)))</f>
        <v/>
      </c>
      <c r="BC112" s="6">
        <f>IF(OR($BJ112="",54&gt;設定!$B$3),"",IF(INDEX(原始資料!BE$2:BE$501,$BJ112)="","",INDEX(原始資料!BE$2:BE$501,$BJ112)))</f>
        <v/>
      </c>
      <c r="BD112" s="6">
        <f>IF(OR($BJ112="",55&gt;設定!$B$3),"",IF(INDEX(原始資料!BF$2:BF$501,$BJ112)="","",INDEX(原始資料!BF$2:BF$501,$BJ112)))</f>
        <v/>
      </c>
      <c r="BE112" s="6">
        <f>IF(OR($BJ112="",56&gt;設定!$B$3),"",IF(INDEX(原始資料!BG$2:BG$501,$BJ112)="","",INDEX(原始資料!BG$2:BG$501,$BJ112)))</f>
        <v/>
      </c>
      <c r="BF112" s="6">
        <f>IF(OR($BJ112="",57&gt;設定!$B$3),"",IF(INDEX(原始資料!BH$2:BH$501,$BJ112)="","",INDEX(原始資料!BH$2:BH$501,$BJ112)))</f>
        <v/>
      </c>
      <c r="BG112" s="6">
        <f>IF(OR($BJ112="",58&gt;設定!$B$3),"",IF(INDEX(原始資料!BI$2:BI$501,$BJ112)="","",INDEX(原始資料!BI$2:BI$501,$BJ112)))</f>
        <v/>
      </c>
      <c r="BH112" s="6">
        <f>IF(OR($BJ112="",59&gt;設定!$B$3),"",IF(INDEX(原始資料!BJ$2:BJ$501,$BJ112)="","",INDEX(原始資料!BJ$2:BJ$501,$BJ112)))</f>
        <v/>
      </c>
      <c r="BI112" s="6">
        <f>IF(OR($BJ112="",60&gt;設定!$B$3),"",IF(INDEX(原始資料!BK$2:BK$501,$BJ112)="","",INDEX(原始資料!BK$2:BK$501,$BJ112)))</f>
        <v/>
      </c>
      <c r="BJ112" s="6">
        <f>IFERROR(MATCH(ROW()-1,判定!$H$2:$H$501,0),"")</f>
        <v/>
      </c>
    </row>
    <row r="113">
      <c r="A113" s="6">
        <f>IF($BJ113="","",INDEX(原始資料!$A$2:$A$501,$BJ113))</f>
        <v/>
      </c>
      <c r="B113" s="6">
        <f>IF(OR($BJ113="",1&gt;設定!$B$3),"",IF(INDEX(原始資料!D$2:D$501,$BJ113)="","",INDEX(原始資料!D$2:D$501,$BJ113)))</f>
        <v/>
      </c>
      <c r="C113" s="6">
        <f>IF(OR($BJ113="",2&gt;設定!$B$3),"",IF(INDEX(原始資料!E$2:E$501,$BJ113)="","",INDEX(原始資料!E$2:E$501,$BJ113)))</f>
        <v/>
      </c>
      <c r="D113" s="6">
        <f>IF(OR($BJ113="",3&gt;設定!$B$3),"",IF(INDEX(原始資料!F$2:F$501,$BJ113)="","",INDEX(原始資料!F$2:F$501,$BJ113)))</f>
        <v/>
      </c>
      <c r="E113" s="6">
        <f>IF(OR($BJ113="",4&gt;設定!$B$3),"",IF(INDEX(原始資料!G$2:G$501,$BJ113)="","",INDEX(原始資料!G$2:G$501,$BJ113)))</f>
        <v/>
      </c>
      <c r="F113" s="6">
        <f>IF(OR($BJ113="",5&gt;設定!$B$3),"",IF(INDEX(原始資料!H$2:H$501,$BJ113)="","",INDEX(原始資料!H$2:H$501,$BJ113)))</f>
        <v/>
      </c>
      <c r="G113" s="6">
        <f>IF(OR($BJ113="",6&gt;設定!$B$3),"",IF(INDEX(原始資料!I$2:I$501,$BJ113)="","",INDEX(原始資料!I$2:I$501,$BJ113)))</f>
        <v/>
      </c>
      <c r="H113" s="6">
        <f>IF(OR($BJ113="",7&gt;設定!$B$3),"",IF(INDEX(原始資料!J$2:J$501,$BJ113)="","",INDEX(原始資料!J$2:J$501,$BJ113)))</f>
        <v/>
      </c>
      <c r="I113" s="6">
        <f>IF(OR($BJ113="",8&gt;設定!$B$3),"",IF(INDEX(原始資料!K$2:K$501,$BJ113)="","",INDEX(原始資料!K$2:K$501,$BJ113)))</f>
        <v/>
      </c>
      <c r="J113" s="6">
        <f>IF(OR($BJ113="",9&gt;設定!$B$3),"",IF(INDEX(原始資料!L$2:L$501,$BJ113)="","",INDEX(原始資料!L$2:L$501,$BJ113)))</f>
        <v/>
      </c>
      <c r="K113" s="6">
        <f>IF(OR($BJ113="",10&gt;設定!$B$3),"",IF(INDEX(原始資料!M$2:M$501,$BJ113)="","",INDEX(原始資料!M$2:M$501,$BJ113)))</f>
        <v/>
      </c>
      <c r="L113" s="6">
        <f>IF(OR($BJ113="",11&gt;設定!$B$3),"",IF(INDEX(原始資料!N$2:N$501,$BJ113)="","",INDEX(原始資料!N$2:N$501,$BJ113)))</f>
        <v/>
      </c>
      <c r="M113" s="6">
        <f>IF(OR($BJ113="",12&gt;設定!$B$3),"",IF(INDEX(原始資料!O$2:O$501,$BJ113)="","",INDEX(原始資料!O$2:O$501,$BJ113)))</f>
        <v/>
      </c>
      <c r="N113" s="6">
        <f>IF(OR($BJ113="",13&gt;設定!$B$3),"",IF(INDEX(原始資料!P$2:P$501,$BJ113)="","",INDEX(原始資料!P$2:P$501,$BJ113)))</f>
        <v/>
      </c>
      <c r="O113" s="6">
        <f>IF(OR($BJ113="",14&gt;設定!$B$3),"",IF(INDEX(原始資料!Q$2:Q$501,$BJ113)="","",INDEX(原始資料!Q$2:Q$501,$BJ113)))</f>
        <v/>
      </c>
      <c r="P113" s="6">
        <f>IF(OR($BJ113="",15&gt;設定!$B$3),"",IF(INDEX(原始資料!R$2:R$501,$BJ113)="","",INDEX(原始資料!R$2:R$501,$BJ113)))</f>
        <v/>
      </c>
      <c r="Q113" s="6">
        <f>IF(OR($BJ113="",16&gt;設定!$B$3),"",IF(INDEX(原始資料!S$2:S$501,$BJ113)="","",INDEX(原始資料!S$2:S$501,$BJ113)))</f>
        <v/>
      </c>
      <c r="R113" s="6">
        <f>IF(OR($BJ113="",17&gt;設定!$B$3),"",IF(INDEX(原始資料!T$2:T$501,$BJ113)="","",INDEX(原始資料!T$2:T$501,$BJ113)))</f>
        <v/>
      </c>
      <c r="S113" s="6">
        <f>IF(OR($BJ113="",18&gt;設定!$B$3),"",IF(INDEX(原始資料!U$2:U$501,$BJ113)="","",INDEX(原始資料!U$2:U$501,$BJ113)))</f>
        <v/>
      </c>
      <c r="T113" s="6">
        <f>IF(OR($BJ113="",19&gt;設定!$B$3),"",IF(INDEX(原始資料!V$2:V$501,$BJ113)="","",INDEX(原始資料!V$2:V$501,$BJ113)))</f>
        <v/>
      </c>
      <c r="U113" s="6">
        <f>IF(OR($BJ113="",20&gt;設定!$B$3),"",IF(INDEX(原始資料!W$2:W$501,$BJ113)="","",INDEX(原始資料!W$2:W$501,$BJ113)))</f>
        <v/>
      </c>
      <c r="V113" s="6">
        <f>IF(OR($BJ113="",21&gt;設定!$B$3),"",IF(INDEX(原始資料!X$2:X$501,$BJ113)="","",INDEX(原始資料!X$2:X$501,$BJ113)))</f>
        <v/>
      </c>
      <c r="W113" s="6">
        <f>IF(OR($BJ113="",22&gt;設定!$B$3),"",IF(INDEX(原始資料!Y$2:Y$501,$BJ113)="","",INDEX(原始資料!Y$2:Y$501,$BJ113)))</f>
        <v/>
      </c>
      <c r="X113" s="6">
        <f>IF(OR($BJ113="",23&gt;設定!$B$3),"",IF(INDEX(原始資料!Z$2:Z$501,$BJ113)="","",INDEX(原始資料!Z$2:Z$501,$BJ113)))</f>
        <v/>
      </c>
      <c r="Y113" s="6">
        <f>IF(OR($BJ113="",24&gt;設定!$B$3),"",IF(INDEX(原始資料!AA$2:AA$501,$BJ113)="","",INDEX(原始資料!AA$2:AA$501,$BJ113)))</f>
        <v/>
      </c>
      <c r="Z113" s="6">
        <f>IF(OR($BJ113="",25&gt;設定!$B$3),"",IF(INDEX(原始資料!AB$2:AB$501,$BJ113)="","",INDEX(原始資料!AB$2:AB$501,$BJ113)))</f>
        <v/>
      </c>
      <c r="AA113" s="6">
        <f>IF(OR($BJ113="",26&gt;設定!$B$3),"",IF(INDEX(原始資料!AC$2:AC$501,$BJ113)="","",INDEX(原始資料!AC$2:AC$501,$BJ113)))</f>
        <v/>
      </c>
      <c r="AB113" s="6">
        <f>IF(OR($BJ113="",27&gt;設定!$B$3),"",IF(INDEX(原始資料!AD$2:AD$501,$BJ113)="","",INDEX(原始資料!AD$2:AD$501,$BJ113)))</f>
        <v/>
      </c>
      <c r="AC113" s="6">
        <f>IF(OR($BJ113="",28&gt;設定!$B$3),"",IF(INDEX(原始資料!AE$2:AE$501,$BJ113)="","",INDEX(原始資料!AE$2:AE$501,$BJ113)))</f>
        <v/>
      </c>
      <c r="AD113" s="6">
        <f>IF(OR($BJ113="",29&gt;設定!$B$3),"",IF(INDEX(原始資料!AF$2:AF$501,$BJ113)="","",INDEX(原始資料!AF$2:AF$501,$BJ113)))</f>
        <v/>
      </c>
      <c r="AE113" s="6">
        <f>IF(OR($BJ113="",30&gt;設定!$B$3),"",IF(INDEX(原始資料!AG$2:AG$501,$BJ113)="","",INDEX(原始資料!AG$2:AG$501,$BJ113)))</f>
        <v/>
      </c>
      <c r="AF113" s="6">
        <f>IF(OR($BJ113="",31&gt;設定!$B$3),"",IF(INDEX(原始資料!AH$2:AH$501,$BJ113)="","",INDEX(原始資料!AH$2:AH$501,$BJ113)))</f>
        <v/>
      </c>
      <c r="AG113" s="6">
        <f>IF(OR($BJ113="",32&gt;設定!$B$3),"",IF(INDEX(原始資料!AI$2:AI$501,$BJ113)="","",INDEX(原始資料!AI$2:AI$501,$BJ113)))</f>
        <v/>
      </c>
      <c r="AH113" s="6">
        <f>IF(OR($BJ113="",33&gt;設定!$B$3),"",IF(INDEX(原始資料!AJ$2:AJ$501,$BJ113)="","",INDEX(原始資料!AJ$2:AJ$501,$BJ113)))</f>
        <v/>
      </c>
      <c r="AI113" s="6">
        <f>IF(OR($BJ113="",34&gt;設定!$B$3),"",IF(INDEX(原始資料!AK$2:AK$501,$BJ113)="","",INDEX(原始資料!AK$2:AK$501,$BJ113)))</f>
        <v/>
      </c>
      <c r="AJ113" s="6">
        <f>IF(OR($BJ113="",35&gt;設定!$B$3),"",IF(INDEX(原始資料!AL$2:AL$501,$BJ113)="","",INDEX(原始資料!AL$2:AL$501,$BJ113)))</f>
        <v/>
      </c>
      <c r="AK113" s="6">
        <f>IF(OR($BJ113="",36&gt;設定!$B$3),"",IF(INDEX(原始資料!AM$2:AM$501,$BJ113)="","",INDEX(原始資料!AM$2:AM$501,$BJ113)))</f>
        <v/>
      </c>
      <c r="AL113" s="6">
        <f>IF(OR($BJ113="",37&gt;設定!$B$3),"",IF(INDEX(原始資料!AN$2:AN$501,$BJ113)="","",INDEX(原始資料!AN$2:AN$501,$BJ113)))</f>
        <v/>
      </c>
      <c r="AM113" s="6">
        <f>IF(OR($BJ113="",38&gt;設定!$B$3),"",IF(INDEX(原始資料!AO$2:AO$501,$BJ113)="","",INDEX(原始資料!AO$2:AO$501,$BJ113)))</f>
        <v/>
      </c>
      <c r="AN113" s="6">
        <f>IF(OR($BJ113="",39&gt;設定!$B$3),"",IF(INDEX(原始資料!AP$2:AP$501,$BJ113)="","",INDEX(原始資料!AP$2:AP$501,$BJ113)))</f>
        <v/>
      </c>
      <c r="AO113" s="6">
        <f>IF(OR($BJ113="",40&gt;設定!$B$3),"",IF(INDEX(原始資料!AQ$2:AQ$501,$BJ113)="","",INDEX(原始資料!AQ$2:AQ$501,$BJ113)))</f>
        <v/>
      </c>
      <c r="AP113" s="6">
        <f>IF(OR($BJ113="",41&gt;設定!$B$3),"",IF(INDEX(原始資料!AR$2:AR$501,$BJ113)="","",INDEX(原始資料!AR$2:AR$501,$BJ113)))</f>
        <v/>
      </c>
      <c r="AQ113" s="6">
        <f>IF(OR($BJ113="",42&gt;設定!$B$3),"",IF(INDEX(原始資料!AS$2:AS$501,$BJ113)="","",INDEX(原始資料!AS$2:AS$501,$BJ113)))</f>
        <v/>
      </c>
      <c r="AR113" s="6">
        <f>IF(OR($BJ113="",43&gt;設定!$B$3),"",IF(INDEX(原始資料!AT$2:AT$501,$BJ113)="","",INDEX(原始資料!AT$2:AT$501,$BJ113)))</f>
        <v/>
      </c>
      <c r="AS113" s="6">
        <f>IF(OR($BJ113="",44&gt;設定!$B$3),"",IF(INDEX(原始資料!AU$2:AU$501,$BJ113)="","",INDEX(原始資料!AU$2:AU$501,$BJ113)))</f>
        <v/>
      </c>
      <c r="AT113" s="6">
        <f>IF(OR($BJ113="",45&gt;設定!$B$3),"",IF(INDEX(原始資料!AV$2:AV$501,$BJ113)="","",INDEX(原始資料!AV$2:AV$501,$BJ113)))</f>
        <v/>
      </c>
      <c r="AU113" s="6">
        <f>IF(OR($BJ113="",46&gt;設定!$B$3),"",IF(INDEX(原始資料!AW$2:AW$501,$BJ113)="","",INDEX(原始資料!AW$2:AW$501,$BJ113)))</f>
        <v/>
      </c>
      <c r="AV113" s="6">
        <f>IF(OR($BJ113="",47&gt;設定!$B$3),"",IF(INDEX(原始資料!AX$2:AX$501,$BJ113)="","",INDEX(原始資料!AX$2:AX$501,$BJ113)))</f>
        <v/>
      </c>
      <c r="AW113" s="6">
        <f>IF(OR($BJ113="",48&gt;設定!$B$3),"",IF(INDEX(原始資料!AY$2:AY$501,$BJ113)="","",INDEX(原始資料!AY$2:AY$501,$BJ113)))</f>
        <v/>
      </c>
      <c r="AX113" s="6">
        <f>IF(OR($BJ113="",49&gt;設定!$B$3),"",IF(INDEX(原始資料!AZ$2:AZ$501,$BJ113)="","",INDEX(原始資料!AZ$2:AZ$501,$BJ113)))</f>
        <v/>
      </c>
      <c r="AY113" s="6">
        <f>IF(OR($BJ113="",50&gt;設定!$B$3),"",IF(INDEX(原始資料!BA$2:BA$501,$BJ113)="","",INDEX(原始資料!BA$2:BA$501,$BJ113)))</f>
        <v/>
      </c>
      <c r="AZ113" s="6">
        <f>IF(OR($BJ113="",51&gt;設定!$B$3),"",IF(INDEX(原始資料!BB$2:BB$501,$BJ113)="","",INDEX(原始資料!BB$2:BB$501,$BJ113)))</f>
        <v/>
      </c>
      <c r="BA113" s="6">
        <f>IF(OR($BJ113="",52&gt;設定!$B$3),"",IF(INDEX(原始資料!BC$2:BC$501,$BJ113)="","",INDEX(原始資料!BC$2:BC$501,$BJ113)))</f>
        <v/>
      </c>
      <c r="BB113" s="6">
        <f>IF(OR($BJ113="",53&gt;設定!$B$3),"",IF(INDEX(原始資料!BD$2:BD$501,$BJ113)="","",INDEX(原始資料!BD$2:BD$501,$BJ113)))</f>
        <v/>
      </c>
      <c r="BC113" s="6">
        <f>IF(OR($BJ113="",54&gt;設定!$B$3),"",IF(INDEX(原始資料!BE$2:BE$501,$BJ113)="","",INDEX(原始資料!BE$2:BE$501,$BJ113)))</f>
        <v/>
      </c>
      <c r="BD113" s="6">
        <f>IF(OR($BJ113="",55&gt;設定!$B$3),"",IF(INDEX(原始資料!BF$2:BF$501,$BJ113)="","",INDEX(原始資料!BF$2:BF$501,$BJ113)))</f>
        <v/>
      </c>
      <c r="BE113" s="6">
        <f>IF(OR($BJ113="",56&gt;設定!$B$3),"",IF(INDEX(原始資料!BG$2:BG$501,$BJ113)="","",INDEX(原始資料!BG$2:BG$501,$BJ113)))</f>
        <v/>
      </c>
      <c r="BF113" s="6">
        <f>IF(OR($BJ113="",57&gt;設定!$B$3),"",IF(INDEX(原始資料!BH$2:BH$501,$BJ113)="","",INDEX(原始資料!BH$2:BH$501,$BJ113)))</f>
        <v/>
      </c>
      <c r="BG113" s="6">
        <f>IF(OR($BJ113="",58&gt;設定!$B$3),"",IF(INDEX(原始資料!BI$2:BI$501,$BJ113)="","",INDEX(原始資料!BI$2:BI$501,$BJ113)))</f>
        <v/>
      </c>
      <c r="BH113" s="6">
        <f>IF(OR($BJ113="",59&gt;設定!$B$3),"",IF(INDEX(原始資料!BJ$2:BJ$501,$BJ113)="","",INDEX(原始資料!BJ$2:BJ$501,$BJ113)))</f>
        <v/>
      </c>
      <c r="BI113" s="6">
        <f>IF(OR($BJ113="",60&gt;設定!$B$3),"",IF(INDEX(原始資料!BK$2:BK$501,$BJ113)="","",INDEX(原始資料!BK$2:BK$501,$BJ113)))</f>
        <v/>
      </c>
      <c r="BJ113" s="6">
        <f>IFERROR(MATCH(ROW()-1,判定!$H$2:$H$501,0),"")</f>
        <v/>
      </c>
    </row>
    <row r="114">
      <c r="A114" s="6">
        <f>IF($BJ114="","",INDEX(原始資料!$A$2:$A$501,$BJ114))</f>
        <v/>
      </c>
      <c r="B114" s="6">
        <f>IF(OR($BJ114="",1&gt;設定!$B$3),"",IF(INDEX(原始資料!D$2:D$501,$BJ114)="","",INDEX(原始資料!D$2:D$501,$BJ114)))</f>
        <v/>
      </c>
      <c r="C114" s="6">
        <f>IF(OR($BJ114="",2&gt;設定!$B$3),"",IF(INDEX(原始資料!E$2:E$501,$BJ114)="","",INDEX(原始資料!E$2:E$501,$BJ114)))</f>
        <v/>
      </c>
      <c r="D114" s="6">
        <f>IF(OR($BJ114="",3&gt;設定!$B$3),"",IF(INDEX(原始資料!F$2:F$501,$BJ114)="","",INDEX(原始資料!F$2:F$501,$BJ114)))</f>
        <v/>
      </c>
      <c r="E114" s="6">
        <f>IF(OR($BJ114="",4&gt;設定!$B$3),"",IF(INDEX(原始資料!G$2:G$501,$BJ114)="","",INDEX(原始資料!G$2:G$501,$BJ114)))</f>
        <v/>
      </c>
      <c r="F114" s="6">
        <f>IF(OR($BJ114="",5&gt;設定!$B$3),"",IF(INDEX(原始資料!H$2:H$501,$BJ114)="","",INDEX(原始資料!H$2:H$501,$BJ114)))</f>
        <v/>
      </c>
      <c r="G114" s="6">
        <f>IF(OR($BJ114="",6&gt;設定!$B$3),"",IF(INDEX(原始資料!I$2:I$501,$BJ114)="","",INDEX(原始資料!I$2:I$501,$BJ114)))</f>
        <v/>
      </c>
      <c r="H114" s="6">
        <f>IF(OR($BJ114="",7&gt;設定!$B$3),"",IF(INDEX(原始資料!J$2:J$501,$BJ114)="","",INDEX(原始資料!J$2:J$501,$BJ114)))</f>
        <v/>
      </c>
      <c r="I114" s="6">
        <f>IF(OR($BJ114="",8&gt;設定!$B$3),"",IF(INDEX(原始資料!K$2:K$501,$BJ114)="","",INDEX(原始資料!K$2:K$501,$BJ114)))</f>
        <v/>
      </c>
      <c r="J114" s="6">
        <f>IF(OR($BJ114="",9&gt;設定!$B$3),"",IF(INDEX(原始資料!L$2:L$501,$BJ114)="","",INDEX(原始資料!L$2:L$501,$BJ114)))</f>
        <v/>
      </c>
      <c r="K114" s="6">
        <f>IF(OR($BJ114="",10&gt;設定!$B$3),"",IF(INDEX(原始資料!M$2:M$501,$BJ114)="","",INDEX(原始資料!M$2:M$501,$BJ114)))</f>
        <v/>
      </c>
      <c r="L114" s="6">
        <f>IF(OR($BJ114="",11&gt;設定!$B$3),"",IF(INDEX(原始資料!N$2:N$501,$BJ114)="","",INDEX(原始資料!N$2:N$501,$BJ114)))</f>
        <v/>
      </c>
      <c r="M114" s="6">
        <f>IF(OR($BJ114="",12&gt;設定!$B$3),"",IF(INDEX(原始資料!O$2:O$501,$BJ114)="","",INDEX(原始資料!O$2:O$501,$BJ114)))</f>
        <v/>
      </c>
      <c r="N114" s="6">
        <f>IF(OR($BJ114="",13&gt;設定!$B$3),"",IF(INDEX(原始資料!P$2:P$501,$BJ114)="","",INDEX(原始資料!P$2:P$501,$BJ114)))</f>
        <v/>
      </c>
      <c r="O114" s="6">
        <f>IF(OR($BJ114="",14&gt;設定!$B$3),"",IF(INDEX(原始資料!Q$2:Q$501,$BJ114)="","",INDEX(原始資料!Q$2:Q$501,$BJ114)))</f>
        <v/>
      </c>
      <c r="P114" s="6">
        <f>IF(OR($BJ114="",15&gt;設定!$B$3),"",IF(INDEX(原始資料!R$2:R$501,$BJ114)="","",INDEX(原始資料!R$2:R$501,$BJ114)))</f>
        <v/>
      </c>
      <c r="Q114" s="6">
        <f>IF(OR($BJ114="",16&gt;設定!$B$3),"",IF(INDEX(原始資料!S$2:S$501,$BJ114)="","",INDEX(原始資料!S$2:S$501,$BJ114)))</f>
        <v/>
      </c>
      <c r="R114" s="6">
        <f>IF(OR($BJ114="",17&gt;設定!$B$3),"",IF(INDEX(原始資料!T$2:T$501,$BJ114)="","",INDEX(原始資料!T$2:T$501,$BJ114)))</f>
        <v/>
      </c>
      <c r="S114" s="6">
        <f>IF(OR($BJ114="",18&gt;設定!$B$3),"",IF(INDEX(原始資料!U$2:U$501,$BJ114)="","",INDEX(原始資料!U$2:U$501,$BJ114)))</f>
        <v/>
      </c>
      <c r="T114" s="6">
        <f>IF(OR($BJ114="",19&gt;設定!$B$3),"",IF(INDEX(原始資料!V$2:V$501,$BJ114)="","",INDEX(原始資料!V$2:V$501,$BJ114)))</f>
        <v/>
      </c>
      <c r="U114" s="6">
        <f>IF(OR($BJ114="",20&gt;設定!$B$3),"",IF(INDEX(原始資料!W$2:W$501,$BJ114)="","",INDEX(原始資料!W$2:W$501,$BJ114)))</f>
        <v/>
      </c>
      <c r="V114" s="6">
        <f>IF(OR($BJ114="",21&gt;設定!$B$3),"",IF(INDEX(原始資料!X$2:X$501,$BJ114)="","",INDEX(原始資料!X$2:X$501,$BJ114)))</f>
        <v/>
      </c>
      <c r="W114" s="6">
        <f>IF(OR($BJ114="",22&gt;設定!$B$3),"",IF(INDEX(原始資料!Y$2:Y$501,$BJ114)="","",INDEX(原始資料!Y$2:Y$501,$BJ114)))</f>
        <v/>
      </c>
      <c r="X114" s="6">
        <f>IF(OR($BJ114="",23&gt;設定!$B$3),"",IF(INDEX(原始資料!Z$2:Z$501,$BJ114)="","",INDEX(原始資料!Z$2:Z$501,$BJ114)))</f>
        <v/>
      </c>
      <c r="Y114" s="6">
        <f>IF(OR($BJ114="",24&gt;設定!$B$3),"",IF(INDEX(原始資料!AA$2:AA$501,$BJ114)="","",INDEX(原始資料!AA$2:AA$501,$BJ114)))</f>
        <v/>
      </c>
      <c r="Z114" s="6">
        <f>IF(OR($BJ114="",25&gt;設定!$B$3),"",IF(INDEX(原始資料!AB$2:AB$501,$BJ114)="","",INDEX(原始資料!AB$2:AB$501,$BJ114)))</f>
        <v/>
      </c>
      <c r="AA114" s="6">
        <f>IF(OR($BJ114="",26&gt;設定!$B$3),"",IF(INDEX(原始資料!AC$2:AC$501,$BJ114)="","",INDEX(原始資料!AC$2:AC$501,$BJ114)))</f>
        <v/>
      </c>
      <c r="AB114" s="6">
        <f>IF(OR($BJ114="",27&gt;設定!$B$3),"",IF(INDEX(原始資料!AD$2:AD$501,$BJ114)="","",INDEX(原始資料!AD$2:AD$501,$BJ114)))</f>
        <v/>
      </c>
      <c r="AC114" s="6">
        <f>IF(OR($BJ114="",28&gt;設定!$B$3),"",IF(INDEX(原始資料!AE$2:AE$501,$BJ114)="","",INDEX(原始資料!AE$2:AE$501,$BJ114)))</f>
        <v/>
      </c>
      <c r="AD114" s="6">
        <f>IF(OR($BJ114="",29&gt;設定!$B$3),"",IF(INDEX(原始資料!AF$2:AF$501,$BJ114)="","",INDEX(原始資料!AF$2:AF$501,$BJ114)))</f>
        <v/>
      </c>
      <c r="AE114" s="6">
        <f>IF(OR($BJ114="",30&gt;設定!$B$3),"",IF(INDEX(原始資料!AG$2:AG$501,$BJ114)="","",INDEX(原始資料!AG$2:AG$501,$BJ114)))</f>
        <v/>
      </c>
      <c r="AF114" s="6">
        <f>IF(OR($BJ114="",31&gt;設定!$B$3),"",IF(INDEX(原始資料!AH$2:AH$501,$BJ114)="","",INDEX(原始資料!AH$2:AH$501,$BJ114)))</f>
        <v/>
      </c>
      <c r="AG114" s="6">
        <f>IF(OR($BJ114="",32&gt;設定!$B$3),"",IF(INDEX(原始資料!AI$2:AI$501,$BJ114)="","",INDEX(原始資料!AI$2:AI$501,$BJ114)))</f>
        <v/>
      </c>
      <c r="AH114" s="6">
        <f>IF(OR($BJ114="",33&gt;設定!$B$3),"",IF(INDEX(原始資料!AJ$2:AJ$501,$BJ114)="","",INDEX(原始資料!AJ$2:AJ$501,$BJ114)))</f>
        <v/>
      </c>
      <c r="AI114" s="6">
        <f>IF(OR($BJ114="",34&gt;設定!$B$3),"",IF(INDEX(原始資料!AK$2:AK$501,$BJ114)="","",INDEX(原始資料!AK$2:AK$501,$BJ114)))</f>
        <v/>
      </c>
      <c r="AJ114" s="6">
        <f>IF(OR($BJ114="",35&gt;設定!$B$3),"",IF(INDEX(原始資料!AL$2:AL$501,$BJ114)="","",INDEX(原始資料!AL$2:AL$501,$BJ114)))</f>
        <v/>
      </c>
      <c r="AK114" s="6">
        <f>IF(OR($BJ114="",36&gt;設定!$B$3),"",IF(INDEX(原始資料!AM$2:AM$501,$BJ114)="","",INDEX(原始資料!AM$2:AM$501,$BJ114)))</f>
        <v/>
      </c>
      <c r="AL114" s="6">
        <f>IF(OR($BJ114="",37&gt;設定!$B$3),"",IF(INDEX(原始資料!AN$2:AN$501,$BJ114)="","",INDEX(原始資料!AN$2:AN$501,$BJ114)))</f>
        <v/>
      </c>
      <c r="AM114" s="6">
        <f>IF(OR($BJ114="",38&gt;設定!$B$3),"",IF(INDEX(原始資料!AO$2:AO$501,$BJ114)="","",INDEX(原始資料!AO$2:AO$501,$BJ114)))</f>
        <v/>
      </c>
      <c r="AN114" s="6">
        <f>IF(OR($BJ114="",39&gt;設定!$B$3),"",IF(INDEX(原始資料!AP$2:AP$501,$BJ114)="","",INDEX(原始資料!AP$2:AP$501,$BJ114)))</f>
        <v/>
      </c>
      <c r="AO114" s="6">
        <f>IF(OR($BJ114="",40&gt;設定!$B$3),"",IF(INDEX(原始資料!AQ$2:AQ$501,$BJ114)="","",INDEX(原始資料!AQ$2:AQ$501,$BJ114)))</f>
        <v/>
      </c>
      <c r="AP114" s="6">
        <f>IF(OR($BJ114="",41&gt;設定!$B$3),"",IF(INDEX(原始資料!AR$2:AR$501,$BJ114)="","",INDEX(原始資料!AR$2:AR$501,$BJ114)))</f>
        <v/>
      </c>
      <c r="AQ114" s="6">
        <f>IF(OR($BJ114="",42&gt;設定!$B$3),"",IF(INDEX(原始資料!AS$2:AS$501,$BJ114)="","",INDEX(原始資料!AS$2:AS$501,$BJ114)))</f>
        <v/>
      </c>
      <c r="AR114" s="6">
        <f>IF(OR($BJ114="",43&gt;設定!$B$3),"",IF(INDEX(原始資料!AT$2:AT$501,$BJ114)="","",INDEX(原始資料!AT$2:AT$501,$BJ114)))</f>
        <v/>
      </c>
      <c r="AS114" s="6">
        <f>IF(OR($BJ114="",44&gt;設定!$B$3),"",IF(INDEX(原始資料!AU$2:AU$501,$BJ114)="","",INDEX(原始資料!AU$2:AU$501,$BJ114)))</f>
        <v/>
      </c>
      <c r="AT114" s="6">
        <f>IF(OR($BJ114="",45&gt;設定!$B$3),"",IF(INDEX(原始資料!AV$2:AV$501,$BJ114)="","",INDEX(原始資料!AV$2:AV$501,$BJ114)))</f>
        <v/>
      </c>
      <c r="AU114" s="6">
        <f>IF(OR($BJ114="",46&gt;設定!$B$3),"",IF(INDEX(原始資料!AW$2:AW$501,$BJ114)="","",INDEX(原始資料!AW$2:AW$501,$BJ114)))</f>
        <v/>
      </c>
      <c r="AV114" s="6">
        <f>IF(OR($BJ114="",47&gt;設定!$B$3),"",IF(INDEX(原始資料!AX$2:AX$501,$BJ114)="","",INDEX(原始資料!AX$2:AX$501,$BJ114)))</f>
        <v/>
      </c>
      <c r="AW114" s="6">
        <f>IF(OR($BJ114="",48&gt;設定!$B$3),"",IF(INDEX(原始資料!AY$2:AY$501,$BJ114)="","",INDEX(原始資料!AY$2:AY$501,$BJ114)))</f>
        <v/>
      </c>
      <c r="AX114" s="6">
        <f>IF(OR($BJ114="",49&gt;設定!$B$3),"",IF(INDEX(原始資料!AZ$2:AZ$501,$BJ114)="","",INDEX(原始資料!AZ$2:AZ$501,$BJ114)))</f>
        <v/>
      </c>
      <c r="AY114" s="6">
        <f>IF(OR($BJ114="",50&gt;設定!$B$3),"",IF(INDEX(原始資料!BA$2:BA$501,$BJ114)="","",INDEX(原始資料!BA$2:BA$501,$BJ114)))</f>
        <v/>
      </c>
      <c r="AZ114" s="6">
        <f>IF(OR($BJ114="",51&gt;設定!$B$3),"",IF(INDEX(原始資料!BB$2:BB$501,$BJ114)="","",INDEX(原始資料!BB$2:BB$501,$BJ114)))</f>
        <v/>
      </c>
      <c r="BA114" s="6">
        <f>IF(OR($BJ114="",52&gt;設定!$B$3),"",IF(INDEX(原始資料!BC$2:BC$501,$BJ114)="","",INDEX(原始資料!BC$2:BC$501,$BJ114)))</f>
        <v/>
      </c>
      <c r="BB114" s="6">
        <f>IF(OR($BJ114="",53&gt;設定!$B$3),"",IF(INDEX(原始資料!BD$2:BD$501,$BJ114)="","",INDEX(原始資料!BD$2:BD$501,$BJ114)))</f>
        <v/>
      </c>
      <c r="BC114" s="6">
        <f>IF(OR($BJ114="",54&gt;設定!$B$3),"",IF(INDEX(原始資料!BE$2:BE$501,$BJ114)="","",INDEX(原始資料!BE$2:BE$501,$BJ114)))</f>
        <v/>
      </c>
      <c r="BD114" s="6">
        <f>IF(OR($BJ114="",55&gt;設定!$B$3),"",IF(INDEX(原始資料!BF$2:BF$501,$BJ114)="","",INDEX(原始資料!BF$2:BF$501,$BJ114)))</f>
        <v/>
      </c>
      <c r="BE114" s="6">
        <f>IF(OR($BJ114="",56&gt;設定!$B$3),"",IF(INDEX(原始資料!BG$2:BG$501,$BJ114)="","",INDEX(原始資料!BG$2:BG$501,$BJ114)))</f>
        <v/>
      </c>
      <c r="BF114" s="6">
        <f>IF(OR($BJ114="",57&gt;設定!$B$3),"",IF(INDEX(原始資料!BH$2:BH$501,$BJ114)="","",INDEX(原始資料!BH$2:BH$501,$BJ114)))</f>
        <v/>
      </c>
      <c r="BG114" s="6">
        <f>IF(OR($BJ114="",58&gt;設定!$B$3),"",IF(INDEX(原始資料!BI$2:BI$501,$BJ114)="","",INDEX(原始資料!BI$2:BI$501,$BJ114)))</f>
        <v/>
      </c>
      <c r="BH114" s="6">
        <f>IF(OR($BJ114="",59&gt;設定!$B$3),"",IF(INDEX(原始資料!BJ$2:BJ$501,$BJ114)="","",INDEX(原始資料!BJ$2:BJ$501,$BJ114)))</f>
        <v/>
      </c>
      <c r="BI114" s="6">
        <f>IF(OR($BJ114="",60&gt;設定!$B$3),"",IF(INDEX(原始資料!BK$2:BK$501,$BJ114)="","",INDEX(原始資料!BK$2:BK$501,$BJ114)))</f>
        <v/>
      </c>
      <c r="BJ114" s="6">
        <f>IFERROR(MATCH(ROW()-1,判定!$H$2:$H$501,0),"")</f>
        <v/>
      </c>
    </row>
    <row r="115">
      <c r="A115" s="6">
        <f>IF($BJ115="","",INDEX(原始資料!$A$2:$A$501,$BJ115))</f>
        <v/>
      </c>
      <c r="B115" s="6">
        <f>IF(OR($BJ115="",1&gt;設定!$B$3),"",IF(INDEX(原始資料!D$2:D$501,$BJ115)="","",INDEX(原始資料!D$2:D$501,$BJ115)))</f>
        <v/>
      </c>
      <c r="C115" s="6">
        <f>IF(OR($BJ115="",2&gt;設定!$B$3),"",IF(INDEX(原始資料!E$2:E$501,$BJ115)="","",INDEX(原始資料!E$2:E$501,$BJ115)))</f>
        <v/>
      </c>
      <c r="D115" s="6">
        <f>IF(OR($BJ115="",3&gt;設定!$B$3),"",IF(INDEX(原始資料!F$2:F$501,$BJ115)="","",INDEX(原始資料!F$2:F$501,$BJ115)))</f>
        <v/>
      </c>
      <c r="E115" s="6">
        <f>IF(OR($BJ115="",4&gt;設定!$B$3),"",IF(INDEX(原始資料!G$2:G$501,$BJ115)="","",INDEX(原始資料!G$2:G$501,$BJ115)))</f>
        <v/>
      </c>
      <c r="F115" s="6">
        <f>IF(OR($BJ115="",5&gt;設定!$B$3),"",IF(INDEX(原始資料!H$2:H$501,$BJ115)="","",INDEX(原始資料!H$2:H$501,$BJ115)))</f>
        <v/>
      </c>
      <c r="G115" s="6">
        <f>IF(OR($BJ115="",6&gt;設定!$B$3),"",IF(INDEX(原始資料!I$2:I$501,$BJ115)="","",INDEX(原始資料!I$2:I$501,$BJ115)))</f>
        <v/>
      </c>
      <c r="H115" s="6">
        <f>IF(OR($BJ115="",7&gt;設定!$B$3),"",IF(INDEX(原始資料!J$2:J$501,$BJ115)="","",INDEX(原始資料!J$2:J$501,$BJ115)))</f>
        <v/>
      </c>
      <c r="I115" s="6">
        <f>IF(OR($BJ115="",8&gt;設定!$B$3),"",IF(INDEX(原始資料!K$2:K$501,$BJ115)="","",INDEX(原始資料!K$2:K$501,$BJ115)))</f>
        <v/>
      </c>
      <c r="J115" s="6">
        <f>IF(OR($BJ115="",9&gt;設定!$B$3),"",IF(INDEX(原始資料!L$2:L$501,$BJ115)="","",INDEX(原始資料!L$2:L$501,$BJ115)))</f>
        <v/>
      </c>
      <c r="K115" s="6">
        <f>IF(OR($BJ115="",10&gt;設定!$B$3),"",IF(INDEX(原始資料!M$2:M$501,$BJ115)="","",INDEX(原始資料!M$2:M$501,$BJ115)))</f>
        <v/>
      </c>
      <c r="L115" s="6">
        <f>IF(OR($BJ115="",11&gt;設定!$B$3),"",IF(INDEX(原始資料!N$2:N$501,$BJ115)="","",INDEX(原始資料!N$2:N$501,$BJ115)))</f>
        <v/>
      </c>
      <c r="M115" s="6">
        <f>IF(OR($BJ115="",12&gt;設定!$B$3),"",IF(INDEX(原始資料!O$2:O$501,$BJ115)="","",INDEX(原始資料!O$2:O$501,$BJ115)))</f>
        <v/>
      </c>
      <c r="N115" s="6">
        <f>IF(OR($BJ115="",13&gt;設定!$B$3),"",IF(INDEX(原始資料!P$2:P$501,$BJ115)="","",INDEX(原始資料!P$2:P$501,$BJ115)))</f>
        <v/>
      </c>
      <c r="O115" s="6">
        <f>IF(OR($BJ115="",14&gt;設定!$B$3),"",IF(INDEX(原始資料!Q$2:Q$501,$BJ115)="","",INDEX(原始資料!Q$2:Q$501,$BJ115)))</f>
        <v/>
      </c>
      <c r="P115" s="6">
        <f>IF(OR($BJ115="",15&gt;設定!$B$3),"",IF(INDEX(原始資料!R$2:R$501,$BJ115)="","",INDEX(原始資料!R$2:R$501,$BJ115)))</f>
        <v/>
      </c>
      <c r="Q115" s="6">
        <f>IF(OR($BJ115="",16&gt;設定!$B$3),"",IF(INDEX(原始資料!S$2:S$501,$BJ115)="","",INDEX(原始資料!S$2:S$501,$BJ115)))</f>
        <v/>
      </c>
      <c r="R115" s="6">
        <f>IF(OR($BJ115="",17&gt;設定!$B$3),"",IF(INDEX(原始資料!T$2:T$501,$BJ115)="","",INDEX(原始資料!T$2:T$501,$BJ115)))</f>
        <v/>
      </c>
      <c r="S115" s="6">
        <f>IF(OR($BJ115="",18&gt;設定!$B$3),"",IF(INDEX(原始資料!U$2:U$501,$BJ115)="","",INDEX(原始資料!U$2:U$501,$BJ115)))</f>
        <v/>
      </c>
      <c r="T115" s="6">
        <f>IF(OR($BJ115="",19&gt;設定!$B$3),"",IF(INDEX(原始資料!V$2:V$501,$BJ115)="","",INDEX(原始資料!V$2:V$501,$BJ115)))</f>
        <v/>
      </c>
      <c r="U115" s="6">
        <f>IF(OR($BJ115="",20&gt;設定!$B$3),"",IF(INDEX(原始資料!W$2:W$501,$BJ115)="","",INDEX(原始資料!W$2:W$501,$BJ115)))</f>
        <v/>
      </c>
      <c r="V115" s="6">
        <f>IF(OR($BJ115="",21&gt;設定!$B$3),"",IF(INDEX(原始資料!X$2:X$501,$BJ115)="","",INDEX(原始資料!X$2:X$501,$BJ115)))</f>
        <v/>
      </c>
      <c r="W115" s="6">
        <f>IF(OR($BJ115="",22&gt;設定!$B$3),"",IF(INDEX(原始資料!Y$2:Y$501,$BJ115)="","",INDEX(原始資料!Y$2:Y$501,$BJ115)))</f>
        <v/>
      </c>
      <c r="X115" s="6">
        <f>IF(OR($BJ115="",23&gt;設定!$B$3),"",IF(INDEX(原始資料!Z$2:Z$501,$BJ115)="","",INDEX(原始資料!Z$2:Z$501,$BJ115)))</f>
        <v/>
      </c>
      <c r="Y115" s="6">
        <f>IF(OR($BJ115="",24&gt;設定!$B$3),"",IF(INDEX(原始資料!AA$2:AA$501,$BJ115)="","",INDEX(原始資料!AA$2:AA$501,$BJ115)))</f>
        <v/>
      </c>
      <c r="Z115" s="6">
        <f>IF(OR($BJ115="",25&gt;設定!$B$3),"",IF(INDEX(原始資料!AB$2:AB$501,$BJ115)="","",INDEX(原始資料!AB$2:AB$501,$BJ115)))</f>
        <v/>
      </c>
      <c r="AA115" s="6">
        <f>IF(OR($BJ115="",26&gt;設定!$B$3),"",IF(INDEX(原始資料!AC$2:AC$501,$BJ115)="","",INDEX(原始資料!AC$2:AC$501,$BJ115)))</f>
        <v/>
      </c>
      <c r="AB115" s="6">
        <f>IF(OR($BJ115="",27&gt;設定!$B$3),"",IF(INDEX(原始資料!AD$2:AD$501,$BJ115)="","",INDEX(原始資料!AD$2:AD$501,$BJ115)))</f>
        <v/>
      </c>
      <c r="AC115" s="6">
        <f>IF(OR($BJ115="",28&gt;設定!$B$3),"",IF(INDEX(原始資料!AE$2:AE$501,$BJ115)="","",INDEX(原始資料!AE$2:AE$501,$BJ115)))</f>
        <v/>
      </c>
      <c r="AD115" s="6">
        <f>IF(OR($BJ115="",29&gt;設定!$B$3),"",IF(INDEX(原始資料!AF$2:AF$501,$BJ115)="","",INDEX(原始資料!AF$2:AF$501,$BJ115)))</f>
        <v/>
      </c>
      <c r="AE115" s="6">
        <f>IF(OR($BJ115="",30&gt;設定!$B$3),"",IF(INDEX(原始資料!AG$2:AG$501,$BJ115)="","",INDEX(原始資料!AG$2:AG$501,$BJ115)))</f>
        <v/>
      </c>
      <c r="AF115" s="6">
        <f>IF(OR($BJ115="",31&gt;設定!$B$3),"",IF(INDEX(原始資料!AH$2:AH$501,$BJ115)="","",INDEX(原始資料!AH$2:AH$501,$BJ115)))</f>
        <v/>
      </c>
      <c r="AG115" s="6">
        <f>IF(OR($BJ115="",32&gt;設定!$B$3),"",IF(INDEX(原始資料!AI$2:AI$501,$BJ115)="","",INDEX(原始資料!AI$2:AI$501,$BJ115)))</f>
        <v/>
      </c>
      <c r="AH115" s="6">
        <f>IF(OR($BJ115="",33&gt;設定!$B$3),"",IF(INDEX(原始資料!AJ$2:AJ$501,$BJ115)="","",INDEX(原始資料!AJ$2:AJ$501,$BJ115)))</f>
        <v/>
      </c>
      <c r="AI115" s="6">
        <f>IF(OR($BJ115="",34&gt;設定!$B$3),"",IF(INDEX(原始資料!AK$2:AK$501,$BJ115)="","",INDEX(原始資料!AK$2:AK$501,$BJ115)))</f>
        <v/>
      </c>
      <c r="AJ115" s="6">
        <f>IF(OR($BJ115="",35&gt;設定!$B$3),"",IF(INDEX(原始資料!AL$2:AL$501,$BJ115)="","",INDEX(原始資料!AL$2:AL$501,$BJ115)))</f>
        <v/>
      </c>
      <c r="AK115" s="6">
        <f>IF(OR($BJ115="",36&gt;設定!$B$3),"",IF(INDEX(原始資料!AM$2:AM$501,$BJ115)="","",INDEX(原始資料!AM$2:AM$501,$BJ115)))</f>
        <v/>
      </c>
      <c r="AL115" s="6">
        <f>IF(OR($BJ115="",37&gt;設定!$B$3),"",IF(INDEX(原始資料!AN$2:AN$501,$BJ115)="","",INDEX(原始資料!AN$2:AN$501,$BJ115)))</f>
        <v/>
      </c>
      <c r="AM115" s="6">
        <f>IF(OR($BJ115="",38&gt;設定!$B$3),"",IF(INDEX(原始資料!AO$2:AO$501,$BJ115)="","",INDEX(原始資料!AO$2:AO$501,$BJ115)))</f>
        <v/>
      </c>
      <c r="AN115" s="6">
        <f>IF(OR($BJ115="",39&gt;設定!$B$3),"",IF(INDEX(原始資料!AP$2:AP$501,$BJ115)="","",INDEX(原始資料!AP$2:AP$501,$BJ115)))</f>
        <v/>
      </c>
      <c r="AO115" s="6">
        <f>IF(OR($BJ115="",40&gt;設定!$B$3),"",IF(INDEX(原始資料!AQ$2:AQ$501,$BJ115)="","",INDEX(原始資料!AQ$2:AQ$501,$BJ115)))</f>
        <v/>
      </c>
      <c r="AP115" s="6">
        <f>IF(OR($BJ115="",41&gt;設定!$B$3),"",IF(INDEX(原始資料!AR$2:AR$501,$BJ115)="","",INDEX(原始資料!AR$2:AR$501,$BJ115)))</f>
        <v/>
      </c>
      <c r="AQ115" s="6">
        <f>IF(OR($BJ115="",42&gt;設定!$B$3),"",IF(INDEX(原始資料!AS$2:AS$501,$BJ115)="","",INDEX(原始資料!AS$2:AS$501,$BJ115)))</f>
        <v/>
      </c>
      <c r="AR115" s="6">
        <f>IF(OR($BJ115="",43&gt;設定!$B$3),"",IF(INDEX(原始資料!AT$2:AT$501,$BJ115)="","",INDEX(原始資料!AT$2:AT$501,$BJ115)))</f>
        <v/>
      </c>
      <c r="AS115" s="6">
        <f>IF(OR($BJ115="",44&gt;設定!$B$3),"",IF(INDEX(原始資料!AU$2:AU$501,$BJ115)="","",INDEX(原始資料!AU$2:AU$501,$BJ115)))</f>
        <v/>
      </c>
      <c r="AT115" s="6">
        <f>IF(OR($BJ115="",45&gt;設定!$B$3),"",IF(INDEX(原始資料!AV$2:AV$501,$BJ115)="","",INDEX(原始資料!AV$2:AV$501,$BJ115)))</f>
        <v/>
      </c>
      <c r="AU115" s="6">
        <f>IF(OR($BJ115="",46&gt;設定!$B$3),"",IF(INDEX(原始資料!AW$2:AW$501,$BJ115)="","",INDEX(原始資料!AW$2:AW$501,$BJ115)))</f>
        <v/>
      </c>
      <c r="AV115" s="6">
        <f>IF(OR($BJ115="",47&gt;設定!$B$3),"",IF(INDEX(原始資料!AX$2:AX$501,$BJ115)="","",INDEX(原始資料!AX$2:AX$501,$BJ115)))</f>
        <v/>
      </c>
      <c r="AW115" s="6">
        <f>IF(OR($BJ115="",48&gt;設定!$B$3),"",IF(INDEX(原始資料!AY$2:AY$501,$BJ115)="","",INDEX(原始資料!AY$2:AY$501,$BJ115)))</f>
        <v/>
      </c>
      <c r="AX115" s="6">
        <f>IF(OR($BJ115="",49&gt;設定!$B$3),"",IF(INDEX(原始資料!AZ$2:AZ$501,$BJ115)="","",INDEX(原始資料!AZ$2:AZ$501,$BJ115)))</f>
        <v/>
      </c>
      <c r="AY115" s="6">
        <f>IF(OR($BJ115="",50&gt;設定!$B$3),"",IF(INDEX(原始資料!BA$2:BA$501,$BJ115)="","",INDEX(原始資料!BA$2:BA$501,$BJ115)))</f>
        <v/>
      </c>
      <c r="AZ115" s="6">
        <f>IF(OR($BJ115="",51&gt;設定!$B$3),"",IF(INDEX(原始資料!BB$2:BB$501,$BJ115)="","",INDEX(原始資料!BB$2:BB$501,$BJ115)))</f>
        <v/>
      </c>
      <c r="BA115" s="6">
        <f>IF(OR($BJ115="",52&gt;設定!$B$3),"",IF(INDEX(原始資料!BC$2:BC$501,$BJ115)="","",INDEX(原始資料!BC$2:BC$501,$BJ115)))</f>
        <v/>
      </c>
      <c r="BB115" s="6">
        <f>IF(OR($BJ115="",53&gt;設定!$B$3),"",IF(INDEX(原始資料!BD$2:BD$501,$BJ115)="","",INDEX(原始資料!BD$2:BD$501,$BJ115)))</f>
        <v/>
      </c>
      <c r="BC115" s="6">
        <f>IF(OR($BJ115="",54&gt;設定!$B$3),"",IF(INDEX(原始資料!BE$2:BE$501,$BJ115)="","",INDEX(原始資料!BE$2:BE$501,$BJ115)))</f>
        <v/>
      </c>
      <c r="BD115" s="6">
        <f>IF(OR($BJ115="",55&gt;設定!$B$3),"",IF(INDEX(原始資料!BF$2:BF$501,$BJ115)="","",INDEX(原始資料!BF$2:BF$501,$BJ115)))</f>
        <v/>
      </c>
      <c r="BE115" s="6">
        <f>IF(OR($BJ115="",56&gt;設定!$B$3),"",IF(INDEX(原始資料!BG$2:BG$501,$BJ115)="","",INDEX(原始資料!BG$2:BG$501,$BJ115)))</f>
        <v/>
      </c>
      <c r="BF115" s="6">
        <f>IF(OR($BJ115="",57&gt;設定!$B$3),"",IF(INDEX(原始資料!BH$2:BH$501,$BJ115)="","",INDEX(原始資料!BH$2:BH$501,$BJ115)))</f>
        <v/>
      </c>
      <c r="BG115" s="6">
        <f>IF(OR($BJ115="",58&gt;設定!$B$3),"",IF(INDEX(原始資料!BI$2:BI$501,$BJ115)="","",INDEX(原始資料!BI$2:BI$501,$BJ115)))</f>
        <v/>
      </c>
      <c r="BH115" s="6">
        <f>IF(OR($BJ115="",59&gt;設定!$B$3),"",IF(INDEX(原始資料!BJ$2:BJ$501,$BJ115)="","",INDEX(原始資料!BJ$2:BJ$501,$BJ115)))</f>
        <v/>
      </c>
      <c r="BI115" s="6">
        <f>IF(OR($BJ115="",60&gt;設定!$B$3),"",IF(INDEX(原始資料!BK$2:BK$501,$BJ115)="","",INDEX(原始資料!BK$2:BK$501,$BJ115)))</f>
        <v/>
      </c>
      <c r="BJ115" s="6">
        <f>IFERROR(MATCH(ROW()-1,判定!$H$2:$H$501,0),"")</f>
        <v/>
      </c>
    </row>
    <row r="116">
      <c r="A116" s="6">
        <f>IF($BJ116="","",INDEX(原始資料!$A$2:$A$501,$BJ116))</f>
        <v/>
      </c>
      <c r="B116" s="6">
        <f>IF(OR($BJ116="",1&gt;設定!$B$3),"",IF(INDEX(原始資料!D$2:D$501,$BJ116)="","",INDEX(原始資料!D$2:D$501,$BJ116)))</f>
        <v/>
      </c>
      <c r="C116" s="6">
        <f>IF(OR($BJ116="",2&gt;設定!$B$3),"",IF(INDEX(原始資料!E$2:E$501,$BJ116)="","",INDEX(原始資料!E$2:E$501,$BJ116)))</f>
        <v/>
      </c>
      <c r="D116" s="6">
        <f>IF(OR($BJ116="",3&gt;設定!$B$3),"",IF(INDEX(原始資料!F$2:F$501,$BJ116)="","",INDEX(原始資料!F$2:F$501,$BJ116)))</f>
        <v/>
      </c>
      <c r="E116" s="6">
        <f>IF(OR($BJ116="",4&gt;設定!$B$3),"",IF(INDEX(原始資料!G$2:G$501,$BJ116)="","",INDEX(原始資料!G$2:G$501,$BJ116)))</f>
        <v/>
      </c>
      <c r="F116" s="6">
        <f>IF(OR($BJ116="",5&gt;設定!$B$3),"",IF(INDEX(原始資料!H$2:H$501,$BJ116)="","",INDEX(原始資料!H$2:H$501,$BJ116)))</f>
        <v/>
      </c>
      <c r="G116" s="6">
        <f>IF(OR($BJ116="",6&gt;設定!$B$3),"",IF(INDEX(原始資料!I$2:I$501,$BJ116)="","",INDEX(原始資料!I$2:I$501,$BJ116)))</f>
        <v/>
      </c>
      <c r="H116" s="6">
        <f>IF(OR($BJ116="",7&gt;設定!$B$3),"",IF(INDEX(原始資料!J$2:J$501,$BJ116)="","",INDEX(原始資料!J$2:J$501,$BJ116)))</f>
        <v/>
      </c>
      <c r="I116" s="6">
        <f>IF(OR($BJ116="",8&gt;設定!$B$3),"",IF(INDEX(原始資料!K$2:K$501,$BJ116)="","",INDEX(原始資料!K$2:K$501,$BJ116)))</f>
        <v/>
      </c>
      <c r="J116" s="6">
        <f>IF(OR($BJ116="",9&gt;設定!$B$3),"",IF(INDEX(原始資料!L$2:L$501,$BJ116)="","",INDEX(原始資料!L$2:L$501,$BJ116)))</f>
        <v/>
      </c>
      <c r="K116" s="6">
        <f>IF(OR($BJ116="",10&gt;設定!$B$3),"",IF(INDEX(原始資料!M$2:M$501,$BJ116)="","",INDEX(原始資料!M$2:M$501,$BJ116)))</f>
        <v/>
      </c>
      <c r="L116" s="6">
        <f>IF(OR($BJ116="",11&gt;設定!$B$3),"",IF(INDEX(原始資料!N$2:N$501,$BJ116)="","",INDEX(原始資料!N$2:N$501,$BJ116)))</f>
        <v/>
      </c>
      <c r="M116" s="6">
        <f>IF(OR($BJ116="",12&gt;設定!$B$3),"",IF(INDEX(原始資料!O$2:O$501,$BJ116)="","",INDEX(原始資料!O$2:O$501,$BJ116)))</f>
        <v/>
      </c>
      <c r="N116" s="6">
        <f>IF(OR($BJ116="",13&gt;設定!$B$3),"",IF(INDEX(原始資料!P$2:P$501,$BJ116)="","",INDEX(原始資料!P$2:P$501,$BJ116)))</f>
        <v/>
      </c>
      <c r="O116" s="6">
        <f>IF(OR($BJ116="",14&gt;設定!$B$3),"",IF(INDEX(原始資料!Q$2:Q$501,$BJ116)="","",INDEX(原始資料!Q$2:Q$501,$BJ116)))</f>
        <v/>
      </c>
      <c r="P116" s="6">
        <f>IF(OR($BJ116="",15&gt;設定!$B$3),"",IF(INDEX(原始資料!R$2:R$501,$BJ116)="","",INDEX(原始資料!R$2:R$501,$BJ116)))</f>
        <v/>
      </c>
      <c r="Q116" s="6">
        <f>IF(OR($BJ116="",16&gt;設定!$B$3),"",IF(INDEX(原始資料!S$2:S$501,$BJ116)="","",INDEX(原始資料!S$2:S$501,$BJ116)))</f>
        <v/>
      </c>
      <c r="R116" s="6">
        <f>IF(OR($BJ116="",17&gt;設定!$B$3),"",IF(INDEX(原始資料!T$2:T$501,$BJ116)="","",INDEX(原始資料!T$2:T$501,$BJ116)))</f>
        <v/>
      </c>
      <c r="S116" s="6">
        <f>IF(OR($BJ116="",18&gt;設定!$B$3),"",IF(INDEX(原始資料!U$2:U$501,$BJ116)="","",INDEX(原始資料!U$2:U$501,$BJ116)))</f>
        <v/>
      </c>
      <c r="T116" s="6">
        <f>IF(OR($BJ116="",19&gt;設定!$B$3),"",IF(INDEX(原始資料!V$2:V$501,$BJ116)="","",INDEX(原始資料!V$2:V$501,$BJ116)))</f>
        <v/>
      </c>
      <c r="U116" s="6">
        <f>IF(OR($BJ116="",20&gt;設定!$B$3),"",IF(INDEX(原始資料!W$2:W$501,$BJ116)="","",INDEX(原始資料!W$2:W$501,$BJ116)))</f>
        <v/>
      </c>
      <c r="V116" s="6">
        <f>IF(OR($BJ116="",21&gt;設定!$B$3),"",IF(INDEX(原始資料!X$2:X$501,$BJ116)="","",INDEX(原始資料!X$2:X$501,$BJ116)))</f>
        <v/>
      </c>
      <c r="W116" s="6">
        <f>IF(OR($BJ116="",22&gt;設定!$B$3),"",IF(INDEX(原始資料!Y$2:Y$501,$BJ116)="","",INDEX(原始資料!Y$2:Y$501,$BJ116)))</f>
        <v/>
      </c>
      <c r="X116" s="6">
        <f>IF(OR($BJ116="",23&gt;設定!$B$3),"",IF(INDEX(原始資料!Z$2:Z$501,$BJ116)="","",INDEX(原始資料!Z$2:Z$501,$BJ116)))</f>
        <v/>
      </c>
      <c r="Y116" s="6">
        <f>IF(OR($BJ116="",24&gt;設定!$B$3),"",IF(INDEX(原始資料!AA$2:AA$501,$BJ116)="","",INDEX(原始資料!AA$2:AA$501,$BJ116)))</f>
        <v/>
      </c>
      <c r="Z116" s="6">
        <f>IF(OR($BJ116="",25&gt;設定!$B$3),"",IF(INDEX(原始資料!AB$2:AB$501,$BJ116)="","",INDEX(原始資料!AB$2:AB$501,$BJ116)))</f>
        <v/>
      </c>
      <c r="AA116" s="6">
        <f>IF(OR($BJ116="",26&gt;設定!$B$3),"",IF(INDEX(原始資料!AC$2:AC$501,$BJ116)="","",INDEX(原始資料!AC$2:AC$501,$BJ116)))</f>
        <v/>
      </c>
      <c r="AB116" s="6">
        <f>IF(OR($BJ116="",27&gt;設定!$B$3),"",IF(INDEX(原始資料!AD$2:AD$501,$BJ116)="","",INDEX(原始資料!AD$2:AD$501,$BJ116)))</f>
        <v/>
      </c>
      <c r="AC116" s="6">
        <f>IF(OR($BJ116="",28&gt;設定!$B$3),"",IF(INDEX(原始資料!AE$2:AE$501,$BJ116)="","",INDEX(原始資料!AE$2:AE$501,$BJ116)))</f>
        <v/>
      </c>
      <c r="AD116" s="6">
        <f>IF(OR($BJ116="",29&gt;設定!$B$3),"",IF(INDEX(原始資料!AF$2:AF$501,$BJ116)="","",INDEX(原始資料!AF$2:AF$501,$BJ116)))</f>
        <v/>
      </c>
      <c r="AE116" s="6">
        <f>IF(OR($BJ116="",30&gt;設定!$B$3),"",IF(INDEX(原始資料!AG$2:AG$501,$BJ116)="","",INDEX(原始資料!AG$2:AG$501,$BJ116)))</f>
        <v/>
      </c>
      <c r="AF116" s="6">
        <f>IF(OR($BJ116="",31&gt;設定!$B$3),"",IF(INDEX(原始資料!AH$2:AH$501,$BJ116)="","",INDEX(原始資料!AH$2:AH$501,$BJ116)))</f>
        <v/>
      </c>
      <c r="AG116" s="6">
        <f>IF(OR($BJ116="",32&gt;設定!$B$3),"",IF(INDEX(原始資料!AI$2:AI$501,$BJ116)="","",INDEX(原始資料!AI$2:AI$501,$BJ116)))</f>
        <v/>
      </c>
      <c r="AH116" s="6">
        <f>IF(OR($BJ116="",33&gt;設定!$B$3),"",IF(INDEX(原始資料!AJ$2:AJ$501,$BJ116)="","",INDEX(原始資料!AJ$2:AJ$501,$BJ116)))</f>
        <v/>
      </c>
      <c r="AI116" s="6">
        <f>IF(OR($BJ116="",34&gt;設定!$B$3),"",IF(INDEX(原始資料!AK$2:AK$501,$BJ116)="","",INDEX(原始資料!AK$2:AK$501,$BJ116)))</f>
        <v/>
      </c>
      <c r="AJ116" s="6">
        <f>IF(OR($BJ116="",35&gt;設定!$B$3),"",IF(INDEX(原始資料!AL$2:AL$501,$BJ116)="","",INDEX(原始資料!AL$2:AL$501,$BJ116)))</f>
        <v/>
      </c>
      <c r="AK116" s="6">
        <f>IF(OR($BJ116="",36&gt;設定!$B$3),"",IF(INDEX(原始資料!AM$2:AM$501,$BJ116)="","",INDEX(原始資料!AM$2:AM$501,$BJ116)))</f>
        <v/>
      </c>
      <c r="AL116" s="6">
        <f>IF(OR($BJ116="",37&gt;設定!$B$3),"",IF(INDEX(原始資料!AN$2:AN$501,$BJ116)="","",INDEX(原始資料!AN$2:AN$501,$BJ116)))</f>
        <v/>
      </c>
      <c r="AM116" s="6">
        <f>IF(OR($BJ116="",38&gt;設定!$B$3),"",IF(INDEX(原始資料!AO$2:AO$501,$BJ116)="","",INDEX(原始資料!AO$2:AO$501,$BJ116)))</f>
        <v/>
      </c>
      <c r="AN116" s="6">
        <f>IF(OR($BJ116="",39&gt;設定!$B$3),"",IF(INDEX(原始資料!AP$2:AP$501,$BJ116)="","",INDEX(原始資料!AP$2:AP$501,$BJ116)))</f>
        <v/>
      </c>
      <c r="AO116" s="6">
        <f>IF(OR($BJ116="",40&gt;設定!$B$3),"",IF(INDEX(原始資料!AQ$2:AQ$501,$BJ116)="","",INDEX(原始資料!AQ$2:AQ$501,$BJ116)))</f>
        <v/>
      </c>
      <c r="AP116" s="6">
        <f>IF(OR($BJ116="",41&gt;設定!$B$3),"",IF(INDEX(原始資料!AR$2:AR$501,$BJ116)="","",INDEX(原始資料!AR$2:AR$501,$BJ116)))</f>
        <v/>
      </c>
      <c r="AQ116" s="6">
        <f>IF(OR($BJ116="",42&gt;設定!$B$3),"",IF(INDEX(原始資料!AS$2:AS$501,$BJ116)="","",INDEX(原始資料!AS$2:AS$501,$BJ116)))</f>
        <v/>
      </c>
      <c r="AR116" s="6">
        <f>IF(OR($BJ116="",43&gt;設定!$B$3),"",IF(INDEX(原始資料!AT$2:AT$501,$BJ116)="","",INDEX(原始資料!AT$2:AT$501,$BJ116)))</f>
        <v/>
      </c>
      <c r="AS116" s="6">
        <f>IF(OR($BJ116="",44&gt;設定!$B$3),"",IF(INDEX(原始資料!AU$2:AU$501,$BJ116)="","",INDEX(原始資料!AU$2:AU$501,$BJ116)))</f>
        <v/>
      </c>
      <c r="AT116" s="6">
        <f>IF(OR($BJ116="",45&gt;設定!$B$3),"",IF(INDEX(原始資料!AV$2:AV$501,$BJ116)="","",INDEX(原始資料!AV$2:AV$501,$BJ116)))</f>
        <v/>
      </c>
      <c r="AU116" s="6">
        <f>IF(OR($BJ116="",46&gt;設定!$B$3),"",IF(INDEX(原始資料!AW$2:AW$501,$BJ116)="","",INDEX(原始資料!AW$2:AW$501,$BJ116)))</f>
        <v/>
      </c>
      <c r="AV116" s="6">
        <f>IF(OR($BJ116="",47&gt;設定!$B$3),"",IF(INDEX(原始資料!AX$2:AX$501,$BJ116)="","",INDEX(原始資料!AX$2:AX$501,$BJ116)))</f>
        <v/>
      </c>
      <c r="AW116" s="6">
        <f>IF(OR($BJ116="",48&gt;設定!$B$3),"",IF(INDEX(原始資料!AY$2:AY$501,$BJ116)="","",INDEX(原始資料!AY$2:AY$501,$BJ116)))</f>
        <v/>
      </c>
      <c r="AX116" s="6">
        <f>IF(OR($BJ116="",49&gt;設定!$B$3),"",IF(INDEX(原始資料!AZ$2:AZ$501,$BJ116)="","",INDEX(原始資料!AZ$2:AZ$501,$BJ116)))</f>
        <v/>
      </c>
      <c r="AY116" s="6">
        <f>IF(OR($BJ116="",50&gt;設定!$B$3),"",IF(INDEX(原始資料!BA$2:BA$501,$BJ116)="","",INDEX(原始資料!BA$2:BA$501,$BJ116)))</f>
        <v/>
      </c>
      <c r="AZ116" s="6">
        <f>IF(OR($BJ116="",51&gt;設定!$B$3),"",IF(INDEX(原始資料!BB$2:BB$501,$BJ116)="","",INDEX(原始資料!BB$2:BB$501,$BJ116)))</f>
        <v/>
      </c>
      <c r="BA116" s="6">
        <f>IF(OR($BJ116="",52&gt;設定!$B$3),"",IF(INDEX(原始資料!BC$2:BC$501,$BJ116)="","",INDEX(原始資料!BC$2:BC$501,$BJ116)))</f>
        <v/>
      </c>
      <c r="BB116" s="6">
        <f>IF(OR($BJ116="",53&gt;設定!$B$3),"",IF(INDEX(原始資料!BD$2:BD$501,$BJ116)="","",INDEX(原始資料!BD$2:BD$501,$BJ116)))</f>
        <v/>
      </c>
      <c r="BC116" s="6">
        <f>IF(OR($BJ116="",54&gt;設定!$B$3),"",IF(INDEX(原始資料!BE$2:BE$501,$BJ116)="","",INDEX(原始資料!BE$2:BE$501,$BJ116)))</f>
        <v/>
      </c>
      <c r="BD116" s="6">
        <f>IF(OR($BJ116="",55&gt;設定!$B$3),"",IF(INDEX(原始資料!BF$2:BF$501,$BJ116)="","",INDEX(原始資料!BF$2:BF$501,$BJ116)))</f>
        <v/>
      </c>
      <c r="BE116" s="6">
        <f>IF(OR($BJ116="",56&gt;設定!$B$3),"",IF(INDEX(原始資料!BG$2:BG$501,$BJ116)="","",INDEX(原始資料!BG$2:BG$501,$BJ116)))</f>
        <v/>
      </c>
      <c r="BF116" s="6">
        <f>IF(OR($BJ116="",57&gt;設定!$B$3),"",IF(INDEX(原始資料!BH$2:BH$501,$BJ116)="","",INDEX(原始資料!BH$2:BH$501,$BJ116)))</f>
        <v/>
      </c>
      <c r="BG116" s="6">
        <f>IF(OR($BJ116="",58&gt;設定!$B$3),"",IF(INDEX(原始資料!BI$2:BI$501,$BJ116)="","",INDEX(原始資料!BI$2:BI$501,$BJ116)))</f>
        <v/>
      </c>
      <c r="BH116" s="6">
        <f>IF(OR($BJ116="",59&gt;設定!$B$3),"",IF(INDEX(原始資料!BJ$2:BJ$501,$BJ116)="","",INDEX(原始資料!BJ$2:BJ$501,$BJ116)))</f>
        <v/>
      </c>
      <c r="BI116" s="6">
        <f>IF(OR($BJ116="",60&gt;設定!$B$3),"",IF(INDEX(原始資料!BK$2:BK$501,$BJ116)="","",INDEX(原始資料!BK$2:BK$501,$BJ116)))</f>
        <v/>
      </c>
      <c r="BJ116" s="6">
        <f>IFERROR(MATCH(ROW()-1,判定!$H$2:$H$501,0),"")</f>
        <v/>
      </c>
    </row>
    <row r="117">
      <c r="A117" s="6">
        <f>IF($BJ117="","",INDEX(原始資料!$A$2:$A$501,$BJ117))</f>
        <v/>
      </c>
      <c r="B117" s="6">
        <f>IF(OR($BJ117="",1&gt;設定!$B$3),"",IF(INDEX(原始資料!D$2:D$501,$BJ117)="","",INDEX(原始資料!D$2:D$501,$BJ117)))</f>
        <v/>
      </c>
      <c r="C117" s="6">
        <f>IF(OR($BJ117="",2&gt;設定!$B$3),"",IF(INDEX(原始資料!E$2:E$501,$BJ117)="","",INDEX(原始資料!E$2:E$501,$BJ117)))</f>
        <v/>
      </c>
      <c r="D117" s="6">
        <f>IF(OR($BJ117="",3&gt;設定!$B$3),"",IF(INDEX(原始資料!F$2:F$501,$BJ117)="","",INDEX(原始資料!F$2:F$501,$BJ117)))</f>
        <v/>
      </c>
      <c r="E117" s="6">
        <f>IF(OR($BJ117="",4&gt;設定!$B$3),"",IF(INDEX(原始資料!G$2:G$501,$BJ117)="","",INDEX(原始資料!G$2:G$501,$BJ117)))</f>
        <v/>
      </c>
      <c r="F117" s="6">
        <f>IF(OR($BJ117="",5&gt;設定!$B$3),"",IF(INDEX(原始資料!H$2:H$501,$BJ117)="","",INDEX(原始資料!H$2:H$501,$BJ117)))</f>
        <v/>
      </c>
      <c r="G117" s="6">
        <f>IF(OR($BJ117="",6&gt;設定!$B$3),"",IF(INDEX(原始資料!I$2:I$501,$BJ117)="","",INDEX(原始資料!I$2:I$501,$BJ117)))</f>
        <v/>
      </c>
      <c r="H117" s="6">
        <f>IF(OR($BJ117="",7&gt;設定!$B$3),"",IF(INDEX(原始資料!J$2:J$501,$BJ117)="","",INDEX(原始資料!J$2:J$501,$BJ117)))</f>
        <v/>
      </c>
      <c r="I117" s="6">
        <f>IF(OR($BJ117="",8&gt;設定!$B$3),"",IF(INDEX(原始資料!K$2:K$501,$BJ117)="","",INDEX(原始資料!K$2:K$501,$BJ117)))</f>
        <v/>
      </c>
      <c r="J117" s="6">
        <f>IF(OR($BJ117="",9&gt;設定!$B$3),"",IF(INDEX(原始資料!L$2:L$501,$BJ117)="","",INDEX(原始資料!L$2:L$501,$BJ117)))</f>
        <v/>
      </c>
      <c r="K117" s="6">
        <f>IF(OR($BJ117="",10&gt;設定!$B$3),"",IF(INDEX(原始資料!M$2:M$501,$BJ117)="","",INDEX(原始資料!M$2:M$501,$BJ117)))</f>
        <v/>
      </c>
      <c r="L117" s="6">
        <f>IF(OR($BJ117="",11&gt;設定!$B$3),"",IF(INDEX(原始資料!N$2:N$501,$BJ117)="","",INDEX(原始資料!N$2:N$501,$BJ117)))</f>
        <v/>
      </c>
      <c r="M117" s="6">
        <f>IF(OR($BJ117="",12&gt;設定!$B$3),"",IF(INDEX(原始資料!O$2:O$501,$BJ117)="","",INDEX(原始資料!O$2:O$501,$BJ117)))</f>
        <v/>
      </c>
      <c r="N117" s="6">
        <f>IF(OR($BJ117="",13&gt;設定!$B$3),"",IF(INDEX(原始資料!P$2:P$501,$BJ117)="","",INDEX(原始資料!P$2:P$501,$BJ117)))</f>
        <v/>
      </c>
      <c r="O117" s="6">
        <f>IF(OR($BJ117="",14&gt;設定!$B$3),"",IF(INDEX(原始資料!Q$2:Q$501,$BJ117)="","",INDEX(原始資料!Q$2:Q$501,$BJ117)))</f>
        <v/>
      </c>
      <c r="P117" s="6">
        <f>IF(OR($BJ117="",15&gt;設定!$B$3),"",IF(INDEX(原始資料!R$2:R$501,$BJ117)="","",INDEX(原始資料!R$2:R$501,$BJ117)))</f>
        <v/>
      </c>
      <c r="Q117" s="6">
        <f>IF(OR($BJ117="",16&gt;設定!$B$3),"",IF(INDEX(原始資料!S$2:S$501,$BJ117)="","",INDEX(原始資料!S$2:S$501,$BJ117)))</f>
        <v/>
      </c>
      <c r="R117" s="6">
        <f>IF(OR($BJ117="",17&gt;設定!$B$3),"",IF(INDEX(原始資料!T$2:T$501,$BJ117)="","",INDEX(原始資料!T$2:T$501,$BJ117)))</f>
        <v/>
      </c>
      <c r="S117" s="6">
        <f>IF(OR($BJ117="",18&gt;設定!$B$3),"",IF(INDEX(原始資料!U$2:U$501,$BJ117)="","",INDEX(原始資料!U$2:U$501,$BJ117)))</f>
        <v/>
      </c>
      <c r="T117" s="6">
        <f>IF(OR($BJ117="",19&gt;設定!$B$3),"",IF(INDEX(原始資料!V$2:V$501,$BJ117)="","",INDEX(原始資料!V$2:V$501,$BJ117)))</f>
        <v/>
      </c>
      <c r="U117" s="6">
        <f>IF(OR($BJ117="",20&gt;設定!$B$3),"",IF(INDEX(原始資料!W$2:W$501,$BJ117)="","",INDEX(原始資料!W$2:W$501,$BJ117)))</f>
        <v/>
      </c>
      <c r="V117" s="6">
        <f>IF(OR($BJ117="",21&gt;設定!$B$3),"",IF(INDEX(原始資料!X$2:X$501,$BJ117)="","",INDEX(原始資料!X$2:X$501,$BJ117)))</f>
        <v/>
      </c>
      <c r="W117" s="6">
        <f>IF(OR($BJ117="",22&gt;設定!$B$3),"",IF(INDEX(原始資料!Y$2:Y$501,$BJ117)="","",INDEX(原始資料!Y$2:Y$501,$BJ117)))</f>
        <v/>
      </c>
      <c r="X117" s="6">
        <f>IF(OR($BJ117="",23&gt;設定!$B$3),"",IF(INDEX(原始資料!Z$2:Z$501,$BJ117)="","",INDEX(原始資料!Z$2:Z$501,$BJ117)))</f>
        <v/>
      </c>
      <c r="Y117" s="6">
        <f>IF(OR($BJ117="",24&gt;設定!$B$3),"",IF(INDEX(原始資料!AA$2:AA$501,$BJ117)="","",INDEX(原始資料!AA$2:AA$501,$BJ117)))</f>
        <v/>
      </c>
      <c r="Z117" s="6">
        <f>IF(OR($BJ117="",25&gt;設定!$B$3),"",IF(INDEX(原始資料!AB$2:AB$501,$BJ117)="","",INDEX(原始資料!AB$2:AB$501,$BJ117)))</f>
        <v/>
      </c>
      <c r="AA117" s="6">
        <f>IF(OR($BJ117="",26&gt;設定!$B$3),"",IF(INDEX(原始資料!AC$2:AC$501,$BJ117)="","",INDEX(原始資料!AC$2:AC$501,$BJ117)))</f>
        <v/>
      </c>
      <c r="AB117" s="6">
        <f>IF(OR($BJ117="",27&gt;設定!$B$3),"",IF(INDEX(原始資料!AD$2:AD$501,$BJ117)="","",INDEX(原始資料!AD$2:AD$501,$BJ117)))</f>
        <v/>
      </c>
      <c r="AC117" s="6">
        <f>IF(OR($BJ117="",28&gt;設定!$B$3),"",IF(INDEX(原始資料!AE$2:AE$501,$BJ117)="","",INDEX(原始資料!AE$2:AE$501,$BJ117)))</f>
        <v/>
      </c>
      <c r="AD117" s="6">
        <f>IF(OR($BJ117="",29&gt;設定!$B$3),"",IF(INDEX(原始資料!AF$2:AF$501,$BJ117)="","",INDEX(原始資料!AF$2:AF$501,$BJ117)))</f>
        <v/>
      </c>
      <c r="AE117" s="6">
        <f>IF(OR($BJ117="",30&gt;設定!$B$3),"",IF(INDEX(原始資料!AG$2:AG$501,$BJ117)="","",INDEX(原始資料!AG$2:AG$501,$BJ117)))</f>
        <v/>
      </c>
      <c r="AF117" s="6">
        <f>IF(OR($BJ117="",31&gt;設定!$B$3),"",IF(INDEX(原始資料!AH$2:AH$501,$BJ117)="","",INDEX(原始資料!AH$2:AH$501,$BJ117)))</f>
        <v/>
      </c>
      <c r="AG117" s="6">
        <f>IF(OR($BJ117="",32&gt;設定!$B$3),"",IF(INDEX(原始資料!AI$2:AI$501,$BJ117)="","",INDEX(原始資料!AI$2:AI$501,$BJ117)))</f>
        <v/>
      </c>
      <c r="AH117" s="6">
        <f>IF(OR($BJ117="",33&gt;設定!$B$3),"",IF(INDEX(原始資料!AJ$2:AJ$501,$BJ117)="","",INDEX(原始資料!AJ$2:AJ$501,$BJ117)))</f>
        <v/>
      </c>
      <c r="AI117" s="6">
        <f>IF(OR($BJ117="",34&gt;設定!$B$3),"",IF(INDEX(原始資料!AK$2:AK$501,$BJ117)="","",INDEX(原始資料!AK$2:AK$501,$BJ117)))</f>
        <v/>
      </c>
      <c r="AJ117" s="6">
        <f>IF(OR($BJ117="",35&gt;設定!$B$3),"",IF(INDEX(原始資料!AL$2:AL$501,$BJ117)="","",INDEX(原始資料!AL$2:AL$501,$BJ117)))</f>
        <v/>
      </c>
      <c r="AK117" s="6">
        <f>IF(OR($BJ117="",36&gt;設定!$B$3),"",IF(INDEX(原始資料!AM$2:AM$501,$BJ117)="","",INDEX(原始資料!AM$2:AM$501,$BJ117)))</f>
        <v/>
      </c>
      <c r="AL117" s="6">
        <f>IF(OR($BJ117="",37&gt;設定!$B$3),"",IF(INDEX(原始資料!AN$2:AN$501,$BJ117)="","",INDEX(原始資料!AN$2:AN$501,$BJ117)))</f>
        <v/>
      </c>
      <c r="AM117" s="6">
        <f>IF(OR($BJ117="",38&gt;設定!$B$3),"",IF(INDEX(原始資料!AO$2:AO$501,$BJ117)="","",INDEX(原始資料!AO$2:AO$501,$BJ117)))</f>
        <v/>
      </c>
      <c r="AN117" s="6">
        <f>IF(OR($BJ117="",39&gt;設定!$B$3),"",IF(INDEX(原始資料!AP$2:AP$501,$BJ117)="","",INDEX(原始資料!AP$2:AP$501,$BJ117)))</f>
        <v/>
      </c>
      <c r="AO117" s="6">
        <f>IF(OR($BJ117="",40&gt;設定!$B$3),"",IF(INDEX(原始資料!AQ$2:AQ$501,$BJ117)="","",INDEX(原始資料!AQ$2:AQ$501,$BJ117)))</f>
        <v/>
      </c>
      <c r="AP117" s="6">
        <f>IF(OR($BJ117="",41&gt;設定!$B$3),"",IF(INDEX(原始資料!AR$2:AR$501,$BJ117)="","",INDEX(原始資料!AR$2:AR$501,$BJ117)))</f>
        <v/>
      </c>
      <c r="AQ117" s="6">
        <f>IF(OR($BJ117="",42&gt;設定!$B$3),"",IF(INDEX(原始資料!AS$2:AS$501,$BJ117)="","",INDEX(原始資料!AS$2:AS$501,$BJ117)))</f>
        <v/>
      </c>
      <c r="AR117" s="6">
        <f>IF(OR($BJ117="",43&gt;設定!$B$3),"",IF(INDEX(原始資料!AT$2:AT$501,$BJ117)="","",INDEX(原始資料!AT$2:AT$501,$BJ117)))</f>
        <v/>
      </c>
      <c r="AS117" s="6">
        <f>IF(OR($BJ117="",44&gt;設定!$B$3),"",IF(INDEX(原始資料!AU$2:AU$501,$BJ117)="","",INDEX(原始資料!AU$2:AU$501,$BJ117)))</f>
        <v/>
      </c>
      <c r="AT117" s="6">
        <f>IF(OR($BJ117="",45&gt;設定!$B$3),"",IF(INDEX(原始資料!AV$2:AV$501,$BJ117)="","",INDEX(原始資料!AV$2:AV$501,$BJ117)))</f>
        <v/>
      </c>
      <c r="AU117" s="6">
        <f>IF(OR($BJ117="",46&gt;設定!$B$3),"",IF(INDEX(原始資料!AW$2:AW$501,$BJ117)="","",INDEX(原始資料!AW$2:AW$501,$BJ117)))</f>
        <v/>
      </c>
      <c r="AV117" s="6">
        <f>IF(OR($BJ117="",47&gt;設定!$B$3),"",IF(INDEX(原始資料!AX$2:AX$501,$BJ117)="","",INDEX(原始資料!AX$2:AX$501,$BJ117)))</f>
        <v/>
      </c>
      <c r="AW117" s="6">
        <f>IF(OR($BJ117="",48&gt;設定!$B$3),"",IF(INDEX(原始資料!AY$2:AY$501,$BJ117)="","",INDEX(原始資料!AY$2:AY$501,$BJ117)))</f>
        <v/>
      </c>
      <c r="AX117" s="6">
        <f>IF(OR($BJ117="",49&gt;設定!$B$3),"",IF(INDEX(原始資料!AZ$2:AZ$501,$BJ117)="","",INDEX(原始資料!AZ$2:AZ$501,$BJ117)))</f>
        <v/>
      </c>
      <c r="AY117" s="6">
        <f>IF(OR($BJ117="",50&gt;設定!$B$3),"",IF(INDEX(原始資料!BA$2:BA$501,$BJ117)="","",INDEX(原始資料!BA$2:BA$501,$BJ117)))</f>
        <v/>
      </c>
      <c r="AZ117" s="6">
        <f>IF(OR($BJ117="",51&gt;設定!$B$3),"",IF(INDEX(原始資料!BB$2:BB$501,$BJ117)="","",INDEX(原始資料!BB$2:BB$501,$BJ117)))</f>
        <v/>
      </c>
      <c r="BA117" s="6">
        <f>IF(OR($BJ117="",52&gt;設定!$B$3),"",IF(INDEX(原始資料!BC$2:BC$501,$BJ117)="","",INDEX(原始資料!BC$2:BC$501,$BJ117)))</f>
        <v/>
      </c>
      <c r="BB117" s="6">
        <f>IF(OR($BJ117="",53&gt;設定!$B$3),"",IF(INDEX(原始資料!BD$2:BD$501,$BJ117)="","",INDEX(原始資料!BD$2:BD$501,$BJ117)))</f>
        <v/>
      </c>
      <c r="BC117" s="6">
        <f>IF(OR($BJ117="",54&gt;設定!$B$3),"",IF(INDEX(原始資料!BE$2:BE$501,$BJ117)="","",INDEX(原始資料!BE$2:BE$501,$BJ117)))</f>
        <v/>
      </c>
      <c r="BD117" s="6">
        <f>IF(OR($BJ117="",55&gt;設定!$B$3),"",IF(INDEX(原始資料!BF$2:BF$501,$BJ117)="","",INDEX(原始資料!BF$2:BF$501,$BJ117)))</f>
        <v/>
      </c>
      <c r="BE117" s="6">
        <f>IF(OR($BJ117="",56&gt;設定!$B$3),"",IF(INDEX(原始資料!BG$2:BG$501,$BJ117)="","",INDEX(原始資料!BG$2:BG$501,$BJ117)))</f>
        <v/>
      </c>
      <c r="BF117" s="6">
        <f>IF(OR($BJ117="",57&gt;設定!$B$3),"",IF(INDEX(原始資料!BH$2:BH$501,$BJ117)="","",INDEX(原始資料!BH$2:BH$501,$BJ117)))</f>
        <v/>
      </c>
      <c r="BG117" s="6">
        <f>IF(OR($BJ117="",58&gt;設定!$B$3),"",IF(INDEX(原始資料!BI$2:BI$501,$BJ117)="","",INDEX(原始資料!BI$2:BI$501,$BJ117)))</f>
        <v/>
      </c>
      <c r="BH117" s="6">
        <f>IF(OR($BJ117="",59&gt;設定!$B$3),"",IF(INDEX(原始資料!BJ$2:BJ$501,$BJ117)="","",INDEX(原始資料!BJ$2:BJ$501,$BJ117)))</f>
        <v/>
      </c>
      <c r="BI117" s="6">
        <f>IF(OR($BJ117="",60&gt;設定!$B$3),"",IF(INDEX(原始資料!BK$2:BK$501,$BJ117)="","",INDEX(原始資料!BK$2:BK$501,$BJ117)))</f>
        <v/>
      </c>
      <c r="BJ117" s="6">
        <f>IFERROR(MATCH(ROW()-1,判定!$H$2:$H$501,0),"")</f>
        <v/>
      </c>
    </row>
    <row r="118">
      <c r="A118" s="6">
        <f>IF($BJ118="","",INDEX(原始資料!$A$2:$A$501,$BJ118))</f>
        <v/>
      </c>
      <c r="B118" s="6">
        <f>IF(OR($BJ118="",1&gt;設定!$B$3),"",IF(INDEX(原始資料!D$2:D$501,$BJ118)="","",INDEX(原始資料!D$2:D$501,$BJ118)))</f>
        <v/>
      </c>
      <c r="C118" s="6">
        <f>IF(OR($BJ118="",2&gt;設定!$B$3),"",IF(INDEX(原始資料!E$2:E$501,$BJ118)="","",INDEX(原始資料!E$2:E$501,$BJ118)))</f>
        <v/>
      </c>
      <c r="D118" s="6">
        <f>IF(OR($BJ118="",3&gt;設定!$B$3),"",IF(INDEX(原始資料!F$2:F$501,$BJ118)="","",INDEX(原始資料!F$2:F$501,$BJ118)))</f>
        <v/>
      </c>
      <c r="E118" s="6">
        <f>IF(OR($BJ118="",4&gt;設定!$B$3),"",IF(INDEX(原始資料!G$2:G$501,$BJ118)="","",INDEX(原始資料!G$2:G$501,$BJ118)))</f>
        <v/>
      </c>
      <c r="F118" s="6">
        <f>IF(OR($BJ118="",5&gt;設定!$B$3),"",IF(INDEX(原始資料!H$2:H$501,$BJ118)="","",INDEX(原始資料!H$2:H$501,$BJ118)))</f>
        <v/>
      </c>
      <c r="G118" s="6">
        <f>IF(OR($BJ118="",6&gt;設定!$B$3),"",IF(INDEX(原始資料!I$2:I$501,$BJ118)="","",INDEX(原始資料!I$2:I$501,$BJ118)))</f>
        <v/>
      </c>
      <c r="H118" s="6">
        <f>IF(OR($BJ118="",7&gt;設定!$B$3),"",IF(INDEX(原始資料!J$2:J$501,$BJ118)="","",INDEX(原始資料!J$2:J$501,$BJ118)))</f>
        <v/>
      </c>
      <c r="I118" s="6">
        <f>IF(OR($BJ118="",8&gt;設定!$B$3),"",IF(INDEX(原始資料!K$2:K$501,$BJ118)="","",INDEX(原始資料!K$2:K$501,$BJ118)))</f>
        <v/>
      </c>
      <c r="J118" s="6">
        <f>IF(OR($BJ118="",9&gt;設定!$B$3),"",IF(INDEX(原始資料!L$2:L$501,$BJ118)="","",INDEX(原始資料!L$2:L$501,$BJ118)))</f>
        <v/>
      </c>
      <c r="K118" s="6">
        <f>IF(OR($BJ118="",10&gt;設定!$B$3),"",IF(INDEX(原始資料!M$2:M$501,$BJ118)="","",INDEX(原始資料!M$2:M$501,$BJ118)))</f>
        <v/>
      </c>
      <c r="L118" s="6">
        <f>IF(OR($BJ118="",11&gt;設定!$B$3),"",IF(INDEX(原始資料!N$2:N$501,$BJ118)="","",INDEX(原始資料!N$2:N$501,$BJ118)))</f>
        <v/>
      </c>
      <c r="M118" s="6">
        <f>IF(OR($BJ118="",12&gt;設定!$B$3),"",IF(INDEX(原始資料!O$2:O$501,$BJ118)="","",INDEX(原始資料!O$2:O$501,$BJ118)))</f>
        <v/>
      </c>
      <c r="N118" s="6">
        <f>IF(OR($BJ118="",13&gt;設定!$B$3),"",IF(INDEX(原始資料!P$2:P$501,$BJ118)="","",INDEX(原始資料!P$2:P$501,$BJ118)))</f>
        <v/>
      </c>
      <c r="O118" s="6">
        <f>IF(OR($BJ118="",14&gt;設定!$B$3),"",IF(INDEX(原始資料!Q$2:Q$501,$BJ118)="","",INDEX(原始資料!Q$2:Q$501,$BJ118)))</f>
        <v/>
      </c>
      <c r="P118" s="6">
        <f>IF(OR($BJ118="",15&gt;設定!$B$3),"",IF(INDEX(原始資料!R$2:R$501,$BJ118)="","",INDEX(原始資料!R$2:R$501,$BJ118)))</f>
        <v/>
      </c>
      <c r="Q118" s="6">
        <f>IF(OR($BJ118="",16&gt;設定!$B$3),"",IF(INDEX(原始資料!S$2:S$501,$BJ118)="","",INDEX(原始資料!S$2:S$501,$BJ118)))</f>
        <v/>
      </c>
      <c r="R118" s="6">
        <f>IF(OR($BJ118="",17&gt;設定!$B$3),"",IF(INDEX(原始資料!T$2:T$501,$BJ118)="","",INDEX(原始資料!T$2:T$501,$BJ118)))</f>
        <v/>
      </c>
      <c r="S118" s="6">
        <f>IF(OR($BJ118="",18&gt;設定!$B$3),"",IF(INDEX(原始資料!U$2:U$501,$BJ118)="","",INDEX(原始資料!U$2:U$501,$BJ118)))</f>
        <v/>
      </c>
      <c r="T118" s="6">
        <f>IF(OR($BJ118="",19&gt;設定!$B$3),"",IF(INDEX(原始資料!V$2:V$501,$BJ118)="","",INDEX(原始資料!V$2:V$501,$BJ118)))</f>
        <v/>
      </c>
      <c r="U118" s="6">
        <f>IF(OR($BJ118="",20&gt;設定!$B$3),"",IF(INDEX(原始資料!W$2:W$501,$BJ118)="","",INDEX(原始資料!W$2:W$501,$BJ118)))</f>
        <v/>
      </c>
      <c r="V118" s="6">
        <f>IF(OR($BJ118="",21&gt;設定!$B$3),"",IF(INDEX(原始資料!X$2:X$501,$BJ118)="","",INDEX(原始資料!X$2:X$501,$BJ118)))</f>
        <v/>
      </c>
      <c r="W118" s="6">
        <f>IF(OR($BJ118="",22&gt;設定!$B$3),"",IF(INDEX(原始資料!Y$2:Y$501,$BJ118)="","",INDEX(原始資料!Y$2:Y$501,$BJ118)))</f>
        <v/>
      </c>
      <c r="X118" s="6">
        <f>IF(OR($BJ118="",23&gt;設定!$B$3),"",IF(INDEX(原始資料!Z$2:Z$501,$BJ118)="","",INDEX(原始資料!Z$2:Z$501,$BJ118)))</f>
        <v/>
      </c>
      <c r="Y118" s="6">
        <f>IF(OR($BJ118="",24&gt;設定!$B$3),"",IF(INDEX(原始資料!AA$2:AA$501,$BJ118)="","",INDEX(原始資料!AA$2:AA$501,$BJ118)))</f>
        <v/>
      </c>
      <c r="Z118" s="6">
        <f>IF(OR($BJ118="",25&gt;設定!$B$3),"",IF(INDEX(原始資料!AB$2:AB$501,$BJ118)="","",INDEX(原始資料!AB$2:AB$501,$BJ118)))</f>
        <v/>
      </c>
      <c r="AA118" s="6">
        <f>IF(OR($BJ118="",26&gt;設定!$B$3),"",IF(INDEX(原始資料!AC$2:AC$501,$BJ118)="","",INDEX(原始資料!AC$2:AC$501,$BJ118)))</f>
        <v/>
      </c>
      <c r="AB118" s="6">
        <f>IF(OR($BJ118="",27&gt;設定!$B$3),"",IF(INDEX(原始資料!AD$2:AD$501,$BJ118)="","",INDEX(原始資料!AD$2:AD$501,$BJ118)))</f>
        <v/>
      </c>
      <c r="AC118" s="6">
        <f>IF(OR($BJ118="",28&gt;設定!$B$3),"",IF(INDEX(原始資料!AE$2:AE$501,$BJ118)="","",INDEX(原始資料!AE$2:AE$501,$BJ118)))</f>
        <v/>
      </c>
      <c r="AD118" s="6">
        <f>IF(OR($BJ118="",29&gt;設定!$B$3),"",IF(INDEX(原始資料!AF$2:AF$501,$BJ118)="","",INDEX(原始資料!AF$2:AF$501,$BJ118)))</f>
        <v/>
      </c>
      <c r="AE118" s="6">
        <f>IF(OR($BJ118="",30&gt;設定!$B$3),"",IF(INDEX(原始資料!AG$2:AG$501,$BJ118)="","",INDEX(原始資料!AG$2:AG$501,$BJ118)))</f>
        <v/>
      </c>
      <c r="AF118" s="6">
        <f>IF(OR($BJ118="",31&gt;設定!$B$3),"",IF(INDEX(原始資料!AH$2:AH$501,$BJ118)="","",INDEX(原始資料!AH$2:AH$501,$BJ118)))</f>
        <v/>
      </c>
      <c r="AG118" s="6">
        <f>IF(OR($BJ118="",32&gt;設定!$B$3),"",IF(INDEX(原始資料!AI$2:AI$501,$BJ118)="","",INDEX(原始資料!AI$2:AI$501,$BJ118)))</f>
        <v/>
      </c>
      <c r="AH118" s="6">
        <f>IF(OR($BJ118="",33&gt;設定!$B$3),"",IF(INDEX(原始資料!AJ$2:AJ$501,$BJ118)="","",INDEX(原始資料!AJ$2:AJ$501,$BJ118)))</f>
        <v/>
      </c>
      <c r="AI118" s="6">
        <f>IF(OR($BJ118="",34&gt;設定!$B$3),"",IF(INDEX(原始資料!AK$2:AK$501,$BJ118)="","",INDEX(原始資料!AK$2:AK$501,$BJ118)))</f>
        <v/>
      </c>
      <c r="AJ118" s="6">
        <f>IF(OR($BJ118="",35&gt;設定!$B$3),"",IF(INDEX(原始資料!AL$2:AL$501,$BJ118)="","",INDEX(原始資料!AL$2:AL$501,$BJ118)))</f>
        <v/>
      </c>
      <c r="AK118" s="6">
        <f>IF(OR($BJ118="",36&gt;設定!$B$3),"",IF(INDEX(原始資料!AM$2:AM$501,$BJ118)="","",INDEX(原始資料!AM$2:AM$501,$BJ118)))</f>
        <v/>
      </c>
      <c r="AL118" s="6">
        <f>IF(OR($BJ118="",37&gt;設定!$B$3),"",IF(INDEX(原始資料!AN$2:AN$501,$BJ118)="","",INDEX(原始資料!AN$2:AN$501,$BJ118)))</f>
        <v/>
      </c>
      <c r="AM118" s="6">
        <f>IF(OR($BJ118="",38&gt;設定!$B$3),"",IF(INDEX(原始資料!AO$2:AO$501,$BJ118)="","",INDEX(原始資料!AO$2:AO$501,$BJ118)))</f>
        <v/>
      </c>
      <c r="AN118" s="6">
        <f>IF(OR($BJ118="",39&gt;設定!$B$3),"",IF(INDEX(原始資料!AP$2:AP$501,$BJ118)="","",INDEX(原始資料!AP$2:AP$501,$BJ118)))</f>
        <v/>
      </c>
      <c r="AO118" s="6">
        <f>IF(OR($BJ118="",40&gt;設定!$B$3),"",IF(INDEX(原始資料!AQ$2:AQ$501,$BJ118)="","",INDEX(原始資料!AQ$2:AQ$501,$BJ118)))</f>
        <v/>
      </c>
      <c r="AP118" s="6">
        <f>IF(OR($BJ118="",41&gt;設定!$B$3),"",IF(INDEX(原始資料!AR$2:AR$501,$BJ118)="","",INDEX(原始資料!AR$2:AR$501,$BJ118)))</f>
        <v/>
      </c>
      <c r="AQ118" s="6">
        <f>IF(OR($BJ118="",42&gt;設定!$B$3),"",IF(INDEX(原始資料!AS$2:AS$501,$BJ118)="","",INDEX(原始資料!AS$2:AS$501,$BJ118)))</f>
        <v/>
      </c>
      <c r="AR118" s="6">
        <f>IF(OR($BJ118="",43&gt;設定!$B$3),"",IF(INDEX(原始資料!AT$2:AT$501,$BJ118)="","",INDEX(原始資料!AT$2:AT$501,$BJ118)))</f>
        <v/>
      </c>
      <c r="AS118" s="6">
        <f>IF(OR($BJ118="",44&gt;設定!$B$3),"",IF(INDEX(原始資料!AU$2:AU$501,$BJ118)="","",INDEX(原始資料!AU$2:AU$501,$BJ118)))</f>
        <v/>
      </c>
      <c r="AT118" s="6">
        <f>IF(OR($BJ118="",45&gt;設定!$B$3),"",IF(INDEX(原始資料!AV$2:AV$501,$BJ118)="","",INDEX(原始資料!AV$2:AV$501,$BJ118)))</f>
        <v/>
      </c>
      <c r="AU118" s="6">
        <f>IF(OR($BJ118="",46&gt;設定!$B$3),"",IF(INDEX(原始資料!AW$2:AW$501,$BJ118)="","",INDEX(原始資料!AW$2:AW$501,$BJ118)))</f>
        <v/>
      </c>
      <c r="AV118" s="6">
        <f>IF(OR($BJ118="",47&gt;設定!$B$3),"",IF(INDEX(原始資料!AX$2:AX$501,$BJ118)="","",INDEX(原始資料!AX$2:AX$501,$BJ118)))</f>
        <v/>
      </c>
      <c r="AW118" s="6">
        <f>IF(OR($BJ118="",48&gt;設定!$B$3),"",IF(INDEX(原始資料!AY$2:AY$501,$BJ118)="","",INDEX(原始資料!AY$2:AY$501,$BJ118)))</f>
        <v/>
      </c>
      <c r="AX118" s="6">
        <f>IF(OR($BJ118="",49&gt;設定!$B$3),"",IF(INDEX(原始資料!AZ$2:AZ$501,$BJ118)="","",INDEX(原始資料!AZ$2:AZ$501,$BJ118)))</f>
        <v/>
      </c>
      <c r="AY118" s="6">
        <f>IF(OR($BJ118="",50&gt;設定!$B$3),"",IF(INDEX(原始資料!BA$2:BA$501,$BJ118)="","",INDEX(原始資料!BA$2:BA$501,$BJ118)))</f>
        <v/>
      </c>
      <c r="AZ118" s="6">
        <f>IF(OR($BJ118="",51&gt;設定!$B$3),"",IF(INDEX(原始資料!BB$2:BB$501,$BJ118)="","",INDEX(原始資料!BB$2:BB$501,$BJ118)))</f>
        <v/>
      </c>
      <c r="BA118" s="6">
        <f>IF(OR($BJ118="",52&gt;設定!$B$3),"",IF(INDEX(原始資料!BC$2:BC$501,$BJ118)="","",INDEX(原始資料!BC$2:BC$501,$BJ118)))</f>
        <v/>
      </c>
      <c r="BB118" s="6">
        <f>IF(OR($BJ118="",53&gt;設定!$B$3),"",IF(INDEX(原始資料!BD$2:BD$501,$BJ118)="","",INDEX(原始資料!BD$2:BD$501,$BJ118)))</f>
        <v/>
      </c>
      <c r="BC118" s="6">
        <f>IF(OR($BJ118="",54&gt;設定!$B$3),"",IF(INDEX(原始資料!BE$2:BE$501,$BJ118)="","",INDEX(原始資料!BE$2:BE$501,$BJ118)))</f>
        <v/>
      </c>
      <c r="BD118" s="6">
        <f>IF(OR($BJ118="",55&gt;設定!$B$3),"",IF(INDEX(原始資料!BF$2:BF$501,$BJ118)="","",INDEX(原始資料!BF$2:BF$501,$BJ118)))</f>
        <v/>
      </c>
      <c r="BE118" s="6">
        <f>IF(OR($BJ118="",56&gt;設定!$B$3),"",IF(INDEX(原始資料!BG$2:BG$501,$BJ118)="","",INDEX(原始資料!BG$2:BG$501,$BJ118)))</f>
        <v/>
      </c>
      <c r="BF118" s="6">
        <f>IF(OR($BJ118="",57&gt;設定!$B$3),"",IF(INDEX(原始資料!BH$2:BH$501,$BJ118)="","",INDEX(原始資料!BH$2:BH$501,$BJ118)))</f>
        <v/>
      </c>
      <c r="BG118" s="6">
        <f>IF(OR($BJ118="",58&gt;設定!$B$3),"",IF(INDEX(原始資料!BI$2:BI$501,$BJ118)="","",INDEX(原始資料!BI$2:BI$501,$BJ118)))</f>
        <v/>
      </c>
      <c r="BH118" s="6">
        <f>IF(OR($BJ118="",59&gt;設定!$B$3),"",IF(INDEX(原始資料!BJ$2:BJ$501,$BJ118)="","",INDEX(原始資料!BJ$2:BJ$501,$BJ118)))</f>
        <v/>
      </c>
      <c r="BI118" s="6">
        <f>IF(OR($BJ118="",60&gt;設定!$B$3),"",IF(INDEX(原始資料!BK$2:BK$501,$BJ118)="","",INDEX(原始資料!BK$2:BK$501,$BJ118)))</f>
        <v/>
      </c>
      <c r="BJ118" s="6">
        <f>IFERROR(MATCH(ROW()-1,判定!$H$2:$H$501,0),"")</f>
        <v/>
      </c>
    </row>
    <row r="119">
      <c r="A119" s="6">
        <f>IF($BJ119="","",INDEX(原始資料!$A$2:$A$501,$BJ119))</f>
        <v/>
      </c>
      <c r="B119" s="6">
        <f>IF(OR($BJ119="",1&gt;設定!$B$3),"",IF(INDEX(原始資料!D$2:D$501,$BJ119)="","",INDEX(原始資料!D$2:D$501,$BJ119)))</f>
        <v/>
      </c>
      <c r="C119" s="6">
        <f>IF(OR($BJ119="",2&gt;設定!$B$3),"",IF(INDEX(原始資料!E$2:E$501,$BJ119)="","",INDEX(原始資料!E$2:E$501,$BJ119)))</f>
        <v/>
      </c>
      <c r="D119" s="6">
        <f>IF(OR($BJ119="",3&gt;設定!$B$3),"",IF(INDEX(原始資料!F$2:F$501,$BJ119)="","",INDEX(原始資料!F$2:F$501,$BJ119)))</f>
        <v/>
      </c>
      <c r="E119" s="6">
        <f>IF(OR($BJ119="",4&gt;設定!$B$3),"",IF(INDEX(原始資料!G$2:G$501,$BJ119)="","",INDEX(原始資料!G$2:G$501,$BJ119)))</f>
        <v/>
      </c>
      <c r="F119" s="6">
        <f>IF(OR($BJ119="",5&gt;設定!$B$3),"",IF(INDEX(原始資料!H$2:H$501,$BJ119)="","",INDEX(原始資料!H$2:H$501,$BJ119)))</f>
        <v/>
      </c>
      <c r="G119" s="6">
        <f>IF(OR($BJ119="",6&gt;設定!$B$3),"",IF(INDEX(原始資料!I$2:I$501,$BJ119)="","",INDEX(原始資料!I$2:I$501,$BJ119)))</f>
        <v/>
      </c>
      <c r="H119" s="6">
        <f>IF(OR($BJ119="",7&gt;設定!$B$3),"",IF(INDEX(原始資料!J$2:J$501,$BJ119)="","",INDEX(原始資料!J$2:J$501,$BJ119)))</f>
        <v/>
      </c>
      <c r="I119" s="6">
        <f>IF(OR($BJ119="",8&gt;設定!$B$3),"",IF(INDEX(原始資料!K$2:K$501,$BJ119)="","",INDEX(原始資料!K$2:K$501,$BJ119)))</f>
        <v/>
      </c>
      <c r="J119" s="6">
        <f>IF(OR($BJ119="",9&gt;設定!$B$3),"",IF(INDEX(原始資料!L$2:L$501,$BJ119)="","",INDEX(原始資料!L$2:L$501,$BJ119)))</f>
        <v/>
      </c>
      <c r="K119" s="6">
        <f>IF(OR($BJ119="",10&gt;設定!$B$3),"",IF(INDEX(原始資料!M$2:M$501,$BJ119)="","",INDEX(原始資料!M$2:M$501,$BJ119)))</f>
        <v/>
      </c>
      <c r="L119" s="6">
        <f>IF(OR($BJ119="",11&gt;設定!$B$3),"",IF(INDEX(原始資料!N$2:N$501,$BJ119)="","",INDEX(原始資料!N$2:N$501,$BJ119)))</f>
        <v/>
      </c>
      <c r="M119" s="6">
        <f>IF(OR($BJ119="",12&gt;設定!$B$3),"",IF(INDEX(原始資料!O$2:O$501,$BJ119)="","",INDEX(原始資料!O$2:O$501,$BJ119)))</f>
        <v/>
      </c>
      <c r="N119" s="6">
        <f>IF(OR($BJ119="",13&gt;設定!$B$3),"",IF(INDEX(原始資料!P$2:P$501,$BJ119)="","",INDEX(原始資料!P$2:P$501,$BJ119)))</f>
        <v/>
      </c>
      <c r="O119" s="6">
        <f>IF(OR($BJ119="",14&gt;設定!$B$3),"",IF(INDEX(原始資料!Q$2:Q$501,$BJ119)="","",INDEX(原始資料!Q$2:Q$501,$BJ119)))</f>
        <v/>
      </c>
      <c r="P119" s="6">
        <f>IF(OR($BJ119="",15&gt;設定!$B$3),"",IF(INDEX(原始資料!R$2:R$501,$BJ119)="","",INDEX(原始資料!R$2:R$501,$BJ119)))</f>
        <v/>
      </c>
      <c r="Q119" s="6">
        <f>IF(OR($BJ119="",16&gt;設定!$B$3),"",IF(INDEX(原始資料!S$2:S$501,$BJ119)="","",INDEX(原始資料!S$2:S$501,$BJ119)))</f>
        <v/>
      </c>
      <c r="R119" s="6">
        <f>IF(OR($BJ119="",17&gt;設定!$B$3),"",IF(INDEX(原始資料!T$2:T$501,$BJ119)="","",INDEX(原始資料!T$2:T$501,$BJ119)))</f>
        <v/>
      </c>
      <c r="S119" s="6">
        <f>IF(OR($BJ119="",18&gt;設定!$B$3),"",IF(INDEX(原始資料!U$2:U$501,$BJ119)="","",INDEX(原始資料!U$2:U$501,$BJ119)))</f>
        <v/>
      </c>
      <c r="T119" s="6">
        <f>IF(OR($BJ119="",19&gt;設定!$B$3),"",IF(INDEX(原始資料!V$2:V$501,$BJ119)="","",INDEX(原始資料!V$2:V$501,$BJ119)))</f>
        <v/>
      </c>
      <c r="U119" s="6">
        <f>IF(OR($BJ119="",20&gt;設定!$B$3),"",IF(INDEX(原始資料!W$2:W$501,$BJ119)="","",INDEX(原始資料!W$2:W$501,$BJ119)))</f>
        <v/>
      </c>
      <c r="V119" s="6">
        <f>IF(OR($BJ119="",21&gt;設定!$B$3),"",IF(INDEX(原始資料!X$2:X$501,$BJ119)="","",INDEX(原始資料!X$2:X$501,$BJ119)))</f>
        <v/>
      </c>
      <c r="W119" s="6">
        <f>IF(OR($BJ119="",22&gt;設定!$B$3),"",IF(INDEX(原始資料!Y$2:Y$501,$BJ119)="","",INDEX(原始資料!Y$2:Y$501,$BJ119)))</f>
        <v/>
      </c>
      <c r="X119" s="6">
        <f>IF(OR($BJ119="",23&gt;設定!$B$3),"",IF(INDEX(原始資料!Z$2:Z$501,$BJ119)="","",INDEX(原始資料!Z$2:Z$501,$BJ119)))</f>
        <v/>
      </c>
      <c r="Y119" s="6">
        <f>IF(OR($BJ119="",24&gt;設定!$B$3),"",IF(INDEX(原始資料!AA$2:AA$501,$BJ119)="","",INDEX(原始資料!AA$2:AA$501,$BJ119)))</f>
        <v/>
      </c>
      <c r="Z119" s="6">
        <f>IF(OR($BJ119="",25&gt;設定!$B$3),"",IF(INDEX(原始資料!AB$2:AB$501,$BJ119)="","",INDEX(原始資料!AB$2:AB$501,$BJ119)))</f>
        <v/>
      </c>
      <c r="AA119" s="6">
        <f>IF(OR($BJ119="",26&gt;設定!$B$3),"",IF(INDEX(原始資料!AC$2:AC$501,$BJ119)="","",INDEX(原始資料!AC$2:AC$501,$BJ119)))</f>
        <v/>
      </c>
      <c r="AB119" s="6">
        <f>IF(OR($BJ119="",27&gt;設定!$B$3),"",IF(INDEX(原始資料!AD$2:AD$501,$BJ119)="","",INDEX(原始資料!AD$2:AD$501,$BJ119)))</f>
        <v/>
      </c>
      <c r="AC119" s="6">
        <f>IF(OR($BJ119="",28&gt;設定!$B$3),"",IF(INDEX(原始資料!AE$2:AE$501,$BJ119)="","",INDEX(原始資料!AE$2:AE$501,$BJ119)))</f>
        <v/>
      </c>
      <c r="AD119" s="6">
        <f>IF(OR($BJ119="",29&gt;設定!$B$3),"",IF(INDEX(原始資料!AF$2:AF$501,$BJ119)="","",INDEX(原始資料!AF$2:AF$501,$BJ119)))</f>
        <v/>
      </c>
      <c r="AE119" s="6">
        <f>IF(OR($BJ119="",30&gt;設定!$B$3),"",IF(INDEX(原始資料!AG$2:AG$501,$BJ119)="","",INDEX(原始資料!AG$2:AG$501,$BJ119)))</f>
        <v/>
      </c>
      <c r="AF119" s="6">
        <f>IF(OR($BJ119="",31&gt;設定!$B$3),"",IF(INDEX(原始資料!AH$2:AH$501,$BJ119)="","",INDEX(原始資料!AH$2:AH$501,$BJ119)))</f>
        <v/>
      </c>
      <c r="AG119" s="6">
        <f>IF(OR($BJ119="",32&gt;設定!$B$3),"",IF(INDEX(原始資料!AI$2:AI$501,$BJ119)="","",INDEX(原始資料!AI$2:AI$501,$BJ119)))</f>
        <v/>
      </c>
      <c r="AH119" s="6">
        <f>IF(OR($BJ119="",33&gt;設定!$B$3),"",IF(INDEX(原始資料!AJ$2:AJ$501,$BJ119)="","",INDEX(原始資料!AJ$2:AJ$501,$BJ119)))</f>
        <v/>
      </c>
      <c r="AI119" s="6">
        <f>IF(OR($BJ119="",34&gt;設定!$B$3),"",IF(INDEX(原始資料!AK$2:AK$501,$BJ119)="","",INDEX(原始資料!AK$2:AK$501,$BJ119)))</f>
        <v/>
      </c>
      <c r="AJ119" s="6">
        <f>IF(OR($BJ119="",35&gt;設定!$B$3),"",IF(INDEX(原始資料!AL$2:AL$501,$BJ119)="","",INDEX(原始資料!AL$2:AL$501,$BJ119)))</f>
        <v/>
      </c>
      <c r="AK119" s="6">
        <f>IF(OR($BJ119="",36&gt;設定!$B$3),"",IF(INDEX(原始資料!AM$2:AM$501,$BJ119)="","",INDEX(原始資料!AM$2:AM$501,$BJ119)))</f>
        <v/>
      </c>
      <c r="AL119" s="6">
        <f>IF(OR($BJ119="",37&gt;設定!$B$3),"",IF(INDEX(原始資料!AN$2:AN$501,$BJ119)="","",INDEX(原始資料!AN$2:AN$501,$BJ119)))</f>
        <v/>
      </c>
      <c r="AM119" s="6">
        <f>IF(OR($BJ119="",38&gt;設定!$B$3),"",IF(INDEX(原始資料!AO$2:AO$501,$BJ119)="","",INDEX(原始資料!AO$2:AO$501,$BJ119)))</f>
        <v/>
      </c>
      <c r="AN119" s="6">
        <f>IF(OR($BJ119="",39&gt;設定!$B$3),"",IF(INDEX(原始資料!AP$2:AP$501,$BJ119)="","",INDEX(原始資料!AP$2:AP$501,$BJ119)))</f>
        <v/>
      </c>
      <c r="AO119" s="6">
        <f>IF(OR($BJ119="",40&gt;設定!$B$3),"",IF(INDEX(原始資料!AQ$2:AQ$501,$BJ119)="","",INDEX(原始資料!AQ$2:AQ$501,$BJ119)))</f>
        <v/>
      </c>
      <c r="AP119" s="6">
        <f>IF(OR($BJ119="",41&gt;設定!$B$3),"",IF(INDEX(原始資料!AR$2:AR$501,$BJ119)="","",INDEX(原始資料!AR$2:AR$501,$BJ119)))</f>
        <v/>
      </c>
      <c r="AQ119" s="6">
        <f>IF(OR($BJ119="",42&gt;設定!$B$3),"",IF(INDEX(原始資料!AS$2:AS$501,$BJ119)="","",INDEX(原始資料!AS$2:AS$501,$BJ119)))</f>
        <v/>
      </c>
      <c r="AR119" s="6">
        <f>IF(OR($BJ119="",43&gt;設定!$B$3),"",IF(INDEX(原始資料!AT$2:AT$501,$BJ119)="","",INDEX(原始資料!AT$2:AT$501,$BJ119)))</f>
        <v/>
      </c>
      <c r="AS119" s="6">
        <f>IF(OR($BJ119="",44&gt;設定!$B$3),"",IF(INDEX(原始資料!AU$2:AU$501,$BJ119)="","",INDEX(原始資料!AU$2:AU$501,$BJ119)))</f>
        <v/>
      </c>
      <c r="AT119" s="6">
        <f>IF(OR($BJ119="",45&gt;設定!$B$3),"",IF(INDEX(原始資料!AV$2:AV$501,$BJ119)="","",INDEX(原始資料!AV$2:AV$501,$BJ119)))</f>
        <v/>
      </c>
      <c r="AU119" s="6">
        <f>IF(OR($BJ119="",46&gt;設定!$B$3),"",IF(INDEX(原始資料!AW$2:AW$501,$BJ119)="","",INDEX(原始資料!AW$2:AW$501,$BJ119)))</f>
        <v/>
      </c>
      <c r="AV119" s="6">
        <f>IF(OR($BJ119="",47&gt;設定!$B$3),"",IF(INDEX(原始資料!AX$2:AX$501,$BJ119)="","",INDEX(原始資料!AX$2:AX$501,$BJ119)))</f>
        <v/>
      </c>
      <c r="AW119" s="6">
        <f>IF(OR($BJ119="",48&gt;設定!$B$3),"",IF(INDEX(原始資料!AY$2:AY$501,$BJ119)="","",INDEX(原始資料!AY$2:AY$501,$BJ119)))</f>
        <v/>
      </c>
      <c r="AX119" s="6">
        <f>IF(OR($BJ119="",49&gt;設定!$B$3),"",IF(INDEX(原始資料!AZ$2:AZ$501,$BJ119)="","",INDEX(原始資料!AZ$2:AZ$501,$BJ119)))</f>
        <v/>
      </c>
      <c r="AY119" s="6">
        <f>IF(OR($BJ119="",50&gt;設定!$B$3),"",IF(INDEX(原始資料!BA$2:BA$501,$BJ119)="","",INDEX(原始資料!BA$2:BA$501,$BJ119)))</f>
        <v/>
      </c>
      <c r="AZ119" s="6">
        <f>IF(OR($BJ119="",51&gt;設定!$B$3),"",IF(INDEX(原始資料!BB$2:BB$501,$BJ119)="","",INDEX(原始資料!BB$2:BB$501,$BJ119)))</f>
        <v/>
      </c>
      <c r="BA119" s="6">
        <f>IF(OR($BJ119="",52&gt;設定!$B$3),"",IF(INDEX(原始資料!BC$2:BC$501,$BJ119)="","",INDEX(原始資料!BC$2:BC$501,$BJ119)))</f>
        <v/>
      </c>
      <c r="BB119" s="6">
        <f>IF(OR($BJ119="",53&gt;設定!$B$3),"",IF(INDEX(原始資料!BD$2:BD$501,$BJ119)="","",INDEX(原始資料!BD$2:BD$501,$BJ119)))</f>
        <v/>
      </c>
      <c r="BC119" s="6">
        <f>IF(OR($BJ119="",54&gt;設定!$B$3),"",IF(INDEX(原始資料!BE$2:BE$501,$BJ119)="","",INDEX(原始資料!BE$2:BE$501,$BJ119)))</f>
        <v/>
      </c>
      <c r="BD119" s="6">
        <f>IF(OR($BJ119="",55&gt;設定!$B$3),"",IF(INDEX(原始資料!BF$2:BF$501,$BJ119)="","",INDEX(原始資料!BF$2:BF$501,$BJ119)))</f>
        <v/>
      </c>
      <c r="BE119" s="6">
        <f>IF(OR($BJ119="",56&gt;設定!$B$3),"",IF(INDEX(原始資料!BG$2:BG$501,$BJ119)="","",INDEX(原始資料!BG$2:BG$501,$BJ119)))</f>
        <v/>
      </c>
      <c r="BF119" s="6">
        <f>IF(OR($BJ119="",57&gt;設定!$B$3),"",IF(INDEX(原始資料!BH$2:BH$501,$BJ119)="","",INDEX(原始資料!BH$2:BH$501,$BJ119)))</f>
        <v/>
      </c>
      <c r="BG119" s="6">
        <f>IF(OR($BJ119="",58&gt;設定!$B$3),"",IF(INDEX(原始資料!BI$2:BI$501,$BJ119)="","",INDEX(原始資料!BI$2:BI$501,$BJ119)))</f>
        <v/>
      </c>
      <c r="BH119" s="6">
        <f>IF(OR($BJ119="",59&gt;設定!$B$3),"",IF(INDEX(原始資料!BJ$2:BJ$501,$BJ119)="","",INDEX(原始資料!BJ$2:BJ$501,$BJ119)))</f>
        <v/>
      </c>
      <c r="BI119" s="6">
        <f>IF(OR($BJ119="",60&gt;設定!$B$3),"",IF(INDEX(原始資料!BK$2:BK$501,$BJ119)="","",INDEX(原始資料!BK$2:BK$501,$BJ119)))</f>
        <v/>
      </c>
      <c r="BJ119" s="6">
        <f>IFERROR(MATCH(ROW()-1,判定!$H$2:$H$501,0),"")</f>
        <v/>
      </c>
    </row>
    <row r="120">
      <c r="A120" s="6">
        <f>IF($BJ120="","",INDEX(原始資料!$A$2:$A$501,$BJ120))</f>
        <v/>
      </c>
      <c r="B120" s="6">
        <f>IF(OR($BJ120="",1&gt;設定!$B$3),"",IF(INDEX(原始資料!D$2:D$501,$BJ120)="","",INDEX(原始資料!D$2:D$501,$BJ120)))</f>
        <v/>
      </c>
      <c r="C120" s="6">
        <f>IF(OR($BJ120="",2&gt;設定!$B$3),"",IF(INDEX(原始資料!E$2:E$501,$BJ120)="","",INDEX(原始資料!E$2:E$501,$BJ120)))</f>
        <v/>
      </c>
      <c r="D120" s="6">
        <f>IF(OR($BJ120="",3&gt;設定!$B$3),"",IF(INDEX(原始資料!F$2:F$501,$BJ120)="","",INDEX(原始資料!F$2:F$501,$BJ120)))</f>
        <v/>
      </c>
      <c r="E120" s="6">
        <f>IF(OR($BJ120="",4&gt;設定!$B$3),"",IF(INDEX(原始資料!G$2:G$501,$BJ120)="","",INDEX(原始資料!G$2:G$501,$BJ120)))</f>
        <v/>
      </c>
      <c r="F120" s="6">
        <f>IF(OR($BJ120="",5&gt;設定!$B$3),"",IF(INDEX(原始資料!H$2:H$501,$BJ120)="","",INDEX(原始資料!H$2:H$501,$BJ120)))</f>
        <v/>
      </c>
      <c r="G120" s="6">
        <f>IF(OR($BJ120="",6&gt;設定!$B$3),"",IF(INDEX(原始資料!I$2:I$501,$BJ120)="","",INDEX(原始資料!I$2:I$501,$BJ120)))</f>
        <v/>
      </c>
      <c r="H120" s="6">
        <f>IF(OR($BJ120="",7&gt;設定!$B$3),"",IF(INDEX(原始資料!J$2:J$501,$BJ120)="","",INDEX(原始資料!J$2:J$501,$BJ120)))</f>
        <v/>
      </c>
      <c r="I120" s="6">
        <f>IF(OR($BJ120="",8&gt;設定!$B$3),"",IF(INDEX(原始資料!K$2:K$501,$BJ120)="","",INDEX(原始資料!K$2:K$501,$BJ120)))</f>
        <v/>
      </c>
      <c r="J120" s="6">
        <f>IF(OR($BJ120="",9&gt;設定!$B$3),"",IF(INDEX(原始資料!L$2:L$501,$BJ120)="","",INDEX(原始資料!L$2:L$501,$BJ120)))</f>
        <v/>
      </c>
      <c r="K120" s="6">
        <f>IF(OR($BJ120="",10&gt;設定!$B$3),"",IF(INDEX(原始資料!M$2:M$501,$BJ120)="","",INDEX(原始資料!M$2:M$501,$BJ120)))</f>
        <v/>
      </c>
      <c r="L120" s="6">
        <f>IF(OR($BJ120="",11&gt;設定!$B$3),"",IF(INDEX(原始資料!N$2:N$501,$BJ120)="","",INDEX(原始資料!N$2:N$501,$BJ120)))</f>
        <v/>
      </c>
      <c r="M120" s="6">
        <f>IF(OR($BJ120="",12&gt;設定!$B$3),"",IF(INDEX(原始資料!O$2:O$501,$BJ120)="","",INDEX(原始資料!O$2:O$501,$BJ120)))</f>
        <v/>
      </c>
      <c r="N120" s="6">
        <f>IF(OR($BJ120="",13&gt;設定!$B$3),"",IF(INDEX(原始資料!P$2:P$501,$BJ120)="","",INDEX(原始資料!P$2:P$501,$BJ120)))</f>
        <v/>
      </c>
      <c r="O120" s="6">
        <f>IF(OR($BJ120="",14&gt;設定!$B$3),"",IF(INDEX(原始資料!Q$2:Q$501,$BJ120)="","",INDEX(原始資料!Q$2:Q$501,$BJ120)))</f>
        <v/>
      </c>
      <c r="P120" s="6">
        <f>IF(OR($BJ120="",15&gt;設定!$B$3),"",IF(INDEX(原始資料!R$2:R$501,$BJ120)="","",INDEX(原始資料!R$2:R$501,$BJ120)))</f>
        <v/>
      </c>
      <c r="Q120" s="6">
        <f>IF(OR($BJ120="",16&gt;設定!$B$3),"",IF(INDEX(原始資料!S$2:S$501,$BJ120)="","",INDEX(原始資料!S$2:S$501,$BJ120)))</f>
        <v/>
      </c>
      <c r="R120" s="6">
        <f>IF(OR($BJ120="",17&gt;設定!$B$3),"",IF(INDEX(原始資料!T$2:T$501,$BJ120)="","",INDEX(原始資料!T$2:T$501,$BJ120)))</f>
        <v/>
      </c>
      <c r="S120" s="6">
        <f>IF(OR($BJ120="",18&gt;設定!$B$3),"",IF(INDEX(原始資料!U$2:U$501,$BJ120)="","",INDEX(原始資料!U$2:U$501,$BJ120)))</f>
        <v/>
      </c>
      <c r="T120" s="6">
        <f>IF(OR($BJ120="",19&gt;設定!$B$3),"",IF(INDEX(原始資料!V$2:V$501,$BJ120)="","",INDEX(原始資料!V$2:V$501,$BJ120)))</f>
        <v/>
      </c>
      <c r="U120" s="6">
        <f>IF(OR($BJ120="",20&gt;設定!$B$3),"",IF(INDEX(原始資料!W$2:W$501,$BJ120)="","",INDEX(原始資料!W$2:W$501,$BJ120)))</f>
        <v/>
      </c>
      <c r="V120" s="6">
        <f>IF(OR($BJ120="",21&gt;設定!$B$3),"",IF(INDEX(原始資料!X$2:X$501,$BJ120)="","",INDEX(原始資料!X$2:X$501,$BJ120)))</f>
        <v/>
      </c>
      <c r="W120" s="6">
        <f>IF(OR($BJ120="",22&gt;設定!$B$3),"",IF(INDEX(原始資料!Y$2:Y$501,$BJ120)="","",INDEX(原始資料!Y$2:Y$501,$BJ120)))</f>
        <v/>
      </c>
      <c r="X120" s="6">
        <f>IF(OR($BJ120="",23&gt;設定!$B$3),"",IF(INDEX(原始資料!Z$2:Z$501,$BJ120)="","",INDEX(原始資料!Z$2:Z$501,$BJ120)))</f>
        <v/>
      </c>
      <c r="Y120" s="6">
        <f>IF(OR($BJ120="",24&gt;設定!$B$3),"",IF(INDEX(原始資料!AA$2:AA$501,$BJ120)="","",INDEX(原始資料!AA$2:AA$501,$BJ120)))</f>
        <v/>
      </c>
      <c r="Z120" s="6">
        <f>IF(OR($BJ120="",25&gt;設定!$B$3),"",IF(INDEX(原始資料!AB$2:AB$501,$BJ120)="","",INDEX(原始資料!AB$2:AB$501,$BJ120)))</f>
        <v/>
      </c>
      <c r="AA120" s="6">
        <f>IF(OR($BJ120="",26&gt;設定!$B$3),"",IF(INDEX(原始資料!AC$2:AC$501,$BJ120)="","",INDEX(原始資料!AC$2:AC$501,$BJ120)))</f>
        <v/>
      </c>
      <c r="AB120" s="6">
        <f>IF(OR($BJ120="",27&gt;設定!$B$3),"",IF(INDEX(原始資料!AD$2:AD$501,$BJ120)="","",INDEX(原始資料!AD$2:AD$501,$BJ120)))</f>
        <v/>
      </c>
      <c r="AC120" s="6">
        <f>IF(OR($BJ120="",28&gt;設定!$B$3),"",IF(INDEX(原始資料!AE$2:AE$501,$BJ120)="","",INDEX(原始資料!AE$2:AE$501,$BJ120)))</f>
        <v/>
      </c>
      <c r="AD120" s="6">
        <f>IF(OR($BJ120="",29&gt;設定!$B$3),"",IF(INDEX(原始資料!AF$2:AF$501,$BJ120)="","",INDEX(原始資料!AF$2:AF$501,$BJ120)))</f>
        <v/>
      </c>
      <c r="AE120" s="6">
        <f>IF(OR($BJ120="",30&gt;設定!$B$3),"",IF(INDEX(原始資料!AG$2:AG$501,$BJ120)="","",INDEX(原始資料!AG$2:AG$501,$BJ120)))</f>
        <v/>
      </c>
      <c r="AF120" s="6">
        <f>IF(OR($BJ120="",31&gt;設定!$B$3),"",IF(INDEX(原始資料!AH$2:AH$501,$BJ120)="","",INDEX(原始資料!AH$2:AH$501,$BJ120)))</f>
        <v/>
      </c>
      <c r="AG120" s="6">
        <f>IF(OR($BJ120="",32&gt;設定!$B$3),"",IF(INDEX(原始資料!AI$2:AI$501,$BJ120)="","",INDEX(原始資料!AI$2:AI$501,$BJ120)))</f>
        <v/>
      </c>
      <c r="AH120" s="6">
        <f>IF(OR($BJ120="",33&gt;設定!$B$3),"",IF(INDEX(原始資料!AJ$2:AJ$501,$BJ120)="","",INDEX(原始資料!AJ$2:AJ$501,$BJ120)))</f>
        <v/>
      </c>
      <c r="AI120" s="6">
        <f>IF(OR($BJ120="",34&gt;設定!$B$3),"",IF(INDEX(原始資料!AK$2:AK$501,$BJ120)="","",INDEX(原始資料!AK$2:AK$501,$BJ120)))</f>
        <v/>
      </c>
      <c r="AJ120" s="6">
        <f>IF(OR($BJ120="",35&gt;設定!$B$3),"",IF(INDEX(原始資料!AL$2:AL$501,$BJ120)="","",INDEX(原始資料!AL$2:AL$501,$BJ120)))</f>
        <v/>
      </c>
      <c r="AK120" s="6">
        <f>IF(OR($BJ120="",36&gt;設定!$B$3),"",IF(INDEX(原始資料!AM$2:AM$501,$BJ120)="","",INDEX(原始資料!AM$2:AM$501,$BJ120)))</f>
        <v/>
      </c>
      <c r="AL120" s="6">
        <f>IF(OR($BJ120="",37&gt;設定!$B$3),"",IF(INDEX(原始資料!AN$2:AN$501,$BJ120)="","",INDEX(原始資料!AN$2:AN$501,$BJ120)))</f>
        <v/>
      </c>
      <c r="AM120" s="6">
        <f>IF(OR($BJ120="",38&gt;設定!$B$3),"",IF(INDEX(原始資料!AO$2:AO$501,$BJ120)="","",INDEX(原始資料!AO$2:AO$501,$BJ120)))</f>
        <v/>
      </c>
      <c r="AN120" s="6">
        <f>IF(OR($BJ120="",39&gt;設定!$B$3),"",IF(INDEX(原始資料!AP$2:AP$501,$BJ120)="","",INDEX(原始資料!AP$2:AP$501,$BJ120)))</f>
        <v/>
      </c>
      <c r="AO120" s="6">
        <f>IF(OR($BJ120="",40&gt;設定!$B$3),"",IF(INDEX(原始資料!AQ$2:AQ$501,$BJ120)="","",INDEX(原始資料!AQ$2:AQ$501,$BJ120)))</f>
        <v/>
      </c>
      <c r="AP120" s="6">
        <f>IF(OR($BJ120="",41&gt;設定!$B$3),"",IF(INDEX(原始資料!AR$2:AR$501,$BJ120)="","",INDEX(原始資料!AR$2:AR$501,$BJ120)))</f>
        <v/>
      </c>
      <c r="AQ120" s="6">
        <f>IF(OR($BJ120="",42&gt;設定!$B$3),"",IF(INDEX(原始資料!AS$2:AS$501,$BJ120)="","",INDEX(原始資料!AS$2:AS$501,$BJ120)))</f>
        <v/>
      </c>
      <c r="AR120" s="6">
        <f>IF(OR($BJ120="",43&gt;設定!$B$3),"",IF(INDEX(原始資料!AT$2:AT$501,$BJ120)="","",INDEX(原始資料!AT$2:AT$501,$BJ120)))</f>
        <v/>
      </c>
      <c r="AS120" s="6">
        <f>IF(OR($BJ120="",44&gt;設定!$B$3),"",IF(INDEX(原始資料!AU$2:AU$501,$BJ120)="","",INDEX(原始資料!AU$2:AU$501,$BJ120)))</f>
        <v/>
      </c>
      <c r="AT120" s="6">
        <f>IF(OR($BJ120="",45&gt;設定!$B$3),"",IF(INDEX(原始資料!AV$2:AV$501,$BJ120)="","",INDEX(原始資料!AV$2:AV$501,$BJ120)))</f>
        <v/>
      </c>
      <c r="AU120" s="6">
        <f>IF(OR($BJ120="",46&gt;設定!$B$3),"",IF(INDEX(原始資料!AW$2:AW$501,$BJ120)="","",INDEX(原始資料!AW$2:AW$501,$BJ120)))</f>
        <v/>
      </c>
      <c r="AV120" s="6">
        <f>IF(OR($BJ120="",47&gt;設定!$B$3),"",IF(INDEX(原始資料!AX$2:AX$501,$BJ120)="","",INDEX(原始資料!AX$2:AX$501,$BJ120)))</f>
        <v/>
      </c>
      <c r="AW120" s="6">
        <f>IF(OR($BJ120="",48&gt;設定!$B$3),"",IF(INDEX(原始資料!AY$2:AY$501,$BJ120)="","",INDEX(原始資料!AY$2:AY$501,$BJ120)))</f>
        <v/>
      </c>
      <c r="AX120" s="6">
        <f>IF(OR($BJ120="",49&gt;設定!$B$3),"",IF(INDEX(原始資料!AZ$2:AZ$501,$BJ120)="","",INDEX(原始資料!AZ$2:AZ$501,$BJ120)))</f>
        <v/>
      </c>
      <c r="AY120" s="6">
        <f>IF(OR($BJ120="",50&gt;設定!$B$3),"",IF(INDEX(原始資料!BA$2:BA$501,$BJ120)="","",INDEX(原始資料!BA$2:BA$501,$BJ120)))</f>
        <v/>
      </c>
      <c r="AZ120" s="6">
        <f>IF(OR($BJ120="",51&gt;設定!$B$3),"",IF(INDEX(原始資料!BB$2:BB$501,$BJ120)="","",INDEX(原始資料!BB$2:BB$501,$BJ120)))</f>
        <v/>
      </c>
      <c r="BA120" s="6">
        <f>IF(OR($BJ120="",52&gt;設定!$B$3),"",IF(INDEX(原始資料!BC$2:BC$501,$BJ120)="","",INDEX(原始資料!BC$2:BC$501,$BJ120)))</f>
        <v/>
      </c>
      <c r="BB120" s="6">
        <f>IF(OR($BJ120="",53&gt;設定!$B$3),"",IF(INDEX(原始資料!BD$2:BD$501,$BJ120)="","",INDEX(原始資料!BD$2:BD$501,$BJ120)))</f>
        <v/>
      </c>
      <c r="BC120" s="6">
        <f>IF(OR($BJ120="",54&gt;設定!$B$3),"",IF(INDEX(原始資料!BE$2:BE$501,$BJ120)="","",INDEX(原始資料!BE$2:BE$501,$BJ120)))</f>
        <v/>
      </c>
      <c r="BD120" s="6">
        <f>IF(OR($BJ120="",55&gt;設定!$B$3),"",IF(INDEX(原始資料!BF$2:BF$501,$BJ120)="","",INDEX(原始資料!BF$2:BF$501,$BJ120)))</f>
        <v/>
      </c>
      <c r="BE120" s="6">
        <f>IF(OR($BJ120="",56&gt;設定!$B$3),"",IF(INDEX(原始資料!BG$2:BG$501,$BJ120)="","",INDEX(原始資料!BG$2:BG$501,$BJ120)))</f>
        <v/>
      </c>
      <c r="BF120" s="6">
        <f>IF(OR($BJ120="",57&gt;設定!$B$3),"",IF(INDEX(原始資料!BH$2:BH$501,$BJ120)="","",INDEX(原始資料!BH$2:BH$501,$BJ120)))</f>
        <v/>
      </c>
      <c r="BG120" s="6">
        <f>IF(OR($BJ120="",58&gt;設定!$B$3),"",IF(INDEX(原始資料!BI$2:BI$501,$BJ120)="","",INDEX(原始資料!BI$2:BI$501,$BJ120)))</f>
        <v/>
      </c>
      <c r="BH120" s="6">
        <f>IF(OR($BJ120="",59&gt;設定!$B$3),"",IF(INDEX(原始資料!BJ$2:BJ$501,$BJ120)="","",INDEX(原始資料!BJ$2:BJ$501,$BJ120)))</f>
        <v/>
      </c>
      <c r="BI120" s="6">
        <f>IF(OR($BJ120="",60&gt;設定!$B$3),"",IF(INDEX(原始資料!BK$2:BK$501,$BJ120)="","",INDEX(原始資料!BK$2:BK$501,$BJ120)))</f>
        <v/>
      </c>
      <c r="BJ120" s="6">
        <f>IFERROR(MATCH(ROW()-1,判定!$H$2:$H$501,0),"")</f>
        <v/>
      </c>
    </row>
    <row r="121">
      <c r="A121" s="6">
        <f>IF($BJ121="","",INDEX(原始資料!$A$2:$A$501,$BJ121))</f>
        <v/>
      </c>
      <c r="B121" s="6">
        <f>IF(OR($BJ121="",1&gt;設定!$B$3),"",IF(INDEX(原始資料!D$2:D$501,$BJ121)="","",INDEX(原始資料!D$2:D$501,$BJ121)))</f>
        <v/>
      </c>
      <c r="C121" s="6">
        <f>IF(OR($BJ121="",2&gt;設定!$B$3),"",IF(INDEX(原始資料!E$2:E$501,$BJ121)="","",INDEX(原始資料!E$2:E$501,$BJ121)))</f>
        <v/>
      </c>
      <c r="D121" s="6">
        <f>IF(OR($BJ121="",3&gt;設定!$B$3),"",IF(INDEX(原始資料!F$2:F$501,$BJ121)="","",INDEX(原始資料!F$2:F$501,$BJ121)))</f>
        <v/>
      </c>
      <c r="E121" s="6">
        <f>IF(OR($BJ121="",4&gt;設定!$B$3),"",IF(INDEX(原始資料!G$2:G$501,$BJ121)="","",INDEX(原始資料!G$2:G$501,$BJ121)))</f>
        <v/>
      </c>
      <c r="F121" s="6">
        <f>IF(OR($BJ121="",5&gt;設定!$B$3),"",IF(INDEX(原始資料!H$2:H$501,$BJ121)="","",INDEX(原始資料!H$2:H$501,$BJ121)))</f>
        <v/>
      </c>
      <c r="G121" s="6">
        <f>IF(OR($BJ121="",6&gt;設定!$B$3),"",IF(INDEX(原始資料!I$2:I$501,$BJ121)="","",INDEX(原始資料!I$2:I$501,$BJ121)))</f>
        <v/>
      </c>
      <c r="H121" s="6">
        <f>IF(OR($BJ121="",7&gt;設定!$B$3),"",IF(INDEX(原始資料!J$2:J$501,$BJ121)="","",INDEX(原始資料!J$2:J$501,$BJ121)))</f>
        <v/>
      </c>
      <c r="I121" s="6">
        <f>IF(OR($BJ121="",8&gt;設定!$B$3),"",IF(INDEX(原始資料!K$2:K$501,$BJ121)="","",INDEX(原始資料!K$2:K$501,$BJ121)))</f>
        <v/>
      </c>
      <c r="J121" s="6">
        <f>IF(OR($BJ121="",9&gt;設定!$B$3),"",IF(INDEX(原始資料!L$2:L$501,$BJ121)="","",INDEX(原始資料!L$2:L$501,$BJ121)))</f>
        <v/>
      </c>
      <c r="K121" s="6">
        <f>IF(OR($BJ121="",10&gt;設定!$B$3),"",IF(INDEX(原始資料!M$2:M$501,$BJ121)="","",INDEX(原始資料!M$2:M$501,$BJ121)))</f>
        <v/>
      </c>
      <c r="L121" s="6">
        <f>IF(OR($BJ121="",11&gt;設定!$B$3),"",IF(INDEX(原始資料!N$2:N$501,$BJ121)="","",INDEX(原始資料!N$2:N$501,$BJ121)))</f>
        <v/>
      </c>
      <c r="M121" s="6">
        <f>IF(OR($BJ121="",12&gt;設定!$B$3),"",IF(INDEX(原始資料!O$2:O$501,$BJ121)="","",INDEX(原始資料!O$2:O$501,$BJ121)))</f>
        <v/>
      </c>
      <c r="N121" s="6">
        <f>IF(OR($BJ121="",13&gt;設定!$B$3),"",IF(INDEX(原始資料!P$2:P$501,$BJ121)="","",INDEX(原始資料!P$2:P$501,$BJ121)))</f>
        <v/>
      </c>
      <c r="O121" s="6">
        <f>IF(OR($BJ121="",14&gt;設定!$B$3),"",IF(INDEX(原始資料!Q$2:Q$501,$BJ121)="","",INDEX(原始資料!Q$2:Q$501,$BJ121)))</f>
        <v/>
      </c>
      <c r="P121" s="6">
        <f>IF(OR($BJ121="",15&gt;設定!$B$3),"",IF(INDEX(原始資料!R$2:R$501,$BJ121)="","",INDEX(原始資料!R$2:R$501,$BJ121)))</f>
        <v/>
      </c>
      <c r="Q121" s="6">
        <f>IF(OR($BJ121="",16&gt;設定!$B$3),"",IF(INDEX(原始資料!S$2:S$501,$BJ121)="","",INDEX(原始資料!S$2:S$501,$BJ121)))</f>
        <v/>
      </c>
      <c r="R121" s="6">
        <f>IF(OR($BJ121="",17&gt;設定!$B$3),"",IF(INDEX(原始資料!T$2:T$501,$BJ121)="","",INDEX(原始資料!T$2:T$501,$BJ121)))</f>
        <v/>
      </c>
      <c r="S121" s="6">
        <f>IF(OR($BJ121="",18&gt;設定!$B$3),"",IF(INDEX(原始資料!U$2:U$501,$BJ121)="","",INDEX(原始資料!U$2:U$501,$BJ121)))</f>
        <v/>
      </c>
      <c r="T121" s="6">
        <f>IF(OR($BJ121="",19&gt;設定!$B$3),"",IF(INDEX(原始資料!V$2:V$501,$BJ121)="","",INDEX(原始資料!V$2:V$501,$BJ121)))</f>
        <v/>
      </c>
      <c r="U121" s="6">
        <f>IF(OR($BJ121="",20&gt;設定!$B$3),"",IF(INDEX(原始資料!W$2:W$501,$BJ121)="","",INDEX(原始資料!W$2:W$501,$BJ121)))</f>
        <v/>
      </c>
      <c r="V121" s="6">
        <f>IF(OR($BJ121="",21&gt;設定!$B$3),"",IF(INDEX(原始資料!X$2:X$501,$BJ121)="","",INDEX(原始資料!X$2:X$501,$BJ121)))</f>
        <v/>
      </c>
      <c r="W121" s="6">
        <f>IF(OR($BJ121="",22&gt;設定!$B$3),"",IF(INDEX(原始資料!Y$2:Y$501,$BJ121)="","",INDEX(原始資料!Y$2:Y$501,$BJ121)))</f>
        <v/>
      </c>
      <c r="X121" s="6">
        <f>IF(OR($BJ121="",23&gt;設定!$B$3),"",IF(INDEX(原始資料!Z$2:Z$501,$BJ121)="","",INDEX(原始資料!Z$2:Z$501,$BJ121)))</f>
        <v/>
      </c>
      <c r="Y121" s="6">
        <f>IF(OR($BJ121="",24&gt;設定!$B$3),"",IF(INDEX(原始資料!AA$2:AA$501,$BJ121)="","",INDEX(原始資料!AA$2:AA$501,$BJ121)))</f>
        <v/>
      </c>
      <c r="Z121" s="6">
        <f>IF(OR($BJ121="",25&gt;設定!$B$3),"",IF(INDEX(原始資料!AB$2:AB$501,$BJ121)="","",INDEX(原始資料!AB$2:AB$501,$BJ121)))</f>
        <v/>
      </c>
      <c r="AA121" s="6">
        <f>IF(OR($BJ121="",26&gt;設定!$B$3),"",IF(INDEX(原始資料!AC$2:AC$501,$BJ121)="","",INDEX(原始資料!AC$2:AC$501,$BJ121)))</f>
        <v/>
      </c>
      <c r="AB121" s="6">
        <f>IF(OR($BJ121="",27&gt;設定!$B$3),"",IF(INDEX(原始資料!AD$2:AD$501,$BJ121)="","",INDEX(原始資料!AD$2:AD$501,$BJ121)))</f>
        <v/>
      </c>
      <c r="AC121" s="6">
        <f>IF(OR($BJ121="",28&gt;設定!$B$3),"",IF(INDEX(原始資料!AE$2:AE$501,$BJ121)="","",INDEX(原始資料!AE$2:AE$501,$BJ121)))</f>
        <v/>
      </c>
      <c r="AD121" s="6">
        <f>IF(OR($BJ121="",29&gt;設定!$B$3),"",IF(INDEX(原始資料!AF$2:AF$501,$BJ121)="","",INDEX(原始資料!AF$2:AF$501,$BJ121)))</f>
        <v/>
      </c>
      <c r="AE121" s="6">
        <f>IF(OR($BJ121="",30&gt;設定!$B$3),"",IF(INDEX(原始資料!AG$2:AG$501,$BJ121)="","",INDEX(原始資料!AG$2:AG$501,$BJ121)))</f>
        <v/>
      </c>
      <c r="AF121" s="6">
        <f>IF(OR($BJ121="",31&gt;設定!$B$3),"",IF(INDEX(原始資料!AH$2:AH$501,$BJ121)="","",INDEX(原始資料!AH$2:AH$501,$BJ121)))</f>
        <v/>
      </c>
      <c r="AG121" s="6">
        <f>IF(OR($BJ121="",32&gt;設定!$B$3),"",IF(INDEX(原始資料!AI$2:AI$501,$BJ121)="","",INDEX(原始資料!AI$2:AI$501,$BJ121)))</f>
        <v/>
      </c>
      <c r="AH121" s="6">
        <f>IF(OR($BJ121="",33&gt;設定!$B$3),"",IF(INDEX(原始資料!AJ$2:AJ$501,$BJ121)="","",INDEX(原始資料!AJ$2:AJ$501,$BJ121)))</f>
        <v/>
      </c>
      <c r="AI121" s="6">
        <f>IF(OR($BJ121="",34&gt;設定!$B$3),"",IF(INDEX(原始資料!AK$2:AK$501,$BJ121)="","",INDEX(原始資料!AK$2:AK$501,$BJ121)))</f>
        <v/>
      </c>
      <c r="AJ121" s="6">
        <f>IF(OR($BJ121="",35&gt;設定!$B$3),"",IF(INDEX(原始資料!AL$2:AL$501,$BJ121)="","",INDEX(原始資料!AL$2:AL$501,$BJ121)))</f>
        <v/>
      </c>
      <c r="AK121" s="6">
        <f>IF(OR($BJ121="",36&gt;設定!$B$3),"",IF(INDEX(原始資料!AM$2:AM$501,$BJ121)="","",INDEX(原始資料!AM$2:AM$501,$BJ121)))</f>
        <v/>
      </c>
      <c r="AL121" s="6">
        <f>IF(OR($BJ121="",37&gt;設定!$B$3),"",IF(INDEX(原始資料!AN$2:AN$501,$BJ121)="","",INDEX(原始資料!AN$2:AN$501,$BJ121)))</f>
        <v/>
      </c>
      <c r="AM121" s="6">
        <f>IF(OR($BJ121="",38&gt;設定!$B$3),"",IF(INDEX(原始資料!AO$2:AO$501,$BJ121)="","",INDEX(原始資料!AO$2:AO$501,$BJ121)))</f>
        <v/>
      </c>
      <c r="AN121" s="6">
        <f>IF(OR($BJ121="",39&gt;設定!$B$3),"",IF(INDEX(原始資料!AP$2:AP$501,$BJ121)="","",INDEX(原始資料!AP$2:AP$501,$BJ121)))</f>
        <v/>
      </c>
      <c r="AO121" s="6">
        <f>IF(OR($BJ121="",40&gt;設定!$B$3),"",IF(INDEX(原始資料!AQ$2:AQ$501,$BJ121)="","",INDEX(原始資料!AQ$2:AQ$501,$BJ121)))</f>
        <v/>
      </c>
      <c r="AP121" s="6">
        <f>IF(OR($BJ121="",41&gt;設定!$B$3),"",IF(INDEX(原始資料!AR$2:AR$501,$BJ121)="","",INDEX(原始資料!AR$2:AR$501,$BJ121)))</f>
        <v/>
      </c>
      <c r="AQ121" s="6">
        <f>IF(OR($BJ121="",42&gt;設定!$B$3),"",IF(INDEX(原始資料!AS$2:AS$501,$BJ121)="","",INDEX(原始資料!AS$2:AS$501,$BJ121)))</f>
        <v/>
      </c>
      <c r="AR121" s="6">
        <f>IF(OR($BJ121="",43&gt;設定!$B$3),"",IF(INDEX(原始資料!AT$2:AT$501,$BJ121)="","",INDEX(原始資料!AT$2:AT$501,$BJ121)))</f>
        <v/>
      </c>
      <c r="AS121" s="6">
        <f>IF(OR($BJ121="",44&gt;設定!$B$3),"",IF(INDEX(原始資料!AU$2:AU$501,$BJ121)="","",INDEX(原始資料!AU$2:AU$501,$BJ121)))</f>
        <v/>
      </c>
      <c r="AT121" s="6">
        <f>IF(OR($BJ121="",45&gt;設定!$B$3),"",IF(INDEX(原始資料!AV$2:AV$501,$BJ121)="","",INDEX(原始資料!AV$2:AV$501,$BJ121)))</f>
        <v/>
      </c>
      <c r="AU121" s="6">
        <f>IF(OR($BJ121="",46&gt;設定!$B$3),"",IF(INDEX(原始資料!AW$2:AW$501,$BJ121)="","",INDEX(原始資料!AW$2:AW$501,$BJ121)))</f>
        <v/>
      </c>
      <c r="AV121" s="6">
        <f>IF(OR($BJ121="",47&gt;設定!$B$3),"",IF(INDEX(原始資料!AX$2:AX$501,$BJ121)="","",INDEX(原始資料!AX$2:AX$501,$BJ121)))</f>
        <v/>
      </c>
      <c r="AW121" s="6">
        <f>IF(OR($BJ121="",48&gt;設定!$B$3),"",IF(INDEX(原始資料!AY$2:AY$501,$BJ121)="","",INDEX(原始資料!AY$2:AY$501,$BJ121)))</f>
        <v/>
      </c>
      <c r="AX121" s="6">
        <f>IF(OR($BJ121="",49&gt;設定!$B$3),"",IF(INDEX(原始資料!AZ$2:AZ$501,$BJ121)="","",INDEX(原始資料!AZ$2:AZ$501,$BJ121)))</f>
        <v/>
      </c>
      <c r="AY121" s="6">
        <f>IF(OR($BJ121="",50&gt;設定!$B$3),"",IF(INDEX(原始資料!BA$2:BA$501,$BJ121)="","",INDEX(原始資料!BA$2:BA$501,$BJ121)))</f>
        <v/>
      </c>
      <c r="AZ121" s="6">
        <f>IF(OR($BJ121="",51&gt;設定!$B$3),"",IF(INDEX(原始資料!BB$2:BB$501,$BJ121)="","",INDEX(原始資料!BB$2:BB$501,$BJ121)))</f>
        <v/>
      </c>
      <c r="BA121" s="6">
        <f>IF(OR($BJ121="",52&gt;設定!$B$3),"",IF(INDEX(原始資料!BC$2:BC$501,$BJ121)="","",INDEX(原始資料!BC$2:BC$501,$BJ121)))</f>
        <v/>
      </c>
      <c r="BB121" s="6">
        <f>IF(OR($BJ121="",53&gt;設定!$B$3),"",IF(INDEX(原始資料!BD$2:BD$501,$BJ121)="","",INDEX(原始資料!BD$2:BD$501,$BJ121)))</f>
        <v/>
      </c>
      <c r="BC121" s="6">
        <f>IF(OR($BJ121="",54&gt;設定!$B$3),"",IF(INDEX(原始資料!BE$2:BE$501,$BJ121)="","",INDEX(原始資料!BE$2:BE$501,$BJ121)))</f>
        <v/>
      </c>
      <c r="BD121" s="6">
        <f>IF(OR($BJ121="",55&gt;設定!$B$3),"",IF(INDEX(原始資料!BF$2:BF$501,$BJ121)="","",INDEX(原始資料!BF$2:BF$501,$BJ121)))</f>
        <v/>
      </c>
      <c r="BE121" s="6">
        <f>IF(OR($BJ121="",56&gt;設定!$B$3),"",IF(INDEX(原始資料!BG$2:BG$501,$BJ121)="","",INDEX(原始資料!BG$2:BG$501,$BJ121)))</f>
        <v/>
      </c>
      <c r="BF121" s="6">
        <f>IF(OR($BJ121="",57&gt;設定!$B$3),"",IF(INDEX(原始資料!BH$2:BH$501,$BJ121)="","",INDEX(原始資料!BH$2:BH$501,$BJ121)))</f>
        <v/>
      </c>
      <c r="BG121" s="6">
        <f>IF(OR($BJ121="",58&gt;設定!$B$3),"",IF(INDEX(原始資料!BI$2:BI$501,$BJ121)="","",INDEX(原始資料!BI$2:BI$501,$BJ121)))</f>
        <v/>
      </c>
      <c r="BH121" s="6">
        <f>IF(OR($BJ121="",59&gt;設定!$B$3),"",IF(INDEX(原始資料!BJ$2:BJ$501,$BJ121)="","",INDEX(原始資料!BJ$2:BJ$501,$BJ121)))</f>
        <v/>
      </c>
      <c r="BI121" s="6">
        <f>IF(OR($BJ121="",60&gt;設定!$B$3),"",IF(INDEX(原始資料!BK$2:BK$501,$BJ121)="","",INDEX(原始資料!BK$2:BK$501,$BJ121)))</f>
        <v/>
      </c>
      <c r="BJ121" s="6">
        <f>IFERROR(MATCH(ROW()-1,判定!$H$2:$H$501,0),"")</f>
        <v/>
      </c>
    </row>
    <row r="122">
      <c r="A122" s="6">
        <f>IF($BJ122="","",INDEX(原始資料!$A$2:$A$501,$BJ122))</f>
        <v/>
      </c>
      <c r="B122" s="6">
        <f>IF(OR($BJ122="",1&gt;設定!$B$3),"",IF(INDEX(原始資料!D$2:D$501,$BJ122)="","",INDEX(原始資料!D$2:D$501,$BJ122)))</f>
        <v/>
      </c>
      <c r="C122" s="6">
        <f>IF(OR($BJ122="",2&gt;設定!$B$3),"",IF(INDEX(原始資料!E$2:E$501,$BJ122)="","",INDEX(原始資料!E$2:E$501,$BJ122)))</f>
        <v/>
      </c>
      <c r="D122" s="6">
        <f>IF(OR($BJ122="",3&gt;設定!$B$3),"",IF(INDEX(原始資料!F$2:F$501,$BJ122)="","",INDEX(原始資料!F$2:F$501,$BJ122)))</f>
        <v/>
      </c>
      <c r="E122" s="6">
        <f>IF(OR($BJ122="",4&gt;設定!$B$3),"",IF(INDEX(原始資料!G$2:G$501,$BJ122)="","",INDEX(原始資料!G$2:G$501,$BJ122)))</f>
        <v/>
      </c>
      <c r="F122" s="6">
        <f>IF(OR($BJ122="",5&gt;設定!$B$3),"",IF(INDEX(原始資料!H$2:H$501,$BJ122)="","",INDEX(原始資料!H$2:H$501,$BJ122)))</f>
        <v/>
      </c>
      <c r="G122" s="6">
        <f>IF(OR($BJ122="",6&gt;設定!$B$3),"",IF(INDEX(原始資料!I$2:I$501,$BJ122)="","",INDEX(原始資料!I$2:I$501,$BJ122)))</f>
        <v/>
      </c>
      <c r="H122" s="6">
        <f>IF(OR($BJ122="",7&gt;設定!$B$3),"",IF(INDEX(原始資料!J$2:J$501,$BJ122)="","",INDEX(原始資料!J$2:J$501,$BJ122)))</f>
        <v/>
      </c>
      <c r="I122" s="6">
        <f>IF(OR($BJ122="",8&gt;設定!$B$3),"",IF(INDEX(原始資料!K$2:K$501,$BJ122)="","",INDEX(原始資料!K$2:K$501,$BJ122)))</f>
        <v/>
      </c>
      <c r="J122" s="6">
        <f>IF(OR($BJ122="",9&gt;設定!$B$3),"",IF(INDEX(原始資料!L$2:L$501,$BJ122)="","",INDEX(原始資料!L$2:L$501,$BJ122)))</f>
        <v/>
      </c>
      <c r="K122" s="6">
        <f>IF(OR($BJ122="",10&gt;設定!$B$3),"",IF(INDEX(原始資料!M$2:M$501,$BJ122)="","",INDEX(原始資料!M$2:M$501,$BJ122)))</f>
        <v/>
      </c>
      <c r="L122" s="6">
        <f>IF(OR($BJ122="",11&gt;設定!$B$3),"",IF(INDEX(原始資料!N$2:N$501,$BJ122)="","",INDEX(原始資料!N$2:N$501,$BJ122)))</f>
        <v/>
      </c>
      <c r="M122" s="6">
        <f>IF(OR($BJ122="",12&gt;設定!$B$3),"",IF(INDEX(原始資料!O$2:O$501,$BJ122)="","",INDEX(原始資料!O$2:O$501,$BJ122)))</f>
        <v/>
      </c>
      <c r="N122" s="6">
        <f>IF(OR($BJ122="",13&gt;設定!$B$3),"",IF(INDEX(原始資料!P$2:P$501,$BJ122)="","",INDEX(原始資料!P$2:P$501,$BJ122)))</f>
        <v/>
      </c>
      <c r="O122" s="6">
        <f>IF(OR($BJ122="",14&gt;設定!$B$3),"",IF(INDEX(原始資料!Q$2:Q$501,$BJ122)="","",INDEX(原始資料!Q$2:Q$501,$BJ122)))</f>
        <v/>
      </c>
      <c r="P122" s="6">
        <f>IF(OR($BJ122="",15&gt;設定!$B$3),"",IF(INDEX(原始資料!R$2:R$501,$BJ122)="","",INDEX(原始資料!R$2:R$501,$BJ122)))</f>
        <v/>
      </c>
      <c r="Q122" s="6">
        <f>IF(OR($BJ122="",16&gt;設定!$B$3),"",IF(INDEX(原始資料!S$2:S$501,$BJ122)="","",INDEX(原始資料!S$2:S$501,$BJ122)))</f>
        <v/>
      </c>
      <c r="R122" s="6">
        <f>IF(OR($BJ122="",17&gt;設定!$B$3),"",IF(INDEX(原始資料!T$2:T$501,$BJ122)="","",INDEX(原始資料!T$2:T$501,$BJ122)))</f>
        <v/>
      </c>
      <c r="S122" s="6">
        <f>IF(OR($BJ122="",18&gt;設定!$B$3),"",IF(INDEX(原始資料!U$2:U$501,$BJ122)="","",INDEX(原始資料!U$2:U$501,$BJ122)))</f>
        <v/>
      </c>
      <c r="T122" s="6">
        <f>IF(OR($BJ122="",19&gt;設定!$B$3),"",IF(INDEX(原始資料!V$2:V$501,$BJ122)="","",INDEX(原始資料!V$2:V$501,$BJ122)))</f>
        <v/>
      </c>
      <c r="U122" s="6">
        <f>IF(OR($BJ122="",20&gt;設定!$B$3),"",IF(INDEX(原始資料!W$2:W$501,$BJ122)="","",INDEX(原始資料!W$2:W$501,$BJ122)))</f>
        <v/>
      </c>
      <c r="V122" s="6">
        <f>IF(OR($BJ122="",21&gt;設定!$B$3),"",IF(INDEX(原始資料!X$2:X$501,$BJ122)="","",INDEX(原始資料!X$2:X$501,$BJ122)))</f>
        <v/>
      </c>
      <c r="W122" s="6">
        <f>IF(OR($BJ122="",22&gt;設定!$B$3),"",IF(INDEX(原始資料!Y$2:Y$501,$BJ122)="","",INDEX(原始資料!Y$2:Y$501,$BJ122)))</f>
        <v/>
      </c>
      <c r="X122" s="6">
        <f>IF(OR($BJ122="",23&gt;設定!$B$3),"",IF(INDEX(原始資料!Z$2:Z$501,$BJ122)="","",INDEX(原始資料!Z$2:Z$501,$BJ122)))</f>
        <v/>
      </c>
      <c r="Y122" s="6">
        <f>IF(OR($BJ122="",24&gt;設定!$B$3),"",IF(INDEX(原始資料!AA$2:AA$501,$BJ122)="","",INDEX(原始資料!AA$2:AA$501,$BJ122)))</f>
        <v/>
      </c>
      <c r="Z122" s="6">
        <f>IF(OR($BJ122="",25&gt;設定!$B$3),"",IF(INDEX(原始資料!AB$2:AB$501,$BJ122)="","",INDEX(原始資料!AB$2:AB$501,$BJ122)))</f>
        <v/>
      </c>
      <c r="AA122" s="6">
        <f>IF(OR($BJ122="",26&gt;設定!$B$3),"",IF(INDEX(原始資料!AC$2:AC$501,$BJ122)="","",INDEX(原始資料!AC$2:AC$501,$BJ122)))</f>
        <v/>
      </c>
      <c r="AB122" s="6">
        <f>IF(OR($BJ122="",27&gt;設定!$B$3),"",IF(INDEX(原始資料!AD$2:AD$501,$BJ122)="","",INDEX(原始資料!AD$2:AD$501,$BJ122)))</f>
        <v/>
      </c>
      <c r="AC122" s="6">
        <f>IF(OR($BJ122="",28&gt;設定!$B$3),"",IF(INDEX(原始資料!AE$2:AE$501,$BJ122)="","",INDEX(原始資料!AE$2:AE$501,$BJ122)))</f>
        <v/>
      </c>
      <c r="AD122" s="6">
        <f>IF(OR($BJ122="",29&gt;設定!$B$3),"",IF(INDEX(原始資料!AF$2:AF$501,$BJ122)="","",INDEX(原始資料!AF$2:AF$501,$BJ122)))</f>
        <v/>
      </c>
      <c r="AE122" s="6">
        <f>IF(OR($BJ122="",30&gt;設定!$B$3),"",IF(INDEX(原始資料!AG$2:AG$501,$BJ122)="","",INDEX(原始資料!AG$2:AG$501,$BJ122)))</f>
        <v/>
      </c>
      <c r="AF122" s="6">
        <f>IF(OR($BJ122="",31&gt;設定!$B$3),"",IF(INDEX(原始資料!AH$2:AH$501,$BJ122)="","",INDEX(原始資料!AH$2:AH$501,$BJ122)))</f>
        <v/>
      </c>
      <c r="AG122" s="6">
        <f>IF(OR($BJ122="",32&gt;設定!$B$3),"",IF(INDEX(原始資料!AI$2:AI$501,$BJ122)="","",INDEX(原始資料!AI$2:AI$501,$BJ122)))</f>
        <v/>
      </c>
      <c r="AH122" s="6">
        <f>IF(OR($BJ122="",33&gt;設定!$B$3),"",IF(INDEX(原始資料!AJ$2:AJ$501,$BJ122)="","",INDEX(原始資料!AJ$2:AJ$501,$BJ122)))</f>
        <v/>
      </c>
      <c r="AI122" s="6">
        <f>IF(OR($BJ122="",34&gt;設定!$B$3),"",IF(INDEX(原始資料!AK$2:AK$501,$BJ122)="","",INDEX(原始資料!AK$2:AK$501,$BJ122)))</f>
        <v/>
      </c>
      <c r="AJ122" s="6">
        <f>IF(OR($BJ122="",35&gt;設定!$B$3),"",IF(INDEX(原始資料!AL$2:AL$501,$BJ122)="","",INDEX(原始資料!AL$2:AL$501,$BJ122)))</f>
        <v/>
      </c>
      <c r="AK122" s="6">
        <f>IF(OR($BJ122="",36&gt;設定!$B$3),"",IF(INDEX(原始資料!AM$2:AM$501,$BJ122)="","",INDEX(原始資料!AM$2:AM$501,$BJ122)))</f>
        <v/>
      </c>
      <c r="AL122" s="6">
        <f>IF(OR($BJ122="",37&gt;設定!$B$3),"",IF(INDEX(原始資料!AN$2:AN$501,$BJ122)="","",INDEX(原始資料!AN$2:AN$501,$BJ122)))</f>
        <v/>
      </c>
      <c r="AM122" s="6">
        <f>IF(OR($BJ122="",38&gt;設定!$B$3),"",IF(INDEX(原始資料!AO$2:AO$501,$BJ122)="","",INDEX(原始資料!AO$2:AO$501,$BJ122)))</f>
        <v/>
      </c>
      <c r="AN122" s="6">
        <f>IF(OR($BJ122="",39&gt;設定!$B$3),"",IF(INDEX(原始資料!AP$2:AP$501,$BJ122)="","",INDEX(原始資料!AP$2:AP$501,$BJ122)))</f>
        <v/>
      </c>
      <c r="AO122" s="6">
        <f>IF(OR($BJ122="",40&gt;設定!$B$3),"",IF(INDEX(原始資料!AQ$2:AQ$501,$BJ122)="","",INDEX(原始資料!AQ$2:AQ$501,$BJ122)))</f>
        <v/>
      </c>
      <c r="AP122" s="6">
        <f>IF(OR($BJ122="",41&gt;設定!$B$3),"",IF(INDEX(原始資料!AR$2:AR$501,$BJ122)="","",INDEX(原始資料!AR$2:AR$501,$BJ122)))</f>
        <v/>
      </c>
      <c r="AQ122" s="6">
        <f>IF(OR($BJ122="",42&gt;設定!$B$3),"",IF(INDEX(原始資料!AS$2:AS$501,$BJ122)="","",INDEX(原始資料!AS$2:AS$501,$BJ122)))</f>
        <v/>
      </c>
      <c r="AR122" s="6">
        <f>IF(OR($BJ122="",43&gt;設定!$B$3),"",IF(INDEX(原始資料!AT$2:AT$501,$BJ122)="","",INDEX(原始資料!AT$2:AT$501,$BJ122)))</f>
        <v/>
      </c>
      <c r="AS122" s="6">
        <f>IF(OR($BJ122="",44&gt;設定!$B$3),"",IF(INDEX(原始資料!AU$2:AU$501,$BJ122)="","",INDEX(原始資料!AU$2:AU$501,$BJ122)))</f>
        <v/>
      </c>
      <c r="AT122" s="6">
        <f>IF(OR($BJ122="",45&gt;設定!$B$3),"",IF(INDEX(原始資料!AV$2:AV$501,$BJ122)="","",INDEX(原始資料!AV$2:AV$501,$BJ122)))</f>
        <v/>
      </c>
      <c r="AU122" s="6">
        <f>IF(OR($BJ122="",46&gt;設定!$B$3),"",IF(INDEX(原始資料!AW$2:AW$501,$BJ122)="","",INDEX(原始資料!AW$2:AW$501,$BJ122)))</f>
        <v/>
      </c>
      <c r="AV122" s="6">
        <f>IF(OR($BJ122="",47&gt;設定!$B$3),"",IF(INDEX(原始資料!AX$2:AX$501,$BJ122)="","",INDEX(原始資料!AX$2:AX$501,$BJ122)))</f>
        <v/>
      </c>
      <c r="AW122" s="6">
        <f>IF(OR($BJ122="",48&gt;設定!$B$3),"",IF(INDEX(原始資料!AY$2:AY$501,$BJ122)="","",INDEX(原始資料!AY$2:AY$501,$BJ122)))</f>
        <v/>
      </c>
      <c r="AX122" s="6">
        <f>IF(OR($BJ122="",49&gt;設定!$B$3),"",IF(INDEX(原始資料!AZ$2:AZ$501,$BJ122)="","",INDEX(原始資料!AZ$2:AZ$501,$BJ122)))</f>
        <v/>
      </c>
      <c r="AY122" s="6">
        <f>IF(OR($BJ122="",50&gt;設定!$B$3),"",IF(INDEX(原始資料!BA$2:BA$501,$BJ122)="","",INDEX(原始資料!BA$2:BA$501,$BJ122)))</f>
        <v/>
      </c>
      <c r="AZ122" s="6">
        <f>IF(OR($BJ122="",51&gt;設定!$B$3),"",IF(INDEX(原始資料!BB$2:BB$501,$BJ122)="","",INDEX(原始資料!BB$2:BB$501,$BJ122)))</f>
        <v/>
      </c>
      <c r="BA122" s="6">
        <f>IF(OR($BJ122="",52&gt;設定!$B$3),"",IF(INDEX(原始資料!BC$2:BC$501,$BJ122)="","",INDEX(原始資料!BC$2:BC$501,$BJ122)))</f>
        <v/>
      </c>
      <c r="BB122" s="6">
        <f>IF(OR($BJ122="",53&gt;設定!$B$3),"",IF(INDEX(原始資料!BD$2:BD$501,$BJ122)="","",INDEX(原始資料!BD$2:BD$501,$BJ122)))</f>
        <v/>
      </c>
      <c r="BC122" s="6">
        <f>IF(OR($BJ122="",54&gt;設定!$B$3),"",IF(INDEX(原始資料!BE$2:BE$501,$BJ122)="","",INDEX(原始資料!BE$2:BE$501,$BJ122)))</f>
        <v/>
      </c>
      <c r="BD122" s="6">
        <f>IF(OR($BJ122="",55&gt;設定!$B$3),"",IF(INDEX(原始資料!BF$2:BF$501,$BJ122)="","",INDEX(原始資料!BF$2:BF$501,$BJ122)))</f>
        <v/>
      </c>
      <c r="BE122" s="6">
        <f>IF(OR($BJ122="",56&gt;設定!$B$3),"",IF(INDEX(原始資料!BG$2:BG$501,$BJ122)="","",INDEX(原始資料!BG$2:BG$501,$BJ122)))</f>
        <v/>
      </c>
      <c r="BF122" s="6">
        <f>IF(OR($BJ122="",57&gt;設定!$B$3),"",IF(INDEX(原始資料!BH$2:BH$501,$BJ122)="","",INDEX(原始資料!BH$2:BH$501,$BJ122)))</f>
        <v/>
      </c>
      <c r="BG122" s="6">
        <f>IF(OR($BJ122="",58&gt;設定!$B$3),"",IF(INDEX(原始資料!BI$2:BI$501,$BJ122)="","",INDEX(原始資料!BI$2:BI$501,$BJ122)))</f>
        <v/>
      </c>
      <c r="BH122" s="6">
        <f>IF(OR($BJ122="",59&gt;設定!$B$3),"",IF(INDEX(原始資料!BJ$2:BJ$501,$BJ122)="","",INDEX(原始資料!BJ$2:BJ$501,$BJ122)))</f>
        <v/>
      </c>
      <c r="BI122" s="6">
        <f>IF(OR($BJ122="",60&gt;設定!$B$3),"",IF(INDEX(原始資料!BK$2:BK$501,$BJ122)="","",INDEX(原始資料!BK$2:BK$501,$BJ122)))</f>
        <v/>
      </c>
      <c r="BJ122" s="6">
        <f>IFERROR(MATCH(ROW()-1,判定!$H$2:$H$501,0),"")</f>
        <v/>
      </c>
    </row>
    <row r="123">
      <c r="A123" s="6">
        <f>IF($BJ123="","",INDEX(原始資料!$A$2:$A$501,$BJ123))</f>
        <v/>
      </c>
      <c r="B123" s="6">
        <f>IF(OR($BJ123="",1&gt;設定!$B$3),"",IF(INDEX(原始資料!D$2:D$501,$BJ123)="","",INDEX(原始資料!D$2:D$501,$BJ123)))</f>
        <v/>
      </c>
      <c r="C123" s="6">
        <f>IF(OR($BJ123="",2&gt;設定!$B$3),"",IF(INDEX(原始資料!E$2:E$501,$BJ123)="","",INDEX(原始資料!E$2:E$501,$BJ123)))</f>
        <v/>
      </c>
      <c r="D123" s="6">
        <f>IF(OR($BJ123="",3&gt;設定!$B$3),"",IF(INDEX(原始資料!F$2:F$501,$BJ123)="","",INDEX(原始資料!F$2:F$501,$BJ123)))</f>
        <v/>
      </c>
      <c r="E123" s="6">
        <f>IF(OR($BJ123="",4&gt;設定!$B$3),"",IF(INDEX(原始資料!G$2:G$501,$BJ123)="","",INDEX(原始資料!G$2:G$501,$BJ123)))</f>
        <v/>
      </c>
      <c r="F123" s="6">
        <f>IF(OR($BJ123="",5&gt;設定!$B$3),"",IF(INDEX(原始資料!H$2:H$501,$BJ123)="","",INDEX(原始資料!H$2:H$501,$BJ123)))</f>
        <v/>
      </c>
      <c r="G123" s="6">
        <f>IF(OR($BJ123="",6&gt;設定!$B$3),"",IF(INDEX(原始資料!I$2:I$501,$BJ123)="","",INDEX(原始資料!I$2:I$501,$BJ123)))</f>
        <v/>
      </c>
      <c r="H123" s="6">
        <f>IF(OR($BJ123="",7&gt;設定!$B$3),"",IF(INDEX(原始資料!J$2:J$501,$BJ123)="","",INDEX(原始資料!J$2:J$501,$BJ123)))</f>
        <v/>
      </c>
      <c r="I123" s="6">
        <f>IF(OR($BJ123="",8&gt;設定!$B$3),"",IF(INDEX(原始資料!K$2:K$501,$BJ123)="","",INDEX(原始資料!K$2:K$501,$BJ123)))</f>
        <v/>
      </c>
      <c r="J123" s="6">
        <f>IF(OR($BJ123="",9&gt;設定!$B$3),"",IF(INDEX(原始資料!L$2:L$501,$BJ123)="","",INDEX(原始資料!L$2:L$501,$BJ123)))</f>
        <v/>
      </c>
      <c r="K123" s="6">
        <f>IF(OR($BJ123="",10&gt;設定!$B$3),"",IF(INDEX(原始資料!M$2:M$501,$BJ123)="","",INDEX(原始資料!M$2:M$501,$BJ123)))</f>
        <v/>
      </c>
      <c r="L123" s="6">
        <f>IF(OR($BJ123="",11&gt;設定!$B$3),"",IF(INDEX(原始資料!N$2:N$501,$BJ123)="","",INDEX(原始資料!N$2:N$501,$BJ123)))</f>
        <v/>
      </c>
      <c r="M123" s="6">
        <f>IF(OR($BJ123="",12&gt;設定!$B$3),"",IF(INDEX(原始資料!O$2:O$501,$BJ123)="","",INDEX(原始資料!O$2:O$501,$BJ123)))</f>
        <v/>
      </c>
      <c r="N123" s="6">
        <f>IF(OR($BJ123="",13&gt;設定!$B$3),"",IF(INDEX(原始資料!P$2:P$501,$BJ123)="","",INDEX(原始資料!P$2:P$501,$BJ123)))</f>
        <v/>
      </c>
      <c r="O123" s="6">
        <f>IF(OR($BJ123="",14&gt;設定!$B$3),"",IF(INDEX(原始資料!Q$2:Q$501,$BJ123)="","",INDEX(原始資料!Q$2:Q$501,$BJ123)))</f>
        <v/>
      </c>
      <c r="P123" s="6">
        <f>IF(OR($BJ123="",15&gt;設定!$B$3),"",IF(INDEX(原始資料!R$2:R$501,$BJ123)="","",INDEX(原始資料!R$2:R$501,$BJ123)))</f>
        <v/>
      </c>
      <c r="Q123" s="6">
        <f>IF(OR($BJ123="",16&gt;設定!$B$3),"",IF(INDEX(原始資料!S$2:S$501,$BJ123)="","",INDEX(原始資料!S$2:S$501,$BJ123)))</f>
        <v/>
      </c>
      <c r="R123" s="6">
        <f>IF(OR($BJ123="",17&gt;設定!$B$3),"",IF(INDEX(原始資料!T$2:T$501,$BJ123)="","",INDEX(原始資料!T$2:T$501,$BJ123)))</f>
        <v/>
      </c>
      <c r="S123" s="6">
        <f>IF(OR($BJ123="",18&gt;設定!$B$3),"",IF(INDEX(原始資料!U$2:U$501,$BJ123)="","",INDEX(原始資料!U$2:U$501,$BJ123)))</f>
        <v/>
      </c>
      <c r="T123" s="6">
        <f>IF(OR($BJ123="",19&gt;設定!$B$3),"",IF(INDEX(原始資料!V$2:V$501,$BJ123)="","",INDEX(原始資料!V$2:V$501,$BJ123)))</f>
        <v/>
      </c>
      <c r="U123" s="6">
        <f>IF(OR($BJ123="",20&gt;設定!$B$3),"",IF(INDEX(原始資料!W$2:W$501,$BJ123)="","",INDEX(原始資料!W$2:W$501,$BJ123)))</f>
        <v/>
      </c>
      <c r="V123" s="6">
        <f>IF(OR($BJ123="",21&gt;設定!$B$3),"",IF(INDEX(原始資料!X$2:X$501,$BJ123)="","",INDEX(原始資料!X$2:X$501,$BJ123)))</f>
        <v/>
      </c>
      <c r="W123" s="6">
        <f>IF(OR($BJ123="",22&gt;設定!$B$3),"",IF(INDEX(原始資料!Y$2:Y$501,$BJ123)="","",INDEX(原始資料!Y$2:Y$501,$BJ123)))</f>
        <v/>
      </c>
      <c r="X123" s="6">
        <f>IF(OR($BJ123="",23&gt;設定!$B$3),"",IF(INDEX(原始資料!Z$2:Z$501,$BJ123)="","",INDEX(原始資料!Z$2:Z$501,$BJ123)))</f>
        <v/>
      </c>
      <c r="Y123" s="6">
        <f>IF(OR($BJ123="",24&gt;設定!$B$3),"",IF(INDEX(原始資料!AA$2:AA$501,$BJ123)="","",INDEX(原始資料!AA$2:AA$501,$BJ123)))</f>
        <v/>
      </c>
      <c r="Z123" s="6">
        <f>IF(OR($BJ123="",25&gt;設定!$B$3),"",IF(INDEX(原始資料!AB$2:AB$501,$BJ123)="","",INDEX(原始資料!AB$2:AB$501,$BJ123)))</f>
        <v/>
      </c>
      <c r="AA123" s="6">
        <f>IF(OR($BJ123="",26&gt;設定!$B$3),"",IF(INDEX(原始資料!AC$2:AC$501,$BJ123)="","",INDEX(原始資料!AC$2:AC$501,$BJ123)))</f>
        <v/>
      </c>
      <c r="AB123" s="6">
        <f>IF(OR($BJ123="",27&gt;設定!$B$3),"",IF(INDEX(原始資料!AD$2:AD$501,$BJ123)="","",INDEX(原始資料!AD$2:AD$501,$BJ123)))</f>
        <v/>
      </c>
      <c r="AC123" s="6">
        <f>IF(OR($BJ123="",28&gt;設定!$B$3),"",IF(INDEX(原始資料!AE$2:AE$501,$BJ123)="","",INDEX(原始資料!AE$2:AE$501,$BJ123)))</f>
        <v/>
      </c>
      <c r="AD123" s="6">
        <f>IF(OR($BJ123="",29&gt;設定!$B$3),"",IF(INDEX(原始資料!AF$2:AF$501,$BJ123)="","",INDEX(原始資料!AF$2:AF$501,$BJ123)))</f>
        <v/>
      </c>
      <c r="AE123" s="6">
        <f>IF(OR($BJ123="",30&gt;設定!$B$3),"",IF(INDEX(原始資料!AG$2:AG$501,$BJ123)="","",INDEX(原始資料!AG$2:AG$501,$BJ123)))</f>
        <v/>
      </c>
      <c r="AF123" s="6">
        <f>IF(OR($BJ123="",31&gt;設定!$B$3),"",IF(INDEX(原始資料!AH$2:AH$501,$BJ123)="","",INDEX(原始資料!AH$2:AH$501,$BJ123)))</f>
        <v/>
      </c>
      <c r="AG123" s="6">
        <f>IF(OR($BJ123="",32&gt;設定!$B$3),"",IF(INDEX(原始資料!AI$2:AI$501,$BJ123)="","",INDEX(原始資料!AI$2:AI$501,$BJ123)))</f>
        <v/>
      </c>
      <c r="AH123" s="6">
        <f>IF(OR($BJ123="",33&gt;設定!$B$3),"",IF(INDEX(原始資料!AJ$2:AJ$501,$BJ123)="","",INDEX(原始資料!AJ$2:AJ$501,$BJ123)))</f>
        <v/>
      </c>
      <c r="AI123" s="6">
        <f>IF(OR($BJ123="",34&gt;設定!$B$3),"",IF(INDEX(原始資料!AK$2:AK$501,$BJ123)="","",INDEX(原始資料!AK$2:AK$501,$BJ123)))</f>
        <v/>
      </c>
      <c r="AJ123" s="6">
        <f>IF(OR($BJ123="",35&gt;設定!$B$3),"",IF(INDEX(原始資料!AL$2:AL$501,$BJ123)="","",INDEX(原始資料!AL$2:AL$501,$BJ123)))</f>
        <v/>
      </c>
      <c r="AK123" s="6">
        <f>IF(OR($BJ123="",36&gt;設定!$B$3),"",IF(INDEX(原始資料!AM$2:AM$501,$BJ123)="","",INDEX(原始資料!AM$2:AM$501,$BJ123)))</f>
        <v/>
      </c>
      <c r="AL123" s="6">
        <f>IF(OR($BJ123="",37&gt;設定!$B$3),"",IF(INDEX(原始資料!AN$2:AN$501,$BJ123)="","",INDEX(原始資料!AN$2:AN$501,$BJ123)))</f>
        <v/>
      </c>
      <c r="AM123" s="6">
        <f>IF(OR($BJ123="",38&gt;設定!$B$3),"",IF(INDEX(原始資料!AO$2:AO$501,$BJ123)="","",INDEX(原始資料!AO$2:AO$501,$BJ123)))</f>
        <v/>
      </c>
      <c r="AN123" s="6">
        <f>IF(OR($BJ123="",39&gt;設定!$B$3),"",IF(INDEX(原始資料!AP$2:AP$501,$BJ123)="","",INDEX(原始資料!AP$2:AP$501,$BJ123)))</f>
        <v/>
      </c>
      <c r="AO123" s="6">
        <f>IF(OR($BJ123="",40&gt;設定!$B$3),"",IF(INDEX(原始資料!AQ$2:AQ$501,$BJ123)="","",INDEX(原始資料!AQ$2:AQ$501,$BJ123)))</f>
        <v/>
      </c>
      <c r="AP123" s="6">
        <f>IF(OR($BJ123="",41&gt;設定!$B$3),"",IF(INDEX(原始資料!AR$2:AR$501,$BJ123)="","",INDEX(原始資料!AR$2:AR$501,$BJ123)))</f>
        <v/>
      </c>
      <c r="AQ123" s="6">
        <f>IF(OR($BJ123="",42&gt;設定!$B$3),"",IF(INDEX(原始資料!AS$2:AS$501,$BJ123)="","",INDEX(原始資料!AS$2:AS$501,$BJ123)))</f>
        <v/>
      </c>
      <c r="AR123" s="6">
        <f>IF(OR($BJ123="",43&gt;設定!$B$3),"",IF(INDEX(原始資料!AT$2:AT$501,$BJ123)="","",INDEX(原始資料!AT$2:AT$501,$BJ123)))</f>
        <v/>
      </c>
      <c r="AS123" s="6">
        <f>IF(OR($BJ123="",44&gt;設定!$B$3),"",IF(INDEX(原始資料!AU$2:AU$501,$BJ123)="","",INDEX(原始資料!AU$2:AU$501,$BJ123)))</f>
        <v/>
      </c>
      <c r="AT123" s="6">
        <f>IF(OR($BJ123="",45&gt;設定!$B$3),"",IF(INDEX(原始資料!AV$2:AV$501,$BJ123)="","",INDEX(原始資料!AV$2:AV$501,$BJ123)))</f>
        <v/>
      </c>
      <c r="AU123" s="6">
        <f>IF(OR($BJ123="",46&gt;設定!$B$3),"",IF(INDEX(原始資料!AW$2:AW$501,$BJ123)="","",INDEX(原始資料!AW$2:AW$501,$BJ123)))</f>
        <v/>
      </c>
      <c r="AV123" s="6">
        <f>IF(OR($BJ123="",47&gt;設定!$B$3),"",IF(INDEX(原始資料!AX$2:AX$501,$BJ123)="","",INDEX(原始資料!AX$2:AX$501,$BJ123)))</f>
        <v/>
      </c>
      <c r="AW123" s="6">
        <f>IF(OR($BJ123="",48&gt;設定!$B$3),"",IF(INDEX(原始資料!AY$2:AY$501,$BJ123)="","",INDEX(原始資料!AY$2:AY$501,$BJ123)))</f>
        <v/>
      </c>
      <c r="AX123" s="6">
        <f>IF(OR($BJ123="",49&gt;設定!$B$3),"",IF(INDEX(原始資料!AZ$2:AZ$501,$BJ123)="","",INDEX(原始資料!AZ$2:AZ$501,$BJ123)))</f>
        <v/>
      </c>
      <c r="AY123" s="6">
        <f>IF(OR($BJ123="",50&gt;設定!$B$3),"",IF(INDEX(原始資料!BA$2:BA$501,$BJ123)="","",INDEX(原始資料!BA$2:BA$501,$BJ123)))</f>
        <v/>
      </c>
      <c r="AZ123" s="6">
        <f>IF(OR($BJ123="",51&gt;設定!$B$3),"",IF(INDEX(原始資料!BB$2:BB$501,$BJ123)="","",INDEX(原始資料!BB$2:BB$501,$BJ123)))</f>
        <v/>
      </c>
      <c r="BA123" s="6">
        <f>IF(OR($BJ123="",52&gt;設定!$B$3),"",IF(INDEX(原始資料!BC$2:BC$501,$BJ123)="","",INDEX(原始資料!BC$2:BC$501,$BJ123)))</f>
        <v/>
      </c>
      <c r="BB123" s="6">
        <f>IF(OR($BJ123="",53&gt;設定!$B$3),"",IF(INDEX(原始資料!BD$2:BD$501,$BJ123)="","",INDEX(原始資料!BD$2:BD$501,$BJ123)))</f>
        <v/>
      </c>
      <c r="BC123" s="6">
        <f>IF(OR($BJ123="",54&gt;設定!$B$3),"",IF(INDEX(原始資料!BE$2:BE$501,$BJ123)="","",INDEX(原始資料!BE$2:BE$501,$BJ123)))</f>
        <v/>
      </c>
      <c r="BD123" s="6">
        <f>IF(OR($BJ123="",55&gt;設定!$B$3),"",IF(INDEX(原始資料!BF$2:BF$501,$BJ123)="","",INDEX(原始資料!BF$2:BF$501,$BJ123)))</f>
        <v/>
      </c>
      <c r="BE123" s="6">
        <f>IF(OR($BJ123="",56&gt;設定!$B$3),"",IF(INDEX(原始資料!BG$2:BG$501,$BJ123)="","",INDEX(原始資料!BG$2:BG$501,$BJ123)))</f>
        <v/>
      </c>
      <c r="BF123" s="6">
        <f>IF(OR($BJ123="",57&gt;設定!$B$3),"",IF(INDEX(原始資料!BH$2:BH$501,$BJ123)="","",INDEX(原始資料!BH$2:BH$501,$BJ123)))</f>
        <v/>
      </c>
      <c r="BG123" s="6">
        <f>IF(OR($BJ123="",58&gt;設定!$B$3),"",IF(INDEX(原始資料!BI$2:BI$501,$BJ123)="","",INDEX(原始資料!BI$2:BI$501,$BJ123)))</f>
        <v/>
      </c>
      <c r="BH123" s="6">
        <f>IF(OR($BJ123="",59&gt;設定!$B$3),"",IF(INDEX(原始資料!BJ$2:BJ$501,$BJ123)="","",INDEX(原始資料!BJ$2:BJ$501,$BJ123)))</f>
        <v/>
      </c>
      <c r="BI123" s="6">
        <f>IF(OR($BJ123="",60&gt;設定!$B$3),"",IF(INDEX(原始資料!BK$2:BK$501,$BJ123)="","",INDEX(原始資料!BK$2:BK$501,$BJ123)))</f>
        <v/>
      </c>
      <c r="BJ123" s="6">
        <f>IFERROR(MATCH(ROW()-1,判定!$H$2:$H$501,0),"")</f>
        <v/>
      </c>
    </row>
    <row r="124">
      <c r="A124" s="6">
        <f>IF($BJ124="","",INDEX(原始資料!$A$2:$A$501,$BJ124))</f>
        <v/>
      </c>
      <c r="B124" s="6">
        <f>IF(OR($BJ124="",1&gt;設定!$B$3),"",IF(INDEX(原始資料!D$2:D$501,$BJ124)="","",INDEX(原始資料!D$2:D$501,$BJ124)))</f>
        <v/>
      </c>
      <c r="C124" s="6">
        <f>IF(OR($BJ124="",2&gt;設定!$B$3),"",IF(INDEX(原始資料!E$2:E$501,$BJ124)="","",INDEX(原始資料!E$2:E$501,$BJ124)))</f>
        <v/>
      </c>
      <c r="D124" s="6">
        <f>IF(OR($BJ124="",3&gt;設定!$B$3),"",IF(INDEX(原始資料!F$2:F$501,$BJ124)="","",INDEX(原始資料!F$2:F$501,$BJ124)))</f>
        <v/>
      </c>
      <c r="E124" s="6">
        <f>IF(OR($BJ124="",4&gt;設定!$B$3),"",IF(INDEX(原始資料!G$2:G$501,$BJ124)="","",INDEX(原始資料!G$2:G$501,$BJ124)))</f>
        <v/>
      </c>
      <c r="F124" s="6">
        <f>IF(OR($BJ124="",5&gt;設定!$B$3),"",IF(INDEX(原始資料!H$2:H$501,$BJ124)="","",INDEX(原始資料!H$2:H$501,$BJ124)))</f>
        <v/>
      </c>
      <c r="G124" s="6">
        <f>IF(OR($BJ124="",6&gt;設定!$B$3),"",IF(INDEX(原始資料!I$2:I$501,$BJ124)="","",INDEX(原始資料!I$2:I$501,$BJ124)))</f>
        <v/>
      </c>
      <c r="H124" s="6">
        <f>IF(OR($BJ124="",7&gt;設定!$B$3),"",IF(INDEX(原始資料!J$2:J$501,$BJ124)="","",INDEX(原始資料!J$2:J$501,$BJ124)))</f>
        <v/>
      </c>
      <c r="I124" s="6">
        <f>IF(OR($BJ124="",8&gt;設定!$B$3),"",IF(INDEX(原始資料!K$2:K$501,$BJ124)="","",INDEX(原始資料!K$2:K$501,$BJ124)))</f>
        <v/>
      </c>
      <c r="J124" s="6">
        <f>IF(OR($BJ124="",9&gt;設定!$B$3),"",IF(INDEX(原始資料!L$2:L$501,$BJ124)="","",INDEX(原始資料!L$2:L$501,$BJ124)))</f>
        <v/>
      </c>
      <c r="K124" s="6">
        <f>IF(OR($BJ124="",10&gt;設定!$B$3),"",IF(INDEX(原始資料!M$2:M$501,$BJ124)="","",INDEX(原始資料!M$2:M$501,$BJ124)))</f>
        <v/>
      </c>
      <c r="L124" s="6">
        <f>IF(OR($BJ124="",11&gt;設定!$B$3),"",IF(INDEX(原始資料!N$2:N$501,$BJ124)="","",INDEX(原始資料!N$2:N$501,$BJ124)))</f>
        <v/>
      </c>
      <c r="M124" s="6">
        <f>IF(OR($BJ124="",12&gt;設定!$B$3),"",IF(INDEX(原始資料!O$2:O$501,$BJ124)="","",INDEX(原始資料!O$2:O$501,$BJ124)))</f>
        <v/>
      </c>
      <c r="N124" s="6">
        <f>IF(OR($BJ124="",13&gt;設定!$B$3),"",IF(INDEX(原始資料!P$2:P$501,$BJ124)="","",INDEX(原始資料!P$2:P$501,$BJ124)))</f>
        <v/>
      </c>
      <c r="O124" s="6">
        <f>IF(OR($BJ124="",14&gt;設定!$B$3),"",IF(INDEX(原始資料!Q$2:Q$501,$BJ124)="","",INDEX(原始資料!Q$2:Q$501,$BJ124)))</f>
        <v/>
      </c>
      <c r="P124" s="6">
        <f>IF(OR($BJ124="",15&gt;設定!$B$3),"",IF(INDEX(原始資料!R$2:R$501,$BJ124)="","",INDEX(原始資料!R$2:R$501,$BJ124)))</f>
        <v/>
      </c>
      <c r="Q124" s="6">
        <f>IF(OR($BJ124="",16&gt;設定!$B$3),"",IF(INDEX(原始資料!S$2:S$501,$BJ124)="","",INDEX(原始資料!S$2:S$501,$BJ124)))</f>
        <v/>
      </c>
      <c r="R124" s="6">
        <f>IF(OR($BJ124="",17&gt;設定!$B$3),"",IF(INDEX(原始資料!T$2:T$501,$BJ124)="","",INDEX(原始資料!T$2:T$501,$BJ124)))</f>
        <v/>
      </c>
      <c r="S124" s="6">
        <f>IF(OR($BJ124="",18&gt;設定!$B$3),"",IF(INDEX(原始資料!U$2:U$501,$BJ124)="","",INDEX(原始資料!U$2:U$501,$BJ124)))</f>
        <v/>
      </c>
      <c r="T124" s="6">
        <f>IF(OR($BJ124="",19&gt;設定!$B$3),"",IF(INDEX(原始資料!V$2:V$501,$BJ124)="","",INDEX(原始資料!V$2:V$501,$BJ124)))</f>
        <v/>
      </c>
      <c r="U124" s="6">
        <f>IF(OR($BJ124="",20&gt;設定!$B$3),"",IF(INDEX(原始資料!W$2:W$501,$BJ124)="","",INDEX(原始資料!W$2:W$501,$BJ124)))</f>
        <v/>
      </c>
      <c r="V124" s="6">
        <f>IF(OR($BJ124="",21&gt;設定!$B$3),"",IF(INDEX(原始資料!X$2:X$501,$BJ124)="","",INDEX(原始資料!X$2:X$501,$BJ124)))</f>
        <v/>
      </c>
      <c r="W124" s="6">
        <f>IF(OR($BJ124="",22&gt;設定!$B$3),"",IF(INDEX(原始資料!Y$2:Y$501,$BJ124)="","",INDEX(原始資料!Y$2:Y$501,$BJ124)))</f>
        <v/>
      </c>
      <c r="X124" s="6">
        <f>IF(OR($BJ124="",23&gt;設定!$B$3),"",IF(INDEX(原始資料!Z$2:Z$501,$BJ124)="","",INDEX(原始資料!Z$2:Z$501,$BJ124)))</f>
        <v/>
      </c>
      <c r="Y124" s="6">
        <f>IF(OR($BJ124="",24&gt;設定!$B$3),"",IF(INDEX(原始資料!AA$2:AA$501,$BJ124)="","",INDEX(原始資料!AA$2:AA$501,$BJ124)))</f>
        <v/>
      </c>
      <c r="Z124" s="6">
        <f>IF(OR($BJ124="",25&gt;設定!$B$3),"",IF(INDEX(原始資料!AB$2:AB$501,$BJ124)="","",INDEX(原始資料!AB$2:AB$501,$BJ124)))</f>
        <v/>
      </c>
      <c r="AA124" s="6">
        <f>IF(OR($BJ124="",26&gt;設定!$B$3),"",IF(INDEX(原始資料!AC$2:AC$501,$BJ124)="","",INDEX(原始資料!AC$2:AC$501,$BJ124)))</f>
        <v/>
      </c>
      <c r="AB124" s="6">
        <f>IF(OR($BJ124="",27&gt;設定!$B$3),"",IF(INDEX(原始資料!AD$2:AD$501,$BJ124)="","",INDEX(原始資料!AD$2:AD$501,$BJ124)))</f>
        <v/>
      </c>
      <c r="AC124" s="6">
        <f>IF(OR($BJ124="",28&gt;設定!$B$3),"",IF(INDEX(原始資料!AE$2:AE$501,$BJ124)="","",INDEX(原始資料!AE$2:AE$501,$BJ124)))</f>
        <v/>
      </c>
      <c r="AD124" s="6">
        <f>IF(OR($BJ124="",29&gt;設定!$B$3),"",IF(INDEX(原始資料!AF$2:AF$501,$BJ124)="","",INDEX(原始資料!AF$2:AF$501,$BJ124)))</f>
        <v/>
      </c>
      <c r="AE124" s="6">
        <f>IF(OR($BJ124="",30&gt;設定!$B$3),"",IF(INDEX(原始資料!AG$2:AG$501,$BJ124)="","",INDEX(原始資料!AG$2:AG$501,$BJ124)))</f>
        <v/>
      </c>
      <c r="AF124" s="6">
        <f>IF(OR($BJ124="",31&gt;設定!$B$3),"",IF(INDEX(原始資料!AH$2:AH$501,$BJ124)="","",INDEX(原始資料!AH$2:AH$501,$BJ124)))</f>
        <v/>
      </c>
      <c r="AG124" s="6">
        <f>IF(OR($BJ124="",32&gt;設定!$B$3),"",IF(INDEX(原始資料!AI$2:AI$501,$BJ124)="","",INDEX(原始資料!AI$2:AI$501,$BJ124)))</f>
        <v/>
      </c>
      <c r="AH124" s="6">
        <f>IF(OR($BJ124="",33&gt;設定!$B$3),"",IF(INDEX(原始資料!AJ$2:AJ$501,$BJ124)="","",INDEX(原始資料!AJ$2:AJ$501,$BJ124)))</f>
        <v/>
      </c>
      <c r="AI124" s="6">
        <f>IF(OR($BJ124="",34&gt;設定!$B$3),"",IF(INDEX(原始資料!AK$2:AK$501,$BJ124)="","",INDEX(原始資料!AK$2:AK$501,$BJ124)))</f>
        <v/>
      </c>
      <c r="AJ124" s="6">
        <f>IF(OR($BJ124="",35&gt;設定!$B$3),"",IF(INDEX(原始資料!AL$2:AL$501,$BJ124)="","",INDEX(原始資料!AL$2:AL$501,$BJ124)))</f>
        <v/>
      </c>
      <c r="AK124" s="6">
        <f>IF(OR($BJ124="",36&gt;設定!$B$3),"",IF(INDEX(原始資料!AM$2:AM$501,$BJ124)="","",INDEX(原始資料!AM$2:AM$501,$BJ124)))</f>
        <v/>
      </c>
      <c r="AL124" s="6">
        <f>IF(OR($BJ124="",37&gt;設定!$B$3),"",IF(INDEX(原始資料!AN$2:AN$501,$BJ124)="","",INDEX(原始資料!AN$2:AN$501,$BJ124)))</f>
        <v/>
      </c>
      <c r="AM124" s="6">
        <f>IF(OR($BJ124="",38&gt;設定!$B$3),"",IF(INDEX(原始資料!AO$2:AO$501,$BJ124)="","",INDEX(原始資料!AO$2:AO$501,$BJ124)))</f>
        <v/>
      </c>
      <c r="AN124" s="6">
        <f>IF(OR($BJ124="",39&gt;設定!$B$3),"",IF(INDEX(原始資料!AP$2:AP$501,$BJ124)="","",INDEX(原始資料!AP$2:AP$501,$BJ124)))</f>
        <v/>
      </c>
      <c r="AO124" s="6">
        <f>IF(OR($BJ124="",40&gt;設定!$B$3),"",IF(INDEX(原始資料!AQ$2:AQ$501,$BJ124)="","",INDEX(原始資料!AQ$2:AQ$501,$BJ124)))</f>
        <v/>
      </c>
      <c r="AP124" s="6">
        <f>IF(OR($BJ124="",41&gt;設定!$B$3),"",IF(INDEX(原始資料!AR$2:AR$501,$BJ124)="","",INDEX(原始資料!AR$2:AR$501,$BJ124)))</f>
        <v/>
      </c>
      <c r="AQ124" s="6">
        <f>IF(OR($BJ124="",42&gt;設定!$B$3),"",IF(INDEX(原始資料!AS$2:AS$501,$BJ124)="","",INDEX(原始資料!AS$2:AS$501,$BJ124)))</f>
        <v/>
      </c>
      <c r="AR124" s="6">
        <f>IF(OR($BJ124="",43&gt;設定!$B$3),"",IF(INDEX(原始資料!AT$2:AT$501,$BJ124)="","",INDEX(原始資料!AT$2:AT$501,$BJ124)))</f>
        <v/>
      </c>
      <c r="AS124" s="6">
        <f>IF(OR($BJ124="",44&gt;設定!$B$3),"",IF(INDEX(原始資料!AU$2:AU$501,$BJ124)="","",INDEX(原始資料!AU$2:AU$501,$BJ124)))</f>
        <v/>
      </c>
      <c r="AT124" s="6">
        <f>IF(OR($BJ124="",45&gt;設定!$B$3),"",IF(INDEX(原始資料!AV$2:AV$501,$BJ124)="","",INDEX(原始資料!AV$2:AV$501,$BJ124)))</f>
        <v/>
      </c>
      <c r="AU124" s="6">
        <f>IF(OR($BJ124="",46&gt;設定!$B$3),"",IF(INDEX(原始資料!AW$2:AW$501,$BJ124)="","",INDEX(原始資料!AW$2:AW$501,$BJ124)))</f>
        <v/>
      </c>
      <c r="AV124" s="6">
        <f>IF(OR($BJ124="",47&gt;設定!$B$3),"",IF(INDEX(原始資料!AX$2:AX$501,$BJ124)="","",INDEX(原始資料!AX$2:AX$501,$BJ124)))</f>
        <v/>
      </c>
      <c r="AW124" s="6">
        <f>IF(OR($BJ124="",48&gt;設定!$B$3),"",IF(INDEX(原始資料!AY$2:AY$501,$BJ124)="","",INDEX(原始資料!AY$2:AY$501,$BJ124)))</f>
        <v/>
      </c>
      <c r="AX124" s="6">
        <f>IF(OR($BJ124="",49&gt;設定!$B$3),"",IF(INDEX(原始資料!AZ$2:AZ$501,$BJ124)="","",INDEX(原始資料!AZ$2:AZ$501,$BJ124)))</f>
        <v/>
      </c>
      <c r="AY124" s="6">
        <f>IF(OR($BJ124="",50&gt;設定!$B$3),"",IF(INDEX(原始資料!BA$2:BA$501,$BJ124)="","",INDEX(原始資料!BA$2:BA$501,$BJ124)))</f>
        <v/>
      </c>
      <c r="AZ124" s="6">
        <f>IF(OR($BJ124="",51&gt;設定!$B$3),"",IF(INDEX(原始資料!BB$2:BB$501,$BJ124)="","",INDEX(原始資料!BB$2:BB$501,$BJ124)))</f>
        <v/>
      </c>
      <c r="BA124" s="6">
        <f>IF(OR($BJ124="",52&gt;設定!$B$3),"",IF(INDEX(原始資料!BC$2:BC$501,$BJ124)="","",INDEX(原始資料!BC$2:BC$501,$BJ124)))</f>
        <v/>
      </c>
      <c r="BB124" s="6">
        <f>IF(OR($BJ124="",53&gt;設定!$B$3),"",IF(INDEX(原始資料!BD$2:BD$501,$BJ124)="","",INDEX(原始資料!BD$2:BD$501,$BJ124)))</f>
        <v/>
      </c>
      <c r="BC124" s="6">
        <f>IF(OR($BJ124="",54&gt;設定!$B$3),"",IF(INDEX(原始資料!BE$2:BE$501,$BJ124)="","",INDEX(原始資料!BE$2:BE$501,$BJ124)))</f>
        <v/>
      </c>
      <c r="BD124" s="6">
        <f>IF(OR($BJ124="",55&gt;設定!$B$3),"",IF(INDEX(原始資料!BF$2:BF$501,$BJ124)="","",INDEX(原始資料!BF$2:BF$501,$BJ124)))</f>
        <v/>
      </c>
      <c r="BE124" s="6">
        <f>IF(OR($BJ124="",56&gt;設定!$B$3),"",IF(INDEX(原始資料!BG$2:BG$501,$BJ124)="","",INDEX(原始資料!BG$2:BG$501,$BJ124)))</f>
        <v/>
      </c>
      <c r="BF124" s="6">
        <f>IF(OR($BJ124="",57&gt;設定!$B$3),"",IF(INDEX(原始資料!BH$2:BH$501,$BJ124)="","",INDEX(原始資料!BH$2:BH$501,$BJ124)))</f>
        <v/>
      </c>
      <c r="BG124" s="6">
        <f>IF(OR($BJ124="",58&gt;設定!$B$3),"",IF(INDEX(原始資料!BI$2:BI$501,$BJ124)="","",INDEX(原始資料!BI$2:BI$501,$BJ124)))</f>
        <v/>
      </c>
      <c r="BH124" s="6">
        <f>IF(OR($BJ124="",59&gt;設定!$B$3),"",IF(INDEX(原始資料!BJ$2:BJ$501,$BJ124)="","",INDEX(原始資料!BJ$2:BJ$501,$BJ124)))</f>
        <v/>
      </c>
      <c r="BI124" s="6">
        <f>IF(OR($BJ124="",60&gt;設定!$B$3),"",IF(INDEX(原始資料!BK$2:BK$501,$BJ124)="","",INDEX(原始資料!BK$2:BK$501,$BJ124)))</f>
        <v/>
      </c>
      <c r="BJ124" s="6">
        <f>IFERROR(MATCH(ROW()-1,判定!$H$2:$H$501,0),"")</f>
        <v/>
      </c>
    </row>
    <row r="125">
      <c r="A125" s="6">
        <f>IF($BJ125="","",INDEX(原始資料!$A$2:$A$501,$BJ125))</f>
        <v/>
      </c>
      <c r="B125" s="6">
        <f>IF(OR($BJ125="",1&gt;設定!$B$3),"",IF(INDEX(原始資料!D$2:D$501,$BJ125)="","",INDEX(原始資料!D$2:D$501,$BJ125)))</f>
        <v/>
      </c>
      <c r="C125" s="6">
        <f>IF(OR($BJ125="",2&gt;設定!$B$3),"",IF(INDEX(原始資料!E$2:E$501,$BJ125)="","",INDEX(原始資料!E$2:E$501,$BJ125)))</f>
        <v/>
      </c>
      <c r="D125" s="6">
        <f>IF(OR($BJ125="",3&gt;設定!$B$3),"",IF(INDEX(原始資料!F$2:F$501,$BJ125)="","",INDEX(原始資料!F$2:F$501,$BJ125)))</f>
        <v/>
      </c>
      <c r="E125" s="6">
        <f>IF(OR($BJ125="",4&gt;設定!$B$3),"",IF(INDEX(原始資料!G$2:G$501,$BJ125)="","",INDEX(原始資料!G$2:G$501,$BJ125)))</f>
        <v/>
      </c>
      <c r="F125" s="6">
        <f>IF(OR($BJ125="",5&gt;設定!$B$3),"",IF(INDEX(原始資料!H$2:H$501,$BJ125)="","",INDEX(原始資料!H$2:H$501,$BJ125)))</f>
        <v/>
      </c>
      <c r="G125" s="6">
        <f>IF(OR($BJ125="",6&gt;設定!$B$3),"",IF(INDEX(原始資料!I$2:I$501,$BJ125)="","",INDEX(原始資料!I$2:I$501,$BJ125)))</f>
        <v/>
      </c>
      <c r="H125" s="6">
        <f>IF(OR($BJ125="",7&gt;設定!$B$3),"",IF(INDEX(原始資料!J$2:J$501,$BJ125)="","",INDEX(原始資料!J$2:J$501,$BJ125)))</f>
        <v/>
      </c>
      <c r="I125" s="6">
        <f>IF(OR($BJ125="",8&gt;設定!$B$3),"",IF(INDEX(原始資料!K$2:K$501,$BJ125)="","",INDEX(原始資料!K$2:K$501,$BJ125)))</f>
        <v/>
      </c>
      <c r="J125" s="6">
        <f>IF(OR($BJ125="",9&gt;設定!$B$3),"",IF(INDEX(原始資料!L$2:L$501,$BJ125)="","",INDEX(原始資料!L$2:L$501,$BJ125)))</f>
        <v/>
      </c>
      <c r="K125" s="6">
        <f>IF(OR($BJ125="",10&gt;設定!$B$3),"",IF(INDEX(原始資料!M$2:M$501,$BJ125)="","",INDEX(原始資料!M$2:M$501,$BJ125)))</f>
        <v/>
      </c>
      <c r="L125" s="6">
        <f>IF(OR($BJ125="",11&gt;設定!$B$3),"",IF(INDEX(原始資料!N$2:N$501,$BJ125)="","",INDEX(原始資料!N$2:N$501,$BJ125)))</f>
        <v/>
      </c>
      <c r="M125" s="6">
        <f>IF(OR($BJ125="",12&gt;設定!$B$3),"",IF(INDEX(原始資料!O$2:O$501,$BJ125)="","",INDEX(原始資料!O$2:O$501,$BJ125)))</f>
        <v/>
      </c>
      <c r="N125" s="6">
        <f>IF(OR($BJ125="",13&gt;設定!$B$3),"",IF(INDEX(原始資料!P$2:P$501,$BJ125)="","",INDEX(原始資料!P$2:P$501,$BJ125)))</f>
        <v/>
      </c>
      <c r="O125" s="6">
        <f>IF(OR($BJ125="",14&gt;設定!$B$3),"",IF(INDEX(原始資料!Q$2:Q$501,$BJ125)="","",INDEX(原始資料!Q$2:Q$501,$BJ125)))</f>
        <v/>
      </c>
      <c r="P125" s="6">
        <f>IF(OR($BJ125="",15&gt;設定!$B$3),"",IF(INDEX(原始資料!R$2:R$501,$BJ125)="","",INDEX(原始資料!R$2:R$501,$BJ125)))</f>
        <v/>
      </c>
      <c r="Q125" s="6">
        <f>IF(OR($BJ125="",16&gt;設定!$B$3),"",IF(INDEX(原始資料!S$2:S$501,$BJ125)="","",INDEX(原始資料!S$2:S$501,$BJ125)))</f>
        <v/>
      </c>
      <c r="R125" s="6">
        <f>IF(OR($BJ125="",17&gt;設定!$B$3),"",IF(INDEX(原始資料!T$2:T$501,$BJ125)="","",INDEX(原始資料!T$2:T$501,$BJ125)))</f>
        <v/>
      </c>
      <c r="S125" s="6">
        <f>IF(OR($BJ125="",18&gt;設定!$B$3),"",IF(INDEX(原始資料!U$2:U$501,$BJ125)="","",INDEX(原始資料!U$2:U$501,$BJ125)))</f>
        <v/>
      </c>
      <c r="T125" s="6">
        <f>IF(OR($BJ125="",19&gt;設定!$B$3),"",IF(INDEX(原始資料!V$2:V$501,$BJ125)="","",INDEX(原始資料!V$2:V$501,$BJ125)))</f>
        <v/>
      </c>
      <c r="U125" s="6">
        <f>IF(OR($BJ125="",20&gt;設定!$B$3),"",IF(INDEX(原始資料!W$2:W$501,$BJ125)="","",INDEX(原始資料!W$2:W$501,$BJ125)))</f>
        <v/>
      </c>
      <c r="V125" s="6">
        <f>IF(OR($BJ125="",21&gt;設定!$B$3),"",IF(INDEX(原始資料!X$2:X$501,$BJ125)="","",INDEX(原始資料!X$2:X$501,$BJ125)))</f>
        <v/>
      </c>
      <c r="W125" s="6">
        <f>IF(OR($BJ125="",22&gt;設定!$B$3),"",IF(INDEX(原始資料!Y$2:Y$501,$BJ125)="","",INDEX(原始資料!Y$2:Y$501,$BJ125)))</f>
        <v/>
      </c>
      <c r="X125" s="6">
        <f>IF(OR($BJ125="",23&gt;設定!$B$3),"",IF(INDEX(原始資料!Z$2:Z$501,$BJ125)="","",INDEX(原始資料!Z$2:Z$501,$BJ125)))</f>
        <v/>
      </c>
      <c r="Y125" s="6">
        <f>IF(OR($BJ125="",24&gt;設定!$B$3),"",IF(INDEX(原始資料!AA$2:AA$501,$BJ125)="","",INDEX(原始資料!AA$2:AA$501,$BJ125)))</f>
        <v/>
      </c>
      <c r="Z125" s="6">
        <f>IF(OR($BJ125="",25&gt;設定!$B$3),"",IF(INDEX(原始資料!AB$2:AB$501,$BJ125)="","",INDEX(原始資料!AB$2:AB$501,$BJ125)))</f>
        <v/>
      </c>
      <c r="AA125" s="6">
        <f>IF(OR($BJ125="",26&gt;設定!$B$3),"",IF(INDEX(原始資料!AC$2:AC$501,$BJ125)="","",INDEX(原始資料!AC$2:AC$501,$BJ125)))</f>
        <v/>
      </c>
      <c r="AB125" s="6">
        <f>IF(OR($BJ125="",27&gt;設定!$B$3),"",IF(INDEX(原始資料!AD$2:AD$501,$BJ125)="","",INDEX(原始資料!AD$2:AD$501,$BJ125)))</f>
        <v/>
      </c>
      <c r="AC125" s="6">
        <f>IF(OR($BJ125="",28&gt;設定!$B$3),"",IF(INDEX(原始資料!AE$2:AE$501,$BJ125)="","",INDEX(原始資料!AE$2:AE$501,$BJ125)))</f>
        <v/>
      </c>
      <c r="AD125" s="6">
        <f>IF(OR($BJ125="",29&gt;設定!$B$3),"",IF(INDEX(原始資料!AF$2:AF$501,$BJ125)="","",INDEX(原始資料!AF$2:AF$501,$BJ125)))</f>
        <v/>
      </c>
      <c r="AE125" s="6">
        <f>IF(OR($BJ125="",30&gt;設定!$B$3),"",IF(INDEX(原始資料!AG$2:AG$501,$BJ125)="","",INDEX(原始資料!AG$2:AG$501,$BJ125)))</f>
        <v/>
      </c>
      <c r="AF125" s="6">
        <f>IF(OR($BJ125="",31&gt;設定!$B$3),"",IF(INDEX(原始資料!AH$2:AH$501,$BJ125)="","",INDEX(原始資料!AH$2:AH$501,$BJ125)))</f>
        <v/>
      </c>
      <c r="AG125" s="6">
        <f>IF(OR($BJ125="",32&gt;設定!$B$3),"",IF(INDEX(原始資料!AI$2:AI$501,$BJ125)="","",INDEX(原始資料!AI$2:AI$501,$BJ125)))</f>
        <v/>
      </c>
      <c r="AH125" s="6">
        <f>IF(OR($BJ125="",33&gt;設定!$B$3),"",IF(INDEX(原始資料!AJ$2:AJ$501,$BJ125)="","",INDEX(原始資料!AJ$2:AJ$501,$BJ125)))</f>
        <v/>
      </c>
      <c r="AI125" s="6">
        <f>IF(OR($BJ125="",34&gt;設定!$B$3),"",IF(INDEX(原始資料!AK$2:AK$501,$BJ125)="","",INDEX(原始資料!AK$2:AK$501,$BJ125)))</f>
        <v/>
      </c>
      <c r="AJ125" s="6">
        <f>IF(OR($BJ125="",35&gt;設定!$B$3),"",IF(INDEX(原始資料!AL$2:AL$501,$BJ125)="","",INDEX(原始資料!AL$2:AL$501,$BJ125)))</f>
        <v/>
      </c>
      <c r="AK125" s="6">
        <f>IF(OR($BJ125="",36&gt;設定!$B$3),"",IF(INDEX(原始資料!AM$2:AM$501,$BJ125)="","",INDEX(原始資料!AM$2:AM$501,$BJ125)))</f>
        <v/>
      </c>
      <c r="AL125" s="6">
        <f>IF(OR($BJ125="",37&gt;設定!$B$3),"",IF(INDEX(原始資料!AN$2:AN$501,$BJ125)="","",INDEX(原始資料!AN$2:AN$501,$BJ125)))</f>
        <v/>
      </c>
      <c r="AM125" s="6">
        <f>IF(OR($BJ125="",38&gt;設定!$B$3),"",IF(INDEX(原始資料!AO$2:AO$501,$BJ125)="","",INDEX(原始資料!AO$2:AO$501,$BJ125)))</f>
        <v/>
      </c>
      <c r="AN125" s="6">
        <f>IF(OR($BJ125="",39&gt;設定!$B$3),"",IF(INDEX(原始資料!AP$2:AP$501,$BJ125)="","",INDEX(原始資料!AP$2:AP$501,$BJ125)))</f>
        <v/>
      </c>
      <c r="AO125" s="6">
        <f>IF(OR($BJ125="",40&gt;設定!$B$3),"",IF(INDEX(原始資料!AQ$2:AQ$501,$BJ125)="","",INDEX(原始資料!AQ$2:AQ$501,$BJ125)))</f>
        <v/>
      </c>
      <c r="AP125" s="6">
        <f>IF(OR($BJ125="",41&gt;設定!$B$3),"",IF(INDEX(原始資料!AR$2:AR$501,$BJ125)="","",INDEX(原始資料!AR$2:AR$501,$BJ125)))</f>
        <v/>
      </c>
      <c r="AQ125" s="6">
        <f>IF(OR($BJ125="",42&gt;設定!$B$3),"",IF(INDEX(原始資料!AS$2:AS$501,$BJ125)="","",INDEX(原始資料!AS$2:AS$501,$BJ125)))</f>
        <v/>
      </c>
      <c r="AR125" s="6">
        <f>IF(OR($BJ125="",43&gt;設定!$B$3),"",IF(INDEX(原始資料!AT$2:AT$501,$BJ125)="","",INDEX(原始資料!AT$2:AT$501,$BJ125)))</f>
        <v/>
      </c>
      <c r="AS125" s="6">
        <f>IF(OR($BJ125="",44&gt;設定!$B$3),"",IF(INDEX(原始資料!AU$2:AU$501,$BJ125)="","",INDEX(原始資料!AU$2:AU$501,$BJ125)))</f>
        <v/>
      </c>
      <c r="AT125" s="6">
        <f>IF(OR($BJ125="",45&gt;設定!$B$3),"",IF(INDEX(原始資料!AV$2:AV$501,$BJ125)="","",INDEX(原始資料!AV$2:AV$501,$BJ125)))</f>
        <v/>
      </c>
      <c r="AU125" s="6">
        <f>IF(OR($BJ125="",46&gt;設定!$B$3),"",IF(INDEX(原始資料!AW$2:AW$501,$BJ125)="","",INDEX(原始資料!AW$2:AW$501,$BJ125)))</f>
        <v/>
      </c>
      <c r="AV125" s="6">
        <f>IF(OR($BJ125="",47&gt;設定!$B$3),"",IF(INDEX(原始資料!AX$2:AX$501,$BJ125)="","",INDEX(原始資料!AX$2:AX$501,$BJ125)))</f>
        <v/>
      </c>
      <c r="AW125" s="6">
        <f>IF(OR($BJ125="",48&gt;設定!$B$3),"",IF(INDEX(原始資料!AY$2:AY$501,$BJ125)="","",INDEX(原始資料!AY$2:AY$501,$BJ125)))</f>
        <v/>
      </c>
      <c r="AX125" s="6">
        <f>IF(OR($BJ125="",49&gt;設定!$B$3),"",IF(INDEX(原始資料!AZ$2:AZ$501,$BJ125)="","",INDEX(原始資料!AZ$2:AZ$501,$BJ125)))</f>
        <v/>
      </c>
      <c r="AY125" s="6">
        <f>IF(OR($BJ125="",50&gt;設定!$B$3),"",IF(INDEX(原始資料!BA$2:BA$501,$BJ125)="","",INDEX(原始資料!BA$2:BA$501,$BJ125)))</f>
        <v/>
      </c>
      <c r="AZ125" s="6">
        <f>IF(OR($BJ125="",51&gt;設定!$B$3),"",IF(INDEX(原始資料!BB$2:BB$501,$BJ125)="","",INDEX(原始資料!BB$2:BB$501,$BJ125)))</f>
        <v/>
      </c>
      <c r="BA125" s="6">
        <f>IF(OR($BJ125="",52&gt;設定!$B$3),"",IF(INDEX(原始資料!BC$2:BC$501,$BJ125)="","",INDEX(原始資料!BC$2:BC$501,$BJ125)))</f>
        <v/>
      </c>
      <c r="BB125" s="6">
        <f>IF(OR($BJ125="",53&gt;設定!$B$3),"",IF(INDEX(原始資料!BD$2:BD$501,$BJ125)="","",INDEX(原始資料!BD$2:BD$501,$BJ125)))</f>
        <v/>
      </c>
      <c r="BC125" s="6">
        <f>IF(OR($BJ125="",54&gt;設定!$B$3),"",IF(INDEX(原始資料!BE$2:BE$501,$BJ125)="","",INDEX(原始資料!BE$2:BE$501,$BJ125)))</f>
        <v/>
      </c>
      <c r="BD125" s="6">
        <f>IF(OR($BJ125="",55&gt;設定!$B$3),"",IF(INDEX(原始資料!BF$2:BF$501,$BJ125)="","",INDEX(原始資料!BF$2:BF$501,$BJ125)))</f>
        <v/>
      </c>
      <c r="BE125" s="6">
        <f>IF(OR($BJ125="",56&gt;設定!$B$3),"",IF(INDEX(原始資料!BG$2:BG$501,$BJ125)="","",INDEX(原始資料!BG$2:BG$501,$BJ125)))</f>
        <v/>
      </c>
      <c r="BF125" s="6">
        <f>IF(OR($BJ125="",57&gt;設定!$B$3),"",IF(INDEX(原始資料!BH$2:BH$501,$BJ125)="","",INDEX(原始資料!BH$2:BH$501,$BJ125)))</f>
        <v/>
      </c>
      <c r="BG125" s="6">
        <f>IF(OR($BJ125="",58&gt;設定!$B$3),"",IF(INDEX(原始資料!BI$2:BI$501,$BJ125)="","",INDEX(原始資料!BI$2:BI$501,$BJ125)))</f>
        <v/>
      </c>
      <c r="BH125" s="6">
        <f>IF(OR($BJ125="",59&gt;設定!$B$3),"",IF(INDEX(原始資料!BJ$2:BJ$501,$BJ125)="","",INDEX(原始資料!BJ$2:BJ$501,$BJ125)))</f>
        <v/>
      </c>
      <c r="BI125" s="6">
        <f>IF(OR($BJ125="",60&gt;設定!$B$3),"",IF(INDEX(原始資料!BK$2:BK$501,$BJ125)="","",INDEX(原始資料!BK$2:BK$501,$BJ125)))</f>
        <v/>
      </c>
      <c r="BJ125" s="6">
        <f>IFERROR(MATCH(ROW()-1,判定!$H$2:$H$501,0),"")</f>
        <v/>
      </c>
    </row>
    <row r="126">
      <c r="A126" s="6">
        <f>IF($BJ126="","",INDEX(原始資料!$A$2:$A$501,$BJ126))</f>
        <v/>
      </c>
      <c r="B126" s="6">
        <f>IF(OR($BJ126="",1&gt;設定!$B$3),"",IF(INDEX(原始資料!D$2:D$501,$BJ126)="","",INDEX(原始資料!D$2:D$501,$BJ126)))</f>
        <v/>
      </c>
      <c r="C126" s="6">
        <f>IF(OR($BJ126="",2&gt;設定!$B$3),"",IF(INDEX(原始資料!E$2:E$501,$BJ126)="","",INDEX(原始資料!E$2:E$501,$BJ126)))</f>
        <v/>
      </c>
      <c r="D126" s="6">
        <f>IF(OR($BJ126="",3&gt;設定!$B$3),"",IF(INDEX(原始資料!F$2:F$501,$BJ126)="","",INDEX(原始資料!F$2:F$501,$BJ126)))</f>
        <v/>
      </c>
      <c r="E126" s="6">
        <f>IF(OR($BJ126="",4&gt;設定!$B$3),"",IF(INDEX(原始資料!G$2:G$501,$BJ126)="","",INDEX(原始資料!G$2:G$501,$BJ126)))</f>
        <v/>
      </c>
      <c r="F126" s="6">
        <f>IF(OR($BJ126="",5&gt;設定!$B$3),"",IF(INDEX(原始資料!H$2:H$501,$BJ126)="","",INDEX(原始資料!H$2:H$501,$BJ126)))</f>
        <v/>
      </c>
      <c r="G126" s="6">
        <f>IF(OR($BJ126="",6&gt;設定!$B$3),"",IF(INDEX(原始資料!I$2:I$501,$BJ126)="","",INDEX(原始資料!I$2:I$501,$BJ126)))</f>
        <v/>
      </c>
      <c r="H126" s="6">
        <f>IF(OR($BJ126="",7&gt;設定!$B$3),"",IF(INDEX(原始資料!J$2:J$501,$BJ126)="","",INDEX(原始資料!J$2:J$501,$BJ126)))</f>
        <v/>
      </c>
      <c r="I126" s="6">
        <f>IF(OR($BJ126="",8&gt;設定!$B$3),"",IF(INDEX(原始資料!K$2:K$501,$BJ126)="","",INDEX(原始資料!K$2:K$501,$BJ126)))</f>
        <v/>
      </c>
      <c r="J126" s="6">
        <f>IF(OR($BJ126="",9&gt;設定!$B$3),"",IF(INDEX(原始資料!L$2:L$501,$BJ126)="","",INDEX(原始資料!L$2:L$501,$BJ126)))</f>
        <v/>
      </c>
      <c r="K126" s="6">
        <f>IF(OR($BJ126="",10&gt;設定!$B$3),"",IF(INDEX(原始資料!M$2:M$501,$BJ126)="","",INDEX(原始資料!M$2:M$501,$BJ126)))</f>
        <v/>
      </c>
      <c r="L126" s="6">
        <f>IF(OR($BJ126="",11&gt;設定!$B$3),"",IF(INDEX(原始資料!N$2:N$501,$BJ126)="","",INDEX(原始資料!N$2:N$501,$BJ126)))</f>
        <v/>
      </c>
      <c r="M126" s="6">
        <f>IF(OR($BJ126="",12&gt;設定!$B$3),"",IF(INDEX(原始資料!O$2:O$501,$BJ126)="","",INDEX(原始資料!O$2:O$501,$BJ126)))</f>
        <v/>
      </c>
      <c r="N126" s="6">
        <f>IF(OR($BJ126="",13&gt;設定!$B$3),"",IF(INDEX(原始資料!P$2:P$501,$BJ126)="","",INDEX(原始資料!P$2:P$501,$BJ126)))</f>
        <v/>
      </c>
      <c r="O126" s="6">
        <f>IF(OR($BJ126="",14&gt;設定!$B$3),"",IF(INDEX(原始資料!Q$2:Q$501,$BJ126)="","",INDEX(原始資料!Q$2:Q$501,$BJ126)))</f>
        <v/>
      </c>
      <c r="P126" s="6">
        <f>IF(OR($BJ126="",15&gt;設定!$B$3),"",IF(INDEX(原始資料!R$2:R$501,$BJ126)="","",INDEX(原始資料!R$2:R$501,$BJ126)))</f>
        <v/>
      </c>
      <c r="Q126" s="6">
        <f>IF(OR($BJ126="",16&gt;設定!$B$3),"",IF(INDEX(原始資料!S$2:S$501,$BJ126)="","",INDEX(原始資料!S$2:S$501,$BJ126)))</f>
        <v/>
      </c>
      <c r="R126" s="6">
        <f>IF(OR($BJ126="",17&gt;設定!$B$3),"",IF(INDEX(原始資料!T$2:T$501,$BJ126)="","",INDEX(原始資料!T$2:T$501,$BJ126)))</f>
        <v/>
      </c>
      <c r="S126" s="6">
        <f>IF(OR($BJ126="",18&gt;設定!$B$3),"",IF(INDEX(原始資料!U$2:U$501,$BJ126)="","",INDEX(原始資料!U$2:U$501,$BJ126)))</f>
        <v/>
      </c>
      <c r="T126" s="6">
        <f>IF(OR($BJ126="",19&gt;設定!$B$3),"",IF(INDEX(原始資料!V$2:V$501,$BJ126)="","",INDEX(原始資料!V$2:V$501,$BJ126)))</f>
        <v/>
      </c>
      <c r="U126" s="6">
        <f>IF(OR($BJ126="",20&gt;設定!$B$3),"",IF(INDEX(原始資料!W$2:W$501,$BJ126)="","",INDEX(原始資料!W$2:W$501,$BJ126)))</f>
        <v/>
      </c>
      <c r="V126" s="6">
        <f>IF(OR($BJ126="",21&gt;設定!$B$3),"",IF(INDEX(原始資料!X$2:X$501,$BJ126)="","",INDEX(原始資料!X$2:X$501,$BJ126)))</f>
        <v/>
      </c>
      <c r="W126" s="6">
        <f>IF(OR($BJ126="",22&gt;設定!$B$3),"",IF(INDEX(原始資料!Y$2:Y$501,$BJ126)="","",INDEX(原始資料!Y$2:Y$501,$BJ126)))</f>
        <v/>
      </c>
      <c r="X126" s="6">
        <f>IF(OR($BJ126="",23&gt;設定!$B$3),"",IF(INDEX(原始資料!Z$2:Z$501,$BJ126)="","",INDEX(原始資料!Z$2:Z$501,$BJ126)))</f>
        <v/>
      </c>
      <c r="Y126" s="6">
        <f>IF(OR($BJ126="",24&gt;設定!$B$3),"",IF(INDEX(原始資料!AA$2:AA$501,$BJ126)="","",INDEX(原始資料!AA$2:AA$501,$BJ126)))</f>
        <v/>
      </c>
      <c r="Z126" s="6">
        <f>IF(OR($BJ126="",25&gt;設定!$B$3),"",IF(INDEX(原始資料!AB$2:AB$501,$BJ126)="","",INDEX(原始資料!AB$2:AB$501,$BJ126)))</f>
        <v/>
      </c>
      <c r="AA126" s="6">
        <f>IF(OR($BJ126="",26&gt;設定!$B$3),"",IF(INDEX(原始資料!AC$2:AC$501,$BJ126)="","",INDEX(原始資料!AC$2:AC$501,$BJ126)))</f>
        <v/>
      </c>
      <c r="AB126" s="6">
        <f>IF(OR($BJ126="",27&gt;設定!$B$3),"",IF(INDEX(原始資料!AD$2:AD$501,$BJ126)="","",INDEX(原始資料!AD$2:AD$501,$BJ126)))</f>
        <v/>
      </c>
      <c r="AC126" s="6">
        <f>IF(OR($BJ126="",28&gt;設定!$B$3),"",IF(INDEX(原始資料!AE$2:AE$501,$BJ126)="","",INDEX(原始資料!AE$2:AE$501,$BJ126)))</f>
        <v/>
      </c>
      <c r="AD126" s="6">
        <f>IF(OR($BJ126="",29&gt;設定!$B$3),"",IF(INDEX(原始資料!AF$2:AF$501,$BJ126)="","",INDEX(原始資料!AF$2:AF$501,$BJ126)))</f>
        <v/>
      </c>
      <c r="AE126" s="6">
        <f>IF(OR($BJ126="",30&gt;設定!$B$3),"",IF(INDEX(原始資料!AG$2:AG$501,$BJ126)="","",INDEX(原始資料!AG$2:AG$501,$BJ126)))</f>
        <v/>
      </c>
      <c r="AF126" s="6">
        <f>IF(OR($BJ126="",31&gt;設定!$B$3),"",IF(INDEX(原始資料!AH$2:AH$501,$BJ126)="","",INDEX(原始資料!AH$2:AH$501,$BJ126)))</f>
        <v/>
      </c>
      <c r="AG126" s="6">
        <f>IF(OR($BJ126="",32&gt;設定!$B$3),"",IF(INDEX(原始資料!AI$2:AI$501,$BJ126)="","",INDEX(原始資料!AI$2:AI$501,$BJ126)))</f>
        <v/>
      </c>
      <c r="AH126" s="6">
        <f>IF(OR($BJ126="",33&gt;設定!$B$3),"",IF(INDEX(原始資料!AJ$2:AJ$501,$BJ126)="","",INDEX(原始資料!AJ$2:AJ$501,$BJ126)))</f>
        <v/>
      </c>
      <c r="AI126" s="6">
        <f>IF(OR($BJ126="",34&gt;設定!$B$3),"",IF(INDEX(原始資料!AK$2:AK$501,$BJ126)="","",INDEX(原始資料!AK$2:AK$501,$BJ126)))</f>
        <v/>
      </c>
      <c r="AJ126" s="6">
        <f>IF(OR($BJ126="",35&gt;設定!$B$3),"",IF(INDEX(原始資料!AL$2:AL$501,$BJ126)="","",INDEX(原始資料!AL$2:AL$501,$BJ126)))</f>
        <v/>
      </c>
      <c r="AK126" s="6">
        <f>IF(OR($BJ126="",36&gt;設定!$B$3),"",IF(INDEX(原始資料!AM$2:AM$501,$BJ126)="","",INDEX(原始資料!AM$2:AM$501,$BJ126)))</f>
        <v/>
      </c>
      <c r="AL126" s="6">
        <f>IF(OR($BJ126="",37&gt;設定!$B$3),"",IF(INDEX(原始資料!AN$2:AN$501,$BJ126)="","",INDEX(原始資料!AN$2:AN$501,$BJ126)))</f>
        <v/>
      </c>
      <c r="AM126" s="6">
        <f>IF(OR($BJ126="",38&gt;設定!$B$3),"",IF(INDEX(原始資料!AO$2:AO$501,$BJ126)="","",INDEX(原始資料!AO$2:AO$501,$BJ126)))</f>
        <v/>
      </c>
      <c r="AN126" s="6">
        <f>IF(OR($BJ126="",39&gt;設定!$B$3),"",IF(INDEX(原始資料!AP$2:AP$501,$BJ126)="","",INDEX(原始資料!AP$2:AP$501,$BJ126)))</f>
        <v/>
      </c>
      <c r="AO126" s="6">
        <f>IF(OR($BJ126="",40&gt;設定!$B$3),"",IF(INDEX(原始資料!AQ$2:AQ$501,$BJ126)="","",INDEX(原始資料!AQ$2:AQ$501,$BJ126)))</f>
        <v/>
      </c>
      <c r="AP126" s="6">
        <f>IF(OR($BJ126="",41&gt;設定!$B$3),"",IF(INDEX(原始資料!AR$2:AR$501,$BJ126)="","",INDEX(原始資料!AR$2:AR$501,$BJ126)))</f>
        <v/>
      </c>
      <c r="AQ126" s="6">
        <f>IF(OR($BJ126="",42&gt;設定!$B$3),"",IF(INDEX(原始資料!AS$2:AS$501,$BJ126)="","",INDEX(原始資料!AS$2:AS$501,$BJ126)))</f>
        <v/>
      </c>
      <c r="AR126" s="6">
        <f>IF(OR($BJ126="",43&gt;設定!$B$3),"",IF(INDEX(原始資料!AT$2:AT$501,$BJ126)="","",INDEX(原始資料!AT$2:AT$501,$BJ126)))</f>
        <v/>
      </c>
      <c r="AS126" s="6">
        <f>IF(OR($BJ126="",44&gt;設定!$B$3),"",IF(INDEX(原始資料!AU$2:AU$501,$BJ126)="","",INDEX(原始資料!AU$2:AU$501,$BJ126)))</f>
        <v/>
      </c>
      <c r="AT126" s="6">
        <f>IF(OR($BJ126="",45&gt;設定!$B$3),"",IF(INDEX(原始資料!AV$2:AV$501,$BJ126)="","",INDEX(原始資料!AV$2:AV$501,$BJ126)))</f>
        <v/>
      </c>
      <c r="AU126" s="6">
        <f>IF(OR($BJ126="",46&gt;設定!$B$3),"",IF(INDEX(原始資料!AW$2:AW$501,$BJ126)="","",INDEX(原始資料!AW$2:AW$501,$BJ126)))</f>
        <v/>
      </c>
      <c r="AV126" s="6">
        <f>IF(OR($BJ126="",47&gt;設定!$B$3),"",IF(INDEX(原始資料!AX$2:AX$501,$BJ126)="","",INDEX(原始資料!AX$2:AX$501,$BJ126)))</f>
        <v/>
      </c>
      <c r="AW126" s="6">
        <f>IF(OR($BJ126="",48&gt;設定!$B$3),"",IF(INDEX(原始資料!AY$2:AY$501,$BJ126)="","",INDEX(原始資料!AY$2:AY$501,$BJ126)))</f>
        <v/>
      </c>
      <c r="AX126" s="6">
        <f>IF(OR($BJ126="",49&gt;設定!$B$3),"",IF(INDEX(原始資料!AZ$2:AZ$501,$BJ126)="","",INDEX(原始資料!AZ$2:AZ$501,$BJ126)))</f>
        <v/>
      </c>
      <c r="AY126" s="6">
        <f>IF(OR($BJ126="",50&gt;設定!$B$3),"",IF(INDEX(原始資料!BA$2:BA$501,$BJ126)="","",INDEX(原始資料!BA$2:BA$501,$BJ126)))</f>
        <v/>
      </c>
      <c r="AZ126" s="6">
        <f>IF(OR($BJ126="",51&gt;設定!$B$3),"",IF(INDEX(原始資料!BB$2:BB$501,$BJ126)="","",INDEX(原始資料!BB$2:BB$501,$BJ126)))</f>
        <v/>
      </c>
      <c r="BA126" s="6">
        <f>IF(OR($BJ126="",52&gt;設定!$B$3),"",IF(INDEX(原始資料!BC$2:BC$501,$BJ126)="","",INDEX(原始資料!BC$2:BC$501,$BJ126)))</f>
        <v/>
      </c>
      <c r="BB126" s="6">
        <f>IF(OR($BJ126="",53&gt;設定!$B$3),"",IF(INDEX(原始資料!BD$2:BD$501,$BJ126)="","",INDEX(原始資料!BD$2:BD$501,$BJ126)))</f>
        <v/>
      </c>
      <c r="BC126" s="6">
        <f>IF(OR($BJ126="",54&gt;設定!$B$3),"",IF(INDEX(原始資料!BE$2:BE$501,$BJ126)="","",INDEX(原始資料!BE$2:BE$501,$BJ126)))</f>
        <v/>
      </c>
      <c r="BD126" s="6">
        <f>IF(OR($BJ126="",55&gt;設定!$B$3),"",IF(INDEX(原始資料!BF$2:BF$501,$BJ126)="","",INDEX(原始資料!BF$2:BF$501,$BJ126)))</f>
        <v/>
      </c>
      <c r="BE126" s="6">
        <f>IF(OR($BJ126="",56&gt;設定!$B$3),"",IF(INDEX(原始資料!BG$2:BG$501,$BJ126)="","",INDEX(原始資料!BG$2:BG$501,$BJ126)))</f>
        <v/>
      </c>
      <c r="BF126" s="6">
        <f>IF(OR($BJ126="",57&gt;設定!$B$3),"",IF(INDEX(原始資料!BH$2:BH$501,$BJ126)="","",INDEX(原始資料!BH$2:BH$501,$BJ126)))</f>
        <v/>
      </c>
      <c r="BG126" s="6">
        <f>IF(OR($BJ126="",58&gt;設定!$B$3),"",IF(INDEX(原始資料!BI$2:BI$501,$BJ126)="","",INDEX(原始資料!BI$2:BI$501,$BJ126)))</f>
        <v/>
      </c>
      <c r="BH126" s="6">
        <f>IF(OR($BJ126="",59&gt;設定!$B$3),"",IF(INDEX(原始資料!BJ$2:BJ$501,$BJ126)="","",INDEX(原始資料!BJ$2:BJ$501,$BJ126)))</f>
        <v/>
      </c>
      <c r="BI126" s="6">
        <f>IF(OR($BJ126="",60&gt;設定!$B$3),"",IF(INDEX(原始資料!BK$2:BK$501,$BJ126)="","",INDEX(原始資料!BK$2:BK$501,$BJ126)))</f>
        <v/>
      </c>
      <c r="BJ126" s="6">
        <f>IFERROR(MATCH(ROW()-1,判定!$H$2:$H$501,0),"")</f>
        <v/>
      </c>
    </row>
    <row r="127">
      <c r="A127" s="6">
        <f>IF($BJ127="","",INDEX(原始資料!$A$2:$A$501,$BJ127))</f>
        <v/>
      </c>
      <c r="B127" s="6">
        <f>IF(OR($BJ127="",1&gt;設定!$B$3),"",IF(INDEX(原始資料!D$2:D$501,$BJ127)="","",INDEX(原始資料!D$2:D$501,$BJ127)))</f>
        <v/>
      </c>
      <c r="C127" s="6">
        <f>IF(OR($BJ127="",2&gt;設定!$B$3),"",IF(INDEX(原始資料!E$2:E$501,$BJ127)="","",INDEX(原始資料!E$2:E$501,$BJ127)))</f>
        <v/>
      </c>
      <c r="D127" s="6">
        <f>IF(OR($BJ127="",3&gt;設定!$B$3),"",IF(INDEX(原始資料!F$2:F$501,$BJ127)="","",INDEX(原始資料!F$2:F$501,$BJ127)))</f>
        <v/>
      </c>
      <c r="E127" s="6">
        <f>IF(OR($BJ127="",4&gt;設定!$B$3),"",IF(INDEX(原始資料!G$2:G$501,$BJ127)="","",INDEX(原始資料!G$2:G$501,$BJ127)))</f>
        <v/>
      </c>
      <c r="F127" s="6">
        <f>IF(OR($BJ127="",5&gt;設定!$B$3),"",IF(INDEX(原始資料!H$2:H$501,$BJ127)="","",INDEX(原始資料!H$2:H$501,$BJ127)))</f>
        <v/>
      </c>
      <c r="G127" s="6">
        <f>IF(OR($BJ127="",6&gt;設定!$B$3),"",IF(INDEX(原始資料!I$2:I$501,$BJ127)="","",INDEX(原始資料!I$2:I$501,$BJ127)))</f>
        <v/>
      </c>
      <c r="H127" s="6">
        <f>IF(OR($BJ127="",7&gt;設定!$B$3),"",IF(INDEX(原始資料!J$2:J$501,$BJ127)="","",INDEX(原始資料!J$2:J$501,$BJ127)))</f>
        <v/>
      </c>
      <c r="I127" s="6">
        <f>IF(OR($BJ127="",8&gt;設定!$B$3),"",IF(INDEX(原始資料!K$2:K$501,$BJ127)="","",INDEX(原始資料!K$2:K$501,$BJ127)))</f>
        <v/>
      </c>
      <c r="J127" s="6">
        <f>IF(OR($BJ127="",9&gt;設定!$B$3),"",IF(INDEX(原始資料!L$2:L$501,$BJ127)="","",INDEX(原始資料!L$2:L$501,$BJ127)))</f>
        <v/>
      </c>
      <c r="K127" s="6">
        <f>IF(OR($BJ127="",10&gt;設定!$B$3),"",IF(INDEX(原始資料!M$2:M$501,$BJ127)="","",INDEX(原始資料!M$2:M$501,$BJ127)))</f>
        <v/>
      </c>
      <c r="L127" s="6">
        <f>IF(OR($BJ127="",11&gt;設定!$B$3),"",IF(INDEX(原始資料!N$2:N$501,$BJ127)="","",INDEX(原始資料!N$2:N$501,$BJ127)))</f>
        <v/>
      </c>
      <c r="M127" s="6">
        <f>IF(OR($BJ127="",12&gt;設定!$B$3),"",IF(INDEX(原始資料!O$2:O$501,$BJ127)="","",INDEX(原始資料!O$2:O$501,$BJ127)))</f>
        <v/>
      </c>
      <c r="N127" s="6">
        <f>IF(OR($BJ127="",13&gt;設定!$B$3),"",IF(INDEX(原始資料!P$2:P$501,$BJ127)="","",INDEX(原始資料!P$2:P$501,$BJ127)))</f>
        <v/>
      </c>
      <c r="O127" s="6">
        <f>IF(OR($BJ127="",14&gt;設定!$B$3),"",IF(INDEX(原始資料!Q$2:Q$501,$BJ127)="","",INDEX(原始資料!Q$2:Q$501,$BJ127)))</f>
        <v/>
      </c>
      <c r="P127" s="6">
        <f>IF(OR($BJ127="",15&gt;設定!$B$3),"",IF(INDEX(原始資料!R$2:R$501,$BJ127)="","",INDEX(原始資料!R$2:R$501,$BJ127)))</f>
        <v/>
      </c>
      <c r="Q127" s="6">
        <f>IF(OR($BJ127="",16&gt;設定!$B$3),"",IF(INDEX(原始資料!S$2:S$501,$BJ127)="","",INDEX(原始資料!S$2:S$501,$BJ127)))</f>
        <v/>
      </c>
      <c r="R127" s="6">
        <f>IF(OR($BJ127="",17&gt;設定!$B$3),"",IF(INDEX(原始資料!T$2:T$501,$BJ127)="","",INDEX(原始資料!T$2:T$501,$BJ127)))</f>
        <v/>
      </c>
      <c r="S127" s="6">
        <f>IF(OR($BJ127="",18&gt;設定!$B$3),"",IF(INDEX(原始資料!U$2:U$501,$BJ127)="","",INDEX(原始資料!U$2:U$501,$BJ127)))</f>
        <v/>
      </c>
      <c r="T127" s="6">
        <f>IF(OR($BJ127="",19&gt;設定!$B$3),"",IF(INDEX(原始資料!V$2:V$501,$BJ127)="","",INDEX(原始資料!V$2:V$501,$BJ127)))</f>
        <v/>
      </c>
      <c r="U127" s="6">
        <f>IF(OR($BJ127="",20&gt;設定!$B$3),"",IF(INDEX(原始資料!W$2:W$501,$BJ127)="","",INDEX(原始資料!W$2:W$501,$BJ127)))</f>
        <v/>
      </c>
      <c r="V127" s="6">
        <f>IF(OR($BJ127="",21&gt;設定!$B$3),"",IF(INDEX(原始資料!X$2:X$501,$BJ127)="","",INDEX(原始資料!X$2:X$501,$BJ127)))</f>
        <v/>
      </c>
      <c r="W127" s="6">
        <f>IF(OR($BJ127="",22&gt;設定!$B$3),"",IF(INDEX(原始資料!Y$2:Y$501,$BJ127)="","",INDEX(原始資料!Y$2:Y$501,$BJ127)))</f>
        <v/>
      </c>
      <c r="X127" s="6">
        <f>IF(OR($BJ127="",23&gt;設定!$B$3),"",IF(INDEX(原始資料!Z$2:Z$501,$BJ127)="","",INDEX(原始資料!Z$2:Z$501,$BJ127)))</f>
        <v/>
      </c>
      <c r="Y127" s="6">
        <f>IF(OR($BJ127="",24&gt;設定!$B$3),"",IF(INDEX(原始資料!AA$2:AA$501,$BJ127)="","",INDEX(原始資料!AA$2:AA$501,$BJ127)))</f>
        <v/>
      </c>
      <c r="Z127" s="6">
        <f>IF(OR($BJ127="",25&gt;設定!$B$3),"",IF(INDEX(原始資料!AB$2:AB$501,$BJ127)="","",INDEX(原始資料!AB$2:AB$501,$BJ127)))</f>
        <v/>
      </c>
      <c r="AA127" s="6">
        <f>IF(OR($BJ127="",26&gt;設定!$B$3),"",IF(INDEX(原始資料!AC$2:AC$501,$BJ127)="","",INDEX(原始資料!AC$2:AC$501,$BJ127)))</f>
        <v/>
      </c>
      <c r="AB127" s="6">
        <f>IF(OR($BJ127="",27&gt;設定!$B$3),"",IF(INDEX(原始資料!AD$2:AD$501,$BJ127)="","",INDEX(原始資料!AD$2:AD$501,$BJ127)))</f>
        <v/>
      </c>
      <c r="AC127" s="6">
        <f>IF(OR($BJ127="",28&gt;設定!$B$3),"",IF(INDEX(原始資料!AE$2:AE$501,$BJ127)="","",INDEX(原始資料!AE$2:AE$501,$BJ127)))</f>
        <v/>
      </c>
      <c r="AD127" s="6">
        <f>IF(OR($BJ127="",29&gt;設定!$B$3),"",IF(INDEX(原始資料!AF$2:AF$501,$BJ127)="","",INDEX(原始資料!AF$2:AF$501,$BJ127)))</f>
        <v/>
      </c>
      <c r="AE127" s="6">
        <f>IF(OR($BJ127="",30&gt;設定!$B$3),"",IF(INDEX(原始資料!AG$2:AG$501,$BJ127)="","",INDEX(原始資料!AG$2:AG$501,$BJ127)))</f>
        <v/>
      </c>
      <c r="AF127" s="6">
        <f>IF(OR($BJ127="",31&gt;設定!$B$3),"",IF(INDEX(原始資料!AH$2:AH$501,$BJ127)="","",INDEX(原始資料!AH$2:AH$501,$BJ127)))</f>
        <v/>
      </c>
      <c r="AG127" s="6">
        <f>IF(OR($BJ127="",32&gt;設定!$B$3),"",IF(INDEX(原始資料!AI$2:AI$501,$BJ127)="","",INDEX(原始資料!AI$2:AI$501,$BJ127)))</f>
        <v/>
      </c>
      <c r="AH127" s="6">
        <f>IF(OR($BJ127="",33&gt;設定!$B$3),"",IF(INDEX(原始資料!AJ$2:AJ$501,$BJ127)="","",INDEX(原始資料!AJ$2:AJ$501,$BJ127)))</f>
        <v/>
      </c>
      <c r="AI127" s="6">
        <f>IF(OR($BJ127="",34&gt;設定!$B$3),"",IF(INDEX(原始資料!AK$2:AK$501,$BJ127)="","",INDEX(原始資料!AK$2:AK$501,$BJ127)))</f>
        <v/>
      </c>
      <c r="AJ127" s="6">
        <f>IF(OR($BJ127="",35&gt;設定!$B$3),"",IF(INDEX(原始資料!AL$2:AL$501,$BJ127)="","",INDEX(原始資料!AL$2:AL$501,$BJ127)))</f>
        <v/>
      </c>
      <c r="AK127" s="6">
        <f>IF(OR($BJ127="",36&gt;設定!$B$3),"",IF(INDEX(原始資料!AM$2:AM$501,$BJ127)="","",INDEX(原始資料!AM$2:AM$501,$BJ127)))</f>
        <v/>
      </c>
      <c r="AL127" s="6">
        <f>IF(OR($BJ127="",37&gt;設定!$B$3),"",IF(INDEX(原始資料!AN$2:AN$501,$BJ127)="","",INDEX(原始資料!AN$2:AN$501,$BJ127)))</f>
        <v/>
      </c>
      <c r="AM127" s="6">
        <f>IF(OR($BJ127="",38&gt;設定!$B$3),"",IF(INDEX(原始資料!AO$2:AO$501,$BJ127)="","",INDEX(原始資料!AO$2:AO$501,$BJ127)))</f>
        <v/>
      </c>
      <c r="AN127" s="6">
        <f>IF(OR($BJ127="",39&gt;設定!$B$3),"",IF(INDEX(原始資料!AP$2:AP$501,$BJ127)="","",INDEX(原始資料!AP$2:AP$501,$BJ127)))</f>
        <v/>
      </c>
      <c r="AO127" s="6">
        <f>IF(OR($BJ127="",40&gt;設定!$B$3),"",IF(INDEX(原始資料!AQ$2:AQ$501,$BJ127)="","",INDEX(原始資料!AQ$2:AQ$501,$BJ127)))</f>
        <v/>
      </c>
      <c r="AP127" s="6">
        <f>IF(OR($BJ127="",41&gt;設定!$B$3),"",IF(INDEX(原始資料!AR$2:AR$501,$BJ127)="","",INDEX(原始資料!AR$2:AR$501,$BJ127)))</f>
        <v/>
      </c>
      <c r="AQ127" s="6">
        <f>IF(OR($BJ127="",42&gt;設定!$B$3),"",IF(INDEX(原始資料!AS$2:AS$501,$BJ127)="","",INDEX(原始資料!AS$2:AS$501,$BJ127)))</f>
        <v/>
      </c>
      <c r="AR127" s="6">
        <f>IF(OR($BJ127="",43&gt;設定!$B$3),"",IF(INDEX(原始資料!AT$2:AT$501,$BJ127)="","",INDEX(原始資料!AT$2:AT$501,$BJ127)))</f>
        <v/>
      </c>
      <c r="AS127" s="6">
        <f>IF(OR($BJ127="",44&gt;設定!$B$3),"",IF(INDEX(原始資料!AU$2:AU$501,$BJ127)="","",INDEX(原始資料!AU$2:AU$501,$BJ127)))</f>
        <v/>
      </c>
      <c r="AT127" s="6">
        <f>IF(OR($BJ127="",45&gt;設定!$B$3),"",IF(INDEX(原始資料!AV$2:AV$501,$BJ127)="","",INDEX(原始資料!AV$2:AV$501,$BJ127)))</f>
        <v/>
      </c>
      <c r="AU127" s="6">
        <f>IF(OR($BJ127="",46&gt;設定!$B$3),"",IF(INDEX(原始資料!AW$2:AW$501,$BJ127)="","",INDEX(原始資料!AW$2:AW$501,$BJ127)))</f>
        <v/>
      </c>
      <c r="AV127" s="6">
        <f>IF(OR($BJ127="",47&gt;設定!$B$3),"",IF(INDEX(原始資料!AX$2:AX$501,$BJ127)="","",INDEX(原始資料!AX$2:AX$501,$BJ127)))</f>
        <v/>
      </c>
      <c r="AW127" s="6">
        <f>IF(OR($BJ127="",48&gt;設定!$B$3),"",IF(INDEX(原始資料!AY$2:AY$501,$BJ127)="","",INDEX(原始資料!AY$2:AY$501,$BJ127)))</f>
        <v/>
      </c>
      <c r="AX127" s="6">
        <f>IF(OR($BJ127="",49&gt;設定!$B$3),"",IF(INDEX(原始資料!AZ$2:AZ$501,$BJ127)="","",INDEX(原始資料!AZ$2:AZ$501,$BJ127)))</f>
        <v/>
      </c>
      <c r="AY127" s="6">
        <f>IF(OR($BJ127="",50&gt;設定!$B$3),"",IF(INDEX(原始資料!BA$2:BA$501,$BJ127)="","",INDEX(原始資料!BA$2:BA$501,$BJ127)))</f>
        <v/>
      </c>
      <c r="AZ127" s="6">
        <f>IF(OR($BJ127="",51&gt;設定!$B$3),"",IF(INDEX(原始資料!BB$2:BB$501,$BJ127)="","",INDEX(原始資料!BB$2:BB$501,$BJ127)))</f>
        <v/>
      </c>
      <c r="BA127" s="6">
        <f>IF(OR($BJ127="",52&gt;設定!$B$3),"",IF(INDEX(原始資料!BC$2:BC$501,$BJ127)="","",INDEX(原始資料!BC$2:BC$501,$BJ127)))</f>
        <v/>
      </c>
      <c r="BB127" s="6">
        <f>IF(OR($BJ127="",53&gt;設定!$B$3),"",IF(INDEX(原始資料!BD$2:BD$501,$BJ127)="","",INDEX(原始資料!BD$2:BD$501,$BJ127)))</f>
        <v/>
      </c>
      <c r="BC127" s="6">
        <f>IF(OR($BJ127="",54&gt;設定!$B$3),"",IF(INDEX(原始資料!BE$2:BE$501,$BJ127)="","",INDEX(原始資料!BE$2:BE$501,$BJ127)))</f>
        <v/>
      </c>
      <c r="BD127" s="6">
        <f>IF(OR($BJ127="",55&gt;設定!$B$3),"",IF(INDEX(原始資料!BF$2:BF$501,$BJ127)="","",INDEX(原始資料!BF$2:BF$501,$BJ127)))</f>
        <v/>
      </c>
      <c r="BE127" s="6">
        <f>IF(OR($BJ127="",56&gt;設定!$B$3),"",IF(INDEX(原始資料!BG$2:BG$501,$BJ127)="","",INDEX(原始資料!BG$2:BG$501,$BJ127)))</f>
        <v/>
      </c>
      <c r="BF127" s="6">
        <f>IF(OR($BJ127="",57&gt;設定!$B$3),"",IF(INDEX(原始資料!BH$2:BH$501,$BJ127)="","",INDEX(原始資料!BH$2:BH$501,$BJ127)))</f>
        <v/>
      </c>
      <c r="BG127" s="6">
        <f>IF(OR($BJ127="",58&gt;設定!$B$3),"",IF(INDEX(原始資料!BI$2:BI$501,$BJ127)="","",INDEX(原始資料!BI$2:BI$501,$BJ127)))</f>
        <v/>
      </c>
      <c r="BH127" s="6">
        <f>IF(OR($BJ127="",59&gt;設定!$B$3),"",IF(INDEX(原始資料!BJ$2:BJ$501,$BJ127)="","",INDEX(原始資料!BJ$2:BJ$501,$BJ127)))</f>
        <v/>
      </c>
      <c r="BI127" s="6">
        <f>IF(OR($BJ127="",60&gt;設定!$B$3),"",IF(INDEX(原始資料!BK$2:BK$501,$BJ127)="","",INDEX(原始資料!BK$2:BK$501,$BJ127)))</f>
        <v/>
      </c>
      <c r="BJ127" s="6">
        <f>IFERROR(MATCH(ROW()-1,判定!$H$2:$H$501,0),"")</f>
        <v/>
      </c>
    </row>
    <row r="128">
      <c r="A128" s="6">
        <f>IF($BJ128="","",INDEX(原始資料!$A$2:$A$501,$BJ128))</f>
        <v/>
      </c>
      <c r="B128" s="6">
        <f>IF(OR($BJ128="",1&gt;設定!$B$3),"",IF(INDEX(原始資料!D$2:D$501,$BJ128)="","",INDEX(原始資料!D$2:D$501,$BJ128)))</f>
        <v/>
      </c>
      <c r="C128" s="6">
        <f>IF(OR($BJ128="",2&gt;設定!$B$3),"",IF(INDEX(原始資料!E$2:E$501,$BJ128)="","",INDEX(原始資料!E$2:E$501,$BJ128)))</f>
        <v/>
      </c>
      <c r="D128" s="6">
        <f>IF(OR($BJ128="",3&gt;設定!$B$3),"",IF(INDEX(原始資料!F$2:F$501,$BJ128)="","",INDEX(原始資料!F$2:F$501,$BJ128)))</f>
        <v/>
      </c>
      <c r="E128" s="6">
        <f>IF(OR($BJ128="",4&gt;設定!$B$3),"",IF(INDEX(原始資料!G$2:G$501,$BJ128)="","",INDEX(原始資料!G$2:G$501,$BJ128)))</f>
        <v/>
      </c>
      <c r="F128" s="6">
        <f>IF(OR($BJ128="",5&gt;設定!$B$3),"",IF(INDEX(原始資料!H$2:H$501,$BJ128)="","",INDEX(原始資料!H$2:H$501,$BJ128)))</f>
        <v/>
      </c>
      <c r="G128" s="6">
        <f>IF(OR($BJ128="",6&gt;設定!$B$3),"",IF(INDEX(原始資料!I$2:I$501,$BJ128)="","",INDEX(原始資料!I$2:I$501,$BJ128)))</f>
        <v/>
      </c>
      <c r="H128" s="6">
        <f>IF(OR($BJ128="",7&gt;設定!$B$3),"",IF(INDEX(原始資料!J$2:J$501,$BJ128)="","",INDEX(原始資料!J$2:J$501,$BJ128)))</f>
        <v/>
      </c>
      <c r="I128" s="6">
        <f>IF(OR($BJ128="",8&gt;設定!$B$3),"",IF(INDEX(原始資料!K$2:K$501,$BJ128)="","",INDEX(原始資料!K$2:K$501,$BJ128)))</f>
        <v/>
      </c>
      <c r="J128" s="6">
        <f>IF(OR($BJ128="",9&gt;設定!$B$3),"",IF(INDEX(原始資料!L$2:L$501,$BJ128)="","",INDEX(原始資料!L$2:L$501,$BJ128)))</f>
        <v/>
      </c>
      <c r="K128" s="6">
        <f>IF(OR($BJ128="",10&gt;設定!$B$3),"",IF(INDEX(原始資料!M$2:M$501,$BJ128)="","",INDEX(原始資料!M$2:M$501,$BJ128)))</f>
        <v/>
      </c>
      <c r="L128" s="6">
        <f>IF(OR($BJ128="",11&gt;設定!$B$3),"",IF(INDEX(原始資料!N$2:N$501,$BJ128)="","",INDEX(原始資料!N$2:N$501,$BJ128)))</f>
        <v/>
      </c>
      <c r="M128" s="6">
        <f>IF(OR($BJ128="",12&gt;設定!$B$3),"",IF(INDEX(原始資料!O$2:O$501,$BJ128)="","",INDEX(原始資料!O$2:O$501,$BJ128)))</f>
        <v/>
      </c>
      <c r="N128" s="6">
        <f>IF(OR($BJ128="",13&gt;設定!$B$3),"",IF(INDEX(原始資料!P$2:P$501,$BJ128)="","",INDEX(原始資料!P$2:P$501,$BJ128)))</f>
        <v/>
      </c>
      <c r="O128" s="6">
        <f>IF(OR($BJ128="",14&gt;設定!$B$3),"",IF(INDEX(原始資料!Q$2:Q$501,$BJ128)="","",INDEX(原始資料!Q$2:Q$501,$BJ128)))</f>
        <v/>
      </c>
      <c r="P128" s="6">
        <f>IF(OR($BJ128="",15&gt;設定!$B$3),"",IF(INDEX(原始資料!R$2:R$501,$BJ128)="","",INDEX(原始資料!R$2:R$501,$BJ128)))</f>
        <v/>
      </c>
      <c r="Q128" s="6">
        <f>IF(OR($BJ128="",16&gt;設定!$B$3),"",IF(INDEX(原始資料!S$2:S$501,$BJ128)="","",INDEX(原始資料!S$2:S$501,$BJ128)))</f>
        <v/>
      </c>
      <c r="R128" s="6">
        <f>IF(OR($BJ128="",17&gt;設定!$B$3),"",IF(INDEX(原始資料!T$2:T$501,$BJ128)="","",INDEX(原始資料!T$2:T$501,$BJ128)))</f>
        <v/>
      </c>
      <c r="S128" s="6">
        <f>IF(OR($BJ128="",18&gt;設定!$B$3),"",IF(INDEX(原始資料!U$2:U$501,$BJ128)="","",INDEX(原始資料!U$2:U$501,$BJ128)))</f>
        <v/>
      </c>
      <c r="T128" s="6">
        <f>IF(OR($BJ128="",19&gt;設定!$B$3),"",IF(INDEX(原始資料!V$2:V$501,$BJ128)="","",INDEX(原始資料!V$2:V$501,$BJ128)))</f>
        <v/>
      </c>
      <c r="U128" s="6">
        <f>IF(OR($BJ128="",20&gt;設定!$B$3),"",IF(INDEX(原始資料!W$2:W$501,$BJ128)="","",INDEX(原始資料!W$2:W$501,$BJ128)))</f>
        <v/>
      </c>
      <c r="V128" s="6">
        <f>IF(OR($BJ128="",21&gt;設定!$B$3),"",IF(INDEX(原始資料!X$2:X$501,$BJ128)="","",INDEX(原始資料!X$2:X$501,$BJ128)))</f>
        <v/>
      </c>
      <c r="W128" s="6">
        <f>IF(OR($BJ128="",22&gt;設定!$B$3),"",IF(INDEX(原始資料!Y$2:Y$501,$BJ128)="","",INDEX(原始資料!Y$2:Y$501,$BJ128)))</f>
        <v/>
      </c>
      <c r="X128" s="6">
        <f>IF(OR($BJ128="",23&gt;設定!$B$3),"",IF(INDEX(原始資料!Z$2:Z$501,$BJ128)="","",INDEX(原始資料!Z$2:Z$501,$BJ128)))</f>
        <v/>
      </c>
      <c r="Y128" s="6">
        <f>IF(OR($BJ128="",24&gt;設定!$B$3),"",IF(INDEX(原始資料!AA$2:AA$501,$BJ128)="","",INDEX(原始資料!AA$2:AA$501,$BJ128)))</f>
        <v/>
      </c>
      <c r="Z128" s="6">
        <f>IF(OR($BJ128="",25&gt;設定!$B$3),"",IF(INDEX(原始資料!AB$2:AB$501,$BJ128)="","",INDEX(原始資料!AB$2:AB$501,$BJ128)))</f>
        <v/>
      </c>
      <c r="AA128" s="6">
        <f>IF(OR($BJ128="",26&gt;設定!$B$3),"",IF(INDEX(原始資料!AC$2:AC$501,$BJ128)="","",INDEX(原始資料!AC$2:AC$501,$BJ128)))</f>
        <v/>
      </c>
      <c r="AB128" s="6">
        <f>IF(OR($BJ128="",27&gt;設定!$B$3),"",IF(INDEX(原始資料!AD$2:AD$501,$BJ128)="","",INDEX(原始資料!AD$2:AD$501,$BJ128)))</f>
        <v/>
      </c>
      <c r="AC128" s="6">
        <f>IF(OR($BJ128="",28&gt;設定!$B$3),"",IF(INDEX(原始資料!AE$2:AE$501,$BJ128)="","",INDEX(原始資料!AE$2:AE$501,$BJ128)))</f>
        <v/>
      </c>
      <c r="AD128" s="6">
        <f>IF(OR($BJ128="",29&gt;設定!$B$3),"",IF(INDEX(原始資料!AF$2:AF$501,$BJ128)="","",INDEX(原始資料!AF$2:AF$501,$BJ128)))</f>
        <v/>
      </c>
      <c r="AE128" s="6">
        <f>IF(OR($BJ128="",30&gt;設定!$B$3),"",IF(INDEX(原始資料!AG$2:AG$501,$BJ128)="","",INDEX(原始資料!AG$2:AG$501,$BJ128)))</f>
        <v/>
      </c>
      <c r="AF128" s="6">
        <f>IF(OR($BJ128="",31&gt;設定!$B$3),"",IF(INDEX(原始資料!AH$2:AH$501,$BJ128)="","",INDEX(原始資料!AH$2:AH$501,$BJ128)))</f>
        <v/>
      </c>
      <c r="AG128" s="6">
        <f>IF(OR($BJ128="",32&gt;設定!$B$3),"",IF(INDEX(原始資料!AI$2:AI$501,$BJ128)="","",INDEX(原始資料!AI$2:AI$501,$BJ128)))</f>
        <v/>
      </c>
      <c r="AH128" s="6">
        <f>IF(OR($BJ128="",33&gt;設定!$B$3),"",IF(INDEX(原始資料!AJ$2:AJ$501,$BJ128)="","",INDEX(原始資料!AJ$2:AJ$501,$BJ128)))</f>
        <v/>
      </c>
      <c r="AI128" s="6">
        <f>IF(OR($BJ128="",34&gt;設定!$B$3),"",IF(INDEX(原始資料!AK$2:AK$501,$BJ128)="","",INDEX(原始資料!AK$2:AK$501,$BJ128)))</f>
        <v/>
      </c>
      <c r="AJ128" s="6">
        <f>IF(OR($BJ128="",35&gt;設定!$B$3),"",IF(INDEX(原始資料!AL$2:AL$501,$BJ128)="","",INDEX(原始資料!AL$2:AL$501,$BJ128)))</f>
        <v/>
      </c>
      <c r="AK128" s="6">
        <f>IF(OR($BJ128="",36&gt;設定!$B$3),"",IF(INDEX(原始資料!AM$2:AM$501,$BJ128)="","",INDEX(原始資料!AM$2:AM$501,$BJ128)))</f>
        <v/>
      </c>
      <c r="AL128" s="6">
        <f>IF(OR($BJ128="",37&gt;設定!$B$3),"",IF(INDEX(原始資料!AN$2:AN$501,$BJ128)="","",INDEX(原始資料!AN$2:AN$501,$BJ128)))</f>
        <v/>
      </c>
      <c r="AM128" s="6">
        <f>IF(OR($BJ128="",38&gt;設定!$B$3),"",IF(INDEX(原始資料!AO$2:AO$501,$BJ128)="","",INDEX(原始資料!AO$2:AO$501,$BJ128)))</f>
        <v/>
      </c>
      <c r="AN128" s="6">
        <f>IF(OR($BJ128="",39&gt;設定!$B$3),"",IF(INDEX(原始資料!AP$2:AP$501,$BJ128)="","",INDEX(原始資料!AP$2:AP$501,$BJ128)))</f>
        <v/>
      </c>
      <c r="AO128" s="6">
        <f>IF(OR($BJ128="",40&gt;設定!$B$3),"",IF(INDEX(原始資料!AQ$2:AQ$501,$BJ128)="","",INDEX(原始資料!AQ$2:AQ$501,$BJ128)))</f>
        <v/>
      </c>
      <c r="AP128" s="6">
        <f>IF(OR($BJ128="",41&gt;設定!$B$3),"",IF(INDEX(原始資料!AR$2:AR$501,$BJ128)="","",INDEX(原始資料!AR$2:AR$501,$BJ128)))</f>
        <v/>
      </c>
      <c r="AQ128" s="6">
        <f>IF(OR($BJ128="",42&gt;設定!$B$3),"",IF(INDEX(原始資料!AS$2:AS$501,$BJ128)="","",INDEX(原始資料!AS$2:AS$501,$BJ128)))</f>
        <v/>
      </c>
      <c r="AR128" s="6">
        <f>IF(OR($BJ128="",43&gt;設定!$B$3),"",IF(INDEX(原始資料!AT$2:AT$501,$BJ128)="","",INDEX(原始資料!AT$2:AT$501,$BJ128)))</f>
        <v/>
      </c>
      <c r="AS128" s="6">
        <f>IF(OR($BJ128="",44&gt;設定!$B$3),"",IF(INDEX(原始資料!AU$2:AU$501,$BJ128)="","",INDEX(原始資料!AU$2:AU$501,$BJ128)))</f>
        <v/>
      </c>
      <c r="AT128" s="6">
        <f>IF(OR($BJ128="",45&gt;設定!$B$3),"",IF(INDEX(原始資料!AV$2:AV$501,$BJ128)="","",INDEX(原始資料!AV$2:AV$501,$BJ128)))</f>
        <v/>
      </c>
      <c r="AU128" s="6">
        <f>IF(OR($BJ128="",46&gt;設定!$B$3),"",IF(INDEX(原始資料!AW$2:AW$501,$BJ128)="","",INDEX(原始資料!AW$2:AW$501,$BJ128)))</f>
        <v/>
      </c>
      <c r="AV128" s="6">
        <f>IF(OR($BJ128="",47&gt;設定!$B$3),"",IF(INDEX(原始資料!AX$2:AX$501,$BJ128)="","",INDEX(原始資料!AX$2:AX$501,$BJ128)))</f>
        <v/>
      </c>
      <c r="AW128" s="6">
        <f>IF(OR($BJ128="",48&gt;設定!$B$3),"",IF(INDEX(原始資料!AY$2:AY$501,$BJ128)="","",INDEX(原始資料!AY$2:AY$501,$BJ128)))</f>
        <v/>
      </c>
      <c r="AX128" s="6">
        <f>IF(OR($BJ128="",49&gt;設定!$B$3),"",IF(INDEX(原始資料!AZ$2:AZ$501,$BJ128)="","",INDEX(原始資料!AZ$2:AZ$501,$BJ128)))</f>
        <v/>
      </c>
      <c r="AY128" s="6">
        <f>IF(OR($BJ128="",50&gt;設定!$B$3),"",IF(INDEX(原始資料!BA$2:BA$501,$BJ128)="","",INDEX(原始資料!BA$2:BA$501,$BJ128)))</f>
        <v/>
      </c>
      <c r="AZ128" s="6">
        <f>IF(OR($BJ128="",51&gt;設定!$B$3),"",IF(INDEX(原始資料!BB$2:BB$501,$BJ128)="","",INDEX(原始資料!BB$2:BB$501,$BJ128)))</f>
        <v/>
      </c>
      <c r="BA128" s="6">
        <f>IF(OR($BJ128="",52&gt;設定!$B$3),"",IF(INDEX(原始資料!BC$2:BC$501,$BJ128)="","",INDEX(原始資料!BC$2:BC$501,$BJ128)))</f>
        <v/>
      </c>
      <c r="BB128" s="6">
        <f>IF(OR($BJ128="",53&gt;設定!$B$3),"",IF(INDEX(原始資料!BD$2:BD$501,$BJ128)="","",INDEX(原始資料!BD$2:BD$501,$BJ128)))</f>
        <v/>
      </c>
      <c r="BC128" s="6">
        <f>IF(OR($BJ128="",54&gt;設定!$B$3),"",IF(INDEX(原始資料!BE$2:BE$501,$BJ128)="","",INDEX(原始資料!BE$2:BE$501,$BJ128)))</f>
        <v/>
      </c>
      <c r="BD128" s="6">
        <f>IF(OR($BJ128="",55&gt;設定!$B$3),"",IF(INDEX(原始資料!BF$2:BF$501,$BJ128)="","",INDEX(原始資料!BF$2:BF$501,$BJ128)))</f>
        <v/>
      </c>
      <c r="BE128" s="6">
        <f>IF(OR($BJ128="",56&gt;設定!$B$3),"",IF(INDEX(原始資料!BG$2:BG$501,$BJ128)="","",INDEX(原始資料!BG$2:BG$501,$BJ128)))</f>
        <v/>
      </c>
      <c r="BF128" s="6">
        <f>IF(OR($BJ128="",57&gt;設定!$B$3),"",IF(INDEX(原始資料!BH$2:BH$501,$BJ128)="","",INDEX(原始資料!BH$2:BH$501,$BJ128)))</f>
        <v/>
      </c>
      <c r="BG128" s="6">
        <f>IF(OR($BJ128="",58&gt;設定!$B$3),"",IF(INDEX(原始資料!BI$2:BI$501,$BJ128)="","",INDEX(原始資料!BI$2:BI$501,$BJ128)))</f>
        <v/>
      </c>
      <c r="BH128" s="6">
        <f>IF(OR($BJ128="",59&gt;設定!$B$3),"",IF(INDEX(原始資料!BJ$2:BJ$501,$BJ128)="","",INDEX(原始資料!BJ$2:BJ$501,$BJ128)))</f>
        <v/>
      </c>
      <c r="BI128" s="6">
        <f>IF(OR($BJ128="",60&gt;設定!$B$3),"",IF(INDEX(原始資料!BK$2:BK$501,$BJ128)="","",INDEX(原始資料!BK$2:BK$501,$BJ128)))</f>
        <v/>
      </c>
      <c r="BJ128" s="6">
        <f>IFERROR(MATCH(ROW()-1,判定!$H$2:$H$501,0),"")</f>
        <v/>
      </c>
    </row>
    <row r="129">
      <c r="A129" s="6">
        <f>IF($BJ129="","",INDEX(原始資料!$A$2:$A$501,$BJ129))</f>
        <v/>
      </c>
      <c r="B129" s="6">
        <f>IF(OR($BJ129="",1&gt;設定!$B$3),"",IF(INDEX(原始資料!D$2:D$501,$BJ129)="","",INDEX(原始資料!D$2:D$501,$BJ129)))</f>
        <v/>
      </c>
      <c r="C129" s="6">
        <f>IF(OR($BJ129="",2&gt;設定!$B$3),"",IF(INDEX(原始資料!E$2:E$501,$BJ129)="","",INDEX(原始資料!E$2:E$501,$BJ129)))</f>
        <v/>
      </c>
      <c r="D129" s="6">
        <f>IF(OR($BJ129="",3&gt;設定!$B$3),"",IF(INDEX(原始資料!F$2:F$501,$BJ129)="","",INDEX(原始資料!F$2:F$501,$BJ129)))</f>
        <v/>
      </c>
      <c r="E129" s="6">
        <f>IF(OR($BJ129="",4&gt;設定!$B$3),"",IF(INDEX(原始資料!G$2:G$501,$BJ129)="","",INDEX(原始資料!G$2:G$501,$BJ129)))</f>
        <v/>
      </c>
      <c r="F129" s="6">
        <f>IF(OR($BJ129="",5&gt;設定!$B$3),"",IF(INDEX(原始資料!H$2:H$501,$BJ129)="","",INDEX(原始資料!H$2:H$501,$BJ129)))</f>
        <v/>
      </c>
      <c r="G129" s="6">
        <f>IF(OR($BJ129="",6&gt;設定!$B$3),"",IF(INDEX(原始資料!I$2:I$501,$BJ129)="","",INDEX(原始資料!I$2:I$501,$BJ129)))</f>
        <v/>
      </c>
      <c r="H129" s="6">
        <f>IF(OR($BJ129="",7&gt;設定!$B$3),"",IF(INDEX(原始資料!J$2:J$501,$BJ129)="","",INDEX(原始資料!J$2:J$501,$BJ129)))</f>
        <v/>
      </c>
      <c r="I129" s="6">
        <f>IF(OR($BJ129="",8&gt;設定!$B$3),"",IF(INDEX(原始資料!K$2:K$501,$BJ129)="","",INDEX(原始資料!K$2:K$501,$BJ129)))</f>
        <v/>
      </c>
      <c r="J129" s="6">
        <f>IF(OR($BJ129="",9&gt;設定!$B$3),"",IF(INDEX(原始資料!L$2:L$501,$BJ129)="","",INDEX(原始資料!L$2:L$501,$BJ129)))</f>
        <v/>
      </c>
      <c r="K129" s="6">
        <f>IF(OR($BJ129="",10&gt;設定!$B$3),"",IF(INDEX(原始資料!M$2:M$501,$BJ129)="","",INDEX(原始資料!M$2:M$501,$BJ129)))</f>
        <v/>
      </c>
      <c r="L129" s="6">
        <f>IF(OR($BJ129="",11&gt;設定!$B$3),"",IF(INDEX(原始資料!N$2:N$501,$BJ129)="","",INDEX(原始資料!N$2:N$501,$BJ129)))</f>
        <v/>
      </c>
      <c r="M129" s="6">
        <f>IF(OR($BJ129="",12&gt;設定!$B$3),"",IF(INDEX(原始資料!O$2:O$501,$BJ129)="","",INDEX(原始資料!O$2:O$501,$BJ129)))</f>
        <v/>
      </c>
      <c r="N129" s="6">
        <f>IF(OR($BJ129="",13&gt;設定!$B$3),"",IF(INDEX(原始資料!P$2:P$501,$BJ129)="","",INDEX(原始資料!P$2:P$501,$BJ129)))</f>
        <v/>
      </c>
      <c r="O129" s="6">
        <f>IF(OR($BJ129="",14&gt;設定!$B$3),"",IF(INDEX(原始資料!Q$2:Q$501,$BJ129)="","",INDEX(原始資料!Q$2:Q$501,$BJ129)))</f>
        <v/>
      </c>
      <c r="P129" s="6">
        <f>IF(OR($BJ129="",15&gt;設定!$B$3),"",IF(INDEX(原始資料!R$2:R$501,$BJ129)="","",INDEX(原始資料!R$2:R$501,$BJ129)))</f>
        <v/>
      </c>
      <c r="Q129" s="6">
        <f>IF(OR($BJ129="",16&gt;設定!$B$3),"",IF(INDEX(原始資料!S$2:S$501,$BJ129)="","",INDEX(原始資料!S$2:S$501,$BJ129)))</f>
        <v/>
      </c>
      <c r="R129" s="6">
        <f>IF(OR($BJ129="",17&gt;設定!$B$3),"",IF(INDEX(原始資料!T$2:T$501,$BJ129)="","",INDEX(原始資料!T$2:T$501,$BJ129)))</f>
        <v/>
      </c>
      <c r="S129" s="6">
        <f>IF(OR($BJ129="",18&gt;設定!$B$3),"",IF(INDEX(原始資料!U$2:U$501,$BJ129)="","",INDEX(原始資料!U$2:U$501,$BJ129)))</f>
        <v/>
      </c>
      <c r="T129" s="6">
        <f>IF(OR($BJ129="",19&gt;設定!$B$3),"",IF(INDEX(原始資料!V$2:V$501,$BJ129)="","",INDEX(原始資料!V$2:V$501,$BJ129)))</f>
        <v/>
      </c>
      <c r="U129" s="6">
        <f>IF(OR($BJ129="",20&gt;設定!$B$3),"",IF(INDEX(原始資料!W$2:W$501,$BJ129)="","",INDEX(原始資料!W$2:W$501,$BJ129)))</f>
        <v/>
      </c>
      <c r="V129" s="6">
        <f>IF(OR($BJ129="",21&gt;設定!$B$3),"",IF(INDEX(原始資料!X$2:X$501,$BJ129)="","",INDEX(原始資料!X$2:X$501,$BJ129)))</f>
        <v/>
      </c>
      <c r="W129" s="6">
        <f>IF(OR($BJ129="",22&gt;設定!$B$3),"",IF(INDEX(原始資料!Y$2:Y$501,$BJ129)="","",INDEX(原始資料!Y$2:Y$501,$BJ129)))</f>
        <v/>
      </c>
      <c r="X129" s="6">
        <f>IF(OR($BJ129="",23&gt;設定!$B$3),"",IF(INDEX(原始資料!Z$2:Z$501,$BJ129)="","",INDEX(原始資料!Z$2:Z$501,$BJ129)))</f>
        <v/>
      </c>
      <c r="Y129" s="6">
        <f>IF(OR($BJ129="",24&gt;設定!$B$3),"",IF(INDEX(原始資料!AA$2:AA$501,$BJ129)="","",INDEX(原始資料!AA$2:AA$501,$BJ129)))</f>
        <v/>
      </c>
      <c r="Z129" s="6">
        <f>IF(OR($BJ129="",25&gt;設定!$B$3),"",IF(INDEX(原始資料!AB$2:AB$501,$BJ129)="","",INDEX(原始資料!AB$2:AB$501,$BJ129)))</f>
        <v/>
      </c>
      <c r="AA129" s="6">
        <f>IF(OR($BJ129="",26&gt;設定!$B$3),"",IF(INDEX(原始資料!AC$2:AC$501,$BJ129)="","",INDEX(原始資料!AC$2:AC$501,$BJ129)))</f>
        <v/>
      </c>
      <c r="AB129" s="6">
        <f>IF(OR($BJ129="",27&gt;設定!$B$3),"",IF(INDEX(原始資料!AD$2:AD$501,$BJ129)="","",INDEX(原始資料!AD$2:AD$501,$BJ129)))</f>
        <v/>
      </c>
      <c r="AC129" s="6">
        <f>IF(OR($BJ129="",28&gt;設定!$B$3),"",IF(INDEX(原始資料!AE$2:AE$501,$BJ129)="","",INDEX(原始資料!AE$2:AE$501,$BJ129)))</f>
        <v/>
      </c>
      <c r="AD129" s="6">
        <f>IF(OR($BJ129="",29&gt;設定!$B$3),"",IF(INDEX(原始資料!AF$2:AF$501,$BJ129)="","",INDEX(原始資料!AF$2:AF$501,$BJ129)))</f>
        <v/>
      </c>
      <c r="AE129" s="6">
        <f>IF(OR($BJ129="",30&gt;設定!$B$3),"",IF(INDEX(原始資料!AG$2:AG$501,$BJ129)="","",INDEX(原始資料!AG$2:AG$501,$BJ129)))</f>
        <v/>
      </c>
      <c r="AF129" s="6">
        <f>IF(OR($BJ129="",31&gt;設定!$B$3),"",IF(INDEX(原始資料!AH$2:AH$501,$BJ129)="","",INDEX(原始資料!AH$2:AH$501,$BJ129)))</f>
        <v/>
      </c>
      <c r="AG129" s="6">
        <f>IF(OR($BJ129="",32&gt;設定!$B$3),"",IF(INDEX(原始資料!AI$2:AI$501,$BJ129)="","",INDEX(原始資料!AI$2:AI$501,$BJ129)))</f>
        <v/>
      </c>
      <c r="AH129" s="6">
        <f>IF(OR($BJ129="",33&gt;設定!$B$3),"",IF(INDEX(原始資料!AJ$2:AJ$501,$BJ129)="","",INDEX(原始資料!AJ$2:AJ$501,$BJ129)))</f>
        <v/>
      </c>
      <c r="AI129" s="6">
        <f>IF(OR($BJ129="",34&gt;設定!$B$3),"",IF(INDEX(原始資料!AK$2:AK$501,$BJ129)="","",INDEX(原始資料!AK$2:AK$501,$BJ129)))</f>
        <v/>
      </c>
      <c r="AJ129" s="6">
        <f>IF(OR($BJ129="",35&gt;設定!$B$3),"",IF(INDEX(原始資料!AL$2:AL$501,$BJ129)="","",INDEX(原始資料!AL$2:AL$501,$BJ129)))</f>
        <v/>
      </c>
      <c r="AK129" s="6">
        <f>IF(OR($BJ129="",36&gt;設定!$B$3),"",IF(INDEX(原始資料!AM$2:AM$501,$BJ129)="","",INDEX(原始資料!AM$2:AM$501,$BJ129)))</f>
        <v/>
      </c>
      <c r="AL129" s="6">
        <f>IF(OR($BJ129="",37&gt;設定!$B$3),"",IF(INDEX(原始資料!AN$2:AN$501,$BJ129)="","",INDEX(原始資料!AN$2:AN$501,$BJ129)))</f>
        <v/>
      </c>
      <c r="AM129" s="6">
        <f>IF(OR($BJ129="",38&gt;設定!$B$3),"",IF(INDEX(原始資料!AO$2:AO$501,$BJ129)="","",INDEX(原始資料!AO$2:AO$501,$BJ129)))</f>
        <v/>
      </c>
      <c r="AN129" s="6">
        <f>IF(OR($BJ129="",39&gt;設定!$B$3),"",IF(INDEX(原始資料!AP$2:AP$501,$BJ129)="","",INDEX(原始資料!AP$2:AP$501,$BJ129)))</f>
        <v/>
      </c>
      <c r="AO129" s="6">
        <f>IF(OR($BJ129="",40&gt;設定!$B$3),"",IF(INDEX(原始資料!AQ$2:AQ$501,$BJ129)="","",INDEX(原始資料!AQ$2:AQ$501,$BJ129)))</f>
        <v/>
      </c>
      <c r="AP129" s="6">
        <f>IF(OR($BJ129="",41&gt;設定!$B$3),"",IF(INDEX(原始資料!AR$2:AR$501,$BJ129)="","",INDEX(原始資料!AR$2:AR$501,$BJ129)))</f>
        <v/>
      </c>
      <c r="AQ129" s="6">
        <f>IF(OR($BJ129="",42&gt;設定!$B$3),"",IF(INDEX(原始資料!AS$2:AS$501,$BJ129)="","",INDEX(原始資料!AS$2:AS$501,$BJ129)))</f>
        <v/>
      </c>
      <c r="AR129" s="6">
        <f>IF(OR($BJ129="",43&gt;設定!$B$3),"",IF(INDEX(原始資料!AT$2:AT$501,$BJ129)="","",INDEX(原始資料!AT$2:AT$501,$BJ129)))</f>
        <v/>
      </c>
      <c r="AS129" s="6">
        <f>IF(OR($BJ129="",44&gt;設定!$B$3),"",IF(INDEX(原始資料!AU$2:AU$501,$BJ129)="","",INDEX(原始資料!AU$2:AU$501,$BJ129)))</f>
        <v/>
      </c>
      <c r="AT129" s="6">
        <f>IF(OR($BJ129="",45&gt;設定!$B$3),"",IF(INDEX(原始資料!AV$2:AV$501,$BJ129)="","",INDEX(原始資料!AV$2:AV$501,$BJ129)))</f>
        <v/>
      </c>
      <c r="AU129" s="6">
        <f>IF(OR($BJ129="",46&gt;設定!$B$3),"",IF(INDEX(原始資料!AW$2:AW$501,$BJ129)="","",INDEX(原始資料!AW$2:AW$501,$BJ129)))</f>
        <v/>
      </c>
      <c r="AV129" s="6">
        <f>IF(OR($BJ129="",47&gt;設定!$B$3),"",IF(INDEX(原始資料!AX$2:AX$501,$BJ129)="","",INDEX(原始資料!AX$2:AX$501,$BJ129)))</f>
        <v/>
      </c>
      <c r="AW129" s="6">
        <f>IF(OR($BJ129="",48&gt;設定!$B$3),"",IF(INDEX(原始資料!AY$2:AY$501,$BJ129)="","",INDEX(原始資料!AY$2:AY$501,$BJ129)))</f>
        <v/>
      </c>
      <c r="AX129" s="6">
        <f>IF(OR($BJ129="",49&gt;設定!$B$3),"",IF(INDEX(原始資料!AZ$2:AZ$501,$BJ129)="","",INDEX(原始資料!AZ$2:AZ$501,$BJ129)))</f>
        <v/>
      </c>
      <c r="AY129" s="6">
        <f>IF(OR($BJ129="",50&gt;設定!$B$3),"",IF(INDEX(原始資料!BA$2:BA$501,$BJ129)="","",INDEX(原始資料!BA$2:BA$501,$BJ129)))</f>
        <v/>
      </c>
      <c r="AZ129" s="6">
        <f>IF(OR($BJ129="",51&gt;設定!$B$3),"",IF(INDEX(原始資料!BB$2:BB$501,$BJ129)="","",INDEX(原始資料!BB$2:BB$501,$BJ129)))</f>
        <v/>
      </c>
      <c r="BA129" s="6">
        <f>IF(OR($BJ129="",52&gt;設定!$B$3),"",IF(INDEX(原始資料!BC$2:BC$501,$BJ129)="","",INDEX(原始資料!BC$2:BC$501,$BJ129)))</f>
        <v/>
      </c>
      <c r="BB129" s="6">
        <f>IF(OR($BJ129="",53&gt;設定!$B$3),"",IF(INDEX(原始資料!BD$2:BD$501,$BJ129)="","",INDEX(原始資料!BD$2:BD$501,$BJ129)))</f>
        <v/>
      </c>
      <c r="BC129" s="6">
        <f>IF(OR($BJ129="",54&gt;設定!$B$3),"",IF(INDEX(原始資料!BE$2:BE$501,$BJ129)="","",INDEX(原始資料!BE$2:BE$501,$BJ129)))</f>
        <v/>
      </c>
      <c r="BD129" s="6">
        <f>IF(OR($BJ129="",55&gt;設定!$B$3),"",IF(INDEX(原始資料!BF$2:BF$501,$BJ129)="","",INDEX(原始資料!BF$2:BF$501,$BJ129)))</f>
        <v/>
      </c>
      <c r="BE129" s="6">
        <f>IF(OR($BJ129="",56&gt;設定!$B$3),"",IF(INDEX(原始資料!BG$2:BG$501,$BJ129)="","",INDEX(原始資料!BG$2:BG$501,$BJ129)))</f>
        <v/>
      </c>
      <c r="BF129" s="6">
        <f>IF(OR($BJ129="",57&gt;設定!$B$3),"",IF(INDEX(原始資料!BH$2:BH$501,$BJ129)="","",INDEX(原始資料!BH$2:BH$501,$BJ129)))</f>
        <v/>
      </c>
      <c r="BG129" s="6">
        <f>IF(OR($BJ129="",58&gt;設定!$B$3),"",IF(INDEX(原始資料!BI$2:BI$501,$BJ129)="","",INDEX(原始資料!BI$2:BI$501,$BJ129)))</f>
        <v/>
      </c>
      <c r="BH129" s="6">
        <f>IF(OR($BJ129="",59&gt;設定!$B$3),"",IF(INDEX(原始資料!BJ$2:BJ$501,$BJ129)="","",INDEX(原始資料!BJ$2:BJ$501,$BJ129)))</f>
        <v/>
      </c>
      <c r="BI129" s="6">
        <f>IF(OR($BJ129="",60&gt;設定!$B$3),"",IF(INDEX(原始資料!BK$2:BK$501,$BJ129)="","",INDEX(原始資料!BK$2:BK$501,$BJ129)))</f>
        <v/>
      </c>
      <c r="BJ129" s="6">
        <f>IFERROR(MATCH(ROW()-1,判定!$H$2:$H$501,0),"")</f>
        <v/>
      </c>
    </row>
    <row r="130">
      <c r="A130" s="6">
        <f>IF($BJ130="","",INDEX(原始資料!$A$2:$A$501,$BJ130))</f>
        <v/>
      </c>
      <c r="B130" s="6">
        <f>IF(OR($BJ130="",1&gt;設定!$B$3),"",IF(INDEX(原始資料!D$2:D$501,$BJ130)="","",INDEX(原始資料!D$2:D$501,$BJ130)))</f>
        <v/>
      </c>
      <c r="C130" s="6">
        <f>IF(OR($BJ130="",2&gt;設定!$B$3),"",IF(INDEX(原始資料!E$2:E$501,$BJ130)="","",INDEX(原始資料!E$2:E$501,$BJ130)))</f>
        <v/>
      </c>
      <c r="D130" s="6">
        <f>IF(OR($BJ130="",3&gt;設定!$B$3),"",IF(INDEX(原始資料!F$2:F$501,$BJ130)="","",INDEX(原始資料!F$2:F$501,$BJ130)))</f>
        <v/>
      </c>
      <c r="E130" s="6">
        <f>IF(OR($BJ130="",4&gt;設定!$B$3),"",IF(INDEX(原始資料!G$2:G$501,$BJ130)="","",INDEX(原始資料!G$2:G$501,$BJ130)))</f>
        <v/>
      </c>
      <c r="F130" s="6">
        <f>IF(OR($BJ130="",5&gt;設定!$B$3),"",IF(INDEX(原始資料!H$2:H$501,$BJ130)="","",INDEX(原始資料!H$2:H$501,$BJ130)))</f>
        <v/>
      </c>
      <c r="G130" s="6">
        <f>IF(OR($BJ130="",6&gt;設定!$B$3),"",IF(INDEX(原始資料!I$2:I$501,$BJ130)="","",INDEX(原始資料!I$2:I$501,$BJ130)))</f>
        <v/>
      </c>
      <c r="H130" s="6">
        <f>IF(OR($BJ130="",7&gt;設定!$B$3),"",IF(INDEX(原始資料!J$2:J$501,$BJ130)="","",INDEX(原始資料!J$2:J$501,$BJ130)))</f>
        <v/>
      </c>
      <c r="I130" s="6">
        <f>IF(OR($BJ130="",8&gt;設定!$B$3),"",IF(INDEX(原始資料!K$2:K$501,$BJ130)="","",INDEX(原始資料!K$2:K$501,$BJ130)))</f>
        <v/>
      </c>
      <c r="J130" s="6">
        <f>IF(OR($BJ130="",9&gt;設定!$B$3),"",IF(INDEX(原始資料!L$2:L$501,$BJ130)="","",INDEX(原始資料!L$2:L$501,$BJ130)))</f>
        <v/>
      </c>
      <c r="K130" s="6">
        <f>IF(OR($BJ130="",10&gt;設定!$B$3),"",IF(INDEX(原始資料!M$2:M$501,$BJ130)="","",INDEX(原始資料!M$2:M$501,$BJ130)))</f>
        <v/>
      </c>
      <c r="L130" s="6">
        <f>IF(OR($BJ130="",11&gt;設定!$B$3),"",IF(INDEX(原始資料!N$2:N$501,$BJ130)="","",INDEX(原始資料!N$2:N$501,$BJ130)))</f>
        <v/>
      </c>
      <c r="M130" s="6">
        <f>IF(OR($BJ130="",12&gt;設定!$B$3),"",IF(INDEX(原始資料!O$2:O$501,$BJ130)="","",INDEX(原始資料!O$2:O$501,$BJ130)))</f>
        <v/>
      </c>
      <c r="N130" s="6">
        <f>IF(OR($BJ130="",13&gt;設定!$B$3),"",IF(INDEX(原始資料!P$2:P$501,$BJ130)="","",INDEX(原始資料!P$2:P$501,$BJ130)))</f>
        <v/>
      </c>
      <c r="O130" s="6">
        <f>IF(OR($BJ130="",14&gt;設定!$B$3),"",IF(INDEX(原始資料!Q$2:Q$501,$BJ130)="","",INDEX(原始資料!Q$2:Q$501,$BJ130)))</f>
        <v/>
      </c>
      <c r="P130" s="6">
        <f>IF(OR($BJ130="",15&gt;設定!$B$3),"",IF(INDEX(原始資料!R$2:R$501,$BJ130)="","",INDEX(原始資料!R$2:R$501,$BJ130)))</f>
        <v/>
      </c>
      <c r="Q130" s="6">
        <f>IF(OR($BJ130="",16&gt;設定!$B$3),"",IF(INDEX(原始資料!S$2:S$501,$BJ130)="","",INDEX(原始資料!S$2:S$501,$BJ130)))</f>
        <v/>
      </c>
      <c r="R130" s="6">
        <f>IF(OR($BJ130="",17&gt;設定!$B$3),"",IF(INDEX(原始資料!T$2:T$501,$BJ130)="","",INDEX(原始資料!T$2:T$501,$BJ130)))</f>
        <v/>
      </c>
      <c r="S130" s="6">
        <f>IF(OR($BJ130="",18&gt;設定!$B$3),"",IF(INDEX(原始資料!U$2:U$501,$BJ130)="","",INDEX(原始資料!U$2:U$501,$BJ130)))</f>
        <v/>
      </c>
      <c r="T130" s="6">
        <f>IF(OR($BJ130="",19&gt;設定!$B$3),"",IF(INDEX(原始資料!V$2:V$501,$BJ130)="","",INDEX(原始資料!V$2:V$501,$BJ130)))</f>
        <v/>
      </c>
      <c r="U130" s="6">
        <f>IF(OR($BJ130="",20&gt;設定!$B$3),"",IF(INDEX(原始資料!W$2:W$501,$BJ130)="","",INDEX(原始資料!W$2:W$501,$BJ130)))</f>
        <v/>
      </c>
      <c r="V130" s="6">
        <f>IF(OR($BJ130="",21&gt;設定!$B$3),"",IF(INDEX(原始資料!X$2:X$501,$BJ130)="","",INDEX(原始資料!X$2:X$501,$BJ130)))</f>
        <v/>
      </c>
      <c r="W130" s="6">
        <f>IF(OR($BJ130="",22&gt;設定!$B$3),"",IF(INDEX(原始資料!Y$2:Y$501,$BJ130)="","",INDEX(原始資料!Y$2:Y$501,$BJ130)))</f>
        <v/>
      </c>
      <c r="X130" s="6">
        <f>IF(OR($BJ130="",23&gt;設定!$B$3),"",IF(INDEX(原始資料!Z$2:Z$501,$BJ130)="","",INDEX(原始資料!Z$2:Z$501,$BJ130)))</f>
        <v/>
      </c>
      <c r="Y130" s="6">
        <f>IF(OR($BJ130="",24&gt;設定!$B$3),"",IF(INDEX(原始資料!AA$2:AA$501,$BJ130)="","",INDEX(原始資料!AA$2:AA$501,$BJ130)))</f>
        <v/>
      </c>
      <c r="Z130" s="6">
        <f>IF(OR($BJ130="",25&gt;設定!$B$3),"",IF(INDEX(原始資料!AB$2:AB$501,$BJ130)="","",INDEX(原始資料!AB$2:AB$501,$BJ130)))</f>
        <v/>
      </c>
      <c r="AA130" s="6">
        <f>IF(OR($BJ130="",26&gt;設定!$B$3),"",IF(INDEX(原始資料!AC$2:AC$501,$BJ130)="","",INDEX(原始資料!AC$2:AC$501,$BJ130)))</f>
        <v/>
      </c>
      <c r="AB130" s="6">
        <f>IF(OR($BJ130="",27&gt;設定!$B$3),"",IF(INDEX(原始資料!AD$2:AD$501,$BJ130)="","",INDEX(原始資料!AD$2:AD$501,$BJ130)))</f>
        <v/>
      </c>
      <c r="AC130" s="6">
        <f>IF(OR($BJ130="",28&gt;設定!$B$3),"",IF(INDEX(原始資料!AE$2:AE$501,$BJ130)="","",INDEX(原始資料!AE$2:AE$501,$BJ130)))</f>
        <v/>
      </c>
      <c r="AD130" s="6">
        <f>IF(OR($BJ130="",29&gt;設定!$B$3),"",IF(INDEX(原始資料!AF$2:AF$501,$BJ130)="","",INDEX(原始資料!AF$2:AF$501,$BJ130)))</f>
        <v/>
      </c>
      <c r="AE130" s="6">
        <f>IF(OR($BJ130="",30&gt;設定!$B$3),"",IF(INDEX(原始資料!AG$2:AG$501,$BJ130)="","",INDEX(原始資料!AG$2:AG$501,$BJ130)))</f>
        <v/>
      </c>
      <c r="AF130" s="6">
        <f>IF(OR($BJ130="",31&gt;設定!$B$3),"",IF(INDEX(原始資料!AH$2:AH$501,$BJ130)="","",INDEX(原始資料!AH$2:AH$501,$BJ130)))</f>
        <v/>
      </c>
      <c r="AG130" s="6">
        <f>IF(OR($BJ130="",32&gt;設定!$B$3),"",IF(INDEX(原始資料!AI$2:AI$501,$BJ130)="","",INDEX(原始資料!AI$2:AI$501,$BJ130)))</f>
        <v/>
      </c>
      <c r="AH130" s="6">
        <f>IF(OR($BJ130="",33&gt;設定!$B$3),"",IF(INDEX(原始資料!AJ$2:AJ$501,$BJ130)="","",INDEX(原始資料!AJ$2:AJ$501,$BJ130)))</f>
        <v/>
      </c>
      <c r="AI130" s="6">
        <f>IF(OR($BJ130="",34&gt;設定!$B$3),"",IF(INDEX(原始資料!AK$2:AK$501,$BJ130)="","",INDEX(原始資料!AK$2:AK$501,$BJ130)))</f>
        <v/>
      </c>
      <c r="AJ130" s="6">
        <f>IF(OR($BJ130="",35&gt;設定!$B$3),"",IF(INDEX(原始資料!AL$2:AL$501,$BJ130)="","",INDEX(原始資料!AL$2:AL$501,$BJ130)))</f>
        <v/>
      </c>
      <c r="AK130" s="6">
        <f>IF(OR($BJ130="",36&gt;設定!$B$3),"",IF(INDEX(原始資料!AM$2:AM$501,$BJ130)="","",INDEX(原始資料!AM$2:AM$501,$BJ130)))</f>
        <v/>
      </c>
      <c r="AL130" s="6">
        <f>IF(OR($BJ130="",37&gt;設定!$B$3),"",IF(INDEX(原始資料!AN$2:AN$501,$BJ130)="","",INDEX(原始資料!AN$2:AN$501,$BJ130)))</f>
        <v/>
      </c>
      <c r="AM130" s="6">
        <f>IF(OR($BJ130="",38&gt;設定!$B$3),"",IF(INDEX(原始資料!AO$2:AO$501,$BJ130)="","",INDEX(原始資料!AO$2:AO$501,$BJ130)))</f>
        <v/>
      </c>
      <c r="AN130" s="6">
        <f>IF(OR($BJ130="",39&gt;設定!$B$3),"",IF(INDEX(原始資料!AP$2:AP$501,$BJ130)="","",INDEX(原始資料!AP$2:AP$501,$BJ130)))</f>
        <v/>
      </c>
      <c r="AO130" s="6">
        <f>IF(OR($BJ130="",40&gt;設定!$B$3),"",IF(INDEX(原始資料!AQ$2:AQ$501,$BJ130)="","",INDEX(原始資料!AQ$2:AQ$501,$BJ130)))</f>
        <v/>
      </c>
      <c r="AP130" s="6">
        <f>IF(OR($BJ130="",41&gt;設定!$B$3),"",IF(INDEX(原始資料!AR$2:AR$501,$BJ130)="","",INDEX(原始資料!AR$2:AR$501,$BJ130)))</f>
        <v/>
      </c>
      <c r="AQ130" s="6">
        <f>IF(OR($BJ130="",42&gt;設定!$B$3),"",IF(INDEX(原始資料!AS$2:AS$501,$BJ130)="","",INDEX(原始資料!AS$2:AS$501,$BJ130)))</f>
        <v/>
      </c>
      <c r="AR130" s="6">
        <f>IF(OR($BJ130="",43&gt;設定!$B$3),"",IF(INDEX(原始資料!AT$2:AT$501,$BJ130)="","",INDEX(原始資料!AT$2:AT$501,$BJ130)))</f>
        <v/>
      </c>
      <c r="AS130" s="6">
        <f>IF(OR($BJ130="",44&gt;設定!$B$3),"",IF(INDEX(原始資料!AU$2:AU$501,$BJ130)="","",INDEX(原始資料!AU$2:AU$501,$BJ130)))</f>
        <v/>
      </c>
      <c r="AT130" s="6">
        <f>IF(OR($BJ130="",45&gt;設定!$B$3),"",IF(INDEX(原始資料!AV$2:AV$501,$BJ130)="","",INDEX(原始資料!AV$2:AV$501,$BJ130)))</f>
        <v/>
      </c>
      <c r="AU130" s="6">
        <f>IF(OR($BJ130="",46&gt;設定!$B$3),"",IF(INDEX(原始資料!AW$2:AW$501,$BJ130)="","",INDEX(原始資料!AW$2:AW$501,$BJ130)))</f>
        <v/>
      </c>
      <c r="AV130" s="6">
        <f>IF(OR($BJ130="",47&gt;設定!$B$3),"",IF(INDEX(原始資料!AX$2:AX$501,$BJ130)="","",INDEX(原始資料!AX$2:AX$501,$BJ130)))</f>
        <v/>
      </c>
      <c r="AW130" s="6">
        <f>IF(OR($BJ130="",48&gt;設定!$B$3),"",IF(INDEX(原始資料!AY$2:AY$501,$BJ130)="","",INDEX(原始資料!AY$2:AY$501,$BJ130)))</f>
        <v/>
      </c>
      <c r="AX130" s="6">
        <f>IF(OR($BJ130="",49&gt;設定!$B$3),"",IF(INDEX(原始資料!AZ$2:AZ$501,$BJ130)="","",INDEX(原始資料!AZ$2:AZ$501,$BJ130)))</f>
        <v/>
      </c>
      <c r="AY130" s="6">
        <f>IF(OR($BJ130="",50&gt;設定!$B$3),"",IF(INDEX(原始資料!BA$2:BA$501,$BJ130)="","",INDEX(原始資料!BA$2:BA$501,$BJ130)))</f>
        <v/>
      </c>
      <c r="AZ130" s="6">
        <f>IF(OR($BJ130="",51&gt;設定!$B$3),"",IF(INDEX(原始資料!BB$2:BB$501,$BJ130)="","",INDEX(原始資料!BB$2:BB$501,$BJ130)))</f>
        <v/>
      </c>
      <c r="BA130" s="6">
        <f>IF(OR($BJ130="",52&gt;設定!$B$3),"",IF(INDEX(原始資料!BC$2:BC$501,$BJ130)="","",INDEX(原始資料!BC$2:BC$501,$BJ130)))</f>
        <v/>
      </c>
      <c r="BB130" s="6">
        <f>IF(OR($BJ130="",53&gt;設定!$B$3),"",IF(INDEX(原始資料!BD$2:BD$501,$BJ130)="","",INDEX(原始資料!BD$2:BD$501,$BJ130)))</f>
        <v/>
      </c>
      <c r="BC130" s="6">
        <f>IF(OR($BJ130="",54&gt;設定!$B$3),"",IF(INDEX(原始資料!BE$2:BE$501,$BJ130)="","",INDEX(原始資料!BE$2:BE$501,$BJ130)))</f>
        <v/>
      </c>
      <c r="BD130" s="6">
        <f>IF(OR($BJ130="",55&gt;設定!$B$3),"",IF(INDEX(原始資料!BF$2:BF$501,$BJ130)="","",INDEX(原始資料!BF$2:BF$501,$BJ130)))</f>
        <v/>
      </c>
      <c r="BE130" s="6">
        <f>IF(OR($BJ130="",56&gt;設定!$B$3),"",IF(INDEX(原始資料!BG$2:BG$501,$BJ130)="","",INDEX(原始資料!BG$2:BG$501,$BJ130)))</f>
        <v/>
      </c>
      <c r="BF130" s="6">
        <f>IF(OR($BJ130="",57&gt;設定!$B$3),"",IF(INDEX(原始資料!BH$2:BH$501,$BJ130)="","",INDEX(原始資料!BH$2:BH$501,$BJ130)))</f>
        <v/>
      </c>
      <c r="BG130" s="6">
        <f>IF(OR($BJ130="",58&gt;設定!$B$3),"",IF(INDEX(原始資料!BI$2:BI$501,$BJ130)="","",INDEX(原始資料!BI$2:BI$501,$BJ130)))</f>
        <v/>
      </c>
      <c r="BH130" s="6">
        <f>IF(OR($BJ130="",59&gt;設定!$B$3),"",IF(INDEX(原始資料!BJ$2:BJ$501,$BJ130)="","",INDEX(原始資料!BJ$2:BJ$501,$BJ130)))</f>
        <v/>
      </c>
      <c r="BI130" s="6">
        <f>IF(OR($BJ130="",60&gt;設定!$B$3),"",IF(INDEX(原始資料!BK$2:BK$501,$BJ130)="","",INDEX(原始資料!BK$2:BK$501,$BJ130)))</f>
        <v/>
      </c>
      <c r="BJ130" s="6">
        <f>IFERROR(MATCH(ROW()-1,判定!$H$2:$H$501,0),"")</f>
        <v/>
      </c>
    </row>
    <row r="131">
      <c r="A131" s="6">
        <f>IF($BJ131="","",INDEX(原始資料!$A$2:$A$501,$BJ131))</f>
        <v/>
      </c>
      <c r="B131" s="6">
        <f>IF(OR($BJ131="",1&gt;設定!$B$3),"",IF(INDEX(原始資料!D$2:D$501,$BJ131)="","",INDEX(原始資料!D$2:D$501,$BJ131)))</f>
        <v/>
      </c>
      <c r="C131" s="6">
        <f>IF(OR($BJ131="",2&gt;設定!$B$3),"",IF(INDEX(原始資料!E$2:E$501,$BJ131)="","",INDEX(原始資料!E$2:E$501,$BJ131)))</f>
        <v/>
      </c>
      <c r="D131" s="6">
        <f>IF(OR($BJ131="",3&gt;設定!$B$3),"",IF(INDEX(原始資料!F$2:F$501,$BJ131)="","",INDEX(原始資料!F$2:F$501,$BJ131)))</f>
        <v/>
      </c>
      <c r="E131" s="6">
        <f>IF(OR($BJ131="",4&gt;設定!$B$3),"",IF(INDEX(原始資料!G$2:G$501,$BJ131)="","",INDEX(原始資料!G$2:G$501,$BJ131)))</f>
        <v/>
      </c>
      <c r="F131" s="6">
        <f>IF(OR($BJ131="",5&gt;設定!$B$3),"",IF(INDEX(原始資料!H$2:H$501,$BJ131)="","",INDEX(原始資料!H$2:H$501,$BJ131)))</f>
        <v/>
      </c>
      <c r="G131" s="6">
        <f>IF(OR($BJ131="",6&gt;設定!$B$3),"",IF(INDEX(原始資料!I$2:I$501,$BJ131)="","",INDEX(原始資料!I$2:I$501,$BJ131)))</f>
        <v/>
      </c>
      <c r="H131" s="6">
        <f>IF(OR($BJ131="",7&gt;設定!$B$3),"",IF(INDEX(原始資料!J$2:J$501,$BJ131)="","",INDEX(原始資料!J$2:J$501,$BJ131)))</f>
        <v/>
      </c>
      <c r="I131" s="6">
        <f>IF(OR($BJ131="",8&gt;設定!$B$3),"",IF(INDEX(原始資料!K$2:K$501,$BJ131)="","",INDEX(原始資料!K$2:K$501,$BJ131)))</f>
        <v/>
      </c>
      <c r="J131" s="6">
        <f>IF(OR($BJ131="",9&gt;設定!$B$3),"",IF(INDEX(原始資料!L$2:L$501,$BJ131)="","",INDEX(原始資料!L$2:L$501,$BJ131)))</f>
        <v/>
      </c>
      <c r="K131" s="6">
        <f>IF(OR($BJ131="",10&gt;設定!$B$3),"",IF(INDEX(原始資料!M$2:M$501,$BJ131)="","",INDEX(原始資料!M$2:M$501,$BJ131)))</f>
        <v/>
      </c>
      <c r="L131" s="6">
        <f>IF(OR($BJ131="",11&gt;設定!$B$3),"",IF(INDEX(原始資料!N$2:N$501,$BJ131)="","",INDEX(原始資料!N$2:N$501,$BJ131)))</f>
        <v/>
      </c>
      <c r="M131" s="6">
        <f>IF(OR($BJ131="",12&gt;設定!$B$3),"",IF(INDEX(原始資料!O$2:O$501,$BJ131)="","",INDEX(原始資料!O$2:O$501,$BJ131)))</f>
        <v/>
      </c>
      <c r="N131" s="6">
        <f>IF(OR($BJ131="",13&gt;設定!$B$3),"",IF(INDEX(原始資料!P$2:P$501,$BJ131)="","",INDEX(原始資料!P$2:P$501,$BJ131)))</f>
        <v/>
      </c>
      <c r="O131" s="6">
        <f>IF(OR($BJ131="",14&gt;設定!$B$3),"",IF(INDEX(原始資料!Q$2:Q$501,$BJ131)="","",INDEX(原始資料!Q$2:Q$501,$BJ131)))</f>
        <v/>
      </c>
      <c r="P131" s="6">
        <f>IF(OR($BJ131="",15&gt;設定!$B$3),"",IF(INDEX(原始資料!R$2:R$501,$BJ131)="","",INDEX(原始資料!R$2:R$501,$BJ131)))</f>
        <v/>
      </c>
      <c r="Q131" s="6">
        <f>IF(OR($BJ131="",16&gt;設定!$B$3),"",IF(INDEX(原始資料!S$2:S$501,$BJ131)="","",INDEX(原始資料!S$2:S$501,$BJ131)))</f>
        <v/>
      </c>
      <c r="R131" s="6">
        <f>IF(OR($BJ131="",17&gt;設定!$B$3),"",IF(INDEX(原始資料!T$2:T$501,$BJ131)="","",INDEX(原始資料!T$2:T$501,$BJ131)))</f>
        <v/>
      </c>
      <c r="S131" s="6">
        <f>IF(OR($BJ131="",18&gt;設定!$B$3),"",IF(INDEX(原始資料!U$2:U$501,$BJ131)="","",INDEX(原始資料!U$2:U$501,$BJ131)))</f>
        <v/>
      </c>
      <c r="T131" s="6">
        <f>IF(OR($BJ131="",19&gt;設定!$B$3),"",IF(INDEX(原始資料!V$2:V$501,$BJ131)="","",INDEX(原始資料!V$2:V$501,$BJ131)))</f>
        <v/>
      </c>
      <c r="U131" s="6">
        <f>IF(OR($BJ131="",20&gt;設定!$B$3),"",IF(INDEX(原始資料!W$2:W$501,$BJ131)="","",INDEX(原始資料!W$2:W$501,$BJ131)))</f>
        <v/>
      </c>
      <c r="V131" s="6">
        <f>IF(OR($BJ131="",21&gt;設定!$B$3),"",IF(INDEX(原始資料!X$2:X$501,$BJ131)="","",INDEX(原始資料!X$2:X$501,$BJ131)))</f>
        <v/>
      </c>
      <c r="W131" s="6">
        <f>IF(OR($BJ131="",22&gt;設定!$B$3),"",IF(INDEX(原始資料!Y$2:Y$501,$BJ131)="","",INDEX(原始資料!Y$2:Y$501,$BJ131)))</f>
        <v/>
      </c>
      <c r="X131" s="6">
        <f>IF(OR($BJ131="",23&gt;設定!$B$3),"",IF(INDEX(原始資料!Z$2:Z$501,$BJ131)="","",INDEX(原始資料!Z$2:Z$501,$BJ131)))</f>
        <v/>
      </c>
      <c r="Y131" s="6">
        <f>IF(OR($BJ131="",24&gt;設定!$B$3),"",IF(INDEX(原始資料!AA$2:AA$501,$BJ131)="","",INDEX(原始資料!AA$2:AA$501,$BJ131)))</f>
        <v/>
      </c>
      <c r="Z131" s="6">
        <f>IF(OR($BJ131="",25&gt;設定!$B$3),"",IF(INDEX(原始資料!AB$2:AB$501,$BJ131)="","",INDEX(原始資料!AB$2:AB$501,$BJ131)))</f>
        <v/>
      </c>
      <c r="AA131" s="6">
        <f>IF(OR($BJ131="",26&gt;設定!$B$3),"",IF(INDEX(原始資料!AC$2:AC$501,$BJ131)="","",INDEX(原始資料!AC$2:AC$501,$BJ131)))</f>
        <v/>
      </c>
      <c r="AB131" s="6">
        <f>IF(OR($BJ131="",27&gt;設定!$B$3),"",IF(INDEX(原始資料!AD$2:AD$501,$BJ131)="","",INDEX(原始資料!AD$2:AD$501,$BJ131)))</f>
        <v/>
      </c>
      <c r="AC131" s="6">
        <f>IF(OR($BJ131="",28&gt;設定!$B$3),"",IF(INDEX(原始資料!AE$2:AE$501,$BJ131)="","",INDEX(原始資料!AE$2:AE$501,$BJ131)))</f>
        <v/>
      </c>
      <c r="AD131" s="6">
        <f>IF(OR($BJ131="",29&gt;設定!$B$3),"",IF(INDEX(原始資料!AF$2:AF$501,$BJ131)="","",INDEX(原始資料!AF$2:AF$501,$BJ131)))</f>
        <v/>
      </c>
      <c r="AE131" s="6">
        <f>IF(OR($BJ131="",30&gt;設定!$B$3),"",IF(INDEX(原始資料!AG$2:AG$501,$BJ131)="","",INDEX(原始資料!AG$2:AG$501,$BJ131)))</f>
        <v/>
      </c>
      <c r="AF131" s="6">
        <f>IF(OR($BJ131="",31&gt;設定!$B$3),"",IF(INDEX(原始資料!AH$2:AH$501,$BJ131)="","",INDEX(原始資料!AH$2:AH$501,$BJ131)))</f>
        <v/>
      </c>
      <c r="AG131" s="6">
        <f>IF(OR($BJ131="",32&gt;設定!$B$3),"",IF(INDEX(原始資料!AI$2:AI$501,$BJ131)="","",INDEX(原始資料!AI$2:AI$501,$BJ131)))</f>
        <v/>
      </c>
      <c r="AH131" s="6">
        <f>IF(OR($BJ131="",33&gt;設定!$B$3),"",IF(INDEX(原始資料!AJ$2:AJ$501,$BJ131)="","",INDEX(原始資料!AJ$2:AJ$501,$BJ131)))</f>
        <v/>
      </c>
      <c r="AI131" s="6">
        <f>IF(OR($BJ131="",34&gt;設定!$B$3),"",IF(INDEX(原始資料!AK$2:AK$501,$BJ131)="","",INDEX(原始資料!AK$2:AK$501,$BJ131)))</f>
        <v/>
      </c>
      <c r="AJ131" s="6">
        <f>IF(OR($BJ131="",35&gt;設定!$B$3),"",IF(INDEX(原始資料!AL$2:AL$501,$BJ131)="","",INDEX(原始資料!AL$2:AL$501,$BJ131)))</f>
        <v/>
      </c>
      <c r="AK131" s="6">
        <f>IF(OR($BJ131="",36&gt;設定!$B$3),"",IF(INDEX(原始資料!AM$2:AM$501,$BJ131)="","",INDEX(原始資料!AM$2:AM$501,$BJ131)))</f>
        <v/>
      </c>
      <c r="AL131" s="6">
        <f>IF(OR($BJ131="",37&gt;設定!$B$3),"",IF(INDEX(原始資料!AN$2:AN$501,$BJ131)="","",INDEX(原始資料!AN$2:AN$501,$BJ131)))</f>
        <v/>
      </c>
      <c r="AM131" s="6">
        <f>IF(OR($BJ131="",38&gt;設定!$B$3),"",IF(INDEX(原始資料!AO$2:AO$501,$BJ131)="","",INDEX(原始資料!AO$2:AO$501,$BJ131)))</f>
        <v/>
      </c>
      <c r="AN131" s="6">
        <f>IF(OR($BJ131="",39&gt;設定!$B$3),"",IF(INDEX(原始資料!AP$2:AP$501,$BJ131)="","",INDEX(原始資料!AP$2:AP$501,$BJ131)))</f>
        <v/>
      </c>
      <c r="AO131" s="6">
        <f>IF(OR($BJ131="",40&gt;設定!$B$3),"",IF(INDEX(原始資料!AQ$2:AQ$501,$BJ131)="","",INDEX(原始資料!AQ$2:AQ$501,$BJ131)))</f>
        <v/>
      </c>
      <c r="AP131" s="6">
        <f>IF(OR($BJ131="",41&gt;設定!$B$3),"",IF(INDEX(原始資料!AR$2:AR$501,$BJ131)="","",INDEX(原始資料!AR$2:AR$501,$BJ131)))</f>
        <v/>
      </c>
      <c r="AQ131" s="6">
        <f>IF(OR($BJ131="",42&gt;設定!$B$3),"",IF(INDEX(原始資料!AS$2:AS$501,$BJ131)="","",INDEX(原始資料!AS$2:AS$501,$BJ131)))</f>
        <v/>
      </c>
      <c r="AR131" s="6">
        <f>IF(OR($BJ131="",43&gt;設定!$B$3),"",IF(INDEX(原始資料!AT$2:AT$501,$BJ131)="","",INDEX(原始資料!AT$2:AT$501,$BJ131)))</f>
        <v/>
      </c>
      <c r="AS131" s="6">
        <f>IF(OR($BJ131="",44&gt;設定!$B$3),"",IF(INDEX(原始資料!AU$2:AU$501,$BJ131)="","",INDEX(原始資料!AU$2:AU$501,$BJ131)))</f>
        <v/>
      </c>
      <c r="AT131" s="6">
        <f>IF(OR($BJ131="",45&gt;設定!$B$3),"",IF(INDEX(原始資料!AV$2:AV$501,$BJ131)="","",INDEX(原始資料!AV$2:AV$501,$BJ131)))</f>
        <v/>
      </c>
      <c r="AU131" s="6">
        <f>IF(OR($BJ131="",46&gt;設定!$B$3),"",IF(INDEX(原始資料!AW$2:AW$501,$BJ131)="","",INDEX(原始資料!AW$2:AW$501,$BJ131)))</f>
        <v/>
      </c>
      <c r="AV131" s="6">
        <f>IF(OR($BJ131="",47&gt;設定!$B$3),"",IF(INDEX(原始資料!AX$2:AX$501,$BJ131)="","",INDEX(原始資料!AX$2:AX$501,$BJ131)))</f>
        <v/>
      </c>
      <c r="AW131" s="6">
        <f>IF(OR($BJ131="",48&gt;設定!$B$3),"",IF(INDEX(原始資料!AY$2:AY$501,$BJ131)="","",INDEX(原始資料!AY$2:AY$501,$BJ131)))</f>
        <v/>
      </c>
      <c r="AX131" s="6">
        <f>IF(OR($BJ131="",49&gt;設定!$B$3),"",IF(INDEX(原始資料!AZ$2:AZ$501,$BJ131)="","",INDEX(原始資料!AZ$2:AZ$501,$BJ131)))</f>
        <v/>
      </c>
      <c r="AY131" s="6">
        <f>IF(OR($BJ131="",50&gt;設定!$B$3),"",IF(INDEX(原始資料!BA$2:BA$501,$BJ131)="","",INDEX(原始資料!BA$2:BA$501,$BJ131)))</f>
        <v/>
      </c>
      <c r="AZ131" s="6">
        <f>IF(OR($BJ131="",51&gt;設定!$B$3),"",IF(INDEX(原始資料!BB$2:BB$501,$BJ131)="","",INDEX(原始資料!BB$2:BB$501,$BJ131)))</f>
        <v/>
      </c>
      <c r="BA131" s="6">
        <f>IF(OR($BJ131="",52&gt;設定!$B$3),"",IF(INDEX(原始資料!BC$2:BC$501,$BJ131)="","",INDEX(原始資料!BC$2:BC$501,$BJ131)))</f>
        <v/>
      </c>
      <c r="BB131" s="6">
        <f>IF(OR($BJ131="",53&gt;設定!$B$3),"",IF(INDEX(原始資料!BD$2:BD$501,$BJ131)="","",INDEX(原始資料!BD$2:BD$501,$BJ131)))</f>
        <v/>
      </c>
      <c r="BC131" s="6">
        <f>IF(OR($BJ131="",54&gt;設定!$B$3),"",IF(INDEX(原始資料!BE$2:BE$501,$BJ131)="","",INDEX(原始資料!BE$2:BE$501,$BJ131)))</f>
        <v/>
      </c>
      <c r="BD131" s="6">
        <f>IF(OR($BJ131="",55&gt;設定!$B$3),"",IF(INDEX(原始資料!BF$2:BF$501,$BJ131)="","",INDEX(原始資料!BF$2:BF$501,$BJ131)))</f>
        <v/>
      </c>
      <c r="BE131" s="6">
        <f>IF(OR($BJ131="",56&gt;設定!$B$3),"",IF(INDEX(原始資料!BG$2:BG$501,$BJ131)="","",INDEX(原始資料!BG$2:BG$501,$BJ131)))</f>
        <v/>
      </c>
      <c r="BF131" s="6">
        <f>IF(OR($BJ131="",57&gt;設定!$B$3),"",IF(INDEX(原始資料!BH$2:BH$501,$BJ131)="","",INDEX(原始資料!BH$2:BH$501,$BJ131)))</f>
        <v/>
      </c>
      <c r="BG131" s="6">
        <f>IF(OR($BJ131="",58&gt;設定!$B$3),"",IF(INDEX(原始資料!BI$2:BI$501,$BJ131)="","",INDEX(原始資料!BI$2:BI$501,$BJ131)))</f>
        <v/>
      </c>
      <c r="BH131" s="6">
        <f>IF(OR($BJ131="",59&gt;設定!$B$3),"",IF(INDEX(原始資料!BJ$2:BJ$501,$BJ131)="","",INDEX(原始資料!BJ$2:BJ$501,$BJ131)))</f>
        <v/>
      </c>
      <c r="BI131" s="6">
        <f>IF(OR($BJ131="",60&gt;設定!$B$3),"",IF(INDEX(原始資料!BK$2:BK$501,$BJ131)="","",INDEX(原始資料!BK$2:BK$501,$BJ131)))</f>
        <v/>
      </c>
      <c r="BJ131" s="6">
        <f>IFERROR(MATCH(ROW()-1,判定!$H$2:$H$501,0),"")</f>
        <v/>
      </c>
    </row>
    <row r="132">
      <c r="A132" s="6">
        <f>IF($BJ132="","",INDEX(原始資料!$A$2:$A$501,$BJ132))</f>
        <v/>
      </c>
      <c r="B132" s="6">
        <f>IF(OR($BJ132="",1&gt;設定!$B$3),"",IF(INDEX(原始資料!D$2:D$501,$BJ132)="","",INDEX(原始資料!D$2:D$501,$BJ132)))</f>
        <v/>
      </c>
      <c r="C132" s="6">
        <f>IF(OR($BJ132="",2&gt;設定!$B$3),"",IF(INDEX(原始資料!E$2:E$501,$BJ132)="","",INDEX(原始資料!E$2:E$501,$BJ132)))</f>
        <v/>
      </c>
      <c r="D132" s="6">
        <f>IF(OR($BJ132="",3&gt;設定!$B$3),"",IF(INDEX(原始資料!F$2:F$501,$BJ132)="","",INDEX(原始資料!F$2:F$501,$BJ132)))</f>
        <v/>
      </c>
      <c r="E132" s="6">
        <f>IF(OR($BJ132="",4&gt;設定!$B$3),"",IF(INDEX(原始資料!G$2:G$501,$BJ132)="","",INDEX(原始資料!G$2:G$501,$BJ132)))</f>
        <v/>
      </c>
      <c r="F132" s="6">
        <f>IF(OR($BJ132="",5&gt;設定!$B$3),"",IF(INDEX(原始資料!H$2:H$501,$BJ132)="","",INDEX(原始資料!H$2:H$501,$BJ132)))</f>
        <v/>
      </c>
      <c r="G132" s="6">
        <f>IF(OR($BJ132="",6&gt;設定!$B$3),"",IF(INDEX(原始資料!I$2:I$501,$BJ132)="","",INDEX(原始資料!I$2:I$501,$BJ132)))</f>
        <v/>
      </c>
      <c r="H132" s="6">
        <f>IF(OR($BJ132="",7&gt;設定!$B$3),"",IF(INDEX(原始資料!J$2:J$501,$BJ132)="","",INDEX(原始資料!J$2:J$501,$BJ132)))</f>
        <v/>
      </c>
      <c r="I132" s="6">
        <f>IF(OR($BJ132="",8&gt;設定!$B$3),"",IF(INDEX(原始資料!K$2:K$501,$BJ132)="","",INDEX(原始資料!K$2:K$501,$BJ132)))</f>
        <v/>
      </c>
      <c r="J132" s="6">
        <f>IF(OR($BJ132="",9&gt;設定!$B$3),"",IF(INDEX(原始資料!L$2:L$501,$BJ132)="","",INDEX(原始資料!L$2:L$501,$BJ132)))</f>
        <v/>
      </c>
      <c r="K132" s="6">
        <f>IF(OR($BJ132="",10&gt;設定!$B$3),"",IF(INDEX(原始資料!M$2:M$501,$BJ132)="","",INDEX(原始資料!M$2:M$501,$BJ132)))</f>
        <v/>
      </c>
      <c r="L132" s="6">
        <f>IF(OR($BJ132="",11&gt;設定!$B$3),"",IF(INDEX(原始資料!N$2:N$501,$BJ132)="","",INDEX(原始資料!N$2:N$501,$BJ132)))</f>
        <v/>
      </c>
      <c r="M132" s="6">
        <f>IF(OR($BJ132="",12&gt;設定!$B$3),"",IF(INDEX(原始資料!O$2:O$501,$BJ132)="","",INDEX(原始資料!O$2:O$501,$BJ132)))</f>
        <v/>
      </c>
      <c r="N132" s="6">
        <f>IF(OR($BJ132="",13&gt;設定!$B$3),"",IF(INDEX(原始資料!P$2:P$501,$BJ132)="","",INDEX(原始資料!P$2:P$501,$BJ132)))</f>
        <v/>
      </c>
      <c r="O132" s="6">
        <f>IF(OR($BJ132="",14&gt;設定!$B$3),"",IF(INDEX(原始資料!Q$2:Q$501,$BJ132)="","",INDEX(原始資料!Q$2:Q$501,$BJ132)))</f>
        <v/>
      </c>
      <c r="P132" s="6">
        <f>IF(OR($BJ132="",15&gt;設定!$B$3),"",IF(INDEX(原始資料!R$2:R$501,$BJ132)="","",INDEX(原始資料!R$2:R$501,$BJ132)))</f>
        <v/>
      </c>
      <c r="Q132" s="6">
        <f>IF(OR($BJ132="",16&gt;設定!$B$3),"",IF(INDEX(原始資料!S$2:S$501,$BJ132)="","",INDEX(原始資料!S$2:S$501,$BJ132)))</f>
        <v/>
      </c>
      <c r="R132" s="6">
        <f>IF(OR($BJ132="",17&gt;設定!$B$3),"",IF(INDEX(原始資料!T$2:T$501,$BJ132)="","",INDEX(原始資料!T$2:T$501,$BJ132)))</f>
        <v/>
      </c>
      <c r="S132" s="6">
        <f>IF(OR($BJ132="",18&gt;設定!$B$3),"",IF(INDEX(原始資料!U$2:U$501,$BJ132)="","",INDEX(原始資料!U$2:U$501,$BJ132)))</f>
        <v/>
      </c>
      <c r="T132" s="6">
        <f>IF(OR($BJ132="",19&gt;設定!$B$3),"",IF(INDEX(原始資料!V$2:V$501,$BJ132)="","",INDEX(原始資料!V$2:V$501,$BJ132)))</f>
        <v/>
      </c>
      <c r="U132" s="6">
        <f>IF(OR($BJ132="",20&gt;設定!$B$3),"",IF(INDEX(原始資料!W$2:W$501,$BJ132)="","",INDEX(原始資料!W$2:W$501,$BJ132)))</f>
        <v/>
      </c>
      <c r="V132" s="6">
        <f>IF(OR($BJ132="",21&gt;設定!$B$3),"",IF(INDEX(原始資料!X$2:X$501,$BJ132)="","",INDEX(原始資料!X$2:X$501,$BJ132)))</f>
        <v/>
      </c>
      <c r="W132" s="6">
        <f>IF(OR($BJ132="",22&gt;設定!$B$3),"",IF(INDEX(原始資料!Y$2:Y$501,$BJ132)="","",INDEX(原始資料!Y$2:Y$501,$BJ132)))</f>
        <v/>
      </c>
      <c r="X132" s="6">
        <f>IF(OR($BJ132="",23&gt;設定!$B$3),"",IF(INDEX(原始資料!Z$2:Z$501,$BJ132)="","",INDEX(原始資料!Z$2:Z$501,$BJ132)))</f>
        <v/>
      </c>
      <c r="Y132" s="6">
        <f>IF(OR($BJ132="",24&gt;設定!$B$3),"",IF(INDEX(原始資料!AA$2:AA$501,$BJ132)="","",INDEX(原始資料!AA$2:AA$501,$BJ132)))</f>
        <v/>
      </c>
      <c r="Z132" s="6">
        <f>IF(OR($BJ132="",25&gt;設定!$B$3),"",IF(INDEX(原始資料!AB$2:AB$501,$BJ132)="","",INDEX(原始資料!AB$2:AB$501,$BJ132)))</f>
        <v/>
      </c>
      <c r="AA132" s="6">
        <f>IF(OR($BJ132="",26&gt;設定!$B$3),"",IF(INDEX(原始資料!AC$2:AC$501,$BJ132)="","",INDEX(原始資料!AC$2:AC$501,$BJ132)))</f>
        <v/>
      </c>
      <c r="AB132" s="6">
        <f>IF(OR($BJ132="",27&gt;設定!$B$3),"",IF(INDEX(原始資料!AD$2:AD$501,$BJ132)="","",INDEX(原始資料!AD$2:AD$501,$BJ132)))</f>
        <v/>
      </c>
      <c r="AC132" s="6">
        <f>IF(OR($BJ132="",28&gt;設定!$B$3),"",IF(INDEX(原始資料!AE$2:AE$501,$BJ132)="","",INDEX(原始資料!AE$2:AE$501,$BJ132)))</f>
        <v/>
      </c>
      <c r="AD132" s="6">
        <f>IF(OR($BJ132="",29&gt;設定!$B$3),"",IF(INDEX(原始資料!AF$2:AF$501,$BJ132)="","",INDEX(原始資料!AF$2:AF$501,$BJ132)))</f>
        <v/>
      </c>
      <c r="AE132" s="6">
        <f>IF(OR($BJ132="",30&gt;設定!$B$3),"",IF(INDEX(原始資料!AG$2:AG$501,$BJ132)="","",INDEX(原始資料!AG$2:AG$501,$BJ132)))</f>
        <v/>
      </c>
      <c r="AF132" s="6">
        <f>IF(OR($BJ132="",31&gt;設定!$B$3),"",IF(INDEX(原始資料!AH$2:AH$501,$BJ132)="","",INDEX(原始資料!AH$2:AH$501,$BJ132)))</f>
        <v/>
      </c>
      <c r="AG132" s="6">
        <f>IF(OR($BJ132="",32&gt;設定!$B$3),"",IF(INDEX(原始資料!AI$2:AI$501,$BJ132)="","",INDEX(原始資料!AI$2:AI$501,$BJ132)))</f>
        <v/>
      </c>
      <c r="AH132" s="6">
        <f>IF(OR($BJ132="",33&gt;設定!$B$3),"",IF(INDEX(原始資料!AJ$2:AJ$501,$BJ132)="","",INDEX(原始資料!AJ$2:AJ$501,$BJ132)))</f>
        <v/>
      </c>
      <c r="AI132" s="6">
        <f>IF(OR($BJ132="",34&gt;設定!$B$3),"",IF(INDEX(原始資料!AK$2:AK$501,$BJ132)="","",INDEX(原始資料!AK$2:AK$501,$BJ132)))</f>
        <v/>
      </c>
      <c r="AJ132" s="6">
        <f>IF(OR($BJ132="",35&gt;設定!$B$3),"",IF(INDEX(原始資料!AL$2:AL$501,$BJ132)="","",INDEX(原始資料!AL$2:AL$501,$BJ132)))</f>
        <v/>
      </c>
      <c r="AK132" s="6">
        <f>IF(OR($BJ132="",36&gt;設定!$B$3),"",IF(INDEX(原始資料!AM$2:AM$501,$BJ132)="","",INDEX(原始資料!AM$2:AM$501,$BJ132)))</f>
        <v/>
      </c>
      <c r="AL132" s="6">
        <f>IF(OR($BJ132="",37&gt;設定!$B$3),"",IF(INDEX(原始資料!AN$2:AN$501,$BJ132)="","",INDEX(原始資料!AN$2:AN$501,$BJ132)))</f>
        <v/>
      </c>
      <c r="AM132" s="6">
        <f>IF(OR($BJ132="",38&gt;設定!$B$3),"",IF(INDEX(原始資料!AO$2:AO$501,$BJ132)="","",INDEX(原始資料!AO$2:AO$501,$BJ132)))</f>
        <v/>
      </c>
      <c r="AN132" s="6">
        <f>IF(OR($BJ132="",39&gt;設定!$B$3),"",IF(INDEX(原始資料!AP$2:AP$501,$BJ132)="","",INDEX(原始資料!AP$2:AP$501,$BJ132)))</f>
        <v/>
      </c>
      <c r="AO132" s="6">
        <f>IF(OR($BJ132="",40&gt;設定!$B$3),"",IF(INDEX(原始資料!AQ$2:AQ$501,$BJ132)="","",INDEX(原始資料!AQ$2:AQ$501,$BJ132)))</f>
        <v/>
      </c>
      <c r="AP132" s="6">
        <f>IF(OR($BJ132="",41&gt;設定!$B$3),"",IF(INDEX(原始資料!AR$2:AR$501,$BJ132)="","",INDEX(原始資料!AR$2:AR$501,$BJ132)))</f>
        <v/>
      </c>
      <c r="AQ132" s="6">
        <f>IF(OR($BJ132="",42&gt;設定!$B$3),"",IF(INDEX(原始資料!AS$2:AS$501,$BJ132)="","",INDEX(原始資料!AS$2:AS$501,$BJ132)))</f>
        <v/>
      </c>
      <c r="AR132" s="6">
        <f>IF(OR($BJ132="",43&gt;設定!$B$3),"",IF(INDEX(原始資料!AT$2:AT$501,$BJ132)="","",INDEX(原始資料!AT$2:AT$501,$BJ132)))</f>
        <v/>
      </c>
      <c r="AS132" s="6">
        <f>IF(OR($BJ132="",44&gt;設定!$B$3),"",IF(INDEX(原始資料!AU$2:AU$501,$BJ132)="","",INDEX(原始資料!AU$2:AU$501,$BJ132)))</f>
        <v/>
      </c>
      <c r="AT132" s="6">
        <f>IF(OR($BJ132="",45&gt;設定!$B$3),"",IF(INDEX(原始資料!AV$2:AV$501,$BJ132)="","",INDEX(原始資料!AV$2:AV$501,$BJ132)))</f>
        <v/>
      </c>
      <c r="AU132" s="6">
        <f>IF(OR($BJ132="",46&gt;設定!$B$3),"",IF(INDEX(原始資料!AW$2:AW$501,$BJ132)="","",INDEX(原始資料!AW$2:AW$501,$BJ132)))</f>
        <v/>
      </c>
      <c r="AV132" s="6">
        <f>IF(OR($BJ132="",47&gt;設定!$B$3),"",IF(INDEX(原始資料!AX$2:AX$501,$BJ132)="","",INDEX(原始資料!AX$2:AX$501,$BJ132)))</f>
        <v/>
      </c>
      <c r="AW132" s="6">
        <f>IF(OR($BJ132="",48&gt;設定!$B$3),"",IF(INDEX(原始資料!AY$2:AY$501,$BJ132)="","",INDEX(原始資料!AY$2:AY$501,$BJ132)))</f>
        <v/>
      </c>
      <c r="AX132" s="6">
        <f>IF(OR($BJ132="",49&gt;設定!$B$3),"",IF(INDEX(原始資料!AZ$2:AZ$501,$BJ132)="","",INDEX(原始資料!AZ$2:AZ$501,$BJ132)))</f>
        <v/>
      </c>
      <c r="AY132" s="6">
        <f>IF(OR($BJ132="",50&gt;設定!$B$3),"",IF(INDEX(原始資料!BA$2:BA$501,$BJ132)="","",INDEX(原始資料!BA$2:BA$501,$BJ132)))</f>
        <v/>
      </c>
      <c r="AZ132" s="6">
        <f>IF(OR($BJ132="",51&gt;設定!$B$3),"",IF(INDEX(原始資料!BB$2:BB$501,$BJ132)="","",INDEX(原始資料!BB$2:BB$501,$BJ132)))</f>
        <v/>
      </c>
      <c r="BA132" s="6">
        <f>IF(OR($BJ132="",52&gt;設定!$B$3),"",IF(INDEX(原始資料!BC$2:BC$501,$BJ132)="","",INDEX(原始資料!BC$2:BC$501,$BJ132)))</f>
        <v/>
      </c>
      <c r="BB132" s="6">
        <f>IF(OR($BJ132="",53&gt;設定!$B$3),"",IF(INDEX(原始資料!BD$2:BD$501,$BJ132)="","",INDEX(原始資料!BD$2:BD$501,$BJ132)))</f>
        <v/>
      </c>
      <c r="BC132" s="6">
        <f>IF(OR($BJ132="",54&gt;設定!$B$3),"",IF(INDEX(原始資料!BE$2:BE$501,$BJ132)="","",INDEX(原始資料!BE$2:BE$501,$BJ132)))</f>
        <v/>
      </c>
      <c r="BD132" s="6">
        <f>IF(OR($BJ132="",55&gt;設定!$B$3),"",IF(INDEX(原始資料!BF$2:BF$501,$BJ132)="","",INDEX(原始資料!BF$2:BF$501,$BJ132)))</f>
        <v/>
      </c>
      <c r="BE132" s="6">
        <f>IF(OR($BJ132="",56&gt;設定!$B$3),"",IF(INDEX(原始資料!BG$2:BG$501,$BJ132)="","",INDEX(原始資料!BG$2:BG$501,$BJ132)))</f>
        <v/>
      </c>
      <c r="BF132" s="6">
        <f>IF(OR($BJ132="",57&gt;設定!$B$3),"",IF(INDEX(原始資料!BH$2:BH$501,$BJ132)="","",INDEX(原始資料!BH$2:BH$501,$BJ132)))</f>
        <v/>
      </c>
      <c r="BG132" s="6">
        <f>IF(OR($BJ132="",58&gt;設定!$B$3),"",IF(INDEX(原始資料!BI$2:BI$501,$BJ132)="","",INDEX(原始資料!BI$2:BI$501,$BJ132)))</f>
        <v/>
      </c>
      <c r="BH132" s="6">
        <f>IF(OR($BJ132="",59&gt;設定!$B$3),"",IF(INDEX(原始資料!BJ$2:BJ$501,$BJ132)="","",INDEX(原始資料!BJ$2:BJ$501,$BJ132)))</f>
        <v/>
      </c>
      <c r="BI132" s="6">
        <f>IF(OR($BJ132="",60&gt;設定!$B$3),"",IF(INDEX(原始資料!BK$2:BK$501,$BJ132)="","",INDEX(原始資料!BK$2:BK$501,$BJ132)))</f>
        <v/>
      </c>
      <c r="BJ132" s="6">
        <f>IFERROR(MATCH(ROW()-1,判定!$H$2:$H$501,0),"")</f>
        <v/>
      </c>
    </row>
    <row r="133">
      <c r="A133" s="6">
        <f>IF($BJ133="","",INDEX(原始資料!$A$2:$A$501,$BJ133))</f>
        <v/>
      </c>
      <c r="B133" s="6">
        <f>IF(OR($BJ133="",1&gt;設定!$B$3),"",IF(INDEX(原始資料!D$2:D$501,$BJ133)="","",INDEX(原始資料!D$2:D$501,$BJ133)))</f>
        <v/>
      </c>
      <c r="C133" s="6">
        <f>IF(OR($BJ133="",2&gt;設定!$B$3),"",IF(INDEX(原始資料!E$2:E$501,$BJ133)="","",INDEX(原始資料!E$2:E$501,$BJ133)))</f>
        <v/>
      </c>
      <c r="D133" s="6">
        <f>IF(OR($BJ133="",3&gt;設定!$B$3),"",IF(INDEX(原始資料!F$2:F$501,$BJ133)="","",INDEX(原始資料!F$2:F$501,$BJ133)))</f>
        <v/>
      </c>
      <c r="E133" s="6">
        <f>IF(OR($BJ133="",4&gt;設定!$B$3),"",IF(INDEX(原始資料!G$2:G$501,$BJ133)="","",INDEX(原始資料!G$2:G$501,$BJ133)))</f>
        <v/>
      </c>
      <c r="F133" s="6">
        <f>IF(OR($BJ133="",5&gt;設定!$B$3),"",IF(INDEX(原始資料!H$2:H$501,$BJ133)="","",INDEX(原始資料!H$2:H$501,$BJ133)))</f>
        <v/>
      </c>
      <c r="G133" s="6">
        <f>IF(OR($BJ133="",6&gt;設定!$B$3),"",IF(INDEX(原始資料!I$2:I$501,$BJ133)="","",INDEX(原始資料!I$2:I$501,$BJ133)))</f>
        <v/>
      </c>
      <c r="H133" s="6">
        <f>IF(OR($BJ133="",7&gt;設定!$B$3),"",IF(INDEX(原始資料!J$2:J$501,$BJ133)="","",INDEX(原始資料!J$2:J$501,$BJ133)))</f>
        <v/>
      </c>
      <c r="I133" s="6">
        <f>IF(OR($BJ133="",8&gt;設定!$B$3),"",IF(INDEX(原始資料!K$2:K$501,$BJ133)="","",INDEX(原始資料!K$2:K$501,$BJ133)))</f>
        <v/>
      </c>
      <c r="J133" s="6">
        <f>IF(OR($BJ133="",9&gt;設定!$B$3),"",IF(INDEX(原始資料!L$2:L$501,$BJ133)="","",INDEX(原始資料!L$2:L$501,$BJ133)))</f>
        <v/>
      </c>
      <c r="K133" s="6">
        <f>IF(OR($BJ133="",10&gt;設定!$B$3),"",IF(INDEX(原始資料!M$2:M$501,$BJ133)="","",INDEX(原始資料!M$2:M$501,$BJ133)))</f>
        <v/>
      </c>
      <c r="L133" s="6">
        <f>IF(OR($BJ133="",11&gt;設定!$B$3),"",IF(INDEX(原始資料!N$2:N$501,$BJ133)="","",INDEX(原始資料!N$2:N$501,$BJ133)))</f>
        <v/>
      </c>
      <c r="M133" s="6">
        <f>IF(OR($BJ133="",12&gt;設定!$B$3),"",IF(INDEX(原始資料!O$2:O$501,$BJ133)="","",INDEX(原始資料!O$2:O$501,$BJ133)))</f>
        <v/>
      </c>
      <c r="N133" s="6">
        <f>IF(OR($BJ133="",13&gt;設定!$B$3),"",IF(INDEX(原始資料!P$2:P$501,$BJ133)="","",INDEX(原始資料!P$2:P$501,$BJ133)))</f>
        <v/>
      </c>
      <c r="O133" s="6">
        <f>IF(OR($BJ133="",14&gt;設定!$B$3),"",IF(INDEX(原始資料!Q$2:Q$501,$BJ133)="","",INDEX(原始資料!Q$2:Q$501,$BJ133)))</f>
        <v/>
      </c>
      <c r="P133" s="6">
        <f>IF(OR($BJ133="",15&gt;設定!$B$3),"",IF(INDEX(原始資料!R$2:R$501,$BJ133)="","",INDEX(原始資料!R$2:R$501,$BJ133)))</f>
        <v/>
      </c>
      <c r="Q133" s="6">
        <f>IF(OR($BJ133="",16&gt;設定!$B$3),"",IF(INDEX(原始資料!S$2:S$501,$BJ133)="","",INDEX(原始資料!S$2:S$501,$BJ133)))</f>
        <v/>
      </c>
      <c r="R133" s="6">
        <f>IF(OR($BJ133="",17&gt;設定!$B$3),"",IF(INDEX(原始資料!T$2:T$501,$BJ133)="","",INDEX(原始資料!T$2:T$501,$BJ133)))</f>
        <v/>
      </c>
      <c r="S133" s="6">
        <f>IF(OR($BJ133="",18&gt;設定!$B$3),"",IF(INDEX(原始資料!U$2:U$501,$BJ133)="","",INDEX(原始資料!U$2:U$501,$BJ133)))</f>
        <v/>
      </c>
      <c r="T133" s="6">
        <f>IF(OR($BJ133="",19&gt;設定!$B$3),"",IF(INDEX(原始資料!V$2:V$501,$BJ133)="","",INDEX(原始資料!V$2:V$501,$BJ133)))</f>
        <v/>
      </c>
      <c r="U133" s="6">
        <f>IF(OR($BJ133="",20&gt;設定!$B$3),"",IF(INDEX(原始資料!W$2:W$501,$BJ133)="","",INDEX(原始資料!W$2:W$501,$BJ133)))</f>
        <v/>
      </c>
      <c r="V133" s="6">
        <f>IF(OR($BJ133="",21&gt;設定!$B$3),"",IF(INDEX(原始資料!X$2:X$501,$BJ133)="","",INDEX(原始資料!X$2:X$501,$BJ133)))</f>
        <v/>
      </c>
      <c r="W133" s="6">
        <f>IF(OR($BJ133="",22&gt;設定!$B$3),"",IF(INDEX(原始資料!Y$2:Y$501,$BJ133)="","",INDEX(原始資料!Y$2:Y$501,$BJ133)))</f>
        <v/>
      </c>
      <c r="X133" s="6">
        <f>IF(OR($BJ133="",23&gt;設定!$B$3),"",IF(INDEX(原始資料!Z$2:Z$501,$BJ133)="","",INDEX(原始資料!Z$2:Z$501,$BJ133)))</f>
        <v/>
      </c>
      <c r="Y133" s="6">
        <f>IF(OR($BJ133="",24&gt;設定!$B$3),"",IF(INDEX(原始資料!AA$2:AA$501,$BJ133)="","",INDEX(原始資料!AA$2:AA$501,$BJ133)))</f>
        <v/>
      </c>
      <c r="Z133" s="6">
        <f>IF(OR($BJ133="",25&gt;設定!$B$3),"",IF(INDEX(原始資料!AB$2:AB$501,$BJ133)="","",INDEX(原始資料!AB$2:AB$501,$BJ133)))</f>
        <v/>
      </c>
      <c r="AA133" s="6">
        <f>IF(OR($BJ133="",26&gt;設定!$B$3),"",IF(INDEX(原始資料!AC$2:AC$501,$BJ133)="","",INDEX(原始資料!AC$2:AC$501,$BJ133)))</f>
        <v/>
      </c>
      <c r="AB133" s="6">
        <f>IF(OR($BJ133="",27&gt;設定!$B$3),"",IF(INDEX(原始資料!AD$2:AD$501,$BJ133)="","",INDEX(原始資料!AD$2:AD$501,$BJ133)))</f>
        <v/>
      </c>
      <c r="AC133" s="6">
        <f>IF(OR($BJ133="",28&gt;設定!$B$3),"",IF(INDEX(原始資料!AE$2:AE$501,$BJ133)="","",INDEX(原始資料!AE$2:AE$501,$BJ133)))</f>
        <v/>
      </c>
      <c r="AD133" s="6">
        <f>IF(OR($BJ133="",29&gt;設定!$B$3),"",IF(INDEX(原始資料!AF$2:AF$501,$BJ133)="","",INDEX(原始資料!AF$2:AF$501,$BJ133)))</f>
        <v/>
      </c>
      <c r="AE133" s="6">
        <f>IF(OR($BJ133="",30&gt;設定!$B$3),"",IF(INDEX(原始資料!AG$2:AG$501,$BJ133)="","",INDEX(原始資料!AG$2:AG$501,$BJ133)))</f>
        <v/>
      </c>
      <c r="AF133" s="6">
        <f>IF(OR($BJ133="",31&gt;設定!$B$3),"",IF(INDEX(原始資料!AH$2:AH$501,$BJ133)="","",INDEX(原始資料!AH$2:AH$501,$BJ133)))</f>
        <v/>
      </c>
      <c r="AG133" s="6">
        <f>IF(OR($BJ133="",32&gt;設定!$B$3),"",IF(INDEX(原始資料!AI$2:AI$501,$BJ133)="","",INDEX(原始資料!AI$2:AI$501,$BJ133)))</f>
        <v/>
      </c>
      <c r="AH133" s="6">
        <f>IF(OR($BJ133="",33&gt;設定!$B$3),"",IF(INDEX(原始資料!AJ$2:AJ$501,$BJ133)="","",INDEX(原始資料!AJ$2:AJ$501,$BJ133)))</f>
        <v/>
      </c>
      <c r="AI133" s="6">
        <f>IF(OR($BJ133="",34&gt;設定!$B$3),"",IF(INDEX(原始資料!AK$2:AK$501,$BJ133)="","",INDEX(原始資料!AK$2:AK$501,$BJ133)))</f>
        <v/>
      </c>
      <c r="AJ133" s="6">
        <f>IF(OR($BJ133="",35&gt;設定!$B$3),"",IF(INDEX(原始資料!AL$2:AL$501,$BJ133)="","",INDEX(原始資料!AL$2:AL$501,$BJ133)))</f>
        <v/>
      </c>
      <c r="AK133" s="6">
        <f>IF(OR($BJ133="",36&gt;設定!$B$3),"",IF(INDEX(原始資料!AM$2:AM$501,$BJ133)="","",INDEX(原始資料!AM$2:AM$501,$BJ133)))</f>
        <v/>
      </c>
      <c r="AL133" s="6">
        <f>IF(OR($BJ133="",37&gt;設定!$B$3),"",IF(INDEX(原始資料!AN$2:AN$501,$BJ133)="","",INDEX(原始資料!AN$2:AN$501,$BJ133)))</f>
        <v/>
      </c>
      <c r="AM133" s="6">
        <f>IF(OR($BJ133="",38&gt;設定!$B$3),"",IF(INDEX(原始資料!AO$2:AO$501,$BJ133)="","",INDEX(原始資料!AO$2:AO$501,$BJ133)))</f>
        <v/>
      </c>
      <c r="AN133" s="6">
        <f>IF(OR($BJ133="",39&gt;設定!$B$3),"",IF(INDEX(原始資料!AP$2:AP$501,$BJ133)="","",INDEX(原始資料!AP$2:AP$501,$BJ133)))</f>
        <v/>
      </c>
      <c r="AO133" s="6">
        <f>IF(OR($BJ133="",40&gt;設定!$B$3),"",IF(INDEX(原始資料!AQ$2:AQ$501,$BJ133)="","",INDEX(原始資料!AQ$2:AQ$501,$BJ133)))</f>
        <v/>
      </c>
      <c r="AP133" s="6">
        <f>IF(OR($BJ133="",41&gt;設定!$B$3),"",IF(INDEX(原始資料!AR$2:AR$501,$BJ133)="","",INDEX(原始資料!AR$2:AR$501,$BJ133)))</f>
        <v/>
      </c>
      <c r="AQ133" s="6">
        <f>IF(OR($BJ133="",42&gt;設定!$B$3),"",IF(INDEX(原始資料!AS$2:AS$501,$BJ133)="","",INDEX(原始資料!AS$2:AS$501,$BJ133)))</f>
        <v/>
      </c>
      <c r="AR133" s="6">
        <f>IF(OR($BJ133="",43&gt;設定!$B$3),"",IF(INDEX(原始資料!AT$2:AT$501,$BJ133)="","",INDEX(原始資料!AT$2:AT$501,$BJ133)))</f>
        <v/>
      </c>
      <c r="AS133" s="6">
        <f>IF(OR($BJ133="",44&gt;設定!$B$3),"",IF(INDEX(原始資料!AU$2:AU$501,$BJ133)="","",INDEX(原始資料!AU$2:AU$501,$BJ133)))</f>
        <v/>
      </c>
      <c r="AT133" s="6">
        <f>IF(OR($BJ133="",45&gt;設定!$B$3),"",IF(INDEX(原始資料!AV$2:AV$501,$BJ133)="","",INDEX(原始資料!AV$2:AV$501,$BJ133)))</f>
        <v/>
      </c>
      <c r="AU133" s="6">
        <f>IF(OR($BJ133="",46&gt;設定!$B$3),"",IF(INDEX(原始資料!AW$2:AW$501,$BJ133)="","",INDEX(原始資料!AW$2:AW$501,$BJ133)))</f>
        <v/>
      </c>
      <c r="AV133" s="6">
        <f>IF(OR($BJ133="",47&gt;設定!$B$3),"",IF(INDEX(原始資料!AX$2:AX$501,$BJ133)="","",INDEX(原始資料!AX$2:AX$501,$BJ133)))</f>
        <v/>
      </c>
      <c r="AW133" s="6">
        <f>IF(OR($BJ133="",48&gt;設定!$B$3),"",IF(INDEX(原始資料!AY$2:AY$501,$BJ133)="","",INDEX(原始資料!AY$2:AY$501,$BJ133)))</f>
        <v/>
      </c>
      <c r="AX133" s="6">
        <f>IF(OR($BJ133="",49&gt;設定!$B$3),"",IF(INDEX(原始資料!AZ$2:AZ$501,$BJ133)="","",INDEX(原始資料!AZ$2:AZ$501,$BJ133)))</f>
        <v/>
      </c>
      <c r="AY133" s="6">
        <f>IF(OR($BJ133="",50&gt;設定!$B$3),"",IF(INDEX(原始資料!BA$2:BA$501,$BJ133)="","",INDEX(原始資料!BA$2:BA$501,$BJ133)))</f>
        <v/>
      </c>
      <c r="AZ133" s="6">
        <f>IF(OR($BJ133="",51&gt;設定!$B$3),"",IF(INDEX(原始資料!BB$2:BB$501,$BJ133)="","",INDEX(原始資料!BB$2:BB$501,$BJ133)))</f>
        <v/>
      </c>
      <c r="BA133" s="6">
        <f>IF(OR($BJ133="",52&gt;設定!$B$3),"",IF(INDEX(原始資料!BC$2:BC$501,$BJ133)="","",INDEX(原始資料!BC$2:BC$501,$BJ133)))</f>
        <v/>
      </c>
      <c r="BB133" s="6">
        <f>IF(OR($BJ133="",53&gt;設定!$B$3),"",IF(INDEX(原始資料!BD$2:BD$501,$BJ133)="","",INDEX(原始資料!BD$2:BD$501,$BJ133)))</f>
        <v/>
      </c>
      <c r="BC133" s="6">
        <f>IF(OR($BJ133="",54&gt;設定!$B$3),"",IF(INDEX(原始資料!BE$2:BE$501,$BJ133)="","",INDEX(原始資料!BE$2:BE$501,$BJ133)))</f>
        <v/>
      </c>
      <c r="BD133" s="6">
        <f>IF(OR($BJ133="",55&gt;設定!$B$3),"",IF(INDEX(原始資料!BF$2:BF$501,$BJ133)="","",INDEX(原始資料!BF$2:BF$501,$BJ133)))</f>
        <v/>
      </c>
      <c r="BE133" s="6">
        <f>IF(OR($BJ133="",56&gt;設定!$B$3),"",IF(INDEX(原始資料!BG$2:BG$501,$BJ133)="","",INDEX(原始資料!BG$2:BG$501,$BJ133)))</f>
        <v/>
      </c>
      <c r="BF133" s="6">
        <f>IF(OR($BJ133="",57&gt;設定!$B$3),"",IF(INDEX(原始資料!BH$2:BH$501,$BJ133)="","",INDEX(原始資料!BH$2:BH$501,$BJ133)))</f>
        <v/>
      </c>
      <c r="BG133" s="6">
        <f>IF(OR($BJ133="",58&gt;設定!$B$3),"",IF(INDEX(原始資料!BI$2:BI$501,$BJ133)="","",INDEX(原始資料!BI$2:BI$501,$BJ133)))</f>
        <v/>
      </c>
      <c r="BH133" s="6">
        <f>IF(OR($BJ133="",59&gt;設定!$B$3),"",IF(INDEX(原始資料!BJ$2:BJ$501,$BJ133)="","",INDEX(原始資料!BJ$2:BJ$501,$BJ133)))</f>
        <v/>
      </c>
      <c r="BI133" s="6">
        <f>IF(OR($BJ133="",60&gt;設定!$B$3),"",IF(INDEX(原始資料!BK$2:BK$501,$BJ133)="","",INDEX(原始資料!BK$2:BK$501,$BJ133)))</f>
        <v/>
      </c>
      <c r="BJ133" s="6">
        <f>IFERROR(MATCH(ROW()-1,判定!$H$2:$H$501,0),"")</f>
        <v/>
      </c>
    </row>
    <row r="134">
      <c r="A134" s="6">
        <f>IF($BJ134="","",INDEX(原始資料!$A$2:$A$501,$BJ134))</f>
        <v/>
      </c>
      <c r="B134" s="6">
        <f>IF(OR($BJ134="",1&gt;設定!$B$3),"",IF(INDEX(原始資料!D$2:D$501,$BJ134)="","",INDEX(原始資料!D$2:D$501,$BJ134)))</f>
        <v/>
      </c>
      <c r="C134" s="6">
        <f>IF(OR($BJ134="",2&gt;設定!$B$3),"",IF(INDEX(原始資料!E$2:E$501,$BJ134)="","",INDEX(原始資料!E$2:E$501,$BJ134)))</f>
        <v/>
      </c>
      <c r="D134" s="6">
        <f>IF(OR($BJ134="",3&gt;設定!$B$3),"",IF(INDEX(原始資料!F$2:F$501,$BJ134)="","",INDEX(原始資料!F$2:F$501,$BJ134)))</f>
        <v/>
      </c>
      <c r="E134" s="6">
        <f>IF(OR($BJ134="",4&gt;設定!$B$3),"",IF(INDEX(原始資料!G$2:G$501,$BJ134)="","",INDEX(原始資料!G$2:G$501,$BJ134)))</f>
        <v/>
      </c>
      <c r="F134" s="6">
        <f>IF(OR($BJ134="",5&gt;設定!$B$3),"",IF(INDEX(原始資料!H$2:H$501,$BJ134)="","",INDEX(原始資料!H$2:H$501,$BJ134)))</f>
        <v/>
      </c>
      <c r="G134" s="6">
        <f>IF(OR($BJ134="",6&gt;設定!$B$3),"",IF(INDEX(原始資料!I$2:I$501,$BJ134)="","",INDEX(原始資料!I$2:I$501,$BJ134)))</f>
        <v/>
      </c>
      <c r="H134" s="6">
        <f>IF(OR($BJ134="",7&gt;設定!$B$3),"",IF(INDEX(原始資料!J$2:J$501,$BJ134)="","",INDEX(原始資料!J$2:J$501,$BJ134)))</f>
        <v/>
      </c>
      <c r="I134" s="6">
        <f>IF(OR($BJ134="",8&gt;設定!$B$3),"",IF(INDEX(原始資料!K$2:K$501,$BJ134)="","",INDEX(原始資料!K$2:K$501,$BJ134)))</f>
        <v/>
      </c>
      <c r="J134" s="6">
        <f>IF(OR($BJ134="",9&gt;設定!$B$3),"",IF(INDEX(原始資料!L$2:L$501,$BJ134)="","",INDEX(原始資料!L$2:L$501,$BJ134)))</f>
        <v/>
      </c>
      <c r="K134" s="6">
        <f>IF(OR($BJ134="",10&gt;設定!$B$3),"",IF(INDEX(原始資料!M$2:M$501,$BJ134)="","",INDEX(原始資料!M$2:M$501,$BJ134)))</f>
        <v/>
      </c>
      <c r="L134" s="6">
        <f>IF(OR($BJ134="",11&gt;設定!$B$3),"",IF(INDEX(原始資料!N$2:N$501,$BJ134)="","",INDEX(原始資料!N$2:N$501,$BJ134)))</f>
        <v/>
      </c>
      <c r="M134" s="6">
        <f>IF(OR($BJ134="",12&gt;設定!$B$3),"",IF(INDEX(原始資料!O$2:O$501,$BJ134)="","",INDEX(原始資料!O$2:O$501,$BJ134)))</f>
        <v/>
      </c>
      <c r="N134" s="6">
        <f>IF(OR($BJ134="",13&gt;設定!$B$3),"",IF(INDEX(原始資料!P$2:P$501,$BJ134)="","",INDEX(原始資料!P$2:P$501,$BJ134)))</f>
        <v/>
      </c>
      <c r="O134" s="6">
        <f>IF(OR($BJ134="",14&gt;設定!$B$3),"",IF(INDEX(原始資料!Q$2:Q$501,$BJ134)="","",INDEX(原始資料!Q$2:Q$501,$BJ134)))</f>
        <v/>
      </c>
      <c r="P134" s="6">
        <f>IF(OR($BJ134="",15&gt;設定!$B$3),"",IF(INDEX(原始資料!R$2:R$501,$BJ134)="","",INDEX(原始資料!R$2:R$501,$BJ134)))</f>
        <v/>
      </c>
      <c r="Q134" s="6">
        <f>IF(OR($BJ134="",16&gt;設定!$B$3),"",IF(INDEX(原始資料!S$2:S$501,$BJ134)="","",INDEX(原始資料!S$2:S$501,$BJ134)))</f>
        <v/>
      </c>
      <c r="R134" s="6">
        <f>IF(OR($BJ134="",17&gt;設定!$B$3),"",IF(INDEX(原始資料!T$2:T$501,$BJ134)="","",INDEX(原始資料!T$2:T$501,$BJ134)))</f>
        <v/>
      </c>
      <c r="S134" s="6">
        <f>IF(OR($BJ134="",18&gt;設定!$B$3),"",IF(INDEX(原始資料!U$2:U$501,$BJ134)="","",INDEX(原始資料!U$2:U$501,$BJ134)))</f>
        <v/>
      </c>
      <c r="T134" s="6">
        <f>IF(OR($BJ134="",19&gt;設定!$B$3),"",IF(INDEX(原始資料!V$2:V$501,$BJ134)="","",INDEX(原始資料!V$2:V$501,$BJ134)))</f>
        <v/>
      </c>
      <c r="U134" s="6">
        <f>IF(OR($BJ134="",20&gt;設定!$B$3),"",IF(INDEX(原始資料!W$2:W$501,$BJ134)="","",INDEX(原始資料!W$2:W$501,$BJ134)))</f>
        <v/>
      </c>
      <c r="V134" s="6">
        <f>IF(OR($BJ134="",21&gt;設定!$B$3),"",IF(INDEX(原始資料!X$2:X$501,$BJ134)="","",INDEX(原始資料!X$2:X$501,$BJ134)))</f>
        <v/>
      </c>
      <c r="W134" s="6">
        <f>IF(OR($BJ134="",22&gt;設定!$B$3),"",IF(INDEX(原始資料!Y$2:Y$501,$BJ134)="","",INDEX(原始資料!Y$2:Y$501,$BJ134)))</f>
        <v/>
      </c>
      <c r="X134" s="6">
        <f>IF(OR($BJ134="",23&gt;設定!$B$3),"",IF(INDEX(原始資料!Z$2:Z$501,$BJ134)="","",INDEX(原始資料!Z$2:Z$501,$BJ134)))</f>
        <v/>
      </c>
      <c r="Y134" s="6">
        <f>IF(OR($BJ134="",24&gt;設定!$B$3),"",IF(INDEX(原始資料!AA$2:AA$501,$BJ134)="","",INDEX(原始資料!AA$2:AA$501,$BJ134)))</f>
        <v/>
      </c>
      <c r="Z134" s="6">
        <f>IF(OR($BJ134="",25&gt;設定!$B$3),"",IF(INDEX(原始資料!AB$2:AB$501,$BJ134)="","",INDEX(原始資料!AB$2:AB$501,$BJ134)))</f>
        <v/>
      </c>
      <c r="AA134" s="6">
        <f>IF(OR($BJ134="",26&gt;設定!$B$3),"",IF(INDEX(原始資料!AC$2:AC$501,$BJ134)="","",INDEX(原始資料!AC$2:AC$501,$BJ134)))</f>
        <v/>
      </c>
      <c r="AB134" s="6">
        <f>IF(OR($BJ134="",27&gt;設定!$B$3),"",IF(INDEX(原始資料!AD$2:AD$501,$BJ134)="","",INDEX(原始資料!AD$2:AD$501,$BJ134)))</f>
        <v/>
      </c>
      <c r="AC134" s="6">
        <f>IF(OR($BJ134="",28&gt;設定!$B$3),"",IF(INDEX(原始資料!AE$2:AE$501,$BJ134)="","",INDEX(原始資料!AE$2:AE$501,$BJ134)))</f>
        <v/>
      </c>
      <c r="AD134" s="6">
        <f>IF(OR($BJ134="",29&gt;設定!$B$3),"",IF(INDEX(原始資料!AF$2:AF$501,$BJ134)="","",INDEX(原始資料!AF$2:AF$501,$BJ134)))</f>
        <v/>
      </c>
      <c r="AE134" s="6">
        <f>IF(OR($BJ134="",30&gt;設定!$B$3),"",IF(INDEX(原始資料!AG$2:AG$501,$BJ134)="","",INDEX(原始資料!AG$2:AG$501,$BJ134)))</f>
        <v/>
      </c>
      <c r="AF134" s="6">
        <f>IF(OR($BJ134="",31&gt;設定!$B$3),"",IF(INDEX(原始資料!AH$2:AH$501,$BJ134)="","",INDEX(原始資料!AH$2:AH$501,$BJ134)))</f>
        <v/>
      </c>
      <c r="AG134" s="6">
        <f>IF(OR($BJ134="",32&gt;設定!$B$3),"",IF(INDEX(原始資料!AI$2:AI$501,$BJ134)="","",INDEX(原始資料!AI$2:AI$501,$BJ134)))</f>
        <v/>
      </c>
      <c r="AH134" s="6">
        <f>IF(OR($BJ134="",33&gt;設定!$B$3),"",IF(INDEX(原始資料!AJ$2:AJ$501,$BJ134)="","",INDEX(原始資料!AJ$2:AJ$501,$BJ134)))</f>
        <v/>
      </c>
      <c r="AI134" s="6">
        <f>IF(OR($BJ134="",34&gt;設定!$B$3),"",IF(INDEX(原始資料!AK$2:AK$501,$BJ134)="","",INDEX(原始資料!AK$2:AK$501,$BJ134)))</f>
        <v/>
      </c>
      <c r="AJ134" s="6">
        <f>IF(OR($BJ134="",35&gt;設定!$B$3),"",IF(INDEX(原始資料!AL$2:AL$501,$BJ134)="","",INDEX(原始資料!AL$2:AL$501,$BJ134)))</f>
        <v/>
      </c>
      <c r="AK134" s="6">
        <f>IF(OR($BJ134="",36&gt;設定!$B$3),"",IF(INDEX(原始資料!AM$2:AM$501,$BJ134)="","",INDEX(原始資料!AM$2:AM$501,$BJ134)))</f>
        <v/>
      </c>
      <c r="AL134" s="6">
        <f>IF(OR($BJ134="",37&gt;設定!$B$3),"",IF(INDEX(原始資料!AN$2:AN$501,$BJ134)="","",INDEX(原始資料!AN$2:AN$501,$BJ134)))</f>
        <v/>
      </c>
      <c r="AM134" s="6">
        <f>IF(OR($BJ134="",38&gt;設定!$B$3),"",IF(INDEX(原始資料!AO$2:AO$501,$BJ134)="","",INDEX(原始資料!AO$2:AO$501,$BJ134)))</f>
        <v/>
      </c>
      <c r="AN134" s="6">
        <f>IF(OR($BJ134="",39&gt;設定!$B$3),"",IF(INDEX(原始資料!AP$2:AP$501,$BJ134)="","",INDEX(原始資料!AP$2:AP$501,$BJ134)))</f>
        <v/>
      </c>
      <c r="AO134" s="6">
        <f>IF(OR($BJ134="",40&gt;設定!$B$3),"",IF(INDEX(原始資料!AQ$2:AQ$501,$BJ134)="","",INDEX(原始資料!AQ$2:AQ$501,$BJ134)))</f>
        <v/>
      </c>
      <c r="AP134" s="6">
        <f>IF(OR($BJ134="",41&gt;設定!$B$3),"",IF(INDEX(原始資料!AR$2:AR$501,$BJ134)="","",INDEX(原始資料!AR$2:AR$501,$BJ134)))</f>
        <v/>
      </c>
      <c r="AQ134" s="6">
        <f>IF(OR($BJ134="",42&gt;設定!$B$3),"",IF(INDEX(原始資料!AS$2:AS$501,$BJ134)="","",INDEX(原始資料!AS$2:AS$501,$BJ134)))</f>
        <v/>
      </c>
      <c r="AR134" s="6">
        <f>IF(OR($BJ134="",43&gt;設定!$B$3),"",IF(INDEX(原始資料!AT$2:AT$501,$BJ134)="","",INDEX(原始資料!AT$2:AT$501,$BJ134)))</f>
        <v/>
      </c>
      <c r="AS134" s="6">
        <f>IF(OR($BJ134="",44&gt;設定!$B$3),"",IF(INDEX(原始資料!AU$2:AU$501,$BJ134)="","",INDEX(原始資料!AU$2:AU$501,$BJ134)))</f>
        <v/>
      </c>
      <c r="AT134" s="6">
        <f>IF(OR($BJ134="",45&gt;設定!$B$3),"",IF(INDEX(原始資料!AV$2:AV$501,$BJ134)="","",INDEX(原始資料!AV$2:AV$501,$BJ134)))</f>
        <v/>
      </c>
      <c r="AU134" s="6">
        <f>IF(OR($BJ134="",46&gt;設定!$B$3),"",IF(INDEX(原始資料!AW$2:AW$501,$BJ134)="","",INDEX(原始資料!AW$2:AW$501,$BJ134)))</f>
        <v/>
      </c>
      <c r="AV134" s="6">
        <f>IF(OR($BJ134="",47&gt;設定!$B$3),"",IF(INDEX(原始資料!AX$2:AX$501,$BJ134)="","",INDEX(原始資料!AX$2:AX$501,$BJ134)))</f>
        <v/>
      </c>
      <c r="AW134" s="6">
        <f>IF(OR($BJ134="",48&gt;設定!$B$3),"",IF(INDEX(原始資料!AY$2:AY$501,$BJ134)="","",INDEX(原始資料!AY$2:AY$501,$BJ134)))</f>
        <v/>
      </c>
      <c r="AX134" s="6">
        <f>IF(OR($BJ134="",49&gt;設定!$B$3),"",IF(INDEX(原始資料!AZ$2:AZ$501,$BJ134)="","",INDEX(原始資料!AZ$2:AZ$501,$BJ134)))</f>
        <v/>
      </c>
      <c r="AY134" s="6">
        <f>IF(OR($BJ134="",50&gt;設定!$B$3),"",IF(INDEX(原始資料!BA$2:BA$501,$BJ134)="","",INDEX(原始資料!BA$2:BA$501,$BJ134)))</f>
        <v/>
      </c>
      <c r="AZ134" s="6">
        <f>IF(OR($BJ134="",51&gt;設定!$B$3),"",IF(INDEX(原始資料!BB$2:BB$501,$BJ134)="","",INDEX(原始資料!BB$2:BB$501,$BJ134)))</f>
        <v/>
      </c>
      <c r="BA134" s="6">
        <f>IF(OR($BJ134="",52&gt;設定!$B$3),"",IF(INDEX(原始資料!BC$2:BC$501,$BJ134)="","",INDEX(原始資料!BC$2:BC$501,$BJ134)))</f>
        <v/>
      </c>
      <c r="BB134" s="6">
        <f>IF(OR($BJ134="",53&gt;設定!$B$3),"",IF(INDEX(原始資料!BD$2:BD$501,$BJ134)="","",INDEX(原始資料!BD$2:BD$501,$BJ134)))</f>
        <v/>
      </c>
      <c r="BC134" s="6">
        <f>IF(OR($BJ134="",54&gt;設定!$B$3),"",IF(INDEX(原始資料!BE$2:BE$501,$BJ134)="","",INDEX(原始資料!BE$2:BE$501,$BJ134)))</f>
        <v/>
      </c>
      <c r="BD134" s="6">
        <f>IF(OR($BJ134="",55&gt;設定!$B$3),"",IF(INDEX(原始資料!BF$2:BF$501,$BJ134)="","",INDEX(原始資料!BF$2:BF$501,$BJ134)))</f>
        <v/>
      </c>
      <c r="BE134" s="6">
        <f>IF(OR($BJ134="",56&gt;設定!$B$3),"",IF(INDEX(原始資料!BG$2:BG$501,$BJ134)="","",INDEX(原始資料!BG$2:BG$501,$BJ134)))</f>
        <v/>
      </c>
      <c r="BF134" s="6">
        <f>IF(OR($BJ134="",57&gt;設定!$B$3),"",IF(INDEX(原始資料!BH$2:BH$501,$BJ134)="","",INDEX(原始資料!BH$2:BH$501,$BJ134)))</f>
        <v/>
      </c>
      <c r="BG134" s="6">
        <f>IF(OR($BJ134="",58&gt;設定!$B$3),"",IF(INDEX(原始資料!BI$2:BI$501,$BJ134)="","",INDEX(原始資料!BI$2:BI$501,$BJ134)))</f>
        <v/>
      </c>
      <c r="BH134" s="6">
        <f>IF(OR($BJ134="",59&gt;設定!$B$3),"",IF(INDEX(原始資料!BJ$2:BJ$501,$BJ134)="","",INDEX(原始資料!BJ$2:BJ$501,$BJ134)))</f>
        <v/>
      </c>
      <c r="BI134" s="6">
        <f>IF(OR($BJ134="",60&gt;設定!$B$3),"",IF(INDEX(原始資料!BK$2:BK$501,$BJ134)="","",INDEX(原始資料!BK$2:BK$501,$BJ134)))</f>
        <v/>
      </c>
      <c r="BJ134" s="6">
        <f>IFERROR(MATCH(ROW()-1,判定!$H$2:$H$501,0),"")</f>
        <v/>
      </c>
    </row>
    <row r="135">
      <c r="A135" s="6">
        <f>IF($BJ135="","",INDEX(原始資料!$A$2:$A$501,$BJ135))</f>
        <v/>
      </c>
      <c r="B135" s="6">
        <f>IF(OR($BJ135="",1&gt;設定!$B$3),"",IF(INDEX(原始資料!D$2:D$501,$BJ135)="","",INDEX(原始資料!D$2:D$501,$BJ135)))</f>
        <v/>
      </c>
      <c r="C135" s="6">
        <f>IF(OR($BJ135="",2&gt;設定!$B$3),"",IF(INDEX(原始資料!E$2:E$501,$BJ135)="","",INDEX(原始資料!E$2:E$501,$BJ135)))</f>
        <v/>
      </c>
      <c r="D135" s="6">
        <f>IF(OR($BJ135="",3&gt;設定!$B$3),"",IF(INDEX(原始資料!F$2:F$501,$BJ135)="","",INDEX(原始資料!F$2:F$501,$BJ135)))</f>
        <v/>
      </c>
      <c r="E135" s="6">
        <f>IF(OR($BJ135="",4&gt;設定!$B$3),"",IF(INDEX(原始資料!G$2:G$501,$BJ135)="","",INDEX(原始資料!G$2:G$501,$BJ135)))</f>
        <v/>
      </c>
      <c r="F135" s="6">
        <f>IF(OR($BJ135="",5&gt;設定!$B$3),"",IF(INDEX(原始資料!H$2:H$501,$BJ135)="","",INDEX(原始資料!H$2:H$501,$BJ135)))</f>
        <v/>
      </c>
      <c r="G135" s="6">
        <f>IF(OR($BJ135="",6&gt;設定!$B$3),"",IF(INDEX(原始資料!I$2:I$501,$BJ135)="","",INDEX(原始資料!I$2:I$501,$BJ135)))</f>
        <v/>
      </c>
      <c r="H135" s="6">
        <f>IF(OR($BJ135="",7&gt;設定!$B$3),"",IF(INDEX(原始資料!J$2:J$501,$BJ135)="","",INDEX(原始資料!J$2:J$501,$BJ135)))</f>
        <v/>
      </c>
      <c r="I135" s="6">
        <f>IF(OR($BJ135="",8&gt;設定!$B$3),"",IF(INDEX(原始資料!K$2:K$501,$BJ135)="","",INDEX(原始資料!K$2:K$501,$BJ135)))</f>
        <v/>
      </c>
      <c r="J135" s="6">
        <f>IF(OR($BJ135="",9&gt;設定!$B$3),"",IF(INDEX(原始資料!L$2:L$501,$BJ135)="","",INDEX(原始資料!L$2:L$501,$BJ135)))</f>
        <v/>
      </c>
      <c r="K135" s="6">
        <f>IF(OR($BJ135="",10&gt;設定!$B$3),"",IF(INDEX(原始資料!M$2:M$501,$BJ135)="","",INDEX(原始資料!M$2:M$501,$BJ135)))</f>
        <v/>
      </c>
      <c r="L135" s="6">
        <f>IF(OR($BJ135="",11&gt;設定!$B$3),"",IF(INDEX(原始資料!N$2:N$501,$BJ135)="","",INDEX(原始資料!N$2:N$501,$BJ135)))</f>
        <v/>
      </c>
      <c r="M135" s="6">
        <f>IF(OR($BJ135="",12&gt;設定!$B$3),"",IF(INDEX(原始資料!O$2:O$501,$BJ135)="","",INDEX(原始資料!O$2:O$501,$BJ135)))</f>
        <v/>
      </c>
      <c r="N135" s="6">
        <f>IF(OR($BJ135="",13&gt;設定!$B$3),"",IF(INDEX(原始資料!P$2:P$501,$BJ135)="","",INDEX(原始資料!P$2:P$501,$BJ135)))</f>
        <v/>
      </c>
      <c r="O135" s="6">
        <f>IF(OR($BJ135="",14&gt;設定!$B$3),"",IF(INDEX(原始資料!Q$2:Q$501,$BJ135)="","",INDEX(原始資料!Q$2:Q$501,$BJ135)))</f>
        <v/>
      </c>
      <c r="P135" s="6">
        <f>IF(OR($BJ135="",15&gt;設定!$B$3),"",IF(INDEX(原始資料!R$2:R$501,$BJ135)="","",INDEX(原始資料!R$2:R$501,$BJ135)))</f>
        <v/>
      </c>
      <c r="Q135" s="6">
        <f>IF(OR($BJ135="",16&gt;設定!$B$3),"",IF(INDEX(原始資料!S$2:S$501,$BJ135)="","",INDEX(原始資料!S$2:S$501,$BJ135)))</f>
        <v/>
      </c>
      <c r="R135" s="6">
        <f>IF(OR($BJ135="",17&gt;設定!$B$3),"",IF(INDEX(原始資料!T$2:T$501,$BJ135)="","",INDEX(原始資料!T$2:T$501,$BJ135)))</f>
        <v/>
      </c>
      <c r="S135" s="6">
        <f>IF(OR($BJ135="",18&gt;設定!$B$3),"",IF(INDEX(原始資料!U$2:U$501,$BJ135)="","",INDEX(原始資料!U$2:U$501,$BJ135)))</f>
        <v/>
      </c>
      <c r="T135" s="6">
        <f>IF(OR($BJ135="",19&gt;設定!$B$3),"",IF(INDEX(原始資料!V$2:V$501,$BJ135)="","",INDEX(原始資料!V$2:V$501,$BJ135)))</f>
        <v/>
      </c>
      <c r="U135" s="6">
        <f>IF(OR($BJ135="",20&gt;設定!$B$3),"",IF(INDEX(原始資料!W$2:W$501,$BJ135)="","",INDEX(原始資料!W$2:W$501,$BJ135)))</f>
        <v/>
      </c>
      <c r="V135" s="6">
        <f>IF(OR($BJ135="",21&gt;設定!$B$3),"",IF(INDEX(原始資料!X$2:X$501,$BJ135)="","",INDEX(原始資料!X$2:X$501,$BJ135)))</f>
        <v/>
      </c>
      <c r="W135" s="6">
        <f>IF(OR($BJ135="",22&gt;設定!$B$3),"",IF(INDEX(原始資料!Y$2:Y$501,$BJ135)="","",INDEX(原始資料!Y$2:Y$501,$BJ135)))</f>
        <v/>
      </c>
      <c r="X135" s="6">
        <f>IF(OR($BJ135="",23&gt;設定!$B$3),"",IF(INDEX(原始資料!Z$2:Z$501,$BJ135)="","",INDEX(原始資料!Z$2:Z$501,$BJ135)))</f>
        <v/>
      </c>
      <c r="Y135" s="6">
        <f>IF(OR($BJ135="",24&gt;設定!$B$3),"",IF(INDEX(原始資料!AA$2:AA$501,$BJ135)="","",INDEX(原始資料!AA$2:AA$501,$BJ135)))</f>
        <v/>
      </c>
      <c r="Z135" s="6">
        <f>IF(OR($BJ135="",25&gt;設定!$B$3),"",IF(INDEX(原始資料!AB$2:AB$501,$BJ135)="","",INDEX(原始資料!AB$2:AB$501,$BJ135)))</f>
        <v/>
      </c>
      <c r="AA135" s="6">
        <f>IF(OR($BJ135="",26&gt;設定!$B$3),"",IF(INDEX(原始資料!AC$2:AC$501,$BJ135)="","",INDEX(原始資料!AC$2:AC$501,$BJ135)))</f>
        <v/>
      </c>
      <c r="AB135" s="6">
        <f>IF(OR($BJ135="",27&gt;設定!$B$3),"",IF(INDEX(原始資料!AD$2:AD$501,$BJ135)="","",INDEX(原始資料!AD$2:AD$501,$BJ135)))</f>
        <v/>
      </c>
      <c r="AC135" s="6">
        <f>IF(OR($BJ135="",28&gt;設定!$B$3),"",IF(INDEX(原始資料!AE$2:AE$501,$BJ135)="","",INDEX(原始資料!AE$2:AE$501,$BJ135)))</f>
        <v/>
      </c>
      <c r="AD135" s="6">
        <f>IF(OR($BJ135="",29&gt;設定!$B$3),"",IF(INDEX(原始資料!AF$2:AF$501,$BJ135)="","",INDEX(原始資料!AF$2:AF$501,$BJ135)))</f>
        <v/>
      </c>
      <c r="AE135" s="6">
        <f>IF(OR($BJ135="",30&gt;設定!$B$3),"",IF(INDEX(原始資料!AG$2:AG$501,$BJ135)="","",INDEX(原始資料!AG$2:AG$501,$BJ135)))</f>
        <v/>
      </c>
      <c r="AF135" s="6">
        <f>IF(OR($BJ135="",31&gt;設定!$B$3),"",IF(INDEX(原始資料!AH$2:AH$501,$BJ135)="","",INDEX(原始資料!AH$2:AH$501,$BJ135)))</f>
        <v/>
      </c>
      <c r="AG135" s="6">
        <f>IF(OR($BJ135="",32&gt;設定!$B$3),"",IF(INDEX(原始資料!AI$2:AI$501,$BJ135)="","",INDEX(原始資料!AI$2:AI$501,$BJ135)))</f>
        <v/>
      </c>
      <c r="AH135" s="6">
        <f>IF(OR($BJ135="",33&gt;設定!$B$3),"",IF(INDEX(原始資料!AJ$2:AJ$501,$BJ135)="","",INDEX(原始資料!AJ$2:AJ$501,$BJ135)))</f>
        <v/>
      </c>
      <c r="AI135" s="6">
        <f>IF(OR($BJ135="",34&gt;設定!$B$3),"",IF(INDEX(原始資料!AK$2:AK$501,$BJ135)="","",INDEX(原始資料!AK$2:AK$501,$BJ135)))</f>
        <v/>
      </c>
      <c r="AJ135" s="6">
        <f>IF(OR($BJ135="",35&gt;設定!$B$3),"",IF(INDEX(原始資料!AL$2:AL$501,$BJ135)="","",INDEX(原始資料!AL$2:AL$501,$BJ135)))</f>
        <v/>
      </c>
      <c r="AK135" s="6">
        <f>IF(OR($BJ135="",36&gt;設定!$B$3),"",IF(INDEX(原始資料!AM$2:AM$501,$BJ135)="","",INDEX(原始資料!AM$2:AM$501,$BJ135)))</f>
        <v/>
      </c>
      <c r="AL135" s="6">
        <f>IF(OR($BJ135="",37&gt;設定!$B$3),"",IF(INDEX(原始資料!AN$2:AN$501,$BJ135)="","",INDEX(原始資料!AN$2:AN$501,$BJ135)))</f>
        <v/>
      </c>
      <c r="AM135" s="6">
        <f>IF(OR($BJ135="",38&gt;設定!$B$3),"",IF(INDEX(原始資料!AO$2:AO$501,$BJ135)="","",INDEX(原始資料!AO$2:AO$501,$BJ135)))</f>
        <v/>
      </c>
      <c r="AN135" s="6">
        <f>IF(OR($BJ135="",39&gt;設定!$B$3),"",IF(INDEX(原始資料!AP$2:AP$501,$BJ135)="","",INDEX(原始資料!AP$2:AP$501,$BJ135)))</f>
        <v/>
      </c>
      <c r="AO135" s="6">
        <f>IF(OR($BJ135="",40&gt;設定!$B$3),"",IF(INDEX(原始資料!AQ$2:AQ$501,$BJ135)="","",INDEX(原始資料!AQ$2:AQ$501,$BJ135)))</f>
        <v/>
      </c>
      <c r="AP135" s="6">
        <f>IF(OR($BJ135="",41&gt;設定!$B$3),"",IF(INDEX(原始資料!AR$2:AR$501,$BJ135)="","",INDEX(原始資料!AR$2:AR$501,$BJ135)))</f>
        <v/>
      </c>
      <c r="AQ135" s="6">
        <f>IF(OR($BJ135="",42&gt;設定!$B$3),"",IF(INDEX(原始資料!AS$2:AS$501,$BJ135)="","",INDEX(原始資料!AS$2:AS$501,$BJ135)))</f>
        <v/>
      </c>
      <c r="AR135" s="6">
        <f>IF(OR($BJ135="",43&gt;設定!$B$3),"",IF(INDEX(原始資料!AT$2:AT$501,$BJ135)="","",INDEX(原始資料!AT$2:AT$501,$BJ135)))</f>
        <v/>
      </c>
      <c r="AS135" s="6">
        <f>IF(OR($BJ135="",44&gt;設定!$B$3),"",IF(INDEX(原始資料!AU$2:AU$501,$BJ135)="","",INDEX(原始資料!AU$2:AU$501,$BJ135)))</f>
        <v/>
      </c>
      <c r="AT135" s="6">
        <f>IF(OR($BJ135="",45&gt;設定!$B$3),"",IF(INDEX(原始資料!AV$2:AV$501,$BJ135)="","",INDEX(原始資料!AV$2:AV$501,$BJ135)))</f>
        <v/>
      </c>
      <c r="AU135" s="6">
        <f>IF(OR($BJ135="",46&gt;設定!$B$3),"",IF(INDEX(原始資料!AW$2:AW$501,$BJ135)="","",INDEX(原始資料!AW$2:AW$501,$BJ135)))</f>
        <v/>
      </c>
      <c r="AV135" s="6">
        <f>IF(OR($BJ135="",47&gt;設定!$B$3),"",IF(INDEX(原始資料!AX$2:AX$501,$BJ135)="","",INDEX(原始資料!AX$2:AX$501,$BJ135)))</f>
        <v/>
      </c>
      <c r="AW135" s="6">
        <f>IF(OR($BJ135="",48&gt;設定!$B$3),"",IF(INDEX(原始資料!AY$2:AY$501,$BJ135)="","",INDEX(原始資料!AY$2:AY$501,$BJ135)))</f>
        <v/>
      </c>
      <c r="AX135" s="6">
        <f>IF(OR($BJ135="",49&gt;設定!$B$3),"",IF(INDEX(原始資料!AZ$2:AZ$501,$BJ135)="","",INDEX(原始資料!AZ$2:AZ$501,$BJ135)))</f>
        <v/>
      </c>
      <c r="AY135" s="6">
        <f>IF(OR($BJ135="",50&gt;設定!$B$3),"",IF(INDEX(原始資料!BA$2:BA$501,$BJ135)="","",INDEX(原始資料!BA$2:BA$501,$BJ135)))</f>
        <v/>
      </c>
      <c r="AZ135" s="6">
        <f>IF(OR($BJ135="",51&gt;設定!$B$3),"",IF(INDEX(原始資料!BB$2:BB$501,$BJ135)="","",INDEX(原始資料!BB$2:BB$501,$BJ135)))</f>
        <v/>
      </c>
      <c r="BA135" s="6">
        <f>IF(OR($BJ135="",52&gt;設定!$B$3),"",IF(INDEX(原始資料!BC$2:BC$501,$BJ135)="","",INDEX(原始資料!BC$2:BC$501,$BJ135)))</f>
        <v/>
      </c>
      <c r="BB135" s="6">
        <f>IF(OR($BJ135="",53&gt;設定!$B$3),"",IF(INDEX(原始資料!BD$2:BD$501,$BJ135)="","",INDEX(原始資料!BD$2:BD$501,$BJ135)))</f>
        <v/>
      </c>
      <c r="BC135" s="6">
        <f>IF(OR($BJ135="",54&gt;設定!$B$3),"",IF(INDEX(原始資料!BE$2:BE$501,$BJ135)="","",INDEX(原始資料!BE$2:BE$501,$BJ135)))</f>
        <v/>
      </c>
      <c r="BD135" s="6">
        <f>IF(OR($BJ135="",55&gt;設定!$B$3),"",IF(INDEX(原始資料!BF$2:BF$501,$BJ135)="","",INDEX(原始資料!BF$2:BF$501,$BJ135)))</f>
        <v/>
      </c>
      <c r="BE135" s="6">
        <f>IF(OR($BJ135="",56&gt;設定!$B$3),"",IF(INDEX(原始資料!BG$2:BG$501,$BJ135)="","",INDEX(原始資料!BG$2:BG$501,$BJ135)))</f>
        <v/>
      </c>
      <c r="BF135" s="6">
        <f>IF(OR($BJ135="",57&gt;設定!$B$3),"",IF(INDEX(原始資料!BH$2:BH$501,$BJ135)="","",INDEX(原始資料!BH$2:BH$501,$BJ135)))</f>
        <v/>
      </c>
      <c r="BG135" s="6">
        <f>IF(OR($BJ135="",58&gt;設定!$B$3),"",IF(INDEX(原始資料!BI$2:BI$501,$BJ135)="","",INDEX(原始資料!BI$2:BI$501,$BJ135)))</f>
        <v/>
      </c>
      <c r="BH135" s="6">
        <f>IF(OR($BJ135="",59&gt;設定!$B$3),"",IF(INDEX(原始資料!BJ$2:BJ$501,$BJ135)="","",INDEX(原始資料!BJ$2:BJ$501,$BJ135)))</f>
        <v/>
      </c>
      <c r="BI135" s="6">
        <f>IF(OR($BJ135="",60&gt;設定!$B$3),"",IF(INDEX(原始資料!BK$2:BK$501,$BJ135)="","",INDEX(原始資料!BK$2:BK$501,$BJ135)))</f>
        <v/>
      </c>
      <c r="BJ135" s="6">
        <f>IFERROR(MATCH(ROW()-1,判定!$H$2:$H$501,0),"")</f>
        <v/>
      </c>
    </row>
    <row r="136">
      <c r="A136" s="6">
        <f>IF($BJ136="","",INDEX(原始資料!$A$2:$A$501,$BJ136))</f>
        <v/>
      </c>
      <c r="B136" s="6">
        <f>IF(OR($BJ136="",1&gt;設定!$B$3),"",IF(INDEX(原始資料!D$2:D$501,$BJ136)="","",INDEX(原始資料!D$2:D$501,$BJ136)))</f>
        <v/>
      </c>
      <c r="C136" s="6">
        <f>IF(OR($BJ136="",2&gt;設定!$B$3),"",IF(INDEX(原始資料!E$2:E$501,$BJ136)="","",INDEX(原始資料!E$2:E$501,$BJ136)))</f>
        <v/>
      </c>
      <c r="D136" s="6">
        <f>IF(OR($BJ136="",3&gt;設定!$B$3),"",IF(INDEX(原始資料!F$2:F$501,$BJ136)="","",INDEX(原始資料!F$2:F$501,$BJ136)))</f>
        <v/>
      </c>
      <c r="E136" s="6">
        <f>IF(OR($BJ136="",4&gt;設定!$B$3),"",IF(INDEX(原始資料!G$2:G$501,$BJ136)="","",INDEX(原始資料!G$2:G$501,$BJ136)))</f>
        <v/>
      </c>
      <c r="F136" s="6">
        <f>IF(OR($BJ136="",5&gt;設定!$B$3),"",IF(INDEX(原始資料!H$2:H$501,$BJ136)="","",INDEX(原始資料!H$2:H$501,$BJ136)))</f>
        <v/>
      </c>
      <c r="G136" s="6">
        <f>IF(OR($BJ136="",6&gt;設定!$B$3),"",IF(INDEX(原始資料!I$2:I$501,$BJ136)="","",INDEX(原始資料!I$2:I$501,$BJ136)))</f>
        <v/>
      </c>
      <c r="H136" s="6">
        <f>IF(OR($BJ136="",7&gt;設定!$B$3),"",IF(INDEX(原始資料!J$2:J$501,$BJ136)="","",INDEX(原始資料!J$2:J$501,$BJ136)))</f>
        <v/>
      </c>
      <c r="I136" s="6">
        <f>IF(OR($BJ136="",8&gt;設定!$B$3),"",IF(INDEX(原始資料!K$2:K$501,$BJ136)="","",INDEX(原始資料!K$2:K$501,$BJ136)))</f>
        <v/>
      </c>
      <c r="J136" s="6">
        <f>IF(OR($BJ136="",9&gt;設定!$B$3),"",IF(INDEX(原始資料!L$2:L$501,$BJ136)="","",INDEX(原始資料!L$2:L$501,$BJ136)))</f>
        <v/>
      </c>
      <c r="K136" s="6">
        <f>IF(OR($BJ136="",10&gt;設定!$B$3),"",IF(INDEX(原始資料!M$2:M$501,$BJ136)="","",INDEX(原始資料!M$2:M$501,$BJ136)))</f>
        <v/>
      </c>
      <c r="L136" s="6">
        <f>IF(OR($BJ136="",11&gt;設定!$B$3),"",IF(INDEX(原始資料!N$2:N$501,$BJ136)="","",INDEX(原始資料!N$2:N$501,$BJ136)))</f>
        <v/>
      </c>
      <c r="M136" s="6">
        <f>IF(OR($BJ136="",12&gt;設定!$B$3),"",IF(INDEX(原始資料!O$2:O$501,$BJ136)="","",INDEX(原始資料!O$2:O$501,$BJ136)))</f>
        <v/>
      </c>
      <c r="N136" s="6">
        <f>IF(OR($BJ136="",13&gt;設定!$B$3),"",IF(INDEX(原始資料!P$2:P$501,$BJ136)="","",INDEX(原始資料!P$2:P$501,$BJ136)))</f>
        <v/>
      </c>
      <c r="O136" s="6">
        <f>IF(OR($BJ136="",14&gt;設定!$B$3),"",IF(INDEX(原始資料!Q$2:Q$501,$BJ136)="","",INDEX(原始資料!Q$2:Q$501,$BJ136)))</f>
        <v/>
      </c>
      <c r="P136" s="6">
        <f>IF(OR($BJ136="",15&gt;設定!$B$3),"",IF(INDEX(原始資料!R$2:R$501,$BJ136)="","",INDEX(原始資料!R$2:R$501,$BJ136)))</f>
        <v/>
      </c>
      <c r="Q136" s="6">
        <f>IF(OR($BJ136="",16&gt;設定!$B$3),"",IF(INDEX(原始資料!S$2:S$501,$BJ136)="","",INDEX(原始資料!S$2:S$501,$BJ136)))</f>
        <v/>
      </c>
      <c r="R136" s="6">
        <f>IF(OR($BJ136="",17&gt;設定!$B$3),"",IF(INDEX(原始資料!T$2:T$501,$BJ136)="","",INDEX(原始資料!T$2:T$501,$BJ136)))</f>
        <v/>
      </c>
      <c r="S136" s="6">
        <f>IF(OR($BJ136="",18&gt;設定!$B$3),"",IF(INDEX(原始資料!U$2:U$501,$BJ136)="","",INDEX(原始資料!U$2:U$501,$BJ136)))</f>
        <v/>
      </c>
      <c r="T136" s="6">
        <f>IF(OR($BJ136="",19&gt;設定!$B$3),"",IF(INDEX(原始資料!V$2:V$501,$BJ136)="","",INDEX(原始資料!V$2:V$501,$BJ136)))</f>
        <v/>
      </c>
      <c r="U136" s="6">
        <f>IF(OR($BJ136="",20&gt;設定!$B$3),"",IF(INDEX(原始資料!W$2:W$501,$BJ136)="","",INDEX(原始資料!W$2:W$501,$BJ136)))</f>
        <v/>
      </c>
      <c r="V136" s="6">
        <f>IF(OR($BJ136="",21&gt;設定!$B$3),"",IF(INDEX(原始資料!X$2:X$501,$BJ136)="","",INDEX(原始資料!X$2:X$501,$BJ136)))</f>
        <v/>
      </c>
      <c r="W136" s="6">
        <f>IF(OR($BJ136="",22&gt;設定!$B$3),"",IF(INDEX(原始資料!Y$2:Y$501,$BJ136)="","",INDEX(原始資料!Y$2:Y$501,$BJ136)))</f>
        <v/>
      </c>
      <c r="X136" s="6">
        <f>IF(OR($BJ136="",23&gt;設定!$B$3),"",IF(INDEX(原始資料!Z$2:Z$501,$BJ136)="","",INDEX(原始資料!Z$2:Z$501,$BJ136)))</f>
        <v/>
      </c>
      <c r="Y136" s="6">
        <f>IF(OR($BJ136="",24&gt;設定!$B$3),"",IF(INDEX(原始資料!AA$2:AA$501,$BJ136)="","",INDEX(原始資料!AA$2:AA$501,$BJ136)))</f>
        <v/>
      </c>
      <c r="Z136" s="6">
        <f>IF(OR($BJ136="",25&gt;設定!$B$3),"",IF(INDEX(原始資料!AB$2:AB$501,$BJ136)="","",INDEX(原始資料!AB$2:AB$501,$BJ136)))</f>
        <v/>
      </c>
      <c r="AA136" s="6">
        <f>IF(OR($BJ136="",26&gt;設定!$B$3),"",IF(INDEX(原始資料!AC$2:AC$501,$BJ136)="","",INDEX(原始資料!AC$2:AC$501,$BJ136)))</f>
        <v/>
      </c>
      <c r="AB136" s="6">
        <f>IF(OR($BJ136="",27&gt;設定!$B$3),"",IF(INDEX(原始資料!AD$2:AD$501,$BJ136)="","",INDEX(原始資料!AD$2:AD$501,$BJ136)))</f>
        <v/>
      </c>
      <c r="AC136" s="6">
        <f>IF(OR($BJ136="",28&gt;設定!$B$3),"",IF(INDEX(原始資料!AE$2:AE$501,$BJ136)="","",INDEX(原始資料!AE$2:AE$501,$BJ136)))</f>
        <v/>
      </c>
      <c r="AD136" s="6">
        <f>IF(OR($BJ136="",29&gt;設定!$B$3),"",IF(INDEX(原始資料!AF$2:AF$501,$BJ136)="","",INDEX(原始資料!AF$2:AF$501,$BJ136)))</f>
        <v/>
      </c>
      <c r="AE136" s="6">
        <f>IF(OR($BJ136="",30&gt;設定!$B$3),"",IF(INDEX(原始資料!AG$2:AG$501,$BJ136)="","",INDEX(原始資料!AG$2:AG$501,$BJ136)))</f>
        <v/>
      </c>
      <c r="AF136" s="6">
        <f>IF(OR($BJ136="",31&gt;設定!$B$3),"",IF(INDEX(原始資料!AH$2:AH$501,$BJ136)="","",INDEX(原始資料!AH$2:AH$501,$BJ136)))</f>
        <v/>
      </c>
      <c r="AG136" s="6">
        <f>IF(OR($BJ136="",32&gt;設定!$B$3),"",IF(INDEX(原始資料!AI$2:AI$501,$BJ136)="","",INDEX(原始資料!AI$2:AI$501,$BJ136)))</f>
        <v/>
      </c>
      <c r="AH136" s="6">
        <f>IF(OR($BJ136="",33&gt;設定!$B$3),"",IF(INDEX(原始資料!AJ$2:AJ$501,$BJ136)="","",INDEX(原始資料!AJ$2:AJ$501,$BJ136)))</f>
        <v/>
      </c>
      <c r="AI136" s="6">
        <f>IF(OR($BJ136="",34&gt;設定!$B$3),"",IF(INDEX(原始資料!AK$2:AK$501,$BJ136)="","",INDEX(原始資料!AK$2:AK$501,$BJ136)))</f>
        <v/>
      </c>
      <c r="AJ136" s="6">
        <f>IF(OR($BJ136="",35&gt;設定!$B$3),"",IF(INDEX(原始資料!AL$2:AL$501,$BJ136)="","",INDEX(原始資料!AL$2:AL$501,$BJ136)))</f>
        <v/>
      </c>
      <c r="AK136" s="6">
        <f>IF(OR($BJ136="",36&gt;設定!$B$3),"",IF(INDEX(原始資料!AM$2:AM$501,$BJ136)="","",INDEX(原始資料!AM$2:AM$501,$BJ136)))</f>
        <v/>
      </c>
      <c r="AL136" s="6">
        <f>IF(OR($BJ136="",37&gt;設定!$B$3),"",IF(INDEX(原始資料!AN$2:AN$501,$BJ136)="","",INDEX(原始資料!AN$2:AN$501,$BJ136)))</f>
        <v/>
      </c>
      <c r="AM136" s="6">
        <f>IF(OR($BJ136="",38&gt;設定!$B$3),"",IF(INDEX(原始資料!AO$2:AO$501,$BJ136)="","",INDEX(原始資料!AO$2:AO$501,$BJ136)))</f>
        <v/>
      </c>
      <c r="AN136" s="6">
        <f>IF(OR($BJ136="",39&gt;設定!$B$3),"",IF(INDEX(原始資料!AP$2:AP$501,$BJ136)="","",INDEX(原始資料!AP$2:AP$501,$BJ136)))</f>
        <v/>
      </c>
      <c r="AO136" s="6">
        <f>IF(OR($BJ136="",40&gt;設定!$B$3),"",IF(INDEX(原始資料!AQ$2:AQ$501,$BJ136)="","",INDEX(原始資料!AQ$2:AQ$501,$BJ136)))</f>
        <v/>
      </c>
      <c r="AP136" s="6">
        <f>IF(OR($BJ136="",41&gt;設定!$B$3),"",IF(INDEX(原始資料!AR$2:AR$501,$BJ136)="","",INDEX(原始資料!AR$2:AR$501,$BJ136)))</f>
        <v/>
      </c>
      <c r="AQ136" s="6">
        <f>IF(OR($BJ136="",42&gt;設定!$B$3),"",IF(INDEX(原始資料!AS$2:AS$501,$BJ136)="","",INDEX(原始資料!AS$2:AS$501,$BJ136)))</f>
        <v/>
      </c>
      <c r="AR136" s="6">
        <f>IF(OR($BJ136="",43&gt;設定!$B$3),"",IF(INDEX(原始資料!AT$2:AT$501,$BJ136)="","",INDEX(原始資料!AT$2:AT$501,$BJ136)))</f>
        <v/>
      </c>
      <c r="AS136" s="6">
        <f>IF(OR($BJ136="",44&gt;設定!$B$3),"",IF(INDEX(原始資料!AU$2:AU$501,$BJ136)="","",INDEX(原始資料!AU$2:AU$501,$BJ136)))</f>
        <v/>
      </c>
      <c r="AT136" s="6">
        <f>IF(OR($BJ136="",45&gt;設定!$B$3),"",IF(INDEX(原始資料!AV$2:AV$501,$BJ136)="","",INDEX(原始資料!AV$2:AV$501,$BJ136)))</f>
        <v/>
      </c>
      <c r="AU136" s="6">
        <f>IF(OR($BJ136="",46&gt;設定!$B$3),"",IF(INDEX(原始資料!AW$2:AW$501,$BJ136)="","",INDEX(原始資料!AW$2:AW$501,$BJ136)))</f>
        <v/>
      </c>
      <c r="AV136" s="6">
        <f>IF(OR($BJ136="",47&gt;設定!$B$3),"",IF(INDEX(原始資料!AX$2:AX$501,$BJ136)="","",INDEX(原始資料!AX$2:AX$501,$BJ136)))</f>
        <v/>
      </c>
      <c r="AW136" s="6">
        <f>IF(OR($BJ136="",48&gt;設定!$B$3),"",IF(INDEX(原始資料!AY$2:AY$501,$BJ136)="","",INDEX(原始資料!AY$2:AY$501,$BJ136)))</f>
        <v/>
      </c>
      <c r="AX136" s="6">
        <f>IF(OR($BJ136="",49&gt;設定!$B$3),"",IF(INDEX(原始資料!AZ$2:AZ$501,$BJ136)="","",INDEX(原始資料!AZ$2:AZ$501,$BJ136)))</f>
        <v/>
      </c>
      <c r="AY136" s="6">
        <f>IF(OR($BJ136="",50&gt;設定!$B$3),"",IF(INDEX(原始資料!BA$2:BA$501,$BJ136)="","",INDEX(原始資料!BA$2:BA$501,$BJ136)))</f>
        <v/>
      </c>
      <c r="AZ136" s="6">
        <f>IF(OR($BJ136="",51&gt;設定!$B$3),"",IF(INDEX(原始資料!BB$2:BB$501,$BJ136)="","",INDEX(原始資料!BB$2:BB$501,$BJ136)))</f>
        <v/>
      </c>
      <c r="BA136" s="6">
        <f>IF(OR($BJ136="",52&gt;設定!$B$3),"",IF(INDEX(原始資料!BC$2:BC$501,$BJ136)="","",INDEX(原始資料!BC$2:BC$501,$BJ136)))</f>
        <v/>
      </c>
      <c r="BB136" s="6">
        <f>IF(OR($BJ136="",53&gt;設定!$B$3),"",IF(INDEX(原始資料!BD$2:BD$501,$BJ136)="","",INDEX(原始資料!BD$2:BD$501,$BJ136)))</f>
        <v/>
      </c>
      <c r="BC136" s="6">
        <f>IF(OR($BJ136="",54&gt;設定!$B$3),"",IF(INDEX(原始資料!BE$2:BE$501,$BJ136)="","",INDEX(原始資料!BE$2:BE$501,$BJ136)))</f>
        <v/>
      </c>
      <c r="BD136" s="6">
        <f>IF(OR($BJ136="",55&gt;設定!$B$3),"",IF(INDEX(原始資料!BF$2:BF$501,$BJ136)="","",INDEX(原始資料!BF$2:BF$501,$BJ136)))</f>
        <v/>
      </c>
      <c r="BE136" s="6">
        <f>IF(OR($BJ136="",56&gt;設定!$B$3),"",IF(INDEX(原始資料!BG$2:BG$501,$BJ136)="","",INDEX(原始資料!BG$2:BG$501,$BJ136)))</f>
        <v/>
      </c>
      <c r="BF136" s="6">
        <f>IF(OR($BJ136="",57&gt;設定!$B$3),"",IF(INDEX(原始資料!BH$2:BH$501,$BJ136)="","",INDEX(原始資料!BH$2:BH$501,$BJ136)))</f>
        <v/>
      </c>
      <c r="BG136" s="6">
        <f>IF(OR($BJ136="",58&gt;設定!$B$3),"",IF(INDEX(原始資料!BI$2:BI$501,$BJ136)="","",INDEX(原始資料!BI$2:BI$501,$BJ136)))</f>
        <v/>
      </c>
      <c r="BH136" s="6">
        <f>IF(OR($BJ136="",59&gt;設定!$B$3),"",IF(INDEX(原始資料!BJ$2:BJ$501,$BJ136)="","",INDEX(原始資料!BJ$2:BJ$501,$BJ136)))</f>
        <v/>
      </c>
      <c r="BI136" s="6">
        <f>IF(OR($BJ136="",60&gt;設定!$B$3),"",IF(INDEX(原始資料!BK$2:BK$501,$BJ136)="","",INDEX(原始資料!BK$2:BK$501,$BJ136)))</f>
        <v/>
      </c>
      <c r="BJ136" s="6">
        <f>IFERROR(MATCH(ROW()-1,判定!$H$2:$H$501,0),"")</f>
        <v/>
      </c>
    </row>
    <row r="137">
      <c r="A137" s="6">
        <f>IF($BJ137="","",INDEX(原始資料!$A$2:$A$501,$BJ137))</f>
        <v/>
      </c>
      <c r="B137" s="6">
        <f>IF(OR($BJ137="",1&gt;設定!$B$3),"",IF(INDEX(原始資料!D$2:D$501,$BJ137)="","",INDEX(原始資料!D$2:D$501,$BJ137)))</f>
        <v/>
      </c>
      <c r="C137" s="6">
        <f>IF(OR($BJ137="",2&gt;設定!$B$3),"",IF(INDEX(原始資料!E$2:E$501,$BJ137)="","",INDEX(原始資料!E$2:E$501,$BJ137)))</f>
        <v/>
      </c>
      <c r="D137" s="6">
        <f>IF(OR($BJ137="",3&gt;設定!$B$3),"",IF(INDEX(原始資料!F$2:F$501,$BJ137)="","",INDEX(原始資料!F$2:F$501,$BJ137)))</f>
        <v/>
      </c>
      <c r="E137" s="6">
        <f>IF(OR($BJ137="",4&gt;設定!$B$3),"",IF(INDEX(原始資料!G$2:G$501,$BJ137)="","",INDEX(原始資料!G$2:G$501,$BJ137)))</f>
        <v/>
      </c>
      <c r="F137" s="6">
        <f>IF(OR($BJ137="",5&gt;設定!$B$3),"",IF(INDEX(原始資料!H$2:H$501,$BJ137)="","",INDEX(原始資料!H$2:H$501,$BJ137)))</f>
        <v/>
      </c>
      <c r="G137" s="6">
        <f>IF(OR($BJ137="",6&gt;設定!$B$3),"",IF(INDEX(原始資料!I$2:I$501,$BJ137)="","",INDEX(原始資料!I$2:I$501,$BJ137)))</f>
        <v/>
      </c>
      <c r="H137" s="6">
        <f>IF(OR($BJ137="",7&gt;設定!$B$3),"",IF(INDEX(原始資料!J$2:J$501,$BJ137)="","",INDEX(原始資料!J$2:J$501,$BJ137)))</f>
        <v/>
      </c>
      <c r="I137" s="6">
        <f>IF(OR($BJ137="",8&gt;設定!$B$3),"",IF(INDEX(原始資料!K$2:K$501,$BJ137)="","",INDEX(原始資料!K$2:K$501,$BJ137)))</f>
        <v/>
      </c>
      <c r="J137" s="6">
        <f>IF(OR($BJ137="",9&gt;設定!$B$3),"",IF(INDEX(原始資料!L$2:L$501,$BJ137)="","",INDEX(原始資料!L$2:L$501,$BJ137)))</f>
        <v/>
      </c>
      <c r="K137" s="6">
        <f>IF(OR($BJ137="",10&gt;設定!$B$3),"",IF(INDEX(原始資料!M$2:M$501,$BJ137)="","",INDEX(原始資料!M$2:M$501,$BJ137)))</f>
        <v/>
      </c>
      <c r="L137" s="6">
        <f>IF(OR($BJ137="",11&gt;設定!$B$3),"",IF(INDEX(原始資料!N$2:N$501,$BJ137)="","",INDEX(原始資料!N$2:N$501,$BJ137)))</f>
        <v/>
      </c>
      <c r="M137" s="6">
        <f>IF(OR($BJ137="",12&gt;設定!$B$3),"",IF(INDEX(原始資料!O$2:O$501,$BJ137)="","",INDEX(原始資料!O$2:O$501,$BJ137)))</f>
        <v/>
      </c>
      <c r="N137" s="6">
        <f>IF(OR($BJ137="",13&gt;設定!$B$3),"",IF(INDEX(原始資料!P$2:P$501,$BJ137)="","",INDEX(原始資料!P$2:P$501,$BJ137)))</f>
        <v/>
      </c>
      <c r="O137" s="6">
        <f>IF(OR($BJ137="",14&gt;設定!$B$3),"",IF(INDEX(原始資料!Q$2:Q$501,$BJ137)="","",INDEX(原始資料!Q$2:Q$501,$BJ137)))</f>
        <v/>
      </c>
      <c r="P137" s="6">
        <f>IF(OR($BJ137="",15&gt;設定!$B$3),"",IF(INDEX(原始資料!R$2:R$501,$BJ137)="","",INDEX(原始資料!R$2:R$501,$BJ137)))</f>
        <v/>
      </c>
      <c r="Q137" s="6">
        <f>IF(OR($BJ137="",16&gt;設定!$B$3),"",IF(INDEX(原始資料!S$2:S$501,$BJ137)="","",INDEX(原始資料!S$2:S$501,$BJ137)))</f>
        <v/>
      </c>
      <c r="R137" s="6">
        <f>IF(OR($BJ137="",17&gt;設定!$B$3),"",IF(INDEX(原始資料!T$2:T$501,$BJ137)="","",INDEX(原始資料!T$2:T$501,$BJ137)))</f>
        <v/>
      </c>
      <c r="S137" s="6">
        <f>IF(OR($BJ137="",18&gt;設定!$B$3),"",IF(INDEX(原始資料!U$2:U$501,$BJ137)="","",INDEX(原始資料!U$2:U$501,$BJ137)))</f>
        <v/>
      </c>
      <c r="T137" s="6">
        <f>IF(OR($BJ137="",19&gt;設定!$B$3),"",IF(INDEX(原始資料!V$2:V$501,$BJ137)="","",INDEX(原始資料!V$2:V$501,$BJ137)))</f>
        <v/>
      </c>
      <c r="U137" s="6">
        <f>IF(OR($BJ137="",20&gt;設定!$B$3),"",IF(INDEX(原始資料!W$2:W$501,$BJ137)="","",INDEX(原始資料!W$2:W$501,$BJ137)))</f>
        <v/>
      </c>
      <c r="V137" s="6">
        <f>IF(OR($BJ137="",21&gt;設定!$B$3),"",IF(INDEX(原始資料!X$2:X$501,$BJ137)="","",INDEX(原始資料!X$2:X$501,$BJ137)))</f>
        <v/>
      </c>
      <c r="W137" s="6">
        <f>IF(OR($BJ137="",22&gt;設定!$B$3),"",IF(INDEX(原始資料!Y$2:Y$501,$BJ137)="","",INDEX(原始資料!Y$2:Y$501,$BJ137)))</f>
        <v/>
      </c>
      <c r="X137" s="6">
        <f>IF(OR($BJ137="",23&gt;設定!$B$3),"",IF(INDEX(原始資料!Z$2:Z$501,$BJ137)="","",INDEX(原始資料!Z$2:Z$501,$BJ137)))</f>
        <v/>
      </c>
      <c r="Y137" s="6">
        <f>IF(OR($BJ137="",24&gt;設定!$B$3),"",IF(INDEX(原始資料!AA$2:AA$501,$BJ137)="","",INDEX(原始資料!AA$2:AA$501,$BJ137)))</f>
        <v/>
      </c>
      <c r="Z137" s="6">
        <f>IF(OR($BJ137="",25&gt;設定!$B$3),"",IF(INDEX(原始資料!AB$2:AB$501,$BJ137)="","",INDEX(原始資料!AB$2:AB$501,$BJ137)))</f>
        <v/>
      </c>
      <c r="AA137" s="6">
        <f>IF(OR($BJ137="",26&gt;設定!$B$3),"",IF(INDEX(原始資料!AC$2:AC$501,$BJ137)="","",INDEX(原始資料!AC$2:AC$501,$BJ137)))</f>
        <v/>
      </c>
      <c r="AB137" s="6">
        <f>IF(OR($BJ137="",27&gt;設定!$B$3),"",IF(INDEX(原始資料!AD$2:AD$501,$BJ137)="","",INDEX(原始資料!AD$2:AD$501,$BJ137)))</f>
        <v/>
      </c>
      <c r="AC137" s="6">
        <f>IF(OR($BJ137="",28&gt;設定!$B$3),"",IF(INDEX(原始資料!AE$2:AE$501,$BJ137)="","",INDEX(原始資料!AE$2:AE$501,$BJ137)))</f>
        <v/>
      </c>
      <c r="AD137" s="6">
        <f>IF(OR($BJ137="",29&gt;設定!$B$3),"",IF(INDEX(原始資料!AF$2:AF$501,$BJ137)="","",INDEX(原始資料!AF$2:AF$501,$BJ137)))</f>
        <v/>
      </c>
      <c r="AE137" s="6">
        <f>IF(OR($BJ137="",30&gt;設定!$B$3),"",IF(INDEX(原始資料!AG$2:AG$501,$BJ137)="","",INDEX(原始資料!AG$2:AG$501,$BJ137)))</f>
        <v/>
      </c>
      <c r="AF137" s="6">
        <f>IF(OR($BJ137="",31&gt;設定!$B$3),"",IF(INDEX(原始資料!AH$2:AH$501,$BJ137)="","",INDEX(原始資料!AH$2:AH$501,$BJ137)))</f>
        <v/>
      </c>
      <c r="AG137" s="6">
        <f>IF(OR($BJ137="",32&gt;設定!$B$3),"",IF(INDEX(原始資料!AI$2:AI$501,$BJ137)="","",INDEX(原始資料!AI$2:AI$501,$BJ137)))</f>
        <v/>
      </c>
      <c r="AH137" s="6">
        <f>IF(OR($BJ137="",33&gt;設定!$B$3),"",IF(INDEX(原始資料!AJ$2:AJ$501,$BJ137)="","",INDEX(原始資料!AJ$2:AJ$501,$BJ137)))</f>
        <v/>
      </c>
      <c r="AI137" s="6">
        <f>IF(OR($BJ137="",34&gt;設定!$B$3),"",IF(INDEX(原始資料!AK$2:AK$501,$BJ137)="","",INDEX(原始資料!AK$2:AK$501,$BJ137)))</f>
        <v/>
      </c>
      <c r="AJ137" s="6">
        <f>IF(OR($BJ137="",35&gt;設定!$B$3),"",IF(INDEX(原始資料!AL$2:AL$501,$BJ137)="","",INDEX(原始資料!AL$2:AL$501,$BJ137)))</f>
        <v/>
      </c>
      <c r="AK137" s="6">
        <f>IF(OR($BJ137="",36&gt;設定!$B$3),"",IF(INDEX(原始資料!AM$2:AM$501,$BJ137)="","",INDEX(原始資料!AM$2:AM$501,$BJ137)))</f>
        <v/>
      </c>
      <c r="AL137" s="6">
        <f>IF(OR($BJ137="",37&gt;設定!$B$3),"",IF(INDEX(原始資料!AN$2:AN$501,$BJ137)="","",INDEX(原始資料!AN$2:AN$501,$BJ137)))</f>
        <v/>
      </c>
      <c r="AM137" s="6">
        <f>IF(OR($BJ137="",38&gt;設定!$B$3),"",IF(INDEX(原始資料!AO$2:AO$501,$BJ137)="","",INDEX(原始資料!AO$2:AO$501,$BJ137)))</f>
        <v/>
      </c>
      <c r="AN137" s="6">
        <f>IF(OR($BJ137="",39&gt;設定!$B$3),"",IF(INDEX(原始資料!AP$2:AP$501,$BJ137)="","",INDEX(原始資料!AP$2:AP$501,$BJ137)))</f>
        <v/>
      </c>
      <c r="AO137" s="6">
        <f>IF(OR($BJ137="",40&gt;設定!$B$3),"",IF(INDEX(原始資料!AQ$2:AQ$501,$BJ137)="","",INDEX(原始資料!AQ$2:AQ$501,$BJ137)))</f>
        <v/>
      </c>
      <c r="AP137" s="6">
        <f>IF(OR($BJ137="",41&gt;設定!$B$3),"",IF(INDEX(原始資料!AR$2:AR$501,$BJ137)="","",INDEX(原始資料!AR$2:AR$501,$BJ137)))</f>
        <v/>
      </c>
      <c r="AQ137" s="6">
        <f>IF(OR($BJ137="",42&gt;設定!$B$3),"",IF(INDEX(原始資料!AS$2:AS$501,$BJ137)="","",INDEX(原始資料!AS$2:AS$501,$BJ137)))</f>
        <v/>
      </c>
      <c r="AR137" s="6">
        <f>IF(OR($BJ137="",43&gt;設定!$B$3),"",IF(INDEX(原始資料!AT$2:AT$501,$BJ137)="","",INDEX(原始資料!AT$2:AT$501,$BJ137)))</f>
        <v/>
      </c>
      <c r="AS137" s="6">
        <f>IF(OR($BJ137="",44&gt;設定!$B$3),"",IF(INDEX(原始資料!AU$2:AU$501,$BJ137)="","",INDEX(原始資料!AU$2:AU$501,$BJ137)))</f>
        <v/>
      </c>
      <c r="AT137" s="6">
        <f>IF(OR($BJ137="",45&gt;設定!$B$3),"",IF(INDEX(原始資料!AV$2:AV$501,$BJ137)="","",INDEX(原始資料!AV$2:AV$501,$BJ137)))</f>
        <v/>
      </c>
      <c r="AU137" s="6">
        <f>IF(OR($BJ137="",46&gt;設定!$B$3),"",IF(INDEX(原始資料!AW$2:AW$501,$BJ137)="","",INDEX(原始資料!AW$2:AW$501,$BJ137)))</f>
        <v/>
      </c>
      <c r="AV137" s="6">
        <f>IF(OR($BJ137="",47&gt;設定!$B$3),"",IF(INDEX(原始資料!AX$2:AX$501,$BJ137)="","",INDEX(原始資料!AX$2:AX$501,$BJ137)))</f>
        <v/>
      </c>
      <c r="AW137" s="6">
        <f>IF(OR($BJ137="",48&gt;設定!$B$3),"",IF(INDEX(原始資料!AY$2:AY$501,$BJ137)="","",INDEX(原始資料!AY$2:AY$501,$BJ137)))</f>
        <v/>
      </c>
      <c r="AX137" s="6">
        <f>IF(OR($BJ137="",49&gt;設定!$B$3),"",IF(INDEX(原始資料!AZ$2:AZ$501,$BJ137)="","",INDEX(原始資料!AZ$2:AZ$501,$BJ137)))</f>
        <v/>
      </c>
      <c r="AY137" s="6">
        <f>IF(OR($BJ137="",50&gt;設定!$B$3),"",IF(INDEX(原始資料!BA$2:BA$501,$BJ137)="","",INDEX(原始資料!BA$2:BA$501,$BJ137)))</f>
        <v/>
      </c>
      <c r="AZ137" s="6">
        <f>IF(OR($BJ137="",51&gt;設定!$B$3),"",IF(INDEX(原始資料!BB$2:BB$501,$BJ137)="","",INDEX(原始資料!BB$2:BB$501,$BJ137)))</f>
        <v/>
      </c>
      <c r="BA137" s="6">
        <f>IF(OR($BJ137="",52&gt;設定!$B$3),"",IF(INDEX(原始資料!BC$2:BC$501,$BJ137)="","",INDEX(原始資料!BC$2:BC$501,$BJ137)))</f>
        <v/>
      </c>
      <c r="BB137" s="6">
        <f>IF(OR($BJ137="",53&gt;設定!$B$3),"",IF(INDEX(原始資料!BD$2:BD$501,$BJ137)="","",INDEX(原始資料!BD$2:BD$501,$BJ137)))</f>
        <v/>
      </c>
      <c r="BC137" s="6">
        <f>IF(OR($BJ137="",54&gt;設定!$B$3),"",IF(INDEX(原始資料!BE$2:BE$501,$BJ137)="","",INDEX(原始資料!BE$2:BE$501,$BJ137)))</f>
        <v/>
      </c>
      <c r="BD137" s="6">
        <f>IF(OR($BJ137="",55&gt;設定!$B$3),"",IF(INDEX(原始資料!BF$2:BF$501,$BJ137)="","",INDEX(原始資料!BF$2:BF$501,$BJ137)))</f>
        <v/>
      </c>
      <c r="BE137" s="6">
        <f>IF(OR($BJ137="",56&gt;設定!$B$3),"",IF(INDEX(原始資料!BG$2:BG$501,$BJ137)="","",INDEX(原始資料!BG$2:BG$501,$BJ137)))</f>
        <v/>
      </c>
      <c r="BF137" s="6">
        <f>IF(OR($BJ137="",57&gt;設定!$B$3),"",IF(INDEX(原始資料!BH$2:BH$501,$BJ137)="","",INDEX(原始資料!BH$2:BH$501,$BJ137)))</f>
        <v/>
      </c>
      <c r="BG137" s="6">
        <f>IF(OR($BJ137="",58&gt;設定!$B$3),"",IF(INDEX(原始資料!BI$2:BI$501,$BJ137)="","",INDEX(原始資料!BI$2:BI$501,$BJ137)))</f>
        <v/>
      </c>
      <c r="BH137" s="6">
        <f>IF(OR($BJ137="",59&gt;設定!$B$3),"",IF(INDEX(原始資料!BJ$2:BJ$501,$BJ137)="","",INDEX(原始資料!BJ$2:BJ$501,$BJ137)))</f>
        <v/>
      </c>
      <c r="BI137" s="6">
        <f>IF(OR($BJ137="",60&gt;設定!$B$3),"",IF(INDEX(原始資料!BK$2:BK$501,$BJ137)="","",INDEX(原始資料!BK$2:BK$501,$BJ137)))</f>
        <v/>
      </c>
      <c r="BJ137" s="6">
        <f>IFERROR(MATCH(ROW()-1,判定!$H$2:$H$501,0),"")</f>
        <v/>
      </c>
    </row>
    <row r="138">
      <c r="A138" s="6">
        <f>IF($BJ138="","",INDEX(原始資料!$A$2:$A$501,$BJ138))</f>
        <v/>
      </c>
      <c r="B138" s="6">
        <f>IF(OR($BJ138="",1&gt;設定!$B$3),"",IF(INDEX(原始資料!D$2:D$501,$BJ138)="","",INDEX(原始資料!D$2:D$501,$BJ138)))</f>
        <v/>
      </c>
      <c r="C138" s="6">
        <f>IF(OR($BJ138="",2&gt;設定!$B$3),"",IF(INDEX(原始資料!E$2:E$501,$BJ138)="","",INDEX(原始資料!E$2:E$501,$BJ138)))</f>
        <v/>
      </c>
      <c r="D138" s="6">
        <f>IF(OR($BJ138="",3&gt;設定!$B$3),"",IF(INDEX(原始資料!F$2:F$501,$BJ138)="","",INDEX(原始資料!F$2:F$501,$BJ138)))</f>
        <v/>
      </c>
      <c r="E138" s="6">
        <f>IF(OR($BJ138="",4&gt;設定!$B$3),"",IF(INDEX(原始資料!G$2:G$501,$BJ138)="","",INDEX(原始資料!G$2:G$501,$BJ138)))</f>
        <v/>
      </c>
      <c r="F138" s="6">
        <f>IF(OR($BJ138="",5&gt;設定!$B$3),"",IF(INDEX(原始資料!H$2:H$501,$BJ138)="","",INDEX(原始資料!H$2:H$501,$BJ138)))</f>
        <v/>
      </c>
      <c r="G138" s="6">
        <f>IF(OR($BJ138="",6&gt;設定!$B$3),"",IF(INDEX(原始資料!I$2:I$501,$BJ138)="","",INDEX(原始資料!I$2:I$501,$BJ138)))</f>
        <v/>
      </c>
      <c r="H138" s="6">
        <f>IF(OR($BJ138="",7&gt;設定!$B$3),"",IF(INDEX(原始資料!J$2:J$501,$BJ138)="","",INDEX(原始資料!J$2:J$501,$BJ138)))</f>
        <v/>
      </c>
      <c r="I138" s="6">
        <f>IF(OR($BJ138="",8&gt;設定!$B$3),"",IF(INDEX(原始資料!K$2:K$501,$BJ138)="","",INDEX(原始資料!K$2:K$501,$BJ138)))</f>
        <v/>
      </c>
      <c r="J138" s="6">
        <f>IF(OR($BJ138="",9&gt;設定!$B$3),"",IF(INDEX(原始資料!L$2:L$501,$BJ138)="","",INDEX(原始資料!L$2:L$501,$BJ138)))</f>
        <v/>
      </c>
      <c r="K138" s="6">
        <f>IF(OR($BJ138="",10&gt;設定!$B$3),"",IF(INDEX(原始資料!M$2:M$501,$BJ138)="","",INDEX(原始資料!M$2:M$501,$BJ138)))</f>
        <v/>
      </c>
      <c r="L138" s="6">
        <f>IF(OR($BJ138="",11&gt;設定!$B$3),"",IF(INDEX(原始資料!N$2:N$501,$BJ138)="","",INDEX(原始資料!N$2:N$501,$BJ138)))</f>
        <v/>
      </c>
      <c r="M138" s="6">
        <f>IF(OR($BJ138="",12&gt;設定!$B$3),"",IF(INDEX(原始資料!O$2:O$501,$BJ138)="","",INDEX(原始資料!O$2:O$501,$BJ138)))</f>
        <v/>
      </c>
      <c r="N138" s="6">
        <f>IF(OR($BJ138="",13&gt;設定!$B$3),"",IF(INDEX(原始資料!P$2:P$501,$BJ138)="","",INDEX(原始資料!P$2:P$501,$BJ138)))</f>
        <v/>
      </c>
      <c r="O138" s="6">
        <f>IF(OR($BJ138="",14&gt;設定!$B$3),"",IF(INDEX(原始資料!Q$2:Q$501,$BJ138)="","",INDEX(原始資料!Q$2:Q$501,$BJ138)))</f>
        <v/>
      </c>
      <c r="P138" s="6">
        <f>IF(OR($BJ138="",15&gt;設定!$B$3),"",IF(INDEX(原始資料!R$2:R$501,$BJ138)="","",INDEX(原始資料!R$2:R$501,$BJ138)))</f>
        <v/>
      </c>
      <c r="Q138" s="6">
        <f>IF(OR($BJ138="",16&gt;設定!$B$3),"",IF(INDEX(原始資料!S$2:S$501,$BJ138)="","",INDEX(原始資料!S$2:S$501,$BJ138)))</f>
        <v/>
      </c>
      <c r="R138" s="6">
        <f>IF(OR($BJ138="",17&gt;設定!$B$3),"",IF(INDEX(原始資料!T$2:T$501,$BJ138)="","",INDEX(原始資料!T$2:T$501,$BJ138)))</f>
        <v/>
      </c>
      <c r="S138" s="6">
        <f>IF(OR($BJ138="",18&gt;設定!$B$3),"",IF(INDEX(原始資料!U$2:U$501,$BJ138)="","",INDEX(原始資料!U$2:U$501,$BJ138)))</f>
        <v/>
      </c>
      <c r="T138" s="6">
        <f>IF(OR($BJ138="",19&gt;設定!$B$3),"",IF(INDEX(原始資料!V$2:V$501,$BJ138)="","",INDEX(原始資料!V$2:V$501,$BJ138)))</f>
        <v/>
      </c>
      <c r="U138" s="6">
        <f>IF(OR($BJ138="",20&gt;設定!$B$3),"",IF(INDEX(原始資料!W$2:W$501,$BJ138)="","",INDEX(原始資料!W$2:W$501,$BJ138)))</f>
        <v/>
      </c>
      <c r="V138" s="6">
        <f>IF(OR($BJ138="",21&gt;設定!$B$3),"",IF(INDEX(原始資料!X$2:X$501,$BJ138)="","",INDEX(原始資料!X$2:X$501,$BJ138)))</f>
        <v/>
      </c>
      <c r="W138" s="6">
        <f>IF(OR($BJ138="",22&gt;設定!$B$3),"",IF(INDEX(原始資料!Y$2:Y$501,$BJ138)="","",INDEX(原始資料!Y$2:Y$501,$BJ138)))</f>
        <v/>
      </c>
      <c r="X138" s="6">
        <f>IF(OR($BJ138="",23&gt;設定!$B$3),"",IF(INDEX(原始資料!Z$2:Z$501,$BJ138)="","",INDEX(原始資料!Z$2:Z$501,$BJ138)))</f>
        <v/>
      </c>
      <c r="Y138" s="6">
        <f>IF(OR($BJ138="",24&gt;設定!$B$3),"",IF(INDEX(原始資料!AA$2:AA$501,$BJ138)="","",INDEX(原始資料!AA$2:AA$501,$BJ138)))</f>
        <v/>
      </c>
      <c r="Z138" s="6">
        <f>IF(OR($BJ138="",25&gt;設定!$B$3),"",IF(INDEX(原始資料!AB$2:AB$501,$BJ138)="","",INDEX(原始資料!AB$2:AB$501,$BJ138)))</f>
        <v/>
      </c>
      <c r="AA138" s="6">
        <f>IF(OR($BJ138="",26&gt;設定!$B$3),"",IF(INDEX(原始資料!AC$2:AC$501,$BJ138)="","",INDEX(原始資料!AC$2:AC$501,$BJ138)))</f>
        <v/>
      </c>
      <c r="AB138" s="6">
        <f>IF(OR($BJ138="",27&gt;設定!$B$3),"",IF(INDEX(原始資料!AD$2:AD$501,$BJ138)="","",INDEX(原始資料!AD$2:AD$501,$BJ138)))</f>
        <v/>
      </c>
      <c r="AC138" s="6">
        <f>IF(OR($BJ138="",28&gt;設定!$B$3),"",IF(INDEX(原始資料!AE$2:AE$501,$BJ138)="","",INDEX(原始資料!AE$2:AE$501,$BJ138)))</f>
        <v/>
      </c>
      <c r="AD138" s="6">
        <f>IF(OR($BJ138="",29&gt;設定!$B$3),"",IF(INDEX(原始資料!AF$2:AF$501,$BJ138)="","",INDEX(原始資料!AF$2:AF$501,$BJ138)))</f>
        <v/>
      </c>
      <c r="AE138" s="6">
        <f>IF(OR($BJ138="",30&gt;設定!$B$3),"",IF(INDEX(原始資料!AG$2:AG$501,$BJ138)="","",INDEX(原始資料!AG$2:AG$501,$BJ138)))</f>
        <v/>
      </c>
      <c r="AF138" s="6">
        <f>IF(OR($BJ138="",31&gt;設定!$B$3),"",IF(INDEX(原始資料!AH$2:AH$501,$BJ138)="","",INDEX(原始資料!AH$2:AH$501,$BJ138)))</f>
        <v/>
      </c>
      <c r="AG138" s="6">
        <f>IF(OR($BJ138="",32&gt;設定!$B$3),"",IF(INDEX(原始資料!AI$2:AI$501,$BJ138)="","",INDEX(原始資料!AI$2:AI$501,$BJ138)))</f>
        <v/>
      </c>
      <c r="AH138" s="6">
        <f>IF(OR($BJ138="",33&gt;設定!$B$3),"",IF(INDEX(原始資料!AJ$2:AJ$501,$BJ138)="","",INDEX(原始資料!AJ$2:AJ$501,$BJ138)))</f>
        <v/>
      </c>
      <c r="AI138" s="6">
        <f>IF(OR($BJ138="",34&gt;設定!$B$3),"",IF(INDEX(原始資料!AK$2:AK$501,$BJ138)="","",INDEX(原始資料!AK$2:AK$501,$BJ138)))</f>
        <v/>
      </c>
      <c r="AJ138" s="6">
        <f>IF(OR($BJ138="",35&gt;設定!$B$3),"",IF(INDEX(原始資料!AL$2:AL$501,$BJ138)="","",INDEX(原始資料!AL$2:AL$501,$BJ138)))</f>
        <v/>
      </c>
      <c r="AK138" s="6">
        <f>IF(OR($BJ138="",36&gt;設定!$B$3),"",IF(INDEX(原始資料!AM$2:AM$501,$BJ138)="","",INDEX(原始資料!AM$2:AM$501,$BJ138)))</f>
        <v/>
      </c>
      <c r="AL138" s="6">
        <f>IF(OR($BJ138="",37&gt;設定!$B$3),"",IF(INDEX(原始資料!AN$2:AN$501,$BJ138)="","",INDEX(原始資料!AN$2:AN$501,$BJ138)))</f>
        <v/>
      </c>
      <c r="AM138" s="6">
        <f>IF(OR($BJ138="",38&gt;設定!$B$3),"",IF(INDEX(原始資料!AO$2:AO$501,$BJ138)="","",INDEX(原始資料!AO$2:AO$501,$BJ138)))</f>
        <v/>
      </c>
      <c r="AN138" s="6">
        <f>IF(OR($BJ138="",39&gt;設定!$B$3),"",IF(INDEX(原始資料!AP$2:AP$501,$BJ138)="","",INDEX(原始資料!AP$2:AP$501,$BJ138)))</f>
        <v/>
      </c>
      <c r="AO138" s="6">
        <f>IF(OR($BJ138="",40&gt;設定!$B$3),"",IF(INDEX(原始資料!AQ$2:AQ$501,$BJ138)="","",INDEX(原始資料!AQ$2:AQ$501,$BJ138)))</f>
        <v/>
      </c>
      <c r="AP138" s="6">
        <f>IF(OR($BJ138="",41&gt;設定!$B$3),"",IF(INDEX(原始資料!AR$2:AR$501,$BJ138)="","",INDEX(原始資料!AR$2:AR$501,$BJ138)))</f>
        <v/>
      </c>
      <c r="AQ138" s="6">
        <f>IF(OR($BJ138="",42&gt;設定!$B$3),"",IF(INDEX(原始資料!AS$2:AS$501,$BJ138)="","",INDEX(原始資料!AS$2:AS$501,$BJ138)))</f>
        <v/>
      </c>
      <c r="AR138" s="6">
        <f>IF(OR($BJ138="",43&gt;設定!$B$3),"",IF(INDEX(原始資料!AT$2:AT$501,$BJ138)="","",INDEX(原始資料!AT$2:AT$501,$BJ138)))</f>
        <v/>
      </c>
      <c r="AS138" s="6">
        <f>IF(OR($BJ138="",44&gt;設定!$B$3),"",IF(INDEX(原始資料!AU$2:AU$501,$BJ138)="","",INDEX(原始資料!AU$2:AU$501,$BJ138)))</f>
        <v/>
      </c>
      <c r="AT138" s="6">
        <f>IF(OR($BJ138="",45&gt;設定!$B$3),"",IF(INDEX(原始資料!AV$2:AV$501,$BJ138)="","",INDEX(原始資料!AV$2:AV$501,$BJ138)))</f>
        <v/>
      </c>
      <c r="AU138" s="6">
        <f>IF(OR($BJ138="",46&gt;設定!$B$3),"",IF(INDEX(原始資料!AW$2:AW$501,$BJ138)="","",INDEX(原始資料!AW$2:AW$501,$BJ138)))</f>
        <v/>
      </c>
      <c r="AV138" s="6">
        <f>IF(OR($BJ138="",47&gt;設定!$B$3),"",IF(INDEX(原始資料!AX$2:AX$501,$BJ138)="","",INDEX(原始資料!AX$2:AX$501,$BJ138)))</f>
        <v/>
      </c>
      <c r="AW138" s="6">
        <f>IF(OR($BJ138="",48&gt;設定!$B$3),"",IF(INDEX(原始資料!AY$2:AY$501,$BJ138)="","",INDEX(原始資料!AY$2:AY$501,$BJ138)))</f>
        <v/>
      </c>
      <c r="AX138" s="6">
        <f>IF(OR($BJ138="",49&gt;設定!$B$3),"",IF(INDEX(原始資料!AZ$2:AZ$501,$BJ138)="","",INDEX(原始資料!AZ$2:AZ$501,$BJ138)))</f>
        <v/>
      </c>
      <c r="AY138" s="6">
        <f>IF(OR($BJ138="",50&gt;設定!$B$3),"",IF(INDEX(原始資料!BA$2:BA$501,$BJ138)="","",INDEX(原始資料!BA$2:BA$501,$BJ138)))</f>
        <v/>
      </c>
      <c r="AZ138" s="6">
        <f>IF(OR($BJ138="",51&gt;設定!$B$3),"",IF(INDEX(原始資料!BB$2:BB$501,$BJ138)="","",INDEX(原始資料!BB$2:BB$501,$BJ138)))</f>
        <v/>
      </c>
      <c r="BA138" s="6">
        <f>IF(OR($BJ138="",52&gt;設定!$B$3),"",IF(INDEX(原始資料!BC$2:BC$501,$BJ138)="","",INDEX(原始資料!BC$2:BC$501,$BJ138)))</f>
        <v/>
      </c>
      <c r="BB138" s="6">
        <f>IF(OR($BJ138="",53&gt;設定!$B$3),"",IF(INDEX(原始資料!BD$2:BD$501,$BJ138)="","",INDEX(原始資料!BD$2:BD$501,$BJ138)))</f>
        <v/>
      </c>
      <c r="BC138" s="6">
        <f>IF(OR($BJ138="",54&gt;設定!$B$3),"",IF(INDEX(原始資料!BE$2:BE$501,$BJ138)="","",INDEX(原始資料!BE$2:BE$501,$BJ138)))</f>
        <v/>
      </c>
      <c r="BD138" s="6">
        <f>IF(OR($BJ138="",55&gt;設定!$B$3),"",IF(INDEX(原始資料!BF$2:BF$501,$BJ138)="","",INDEX(原始資料!BF$2:BF$501,$BJ138)))</f>
        <v/>
      </c>
      <c r="BE138" s="6">
        <f>IF(OR($BJ138="",56&gt;設定!$B$3),"",IF(INDEX(原始資料!BG$2:BG$501,$BJ138)="","",INDEX(原始資料!BG$2:BG$501,$BJ138)))</f>
        <v/>
      </c>
      <c r="BF138" s="6">
        <f>IF(OR($BJ138="",57&gt;設定!$B$3),"",IF(INDEX(原始資料!BH$2:BH$501,$BJ138)="","",INDEX(原始資料!BH$2:BH$501,$BJ138)))</f>
        <v/>
      </c>
      <c r="BG138" s="6">
        <f>IF(OR($BJ138="",58&gt;設定!$B$3),"",IF(INDEX(原始資料!BI$2:BI$501,$BJ138)="","",INDEX(原始資料!BI$2:BI$501,$BJ138)))</f>
        <v/>
      </c>
      <c r="BH138" s="6">
        <f>IF(OR($BJ138="",59&gt;設定!$B$3),"",IF(INDEX(原始資料!BJ$2:BJ$501,$BJ138)="","",INDEX(原始資料!BJ$2:BJ$501,$BJ138)))</f>
        <v/>
      </c>
      <c r="BI138" s="6">
        <f>IF(OR($BJ138="",60&gt;設定!$B$3),"",IF(INDEX(原始資料!BK$2:BK$501,$BJ138)="","",INDEX(原始資料!BK$2:BK$501,$BJ138)))</f>
        <v/>
      </c>
      <c r="BJ138" s="6">
        <f>IFERROR(MATCH(ROW()-1,判定!$H$2:$H$501,0),"")</f>
        <v/>
      </c>
    </row>
    <row r="139">
      <c r="A139" s="6">
        <f>IF($BJ139="","",INDEX(原始資料!$A$2:$A$501,$BJ139))</f>
        <v/>
      </c>
      <c r="B139" s="6">
        <f>IF(OR($BJ139="",1&gt;設定!$B$3),"",IF(INDEX(原始資料!D$2:D$501,$BJ139)="","",INDEX(原始資料!D$2:D$501,$BJ139)))</f>
        <v/>
      </c>
      <c r="C139" s="6">
        <f>IF(OR($BJ139="",2&gt;設定!$B$3),"",IF(INDEX(原始資料!E$2:E$501,$BJ139)="","",INDEX(原始資料!E$2:E$501,$BJ139)))</f>
        <v/>
      </c>
      <c r="D139" s="6">
        <f>IF(OR($BJ139="",3&gt;設定!$B$3),"",IF(INDEX(原始資料!F$2:F$501,$BJ139)="","",INDEX(原始資料!F$2:F$501,$BJ139)))</f>
        <v/>
      </c>
      <c r="E139" s="6">
        <f>IF(OR($BJ139="",4&gt;設定!$B$3),"",IF(INDEX(原始資料!G$2:G$501,$BJ139)="","",INDEX(原始資料!G$2:G$501,$BJ139)))</f>
        <v/>
      </c>
      <c r="F139" s="6">
        <f>IF(OR($BJ139="",5&gt;設定!$B$3),"",IF(INDEX(原始資料!H$2:H$501,$BJ139)="","",INDEX(原始資料!H$2:H$501,$BJ139)))</f>
        <v/>
      </c>
      <c r="G139" s="6">
        <f>IF(OR($BJ139="",6&gt;設定!$B$3),"",IF(INDEX(原始資料!I$2:I$501,$BJ139)="","",INDEX(原始資料!I$2:I$501,$BJ139)))</f>
        <v/>
      </c>
      <c r="H139" s="6">
        <f>IF(OR($BJ139="",7&gt;設定!$B$3),"",IF(INDEX(原始資料!J$2:J$501,$BJ139)="","",INDEX(原始資料!J$2:J$501,$BJ139)))</f>
        <v/>
      </c>
      <c r="I139" s="6">
        <f>IF(OR($BJ139="",8&gt;設定!$B$3),"",IF(INDEX(原始資料!K$2:K$501,$BJ139)="","",INDEX(原始資料!K$2:K$501,$BJ139)))</f>
        <v/>
      </c>
      <c r="J139" s="6">
        <f>IF(OR($BJ139="",9&gt;設定!$B$3),"",IF(INDEX(原始資料!L$2:L$501,$BJ139)="","",INDEX(原始資料!L$2:L$501,$BJ139)))</f>
        <v/>
      </c>
      <c r="K139" s="6">
        <f>IF(OR($BJ139="",10&gt;設定!$B$3),"",IF(INDEX(原始資料!M$2:M$501,$BJ139)="","",INDEX(原始資料!M$2:M$501,$BJ139)))</f>
        <v/>
      </c>
      <c r="L139" s="6">
        <f>IF(OR($BJ139="",11&gt;設定!$B$3),"",IF(INDEX(原始資料!N$2:N$501,$BJ139)="","",INDEX(原始資料!N$2:N$501,$BJ139)))</f>
        <v/>
      </c>
      <c r="M139" s="6">
        <f>IF(OR($BJ139="",12&gt;設定!$B$3),"",IF(INDEX(原始資料!O$2:O$501,$BJ139)="","",INDEX(原始資料!O$2:O$501,$BJ139)))</f>
        <v/>
      </c>
      <c r="N139" s="6">
        <f>IF(OR($BJ139="",13&gt;設定!$B$3),"",IF(INDEX(原始資料!P$2:P$501,$BJ139)="","",INDEX(原始資料!P$2:P$501,$BJ139)))</f>
        <v/>
      </c>
      <c r="O139" s="6">
        <f>IF(OR($BJ139="",14&gt;設定!$B$3),"",IF(INDEX(原始資料!Q$2:Q$501,$BJ139)="","",INDEX(原始資料!Q$2:Q$501,$BJ139)))</f>
        <v/>
      </c>
      <c r="P139" s="6">
        <f>IF(OR($BJ139="",15&gt;設定!$B$3),"",IF(INDEX(原始資料!R$2:R$501,$BJ139)="","",INDEX(原始資料!R$2:R$501,$BJ139)))</f>
        <v/>
      </c>
      <c r="Q139" s="6">
        <f>IF(OR($BJ139="",16&gt;設定!$B$3),"",IF(INDEX(原始資料!S$2:S$501,$BJ139)="","",INDEX(原始資料!S$2:S$501,$BJ139)))</f>
        <v/>
      </c>
      <c r="R139" s="6">
        <f>IF(OR($BJ139="",17&gt;設定!$B$3),"",IF(INDEX(原始資料!T$2:T$501,$BJ139)="","",INDEX(原始資料!T$2:T$501,$BJ139)))</f>
        <v/>
      </c>
      <c r="S139" s="6">
        <f>IF(OR($BJ139="",18&gt;設定!$B$3),"",IF(INDEX(原始資料!U$2:U$501,$BJ139)="","",INDEX(原始資料!U$2:U$501,$BJ139)))</f>
        <v/>
      </c>
      <c r="T139" s="6">
        <f>IF(OR($BJ139="",19&gt;設定!$B$3),"",IF(INDEX(原始資料!V$2:V$501,$BJ139)="","",INDEX(原始資料!V$2:V$501,$BJ139)))</f>
        <v/>
      </c>
      <c r="U139" s="6">
        <f>IF(OR($BJ139="",20&gt;設定!$B$3),"",IF(INDEX(原始資料!W$2:W$501,$BJ139)="","",INDEX(原始資料!W$2:W$501,$BJ139)))</f>
        <v/>
      </c>
      <c r="V139" s="6">
        <f>IF(OR($BJ139="",21&gt;設定!$B$3),"",IF(INDEX(原始資料!X$2:X$501,$BJ139)="","",INDEX(原始資料!X$2:X$501,$BJ139)))</f>
        <v/>
      </c>
      <c r="W139" s="6">
        <f>IF(OR($BJ139="",22&gt;設定!$B$3),"",IF(INDEX(原始資料!Y$2:Y$501,$BJ139)="","",INDEX(原始資料!Y$2:Y$501,$BJ139)))</f>
        <v/>
      </c>
      <c r="X139" s="6">
        <f>IF(OR($BJ139="",23&gt;設定!$B$3),"",IF(INDEX(原始資料!Z$2:Z$501,$BJ139)="","",INDEX(原始資料!Z$2:Z$501,$BJ139)))</f>
        <v/>
      </c>
      <c r="Y139" s="6">
        <f>IF(OR($BJ139="",24&gt;設定!$B$3),"",IF(INDEX(原始資料!AA$2:AA$501,$BJ139)="","",INDEX(原始資料!AA$2:AA$501,$BJ139)))</f>
        <v/>
      </c>
      <c r="Z139" s="6">
        <f>IF(OR($BJ139="",25&gt;設定!$B$3),"",IF(INDEX(原始資料!AB$2:AB$501,$BJ139)="","",INDEX(原始資料!AB$2:AB$501,$BJ139)))</f>
        <v/>
      </c>
      <c r="AA139" s="6">
        <f>IF(OR($BJ139="",26&gt;設定!$B$3),"",IF(INDEX(原始資料!AC$2:AC$501,$BJ139)="","",INDEX(原始資料!AC$2:AC$501,$BJ139)))</f>
        <v/>
      </c>
      <c r="AB139" s="6">
        <f>IF(OR($BJ139="",27&gt;設定!$B$3),"",IF(INDEX(原始資料!AD$2:AD$501,$BJ139)="","",INDEX(原始資料!AD$2:AD$501,$BJ139)))</f>
        <v/>
      </c>
      <c r="AC139" s="6">
        <f>IF(OR($BJ139="",28&gt;設定!$B$3),"",IF(INDEX(原始資料!AE$2:AE$501,$BJ139)="","",INDEX(原始資料!AE$2:AE$501,$BJ139)))</f>
        <v/>
      </c>
      <c r="AD139" s="6">
        <f>IF(OR($BJ139="",29&gt;設定!$B$3),"",IF(INDEX(原始資料!AF$2:AF$501,$BJ139)="","",INDEX(原始資料!AF$2:AF$501,$BJ139)))</f>
        <v/>
      </c>
      <c r="AE139" s="6">
        <f>IF(OR($BJ139="",30&gt;設定!$B$3),"",IF(INDEX(原始資料!AG$2:AG$501,$BJ139)="","",INDEX(原始資料!AG$2:AG$501,$BJ139)))</f>
        <v/>
      </c>
      <c r="AF139" s="6">
        <f>IF(OR($BJ139="",31&gt;設定!$B$3),"",IF(INDEX(原始資料!AH$2:AH$501,$BJ139)="","",INDEX(原始資料!AH$2:AH$501,$BJ139)))</f>
        <v/>
      </c>
      <c r="AG139" s="6">
        <f>IF(OR($BJ139="",32&gt;設定!$B$3),"",IF(INDEX(原始資料!AI$2:AI$501,$BJ139)="","",INDEX(原始資料!AI$2:AI$501,$BJ139)))</f>
        <v/>
      </c>
      <c r="AH139" s="6">
        <f>IF(OR($BJ139="",33&gt;設定!$B$3),"",IF(INDEX(原始資料!AJ$2:AJ$501,$BJ139)="","",INDEX(原始資料!AJ$2:AJ$501,$BJ139)))</f>
        <v/>
      </c>
      <c r="AI139" s="6">
        <f>IF(OR($BJ139="",34&gt;設定!$B$3),"",IF(INDEX(原始資料!AK$2:AK$501,$BJ139)="","",INDEX(原始資料!AK$2:AK$501,$BJ139)))</f>
        <v/>
      </c>
      <c r="AJ139" s="6">
        <f>IF(OR($BJ139="",35&gt;設定!$B$3),"",IF(INDEX(原始資料!AL$2:AL$501,$BJ139)="","",INDEX(原始資料!AL$2:AL$501,$BJ139)))</f>
        <v/>
      </c>
      <c r="AK139" s="6">
        <f>IF(OR($BJ139="",36&gt;設定!$B$3),"",IF(INDEX(原始資料!AM$2:AM$501,$BJ139)="","",INDEX(原始資料!AM$2:AM$501,$BJ139)))</f>
        <v/>
      </c>
      <c r="AL139" s="6">
        <f>IF(OR($BJ139="",37&gt;設定!$B$3),"",IF(INDEX(原始資料!AN$2:AN$501,$BJ139)="","",INDEX(原始資料!AN$2:AN$501,$BJ139)))</f>
        <v/>
      </c>
      <c r="AM139" s="6">
        <f>IF(OR($BJ139="",38&gt;設定!$B$3),"",IF(INDEX(原始資料!AO$2:AO$501,$BJ139)="","",INDEX(原始資料!AO$2:AO$501,$BJ139)))</f>
        <v/>
      </c>
      <c r="AN139" s="6">
        <f>IF(OR($BJ139="",39&gt;設定!$B$3),"",IF(INDEX(原始資料!AP$2:AP$501,$BJ139)="","",INDEX(原始資料!AP$2:AP$501,$BJ139)))</f>
        <v/>
      </c>
      <c r="AO139" s="6">
        <f>IF(OR($BJ139="",40&gt;設定!$B$3),"",IF(INDEX(原始資料!AQ$2:AQ$501,$BJ139)="","",INDEX(原始資料!AQ$2:AQ$501,$BJ139)))</f>
        <v/>
      </c>
      <c r="AP139" s="6">
        <f>IF(OR($BJ139="",41&gt;設定!$B$3),"",IF(INDEX(原始資料!AR$2:AR$501,$BJ139)="","",INDEX(原始資料!AR$2:AR$501,$BJ139)))</f>
        <v/>
      </c>
      <c r="AQ139" s="6">
        <f>IF(OR($BJ139="",42&gt;設定!$B$3),"",IF(INDEX(原始資料!AS$2:AS$501,$BJ139)="","",INDEX(原始資料!AS$2:AS$501,$BJ139)))</f>
        <v/>
      </c>
      <c r="AR139" s="6">
        <f>IF(OR($BJ139="",43&gt;設定!$B$3),"",IF(INDEX(原始資料!AT$2:AT$501,$BJ139)="","",INDEX(原始資料!AT$2:AT$501,$BJ139)))</f>
        <v/>
      </c>
      <c r="AS139" s="6">
        <f>IF(OR($BJ139="",44&gt;設定!$B$3),"",IF(INDEX(原始資料!AU$2:AU$501,$BJ139)="","",INDEX(原始資料!AU$2:AU$501,$BJ139)))</f>
        <v/>
      </c>
      <c r="AT139" s="6">
        <f>IF(OR($BJ139="",45&gt;設定!$B$3),"",IF(INDEX(原始資料!AV$2:AV$501,$BJ139)="","",INDEX(原始資料!AV$2:AV$501,$BJ139)))</f>
        <v/>
      </c>
      <c r="AU139" s="6">
        <f>IF(OR($BJ139="",46&gt;設定!$B$3),"",IF(INDEX(原始資料!AW$2:AW$501,$BJ139)="","",INDEX(原始資料!AW$2:AW$501,$BJ139)))</f>
        <v/>
      </c>
      <c r="AV139" s="6">
        <f>IF(OR($BJ139="",47&gt;設定!$B$3),"",IF(INDEX(原始資料!AX$2:AX$501,$BJ139)="","",INDEX(原始資料!AX$2:AX$501,$BJ139)))</f>
        <v/>
      </c>
      <c r="AW139" s="6">
        <f>IF(OR($BJ139="",48&gt;設定!$B$3),"",IF(INDEX(原始資料!AY$2:AY$501,$BJ139)="","",INDEX(原始資料!AY$2:AY$501,$BJ139)))</f>
        <v/>
      </c>
      <c r="AX139" s="6">
        <f>IF(OR($BJ139="",49&gt;設定!$B$3),"",IF(INDEX(原始資料!AZ$2:AZ$501,$BJ139)="","",INDEX(原始資料!AZ$2:AZ$501,$BJ139)))</f>
        <v/>
      </c>
      <c r="AY139" s="6">
        <f>IF(OR($BJ139="",50&gt;設定!$B$3),"",IF(INDEX(原始資料!BA$2:BA$501,$BJ139)="","",INDEX(原始資料!BA$2:BA$501,$BJ139)))</f>
        <v/>
      </c>
      <c r="AZ139" s="6">
        <f>IF(OR($BJ139="",51&gt;設定!$B$3),"",IF(INDEX(原始資料!BB$2:BB$501,$BJ139)="","",INDEX(原始資料!BB$2:BB$501,$BJ139)))</f>
        <v/>
      </c>
      <c r="BA139" s="6">
        <f>IF(OR($BJ139="",52&gt;設定!$B$3),"",IF(INDEX(原始資料!BC$2:BC$501,$BJ139)="","",INDEX(原始資料!BC$2:BC$501,$BJ139)))</f>
        <v/>
      </c>
      <c r="BB139" s="6">
        <f>IF(OR($BJ139="",53&gt;設定!$B$3),"",IF(INDEX(原始資料!BD$2:BD$501,$BJ139)="","",INDEX(原始資料!BD$2:BD$501,$BJ139)))</f>
        <v/>
      </c>
      <c r="BC139" s="6">
        <f>IF(OR($BJ139="",54&gt;設定!$B$3),"",IF(INDEX(原始資料!BE$2:BE$501,$BJ139)="","",INDEX(原始資料!BE$2:BE$501,$BJ139)))</f>
        <v/>
      </c>
      <c r="BD139" s="6">
        <f>IF(OR($BJ139="",55&gt;設定!$B$3),"",IF(INDEX(原始資料!BF$2:BF$501,$BJ139)="","",INDEX(原始資料!BF$2:BF$501,$BJ139)))</f>
        <v/>
      </c>
      <c r="BE139" s="6">
        <f>IF(OR($BJ139="",56&gt;設定!$B$3),"",IF(INDEX(原始資料!BG$2:BG$501,$BJ139)="","",INDEX(原始資料!BG$2:BG$501,$BJ139)))</f>
        <v/>
      </c>
      <c r="BF139" s="6">
        <f>IF(OR($BJ139="",57&gt;設定!$B$3),"",IF(INDEX(原始資料!BH$2:BH$501,$BJ139)="","",INDEX(原始資料!BH$2:BH$501,$BJ139)))</f>
        <v/>
      </c>
      <c r="BG139" s="6">
        <f>IF(OR($BJ139="",58&gt;設定!$B$3),"",IF(INDEX(原始資料!BI$2:BI$501,$BJ139)="","",INDEX(原始資料!BI$2:BI$501,$BJ139)))</f>
        <v/>
      </c>
      <c r="BH139" s="6">
        <f>IF(OR($BJ139="",59&gt;設定!$B$3),"",IF(INDEX(原始資料!BJ$2:BJ$501,$BJ139)="","",INDEX(原始資料!BJ$2:BJ$501,$BJ139)))</f>
        <v/>
      </c>
      <c r="BI139" s="6">
        <f>IF(OR($BJ139="",60&gt;設定!$B$3),"",IF(INDEX(原始資料!BK$2:BK$501,$BJ139)="","",INDEX(原始資料!BK$2:BK$501,$BJ139)))</f>
        <v/>
      </c>
      <c r="BJ139" s="6">
        <f>IFERROR(MATCH(ROW()-1,判定!$H$2:$H$501,0),"")</f>
        <v/>
      </c>
    </row>
    <row r="140">
      <c r="A140" s="6">
        <f>IF($BJ140="","",INDEX(原始資料!$A$2:$A$501,$BJ140))</f>
        <v/>
      </c>
      <c r="B140" s="6">
        <f>IF(OR($BJ140="",1&gt;設定!$B$3),"",IF(INDEX(原始資料!D$2:D$501,$BJ140)="","",INDEX(原始資料!D$2:D$501,$BJ140)))</f>
        <v/>
      </c>
      <c r="C140" s="6">
        <f>IF(OR($BJ140="",2&gt;設定!$B$3),"",IF(INDEX(原始資料!E$2:E$501,$BJ140)="","",INDEX(原始資料!E$2:E$501,$BJ140)))</f>
        <v/>
      </c>
      <c r="D140" s="6">
        <f>IF(OR($BJ140="",3&gt;設定!$B$3),"",IF(INDEX(原始資料!F$2:F$501,$BJ140)="","",INDEX(原始資料!F$2:F$501,$BJ140)))</f>
        <v/>
      </c>
      <c r="E140" s="6">
        <f>IF(OR($BJ140="",4&gt;設定!$B$3),"",IF(INDEX(原始資料!G$2:G$501,$BJ140)="","",INDEX(原始資料!G$2:G$501,$BJ140)))</f>
        <v/>
      </c>
      <c r="F140" s="6">
        <f>IF(OR($BJ140="",5&gt;設定!$B$3),"",IF(INDEX(原始資料!H$2:H$501,$BJ140)="","",INDEX(原始資料!H$2:H$501,$BJ140)))</f>
        <v/>
      </c>
      <c r="G140" s="6">
        <f>IF(OR($BJ140="",6&gt;設定!$B$3),"",IF(INDEX(原始資料!I$2:I$501,$BJ140)="","",INDEX(原始資料!I$2:I$501,$BJ140)))</f>
        <v/>
      </c>
      <c r="H140" s="6">
        <f>IF(OR($BJ140="",7&gt;設定!$B$3),"",IF(INDEX(原始資料!J$2:J$501,$BJ140)="","",INDEX(原始資料!J$2:J$501,$BJ140)))</f>
        <v/>
      </c>
      <c r="I140" s="6">
        <f>IF(OR($BJ140="",8&gt;設定!$B$3),"",IF(INDEX(原始資料!K$2:K$501,$BJ140)="","",INDEX(原始資料!K$2:K$501,$BJ140)))</f>
        <v/>
      </c>
      <c r="J140" s="6">
        <f>IF(OR($BJ140="",9&gt;設定!$B$3),"",IF(INDEX(原始資料!L$2:L$501,$BJ140)="","",INDEX(原始資料!L$2:L$501,$BJ140)))</f>
        <v/>
      </c>
      <c r="K140" s="6">
        <f>IF(OR($BJ140="",10&gt;設定!$B$3),"",IF(INDEX(原始資料!M$2:M$501,$BJ140)="","",INDEX(原始資料!M$2:M$501,$BJ140)))</f>
        <v/>
      </c>
      <c r="L140" s="6">
        <f>IF(OR($BJ140="",11&gt;設定!$B$3),"",IF(INDEX(原始資料!N$2:N$501,$BJ140)="","",INDEX(原始資料!N$2:N$501,$BJ140)))</f>
        <v/>
      </c>
      <c r="M140" s="6">
        <f>IF(OR($BJ140="",12&gt;設定!$B$3),"",IF(INDEX(原始資料!O$2:O$501,$BJ140)="","",INDEX(原始資料!O$2:O$501,$BJ140)))</f>
        <v/>
      </c>
      <c r="N140" s="6">
        <f>IF(OR($BJ140="",13&gt;設定!$B$3),"",IF(INDEX(原始資料!P$2:P$501,$BJ140)="","",INDEX(原始資料!P$2:P$501,$BJ140)))</f>
        <v/>
      </c>
      <c r="O140" s="6">
        <f>IF(OR($BJ140="",14&gt;設定!$B$3),"",IF(INDEX(原始資料!Q$2:Q$501,$BJ140)="","",INDEX(原始資料!Q$2:Q$501,$BJ140)))</f>
        <v/>
      </c>
      <c r="P140" s="6">
        <f>IF(OR($BJ140="",15&gt;設定!$B$3),"",IF(INDEX(原始資料!R$2:R$501,$BJ140)="","",INDEX(原始資料!R$2:R$501,$BJ140)))</f>
        <v/>
      </c>
      <c r="Q140" s="6">
        <f>IF(OR($BJ140="",16&gt;設定!$B$3),"",IF(INDEX(原始資料!S$2:S$501,$BJ140)="","",INDEX(原始資料!S$2:S$501,$BJ140)))</f>
        <v/>
      </c>
      <c r="R140" s="6">
        <f>IF(OR($BJ140="",17&gt;設定!$B$3),"",IF(INDEX(原始資料!T$2:T$501,$BJ140)="","",INDEX(原始資料!T$2:T$501,$BJ140)))</f>
        <v/>
      </c>
      <c r="S140" s="6">
        <f>IF(OR($BJ140="",18&gt;設定!$B$3),"",IF(INDEX(原始資料!U$2:U$501,$BJ140)="","",INDEX(原始資料!U$2:U$501,$BJ140)))</f>
        <v/>
      </c>
      <c r="T140" s="6">
        <f>IF(OR($BJ140="",19&gt;設定!$B$3),"",IF(INDEX(原始資料!V$2:V$501,$BJ140)="","",INDEX(原始資料!V$2:V$501,$BJ140)))</f>
        <v/>
      </c>
      <c r="U140" s="6">
        <f>IF(OR($BJ140="",20&gt;設定!$B$3),"",IF(INDEX(原始資料!W$2:W$501,$BJ140)="","",INDEX(原始資料!W$2:W$501,$BJ140)))</f>
        <v/>
      </c>
      <c r="V140" s="6">
        <f>IF(OR($BJ140="",21&gt;設定!$B$3),"",IF(INDEX(原始資料!X$2:X$501,$BJ140)="","",INDEX(原始資料!X$2:X$501,$BJ140)))</f>
        <v/>
      </c>
      <c r="W140" s="6">
        <f>IF(OR($BJ140="",22&gt;設定!$B$3),"",IF(INDEX(原始資料!Y$2:Y$501,$BJ140)="","",INDEX(原始資料!Y$2:Y$501,$BJ140)))</f>
        <v/>
      </c>
      <c r="X140" s="6">
        <f>IF(OR($BJ140="",23&gt;設定!$B$3),"",IF(INDEX(原始資料!Z$2:Z$501,$BJ140)="","",INDEX(原始資料!Z$2:Z$501,$BJ140)))</f>
        <v/>
      </c>
      <c r="Y140" s="6">
        <f>IF(OR($BJ140="",24&gt;設定!$B$3),"",IF(INDEX(原始資料!AA$2:AA$501,$BJ140)="","",INDEX(原始資料!AA$2:AA$501,$BJ140)))</f>
        <v/>
      </c>
      <c r="Z140" s="6">
        <f>IF(OR($BJ140="",25&gt;設定!$B$3),"",IF(INDEX(原始資料!AB$2:AB$501,$BJ140)="","",INDEX(原始資料!AB$2:AB$501,$BJ140)))</f>
        <v/>
      </c>
      <c r="AA140" s="6">
        <f>IF(OR($BJ140="",26&gt;設定!$B$3),"",IF(INDEX(原始資料!AC$2:AC$501,$BJ140)="","",INDEX(原始資料!AC$2:AC$501,$BJ140)))</f>
        <v/>
      </c>
      <c r="AB140" s="6">
        <f>IF(OR($BJ140="",27&gt;設定!$B$3),"",IF(INDEX(原始資料!AD$2:AD$501,$BJ140)="","",INDEX(原始資料!AD$2:AD$501,$BJ140)))</f>
        <v/>
      </c>
      <c r="AC140" s="6">
        <f>IF(OR($BJ140="",28&gt;設定!$B$3),"",IF(INDEX(原始資料!AE$2:AE$501,$BJ140)="","",INDEX(原始資料!AE$2:AE$501,$BJ140)))</f>
        <v/>
      </c>
      <c r="AD140" s="6">
        <f>IF(OR($BJ140="",29&gt;設定!$B$3),"",IF(INDEX(原始資料!AF$2:AF$501,$BJ140)="","",INDEX(原始資料!AF$2:AF$501,$BJ140)))</f>
        <v/>
      </c>
      <c r="AE140" s="6">
        <f>IF(OR($BJ140="",30&gt;設定!$B$3),"",IF(INDEX(原始資料!AG$2:AG$501,$BJ140)="","",INDEX(原始資料!AG$2:AG$501,$BJ140)))</f>
        <v/>
      </c>
      <c r="AF140" s="6">
        <f>IF(OR($BJ140="",31&gt;設定!$B$3),"",IF(INDEX(原始資料!AH$2:AH$501,$BJ140)="","",INDEX(原始資料!AH$2:AH$501,$BJ140)))</f>
        <v/>
      </c>
      <c r="AG140" s="6">
        <f>IF(OR($BJ140="",32&gt;設定!$B$3),"",IF(INDEX(原始資料!AI$2:AI$501,$BJ140)="","",INDEX(原始資料!AI$2:AI$501,$BJ140)))</f>
        <v/>
      </c>
      <c r="AH140" s="6">
        <f>IF(OR($BJ140="",33&gt;設定!$B$3),"",IF(INDEX(原始資料!AJ$2:AJ$501,$BJ140)="","",INDEX(原始資料!AJ$2:AJ$501,$BJ140)))</f>
        <v/>
      </c>
      <c r="AI140" s="6">
        <f>IF(OR($BJ140="",34&gt;設定!$B$3),"",IF(INDEX(原始資料!AK$2:AK$501,$BJ140)="","",INDEX(原始資料!AK$2:AK$501,$BJ140)))</f>
        <v/>
      </c>
      <c r="AJ140" s="6">
        <f>IF(OR($BJ140="",35&gt;設定!$B$3),"",IF(INDEX(原始資料!AL$2:AL$501,$BJ140)="","",INDEX(原始資料!AL$2:AL$501,$BJ140)))</f>
        <v/>
      </c>
      <c r="AK140" s="6">
        <f>IF(OR($BJ140="",36&gt;設定!$B$3),"",IF(INDEX(原始資料!AM$2:AM$501,$BJ140)="","",INDEX(原始資料!AM$2:AM$501,$BJ140)))</f>
        <v/>
      </c>
      <c r="AL140" s="6">
        <f>IF(OR($BJ140="",37&gt;設定!$B$3),"",IF(INDEX(原始資料!AN$2:AN$501,$BJ140)="","",INDEX(原始資料!AN$2:AN$501,$BJ140)))</f>
        <v/>
      </c>
      <c r="AM140" s="6">
        <f>IF(OR($BJ140="",38&gt;設定!$B$3),"",IF(INDEX(原始資料!AO$2:AO$501,$BJ140)="","",INDEX(原始資料!AO$2:AO$501,$BJ140)))</f>
        <v/>
      </c>
      <c r="AN140" s="6">
        <f>IF(OR($BJ140="",39&gt;設定!$B$3),"",IF(INDEX(原始資料!AP$2:AP$501,$BJ140)="","",INDEX(原始資料!AP$2:AP$501,$BJ140)))</f>
        <v/>
      </c>
      <c r="AO140" s="6">
        <f>IF(OR($BJ140="",40&gt;設定!$B$3),"",IF(INDEX(原始資料!AQ$2:AQ$501,$BJ140)="","",INDEX(原始資料!AQ$2:AQ$501,$BJ140)))</f>
        <v/>
      </c>
      <c r="AP140" s="6">
        <f>IF(OR($BJ140="",41&gt;設定!$B$3),"",IF(INDEX(原始資料!AR$2:AR$501,$BJ140)="","",INDEX(原始資料!AR$2:AR$501,$BJ140)))</f>
        <v/>
      </c>
      <c r="AQ140" s="6">
        <f>IF(OR($BJ140="",42&gt;設定!$B$3),"",IF(INDEX(原始資料!AS$2:AS$501,$BJ140)="","",INDEX(原始資料!AS$2:AS$501,$BJ140)))</f>
        <v/>
      </c>
      <c r="AR140" s="6">
        <f>IF(OR($BJ140="",43&gt;設定!$B$3),"",IF(INDEX(原始資料!AT$2:AT$501,$BJ140)="","",INDEX(原始資料!AT$2:AT$501,$BJ140)))</f>
        <v/>
      </c>
      <c r="AS140" s="6">
        <f>IF(OR($BJ140="",44&gt;設定!$B$3),"",IF(INDEX(原始資料!AU$2:AU$501,$BJ140)="","",INDEX(原始資料!AU$2:AU$501,$BJ140)))</f>
        <v/>
      </c>
      <c r="AT140" s="6">
        <f>IF(OR($BJ140="",45&gt;設定!$B$3),"",IF(INDEX(原始資料!AV$2:AV$501,$BJ140)="","",INDEX(原始資料!AV$2:AV$501,$BJ140)))</f>
        <v/>
      </c>
      <c r="AU140" s="6">
        <f>IF(OR($BJ140="",46&gt;設定!$B$3),"",IF(INDEX(原始資料!AW$2:AW$501,$BJ140)="","",INDEX(原始資料!AW$2:AW$501,$BJ140)))</f>
        <v/>
      </c>
      <c r="AV140" s="6">
        <f>IF(OR($BJ140="",47&gt;設定!$B$3),"",IF(INDEX(原始資料!AX$2:AX$501,$BJ140)="","",INDEX(原始資料!AX$2:AX$501,$BJ140)))</f>
        <v/>
      </c>
      <c r="AW140" s="6">
        <f>IF(OR($BJ140="",48&gt;設定!$B$3),"",IF(INDEX(原始資料!AY$2:AY$501,$BJ140)="","",INDEX(原始資料!AY$2:AY$501,$BJ140)))</f>
        <v/>
      </c>
      <c r="AX140" s="6">
        <f>IF(OR($BJ140="",49&gt;設定!$B$3),"",IF(INDEX(原始資料!AZ$2:AZ$501,$BJ140)="","",INDEX(原始資料!AZ$2:AZ$501,$BJ140)))</f>
        <v/>
      </c>
      <c r="AY140" s="6">
        <f>IF(OR($BJ140="",50&gt;設定!$B$3),"",IF(INDEX(原始資料!BA$2:BA$501,$BJ140)="","",INDEX(原始資料!BA$2:BA$501,$BJ140)))</f>
        <v/>
      </c>
      <c r="AZ140" s="6">
        <f>IF(OR($BJ140="",51&gt;設定!$B$3),"",IF(INDEX(原始資料!BB$2:BB$501,$BJ140)="","",INDEX(原始資料!BB$2:BB$501,$BJ140)))</f>
        <v/>
      </c>
      <c r="BA140" s="6">
        <f>IF(OR($BJ140="",52&gt;設定!$B$3),"",IF(INDEX(原始資料!BC$2:BC$501,$BJ140)="","",INDEX(原始資料!BC$2:BC$501,$BJ140)))</f>
        <v/>
      </c>
      <c r="BB140" s="6">
        <f>IF(OR($BJ140="",53&gt;設定!$B$3),"",IF(INDEX(原始資料!BD$2:BD$501,$BJ140)="","",INDEX(原始資料!BD$2:BD$501,$BJ140)))</f>
        <v/>
      </c>
      <c r="BC140" s="6">
        <f>IF(OR($BJ140="",54&gt;設定!$B$3),"",IF(INDEX(原始資料!BE$2:BE$501,$BJ140)="","",INDEX(原始資料!BE$2:BE$501,$BJ140)))</f>
        <v/>
      </c>
      <c r="BD140" s="6">
        <f>IF(OR($BJ140="",55&gt;設定!$B$3),"",IF(INDEX(原始資料!BF$2:BF$501,$BJ140)="","",INDEX(原始資料!BF$2:BF$501,$BJ140)))</f>
        <v/>
      </c>
      <c r="BE140" s="6">
        <f>IF(OR($BJ140="",56&gt;設定!$B$3),"",IF(INDEX(原始資料!BG$2:BG$501,$BJ140)="","",INDEX(原始資料!BG$2:BG$501,$BJ140)))</f>
        <v/>
      </c>
      <c r="BF140" s="6">
        <f>IF(OR($BJ140="",57&gt;設定!$B$3),"",IF(INDEX(原始資料!BH$2:BH$501,$BJ140)="","",INDEX(原始資料!BH$2:BH$501,$BJ140)))</f>
        <v/>
      </c>
      <c r="BG140" s="6">
        <f>IF(OR($BJ140="",58&gt;設定!$B$3),"",IF(INDEX(原始資料!BI$2:BI$501,$BJ140)="","",INDEX(原始資料!BI$2:BI$501,$BJ140)))</f>
        <v/>
      </c>
      <c r="BH140" s="6">
        <f>IF(OR($BJ140="",59&gt;設定!$B$3),"",IF(INDEX(原始資料!BJ$2:BJ$501,$BJ140)="","",INDEX(原始資料!BJ$2:BJ$501,$BJ140)))</f>
        <v/>
      </c>
      <c r="BI140" s="6">
        <f>IF(OR($BJ140="",60&gt;設定!$B$3),"",IF(INDEX(原始資料!BK$2:BK$501,$BJ140)="","",INDEX(原始資料!BK$2:BK$501,$BJ140)))</f>
        <v/>
      </c>
      <c r="BJ140" s="6">
        <f>IFERROR(MATCH(ROW()-1,判定!$H$2:$H$501,0),"")</f>
        <v/>
      </c>
    </row>
    <row r="141">
      <c r="A141" s="6">
        <f>IF($BJ141="","",INDEX(原始資料!$A$2:$A$501,$BJ141))</f>
        <v/>
      </c>
      <c r="B141" s="6">
        <f>IF(OR($BJ141="",1&gt;設定!$B$3),"",IF(INDEX(原始資料!D$2:D$501,$BJ141)="","",INDEX(原始資料!D$2:D$501,$BJ141)))</f>
        <v/>
      </c>
      <c r="C141" s="6">
        <f>IF(OR($BJ141="",2&gt;設定!$B$3),"",IF(INDEX(原始資料!E$2:E$501,$BJ141)="","",INDEX(原始資料!E$2:E$501,$BJ141)))</f>
        <v/>
      </c>
      <c r="D141" s="6">
        <f>IF(OR($BJ141="",3&gt;設定!$B$3),"",IF(INDEX(原始資料!F$2:F$501,$BJ141)="","",INDEX(原始資料!F$2:F$501,$BJ141)))</f>
        <v/>
      </c>
      <c r="E141" s="6">
        <f>IF(OR($BJ141="",4&gt;設定!$B$3),"",IF(INDEX(原始資料!G$2:G$501,$BJ141)="","",INDEX(原始資料!G$2:G$501,$BJ141)))</f>
        <v/>
      </c>
      <c r="F141" s="6">
        <f>IF(OR($BJ141="",5&gt;設定!$B$3),"",IF(INDEX(原始資料!H$2:H$501,$BJ141)="","",INDEX(原始資料!H$2:H$501,$BJ141)))</f>
        <v/>
      </c>
      <c r="G141" s="6">
        <f>IF(OR($BJ141="",6&gt;設定!$B$3),"",IF(INDEX(原始資料!I$2:I$501,$BJ141)="","",INDEX(原始資料!I$2:I$501,$BJ141)))</f>
        <v/>
      </c>
      <c r="H141" s="6">
        <f>IF(OR($BJ141="",7&gt;設定!$B$3),"",IF(INDEX(原始資料!J$2:J$501,$BJ141)="","",INDEX(原始資料!J$2:J$501,$BJ141)))</f>
        <v/>
      </c>
      <c r="I141" s="6">
        <f>IF(OR($BJ141="",8&gt;設定!$B$3),"",IF(INDEX(原始資料!K$2:K$501,$BJ141)="","",INDEX(原始資料!K$2:K$501,$BJ141)))</f>
        <v/>
      </c>
      <c r="J141" s="6">
        <f>IF(OR($BJ141="",9&gt;設定!$B$3),"",IF(INDEX(原始資料!L$2:L$501,$BJ141)="","",INDEX(原始資料!L$2:L$501,$BJ141)))</f>
        <v/>
      </c>
      <c r="K141" s="6">
        <f>IF(OR($BJ141="",10&gt;設定!$B$3),"",IF(INDEX(原始資料!M$2:M$501,$BJ141)="","",INDEX(原始資料!M$2:M$501,$BJ141)))</f>
        <v/>
      </c>
      <c r="L141" s="6">
        <f>IF(OR($BJ141="",11&gt;設定!$B$3),"",IF(INDEX(原始資料!N$2:N$501,$BJ141)="","",INDEX(原始資料!N$2:N$501,$BJ141)))</f>
        <v/>
      </c>
      <c r="M141" s="6">
        <f>IF(OR($BJ141="",12&gt;設定!$B$3),"",IF(INDEX(原始資料!O$2:O$501,$BJ141)="","",INDEX(原始資料!O$2:O$501,$BJ141)))</f>
        <v/>
      </c>
      <c r="N141" s="6">
        <f>IF(OR($BJ141="",13&gt;設定!$B$3),"",IF(INDEX(原始資料!P$2:P$501,$BJ141)="","",INDEX(原始資料!P$2:P$501,$BJ141)))</f>
        <v/>
      </c>
      <c r="O141" s="6">
        <f>IF(OR($BJ141="",14&gt;設定!$B$3),"",IF(INDEX(原始資料!Q$2:Q$501,$BJ141)="","",INDEX(原始資料!Q$2:Q$501,$BJ141)))</f>
        <v/>
      </c>
      <c r="P141" s="6">
        <f>IF(OR($BJ141="",15&gt;設定!$B$3),"",IF(INDEX(原始資料!R$2:R$501,$BJ141)="","",INDEX(原始資料!R$2:R$501,$BJ141)))</f>
        <v/>
      </c>
      <c r="Q141" s="6">
        <f>IF(OR($BJ141="",16&gt;設定!$B$3),"",IF(INDEX(原始資料!S$2:S$501,$BJ141)="","",INDEX(原始資料!S$2:S$501,$BJ141)))</f>
        <v/>
      </c>
      <c r="R141" s="6">
        <f>IF(OR($BJ141="",17&gt;設定!$B$3),"",IF(INDEX(原始資料!T$2:T$501,$BJ141)="","",INDEX(原始資料!T$2:T$501,$BJ141)))</f>
        <v/>
      </c>
      <c r="S141" s="6">
        <f>IF(OR($BJ141="",18&gt;設定!$B$3),"",IF(INDEX(原始資料!U$2:U$501,$BJ141)="","",INDEX(原始資料!U$2:U$501,$BJ141)))</f>
        <v/>
      </c>
      <c r="T141" s="6">
        <f>IF(OR($BJ141="",19&gt;設定!$B$3),"",IF(INDEX(原始資料!V$2:V$501,$BJ141)="","",INDEX(原始資料!V$2:V$501,$BJ141)))</f>
        <v/>
      </c>
      <c r="U141" s="6">
        <f>IF(OR($BJ141="",20&gt;設定!$B$3),"",IF(INDEX(原始資料!W$2:W$501,$BJ141)="","",INDEX(原始資料!W$2:W$501,$BJ141)))</f>
        <v/>
      </c>
      <c r="V141" s="6">
        <f>IF(OR($BJ141="",21&gt;設定!$B$3),"",IF(INDEX(原始資料!X$2:X$501,$BJ141)="","",INDEX(原始資料!X$2:X$501,$BJ141)))</f>
        <v/>
      </c>
      <c r="W141" s="6">
        <f>IF(OR($BJ141="",22&gt;設定!$B$3),"",IF(INDEX(原始資料!Y$2:Y$501,$BJ141)="","",INDEX(原始資料!Y$2:Y$501,$BJ141)))</f>
        <v/>
      </c>
      <c r="X141" s="6">
        <f>IF(OR($BJ141="",23&gt;設定!$B$3),"",IF(INDEX(原始資料!Z$2:Z$501,$BJ141)="","",INDEX(原始資料!Z$2:Z$501,$BJ141)))</f>
        <v/>
      </c>
      <c r="Y141" s="6">
        <f>IF(OR($BJ141="",24&gt;設定!$B$3),"",IF(INDEX(原始資料!AA$2:AA$501,$BJ141)="","",INDEX(原始資料!AA$2:AA$501,$BJ141)))</f>
        <v/>
      </c>
      <c r="Z141" s="6">
        <f>IF(OR($BJ141="",25&gt;設定!$B$3),"",IF(INDEX(原始資料!AB$2:AB$501,$BJ141)="","",INDEX(原始資料!AB$2:AB$501,$BJ141)))</f>
        <v/>
      </c>
      <c r="AA141" s="6">
        <f>IF(OR($BJ141="",26&gt;設定!$B$3),"",IF(INDEX(原始資料!AC$2:AC$501,$BJ141)="","",INDEX(原始資料!AC$2:AC$501,$BJ141)))</f>
        <v/>
      </c>
      <c r="AB141" s="6">
        <f>IF(OR($BJ141="",27&gt;設定!$B$3),"",IF(INDEX(原始資料!AD$2:AD$501,$BJ141)="","",INDEX(原始資料!AD$2:AD$501,$BJ141)))</f>
        <v/>
      </c>
      <c r="AC141" s="6">
        <f>IF(OR($BJ141="",28&gt;設定!$B$3),"",IF(INDEX(原始資料!AE$2:AE$501,$BJ141)="","",INDEX(原始資料!AE$2:AE$501,$BJ141)))</f>
        <v/>
      </c>
      <c r="AD141" s="6">
        <f>IF(OR($BJ141="",29&gt;設定!$B$3),"",IF(INDEX(原始資料!AF$2:AF$501,$BJ141)="","",INDEX(原始資料!AF$2:AF$501,$BJ141)))</f>
        <v/>
      </c>
      <c r="AE141" s="6">
        <f>IF(OR($BJ141="",30&gt;設定!$B$3),"",IF(INDEX(原始資料!AG$2:AG$501,$BJ141)="","",INDEX(原始資料!AG$2:AG$501,$BJ141)))</f>
        <v/>
      </c>
      <c r="AF141" s="6">
        <f>IF(OR($BJ141="",31&gt;設定!$B$3),"",IF(INDEX(原始資料!AH$2:AH$501,$BJ141)="","",INDEX(原始資料!AH$2:AH$501,$BJ141)))</f>
        <v/>
      </c>
      <c r="AG141" s="6">
        <f>IF(OR($BJ141="",32&gt;設定!$B$3),"",IF(INDEX(原始資料!AI$2:AI$501,$BJ141)="","",INDEX(原始資料!AI$2:AI$501,$BJ141)))</f>
        <v/>
      </c>
      <c r="AH141" s="6">
        <f>IF(OR($BJ141="",33&gt;設定!$B$3),"",IF(INDEX(原始資料!AJ$2:AJ$501,$BJ141)="","",INDEX(原始資料!AJ$2:AJ$501,$BJ141)))</f>
        <v/>
      </c>
      <c r="AI141" s="6">
        <f>IF(OR($BJ141="",34&gt;設定!$B$3),"",IF(INDEX(原始資料!AK$2:AK$501,$BJ141)="","",INDEX(原始資料!AK$2:AK$501,$BJ141)))</f>
        <v/>
      </c>
      <c r="AJ141" s="6">
        <f>IF(OR($BJ141="",35&gt;設定!$B$3),"",IF(INDEX(原始資料!AL$2:AL$501,$BJ141)="","",INDEX(原始資料!AL$2:AL$501,$BJ141)))</f>
        <v/>
      </c>
      <c r="AK141" s="6">
        <f>IF(OR($BJ141="",36&gt;設定!$B$3),"",IF(INDEX(原始資料!AM$2:AM$501,$BJ141)="","",INDEX(原始資料!AM$2:AM$501,$BJ141)))</f>
        <v/>
      </c>
      <c r="AL141" s="6">
        <f>IF(OR($BJ141="",37&gt;設定!$B$3),"",IF(INDEX(原始資料!AN$2:AN$501,$BJ141)="","",INDEX(原始資料!AN$2:AN$501,$BJ141)))</f>
        <v/>
      </c>
      <c r="AM141" s="6">
        <f>IF(OR($BJ141="",38&gt;設定!$B$3),"",IF(INDEX(原始資料!AO$2:AO$501,$BJ141)="","",INDEX(原始資料!AO$2:AO$501,$BJ141)))</f>
        <v/>
      </c>
      <c r="AN141" s="6">
        <f>IF(OR($BJ141="",39&gt;設定!$B$3),"",IF(INDEX(原始資料!AP$2:AP$501,$BJ141)="","",INDEX(原始資料!AP$2:AP$501,$BJ141)))</f>
        <v/>
      </c>
      <c r="AO141" s="6">
        <f>IF(OR($BJ141="",40&gt;設定!$B$3),"",IF(INDEX(原始資料!AQ$2:AQ$501,$BJ141)="","",INDEX(原始資料!AQ$2:AQ$501,$BJ141)))</f>
        <v/>
      </c>
      <c r="AP141" s="6">
        <f>IF(OR($BJ141="",41&gt;設定!$B$3),"",IF(INDEX(原始資料!AR$2:AR$501,$BJ141)="","",INDEX(原始資料!AR$2:AR$501,$BJ141)))</f>
        <v/>
      </c>
      <c r="AQ141" s="6">
        <f>IF(OR($BJ141="",42&gt;設定!$B$3),"",IF(INDEX(原始資料!AS$2:AS$501,$BJ141)="","",INDEX(原始資料!AS$2:AS$501,$BJ141)))</f>
        <v/>
      </c>
      <c r="AR141" s="6">
        <f>IF(OR($BJ141="",43&gt;設定!$B$3),"",IF(INDEX(原始資料!AT$2:AT$501,$BJ141)="","",INDEX(原始資料!AT$2:AT$501,$BJ141)))</f>
        <v/>
      </c>
      <c r="AS141" s="6">
        <f>IF(OR($BJ141="",44&gt;設定!$B$3),"",IF(INDEX(原始資料!AU$2:AU$501,$BJ141)="","",INDEX(原始資料!AU$2:AU$501,$BJ141)))</f>
        <v/>
      </c>
      <c r="AT141" s="6">
        <f>IF(OR($BJ141="",45&gt;設定!$B$3),"",IF(INDEX(原始資料!AV$2:AV$501,$BJ141)="","",INDEX(原始資料!AV$2:AV$501,$BJ141)))</f>
        <v/>
      </c>
      <c r="AU141" s="6">
        <f>IF(OR($BJ141="",46&gt;設定!$B$3),"",IF(INDEX(原始資料!AW$2:AW$501,$BJ141)="","",INDEX(原始資料!AW$2:AW$501,$BJ141)))</f>
        <v/>
      </c>
      <c r="AV141" s="6">
        <f>IF(OR($BJ141="",47&gt;設定!$B$3),"",IF(INDEX(原始資料!AX$2:AX$501,$BJ141)="","",INDEX(原始資料!AX$2:AX$501,$BJ141)))</f>
        <v/>
      </c>
      <c r="AW141" s="6">
        <f>IF(OR($BJ141="",48&gt;設定!$B$3),"",IF(INDEX(原始資料!AY$2:AY$501,$BJ141)="","",INDEX(原始資料!AY$2:AY$501,$BJ141)))</f>
        <v/>
      </c>
      <c r="AX141" s="6">
        <f>IF(OR($BJ141="",49&gt;設定!$B$3),"",IF(INDEX(原始資料!AZ$2:AZ$501,$BJ141)="","",INDEX(原始資料!AZ$2:AZ$501,$BJ141)))</f>
        <v/>
      </c>
      <c r="AY141" s="6">
        <f>IF(OR($BJ141="",50&gt;設定!$B$3),"",IF(INDEX(原始資料!BA$2:BA$501,$BJ141)="","",INDEX(原始資料!BA$2:BA$501,$BJ141)))</f>
        <v/>
      </c>
      <c r="AZ141" s="6">
        <f>IF(OR($BJ141="",51&gt;設定!$B$3),"",IF(INDEX(原始資料!BB$2:BB$501,$BJ141)="","",INDEX(原始資料!BB$2:BB$501,$BJ141)))</f>
        <v/>
      </c>
      <c r="BA141" s="6">
        <f>IF(OR($BJ141="",52&gt;設定!$B$3),"",IF(INDEX(原始資料!BC$2:BC$501,$BJ141)="","",INDEX(原始資料!BC$2:BC$501,$BJ141)))</f>
        <v/>
      </c>
      <c r="BB141" s="6">
        <f>IF(OR($BJ141="",53&gt;設定!$B$3),"",IF(INDEX(原始資料!BD$2:BD$501,$BJ141)="","",INDEX(原始資料!BD$2:BD$501,$BJ141)))</f>
        <v/>
      </c>
      <c r="BC141" s="6">
        <f>IF(OR($BJ141="",54&gt;設定!$B$3),"",IF(INDEX(原始資料!BE$2:BE$501,$BJ141)="","",INDEX(原始資料!BE$2:BE$501,$BJ141)))</f>
        <v/>
      </c>
      <c r="BD141" s="6">
        <f>IF(OR($BJ141="",55&gt;設定!$B$3),"",IF(INDEX(原始資料!BF$2:BF$501,$BJ141)="","",INDEX(原始資料!BF$2:BF$501,$BJ141)))</f>
        <v/>
      </c>
      <c r="BE141" s="6">
        <f>IF(OR($BJ141="",56&gt;設定!$B$3),"",IF(INDEX(原始資料!BG$2:BG$501,$BJ141)="","",INDEX(原始資料!BG$2:BG$501,$BJ141)))</f>
        <v/>
      </c>
      <c r="BF141" s="6">
        <f>IF(OR($BJ141="",57&gt;設定!$B$3),"",IF(INDEX(原始資料!BH$2:BH$501,$BJ141)="","",INDEX(原始資料!BH$2:BH$501,$BJ141)))</f>
        <v/>
      </c>
      <c r="BG141" s="6">
        <f>IF(OR($BJ141="",58&gt;設定!$B$3),"",IF(INDEX(原始資料!BI$2:BI$501,$BJ141)="","",INDEX(原始資料!BI$2:BI$501,$BJ141)))</f>
        <v/>
      </c>
      <c r="BH141" s="6">
        <f>IF(OR($BJ141="",59&gt;設定!$B$3),"",IF(INDEX(原始資料!BJ$2:BJ$501,$BJ141)="","",INDEX(原始資料!BJ$2:BJ$501,$BJ141)))</f>
        <v/>
      </c>
      <c r="BI141" s="6">
        <f>IF(OR($BJ141="",60&gt;設定!$B$3),"",IF(INDEX(原始資料!BK$2:BK$501,$BJ141)="","",INDEX(原始資料!BK$2:BK$501,$BJ141)))</f>
        <v/>
      </c>
      <c r="BJ141" s="6">
        <f>IFERROR(MATCH(ROW()-1,判定!$H$2:$H$501,0),"")</f>
        <v/>
      </c>
    </row>
    <row r="142">
      <c r="A142" s="6">
        <f>IF($BJ142="","",INDEX(原始資料!$A$2:$A$501,$BJ142))</f>
        <v/>
      </c>
      <c r="B142" s="6">
        <f>IF(OR($BJ142="",1&gt;設定!$B$3),"",IF(INDEX(原始資料!D$2:D$501,$BJ142)="","",INDEX(原始資料!D$2:D$501,$BJ142)))</f>
        <v/>
      </c>
      <c r="C142" s="6">
        <f>IF(OR($BJ142="",2&gt;設定!$B$3),"",IF(INDEX(原始資料!E$2:E$501,$BJ142)="","",INDEX(原始資料!E$2:E$501,$BJ142)))</f>
        <v/>
      </c>
      <c r="D142" s="6">
        <f>IF(OR($BJ142="",3&gt;設定!$B$3),"",IF(INDEX(原始資料!F$2:F$501,$BJ142)="","",INDEX(原始資料!F$2:F$501,$BJ142)))</f>
        <v/>
      </c>
      <c r="E142" s="6">
        <f>IF(OR($BJ142="",4&gt;設定!$B$3),"",IF(INDEX(原始資料!G$2:G$501,$BJ142)="","",INDEX(原始資料!G$2:G$501,$BJ142)))</f>
        <v/>
      </c>
      <c r="F142" s="6">
        <f>IF(OR($BJ142="",5&gt;設定!$B$3),"",IF(INDEX(原始資料!H$2:H$501,$BJ142)="","",INDEX(原始資料!H$2:H$501,$BJ142)))</f>
        <v/>
      </c>
      <c r="G142" s="6">
        <f>IF(OR($BJ142="",6&gt;設定!$B$3),"",IF(INDEX(原始資料!I$2:I$501,$BJ142)="","",INDEX(原始資料!I$2:I$501,$BJ142)))</f>
        <v/>
      </c>
      <c r="H142" s="6">
        <f>IF(OR($BJ142="",7&gt;設定!$B$3),"",IF(INDEX(原始資料!J$2:J$501,$BJ142)="","",INDEX(原始資料!J$2:J$501,$BJ142)))</f>
        <v/>
      </c>
      <c r="I142" s="6">
        <f>IF(OR($BJ142="",8&gt;設定!$B$3),"",IF(INDEX(原始資料!K$2:K$501,$BJ142)="","",INDEX(原始資料!K$2:K$501,$BJ142)))</f>
        <v/>
      </c>
      <c r="J142" s="6">
        <f>IF(OR($BJ142="",9&gt;設定!$B$3),"",IF(INDEX(原始資料!L$2:L$501,$BJ142)="","",INDEX(原始資料!L$2:L$501,$BJ142)))</f>
        <v/>
      </c>
      <c r="K142" s="6">
        <f>IF(OR($BJ142="",10&gt;設定!$B$3),"",IF(INDEX(原始資料!M$2:M$501,$BJ142)="","",INDEX(原始資料!M$2:M$501,$BJ142)))</f>
        <v/>
      </c>
      <c r="L142" s="6">
        <f>IF(OR($BJ142="",11&gt;設定!$B$3),"",IF(INDEX(原始資料!N$2:N$501,$BJ142)="","",INDEX(原始資料!N$2:N$501,$BJ142)))</f>
        <v/>
      </c>
      <c r="M142" s="6">
        <f>IF(OR($BJ142="",12&gt;設定!$B$3),"",IF(INDEX(原始資料!O$2:O$501,$BJ142)="","",INDEX(原始資料!O$2:O$501,$BJ142)))</f>
        <v/>
      </c>
      <c r="N142" s="6">
        <f>IF(OR($BJ142="",13&gt;設定!$B$3),"",IF(INDEX(原始資料!P$2:P$501,$BJ142)="","",INDEX(原始資料!P$2:P$501,$BJ142)))</f>
        <v/>
      </c>
      <c r="O142" s="6">
        <f>IF(OR($BJ142="",14&gt;設定!$B$3),"",IF(INDEX(原始資料!Q$2:Q$501,$BJ142)="","",INDEX(原始資料!Q$2:Q$501,$BJ142)))</f>
        <v/>
      </c>
      <c r="P142" s="6">
        <f>IF(OR($BJ142="",15&gt;設定!$B$3),"",IF(INDEX(原始資料!R$2:R$501,$BJ142)="","",INDEX(原始資料!R$2:R$501,$BJ142)))</f>
        <v/>
      </c>
      <c r="Q142" s="6">
        <f>IF(OR($BJ142="",16&gt;設定!$B$3),"",IF(INDEX(原始資料!S$2:S$501,$BJ142)="","",INDEX(原始資料!S$2:S$501,$BJ142)))</f>
        <v/>
      </c>
      <c r="R142" s="6">
        <f>IF(OR($BJ142="",17&gt;設定!$B$3),"",IF(INDEX(原始資料!T$2:T$501,$BJ142)="","",INDEX(原始資料!T$2:T$501,$BJ142)))</f>
        <v/>
      </c>
      <c r="S142" s="6">
        <f>IF(OR($BJ142="",18&gt;設定!$B$3),"",IF(INDEX(原始資料!U$2:U$501,$BJ142)="","",INDEX(原始資料!U$2:U$501,$BJ142)))</f>
        <v/>
      </c>
      <c r="T142" s="6">
        <f>IF(OR($BJ142="",19&gt;設定!$B$3),"",IF(INDEX(原始資料!V$2:V$501,$BJ142)="","",INDEX(原始資料!V$2:V$501,$BJ142)))</f>
        <v/>
      </c>
      <c r="U142" s="6">
        <f>IF(OR($BJ142="",20&gt;設定!$B$3),"",IF(INDEX(原始資料!W$2:W$501,$BJ142)="","",INDEX(原始資料!W$2:W$501,$BJ142)))</f>
        <v/>
      </c>
      <c r="V142" s="6">
        <f>IF(OR($BJ142="",21&gt;設定!$B$3),"",IF(INDEX(原始資料!X$2:X$501,$BJ142)="","",INDEX(原始資料!X$2:X$501,$BJ142)))</f>
        <v/>
      </c>
      <c r="W142" s="6">
        <f>IF(OR($BJ142="",22&gt;設定!$B$3),"",IF(INDEX(原始資料!Y$2:Y$501,$BJ142)="","",INDEX(原始資料!Y$2:Y$501,$BJ142)))</f>
        <v/>
      </c>
      <c r="X142" s="6">
        <f>IF(OR($BJ142="",23&gt;設定!$B$3),"",IF(INDEX(原始資料!Z$2:Z$501,$BJ142)="","",INDEX(原始資料!Z$2:Z$501,$BJ142)))</f>
        <v/>
      </c>
      <c r="Y142" s="6">
        <f>IF(OR($BJ142="",24&gt;設定!$B$3),"",IF(INDEX(原始資料!AA$2:AA$501,$BJ142)="","",INDEX(原始資料!AA$2:AA$501,$BJ142)))</f>
        <v/>
      </c>
      <c r="Z142" s="6">
        <f>IF(OR($BJ142="",25&gt;設定!$B$3),"",IF(INDEX(原始資料!AB$2:AB$501,$BJ142)="","",INDEX(原始資料!AB$2:AB$501,$BJ142)))</f>
        <v/>
      </c>
      <c r="AA142" s="6">
        <f>IF(OR($BJ142="",26&gt;設定!$B$3),"",IF(INDEX(原始資料!AC$2:AC$501,$BJ142)="","",INDEX(原始資料!AC$2:AC$501,$BJ142)))</f>
        <v/>
      </c>
      <c r="AB142" s="6">
        <f>IF(OR($BJ142="",27&gt;設定!$B$3),"",IF(INDEX(原始資料!AD$2:AD$501,$BJ142)="","",INDEX(原始資料!AD$2:AD$501,$BJ142)))</f>
        <v/>
      </c>
      <c r="AC142" s="6">
        <f>IF(OR($BJ142="",28&gt;設定!$B$3),"",IF(INDEX(原始資料!AE$2:AE$501,$BJ142)="","",INDEX(原始資料!AE$2:AE$501,$BJ142)))</f>
        <v/>
      </c>
      <c r="AD142" s="6">
        <f>IF(OR($BJ142="",29&gt;設定!$B$3),"",IF(INDEX(原始資料!AF$2:AF$501,$BJ142)="","",INDEX(原始資料!AF$2:AF$501,$BJ142)))</f>
        <v/>
      </c>
      <c r="AE142" s="6">
        <f>IF(OR($BJ142="",30&gt;設定!$B$3),"",IF(INDEX(原始資料!AG$2:AG$501,$BJ142)="","",INDEX(原始資料!AG$2:AG$501,$BJ142)))</f>
        <v/>
      </c>
      <c r="AF142" s="6">
        <f>IF(OR($BJ142="",31&gt;設定!$B$3),"",IF(INDEX(原始資料!AH$2:AH$501,$BJ142)="","",INDEX(原始資料!AH$2:AH$501,$BJ142)))</f>
        <v/>
      </c>
      <c r="AG142" s="6">
        <f>IF(OR($BJ142="",32&gt;設定!$B$3),"",IF(INDEX(原始資料!AI$2:AI$501,$BJ142)="","",INDEX(原始資料!AI$2:AI$501,$BJ142)))</f>
        <v/>
      </c>
      <c r="AH142" s="6">
        <f>IF(OR($BJ142="",33&gt;設定!$B$3),"",IF(INDEX(原始資料!AJ$2:AJ$501,$BJ142)="","",INDEX(原始資料!AJ$2:AJ$501,$BJ142)))</f>
        <v/>
      </c>
      <c r="AI142" s="6">
        <f>IF(OR($BJ142="",34&gt;設定!$B$3),"",IF(INDEX(原始資料!AK$2:AK$501,$BJ142)="","",INDEX(原始資料!AK$2:AK$501,$BJ142)))</f>
        <v/>
      </c>
      <c r="AJ142" s="6">
        <f>IF(OR($BJ142="",35&gt;設定!$B$3),"",IF(INDEX(原始資料!AL$2:AL$501,$BJ142)="","",INDEX(原始資料!AL$2:AL$501,$BJ142)))</f>
        <v/>
      </c>
      <c r="AK142" s="6">
        <f>IF(OR($BJ142="",36&gt;設定!$B$3),"",IF(INDEX(原始資料!AM$2:AM$501,$BJ142)="","",INDEX(原始資料!AM$2:AM$501,$BJ142)))</f>
        <v/>
      </c>
      <c r="AL142" s="6">
        <f>IF(OR($BJ142="",37&gt;設定!$B$3),"",IF(INDEX(原始資料!AN$2:AN$501,$BJ142)="","",INDEX(原始資料!AN$2:AN$501,$BJ142)))</f>
        <v/>
      </c>
      <c r="AM142" s="6">
        <f>IF(OR($BJ142="",38&gt;設定!$B$3),"",IF(INDEX(原始資料!AO$2:AO$501,$BJ142)="","",INDEX(原始資料!AO$2:AO$501,$BJ142)))</f>
        <v/>
      </c>
      <c r="AN142" s="6">
        <f>IF(OR($BJ142="",39&gt;設定!$B$3),"",IF(INDEX(原始資料!AP$2:AP$501,$BJ142)="","",INDEX(原始資料!AP$2:AP$501,$BJ142)))</f>
        <v/>
      </c>
      <c r="AO142" s="6">
        <f>IF(OR($BJ142="",40&gt;設定!$B$3),"",IF(INDEX(原始資料!AQ$2:AQ$501,$BJ142)="","",INDEX(原始資料!AQ$2:AQ$501,$BJ142)))</f>
        <v/>
      </c>
      <c r="AP142" s="6">
        <f>IF(OR($BJ142="",41&gt;設定!$B$3),"",IF(INDEX(原始資料!AR$2:AR$501,$BJ142)="","",INDEX(原始資料!AR$2:AR$501,$BJ142)))</f>
        <v/>
      </c>
      <c r="AQ142" s="6">
        <f>IF(OR($BJ142="",42&gt;設定!$B$3),"",IF(INDEX(原始資料!AS$2:AS$501,$BJ142)="","",INDEX(原始資料!AS$2:AS$501,$BJ142)))</f>
        <v/>
      </c>
      <c r="AR142" s="6">
        <f>IF(OR($BJ142="",43&gt;設定!$B$3),"",IF(INDEX(原始資料!AT$2:AT$501,$BJ142)="","",INDEX(原始資料!AT$2:AT$501,$BJ142)))</f>
        <v/>
      </c>
      <c r="AS142" s="6">
        <f>IF(OR($BJ142="",44&gt;設定!$B$3),"",IF(INDEX(原始資料!AU$2:AU$501,$BJ142)="","",INDEX(原始資料!AU$2:AU$501,$BJ142)))</f>
        <v/>
      </c>
      <c r="AT142" s="6">
        <f>IF(OR($BJ142="",45&gt;設定!$B$3),"",IF(INDEX(原始資料!AV$2:AV$501,$BJ142)="","",INDEX(原始資料!AV$2:AV$501,$BJ142)))</f>
        <v/>
      </c>
      <c r="AU142" s="6">
        <f>IF(OR($BJ142="",46&gt;設定!$B$3),"",IF(INDEX(原始資料!AW$2:AW$501,$BJ142)="","",INDEX(原始資料!AW$2:AW$501,$BJ142)))</f>
        <v/>
      </c>
      <c r="AV142" s="6">
        <f>IF(OR($BJ142="",47&gt;設定!$B$3),"",IF(INDEX(原始資料!AX$2:AX$501,$BJ142)="","",INDEX(原始資料!AX$2:AX$501,$BJ142)))</f>
        <v/>
      </c>
      <c r="AW142" s="6">
        <f>IF(OR($BJ142="",48&gt;設定!$B$3),"",IF(INDEX(原始資料!AY$2:AY$501,$BJ142)="","",INDEX(原始資料!AY$2:AY$501,$BJ142)))</f>
        <v/>
      </c>
      <c r="AX142" s="6">
        <f>IF(OR($BJ142="",49&gt;設定!$B$3),"",IF(INDEX(原始資料!AZ$2:AZ$501,$BJ142)="","",INDEX(原始資料!AZ$2:AZ$501,$BJ142)))</f>
        <v/>
      </c>
      <c r="AY142" s="6">
        <f>IF(OR($BJ142="",50&gt;設定!$B$3),"",IF(INDEX(原始資料!BA$2:BA$501,$BJ142)="","",INDEX(原始資料!BA$2:BA$501,$BJ142)))</f>
        <v/>
      </c>
      <c r="AZ142" s="6">
        <f>IF(OR($BJ142="",51&gt;設定!$B$3),"",IF(INDEX(原始資料!BB$2:BB$501,$BJ142)="","",INDEX(原始資料!BB$2:BB$501,$BJ142)))</f>
        <v/>
      </c>
      <c r="BA142" s="6">
        <f>IF(OR($BJ142="",52&gt;設定!$B$3),"",IF(INDEX(原始資料!BC$2:BC$501,$BJ142)="","",INDEX(原始資料!BC$2:BC$501,$BJ142)))</f>
        <v/>
      </c>
      <c r="BB142" s="6">
        <f>IF(OR($BJ142="",53&gt;設定!$B$3),"",IF(INDEX(原始資料!BD$2:BD$501,$BJ142)="","",INDEX(原始資料!BD$2:BD$501,$BJ142)))</f>
        <v/>
      </c>
      <c r="BC142" s="6">
        <f>IF(OR($BJ142="",54&gt;設定!$B$3),"",IF(INDEX(原始資料!BE$2:BE$501,$BJ142)="","",INDEX(原始資料!BE$2:BE$501,$BJ142)))</f>
        <v/>
      </c>
      <c r="BD142" s="6">
        <f>IF(OR($BJ142="",55&gt;設定!$B$3),"",IF(INDEX(原始資料!BF$2:BF$501,$BJ142)="","",INDEX(原始資料!BF$2:BF$501,$BJ142)))</f>
        <v/>
      </c>
      <c r="BE142" s="6">
        <f>IF(OR($BJ142="",56&gt;設定!$B$3),"",IF(INDEX(原始資料!BG$2:BG$501,$BJ142)="","",INDEX(原始資料!BG$2:BG$501,$BJ142)))</f>
        <v/>
      </c>
      <c r="BF142" s="6">
        <f>IF(OR($BJ142="",57&gt;設定!$B$3),"",IF(INDEX(原始資料!BH$2:BH$501,$BJ142)="","",INDEX(原始資料!BH$2:BH$501,$BJ142)))</f>
        <v/>
      </c>
      <c r="BG142" s="6">
        <f>IF(OR($BJ142="",58&gt;設定!$B$3),"",IF(INDEX(原始資料!BI$2:BI$501,$BJ142)="","",INDEX(原始資料!BI$2:BI$501,$BJ142)))</f>
        <v/>
      </c>
      <c r="BH142" s="6">
        <f>IF(OR($BJ142="",59&gt;設定!$B$3),"",IF(INDEX(原始資料!BJ$2:BJ$501,$BJ142)="","",INDEX(原始資料!BJ$2:BJ$501,$BJ142)))</f>
        <v/>
      </c>
      <c r="BI142" s="6">
        <f>IF(OR($BJ142="",60&gt;設定!$B$3),"",IF(INDEX(原始資料!BK$2:BK$501,$BJ142)="","",INDEX(原始資料!BK$2:BK$501,$BJ142)))</f>
        <v/>
      </c>
      <c r="BJ142" s="6">
        <f>IFERROR(MATCH(ROW()-1,判定!$H$2:$H$501,0),"")</f>
        <v/>
      </c>
    </row>
    <row r="143">
      <c r="A143" s="6">
        <f>IF($BJ143="","",INDEX(原始資料!$A$2:$A$501,$BJ143))</f>
        <v/>
      </c>
      <c r="B143" s="6">
        <f>IF(OR($BJ143="",1&gt;設定!$B$3),"",IF(INDEX(原始資料!D$2:D$501,$BJ143)="","",INDEX(原始資料!D$2:D$501,$BJ143)))</f>
        <v/>
      </c>
      <c r="C143" s="6">
        <f>IF(OR($BJ143="",2&gt;設定!$B$3),"",IF(INDEX(原始資料!E$2:E$501,$BJ143)="","",INDEX(原始資料!E$2:E$501,$BJ143)))</f>
        <v/>
      </c>
      <c r="D143" s="6">
        <f>IF(OR($BJ143="",3&gt;設定!$B$3),"",IF(INDEX(原始資料!F$2:F$501,$BJ143)="","",INDEX(原始資料!F$2:F$501,$BJ143)))</f>
        <v/>
      </c>
      <c r="E143" s="6">
        <f>IF(OR($BJ143="",4&gt;設定!$B$3),"",IF(INDEX(原始資料!G$2:G$501,$BJ143)="","",INDEX(原始資料!G$2:G$501,$BJ143)))</f>
        <v/>
      </c>
      <c r="F143" s="6">
        <f>IF(OR($BJ143="",5&gt;設定!$B$3),"",IF(INDEX(原始資料!H$2:H$501,$BJ143)="","",INDEX(原始資料!H$2:H$501,$BJ143)))</f>
        <v/>
      </c>
      <c r="G143" s="6">
        <f>IF(OR($BJ143="",6&gt;設定!$B$3),"",IF(INDEX(原始資料!I$2:I$501,$BJ143)="","",INDEX(原始資料!I$2:I$501,$BJ143)))</f>
        <v/>
      </c>
      <c r="H143" s="6">
        <f>IF(OR($BJ143="",7&gt;設定!$B$3),"",IF(INDEX(原始資料!J$2:J$501,$BJ143)="","",INDEX(原始資料!J$2:J$501,$BJ143)))</f>
        <v/>
      </c>
      <c r="I143" s="6">
        <f>IF(OR($BJ143="",8&gt;設定!$B$3),"",IF(INDEX(原始資料!K$2:K$501,$BJ143)="","",INDEX(原始資料!K$2:K$501,$BJ143)))</f>
        <v/>
      </c>
      <c r="J143" s="6">
        <f>IF(OR($BJ143="",9&gt;設定!$B$3),"",IF(INDEX(原始資料!L$2:L$501,$BJ143)="","",INDEX(原始資料!L$2:L$501,$BJ143)))</f>
        <v/>
      </c>
      <c r="K143" s="6">
        <f>IF(OR($BJ143="",10&gt;設定!$B$3),"",IF(INDEX(原始資料!M$2:M$501,$BJ143)="","",INDEX(原始資料!M$2:M$501,$BJ143)))</f>
        <v/>
      </c>
      <c r="L143" s="6">
        <f>IF(OR($BJ143="",11&gt;設定!$B$3),"",IF(INDEX(原始資料!N$2:N$501,$BJ143)="","",INDEX(原始資料!N$2:N$501,$BJ143)))</f>
        <v/>
      </c>
      <c r="M143" s="6">
        <f>IF(OR($BJ143="",12&gt;設定!$B$3),"",IF(INDEX(原始資料!O$2:O$501,$BJ143)="","",INDEX(原始資料!O$2:O$501,$BJ143)))</f>
        <v/>
      </c>
      <c r="N143" s="6">
        <f>IF(OR($BJ143="",13&gt;設定!$B$3),"",IF(INDEX(原始資料!P$2:P$501,$BJ143)="","",INDEX(原始資料!P$2:P$501,$BJ143)))</f>
        <v/>
      </c>
      <c r="O143" s="6">
        <f>IF(OR($BJ143="",14&gt;設定!$B$3),"",IF(INDEX(原始資料!Q$2:Q$501,$BJ143)="","",INDEX(原始資料!Q$2:Q$501,$BJ143)))</f>
        <v/>
      </c>
      <c r="P143" s="6">
        <f>IF(OR($BJ143="",15&gt;設定!$B$3),"",IF(INDEX(原始資料!R$2:R$501,$BJ143)="","",INDEX(原始資料!R$2:R$501,$BJ143)))</f>
        <v/>
      </c>
      <c r="Q143" s="6">
        <f>IF(OR($BJ143="",16&gt;設定!$B$3),"",IF(INDEX(原始資料!S$2:S$501,$BJ143)="","",INDEX(原始資料!S$2:S$501,$BJ143)))</f>
        <v/>
      </c>
      <c r="R143" s="6">
        <f>IF(OR($BJ143="",17&gt;設定!$B$3),"",IF(INDEX(原始資料!T$2:T$501,$BJ143)="","",INDEX(原始資料!T$2:T$501,$BJ143)))</f>
        <v/>
      </c>
      <c r="S143" s="6">
        <f>IF(OR($BJ143="",18&gt;設定!$B$3),"",IF(INDEX(原始資料!U$2:U$501,$BJ143)="","",INDEX(原始資料!U$2:U$501,$BJ143)))</f>
        <v/>
      </c>
      <c r="T143" s="6">
        <f>IF(OR($BJ143="",19&gt;設定!$B$3),"",IF(INDEX(原始資料!V$2:V$501,$BJ143)="","",INDEX(原始資料!V$2:V$501,$BJ143)))</f>
        <v/>
      </c>
      <c r="U143" s="6">
        <f>IF(OR($BJ143="",20&gt;設定!$B$3),"",IF(INDEX(原始資料!W$2:W$501,$BJ143)="","",INDEX(原始資料!W$2:W$501,$BJ143)))</f>
        <v/>
      </c>
      <c r="V143" s="6">
        <f>IF(OR($BJ143="",21&gt;設定!$B$3),"",IF(INDEX(原始資料!X$2:X$501,$BJ143)="","",INDEX(原始資料!X$2:X$501,$BJ143)))</f>
        <v/>
      </c>
      <c r="W143" s="6">
        <f>IF(OR($BJ143="",22&gt;設定!$B$3),"",IF(INDEX(原始資料!Y$2:Y$501,$BJ143)="","",INDEX(原始資料!Y$2:Y$501,$BJ143)))</f>
        <v/>
      </c>
      <c r="X143" s="6">
        <f>IF(OR($BJ143="",23&gt;設定!$B$3),"",IF(INDEX(原始資料!Z$2:Z$501,$BJ143)="","",INDEX(原始資料!Z$2:Z$501,$BJ143)))</f>
        <v/>
      </c>
      <c r="Y143" s="6">
        <f>IF(OR($BJ143="",24&gt;設定!$B$3),"",IF(INDEX(原始資料!AA$2:AA$501,$BJ143)="","",INDEX(原始資料!AA$2:AA$501,$BJ143)))</f>
        <v/>
      </c>
      <c r="Z143" s="6">
        <f>IF(OR($BJ143="",25&gt;設定!$B$3),"",IF(INDEX(原始資料!AB$2:AB$501,$BJ143)="","",INDEX(原始資料!AB$2:AB$501,$BJ143)))</f>
        <v/>
      </c>
      <c r="AA143" s="6">
        <f>IF(OR($BJ143="",26&gt;設定!$B$3),"",IF(INDEX(原始資料!AC$2:AC$501,$BJ143)="","",INDEX(原始資料!AC$2:AC$501,$BJ143)))</f>
        <v/>
      </c>
      <c r="AB143" s="6">
        <f>IF(OR($BJ143="",27&gt;設定!$B$3),"",IF(INDEX(原始資料!AD$2:AD$501,$BJ143)="","",INDEX(原始資料!AD$2:AD$501,$BJ143)))</f>
        <v/>
      </c>
      <c r="AC143" s="6">
        <f>IF(OR($BJ143="",28&gt;設定!$B$3),"",IF(INDEX(原始資料!AE$2:AE$501,$BJ143)="","",INDEX(原始資料!AE$2:AE$501,$BJ143)))</f>
        <v/>
      </c>
      <c r="AD143" s="6">
        <f>IF(OR($BJ143="",29&gt;設定!$B$3),"",IF(INDEX(原始資料!AF$2:AF$501,$BJ143)="","",INDEX(原始資料!AF$2:AF$501,$BJ143)))</f>
        <v/>
      </c>
      <c r="AE143" s="6">
        <f>IF(OR($BJ143="",30&gt;設定!$B$3),"",IF(INDEX(原始資料!AG$2:AG$501,$BJ143)="","",INDEX(原始資料!AG$2:AG$501,$BJ143)))</f>
        <v/>
      </c>
      <c r="AF143" s="6">
        <f>IF(OR($BJ143="",31&gt;設定!$B$3),"",IF(INDEX(原始資料!AH$2:AH$501,$BJ143)="","",INDEX(原始資料!AH$2:AH$501,$BJ143)))</f>
        <v/>
      </c>
      <c r="AG143" s="6">
        <f>IF(OR($BJ143="",32&gt;設定!$B$3),"",IF(INDEX(原始資料!AI$2:AI$501,$BJ143)="","",INDEX(原始資料!AI$2:AI$501,$BJ143)))</f>
        <v/>
      </c>
      <c r="AH143" s="6">
        <f>IF(OR($BJ143="",33&gt;設定!$B$3),"",IF(INDEX(原始資料!AJ$2:AJ$501,$BJ143)="","",INDEX(原始資料!AJ$2:AJ$501,$BJ143)))</f>
        <v/>
      </c>
      <c r="AI143" s="6">
        <f>IF(OR($BJ143="",34&gt;設定!$B$3),"",IF(INDEX(原始資料!AK$2:AK$501,$BJ143)="","",INDEX(原始資料!AK$2:AK$501,$BJ143)))</f>
        <v/>
      </c>
      <c r="AJ143" s="6">
        <f>IF(OR($BJ143="",35&gt;設定!$B$3),"",IF(INDEX(原始資料!AL$2:AL$501,$BJ143)="","",INDEX(原始資料!AL$2:AL$501,$BJ143)))</f>
        <v/>
      </c>
      <c r="AK143" s="6">
        <f>IF(OR($BJ143="",36&gt;設定!$B$3),"",IF(INDEX(原始資料!AM$2:AM$501,$BJ143)="","",INDEX(原始資料!AM$2:AM$501,$BJ143)))</f>
        <v/>
      </c>
      <c r="AL143" s="6">
        <f>IF(OR($BJ143="",37&gt;設定!$B$3),"",IF(INDEX(原始資料!AN$2:AN$501,$BJ143)="","",INDEX(原始資料!AN$2:AN$501,$BJ143)))</f>
        <v/>
      </c>
      <c r="AM143" s="6">
        <f>IF(OR($BJ143="",38&gt;設定!$B$3),"",IF(INDEX(原始資料!AO$2:AO$501,$BJ143)="","",INDEX(原始資料!AO$2:AO$501,$BJ143)))</f>
        <v/>
      </c>
      <c r="AN143" s="6">
        <f>IF(OR($BJ143="",39&gt;設定!$B$3),"",IF(INDEX(原始資料!AP$2:AP$501,$BJ143)="","",INDEX(原始資料!AP$2:AP$501,$BJ143)))</f>
        <v/>
      </c>
      <c r="AO143" s="6">
        <f>IF(OR($BJ143="",40&gt;設定!$B$3),"",IF(INDEX(原始資料!AQ$2:AQ$501,$BJ143)="","",INDEX(原始資料!AQ$2:AQ$501,$BJ143)))</f>
        <v/>
      </c>
      <c r="AP143" s="6">
        <f>IF(OR($BJ143="",41&gt;設定!$B$3),"",IF(INDEX(原始資料!AR$2:AR$501,$BJ143)="","",INDEX(原始資料!AR$2:AR$501,$BJ143)))</f>
        <v/>
      </c>
      <c r="AQ143" s="6">
        <f>IF(OR($BJ143="",42&gt;設定!$B$3),"",IF(INDEX(原始資料!AS$2:AS$501,$BJ143)="","",INDEX(原始資料!AS$2:AS$501,$BJ143)))</f>
        <v/>
      </c>
      <c r="AR143" s="6">
        <f>IF(OR($BJ143="",43&gt;設定!$B$3),"",IF(INDEX(原始資料!AT$2:AT$501,$BJ143)="","",INDEX(原始資料!AT$2:AT$501,$BJ143)))</f>
        <v/>
      </c>
      <c r="AS143" s="6">
        <f>IF(OR($BJ143="",44&gt;設定!$B$3),"",IF(INDEX(原始資料!AU$2:AU$501,$BJ143)="","",INDEX(原始資料!AU$2:AU$501,$BJ143)))</f>
        <v/>
      </c>
      <c r="AT143" s="6">
        <f>IF(OR($BJ143="",45&gt;設定!$B$3),"",IF(INDEX(原始資料!AV$2:AV$501,$BJ143)="","",INDEX(原始資料!AV$2:AV$501,$BJ143)))</f>
        <v/>
      </c>
      <c r="AU143" s="6">
        <f>IF(OR($BJ143="",46&gt;設定!$B$3),"",IF(INDEX(原始資料!AW$2:AW$501,$BJ143)="","",INDEX(原始資料!AW$2:AW$501,$BJ143)))</f>
        <v/>
      </c>
      <c r="AV143" s="6">
        <f>IF(OR($BJ143="",47&gt;設定!$B$3),"",IF(INDEX(原始資料!AX$2:AX$501,$BJ143)="","",INDEX(原始資料!AX$2:AX$501,$BJ143)))</f>
        <v/>
      </c>
      <c r="AW143" s="6">
        <f>IF(OR($BJ143="",48&gt;設定!$B$3),"",IF(INDEX(原始資料!AY$2:AY$501,$BJ143)="","",INDEX(原始資料!AY$2:AY$501,$BJ143)))</f>
        <v/>
      </c>
      <c r="AX143" s="6">
        <f>IF(OR($BJ143="",49&gt;設定!$B$3),"",IF(INDEX(原始資料!AZ$2:AZ$501,$BJ143)="","",INDEX(原始資料!AZ$2:AZ$501,$BJ143)))</f>
        <v/>
      </c>
      <c r="AY143" s="6">
        <f>IF(OR($BJ143="",50&gt;設定!$B$3),"",IF(INDEX(原始資料!BA$2:BA$501,$BJ143)="","",INDEX(原始資料!BA$2:BA$501,$BJ143)))</f>
        <v/>
      </c>
      <c r="AZ143" s="6">
        <f>IF(OR($BJ143="",51&gt;設定!$B$3),"",IF(INDEX(原始資料!BB$2:BB$501,$BJ143)="","",INDEX(原始資料!BB$2:BB$501,$BJ143)))</f>
        <v/>
      </c>
      <c r="BA143" s="6">
        <f>IF(OR($BJ143="",52&gt;設定!$B$3),"",IF(INDEX(原始資料!BC$2:BC$501,$BJ143)="","",INDEX(原始資料!BC$2:BC$501,$BJ143)))</f>
        <v/>
      </c>
      <c r="BB143" s="6">
        <f>IF(OR($BJ143="",53&gt;設定!$B$3),"",IF(INDEX(原始資料!BD$2:BD$501,$BJ143)="","",INDEX(原始資料!BD$2:BD$501,$BJ143)))</f>
        <v/>
      </c>
      <c r="BC143" s="6">
        <f>IF(OR($BJ143="",54&gt;設定!$B$3),"",IF(INDEX(原始資料!BE$2:BE$501,$BJ143)="","",INDEX(原始資料!BE$2:BE$501,$BJ143)))</f>
        <v/>
      </c>
      <c r="BD143" s="6">
        <f>IF(OR($BJ143="",55&gt;設定!$B$3),"",IF(INDEX(原始資料!BF$2:BF$501,$BJ143)="","",INDEX(原始資料!BF$2:BF$501,$BJ143)))</f>
        <v/>
      </c>
      <c r="BE143" s="6">
        <f>IF(OR($BJ143="",56&gt;設定!$B$3),"",IF(INDEX(原始資料!BG$2:BG$501,$BJ143)="","",INDEX(原始資料!BG$2:BG$501,$BJ143)))</f>
        <v/>
      </c>
      <c r="BF143" s="6">
        <f>IF(OR($BJ143="",57&gt;設定!$B$3),"",IF(INDEX(原始資料!BH$2:BH$501,$BJ143)="","",INDEX(原始資料!BH$2:BH$501,$BJ143)))</f>
        <v/>
      </c>
      <c r="BG143" s="6">
        <f>IF(OR($BJ143="",58&gt;設定!$B$3),"",IF(INDEX(原始資料!BI$2:BI$501,$BJ143)="","",INDEX(原始資料!BI$2:BI$501,$BJ143)))</f>
        <v/>
      </c>
      <c r="BH143" s="6">
        <f>IF(OR($BJ143="",59&gt;設定!$B$3),"",IF(INDEX(原始資料!BJ$2:BJ$501,$BJ143)="","",INDEX(原始資料!BJ$2:BJ$501,$BJ143)))</f>
        <v/>
      </c>
      <c r="BI143" s="6">
        <f>IF(OR($BJ143="",60&gt;設定!$B$3),"",IF(INDEX(原始資料!BK$2:BK$501,$BJ143)="","",INDEX(原始資料!BK$2:BK$501,$BJ143)))</f>
        <v/>
      </c>
      <c r="BJ143" s="6">
        <f>IFERROR(MATCH(ROW()-1,判定!$H$2:$H$501,0),"")</f>
        <v/>
      </c>
    </row>
    <row r="144">
      <c r="A144" s="6">
        <f>IF($BJ144="","",INDEX(原始資料!$A$2:$A$501,$BJ144))</f>
        <v/>
      </c>
      <c r="B144" s="6">
        <f>IF(OR($BJ144="",1&gt;設定!$B$3),"",IF(INDEX(原始資料!D$2:D$501,$BJ144)="","",INDEX(原始資料!D$2:D$501,$BJ144)))</f>
        <v/>
      </c>
      <c r="C144" s="6">
        <f>IF(OR($BJ144="",2&gt;設定!$B$3),"",IF(INDEX(原始資料!E$2:E$501,$BJ144)="","",INDEX(原始資料!E$2:E$501,$BJ144)))</f>
        <v/>
      </c>
      <c r="D144" s="6">
        <f>IF(OR($BJ144="",3&gt;設定!$B$3),"",IF(INDEX(原始資料!F$2:F$501,$BJ144)="","",INDEX(原始資料!F$2:F$501,$BJ144)))</f>
        <v/>
      </c>
      <c r="E144" s="6">
        <f>IF(OR($BJ144="",4&gt;設定!$B$3),"",IF(INDEX(原始資料!G$2:G$501,$BJ144)="","",INDEX(原始資料!G$2:G$501,$BJ144)))</f>
        <v/>
      </c>
      <c r="F144" s="6">
        <f>IF(OR($BJ144="",5&gt;設定!$B$3),"",IF(INDEX(原始資料!H$2:H$501,$BJ144)="","",INDEX(原始資料!H$2:H$501,$BJ144)))</f>
        <v/>
      </c>
      <c r="G144" s="6">
        <f>IF(OR($BJ144="",6&gt;設定!$B$3),"",IF(INDEX(原始資料!I$2:I$501,$BJ144)="","",INDEX(原始資料!I$2:I$501,$BJ144)))</f>
        <v/>
      </c>
      <c r="H144" s="6">
        <f>IF(OR($BJ144="",7&gt;設定!$B$3),"",IF(INDEX(原始資料!J$2:J$501,$BJ144)="","",INDEX(原始資料!J$2:J$501,$BJ144)))</f>
        <v/>
      </c>
      <c r="I144" s="6">
        <f>IF(OR($BJ144="",8&gt;設定!$B$3),"",IF(INDEX(原始資料!K$2:K$501,$BJ144)="","",INDEX(原始資料!K$2:K$501,$BJ144)))</f>
        <v/>
      </c>
      <c r="J144" s="6">
        <f>IF(OR($BJ144="",9&gt;設定!$B$3),"",IF(INDEX(原始資料!L$2:L$501,$BJ144)="","",INDEX(原始資料!L$2:L$501,$BJ144)))</f>
        <v/>
      </c>
      <c r="K144" s="6">
        <f>IF(OR($BJ144="",10&gt;設定!$B$3),"",IF(INDEX(原始資料!M$2:M$501,$BJ144)="","",INDEX(原始資料!M$2:M$501,$BJ144)))</f>
        <v/>
      </c>
      <c r="L144" s="6">
        <f>IF(OR($BJ144="",11&gt;設定!$B$3),"",IF(INDEX(原始資料!N$2:N$501,$BJ144)="","",INDEX(原始資料!N$2:N$501,$BJ144)))</f>
        <v/>
      </c>
      <c r="M144" s="6">
        <f>IF(OR($BJ144="",12&gt;設定!$B$3),"",IF(INDEX(原始資料!O$2:O$501,$BJ144)="","",INDEX(原始資料!O$2:O$501,$BJ144)))</f>
        <v/>
      </c>
      <c r="N144" s="6">
        <f>IF(OR($BJ144="",13&gt;設定!$B$3),"",IF(INDEX(原始資料!P$2:P$501,$BJ144)="","",INDEX(原始資料!P$2:P$501,$BJ144)))</f>
        <v/>
      </c>
      <c r="O144" s="6">
        <f>IF(OR($BJ144="",14&gt;設定!$B$3),"",IF(INDEX(原始資料!Q$2:Q$501,$BJ144)="","",INDEX(原始資料!Q$2:Q$501,$BJ144)))</f>
        <v/>
      </c>
      <c r="P144" s="6">
        <f>IF(OR($BJ144="",15&gt;設定!$B$3),"",IF(INDEX(原始資料!R$2:R$501,$BJ144)="","",INDEX(原始資料!R$2:R$501,$BJ144)))</f>
        <v/>
      </c>
      <c r="Q144" s="6">
        <f>IF(OR($BJ144="",16&gt;設定!$B$3),"",IF(INDEX(原始資料!S$2:S$501,$BJ144)="","",INDEX(原始資料!S$2:S$501,$BJ144)))</f>
        <v/>
      </c>
      <c r="R144" s="6">
        <f>IF(OR($BJ144="",17&gt;設定!$B$3),"",IF(INDEX(原始資料!T$2:T$501,$BJ144)="","",INDEX(原始資料!T$2:T$501,$BJ144)))</f>
        <v/>
      </c>
      <c r="S144" s="6">
        <f>IF(OR($BJ144="",18&gt;設定!$B$3),"",IF(INDEX(原始資料!U$2:U$501,$BJ144)="","",INDEX(原始資料!U$2:U$501,$BJ144)))</f>
        <v/>
      </c>
      <c r="T144" s="6">
        <f>IF(OR($BJ144="",19&gt;設定!$B$3),"",IF(INDEX(原始資料!V$2:V$501,$BJ144)="","",INDEX(原始資料!V$2:V$501,$BJ144)))</f>
        <v/>
      </c>
      <c r="U144" s="6">
        <f>IF(OR($BJ144="",20&gt;設定!$B$3),"",IF(INDEX(原始資料!W$2:W$501,$BJ144)="","",INDEX(原始資料!W$2:W$501,$BJ144)))</f>
        <v/>
      </c>
      <c r="V144" s="6">
        <f>IF(OR($BJ144="",21&gt;設定!$B$3),"",IF(INDEX(原始資料!X$2:X$501,$BJ144)="","",INDEX(原始資料!X$2:X$501,$BJ144)))</f>
        <v/>
      </c>
      <c r="W144" s="6">
        <f>IF(OR($BJ144="",22&gt;設定!$B$3),"",IF(INDEX(原始資料!Y$2:Y$501,$BJ144)="","",INDEX(原始資料!Y$2:Y$501,$BJ144)))</f>
        <v/>
      </c>
      <c r="X144" s="6">
        <f>IF(OR($BJ144="",23&gt;設定!$B$3),"",IF(INDEX(原始資料!Z$2:Z$501,$BJ144)="","",INDEX(原始資料!Z$2:Z$501,$BJ144)))</f>
        <v/>
      </c>
      <c r="Y144" s="6">
        <f>IF(OR($BJ144="",24&gt;設定!$B$3),"",IF(INDEX(原始資料!AA$2:AA$501,$BJ144)="","",INDEX(原始資料!AA$2:AA$501,$BJ144)))</f>
        <v/>
      </c>
      <c r="Z144" s="6">
        <f>IF(OR($BJ144="",25&gt;設定!$B$3),"",IF(INDEX(原始資料!AB$2:AB$501,$BJ144)="","",INDEX(原始資料!AB$2:AB$501,$BJ144)))</f>
        <v/>
      </c>
      <c r="AA144" s="6">
        <f>IF(OR($BJ144="",26&gt;設定!$B$3),"",IF(INDEX(原始資料!AC$2:AC$501,$BJ144)="","",INDEX(原始資料!AC$2:AC$501,$BJ144)))</f>
        <v/>
      </c>
      <c r="AB144" s="6">
        <f>IF(OR($BJ144="",27&gt;設定!$B$3),"",IF(INDEX(原始資料!AD$2:AD$501,$BJ144)="","",INDEX(原始資料!AD$2:AD$501,$BJ144)))</f>
        <v/>
      </c>
      <c r="AC144" s="6">
        <f>IF(OR($BJ144="",28&gt;設定!$B$3),"",IF(INDEX(原始資料!AE$2:AE$501,$BJ144)="","",INDEX(原始資料!AE$2:AE$501,$BJ144)))</f>
        <v/>
      </c>
      <c r="AD144" s="6">
        <f>IF(OR($BJ144="",29&gt;設定!$B$3),"",IF(INDEX(原始資料!AF$2:AF$501,$BJ144)="","",INDEX(原始資料!AF$2:AF$501,$BJ144)))</f>
        <v/>
      </c>
      <c r="AE144" s="6">
        <f>IF(OR($BJ144="",30&gt;設定!$B$3),"",IF(INDEX(原始資料!AG$2:AG$501,$BJ144)="","",INDEX(原始資料!AG$2:AG$501,$BJ144)))</f>
        <v/>
      </c>
      <c r="AF144" s="6">
        <f>IF(OR($BJ144="",31&gt;設定!$B$3),"",IF(INDEX(原始資料!AH$2:AH$501,$BJ144)="","",INDEX(原始資料!AH$2:AH$501,$BJ144)))</f>
        <v/>
      </c>
      <c r="AG144" s="6">
        <f>IF(OR($BJ144="",32&gt;設定!$B$3),"",IF(INDEX(原始資料!AI$2:AI$501,$BJ144)="","",INDEX(原始資料!AI$2:AI$501,$BJ144)))</f>
        <v/>
      </c>
      <c r="AH144" s="6">
        <f>IF(OR($BJ144="",33&gt;設定!$B$3),"",IF(INDEX(原始資料!AJ$2:AJ$501,$BJ144)="","",INDEX(原始資料!AJ$2:AJ$501,$BJ144)))</f>
        <v/>
      </c>
      <c r="AI144" s="6">
        <f>IF(OR($BJ144="",34&gt;設定!$B$3),"",IF(INDEX(原始資料!AK$2:AK$501,$BJ144)="","",INDEX(原始資料!AK$2:AK$501,$BJ144)))</f>
        <v/>
      </c>
      <c r="AJ144" s="6">
        <f>IF(OR($BJ144="",35&gt;設定!$B$3),"",IF(INDEX(原始資料!AL$2:AL$501,$BJ144)="","",INDEX(原始資料!AL$2:AL$501,$BJ144)))</f>
        <v/>
      </c>
      <c r="AK144" s="6">
        <f>IF(OR($BJ144="",36&gt;設定!$B$3),"",IF(INDEX(原始資料!AM$2:AM$501,$BJ144)="","",INDEX(原始資料!AM$2:AM$501,$BJ144)))</f>
        <v/>
      </c>
      <c r="AL144" s="6">
        <f>IF(OR($BJ144="",37&gt;設定!$B$3),"",IF(INDEX(原始資料!AN$2:AN$501,$BJ144)="","",INDEX(原始資料!AN$2:AN$501,$BJ144)))</f>
        <v/>
      </c>
      <c r="AM144" s="6">
        <f>IF(OR($BJ144="",38&gt;設定!$B$3),"",IF(INDEX(原始資料!AO$2:AO$501,$BJ144)="","",INDEX(原始資料!AO$2:AO$501,$BJ144)))</f>
        <v/>
      </c>
      <c r="AN144" s="6">
        <f>IF(OR($BJ144="",39&gt;設定!$B$3),"",IF(INDEX(原始資料!AP$2:AP$501,$BJ144)="","",INDEX(原始資料!AP$2:AP$501,$BJ144)))</f>
        <v/>
      </c>
      <c r="AO144" s="6">
        <f>IF(OR($BJ144="",40&gt;設定!$B$3),"",IF(INDEX(原始資料!AQ$2:AQ$501,$BJ144)="","",INDEX(原始資料!AQ$2:AQ$501,$BJ144)))</f>
        <v/>
      </c>
      <c r="AP144" s="6">
        <f>IF(OR($BJ144="",41&gt;設定!$B$3),"",IF(INDEX(原始資料!AR$2:AR$501,$BJ144)="","",INDEX(原始資料!AR$2:AR$501,$BJ144)))</f>
        <v/>
      </c>
      <c r="AQ144" s="6">
        <f>IF(OR($BJ144="",42&gt;設定!$B$3),"",IF(INDEX(原始資料!AS$2:AS$501,$BJ144)="","",INDEX(原始資料!AS$2:AS$501,$BJ144)))</f>
        <v/>
      </c>
      <c r="AR144" s="6">
        <f>IF(OR($BJ144="",43&gt;設定!$B$3),"",IF(INDEX(原始資料!AT$2:AT$501,$BJ144)="","",INDEX(原始資料!AT$2:AT$501,$BJ144)))</f>
        <v/>
      </c>
      <c r="AS144" s="6">
        <f>IF(OR($BJ144="",44&gt;設定!$B$3),"",IF(INDEX(原始資料!AU$2:AU$501,$BJ144)="","",INDEX(原始資料!AU$2:AU$501,$BJ144)))</f>
        <v/>
      </c>
      <c r="AT144" s="6">
        <f>IF(OR($BJ144="",45&gt;設定!$B$3),"",IF(INDEX(原始資料!AV$2:AV$501,$BJ144)="","",INDEX(原始資料!AV$2:AV$501,$BJ144)))</f>
        <v/>
      </c>
      <c r="AU144" s="6">
        <f>IF(OR($BJ144="",46&gt;設定!$B$3),"",IF(INDEX(原始資料!AW$2:AW$501,$BJ144)="","",INDEX(原始資料!AW$2:AW$501,$BJ144)))</f>
        <v/>
      </c>
      <c r="AV144" s="6">
        <f>IF(OR($BJ144="",47&gt;設定!$B$3),"",IF(INDEX(原始資料!AX$2:AX$501,$BJ144)="","",INDEX(原始資料!AX$2:AX$501,$BJ144)))</f>
        <v/>
      </c>
      <c r="AW144" s="6">
        <f>IF(OR($BJ144="",48&gt;設定!$B$3),"",IF(INDEX(原始資料!AY$2:AY$501,$BJ144)="","",INDEX(原始資料!AY$2:AY$501,$BJ144)))</f>
        <v/>
      </c>
      <c r="AX144" s="6">
        <f>IF(OR($BJ144="",49&gt;設定!$B$3),"",IF(INDEX(原始資料!AZ$2:AZ$501,$BJ144)="","",INDEX(原始資料!AZ$2:AZ$501,$BJ144)))</f>
        <v/>
      </c>
      <c r="AY144" s="6">
        <f>IF(OR($BJ144="",50&gt;設定!$B$3),"",IF(INDEX(原始資料!BA$2:BA$501,$BJ144)="","",INDEX(原始資料!BA$2:BA$501,$BJ144)))</f>
        <v/>
      </c>
      <c r="AZ144" s="6">
        <f>IF(OR($BJ144="",51&gt;設定!$B$3),"",IF(INDEX(原始資料!BB$2:BB$501,$BJ144)="","",INDEX(原始資料!BB$2:BB$501,$BJ144)))</f>
        <v/>
      </c>
      <c r="BA144" s="6">
        <f>IF(OR($BJ144="",52&gt;設定!$B$3),"",IF(INDEX(原始資料!BC$2:BC$501,$BJ144)="","",INDEX(原始資料!BC$2:BC$501,$BJ144)))</f>
        <v/>
      </c>
      <c r="BB144" s="6">
        <f>IF(OR($BJ144="",53&gt;設定!$B$3),"",IF(INDEX(原始資料!BD$2:BD$501,$BJ144)="","",INDEX(原始資料!BD$2:BD$501,$BJ144)))</f>
        <v/>
      </c>
      <c r="BC144" s="6">
        <f>IF(OR($BJ144="",54&gt;設定!$B$3),"",IF(INDEX(原始資料!BE$2:BE$501,$BJ144)="","",INDEX(原始資料!BE$2:BE$501,$BJ144)))</f>
        <v/>
      </c>
      <c r="BD144" s="6">
        <f>IF(OR($BJ144="",55&gt;設定!$B$3),"",IF(INDEX(原始資料!BF$2:BF$501,$BJ144)="","",INDEX(原始資料!BF$2:BF$501,$BJ144)))</f>
        <v/>
      </c>
      <c r="BE144" s="6">
        <f>IF(OR($BJ144="",56&gt;設定!$B$3),"",IF(INDEX(原始資料!BG$2:BG$501,$BJ144)="","",INDEX(原始資料!BG$2:BG$501,$BJ144)))</f>
        <v/>
      </c>
      <c r="BF144" s="6">
        <f>IF(OR($BJ144="",57&gt;設定!$B$3),"",IF(INDEX(原始資料!BH$2:BH$501,$BJ144)="","",INDEX(原始資料!BH$2:BH$501,$BJ144)))</f>
        <v/>
      </c>
      <c r="BG144" s="6">
        <f>IF(OR($BJ144="",58&gt;設定!$B$3),"",IF(INDEX(原始資料!BI$2:BI$501,$BJ144)="","",INDEX(原始資料!BI$2:BI$501,$BJ144)))</f>
        <v/>
      </c>
      <c r="BH144" s="6">
        <f>IF(OR($BJ144="",59&gt;設定!$B$3),"",IF(INDEX(原始資料!BJ$2:BJ$501,$BJ144)="","",INDEX(原始資料!BJ$2:BJ$501,$BJ144)))</f>
        <v/>
      </c>
      <c r="BI144" s="6">
        <f>IF(OR($BJ144="",60&gt;設定!$B$3),"",IF(INDEX(原始資料!BK$2:BK$501,$BJ144)="","",INDEX(原始資料!BK$2:BK$501,$BJ144)))</f>
        <v/>
      </c>
      <c r="BJ144" s="6">
        <f>IFERROR(MATCH(ROW()-1,判定!$H$2:$H$501,0),"")</f>
        <v/>
      </c>
    </row>
    <row r="145">
      <c r="A145" s="6">
        <f>IF($BJ145="","",INDEX(原始資料!$A$2:$A$501,$BJ145))</f>
        <v/>
      </c>
      <c r="B145" s="6">
        <f>IF(OR($BJ145="",1&gt;設定!$B$3),"",IF(INDEX(原始資料!D$2:D$501,$BJ145)="","",INDEX(原始資料!D$2:D$501,$BJ145)))</f>
        <v/>
      </c>
      <c r="C145" s="6">
        <f>IF(OR($BJ145="",2&gt;設定!$B$3),"",IF(INDEX(原始資料!E$2:E$501,$BJ145)="","",INDEX(原始資料!E$2:E$501,$BJ145)))</f>
        <v/>
      </c>
      <c r="D145" s="6">
        <f>IF(OR($BJ145="",3&gt;設定!$B$3),"",IF(INDEX(原始資料!F$2:F$501,$BJ145)="","",INDEX(原始資料!F$2:F$501,$BJ145)))</f>
        <v/>
      </c>
      <c r="E145" s="6">
        <f>IF(OR($BJ145="",4&gt;設定!$B$3),"",IF(INDEX(原始資料!G$2:G$501,$BJ145)="","",INDEX(原始資料!G$2:G$501,$BJ145)))</f>
        <v/>
      </c>
      <c r="F145" s="6">
        <f>IF(OR($BJ145="",5&gt;設定!$B$3),"",IF(INDEX(原始資料!H$2:H$501,$BJ145)="","",INDEX(原始資料!H$2:H$501,$BJ145)))</f>
        <v/>
      </c>
      <c r="G145" s="6">
        <f>IF(OR($BJ145="",6&gt;設定!$B$3),"",IF(INDEX(原始資料!I$2:I$501,$BJ145)="","",INDEX(原始資料!I$2:I$501,$BJ145)))</f>
        <v/>
      </c>
      <c r="H145" s="6">
        <f>IF(OR($BJ145="",7&gt;設定!$B$3),"",IF(INDEX(原始資料!J$2:J$501,$BJ145)="","",INDEX(原始資料!J$2:J$501,$BJ145)))</f>
        <v/>
      </c>
      <c r="I145" s="6">
        <f>IF(OR($BJ145="",8&gt;設定!$B$3),"",IF(INDEX(原始資料!K$2:K$501,$BJ145)="","",INDEX(原始資料!K$2:K$501,$BJ145)))</f>
        <v/>
      </c>
      <c r="J145" s="6">
        <f>IF(OR($BJ145="",9&gt;設定!$B$3),"",IF(INDEX(原始資料!L$2:L$501,$BJ145)="","",INDEX(原始資料!L$2:L$501,$BJ145)))</f>
        <v/>
      </c>
      <c r="K145" s="6">
        <f>IF(OR($BJ145="",10&gt;設定!$B$3),"",IF(INDEX(原始資料!M$2:M$501,$BJ145)="","",INDEX(原始資料!M$2:M$501,$BJ145)))</f>
        <v/>
      </c>
      <c r="L145" s="6">
        <f>IF(OR($BJ145="",11&gt;設定!$B$3),"",IF(INDEX(原始資料!N$2:N$501,$BJ145)="","",INDEX(原始資料!N$2:N$501,$BJ145)))</f>
        <v/>
      </c>
      <c r="M145" s="6">
        <f>IF(OR($BJ145="",12&gt;設定!$B$3),"",IF(INDEX(原始資料!O$2:O$501,$BJ145)="","",INDEX(原始資料!O$2:O$501,$BJ145)))</f>
        <v/>
      </c>
      <c r="N145" s="6">
        <f>IF(OR($BJ145="",13&gt;設定!$B$3),"",IF(INDEX(原始資料!P$2:P$501,$BJ145)="","",INDEX(原始資料!P$2:P$501,$BJ145)))</f>
        <v/>
      </c>
      <c r="O145" s="6">
        <f>IF(OR($BJ145="",14&gt;設定!$B$3),"",IF(INDEX(原始資料!Q$2:Q$501,$BJ145)="","",INDEX(原始資料!Q$2:Q$501,$BJ145)))</f>
        <v/>
      </c>
      <c r="P145" s="6">
        <f>IF(OR($BJ145="",15&gt;設定!$B$3),"",IF(INDEX(原始資料!R$2:R$501,$BJ145)="","",INDEX(原始資料!R$2:R$501,$BJ145)))</f>
        <v/>
      </c>
      <c r="Q145" s="6">
        <f>IF(OR($BJ145="",16&gt;設定!$B$3),"",IF(INDEX(原始資料!S$2:S$501,$BJ145)="","",INDEX(原始資料!S$2:S$501,$BJ145)))</f>
        <v/>
      </c>
      <c r="R145" s="6">
        <f>IF(OR($BJ145="",17&gt;設定!$B$3),"",IF(INDEX(原始資料!T$2:T$501,$BJ145)="","",INDEX(原始資料!T$2:T$501,$BJ145)))</f>
        <v/>
      </c>
      <c r="S145" s="6">
        <f>IF(OR($BJ145="",18&gt;設定!$B$3),"",IF(INDEX(原始資料!U$2:U$501,$BJ145)="","",INDEX(原始資料!U$2:U$501,$BJ145)))</f>
        <v/>
      </c>
      <c r="T145" s="6">
        <f>IF(OR($BJ145="",19&gt;設定!$B$3),"",IF(INDEX(原始資料!V$2:V$501,$BJ145)="","",INDEX(原始資料!V$2:V$501,$BJ145)))</f>
        <v/>
      </c>
      <c r="U145" s="6">
        <f>IF(OR($BJ145="",20&gt;設定!$B$3),"",IF(INDEX(原始資料!W$2:W$501,$BJ145)="","",INDEX(原始資料!W$2:W$501,$BJ145)))</f>
        <v/>
      </c>
      <c r="V145" s="6">
        <f>IF(OR($BJ145="",21&gt;設定!$B$3),"",IF(INDEX(原始資料!X$2:X$501,$BJ145)="","",INDEX(原始資料!X$2:X$501,$BJ145)))</f>
        <v/>
      </c>
      <c r="W145" s="6">
        <f>IF(OR($BJ145="",22&gt;設定!$B$3),"",IF(INDEX(原始資料!Y$2:Y$501,$BJ145)="","",INDEX(原始資料!Y$2:Y$501,$BJ145)))</f>
        <v/>
      </c>
      <c r="X145" s="6">
        <f>IF(OR($BJ145="",23&gt;設定!$B$3),"",IF(INDEX(原始資料!Z$2:Z$501,$BJ145)="","",INDEX(原始資料!Z$2:Z$501,$BJ145)))</f>
        <v/>
      </c>
      <c r="Y145" s="6">
        <f>IF(OR($BJ145="",24&gt;設定!$B$3),"",IF(INDEX(原始資料!AA$2:AA$501,$BJ145)="","",INDEX(原始資料!AA$2:AA$501,$BJ145)))</f>
        <v/>
      </c>
      <c r="Z145" s="6">
        <f>IF(OR($BJ145="",25&gt;設定!$B$3),"",IF(INDEX(原始資料!AB$2:AB$501,$BJ145)="","",INDEX(原始資料!AB$2:AB$501,$BJ145)))</f>
        <v/>
      </c>
      <c r="AA145" s="6">
        <f>IF(OR($BJ145="",26&gt;設定!$B$3),"",IF(INDEX(原始資料!AC$2:AC$501,$BJ145)="","",INDEX(原始資料!AC$2:AC$501,$BJ145)))</f>
        <v/>
      </c>
      <c r="AB145" s="6">
        <f>IF(OR($BJ145="",27&gt;設定!$B$3),"",IF(INDEX(原始資料!AD$2:AD$501,$BJ145)="","",INDEX(原始資料!AD$2:AD$501,$BJ145)))</f>
        <v/>
      </c>
      <c r="AC145" s="6">
        <f>IF(OR($BJ145="",28&gt;設定!$B$3),"",IF(INDEX(原始資料!AE$2:AE$501,$BJ145)="","",INDEX(原始資料!AE$2:AE$501,$BJ145)))</f>
        <v/>
      </c>
      <c r="AD145" s="6">
        <f>IF(OR($BJ145="",29&gt;設定!$B$3),"",IF(INDEX(原始資料!AF$2:AF$501,$BJ145)="","",INDEX(原始資料!AF$2:AF$501,$BJ145)))</f>
        <v/>
      </c>
      <c r="AE145" s="6">
        <f>IF(OR($BJ145="",30&gt;設定!$B$3),"",IF(INDEX(原始資料!AG$2:AG$501,$BJ145)="","",INDEX(原始資料!AG$2:AG$501,$BJ145)))</f>
        <v/>
      </c>
      <c r="AF145" s="6">
        <f>IF(OR($BJ145="",31&gt;設定!$B$3),"",IF(INDEX(原始資料!AH$2:AH$501,$BJ145)="","",INDEX(原始資料!AH$2:AH$501,$BJ145)))</f>
        <v/>
      </c>
      <c r="AG145" s="6">
        <f>IF(OR($BJ145="",32&gt;設定!$B$3),"",IF(INDEX(原始資料!AI$2:AI$501,$BJ145)="","",INDEX(原始資料!AI$2:AI$501,$BJ145)))</f>
        <v/>
      </c>
      <c r="AH145" s="6">
        <f>IF(OR($BJ145="",33&gt;設定!$B$3),"",IF(INDEX(原始資料!AJ$2:AJ$501,$BJ145)="","",INDEX(原始資料!AJ$2:AJ$501,$BJ145)))</f>
        <v/>
      </c>
      <c r="AI145" s="6">
        <f>IF(OR($BJ145="",34&gt;設定!$B$3),"",IF(INDEX(原始資料!AK$2:AK$501,$BJ145)="","",INDEX(原始資料!AK$2:AK$501,$BJ145)))</f>
        <v/>
      </c>
      <c r="AJ145" s="6">
        <f>IF(OR($BJ145="",35&gt;設定!$B$3),"",IF(INDEX(原始資料!AL$2:AL$501,$BJ145)="","",INDEX(原始資料!AL$2:AL$501,$BJ145)))</f>
        <v/>
      </c>
      <c r="AK145" s="6">
        <f>IF(OR($BJ145="",36&gt;設定!$B$3),"",IF(INDEX(原始資料!AM$2:AM$501,$BJ145)="","",INDEX(原始資料!AM$2:AM$501,$BJ145)))</f>
        <v/>
      </c>
      <c r="AL145" s="6">
        <f>IF(OR($BJ145="",37&gt;設定!$B$3),"",IF(INDEX(原始資料!AN$2:AN$501,$BJ145)="","",INDEX(原始資料!AN$2:AN$501,$BJ145)))</f>
        <v/>
      </c>
      <c r="AM145" s="6">
        <f>IF(OR($BJ145="",38&gt;設定!$B$3),"",IF(INDEX(原始資料!AO$2:AO$501,$BJ145)="","",INDEX(原始資料!AO$2:AO$501,$BJ145)))</f>
        <v/>
      </c>
      <c r="AN145" s="6">
        <f>IF(OR($BJ145="",39&gt;設定!$B$3),"",IF(INDEX(原始資料!AP$2:AP$501,$BJ145)="","",INDEX(原始資料!AP$2:AP$501,$BJ145)))</f>
        <v/>
      </c>
      <c r="AO145" s="6">
        <f>IF(OR($BJ145="",40&gt;設定!$B$3),"",IF(INDEX(原始資料!AQ$2:AQ$501,$BJ145)="","",INDEX(原始資料!AQ$2:AQ$501,$BJ145)))</f>
        <v/>
      </c>
      <c r="AP145" s="6">
        <f>IF(OR($BJ145="",41&gt;設定!$B$3),"",IF(INDEX(原始資料!AR$2:AR$501,$BJ145)="","",INDEX(原始資料!AR$2:AR$501,$BJ145)))</f>
        <v/>
      </c>
      <c r="AQ145" s="6">
        <f>IF(OR($BJ145="",42&gt;設定!$B$3),"",IF(INDEX(原始資料!AS$2:AS$501,$BJ145)="","",INDEX(原始資料!AS$2:AS$501,$BJ145)))</f>
        <v/>
      </c>
      <c r="AR145" s="6">
        <f>IF(OR($BJ145="",43&gt;設定!$B$3),"",IF(INDEX(原始資料!AT$2:AT$501,$BJ145)="","",INDEX(原始資料!AT$2:AT$501,$BJ145)))</f>
        <v/>
      </c>
      <c r="AS145" s="6">
        <f>IF(OR($BJ145="",44&gt;設定!$B$3),"",IF(INDEX(原始資料!AU$2:AU$501,$BJ145)="","",INDEX(原始資料!AU$2:AU$501,$BJ145)))</f>
        <v/>
      </c>
      <c r="AT145" s="6">
        <f>IF(OR($BJ145="",45&gt;設定!$B$3),"",IF(INDEX(原始資料!AV$2:AV$501,$BJ145)="","",INDEX(原始資料!AV$2:AV$501,$BJ145)))</f>
        <v/>
      </c>
      <c r="AU145" s="6">
        <f>IF(OR($BJ145="",46&gt;設定!$B$3),"",IF(INDEX(原始資料!AW$2:AW$501,$BJ145)="","",INDEX(原始資料!AW$2:AW$501,$BJ145)))</f>
        <v/>
      </c>
      <c r="AV145" s="6">
        <f>IF(OR($BJ145="",47&gt;設定!$B$3),"",IF(INDEX(原始資料!AX$2:AX$501,$BJ145)="","",INDEX(原始資料!AX$2:AX$501,$BJ145)))</f>
        <v/>
      </c>
      <c r="AW145" s="6">
        <f>IF(OR($BJ145="",48&gt;設定!$B$3),"",IF(INDEX(原始資料!AY$2:AY$501,$BJ145)="","",INDEX(原始資料!AY$2:AY$501,$BJ145)))</f>
        <v/>
      </c>
      <c r="AX145" s="6">
        <f>IF(OR($BJ145="",49&gt;設定!$B$3),"",IF(INDEX(原始資料!AZ$2:AZ$501,$BJ145)="","",INDEX(原始資料!AZ$2:AZ$501,$BJ145)))</f>
        <v/>
      </c>
      <c r="AY145" s="6">
        <f>IF(OR($BJ145="",50&gt;設定!$B$3),"",IF(INDEX(原始資料!BA$2:BA$501,$BJ145)="","",INDEX(原始資料!BA$2:BA$501,$BJ145)))</f>
        <v/>
      </c>
      <c r="AZ145" s="6">
        <f>IF(OR($BJ145="",51&gt;設定!$B$3),"",IF(INDEX(原始資料!BB$2:BB$501,$BJ145)="","",INDEX(原始資料!BB$2:BB$501,$BJ145)))</f>
        <v/>
      </c>
      <c r="BA145" s="6">
        <f>IF(OR($BJ145="",52&gt;設定!$B$3),"",IF(INDEX(原始資料!BC$2:BC$501,$BJ145)="","",INDEX(原始資料!BC$2:BC$501,$BJ145)))</f>
        <v/>
      </c>
      <c r="BB145" s="6">
        <f>IF(OR($BJ145="",53&gt;設定!$B$3),"",IF(INDEX(原始資料!BD$2:BD$501,$BJ145)="","",INDEX(原始資料!BD$2:BD$501,$BJ145)))</f>
        <v/>
      </c>
      <c r="BC145" s="6">
        <f>IF(OR($BJ145="",54&gt;設定!$B$3),"",IF(INDEX(原始資料!BE$2:BE$501,$BJ145)="","",INDEX(原始資料!BE$2:BE$501,$BJ145)))</f>
        <v/>
      </c>
      <c r="BD145" s="6">
        <f>IF(OR($BJ145="",55&gt;設定!$B$3),"",IF(INDEX(原始資料!BF$2:BF$501,$BJ145)="","",INDEX(原始資料!BF$2:BF$501,$BJ145)))</f>
        <v/>
      </c>
      <c r="BE145" s="6">
        <f>IF(OR($BJ145="",56&gt;設定!$B$3),"",IF(INDEX(原始資料!BG$2:BG$501,$BJ145)="","",INDEX(原始資料!BG$2:BG$501,$BJ145)))</f>
        <v/>
      </c>
      <c r="BF145" s="6">
        <f>IF(OR($BJ145="",57&gt;設定!$B$3),"",IF(INDEX(原始資料!BH$2:BH$501,$BJ145)="","",INDEX(原始資料!BH$2:BH$501,$BJ145)))</f>
        <v/>
      </c>
      <c r="BG145" s="6">
        <f>IF(OR($BJ145="",58&gt;設定!$B$3),"",IF(INDEX(原始資料!BI$2:BI$501,$BJ145)="","",INDEX(原始資料!BI$2:BI$501,$BJ145)))</f>
        <v/>
      </c>
      <c r="BH145" s="6">
        <f>IF(OR($BJ145="",59&gt;設定!$B$3),"",IF(INDEX(原始資料!BJ$2:BJ$501,$BJ145)="","",INDEX(原始資料!BJ$2:BJ$501,$BJ145)))</f>
        <v/>
      </c>
      <c r="BI145" s="6">
        <f>IF(OR($BJ145="",60&gt;設定!$B$3),"",IF(INDEX(原始資料!BK$2:BK$501,$BJ145)="","",INDEX(原始資料!BK$2:BK$501,$BJ145)))</f>
        <v/>
      </c>
      <c r="BJ145" s="6">
        <f>IFERROR(MATCH(ROW()-1,判定!$H$2:$H$501,0),"")</f>
        <v/>
      </c>
    </row>
    <row r="146">
      <c r="A146" s="6">
        <f>IF($BJ146="","",INDEX(原始資料!$A$2:$A$501,$BJ146))</f>
        <v/>
      </c>
      <c r="B146" s="6">
        <f>IF(OR($BJ146="",1&gt;設定!$B$3),"",IF(INDEX(原始資料!D$2:D$501,$BJ146)="","",INDEX(原始資料!D$2:D$501,$BJ146)))</f>
        <v/>
      </c>
      <c r="C146" s="6">
        <f>IF(OR($BJ146="",2&gt;設定!$B$3),"",IF(INDEX(原始資料!E$2:E$501,$BJ146)="","",INDEX(原始資料!E$2:E$501,$BJ146)))</f>
        <v/>
      </c>
      <c r="D146" s="6">
        <f>IF(OR($BJ146="",3&gt;設定!$B$3),"",IF(INDEX(原始資料!F$2:F$501,$BJ146)="","",INDEX(原始資料!F$2:F$501,$BJ146)))</f>
        <v/>
      </c>
      <c r="E146" s="6">
        <f>IF(OR($BJ146="",4&gt;設定!$B$3),"",IF(INDEX(原始資料!G$2:G$501,$BJ146)="","",INDEX(原始資料!G$2:G$501,$BJ146)))</f>
        <v/>
      </c>
      <c r="F146" s="6">
        <f>IF(OR($BJ146="",5&gt;設定!$B$3),"",IF(INDEX(原始資料!H$2:H$501,$BJ146)="","",INDEX(原始資料!H$2:H$501,$BJ146)))</f>
        <v/>
      </c>
      <c r="G146" s="6">
        <f>IF(OR($BJ146="",6&gt;設定!$B$3),"",IF(INDEX(原始資料!I$2:I$501,$BJ146)="","",INDEX(原始資料!I$2:I$501,$BJ146)))</f>
        <v/>
      </c>
      <c r="H146" s="6">
        <f>IF(OR($BJ146="",7&gt;設定!$B$3),"",IF(INDEX(原始資料!J$2:J$501,$BJ146)="","",INDEX(原始資料!J$2:J$501,$BJ146)))</f>
        <v/>
      </c>
      <c r="I146" s="6">
        <f>IF(OR($BJ146="",8&gt;設定!$B$3),"",IF(INDEX(原始資料!K$2:K$501,$BJ146)="","",INDEX(原始資料!K$2:K$501,$BJ146)))</f>
        <v/>
      </c>
      <c r="J146" s="6">
        <f>IF(OR($BJ146="",9&gt;設定!$B$3),"",IF(INDEX(原始資料!L$2:L$501,$BJ146)="","",INDEX(原始資料!L$2:L$501,$BJ146)))</f>
        <v/>
      </c>
      <c r="K146" s="6">
        <f>IF(OR($BJ146="",10&gt;設定!$B$3),"",IF(INDEX(原始資料!M$2:M$501,$BJ146)="","",INDEX(原始資料!M$2:M$501,$BJ146)))</f>
        <v/>
      </c>
      <c r="L146" s="6">
        <f>IF(OR($BJ146="",11&gt;設定!$B$3),"",IF(INDEX(原始資料!N$2:N$501,$BJ146)="","",INDEX(原始資料!N$2:N$501,$BJ146)))</f>
        <v/>
      </c>
      <c r="M146" s="6">
        <f>IF(OR($BJ146="",12&gt;設定!$B$3),"",IF(INDEX(原始資料!O$2:O$501,$BJ146)="","",INDEX(原始資料!O$2:O$501,$BJ146)))</f>
        <v/>
      </c>
      <c r="N146" s="6">
        <f>IF(OR($BJ146="",13&gt;設定!$B$3),"",IF(INDEX(原始資料!P$2:P$501,$BJ146)="","",INDEX(原始資料!P$2:P$501,$BJ146)))</f>
        <v/>
      </c>
      <c r="O146" s="6">
        <f>IF(OR($BJ146="",14&gt;設定!$B$3),"",IF(INDEX(原始資料!Q$2:Q$501,$BJ146)="","",INDEX(原始資料!Q$2:Q$501,$BJ146)))</f>
        <v/>
      </c>
      <c r="P146" s="6">
        <f>IF(OR($BJ146="",15&gt;設定!$B$3),"",IF(INDEX(原始資料!R$2:R$501,$BJ146)="","",INDEX(原始資料!R$2:R$501,$BJ146)))</f>
        <v/>
      </c>
      <c r="Q146" s="6">
        <f>IF(OR($BJ146="",16&gt;設定!$B$3),"",IF(INDEX(原始資料!S$2:S$501,$BJ146)="","",INDEX(原始資料!S$2:S$501,$BJ146)))</f>
        <v/>
      </c>
      <c r="R146" s="6">
        <f>IF(OR($BJ146="",17&gt;設定!$B$3),"",IF(INDEX(原始資料!T$2:T$501,$BJ146)="","",INDEX(原始資料!T$2:T$501,$BJ146)))</f>
        <v/>
      </c>
      <c r="S146" s="6">
        <f>IF(OR($BJ146="",18&gt;設定!$B$3),"",IF(INDEX(原始資料!U$2:U$501,$BJ146)="","",INDEX(原始資料!U$2:U$501,$BJ146)))</f>
        <v/>
      </c>
      <c r="T146" s="6">
        <f>IF(OR($BJ146="",19&gt;設定!$B$3),"",IF(INDEX(原始資料!V$2:V$501,$BJ146)="","",INDEX(原始資料!V$2:V$501,$BJ146)))</f>
        <v/>
      </c>
      <c r="U146" s="6">
        <f>IF(OR($BJ146="",20&gt;設定!$B$3),"",IF(INDEX(原始資料!W$2:W$501,$BJ146)="","",INDEX(原始資料!W$2:W$501,$BJ146)))</f>
        <v/>
      </c>
      <c r="V146" s="6">
        <f>IF(OR($BJ146="",21&gt;設定!$B$3),"",IF(INDEX(原始資料!X$2:X$501,$BJ146)="","",INDEX(原始資料!X$2:X$501,$BJ146)))</f>
        <v/>
      </c>
      <c r="W146" s="6">
        <f>IF(OR($BJ146="",22&gt;設定!$B$3),"",IF(INDEX(原始資料!Y$2:Y$501,$BJ146)="","",INDEX(原始資料!Y$2:Y$501,$BJ146)))</f>
        <v/>
      </c>
      <c r="X146" s="6">
        <f>IF(OR($BJ146="",23&gt;設定!$B$3),"",IF(INDEX(原始資料!Z$2:Z$501,$BJ146)="","",INDEX(原始資料!Z$2:Z$501,$BJ146)))</f>
        <v/>
      </c>
      <c r="Y146" s="6">
        <f>IF(OR($BJ146="",24&gt;設定!$B$3),"",IF(INDEX(原始資料!AA$2:AA$501,$BJ146)="","",INDEX(原始資料!AA$2:AA$501,$BJ146)))</f>
        <v/>
      </c>
      <c r="Z146" s="6">
        <f>IF(OR($BJ146="",25&gt;設定!$B$3),"",IF(INDEX(原始資料!AB$2:AB$501,$BJ146)="","",INDEX(原始資料!AB$2:AB$501,$BJ146)))</f>
        <v/>
      </c>
      <c r="AA146" s="6">
        <f>IF(OR($BJ146="",26&gt;設定!$B$3),"",IF(INDEX(原始資料!AC$2:AC$501,$BJ146)="","",INDEX(原始資料!AC$2:AC$501,$BJ146)))</f>
        <v/>
      </c>
      <c r="AB146" s="6">
        <f>IF(OR($BJ146="",27&gt;設定!$B$3),"",IF(INDEX(原始資料!AD$2:AD$501,$BJ146)="","",INDEX(原始資料!AD$2:AD$501,$BJ146)))</f>
        <v/>
      </c>
      <c r="AC146" s="6">
        <f>IF(OR($BJ146="",28&gt;設定!$B$3),"",IF(INDEX(原始資料!AE$2:AE$501,$BJ146)="","",INDEX(原始資料!AE$2:AE$501,$BJ146)))</f>
        <v/>
      </c>
      <c r="AD146" s="6">
        <f>IF(OR($BJ146="",29&gt;設定!$B$3),"",IF(INDEX(原始資料!AF$2:AF$501,$BJ146)="","",INDEX(原始資料!AF$2:AF$501,$BJ146)))</f>
        <v/>
      </c>
      <c r="AE146" s="6">
        <f>IF(OR($BJ146="",30&gt;設定!$B$3),"",IF(INDEX(原始資料!AG$2:AG$501,$BJ146)="","",INDEX(原始資料!AG$2:AG$501,$BJ146)))</f>
        <v/>
      </c>
      <c r="AF146" s="6">
        <f>IF(OR($BJ146="",31&gt;設定!$B$3),"",IF(INDEX(原始資料!AH$2:AH$501,$BJ146)="","",INDEX(原始資料!AH$2:AH$501,$BJ146)))</f>
        <v/>
      </c>
      <c r="AG146" s="6">
        <f>IF(OR($BJ146="",32&gt;設定!$B$3),"",IF(INDEX(原始資料!AI$2:AI$501,$BJ146)="","",INDEX(原始資料!AI$2:AI$501,$BJ146)))</f>
        <v/>
      </c>
      <c r="AH146" s="6">
        <f>IF(OR($BJ146="",33&gt;設定!$B$3),"",IF(INDEX(原始資料!AJ$2:AJ$501,$BJ146)="","",INDEX(原始資料!AJ$2:AJ$501,$BJ146)))</f>
        <v/>
      </c>
      <c r="AI146" s="6">
        <f>IF(OR($BJ146="",34&gt;設定!$B$3),"",IF(INDEX(原始資料!AK$2:AK$501,$BJ146)="","",INDEX(原始資料!AK$2:AK$501,$BJ146)))</f>
        <v/>
      </c>
      <c r="AJ146" s="6">
        <f>IF(OR($BJ146="",35&gt;設定!$B$3),"",IF(INDEX(原始資料!AL$2:AL$501,$BJ146)="","",INDEX(原始資料!AL$2:AL$501,$BJ146)))</f>
        <v/>
      </c>
      <c r="AK146" s="6">
        <f>IF(OR($BJ146="",36&gt;設定!$B$3),"",IF(INDEX(原始資料!AM$2:AM$501,$BJ146)="","",INDEX(原始資料!AM$2:AM$501,$BJ146)))</f>
        <v/>
      </c>
      <c r="AL146" s="6">
        <f>IF(OR($BJ146="",37&gt;設定!$B$3),"",IF(INDEX(原始資料!AN$2:AN$501,$BJ146)="","",INDEX(原始資料!AN$2:AN$501,$BJ146)))</f>
        <v/>
      </c>
      <c r="AM146" s="6">
        <f>IF(OR($BJ146="",38&gt;設定!$B$3),"",IF(INDEX(原始資料!AO$2:AO$501,$BJ146)="","",INDEX(原始資料!AO$2:AO$501,$BJ146)))</f>
        <v/>
      </c>
      <c r="AN146" s="6">
        <f>IF(OR($BJ146="",39&gt;設定!$B$3),"",IF(INDEX(原始資料!AP$2:AP$501,$BJ146)="","",INDEX(原始資料!AP$2:AP$501,$BJ146)))</f>
        <v/>
      </c>
      <c r="AO146" s="6">
        <f>IF(OR($BJ146="",40&gt;設定!$B$3),"",IF(INDEX(原始資料!AQ$2:AQ$501,$BJ146)="","",INDEX(原始資料!AQ$2:AQ$501,$BJ146)))</f>
        <v/>
      </c>
      <c r="AP146" s="6">
        <f>IF(OR($BJ146="",41&gt;設定!$B$3),"",IF(INDEX(原始資料!AR$2:AR$501,$BJ146)="","",INDEX(原始資料!AR$2:AR$501,$BJ146)))</f>
        <v/>
      </c>
      <c r="AQ146" s="6">
        <f>IF(OR($BJ146="",42&gt;設定!$B$3),"",IF(INDEX(原始資料!AS$2:AS$501,$BJ146)="","",INDEX(原始資料!AS$2:AS$501,$BJ146)))</f>
        <v/>
      </c>
      <c r="AR146" s="6">
        <f>IF(OR($BJ146="",43&gt;設定!$B$3),"",IF(INDEX(原始資料!AT$2:AT$501,$BJ146)="","",INDEX(原始資料!AT$2:AT$501,$BJ146)))</f>
        <v/>
      </c>
      <c r="AS146" s="6">
        <f>IF(OR($BJ146="",44&gt;設定!$B$3),"",IF(INDEX(原始資料!AU$2:AU$501,$BJ146)="","",INDEX(原始資料!AU$2:AU$501,$BJ146)))</f>
        <v/>
      </c>
      <c r="AT146" s="6">
        <f>IF(OR($BJ146="",45&gt;設定!$B$3),"",IF(INDEX(原始資料!AV$2:AV$501,$BJ146)="","",INDEX(原始資料!AV$2:AV$501,$BJ146)))</f>
        <v/>
      </c>
      <c r="AU146" s="6">
        <f>IF(OR($BJ146="",46&gt;設定!$B$3),"",IF(INDEX(原始資料!AW$2:AW$501,$BJ146)="","",INDEX(原始資料!AW$2:AW$501,$BJ146)))</f>
        <v/>
      </c>
      <c r="AV146" s="6">
        <f>IF(OR($BJ146="",47&gt;設定!$B$3),"",IF(INDEX(原始資料!AX$2:AX$501,$BJ146)="","",INDEX(原始資料!AX$2:AX$501,$BJ146)))</f>
        <v/>
      </c>
      <c r="AW146" s="6">
        <f>IF(OR($BJ146="",48&gt;設定!$B$3),"",IF(INDEX(原始資料!AY$2:AY$501,$BJ146)="","",INDEX(原始資料!AY$2:AY$501,$BJ146)))</f>
        <v/>
      </c>
      <c r="AX146" s="6">
        <f>IF(OR($BJ146="",49&gt;設定!$B$3),"",IF(INDEX(原始資料!AZ$2:AZ$501,$BJ146)="","",INDEX(原始資料!AZ$2:AZ$501,$BJ146)))</f>
        <v/>
      </c>
      <c r="AY146" s="6">
        <f>IF(OR($BJ146="",50&gt;設定!$B$3),"",IF(INDEX(原始資料!BA$2:BA$501,$BJ146)="","",INDEX(原始資料!BA$2:BA$501,$BJ146)))</f>
        <v/>
      </c>
      <c r="AZ146" s="6">
        <f>IF(OR($BJ146="",51&gt;設定!$B$3),"",IF(INDEX(原始資料!BB$2:BB$501,$BJ146)="","",INDEX(原始資料!BB$2:BB$501,$BJ146)))</f>
        <v/>
      </c>
      <c r="BA146" s="6">
        <f>IF(OR($BJ146="",52&gt;設定!$B$3),"",IF(INDEX(原始資料!BC$2:BC$501,$BJ146)="","",INDEX(原始資料!BC$2:BC$501,$BJ146)))</f>
        <v/>
      </c>
      <c r="BB146" s="6">
        <f>IF(OR($BJ146="",53&gt;設定!$B$3),"",IF(INDEX(原始資料!BD$2:BD$501,$BJ146)="","",INDEX(原始資料!BD$2:BD$501,$BJ146)))</f>
        <v/>
      </c>
      <c r="BC146" s="6">
        <f>IF(OR($BJ146="",54&gt;設定!$B$3),"",IF(INDEX(原始資料!BE$2:BE$501,$BJ146)="","",INDEX(原始資料!BE$2:BE$501,$BJ146)))</f>
        <v/>
      </c>
      <c r="BD146" s="6">
        <f>IF(OR($BJ146="",55&gt;設定!$B$3),"",IF(INDEX(原始資料!BF$2:BF$501,$BJ146)="","",INDEX(原始資料!BF$2:BF$501,$BJ146)))</f>
        <v/>
      </c>
      <c r="BE146" s="6">
        <f>IF(OR($BJ146="",56&gt;設定!$B$3),"",IF(INDEX(原始資料!BG$2:BG$501,$BJ146)="","",INDEX(原始資料!BG$2:BG$501,$BJ146)))</f>
        <v/>
      </c>
      <c r="BF146" s="6">
        <f>IF(OR($BJ146="",57&gt;設定!$B$3),"",IF(INDEX(原始資料!BH$2:BH$501,$BJ146)="","",INDEX(原始資料!BH$2:BH$501,$BJ146)))</f>
        <v/>
      </c>
      <c r="BG146" s="6">
        <f>IF(OR($BJ146="",58&gt;設定!$B$3),"",IF(INDEX(原始資料!BI$2:BI$501,$BJ146)="","",INDEX(原始資料!BI$2:BI$501,$BJ146)))</f>
        <v/>
      </c>
      <c r="BH146" s="6">
        <f>IF(OR($BJ146="",59&gt;設定!$B$3),"",IF(INDEX(原始資料!BJ$2:BJ$501,$BJ146)="","",INDEX(原始資料!BJ$2:BJ$501,$BJ146)))</f>
        <v/>
      </c>
      <c r="BI146" s="6">
        <f>IF(OR($BJ146="",60&gt;設定!$B$3),"",IF(INDEX(原始資料!BK$2:BK$501,$BJ146)="","",INDEX(原始資料!BK$2:BK$501,$BJ146)))</f>
        <v/>
      </c>
      <c r="BJ146" s="6">
        <f>IFERROR(MATCH(ROW()-1,判定!$H$2:$H$501,0),"")</f>
        <v/>
      </c>
    </row>
    <row r="147">
      <c r="A147" s="6">
        <f>IF($BJ147="","",INDEX(原始資料!$A$2:$A$501,$BJ147))</f>
        <v/>
      </c>
      <c r="B147" s="6">
        <f>IF(OR($BJ147="",1&gt;設定!$B$3),"",IF(INDEX(原始資料!D$2:D$501,$BJ147)="","",INDEX(原始資料!D$2:D$501,$BJ147)))</f>
        <v/>
      </c>
      <c r="C147" s="6">
        <f>IF(OR($BJ147="",2&gt;設定!$B$3),"",IF(INDEX(原始資料!E$2:E$501,$BJ147)="","",INDEX(原始資料!E$2:E$501,$BJ147)))</f>
        <v/>
      </c>
      <c r="D147" s="6">
        <f>IF(OR($BJ147="",3&gt;設定!$B$3),"",IF(INDEX(原始資料!F$2:F$501,$BJ147)="","",INDEX(原始資料!F$2:F$501,$BJ147)))</f>
        <v/>
      </c>
      <c r="E147" s="6">
        <f>IF(OR($BJ147="",4&gt;設定!$B$3),"",IF(INDEX(原始資料!G$2:G$501,$BJ147)="","",INDEX(原始資料!G$2:G$501,$BJ147)))</f>
        <v/>
      </c>
      <c r="F147" s="6">
        <f>IF(OR($BJ147="",5&gt;設定!$B$3),"",IF(INDEX(原始資料!H$2:H$501,$BJ147)="","",INDEX(原始資料!H$2:H$501,$BJ147)))</f>
        <v/>
      </c>
      <c r="G147" s="6">
        <f>IF(OR($BJ147="",6&gt;設定!$B$3),"",IF(INDEX(原始資料!I$2:I$501,$BJ147)="","",INDEX(原始資料!I$2:I$501,$BJ147)))</f>
        <v/>
      </c>
      <c r="H147" s="6">
        <f>IF(OR($BJ147="",7&gt;設定!$B$3),"",IF(INDEX(原始資料!J$2:J$501,$BJ147)="","",INDEX(原始資料!J$2:J$501,$BJ147)))</f>
        <v/>
      </c>
      <c r="I147" s="6">
        <f>IF(OR($BJ147="",8&gt;設定!$B$3),"",IF(INDEX(原始資料!K$2:K$501,$BJ147)="","",INDEX(原始資料!K$2:K$501,$BJ147)))</f>
        <v/>
      </c>
      <c r="J147" s="6">
        <f>IF(OR($BJ147="",9&gt;設定!$B$3),"",IF(INDEX(原始資料!L$2:L$501,$BJ147)="","",INDEX(原始資料!L$2:L$501,$BJ147)))</f>
        <v/>
      </c>
      <c r="K147" s="6">
        <f>IF(OR($BJ147="",10&gt;設定!$B$3),"",IF(INDEX(原始資料!M$2:M$501,$BJ147)="","",INDEX(原始資料!M$2:M$501,$BJ147)))</f>
        <v/>
      </c>
      <c r="L147" s="6">
        <f>IF(OR($BJ147="",11&gt;設定!$B$3),"",IF(INDEX(原始資料!N$2:N$501,$BJ147)="","",INDEX(原始資料!N$2:N$501,$BJ147)))</f>
        <v/>
      </c>
      <c r="M147" s="6">
        <f>IF(OR($BJ147="",12&gt;設定!$B$3),"",IF(INDEX(原始資料!O$2:O$501,$BJ147)="","",INDEX(原始資料!O$2:O$501,$BJ147)))</f>
        <v/>
      </c>
      <c r="N147" s="6">
        <f>IF(OR($BJ147="",13&gt;設定!$B$3),"",IF(INDEX(原始資料!P$2:P$501,$BJ147)="","",INDEX(原始資料!P$2:P$501,$BJ147)))</f>
        <v/>
      </c>
      <c r="O147" s="6">
        <f>IF(OR($BJ147="",14&gt;設定!$B$3),"",IF(INDEX(原始資料!Q$2:Q$501,$BJ147)="","",INDEX(原始資料!Q$2:Q$501,$BJ147)))</f>
        <v/>
      </c>
      <c r="P147" s="6">
        <f>IF(OR($BJ147="",15&gt;設定!$B$3),"",IF(INDEX(原始資料!R$2:R$501,$BJ147)="","",INDEX(原始資料!R$2:R$501,$BJ147)))</f>
        <v/>
      </c>
      <c r="Q147" s="6">
        <f>IF(OR($BJ147="",16&gt;設定!$B$3),"",IF(INDEX(原始資料!S$2:S$501,$BJ147)="","",INDEX(原始資料!S$2:S$501,$BJ147)))</f>
        <v/>
      </c>
      <c r="R147" s="6">
        <f>IF(OR($BJ147="",17&gt;設定!$B$3),"",IF(INDEX(原始資料!T$2:T$501,$BJ147)="","",INDEX(原始資料!T$2:T$501,$BJ147)))</f>
        <v/>
      </c>
      <c r="S147" s="6">
        <f>IF(OR($BJ147="",18&gt;設定!$B$3),"",IF(INDEX(原始資料!U$2:U$501,$BJ147)="","",INDEX(原始資料!U$2:U$501,$BJ147)))</f>
        <v/>
      </c>
      <c r="T147" s="6">
        <f>IF(OR($BJ147="",19&gt;設定!$B$3),"",IF(INDEX(原始資料!V$2:V$501,$BJ147)="","",INDEX(原始資料!V$2:V$501,$BJ147)))</f>
        <v/>
      </c>
      <c r="U147" s="6">
        <f>IF(OR($BJ147="",20&gt;設定!$B$3),"",IF(INDEX(原始資料!W$2:W$501,$BJ147)="","",INDEX(原始資料!W$2:W$501,$BJ147)))</f>
        <v/>
      </c>
      <c r="V147" s="6">
        <f>IF(OR($BJ147="",21&gt;設定!$B$3),"",IF(INDEX(原始資料!X$2:X$501,$BJ147)="","",INDEX(原始資料!X$2:X$501,$BJ147)))</f>
        <v/>
      </c>
      <c r="W147" s="6">
        <f>IF(OR($BJ147="",22&gt;設定!$B$3),"",IF(INDEX(原始資料!Y$2:Y$501,$BJ147)="","",INDEX(原始資料!Y$2:Y$501,$BJ147)))</f>
        <v/>
      </c>
      <c r="X147" s="6">
        <f>IF(OR($BJ147="",23&gt;設定!$B$3),"",IF(INDEX(原始資料!Z$2:Z$501,$BJ147)="","",INDEX(原始資料!Z$2:Z$501,$BJ147)))</f>
        <v/>
      </c>
      <c r="Y147" s="6">
        <f>IF(OR($BJ147="",24&gt;設定!$B$3),"",IF(INDEX(原始資料!AA$2:AA$501,$BJ147)="","",INDEX(原始資料!AA$2:AA$501,$BJ147)))</f>
        <v/>
      </c>
      <c r="Z147" s="6">
        <f>IF(OR($BJ147="",25&gt;設定!$B$3),"",IF(INDEX(原始資料!AB$2:AB$501,$BJ147)="","",INDEX(原始資料!AB$2:AB$501,$BJ147)))</f>
        <v/>
      </c>
      <c r="AA147" s="6">
        <f>IF(OR($BJ147="",26&gt;設定!$B$3),"",IF(INDEX(原始資料!AC$2:AC$501,$BJ147)="","",INDEX(原始資料!AC$2:AC$501,$BJ147)))</f>
        <v/>
      </c>
      <c r="AB147" s="6">
        <f>IF(OR($BJ147="",27&gt;設定!$B$3),"",IF(INDEX(原始資料!AD$2:AD$501,$BJ147)="","",INDEX(原始資料!AD$2:AD$501,$BJ147)))</f>
        <v/>
      </c>
      <c r="AC147" s="6">
        <f>IF(OR($BJ147="",28&gt;設定!$B$3),"",IF(INDEX(原始資料!AE$2:AE$501,$BJ147)="","",INDEX(原始資料!AE$2:AE$501,$BJ147)))</f>
        <v/>
      </c>
      <c r="AD147" s="6">
        <f>IF(OR($BJ147="",29&gt;設定!$B$3),"",IF(INDEX(原始資料!AF$2:AF$501,$BJ147)="","",INDEX(原始資料!AF$2:AF$501,$BJ147)))</f>
        <v/>
      </c>
      <c r="AE147" s="6">
        <f>IF(OR($BJ147="",30&gt;設定!$B$3),"",IF(INDEX(原始資料!AG$2:AG$501,$BJ147)="","",INDEX(原始資料!AG$2:AG$501,$BJ147)))</f>
        <v/>
      </c>
      <c r="AF147" s="6">
        <f>IF(OR($BJ147="",31&gt;設定!$B$3),"",IF(INDEX(原始資料!AH$2:AH$501,$BJ147)="","",INDEX(原始資料!AH$2:AH$501,$BJ147)))</f>
        <v/>
      </c>
      <c r="AG147" s="6">
        <f>IF(OR($BJ147="",32&gt;設定!$B$3),"",IF(INDEX(原始資料!AI$2:AI$501,$BJ147)="","",INDEX(原始資料!AI$2:AI$501,$BJ147)))</f>
        <v/>
      </c>
      <c r="AH147" s="6">
        <f>IF(OR($BJ147="",33&gt;設定!$B$3),"",IF(INDEX(原始資料!AJ$2:AJ$501,$BJ147)="","",INDEX(原始資料!AJ$2:AJ$501,$BJ147)))</f>
        <v/>
      </c>
      <c r="AI147" s="6">
        <f>IF(OR($BJ147="",34&gt;設定!$B$3),"",IF(INDEX(原始資料!AK$2:AK$501,$BJ147)="","",INDEX(原始資料!AK$2:AK$501,$BJ147)))</f>
        <v/>
      </c>
      <c r="AJ147" s="6">
        <f>IF(OR($BJ147="",35&gt;設定!$B$3),"",IF(INDEX(原始資料!AL$2:AL$501,$BJ147)="","",INDEX(原始資料!AL$2:AL$501,$BJ147)))</f>
        <v/>
      </c>
      <c r="AK147" s="6">
        <f>IF(OR($BJ147="",36&gt;設定!$B$3),"",IF(INDEX(原始資料!AM$2:AM$501,$BJ147)="","",INDEX(原始資料!AM$2:AM$501,$BJ147)))</f>
        <v/>
      </c>
      <c r="AL147" s="6">
        <f>IF(OR($BJ147="",37&gt;設定!$B$3),"",IF(INDEX(原始資料!AN$2:AN$501,$BJ147)="","",INDEX(原始資料!AN$2:AN$501,$BJ147)))</f>
        <v/>
      </c>
      <c r="AM147" s="6">
        <f>IF(OR($BJ147="",38&gt;設定!$B$3),"",IF(INDEX(原始資料!AO$2:AO$501,$BJ147)="","",INDEX(原始資料!AO$2:AO$501,$BJ147)))</f>
        <v/>
      </c>
      <c r="AN147" s="6">
        <f>IF(OR($BJ147="",39&gt;設定!$B$3),"",IF(INDEX(原始資料!AP$2:AP$501,$BJ147)="","",INDEX(原始資料!AP$2:AP$501,$BJ147)))</f>
        <v/>
      </c>
      <c r="AO147" s="6">
        <f>IF(OR($BJ147="",40&gt;設定!$B$3),"",IF(INDEX(原始資料!AQ$2:AQ$501,$BJ147)="","",INDEX(原始資料!AQ$2:AQ$501,$BJ147)))</f>
        <v/>
      </c>
      <c r="AP147" s="6">
        <f>IF(OR($BJ147="",41&gt;設定!$B$3),"",IF(INDEX(原始資料!AR$2:AR$501,$BJ147)="","",INDEX(原始資料!AR$2:AR$501,$BJ147)))</f>
        <v/>
      </c>
      <c r="AQ147" s="6">
        <f>IF(OR($BJ147="",42&gt;設定!$B$3),"",IF(INDEX(原始資料!AS$2:AS$501,$BJ147)="","",INDEX(原始資料!AS$2:AS$501,$BJ147)))</f>
        <v/>
      </c>
      <c r="AR147" s="6">
        <f>IF(OR($BJ147="",43&gt;設定!$B$3),"",IF(INDEX(原始資料!AT$2:AT$501,$BJ147)="","",INDEX(原始資料!AT$2:AT$501,$BJ147)))</f>
        <v/>
      </c>
      <c r="AS147" s="6">
        <f>IF(OR($BJ147="",44&gt;設定!$B$3),"",IF(INDEX(原始資料!AU$2:AU$501,$BJ147)="","",INDEX(原始資料!AU$2:AU$501,$BJ147)))</f>
        <v/>
      </c>
      <c r="AT147" s="6">
        <f>IF(OR($BJ147="",45&gt;設定!$B$3),"",IF(INDEX(原始資料!AV$2:AV$501,$BJ147)="","",INDEX(原始資料!AV$2:AV$501,$BJ147)))</f>
        <v/>
      </c>
      <c r="AU147" s="6">
        <f>IF(OR($BJ147="",46&gt;設定!$B$3),"",IF(INDEX(原始資料!AW$2:AW$501,$BJ147)="","",INDEX(原始資料!AW$2:AW$501,$BJ147)))</f>
        <v/>
      </c>
      <c r="AV147" s="6">
        <f>IF(OR($BJ147="",47&gt;設定!$B$3),"",IF(INDEX(原始資料!AX$2:AX$501,$BJ147)="","",INDEX(原始資料!AX$2:AX$501,$BJ147)))</f>
        <v/>
      </c>
      <c r="AW147" s="6">
        <f>IF(OR($BJ147="",48&gt;設定!$B$3),"",IF(INDEX(原始資料!AY$2:AY$501,$BJ147)="","",INDEX(原始資料!AY$2:AY$501,$BJ147)))</f>
        <v/>
      </c>
      <c r="AX147" s="6">
        <f>IF(OR($BJ147="",49&gt;設定!$B$3),"",IF(INDEX(原始資料!AZ$2:AZ$501,$BJ147)="","",INDEX(原始資料!AZ$2:AZ$501,$BJ147)))</f>
        <v/>
      </c>
      <c r="AY147" s="6">
        <f>IF(OR($BJ147="",50&gt;設定!$B$3),"",IF(INDEX(原始資料!BA$2:BA$501,$BJ147)="","",INDEX(原始資料!BA$2:BA$501,$BJ147)))</f>
        <v/>
      </c>
      <c r="AZ147" s="6">
        <f>IF(OR($BJ147="",51&gt;設定!$B$3),"",IF(INDEX(原始資料!BB$2:BB$501,$BJ147)="","",INDEX(原始資料!BB$2:BB$501,$BJ147)))</f>
        <v/>
      </c>
      <c r="BA147" s="6">
        <f>IF(OR($BJ147="",52&gt;設定!$B$3),"",IF(INDEX(原始資料!BC$2:BC$501,$BJ147)="","",INDEX(原始資料!BC$2:BC$501,$BJ147)))</f>
        <v/>
      </c>
      <c r="BB147" s="6">
        <f>IF(OR($BJ147="",53&gt;設定!$B$3),"",IF(INDEX(原始資料!BD$2:BD$501,$BJ147)="","",INDEX(原始資料!BD$2:BD$501,$BJ147)))</f>
        <v/>
      </c>
      <c r="BC147" s="6">
        <f>IF(OR($BJ147="",54&gt;設定!$B$3),"",IF(INDEX(原始資料!BE$2:BE$501,$BJ147)="","",INDEX(原始資料!BE$2:BE$501,$BJ147)))</f>
        <v/>
      </c>
      <c r="BD147" s="6">
        <f>IF(OR($BJ147="",55&gt;設定!$B$3),"",IF(INDEX(原始資料!BF$2:BF$501,$BJ147)="","",INDEX(原始資料!BF$2:BF$501,$BJ147)))</f>
        <v/>
      </c>
      <c r="BE147" s="6">
        <f>IF(OR($BJ147="",56&gt;設定!$B$3),"",IF(INDEX(原始資料!BG$2:BG$501,$BJ147)="","",INDEX(原始資料!BG$2:BG$501,$BJ147)))</f>
        <v/>
      </c>
      <c r="BF147" s="6">
        <f>IF(OR($BJ147="",57&gt;設定!$B$3),"",IF(INDEX(原始資料!BH$2:BH$501,$BJ147)="","",INDEX(原始資料!BH$2:BH$501,$BJ147)))</f>
        <v/>
      </c>
      <c r="BG147" s="6">
        <f>IF(OR($BJ147="",58&gt;設定!$B$3),"",IF(INDEX(原始資料!BI$2:BI$501,$BJ147)="","",INDEX(原始資料!BI$2:BI$501,$BJ147)))</f>
        <v/>
      </c>
      <c r="BH147" s="6">
        <f>IF(OR($BJ147="",59&gt;設定!$B$3),"",IF(INDEX(原始資料!BJ$2:BJ$501,$BJ147)="","",INDEX(原始資料!BJ$2:BJ$501,$BJ147)))</f>
        <v/>
      </c>
      <c r="BI147" s="6">
        <f>IF(OR($BJ147="",60&gt;設定!$B$3),"",IF(INDEX(原始資料!BK$2:BK$501,$BJ147)="","",INDEX(原始資料!BK$2:BK$501,$BJ147)))</f>
        <v/>
      </c>
      <c r="BJ147" s="6">
        <f>IFERROR(MATCH(ROW()-1,判定!$H$2:$H$501,0),"")</f>
        <v/>
      </c>
    </row>
    <row r="148">
      <c r="A148" s="6">
        <f>IF($BJ148="","",INDEX(原始資料!$A$2:$A$501,$BJ148))</f>
        <v/>
      </c>
      <c r="B148" s="6">
        <f>IF(OR($BJ148="",1&gt;設定!$B$3),"",IF(INDEX(原始資料!D$2:D$501,$BJ148)="","",INDEX(原始資料!D$2:D$501,$BJ148)))</f>
        <v/>
      </c>
      <c r="C148" s="6">
        <f>IF(OR($BJ148="",2&gt;設定!$B$3),"",IF(INDEX(原始資料!E$2:E$501,$BJ148)="","",INDEX(原始資料!E$2:E$501,$BJ148)))</f>
        <v/>
      </c>
      <c r="D148" s="6">
        <f>IF(OR($BJ148="",3&gt;設定!$B$3),"",IF(INDEX(原始資料!F$2:F$501,$BJ148)="","",INDEX(原始資料!F$2:F$501,$BJ148)))</f>
        <v/>
      </c>
      <c r="E148" s="6">
        <f>IF(OR($BJ148="",4&gt;設定!$B$3),"",IF(INDEX(原始資料!G$2:G$501,$BJ148)="","",INDEX(原始資料!G$2:G$501,$BJ148)))</f>
        <v/>
      </c>
      <c r="F148" s="6">
        <f>IF(OR($BJ148="",5&gt;設定!$B$3),"",IF(INDEX(原始資料!H$2:H$501,$BJ148)="","",INDEX(原始資料!H$2:H$501,$BJ148)))</f>
        <v/>
      </c>
      <c r="G148" s="6">
        <f>IF(OR($BJ148="",6&gt;設定!$B$3),"",IF(INDEX(原始資料!I$2:I$501,$BJ148)="","",INDEX(原始資料!I$2:I$501,$BJ148)))</f>
        <v/>
      </c>
      <c r="H148" s="6">
        <f>IF(OR($BJ148="",7&gt;設定!$B$3),"",IF(INDEX(原始資料!J$2:J$501,$BJ148)="","",INDEX(原始資料!J$2:J$501,$BJ148)))</f>
        <v/>
      </c>
      <c r="I148" s="6">
        <f>IF(OR($BJ148="",8&gt;設定!$B$3),"",IF(INDEX(原始資料!K$2:K$501,$BJ148)="","",INDEX(原始資料!K$2:K$501,$BJ148)))</f>
        <v/>
      </c>
      <c r="J148" s="6">
        <f>IF(OR($BJ148="",9&gt;設定!$B$3),"",IF(INDEX(原始資料!L$2:L$501,$BJ148)="","",INDEX(原始資料!L$2:L$501,$BJ148)))</f>
        <v/>
      </c>
      <c r="K148" s="6">
        <f>IF(OR($BJ148="",10&gt;設定!$B$3),"",IF(INDEX(原始資料!M$2:M$501,$BJ148)="","",INDEX(原始資料!M$2:M$501,$BJ148)))</f>
        <v/>
      </c>
      <c r="L148" s="6">
        <f>IF(OR($BJ148="",11&gt;設定!$B$3),"",IF(INDEX(原始資料!N$2:N$501,$BJ148)="","",INDEX(原始資料!N$2:N$501,$BJ148)))</f>
        <v/>
      </c>
      <c r="M148" s="6">
        <f>IF(OR($BJ148="",12&gt;設定!$B$3),"",IF(INDEX(原始資料!O$2:O$501,$BJ148)="","",INDEX(原始資料!O$2:O$501,$BJ148)))</f>
        <v/>
      </c>
      <c r="N148" s="6">
        <f>IF(OR($BJ148="",13&gt;設定!$B$3),"",IF(INDEX(原始資料!P$2:P$501,$BJ148)="","",INDEX(原始資料!P$2:P$501,$BJ148)))</f>
        <v/>
      </c>
      <c r="O148" s="6">
        <f>IF(OR($BJ148="",14&gt;設定!$B$3),"",IF(INDEX(原始資料!Q$2:Q$501,$BJ148)="","",INDEX(原始資料!Q$2:Q$501,$BJ148)))</f>
        <v/>
      </c>
      <c r="P148" s="6">
        <f>IF(OR($BJ148="",15&gt;設定!$B$3),"",IF(INDEX(原始資料!R$2:R$501,$BJ148)="","",INDEX(原始資料!R$2:R$501,$BJ148)))</f>
        <v/>
      </c>
      <c r="Q148" s="6">
        <f>IF(OR($BJ148="",16&gt;設定!$B$3),"",IF(INDEX(原始資料!S$2:S$501,$BJ148)="","",INDEX(原始資料!S$2:S$501,$BJ148)))</f>
        <v/>
      </c>
      <c r="R148" s="6">
        <f>IF(OR($BJ148="",17&gt;設定!$B$3),"",IF(INDEX(原始資料!T$2:T$501,$BJ148)="","",INDEX(原始資料!T$2:T$501,$BJ148)))</f>
        <v/>
      </c>
      <c r="S148" s="6">
        <f>IF(OR($BJ148="",18&gt;設定!$B$3),"",IF(INDEX(原始資料!U$2:U$501,$BJ148)="","",INDEX(原始資料!U$2:U$501,$BJ148)))</f>
        <v/>
      </c>
      <c r="T148" s="6">
        <f>IF(OR($BJ148="",19&gt;設定!$B$3),"",IF(INDEX(原始資料!V$2:V$501,$BJ148)="","",INDEX(原始資料!V$2:V$501,$BJ148)))</f>
        <v/>
      </c>
      <c r="U148" s="6">
        <f>IF(OR($BJ148="",20&gt;設定!$B$3),"",IF(INDEX(原始資料!W$2:W$501,$BJ148)="","",INDEX(原始資料!W$2:W$501,$BJ148)))</f>
        <v/>
      </c>
      <c r="V148" s="6">
        <f>IF(OR($BJ148="",21&gt;設定!$B$3),"",IF(INDEX(原始資料!X$2:X$501,$BJ148)="","",INDEX(原始資料!X$2:X$501,$BJ148)))</f>
        <v/>
      </c>
      <c r="W148" s="6">
        <f>IF(OR($BJ148="",22&gt;設定!$B$3),"",IF(INDEX(原始資料!Y$2:Y$501,$BJ148)="","",INDEX(原始資料!Y$2:Y$501,$BJ148)))</f>
        <v/>
      </c>
      <c r="X148" s="6">
        <f>IF(OR($BJ148="",23&gt;設定!$B$3),"",IF(INDEX(原始資料!Z$2:Z$501,$BJ148)="","",INDEX(原始資料!Z$2:Z$501,$BJ148)))</f>
        <v/>
      </c>
      <c r="Y148" s="6">
        <f>IF(OR($BJ148="",24&gt;設定!$B$3),"",IF(INDEX(原始資料!AA$2:AA$501,$BJ148)="","",INDEX(原始資料!AA$2:AA$501,$BJ148)))</f>
        <v/>
      </c>
      <c r="Z148" s="6">
        <f>IF(OR($BJ148="",25&gt;設定!$B$3),"",IF(INDEX(原始資料!AB$2:AB$501,$BJ148)="","",INDEX(原始資料!AB$2:AB$501,$BJ148)))</f>
        <v/>
      </c>
      <c r="AA148" s="6">
        <f>IF(OR($BJ148="",26&gt;設定!$B$3),"",IF(INDEX(原始資料!AC$2:AC$501,$BJ148)="","",INDEX(原始資料!AC$2:AC$501,$BJ148)))</f>
        <v/>
      </c>
      <c r="AB148" s="6">
        <f>IF(OR($BJ148="",27&gt;設定!$B$3),"",IF(INDEX(原始資料!AD$2:AD$501,$BJ148)="","",INDEX(原始資料!AD$2:AD$501,$BJ148)))</f>
        <v/>
      </c>
      <c r="AC148" s="6">
        <f>IF(OR($BJ148="",28&gt;設定!$B$3),"",IF(INDEX(原始資料!AE$2:AE$501,$BJ148)="","",INDEX(原始資料!AE$2:AE$501,$BJ148)))</f>
        <v/>
      </c>
      <c r="AD148" s="6">
        <f>IF(OR($BJ148="",29&gt;設定!$B$3),"",IF(INDEX(原始資料!AF$2:AF$501,$BJ148)="","",INDEX(原始資料!AF$2:AF$501,$BJ148)))</f>
        <v/>
      </c>
      <c r="AE148" s="6">
        <f>IF(OR($BJ148="",30&gt;設定!$B$3),"",IF(INDEX(原始資料!AG$2:AG$501,$BJ148)="","",INDEX(原始資料!AG$2:AG$501,$BJ148)))</f>
        <v/>
      </c>
      <c r="AF148" s="6">
        <f>IF(OR($BJ148="",31&gt;設定!$B$3),"",IF(INDEX(原始資料!AH$2:AH$501,$BJ148)="","",INDEX(原始資料!AH$2:AH$501,$BJ148)))</f>
        <v/>
      </c>
      <c r="AG148" s="6">
        <f>IF(OR($BJ148="",32&gt;設定!$B$3),"",IF(INDEX(原始資料!AI$2:AI$501,$BJ148)="","",INDEX(原始資料!AI$2:AI$501,$BJ148)))</f>
        <v/>
      </c>
      <c r="AH148" s="6">
        <f>IF(OR($BJ148="",33&gt;設定!$B$3),"",IF(INDEX(原始資料!AJ$2:AJ$501,$BJ148)="","",INDEX(原始資料!AJ$2:AJ$501,$BJ148)))</f>
        <v/>
      </c>
      <c r="AI148" s="6">
        <f>IF(OR($BJ148="",34&gt;設定!$B$3),"",IF(INDEX(原始資料!AK$2:AK$501,$BJ148)="","",INDEX(原始資料!AK$2:AK$501,$BJ148)))</f>
        <v/>
      </c>
      <c r="AJ148" s="6">
        <f>IF(OR($BJ148="",35&gt;設定!$B$3),"",IF(INDEX(原始資料!AL$2:AL$501,$BJ148)="","",INDEX(原始資料!AL$2:AL$501,$BJ148)))</f>
        <v/>
      </c>
      <c r="AK148" s="6">
        <f>IF(OR($BJ148="",36&gt;設定!$B$3),"",IF(INDEX(原始資料!AM$2:AM$501,$BJ148)="","",INDEX(原始資料!AM$2:AM$501,$BJ148)))</f>
        <v/>
      </c>
      <c r="AL148" s="6">
        <f>IF(OR($BJ148="",37&gt;設定!$B$3),"",IF(INDEX(原始資料!AN$2:AN$501,$BJ148)="","",INDEX(原始資料!AN$2:AN$501,$BJ148)))</f>
        <v/>
      </c>
      <c r="AM148" s="6">
        <f>IF(OR($BJ148="",38&gt;設定!$B$3),"",IF(INDEX(原始資料!AO$2:AO$501,$BJ148)="","",INDEX(原始資料!AO$2:AO$501,$BJ148)))</f>
        <v/>
      </c>
      <c r="AN148" s="6">
        <f>IF(OR($BJ148="",39&gt;設定!$B$3),"",IF(INDEX(原始資料!AP$2:AP$501,$BJ148)="","",INDEX(原始資料!AP$2:AP$501,$BJ148)))</f>
        <v/>
      </c>
      <c r="AO148" s="6">
        <f>IF(OR($BJ148="",40&gt;設定!$B$3),"",IF(INDEX(原始資料!AQ$2:AQ$501,$BJ148)="","",INDEX(原始資料!AQ$2:AQ$501,$BJ148)))</f>
        <v/>
      </c>
      <c r="AP148" s="6">
        <f>IF(OR($BJ148="",41&gt;設定!$B$3),"",IF(INDEX(原始資料!AR$2:AR$501,$BJ148)="","",INDEX(原始資料!AR$2:AR$501,$BJ148)))</f>
        <v/>
      </c>
      <c r="AQ148" s="6">
        <f>IF(OR($BJ148="",42&gt;設定!$B$3),"",IF(INDEX(原始資料!AS$2:AS$501,$BJ148)="","",INDEX(原始資料!AS$2:AS$501,$BJ148)))</f>
        <v/>
      </c>
      <c r="AR148" s="6">
        <f>IF(OR($BJ148="",43&gt;設定!$B$3),"",IF(INDEX(原始資料!AT$2:AT$501,$BJ148)="","",INDEX(原始資料!AT$2:AT$501,$BJ148)))</f>
        <v/>
      </c>
      <c r="AS148" s="6">
        <f>IF(OR($BJ148="",44&gt;設定!$B$3),"",IF(INDEX(原始資料!AU$2:AU$501,$BJ148)="","",INDEX(原始資料!AU$2:AU$501,$BJ148)))</f>
        <v/>
      </c>
      <c r="AT148" s="6">
        <f>IF(OR($BJ148="",45&gt;設定!$B$3),"",IF(INDEX(原始資料!AV$2:AV$501,$BJ148)="","",INDEX(原始資料!AV$2:AV$501,$BJ148)))</f>
        <v/>
      </c>
      <c r="AU148" s="6">
        <f>IF(OR($BJ148="",46&gt;設定!$B$3),"",IF(INDEX(原始資料!AW$2:AW$501,$BJ148)="","",INDEX(原始資料!AW$2:AW$501,$BJ148)))</f>
        <v/>
      </c>
      <c r="AV148" s="6">
        <f>IF(OR($BJ148="",47&gt;設定!$B$3),"",IF(INDEX(原始資料!AX$2:AX$501,$BJ148)="","",INDEX(原始資料!AX$2:AX$501,$BJ148)))</f>
        <v/>
      </c>
      <c r="AW148" s="6">
        <f>IF(OR($BJ148="",48&gt;設定!$B$3),"",IF(INDEX(原始資料!AY$2:AY$501,$BJ148)="","",INDEX(原始資料!AY$2:AY$501,$BJ148)))</f>
        <v/>
      </c>
      <c r="AX148" s="6">
        <f>IF(OR($BJ148="",49&gt;設定!$B$3),"",IF(INDEX(原始資料!AZ$2:AZ$501,$BJ148)="","",INDEX(原始資料!AZ$2:AZ$501,$BJ148)))</f>
        <v/>
      </c>
      <c r="AY148" s="6">
        <f>IF(OR($BJ148="",50&gt;設定!$B$3),"",IF(INDEX(原始資料!BA$2:BA$501,$BJ148)="","",INDEX(原始資料!BA$2:BA$501,$BJ148)))</f>
        <v/>
      </c>
      <c r="AZ148" s="6">
        <f>IF(OR($BJ148="",51&gt;設定!$B$3),"",IF(INDEX(原始資料!BB$2:BB$501,$BJ148)="","",INDEX(原始資料!BB$2:BB$501,$BJ148)))</f>
        <v/>
      </c>
      <c r="BA148" s="6">
        <f>IF(OR($BJ148="",52&gt;設定!$B$3),"",IF(INDEX(原始資料!BC$2:BC$501,$BJ148)="","",INDEX(原始資料!BC$2:BC$501,$BJ148)))</f>
        <v/>
      </c>
      <c r="BB148" s="6">
        <f>IF(OR($BJ148="",53&gt;設定!$B$3),"",IF(INDEX(原始資料!BD$2:BD$501,$BJ148)="","",INDEX(原始資料!BD$2:BD$501,$BJ148)))</f>
        <v/>
      </c>
      <c r="BC148" s="6">
        <f>IF(OR($BJ148="",54&gt;設定!$B$3),"",IF(INDEX(原始資料!BE$2:BE$501,$BJ148)="","",INDEX(原始資料!BE$2:BE$501,$BJ148)))</f>
        <v/>
      </c>
      <c r="BD148" s="6">
        <f>IF(OR($BJ148="",55&gt;設定!$B$3),"",IF(INDEX(原始資料!BF$2:BF$501,$BJ148)="","",INDEX(原始資料!BF$2:BF$501,$BJ148)))</f>
        <v/>
      </c>
      <c r="BE148" s="6">
        <f>IF(OR($BJ148="",56&gt;設定!$B$3),"",IF(INDEX(原始資料!BG$2:BG$501,$BJ148)="","",INDEX(原始資料!BG$2:BG$501,$BJ148)))</f>
        <v/>
      </c>
      <c r="BF148" s="6">
        <f>IF(OR($BJ148="",57&gt;設定!$B$3),"",IF(INDEX(原始資料!BH$2:BH$501,$BJ148)="","",INDEX(原始資料!BH$2:BH$501,$BJ148)))</f>
        <v/>
      </c>
      <c r="BG148" s="6">
        <f>IF(OR($BJ148="",58&gt;設定!$B$3),"",IF(INDEX(原始資料!BI$2:BI$501,$BJ148)="","",INDEX(原始資料!BI$2:BI$501,$BJ148)))</f>
        <v/>
      </c>
      <c r="BH148" s="6">
        <f>IF(OR($BJ148="",59&gt;設定!$B$3),"",IF(INDEX(原始資料!BJ$2:BJ$501,$BJ148)="","",INDEX(原始資料!BJ$2:BJ$501,$BJ148)))</f>
        <v/>
      </c>
      <c r="BI148" s="6">
        <f>IF(OR($BJ148="",60&gt;設定!$B$3),"",IF(INDEX(原始資料!BK$2:BK$501,$BJ148)="","",INDEX(原始資料!BK$2:BK$501,$BJ148)))</f>
        <v/>
      </c>
      <c r="BJ148" s="6">
        <f>IFERROR(MATCH(ROW()-1,判定!$H$2:$H$501,0),"")</f>
        <v/>
      </c>
    </row>
    <row r="149">
      <c r="A149" s="6">
        <f>IF($BJ149="","",INDEX(原始資料!$A$2:$A$501,$BJ149))</f>
        <v/>
      </c>
      <c r="B149" s="6">
        <f>IF(OR($BJ149="",1&gt;設定!$B$3),"",IF(INDEX(原始資料!D$2:D$501,$BJ149)="","",INDEX(原始資料!D$2:D$501,$BJ149)))</f>
        <v/>
      </c>
      <c r="C149" s="6">
        <f>IF(OR($BJ149="",2&gt;設定!$B$3),"",IF(INDEX(原始資料!E$2:E$501,$BJ149)="","",INDEX(原始資料!E$2:E$501,$BJ149)))</f>
        <v/>
      </c>
      <c r="D149" s="6">
        <f>IF(OR($BJ149="",3&gt;設定!$B$3),"",IF(INDEX(原始資料!F$2:F$501,$BJ149)="","",INDEX(原始資料!F$2:F$501,$BJ149)))</f>
        <v/>
      </c>
      <c r="E149" s="6">
        <f>IF(OR($BJ149="",4&gt;設定!$B$3),"",IF(INDEX(原始資料!G$2:G$501,$BJ149)="","",INDEX(原始資料!G$2:G$501,$BJ149)))</f>
        <v/>
      </c>
      <c r="F149" s="6">
        <f>IF(OR($BJ149="",5&gt;設定!$B$3),"",IF(INDEX(原始資料!H$2:H$501,$BJ149)="","",INDEX(原始資料!H$2:H$501,$BJ149)))</f>
        <v/>
      </c>
      <c r="G149" s="6">
        <f>IF(OR($BJ149="",6&gt;設定!$B$3),"",IF(INDEX(原始資料!I$2:I$501,$BJ149)="","",INDEX(原始資料!I$2:I$501,$BJ149)))</f>
        <v/>
      </c>
      <c r="H149" s="6">
        <f>IF(OR($BJ149="",7&gt;設定!$B$3),"",IF(INDEX(原始資料!J$2:J$501,$BJ149)="","",INDEX(原始資料!J$2:J$501,$BJ149)))</f>
        <v/>
      </c>
      <c r="I149" s="6">
        <f>IF(OR($BJ149="",8&gt;設定!$B$3),"",IF(INDEX(原始資料!K$2:K$501,$BJ149)="","",INDEX(原始資料!K$2:K$501,$BJ149)))</f>
        <v/>
      </c>
      <c r="J149" s="6">
        <f>IF(OR($BJ149="",9&gt;設定!$B$3),"",IF(INDEX(原始資料!L$2:L$501,$BJ149)="","",INDEX(原始資料!L$2:L$501,$BJ149)))</f>
        <v/>
      </c>
      <c r="K149" s="6">
        <f>IF(OR($BJ149="",10&gt;設定!$B$3),"",IF(INDEX(原始資料!M$2:M$501,$BJ149)="","",INDEX(原始資料!M$2:M$501,$BJ149)))</f>
        <v/>
      </c>
      <c r="L149" s="6">
        <f>IF(OR($BJ149="",11&gt;設定!$B$3),"",IF(INDEX(原始資料!N$2:N$501,$BJ149)="","",INDEX(原始資料!N$2:N$501,$BJ149)))</f>
        <v/>
      </c>
      <c r="M149" s="6">
        <f>IF(OR($BJ149="",12&gt;設定!$B$3),"",IF(INDEX(原始資料!O$2:O$501,$BJ149)="","",INDEX(原始資料!O$2:O$501,$BJ149)))</f>
        <v/>
      </c>
      <c r="N149" s="6">
        <f>IF(OR($BJ149="",13&gt;設定!$B$3),"",IF(INDEX(原始資料!P$2:P$501,$BJ149)="","",INDEX(原始資料!P$2:P$501,$BJ149)))</f>
        <v/>
      </c>
      <c r="O149" s="6">
        <f>IF(OR($BJ149="",14&gt;設定!$B$3),"",IF(INDEX(原始資料!Q$2:Q$501,$BJ149)="","",INDEX(原始資料!Q$2:Q$501,$BJ149)))</f>
        <v/>
      </c>
      <c r="P149" s="6">
        <f>IF(OR($BJ149="",15&gt;設定!$B$3),"",IF(INDEX(原始資料!R$2:R$501,$BJ149)="","",INDEX(原始資料!R$2:R$501,$BJ149)))</f>
        <v/>
      </c>
      <c r="Q149" s="6">
        <f>IF(OR($BJ149="",16&gt;設定!$B$3),"",IF(INDEX(原始資料!S$2:S$501,$BJ149)="","",INDEX(原始資料!S$2:S$501,$BJ149)))</f>
        <v/>
      </c>
      <c r="R149" s="6">
        <f>IF(OR($BJ149="",17&gt;設定!$B$3),"",IF(INDEX(原始資料!T$2:T$501,$BJ149)="","",INDEX(原始資料!T$2:T$501,$BJ149)))</f>
        <v/>
      </c>
      <c r="S149" s="6">
        <f>IF(OR($BJ149="",18&gt;設定!$B$3),"",IF(INDEX(原始資料!U$2:U$501,$BJ149)="","",INDEX(原始資料!U$2:U$501,$BJ149)))</f>
        <v/>
      </c>
      <c r="T149" s="6">
        <f>IF(OR($BJ149="",19&gt;設定!$B$3),"",IF(INDEX(原始資料!V$2:V$501,$BJ149)="","",INDEX(原始資料!V$2:V$501,$BJ149)))</f>
        <v/>
      </c>
      <c r="U149" s="6">
        <f>IF(OR($BJ149="",20&gt;設定!$B$3),"",IF(INDEX(原始資料!W$2:W$501,$BJ149)="","",INDEX(原始資料!W$2:W$501,$BJ149)))</f>
        <v/>
      </c>
      <c r="V149" s="6">
        <f>IF(OR($BJ149="",21&gt;設定!$B$3),"",IF(INDEX(原始資料!X$2:X$501,$BJ149)="","",INDEX(原始資料!X$2:X$501,$BJ149)))</f>
        <v/>
      </c>
      <c r="W149" s="6">
        <f>IF(OR($BJ149="",22&gt;設定!$B$3),"",IF(INDEX(原始資料!Y$2:Y$501,$BJ149)="","",INDEX(原始資料!Y$2:Y$501,$BJ149)))</f>
        <v/>
      </c>
      <c r="X149" s="6">
        <f>IF(OR($BJ149="",23&gt;設定!$B$3),"",IF(INDEX(原始資料!Z$2:Z$501,$BJ149)="","",INDEX(原始資料!Z$2:Z$501,$BJ149)))</f>
        <v/>
      </c>
      <c r="Y149" s="6">
        <f>IF(OR($BJ149="",24&gt;設定!$B$3),"",IF(INDEX(原始資料!AA$2:AA$501,$BJ149)="","",INDEX(原始資料!AA$2:AA$501,$BJ149)))</f>
        <v/>
      </c>
      <c r="Z149" s="6">
        <f>IF(OR($BJ149="",25&gt;設定!$B$3),"",IF(INDEX(原始資料!AB$2:AB$501,$BJ149)="","",INDEX(原始資料!AB$2:AB$501,$BJ149)))</f>
        <v/>
      </c>
      <c r="AA149" s="6">
        <f>IF(OR($BJ149="",26&gt;設定!$B$3),"",IF(INDEX(原始資料!AC$2:AC$501,$BJ149)="","",INDEX(原始資料!AC$2:AC$501,$BJ149)))</f>
        <v/>
      </c>
      <c r="AB149" s="6">
        <f>IF(OR($BJ149="",27&gt;設定!$B$3),"",IF(INDEX(原始資料!AD$2:AD$501,$BJ149)="","",INDEX(原始資料!AD$2:AD$501,$BJ149)))</f>
        <v/>
      </c>
      <c r="AC149" s="6">
        <f>IF(OR($BJ149="",28&gt;設定!$B$3),"",IF(INDEX(原始資料!AE$2:AE$501,$BJ149)="","",INDEX(原始資料!AE$2:AE$501,$BJ149)))</f>
        <v/>
      </c>
      <c r="AD149" s="6">
        <f>IF(OR($BJ149="",29&gt;設定!$B$3),"",IF(INDEX(原始資料!AF$2:AF$501,$BJ149)="","",INDEX(原始資料!AF$2:AF$501,$BJ149)))</f>
        <v/>
      </c>
      <c r="AE149" s="6">
        <f>IF(OR($BJ149="",30&gt;設定!$B$3),"",IF(INDEX(原始資料!AG$2:AG$501,$BJ149)="","",INDEX(原始資料!AG$2:AG$501,$BJ149)))</f>
        <v/>
      </c>
      <c r="AF149" s="6">
        <f>IF(OR($BJ149="",31&gt;設定!$B$3),"",IF(INDEX(原始資料!AH$2:AH$501,$BJ149)="","",INDEX(原始資料!AH$2:AH$501,$BJ149)))</f>
        <v/>
      </c>
      <c r="AG149" s="6">
        <f>IF(OR($BJ149="",32&gt;設定!$B$3),"",IF(INDEX(原始資料!AI$2:AI$501,$BJ149)="","",INDEX(原始資料!AI$2:AI$501,$BJ149)))</f>
        <v/>
      </c>
      <c r="AH149" s="6">
        <f>IF(OR($BJ149="",33&gt;設定!$B$3),"",IF(INDEX(原始資料!AJ$2:AJ$501,$BJ149)="","",INDEX(原始資料!AJ$2:AJ$501,$BJ149)))</f>
        <v/>
      </c>
      <c r="AI149" s="6">
        <f>IF(OR($BJ149="",34&gt;設定!$B$3),"",IF(INDEX(原始資料!AK$2:AK$501,$BJ149)="","",INDEX(原始資料!AK$2:AK$501,$BJ149)))</f>
        <v/>
      </c>
      <c r="AJ149" s="6">
        <f>IF(OR($BJ149="",35&gt;設定!$B$3),"",IF(INDEX(原始資料!AL$2:AL$501,$BJ149)="","",INDEX(原始資料!AL$2:AL$501,$BJ149)))</f>
        <v/>
      </c>
      <c r="AK149" s="6">
        <f>IF(OR($BJ149="",36&gt;設定!$B$3),"",IF(INDEX(原始資料!AM$2:AM$501,$BJ149)="","",INDEX(原始資料!AM$2:AM$501,$BJ149)))</f>
        <v/>
      </c>
      <c r="AL149" s="6">
        <f>IF(OR($BJ149="",37&gt;設定!$B$3),"",IF(INDEX(原始資料!AN$2:AN$501,$BJ149)="","",INDEX(原始資料!AN$2:AN$501,$BJ149)))</f>
        <v/>
      </c>
      <c r="AM149" s="6">
        <f>IF(OR($BJ149="",38&gt;設定!$B$3),"",IF(INDEX(原始資料!AO$2:AO$501,$BJ149)="","",INDEX(原始資料!AO$2:AO$501,$BJ149)))</f>
        <v/>
      </c>
      <c r="AN149" s="6">
        <f>IF(OR($BJ149="",39&gt;設定!$B$3),"",IF(INDEX(原始資料!AP$2:AP$501,$BJ149)="","",INDEX(原始資料!AP$2:AP$501,$BJ149)))</f>
        <v/>
      </c>
      <c r="AO149" s="6">
        <f>IF(OR($BJ149="",40&gt;設定!$B$3),"",IF(INDEX(原始資料!AQ$2:AQ$501,$BJ149)="","",INDEX(原始資料!AQ$2:AQ$501,$BJ149)))</f>
        <v/>
      </c>
      <c r="AP149" s="6">
        <f>IF(OR($BJ149="",41&gt;設定!$B$3),"",IF(INDEX(原始資料!AR$2:AR$501,$BJ149)="","",INDEX(原始資料!AR$2:AR$501,$BJ149)))</f>
        <v/>
      </c>
      <c r="AQ149" s="6">
        <f>IF(OR($BJ149="",42&gt;設定!$B$3),"",IF(INDEX(原始資料!AS$2:AS$501,$BJ149)="","",INDEX(原始資料!AS$2:AS$501,$BJ149)))</f>
        <v/>
      </c>
      <c r="AR149" s="6">
        <f>IF(OR($BJ149="",43&gt;設定!$B$3),"",IF(INDEX(原始資料!AT$2:AT$501,$BJ149)="","",INDEX(原始資料!AT$2:AT$501,$BJ149)))</f>
        <v/>
      </c>
      <c r="AS149" s="6">
        <f>IF(OR($BJ149="",44&gt;設定!$B$3),"",IF(INDEX(原始資料!AU$2:AU$501,$BJ149)="","",INDEX(原始資料!AU$2:AU$501,$BJ149)))</f>
        <v/>
      </c>
      <c r="AT149" s="6">
        <f>IF(OR($BJ149="",45&gt;設定!$B$3),"",IF(INDEX(原始資料!AV$2:AV$501,$BJ149)="","",INDEX(原始資料!AV$2:AV$501,$BJ149)))</f>
        <v/>
      </c>
      <c r="AU149" s="6">
        <f>IF(OR($BJ149="",46&gt;設定!$B$3),"",IF(INDEX(原始資料!AW$2:AW$501,$BJ149)="","",INDEX(原始資料!AW$2:AW$501,$BJ149)))</f>
        <v/>
      </c>
      <c r="AV149" s="6">
        <f>IF(OR($BJ149="",47&gt;設定!$B$3),"",IF(INDEX(原始資料!AX$2:AX$501,$BJ149)="","",INDEX(原始資料!AX$2:AX$501,$BJ149)))</f>
        <v/>
      </c>
      <c r="AW149" s="6">
        <f>IF(OR($BJ149="",48&gt;設定!$B$3),"",IF(INDEX(原始資料!AY$2:AY$501,$BJ149)="","",INDEX(原始資料!AY$2:AY$501,$BJ149)))</f>
        <v/>
      </c>
      <c r="AX149" s="6">
        <f>IF(OR($BJ149="",49&gt;設定!$B$3),"",IF(INDEX(原始資料!AZ$2:AZ$501,$BJ149)="","",INDEX(原始資料!AZ$2:AZ$501,$BJ149)))</f>
        <v/>
      </c>
      <c r="AY149" s="6">
        <f>IF(OR($BJ149="",50&gt;設定!$B$3),"",IF(INDEX(原始資料!BA$2:BA$501,$BJ149)="","",INDEX(原始資料!BA$2:BA$501,$BJ149)))</f>
        <v/>
      </c>
      <c r="AZ149" s="6">
        <f>IF(OR($BJ149="",51&gt;設定!$B$3),"",IF(INDEX(原始資料!BB$2:BB$501,$BJ149)="","",INDEX(原始資料!BB$2:BB$501,$BJ149)))</f>
        <v/>
      </c>
      <c r="BA149" s="6">
        <f>IF(OR($BJ149="",52&gt;設定!$B$3),"",IF(INDEX(原始資料!BC$2:BC$501,$BJ149)="","",INDEX(原始資料!BC$2:BC$501,$BJ149)))</f>
        <v/>
      </c>
      <c r="BB149" s="6">
        <f>IF(OR($BJ149="",53&gt;設定!$B$3),"",IF(INDEX(原始資料!BD$2:BD$501,$BJ149)="","",INDEX(原始資料!BD$2:BD$501,$BJ149)))</f>
        <v/>
      </c>
      <c r="BC149" s="6">
        <f>IF(OR($BJ149="",54&gt;設定!$B$3),"",IF(INDEX(原始資料!BE$2:BE$501,$BJ149)="","",INDEX(原始資料!BE$2:BE$501,$BJ149)))</f>
        <v/>
      </c>
      <c r="BD149" s="6">
        <f>IF(OR($BJ149="",55&gt;設定!$B$3),"",IF(INDEX(原始資料!BF$2:BF$501,$BJ149)="","",INDEX(原始資料!BF$2:BF$501,$BJ149)))</f>
        <v/>
      </c>
      <c r="BE149" s="6">
        <f>IF(OR($BJ149="",56&gt;設定!$B$3),"",IF(INDEX(原始資料!BG$2:BG$501,$BJ149)="","",INDEX(原始資料!BG$2:BG$501,$BJ149)))</f>
        <v/>
      </c>
      <c r="BF149" s="6">
        <f>IF(OR($BJ149="",57&gt;設定!$B$3),"",IF(INDEX(原始資料!BH$2:BH$501,$BJ149)="","",INDEX(原始資料!BH$2:BH$501,$BJ149)))</f>
        <v/>
      </c>
      <c r="BG149" s="6">
        <f>IF(OR($BJ149="",58&gt;設定!$B$3),"",IF(INDEX(原始資料!BI$2:BI$501,$BJ149)="","",INDEX(原始資料!BI$2:BI$501,$BJ149)))</f>
        <v/>
      </c>
      <c r="BH149" s="6">
        <f>IF(OR($BJ149="",59&gt;設定!$B$3),"",IF(INDEX(原始資料!BJ$2:BJ$501,$BJ149)="","",INDEX(原始資料!BJ$2:BJ$501,$BJ149)))</f>
        <v/>
      </c>
      <c r="BI149" s="6">
        <f>IF(OR($BJ149="",60&gt;設定!$B$3),"",IF(INDEX(原始資料!BK$2:BK$501,$BJ149)="","",INDEX(原始資料!BK$2:BK$501,$BJ149)))</f>
        <v/>
      </c>
      <c r="BJ149" s="6">
        <f>IFERROR(MATCH(ROW()-1,判定!$H$2:$H$501,0),"")</f>
        <v/>
      </c>
    </row>
    <row r="150">
      <c r="A150" s="6">
        <f>IF($BJ150="","",INDEX(原始資料!$A$2:$A$501,$BJ150))</f>
        <v/>
      </c>
      <c r="B150" s="6">
        <f>IF(OR($BJ150="",1&gt;設定!$B$3),"",IF(INDEX(原始資料!D$2:D$501,$BJ150)="","",INDEX(原始資料!D$2:D$501,$BJ150)))</f>
        <v/>
      </c>
      <c r="C150" s="6">
        <f>IF(OR($BJ150="",2&gt;設定!$B$3),"",IF(INDEX(原始資料!E$2:E$501,$BJ150)="","",INDEX(原始資料!E$2:E$501,$BJ150)))</f>
        <v/>
      </c>
      <c r="D150" s="6">
        <f>IF(OR($BJ150="",3&gt;設定!$B$3),"",IF(INDEX(原始資料!F$2:F$501,$BJ150)="","",INDEX(原始資料!F$2:F$501,$BJ150)))</f>
        <v/>
      </c>
      <c r="E150" s="6">
        <f>IF(OR($BJ150="",4&gt;設定!$B$3),"",IF(INDEX(原始資料!G$2:G$501,$BJ150)="","",INDEX(原始資料!G$2:G$501,$BJ150)))</f>
        <v/>
      </c>
      <c r="F150" s="6">
        <f>IF(OR($BJ150="",5&gt;設定!$B$3),"",IF(INDEX(原始資料!H$2:H$501,$BJ150)="","",INDEX(原始資料!H$2:H$501,$BJ150)))</f>
        <v/>
      </c>
      <c r="G150" s="6">
        <f>IF(OR($BJ150="",6&gt;設定!$B$3),"",IF(INDEX(原始資料!I$2:I$501,$BJ150)="","",INDEX(原始資料!I$2:I$501,$BJ150)))</f>
        <v/>
      </c>
      <c r="H150" s="6">
        <f>IF(OR($BJ150="",7&gt;設定!$B$3),"",IF(INDEX(原始資料!J$2:J$501,$BJ150)="","",INDEX(原始資料!J$2:J$501,$BJ150)))</f>
        <v/>
      </c>
      <c r="I150" s="6">
        <f>IF(OR($BJ150="",8&gt;設定!$B$3),"",IF(INDEX(原始資料!K$2:K$501,$BJ150)="","",INDEX(原始資料!K$2:K$501,$BJ150)))</f>
        <v/>
      </c>
      <c r="J150" s="6">
        <f>IF(OR($BJ150="",9&gt;設定!$B$3),"",IF(INDEX(原始資料!L$2:L$501,$BJ150)="","",INDEX(原始資料!L$2:L$501,$BJ150)))</f>
        <v/>
      </c>
      <c r="K150" s="6">
        <f>IF(OR($BJ150="",10&gt;設定!$B$3),"",IF(INDEX(原始資料!M$2:M$501,$BJ150)="","",INDEX(原始資料!M$2:M$501,$BJ150)))</f>
        <v/>
      </c>
      <c r="L150" s="6">
        <f>IF(OR($BJ150="",11&gt;設定!$B$3),"",IF(INDEX(原始資料!N$2:N$501,$BJ150)="","",INDEX(原始資料!N$2:N$501,$BJ150)))</f>
        <v/>
      </c>
      <c r="M150" s="6">
        <f>IF(OR($BJ150="",12&gt;設定!$B$3),"",IF(INDEX(原始資料!O$2:O$501,$BJ150)="","",INDEX(原始資料!O$2:O$501,$BJ150)))</f>
        <v/>
      </c>
      <c r="N150" s="6">
        <f>IF(OR($BJ150="",13&gt;設定!$B$3),"",IF(INDEX(原始資料!P$2:P$501,$BJ150)="","",INDEX(原始資料!P$2:P$501,$BJ150)))</f>
        <v/>
      </c>
      <c r="O150" s="6">
        <f>IF(OR($BJ150="",14&gt;設定!$B$3),"",IF(INDEX(原始資料!Q$2:Q$501,$BJ150)="","",INDEX(原始資料!Q$2:Q$501,$BJ150)))</f>
        <v/>
      </c>
      <c r="P150" s="6">
        <f>IF(OR($BJ150="",15&gt;設定!$B$3),"",IF(INDEX(原始資料!R$2:R$501,$BJ150)="","",INDEX(原始資料!R$2:R$501,$BJ150)))</f>
        <v/>
      </c>
      <c r="Q150" s="6">
        <f>IF(OR($BJ150="",16&gt;設定!$B$3),"",IF(INDEX(原始資料!S$2:S$501,$BJ150)="","",INDEX(原始資料!S$2:S$501,$BJ150)))</f>
        <v/>
      </c>
      <c r="R150" s="6">
        <f>IF(OR($BJ150="",17&gt;設定!$B$3),"",IF(INDEX(原始資料!T$2:T$501,$BJ150)="","",INDEX(原始資料!T$2:T$501,$BJ150)))</f>
        <v/>
      </c>
      <c r="S150" s="6">
        <f>IF(OR($BJ150="",18&gt;設定!$B$3),"",IF(INDEX(原始資料!U$2:U$501,$BJ150)="","",INDEX(原始資料!U$2:U$501,$BJ150)))</f>
        <v/>
      </c>
      <c r="T150" s="6">
        <f>IF(OR($BJ150="",19&gt;設定!$B$3),"",IF(INDEX(原始資料!V$2:V$501,$BJ150)="","",INDEX(原始資料!V$2:V$501,$BJ150)))</f>
        <v/>
      </c>
      <c r="U150" s="6">
        <f>IF(OR($BJ150="",20&gt;設定!$B$3),"",IF(INDEX(原始資料!W$2:W$501,$BJ150)="","",INDEX(原始資料!W$2:W$501,$BJ150)))</f>
        <v/>
      </c>
      <c r="V150" s="6">
        <f>IF(OR($BJ150="",21&gt;設定!$B$3),"",IF(INDEX(原始資料!X$2:X$501,$BJ150)="","",INDEX(原始資料!X$2:X$501,$BJ150)))</f>
        <v/>
      </c>
      <c r="W150" s="6">
        <f>IF(OR($BJ150="",22&gt;設定!$B$3),"",IF(INDEX(原始資料!Y$2:Y$501,$BJ150)="","",INDEX(原始資料!Y$2:Y$501,$BJ150)))</f>
        <v/>
      </c>
      <c r="X150" s="6">
        <f>IF(OR($BJ150="",23&gt;設定!$B$3),"",IF(INDEX(原始資料!Z$2:Z$501,$BJ150)="","",INDEX(原始資料!Z$2:Z$501,$BJ150)))</f>
        <v/>
      </c>
      <c r="Y150" s="6">
        <f>IF(OR($BJ150="",24&gt;設定!$B$3),"",IF(INDEX(原始資料!AA$2:AA$501,$BJ150)="","",INDEX(原始資料!AA$2:AA$501,$BJ150)))</f>
        <v/>
      </c>
      <c r="Z150" s="6">
        <f>IF(OR($BJ150="",25&gt;設定!$B$3),"",IF(INDEX(原始資料!AB$2:AB$501,$BJ150)="","",INDEX(原始資料!AB$2:AB$501,$BJ150)))</f>
        <v/>
      </c>
      <c r="AA150" s="6">
        <f>IF(OR($BJ150="",26&gt;設定!$B$3),"",IF(INDEX(原始資料!AC$2:AC$501,$BJ150)="","",INDEX(原始資料!AC$2:AC$501,$BJ150)))</f>
        <v/>
      </c>
      <c r="AB150" s="6">
        <f>IF(OR($BJ150="",27&gt;設定!$B$3),"",IF(INDEX(原始資料!AD$2:AD$501,$BJ150)="","",INDEX(原始資料!AD$2:AD$501,$BJ150)))</f>
        <v/>
      </c>
      <c r="AC150" s="6">
        <f>IF(OR($BJ150="",28&gt;設定!$B$3),"",IF(INDEX(原始資料!AE$2:AE$501,$BJ150)="","",INDEX(原始資料!AE$2:AE$501,$BJ150)))</f>
        <v/>
      </c>
      <c r="AD150" s="6">
        <f>IF(OR($BJ150="",29&gt;設定!$B$3),"",IF(INDEX(原始資料!AF$2:AF$501,$BJ150)="","",INDEX(原始資料!AF$2:AF$501,$BJ150)))</f>
        <v/>
      </c>
      <c r="AE150" s="6">
        <f>IF(OR($BJ150="",30&gt;設定!$B$3),"",IF(INDEX(原始資料!AG$2:AG$501,$BJ150)="","",INDEX(原始資料!AG$2:AG$501,$BJ150)))</f>
        <v/>
      </c>
      <c r="AF150" s="6">
        <f>IF(OR($BJ150="",31&gt;設定!$B$3),"",IF(INDEX(原始資料!AH$2:AH$501,$BJ150)="","",INDEX(原始資料!AH$2:AH$501,$BJ150)))</f>
        <v/>
      </c>
      <c r="AG150" s="6">
        <f>IF(OR($BJ150="",32&gt;設定!$B$3),"",IF(INDEX(原始資料!AI$2:AI$501,$BJ150)="","",INDEX(原始資料!AI$2:AI$501,$BJ150)))</f>
        <v/>
      </c>
      <c r="AH150" s="6">
        <f>IF(OR($BJ150="",33&gt;設定!$B$3),"",IF(INDEX(原始資料!AJ$2:AJ$501,$BJ150)="","",INDEX(原始資料!AJ$2:AJ$501,$BJ150)))</f>
        <v/>
      </c>
      <c r="AI150" s="6">
        <f>IF(OR($BJ150="",34&gt;設定!$B$3),"",IF(INDEX(原始資料!AK$2:AK$501,$BJ150)="","",INDEX(原始資料!AK$2:AK$501,$BJ150)))</f>
        <v/>
      </c>
      <c r="AJ150" s="6">
        <f>IF(OR($BJ150="",35&gt;設定!$B$3),"",IF(INDEX(原始資料!AL$2:AL$501,$BJ150)="","",INDEX(原始資料!AL$2:AL$501,$BJ150)))</f>
        <v/>
      </c>
      <c r="AK150" s="6">
        <f>IF(OR($BJ150="",36&gt;設定!$B$3),"",IF(INDEX(原始資料!AM$2:AM$501,$BJ150)="","",INDEX(原始資料!AM$2:AM$501,$BJ150)))</f>
        <v/>
      </c>
      <c r="AL150" s="6">
        <f>IF(OR($BJ150="",37&gt;設定!$B$3),"",IF(INDEX(原始資料!AN$2:AN$501,$BJ150)="","",INDEX(原始資料!AN$2:AN$501,$BJ150)))</f>
        <v/>
      </c>
      <c r="AM150" s="6">
        <f>IF(OR($BJ150="",38&gt;設定!$B$3),"",IF(INDEX(原始資料!AO$2:AO$501,$BJ150)="","",INDEX(原始資料!AO$2:AO$501,$BJ150)))</f>
        <v/>
      </c>
      <c r="AN150" s="6">
        <f>IF(OR($BJ150="",39&gt;設定!$B$3),"",IF(INDEX(原始資料!AP$2:AP$501,$BJ150)="","",INDEX(原始資料!AP$2:AP$501,$BJ150)))</f>
        <v/>
      </c>
      <c r="AO150" s="6">
        <f>IF(OR($BJ150="",40&gt;設定!$B$3),"",IF(INDEX(原始資料!AQ$2:AQ$501,$BJ150)="","",INDEX(原始資料!AQ$2:AQ$501,$BJ150)))</f>
        <v/>
      </c>
      <c r="AP150" s="6">
        <f>IF(OR($BJ150="",41&gt;設定!$B$3),"",IF(INDEX(原始資料!AR$2:AR$501,$BJ150)="","",INDEX(原始資料!AR$2:AR$501,$BJ150)))</f>
        <v/>
      </c>
      <c r="AQ150" s="6">
        <f>IF(OR($BJ150="",42&gt;設定!$B$3),"",IF(INDEX(原始資料!AS$2:AS$501,$BJ150)="","",INDEX(原始資料!AS$2:AS$501,$BJ150)))</f>
        <v/>
      </c>
      <c r="AR150" s="6">
        <f>IF(OR($BJ150="",43&gt;設定!$B$3),"",IF(INDEX(原始資料!AT$2:AT$501,$BJ150)="","",INDEX(原始資料!AT$2:AT$501,$BJ150)))</f>
        <v/>
      </c>
      <c r="AS150" s="6">
        <f>IF(OR($BJ150="",44&gt;設定!$B$3),"",IF(INDEX(原始資料!AU$2:AU$501,$BJ150)="","",INDEX(原始資料!AU$2:AU$501,$BJ150)))</f>
        <v/>
      </c>
      <c r="AT150" s="6">
        <f>IF(OR($BJ150="",45&gt;設定!$B$3),"",IF(INDEX(原始資料!AV$2:AV$501,$BJ150)="","",INDEX(原始資料!AV$2:AV$501,$BJ150)))</f>
        <v/>
      </c>
      <c r="AU150" s="6">
        <f>IF(OR($BJ150="",46&gt;設定!$B$3),"",IF(INDEX(原始資料!AW$2:AW$501,$BJ150)="","",INDEX(原始資料!AW$2:AW$501,$BJ150)))</f>
        <v/>
      </c>
      <c r="AV150" s="6">
        <f>IF(OR($BJ150="",47&gt;設定!$B$3),"",IF(INDEX(原始資料!AX$2:AX$501,$BJ150)="","",INDEX(原始資料!AX$2:AX$501,$BJ150)))</f>
        <v/>
      </c>
      <c r="AW150" s="6">
        <f>IF(OR($BJ150="",48&gt;設定!$B$3),"",IF(INDEX(原始資料!AY$2:AY$501,$BJ150)="","",INDEX(原始資料!AY$2:AY$501,$BJ150)))</f>
        <v/>
      </c>
      <c r="AX150" s="6">
        <f>IF(OR($BJ150="",49&gt;設定!$B$3),"",IF(INDEX(原始資料!AZ$2:AZ$501,$BJ150)="","",INDEX(原始資料!AZ$2:AZ$501,$BJ150)))</f>
        <v/>
      </c>
      <c r="AY150" s="6">
        <f>IF(OR($BJ150="",50&gt;設定!$B$3),"",IF(INDEX(原始資料!BA$2:BA$501,$BJ150)="","",INDEX(原始資料!BA$2:BA$501,$BJ150)))</f>
        <v/>
      </c>
      <c r="AZ150" s="6">
        <f>IF(OR($BJ150="",51&gt;設定!$B$3),"",IF(INDEX(原始資料!BB$2:BB$501,$BJ150)="","",INDEX(原始資料!BB$2:BB$501,$BJ150)))</f>
        <v/>
      </c>
      <c r="BA150" s="6">
        <f>IF(OR($BJ150="",52&gt;設定!$B$3),"",IF(INDEX(原始資料!BC$2:BC$501,$BJ150)="","",INDEX(原始資料!BC$2:BC$501,$BJ150)))</f>
        <v/>
      </c>
      <c r="BB150" s="6">
        <f>IF(OR($BJ150="",53&gt;設定!$B$3),"",IF(INDEX(原始資料!BD$2:BD$501,$BJ150)="","",INDEX(原始資料!BD$2:BD$501,$BJ150)))</f>
        <v/>
      </c>
      <c r="BC150" s="6">
        <f>IF(OR($BJ150="",54&gt;設定!$B$3),"",IF(INDEX(原始資料!BE$2:BE$501,$BJ150)="","",INDEX(原始資料!BE$2:BE$501,$BJ150)))</f>
        <v/>
      </c>
      <c r="BD150" s="6">
        <f>IF(OR($BJ150="",55&gt;設定!$B$3),"",IF(INDEX(原始資料!BF$2:BF$501,$BJ150)="","",INDEX(原始資料!BF$2:BF$501,$BJ150)))</f>
        <v/>
      </c>
      <c r="BE150" s="6">
        <f>IF(OR($BJ150="",56&gt;設定!$B$3),"",IF(INDEX(原始資料!BG$2:BG$501,$BJ150)="","",INDEX(原始資料!BG$2:BG$501,$BJ150)))</f>
        <v/>
      </c>
      <c r="BF150" s="6">
        <f>IF(OR($BJ150="",57&gt;設定!$B$3),"",IF(INDEX(原始資料!BH$2:BH$501,$BJ150)="","",INDEX(原始資料!BH$2:BH$501,$BJ150)))</f>
        <v/>
      </c>
      <c r="BG150" s="6">
        <f>IF(OR($BJ150="",58&gt;設定!$B$3),"",IF(INDEX(原始資料!BI$2:BI$501,$BJ150)="","",INDEX(原始資料!BI$2:BI$501,$BJ150)))</f>
        <v/>
      </c>
      <c r="BH150" s="6">
        <f>IF(OR($BJ150="",59&gt;設定!$B$3),"",IF(INDEX(原始資料!BJ$2:BJ$501,$BJ150)="","",INDEX(原始資料!BJ$2:BJ$501,$BJ150)))</f>
        <v/>
      </c>
      <c r="BI150" s="6">
        <f>IF(OR($BJ150="",60&gt;設定!$B$3),"",IF(INDEX(原始資料!BK$2:BK$501,$BJ150)="","",INDEX(原始資料!BK$2:BK$501,$BJ150)))</f>
        <v/>
      </c>
      <c r="BJ150" s="6">
        <f>IFERROR(MATCH(ROW()-1,判定!$H$2:$H$501,0),"")</f>
        <v/>
      </c>
    </row>
    <row r="151">
      <c r="A151" s="6">
        <f>IF($BJ151="","",INDEX(原始資料!$A$2:$A$501,$BJ151))</f>
        <v/>
      </c>
      <c r="B151" s="6">
        <f>IF(OR($BJ151="",1&gt;設定!$B$3),"",IF(INDEX(原始資料!D$2:D$501,$BJ151)="","",INDEX(原始資料!D$2:D$501,$BJ151)))</f>
        <v/>
      </c>
      <c r="C151" s="6">
        <f>IF(OR($BJ151="",2&gt;設定!$B$3),"",IF(INDEX(原始資料!E$2:E$501,$BJ151)="","",INDEX(原始資料!E$2:E$501,$BJ151)))</f>
        <v/>
      </c>
      <c r="D151" s="6">
        <f>IF(OR($BJ151="",3&gt;設定!$B$3),"",IF(INDEX(原始資料!F$2:F$501,$BJ151)="","",INDEX(原始資料!F$2:F$501,$BJ151)))</f>
        <v/>
      </c>
      <c r="E151" s="6">
        <f>IF(OR($BJ151="",4&gt;設定!$B$3),"",IF(INDEX(原始資料!G$2:G$501,$BJ151)="","",INDEX(原始資料!G$2:G$501,$BJ151)))</f>
        <v/>
      </c>
      <c r="F151" s="6">
        <f>IF(OR($BJ151="",5&gt;設定!$B$3),"",IF(INDEX(原始資料!H$2:H$501,$BJ151)="","",INDEX(原始資料!H$2:H$501,$BJ151)))</f>
        <v/>
      </c>
      <c r="G151" s="6">
        <f>IF(OR($BJ151="",6&gt;設定!$B$3),"",IF(INDEX(原始資料!I$2:I$501,$BJ151)="","",INDEX(原始資料!I$2:I$501,$BJ151)))</f>
        <v/>
      </c>
      <c r="H151" s="6">
        <f>IF(OR($BJ151="",7&gt;設定!$B$3),"",IF(INDEX(原始資料!J$2:J$501,$BJ151)="","",INDEX(原始資料!J$2:J$501,$BJ151)))</f>
        <v/>
      </c>
      <c r="I151" s="6">
        <f>IF(OR($BJ151="",8&gt;設定!$B$3),"",IF(INDEX(原始資料!K$2:K$501,$BJ151)="","",INDEX(原始資料!K$2:K$501,$BJ151)))</f>
        <v/>
      </c>
      <c r="J151" s="6">
        <f>IF(OR($BJ151="",9&gt;設定!$B$3),"",IF(INDEX(原始資料!L$2:L$501,$BJ151)="","",INDEX(原始資料!L$2:L$501,$BJ151)))</f>
        <v/>
      </c>
      <c r="K151" s="6">
        <f>IF(OR($BJ151="",10&gt;設定!$B$3),"",IF(INDEX(原始資料!M$2:M$501,$BJ151)="","",INDEX(原始資料!M$2:M$501,$BJ151)))</f>
        <v/>
      </c>
      <c r="L151" s="6">
        <f>IF(OR($BJ151="",11&gt;設定!$B$3),"",IF(INDEX(原始資料!N$2:N$501,$BJ151)="","",INDEX(原始資料!N$2:N$501,$BJ151)))</f>
        <v/>
      </c>
      <c r="M151" s="6">
        <f>IF(OR($BJ151="",12&gt;設定!$B$3),"",IF(INDEX(原始資料!O$2:O$501,$BJ151)="","",INDEX(原始資料!O$2:O$501,$BJ151)))</f>
        <v/>
      </c>
      <c r="N151" s="6">
        <f>IF(OR($BJ151="",13&gt;設定!$B$3),"",IF(INDEX(原始資料!P$2:P$501,$BJ151)="","",INDEX(原始資料!P$2:P$501,$BJ151)))</f>
        <v/>
      </c>
      <c r="O151" s="6">
        <f>IF(OR($BJ151="",14&gt;設定!$B$3),"",IF(INDEX(原始資料!Q$2:Q$501,$BJ151)="","",INDEX(原始資料!Q$2:Q$501,$BJ151)))</f>
        <v/>
      </c>
      <c r="P151" s="6">
        <f>IF(OR($BJ151="",15&gt;設定!$B$3),"",IF(INDEX(原始資料!R$2:R$501,$BJ151)="","",INDEX(原始資料!R$2:R$501,$BJ151)))</f>
        <v/>
      </c>
      <c r="Q151" s="6">
        <f>IF(OR($BJ151="",16&gt;設定!$B$3),"",IF(INDEX(原始資料!S$2:S$501,$BJ151)="","",INDEX(原始資料!S$2:S$501,$BJ151)))</f>
        <v/>
      </c>
      <c r="R151" s="6">
        <f>IF(OR($BJ151="",17&gt;設定!$B$3),"",IF(INDEX(原始資料!T$2:T$501,$BJ151)="","",INDEX(原始資料!T$2:T$501,$BJ151)))</f>
        <v/>
      </c>
      <c r="S151" s="6">
        <f>IF(OR($BJ151="",18&gt;設定!$B$3),"",IF(INDEX(原始資料!U$2:U$501,$BJ151)="","",INDEX(原始資料!U$2:U$501,$BJ151)))</f>
        <v/>
      </c>
      <c r="T151" s="6">
        <f>IF(OR($BJ151="",19&gt;設定!$B$3),"",IF(INDEX(原始資料!V$2:V$501,$BJ151)="","",INDEX(原始資料!V$2:V$501,$BJ151)))</f>
        <v/>
      </c>
      <c r="U151" s="6">
        <f>IF(OR($BJ151="",20&gt;設定!$B$3),"",IF(INDEX(原始資料!W$2:W$501,$BJ151)="","",INDEX(原始資料!W$2:W$501,$BJ151)))</f>
        <v/>
      </c>
      <c r="V151" s="6">
        <f>IF(OR($BJ151="",21&gt;設定!$B$3),"",IF(INDEX(原始資料!X$2:X$501,$BJ151)="","",INDEX(原始資料!X$2:X$501,$BJ151)))</f>
        <v/>
      </c>
      <c r="W151" s="6">
        <f>IF(OR($BJ151="",22&gt;設定!$B$3),"",IF(INDEX(原始資料!Y$2:Y$501,$BJ151)="","",INDEX(原始資料!Y$2:Y$501,$BJ151)))</f>
        <v/>
      </c>
      <c r="X151" s="6">
        <f>IF(OR($BJ151="",23&gt;設定!$B$3),"",IF(INDEX(原始資料!Z$2:Z$501,$BJ151)="","",INDEX(原始資料!Z$2:Z$501,$BJ151)))</f>
        <v/>
      </c>
      <c r="Y151" s="6">
        <f>IF(OR($BJ151="",24&gt;設定!$B$3),"",IF(INDEX(原始資料!AA$2:AA$501,$BJ151)="","",INDEX(原始資料!AA$2:AA$501,$BJ151)))</f>
        <v/>
      </c>
      <c r="Z151" s="6">
        <f>IF(OR($BJ151="",25&gt;設定!$B$3),"",IF(INDEX(原始資料!AB$2:AB$501,$BJ151)="","",INDEX(原始資料!AB$2:AB$501,$BJ151)))</f>
        <v/>
      </c>
      <c r="AA151" s="6">
        <f>IF(OR($BJ151="",26&gt;設定!$B$3),"",IF(INDEX(原始資料!AC$2:AC$501,$BJ151)="","",INDEX(原始資料!AC$2:AC$501,$BJ151)))</f>
        <v/>
      </c>
      <c r="AB151" s="6">
        <f>IF(OR($BJ151="",27&gt;設定!$B$3),"",IF(INDEX(原始資料!AD$2:AD$501,$BJ151)="","",INDEX(原始資料!AD$2:AD$501,$BJ151)))</f>
        <v/>
      </c>
      <c r="AC151" s="6">
        <f>IF(OR($BJ151="",28&gt;設定!$B$3),"",IF(INDEX(原始資料!AE$2:AE$501,$BJ151)="","",INDEX(原始資料!AE$2:AE$501,$BJ151)))</f>
        <v/>
      </c>
      <c r="AD151" s="6">
        <f>IF(OR($BJ151="",29&gt;設定!$B$3),"",IF(INDEX(原始資料!AF$2:AF$501,$BJ151)="","",INDEX(原始資料!AF$2:AF$501,$BJ151)))</f>
        <v/>
      </c>
      <c r="AE151" s="6">
        <f>IF(OR($BJ151="",30&gt;設定!$B$3),"",IF(INDEX(原始資料!AG$2:AG$501,$BJ151)="","",INDEX(原始資料!AG$2:AG$501,$BJ151)))</f>
        <v/>
      </c>
      <c r="AF151" s="6">
        <f>IF(OR($BJ151="",31&gt;設定!$B$3),"",IF(INDEX(原始資料!AH$2:AH$501,$BJ151)="","",INDEX(原始資料!AH$2:AH$501,$BJ151)))</f>
        <v/>
      </c>
      <c r="AG151" s="6">
        <f>IF(OR($BJ151="",32&gt;設定!$B$3),"",IF(INDEX(原始資料!AI$2:AI$501,$BJ151)="","",INDEX(原始資料!AI$2:AI$501,$BJ151)))</f>
        <v/>
      </c>
      <c r="AH151" s="6">
        <f>IF(OR($BJ151="",33&gt;設定!$B$3),"",IF(INDEX(原始資料!AJ$2:AJ$501,$BJ151)="","",INDEX(原始資料!AJ$2:AJ$501,$BJ151)))</f>
        <v/>
      </c>
      <c r="AI151" s="6">
        <f>IF(OR($BJ151="",34&gt;設定!$B$3),"",IF(INDEX(原始資料!AK$2:AK$501,$BJ151)="","",INDEX(原始資料!AK$2:AK$501,$BJ151)))</f>
        <v/>
      </c>
      <c r="AJ151" s="6">
        <f>IF(OR($BJ151="",35&gt;設定!$B$3),"",IF(INDEX(原始資料!AL$2:AL$501,$BJ151)="","",INDEX(原始資料!AL$2:AL$501,$BJ151)))</f>
        <v/>
      </c>
      <c r="AK151" s="6">
        <f>IF(OR($BJ151="",36&gt;設定!$B$3),"",IF(INDEX(原始資料!AM$2:AM$501,$BJ151)="","",INDEX(原始資料!AM$2:AM$501,$BJ151)))</f>
        <v/>
      </c>
      <c r="AL151" s="6">
        <f>IF(OR($BJ151="",37&gt;設定!$B$3),"",IF(INDEX(原始資料!AN$2:AN$501,$BJ151)="","",INDEX(原始資料!AN$2:AN$501,$BJ151)))</f>
        <v/>
      </c>
      <c r="AM151" s="6">
        <f>IF(OR($BJ151="",38&gt;設定!$B$3),"",IF(INDEX(原始資料!AO$2:AO$501,$BJ151)="","",INDEX(原始資料!AO$2:AO$501,$BJ151)))</f>
        <v/>
      </c>
      <c r="AN151" s="6">
        <f>IF(OR($BJ151="",39&gt;設定!$B$3),"",IF(INDEX(原始資料!AP$2:AP$501,$BJ151)="","",INDEX(原始資料!AP$2:AP$501,$BJ151)))</f>
        <v/>
      </c>
      <c r="AO151" s="6">
        <f>IF(OR($BJ151="",40&gt;設定!$B$3),"",IF(INDEX(原始資料!AQ$2:AQ$501,$BJ151)="","",INDEX(原始資料!AQ$2:AQ$501,$BJ151)))</f>
        <v/>
      </c>
      <c r="AP151" s="6">
        <f>IF(OR($BJ151="",41&gt;設定!$B$3),"",IF(INDEX(原始資料!AR$2:AR$501,$BJ151)="","",INDEX(原始資料!AR$2:AR$501,$BJ151)))</f>
        <v/>
      </c>
      <c r="AQ151" s="6">
        <f>IF(OR($BJ151="",42&gt;設定!$B$3),"",IF(INDEX(原始資料!AS$2:AS$501,$BJ151)="","",INDEX(原始資料!AS$2:AS$501,$BJ151)))</f>
        <v/>
      </c>
      <c r="AR151" s="6">
        <f>IF(OR($BJ151="",43&gt;設定!$B$3),"",IF(INDEX(原始資料!AT$2:AT$501,$BJ151)="","",INDEX(原始資料!AT$2:AT$501,$BJ151)))</f>
        <v/>
      </c>
      <c r="AS151" s="6">
        <f>IF(OR($BJ151="",44&gt;設定!$B$3),"",IF(INDEX(原始資料!AU$2:AU$501,$BJ151)="","",INDEX(原始資料!AU$2:AU$501,$BJ151)))</f>
        <v/>
      </c>
      <c r="AT151" s="6">
        <f>IF(OR($BJ151="",45&gt;設定!$B$3),"",IF(INDEX(原始資料!AV$2:AV$501,$BJ151)="","",INDEX(原始資料!AV$2:AV$501,$BJ151)))</f>
        <v/>
      </c>
      <c r="AU151" s="6">
        <f>IF(OR($BJ151="",46&gt;設定!$B$3),"",IF(INDEX(原始資料!AW$2:AW$501,$BJ151)="","",INDEX(原始資料!AW$2:AW$501,$BJ151)))</f>
        <v/>
      </c>
      <c r="AV151" s="6">
        <f>IF(OR($BJ151="",47&gt;設定!$B$3),"",IF(INDEX(原始資料!AX$2:AX$501,$BJ151)="","",INDEX(原始資料!AX$2:AX$501,$BJ151)))</f>
        <v/>
      </c>
      <c r="AW151" s="6">
        <f>IF(OR($BJ151="",48&gt;設定!$B$3),"",IF(INDEX(原始資料!AY$2:AY$501,$BJ151)="","",INDEX(原始資料!AY$2:AY$501,$BJ151)))</f>
        <v/>
      </c>
      <c r="AX151" s="6">
        <f>IF(OR($BJ151="",49&gt;設定!$B$3),"",IF(INDEX(原始資料!AZ$2:AZ$501,$BJ151)="","",INDEX(原始資料!AZ$2:AZ$501,$BJ151)))</f>
        <v/>
      </c>
      <c r="AY151" s="6">
        <f>IF(OR($BJ151="",50&gt;設定!$B$3),"",IF(INDEX(原始資料!BA$2:BA$501,$BJ151)="","",INDEX(原始資料!BA$2:BA$501,$BJ151)))</f>
        <v/>
      </c>
      <c r="AZ151" s="6">
        <f>IF(OR($BJ151="",51&gt;設定!$B$3),"",IF(INDEX(原始資料!BB$2:BB$501,$BJ151)="","",INDEX(原始資料!BB$2:BB$501,$BJ151)))</f>
        <v/>
      </c>
      <c r="BA151" s="6">
        <f>IF(OR($BJ151="",52&gt;設定!$B$3),"",IF(INDEX(原始資料!BC$2:BC$501,$BJ151)="","",INDEX(原始資料!BC$2:BC$501,$BJ151)))</f>
        <v/>
      </c>
      <c r="BB151" s="6">
        <f>IF(OR($BJ151="",53&gt;設定!$B$3),"",IF(INDEX(原始資料!BD$2:BD$501,$BJ151)="","",INDEX(原始資料!BD$2:BD$501,$BJ151)))</f>
        <v/>
      </c>
      <c r="BC151" s="6">
        <f>IF(OR($BJ151="",54&gt;設定!$B$3),"",IF(INDEX(原始資料!BE$2:BE$501,$BJ151)="","",INDEX(原始資料!BE$2:BE$501,$BJ151)))</f>
        <v/>
      </c>
      <c r="BD151" s="6">
        <f>IF(OR($BJ151="",55&gt;設定!$B$3),"",IF(INDEX(原始資料!BF$2:BF$501,$BJ151)="","",INDEX(原始資料!BF$2:BF$501,$BJ151)))</f>
        <v/>
      </c>
      <c r="BE151" s="6">
        <f>IF(OR($BJ151="",56&gt;設定!$B$3),"",IF(INDEX(原始資料!BG$2:BG$501,$BJ151)="","",INDEX(原始資料!BG$2:BG$501,$BJ151)))</f>
        <v/>
      </c>
      <c r="BF151" s="6">
        <f>IF(OR($BJ151="",57&gt;設定!$B$3),"",IF(INDEX(原始資料!BH$2:BH$501,$BJ151)="","",INDEX(原始資料!BH$2:BH$501,$BJ151)))</f>
        <v/>
      </c>
      <c r="BG151" s="6">
        <f>IF(OR($BJ151="",58&gt;設定!$B$3),"",IF(INDEX(原始資料!BI$2:BI$501,$BJ151)="","",INDEX(原始資料!BI$2:BI$501,$BJ151)))</f>
        <v/>
      </c>
      <c r="BH151" s="6">
        <f>IF(OR($BJ151="",59&gt;設定!$B$3),"",IF(INDEX(原始資料!BJ$2:BJ$501,$BJ151)="","",INDEX(原始資料!BJ$2:BJ$501,$BJ151)))</f>
        <v/>
      </c>
      <c r="BI151" s="6">
        <f>IF(OR($BJ151="",60&gt;設定!$B$3),"",IF(INDEX(原始資料!BK$2:BK$501,$BJ151)="","",INDEX(原始資料!BK$2:BK$501,$BJ151)))</f>
        <v/>
      </c>
      <c r="BJ151" s="6">
        <f>IFERROR(MATCH(ROW()-1,判定!$H$2:$H$501,0),"")</f>
        <v/>
      </c>
    </row>
    <row r="152">
      <c r="A152" s="6">
        <f>IF($BJ152="","",INDEX(原始資料!$A$2:$A$501,$BJ152))</f>
        <v/>
      </c>
      <c r="B152" s="6">
        <f>IF(OR($BJ152="",1&gt;設定!$B$3),"",IF(INDEX(原始資料!D$2:D$501,$BJ152)="","",INDEX(原始資料!D$2:D$501,$BJ152)))</f>
        <v/>
      </c>
      <c r="C152" s="6">
        <f>IF(OR($BJ152="",2&gt;設定!$B$3),"",IF(INDEX(原始資料!E$2:E$501,$BJ152)="","",INDEX(原始資料!E$2:E$501,$BJ152)))</f>
        <v/>
      </c>
      <c r="D152" s="6">
        <f>IF(OR($BJ152="",3&gt;設定!$B$3),"",IF(INDEX(原始資料!F$2:F$501,$BJ152)="","",INDEX(原始資料!F$2:F$501,$BJ152)))</f>
        <v/>
      </c>
      <c r="E152" s="6">
        <f>IF(OR($BJ152="",4&gt;設定!$B$3),"",IF(INDEX(原始資料!G$2:G$501,$BJ152)="","",INDEX(原始資料!G$2:G$501,$BJ152)))</f>
        <v/>
      </c>
      <c r="F152" s="6">
        <f>IF(OR($BJ152="",5&gt;設定!$B$3),"",IF(INDEX(原始資料!H$2:H$501,$BJ152)="","",INDEX(原始資料!H$2:H$501,$BJ152)))</f>
        <v/>
      </c>
      <c r="G152" s="6">
        <f>IF(OR($BJ152="",6&gt;設定!$B$3),"",IF(INDEX(原始資料!I$2:I$501,$BJ152)="","",INDEX(原始資料!I$2:I$501,$BJ152)))</f>
        <v/>
      </c>
      <c r="H152" s="6">
        <f>IF(OR($BJ152="",7&gt;設定!$B$3),"",IF(INDEX(原始資料!J$2:J$501,$BJ152)="","",INDEX(原始資料!J$2:J$501,$BJ152)))</f>
        <v/>
      </c>
      <c r="I152" s="6">
        <f>IF(OR($BJ152="",8&gt;設定!$B$3),"",IF(INDEX(原始資料!K$2:K$501,$BJ152)="","",INDEX(原始資料!K$2:K$501,$BJ152)))</f>
        <v/>
      </c>
      <c r="J152" s="6">
        <f>IF(OR($BJ152="",9&gt;設定!$B$3),"",IF(INDEX(原始資料!L$2:L$501,$BJ152)="","",INDEX(原始資料!L$2:L$501,$BJ152)))</f>
        <v/>
      </c>
      <c r="K152" s="6">
        <f>IF(OR($BJ152="",10&gt;設定!$B$3),"",IF(INDEX(原始資料!M$2:M$501,$BJ152)="","",INDEX(原始資料!M$2:M$501,$BJ152)))</f>
        <v/>
      </c>
      <c r="L152" s="6">
        <f>IF(OR($BJ152="",11&gt;設定!$B$3),"",IF(INDEX(原始資料!N$2:N$501,$BJ152)="","",INDEX(原始資料!N$2:N$501,$BJ152)))</f>
        <v/>
      </c>
      <c r="M152" s="6">
        <f>IF(OR($BJ152="",12&gt;設定!$B$3),"",IF(INDEX(原始資料!O$2:O$501,$BJ152)="","",INDEX(原始資料!O$2:O$501,$BJ152)))</f>
        <v/>
      </c>
      <c r="N152" s="6">
        <f>IF(OR($BJ152="",13&gt;設定!$B$3),"",IF(INDEX(原始資料!P$2:P$501,$BJ152)="","",INDEX(原始資料!P$2:P$501,$BJ152)))</f>
        <v/>
      </c>
      <c r="O152" s="6">
        <f>IF(OR($BJ152="",14&gt;設定!$B$3),"",IF(INDEX(原始資料!Q$2:Q$501,$BJ152)="","",INDEX(原始資料!Q$2:Q$501,$BJ152)))</f>
        <v/>
      </c>
      <c r="P152" s="6">
        <f>IF(OR($BJ152="",15&gt;設定!$B$3),"",IF(INDEX(原始資料!R$2:R$501,$BJ152)="","",INDEX(原始資料!R$2:R$501,$BJ152)))</f>
        <v/>
      </c>
      <c r="Q152" s="6">
        <f>IF(OR($BJ152="",16&gt;設定!$B$3),"",IF(INDEX(原始資料!S$2:S$501,$BJ152)="","",INDEX(原始資料!S$2:S$501,$BJ152)))</f>
        <v/>
      </c>
      <c r="R152" s="6">
        <f>IF(OR($BJ152="",17&gt;設定!$B$3),"",IF(INDEX(原始資料!T$2:T$501,$BJ152)="","",INDEX(原始資料!T$2:T$501,$BJ152)))</f>
        <v/>
      </c>
      <c r="S152" s="6">
        <f>IF(OR($BJ152="",18&gt;設定!$B$3),"",IF(INDEX(原始資料!U$2:U$501,$BJ152)="","",INDEX(原始資料!U$2:U$501,$BJ152)))</f>
        <v/>
      </c>
      <c r="T152" s="6">
        <f>IF(OR($BJ152="",19&gt;設定!$B$3),"",IF(INDEX(原始資料!V$2:V$501,$BJ152)="","",INDEX(原始資料!V$2:V$501,$BJ152)))</f>
        <v/>
      </c>
      <c r="U152" s="6">
        <f>IF(OR($BJ152="",20&gt;設定!$B$3),"",IF(INDEX(原始資料!W$2:W$501,$BJ152)="","",INDEX(原始資料!W$2:W$501,$BJ152)))</f>
        <v/>
      </c>
      <c r="V152" s="6">
        <f>IF(OR($BJ152="",21&gt;設定!$B$3),"",IF(INDEX(原始資料!X$2:X$501,$BJ152)="","",INDEX(原始資料!X$2:X$501,$BJ152)))</f>
        <v/>
      </c>
      <c r="W152" s="6">
        <f>IF(OR($BJ152="",22&gt;設定!$B$3),"",IF(INDEX(原始資料!Y$2:Y$501,$BJ152)="","",INDEX(原始資料!Y$2:Y$501,$BJ152)))</f>
        <v/>
      </c>
      <c r="X152" s="6">
        <f>IF(OR($BJ152="",23&gt;設定!$B$3),"",IF(INDEX(原始資料!Z$2:Z$501,$BJ152)="","",INDEX(原始資料!Z$2:Z$501,$BJ152)))</f>
        <v/>
      </c>
      <c r="Y152" s="6">
        <f>IF(OR($BJ152="",24&gt;設定!$B$3),"",IF(INDEX(原始資料!AA$2:AA$501,$BJ152)="","",INDEX(原始資料!AA$2:AA$501,$BJ152)))</f>
        <v/>
      </c>
      <c r="Z152" s="6">
        <f>IF(OR($BJ152="",25&gt;設定!$B$3),"",IF(INDEX(原始資料!AB$2:AB$501,$BJ152)="","",INDEX(原始資料!AB$2:AB$501,$BJ152)))</f>
        <v/>
      </c>
      <c r="AA152" s="6">
        <f>IF(OR($BJ152="",26&gt;設定!$B$3),"",IF(INDEX(原始資料!AC$2:AC$501,$BJ152)="","",INDEX(原始資料!AC$2:AC$501,$BJ152)))</f>
        <v/>
      </c>
      <c r="AB152" s="6">
        <f>IF(OR($BJ152="",27&gt;設定!$B$3),"",IF(INDEX(原始資料!AD$2:AD$501,$BJ152)="","",INDEX(原始資料!AD$2:AD$501,$BJ152)))</f>
        <v/>
      </c>
      <c r="AC152" s="6">
        <f>IF(OR($BJ152="",28&gt;設定!$B$3),"",IF(INDEX(原始資料!AE$2:AE$501,$BJ152)="","",INDEX(原始資料!AE$2:AE$501,$BJ152)))</f>
        <v/>
      </c>
      <c r="AD152" s="6">
        <f>IF(OR($BJ152="",29&gt;設定!$B$3),"",IF(INDEX(原始資料!AF$2:AF$501,$BJ152)="","",INDEX(原始資料!AF$2:AF$501,$BJ152)))</f>
        <v/>
      </c>
      <c r="AE152" s="6">
        <f>IF(OR($BJ152="",30&gt;設定!$B$3),"",IF(INDEX(原始資料!AG$2:AG$501,$BJ152)="","",INDEX(原始資料!AG$2:AG$501,$BJ152)))</f>
        <v/>
      </c>
      <c r="AF152" s="6">
        <f>IF(OR($BJ152="",31&gt;設定!$B$3),"",IF(INDEX(原始資料!AH$2:AH$501,$BJ152)="","",INDEX(原始資料!AH$2:AH$501,$BJ152)))</f>
        <v/>
      </c>
      <c r="AG152" s="6">
        <f>IF(OR($BJ152="",32&gt;設定!$B$3),"",IF(INDEX(原始資料!AI$2:AI$501,$BJ152)="","",INDEX(原始資料!AI$2:AI$501,$BJ152)))</f>
        <v/>
      </c>
      <c r="AH152" s="6">
        <f>IF(OR($BJ152="",33&gt;設定!$B$3),"",IF(INDEX(原始資料!AJ$2:AJ$501,$BJ152)="","",INDEX(原始資料!AJ$2:AJ$501,$BJ152)))</f>
        <v/>
      </c>
      <c r="AI152" s="6">
        <f>IF(OR($BJ152="",34&gt;設定!$B$3),"",IF(INDEX(原始資料!AK$2:AK$501,$BJ152)="","",INDEX(原始資料!AK$2:AK$501,$BJ152)))</f>
        <v/>
      </c>
      <c r="AJ152" s="6">
        <f>IF(OR($BJ152="",35&gt;設定!$B$3),"",IF(INDEX(原始資料!AL$2:AL$501,$BJ152)="","",INDEX(原始資料!AL$2:AL$501,$BJ152)))</f>
        <v/>
      </c>
      <c r="AK152" s="6">
        <f>IF(OR($BJ152="",36&gt;設定!$B$3),"",IF(INDEX(原始資料!AM$2:AM$501,$BJ152)="","",INDEX(原始資料!AM$2:AM$501,$BJ152)))</f>
        <v/>
      </c>
      <c r="AL152" s="6">
        <f>IF(OR($BJ152="",37&gt;設定!$B$3),"",IF(INDEX(原始資料!AN$2:AN$501,$BJ152)="","",INDEX(原始資料!AN$2:AN$501,$BJ152)))</f>
        <v/>
      </c>
      <c r="AM152" s="6">
        <f>IF(OR($BJ152="",38&gt;設定!$B$3),"",IF(INDEX(原始資料!AO$2:AO$501,$BJ152)="","",INDEX(原始資料!AO$2:AO$501,$BJ152)))</f>
        <v/>
      </c>
      <c r="AN152" s="6">
        <f>IF(OR($BJ152="",39&gt;設定!$B$3),"",IF(INDEX(原始資料!AP$2:AP$501,$BJ152)="","",INDEX(原始資料!AP$2:AP$501,$BJ152)))</f>
        <v/>
      </c>
      <c r="AO152" s="6">
        <f>IF(OR($BJ152="",40&gt;設定!$B$3),"",IF(INDEX(原始資料!AQ$2:AQ$501,$BJ152)="","",INDEX(原始資料!AQ$2:AQ$501,$BJ152)))</f>
        <v/>
      </c>
      <c r="AP152" s="6">
        <f>IF(OR($BJ152="",41&gt;設定!$B$3),"",IF(INDEX(原始資料!AR$2:AR$501,$BJ152)="","",INDEX(原始資料!AR$2:AR$501,$BJ152)))</f>
        <v/>
      </c>
      <c r="AQ152" s="6">
        <f>IF(OR($BJ152="",42&gt;設定!$B$3),"",IF(INDEX(原始資料!AS$2:AS$501,$BJ152)="","",INDEX(原始資料!AS$2:AS$501,$BJ152)))</f>
        <v/>
      </c>
      <c r="AR152" s="6">
        <f>IF(OR($BJ152="",43&gt;設定!$B$3),"",IF(INDEX(原始資料!AT$2:AT$501,$BJ152)="","",INDEX(原始資料!AT$2:AT$501,$BJ152)))</f>
        <v/>
      </c>
      <c r="AS152" s="6">
        <f>IF(OR($BJ152="",44&gt;設定!$B$3),"",IF(INDEX(原始資料!AU$2:AU$501,$BJ152)="","",INDEX(原始資料!AU$2:AU$501,$BJ152)))</f>
        <v/>
      </c>
      <c r="AT152" s="6">
        <f>IF(OR($BJ152="",45&gt;設定!$B$3),"",IF(INDEX(原始資料!AV$2:AV$501,$BJ152)="","",INDEX(原始資料!AV$2:AV$501,$BJ152)))</f>
        <v/>
      </c>
      <c r="AU152" s="6">
        <f>IF(OR($BJ152="",46&gt;設定!$B$3),"",IF(INDEX(原始資料!AW$2:AW$501,$BJ152)="","",INDEX(原始資料!AW$2:AW$501,$BJ152)))</f>
        <v/>
      </c>
      <c r="AV152" s="6">
        <f>IF(OR($BJ152="",47&gt;設定!$B$3),"",IF(INDEX(原始資料!AX$2:AX$501,$BJ152)="","",INDEX(原始資料!AX$2:AX$501,$BJ152)))</f>
        <v/>
      </c>
      <c r="AW152" s="6">
        <f>IF(OR($BJ152="",48&gt;設定!$B$3),"",IF(INDEX(原始資料!AY$2:AY$501,$BJ152)="","",INDEX(原始資料!AY$2:AY$501,$BJ152)))</f>
        <v/>
      </c>
      <c r="AX152" s="6">
        <f>IF(OR($BJ152="",49&gt;設定!$B$3),"",IF(INDEX(原始資料!AZ$2:AZ$501,$BJ152)="","",INDEX(原始資料!AZ$2:AZ$501,$BJ152)))</f>
        <v/>
      </c>
      <c r="AY152" s="6">
        <f>IF(OR($BJ152="",50&gt;設定!$B$3),"",IF(INDEX(原始資料!BA$2:BA$501,$BJ152)="","",INDEX(原始資料!BA$2:BA$501,$BJ152)))</f>
        <v/>
      </c>
      <c r="AZ152" s="6">
        <f>IF(OR($BJ152="",51&gt;設定!$B$3),"",IF(INDEX(原始資料!BB$2:BB$501,$BJ152)="","",INDEX(原始資料!BB$2:BB$501,$BJ152)))</f>
        <v/>
      </c>
      <c r="BA152" s="6">
        <f>IF(OR($BJ152="",52&gt;設定!$B$3),"",IF(INDEX(原始資料!BC$2:BC$501,$BJ152)="","",INDEX(原始資料!BC$2:BC$501,$BJ152)))</f>
        <v/>
      </c>
      <c r="BB152" s="6">
        <f>IF(OR($BJ152="",53&gt;設定!$B$3),"",IF(INDEX(原始資料!BD$2:BD$501,$BJ152)="","",INDEX(原始資料!BD$2:BD$501,$BJ152)))</f>
        <v/>
      </c>
      <c r="BC152" s="6">
        <f>IF(OR($BJ152="",54&gt;設定!$B$3),"",IF(INDEX(原始資料!BE$2:BE$501,$BJ152)="","",INDEX(原始資料!BE$2:BE$501,$BJ152)))</f>
        <v/>
      </c>
      <c r="BD152" s="6">
        <f>IF(OR($BJ152="",55&gt;設定!$B$3),"",IF(INDEX(原始資料!BF$2:BF$501,$BJ152)="","",INDEX(原始資料!BF$2:BF$501,$BJ152)))</f>
        <v/>
      </c>
      <c r="BE152" s="6">
        <f>IF(OR($BJ152="",56&gt;設定!$B$3),"",IF(INDEX(原始資料!BG$2:BG$501,$BJ152)="","",INDEX(原始資料!BG$2:BG$501,$BJ152)))</f>
        <v/>
      </c>
      <c r="BF152" s="6">
        <f>IF(OR($BJ152="",57&gt;設定!$B$3),"",IF(INDEX(原始資料!BH$2:BH$501,$BJ152)="","",INDEX(原始資料!BH$2:BH$501,$BJ152)))</f>
        <v/>
      </c>
      <c r="BG152" s="6">
        <f>IF(OR($BJ152="",58&gt;設定!$B$3),"",IF(INDEX(原始資料!BI$2:BI$501,$BJ152)="","",INDEX(原始資料!BI$2:BI$501,$BJ152)))</f>
        <v/>
      </c>
      <c r="BH152" s="6">
        <f>IF(OR($BJ152="",59&gt;設定!$B$3),"",IF(INDEX(原始資料!BJ$2:BJ$501,$BJ152)="","",INDEX(原始資料!BJ$2:BJ$501,$BJ152)))</f>
        <v/>
      </c>
      <c r="BI152" s="6">
        <f>IF(OR($BJ152="",60&gt;設定!$B$3),"",IF(INDEX(原始資料!BK$2:BK$501,$BJ152)="","",INDEX(原始資料!BK$2:BK$501,$BJ152)))</f>
        <v/>
      </c>
      <c r="BJ152" s="6">
        <f>IFERROR(MATCH(ROW()-1,判定!$H$2:$H$501,0),"")</f>
        <v/>
      </c>
    </row>
    <row r="153">
      <c r="A153" s="6">
        <f>IF($BJ153="","",INDEX(原始資料!$A$2:$A$501,$BJ153))</f>
        <v/>
      </c>
      <c r="B153" s="6">
        <f>IF(OR($BJ153="",1&gt;設定!$B$3),"",IF(INDEX(原始資料!D$2:D$501,$BJ153)="","",INDEX(原始資料!D$2:D$501,$BJ153)))</f>
        <v/>
      </c>
      <c r="C153" s="6">
        <f>IF(OR($BJ153="",2&gt;設定!$B$3),"",IF(INDEX(原始資料!E$2:E$501,$BJ153)="","",INDEX(原始資料!E$2:E$501,$BJ153)))</f>
        <v/>
      </c>
      <c r="D153" s="6">
        <f>IF(OR($BJ153="",3&gt;設定!$B$3),"",IF(INDEX(原始資料!F$2:F$501,$BJ153)="","",INDEX(原始資料!F$2:F$501,$BJ153)))</f>
        <v/>
      </c>
      <c r="E153" s="6">
        <f>IF(OR($BJ153="",4&gt;設定!$B$3),"",IF(INDEX(原始資料!G$2:G$501,$BJ153)="","",INDEX(原始資料!G$2:G$501,$BJ153)))</f>
        <v/>
      </c>
      <c r="F153" s="6">
        <f>IF(OR($BJ153="",5&gt;設定!$B$3),"",IF(INDEX(原始資料!H$2:H$501,$BJ153)="","",INDEX(原始資料!H$2:H$501,$BJ153)))</f>
        <v/>
      </c>
      <c r="G153" s="6">
        <f>IF(OR($BJ153="",6&gt;設定!$B$3),"",IF(INDEX(原始資料!I$2:I$501,$BJ153)="","",INDEX(原始資料!I$2:I$501,$BJ153)))</f>
        <v/>
      </c>
      <c r="H153" s="6">
        <f>IF(OR($BJ153="",7&gt;設定!$B$3),"",IF(INDEX(原始資料!J$2:J$501,$BJ153)="","",INDEX(原始資料!J$2:J$501,$BJ153)))</f>
        <v/>
      </c>
      <c r="I153" s="6">
        <f>IF(OR($BJ153="",8&gt;設定!$B$3),"",IF(INDEX(原始資料!K$2:K$501,$BJ153)="","",INDEX(原始資料!K$2:K$501,$BJ153)))</f>
        <v/>
      </c>
      <c r="J153" s="6">
        <f>IF(OR($BJ153="",9&gt;設定!$B$3),"",IF(INDEX(原始資料!L$2:L$501,$BJ153)="","",INDEX(原始資料!L$2:L$501,$BJ153)))</f>
        <v/>
      </c>
      <c r="K153" s="6">
        <f>IF(OR($BJ153="",10&gt;設定!$B$3),"",IF(INDEX(原始資料!M$2:M$501,$BJ153)="","",INDEX(原始資料!M$2:M$501,$BJ153)))</f>
        <v/>
      </c>
      <c r="L153" s="6">
        <f>IF(OR($BJ153="",11&gt;設定!$B$3),"",IF(INDEX(原始資料!N$2:N$501,$BJ153)="","",INDEX(原始資料!N$2:N$501,$BJ153)))</f>
        <v/>
      </c>
      <c r="M153" s="6">
        <f>IF(OR($BJ153="",12&gt;設定!$B$3),"",IF(INDEX(原始資料!O$2:O$501,$BJ153)="","",INDEX(原始資料!O$2:O$501,$BJ153)))</f>
        <v/>
      </c>
      <c r="N153" s="6">
        <f>IF(OR($BJ153="",13&gt;設定!$B$3),"",IF(INDEX(原始資料!P$2:P$501,$BJ153)="","",INDEX(原始資料!P$2:P$501,$BJ153)))</f>
        <v/>
      </c>
      <c r="O153" s="6">
        <f>IF(OR($BJ153="",14&gt;設定!$B$3),"",IF(INDEX(原始資料!Q$2:Q$501,$BJ153)="","",INDEX(原始資料!Q$2:Q$501,$BJ153)))</f>
        <v/>
      </c>
      <c r="P153" s="6">
        <f>IF(OR($BJ153="",15&gt;設定!$B$3),"",IF(INDEX(原始資料!R$2:R$501,$BJ153)="","",INDEX(原始資料!R$2:R$501,$BJ153)))</f>
        <v/>
      </c>
      <c r="Q153" s="6">
        <f>IF(OR($BJ153="",16&gt;設定!$B$3),"",IF(INDEX(原始資料!S$2:S$501,$BJ153)="","",INDEX(原始資料!S$2:S$501,$BJ153)))</f>
        <v/>
      </c>
      <c r="R153" s="6">
        <f>IF(OR($BJ153="",17&gt;設定!$B$3),"",IF(INDEX(原始資料!T$2:T$501,$BJ153)="","",INDEX(原始資料!T$2:T$501,$BJ153)))</f>
        <v/>
      </c>
      <c r="S153" s="6">
        <f>IF(OR($BJ153="",18&gt;設定!$B$3),"",IF(INDEX(原始資料!U$2:U$501,$BJ153)="","",INDEX(原始資料!U$2:U$501,$BJ153)))</f>
        <v/>
      </c>
      <c r="T153" s="6">
        <f>IF(OR($BJ153="",19&gt;設定!$B$3),"",IF(INDEX(原始資料!V$2:V$501,$BJ153)="","",INDEX(原始資料!V$2:V$501,$BJ153)))</f>
        <v/>
      </c>
      <c r="U153" s="6">
        <f>IF(OR($BJ153="",20&gt;設定!$B$3),"",IF(INDEX(原始資料!W$2:W$501,$BJ153)="","",INDEX(原始資料!W$2:W$501,$BJ153)))</f>
        <v/>
      </c>
      <c r="V153" s="6">
        <f>IF(OR($BJ153="",21&gt;設定!$B$3),"",IF(INDEX(原始資料!X$2:X$501,$BJ153)="","",INDEX(原始資料!X$2:X$501,$BJ153)))</f>
        <v/>
      </c>
      <c r="W153" s="6">
        <f>IF(OR($BJ153="",22&gt;設定!$B$3),"",IF(INDEX(原始資料!Y$2:Y$501,$BJ153)="","",INDEX(原始資料!Y$2:Y$501,$BJ153)))</f>
        <v/>
      </c>
      <c r="X153" s="6">
        <f>IF(OR($BJ153="",23&gt;設定!$B$3),"",IF(INDEX(原始資料!Z$2:Z$501,$BJ153)="","",INDEX(原始資料!Z$2:Z$501,$BJ153)))</f>
        <v/>
      </c>
      <c r="Y153" s="6">
        <f>IF(OR($BJ153="",24&gt;設定!$B$3),"",IF(INDEX(原始資料!AA$2:AA$501,$BJ153)="","",INDEX(原始資料!AA$2:AA$501,$BJ153)))</f>
        <v/>
      </c>
      <c r="Z153" s="6">
        <f>IF(OR($BJ153="",25&gt;設定!$B$3),"",IF(INDEX(原始資料!AB$2:AB$501,$BJ153)="","",INDEX(原始資料!AB$2:AB$501,$BJ153)))</f>
        <v/>
      </c>
      <c r="AA153" s="6">
        <f>IF(OR($BJ153="",26&gt;設定!$B$3),"",IF(INDEX(原始資料!AC$2:AC$501,$BJ153)="","",INDEX(原始資料!AC$2:AC$501,$BJ153)))</f>
        <v/>
      </c>
      <c r="AB153" s="6">
        <f>IF(OR($BJ153="",27&gt;設定!$B$3),"",IF(INDEX(原始資料!AD$2:AD$501,$BJ153)="","",INDEX(原始資料!AD$2:AD$501,$BJ153)))</f>
        <v/>
      </c>
      <c r="AC153" s="6">
        <f>IF(OR($BJ153="",28&gt;設定!$B$3),"",IF(INDEX(原始資料!AE$2:AE$501,$BJ153)="","",INDEX(原始資料!AE$2:AE$501,$BJ153)))</f>
        <v/>
      </c>
      <c r="AD153" s="6">
        <f>IF(OR($BJ153="",29&gt;設定!$B$3),"",IF(INDEX(原始資料!AF$2:AF$501,$BJ153)="","",INDEX(原始資料!AF$2:AF$501,$BJ153)))</f>
        <v/>
      </c>
      <c r="AE153" s="6">
        <f>IF(OR($BJ153="",30&gt;設定!$B$3),"",IF(INDEX(原始資料!AG$2:AG$501,$BJ153)="","",INDEX(原始資料!AG$2:AG$501,$BJ153)))</f>
        <v/>
      </c>
      <c r="AF153" s="6">
        <f>IF(OR($BJ153="",31&gt;設定!$B$3),"",IF(INDEX(原始資料!AH$2:AH$501,$BJ153)="","",INDEX(原始資料!AH$2:AH$501,$BJ153)))</f>
        <v/>
      </c>
      <c r="AG153" s="6">
        <f>IF(OR($BJ153="",32&gt;設定!$B$3),"",IF(INDEX(原始資料!AI$2:AI$501,$BJ153)="","",INDEX(原始資料!AI$2:AI$501,$BJ153)))</f>
        <v/>
      </c>
      <c r="AH153" s="6">
        <f>IF(OR($BJ153="",33&gt;設定!$B$3),"",IF(INDEX(原始資料!AJ$2:AJ$501,$BJ153)="","",INDEX(原始資料!AJ$2:AJ$501,$BJ153)))</f>
        <v/>
      </c>
      <c r="AI153" s="6">
        <f>IF(OR($BJ153="",34&gt;設定!$B$3),"",IF(INDEX(原始資料!AK$2:AK$501,$BJ153)="","",INDEX(原始資料!AK$2:AK$501,$BJ153)))</f>
        <v/>
      </c>
      <c r="AJ153" s="6">
        <f>IF(OR($BJ153="",35&gt;設定!$B$3),"",IF(INDEX(原始資料!AL$2:AL$501,$BJ153)="","",INDEX(原始資料!AL$2:AL$501,$BJ153)))</f>
        <v/>
      </c>
      <c r="AK153" s="6">
        <f>IF(OR($BJ153="",36&gt;設定!$B$3),"",IF(INDEX(原始資料!AM$2:AM$501,$BJ153)="","",INDEX(原始資料!AM$2:AM$501,$BJ153)))</f>
        <v/>
      </c>
      <c r="AL153" s="6">
        <f>IF(OR($BJ153="",37&gt;設定!$B$3),"",IF(INDEX(原始資料!AN$2:AN$501,$BJ153)="","",INDEX(原始資料!AN$2:AN$501,$BJ153)))</f>
        <v/>
      </c>
      <c r="AM153" s="6">
        <f>IF(OR($BJ153="",38&gt;設定!$B$3),"",IF(INDEX(原始資料!AO$2:AO$501,$BJ153)="","",INDEX(原始資料!AO$2:AO$501,$BJ153)))</f>
        <v/>
      </c>
      <c r="AN153" s="6">
        <f>IF(OR($BJ153="",39&gt;設定!$B$3),"",IF(INDEX(原始資料!AP$2:AP$501,$BJ153)="","",INDEX(原始資料!AP$2:AP$501,$BJ153)))</f>
        <v/>
      </c>
      <c r="AO153" s="6">
        <f>IF(OR($BJ153="",40&gt;設定!$B$3),"",IF(INDEX(原始資料!AQ$2:AQ$501,$BJ153)="","",INDEX(原始資料!AQ$2:AQ$501,$BJ153)))</f>
        <v/>
      </c>
      <c r="AP153" s="6">
        <f>IF(OR($BJ153="",41&gt;設定!$B$3),"",IF(INDEX(原始資料!AR$2:AR$501,$BJ153)="","",INDEX(原始資料!AR$2:AR$501,$BJ153)))</f>
        <v/>
      </c>
      <c r="AQ153" s="6">
        <f>IF(OR($BJ153="",42&gt;設定!$B$3),"",IF(INDEX(原始資料!AS$2:AS$501,$BJ153)="","",INDEX(原始資料!AS$2:AS$501,$BJ153)))</f>
        <v/>
      </c>
      <c r="AR153" s="6">
        <f>IF(OR($BJ153="",43&gt;設定!$B$3),"",IF(INDEX(原始資料!AT$2:AT$501,$BJ153)="","",INDEX(原始資料!AT$2:AT$501,$BJ153)))</f>
        <v/>
      </c>
      <c r="AS153" s="6">
        <f>IF(OR($BJ153="",44&gt;設定!$B$3),"",IF(INDEX(原始資料!AU$2:AU$501,$BJ153)="","",INDEX(原始資料!AU$2:AU$501,$BJ153)))</f>
        <v/>
      </c>
      <c r="AT153" s="6">
        <f>IF(OR($BJ153="",45&gt;設定!$B$3),"",IF(INDEX(原始資料!AV$2:AV$501,$BJ153)="","",INDEX(原始資料!AV$2:AV$501,$BJ153)))</f>
        <v/>
      </c>
      <c r="AU153" s="6">
        <f>IF(OR($BJ153="",46&gt;設定!$B$3),"",IF(INDEX(原始資料!AW$2:AW$501,$BJ153)="","",INDEX(原始資料!AW$2:AW$501,$BJ153)))</f>
        <v/>
      </c>
      <c r="AV153" s="6">
        <f>IF(OR($BJ153="",47&gt;設定!$B$3),"",IF(INDEX(原始資料!AX$2:AX$501,$BJ153)="","",INDEX(原始資料!AX$2:AX$501,$BJ153)))</f>
        <v/>
      </c>
      <c r="AW153" s="6">
        <f>IF(OR($BJ153="",48&gt;設定!$B$3),"",IF(INDEX(原始資料!AY$2:AY$501,$BJ153)="","",INDEX(原始資料!AY$2:AY$501,$BJ153)))</f>
        <v/>
      </c>
      <c r="AX153" s="6">
        <f>IF(OR($BJ153="",49&gt;設定!$B$3),"",IF(INDEX(原始資料!AZ$2:AZ$501,$BJ153)="","",INDEX(原始資料!AZ$2:AZ$501,$BJ153)))</f>
        <v/>
      </c>
      <c r="AY153" s="6">
        <f>IF(OR($BJ153="",50&gt;設定!$B$3),"",IF(INDEX(原始資料!BA$2:BA$501,$BJ153)="","",INDEX(原始資料!BA$2:BA$501,$BJ153)))</f>
        <v/>
      </c>
      <c r="AZ153" s="6">
        <f>IF(OR($BJ153="",51&gt;設定!$B$3),"",IF(INDEX(原始資料!BB$2:BB$501,$BJ153)="","",INDEX(原始資料!BB$2:BB$501,$BJ153)))</f>
        <v/>
      </c>
      <c r="BA153" s="6">
        <f>IF(OR($BJ153="",52&gt;設定!$B$3),"",IF(INDEX(原始資料!BC$2:BC$501,$BJ153)="","",INDEX(原始資料!BC$2:BC$501,$BJ153)))</f>
        <v/>
      </c>
      <c r="BB153" s="6">
        <f>IF(OR($BJ153="",53&gt;設定!$B$3),"",IF(INDEX(原始資料!BD$2:BD$501,$BJ153)="","",INDEX(原始資料!BD$2:BD$501,$BJ153)))</f>
        <v/>
      </c>
      <c r="BC153" s="6">
        <f>IF(OR($BJ153="",54&gt;設定!$B$3),"",IF(INDEX(原始資料!BE$2:BE$501,$BJ153)="","",INDEX(原始資料!BE$2:BE$501,$BJ153)))</f>
        <v/>
      </c>
      <c r="BD153" s="6">
        <f>IF(OR($BJ153="",55&gt;設定!$B$3),"",IF(INDEX(原始資料!BF$2:BF$501,$BJ153)="","",INDEX(原始資料!BF$2:BF$501,$BJ153)))</f>
        <v/>
      </c>
      <c r="BE153" s="6">
        <f>IF(OR($BJ153="",56&gt;設定!$B$3),"",IF(INDEX(原始資料!BG$2:BG$501,$BJ153)="","",INDEX(原始資料!BG$2:BG$501,$BJ153)))</f>
        <v/>
      </c>
      <c r="BF153" s="6">
        <f>IF(OR($BJ153="",57&gt;設定!$B$3),"",IF(INDEX(原始資料!BH$2:BH$501,$BJ153)="","",INDEX(原始資料!BH$2:BH$501,$BJ153)))</f>
        <v/>
      </c>
      <c r="BG153" s="6">
        <f>IF(OR($BJ153="",58&gt;設定!$B$3),"",IF(INDEX(原始資料!BI$2:BI$501,$BJ153)="","",INDEX(原始資料!BI$2:BI$501,$BJ153)))</f>
        <v/>
      </c>
      <c r="BH153" s="6">
        <f>IF(OR($BJ153="",59&gt;設定!$B$3),"",IF(INDEX(原始資料!BJ$2:BJ$501,$BJ153)="","",INDEX(原始資料!BJ$2:BJ$501,$BJ153)))</f>
        <v/>
      </c>
      <c r="BI153" s="6">
        <f>IF(OR($BJ153="",60&gt;設定!$B$3),"",IF(INDEX(原始資料!BK$2:BK$501,$BJ153)="","",INDEX(原始資料!BK$2:BK$501,$BJ153)))</f>
        <v/>
      </c>
      <c r="BJ153" s="6">
        <f>IFERROR(MATCH(ROW()-1,判定!$H$2:$H$501,0),"")</f>
        <v/>
      </c>
    </row>
    <row r="154">
      <c r="A154" s="6">
        <f>IF($BJ154="","",INDEX(原始資料!$A$2:$A$501,$BJ154))</f>
        <v/>
      </c>
      <c r="B154" s="6">
        <f>IF(OR($BJ154="",1&gt;設定!$B$3),"",IF(INDEX(原始資料!D$2:D$501,$BJ154)="","",INDEX(原始資料!D$2:D$501,$BJ154)))</f>
        <v/>
      </c>
      <c r="C154" s="6">
        <f>IF(OR($BJ154="",2&gt;設定!$B$3),"",IF(INDEX(原始資料!E$2:E$501,$BJ154)="","",INDEX(原始資料!E$2:E$501,$BJ154)))</f>
        <v/>
      </c>
      <c r="D154" s="6">
        <f>IF(OR($BJ154="",3&gt;設定!$B$3),"",IF(INDEX(原始資料!F$2:F$501,$BJ154)="","",INDEX(原始資料!F$2:F$501,$BJ154)))</f>
        <v/>
      </c>
      <c r="E154" s="6">
        <f>IF(OR($BJ154="",4&gt;設定!$B$3),"",IF(INDEX(原始資料!G$2:G$501,$BJ154)="","",INDEX(原始資料!G$2:G$501,$BJ154)))</f>
        <v/>
      </c>
      <c r="F154" s="6">
        <f>IF(OR($BJ154="",5&gt;設定!$B$3),"",IF(INDEX(原始資料!H$2:H$501,$BJ154)="","",INDEX(原始資料!H$2:H$501,$BJ154)))</f>
        <v/>
      </c>
      <c r="G154" s="6">
        <f>IF(OR($BJ154="",6&gt;設定!$B$3),"",IF(INDEX(原始資料!I$2:I$501,$BJ154)="","",INDEX(原始資料!I$2:I$501,$BJ154)))</f>
        <v/>
      </c>
      <c r="H154" s="6">
        <f>IF(OR($BJ154="",7&gt;設定!$B$3),"",IF(INDEX(原始資料!J$2:J$501,$BJ154)="","",INDEX(原始資料!J$2:J$501,$BJ154)))</f>
        <v/>
      </c>
      <c r="I154" s="6">
        <f>IF(OR($BJ154="",8&gt;設定!$B$3),"",IF(INDEX(原始資料!K$2:K$501,$BJ154)="","",INDEX(原始資料!K$2:K$501,$BJ154)))</f>
        <v/>
      </c>
      <c r="J154" s="6">
        <f>IF(OR($BJ154="",9&gt;設定!$B$3),"",IF(INDEX(原始資料!L$2:L$501,$BJ154)="","",INDEX(原始資料!L$2:L$501,$BJ154)))</f>
        <v/>
      </c>
      <c r="K154" s="6">
        <f>IF(OR($BJ154="",10&gt;設定!$B$3),"",IF(INDEX(原始資料!M$2:M$501,$BJ154)="","",INDEX(原始資料!M$2:M$501,$BJ154)))</f>
        <v/>
      </c>
      <c r="L154" s="6">
        <f>IF(OR($BJ154="",11&gt;設定!$B$3),"",IF(INDEX(原始資料!N$2:N$501,$BJ154)="","",INDEX(原始資料!N$2:N$501,$BJ154)))</f>
        <v/>
      </c>
      <c r="M154" s="6">
        <f>IF(OR($BJ154="",12&gt;設定!$B$3),"",IF(INDEX(原始資料!O$2:O$501,$BJ154)="","",INDEX(原始資料!O$2:O$501,$BJ154)))</f>
        <v/>
      </c>
      <c r="N154" s="6">
        <f>IF(OR($BJ154="",13&gt;設定!$B$3),"",IF(INDEX(原始資料!P$2:P$501,$BJ154)="","",INDEX(原始資料!P$2:P$501,$BJ154)))</f>
        <v/>
      </c>
      <c r="O154" s="6">
        <f>IF(OR($BJ154="",14&gt;設定!$B$3),"",IF(INDEX(原始資料!Q$2:Q$501,$BJ154)="","",INDEX(原始資料!Q$2:Q$501,$BJ154)))</f>
        <v/>
      </c>
      <c r="P154" s="6">
        <f>IF(OR($BJ154="",15&gt;設定!$B$3),"",IF(INDEX(原始資料!R$2:R$501,$BJ154)="","",INDEX(原始資料!R$2:R$501,$BJ154)))</f>
        <v/>
      </c>
      <c r="Q154" s="6">
        <f>IF(OR($BJ154="",16&gt;設定!$B$3),"",IF(INDEX(原始資料!S$2:S$501,$BJ154)="","",INDEX(原始資料!S$2:S$501,$BJ154)))</f>
        <v/>
      </c>
      <c r="R154" s="6">
        <f>IF(OR($BJ154="",17&gt;設定!$B$3),"",IF(INDEX(原始資料!T$2:T$501,$BJ154)="","",INDEX(原始資料!T$2:T$501,$BJ154)))</f>
        <v/>
      </c>
      <c r="S154" s="6">
        <f>IF(OR($BJ154="",18&gt;設定!$B$3),"",IF(INDEX(原始資料!U$2:U$501,$BJ154)="","",INDEX(原始資料!U$2:U$501,$BJ154)))</f>
        <v/>
      </c>
      <c r="T154" s="6">
        <f>IF(OR($BJ154="",19&gt;設定!$B$3),"",IF(INDEX(原始資料!V$2:V$501,$BJ154)="","",INDEX(原始資料!V$2:V$501,$BJ154)))</f>
        <v/>
      </c>
      <c r="U154" s="6">
        <f>IF(OR($BJ154="",20&gt;設定!$B$3),"",IF(INDEX(原始資料!W$2:W$501,$BJ154)="","",INDEX(原始資料!W$2:W$501,$BJ154)))</f>
        <v/>
      </c>
      <c r="V154" s="6">
        <f>IF(OR($BJ154="",21&gt;設定!$B$3),"",IF(INDEX(原始資料!X$2:X$501,$BJ154)="","",INDEX(原始資料!X$2:X$501,$BJ154)))</f>
        <v/>
      </c>
      <c r="W154" s="6">
        <f>IF(OR($BJ154="",22&gt;設定!$B$3),"",IF(INDEX(原始資料!Y$2:Y$501,$BJ154)="","",INDEX(原始資料!Y$2:Y$501,$BJ154)))</f>
        <v/>
      </c>
      <c r="X154" s="6">
        <f>IF(OR($BJ154="",23&gt;設定!$B$3),"",IF(INDEX(原始資料!Z$2:Z$501,$BJ154)="","",INDEX(原始資料!Z$2:Z$501,$BJ154)))</f>
        <v/>
      </c>
      <c r="Y154" s="6">
        <f>IF(OR($BJ154="",24&gt;設定!$B$3),"",IF(INDEX(原始資料!AA$2:AA$501,$BJ154)="","",INDEX(原始資料!AA$2:AA$501,$BJ154)))</f>
        <v/>
      </c>
      <c r="Z154" s="6">
        <f>IF(OR($BJ154="",25&gt;設定!$B$3),"",IF(INDEX(原始資料!AB$2:AB$501,$BJ154)="","",INDEX(原始資料!AB$2:AB$501,$BJ154)))</f>
        <v/>
      </c>
      <c r="AA154" s="6">
        <f>IF(OR($BJ154="",26&gt;設定!$B$3),"",IF(INDEX(原始資料!AC$2:AC$501,$BJ154)="","",INDEX(原始資料!AC$2:AC$501,$BJ154)))</f>
        <v/>
      </c>
      <c r="AB154" s="6">
        <f>IF(OR($BJ154="",27&gt;設定!$B$3),"",IF(INDEX(原始資料!AD$2:AD$501,$BJ154)="","",INDEX(原始資料!AD$2:AD$501,$BJ154)))</f>
        <v/>
      </c>
      <c r="AC154" s="6">
        <f>IF(OR($BJ154="",28&gt;設定!$B$3),"",IF(INDEX(原始資料!AE$2:AE$501,$BJ154)="","",INDEX(原始資料!AE$2:AE$501,$BJ154)))</f>
        <v/>
      </c>
      <c r="AD154" s="6">
        <f>IF(OR($BJ154="",29&gt;設定!$B$3),"",IF(INDEX(原始資料!AF$2:AF$501,$BJ154)="","",INDEX(原始資料!AF$2:AF$501,$BJ154)))</f>
        <v/>
      </c>
      <c r="AE154" s="6">
        <f>IF(OR($BJ154="",30&gt;設定!$B$3),"",IF(INDEX(原始資料!AG$2:AG$501,$BJ154)="","",INDEX(原始資料!AG$2:AG$501,$BJ154)))</f>
        <v/>
      </c>
      <c r="AF154" s="6">
        <f>IF(OR($BJ154="",31&gt;設定!$B$3),"",IF(INDEX(原始資料!AH$2:AH$501,$BJ154)="","",INDEX(原始資料!AH$2:AH$501,$BJ154)))</f>
        <v/>
      </c>
      <c r="AG154" s="6">
        <f>IF(OR($BJ154="",32&gt;設定!$B$3),"",IF(INDEX(原始資料!AI$2:AI$501,$BJ154)="","",INDEX(原始資料!AI$2:AI$501,$BJ154)))</f>
        <v/>
      </c>
      <c r="AH154" s="6">
        <f>IF(OR($BJ154="",33&gt;設定!$B$3),"",IF(INDEX(原始資料!AJ$2:AJ$501,$BJ154)="","",INDEX(原始資料!AJ$2:AJ$501,$BJ154)))</f>
        <v/>
      </c>
      <c r="AI154" s="6">
        <f>IF(OR($BJ154="",34&gt;設定!$B$3),"",IF(INDEX(原始資料!AK$2:AK$501,$BJ154)="","",INDEX(原始資料!AK$2:AK$501,$BJ154)))</f>
        <v/>
      </c>
      <c r="AJ154" s="6">
        <f>IF(OR($BJ154="",35&gt;設定!$B$3),"",IF(INDEX(原始資料!AL$2:AL$501,$BJ154)="","",INDEX(原始資料!AL$2:AL$501,$BJ154)))</f>
        <v/>
      </c>
      <c r="AK154" s="6">
        <f>IF(OR($BJ154="",36&gt;設定!$B$3),"",IF(INDEX(原始資料!AM$2:AM$501,$BJ154)="","",INDEX(原始資料!AM$2:AM$501,$BJ154)))</f>
        <v/>
      </c>
      <c r="AL154" s="6">
        <f>IF(OR($BJ154="",37&gt;設定!$B$3),"",IF(INDEX(原始資料!AN$2:AN$501,$BJ154)="","",INDEX(原始資料!AN$2:AN$501,$BJ154)))</f>
        <v/>
      </c>
      <c r="AM154" s="6">
        <f>IF(OR($BJ154="",38&gt;設定!$B$3),"",IF(INDEX(原始資料!AO$2:AO$501,$BJ154)="","",INDEX(原始資料!AO$2:AO$501,$BJ154)))</f>
        <v/>
      </c>
      <c r="AN154" s="6">
        <f>IF(OR($BJ154="",39&gt;設定!$B$3),"",IF(INDEX(原始資料!AP$2:AP$501,$BJ154)="","",INDEX(原始資料!AP$2:AP$501,$BJ154)))</f>
        <v/>
      </c>
      <c r="AO154" s="6">
        <f>IF(OR($BJ154="",40&gt;設定!$B$3),"",IF(INDEX(原始資料!AQ$2:AQ$501,$BJ154)="","",INDEX(原始資料!AQ$2:AQ$501,$BJ154)))</f>
        <v/>
      </c>
      <c r="AP154" s="6">
        <f>IF(OR($BJ154="",41&gt;設定!$B$3),"",IF(INDEX(原始資料!AR$2:AR$501,$BJ154)="","",INDEX(原始資料!AR$2:AR$501,$BJ154)))</f>
        <v/>
      </c>
      <c r="AQ154" s="6">
        <f>IF(OR($BJ154="",42&gt;設定!$B$3),"",IF(INDEX(原始資料!AS$2:AS$501,$BJ154)="","",INDEX(原始資料!AS$2:AS$501,$BJ154)))</f>
        <v/>
      </c>
      <c r="AR154" s="6">
        <f>IF(OR($BJ154="",43&gt;設定!$B$3),"",IF(INDEX(原始資料!AT$2:AT$501,$BJ154)="","",INDEX(原始資料!AT$2:AT$501,$BJ154)))</f>
        <v/>
      </c>
      <c r="AS154" s="6">
        <f>IF(OR($BJ154="",44&gt;設定!$B$3),"",IF(INDEX(原始資料!AU$2:AU$501,$BJ154)="","",INDEX(原始資料!AU$2:AU$501,$BJ154)))</f>
        <v/>
      </c>
      <c r="AT154" s="6">
        <f>IF(OR($BJ154="",45&gt;設定!$B$3),"",IF(INDEX(原始資料!AV$2:AV$501,$BJ154)="","",INDEX(原始資料!AV$2:AV$501,$BJ154)))</f>
        <v/>
      </c>
      <c r="AU154" s="6">
        <f>IF(OR($BJ154="",46&gt;設定!$B$3),"",IF(INDEX(原始資料!AW$2:AW$501,$BJ154)="","",INDEX(原始資料!AW$2:AW$501,$BJ154)))</f>
        <v/>
      </c>
      <c r="AV154" s="6">
        <f>IF(OR($BJ154="",47&gt;設定!$B$3),"",IF(INDEX(原始資料!AX$2:AX$501,$BJ154)="","",INDEX(原始資料!AX$2:AX$501,$BJ154)))</f>
        <v/>
      </c>
      <c r="AW154" s="6">
        <f>IF(OR($BJ154="",48&gt;設定!$B$3),"",IF(INDEX(原始資料!AY$2:AY$501,$BJ154)="","",INDEX(原始資料!AY$2:AY$501,$BJ154)))</f>
        <v/>
      </c>
      <c r="AX154" s="6">
        <f>IF(OR($BJ154="",49&gt;設定!$B$3),"",IF(INDEX(原始資料!AZ$2:AZ$501,$BJ154)="","",INDEX(原始資料!AZ$2:AZ$501,$BJ154)))</f>
        <v/>
      </c>
      <c r="AY154" s="6">
        <f>IF(OR($BJ154="",50&gt;設定!$B$3),"",IF(INDEX(原始資料!BA$2:BA$501,$BJ154)="","",INDEX(原始資料!BA$2:BA$501,$BJ154)))</f>
        <v/>
      </c>
      <c r="AZ154" s="6">
        <f>IF(OR($BJ154="",51&gt;設定!$B$3),"",IF(INDEX(原始資料!BB$2:BB$501,$BJ154)="","",INDEX(原始資料!BB$2:BB$501,$BJ154)))</f>
        <v/>
      </c>
      <c r="BA154" s="6">
        <f>IF(OR($BJ154="",52&gt;設定!$B$3),"",IF(INDEX(原始資料!BC$2:BC$501,$BJ154)="","",INDEX(原始資料!BC$2:BC$501,$BJ154)))</f>
        <v/>
      </c>
      <c r="BB154" s="6">
        <f>IF(OR($BJ154="",53&gt;設定!$B$3),"",IF(INDEX(原始資料!BD$2:BD$501,$BJ154)="","",INDEX(原始資料!BD$2:BD$501,$BJ154)))</f>
        <v/>
      </c>
      <c r="BC154" s="6">
        <f>IF(OR($BJ154="",54&gt;設定!$B$3),"",IF(INDEX(原始資料!BE$2:BE$501,$BJ154)="","",INDEX(原始資料!BE$2:BE$501,$BJ154)))</f>
        <v/>
      </c>
      <c r="BD154" s="6">
        <f>IF(OR($BJ154="",55&gt;設定!$B$3),"",IF(INDEX(原始資料!BF$2:BF$501,$BJ154)="","",INDEX(原始資料!BF$2:BF$501,$BJ154)))</f>
        <v/>
      </c>
      <c r="BE154" s="6">
        <f>IF(OR($BJ154="",56&gt;設定!$B$3),"",IF(INDEX(原始資料!BG$2:BG$501,$BJ154)="","",INDEX(原始資料!BG$2:BG$501,$BJ154)))</f>
        <v/>
      </c>
      <c r="BF154" s="6">
        <f>IF(OR($BJ154="",57&gt;設定!$B$3),"",IF(INDEX(原始資料!BH$2:BH$501,$BJ154)="","",INDEX(原始資料!BH$2:BH$501,$BJ154)))</f>
        <v/>
      </c>
      <c r="BG154" s="6">
        <f>IF(OR($BJ154="",58&gt;設定!$B$3),"",IF(INDEX(原始資料!BI$2:BI$501,$BJ154)="","",INDEX(原始資料!BI$2:BI$501,$BJ154)))</f>
        <v/>
      </c>
      <c r="BH154" s="6">
        <f>IF(OR($BJ154="",59&gt;設定!$B$3),"",IF(INDEX(原始資料!BJ$2:BJ$501,$BJ154)="","",INDEX(原始資料!BJ$2:BJ$501,$BJ154)))</f>
        <v/>
      </c>
      <c r="BI154" s="6">
        <f>IF(OR($BJ154="",60&gt;設定!$B$3),"",IF(INDEX(原始資料!BK$2:BK$501,$BJ154)="","",INDEX(原始資料!BK$2:BK$501,$BJ154)))</f>
        <v/>
      </c>
      <c r="BJ154" s="6">
        <f>IFERROR(MATCH(ROW()-1,判定!$H$2:$H$501,0),"")</f>
        <v/>
      </c>
    </row>
    <row r="155">
      <c r="A155" s="6">
        <f>IF($BJ155="","",INDEX(原始資料!$A$2:$A$501,$BJ155))</f>
        <v/>
      </c>
      <c r="B155" s="6">
        <f>IF(OR($BJ155="",1&gt;設定!$B$3),"",IF(INDEX(原始資料!D$2:D$501,$BJ155)="","",INDEX(原始資料!D$2:D$501,$BJ155)))</f>
        <v/>
      </c>
      <c r="C155" s="6">
        <f>IF(OR($BJ155="",2&gt;設定!$B$3),"",IF(INDEX(原始資料!E$2:E$501,$BJ155)="","",INDEX(原始資料!E$2:E$501,$BJ155)))</f>
        <v/>
      </c>
      <c r="D155" s="6">
        <f>IF(OR($BJ155="",3&gt;設定!$B$3),"",IF(INDEX(原始資料!F$2:F$501,$BJ155)="","",INDEX(原始資料!F$2:F$501,$BJ155)))</f>
        <v/>
      </c>
      <c r="E155" s="6">
        <f>IF(OR($BJ155="",4&gt;設定!$B$3),"",IF(INDEX(原始資料!G$2:G$501,$BJ155)="","",INDEX(原始資料!G$2:G$501,$BJ155)))</f>
        <v/>
      </c>
      <c r="F155" s="6">
        <f>IF(OR($BJ155="",5&gt;設定!$B$3),"",IF(INDEX(原始資料!H$2:H$501,$BJ155)="","",INDEX(原始資料!H$2:H$501,$BJ155)))</f>
        <v/>
      </c>
      <c r="G155" s="6">
        <f>IF(OR($BJ155="",6&gt;設定!$B$3),"",IF(INDEX(原始資料!I$2:I$501,$BJ155)="","",INDEX(原始資料!I$2:I$501,$BJ155)))</f>
        <v/>
      </c>
      <c r="H155" s="6">
        <f>IF(OR($BJ155="",7&gt;設定!$B$3),"",IF(INDEX(原始資料!J$2:J$501,$BJ155)="","",INDEX(原始資料!J$2:J$501,$BJ155)))</f>
        <v/>
      </c>
      <c r="I155" s="6">
        <f>IF(OR($BJ155="",8&gt;設定!$B$3),"",IF(INDEX(原始資料!K$2:K$501,$BJ155)="","",INDEX(原始資料!K$2:K$501,$BJ155)))</f>
        <v/>
      </c>
      <c r="J155" s="6">
        <f>IF(OR($BJ155="",9&gt;設定!$B$3),"",IF(INDEX(原始資料!L$2:L$501,$BJ155)="","",INDEX(原始資料!L$2:L$501,$BJ155)))</f>
        <v/>
      </c>
      <c r="K155" s="6">
        <f>IF(OR($BJ155="",10&gt;設定!$B$3),"",IF(INDEX(原始資料!M$2:M$501,$BJ155)="","",INDEX(原始資料!M$2:M$501,$BJ155)))</f>
        <v/>
      </c>
      <c r="L155" s="6">
        <f>IF(OR($BJ155="",11&gt;設定!$B$3),"",IF(INDEX(原始資料!N$2:N$501,$BJ155)="","",INDEX(原始資料!N$2:N$501,$BJ155)))</f>
        <v/>
      </c>
      <c r="M155" s="6">
        <f>IF(OR($BJ155="",12&gt;設定!$B$3),"",IF(INDEX(原始資料!O$2:O$501,$BJ155)="","",INDEX(原始資料!O$2:O$501,$BJ155)))</f>
        <v/>
      </c>
      <c r="N155" s="6">
        <f>IF(OR($BJ155="",13&gt;設定!$B$3),"",IF(INDEX(原始資料!P$2:P$501,$BJ155)="","",INDEX(原始資料!P$2:P$501,$BJ155)))</f>
        <v/>
      </c>
      <c r="O155" s="6">
        <f>IF(OR($BJ155="",14&gt;設定!$B$3),"",IF(INDEX(原始資料!Q$2:Q$501,$BJ155)="","",INDEX(原始資料!Q$2:Q$501,$BJ155)))</f>
        <v/>
      </c>
      <c r="P155" s="6">
        <f>IF(OR($BJ155="",15&gt;設定!$B$3),"",IF(INDEX(原始資料!R$2:R$501,$BJ155)="","",INDEX(原始資料!R$2:R$501,$BJ155)))</f>
        <v/>
      </c>
      <c r="Q155" s="6">
        <f>IF(OR($BJ155="",16&gt;設定!$B$3),"",IF(INDEX(原始資料!S$2:S$501,$BJ155)="","",INDEX(原始資料!S$2:S$501,$BJ155)))</f>
        <v/>
      </c>
      <c r="R155" s="6">
        <f>IF(OR($BJ155="",17&gt;設定!$B$3),"",IF(INDEX(原始資料!T$2:T$501,$BJ155)="","",INDEX(原始資料!T$2:T$501,$BJ155)))</f>
        <v/>
      </c>
      <c r="S155" s="6">
        <f>IF(OR($BJ155="",18&gt;設定!$B$3),"",IF(INDEX(原始資料!U$2:U$501,$BJ155)="","",INDEX(原始資料!U$2:U$501,$BJ155)))</f>
        <v/>
      </c>
      <c r="T155" s="6">
        <f>IF(OR($BJ155="",19&gt;設定!$B$3),"",IF(INDEX(原始資料!V$2:V$501,$BJ155)="","",INDEX(原始資料!V$2:V$501,$BJ155)))</f>
        <v/>
      </c>
      <c r="U155" s="6">
        <f>IF(OR($BJ155="",20&gt;設定!$B$3),"",IF(INDEX(原始資料!W$2:W$501,$BJ155)="","",INDEX(原始資料!W$2:W$501,$BJ155)))</f>
        <v/>
      </c>
      <c r="V155" s="6">
        <f>IF(OR($BJ155="",21&gt;設定!$B$3),"",IF(INDEX(原始資料!X$2:X$501,$BJ155)="","",INDEX(原始資料!X$2:X$501,$BJ155)))</f>
        <v/>
      </c>
      <c r="W155" s="6">
        <f>IF(OR($BJ155="",22&gt;設定!$B$3),"",IF(INDEX(原始資料!Y$2:Y$501,$BJ155)="","",INDEX(原始資料!Y$2:Y$501,$BJ155)))</f>
        <v/>
      </c>
      <c r="X155" s="6">
        <f>IF(OR($BJ155="",23&gt;設定!$B$3),"",IF(INDEX(原始資料!Z$2:Z$501,$BJ155)="","",INDEX(原始資料!Z$2:Z$501,$BJ155)))</f>
        <v/>
      </c>
      <c r="Y155" s="6">
        <f>IF(OR($BJ155="",24&gt;設定!$B$3),"",IF(INDEX(原始資料!AA$2:AA$501,$BJ155)="","",INDEX(原始資料!AA$2:AA$501,$BJ155)))</f>
        <v/>
      </c>
      <c r="Z155" s="6">
        <f>IF(OR($BJ155="",25&gt;設定!$B$3),"",IF(INDEX(原始資料!AB$2:AB$501,$BJ155)="","",INDEX(原始資料!AB$2:AB$501,$BJ155)))</f>
        <v/>
      </c>
      <c r="AA155" s="6">
        <f>IF(OR($BJ155="",26&gt;設定!$B$3),"",IF(INDEX(原始資料!AC$2:AC$501,$BJ155)="","",INDEX(原始資料!AC$2:AC$501,$BJ155)))</f>
        <v/>
      </c>
      <c r="AB155" s="6">
        <f>IF(OR($BJ155="",27&gt;設定!$B$3),"",IF(INDEX(原始資料!AD$2:AD$501,$BJ155)="","",INDEX(原始資料!AD$2:AD$501,$BJ155)))</f>
        <v/>
      </c>
      <c r="AC155" s="6">
        <f>IF(OR($BJ155="",28&gt;設定!$B$3),"",IF(INDEX(原始資料!AE$2:AE$501,$BJ155)="","",INDEX(原始資料!AE$2:AE$501,$BJ155)))</f>
        <v/>
      </c>
      <c r="AD155" s="6">
        <f>IF(OR($BJ155="",29&gt;設定!$B$3),"",IF(INDEX(原始資料!AF$2:AF$501,$BJ155)="","",INDEX(原始資料!AF$2:AF$501,$BJ155)))</f>
        <v/>
      </c>
      <c r="AE155" s="6">
        <f>IF(OR($BJ155="",30&gt;設定!$B$3),"",IF(INDEX(原始資料!AG$2:AG$501,$BJ155)="","",INDEX(原始資料!AG$2:AG$501,$BJ155)))</f>
        <v/>
      </c>
      <c r="AF155" s="6">
        <f>IF(OR($BJ155="",31&gt;設定!$B$3),"",IF(INDEX(原始資料!AH$2:AH$501,$BJ155)="","",INDEX(原始資料!AH$2:AH$501,$BJ155)))</f>
        <v/>
      </c>
      <c r="AG155" s="6">
        <f>IF(OR($BJ155="",32&gt;設定!$B$3),"",IF(INDEX(原始資料!AI$2:AI$501,$BJ155)="","",INDEX(原始資料!AI$2:AI$501,$BJ155)))</f>
        <v/>
      </c>
      <c r="AH155" s="6">
        <f>IF(OR($BJ155="",33&gt;設定!$B$3),"",IF(INDEX(原始資料!AJ$2:AJ$501,$BJ155)="","",INDEX(原始資料!AJ$2:AJ$501,$BJ155)))</f>
        <v/>
      </c>
      <c r="AI155" s="6">
        <f>IF(OR($BJ155="",34&gt;設定!$B$3),"",IF(INDEX(原始資料!AK$2:AK$501,$BJ155)="","",INDEX(原始資料!AK$2:AK$501,$BJ155)))</f>
        <v/>
      </c>
      <c r="AJ155" s="6">
        <f>IF(OR($BJ155="",35&gt;設定!$B$3),"",IF(INDEX(原始資料!AL$2:AL$501,$BJ155)="","",INDEX(原始資料!AL$2:AL$501,$BJ155)))</f>
        <v/>
      </c>
      <c r="AK155" s="6">
        <f>IF(OR($BJ155="",36&gt;設定!$B$3),"",IF(INDEX(原始資料!AM$2:AM$501,$BJ155)="","",INDEX(原始資料!AM$2:AM$501,$BJ155)))</f>
        <v/>
      </c>
      <c r="AL155" s="6">
        <f>IF(OR($BJ155="",37&gt;設定!$B$3),"",IF(INDEX(原始資料!AN$2:AN$501,$BJ155)="","",INDEX(原始資料!AN$2:AN$501,$BJ155)))</f>
        <v/>
      </c>
      <c r="AM155" s="6">
        <f>IF(OR($BJ155="",38&gt;設定!$B$3),"",IF(INDEX(原始資料!AO$2:AO$501,$BJ155)="","",INDEX(原始資料!AO$2:AO$501,$BJ155)))</f>
        <v/>
      </c>
      <c r="AN155" s="6">
        <f>IF(OR($BJ155="",39&gt;設定!$B$3),"",IF(INDEX(原始資料!AP$2:AP$501,$BJ155)="","",INDEX(原始資料!AP$2:AP$501,$BJ155)))</f>
        <v/>
      </c>
      <c r="AO155" s="6">
        <f>IF(OR($BJ155="",40&gt;設定!$B$3),"",IF(INDEX(原始資料!AQ$2:AQ$501,$BJ155)="","",INDEX(原始資料!AQ$2:AQ$501,$BJ155)))</f>
        <v/>
      </c>
      <c r="AP155" s="6">
        <f>IF(OR($BJ155="",41&gt;設定!$B$3),"",IF(INDEX(原始資料!AR$2:AR$501,$BJ155)="","",INDEX(原始資料!AR$2:AR$501,$BJ155)))</f>
        <v/>
      </c>
      <c r="AQ155" s="6">
        <f>IF(OR($BJ155="",42&gt;設定!$B$3),"",IF(INDEX(原始資料!AS$2:AS$501,$BJ155)="","",INDEX(原始資料!AS$2:AS$501,$BJ155)))</f>
        <v/>
      </c>
      <c r="AR155" s="6">
        <f>IF(OR($BJ155="",43&gt;設定!$B$3),"",IF(INDEX(原始資料!AT$2:AT$501,$BJ155)="","",INDEX(原始資料!AT$2:AT$501,$BJ155)))</f>
        <v/>
      </c>
      <c r="AS155" s="6">
        <f>IF(OR($BJ155="",44&gt;設定!$B$3),"",IF(INDEX(原始資料!AU$2:AU$501,$BJ155)="","",INDEX(原始資料!AU$2:AU$501,$BJ155)))</f>
        <v/>
      </c>
      <c r="AT155" s="6">
        <f>IF(OR($BJ155="",45&gt;設定!$B$3),"",IF(INDEX(原始資料!AV$2:AV$501,$BJ155)="","",INDEX(原始資料!AV$2:AV$501,$BJ155)))</f>
        <v/>
      </c>
      <c r="AU155" s="6">
        <f>IF(OR($BJ155="",46&gt;設定!$B$3),"",IF(INDEX(原始資料!AW$2:AW$501,$BJ155)="","",INDEX(原始資料!AW$2:AW$501,$BJ155)))</f>
        <v/>
      </c>
      <c r="AV155" s="6">
        <f>IF(OR($BJ155="",47&gt;設定!$B$3),"",IF(INDEX(原始資料!AX$2:AX$501,$BJ155)="","",INDEX(原始資料!AX$2:AX$501,$BJ155)))</f>
        <v/>
      </c>
      <c r="AW155" s="6">
        <f>IF(OR($BJ155="",48&gt;設定!$B$3),"",IF(INDEX(原始資料!AY$2:AY$501,$BJ155)="","",INDEX(原始資料!AY$2:AY$501,$BJ155)))</f>
        <v/>
      </c>
      <c r="AX155" s="6">
        <f>IF(OR($BJ155="",49&gt;設定!$B$3),"",IF(INDEX(原始資料!AZ$2:AZ$501,$BJ155)="","",INDEX(原始資料!AZ$2:AZ$501,$BJ155)))</f>
        <v/>
      </c>
      <c r="AY155" s="6">
        <f>IF(OR($BJ155="",50&gt;設定!$B$3),"",IF(INDEX(原始資料!BA$2:BA$501,$BJ155)="","",INDEX(原始資料!BA$2:BA$501,$BJ155)))</f>
        <v/>
      </c>
      <c r="AZ155" s="6">
        <f>IF(OR($BJ155="",51&gt;設定!$B$3),"",IF(INDEX(原始資料!BB$2:BB$501,$BJ155)="","",INDEX(原始資料!BB$2:BB$501,$BJ155)))</f>
        <v/>
      </c>
      <c r="BA155" s="6">
        <f>IF(OR($BJ155="",52&gt;設定!$B$3),"",IF(INDEX(原始資料!BC$2:BC$501,$BJ155)="","",INDEX(原始資料!BC$2:BC$501,$BJ155)))</f>
        <v/>
      </c>
      <c r="BB155" s="6">
        <f>IF(OR($BJ155="",53&gt;設定!$B$3),"",IF(INDEX(原始資料!BD$2:BD$501,$BJ155)="","",INDEX(原始資料!BD$2:BD$501,$BJ155)))</f>
        <v/>
      </c>
      <c r="BC155" s="6">
        <f>IF(OR($BJ155="",54&gt;設定!$B$3),"",IF(INDEX(原始資料!BE$2:BE$501,$BJ155)="","",INDEX(原始資料!BE$2:BE$501,$BJ155)))</f>
        <v/>
      </c>
      <c r="BD155" s="6">
        <f>IF(OR($BJ155="",55&gt;設定!$B$3),"",IF(INDEX(原始資料!BF$2:BF$501,$BJ155)="","",INDEX(原始資料!BF$2:BF$501,$BJ155)))</f>
        <v/>
      </c>
      <c r="BE155" s="6">
        <f>IF(OR($BJ155="",56&gt;設定!$B$3),"",IF(INDEX(原始資料!BG$2:BG$501,$BJ155)="","",INDEX(原始資料!BG$2:BG$501,$BJ155)))</f>
        <v/>
      </c>
      <c r="BF155" s="6">
        <f>IF(OR($BJ155="",57&gt;設定!$B$3),"",IF(INDEX(原始資料!BH$2:BH$501,$BJ155)="","",INDEX(原始資料!BH$2:BH$501,$BJ155)))</f>
        <v/>
      </c>
      <c r="BG155" s="6">
        <f>IF(OR($BJ155="",58&gt;設定!$B$3),"",IF(INDEX(原始資料!BI$2:BI$501,$BJ155)="","",INDEX(原始資料!BI$2:BI$501,$BJ155)))</f>
        <v/>
      </c>
      <c r="BH155" s="6">
        <f>IF(OR($BJ155="",59&gt;設定!$B$3),"",IF(INDEX(原始資料!BJ$2:BJ$501,$BJ155)="","",INDEX(原始資料!BJ$2:BJ$501,$BJ155)))</f>
        <v/>
      </c>
      <c r="BI155" s="6">
        <f>IF(OR($BJ155="",60&gt;設定!$B$3),"",IF(INDEX(原始資料!BK$2:BK$501,$BJ155)="","",INDEX(原始資料!BK$2:BK$501,$BJ155)))</f>
        <v/>
      </c>
      <c r="BJ155" s="6">
        <f>IFERROR(MATCH(ROW()-1,判定!$H$2:$H$501,0),"")</f>
        <v/>
      </c>
    </row>
    <row r="156">
      <c r="A156" s="6">
        <f>IF($BJ156="","",INDEX(原始資料!$A$2:$A$501,$BJ156))</f>
        <v/>
      </c>
      <c r="B156" s="6">
        <f>IF(OR($BJ156="",1&gt;設定!$B$3),"",IF(INDEX(原始資料!D$2:D$501,$BJ156)="","",INDEX(原始資料!D$2:D$501,$BJ156)))</f>
        <v/>
      </c>
      <c r="C156" s="6">
        <f>IF(OR($BJ156="",2&gt;設定!$B$3),"",IF(INDEX(原始資料!E$2:E$501,$BJ156)="","",INDEX(原始資料!E$2:E$501,$BJ156)))</f>
        <v/>
      </c>
      <c r="D156" s="6">
        <f>IF(OR($BJ156="",3&gt;設定!$B$3),"",IF(INDEX(原始資料!F$2:F$501,$BJ156)="","",INDEX(原始資料!F$2:F$501,$BJ156)))</f>
        <v/>
      </c>
      <c r="E156" s="6">
        <f>IF(OR($BJ156="",4&gt;設定!$B$3),"",IF(INDEX(原始資料!G$2:G$501,$BJ156)="","",INDEX(原始資料!G$2:G$501,$BJ156)))</f>
        <v/>
      </c>
      <c r="F156" s="6">
        <f>IF(OR($BJ156="",5&gt;設定!$B$3),"",IF(INDEX(原始資料!H$2:H$501,$BJ156)="","",INDEX(原始資料!H$2:H$501,$BJ156)))</f>
        <v/>
      </c>
      <c r="G156" s="6">
        <f>IF(OR($BJ156="",6&gt;設定!$B$3),"",IF(INDEX(原始資料!I$2:I$501,$BJ156)="","",INDEX(原始資料!I$2:I$501,$BJ156)))</f>
        <v/>
      </c>
      <c r="H156" s="6">
        <f>IF(OR($BJ156="",7&gt;設定!$B$3),"",IF(INDEX(原始資料!J$2:J$501,$BJ156)="","",INDEX(原始資料!J$2:J$501,$BJ156)))</f>
        <v/>
      </c>
      <c r="I156" s="6">
        <f>IF(OR($BJ156="",8&gt;設定!$B$3),"",IF(INDEX(原始資料!K$2:K$501,$BJ156)="","",INDEX(原始資料!K$2:K$501,$BJ156)))</f>
        <v/>
      </c>
      <c r="J156" s="6">
        <f>IF(OR($BJ156="",9&gt;設定!$B$3),"",IF(INDEX(原始資料!L$2:L$501,$BJ156)="","",INDEX(原始資料!L$2:L$501,$BJ156)))</f>
        <v/>
      </c>
      <c r="K156" s="6">
        <f>IF(OR($BJ156="",10&gt;設定!$B$3),"",IF(INDEX(原始資料!M$2:M$501,$BJ156)="","",INDEX(原始資料!M$2:M$501,$BJ156)))</f>
        <v/>
      </c>
      <c r="L156" s="6">
        <f>IF(OR($BJ156="",11&gt;設定!$B$3),"",IF(INDEX(原始資料!N$2:N$501,$BJ156)="","",INDEX(原始資料!N$2:N$501,$BJ156)))</f>
        <v/>
      </c>
      <c r="M156" s="6">
        <f>IF(OR($BJ156="",12&gt;設定!$B$3),"",IF(INDEX(原始資料!O$2:O$501,$BJ156)="","",INDEX(原始資料!O$2:O$501,$BJ156)))</f>
        <v/>
      </c>
      <c r="N156" s="6">
        <f>IF(OR($BJ156="",13&gt;設定!$B$3),"",IF(INDEX(原始資料!P$2:P$501,$BJ156)="","",INDEX(原始資料!P$2:P$501,$BJ156)))</f>
        <v/>
      </c>
      <c r="O156" s="6">
        <f>IF(OR($BJ156="",14&gt;設定!$B$3),"",IF(INDEX(原始資料!Q$2:Q$501,$BJ156)="","",INDEX(原始資料!Q$2:Q$501,$BJ156)))</f>
        <v/>
      </c>
      <c r="P156" s="6">
        <f>IF(OR($BJ156="",15&gt;設定!$B$3),"",IF(INDEX(原始資料!R$2:R$501,$BJ156)="","",INDEX(原始資料!R$2:R$501,$BJ156)))</f>
        <v/>
      </c>
      <c r="Q156" s="6">
        <f>IF(OR($BJ156="",16&gt;設定!$B$3),"",IF(INDEX(原始資料!S$2:S$501,$BJ156)="","",INDEX(原始資料!S$2:S$501,$BJ156)))</f>
        <v/>
      </c>
      <c r="R156" s="6">
        <f>IF(OR($BJ156="",17&gt;設定!$B$3),"",IF(INDEX(原始資料!T$2:T$501,$BJ156)="","",INDEX(原始資料!T$2:T$501,$BJ156)))</f>
        <v/>
      </c>
      <c r="S156" s="6">
        <f>IF(OR($BJ156="",18&gt;設定!$B$3),"",IF(INDEX(原始資料!U$2:U$501,$BJ156)="","",INDEX(原始資料!U$2:U$501,$BJ156)))</f>
        <v/>
      </c>
      <c r="T156" s="6">
        <f>IF(OR($BJ156="",19&gt;設定!$B$3),"",IF(INDEX(原始資料!V$2:V$501,$BJ156)="","",INDEX(原始資料!V$2:V$501,$BJ156)))</f>
        <v/>
      </c>
      <c r="U156" s="6">
        <f>IF(OR($BJ156="",20&gt;設定!$B$3),"",IF(INDEX(原始資料!W$2:W$501,$BJ156)="","",INDEX(原始資料!W$2:W$501,$BJ156)))</f>
        <v/>
      </c>
      <c r="V156" s="6">
        <f>IF(OR($BJ156="",21&gt;設定!$B$3),"",IF(INDEX(原始資料!X$2:X$501,$BJ156)="","",INDEX(原始資料!X$2:X$501,$BJ156)))</f>
        <v/>
      </c>
      <c r="W156" s="6">
        <f>IF(OR($BJ156="",22&gt;設定!$B$3),"",IF(INDEX(原始資料!Y$2:Y$501,$BJ156)="","",INDEX(原始資料!Y$2:Y$501,$BJ156)))</f>
        <v/>
      </c>
      <c r="X156" s="6">
        <f>IF(OR($BJ156="",23&gt;設定!$B$3),"",IF(INDEX(原始資料!Z$2:Z$501,$BJ156)="","",INDEX(原始資料!Z$2:Z$501,$BJ156)))</f>
        <v/>
      </c>
      <c r="Y156" s="6">
        <f>IF(OR($BJ156="",24&gt;設定!$B$3),"",IF(INDEX(原始資料!AA$2:AA$501,$BJ156)="","",INDEX(原始資料!AA$2:AA$501,$BJ156)))</f>
        <v/>
      </c>
      <c r="Z156" s="6">
        <f>IF(OR($BJ156="",25&gt;設定!$B$3),"",IF(INDEX(原始資料!AB$2:AB$501,$BJ156)="","",INDEX(原始資料!AB$2:AB$501,$BJ156)))</f>
        <v/>
      </c>
      <c r="AA156" s="6">
        <f>IF(OR($BJ156="",26&gt;設定!$B$3),"",IF(INDEX(原始資料!AC$2:AC$501,$BJ156)="","",INDEX(原始資料!AC$2:AC$501,$BJ156)))</f>
        <v/>
      </c>
      <c r="AB156" s="6">
        <f>IF(OR($BJ156="",27&gt;設定!$B$3),"",IF(INDEX(原始資料!AD$2:AD$501,$BJ156)="","",INDEX(原始資料!AD$2:AD$501,$BJ156)))</f>
        <v/>
      </c>
      <c r="AC156" s="6">
        <f>IF(OR($BJ156="",28&gt;設定!$B$3),"",IF(INDEX(原始資料!AE$2:AE$501,$BJ156)="","",INDEX(原始資料!AE$2:AE$501,$BJ156)))</f>
        <v/>
      </c>
      <c r="AD156" s="6">
        <f>IF(OR($BJ156="",29&gt;設定!$B$3),"",IF(INDEX(原始資料!AF$2:AF$501,$BJ156)="","",INDEX(原始資料!AF$2:AF$501,$BJ156)))</f>
        <v/>
      </c>
      <c r="AE156" s="6">
        <f>IF(OR($BJ156="",30&gt;設定!$B$3),"",IF(INDEX(原始資料!AG$2:AG$501,$BJ156)="","",INDEX(原始資料!AG$2:AG$501,$BJ156)))</f>
        <v/>
      </c>
      <c r="AF156" s="6">
        <f>IF(OR($BJ156="",31&gt;設定!$B$3),"",IF(INDEX(原始資料!AH$2:AH$501,$BJ156)="","",INDEX(原始資料!AH$2:AH$501,$BJ156)))</f>
        <v/>
      </c>
      <c r="AG156" s="6">
        <f>IF(OR($BJ156="",32&gt;設定!$B$3),"",IF(INDEX(原始資料!AI$2:AI$501,$BJ156)="","",INDEX(原始資料!AI$2:AI$501,$BJ156)))</f>
        <v/>
      </c>
      <c r="AH156" s="6">
        <f>IF(OR($BJ156="",33&gt;設定!$B$3),"",IF(INDEX(原始資料!AJ$2:AJ$501,$BJ156)="","",INDEX(原始資料!AJ$2:AJ$501,$BJ156)))</f>
        <v/>
      </c>
      <c r="AI156" s="6">
        <f>IF(OR($BJ156="",34&gt;設定!$B$3),"",IF(INDEX(原始資料!AK$2:AK$501,$BJ156)="","",INDEX(原始資料!AK$2:AK$501,$BJ156)))</f>
        <v/>
      </c>
      <c r="AJ156" s="6">
        <f>IF(OR($BJ156="",35&gt;設定!$B$3),"",IF(INDEX(原始資料!AL$2:AL$501,$BJ156)="","",INDEX(原始資料!AL$2:AL$501,$BJ156)))</f>
        <v/>
      </c>
      <c r="AK156" s="6">
        <f>IF(OR($BJ156="",36&gt;設定!$B$3),"",IF(INDEX(原始資料!AM$2:AM$501,$BJ156)="","",INDEX(原始資料!AM$2:AM$501,$BJ156)))</f>
        <v/>
      </c>
      <c r="AL156" s="6">
        <f>IF(OR($BJ156="",37&gt;設定!$B$3),"",IF(INDEX(原始資料!AN$2:AN$501,$BJ156)="","",INDEX(原始資料!AN$2:AN$501,$BJ156)))</f>
        <v/>
      </c>
      <c r="AM156" s="6">
        <f>IF(OR($BJ156="",38&gt;設定!$B$3),"",IF(INDEX(原始資料!AO$2:AO$501,$BJ156)="","",INDEX(原始資料!AO$2:AO$501,$BJ156)))</f>
        <v/>
      </c>
      <c r="AN156" s="6">
        <f>IF(OR($BJ156="",39&gt;設定!$B$3),"",IF(INDEX(原始資料!AP$2:AP$501,$BJ156)="","",INDEX(原始資料!AP$2:AP$501,$BJ156)))</f>
        <v/>
      </c>
      <c r="AO156" s="6">
        <f>IF(OR($BJ156="",40&gt;設定!$B$3),"",IF(INDEX(原始資料!AQ$2:AQ$501,$BJ156)="","",INDEX(原始資料!AQ$2:AQ$501,$BJ156)))</f>
        <v/>
      </c>
      <c r="AP156" s="6">
        <f>IF(OR($BJ156="",41&gt;設定!$B$3),"",IF(INDEX(原始資料!AR$2:AR$501,$BJ156)="","",INDEX(原始資料!AR$2:AR$501,$BJ156)))</f>
        <v/>
      </c>
      <c r="AQ156" s="6">
        <f>IF(OR($BJ156="",42&gt;設定!$B$3),"",IF(INDEX(原始資料!AS$2:AS$501,$BJ156)="","",INDEX(原始資料!AS$2:AS$501,$BJ156)))</f>
        <v/>
      </c>
      <c r="AR156" s="6">
        <f>IF(OR($BJ156="",43&gt;設定!$B$3),"",IF(INDEX(原始資料!AT$2:AT$501,$BJ156)="","",INDEX(原始資料!AT$2:AT$501,$BJ156)))</f>
        <v/>
      </c>
      <c r="AS156" s="6">
        <f>IF(OR($BJ156="",44&gt;設定!$B$3),"",IF(INDEX(原始資料!AU$2:AU$501,$BJ156)="","",INDEX(原始資料!AU$2:AU$501,$BJ156)))</f>
        <v/>
      </c>
      <c r="AT156" s="6">
        <f>IF(OR($BJ156="",45&gt;設定!$B$3),"",IF(INDEX(原始資料!AV$2:AV$501,$BJ156)="","",INDEX(原始資料!AV$2:AV$501,$BJ156)))</f>
        <v/>
      </c>
      <c r="AU156" s="6">
        <f>IF(OR($BJ156="",46&gt;設定!$B$3),"",IF(INDEX(原始資料!AW$2:AW$501,$BJ156)="","",INDEX(原始資料!AW$2:AW$501,$BJ156)))</f>
        <v/>
      </c>
      <c r="AV156" s="6">
        <f>IF(OR($BJ156="",47&gt;設定!$B$3),"",IF(INDEX(原始資料!AX$2:AX$501,$BJ156)="","",INDEX(原始資料!AX$2:AX$501,$BJ156)))</f>
        <v/>
      </c>
      <c r="AW156" s="6">
        <f>IF(OR($BJ156="",48&gt;設定!$B$3),"",IF(INDEX(原始資料!AY$2:AY$501,$BJ156)="","",INDEX(原始資料!AY$2:AY$501,$BJ156)))</f>
        <v/>
      </c>
      <c r="AX156" s="6">
        <f>IF(OR($BJ156="",49&gt;設定!$B$3),"",IF(INDEX(原始資料!AZ$2:AZ$501,$BJ156)="","",INDEX(原始資料!AZ$2:AZ$501,$BJ156)))</f>
        <v/>
      </c>
      <c r="AY156" s="6">
        <f>IF(OR($BJ156="",50&gt;設定!$B$3),"",IF(INDEX(原始資料!BA$2:BA$501,$BJ156)="","",INDEX(原始資料!BA$2:BA$501,$BJ156)))</f>
        <v/>
      </c>
      <c r="AZ156" s="6">
        <f>IF(OR($BJ156="",51&gt;設定!$B$3),"",IF(INDEX(原始資料!BB$2:BB$501,$BJ156)="","",INDEX(原始資料!BB$2:BB$501,$BJ156)))</f>
        <v/>
      </c>
      <c r="BA156" s="6">
        <f>IF(OR($BJ156="",52&gt;設定!$B$3),"",IF(INDEX(原始資料!BC$2:BC$501,$BJ156)="","",INDEX(原始資料!BC$2:BC$501,$BJ156)))</f>
        <v/>
      </c>
      <c r="BB156" s="6">
        <f>IF(OR($BJ156="",53&gt;設定!$B$3),"",IF(INDEX(原始資料!BD$2:BD$501,$BJ156)="","",INDEX(原始資料!BD$2:BD$501,$BJ156)))</f>
        <v/>
      </c>
      <c r="BC156" s="6">
        <f>IF(OR($BJ156="",54&gt;設定!$B$3),"",IF(INDEX(原始資料!BE$2:BE$501,$BJ156)="","",INDEX(原始資料!BE$2:BE$501,$BJ156)))</f>
        <v/>
      </c>
      <c r="BD156" s="6">
        <f>IF(OR($BJ156="",55&gt;設定!$B$3),"",IF(INDEX(原始資料!BF$2:BF$501,$BJ156)="","",INDEX(原始資料!BF$2:BF$501,$BJ156)))</f>
        <v/>
      </c>
      <c r="BE156" s="6">
        <f>IF(OR($BJ156="",56&gt;設定!$B$3),"",IF(INDEX(原始資料!BG$2:BG$501,$BJ156)="","",INDEX(原始資料!BG$2:BG$501,$BJ156)))</f>
        <v/>
      </c>
      <c r="BF156" s="6">
        <f>IF(OR($BJ156="",57&gt;設定!$B$3),"",IF(INDEX(原始資料!BH$2:BH$501,$BJ156)="","",INDEX(原始資料!BH$2:BH$501,$BJ156)))</f>
        <v/>
      </c>
      <c r="BG156" s="6">
        <f>IF(OR($BJ156="",58&gt;設定!$B$3),"",IF(INDEX(原始資料!BI$2:BI$501,$BJ156)="","",INDEX(原始資料!BI$2:BI$501,$BJ156)))</f>
        <v/>
      </c>
      <c r="BH156" s="6">
        <f>IF(OR($BJ156="",59&gt;設定!$B$3),"",IF(INDEX(原始資料!BJ$2:BJ$501,$BJ156)="","",INDEX(原始資料!BJ$2:BJ$501,$BJ156)))</f>
        <v/>
      </c>
      <c r="BI156" s="6">
        <f>IF(OR($BJ156="",60&gt;設定!$B$3),"",IF(INDEX(原始資料!BK$2:BK$501,$BJ156)="","",INDEX(原始資料!BK$2:BK$501,$BJ156)))</f>
        <v/>
      </c>
      <c r="BJ156" s="6">
        <f>IFERROR(MATCH(ROW()-1,判定!$H$2:$H$501,0),"")</f>
        <v/>
      </c>
    </row>
    <row r="157">
      <c r="A157" s="6">
        <f>IF($BJ157="","",INDEX(原始資料!$A$2:$A$501,$BJ157))</f>
        <v/>
      </c>
      <c r="B157" s="6">
        <f>IF(OR($BJ157="",1&gt;設定!$B$3),"",IF(INDEX(原始資料!D$2:D$501,$BJ157)="","",INDEX(原始資料!D$2:D$501,$BJ157)))</f>
        <v/>
      </c>
      <c r="C157" s="6">
        <f>IF(OR($BJ157="",2&gt;設定!$B$3),"",IF(INDEX(原始資料!E$2:E$501,$BJ157)="","",INDEX(原始資料!E$2:E$501,$BJ157)))</f>
        <v/>
      </c>
      <c r="D157" s="6">
        <f>IF(OR($BJ157="",3&gt;設定!$B$3),"",IF(INDEX(原始資料!F$2:F$501,$BJ157)="","",INDEX(原始資料!F$2:F$501,$BJ157)))</f>
        <v/>
      </c>
      <c r="E157" s="6">
        <f>IF(OR($BJ157="",4&gt;設定!$B$3),"",IF(INDEX(原始資料!G$2:G$501,$BJ157)="","",INDEX(原始資料!G$2:G$501,$BJ157)))</f>
        <v/>
      </c>
      <c r="F157" s="6">
        <f>IF(OR($BJ157="",5&gt;設定!$B$3),"",IF(INDEX(原始資料!H$2:H$501,$BJ157)="","",INDEX(原始資料!H$2:H$501,$BJ157)))</f>
        <v/>
      </c>
      <c r="G157" s="6">
        <f>IF(OR($BJ157="",6&gt;設定!$B$3),"",IF(INDEX(原始資料!I$2:I$501,$BJ157)="","",INDEX(原始資料!I$2:I$501,$BJ157)))</f>
        <v/>
      </c>
      <c r="H157" s="6">
        <f>IF(OR($BJ157="",7&gt;設定!$B$3),"",IF(INDEX(原始資料!J$2:J$501,$BJ157)="","",INDEX(原始資料!J$2:J$501,$BJ157)))</f>
        <v/>
      </c>
      <c r="I157" s="6">
        <f>IF(OR($BJ157="",8&gt;設定!$B$3),"",IF(INDEX(原始資料!K$2:K$501,$BJ157)="","",INDEX(原始資料!K$2:K$501,$BJ157)))</f>
        <v/>
      </c>
      <c r="J157" s="6">
        <f>IF(OR($BJ157="",9&gt;設定!$B$3),"",IF(INDEX(原始資料!L$2:L$501,$BJ157)="","",INDEX(原始資料!L$2:L$501,$BJ157)))</f>
        <v/>
      </c>
      <c r="K157" s="6">
        <f>IF(OR($BJ157="",10&gt;設定!$B$3),"",IF(INDEX(原始資料!M$2:M$501,$BJ157)="","",INDEX(原始資料!M$2:M$501,$BJ157)))</f>
        <v/>
      </c>
      <c r="L157" s="6">
        <f>IF(OR($BJ157="",11&gt;設定!$B$3),"",IF(INDEX(原始資料!N$2:N$501,$BJ157)="","",INDEX(原始資料!N$2:N$501,$BJ157)))</f>
        <v/>
      </c>
      <c r="M157" s="6">
        <f>IF(OR($BJ157="",12&gt;設定!$B$3),"",IF(INDEX(原始資料!O$2:O$501,$BJ157)="","",INDEX(原始資料!O$2:O$501,$BJ157)))</f>
        <v/>
      </c>
      <c r="N157" s="6">
        <f>IF(OR($BJ157="",13&gt;設定!$B$3),"",IF(INDEX(原始資料!P$2:P$501,$BJ157)="","",INDEX(原始資料!P$2:P$501,$BJ157)))</f>
        <v/>
      </c>
      <c r="O157" s="6">
        <f>IF(OR($BJ157="",14&gt;設定!$B$3),"",IF(INDEX(原始資料!Q$2:Q$501,$BJ157)="","",INDEX(原始資料!Q$2:Q$501,$BJ157)))</f>
        <v/>
      </c>
      <c r="P157" s="6">
        <f>IF(OR($BJ157="",15&gt;設定!$B$3),"",IF(INDEX(原始資料!R$2:R$501,$BJ157)="","",INDEX(原始資料!R$2:R$501,$BJ157)))</f>
        <v/>
      </c>
      <c r="Q157" s="6">
        <f>IF(OR($BJ157="",16&gt;設定!$B$3),"",IF(INDEX(原始資料!S$2:S$501,$BJ157)="","",INDEX(原始資料!S$2:S$501,$BJ157)))</f>
        <v/>
      </c>
      <c r="R157" s="6">
        <f>IF(OR($BJ157="",17&gt;設定!$B$3),"",IF(INDEX(原始資料!T$2:T$501,$BJ157)="","",INDEX(原始資料!T$2:T$501,$BJ157)))</f>
        <v/>
      </c>
      <c r="S157" s="6">
        <f>IF(OR($BJ157="",18&gt;設定!$B$3),"",IF(INDEX(原始資料!U$2:U$501,$BJ157)="","",INDEX(原始資料!U$2:U$501,$BJ157)))</f>
        <v/>
      </c>
      <c r="T157" s="6">
        <f>IF(OR($BJ157="",19&gt;設定!$B$3),"",IF(INDEX(原始資料!V$2:V$501,$BJ157)="","",INDEX(原始資料!V$2:V$501,$BJ157)))</f>
        <v/>
      </c>
      <c r="U157" s="6">
        <f>IF(OR($BJ157="",20&gt;設定!$B$3),"",IF(INDEX(原始資料!W$2:W$501,$BJ157)="","",INDEX(原始資料!W$2:W$501,$BJ157)))</f>
        <v/>
      </c>
      <c r="V157" s="6">
        <f>IF(OR($BJ157="",21&gt;設定!$B$3),"",IF(INDEX(原始資料!X$2:X$501,$BJ157)="","",INDEX(原始資料!X$2:X$501,$BJ157)))</f>
        <v/>
      </c>
      <c r="W157" s="6">
        <f>IF(OR($BJ157="",22&gt;設定!$B$3),"",IF(INDEX(原始資料!Y$2:Y$501,$BJ157)="","",INDEX(原始資料!Y$2:Y$501,$BJ157)))</f>
        <v/>
      </c>
      <c r="X157" s="6">
        <f>IF(OR($BJ157="",23&gt;設定!$B$3),"",IF(INDEX(原始資料!Z$2:Z$501,$BJ157)="","",INDEX(原始資料!Z$2:Z$501,$BJ157)))</f>
        <v/>
      </c>
      <c r="Y157" s="6">
        <f>IF(OR($BJ157="",24&gt;設定!$B$3),"",IF(INDEX(原始資料!AA$2:AA$501,$BJ157)="","",INDEX(原始資料!AA$2:AA$501,$BJ157)))</f>
        <v/>
      </c>
      <c r="Z157" s="6">
        <f>IF(OR($BJ157="",25&gt;設定!$B$3),"",IF(INDEX(原始資料!AB$2:AB$501,$BJ157)="","",INDEX(原始資料!AB$2:AB$501,$BJ157)))</f>
        <v/>
      </c>
      <c r="AA157" s="6">
        <f>IF(OR($BJ157="",26&gt;設定!$B$3),"",IF(INDEX(原始資料!AC$2:AC$501,$BJ157)="","",INDEX(原始資料!AC$2:AC$501,$BJ157)))</f>
        <v/>
      </c>
      <c r="AB157" s="6">
        <f>IF(OR($BJ157="",27&gt;設定!$B$3),"",IF(INDEX(原始資料!AD$2:AD$501,$BJ157)="","",INDEX(原始資料!AD$2:AD$501,$BJ157)))</f>
        <v/>
      </c>
      <c r="AC157" s="6">
        <f>IF(OR($BJ157="",28&gt;設定!$B$3),"",IF(INDEX(原始資料!AE$2:AE$501,$BJ157)="","",INDEX(原始資料!AE$2:AE$501,$BJ157)))</f>
        <v/>
      </c>
      <c r="AD157" s="6">
        <f>IF(OR($BJ157="",29&gt;設定!$B$3),"",IF(INDEX(原始資料!AF$2:AF$501,$BJ157)="","",INDEX(原始資料!AF$2:AF$501,$BJ157)))</f>
        <v/>
      </c>
      <c r="AE157" s="6">
        <f>IF(OR($BJ157="",30&gt;設定!$B$3),"",IF(INDEX(原始資料!AG$2:AG$501,$BJ157)="","",INDEX(原始資料!AG$2:AG$501,$BJ157)))</f>
        <v/>
      </c>
      <c r="AF157" s="6">
        <f>IF(OR($BJ157="",31&gt;設定!$B$3),"",IF(INDEX(原始資料!AH$2:AH$501,$BJ157)="","",INDEX(原始資料!AH$2:AH$501,$BJ157)))</f>
        <v/>
      </c>
      <c r="AG157" s="6">
        <f>IF(OR($BJ157="",32&gt;設定!$B$3),"",IF(INDEX(原始資料!AI$2:AI$501,$BJ157)="","",INDEX(原始資料!AI$2:AI$501,$BJ157)))</f>
        <v/>
      </c>
      <c r="AH157" s="6">
        <f>IF(OR($BJ157="",33&gt;設定!$B$3),"",IF(INDEX(原始資料!AJ$2:AJ$501,$BJ157)="","",INDEX(原始資料!AJ$2:AJ$501,$BJ157)))</f>
        <v/>
      </c>
      <c r="AI157" s="6">
        <f>IF(OR($BJ157="",34&gt;設定!$B$3),"",IF(INDEX(原始資料!AK$2:AK$501,$BJ157)="","",INDEX(原始資料!AK$2:AK$501,$BJ157)))</f>
        <v/>
      </c>
      <c r="AJ157" s="6">
        <f>IF(OR($BJ157="",35&gt;設定!$B$3),"",IF(INDEX(原始資料!AL$2:AL$501,$BJ157)="","",INDEX(原始資料!AL$2:AL$501,$BJ157)))</f>
        <v/>
      </c>
      <c r="AK157" s="6">
        <f>IF(OR($BJ157="",36&gt;設定!$B$3),"",IF(INDEX(原始資料!AM$2:AM$501,$BJ157)="","",INDEX(原始資料!AM$2:AM$501,$BJ157)))</f>
        <v/>
      </c>
      <c r="AL157" s="6">
        <f>IF(OR($BJ157="",37&gt;設定!$B$3),"",IF(INDEX(原始資料!AN$2:AN$501,$BJ157)="","",INDEX(原始資料!AN$2:AN$501,$BJ157)))</f>
        <v/>
      </c>
      <c r="AM157" s="6">
        <f>IF(OR($BJ157="",38&gt;設定!$B$3),"",IF(INDEX(原始資料!AO$2:AO$501,$BJ157)="","",INDEX(原始資料!AO$2:AO$501,$BJ157)))</f>
        <v/>
      </c>
      <c r="AN157" s="6">
        <f>IF(OR($BJ157="",39&gt;設定!$B$3),"",IF(INDEX(原始資料!AP$2:AP$501,$BJ157)="","",INDEX(原始資料!AP$2:AP$501,$BJ157)))</f>
        <v/>
      </c>
      <c r="AO157" s="6">
        <f>IF(OR($BJ157="",40&gt;設定!$B$3),"",IF(INDEX(原始資料!AQ$2:AQ$501,$BJ157)="","",INDEX(原始資料!AQ$2:AQ$501,$BJ157)))</f>
        <v/>
      </c>
      <c r="AP157" s="6">
        <f>IF(OR($BJ157="",41&gt;設定!$B$3),"",IF(INDEX(原始資料!AR$2:AR$501,$BJ157)="","",INDEX(原始資料!AR$2:AR$501,$BJ157)))</f>
        <v/>
      </c>
      <c r="AQ157" s="6">
        <f>IF(OR($BJ157="",42&gt;設定!$B$3),"",IF(INDEX(原始資料!AS$2:AS$501,$BJ157)="","",INDEX(原始資料!AS$2:AS$501,$BJ157)))</f>
        <v/>
      </c>
      <c r="AR157" s="6">
        <f>IF(OR($BJ157="",43&gt;設定!$B$3),"",IF(INDEX(原始資料!AT$2:AT$501,$BJ157)="","",INDEX(原始資料!AT$2:AT$501,$BJ157)))</f>
        <v/>
      </c>
      <c r="AS157" s="6">
        <f>IF(OR($BJ157="",44&gt;設定!$B$3),"",IF(INDEX(原始資料!AU$2:AU$501,$BJ157)="","",INDEX(原始資料!AU$2:AU$501,$BJ157)))</f>
        <v/>
      </c>
      <c r="AT157" s="6">
        <f>IF(OR($BJ157="",45&gt;設定!$B$3),"",IF(INDEX(原始資料!AV$2:AV$501,$BJ157)="","",INDEX(原始資料!AV$2:AV$501,$BJ157)))</f>
        <v/>
      </c>
      <c r="AU157" s="6">
        <f>IF(OR($BJ157="",46&gt;設定!$B$3),"",IF(INDEX(原始資料!AW$2:AW$501,$BJ157)="","",INDEX(原始資料!AW$2:AW$501,$BJ157)))</f>
        <v/>
      </c>
      <c r="AV157" s="6">
        <f>IF(OR($BJ157="",47&gt;設定!$B$3),"",IF(INDEX(原始資料!AX$2:AX$501,$BJ157)="","",INDEX(原始資料!AX$2:AX$501,$BJ157)))</f>
        <v/>
      </c>
      <c r="AW157" s="6">
        <f>IF(OR($BJ157="",48&gt;設定!$B$3),"",IF(INDEX(原始資料!AY$2:AY$501,$BJ157)="","",INDEX(原始資料!AY$2:AY$501,$BJ157)))</f>
        <v/>
      </c>
      <c r="AX157" s="6">
        <f>IF(OR($BJ157="",49&gt;設定!$B$3),"",IF(INDEX(原始資料!AZ$2:AZ$501,$BJ157)="","",INDEX(原始資料!AZ$2:AZ$501,$BJ157)))</f>
        <v/>
      </c>
      <c r="AY157" s="6">
        <f>IF(OR($BJ157="",50&gt;設定!$B$3),"",IF(INDEX(原始資料!BA$2:BA$501,$BJ157)="","",INDEX(原始資料!BA$2:BA$501,$BJ157)))</f>
        <v/>
      </c>
      <c r="AZ157" s="6">
        <f>IF(OR($BJ157="",51&gt;設定!$B$3),"",IF(INDEX(原始資料!BB$2:BB$501,$BJ157)="","",INDEX(原始資料!BB$2:BB$501,$BJ157)))</f>
        <v/>
      </c>
      <c r="BA157" s="6">
        <f>IF(OR($BJ157="",52&gt;設定!$B$3),"",IF(INDEX(原始資料!BC$2:BC$501,$BJ157)="","",INDEX(原始資料!BC$2:BC$501,$BJ157)))</f>
        <v/>
      </c>
      <c r="BB157" s="6">
        <f>IF(OR($BJ157="",53&gt;設定!$B$3),"",IF(INDEX(原始資料!BD$2:BD$501,$BJ157)="","",INDEX(原始資料!BD$2:BD$501,$BJ157)))</f>
        <v/>
      </c>
      <c r="BC157" s="6">
        <f>IF(OR($BJ157="",54&gt;設定!$B$3),"",IF(INDEX(原始資料!BE$2:BE$501,$BJ157)="","",INDEX(原始資料!BE$2:BE$501,$BJ157)))</f>
        <v/>
      </c>
      <c r="BD157" s="6">
        <f>IF(OR($BJ157="",55&gt;設定!$B$3),"",IF(INDEX(原始資料!BF$2:BF$501,$BJ157)="","",INDEX(原始資料!BF$2:BF$501,$BJ157)))</f>
        <v/>
      </c>
      <c r="BE157" s="6">
        <f>IF(OR($BJ157="",56&gt;設定!$B$3),"",IF(INDEX(原始資料!BG$2:BG$501,$BJ157)="","",INDEX(原始資料!BG$2:BG$501,$BJ157)))</f>
        <v/>
      </c>
      <c r="BF157" s="6">
        <f>IF(OR($BJ157="",57&gt;設定!$B$3),"",IF(INDEX(原始資料!BH$2:BH$501,$BJ157)="","",INDEX(原始資料!BH$2:BH$501,$BJ157)))</f>
        <v/>
      </c>
      <c r="BG157" s="6">
        <f>IF(OR($BJ157="",58&gt;設定!$B$3),"",IF(INDEX(原始資料!BI$2:BI$501,$BJ157)="","",INDEX(原始資料!BI$2:BI$501,$BJ157)))</f>
        <v/>
      </c>
      <c r="BH157" s="6">
        <f>IF(OR($BJ157="",59&gt;設定!$B$3),"",IF(INDEX(原始資料!BJ$2:BJ$501,$BJ157)="","",INDEX(原始資料!BJ$2:BJ$501,$BJ157)))</f>
        <v/>
      </c>
      <c r="BI157" s="6">
        <f>IF(OR($BJ157="",60&gt;設定!$B$3),"",IF(INDEX(原始資料!BK$2:BK$501,$BJ157)="","",INDEX(原始資料!BK$2:BK$501,$BJ157)))</f>
        <v/>
      </c>
      <c r="BJ157" s="6">
        <f>IFERROR(MATCH(ROW()-1,判定!$H$2:$H$501,0),"")</f>
        <v/>
      </c>
    </row>
    <row r="158">
      <c r="A158" s="6">
        <f>IF($BJ158="","",INDEX(原始資料!$A$2:$A$501,$BJ158))</f>
        <v/>
      </c>
      <c r="B158" s="6">
        <f>IF(OR($BJ158="",1&gt;設定!$B$3),"",IF(INDEX(原始資料!D$2:D$501,$BJ158)="","",INDEX(原始資料!D$2:D$501,$BJ158)))</f>
        <v/>
      </c>
      <c r="C158" s="6">
        <f>IF(OR($BJ158="",2&gt;設定!$B$3),"",IF(INDEX(原始資料!E$2:E$501,$BJ158)="","",INDEX(原始資料!E$2:E$501,$BJ158)))</f>
        <v/>
      </c>
      <c r="D158" s="6">
        <f>IF(OR($BJ158="",3&gt;設定!$B$3),"",IF(INDEX(原始資料!F$2:F$501,$BJ158)="","",INDEX(原始資料!F$2:F$501,$BJ158)))</f>
        <v/>
      </c>
      <c r="E158" s="6">
        <f>IF(OR($BJ158="",4&gt;設定!$B$3),"",IF(INDEX(原始資料!G$2:G$501,$BJ158)="","",INDEX(原始資料!G$2:G$501,$BJ158)))</f>
        <v/>
      </c>
      <c r="F158" s="6">
        <f>IF(OR($BJ158="",5&gt;設定!$B$3),"",IF(INDEX(原始資料!H$2:H$501,$BJ158)="","",INDEX(原始資料!H$2:H$501,$BJ158)))</f>
        <v/>
      </c>
      <c r="G158" s="6">
        <f>IF(OR($BJ158="",6&gt;設定!$B$3),"",IF(INDEX(原始資料!I$2:I$501,$BJ158)="","",INDEX(原始資料!I$2:I$501,$BJ158)))</f>
        <v/>
      </c>
      <c r="H158" s="6">
        <f>IF(OR($BJ158="",7&gt;設定!$B$3),"",IF(INDEX(原始資料!J$2:J$501,$BJ158)="","",INDEX(原始資料!J$2:J$501,$BJ158)))</f>
        <v/>
      </c>
      <c r="I158" s="6">
        <f>IF(OR($BJ158="",8&gt;設定!$B$3),"",IF(INDEX(原始資料!K$2:K$501,$BJ158)="","",INDEX(原始資料!K$2:K$501,$BJ158)))</f>
        <v/>
      </c>
      <c r="J158" s="6">
        <f>IF(OR($BJ158="",9&gt;設定!$B$3),"",IF(INDEX(原始資料!L$2:L$501,$BJ158)="","",INDEX(原始資料!L$2:L$501,$BJ158)))</f>
        <v/>
      </c>
      <c r="K158" s="6">
        <f>IF(OR($BJ158="",10&gt;設定!$B$3),"",IF(INDEX(原始資料!M$2:M$501,$BJ158)="","",INDEX(原始資料!M$2:M$501,$BJ158)))</f>
        <v/>
      </c>
      <c r="L158" s="6">
        <f>IF(OR($BJ158="",11&gt;設定!$B$3),"",IF(INDEX(原始資料!N$2:N$501,$BJ158)="","",INDEX(原始資料!N$2:N$501,$BJ158)))</f>
        <v/>
      </c>
      <c r="M158" s="6">
        <f>IF(OR($BJ158="",12&gt;設定!$B$3),"",IF(INDEX(原始資料!O$2:O$501,$BJ158)="","",INDEX(原始資料!O$2:O$501,$BJ158)))</f>
        <v/>
      </c>
      <c r="N158" s="6">
        <f>IF(OR($BJ158="",13&gt;設定!$B$3),"",IF(INDEX(原始資料!P$2:P$501,$BJ158)="","",INDEX(原始資料!P$2:P$501,$BJ158)))</f>
        <v/>
      </c>
      <c r="O158" s="6">
        <f>IF(OR($BJ158="",14&gt;設定!$B$3),"",IF(INDEX(原始資料!Q$2:Q$501,$BJ158)="","",INDEX(原始資料!Q$2:Q$501,$BJ158)))</f>
        <v/>
      </c>
      <c r="P158" s="6">
        <f>IF(OR($BJ158="",15&gt;設定!$B$3),"",IF(INDEX(原始資料!R$2:R$501,$BJ158)="","",INDEX(原始資料!R$2:R$501,$BJ158)))</f>
        <v/>
      </c>
      <c r="Q158" s="6">
        <f>IF(OR($BJ158="",16&gt;設定!$B$3),"",IF(INDEX(原始資料!S$2:S$501,$BJ158)="","",INDEX(原始資料!S$2:S$501,$BJ158)))</f>
        <v/>
      </c>
      <c r="R158" s="6">
        <f>IF(OR($BJ158="",17&gt;設定!$B$3),"",IF(INDEX(原始資料!T$2:T$501,$BJ158)="","",INDEX(原始資料!T$2:T$501,$BJ158)))</f>
        <v/>
      </c>
      <c r="S158" s="6">
        <f>IF(OR($BJ158="",18&gt;設定!$B$3),"",IF(INDEX(原始資料!U$2:U$501,$BJ158)="","",INDEX(原始資料!U$2:U$501,$BJ158)))</f>
        <v/>
      </c>
      <c r="T158" s="6">
        <f>IF(OR($BJ158="",19&gt;設定!$B$3),"",IF(INDEX(原始資料!V$2:V$501,$BJ158)="","",INDEX(原始資料!V$2:V$501,$BJ158)))</f>
        <v/>
      </c>
      <c r="U158" s="6">
        <f>IF(OR($BJ158="",20&gt;設定!$B$3),"",IF(INDEX(原始資料!W$2:W$501,$BJ158)="","",INDEX(原始資料!W$2:W$501,$BJ158)))</f>
        <v/>
      </c>
      <c r="V158" s="6">
        <f>IF(OR($BJ158="",21&gt;設定!$B$3),"",IF(INDEX(原始資料!X$2:X$501,$BJ158)="","",INDEX(原始資料!X$2:X$501,$BJ158)))</f>
        <v/>
      </c>
      <c r="W158" s="6">
        <f>IF(OR($BJ158="",22&gt;設定!$B$3),"",IF(INDEX(原始資料!Y$2:Y$501,$BJ158)="","",INDEX(原始資料!Y$2:Y$501,$BJ158)))</f>
        <v/>
      </c>
      <c r="X158" s="6">
        <f>IF(OR($BJ158="",23&gt;設定!$B$3),"",IF(INDEX(原始資料!Z$2:Z$501,$BJ158)="","",INDEX(原始資料!Z$2:Z$501,$BJ158)))</f>
        <v/>
      </c>
      <c r="Y158" s="6">
        <f>IF(OR($BJ158="",24&gt;設定!$B$3),"",IF(INDEX(原始資料!AA$2:AA$501,$BJ158)="","",INDEX(原始資料!AA$2:AA$501,$BJ158)))</f>
        <v/>
      </c>
      <c r="Z158" s="6">
        <f>IF(OR($BJ158="",25&gt;設定!$B$3),"",IF(INDEX(原始資料!AB$2:AB$501,$BJ158)="","",INDEX(原始資料!AB$2:AB$501,$BJ158)))</f>
        <v/>
      </c>
      <c r="AA158" s="6">
        <f>IF(OR($BJ158="",26&gt;設定!$B$3),"",IF(INDEX(原始資料!AC$2:AC$501,$BJ158)="","",INDEX(原始資料!AC$2:AC$501,$BJ158)))</f>
        <v/>
      </c>
      <c r="AB158" s="6">
        <f>IF(OR($BJ158="",27&gt;設定!$B$3),"",IF(INDEX(原始資料!AD$2:AD$501,$BJ158)="","",INDEX(原始資料!AD$2:AD$501,$BJ158)))</f>
        <v/>
      </c>
      <c r="AC158" s="6">
        <f>IF(OR($BJ158="",28&gt;設定!$B$3),"",IF(INDEX(原始資料!AE$2:AE$501,$BJ158)="","",INDEX(原始資料!AE$2:AE$501,$BJ158)))</f>
        <v/>
      </c>
      <c r="AD158" s="6">
        <f>IF(OR($BJ158="",29&gt;設定!$B$3),"",IF(INDEX(原始資料!AF$2:AF$501,$BJ158)="","",INDEX(原始資料!AF$2:AF$501,$BJ158)))</f>
        <v/>
      </c>
      <c r="AE158" s="6">
        <f>IF(OR($BJ158="",30&gt;設定!$B$3),"",IF(INDEX(原始資料!AG$2:AG$501,$BJ158)="","",INDEX(原始資料!AG$2:AG$501,$BJ158)))</f>
        <v/>
      </c>
      <c r="AF158" s="6">
        <f>IF(OR($BJ158="",31&gt;設定!$B$3),"",IF(INDEX(原始資料!AH$2:AH$501,$BJ158)="","",INDEX(原始資料!AH$2:AH$501,$BJ158)))</f>
        <v/>
      </c>
      <c r="AG158" s="6">
        <f>IF(OR($BJ158="",32&gt;設定!$B$3),"",IF(INDEX(原始資料!AI$2:AI$501,$BJ158)="","",INDEX(原始資料!AI$2:AI$501,$BJ158)))</f>
        <v/>
      </c>
      <c r="AH158" s="6">
        <f>IF(OR($BJ158="",33&gt;設定!$B$3),"",IF(INDEX(原始資料!AJ$2:AJ$501,$BJ158)="","",INDEX(原始資料!AJ$2:AJ$501,$BJ158)))</f>
        <v/>
      </c>
      <c r="AI158" s="6">
        <f>IF(OR($BJ158="",34&gt;設定!$B$3),"",IF(INDEX(原始資料!AK$2:AK$501,$BJ158)="","",INDEX(原始資料!AK$2:AK$501,$BJ158)))</f>
        <v/>
      </c>
      <c r="AJ158" s="6">
        <f>IF(OR($BJ158="",35&gt;設定!$B$3),"",IF(INDEX(原始資料!AL$2:AL$501,$BJ158)="","",INDEX(原始資料!AL$2:AL$501,$BJ158)))</f>
        <v/>
      </c>
      <c r="AK158" s="6">
        <f>IF(OR($BJ158="",36&gt;設定!$B$3),"",IF(INDEX(原始資料!AM$2:AM$501,$BJ158)="","",INDEX(原始資料!AM$2:AM$501,$BJ158)))</f>
        <v/>
      </c>
      <c r="AL158" s="6">
        <f>IF(OR($BJ158="",37&gt;設定!$B$3),"",IF(INDEX(原始資料!AN$2:AN$501,$BJ158)="","",INDEX(原始資料!AN$2:AN$501,$BJ158)))</f>
        <v/>
      </c>
      <c r="AM158" s="6">
        <f>IF(OR($BJ158="",38&gt;設定!$B$3),"",IF(INDEX(原始資料!AO$2:AO$501,$BJ158)="","",INDEX(原始資料!AO$2:AO$501,$BJ158)))</f>
        <v/>
      </c>
      <c r="AN158" s="6">
        <f>IF(OR($BJ158="",39&gt;設定!$B$3),"",IF(INDEX(原始資料!AP$2:AP$501,$BJ158)="","",INDEX(原始資料!AP$2:AP$501,$BJ158)))</f>
        <v/>
      </c>
      <c r="AO158" s="6">
        <f>IF(OR($BJ158="",40&gt;設定!$B$3),"",IF(INDEX(原始資料!AQ$2:AQ$501,$BJ158)="","",INDEX(原始資料!AQ$2:AQ$501,$BJ158)))</f>
        <v/>
      </c>
      <c r="AP158" s="6">
        <f>IF(OR($BJ158="",41&gt;設定!$B$3),"",IF(INDEX(原始資料!AR$2:AR$501,$BJ158)="","",INDEX(原始資料!AR$2:AR$501,$BJ158)))</f>
        <v/>
      </c>
      <c r="AQ158" s="6">
        <f>IF(OR($BJ158="",42&gt;設定!$B$3),"",IF(INDEX(原始資料!AS$2:AS$501,$BJ158)="","",INDEX(原始資料!AS$2:AS$501,$BJ158)))</f>
        <v/>
      </c>
      <c r="AR158" s="6">
        <f>IF(OR($BJ158="",43&gt;設定!$B$3),"",IF(INDEX(原始資料!AT$2:AT$501,$BJ158)="","",INDEX(原始資料!AT$2:AT$501,$BJ158)))</f>
        <v/>
      </c>
      <c r="AS158" s="6">
        <f>IF(OR($BJ158="",44&gt;設定!$B$3),"",IF(INDEX(原始資料!AU$2:AU$501,$BJ158)="","",INDEX(原始資料!AU$2:AU$501,$BJ158)))</f>
        <v/>
      </c>
      <c r="AT158" s="6">
        <f>IF(OR($BJ158="",45&gt;設定!$B$3),"",IF(INDEX(原始資料!AV$2:AV$501,$BJ158)="","",INDEX(原始資料!AV$2:AV$501,$BJ158)))</f>
        <v/>
      </c>
      <c r="AU158" s="6">
        <f>IF(OR($BJ158="",46&gt;設定!$B$3),"",IF(INDEX(原始資料!AW$2:AW$501,$BJ158)="","",INDEX(原始資料!AW$2:AW$501,$BJ158)))</f>
        <v/>
      </c>
      <c r="AV158" s="6">
        <f>IF(OR($BJ158="",47&gt;設定!$B$3),"",IF(INDEX(原始資料!AX$2:AX$501,$BJ158)="","",INDEX(原始資料!AX$2:AX$501,$BJ158)))</f>
        <v/>
      </c>
      <c r="AW158" s="6">
        <f>IF(OR($BJ158="",48&gt;設定!$B$3),"",IF(INDEX(原始資料!AY$2:AY$501,$BJ158)="","",INDEX(原始資料!AY$2:AY$501,$BJ158)))</f>
        <v/>
      </c>
      <c r="AX158" s="6">
        <f>IF(OR($BJ158="",49&gt;設定!$B$3),"",IF(INDEX(原始資料!AZ$2:AZ$501,$BJ158)="","",INDEX(原始資料!AZ$2:AZ$501,$BJ158)))</f>
        <v/>
      </c>
      <c r="AY158" s="6">
        <f>IF(OR($BJ158="",50&gt;設定!$B$3),"",IF(INDEX(原始資料!BA$2:BA$501,$BJ158)="","",INDEX(原始資料!BA$2:BA$501,$BJ158)))</f>
        <v/>
      </c>
      <c r="AZ158" s="6">
        <f>IF(OR($BJ158="",51&gt;設定!$B$3),"",IF(INDEX(原始資料!BB$2:BB$501,$BJ158)="","",INDEX(原始資料!BB$2:BB$501,$BJ158)))</f>
        <v/>
      </c>
      <c r="BA158" s="6">
        <f>IF(OR($BJ158="",52&gt;設定!$B$3),"",IF(INDEX(原始資料!BC$2:BC$501,$BJ158)="","",INDEX(原始資料!BC$2:BC$501,$BJ158)))</f>
        <v/>
      </c>
      <c r="BB158" s="6">
        <f>IF(OR($BJ158="",53&gt;設定!$B$3),"",IF(INDEX(原始資料!BD$2:BD$501,$BJ158)="","",INDEX(原始資料!BD$2:BD$501,$BJ158)))</f>
        <v/>
      </c>
      <c r="BC158" s="6">
        <f>IF(OR($BJ158="",54&gt;設定!$B$3),"",IF(INDEX(原始資料!BE$2:BE$501,$BJ158)="","",INDEX(原始資料!BE$2:BE$501,$BJ158)))</f>
        <v/>
      </c>
      <c r="BD158" s="6">
        <f>IF(OR($BJ158="",55&gt;設定!$B$3),"",IF(INDEX(原始資料!BF$2:BF$501,$BJ158)="","",INDEX(原始資料!BF$2:BF$501,$BJ158)))</f>
        <v/>
      </c>
      <c r="BE158" s="6">
        <f>IF(OR($BJ158="",56&gt;設定!$B$3),"",IF(INDEX(原始資料!BG$2:BG$501,$BJ158)="","",INDEX(原始資料!BG$2:BG$501,$BJ158)))</f>
        <v/>
      </c>
      <c r="BF158" s="6">
        <f>IF(OR($BJ158="",57&gt;設定!$B$3),"",IF(INDEX(原始資料!BH$2:BH$501,$BJ158)="","",INDEX(原始資料!BH$2:BH$501,$BJ158)))</f>
        <v/>
      </c>
      <c r="BG158" s="6">
        <f>IF(OR($BJ158="",58&gt;設定!$B$3),"",IF(INDEX(原始資料!BI$2:BI$501,$BJ158)="","",INDEX(原始資料!BI$2:BI$501,$BJ158)))</f>
        <v/>
      </c>
      <c r="BH158" s="6">
        <f>IF(OR($BJ158="",59&gt;設定!$B$3),"",IF(INDEX(原始資料!BJ$2:BJ$501,$BJ158)="","",INDEX(原始資料!BJ$2:BJ$501,$BJ158)))</f>
        <v/>
      </c>
      <c r="BI158" s="6">
        <f>IF(OR($BJ158="",60&gt;設定!$B$3),"",IF(INDEX(原始資料!BK$2:BK$501,$BJ158)="","",INDEX(原始資料!BK$2:BK$501,$BJ158)))</f>
        <v/>
      </c>
      <c r="BJ158" s="6">
        <f>IFERROR(MATCH(ROW()-1,判定!$H$2:$H$501,0),"")</f>
        <v/>
      </c>
    </row>
    <row r="159">
      <c r="A159" s="6">
        <f>IF($BJ159="","",INDEX(原始資料!$A$2:$A$501,$BJ159))</f>
        <v/>
      </c>
      <c r="B159" s="6">
        <f>IF(OR($BJ159="",1&gt;設定!$B$3),"",IF(INDEX(原始資料!D$2:D$501,$BJ159)="","",INDEX(原始資料!D$2:D$501,$BJ159)))</f>
        <v/>
      </c>
      <c r="C159" s="6">
        <f>IF(OR($BJ159="",2&gt;設定!$B$3),"",IF(INDEX(原始資料!E$2:E$501,$BJ159)="","",INDEX(原始資料!E$2:E$501,$BJ159)))</f>
        <v/>
      </c>
      <c r="D159" s="6">
        <f>IF(OR($BJ159="",3&gt;設定!$B$3),"",IF(INDEX(原始資料!F$2:F$501,$BJ159)="","",INDEX(原始資料!F$2:F$501,$BJ159)))</f>
        <v/>
      </c>
      <c r="E159" s="6">
        <f>IF(OR($BJ159="",4&gt;設定!$B$3),"",IF(INDEX(原始資料!G$2:G$501,$BJ159)="","",INDEX(原始資料!G$2:G$501,$BJ159)))</f>
        <v/>
      </c>
      <c r="F159" s="6">
        <f>IF(OR($BJ159="",5&gt;設定!$B$3),"",IF(INDEX(原始資料!H$2:H$501,$BJ159)="","",INDEX(原始資料!H$2:H$501,$BJ159)))</f>
        <v/>
      </c>
      <c r="G159" s="6">
        <f>IF(OR($BJ159="",6&gt;設定!$B$3),"",IF(INDEX(原始資料!I$2:I$501,$BJ159)="","",INDEX(原始資料!I$2:I$501,$BJ159)))</f>
        <v/>
      </c>
      <c r="H159" s="6">
        <f>IF(OR($BJ159="",7&gt;設定!$B$3),"",IF(INDEX(原始資料!J$2:J$501,$BJ159)="","",INDEX(原始資料!J$2:J$501,$BJ159)))</f>
        <v/>
      </c>
      <c r="I159" s="6">
        <f>IF(OR($BJ159="",8&gt;設定!$B$3),"",IF(INDEX(原始資料!K$2:K$501,$BJ159)="","",INDEX(原始資料!K$2:K$501,$BJ159)))</f>
        <v/>
      </c>
      <c r="J159" s="6">
        <f>IF(OR($BJ159="",9&gt;設定!$B$3),"",IF(INDEX(原始資料!L$2:L$501,$BJ159)="","",INDEX(原始資料!L$2:L$501,$BJ159)))</f>
        <v/>
      </c>
      <c r="K159" s="6">
        <f>IF(OR($BJ159="",10&gt;設定!$B$3),"",IF(INDEX(原始資料!M$2:M$501,$BJ159)="","",INDEX(原始資料!M$2:M$501,$BJ159)))</f>
        <v/>
      </c>
      <c r="L159" s="6">
        <f>IF(OR($BJ159="",11&gt;設定!$B$3),"",IF(INDEX(原始資料!N$2:N$501,$BJ159)="","",INDEX(原始資料!N$2:N$501,$BJ159)))</f>
        <v/>
      </c>
      <c r="M159" s="6">
        <f>IF(OR($BJ159="",12&gt;設定!$B$3),"",IF(INDEX(原始資料!O$2:O$501,$BJ159)="","",INDEX(原始資料!O$2:O$501,$BJ159)))</f>
        <v/>
      </c>
      <c r="N159" s="6">
        <f>IF(OR($BJ159="",13&gt;設定!$B$3),"",IF(INDEX(原始資料!P$2:P$501,$BJ159)="","",INDEX(原始資料!P$2:P$501,$BJ159)))</f>
        <v/>
      </c>
      <c r="O159" s="6">
        <f>IF(OR($BJ159="",14&gt;設定!$B$3),"",IF(INDEX(原始資料!Q$2:Q$501,$BJ159)="","",INDEX(原始資料!Q$2:Q$501,$BJ159)))</f>
        <v/>
      </c>
      <c r="P159" s="6">
        <f>IF(OR($BJ159="",15&gt;設定!$B$3),"",IF(INDEX(原始資料!R$2:R$501,$BJ159)="","",INDEX(原始資料!R$2:R$501,$BJ159)))</f>
        <v/>
      </c>
      <c r="Q159" s="6">
        <f>IF(OR($BJ159="",16&gt;設定!$B$3),"",IF(INDEX(原始資料!S$2:S$501,$BJ159)="","",INDEX(原始資料!S$2:S$501,$BJ159)))</f>
        <v/>
      </c>
      <c r="R159" s="6">
        <f>IF(OR($BJ159="",17&gt;設定!$B$3),"",IF(INDEX(原始資料!T$2:T$501,$BJ159)="","",INDEX(原始資料!T$2:T$501,$BJ159)))</f>
        <v/>
      </c>
      <c r="S159" s="6">
        <f>IF(OR($BJ159="",18&gt;設定!$B$3),"",IF(INDEX(原始資料!U$2:U$501,$BJ159)="","",INDEX(原始資料!U$2:U$501,$BJ159)))</f>
        <v/>
      </c>
      <c r="T159" s="6">
        <f>IF(OR($BJ159="",19&gt;設定!$B$3),"",IF(INDEX(原始資料!V$2:V$501,$BJ159)="","",INDEX(原始資料!V$2:V$501,$BJ159)))</f>
        <v/>
      </c>
      <c r="U159" s="6">
        <f>IF(OR($BJ159="",20&gt;設定!$B$3),"",IF(INDEX(原始資料!W$2:W$501,$BJ159)="","",INDEX(原始資料!W$2:W$501,$BJ159)))</f>
        <v/>
      </c>
      <c r="V159" s="6">
        <f>IF(OR($BJ159="",21&gt;設定!$B$3),"",IF(INDEX(原始資料!X$2:X$501,$BJ159)="","",INDEX(原始資料!X$2:X$501,$BJ159)))</f>
        <v/>
      </c>
      <c r="W159" s="6">
        <f>IF(OR($BJ159="",22&gt;設定!$B$3),"",IF(INDEX(原始資料!Y$2:Y$501,$BJ159)="","",INDEX(原始資料!Y$2:Y$501,$BJ159)))</f>
        <v/>
      </c>
      <c r="X159" s="6">
        <f>IF(OR($BJ159="",23&gt;設定!$B$3),"",IF(INDEX(原始資料!Z$2:Z$501,$BJ159)="","",INDEX(原始資料!Z$2:Z$501,$BJ159)))</f>
        <v/>
      </c>
      <c r="Y159" s="6">
        <f>IF(OR($BJ159="",24&gt;設定!$B$3),"",IF(INDEX(原始資料!AA$2:AA$501,$BJ159)="","",INDEX(原始資料!AA$2:AA$501,$BJ159)))</f>
        <v/>
      </c>
      <c r="Z159" s="6">
        <f>IF(OR($BJ159="",25&gt;設定!$B$3),"",IF(INDEX(原始資料!AB$2:AB$501,$BJ159)="","",INDEX(原始資料!AB$2:AB$501,$BJ159)))</f>
        <v/>
      </c>
      <c r="AA159" s="6">
        <f>IF(OR($BJ159="",26&gt;設定!$B$3),"",IF(INDEX(原始資料!AC$2:AC$501,$BJ159)="","",INDEX(原始資料!AC$2:AC$501,$BJ159)))</f>
        <v/>
      </c>
      <c r="AB159" s="6">
        <f>IF(OR($BJ159="",27&gt;設定!$B$3),"",IF(INDEX(原始資料!AD$2:AD$501,$BJ159)="","",INDEX(原始資料!AD$2:AD$501,$BJ159)))</f>
        <v/>
      </c>
      <c r="AC159" s="6">
        <f>IF(OR($BJ159="",28&gt;設定!$B$3),"",IF(INDEX(原始資料!AE$2:AE$501,$BJ159)="","",INDEX(原始資料!AE$2:AE$501,$BJ159)))</f>
        <v/>
      </c>
      <c r="AD159" s="6">
        <f>IF(OR($BJ159="",29&gt;設定!$B$3),"",IF(INDEX(原始資料!AF$2:AF$501,$BJ159)="","",INDEX(原始資料!AF$2:AF$501,$BJ159)))</f>
        <v/>
      </c>
      <c r="AE159" s="6">
        <f>IF(OR($BJ159="",30&gt;設定!$B$3),"",IF(INDEX(原始資料!AG$2:AG$501,$BJ159)="","",INDEX(原始資料!AG$2:AG$501,$BJ159)))</f>
        <v/>
      </c>
      <c r="AF159" s="6">
        <f>IF(OR($BJ159="",31&gt;設定!$B$3),"",IF(INDEX(原始資料!AH$2:AH$501,$BJ159)="","",INDEX(原始資料!AH$2:AH$501,$BJ159)))</f>
        <v/>
      </c>
      <c r="AG159" s="6">
        <f>IF(OR($BJ159="",32&gt;設定!$B$3),"",IF(INDEX(原始資料!AI$2:AI$501,$BJ159)="","",INDEX(原始資料!AI$2:AI$501,$BJ159)))</f>
        <v/>
      </c>
      <c r="AH159" s="6">
        <f>IF(OR($BJ159="",33&gt;設定!$B$3),"",IF(INDEX(原始資料!AJ$2:AJ$501,$BJ159)="","",INDEX(原始資料!AJ$2:AJ$501,$BJ159)))</f>
        <v/>
      </c>
      <c r="AI159" s="6">
        <f>IF(OR($BJ159="",34&gt;設定!$B$3),"",IF(INDEX(原始資料!AK$2:AK$501,$BJ159)="","",INDEX(原始資料!AK$2:AK$501,$BJ159)))</f>
        <v/>
      </c>
      <c r="AJ159" s="6">
        <f>IF(OR($BJ159="",35&gt;設定!$B$3),"",IF(INDEX(原始資料!AL$2:AL$501,$BJ159)="","",INDEX(原始資料!AL$2:AL$501,$BJ159)))</f>
        <v/>
      </c>
      <c r="AK159" s="6">
        <f>IF(OR($BJ159="",36&gt;設定!$B$3),"",IF(INDEX(原始資料!AM$2:AM$501,$BJ159)="","",INDEX(原始資料!AM$2:AM$501,$BJ159)))</f>
        <v/>
      </c>
      <c r="AL159" s="6">
        <f>IF(OR($BJ159="",37&gt;設定!$B$3),"",IF(INDEX(原始資料!AN$2:AN$501,$BJ159)="","",INDEX(原始資料!AN$2:AN$501,$BJ159)))</f>
        <v/>
      </c>
      <c r="AM159" s="6">
        <f>IF(OR($BJ159="",38&gt;設定!$B$3),"",IF(INDEX(原始資料!AO$2:AO$501,$BJ159)="","",INDEX(原始資料!AO$2:AO$501,$BJ159)))</f>
        <v/>
      </c>
      <c r="AN159" s="6">
        <f>IF(OR($BJ159="",39&gt;設定!$B$3),"",IF(INDEX(原始資料!AP$2:AP$501,$BJ159)="","",INDEX(原始資料!AP$2:AP$501,$BJ159)))</f>
        <v/>
      </c>
      <c r="AO159" s="6">
        <f>IF(OR($BJ159="",40&gt;設定!$B$3),"",IF(INDEX(原始資料!AQ$2:AQ$501,$BJ159)="","",INDEX(原始資料!AQ$2:AQ$501,$BJ159)))</f>
        <v/>
      </c>
      <c r="AP159" s="6">
        <f>IF(OR($BJ159="",41&gt;設定!$B$3),"",IF(INDEX(原始資料!AR$2:AR$501,$BJ159)="","",INDEX(原始資料!AR$2:AR$501,$BJ159)))</f>
        <v/>
      </c>
      <c r="AQ159" s="6">
        <f>IF(OR($BJ159="",42&gt;設定!$B$3),"",IF(INDEX(原始資料!AS$2:AS$501,$BJ159)="","",INDEX(原始資料!AS$2:AS$501,$BJ159)))</f>
        <v/>
      </c>
      <c r="AR159" s="6">
        <f>IF(OR($BJ159="",43&gt;設定!$B$3),"",IF(INDEX(原始資料!AT$2:AT$501,$BJ159)="","",INDEX(原始資料!AT$2:AT$501,$BJ159)))</f>
        <v/>
      </c>
      <c r="AS159" s="6">
        <f>IF(OR($BJ159="",44&gt;設定!$B$3),"",IF(INDEX(原始資料!AU$2:AU$501,$BJ159)="","",INDEX(原始資料!AU$2:AU$501,$BJ159)))</f>
        <v/>
      </c>
      <c r="AT159" s="6">
        <f>IF(OR($BJ159="",45&gt;設定!$B$3),"",IF(INDEX(原始資料!AV$2:AV$501,$BJ159)="","",INDEX(原始資料!AV$2:AV$501,$BJ159)))</f>
        <v/>
      </c>
      <c r="AU159" s="6">
        <f>IF(OR($BJ159="",46&gt;設定!$B$3),"",IF(INDEX(原始資料!AW$2:AW$501,$BJ159)="","",INDEX(原始資料!AW$2:AW$501,$BJ159)))</f>
        <v/>
      </c>
      <c r="AV159" s="6">
        <f>IF(OR($BJ159="",47&gt;設定!$B$3),"",IF(INDEX(原始資料!AX$2:AX$501,$BJ159)="","",INDEX(原始資料!AX$2:AX$501,$BJ159)))</f>
        <v/>
      </c>
      <c r="AW159" s="6">
        <f>IF(OR($BJ159="",48&gt;設定!$B$3),"",IF(INDEX(原始資料!AY$2:AY$501,$BJ159)="","",INDEX(原始資料!AY$2:AY$501,$BJ159)))</f>
        <v/>
      </c>
      <c r="AX159" s="6">
        <f>IF(OR($BJ159="",49&gt;設定!$B$3),"",IF(INDEX(原始資料!AZ$2:AZ$501,$BJ159)="","",INDEX(原始資料!AZ$2:AZ$501,$BJ159)))</f>
        <v/>
      </c>
      <c r="AY159" s="6">
        <f>IF(OR($BJ159="",50&gt;設定!$B$3),"",IF(INDEX(原始資料!BA$2:BA$501,$BJ159)="","",INDEX(原始資料!BA$2:BA$501,$BJ159)))</f>
        <v/>
      </c>
      <c r="AZ159" s="6">
        <f>IF(OR($BJ159="",51&gt;設定!$B$3),"",IF(INDEX(原始資料!BB$2:BB$501,$BJ159)="","",INDEX(原始資料!BB$2:BB$501,$BJ159)))</f>
        <v/>
      </c>
      <c r="BA159" s="6">
        <f>IF(OR($BJ159="",52&gt;設定!$B$3),"",IF(INDEX(原始資料!BC$2:BC$501,$BJ159)="","",INDEX(原始資料!BC$2:BC$501,$BJ159)))</f>
        <v/>
      </c>
      <c r="BB159" s="6">
        <f>IF(OR($BJ159="",53&gt;設定!$B$3),"",IF(INDEX(原始資料!BD$2:BD$501,$BJ159)="","",INDEX(原始資料!BD$2:BD$501,$BJ159)))</f>
        <v/>
      </c>
      <c r="BC159" s="6">
        <f>IF(OR($BJ159="",54&gt;設定!$B$3),"",IF(INDEX(原始資料!BE$2:BE$501,$BJ159)="","",INDEX(原始資料!BE$2:BE$501,$BJ159)))</f>
        <v/>
      </c>
      <c r="BD159" s="6">
        <f>IF(OR($BJ159="",55&gt;設定!$B$3),"",IF(INDEX(原始資料!BF$2:BF$501,$BJ159)="","",INDEX(原始資料!BF$2:BF$501,$BJ159)))</f>
        <v/>
      </c>
      <c r="BE159" s="6">
        <f>IF(OR($BJ159="",56&gt;設定!$B$3),"",IF(INDEX(原始資料!BG$2:BG$501,$BJ159)="","",INDEX(原始資料!BG$2:BG$501,$BJ159)))</f>
        <v/>
      </c>
      <c r="BF159" s="6">
        <f>IF(OR($BJ159="",57&gt;設定!$B$3),"",IF(INDEX(原始資料!BH$2:BH$501,$BJ159)="","",INDEX(原始資料!BH$2:BH$501,$BJ159)))</f>
        <v/>
      </c>
      <c r="BG159" s="6">
        <f>IF(OR($BJ159="",58&gt;設定!$B$3),"",IF(INDEX(原始資料!BI$2:BI$501,$BJ159)="","",INDEX(原始資料!BI$2:BI$501,$BJ159)))</f>
        <v/>
      </c>
      <c r="BH159" s="6">
        <f>IF(OR($BJ159="",59&gt;設定!$B$3),"",IF(INDEX(原始資料!BJ$2:BJ$501,$BJ159)="","",INDEX(原始資料!BJ$2:BJ$501,$BJ159)))</f>
        <v/>
      </c>
      <c r="BI159" s="6">
        <f>IF(OR($BJ159="",60&gt;設定!$B$3),"",IF(INDEX(原始資料!BK$2:BK$501,$BJ159)="","",INDEX(原始資料!BK$2:BK$501,$BJ159)))</f>
        <v/>
      </c>
      <c r="BJ159" s="6">
        <f>IFERROR(MATCH(ROW()-1,判定!$H$2:$H$501,0),"")</f>
        <v/>
      </c>
    </row>
    <row r="160">
      <c r="A160" s="6">
        <f>IF($BJ160="","",INDEX(原始資料!$A$2:$A$501,$BJ160))</f>
        <v/>
      </c>
      <c r="B160" s="6">
        <f>IF(OR($BJ160="",1&gt;設定!$B$3),"",IF(INDEX(原始資料!D$2:D$501,$BJ160)="","",INDEX(原始資料!D$2:D$501,$BJ160)))</f>
        <v/>
      </c>
      <c r="C160" s="6">
        <f>IF(OR($BJ160="",2&gt;設定!$B$3),"",IF(INDEX(原始資料!E$2:E$501,$BJ160)="","",INDEX(原始資料!E$2:E$501,$BJ160)))</f>
        <v/>
      </c>
      <c r="D160" s="6">
        <f>IF(OR($BJ160="",3&gt;設定!$B$3),"",IF(INDEX(原始資料!F$2:F$501,$BJ160)="","",INDEX(原始資料!F$2:F$501,$BJ160)))</f>
        <v/>
      </c>
      <c r="E160" s="6">
        <f>IF(OR($BJ160="",4&gt;設定!$B$3),"",IF(INDEX(原始資料!G$2:G$501,$BJ160)="","",INDEX(原始資料!G$2:G$501,$BJ160)))</f>
        <v/>
      </c>
      <c r="F160" s="6">
        <f>IF(OR($BJ160="",5&gt;設定!$B$3),"",IF(INDEX(原始資料!H$2:H$501,$BJ160)="","",INDEX(原始資料!H$2:H$501,$BJ160)))</f>
        <v/>
      </c>
      <c r="G160" s="6">
        <f>IF(OR($BJ160="",6&gt;設定!$B$3),"",IF(INDEX(原始資料!I$2:I$501,$BJ160)="","",INDEX(原始資料!I$2:I$501,$BJ160)))</f>
        <v/>
      </c>
      <c r="H160" s="6">
        <f>IF(OR($BJ160="",7&gt;設定!$B$3),"",IF(INDEX(原始資料!J$2:J$501,$BJ160)="","",INDEX(原始資料!J$2:J$501,$BJ160)))</f>
        <v/>
      </c>
      <c r="I160" s="6">
        <f>IF(OR($BJ160="",8&gt;設定!$B$3),"",IF(INDEX(原始資料!K$2:K$501,$BJ160)="","",INDEX(原始資料!K$2:K$501,$BJ160)))</f>
        <v/>
      </c>
      <c r="J160" s="6">
        <f>IF(OR($BJ160="",9&gt;設定!$B$3),"",IF(INDEX(原始資料!L$2:L$501,$BJ160)="","",INDEX(原始資料!L$2:L$501,$BJ160)))</f>
        <v/>
      </c>
      <c r="K160" s="6">
        <f>IF(OR($BJ160="",10&gt;設定!$B$3),"",IF(INDEX(原始資料!M$2:M$501,$BJ160)="","",INDEX(原始資料!M$2:M$501,$BJ160)))</f>
        <v/>
      </c>
      <c r="L160" s="6">
        <f>IF(OR($BJ160="",11&gt;設定!$B$3),"",IF(INDEX(原始資料!N$2:N$501,$BJ160)="","",INDEX(原始資料!N$2:N$501,$BJ160)))</f>
        <v/>
      </c>
      <c r="M160" s="6">
        <f>IF(OR($BJ160="",12&gt;設定!$B$3),"",IF(INDEX(原始資料!O$2:O$501,$BJ160)="","",INDEX(原始資料!O$2:O$501,$BJ160)))</f>
        <v/>
      </c>
      <c r="N160" s="6">
        <f>IF(OR($BJ160="",13&gt;設定!$B$3),"",IF(INDEX(原始資料!P$2:P$501,$BJ160)="","",INDEX(原始資料!P$2:P$501,$BJ160)))</f>
        <v/>
      </c>
      <c r="O160" s="6">
        <f>IF(OR($BJ160="",14&gt;設定!$B$3),"",IF(INDEX(原始資料!Q$2:Q$501,$BJ160)="","",INDEX(原始資料!Q$2:Q$501,$BJ160)))</f>
        <v/>
      </c>
      <c r="P160" s="6">
        <f>IF(OR($BJ160="",15&gt;設定!$B$3),"",IF(INDEX(原始資料!R$2:R$501,$BJ160)="","",INDEX(原始資料!R$2:R$501,$BJ160)))</f>
        <v/>
      </c>
      <c r="Q160" s="6">
        <f>IF(OR($BJ160="",16&gt;設定!$B$3),"",IF(INDEX(原始資料!S$2:S$501,$BJ160)="","",INDEX(原始資料!S$2:S$501,$BJ160)))</f>
        <v/>
      </c>
      <c r="R160" s="6">
        <f>IF(OR($BJ160="",17&gt;設定!$B$3),"",IF(INDEX(原始資料!T$2:T$501,$BJ160)="","",INDEX(原始資料!T$2:T$501,$BJ160)))</f>
        <v/>
      </c>
      <c r="S160" s="6">
        <f>IF(OR($BJ160="",18&gt;設定!$B$3),"",IF(INDEX(原始資料!U$2:U$501,$BJ160)="","",INDEX(原始資料!U$2:U$501,$BJ160)))</f>
        <v/>
      </c>
      <c r="T160" s="6">
        <f>IF(OR($BJ160="",19&gt;設定!$B$3),"",IF(INDEX(原始資料!V$2:V$501,$BJ160)="","",INDEX(原始資料!V$2:V$501,$BJ160)))</f>
        <v/>
      </c>
      <c r="U160" s="6">
        <f>IF(OR($BJ160="",20&gt;設定!$B$3),"",IF(INDEX(原始資料!W$2:W$501,$BJ160)="","",INDEX(原始資料!W$2:W$501,$BJ160)))</f>
        <v/>
      </c>
      <c r="V160" s="6">
        <f>IF(OR($BJ160="",21&gt;設定!$B$3),"",IF(INDEX(原始資料!X$2:X$501,$BJ160)="","",INDEX(原始資料!X$2:X$501,$BJ160)))</f>
        <v/>
      </c>
      <c r="W160" s="6">
        <f>IF(OR($BJ160="",22&gt;設定!$B$3),"",IF(INDEX(原始資料!Y$2:Y$501,$BJ160)="","",INDEX(原始資料!Y$2:Y$501,$BJ160)))</f>
        <v/>
      </c>
      <c r="X160" s="6">
        <f>IF(OR($BJ160="",23&gt;設定!$B$3),"",IF(INDEX(原始資料!Z$2:Z$501,$BJ160)="","",INDEX(原始資料!Z$2:Z$501,$BJ160)))</f>
        <v/>
      </c>
      <c r="Y160" s="6">
        <f>IF(OR($BJ160="",24&gt;設定!$B$3),"",IF(INDEX(原始資料!AA$2:AA$501,$BJ160)="","",INDEX(原始資料!AA$2:AA$501,$BJ160)))</f>
        <v/>
      </c>
      <c r="Z160" s="6">
        <f>IF(OR($BJ160="",25&gt;設定!$B$3),"",IF(INDEX(原始資料!AB$2:AB$501,$BJ160)="","",INDEX(原始資料!AB$2:AB$501,$BJ160)))</f>
        <v/>
      </c>
      <c r="AA160" s="6">
        <f>IF(OR($BJ160="",26&gt;設定!$B$3),"",IF(INDEX(原始資料!AC$2:AC$501,$BJ160)="","",INDEX(原始資料!AC$2:AC$501,$BJ160)))</f>
        <v/>
      </c>
      <c r="AB160" s="6">
        <f>IF(OR($BJ160="",27&gt;設定!$B$3),"",IF(INDEX(原始資料!AD$2:AD$501,$BJ160)="","",INDEX(原始資料!AD$2:AD$501,$BJ160)))</f>
        <v/>
      </c>
      <c r="AC160" s="6">
        <f>IF(OR($BJ160="",28&gt;設定!$B$3),"",IF(INDEX(原始資料!AE$2:AE$501,$BJ160)="","",INDEX(原始資料!AE$2:AE$501,$BJ160)))</f>
        <v/>
      </c>
      <c r="AD160" s="6">
        <f>IF(OR($BJ160="",29&gt;設定!$B$3),"",IF(INDEX(原始資料!AF$2:AF$501,$BJ160)="","",INDEX(原始資料!AF$2:AF$501,$BJ160)))</f>
        <v/>
      </c>
      <c r="AE160" s="6">
        <f>IF(OR($BJ160="",30&gt;設定!$B$3),"",IF(INDEX(原始資料!AG$2:AG$501,$BJ160)="","",INDEX(原始資料!AG$2:AG$501,$BJ160)))</f>
        <v/>
      </c>
      <c r="AF160" s="6">
        <f>IF(OR($BJ160="",31&gt;設定!$B$3),"",IF(INDEX(原始資料!AH$2:AH$501,$BJ160)="","",INDEX(原始資料!AH$2:AH$501,$BJ160)))</f>
        <v/>
      </c>
      <c r="AG160" s="6">
        <f>IF(OR($BJ160="",32&gt;設定!$B$3),"",IF(INDEX(原始資料!AI$2:AI$501,$BJ160)="","",INDEX(原始資料!AI$2:AI$501,$BJ160)))</f>
        <v/>
      </c>
      <c r="AH160" s="6">
        <f>IF(OR($BJ160="",33&gt;設定!$B$3),"",IF(INDEX(原始資料!AJ$2:AJ$501,$BJ160)="","",INDEX(原始資料!AJ$2:AJ$501,$BJ160)))</f>
        <v/>
      </c>
      <c r="AI160" s="6">
        <f>IF(OR($BJ160="",34&gt;設定!$B$3),"",IF(INDEX(原始資料!AK$2:AK$501,$BJ160)="","",INDEX(原始資料!AK$2:AK$501,$BJ160)))</f>
        <v/>
      </c>
      <c r="AJ160" s="6">
        <f>IF(OR($BJ160="",35&gt;設定!$B$3),"",IF(INDEX(原始資料!AL$2:AL$501,$BJ160)="","",INDEX(原始資料!AL$2:AL$501,$BJ160)))</f>
        <v/>
      </c>
      <c r="AK160" s="6">
        <f>IF(OR($BJ160="",36&gt;設定!$B$3),"",IF(INDEX(原始資料!AM$2:AM$501,$BJ160)="","",INDEX(原始資料!AM$2:AM$501,$BJ160)))</f>
        <v/>
      </c>
      <c r="AL160" s="6">
        <f>IF(OR($BJ160="",37&gt;設定!$B$3),"",IF(INDEX(原始資料!AN$2:AN$501,$BJ160)="","",INDEX(原始資料!AN$2:AN$501,$BJ160)))</f>
        <v/>
      </c>
      <c r="AM160" s="6">
        <f>IF(OR($BJ160="",38&gt;設定!$B$3),"",IF(INDEX(原始資料!AO$2:AO$501,$BJ160)="","",INDEX(原始資料!AO$2:AO$501,$BJ160)))</f>
        <v/>
      </c>
      <c r="AN160" s="6">
        <f>IF(OR($BJ160="",39&gt;設定!$B$3),"",IF(INDEX(原始資料!AP$2:AP$501,$BJ160)="","",INDEX(原始資料!AP$2:AP$501,$BJ160)))</f>
        <v/>
      </c>
      <c r="AO160" s="6">
        <f>IF(OR($BJ160="",40&gt;設定!$B$3),"",IF(INDEX(原始資料!AQ$2:AQ$501,$BJ160)="","",INDEX(原始資料!AQ$2:AQ$501,$BJ160)))</f>
        <v/>
      </c>
      <c r="AP160" s="6">
        <f>IF(OR($BJ160="",41&gt;設定!$B$3),"",IF(INDEX(原始資料!AR$2:AR$501,$BJ160)="","",INDEX(原始資料!AR$2:AR$501,$BJ160)))</f>
        <v/>
      </c>
      <c r="AQ160" s="6">
        <f>IF(OR($BJ160="",42&gt;設定!$B$3),"",IF(INDEX(原始資料!AS$2:AS$501,$BJ160)="","",INDEX(原始資料!AS$2:AS$501,$BJ160)))</f>
        <v/>
      </c>
      <c r="AR160" s="6">
        <f>IF(OR($BJ160="",43&gt;設定!$B$3),"",IF(INDEX(原始資料!AT$2:AT$501,$BJ160)="","",INDEX(原始資料!AT$2:AT$501,$BJ160)))</f>
        <v/>
      </c>
      <c r="AS160" s="6">
        <f>IF(OR($BJ160="",44&gt;設定!$B$3),"",IF(INDEX(原始資料!AU$2:AU$501,$BJ160)="","",INDEX(原始資料!AU$2:AU$501,$BJ160)))</f>
        <v/>
      </c>
      <c r="AT160" s="6">
        <f>IF(OR($BJ160="",45&gt;設定!$B$3),"",IF(INDEX(原始資料!AV$2:AV$501,$BJ160)="","",INDEX(原始資料!AV$2:AV$501,$BJ160)))</f>
        <v/>
      </c>
      <c r="AU160" s="6">
        <f>IF(OR($BJ160="",46&gt;設定!$B$3),"",IF(INDEX(原始資料!AW$2:AW$501,$BJ160)="","",INDEX(原始資料!AW$2:AW$501,$BJ160)))</f>
        <v/>
      </c>
      <c r="AV160" s="6">
        <f>IF(OR($BJ160="",47&gt;設定!$B$3),"",IF(INDEX(原始資料!AX$2:AX$501,$BJ160)="","",INDEX(原始資料!AX$2:AX$501,$BJ160)))</f>
        <v/>
      </c>
      <c r="AW160" s="6">
        <f>IF(OR($BJ160="",48&gt;設定!$B$3),"",IF(INDEX(原始資料!AY$2:AY$501,$BJ160)="","",INDEX(原始資料!AY$2:AY$501,$BJ160)))</f>
        <v/>
      </c>
      <c r="AX160" s="6">
        <f>IF(OR($BJ160="",49&gt;設定!$B$3),"",IF(INDEX(原始資料!AZ$2:AZ$501,$BJ160)="","",INDEX(原始資料!AZ$2:AZ$501,$BJ160)))</f>
        <v/>
      </c>
      <c r="AY160" s="6">
        <f>IF(OR($BJ160="",50&gt;設定!$B$3),"",IF(INDEX(原始資料!BA$2:BA$501,$BJ160)="","",INDEX(原始資料!BA$2:BA$501,$BJ160)))</f>
        <v/>
      </c>
      <c r="AZ160" s="6">
        <f>IF(OR($BJ160="",51&gt;設定!$B$3),"",IF(INDEX(原始資料!BB$2:BB$501,$BJ160)="","",INDEX(原始資料!BB$2:BB$501,$BJ160)))</f>
        <v/>
      </c>
      <c r="BA160" s="6">
        <f>IF(OR($BJ160="",52&gt;設定!$B$3),"",IF(INDEX(原始資料!BC$2:BC$501,$BJ160)="","",INDEX(原始資料!BC$2:BC$501,$BJ160)))</f>
        <v/>
      </c>
      <c r="BB160" s="6">
        <f>IF(OR($BJ160="",53&gt;設定!$B$3),"",IF(INDEX(原始資料!BD$2:BD$501,$BJ160)="","",INDEX(原始資料!BD$2:BD$501,$BJ160)))</f>
        <v/>
      </c>
      <c r="BC160" s="6">
        <f>IF(OR($BJ160="",54&gt;設定!$B$3),"",IF(INDEX(原始資料!BE$2:BE$501,$BJ160)="","",INDEX(原始資料!BE$2:BE$501,$BJ160)))</f>
        <v/>
      </c>
      <c r="BD160" s="6">
        <f>IF(OR($BJ160="",55&gt;設定!$B$3),"",IF(INDEX(原始資料!BF$2:BF$501,$BJ160)="","",INDEX(原始資料!BF$2:BF$501,$BJ160)))</f>
        <v/>
      </c>
      <c r="BE160" s="6">
        <f>IF(OR($BJ160="",56&gt;設定!$B$3),"",IF(INDEX(原始資料!BG$2:BG$501,$BJ160)="","",INDEX(原始資料!BG$2:BG$501,$BJ160)))</f>
        <v/>
      </c>
      <c r="BF160" s="6">
        <f>IF(OR($BJ160="",57&gt;設定!$B$3),"",IF(INDEX(原始資料!BH$2:BH$501,$BJ160)="","",INDEX(原始資料!BH$2:BH$501,$BJ160)))</f>
        <v/>
      </c>
      <c r="BG160" s="6">
        <f>IF(OR($BJ160="",58&gt;設定!$B$3),"",IF(INDEX(原始資料!BI$2:BI$501,$BJ160)="","",INDEX(原始資料!BI$2:BI$501,$BJ160)))</f>
        <v/>
      </c>
      <c r="BH160" s="6">
        <f>IF(OR($BJ160="",59&gt;設定!$B$3),"",IF(INDEX(原始資料!BJ$2:BJ$501,$BJ160)="","",INDEX(原始資料!BJ$2:BJ$501,$BJ160)))</f>
        <v/>
      </c>
      <c r="BI160" s="6">
        <f>IF(OR($BJ160="",60&gt;設定!$B$3),"",IF(INDEX(原始資料!BK$2:BK$501,$BJ160)="","",INDEX(原始資料!BK$2:BK$501,$BJ160)))</f>
        <v/>
      </c>
      <c r="BJ160" s="6">
        <f>IFERROR(MATCH(ROW()-1,判定!$H$2:$H$501,0),"")</f>
        <v/>
      </c>
    </row>
    <row r="161">
      <c r="A161" s="6">
        <f>IF($BJ161="","",INDEX(原始資料!$A$2:$A$501,$BJ161))</f>
        <v/>
      </c>
      <c r="B161" s="6">
        <f>IF(OR($BJ161="",1&gt;設定!$B$3),"",IF(INDEX(原始資料!D$2:D$501,$BJ161)="","",INDEX(原始資料!D$2:D$501,$BJ161)))</f>
        <v/>
      </c>
      <c r="C161" s="6">
        <f>IF(OR($BJ161="",2&gt;設定!$B$3),"",IF(INDEX(原始資料!E$2:E$501,$BJ161)="","",INDEX(原始資料!E$2:E$501,$BJ161)))</f>
        <v/>
      </c>
      <c r="D161" s="6">
        <f>IF(OR($BJ161="",3&gt;設定!$B$3),"",IF(INDEX(原始資料!F$2:F$501,$BJ161)="","",INDEX(原始資料!F$2:F$501,$BJ161)))</f>
        <v/>
      </c>
      <c r="E161" s="6">
        <f>IF(OR($BJ161="",4&gt;設定!$B$3),"",IF(INDEX(原始資料!G$2:G$501,$BJ161)="","",INDEX(原始資料!G$2:G$501,$BJ161)))</f>
        <v/>
      </c>
      <c r="F161" s="6">
        <f>IF(OR($BJ161="",5&gt;設定!$B$3),"",IF(INDEX(原始資料!H$2:H$501,$BJ161)="","",INDEX(原始資料!H$2:H$501,$BJ161)))</f>
        <v/>
      </c>
      <c r="G161" s="6">
        <f>IF(OR($BJ161="",6&gt;設定!$B$3),"",IF(INDEX(原始資料!I$2:I$501,$BJ161)="","",INDEX(原始資料!I$2:I$501,$BJ161)))</f>
        <v/>
      </c>
      <c r="H161" s="6">
        <f>IF(OR($BJ161="",7&gt;設定!$B$3),"",IF(INDEX(原始資料!J$2:J$501,$BJ161)="","",INDEX(原始資料!J$2:J$501,$BJ161)))</f>
        <v/>
      </c>
      <c r="I161" s="6">
        <f>IF(OR($BJ161="",8&gt;設定!$B$3),"",IF(INDEX(原始資料!K$2:K$501,$BJ161)="","",INDEX(原始資料!K$2:K$501,$BJ161)))</f>
        <v/>
      </c>
      <c r="J161" s="6">
        <f>IF(OR($BJ161="",9&gt;設定!$B$3),"",IF(INDEX(原始資料!L$2:L$501,$BJ161)="","",INDEX(原始資料!L$2:L$501,$BJ161)))</f>
        <v/>
      </c>
      <c r="K161" s="6">
        <f>IF(OR($BJ161="",10&gt;設定!$B$3),"",IF(INDEX(原始資料!M$2:M$501,$BJ161)="","",INDEX(原始資料!M$2:M$501,$BJ161)))</f>
        <v/>
      </c>
      <c r="L161" s="6">
        <f>IF(OR($BJ161="",11&gt;設定!$B$3),"",IF(INDEX(原始資料!N$2:N$501,$BJ161)="","",INDEX(原始資料!N$2:N$501,$BJ161)))</f>
        <v/>
      </c>
      <c r="M161" s="6">
        <f>IF(OR($BJ161="",12&gt;設定!$B$3),"",IF(INDEX(原始資料!O$2:O$501,$BJ161)="","",INDEX(原始資料!O$2:O$501,$BJ161)))</f>
        <v/>
      </c>
      <c r="N161" s="6">
        <f>IF(OR($BJ161="",13&gt;設定!$B$3),"",IF(INDEX(原始資料!P$2:P$501,$BJ161)="","",INDEX(原始資料!P$2:P$501,$BJ161)))</f>
        <v/>
      </c>
      <c r="O161" s="6">
        <f>IF(OR($BJ161="",14&gt;設定!$B$3),"",IF(INDEX(原始資料!Q$2:Q$501,$BJ161)="","",INDEX(原始資料!Q$2:Q$501,$BJ161)))</f>
        <v/>
      </c>
      <c r="P161" s="6">
        <f>IF(OR($BJ161="",15&gt;設定!$B$3),"",IF(INDEX(原始資料!R$2:R$501,$BJ161)="","",INDEX(原始資料!R$2:R$501,$BJ161)))</f>
        <v/>
      </c>
      <c r="Q161" s="6">
        <f>IF(OR($BJ161="",16&gt;設定!$B$3),"",IF(INDEX(原始資料!S$2:S$501,$BJ161)="","",INDEX(原始資料!S$2:S$501,$BJ161)))</f>
        <v/>
      </c>
      <c r="R161" s="6">
        <f>IF(OR($BJ161="",17&gt;設定!$B$3),"",IF(INDEX(原始資料!T$2:T$501,$BJ161)="","",INDEX(原始資料!T$2:T$501,$BJ161)))</f>
        <v/>
      </c>
      <c r="S161" s="6">
        <f>IF(OR($BJ161="",18&gt;設定!$B$3),"",IF(INDEX(原始資料!U$2:U$501,$BJ161)="","",INDEX(原始資料!U$2:U$501,$BJ161)))</f>
        <v/>
      </c>
      <c r="T161" s="6">
        <f>IF(OR($BJ161="",19&gt;設定!$B$3),"",IF(INDEX(原始資料!V$2:V$501,$BJ161)="","",INDEX(原始資料!V$2:V$501,$BJ161)))</f>
        <v/>
      </c>
      <c r="U161" s="6">
        <f>IF(OR($BJ161="",20&gt;設定!$B$3),"",IF(INDEX(原始資料!W$2:W$501,$BJ161)="","",INDEX(原始資料!W$2:W$501,$BJ161)))</f>
        <v/>
      </c>
      <c r="V161" s="6">
        <f>IF(OR($BJ161="",21&gt;設定!$B$3),"",IF(INDEX(原始資料!X$2:X$501,$BJ161)="","",INDEX(原始資料!X$2:X$501,$BJ161)))</f>
        <v/>
      </c>
      <c r="W161" s="6">
        <f>IF(OR($BJ161="",22&gt;設定!$B$3),"",IF(INDEX(原始資料!Y$2:Y$501,$BJ161)="","",INDEX(原始資料!Y$2:Y$501,$BJ161)))</f>
        <v/>
      </c>
      <c r="X161" s="6">
        <f>IF(OR($BJ161="",23&gt;設定!$B$3),"",IF(INDEX(原始資料!Z$2:Z$501,$BJ161)="","",INDEX(原始資料!Z$2:Z$501,$BJ161)))</f>
        <v/>
      </c>
      <c r="Y161" s="6">
        <f>IF(OR($BJ161="",24&gt;設定!$B$3),"",IF(INDEX(原始資料!AA$2:AA$501,$BJ161)="","",INDEX(原始資料!AA$2:AA$501,$BJ161)))</f>
        <v/>
      </c>
      <c r="Z161" s="6">
        <f>IF(OR($BJ161="",25&gt;設定!$B$3),"",IF(INDEX(原始資料!AB$2:AB$501,$BJ161)="","",INDEX(原始資料!AB$2:AB$501,$BJ161)))</f>
        <v/>
      </c>
      <c r="AA161" s="6">
        <f>IF(OR($BJ161="",26&gt;設定!$B$3),"",IF(INDEX(原始資料!AC$2:AC$501,$BJ161)="","",INDEX(原始資料!AC$2:AC$501,$BJ161)))</f>
        <v/>
      </c>
      <c r="AB161" s="6">
        <f>IF(OR($BJ161="",27&gt;設定!$B$3),"",IF(INDEX(原始資料!AD$2:AD$501,$BJ161)="","",INDEX(原始資料!AD$2:AD$501,$BJ161)))</f>
        <v/>
      </c>
      <c r="AC161" s="6">
        <f>IF(OR($BJ161="",28&gt;設定!$B$3),"",IF(INDEX(原始資料!AE$2:AE$501,$BJ161)="","",INDEX(原始資料!AE$2:AE$501,$BJ161)))</f>
        <v/>
      </c>
      <c r="AD161" s="6">
        <f>IF(OR($BJ161="",29&gt;設定!$B$3),"",IF(INDEX(原始資料!AF$2:AF$501,$BJ161)="","",INDEX(原始資料!AF$2:AF$501,$BJ161)))</f>
        <v/>
      </c>
      <c r="AE161" s="6">
        <f>IF(OR($BJ161="",30&gt;設定!$B$3),"",IF(INDEX(原始資料!AG$2:AG$501,$BJ161)="","",INDEX(原始資料!AG$2:AG$501,$BJ161)))</f>
        <v/>
      </c>
      <c r="AF161" s="6">
        <f>IF(OR($BJ161="",31&gt;設定!$B$3),"",IF(INDEX(原始資料!AH$2:AH$501,$BJ161)="","",INDEX(原始資料!AH$2:AH$501,$BJ161)))</f>
        <v/>
      </c>
      <c r="AG161" s="6">
        <f>IF(OR($BJ161="",32&gt;設定!$B$3),"",IF(INDEX(原始資料!AI$2:AI$501,$BJ161)="","",INDEX(原始資料!AI$2:AI$501,$BJ161)))</f>
        <v/>
      </c>
      <c r="AH161" s="6">
        <f>IF(OR($BJ161="",33&gt;設定!$B$3),"",IF(INDEX(原始資料!AJ$2:AJ$501,$BJ161)="","",INDEX(原始資料!AJ$2:AJ$501,$BJ161)))</f>
        <v/>
      </c>
      <c r="AI161" s="6">
        <f>IF(OR($BJ161="",34&gt;設定!$B$3),"",IF(INDEX(原始資料!AK$2:AK$501,$BJ161)="","",INDEX(原始資料!AK$2:AK$501,$BJ161)))</f>
        <v/>
      </c>
      <c r="AJ161" s="6">
        <f>IF(OR($BJ161="",35&gt;設定!$B$3),"",IF(INDEX(原始資料!AL$2:AL$501,$BJ161)="","",INDEX(原始資料!AL$2:AL$501,$BJ161)))</f>
        <v/>
      </c>
      <c r="AK161" s="6">
        <f>IF(OR($BJ161="",36&gt;設定!$B$3),"",IF(INDEX(原始資料!AM$2:AM$501,$BJ161)="","",INDEX(原始資料!AM$2:AM$501,$BJ161)))</f>
        <v/>
      </c>
      <c r="AL161" s="6">
        <f>IF(OR($BJ161="",37&gt;設定!$B$3),"",IF(INDEX(原始資料!AN$2:AN$501,$BJ161)="","",INDEX(原始資料!AN$2:AN$501,$BJ161)))</f>
        <v/>
      </c>
      <c r="AM161" s="6">
        <f>IF(OR($BJ161="",38&gt;設定!$B$3),"",IF(INDEX(原始資料!AO$2:AO$501,$BJ161)="","",INDEX(原始資料!AO$2:AO$501,$BJ161)))</f>
        <v/>
      </c>
      <c r="AN161" s="6">
        <f>IF(OR($BJ161="",39&gt;設定!$B$3),"",IF(INDEX(原始資料!AP$2:AP$501,$BJ161)="","",INDEX(原始資料!AP$2:AP$501,$BJ161)))</f>
        <v/>
      </c>
      <c r="AO161" s="6">
        <f>IF(OR($BJ161="",40&gt;設定!$B$3),"",IF(INDEX(原始資料!AQ$2:AQ$501,$BJ161)="","",INDEX(原始資料!AQ$2:AQ$501,$BJ161)))</f>
        <v/>
      </c>
      <c r="AP161" s="6">
        <f>IF(OR($BJ161="",41&gt;設定!$B$3),"",IF(INDEX(原始資料!AR$2:AR$501,$BJ161)="","",INDEX(原始資料!AR$2:AR$501,$BJ161)))</f>
        <v/>
      </c>
      <c r="AQ161" s="6">
        <f>IF(OR($BJ161="",42&gt;設定!$B$3),"",IF(INDEX(原始資料!AS$2:AS$501,$BJ161)="","",INDEX(原始資料!AS$2:AS$501,$BJ161)))</f>
        <v/>
      </c>
      <c r="AR161" s="6">
        <f>IF(OR($BJ161="",43&gt;設定!$B$3),"",IF(INDEX(原始資料!AT$2:AT$501,$BJ161)="","",INDEX(原始資料!AT$2:AT$501,$BJ161)))</f>
        <v/>
      </c>
      <c r="AS161" s="6">
        <f>IF(OR($BJ161="",44&gt;設定!$B$3),"",IF(INDEX(原始資料!AU$2:AU$501,$BJ161)="","",INDEX(原始資料!AU$2:AU$501,$BJ161)))</f>
        <v/>
      </c>
      <c r="AT161" s="6">
        <f>IF(OR($BJ161="",45&gt;設定!$B$3),"",IF(INDEX(原始資料!AV$2:AV$501,$BJ161)="","",INDEX(原始資料!AV$2:AV$501,$BJ161)))</f>
        <v/>
      </c>
      <c r="AU161" s="6">
        <f>IF(OR($BJ161="",46&gt;設定!$B$3),"",IF(INDEX(原始資料!AW$2:AW$501,$BJ161)="","",INDEX(原始資料!AW$2:AW$501,$BJ161)))</f>
        <v/>
      </c>
      <c r="AV161" s="6">
        <f>IF(OR($BJ161="",47&gt;設定!$B$3),"",IF(INDEX(原始資料!AX$2:AX$501,$BJ161)="","",INDEX(原始資料!AX$2:AX$501,$BJ161)))</f>
        <v/>
      </c>
      <c r="AW161" s="6">
        <f>IF(OR($BJ161="",48&gt;設定!$B$3),"",IF(INDEX(原始資料!AY$2:AY$501,$BJ161)="","",INDEX(原始資料!AY$2:AY$501,$BJ161)))</f>
        <v/>
      </c>
      <c r="AX161" s="6">
        <f>IF(OR($BJ161="",49&gt;設定!$B$3),"",IF(INDEX(原始資料!AZ$2:AZ$501,$BJ161)="","",INDEX(原始資料!AZ$2:AZ$501,$BJ161)))</f>
        <v/>
      </c>
      <c r="AY161" s="6">
        <f>IF(OR($BJ161="",50&gt;設定!$B$3),"",IF(INDEX(原始資料!BA$2:BA$501,$BJ161)="","",INDEX(原始資料!BA$2:BA$501,$BJ161)))</f>
        <v/>
      </c>
      <c r="AZ161" s="6">
        <f>IF(OR($BJ161="",51&gt;設定!$B$3),"",IF(INDEX(原始資料!BB$2:BB$501,$BJ161)="","",INDEX(原始資料!BB$2:BB$501,$BJ161)))</f>
        <v/>
      </c>
      <c r="BA161" s="6">
        <f>IF(OR($BJ161="",52&gt;設定!$B$3),"",IF(INDEX(原始資料!BC$2:BC$501,$BJ161)="","",INDEX(原始資料!BC$2:BC$501,$BJ161)))</f>
        <v/>
      </c>
      <c r="BB161" s="6">
        <f>IF(OR($BJ161="",53&gt;設定!$B$3),"",IF(INDEX(原始資料!BD$2:BD$501,$BJ161)="","",INDEX(原始資料!BD$2:BD$501,$BJ161)))</f>
        <v/>
      </c>
      <c r="BC161" s="6">
        <f>IF(OR($BJ161="",54&gt;設定!$B$3),"",IF(INDEX(原始資料!BE$2:BE$501,$BJ161)="","",INDEX(原始資料!BE$2:BE$501,$BJ161)))</f>
        <v/>
      </c>
      <c r="BD161" s="6">
        <f>IF(OR($BJ161="",55&gt;設定!$B$3),"",IF(INDEX(原始資料!BF$2:BF$501,$BJ161)="","",INDEX(原始資料!BF$2:BF$501,$BJ161)))</f>
        <v/>
      </c>
      <c r="BE161" s="6">
        <f>IF(OR($BJ161="",56&gt;設定!$B$3),"",IF(INDEX(原始資料!BG$2:BG$501,$BJ161)="","",INDEX(原始資料!BG$2:BG$501,$BJ161)))</f>
        <v/>
      </c>
      <c r="BF161" s="6">
        <f>IF(OR($BJ161="",57&gt;設定!$B$3),"",IF(INDEX(原始資料!BH$2:BH$501,$BJ161)="","",INDEX(原始資料!BH$2:BH$501,$BJ161)))</f>
        <v/>
      </c>
      <c r="BG161" s="6">
        <f>IF(OR($BJ161="",58&gt;設定!$B$3),"",IF(INDEX(原始資料!BI$2:BI$501,$BJ161)="","",INDEX(原始資料!BI$2:BI$501,$BJ161)))</f>
        <v/>
      </c>
      <c r="BH161" s="6">
        <f>IF(OR($BJ161="",59&gt;設定!$B$3),"",IF(INDEX(原始資料!BJ$2:BJ$501,$BJ161)="","",INDEX(原始資料!BJ$2:BJ$501,$BJ161)))</f>
        <v/>
      </c>
      <c r="BI161" s="6">
        <f>IF(OR($BJ161="",60&gt;設定!$B$3),"",IF(INDEX(原始資料!BK$2:BK$501,$BJ161)="","",INDEX(原始資料!BK$2:BK$501,$BJ161)))</f>
        <v/>
      </c>
      <c r="BJ161" s="6">
        <f>IFERROR(MATCH(ROW()-1,判定!$H$2:$H$501,0),"")</f>
        <v/>
      </c>
    </row>
    <row r="162">
      <c r="A162" s="6">
        <f>IF($BJ162="","",INDEX(原始資料!$A$2:$A$501,$BJ162))</f>
        <v/>
      </c>
      <c r="B162" s="6">
        <f>IF(OR($BJ162="",1&gt;設定!$B$3),"",IF(INDEX(原始資料!D$2:D$501,$BJ162)="","",INDEX(原始資料!D$2:D$501,$BJ162)))</f>
        <v/>
      </c>
      <c r="C162" s="6">
        <f>IF(OR($BJ162="",2&gt;設定!$B$3),"",IF(INDEX(原始資料!E$2:E$501,$BJ162)="","",INDEX(原始資料!E$2:E$501,$BJ162)))</f>
        <v/>
      </c>
      <c r="D162" s="6">
        <f>IF(OR($BJ162="",3&gt;設定!$B$3),"",IF(INDEX(原始資料!F$2:F$501,$BJ162)="","",INDEX(原始資料!F$2:F$501,$BJ162)))</f>
        <v/>
      </c>
      <c r="E162" s="6">
        <f>IF(OR($BJ162="",4&gt;設定!$B$3),"",IF(INDEX(原始資料!G$2:G$501,$BJ162)="","",INDEX(原始資料!G$2:G$501,$BJ162)))</f>
        <v/>
      </c>
      <c r="F162" s="6">
        <f>IF(OR($BJ162="",5&gt;設定!$B$3),"",IF(INDEX(原始資料!H$2:H$501,$BJ162)="","",INDEX(原始資料!H$2:H$501,$BJ162)))</f>
        <v/>
      </c>
      <c r="G162" s="6">
        <f>IF(OR($BJ162="",6&gt;設定!$B$3),"",IF(INDEX(原始資料!I$2:I$501,$BJ162)="","",INDEX(原始資料!I$2:I$501,$BJ162)))</f>
        <v/>
      </c>
      <c r="H162" s="6">
        <f>IF(OR($BJ162="",7&gt;設定!$B$3),"",IF(INDEX(原始資料!J$2:J$501,$BJ162)="","",INDEX(原始資料!J$2:J$501,$BJ162)))</f>
        <v/>
      </c>
      <c r="I162" s="6">
        <f>IF(OR($BJ162="",8&gt;設定!$B$3),"",IF(INDEX(原始資料!K$2:K$501,$BJ162)="","",INDEX(原始資料!K$2:K$501,$BJ162)))</f>
        <v/>
      </c>
      <c r="J162" s="6">
        <f>IF(OR($BJ162="",9&gt;設定!$B$3),"",IF(INDEX(原始資料!L$2:L$501,$BJ162)="","",INDEX(原始資料!L$2:L$501,$BJ162)))</f>
        <v/>
      </c>
      <c r="K162" s="6">
        <f>IF(OR($BJ162="",10&gt;設定!$B$3),"",IF(INDEX(原始資料!M$2:M$501,$BJ162)="","",INDEX(原始資料!M$2:M$501,$BJ162)))</f>
        <v/>
      </c>
      <c r="L162" s="6">
        <f>IF(OR($BJ162="",11&gt;設定!$B$3),"",IF(INDEX(原始資料!N$2:N$501,$BJ162)="","",INDEX(原始資料!N$2:N$501,$BJ162)))</f>
        <v/>
      </c>
      <c r="M162" s="6">
        <f>IF(OR($BJ162="",12&gt;設定!$B$3),"",IF(INDEX(原始資料!O$2:O$501,$BJ162)="","",INDEX(原始資料!O$2:O$501,$BJ162)))</f>
        <v/>
      </c>
      <c r="N162" s="6">
        <f>IF(OR($BJ162="",13&gt;設定!$B$3),"",IF(INDEX(原始資料!P$2:P$501,$BJ162)="","",INDEX(原始資料!P$2:P$501,$BJ162)))</f>
        <v/>
      </c>
      <c r="O162" s="6">
        <f>IF(OR($BJ162="",14&gt;設定!$B$3),"",IF(INDEX(原始資料!Q$2:Q$501,$BJ162)="","",INDEX(原始資料!Q$2:Q$501,$BJ162)))</f>
        <v/>
      </c>
      <c r="P162" s="6">
        <f>IF(OR($BJ162="",15&gt;設定!$B$3),"",IF(INDEX(原始資料!R$2:R$501,$BJ162)="","",INDEX(原始資料!R$2:R$501,$BJ162)))</f>
        <v/>
      </c>
      <c r="Q162" s="6">
        <f>IF(OR($BJ162="",16&gt;設定!$B$3),"",IF(INDEX(原始資料!S$2:S$501,$BJ162)="","",INDEX(原始資料!S$2:S$501,$BJ162)))</f>
        <v/>
      </c>
      <c r="R162" s="6">
        <f>IF(OR($BJ162="",17&gt;設定!$B$3),"",IF(INDEX(原始資料!T$2:T$501,$BJ162)="","",INDEX(原始資料!T$2:T$501,$BJ162)))</f>
        <v/>
      </c>
      <c r="S162" s="6">
        <f>IF(OR($BJ162="",18&gt;設定!$B$3),"",IF(INDEX(原始資料!U$2:U$501,$BJ162)="","",INDEX(原始資料!U$2:U$501,$BJ162)))</f>
        <v/>
      </c>
      <c r="T162" s="6">
        <f>IF(OR($BJ162="",19&gt;設定!$B$3),"",IF(INDEX(原始資料!V$2:V$501,$BJ162)="","",INDEX(原始資料!V$2:V$501,$BJ162)))</f>
        <v/>
      </c>
      <c r="U162" s="6">
        <f>IF(OR($BJ162="",20&gt;設定!$B$3),"",IF(INDEX(原始資料!W$2:W$501,$BJ162)="","",INDEX(原始資料!W$2:W$501,$BJ162)))</f>
        <v/>
      </c>
      <c r="V162" s="6">
        <f>IF(OR($BJ162="",21&gt;設定!$B$3),"",IF(INDEX(原始資料!X$2:X$501,$BJ162)="","",INDEX(原始資料!X$2:X$501,$BJ162)))</f>
        <v/>
      </c>
      <c r="W162" s="6">
        <f>IF(OR($BJ162="",22&gt;設定!$B$3),"",IF(INDEX(原始資料!Y$2:Y$501,$BJ162)="","",INDEX(原始資料!Y$2:Y$501,$BJ162)))</f>
        <v/>
      </c>
      <c r="X162" s="6">
        <f>IF(OR($BJ162="",23&gt;設定!$B$3),"",IF(INDEX(原始資料!Z$2:Z$501,$BJ162)="","",INDEX(原始資料!Z$2:Z$501,$BJ162)))</f>
        <v/>
      </c>
      <c r="Y162" s="6">
        <f>IF(OR($BJ162="",24&gt;設定!$B$3),"",IF(INDEX(原始資料!AA$2:AA$501,$BJ162)="","",INDEX(原始資料!AA$2:AA$501,$BJ162)))</f>
        <v/>
      </c>
      <c r="Z162" s="6">
        <f>IF(OR($BJ162="",25&gt;設定!$B$3),"",IF(INDEX(原始資料!AB$2:AB$501,$BJ162)="","",INDEX(原始資料!AB$2:AB$501,$BJ162)))</f>
        <v/>
      </c>
      <c r="AA162" s="6">
        <f>IF(OR($BJ162="",26&gt;設定!$B$3),"",IF(INDEX(原始資料!AC$2:AC$501,$BJ162)="","",INDEX(原始資料!AC$2:AC$501,$BJ162)))</f>
        <v/>
      </c>
      <c r="AB162" s="6">
        <f>IF(OR($BJ162="",27&gt;設定!$B$3),"",IF(INDEX(原始資料!AD$2:AD$501,$BJ162)="","",INDEX(原始資料!AD$2:AD$501,$BJ162)))</f>
        <v/>
      </c>
      <c r="AC162" s="6">
        <f>IF(OR($BJ162="",28&gt;設定!$B$3),"",IF(INDEX(原始資料!AE$2:AE$501,$BJ162)="","",INDEX(原始資料!AE$2:AE$501,$BJ162)))</f>
        <v/>
      </c>
      <c r="AD162" s="6">
        <f>IF(OR($BJ162="",29&gt;設定!$B$3),"",IF(INDEX(原始資料!AF$2:AF$501,$BJ162)="","",INDEX(原始資料!AF$2:AF$501,$BJ162)))</f>
        <v/>
      </c>
      <c r="AE162" s="6">
        <f>IF(OR($BJ162="",30&gt;設定!$B$3),"",IF(INDEX(原始資料!AG$2:AG$501,$BJ162)="","",INDEX(原始資料!AG$2:AG$501,$BJ162)))</f>
        <v/>
      </c>
      <c r="AF162" s="6">
        <f>IF(OR($BJ162="",31&gt;設定!$B$3),"",IF(INDEX(原始資料!AH$2:AH$501,$BJ162)="","",INDEX(原始資料!AH$2:AH$501,$BJ162)))</f>
        <v/>
      </c>
      <c r="AG162" s="6">
        <f>IF(OR($BJ162="",32&gt;設定!$B$3),"",IF(INDEX(原始資料!AI$2:AI$501,$BJ162)="","",INDEX(原始資料!AI$2:AI$501,$BJ162)))</f>
        <v/>
      </c>
      <c r="AH162" s="6">
        <f>IF(OR($BJ162="",33&gt;設定!$B$3),"",IF(INDEX(原始資料!AJ$2:AJ$501,$BJ162)="","",INDEX(原始資料!AJ$2:AJ$501,$BJ162)))</f>
        <v/>
      </c>
      <c r="AI162" s="6">
        <f>IF(OR($BJ162="",34&gt;設定!$B$3),"",IF(INDEX(原始資料!AK$2:AK$501,$BJ162)="","",INDEX(原始資料!AK$2:AK$501,$BJ162)))</f>
        <v/>
      </c>
      <c r="AJ162" s="6">
        <f>IF(OR($BJ162="",35&gt;設定!$B$3),"",IF(INDEX(原始資料!AL$2:AL$501,$BJ162)="","",INDEX(原始資料!AL$2:AL$501,$BJ162)))</f>
        <v/>
      </c>
      <c r="AK162" s="6">
        <f>IF(OR($BJ162="",36&gt;設定!$B$3),"",IF(INDEX(原始資料!AM$2:AM$501,$BJ162)="","",INDEX(原始資料!AM$2:AM$501,$BJ162)))</f>
        <v/>
      </c>
      <c r="AL162" s="6">
        <f>IF(OR($BJ162="",37&gt;設定!$B$3),"",IF(INDEX(原始資料!AN$2:AN$501,$BJ162)="","",INDEX(原始資料!AN$2:AN$501,$BJ162)))</f>
        <v/>
      </c>
      <c r="AM162" s="6">
        <f>IF(OR($BJ162="",38&gt;設定!$B$3),"",IF(INDEX(原始資料!AO$2:AO$501,$BJ162)="","",INDEX(原始資料!AO$2:AO$501,$BJ162)))</f>
        <v/>
      </c>
      <c r="AN162" s="6">
        <f>IF(OR($BJ162="",39&gt;設定!$B$3),"",IF(INDEX(原始資料!AP$2:AP$501,$BJ162)="","",INDEX(原始資料!AP$2:AP$501,$BJ162)))</f>
        <v/>
      </c>
      <c r="AO162" s="6">
        <f>IF(OR($BJ162="",40&gt;設定!$B$3),"",IF(INDEX(原始資料!AQ$2:AQ$501,$BJ162)="","",INDEX(原始資料!AQ$2:AQ$501,$BJ162)))</f>
        <v/>
      </c>
      <c r="AP162" s="6">
        <f>IF(OR($BJ162="",41&gt;設定!$B$3),"",IF(INDEX(原始資料!AR$2:AR$501,$BJ162)="","",INDEX(原始資料!AR$2:AR$501,$BJ162)))</f>
        <v/>
      </c>
      <c r="AQ162" s="6">
        <f>IF(OR($BJ162="",42&gt;設定!$B$3),"",IF(INDEX(原始資料!AS$2:AS$501,$BJ162)="","",INDEX(原始資料!AS$2:AS$501,$BJ162)))</f>
        <v/>
      </c>
      <c r="AR162" s="6">
        <f>IF(OR($BJ162="",43&gt;設定!$B$3),"",IF(INDEX(原始資料!AT$2:AT$501,$BJ162)="","",INDEX(原始資料!AT$2:AT$501,$BJ162)))</f>
        <v/>
      </c>
      <c r="AS162" s="6">
        <f>IF(OR($BJ162="",44&gt;設定!$B$3),"",IF(INDEX(原始資料!AU$2:AU$501,$BJ162)="","",INDEX(原始資料!AU$2:AU$501,$BJ162)))</f>
        <v/>
      </c>
      <c r="AT162" s="6">
        <f>IF(OR($BJ162="",45&gt;設定!$B$3),"",IF(INDEX(原始資料!AV$2:AV$501,$BJ162)="","",INDEX(原始資料!AV$2:AV$501,$BJ162)))</f>
        <v/>
      </c>
      <c r="AU162" s="6">
        <f>IF(OR($BJ162="",46&gt;設定!$B$3),"",IF(INDEX(原始資料!AW$2:AW$501,$BJ162)="","",INDEX(原始資料!AW$2:AW$501,$BJ162)))</f>
        <v/>
      </c>
      <c r="AV162" s="6">
        <f>IF(OR($BJ162="",47&gt;設定!$B$3),"",IF(INDEX(原始資料!AX$2:AX$501,$BJ162)="","",INDEX(原始資料!AX$2:AX$501,$BJ162)))</f>
        <v/>
      </c>
      <c r="AW162" s="6">
        <f>IF(OR($BJ162="",48&gt;設定!$B$3),"",IF(INDEX(原始資料!AY$2:AY$501,$BJ162)="","",INDEX(原始資料!AY$2:AY$501,$BJ162)))</f>
        <v/>
      </c>
      <c r="AX162" s="6">
        <f>IF(OR($BJ162="",49&gt;設定!$B$3),"",IF(INDEX(原始資料!AZ$2:AZ$501,$BJ162)="","",INDEX(原始資料!AZ$2:AZ$501,$BJ162)))</f>
        <v/>
      </c>
      <c r="AY162" s="6">
        <f>IF(OR($BJ162="",50&gt;設定!$B$3),"",IF(INDEX(原始資料!BA$2:BA$501,$BJ162)="","",INDEX(原始資料!BA$2:BA$501,$BJ162)))</f>
        <v/>
      </c>
      <c r="AZ162" s="6">
        <f>IF(OR($BJ162="",51&gt;設定!$B$3),"",IF(INDEX(原始資料!BB$2:BB$501,$BJ162)="","",INDEX(原始資料!BB$2:BB$501,$BJ162)))</f>
        <v/>
      </c>
      <c r="BA162" s="6">
        <f>IF(OR($BJ162="",52&gt;設定!$B$3),"",IF(INDEX(原始資料!BC$2:BC$501,$BJ162)="","",INDEX(原始資料!BC$2:BC$501,$BJ162)))</f>
        <v/>
      </c>
      <c r="BB162" s="6">
        <f>IF(OR($BJ162="",53&gt;設定!$B$3),"",IF(INDEX(原始資料!BD$2:BD$501,$BJ162)="","",INDEX(原始資料!BD$2:BD$501,$BJ162)))</f>
        <v/>
      </c>
      <c r="BC162" s="6">
        <f>IF(OR($BJ162="",54&gt;設定!$B$3),"",IF(INDEX(原始資料!BE$2:BE$501,$BJ162)="","",INDEX(原始資料!BE$2:BE$501,$BJ162)))</f>
        <v/>
      </c>
      <c r="BD162" s="6">
        <f>IF(OR($BJ162="",55&gt;設定!$B$3),"",IF(INDEX(原始資料!BF$2:BF$501,$BJ162)="","",INDEX(原始資料!BF$2:BF$501,$BJ162)))</f>
        <v/>
      </c>
      <c r="BE162" s="6">
        <f>IF(OR($BJ162="",56&gt;設定!$B$3),"",IF(INDEX(原始資料!BG$2:BG$501,$BJ162)="","",INDEX(原始資料!BG$2:BG$501,$BJ162)))</f>
        <v/>
      </c>
      <c r="BF162" s="6">
        <f>IF(OR($BJ162="",57&gt;設定!$B$3),"",IF(INDEX(原始資料!BH$2:BH$501,$BJ162)="","",INDEX(原始資料!BH$2:BH$501,$BJ162)))</f>
        <v/>
      </c>
      <c r="BG162" s="6">
        <f>IF(OR($BJ162="",58&gt;設定!$B$3),"",IF(INDEX(原始資料!BI$2:BI$501,$BJ162)="","",INDEX(原始資料!BI$2:BI$501,$BJ162)))</f>
        <v/>
      </c>
      <c r="BH162" s="6">
        <f>IF(OR($BJ162="",59&gt;設定!$B$3),"",IF(INDEX(原始資料!BJ$2:BJ$501,$BJ162)="","",INDEX(原始資料!BJ$2:BJ$501,$BJ162)))</f>
        <v/>
      </c>
      <c r="BI162" s="6">
        <f>IF(OR($BJ162="",60&gt;設定!$B$3),"",IF(INDEX(原始資料!BK$2:BK$501,$BJ162)="","",INDEX(原始資料!BK$2:BK$501,$BJ162)))</f>
        <v/>
      </c>
      <c r="BJ162" s="6">
        <f>IFERROR(MATCH(ROW()-1,判定!$H$2:$H$501,0),"")</f>
        <v/>
      </c>
    </row>
    <row r="163">
      <c r="A163" s="6">
        <f>IF($BJ163="","",INDEX(原始資料!$A$2:$A$501,$BJ163))</f>
        <v/>
      </c>
      <c r="B163" s="6">
        <f>IF(OR($BJ163="",1&gt;設定!$B$3),"",IF(INDEX(原始資料!D$2:D$501,$BJ163)="","",INDEX(原始資料!D$2:D$501,$BJ163)))</f>
        <v/>
      </c>
      <c r="C163" s="6">
        <f>IF(OR($BJ163="",2&gt;設定!$B$3),"",IF(INDEX(原始資料!E$2:E$501,$BJ163)="","",INDEX(原始資料!E$2:E$501,$BJ163)))</f>
        <v/>
      </c>
      <c r="D163" s="6">
        <f>IF(OR($BJ163="",3&gt;設定!$B$3),"",IF(INDEX(原始資料!F$2:F$501,$BJ163)="","",INDEX(原始資料!F$2:F$501,$BJ163)))</f>
        <v/>
      </c>
      <c r="E163" s="6">
        <f>IF(OR($BJ163="",4&gt;設定!$B$3),"",IF(INDEX(原始資料!G$2:G$501,$BJ163)="","",INDEX(原始資料!G$2:G$501,$BJ163)))</f>
        <v/>
      </c>
      <c r="F163" s="6">
        <f>IF(OR($BJ163="",5&gt;設定!$B$3),"",IF(INDEX(原始資料!H$2:H$501,$BJ163)="","",INDEX(原始資料!H$2:H$501,$BJ163)))</f>
        <v/>
      </c>
      <c r="G163" s="6">
        <f>IF(OR($BJ163="",6&gt;設定!$B$3),"",IF(INDEX(原始資料!I$2:I$501,$BJ163)="","",INDEX(原始資料!I$2:I$501,$BJ163)))</f>
        <v/>
      </c>
      <c r="H163" s="6">
        <f>IF(OR($BJ163="",7&gt;設定!$B$3),"",IF(INDEX(原始資料!J$2:J$501,$BJ163)="","",INDEX(原始資料!J$2:J$501,$BJ163)))</f>
        <v/>
      </c>
      <c r="I163" s="6">
        <f>IF(OR($BJ163="",8&gt;設定!$B$3),"",IF(INDEX(原始資料!K$2:K$501,$BJ163)="","",INDEX(原始資料!K$2:K$501,$BJ163)))</f>
        <v/>
      </c>
      <c r="J163" s="6">
        <f>IF(OR($BJ163="",9&gt;設定!$B$3),"",IF(INDEX(原始資料!L$2:L$501,$BJ163)="","",INDEX(原始資料!L$2:L$501,$BJ163)))</f>
        <v/>
      </c>
      <c r="K163" s="6">
        <f>IF(OR($BJ163="",10&gt;設定!$B$3),"",IF(INDEX(原始資料!M$2:M$501,$BJ163)="","",INDEX(原始資料!M$2:M$501,$BJ163)))</f>
        <v/>
      </c>
      <c r="L163" s="6">
        <f>IF(OR($BJ163="",11&gt;設定!$B$3),"",IF(INDEX(原始資料!N$2:N$501,$BJ163)="","",INDEX(原始資料!N$2:N$501,$BJ163)))</f>
        <v/>
      </c>
      <c r="M163" s="6">
        <f>IF(OR($BJ163="",12&gt;設定!$B$3),"",IF(INDEX(原始資料!O$2:O$501,$BJ163)="","",INDEX(原始資料!O$2:O$501,$BJ163)))</f>
        <v/>
      </c>
      <c r="N163" s="6">
        <f>IF(OR($BJ163="",13&gt;設定!$B$3),"",IF(INDEX(原始資料!P$2:P$501,$BJ163)="","",INDEX(原始資料!P$2:P$501,$BJ163)))</f>
        <v/>
      </c>
      <c r="O163" s="6">
        <f>IF(OR($BJ163="",14&gt;設定!$B$3),"",IF(INDEX(原始資料!Q$2:Q$501,$BJ163)="","",INDEX(原始資料!Q$2:Q$501,$BJ163)))</f>
        <v/>
      </c>
      <c r="P163" s="6">
        <f>IF(OR($BJ163="",15&gt;設定!$B$3),"",IF(INDEX(原始資料!R$2:R$501,$BJ163)="","",INDEX(原始資料!R$2:R$501,$BJ163)))</f>
        <v/>
      </c>
      <c r="Q163" s="6">
        <f>IF(OR($BJ163="",16&gt;設定!$B$3),"",IF(INDEX(原始資料!S$2:S$501,$BJ163)="","",INDEX(原始資料!S$2:S$501,$BJ163)))</f>
        <v/>
      </c>
      <c r="R163" s="6">
        <f>IF(OR($BJ163="",17&gt;設定!$B$3),"",IF(INDEX(原始資料!T$2:T$501,$BJ163)="","",INDEX(原始資料!T$2:T$501,$BJ163)))</f>
        <v/>
      </c>
      <c r="S163" s="6">
        <f>IF(OR($BJ163="",18&gt;設定!$B$3),"",IF(INDEX(原始資料!U$2:U$501,$BJ163)="","",INDEX(原始資料!U$2:U$501,$BJ163)))</f>
        <v/>
      </c>
      <c r="T163" s="6">
        <f>IF(OR($BJ163="",19&gt;設定!$B$3),"",IF(INDEX(原始資料!V$2:V$501,$BJ163)="","",INDEX(原始資料!V$2:V$501,$BJ163)))</f>
        <v/>
      </c>
      <c r="U163" s="6">
        <f>IF(OR($BJ163="",20&gt;設定!$B$3),"",IF(INDEX(原始資料!W$2:W$501,$BJ163)="","",INDEX(原始資料!W$2:W$501,$BJ163)))</f>
        <v/>
      </c>
      <c r="V163" s="6">
        <f>IF(OR($BJ163="",21&gt;設定!$B$3),"",IF(INDEX(原始資料!X$2:X$501,$BJ163)="","",INDEX(原始資料!X$2:X$501,$BJ163)))</f>
        <v/>
      </c>
      <c r="W163" s="6">
        <f>IF(OR($BJ163="",22&gt;設定!$B$3),"",IF(INDEX(原始資料!Y$2:Y$501,$BJ163)="","",INDEX(原始資料!Y$2:Y$501,$BJ163)))</f>
        <v/>
      </c>
      <c r="X163" s="6">
        <f>IF(OR($BJ163="",23&gt;設定!$B$3),"",IF(INDEX(原始資料!Z$2:Z$501,$BJ163)="","",INDEX(原始資料!Z$2:Z$501,$BJ163)))</f>
        <v/>
      </c>
      <c r="Y163" s="6">
        <f>IF(OR($BJ163="",24&gt;設定!$B$3),"",IF(INDEX(原始資料!AA$2:AA$501,$BJ163)="","",INDEX(原始資料!AA$2:AA$501,$BJ163)))</f>
        <v/>
      </c>
      <c r="Z163" s="6">
        <f>IF(OR($BJ163="",25&gt;設定!$B$3),"",IF(INDEX(原始資料!AB$2:AB$501,$BJ163)="","",INDEX(原始資料!AB$2:AB$501,$BJ163)))</f>
        <v/>
      </c>
      <c r="AA163" s="6">
        <f>IF(OR($BJ163="",26&gt;設定!$B$3),"",IF(INDEX(原始資料!AC$2:AC$501,$BJ163)="","",INDEX(原始資料!AC$2:AC$501,$BJ163)))</f>
        <v/>
      </c>
      <c r="AB163" s="6">
        <f>IF(OR($BJ163="",27&gt;設定!$B$3),"",IF(INDEX(原始資料!AD$2:AD$501,$BJ163)="","",INDEX(原始資料!AD$2:AD$501,$BJ163)))</f>
        <v/>
      </c>
      <c r="AC163" s="6">
        <f>IF(OR($BJ163="",28&gt;設定!$B$3),"",IF(INDEX(原始資料!AE$2:AE$501,$BJ163)="","",INDEX(原始資料!AE$2:AE$501,$BJ163)))</f>
        <v/>
      </c>
      <c r="AD163" s="6">
        <f>IF(OR($BJ163="",29&gt;設定!$B$3),"",IF(INDEX(原始資料!AF$2:AF$501,$BJ163)="","",INDEX(原始資料!AF$2:AF$501,$BJ163)))</f>
        <v/>
      </c>
      <c r="AE163" s="6">
        <f>IF(OR($BJ163="",30&gt;設定!$B$3),"",IF(INDEX(原始資料!AG$2:AG$501,$BJ163)="","",INDEX(原始資料!AG$2:AG$501,$BJ163)))</f>
        <v/>
      </c>
      <c r="AF163" s="6">
        <f>IF(OR($BJ163="",31&gt;設定!$B$3),"",IF(INDEX(原始資料!AH$2:AH$501,$BJ163)="","",INDEX(原始資料!AH$2:AH$501,$BJ163)))</f>
        <v/>
      </c>
      <c r="AG163" s="6">
        <f>IF(OR($BJ163="",32&gt;設定!$B$3),"",IF(INDEX(原始資料!AI$2:AI$501,$BJ163)="","",INDEX(原始資料!AI$2:AI$501,$BJ163)))</f>
        <v/>
      </c>
      <c r="AH163" s="6">
        <f>IF(OR($BJ163="",33&gt;設定!$B$3),"",IF(INDEX(原始資料!AJ$2:AJ$501,$BJ163)="","",INDEX(原始資料!AJ$2:AJ$501,$BJ163)))</f>
        <v/>
      </c>
      <c r="AI163" s="6">
        <f>IF(OR($BJ163="",34&gt;設定!$B$3),"",IF(INDEX(原始資料!AK$2:AK$501,$BJ163)="","",INDEX(原始資料!AK$2:AK$501,$BJ163)))</f>
        <v/>
      </c>
      <c r="AJ163" s="6">
        <f>IF(OR($BJ163="",35&gt;設定!$B$3),"",IF(INDEX(原始資料!AL$2:AL$501,$BJ163)="","",INDEX(原始資料!AL$2:AL$501,$BJ163)))</f>
        <v/>
      </c>
      <c r="AK163" s="6">
        <f>IF(OR($BJ163="",36&gt;設定!$B$3),"",IF(INDEX(原始資料!AM$2:AM$501,$BJ163)="","",INDEX(原始資料!AM$2:AM$501,$BJ163)))</f>
        <v/>
      </c>
      <c r="AL163" s="6">
        <f>IF(OR($BJ163="",37&gt;設定!$B$3),"",IF(INDEX(原始資料!AN$2:AN$501,$BJ163)="","",INDEX(原始資料!AN$2:AN$501,$BJ163)))</f>
        <v/>
      </c>
      <c r="AM163" s="6">
        <f>IF(OR($BJ163="",38&gt;設定!$B$3),"",IF(INDEX(原始資料!AO$2:AO$501,$BJ163)="","",INDEX(原始資料!AO$2:AO$501,$BJ163)))</f>
        <v/>
      </c>
      <c r="AN163" s="6">
        <f>IF(OR($BJ163="",39&gt;設定!$B$3),"",IF(INDEX(原始資料!AP$2:AP$501,$BJ163)="","",INDEX(原始資料!AP$2:AP$501,$BJ163)))</f>
        <v/>
      </c>
      <c r="AO163" s="6">
        <f>IF(OR($BJ163="",40&gt;設定!$B$3),"",IF(INDEX(原始資料!AQ$2:AQ$501,$BJ163)="","",INDEX(原始資料!AQ$2:AQ$501,$BJ163)))</f>
        <v/>
      </c>
      <c r="AP163" s="6">
        <f>IF(OR($BJ163="",41&gt;設定!$B$3),"",IF(INDEX(原始資料!AR$2:AR$501,$BJ163)="","",INDEX(原始資料!AR$2:AR$501,$BJ163)))</f>
        <v/>
      </c>
      <c r="AQ163" s="6">
        <f>IF(OR($BJ163="",42&gt;設定!$B$3),"",IF(INDEX(原始資料!AS$2:AS$501,$BJ163)="","",INDEX(原始資料!AS$2:AS$501,$BJ163)))</f>
        <v/>
      </c>
      <c r="AR163" s="6">
        <f>IF(OR($BJ163="",43&gt;設定!$B$3),"",IF(INDEX(原始資料!AT$2:AT$501,$BJ163)="","",INDEX(原始資料!AT$2:AT$501,$BJ163)))</f>
        <v/>
      </c>
      <c r="AS163" s="6">
        <f>IF(OR($BJ163="",44&gt;設定!$B$3),"",IF(INDEX(原始資料!AU$2:AU$501,$BJ163)="","",INDEX(原始資料!AU$2:AU$501,$BJ163)))</f>
        <v/>
      </c>
      <c r="AT163" s="6">
        <f>IF(OR($BJ163="",45&gt;設定!$B$3),"",IF(INDEX(原始資料!AV$2:AV$501,$BJ163)="","",INDEX(原始資料!AV$2:AV$501,$BJ163)))</f>
        <v/>
      </c>
      <c r="AU163" s="6">
        <f>IF(OR($BJ163="",46&gt;設定!$B$3),"",IF(INDEX(原始資料!AW$2:AW$501,$BJ163)="","",INDEX(原始資料!AW$2:AW$501,$BJ163)))</f>
        <v/>
      </c>
      <c r="AV163" s="6">
        <f>IF(OR($BJ163="",47&gt;設定!$B$3),"",IF(INDEX(原始資料!AX$2:AX$501,$BJ163)="","",INDEX(原始資料!AX$2:AX$501,$BJ163)))</f>
        <v/>
      </c>
      <c r="AW163" s="6">
        <f>IF(OR($BJ163="",48&gt;設定!$B$3),"",IF(INDEX(原始資料!AY$2:AY$501,$BJ163)="","",INDEX(原始資料!AY$2:AY$501,$BJ163)))</f>
        <v/>
      </c>
      <c r="AX163" s="6">
        <f>IF(OR($BJ163="",49&gt;設定!$B$3),"",IF(INDEX(原始資料!AZ$2:AZ$501,$BJ163)="","",INDEX(原始資料!AZ$2:AZ$501,$BJ163)))</f>
        <v/>
      </c>
      <c r="AY163" s="6">
        <f>IF(OR($BJ163="",50&gt;設定!$B$3),"",IF(INDEX(原始資料!BA$2:BA$501,$BJ163)="","",INDEX(原始資料!BA$2:BA$501,$BJ163)))</f>
        <v/>
      </c>
      <c r="AZ163" s="6">
        <f>IF(OR($BJ163="",51&gt;設定!$B$3),"",IF(INDEX(原始資料!BB$2:BB$501,$BJ163)="","",INDEX(原始資料!BB$2:BB$501,$BJ163)))</f>
        <v/>
      </c>
      <c r="BA163" s="6">
        <f>IF(OR($BJ163="",52&gt;設定!$B$3),"",IF(INDEX(原始資料!BC$2:BC$501,$BJ163)="","",INDEX(原始資料!BC$2:BC$501,$BJ163)))</f>
        <v/>
      </c>
      <c r="BB163" s="6">
        <f>IF(OR($BJ163="",53&gt;設定!$B$3),"",IF(INDEX(原始資料!BD$2:BD$501,$BJ163)="","",INDEX(原始資料!BD$2:BD$501,$BJ163)))</f>
        <v/>
      </c>
      <c r="BC163" s="6">
        <f>IF(OR($BJ163="",54&gt;設定!$B$3),"",IF(INDEX(原始資料!BE$2:BE$501,$BJ163)="","",INDEX(原始資料!BE$2:BE$501,$BJ163)))</f>
        <v/>
      </c>
      <c r="BD163" s="6">
        <f>IF(OR($BJ163="",55&gt;設定!$B$3),"",IF(INDEX(原始資料!BF$2:BF$501,$BJ163)="","",INDEX(原始資料!BF$2:BF$501,$BJ163)))</f>
        <v/>
      </c>
      <c r="BE163" s="6">
        <f>IF(OR($BJ163="",56&gt;設定!$B$3),"",IF(INDEX(原始資料!BG$2:BG$501,$BJ163)="","",INDEX(原始資料!BG$2:BG$501,$BJ163)))</f>
        <v/>
      </c>
      <c r="BF163" s="6">
        <f>IF(OR($BJ163="",57&gt;設定!$B$3),"",IF(INDEX(原始資料!BH$2:BH$501,$BJ163)="","",INDEX(原始資料!BH$2:BH$501,$BJ163)))</f>
        <v/>
      </c>
      <c r="BG163" s="6">
        <f>IF(OR($BJ163="",58&gt;設定!$B$3),"",IF(INDEX(原始資料!BI$2:BI$501,$BJ163)="","",INDEX(原始資料!BI$2:BI$501,$BJ163)))</f>
        <v/>
      </c>
      <c r="BH163" s="6">
        <f>IF(OR($BJ163="",59&gt;設定!$B$3),"",IF(INDEX(原始資料!BJ$2:BJ$501,$BJ163)="","",INDEX(原始資料!BJ$2:BJ$501,$BJ163)))</f>
        <v/>
      </c>
      <c r="BI163" s="6">
        <f>IF(OR($BJ163="",60&gt;設定!$B$3),"",IF(INDEX(原始資料!BK$2:BK$501,$BJ163)="","",INDEX(原始資料!BK$2:BK$501,$BJ163)))</f>
        <v/>
      </c>
      <c r="BJ163" s="6">
        <f>IFERROR(MATCH(ROW()-1,判定!$H$2:$H$501,0),"")</f>
        <v/>
      </c>
    </row>
    <row r="164">
      <c r="A164" s="6">
        <f>IF($BJ164="","",INDEX(原始資料!$A$2:$A$501,$BJ164))</f>
        <v/>
      </c>
      <c r="B164" s="6">
        <f>IF(OR($BJ164="",1&gt;設定!$B$3),"",IF(INDEX(原始資料!D$2:D$501,$BJ164)="","",INDEX(原始資料!D$2:D$501,$BJ164)))</f>
        <v/>
      </c>
      <c r="C164" s="6">
        <f>IF(OR($BJ164="",2&gt;設定!$B$3),"",IF(INDEX(原始資料!E$2:E$501,$BJ164)="","",INDEX(原始資料!E$2:E$501,$BJ164)))</f>
        <v/>
      </c>
      <c r="D164" s="6">
        <f>IF(OR($BJ164="",3&gt;設定!$B$3),"",IF(INDEX(原始資料!F$2:F$501,$BJ164)="","",INDEX(原始資料!F$2:F$501,$BJ164)))</f>
        <v/>
      </c>
      <c r="E164" s="6">
        <f>IF(OR($BJ164="",4&gt;設定!$B$3),"",IF(INDEX(原始資料!G$2:G$501,$BJ164)="","",INDEX(原始資料!G$2:G$501,$BJ164)))</f>
        <v/>
      </c>
      <c r="F164" s="6">
        <f>IF(OR($BJ164="",5&gt;設定!$B$3),"",IF(INDEX(原始資料!H$2:H$501,$BJ164)="","",INDEX(原始資料!H$2:H$501,$BJ164)))</f>
        <v/>
      </c>
      <c r="G164" s="6">
        <f>IF(OR($BJ164="",6&gt;設定!$B$3),"",IF(INDEX(原始資料!I$2:I$501,$BJ164)="","",INDEX(原始資料!I$2:I$501,$BJ164)))</f>
        <v/>
      </c>
      <c r="H164" s="6">
        <f>IF(OR($BJ164="",7&gt;設定!$B$3),"",IF(INDEX(原始資料!J$2:J$501,$BJ164)="","",INDEX(原始資料!J$2:J$501,$BJ164)))</f>
        <v/>
      </c>
      <c r="I164" s="6">
        <f>IF(OR($BJ164="",8&gt;設定!$B$3),"",IF(INDEX(原始資料!K$2:K$501,$BJ164)="","",INDEX(原始資料!K$2:K$501,$BJ164)))</f>
        <v/>
      </c>
      <c r="J164" s="6">
        <f>IF(OR($BJ164="",9&gt;設定!$B$3),"",IF(INDEX(原始資料!L$2:L$501,$BJ164)="","",INDEX(原始資料!L$2:L$501,$BJ164)))</f>
        <v/>
      </c>
      <c r="K164" s="6">
        <f>IF(OR($BJ164="",10&gt;設定!$B$3),"",IF(INDEX(原始資料!M$2:M$501,$BJ164)="","",INDEX(原始資料!M$2:M$501,$BJ164)))</f>
        <v/>
      </c>
      <c r="L164" s="6">
        <f>IF(OR($BJ164="",11&gt;設定!$B$3),"",IF(INDEX(原始資料!N$2:N$501,$BJ164)="","",INDEX(原始資料!N$2:N$501,$BJ164)))</f>
        <v/>
      </c>
      <c r="M164" s="6">
        <f>IF(OR($BJ164="",12&gt;設定!$B$3),"",IF(INDEX(原始資料!O$2:O$501,$BJ164)="","",INDEX(原始資料!O$2:O$501,$BJ164)))</f>
        <v/>
      </c>
      <c r="N164" s="6">
        <f>IF(OR($BJ164="",13&gt;設定!$B$3),"",IF(INDEX(原始資料!P$2:P$501,$BJ164)="","",INDEX(原始資料!P$2:P$501,$BJ164)))</f>
        <v/>
      </c>
      <c r="O164" s="6">
        <f>IF(OR($BJ164="",14&gt;設定!$B$3),"",IF(INDEX(原始資料!Q$2:Q$501,$BJ164)="","",INDEX(原始資料!Q$2:Q$501,$BJ164)))</f>
        <v/>
      </c>
      <c r="P164" s="6">
        <f>IF(OR($BJ164="",15&gt;設定!$B$3),"",IF(INDEX(原始資料!R$2:R$501,$BJ164)="","",INDEX(原始資料!R$2:R$501,$BJ164)))</f>
        <v/>
      </c>
      <c r="Q164" s="6">
        <f>IF(OR($BJ164="",16&gt;設定!$B$3),"",IF(INDEX(原始資料!S$2:S$501,$BJ164)="","",INDEX(原始資料!S$2:S$501,$BJ164)))</f>
        <v/>
      </c>
      <c r="R164" s="6">
        <f>IF(OR($BJ164="",17&gt;設定!$B$3),"",IF(INDEX(原始資料!T$2:T$501,$BJ164)="","",INDEX(原始資料!T$2:T$501,$BJ164)))</f>
        <v/>
      </c>
      <c r="S164" s="6">
        <f>IF(OR($BJ164="",18&gt;設定!$B$3),"",IF(INDEX(原始資料!U$2:U$501,$BJ164)="","",INDEX(原始資料!U$2:U$501,$BJ164)))</f>
        <v/>
      </c>
      <c r="T164" s="6">
        <f>IF(OR($BJ164="",19&gt;設定!$B$3),"",IF(INDEX(原始資料!V$2:V$501,$BJ164)="","",INDEX(原始資料!V$2:V$501,$BJ164)))</f>
        <v/>
      </c>
      <c r="U164" s="6">
        <f>IF(OR($BJ164="",20&gt;設定!$B$3),"",IF(INDEX(原始資料!W$2:W$501,$BJ164)="","",INDEX(原始資料!W$2:W$501,$BJ164)))</f>
        <v/>
      </c>
      <c r="V164" s="6">
        <f>IF(OR($BJ164="",21&gt;設定!$B$3),"",IF(INDEX(原始資料!X$2:X$501,$BJ164)="","",INDEX(原始資料!X$2:X$501,$BJ164)))</f>
        <v/>
      </c>
      <c r="W164" s="6">
        <f>IF(OR($BJ164="",22&gt;設定!$B$3),"",IF(INDEX(原始資料!Y$2:Y$501,$BJ164)="","",INDEX(原始資料!Y$2:Y$501,$BJ164)))</f>
        <v/>
      </c>
      <c r="X164" s="6">
        <f>IF(OR($BJ164="",23&gt;設定!$B$3),"",IF(INDEX(原始資料!Z$2:Z$501,$BJ164)="","",INDEX(原始資料!Z$2:Z$501,$BJ164)))</f>
        <v/>
      </c>
      <c r="Y164" s="6">
        <f>IF(OR($BJ164="",24&gt;設定!$B$3),"",IF(INDEX(原始資料!AA$2:AA$501,$BJ164)="","",INDEX(原始資料!AA$2:AA$501,$BJ164)))</f>
        <v/>
      </c>
      <c r="Z164" s="6">
        <f>IF(OR($BJ164="",25&gt;設定!$B$3),"",IF(INDEX(原始資料!AB$2:AB$501,$BJ164)="","",INDEX(原始資料!AB$2:AB$501,$BJ164)))</f>
        <v/>
      </c>
      <c r="AA164" s="6">
        <f>IF(OR($BJ164="",26&gt;設定!$B$3),"",IF(INDEX(原始資料!AC$2:AC$501,$BJ164)="","",INDEX(原始資料!AC$2:AC$501,$BJ164)))</f>
        <v/>
      </c>
      <c r="AB164" s="6">
        <f>IF(OR($BJ164="",27&gt;設定!$B$3),"",IF(INDEX(原始資料!AD$2:AD$501,$BJ164)="","",INDEX(原始資料!AD$2:AD$501,$BJ164)))</f>
        <v/>
      </c>
      <c r="AC164" s="6">
        <f>IF(OR($BJ164="",28&gt;設定!$B$3),"",IF(INDEX(原始資料!AE$2:AE$501,$BJ164)="","",INDEX(原始資料!AE$2:AE$501,$BJ164)))</f>
        <v/>
      </c>
      <c r="AD164" s="6">
        <f>IF(OR($BJ164="",29&gt;設定!$B$3),"",IF(INDEX(原始資料!AF$2:AF$501,$BJ164)="","",INDEX(原始資料!AF$2:AF$501,$BJ164)))</f>
        <v/>
      </c>
      <c r="AE164" s="6">
        <f>IF(OR($BJ164="",30&gt;設定!$B$3),"",IF(INDEX(原始資料!AG$2:AG$501,$BJ164)="","",INDEX(原始資料!AG$2:AG$501,$BJ164)))</f>
        <v/>
      </c>
      <c r="AF164" s="6">
        <f>IF(OR($BJ164="",31&gt;設定!$B$3),"",IF(INDEX(原始資料!AH$2:AH$501,$BJ164)="","",INDEX(原始資料!AH$2:AH$501,$BJ164)))</f>
        <v/>
      </c>
      <c r="AG164" s="6">
        <f>IF(OR($BJ164="",32&gt;設定!$B$3),"",IF(INDEX(原始資料!AI$2:AI$501,$BJ164)="","",INDEX(原始資料!AI$2:AI$501,$BJ164)))</f>
        <v/>
      </c>
      <c r="AH164" s="6">
        <f>IF(OR($BJ164="",33&gt;設定!$B$3),"",IF(INDEX(原始資料!AJ$2:AJ$501,$BJ164)="","",INDEX(原始資料!AJ$2:AJ$501,$BJ164)))</f>
        <v/>
      </c>
      <c r="AI164" s="6">
        <f>IF(OR($BJ164="",34&gt;設定!$B$3),"",IF(INDEX(原始資料!AK$2:AK$501,$BJ164)="","",INDEX(原始資料!AK$2:AK$501,$BJ164)))</f>
        <v/>
      </c>
      <c r="AJ164" s="6">
        <f>IF(OR($BJ164="",35&gt;設定!$B$3),"",IF(INDEX(原始資料!AL$2:AL$501,$BJ164)="","",INDEX(原始資料!AL$2:AL$501,$BJ164)))</f>
        <v/>
      </c>
      <c r="AK164" s="6">
        <f>IF(OR($BJ164="",36&gt;設定!$B$3),"",IF(INDEX(原始資料!AM$2:AM$501,$BJ164)="","",INDEX(原始資料!AM$2:AM$501,$BJ164)))</f>
        <v/>
      </c>
      <c r="AL164" s="6">
        <f>IF(OR($BJ164="",37&gt;設定!$B$3),"",IF(INDEX(原始資料!AN$2:AN$501,$BJ164)="","",INDEX(原始資料!AN$2:AN$501,$BJ164)))</f>
        <v/>
      </c>
      <c r="AM164" s="6">
        <f>IF(OR($BJ164="",38&gt;設定!$B$3),"",IF(INDEX(原始資料!AO$2:AO$501,$BJ164)="","",INDEX(原始資料!AO$2:AO$501,$BJ164)))</f>
        <v/>
      </c>
      <c r="AN164" s="6">
        <f>IF(OR($BJ164="",39&gt;設定!$B$3),"",IF(INDEX(原始資料!AP$2:AP$501,$BJ164)="","",INDEX(原始資料!AP$2:AP$501,$BJ164)))</f>
        <v/>
      </c>
      <c r="AO164" s="6">
        <f>IF(OR($BJ164="",40&gt;設定!$B$3),"",IF(INDEX(原始資料!AQ$2:AQ$501,$BJ164)="","",INDEX(原始資料!AQ$2:AQ$501,$BJ164)))</f>
        <v/>
      </c>
      <c r="AP164" s="6">
        <f>IF(OR($BJ164="",41&gt;設定!$B$3),"",IF(INDEX(原始資料!AR$2:AR$501,$BJ164)="","",INDEX(原始資料!AR$2:AR$501,$BJ164)))</f>
        <v/>
      </c>
      <c r="AQ164" s="6">
        <f>IF(OR($BJ164="",42&gt;設定!$B$3),"",IF(INDEX(原始資料!AS$2:AS$501,$BJ164)="","",INDEX(原始資料!AS$2:AS$501,$BJ164)))</f>
        <v/>
      </c>
      <c r="AR164" s="6">
        <f>IF(OR($BJ164="",43&gt;設定!$B$3),"",IF(INDEX(原始資料!AT$2:AT$501,$BJ164)="","",INDEX(原始資料!AT$2:AT$501,$BJ164)))</f>
        <v/>
      </c>
      <c r="AS164" s="6">
        <f>IF(OR($BJ164="",44&gt;設定!$B$3),"",IF(INDEX(原始資料!AU$2:AU$501,$BJ164)="","",INDEX(原始資料!AU$2:AU$501,$BJ164)))</f>
        <v/>
      </c>
      <c r="AT164" s="6">
        <f>IF(OR($BJ164="",45&gt;設定!$B$3),"",IF(INDEX(原始資料!AV$2:AV$501,$BJ164)="","",INDEX(原始資料!AV$2:AV$501,$BJ164)))</f>
        <v/>
      </c>
      <c r="AU164" s="6">
        <f>IF(OR($BJ164="",46&gt;設定!$B$3),"",IF(INDEX(原始資料!AW$2:AW$501,$BJ164)="","",INDEX(原始資料!AW$2:AW$501,$BJ164)))</f>
        <v/>
      </c>
      <c r="AV164" s="6">
        <f>IF(OR($BJ164="",47&gt;設定!$B$3),"",IF(INDEX(原始資料!AX$2:AX$501,$BJ164)="","",INDEX(原始資料!AX$2:AX$501,$BJ164)))</f>
        <v/>
      </c>
      <c r="AW164" s="6">
        <f>IF(OR($BJ164="",48&gt;設定!$B$3),"",IF(INDEX(原始資料!AY$2:AY$501,$BJ164)="","",INDEX(原始資料!AY$2:AY$501,$BJ164)))</f>
        <v/>
      </c>
      <c r="AX164" s="6">
        <f>IF(OR($BJ164="",49&gt;設定!$B$3),"",IF(INDEX(原始資料!AZ$2:AZ$501,$BJ164)="","",INDEX(原始資料!AZ$2:AZ$501,$BJ164)))</f>
        <v/>
      </c>
      <c r="AY164" s="6">
        <f>IF(OR($BJ164="",50&gt;設定!$B$3),"",IF(INDEX(原始資料!BA$2:BA$501,$BJ164)="","",INDEX(原始資料!BA$2:BA$501,$BJ164)))</f>
        <v/>
      </c>
      <c r="AZ164" s="6">
        <f>IF(OR($BJ164="",51&gt;設定!$B$3),"",IF(INDEX(原始資料!BB$2:BB$501,$BJ164)="","",INDEX(原始資料!BB$2:BB$501,$BJ164)))</f>
        <v/>
      </c>
      <c r="BA164" s="6">
        <f>IF(OR($BJ164="",52&gt;設定!$B$3),"",IF(INDEX(原始資料!BC$2:BC$501,$BJ164)="","",INDEX(原始資料!BC$2:BC$501,$BJ164)))</f>
        <v/>
      </c>
      <c r="BB164" s="6">
        <f>IF(OR($BJ164="",53&gt;設定!$B$3),"",IF(INDEX(原始資料!BD$2:BD$501,$BJ164)="","",INDEX(原始資料!BD$2:BD$501,$BJ164)))</f>
        <v/>
      </c>
      <c r="BC164" s="6">
        <f>IF(OR($BJ164="",54&gt;設定!$B$3),"",IF(INDEX(原始資料!BE$2:BE$501,$BJ164)="","",INDEX(原始資料!BE$2:BE$501,$BJ164)))</f>
        <v/>
      </c>
      <c r="BD164" s="6">
        <f>IF(OR($BJ164="",55&gt;設定!$B$3),"",IF(INDEX(原始資料!BF$2:BF$501,$BJ164)="","",INDEX(原始資料!BF$2:BF$501,$BJ164)))</f>
        <v/>
      </c>
      <c r="BE164" s="6">
        <f>IF(OR($BJ164="",56&gt;設定!$B$3),"",IF(INDEX(原始資料!BG$2:BG$501,$BJ164)="","",INDEX(原始資料!BG$2:BG$501,$BJ164)))</f>
        <v/>
      </c>
      <c r="BF164" s="6">
        <f>IF(OR($BJ164="",57&gt;設定!$B$3),"",IF(INDEX(原始資料!BH$2:BH$501,$BJ164)="","",INDEX(原始資料!BH$2:BH$501,$BJ164)))</f>
        <v/>
      </c>
      <c r="BG164" s="6">
        <f>IF(OR($BJ164="",58&gt;設定!$B$3),"",IF(INDEX(原始資料!BI$2:BI$501,$BJ164)="","",INDEX(原始資料!BI$2:BI$501,$BJ164)))</f>
        <v/>
      </c>
      <c r="BH164" s="6">
        <f>IF(OR($BJ164="",59&gt;設定!$B$3),"",IF(INDEX(原始資料!BJ$2:BJ$501,$BJ164)="","",INDEX(原始資料!BJ$2:BJ$501,$BJ164)))</f>
        <v/>
      </c>
      <c r="BI164" s="6">
        <f>IF(OR($BJ164="",60&gt;設定!$B$3),"",IF(INDEX(原始資料!BK$2:BK$501,$BJ164)="","",INDEX(原始資料!BK$2:BK$501,$BJ164)))</f>
        <v/>
      </c>
      <c r="BJ164" s="6">
        <f>IFERROR(MATCH(ROW()-1,判定!$H$2:$H$501,0),"")</f>
        <v/>
      </c>
    </row>
    <row r="165">
      <c r="A165" s="6">
        <f>IF($BJ165="","",INDEX(原始資料!$A$2:$A$501,$BJ165))</f>
        <v/>
      </c>
      <c r="B165" s="6">
        <f>IF(OR($BJ165="",1&gt;設定!$B$3),"",IF(INDEX(原始資料!D$2:D$501,$BJ165)="","",INDEX(原始資料!D$2:D$501,$BJ165)))</f>
        <v/>
      </c>
      <c r="C165" s="6">
        <f>IF(OR($BJ165="",2&gt;設定!$B$3),"",IF(INDEX(原始資料!E$2:E$501,$BJ165)="","",INDEX(原始資料!E$2:E$501,$BJ165)))</f>
        <v/>
      </c>
      <c r="D165" s="6">
        <f>IF(OR($BJ165="",3&gt;設定!$B$3),"",IF(INDEX(原始資料!F$2:F$501,$BJ165)="","",INDEX(原始資料!F$2:F$501,$BJ165)))</f>
        <v/>
      </c>
      <c r="E165" s="6">
        <f>IF(OR($BJ165="",4&gt;設定!$B$3),"",IF(INDEX(原始資料!G$2:G$501,$BJ165)="","",INDEX(原始資料!G$2:G$501,$BJ165)))</f>
        <v/>
      </c>
      <c r="F165" s="6">
        <f>IF(OR($BJ165="",5&gt;設定!$B$3),"",IF(INDEX(原始資料!H$2:H$501,$BJ165)="","",INDEX(原始資料!H$2:H$501,$BJ165)))</f>
        <v/>
      </c>
      <c r="G165" s="6">
        <f>IF(OR($BJ165="",6&gt;設定!$B$3),"",IF(INDEX(原始資料!I$2:I$501,$BJ165)="","",INDEX(原始資料!I$2:I$501,$BJ165)))</f>
        <v/>
      </c>
      <c r="H165" s="6">
        <f>IF(OR($BJ165="",7&gt;設定!$B$3),"",IF(INDEX(原始資料!J$2:J$501,$BJ165)="","",INDEX(原始資料!J$2:J$501,$BJ165)))</f>
        <v/>
      </c>
      <c r="I165" s="6">
        <f>IF(OR($BJ165="",8&gt;設定!$B$3),"",IF(INDEX(原始資料!K$2:K$501,$BJ165)="","",INDEX(原始資料!K$2:K$501,$BJ165)))</f>
        <v/>
      </c>
      <c r="J165" s="6">
        <f>IF(OR($BJ165="",9&gt;設定!$B$3),"",IF(INDEX(原始資料!L$2:L$501,$BJ165)="","",INDEX(原始資料!L$2:L$501,$BJ165)))</f>
        <v/>
      </c>
      <c r="K165" s="6">
        <f>IF(OR($BJ165="",10&gt;設定!$B$3),"",IF(INDEX(原始資料!M$2:M$501,$BJ165)="","",INDEX(原始資料!M$2:M$501,$BJ165)))</f>
        <v/>
      </c>
      <c r="L165" s="6">
        <f>IF(OR($BJ165="",11&gt;設定!$B$3),"",IF(INDEX(原始資料!N$2:N$501,$BJ165)="","",INDEX(原始資料!N$2:N$501,$BJ165)))</f>
        <v/>
      </c>
      <c r="M165" s="6">
        <f>IF(OR($BJ165="",12&gt;設定!$B$3),"",IF(INDEX(原始資料!O$2:O$501,$BJ165)="","",INDEX(原始資料!O$2:O$501,$BJ165)))</f>
        <v/>
      </c>
      <c r="N165" s="6">
        <f>IF(OR($BJ165="",13&gt;設定!$B$3),"",IF(INDEX(原始資料!P$2:P$501,$BJ165)="","",INDEX(原始資料!P$2:P$501,$BJ165)))</f>
        <v/>
      </c>
      <c r="O165" s="6">
        <f>IF(OR($BJ165="",14&gt;設定!$B$3),"",IF(INDEX(原始資料!Q$2:Q$501,$BJ165)="","",INDEX(原始資料!Q$2:Q$501,$BJ165)))</f>
        <v/>
      </c>
      <c r="P165" s="6">
        <f>IF(OR($BJ165="",15&gt;設定!$B$3),"",IF(INDEX(原始資料!R$2:R$501,$BJ165)="","",INDEX(原始資料!R$2:R$501,$BJ165)))</f>
        <v/>
      </c>
      <c r="Q165" s="6">
        <f>IF(OR($BJ165="",16&gt;設定!$B$3),"",IF(INDEX(原始資料!S$2:S$501,$BJ165)="","",INDEX(原始資料!S$2:S$501,$BJ165)))</f>
        <v/>
      </c>
      <c r="R165" s="6">
        <f>IF(OR($BJ165="",17&gt;設定!$B$3),"",IF(INDEX(原始資料!T$2:T$501,$BJ165)="","",INDEX(原始資料!T$2:T$501,$BJ165)))</f>
        <v/>
      </c>
      <c r="S165" s="6">
        <f>IF(OR($BJ165="",18&gt;設定!$B$3),"",IF(INDEX(原始資料!U$2:U$501,$BJ165)="","",INDEX(原始資料!U$2:U$501,$BJ165)))</f>
        <v/>
      </c>
      <c r="T165" s="6">
        <f>IF(OR($BJ165="",19&gt;設定!$B$3),"",IF(INDEX(原始資料!V$2:V$501,$BJ165)="","",INDEX(原始資料!V$2:V$501,$BJ165)))</f>
        <v/>
      </c>
      <c r="U165" s="6">
        <f>IF(OR($BJ165="",20&gt;設定!$B$3),"",IF(INDEX(原始資料!W$2:W$501,$BJ165)="","",INDEX(原始資料!W$2:W$501,$BJ165)))</f>
        <v/>
      </c>
      <c r="V165" s="6">
        <f>IF(OR($BJ165="",21&gt;設定!$B$3),"",IF(INDEX(原始資料!X$2:X$501,$BJ165)="","",INDEX(原始資料!X$2:X$501,$BJ165)))</f>
        <v/>
      </c>
      <c r="W165" s="6">
        <f>IF(OR($BJ165="",22&gt;設定!$B$3),"",IF(INDEX(原始資料!Y$2:Y$501,$BJ165)="","",INDEX(原始資料!Y$2:Y$501,$BJ165)))</f>
        <v/>
      </c>
      <c r="X165" s="6">
        <f>IF(OR($BJ165="",23&gt;設定!$B$3),"",IF(INDEX(原始資料!Z$2:Z$501,$BJ165)="","",INDEX(原始資料!Z$2:Z$501,$BJ165)))</f>
        <v/>
      </c>
      <c r="Y165" s="6">
        <f>IF(OR($BJ165="",24&gt;設定!$B$3),"",IF(INDEX(原始資料!AA$2:AA$501,$BJ165)="","",INDEX(原始資料!AA$2:AA$501,$BJ165)))</f>
        <v/>
      </c>
      <c r="Z165" s="6">
        <f>IF(OR($BJ165="",25&gt;設定!$B$3),"",IF(INDEX(原始資料!AB$2:AB$501,$BJ165)="","",INDEX(原始資料!AB$2:AB$501,$BJ165)))</f>
        <v/>
      </c>
      <c r="AA165" s="6">
        <f>IF(OR($BJ165="",26&gt;設定!$B$3),"",IF(INDEX(原始資料!AC$2:AC$501,$BJ165)="","",INDEX(原始資料!AC$2:AC$501,$BJ165)))</f>
        <v/>
      </c>
      <c r="AB165" s="6">
        <f>IF(OR($BJ165="",27&gt;設定!$B$3),"",IF(INDEX(原始資料!AD$2:AD$501,$BJ165)="","",INDEX(原始資料!AD$2:AD$501,$BJ165)))</f>
        <v/>
      </c>
      <c r="AC165" s="6">
        <f>IF(OR($BJ165="",28&gt;設定!$B$3),"",IF(INDEX(原始資料!AE$2:AE$501,$BJ165)="","",INDEX(原始資料!AE$2:AE$501,$BJ165)))</f>
        <v/>
      </c>
      <c r="AD165" s="6">
        <f>IF(OR($BJ165="",29&gt;設定!$B$3),"",IF(INDEX(原始資料!AF$2:AF$501,$BJ165)="","",INDEX(原始資料!AF$2:AF$501,$BJ165)))</f>
        <v/>
      </c>
      <c r="AE165" s="6">
        <f>IF(OR($BJ165="",30&gt;設定!$B$3),"",IF(INDEX(原始資料!AG$2:AG$501,$BJ165)="","",INDEX(原始資料!AG$2:AG$501,$BJ165)))</f>
        <v/>
      </c>
      <c r="AF165" s="6">
        <f>IF(OR($BJ165="",31&gt;設定!$B$3),"",IF(INDEX(原始資料!AH$2:AH$501,$BJ165)="","",INDEX(原始資料!AH$2:AH$501,$BJ165)))</f>
        <v/>
      </c>
      <c r="AG165" s="6">
        <f>IF(OR($BJ165="",32&gt;設定!$B$3),"",IF(INDEX(原始資料!AI$2:AI$501,$BJ165)="","",INDEX(原始資料!AI$2:AI$501,$BJ165)))</f>
        <v/>
      </c>
      <c r="AH165" s="6">
        <f>IF(OR($BJ165="",33&gt;設定!$B$3),"",IF(INDEX(原始資料!AJ$2:AJ$501,$BJ165)="","",INDEX(原始資料!AJ$2:AJ$501,$BJ165)))</f>
        <v/>
      </c>
      <c r="AI165" s="6">
        <f>IF(OR($BJ165="",34&gt;設定!$B$3),"",IF(INDEX(原始資料!AK$2:AK$501,$BJ165)="","",INDEX(原始資料!AK$2:AK$501,$BJ165)))</f>
        <v/>
      </c>
      <c r="AJ165" s="6">
        <f>IF(OR($BJ165="",35&gt;設定!$B$3),"",IF(INDEX(原始資料!AL$2:AL$501,$BJ165)="","",INDEX(原始資料!AL$2:AL$501,$BJ165)))</f>
        <v/>
      </c>
      <c r="AK165" s="6">
        <f>IF(OR($BJ165="",36&gt;設定!$B$3),"",IF(INDEX(原始資料!AM$2:AM$501,$BJ165)="","",INDEX(原始資料!AM$2:AM$501,$BJ165)))</f>
        <v/>
      </c>
      <c r="AL165" s="6">
        <f>IF(OR($BJ165="",37&gt;設定!$B$3),"",IF(INDEX(原始資料!AN$2:AN$501,$BJ165)="","",INDEX(原始資料!AN$2:AN$501,$BJ165)))</f>
        <v/>
      </c>
      <c r="AM165" s="6">
        <f>IF(OR($BJ165="",38&gt;設定!$B$3),"",IF(INDEX(原始資料!AO$2:AO$501,$BJ165)="","",INDEX(原始資料!AO$2:AO$501,$BJ165)))</f>
        <v/>
      </c>
      <c r="AN165" s="6">
        <f>IF(OR($BJ165="",39&gt;設定!$B$3),"",IF(INDEX(原始資料!AP$2:AP$501,$BJ165)="","",INDEX(原始資料!AP$2:AP$501,$BJ165)))</f>
        <v/>
      </c>
      <c r="AO165" s="6">
        <f>IF(OR($BJ165="",40&gt;設定!$B$3),"",IF(INDEX(原始資料!AQ$2:AQ$501,$BJ165)="","",INDEX(原始資料!AQ$2:AQ$501,$BJ165)))</f>
        <v/>
      </c>
      <c r="AP165" s="6">
        <f>IF(OR($BJ165="",41&gt;設定!$B$3),"",IF(INDEX(原始資料!AR$2:AR$501,$BJ165)="","",INDEX(原始資料!AR$2:AR$501,$BJ165)))</f>
        <v/>
      </c>
      <c r="AQ165" s="6">
        <f>IF(OR($BJ165="",42&gt;設定!$B$3),"",IF(INDEX(原始資料!AS$2:AS$501,$BJ165)="","",INDEX(原始資料!AS$2:AS$501,$BJ165)))</f>
        <v/>
      </c>
      <c r="AR165" s="6">
        <f>IF(OR($BJ165="",43&gt;設定!$B$3),"",IF(INDEX(原始資料!AT$2:AT$501,$BJ165)="","",INDEX(原始資料!AT$2:AT$501,$BJ165)))</f>
        <v/>
      </c>
      <c r="AS165" s="6">
        <f>IF(OR($BJ165="",44&gt;設定!$B$3),"",IF(INDEX(原始資料!AU$2:AU$501,$BJ165)="","",INDEX(原始資料!AU$2:AU$501,$BJ165)))</f>
        <v/>
      </c>
      <c r="AT165" s="6">
        <f>IF(OR($BJ165="",45&gt;設定!$B$3),"",IF(INDEX(原始資料!AV$2:AV$501,$BJ165)="","",INDEX(原始資料!AV$2:AV$501,$BJ165)))</f>
        <v/>
      </c>
      <c r="AU165" s="6">
        <f>IF(OR($BJ165="",46&gt;設定!$B$3),"",IF(INDEX(原始資料!AW$2:AW$501,$BJ165)="","",INDEX(原始資料!AW$2:AW$501,$BJ165)))</f>
        <v/>
      </c>
      <c r="AV165" s="6">
        <f>IF(OR($BJ165="",47&gt;設定!$B$3),"",IF(INDEX(原始資料!AX$2:AX$501,$BJ165)="","",INDEX(原始資料!AX$2:AX$501,$BJ165)))</f>
        <v/>
      </c>
      <c r="AW165" s="6">
        <f>IF(OR($BJ165="",48&gt;設定!$B$3),"",IF(INDEX(原始資料!AY$2:AY$501,$BJ165)="","",INDEX(原始資料!AY$2:AY$501,$BJ165)))</f>
        <v/>
      </c>
      <c r="AX165" s="6">
        <f>IF(OR($BJ165="",49&gt;設定!$B$3),"",IF(INDEX(原始資料!AZ$2:AZ$501,$BJ165)="","",INDEX(原始資料!AZ$2:AZ$501,$BJ165)))</f>
        <v/>
      </c>
      <c r="AY165" s="6">
        <f>IF(OR($BJ165="",50&gt;設定!$B$3),"",IF(INDEX(原始資料!BA$2:BA$501,$BJ165)="","",INDEX(原始資料!BA$2:BA$501,$BJ165)))</f>
        <v/>
      </c>
      <c r="AZ165" s="6">
        <f>IF(OR($BJ165="",51&gt;設定!$B$3),"",IF(INDEX(原始資料!BB$2:BB$501,$BJ165)="","",INDEX(原始資料!BB$2:BB$501,$BJ165)))</f>
        <v/>
      </c>
      <c r="BA165" s="6">
        <f>IF(OR($BJ165="",52&gt;設定!$B$3),"",IF(INDEX(原始資料!BC$2:BC$501,$BJ165)="","",INDEX(原始資料!BC$2:BC$501,$BJ165)))</f>
        <v/>
      </c>
      <c r="BB165" s="6">
        <f>IF(OR($BJ165="",53&gt;設定!$B$3),"",IF(INDEX(原始資料!BD$2:BD$501,$BJ165)="","",INDEX(原始資料!BD$2:BD$501,$BJ165)))</f>
        <v/>
      </c>
      <c r="BC165" s="6">
        <f>IF(OR($BJ165="",54&gt;設定!$B$3),"",IF(INDEX(原始資料!BE$2:BE$501,$BJ165)="","",INDEX(原始資料!BE$2:BE$501,$BJ165)))</f>
        <v/>
      </c>
      <c r="BD165" s="6">
        <f>IF(OR($BJ165="",55&gt;設定!$B$3),"",IF(INDEX(原始資料!BF$2:BF$501,$BJ165)="","",INDEX(原始資料!BF$2:BF$501,$BJ165)))</f>
        <v/>
      </c>
      <c r="BE165" s="6">
        <f>IF(OR($BJ165="",56&gt;設定!$B$3),"",IF(INDEX(原始資料!BG$2:BG$501,$BJ165)="","",INDEX(原始資料!BG$2:BG$501,$BJ165)))</f>
        <v/>
      </c>
      <c r="BF165" s="6">
        <f>IF(OR($BJ165="",57&gt;設定!$B$3),"",IF(INDEX(原始資料!BH$2:BH$501,$BJ165)="","",INDEX(原始資料!BH$2:BH$501,$BJ165)))</f>
        <v/>
      </c>
      <c r="BG165" s="6">
        <f>IF(OR($BJ165="",58&gt;設定!$B$3),"",IF(INDEX(原始資料!BI$2:BI$501,$BJ165)="","",INDEX(原始資料!BI$2:BI$501,$BJ165)))</f>
        <v/>
      </c>
      <c r="BH165" s="6">
        <f>IF(OR($BJ165="",59&gt;設定!$B$3),"",IF(INDEX(原始資料!BJ$2:BJ$501,$BJ165)="","",INDEX(原始資料!BJ$2:BJ$501,$BJ165)))</f>
        <v/>
      </c>
      <c r="BI165" s="6">
        <f>IF(OR($BJ165="",60&gt;設定!$B$3),"",IF(INDEX(原始資料!BK$2:BK$501,$BJ165)="","",INDEX(原始資料!BK$2:BK$501,$BJ165)))</f>
        <v/>
      </c>
      <c r="BJ165" s="6">
        <f>IFERROR(MATCH(ROW()-1,判定!$H$2:$H$501,0),"")</f>
        <v/>
      </c>
    </row>
    <row r="166">
      <c r="A166" s="6">
        <f>IF($BJ166="","",INDEX(原始資料!$A$2:$A$501,$BJ166))</f>
        <v/>
      </c>
      <c r="B166" s="6">
        <f>IF(OR($BJ166="",1&gt;設定!$B$3),"",IF(INDEX(原始資料!D$2:D$501,$BJ166)="","",INDEX(原始資料!D$2:D$501,$BJ166)))</f>
        <v/>
      </c>
      <c r="C166" s="6">
        <f>IF(OR($BJ166="",2&gt;設定!$B$3),"",IF(INDEX(原始資料!E$2:E$501,$BJ166)="","",INDEX(原始資料!E$2:E$501,$BJ166)))</f>
        <v/>
      </c>
      <c r="D166" s="6">
        <f>IF(OR($BJ166="",3&gt;設定!$B$3),"",IF(INDEX(原始資料!F$2:F$501,$BJ166)="","",INDEX(原始資料!F$2:F$501,$BJ166)))</f>
        <v/>
      </c>
      <c r="E166" s="6">
        <f>IF(OR($BJ166="",4&gt;設定!$B$3),"",IF(INDEX(原始資料!G$2:G$501,$BJ166)="","",INDEX(原始資料!G$2:G$501,$BJ166)))</f>
        <v/>
      </c>
      <c r="F166" s="6">
        <f>IF(OR($BJ166="",5&gt;設定!$B$3),"",IF(INDEX(原始資料!H$2:H$501,$BJ166)="","",INDEX(原始資料!H$2:H$501,$BJ166)))</f>
        <v/>
      </c>
      <c r="G166" s="6">
        <f>IF(OR($BJ166="",6&gt;設定!$B$3),"",IF(INDEX(原始資料!I$2:I$501,$BJ166)="","",INDEX(原始資料!I$2:I$501,$BJ166)))</f>
        <v/>
      </c>
      <c r="H166" s="6">
        <f>IF(OR($BJ166="",7&gt;設定!$B$3),"",IF(INDEX(原始資料!J$2:J$501,$BJ166)="","",INDEX(原始資料!J$2:J$501,$BJ166)))</f>
        <v/>
      </c>
      <c r="I166" s="6">
        <f>IF(OR($BJ166="",8&gt;設定!$B$3),"",IF(INDEX(原始資料!K$2:K$501,$BJ166)="","",INDEX(原始資料!K$2:K$501,$BJ166)))</f>
        <v/>
      </c>
      <c r="J166" s="6">
        <f>IF(OR($BJ166="",9&gt;設定!$B$3),"",IF(INDEX(原始資料!L$2:L$501,$BJ166)="","",INDEX(原始資料!L$2:L$501,$BJ166)))</f>
        <v/>
      </c>
      <c r="K166" s="6">
        <f>IF(OR($BJ166="",10&gt;設定!$B$3),"",IF(INDEX(原始資料!M$2:M$501,$BJ166)="","",INDEX(原始資料!M$2:M$501,$BJ166)))</f>
        <v/>
      </c>
      <c r="L166" s="6">
        <f>IF(OR($BJ166="",11&gt;設定!$B$3),"",IF(INDEX(原始資料!N$2:N$501,$BJ166)="","",INDEX(原始資料!N$2:N$501,$BJ166)))</f>
        <v/>
      </c>
      <c r="M166" s="6">
        <f>IF(OR($BJ166="",12&gt;設定!$B$3),"",IF(INDEX(原始資料!O$2:O$501,$BJ166)="","",INDEX(原始資料!O$2:O$501,$BJ166)))</f>
        <v/>
      </c>
      <c r="N166" s="6">
        <f>IF(OR($BJ166="",13&gt;設定!$B$3),"",IF(INDEX(原始資料!P$2:P$501,$BJ166)="","",INDEX(原始資料!P$2:P$501,$BJ166)))</f>
        <v/>
      </c>
      <c r="O166" s="6">
        <f>IF(OR($BJ166="",14&gt;設定!$B$3),"",IF(INDEX(原始資料!Q$2:Q$501,$BJ166)="","",INDEX(原始資料!Q$2:Q$501,$BJ166)))</f>
        <v/>
      </c>
      <c r="P166" s="6">
        <f>IF(OR($BJ166="",15&gt;設定!$B$3),"",IF(INDEX(原始資料!R$2:R$501,$BJ166)="","",INDEX(原始資料!R$2:R$501,$BJ166)))</f>
        <v/>
      </c>
      <c r="Q166" s="6">
        <f>IF(OR($BJ166="",16&gt;設定!$B$3),"",IF(INDEX(原始資料!S$2:S$501,$BJ166)="","",INDEX(原始資料!S$2:S$501,$BJ166)))</f>
        <v/>
      </c>
      <c r="R166" s="6">
        <f>IF(OR($BJ166="",17&gt;設定!$B$3),"",IF(INDEX(原始資料!T$2:T$501,$BJ166)="","",INDEX(原始資料!T$2:T$501,$BJ166)))</f>
        <v/>
      </c>
      <c r="S166" s="6">
        <f>IF(OR($BJ166="",18&gt;設定!$B$3),"",IF(INDEX(原始資料!U$2:U$501,$BJ166)="","",INDEX(原始資料!U$2:U$501,$BJ166)))</f>
        <v/>
      </c>
      <c r="T166" s="6">
        <f>IF(OR($BJ166="",19&gt;設定!$B$3),"",IF(INDEX(原始資料!V$2:V$501,$BJ166)="","",INDEX(原始資料!V$2:V$501,$BJ166)))</f>
        <v/>
      </c>
      <c r="U166" s="6">
        <f>IF(OR($BJ166="",20&gt;設定!$B$3),"",IF(INDEX(原始資料!W$2:W$501,$BJ166)="","",INDEX(原始資料!W$2:W$501,$BJ166)))</f>
        <v/>
      </c>
      <c r="V166" s="6">
        <f>IF(OR($BJ166="",21&gt;設定!$B$3),"",IF(INDEX(原始資料!X$2:X$501,$BJ166)="","",INDEX(原始資料!X$2:X$501,$BJ166)))</f>
        <v/>
      </c>
      <c r="W166" s="6">
        <f>IF(OR($BJ166="",22&gt;設定!$B$3),"",IF(INDEX(原始資料!Y$2:Y$501,$BJ166)="","",INDEX(原始資料!Y$2:Y$501,$BJ166)))</f>
        <v/>
      </c>
      <c r="X166" s="6">
        <f>IF(OR($BJ166="",23&gt;設定!$B$3),"",IF(INDEX(原始資料!Z$2:Z$501,$BJ166)="","",INDEX(原始資料!Z$2:Z$501,$BJ166)))</f>
        <v/>
      </c>
      <c r="Y166" s="6">
        <f>IF(OR($BJ166="",24&gt;設定!$B$3),"",IF(INDEX(原始資料!AA$2:AA$501,$BJ166)="","",INDEX(原始資料!AA$2:AA$501,$BJ166)))</f>
        <v/>
      </c>
      <c r="Z166" s="6">
        <f>IF(OR($BJ166="",25&gt;設定!$B$3),"",IF(INDEX(原始資料!AB$2:AB$501,$BJ166)="","",INDEX(原始資料!AB$2:AB$501,$BJ166)))</f>
        <v/>
      </c>
      <c r="AA166" s="6">
        <f>IF(OR($BJ166="",26&gt;設定!$B$3),"",IF(INDEX(原始資料!AC$2:AC$501,$BJ166)="","",INDEX(原始資料!AC$2:AC$501,$BJ166)))</f>
        <v/>
      </c>
      <c r="AB166" s="6">
        <f>IF(OR($BJ166="",27&gt;設定!$B$3),"",IF(INDEX(原始資料!AD$2:AD$501,$BJ166)="","",INDEX(原始資料!AD$2:AD$501,$BJ166)))</f>
        <v/>
      </c>
      <c r="AC166" s="6">
        <f>IF(OR($BJ166="",28&gt;設定!$B$3),"",IF(INDEX(原始資料!AE$2:AE$501,$BJ166)="","",INDEX(原始資料!AE$2:AE$501,$BJ166)))</f>
        <v/>
      </c>
      <c r="AD166" s="6">
        <f>IF(OR($BJ166="",29&gt;設定!$B$3),"",IF(INDEX(原始資料!AF$2:AF$501,$BJ166)="","",INDEX(原始資料!AF$2:AF$501,$BJ166)))</f>
        <v/>
      </c>
      <c r="AE166" s="6">
        <f>IF(OR($BJ166="",30&gt;設定!$B$3),"",IF(INDEX(原始資料!AG$2:AG$501,$BJ166)="","",INDEX(原始資料!AG$2:AG$501,$BJ166)))</f>
        <v/>
      </c>
      <c r="AF166" s="6">
        <f>IF(OR($BJ166="",31&gt;設定!$B$3),"",IF(INDEX(原始資料!AH$2:AH$501,$BJ166)="","",INDEX(原始資料!AH$2:AH$501,$BJ166)))</f>
        <v/>
      </c>
      <c r="AG166" s="6">
        <f>IF(OR($BJ166="",32&gt;設定!$B$3),"",IF(INDEX(原始資料!AI$2:AI$501,$BJ166)="","",INDEX(原始資料!AI$2:AI$501,$BJ166)))</f>
        <v/>
      </c>
      <c r="AH166" s="6">
        <f>IF(OR($BJ166="",33&gt;設定!$B$3),"",IF(INDEX(原始資料!AJ$2:AJ$501,$BJ166)="","",INDEX(原始資料!AJ$2:AJ$501,$BJ166)))</f>
        <v/>
      </c>
      <c r="AI166" s="6">
        <f>IF(OR($BJ166="",34&gt;設定!$B$3),"",IF(INDEX(原始資料!AK$2:AK$501,$BJ166)="","",INDEX(原始資料!AK$2:AK$501,$BJ166)))</f>
        <v/>
      </c>
      <c r="AJ166" s="6">
        <f>IF(OR($BJ166="",35&gt;設定!$B$3),"",IF(INDEX(原始資料!AL$2:AL$501,$BJ166)="","",INDEX(原始資料!AL$2:AL$501,$BJ166)))</f>
        <v/>
      </c>
      <c r="AK166" s="6">
        <f>IF(OR($BJ166="",36&gt;設定!$B$3),"",IF(INDEX(原始資料!AM$2:AM$501,$BJ166)="","",INDEX(原始資料!AM$2:AM$501,$BJ166)))</f>
        <v/>
      </c>
      <c r="AL166" s="6">
        <f>IF(OR($BJ166="",37&gt;設定!$B$3),"",IF(INDEX(原始資料!AN$2:AN$501,$BJ166)="","",INDEX(原始資料!AN$2:AN$501,$BJ166)))</f>
        <v/>
      </c>
      <c r="AM166" s="6">
        <f>IF(OR($BJ166="",38&gt;設定!$B$3),"",IF(INDEX(原始資料!AO$2:AO$501,$BJ166)="","",INDEX(原始資料!AO$2:AO$501,$BJ166)))</f>
        <v/>
      </c>
      <c r="AN166" s="6">
        <f>IF(OR($BJ166="",39&gt;設定!$B$3),"",IF(INDEX(原始資料!AP$2:AP$501,$BJ166)="","",INDEX(原始資料!AP$2:AP$501,$BJ166)))</f>
        <v/>
      </c>
      <c r="AO166" s="6">
        <f>IF(OR($BJ166="",40&gt;設定!$B$3),"",IF(INDEX(原始資料!AQ$2:AQ$501,$BJ166)="","",INDEX(原始資料!AQ$2:AQ$501,$BJ166)))</f>
        <v/>
      </c>
      <c r="AP166" s="6">
        <f>IF(OR($BJ166="",41&gt;設定!$B$3),"",IF(INDEX(原始資料!AR$2:AR$501,$BJ166)="","",INDEX(原始資料!AR$2:AR$501,$BJ166)))</f>
        <v/>
      </c>
      <c r="AQ166" s="6">
        <f>IF(OR($BJ166="",42&gt;設定!$B$3),"",IF(INDEX(原始資料!AS$2:AS$501,$BJ166)="","",INDEX(原始資料!AS$2:AS$501,$BJ166)))</f>
        <v/>
      </c>
      <c r="AR166" s="6">
        <f>IF(OR($BJ166="",43&gt;設定!$B$3),"",IF(INDEX(原始資料!AT$2:AT$501,$BJ166)="","",INDEX(原始資料!AT$2:AT$501,$BJ166)))</f>
        <v/>
      </c>
      <c r="AS166" s="6">
        <f>IF(OR($BJ166="",44&gt;設定!$B$3),"",IF(INDEX(原始資料!AU$2:AU$501,$BJ166)="","",INDEX(原始資料!AU$2:AU$501,$BJ166)))</f>
        <v/>
      </c>
      <c r="AT166" s="6">
        <f>IF(OR($BJ166="",45&gt;設定!$B$3),"",IF(INDEX(原始資料!AV$2:AV$501,$BJ166)="","",INDEX(原始資料!AV$2:AV$501,$BJ166)))</f>
        <v/>
      </c>
      <c r="AU166" s="6">
        <f>IF(OR($BJ166="",46&gt;設定!$B$3),"",IF(INDEX(原始資料!AW$2:AW$501,$BJ166)="","",INDEX(原始資料!AW$2:AW$501,$BJ166)))</f>
        <v/>
      </c>
      <c r="AV166" s="6">
        <f>IF(OR($BJ166="",47&gt;設定!$B$3),"",IF(INDEX(原始資料!AX$2:AX$501,$BJ166)="","",INDEX(原始資料!AX$2:AX$501,$BJ166)))</f>
        <v/>
      </c>
      <c r="AW166" s="6">
        <f>IF(OR($BJ166="",48&gt;設定!$B$3),"",IF(INDEX(原始資料!AY$2:AY$501,$BJ166)="","",INDEX(原始資料!AY$2:AY$501,$BJ166)))</f>
        <v/>
      </c>
      <c r="AX166" s="6">
        <f>IF(OR($BJ166="",49&gt;設定!$B$3),"",IF(INDEX(原始資料!AZ$2:AZ$501,$BJ166)="","",INDEX(原始資料!AZ$2:AZ$501,$BJ166)))</f>
        <v/>
      </c>
      <c r="AY166" s="6">
        <f>IF(OR($BJ166="",50&gt;設定!$B$3),"",IF(INDEX(原始資料!BA$2:BA$501,$BJ166)="","",INDEX(原始資料!BA$2:BA$501,$BJ166)))</f>
        <v/>
      </c>
      <c r="AZ166" s="6">
        <f>IF(OR($BJ166="",51&gt;設定!$B$3),"",IF(INDEX(原始資料!BB$2:BB$501,$BJ166)="","",INDEX(原始資料!BB$2:BB$501,$BJ166)))</f>
        <v/>
      </c>
      <c r="BA166" s="6">
        <f>IF(OR($BJ166="",52&gt;設定!$B$3),"",IF(INDEX(原始資料!BC$2:BC$501,$BJ166)="","",INDEX(原始資料!BC$2:BC$501,$BJ166)))</f>
        <v/>
      </c>
      <c r="BB166" s="6">
        <f>IF(OR($BJ166="",53&gt;設定!$B$3),"",IF(INDEX(原始資料!BD$2:BD$501,$BJ166)="","",INDEX(原始資料!BD$2:BD$501,$BJ166)))</f>
        <v/>
      </c>
      <c r="BC166" s="6">
        <f>IF(OR($BJ166="",54&gt;設定!$B$3),"",IF(INDEX(原始資料!BE$2:BE$501,$BJ166)="","",INDEX(原始資料!BE$2:BE$501,$BJ166)))</f>
        <v/>
      </c>
      <c r="BD166" s="6">
        <f>IF(OR($BJ166="",55&gt;設定!$B$3),"",IF(INDEX(原始資料!BF$2:BF$501,$BJ166)="","",INDEX(原始資料!BF$2:BF$501,$BJ166)))</f>
        <v/>
      </c>
      <c r="BE166" s="6">
        <f>IF(OR($BJ166="",56&gt;設定!$B$3),"",IF(INDEX(原始資料!BG$2:BG$501,$BJ166)="","",INDEX(原始資料!BG$2:BG$501,$BJ166)))</f>
        <v/>
      </c>
      <c r="BF166" s="6">
        <f>IF(OR($BJ166="",57&gt;設定!$B$3),"",IF(INDEX(原始資料!BH$2:BH$501,$BJ166)="","",INDEX(原始資料!BH$2:BH$501,$BJ166)))</f>
        <v/>
      </c>
      <c r="BG166" s="6">
        <f>IF(OR($BJ166="",58&gt;設定!$B$3),"",IF(INDEX(原始資料!BI$2:BI$501,$BJ166)="","",INDEX(原始資料!BI$2:BI$501,$BJ166)))</f>
        <v/>
      </c>
      <c r="BH166" s="6">
        <f>IF(OR($BJ166="",59&gt;設定!$B$3),"",IF(INDEX(原始資料!BJ$2:BJ$501,$BJ166)="","",INDEX(原始資料!BJ$2:BJ$501,$BJ166)))</f>
        <v/>
      </c>
      <c r="BI166" s="6">
        <f>IF(OR($BJ166="",60&gt;設定!$B$3),"",IF(INDEX(原始資料!BK$2:BK$501,$BJ166)="","",INDEX(原始資料!BK$2:BK$501,$BJ166)))</f>
        <v/>
      </c>
      <c r="BJ166" s="6">
        <f>IFERROR(MATCH(ROW()-1,判定!$H$2:$H$501,0),"")</f>
        <v/>
      </c>
    </row>
    <row r="167">
      <c r="A167" s="6">
        <f>IF($BJ167="","",INDEX(原始資料!$A$2:$A$501,$BJ167))</f>
        <v/>
      </c>
      <c r="B167" s="6">
        <f>IF(OR($BJ167="",1&gt;設定!$B$3),"",IF(INDEX(原始資料!D$2:D$501,$BJ167)="","",INDEX(原始資料!D$2:D$501,$BJ167)))</f>
        <v/>
      </c>
      <c r="C167" s="6">
        <f>IF(OR($BJ167="",2&gt;設定!$B$3),"",IF(INDEX(原始資料!E$2:E$501,$BJ167)="","",INDEX(原始資料!E$2:E$501,$BJ167)))</f>
        <v/>
      </c>
      <c r="D167" s="6">
        <f>IF(OR($BJ167="",3&gt;設定!$B$3),"",IF(INDEX(原始資料!F$2:F$501,$BJ167)="","",INDEX(原始資料!F$2:F$501,$BJ167)))</f>
        <v/>
      </c>
      <c r="E167" s="6">
        <f>IF(OR($BJ167="",4&gt;設定!$B$3),"",IF(INDEX(原始資料!G$2:G$501,$BJ167)="","",INDEX(原始資料!G$2:G$501,$BJ167)))</f>
        <v/>
      </c>
      <c r="F167" s="6">
        <f>IF(OR($BJ167="",5&gt;設定!$B$3),"",IF(INDEX(原始資料!H$2:H$501,$BJ167)="","",INDEX(原始資料!H$2:H$501,$BJ167)))</f>
        <v/>
      </c>
      <c r="G167" s="6">
        <f>IF(OR($BJ167="",6&gt;設定!$B$3),"",IF(INDEX(原始資料!I$2:I$501,$BJ167)="","",INDEX(原始資料!I$2:I$501,$BJ167)))</f>
        <v/>
      </c>
      <c r="H167" s="6">
        <f>IF(OR($BJ167="",7&gt;設定!$B$3),"",IF(INDEX(原始資料!J$2:J$501,$BJ167)="","",INDEX(原始資料!J$2:J$501,$BJ167)))</f>
        <v/>
      </c>
      <c r="I167" s="6">
        <f>IF(OR($BJ167="",8&gt;設定!$B$3),"",IF(INDEX(原始資料!K$2:K$501,$BJ167)="","",INDEX(原始資料!K$2:K$501,$BJ167)))</f>
        <v/>
      </c>
      <c r="J167" s="6">
        <f>IF(OR($BJ167="",9&gt;設定!$B$3),"",IF(INDEX(原始資料!L$2:L$501,$BJ167)="","",INDEX(原始資料!L$2:L$501,$BJ167)))</f>
        <v/>
      </c>
      <c r="K167" s="6">
        <f>IF(OR($BJ167="",10&gt;設定!$B$3),"",IF(INDEX(原始資料!M$2:M$501,$BJ167)="","",INDEX(原始資料!M$2:M$501,$BJ167)))</f>
        <v/>
      </c>
      <c r="L167" s="6">
        <f>IF(OR($BJ167="",11&gt;設定!$B$3),"",IF(INDEX(原始資料!N$2:N$501,$BJ167)="","",INDEX(原始資料!N$2:N$501,$BJ167)))</f>
        <v/>
      </c>
      <c r="M167" s="6">
        <f>IF(OR($BJ167="",12&gt;設定!$B$3),"",IF(INDEX(原始資料!O$2:O$501,$BJ167)="","",INDEX(原始資料!O$2:O$501,$BJ167)))</f>
        <v/>
      </c>
      <c r="N167" s="6">
        <f>IF(OR($BJ167="",13&gt;設定!$B$3),"",IF(INDEX(原始資料!P$2:P$501,$BJ167)="","",INDEX(原始資料!P$2:P$501,$BJ167)))</f>
        <v/>
      </c>
      <c r="O167" s="6">
        <f>IF(OR($BJ167="",14&gt;設定!$B$3),"",IF(INDEX(原始資料!Q$2:Q$501,$BJ167)="","",INDEX(原始資料!Q$2:Q$501,$BJ167)))</f>
        <v/>
      </c>
      <c r="P167" s="6">
        <f>IF(OR($BJ167="",15&gt;設定!$B$3),"",IF(INDEX(原始資料!R$2:R$501,$BJ167)="","",INDEX(原始資料!R$2:R$501,$BJ167)))</f>
        <v/>
      </c>
      <c r="Q167" s="6">
        <f>IF(OR($BJ167="",16&gt;設定!$B$3),"",IF(INDEX(原始資料!S$2:S$501,$BJ167)="","",INDEX(原始資料!S$2:S$501,$BJ167)))</f>
        <v/>
      </c>
      <c r="R167" s="6">
        <f>IF(OR($BJ167="",17&gt;設定!$B$3),"",IF(INDEX(原始資料!T$2:T$501,$BJ167)="","",INDEX(原始資料!T$2:T$501,$BJ167)))</f>
        <v/>
      </c>
      <c r="S167" s="6">
        <f>IF(OR($BJ167="",18&gt;設定!$B$3),"",IF(INDEX(原始資料!U$2:U$501,$BJ167)="","",INDEX(原始資料!U$2:U$501,$BJ167)))</f>
        <v/>
      </c>
      <c r="T167" s="6">
        <f>IF(OR($BJ167="",19&gt;設定!$B$3),"",IF(INDEX(原始資料!V$2:V$501,$BJ167)="","",INDEX(原始資料!V$2:V$501,$BJ167)))</f>
        <v/>
      </c>
      <c r="U167" s="6">
        <f>IF(OR($BJ167="",20&gt;設定!$B$3),"",IF(INDEX(原始資料!W$2:W$501,$BJ167)="","",INDEX(原始資料!W$2:W$501,$BJ167)))</f>
        <v/>
      </c>
      <c r="V167" s="6">
        <f>IF(OR($BJ167="",21&gt;設定!$B$3),"",IF(INDEX(原始資料!X$2:X$501,$BJ167)="","",INDEX(原始資料!X$2:X$501,$BJ167)))</f>
        <v/>
      </c>
      <c r="W167" s="6">
        <f>IF(OR($BJ167="",22&gt;設定!$B$3),"",IF(INDEX(原始資料!Y$2:Y$501,$BJ167)="","",INDEX(原始資料!Y$2:Y$501,$BJ167)))</f>
        <v/>
      </c>
      <c r="X167" s="6">
        <f>IF(OR($BJ167="",23&gt;設定!$B$3),"",IF(INDEX(原始資料!Z$2:Z$501,$BJ167)="","",INDEX(原始資料!Z$2:Z$501,$BJ167)))</f>
        <v/>
      </c>
      <c r="Y167" s="6">
        <f>IF(OR($BJ167="",24&gt;設定!$B$3),"",IF(INDEX(原始資料!AA$2:AA$501,$BJ167)="","",INDEX(原始資料!AA$2:AA$501,$BJ167)))</f>
        <v/>
      </c>
      <c r="Z167" s="6">
        <f>IF(OR($BJ167="",25&gt;設定!$B$3),"",IF(INDEX(原始資料!AB$2:AB$501,$BJ167)="","",INDEX(原始資料!AB$2:AB$501,$BJ167)))</f>
        <v/>
      </c>
      <c r="AA167" s="6">
        <f>IF(OR($BJ167="",26&gt;設定!$B$3),"",IF(INDEX(原始資料!AC$2:AC$501,$BJ167)="","",INDEX(原始資料!AC$2:AC$501,$BJ167)))</f>
        <v/>
      </c>
      <c r="AB167" s="6">
        <f>IF(OR($BJ167="",27&gt;設定!$B$3),"",IF(INDEX(原始資料!AD$2:AD$501,$BJ167)="","",INDEX(原始資料!AD$2:AD$501,$BJ167)))</f>
        <v/>
      </c>
      <c r="AC167" s="6">
        <f>IF(OR($BJ167="",28&gt;設定!$B$3),"",IF(INDEX(原始資料!AE$2:AE$501,$BJ167)="","",INDEX(原始資料!AE$2:AE$501,$BJ167)))</f>
        <v/>
      </c>
      <c r="AD167" s="6">
        <f>IF(OR($BJ167="",29&gt;設定!$B$3),"",IF(INDEX(原始資料!AF$2:AF$501,$BJ167)="","",INDEX(原始資料!AF$2:AF$501,$BJ167)))</f>
        <v/>
      </c>
      <c r="AE167" s="6">
        <f>IF(OR($BJ167="",30&gt;設定!$B$3),"",IF(INDEX(原始資料!AG$2:AG$501,$BJ167)="","",INDEX(原始資料!AG$2:AG$501,$BJ167)))</f>
        <v/>
      </c>
      <c r="AF167" s="6">
        <f>IF(OR($BJ167="",31&gt;設定!$B$3),"",IF(INDEX(原始資料!AH$2:AH$501,$BJ167)="","",INDEX(原始資料!AH$2:AH$501,$BJ167)))</f>
        <v/>
      </c>
      <c r="AG167" s="6">
        <f>IF(OR($BJ167="",32&gt;設定!$B$3),"",IF(INDEX(原始資料!AI$2:AI$501,$BJ167)="","",INDEX(原始資料!AI$2:AI$501,$BJ167)))</f>
        <v/>
      </c>
      <c r="AH167" s="6">
        <f>IF(OR($BJ167="",33&gt;設定!$B$3),"",IF(INDEX(原始資料!AJ$2:AJ$501,$BJ167)="","",INDEX(原始資料!AJ$2:AJ$501,$BJ167)))</f>
        <v/>
      </c>
      <c r="AI167" s="6">
        <f>IF(OR($BJ167="",34&gt;設定!$B$3),"",IF(INDEX(原始資料!AK$2:AK$501,$BJ167)="","",INDEX(原始資料!AK$2:AK$501,$BJ167)))</f>
        <v/>
      </c>
      <c r="AJ167" s="6">
        <f>IF(OR($BJ167="",35&gt;設定!$B$3),"",IF(INDEX(原始資料!AL$2:AL$501,$BJ167)="","",INDEX(原始資料!AL$2:AL$501,$BJ167)))</f>
        <v/>
      </c>
      <c r="AK167" s="6">
        <f>IF(OR($BJ167="",36&gt;設定!$B$3),"",IF(INDEX(原始資料!AM$2:AM$501,$BJ167)="","",INDEX(原始資料!AM$2:AM$501,$BJ167)))</f>
        <v/>
      </c>
      <c r="AL167" s="6">
        <f>IF(OR($BJ167="",37&gt;設定!$B$3),"",IF(INDEX(原始資料!AN$2:AN$501,$BJ167)="","",INDEX(原始資料!AN$2:AN$501,$BJ167)))</f>
        <v/>
      </c>
      <c r="AM167" s="6">
        <f>IF(OR($BJ167="",38&gt;設定!$B$3),"",IF(INDEX(原始資料!AO$2:AO$501,$BJ167)="","",INDEX(原始資料!AO$2:AO$501,$BJ167)))</f>
        <v/>
      </c>
      <c r="AN167" s="6">
        <f>IF(OR($BJ167="",39&gt;設定!$B$3),"",IF(INDEX(原始資料!AP$2:AP$501,$BJ167)="","",INDEX(原始資料!AP$2:AP$501,$BJ167)))</f>
        <v/>
      </c>
      <c r="AO167" s="6">
        <f>IF(OR($BJ167="",40&gt;設定!$B$3),"",IF(INDEX(原始資料!AQ$2:AQ$501,$BJ167)="","",INDEX(原始資料!AQ$2:AQ$501,$BJ167)))</f>
        <v/>
      </c>
      <c r="AP167" s="6">
        <f>IF(OR($BJ167="",41&gt;設定!$B$3),"",IF(INDEX(原始資料!AR$2:AR$501,$BJ167)="","",INDEX(原始資料!AR$2:AR$501,$BJ167)))</f>
        <v/>
      </c>
      <c r="AQ167" s="6">
        <f>IF(OR($BJ167="",42&gt;設定!$B$3),"",IF(INDEX(原始資料!AS$2:AS$501,$BJ167)="","",INDEX(原始資料!AS$2:AS$501,$BJ167)))</f>
        <v/>
      </c>
      <c r="AR167" s="6">
        <f>IF(OR($BJ167="",43&gt;設定!$B$3),"",IF(INDEX(原始資料!AT$2:AT$501,$BJ167)="","",INDEX(原始資料!AT$2:AT$501,$BJ167)))</f>
        <v/>
      </c>
      <c r="AS167" s="6">
        <f>IF(OR($BJ167="",44&gt;設定!$B$3),"",IF(INDEX(原始資料!AU$2:AU$501,$BJ167)="","",INDEX(原始資料!AU$2:AU$501,$BJ167)))</f>
        <v/>
      </c>
      <c r="AT167" s="6">
        <f>IF(OR($BJ167="",45&gt;設定!$B$3),"",IF(INDEX(原始資料!AV$2:AV$501,$BJ167)="","",INDEX(原始資料!AV$2:AV$501,$BJ167)))</f>
        <v/>
      </c>
      <c r="AU167" s="6">
        <f>IF(OR($BJ167="",46&gt;設定!$B$3),"",IF(INDEX(原始資料!AW$2:AW$501,$BJ167)="","",INDEX(原始資料!AW$2:AW$501,$BJ167)))</f>
        <v/>
      </c>
      <c r="AV167" s="6">
        <f>IF(OR($BJ167="",47&gt;設定!$B$3),"",IF(INDEX(原始資料!AX$2:AX$501,$BJ167)="","",INDEX(原始資料!AX$2:AX$501,$BJ167)))</f>
        <v/>
      </c>
      <c r="AW167" s="6">
        <f>IF(OR($BJ167="",48&gt;設定!$B$3),"",IF(INDEX(原始資料!AY$2:AY$501,$BJ167)="","",INDEX(原始資料!AY$2:AY$501,$BJ167)))</f>
        <v/>
      </c>
      <c r="AX167" s="6">
        <f>IF(OR($BJ167="",49&gt;設定!$B$3),"",IF(INDEX(原始資料!AZ$2:AZ$501,$BJ167)="","",INDEX(原始資料!AZ$2:AZ$501,$BJ167)))</f>
        <v/>
      </c>
      <c r="AY167" s="6">
        <f>IF(OR($BJ167="",50&gt;設定!$B$3),"",IF(INDEX(原始資料!BA$2:BA$501,$BJ167)="","",INDEX(原始資料!BA$2:BA$501,$BJ167)))</f>
        <v/>
      </c>
      <c r="AZ167" s="6">
        <f>IF(OR($BJ167="",51&gt;設定!$B$3),"",IF(INDEX(原始資料!BB$2:BB$501,$BJ167)="","",INDEX(原始資料!BB$2:BB$501,$BJ167)))</f>
        <v/>
      </c>
      <c r="BA167" s="6">
        <f>IF(OR($BJ167="",52&gt;設定!$B$3),"",IF(INDEX(原始資料!BC$2:BC$501,$BJ167)="","",INDEX(原始資料!BC$2:BC$501,$BJ167)))</f>
        <v/>
      </c>
      <c r="BB167" s="6">
        <f>IF(OR($BJ167="",53&gt;設定!$B$3),"",IF(INDEX(原始資料!BD$2:BD$501,$BJ167)="","",INDEX(原始資料!BD$2:BD$501,$BJ167)))</f>
        <v/>
      </c>
      <c r="BC167" s="6">
        <f>IF(OR($BJ167="",54&gt;設定!$B$3),"",IF(INDEX(原始資料!BE$2:BE$501,$BJ167)="","",INDEX(原始資料!BE$2:BE$501,$BJ167)))</f>
        <v/>
      </c>
      <c r="BD167" s="6">
        <f>IF(OR($BJ167="",55&gt;設定!$B$3),"",IF(INDEX(原始資料!BF$2:BF$501,$BJ167)="","",INDEX(原始資料!BF$2:BF$501,$BJ167)))</f>
        <v/>
      </c>
      <c r="BE167" s="6">
        <f>IF(OR($BJ167="",56&gt;設定!$B$3),"",IF(INDEX(原始資料!BG$2:BG$501,$BJ167)="","",INDEX(原始資料!BG$2:BG$501,$BJ167)))</f>
        <v/>
      </c>
      <c r="BF167" s="6">
        <f>IF(OR($BJ167="",57&gt;設定!$B$3),"",IF(INDEX(原始資料!BH$2:BH$501,$BJ167)="","",INDEX(原始資料!BH$2:BH$501,$BJ167)))</f>
        <v/>
      </c>
      <c r="BG167" s="6">
        <f>IF(OR($BJ167="",58&gt;設定!$B$3),"",IF(INDEX(原始資料!BI$2:BI$501,$BJ167)="","",INDEX(原始資料!BI$2:BI$501,$BJ167)))</f>
        <v/>
      </c>
      <c r="BH167" s="6">
        <f>IF(OR($BJ167="",59&gt;設定!$B$3),"",IF(INDEX(原始資料!BJ$2:BJ$501,$BJ167)="","",INDEX(原始資料!BJ$2:BJ$501,$BJ167)))</f>
        <v/>
      </c>
      <c r="BI167" s="6">
        <f>IF(OR($BJ167="",60&gt;設定!$B$3),"",IF(INDEX(原始資料!BK$2:BK$501,$BJ167)="","",INDEX(原始資料!BK$2:BK$501,$BJ167)))</f>
        <v/>
      </c>
      <c r="BJ167" s="6">
        <f>IFERROR(MATCH(ROW()-1,判定!$H$2:$H$501,0),"")</f>
        <v/>
      </c>
    </row>
    <row r="168">
      <c r="A168" s="6">
        <f>IF($BJ168="","",INDEX(原始資料!$A$2:$A$501,$BJ168))</f>
        <v/>
      </c>
      <c r="B168" s="6">
        <f>IF(OR($BJ168="",1&gt;設定!$B$3),"",IF(INDEX(原始資料!D$2:D$501,$BJ168)="","",INDEX(原始資料!D$2:D$501,$BJ168)))</f>
        <v/>
      </c>
      <c r="C168" s="6">
        <f>IF(OR($BJ168="",2&gt;設定!$B$3),"",IF(INDEX(原始資料!E$2:E$501,$BJ168)="","",INDEX(原始資料!E$2:E$501,$BJ168)))</f>
        <v/>
      </c>
      <c r="D168" s="6">
        <f>IF(OR($BJ168="",3&gt;設定!$B$3),"",IF(INDEX(原始資料!F$2:F$501,$BJ168)="","",INDEX(原始資料!F$2:F$501,$BJ168)))</f>
        <v/>
      </c>
      <c r="E168" s="6">
        <f>IF(OR($BJ168="",4&gt;設定!$B$3),"",IF(INDEX(原始資料!G$2:G$501,$BJ168)="","",INDEX(原始資料!G$2:G$501,$BJ168)))</f>
        <v/>
      </c>
      <c r="F168" s="6">
        <f>IF(OR($BJ168="",5&gt;設定!$B$3),"",IF(INDEX(原始資料!H$2:H$501,$BJ168)="","",INDEX(原始資料!H$2:H$501,$BJ168)))</f>
        <v/>
      </c>
      <c r="G168" s="6">
        <f>IF(OR($BJ168="",6&gt;設定!$B$3),"",IF(INDEX(原始資料!I$2:I$501,$BJ168)="","",INDEX(原始資料!I$2:I$501,$BJ168)))</f>
        <v/>
      </c>
      <c r="H168" s="6">
        <f>IF(OR($BJ168="",7&gt;設定!$B$3),"",IF(INDEX(原始資料!J$2:J$501,$BJ168)="","",INDEX(原始資料!J$2:J$501,$BJ168)))</f>
        <v/>
      </c>
      <c r="I168" s="6">
        <f>IF(OR($BJ168="",8&gt;設定!$B$3),"",IF(INDEX(原始資料!K$2:K$501,$BJ168)="","",INDEX(原始資料!K$2:K$501,$BJ168)))</f>
        <v/>
      </c>
      <c r="J168" s="6">
        <f>IF(OR($BJ168="",9&gt;設定!$B$3),"",IF(INDEX(原始資料!L$2:L$501,$BJ168)="","",INDEX(原始資料!L$2:L$501,$BJ168)))</f>
        <v/>
      </c>
      <c r="K168" s="6">
        <f>IF(OR($BJ168="",10&gt;設定!$B$3),"",IF(INDEX(原始資料!M$2:M$501,$BJ168)="","",INDEX(原始資料!M$2:M$501,$BJ168)))</f>
        <v/>
      </c>
      <c r="L168" s="6">
        <f>IF(OR($BJ168="",11&gt;設定!$B$3),"",IF(INDEX(原始資料!N$2:N$501,$BJ168)="","",INDEX(原始資料!N$2:N$501,$BJ168)))</f>
        <v/>
      </c>
      <c r="M168" s="6">
        <f>IF(OR($BJ168="",12&gt;設定!$B$3),"",IF(INDEX(原始資料!O$2:O$501,$BJ168)="","",INDEX(原始資料!O$2:O$501,$BJ168)))</f>
        <v/>
      </c>
      <c r="N168" s="6">
        <f>IF(OR($BJ168="",13&gt;設定!$B$3),"",IF(INDEX(原始資料!P$2:P$501,$BJ168)="","",INDEX(原始資料!P$2:P$501,$BJ168)))</f>
        <v/>
      </c>
      <c r="O168" s="6">
        <f>IF(OR($BJ168="",14&gt;設定!$B$3),"",IF(INDEX(原始資料!Q$2:Q$501,$BJ168)="","",INDEX(原始資料!Q$2:Q$501,$BJ168)))</f>
        <v/>
      </c>
      <c r="P168" s="6">
        <f>IF(OR($BJ168="",15&gt;設定!$B$3),"",IF(INDEX(原始資料!R$2:R$501,$BJ168)="","",INDEX(原始資料!R$2:R$501,$BJ168)))</f>
        <v/>
      </c>
      <c r="Q168" s="6">
        <f>IF(OR($BJ168="",16&gt;設定!$B$3),"",IF(INDEX(原始資料!S$2:S$501,$BJ168)="","",INDEX(原始資料!S$2:S$501,$BJ168)))</f>
        <v/>
      </c>
      <c r="R168" s="6">
        <f>IF(OR($BJ168="",17&gt;設定!$B$3),"",IF(INDEX(原始資料!T$2:T$501,$BJ168)="","",INDEX(原始資料!T$2:T$501,$BJ168)))</f>
        <v/>
      </c>
      <c r="S168" s="6">
        <f>IF(OR($BJ168="",18&gt;設定!$B$3),"",IF(INDEX(原始資料!U$2:U$501,$BJ168)="","",INDEX(原始資料!U$2:U$501,$BJ168)))</f>
        <v/>
      </c>
      <c r="T168" s="6">
        <f>IF(OR($BJ168="",19&gt;設定!$B$3),"",IF(INDEX(原始資料!V$2:V$501,$BJ168)="","",INDEX(原始資料!V$2:V$501,$BJ168)))</f>
        <v/>
      </c>
      <c r="U168" s="6">
        <f>IF(OR($BJ168="",20&gt;設定!$B$3),"",IF(INDEX(原始資料!W$2:W$501,$BJ168)="","",INDEX(原始資料!W$2:W$501,$BJ168)))</f>
        <v/>
      </c>
      <c r="V168" s="6">
        <f>IF(OR($BJ168="",21&gt;設定!$B$3),"",IF(INDEX(原始資料!X$2:X$501,$BJ168)="","",INDEX(原始資料!X$2:X$501,$BJ168)))</f>
        <v/>
      </c>
      <c r="W168" s="6">
        <f>IF(OR($BJ168="",22&gt;設定!$B$3),"",IF(INDEX(原始資料!Y$2:Y$501,$BJ168)="","",INDEX(原始資料!Y$2:Y$501,$BJ168)))</f>
        <v/>
      </c>
      <c r="X168" s="6">
        <f>IF(OR($BJ168="",23&gt;設定!$B$3),"",IF(INDEX(原始資料!Z$2:Z$501,$BJ168)="","",INDEX(原始資料!Z$2:Z$501,$BJ168)))</f>
        <v/>
      </c>
      <c r="Y168" s="6">
        <f>IF(OR($BJ168="",24&gt;設定!$B$3),"",IF(INDEX(原始資料!AA$2:AA$501,$BJ168)="","",INDEX(原始資料!AA$2:AA$501,$BJ168)))</f>
        <v/>
      </c>
      <c r="Z168" s="6">
        <f>IF(OR($BJ168="",25&gt;設定!$B$3),"",IF(INDEX(原始資料!AB$2:AB$501,$BJ168)="","",INDEX(原始資料!AB$2:AB$501,$BJ168)))</f>
        <v/>
      </c>
      <c r="AA168" s="6">
        <f>IF(OR($BJ168="",26&gt;設定!$B$3),"",IF(INDEX(原始資料!AC$2:AC$501,$BJ168)="","",INDEX(原始資料!AC$2:AC$501,$BJ168)))</f>
        <v/>
      </c>
      <c r="AB168" s="6">
        <f>IF(OR($BJ168="",27&gt;設定!$B$3),"",IF(INDEX(原始資料!AD$2:AD$501,$BJ168)="","",INDEX(原始資料!AD$2:AD$501,$BJ168)))</f>
        <v/>
      </c>
      <c r="AC168" s="6">
        <f>IF(OR($BJ168="",28&gt;設定!$B$3),"",IF(INDEX(原始資料!AE$2:AE$501,$BJ168)="","",INDEX(原始資料!AE$2:AE$501,$BJ168)))</f>
        <v/>
      </c>
      <c r="AD168" s="6">
        <f>IF(OR($BJ168="",29&gt;設定!$B$3),"",IF(INDEX(原始資料!AF$2:AF$501,$BJ168)="","",INDEX(原始資料!AF$2:AF$501,$BJ168)))</f>
        <v/>
      </c>
      <c r="AE168" s="6">
        <f>IF(OR($BJ168="",30&gt;設定!$B$3),"",IF(INDEX(原始資料!AG$2:AG$501,$BJ168)="","",INDEX(原始資料!AG$2:AG$501,$BJ168)))</f>
        <v/>
      </c>
      <c r="AF168" s="6">
        <f>IF(OR($BJ168="",31&gt;設定!$B$3),"",IF(INDEX(原始資料!AH$2:AH$501,$BJ168)="","",INDEX(原始資料!AH$2:AH$501,$BJ168)))</f>
        <v/>
      </c>
      <c r="AG168" s="6">
        <f>IF(OR($BJ168="",32&gt;設定!$B$3),"",IF(INDEX(原始資料!AI$2:AI$501,$BJ168)="","",INDEX(原始資料!AI$2:AI$501,$BJ168)))</f>
        <v/>
      </c>
      <c r="AH168" s="6">
        <f>IF(OR($BJ168="",33&gt;設定!$B$3),"",IF(INDEX(原始資料!AJ$2:AJ$501,$BJ168)="","",INDEX(原始資料!AJ$2:AJ$501,$BJ168)))</f>
        <v/>
      </c>
      <c r="AI168" s="6">
        <f>IF(OR($BJ168="",34&gt;設定!$B$3),"",IF(INDEX(原始資料!AK$2:AK$501,$BJ168)="","",INDEX(原始資料!AK$2:AK$501,$BJ168)))</f>
        <v/>
      </c>
      <c r="AJ168" s="6">
        <f>IF(OR($BJ168="",35&gt;設定!$B$3),"",IF(INDEX(原始資料!AL$2:AL$501,$BJ168)="","",INDEX(原始資料!AL$2:AL$501,$BJ168)))</f>
        <v/>
      </c>
      <c r="AK168" s="6">
        <f>IF(OR($BJ168="",36&gt;設定!$B$3),"",IF(INDEX(原始資料!AM$2:AM$501,$BJ168)="","",INDEX(原始資料!AM$2:AM$501,$BJ168)))</f>
        <v/>
      </c>
      <c r="AL168" s="6">
        <f>IF(OR($BJ168="",37&gt;設定!$B$3),"",IF(INDEX(原始資料!AN$2:AN$501,$BJ168)="","",INDEX(原始資料!AN$2:AN$501,$BJ168)))</f>
        <v/>
      </c>
      <c r="AM168" s="6">
        <f>IF(OR($BJ168="",38&gt;設定!$B$3),"",IF(INDEX(原始資料!AO$2:AO$501,$BJ168)="","",INDEX(原始資料!AO$2:AO$501,$BJ168)))</f>
        <v/>
      </c>
      <c r="AN168" s="6">
        <f>IF(OR($BJ168="",39&gt;設定!$B$3),"",IF(INDEX(原始資料!AP$2:AP$501,$BJ168)="","",INDEX(原始資料!AP$2:AP$501,$BJ168)))</f>
        <v/>
      </c>
      <c r="AO168" s="6">
        <f>IF(OR($BJ168="",40&gt;設定!$B$3),"",IF(INDEX(原始資料!AQ$2:AQ$501,$BJ168)="","",INDEX(原始資料!AQ$2:AQ$501,$BJ168)))</f>
        <v/>
      </c>
      <c r="AP168" s="6">
        <f>IF(OR($BJ168="",41&gt;設定!$B$3),"",IF(INDEX(原始資料!AR$2:AR$501,$BJ168)="","",INDEX(原始資料!AR$2:AR$501,$BJ168)))</f>
        <v/>
      </c>
      <c r="AQ168" s="6">
        <f>IF(OR($BJ168="",42&gt;設定!$B$3),"",IF(INDEX(原始資料!AS$2:AS$501,$BJ168)="","",INDEX(原始資料!AS$2:AS$501,$BJ168)))</f>
        <v/>
      </c>
      <c r="AR168" s="6">
        <f>IF(OR($BJ168="",43&gt;設定!$B$3),"",IF(INDEX(原始資料!AT$2:AT$501,$BJ168)="","",INDEX(原始資料!AT$2:AT$501,$BJ168)))</f>
        <v/>
      </c>
      <c r="AS168" s="6">
        <f>IF(OR($BJ168="",44&gt;設定!$B$3),"",IF(INDEX(原始資料!AU$2:AU$501,$BJ168)="","",INDEX(原始資料!AU$2:AU$501,$BJ168)))</f>
        <v/>
      </c>
      <c r="AT168" s="6">
        <f>IF(OR($BJ168="",45&gt;設定!$B$3),"",IF(INDEX(原始資料!AV$2:AV$501,$BJ168)="","",INDEX(原始資料!AV$2:AV$501,$BJ168)))</f>
        <v/>
      </c>
      <c r="AU168" s="6">
        <f>IF(OR($BJ168="",46&gt;設定!$B$3),"",IF(INDEX(原始資料!AW$2:AW$501,$BJ168)="","",INDEX(原始資料!AW$2:AW$501,$BJ168)))</f>
        <v/>
      </c>
      <c r="AV168" s="6">
        <f>IF(OR($BJ168="",47&gt;設定!$B$3),"",IF(INDEX(原始資料!AX$2:AX$501,$BJ168)="","",INDEX(原始資料!AX$2:AX$501,$BJ168)))</f>
        <v/>
      </c>
      <c r="AW168" s="6">
        <f>IF(OR($BJ168="",48&gt;設定!$B$3),"",IF(INDEX(原始資料!AY$2:AY$501,$BJ168)="","",INDEX(原始資料!AY$2:AY$501,$BJ168)))</f>
        <v/>
      </c>
      <c r="AX168" s="6">
        <f>IF(OR($BJ168="",49&gt;設定!$B$3),"",IF(INDEX(原始資料!AZ$2:AZ$501,$BJ168)="","",INDEX(原始資料!AZ$2:AZ$501,$BJ168)))</f>
        <v/>
      </c>
      <c r="AY168" s="6">
        <f>IF(OR($BJ168="",50&gt;設定!$B$3),"",IF(INDEX(原始資料!BA$2:BA$501,$BJ168)="","",INDEX(原始資料!BA$2:BA$501,$BJ168)))</f>
        <v/>
      </c>
      <c r="AZ168" s="6">
        <f>IF(OR($BJ168="",51&gt;設定!$B$3),"",IF(INDEX(原始資料!BB$2:BB$501,$BJ168)="","",INDEX(原始資料!BB$2:BB$501,$BJ168)))</f>
        <v/>
      </c>
      <c r="BA168" s="6">
        <f>IF(OR($BJ168="",52&gt;設定!$B$3),"",IF(INDEX(原始資料!BC$2:BC$501,$BJ168)="","",INDEX(原始資料!BC$2:BC$501,$BJ168)))</f>
        <v/>
      </c>
      <c r="BB168" s="6">
        <f>IF(OR($BJ168="",53&gt;設定!$B$3),"",IF(INDEX(原始資料!BD$2:BD$501,$BJ168)="","",INDEX(原始資料!BD$2:BD$501,$BJ168)))</f>
        <v/>
      </c>
      <c r="BC168" s="6">
        <f>IF(OR($BJ168="",54&gt;設定!$B$3),"",IF(INDEX(原始資料!BE$2:BE$501,$BJ168)="","",INDEX(原始資料!BE$2:BE$501,$BJ168)))</f>
        <v/>
      </c>
      <c r="BD168" s="6">
        <f>IF(OR($BJ168="",55&gt;設定!$B$3),"",IF(INDEX(原始資料!BF$2:BF$501,$BJ168)="","",INDEX(原始資料!BF$2:BF$501,$BJ168)))</f>
        <v/>
      </c>
      <c r="BE168" s="6">
        <f>IF(OR($BJ168="",56&gt;設定!$B$3),"",IF(INDEX(原始資料!BG$2:BG$501,$BJ168)="","",INDEX(原始資料!BG$2:BG$501,$BJ168)))</f>
        <v/>
      </c>
      <c r="BF168" s="6">
        <f>IF(OR($BJ168="",57&gt;設定!$B$3),"",IF(INDEX(原始資料!BH$2:BH$501,$BJ168)="","",INDEX(原始資料!BH$2:BH$501,$BJ168)))</f>
        <v/>
      </c>
      <c r="BG168" s="6">
        <f>IF(OR($BJ168="",58&gt;設定!$B$3),"",IF(INDEX(原始資料!BI$2:BI$501,$BJ168)="","",INDEX(原始資料!BI$2:BI$501,$BJ168)))</f>
        <v/>
      </c>
      <c r="BH168" s="6">
        <f>IF(OR($BJ168="",59&gt;設定!$B$3),"",IF(INDEX(原始資料!BJ$2:BJ$501,$BJ168)="","",INDEX(原始資料!BJ$2:BJ$501,$BJ168)))</f>
        <v/>
      </c>
      <c r="BI168" s="6">
        <f>IF(OR($BJ168="",60&gt;設定!$B$3),"",IF(INDEX(原始資料!BK$2:BK$501,$BJ168)="","",INDEX(原始資料!BK$2:BK$501,$BJ168)))</f>
        <v/>
      </c>
      <c r="BJ168" s="6">
        <f>IFERROR(MATCH(ROW()-1,判定!$H$2:$H$501,0),"")</f>
        <v/>
      </c>
    </row>
    <row r="169">
      <c r="A169" s="6">
        <f>IF($BJ169="","",INDEX(原始資料!$A$2:$A$501,$BJ169))</f>
        <v/>
      </c>
      <c r="B169" s="6">
        <f>IF(OR($BJ169="",1&gt;設定!$B$3),"",IF(INDEX(原始資料!D$2:D$501,$BJ169)="","",INDEX(原始資料!D$2:D$501,$BJ169)))</f>
        <v/>
      </c>
      <c r="C169" s="6">
        <f>IF(OR($BJ169="",2&gt;設定!$B$3),"",IF(INDEX(原始資料!E$2:E$501,$BJ169)="","",INDEX(原始資料!E$2:E$501,$BJ169)))</f>
        <v/>
      </c>
      <c r="D169" s="6">
        <f>IF(OR($BJ169="",3&gt;設定!$B$3),"",IF(INDEX(原始資料!F$2:F$501,$BJ169)="","",INDEX(原始資料!F$2:F$501,$BJ169)))</f>
        <v/>
      </c>
      <c r="E169" s="6">
        <f>IF(OR($BJ169="",4&gt;設定!$B$3),"",IF(INDEX(原始資料!G$2:G$501,$BJ169)="","",INDEX(原始資料!G$2:G$501,$BJ169)))</f>
        <v/>
      </c>
      <c r="F169" s="6">
        <f>IF(OR($BJ169="",5&gt;設定!$B$3),"",IF(INDEX(原始資料!H$2:H$501,$BJ169)="","",INDEX(原始資料!H$2:H$501,$BJ169)))</f>
        <v/>
      </c>
      <c r="G169" s="6">
        <f>IF(OR($BJ169="",6&gt;設定!$B$3),"",IF(INDEX(原始資料!I$2:I$501,$BJ169)="","",INDEX(原始資料!I$2:I$501,$BJ169)))</f>
        <v/>
      </c>
      <c r="H169" s="6">
        <f>IF(OR($BJ169="",7&gt;設定!$B$3),"",IF(INDEX(原始資料!J$2:J$501,$BJ169)="","",INDEX(原始資料!J$2:J$501,$BJ169)))</f>
        <v/>
      </c>
      <c r="I169" s="6">
        <f>IF(OR($BJ169="",8&gt;設定!$B$3),"",IF(INDEX(原始資料!K$2:K$501,$BJ169)="","",INDEX(原始資料!K$2:K$501,$BJ169)))</f>
        <v/>
      </c>
      <c r="J169" s="6">
        <f>IF(OR($BJ169="",9&gt;設定!$B$3),"",IF(INDEX(原始資料!L$2:L$501,$BJ169)="","",INDEX(原始資料!L$2:L$501,$BJ169)))</f>
        <v/>
      </c>
      <c r="K169" s="6">
        <f>IF(OR($BJ169="",10&gt;設定!$B$3),"",IF(INDEX(原始資料!M$2:M$501,$BJ169)="","",INDEX(原始資料!M$2:M$501,$BJ169)))</f>
        <v/>
      </c>
      <c r="L169" s="6">
        <f>IF(OR($BJ169="",11&gt;設定!$B$3),"",IF(INDEX(原始資料!N$2:N$501,$BJ169)="","",INDEX(原始資料!N$2:N$501,$BJ169)))</f>
        <v/>
      </c>
      <c r="M169" s="6">
        <f>IF(OR($BJ169="",12&gt;設定!$B$3),"",IF(INDEX(原始資料!O$2:O$501,$BJ169)="","",INDEX(原始資料!O$2:O$501,$BJ169)))</f>
        <v/>
      </c>
      <c r="N169" s="6">
        <f>IF(OR($BJ169="",13&gt;設定!$B$3),"",IF(INDEX(原始資料!P$2:P$501,$BJ169)="","",INDEX(原始資料!P$2:P$501,$BJ169)))</f>
        <v/>
      </c>
      <c r="O169" s="6">
        <f>IF(OR($BJ169="",14&gt;設定!$B$3),"",IF(INDEX(原始資料!Q$2:Q$501,$BJ169)="","",INDEX(原始資料!Q$2:Q$501,$BJ169)))</f>
        <v/>
      </c>
      <c r="P169" s="6">
        <f>IF(OR($BJ169="",15&gt;設定!$B$3),"",IF(INDEX(原始資料!R$2:R$501,$BJ169)="","",INDEX(原始資料!R$2:R$501,$BJ169)))</f>
        <v/>
      </c>
      <c r="Q169" s="6">
        <f>IF(OR($BJ169="",16&gt;設定!$B$3),"",IF(INDEX(原始資料!S$2:S$501,$BJ169)="","",INDEX(原始資料!S$2:S$501,$BJ169)))</f>
        <v/>
      </c>
      <c r="R169" s="6">
        <f>IF(OR($BJ169="",17&gt;設定!$B$3),"",IF(INDEX(原始資料!T$2:T$501,$BJ169)="","",INDEX(原始資料!T$2:T$501,$BJ169)))</f>
        <v/>
      </c>
      <c r="S169" s="6">
        <f>IF(OR($BJ169="",18&gt;設定!$B$3),"",IF(INDEX(原始資料!U$2:U$501,$BJ169)="","",INDEX(原始資料!U$2:U$501,$BJ169)))</f>
        <v/>
      </c>
      <c r="T169" s="6">
        <f>IF(OR($BJ169="",19&gt;設定!$B$3),"",IF(INDEX(原始資料!V$2:V$501,$BJ169)="","",INDEX(原始資料!V$2:V$501,$BJ169)))</f>
        <v/>
      </c>
      <c r="U169" s="6">
        <f>IF(OR($BJ169="",20&gt;設定!$B$3),"",IF(INDEX(原始資料!W$2:W$501,$BJ169)="","",INDEX(原始資料!W$2:W$501,$BJ169)))</f>
        <v/>
      </c>
      <c r="V169" s="6">
        <f>IF(OR($BJ169="",21&gt;設定!$B$3),"",IF(INDEX(原始資料!X$2:X$501,$BJ169)="","",INDEX(原始資料!X$2:X$501,$BJ169)))</f>
        <v/>
      </c>
      <c r="W169" s="6">
        <f>IF(OR($BJ169="",22&gt;設定!$B$3),"",IF(INDEX(原始資料!Y$2:Y$501,$BJ169)="","",INDEX(原始資料!Y$2:Y$501,$BJ169)))</f>
        <v/>
      </c>
      <c r="X169" s="6">
        <f>IF(OR($BJ169="",23&gt;設定!$B$3),"",IF(INDEX(原始資料!Z$2:Z$501,$BJ169)="","",INDEX(原始資料!Z$2:Z$501,$BJ169)))</f>
        <v/>
      </c>
      <c r="Y169" s="6">
        <f>IF(OR($BJ169="",24&gt;設定!$B$3),"",IF(INDEX(原始資料!AA$2:AA$501,$BJ169)="","",INDEX(原始資料!AA$2:AA$501,$BJ169)))</f>
        <v/>
      </c>
      <c r="Z169" s="6">
        <f>IF(OR($BJ169="",25&gt;設定!$B$3),"",IF(INDEX(原始資料!AB$2:AB$501,$BJ169)="","",INDEX(原始資料!AB$2:AB$501,$BJ169)))</f>
        <v/>
      </c>
      <c r="AA169" s="6">
        <f>IF(OR($BJ169="",26&gt;設定!$B$3),"",IF(INDEX(原始資料!AC$2:AC$501,$BJ169)="","",INDEX(原始資料!AC$2:AC$501,$BJ169)))</f>
        <v/>
      </c>
      <c r="AB169" s="6">
        <f>IF(OR($BJ169="",27&gt;設定!$B$3),"",IF(INDEX(原始資料!AD$2:AD$501,$BJ169)="","",INDEX(原始資料!AD$2:AD$501,$BJ169)))</f>
        <v/>
      </c>
      <c r="AC169" s="6">
        <f>IF(OR($BJ169="",28&gt;設定!$B$3),"",IF(INDEX(原始資料!AE$2:AE$501,$BJ169)="","",INDEX(原始資料!AE$2:AE$501,$BJ169)))</f>
        <v/>
      </c>
      <c r="AD169" s="6">
        <f>IF(OR($BJ169="",29&gt;設定!$B$3),"",IF(INDEX(原始資料!AF$2:AF$501,$BJ169)="","",INDEX(原始資料!AF$2:AF$501,$BJ169)))</f>
        <v/>
      </c>
      <c r="AE169" s="6">
        <f>IF(OR($BJ169="",30&gt;設定!$B$3),"",IF(INDEX(原始資料!AG$2:AG$501,$BJ169)="","",INDEX(原始資料!AG$2:AG$501,$BJ169)))</f>
        <v/>
      </c>
      <c r="AF169" s="6">
        <f>IF(OR($BJ169="",31&gt;設定!$B$3),"",IF(INDEX(原始資料!AH$2:AH$501,$BJ169)="","",INDEX(原始資料!AH$2:AH$501,$BJ169)))</f>
        <v/>
      </c>
      <c r="AG169" s="6">
        <f>IF(OR($BJ169="",32&gt;設定!$B$3),"",IF(INDEX(原始資料!AI$2:AI$501,$BJ169)="","",INDEX(原始資料!AI$2:AI$501,$BJ169)))</f>
        <v/>
      </c>
      <c r="AH169" s="6">
        <f>IF(OR($BJ169="",33&gt;設定!$B$3),"",IF(INDEX(原始資料!AJ$2:AJ$501,$BJ169)="","",INDEX(原始資料!AJ$2:AJ$501,$BJ169)))</f>
        <v/>
      </c>
      <c r="AI169" s="6">
        <f>IF(OR($BJ169="",34&gt;設定!$B$3),"",IF(INDEX(原始資料!AK$2:AK$501,$BJ169)="","",INDEX(原始資料!AK$2:AK$501,$BJ169)))</f>
        <v/>
      </c>
      <c r="AJ169" s="6">
        <f>IF(OR($BJ169="",35&gt;設定!$B$3),"",IF(INDEX(原始資料!AL$2:AL$501,$BJ169)="","",INDEX(原始資料!AL$2:AL$501,$BJ169)))</f>
        <v/>
      </c>
      <c r="AK169" s="6">
        <f>IF(OR($BJ169="",36&gt;設定!$B$3),"",IF(INDEX(原始資料!AM$2:AM$501,$BJ169)="","",INDEX(原始資料!AM$2:AM$501,$BJ169)))</f>
        <v/>
      </c>
      <c r="AL169" s="6">
        <f>IF(OR($BJ169="",37&gt;設定!$B$3),"",IF(INDEX(原始資料!AN$2:AN$501,$BJ169)="","",INDEX(原始資料!AN$2:AN$501,$BJ169)))</f>
        <v/>
      </c>
      <c r="AM169" s="6">
        <f>IF(OR($BJ169="",38&gt;設定!$B$3),"",IF(INDEX(原始資料!AO$2:AO$501,$BJ169)="","",INDEX(原始資料!AO$2:AO$501,$BJ169)))</f>
        <v/>
      </c>
      <c r="AN169" s="6">
        <f>IF(OR($BJ169="",39&gt;設定!$B$3),"",IF(INDEX(原始資料!AP$2:AP$501,$BJ169)="","",INDEX(原始資料!AP$2:AP$501,$BJ169)))</f>
        <v/>
      </c>
      <c r="AO169" s="6">
        <f>IF(OR($BJ169="",40&gt;設定!$B$3),"",IF(INDEX(原始資料!AQ$2:AQ$501,$BJ169)="","",INDEX(原始資料!AQ$2:AQ$501,$BJ169)))</f>
        <v/>
      </c>
      <c r="AP169" s="6">
        <f>IF(OR($BJ169="",41&gt;設定!$B$3),"",IF(INDEX(原始資料!AR$2:AR$501,$BJ169)="","",INDEX(原始資料!AR$2:AR$501,$BJ169)))</f>
        <v/>
      </c>
      <c r="AQ169" s="6">
        <f>IF(OR($BJ169="",42&gt;設定!$B$3),"",IF(INDEX(原始資料!AS$2:AS$501,$BJ169)="","",INDEX(原始資料!AS$2:AS$501,$BJ169)))</f>
        <v/>
      </c>
      <c r="AR169" s="6">
        <f>IF(OR($BJ169="",43&gt;設定!$B$3),"",IF(INDEX(原始資料!AT$2:AT$501,$BJ169)="","",INDEX(原始資料!AT$2:AT$501,$BJ169)))</f>
        <v/>
      </c>
      <c r="AS169" s="6">
        <f>IF(OR($BJ169="",44&gt;設定!$B$3),"",IF(INDEX(原始資料!AU$2:AU$501,$BJ169)="","",INDEX(原始資料!AU$2:AU$501,$BJ169)))</f>
        <v/>
      </c>
      <c r="AT169" s="6">
        <f>IF(OR($BJ169="",45&gt;設定!$B$3),"",IF(INDEX(原始資料!AV$2:AV$501,$BJ169)="","",INDEX(原始資料!AV$2:AV$501,$BJ169)))</f>
        <v/>
      </c>
      <c r="AU169" s="6">
        <f>IF(OR($BJ169="",46&gt;設定!$B$3),"",IF(INDEX(原始資料!AW$2:AW$501,$BJ169)="","",INDEX(原始資料!AW$2:AW$501,$BJ169)))</f>
        <v/>
      </c>
      <c r="AV169" s="6">
        <f>IF(OR($BJ169="",47&gt;設定!$B$3),"",IF(INDEX(原始資料!AX$2:AX$501,$BJ169)="","",INDEX(原始資料!AX$2:AX$501,$BJ169)))</f>
        <v/>
      </c>
      <c r="AW169" s="6">
        <f>IF(OR($BJ169="",48&gt;設定!$B$3),"",IF(INDEX(原始資料!AY$2:AY$501,$BJ169)="","",INDEX(原始資料!AY$2:AY$501,$BJ169)))</f>
        <v/>
      </c>
      <c r="AX169" s="6">
        <f>IF(OR($BJ169="",49&gt;設定!$B$3),"",IF(INDEX(原始資料!AZ$2:AZ$501,$BJ169)="","",INDEX(原始資料!AZ$2:AZ$501,$BJ169)))</f>
        <v/>
      </c>
      <c r="AY169" s="6">
        <f>IF(OR($BJ169="",50&gt;設定!$B$3),"",IF(INDEX(原始資料!BA$2:BA$501,$BJ169)="","",INDEX(原始資料!BA$2:BA$501,$BJ169)))</f>
        <v/>
      </c>
      <c r="AZ169" s="6">
        <f>IF(OR($BJ169="",51&gt;設定!$B$3),"",IF(INDEX(原始資料!BB$2:BB$501,$BJ169)="","",INDEX(原始資料!BB$2:BB$501,$BJ169)))</f>
        <v/>
      </c>
      <c r="BA169" s="6">
        <f>IF(OR($BJ169="",52&gt;設定!$B$3),"",IF(INDEX(原始資料!BC$2:BC$501,$BJ169)="","",INDEX(原始資料!BC$2:BC$501,$BJ169)))</f>
        <v/>
      </c>
      <c r="BB169" s="6">
        <f>IF(OR($BJ169="",53&gt;設定!$B$3),"",IF(INDEX(原始資料!BD$2:BD$501,$BJ169)="","",INDEX(原始資料!BD$2:BD$501,$BJ169)))</f>
        <v/>
      </c>
      <c r="BC169" s="6">
        <f>IF(OR($BJ169="",54&gt;設定!$B$3),"",IF(INDEX(原始資料!BE$2:BE$501,$BJ169)="","",INDEX(原始資料!BE$2:BE$501,$BJ169)))</f>
        <v/>
      </c>
      <c r="BD169" s="6">
        <f>IF(OR($BJ169="",55&gt;設定!$B$3),"",IF(INDEX(原始資料!BF$2:BF$501,$BJ169)="","",INDEX(原始資料!BF$2:BF$501,$BJ169)))</f>
        <v/>
      </c>
      <c r="BE169" s="6">
        <f>IF(OR($BJ169="",56&gt;設定!$B$3),"",IF(INDEX(原始資料!BG$2:BG$501,$BJ169)="","",INDEX(原始資料!BG$2:BG$501,$BJ169)))</f>
        <v/>
      </c>
      <c r="BF169" s="6">
        <f>IF(OR($BJ169="",57&gt;設定!$B$3),"",IF(INDEX(原始資料!BH$2:BH$501,$BJ169)="","",INDEX(原始資料!BH$2:BH$501,$BJ169)))</f>
        <v/>
      </c>
      <c r="BG169" s="6">
        <f>IF(OR($BJ169="",58&gt;設定!$B$3),"",IF(INDEX(原始資料!BI$2:BI$501,$BJ169)="","",INDEX(原始資料!BI$2:BI$501,$BJ169)))</f>
        <v/>
      </c>
      <c r="BH169" s="6">
        <f>IF(OR($BJ169="",59&gt;設定!$B$3),"",IF(INDEX(原始資料!BJ$2:BJ$501,$BJ169)="","",INDEX(原始資料!BJ$2:BJ$501,$BJ169)))</f>
        <v/>
      </c>
      <c r="BI169" s="6">
        <f>IF(OR($BJ169="",60&gt;設定!$B$3),"",IF(INDEX(原始資料!BK$2:BK$501,$BJ169)="","",INDEX(原始資料!BK$2:BK$501,$BJ169)))</f>
        <v/>
      </c>
      <c r="BJ169" s="6">
        <f>IFERROR(MATCH(ROW()-1,判定!$H$2:$H$501,0),"")</f>
        <v/>
      </c>
    </row>
    <row r="170">
      <c r="A170" s="6">
        <f>IF($BJ170="","",INDEX(原始資料!$A$2:$A$501,$BJ170))</f>
        <v/>
      </c>
      <c r="B170" s="6">
        <f>IF(OR($BJ170="",1&gt;設定!$B$3),"",IF(INDEX(原始資料!D$2:D$501,$BJ170)="","",INDEX(原始資料!D$2:D$501,$BJ170)))</f>
        <v/>
      </c>
      <c r="C170" s="6">
        <f>IF(OR($BJ170="",2&gt;設定!$B$3),"",IF(INDEX(原始資料!E$2:E$501,$BJ170)="","",INDEX(原始資料!E$2:E$501,$BJ170)))</f>
        <v/>
      </c>
      <c r="D170" s="6">
        <f>IF(OR($BJ170="",3&gt;設定!$B$3),"",IF(INDEX(原始資料!F$2:F$501,$BJ170)="","",INDEX(原始資料!F$2:F$501,$BJ170)))</f>
        <v/>
      </c>
      <c r="E170" s="6">
        <f>IF(OR($BJ170="",4&gt;設定!$B$3),"",IF(INDEX(原始資料!G$2:G$501,$BJ170)="","",INDEX(原始資料!G$2:G$501,$BJ170)))</f>
        <v/>
      </c>
      <c r="F170" s="6">
        <f>IF(OR($BJ170="",5&gt;設定!$B$3),"",IF(INDEX(原始資料!H$2:H$501,$BJ170)="","",INDEX(原始資料!H$2:H$501,$BJ170)))</f>
        <v/>
      </c>
      <c r="G170" s="6">
        <f>IF(OR($BJ170="",6&gt;設定!$B$3),"",IF(INDEX(原始資料!I$2:I$501,$BJ170)="","",INDEX(原始資料!I$2:I$501,$BJ170)))</f>
        <v/>
      </c>
      <c r="H170" s="6">
        <f>IF(OR($BJ170="",7&gt;設定!$B$3),"",IF(INDEX(原始資料!J$2:J$501,$BJ170)="","",INDEX(原始資料!J$2:J$501,$BJ170)))</f>
        <v/>
      </c>
      <c r="I170" s="6">
        <f>IF(OR($BJ170="",8&gt;設定!$B$3),"",IF(INDEX(原始資料!K$2:K$501,$BJ170)="","",INDEX(原始資料!K$2:K$501,$BJ170)))</f>
        <v/>
      </c>
      <c r="J170" s="6">
        <f>IF(OR($BJ170="",9&gt;設定!$B$3),"",IF(INDEX(原始資料!L$2:L$501,$BJ170)="","",INDEX(原始資料!L$2:L$501,$BJ170)))</f>
        <v/>
      </c>
      <c r="K170" s="6">
        <f>IF(OR($BJ170="",10&gt;設定!$B$3),"",IF(INDEX(原始資料!M$2:M$501,$BJ170)="","",INDEX(原始資料!M$2:M$501,$BJ170)))</f>
        <v/>
      </c>
      <c r="L170" s="6">
        <f>IF(OR($BJ170="",11&gt;設定!$B$3),"",IF(INDEX(原始資料!N$2:N$501,$BJ170)="","",INDEX(原始資料!N$2:N$501,$BJ170)))</f>
        <v/>
      </c>
      <c r="M170" s="6">
        <f>IF(OR($BJ170="",12&gt;設定!$B$3),"",IF(INDEX(原始資料!O$2:O$501,$BJ170)="","",INDEX(原始資料!O$2:O$501,$BJ170)))</f>
        <v/>
      </c>
      <c r="N170" s="6">
        <f>IF(OR($BJ170="",13&gt;設定!$B$3),"",IF(INDEX(原始資料!P$2:P$501,$BJ170)="","",INDEX(原始資料!P$2:P$501,$BJ170)))</f>
        <v/>
      </c>
      <c r="O170" s="6">
        <f>IF(OR($BJ170="",14&gt;設定!$B$3),"",IF(INDEX(原始資料!Q$2:Q$501,$BJ170)="","",INDEX(原始資料!Q$2:Q$501,$BJ170)))</f>
        <v/>
      </c>
      <c r="P170" s="6">
        <f>IF(OR($BJ170="",15&gt;設定!$B$3),"",IF(INDEX(原始資料!R$2:R$501,$BJ170)="","",INDEX(原始資料!R$2:R$501,$BJ170)))</f>
        <v/>
      </c>
      <c r="Q170" s="6">
        <f>IF(OR($BJ170="",16&gt;設定!$B$3),"",IF(INDEX(原始資料!S$2:S$501,$BJ170)="","",INDEX(原始資料!S$2:S$501,$BJ170)))</f>
        <v/>
      </c>
      <c r="R170" s="6">
        <f>IF(OR($BJ170="",17&gt;設定!$B$3),"",IF(INDEX(原始資料!T$2:T$501,$BJ170)="","",INDEX(原始資料!T$2:T$501,$BJ170)))</f>
        <v/>
      </c>
      <c r="S170" s="6">
        <f>IF(OR($BJ170="",18&gt;設定!$B$3),"",IF(INDEX(原始資料!U$2:U$501,$BJ170)="","",INDEX(原始資料!U$2:U$501,$BJ170)))</f>
        <v/>
      </c>
      <c r="T170" s="6">
        <f>IF(OR($BJ170="",19&gt;設定!$B$3),"",IF(INDEX(原始資料!V$2:V$501,$BJ170)="","",INDEX(原始資料!V$2:V$501,$BJ170)))</f>
        <v/>
      </c>
      <c r="U170" s="6">
        <f>IF(OR($BJ170="",20&gt;設定!$B$3),"",IF(INDEX(原始資料!W$2:W$501,$BJ170)="","",INDEX(原始資料!W$2:W$501,$BJ170)))</f>
        <v/>
      </c>
      <c r="V170" s="6">
        <f>IF(OR($BJ170="",21&gt;設定!$B$3),"",IF(INDEX(原始資料!X$2:X$501,$BJ170)="","",INDEX(原始資料!X$2:X$501,$BJ170)))</f>
        <v/>
      </c>
      <c r="W170" s="6">
        <f>IF(OR($BJ170="",22&gt;設定!$B$3),"",IF(INDEX(原始資料!Y$2:Y$501,$BJ170)="","",INDEX(原始資料!Y$2:Y$501,$BJ170)))</f>
        <v/>
      </c>
      <c r="X170" s="6">
        <f>IF(OR($BJ170="",23&gt;設定!$B$3),"",IF(INDEX(原始資料!Z$2:Z$501,$BJ170)="","",INDEX(原始資料!Z$2:Z$501,$BJ170)))</f>
        <v/>
      </c>
      <c r="Y170" s="6">
        <f>IF(OR($BJ170="",24&gt;設定!$B$3),"",IF(INDEX(原始資料!AA$2:AA$501,$BJ170)="","",INDEX(原始資料!AA$2:AA$501,$BJ170)))</f>
        <v/>
      </c>
      <c r="Z170" s="6">
        <f>IF(OR($BJ170="",25&gt;設定!$B$3),"",IF(INDEX(原始資料!AB$2:AB$501,$BJ170)="","",INDEX(原始資料!AB$2:AB$501,$BJ170)))</f>
        <v/>
      </c>
      <c r="AA170" s="6">
        <f>IF(OR($BJ170="",26&gt;設定!$B$3),"",IF(INDEX(原始資料!AC$2:AC$501,$BJ170)="","",INDEX(原始資料!AC$2:AC$501,$BJ170)))</f>
        <v/>
      </c>
      <c r="AB170" s="6">
        <f>IF(OR($BJ170="",27&gt;設定!$B$3),"",IF(INDEX(原始資料!AD$2:AD$501,$BJ170)="","",INDEX(原始資料!AD$2:AD$501,$BJ170)))</f>
        <v/>
      </c>
      <c r="AC170" s="6">
        <f>IF(OR($BJ170="",28&gt;設定!$B$3),"",IF(INDEX(原始資料!AE$2:AE$501,$BJ170)="","",INDEX(原始資料!AE$2:AE$501,$BJ170)))</f>
        <v/>
      </c>
      <c r="AD170" s="6">
        <f>IF(OR($BJ170="",29&gt;設定!$B$3),"",IF(INDEX(原始資料!AF$2:AF$501,$BJ170)="","",INDEX(原始資料!AF$2:AF$501,$BJ170)))</f>
        <v/>
      </c>
      <c r="AE170" s="6">
        <f>IF(OR($BJ170="",30&gt;設定!$B$3),"",IF(INDEX(原始資料!AG$2:AG$501,$BJ170)="","",INDEX(原始資料!AG$2:AG$501,$BJ170)))</f>
        <v/>
      </c>
      <c r="AF170" s="6">
        <f>IF(OR($BJ170="",31&gt;設定!$B$3),"",IF(INDEX(原始資料!AH$2:AH$501,$BJ170)="","",INDEX(原始資料!AH$2:AH$501,$BJ170)))</f>
        <v/>
      </c>
      <c r="AG170" s="6">
        <f>IF(OR($BJ170="",32&gt;設定!$B$3),"",IF(INDEX(原始資料!AI$2:AI$501,$BJ170)="","",INDEX(原始資料!AI$2:AI$501,$BJ170)))</f>
        <v/>
      </c>
      <c r="AH170" s="6">
        <f>IF(OR($BJ170="",33&gt;設定!$B$3),"",IF(INDEX(原始資料!AJ$2:AJ$501,$BJ170)="","",INDEX(原始資料!AJ$2:AJ$501,$BJ170)))</f>
        <v/>
      </c>
      <c r="AI170" s="6">
        <f>IF(OR($BJ170="",34&gt;設定!$B$3),"",IF(INDEX(原始資料!AK$2:AK$501,$BJ170)="","",INDEX(原始資料!AK$2:AK$501,$BJ170)))</f>
        <v/>
      </c>
      <c r="AJ170" s="6">
        <f>IF(OR($BJ170="",35&gt;設定!$B$3),"",IF(INDEX(原始資料!AL$2:AL$501,$BJ170)="","",INDEX(原始資料!AL$2:AL$501,$BJ170)))</f>
        <v/>
      </c>
      <c r="AK170" s="6">
        <f>IF(OR($BJ170="",36&gt;設定!$B$3),"",IF(INDEX(原始資料!AM$2:AM$501,$BJ170)="","",INDEX(原始資料!AM$2:AM$501,$BJ170)))</f>
        <v/>
      </c>
      <c r="AL170" s="6">
        <f>IF(OR($BJ170="",37&gt;設定!$B$3),"",IF(INDEX(原始資料!AN$2:AN$501,$BJ170)="","",INDEX(原始資料!AN$2:AN$501,$BJ170)))</f>
        <v/>
      </c>
      <c r="AM170" s="6">
        <f>IF(OR($BJ170="",38&gt;設定!$B$3),"",IF(INDEX(原始資料!AO$2:AO$501,$BJ170)="","",INDEX(原始資料!AO$2:AO$501,$BJ170)))</f>
        <v/>
      </c>
      <c r="AN170" s="6">
        <f>IF(OR($BJ170="",39&gt;設定!$B$3),"",IF(INDEX(原始資料!AP$2:AP$501,$BJ170)="","",INDEX(原始資料!AP$2:AP$501,$BJ170)))</f>
        <v/>
      </c>
      <c r="AO170" s="6">
        <f>IF(OR($BJ170="",40&gt;設定!$B$3),"",IF(INDEX(原始資料!AQ$2:AQ$501,$BJ170)="","",INDEX(原始資料!AQ$2:AQ$501,$BJ170)))</f>
        <v/>
      </c>
      <c r="AP170" s="6">
        <f>IF(OR($BJ170="",41&gt;設定!$B$3),"",IF(INDEX(原始資料!AR$2:AR$501,$BJ170)="","",INDEX(原始資料!AR$2:AR$501,$BJ170)))</f>
        <v/>
      </c>
      <c r="AQ170" s="6">
        <f>IF(OR($BJ170="",42&gt;設定!$B$3),"",IF(INDEX(原始資料!AS$2:AS$501,$BJ170)="","",INDEX(原始資料!AS$2:AS$501,$BJ170)))</f>
        <v/>
      </c>
      <c r="AR170" s="6">
        <f>IF(OR($BJ170="",43&gt;設定!$B$3),"",IF(INDEX(原始資料!AT$2:AT$501,$BJ170)="","",INDEX(原始資料!AT$2:AT$501,$BJ170)))</f>
        <v/>
      </c>
      <c r="AS170" s="6">
        <f>IF(OR($BJ170="",44&gt;設定!$B$3),"",IF(INDEX(原始資料!AU$2:AU$501,$BJ170)="","",INDEX(原始資料!AU$2:AU$501,$BJ170)))</f>
        <v/>
      </c>
      <c r="AT170" s="6">
        <f>IF(OR($BJ170="",45&gt;設定!$B$3),"",IF(INDEX(原始資料!AV$2:AV$501,$BJ170)="","",INDEX(原始資料!AV$2:AV$501,$BJ170)))</f>
        <v/>
      </c>
      <c r="AU170" s="6">
        <f>IF(OR($BJ170="",46&gt;設定!$B$3),"",IF(INDEX(原始資料!AW$2:AW$501,$BJ170)="","",INDEX(原始資料!AW$2:AW$501,$BJ170)))</f>
        <v/>
      </c>
      <c r="AV170" s="6">
        <f>IF(OR($BJ170="",47&gt;設定!$B$3),"",IF(INDEX(原始資料!AX$2:AX$501,$BJ170)="","",INDEX(原始資料!AX$2:AX$501,$BJ170)))</f>
        <v/>
      </c>
      <c r="AW170" s="6">
        <f>IF(OR($BJ170="",48&gt;設定!$B$3),"",IF(INDEX(原始資料!AY$2:AY$501,$BJ170)="","",INDEX(原始資料!AY$2:AY$501,$BJ170)))</f>
        <v/>
      </c>
      <c r="AX170" s="6">
        <f>IF(OR($BJ170="",49&gt;設定!$B$3),"",IF(INDEX(原始資料!AZ$2:AZ$501,$BJ170)="","",INDEX(原始資料!AZ$2:AZ$501,$BJ170)))</f>
        <v/>
      </c>
      <c r="AY170" s="6">
        <f>IF(OR($BJ170="",50&gt;設定!$B$3),"",IF(INDEX(原始資料!BA$2:BA$501,$BJ170)="","",INDEX(原始資料!BA$2:BA$501,$BJ170)))</f>
        <v/>
      </c>
      <c r="AZ170" s="6">
        <f>IF(OR($BJ170="",51&gt;設定!$B$3),"",IF(INDEX(原始資料!BB$2:BB$501,$BJ170)="","",INDEX(原始資料!BB$2:BB$501,$BJ170)))</f>
        <v/>
      </c>
      <c r="BA170" s="6">
        <f>IF(OR($BJ170="",52&gt;設定!$B$3),"",IF(INDEX(原始資料!BC$2:BC$501,$BJ170)="","",INDEX(原始資料!BC$2:BC$501,$BJ170)))</f>
        <v/>
      </c>
      <c r="BB170" s="6">
        <f>IF(OR($BJ170="",53&gt;設定!$B$3),"",IF(INDEX(原始資料!BD$2:BD$501,$BJ170)="","",INDEX(原始資料!BD$2:BD$501,$BJ170)))</f>
        <v/>
      </c>
      <c r="BC170" s="6">
        <f>IF(OR($BJ170="",54&gt;設定!$B$3),"",IF(INDEX(原始資料!BE$2:BE$501,$BJ170)="","",INDEX(原始資料!BE$2:BE$501,$BJ170)))</f>
        <v/>
      </c>
      <c r="BD170" s="6">
        <f>IF(OR($BJ170="",55&gt;設定!$B$3),"",IF(INDEX(原始資料!BF$2:BF$501,$BJ170)="","",INDEX(原始資料!BF$2:BF$501,$BJ170)))</f>
        <v/>
      </c>
      <c r="BE170" s="6">
        <f>IF(OR($BJ170="",56&gt;設定!$B$3),"",IF(INDEX(原始資料!BG$2:BG$501,$BJ170)="","",INDEX(原始資料!BG$2:BG$501,$BJ170)))</f>
        <v/>
      </c>
      <c r="BF170" s="6">
        <f>IF(OR($BJ170="",57&gt;設定!$B$3),"",IF(INDEX(原始資料!BH$2:BH$501,$BJ170)="","",INDEX(原始資料!BH$2:BH$501,$BJ170)))</f>
        <v/>
      </c>
      <c r="BG170" s="6">
        <f>IF(OR($BJ170="",58&gt;設定!$B$3),"",IF(INDEX(原始資料!BI$2:BI$501,$BJ170)="","",INDEX(原始資料!BI$2:BI$501,$BJ170)))</f>
        <v/>
      </c>
      <c r="BH170" s="6">
        <f>IF(OR($BJ170="",59&gt;設定!$B$3),"",IF(INDEX(原始資料!BJ$2:BJ$501,$BJ170)="","",INDEX(原始資料!BJ$2:BJ$501,$BJ170)))</f>
        <v/>
      </c>
      <c r="BI170" s="6">
        <f>IF(OR($BJ170="",60&gt;設定!$B$3),"",IF(INDEX(原始資料!BK$2:BK$501,$BJ170)="","",INDEX(原始資料!BK$2:BK$501,$BJ170)))</f>
        <v/>
      </c>
      <c r="BJ170" s="6">
        <f>IFERROR(MATCH(ROW()-1,判定!$H$2:$H$501,0),"")</f>
        <v/>
      </c>
    </row>
    <row r="171">
      <c r="A171" s="6">
        <f>IF($BJ171="","",INDEX(原始資料!$A$2:$A$501,$BJ171))</f>
        <v/>
      </c>
      <c r="B171" s="6">
        <f>IF(OR($BJ171="",1&gt;設定!$B$3),"",IF(INDEX(原始資料!D$2:D$501,$BJ171)="","",INDEX(原始資料!D$2:D$501,$BJ171)))</f>
        <v/>
      </c>
      <c r="C171" s="6">
        <f>IF(OR($BJ171="",2&gt;設定!$B$3),"",IF(INDEX(原始資料!E$2:E$501,$BJ171)="","",INDEX(原始資料!E$2:E$501,$BJ171)))</f>
        <v/>
      </c>
      <c r="D171" s="6">
        <f>IF(OR($BJ171="",3&gt;設定!$B$3),"",IF(INDEX(原始資料!F$2:F$501,$BJ171)="","",INDEX(原始資料!F$2:F$501,$BJ171)))</f>
        <v/>
      </c>
      <c r="E171" s="6">
        <f>IF(OR($BJ171="",4&gt;設定!$B$3),"",IF(INDEX(原始資料!G$2:G$501,$BJ171)="","",INDEX(原始資料!G$2:G$501,$BJ171)))</f>
        <v/>
      </c>
      <c r="F171" s="6">
        <f>IF(OR($BJ171="",5&gt;設定!$B$3),"",IF(INDEX(原始資料!H$2:H$501,$BJ171)="","",INDEX(原始資料!H$2:H$501,$BJ171)))</f>
        <v/>
      </c>
      <c r="G171" s="6">
        <f>IF(OR($BJ171="",6&gt;設定!$B$3),"",IF(INDEX(原始資料!I$2:I$501,$BJ171)="","",INDEX(原始資料!I$2:I$501,$BJ171)))</f>
        <v/>
      </c>
      <c r="H171" s="6">
        <f>IF(OR($BJ171="",7&gt;設定!$B$3),"",IF(INDEX(原始資料!J$2:J$501,$BJ171)="","",INDEX(原始資料!J$2:J$501,$BJ171)))</f>
        <v/>
      </c>
      <c r="I171" s="6">
        <f>IF(OR($BJ171="",8&gt;設定!$B$3),"",IF(INDEX(原始資料!K$2:K$501,$BJ171)="","",INDEX(原始資料!K$2:K$501,$BJ171)))</f>
        <v/>
      </c>
      <c r="J171" s="6">
        <f>IF(OR($BJ171="",9&gt;設定!$B$3),"",IF(INDEX(原始資料!L$2:L$501,$BJ171)="","",INDEX(原始資料!L$2:L$501,$BJ171)))</f>
        <v/>
      </c>
      <c r="K171" s="6">
        <f>IF(OR($BJ171="",10&gt;設定!$B$3),"",IF(INDEX(原始資料!M$2:M$501,$BJ171)="","",INDEX(原始資料!M$2:M$501,$BJ171)))</f>
        <v/>
      </c>
      <c r="L171" s="6">
        <f>IF(OR($BJ171="",11&gt;設定!$B$3),"",IF(INDEX(原始資料!N$2:N$501,$BJ171)="","",INDEX(原始資料!N$2:N$501,$BJ171)))</f>
        <v/>
      </c>
      <c r="M171" s="6">
        <f>IF(OR($BJ171="",12&gt;設定!$B$3),"",IF(INDEX(原始資料!O$2:O$501,$BJ171)="","",INDEX(原始資料!O$2:O$501,$BJ171)))</f>
        <v/>
      </c>
      <c r="N171" s="6">
        <f>IF(OR($BJ171="",13&gt;設定!$B$3),"",IF(INDEX(原始資料!P$2:P$501,$BJ171)="","",INDEX(原始資料!P$2:P$501,$BJ171)))</f>
        <v/>
      </c>
      <c r="O171" s="6">
        <f>IF(OR($BJ171="",14&gt;設定!$B$3),"",IF(INDEX(原始資料!Q$2:Q$501,$BJ171)="","",INDEX(原始資料!Q$2:Q$501,$BJ171)))</f>
        <v/>
      </c>
      <c r="P171" s="6">
        <f>IF(OR($BJ171="",15&gt;設定!$B$3),"",IF(INDEX(原始資料!R$2:R$501,$BJ171)="","",INDEX(原始資料!R$2:R$501,$BJ171)))</f>
        <v/>
      </c>
      <c r="Q171" s="6">
        <f>IF(OR($BJ171="",16&gt;設定!$B$3),"",IF(INDEX(原始資料!S$2:S$501,$BJ171)="","",INDEX(原始資料!S$2:S$501,$BJ171)))</f>
        <v/>
      </c>
      <c r="R171" s="6">
        <f>IF(OR($BJ171="",17&gt;設定!$B$3),"",IF(INDEX(原始資料!T$2:T$501,$BJ171)="","",INDEX(原始資料!T$2:T$501,$BJ171)))</f>
        <v/>
      </c>
      <c r="S171" s="6">
        <f>IF(OR($BJ171="",18&gt;設定!$B$3),"",IF(INDEX(原始資料!U$2:U$501,$BJ171)="","",INDEX(原始資料!U$2:U$501,$BJ171)))</f>
        <v/>
      </c>
      <c r="T171" s="6">
        <f>IF(OR($BJ171="",19&gt;設定!$B$3),"",IF(INDEX(原始資料!V$2:V$501,$BJ171)="","",INDEX(原始資料!V$2:V$501,$BJ171)))</f>
        <v/>
      </c>
      <c r="U171" s="6">
        <f>IF(OR($BJ171="",20&gt;設定!$B$3),"",IF(INDEX(原始資料!W$2:W$501,$BJ171)="","",INDEX(原始資料!W$2:W$501,$BJ171)))</f>
        <v/>
      </c>
      <c r="V171" s="6">
        <f>IF(OR($BJ171="",21&gt;設定!$B$3),"",IF(INDEX(原始資料!X$2:X$501,$BJ171)="","",INDEX(原始資料!X$2:X$501,$BJ171)))</f>
        <v/>
      </c>
      <c r="W171" s="6">
        <f>IF(OR($BJ171="",22&gt;設定!$B$3),"",IF(INDEX(原始資料!Y$2:Y$501,$BJ171)="","",INDEX(原始資料!Y$2:Y$501,$BJ171)))</f>
        <v/>
      </c>
      <c r="X171" s="6">
        <f>IF(OR($BJ171="",23&gt;設定!$B$3),"",IF(INDEX(原始資料!Z$2:Z$501,$BJ171)="","",INDEX(原始資料!Z$2:Z$501,$BJ171)))</f>
        <v/>
      </c>
      <c r="Y171" s="6">
        <f>IF(OR($BJ171="",24&gt;設定!$B$3),"",IF(INDEX(原始資料!AA$2:AA$501,$BJ171)="","",INDEX(原始資料!AA$2:AA$501,$BJ171)))</f>
        <v/>
      </c>
      <c r="Z171" s="6">
        <f>IF(OR($BJ171="",25&gt;設定!$B$3),"",IF(INDEX(原始資料!AB$2:AB$501,$BJ171)="","",INDEX(原始資料!AB$2:AB$501,$BJ171)))</f>
        <v/>
      </c>
      <c r="AA171" s="6">
        <f>IF(OR($BJ171="",26&gt;設定!$B$3),"",IF(INDEX(原始資料!AC$2:AC$501,$BJ171)="","",INDEX(原始資料!AC$2:AC$501,$BJ171)))</f>
        <v/>
      </c>
      <c r="AB171" s="6">
        <f>IF(OR($BJ171="",27&gt;設定!$B$3),"",IF(INDEX(原始資料!AD$2:AD$501,$BJ171)="","",INDEX(原始資料!AD$2:AD$501,$BJ171)))</f>
        <v/>
      </c>
      <c r="AC171" s="6">
        <f>IF(OR($BJ171="",28&gt;設定!$B$3),"",IF(INDEX(原始資料!AE$2:AE$501,$BJ171)="","",INDEX(原始資料!AE$2:AE$501,$BJ171)))</f>
        <v/>
      </c>
      <c r="AD171" s="6">
        <f>IF(OR($BJ171="",29&gt;設定!$B$3),"",IF(INDEX(原始資料!AF$2:AF$501,$BJ171)="","",INDEX(原始資料!AF$2:AF$501,$BJ171)))</f>
        <v/>
      </c>
      <c r="AE171" s="6">
        <f>IF(OR($BJ171="",30&gt;設定!$B$3),"",IF(INDEX(原始資料!AG$2:AG$501,$BJ171)="","",INDEX(原始資料!AG$2:AG$501,$BJ171)))</f>
        <v/>
      </c>
      <c r="AF171" s="6">
        <f>IF(OR($BJ171="",31&gt;設定!$B$3),"",IF(INDEX(原始資料!AH$2:AH$501,$BJ171)="","",INDEX(原始資料!AH$2:AH$501,$BJ171)))</f>
        <v/>
      </c>
      <c r="AG171" s="6">
        <f>IF(OR($BJ171="",32&gt;設定!$B$3),"",IF(INDEX(原始資料!AI$2:AI$501,$BJ171)="","",INDEX(原始資料!AI$2:AI$501,$BJ171)))</f>
        <v/>
      </c>
      <c r="AH171" s="6">
        <f>IF(OR($BJ171="",33&gt;設定!$B$3),"",IF(INDEX(原始資料!AJ$2:AJ$501,$BJ171)="","",INDEX(原始資料!AJ$2:AJ$501,$BJ171)))</f>
        <v/>
      </c>
      <c r="AI171" s="6">
        <f>IF(OR($BJ171="",34&gt;設定!$B$3),"",IF(INDEX(原始資料!AK$2:AK$501,$BJ171)="","",INDEX(原始資料!AK$2:AK$501,$BJ171)))</f>
        <v/>
      </c>
      <c r="AJ171" s="6">
        <f>IF(OR($BJ171="",35&gt;設定!$B$3),"",IF(INDEX(原始資料!AL$2:AL$501,$BJ171)="","",INDEX(原始資料!AL$2:AL$501,$BJ171)))</f>
        <v/>
      </c>
      <c r="AK171" s="6">
        <f>IF(OR($BJ171="",36&gt;設定!$B$3),"",IF(INDEX(原始資料!AM$2:AM$501,$BJ171)="","",INDEX(原始資料!AM$2:AM$501,$BJ171)))</f>
        <v/>
      </c>
      <c r="AL171" s="6">
        <f>IF(OR($BJ171="",37&gt;設定!$B$3),"",IF(INDEX(原始資料!AN$2:AN$501,$BJ171)="","",INDEX(原始資料!AN$2:AN$501,$BJ171)))</f>
        <v/>
      </c>
      <c r="AM171" s="6">
        <f>IF(OR($BJ171="",38&gt;設定!$B$3),"",IF(INDEX(原始資料!AO$2:AO$501,$BJ171)="","",INDEX(原始資料!AO$2:AO$501,$BJ171)))</f>
        <v/>
      </c>
      <c r="AN171" s="6">
        <f>IF(OR($BJ171="",39&gt;設定!$B$3),"",IF(INDEX(原始資料!AP$2:AP$501,$BJ171)="","",INDEX(原始資料!AP$2:AP$501,$BJ171)))</f>
        <v/>
      </c>
      <c r="AO171" s="6">
        <f>IF(OR($BJ171="",40&gt;設定!$B$3),"",IF(INDEX(原始資料!AQ$2:AQ$501,$BJ171)="","",INDEX(原始資料!AQ$2:AQ$501,$BJ171)))</f>
        <v/>
      </c>
      <c r="AP171" s="6">
        <f>IF(OR($BJ171="",41&gt;設定!$B$3),"",IF(INDEX(原始資料!AR$2:AR$501,$BJ171)="","",INDEX(原始資料!AR$2:AR$501,$BJ171)))</f>
        <v/>
      </c>
      <c r="AQ171" s="6">
        <f>IF(OR($BJ171="",42&gt;設定!$B$3),"",IF(INDEX(原始資料!AS$2:AS$501,$BJ171)="","",INDEX(原始資料!AS$2:AS$501,$BJ171)))</f>
        <v/>
      </c>
      <c r="AR171" s="6">
        <f>IF(OR($BJ171="",43&gt;設定!$B$3),"",IF(INDEX(原始資料!AT$2:AT$501,$BJ171)="","",INDEX(原始資料!AT$2:AT$501,$BJ171)))</f>
        <v/>
      </c>
      <c r="AS171" s="6">
        <f>IF(OR($BJ171="",44&gt;設定!$B$3),"",IF(INDEX(原始資料!AU$2:AU$501,$BJ171)="","",INDEX(原始資料!AU$2:AU$501,$BJ171)))</f>
        <v/>
      </c>
      <c r="AT171" s="6">
        <f>IF(OR($BJ171="",45&gt;設定!$B$3),"",IF(INDEX(原始資料!AV$2:AV$501,$BJ171)="","",INDEX(原始資料!AV$2:AV$501,$BJ171)))</f>
        <v/>
      </c>
      <c r="AU171" s="6">
        <f>IF(OR($BJ171="",46&gt;設定!$B$3),"",IF(INDEX(原始資料!AW$2:AW$501,$BJ171)="","",INDEX(原始資料!AW$2:AW$501,$BJ171)))</f>
        <v/>
      </c>
      <c r="AV171" s="6">
        <f>IF(OR($BJ171="",47&gt;設定!$B$3),"",IF(INDEX(原始資料!AX$2:AX$501,$BJ171)="","",INDEX(原始資料!AX$2:AX$501,$BJ171)))</f>
        <v/>
      </c>
      <c r="AW171" s="6">
        <f>IF(OR($BJ171="",48&gt;設定!$B$3),"",IF(INDEX(原始資料!AY$2:AY$501,$BJ171)="","",INDEX(原始資料!AY$2:AY$501,$BJ171)))</f>
        <v/>
      </c>
      <c r="AX171" s="6">
        <f>IF(OR($BJ171="",49&gt;設定!$B$3),"",IF(INDEX(原始資料!AZ$2:AZ$501,$BJ171)="","",INDEX(原始資料!AZ$2:AZ$501,$BJ171)))</f>
        <v/>
      </c>
      <c r="AY171" s="6">
        <f>IF(OR($BJ171="",50&gt;設定!$B$3),"",IF(INDEX(原始資料!BA$2:BA$501,$BJ171)="","",INDEX(原始資料!BA$2:BA$501,$BJ171)))</f>
        <v/>
      </c>
      <c r="AZ171" s="6">
        <f>IF(OR($BJ171="",51&gt;設定!$B$3),"",IF(INDEX(原始資料!BB$2:BB$501,$BJ171)="","",INDEX(原始資料!BB$2:BB$501,$BJ171)))</f>
        <v/>
      </c>
      <c r="BA171" s="6">
        <f>IF(OR($BJ171="",52&gt;設定!$B$3),"",IF(INDEX(原始資料!BC$2:BC$501,$BJ171)="","",INDEX(原始資料!BC$2:BC$501,$BJ171)))</f>
        <v/>
      </c>
      <c r="BB171" s="6">
        <f>IF(OR($BJ171="",53&gt;設定!$B$3),"",IF(INDEX(原始資料!BD$2:BD$501,$BJ171)="","",INDEX(原始資料!BD$2:BD$501,$BJ171)))</f>
        <v/>
      </c>
      <c r="BC171" s="6">
        <f>IF(OR($BJ171="",54&gt;設定!$B$3),"",IF(INDEX(原始資料!BE$2:BE$501,$BJ171)="","",INDEX(原始資料!BE$2:BE$501,$BJ171)))</f>
        <v/>
      </c>
      <c r="BD171" s="6">
        <f>IF(OR($BJ171="",55&gt;設定!$B$3),"",IF(INDEX(原始資料!BF$2:BF$501,$BJ171)="","",INDEX(原始資料!BF$2:BF$501,$BJ171)))</f>
        <v/>
      </c>
      <c r="BE171" s="6">
        <f>IF(OR($BJ171="",56&gt;設定!$B$3),"",IF(INDEX(原始資料!BG$2:BG$501,$BJ171)="","",INDEX(原始資料!BG$2:BG$501,$BJ171)))</f>
        <v/>
      </c>
      <c r="BF171" s="6">
        <f>IF(OR($BJ171="",57&gt;設定!$B$3),"",IF(INDEX(原始資料!BH$2:BH$501,$BJ171)="","",INDEX(原始資料!BH$2:BH$501,$BJ171)))</f>
        <v/>
      </c>
      <c r="BG171" s="6">
        <f>IF(OR($BJ171="",58&gt;設定!$B$3),"",IF(INDEX(原始資料!BI$2:BI$501,$BJ171)="","",INDEX(原始資料!BI$2:BI$501,$BJ171)))</f>
        <v/>
      </c>
      <c r="BH171" s="6">
        <f>IF(OR($BJ171="",59&gt;設定!$B$3),"",IF(INDEX(原始資料!BJ$2:BJ$501,$BJ171)="","",INDEX(原始資料!BJ$2:BJ$501,$BJ171)))</f>
        <v/>
      </c>
      <c r="BI171" s="6">
        <f>IF(OR($BJ171="",60&gt;設定!$B$3),"",IF(INDEX(原始資料!BK$2:BK$501,$BJ171)="","",INDEX(原始資料!BK$2:BK$501,$BJ171)))</f>
        <v/>
      </c>
      <c r="BJ171" s="6">
        <f>IFERROR(MATCH(ROW()-1,判定!$H$2:$H$501,0),"")</f>
        <v/>
      </c>
    </row>
    <row r="172">
      <c r="A172" s="6">
        <f>IF($BJ172="","",INDEX(原始資料!$A$2:$A$501,$BJ172))</f>
        <v/>
      </c>
      <c r="B172" s="6">
        <f>IF(OR($BJ172="",1&gt;設定!$B$3),"",IF(INDEX(原始資料!D$2:D$501,$BJ172)="","",INDEX(原始資料!D$2:D$501,$BJ172)))</f>
        <v/>
      </c>
      <c r="C172" s="6">
        <f>IF(OR($BJ172="",2&gt;設定!$B$3),"",IF(INDEX(原始資料!E$2:E$501,$BJ172)="","",INDEX(原始資料!E$2:E$501,$BJ172)))</f>
        <v/>
      </c>
      <c r="D172" s="6">
        <f>IF(OR($BJ172="",3&gt;設定!$B$3),"",IF(INDEX(原始資料!F$2:F$501,$BJ172)="","",INDEX(原始資料!F$2:F$501,$BJ172)))</f>
        <v/>
      </c>
      <c r="E172" s="6">
        <f>IF(OR($BJ172="",4&gt;設定!$B$3),"",IF(INDEX(原始資料!G$2:G$501,$BJ172)="","",INDEX(原始資料!G$2:G$501,$BJ172)))</f>
        <v/>
      </c>
      <c r="F172" s="6">
        <f>IF(OR($BJ172="",5&gt;設定!$B$3),"",IF(INDEX(原始資料!H$2:H$501,$BJ172)="","",INDEX(原始資料!H$2:H$501,$BJ172)))</f>
        <v/>
      </c>
      <c r="G172" s="6">
        <f>IF(OR($BJ172="",6&gt;設定!$B$3),"",IF(INDEX(原始資料!I$2:I$501,$BJ172)="","",INDEX(原始資料!I$2:I$501,$BJ172)))</f>
        <v/>
      </c>
      <c r="H172" s="6">
        <f>IF(OR($BJ172="",7&gt;設定!$B$3),"",IF(INDEX(原始資料!J$2:J$501,$BJ172)="","",INDEX(原始資料!J$2:J$501,$BJ172)))</f>
        <v/>
      </c>
      <c r="I172" s="6">
        <f>IF(OR($BJ172="",8&gt;設定!$B$3),"",IF(INDEX(原始資料!K$2:K$501,$BJ172)="","",INDEX(原始資料!K$2:K$501,$BJ172)))</f>
        <v/>
      </c>
      <c r="J172" s="6">
        <f>IF(OR($BJ172="",9&gt;設定!$B$3),"",IF(INDEX(原始資料!L$2:L$501,$BJ172)="","",INDEX(原始資料!L$2:L$501,$BJ172)))</f>
        <v/>
      </c>
      <c r="K172" s="6">
        <f>IF(OR($BJ172="",10&gt;設定!$B$3),"",IF(INDEX(原始資料!M$2:M$501,$BJ172)="","",INDEX(原始資料!M$2:M$501,$BJ172)))</f>
        <v/>
      </c>
      <c r="L172" s="6">
        <f>IF(OR($BJ172="",11&gt;設定!$B$3),"",IF(INDEX(原始資料!N$2:N$501,$BJ172)="","",INDEX(原始資料!N$2:N$501,$BJ172)))</f>
        <v/>
      </c>
      <c r="M172" s="6">
        <f>IF(OR($BJ172="",12&gt;設定!$B$3),"",IF(INDEX(原始資料!O$2:O$501,$BJ172)="","",INDEX(原始資料!O$2:O$501,$BJ172)))</f>
        <v/>
      </c>
      <c r="N172" s="6">
        <f>IF(OR($BJ172="",13&gt;設定!$B$3),"",IF(INDEX(原始資料!P$2:P$501,$BJ172)="","",INDEX(原始資料!P$2:P$501,$BJ172)))</f>
        <v/>
      </c>
      <c r="O172" s="6">
        <f>IF(OR($BJ172="",14&gt;設定!$B$3),"",IF(INDEX(原始資料!Q$2:Q$501,$BJ172)="","",INDEX(原始資料!Q$2:Q$501,$BJ172)))</f>
        <v/>
      </c>
      <c r="P172" s="6">
        <f>IF(OR($BJ172="",15&gt;設定!$B$3),"",IF(INDEX(原始資料!R$2:R$501,$BJ172)="","",INDEX(原始資料!R$2:R$501,$BJ172)))</f>
        <v/>
      </c>
      <c r="Q172" s="6">
        <f>IF(OR($BJ172="",16&gt;設定!$B$3),"",IF(INDEX(原始資料!S$2:S$501,$BJ172)="","",INDEX(原始資料!S$2:S$501,$BJ172)))</f>
        <v/>
      </c>
      <c r="R172" s="6">
        <f>IF(OR($BJ172="",17&gt;設定!$B$3),"",IF(INDEX(原始資料!T$2:T$501,$BJ172)="","",INDEX(原始資料!T$2:T$501,$BJ172)))</f>
        <v/>
      </c>
      <c r="S172" s="6">
        <f>IF(OR($BJ172="",18&gt;設定!$B$3),"",IF(INDEX(原始資料!U$2:U$501,$BJ172)="","",INDEX(原始資料!U$2:U$501,$BJ172)))</f>
        <v/>
      </c>
      <c r="T172" s="6">
        <f>IF(OR($BJ172="",19&gt;設定!$B$3),"",IF(INDEX(原始資料!V$2:V$501,$BJ172)="","",INDEX(原始資料!V$2:V$501,$BJ172)))</f>
        <v/>
      </c>
      <c r="U172" s="6">
        <f>IF(OR($BJ172="",20&gt;設定!$B$3),"",IF(INDEX(原始資料!W$2:W$501,$BJ172)="","",INDEX(原始資料!W$2:W$501,$BJ172)))</f>
        <v/>
      </c>
      <c r="V172" s="6">
        <f>IF(OR($BJ172="",21&gt;設定!$B$3),"",IF(INDEX(原始資料!X$2:X$501,$BJ172)="","",INDEX(原始資料!X$2:X$501,$BJ172)))</f>
        <v/>
      </c>
      <c r="W172" s="6">
        <f>IF(OR($BJ172="",22&gt;設定!$B$3),"",IF(INDEX(原始資料!Y$2:Y$501,$BJ172)="","",INDEX(原始資料!Y$2:Y$501,$BJ172)))</f>
        <v/>
      </c>
      <c r="X172" s="6">
        <f>IF(OR($BJ172="",23&gt;設定!$B$3),"",IF(INDEX(原始資料!Z$2:Z$501,$BJ172)="","",INDEX(原始資料!Z$2:Z$501,$BJ172)))</f>
        <v/>
      </c>
      <c r="Y172" s="6">
        <f>IF(OR($BJ172="",24&gt;設定!$B$3),"",IF(INDEX(原始資料!AA$2:AA$501,$BJ172)="","",INDEX(原始資料!AA$2:AA$501,$BJ172)))</f>
        <v/>
      </c>
      <c r="Z172" s="6">
        <f>IF(OR($BJ172="",25&gt;設定!$B$3),"",IF(INDEX(原始資料!AB$2:AB$501,$BJ172)="","",INDEX(原始資料!AB$2:AB$501,$BJ172)))</f>
        <v/>
      </c>
      <c r="AA172" s="6">
        <f>IF(OR($BJ172="",26&gt;設定!$B$3),"",IF(INDEX(原始資料!AC$2:AC$501,$BJ172)="","",INDEX(原始資料!AC$2:AC$501,$BJ172)))</f>
        <v/>
      </c>
      <c r="AB172" s="6">
        <f>IF(OR($BJ172="",27&gt;設定!$B$3),"",IF(INDEX(原始資料!AD$2:AD$501,$BJ172)="","",INDEX(原始資料!AD$2:AD$501,$BJ172)))</f>
        <v/>
      </c>
      <c r="AC172" s="6">
        <f>IF(OR($BJ172="",28&gt;設定!$B$3),"",IF(INDEX(原始資料!AE$2:AE$501,$BJ172)="","",INDEX(原始資料!AE$2:AE$501,$BJ172)))</f>
        <v/>
      </c>
      <c r="AD172" s="6">
        <f>IF(OR($BJ172="",29&gt;設定!$B$3),"",IF(INDEX(原始資料!AF$2:AF$501,$BJ172)="","",INDEX(原始資料!AF$2:AF$501,$BJ172)))</f>
        <v/>
      </c>
      <c r="AE172" s="6">
        <f>IF(OR($BJ172="",30&gt;設定!$B$3),"",IF(INDEX(原始資料!AG$2:AG$501,$BJ172)="","",INDEX(原始資料!AG$2:AG$501,$BJ172)))</f>
        <v/>
      </c>
      <c r="AF172" s="6">
        <f>IF(OR($BJ172="",31&gt;設定!$B$3),"",IF(INDEX(原始資料!AH$2:AH$501,$BJ172)="","",INDEX(原始資料!AH$2:AH$501,$BJ172)))</f>
        <v/>
      </c>
      <c r="AG172" s="6">
        <f>IF(OR($BJ172="",32&gt;設定!$B$3),"",IF(INDEX(原始資料!AI$2:AI$501,$BJ172)="","",INDEX(原始資料!AI$2:AI$501,$BJ172)))</f>
        <v/>
      </c>
      <c r="AH172" s="6">
        <f>IF(OR($BJ172="",33&gt;設定!$B$3),"",IF(INDEX(原始資料!AJ$2:AJ$501,$BJ172)="","",INDEX(原始資料!AJ$2:AJ$501,$BJ172)))</f>
        <v/>
      </c>
      <c r="AI172" s="6">
        <f>IF(OR($BJ172="",34&gt;設定!$B$3),"",IF(INDEX(原始資料!AK$2:AK$501,$BJ172)="","",INDEX(原始資料!AK$2:AK$501,$BJ172)))</f>
        <v/>
      </c>
      <c r="AJ172" s="6">
        <f>IF(OR($BJ172="",35&gt;設定!$B$3),"",IF(INDEX(原始資料!AL$2:AL$501,$BJ172)="","",INDEX(原始資料!AL$2:AL$501,$BJ172)))</f>
        <v/>
      </c>
      <c r="AK172" s="6">
        <f>IF(OR($BJ172="",36&gt;設定!$B$3),"",IF(INDEX(原始資料!AM$2:AM$501,$BJ172)="","",INDEX(原始資料!AM$2:AM$501,$BJ172)))</f>
        <v/>
      </c>
      <c r="AL172" s="6">
        <f>IF(OR($BJ172="",37&gt;設定!$B$3),"",IF(INDEX(原始資料!AN$2:AN$501,$BJ172)="","",INDEX(原始資料!AN$2:AN$501,$BJ172)))</f>
        <v/>
      </c>
      <c r="AM172" s="6">
        <f>IF(OR($BJ172="",38&gt;設定!$B$3),"",IF(INDEX(原始資料!AO$2:AO$501,$BJ172)="","",INDEX(原始資料!AO$2:AO$501,$BJ172)))</f>
        <v/>
      </c>
      <c r="AN172" s="6">
        <f>IF(OR($BJ172="",39&gt;設定!$B$3),"",IF(INDEX(原始資料!AP$2:AP$501,$BJ172)="","",INDEX(原始資料!AP$2:AP$501,$BJ172)))</f>
        <v/>
      </c>
      <c r="AO172" s="6">
        <f>IF(OR($BJ172="",40&gt;設定!$B$3),"",IF(INDEX(原始資料!AQ$2:AQ$501,$BJ172)="","",INDEX(原始資料!AQ$2:AQ$501,$BJ172)))</f>
        <v/>
      </c>
      <c r="AP172" s="6">
        <f>IF(OR($BJ172="",41&gt;設定!$B$3),"",IF(INDEX(原始資料!AR$2:AR$501,$BJ172)="","",INDEX(原始資料!AR$2:AR$501,$BJ172)))</f>
        <v/>
      </c>
      <c r="AQ172" s="6">
        <f>IF(OR($BJ172="",42&gt;設定!$B$3),"",IF(INDEX(原始資料!AS$2:AS$501,$BJ172)="","",INDEX(原始資料!AS$2:AS$501,$BJ172)))</f>
        <v/>
      </c>
      <c r="AR172" s="6">
        <f>IF(OR($BJ172="",43&gt;設定!$B$3),"",IF(INDEX(原始資料!AT$2:AT$501,$BJ172)="","",INDEX(原始資料!AT$2:AT$501,$BJ172)))</f>
        <v/>
      </c>
      <c r="AS172" s="6">
        <f>IF(OR($BJ172="",44&gt;設定!$B$3),"",IF(INDEX(原始資料!AU$2:AU$501,$BJ172)="","",INDEX(原始資料!AU$2:AU$501,$BJ172)))</f>
        <v/>
      </c>
      <c r="AT172" s="6">
        <f>IF(OR($BJ172="",45&gt;設定!$B$3),"",IF(INDEX(原始資料!AV$2:AV$501,$BJ172)="","",INDEX(原始資料!AV$2:AV$501,$BJ172)))</f>
        <v/>
      </c>
      <c r="AU172" s="6">
        <f>IF(OR($BJ172="",46&gt;設定!$B$3),"",IF(INDEX(原始資料!AW$2:AW$501,$BJ172)="","",INDEX(原始資料!AW$2:AW$501,$BJ172)))</f>
        <v/>
      </c>
      <c r="AV172" s="6">
        <f>IF(OR($BJ172="",47&gt;設定!$B$3),"",IF(INDEX(原始資料!AX$2:AX$501,$BJ172)="","",INDEX(原始資料!AX$2:AX$501,$BJ172)))</f>
        <v/>
      </c>
      <c r="AW172" s="6">
        <f>IF(OR($BJ172="",48&gt;設定!$B$3),"",IF(INDEX(原始資料!AY$2:AY$501,$BJ172)="","",INDEX(原始資料!AY$2:AY$501,$BJ172)))</f>
        <v/>
      </c>
      <c r="AX172" s="6">
        <f>IF(OR($BJ172="",49&gt;設定!$B$3),"",IF(INDEX(原始資料!AZ$2:AZ$501,$BJ172)="","",INDEX(原始資料!AZ$2:AZ$501,$BJ172)))</f>
        <v/>
      </c>
      <c r="AY172" s="6">
        <f>IF(OR($BJ172="",50&gt;設定!$B$3),"",IF(INDEX(原始資料!BA$2:BA$501,$BJ172)="","",INDEX(原始資料!BA$2:BA$501,$BJ172)))</f>
        <v/>
      </c>
      <c r="AZ172" s="6">
        <f>IF(OR($BJ172="",51&gt;設定!$B$3),"",IF(INDEX(原始資料!BB$2:BB$501,$BJ172)="","",INDEX(原始資料!BB$2:BB$501,$BJ172)))</f>
        <v/>
      </c>
      <c r="BA172" s="6">
        <f>IF(OR($BJ172="",52&gt;設定!$B$3),"",IF(INDEX(原始資料!BC$2:BC$501,$BJ172)="","",INDEX(原始資料!BC$2:BC$501,$BJ172)))</f>
        <v/>
      </c>
      <c r="BB172" s="6">
        <f>IF(OR($BJ172="",53&gt;設定!$B$3),"",IF(INDEX(原始資料!BD$2:BD$501,$BJ172)="","",INDEX(原始資料!BD$2:BD$501,$BJ172)))</f>
        <v/>
      </c>
      <c r="BC172" s="6">
        <f>IF(OR($BJ172="",54&gt;設定!$B$3),"",IF(INDEX(原始資料!BE$2:BE$501,$BJ172)="","",INDEX(原始資料!BE$2:BE$501,$BJ172)))</f>
        <v/>
      </c>
      <c r="BD172" s="6">
        <f>IF(OR($BJ172="",55&gt;設定!$B$3),"",IF(INDEX(原始資料!BF$2:BF$501,$BJ172)="","",INDEX(原始資料!BF$2:BF$501,$BJ172)))</f>
        <v/>
      </c>
      <c r="BE172" s="6">
        <f>IF(OR($BJ172="",56&gt;設定!$B$3),"",IF(INDEX(原始資料!BG$2:BG$501,$BJ172)="","",INDEX(原始資料!BG$2:BG$501,$BJ172)))</f>
        <v/>
      </c>
      <c r="BF172" s="6">
        <f>IF(OR($BJ172="",57&gt;設定!$B$3),"",IF(INDEX(原始資料!BH$2:BH$501,$BJ172)="","",INDEX(原始資料!BH$2:BH$501,$BJ172)))</f>
        <v/>
      </c>
      <c r="BG172" s="6">
        <f>IF(OR($BJ172="",58&gt;設定!$B$3),"",IF(INDEX(原始資料!BI$2:BI$501,$BJ172)="","",INDEX(原始資料!BI$2:BI$501,$BJ172)))</f>
        <v/>
      </c>
      <c r="BH172" s="6">
        <f>IF(OR($BJ172="",59&gt;設定!$B$3),"",IF(INDEX(原始資料!BJ$2:BJ$501,$BJ172)="","",INDEX(原始資料!BJ$2:BJ$501,$BJ172)))</f>
        <v/>
      </c>
      <c r="BI172" s="6">
        <f>IF(OR($BJ172="",60&gt;設定!$B$3),"",IF(INDEX(原始資料!BK$2:BK$501,$BJ172)="","",INDEX(原始資料!BK$2:BK$501,$BJ172)))</f>
        <v/>
      </c>
      <c r="BJ172" s="6">
        <f>IFERROR(MATCH(ROW()-1,判定!$H$2:$H$501,0),"")</f>
        <v/>
      </c>
    </row>
    <row r="173">
      <c r="A173" s="6">
        <f>IF($BJ173="","",INDEX(原始資料!$A$2:$A$501,$BJ173))</f>
        <v/>
      </c>
      <c r="B173" s="6">
        <f>IF(OR($BJ173="",1&gt;設定!$B$3),"",IF(INDEX(原始資料!D$2:D$501,$BJ173)="","",INDEX(原始資料!D$2:D$501,$BJ173)))</f>
        <v/>
      </c>
      <c r="C173" s="6">
        <f>IF(OR($BJ173="",2&gt;設定!$B$3),"",IF(INDEX(原始資料!E$2:E$501,$BJ173)="","",INDEX(原始資料!E$2:E$501,$BJ173)))</f>
        <v/>
      </c>
      <c r="D173" s="6">
        <f>IF(OR($BJ173="",3&gt;設定!$B$3),"",IF(INDEX(原始資料!F$2:F$501,$BJ173)="","",INDEX(原始資料!F$2:F$501,$BJ173)))</f>
        <v/>
      </c>
      <c r="E173" s="6">
        <f>IF(OR($BJ173="",4&gt;設定!$B$3),"",IF(INDEX(原始資料!G$2:G$501,$BJ173)="","",INDEX(原始資料!G$2:G$501,$BJ173)))</f>
        <v/>
      </c>
      <c r="F173" s="6">
        <f>IF(OR($BJ173="",5&gt;設定!$B$3),"",IF(INDEX(原始資料!H$2:H$501,$BJ173)="","",INDEX(原始資料!H$2:H$501,$BJ173)))</f>
        <v/>
      </c>
      <c r="G173" s="6">
        <f>IF(OR($BJ173="",6&gt;設定!$B$3),"",IF(INDEX(原始資料!I$2:I$501,$BJ173)="","",INDEX(原始資料!I$2:I$501,$BJ173)))</f>
        <v/>
      </c>
      <c r="H173" s="6">
        <f>IF(OR($BJ173="",7&gt;設定!$B$3),"",IF(INDEX(原始資料!J$2:J$501,$BJ173)="","",INDEX(原始資料!J$2:J$501,$BJ173)))</f>
        <v/>
      </c>
      <c r="I173" s="6">
        <f>IF(OR($BJ173="",8&gt;設定!$B$3),"",IF(INDEX(原始資料!K$2:K$501,$BJ173)="","",INDEX(原始資料!K$2:K$501,$BJ173)))</f>
        <v/>
      </c>
      <c r="J173" s="6">
        <f>IF(OR($BJ173="",9&gt;設定!$B$3),"",IF(INDEX(原始資料!L$2:L$501,$BJ173)="","",INDEX(原始資料!L$2:L$501,$BJ173)))</f>
        <v/>
      </c>
      <c r="K173" s="6">
        <f>IF(OR($BJ173="",10&gt;設定!$B$3),"",IF(INDEX(原始資料!M$2:M$501,$BJ173)="","",INDEX(原始資料!M$2:M$501,$BJ173)))</f>
        <v/>
      </c>
      <c r="L173" s="6">
        <f>IF(OR($BJ173="",11&gt;設定!$B$3),"",IF(INDEX(原始資料!N$2:N$501,$BJ173)="","",INDEX(原始資料!N$2:N$501,$BJ173)))</f>
        <v/>
      </c>
      <c r="M173" s="6">
        <f>IF(OR($BJ173="",12&gt;設定!$B$3),"",IF(INDEX(原始資料!O$2:O$501,$BJ173)="","",INDEX(原始資料!O$2:O$501,$BJ173)))</f>
        <v/>
      </c>
      <c r="N173" s="6">
        <f>IF(OR($BJ173="",13&gt;設定!$B$3),"",IF(INDEX(原始資料!P$2:P$501,$BJ173)="","",INDEX(原始資料!P$2:P$501,$BJ173)))</f>
        <v/>
      </c>
      <c r="O173" s="6">
        <f>IF(OR($BJ173="",14&gt;設定!$B$3),"",IF(INDEX(原始資料!Q$2:Q$501,$BJ173)="","",INDEX(原始資料!Q$2:Q$501,$BJ173)))</f>
        <v/>
      </c>
      <c r="P173" s="6">
        <f>IF(OR($BJ173="",15&gt;設定!$B$3),"",IF(INDEX(原始資料!R$2:R$501,$BJ173)="","",INDEX(原始資料!R$2:R$501,$BJ173)))</f>
        <v/>
      </c>
      <c r="Q173" s="6">
        <f>IF(OR($BJ173="",16&gt;設定!$B$3),"",IF(INDEX(原始資料!S$2:S$501,$BJ173)="","",INDEX(原始資料!S$2:S$501,$BJ173)))</f>
        <v/>
      </c>
      <c r="R173" s="6">
        <f>IF(OR($BJ173="",17&gt;設定!$B$3),"",IF(INDEX(原始資料!T$2:T$501,$BJ173)="","",INDEX(原始資料!T$2:T$501,$BJ173)))</f>
        <v/>
      </c>
      <c r="S173" s="6">
        <f>IF(OR($BJ173="",18&gt;設定!$B$3),"",IF(INDEX(原始資料!U$2:U$501,$BJ173)="","",INDEX(原始資料!U$2:U$501,$BJ173)))</f>
        <v/>
      </c>
      <c r="T173" s="6">
        <f>IF(OR($BJ173="",19&gt;設定!$B$3),"",IF(INDEX(原始資料!V$2:V$501,$BJ173)="","",INDEX(原始資料!V$2:V$501,$BJ173)))</f>
        <v/>
      </c>
      <c r="U173" s="6">
        <f>IF(OR($BJ173="",20&gt;設定!$B$3),"",IF(INDEX(原始資料!W$2:W$501,$BJ173)="","",INDEX(原始資料!W$2:W$501,$BJ173)))</f>
        <v/>
      </c>
      <c r="V173" s="6">
        <f>IF(OR($BJ173="",21&gt;設定!$B$3),"",IF(INDEX(原始資料!X$2:X$501,$BJ173)="","",INDEX(原始資料!X$2:X$501,$BJ173)))</f>
        <v/>
      </c>
      <c r="W173" s="6">
        <f>IF(OR($BJ173="",22&gt;設定!$B$3),"",IF(INDEX(原始資料!Y$2:Y$501,$BJ173)="","",INDEX(原始資料!Y$2:Y$501,$BJ173)))</f>
        <v/>
      </c>
      <c r="X173" s="6">
        <f>IF(OR($BJ173="",23&gt;設定!$B$3),"",IF(INDEX(原始資料!Z$2:Z$501,$BJ173)="","",INDEX(原始資料!Z$2:Z$501,$BJ173)))</f>
        <v/>
      </c>
      <c r="Y173" s="6">
        <f>IF(OR($BJ173="",24&gt;設定!$B$3),"",IF(INDEX(原始資料!AA$2:AA$501,$BJ173)="","",INDEX(原始資料!AA$2:AA$501,$BJ173)))</f>
        <v/>
      </c>
      <c r="Z173" s="6">
        <f>IF(OR($BJ173="",25&gt;設定!$B$3),"",IF(INDEX(原始資料!AB$2:AB$501,$BJ173)="","",INDEX(原始資料!AB$2:AB$501,$BJ173)))</f>
        <v/>
      </c>
      <c r="AA173" s="6">
        <f>IF(OR($BJ173="",26&gt;設定!$B$3),"",IF(INDEX(原始資料!AC$2:AC$501,$BJ173)="","",INDEX(原始資料!AC$2:AC$501,$BJ173)))</f>
        <v/>
      </c>
      <c r="AB173" s="6">
        <f>IF(OR($BJ173="",27&gt;設定!$B$3),"",IF(INDEX(原始資料!AD$2:AD$501,$BJ173)="","",INDEX(原始資料!AD$2:AD$501,$BJ173)))</f>
        <v/>
      </c>
      <c r="AC173" s="6">
        <f>IF(OR($BJ173="",28&gt;設定!$B$3),"",IF(INDEX(原始資料!AE$2:AE$501,$BJ173)="","",INDEX(原始資料!AE$2:AE$501,$BJ173)))</f>
        <v/>
      </c>
      <c r="AD173" s="6">
        <f>IF(OR($BJ173="",29&gt;設定!$B$3),"",IF(INDEX(原始資料!AF$2:AF$501,$BJ173)="","",INDEX(原始資料!AF$2:AF$501,$BJ173)))</f>
        <v/>
      </c>
      <c r="AE173" s="6">
        <f>IF(OR($BJ173="",30&gt;設定!$B$3),"",IF(INDEX(原始資料!AG$2:AG$501,$BJ173)="","",INDEX(原始資料!AG$2:AG$501,$BJ173)))</f>
        <v/>
      </c>
      <c r="AF173" s="6">
        <f>IF(OR($BJ173="",31&gt;設定!$B$3),"",IF(INDEX(原始資料!AH$2:AH$501,$BJ173)="","",INDEX(原始資料!AH$2:AH$501,$BJ173)))</f>
        <v/>
      </c>
      <c r="AG173" s="6">
        <f>IF(OR($BJ173="",32&gt;設定!$B$3),"",IF(INDEX(原始資料!AI$2:AI$501,$BJ173)="","",INDEX(原始資料!AI$2:AI$501,$BJ173)))</f>
        <v/>
      </c>
      <c r="AH173" s="6">
        <f>IF(OR($BJ173="",33&gt;設定!$B$3),"",IF(INDEX(原始資料!AJ$2:AJ$501,$BJ173)="","",INDEX(原始資料!AJ$2:AJ$501,$BJ173)))</f>
        <v/>
      </c>
      <c r="AI173" s="6">
        <f>IF(OR($BJ173="",34&gt;設定!$B$3),"",IF(INDEX(原始資料!AK$2:AK$501,$BJ173)="","",INDEX(原始資料!AK$2:AK$501,$BJ173)))</f>
        <v/>
      </c>
      <c r="AJ173" s="6">
        <f>IF(OR($BJ173="",35&gt;設定!$B$3),"",IF(INDEX(原始資料!AL$2:AL$501,$BJ173)="","",INDEX(原始資料!AL$2:AL$501,$BJ173)))</f>
        <v/>
      </c>
      <c r="AK173" s="6">
        <f>IF(OR($BJ173="",36&gt;設定!$B$3),"",IF(INDEX(原始資料!AM$2:AM$501,$BJ173)="","",INDEX(原始資料!AM$2:AM$501,$BJ173)))</f>
        <v/>
      </c>
      <c r="AL173" s="6">
        <f>IF(OR($BJ173="",37&gt;設定!$B$3),"",IF(INDEX(原始資料!AN$2:AN$501,$BJ173)="","",INDEX(原始資料!AN$2:AN$501,$BJ173)))</f>
        <v/>
      </c>
      <c r="AM173" s="6">
        <f>IF(OR($BJ173="",38&gt;設定!$B$3),"",IF(INDEX(原始資料!AO$2:AO$501,$BJ173)="","",INDEX(原始資料!AO$2:AO$501,$BJ173)))</f>
        <v/>
      </c>
      <c r="AN173" s="6">
        <f>IF(OR($BJ173="",39&gt;設定!$B$3),"",IF(INDEX(原始資料!AP$2:AP$501,$BJ173)="","",INDEX(原始資料!AP$2:AP$501,$BJ173)))</f>
        <v/>
      </c>
      <c r="AO173" s="6">
        <f>IF(OR($BJ173="",40&gt;設定!$B$3),"",IF(INDEX(原始資料!AQ$2:AQ$501,$BJ173)="","",INDEX(原始資料!AQ$2:AQ$501,$BJ173)))</f>
        <v/>
      </c>
      <c r="AP173" s="6">
        <f>IF(OR($BJ173="",41&gt;設定!$B$3),"",IF(INDEX(原始資料!AR$2:AR$501,$BJ173)="","",INDEX(原始資料!AR$2:AR$501,$BJ173)))</f>
        <v/>
      </c>
      <c r="AQ173" s="6">
        <f>IF(OR($BJ173="",42&gt;設定!$B$3),"",IF(INDEX(原始資料!AS$2:AS$501,$BJ173)="","",INDEX(原始資料!AS$2:AS$501,$BJ173)))</f>
        <v/>
      </c>
      <c r="AR173" s="6">
        <f>IF(OR($BJ173="",43&gt;設定!$B$3),"",IF(INDEX(原始資料!AT$2:AT$501,$BJ173)="","",INDEX(原始資料!AT$2:AT$501,$BJ173)))</f>
        <v/>
      </c>
      <c r="AS173" s="6">
        <f>IF(OR($BJ173="",44&gt;設定!$B$3),"",IF(INDEX(原始資料!AU$2:AU$501,$BJ173)="","",INDEX(原始資料!AU$2:AU$501,$BJ173)))</f>
        <v/>
      </c>
      <c r="AT173" s="6">
        <f>IF(OR($BJ173="",45&gt;設定!$B$3),"",IF(INDEX(原始資料!AV$2:AV$501,$BJ173)="","",INDEX(原始資料!AV$2:AV$501,$BJ173)))</f>
        <v/>
      </c>
      <c r="AU173" s="6">
        <f>IF(OR($BJ173="",46&gt;設定!$B$3),"",IF(INDEX(原始資料!AW$2:AW$501,$BJ173)="","",INDEX(原始資料!AW$2:AW$501,$BJ173)))</f>
        <v/>
      </c>
      <c r="AV173" s="6">
        <f>IF(OR($BJ173="",47&gt;設定!$B$3),"",IF(INDEX(原始資料!AX$2:AX$501,$BJ173)="","",INDEX(原始資料!AX$2:AX$501,$BJ173)))</f>
        <v/>
      </c>
      <c r="AW173" s="6">
        <f>IF(OR($BJ173="",48&gt;設定!$B$3),"",IF(INDEX(原始資料!AY$2:AY$501,$BJ173)="","",INDEX(原始資料!AY$2:AY$501,$BJ173)))</f>
        <v/>
      </c>
      <c r="AX173" s="6">
        <f>IF(OR($BJ173="",49&gt;設定!$B$3),"",IF(INDEX(原始資料!AZ$2:AZ$501,$BJ173)="","",INDEX(原始資料!AZ$2:AZ$501,$BJ173)))</f>
        <v/>
      </c>
      <c r="AY173" s="6">
        <f>IF(OR($BJ173="",50&gt;設定!$B$3),"",IF(INDEX(原始資料!BA$2:BA$501,$BJ173)="","",INDEX(原始資料!BA$2:BA$501,$BJ173)))</f>
        <v/>
      </c>
      <c r="AZ173" s="6">
        <f>IF(OR($BJ173="",51&gt;設定!$B$3),"",IF(INDEX(原始資料!BB$2:BB$501,$BJ173)="","",INDEX(原始資料!BB$2:BB$501,$BJ173)))</f>
        <v/>
      </c>
      <c r="BA173" s="6">
        <f>IF(OR($BJ173="",52&gt;設定!$B$3),"",IF(INDEX(原始資料!BC$2:BC$501,$BJ173)="","",INDEX(原始資料!BC$2:BC$501,$BJ173)))</f>
        <v/>
      </c>
      <c r="BB173" s="6">
        <f>IF(OR($BJ173="",53&gt;設定!$B$3),"",IF(INDEX(原始資料!BD$2:BD$501,$BJ173)="","",INDEX(原始資料!BD$2:BD$501,$BJ173)))</f>
        <v/>
      </c>
      <c r="BC173" s="6">
        <f>IF(OR($BJ173="",54&gt;設定!$B$3),"",IF(INDEX(原始資料!BE$2:BE$501,$BJ173)="","",INDEX(原始資料!BE$2:BE$501,$BJ173)))</f>
        <v/>
      </c>
      <c r="BD173" s="6">
        <f>IF(OR($BJ173="",55&gt;設定!$B$3),"",IF(INDEX(原始資料!BF$2:BF$501,$BJ173)="","",INDEX(原始資料!BF$2:BF$501,$BJ173)))</f>
        <v/>
      </c>
      <c r="BE173" s="6">
        <f>IF(OR($BJ173="",56&gt;設定!$B$3),"",IF(INDEX(原始資料!BG$2:BG$501,$BJ173)="","",INDEX(原始資料!BG$2:BG$501,$BJ173)))</f>
        <v/>
      </c>
      <c r="BF173" s="6">
        <f>IF(OR($BJ173="",57&gt;設定!$B$3),"",IF(INDEX(原始資料!BH$2:BH$501,$BJ173)="","",INDEX(原始資料!BH$2:BH$501,$BJ173)))</f>
        <v/>
      </c>
      <c r="BG173" s="6">
        <f>IF(OR($BJ173="",58&gt;設定!$B$3),"",IF(INDEX(原始資料!BI$2:BI$501,$BJ173)="","",INDEX(原始資料!BI$2:BI$501,$BJ173)))</f>
        <v/>
      </c>
      <c r="BH173" s="6">
        <f>IF(OR($BJ173="",59&gt;設定!$B$3),"",IF(INDEX(原始資料!BJ$2:BJ$501,$BJ173)="","",INDEX(原始資料!BJ$2:BJ$501,$BJ173)))</f>
        <v/>
      </c>
      <c r="BI173" s="6">
        <f>IF(OR($BJ173="",60&gt;設定!$B$3),"",IF(INDEX(原始資料!BK$2:BK$501,$BJ173)="","",INDEX(原始資料!BK$2:BK$501,$BJ173)))</f>
        <v/>
      </c>
      <c r="BJ173" s="6">
        <f>IFERROR(MATCH(ROW()-1,判定!$H$2:$H$501,0),"")</f>
        <v/>
      </c>
    </row>
    <row r="174">
      <c r="A174" s="6">
        <f>IF($BJ174="","",INDEX(原始資料!$A$2:$A$501,$BJ174))</f>
        <v/>
      </c>
      <c r="B174" s="6">
        <f>IF(OR($BJ174="",1&gt;設定!$B$3),"",IF(INDEX(原始資料!D$2:D$501,$BJ174)="","",INDEX(原始資料!D$2:D$501,$BJ174)))</f>
        <v/>
      </c>
      <c r="C174" s="6">
        <f>IF(OR($BJ174="",2&gt;設定!$B$3),"",IF(INDEX(原始資料!E$2:E$501,$BJ174)="","",INDEX(原始資料!E$2:E$501,$BJ174)))</f>
        <v/>
      </c>
      <c r="D174" s="6">
        <f>IF(OR($BJ174="",3&gt;設定!$B$3),"",IF(INDEX(原始資料!F$2:F$501,$BJ174)="","",INDEX(原始資料!F$2:F$501,$BJ174)))</f>
        <v/>
      </c>
      <c r="E174" s="6">
        <f>IF(OR($BJ174="",4&gt;設定!$B$3),"",IF(INDEX(原始資料!G$2:G$501,$BJ174)="","",INDEX(原始資料!G$2:G$501,$BJ174)))</f>
        <v/>
      </c>
      <c r="F174" s="6">
        <f>IF(OR($BJ174="",5&gt;設定!$B$3),"",IF(INDEX(原始資料!H$2:H$501,$BJ174)="","",INDEX(原始資料!H$2:H$501,$BJ174)))</f>
        <v/>
      </c>
      <c r="G174" s="6">
        <f>IF(OR($BJ174="",6&gt;設定!$B$3),"",IF(INDEX(原始資料!I$2:I$501,$BJ174)="","",INDEX(原始資料!I$2:I$501,$BJ174)))</f>
        <v/>
      </c>
      <c r="H174" s="6">
        <f>IF(OR($BJ174="",7&gt;設定!$B$3),"",IF(INDEX(原始資料!J$2:J$501,$BJ174)="","",INDEX(原始資料!J$2:J$501,$BJ174)))</f>
        <v/>
      </c>
      <c r="I174" s="6">
        <f>IF(OR($BJ174="",8&gt;設定!$B$3),"",IF(INDEX(原始資料!K$2:K$501,$BJ174)="","",INDEX(原始資料!K$2:K$501,$BJ174)))</f>
        <v/>
      </c>
      <c r="J174" s="6">
        <f>IF(OR($BJ174="",9&gt;設定!$B$3),"",IF(INDEX(原始資料!L$2:L$501,$BJ174)="","",INDEX(原始資料!L$2:L$501,$BJ174)))</f>
        <v/>
      </c>
      <c r="K174" s="6">
        <f>IF(OR($BJ174="",10&gt;設定!$B$3),"",IF(INDEX(原始資料!M$2:M$501,$BJ174)="","",INDEX(原始資料!M$2:M$501,$BJ174)))</f>
        <v/>
      </c>
      <c r="L174" s="6">
        <f>IF(OR($BJ174="",11&gt;設定!$B$3),"",IF(INDEX(原始資料!N$2:N$501,$BJ174)="","",INDEX(原始資料!N$2:N$501,$BJ174)))</f>
        <v/>
      </c>
      <c r="M174" s="6">
        <f>IF(OR($BJ174="",12&gt;設定!$B$3),"",IF(INDEX(原始資料!O$2:O$501,$BJ174)="","",INDEX(原始資料!O$2:O$501,$BJ174)))</f>
        <v/>
      </c>
      <c r="N174" s="6">
        <f>IF(OR($BJ174="",13&gt;設定!$B$3),"",IF(INDEX(原始資料!P$2:P$501,$BJ174)="","",INDEX(原始資料!P$2:P$501,$BJ174)))</f>
        <v/>
      </c>
      <c r="O174" s="6">
        <f>IF(OR($BJ174="",14&gt;設定!$B$3),"",IF(INDEX(原始資料!Q$2:Q$501,$BJ174)="","",INDEX(原始資料!Q$2:Q$501,$BJ174)))</f>
        <v/>
      </c>
      <c r="P174" s="6">
        <f>IF(OR($BJ174="",15&gt;設定!$B$3),"",IF(INDEX(原始資料!R$2:R$501,$BJ174)="","",INDEX(原始資料!R$2:R$501,$BJ174)))</f>
        <v/>
      </c>
      <c r="Q174" s="6">
        <f>IF(OR($BJ174="",16&gt;設定!$B$3),"",IF(INDEX(原始資料!S$2:S$501,$BJ174)="","",INDEX(原始資料!S$2:S$501,$BJ174)))</f>
        <v/>
      </c>
      <c r="R174" s="6">
        <f>IF(OR($BJ174="",17&gt;設定!$B$3),"",IF(INDEX(原始資料!T$2:T$501,$BJ174)="","",INDEX(原始資料!T$2:T$501,$BJ174)))</f>
        <v/>
      </c>
      <c r="S174" s="6">
        <f>IF(OR($BJ174="",18&gt;設定!$B$3),"",IF(INDEX(原始資料!U$2:U$501,$BJ174)="","",INDEX(原始資料!U$2:U$501,$BJ174)))</f>
        <v/>
      </c>
      <c r="T174" s="6">
        <f>IF(OR($BJ174="",19&gt;設定!$B$3),"",IF(INDEX(原始資料!V$2:V$501,$BJ174)="","",INDEX(原始資料!V$2:V$501,$BJ174)))</f>
        <v/>
      </c>
      <c r="U174" s="6">
        <f>IF(OR($BJ174="",20&gt;設定!$B$3),"",IF(INDEX(原始資料!W$2:W$501,$BJ174)="","",INDEX(原始資料!W$2:W$501,$BJ174)))</f>
        <v/>
      </c>
      <c r="V174" s="6">
        <f>IF(OR($BJ174="",21&gt;設定!$B$3),"",IF(INDEX(原始資料!X$2:X$501,$BJ174)="","",INDEX(原始資料!X$2:X$501,$BJ174)))</f>
        <v/>
      </c>
      <c r="W174" s="6">
        <f>IF(OR($BJ174="",22&gt;設定!$B$3),"",IF(INDEX(原始資料!Y$2:Y$501,$BJ174)="","",INDEX(原始資料!Y$2:Y$501,$BJ174)))</f>
        <v/>
      </c>
      <c r="X174" s="6">
        <f>IF(OR($BJ174="",23&gt;設定!$B$3),"",IF(INDEX(原始資料!Z$2:Z$501,$BJ174)="","",INDEX(原始資料!Z$2:Z$501,$BJ174)))</f>
        <v/>
      </c>
      <c r="Y174" s="6">
        <f>IF(OR($BJ174="",24&gt;設定!$B$3),"",IF(INDEX(原始資料!AA$2:AA$501,$BJ174)="","",INDEX(原始資料!AA$2:AA$501,$BJ174)))</f>
        <v/>
      </c>
      <c r="Z174" s="6">
        <f>IF(OR($BJ174="",25&gt;設定!$B$3),"",IF(INDEX(原始資料!AB$2:AB$501,$BJ174)="","",INDEX(原始資料!AB$2:AB$501,$BJ174)))</f>
        <v/>
      </c>
      <c r="AA174" s="6">
        <f>IF(OR($BJ174="",26&gt;設定!$B$3),"",IF(INDEX(原始資料!AC$2:AC$501,$BJ174)="","",INDEX(原始資料!AC$2:AC$501,$BJ174)))</f>
        <v/>
      </c>
      <c r="AB174" s="6">
        <f>IF(OR($BJ174="",27&gt;設定!$B$3),"",IF(INDEX(原始資料!AD$2:AD$501,$BJ174)="","",INDEX(原始資料!AD$2:AD$501,$BJ174)))</f>
        <v/>
      </c>
      <c r="AC174" s="6">
        <f>IF(OR($BJ174="",28&gt;設定!$B$3),"",IF(INDEX(原始資料!AE$2:AE$501,$BJ174)="","",INDEX(原始資料!AE$2:AE$501,$BJ174)))</f>
        <v/>
      </c>
      <c r="AD174" s="6">
        <f>IF(OR($BJ174="",29&gt;設定!$B$3),"",IF(INDEX(原始資料!AF$2:AF$501,$BJ174)="","",INDEX(原始資料!AF$2:AF$501,$BJ174)))</f>
        <v/>
      </c>
      <c r="AE174" s="6">
        <f>IF(OR($BJ174="",30&gt;設定!$B$3),"",IF(INDEX(原始資料!AG$2:AG$501,$BJ174)="","",INDEX(原始資料!AG$2:AG$501,$BJ174)))</f>
        <v/>
      </c>
      <c r="AF174" s="6">
        <f>IF(OR($BJ174="",31&gt;設定!$B$3),"",IF(INDEX(原始資料!AH$2:AH$501,$BJ174)="","",INDEX(原始資料!AH$2:AH$501,$BJ174)))</f>
        <v/>
      </c>
      <c r="AG174" s="6">
        <f>IF(OR($BJ174="",32&gt;設定!$B$3),"",IF(INDEX(原始資料!AI$2:AI$501,$BJ174)="","",INDEX(原始資料!AI$2:AI$501,$BJ174)))</f>
        <v/>
      </c>
      <c r="AH174" s="6">
        <f>IF(OR($BJ174="",33&gt;設定!$B$3),"",IF(INDEX(原始資料!AJ$2:AJ$501,$BJ174)="","",INDEX(原始資料!AJ$2:AJ$501,$BJ174)))</f>
        <v/>
      </c>
      <c r="AI174" s="6">
        <f>IF(OR($BJ174="",34&gt;設定!$B$3),"",IF(INDEX(原始資料!AK$2:AK$501,$BJ174)="","",INDEX(原始資料!AK$2:AK$501,$BJ174)))</f>
        <v/>
      </c>
      <c r="AJ174" s="6">
        <f>IF(OR($BJ174="",35&gt;設定!$B$3),"",IF(INDEX(原始資料!AL$2:AL$501,$BJ174)="","",INDEX(原始資料!AL$2:AL$501,$BJ174)))</f>
        <v/>
      </c>
      <c r="AK174" s="6">
        <f>IF(OR($BJ174="",36&gt;設定!$B$3),"",IF(INDEX(原始資料!AM$2:AM$501,$BJ174)="","",INDEX(原始資料!AM$2:AM$501,$BJ174)))</f>
        <v/>
      </c>
      <c r="AL174" s="6">
        <f>IF(OR($BJ174="",37&gt;設定!$B$3),"",IF(INDEX(原始資料!AN$2:AN$501,$BJ174)="","",INDEX(原始資料!AN$2:AN$501,$BJ174)))</f>
        <v/>
      </c>
      <c r="AM174" s="6">
        <f>IF(OR($BJ174="",38&gt;設定!$B$3),"",IF(INDEX(原始資料!AO$2:AO$501,$BJ174)="","",INDEX(原始資料!AO$2:AO$501,$BJ174)))</f>
        <v/>
      </c>
      <c r="AN174" s="6">
        <f>IF(OR($BJ174="",39&gt;設定!$B$3),"",IF(INDEX(原始資料!AP$2:AP$501,$BJ174)="","",INDEX(原始資料!AP$2:AP$501,$BJ174)))</f>
        <v/>
      </c>
      <c r="AO174" s="6">
        <f>IF(OR($BJ174="",40&gt;設定!$B$3),"",IF(INDEX(原始資料!AQ$2:AQ$501,$BJ174)="","",INDEX(原始資料!AQ$2:AQ$501,$BJ174)))</f>
        <v/>
      </c>
      <c r="AP174" s="6">
        <f>IF(OR($BJ174="",41&gt;設定!$B$3),"",IF(INDEX(原始資料!AR$2:AR$501,$BJ174)="","",INDEX(原始資料!AR$2:AR$501,$BJ174)))</f>
        <v/>
      </c>
      <c r="AQ174" s="6">
        <f>IF(OR($BJ174="",42&gt;設定!$B$3),"",IF(INDEX(原始資料!AS$2:AS$501,$BJ174)="","",INDEX(原始資料!AS$2:AS$501,$BJ174)))</f>
        <v/>
      </c>
      <c r="AR174" s="6">
        <f>IF(OR($BJ174="",43&gt;設定!$B$3),"",IF(INDEX(原始資料!AT$2:AT$501,$BJ174)="","",INDEX(原始資料!AT$2:AT$501,$BJ174)))</f>
        <v/>
      </c>
      <c r="AS174" s="6">
        <f>IF(OR($BJ174="",44&gt;設定!$B$3),"",IF(INDEX(原始資料!AU$2:AU$501,$BJ174)="","",INDEX(原始資料!AU$2:AU$501,$BJ174)))</f>
        <v/>
      </c>
      <c r="AT174" s="6">
        <f>IF(OR($BJ174="",45&gt;設定!$B$3),"",IF(INDEX(原始資料!AV$2:AV$501,$BJ174)="","",INDEX(原始資料!AV$2:AV$501,$BJ174)))</f>
        <v/>
      </c>
      <c r="AU174" s="6">
        <f>IF(OR($BJ174="",46&gt;設定!$B$3),"",IF(INDEX(原始資料!AW$2:AW$501,$BJ174)="","",INDEX(原始資料!AW$2:AW$501,$BJ174)))</f>
        <v/>
      </c>
      <c r="AV174" s="6">
        <f>IF(OR($BJ174="",47&gt;設定!$B$3),"",IF(INDEX(原始資料!AX$2:AX$501,$BJ174)="","",INDEX(原始資料!AX$2:AX$501,$BJ174)))</f>
        <v/>
      </c>
      <c r="AW174" s="6">
        <f>IF(OR($BJ174="",48&gt;設定!$B$3),"",IF(INDEX(原始資料!AY$2:AY$501,$BJ174)="","",INDEX(原始資料!AY$2:AY$501,$BJ174)))</f>
        <v/>
      </c>
      <c r="AX174" s="6">
        <f>IF(OR($BJ174="",49&gt;設定!$B$3),"",IF(INDEX(原始資料!AZ$2:AZ$501,$BJ174)="","",INDEX(原始資料!AZ$2:AZ$501,$BJ174)))</f>
        <v/>
      </c>
      <c r="AY174" s="6">
        <f>IF(OR($BJ174="",50&gt;設定!$B$3),"",IF(INDEX(原始資料!BA$2:BA$501,$BJ174)="","",INDEX(原始資料!BA$2:BA$501,$BJ174)))</f>
        <v/>
      </c>
      <c r="AZ174" s="6">
        <f>IF(OR($BJ174="",51&gt;設定!$B$3),"",IF(INDEX(原始資料!BB$2:BB$501,$BJ174)="","",INDEX(原始資料!BB$2:BB$501,$BJ174)))</f>
        <v/>
      </c>
      <c r="BA174" s="6">
        <f>IF(OR($BJ174="",52&gt;設定!$B$3),"",IF(INDEX(原始資料!BC$2:BC$501,$BJ174)="","",INDEX(原始資料!BC$2:BC$501,$BJ174)))</f>
        <v/>
      </c>
      <c r="BB174" s="6">
        <f>IF(OR($BJ174="",53&gt;設定!$B$3),"",IF(INDEX(原始資料!BD$2:BD$501,$BJ174)="","",INDEX(原始資料!BD$2:BD$501,$BJ174)))</f>
        <v/>
      </c>
      <c r="BC174" s="6">
        <f>IF(OR($BJ174="",54&gt;設定!$B$3),"",IF(INDEX(原始資料!BE$2:BE$501,$BJ174)="","",INDEX(原始資料!BE$2:BE$501,$BJ174)))</f>
        <v/>
      </c>
      <c r="BD174" s="6">
        <f>IF(OR($BJ174="",55&gt;設定!$B$3),"",IF(INDEX(原始資料!BF$2:BF$501,$BJ174)="","",INDEX(原始資料!BF$2:BF$501,$BJ174)))</f>
        <v/>
      </c>
      <c r="BE174" s="6">
        <f>IF(OR($BJ174="",56&gt;設定!$B$3),"",IF(INDEX(原始資料!BG$2:BG$501,$BJ174)="","",INDEX(原始資料!BG$2:BG$501,$BJ174)))</f>
        <v/>
      </c>
      <c r="BF174" s="6">
        <f>IF(OR($BJ174="",57&gt;設定!$B$3),"",IF(INDEX(原始資料!BH$2:BH$501,$BJ174)="","",INDEX(原始資料!BH$2:BH$501,$BJ174)))</f>
        <v/>
      </c>
      <c r="BG174" s="6">
        <f>IF(OR($BJ174="",58&gt;設定!$B$3),"",IF(INDEX(原始資料!BI$2:BI$501,$BJ174)="","",INDEX(原始資料!BI$2:BI$501,$BJ174)))</f>
        <v/>
      </c>
      <c r="BH174" s="6">
        <f>IF(OR($BJ174="",59&gt;設定!$B$3),"",IF(INDEX(原始資料!BJ$2:BJ$501,$BJ174)="","",INDEX(原始資料!BJ$2:BJ$501,$BJ174)))</f>
        <v/>
      </c>
      <c r="BI174" s="6">
        <f>IF(OR($BJ174="",60&gt;設定!$B$3),"",IF(INDEX(原始資料!BK$2:BK$501,$BJ174)="","",INDEX(原始資料!BK$2:BK$501,$BJ174)))</f>
        <v/>
      </c>
      <c r="BJ174" s="6">
        <f>IFERROR(MATCH(ROW()-1,判定!$H$2:$H$501,0),"")</f>
        <v/>
      </c>
    </row>
    <row r="175">
      <c r="A175" s="6">
        <f>IF($BJ175="","",INDEX(原始資料!$A$2:$A$501,$BJ175))</f>
        <v/>
      </c>
      <c r="B175" s="6">
        <f>IF(OR($BJ175="",1&gt;設定!$B$3),"",IF(INDEX(原始資料!D$2:D$501,$BJ175)="","",INDEX(原始資料!D$2:D$501,$BJ175)))</f>
        <v/>
      </c>
      <c r="C175" s="6">
        <f>IF(OR($BJ175="",2&gt;設定!$B$3),"",IF(INDEX(原始資料!E$2:E$501,$BJ175)="","",INDEX(原始資料!E$2:E$501,$BJ175)))</f>
        <v/>
      </c>
      <c r="D175" s="6">
        <f>IF(OR($BJ175="",3&gt;設定!$B$3),"",IF(INDEX(原始資料!F$2:F$501,$BJ175)="","",INDEX(原始資料!F$2:F$501,$BJ175)))</f>
        <v/>
      </c>
      <c r="E175" s="6">
        <f>IF(OR($BJ175="",4&gt;設定!$B$3),"",IF(INDEX(原始資料!G$2:G$501,$BJ175)="","",INDEX(原始資料!G$2:G$501,$BJ175)))</f>
        <v/>
      </c>
      <c r="F175" s="6">
        <f>IF(OR($BJ175="",5&gt;設定!$B$3),"",IF(INDEX(原始資料!H$2:H$501,$BJ175)="","",INDEX(原始資料!H$2:H$501,$BJ175)))</f>
        <v/>
      </c>
      <c r="G175" s="6">
        <f>IF(OR($BJ175="",6&gt;設定!$B$3),"",IF(INDEX(原始資料!I$2:I$501,$BJ175)="","",INDEX(原始資料!I$2:I$501,$BJ175)))</f>
        <v/>
      </c>
      <c r="H175" s="6">
        <f>IF(OR($BJ175="",7&gt;設定!$B$3),"",IF(INDEX(原始資料!J$2:J$501,$BJ175)="","",INDEX(原始資料!J$2:J$501,$BJ175)))</f>
        <v/>
      </c>
      <c r="I175" s="6">
        <f>IF(OR($BJ175="",8&gt;設定!$B$3),"",IF(INDEX(原始資料!K$2:K$501,$BJ175)="","",INDEX(原始資料!K$2:K$501,$BJ175)))</f>
        <v/>
      </c>
      <c r="J175" s="6">
        <f>IF(OR($BJ175="",9&gt;設定!$B$3),"",IF(INDEX(原始資料!L$2:L$501,$BJ175)="","",INDEX(原始資料!L$2:L$501,$BJ175)))</f>
        <v/>
      </c>
      <c r="K175" s="6">
        <f>IF(OR($BJ175="",10&gt;設定!$B$3),"",IF(INDEX(原始資料!M$2:M$501,$BJ175)="","",INDEX(原始資料!M$2:M$501,$BJ175)))</f>
        <v/>
      </c>
      <c r="L175" s="6">
        <f>IF(OR($BJ175="",11&gt;設定!$B$3),"",IF(INDEX(原始資料!N$2:N$501,$BJ175)="","",INDEX(原始資料!N$2:N$501,$BJ175)))</f>
        <v/>
      </c>
      <c r="M175" s="6">
        <f>IF(OR($BJ175="",12&gt;設定!$B$3),"",IF(INDEX(原始資料!O$2:O$501,$BJ175)="","",INDEX(原始資料!O$2:O$501,$BJ175)))</f>
        <v/>
      </c>
      <c r="N175" s="6">
        <f>IF(OR($BJ175="",13&gt;設定!$B$3),"",IF(INDEX(原始資料!P$2:P$501,$BJ175)="","",INDEX(原始資料!P$2:P$501,$BJ175)))</f>
        <v/>
      </c>
      <c r="O175" s="6">
        <f>IF(OR($BJ175="",14&gt;設定!$B$3),"",IF(INDEX(原始資料!Q$2:Q$501,$BJ175)="","",INDEX(原始資料!Q$2:Q$501,$BJ175)))</f>
        <v/>
      </c>
      <c r="P175" s="6">
        <f>IF(OR($BJ175="",15&gt;設定!$B$3),"",IF(INDEX(原始資料!R$2:R$501,$BJ175)="","",INDEX(原始資料!R$2:R$501,$BJ175)))</f>
        <v/>
      </c>
      <c r="Q175" s="6">
        <f>IF(OR($BJ175="",16&gt;設定!$B$3),"",IF(INDEX(原始資料!S$2:S$501,$BJ175)="","",INDEX(原始資料!S$2:S$501,$BJ175)))</f>
        <v/>
      </c>
      <c r="R175" s="6">
        <f>IF(OR($BJ175="",17&gt;設定!$B$3),"",IF(INDEX(原始資料!T$2:T$501,$BJ175)="","",INDEX(原始資料!T$2:T$501,$BJ175)))</f>
        <v/>
      </c>
      <c r="S175" s="6">
        <f>IF(OR($BJ175="",18&gt;設定!$B$3),"",IF(INDEX(原始資料!U$2:U$501,$BJ175)="","",INDEX(原始資料!U$2:U$501,$BJ175)))</f>
        <v/>
      </c>
      <c r="T175" s="6">
        <f>IF(OR($BJ175="",19&gt;設定!$B$3),"",IF(INDEX(原始資料!V$2:V$501,$BJ175)="","",INDEX(原始資料!V$2:V$501,$BJ175)))</f>
        <v/>
      </c>
      <c r="U175" s="6">
        <f>IF(OR($BJ175="",20&gt;設定!$B$3),"",IF(INDEX(原始資料!W$2:W$501,$BJ175)="","",INDEX(原始資料!W$2:W$501,$BJ175)))</f>
        <v/>
      </c>
      <c r="V175" s="6">
        <f>IF(OR($BJ175="",21&gt;設定!$B$3),"",IF(INDEX(原始資料!X$2:X$501,$BJ175)="","",INDEX(原始資料!X$2:X$501,$BJ175)))</f>
        <v/>
      </c>
      <c r="W175" s="6">
        <f>IF(OR($BJ175="",22&gt;設定!$B$3),"",IF(INDEX(原始資料!Y$2:Y$501,$BJ175)="","",INDEX(原始資料!Y$2:Y$501,$BJ175)))</f>
        <v/>
      </c>
      <c r="X175" s="6">
        <f>IF(OR($BJ175="",23&gt;設定!$B$3),"",IF(INDEX(原始資料!Z$2:Z$501,$BJ175)="","",INDEX(原始資料!Z$2:Z$501,$BJ175)))</f>
        <v/>
      </c>
      <c r="Y175" s="6">
        <f>IF(OR($BJ175="",24&gt;設定!$B$3),"",IF(INDEX(原始資料!AA$2:AA$501,$BJ175)="","",INDEX(原始資料!AA$2:AA$501,$BJ175)))</f>
        <v/>
      </c>
      <c r="Z175" s="6">
        <f>IF(OR($BJ175="",25&gt;設定!$B$3),"",IF(INDEX(原始資料!AB$2:AB$501,$BJ175)="","",INDEX(原始資料!AB$2:AB$501,$BJ175)))</f>
        <v/>
      </c>
      <c r="AA175" s="6">
        <f>IF(OR($BJ175="",26&gt;設定!$B$3),"",IF(INDEX(原始資料!AC$2:AC$501,$BJ175)="","",INDEX(原始資料!AC$2:AC$501,$BJ175)))</f>
        <v/>
      </c>
      <c r="AB175" s="6">
        <f>IF(OR($BJ175="",27&gt;設定!$B$3),"",IF(INDEX(原始資料!AD$2:AD$501,$BJ175)="","",INDEX(原始資料!AD$2:AD$501,$BJ175)))</f>
        <v/>
      </c>
      <c r="AC175" s="6">
        <f>IF(OR($BJ175="",28&gt;設定!$B$3),"",IF(INDEX(原始資料!AE$2:AE$501,$BJ175)="","",INDEX(原始資料!AE$2:AE$501,$BJ175)))</f>
        <v/>
      </c>
      <c r="AD175" s="6">
        <f>IF(OR($BJ175="",29&gt;設定!$B$3),"",IF(INDEX(原始資料!AF$2:AF$501,$BJ175)="","",INDEX(原始資料!AF$2:AF$501,$BJ175)))</f>
        <v/>
      </c>
      <c r="AE175" s="6">
        <f>IF(OR($BJ175="",30&gt;設定!$B$3),"",IF(INDEX(原始資料!AG$2:AG$501,$BJ175)="","",INDEX(原始資料!AG$2:AG$501,$BJ175)))</f>
        <v/>
      </c>
      <c r="AF175" s="6">
        <f>IF(OR($BJ175="",31&gt;設定!$B$3),"",IF(INDEX(原始資料!AH$2:AH$501,$BJ175)="","",INDEX(原始資料!AH$2:AH$501,$BJ175)))</f>
        <v/>
      </c>
      <c r="AG175" s="6">
        <f>IF(OR($BJ175="",32&gt;設定!$B$3),"",IF(INDEX(原始資料!AI$2:AI$501,$BJ175)="","",INDEX(原始資料!AI$2:AI$501,$BJ175)))</f>
        <v/>
      </c>
      <c r="AH175" s="6">
        <f>IF(OR($BJ175="",33&gt;設定!$B$3),"",IF(INDEX(原始資料!AJ$2:AJ$501,$BJ175)="","",INDEX(原始資料!AJ$2:AJ$501,$BJ175)))</f>
        <v/>
      </c>
      <c r="AI175" s="6">
        <f>IF(OR($BJ175="",34&gt;設定!$B$3),"",IF(INDEX(原始資料!AK$2:AK$501,$BJ175)="","",INDEX(原始資料!AK$2:AK$501,$BJ175)))</f>
        <v/>
      </c>
      <c r="AJ175" s="6">
        <f>IF(OR($BJ175="",35&gt;設定!$B$3),"",IF(INDEX(原始資料!AL$2:AL$501,$BJ175)="","",INDEX(原始資料!AL$2:AL$501,$BJ175)))</f>
        <v/>
      </c>
      <c r="AK175" s="6">
        <f>IF(OR($BJ175="",36&gt;設定!$B$3),"",IF(INDEX(原始資料!AM$2:AM$501,$BJ175)="","",INDEX(原始資料!AM$2:AM$501,$BJ175)))</f>
        <v/>
      </c>
      <c r="AL175" s="6">
        <f>IF(OR($BJ175="",37&gt;設定!$B$3),"",IF(INDEX(原始資料!AN$2:AN$501,$BJ175)="","",INDEX(原始資料!AN$2:AN$501,$BJ175)))</f>
        <v/>
      </c>
      <c r="AM175" s="6">
        <f>IF(OR($BJ175="",38&gt;設定!$B$3),"",IF(INDEX(原始資料!AO$2:AO$501,$BJ175)="","",INDEX(原始資料!AO$2:AO$501,$BJ175)))</f>
        <v/>
      </c>
      <c r="AN175" s="6">
        <f>IF(OR($BJ175="",39&gt;設定!$B$3),"",IF(INDEX(原始資料!AP$2:AP$501,$BJ175)="","",INDEX(原始資料!AP$2:AP$501,$BJ175)))</f>
        <v/>
      </c>
      <c r="AO175" s="6">
        <f>IF(OR($BJ175="",40&gt;設定!$B$3),"",IF(INDEX(原始資料!AQ$2:AQ$501,$BJ175)="","",INDEX(原始資料!AQ$2:AQ$501,$BJ175)))</f>
        <v/>
      </c>
      <c r="AP175" s="6">
        <f>IF(OR($BJ175="",41&gt;設定!$B$3),"",IF(INDEX(原始資料!AR$2:AR$501,$BJ175)="","",INDEX(原始資料!AR$2:AR$501,$BJ175)))</f>
        <v/>
      </c>
      <c r="AQ175" s="6">
        <f>IF(OR($BJ175="",42&gt;設定!$B$3),"",IF(INDEX(原始資料!AS$2:AS$501,$BJ175)="","",INDEX(原始資料!AS$2:AS$501,$BJ175)))</f>
        <v/>
      </c>
      <c r="AR175" s="6">
        <f>IF(OR($BJ175="",43&gt;設定!$B$3),"",IF(INDEX(原始資料!AT$2:AT$501,$BJ175)="","",INDEX(原始資料!AT$2:AT$501,$BJ175)))</f>
        <v/>
      </c>
      <c r="AS175" s="6">
        <f>IF(OR($BJ175="",44&gt;設定!$B$3),"",IF(INDEX(原始資料!AU$2:AU$501,$BJ175)="","",INDEX(原始資料!AU$2:AU$501,$BJ175)))</f>
        <v/>
      </c>
      <c r="AT175" s="6">
        <f>IF(OR($BJ175="",45&gt;設定!$B$3),"",IF(INDEX(原始資料!AV$2:AV$501,$BJ175)="","",INDEX(原始資料!AV$2:AV$501,$BJ175)))</f>
        <v/>
      </c>
      <c r="AU175" s="6">
        <f>IF(OR($BJ175="",46&gt;設定!$B$3),"",IF(INDEX(原始資料!AW$2:AW$501,$BJ175)="","",INDEX(原始資料!AW$2:AW$501,$BJ175)))</f>
        <v/>
      </c>
      <c r="AV175" s="6">
        <f>IF(OR($BJ175="",47&gt;設定!$B$3),"",IF(INDEX(原始資料!AX$2:AX$501,$BJ175)="","",INDEX(原始資料!AX$2:AX$501,$BJ175)))</f>
        <v/>
      </c>
      <c r="AW175" s="6">
        <f>IF(OR($BJ175="",48&gt;設定!$B$3),"",IF(INDEX(原始資料!AY$2:AY$501,$BJ175)="","",INDEX(原始資料!AY$2:AY$501,$BJ175)))</f>
        <v/>
      </c>
      <c r="AX175" s="6">
        <f>IF(OR($BJ175="",49&gt;設定!$B$3),"",IF(INDEX(原始資料!AZ$2:AZ$501,$BJ175)="","",INDEX(原始資料!AZ$2:AZ$501,$BJ175)))</f>
        <v/>
      </c>
      <c r="AY175" s="6">
        <f>IF(OR($BJ175="",50&gt;設定!$B$3),"",IF(INDEX(原始資料!BA$2:BA$501,$BJ175)="","",INDEX(原始資料!BA$2:BA$501,$BJ175)))</f>
        <v/>
      </c>
      <c r="AZ175" s="6">
        <f>IF(OR($BJ175="",51&gt;設定!$B$3),"",IF(INDEX(原始資料!BB$2:BB$501,$BJ175)="","",INDEX(原始資料!BB$2:BB$501,$BJ175)))</f>
        <v/>
      </c>
      <c r="BA175" s="6">
        <f>IF(OR($BJ175="",52&gt;設定!$B$3),"",IF(INDEX(原始資料!BC$2:BC$501,$BJ175)="","",INDEX(原始資料!BC$2:BC$501,$BJ175)))</f>
        <v/>
      </c>
      <c r="BB175" s="6">
        <f>IF(OR($BJ175="",53&gt;設定!$B$3),"",IF(INDEX(原始資料!BD$2:BD$501,$BJ175)="","",INDEX(原始資料!BD$2:BD$501,$BJ175)))</f>
        <v/>
      </c>
      <c r="BC175" s="6">
        <f>IF(OR($BJ175="",54&gt;設定!$B$3),"",IF(INDEX(原始資料!BE$2:BE$501,$BJ175)="","",INDEX(原始資料!BE$2:BE$501,$BJ175)))</f>
        <v/>
      </c>
      <c r="BD175" s="6">
        <f>IF(OR($BJ175="",55&gt;設定!$B$3),"",IF(INDEX(原始資料!BF$2:BF$501,$BJ175)="","",INDEX(原始資料!BF$2:BF$501,$BJ175)))</f>
        <v/>
      </c>
      <c r="BE175" s="6">
        <f>IF(OR($BJ175="",56&gt;設定!$B$3),"",IF(INDEX(原始資料!BG$2:BG$501,$BJ175)="","",INDEX(原始資料!BG$2:BG$501,$BJ175)))</f>
        <v/>
      </c>
      <c r="BF175" s="6">
        <f>IF(OR($BJ175="",57&gt;設定!$B$3),"",IF(INDEX(原始資料!BH$2:BH$501,$BJ175)="","",INDEX(原始資料!BH$2:BH$501,$BJ175)))</f>
        <v/>
      </c>
      <c r="BG175" s="6">
        <f>IF(OR($BJ175="",58&gt;設定!$B$3),"",IF(INDEX(原始資料!BI$2:BI$501,$BJ175)="","",INDEX(原始資料!BI$2:BI$501,$BJ175)))</f>
        <v/>
      </c>
      <c r="BH175" s="6">
        <f>IF(OR($BJ175="",59&gt;設定!$B$3),"",IF(INDEX(原始資料!BJ$2:BJ$501,$BJ175)="","",INDEX(原始資料!BJ$2:BJ$501,$BJ175)))</f>
        <v/>
      </c>
      <c r="BI175" s="6">
        <f>IF(OR($BJ175="",60&gt;設定!$B$3),"",IF(INDEX(原始資料!BK$2:BK$501,$BJ175)="","",INDEX(原始資料!BK$2:BK$501,$BJ175)))</f>
        <v/>
      </c>
      <c r="BJ175" s="6">
        <f>IFERROR(MATCH(ROW()-1,判定!$H$2:$H$501,0),"")</f>
        <v/>
      </c>
    </row>
    <row r="176">
      <c r="A176" s="6">
        <f>IF($BJ176="","",INDEX(原始資料!$A$2:$A$501,$BJ176))</f>
        <v/>
      </c>
      <c r="B176" s="6">
        <f>IF(OR($BJ176="",1&gt;設定!$B$3),"",IF(INDEX(原始資料!D$2:D$501,$BJ176)="","",INDEX(原始資料!D$2:D$501,$BJ176)))</f>
        <v/>
      </c>
      <c r="C176" s="6">
        <f>IF(OR($BJ176="",2&gt;設定!$B$3),"",IF(INDEX(原始資料!E$2:E$501,$BJ176)="","",INDEX(原始資料!E$2:E$501,$BJ176)))</f>
        <v/>
      </c>
      <c r="D176" s="6">
        <f>IF(OR($BJ176="",3&gt;設定!$B$3),"",IF(INDEX(原始資料!F$2:F$501,$BJ176)="","",INDEX(原始資料!F$2:F$501,$BJ176)))</f>
        <v/>
      </c>
      <c r="E176" s="6">
        <f>IF(OR($BJ176="",4&gt;設定!$B$3),"",IF(INDEX(原始資料!G$2:G$501,$BJ176)="","",INDEX(原始資料!G$2:G$501,$BJ176)))</f>
        <v/>
      </c>
      <c r="F176" s="6">
        <f>IF(OR($BJ176="",5&gt;設定!$B$3),"",IF(INDEX(原始資料!H$2:H$501,$BJ176)="","",INDEX(原始資料!H$2:H$501,$BJ176)))</f>
        <v/>
      </c>
      <c r="G176" s="6">
        <f>IF(OR($BJ176="",6&gt;設定!$B$3),"",IF(INDEX(原始資料!I$2:I$501,$BJ176)="","",INDEX(原始資料!I$2:I$501,$BJ176)))</f>
        <v/>
      </c>
      <c r="H176" s="6">
        <f>IF(OR($BJ176="",7&gt;設定!$B$3),"",IF(INDEX(原始資料!J$2:J$501,$BJ176)="","",INDEX(原始資料!J$2:J$501,$BJ176)))</f>
        <v/>
      </c>
      <c r="I176" s="6">
        <f>IF(OR($BJ176="",8&gt;設定!$B$3),"",IF(INDEX(原始資料!K$2:K$501,$BJ176)="","",INDEX(原始資料!K$2:K$501,$BJ176)))</f>
        <v/>
      </c>
      <c r="J176" s="6">
        <f>IF(OR($BJ176="",9&gt;設定!$B$3),"",IF(INDEX(原始資料!L$2:L$501,$BJ176)="","",INDEX(原始資料!L$2:L$501,$BJ176)))</f>
        <v/>
      </c>
      <c r="K176" s="6">
        <f>IF(OR($BJ176="",10&gt;設定!$B$3),"",IF(INDEX(原始資料!M$2:M$501,$BJ176)="","",INDEX(原始資料!M$2:M$501,$BJ176)))</f>
        <v/>
      </c>
      <c r="L176" s="6">
        <f>IF(OR($BJ176="",11&gt;設定!$B$3),"",IF(INDEX(原始資料!N$2:N$501,$BJ176)="","",INDEX(原始資料!N$2:N$501,$BJ176)))</f>
        <v/>
      </c>
      <c r="M176" s="6">
        <f>IF(OR($BJ176="",12&gt;設定!$B$3),"",IF(INDEX(原始資料!O$2:O$501,$BJ176)="","",INDEX(原始資料!O$2:O$501,$BJ176)))</f>
        <v/>
      </c>
      <c r="N176" s="6">
        <f>IF(OR($BJ176="",13&gt;設定!$B$3),"",IF(INDEX(原始資料!P$2:P$501,$BJ176)="","",INDEX(原始資料!P$2:P$501,$BJ176)))</f>
        <v/>
      </c>
      <c r="O176" s="6">
        <f>IF(OR($BJ176="",14&gt;設定!$B$3),"",IF(INDEX(原始資料!Q$2:Q$501,$BJ176)="","",INDEX(原始資料!Q$2:Q$501,$BJ176)))</f>
        <v/>
      </c>
      <c r="P176" s="6">
        <f>IF(OR($BJ176="",15&gt;設定!$B$3),"",IF(INDEX(原始資料!R$2:R$501,$BJ176)="","",INDEX(原始資料!R$2:R$501,$BJ176)))</f>
        <v/>
      </c>
      <c r="Q176" s="6">
        <f>IF(OR($BJ176="",16&gt;設定!$B$3),"",IF(INDEX(原始資料!S$2:S$501,$BJ176)="","",INDEX(原始資料!S$2:S$501,$BJ176)))</f>
        <v/>
      </c>
      <c r="R176" s="6">
        <f>IF(OR($BJ176="",17&gt;設定!$B$3),"",IF(INDEX(原始資料!T$2:T$501,$BJ176)="","",INDEX(原始資料!T$2:T$501,$BJ176)))</f>
        <v/>
      </c>
      <c r="S176" s="6">
        <f>IF(OR($BJ176="",18&gt;設定!$B$3),"",IF(INDEX(原始資料!U$2:U$501,$BJ176)="","",INDEX(原始資料!U$2:U$501,$BJ176)))</f>
        <v/>
      </c>
      <c r="T176" s="6">
        <f>IF(OR($BJ176="",19&gt;設定!$B$3),"",IF(INDEX(原始資料!V$2:V$501,$BJ176)="","",INDEX(原始資料!V$2:V$501,$BJ176)))</f>
        <v/>
      </c>
      <c r="U176" s="6">
        <f>IF(OR($BJ176="",20&gt;設定!$B$3),"",IF(INDEX(原始資料!W$2:W$501,$BJ176)="","",INDEX(原始資料!W$2:W$501,$BJ176)))</f>
        <v/>
      </c>
      <c r="V176" s="6">
        <f>IF(OR($BJ176="",21&gt;設定!$B$3),"",IF(INDEX(原始資料!X$2:X$501,$BJ176)="","",INDEX(原始資料!X$2:X$501,$BJ176)))</f>
        <v/>
      </c>
      <c r="W176" s="6">
        <f>IF(OR($BJ176="",22&gt;設定!$B$3),"",IF(INDEX(原始資料!Y$2:Y$501,$BJ176)="","",INDEX(原始資料!Y$2:Y$501,$BJ176)))</f>
        <v/>
      </c>
      <c r="X176" s="6">
        <f>IF(OR($BJ176="",23&gt;設定!$B$3),"",IF(INDEX(原始資料!Z$2:Z$501,$BJ176)="","",INDEX(原始資料!Z$2:Z$501,$BJ176)))</f>
        <v/>
      </c>
      <c r="Y176" s="6">
        <f>IF(OR($BJ176="",24&gt;設定!$B$3),"",IF(INDEX(原始資料!AA$2:AA$501,$BJ176)="","",INDEX(原始資料!AA$2:AA$501,$BJ176)))</f>
        <v/>
      </c>
      <c r="Z176" s="6">
        <f>IF(OR($BJ176="",25&gt;設定!$B$3),"",IF(INDEX(原始資料!AB$2:AB$501,$BJ176)="","",INDEX(原始資料!AB$2:AB$501,$BJ176)))</f>
        <v/>
      </c>
      <c r="AA176" s="6">
        <f>IF(OR($BJ176="",26&gt;設定!$B$3),"",IF(INDEX(原始資料!AC$2:AC$501,$BJ176)="","",INDEX(原始資料!AC$2:AC$501,$BJ176)))</f>
        <v/>
      </c>
      <c r="AB176" s="6">
        <f>IF(OR($BJ176="",27&gt;設定!$B$3),"",IF(INDEX(原始資料!AD$2:AD$501,$BJ176)="","",INDEX(原始資料!AD$2:AD$501,$BJ176)))</f>
        <v/>
      </c>
      <c r="AC176" s="6">
        <f>IF(OR($BJ176="",28&gt;設定!$B$3),"",IF(INDEX(原始資料!AE$2:AE$501,$BJ176)="","",INDEX(原始資料!AE$2:AE$501,$BJ176)))</f>
        <v/>
      </c>
      <c r="AD176" s="6">
        <f>IF(OR($BJ176="",29&gt;設定!$B$3),"",IF(INDEX(原始資料!AF$2:AF$501,$BJ176)="","",INDEX(原始資料!AF$2:AF$501,$BJ176)))</f>
        <v/>
      </c>
      <c r="AE176" s="6">
        <f>IF(OR($BJ176="",30&gt;設定!$B$3),"",IF(INDEX(原始資料!AG$2:AG$501,$BJ176)="","",INDEX(原始資料!AG$2:AG$501,$BJ176)))</f>
        <v/>
      </c>
      <c r="AF176" s="6">
        <f>IF(OR($BJ176="",31&gt;設定!$B$3),"",IF(INDEX(原始資料!AH$2:AH$501,$BJ176)="","",INDEX(原始資料!AH$2:AH$501,$BJ176)))</f>
        <v/>
      </c>
      <c r="AG176" s="6">
        <f>IF(OR($BJ176="",32&gt;設定!$B$3),"",IF(INDEX(原始資料!AI$2:AI$501,$BJ176)="","",INDEX(原始資料!AI$2:AI$501,$BJ176)))</f>
        <v/>
      </c>
      <c r="AH176" s="6">
        <f>IF(OR($BJ176="",33&gt;設定!$B$3),"",IF(INDEX(原始資料!AJ$2:AJ$501,$BJ176)="","",INDEX(原始資料!AJ$2:AJ$501,$BJ176)))</f>
        <v/>
      </c>
      <c r="AI176" s="6">
        <f>IF(OR($BJ176="",34&gt;設定!$B$3),"",IF(INDEX(原始資料!AK$2:AK$501,$BJ176)="","",INDEX(原始資料!AK$2:AK$501,$BJ176)))</f>
        <v/>
      </c>
      <c r="AJ176" s="6">
        <f>IF(OR($BJ176="",35&gt;設定!$B$3),"",IF(INDEX(原始資料!AL$2:AL$501,$BJ176)="","",INDEX(原始資料!AL$2:AL$501,$BJ176)))</f>
        <v/>
      </c>
      <c r="AK176" s="6">
        <f>IF(OR($BJ176="",36&gt;設定!$B$3),"",IF(INDEX(原始資料!AM$2:AM$501,$BJ176)="","",INDEX(原始資料!AM$2:AM$501,$BJ176)))</f>
        <v/>
      </c>
      <c r="AL176" s="6">
        <f>IF(OR($BJ176="",37&gt;設定!$B$3),"",IF(INDEX(原始資料!AN$2:AN$501,$BJ176)="","",INDEX(原始資料!AN$2:AN$501,$BJ176)))</f>
        <v/>
      </c>
      <c r="AM176" s="6">
        <f>IF(OR($BJ176="",38&gt;設定!$B$3),"",IF(INDEX(原始資料!AO$2:AO$501,$BJ176)="","",INDEX(原始資料!AO$2:AO$501,$BJ176)))</f>
        <v/>
      </c>
      <c r="AN176" s="6">
        <f>IF(OR($BJ176="",39&gt;設定!$B$3),"",IF(INDEX(原始資料!AP$2:AP$501,$BJ176)="","",INDEX(原始資料!AP$2:AP$501,$BJ176)))</f>
        <v/>
      </c>
      <c r="AO176" s="6">
        <f>IF(OR($BJ176="",40&gt;設定!$B$3),"",IF(INDEX(原始資料!AQ$2:AQ$501,$BJ176)="","",INDEX(原始資料!AQ$2:AQ$501,$BJ176)))</f>
        <v/>
      </c>
      <c r="AP176" s="6">
        <f>IF(OR($BJ176="",41&gt;設定!$B$3),"",IF(INDEX(原始資料!AR$2:AR$501,$BJ176)="","",INDEX(原始資料!AR$2:AR$501,$BJ176)))</f>
        <v/>
      </c>
      <c r="AQ176" s="6">
        <f>IF(OR($BJ176="",42&gt;設定!$B$3),"",IF(INDEX(原始資料!AS$2:AS$501,$BJ176)="","",INDEX(原始資料!AS$2:AS$501,$BJ176)))</f>
        <v/>
      </c>
      <c r="AR176" s="6">
        <f>IF(OR($BJ176="",43&gt;設定!$B$3),"",IF(INDEX(原始資料!AT$2:AT$501,$BJ176)="","",INDEX(原始資料!AT$2:AT$501,$BJ176)))</f>
        <v/>
      </c>
      <c r="AS176" s="6">
        <f>IF(OR($BJ176="",44&gt;設定!$B$3),"",IF(INDEX(原始資料!AU$2:AU$501,$BJ176)="","",INDEX(原始資料!AU$2:AU$501,$BJ176)))</f>
        <v/>
      </c>
      <c r="AT176" s="6">
        <f>IF(OR($BJ176="",45&gt;設定!$B$3),"",IF(INDEX(原始資料!AV$2:AV$501,$BJ176)="","",INDEX(原始資料!AV$2:AV$501,$BJ176)))</f>
        <v/>
      </c>
      <c r="AU176" s="6">
        <f>IF(OR($BJ176="",46&gt;設定!$B$3),"",IF(INDEX(原始資料!AW$2:AW$501,$BJ176)="","",INDEX(原始資料!AW$2:AW$501,$BJ176)))</f>
        <v/>
      </c>
      <c r="AV176" s="6">
        <f>IF(OR($BJ176="",47&gt;設定!$B$3),"",IF(INDEX(原始資料!AX$2:AX$501,$BJ176)="","",INDEX(原始資料!AX$2:AX$501,$BJ176)))</f>
        <v/>
      </c>
      <c r="AW176" s="6">
        <f>IF(OR($BJ176="",48&gt;設定!$B$3),"",IF(INDEX(原始資料!AY$2:AY$501,$BJ176)="","",INDEX(原始資料!AY$2:AY$501,$BJ176)))</f>
        <v/>
      </c>
      <c r="AX176" s="6">
        <f>IF(OR($BJ176="",49&gt;設定!$B$3),"",IF(INDEX(原始資料!AZ$2:AZ$501,$BJ176)="","",INDEX(原始資料!AZ$2:AZ$501,$BJ176)))</f>
        <v/>
      </c>
      <c r="AY176" s="6">
        <f>IF(OR($BJ176="",50&gt;設定!$B$3),"",IF(INDEX(原始資料!BA$2:BA$501,$BJ176)="","",INDEX(原始資料!BA$2:BA$501,$BJ176)))</f>
        <v/>
      </c>
      <c r="AZ176" s="6">
        <f>IF(OR($BJ176="",51&gt;設定!$B$3),"",IF(INDEX(原始資料!BB$2:BB$501,$BJ176)="","",INDEX(原始資料!BB$2:BB$501,$BJ176)))</f>
        <v/>
      </c>
      <c r="BA176" s="6">
        <f>IF(OR($BJ176="",52&gt;設定!$B$3),"",IF(INDEX(原始資料!BC$2:BC$501,$BJ176)="","",INDEX(原始資料!BC$2:BC$501,$BJ176)))</f>
        <v/>
      </c>
      <c r="BB176" s="6">
        <f>IF(OR($BJ176="",53&gt;設定!$B$3),"",IF(INDEX(原始資料!BD$2:BD$501,$BJ176)="","",INDEX(原始資料!BD$2:BD$501,$BJ176)))</f>
        <v/>
      </c>
      <c r="BC176" s="6">
        <f>IF(OR($BJ176="",54&gt;設定!$B$3),"",IF(INDEX(原始資料!BE$2:BE$501,$BJ176)="","",INDEX(原始資料!BE$2:BE$501,$BJ176)))</f>
        <v/>
      </c>
      <c r="BD176" s="6">
        <f>IF(OR($BJ176="",55&gt;設定!$B$3),"",IF(INDEX(原始資料!BF$2:BF$501,$BJ176)="","",INDEX(原始資料!BF$2:BF$501,$BJ176)))</f>
        <v/>
      </c>
      <c r="BE176" s="6">
        <f>IF(OR($BJ176="",56&gt;設定!$B$3),"",IF(INDEX(原始資料!BG$2:BG$501,$BJ176)="","",INDEX(原始資料!BG$2:BG$501,$BJ176)))</f>
        <v/>
      </c>
      <c r="BF176" s="6">
        <f>IF(OR($BJ176="",57&gt;設定!$B$3),"",IF(INDEX(原始資料!BH$2:BH$501,$BJ176)="","",INDEX(原始資料!BH$2:BH$501,$BJ176)))</f>
        <v/>
      </c>
      <c r="BG176" s="6">
        <f>IF(OR($BJ176="",58&gt;設定!$B$3),"",IF(INDEX(原始資料!BI$2:BI$501,$BJ176)="","",INDEX(原始資料!BI$2:BI$501,$BJ176)))</f>
        <v/>
      </c>
      <c r="BH176" s="6">
        <f>IF(OR($BJ176="",59&gt;設定!$B$3),"",IF(INDEX(原始資料!BJ$2:BJ$501,$BJ176)="","",INDEX(原始資料!BJ$2:BJ$501,$BJ176)))</f>
        <v/>
      </c>
      <c r="BI176" s="6">
        <f>IF(OR($BJ176="",60&gt;設定!$B$3),"",IF(INDEX(原始資料!BK$2:BK$501,$BJ176)="","",INDEX(原始資料!BK$2:BK$501,$BJ176)))</f>
        <v/>
      </c>
      <c r="BJ176" s="6">
        <f>IFERROR(MATCH(ROW()-1,判定!$H$2:$H$501,0),"")</f>
        <v/>
      </c>
    </row>
    <row r="177">
      <c r="A177" s="6">
        <f>IF($BJ177="","",INDEX(原始資料!$A$2:$A$501,$BJ177))</f>
        <v/>
      </c>
      <c r="B177" s="6">
        <f>IF(OR($BJ177="",1&gt;設定!$B$3),"",IF(INDEX(原始資料!D$2:D$501,$BJ177)="","",INDEX(原始資料!D$2:D$501,$BJ177)))</f>
        <v/>
      </c>
      <c r="C177" s="6">
        <f>IF(OR($BJ177="",2&gt;設定!$B$3),"",IF(INDEX(原始資料!E$2:E$501,$BJ177)="","",INDEX(原始資料!E$2:E$501,$BJ177)))</f>
        <v/>
      </c>
      <c r="D177" s="6">
        <f>IF(OR($BJ177="",3&gt;設定!$B$3),"",IF(INDEX(原始資料!F$2:F$501,$BJ177)="","",INDEX(原始資料!F$2:F$501,$BJ177)))</f>
        <v/>
      </c>
      <c r="E177" s="6">
        <f>IF(OR($BJ177="",4&gt;設定!$B$3),"",IF(INDEX(原始資料!G$2:G$501,$BJ177)="","",INDEX(原始資料!G$2:G$501,$BJ177)))</f>
        <v/>
      </c>
      <c r="F177" s="6">
        <f>IF(OR($BJ177="",5&gt;設定!$B$3),"",IF(INDEX(原始資料!H$2:H$501,$BJ177)="","",INDEX(原始資料!H$2:H$501,$BJ177)))</f>
        <v/>
      </c>
      <c r="G177" s="6">
        <f>IF(OR($BJ177="",6&gt;設定!$B$3),"",IF(INDEX(原始資料!I$2:I$501,$BJ177)="","",INDEX(原始資料!I$2:I$501,$BJ177)))</f>
        <v/>
      </c>
      <c r="H177" s="6">
        <f>IF(OR($BJ177="",7&gt;設定!$B$3),"",IF(INDEX(原始資料!J$2:J$501,$BJ177)="","",INDEX(原始資料!J$2:J$501,$BJ177)))</f>
        <v/>
      </c>
      <c r="I177" s="6">
        <f>IF(OR($BJ177="",8&gt;設定!$B$3),"",IF(INDEX(原始資料!K$2:K$501,$BJ177)="","",INDEX(原始資料!K$2:K$501,$BJ177)))</f>
        <v/>
      </c>
      <c r="J177" s="6">
        <f>IF(OR($BJ177="",9&gt;設定!$B$3),"",IF(INDEX(原始資料!L$2:L$501,$BJ177)="","",INDEX(原始資料!L$2:L$501,$BJ177)))</f>
        <v/>
      </c>
      <c r="K177" s="6">
        <f>IF(OR($BJ177="",10&gt;設定!$B$3),"",IF(INDEX(原始資料!M$2:M$501,$BJ177)="","",INDEX(原始資料!M$2:M$501,$BJ177)))</f>
        <v/>
      </c>
      <c r="L177" s="6">
        <f>IF(OR($BJ177="",11&gt;設定!$B$3),"",IF(INDEX(原始資料!N$2:N$501,$BJ177)="","",INDEX(原始資料!N$2:N$501,$BJ177)))</f>
        <v/>
      </c>
      <c r="M177" s="6">
        <f>IF(OR($BJ177="",12&gt;設定!$B$3),"",IF(INDEX(原始資料!O$2:O$501,$BJ177)="","",INDEX(原始資料!O$2:O$501,$BJ177)))</f>
        <v/>
      </c>
      <c r="N177" s="6">
        <f>IF(OR($BJ177="",13&gt;設定!$B$3),"",IF(INDEX(原始資料!P$2:P$501,$BJ177)="","",INDEX(原始資料!P$2:P$501,$BJ177)))</f>
        <v/>
      </c>
      <c r="O177" s="6">
        <f>IF(OR($BJ177="",14&gt;設定!$B$3),"",IF(INDEX(原始資料!Q$2:Q$501,$BJ177)="","",INDEX(原始資料!Q$2:Q$501,$BJ177)))</f>
        <v/>
      </c>
      <c r="P177" s="6">
        <f>IF(OR($BJ177="",15&gt;設定!$B$3),"",IF(INDEX(原始資料!R$2:R$501,$BJ177)="","",INDEX(原始資料!R$2:R$501,$BJ177)))</f>
        <v/>
      </c>
      <c r="Q177" s="6">
        <f>IF(OR($BJ177="",16&gt;設定!$B$3),"",IF(INDEX(原始資料!S$2:S$501,$BJ177)="","",INDEX(原始資料!S$2:S$501,$BJ177)))</f>
        <v/>
      </c>
      <c r="R177" s="6">
        <f>IF(OR($BJ177="",17&gt;設定!$B$3),"",IF(INDEX(原始資料!T$2:T$501,$BJ177)="","",INDEX(原始資料!T$2:T$501,$BJ177)))</f>
        <v/>
      </c>
      <c r="S177" s="6">
        <f>IF(OR($BJ177="",18&gt;設定!$B$3),"",IF(INDEX(原始資料!U$2:U$501,$BJ177)="","",INDEX(原始資料!U$2:U$501,$BJ177)))</f>
        <v/>
      </c>
      <c r="T177" s="6">
        <f>IF(OR($BJ177="",19&gt;設定!$B$3),"",IF(INDEX(原始資料!V$2:V$501,$BJ177)="","",INDEX(原始資料!V$2:V$501,$BJ177)))</f>
        <v/>
      </c>
      <c r="U177" s="6">
        <f>IF(OR($BJ177="",20&gt;設定!$B$3),"",IF(INDEX(原始資料!W$2:W$501,$BJ177)="","",INDEX(原始資料!W$2:W$501,$BJ177)))</f>
        <v/>
      </c>
      <c r="V177" s="6">
        <f>IF(OR($BJ177="",21&gt;設定!$B$3),"",IF(INDEX(原始資料!X$2:X$501,$BJ177)="","",INDEX(原始資料!X$2:X$501,$BJ177)))</f>
        <v/>
      </c>
      <c r="W177" s="6">
        <f>IF(OR($BJ177="",22&gt;設定!$B$3),"",IF(INDEX(原始資料!Y$2:Y$501,$BJ177)="","",INDEX(原始資料!Y$2:Y$501,$BJ177)))</f>
        <v/>
      </c>
      <c r="X177" s="6">
        <f>IF(OR($BJ177="",23&gt;設定!$B$3),"",IF(INDEX(原始資料!Z$2:Z$501,$BJ177)="","",INDEX(原始資料!Z$2:Z$501,$BJ177)))</f>
        <v/>
      </c>
      <c r="Y177" s="6">
        <f>IF(OR($BJ177="",24&gt;設定!$B$3),"",IF(INDEX(原始資料!AA$2:AA$501,$BJ177)="","",INDEX(原始資料!AA$2:AA$501,$BJ177)))</f>
        <v/>
      </c>
      <c r="Z177" s="6">
        <f>IF(OR($BJ177="",25&gt;設定!$B$3),"",IF(INDEX(原始資料!AB$2:AB$501,$BJ177)="","",INDEX(原始資料!AB$2:AB$501,$BJ177)))</f>
        <v/>
      </c>
      <c r="AA177" s="6">
        <f>IF(OR($BJ177="",26&gt;設定!$B$3),"",IF(INDEX(原始資料!AC$2:AC$501,$BJ177)="","",INDEX(原始資料!AC$2:AC$501,$BJ177)))</f>
        <v/>
      </c>
      <c r="AB177" s="6">
        <f>IF(OR($BJ177="",27&gt;設定!$B$3),"",IF(INDEX(原始資料!AD$2:AD$501,$BJ177)="","",INDEX(原始資料!AD$2:AD$501,$BJ177)))</f>
        <v/>
      </c>
      <c r="AC177" s="6">
        <f>IF(OR($BJ177="",28&gt;設定!$B$3),"",IF(INDEX(原始資料!AE$2:AE$501,$BJ177)="","",INDEX(原始資料!AE$2:AE$501,$BJ177)))</f>
        <v/>
      </c>
      <c r="AD177" s="6">
        <f>IF(OR($BJ177="",29&gt;設定!$B$3),"",IF(INDEX(原始資料!AF$2:AF$501,$BJ177)="","",INDEX(原始資料!AF$2:AF$501,$BJ177)))</f>
        <v/>
      </c>
      <c r="AE177" s="6">
        <f>IF(OR($BJ177="",30&gt;設定!$B$3),"",IF(INDEX(原始資料!AG$2:AG$501,$BJ177)="","",INDEX(原始資料!AG$2:AG$501,$BJ177)))</f>
        <v/>
      </c>
      <c r="AF177" s="6">
        <f>IF(OR($BJ177="",31&gt;設定!$B$3),"",IF(INDEX(原始資料!AH$2:AH$501,$BJ177)="","",INDEX(原始資料!AH$2:AH$501,$BJ177)))</f>
        <v/>
      </c>
      <c r="AG177" s="6">
        <f>IF(OR($BJ177="",32&gt;設定!$B$3),"",IF(INDEX(原始資料!AI$2:AI$501,$BJ177)="","",INDEX(原始資料!AI$2:AI$501,$BJ177)))</f>
        <v/>
      </c>
      <c r="AH177" s="6">
        <f>IF(OR($BJ177="",33&gt;設定!$B$3),"",IF(INDEX(原始資料!AJ$2:AJ$501,$BJ177)="","",INDEX(原始資料!AJ$2:AJ$501,$BJ177)))</f>
        <v/>
      </c>
      <c r="AI177" s="6">
        <f>IF(OR($BJ177="",34&gt;設定!$B$3),"",IF(INDEX(原始資料!AK$2:AK$501,$BJ177)="","",INDEX(原始資料!AK$2:AK$501,$BJ177)))</f>
        <v/>
      </c>
      <c r="AJ177" s="6">
        <f>IF(OR($BJ177="",35&gt;設定!$B$3),"",IF(INDEX(原始資料!AL$2:AL$501,$BJ177)="","",INDEX(原始資料!AL$2:AL$501,$BJ177)))</f>
        <v/>
      </c>
      <c r="AK177" s="6">
        <f>IF(OR($BJ177="",36&gt;設定!$B$3),"",IF(INDEX(原始資料!AM$2:AM$501,$BJ177)="","",INDEX(原始資料!AM$2:AM$501,$BJ177)))</f>
        <v/>
      </c>
      <c r="AL177" s="6">
        <f>IF(OR($BJ177="",37&gt;設定!$B$3),"",IF(INDEX(原始資料!AN$2:AN$501,$BJ177)="","",INDEX(原始資料!AN$2:AN$501,$BJ177)))</f>
        <v/>
      </c>
      <c r="AM177" s="6">
        <f>IF(OR($BJ177="",38&gt;設定!$B$3),"",IF(INDEX(原始資料!AO$2:AO$501,$BJ177)="","",INDEX(原始資料!AO$2:AO$501,$BJ177)))</f>
        <v/>
      </c>
      <c r="AN177" s="6">
        <f>IF(OR($BJ177="",39&gt;設定!$B$3),"",IF(INDEX(原始資料!AP$2:AP$501,$BJ177)="","",INDEX(原始資料!AP$2:AP$501,$BJ177)))</f>
        <v/>
      </c>
      <c r="AO177" s="6">
        <f>IF(OR($BJ177="",40&gt;設定!$B$3),"",IF(INDEX(原始資料!AQ$2:AQ$501,$BJ177)="","",INDEX(原始資料!AQ$2:AQ$501,$BJ177)))</f>
        <v/>
      </c>
      <c r="AP177" s="6">
        <f>IF(OR($BJ177="",41&gt;設定!$B$3),"",IF(INDEX(原始資料!AR$2:AR$501,$BJ177)="","",INDEX(原始資料!AR$2:AR$501,$BJ177)))</f>
        <v/>
      </c>
      <c r="AQ177" s="6">
        <f>IF(OR($BJ177="",42&gt;設定!$B$3),"",IF(INDEX(原始資料!AS$2:AS$501,$BJ177)="","",INDEX(原始資料!AS$2:AS$501,$BJ177)))</f>
        <v/>
      </c>
      <c r="AR177" s="6">
        <f>IF(OR($BJ177="",43&gt;設定!$B$3),"",IF(INDEX(原始資料!AT$2:AT$501,$BJ177)="","",INDEX(原始資料!AT$2:AT$501,$BJ177)))</f>
        <v/>
      </c>
      <c r="AS177" s="6">
        <f>IF(OR($BJ177="",44&gt;設定!$B$3),"",IF(INDEX(原始資料!AU$2:AU$501,$BJ177)="","",INDEX(原始資料!AU$2:AU$501,$BJ177)))</f>
        <v/>
      </c>
      <c r="AT177" s="6">
        <f>IF(OR($BJ177="",45&gt;設定!$B$3),"",IF(INDEX(原始資料!AV$2:AV$501,$BJ177)="","",INDEX(原始資料!AV$2:AV$501,$BJ177)))</f>
        <v/>
      </c>
      <c r="AU177" s="6">
        <f>IF(OR($BJ177="",46&gt;設定!$B$3),"",IF(INDEX(原始資料!AW$2:AW$501,$BJ177)="","",INDEX(原始資料!AW$2:AW$501,$BJ177)))</f>
        <v/>
      </c>
      <c r="AV177" s="6">
        <f>IF(OR($BJ177="",47&gt;設定!$B$3),"",IF(INDEX(原始資料!AX$2:AX$501,$BJ177)="","",INDEX(原始資料!AX$2:AX$501,$BJ177)))</f>
        <v/>
      </c>
      <c r="AW177" s="6">
        <f>IF(OR($BJ177="",48&gt;設定!$B$3),"",IF(INDEX(原始資料!AY$2:AY$501,$BJ177)="","",INDEX(原始資料!AY$2:AY$501,$BJ177)))</f>
        <v/>
      </c>
      <c r="AX177" s="6">
        <f>IF(OR($BJ177="",49&gt;設定!$B$3),"",IF(INDEX(原始資料!AZ$2:AZ$501,$BJ177)="","",INDEX(原始資料!AZ$2:AZ$501,$BJ177)))</f>
        <v/>
      </c>
      <c r="AY177" s="6">
        <f>IF(OR($BJ177="",50&gt;設定!$B$3),"",IF(INDEX(原始資料!BA$2:BA$501,$BJ177)="","",INDEX(原始資料!BA$2:BA$501,$BJ177)))</f>
        <v/>
      </c>
      <c r="AZ177" s="6">
        <f>IF(OR($BJ177="",51&gt;設定!$B$3),"",IF(INDEX(原始資料!BB$2:BB$501,$BJ177)="","",INDEX(原始資料!BB$2:BB$501,$BJ177)))</f>
        <v/>
      </c>
      <c r="BA177" s="6">
        <f>IF(OR($BJ177="",52&gt;設定!$B$3),"",IF(INDEX(原始資料!BC$2:BC$501,$BJ177)="","",INDEX(原始資料!BC$2:BC$501,$BJ177)))</f>
        <v/>
      </c>
      <c r="BB177" s="6">
        <f>IF(OR($BJ177="",53&gt;設定!$B$3),"",IF(INDEX(原始資料!BD$2:BD$501,$BJ177)="","",INDEX(原始資料!BD$2:BD$501,$BJ177)))</f>
        <v/>
      </c>
      <c r="BC177" s="6">
        <f>IF(OR($BJ177="",54&gt;設定!$B$3),"",IF(INDEX(原始資料!BE$2:BE$501,$BJ177)="","",INDEX(原始資料!BE$2:BE$501,$BJ177)))</f>
        <v/>
      </c>
      <c r="BD177" s="6">
        <f>IF(OR($BJ177="",55&gt;設定!$B$3),"",IF(INDEX(原始資料!BF$2:BF$501,$BJ177)="","",INDEX(原始資料!BF$2:BF$501,$BJ177)))</f>
        <v/>
      </c>
      <c r="BE177" s="6">
        <f>IF(OR($BJ177="",56&gt;設定!$B$3),"",IF(INDEX(原始資料!BG$2:BG$501,$BJ177)="","",INDEX(原始資料!BG$2:BG$501,$BJ177)))</f>
        <v/>
      </c>
      <c r="BF177" s="6">
        <f>IF(OR($BJ177="",57&gt;設定!$B$3),"",IF(INDEX(原始資料!BH$2:BH$501,$BJ177)="","",INDEX(原始資料!BH$2:BH$501,$BJ177)))</f>
        <v/>
      </c>
      <c r="BG177" s="6">
        <f>IF(OR($BJ177="",58&gt;設定!$B$3),"",IF(INDEX(原始資料!BI$2:BI$501,$BJ177)="","",INDEX(原始資料!BI$2:BI$501,$BJ177)))</f>
        <v/>
      </c>
      <c r="BH177" s="6">
        <f>IF(OR($BJ177="",59&gt;設定!$B$3),"",IF(INDEX(原始資料!BJ$2:BJ$501,$BJ177)="","",INDEX(原始資料!BJ$2:BJ$501,$BJ177)))</f>
        <v/>
      </c>
      <c r="BI177" s="6">
        <f>IF(OR($BJ177="",60&gt;設定!$B$3),"",IF(INDEX(原始資料!BK$2:BK$501,$BJ177)="","",INDEX(原始資料!BK$2:BK$501,$BJ177)))</f>
        <v/>
      </c>
      <c r="BJ177" s="6">
        <f>IFERROR(MATCH(ROW()-1,判定!$H$2:$H$501,0),"")</f>
        <v/>
      </c>
    </row>
    <row r="178">
      <c r="A178" s="6">
        <f>IF($BJ178="","",INDEX(原始資料!$A$2:$A$501,$BJ178))</f>
        <v/>
      </c>
      <c r="B178" s="6">
        <f>IF(OR($BJ178="",1&gt;設定!$B$3),"",IF(INDEX(原始資料!D$2:D$501,$BJ178)="","",INDEX(原始資料!D$2:D$501,$BJ178)))</f>
        <v/>
      </c>
      <c r="C178" s="6">
        <f>IF(OR($BJ178="",2&gt;設定!$B$3),"",IF(INDEX(原始資料!E$2:E$501,$BJ178)="","",INDEX(原始資料!E$2:E$501,$BJ178)))</f>
        <v/>
      </c>
      <c r="D178" s="6">
        <f>IF(OR($BJ178="",3&gt;設定!$B$3),"",IF(INDEX(原始資料!F$2:F$501,$BJ178)="","",INDEX(原始資料!F$2:F$501,$BJ178)))</f>
        <v/>
      </c>
      <c r="E178" s="6">
        <f>IF(OR($BJ178="",4&gt;設定!$B$3),"",IF(INDEX(原始資料!G$2:G$501,$BJ178)="","",INDEX(原始資料!G$2:G$501,$BJ178)))</f>
        <v/>
      </c>
      <c r="F178" s="6">
        <f>IF(OR($BJ178="",5&gt;設定!$B$3),"",IF(INDEX(原始資料!H$2:H$501,$BJ178)="","",INDEX(原始資料!H$2:H$501,$BJ178)))</f>
        <v/>
      </c>
      <c r="G178" s="6">
        <f>IF(OR($BJ178="",6&gt;設定!$B$3),"",IF(INDEX(原始資料!I$2:I$501,$BJ178)="","",INDEX(原始資料!I$2:I$501,$BJ178)))</f>
        <v/>
      </c>
      <c r="H178" s="6">
        <f>IF(OR($BJ178="",7&gt;設定!$B$3),"",IF(INDEX(原始資料!J$2:J$501,$BJ178)="","",INDEX(原始資料!J$2:J$501,$BJ178)))</f>
        <v/>
      </c>
      <c r="I178" s="6">
        <f>IF(OR($BJ178="",8&gt;設定!$B$3),"",IF(INDEX(原始資料!K$2:K$501,$BJ178)="","",INDEX(原始資料!K$2:K$501,$BJ178)))</f>
        <v/>
      </c>
      <c r="J178" s="6">
        <f>IF(OR($BJ178="",9&gt;設定!$B$3),"",IF(INDEX(原始資料!L$2:L$501,$BJ178)="","",INDEX(原始資料!L$2:L$501,$BJ178)))</f>
        <v/>
      </c>
      <c r="K178" s="6">
        <f>IF(OR($BJ178="",10&gt;設定!$B$3),"",IF(INDEX(原始資料!M$2:M$501,$BJ178)="","",INDEX(原始資料!M$2:M$501,$BJ178)))</f>
        <v/>
      </c>
      <c r="L178" s="6">
        <f>IF(OR($BJ178="",11&gt;設定!$B$3),"",IF(INDEX(原始資料!N$2:N$501,$BJ178)="","",INDEX(原始資料!N$2:N$501,$BJ178)))</f>
        <v/>
      </c>
      <c r="M178" s="6">
        <f>IF(OR($BJ178="",12&gt;設定!$B$3),"",IF(INDEX(原始資料!O$2:O$501,$BJ178)="","",INDEX(原始資料!O$2:O$501,$BJ178)))</f>
        <v/>
      </c>
      <c r="N178" s="6">
        <f>IF(OR($BJ178="",13&gt;設定!$B$3),"",IF(INDEX(原始資料!P$2:P$501,$BJ178)="","",INDEX(原始資料!P$2:P$501,$BJ178)))</f>
        <v/>
      </c>
      <c r="O178" s="6">
        <f>IF(OR($BJ178="",14&gt;設定!$B$3),"",IF(INDEX(原始資料!Q$2:Q$501,$BJ178)="","",INDEX(原始資料!Q$2:Q$501,$BJ178)))</f>
        <v/>
      </c>
      <c r="P178" s="6">
        <f>IF(OR($BJ178="",15&gt;設定!$B$3),"",IF(INDEX(原始資料!R$2:R$501,$BJ178)="","",INDEX(原始資料!R$2:R$501,$BJ178)))</f>
        <v/>
      </c>
      <c r="Q178" s="6">
        <f>IF(OR($BJ178="",16&gt;設定!$B$3),"",IF(INDEX(原始資料!S$2:S$501,$BJ178)="","",INDEX(原始資料!S$2:S$501,$BJ178)))</f>
        <v/>
      </c>
      <c r="R178" s="6">
        <f>IF(OR($BJ178="",17&gt;設定!$B$3),"",IF(INDEX(原始資料!T$2:T$501,$BJ178)="","",INDEX(原始資料!T$2:T$501,$BJ178)))</f>
        <v/>
      </c>
      <c r="S178" s="6">
        <f>IF(OR($BJ178="",18&gt;設定!$B$3),"",IF(INDEX(原始資料!U$2:U$501,$BJ178)="","",INDEX(原始資料!U$2:U$501,$BJ178)))</f>
        <v/>
      </c>
      <c r="T178" s="6">
        <f>IF(OR($BJ178="",19&gt;設定!$B$3),"",IF(INDEX(原始資料!V$2:V$501,$BJ178)="","",INDEX(原始資料!V$2:V$501,$BJ178)))</f>
        <v/>
      </c>
      <c r="U178" s="6">
        <f>IF(OR($BJ178="",20&gt;設定!$B$3),"",IF(INDEX(原始資料!W$2:W$501,$BJ178)="","",INDEX(原始資料!W$2:W$501,$BJ178)))</f>
        <v/>
      </c>
      <c r="V178" s="6">
        <f>IF(OR($BJ178="",21&gt;設定!$B$3),"",IF(INDEX(原始資料!X$2:X$501,$BJ178)="","",INDEX(原始資料!X$2:X$501,$BJ178)))</f>
        <v/>
      </c>
      <c r="W178" s="6">
        <f>IF(OR($BJ178="",22&gt;設定!$B$3),"",IF(INDEX(原始資料!Y$2:Y$501,$BJ178)="","",INDEX(原始資料!Y$2:Y$501,$BJ178)))</f>
        <v/>
      </c>
      <c r="X178" s="6">
        <f>IF(OR($BJ178="",23&gt;設定!$B$3),"",IF(INDEX(原始資料!Z$2:Z$501,$BJ178)="","",INDEX(原始資料!Z$2:Z$501,$BJ178)))</f>
        <v/>
      </c>
      <c r="Y178" s="6">
        <f>IF(OR($BJ178="",24&gt;設定!$B$3),"",IF(INDEX(原始資料!AA$2:AA$501,$BJ178)="","",INDEX(原始資料!AA$2:AA$501,$BJ178)))</f>
        <v/>
      </c>
      <c r="Z178" s="6">
        <f>IF(OR($BJ178="",25&gt;設定!$B$3),"",IF(INDEX(原始資料!AB$2:AB$501,$BJ178)="","",INDEX(原始資料!AB$2:AB$501,$BJ178)))</f>
        <v/>
      </c>
      <c r="AA178" s="6">
        <f>IF(OR($BJ178="",26&gt;設定!$B$3),"",IF(INDEX(原始資料!AC$2:AC$501,$BJ178)="","",INDEX(原始資料!AC$2:AC$501,$BJ178)))</f>
        <v/>
      </c>
      <c r="AB178" s="6">
        <f>IF(OR($BJ178="",27&gt;設定!$B$3),"",IF(INDEX(原始資料!AD$2:AD$501,$BJ178)="","",INDEX(原始資料!AD$2:AD$501,$BJ178)))</f>
        <v/>
      </c>
      <c r="AC178" s="6">
        <f>IF(OR($BJ178="",28&gt;設定!$B$3),"",IF(INDEX(原始資料!AE$2:AE$501,$BJ178)="","",INDEX(原始資料!AE$2:AE$501,$BJ178)))</f>
        <v/>
      </c>
      <c r="AD178" s="6">
        <f>IF(OR($BJ178="",29&gt;設定!$B$3),"",IF(INDEX(原始資料!AF$2:AF$501,$BJ178)="","",INDEX(原始資料!AF$2:AF$501,$BJ178)))</f>
        <v/>
      </c>
      <c r="AE178" s="6">
        <f>IF(OR($BJ178="",30&gt;設定!$B$3),"",IF(INDEX(原始資料!AG$2:AG$501,$BJ178)="","",INDEX(原始資料!AG$2:AG$501,$BJ178)))</f>
        <v/>
      </c>
      <c r="AF178" s="6">
        <f>IF(OR($BJ178="",31&gt;設定!$B$3),"",IF(INDEX(原始資料!AH$2:AH$501,$BJ178)="","",INDEX(原始資料!AH$2:AH$501,$BJ178)))</f>
        <v/>
      </c>
      <c r="AG178" s="6">
        <f>IF(OR($BJ178="",32&gt;設定!$B$3),"",IF(INDEX(原始資料!AI$2:AI$501,$BJ178)="","",INDEX(原始資料!AI$2:AI$501,$BJ178)))</f>
        <v/>
      </c>
      <c r="AH178" s="6">
        <f>IF(OR($BJ178="",33&gt;設定!$B$3),"",IF(INDEX(原始資料!AJ$2:AJ$501,$BJ178)="","",INDEX(原始資料!AJ$2:AJ$501,$BJ178)))</f>
        <v/>
      </c>
      <c r="AI178" s="6">
        <f>IF(OR($BJ178="",34&gt;設定!$B$3),"",IF(INDEX(原始資料!AK$2:AK$501,$BJ178)="","",INDEX(原始資料!AK$2:AK$501,$BJ178)))</f>
        <v/>
      </c>
      <c r="AJ178" s="6">
        <f>IF(OR($BJ178="",35&gt;設定!$B$3),"",IF(INDEX(原始資料!AL$2:AL$501,$BJ178)="","",INDEX(原始資料!AL$2:AL$501,$BJ178)))</f>
        <v/>
      </c>
      <c r="AK178" s="6">
        <f>IF(OR($BJ178="",36&gt;設定!$B$3),"",IF(INDEX(原始資料!AM$2:AM$501,$BJ178)="","",INDEX(原始資料!AM$2:AM$501,$BJ178)))</f>
        <v/>
      </c>
      <c r="AL178" s="6">
        <f>IF(OR($BJ178="",37&gt;設定!$B$3),"",IF(INDEX(原始資料!AN$2:AN$501,$BJ178)="","",INDEX(原始資料!AN$2:AN$501,$BJ178)))</f>
        <v/>
      </c>
      <c r="AM178" s="6">
        <f>IF(OR($BJ178="",38&gt;設定!$B$3),"",IF(INDEX(原始資料!AO$2:AO$501,$BJ178)="","",INDEX(原始資料!AO$2:AO$501,$BJ178)))</f>
        <v/>
      </c>
      <c r="AN178" s="6">
        <f>IF(OR($BJ178="",39&gt;設定!$B$3),"",IF(INDEX(原始資料!AP$2:AP$501,$BJ178)="","",INDEX(原始資料!AP$2:AP$501,$BJ178)))</f>
        <v/>
      </c>
      <c r="AO178" s="6">
        <f>IF(OR($BJ178="",40&gt;設定!$B$3),"",IF(INDEX(原始資料!AQ$2:AQ$501,$BJ178)="","",INDEX(原始資料!AQ$2:AQ$501,$BJ178)))</f>
        <v/>
      </c>
      <c r="AP178" s="6">
        <f>IF(OR($BJ178="",41&gt;設定!$B$3),"",IF(INDEX(原始資料!AR$2:AR$501,$BJ178)="","",INDEX(原始資料!AR$2:AR$501,$BJ178)))</f>
        <v/>
      </c>
      <c r="AQ178" s="6">
        <f>IF(OR($BJ178="",42&gt;設定!$B$3),"",IF(INDEX(原始資料!AS$2:AS$501,$BJ178)="","",INDEX(原始資料!AS$2:AS$501,$BJ178)))</f>
        <v/>
      </c>
      <c r="AR178" s="6">
        <f>IF(OR($BJ178="",43&gt;設定!$B$3),"",IF(INDEX(原始資料!AT$2:AT$501,$BJ178)="","",INDEX(原始資料!AT$2:AT$501,$BJ178)))</f>
        <v/>
      </c>
      <c r="AS178" s="6">
        <f>IF(OR($BJ178="",44&gt;設定!$B$3),"",IF(INDEX(原始資料!AU$2:AU$501,$BJ178)="","",INDEX(原始資料!AU$2:AU$501,$BJ178)))</f>
        <v/>
      </c>
      <c r="AT178" s="6">
        <f>IF(OR($BJ178="",45&gt;設定!$B$3),"",IF(INDEX(原始資料!AV$2:AV$501,$BJ178)="","",INDEX(原始資料!AV$2:AV$501,$BJ178)))</f>
        <v/>
      </c>
      <c r="AU178" s="6">
        <f>IF(OR($BJ178="",46&gt;設定!$B$3),"",IF(INDEX(原始資料!AW$2:AW$501,$BJ178)="","",INDEX(原始資料!AW$2:AW$501,$BJ178)))</f>
        <v/>
      </c>
      <c r="AV178" s="6">
        <f>IF(OR($BJ178="",47&gt;設定!$B$3),"",IF(INDEX(原始資料!AX$2:AX$501,$BJ178)="","",INDEX(原始資料!AX$2:AX$501,$BJ178)))</f>
        <v/>
      </c>
      <c r="AW178" s="6">
        <f>IF(OR($BJ178="",48&gt;設定!$B$3),"",IF(INDEX(原始資料!AY$2:AY$501,$BJ178)="","",INDEX(原始資料!AY$2:AY$501,$BJ178)))</f>
        <v/>
      </c>
      <c r="AX178" s="6">
        <f>IF(OR($BJ178="",49&gt;設定!$B$3),"",IF(INDEX(原始資料!AZ$2:AZ$501,$BJ178)="","",INDEX(原始資料!AZ$2:AZ$501,$BJ178)))</f>
        <v/>
      </c>
      <c r="AY178" s="6">
        <f>IF(OR($BJ178="",50&gt;設定!$B$3),"",IF(INDEX(原始資料!BA$2:BA$501,$BJ178)="","",INDEX(原始資料!BA$2:BA$501,$BJ178)))</f>
        <v/>
      </c>
      <c r="AZ178" s="6">
        <f>IF(OR($BJ178="",51&gt;設定!$B$3),"",IF(INDEX(原始資料!BB$2:BB$501,$BJ178)="","",INDEX(原始資料!BB$2:BB$501,$BJ178)))</f>
        <v/>
      </c>
      <c r="BA178" s="6">
        <f>IF(OR($BJ178="",52&gt;設定!$B$3),"",IF(INDEX(原始資料!BC$2:BC$501,$BJ178)="","",INDEX(原始資料!BC$2:BC$501,$BJ178)))</f>
        <v/>
      </c>
      <c r="BB178" s="6">
        <f>IF(OR($BJ178="",53&gt;設定!$B$3),"",IF(INDEX(原始資料!BD$2:BD$501,$BJ178)="","",INDEX(原始資料!BD$2:BD$501,$BJ178)))</f>
        <v/>
      </c>
      <c r="BC178" s="6">
        <f>IF(OR($BJ178="",54&gt;設定!$B$3),"",IF(INDEX(原始資料!BE$2:BE$501,$BJ178)="","",INDEX(原始資料!BE$2:BE$501,$BJ178)))</f>
        <v/>
      </c>
      <c r="BD178" s="6">
        <f>IF(OR($BJ178="",55&gt;設定!$B$3),"",IF(INDEX(原始資料!BF$2:BF$501,$BJ178)="","",INDEX(原始資料!BF$2:BF$501,$BJ178)))</f>
        <v/>
      </c>
      <c r="BE178" s="6">
        <f>IF(OR($BJ178="",56&gt;設定!$B$3),"",IF(INDEX(原始資料!BG$2:BG$501,$BJ178)="","",INDEX(原始資料!BG$2:BG$501,$BJ178)))</f>
        <v/>
      </c>
      <c r="BF178" s="6">
        <f>IF(OR($BJ178="",57&gt;設定!$B$3),"",IF(INDEX(原始資料!BH$2:BH$501,$BJ178)="","",INDEX(原始資料!BH$2:BH$501,$BJ178)))</f>
        <v/>
      </c>
      <c r="BG178" s="6">
        <f>IF(OR($BJ178="",58&gt;設定!$B$3),"",IF(INDEX(原始資料!BI$2:BI$501,$BJ178)="","",INDEX(原始資料!BI$2:BI$501,$BJ178)))</f>
        <v/>
      </c>
      <c r="BH178" s="6">
        <f>IF(OR($BJ178="",59&gt;設定!$B$3),"",IF(INDEX(原始資料!BJ$2:BJ$501,$BJ178)="","",INDEX(原始資料!BJ$2:BJ$501,$BJ178)))</f>
        <v/>
      </c>
      <c r="BI178" s="6">
        <f>IF(OR($BJ178="",60&gt;設定!$B$3),"",IF(INDEX(原始資料!BK$2:BK$501,$BJ178)="","",INDEX(原始資料!BK$2:BK$501,$BJ178)))</f>
        <v/>
      </c>
      <c r="BJ178" s="6">
        <f>IFERROR(MATCH(ROW()-1,判定!$H$2:$H$501,0),"")</f>
        <v/>
      </c>
    </row>
    <row r="179">
      <c r="A179" s="6">
        <f>IF($BJ179="","",INDEX(原始資料!$A$2:$A$501,$BJ179))</f>
        <v/>
      </c>
      <c r="B179" s="6">
        <f>IF(OR($BJ179="",1&gt;設定!$B$3),"",IF(INDEX(原始資料!D$2:D$501,$BJ179)="","",INDEX(原始資料!D$2:D$501,$BJ179)))</f>
        <v/>
      </c>
      <c r="C179" s="6">
        <f>IF(OR($BJ179="",2&gt;設定!$B$3),"",IF(INDEX(原始資料!E$2:E$501,$BJ179)="","",INDEX(原始資料!E$2:E$501,$BJ179)))</f>
        <v/>
      </c>
      <c r="D179" s="6">
        <f>IF(OR($BJ179="",3&gt;設定!$B$3),"",IF(INDEX(原始資料!F$2:F$501,$BJ179)="","",INDEX(原始資料!F$2:F$501,$BJ179)))</f>
        <v/>
      </c>
      <c r="E179" s="6">
        <f>IF(OR($BJ179="",4&gt;設定!$B$3),"",IF(INDEX(原始資料!G$2:G$501,$BJ179)="","",INDEX(原始資料!G$2:G$501,$BJ179)))</f>
        <v/>
      </c>
      <c r="F179" s="6">
        <f>IF(OR($BJ179="",5&gt;設定!$B$3),"",IF(INDEX(原始資料!H$2:H$501,$BJ179)="","",INDEX(原始資料!H$2:H$501,$BJ179)))</f>
        <v/>
      </c>
      <c r="G179" s="6">
        <f>IF(OR($BJ179="",6&gt;設定!$B$3),"",IF(INDEX(原始資料!I$2:I$501,$BJ179)="","",INDEX(原始資料!I$2:I$501,$BJ179)))</f>
        <v/>
      </c>
      <c r="H179" s="6">
        <f>IF(OR($BJ179="",7&gt;設定!$B$3),"",IF(INDEX(原始資料!J$2:J$501,$BJ179)="","",INDEX(原始資料!J$2:J$501,$BJ179)))</f>
        <v/>
      </c>
      <c r="I179" s="6">
        <f>IF(OR($BJ179="",8&gt;設定!$B$3),"",IF(INDEX(原始資料!K$2:K$501,$BJ179)="","",INDEX(原始資料!K$2:K$501,$BJ179)))</f>
        <v/>
      </c>
      <c r="J179" s="6">
        <f>IF(OR($BJ179="",9&gt;設定!$B$3),"",IF(INDEX(原始資料!L$2:L$501,$BJ179)="","",INDEX(原始資料!L$2:L$501,$BJ179)))</f>
        <v/>
      </c>
      <c r="K179" s="6">
        <f>IF(OR($BJ179="",10&gt;設定!$B$3),"",IF(INDEX(原始資料!M$2:M$501,$BJ179)="","",INDEX(原始資料!M$2:M$501,$BJ179)))</f>
        <v/>
      </c>
      <c r="L179" s="6">
        <f>IF(OR($BJ179="",11&gt;設定!$B$3),"",IF(INDEX(原始資料!N$2:N$501,$BJ179)="","",INDEX(原始資料!N$2:N$501,$BJ179)))</f>
        <v/>
      </c>
      <c r="M179" s="6">
        <f>IF(OR($BJ179="",12&gt;設定!$B$3),"",IF(INDEX(原始資料!O$2:O$501,$BJ179)="","",INDEX(原始資料!O$2:O$501,$BJ179)))</f>
        <v/>
      </c>
      <c r="N179" s="6">
        <f>IF(OR($BJ179="",13&gt;設定!$B$3),"",IF(INDEX(原始資料!P$2:P$501,$BJ179)="","",INDEX(原始資料!P$2:P$501,$BJ179)))</f>
        <v/>
      </c>
      <c r="O179" s="6">
        <f>IF(OR($BJ179="",14&gt;設定!$B$3),"",IF(INDEX(原始資料!Q$2:Q$501,$BJ179)="","",INDEX(原始資料!Q$2:Q$501,$BJ179)))</f>
        <v/>
      </c>
      <c r="P179" s="6">
        <f>IF(OR($BJ179="",15&gt;設定!$B$3),"",IF(INDEX(原始資料!R$2:R$501,$BJ179)="","",INDEX(原始資料!R$2:R$501,$BJ179)))</f>
        <v/>
      </c>
      <c r="Q179" s="6">
        <f>IF(OR($BJ179="",16&gt;設定!$B$3),"",IF(INDEX(原始資料!S$2:S$501,$BJ179)="","",INDEX(原始資料!S$2:S$501,$BJ179)))</f>
        <v/>
      </c>
      <c r="R179" s="6">
        <f>IF(OR($BJ179="",17&gt;設定!$B$3),"",IF(INDEX(原始資料!T$2:T$501,$BJ179)="","",INDEX(原始資料!T$2:T$501,$BJ179)))</f>
        <v/>
      </c>
      <c r="S179" s="6">
        <f>IF(OR($BJ179="",18&gt;設定!$B$3),"",IF(INDEX(原始資料!U$2:U$501,$BJ179)="","",INDEX(原始資料!U$2:U$501,$BJ179)))</f>
        <v/>
      </c>
      <c r="T179" s="6">
        <f>IF(OR($BJ179="",19&gt;設定!$B$3),"",IF(INDEX(原始資料!V$2:V$501,$BJ179)="","",INDEX(原始資料!V$2:V$501,$BJ179)))</f>
        <v/>
      </c>
      <c r="U179" s="6">
        <f>IF(OR($BJ179="",20&gt;設定!$B$3),"",IF(INDEX(原始資料!W$2:W$501,$BJ179)="","",INDEX(原始資料!W$2:W$501,$BJ179)))</f>
        <v/>
      </c>
      <c r="V179" s="6">
        <f>IF(OR($BJ179="",21&gt;設定!$B$3),"",IF(INDEX(原始資料!X$2:X$501,$BJ179)="","",INDEX(原始資料!X$2:X$501,$BJ179)))</f>
        <v/>
      </c>
      <c r="W179" s="6">
        <f>IF(OR($BJ179="",22&gt;設定!$B$3),"",IF(INDEX(原始資料!Y$2:Y$501,$BJ179)="","",INDEX(原始資料!Y$2:Y$501,$BJ179)))</f>
        <v/>
      </c>
      <c r="X179" s="6">
        <f>IF(OR($BJ179="",23&gt;設定!$B$3),"",IF(INDEX(原始資料!Z$2:Z$501,$BJ179)="","",INDEX(原始資料!Z$2:Z$501,$BJ179)))</f>
        <v/>
      </c>
      <c r="Y179" s="6">
        <f>IF(OR($BJ179="",24&gt;設定!$B$3),"",IF(INDEX(原始資料!AA$2:AA$501,$BJ179)="","",INDEX(原始資料!AA$2:AA$501,$BJ179)))</f>
        <v/>
      </c>
      <c r="Z179" s="6">
        <f>IF(OR($BJ179="",25&gt;設定!$B$3),"",IF(INDEX(原始資料!AB$2:AB$501,$BJ179)="","",INDEX(原始資料!AB$2:AB$501,$BJ179)))</f>
        <v/>
      </c>
      <c r="AA179" s="6">
        <f>IF(OR($BJ179="",26&gt;設定!$B$3),"",IF(INDEX(原始資料!AC$2:AC$501,$BJ179)="","",INDEX(原始資料!AC$2:AC$501,$BJ179)))</f>
        <v/>
      </c>
      <c r="AB179" s="6">
        <f>IF(OR($BJ179="",27&gt;設定!$B$3),"",IF(INDEX(原始資料!AD$2:AD$501,$BJ179)="","",INDEX(原始資料!AD$2:AD$501,$BJ179)))</f>
        <v/>
      </c>
      <c r="AC179" s="6">
        <f>IF(OR($BJ179="",28&gt;設定!$B$3),"",IF(INDEX(原始資料!AE$2:AE$501,$BJ179)="","",INDEX(原始資料!AE$2:AE$501,$BJ179)))</f>
        <v/>
      </c>
      <c r="AD179" s="6">
        <f>IF(OR($BJ179="",29&gt;設定!$B$3),"",IF(INDEX(原始資料!AF$2:AF$501,$BJ179)="","",INDEX(原始資料!AF$2:AF$501,$BJ179)))</f>
        <v/>
      </c>
      <c r="AE179" s="6">
        <f>IF(OR($BJ179="",30&gt;設定!$B$3),"",IF(INDEX(原始資料!AG$2:AG$501,$BJ179)="","",INDEX(原始資料!AG$2:AG$501,$BJ179)))</f>
        <v/>
      </c>
      <c r="AF179" s="6">
        <f>IF(OR($BJ179="",31&gt;設定!$B$3),"",IF(INDEX(原始資料!AH$2:AH$501,$BJ179)="","",INDEX(原始資料!AH$2:AH$501,$BJ179)))</f>
        <v/>
      </c>
      <c r="AG179" s="6">
        <f>IF(OR($BJ179="",32&gt;設定!$B$3),"",IF(INDEX(原始資料!AI$2:AI$501,$BJ179)="","",INDEX(原始資料!AI$2:AI$501,$BJ179)))</f>
        <v/>
      </c>
      <c r="AH179" s="6">
        <f>IF(OR($BJ179="",33&gt;設定!$B$3),"",IF(INDEX(原始資料!AJ$2:AJ$501,$BJ179)="","",INDEX(原始資料!AJ$2:AJ$501,$BJ179)))</f>
        <v/>
      </c>
      <c r="AI179" s="6">
        <f>IF(OR($BJ179="",34&gt;設定!$B$3),"",IF(INDEX(原始資料!AK$2:AK$501,$BJ179)="","",INDEX(原始資料!AK$2:AK$501,$BJ179)))</f>
        <v/>
      </c>
      <c r="AJ179" s="6">
        <f>IF(OR($BJ179="",35&gt;設定!$B$3),"",IF(INDEX(原始資料!AL$2:AL$501,$BJ179)="","",INDEX(原始資料!AL$2:AL$501,$BJ179)))</f>
        <v/>
      </c>
      <c r="AK179" s="6">
        <f>IF(OR($BJ179="",36&gt;設定!$B$3),"",IF(INDEX(原始資料!AM$2:AM$501,$BJ179)="","",INDEX(原始資料!AM$2:AM$501,$BJ179)))</f>
        <v/>
      </c>
      <c r="AL179" s="6">
        <f>IF(OR($BJ179="",37&gt;設定!$B$3),"",IF(INDEX(原始資料!AN$2:AN$501,$BJ179)="","",INDEX(原始資料!AN$2:AN$501,$BJ179)))</f>
        <v/>
      </c>
      <c r="AM179" s="6">
        <f>IF(OR($BJ179="",38&gt;設定!$B$3),"",IF(INDEX(原始資料!AO$2:AO$501,$BJ179)="","",INDEX(原始資料!AO$2:AO$501,$BJ179)))</f>
        <v/>
      </c>
      <c r="AN179" s="6">
        <f>IF(OR($BJ179="",39&gt;設定!$B$3),"",IF(INDEX(原始資料!AP$2:AP$501,$BJ179)="","",INDEX(原始資料!AP$2:AP$501,$BJ179)))</f>
        <v/>
      </c>
      <c r="AO179" s="6">
        <f>IF(OR($BJ179="",40&gt;設定!$B$3),"",IF(INDEX(原始資料!AQ$2:AQ$501,$BJ179)="","",INDEX(原始資料!AQ$2:AQ$501,$BJ179)))</f>
        <v/>
      </c>
      <c r="AP179" s="6">
        <f>IF(OR($BJ179="",41&gt;設定!$B$3),"",IF(INDEX(原始資料!AR$2:AR$501,$BJ179)="","",INDEX(原始資料!AR$2:AR$501,$BJ179)))</f>
        <v/>
      </c>
      <c r="AQ179" s="6">
        <f>IF(OR($BJ179="",42&gt;設定!$B$3),"",IF(INDEX(原始資料!AS$2:AS$501,$BJ179)="","",INDEX(原始資料!AS$2:AS$501,$BJ179)))</f>
        <v/>
      </c>
      <c r="AR179" s="6">
        <f>IF(OR($BJ179="",43&gt;設定!$B$3),"",IF(INDEX(原始資料!AT$2:AT$501,$BJ179)="","",INDEX(原始資料!AT$2:AT$501,$BJ179)))</f>
        <v/>
      </c>
      <c r="AS179" s="6">
        <f>IF(OR($BJ179="",44&gt;設定!$B$3),"",IF(INDEX(原始資料!AU$2:AU$501,$BJ179)="","",INDEX(原始資料!AU$2:AU$501,$BJ179)))</f>
        <v/>
      </c>
      <c r="AT179" s="6">
        <f>IF(OR($BJ179="",45&gt;設定!$B$3),"",IF(INDEX(原始資料!AV$2:AV$501,$BJ179)="","",INDEX(原始資料!AV$2:AV$501,$BJ179)))</f>
        <v/>
      </c>
      <c r="AU179" s="6">
        <f>IF(OR($BJ179="",46&gt;設定!$B$3),"",IF(INDEX(原始資料!AW$2:AW$501,$BJ179)="","",INDEX(原始資料!AW$2:AW$501,$BJ179)))</f>
        <v/>
      </c>
      <c r="AV179" s="6">
        <f>IF(OR($BJ179="",47&gt;設定!$B$3),"",IF(INDEX(原始資料!AX$2:AX$501,$BJ179)="","",INDEX(原始資料!AX$2:AX$501,$BJ179)))</f>
        <v/>
      </c>
      <c r="AW179" s="6">
        <f>IF(OR($BJ179="",48&gt;設定!$B$3),"",IF(INDEX(原始資料!AY$2:AY$501,$BJ179)="","",INDEX(原始資料!AY$2:AY$501,$BJ179)))</f>
        <v/>
      </c>
      <c r="AX179" s="6">
        <f>IF(OR($BJ179="",49&gt;設定!$B$3),"",IF(INDEX(原始資料!AZ$2:AZ$501,$BJ179)="","",INDEX(原始資料!AZ$2:AZ$501,$BJ179)))</f>
        <v/>
      </c>
      <c r="AY179" s="6">
        <f>IF(OR($BJ179="",50&gt;設定!$B$3),"",IF(INDEX(原始資料!BA$2:BA$501,$BJ179)="","",INDEX(原始資料!BA$2:BA$501,$BJ179)))</f>
        <v/>
      </c>
      <c r="AZ179" s="6">
        <f>IF(OR($BJ179="",51&gt;設定!$B$3),"",IF(INDEX(原始資料!BB$2:BB$501,$BJ179)="","",INDEX(原始資料!BB$2:BB$501,$BJ179)))</f>
        <v/>
      </c>
      <c r="BA179" s="6">
        <f>IF(OR($BJ179="",52&gt;設定!$B$3),"",IF(INDEX(原始資料!BC$2:BC$501,$BJ179)="","",INDEX(原始資料!BC$2:BC$501,$BJ179)))</f>
        <v/>
      </c>
      <c r="BB179" s="6">
        <f>IF(OR($BJ179="",53&gt;設定!$B$3),"",IF(INDEX(原始資料!BD$2:BD$501,$BJ179)="","",INDEX(原始資料!BD$2:BD$501,$BJ179)))</f>
        <v/>
      </c>
      <c r="BC179" s="6">
        <f>IF(OR($BJ179="",54&gt;設定!$B$3),"",IF(INDEX(原始資料!BE$2:BE$501,$BJ179)="","",INDEX(原始資料!BE$2:BE$501,$BJ179)))</f>
        <v/>
      </c>
      <c r="BD179" s="6">
        <f>IF(OR($BJ179="",55&gt;設定!$B$3),"",IF(INDEX(原始資料!BF$2:BF$501,$BJ179)="","",INDEX(原始資料!BF$2:BF$501,$BJ179)))</f>
        <v/>
      </c>
      <c r="BE179" s="6">
        <f>IF(OR($BJ179="",56&gt;設定!$B$3),"",IF(INDEX(原始資料!BG$2:BG$501,$BJ179)="","",INDEX(原始資料!BG$2:BG$501,$BJ179)))</f>
        <v/>
      </c>
      <c r="BF179" s="6">
        <f>IF(OR($BJ179="",57&gt;設定!$B$3),"",IF(INDEX(原始資料!BH$2:BH$501,$BJ179)="","",INDEX(原始資料!BH$2:BH$501,$BJ179)))</f>
        <v/>
      </c>
      <c r="BG179" s="6">
        <f>IF(OR($BJ179="",58&gt;設定!$B$3),"",IF(INDEX(原始資料!BI$2:BI$501,$BJ179)="","",INDEX(原始資料!BI$2:BI$501,$BJ179)))</f>
        <v/>
      </c>
      <c r="BH179" s="6">
        <f>IF(OR($BJ179="",59&gt;設定!$B$3),"",IF(INDEX(原始資料!BJ$2:BJ$501,$BJ179)="","",INDEX(原始資料!BJ$2:BJ$501,$BJ179)))</f>
        <v/>
      </c>
      <c r="BI179" s="6">
        <f>IF(OR($BJ179="",60&gt;設定!$B$3),"",IF(INDEX(原始資料!BK$2:BK$501,$BJ179)="","",INDEX(原始資料!BK$2:BK$501,$BJ179)))</f>
        <v/>
      </c>
      <c r="BJ179" s="6">
        <f>IFERROR(MATCH(ROW()-1,判定!$H$2:$H$501,0),"")</f>
        <v/>
      </c>
    </row>
    <row r="180">
      <c r="A180" s="6">
        <f>IF($BJ180="","",INDEX(原始資料!$A$2:$A$501,$BJ180))</f>
        <v/>
      </c>
      <c r="B180" s="6">
        <f>IF(OR($BJ180="",1&gt;設定!$B$3),"",IF(INDEX(原始資料!D$2:D$501,$BJ180)="","",INDEX(原始資料!D$2:D$501,$BJ180)))</f>
        <v/>
      </c>
      <c r="C180" s="6">
        <f>IF(OR($BJ180="",2&gt;設定!$B$3),"",IF(INDEX(原始資料!E$2:E$501,$BJ180)="","",INDEX(原始資料!E$2:E$501,$BJ180)))</f>
        <v/>
      </c>
      <c r="D180" s="6">
        <f>IF(OR($BJ180="",3&gt;設定!$B$3),"",IF(INDEX(原始資料!F$2:F$501,$BJ180)="","",INDEX(原始資料!F$2:F$501,$BJ180)))</f>
        <v/>
      </c>
      <c r="E180" s="6">
        <f>IF(OR($BJ180="",4&gt;設定!$B$3),"",IF(INDEX(原始資料!G$2:G$501,$BJ180)="","",INDEX(原始資料!G$2:G$501,$BJ180)))</f>
        <v/>
      </c>
      <c r="F180" s="6">
        <f>IF(OR($BJ180="",5&gt;設定!$B$3),"",IF(INDEX(原始資料!H$2:H$501,$BJ180)="","",INDEX(原始資料!H$2:H$501,$BJ180)))</f>
        <v/>
      </c>
      <c r="G180" s="6">
        <f>IF(OR($BJ180="",6&gt;設定!$B$3),"",IF(INDEX(原始資料!I$2:I$501,$BJ180)="","",INDEX(原始資料!I$2:I$501,$BJ180)))</f>
        <v/>
      </c>
      <c r="H180" s="6">
        <f>IF(OR($BJ180="",7&gt;設定!$B$3),"",IF(INDEX(原始資料!J$2:J$501,$BJ180)="","",INDEX(原始資料!J$2:J$501,$BJ180)))</f>
        <v/>
      </c>
      <c r="I180" s="6">
        <f>IF(OR($BJ180="",8&gt;設定!$B$3),"",IF(INDEX(原始資料!K$2:K$501,$BJ180)="","",INDEX(原始資料!K$2:K$501,$BJ180)))</f>
        <v/>
      </c>
      <c r="J180" s="6">
        <f>IF(OR($BJ180="",9&gt;設定!$B$3),"",IF(INDEX(原始資料!L$2:L$501,$BJ180)="","",INDEX(原始資料!L$2:L$501,$BJ180)))</f>
        <v/>
      </c>
      <c r="K180" s="6">
        <f>IF(OR($BJ180="",10&gt;設定!$B$3),"",IF(INDEX(原始資料!M$2:M$501,$BJ180)="","",INDEX(原始資料!M$2:M$501,$BJ180)))</f>
        <v/>
      </c>
      <c r="L180" s="6">
        <f>IF(OR($BJ180="",11&gt;設定!$B$3),"",IF(INDEX(原始資料!N$2:N$501,$BJ180)="","",INDEX(原始資料!N$2:N$501,$BJ180)))</f>
        <v/>
      </c>
      <c r="M180" s="6">
        <f>IF(OR($BJ180="",12&gt;設定!$B$3),"",IF(INDEX(原始資料!O$2:O$501,$BJ180)="","",INDEX(原始資料!O$2:O$501,$BJ180)))</f>
        <v/>
      </c>
      <c r="N180" s="6">
        <f>IF(OR($BJ180="",13&gt;設定!$B$3),"",IF(INDEX(原始資料!P$2:P$501,$BJ180)="","",INDEX(原始資料!P$2:P$501,$BJ180)))</f>
        <v/>
      </c>
      <c r="O180" s="6">
        <f>IF(OR($BJ180="",14&gt;設定!$B$3),"",IF(INDEX(原始資料!Q$2:Q$501,$BJ180)="","",INDEX(原始資料!Q$2:Q$501,$BJ180)))</f>
        <v/>
      </c>
      <c r="P180" s="6">
        <f>IF(OR($BJ180="",15&gt;設定!$B$3),"",IF(INDEX(原始資料!R$2:R$501,$BJ180)="","",INDEX(原始資料!R$2:R$501,$BJ180)))</f>
        <v/>
      </c>
      <c r="Q180" s="6">
        <f>IF(OR($BJ180="",16&gt;設定!$B$3),"",IF(INDEX(原始資料!S$2:S$501,$BJ180)="","",INDEX(原始資料!S$2:S$501,$BJ180)))</f>
        <v/>
      </c>
      <c r="R180" s="6">
        <f>IF(OR($BJ180="",17&gt;設定!$B$3),"",IF(INDEX(原始資料!T$2:T$501,$BJ180)="","",INDEX(原始資料!T$2:T$501,$BJ180)))</f>
        <v/>
      </c>
      <c r="S180" s="6">
        <f>IF(OR($BJ180="",18&gt;設定!$B$3),"",IF(INDEX(原始資料!U$2:U$501,$BJ180)="","",INDEX(原始資料!U$2:U$501,$BJ180)))</f>
        <v/>
      </c>
      <c r="T180" s="6">
        <f>IF(OR($BJ180="",19&gt;設定!$B$3),"",IF(INDEX(原始資料!V$2:V$501,$BJ180)="","",INDEX(原始資料!V$2:V$501,$BJ180)))</f>
        <v/>
      </c>
      <c r="U180" s="6">
        <f>IF(OR($BJ180="",20&gt;設定!$B$3),"",IF(INDEX(原始資料!W$2:W$501,$BJ180)="","",INDEX(原始資料!W$2:W$501,$BJ180)))</f>
        <v/>
      </c>
      <c r="V180" s="6">
        <f>IF(OR($BJ180="",21&gt;設定!$B$3),"",IF(INDEX(原始資料!X$2:X$501,$BJ180)="","",INDEX(原始資料!X$2:X$501,$BJ180)))</f>
        <v/>
      </c>
      <c r="W180" s="6">
        <f>IF(OR($BJ180="",22&gt;設定!$B$3),"",IF(INDEX(原始資料!Y$2:Y$501,$BJ180)="","",INDEX(原始資料!Y$2:Y$501,$BJ180)))</f>
        <v/>
      </c>
      <c r="X180" s="6">
        <f>IF(OR($BJ180="",23&gt;設定!$B$3),"",IF(INDEX(原始資料!Z$2:Z$501,$BJ180)="","",INDEX(原始資料!Z$2:Z$501,$BJ180)))</f>
        <v/>
      </c>
      <c r="Y180" s="6">
        <f>IF(OR($BJ180="",24&gt;設定!$B$3),"",IF(INDEX(原始資料!AA$2:AA$501,$BJ180)="","",INDEX(原始資料!AA$2:AA$501,$BJ180)))</f>
        <v/>
      </c>
      <c r="Z180" s="6">
        <f>IF(OR($BJ180="",25&gt;設定!$B$3),"",IF(INDEX(原始資料!AB$2:AB$501,$BJ180)="","",INDEX(原始資料!AB$2:AB$501,$BJ180)))</f>
        <v/>
      </c>
      <c r="AA180" s="6">
        <f>IF(OR($BJ180="",26&gt;設定!$B$3),"",IF(INDEX(原始資料!AC$2:AC$501,$BJ180)="","",INDEX(原始資料!AC$2:AC$501,$BJ180)))</f>
        <v/>
      </c>
      <c r="AB180" s="6">
        <f>IF(OR($BJ180="",27&gt;設定!$B$3),"",IF(INDEX(原始資料!AD$2:AD$501,$BJ180)="","",INDEX(原始資料!AD$2:AD$501,$BJ180)))</f>
        <v/>
      </c>
      <c r="AC180" s="6">
        <f>IF(OR($BJ180="",28&gt;設定!$B$3),"",IF(INDEX(原始資料!AE$2:AE$501,$BJ180)="","",INDEX(原始資料!AE$2:AE$501,$BJ180)))</f>
        <v/>
      </c>
      <c r="AD180" s="6">
        <f>IF(OR($BJ180="",29&gt;設定!$B$3),"",IF(INDEX(原始資料!AF$2:AF$501,$BJ180)="","",INDEX(原始資料!AF$2:AF$501,$BJ180)))</f>
        <v/>
      </c>
      <c r="AE180" s="6">
        <f>IF(OR($BJ180="",30&gt;設定!$B$3),"",IF(INDEX(原始資料!AG$2:AG$501,$BJ180)="","",INDEX(原始資料!AG$2:AG$501,$BJ180)))</f>
        <v/>
      </c>
      <c r="AF180" s="6">
        <f>IF(OR($BJ180="",31&gt;設定!$B$3),"",IF(INDEX(原始資料!AH$2:AH$501,$BJ180)="","",INDEX(原始資料!AH$2:AH$501,$BJ180)))</f>
        <v/>
      </c>
      <c r="AG180" s="6">
        <f>IF(OR($BJ180="",32&gt;設定!$B$3),"",IF(INDEX(原始資料!AI$2:AI$501,$BJ180)="","",INDEX(原始資料!AI$2:AI$501,$BJ180)))</f>
        <v/>
      </c>
      <c r="AH180" s="6">
        <f>IF(OR($BJ180="",33&gt;設定!$B$3),"",IF(INDEX(原始資料!AJ$2:AJ$501,$BJ180)="","",INDEX(原始資料!AJ$2:AJ$501,$BJ180)))</f>
        <v/>
      </c>
      <c r="AI180" s="6">
        <f>IF(OR($BJ180="",34&gt;設定!$B$3),"",IF(INDEX(原始資料!AK$2:AK$501,$BJ180)="","",INDEX(原始資料!AK$2:AK$501,$BJ180)))</f>
        <v/>
      </c>
      <c r="AJ180" s="6">
        <f>IF(OR($BJ180="",35&gt;設定!$B$3),"",IF(INDEX(原始資料!AL$2:AL$501,$BJ180)="","",INDEX(原始資料!AL$2:AL$501,$BJ180)))</f>
        <v/>
      </c>
      <c r="AK180" s="6">
        <f>IF(OR($BJ180="",36&gt;設定!$B$3),"",IF(INDEX(原始資料!AM$2:AM$501,$BJ180)="","",INDEX(原始資料!AM$2:AM$501,$BJ180)))</f>
        <v/>
      </c>
      <c r="AL180" s="6">
        <f>IF(OR($BJ180="",37&gt;設定!$B$3),"",IF(INDEX(原始資料!AN$2:AN$501,$BJ180)="","",INDEX(原始資料!AN$2:AN$501,$BJ180)))</f>
        <v/>
      </c>
      <c r="AM180" s="6">
        <f>IF(OR($BJ180="",38&gt;設定!$B$3),"",IF(INDEX(原始資料!AO$2:AO$501,$BJ180)="","",INDEX(原始資料!AO$2:AO$501,$BJ180)))</f>
        <v/>
      </c>
      <c r="AN180" s="6">
        <f>IF(OR($BJ180="",39&gt;設定!$B$3),"",IF(INDEX(原始資料!AP$2:AP$501,$BJ180)="","",INDEX(原始資料!AP$2:AP$501,$BJ180)))</f>
        <v/>
      </c>
      <c r="AO180" s="6">
        <f>IF(OR($BJ180="",40&gt;設定!$B$3),"",IF(INDEX(原始資料!AQ$2:AQ$501,$BJ180)="","",INDEX(原始資料!AQ$2:AQ$501,$BJ180)))</f>
        <v/>
      </c>
      <c r="AP180" s="6">
        <f>IF(OR($BJ180="",41&gt;設定!$B$3),"",IF(INDEX(原始資料!AR$2:AR$501,$BJ180)="","",INDEX(原始資料!AR$2:AR$501,$BJ180)))</f>
        <v/>
      </c>
      <c r="AQ180" s="6">
        <f>IF(OR($BJ180="",42&gt;設定!$B$3),"",IF(INDEX(原始資料!AS$2:AS$501,$BJ180)="","",INDEX(原始資料!AS$2:AS$501,$BJ180)))</f>
        <v/>
      </c>
      <c r="AR180" s="6">
        <f>IF(OR($BJ180="",43&gt;設定!$B$3),"",IF(INDEX(原始資料!AT$2:AT$501,$BJ180)="","",INDEX(原始資料!AT$2:AT$501,$BJ180)))</f>
        <v/>
      </c>
      <c r="AS180" s="6">
        <f>IF(OR($BJ180="",44&gt;設定!$B$3),"",IF(INDEX(原始資料!AU$2:AU$501,$BJ180)="","",INDEX(原始資料!AU$2:AU$501,$BJ180)))</f>
        <v/>
      </c>
      <c r="AT180" s="6">
        <f>IF(OR($BJ180="",45&gt;設定!$B$3),"",IF(INDEX(原始資料!AV$2:AV$501,$BJ180)="","",INDEX(原始資料!AV$2:AV$501,$BJ180)))</f>
        <v/>
      </c>
      <c r="AU180" s="6">
        <f>IF(OR($BJ180="",46&gt;設定!$B$3),"",IF(INDEX(原始資料!AW$2:AW$501,$BJ180)="","",INDEX(原始資料!AW$2:AW$501,$BJ180)))</f>
        <v/>
      </c>
      <c r="AV180" s="6">
        <f>IF(OR($BJ180="",47&gt;設定!$B$3),"",IF(INDEX(原始資料!AX$2:AX$501,$BJ180)="","",INDEX(原始資料!AX$2:AX$501,$BJ180)))</f>
        <v/>
      </c>
      <c r="AW180" s="6">
        <f>IF(OR($BJ180="",48&gt;設定!$B$3),"",IF(INDEX(原始資料!AY$2:AY$501,$BJ180)="","",INDEX(原始資料!AY$2:AY$501,$BJ180)))</f>
        <v/>
      </c>
      <c r="AX180" s="6">
        <f>IF(OR($BJ180="",49&gt;設定!$B$3),"",IF(INDEX(原始資料!AZ$2:AZ$501,$BJ180)="","",INDEX(原始資料!AZ$2:AZ$501,$BJ180)))</f>
        <v/>
      </c>
      <c r="AY180" s="6">
        <f>IF(OR($BJ180="",50&gt;設定!$B$3),"",IF(INDEX(原始資料!BA$2:BA$501,$BJ180)="","",INDEX(原始資料!BA$2:BA$501,$BJ180)))</f>
        <v/>
      </c>
      <c r="AZ180" s="6">
        <f>IF(OR($BJ180="",51&gt;設定!$B$3),"",IF(INDEX(原始資料!BB$2:BB$501,$BJ180)="","",INDEX(原始資料!BB$2:BB$501,$BJ180)))</f>
        <v/>
      </c>
      <c r="BA180" s="6">
        <f>IF(OR($BJ180="",52&gt;設定!$B$3),"",IF(INDEX(原始資料!BC$2:BC$501,$BJ180)="","",INDEX(原始資料!BC$2:BC$501,$BJ180)))</f>
        <v/>
      </c>
      <c r="BB180" s="6">
        <f>IF(OR($BJ180="",53&gt;設定!$B$3),"",IF(INDEX(原始資料!BD$2:BD$501,$BJ180)="","",INDEX(原始資料!BD$2:BD$501,$BJ180)))</f>
        <v/>
      </c>
      <c r="BC180" s="6">
        <f>IF(OR($BJ180="",54&gt;設定!$B$3),"",IF(INDEX(原始資料!BE$2:BE$501,$BJ180)="","",INDEX(原始資料!BE$2:BE$501,$BJ180)))</f>
        <v/>
      </c>
      <c r="BD180" s="6">
        <f>IF(OR($BJ180="",55&gt;設定!$B$3),"",IF(INDEX(原始資料!BF$2:BF$501,$BJ180)="","",INDEX(原始資料!BF$2:BF$501,$BJ180)))</f>
        <v/>
      </c>
      <c r="BE180" s="6">
        <f>IF(OR($BJ180="",56&gt;設定!$B$3),"",IF(INDEX(原始資料!BG$2:BG$501,$BJ180)="","",INDEX(原始資料!BG$2:BG$501,$BJ180)))</f>
        <v/>
      </c>
      <c r="BF180" s="6">
        <f>IF(OR($BJ180="",57&gt;設定!$B$3),"",IF(INDEX(原始資料!BH$2:BH$501,$BJ180)="","",INDEX(原始資料!BH$2:BH$501,$BJ180)))</f>
        <v/>
      </c>
      <c r="BG180" s="6">
        <f>IF(OR($BJ180="",58&gt;設定!$B$3),"",IF(INDEX(原始資料!BI$2:BI$501,$BJ180)="","",INDEX(原始資料!BI$2:BI$501,$BJ180)))</f>
        <v/>
      </c>
      <c r="BH180" s="6">
        <f>IF(OR($BJ180="",59&gt;設定!$B$3),"",IF(INDEX(原始資料!BJ$2:BJ$501,$BJ180)="","",INDEX(原始資料!BJ$2:BJ$501,$BJ180)))</f>
        <v/>
      </c>
      <c r="BI180" s="6">
        <f>IF(OR($BJ180="",60&gt;設定!$B$3),"",IF(INDEX(原始資料!BK$2:BK$501,$BJ180)="","",INDEX(原始資料!BK$2:BK$501,$BJ180)))</f>
        <v/>
      </c>
      <c r="BJ180" s="6">
        <f>IFERROR(MATCH(ROW()-1,判定!$H$2:$H$501,0),"")</f>
        <v/>
      </c>
    </row>
    <row r="181">
      <c r="A181" s="6">
        <f>IF($BJ181="","",INDEX(原始資料!$A$2:$A$501,$BJ181))</f>
        <v/>
      </c>
      <c r="B181" s="6">
        <f>IF(OR($BJ181="",1&gt;設定!$B$3),"",IF(INDEX(原始資料!D$2:D$501,$BJ181)="","",INDEX(原始資料!D$2:D$501,$BJ181)))</f>
        <v/>
      </c>
      <c r="C181" s="6">
        <f>IF(OR($BJ181="",2&gt;設定!$B$3),"",IF(INDEX(原始資料!E$2:E$501,$BJ181)="","",INDEX(原始資料!E$2:E$501,$BJ181)))</f>
        <v/>
      </c>
      <c r="D181" s="6">
        <f>IF(OR($BJ181="",3&gt;設定!$B$3),"",IF(INDEX(原始資料!F$2:F$501,$BJ181)="","",INDEX(原始資料!F$2:F$501,$BJ181)))</f>
        <v/>
      </c>
      <c r="E181" s="6">
        <f>IF(OR($BJ181="",4&gt;設定!$B$3),"",IF(INDEX(原始資料!G$2:G$501,$BJ181)="","",INDEX(原始資料!G$2:G$501,$BJ181)))</f>
        <v/>
      </c>
      <c r="F181" s="6">
        <f>IF(OR($BJ181="",5&gt;設定!$B$3),"",IF(INDEX(原始資料!H$2:H$501,$BJ181)="","",INDEX(原始資料!H$2:H$501,$BJ181)))</f>
        <v/>
      </c>
      <c r="G181" s="6">
        <f>IF(OR($BJ181="",6&gt;設定!$B$3),"",IF(INDEX(原始資料!I$2:I$501,$BJ181)="","",INDEX(原始資料!I$2:I$501,$BJ181)))</f>
        <v/>
      </c>
      <c r="H181" s="6">
        <f>IF(OR($BJ181="",7&gt;設定!$B$3),"",IF(INDEX(原始資料!J$2:J$501,$BJ181)="","",INDEX(原始資料!J$2:J$501,$BJ181)))</f>
        <v/>
      </c>
      <c r="I181" s="6">
        <f>IF(OR($BJ181="",8&gt;設定!$B$3),"",IF(INDEX(原始資料!K$2:K$501,$BJ181)="","",INDEX(原始資料!K$2:K$501,$BJ181)))</f>
        <v/>
      </c>
      <c r="J181" s="6">
        <f>IF(OR($BJ181="",9&gt;設定!$B$3),"",IF(INDEX(原始資料!L$2:L$501,$BJ181)="","",INDEX(原始資料!L$2:L$501,$BJ181)))</f>
        <v/>
      </c>
      <c r="K181" s="6">
        <f>IF(OR($BJ181="",10&gt;設定!$B$3),"",IF(INDEX(原始資料!M$2:M$501,$BJ181)="","",INDEX(原始資料!M$2:M$501,$BJ181)))</f>
        <v/>
      </c>
      <c r="L181" s="6">
        <f>IF(OR($BJ181="",11&gt;設定!$B$3),"",IF(INDEX(原始資料!N$2:N$501,$BJ181)="","",INDEX(原始資料!N$2:N$501,$BJ181)))</f>
        <v/>
      </c>
      <c r="M181" s="6">
        <f>IF(OR($BJ181="",12&gt;設定!$B$3),"",IF(INDEX(原始資料!O$2:O$501,$BJ181)="","",INDEX(原始資料!O$2:O$501,$BJ181)))</f>
        <v/>
      </c>
      <c r="N181" s="6">
        <f>IF(OR($BJ181="",13&gt;設定!$B$3),"",IF(INDEX(原始資料!P$2:P$501,$BJ181)="","",INDEX(原始資料!P$2:P$501,$BJ181)))</f>
        <v/>
      </c>
      <c r="O181" s="6">
        <f>IF(OR($BJ181="",14&gt;設定!$B$3),"",IF(INDEX(原始資料!Q$2:Q$501,$BJ181)="","",INDEX(原始資料!Q$2:Q$501,$BJ181)))</f>
        <v/>
      </c>
      <c r="P181" s="6">
        <f>IF(OR($BJ181="",15&gt;設定!$B$3),"",IF(INDEX(原始資料!R$2:R$501,$BJ181)="","",INDEX(原始資料!R$2:R$501,$BJ181)))</f>
        <v/>
      </c>
      <c r="Q181" s="6">
        <f>IF(OR($BJ181="",16&gt;設定!$B$3),"",IF(INDEX(原始資料!S$2:S$501,$BJ181)="","",INDEX(原始資料!S$2:S$501,$BJ181)))</f>
        <v/>
      </c>
      <c r="R181" s="6">
        <f>IF(OR($BJ181="",17&gt;設定!$B$3),"",IF(INDEX(原始資料!T$2:T$501,$BJ181)="","",INDEX(原始資料!T$2:T$501,$BJ181)))</f>
        <v/>
      </c>
      <c r="S181" s="6">
        <f>IF(OR($BJ181="",18&gt;設定!$B$3),"",IF(INDEX(原始資料!U$2:U$501,$BJ181)="","",INDEX(原始資料!U$2:U$501,$BJ181)))</f>
        <v/>
      </c>
      <c r="T181" s="6">
        <f>IF(OR($BJ181="",19&gt;設定!$B$3),"",IF(INDEX(原始資料!V$2:V$501,$BJ181)="","",INDEX(原始資料!V$2:V$501,$BJ181)))</f>
        <v/>
      </c>
      <c r="U181" s="6">
        <f>IF(OR($BJ181="",20&gt;設定!$B$3),"",IF(INDEX(原始資料!W$2:W$501,$BJ181)="","",INDEX(原始資料!W$2:W$501,$BJ181)))</f>
        <v/>
      </c>
      <c r="V181" s="6">
        <f>IF(OR($BJ181="",21&gt;設定!$B$3),"",IF(INDEX(原始資料!X$2:X$501,$BJ181)="","",INDEX(原始資料!X$2:X$501,$BJ181)))</f>
        <v/>
      </c>
      <c r="W181" s="6">
        <f>IF(OR($BJ181="",22&gt;設定!$B$3),"",IF(INDEX(原始資料!Y$2:Y$501,$BJ181)="","",INDEX(原始資料!Y$2:Y$501,$BJ181)))</f>
        <v/>
      </c>
      <c r="X181" s="6">
        <f>IF(OR($BJ181="",23&gt;設定!$B$3),"",IF(INDEX(原始資料!Z$2:Z$501,$BJ181)="","",INDEX(原始資料!Z$2:Z$501,$BJ181)))</f>
        <v/>
      </c>
      <c r="Y181" s="6">
        <f>IF(OR($BJ181="",24&gt;設定!$B$3),"",IF(INDEX(原始資料!AA$2:AA$501,$BJ181)="","",INDEX(原始資料!AA$2:AA$501,$BJ181)))</f>
        <v/>
      </c>
      <c r="Z181" s="6">
        <f>IF(OR($BJ181="",25&gt;設定!$B$3),"",IF(INDEX(原始資料!AB$2:AB$501,$BJ181)="","",INDEX(原始資料!AB$2:AB$501,$BJ181)))</f>
        <v/>
      </c>
      <c r="AA181" s="6">
        <f>IF(OR($BJ181="",26&gt;設定!$B$3),"",IF(INDEX(原始資料!AC$2:AC$501,$BJ181)="","",INDEX(原始資料!AC$2:AC$501,$BJ181)))</f>
        <v/>
      </c>
      <c r="AB181" s="6">
        <f>IF(OR($BJ181="",27&gt;設定!$B$3),"",IF(INDEX(原始資料!AD$2:AD$501,$BJ181)="","",INDEX(原始資料!AD$2:AD$501,$BJ181)))</f>
        <v/>
      </c>
      <c r="AC181" s="6">
        <f>IF(OR($BJ181="",28&gt;設定!$B$3),"",IF(INDEX(原始資料!AE$2:AE$501,$BJ181)="","",INDEX(原始資料!AE$2:AE$501,$BJ181)))</f>
        <v/>
      </c>
      <c r="AD181" s="6">
        <f>IF(OR($BJ181="",29&gt;設定!$B$3),"",IF(INDEX(原始資料!AF$2:AF$501,$BJ181)="","",INDEX(原始資料!AF$2:AF$501,$BJ181)))</f>
        <v/>
      </c>
      <c r="AE181" s="6">
        <f>IF(OR($BJ181="",30&gt;設定!$B$3),"",IF(INDEX(原始資料!AG$2:AG$501,$BJ181)="","",INDEX(原始資料!AG$2:AG$501,$BJ181)))</f>
        <v/>
      </c>
      <c r="AF181" s="6">
        <f>IF(OR($BJ181="",31&gt;設定!$B$3),"",IF(INDEX(原始資料!AH$2:AH$501,$BJ181)="","",INDEX(原始資料!AH$2:AH$501,$BJ181)))</f>
        <v/>
      </c>
      <c r="AG181" s="6">
        <f>IF(OR($BJ181="",32&gt;設定!$B$3),"",IF(INDEX(原始資料!AI$2:AI$501,$BJ181)="","",INDEX(原始資料!AI$2:AI$501,$BJ181)))</f>
        <v/>
      </c>
      <c r="AH181" s="6">
        <f>IF(OR($BJ181="",33&gt;設定!$B$3),"",IF(INDEX(原始資料!AJ$2:AJ$501,$BJ181)="","",INDEX(原始資料!AJ$2:AJ$501,$BJ181)))</f>
        <v/>
      </c>
      <c r="AI181" s="6">
        <f>IF(OR($BJ181="",34&gt;設定!$B$3),"",IF(INDEX(原始資料!AK$2:AK$501,$BJ181)="","",INDEX(原始資料!AK$2:AK$501,$BJ181)))</f>
        <v/>
      </c>
      <c r="AJ181" s="6">
        <f>IF(OR($BJ181="",35&gt;設定!$B$3),"",IF(INDEX(原始資料!AL$2:AL$501,$BJ181)="","",INDEX(原始資料!AL$2:AL$501,$BJ181)))</f>
        <v/>
      </c>
      <c r="AK181" s="6">
        <f>IF(OR($BJ181="",36&gt;設定!$B$3),"",IF(INDEX(原始資料!AM$2:AM$501,$BJ181)="","",INDEX(原始資料!AM$2:AM$501,$BJ181)))</f>
        <v/>
      </c>
      <c r="AL181" s="6">
        <f>IF(OR($BJ181="",37&gt;設定!$B$3),"",IF(INDEX(原始資料!AN$2:AN$501,$BJ181)="","",INDEX(原始資料!AN$2:AN$501,$BJ181)))</f>
        <v/>
      </c>
      <c r="AM181" s="6">
        <f>IF(OR($BJ181="",38&gt;設定!$B$3),"",IF(INDEX(原始資料!AO$2:AO$501,$BJ181)="","",INDEX(原始資料!AO$2:AO$501,$BJ181)))</f>
        <v/>
      </c>
      <c r="AN181" s="6">
        <f>IF(OR($BJ181="",39&gt;設定!$B$3),"",IF(INDEX(原始資料!AP$2:AP$501,$BJ181)="","",INDEX(原始資料!AP$2:AP$501,$BJ181)))</f>
        <v/>
      </c>
      <c r="AO181" s="6">
        <f>IF(OR($BJ181="",40&gt;設定!$B$3),"",IF(INDEX(原始資料!AQ$2:AQ$501,$BJ181)="","",INDEX(原始資料!AQ$2:AQ$501,$BJ181)))</f>
        <v/>
      </c>
      <c r="AP181" s="6">
        <f>IF(OR($BJ181="",41&gt;設定!$B$3),"",IF(INDEX(原始資料!AR$2:AR$501,$BJ181)="","",INDEX(原始資料!AR$2:AR$501,$BJ181)))</f>
        <v/>
      </c>
      <c r="AQ181" s="6">
        <f>IF(OR($BJ181="",42&gt;設定!$B$3),"",IF(INDEX(原始資料!AS$2:AS$501,$BJ181)="","",INDEX(原始資料!AS$2:AS$501,$BJ181)))</f>
        <v/>
      </c>
      <c r="AR181" s="6">
        <f>IF(OR($BJ181="",43&gt;設定!$B$3),"",IF(INDEX(原始資料!AT$2:AT$501,$BJ181)="","",INDEX(原始資料!AT$2:AT$501,$BJ181)))</f>
        <v/>
      </c>
      <c r="AS181" s="6">
        <f>IF(OR($BJ181="",44&gt;設定!$B$3),"",IF(INDEX(原始資料!AU$2:AU$501,$BJ181)="","",INDEX(原始資料!AU$2:AU$501,$BJ181)))</f>
        <v/>
      </c>
      <c r="AT181" s="6">
        <f>IF(OR($BJ181="",45&gt;設定!$B$3),"",IF(INDEX(原始資料!AV$2:AV$501,$BJ181)="","",INDEX(原始資料!AV$2:AV$501,$BJ181)))</f>
        <v/>
      </c>
      <c r="AU181" s="6">
        <f>IF(OR($BJ181="",46&gt;設定!$B$3),"",IF(INDEX(原始資料!AW$2:AW$501,$BJ181)="","",INDEX(原始資料!AW$2:AW$501,$BJ181)))</f>
        <v/>
      </c>
      <c r="AV181" s="6">
        <f>IF(OR($BJ181="",47&gt;設定!$B$3),"",IF(INDEX(原始資料!AX$2:AX$501,$BJ181)="","",INDEX(原始資料!AX$2:AX$501,$BJ181)))</f>
        <v/>
      </c>
      <c r="AW181" s="6">
        <f>IF(OR($BJ181="",48&gt;設定!$B$3),"",IF(INDEX(原始資料!AY$2:AY$501,$BJ181)="","",INDEX(原始資料!AY$2:AY$501,$BJ181)))</f>
        <v/>
      </c>
      <c r="AX181" s="6">
        <f>IF(OR($BJ181="",49&gt;設定!$B$3),"",IF(INDEX(原始資料!AZ$2:AZ$501,$BJ181)="","",INDEX(原始資料!AZ$2:AZ$501,$BJ181)))</f>
        <v/>
      </c>
      <c r="AY181" s="6">
        <f>IF(OR($BJ181="",50&gt;設定!$B$3),"",IF(INDEX(原始資料!BA$2:BA$501,$BJ181)="","",INDEX(原始資料!BA$2:BA$501,$BJ181)))</f>
        <v/>
      </c>
      <c r="AZ181" s="6">
        <f>IF(OR($BJ181="",51&gt;設定!$B$3),"",IF(INDEX(原始資料!BB$2:BB$501,$BJ181)="","",INDEX(原始資料!BB$2:BB$501,$BJ181)))</f>
        <v/>
      </c>
      <c r="BA181" s="6">
        <f>IF(OR($BJ181="",52&gt;設定!$B$3),"",IF(INDEX(原始資料!BC$2:BC$501,$BJ181)="","",INDEX(原始資料!BC$2:BC$501,$BJ181)))</f>
        <v/>
      </c>
      <c r="BB181" s="6">
        <f>IF(OR($BJ181="",53&gt;設定!$B$3),"",IF(INDEX(原始資料!BD$2:BD$501,$BJ181)="","",INDEX(原始資料!BD$2:BD$501,$BJ181)))</f>
        <v/>
      </c>
      <c r="BC181" s="6">
        <f>IF(OR($BJ181="",54&gt;設定!$B$3),"",IF(INDEX(原始資料!BE$2:BE$501,$BJ181)="","",INDEX(原始資料!BE$2:BE$501,$BJ181)))</f>
        <v/>
      </c>
      <c r="BD181" s="6">
        <f>IF(OR($BJ181="",55&gt;設定!$B$3),"",IF(INDEX(原始資料!BF$2:BF$501,$BJ181)="","",INDEX(原始資料!BF$2:BF$501,$BJ181)))</f>
        <v/>
      </c>
      <c r="BE181" s="6">
        <f>IF(OR($BJ181="",56&gt;設定!$B$3),"",IF(INDEX(原始資料!BG$2:BG$501,$BJ181)="","",INDEX(原始資料!BG$2:BG$501,$BJ181)))</f>
        <v/>
      </c>
      <c r="BF181" s="6">
        <f>IF(OR($BJ181="",57&gt;設定!$B$3),"",IF(INDEX(原始資料!BH$2:BH$501,$BJ181)="","",INDEX(原始資料!BH$2:BH$501,$BJ181)))</f>
        <v/>
      </c>
      <c r="BG181" s="6">
        <f>IF(OR($BJ181="",58&gt;設定!$B$3),"",IF(INDEX(原始資料!BI$2:BI$501,$BJ181)="","",INDEX(原始資料!BI$2:BI$501,$BJ181)))</f>
        <v/>
      </c>
      <c r="BH181" s="6">
        <f>IF(OR($BJ181="",59&gt;設定!$B$3),"",IF(INDEX(原始資料!BJ$2:BJ$501,$BJ181)="","",INDEX(原始資料!BJ$2:BJ$501,$BJ181)))</f>
        <v/>
      </c>
      <c r="BI181" s="6">
        <f>IF(OR($BJ181="",60&gt;設定!$B$3),"",IF(INDEX(原始資料!BK$2:BK$501,$BJ181)="","",INDEX(原始資料!BK$2:BK$501,$BJ181)))</f>
        <v/>
      </c>
      <c r="BJ181" s="6">
        <f>IFERROR(MATCH(ROW()-1,判定!$H$2:$H$501,0),"")</f>
        <v/>
      </c>
    </row>
    <row r="182">
      <c r="A182" s="6">
        <f>IF($BJ182="","",INDEX(原始資料!$A$2:$A$501,$BJ182))</f>
        <v/>
      </c>
      <c r="B182" s="6">
        <f>IF(OR($BJ182="",1&gt;設定!$B$3),"",IF(INDEX(原始資料!D$2:D$501,$BJ182)="","",INDEX(原始資料!D$2:D$501,$BJ182)))</f>
        <v/>
      </c>
      <c r="C182" s="6">
        <f>IF(OR($BJ182="",2&gt;設定!$B$3),"",IF(INDEX(原始資料!E$2:E$501,$BJ182)="","",INDEX(原始資料!E$2:E$501,$BJ182)))</f>
        <v/>
      </c>
      <c r="D182" s="6">
        <f>IF(OR($BJ182="",3&gt;設定!$B$3),"",IF(INDEX(原始資料!F$2:F$501,$BJ182)="","",INDEX(原始資料!F$2:F$501,$BJ182)))</f>
        <v/>
      </c>
      <c r="E182" s="6">
        <f>IF(OR($BJ182="",4&gt;設定!$B$3),"",IF(INDEX(原始資料!G$2:G$501,$BJ182)="","",INDEX(原始資料!G$2:G$501,$BJ182)))</f>
        <v/>
      </c>
      <c r="F182" s="6">
        <f>IF(OR($BJ182="",5&gt;設定!$B$3),"",IF(INDEX(原始資料!H$2:H$501,$BJ182)="","",INDEX(原始資料!H$2:H$501,$BJ182)))</f>
        <v/>
      </c>
      <c r="G182" s="6">
        <f>IF(OR($BJ182="",6&gt;設定!$B$3),"",IF(INDEX(原始資料!I$2:I$501,$BJ182)="","",INDEX(原始資料!I$2:I$501,$BJ182)))</f>
        <v/>
      </c>
      <c r="H182" s="6">
        <f>IF(OR($BJ182="",7&gt;設定!$B$3),"",IF(INDEX(原始資料!J$2:J$501,$BJ182)="","",INDEX(原始資料!J$2:J$501,$BJ182)))</f>
        <v/>
      </c>
      <c r="I182" s="6">
        <f>IF(OR($BJ182="",8&gt;設定!$B$3),"",IF(INDEX(原始資料!K$2:K$501,$BJ182)="","",INDEX(原始資料!K$2:K$501,$BJ182)))</f>
        <v/>
      </c>
      <c r="J182" s="6">
        <f>IF(OR($BJ182="",9&gt;設定!$B$3),"",IF(INDEX(原始資料!L$2:L$501,$BJ182)="","",INDEX(原始資料!L$2:L$501,$BJ182)))</f>
        <v/>
      </c>
      <c r="K182" s="6">
        <f>IF(OR($BJ182="",10&gt;設定!$B$3),"",IF(INDEX(原始資料!M$2:M$501,$BJ182)="","",INDEX(原始資料!M$2:M$501,$BJ182)))</f>
        <v/>
      </c>
      <c r="L182" s="6">
        <f>IF(OR($BJ182="",11&gt;設定!$B$3),"",IF(INDEX(原始資料!N$2:N$501,$BJ182)="","",INDEX(原始資料!N$2:N$501,$BJ182)))</f>
        <v/>
      </c>
      <c r="M182" s="6">
        <f>IF(OR($BJ182="",12&gt;設定!$B$3),"",IF(INDEX(原始資料!O$2:O$501,$BJ182)="","",INDEX(原始資料!O$2:O$501,$BJ182)))</f>
        <v/>
      </c>
      <c r="N182" s="6">
        <f>IF(OR($BJ182="",13&gt;設定!$B$3),"",IF(INDEX(原始資料!P$2:P$501,$BJ182)="","",INDEX(原始資料!P$2:P$501,$BJ182)))</f>
        <v/>
      </c>
      <c r="O182" s="6">
        <f>IF(OR($BJ182="",14&gt;設定!$B$3),"",IF(INDEX(原始資料!Q$2:Q$501,$BJ182)="","",INDEX(原始資料!Q$2:Q$501,$BJ182)))</f>
        <v/>
      </c>
      <c r="P182" s="6">
        <f>IF(OR($BJ182="",15&gt;設定!$B$3),"",IF(INDEX(原始資料!R$2:R$501,$BJ182)="","",INDEX(原始資料!R$2:R$501,$BJ182)))</f>
        <v/>
      </c>
      <c r="Q182" s="6">
        <f>IF(OR($BJ182="",16&gt;設定!$B$3),"",IF(INDEX(原始資料!S$2:S$501,$BJ182)="","",INDEX(原始資料!S$2:S$501,$BJ182)))</f>
        <v/>
      </c>
      <c r="R182" s="6">
        <f>IF(OR($BJ182="",17&gt;設定!$B$3),"",IF(INDEX(原始資料!T$2:T$501,$BJ182)="","",INDEX(原始資料!T$2:T$501,$BJ182)))</f>
        <v/>
      </c>
      <c r="S182" s="6">
        <f>IF(OR($BJ182="",18&gt;設定!$B$3),"",IF(INDEX(原始資料!U$2:U$501,$BJ182)="","",INDEX(原始資料!U$2:U$501,$BJ182)))</f>
        <v/>
      </c>
      <c r="T182" s="6">
        <f>IF(OR($BJ182="",19&gt;設定!$B$3),"",IF(INDEX(原始資料!V$2:V$501,$BJ182)="","",INDEX(原始資料!V$2:V$501,$BJ182)))</f>
        <v/>
      </c>
      <c r="U182" s="6">
        <f>IF(OR($BJ182="",20&gt;設定!$B$3),"",IF(INDEX(原始資料!W$2:W$501,$BJ182)="","",INDEX(原始資料!W$2:W$501,$BJ182)))</f>
        <v/>
      </c>
      <c r="V182" s="6">
        <f>IF(OR($BJ182="",21&gt;設定!$B$3),"",IF(INDEX(原始資料!X$2:X$501,$BJ182)="","",INDEX(原始資料!X$2:X$501,$BJ182)))</f>
        <v/>
      </c>
      <c r="W182" s="6">
        <f>IF(OR($BJ182="",22&gt;設定!$B$3),"",IF(INDEX(原始資料!Y$2:Y$501,$BJ182)="","",INDEX(原始資料!Y$2:Y$501,$BJ182)))</f>
        <v/>
      </c>
      <c r="X182" s="6">
        <f>IF(OR($BJ182="",23&gt;設定!$B$3),"",IF(INDEX(原始資料!Z$2:Z$501,$BJ182)="","",INDEX(原始資料!Z$2:Z$501,$BJ182)))</f>
        <v/>
      </c>
      <c r="Y182" s="6">
        <f>IF(OR($BJ182="",24&gt;設定!$B$3),"",IF(INDEX(原始資料!AA$2:AA$501,$BJ182)="","",INDEX(原始資料!AA$2:AA$501,$BJ182)))</f>
        <v/>
      </c>
      <c r="Z182" s="6">
        <f>IF(OR($BJ182="",25&gt;設定!$B$3),"",IF(INDEX(原始資料!AB$2:AB$501,$BJ182)="","",INDEX(原始資料!AB$2:AB$501,$BJ182)))</f>
        <v/>
      </c>
      <c r="AA182" s="6">
        <f>IF(OR($BJ182="",26&gt;設定!$B$3),"",IF(INDEX(原始資料!AC$2:AC$501,$BJ182)="","",INDEX(原始資料!AC$2:AC$501,$BJ182)))</f>
        <v/>
      </c>
      <c r="AB182" s="6">
        <f>IF(OR($BJ182="",27&gt;設定!$B$3),"",IF(INDEX(原始資料!AD$2:AD$501,$BJ182)="","",INDEX(原始資料!AD$2:AD$501,$BJ182)))</f>
        <v/>
      </c>
      <c r="AC182" s="6">
        <f>IF(OR($BJ182="",28&gt;設定!$B$3),"",IF(INDEX(原始資料!AE$2:AE$501,$BJ182)="","",INDEX(原始資料!AE$2:AE$501,$BJ182)))</f>
        <v/>
      </c>
      <c r="AD182" s="6">
        <f>IF(OR($BJ182="",29&gt;設定!$B$3),"",IF(INDEX(原始資料!AF$2:AF$501,$BJ182)="","",INDEX(原始資料!AF$2:AF$501,$BJ182)))</f>
        <v/>
      </c>
      <c r="AE182" s="6">
        <f>IF(OR($BJ182="",30&gt;設定!$B$3),"",IF(INDEX(原始資料!AG$2:AG$501,$BJ182)="","",INDEX(原始資料!AG$2:AG$501,$BJ182)))</f>
        <v/>
      </c>
      <c r="AF182" s="6">
        <f>IF(OR($BJ182="",31&gt;設定!$B$3),"",IF(INDEX(原始資料!AH$2:AH$501,$BJ182)="","",INDEX(原始資料!AH$2:AH$501,$BJ182)))</f>
        <v/>
      </c>
      <c r="AG182" s="6">
        <f>IF(OR($BJ182="",32&gt;設定!$B$3),"",IF(INDEX(原始資料!AI$2:AI$501,$BJ182)="","",INDEX(原始資料!AI$2:AI$501,$BJ182)))</f>
        <v/>
      </c>
      <c r="AH182" s="6">
        <f>IF(OR($BJ182="",33&gt;設定!$B$3),"",IF(INDEX(原始資料!AJ$2:AJ$501,$BJ182)="","",INDEX(原始資料!AJ$2:AJ$501,$BJ182)))</f>
        <v/>
      </c>
      <c r="AI182" s="6">
        <f>IF(OR($BJ182="",34&gt;設定!$B$3),"",IF(INDEX(原始資料!AK$2:AK$501,$BJ182)="","",INDEX(原始資料!AK$2:AK$501,$BJ182)))</f>
        <v/>
      </c>
      <c r="AJ182" s="6">
        <f>IF(OR($BJ182="",35&gt;設定!$B$3),"",IF(INDEX(原始資料!AL$2:AL$501,$BJ182)="","",INDEX(原始資料!AL$2:AL$501,$BJ182)))</f>
        <v/>
      </c>
      <c r="AK182" s="6">
        <f>IF(OR($BJ182="",36&gt;設定!$B$3),"",IF(INDEX(原始資料!AM$2:AM$501,$BJ182)="","",INDEX(原始資料!AM$2:AM$501,$BJ182)))</f>
        <v/>
      </c>
      <c r="AL182" s="6">
        <f>IF(OR($BJ182="",37&gt;設定!$B$3),"",IF(INDEX(原始資料!AN$2:AN$501,$BJ182)="","",INDEX(原始資料!AN$2:AN$501,$BJ182)))</f>
        <v/>
      </c>
      <c r="AM182" s="6">
        <f>IF(OR($BJ182="",38&gt;設定!$B$3),"",IF(INDEX(原始資料!AO$2:AO$501,$BJ182)="","",INDEX(原始資料!AO$2:AO$501,$BJ182)))</f>
        <v/>
      </c>
      <c r="AN182" s="6">
        <f>IF(OR($BJ182="",39&gt;設定!$B$3),"",IF(INDEX(原始資料!AP$2:AP$501,$BJ182)="","",INDEX(原始資料!AP$2:AP$501,$BJ182)))</f>
        <v/>
      </c>
      <c r="AO182" s="6">
        <f>IF(OR($BJ182="",40&gt;設定!$B$3),"",IF(INDEX(原始資料!AQ$2:AQ$501,$BJ182)="","",INDEX(原始資料!AQ$2:AQ$501,$BJ182)))</f>
        <v/>
      </c>
      <c r="AP182" s="6">
        <f>IF(OR($BJ182="",41&gt;設定!$B$3),"",IF(INDEX(原始資料!AR$2:AR$501,$BJ182)="","",INDEX(原始資料!AR$2:AR$501,$BJ182)))</f>
        <v/>
      </c>
      <c r="AQ182" s="6">
        <f>IF(OR($BJ182="",42&gt;設定!$B$3),"",IF(INDEX(原始資料!AS$2:AS$501,$BJ182)="","",INDEX(原始資料!AS$2:AS$501,$BJ182)))</f>
        <v/>
      </c>
      <c r="AR182" s="6">
        <f>IF(OR($BJ182="",43&gt;設定!$B$3),"",IF(INDEX(原始資料!AT$2:AT$501,$BJ182)="","",INDEX(原始資料!AT$2:AT$501,$BJ182)))</f>
        <v/>
      </c>
      <c r="AS182" s="6">
        <f>IF(OR($BJ182="",44&gt;設定!$B$3),"",IF(INDEX(原始資料!AU$2:AU$501,$BJ182)="","",INDEX(原始資料!AU$2:AU$501,$BJ182)))</f>
        <v/>
      </c>
      <c r="AT182" s="6">
        <f>IF(OR($BJ182="",45&gt;設定!$B$3),"",IF(INDEX(原始資料!AV$2:AV$501,$BJ182)="","",INDEX(原始資料!AV$2:AV$501,$BJ182)))</f>
        <v/>
      </c>
      <c r="AU182" s="6">
        <f>IF(OR($BJ182="",46&gt;設定!$B$3),"",IF(INDEX(原始資料!AW$2:AW$501,$BJ182)="","",INDEX(原始資料!AW$2:AW$501,$BJ182)))</f>
        <v/>
      </c>
      <c r="AV182" s="6">
        <f>IF(OR($BJ182="",47&gt;設定!$B$3),"",IF(INDEX(原始資料!AX$2:AX$501,$BJ182)="","",INDEX(原始資料!AX$2:AX$501,$BJ182)))</f>
        <v/>
      </c>
      <c r="AW182" s="6">
        <f>IF(OR($BJ182="",48&gt;設定!$B$3),"",IF(INDEX(原始資料!AY$2:AY$501,$BJ182)="","",INDEX(原始資料!AY$2:AY$501,$BJ182)))</f>
        <v/>
      </c>
      <c r="AX182" s="6">
        <f>IF(OR($BJ182="",49&gt;設定!$B$3),"",IF(INDEX(原始資料!AZ$2:AZ$501,$BJ182)="","",INDEX(原始資料!AZ$2:AZ$501,$BJ182)))</f>
        <v/>
      </c>
      <c r="AY182" s="6">
        <f>IF(OR($BJ182="",50&gt;設定!$B$3),"",IF(INDEX(原始資料!BA$2:BA$501,$BJ182)="","",INDEX(原始資料!BA$2:BA$501,$BJ182)))</f>
        <v/>
      </c>
      <c r="AZ182" s="6">
        <f>IF(OR($BJ182="",51&gt;設定!$B$3),"",IF(INDEX(原始資料!BB$2:BB$501,$BJ182)="","",INDEX(原始資料!BB$2:BB$501,$BJ182)))</f>
        <v/>
      </c>
      <c r="BA182" s="6">
        <f>IF(OR($BJ182="",52&gt;設定!$B$3),"",IF(INDEX(原始資料!BC$2:BC$501,$BJ182)="","",INDEX(原始資料!BC$2:BC$501,$BJ182)))</f>
        <v/>
      </c>
      <c r="BB182" s="6">
        <f>IF(OR($BJ182="",53&gt;設定!$B$3),"",IF(INDEX(原始資料!BD$2:BD$501,$BJ182)="","",INDEX(原始資料!BD$2:BD$501,$BJ182)))</f>
        <v/>
      </c>
      <c r="BC182" s="6">
        <f>IF(OR($BJ182="",54&gt;設定!$B$3),"",IF(INDEX(原始資料!BE$2:BE$501,$BJ182)="","",INDEX(原始資料!BE$2:BE$501,$BJ182)))</f>
        <v/>
      </c>
      <c r="BD182" s="6">
        <f>IF(OR($BJ182="",55&gt;設定!$B$3),"",IF(INDEX(原始資料!BF$2:BF$501,$BJ182)="","",INDEX(原始資料!BF$2:BF$501,$BJ182)))</f>
        <v/>
      </c>
      <c r="BE182" s="6">
        <f>IF(OR($BJ182="",56&gt;設定!$B$3),"",IF(INDEX(原始資料!BG$2:BG$501,$BJ182)="","",INDEX(原始資料!BG$2:BG$501,$BJ182)))</f>
        <v/>
      </c>
      <c r="BF182" s="6">
        <f>IF(OR($BJ182="",57&gt;設定!$B$3),"",IF(INDEX(原始資料!BH$2:BH$501,$BJ182)="","",INDEX(原始資料!BH$2:BH$501,$BJ182)))</f>
        <v/>
      </c>
      <c r="BG182" s="6">
        <f>IF(OR($BJ182="",58&gt;設定!$B$3),"",IF(INDEX(原始資料!BI$2:BI$501,$BJ182)="","",INDEX(原始資料!BI$2:BI$501,$BJ182)))</f>
        <v/>
      </c>
      <c r="BH182" s="6">
        <f>IF(OR($BJ182="",59&gt;設定!$B$3),"",IF(INDEX(原始資料!BJ$2:BJ$501,$BJ182)="","",INDEX(原始資料!BJ$2:BJ$501,$BJ182)))</f>
        <v/>
      </c>
      <c r="BI182" s="6">
        <f>IF(OR($BJ182="",60&gt;設定!$B$3),"",IF(INDEX(原始資料!BK$2:BK$501,$BJ182)="","",INDEX(原始資料!BK$2:BK$501,$BJ182)))</f>
        <v/>
      </c>
      <c r="BJ182" s="6">
        <f>IFERROR(MATCH(ROW()-1,判定!$H$2:$H$501,0),"")</f>
        <v/>
      </c>
    </row>
    <row r="183">
      <c r="A183" s="6">
        <f>IF($BJ183="","",INDEX(原始資料!$A$2:$A$501,$BJ183))</f>
        <v/>
      </c>
      <c r="B183" s="6">
        <f>IF(OR($BJ183="",1&gt;設定!$B$3),"",IF(INDEX(原始資料!D$2:D$501,$BJ183)="","",INDEX(原始資料!D$2:D$501,$BJ183)))</f>
        <v/>
      </c>
      <c r="C183" s="6">
        <f>IF(OR($BJ183="",2&gt;設定!$B$3),"",IF(INDEX(原始資料!E$2:E$501,$BJ183)="","",INDEX(原始資料!E$2:E$501,$BJ183)))</f>
        <v/>
      </c>
      <c r="D183" s="6">
        <f>IF(OR($BJ183="",3&gt;設定!$B$3),"",IF(INDEX(原始資料!F$2:F$501,$BJ183)="","",INDEX(原始資料!F$2:F$501,$BJ183)))</f>
        <v/>
      </c>
      <c r="E183" s="6">
        <f>IF(OR($BJ183="",4&gt;設定!$B$3),"",IF(INDEX(原始資料!G$2:G$501,$BJ183)="","",INDEX(原始資料!G$2:G$501,$BJ183)))</f>
        <v/>
      </c>
      <c r="F183" s="6">
        <f>IF(OR($BJ183="",5&gt;設定!$B$3),"",IF(INDEX(原始資料!H$2:H$501,$BJ183)="","",INDEX(原始資料!H$2:H$501,$BJ183)))</f>
        <v/>
      </c>
      <c r="G183" s="6">
        <f>IF(OR($BJ183="",6&gt;設定!$B$3),"",IF(INDEX(原始資料!I$2:I$501,$BJ183)="","",INDEX(原始資料!I$2:I$501,$BJ183)))</f>
        <v/>
      </c>
      <c r="H183" s="6">
        <f>IF(OR($BJ183="",7&gt;設定!$B$3),"",IF(INDEX(原始資料!J$2:J$501,$BJ183)="","",INDEX(原始資料!J$2:J$501,$BJ183)))</f>
        <v/>
      </c>
      <c r="I183" s="6">
        <f>IF(OR($BJ183="",8&gt;設定!$B$3),"",IF(INDEX(原始資料!K$2:K$501,$BJ183)="","",INDEX(原始資料!K$2:K$501,$BJ183)))</f>
        <v/>
      </c>
      <c r="J183" s="6">
        <f>IF(OR($BJ183="",9&gt;設定!$B$3),"",IF(INDEX(原始資料!L$2:L$501,$BJ183)="","",INDEX(原始資料!L$2:L$501,$BJ183)))</f>
        <v/>
      </c>
      <c r="K183" s="6">
        <f>IF(OR($BJ183="",10&gt;設定!$B$3),"",IF(INDEX(原始資料!M$2:M$501,$BJ183)="","",INDEX(原始資料!M$2:M$501,$BJ183)))</f>
        <v/>
      </c>
      <c r="L183" s="6">
        <f>IF(OR($BJ183="",11&gt;設定!$B$3),"",IF(INDEX(原始資料!N$2:N$501,$BJ183)="","",INDEX(原始資料!N$2:N$501,$BJ183)))</f>
        <v/>
      </c>
      <c r="M183" s="6">
        <f>IF(OR($BJ183="",12&gt;設定!$B$3),"",IF(INDEX(原始資料!O$2:O$501,$BJ183)="","",INDEX(原始資料!O$2:O$501,$BJ183)))</f>
        <v/>
      </c>
      <c r="N183" s="6">
        <f>IF(OR($BJ183="",13&gt;設定!$B$3),"",IF(INDEX(原始資料!P$2:P$501,$BJ183)="","",INDEX(原始資料!P$2:P$501,$BJ183)))</f>
        <v/>
      </c>
      <c r="O183" s="6">
        <f>IF(OR($BJ183="",14&gt;設定!$B$3),"",IF(INDEX(原始資料!Q$2:Q$501,$BJ183)="","",INDEX(原始資料!Q$2:Q$501,$BJ183)))</f>
        <v/>
      </c>
      <c r="P183" s="6">
        <f>IF(OR($BJ183="",15&gt;設定!$B$3),"",IF(INDEX(原始資料!R$2:R$501,$BJ183)="","",INDEX(原始資料!R$2:R$501,$BJ183)))</f>
        <v/>
      </c>
      <c r="Q183" s="6">
        <f>IF(OR($BJ183="",16&gt;設定!$B$3),"",IF(INDEX(原始資料!S$2:S$501,$BJ183)="","",INDEX(原始資料!S$2:S$501,$BJ183)))</f>
        <v/>
      </c>
      <c r="R183" s="6">
        <f>IF(OR($BJ183="",17&gt;設定!$B$3),"",IF(INDEX(原始資料!T$2:T$501,$BJ183)="","",INDEX(原始資料!T$2:T$501,$BJ183)))</f>
        <v/>
      </c>
      <c r="S183" s="6">
        <f>IF(OR($BJ183="",18&gt;設定!$B$3),"",IF(INDEX(原始資料!U$2:U$501,$BJ183)="","",INDEX(原始資料!U$2:U$501,$BJ183)))</f>
        <v/>
      </c>
      <c r="T183" s="6">
        <f>IF(OR($BJ183="",19&gt;設定!$B$3),"",IF(INDEX(原始資料!V$2:V$501,$BJ183)="","",INDEX(原始資料!V$2:V$501,$BJ183)))</f>
        <v/>
      </c>
      <c r="U183" s="6">
        <f>IF(OR($BJ183="",20&gt;設定!$B$3),"",IF(INDEX(原始資料!W$2:W$501,$BJ183)="","",INDEX(原始資料!W$2:W$501,$BJ183)))</f>
        <v/>
      </c>
      <c r="V183" s="6">
        <f>IF(OR($BJ183="",21&gt;設定!$B$3),"",IF(INDEX(原始資料!X$2:X$501,$BJ183)="","",INDEX(原始資料!X$2:X$501,$BJ183)))</f>
        <v/>
      </c>
      <c r="W183" s="6">
        <f>IF(OR($BJ183="",22&gt;設定!$B$3),"",IF(INDEX(原始資料!Y$2:Y$501,$BJ183)="","",INDEX(原始資料!Y$2:Y$501,$BJ183)))</f>
        <v/>
      </c>
      <c r="X183" s="6">
        <f>IF(OR($BJ183="",23&gt;設定!$B$3),"",IF(INDEX(原始資料!Z$2:Z$501,$BJ183)="","",INDEX(原始資料!Z$2:Z$501,$BJ183)))</f>
        <v/>
      </c>
      <c r="Y183" s="6">
        <f>IF(OR($BJ183="",24&gt;設定!$B$3),"",IF(INDEX(原始資料!AA$2:AA$501,$BJ183)="","",INDEX(原始資料!AA$2:AA$501,$BJ183)))</f>
        <v/>
      </c>
      <c r="Z183" s="6">
        <f>IF(OR($BJ183="",25&gt;設定!$B$3),"",IF(INDEX(原始資料!AB$2:AB$501,$BJ183)="","",INDEX(原始資料!AB$2:AB$501,$BJ183)))</f>
        <v/>
      </c>
      <c r="AA183" s="6">
        <f>IF(OR($BJ183="",26&gt;設定!$B$3),"",IF(INDEX(原始資料!AC$2:AC$501,$BJ183)="","",INDEX(原始資料!AC$2:AC$501,$BJ183)))</f>
        <v/>
      </c>
      <c r="AB183" s="6">
        <f>IF(OR($BJ183="",27&gt;設定!$B$3),"",IF(INDEX(原始資料!AD$2:AD$501,$BJ183)="","",INDEX(原始資料!AD$2:AD$501,$BJ183)))</f>
        <v/>
      </c>
      <c r="AC183" s="6">
        <f>IF(OR($BJ183="",28&gt;設定!$B$3),"",IF(INDEX(原始資料!AE$2:AE$501,$BJ183)="","",INDEX(原始資料!AE$2:AE$501,$BJ183)))</f>
        <v/>
      </c>
      <c r="AD183" s="6">
        <f>IF(OR($BJ183="",29&gt;設定!$B$3),"",IF(INDEX(原始資料!AF$2:AF$501,$BJ183)="","",INDEX(原始資料!AF$2:AF$501,$BJ183)))</f>
        <v/>
      </c>
      <c r="AE183" s="6">
        <f>IF(OR($BJ183="",30&gt;設定!$B$3),"",IF(INDEX(原始資料!AG$2:AG$501,$BJ183)="","",INDEX(原始資料!AG$2:AG$501,$BJ183)))</f>
        <v/>
      </c>
      <c r="AF183" s="6">
        <f>IF(OR($BJ183="",31&gt;設定!$B$3),"",IF(INDEX(原始資料!AH$2:AH$501,$BJ183)="","",INDEX(原始資料!AH$2:AH$501,$BJ183)))</f>
        <v/>
      </c>
      <c r="AG183" s="6">
        <f>IF(OR($BJ183="",32&gt;設定!$B$3),"",IF(INDEX(原始資料!AI$2:AI$501,$BJ183)="","",INDEX(原始資料!AI$2:AI$501,$BJ183)))</f>
        <v/>
      </c>
      <c r="AH183" s="6">
        <f>IF(OR($BJ183="",33&gt;設定!$B$3),"",IF(INDEX(原始資料!AJ$2:AJ$501,$BJ183)="","",INDEX(原始資料!AJ$2:AJ$501,$BJ183)))</f>
        <v/>
      </c>
      <c r="AI183" s="6">
        <f>IF(OR($BJ183="",34&gt;設定!$B$3),"",IF(INDEX(原始資料!AK$2:AK$501,$BJ183)="","",INDEX(原始資料!AK$2:AK$501,$BJ183)))</f>
        <v/>
      </c>
      <c r="AJ183" s="6">
        <f>IF(OR($BJ183="",35&gt;設定!$B$3),"",IF(INDEX(原始資料!AL$2:AL$501,$BJ183)="","",INDEX(原始資料!AL$2:AL$501,$BJ183)))</f>
        <v/>
      </c>
      <c r="AK183" s="6">
        <f>IF(OR($BJ183="",36&gt;設定!$B$3),"",IF(INDEX(原始資料!AM$2:AM$501,$BJ183)="","",INDEX(原始資料!AM$2:AM$501,$BJ183)))</f>
        <v/>
      </c>
      <c r="AL183" s="6">
        <f>IF(OR($BJ183="",37&gt;設定!$B$3),"",IF(INDEX(原始資料!AN$2:AN$501,$BJ183)="","",INDEX(原始資料!AN$2:AN$501,$BJ183)))</f>
        <v/>
      </c>
      <c r="AM183" s="6">
        <f>IF(OR($BJ183="",38&gt;設定!$B$3),"",IF(INDEX(原始資料!AO$2:AO$501,$BJ183)="","",INDEX(原始資料!AO$2:AO$501,$BJ183)))</f>
        <v/>
      </c>
      <c r="AN183" s="6">
        <f>IF(OR($BJ183="",39&gt;設定!$B$3),"",IF(INDEX(原始資料!AP$2:AP$501,$BJ183)="","",INDEX(原始資料!AP$2:AP$501,$BJ183)))</f>
        <v/>
      </c>
      <c r="AO183" s="6">
        <f>IF(OR($BJ183="",40&gt;設定!$B$3),"",IF(INDEX(原始資料!AQ$2:AQ$501,$BJ183)="","",INDEX(原始資料!AQ$2:AQ$501,$BJ183)))</f>
        <v/>
      </c>
      <c r="AP183" s="6">
        <f>IF(OR($BJ183="",41&gt;設定!$B$3),"",IF(INDEX(原始資料!AR$2:AR$501,$BJ183)="","",INDEX(原始資料!AR$2:AR$501,$BJ183)))</f>
        <v/>
      </c>
      <c r="AQ183" s="6">
        <f>IF(OR($BJ183="",42&gt;設定!$B$3),"",IF(INDEX(原始資料!AS$2:AS$501,$BJ183)="","",INDEX(原始資料!AS$2:AS$501,$BJ183)))</f>
        <v/>
      </c>
      <c r="AR183" s="6">
        <f>IF(OR($BJ183="",43&gt;設定!$B$3),"",IF(INDEX(原始資料!AT$2:AT$501,$BJ183)="","",INDEX(原始資料!AT$2:AT$501,$BJ183)))</f>
        <v/>
      </c>
      <c r="AS183" s="6">
        <f>IF(OR($BJ183="",44&gt;設定!$B$3),"",IF(INDEX(原始資料!AU$2:AU$501,$BJ183)="","",INDEX(原始資料!AU$2:AU$501,$BJ183)))</f>
        <v/>
      </c>
      <c r="AT183" s="6">
        <f>IF(OR($BJ183="",45&gt;設定!$B$3),"",IF(INDEX(原始資料!AV$2:AV$501,$BJ183)="","",INDEX(原始資料!AV$2:AV$501,$BJ183)))</f>
        <v/>
      </c>
      <c r="AU183" s="6">
        <f>IF(OR($BJ183="",46&gt;設定!$B$3),"",IF(INDEX(原始資料!AW$2:AW$501,$BJ183)="","",INDEX(原始資料!AW$2:AW$501,$BJ183)))</f>
        <v/>
      </c>
      <c r="AV183" s="6">
        <f>IF(OR($BJ183="",47&gt;設定!$B$3),"",IF(INDEX(原始資料!AX$2:AX$501,$BJ183)="","",INDEX(原始資料!AX$2:AX$501,$BJ183)))</f>
        <v/>
      </c>
      <c r="AW183" s="6">
        <f>IF(OR($BJ183="",48&gt;設定!$B$3),"",IF(INDEX(原始資料!AY$2:AY$501,$BJ183)="","",INDEX(原始資料!AY$2:AY$501,$BJ183)))</f>
        <v/>
      </c>
      <c r="AX183" s="6">
        <f>IF(OR($BJ183="",49&gt;設定!$B$3),"",IF(INDEX(原始資料!AZ$2:AZ$501,$BJ183)="","",INDEX(原始資料!AZ$2:AZ$501,$BJ183)))</f>
        <v/>
      </c>
      <c r="AY183" s="6">
        <f>IF(OR($BJ183="",50&gt;設定!$B$3),"",IF(INDEX(原始資料!BA$2:BA$501,$BJ183)="","",INDEX(原始資料!BA$2:BA$501,$BJ183)))</f>
        <v/>
      </c>
      <c r="AZ183" s="6">
        <f>IF(OR($BJ183="",51&gt;設定!$B$3),"",IF(INDEX(原始資料!BB$2:BB$501,$BJ183)="","",INDEX(原始資料!BB$2:BB$501,$BJ183)))</f>
        <v/>
      </c>
      <c r="BA183" s="6">
        <f>IF(OR($BJ183="",52&gt;設定!$B$3),"",IF(INDEX(原始資料!BC$2:BC$501,$BJ183)="","",INDEX(原始資料!BC$2:BC$501,$BJ183)))</f>
        <v/>
      </c>
      <c r="BB183" s="6">
        <f>IF(OR($BJ183="",53&gt;設定!$B$3),"",IF(INDEX(原始資料!BD$2:BD$501,$BJ183)="","",INDEX(原始資料!BD$2:BD$501,$BJ183)))</f>
        <v/>
      </c>
      <c r="BC183" s="6">
        <f>IF(OR($BJ183="",54&gt;設定!$B$3),"",IF(INDEX(原始資料!BE$2:BE$501,$BJ183)="","",INDEX(原始資料!BE$2:BE$501,$BJ183)))</f>
        <v/>
      </c>
      <c r="BD183" s="6">
        <f>IF(OR($BJ183="",55&gt;設定!$B$3),"",IF(INDEX(原始資料!BF$2:BF$501,$BJ183)="","",INDEX(原始資料!BF$2:BF$501,$BJ183)))</f>
        <v/>
      </c>
      <c r="BE183" s="6">
        <f>IF(OR($BJ183="",56&gt;設定!$B$3),"",IF(INDEX(原始資料!BG$2:BG$501,$BJ183)="","",INDEX(原始資料!BG$2:BG$501,$BJ183)))</f>
        <v/>
      </c>
      <c r="BF183" s="6">
        <f>IF(OR($BJ183="",57&gt;設定!$B$3),"",IF(INDEX(原始資料!BH$2:BH$501,$BJ183)="","",INDEX(原始資料!BH$2:BH$501,$BJ183)))</f>
        <v/>
      </c>
      <c r="BG183" s="6">
        <f>IF(OR($BJ183="",58&gt;設定!$B$3),"",IF(INDEX(原始資料!BI$2:BI$501,$BJ183)="","",INDEX(原始資料!BI$2:BI$501,$BJ183)))</f>
        <v/>
      </c>
      <c r="BH183" s="6">
        <f>IF(OR($BJ183="",59&gt;設定!$B$3),"",IF(INDEX(原始資料!BJ$2:BJ$501,$BJ183)="","",INDEX(原始資料!BJ$2:BJ$501,$BJ183)))</f>
        <v/>
      </c>
      <c r="BI183" s="6">
        <f>IF(OR($BJ183="",60&gt;設定!$B$3),"",IF(INDEX(原始資料!BK$2:BK$501,$BJ183)="","",INDEX(原始資料!BK$2:BK$501,$BJ183)))</f>
        <v/>
      </c>
      <c r="BJ183" s="6">
        <f>IFERROR(MATCH(ROW()-1,判定!$H$2:$H$501,0),"")</f>
        <v/>
      </c>
    </row>
    <row r="184">
      <c r="A184" s="6">
        <f>IF($BJ184="","",INDEX(原始資料!$A$2:$A$501,$BJ184))</f>
        <v/>
      </c>
      <c r="B184" s="6">
        <f>IF(OR($BJ184="",1&gt;設定!$B$3),"",IF(INDEX(原始資料!D$2:D$501,$BJ184)="","",INDEX(原始資料!D$2:D$501,$BJ184)))</f>
        <v/>
      </c>
      <c r="C184" s="6">
        <f>IF(OR($BJ184="",2&gt;設定!$B$3),"",IF(INDEX(原始資料!E$2:E$501,$BJ184)="","",INDEX(原始資料!E$2:E$501,$BJ184)))</f>
        <v/>
      </c>
      <c r="D184" s="6">
        <f>IF(OR($BJ184="",3&gt;設定!$B$3),"",IF(INDEX(原始資料!F$2:F$501,$BJ184)="","",INDEX(原始資料!F$2:F$501,$BJ184)))</f>
        <v/>
      </c>
      <c r="E184" s="6">
        <f>IF(OR($BJ184="",4&gt;設定!$B$3),"",IF(INDEX(原始資料!G$2:G$501,$BJ184)="","",INDEX(原始資料!G$2:G$501,$BJ184)))</f>
        <v/>
      </c>
      <c r="F184" s="6">
        <f>IF(OR($BJ184="",5&gt;設定!$B$3),"",IF(INDEX(原始資料!H$2:H$501,$BJ184)="","",INDEX(原始資料!H$2:H$501,$BJ184)))</f>
        <v/>
      </c>
      <c r="G184" s="6">
        <f>IF(OR($BJ184="",6&gt;設定!$B$3),"",IF(INDEX(原始資料!I$2:I$501,$BJ184)="","",INDEX(原始資料!I$2:I$501,$BJ184)))</f>
        <v/>
      </c>
      <c r="H184" s="6">
        <f>IF(OR($BJ184="",7&gt;設定!$B$3),"",IF(INDEX(原始資料!J$2:J$501,$BJ184)="","",INDEX(原始資料!J$2:J$501,$BJ184)))</f>
        <v/>
      </c>
      <c r="I184" s="6">
        <f>IF(OR($BJ184="",8&gt;設定!$B$3),"",IF(INDEX(原始資料!K$2:K$501,$BJ184)="","",INDEX(原始資料!K$2:K$501,$BJ184)))</f>
        <v/>
      </c>
      <c r="J184" s="6">
        <f>IF(OR($BJ184="",9&gt;設定!$B$3),"",IF(INDEX(原始資料!L$2:L$501,$BJ184)="","",INDEX(原始資料!L$2:L$501,$BJ184)))</f>
        <v/>
      </c>
      <c r="K184" s="6">
        <f>IF(OR($BJ184="",10&gt;設定!$B$3),"",IF(INDEX(原始資料!M$2:M$501,$BJ184)="","",INDEX(原始資料!M$2:M$501,$BJ184)))</f>
        <v/>
      </c>
      <c r="L184" s="6">
        <f>IF(OR($BJ184="",11&gt;設定!$B$3),"",IF(INDEX(原始資料!N$2:N$501,$BJ184)="","",INDEX(原始資料!N$2:N$501,$BJ184)))</f>
        <v/>
      </c>
      <c r="M184" s="6">
        <f>IF(OR($BJ184="",12&gt;設定!$B$3),"",IF(INDEX(原始資料!O$2:O$501,$BJ184)="","",INDEX(原始資料!O$2:O$501,$BJ184)))</f>
        <v/>
      </c>
      <c r="N184" s="6">
        <f>IF(OR($BJ184="",13&gt;設定!$B$3),"",IF(INDEX(原始資料!P$2:P$501,$BJ184)="","",INDEX(原始資料!P$2:P$501,$BJ184)))</f>
        <v/>
      </c>
      <c r="O184" s="6">
        <f>IF(OR($BJ184="",14&gt;設定!$B$3),"",IF(INDEX(原始資料!Q$2:Q$501,$BJ184)="","",INDEX(原始資料!Q$2:Q$501,$BJ184)))</f>
        <v/>
      </c>
      <c r="P184" s="6">
        <f>IF(OR($BJ184="",15&gt;設定!$B$3),"",IF(INDEX(原始資料!R$2:R$501,$BJ184)="","",INDEX(原始資料!R$2:R$501,$BJ184)))</f>
        <v/>
      </c>
      <c r="Q184" s="6">
        <f>IF(OR($BJ184="",16&gt;設定!$B$3),"",IF(INDEX(原始資料!S$2:S$501,$BJ184)="","",INDEX(原始資料!S$2:S$501,$BJ184)))</f>
        <v/>
      </c>
      <c r="R184" s="6">
        <f>IF(OR($BJ184="",17&gt;設定!$B$3),"",IF(INDEX(原始資料!T$2:T$501,$BJ184)="","",INDEX(原始資料!T$2:T$501,$BJ184)))</f>
        <v/>
      </c>
      <c r="S184" s="6">
        <f>IF(OR($BJ184="",18&gt;設定!$B$3),"",IF(INDEX(原始資料!U$2:U$501,$BJ184)="","",INDEX(原始資料!U$2:U$501,$BJ184)))</f>
        <v/>
      </c>
      <c r="T184" s="6">
        <f>IF(OR($BJ184="",19&gt;設定!$B$3),"",IF(INDEX(原始資料!V$2:V$501,$BJ184)="","",INDEX(原始資料!V$2:V$501,$BJ184)))</f>
        <v/>
      </c>
      <c r="U184" s="6">
        <f>IF(OR($BJ184="",20&gt;設定!$B$3),"",IF(INDEX(原始資料!W$2:W$501,$BJ184)="","",INDEX(原始資料!W$2:W$501,$BJ184)))</f>
        <v/>
      </c>
      <c r="V184" s="6">
        <f>IF(OR($BJ184="",21&gt;設定!$B$3),"",IF(INDEX(原始資料!X$2:X$501,$BJ184)="","",INDEX(原始資料!X$2:X$501,$BJ184)))</f>
        <v/>
      </c>
      <c r="W184" s="6">
        <f>IF(OR($BJ184="",22&gt;設定!$B$3),"",IF(INDEX(原始資料!Y$2:Y$501,$BJ184)="","",INDEX(原始資料!Y$2:Y$501,$BJ184)))</f>
        <v/>
      </c>
      <c r="X184" s="6">
        <f>IF(OR($BJ184="",23&gt;設定!$B$3),"",IF(INDEX(原始資料!Z$2:Z$501,$BJ184)="","",INDEX(原始資料!Z$2:Z$501,$BJ184)))</f>
        <v/>
      </c>
      <c r="Y184" s="6">
        <f>IF(OR($BJ184="",24&gt;設定!$B$3),"",IF(INDEX(原始資料!AA$2:AA$501,$BJ184)="","",INDEX(原始資料!AA$2:AA$501,$BJ184)))</f>
        <v/>
      </c>
      <c r="Z184" s="6">
        <f>IF(OR($BJ184="",25&gt;設定!$B$3),"",IF(INDEX(原始資料!AB$2:AB$501,$BJ184)="","",INDEX(原始資料!AB$2:AB$501,$BJ184)))</f>
        <v/>
      </c>
      <c r="AA184" s="6">
        <f>IF(OR($BJ184="",26&gt;設定!$B$3),"",IF(INDEX(原始資料!AC$2:AC$501,$BJ184)="","",INDEX(原始資料!AC$2:AC$501,$BJ184)))</f>
        <v/>
      </c>
      <c r="AB184" s="6">
        <f>IF(OR($BJ184="",27&gt;設定!$B$3),"",IF(INDEX(原始資料!AD$2:AD$501,$BJ184)="","",INDEX(原始資料!AD$2:AD$501,$BJ184)))</f>
        <v/>
      </c>
      <c r="AC184" s="6">
        <f>IF(OR($BJ184="",28&gt;設定!$B$3),"",IF(INDEX(原始資料!AE$2:AE$501,$BJ184)="","",INDEX(原始資料!AE$2:AE$501,$BJ184)))</f>
        <v/>
      </c>
      <c r="AD184" s="6">
        <f>IF(OR($BJ184="",29&gt;設定!$B$3),"",IF(INDEX(原始資料!AF$2:AF$501,$BJ184)="","",INDEX(原始資料!AF$2:AF$501,$BJ184)))</f>
        <v/>
      </c>
      <c r="AE184" s="6">
        <f>IF(OR($BJ184="",30&gt;設定!$B$3),"",IF(INDEX(原始資料!AG$2:AG$501,$BJ184)="","",INDEX(原始資料!AG$2:AG$501,$BJ184)))</f>
        <v/>
      </c>
      <c r="AF184" s="6">
        <f>IF(OR($BJ184="",31&gt;設定!$B$3),"",IF(INDEX(原始資料!AH$2:AH$501,$BJ184)="","",INDEX(原始資料!AH$2:AH$501,$BJ184)))</f>
        <v/>
      </c>
      <c r="AG184" s="6">
        <f>IF(OR($BJ184="",32&gt;設定!$B$3),"",IF(INDEX(原始資料!AI$2:AI$501,$BJ184)="","",INDEX(原始資料!AI$2:AI$501,$BJ184)))</f>
        <v/>
      </c>
      <c r="AH184" s="6">
        <f>IF(OR($BJ184="",33&gt;設定!$B$3),"",IF(INDEX(原始資料!AJ$2:AJ$501,$BJ184)="","",INDEX(原始資料!AJ$2:AJ$501,$BJ184)))</f>
        <v/>
      </c>
      <c r="AI184" s="6">
        <f>IF(OR($BJ184="",34&gt;設定!$B$3),"",IF(INDEX(原始資料!AK$2:AK$501,$BJ184)="","",INDEX(原始資料!AK$2:AK$501,$BJ184)))</f>
        <v/>
      </c>
      <c r="AJ184" s="6">
        <f>IF(OR($BJ184="",35&gt;設定!$B$3),"",IF(INDEX(原始資料!AL$2:AL$501,$BJ184)="","",INDEX(原始資料!AL$2:AL$501,$BJ184)))</f>
        <v/>
      </c>
      <c r="AK184" s="6">
        <f>IF(OR($BJ184="",36&gt;設定!$B$3),"",IF(INDEX(原始資料!AM$2:AM$501,$BJ184)="","",INDEX(原始資料!AM$2:AM$501,$BJ184)))</f>
        <v/>
      </c>
      <c r="AL184" s="6">
        <f>IF(OR($BJ184="",37&gt;設定!$B$3),"",IF(INDEX(原始資料!AN$2:AN$501,$BJ184)="","",INDEX(原始資料!AN$2:AN$501,$BJ184)))</f>
        <v/>
      </c>
      <c r="AM184" s="6">
        <f>IF(OR($BJ184="",38&gt;設定!$B$3),"",IF(INDEX(原始資料!AO$2:AO$501,$BJ184)="","",INDEX(原始資料!AO$2:AO$501,$BJ184)))</f>
        <v/>
      </c>
      <c r="AN184" s="6">
        <f>IF(OR($BJ184="",39&gt;設定!$B$3),"",IF(INDEX(原始資料!AP$2:AP$501,$BJ184)="","",INDEX(原始資料!AP$2:AP$501,$BJ184)))</f>
        <v/>
      </c>
      <c r="AO184" s="6">
        <f>IF(OR($BJ184="",40&gt;設定!$B$3),"",IF(INDEX(原始資料!AQ$2:AQ$501,$BJ184)="","",INDEX(原始資料!AQ$2:AQ$501,$BJ184)))</f>
        <v/>
      </c>
      <c r="AP184" s="6">
        <f>IF(OR($BJ184="",41&gt;設定!$B$3),"",IF(INDEX(原始資料!AR$2:AR$501,$BJ184)="","",INDEX(原始資料!AR$2:AR$501,$BJ184)))</f>
        <v/>
      </c>
      <c r="AQ184" s="6">
        <f>IF(OR($BJ184="",42&gt;設定!$B$3),"",IF(INDEX(原始資料!AS$2:AS$501,$BJ184)="","",INDEX(原始資料!AS$2:AS$501,$BJ184)))</f>
        <v/>
      </c>
      <c r="AR184" s="6">
        <f>IF(OR($BJ184="",43&gt;設定!$B$3),"",IF(INDEX(原始資料!AT$2:AT$501,$BJ184)="","",INDEX(原始資料!AT$2:AT$501,$BJ184)))</f>
        <v/>
      </c>
      <c r="AS184" s="6">
        <f>IF(OR($BJ184="",44&gt;設定!$B$3),"",IF(INDEX(原始資料!AU$2:AU$501,$BJ184)="","",INDEX(原始資料!AU$2:AU$501,$BJ184)))</f>
        <v/>
      </c>
      <c r="AT184" s="6">
        <f>IF(OR($BJ184="",45&gt;設定!$B$3),"",IF(INDEX(原始資料!AV$2:AV$501,$BJ184)="","",INDEX(原始資料!AV$2:AV$501,$BJ184)))</f>
        <v/>
      </c>
      <c r="AU184" s="6">
        <f>IF(OR($BJ184="",46&gt;設定!$B$3),"",IF(INDEX(原始資料!AW$2:AW$501,$BJ184)="","",INDEX(原始資料!AW$2:AW$501,$BJ184)))</f>
        <v/>
      </c>
      <c r="AV184" s="6">
        <f>IF(OR($BJ184="",47&gt;設定!$B$3),"",IF(INDEX(原始資料!AX$2:AX$501,$BJ184)="","",INDEX(原始資料!AX$2:AX$501,$BJ184)))</f>
        <v/>
      </c>
      <c r="AW184" s="6">
        <f>IF(OR($BJ184="",48&gt;設定!$B$3),"",IF(INDEX(原始資料!AY$2:AY$501,$BJ184)="","",INDEX(原始資料!AY$2:AY$501,$BJ184)))</f>
        <v/>
      </c>
      <c r="AX184" s="6">
        <f>IF(OR($BJ184="",49&gt;設定!$B$3),"",IF(INDEX(原始資料!AZ$2:AZ$501,$BJ184)="","",INDEX(原始資料!AZ$2:AZ$501,$BJ184)))</f>
        <v/>
      </c>
      <c r="AY184" s="6">
        <f>IF(OR($BJ184="",50&gt;設定!$B$3),"",IF(INDEX(原始資料!BA$2:BA$501,$BJ184)="","",INDEX(原始資料!BA$2:BA$501,$BJ184)))</f>
        <v/>
      </c>
      <c r="AZ184" s="6">
        <f>IF(OR($BJ184="",51&gt;設定!$B$3),"",IF(INDEX(原始資料!BB$2:BB$501,$BJ184)="","",INDEX(原始資料!BB$2:BB$501,$BJ184)))</f>
        <v/>
      </c>
      <c r="BA184" s="6">
        <f>IF(OR($BJ184="",52&gt;設定!$B$3),"",IF(INDEX(原始資料!BC$2:BC$501,$BJ184)="","",INDEX(原始資料!BC$2:BC$501,$BJ184)))</f>
        <v/>
      </c>
      <c r="BB184" s="6">
        <f>IF(OR($BJ184="",53&gt;設定!$B$3),"",IF(INDEX(原始資料!BD$2:BD$501,$BJ184)="","",INDEX(原始資料!BD$2:BD$501,$BJ184)))</f>
        <v/>
      </c>
      <c r="BC184" s="6">
        <f>IF(OR($BJ184="",54&gt;設定!$B$3),"",IF(INDEX(原始資料!BE$2:BE$501,$BJ184)="","",INDEX(原始資料!BE$2:BE$501,$BJ184)))</f>
        <v/>
      </c>
      <c r="BD184" s="6">
        <f>IF(OR($BJ184="",55&gt;設定!$B$3),"",IF(INDEX(原始資料!BF$2:BF$501,$BJ184)="","",INDEX(原始資料!BF$2:BF$501,$BJ184)))</f>
        <v/>
      </c>
      <c r="BE184" s="6">
        <f>IF(OR($BJ184="",56&gt;設定!$B$3),"",IF(INDEX(原始資料!BG$2:BG$501,$BJ184)="","",INDEX(原始資料!BG$2:BG$501,$BJ184)))</f>
        <v/>
      </c>
      <c r="BF184" s="6">
        <f>IF(OR($BJ184="",57&gt;設定!$B$3),"",IF(INDEX(原始資料!BH$2:BH$501,$BJ184)="","",INDEX(原始資料!BH$2:BH$501,$BJ184)))</f>
        <v/>
      </c>
      <c r="BG184" s="6">
        <f>IF(OR($BJ184="",58&gt;設定!$B$3),"",IF(INDEX(原始資料!BI$2:BI$501,$BJ184)="","",INDEX(原始資料!BI$2:BI$501,$BJ184)))</f>
        <v/>
      </c>
      <c r="BH184" s="6">
        <f>IF(OR($BJ184="",59&gt;設定!$B$3),"",IF(INDEX(原始資料!BJ$2:BJ$501,$BJ184)="","",INDEX(原始資料!BJ$2:BJ$501,$BJ184)))</f>
        <v/>
      </c>
      <c r="BI184" s="6">
        <f>IF(OR($BJ184="",60&gt;設定!$B$3),"",IF(INDEX(原始資料!BK$2:BK$501,$BJ184)="","",INDEX(原始資料!BK$2:BK$501,$BJ184)))</f>
        <v/>
      </c>
      <c r="BJ184" s="6">
        <f>IFERROR(MATCH(ROW()-1,判定!$H$2:$H$501,0),"")</f>
        <v/>
      </c>
    </row>
    <row r="185">
      <c r="A185" s="6">
        <f>IF($BJ185="","",INDEX(原始資料!$A$2:$A$501,$BJ185))</f>
        <v/>
      </c>
      <c r="B185" s="6">
        <f>IF(OR($BJ185="",1&gt;設定!$B$3),"",IF(INDEX(原始資料!D$2:D$501,$BJ185)="","",INDEX(原始資料!D$2:D$501,$BJ185)))</f>
        <v/>
      </c>
      <c r="C185" s="6">
        <f>IF(OR($BJ185="",2&gt;設定!$B$3),"",IF(INDEX(原始資料!E$2:E$501,$BJ185)="","",INDEX(原始資料!E$2:E$501,$BJ185)))</f>
        <v/>
      </c>
      <c r="D185" s="6">
        <f>IF(OR($BJ185="",3&gt;設定!$B$3),"",IF(INDEX(原始資料!F$2:F$501,$BJ185)="","",INDEX(原始資料!F$2:F$501,$BJ185)))</f>
        <v/>
      </c>
      <c r="E185" s="6">
        <f>IF(OR($BJ185="",4&gt;設定!$B$3),"",IF(INDEX(原始資料!G$2:G$501,$BJ185)="","",INDEX(原始資料!G$2:G$501,$BJ185)))</f>
        <v/>
      </c>
      <c r="F185" s="6">
        <f>IF(OR($BJ185="",5&gt;設定!$B$3),"",IF(INDEX(原始資料!H$2:H$501,$BJ185)="","",INDEX(原始資料!H$2:H$501,$BJ185)))</f>
        <v/>
      </c>
      <c r="G185" s="6">
        <f>IF(OR($BJ185="",6&gt;設定!$B$3),"",IF(INDEX(原始資料!I$2:I$501,$BJ185)="","",INDEX(原始資料!I$2:I$501,$BJ185)))</f>
        <v/>
      </c>
      <c r="H185" s="6">
        <f>IF(OR($BJ185="",7&gt;設定!$B$3),"",IF(INDEX(原始資料!J$2:J$501,$BJ185)="","",INDEX(原始資料!J$2:J$501,$BJ185)))</f>
        <v/>
      </c>
      <c r="I185" s="6">
        <f>IF(OR($BJ185="",8&gt;設定!$B$3),"",IF(INDEX(原始資料!K$2:K$501,$BJ185)="","",INDEX(原始資料!K$2:K$501,$BJ185)))</f>
        <v/>
      </c>
      <c r="J185" s="6">
        <f>IF(OR($BJ185="",9&gt;設定!$B$3),"",IF(INDEX(原始資料!L$2:L$501,$BJ185)="","",INDEX(原始資料!L$2:L$501,$BJ185)))</f>
        <v/>
      </c>
      <c r="K185" s="6">
        <f>IF(OR($BJ185="",10&gt;設定!$B$3),"",IF(INDEX(原始資料!M$2:M$501,$BJ185)="","",INDEX(原始資料!M$2:M$501,$BJ185)))</f>
        <v/>
      </c>
      <c r="L185" s="6">
        <f>IF(OR($BJ185="",11&gt;設定!$B$3),"",IF(INDEX(原始資料!N$2:N$501,$BJ185)="","",INDEX(原始資料!N$2:N$501,$BJ185)))</f>
        <v/>
      </c>
      <c r="M185" s="6">
        <f>IF(OR($BJ185="",12&gt;設定!$B$3),"",IF(INDEX(原始資料!O$2:O$501,$BJ185)="","",INDEX(原始資料!O$2:O$501,$BJ185)))</f>
        <v/>
      </c>
      <c r="N185" s="6">
        <f>IF(OR($BJ185="",13&gt;設定!$B$3),"",IF(INDEX(原始資料!P$2:P$501,$BJ185)="","",INDEX(原始資料!P$2:P$501,$BJ185)))</f>
        <v/>
      </c>
      <c r="O185" s="6">
        <f>IF(OR($BJ185="",14&gt;設定!$B$3),"",IF(INDEX(原始資料!Q$2:Q$501,$BJ185)="","",INDEX(原始資料!Q$2:Q$501,$BJ185)))</f>
        <v/>
      </c>
      <c r="P185" s="6">
        <f>IF(OR($BJ185="",15&gt;設定!$B$3),"",IF(INDEX(原始資料!R$2:R$501,$BJ185)="","",INDEX(原始資料!R$2:R$501,$BJ185)))</f>
        <v/>
      </c>
      <c r="Q185" s="6">
        <f>IF(OR($BJ185="",16&gt;設定!$B$3),"",IF(INDEX(原始資料!S$2:S$501,$BJ185)="","",INDEX(原始資料!S$2:S$501,$BJ185)))</f>
        <v/>
      </c>
      <c r="R185" s="6">
        <f>IF(OR($BJ185="",17&gt;設定!$B$3),"",IF(INDEX(原始資料!T$2:T$501,$BJ185)="","",INDEX(原始資料!T$2:T$501,$BJ185)))</f>
        <v/>
      </c>
      <c r="S185" s="6">
        <f>IF(OR($BJ185="",18&gt;設定!$B$3),"",IF(INDEX(原始資料!U$2:U$501,$BJ185)="","",INDEX(原始資料!U$2:U$501,$BJ185)))</f>
        <v/>
      </c>
      <c r="T185" s="6">
        <f>IF(OR($BJ185="",19&gt;設定!$B$3),"",IF(INDEX(原始資料!V$2:V$501,$BJ185)="","",INDEX(原始資料!V$2:V$501,$BJ185)))</f>
        <v/>
      </c>
      <c r="U185" s="6">
        <f>IF(OR($BJ185="",20&gt;設定!$B$3),"",IF(INDEX(原始資料!W$2:W$501,$BJ185)="","",INDEX(原始資料!W$2:W$501,$BJ185)))</f>
        <v/>
      </c>
      <c r="V185" s="6">
        <f>IF(OR($BJ185="",21&gt;設定!$B$3),"",IF(INDEX(原始資料!X$2:X$501,$BJ185)="","",INDEX(原始資料!X$2:X$501,$BJ185)))</f>
        <v/>
      </c>
      <c r="W185" s="6">
        <f>IF(OR($BJ185="",22&gt;設定!$B$3),"",IF(INDEX(原始資料!Y$2:Y$501,$BJ185)="","",INDEX(原始資料!Y$2:Y$501,$BJ185)))</f>
        <v/>
      </c>
      <c r="X185" s="6">
        <f>IF(OR($BJ185="",23&gt;設定!$B$3),"",IF(INDEX(原始資料!Z$2:Z$501,$BJ185)="","",INDEX(原始資料!Z$2:Z$501,$BJ185)))</f>
        <v/>
      </c>
      <c r="Y185" s="6">
        <f>IF(OR($BJ185="",24&gt;設定!$B$3),"",IF(INDEX(原始資料!AA$2:AA$501,$BJ185)="","",INDEX(原始資料!AA$2:AA$501,$BJ185)))</f>
        <v/>
      </c>
      <c r="Z185" s="6">
        <f>IF(OR($BJ185="",25&gt;設定!$B$3),"",IF(INDEX(原始資料!AB$2:AB$501,$BJ185)="","",INDEX(原始資料!AB$2:AB$501,$BJ185)))</f>
        <v/>
      </c>
      <c r="AA185" s="6">
        <f>IF(OR($BJ185="",26&gt;設定!$B$3),"",IF(INDEX(原始資料!AC$2:AC$501,$BJ185)="","",INDEX(原始資料!AC$2:AC$501,$BJ185)))</f>
        <v/>
      </c>
      <c r="AB185" s="6">
        <f>IF(OR($BJ185="",27&gt;設定!$B$3),"",IF(INDEX(原始資料!AD$2:AD$501,$BJ185)="","",INDEX(原始資料!AD$2:AD$501,$BJ185)))</f>
        <v/>
      </c>
      <c r="AC185" s="6">
        <f>IF(OR($BJ185="",28&gt;設定!$B$3),"",IF(INDEX(原始資料!AE$2:AE$501,$BJ185)="","",INDEX(原始資料!AE$2:AE$501,$BJ185)))</f>
        <v/>
      </c>
      <c r="AD185" s="6">
        <f>IF(OR($BJ185="",29&gt;設定!$B$3),"",IF(INDEX(原始資料!AF$2:AF$501,$BJ185)="","",INDEX(原始資料!AF$2:AF$501,$BJ185)))</f>
        <v/>
      </c>
      <c r="AE185" s="6">
        <f>IF(OR($BJ185="",30&gt;設定!$B$3),"",IF(INDEX(原始資料!AG$2:AG$501,$BJ185)="","",INDEX(原始資料!AG$2:AG$501,$BJ185)))</f>
        <v/>
      </c>
      <c r="AF185" s="6">
        <f>IF(OR($BJ185="",31&gt;設定!$B$3),"",IF(INDEX(原始資料!AH$2:AH$501,$BJ185)="","",INDEX(原始資料!AH$2:AH$501,$BJ185)))</f>
        <v/>
      </c>
      <c r="AG185" s="6">
        <f>IF(OR($BJ185="",32&gt;設定!$B$3),"",IF(INDEX(原始資料!AI$2:AI$501,$BJ185)="","",INDEX(原始資料!AI$2:AI$501,$BJ185)))</f>
        <v/>
      </c>
      <c r="AH185" s="6">
        <f>IF(OR($BJ185="",33&gt;設定!$B$3),"",IF(INDEX(原始資料!AJ$2:AJ$501,$BJ185)="","",INDEX(原始資料!AJ$2:AJ$501,$BJ185)))</f>
        <v/>
      </c>
      <c r="AI185" s="6">
        <f>IF(OR($BJ185="",34&gt;設定!$B$3),"",IF(INDEX(原始資料!AK$2:AK$501,$BJ185)="","",INDEX(原始資料!AK$2:AK$501,$BJ185)))</f>
        <v/>
      </c>
      <c r="AJ185" s="6">
        <f>IF(OR($BJ185="",35&gt;設定!$B$3),"",IF(INDEX(原始資料!AL$2:AL$501,$BJ185)="","",INDEX(原始資料!AL$2:AL$501,$BJ185)))</f>
        <v/>
      </c>
      <c r="AK185" s="6">
        <f>IF(OR($BJ185="",36&gt;設定!$B$3),"",IF(INDEX(原始資料!AM$2:AM$501,$BJ185)="","",INDEX(原始資料!AM$2:AM$501,$BJ185)))</f>
        <v/>
      </c>
      <c r="AL185" s="6">
        <f>IF(OR($BJ185="",37&gt;設定!$B$3),"",IF(INDEX(原始資料!AN$2:AN$501,$BJ185)="","",INDEX(原始資料!AN$2:AN$501,$BJ185)))</f>
        <v/>
      </c>
      <c r="AM185" s="6">
        <f>IF(OR($BJ185="",38&gt;設定!$B$3),"",IF(INDEX(原始資料!AO$2:AO$501,$BJ185)="","",INDEX(原始資料!AO$2:AO$501,$BJ185)))</f>
        <v/>
      </c>
      <c r="AN185" s="6">
        <f>IF(OR($BJ185="",39&gt;設定!$B$3),"",IF(INDEX(原始資料!AP$2:AP$501,$BJ185)="","",INDEX(原始資料!AP$2:AP$501,$BJ185)))</f>
        <v/>
      </c>
      <c r="AO185" s="6">
        <f>IF(OR($BJ185="",40&gt;設定!$B$3),"",IF(INDEX(原始資料!AQ$2:AQ$501,$BJ185)="","",INDEX(原始資料!AQ$2:AQ$501,$BJ185)))</f>
        <v/>
      </c>
      <c r="AP185" s="6">
        <f>IF(OR($BJ185="",41&gt;設定!$B$3),"",IF(INDEX(原始資料!AR$2:AR$501,$BJ185)="","",INDEX(原始資料!AR$2:AR$501,$BJ185)))</f>
        <v/>
      </c>
      <c r="AQ185" s="6">
        <f>IF(OR($BJ185="",42&gt;設定!$B$3),"",IF(INDEX(原始資料!AS$2:AS$501,$BJ185)="","",INDEX(原始資料!AS$2:AS$501,$BJ185)))</f>
        <v/>
      </c>
      <c r="AR185" s="6">
        <f>IF(OR($BJ185="",43&gt;設定!$B$3),"",IF(INDEX(原始資料!AT$2:AT$501,$BJ185)="","",INDEX(原始資料!AT$2:AT$501,$BJ185)))</f>
        <v/>
      </c>
      <c r="AS185" s="6">
        <f>IF(OR($BJ185="",44&gt;設定!$B$3),"",IF(INDEX(原始資料!AU$2:AU$501,$BJ185)="","",INDEX(原始資料!AU$2:AU$501,$BJ185)))</f>
        <v/>
      </c>
      <c r="AT185" s="6">
        <f>IF(OR($BJ185="",45&gt;設定!$B$3),"",IF(INDEX(原始資料!AV$2:AV$501,$BJ185)="","",INDEX(原始資料!AV$2:AV$501,$BJ185)))</f>
        <v/>
      </c>
      <c r="AU185" s="6">
        <f>IF(OR($BJ185="",46&gt;設定!$B$3),"",IF(INDEX(原始資料!AW$2:AW$501,$BJ185)="","",INDEX(原始資料!AW$2:AW$501,$BJ185)))</f>
        <v/>
      </c>
      <c r="AV185" s="6">
        <f>IF(OR($BJ185="",47&gt;設定!$B$3),"",IF(INDEX(原始資料!AX$2:AX$501,$BJ185)="","",INDEX(原始資料!AX$2:AX$501,$BJ185)))</f>
        <v/>
      </c>
      <c r="AW185" s="6">
        <f>IF(OR($BJ185="",48&gt;設定!$B$3),"",IF(INDEX(原始資料!AY$2:AY$501,$BJ185)="","",INDEX(原始資料!AY$2:AY$501,$BJ185)))</f>
        <v/>
      </c>
      <c r="AX185" s="6">
        <f>IF(OR($BJ185="",49&gt;設定!$B$3),"",IF(INDEX(原始資料!AZ$2:AZ$501,$BJ185)="","",INDEX(原始資料!AZ$2:AZ$501,$BJ185)))</f>
        <v/>
      </c>
      <c r="AY185" s="6">
        <f>IF(OR($BJ185="",50&gt;設定!$B$3),"",IF(INDEX(原始資料!BA$2:BA$501,$BJ185)="","",INDEX(原始資料!BA$2:BA$501,$BJ185)))</f>
        <v/>
      </c>
      <c r="AZ185" s="6">
        <f>IF(OR($BJ185="",51&gt;設定!$B$3),"",IF(INDEX(原始資料!BB$2:BB$501,$BJ185)="","",INDEX(原始資料!BB$2:BB$501,$BJ185)))</f>
        <v/>
      </c>
      <c r="BA185" s="6">
        <f>IF(OR($BJ185="",52&gt;設定!$B$3),"",IF(INDEX(原始資料!BC$2:BC$501,$BJ185)="","",INDEX(原始資料!BC$2:BC$501,$BJ185)))</f>
        <v/>
      </c>
      <c r="BB185" s="6">
        <f>IF(OR($BJ185="",53&gt;設定!$B$3),"",IF(INDEX(原始資料!BD$2:BD$501,$BJ185)="","",INDEX(原始資料!BD$2:BD$501,$BJ185)))</f>
        <v/>
      </c>
      <c r="BC185" s="6">
        <f>IF(OR($BJ185="",54&gt;設定!$B$3),"",IF(INDEX(原始資料!BE$2:BE$501,$BJ185)="","",INDEX(原始資料!BE$2:BE$501,$BJ185)))</f>
        <v/>
      </c>
      <c r="BD185" s="6">
        <f>IF(OR($BJ185="",55&gt;設定!$B$3),"",IF(INDEX(原始資料!BF$2:BF$501,$BJ185)="","",INDEX(原始資料!BF$2:BF$501,$BJ185)))</f>
        <v/>
      </c>
      <c r="BE185" s="6">
        <f>IF(OR($BJ185="",56&gt;設定!$B$3),"",IF(INDEX(原始資料!BG$2:BG$501,$BJ185)="","",INDEX(原始資料!BG$2:BG$501,$BJ185)))</f>
        <v/>
      </c>
      <c r="BF185" s="6">
        <f>IF(OR($BJ185="",57&gt;設定!$B$3),"",IF(INDEX(原始資料!BH$2:BH$501,$BJ185)="","",INDEX(原始資料!BH$2:BH$501,$BJ185)))</f>
        <v/>
      </c>
      <c r="BG185" s="6">
        <f>IF(OR($BJ185="",58&gt;設定!$B$3),"",IF(INDEX(原始資料!BI$2:BI$501,$BJ185)="","",INDEX(原始資料!BI$2:BI$501,$BJ185)))</f>
        <v/>
      </c>
      <c r="BH185" s="6">
        <f>IF(OR($BJ185="",59&gt;設定!$B$3),"",IF(INDEX(原始資料!BJ$2:BJ$501,$BJ185)="","",INDEX(原始資料!BJ$2:BJ$501,$BJ185)))</f>
        <v/>
      </c>
      <c r="BI185" s="6">
        <f>IF(OR($BJ185="",60&gt;設定!$B$3),"",IF(INDEX(原始資料!BK$2:BK$501,$BJ185)="","",INDEX(原始資料!BK$2:BK$501,$BJ185)))</f>
        <v/>
      </c>
      <c r="BJ185" s="6">
        <f>IFERROR(MATCH(ROW()-1,判定!$H$2:$H$501,0),"")</f>
        <v/>
      </c>
    </row>
    <row r="186">
      <c r="A186" s="6">
        <f>IF($BJ186="","",INDEX(原始資料!$A$2:$A$501,$BJ186))</f>
        <v/>
      </c>
      <c r="B186" s="6">
        <f>IF(OR($BJ186="",1&gt;設定!$B$3),"",IF(INDEX(原始資料!D$2:D$501,$BJ186)="","",INDEX(原始資料!D$2:D$501,$BJ186)))</f>
        <v/>
      </c>
      <c r="C186" s="6">
        <f>IF(OR($BJ186="",2&gt;設定!$B$3),"",IF(INDEX(原始資料!E$2:E$501,$BJ186)="","",INDEX(原始資料!E$2:E$501,$BJ186)))</f>
        <v/>
      </c>
      <c r="D186" s="6">
        <f>IF(OR($BJ186="",3&gt;設定!$B$3),"",IF(INDEX(原始資料!F$2:F$501,$BJ186)="","",INDEX(原始資料!F$2:F$501,$BJ186)))</f>
        <v/>
      </c>
      <c r="E186" s="6">
        <f>IF(OR($BJ186="",4&gt;設定!$B$3),"",IF(INDEX(原始資料!G$2:G$501,$BJ186)="","",INDEX(原始資料!G$2:G$501,$BJ186)))</f>
        <v/>
      </c>
      <c r="F186" s="6">
        <f>IF(OR($BJ186="",5&gt;設定!$B$3),"",IF(INDEX(原始資料!H$2:H$501,$BJ186)="","",INDEX(原始資料!H$2:H$501,$BJ186)))</f>
        <v/>
      </c>
      <c r="G186" s="6">
        <f>IF(OR($BJ186="",6&gt;設定!$B$3),"",IF(INDEX(原始資料!I$2:I$501,$BJ186)="","",INDEX(原始資料!I$2:I$501,$BJ186)))</f>
        <v/>
      </c>
      <c r="H186" s="6">
        <f>IF(OR($BJ186="",7&gt;設定!$B$3),"",IF(INDEX(原始資料!J$2:J$501,$BJ186)="","",INDEX(原始資料!J$2:J$501,$BJ186)))</f>
        <v/>
      </c>
      <c r="I186" s="6">
        <f>IF(OR($BJ186="",8&gt;設定!$B$3),"",IF(INDEX(原始資料!K$2:K$501,$BJ186)="","",INDEX(原始資料!K$2:K$501,$BJ186)))</f>
        <v/>
      </c>
      <c r="J186" s="6">
        <f>IF(OR($BJ186="",9&gt;設定!$B$3),"",IF(INDEX(原始資料!L$2:L$501,$BJ186)="","",INDEX(原始資料!L$2:L$501,$BJ186)))</f>
        <v/>
      </c>
      <c r="K186" s="6">
        <f>IF(OR($BJ186="",10&gt;設定!$B$3),"",IF(INDEX(原始資料!M$2:M$501,$BJ186)="","",INDEX(原始資料!M$2:M$501,$BJ186)))</f>
        <v/>
      </c>
      <c r="L186" s="6">
        <f>IF(OR($BJ186="",11&gt;設定!$B$3),"",IF(INDEX(原始資料!N$2:N$501,$BJ186)="","",INDEX(原始資料!N$2:N$501,$BJ186)))</f>
        <v/>
      </c>
      <c r="M186" s="6">
        <f>IF(OR($BJ186="",12&gt;設定!$B$3),"",IF(INDEX(原始資料!O$2:O$501,$BJ186)="","",INDEX(原始資料!O$2:O$501,$BJ186)))</f>
        <v/>
      </c>
      <c r="N186" s="6">
        <f>IF(OR($BJ186="",13&gt;設定!$B$3),"",IF(INDEX(原始資料!P$2:P$501,$BJ186)="","",INDEX(原始資料!P$2:P$501,$BJ186)))</f>
        <v/>
      </c>
      <c r="O186" s="6">
        <f>IF(OR($BJ186="",14&gt;設定!$B$3),"",IF(INDEX(原始資料!Q$2:Q$501,$BJ186)="","",INDEX(原始資料!Q$2:Q$501,$BJ186)))</f>
        <v/>
      </c>
      <c r="P186" s="6">
        <f>IF(OR($BJ186="",15&gt;設定!$B$3),"",IF(INDEX(原始資料!R$2:R$501,$BJ186)="","",INDEX(原始資料!R$2:R$501,$BJ186)))</f>
        <v/>
      </c>
      <c r="Q186" s="6">
        <f>IF(OR($BJ186="",16&gt;設定!$B$3),"",IF(INDEX(原始資料!S$2:S$501,$BJ186)="","",INDEX(原始資料!S$2:S$501,$BJ186)))</f>
        <v/>
      </c>
      <c r="R186" s="6">
        <f>IF(OR($BJ186="",17&gt;設定!$B$3),"",IF(INDEX(原始資料!T$2:T$501,$BJ186)="","",INDEX(原始資料!T$2:T$501,$BJ186)))</f>
        <v/>
      </c>
      <c r="S186" s="6">
        <f>IF(OR($BJ186="",18&gt;設定!$B$3),"",IF(INDEX(原始資料!U$2:U$501,$BJ186)="","",INDEX(原始資料!U$2:U$501,$BJ186)))</f>
        <v/>
      </c>
      <c r="T186" s="6">
        <f>IF(OR($BJ186="",19&gt;設定!$B$3),"",IF(INDEX(原始資料!V$2:V$501,$BJ186)="","",INDEX(原始資料!V$2:V$501,$BJ186)))</f>
        <v/>
      </c>
      <c r="U186" s="6">
        <f>IF(OR($BJ186="",20&gt;設定!$B$3),"",IF(INDEX(原始資料!W$2:W$501,$BJ186)="","",INDEX(原始資料!W$2:W$501,$BJ186)))</f>
        <v/>
      </c>
      <c r="V186" s="6">
        <f>IF(OR($BJ186="",21&gt;設定!$B$3),"",IF(INDEX(原始資料!X$2:X$501,$BJ186)="","",INDEX(原始資料!X$2:X$501,$BJ186)))</f>
        <v/>
      </c>
      <c r="W186" s="6">
        <f>IF(OR($BJ186="",22&gt;設定!$B$3),"",IF(INDEX(原始資料!Y$2:Y$501,$BJ186)="","",INDEX(原始資料!Y$2:Y$501,$BJ186)))</f>
        <v/>
      </c>
      <c r="X186" s="6">
        <f>IF(OR($BJ186="",23&gt;設定!$B$3),"",IF(INDEX(原始資料!Z$2:Z$501,$BJ186)="","",INDEX(原始資料!Z$2:Z$501,$BJ186)))</f>
        <v/>
      </c>
      <c r="Y186" s="6">
        <f>IF(OR($BJ186="",24&gt;設定!$B$3),"",IF(INDEX(原始資料!AA$2:AA$501,$BJ186)="","",INDEX(原始資料!AA$2:AA$501,$BJ186)))</f>
        <v/>
      </c>
      <c r="Z186" s="6">
        <f>IF(OR($BJ186="",25&gt;設定!$B$3),"",IF(INDEX(原始資料!AB$2:AB$501,$BJ186)="","",INDEX(原始資料!AB$2:AB$501,$BJ186)))</f>
        <v/>
      </c>
      <c r="AA186" s="6">
        <f>IF(OR($BJ186="",26&gt;設定!$B$3),"",IF(INDEX(原始資料!AC$2:AC$501,$BJ186)="","",INDEX(原始資料!AC$2:AC$501,$BJ186)))</f>
        <v/>
      </c>
      <c r="AB186" s="6">
        <f>IF(OR($BJ186="",27&gt;設定!$B$3),"",IF(INDEX(原始資料!AD$2:AD$501,$BJ186)="","",INDEX(原始資料!AD$2:AD$501,$BJ186)))</f>
        <v/>
      </c>
      <c r="AC186" s="6">
        <f>IF(OR($BJ186="",28&gt;設定!$B$3),"",IF(INDEX(原始資料!AE$2:AE$501,$BJ186)="","",INDEX(原始資料!AE$2:AE$501,$BJ186)))</f>
        <v/>
      </c>
      <c r="AD186" s="6">
        <f>IF(OR($BJ186="",29&gt;設定!$B$3),"",IF(INDEX(原始資料!AF$2:AF$501,$BJ186)="","",INDEX(原始資料!AF$2:AF$501,$BJ186)))</f>
        <v/>
      </c>
      <c r="AE186" s="6">
        <f>IF(OR($BJ186="",30&gt;設定!$B$3),"",IF(INDEX(原始資料!AG$2:AG$501,$BJ186)="","",INDEX(原始資料!AG$2:AG$501,$BJ186)))</f>
        <v/>
      </c>
      <c r="AF186" s="6">
        <f>IF(OR($BJ186="",31&gt;設定!$B$3),"",IF(INDEX(原始資料!AH$2:AH$501,$BJ186)="","",INDEX(原始資料!AH$2:AH$501,$BJ186)))</f>
        <v/>
      </c>
      <c r="AG186" s="6">
        <f>IF(OR($BJ186="",32&gt;設定!$B$3),"",IF(INDEX(原始資料!AI$2:AI$501,$BJ186)="","",INDEX(原始資料!AI$2:AI$501,$BJ186)))</f>
        <v/>
      </c>
      <c r="AH186" s="6">
        <f>IF(OR($BJ186="",33&gt;設定!$B$3),"",IF(INDEX(原始資料!AJ$2:AJ$501,$BJ186)="","",INDEX(原始資料!AJ$2:AJ$501,$BJ186)))</f>
        <v/>
      </c>
      <c r="AI186" s="6">
        <f>IF(OR($BJ186="",34&gt;設定!$B$3),"",IF(INDEX(原始資料!AK$2:AK$501,$BJ186)="","",INDEX(原始資料!AK$2:AK$501,$BJ186)))</f>
        <v/>
      </c>
      <c r="AJ186" s="6">
        <f>IF(OR($BJ186="",35&gt;設定!$B$3),"",IF(INDEX(原始資料!AL$2:AL$501,$BJ186)="","",INDEX(原始資料!AL$2:AL$501,$BJ186)))</f>
        <v/>
      </c>
      <c r="AK186" s="6">
        <f>IF(OR($BJ186="",36&gt;設定!$B$3),"",IF(INDEX(原始資料!AM$2:AM$501,$BJ186)="","",INDEX(原始資料!AM$2:AM$501,$BJ186)))</f>
        <v/>
      </c>
      <c r="AL186" s="6">
        <f>IF(OR($BJ186="",37&gt;設定!$B$3),"",IF(INDEX(原始資料!AN$2:AN$501,$BJ186)="","",INDEX(原始資料!AN$2:AN$501,$BJ186)))</f>
        <v/>
      </c>
      <c r="AM186" s="6">
        <f>IF(OR($BJ186="",38&gt;設定!$B$3),"",IF(INDEX(原始資料!AO$2:AO$501,$BJ186)="","",INDEX(原始資料!AO$2:AO$501,$BJ186)))</f>
        <v/>
      </c>
      <c r="AN186" s="6">
        <f>IF(OR($BJ186="",39&gt;設定!$B$3),"",IF(INDEX(原始資料!AP$2:AP$501,$BJ186)="","",INDEX(原始資料!AP$2:AP$501,$BJ186)))</f>
        <v/>
      </c>
      <c r="AO186" s="6">
        <f>IF(OR($BJ186="",40&gt;設定!$B$3),"",IF(INDEX(原始資料!AQ$2:AQ$501,$BJ186)="","",INDEX(原始資料!AQ$2:AQ$501,$BJ186)))</f>
        <v/>
      </c>
      <c r="AP186" s="6">
        <f>IF(OR($BJ186="",41&gt;設定!$B$3),"",IF(INDEX(原始資料!AR$2:AR$501,$BJ186)="","",INDEX(原始資料!AR$2:AR$501,$BJ186)))</f>
        <v/>
      </c>
      <c r="AQ186" s="6">
        <f>IF(OR($BJ186="",42&gt;設定!$B$3),"",IF(INDEX(原始資料!AS$2:AS$501,$BJ186)="","",INDEX(原始資料!AS$2:AS$501,$BJ186)))</f>
        <v/>
      </c>
      <c r="AR186" s="6">
        <f>IF(OR($BJ186="",43&gt;設定!$B$3),"",IF(INDEX(原始資料!AT$2:AT$501,$BJ186)="","",INDEX(原始資料!AT$2:AT$501,$BJ186)))</f>
        <v/>
      </c>
      <c r="AS186" s="6">
        <f>IF(OR($BJ186="",44&gt;設定!$B$3),"",IF(INDEX(原始資料!AU$2:AU$501,$BJ186)="","",INDEX(原始資料!AU$2:AU$501,$BJ186)))</f>
        <v/>
      </c>
      <c r="AT186" s="6">
        <f>IF(OR($BJ186="",45&gt;設定!$B$3),"",IF(INDEX(原始資料!AV$2:AV$501,$BJ186)="","",INDEX(原始資料!AV$2:AV$501,$BJ186)))</f>
        <v/>
      </c>
      <c r="AU186" s="6">
        <f>IF(OR($BJ186="",46&gt;設定!$B$3),"",IF(INDEX(原始資料!AW$2:AW$501,$BJ186)="","",INDEX(原始資料!AW$2:AW$501,$BJ186)))</f>
        <v/>
      </c>
      <c r="AV186" s="6">
        <f>IF(OR($BJ186="",47&gt;設定!$B$3),"",IF(INDEX(原始資料!AX$2:AX$501,$BJ186)="","",INDEX(原始資料!AX$2:AX$501,$BJ186)))</f>
        <v/>
      </c>
      <c r="AW186" s="6">
        <f>IF(OR($BJ186="",48&gt;設定!$B$3),"",IF(INDEX(原始資料!AY$2:AY$501,$BJ186)="","",INDEX(原始資料!AY$2:AY$501,$BJ186)))</f>
        <v/>
      </c>
      <c r="AX186" s="6">
        <f>IF(OR($BJ186="",49&gt;設定!$B$3),"",IF(INDEX(原始資料!AZ$2:AZ$501,$BJ186)="","",INDEX(原始資料!AZ$2:AZ$501,$BJ186)))</f>
        <v/>
      </c>
      <c r="AY186" s="6">
        <f>IF(OR($BJ186="",50&gt;設定!$B$3),"",IF(INDEX(原始資料!BA$2:BA$501,$BJ186)="","",INDEX(原始資料!BA$2:BA$501,$BJ186)))</f>
        <v/>
      </c>
      <c r="AZ186" s="6">
        <f>IF(OR($BJ186="",51&gt;設定!$B$3),"",IF(INDEX(原始資料!BB$2:BB$501,$BJ186)="","",INDEX(原始資料!BB$2:BB$501,$BJ186)))</f>
        <v/>
      </c>
      <c r="BA186" s="6">
        <f>IF(OR($BJ186="",52&gt;設定!$B$3),"",IF(INDEX(原始資料!BC$2:BC$501,$BJ186)="","",INDEX(原始資料!BC$2:BC$501,$BJ186)))</f>
        <v/>
      </c>
      <c r="BB186" s="6">
        <f>IF(OR($BJ186="",53&gt;設定!$B$3),"",IF(INDEX(原始資料!BD$2:BD$501,$BJ186)="","",INDEX(原始資料!BD$2:BD$501,$BJ186)))</f>
        <v/>
      </c>
      <c r="BC186" s="6">
        <f>IF(OR($BJ186="",54&gt;設定!$B$3),"",IF(INDEX(原始資料!BE$2:BE$501,$BJ186)="","",INDEX(原始資料!BE$2:BE$501,$BJ186)))</f>
        <v/>
      </c>
      <c r="BD186" s="6">
        <f>IF(OR($BJ186="",55&gt;設定!$B$3),"",IF(INDEX(原始資料!BF$2:BF$501,$BJ186)="","",INDEX(原始資料!BF$2:BF$501,$BJ186)))</f>
        <v/>
      </c>
      <c r="BE186" s="6">
        <f>IF(OR($BJ186="",56&gt;設定!$B$3),"",IF(INDEX(原始資料!BG$2:BG$501,$BJ186)="","",INDEX(原始資料!BG$2:BG$501,$BJ186)))</f>
        <v/>
      </c>
      <c r="BF186" s="6">
        <f>IF(OR($BJ186="",57&gt;設定!$B$3),"",IF(INDEX(原始資料!BH$2:BH$501,$BJ186)="","",INDEX(原始資料!BH$2:BH$501,$BJ186)))</f>
        <v/>
      </c>
      <c r="BG186" s="6">
        <f>IF(OR($BJ186="",58&gt;設定!$B$3),"",IF(INDEX(原始資料!BI$2:BI$501,$BJ186)="","",INDEX(原始資料!BI$2:BI$501,$BJ186)))</f>
        <v/>
      </c>
      <c r="BH186" s="6">
        <f>IF(OR($BJ186="",59&gt;設定!$B$3),"",IF(INDEX(原始資料!BJ$2:BJ$501,$BJ186)="","",INDEX(原始資料!BJ$2:BJ$501,$BJ186)))</f>
        <v/>
      </c>
      <c r="BI186" s="6">
        <f>IF(OR($BJ186="",60&gt;設定!$B$3),"",IF(INDEX(原始資料!BK$2:BK$501,$BJ186)="","",INDEX(原始資料!BK$2:BK$501,$BJ186)))</f>
        <v/>
      </c>
      <c r="BJ186" s="6">
        <f>IFERROR(MATCH(ROW()-1,判定!$H$2:$H$501,0),"")</f>
        <v/>
      </c>
    </row>
    <row r="187">
      <c r="A187" s="6">
        <f>IF($BJ187="","",INDEX(原始資料!$A$2:$A$501,$BJ187))</f>
        <v/>
      </c>
      <c r="B187" s="6">
        <f>IF(OR($BJ187="",1&gt;設定!$B$3),"",IF(INDEX(原始資料!D$2:D$501,$BJ187)="","",INDEX(原始資料!D$2:D$501,$BJ187)))</f>
        <v/>
      </c>
      <c r="C187" s="6">
        <f>IF(OR($BJ187="",2&gt;設定!$B$3),"",IF(INDEX(原始資料!E$2:E$501,$BJ187)="","",INDEX(原始資料!E$2:E$501,$BJ187)))</f>
        <v/>
      </c>
      <c r="D187" s="6">
        <f>IF(OR($BJ187="",3&gt;設定!$B$3),"",IF(INDEX(原始資料!F$2:F$501,$BJ187)="","",INDEX(原始資料!F$2:F$501,$BJ187)))</f>
        <v/>
      </c>
      <c r="E187" s="6">
        <f>IF(OR($BJ187="",4&gt;設定!$B$3),"",IF(INDEX(原始資料!G$2:G$501,$BJ187)="","",INDEX(原始資料!G$2:G$501,$BJ187)))</f>
        <v/>
      </c>
      <c r="F187" s="6">
        <f>IF(OR($BJ187="",5&gt;設定!$B$3),"",IF(INDEX(原始資料!H$2:H$501,$BJ187)="","",INDEX(原始資料!H$2:H$501,$BJ187)))</f>
        <v/>
      </c>
      <c r="G187" s="6">
        <f>IF(OR($BJ187="",6&gt;設定!$B$3),"",IF(INDEX(原始資料!I$2:I$501,$BJ187)="","",INDEX(原始資料!I$2:I$501,$BJ187)))</f>
        <v/>
      </c>
      <c r="H187" s="6">
        <f>IF(OR($BJ187="",7&gt;設定!$B$3),"",IF(INDEX(原始資料!J$2:J$501,$BJ187)="","",INDEX(原始資料!J$2:J$501,$BJ187)))</f>
        <v/>
      </c>
      <c r="I187" s="6">
        <f>IF(OR($BJ187="",8&gt;設定!$B$3),"",IF(INDEX(原始資料!K$2:K$501,$BJ187)="","",INDEX(原始資料!K$2:K$501,$BJ187)))</f>
        <v/>
      </c>
      <c r="J187" s="6">
        <f>IF(OR($BJ187="",9&gt;設定!$B$3),"",IF(INDEX(原始資料!L$2:L$501,$BJ187)="","",INDEX(原始資料!L$2:L$501,$BJ187)))</f>
        <v/>
      </c>
      <c r="K187" s="6">
        <f>IF(OR($BJ187="",10&gt;設定!$B$3),"",IF(INDEX(原始資料!M$2:M$501,$BJ187)="","",INDEX(原始資料!M$2:M$501,$BJ187)))</f>
        <v/>
      </c>
      <c r="L187" s="6">
        <f>IF(OR($BJ187="",11&gt;設定!$B$3),"",IF(INDEX(原始資料!N$2:N$501,$BJ187)="","",INDEX(原始資料!N$2:N$501,$BJ187)))</f>
        <v/>
      </c>
      <c r="M187" s="6">
        <f>IF(OR($BJ187="",12&gt;設定!$B$3),"",IF(INDEX(原始資料!O$2:O$501,$BJ187)="","",INDEX(原始資料!O$2:O$501,$BJ187)))</f>
        <v/>
      </c>
      <c r="N187" s="6">
        <f>IF(OR($BJ187="",13&gt;設定!$B$3),"",IF(INDEX(原始資料!P$2:P$501,$BJ187)="","",INDEX(原始資料!P$2:P$501,$BJ187)))</f>
        <v/>
      </c>
      <c r="O187" s="6">
        <f>IF(OR($BJ187="",14&gt;設定!$B$3),"",IF(INDEX(原始資料!Q$2:Q$501,$BJ187)="","",INDEX(原始資料!Q$2:Q$501,$BJ187)))</f>
        <v/>
      </c>
      <c r="P187" s="6">
        <f>IF(OR($BJ187="",15&gt;設定!$B$3),"",IF(INDEX(原始資料!R$2:R$501,$BJ187)="","",INDEX(原始資料!R$2:R$501,$BJ187)))</f>
        <v/>
      </c>
      <c r="Q187" s="6">
        <f>IF(OR($BJ187="",16&gt;設定!$B$3),"",IF(INDEX(原始資料!S$2:S$501,$BJ187)="","",INDEX(原始資料!S$2:S$501,$BJ187)))</f>
        <v/>
      </c>
      <c r="R187" s="6">
        <f>IF(OR($BJ187="",17&gt;設定!$B$3),"",IF(INDEX(原始資料!T$2:T$501,$BJ187)="","",INDEX(原始資料!T$2:T$501,$BJ187)))</f>
        <v/>
      </c>
      <c r="S187" s="6">
        <f>IF(OR($BJ187="",18&gt;設定!$B$3),"",IF(INDEX(原始資料!U$2:U$501,$BJ187)="","",INDEX(原始資料!U$2:U$501,$BJ187)))</f>
        <v/>
      </c>
      <c r="T187" s="6">
        <f>IF(OR($BJ187="",19&gt;設定!$B$3),"",IF(INDEX(原始資料!V$2:V$501,$BJ187)="","",INDEX(原始資料!V$2:V$501,$BJ187)))</f>
        <v/>
      </c>
      <c r="U187" s="6">
        <f>IF(OR($BJ187="",20&gt;設定!$B$3),"",IF(INDEX(原始資料!W$2:W$501,$BJ187)="","",INDEX(原始資料!W$2:W$501,$BJ187)))</f>
        <v/>
      </c>
      <c r="V187" s="6">
        <f>IF(OR($BJ187="",21&gt;設定!$B$3),"",IF(INDEX(原始資料!X$2:X$501,$BJ187)="","",INDEX(原始資料!X$2:X$501,$BJ187)))</f>
        <v/>
      </c>
      <c r="W187" s="6">
        <f>IF(OR($BJ187="",22&gt;設定!$B$3),"",IF(INDEX(原始資料!Y$2:Y$501,$BJ187)="","",INDEX(原始資料!Y$2:Y$501,$BJ187)))</f>
        <v/>
      </c>
      <c r="X187" s="6">
        <f>IF(OR($BJ187="",23&gt;設定!$B$3),"",IF(INDEX(原始資料!Z$2:Z$501,$BJ187)="","",INDEX(原始資料!Z$2:Z$501,$BJ187)))</f>
        <v/>
      </c>
      <c r="Y187" s="6">
        <f>IF(OR($BJ187="",24&gt;設定!$B$3),"",IF(INDEX(原始資料!AA$2:AA$501,$BJ187)="","",INDEX(原始資料!AA$2:AA$501,$BJ187)))</f>
        <v/>
      </c>
      <c r="Z187" s="6">
        <f>IF(OR($BJ187="",25&gt;設定!$B$3),"",IF(INDEX(原始資料!AB$2:AB$501,$BJ187)="","",INDEX(原始資料!AB$2:AB$501,$BJ187)))</f>
        <v/>
      </c>
      <c r="AA187" s="6">
        <f>IF(OR($BJ187="",26&gt;設定!$B$3),"",IF(INDEX(原始資料!AC$2:AC$501,$BJ187)="","",INDEX(原始資料!AC$2:AC$501,$BJ187)))</f>
        <v/>
      </c>
      <c r="AB187" s="6">
        <f>IF(OR($BJ187="",27&gt;設定!$B$3),"",IF(INDEX(原始資料!AD$2:AD$501,$BJ187)="","",INDEX(原始資料!AD$2:AD$501,$BJ187)))</f>
        <v/>
      </c>
      <c r="AC187" s="6">
        <f>IF(OR($BJ187="",28&gt;設定!$B$3),"",IF(INDEX(原始資料!AE$2:AE$501,$BJ187)="","",INDEX(原始資料!AE$2:AE$501,$BJ187)))</f>
        <v/>
      </c>
      <c r="AD187" s="6">
        <f>IF(OR($BJ187="",29&gt;設定!$B$3),"",IF(INDEX(原始資料!AF$2:AF$501,$BJ187)="","",INDEX(原始資料!AF$2:AF$501,$BJ187)))</f>
        <v/>
      </c>
      <c r="AE187" s="6">
        <f>IF(OR($BJ187="",30&gt;設定!$B$3),"",IF(INDEX(原始資料!AG$2:AG$501,$BJ187)="","",INDEX(原始資料!AG$2:AG$501,$BJ187)))</f>
        <v/>
      </c>
      <c r="AF187" s="6">
        <f>IF(OR($BJ187="",31&gt;設定!$B$3),"",IF(INDEX(原始資料!AH$2:AH$501,$BJ187)="","",INDEX(原始資料!AH$2:AH$501,$BJ187)))</f>
        <v/>
      </c>
      <c r="AG187" s="6">
        <f>IF(OR($BJ187="",32&gt;設定!$B$3),"",IF(INDEX(原始資料!AI$2:AI$501,$BJ187)="","",INDEX(原始資料!AI$2:AI$501,$BJ187)))</f>
        <v/>
      </c>
      <c r="AH187" s="6">
        <f>IF(OR($BJ187="",33&gt;設定!$B$3),"",IF(INDEX(原始資料!AJ$2:AJ$501,$BJ187)="","",INDEX(原始資料!AJ$2:AJ$501,$BJ187)))</f>
        <v/>
      </c>
      <c r="AI187" s="6">
        <f>IF(OR($BJ187="",34&gt;設定!$B$3),"",IF(INDEX(原始資料!AK$2:AK$501,$BJ187)="","",INDEX(原始資料!AK$2:AK$501,$BJ187)))</f>
        <v/>
      </c>
      <c r="AJ187" s="6">
        <f>IF(OR($BJ187="",35&gt;設定!$B$3),"",IF(INDEX(原始資料!AL$2:AL$501,$BJ187)="","",INDEX(原始資料!AL$2:AL$501,$BJ187)))</f>
        <v/>
      </c>
      <c r="AK187" s="6">
        <f>IF(OR($BJ187="",36&gt;設定!$B$3),"",IF(INDEX(原始資料!AM$2:AM$501,$BJ187)="","",INDEX(原始資料!AM$2:AM$501,$BJ187)))</f>
        <v/>
      </c>
      <c r="AL187" s="6">
        <f>IF(OR($BJ187="",37&gt;設定!$B$3),"",IF(INDEX(原始資料!AN$2:AN$501,$BJ187)="","",INDEX(原始資料!AN$2:AN$501,$BJ187)))</f>
        <v/>
      </c>
      <c r="AM187" s="6">
        <f>IF(OR($BJ187="",38&gt;設定!$B$3),"",IF(INDEX(原始資料!AO$2:AO$501,$BJ187)="","",INDEX(原始資料!AO$2:AO$501,$BJ187)))</f>
        <v/>
      </c>
      <c r="AN187" s="6">
        <f>IF(OR($BJ187="",39&gt;設定!$B$3),"",IF(INDEX(原始資料!AP$2:AP$501,$BJ187)="","",INDEX(原始資料!AP$2:AP$501,$BJ187)))</f>
        <v/>
      </c>
      <c r="AO187" s="6">
        <f>IF(OR($BJ187="",40&gt;設定!$B$3),"",IF(INDEX(原始資料!AQ$2:AQ$501,$BJ187)="","",INDEX(原始資料!AQ$2:AQ$501,$BJ187)))</f>
        <v/>
      </c>
      <c r="AP187" s="6">
        <f>IF(OR($BJ187="",41&gt;設定!$B$3),"",IF(INDEX(原始資料!AR$2:AR$501,$BJ187)="","",INDEX(原始資料!AR$2:AR$501,$BJ187)))</f>
        <v/>
      </c>
      <c r="AQ187" s="6">
        <f>IF(OR($BJ187="",42&gt;設定!$B$3),"",IF(INDEX(原始資料!AS$2:AS$501,$BJ187)="","",INDEX(原始資料!AS$2:AS$501,$BJ187)))</f>
        <v/>
      </c>
      <c r="AR187" s="6">
        <f>IF(OR($BJ187="",43&gt;設定!$B$3),"",IF(INDEX(原始資料!AT$2:AT$501,$BJ187)="","",INDEX(原始資料!AT$2:AT$501,$BJ187)))</f>
        <v/>
      </c>
      <c r="AS187" s="6">
        <f>IF(OR($BJ187="",44&gt;設定!$B$3),"",IF(INDEX(原始資料!AU$2:AU$501,$BJ187)="","",INDEX(原始資料!AU$2:AU$501,$BJ187)))</f>
        <v/>
      </c>
      <c r="AT187" s="6">
        <f>IF(OR($BJ187="",45&gt;設定!$B$3),"",IF(INDEX(原始資料!AV$2:AV$501,$BJ187)="","",INDEX(原始資料!AV$2:AV$501,$BJ187)))</f>
        <v/>
      </c>
      <c r="AU187" s="6">
        <f>IF(OR($BJ187="",46&gt;設定!$B$3),"",IF(INDEX(原始資料!AW$2:AW$501,$BJ187)="","",INDEX(原始資料!AW$2:AW$501,$BJ187)))</f>
        <v/>
      </c>
      <c r="AV187" s="6">
        <f>IF(OR($BJ187="",47&gt;設定!$B$3),"",IF(INDEX(原始資料!AX$2:AX$501,$BJ187)="","",INDEX(原始資料!AX$2:AX$501,$BJ187)))</f>
        <v/>
      </c>
      <c r="AW187" s="6">
        <f>IF(OR($BJ187="",48&gt;設定!$B$3),"",IF(INDEX(原始資料!AY$2:AY$501,$BJ187)="","",INDEX(原始資料!AY$2:AY$501,$BJ187)))</f>
        <v/>
      </c>
      <c r="AX187" s="6">
        <f>IF(OR($BJ187="",49&gt;設定!$B$3),"",IF(INDEX(原始資料!AZ$2:AZ$501,$BJ187)="","",INDEX(原始資料!AZ$2:AZ$501,$BJ187)))</f>
        <v/>
      </c>
      <c r="AY187" s="6">
        <f>IF(OR($BJ187="",50&gt;設定!$B$3),"",IF(INDEX(原始資料!BA$2:BA$501,$BJ187)="","",INDEX(原始資料!BA$2:BA$501,$BJ187)))</f>
        <v/>
      </c>
      <c r="AZ187" s="6">
        <f>IF(OR($BJ187="",51&gt;設定!$B$3),"",IF(INDEX(原始資料!BB$2:BB$501,$BJ187)="","",INDEX(原始資料!BB$2:BB$501,$BJ187)))</f>
        <v/>
      </c>
      <c r="BA187" s="6">
        <f>IF(OR($BJ187="",52&gt;設定!$B$3),"",IF(INDEX(原始資料!BC$2:BC$501,$BJ187)="","",INDEX(原始資料!BC$2:BC$501,$BJ187)))</f>
        <v/>
      </c>
      <c r="BB187" s="6">
        <f>IF(OR($BJ187="",53&gt;設定!$B$3),"",IF(INDEX(原始資料!BD$2:BD$501,$BJ187)="","",INDEX(原始資料!BD$2:BD$501,$BJ187)))</f>
        <v/>
      </c>
      <c r="BC187" s="6">
        <f>IF(OR($BJ187="",54&gt;設定!$B$3),"",IF(INDEX(原始資料!BE$2:BE$501,$BJ187)="","",INDEX(原始資料!BE$2:BE$501,$BJ187)))</f>
        <v/>
      </c>
      <c r="BD187" s="6">
        <f>IF(OR($BJ187="",55&gt;設定!$B$3),"",IF(INDEX(原始資料!BF$2:BF$501,$BJ187)="","",INDEX(原始資料!BF$2:BF$501,$BJ187)))</f>
        <v/>
      </c>
      <c r="BE187" s="6">
        <f>IF(OR($BJ187="",56&gt;設定!$B$3),"",IF(INDEX(原始資料!BG$2:BG$501,$BJ187)="","",INDEX(原始資料!BG$2:BG$501,$BJ187)))</f>
        <v/>
      </c>
      <c r="BF187" s="6">
        <f>IF(OR($BJ187="",57&gt;設定!$B$3),"",IF(INDEX(原始資料!BH$2:BH$501,$BJ187)="","",INDEX(原始資料!BH$2:BH$501,$BJ187)))</f>
        <v/>
      </c>
      <c r="BG187" s="6">
        <f>IF(OR($BJ187="",58&gt;設定!$B$3),"",IF(INDEX(原始資料!BI$2:BI$501,$BJ187)="","",INDEX(原始資料!BI$2:BI$501,$BJ187)))</f>
        <v/>
      </c>
      <c r="BH187" s="6">
        <f>IF(OR($BJ187="",59&gt;設定!$B$3),"",IF(INDEX(原始資料!BJ$2:BJ$501,$BJ187)="","",INDEX(原始資料!BJ$2:BJ$501,$BJ187)))</f>
        <v/>
      </c>
      <c r="BI187" s="6">
        <f>IF(OR($BJ187="",60&gt;設定!$B$3),"",IF(INDEX(原始資料!BK$2:BK$501,$BJ187)="","",INDEX(原始資料!BK$2:BK$501,$BJ187)))</f>
        <v/>
      </c>
      <c r="BJ187" s="6">
        <f>IFERROR(MATCH(ROW()-1,判定!$H$2:$H$501,0),"")</f>
        <v/>
      </c>
    </row>
    <row r="188">
      <c r="A188" s="6">
        <f>IF($BJ188="","",INDEX(原始資料!$A$2:$A$501,$BJ188))</f>
        <v/>
      </c>
      <c r="B188" s="6">
        <f>IF(OR($BJ188="",1&gt;設定!$B$3),"",IF(INDEX(原始資料!D$2:D$501,$BJ188)="","",INDEX(原始資料!D$2:D$501,$BJ188)))</f>
        <v/>
      </c>
      <c r="C188" s="6">
        <f>IF(OR($BJ188="",2&gt;設定!$B$3),"",IF(INDEX(原始資料!E$2:E$501,$BJ188)="","",INDEX(原始資料!E$2:E$501,$BJ188)))</f>
        <v/>
      </c>
      <c r="D188" s="6">
        <f>IF(OR($BJ188="",3&gt;設定!$B$3),"",IF(INDEX(原始資料!F$2:F$501,$BJ188)="","",INDEX(原始資料!F$2:F$501,$BJ188)))</f>
        <v/>
      </c>
      <c r="E188" s="6">
        <f>IF(OR($BJ188="",4&gt;設定!$B$3),"",IF(INDEX(原始資料!G$2:G$501,$BJ188)="","",INDEX(原始資料!G$2:G$501,$BJ188)))</f>
        <v/>
      </c>
      <c r="F188" s="6">
        <f>IF(OR($BJ188="",5&gt;設定!$B$3),"",IF(INDEX(原始資料!H$2:H$501,$BJ188)="","",INDEX(原始資料!H$2:H$501,$BJ188)))</f>
        <v/>
      </c>
      <c r="G188" s="6">
        <f>IF(OR($BJ188="",6&gt;設定!$B$3),"",IF(INDEX(原始資料!I$2:I$501,$BJ188)="","",INDEX(原始資料!I$2:I$501,$BJ188)))</f>
        <v/>
      </c>
      <c r="H188" s="6">
        <f>IF(OR($BJ188="",7&gt;設定!$B$3),"",IF(INDEX(原始資料!J$2:J$501,$BJ188)="","",INDEX(原始資料!J$2:J$501,$BJ188)))</f>
        <v/>
      </c>
      <c r="I188" s="6">
        <f>IF(OR($BJ188="",8&gt;設定!$B$3),"",IF(INDEX(原始資料!K$2:K$501,$BJ188)="","",INDEX(原始資料!K$2:K$501,$BJ188)))</f>
        <v/>
      </c>
      <c r="J188" s="6">
        <f>IF(OR($BJ188="",9&gt;設定!$B$3),"",IF(INDEX(原始資料!L$2:L$501,$BJ188)="","",INDEX(原始資料!L$2:L$501,$BJ188)))</f>
        <v/>
      </c>
      <c r="K188" s="6">
        <f>IF(OR($BJ188="",10&gt;設定!$B$3),"",IF(INDEX(原始資料!M$2:M$501,$BJ188)="","",INDEX(原始資料!M$2:M$501,$BJ188)))</f>
        <v/>
      </c>
      <c r="L188" s="6">
        <f>IF(OR($BJ188="",11&gt;設定!$B$3),"",IF(INDEX(原始資料!N$2:N$501,$BJ188)="","",INDEX(原始資料!N$2:N$501,$BJ188)))</f>
        <v/>
      </c>
      <c r="M188" s="6">
        <f>IF(OR($BJ188="",12&gt;設定!$B$3),"",IF(INDEX(原始資料!O$2:O$501,$BJ188)="","",INDEX(原始資料!O$2:O$501,$BJ188)))</f>
        <v/>
      </c>
      <c r="N188" s="6">
        <f>IF(OR($BJ188="",13&gt;設定!$B$3),"",IF(INDEX(原始資料!P$2:P$501,$BJ188)="","",INDEX(原始資料!P$2:P$501,$BJ188)))</f>
        <v/>
      </c>
      <c r="O188" s="6">
        <f>IF(OR($BJ188="",14&gt;設定!$B$3),"",IF(INDEX(原始資料!Q$2:Q$501,$BJ188)="","",INDEX(原始資料!Q$2:Q$501,$BJ188)))</f>
        <v/>
      </c>
      <c r="P188" s="6">
        <f>IF(OR($BJ188="",15&gt;設定!$B$3),"",IF(INDEX(原始資料!R$2:R$501,$BJ188)="","",INDEX(原始資料!R$2:R$501,$BJ188)))</f>
        <v/>
      </c>
      <c r="Q188" s="6">
        <f>IF(OR($BJ188="",16&gt;設定!$B$3),"",IF(INDEX(原始資料!S$2:S$501,$BJ188)="","",INDEX(原始資料!S$2:S$501,$BJ188)))</f>
        <v/>
      </c>
      <c r="R188" s="6">
        <f>IF(OR($BJ188="",17&gt;設定!$B$3),"",IF(INDEX(原始資料!T$2:T$501,$BJ188)="","",INDEX(原始資料!T$2:T$501,$BJ188)))</f>
        <v/>
      </c>
      <c r="S188" s="6">
        <f>IF(OR($BJ188="",18&gt;設定!$B$3),"",IF(INDEX(原始資料!U$2:U$501,$BJ188)="","",INDEX(原始資料!U$2:U$501,$BJ188)))</f>
        <v/>
      </c>
      <c r="T188" s="6">
        <f>IF(OR($BJ188="",19&gt;設定!$B$3),"",IF(INDEX(原始資料!V$2:V$501,$BJ188)="","",INDEX(原始資料!V$2:V$501,$BJ188)))</f>
        <v/>
      </c>
      <c r="U188" s="6">
        <f>IF(OR($BJ188="",20&gt;設定!$B$3),"",IF(INDEX(原始資料!W$2:W$501,$BJ188)="","",INDEX(原始資料!W$2:W$501,$BJ188)))</f>
        <v/>
      </c>
      <c r="V188" s="6">
        <f>IF(OR($BJ188="",21&gt;設定!$B$3),"",IF(INDEX(原始資料!X$2:X$501,$BJ188)="","",INDEX(原始資料!X$2:X$501,$BJ188)))</f>
        <v/>
      </c>
      <c r="W188" s="6">
        <f>IF(OR($BJ188="",22&gt;設定!$B$3),"",IF(INDEX(原始資料!Y$2:Y$501,$BJ188)="","",INDEX(原始資料!Y$2:Y$501,$BJ188)))</f>
        <v/>
      </c>
      <c r="X188" s="6">
        <f>IF(OR($BJ188="",23&gt;設定!$B$3),"",IF(INDEX(原始資料!Z$2:Z$501,$BJ188)="","",INDEX(原始資料!Z$2:Z$501,$BJ188)))</f>
        <v/>
      </c>
      <c r="Y188" s="6">
        <f>IF(OR($BJ188="",24&gt;設定!$B$3),"",IF(INDEX(原始資料!AA$2:AA$501,$BJ188)="","",INDEX(原始資料!AA$2:AA$501,$BJ188)))</f>
        <v/>
      </c>
      <c r="Z188" s="6">
        <f>IF(OR($BJ188="",25&gt;設定!$B$3),"",IF(INDEX(原始資料!AB$2:AB$501,$BJ188)="","",INDEX(原始資料!AB$2:AB$501,$BJ188)))</f>
        <v/>
      </c>
      <c r="AA188" s="6">
        <f>IF(OR($BJ188="",26&gt;設定!$B$3),"",IF(INDEX(原始資料!AC$2:AC$501,$BJ188)="","",INDEX(原始資料!AC$2:AC$501,$BJ188)))</f>
        <v/>
      </c>
      <c r="AB188" s="6">
        <f>IF(OR($BJ188="",27&gt;設定!$B$3),"",IF(INDEX(原始資料!AD$2:AD$501,$BJ188)="","",INDEX(原始資料!AD$2:AD$501,$BJ188)))</f>
        <v/>
      </c>
      <c r="AC188" s="6">
        <f>IF(OR($BJ188="",28&gt;設定!$B$3),"",IF(INDEX(原始資料!AE$2:AE$501,$BJ188)="","",INDEX(原始資料!AE$2:AE$501,$BJ188)))</f>
        <v/>
      </c>
      <c r="AD188" s="6">
        <f>IF(OR($BJ188="",29&gt;設定!$B$3),"",IF(INDEX(原始資料!AF$2:AF$501,$BJ188)="","",INDEX(原始資料!AF$2:AF$501,$BJ188)))</f>
        <v/>
      </c>
      <c r="AE188" s="6">
        <f>IF(OR($BJ188="",30&gt;設定!$B$3),"",IF(INDEX(原始資料!AG$2:AG$501,$BJ188)="","",INDEX(原始資料!AG$2:AG$501,$BJ188)))</f>
        <v/>
      </c>
      <c r="AF188" s="6">
        <f>IF(OR($BJ188="",31&gt;設定!$B$3),"",IF(INDEX(原始資料!AH$2:AH$501,$BJ188)="","",INDEX(原始資料!AH$2:AH$501,$BJ188)))</f>
        <v/>
      </c>
      <c r="AG188" s="6">
        <f>IF(OR($BJ188="",32&gt;設定!$B$3),"",IF(INDEX(原始資料!AI$2:AI$501,$BJ188)="","",INDEX(原始資料!AI$2:AI$501,$BJ188)))</f>
        <v/>
      </c>
      <c r="AH188" s="6">
        <f>IF(OR($BJ188="",33&gt;設定!$B$3),"",IF(INDEX(原始資料!AJ$2:AJ$501,$BJ188)="","",INDEX(原始資料!AJ$2:AJ$501,$BJ188)))</f>
        <v/>
      </c>
      <c r="AI188" s="6">
        <f>IF(OR($BJ188="",34&gt;設定!$B$3),"",IF(INDEX(原始資料!AK$2:AK$501,$BJ188)="","",INDEX(原始資料!AK$2:AK$501,$BJ188)))</f>
        <v/>
      </c>
      <c r="AJ188" s="6">
        <f>IF(OR($BJ188="",35&gt;設定!$B$3),"",IF(INDEX(原始資料!AL$2:AL$501,$BJ188)="","",INDEX(原始資料!AL$2:AL$501,$BJ188)))</f>
        <v/>
      </c>
      <c r="AK188" s="6">
        <f>IF(OR($BJ188="",36&gt;設定!$B$3),"",IF(INDEX(原始資料!AM$2:AM$501,$BJ188)="","",INDEX(原始資料!AM$2:AM$501,$BJ188)))</f>
        <v/>
      </c>
      <c r="AL188" s="6">
        <f>IF(OR($BJ188="",37&gt;設定!$B$3),"",IF(INDEX(原始資料!AN$2:AN$501,$BJ188)="","",INDEX(原始資料!AN$2:AN$501,$BJ188)))</f>
        <v/>
      </c>
      <c r="AM188" s="6">
        <f>IF(OR($BJ188="",38&gt;設定!$B$3),"",IF(INDEX(原始資料!AO$2:AO$501,$BJ188)="","",INDEX(原始資料!AO$2:AO$501,$BJ188)))</f>
        <v/>
      </c>
      <c r="AN188" s="6">
        <f>IF(OR($BJ188="",39&gt;設定!$B$3),"",IF(INDEX(原始資料!AP$2:AP$501,$BJ188)="","",INDEX(原始資料!AP$2:AP$501,$BJ188)))</f>
        <v/>
      </c>
      <c r="AO188" s="6">
        <f>IF(OR($BJ188="",40&gt;設定!$B$3),"",IF(INDEX(原始資料!AQ$2:AQ$501,$BJ188)="","",INDEX(原始資料!AQ$2:AQ$501,$BJ188)))</f>
        <v/>
      </c>
      <c r="AP188" s="6">
        <f>IF(OR($BJ188="",41&gt;設定!$B$3),"",IF(INDEX(原始資料!AR$2:AR$501,$BJ188)="","",INDEX(原始資料!AR$2:AR$501,$BJ188)))</f>
        <v/>
      </c>
      <c r="AQ188" s="6">
        <f>IF(OR($BJ188="",42&gt;設定!$B$3),"",IF(INDEX(原始資料!AS$2:AS$501,$BJ188)="","",INDEX(原始資料!AS$2:AS$501,$BJ188)))</f>
        <v/>
      </c>
      <c r="AR188" s="6">
        <f>IF(OR($BJ188="",43&gt;設定!$B$3),"",IF(INDEX(原始資料!AT$2:AT$501,$BJ188)="","",INDEX(原始資料!AT$2:AT$501,$BJ188)))</f>
        <v/>
      </c>
      <c r="AS188" s="6">
        <f>IF(OR($BJ188="",44&gt;設定!$B$3),"",IF(INDEX(原始資料!AU$2:AU$501,$BJ188)="","",INDEX(原始資料!AU$2:AU$501,$BJ188)))</f>
        <v/>
      </c>
      <c r="AT188" s="6">
        <f>IF(OR($BJ188="",45&gt;設定!$B$3),"",IF(INDEX(原始資料!AV$2:AV$501,$BJ188)="","",INDEX(原始資料!AV$2:AV$501,$BJ188)))</f>
        <v/>
      </c>
      <c r="AU188" s="6">
        <f>IF(OR($BJ188="",46&gt;設定!$B$3),"",IF(INDEX(原始資料!AW$2:AW$501,$BJ188)="","",INDEX(原始資料!AW$2:AW$501,$BJ188)))</f>
        <v/>
      </c>
      <c r="AV188" s="6">
        <f>IF(OR($BJ188="",47&gt;設定!$B$3),"",IF(INDEX(原始資料!AX$2:AX$501,$BJ188)="","",INDEX(原始資料!AX$2:AX$501,$BJ188)))</f>
        <v/>
      </c>
      <c r="AW188" s="6">
        <f>IF(OR($BJ188="",48&gt;設定!$B$3),"",IF(INDEX(原始資料!AY$2:AY$501,$BJ188)="","",INDEX(原始資料!AY$2:AY$501,$BJ188)))</f>
        <v/>
      </c>
      <c r="AX188" s="6">
        <f>IF(OR($BJ188="",49&gt;設定!$B$3),"",IF(INDEX(原始資料!AZ$2:AZ$501,$BJ188)="","",INDEX(原始資料!AZ$2:AZ$501,$BJ188)))</f>
        <v/>
      </c>
      <c r="AY188" s="6">
        <f>IF(OR($BJ188="",50&gt;設定!$B$3),"",IF(INDEX(原始資料!BA$2:BA$501,$BJ188)="","",INDEX(原始資料!BA$2:BA$501,$BJ188)))</f>
        <v/>
      </c>
      <c r="AZ188" s="6">
        <f>IF(OR($BJ188="",51&gt;設定!$B$3),"",IF(INDEX(原始資料!BB$2:BB$501,$BJ188)="","",INDEX(原始資料!BB$2:BB$501,$BJ188)))</f>
        <v/>
      </c>
      <c r="BA188" s="6">
        <f>IF(OR($BJ188="",52&gt;設定!$B$3),"",IF(INDEX(原始資料!BC$2:BC$501,$BJ188)="","",INDEX(原始資料!BC$2:BC$501,$BJ188)))</f>
        <v/>
      </c>
      <c r="BB188" s="6">
        <f>IF(OR($BJ188="",53&gt;設定!$B$3),"",IF(INDEX(原始資料!BD$2:BD$501,$BJ188)="","",INDEX(原始資料!BD$2:BD$501,$BJ188)))</f>
        <v/>
      </c>
      <c r="BC188" s="6">
        <f>IF(OR($BJ188="",54&gt;設定!$B$3),"",IF(INDEX(原始資料!BE$2:BE$501,$BJ188)="","",INDEX(原始資料!BE$2:BE$501,$BJ188)))</f>
        <v/>
      </c>
      <c r="BD188" s="6">
        <f>IF(OR($BJ188="",55&gt;設定!$B$3),"",IF(INDEX(原始資料!BF$2:BF$501,$BJ188)="","",INDEX(原始資料!BF$2:BF$501,$BJ188)))</f>
        <v/>
      </c>
      <c r="BE188" s="6">
        <f>IF(OR($BJ188="",56&gt;設定!$B$3),"",IF(INDEX(原始資料!BG$2:BG$501,$BJ188)="","",INDEX(原始資料!BG$2:BG$501,$BJ188)))</f>
        <v/>
      </c>
      <c r="BF188" s="6">
        <f>IF(OR($BJ188="",57&gt;設定!$B$3),"",IF(INDEX(原始資料!BH$2:BH$501,$BJ188)="","",INDEX(原始資料!BH$2:BH$501,$BJ188)))</f>
        <v/>
      </c>
      <c r="BG188" s="6">
        <f>IF(OR($BJ188="",58&gt;設定!$B$3),"",IF(INDEX(原始資料!BI$2:BI$501,$BJ188)="","",INDEX(原始資料!BI$2:BI$501,$BJ188)))</f>
        <v/>
      </c>
      <c r="BH188" s="6">
        <f>IF(OR($BJ188="",59&gt;設定!$B$3),"",IF(INDEX(原始資料!BJ$2:BJ$501,$BJ188)="","",INDEX(原始資料!BJ$2:BJ$501,$BJ188)))</f>
        <v/>
      </c>
      <c r="BI188" s="6">
        <f>IF(OR($BJ188="",60&gt;設定!$B$3),"",IF(INDEX(原始資料!BK$2:BK$501,$BJ188)="","",INDEX(原始資料!BK$2:BK$501,$BJ188)))</f>
        <v/>
      </c>
      <c r="BJ188" s="6">
        <f>IFERROR(MATCH(ROW()-1,判定!$H$2:$H$501,0),"")</f>
        <v/>
      </c>
    </row>
    <row r="189">
      <c r="A189" s="6">
        <f>IF($BJ189="","",INDEX(原始資料!$A$2:$A$501,$BJ189))</f>
        <v/>
      </c>
      <c r="B189" s="6">
        <f>IF(OR($BJ189="",1&gt;設定!$B$3),"",IF(INDEX(原始資料!D$2:D$501,$BJ189)="","",INDEX(原始資料!D$2:D$501,$BJ189)))</f>
        <v/>
      </c>
      <c r="C189" s="6">
        <f>IF(OR($BJ189="",2&gt;設定!$B$3),"",IF(INDEX(原始資料!E$2:E$501,$BJ189)="","",INDEX(原始資料!E$2:E$501,$BJ189)))</f>
        <v/>
      </c>
      <c r="D189" s="6">
        <f>IF(OR($BJ189="",3&gt;設定!$B$3),"",IF(INDEX(原始資料!F$2:F$501,$BJ189)="","",INDEX(原始資料!F$2:F$501,$BJ189)))</f>
        <v/>
      </c>
      <c r="E189" s="6">
        <f>IF(OR($BJ189="",4&gt;設定!$B$3),"",IF(INDEX(原始資料!G$2:G$501,$BJ189)="","",INDEX(原始資料!G$2:G$501,$BJ189)))</f>
        <v/>
      </c>
      <c r="F189" s="6">
        <f>IF(OR($BJ189="",5&gt;設定!$B$3),"",IF(INDEX(原始資料!H$2:H$501,$BJ189)="","",INDEX(原始資料!H$2:H$501,$BJ189)))</f>
        <v/>
      </c>
      <c r="G189" s="6">
        <f>IF(OR($BJ189="",6&gt;設定!$B$3),"",IF(INDEX(原始資料!I$2:I$501,$BJ189)="","",INDEX(原始資料!I$2:I$501,$BJ189)))</f>
        <v/>
      </c>
      <c r="H189" s="6">
        <f>IF(OR($BJ189="",7&gt;設定!$B$3),"",IF(INDEX(原始資料!J$2:J$501,$BJ189)="","",INDEX(原始資料!J$2:J$501,$BJ189)))</f>
        <v/>
      </c>
      <c r="I189" s="6">
        <f>IF(OR($BJ189="",8&gt;設定!$B$3),"",IF(INDEX(原始資料!K$2:K$501,$BJ189)="","",INDEX(原始資料!K$2:K$501,$BJ189)))</f>
        <v/>
      </c>
      <c r="J189" s="6">
        <f>IF(OR($BJ189="",9&gt;設定!$B$3),"",IF(INDEX(原始資料!L$2:L$501,$BJ189)="","",INDEX(原始資料!L$2:L$501,$BJ189)))</f>
        <v/>
      </c>
      <c r="K189" s="6">
        <f>IF(OR($BJ189="",10&gt;設定!$B$3),"",IF(INDEX(原始資料!M$2:M$501,$BJ189)="","",INDEX(原始資料!M$2:M$501,$BJ189)))</f>
        <v/>
      </c>
      <c r="L189" s="6">
        <f>IF(OR($BJ189="",11&gt;設定!$B$3),"",IF(INDEX(原始資料!N$2:N$501,$BJ189)="","",INDEX(原始資料!N$2:N$501,$BJ189)))</f>
        <v/>
      </c>
      <c r="M189" s="6">
        <f>IF(OR($BJ189="",12&gt;設定!$B$3),"",IF(INDEX(原始資料!O$2:O$501,$BJ189)="","",INDEX(原始資料!O$2:O$501,$BJ189)))</f>
        <v/>
      </c>
      <c r="N189" s="6">
        <f>IF(OR($BJ189="",13&gt;設定!$B$3),"",IF(INDEX(原始資料!P$2:P$501,$BJ189)="","",INDEX(原始資料!P$2:P$501,$BJ189)))</f>
        <v/>
      </c>
      <c r="O189" s="6">
        <f>IF(OR($BJ189="",14&gt;設定!$B$3),"",IF(INDEX(原始資料!Q$2:Q$501,$BJ189)="","",INDEX(原始資料!Q$2:Q$501,$BJ189)))</f>
        <v/>
      </c>
      <c r="P189" s="6">
        <f>IF(OR($BJ189="",15&gt;設定!$B$3),"",IF(INDEX(原始資料!R$2:R$501,$BJ189)="","",INDEX(原始資料!R$2:R$501,$BJ189)))</f>
        <v/>
      </c>
      <c r="Q189" s="6">
        <f>IF(OR($BJ189="",16&gt;設定!$B$3),"",IF(INDEX(原始資料!S$2:S$501,$BJ189)="","",INDEX(原始資料!S$2:S$501,$BJ189)))</f>
        <v/>
      </c>
      <c r="R189" s="6">
        <f>IF(OR($BJ189="",17&gt;設定!$B$3),"",IF(INDEX(原始資料!T$2:T$501,$BJ189)="","",INDEX(原始資料!T$2:T$501,$BJ189)))</f>
        <v/>
      </c>
      <c r="S189" s="6">
        <f>IF(OR($BJ189="",18&gt;設定!$B$3),"",IF(INDEX(原始資料!U$2:U$501,$BJ189)="","",INDEX(原始資料!U$2:U$501,$BJ189)))</f>
        <v/>
      </c>
      <c r="T189" s="6">
        <f>IF(OR($BJ189="",19&gt;設定!$B$3),"",IF(INDEX(原始資料!V$2:V$501,$BJ189)="","",INDEX(原始資料!V$2:V$501,$BJ189)))</f>
        <v/>
      </c>
      <c r="U189" s="6">
        <f>IF(OR($BJ189="",20&gt;設定!$B$3),"",IF(INDEX(原始資料!W$2:W$501,$BJ189)="","",INDEX(原始資料!W$2:W$501,$BJ189)))</f>
        <v/>
      </c>
      <c r="V189" s="6">
        <f>IF(OR($BJ189="",21&gt;設定!$B$3),"",IF(INDEX(原始資料!X$2:X$501,$BJ189)="","",INDEX(原始資料!X$2:X$501,$BJ189)))</f>
        <v/>
      </c>
      <c r="W189" s="6">
        <f>IF(OR($BJ189="",22&gt;設定!$B$3),"",IF(INDEX(原始資料!Y$2:Y$501,$BJ189)="","",INDEX(原始資料!Y$2:Y$501,$BJ189)))</f>
        <v/>
      </c>
      <c r="X189" s="6">
        <f>IF(OR($BJ189="",23&gt;設定!$B$3),"",IF(INDEX(原始資料!Z$2:Z$501,$BJ189)="","",INDEX(原始資料!Z$2:Z$501,$BJ189)))</f>
        <v/>
      </c>
      <c r="Y189" s="6">
        <f>IF(OR($BJ189="",24&gt;設定!$B$3),"",IF(INDEX(原始資料!AA$2:AA$501,$BJ189)="","",INDEX(原始資料!AA$2:AA$501,$BJ189)))</f>
        <v/>
      </c>
      <c r="Z189" s="6">
        <f>IF(OR($BJ189="",25&gt;設定!$B$3),"",IF(INDEX(原始資料!AB$2:AB$501,$BJ189)="","",INDEX(原始資料!AB$2:AB$501,$BJ189)))</f>
        <v/>
      </c>
      <c r="AA189" s="6">
        <f>IF(OR($BJ189="",26&gt;設定!$B$3),"",IF(INDEX(原始資料!AC$2:AC$501,$BJ189)="","",INDEX(原始資料!AC$2:AC$501,$BJ189)))</f>
        <v/>
      </c>
      <c r="AB189" s="6">
        <f>IF(OR($BJ189="",27&gt;設定!$B$3),"",IF(INDEX(原始資料!AD$2:AD$501,$BJ189)="","",INDEX(原始資料!AD$2:AD$501,$BJ189)))</f>
        <v/>
      </c>
      <c r="AC189" s="6">
        <f>IF(OR($BJ189="",28&gt;設定!$B$3),"",IF(INDEX(原始資料!AE$2:AE$501,$BJ189)="","",INDEX(原始資料!AE$2:AE$501,$BJ189)))</f>
        <v/>
      </c>
      <c r="AD189" s="6">
        <f>IF(OR($BJ189="",29&gt;設定!$B$3),"",IF(INDEX(原始資料!AF$2:AF$501,$BJ189)="","",INDEX(原始資料!AF$2:AF$501,$BJ189)))</f>
        <v/>
      </c>
      <c r="AE189" s="6">
        <f>IF(OR($BJ189="",30&gt;設定!$B$3),"",IF(INDEX(原始資料!AG$2:AG$501,$BJ189)="","",INDEX(原始資料!AG$2:AG$501,$BJ189)))</f>
        <v/>
      </c>
      <c r="AF189" s="6">
        <f>IF(OR($BJ189="",31&gt;設定!$B$3),"",IF(INDEX(原始資料!AH$2:AH$501,$BJ189)="","",INDEX(原始資料!AH$2:AH$501,$BJ189)))</f>
        <v/>
      </c>
      <c r="AG189" s="6">
        <f>IF(OR($BJ189="",32&gt;設定!$B$3),"",IF(INDEX(原始資料!AI$2:AI$501,$BJ189)="","",INDEX(原始資料!AI$2:AI$501,$BJ189)))</f>
        <v/>
      </c>
      <c r="AH189" s="6">
        <f>IF(OR($BJ189="",33&gt;設定!$B$3),"",IF(INDEX(原始資料!AJ$2:AJ$501,$BJ189)="","",INDEX(原始資料!AJ$2:AJ$501,$BJ189)))</f>
        <v/>
      </c>
      <c r="AI189" s="6">
        <f>IF(OR($BJ189="",34&gt;設定!$B$3),"",IF(INDEX(原始資料!AK$2:AK$501,$BJ189)="","",INDEX(原始資料!AK$2:AK$501,$BJ189)))</f>
        <v/>
      </c>
      <c r="AJ189" s="6">
        <f>IF(OR($BJ189="",35&gt;設定!$B$3),"",IF(INDEX(原始資料!AL$2:AL$501,$BJ189)="","",INDEX(原始資料!AL$2:AL$501,$BJ189)))</f>
        <v/>
      </c>
      <c r="AK189" s="6">
        <f>IF(OR($BJ189="",36&gt;設定!$B$3),"",IF(INDEX(原始資料!AM$2:AM$501,$BJ189)="","",INDEX(原始資料!AM$2:AM$501,$BJ189)))</f>
        <v/>
      </c>
      <c r="AL189" s="6">
        <f>IF(OR($BJ189="",37&gt;設定!$B$3),"",IF(INDEX(原始資料!AN$2:AN$501,$BJ189)="","",INDEX(原始資料!AN$2:AN$501,$BJ189)))</f>
        <v/>
      </c>
      <c r="AM189" s="6">
        <f>IF(OR($BJ189="",38&gt;設定!$B$3),"",IF(INDEX(原始資料!AO$2:AO$501,$BJ189)="","",INDEX(原始資料!AO$2:AO$501,$BJ189)))</f>
        <v/>
      </c>
      <c r="AN189" s="6">
        <f>IF(OR($BJ189="",39&gt;設定!$B$3),"",IF(INDEX(原始資料!AP$2:AP$501,$BJ189)="","",INDEX(原始資料!AP$2:AP$501,$BJ189)))</f>
        <v/>
      </c>
      <c r="AO189" s="6">
        <f>IF(OR($BJ189="",40&gt;設定!$B$3),"",IF(INDEX(原始資料!AQ$2:AQ$501,$BJ189)="","",INDEX(原始資料!AQ$2:AQ$501,$BJ189)))</f>
        <v/>
      </c>
      <c r="AP189" s="6">
        <f>IF(OR($BJ189="",41&gt;設定!$B$3),"",IF(INDEX(原始資料!AR$2:AR$501,$BJ189)="","",INDEX(原始資料!AR$2:AR$501,$BJ189)))</f>
        <v/>
      </c>
      <c r="AQ189" s="6">
        <f>IF(OR($BJ189="",42&gt;設定!$B$3),"",IF(INDEX(原始資料!AS$2:AS$501,$BJ189)="","",INDEX(原始資料!AS$2:AS$501,$BJ189)))</f>
        <v/>
      </c>
      <c r="AR189" s="6">
        <f>IF(OR($BJ189="",43&gt;設定!$B$3),"",IF(INDEX(原始資料!AT$2:AT$501,$BJ189)="","",INDEX(原始資料!AT$2:AT$501,$BJ189)))</f>
        <v/>
      </c>
      <c r="AS189" s="6">
        <f>IF(OR($BJ189="",44&gt;設定!$B$3),"",IF(INDEX(原始資料!AU$2:AU$501,$BJ189)="","",INDEX(原始資料!AU$2:AU$501,$BJ189)))</f>
        <v/>
      </c>
      <c r="AT189" s="6">
        <f>IF(OR($BJ189="",45&gt;設定!$B$3),"",IF(INDEX(原始資料!AV$2:AV$501,$BJ189)="","",INDEX(原始資料!AV$2:AV$501,$BJ189)))</f>
        <v/>
      </c>
      <c r="AU189" s="6">
        <f>IF(OR($BJ189="",46&gt;設定!$B$3),"",IF(INDEX(原始資料!AW$2:AW$501,$BJ189)="","",INDEX(原始資料!AW$2:AW$501,$BJ189)))</f>
        <v/>
      </c>
      <c r="AV189" s="6">
        <f>IF(OR($BJ189="",47&gt;設定!$B$3),"",IF(INDEX(原始資料!AX$2:AX$501,$BJ189)="","",INDEX(原始資料!AX$2:AX$501,$BJ189)))</f>
        <v/>
      </c>
      <c r="AW189" s="6">
        <f>IF(OR($BJ189="",48&gt;設定!$B$3),"",IF(INDEX(原始資料!AY$2:AY$501,$BJ189)="","",INDEX(原始資料!AY$2:AY$501,$BJ189)))</f>
        <v/>
      </c>
      <c r="AX189" s="6">
        <f>IF(OR($BJ189="",49&gt;設定!$B$3),"",IF(INDEX(原始資料!AZ$2:AZ$501,$BJ189)="","",INDEX(原始資料!AZ$2:AZ$501,$BJ189)))</f>
        <v/>
      </c>
      <c r="AY189" s="6">
        <f>IF(OR($BJ189="",50&gt;設定!$B$3),"",IF(INDEX(原始資料!BA$2:BA$501,$BJ189)="","",INDEX(原始資料!BA$2:BA$501,$BJ189)))</f>
        <v/>
      </c>
      <c r="AZ189" s="6">
        <f>IF(OR($BJ189="",51&gt;設定!$B$3),"",IF(INDEX(原始資料!BB$2:BB$501,$BJ189)="","",INDEX(原始資料!BB$2:BB$501,$BJ189)))</f>
        <v/>
      </c>
      <c r="BA189" s="6">
        <f>IF(OR($BJ189="",52&gt;設定!$B$3),"",IF(INDEX(原始資料!BC$2:BC$501,$BJ189)="","",INDEX(原始資料!BC$2:BC$501,$BJ189)))</f>
        <v/>
      </c>
      <c r="BB189" s="6">
        <f>IF(OR($BJ189="",53&gt;設定!$B$3),"",IF(INDEX(原始資料!BD$2:BD$501,$BJ189)="","",INDEX(原始資料!BD$2:BD$501,$BJ189)))</f>
        <v/>
      </c>
      <c r="BC189" s="6">
        <f>IF(OR($BJ189="",54&gt;設定!$B$3),"",IF(INDEX(原始資料!BE$2:BE$501,$BJ189)="","",INDEX(原始資料!BE$2:BE$501,$BJ189)))</f>
        <v/>
      </c>
      <c r="BD189" s="6">
        <f>IF(OR($BJ189="",55&gt;設定!$B$3),"",IF(INDEX(原始資料!BF$2:BF$501,$BJ189)="","",INDEX(原始資料!BF$2:BF$501,$BJ189)))</f>
        <v/>
      </c>
      <c r="BE189" s="6">
        <f>IF(OR($BJ189="",56&gt;設定!$B$3),"",IF(INDEX(原始資料!BG$2:BG$501,$BJ189)="","",INDEX(原始資料!BG$2:BG$501,$BJ189)))</f>
        <v/>
      </c>
      <c r="BF189" s="6">
        <f>IF(OR($BJ189="",57&gt;設定!$B$3),"",IF(INDEX(原始資料!BH$2:BH$501,$BJ189)="","",INDEX(原始資料!BH$2:BH$501,$BJ189)))</f>
        <v/>
      </c>
      <c r="BG189" s="6">
        <f>IF(OR($BJ189="",58&gt;設定!$B$3),"",IF(INDEX(原始資料!BI$2:BI$501,$BJ189)="","",INDEX(原始資料!BI$2:BI$501,$BJ189)))</f>
        <v/>
      </c>
      <c r="BH189" s="6">
        <f>IF(OR($BJ189="",59&gt;設定!$B$3),"",IF(INDEX(原始資料!BJ$2:BJ$501,$BJ189)="","",INDEX(原始資料!BJ$2:BJ$501,$BJ189)))</f>
        <v/>
      </c>
      <c r="BI189" s="6">
        <f>IF(OR($BJ189="",60&gt;設定!$B$3),"",IF(INDEX(原始資料!BK$2:BK$501,$BJ189)="","",INDEX(原始資料!BK$2:BK$501,$BJ189)))</f>
        <v/>
      </c>
      <c r="BJ189" s="6">
        <f>IFERROR(MATCH(ROW()-1,判定!$H$2:$H$501,0),"")</f>
        <v/>
      </c>
    </row>
    <row r="190">
      <c r="A190" s="6">
        <f>IF($BJ190="","",INDEX(原始資料!$A$2:$A$501,$BJ190))</f>
        <v/>
      </c>
      <c r="B190" s="6">
        <f>IF(OR($BJ190="",1&gt;設定!$B$3),"",IF(INDEX(原始資料!D$2:D$501,$BJ190)="","",INDEX(原始資料!D$2:D$501,$BJ190)))</f>
        <v/>
      </c>
      <c r="C190" s="6">
        <f>IF(OR($BJ190="",2&gt;設定!$B$3),"",IF(INDEX(原始資料!E$2:E$501,$BJ190)="","",INDEX(原始資料!E$2:E$501,$BJ190)))</f>
        <v/>
      </c>
      <c r="D190" s="6">
        <f>IF(OR($BJ190="",3&gt;設定!$B$3),"",IF(INDEX(原始資料!F$2:F$501,$BJ190)="","",INDEX(原始資料!F$2:F$501,$BJ190)))</f>
        <v/>
      </c>
      <c r="E190" s="6">
        <f>IF(OR($BJ190="",4&gt;設定!$B$3),"",IF(INDEX(原始資料!G$2:G$501,$BJ190)="","",INDEX(原始資料!G$2:G$501,$BJ190)))</f>
        <v/>
      </c>
      <c r="F190" s="6">
        <f>IF(OR($BJ190="",5&gt;設定!$B$3),"",IF(INDEX(原始資料!H$2:H$501,$BJ190)="","",INDEX(原始資料!H$2:H$501,$BJ190)))</f>
        <v/>
      </c>
      <c r="G190" s="6">
        <f>IF(OR($BJ190="",6&gt;設定!$B$3),"",IF(INDEX(原始資料!I$2:I$501,$BJ190)="","",INDEX(原始資料!I$2:I$501,$BJ190)))</f>
        <v/>
      </c>
      <c r="H190" s="6">
        <f>IF(OR($BJ190="",7&gt;設定!$B$3),"",IF(INDEX(原始資料!J$2:J$501,$BJ190)="","",INDEX(原始資料!J$2:J$501,$BJ190)))</f>
        <v/>
      </c>
      <c r="I190" s="6">
        <f>IF(OR($BJ190="",8&gt;設定!$B$3),"",IF(INDEX(原始資料!K$2:K$501,$BJ190)="","",INDEX(原始資料!K$2:K$501,$BJ190)))</f>
        <v/>
      </c>
      <c r="J190" s="6">
        <f>IF(OR($BJ190="",9&gt;設定!$B$3),"",IF(INDEX(原始資料!L$2:L$501,$BJ190)="","",INDEX(原始資料!L$2:L$501,$BJ190)))</f>
        <v/>
      </c>
      <c r="K190" s="6">
        <f>IF(OR($BJ190="",10&gt;設定!$B$3),"",IF(INDEX(原始資料!M$2:M$501,$BJ190)="","",INDEX(原始資料!M$2:M$501,$BJ190)))</f>
        <v/>
      </c>
      <c r="L190" s="6">
        <f>IF(OR($BJ190="",11&gt;設定!$B$3),"",IF(INDEX(原始資料!N$2:N$501,$BJ190)="","",INDEX(原始資料!N$2:N$501,$BJ190)))</f>
        <v/>
      </c>
      <c r="M190" s="6">
        <f>IF(OR($BJ190="",12&gt;設定!$B$3),"",IF(INDEX(原始資料!O$2:O$501,$BJ190)="","",INDEX(原始資料!O$2:O$501,$BJ190)))</f>
        <v/>
      </c>
      <c r="N190" s="6">
        <f>IF(OR($BJ190="",13&gt;設定!$B$3),"",IF(INDEX(原始資料!P$2:P$501,$BJ190)="","",INDEX(原始資料!P$2:P$501,$BJ190)))</f>
        <v/>
      </c>
      <c r="O190" s="6">
        <f>IF(OR($BJ190="",14&gt;設定!$B$3),"",IF(INDEX(原始資料!Q$2:Q$501,$BJ190)="","",INDEX(原始資料!Q$2:Q$501,$BJ190)))</f>
        <v/>
      </c>
      <c r="P190" s="6">
        <f>IF(OR($BJ190="",15&gt;設定!$B$3),"",IF(INDEX(原始資料!R$2:R$501,$BJ190)="","",INDEX(原始資料!R$2:R$501,$BJ190)))</f>
        <v/>
      </c>
      <c r="Q190" s="6">
        <f>IF(OR($BJ190="",16&gt;設定!$B$3),"",IF(INDEX(原始資料!S$2:S$501,$BJ190)="","",INDEX(原始資料!S$2:S$501,$BJ190)))</f>
        <v/>
      </c>
      <c r="R190" s="6">
        <f>IF(OR($BJ190="",17&gt;設定!$B$3),"",IF(INDEX(原始資料!T$2:T$501,$BJ190)="","",INDEX(原始資料!T$2:T$501,$BJ190)))</f>
        <v/>
      </c>
      <c r="S190" s="6">
        <f>IF(OR($BJ190="",18&gt;設定!$B$3),"",IF(INDEX(原始資料!U$2:U$501,$BJ190)="","",INDEX(原始資料!U$2:U$501,$BJ190)))</f>
        <v/>
      </c>
      <c r="T190" s="6">
        <f>IF(OR($BJ190="",19&gt;設定!$B$3),"",IF(INDEX(原始資料!V$2:V$501,$BJ190)="","",INDEX(原始資料!V$2:V$501,$BJ190)))</f>
        <v/>
      </c>
      <c r="U190" s="6">
        <f>IF(OR($BJ190="",20&gt;設定!$B$3),"",IF(INDEX(原始資料!W$2:W$501,$BJ190)="","",INDEX(原始資料!W$2:W$501,$BJ190)))</f>
        <v/>
      </c>
      <c r="V190" s="6">
        <f>IF(OR($BJ190="",21&gt;設定!$B$3),"",IF(INDEX(原始資料!X$2:X$501,$BJ190)="","",INDEX(原始資料!X$2:X$501,$BJ190)))</f>
        <v/>
      </c>
      <c r="W190" s="6">
        <f>IF(OR($BJ190="",22&gt;設定!$B$3),"",IF(INDEX(原始資料!Y$2:Y$501,$BJ190)="","",INDEX(原始資料!Y$2:Y$501,$BJ190)))</f>
        <v/>
      </c>
      <c r="X190" s="6">
        <f>IF(OR($BJ190="",23&gt;設定!$B$3),"",IF(INDEX(原始資料!Z$2:Z$501,$BJ190)="","",INDEX(原始資料!Z$2:Z$501,$BJ190)))</f>
        <v/>
      </c>
      <c r="Y190" s="6">
        <f>IF(OR($BJ190="",24&gt;設定!$B$3),"",IF(INDEX(原始資料!AA$2:AA$501,$BJ190)="","",INDEX(原始資料!AA$2:AA$501,$BJ190)))</f>
        <v/>
      </c>
      <c r="Z190" s="6">
        <f>IF(OR($BJ190="",25&gt;設定!$B$3),"",IF(INDEX(原始資料!AB$2:AB$501,$BJ190)="","",INDEX(原始資料!AB$2:AB$501,$BJ190)))</f>
        <v/>
      </c>
      <c r="AA190" s="6">
        <f>IF(OR($BJ190="",26&gt;設定!$B$3),"",IF(INDEX(原始資料!AC$2:AC$501,$BJ190)="","",INDEX(原始資料!AC$2:AC$501,$BJ190)))</f>
        <v/>
      </c>
      <c r="AB190" s="6">
        <f>IF(OR($BJ190="",27&gt;設定!$B$3),"",IF(INDEX(原始資料!AD$2:AD$501,$BJ190)="","",INDEX(原始資料!AD$2:AD$501,$BJ190)))</f>
        <v/>
      </c>
      <c r="AC190" s="6">
        <f>IF(OR($BJ190="",28&gt;設定!$B$3),"",IF(INDEX(原始資料!AE$2:AE$501,$BJ190)="","",INDEX(原始資料!AE$2:AE$501,$BJ190)))</f>
        <v/>
      </c>
      <c r="AD190" s="6">
        <f>IF(OR($BJ190="",29&gt;設定!$B$3),"",IF(INDEX(原始資料!AF$2:AF$501,$BJ190)="","",INDEX(原始資料!AF$2:AF$501,$BJ190)))</f>
        <v/>
      </c>
      <c r="AE190" s="6">
        <f>IF(OR($BJ190="",30&gt;設定!$B$3),"",IF(INDEX(原始資料!AG$2:AG$501,$BJ190)="","",INDEX(原始資料!AG$2:AG$501,$BJ190)))</f>
        <v/>
      </c>
      <c r="AF190" s="6">
        <f>IF(OR($BJ190="",31&gt;設定!$B$3),"",IF(INDEX(原始資料!AH$2:AH$501,$BJ190)="","",INDEX(原始資料!AH$2:AH$501,$BJ190)))</f>
        <v/>
      </c>
      <c r="AG190" s="6">
        <f>IF(OR($BJ190="",32&gt;設定!$B$3),"",IF(INDEX(原始資料!AI$2:AI$501,$BJ190)="","",INDEX(原始資料!AI$2:AI$501,$BJ190)))</f>
        <v/>
      </c>
      <c r="AH190" s="6">
        <f>IF(OR($BJ190="",33&gt;設定!$B$3),"",IF(INDEX(原始資料!AJ$2:AJ$501,$BJ190)="","",INDEX(原始資料!AJ$2:AJ$501,$BJ190)))</f>
        <v/>
      </c>
      <c r="AI190" s="6">
        <f>IF(OR($BJ190="",34&gt;設定!$B$3),"",IF(INDEX(原始資料!AK$2:AK$501,$BJ190)="","",INDEX(原始資料!AK$2:AK$501,$BJ190)))</f>
        <v/>
      </c>
      <c r="AJ190" s="6">
        <f>IF(OR($BJ190="",35&gt;設定!$B$3),"",IF(INDEX(原始資料!AL$2:AL$501,$BJ190)="","",INDEX(原始資料!AL$2:AL$501,$BJ190)))</f>
        <v/>
      </c>
      <c r="AK190" s="6">
        <f>IF(OR($BJ190="",36&gt;設定!$B$3),"",IF(INDEX(原始資料!AM$2:AM$501,$BJ190)="","",INDEX(原始資料!AM$2:AM$501,$BJ190)))</f>
        <v/>
      </c>
      <c r="AL190" s="6">
        <f>IF(OR($BJ190="",37&gt;設定!$B$3),"",IF(INDEX(原始資料!AN$2:AN$501,$BJ190)="","",INDEX(原始資料!AN$2:AN$501,$BJ190)))</f>
        <v/>
      </c>
      <c r="AM190" s="6">
        <f>IF(OR($BJ190="",38&gt;設定!$B$3),"",IF(INDEX(原始資料!AO$2:AO$501,$BJ190)="","",INDEX(原始資料!AO$2:AO$501,$BJ190)))</f>
        <v/>
      </c>
      <c r="AN190" s="6">
        <f>IF(OR($BJ190="",39&gt;設定!$B$3),"",IF(INDEX(原始資料!AP$2:AP$501,$BJ190)="","",INDEX(原始資料!AP$2:AP$501,$BJ190)))</f>
        <v/>
      </c>
      <c r="AO190" s="6">
        <f>IF(OR($BJ190="",40&gt;設定!$B$3),"",IF(INDEX(原始資料!AQ$2:AQ$501,$BJ190)="","",INDEX(原始資料!AQ$2:AQ$501,$BJ190)))</f>
        <v/>
      </c>
      <c r="AP190" s="6">
        <f>IF(OR($BJ190="",41&gt;設定!$B$3),"",IF(INDEX(原始資料!AR$2:AR$501,$BJ190)="","",INDEX(原始資料!AR$2:AR$501,$BJ190)))</f>
        <v/>
      </c>
      <c r="AQ190" s="6">
        <f>IF(OR($BJ190="",42&gt;設定!$B$3),"",IF(INDEX(原始資料!AS$2:AS$501,$BJ190)="","",INDEX(原始資料!AS$2:AS$501,$BJ190)))</f>
        <v/>
      </c>
      <c r="AR190" s="6">
        <f>IF(OR($BJ190="",43&gt;設定!$B$3),"",IF(INDEX(原始資料!AT$2:AT$501,$BJ190)="","",INDEX(原始資料!AT$2:AT$501,$BJ190)))</f>
        <v/>
      </c>
      <c r="AS190" s="6">
        <f>IF(OR($BJ190="",44&gt;設定!$B$3),"",IF(INDEX(原始資料!AU$2:AU$501,$BJ190)="","",INDEX(原始資料!AU$2:AU$501,$BJ190)))</f>
        <v/>
      </c>
      <c r="AT190" s="6">
        <f>IF(OR($BJ190="",45&gt;設定!$B$3),"",IF(INDEX(原始資料!AV$2:AV$501,$BJ190)="","",INDEX(原始資料!AV$2:AV$501,$BJ190)))</f>
        <v/>
      </c>
      <c r="AU190" s="6">
        <f>IF(OR($BJ190="",46&gt;設定!$B$3),"",IF(INDEX(原始資料!AW$2:AW$501,$BJ190)="","",INDEX(原始資料!AW$2:AW$501,$BJ190)))</f>
        <v/>
      </c>
      <c r="AV190" s="6">
        <f>IF(OR($BJ190="",47&gt;設定!$B$3),"",IF(INDEX(原始資料!AX$2:AX$501,$BJ190)="","",INDEX(原始資料!AX$2:AX$501,$BJ190)))</f>
        <v/>
      </c>
      <c r="AW190" s="6">
        <f>IF(OR($BJ190="",48&gt;設定!$B$3),"",IF(INDEX(原始資料!AY$2:AY$501,$BJ190)="","",INDEX(原始資料!AY$2:AY$501,$BJ190)))</f>
        <v/>
      </c>
      <c r="AX190" s="6">
        <f>IF(OR($BJ190="",49&gt;設定!$B$3),"",IF(INDEX(原始資料!AZ$2:AZ$501,$BJ190)="","",INDEX(原始資料!AZ$2:AZ$501,$BJ190)))</f>
        <v/>
      </c>
      <c r="AY190" s="6">
        <f>IF(OR($BJ190="",50&gt;設定!$B$3),"",IF(INDEX(原始資料!BA$2:BA$501,$BJ190)="","",INDEX(原始資料!BA$2:BA$501,$BJ190)))</f>
        <v/>
      </c>
      <c r="AZ190" s="6">
        <f>IF(OR($BJ190="",51&gt;設定!$B$3),"",IF(INDEX(原始資料!BB$2:BB$501,$BJ190)="","",INDEX(原始資料!BB$2:BB$501,$BJ190)))</f>
        <v/>
      </c>
      <c r="BA190" s="6">
        <f>IF(OR($BJ190="",52&gt;設定!$B$3),"",IF(INDEX(原始資料!BC$2:BC$501,$BJ190)="","",INDEX(原始資料!BC$2:BC$501,$BJ190)))</f>
        <v/>
      </c>
      <c r="BB190" s="6">
        <f>IF(OR($BJ190="",53&gt;設定!$B$3),"",IF(INDEX(原始資料!BD$2:BD$501,$BJ190)="","",INDEX(原始資料!BD$2:BD$501,$BJ190)))</f>
        <v/>
      </c>
      <c r="BC190" s="6">
        <f>IF(OR($BJ190="",54&gt;設定!$B$3),"",IF(INDEX(原始資料!BE$2:BE$501,$BJ190)="","",INDEX(原始資料!BE$2:BE$501,$BJ190)))</f>
        <v/>
      </c>
      <c r="BD190" s="6">
        <f>IF(OR($BJ190="",55&gt;設定!$B$3),"",IF(INDEX(原始資料!BF$2:BF$501,$BJ190)="","",INDEX(原始資料!BF$2:BF$501,$BJ190)))</f>
        <v/>
      </c>
      <c r="BE190" s="6">
        <f>IF(OR($BJ190="",56&gt;設定!$B$3),"",IF(INDEX(原始資料!BG$2:BG$501,$BJ190)="","",INDEX(原始資料!BG$2:BG$501,$BJ190)))</f>
        <v/>
      </c>
      <c r="BF190" s="6">
        <f>IF(OR($BJ190="",57&gt;設定!$B$3),"",IF(INDEX(原始資料!BH$2:BH$501,$BJ190)="","",INDEX(原始資料!BH$2:BH$501,$BJ190)))</f>
        <v/>
      </c>
      <c r="BG190" s="6">
        <f>IF(OR($BJ190="",58&gt;設定!$B$3),"",IF(INDEX(原始資料!BI$2:BI$501,$BJ190)="","",INDEX(原始資料!BI$2:BI$501,$BJ190)))</f>
        <v/>
      </c>
      <c r="BH190" s="6">
        <f>IF(OR($BJ190="",59&gt;設定!$B$3),"",IF(INDEX(原始資料!BJ$2:BJ$501,$BJ190)="","",INDEX(原始資料!BJ$2:BJ$501,$BJ190)))</f>
        <v/>
      </c>
      <c r="BI190" s="6">
        <f>IF(OR($BJ190="",60&gt;設定!$B$3),"",IF(INDEX(原始資料!BK$2:BK$501,$BJ190)="","",INDEX(原始資料!BK$2:BK$501,$BJ190)))</f>
        <v/>
      </c>
      <c r="BJ190" s="6">
        <f>IFERROR(MATCH(ROW()-1,判定!$H$2:$H$501,0),"")</f>
        <v/>
      </c>
    </row>
    <row r="191">
      <c r="A191" s="6">
        <f>IF($BJ191="","",INDEX(原始資料!$A$2:$A$501,$BJ191))</f>
        <v/>
      </c>
      <c r="B191" s="6">
        <f>IF(OR($BJ191="",1&gt;設定!$B$3),"",IF(INDEX(原始資料!D$2:D$501,$BJ191)="","",INDEX(原始資料!D$2:D$501,$BJ191)))</f>
        <v/>
      </c>
      <c r="C191" s="6">
        <f>IF(OR($BJ191="",2&gt;設定!$B$3),"",IF(INDEX(原始資料!E$2:E$501,$BJ191)="","",INDEX(原始資料!E$2:E$501,$BJ191)))</f>
        <v/>
      </c>
      <c r="D191" s="6">
        <f>IF(OR($BJ191="",3&gt;設定!$B$3),"",IF(INDEX(原始資料!F$2:F$501,$BJ191)="","",INDEX(原始資料!F$2:F$501,$BJ191)))</f>
        <v/>
      </c>
      <c r="E191" s="6">
        <f>IF(OR($BJ191="",4&gt;設定!$B$3),"",IF(INDEX(原始資料!G$2:G$501,$BJ191)="","",INDEX(原始資料!G$2:G$501,$BJ191)))</f>
        <v/>
      </c>
      <c r="F191" s="6">
        <f>IF(OR($BJ191="",5&gt;設定!$B$3),"",IF(INDEX(原始資料!H$2:H$501,$BJ191)="","",INDEX(原始資料!H$2:H$501,$BJ191)))</f>
        <v/>
      </c>
      <c r="G191" s="6">
        <f>IF(OR($BJ191="",6&gt;設定!$B$3),"",IF(INDEX(原始資料!I$2:I$501,$BJ191)="","",INDEX(原始資料!I$2:I$501,$BJ191)))</f>
        <v/>
      </c>
      <c r="H191" s="6">
        <f>IF(OR($BJ191="",7&gt;設定!$B$3),"",IF(INDEX(原始資料!J$2:J$501,$BJ191)="","",INDEX(原始資料!J$2:J$501,$BJ191)))</f>
        <v/>
      </c>
      <c r="I191" s="6">
        <f>IF(OR($BJ191="",8&gt;設定!$B$3),"",IF(INDEX(原始資料!K$2:K$501,$BJ191)="","",INDEX(原始資料!K$2:K$501,$BJ191)))</f>
        <v/>
      </c>
      <c r="J191" s="6">
        <f>IF(OR($BJ191="",9&gt;設定!$B$3),"",IF(INDEX(原始資料!L$2:L$501,$BJ191)="","",INDEX(原始資料!L$2:L$501,$BJ191)))</f>
        <v/>
      </c>
      <c r="K191" s="6">
        <f>IF(OR($BJ191="",10&gt;設定!$B$3),"",IF(INDEX(原始資料!M$2:M$501,$BJ191)="","",INDEX(原始資料!M$2:M$501,$BJ191)))</f>
        <v/>
      </c>
      <c r="L191" s="6">
        <f>IF(OR($BJ191="",11&gt;設定!$B$3),"",IF(INDEX(原始資料!N$2:N$501,$BJ191)="","",INDEX(原始資料!N$2:N$501,$BJ191)))</f>
        <v/>
      </c>
      <c r="M191" s="6">
        <f>IF(OR($BJ191="",12&gt;設定!$B$3),"",IF(INDEX(原始資料!O$2:O$501,$BJ191)="","",INDEX(原始資料!O$2:O$501,$BJ191)))</f>
        <v/>
      </c>
      <c r="N191" s="6">
        <f>IF(OR($BJ191="",13&gt;設定!$B$3),"",IF(INDEX(原始資料!P$2:P$501,$BJ191)="","",INDEX(原始資料!P$2:P$501,$BJ191)))</f>
        <v/>
      </c>
      <c r="O191" s="6">
        <f>IF(OR($BJ191="",14&gt;設定!$B$3),"",IF(INDEX(原始資料!Q$2:Q$501,$BJ191)="","",INDEX(原始資料!Q$2:Q$501,$BJ191)))</f>
        <v/>
      </c>
      <c r="P191" s="6">
        <f>IF(OR($BJ191="",15&gt;設定!$B$3),"",IF(INDEX(原始資料!R$2:R$501,$BJ191)="","",INDEX(原始資料!R$2:R$501,$BJ191)))</f>
        <v/>
      </c>
      <c r="Q191" s="6">
        <f>IF(OR($BJ191="",16&gt;設定!$B$3),"",IF(INDEX(原始資料!S$2:S$501,$BJ191)="","",INDEX(原始資料!S$2:S$501,$BJ191)))</f>
        <v/>
      </c>
      <c r="R191" s="6">
        <f>IF(OR($BJ191="",17&gt;設定!$B$3),"",IF(INDEX(原始資料!T$2:T$501,$BJ191)="","",INDEX(原始資料!T$2:T$501,$BJ191)))</f>
        <v/>
      </c>
      <c r="S191" s="6">
        <f>IF(OR($BJ191="",18&gt;設定!$B$3),"",IF(INDEX(原始資料!U$2:U$501,$BJ191)="","",INDEX(原始資料!U$2:U$501,$BJ191)))</f>
        <v/>
      </c>
      <c r="T191" s="6">
        <f>IF(OR($BJ191="",19&gt;設定!$B$3),"",IF(INDEX(原始資料!V$2:V$501,$BJ191)="","",INDEX(原始資料!V$2:V$501,$BJ191)))</f>
        <v/>
      </c>
      <c r="U191" s="6">
        <f>IF(OR($BJ191="",20&gt;設定!$B$3),"",IF(INDEX(原始資料!W$2:W$501,$BJ191)="","",INDEX(原始資料!W$2:W$501,$BJ191)))</f>
        <v/>
      </c>
      <c r="V191" s="6">
        <f>IF(OR($BJ191="",21&gt;設定!$B$3),"",IF(INDEX(原始資料!X$2:X$501,$BJ191)="","",INDEX(原始資料!X$2:X$501,$BJ191)))</f>
        <v/>
      </c>
      <c r="W191" s="6">
        <f>IF(OR($BJ191="",22&gt;設定!$B$3),"",IF(INDEX(原始資料!Y$2:Y$501,$BJ191)="","",INDEX(原始資料!Y$2:Y$501,$BJ191)))</f>
        <v/>
      </c>
      <c r="X191" s="6">
        <f>IF(OR($BJ191="",23&gt;設定!$B$3),"",IF(INDEX(原始資料!Z$2:Z$501,$BJ191)="","",INDEX(原始資料!Z$2:Z$501,$BJ191)))</f>
        <v/>
      </c>
      <c r="Y191" s="6">
        <f>IF(OR($BJ191="",24&gt;設定!$B$3),"",IF(INDEX(原始資料!AA$2:AA$501,$BJ191)="","",INDEX(原始資料!AA$2:AA$501,$BJ191)))</f>
        <v/>
      </c>
      <c r="Z191" s="6">
        <f>IF(OR($BJ191="",25&gt;設定!$B$3),"",IF(INDEX(原始資料!AB$2:AB$501,$BJ191)="","",INDEX(原始資料!AB$2:AB$501,$BJ191)))</f>
        <v/>
      </c>
      <c r="AA191" s="6">
        <f>IF(OR($BJ191="",26&gt;設定!$B$3),"",IF(INDEX(原始資料!AC$2:AC$501,$BJ191)="","",INDEX(原始資料!AC$2:AC$501,$BJ191)))</f>
        <v/>
      </c>
      <c r="AB191" s="6">
        <f>IF(OR($BJ191="",27&gt;設定!$B$3),"",IF(INDEX(原始資料!AD$2:AD$501,$BJ191)="","",INDEX(原始資料!AD$2:AD$501,$BJ191)))</f>
        <v/>
      </c>
      <c r="AC191" s="6">
        <f>IF(OR($BJ191="",28&gt;設定!$B$3),"",IF(INDEX(原始資料!AE$2:AE$501,$BJ191)="","",INDEX(原始資料!AE$2:AE$501,$BJ191)))</f>
        <v/>
      </c>
      <c r="AD191" s="6">
        <f>IF(OR($BJ191="",29&gt;設定!$B$3),"",IF(INDEX(原始資料!AF$2:AF$501,$BJ191)="","",INDEX(原始資料!AF$2:AF$501,$BJ191)))</f>
        <v/>
      </c>
      <c r="AE191" s="6">
        <f>IF(OR($BJ191="",30&gt;設定!$B$3),"",IF(INDEX(原始資料!AG$2:AG$501,$BJ191)="","",INDEX(原始資料!AG$2:AG$501,$BJ191)))</f>
        <v/>
      </c>
      <c r="AF191" s="6">
        <f>IF(OR($BJ191="",31&gt;設定!$B$3),"",IF(INDEX(原始資料!AH$2:AH$501,$BJ191)="","",INDEX(原始資料!AH$2:AH$501,$BJ191)))</f>
        <v/>
      </c>
      <c r="AG191" s="6">
        <f>IF(OR($BJ191="",32&gt;設定!$B$3),"",IF(INDEX(原始資料!AI$2:AI$501,$BJ191)="","",INDEX(原始資料!AI$2:AI$501,$BJ191)))</f>
        <v/>
      </c>
      <c r="AH191" s="6">
        <f>IF(OR($BJ191="",33&gt;設定!$B$3),"",IF(INDEX(原始資料!AJ$2:AJ$501,$BJ191)="","",INDEX(原始資料!AJ$2:AJ$501,$BJ191)))</f>
        <v/>
      </c>
      <c r="AI191" s="6">
        <f>IF(OR($BJ191="",34&gt;設定!$B$3),"",IF(INDEX(原始資料!AK$2:AK$501,$BJ191)="","",INDEX(原始資料!AK$2:AK$501,$BJ191)))</f>
        <v/>
      </c>
      <c r="AJ191" s="6">
        <f>IF(OR($BJ191="",35&gt;設定!$B$3),"",IF(INDEX(原始資料!AL$2:AL$501,$BJ191)="","",INDEX(原始資料!AL$2:AL$501,$BJ191)))</f>
        <v/>
      </c>
      <c r="AK191" s="6">
        <f>IF(OR($BJ191="",36&gt;設定!$B$3),"",IF(INDEX(原始資料!AM$2:AM$501,$BJ191)="","",INDEX(原始資料!AM$2:AM$501,$BJ191)))</f>
        <v/>
      </c>
      <c r="AL191" s="6">
        <f>IF(OR($BJ191="",37&gt;設定!$B$3),"",IF(INDEX(原始資料!AN$2:AN$501,$BJ191)="","",INDEX(原始資料!AN$2:AN$501,$BJ191)))</f>
        <v/>
      </c>
      <c r="AM191" s="6">
        <f>IF(OR($BJ191="",38&gt;設定!$B$3),"",IF(INDEX(原始資料!AO$2:AO$501,$BJ191)="","",INDEX(原始資料!AO$2:AO$501,$BJ191)))</f>
        <v/>
      </c>
      <c r="AN191" s="6">
        <f>IF(OR($BJ191="",39&gt;設定!$B$3),"",IF(INDEX(原始資料!AP$2:AP$501,$BJ191)="","",INDEX(原始資料!AP$2:AP$501,$BJ191)))</f>
        <v/>
      </c>
      <c r="AO191" s="6">
        <f>IF(OR($BJ191="",40&gt;設定!$B$3),"",IF(INDEX(原始資料!AQ$2:AQ$501,$BJ191)="","",INDEX(原始資料!AQ$2:AQ$501,$BJ191)))</f>
        <v/>
      </c>
      <c r="AP191" s="6">
        <f>IF(OR($BJ191="",41&gt;設定!$B$3),"",IF(INDEX(原始資料!AR$2:AR$501,$BJ191)="","",INDEX(原始資料!AR$2:AR$501,$BJ191)))</f>
        <v/>
      </c>
      <c r="AQ191" s="6">
        <f>IF(OR($BJ191="",42&gt;設定!$B$3),"",IF(INDEX(原始資料!AS$2:AS$501,$BJ191)="","",INDEX(原始資料!AS$2:AS$501,$BJ191)))</f>
        <v/>
      </c>
      <c r="AR191" s="6">
        <f>IF(OR($BJ191="",43&gt;設定!$B$3),"",IF(INDEX(原始資料!AT$2:AT$501,$BJ191)="","",INDEX(原始資料!AT$2:AT$501,$BJ191)))</f>
        <v/>
      </c>
      <c r="AS191" s="6">
        <f>IF(OR($BJ191="",44&gt;設定!$B$3),"",IF(INDEX(原始資料!AU$2:AU$501,$BJ191)="","",INDEX(原始資料!AU$2:AU$501,$BJ191)))</f>
        <v/>
      </c>
      <c r="AT191" s="6">
        <f>IF(OR($BJ191="",45&gt;設定!$B$3),"",IF(INDEX(原始資料!AV$2:AV$501,$BJ191)="","",INDEX(原始資料!AV$2:AV$501,$BJ191)))</f>
        <v/>
      </c>
      <c r="AU191" s="6">
        <f>IF(OR($BJ191="",46&gt;設定!$B$3),"",IF(INDEX(原始資料!AW$2:AW$501,$BJ191)="","",INDEX(原始資料!AW$2:AW$501,$BJ191)))</f>
        <v/>
      </c>
      <c r="AV191" s="6">
        <f>IF(OR($BJ191="",47&gt;設定!$B$3),"",IF(INDEX(原始資料!AX$2:AX$501,$BJ191)="","",INDEX(原始資料!AX$2:AX$501,$BJ191)))</f>
        <v/>
      </c>
      <c r="AW191" s="6">
        <f>IF(OR($BJ191="",48&gt;設定!$B$3),"",IF(INDEX(原始資料!AY$2:AY$501,$BJ191)="","",INDEX(原始資料!AY$2:AY$501,$BJ191)))</f>
        <v/>
      </c>
      <c r="AX191" s="6">
        <f>IF(OR($BJ191="",49&gt;設定!$B$3),"",IF(INDEX(原始資料!AZ$2:AZ$501,$BJ191)="","",INDEX(原始資料!AZ$2:AZ$501,$BJ191)))</f>
        <v/>
      </c>
      <c r="AY191" s="6">
        <f>IF(OR($BJ191="",50&gt;設定!$B$3),"",IF(INDEX(原始資料!BA$2:BA$501,$BJ191)="","",INDEX(原始資料!BA$2:BA$501,$BJ191)))</f>
        <v/>
      </c>
      <c r="AZ191" s="6">
        <f>IF(OR($BJ191="",51&gt;設定!$B$3),"",IF(INDEX(原始資料!BB$2:BB$501,$BJ191)="","",INDEX(原始資料!BB$2:BB$501,$BJ191)))</f>
        <v/>
      </c>
      <c r="BA191" s="6">
        <f>IF(OR($BJ191="",52&gt;設定!$B$3),"",IF(INDEX(原始資料!BC$2:BC$501,$BJ191)="","",INDEX(原始資料!BC$2:BC$501,$BJ191)))</f>
        <v/>
      </c>
      <c r="BB191" s="6">
        <f>IF(OR($BJ191="",53&gt;設定!$B$3),"",IF(INDEX(原始資料!BD$2:BD$501,$BJ191)="","",INDEX(原始資料!BD$2:BD$501,$BJ191)))</f>
        <v/>
      </c>
      <c r="BC191" s="6">
        <f>IF(OR($BJ191="",54&gt;設定!$B$3),"",IF(INDEX(原始資料!BE$2:BE$501,$BJ191)="","",INDEX(原始資料!BE$2:BE$501,$BJ191)))</f>
        <v/>
      </c>
      <c r="BD191" s="6">
        <f>IF(OR($BJ191="",55&gt;設定!$B$3),"",IF(INDEX(原始資料!BF$2:BF$501,$BJ191)="","",INDEX(原始資料!BF$2:BF$501,$BJ191)))</f>
        <v/>
      </c>
      <c r="BE191" s="6">
        <f>IF(OR($BJ191="",56&gt;設定!$B$3),"",IF(INDEX(原始資料!BG$2:BG$501,$BJ191)="","",INDEX(原始資料!BG$2:BG$501,$BJ191)))</f>
        <v/>
      </c>
      <c r="BF191" s="6">
        <f>IF(OR($BJ191="",57&gt;設定!$B$3),"",IF(INDEX(原始資料!BH$2:BH$501,$BJ191)="","",INDEX(原始資料!BH$2:BH$501,$BJ191)))</f>
        <v/>
      </c>
      <c r="BG191" s="6">
        <f>IF(OR($BJ191="",58&gt;設定!$B$3),"",IF(INDEX(原始資料!BI$2:BI$501,$BJ191)="","",INDEX(原始資料!BI$2:BI$501,$BJ191)))</f>
        <v/>
      </c>
      <c r="BH191" s="6">
        <f>IF(OR($BJ191="",59&gt;設定!$B$3),"",IF(INDEX(原始資料!BJ$2:BJ$501,$BJ191)="","",INDEX(原始資料!BJ$2:BJ$501,$BJ191)))</f>
        <v/>
      </c>
      <c r="BI191" s="6">
        <f>IF(OR($BJ191="",60&gt;設定!$B$3),"",IF(INDEX(原始資料!BK$2:BK$501,$BJ191)="","",INDEX(原始資料!BK$2:BK$501,$BJ191)))</f>
        <v/>
      </c>
      <c r="BJ191" s="6">
        <f>IFERROR(MATCH(ROW()-1,判定!$H$2:$H$501,0),"")</f>
        <v/>
      </c>
    </row>
    <row r="192">
      <c r="A192" s="6">
        <f>IF($BJ192="","",INDEX(原始資料!$A$2:$A$501,$BJ192))</f>
        <v/>
      </c>
      <c r="B192" s="6">
        <f>IF(OR($BJ192="",1&gt;設定!$B$3),"",IF(INDEX(原始資料!D$2:D$501,$BJ192)="","",INDEX(原始資料!D$2:D$501,$BJ192)))</f>
        <v/>
      </c>
      <c r="C192" s="6">
        <f>IF(OR($BJ192="",2&gt;設定!$B$3),"",IF(INDEX(原始資料!E$2:E$501,$BJ192)="","",INDEX(原始資料!E$2:E$501,$BJ192)))</f>
        <v/>
      </c>
      <c r="D192" s="6">
        <f>IF(OR($BJ192="",3&gt;設定!$B$3),"",IF(INDEX(原始資料!F$2:F$501,$BJ192)="","",INDEX(原始資料!F$2:F$501,$BJ192)))</f>
        <v/>
      </c>
      <c r="E192" s="6">
        <f>IF(OR($BJ192="",4&gt;設定!$B$3),"",IF(INDEX(原始資料!G$2:G$501,$BJ192)="","",INDEX(原始資料!G$2:G$501,$BJ192)))</f>
        <v/>
      </c>
      <c r="F192" s="6">
        <f>IF(OR($BJ192="",5&gt;設定!$B$3),"",IF(INDEX(原始資料!H$2:H$501,$BJ192)="","",INDEX(原始資料!H$2:H$501,$BJ192)))</f>
        <v/>
      </c>
      <c r="G192" s="6">
        <f>IF(OR($BJ192="",6&gt;設定!$B$3),"",IF(INDEX(原始資料!I$2:I$501,$BJ192)="","",INDEX(原始資料!I$2:I$501,$BJ192)))</f>
        <v/>
      </c>
      <c r="H192" s="6">
        <f>IF(OR($BJ192="",7&gt;設定!$B$3),"",IF(INDEX(原始資料!J$2:J$501,$BJ192)="","",INDEX(原始資料!J$2:J$501,$BJ192)))</f>
        <v/>
      </c>
      <c r="I192" s="6">
        <f>IF(OR($BJ192="",8&gt;設定!$B$3),"",IF(INDEX(原始資料!K$2:K$501,$BJ192)="","",INDEX(原始資料!K$2:K$501,$BJ192)))</f>
        <v/>
      </c>
      <c r="J192" s="6">
        <f>IF(OR($BJ192="",9&gt;設定!$B$3),"",IF(INDEX(原始資料!L$2:L$501,$BJ192)="","",INDEX(原始資料!L$2:L$501,$BJ192)))</f>
        <v/>
      </c>
      <c r="K192" s="6">
        <f>IF(OR($BJ192="",10&gt;設定!$B$3),"",IF(INDEX(原始資料!M$2:M$501,$BJ192)="","",INDEX(原始資料!M$2:M$501,$BJ192)))</f>
        <v/>
      </c>
      <c r="L192" s="6">
        <f>IF(OR($BJ192="",11&gt;設定!$B$3),"",IF(INDEX(原始資料!N$2:N$501,$BJ192)="","",INDEX(原始資料!N$2:N$501,$BJ192)))</f>
        <v/>
      </c>
      <c r="M192" s="6">
        <f>IF(OR($BJ192="",12&gt;設定!$B$3),"",IF(INDEX(原始資料!O$2:O$501,$BJ192)="","",INDEX(原始資料!O$2:O$501,$BJ192)))</f>
        <v/>
      </c>
      <c r="N192" s="6">
        <f>IF(OR($BJ192="",13&gt;設定!$B$3),"",IF(INDEX(原始資料!P$2:P$501,$BJ192)="","",INDEX(原始資料!P$2:P$501,$BJ192)))</f>
        <v/>
      </c>
      <c r="O192" s="6">
        <f>IF(OR($BJ192="",14&gt;設定!$B$3),"",IF(INDEX(原始資料!Q$2:Q$501,$BJ192)="","",INDEX(原始資料!Q$2:Q$501,$BJ192)))</f>
        <v/>
      </c>
      <c r="P192" s="6">
        <f>IF(OR($BJ192="",15&gt;設定!$B$3),"",IF(INDEX(原始資料!R$2:R$501,$BJ192)="","",INDEX(原始資料!R$2:R$501,$BJ192)))</f>
        <v/>
      </c>
      <c r="Q192" s="6">
        <f>IF(OR($BJ192="",16&gt;設定!$B$3),"",IF(INDEX(原始資料!S$2:S$501,$BJ192)="","",INDEX(原始資料!S$2:S$501,$BJ192)))</f>
        <v/>
      </c>
      <c r="R192" s="6">
        <f>IF(OR($BJ192="",17&gt;設定!$B$3),"",IF(INDEX(原始資料!T$2:T$501,$BJ192)="","",INDEX(原始資料!T$2:T$501,$BJ192)))</f>
        <v/>
      </c>
      <c r="S192" s="6">
        <f>IF(OR($BJ192="",18&gt;設定!$B$3),"",IF(INDEX(原始資料!U$2:U$501,$BJ192)="","",INDEX(原始資料!U$2:U$501,$BJ192)))</f>
        <v/>
      </c>
      <c r="T192" s="6">
        <f>IF(OR($BJ192="",19&gt;設定!$B$3),"",IF(INDEX(原始資料!V$2:V$501,$BJ192)="","",INDEX(原始資料!V$2:V$501,$BJ192)))</f>
        <v/>
      </c>
      <c r="U192" s="6">
        <f>IF(OR($BJ192="",20&gt;設定!$B$3),"",IF(INDEX(原始資料!W$2:W$501,$BJ192)="","",INDEX(原始資料!W$2:W$501,$BJ192)))</f>
        <v/>
      </c>
      <c r="V192" s="6">
        <f>IF(OR($BJ192="",21&gt;設定!$B$3),"",IF(INDEX(原始資料!X$2:X$501,$BJ192)="","",INDEX(原始資料!X$2:X$501,$BJ192)))</f>
        <v/>
      </c>
      <c r="W192" s="6">
        <f>IF(OR($BJ192="",22&gt;設定!$B$3),"",IF(INDEX(原始資料!Y$2:Y$501,$BJ192)="","",INDEX(原始資料!Y$2:Y$501,$BJ192)))</f>
        <v/>
      </c>
      <c r="X192" s="6">
        <f>IF(OR($BJ192="",23&gt;設定!$B$3),"",IF(INDEX(原始資料!Z$2:Z$501,$BJ192)="","",INDEX(原始資料!Z$2:Z$501,$BJ192)))</f>
        <v/>
      </c>
      <c r="Y192" s="6">
        <f>IF(OR($BJ192="",24&gt;設定!$B$3),"",IF(INDEX(原始資料!AA$2:AA$501,$BJ192)="","",INDEX(原始資料!AA$2:AA$501,$BJ192)))</f>
        <v/>
      </c>
      <c r="Z192" s="6">
        <f>IF(OR($BJ192="",25&gt;設定!$B$3),"",IF(INDEX(原始資料!AB$2:AB$501,$BJ192)="","",INDEX(原始資料!AB$2:AB$501,$BJ192)))</f>
        <v/>
      </c>
      <c r="AA192" s="6">
        <f>IF(OR($BJ192="",26&gt;設定!$B$3),"",IF(INDEX(原始資料!AC$2:AC$501,$BJ192)="","",INDEX(原始資料!AC$2:AC$501,$BJ192)))</f>
        <v/>
      </c>
      <c r="AB192" s="6">
        <f>IF(OR($BJ192="",27&gt;設定!$B$3),"",IF(INDEX(原始資料!AD$2:AD$501,$BJ192)="","",INDEX(原始資料!AD$2:AD$501,$BJ192)))</f>
        <v/>
      </c>
      <c r="AC192" s="6">
        <f>IF(OR($BJ192="",28&gt;設定!$B$3),"",IF(INDEX(原始資料!AE$2:AE$501,$BJ192)="","",INDEX(原始資料!AE$2:AE$501,$BJ192)))</f>
        <v/>
      </c>
      <c r="AD192" s="6">
        <f>IF(OR($BJ192="",29&gt;設定!$B$3),"",IF(INDEX(原始資料!AF$2:AF$501,$BJ192)="","",INDEX(原始資料!AF$2:AF$501,$BJ192)))</f>
        <v/>
      </c>
      <c r="AE192" s="6">
        <f>IF(OR($BJ192="",30&gt;設定!$B$3),"",IF(INDEX(原始資料!AG$2:AG$501,$BJ192)="","",INDEX(原始資料!AG$2:AG$501,$BJ192)))</f>
        <v/>
      </c>
      <c r="AF192" s="6">
        <f>IF(OR($BJ192="",31&gt;設定!$B$3),"",IF(INDEX(原始資料!AH$2:AH$501,$BJ192)="","",INDEX(原始資料!AH$2:AH$501,$BJ192)))</f>
        <v/>
      </c>
      <c r="AG192" s="6">
        <f>IF(OR($BJ192="",32&gt;設定!$B$3),"",IF(INDEX(原始資料!AI$2:AI$501,$BJ192)="","",INDEX(原始資料!AI$2:AI$501,$BJ192)))</f>
        <v/>
      </c>
      <c r="AH192" s="6">
        <f>IF(OR($BJ192="",33&gt;設定!$B$3),"",IF(INDEX(原始資料!AJ$2:AJ$501,$BJ192)="","",INDEX(原始資料!AJ$2:AJ$501,$BJ192)))</f>
        <v/>
      </c>
      <c r="AI192" s="6">
        <f>IF(OR($BJ192="",34&gt;設定!$B$3),"",IF(INDEX(原始資料!AK$2:AK$501,$BJ192)="","",INDEX(原始資料!AK$2:AK$501,$BJ192)))</f>
        <v/>
      </c>
      <c r="AJ192" s="6">
        <f>IF(OR($BJ192="",35&gt;設定!$B$3),"",IF(INDEX(原始資料!AL$2:AL$501,$BJ192)="","",INDEX(原始資料!AL$2:AL$501,$BJ192)))</f>
        <v/>
      </c>
      <c r="AK192" s="6">
        <f>IF(OR($BJ192="",36&gt;設定!$B$3),"",IF(INDEX(原始資料!AM$2:AM$501,$BJ192)="","",INDEX(原始資料!AM$2:AM$501,$BJ192)))</f>
        <v/>
      </c>
      <c r="AL192" s="6">
        <f>IF(OR($BJ192="",37&gt;設定!$B$3),"",IF(INDEX(原始資料!AN$2:AN$501,$BJ192)="","",INDEX(原始資料!AN$2:AN$501,$BJ192)))</f>
        <v/>
      </c>
      <c r="AM192" s="6">
        <f>IF(OR($BJ192="",38&gt;設定!$B$3),"",IF(INDEX(原始資料!AO$2:AO$501,$BJ192)="","",INDEX(原始資料!AO$2:AO$501,$BJ192)))</f>
        <v/>
      </c>
      <c r="AN192" s="6">
        <f>IF(OR($BJ192="",39&gt;設定!$B$3),"",IF(INDEX(原始資料!AP$2:AP$501,$BJ192)="","",INDEX(原始資料!AP$2:AP$501,$BJ192)))</f>
        <v/>
      </c>
      <c r="AO192" s="6">
        <f>IF(OR($BJ192="",40&gt;設定!$B$3),"",IF(INDEX(原始資料!AQ$2:AQ$501,$BJ192)="","",INDEX(原始資料!AQ$2:AQ$501,$BJ192)))</f>
        <v/>
      </c>
      <c r="AP192" s="6">
        <f>IF(OR($BJ192="",41&gt;設定!$B$3),"",IF(INDEX(原始資料!AR$2:AR$501,$BJ192)="","",INDEX(原始資料!AR$2:AR$501,$BJ192)))</f>
        <v/>
      </c>
      <c r="AQ192" s="6">
        <f>IF(OR($BJ192="",42&gt;設定!$B$3),"",IF(INDEX(原始資料!AS$2:AS$501,$BJ192)="","",INDEX(原始資料!AS$2:AS$501,$BJ192)))</f>
        <v/>
      </c>
      <c r="AR192" s="6">
        <f>IF(OR($BJ192="",43&gt;設定!$B$3),"",IF(INDEX(原始資料!AT$2:AT$501,$BJ192)="","",INDEX(原始資料!AT$2:AT$501,$BJ192)))</f>
        <v/>
      </c>
      <c r="AS192" s="6">
        <f>IF(OR($BJ192="",44&gt;設定!$B$3),"",IF(INDEX(原始資料!AU$2:AU$501,$BJ192)="","",INDEX(原始資料!AU$2:AU$501,$BJ192)))</f>
        <v/>
      </c>
      <c r="AT192" s="6">
        <f>IF(OR($BJ192="",45&gt;設定!$B$3),"",IF(INDEX(原始資料!AV$2:AV$501,$BJ192)="","",INDEX(原始資料!AV$2:AV$501,$BJ192)))</f>
        <v/>
      </c>
      <c r="AU192" s="6">
        <f>IF(OR($BJ192="",46&gt;設定!$B$3),"",IF(INDEX(原始資料!AW$2:AW$501,$BJ192)="","",INDEX(原始資料!AW$2:AW$501,$BJ192)))</f>
        <v/>
      </c>
      <c r="AV192" s="6">
        <f>IF(OR($BJ192="",47&gt;設定!$B$3),"",IF(INDEX(原始資料!AX$2:AX$501,$BJ192)="","",INDEX(原始資料!AX$2:AX$501,$BJ192)))</f>
        <v/>
      </c>
      <c r="AW192" s="6">
        <f>IF(OR($BJ192="",48&gt;設定!$B$3),"",IF(INDEX(原始資料!AY$2:AY$501,$BJ192)="","",INDEX(原始資料!AY$2:AY$501,$BJ192)))</f>
        <v/>
      </c>
      <c r="AX192" s="6">
        <f>IF(OR($BJ192="",49&gt;設定!$B$3),"",IF(INDEX(原始資料!AZ$2:AZ$501,$BJ192)="","",INDEX(原始資料!AZ$2:AZ$501,$BJ192)))</f>
        <v/>
      </c>
      <c r="AY192" s="6">
        <f>IF(OR($BJ192="",50&gt;設定!$B$3),"",IF(INDEX(原始資料!BA$2:BA$501,$BJ192)="","",INDEX(原始資料!BA$2:BA$501,$BJ192)))</f>
        <v/>
      </c>
      <c r="AZ192" s="6">
        <f>IF(OR($BJ192="",51&gt;設定!$B$3),"",IF(INDEX(原始資料!BB$2:BB$501,$BJ192)="","",INDEX(原始資料!BB$2:BB$501,$BJ192)))</f>
        <v/>
      </c>
      <c r="BA192" s="6">
        <f>IF(OR($BJ192="",52&gt;設定!$B$3),"",IF(INDEX(原始資料!BC$2:BC$501,$BJ192)="","",INDEX(原始資料!BC$2:BC$501,$BJ192)))</f>
        <v/>
      </c>
      <c r="BB192" s="6">
        <f>IF(OR($BJ192="",53&gt;設定!$B$3),"",IF(INDEX(原始資料!BD$2:BD$501,$BJ192)="","",INDEX(原始資料!BD$2:BD$501,$BJ192)))</f>
        <v/>
      </c>
      <c r="BC192" s="6">
        <f>IF(OR($BJ192="",54&gt;設定!$B$3),"",IF(INDEX(原始資料!BE$2:BE$501,$BJ192)="","",INDEX(原始資料!BE$2:BE$501,$BJ192)))</f>
        <v/>
      </c>
      <c r="BD192" s="6">
        <f>IF(OR($BJ192="",55&gt;設定!$B$3),"",IF(INDEX(原始資料!BF$2:BF$501,$BJ192)="","",INDEX(原始資料!BF$2:BF$501,$BJ192)))</f>
        <v/>
      </c>
      <c r="BE192" s="6">
        <f>IF(OR($BJ192="",56&gt;設定!$B$3),"",IF(INDEX(原始資料!BG$2:BG$501,$BJ192)="","",INDEX(原始資料!BG$2:BG$501,$BJ192)))</f>
        <v/>
      </c>
      <c r="BF192" s="6">
        <f>IF(OR($BJ192="",57&gt;設定!$B$3),"",IF(INDEX(原始資料!BH$2:BH$501,$BJ192)="","",INDEX(原始資料!BH$2:BH$501,$BJ192)))</f>
        <v/>
      </c>
      <c r="BG192" s="6">
        <f>IF(OR($BJ192="",58&gt;設定!$B$3),"",IF(INDEX(原始資料!BI$2:BI$501,$BJ192)="","",INDEX(原始資料!BI$2:BI$501,$BJ192)))</f>
        <v/>
      </c>
      <c r="BH192" s="6">
        <f>IF(OR($BJ192="",59&gt;設定!$B$3),"",IF(INDEX(原始資料!BJ$2:BJ$501,$BJ192)="","",INDEX(原始資料!BJ$2:BJ$501,$BJ192)))</f>
        <v/>
      </c>
      <c r="BI192" s="6">
        <f>IF(OR($BJ192="",60&gt;設定!$B$3),"",IF(INDEX(原始資料!BK$2:BK$501,$BJ192)="","",INDEX(原始資料!BK$2:BK$501,$BJ192)))</f>
        <v/>
      </c>
      <c r="BJ192" s="6">
        <f>IFERROR(MATCH(ROW()-1,判定!$H$2:$H$501,0),"")</f>
        <v/>
      </c>
    </row>
    <row r="193">
      <c r="A193" s="6">
        <f>IF($BJ193="","",INDEX(原始資料!$A$2:$A$501,$BJ193))</f>
        <v/>
      </c>
      <c r="B193" s="6">
        <f>IF(OR($BJ193="",1&gt;設定!$B$3),"",IF(INDEX(原始資料!D$2:D$501,$BJ193)="","",INDEX(原始資料!D$2:D$501,$BJ193)))</f>
        <v/>
      </c>
      <c r="C193" s="6">
        <f>IF(OR($BJ193="",2&gt;設定!$B$3),"",IF(INDEX(原始資料!E$2:E$501,$BJ193)="","",INDEX(原始資料!E$2:E$501,$BJ193)))</f>
        <v/>
      </c>
      <c r="D193" s="6">
        <f>IF(OR($BJ193="",3&gt;設定!$B$3),"",IF(INDEX(原始資料!F$2:F$501,$BJ193)="","",INDEX(原始資料!F$2:F$501,$BJ193)))</f>
        <v/>
      </c>
      <c r="E193" s="6">
        <f>IF(OR($BJ193="",4&gt;設定!$B$3),"",IF(INDEX(原始資料!G$2:G$501,$BJ193)="","",INDEX(原始資料!G$2:G$501,$BJ193)))</f>
        <v/>
      </c>
      <c r="F193" s="6">
        <f>IF(OR($BJ193="",5&gt;設定!$B$3),"",IF(INDEX(原始資料!H$2:H$501,$BJ193)="","",INDEX(原始資料!H$2:H$501,$BJ193)))</f>
        <v/>
      </c>
      <c r="G193" s="6">
        <f>IF(OR($BJ193="",6&gt;設定!$B$3),"",IF(INDEX(原始資料!I$2:I$501,$BJ193)="","",INDEX(原始資料!I$2:I$501,$BJ193)))</f>
        <v/>
      </c>
      <c r="H193" s="6">
        <f>IF(OR($BJ193="",7&gt;設定!$B$3),"",IF(INDEX(原始資料!J$2:J$501,$BJ193)="","",INDEX(原始資料!J$2:J$501,$BJ193)))</f>
        <v/>
      </c>
      <c r="I193" s="6">
        <f>IF(OR($BJ193="",8&gt;設定!$B$3),"",IF(INDEX(原始資料!K$2:K$501,$BJ193)="","",INDEX(原始資料!K$2:K$501,$BJ193)))</f>
        <v/>
      </c>
      <c r="J193" s="6">
        <f>IF(OR($BJ193="",9&gt;設定!$B$3),"",IF(INDEX(原始資料!L$2:L$501,$BJ193)="","",INDEX(原始資料!L$2:L$501,$BJ193)))</f>
        <v/>
      </c>
      <c r="K193" s="6">
        <f>IF(OR($BJ193="",10&gt;設定!$B$3),"",IF(INDEX(原始資料!M$2:M$501,$BJ193)="","",INDEX(原始資料!M$2:M$501,$BJ193)))</f>
        <v/>
      </c>
      <c r="L193" s="6">
        <f>IF(OR($BJ193="",11&gt;設定!$B$3),"",IF(INDEX(原始資料!N$2:N$501,$BJ193)="","",INDEX(原始資料!N$2:N$501,$BJ193)))</f>
        <v/>
      </c>
      <c r="M193" s="6">
        <f>IF(OR($BJ193="",12&gt;設定!$B$3),"",IF(INDEX(原始資料!O$2:O$501,$BJ193)="","",INDEX(原始資料!O$2:O$501,$BJ193)))</f>
        <v/>
      </c>
      <c r="N193" s="6">
        <f>IF(OR($BJ193="",13&gt;設定!$B$3),"",IF(INDEX(原始資料!P$2:P$501,$BJ193)="","",INDEX(原始資料!P$2:P$501,$BJ193)))</f>
        <v/>
      </c>
      <c r="O193" s="6">
        <f>IF(OR($BJ193="",14&gt;設定!$B$3),"",IF(INDEX(原始資料!Q$2:Q$501,$BJ193)="","",INDEX(原始資料!Q$2:Q$501,$BJ193)))</f>
        <v/>
      </c>
      <c r="P193" s="6">
        <f>IF(OR($BJ193="",15&gt;設定!$B$3),"",IF(INDEX(原始資料!R$2:R$501,$BJ193)="","",INDEX(原始資料!R$2:R$501,$BJ193)))</f>
        <v/>
      </c>
      <c r="Q193" s="6">
        <f>IF(OR($BJ193="",16&gt;設定!$B$3),"",IF(INDEX(原始資料!S$2:S$501,$BJ193)="","",INDEX(原始資料!S$2:S$501,$BJ193)))</f>
        <v/>
      </c>
      <c r="R193" s="6">
        <f>IF(OR($BJ193="",17&gt;設定!$B$3),"",IF(INDEX(原始資料!T$2:T$501,$BJ193)="","",INDEX(原始資料!T$2:T$501,$BJ193)))</f>
        <v/>
      </c>
      <c r="S193" s="6">
        <f>IF(OR($BJ193="",18&gt;設定!$B$3),"",IF(INDEX(原始資料!U$2:U$501,$BJ193)="","",INDEX(原始資料!U$2:U$501,$BJ193)))</f>
        <v/>
      </c>
      <c r="T193" s="6">
        <f>IF(OR($BJ193="",19&gt;設定!$B$3),"",IF(INDEX(原始資料!V$2:V$501,$BJ193)="","",INDEX(原始資料!V$2:V$501,$BJ193)))</f>
        <v/>
      </c>
      <c r="U193" s="6">
        <f>IF(OR($BJ193="",20&gt;設定!$B$3),"",IF(INDEX(原始資料!W$2:W$501,$BJ193)="","",INDEX(原始資料!W$2:W$501,$BJ193)))</f>
        <v/>
      </c>
      <c r="V193" s="6">
        <f>IF(OR($BJ193="",21&gt;設定!$B$3),"",IF(INDEX(原始資料!X$2:X$501,$BJ193)="","",INDEX(原始資料!X$2:X$501,$BJ193)))</f>
        <v/>
      </c>
      <c r="W193" s="6">
        <f>IF(OR($BJ193="",22&gt;設定!$B$3),"",IF(INDEX(原始資料!Y$2:Y$501,$BJ193)="","",INDEX(原始資料!Y$2:Y$501,$BJ193)))</f>
        <v/>
      </c>
      <c r="X193" s="6">
        <f>IF(OR($BJ193="",23&gt;設定!$B$3),"",IF(INDEX(原始資料!Z$2:Z$501,$BJ193)="","",INDEX(原始資料!Z$2:Z$501,$BJ193)))</f>
        <v/>
      </c>
      <c r="Y193" s="6">
        <f>IF(OR($BJ193="",24&gt;設定!$B$3),"",IF(INDEX(原始資料!AA$2:AA$501,$BJ193)="","",INDEX(原始資料!AA$2:AA$501,$BJ193)))</f>
        <v/>
      </c>
      <c r="Z193" s="6">
        <f>IF(OR($BJ193="",25&gt;設定!$B$3),"",IF(INDEX(原始資料!AB$2:AB$501,$BJ193)="","",INDEX(原始資料!AB$2:AB$501,$BJ193)))</f>
        <v/>
      </c>
      <c r="AA193" s="6">
        <f>IF(OR($BJ193="",26&gt;設定!$B$3),"",IF(INDEX(原始資料!AC$2:AC$501,$BJ193)="","",INDEX(原始資料!AC$2:AC$501,$BJ193)))</f>
        <v/>
      </c>
      <c r="AB193" s="6">
        <f>IF(OR($BJ193="",27&gt;設定!$B$3),"",IF(INDEX(原始資料!AD$2:AD$501,$BJ193)="","",INDEX(原始資料!AD$2:AD$501,$BJ193)))</f>
        <v/>
      </c>
      <c r="AC193" s="6">
        <f>IF(OR($BJ193="",28&gt;設定!$B$3),"",IF(INDEX(原始資料!AE$2:AE$501,$BJ193)="","",INDEX(原始資料!AE$2:AE$501,$BJ193)))</f>
        <v/>
      </c>
      <c r="AD193" s="6">
        <f>IF(OR($BJ193="",29&gt;設定!$B$3),"",IF(INDEX(原始資料!AF$2:AF$501,$BJ193)="","",INDEX(原始資料!AF$2:AF$501,$BJ193)))</f>
        <v/>
      </c>
      <c r="AE193" s="6">
        <f>IF(OR($BJ193="",30&gt;設定!$B$3),"",IF(INDEX(原始資料!AG$2:AG$501,$BJ193)="","",INDEX(原始資料!AG$2:AG$501,$BJ193)))</f>
        <v/>
      </c>
      <c r="AF193" s="6">
        <f>IF(OR($BJ193="",31&gt;設定!$B$3),"",IF(INDEX(原始資料!AH$2:AH$501,$BJ193)="","",INDEX(原始資料!AH$2:AH$501,$BJ193)))</f>
        <v/>
      </c>
      <c r="AG193" s="6">
        <f>IF(OR($BJ193="",32&gt;設定!$B$3),"",IF(INDEX(原始資料!AI$2:AI$501,$BJ193)="","",INDEX(原始資料!AI$2:AI$501,$BJ193)))</f>
        <v/>
      </c>
      <c r="AH193" s="6">
        <f>IF(OR($BJ193="",33&gt;設定!$B$3),"",IF(INDEX(原始資料!AJ$2:AJ$501,$BJ193)="","",INDEX(原始資料!AJ$2:AJ$501,$BJ193)))</f>
        <v/>
      </c>
      <c r="AI193" s="6">
        <f>IF(OR($BJ193="",34&gt;設定!$B$3),"",IF(INDEX(原始資料!AK$2:AK$501,$BJ193)="","",INDEX(原始資料!AK$2:AK$501,$BJ193)))</f>
        <v/>
      </c>
      <c r="AJ193" s="6">
        <f>IF(OR($BJ193="",35&gt;設定!$B$3),"",IF(INDEX(原始資料!AL$2:AL$501,$BJ193)="","",INDEX(原始資料!AL$2:AL$501,$BJ193)))</f>
        <v/>
      </c>
      <c r="AK193" s="6">
        <f>IF(OR($BJ193="",36&gt;設定!$B$3),"",IF(INDEX(原始資料!AM$2:AM$501,$BJ193)="","",INDEX(原始資料!AM$2:AM$501,$BJ193)))</f>
        <v/>
      </c>
      <c r="AL193" s="6">
        <f>IF(OR($BJ193="",37&gt;設定!$B$3),"",IF(INDEX(原始資料!AN$2:AN$501,$BJ193)="","",INDEX(原始資料!AN$2:AN$501,$BJ193)))</f>
        <v/>
      </c>
      <c r="AM193" s="6">
        <f>IF(OR($BJ193="",38&gt;設定!$B$3),"",IF(INDEX(原始資料!AO$2:AO$501,$BJ193)="","",INDEX(原始資料!AO$2:AO$501,$BJ193)))</f>
        <v/>
      </c>
      <c r="AN193" s="6">
        <f>IF(OR($BJ193="",39&gt;設定!$B$3),"",IF(INDEX(原始資料!AP$2:AP$501,$BJ193)="","",INDEX(原始資料!AP$2:AP$501,$BJ193)))</f>
        <v/>
      </c>
      <c r="AO193" s="6">
        <f>IF(OR($BJ193="",40&gt;設定!$B$3),"",IF(INDEX(原始資料!AQ$2:AQ$501,$BJ193)="","",INDEX(原始資料!AQ$2:AQ$501,$BJ193)))</f>
        <v/>
      </c>
      <c r="AP193" s="6">
        <f>IF(OR($BJ193="",41&gt;設定!$B$3),"",IF(INDEX(原始資料!AR$2:AR$501,$BJ193)="","",INDEX(原始資料!AR$2:AR$501,$BJ193)))</f>
        <v/>
      </c>
      <c r="AQ193" s="6">
        <f>IF(OR($BJ193="",42&gt;設定!$B$3),"",IF(INDEX(原始資料!AS$2:AS$501,$BJ193)="","",INDEX(原始資料!AS$2:AS$501,$BJ193)))</f>
        <v/>
      </c>
      <c r="AR193" s="6">
        <f>IF(OR($BJ193="",43&gt;設定!$B$3),"",IF(INDEX(原始資料!AT$2:AT$501,$BJ193)="","",INDEX(原始資料!AT$2:AT$501,$BJ193)))</f>
        <v/>
      </c>
      <c r="AS193" s="6">
        <f>IF(OR($BJ193="",44&gt;設定!$B$3),"",IF(INDEX(原始資料!AU$2:AU$501,$BJ193)="","",INDEX(原始資料!AU$2:AU$501,$BJ193)))</f>
        <v/>
      </c>
      <c r="AT193" s="6">
        <f>IF(OR($BJ193="",45&gt;設定!$B$3),"",IF(INDEX(原始資料!AV$2:AV$501,$BJ193)="","",INDEX(原始資料!AV$2:AV$501,$BJ193)))</f>
        <v/>
      </c>
      <c r="AU193" s="6">
        <f>IF(OR($BJ193="",46&gt;設定!$B$3),"",IF(INDEX(原始資料!AW$2:AW$501,$BJ193)="","",INDEX(原始資料!AW$2:AW$501,$BJ193)))</f>
        <v/>
      </c>
      <c r="AV193" s="6">
        <f>IF(OR($BJ193="",47&gt;設定!$B$3),"",IF(INDEX(原始資料!AX$2:AX$501,$BJ193)="","",INDEX(原始資料!AX$2:AX$501,$BJ193)))</f>
        <v/>
      </c>
      <c r="AW193" s="6">
        <f>IF(OR($BJ193="",48&gt;設定!$B$3),"",IF(INDEX(原始資料!AY$2:AY$501,$BJ193)="","",INDEX(原始資料!AY$2:AY$501,$BJ193)))</f>
        <v/>
      </c>
      <c r="AX193" s="6">
        <f>IF(OR($BJ193="",49&gt;設定!$B$3),"",IF(INDEX(原始資料!AZ$2:AZ$501,$BJ193)="","",INDEX(原始資料!AZ$2:AZ$501,$BJ193)))</f>
        <v/>
      </c>
      <c r="AY193" s="6">
        <f>IF(OR($BJ193="",50&gt;設定!$B$3),"",IF(INDEX(原始資料!BA$2:BA$501,$BJ193)="","",INDEX(原始資料!BA$2:BA$501,$BJ193)))</f>
        <v/>
      </c>
      <c r="AZ193" s="6">
        <f>IF(OR($BJ193="",51&gt;設定!$B$3),"",IF(INDEX(原始資料!BB$2:BB$501,$BJ193)="","",INDEX(原始資料!BB$2:BB$501,$BJ193)))</f>
        <v/>
      </c>
      <c r="BA193" s="6">
        <f>IF(OR($BJ193="",52&gt;設定!$B$3),"",IF(INDEX(原始資料!BC$2:BC$501,$BJ193)="","",INDEX(原始資料!BC$2:BC$501,$BJ193)))</f>
        <v/>
      </c>
      <c r="BB193" s="6">
        <f>IF(OR($BJ193="",53&gt;設定!$B$3),"",IF(INDEX(原始資料!BD$2:BD$501,$BJ193)="","",INDEX(原始資料!BD$2:BD$501,$BJ193)))</f>
        <v/>
      </c>
      <c r="BC193" s="6">
        <f>IF(OR($BJ193="",54&gt;設定!$B$3),"",IF(INDEX(原始資料!BE$2:BE$501,$BJ193)="","",INDEX(原始資料!BE$2:BE$501,$BJ193)))</f>
        <v/>
      </c>
      <c r="BD193" s="6">
        <f>IF(OR($BJ193="",55&gt;設定!$B$3),"",IF(INDEX(原始資料!BF$2:BF$501,$BJ193)="","",INDEX(原始資料!BF$2:BF$501,$BJ193)))</f>
        <v/>
      </c>
      <c r="BE193" s="6">
        <f>IF(OR($BJ193="",56&gt;設定!$B$3),"",IF(INDEX(原始資料!BG$2:BG$501,$BJ193)="","",INDEX(原始資料!BG$2:BG$501,$BJ193)))</f>
        <v/>
      </c>
      <c r="BF193" s="6">
        <f>IF(OR($BJ193="",57&gt;設定!$B$3),"",IF(INDEX(原始資料!BH$2:BH$501,$BJ193)="","",INDEX(原始資料!BH$2:BH$501,$BJ193)))</f>
        <v/>
      </c>
      <c r="BG193" s="6">
        <f>IF(OR($BJ193="",58&gt;設定!$B$3),"",IF(INDEX(原始資料!BI$2:BI$501,$BJ193)="","",INDEX(原始資料!BI$2:BI$501,$BJ193)))</f>
        <v/>
      </c>
      <c r="BH193" s="6">
        <f>IF(OR($BJ193="",59&gt;設定!$B$3),"",IF(INDEX(原始資料!BJ$2:BJ$501,$BJ193)="","",INDEX(原始資料!BJ$2:BJ$501,$BJ193)))</f>
        <v/>
      </c>
      <c r="BI193" s="6">
        <f>IF(OR($BJ193="",60&gt;設定!$B$3),"",IF(INDEX(原始資料!BK$2:BK$501,$BJ193)="","",INDEX(原始資料!BK$2:BK$501,$BJ193)))</f>
        <v/>
      </c>
      <c r="BJ193" s="6">
        <f>IFERROR(MATCH(ROW()-1,判定!$H$2:$H$501,0),"")</f>
        <v/>
      </c>
    </row>
    <row r="194">
      <c r="A194" s="6">
        <f>IF($BJ194="","",INDEX(原始資料!$A$2:$A$501,$BJ194))</f>
        <v/>
      </c>
      <c r="B194" s="6">
        <f>IF(OR($BJ194="",1&gt;設定!$B$3),"",IF(INDEX(原始資料!D$2:D$501,$BJ194)="","",INDEX(原始資料!D$2:D$501,$BJ194)))</f>
        <v/>
      </c>
      <c r="C194" s="6">
        <f>IF(OR($BJ194="",2&gt;設定!$B$3),"",IF(INDEX(原始資料!E$2:E$501,$BJ194)="","",INDEX(原始資料!E$2:E$501,$BJ194)))</f>
        <v/>
      </c>
      <c r="D194" s="6">
        <f>IF(OR($BJ194="",3&gt;設定!$B$3),"",IF(INDEX(原始資料!F$2:F$501,$BJ194)="","",INDEX(原始資料!F$2:F$501,$BJ194)))</f>
        <v/>
      </c>
      <c r="E194" s="6">
        <f>IF(OR($BJ194="",4&gt;設定!$B$3),"",IF(INDEX(原始資料!G$2:G$501,$BJ194)="","",INDEX(原始資料!G$2:G$501,$BJ194)))</f>
        <v/>
      </c>
      <c r="F194" s="6">
        <f>IF(OR($BJ194="",5&gt;設定!$B$3),"",IF(INDEX(原始資料!H$2:H$501,$BJ194)="","",INDEX(原始資料!H$2:H$501,$BJ194)))</f>
        <v/>
      </c>
      <c r="G194" s="6">
        <f>IF(OR($BJ194="",6&gt;設定!$B$3),"",IF(INDEX(原始資料!I$2:I$501,$BJ194)="","",INDEX(原始資料!I$2:I$501,$BJ194)))</f>
        <v/>
      </c>
      <c r="H194" s="6">
        <f>IF(OR($BJ194="",7&gt;設定!$B$3),"",IF(INDEX(原始資料!J$2:J$501,$BJ194)="","",INDEX(原始資料!J$2:J$501,$BJ194)))</f>
        <v/>
      </c>
      <c r="I194" s="6">
        <f>IF(OR($BJ194="",8&gt;設定!$B$3),"",IF(INDEX(原始資料!K$2:K$501,$BJ194)="","",INDEX(原始資料!K$2:K$501,$BJ194)))</f>
        <v/>
      </c>
      <c r="J194" s="6">
        <f>IF(OR($BJ194="",9&gt;設定!$B$3),"",IF(INDEX(原始資料!L$2:L$501,$BJ194)="","",INDEX(原始資料!L$2:L$501,$BJ194)))</f>
        <v/>
      </c>
      <c r="K194" s="6">
        <f>IF(OR($BJ194="",10&gt;設定!$B$3),"",IF(INDEX(原始資料!M$2:M$501,$BJ194)="","",INDEX(原始資料!M$2:M$501,$BJ194)))</f>
        <v/>
      </c>
      <c r="L194" s="6">
        <f>IF(OR($BJ194="",11&gt;設定!$B$3),"",IF(INDEX(原始資料!N$2:N$501,$BJ194)="","",INDEX(原始資料!N$2:N$501,$BJ194)))</f>
        <v/>
      </c>
      <c r="M194" s="6">
        <f>IF(OR($BJ194="",12&gt;設定!$B$3),"",IF(INDEX(原始資料!O$2:O$501,$BJ194)="","",INDEX(原始資料!O$2:O$501,$BJ194)))</f>
        <v/>
      </c>
      <c r="N194" s="6">
        <f>IF(OR($BJ194="",13&gt;設定!$B$3),"",IF(INDEX(原始資料!P$2:P$501,$BJ194)="","",INDEX(原始資料!P$2:P$501,$BJ194)))</f>
        <v/>
      </c>
      <c r="O194" s="6">
        <f>IF(OR($BJ194="",14&gt;設定!$B$3),"",IF(INDEX(原始資料!Q$2:Q$501,$BJ194)="","",INDEX(原始資料!Q$2:Q$501,$BJ194)))</f>
        <v/>
      </c>
      <c r="P194" s="6">
        <f>IF(OR($BJ194="",15&gt;設定!$B$3),"",IF(INDEX(原始資料!R$2:R$501,$BJ194)="","",INDEX(原始資料!R$2:R$501,$BJ194)))</f>
        <v/>
      </c>
      <c r="Q194" s="6">
        <f>IF(OR($BJ194="",16&gt;設定!$B$3),"",IF(INDEX(原始資料!S$2:S$501,$BJ194)="","",INDEX(原始資料!S$2:S$501,$BJ194)))</f>
        <v/>
      </c>
      <c r="R194" s="6">
        <f>IF(OR($BJ194="",17&gt;設定!$B$3),"",IF(INDEX(原始資料!T$2:T$501,$BJ194)="","",INDEX(原始資料!T$2:T$501,$BJ194)))</f>
        <v/>
      </c>
      <c r="S194" s="6">
        <f>IF(OR($BJ194="",18&gt;設定!$B$3),"",IF(INDEX(原始資料!U$2:U$501,$BJ194)="","",INDEX(原始資料!U$2:U$501,$BJ194)))</f>
        <v/>
      </c>
      <c r="T194" s="6">
        <f>IF(OR($BJ194="",19&gt;設定!$B$3),"",IF(INDEX(原始資料!V$2:V$501,$BJ194)="","",INDEX(原始資料!V$2:V$501,$BJ194)))</f>
        <v/>
      </c>
      <c r="U194" s="6">
        <f>IF(OR($BJ194="",20&gt;設定!$B$3),"",IF(INDEX(原始資料!W$2:W$501,$BJ194)="","",INDEX(原始資料!W$2:W$501,$BJ194)))</f>
        <v/>
      </c>
      <c r="V194" s="6">
        <f>IF(OR($BJ194="",21&gt;設定!$B$3),"",IF(INDEX(原始資料!X$2:X$501,$BJ194)="","",INDEX(原始資料!X$2:X$501,$BJ194)))</f>
        <v/>
      </c>
      <c r="W194" s="6">
        <f>IF(OR($BJ194="",22&gt;設定!$B$3),"",IF(INDEX(原始資料!Y$2:Y$501,$BJ194)="","",INDEX(原始資料!Y$2:Y$501,$BJ194)))</f>
        <v/>
      </c>
      <c r="X194" s="6">
        <f>IF(OR($BJ194="",23&gt;設定!$B$3),"",IF(INDEX(原始資料!Z$2:Z$501,$BJ194)="","",INDEX(原始資料!Z$2:Z$501,$BJ194)))</f>
        <v/>
      </c>
      <c r="Y194" s="6">
        <f>IF(OR($BJ194="",24&gt;設定!$B$3),"",IF(INDEX(原始資料!AA$2:AA$501,$BJ194)="","",INDEX(原始資料!AA$2:AA$501,$BJ194)))</f>
        <v/>
      </c>
      <c r="Z194" s="6">
        <f>IF(OR($BJ194="",25&gt;設定!$B$3),"",IF(INDEX(原始資料!AB$2:AB$501,$BJ194)="","",INDEX(原始資料!AB$2:AB$501,$BJ194)))</f>
        <v/>
      </c>
      <c r="AA194" s="6">
        <f>IF(OR($BJ194="",26&gt;設定!$B$3),"",IF(INDEX(原始資料!AC$2:AC$501,$BJ194)="","",INDEX(原始資料!AC$2:AC$501,$BJ194)))</f>
        <v/>
      </c>
      <c r="AB194" s="6">
        <f>IF(OR($BJ194="",27&gt;設定!$B$3),"",IF(INDEX(原始資料!AD$2:AD$501,$BJ194)="","",INDEX(原始資料!AD$2:AD$501,$BJ194)))</f>
        <v/>
      </c>
      <c r="AC194" s="6">
        <f>IF(OR($BJ194="",28&gt;設定!$B$3),"",IF(INDEX(原始資料!AE$2:AE$501,$BJ194)="","",INDEX(原始資料!AE$2:AE$501,$BJ194)))</f>
        <v/>
      </c>
      <c r="AD194" s="6">
        <f>IF(OR($BJ194="",29&gt;設定!$B$3),"",IF(INDEX(原始資料!AF$2:AF$501,$BJ194)="","",INDEX(原始資料!AF$2:AF$501,$BJ194)))</f>
        <v/>
      </c>
      <c r="AE194" s="6">
        <f>IF(OR($BJ194="",30&gt;設定!$B$3),"",IF(INDEX(原始資料!AG$2:AG$501,$BJ194)="","",INDEX(原始資料!AG$2:AG$501,$BJ194)))</f>
        <v/>
      </c>
      <c r="AF194" s="6">
        <f>IF(OR($BJ194="",31&gt;設定!$B$3),"",IF(INDEX(原始資料!AH$2:AH$501,$BJ194)="","",INDEX(原始資料!AH$2:AH$501,$BJ194)))</f>
        <v/>
      </c>
      <c r="AG194" s="6">
        <f>IF(OR($BJ194="",32&gt;設定!$B$3),"",IF(INDEX(原始資料!AI$2:AI$501,$BJ194)="","",INDEX(原始資料!AI$2:AI$501,$BJ194)))</f>
        <v/>
      </c>
      <c r="AH194" s="6">
        <f>IF(OR($BJ194="",33&gt;設定!$B$3),"",IF(INDEX(原始資料!AJ$2:AJ$501,$BJ194)="","",INDEX(原始資料!AJ$2:AJ$501,$BJ194)))</f>
        <v/>
      </c>
      <c r="AI194" s="6">
        <f>IF(OR($BJ194="",34&gt;設定!$B$3),"",IF(INDEX(原始資料!AK$2:AK$501,$BJ194)="","",INDEX(原始資料!AK$2:AK$501,$BJ194)))</f>
        <v/>
      </c>
      <c r="AJ194" s="6">
        <f>IF(OR($BJ194="",35&gt;設定!$B$3),"",IF(INDEX(原始資料!AL$2:AL$501,$BJ194)="","",INDEX(原始資料!AL$2:AL$501,$BJ194)))</f>
        <v/>
      </c>
      <c r="AK194" s="6">
        <f>IF(OR($BJ194="",36&gt;設定!$B$3),"",IF(INDEX(原始資料!AM$2:AM$501,$BJ194)="","",INDEX(原始資料!AM$2:AM$501,$BJ194)))</f>
        <v/>
      </c>
      <c r="AL194" s="6">
        <f>IF(OR($BJ194="",37&gt;設定!$B$3),"",IF(INDEX(原始資料!AN$2:AN$501,$BJ194)="","",INDEX(原始資料!AN$2:AN$501,$BJ194)))</f>
        <v/>
      </c>
      <c r="AM194" s="6">
        <f>IF(OR($BJ194="",38&gt;設定!$B$3),"",IF(INDEX(原始資料!AO$2:AO$501,$BJ194)="","",INDEX(原始資料!AO$2:AO$501,$BJ194)))</f>
        <v/>
      </c>
      <c r="AN194" s="6">
        <f>IF(OR($BJ194="",39&gt;設定!$B$3),"",IF(INDEX(原始資料!AP$2:AP$501,$BJ194)="","",INDEX(原始資料!AP$2:AP$501,$BJ194)))</f>
        <v/>
      </c>
      <c r="AO194" s="6">
        <f>IF(OR($BJ194="",40&gt;設定!$B$3),"",IF(INDEX(原始資料!AQ$2:AQ$501,$BJ194)="","",INDEX(原始資料!AQ$2:AQ$501,$BJ194)))</f>
        <v/>
      </c>
      <c r="AP194" s="6">
        <f>IF(OR($BJ194="",41&gt;設定!$B$3),"",IF(INDEX(原始資料!AR$2:AR$501,$BJ194)="","",INDEX(原始資料!AR$2:AR$501,$BJ194)))</f>
        <v/>
      </c>
      <c r="AQ194" s="6">
        <f>IF(OR($BJ194="",42&gt;設定!$B$3),"",IF(INDEX(原始資料!AS$2:AS$501,$BJ194)="","",INDEX(原始資料!AS$2:AS$501,$BJ194)))</f>
        <v/>
      </c>
      <c r="AR194" s="6">
        <f>IF(OR($BJ194="",43&gt;設定!$B$3),"",IF(INDEX(原始資料!AT$2:AT$501,$BJ194)="","",INDEX(原始資料!AT$2:AT$501,$BJ194)))</f>
        <v/>
      </c>
      <c r="AS194" s="6">
        <f>IF(OR($BJ194="",44&gt;設定!$B$3),"",IF(INDEX(原始資料!AU$2:AU$501,$BJ194)="","",INDEX(原始資料!AU$2:AU$501,$BJ194)))</f>
        <v/>
      </c>
      <c r="AT194" s="6">
        <f>IF(OR($BJ194="",45&gt;設定!$B$3),"",IF(INDEX(原始資料!AV$2:AV$501,$BJ194)="","",INDEX(原始資料!AV$2:AV$501,$BJ194)))</f>
        <v/>
      </c>
      <c r="AU194" s="6">
        <f>IF(OR($BJ194="",46&gt;設定!$B$3),"",IF(INDEX(原始資料!AW$2:AW$501,$BJ194)="","",INDEX(原始資料!AW$2:AW$501,$BJ194)))</f>
        <v/>
      </c>
      <c r="AV194" s="6">
        <f>IF(OR($BJ194="",47&gt;設定!$B$3),"",IF(INDEX(原始資料!AX$2:AX$501,$BJ194)="","",INDEX(原始資料!AX$2:AX$501,$BJ194)))</f>
        <v/>
      </c>
      <c r="AW194" s="6">
        <f>IF(OR($BJ194="",48&gt;設定!$B$3),"",IF(INDEX(原始資料!AY$2:AY$501,$BJ194)="","",INDEX(原始資料!AY$2:AY$501,$BJ194)))</f>
        <v/>
      </c>
      <c r="AX194" s="6">
        <f>IF(OR($BJ194="",49&gt;設定!$B$3),"",IF(INDEX(原始資料!AZ$2:AZ$501,$BJ194)="","",INDEX(原始資料!AZ$2:AZ$501,$BJ194)))</f>
        <v/>
      </c>
      <c r="AY194" s="6">
        <f>IF(OR($BJ194="",50&gt;設定!$B$3),"",IF(INDEX(原始資料!BA$2:BA$501,$BJ194)="","",INDEX(原始資料!BA$2:BA$501,$BJ194)))</f>
        <v/>
      </c>
      <c r="AZ194" s="6">
        <f>IF(OR($BJ194="",51&gt;設定!$B$3),"",IF(INDEX(原始資料!BB$2:BB$501,$BJ194)="","",INDEX(原始資料!BB$2:BB$501,$BJ194)))</f>
        <v/>
      </c>
      <c r="BA194" s="6">
        <f>IF(OR($BJ194="",52&gt;設定!$B$3),"",IF(INDEX(原始資料!BC$2:BC$501,$BJ194)="","",INDEX(原始資料!BC$2:BC$501,$BJ194)))</f>
        <v/>
      </c>
      <c r="BB194" s="6">
        <f>IF(OR($BJ194="",53&gt;設定!$B$3),"",IF(INDEX(原始資料!BD$2:BD$501,$BJ194)="","",INDEX(原始資料!BD$2:BD$501,$BJ194)))</f>
        <v/>
      </c>
      <c r="BC194" s="6">
        <f>IF(OR($BJ194="",54&gt;設定!$B$3),"",IF(INDEX(原始資料!BE$2:BE$501,$BJ194)="","",INDEX(原始資料!BE$2:BE$501,$BJ194)))</f>
        <v/>
      </c>
      <c r="BD194" s="6">
        <f>IF(OR($BJ194="",55&gt;設定!$B$3),"",IF(INDEX(原始資料!BF$2:BF$501,$BJ194)="","",INDEX(原始資料!BF$2:BF$501,$BJ194)))</f>
        <v/>
      </c>
      <c r="BE194" s="6">
        <f>IF(OR($BJ194="",56&gt;設定!$B$3),"",IF(INDEX(原始資料!BG$2:BG$501,$BJ194)="","",INDEX(原始資料!BG$2:BG$501,$BJ194)))</f>
        <v/>
      </c>
      <c r="BF194" s="6">
        <f>IF(OR($BJ194="",57&gt;設定!$B$3),"",IF(INDEX(原始資料!BH$2:BH$501,$BJ194)="","",INDEX(原始資料!BH$2:BH$501,$BJ194)))</f>
        <v/>
      </c>
      <c r="BG194" s="6">
        <f>IF(OR($BJ194="",58&gt;設定!$B$3),"",IF(INDEX(原始資料!BI$2:BI$501,$BJ194)="","",INDEX(原始資料!BI$2:BI$501,$BJ194)))</f>
        <v/>
      </c>
      <c r="BH194" s="6">
        <f>IF(OR($BJ194="",59&gt;設定!$B$3),"",IF(INDEX(原始資料!BJ$2:BJ$501,$BJ194)="","",INDEX(原始資料!BJ$2:BJ$501,$BJ194)))</f>
        <v/>
      </c>
      <c r="BI194" s="6">
        <f>IF(OR($BJ194="",60&gt;設定!$B$3),"",IF(INDEX(原始資料!BK$2:BK$501,$BJ194)="","",INDEX(原始資料!BK$2:BK$501,$BJ194)))</f>
        <v/>
      </c>
      <c r="BJ194" s="6">
        <f>IFERROR(MATCH(ROW()-1,判定!$H$2:$H$501,0),"")</f>
        <v/>
      </c>
    </row>
    <row r="195">
      <c r="A195" s="6">
        <f>IF($BJ195="","",INDEX(原始資料!$A$2:$A$501,$BJ195))</f>
        <v/>
      </c>
      <c r="B195" s="6">
        <f>IF(OR($BJ195="",1&gt;設定!$B$3),"",IF(INDEX(原始資料!D$2:D$501,$BJ195)="","",INDEX(原始資料!D$2:D$501,$BJ195)))</f>
        <v/>
      </c>
      <c r="C195" s="6">
        <f>IF(OR($BJ195="",2&gt;設定!$B$3),"",IF(INDEX(原始資料!E$2:E$501,$BJ195)="","",INDEX(原始資料!E$2:E$501,$BJ195)))</f>
        <v/>
      </c>
      <c r="D195" s="6">
        <f>IF(OR($BJ195="",3&gt;設定!$B$3),"",IF(INDEX(原始資料!F$2:F$501,$BJ195)="","",INDEX(原始資料!F$2:F$501,$BJ195)))</f>
        <v/>
      </c>
      <c r="E195" s="6">
        <f>IF(OR($BJ195="",4&gt;設定!$B$3),"",IF(INDEX(原始資料!G$2:G$501,$BJ195)="","",INDEX(原始資料!G$2:G$501,$BJ195)))</f>
        <v/>
      </c>
      <c r="F195" s="6">
        <f>IF(OR($BJ195="",5&gt;設定!$B$3),"",IF(INDEX(原始資料!H$2:H$501,$BJ195)="","",INDEX(原始資料!H$2:H$501,$BJ195)))</f>
        <v/>
      </c>
      <c r="G195" s="6">
        <f>IF(OR($BJ195="",6&gt;設定!$B$3),"",IF(INDEX(原始資料!I$2:I$501,$BJ195)="","",INDEX(原始資料!I$2:I$501,$BJ195)))</f>
        <v/>
      </c>
      <c r="H195" s="6">
        <f>IF(OR($BJ195="",7&gt;設定!$B$3),"",IF(INDEX(原始資料!J$2:J$501,$BJ195)="","",INDEX(原始資料!J$2:J$501,$BJ195)))</f>
        <v/>
      </c>
      <c r="I195" s="6">
        <f>IF(OR($BJ195="",8&gt;設定!$B$3),"",IF(INDEX(原始資料!K$2:K$501,$BJ195)="","",INDEX(原始資料!K$2:K$501,$BJ195)))</f>
        <v/>
      </c>
      <c r="J195" s="6">
        <f>IF(OR($BJ195="",9&gt;設定!$B$3),"",IF(INDEX(原始資料!L$2:L$501,$BJ195)="","",INDEX(原始資料!L$2:L$501,$BJ195)))</f>
        <v/>
      </c>
      <c r="K195" s="6">
        <f>IF(OR($BJ195="",10&gt;設定!$B$3),"",IF(INDEX(原始資料!M$2:M$501,$BJ195)="","",INDEX(原始資料!M$2:M$501,$BJ195)))</f>
        <v/>
      </c>
      <c r="L195" s="6">
        <f>IF(OR($BJ195="",11&gt;設定!$B$3),"",IF(INDEX(原始資料!N$2:N$501,$BJ195)="","",INDEX(原始資料!N$2:N$501,$BJ195)))</f>
        <v/>
      </c>
      <c r="M195" s="6">
        <f>IF(OR($BJ195="",12&gt;設定!$B$3),"",IF(INDEX(原始資料!O$2:O$501,$BJ195)="","",INDEX(原始資料!O$2:O$501,$BJ195)))</f>
        <v/>
      </c>
      <c r="N195" s="6">
        <f>IF(OR($BJ195="",13&gt;設定!$B$3),"",IF(INDEX(原始資料!P$2:P$501,$BJ195)="","",INDEX(原始資料!P$2:P$501,$BJ195)))</f>
        <v/>
      </c>
      <c r="O195" s="6">
        <f>IF(OR($BJ195="",14&gt;設定!$B$3),"",IF(INDEX(原始資料!Q$2:Q$501,$BJ195)="","",INDEX(原始資料!Q$2:Q$501,$BJ195)))</f>
        <v/>
      </c>
      <c r="P195" s="6">
        <f>IF(OR($BJ195="",15&gt;設定!$B$3),"",IF(INDEX(原始資料!R$2:R$501,$BJ195)="","",INDEX(原始資料!R$2:R$501,$BJ195)))</f>
        <v/>
      </c>
      <c r="Q195" s="6">
        <f>IF(OR($BJ195="",16&gt;設定!$B$3),"",IF(INDEX(原始資料!S$2:S$501,$BJ195)="","",INDEX(原始資料!S$2:S$501,$BJ195)))</f>
        <v/>
      </c>
      <c r="R195" s="6">
        <f>IF(OR($BJ195="",17&gt;設定!$B$3),"",IF(INDEX(原始資料!T$2:T$501,$BJ195)="","",INDEX(原始資料!T$2:T$501,$BJ195)))</f>
        <v/>
      </c>
      <c r="S195" s="6">
        <f>IF(OR($BJ195="",18&gt;設定!$B$3),"",IF(INDEX(原始資料!U$2:U$501,$BJ195)="","",INDEX(原始資料!U$2:U$501,$BJ195)))</f>
        <v/>
      </c>
      <c r="T195" s="6">
        <f>IF(OR($BJ195="",19&gt;設定!$B$3),"",IF(INDEX(原始資料!V$2:V$501,$BJ195)="","",INDEX(原始資料!V$2:V$501,$BJ195)))</f>
        <v/>
      </c>
      <c r="U195" s="6">
        <f>IF(OR($BJ195="",20&gt;設定!$B$3),"",IF(INDEX(原始資料!W$2:W$501,$BJ195)="","",INDEX(原始資料!W$2:W$501,$BJ195)))</f>
        <v/>
      </c>
      <c r="V195" s="6">
        <f>IF(OR($BJ195="",21&gt;設定!$B$3),"",IF(INDEX(原始資料!X$2:X$501,$BJ195)="","",INDEX(原始資料!X$2:X$501,$BJ195)))</f>
        <v/>
      </c>
      <c r="W195" s="6">
        <f>IF(OR($BJ195="",22&gt;設定!$B$3),"",IF(INDEX(原始資料!Y$2:Y$501,$BJ195)="","",INDEX(原始資料!Y$2:Y$501,$BJ195)))</f>
        <v/>
      </c>
      <c r="X195" s="6">
        <f>IF(OR($BJ195="",23&gt;設定!$B$3),"",IF(INDEX(原始資料!Z$2:Z$501,$BJ195)="","",INDEX(原始資料!Z$2:Z$501,$BJ195)))</f>
        <v/>
      </c>
      <c r="Y195" s="6">
        <f>IF(OR($BJ195="",24&gt;設定!$B$3),"",IF(INDEX(原始資料!AA$2:AA$501,$BJ195)="","",INDEX(原始資料!AA$2:AA$501,$BJ195)))</f>
        <v/>
      </c>
      <c r="Z195" s="6">
        <f>IF(OR($BJ195="",25&gt;設定!$B$3),"",IF(INDEX(原始資料!AB$2:AB$501,$BJ195)="","",INDEX(原始資料!AB$2:AB$501,$BJ195)))</f>
        <v/>
      </c>
      <c r="AA195" s="6">
        <f>IF(OR($BJ195="",26&gt;設定!$B$3),"",IF(INDEX(原始資料!AC$2:AC$501,$BJ195)="","",INDEX(原始資料!AC$2:AC$501,$BJ195)))</f>
        <v/>
      </c>
      <c r="AB195" s="6">
        <f>IF(OR($BJ195="",27&gt;設定!$B$3),"",IF(INDEX(原始資料!AD$2:AD$501,$BJ195)="","",INDEX(原始資料!AD$2:AD$501,$BJ195)))</f>
        <v/>
      </c>
      <c r="AC195" s="6">
        <f>IF(OR($BJ195="",28&gt;設定!$B$3),"",IF(INDEX(原始資料!AE$2:AE$501,$BJ195)="","",INDEX(原始資料!AE$2:AE$501,$BJ195)))</f>
        <v/>
      </c>
      <c r="AD195" s="6">
        <f>IF(OR($BJ195="",29&gt;設定!$B$3),"",IF(INDEX(原始資料!AF$2:AF$501,$BJ195)="","",INDEX(原始資料!AF$2:AF$501,$BJ195)))</f>
        <v/>
      </c>
      <c r="AE195" s="6">
        <f>IF(OR($BJ195="",30&gt;設定!$B$3),"",IF(INDEX(原始資料!AG$2:AG$501,$BJ195)="","",INDEX(原始資料!AG$2:AG$501,$BJ195)))</f>
        <v/>
      </c>
      <c r="AF195" s="6">
        <f>IF(OR($BJ195="",31&gt;設定!$B$3),"",IF(INDEX(原始資料!AH$2:AH$501,$BJ195)="","",INDEX(原始資料!AH$2:AH$501,$BJ195)))</f>
        <v/>
      </c>
      <c r="AG195" s="6">
        <f>IF(OR($BJ195="",32&gt;設定!$B$3),"",IF(INDEX(原始資料!AI$2:AI$501,$BJ195)="","",INDEX(原始資料!AI$2:AI$501,$BJ195)))</f>
        <v/>
      </c>
      <c r="AH195" s="6">
        <f>IF(OR($BJ195="",33&gt;設定!$B$3),"",IF(INDEX(原始資料!AJ$2:AJ$501,$BJ195)="","",INDEX(原始資料!AJ$2:AJ$501,$BJ195)))</f>
        <v/>
      </c>
      <c r="AI195" s="6">
        <f>IF(OR($BJ195="",34&gt;設定!$B$3),"",IF(INDEX(原始資料!AK$2:AK$501,$BJ195)="","",INDEX(原始資料!AK$2:AK$501,$BJ195)))</f>
        <v/>
      </c>
      <c r="AJ195" s="6">
        <f>IF(OR($BJ195="",35&gt;設定!$B$3),"",IF(INDEX(原始資料!AL$2:AL$501,$BJ195)="","",INDEX(原始資料!AL$2:AL$501,$BJ195)))</f>
        <v/>
      </c>
      <c r="AK195" s="6">
        <f>IF(OR($BJ195="",36&gt;設定!$B$3),"",IF(INDEX(原始資料!AM$2:AM$501,$BJ195)="","",INDEX(原始資料!AM$2:AM$501,$BJ195)))</f>
        <v/>
      </c>
      <c r="AL195" s="6">
        <f>IF(OR($BJ195="",37&gt;設定!$B$3),"",IF(INDEX(原始資料!AN$2:AN$501,$BJ195)="","",INDEX(原始資料!AN$2:AN$501,$BJ195)))</f>
        <v/>
      </c>
      <c r="AM195" s="6">
        <f>IF(OR($BJ195="",38&gt;設定!$B$3),"",IF(INDEX(原始資料!AO$2:AO$501,$BJ195)="","",INDEX(原始資料!AO$2:AO$501,$BJ195)))</f>
        <v/>
      </c>
      <c r="AN195" s="6">
        <f>IF(OR($BJ195="",39&gt;設定!$B$3),"",IF(INDEX(原始資料!AP$2:AP$501,$BJ195)="","",INDEX(原始資料!AP$2:AP$501,$BJ195)))</f>
        <v/>
      </c>
      <c r="AO195" s="6">
        <f>IF(OR($BJ195="",40&gt;設定!$B$3),"",IF(INDEX(原始資料!AQ$2:AQ$501,$BJ195)="","",INDEX(原始資料!AQ$2:AQ$501,$BJ195)))</f>
        <v/>
      </c>
      <c r="AP195" s="6">
        <f>IF(OR($BJ195="",41&gt;設定!$B$3),"",IF(INDEX(原始資料!AR$2:AR$501,$BJ195)="","",INDEX(原始資料!AR$2:AR$501,$BJ195)))</f>
        <v/>
      </c>
      <c r="AQ195" s="6">
        <f>IF(OR($BJ195="",42&gt;設定!$B$3),"",IF(INDEX(原始資料!AS$2:AS$501,$BJ195)="","",INDEX(原始資料!AS$2:AS$501,$BJ195)))</f>
        <v/>
      </c>
      <c r="AR195" s="6">
        <f>IF(OR($BJ195="",43&gt;設定!$B$3),"",IF(INDEX(原始資料!AT$2:AT$501,$BJ195)="","",INDEX(原始資料!AT$2:AT$501,$BJ195)))</f>
        <v/>
      </c>
      <c r="AS195" s="6">
        <f>IF(OR($BJ195="",44&gt;設定!$B$3),"",IF(INDEX(原始資料!AU$2:AU$501,$BJ195)="","",INDEX(原始資料!AU$2:AU$501,$BJ195)))</f>
        <v/>
      </c>
      <c r="AT195" s="6">
        <f>IF(OR($BJ195="",45&gt;設定!$B$3),"",IF(INDEX(原始資料!AV$2:AV$501,$BJ195)="","",INDEX(原始資料!AV$2:AV$501,$BJ195)))</f>
        <v/>
      </c>
      <c r="AU195" s="6">
        <f>IF(OR($BJ195="",46&gt;設定!$B$3),"",IF(INDEX(原始資料!AW$2:AW$501,$BJ195)="","",INDEX(原始資料!AW$2:AW$501,$BJ195)))</f>
        <v/>
      </c>
      <c r="AV195" s="6">
        <f>IF(OR($BJ195="",47&gt;設定!$B$3),"",IF(INDEX(原始資料!AX$2:AX$501,$BJ195)="","",INDEX(原始資料!AX$2:AX$501,$BJ195)))</f>
        <v/>
      </c>
      <c r="AW195" s="6">
        <f>IF(OR($BJ195="",48&gt;設定!$B$3),"",IF(INDEX(原始資料!AY$2:AY$501,$BJ195)="","",INDEX(原始資料!AY$2:AY$501,$BJ195)))</f>
        <v/>
      </c>
      <c r="AX195" s="6">
        <f>IF(OR($BJ195="",49&gt;設定!$B$3),"",IF(INDEX(原始資料!AZ$2:AZ$501,$BJ195)="","",INDEX(原始資料!AZ$2:AZ$501,$BJ195)))</f>
        <v/>
      </c>
      <c r="AY195" s="6">
        <f>IF(OR($BJ195="",50&gt;設定!$B$3),"",IF(INDEX(原始資料!BA$2:BA$501,$BJ195)="","",INDEX(原始資料!BA$2:BA$501,$BJ195)))</f>
        <v/>
      </c>
      <c r="AZ195" s="6">
        <f>IF(OR($BJ195="",51&gt;設定!$B$3),"",IF(INDEX(原始資料!BB$2:BB$501,$BJ195)="","",INDEX(原始資料!BB$2:BB$501,$BJ195)))</f>
        <v/>
      </c>
      <c r="BA195" s="6">
        <f>IF(OR($BJ195="",52&gt;設定!$B$3),"",IF(INDEX(原始資料!BC$2:BC$501,$BJ195)="","",INDEX(原始資料!BC$2:BC$501,$BJ195)))</f>
        <v/>
      </c>
      <c r="BB195" s="6">
        <f>IF(OR($BJ195="",53&gt;設定!$B$3),"",IF(INDEX(原始資料!BD$2:BD$501,$BJ195)="","",INDEX(原始資料!BD$2:BD$501,$BJ195)))</f>
        <v/>
      </c>
      <c r="BC195" s="6">
        <f>IF(OR($BJ195="",54&gt;設定!$B$3),"",IF(INDEX(原始資料!BE$2:BE$501,$BJ195)="","",INDEX(原始資料!BE$2:BE$501,$BJ195)))</f>
        <v/>
      </c>
      <c r="BD195" s="6">
        <f>IF(OR($BJ195="",55&gt;設定!$B$3),"",IF(INDEX(原始資料!BF$2:BF$501,$BJ195)="","",INDEX(原始資料!BF$2:BF$501,$BJ195)))</f>
        <v/>
      </c>
      <c r="BE195" s="6">
        <f>IF(OR($BJ195="",56&gt;設定!$B$3),"",IF(INDEX(原始資料!BG$2:BG$501,$BJ195)="","",INDEX(原始資料!BG$2:BG$501,$BJ195)))</f>
        <v/>
      </c>
      <c r="BF195" s="6">
        <f>IF(OR($BJ195="",57&gt;設定!$B$3),"",IF(INDEX(原始資料!BH$2:BH$501,$BJ195)="","",INDEX(原始資料!BH$2:BH$501,$BJ195)))</f>
        <v/>
      </c>
      <c r="BG195" s="6">
        <f>IF(OR($BJ195="",58&gt;設定!$B$3),"",IF(INDEX(原始資料!BI$2:BI$501,$BJ195)="","",INDEX(原始資料!BI$2:BI$501,$BJ195)))</f>
        <v/>
      </c>
      <c r="BH195" s="6">
        <f>IF(OR($BJ195="",59&gt;設定!$B$3),"",IF(INDEX(原始資料!BJ$2:BJ$501,$BJ195)="","",INDEX(原始資料!BJ$2:BJ$501,$BJ195)))</f>
        <v/>
      </c>
      <c r="BI195" s="6">
        <f>IF(OR($BJ195="",60&gt;設定!$B$3),"",IF(INDEX(原始資料!BK$2:BK$501,$BJ195)="","",INDEX(原始資料!BK$2:BK$501,$BJ195)))</f>
        <v/>
      </c>
      <c r="BJ195" s="6">
        <f>IFERROR(MATCH(ROW()-1,判定!$H$2:$H$501,0),"")</f>
        <v/>
      </c>
    </row>
    <row r="196">
      <c r="A196" s="6">
        <f>IF($BJ196="","",INDEX(原始資料!$A$2:$A$501,$BJ196))</f>
        <v/>
      </c>
      <c r="B196" s="6">
        <f>IF(OR($BJ196="",1&gt;設定!$B$3),"",IF(INDEX(原始資料!D$2:D$501,$BJ196)="","",INDEX(原始資料!D$2:D$501,$BJ196)))</f>
        <v/>
      </c>
      <c r="C196" s="6">
        <f>IF(OR($BJ196="",2&gt;設定!$B$3),"",IF(INDEX(原始資料!E$2:E$501,$BJ196)="","",INDEX(原始資料!E$2:E$501,$BJ196)))</f>
        <v/>
      </c>
      <c r="D196" s="6">
        <f>IF(OR($BJ196="",3&gt;設定!$B$3),"",IF(INDEX(原始資料!F$2:F$501,$BJ196)="","",INDEX(原始資料!F$2:F$501,$BJ196)))</f>
        <v/>
      </c>
      <c r="E196" s="6">
        <f>IF(OR($BJ196="",4&gt;設定!$B$3),"",IF(INDEX(原始資料!G$2:G$501,$BJ196)="","",INDEX(原始資料!G$2:G$501,$BJ196)))</f>
        <v/>
      </c>
      <c r="F196" s="6">
        <f>IF(OR($BJ196="",5&gt;設定!$B$3),"",IF(INDEX(原始資料!H$2:H$501,$BJ196)="","",INDEX(原始資料!H$2:H$501,$BJ196)))</f>
        <v/>
      </c>
      <c r="G196" s="6">
        <f>IF(OR($BJ196="",6&gt;設定!$B$3),"",IF(INDEX(原始資料!I$2:I$501,$BJ196)="","",INDEX(原始資料!I$2:I$501,$BJ196)))</f>
        <v/>
      </c>
      <c r="H196" s="6">
        <f>IF(OR($BJ196="",7&gt;設定!$B$3),"",IF(INDEX(原始資料!J$2:J$501,$BJ196)="","",INDEX(原始資料!J$2:J$501,$BJ196)))</f>
        <v/>
      </c>
      <c r="I196" s="6">
        <f>IF(OR($BJ196="",8&gt;設定!$B$3),"",IF(INDEX(原始資料!K$2:K$501,$BJ196)="","",INDEX(原始資料!K$2:K$501,$BJ196)))</f>
        <v/>
      </c>
      <c r="J196" s="6">
        <f>IF(OR($BJ196="",9&gt;設定!$B$3),"",IF(INDEX(原始資料!L$2:L$501,$BJ196)="","",INDEX(原始資料!L$2:L$501,$BJ196)))</f>
        <v/>
      </c>
      <c r="K196" s="6">
        <f>IF(OR($BJ196="",10&gt;設定!$B$3),"",IF(INDEX(原始資料!M$2:M$501,$BJ196)="","",INDEX(原始資料!M$2:M$501,$BJ196)))</f>
        <v/>
      </c>
      <c r="L196" s="6">
        <f>IF(OR($BJ196="",11&gt;設定!$B$3),"",IF(INDEX(原始資料!N$2:N$501,$BJ196)="","",INDEX(原始資料!N$2:N$501,$BJ196)))</f>
        <v/>
      </c>
      <c r="M196" s="6">
        <f>IF(OR($BJ196="",12&gt;設定!$B$3),"",IF(INDEX(原始資料!O$2:O$501,$BJ196)="","",INDEX(原始資料!O$2:O$501,$BJ196)))</f>
        <v/>
      </c>
      <c r="N196" s="6">
        <f>IF(OR($BJ196="",13&gt;設定!$B$3),"",IF(INDEX(原始資料!P$2:P$501,$BJ196)="","",INDEX(原始資料!P$2:P$501,$BJ196)))</f>
        <v/>
      </c>
      <c r="O196" s="6">
        <f>IF(OR($BJ196="",14&gt;設定!$B$3),"",IF(INDEX(原始資料!Q$2:Q$501,$BJ196)="","",INDEX(原始資料!Q$2:Q$501,$BJ196)))</f>
        <v/>
      </c>
      <c r="P196" s="6">
        <f>IF(OR($BJ196="",15&gt;設定!$B$3),"",IF(INDEX(原始資料!R$2:R$501,$BJ196)="","",INDEX(原始資料!R$2:R$501,$BJ196)))</f>
        <v/>
      </c>
      <c r="Q196" s="6">
        <f>IF(OR($BJ196="",16&gt;設定!$B$3),"",IF(INDEX(原始資料!S$2:S$501,$BJ196)="","",INDEX(原始資料!S$2:S$501,$BJ196)))</f>
        <v/>
      </c>
      <c r="R196" s="6">
        <f>IF(OR($BJ196="",17&gt;設定!$B$3),"",IF(INDEX(原始資料!T$2:T$501,$BJ196)="","",INDEX(原始資料!T$2:T$501,$BJ196)))</f>
        <v/>
      </c>
      <c r="S196" s="6">
        <f>IF(OR($BJ196="",18&gt;設定!$B$3),"",IF(INDEX(原始資料!U$2:U$501,$BJ196)="","",INDEX(原始資料!U$2:U$501,$BJ196)))</f>
        <v/>
      </c>
      <c r="T196" s="6">
        <f>IF(OR($BJ196="",19&gt;設定!$B$3),"",IF(INDEX(原始資料!V$2:V$501,$BJ196)="","",INDEX(原始資料!V$2:V$501,$BJ196)))</f>
        <v/>
      </c>
      <c r="U196" s="6">
        <f>IF(OR($BJ196="",20&gt;設定!$B$3),"",IF(INDEX(原始資料!W$2:W$501,$BJ196)="","",INDEX(原始資料!W$2:W$501,$BJ196)))</f>
        <v/>
      </c>
      <c r="V196" s="6">
        <f>IF(OR($BJ196="",21&gt;設定!$B$3),"",IF(INDEX(原始資料!X$2:X$501,$BJ196)="","",INDEX(原始資料!X$2:X$501,$BJ196)))</f>
        <v/>
      </c>
      <c r="W196" s="6">
        <f>IF(OR($BJ196="",22&gt;設定!$B$3),"",IF(INDEX(原始資料!Y$2:Y$501,$BJ196)="","",INDEX(原始資料!Y$2:Y$501,$BJ196)))</f>
        <v/>
      </c>
      <c r="X196" s="6">
        <f>IF(OR($BJ196="",23&gt;設定!$B$3),"",IF(INDEX(原始資料!Z$2:Z$501,$BJ196)="","",INDEX(原始資料!Z$2:Z$501,$BJ196)))</f>
        <v/>
      </c>
      <c r="Y196" s="6">
        <f>IF(OR($BJ196="",24&gt;設定!$B$3),"",IF(INDEX(原始資料!AA$2:AA$501,$BJ196)="","",INDEX(原始資料!AA$2:AA$501,$BJ196)))</f>
        <v/>
      </c>
      <c r="Z196" s="6">
        <f>IF(OR($BJ196="",25&gt;設定!$B$3),"",IF(INDEX(原始資料!AB$2:AB$501,$BJ196)="","",INDEX(原始資料!AB$2:AB$501,$BJ196)))</f>
        <v/>
      </c>
      <c r="AA196" s="6">
        <f>IF(OR($BJ196="",26&gt;設定!$B$3),"",IF(INDEX(原始資料!AC$2:AC$501,$BJ196)="","",INDEX(原始資料!AC$2:AC$501,$BJ196)))</f>
        <v/>
      </c>
      <c r="AB196" s="6">
        <f>IF(OR($BJ196="",27&gt;設定!$B$3),"",IF(INDEX(原始資料!AD$2:AD$501,$BJ196)="","",INDEX(原始資料!AD$2:AD$501,$BJ196)))</f>
        <v/>
      </c>
      <c r="AC196" s="6">
        <f>IF(OR($BJ196="",28&gt;設定!$B$3),"",IF(INDEX(原始資料!AE$2:AE$501,$BJ196)="","",INDEX(原始資料!AE$2:AE$501,$BJ196)))</f>
        <v/>
      </c>
      <c r="AD196" s="6">
        <f>IF(OR($BJ196="",29&gt;設定!$B$3),"",IF(INDEX(原始資料!AF$2:AF$501,$BJ196)="","",INDEX(原始資料!AF$2:AF$501,$BJ196)))</f>
        <v/>
      </c>
      <c r="AE196" s="6">
        <f>IF(OR($BJ196="",30&gt;設定!$B$3),"",IF(INDEX(原始資料!AG$2:AG$501,$BJ196)="","",INDEX(原始資料!AG$2:AG$501,$BJ196)))</f>
        <v/>
      </c>
      <c r="AF196" s="6">
        <f>IF(OR($BJ196="",31&gt;設定!$B$3),"",IF(INDEX(原始資料!AH$2:AH$501,$BJ196)="","",INDEX(原始資料!AH$2:AH$501,$BJ196)))</f>
        <v/>
      </c>
      <c r="AG196" s="6">
        <f>IF(OR($BJ196="",32&gt;設定!$B$3),"",IF(INDEX(原始資料!AI$2:AI$501,$BJ196)="","",INDEX(原始資料!AI$2:AI$501,$BJ196)))</f>
        <v/>
      </c>
      <c r="AH196" s="6">
        <f>IF(OR($BJ196="",33&gt;設定!$B$3),"",IF(INDEX(原始資料!AJ$2:AJ$501,$BJ196)="","",INDEX(原始資料!AJ$2:AJ$501,$BJ196)))</f>
        <v/>
      </c>
      <c r="AI196" s="6">
        <f>IF(OR($BJ196="",34&gt;設定!$B$3),"",IF(INDEX(原始資料!AK$2:AK$501,$BJ196)="","",INDEX(原始資料!AK$2:AK$501,$BJ196)))</f>
        <v/>
      </c>
      <c r="AJ196" s="6">
        <f>IF(OR($BJ196="",35&gt;設定!$B$3),"",IF(INDEX(原始資料!AL$2:AL$501,$BJ196)="","",INDEX(原始資料!AL$2:AL$501,$BJ196)))</f>
        <v/>
      </c>
      <c r="AK196" s="6">
        <f>IF(OR($BJ196="",36&gt;設定!$B$3),"",IF(INDEX(原始資料!AM$2:AM$501,$BJ196)="","",INDEX(原始資料!AM$2:AM$501,$BJ196)))</f>
        <v/>
      </c>
      <c r="AL196" s="6">
        <f>IF(OR($BJ196="",37&gt;設定!$B$3),"",IF(INDEX(原始資料!AN$2:AN$501,$BJ196)="","",INDEX(原始資料!AN$2:AN$501,$BJ196)))</f>
        <v/>
      </c>
      <c r="AM196" s="6">
        <f>IF(OR($BJ196="",38&gt;設定!$B$3),"",IF(INDEX(原始資料!AO$2:AO$501,$BJ196)="","",INDEX(原始資料!AO$2:AO$501,$BJ196)))</f>
        <v/>
      </c>
      <c r="AN196" s="6">
        <f>IF(OR($BJ196="",39&gt;設定!$B$3),"",IF(INDEX(原始資料!AP$2:AP$501,$BJ196)="","",INDEX(原始資料!AP$2:AP$501,$BJ196)))</f>
        <v/>
      </c>
      <c r="AO196" s="6">
        <f>IF(OR($BJ196="",40&gt;設定!$B$3),"",IF(INDEX(原始資料!AQ$2:AQ$501,$BJ196)="","",INDEX(原始資料!AQ$2:AQ$501,$BJ196)))</f>
        <v/>
      </c>
      <c r="AP196" s="6">
        <f>IF(OR($BJ196="",41&gt;設定!$B$3),"",IF(INDEX(原始資料!AR$2:AR$501,$BJ196)="","",INDEX(原始資料!AR$2:AR$501,$BJ196)))</f>
        <v/>
      </c>
      <c r="AQ196" s="6">
        <f>IF(OR($BJ196="",42&gt;設定!$B$3),"",IF(INDEX(原始資料!AS$2:AS$501,$BJ196)="","",INDEX(原始資料!AS$2:AS$501,$BJ196)))</f>
        <v/>
      </c>
      <c r="AR196" s="6">
        <f>IF(OR($BJ196="",43&gt;設定!$B$3),"",IF(INDEX(原始資料!AT$2:AT$501,$BJ196)="","",INDEX(原始資料!AT$2:AT$501,$BJ196)))</f>
        <v/>
      </c>
      <c r="AS196" s="6">
        <f>IF(OR($BJ196="",44&gt;設定!$B$3),"",IF(INDEX(原始資料!AU$2:AU$501,$BJ196)="","",INDEX(原始資料!AU$2:AU$501,$BJ196)))</f>
        <v/>
      </c>
      <c r="AT196" s="6">
        <f>IF(OR($BJ196="",45&gt;設定!$B$3),"",IF(INDEX(原始資料!AV$2:AV$501,$BJ196)="","",INDEX(原始資料!AV$2:AV$501,$BJ196)))</f>
        <v/>
      </c>
      <c r="AU196" s="6">
        <f>IF(OR($BJ196="",46&gt;設定!$B$3),"",IF(INDEX(原始資料!AW$2:AW$501,$BJ196)="","",INDEX(原始資料!AW$2:AW$501,$BJ196)))</f>
        <v/>
      </c>
      <c r="AV196" s="6">
        <f>IF(OR($BJ196="",47&gt;設定!$B$3),"",IF(INDEX(原始資料!AX$2:AX$501,$BJ196)="","",INDEX(原始資料!AX$2:AX$501,$BJ196)))</f>
        <v/>
      </c>
      <c r="AW196" s="6">
        <f>IF(OR($BJ196="",48&gt;設定!$B$3),"",IF(INDEX(原始資料!AY$2:AY$501,$BJ196)="","",INDEX(原始資料!AY$2:AY$501,$BJ196)))</f>
        <v/>
      </c>
      <c r="AX196" s="6">
        <f>IF(OR($BJ196="",49&gt;設定!$B$3),"",IF(INDEX(原始資料!AZ$2:AZ$501,$BJ196)="","",INDEX(原始資料!AZ$2:AZ$501,$BJ196)))</f>
        <v/>
      </c>
      <c r="AY196" s="6">
        <f>IF(OR($BJ196="",50&gt;設定!$B$3),"",IF(INDEX(原始資料!BA$2:BA$501,$BJ196)="","",INDEX(原始資料!BA$2:BA$501,$BJ196)))</f>
        <v/>
      </c>
      <c r="AZ196" s="6">
        <f>IF(OR($BJ196="",51&gt;設定!$B$3),"",IF(INDEX(原始資料!BB$2:BB$501,$BJ196)="","",INDEX(原始資料!BB$2:BB$501,$BJ196)))</f>
        <v/>
      </c>
      <c r="BA196" s="6">
        <f>IF(OR($BJ196="",52&gt;設定!$B$3),"",IF(INDEX(原始資料!BC$2:BC$501,$BJ196)="","",INDEX(原始資料!BC$2:BC$501,$BJ196)))</f>
        <v/>
      </c>
      <c r="BB196" s="6">
        <f>IF(OR($BJ196="",53&gt;設定!$B$3),"",IF(INDEX(原始資料!BD$2:BD$501,$BJ196)="","",INDEX(原始資料!BD$2:BD$501,$BJ196)))</f>
        <v/>
      </c>
      <c r="BC196" s="6">
        <f>IF(OR($BJ196="",54&gt;設定!$B$3),"",IF(INDEX(原始資料!BE$2:BE$501,$BJ196)="","",INDEX(原始資料!BE$2:BE$501,$BJ196)))</f>
        <v/>
      </c>
      <c r="BD196" s="6">
        <f>IF(OR($BJ196="",55&gt;設定!$B$3),"",IF(INDEX(原始資料!BF$2:BF$501,$BJ196)="","",INDEX(原始資料!BF$2:BF$501,$BJ196)))</f>
        <v/>
      </c>
      <c r="BE196" s="6">
        <f>IF(OR($BJ196="",56&gt;設定!$B$3),"",IF(INDEX(原始資料!BG$2:BG$501,$BJ196)="","",INDEX(原始資料!BG$2:BG$501,$BJ196)))</f>
        <v/>
      </c>
      <c r="BF196" s="6">
        <f>IF(OR($BJ196="",57&gt;設定!$B$3),"",IF(INDEX(原始資料!BH$2:BH$501,$BJ196)="","",INDEX(原始資料!BH$2:BH$501,$BJ196)))</f>
        <v/>
      </c>
      <c r="BG196" s="6">
        <f>IF(OR($BJ196="",58&gt;設定!$B$3),"",IF(INDEX(原始資料!BI$2:BI$501,$BJ196)="","",INDEX(原始資料!BI$2:BI$501,$BJ196)))</f>
        <v/>
      </c>
      <c r="BH196" s="6">
        <f>IF(OR($BJ196="",59&gt;設定!$B$3),"",IF(INDEX(原始資料!BJ$2:BJ$501,$BJ196)="","",INDEX(原始資料!BJ$2:BJ$501,$BJ196)))</f>
        <v/>
      </c>
      <c r="BI196" s="6">
        <f>IF(OR($BJ196="",60&gt;設定!$B$3),"",IF(INDEX(原始資料!BK$2:BK$501,$BJ196)="","",INDEX(原始資料!BK$2:BK$501,$BJ196)))</f>
        <v/>
      </c>
      <c r="BJ196" s="6">
        <f>IFERROR(MATCH(ROW()-1,判定!$H$2:$H$501,0),"")</f>
        <v/>
      </c>
    </row>
    <row r="197">
      <c r="A197" s="6">
        <f>IF($BJ197="","",INDEX(原始資料!$A$2:$A$501,$BJ197))</f>
        <v/>
      </c>
      <c r="B197" s="6">
        <f>IF(OR($BJ197="",1&gt;設定!$B$3),"",IF(INDEX(原始資料!D$2:D$501,$BJ197)="","",INDEX(原始資料!D$2:D$501,$BJ197)))</f>
        <v/>
      </c>
      <c r="C197" s="6">
        <f>IF(OR($BJ197="",2&gt;設定!$B$3),"",IF(INDEX(原始資料!E$2:E$501,$BJ197)="","",INDEX(原始資料!E$2:E$501,$BJ197)))</f>
        <v/>
      </c>
      <c r="D197" s="6">
        <f>IF(OR($BJ197="",3&gt;設定!$B$3),"",IF(INDEX(原始資料!F$2:F$501,$BJ197)="","",INDEX(原始資料!F$2:F$501,$BJ197)))</f>
        <v/>
      </c>
      <c r="E197" s="6">
        <f>IF(OR($BJ197="",4&gt;設定!$B$3),"",IF(INDEX(原始資料!G$2:G$501,$BJ197)="","",INDEX(原始資料!G$2:G$501,$BJ197)))</f>
        <v/>
      </c>
      <c r="F197" s="6">
        <f>IF(OR($BJ197="",5&gt;設定!$B$3),"",IF(INDEX(原始資料!H$2:H$501,$BJ197)="","",INDEX(原始資料!H$2:H$501,$BJ197)))</f>
        <v/>
      </c>
      <c r="G197" s="6">
        <f>IF(OR($BJ197="",6&gt;設定!$B$3),"",IF(INDEX(原始資料!I$2:I$501,$BJ197)="","",INDEX(原始資料!I$2:I$501,$BJ197)))</f>
        <v/>
      </c>
      <c r="H197" s="6">
        <f>IF(OR($BJ197="",7&gt;設定!$B$3),"",IF(INDEX(原始資料!J$2:J$501,$BJ197)="","",INDEX(原始資料!J$2:J$501,$BJ197)))</f>
        <v/>
      </c>
      <c r="I197" s="6">
        <f>IF(OR($BJ197="",8&gt;設定!$B$3),"",IF(INDEX(原始資料!K$2:K$501,$BJ197)="","",INDEX(原始資料!K$2:K$501,$BJ197)))</f>
        <v/>
      </c>
      <c r="J197" s="6">
        <f>IF(OR($BJ197="",9&gt;設定!$B$3),"",IF(INDEX(原始資料!L$2:L$501,$BJ197)="","",INDEX(原始資料!L$2:L$501,$BJ197)))</f>
        <v/>
      </c>
      <c r="K197" s="6">
        <f>IF(OR($BJ197="",10&gt;設定!$B$3),"",IF(INDEX(原始資料!M$2:M$501,$BJ197)="","",INDEX(原始資料!M$2:M$501,$BJ197)))</f>
        <v/>
      </c>
      <c r="L197" s="6">
        <f>IF(OR($BJ197="",11&gt;設定!$B$3),"",IF(INDEX(原始資料!N$2:N$501,$BJ197)="","",INDEX(原始資料!N$2:N$501,$BJ197)))</f>
        <v/>
      </c>
      <c r="M197" s="6">
        <f>IF(OR($BJ197="",12&gt;設定!$B$3),"",IF(INDEX(原始資料!O$2:O$501,$BJ197)="","",INDEX(原始資料!O$2:O$501,$BJ197)))</f>
        <v/>
      </c>
      <c r="N197" s="6">
        <f>IF(OR($BJ197="",13&gt;設定!$B$3),"",IF(INDEX(原始資料!P$2:P$501,$BJ197)="","",INDEX(原始資料!P$2:P$501,$BJ197)))</f>
        <v/>
      </c>
      <c r="O197" s="6">
        <f>IF(OR($BJ197="",14&gt;設定!$B$3),"",IF(INDEX(原始資料!Q$2:Q$501,$BJ197)="","",INDEX(原始資料!Q$2:Q$501,$BJ197)))</f>
        <v/>
      </c>
      <c r="P197" s="6">
        <f>IF(OR($BJ197="",15&gt;設定!$B$3),"",IF(INDEX(原始資料!R$2:R$501,$BJ197)="","",INDEX(原始資料!R$2:R$501,$BJ197)))</f>
        <v/>
      </c>
      <c r="Q197" s="6">
        <f>IF(OR($BJ197="",16&gt;設定!$B$3),"",IF(INDEX(原始資料!S$2:S$501,$BJ197)="","",INDEX(原始資料!S$2:S$501,$BJ197)))</f>
        <v/>
      </c>
      <c r="R197" s="6">
        <f>IF(OR($BJ197="",17&gt;設定!$B$3),"",IF(INDEX(原始資料!T$2:T$501,$BJ197)="","",INDEX(原始資料!T$2:T$501,$BJ197)))</f>
        <v/>
      </c>
      <c r="S197" s="6">
        <f>IF(OR($BJ197="",18&gt;設定!$B$3),"",IF(INDEX(原始資料!U$2:U$501,$BJ197)="","",INDEX(原始資料!U$2:U$501,$BJ197)))</f>
        <v/>
      </c>
      <c r="T197" s="6">
        <f>IF(OR($BJ197="",19&gt;設定!$B$3),"",IF(INDEX(原始資料!V$2:V$501,$BJ197)="","",INDEX(原始資料!V$2:V$501,$BJ197)))</f>
        <v/>
      </c>
      <c r="U197" s="6">
        <f>IF(OR($BJ197="",20&gt;設定!$B$3),"",IF(INDEX(原始資料!W$2:W$501,$BJ197)="","",INDEX(原始資料!W$2:W$501,$BJ197)))</f>
        <v/>
      </c>
      <c r="V197" s="6">
        <f>IF(OR($BJ197="",21&gt;設定!$B$3),"",IF(INDEX(原始資料!X$2:X$501,$BJ197)="","",INDEX(原始資料!X$2:X$501,$BJ197)))</f>
        <v/>
      </c>
      <c r="W197" s="6">
        <f>IF(OR($BJ197="",22&gt;設定!$B$3),"",IF(INDEX(原始資料!Y$2:Y$501,$BJ197)="","",INDEX(原始資料!Y$2:Y$501,$BJ197)))</f>
        <v/>
      </c>
      <c r="X197" s="6">
        <f>IF(OR($BJ197="",23&gt;設定!$B$3),"",IF(INDEX(原始資料!Z$2:Z$501,$BJ197)="","",INDEX(原始資料!Z$2:Z$501,$BJ197)))</f>
        <v/>
      </c>
      <c r="Y197" s="6">
        <f>IF(OR($BJ197="",24&gt;設定!$B$3),"",IF(INDEX(原始資料!AA$2:AA$501,$BJ197)="","",INDEX(原始資料!AA$2:AA$501,$BJ197)))</f>
        <v/>
      </c>
      <c r="Z197" s="6">
        <f>IF(OR($BJ197="",25&gt;設定!$B$3),"",IF(INDEX(原始資料!AB$2:AB$501,$BJ197)="","",INDEX(原始資料!AB$2:AB$501,$BJ197)))</f>
        <v/>
      </c>
      <c r="AA197" s="6">
        <f>IF(OR($BJ197="",26&gt;設定!$B$3),"",IF(INDEX(原始資料!AC$2:AC$501,$BJ197)="","",INDEX(原始資料!AC$2:AC$501,$BJ197)))</f>
        <v/>
      </c>
      <c r="AB197" s="6">
        <f>IF(OR($BJ197="",27&gt;設定!$B$3),"",IF(INDEX(原始資料!AD$2:AD$501,$BJ197)="","",INDEX(原始資料!AD$2:AD$501,$BJ197)))</f>
        <v/>
      </c>
      <c r="AC197" s="6">
        <f>IF(OR($BJ197="",28&gt;設定!$B$3),"",IF(INDEX(原始資料!AE$2:AE$501,$BJ197)="","",INDEX(原始資料!AE$2:AE$501,$BJ197)))</f>
        <v/>
      </c>
      <c r="AD197" s="6">
        <f>IF(OR($BJ197="",29&gt;設定!$B$3),"",IF(INDEX(原始資料!AF$2:AF$501,$BJ197)="","",INDEX(原始資料!AF$2:AF$501,$BJ197)))</f>
        <v/>
      </c>
      <c r="AE197" s="6">
        <f>IF(OR($BJ197="",30&gt;設定!$B$3),"",IF(INDEX(原始資料!AG$2:AG$501,$BJ197)="","",INDEX(原始資料!AG$2:AG$501,$BJ197)))</f>
        <v/>
      </c>
      <c r="AF197" s="6">
        <f>IF(OR($BJ197="",31&gt;設定!$B$3),"",IF(INDEX(原始資料!AH$2:AH$501,$BJ197)="","",INDEX(原始資料!AH$2:AH$501,$BJ197)))</f>
        <v/>
      </c>
      <c r="AG197" s="6">
        <f>IF(OR($BJ197="",32&gt;設定!$B$3),"",IF(INDEX(原始資料!AI$2:AI$501,$BJ197)="","",INDEX(原始資料!AI$2:AI$501,$BJ197)))</f>
        <v/>
      </c>
      <c r="AH197" s="6">
        <f>IF(OR($BJ197="",33&gt;設定!$B$3),"",IF(INDEX(原始資料!AJ$2:AJ$501,$BJ197)="","",INDEX(原始資料!AJ$2:AJ$501,$BJ197)))</f>
        <v/>
      </c>
      <c r="AI197" s="6">
        <f>IF(OR($BJ197="",34&gt;設定!$B$3),"",IF(INDEX(原始資料!AK$2:AK$501,$BJ197)="","",INDEX(原始資料!AK$2:AK$501,$BJ197)))</f>
        <v/>
      </c>
      <c r="AJ197" s="6">
        <f>IF(OR($BJ197="",35&gt;設定!$B$3),"",IF(INDEX(原始資料!AL$2:AL$501,$BJ197)="","",INDEX(原始資料!AL$2:AL$501,$BJ197)))</f>
        <v/>
      </c>
      <c r="AK197" s="6">
        <f>IF(OR($BJ197="",36&gt;設定!$B$3),"",IF(INDEX(原始資料!AM$2:AM$501,$BJ197)="","",INDEX(原始資料!AM$2:AM$501,$BJ197)))</f>
        <v/>
      </c>
      <c r="AL197" s="6">
        <f>IF(OR($BJ197="",37&gt;設定!$B$3),"",IF(INDEX(原始資料!AN$2:AN$501,$BJ197)="","",INDEX(原始資料!AN$2:AN$501,$BJ197)))</f>
        <v/>
      </c>
      <c r="AM197" s="6">
        <f>IF(OR($BJ197="",38&gt;設定!$B$3),"",IF(INDEX(原始資料!AO$2:AO$501,$BJ197)="","",INDEX(原始資料!AO$2:AO$501,$BJ197)))</f>
        <v/>
      </c>
      <c r="AN197" s="6">
        <f>IF(OR($BJ197="",39&gt;設定!$B$3),"",IF(INDEX(原始資料!AP$2:AP$501,$BJ197)="","",INDEX(原始資料!AP$2:AP$501,$BJ197)))</f>
        <v/>
      </c>
      <c r="AO197" s="6">
        <f>IF(OR($BJ197="",40&gt;設定!$B$3),"",IF(INDEX(原始資料!AQ$2:AQ$501,$BJ197)="","",INDEX(原始資料!AQ$2:AQ$501,$BJ197)))</f>
        <v/>
      </c>
      <c r="AP197" s="6">
        <f>IF(OR($BJ197="",41&gt;設定!$B$3),"",IF(INDEX(原始資料!AR$2:AR$501,$BJ197)="","",INDEX(原始資料!AR$2:AR$501,$BJ197)))</f>
        <v/>
      </c>
      <c r="AQ197" s="6">
        <f>IF(OR($BJ197="",42&gt;設定!$B$3),"",IF(INDEX(原始資料!AS$2:AS$501,$BJ197)="","",INDEX(原始資料!AS$2:AS$501,$BJ197)))</f>
        <v/>
      </c>
      <c r="AR197" s="6">
        <f>IF(OR($BJ197="",43&gt;設定!$B$3),"",IF(INDEX(原始資料!AT$2:AT$501,$BJ197)="","",INDEX(原始資料!AT$2:AT$501,$BJ197)))</f>
        <v/>
      </c>
      <c r="AS197" s="6">
        <f>IF(OR($BJ197="",44&gt;設定!$B$3),"",IF(INDEX(原始資料!AU$2:AU$501,$BJ197)="","",INDEX(原始資料!AU$2:AU$501,$BJ197)))</f>
        <v/>
      </c>
      <c r="AT197" s="6">
        <f>IF(OR($BJ197="",45&gt;設定!$B$3),"",IF(INDEX(原始資料!AV$2:AV$501,$BJ197)="","",INDEX(原始資料!AV$2:AV$501,$BJ197)))</f>
        <v/>
      </c>
      <c r="AU197" s="6">
        <f>IF(OR($BJ197="",46&gt;設定!$B$3),"",IF(INDEX(原始資料!AW$2:AW$501,$BJ197)="","",INDEX(原始資料!AW$2:AW$501,$BJ197)))</f>
        <v/>
      </c>
      <c r="AV197" s="6">
        <f>IF(OR($BJ197="",47&gt;設定!$B$3),"",IF(INDEX(原始資料!AX$2:AX$501,$BJ197)="","",INDEX(原始資料!AX$2:AX$501,$BJ197)))</f>
        <v/>
      </c>
      <c r="AW197" s="6">
        <f>IF(OR($BJ197="",48&gt;設定!$B$3),"",IF(INDEX(原始資料!AY$2:AY$501,$BJ197)="","",INDEX(原始資料!AY$2:AY$501,$BJ197)))</f>
        <v/>
      </c>
      <c r="AX197" s="6">
        <f>IF(OR($BJ197="",49&gt;設定!$B$3),"",IF(INDEX(原始資料!AZ$2:AZ$501,$BJ197)="","",INDEX(原始資料!AZ$2:AZ$501,$BJ197)))</f>
        <v/>
      </c>
      <c r="AY197" s="6">
        <f>IF(OR($BJ197="",50&gt;設定!$B$3),"",IF(INDEX(原始資料!BA$2:BA$501,$BJ197)="","",INDEX(原始資料!BA$2:BA$501,$BJ197)))</f>
        <v/>
      </c>
      <c r="AZ197" s="6">
        <f>IF(OR($BJ197="",51&gt;設定!$B$3),"",IF(INDEX(原始資料!BB$2:BB$501,$BJ197)="","",INDEX(原始資料!BB$2:BB$501,$BJ197)))</f>
        <v/>
      </c>
      <c r="BA197" s="6">
        <f>IF(OR($BJ197="",52&gt;設定!$B$3),"",IF(INDEX(原始資料!BC$2:BC$501,$BJ197)="","",INDEX(原始資料!BC$2:BC$501,$BJ197)))</f>
        <v/>
      </c>
      <c r="BB197" s="6">
        <f>IF(OR($BJ197="",53&gt;設定!$B$3),"",IF(INDEX(原始資料!BD$2:BD$501,$BJ197)="","",INDEX(原始資料!BD$2:BD$501,$BJ197)))</f>
        <v/>
      </c>
      <c r="BC197" s="6">
        <f>IF(OR($BJ197="",54&gt;設定!$B$3),"",IF(INDEX(原始資料!BE$2:BE$501,$BJ197)="","",INDEX(原始資料!BE$2:BE$501,$BJ197)))</f>
        <v/>
      </c>
      <c r="BD197" s="6">
        <f>IF(OR($BJ197="",55&gt;設定!$B$3),"",IF(INDEX(原始資料!BF$2:BF$501,$BJ197)="","",INDEX(原始資料!BF$2:BF$501,$BJ197)))</f>
        <v/>
      </c>
      <c r="BE197" s="6">
        <f>IF(OR($BJ197="",56&gt;設定!$B$3),"",IF(INDEX(原始資料!BG$2:BG$501,$BJ197)="","",INDEX(原始資料!BG$2:BG$501,$BJ197)))</f>
        <v/>
      </c>
      <c r="BF197" s="6">
        <f>IF(OR($BJ197="",57&gt;設定!$B$3),"",IF(INDEX(原始資料!BH$2:BH$501,$BJ197)="","",INDEX(原始資料!BH$2:BH$501,$BJ197)))</f>
        <v/>
      </c>
      <c r="BG197" s="6">
        <f>IF(OR($BJ197="",58&gt;設定!$B$3),"",IF(INDEX(原始資料!BI$2:BI$501,$BJ197)="","",INDEX(原始資料!BI$2:BI$501,$BJ197)))</f>
        <v/>
      </c>
      <c r="BH197" s="6">
        <f>IF(OR($BJ197="",59&gt;設定!$B$3),"",IF(INDEX(原始資料!BJ$2:BJ$501,$BJ197)="","",INDEX(原始資料!BJ$2:BJ$501,$BJ197)))</f>
        <v/>
      </c>
      <c r="BI197" s="6">
        <f>IF(OR($BJ197="",60&gt;設定!$B$3),"",IF(INDEX(原始資料!BK$2:BK$501,$BJ197)="","",INDEX(原始資料!BK$2:BK$501,$BJ197)))</f>
        <v/>
      </c>
      <c r="BJ197" s="6">
        <f>IFERROR(MATCH(ROW()-1,判定!$H$2:$H$501,0),"")</f>
        <v/>
      </c>
    </row>
    <row r="198">
      <c r="A198" s="6">
        <f>IF($BJ198="","",INDEX(原始資料!$A$2:$A$501,$BJ198))</f>
        <v/>
      </c>
      <c r="B198" s="6">
        <f>IF(OR($BJ198="",1&gt;設定!$B$3),"",IF(INDEX(原始資料!D$2:D$501,$BJ198)="","",INDEX(原始資料!D$2:D$501,$BJ198)))</f>
        <v/>
      </c>
      <c r="C198" s="6">
        <f>IF(OR($BJ198="",2&gt;設定!$B$3),"",IF(INDEX(原始資料!E$2:E$501,$BJ198)="","",INDEX(原始資料!E$2:E$501,$BJ198)))</f>
        <v/>
      </c>
      <c r="D198" s="6">
        <f>IF(OR($BJ198="",3&gt;設定!$B$3),"",IF(INDEX(原始資料!F$2:F$501,$BJ198)="","",INDEX(原始資料!F$2:F$501,$BJ198)))</f>
        <v/>
      </c>
      <c r="E198" s="6">
        <f>IF(OR($BJ198="",4&gt;設定!$B$3),"",IF(INDEX(原始資料!G$2:G$501,$BJ198)="","",INDEX(原始資料!G$2:G$501,$BJ198)))</f>
        <v/>
      </c>
      <c r="F198" s="6">
        <f>IF(OR($BJ198="",5&gt;設定!$B$3),"",IF(INDEX(原始資料!H$2:H$501,$BJ198)="","",INDEX(原始資料!H$2:H$501,$BJ198)))</f>
        <v/>
      </c>
      <c r="G198" s="6">
        <f>IF(OR($BJ198="",6&gt;設定!$B$3),"",IF(INDEX(原始資料!I$2:I$501,$BJ198)="","",INDEX(原始資料!I$2:I$501,$BJ198)))</f>
        <v/>
      </c>
      <c r="H198" s="6">
        <f>IF(OR($BJ198="",7&gt;設定!$B$3),"",IF(INDEX(原始資料!J$2:J$501,$BJ198)="","",INDEX(原始資料!J$2:J$501,$BJ198)))</f>
        <v/>
      </c>
      <c r="I198" s="6">
        <f>IF(OR($BJ198="",8&gt;設定!$B$3),"",IF(INDEX(原始資料!K$2:K$501,$BJ198)="","",INDEX(原始資料!K$2:K$501,$BJ198)))</f>
        <v/>
      </c>
      <c r="J198" s="6">
        <f>IF(OR($BJ198="",9&gt;設定!$B$3),"",IF(INDEX(原始資料!L$2:L$501,$BJ198)="","",INDEX(原始資料!L$2:L$501,$BJ198)))</f>
        <v/>
      </c>
      <c r="K198" s="6">
        <f>IF(OR($BJ198="",10&gt;設定!$B$3),"",IF(INDEX(原始資料!M$2:M$501,$BJ198)="","",INDEX(原始資料!M$2:M$501,$BJ198)))</f>
        <v/>
      </c>
      <c r="L198" s="6">
        <f>IF(OR($BJ198="",11&gt;設定!$B$3),"",IF(INDEX(原始資料!N$2:N$501,$BJ198)="","",INDEX(原始資料!N$2:N$501,$BJ198)))</f>
        <v/>
      </c>
      <c r="M198" s="6">
        <f>IF(OR($BJ198="",12&gt;設定!$B$3),"",IF(INDEX(原始資料!O$2:O$501,$BJ198)="","",INDEX(原始資料!O$2:O$501,$BJ198)))</f>
        <v/>
      </c>
      <c r="N198" s="6">
        <f>IF(OR($BJ198="",13&gt;設定!$B$3),"",IF(INDEX(原始資料!P$2:P$501,$BJ198)="","",INDEX(原始資料!P$2:P$501,$BJ198)))</f>
        <v/>
      </c>
      <c r="O198" s="6">
        <f>IF(OR($BJ198="",14&gt;設定!$B$3),"",IF(INDEX(原始資料!Q$2:Q$501,$BJ198)="","",INDEX(原始資料!Q$2:Q$501,$BJ198)))</f>
        <v/>
      </c>
      <c r="P198" s="6">
        <f>IF(OR($BJ198="",15&gt;設定!$B$3),"",IF(INDEX(原始資料!R$2:R$501,$BJ198)="","",INDEX(原始資料!R$2:R$501,$BJ198)))</f>
        <v/>
      </c>
      <c r="Q198" s="6">
        <f>IF(OR($BJ198="",16&gt;設定!$B$3),"",IF(INDEX(原始資料!S$2:S$501,$BJ198)="","",INDEX(原始資料!S$2:S$501,$BJ198)))</f>
        <v/>
      </c>
      <c r="R198" s="6">
        <f>IF(OR($BJ198="",17&gt;設定!$B$3),"",IF(INDEX(原始資料!T$2:T$501,$BJ198)="","",INDEX(原始資料!T$2:T$501,$BJ198)))</f>
        <v/>
      </c>
      <c r="S198" s="6">
        <f>IF(OR($BJ198="",18&gt;設定!$B$3),"",IF(INDEX(原始資料!U$2:U$501,$BJ198)="","",INDEX(原始資料!U$2:U$501,$BJ198)))</f>
        <v/>
      </c>
      <c r="T198" s="6">
        <f>IF(OR($BJ198="",19&gt;設定!$B$3),"",IF(INDEX(原始資料!V$2:V$501,$BJ198)="","",INDEX(原始資料!V$2:V$501,$BJ198)))</f>
        <v/>
      </c>
      <c r="U198" s="6">
        <f>IF(OR($BJ198="",20&gt;設定!$B$3),"",IF(INDEX(原始資料!W$2:W$501,$BJ198)="","",INDEX(原始資料!W$2:W$501,$BJ198)))</f>
        <v/>
      </c>
      <c r="V198" s="6">
        <f>IF(OR($BJ198="",21&gt;設定!$B$3),"",IF(INDEX(原始資料!X$2:X$501,$BJ198)="","",INDEX(原始資料!X$2:X$501,$BJ198)))</f>
        <v/>
      </c>
      <c r="W198" s="6">
        <f>IF(OR($BJ198="",22&gt;設定!$B$3),"",IF(INDEX(原始資料!Y$2:Y$501,$BJ198)="","",INDEX(原始資料!Y$2:Y$501,$BJ198)))</f>
        <v/>
      </c>
      <c r="X198" s="6">
        <f>IF(OR($BJ198="",23&gt;設定!$B$3),"",IF(INDEX(原始資料!Z$2:Z$501,$BJ198)="","",INDEX(原始資料!Z$2:Z$501,$BJ198)))</f>
        <v/>
      </c>
      <c r="Y198" s="6">
        <f>IF(OR($BJ198="",24&gt;設定!$B$3),"",IF(INDEX(原始資料!AA$2:AA$501,$BJ198)="","",INDEX(原始資料!AA$2:AA$501,$BJ198)))</f>
        <v/>
      </c>
      <c r="Z198" s="6">
        <f>IF(OR($BJ198="",25&gt;設定!$B$3),"",IF(INDEX(原始資料!AB$2:AB$501,$BJ198)="","",INDEX(原始資料!AB$2:AB$501,$BJ198)))</f>
        <v/>
      </c>
      <c r="AA198" s="6">
        <f>IF(OR($BJ198="",26&gt;設定!$B$3),"",IF(INDEX(原始資料!AC$2:AC$501,$BJ198)="","",INDEX(原始資料!AC$2:AC$501,$BJ198)))</f>
        <v/>
      </c>
      <c r="AB198" s="6">
        <f>IF(OR($BJ198="",27&gt;設定!$B$3),"",IF(INDEX(原始資料!AD$2:AD$501,$BJ198)="","",INDEX(原始資料!AD$2:AD$501,$BJ198)))</f>
        <v/>
      </c>
      <c r="AC198" s="6">
        <f>IF(OR($BJ198="",28&gt;設定!$B$3),"",IF(INDEX(原始資料!AE$2:AE$501,$BJ198)="","",INDEX(原始資料!AE$2:AE$501,$BJ198)))</f>
        <v/>
      </c>
      <c r="AD198" s="6">
        <f>IF(OR($BJ198="",29&gt;設定!$B$3),"",IF(INDEX(原始資料!AF$2:AF$501,$BJ198)="","",INDEX(原始資料!AF$2:AF$501,$BJ198)))</f>
        <v/>
      </c>
      <c r="AE198" s="6">
        <f>IF(OR($BJ198="",30&gt;設定!$B$3),"",IF(INDEX(原始資料!AG$2:AG$501,$BJ198)="","",INDEX(原始資料!AG$2:AG$501,$BJ198)))</f>
        <v/>
      </c>
      <c r="AF198" s="6">
        <f>IF(OR($BJ198="",31&gt;設定!$B$3),"",IF(INDEX(原始資料!AH$2:AH$501,$BJ198)="","",INDEX(原始資料!AH$2:AH$501,$BJ198)))</f>
        <v/>
      </c>
      <c r="AG198" s="6">
        <f>IF(OR($BJ198="",32&gt;設定!$B$3),"",IF(INDEX(原始資料!AI$2:AI$501,$BJ198)="","",INDEX(原始資料!AI$2:AI$501,$BJ198)))</f>
        <v/>
      </c>
      <c r="AH198" s="6">
        <f>IF(OR($BJ198="",33&gt;設定!$B$3),"",IF(INDEX(原始資料!AJ$2:AJ$501,$BJ198)="","",INDEX(原始資料!AJ$2:AJ$501,$BJ198)))</f>
        <v/>
      </c>
      <c r="AI198" s="6">
        <f>IF(OR($BJ198="",34&gt;設定!$B$3),"",IF(INDEX(原始資料!AK$2:AK$501,$BJ198)="","",INDEX(原始資料!AK$2:AK$501,$BJ198)))</f>
        <v/>
      </c>
      <c r="AJ198" s="6">
        <f>IF(OR($BJ198="",35&gt;設定!$B$3),"",IF(INDEX(原始資料!AL$2:AL$501,$BJ198)="","",INDEX(原始資料!AL$2:AL$501,$BJ198)))</f>
        <v/>
      </c>
      <c r="AK198" s="6">
        <f>IF(OR($BJ198="",36&gt;設定!$B$3),"",IF(INDEX(原始資料!AM$2:AM$501,$BJ198)="","",INDEX(原始資料!AM$2:AM$501,$BJ198)))</f>
        <v/>
      </c>
      <c r="AL198" s="6">
        <f>IF(OR($BJ198="",37&gt;設定!$B$3),"",IF(INDEX(原始資料!AN$2:AN$501,$BJ198)="","",INDEX(原始資料!AN$2:AN$501,$BJ198)))</f>
        <v/>
      </c>
      <c r="AM198" s="6">
        <f>IF(OR($BJ198="",38&gt;設定!$B$3),"",IF(INDEX(原始資料!AO$2:AO$501,$BJ198)="","",INDEX(原始資料!AO$2:AO$501,$BJ198)))</f>
        <v/>
      </c>
      <c r="AN198" s="6">
        <f>IF(OR($BJ198="",39&gt;設定!$B$3),"",IF(INDEX(原始資料!AP$2:AP$501,$BJ198)="","",INDEX(原始資料!AP$2:AP$501,$BJ198)))</f>
        <v/>
      </c>
      <c r="AO198" s="6">
        <f>IF(OR($BJ198="",40&gt;設定!$B$3),"",IF(INDEX(原始資料!AQ$2:AQ$501,$BJ198)="","",INDEX(原始資料!AQ$2:AQ$501,$BJ198)))</f>
        <v/>
      </c>
      <c r="AP198" s="6">
        <f>IF(OR($BJ198="",41&gt;設定!$B$3),"",IF(INDEX(原始資料!AR$2:AR$501,$BJ198)="","",INDEX(原始資料!AR$2:AR$501,$BJ198)))</f>
        <v/>
      </c>
      <c r="AQ198" s="6">
        <f>IF(OR($BJ198="",42&gt;設定!$B$3),"",IF(INDEX(原始資料!AS$2:AS$501,$BJ198)="","",INDEX(原始資料!AS$2:AS$501,$BJ198)))</f>
        <v/>
      </c>
      <c r="AR198" s="6">
        <f>IF(OR($BJ198="",43&gt;設定!$B$3),"",IF(INDEX(原始資料!AT$2:AT$501,$BJ198)="","",INDEX(原始資料!AT$2:AT$501,$BJ198)))</f>
        <v/>
      </c>
      <c r="AS198" s="6">
        <f>IF(OR($BJ198="",44&gt;設定!$B$3),"",IF(INDEX(原始資料!AU$2:AU$501,$BJ198)="","",INDEX(原始資料!AU$2:AU$501,$BJ198)))</f>
        <v/>
      </c>
      <c r="AT198" s="6">
        <f>IF(OR($BJ198="",45&gt;設定!$B$3),"",IF(INDEX(原始資料!AV$2:AV$501,$BJ198)="","",INDEX(原始資料!AV$2:AV$501,$BJ198)))</f>
        <v/>
      </c>
      <c r="AU198" s="6">
        <f>IF(OR($BJ198="",46&gt;設定!$B$3),"",IF(INDEX(原始資料!AW$2:AW$501,$BJ198)="","",INDEX(原始資料!AW$2:AW$501,$BJ198)))</f>
        <v/>
      </c>
      <c r="AV198" s="6">
        <f>IF(OR($BJ198="",47&gt;設定!$B$3),"",IF(INDEX(原始資料!AX$2:AX$501,$BJ198)="","",INDEX(原始資料!AX$2:AX$501,$BJ198)))</f>
        <v/>
      </c>
      <c r="AW198" s="6">
        <f>IF(OR($BJ198="",48&gt;設定!$B$3),"",IF(INDEX(原始資料!AY$2:AY$501,$BJ198)="","",INDEX(原始資料!AY$2:AY$501,$BJ198)))</f>
        <v/>
      </c>
      <c r="AX198" s="6">
        <f>IF(OR($BJ198="",49&gt;設定!$B$3),"",IF(INDEX(原始資料!AZ$2:AZ$501,$BJ198)="","",INDEX(原始資料!AZ$2:AZ$501,$BJ198)))</f>
        <v/>
      </c>
      <c r="AY198" s="6">
        <f>IF(OR($BJ198="",50&gt;設定!$B$3),"",IF(INDEX(原始資料!BA$2:BA$501,$BJ198)="","",INDEX(原始資料!BA$2:BA$501,$BJ198)))</f>
        <v/>
      </c>
      <c r="AZ198" s="6">
        <f>IF(OR($BJ198="",51&gt;設定!$B$3),"",IF(INDEX(原始資料!BB$2:BB$501,$BJ198)="","",INDEX(原始資料!BB$2:BB$501,$BJ198)))</f>
        <v/>
      </c>
      <c r="BA198" s="6">
        <f>IF(OR($BJ198="",52&gt;設定!$B$3),"",IF(INDEX(原始資料!BC$2:BC$501,$BJ198)="","",INDEX(原始資料!BC$2:BC$501,$BJ198)))</f>
        <v/>
      </c>
      <c r="BB198" s="6">
        <f>IF(OR($BJ198="",53&gt;設定!$B$3),"",IF(INDEX(原始資料!BD$2:BD$501,$BJ198)="","",INDEX(原始資料!BD$2:BD$501,$BJ198)))</f>
        <v/>
      </c>
      <c r="BC198" s="6">
        <f>IF(OR($BJ198="",54&gt;設定!$B$3),"",IF(INDEX(原始資料!BE$2:BE$501,$BJ198)="","",INDEX(原始資料!BE$2:BE$501,$BJ198)))</f>
        <v/>
      </c>
      <c r="BD198" s="6">
        <f>IF(OR($BJ198="",55&gt;設定!$B$3),"",IF(INDEX(原始資料!BF$2:BF$501,$BJ198)="","",INDEX(原始資料!BF$2:BF$501,$BJ198)))</f>
        <v/>
      </c>
      <c r="BE198" s="6">
        <f>IF(OR($BJ198="",56&gt;設定!$B$3),"",IF(INDEX(原始資料!BG$2:BG$501,$BJ198)="","",INDEX(原始資料!BG$2:BG$501,$BJ198)))</f>
        <v/>
      </c>
      <c r="BF198" s="6">
        <f>IF(OR($BJ198="",57&gt;設定!$B$3),"",IF(INDEX(原始資料!BH$2:BH$501,$BJ198)="","",INDEX(原始資料!BH$2:BH$501,$BJ198)))</f>
        <v/>
      </c>
      <c r="BG198" s="6">
        <f>IF(OR($BJ198="",58&gt;設定!$B$3),"",IF(INDEX(原始資料!BI$2:BI$501,$BJ198)="","",INDEX(原始資料!BI$2:BI$501,$BJ198)))</f>
        <v/>
      </c>
      <c r="BH198" s="6">
        <f>IF(OR($BJ198="",59&gt;設定!$B$3),"",IF(INDEX(原始資料!BJ$2:BJ$501,$BJ198)="","",INDEX(原始資料!BJ$2:BJ$501,$BJ198)))</f>
        <v/>
      </c>
      <c r="BI198" s="6">
        <f>IF(OR($BJ198="",60&gt;設定!$B$3),"",IF(INDEX(原始資料!BK$2:BK$501,$BJ198)="","",INDEX(原始資料!BK$2:BK$501,$BJ198)))</f>
        <v/>
      </c>
      <c r="BJ198" s="6">
        <f>IFERROR(MATCH(ROW()-1,判定!$H$2:$H$501,0),"")</f>
        <v/>
      </c>
    </row>
    <row r="199">
      <c r="A199" s="6">
        <f>IF($BJ199="","",INDEX(原始資料!$A$2:$A$501,$BJ199))</f>
        <v/>
      </c>
      <c r="B199" s="6">
        <f>IF(OR($BJ199="",1&gt;設定!$B$3),"",IF(INDEX(原始資料!D$2:D$501,$BJ199)="","",INDEX(原始資料!D$2:D$501,$BJ199)))</f>
        <v/>
      </c>
      <c r="C199" s="6">
        <f>IF(OR($BJ199="",2&gt;設定!$B$3),"",IF(INDEX(原始資料!E$2:E$501,$BJ199)="","",INDEX(原始資料!E$2:E$501,$BJ199)))</f>
        <v/>
      </c>
      <c r="D199" s="6">
        <f>IF(OR($BJ199="",3&gt;設定!$B$3),"",IF(INDEX(原始資料!F$2:F$501,$BJ199)="","",INDEX(原始資料!F$2:F$501,$BJ199)))</f>
        <v/>
      </c>
      <c r="E199" s="6">
        <f>IF(OR($BJ199="",4&gt;設定!$B$3),"",IF(INDEX(原始資料!G$2:G$501,$BJ199)="","",INDEX(原始資料!G$2:G$501,$BJ199)))</f>
        <v/>
      </c>
      <c r="F199" s="6">
        <f>IF(OR($BJ199="",5&gt;設定!$B$3),"",IF(INDEX(原始資料!H$2:H$501,$BJ199)="","",INDEX(原始資料!H$2:H$501,$BJ199)))</f>
        <v/>
      </c>
      <c r="G199" s="6">
        <f>IF(OR($BJ199="",6&gt;設定!$B$3),"",IF(INDEX(原始資料!I$2:I$501,$BJ199)="","",INDEX(原始資料!I$2:I$501,$BJ199)))</f>
        <v/>
      </c>
      <c r="H199" s="6">
        <f>IF(OR($BJ199="",7&gt;設定!$B$3),"",IF(INDEX(原始資料!J$2:J$501,$BJ199)="","",INDEX(原始資料!J$2:J$501,$BJ199)))</f>
        <v/>
      </c>
      <c r="I199" s="6">
        <f>IF(OR($BJ199="",8&gt;設定!$B$3),"",IF(INDEX(原始資料!K$2:K$501,$BJ199)="","",INDEX(原始資料!K$2:K$501,$BJ199)))</f>
        <v/>
      </c>
      <c r="J199" s="6">
        <f>IF(OR($BJ199="",9&gt;設定!$B$3),"",IF(INDEX(原始資料!L$2:L$501,$BJ199)="","",INDEX(原始資料!L$2:L$501,$BJ199)))</f>
        <v/>
      </c>
      <c r="K199" s="6">
        <f>IF(OR($BJ199="",10&gt;設定!$B$3),"",IF(INDEX(原始資料!M$2:M$501,$BJ199)="","",INDEX(原始資料!M$2:M$501,$BJ199)))</f>
        <v/>
      </c>
      <c r="L199" s="6">
        <f>IF(OR($BJ199="",11&gt;設定!$B$3),"",IF(INDEX(原始資料!N$2:N$501,$BJ199)="","",INDEX(原始資料!N$2:N$501,$BJ199)))</f>
        <v/>
      </c>
      <c r="M199" s="6">
        <f>IF(OR($BJ199="",12&gt;設定!$B$3),"",IF(INDEX(原始資料!O$2:O$501,$BJ199)="","",INDEX(原始資料!O$2:O$501,$BJ199)))</f>
        <v/>
      </c>
      <c r="N199" s="6">
        <f>IF(OR($BJ199="",13&gt;設定!$B$3),"",IF(INDEX(原始資料!P$2:P$501,$BJ199)="","",INDEX(原始資料!P$2:P$501,$BJ199)))</f>
        <v/>
      </c>
      <c r="O199" s="6">
        <f>IF(OR($BJ199="",14&gt;設定!$B$3),"",IF(INDEX(原始資料!Q$2:Q$501,$BJ199)="","",INDEX(原始資料!Q$2:Q$501,$BJ199)))</f>
        <v/>
      </c>
      <c r="P199" s="6">
        <f>IF(OR($BJ199="",15&gt;設定!$B$3),"",IF(INDEX(原始資料!R$2:R$501,$BJ199)="","",INDEX(原始資料!R$2:R$501,$BJ199)))</f>
        <v/>
      </c>
      <c r="Q199" s="6">
        <f>IF(OR($BJ199="",16&gt;設定!$B$3),"",IF(INDEX(原始資料!S$2:S$501,$BJ199)="","",INDEX(原始資料!S$2:S$501,$BJ199)))</f>
        <v/>
      </c>
      <c r="R199" s="6">
        <f>IF(OR($BJ199="",17&gt;設定!$B$3),"",IF(INDEX(原始資料!T$2:T$501,$BJ199)="","",INDEX(原始資料!T$2:T$501,$BJ199)))</f>
        <v/>
      </c>
      <c r="S199" s="6">
        <f>IF(OR($BJ199="",18&gt;設定!$B$3),"",IF(INDEX(原始資料!U$2:U$501,$BJ199)="","",INDEX(原始資料!U$2:U$501,$BJ199)))</f>
        <v/>
      </c>
      <c r="T199" s="6">
        <f>IF(OR($BJ199="",19&gt;設定!$B$3),"",IF(INDEX(原始資料!V$2:V$501,$BJ199)="","",INDEX(原始資料!V$2:V$501,$BJ199)))</f>
        <v/>
      </c>
      <c r="U199" s="6">
        <f>IF(OR($BJ199="",20&gt;設定!$B$3),"",IF(INDEX(原始資料!W$2:W$501,$BJ199)="","",INDEX(原始資料!W$2:W$501,$BJ199)))</f>
        <v/>
      </c>
      <c r="V199" s="6">
        <f>IF(OR($BJ199="",21&gt;設定!$B$3),"",IF(INDEX(原始資料!X$2:X$501,$BJ199)="","",INDEX(原始資料!X$2:X$501,$BJ199)))</f>
        <v/>
      </c>
      <c r="W199" s="6">
        <f>IF(OR($BJ199="",22&gt;設定!$B$3),"",IF(INDEX(原始資料!Y$2:Y$501,$BJ199)="","",INDEX(原始資料!Y$2:Y$501,$BJ199)))</f>
        <v/>
      </c>
      <c r="X199" s="6">
        <f>IF(OR($BJ199="",23&gt;設定!$B$3),"",IF(INDEX(原始資料!Z$2:Z$501,$BJ199)="","",INDEX(原始資料!Z$2:Z$501,$BJ199)))</f>
        <v/>
      </c>
      <c r="Y199" s="6">
        <f>IF(OR($BJ199="",24&gt;設定!$B$3),"",IF(INDEX(原始資料!AA$2:AA$501,$BJ199)="","",INDEX(原始資料!AA$2:AA$501,$BJ199)))</f>
        <v/>
      </c>
      <c r="Z199" s="6">
        <f>IF(OR($BJ199="",25&gt;設定!$B$3),"",IF(INDEX(原始資料!AB$2:AB$501,$BJ199)="","",INDEX(原始資料!AB$2:AB$501,$BJ199)))</f>
        <v/>
      </c>
      <c r="AA199" s="6">
        <f>IF(OR($BJ199="",26&gt;設定!$B$3),"",IF(INDEX(原始資料!AC$2:AC$501,$BJ199)="","",INDEX(原始資料!AC$2:AC$501,$BJ199)))</f>
        <v/>
      </c>
      <c r="AB199" s="6">
        <f>IF(OR($BJ199="",27&gt;設定!$B$3),"",IF(INDEX(原始資料!AD$2:AD$501,$BJ199)="","",INDEX(原始資料!AD$2:AD$501,$BJ199)))</f>
        <v/>
      </c>
      <c r="AC199" s="6">
        <f>IF(OR($BJ199="",28&gt;設定!$B$3),"",IF(INDEX(原始資料!AE$2:AE$501,$BJ199)="","",INDEX(原始資料!AE$2:AE$501,$BJ199)))</f>
        <v/>
      </c>
      <c r="AD199" s="6">
        <f>IF(OR($BJ199="",29&gt;設定!$B$3),"",IF(INDEX(原始資料!AF$2:AF$501,$BJ199)="","",INDEX(原始資料!AF$2:AF$501,$BJ199)))</f>
        <v/>
      </c>
      <c r="AE199" s="6">
        <f>IF(OR($BJ199="",30&gt;設定!$B$3),"",IF(INDEX(原始資料!AG$2:AG$501,$BJ199)="","",INDEX(原始資料!AG$2:AG$501,$BJ199)))</f>
        <v/>
      </c>
      <c r="AF199" s="6">
        <f>IF(OR($BJ199="",31&gt;設定!$B$3),"",IF(INDEX(原始資料!AH$2:AH$501,$BJ199)="","",INDEX(原始資料!AH$2:AH$501,$BJ199)))</f>
        <v/>
      </c>
      <c r="AG199" s="6">
        <f>IF(OR($BJ199="",32&gt;設定!$B$3),"",IF(INDEX(原始資料!AI$2:AI$501,$BJ199)="","",INDEX(原始資料!AI$2:AI$501,$BJ199)))</f>
        <v/>
      </c>
      <c r="AH199" s="6">
        <f>IF(OR($BJ199="",33&gt;設定!$B$3),"",IF(INDEX(原始資料!AJ$2:AJ$501,$BJ199)="","",INDEX(原始資料!AJ$2:AJ$501,$BJ199)))</f>
        <v/>
      </c>
      <c r="AI199" s="6">
        <f>IF(OR($BJ199="",34&gt;設定!$B$3),"",IF(INDEX(原始資料!AK$2:AK$501,$BJ199)="","",INDEX(原始資料!AK$2:AK$501,$BJ199)))</f>
        <v/>
      </c>
      <c r="AJ199" s="6">
        <f>IF(OR($BJ199="",35&gt;設定!$B$3),"",IF(INDEX(原始資料!AL$2:AL$501,$BJ199)="","",INDEX(原始資料!AL$2:AL$501,$BJ199)))</f>
        <v/>
      </c>
      <c r="AK199" s="6">
        <f>IF(OR($BJ199="",36&gt;設定!$B$3),"",IF(INDEX(原始資料!AM$2:AM$501,$BJ199)="","",INDEX(原始資料!AM$2:AM$501,$BJ199)))</f>
        <v/>
      </c>
      <c r="AL199" s="6">
        <f>IF(OR($BJ199="",37&gt;設定!$B$3),"",IF(INDEX(原始資料!AN$2:AN$501,$BJ199)="","",INDEX(原始資料!AN$2:AN$501,$BJ199)))</f>
        <v/>
      </c>
      <c r="AM199" s="6">
        <f>IF(OR($BJ199="",38&gt;設定!$B$3),"",IF(INDEX(原始資料!AO$2:AO$501,$BJ199)="","",INDEX(原始資料!AO$2:AO$501,$BJ199)))</f>
        <v/>
      </c>
      <c r="AN199" s="6">
        <f>IF(OR($BJ199="",39&gt;設定!$B$3),"",IF(INDEX(原始資料!AP$2:AP$501,$BJ199)="","",INDEX(原始資料!AP$2:AP$501,$BJ199)))</f>
        <v/>
      </c>
      <c r="AO199" s="6">
        <f>IF(OR($BJ199="",40&gt;設定!$B$3),"",IF(INDEX(原始資料!AQ$2:AQ$501,$BJ199)="","",INDEX(原始資料!AQ$2:AQ$501,$BJ199)))</f>
        <v/>
      </c>
      <c r="AP199" s="6">
        <f>IF(OR($BJ199="",41&gt;設定!$B$3),"",IF(INDEX(原始資料!AR$2:AR$501,$BJ199)="","",INDEX(原始資料!AR$2:AR$501,$BJ199)))</f>
        <v/>
      </c>
      <c r="AQ199" s="6">
        <f>IF(OR($BJ199="",42&gt;設定!$B$3),"",IF(INDEX(原始資料!AS$2:AS$501,$BJ199)="","",INDEX(原始資料!AS$2:AS$501,$BJ199)))</f>
        <v/>
      </c>
      <c r="AR199" s="6">
        <f>IF(OR($BJ199="",43&gt;設定!$B$3),"",IF(INDEX(原始資料!AT$2:AT$501,$BJ199)="","",INDEX(原始資料!AT$2:AT$501,$BJ199)))</f>
        <v/>
      </c>
      <c r="AS199" s="6">
        <f>IF(OR($BJ199="",44&gt;設定!$B$3),"",IF(INDEX(原始資料!AU$2:AU$501,$BJ199)="","",INDEX(原始資料!AU$2:AU$501,$BJ199)))</f>
        <v/>
      </c>
      <c r="AT199" s="6">
        <f>IF(OR($BJ199="",45&gt;設定!$B$3),"",IF(INDEX(原始資料!AV$2:AV$501,$BJ199)="","",INDEX(原始資料!AV$2:AV$501,$BJ199)))</f>
        <v/>
      </c>
      <c r="AU199" s="6">
        <f>IF(OR($BJ199="",46&gt;設定!$B$3),"",IF(INDEX(原始資料!AW$2:AW$501,$BJ199)="","",INDEX(原始資料!AW$2:AW$501,$BJ199)))</f>
        <v/>
      </c>
      <c r="AV199" s="6">
        <f>IF(OR($BJ199="",47&gt;設定!$B$3),"",IF(INDEX(原始資料!AX$2:AX$501,$BJ199)="","",INDEX(原始資料!AX$2:AX$501,$BJ199)))</f>
        <v/>
      </c>
      <c r="AW199" s="6">
        <f>IF(OR($BJ199="",48&gt;設定!$B$3),"",IF(INDEX(原始資料!AY$2:AY$501,$BJ199)="","",INDEX(原始資料!AY$2:AY$501,$BJ199)))</f>
        <v/>
      </c>
      <c r="AX199" s="6">
        <f>IF(OR($BJ199="",49&gt;設定!$B$3),"",IF(INDEX(原始資料!AZ$2:AZ$501,$BJ199)="","",INDEX(原始資料!AZ$2:AZ$501,$BJ199)))</f>
        <v/>
      </c>
      <c r="AY199" s="6">
        <f>IF(OR($BJ199="",50&gt;設定!$B$3),"",IF(INDEX(原始資料!BA$2:BA$501,$BJ199)="","",INDEX(原始資料!BA$2:BA$501,$BJ199)))</f>
        <v/>
      </c>
      <c r="AZ199" s="6">
        <f>IF(OR($BJ199="",51&gt;設定!$B$3),"",IF(INDEX(原始資料!BB$2:BB$501,$BJ199)="","",INDEX(原始資料!BB$2:BB$501,$BJ199)))</f>
        <v/>
      </c>
      <c r="BA199" s="6">
        <f>IF(OR($BJ199="",52&gt;設定!$B$3),"",IF(INDEX(原始資料!BC$2:BC$501,$BJ199)="","",INDEX(原始資料!BC$2:BC$501,$BJ199)))</f>
        <v/>
      </c>
      <c r="BB199" s="6">
        <f>IF(OR($BJ199="",53&gt;設定!$B$3),"",IF(INDEX(原始資料!BD$2:BD$501,$BJ199)="","",INDEX(原始資料!BD$2:BD$501,$BJ199)))</f>
        <v/>
      </c>
      <c r="BC199" s="6">
        <f>IF(OR($BJ199="",54&gt;設定!$B$3),"",IF(INDEX(原始資料!BE$2:BE$501,$BJ199)="","",INDEX(原始資料!BE$2:BE$501,$BJ199)))</f>
        <v/>
      </c>
      <c r="BD199" s="6">
        <f>IF(OR($BJ199="",55&gt;設定!$B$3),"",IF(INDEX(原始資料!BF$2:BF$501,$BJ199)="","",INDEX(原始資料!BF$2:BF$501,$BJ199)))</f>
        <v/>
      </c>
      <c r="BE199" s="6">
        <f>IF(OR($BJ199="",56&gt;設定!$B$3),"",IF(INDEX(原始資料!BG$2:BG$501,$BJ199)="","",INDEX(原始資料!BG$2:BG$501,$BJ199)))</f>
        <v/>
      </c>
      <c r="BF199" s="6">
        <f>IF(OR($BJ199="",57&gt;設定!$B$3),"",IF(INDEX(原始資料!BH$2:BH$501,$BJ199)="","",INDEX(原始資料!BH$2:BH$501,$BJ199)))</f>
        <v/>
      </c>
      <c r="BG199" s="6">
        <f>IF(OR($BJ199="",58&gt;設定!$B$3),"",IF(INDEX(原始資料!BI$2:BI$501,$BJ199)="","",INDEX(原始資料!BI$2:BI$501,$BJ199)))</f>
        <v/>
      </c>
      <c r="BH199" s="6">
        <f>IF(OR($BJ199="",59&gt;設定!$B$3),"",IF(INDEX(原始資料!BJ$2:BJ$501,$BJ199)="","",INDEX(原始資料!BJ$2:BJ$501,$BJ199)))</f>
        <v/>
      </c>
      <c r="BI199" s="6">
        <f>IF(OR($BJ199="",60&gt;設定!$B$3),"",IF(INDEX(原始資料!BK$2:BK$501,$BJ199)="","",INDEX(原始資料!BK$2:BK$501,$BJ199)))</f>
        <v/>
      </c>
      <c r="BJ199" s="6">
        <f>IFERROR(MATCH(ROW()-1,判定!$H$2:$H$501,0),"")</f>
        <v/>
      </c>
    </row>
    <row r="200">
      <c r="A200" s="6">
        <f>IF($BJ200="","",INDEX(原始資料!$A$2:$A$501,$BJ200))</f>
        <v/>
      </c>
      <c r="B200" s="6">
        <f>IF(OR($BJ200="",1&gt;設定!$B$3),"",IF(INDEX(原始資料!D$2:D$501,$BJ200)="","",INDEX(原始資料!D$2:D$501,$BJ200)))</f>
        <v/>
      </c>
      <c r="C200" s="6">
        <f>IF(OR($BJ200="",2&gt;設定!$B$3),"",IF(INDEX(原始資料!E$2:E$501,$BJ200)="","",INDEX(原始資料!E$2:E$501,$BJ200)))</f>
        <v/>
      </c>
      <c r="D200" s="6">
        <f>IF(OR($BJ200="",3&gt;設定!$B$3),"",IF(INDEX(原始資料!F$2:F$501,$BJ200)="","",INDEX(原始資料!F$2:F$501,$BJ200)))</f>
        <v/>
      </c>
      <c r="E200" s="6">
        <f>IF(OR($BJ200="",4&gt;設定!$B$3),"",IF(INDEX(原始資料!G$2:G$501,$BJ200)="","",INDEX(原始資料!G$2:G$501,$BJ200)))</f>
        <v/>
      </c>
      <c r="F200" s="6">
        <f>IF(OR($BJ200="",5&gt;設定!$B$3),"",IF(INDEX(原始資料!H$2:H$501,$BJ200)="","",INDEX(原始資料!H$2:H$501,$BJ200)))</f>
        <v/>
      </c>
      <c r="G200" s="6">
        <f>IF(OR($BJ200="",6&gt;設定!$B$3),"",IF(INDEX(原始資料!I$2:I$501,$BJ200)="","",INDEX(原始資料!I$2:I$501,$BJ200)))</f>
        <v/>
      </c>
      <c r="H200" s="6">
        <f>IF(OR($BJ200="",7&gt;設定!$B$3),"",IF(INDEX(原始資料!J$2:J$501,$BJ200)="","",INDEX(原始資料!J$2:J$501,$BJ200)))</f>
        <v/>
      </c>
      <c r="I200" s="6">
        <f>IF(OR($BJ200="",8&gt;設定!$B$3),"",IF(INDEX(原始資料!K$2:K$501,$BJ200)="","",INDEX(原始資料!K$2:K$501,$BJ200)))</f>
        <v/>
      </c>
      <c r="J200" s="6">
        <f>IF(OR($BJ200="",9&gt;設定!$B$3),"",IF(INDEX(原始資料!L$2:L$501,$BJ200)="","",INDEX(原始資料!L$2:L$501,$BJ200)))</f>
        <v/>
      </c>
      <c r="K200" s="6">
        <f>IF(OR($BJ200="",10&gt;設定!$B$3),"",IF(INDEX(原始資料!M$2:M$501,$BJ200)="","",INDEX(原始資料!M$2:M$501,$BJ200)))</f>
        <v/>
      </c>
      <c r="L200" s="6">
        <f>IF(OR($BJ200="",11&gt;設定!$B$3),"",IF(INDEX(原始資料!N$2:N$501,$BJ200)="","",INDEX(原始資料!N$2:N$501,$BJ200)))</f>
        <v/>
      </c>
      <c r="M200" s="6">
        <f>IF(OR($BJ200="",12&gt;設定!$B$3),"",IF(INDEX(原始資料!O$2:O$501,$BJ200)="","",INDEX(原始資料!O$2:O$501,$BJ200)))</f>
        <v/>
      </c>
      <c r="N200" s="6">
        <f>IF(OR($BJ200="",13&gt;設定!$B$3),"",IF(INDEX(原始資料!P$2:P$501,$BJ200)="","",INDEX(原始資料!P$2:P$501,$BJ200)))</f>
        <v/>
      </c>
      <c r="O200" s="6">
        <f>IF(OR($BJ200="",14&gt;設定!$B$3),"",IF(INDEX(原始資料!Q$2:Q$501,$BJ200)="","",INDEX(原始資料!Q$2:Q$501,$BJ200)))</f>
        <v/>
      </c>
      <c r="P200" s="6">
        <f>IF(OR($BJ200="",15&gt;設定!$B$3),"",IF(INDEX(原始資料!R$2:R$501,$BJ200)="","",INDEX(原始資料!R$2:R$501,$BJ200)))</f>
        <v/>
      </c>
      <c r="Q200" s="6">
        <f>IF(OR($BJ200="",16&gt;設定!$B$3),"",IF(INDEX(原始資料!S$2:S$501,$BJ200)="","",INDEX(原始資料!S$2:S$501,$BJ200)))</f>
        <v/>
      </c>
      <c r="R200" s="6">
        <f>IF(OR($BJ200="",17&gt;設定!$B$3),"",IF(INDEX(原始資料!T$2:T$501,$BJ200)="","",INDEX(原始資料!T$2:T$501,$BJ200)))</f>
        <v/>
      </c>
      <c r="S200" s="6">
        <f>IF(OR($BJ200="",18&gt;設定!$B$3),"",IF(INDEX(原始資料!U$2:U$501,$BJ200)="","",INDEX(原始資料!U$2:U$501,$BJ200)))</f>
        <v/>
      </c>
      <c r="T200" s="6">
        <f>IF(OR($BJ200="",19&gt;設定!$B$3),"",IF(INDEX(原始資料!V$2:V$501,$BJ200)="","",INDEX(原始資料!V$2:V$501,$BJ200)))</f>
        <v/>
      </c>
      <c r="U200" s="6">
        <f>IF(OR($BJ200="",20&gt;設定!$B$3),"",IF(INDEX(原始資料!W$2:W$501,$BJ200)="","",INDEX(原始資料!W$2:W$501,$BJ200)))</f>
        <v/>
      </c>
      <c r="V200" s="6">
        <f>IF(OR($BJ200="",21&gt;設定!$B$3),"",IF(INDEX(原始資料!X$2:X$501,$BJ200)="","",INDEX(原始資料!X$2:X$501,$BJ200)))</f>
        <v/>
      </c>
      <c r="W200" s="6">
        <f>IF(OR($BJ200="",22&gt;設定!$B$3),"",IF(INDEX(原始資料!Y$2:Y$501,$BJ200)="","",INDEX(原始資料!Y$2:Y$501,$BJ200)))</f>
        <v/>
      </c>
      <c r="X200" s="6">
        <f>IF(OR($BJ200="",23&gt;設定!$B$3),"",IF(INDEX(原始資料!Z$2:Z$501,$BJ200)="","",INDEX(原始資料!Z$2:Z$501,$BJ200)))</f>
        <v/>
      </c>
      <c r="Y200" s="6">
        <f>IF(OR($BJ200="",24&gt;設定!$B$3),"",IF(INDEX(原始資料!AA$2:AA$501,$BJ200)="","",INDEX(原始資料!AA$2:AA$501,$BJ200)))</f>
        <v/>
      </c>
      <c r="Z200" s="6">
        <f>IF(OR($BJ200="",25&gt;設定!$B$3),"",IF(INDEX(原始資料!AB$2:AB$501,$BJ200)="","",INDEX(原始資料!AB$2:AB$501,$BJ200)))</f>
        <v/>
      </c>
      <c r="AA200" s="6">
        <f>IF(OR($BJ200="",26&gt;設定!$B$3),"",IF(INDEX(原始資料!AC$2:AC$501,$BJ200)="","",INDEX(原始資料!AC$2:AC$501,$BJ200)))</f>
        <v/>
      </c>
      <c r="AB200" s="6">
        <f>IF(OR($BJ200="",27&gt;設定!$B$3),"",IF(INDEX(原始資料!AD$2:AD$501,$BJ200)="","",INDEX(原始資料!AD$2:AD$501,$BJ200)))</f>
        <v/>
      </c>
      <c r="AC200" s="6">
        <f>IF(OR($BJ200="",28&gt;設定!$B$3),"",IF(INDEX(原始資料!AE$2:AE$501,$BJ200)="","",INDEX(原始資料!AE$2:AE$501,$BJ200)))</f>
        <v/>
      </c>
      <c r="AD200" s="6">
        <f>IF(OR($BJ200="",29&gt;設定!$B$3),"",IF(INDEX(原始資料!AF$2:AF$501,$BJ200)="","",INDEX(原始資料!AF$2:AF$501,$BJ200)))</f>
        <v/>
      </c>
      <c r="AE200" s="6">
        <f>IF(OR($BJ200="",30&gt;設定!$B$3),"",IF(INDEX(原始資料!AG$2:AG$501,$BJ200)="","",INDEX(原始資料!AG$2:AG$501,$BJ200)))</f>
        <v/>
      </c>
      <c r="AF200" s="6">
        <f>IF(OR($BJ200="",31&gt;設定!$B$3),"",IF(INDEX(原始資料!AH$2:AH$501,$BJ200)="","",INDEX(原始資料!AH$2:AH$501,$BJ200)))</f>
        <v/>
      </c>
      <c r="AG200" s="6">
        <f>IF(OR($BJ200="",32&gt;設定!$B$3),"",IF(INDEX(原始資料!AI$2:AI$501,$BJ200)="","",INDEX(原始資料!AI$2:AI$501,$BJ200)))</f>
        <v/>
      </c>
      <c r="AH200" s="6">
        <f>IF(OR($BJ200="",33&gt;設定!$B$3),"",IF(INDEX(原始資料!AJ$2:AJ$501,$BJ200)="","",INDEX(原始資料!AJ$2:AJ$501,$BJ200)))</f>
        <v/>
      </c>
      <c r="AI200" s="6">
        <f>IF(OR($BJ200="",34&gt;設定!$B$3),"",IF(INDEX(原始資料!AK$2:AK$501,$BJ200)="","",INDEX(原始資料!AK$2:AK$501,$BJ200)))</f>
        <v/>
      </c>
      <c r="AJ200" s="6">
        <f>IF(OR($BJ200="",35&gt;設定!$B$3),"",IF(INDEX(原始資料!AL$2:AL$501,$BJ200)="","",INDEX(原始資料!AL$2:AL$501,$BJ200)))</f>
        <v/>
      </c>
      <c r="AK200" s="6">
        <f>IF(OR($BJ200="",36&gt;設定!$B$3),"",IF(INDEX(原始資料!AM$2:AM$501,$BJ200)="","",INDEX(原始資料!AM$2:AM$501,$BJ200)))</f>
        <v/>
      </c>
      <c r="AL200" s="6">
        <f>IF(OR($BJ200="",37&gt;設定!$B$3),"",IF(INDEX(原始資料!AN$2:AN$501,$BJ200)="","",INDEX(原始資料!AN$2:AN$501,$BJ200)))</f>
        <v/>
      </c>
      <c r="AM200" s="6">
        <f>IF(OR($BJ200="",38&gt;設定!$B$3),"",IF(INDEX(原始資料!AO$2:AO$501,$BJ200)="","",INDEX(原始資料!AO$2:AO$501,$BJ200)))</f>
        <v/>
      </c>
      <c r="AN200" s="6">
        <f>IF(OR($BJ200="",39&gt;設定!$B$3),"",IF(INDEX(原始資料!AP$2:AP$501,$BJ200)="","",INDEX(原始資料!AP$2:AP$501,$BJ200)))</f>
        <v/>
      </c>
      <c r="AO200" s="6">
        <f>IF(OR($BJ200="",40&gt;設定!$B$3),"",IF(INDEX(原始資料!AQ$2:AQ$501,$BJ200)="","",INDEX(原始資料!AQ$2:AQ$501,$BJ200)))</f>
        <v/>
      </c>
      <c r="AP200" s="6">
        <f>IF(OR($BJ200="",41&gt;設定!$B$3),"",IF(INDEX(原始資料!AR$2:AR$501,$BJ200)="","",INDEX(原始資料!AR$2:AR$501,$BJ200)))</f>
        <v/>
      </c>
      <c r="AQ200" s="6">
        <f>IF(OR($BJ200="",42&gt;設定!$B$3),"",IF(INDEX(原始資料!AS$2:AS$501,$BJ200)="","",INDEX(原始資料!AS$2:AS$501,$BJ200)))</f>
        <v/>
      </c>
      <c r="AR200" s="6">
        <f>IF(OR($BJ200="",43&gt;設定!$B$3),"",IF(INDEX(原始資料!AT$2:AT$501,$BJ200)="","",INDEX(原始資料!AT$2:AT$501,$BJ200)))</f>
        <v/>
      </c>
      <c r="AS200" s="6">
        <f>IF(OR($BJ200="",44&gt;設定!$B$3),"",IF(INDEX(原始資料!AU$2:AU$501,$BJ200)="","",INDEX(原始資料!AU$2:AU$501,$BJ200)))</f>
        <v/>
      </c>
      <c r="AT200" s="6">
        <f>IF(OR($BJ200="",45&gt;設定!$B$3),"",IF(INDEX(原始資料!AV$2:AV$501,$BJ200)="","",INDEX(原始資料!AV$2:AV$501,$BJ200)))</f>
        <v/>
      </c>
      <c r="AU200" s="6">
        <f>IF(OR($BJ200="",46&gt;設定!$B$3),"",IF(INDEX(原始資料!AW$2:AW$501,$BJ200)="","",INDEX(原始資料!AW$2:AW$501,$BJ200)))</f>
        <v/>
      </c>
      <c r="AV200" s="6">
        <f>IF(OR($BJ200="",47&gt;設定!$B$3),"",IF(INDEX(原始資料!AX$2:AX$501,$BJ200)="","",INDEX(原始資料!AX$2:AX$501,$BJ200)))</f>
        <v/>
      </c>
      <c r="AW200" s="6">
        <f>IF(OR($BJ200="",48&gt;設定!$B$3),"",IF(INDEX(原始資料!AY$2:AY$501,$BJ200)="","",INDEX(原始資料!AY$2:AY$501,$BJ200)))</f>
        <v/>
      </c>
      <c r="AX200" s="6">
        <f>IF(OR($BJ200="",49&gt;設定!$B$3),"",IF(INDEX(原始資料!AZ$2:AZ$501,$BJ200)="","",INDEX(原始資料!AZ$2:AZ$501,$BJ200)))</f>
        <v/>
      </c>
      <c r="AY200" s="6">
        <f>IF(OR($BJ200="",50&gt;設定!$B$3),"",IF(INDEX(原始資料!BA$2:BA$501,$BJ200)="","",INDEX(原始資料!BA$2:BA$501,$BJ200)))</f>
        <v/>
      </c>
      <c r="AZ200" s="6">
        <f>IF(OR($BJ200="",51&gt;設定!$B$3),"",IF(INDEX(原始資料!BB$2:BB$501,$BJ200)="","",INDEX(原始資料!BB$2:BB$501,$BJ200)))</f>
        <v/>
      </c>
      <c r="BA200" s="6">
        <f>IF(OR($BJ200="",52&gt;設定!$B$3),"",IF(INDEX(原始資料!BC$2:BC$501,$BJ200)="","",INDEX(原始資料!BC$2:BC$501,$BJ200)))</f>
        <v/>
      </c>
      <c r="BB200" s="6">
        <f>IF(OR($BJ200="",53&gt;設定!$B$3),"",IF(INDEX(原始資料!BD$2:BD$501,$BJ200)="","",INDEX(原始資料!BD$2:BD$501,$BJ200)))</f>
        <v/>
      </c>
      <c r="BC200" s="6">
        <f>IF(OR($BJ200="",54&gt;設定!$B$3),"",IF(INDEX(原始資料!BE$2:BE$501,$BJ200)="","",INDEX(原始資料!BE$2:BE$501,$BJ200)))</f>
        <v/>
      </c>
      <c r="BD200" s="6">
        <f>IF(OR($BJ200="",55&gt;設定!$B$3),"",IF(INDEX(原始資料!BF$2:BF$501,$BJ200)="","",INDEX(原始資料!BF$2:BF$501,$BJ200)))</f>
        <v/>
      </c>
      <c r="BE200" s="6">
        <f>IF(OR($BJ200="",56&gt;設定!$B$3),"",IF(INDEX(原始資料!BG$2:BG$501,$BJ200)="","",INDEX(原始資料!BG$2:BG$501,$BJ200)))</f>
        <v/>
      </c>
      <c r="BF200" s="6">
        <f>IF(OR($BJ200="",57&gt;設定!$B$3),"",IF(INDEX(原始資料!BH$2:BH$501,$BJ200)="","",INDEX(原始資料!BH$2:BH$501,$BJ200)))</f>
        <v/>
      </c>
      <c r="BG200" s="6">
        <f>IF(OR($BJ200="",58&gt;設定!$B$3),"",IF(INDEX(原始資料!BI$2:BI$501,$BJ200)="","",INDEX(原始資料!BI$2:BI$501,$BJ200)))</f>
        <v/>
      </c>
      <c r="BH200" s="6">
        <f>IF(OR($BJ200="",59&gt;設定!$B$3),"",IF(INDEX(原始資料!BJ$2:BJ$501,$BJ200)="","",INDEX(原始資料!BJ$2:BJ$501,$BJ200)))</f>
        <v/>
      </c>
      <c r="BI200" s="6">
        <f>IF(OR($BJ200="",60&gt;設定!$B$3),"",IF(INDEX(原始資料!BK$2:BK$501,$BJ200)="","",INDEX(原始資料!BK$2:BK$501,$BJ200)))</f>
        <v/>
      </c>
      <c r="BJ200" s="6">
        <f>IFERROR(MATCH(ROW()-1,判定!$H$2:$H$501,0),"")</f>
        <v/>
      </c>
    </row>
    <row r="201">
      <c r="A201" s="6">
        <f>IF($BJ201="","",INDEX(原始資料!$A$2:$A$501,$BJ201))</f>
        <v/>
      </c>
      <c r="B201" s="6">
        <f>IF(OR($BJ201="",1&gt;設定!$B$3),"",IF(INDEX(原始資料!D$2:D$501,$BJ201)="","",INDEX(原始資料!D$2:D$501,$BJ201)))</f>
        <v/>
      </c>
      <c r="C201" s="6">
        <f>IF(OR($BJ201="",2&gt;設定!$B$3),"",IF(INDEX(原始資料!E$2:E$501,$BJ201)="","",INDEX(原始資料!E$2:E$501,$BJ201)))</f>
        <v/>
      </c>
      <c r="D201" s="6">
        <f>IF(OR($BJ201="",3&gt;設定!$B$3),"",IF(INDEX(原始資料!F$2:F$501,$BJ201)="","",INDEX(原始資料!F$2:F$501,$BJ201)))</f>
        <v/>
      </c>
      <c r="E201" s="6">
        <f>IF(OR($BJ201="",4&gt;設定!$B$3),"",IF(INDEX(原始資料!G$2:G$501,$BJ201)="","",INDEX(原始資料!G$2:G$501,$BJ201)))</f>
        <v/>
      </c>
      <c r="F201" s="6">
        <f>IF(OR($BJ201="",5&gt;設定!$B$3),"",IF(INDEX(原始資料!H$2:H$501,$BJ201)="","",INDEX(原始資料!H$2:H$501,$BJ201)))</f>
        <v/>
      </c>
      <c r="G201" s="6">
        <f>IF(OR($BJ201="",6&gt;設定!$B$3),"",IF(INDEX(原始資料!I$2:I$501,$BJ201)="","",INDEX(原始資料!I$2:I$501,$BJ201)))</f>
        <v/>
      </c>
      <c r="H201" s="6">
        <f>IF(OR($BJ201="",7&gt;設定!$B$3),"",IF(INDEX(原始資料!J$2:J$501,$BJ201)="","",INDEX(原始資料!J$2:J$501,$BJ201)))</f>
        <v/>
      </c>
      <c r="I201" s="6">
        <f>IF(OR($BJ201="",8&gt;設定!$B$3),"",IF(INDEX(原始資料!K$2:K$501,$BJ201)="","",INDEX(原始資料!K$2:K$501,$BJ201)))</f>
        <v/>
      </c>
      <c r="J201" s="6">
        <f>IF(OR($BJ201="",9&gt;設定!$B$3),"",IF(INDEX(原始資料!L$2:L$501,$BJ201)="","",INDEX(原始資料!L$2:L$501,$BJ201)))</f>
        <v/>
      </c>
      <c r="K201" s="6">
        <f>IF(OR($BJ201="",10&gt;設定!$B$3),"",IF(INDEX(原始資料!M$2:M$501,$BJ201)="","",INDEX(原始資料!M$2:M$501,$BJ201)))</f>
        <v/>
      </c>
      <c r="L201" s="6">
        <f>IF(OR($BJ201="",11&gt;設定!$B$3),"",IF(INDEX(原始資料!N$2:N$501,$BJ201)="","",INDEX(原始資料!N$2:N$501,$BJ201)))</f>
        <v/>
      </c>
      <c r="M201" s="6">
        <f>IF(OR($BJ201="",12&gt;設定!$B$3),"",IF(INDEX(原始資料!O$2:O$501,$BJ201)="","",INDEX(原始資料!O$2:O$501,$BJ201)))</f>
        <v/>
      </c>
      <c r="N201" s="6">
        <f>IF(OR($BJ201="",13&gt;設定!$B$3),"",IF(INDEX(原始資料!P$2:P$501,$BJ201)="","",INDEX(原始資料!P$2:P$501,$BJ201)))</f>
        <v/>
      </c>
      <c r="O201" s="6">
        <f>IF(OR($BJ201="",14&gt;設定!$B$3),"",IF(INDEX(原始資料!Q$2:Q$501,$BJ201)="","",INDEX(原始資料!Q$2:Q$501,$BJ201)))</f>
        <v/>
      </c>
      <c r="P201" s="6">
        <f>IF(OR($BJ201="",15&gt;設定!$B$3),"",IF(INDEX(原始資料!R$2:R$501,$BJ201)="","",INDEX(原始資料!R$2:R$501,$BJ201)))</f>
        <v/>
      </c>
      <c r="Q201" s="6">
        <f>IF(OR($BJ201="",16&gt;設定!$B$3),"",IF(INDEX(原始資料!S$2:S$501,$BJ201)="","",INDEX(原始資料!S$2:S$501,$BJ201)))</f>
        <v/>
      </c>
      <c r="R201" s="6">
        <f>IF(OR($BJ201="",17&gt;設定!$B$3),"",IF(INDEX(原始資料!T$2:T$501,$BJ201)="","",INDEX(原始資料!T$2:T$501,$BJ201)))</f>
        <v/>
      </c>
      <c r="S201" s="6">
        <f>IF(OR($BJ201="",18&gt;設定!$B$3),"",IF(INDEX(原始資料!U$2:U$501,$BJ201)="","",INDEX(原始資料!U$2:U$501,$BJ201)))</f>
        <v/>
      </c>
      <c r="T201" s="6">
        <f>IF(OR($BJ201="",19&gt;設定!$B$3),"",IF(INDEX(原始資料!V$2:V$501,$BJ201)="","",INDEX(原始資料!V$2:V$501,$BJ201)))</f>
        <v/>
      </c>
      <c r="U201" s="6">
        <f>IF(OR($BJ201="",20&gt;設定!$B$3),"",IF(INDEX(原始資料!W$2:W$501,$BJ201)="","",INDEX(原始資料!W$2:W$501,$BJ201)))</f>
        <v/>
      </c>
      <c r="V201" s="6">
        <f>IF(OR($BJ201="",21&gt;設定!$B$3),"",IF(INDEX(原始資料!X$2:X$501,$BJ201)="","",INDEX(原始資料!X$2:X$501,$BJ201)))</f>
        <v/>
      </c>
      <c r="W201" s="6">
        <f>IF(OR($BJ201="",22&gt;設定!$B$3),"",IF(INDEX(原始資料!Y$2:Y$501,$BJ201)="","",INDEX(原始資料!Y$2:Y$501,$BJ201)))</f>
        <v/>
      </c>
      <c r="X201" s="6">
        <f>IF(OR($BJ201="",23&gt;設定!$B$3),"",IF(INDEX(原始資料!Z$2:Z$501,$BJ201)="","",INDEX(原始資料!Z$2:Z$501,$BJ201)))</f>
        <v/>
      </c>
      <c r="Y201" s="6">
        <f>IF(OR($BJ201="",24&gt;設定!$B$3),"",IF(INDEX(原始資料!AA$2:AA$501,$BJ201)="","",INDEX(原始資料!AA$2:AA$501,$BJ201)))</f>
        <v/>
      </c>
      <c r="Z201" s="6">
        <f>IF(OR($BJ201="",25&gt;設定!$B$3),"",IF(INDEX(原始資料!AB$2:AB$501,$BJ201)="","",INDEX(原始資料!AB$2:AB$501,$BJ201)))</f>
        <v/>
      </c>
      <c r="AA201" s="6">
        <f>IF(OR($BJ201="",26&gt;設定!$B$3),"",IF(INDEX(原始資料!AC$2:AC$501,$BJ201)="","",INDEX(原始資料!AC$2:AC$501,$BJ201)))</f>
        <v/>
      </c>
      <c r="AB201" s="6">
        <f>IF(OR($BJ201="",27&gt;設定!$B$3),"",IF(INDEX(原始資料!AD$2:AD$501,$BJ201)="","",INDEX(原始資料!AD$2:AD$501,$BJ201)))</f>
        <v/>
      </c>
      <c r="AC201" s="6">
        <f>IF(OR($BJ201="",28&gt;設定!$B$3),"",IF(INDEX(原始資料!AE$2:AE$501,$BJ201)="","",INDEX(原始資料!AE$2:AE$501,$BJ201)))</f>
        <v/>
      </c>
      <c r="AD201" s="6">
        <f>IF(OR($BJ201="",29&gt;設定!$B$3),"",IF(INDEX(原始資料!AF$2:AF$501,$BJ201)="","",INDEX(原始資料!AF$2:AF$501,$BJ201)))</f>
        <v/>
      </c>
      <c r="AE201" s="6">
        <f>IF(OR($BJ201="",30&gt;設定!$B$3),"",IF(INDEX(原始資料!AG$2:AG$501,$BJ201)="","",INDEX(原始資料!AG$2:AG$501,$BJ201)))</f>
        <v/>
      </c>
      <c r="AF201" s="6">
        <f>IF(OR($BJ201="",31&gt;設定!$B$3),"",IF(INDEX(原始資料!AH$2:AH$501,$BJ201)="","",INDEX(原始資料!AH$2:AH$501,$BJ201)))</f>
        <v/>
      </c>
      <c r="AG201" s="6">
        <f>IF(OR($BJ201="",32&gt;設定!$B$3),"",IF(INDEX(原始資料!AI$2:AI$501,$BJ201)="","",INDEX(原始資料!AI$2:AI$501,$BJ201)))</f>
        <v/>
      </c>
      <c r="AH201" s="6">
        <f>IF(OR($BJ201="",33&gt;設定!$B$3),"",IF(INDEX(原始資料!AJ$2:AJ$501,$BJ201)="","",INDEX(原始資料!AJ$2:AJ$501,$BJ201)))</f>
        <v/>
      </c>
      <c r="AI201" s="6">
        <f>IF(OR($BJ201="",34&gt;設定!$B$3),"",IF(INDEX(原始資料!AK$2:AK$501,$BJ201)="","",INDEX(原始資料!AK$2:AK$501,$BJ201)))</f>
        <v/>
      </c>
      <c r="AJ201" s="6">
        <f>IF(OR($BJ201="",35&gt;設定!$B$3),"",IF(INDEX(原始資料!AL$2:AL$501,$BJ201)="","",INDEX(原始資料!AL$2:AL$501,$BJ201)))</f>
        <v/>
      </c>
      <c r="AK201" s="6">
        <f>IF(OR($BJ201="",36&gt;設定!$B$3),"",IF(INDEX(原始資料!AM$2:AM$501,$BJ201)="","",INDEX(原始資料!AM$2:AM$501,$BJ201)))</f>
        <v/>
      </c>
      <c r="AL201" s="6">
        <f>IF(OR($BJ201="",37&gt;設定!$B$3),"",IF(INDEX(原始資料!AN$2:AN$501,$BJ201)="","",INDEX(原始資料!AN$2:AN$501,$BJ201)))</f>
        <v/>
      </c>
      <c r="AM201" s="6">
        <f>IF(OR($BJ201="",38&gt;設定!$B$3),"",IF(INDEX(原始資料!AO$2:AO$501,$BJ201)="","",INDEX(原始資料!AO$2:AO$501,$BJ201)))</f>
        <v/>
      </c>
      <c r="AN201" s="6">
        <f>IF(OR($BJ201="",39&gt;設定!$B$3),"",IF(INDEX(原始資料!AP$2:AP$501,$BJ201)="","",INDEX(原始資料!AP$2:AP$501,$BJ201)))</f>
        <v/>
      </c>
      <c r="AO201" s="6">
        <f>IF(OR($BJ201="",40&gt;設定!$B$3),"",IF(INDEX(原始資料!AQ$2:AQ$501,$BJ201)="","",INDEX(原始資料!AQ$2:AQ$501,$BJ201)))</f>
        <v/>
      </c>
      <c r="AP201" s="6">
        <f>IF(OR($BJ201="",41&gt;設定!$B$3),"",IF(INDEX(原始資料!AR$2:AR$501,$BJ201)="","",INDEX(原始資料!AR$2:AR$501,$BJ201)))</f>
        <v/>
      </c>
      <c r="AQ201" s="6">
        <f>IF(OR($BJ201="",42&gt;設定!$B$3),"",IF(INDEX(原始資料!AS$2:AS$501,$BJ201)="","",INDEX(原始資料!AS$2:AS$501,$BJ201)))</f>
        <v/>
      </c>
      <c r="AR201" s="6">
        <f>IF(OR($BJ201="",43&gt;設定!$B$3),"",IF(INDEX(原始資料!AT$2:AT$501,$BJ201)="","",INDEX(原始資料!AT$2:AT$501,$BJ201)))</f>
        <v/>
      </c>
      <c r="AS201" s="6">
        <f>IF(OR($BJ201="",44&gt;設定!$B$3),"",IF(INDEX(原始資料!AU$2:AU$501,$BJ201)="","",INDEX(原始資料!AU$2:AU$501,$BJ201)))</f>
        <v/>
      </c>
      <c r="AT201" s="6">
        <f>IF(OR($BJ201="",45&gt;設定!$B$3),"",IF(INDEX(原始資料!AV$2:AV$501,$BJ201)="","",INDEX(原始資料!AV$2:AV$501,$BJ201)))</f>
        <v/>
      </c>
      <c r="AU201" s="6">
        <f>IF(OR($BJ201="",46&gt;設定!$B$3),"",IF(INDEX(原始資料!AW$2:AW$501,$BJ201)="","",INDEX(原始資料!AW$2:AW$501,$BJ201)))</f>
        <v/>
      </c>
      <c r="AV201" s="6">
        <f>IF(OR($BJ201="",47&gt;設定!$B$3),"",IF(INDEX(原始資料!AX$2:AX$501,$BJ201)="","",INDEX(原始資料!AX$2:AX$501,$BJ201)))</f>
        <v/>
      </c>
      <c r="AW201" s="6">
        <f>IF(OR($BJ201="",48&gt;設定!$B$3),"",IF(INDEX(原始資料!AY$2:AY$501,$BJ201)="","",INDEX(原始資料!AY$2:AY$501,$BJ201)))</f>
        <v/>
      </c>
      <c r="AX201" s="6">
        <f>IF(OR($BJ201="",49&gt;設定!$B$3),"",IF(INDEX(原始資料!AZ$2:AZ$501,$BJ201)="","",INDEX(原始資料!AZ$2:AZ$501,$BJ201)))</f>
        <v/>
      </c>
      <c r="AY201" s="6">
        <f>IF(OR($BJ201="",50&gt;設定!$B$3),"",IF(INDEX(原始資料!BA$2:BA$501,$BJ201)="","",INDEX(原始資料!BA$2:BA$501,$BJ201)))</f>
        <v/>
      </c>
      <c r="AZ201" s="6">
        <f>IF(OR($BJ201="",51&gt;設定!$B$3),"",IF(INDEX(原始資料!BB$2:BB$501,$BJ201)="","",INDEX(原始資料!BB$2:BB$501,$BJ201)))</f>
        <v/>
      </c>
      <c r="BA201" s="6">
        <f>IF(OR($BJ201="",52&gt;設定!$B$3),"",IF(INDEX(原始資料!BC$2:BC$501,$BJ201)="","",INDEX(原始資料!BC$2:BC$501,$BJ201)))</f>
        <v/>
      </c>
      <c r="BB201" s="6">
        <f>IF(OR($BJ201="",53&gt;設定!$B$3),"",IF(INDEX(原始資料!BD$2:BD$501,$BJ201)="","",INDEX(原始資料!BD$2:BD$501,$BJ201)))</f>
        <v/>
      </c>
      <c r="BC201" s="6">
        <f>IF(OR($BJ201="",54&gt;設定!$B$3),"",IF(INDEX(原始資料!BE$2:BE$501,$BJ201)="","",INDEX(原始資料!BE$2:BE$501,$BJ201)))</f>
        <v/>
      </c>
      <c r="BD201" s="6">
        <f>IF(OR($BJ201="",55&gt;設定!$B$3),"",IF(INDEX(原始資料!BF$2:BF$501,$BJ201)="","",INDEX(原始資料!BF$2:BF$501,$BJ201)))</f>
        <v/>
      </c>
      <c r="BE201" s="6">
        <f>IF(OR($BJ201="",56&gt;設定!$B$3),"",IF(INDEX(原始資料!BG$2:BG$501,$BJ201)="","",INDEX(原始資料!BG$2:BG$501,$BJ201)))</f>
        <v/>
      </c>
      <c r="BF201" s="6">
        <f>IF(OR($BJ201="",57&gt;設定!$B$3),"",IF(INDEX(原始資料!BH$2:BH$501,$BJ201)="","",INDEX(原始資料!BH$2:BH$501,$BJ201)))</f>
        <v/>
      </c>
      <c r="BG201" s="6">
        <f>IF(OR($BJ201="",58&gt;設定!$B$3),"",IF(INDEX(原始資料!BI$2:BI$501,$BJ201)="","",INDEX(原始資料!BI$2:BI$501,$BJ201)))</f>
        <v/>
      </c>
      <c r="BH201" s="6">
        <f>IF(OR($BJ201="",59&gt;設定!$B$3),"",IF(INDEX(原始資料!BJ$2:BJ$501,$BJ201)="","",INDEX(原始資料!BJ$2:BJ$501,$BJ201)))</f>
        <v/>
      </c>
      <c r="BI201" s="6">
        <f>IF(OR($BJ201="",60&gt;設定!$B$3),"",IF(INDEX(原始資料!BK$2:BK$501,$BJ201)="","",INDEX(原始資料!BK$2:BK$501,$BJ201)))</f>
        <v/>
      </c>
      <c r="BJ201" s="6">
        <f>IFERROR(MATCH(ROW()-1,判定!$H$2:$H$501,0),"")</f>
        <v/>
      </c>
    </row>
    <row r="202">
      <c r="A202" s="6">
        <f>IF($BJ202="","",INDEX(原始資料!$A$2:$A$501,$BJ202))</f>
        <v/>
      </c>
      <c r="B202" s="6">
        <f>IF(OR($BJ202="",1&gt;設定!$B$3),"",IF(INDEX(原始資料!D$2:D$501,$BJ202)="","",INDEX(原始資料!D$2:D$501,$BJ202)))</f>
        <v/>
      </c>
      <c r="C202" s="6">
        <f>IF(OR($BJ202="",2&gt;設定!$B$3),"",IF(INDEX(原始資料!E$2:E$501,$BJ202)="","",INDEX(原始資料!E$2:E$501,$BJ202)))</f>
        <v/>
      </c>
      <c r="D202" s="6">
        <f>IF(OR($BJ202="",3&gt;設定!$B$3),"",IF(INDEX(原始資料!F$2:F$501,$BJ202)="","",INDEX(原始資料!F$2:F$501,$BJ202)))</f>
        <v/>
      </c>
      <c r="E202" s="6">
        <f>IF(OR($BJ202="",4&gt;設定!$B$3),"",IF(INDEX(原始資料!G$2:G$501,$BJ202)="","",INDEX(原始資料!G$2:G$501,$BJ202)))</f>
        <v/>
      </c>
      <c r="F202" s="6">
        <f>IF(OR($BJ202="",5&gt;設定!$B$3),"",IF(INDEX(原始資料!H$2:H$501,$BJ202)="","",INDEX(原始資料!H$2:H$501,$BJ202)))</f>
        <v/>
      </c>
      <c r="G202" s="6">
        <f>IF(OR($BJ202="",6&gt;設定!$B$3),"",IF(INDEX(原始資料!I$2:I$501,$BJ202)="","",INDEX(原始資料!I$2:I$501,$BJ202)))</f>
        <v/>
      </c>
      <c r="H202" s="6">
        <f>IF(OR($BJ202="",7&gt;設定!$B$3),"",IF(INDEX(原始資料!J$2:J$501,$BJ202)="","",INDEX(原始資料!J$2:J$501,$BJ202)))</f>
        <v/>
      </c>
      <c r="I202" s="6">
        <f>IF(OR($BJ202="",8&gt;設定!$B$3),"",IF(INDEX(原始資料!K$2:K$501,$BJ202)="","",INDEX(原始資料!K$2:K$501,$BJ202)))</f>
        <v/>
      </c>
      <c r="J202" s="6">
        <f>IF(OR($BJ202="",9&gt;設定!$B$3),"",IF(INDEX(原始資料!L$2:L$501,$BJ202)="","",INDEX(原始資料!L$2:L$501,$BJ202)))</f>
        <v/>
      </c>
      <c r="K202" s="6">
        <f>IF(OR($BJ202="",10&gt;設定!$B$3),"",IF(INDEX(原始資料!M$2:M$501,$BJ202)="","",INDEX(原始資料!M$2:M$501,$BJ202)))</f>
        <v/>
      </c>
      <c r="L202" s="6">
        <f>IF(OR($BJ202="",11&gt;設定!$B$3),"",IF(INDEX(原始資料!N$2:N$501,$BJ202)="","",INDEX(原始資料!N$2:N$501,$BJ202)))</f>
        <v/>
      </c>
      <c r="M202" s="6">
        <f>IF(OR($BJ202="",12&gt;設定!$B$3),"",IF(INDEX(原始資料!O$2:O$501,$BJ202)="","",INDEX(原始資料!O$2:O$501,$BJ202)))</f>
        <v/>
      </c>
      <c r="N202" s="6">
        <f>IF(OR($BJ202="",13&gt;設定!$B$3),"",IF(INDEX(原始資料!P$2:P$501,$BJ202)="","",INDEX(原始資料!P$2:P$501,$BJ202)))</f>
        <v/>
      </c>
      <c r="O202" s="6">
        <f>IF(OR($BJ202="",14&gt;設定!$B$3),"",IF(INDEX(原始資料!Q$2:Q$501,$BJ202)="","",INDEX(原始資料!Q$2:Q$501,$BJ202)))</f>
        <v/>
      </c>
      <c r="P202" s="6">
        <f>IF(OR($BJ202="",15&gt;設定!$B$3),"",IF(INDEX(原始資料!R$2:R$501,$BJ202)="","",INDEX(原始資料!R$2:R$501,$BJ202)))</f>
        <v/>
      </c>
      <c r="Q202" s="6">
        <f>IF(OR($BJ202="",16&gt;設定!$B$3),"",IF(INDEX(原始資料!S$2:S$501,$BJ202)="","",INDEX(原始資料!S$2:S$501,$BJ202)))</f>
        <v/>
      </c>
      <c r="R202" s="6">
        <f>IF(OR($BJ202="",17&gt;設定!$B$3),"",IF(INDEX(原始資料!T$2:T$501,$BJ202)="","",INDEX(原始資料!T$2:T$501,$BJ202)))</f>
        <v/>
      </c>
      <c r="S202" s="6">
        <f>IF(OR($BJ202="",18&gt;設定!$B$3),"",IF(INDEX(原始資料!U$2:U$501,$BJ202)="","",INDEX(原始資料!U$2:U$501,$BJ202)))</f>
        <v/>
      </c>
      <c r="T202" s="6">
        <f>IF(OR($BJ202="",19&gt;設定!$B$3),"",IF(INDEX(原始資料!V$2:V$501,$BJ202)="","",INDEX(原始資料!V$2:V$501,$BJ202)))</f>
        <v/>
      </c>
      <c r="U202" s="6">
        <f>IF(OR($BJ202="",20&gt;設定!$B$3),"",IF(INDEX(原始資料!W$2:W$501,$BJ202)="","",INDEX(原始資料!W$2:W$501,$BJ202)))</f>
        <v/>
      </c>
      <c r="V202" s="6">
        <f>IF(OR($BJ202="",21&gt;設定!$B$3),"",IF(INDEX(原始資料!X$2:X$501,$BJ202)="","",INDEX(原始資料!X$2:X$501,$BJ202)))</f>
        <v/>
      </c>
      <c r="W202" s="6">
        <f>IF(OR($BJ202="",22&gt;設定!$B$3),"",IF(INDEX(原始資料!Y$2:Y$501,$BJ202)="","",INDEX(原始資料!Y$2:Y$501,$BJ202)))</f>
        <v/>
      </c>
      <c r="X202" s="6">
        <f>IF(OR($BJ202="",23&gt;設定!$B$3),"",IF(INDEX(原始資料!Z$2:Z$501,$BJ202)="","",INDEX(原始資料!Z$2:Z$501,$BJ202)))</f>
        <v/>
      </c>
      <c r="Y202" s="6">
        <f>IF(OR($BJ202="",24&gt;設定!$B$3),"",IF(INDEX(原始資料!AA$2:AA$501,$BJ202)="","",INDEX(原始資料!AA$2:AA$501,$BJ202)))</f>
        <v/>
      </c>
      <c r="Z202" s="6">
        <f>IF(OR($BJ202="",25&gt;設定!$B$3),"",IF(INDEX(原始資料!AB$2:AB$501,$BJ202)="","",INDEX(原始資料!AB$2:AB$501,$BJ202)))</f>
        <v/>
      </c>
      <c r="AA202" s="6">
        <f>IF(OR($BJ202="",26&gt;設定!$B$3),"",IF(INDEX(原始資料!AC$2:AC$501,$BJ202)="","",INDEX(原始資料!AC$2:AC$501,$BJ202)))</f>
        <v/>
      </c>
      <c r="AB202" s="6">
        <f>IF(OR($BJ202="",27&gt;設定!$B$3),"",IF(INDEX(原始資料!AD$2:AD$501,$BJ202)="","",INDEX(原始資料!AD$2:AD$501,$BJ202)))</f>
        <v/>
      </c>
      <c r="AC202" s="6">
        <f>IF(OR($BJ202="",28&gt;設定!$B$3),"",IF(INDEX(原始資料!AE$2:AE$501,$BJ202)="","",INDEX(原始資料!AE$2:AE$501,$BJ202)))</f>
        <v/>
      </c>
      <c r="AD202" s="6">
        <f>IF(OR($BJ202="",29&gt;設定!$B$3),"",IF(INDEX(原始資料!AF$2:AF$501,$BJ202)="","",INDEX(原始資料!AF$2:AF$501,$BJ202)))</f>
        <v/>
      </c>
      <c r="AE202" s="6">
        <f>IF(OR($BJ202="",30&gt;設定!$B$3),"",IF(INDEX(原始資料!AG$2:AG$501,$BJ202)="","",INDEX(原始資料!AG$2:AG$501,$BJ202)))</f>
        <v/>
      </c>
      <c r="AF202" s="6">
        <f>IF(OR($BJ202="",31&gt;設定!$B$3),"",IF(INDEX(原始資料!AH$2:AH$501,$BJ202)="","",INDEX(原始資料!AH$2:AH$501,$BJ202)))</f>
        <v/>
      </c>
      <c r="AG202" s="6">
        <f>IF(OR($BJ202="",32&gt;設定!$B$3),"",IF(INDEX(原始資料!AI$2:AI$501,$BJ202)="","",INDEX(原始資料!AI$2:AI$501,$BJ202)))</f>
        <v/>
      </c>
      <c r="AH202" s="6">
        <f>IF(OR($BJ202="",33&gt;設定!$B$3),"",IF(INDEX(原始資料!AJ$2:AJ$501,$BJ202)="","",INDEX(原始資料!AJ$2:AJ$501,$BJ202)))</f>
        <v/>
      </c>
      <c r="AI202" s="6">
        <f>IF(OR($BJ202="",34&gt;設定!$B$3),"",IF(INDEX(原始資料!AK$2:AK$501,$BJ202)="","",INDEX(原始資料!AK$2:AK$501,$BJ202)))</f>
        <v/>
      </c>
      <c r="AJ202" s="6">
        <f>IF(OR($BJ202="",35&gt;設定!$B$3),"",IF(INDEX(原始資料!AL$2:AL$501,$BJ202)="","",INDEX(原始資料!AL$2:AL$501,$BJ202)))</f>
        <v/>
      </c>
      <c r="AK202" s="6">
        <f>IF(OR($BJ202="",36&gt;設定!$B$3),"",IF(INDEX(原始資料!AM$2:AM$501,$BJ202)="","",INDEX(原始資料!AM$2:AM$501,$BJ202)))</f>
        <v/>
      </c>
      <c r="AL202" s="6">
        <f>IF(OR($BJ202="",37&gt;設定!$B$3),"",IF(INDEX(原始資料!AN$2:AN$501,$BJ202)="","",INDEX(原始資料!AN$2:AN$501,$BJ202)))</f>
        <v/>
      </c>
      <c r="AM202" s="6">
        <f>IF(OR($BJ202="",38&gt;設定!$B$3),"",IF(INDEX(原始資料!AO$2:AO$501,$BJ202)="","",INDEX(原始資料!AO$2:AO$501,$BJ202)))</f>
        <v/>
      </c>
      <c r="AN202" s="6">
        <f>IF(OR($BJ202="",39&gt;設定!$B$3),"",IF(INDEX(原始資料!AP$2:AP$501,$BJ202)="","",INDEX(原始資料!AP$2:AP$501,$BJ202)))</f>
        <v/>
      </c>
      <c r="AO202" s="6">
        <f>IF(OR($BJ202="",40&gt;設定!$B$3),"",IF(INDEX(原始資料!AQ$2:AQ$501,$BJ202)="","",INDEX(原始資料!AQ$2:AQ$501,$BJ202)))</f>
        <v/>
      </c>
      <c r="AP202" s="6">
        <f>IF(OR($BJ202="",41&gt;設定!$B$3),"",IF(INDEX(原始資料!AR$2:AR$501,$BJ202)="","",INDEX(原始資料!AR$2:AR$501,$BJ202)))</f>
        <v/>
      </c>
      <c r="AQ202" s="6">
        <f>IF(OR($BJ202="",42&gt;設定!$B$3),"",IF(INDEX(原始資料!AS$2:AS$501,$BJ202)="","",INDEX(原始資料!AS$2:AS$501,$BJ202)))</f>
        <v/>
      </c>
      <c r="AR202" s="6">
        <f>IF(OR($BJ202="",43&gt;設定!$B$3),"",IF(INDEX(原始資料!AT$2:AT$501,$BJ202)="","",INDEX(原始資料!AT$2:AT$501,$BJ202)))</f>
        <v/>
      </c>
      <c r="AS202" s="6">
        <f>IF(OR($BJ202="",44&gt;設定!$B$3),"",IF(INDEX(原始資料!AU$2:AU$501,$BJ202)="","",INDEX(原始資料!AU$2:AU$501,$BJ202)))</f>
        <v/>
      </c>
      <c r="AT202" s="6">
        <f>IF(OR($BJ202="",45&gt;設定!$B$3),"",IF(INDEX(原始資料!AV$2:AV$501,$BJ202)="","",INDEX(原始資料!AV$2:AV$501,$BJ202)))</f>
        <v/>
      </c>
      <c r="AU202" s="6">
        <f>IF(OR($BJ202="",46&gt;設定!$B$3),"",IF(INDEX(原始資料!AW$2:AW$501,$BJ202)="","",INDEX(原始資料!AW$2:AW$501,$BJ202)))</f>
        <v/>
      </c>
      <c r="AV202" s="6">
        <f>IF(OR($BJ202="",47&gt;設定!$B$3),"",IF(INDEX(原始資料!AX$2:AX$501,$BJ202)="","",INDEX(原始資料!AX$2:AX$501,$BJ202)))</f>
        <v/>
      </c>
      <c r="AW202" s="6">
        <f>IF(OR($BJ202="",48&gt;設定!$B$3),"",IF(INDEX(原始資料!AY$2:AY$501,$BJ202)="","",INDEX(原始資料!AY$2:AY$501,$BJ202)))</f>
        <v/>
      </c>
      <c r="AX202" s="6">
        <f>IF(OR($BJ202="",49&gt;設定!$B$3),"",IF(INDEX(原始資料!AZ$2:AZ$501,$BJ202)="","",INDEX(原始資料!AZ$2:AZ$501,$BJ202)))</f>
        <v/>
      </c>
      <c r="AY202" s="6">
        <f>IF(OR($BJ202="",50&gt;設定!$B$3),"",IF(INDEX(原始資料!BA$2:BA$501,$BJ202)="","",INDEX(原始資料!BA$2:BA$501,$BJ202)))</f>
        <v/>
      </c>
      <c r="AZ202" s="6">
        <f>IF(OR($BJ202="",51&gt;設定!$B$3),"",IF(INDEX(原始資料!BB$2:BB$501,$BJ202)="","",INDEX(原始資料!BB$2:BB$501,$BJ202)))</f>
        <v/>
      </c>
      <c r="BA202" s="6">
        <f>IF(OR($BJ202="",52&gt;設定!$B$3),"",IF(INDEX(原始資料!BC$2:BC$501,$BJ202)="","",INDEX(原始資料!BC$2:BC$501,$BJ202)))</f>
        <v/>
      </c>
      <c r="BB202" s="6">
        <f>IF(OR($BJ202="",53&gt;設定!$B$3),"",IF(INDEX(原始資料!BD$2:BD$501,$BJ202)="","",INDEX(原始資料!BD$2:BD$501,$BJ202)))</f>
        <v/>
      </c>
      <c r="BC202" s="6">
        <f>IF(OR($BJ202="",54&gt;設定!$B$3),"",IF(INDEX(原始資料!BE$2:BE$501,$BJ202)="","",INDEX(原始資料!BE$2:BE$501,$BJ202)))</f>
        <v/>
      </c>
      <c r="BD202" s="6">
        <f>IF(OR($BJ202="",55&gt;設定!$B$3),"",IF(INDEX(原始資料!BF$2:BF$501,$BJ202)="","",INDEX(原始資料!BF$2:BF$501,$BJ202)))</f>
        <v/>
      </c>
      <c r="BE202" s="6">
        <f>IF(OR($BJ202="",56&gt;設定!$B$3),"",IF(INDEX(原始資料!BG$2:BG$501,$BJ202)="","",INDEX(原始資料!BG$2:BG$501,$BJ202)))</f>
        <v/>
      </c>
      <c r="BF202" s="6">
        <f>IF(OR($BJ202="",57&gt;設定!$B$3),"",IF(INDEX(原始資料!BH$2:BH$501,$BJ202)="","",INDEX(原始資料!BH$2:BH$501,$BJ202)))</f>
        <v/>
      </c>
      <c r="BG202" s="6">
        <f>IF(OR($BJ202="",58&gt;設定!$B$3),"",IF(INDEX(原始資料!BI$2:BI$501,$BJ202)="","",INDEX(原始資料!BI$2:BI$501,$BJ202)))</f>
        <v/>
      </c>
      <c r="BH202" s="6">
        <f>IF(OR($BJ202="",59&gt;設定!$B$3),"",IF(INDEX(原始資料!BJ$2:BJ$501,$BJ202)="","",INDEX(原始資料!BJ$2:BJ$501,$BJ202)))</f>
        <v/>
      </c>
      <c r="BI202" s="6">
        <f>IF(OR($BJ202="",60&gt;設定!$B$3),"",IF(INDEX(原始資料!BK$2:BK$501,$BJ202)="","",INDEX(原始資料!BK$2:BK$501,$BJ202)))</f>
        <v/>
      </c>
      <c r="BJ202" s="6">
        <f>IFERROR(MATCH(ROW()-1,判定!$H$2:$H$501,0),"")</f>
        <v/>
      </c>
    </row>
    <row r="203">
      <c r="A203" s="6">
        <f>IF($BJ203="","",INDEX(原始資料!$A$2:$A$501,$BJ203))</f>
        <v/>
      </c>
      <c r="B203" s="6">
        <f>IF(OR($BJ203="",1&gt;設定!$B$3),"",IF(INDEX(原始資料!D$2:D$501,$BJ203)="","",INDEX(原始資料!D$2:D$501,$BJ203)))</f>
        <v/>
      </c>
      <c r="C203" s="6">
        <f>IF(OR($BJ203="",2&gt;設定!$B$3),"",IF(INDEX(原始資料!E$2:E$501,$BJ203)="","",INDEX(原始資料!E$2:E$501,$BJ203)))</f>
        <v/>
      </c>
      <c r="D203" s="6">
        <f>IF(OR($BJ203="",3&gt;設定!$B$3),"",IF(INDEX(原始資料!F$2:F$501,$BJ203)="","",INDEX(原始資料!F$2:F$501,$BJ203)))</f>
        <v/>
      </c>
      <c r="E203" s="6">
        <f>IF(OR($BJ203="",4&gt;設定!$B$3),"",IF(INDEX(原始資料!G$2:G$501,$BJ203)="","",INDEX(原始資料!G$2:G$501,$BJ203)))</f>
        <v/>
      </c>
      <c r="F203" s="6">
        <f>IF(OR($BJ203="",5&gt;設定!$B$3),"",IF(INDEX(原始資料!H$2:H$501,$BJ203)="","",INDEX(原始資料!H$2:H$501,$BJ203)))</f>
        <v/>
      </c>
      <c r="G203" s="6">
        <f>IF(OR($BJ203="",6&gt;設定!$B$3),"",IF(INDEX(原始資料!I$2:I$501,$BJ203)="","",INDEX(原始資料!I$2:I$501,$BJ203)))</f>
        <v/>
      </c>
      <c r="H203" s="6">
        <f>IF(OR($BJ203="",7&gt;設定!$B$3),"",IF(INDEX(原始資料!J$2:J$501,$BJ203)="","",INDEX(原始資料!J$2:J$501,$BJ203)))</f>
        <v/>
      </c>
      <c r="I203" s="6">
        <f>IF(OR($BJ203="",8&gt;設定!$B$3),"",IF(INDEX(原始資料!K$2:K$501,$BJ203)="","",INDEX(原始資料!K$2:K$501,$BJ203)))</f>
        <v/>
      </c>
      <c r="J203" s="6">
        <f>IF(OR($BJ203="",9&gt;設定!$B$3),"",IF(INDEX(原始資料!L$2:L$501,$BJ203)="","",INDEX(原始資料!L$2:L$501,$BJ203)))</f>
        <v/>
      </c>
      <c r="K203" s="6">
        <f>IF(OR($BJ203="",10&gt;設定!$B$3),"",IF(INDEX(原始資料!M$2:M$501,$BJ203)="","",INDEX(原始資料!M$2:M$501,$BJ203)))</f>
        <v/>
      </c>
      <c r="L203" s="6">
        <f>IF(OR($BJ203="",11&gt;設定!$B$3),"",IF(INDEX(原始資料!N$2:N$501,$BJ203)="","",INDEX(原始資料!N$2:N$501,$BJ203)))</f>
        <v/>
      </c>
      <c r="M203" s="6">
        <f>IF(OR($BJ203="",12&gt;設定!$B$3),"",IF(INDEX(原始資料!O$2:O$501,$BJ203)="","",INDEX(原始資料!O$2:O$501,$BJ203)))</f>
        <v/>
      </c>
      <c r="N203" s="6">
        <f>IF(OR($BJ203="",13&gt;設定!$B$3),"",IF(INDEX(原始資料!P$2:P$501,$BJ203)="","",INDEX(原始資料!P$2:P$501,$BJ203)))</f>
        <v/>
      </c>
      <c r="O203" s="6">
        <f>IF(OR($BJ203="",14&gt;設定!$B$3),"",IF(INDEX(原始資料!Q$2:Q$501,$BJ203)="","",INDEX(原始資料!Q$2:Q$501,$BJ203)))</f>
        <v/>
      </c>
      <c r="P203" s="6">
        <f>IF(OR($BJ203="",15&gt;設定!$B$3),"",IF(INDEX(原始資料!R$2:R$501,$BJ203)="","",INDEX(原始資料!R$2:R$501,$BJ203)))</f>
        <v/>
      </c>
      <c r="Q203" s="6">
        <f>IF(OR($BJ203="",16&gt;設定!$B$3),"",IF(INDEX(原始資料!S$2:S$501,$BJ203)="","",INDEX(原始資料!S$2:S$501,$BJ203)))</f>
        <v/>
      </c>
      <c r="R203" s="6">
        <f>IF(OR($BJ203="",17&gt;設定!$B$3),"",IF(INDEX(原始資料!T$2:T$501,$BJ203)="","",INDEX(原始資料!T$2:T$501,$BJ203)))</f>
        <v/>
      </c>
      <c r="S203" s="6">
        <f>IF(OR($BJ203="",18&gt;設定!$B$3),"",IF(INDEX(原始資料!U$2:U$501,$BJ203)="","",INDEX(原始資料!U$2:U$501,$BJ203)))</f>
        <v/>
      </c>
      <c r="T203" s="6">
        <f>IF(OR($BJ203="",19&gt;設定!$B$3),"",IF(INDEX(原始資料!V$2:V$501,$BJ203)="","",INDEX(原始資料!V$2:V$501,$BJ203)))</f>
        <v/>
      </c>
      <c r="U203" s="6">
        <f>IF(OR($BJ203="",20&gt;設定!$B$3),"",IF(INDEX(原始資料!W$2:W$501,$BJ203)="","",INDEX(原始資料!W$2:W$501,$BJ203)))</f>
        <v/>
      </c>
      <c r="V203" s="6">
        <f>IF(OR($BJ203="",21&gt;設定!$B$3),"",IF(INDEX(原始資料!X$2:X$501,$BJ203)="","",INDEX(原始資料!X$2:X$501,$BJ203)))</f>
        <v/>
      </c>
      <c r="W203" s="6">
        <f>IF(OR($BJ203="",22&gt;設定!$B$3),"",IF(INDEX(原始資料!Y$2:Y$501,$BJ203)="","",INDEX(原始資料!Y$2:Y$501,$BJ203)))</f>
        <v/>
      </c>
      <c r="X203" s="6">
        <f>IF(OR($BJ203="",23&gt;設定!$B$3),"",IF(INDEX(原始資料!Z$2:Z$501,$BJ203)="","",INDEX(原始資料!Z$2:Z$501,$BJ203)))</f>
        <v/>
      </c>
      <c r="Y203" s="6">
        <f>IF(OR($BJ203="",24&gt;設定!$B$3),"",IF(INDEX(原始資料!AA$2:AA$501,$BJ203)="","",INDEX(原始資料!AA$2:AA$501,$BJ203)))</f>
        <v/>
      </c>
      <c r="Z203" s="6">
        <f>IF(OR($BJ203="",25&gt;設定!$B$3),"",IF(INDEX(原始資料!AB$2:AB$501,$BJ203)="","",INDEX(原始資料!AB$2:AB$501,$BJ203)))</f>
        <v/>
      </c>
      <c r="AA203" s="6">
        <f>IF(OR($BJ203="",26&gt;設定!$B$3),"",IF(INDEX(原始資料!AC$2:AC$501,$BJ203)="","",INDEX(原始資料!AC$2:AC$501,$BJ203)))</f>
        <v/>
      </c>
      <c r="AB203" s="6">
        <f>IF(OR($BJ203="",27&gt;設定!$B$3),"",IF(INDEX(原始資料!AD$2:AD$501,$BJ203)="","",INDEX(原始資料!AD$2:AD$501,$BJ203)))</f>
        <v/>
      </c>
      <c r="AC203" s="6">
        <f>IF(OR($BJ203="",28&gt;設定!$B$3),"",IF(INDEX(原始資料!AE$2:AE$501,$BJ203)="","",INDEX(原始資料!AE$2:AE$501,$BJ203)))</f>
        <v/>
      </c>
      <c r="AD203" s="6">
        <f>IF(OR($BJ203="",29&gt;設定!$B$3),"",IF(INDEX(原始資料!AF$2:AF$501,$BJ203)="","",INDEX(原始資料!AF$2:AF$501,$BJ203)))</f>
        <v/>
      </c>
      <c r="AE203" s="6">
        <f>IF(OR($BJ203="",30&gt;設定!$B$3),"",IF(INDEX(原始資料!AG$2:AG$501,$BJ203)="","",INDEX(原始資料!AG$2:AG$501,$BJ203)))</f>
        <v/>
      </c>
      <c r="AF203" s="6">
        <f>IF(OR($BJ203="",31&gt;設定!$B$3),"",IF(INDEX(原始資料!AH$2:AH$501,$BJ203)="","",INDEX(原始資料!AH$2:AH$501,$BJ203)))</f>
        <v/>
      </c>
      <c r="AG203" s="6">
        <f>IF(OR($BJ203="",32&gt;設定!$B$3),"",IF(INDEX(原始資料!AI$2:AI$501,$BJ203)="","",INDEX(原始資料!AI$2:AI$501,$BJ203)))</f>
        <v/>
      </c>
      <c r="AH203" s="6">
        <f>IF(OR($BJ203="",33&gt;設定!$B$3),"",IF(INDEX(原始資料!AJ$2:AJ$501,$BJ203)="","",INDEX(原始資料!AJ$2:AJ$501,$BJ203)))</f>
        <v/>
      </c>
      <c r="AI203" s="6">
        <f>IF(OR($BJ203="",34&gt;設定!$B$3),"",IF(INDEX(原始資料!AK$2:AK$501,$BJ203)="","",INDEX(原始資料!AK$2:AK$501,$BJ203)))</f>
        <v/>
      </c>
      <c r="AJ203" s="6">
        <f>IF(OR($BJ203="",35&gt;設定!$B$3),"",IF(INDEX(原始資料!AL$2:AL$501,$BJ203)="","",INDEX(原始資料!AL$2:AL$501,$BJ203)))</f>
        <v/>
      </c>
      <c r="AK203" s="6">
        <f>IF(OR($BJ203="",36&gt;設定!$B$3),"",IF(INDEX(原始資料!AM$2:AM$501,$BJ203)="","",INDEX(原始資料!AM$2:AM$501,$BJ203)))</f>
        <v/>
      </c>
      <c r="AL203" s="6">
        <f>IF(OR($BJ203="",37&gt;設定!$B$3),"",IF(INDEX(原始資料!AN$2:AN$501,$BJ203)="","",INDEX(原始資料!AN$2:AN$501,$BJ203)))</f>
        <v/>
      </c>
      <c r="AM203" s="6">
        <f>IF(OR($BJ203="",38&gt;設定!$B$3),"",IF(INDEX(原始資料!AO$2:AO$501,$BJ203)="","",INDEX(原始資料!AO$2:AO$501,$BJ203)))</f>
        <v/>
      </c>
      <c r="AN203" s="6">
        <f>IF(OR($BJ203="",39&gt;設定!$B$3),"",IF(INDEX(原始資料!AP$2:AP$501,$BJ203)="","",INDEX(原始資料!AP$2:AP$501,$BJ203)))</f>
        <v/>
      </c>
      <c r="AO203" s="6">
        <f>IF(OR($BJ203="",40&gt;設定!$B$3),"",IF(INDEX(原始資料!AQ$2:AQ$501,$BJ203)="","",INDEX(原始資料!AQ$2:AQ$501,$BJ203)))</f>
        <v/>
      </c>
      <c r="AP203" s="6">
        <f>IF(OR($BJ203="",41&gt;設定!$B$3),"",IF(INDEX(原始資料!AR$2:AR$501,$BJ203)="","",INDEX(原始資料!AR$2:AR$501,$BJ203)))</f>
        <v/>
      </c>
      <c r="AQ203" s="6">
        <f>IF(OR($BJ203="",42&gt;設定!$B$3),"",IF(INDEX(原始資料!AS$2:AS$501,$BJ203)="","",INDEX(原始資料!AS$2:AS$501,$BJ203)))</f>
        <v/>
      </c>
      <c r="AR203" s="6">
        <f>IF(OR($BJ203="",43&gt;設定!$B$3),"",IF(INDEX(原始資料!AT$2:AT$501,$BJ203)="","",INDEX(原始資料!AT$2:AT$501,$BJ203)))</f>
        <v/>
      </c>
      <c r="AS203" s="6">
        <f>IF(OR($BJ203="",44&gt;設定!$B$3),"",IF(INDEX(原始資料!AU$2:AU$501,$BJ203)="","",INDEX(原始資料!AU$2:AU$501,$BJ203)))</f>
        <v/>
      </c>
      <c r="AT203" s="6">
        <f>IF(OR($BJ203="",45&gt;設定!$B$3),"",IF(INDEX(原始資料!AV$2:AV$501,$BJ203)="","",INDEX(原始資料!AV$2:AV$501,$BJ203)))</f>
        <v/>
      </c>
      <c r="AU203" s="6">
        <f>IF(OR($BJ203="",46&gt;設定!$B$3),"",IF(INDEX(原始資料!AW$2:AW$501,$BJ203)="","",INDEX(原始資料!AW$2:AW$501,$BJ203)))</f>
        <v/>
      </c>
      <c r="AV203" s="6">
        <f>IF(OR($BJ203="",47&gt;設定!$B$3),"",IF(INDEX(原始資料!AX$2:AX$501,$BJ203)="","",INDEX(原始資料!AX$2:AX$501,$BJ203)))</f>
        <v/>
      </c>
      <c r="AW203" s="6">
        <f>IF(OR($BJ203="",48&gt;設定!$B$3),"",IF(INDEX(原始資料!AY$2:AY$501,$BJ203)="","",INDEX(原始資料!AY$2:AY$501,$BJ203)))</f>
        <v/>
      </c>
      <c r="AX203" s="6">
        <f>IF(OR($BJ203="",49&gt;設定!$B$3),"",IF(INDEX(原始資料!AZ$2:AZ$501,$BJ203)="","",INDEX(原始資料!AZ$2:AZ$501,$BJ203)))</f>
        <v/>
      </c>
      <c r="AY203" s="6">
        <f>IF(OR($BJ203="",50&gt;設定!$B$3),"",IF(INDEX(原始資料!BA$2:BA$501,$BJ203)="","",INDEX(原始資料!BA$2:BA$501,$BJ203)))</f>
        <v/>
      </c>
      <c r="AZ203" s="6">
        <f>IF(OR($BJ203="",51&gt;設定!$B$3),"",IF(INDEX(原始資料!BB$2:BB$501,$BJ203)="","",INDEX(原始資料!BB$2:BB$501,$BJ203)))</f>
        <v/>
      </c>
      <c r="BA203" s="6">
        <f>IF(OR($BJ203="",52&gt;設定!$B$3),"",IF(INDEX(原始資料!BC$2:BC$501,$BJ203)="","",INDEX(原始資料!BC$2:BC$501,$BJ203)))</f>
        <v/>
      </c>
      <c r="BB203" s="6">
        <f>IF(OR($BJ203="",53&gt;設定!$B$3),"",IF(INDEX(原始資料!BD$2:BD$501,$BJ203)="","",INDEX(原始資料!BD$2:BD$501,$BJ203)))</f>
        <v/>
      </c>
      <c r="BC203" s="6">
        <f>IF(OR($BJ203="",54&gt;設定!$B$3),"",IF(INDEX(原始資料!BE$2:BE$501,$BJ203)="","",INDEX(原始資料!BE$2:BE$501,$BJ203)))</f>
        <v/>
      </c>
      <c r="BD203" s="6">
        <f>IF(OR($BJ203="",55&gt;設定!$B$3),"",IF(INDEX(原始資料!BF$2:BF$501,$BJ203)="","",INDEX(原始資料!BF$2:BF$501,$BJ203)))</f>
        <v/>
      </c>
      <c r="BE203" s="6">
        <f>IF(OR($BJ203="",56&gt;設定!$B$3),"",IF(INDEX(原始資料!BG$2:BG$501,$BJ203)="","",INDEX(原始資料!BG$2:BG$501,$BJ203)))</f>
        <v/>
      </c>
      <c r="BF203" s="6">
        <f>IF(OR($BJ203="",57&gt;設定!$B$3),"",IF(INDEX(原始資料!BH$2:BH$501,$BJ203)="","",INDEX(原始資料!BH$2:BH$501,$BJ203)))</f>
        <v/>
      </c>
      <c r="BG203" s="6">
        <f>IF(OR($BJ203="",58&gt;設定!$B$3),"",IF(INDEX(原始資料!BI$2:BI$501,$BJ203)="","",INDEX(原始資料!BI$2:BI$501,$BJ203)))</f>
        <v/>
      </c>
      <c r="BH203" s="6">
        <f>IF(OR($BJ203="",59&gt;設定!$B$3),"",IF(INDEX(原始資料!BJ$2:BJ$501,$BJ203)="","",INDEX(原始資料!BJ$2:BJ$501,$BJ203)))</f>
        <v/>
      </c>
      <c r="BI203" s="6">
        <f>IF(OR($BJ203="",60&gt;設定!$B$3),"",IF(INDEX(原始資料!BK$2:BK$501,$BJ203)="","",INDEX(原始資料!BK$2:BK$501,$BJ203)))</f>
        <v/>
      </c>
      <c r="BJ203" s="6">
        <f>IFERROR(MATCH(ROW()-1,判定!$H$2:$H$501,0),"")</f>
        <v/>
      </c>
    </row>
    <row r="204">
      <c r="A204" s="6">
        <f>IF($BJ204="","",INDEX(原始資料!$A$2:$A$501,$BJ204))</f>
        <v/>
      </c>
      <c r="B204" s="6">
        <f>IF(OR($BJ204="",1&gt;設定!$B$3),"",IF(INDEX(原始資料!D$2:D$501,$BJ204)="","",INDEX(原始資料!D$2:D$501,$BJ204)))</f>
        <v/>
      </c>
      <c r="C204" s="6">
        <f>IF(OR($BJ204="",2&gt;設定!$B$3),"",IF(INDEX(原始資料!E$2:E$501,$BJ204)="","",INDEX(原始資料!E$2:E$501,$BJ204)))</f>
        <v/>
      </c>
      <c r="D204" s="6">
        <f>IF(OR($BJ204="",3&gt;設定!$B$3),"",IF(INDEX(原始資料!F$2:F$501,$BJ204)="","",INDEX(原始資料!F$2:F$501,$BJ204)))</f>
        <v/>
      </c>
      <c r="E204" s="6">
        <f>IF(OR($BJ204="",4&gt;設定!$B$3),"",IF(INDEX(原始資料!G$2:G$501,$BJ204)="","",INDEX(原始資料!G$2:G$501,$BJ204)))</f>
        <v/>
      </c>
      <c r="F204" s="6">
        <f>IF(OR($BJ204="",5&gt;設定!$B$3),"",IF(INDEX(原始資料!H$2:H$501,$BJ204)="","",INDEX(原始資料!H$2:H$501,$BJ204)))</f>
        <v/>
      </c>
      <c r="G204" s="6">
        <f>IF(OR($BJ204="",6&gt;設定!$B$3),"",IF(INDEX(原始資料!I$2:I$501,$BJ204)="","",INDEX(原始資料!I$2:I$501,$BJ204)))</f>
        <v/>
      </c>
      <c r="H204" s="6">
        <f>IF(OR($BJ204="",7&gt;設定!$B$3),"",IF(INDEX(原始資料!J$2:J$501,$BJ204)="","",INDEX(原始資料!J$2:J$501,$BJ204)))</f>
        <v/>
      </c>
      <c r="I204" s="6">
        <f>IF(OR($BJ204="",8&gt;設定!$B$3),"",IF(INDEX(原始資料!K$2:K$501,$BJ204)="","",INDEX(原始資料!K$2:K$501,$BJ204)))</f>
        <v/>
      </c>
      <c r="J204" s="6">
        <f>IF(OR($BJ204="",9&gt;設定!$B$3),"",IF(INDEX(原始資料!L$2:L$501,$BJ204)="","",INDEX(原始資料!L$2:L$501,$BJ204)))</f>
        <v/>
      </c>
      <c r="K204" s="6">
        <f>IF(OR($BJ204="",10&gt;設定!$B$3),"",IF(INDEX(原始資料!M$2:M$501,$BJ204)="","",INDEX(原始資料!M$2:M$501,$BJ204)))</f>
        <v/>
      </c>
      <c r="L204" s="6">
        <f>IF(OR($BJ204="",11&gt;設定!$B$3),"",IF(INDEX(原始資料!N$2:N$501,$BJ204)="","",INDEX(原始資料!N$2:N$501,$BJ204)))</f>
        <v/>
      </c>
      <c r="M204" s="6">
        <f>IF(OR($BJ204="",12&gt;設定!$B$3),"",IF(INDEX(原始資料!O$2:O$501,$BJ204)="","",INDEX(原始資料!O$2:O$501,$BJ204)))</f>
        <v/>
      </c>
      <c r="N204" s="6">
        <f>IF(OR($BJ204="",13&gt;設定!$B$3),"",IF(INDEX(原始資料!P$2:P$501,$BJ204)="","",INDEX(原始資料!P$2:P$501,$BJ204)))</f>
        <v/>
      </c>
      <c r="O204" s="6">
        <f>IF(OR($BJ204="",14&gt;設定!$B$3),"",IF(INDEX(原始資料!Q$2:Q$501,$BJ204)="","",INDEX(原始資料!Q$2:Q$501,$BJ204)))</f>
        <v/>
      </c>
      <c r="P204" s="6">
        <f>IF(OR($BJ204="",15&gt;設定!$B$3),"",IF(INDEX(原始資料!R$2:R$501,$BJ204)="","",INDEX(原始資料!R$2:R$501,$BJ204)))</f>
        <v/>
      </c>
      <c r="Q204" s="6">
        <f>IF(OR($BJ204="",16&gt;設定!$B$3),"",IF(INDEX(原始資料!S$2:S$501,$BJ204)="","",INDEX(原始資料!S$2:S$501,$BJ204)))</f>
        <v/>
      </c>
      <c r="R204" s="6">
        <f>IF(OR($BJ204="",17&gt;設定!$B$3),"",IF(INDEX(原始資料!T$2:T$501,$BJ204)="","",INDEX(原始資料!T$2:T$501,$BJ204)))</f>
        <v/>
      </c>
      <c r="S204" s="6">
        <f>IF(OR($BJ204="",18&gt;設定!$B$3),"",IF(INDEX(原始資料!U$2:U$501,$BJ204)="","",INDEX(原始資料!U$2:U$501,$BJ204)))</f>
        <v/>
      </c>
      <c r="T204" s="6">
        <f>IF(OR($BJ204="",19&gt;設定!$B$3),"",IF(INDEX(原始資料!V$2:V$501,$BJ204)="","",INDEX(原始資料!V$2:V$501,$BJ204)))</f>
        <v/>
      </c>
      <c r="U204" s="6">
        <f>IF(OR($BJ204="",20&gt;設定!$B$3),"",IF(INDEX(原始資料!W$2:W$501,$BJ204)="","",INDEX(原始資料!W$2:W$501,$BJ204)))</f>
        <v/>
      </c>
      <c r="V204" s="6">
        <f>IF(OR($BJ204="",21&gt;設定!$B$3),"",IF(INDEX(原始資料!X$2:X$501,$BJ204)="","",INDEX(原始資料!X$2:X$501,$BJ204)))</f>
        <v/>
      </c>
      <c r="W204" s="6">
        <f>IF(OR($BJ204="",22&gt;設定!$B$3),"",IF(INDEX(原始資料!Y$2:Y$501,$BJ204)="","",INDEX(原始資料!Y$2:Y$501,$BJ204)))</f>
        <v/>
      </c>
      <c r="X204" s="6">
        <f>IF(OR($BJ204="",23&gt;設定!$B$3),"",IF(INDEX(原始資料!Z$2:Z$501,$BJ204)="","",INDEX(原始資料!Z$2:Z$501,$BJ204)))</f>
        <v/>
      </c>
      <c r="Y204" s="6">
        <f>IF(OR($BJ204="",24&gt;設定!$B$3),"",IF(INDEX(原始資料!AA$2:AA$501,$BJ204)="","",INDEX(原始資料!AA$2:AA$501,$BJ204)))</f>
        <v/>
      </c>
      <c r="Z204" s="6">
        <f>IF(OR($BJ204="",25&gt;設定!$B$3),"",IF(INDEX(原始資料!AB$2:AB$501,$BJ204)="","",INDEX(原始資料!AB$2:AB$501,$BJ204)))</f>
        <v/>
      </c>
      <c r="AA204" s="6">
        <f>IF(OR($BJ204="",26&gt;設定!$B$3),"",IF(INDEX(原始資料!AC$2:AC$501,$BJ204)="","",INDEX(原始資料!AC$2:AC$501,$BJ204)))</f>
        <v/>
      </c>
      <c r="AB204" s="6">
        <f>IF(OR($BJ204="",27&gt;設定!$B$3),"",IF(INDEX(原始資料!AD$2:AD$501,$BJ204)="","",INDEX(原始資料!AD$2:AD$501,$BJ204)))</f>
        <v/>
      </c>
      <c r="AC204" s="6">
        <f>IF(OR($BJ204="",28&gt;設定!$B$3),"",IF(INDEX(原始資料!AE$2:AE$501,$BJ204)="","",INDEX(原始資料!AE$2:AE$501,$BJ204)))</f>
        <v/>
      </c>
      <c r="AD204" s="6">
        <f>IF(OR($BJ204="",29&gt;設定!$B$3),"",IF(INDEX(原始資料!AF$2:AF$501,$BJ204)="","",INDEX(原始資料!AF$2:AF$501,$BJ204)))</f>
        <v/>
      </c>
      <c r="AE204" s="6">
        <f>IF(OR($BJ204="",30&gt;設定!$B$3),"",IF(INDEX(原始資料!AG$2:AG$501,$BJ204)="","",INDEX(原始資料!AG$2:AG$501,$BJ204)))</f>
        <v/>
      </c>
      <c r="AF204" s="6">
        <f>IF(OR($BJ204="",31&gt;設定!$B$3),"",IF(INDEX(原始資料!AH$2:AH$501,$BJ204)="","",INDEX(原始資料!AH$2:AH$501,$BJ204)))</f>
        <v/>
      </c>
      <c r="AG204" s="6">
        <f>IF(OR($BJ204="",32&gt;設定!$B$3),"",IF(INDEX(原始資料!AI$2:AI$501,$BJ204)="","",INDEX(原始資料!AI$2:AI$501,$BJ204)))</f>
        <v/>
      </c>
      <c r="AH204" s="6">
        <f>IF(OR($BJ204="",33&gt;設定!$B$3),"",IF(INDEX(原始資料!AJ$2:AJ$501,$BJ204)="","",INDEX(原始資料!AJ$2:AJ$501,$BJ204)))</f>
        <v/>
      </c>
      <c r="AI204" s="6">
        <f>IF(OR($BJ204="",34&gt;設定!$B$3),"",IF(INDEX(原始資料!AK$2:AK$501,$BJ204)="","",INDEX(原始資料!AK$2:AK$501,$BJ204)))</f>
        <v/>
      </c>
      <c r="AJ204" s="6">
        <f>IF(OR($BJ204="",35&gt;設定!$B$3),"",IF(INDEX(原始資料!AL$2:AL$501,$BJ204)="","",INDEX(原始資料!AL$2:AL$501,$BJ204)))</f>
        <v/>
      </c>
      <c r="AK204" s="6">
        <f>IF(OR($BJ204="",36&gt;設定!$B$3),"",IF(INDEX(原始資料!AM$2:AM$501,$BJ204)="","",INDEX(原始資料!AM$2:AM$501,$BJ204)))</f>
        <v/>
      </c>
      <c r="AL204" s="6">
        <f>IF(OR($BJ204="",37&gt;設定!$B$3),"",IF(INDEX(原始資料!AN$2:AN$501,$BJ204)="","",INDEX(原始資料!AN$2:AN$501,$BJ204)))</f>
        <v/>
      </c>
      <c r="AM204" s="6">
        <f>IF(OR($BJ204="",38&gt;設定!$B$3),"",IF(INDEX(原始資料!AO$2:AO$501,$BJ204)="","",INDEX(原始資料!AO$2:AO$501,$BJ204)))</f>
        <v/>
      </c>
      <c r="AN204" s="6">
        <f>IF(OR($BJ204="",39&gt;設定!$B$3),"",IF(INDEX(原始資料!AP$2:AP$501,$BJ204)="","",INDEX(原始資料!AP$2:AP$501,$BJ204)))</f>
        <v/>
      </c>
      <c r="AO204" s="6">
        <f>IF(OR($BJ204="",40&gt;設定!$B$3),"",IF(INDEX(原始資料!AQ$2:AQ$501,$BJ204)="","",INDEX(原始資料!AQ$2:AQ$501,$BJ204)))</f>
        <v/>
      </c>
      <c r="AP204" s="6">
        <f>IF(OR($BJ204="",41&gt;設定!$B$3),"",IF(INDEX(原始資料!AR$2:AR$501,$BJ204)="","",INDEX(原始資料!AR$2:AR$501,$BJ204)))</f>
        <v/>
      </c>
      <c r="AQ204" s="6">
        <f>IF(OR($BJ204="",42&gt;設定!$B$3),"",IF(INDEX(原始資料!AS$2:AS$501,$BJ204)="","",INDEX(原始資料!AS$2:AS$501,$BJ204)))</f>
        <v/>
      </c>
      <c r="AR204" s="6">
        <f>IF(OR($BJ204="",43&gt;設定!$B$3),"",IF(INDEX(原始資料!AT$2:AT$501,$BJ204)="","",INDEX(原始資料!AT$2:AT$501,$BJ204)))</f>
        <v/>
      </c>
      <c r="AS204" s="6">
        <f>IF(OR($BJ204="",44&gt;設定!$B$3),"",IF(INDEX(原始資料!AU$2:AU$501,$BJ204)="","",INDEX(原始資料!AU$2:AU$501,$BJ204)))</f>
        <v/>
      </c>
      <c r="AT204" s="6">
        <f>IF(OR($BJ204="",45&gt;設定!$B$3),"",IF(INDEX(原始資料!AV$2:AV$501,$BJ204)="","",INDEX(原始資料!AV$2:AV$501,$BJ204)))</f>
        <v/>
      </c>
      <c r="AU204" s="6">
        <f>IF(OR($BJ204="",46&gt;設定!$B$3),"",IF(INDEX(原始資料!AW$2:AW$501,$BJ204)="","",INDEX(原始資料!AW$2:AW$501,$BJ204)))</f>
        <v/>
      </c>
      <c r="AV204" s="6">
        <f>IF(OR($BJ204="",47&gt;設定!$B$3),"",IF(INDEX(原始資料!AX$2:AX$501,$BJ204)="","",INDEX(原始資料!AX$2:AX$501,$BJ204)))</f>
        <v/>
      </c>
      <c r="AW204" s="6">
        <f>IF(OR($BJ204="",48&gt;設定!$B$3),"",IF(INDEX(原始資料!AY$2:AY$501,$BJ204)="","",INDEX(原始資料!AY$2:AY$501,$BJ204)))</f>
        <v/>
      </c>
      <c r="AX204" s="6">
        <f>IF(OR($BJ204="",49&gt;設定!$B$3),"",IF(INDEX(原始資料!AZ$2:AZ$501,$BJ204)="","",INDEX(原始資料!AZ$2:AZ$501,$BJ204)))</f>
        <v/>
      </c>
      <c r="AY204" s="6">
        <f>IF(OR($BJ204="",50&gt;設定!$B$3),"",IF(INDEX(原始資料!BA$2:BA$501,$BJ204)="","",INDEX(原始資料!BA$2:BA$501,$BJ204)))</f>
        <v/>
      </c>
      <c r="AZ204" s="6">
        <f>IF(OR($BJ204="",51&gt;設定!$B$3),"",IF(INDEX(原始資料!BB$2:BB$501,$BJ204)="","",INDEX(原始資料!BB$2:BB$501,$BJ204)))</f>
        <v/>
      </c>
      <c r="BA204" s="6">
        <f>IF(OR($BJ204="",52&gt;設定!$B$3),"",IF(INDEX(原始資料!BC$2:BC$501,$BJ204)="","",INDEX(原始資料!BC$2:BC$501,$BJ204)))</f>
        <v/>
      </c>
      <c r="BB204" s="6">
        <f>IF(OR($BJ204="",53&gt;設定!$B$3),"",IF(INDEX(原始資料!BD$2:BD$501,$BJ204)="","",INDEX(原始資料!BD$2:BD$501,$BJ204)))</f>
        <v/>
      </c>
      <c r="BC204" s="6">
        <f>IF(OR($BJ204="",54&gt;設定!$B$3),"",IF(INDEX(原始資料!BE$2:BE$501,$BJ204)="","",INDEX(原始資料!BE$2:BE$501,$BJ204)))</f>
        <v/>
      </c>
      <c r="BD204" s="6">
        <f>IF(OR($BJ204="",55&gt;設定!$B$3),"",IF(INDEX(原始資料!BF$2:BF$501,$BJ204)="","",INDEX(原始資料!BF$2:BF$501,$BJ204)))</f>
        <v/>
      </c>
      <c r="BE204" s="6">
        <f>IF(OR($BJ204="",56&gt;設定!$B$3),"",IF(INDEX(原始資料!BG$2:BG$501,$BJ204)="","",INDEX(原始資料!BG$2:BG$501,$BJ204)))</f>
        <v/>
      </c>
      <c r="BF204" s="6">
        <f>IF(OR($BJ204="",57&gt;設定!$B$3),"",IF(INDEX(原始資料!BH$2:BH$501,$BJ204)="","",INDEX(原始資料!BH$2:BH$501,$BJ204)))</f>
        <v/>
      </c>
      <c r="BG204" s="6">
        <f>IF(OR($BJ204="",58&gt;設定!$B$3),"",IF(INDEX(原始資料!BI$2:BI$501,$BJ204)="","",INDEX(原始資料!BI$2:BI$501,$BJ204)))</f>
        <v/>
      </c>
      <c r="BH204" s="6">
        <f>IF(OR($BJ204="",59&gt;設定!$B$3),"",IF(INDEX(原始資料!BJ$2:BJ$501,$BJ204)="","",INDEX(原始資料!BJ$2:BJ$501,$BJ204)))</f>
        <v/>
      </c>
      <c r="BI204" s="6">
        <f>IF(OR($BJ204="",60&gt;設定!$B$3),"",IF(INDEX(原始資料!BK$2:BK$501,$BJ204)="","",INDEX(原始資料!BK$2:BK$501,$BJ204)))</f>
        <v/>
      </c>
      <c r="BJ204" s="6">
        <f>IFERROR(MATCH(ROW()-1,判定!$H$2:$H$501,0),"")</f>
        <v/>
      </c>
    </row>
    <row r="205">
      <c r="A205" s="6">
        <f>IF($BJ205="","",INDEX(原始資料!$A$2:$A$501,$BJ205))</f>
        <v/>
      </c>
      <c r="B205" s="6">
        <f>IF(OR($BJ205="",1&gt;設定!$B$3),"",IF(INDEX(原始資料!D$2:D$501,$BJ205)="","",INDEX(原始資料!D$2:D$501,$BJ205)))</f>
        <v/>
      </c>
      <c r="C205" s="6">
        <f>IF(OR($BJ205="",2&gt;設定!$B$3),"",IF(INDEX(原始資料!E$2:E$501,$BJ205)="","",INDEX(原始資料!E$2:E$501,$BJ205)))</f>
        <v/>
      </c>
      <c r="D205" s="6">
        <f>IF(OR($BJ205="",3&gt;設定!$B$3),"",IF(INDEX(原始資料!F$2:F$501,$BJ205)="","",INDEX(原始資料!F$2:F$501,$BJ205)))</f>
        <v/>
      </c>
      <c r="E205" s="6">
        <f>IF(OR($BJ205="",4&gt;設定!$B$3),"",IF(INDEX(原始資料!G$2:G$501,$BJ205)="","",INDEX(原始資料!G$2:G$501,$BJ205)))</f>
        <v/>
      </c>
      <c r="F205" s="6">
        <f>IF(OR($BJ205="",5&gt;設定!$B$3),"",IF(INDEX(原始資料!H$2:H$501,$BJ205)="","",INDEX(原始資料!H$2:H$501,$BJ205)))</f>
        <v/>
      </c>
      <c r="G205" s="6">
        <f>IF(OR($BJ205="",6&gt;設定!$B$3),"",IF(INDEX(原始資料!I$2:I$501,$BJ205)="","",INDEX(原始資料!I$2:I$501,$BJ205)))</f>
        <v/>
      </c>
      <c r="H205" s="6">
        <f>IF(OR($BJ205="",7&gt;設定!$B$3),"",IF(INDEX(原始資料!J$2:J$501,$BJ205)="","",INDEX(原始資料!J$2:J$501,$BJ205)))</f>
        <v/>
      </c>
      <c r="I205" s="6">
        <f>IF(OR($BJ205="",8&gt;設定!$B$3),"",IF(INDEX(原始資料!K$2:K$501,$BJ205)="","",INDEX(原始資料!K$2:K$501,$BJ205)))</f>
        <v/>
      </c>
      <c r="J205" s="6">
        <f>IF(OR($BJ205="",9&gt;設定!$B$3),"",IF(INDEX(原始資料!L$2:L$501,$BJ205)="","",INDEX(原始資料!L$2:L$501,$BJ205)))</f>
        <v/>
      </c>
      <c r="K205" s="6">
        <f>IF(OR($BJ205="",10&gt;設定!$B$3),"",IF(INDEX(原始資料!M$2:M$501,$BJ205)="","",INDEX(原始資料!M$2:M$501,$BJ205)))</f>
        <v/>
      </c>
      <c r="L205" s="6">
        <f>IF(OR($BJ205="",11&gt;設定!$B$3),"",IF(INDEX(原始資料!N$2:N$501,$BJ205)="","",INDEX(原始資料!N$2:N$501,$BJ205)))</f>
        <v/>
      </c>
      <c r="M205" s="6">
        <f>IF(OR($BJ205="",12&gt;設定!$B$3),"",IF(INDEX(原始資料!O$2:O$501,$BJ205)="","",INDEX(原始資料!O$2:O$501,$BJ205)))</f>
        <v/>
      </c>
      <c r="N205" s="6">
        <f>IF(OR($BJ205="",13&gt;設定!$B$3),"",IF(INDEX(原始資料!P$2:P$501,$BJ205)="","",INDEX(原始資料!P$2:P$501,$BJ205)))</f>
        <v/>
      </c>
      <c r="O205" s="6">
        <f>IF(OR($BJ205="",14&gt;設定!$B$3),"",IF(INDEX(原始資料!Q$2:Q$501,$BJ205)="","",INDEX(原始資料!Q$2:Q$501,$BJ205)))</f>
        <v/>
      </c>
      <c r="P205" s="6">
        <f>IF(OR($BJ205="",15&gt;設定!$B$3),"",IF(INDEX(原始資料!R$2:R$501,$BJ205)="","",INDEX(原始資料!R$2:R$501,$BJ205)))</f>
        <v/>
      </c>
      <c r="Q205" s="6">
        <f>IF(OR($BJ205="",16&gt;設定!$B$3),"",IF(INDEX(原始資料!S$2:S$501,$BJ205)="","",INDEX(原始資料!S$2:S$501,$BJ205)))</f>
        <v/>
      </c>
      <c r="R205" s="6">
        <f>IF(OR($BJ205="",17&gt;設定!$B$3),"",IF(INDEX(原始資料!T$2:T$501,$BJ205)="","",INDEX(原始資料!T$2:T$501,$BJ205)))</f>
        <v/>
      </c>
      <c r="S205" s="6">
        <f>IF(OR($BJ205="",18&gt;設定!$B$3),"",IF(INDEX(原始資料!U$2:U$501,$BJ205)="","",INDEX(原始資料!U$2:U$501,$BJ205)))</f>
        <v/>
      </c>
      <c r="T205" s="6">
        <f>IF(OR($BJ205="",19&gt;設定!$B$3),"",IF(INDEX(原始資料!V$2:V$501,$BJ205)="","",INDEX(原始資料!V$2:V$501,$BJ205)))</f>
        <v/>
      </c>
      <c r="U205" s="6">
        <f>IF(OR($BJ205="",20&gt;設定!$B$3),"",IF(INDEX(原始資料!W$2:W$501,$BJ205)="","",INDEX(原始資料!W$2:W$501,$BJ205)))</f>
        <v/>
      </c>
      <c r="V205" s="6">
        <f>IF(OR($BJ205="",21&gt;設定!$B$3),"",IF(INDEX(原始資料!X$2:X$501,$BJ205)="","",INDEX(原始資料!X$2:X$501,$BJ205)))</f>
        <v/>
      </c>
      <c r="W205" s="6">
        <f>IF(OR($BJ205="",22&gt;設定!$B$3),"",IF(INDEX(原始資料!Y$2:Y$501,$BJ205)="","",INDEX(原始資料!Y$2:Y$501,$BJ205)))</f>
        <v/>
      </c>
      <c r="X205" s="6">
        <f>IF(OR($BJ205="",23&gt;設定!$B$3),"",IF(INDEX(原始資料!Z$2:Z$501,$BJ205)="","",INDEX(原始資料!Z$2:Z$501,$BJ205)))</f>
        <v/>
      </c>
      <c r="Y205" s="6">
        <f>IF(OR($BJ205="",24&gt;設定!$B$3),"",IF(INDEX(原始資料!AA$2:AA$501,$BJ205)="","",INDEX(原始資料!AA$2:AA$501,$BJ205)))</f>
        <v/>
      </c>
      <c r="Z205" s="6">
        <f>IF(OR($BJ205="",25&gt;設定!$B$3),"",IF(INDEX(原始資料!AB$2:AB$501,$BJ205)="","",INDEX(原始資料!AB$2:AB$501,$BJ205)))</f>
        <v/>
      </c>
      <c r="AA205" s="6">
        <f>IF(OR($BJ205="",26&gt;設定!$B$3),"",IF(INDEX(原始資料!AC$2:AC$501,$BJ205)="","",INDEX(原始資料!AC$2:AC$501,$BJ205)))</f>
        <v/>
      </c>
      <c r="AB205" s="6">
        <f>IF(OR($BJ205="",27&gt;設定!$B$3),"",IF(INDEX(原始資料!AD$2:AD$501,$BJ205)="","",INDEX(原始資料!AD$2:AD$501,$BJ205)))</f>
        <v/>
      </c>
      <c r="AC205" s="6">
        <f>IF(OR($BJ205="",28&gt;設定!$B$3),"",IF(INDEX(原始資料!AE$2:AE$501,$BJ205)="","",INDEX(原始資料!AE$2:AE$501,$BJ205)))</f>
        <v/>
      </c>
      <c r="AD205" s="6">
        <f>IF(OR($BJ205="",29&gt;設定!$B$3),"",IF(INDEX(原始資料!AF$2:AF$501,$BJ205)="","",INDEX(原始資料!AF$2:AF$501,$BJ205)))</f>
        <v/>
      </c>
      <c r="AE205" s="6">
        <f>IF(OR($BJ205="",30&gt;設定!$B$3),"",IF(INDEX(原始資料!AG$2:AG$501,$BJ205)="","",INDEX(原始資料!AG$2:AG$501,$BJ205)))</f>
        <v/>
      </c>
      <c r="AF205" s="6">
        <f>IF(OR($BJ205="",31&gt;設定!$B$3),"",IF(INDEX(原始資料!AH$2:AH$501,$BJ205)="","",INDEX(原始資料!AH$2:AH$501,$BJ205)))</f>
        <v/>
      </c>
      <c r="AG205" s="6">
        <f>IF(OR($BJ205="",32&gt;設定!$B$3),"",IF(INDEX(原始資料!AI$2:AI$501,$BJ205)="","",INDEX(原始資料!AI$2:AI$501,$BJ205)))</f>
        <v/>
      </c>
      <c r="AH205" s="6">
        <f>IF(OR($BJ205="",33&gt;設定!$B$3),"",IF(INDEX(原始資料!AJ$2:AJ$501,$BJ205)="","",INDEX(原始資料!AJ$2:AJ$501,$BJ205)))</f>
        <v/>
      </c>
      <c r="AI205" s="6">
        <f>IF(OR($BJ205="",34&gt;設定!$B$3),"",IF(INDEX(原始資料!AK$2:AK$501,$BJ205)="","",INDEX(原始資料!AK$2:AK$501,$BJ205)))</f>
        <v/>
      </c>
      <c r="AJ205" s="6">
        <f>IF(OR($BJ205="",35&gt;設定!$B$3),"",IF(INDEX(原始資料!AL$2:AL$501,$BJ205)="","",INDEX(原始資料!AL$2:AL$501,$BJ205)))</f>
        <v/>
      </c>
      <c r="AK205" s="6">
        <f>IF(OR($BJ205="",36&gt;設定!$B$3),"",IF(INDEX(原始資料!AM$2:AM$501,$BJ205)="","",INDEX(原始資料!AM$2:AM$501,$BJ205)))</f>
        <v/>
      </c>
      <c r="AL205" s="6">
        <f>IF(OR($BJ205="",37&gt;設定!$B$3),"",IF(INDEX(原始資料!AN$2:AN$501,$BJ205)="","",INDEX(原始資料!AN$2:AN$501,$BJ205)))</f>
        <v/>
      </c>
      <c r="AM205" s="6">
        <f>IF(OR($BJ205="",38&gt;設定!$B$3),"",IF(INDEX(原始資料!AO$2:AO$501,$BJ205)="","",INDEX(原始資料!AO$2:AO$501,$BJ205)))</f>
        <v/>
      </c>
      <c r="AN205" s="6">
        <f>IF(OR($BJ205="",39&gt;設定!$B$3),"",IF(INDEX(原始資料!AP$2:AP$501,$BJ205)="","",INDEX(原始資料!AP$2:AP$501,$BJ205)))</f>
        <v/>
      </c>
      <c r="AO205" s="6">
        <f>IF(OR($BJ205="",40&gt;設定!$B$3),"",IF(INDEX(原始資料!AQ$2:AQ$501,$BJ205)="","",INDEX(原始資料!AQ$2:AQ$501,$BJ205)))</f>
        <v/>
      </c>
      <c r="AP205" s="6">
        <f>IF(OR($BJ205="",41&gt;設定!$B$3),"",IF(INDEX(原始資料!AR$2:AR$501,$BJ205)="","",INDEX(原始資料!AR$2:AR$501,$BJ205)))</f>
        <v/>
      </c>
      <c r="AQ205" s="6">
        <f>IF(OR($BJ205="",42&gt;設定!$B$3),"",IF(INDEX(原始資料!AS$2:AS$501,$BJ205)="","",INDEX(原始資料!AS$2:AS$501,$BJ205)))</f>
        <v/>
      </c>
      <c r="AR205" s="6">
        <f>IF(OR($BJ205="",43&gt;設定!$B$3),"",IF(INDEX(原始資料!AT$2:AT$501,$BJ205)="","",INDEX(原始資料!AT$2:AT$501,$BJ205)))</f>
        <v/>
      </c>
      <c r="AS205" s="6">
        <f>IF(OR($BJ205="",44&gt;設定!$B$3),"",IF(INDEX(原始資料!AU$2:AU$501,$BJ205)="","",INDEX(原始資料!AU$2:AU$501,$BJ205)))</f>
        <v/>
      </c>
      <c r="AT205" s="6">
        <f>IF(OR($BJ205="",45&gt;設定!$B$3),"",IF(INDEX(原始資料!AV$2:AV$501,$BJ205)="","",INDEX(原始資料!AV$2:AV$501,$BJ205)))</f>
        <v/>
      </c>
      <c r="AU205" s="6">
        <f>IF(OR($BJ205="",46&gt;設定!$B$3),"",IF(INDEX(原始資料!AW$2:AW$501,$BJ205)="","",INDEX(原始資料!AW$2:AW$501,$BJ205)))</f>
        <v/>
      </c>
      <c r="AV205" s="6">
        <f>IF(OR($BJ205="",47&gt;設定!$B$3),"",IF(INDEX(原始資料!AX$2:AX$501,$BJ205)="","",INDEX(原始資料!AX$2:AX$501,$BJ205)))</f>
        <v/>
      </c>
      <c r="AW205" s="6">
        <f>IF(OR($BJ205="",48&gt;設定!$B$3),"",IF(INDEX(原始資料!AY$2:AY$501,$BJ205)="","",INDEX(原始資料!AY$2:AY$501,$BJ205)))</f>
        <v/>
      </c>
      <c r="AX205" s="6">
        <f>IF(OR($BJ205="",49&gt;設定!$B$3),"",IF(INDEX(原始資料!AZ$2:AZ$501,$BJ205)="","",INDEX(原始資料!AZ$2:AZ$501,$BJ205)))</f>
        <v/>
      </c>
      <c r="AY205" s="6">
        <f>IF(OR($BJ205="",50&gt;設定!$B$3),"",IF(INDEX(原始資料!BA$2:BA$501,$BJ205)="","",INDEX(原始資料!BA$2:BA$501,$BJ205)))</f>
        <v/>
      </c>
      <c r="AZ205" s="6">
        <f>IF(OR($BJ205="",51&gt;設定!$B$3),"",IF(INDEX(原始資料!BB$2:BB$501,$BJ205)="","",INDEX(原始資料!BB$2:BB$501,$BJ205)))</f>
        <v/>
      </c>
      <c r="BA205" s="6">
        <f>IF(OR($BJ205="",52&gt;設定!$B$3),"",IF(INDEX(原始資料!BC$2:BC$501,$BJ205)="","",INDEX(原始資料!BC$2:BC$501,$BJ205)))</f>
        <v/>
      </c>
      <c r="BB205" s="6">
        <f>IF(OR($BJ205="",53&gt;設定!$B$3),"",IF(INDEX(原始資料!BD$2:BD$501,$BJ205)="","",INDEX(原始資料!BD$2:BD$501,$BJ205)))</f>
        <v/>
      </c>
      <c r="BC205" s="6">
        <f>IF(OR($BJ205="",54&gt;設定!$B$3),"",IF(INDEX(原始資料!BE$2:BE$501,$BJ205)="","",INDEX(原始資料!BE$2:BE$501,$BJ205)))</f>
        <v/>
      </c>
      <c r="BD205" s="6">
        <f>IF(OR($BJ205="",55&gt;設定!$B$3),"",IF(INDEX(原始資料!BF$2:BF$501,$BJ205)="","",INDEX(原始資料!BF$2:BF$501,$BJ205)))</f>
        <v/>
      </c>
      <c r="BE205" s="6">
        <f>IF(OR($BJ205="",56&gt;設定!$B$3),"",IF(INDEX(原始資料!BG$2:BG$501,$BJ205)="","",INDEX(原始資料!BG$2:BG$501,$BJ205)))</f>
        <v/>
      </c>
      <c r="BF205" s="6">
        <f>IF(OR($BJ205="",57&gt;設定!$B$3),"",IF(INDEX(原始資料!BH$2:BH$501,$BJ205)="","",INDEX(原始資料!BH$2:BH$501,$BJ205)))</f>
        <v/>
      </c>
      <c r="BG205" s="6">
        <f>IF(OR($BJ205="",58&gt;設定!$B$3),"",IF(INDEX(原始資料!BI$2:BI$501,$BJ205)="","",INDEX(原始資料!BI$2:BI$501,$BJ205)))</f>
        <v/>
      </c>
      <c r="BH205" s="6">
        <f>IF(OR($BJ205="",59&gt;設定!$B$3),"",IF(INDEX(原始資料!BJ$2:BJ$501,$BJ205)="","",INDEX(原始資料!BJ$2:BJ$501,$BJ205)))</f>
        <v/>
      </c>
      <c r="BI205" s="6">
        <f>IF(OR($BJ205="",60&gt;設定!$B$3),"",IF(INDEX(原始資料!BK$2:BK$501,$BJ205)="","",INDEX(原始資料!BK$2:BK$501,$BJ205)))</f>
        <v/>
      </c>
      <c r="BJ205" s="6">
        <f>IFERROR(MATCH(ROW()-1,判定!$H$2:$H$501,0),"")</f>
        <v/>
      </c>
    </row>
    <row r="206">
      <c r="A206" s="6">
        <f>IF($BJ206="","",INDEX(原始資料!$A$2:$A$501,$BJ206))</f>
        <v/>
      </c>
      <c r="B206" s="6">
        <f>IF(OR($BJ206="",1&gt;設定!$B$3),"",IF(INDEX(原始資料!D$2:D$501,$BJ206)="","",INDEX(原始資料!D$2:D$501,$BJ206)))</f>
        <v/>
      </c>
      <c r="C206" s="6">
        <f>IF(OR($BJ206="",2&gt;設定!$B$3),"",IF(INDEX(原始資料!E$2:E$501,$BJ206)="","",INDEX(原始資料!E$2:E$501,$BJ206)))</f>
        <v/>
      </c>
      <c r="D206" s="6">
        <f>IF(OR($BJ206="",3&gt;設定!$B$3),"",IF(INDEX(原始資料!F$2:F$501,$BJ206)="","",INDEX(原始資料!F$2:F$501,$BJ206)))</f>
        <v/>
      </c>
      <c r="E206" s="6">
        <f>IF(OR($BJ206="",4&gt;設定!$B$3),"",IF(INDEX(原始資料!G$2:G$501,$BJ206)="","",INDEX(原始資料!G$2:G$501,$BJ206)))</f>
        <v/>
      </c>
      <c r="F206" s="6">
        <f>IF(OR($BJ206="",5&gt;設定!$B$3),"",IF(INDEX(原始資料!H$2:H$501,$BJ206)="","",INDEX(原始資料!H$2:H$501,$BJ206)))</f>
        <v/>
      </c>
      <c r="G206" s="6">
        <f>IF(OR($BJ206="",6&gt;設定!$B$3),"",IF(INDEX(原始資料!I$2:I$501,$BJ206)="","",INDEX(原始資料!I$2:I$501,$BJ206)))</f>
        <v/>
      </c>
      <c r="H206" s="6">
        <f>IF(OR($BJ206="",7&gt;設定!$B$3),"",IF(INDEX(原始資料!J$2:J$501,$BJ206)="","",INDEX(原始資料!J$2:J$501,$BJ206)))</f>
        <v/>
      </c>
      <c r="I206" s="6">
        <f>IF(OR($BJ206="",8&gt;設定!$B$3),"",IF(INDEX(原始資料!K$2:K$501,$BJ206)="","",INDEX(原始資料!K$2:K$501,$BJ206)))</f>
        <v/>
      </c>
      <c r="J206" s="6">
        <f>IF(OR($BJ206="",9&gt;設定!$B$3),"",IF(INDEX(原始資料!L$2:L$501,$BJ206)="","",INDEX(原始資料!L$2:L$501,$BJ206)))</f>
        <v/>
      </c>
      <c r="K206" s="6">
        <f>IF(OR($BJ206="",10&gt;設定!$B$3),"",IF(INDEX(原始資料!M$2:M$501,$BJ206)="","",INDEX(原始資料!M$2:M$501,$BJ206)))</f>
        <v/>
      </c>
      <c r="L206" s="6">
        <f>IF(OR($BJ206="",11&gt;設定!$B$3),"",IF(INDEX(原始資料!N$2:N$501,$BJ206)="","",INDEX(原始資料!N$2:N$501,$BJ206)))</f>
        <v/>
      </c>
      <c r="M206" s="6">
        <f>IF(OR($BJ206="",12&gt;設定!$B$3),"",IF(INDEX(原始資料!O$2:O$501,$BJ206)="","",INDEX(原始資料!O$2:O$501,$BJ206)))</f>
        <v/>
      </c>
      <c r="N206" s="6">
        <f>IF(OR($BJ206="",13&gt;設定!$B$3),"",IF(INDEX(原始資料!P$2:P$501,$BJ206)="","",INDEX(原始資料!P$2:P$501,$BJ206)))</f>
        <v/>
      </c>
      <c r="O206" s="6">
        <f>IF(OR($BJ206="",14&gt;設定!$B$3),"",IF(INDEX(原始資料!Q$2:Q$501,$BJ206)="","",INDEX(原始資料!Q$2:Q$501,$BJ206)))</f>
        <v/>
      </c>
      <c r="P206" s="6">
        <f>IF(OR($BJ206="",15&gt;設定!$B$3),"",IF(INDEX(原始資料!R$2:R$501,$BJ206)="","",INDEX(原始資料!R$2:R$501,$BJ206)))</f>
        <v/>
      </c>
      <c r="Q206" s="6">
        <f>IF(OR($BJ206="",16&gt;設定!$B$3),"",IF(INDEX(原始資料!S$2:S$501,$BJ206)="","",INDEX(原始資料!S$2:S$501,$BJ206)))</f>
        <v/>
      </c>
      <c r="R206" s="6">
        <f>IF(OR($BJ206="",17&gt;設定!$B$3),"",IF(INDEX(原始資料!T$2:T$501,$BJ206)="","",INDEX(原始資料!T$2:T$501,$BJ206)))</f>
        <v/>
      </c>
      <c r="S206" s="6">
        <f>IF(OR($BJ206="",18&gt;設定!$B$3),"",IF(INDEX(原始資料!U$2:U$501,$BJ206)="","",INDEX(原始資料!U$2:U$501,$BJ206)))</f>
        <v/>
      </c>
      <c r="T206" s="6">
        <f>IF(OR($BJ206="",19&gt;設定!$B$3),"",IF(INDEX(原始資料!V$2:V$501,$BJ206)="","",INDEX(原始資料!V$2:V$501,$BJ206)))</f>
        <v/>
      </c>
      <c r="U206" s="6">
        <f>IF(OR($BJ206="",20&gt;設定!$B$3),"",IF(INDEX(原始資料!W$2:W$501,$BJ206)="","",INDEX(原始資料!W$2:W$501,$BJ206)))</f>
        <v/>
      </c>
      <c r="V206" s="6">
        <f>IF(OR($BJ206="",21&gt;設定!$B$3),"",IF(INDEX(原始資料!X$2:X$501,$BJ206)="","",INDEX(原始資料!X$2:X$501,$BJ206)))</f>
        <v/>
      </c>
      <c r="W206" s="6">
        <f>IF(OR($BJ206="",22&gt;設定!$B$3),"",IF(INDEX(原始資料!Y$2:Y$501,$BJ206)="","",INDEX(原始資料!Y$2:Y$501,$BJ206)))</f>
        <v/>
      </c>
      <c r="X206" s="6">
        <f>IF(OR($BJ206="",23&gt;設定!$B$3),"",IF(INDEX(原始資料!Z$2:Z$501,$BJ206)="","",INDEX(原始資料!Z$2:Z$501,$BJ206)))</f>
        <v/>
      </c>
      <c r="Y206" s="6">
        <f>IF(OR($BJ206="",24&gt;設定!$B$3),"",IF(INDEX(原始資料!AA$2:AA$501,$BJ206)="","",INDEX(原始資料!AA$2:AA$501,$BJ206)))</f>
        <v/>
      </c>
      <c r="Z206" s="6">
        <f>IF(OR($BJ206="",25&gt;設定!$B$3),"",IF(INDEX(原始資料!AB$2:AB$501,$BJ206)="","",INDEX(原始資料!AB$2:AB$501,$BJ206)))</f>
        <v/>
      </c>
      <c r="AA206" s="6">
        <f>IF(OR($BJ206="",26&gt;設定!$B$3),"",IF(INDEX(原始資料!AC$2:AC$501,$BJ206)="","",INDEX(原始資料!AC$2:AC$501,$BJ206)))</f>
        <v/>
      </c>
      <c r="AB206" s="6">
        <f>IF(OR($BJ206="",27&gt;設定!$B$3),"",IF(INDEX(原始資料!AD$2:AD$501,$BJ206)="","",INDEX(原始資料!AD$2:AD$501,$BJ206)))</f>
        <v/>
      </c>
      <c r="AC206" s="6">
        <f>IF(OR($BJ206="",28&gt;設定!$B$3),"",IF(INDEX(原始資料!AE$2:AE$501,$BJ206)="","",INDEX(原始資料!AE$2:AE$501,$BJ206)))</f>
        <v/>
      </c>
      <c r="AD206" s="6">
        <f>IF(OR($BJ206="",29&gt;設定!$B$3),"",IF(INDEX(原始資料!AF$2:AF$501,$BJ206)="","",INDEX(原始資料!AF$2:AF$501,$BJ206)))</f>
        <v/>
      </c>
      <c r="AE206" s="6">
        <f>IF(OR($BJ206="",30&gt;設定!$B$3),"",IF(INDEX(原始資料!AG$2:AG$501,$BJ206)="","",INDEX(原始資料!AG$2:AG$501,$BJ206)))</f>
        <v/>
      </c>
      <c r="AF206" s="6">
        <f>IF(OR($BJ206="",31&gt;設定!$B$3),"",IF(INDEX(原始資料!AH$2:AH$501,$BJ206)="","",INDEX(原始資料!AH$2:AH$501,$BJ206)))</f>
        <v/>
      </c>
      <c r="AG206" s="6">
        <f>IF(OR($BJ206="",32&gt;設定!$B$3),"",IF(INDEX(原始資料!AI$2:AI$501,$BJ206)="","",INDEX(原始資料!AI$2:AI$501,$BJ206)))</f>
        <v/>
      </c>
      <c r="AH206" s="6">
        <f>IF(OR($BJ206="",33&gt;設定!$B$3),"",IF(INDEX(原始資料!AJ$2:AJ$501,$BJ206)="","",INDEX(原始資料!AJ$2:AJ$501,$BJ206)))</f>
        <v/>
      </c>
      <c r="AI206" s="6">
        <f>IF(OR($BJ206="",34&gt;設定!$B$3),"",IF(INDEX(原始資料!AK$2:AK$501,$BJ206)="","",INDEX(原始資料!AK$2:AK$501,$BJ206)))</f>
        <v/>
      </c>
      <c r="AJ206" s="6">
        <f>IF(OR($BJ206="",35&gt;設定!$B$3),"",IF(INDEX(原始資料!AL$2:AL$501,$BJ206)="","",INDEX(原始資料!AL$2:AL$501,$BJ206)))</f>
        <v/>
      </c>
      <c r="AK206" s="6">
        <f>IF(OR($BJ206="",36&gt;設定!$B$3),"",IF(INDEX(原始資料!AM$2:AM$501,$BJ206)="","",INDEX(原始資料!AM$2:AM$501,$BJ206)))</f>
        <v/>
      </c>
      <c r="AL206" s="6">
        <f>IF(OR($BJ206="",37&gt;設定!$B$3),"",IF(INDEX(原始資料!AN$2:AN$501,$BJ206)="","",INDEX(原始資料!AN$2:AN$501,$BJ206)))</f>
        <v/>
      </c>
      <c r="AM206" s="6">
        <f>IF(OR($BJ206="",38&gt;設定!$B$3),"",IF(INDEX(原始資料!AO$2:AO$501,$BJ206)="","",INDEX(原始資料!AO$2:AO$501,$BJ206)))</f>
        <v/>
      </c>
      <c r="AN206" s="6">
        <f>IF(OR($BJ206="",39&gt;設定!$B$3),"",IF(INDEX(原始資料!AP$2:AP$501,$BJ206)="","",INDEX(原始資料!AP$2:AP$501,$BJ206)))</f>
        <v/>
      </c>
      <c r="AO206" s="6">
        <f>IF(OR($BJ206="",40&gt;設定!$B$3),"",IF(INDEX(原始資料!AQ$2:AQ$501,$BJ206)="","",INDEX(原始資料!AQ$2:AQ$501,$BJ206)))</f>
        <v/>
      </c>
      <c r="AP206" s="6">
        <f>IF(OR($BJ206="",41&gt;設定!$B$3),"",IF(INDEX(原始資料!AR$2:AR$501,$BJ206)="","",INDEX(原始資料!AR$2:AR$501,$BJ206)))</f>
        <v/>
      </c>
      <c r="AQ206" s="6">
        <f>IF(OR($BJ206="",42&gt;設定!$B$3),"",IF(INDEX(原始資料!AS$2:AS$501,$BJ206)="","",INDEX(原始資料!AS$2:AS$501,$BJ206)))</f>
        <v/>
      </c>
      <c r="AR206" s="6">
        <f>IF(OR($BJ206="",43&gt;設定!$B$3),"",IF(INDEX(原始資料!AT$2:AT$501,$BJ206)="","",INDEX(原始資料!AT$2:AT$501,$BJ206)))</f>
        <v/>
      </c>
      <c r="AS206" s="6">
        <f>IF(OR($BJ206="",44&gt;設定!$B$3),"",IF(INDEX(原始資料!AU$2:AU$501,$BJ206)="","",INDEX(原始資料!AU$2:AU$501,$BJ206)))</f>
        <v/>
      </c>
      <c r="AT206" s="6">
        <f>IF(OR($BJ206="",45&gt;設定!$B$3),"",IF(INDEX(原始資料!AV$2:AV$501,$BJ206)="","",INDEX(原始資料!AV$2:AV$501,$BJ206)))</f>
        <v/>
      </c>
      <c r="AU206" s="6">
        <f>IF(OR($BJ206="",46&gt;設定!$B$3),"",IF(INDEX(原始資料!AW$2:AW$501,$BJ206)="","",INDEX(原始資料!AW$2:AW$501,$BJ206)))</f>
        <v/>
      </c>
      <c r="AV206" s="6">
        <f>IF(OR($BJ206="",47&gt;設定!$B$3),"",IF(INDEX(原始資料!AX$2:AX$501,$BJ206)="","",INDEX(原始資料!AX$2:AX$501,$BJ206)))</f>
        <v/>
      </c>
      <c r="AW206" s="6">
        <f>IF(OR($BJ206="",48&gt;設定!$B$3),"",IF(INDEX(原始資料!AY$2:AY$501,$BJ206)="","",INDEX(原始資料!AY$2:AY$501,$BJ206)))</f>
        <v/>
      </c>
      <c r="AX206" s="6">
        <f>IF(OR($BJ206="",49&gt;設定!$B$3),"",IF(INDEX(原始資料!AZ$2:AZ$501,$BJ206)="","",INDEX(原始資料!AZ$2:AZ$501,$BJ206)))</f>
        <v/>
      </c>
      <c r="AY206" s="6">
        <f>IF(OR($BJ206="",50&gt;設定!$B$3),"",IF(INDEX(原始資料!BA$2:BA$501,$BJ206)="","",INDEX(原始資料!BA$2:BA$501,$BJ206)))</f>
        <v/>
      </c>
      <c r="AZ206" s="6">
        <f>IF(OR($BJ206="",51&gt;設定!$B$3),"",IF(INDEX(原始資料!BB$2:BB$501,$BJ206)="","",INDEX(原始資料!BB$2:BB$501,$BJ206)))</f>
        <v/>
      </c>
      <c r="BA206" s="6">
        <f>IF(OR($BJ206="",52&gt;設定!$B$3),"",IF(INDEX(原始資料!BC$2:BC$501,$BJ206)="","",INDEX(原始資料!BC$2:BC$501,$BJ206)))</f>
        <v/>
      </c>
      <c r="BB206" s="6">
        <f>IF(OR($BJ206="",53&gt;設定!$B$3),"",IF(INDEX(原始資料!BD$2:BD$501,$BJ206)="","",INDEX(原始資料!BD$2:BD$501,$BJ206)))</f>
        <v/>
      </c>
      <c r="BC206" s="6">
        <f>IF(OR($BJ206="",54&gt;設定!$B$3),"",IF(INDEX(原始資料!BE$2:BE$501,$BJ206)="","",INDEX(原始資料!BE$2:BE$501,$BJ206)))</f>
        <v/>
      </c>
      <c r="BD206" s="6">
        <f>IF(OR($BJ206="",55&gt;設定!$B$3),"",IF(INDEX(原始資料!BF$2:BF$501,$BJ206)="","",INDEX(原始資料!BF$2:BF$501,$BJ206)))</f>
        <v/>
      </c>
      <c r="BE206" s="6">
        <f>IF(OR($BJ206="",56&gt;設定!$B$3),"",IF(INDEX(原始資料!BG$2:BG$501,$BJ206)="","",INDEX(原始資料!BG$2:BG$501,$BJ206)))</f>
        <v/>
      </c>
      <c r="BF206" s="6">
        <f>IF(OR($BJ206="",57&gt;設定!$B$3),"",IF(INDEX(原始資料!BH$2:BH$501,$BJ206)="","",INDEX(原始資料!BH$2:BH$501,$BJ206)))</f>
        <v/>
      </c>
      <c r="BG206" s="6">
        <f>IF(OR($BJ206="",58&gt;設定!$B$3),"",IF(INDEX(原始資料!BI$2:BI$501,$BJ206)="","",INDEX(原始資料!BI$2:BI$501,$BJ206)))</f>
        <v/>
      </c>
      <c r="BH206" s="6">
        <f>IF(OR($BJ206="",59&gt;設定!$B$3),"",IF(INDEX(原始資料!BJ$2:BJ$501,$BJ206)="","",INDEX(原始資料!BJ$2:BJ$501,$BJ206)))</f>
        <v/>
      </c>
      <c r="BI206" s="6">
        <f>IF(OR($BJ206="",60&gt;設定!$B$3),"",IF(INDEX(原始資料!BK$2:BK$501,$BJ206)="","",INDEX(原始資料!BK$2:BK$501,$BJ206)))</f>
        <v/>
      </c>
      <c r="BJ206" s="6">
        <f>IFERROR(MATCH(ROW()-1,判定!$H$2:$H$501,0),"")</f>
        <v/>
      </c>
    </row>
    <row r="207">
      <c r="A207" s="6">
        <f>IF($BJ207="","",INDEX(原始資料!$A$2:$A$501,$BJ207))</f>
        <v/>
      </c>
      <c r="B207" s="6">
        <f>IF(OR($BJ207="",1&gt;設定!$B$3),"",IF(INDEX(原始資料!D$2:D$501,$BJ207)="","",INDEX(原始資料!D$2:D$501,$BJ207)))</f>
        <v/>
      </c>
      <c r="C207" s="6">
        <f>IF(OR($BJ207="",2&gt;設定!$B$3),"",IF(INDEX(原始資料!E$2:E$501,$BJ207)="","",INDEX(原始資料!E$2:E$501,$BJ207)))</f>
        <v/>
      </c>
      <c r="D207" s="6">
        <f>IF(OR($BJ207="",3&gt;設定!$B$3),"",IF(INDEX(原始資料!F$2:F$501,$BJ207)="","",INDEX(原始資料!F$2:F$501,$BJ207)))</f>
        <v/>
      </c>
      <c r="E207" s="6">
        <f>IF(OR($BJ207="",4&gt;設定!$B$3),"",IF(INDEX(原始資料!G$2:G$501,$BJ207)="","",INDEX(原始資料!G$2:G$501,$BJ207)))</f>
        <v/>
      </c>
      <c r="F207" s="6">
        <f>IF(OR($BJ207="",5&gt;設定!$B$3),"",IF(INDEX(原始資料!H$2:H$501,$BJ207)="","",INDEX(原始資料!H$2:H$501,$BJ207)))</f>
        <v/>
      </c>
      <c r="G207" s="6">
        <f>IF(OR($BJ207="",6&gt;設定!$B$3),"",IF(INDEX(原始資料!I$2:I$501,$BJ207)="","",INDEX(原始資料!I$2:I$501,$BJ207)))</f>
        <v/>
      </c>
      <c r="H207" s="6">
        <f>IF(OR($BJ207="",7&gt;設定!$B$3),"",IF(INDEX(原始資料!J$2:J$501,$BJ207)="","",INDEX(原始資料!J$2:J$501,$BJ207)))</f>
        <v/>
      </c>
      <c r="I207" s="6">
        <f>IF(OR($BJ207="",8&gt;設定!$B$3),"",IF(INDEX(原始資料!K$2:K$501,$BJ207)="","",INDEX(原始資料!K$2:K$501,$BJ207)))</f>
        <v/>
      </c>
      <c r="J207" s="6">
        <f>IF(OR($BJ207="",9&gt;設定!$B$3),"",IF(INDEX(原始資料!L$2:L$501,$BJ207)="","",INDEX(原始資料!L$2:L$501,$BJ207)))</f>
        <v/>
      </c>
      <c r="K207" s="6">
        <f>IF(OR($BJ207="",10&gt;設定!$B$3),"",IF(INDEX(原始資料!M$2:M$501,$BJ207)="","",INDEX(原始資料!M$2:M$501,$BJ207)))</f>
        <v/>
      </c>
      <c r="L207" s="6">
        <f>IF(OR($BJ207="",11&gt;設定!$B$3),"",IF(INDEX(原始資料!N$2:N$501,$BJ207)="","",INDEX(原始資料!N$2:N$501,$BJ207)))</f>
        <v/>
      </c>
      <c r="M207" s="6">
        <f>IF(OR($BJ207="",12&gt;設定!$B$3),"",IF(INDEX(原始資料!O$2:O$501,$BJ207)="","",INDEX(原始資料!O$2:O$501,$BJ207)))</f>
        <v/>
      </c>
      <c r="N207" s="6">
        <f>IF(OR($BJ207="",13&gt;設定!$B$3),"",IF(INDEX(原始資料!P$2:P$501,$BJ207)="","",INDEX(原始資料!P$2:P$501,$BJ207)))</f>
        <v/>
      </c>
      <c r="O207" s="6">
        <f>IF(OR($BJ207="",14&gt;設定!$B$3),"",IF(INDEX(原始資料!Q$2:Q$501,$BJ207)="","",INDEX(原始資料!Q$2:Q$501,$BJ207)))</f>
        <v/>
      </c>
      <c r="P207" s="6">
        <f>IF(OR($BJ207="",15&gt;設定!$B$3),"",IF(INDEX(原始資料!R$2:R$501,$BJ207)="","",INDEX(原始資料!R$2:R$501,$BJ207)))</f>
        <v/>
      </c>
      <c r="Q207" s="6">
        <f>IF(OR($BJ207="",16&gt;設定!$B$3),"",IF(INDEX(原始資料!S$2:S$501,$BJ207)="","",INDEX(原始資料!S$2:S$501,$BJ207)))</f>
        <v/>
      </c>
      <c r="R207" s="6">
        <f>IF(OR($BJ207="",17&gt;設定!$B$3),"",IF(INDEX(原始資料!T$2:T$501,$BJ207)="","",INDEX(原始資料!T$2:T$501,$BJ207)))</f>
        <v/>
      </c>
      <c r="S207" s="6">
        <f>IF(OR($BJ207="",18&gt;設定!$B$3),"",IF(INDEX(原始資料!U$2:U$501,$BJ207)="","",INDEX(原始資料!U$2:U$501,$BJ207)))</f>
        <v/>
      </c>
      <c r="T207" s="6">
        <f>IF(OR($BJ207="",19&gt;設定!$B$3),"",IF(INDEX(原始資料!V$2:V$501,$BJ207)="","",INDEX(原始資料!V$2:V$501,$BJ207)))</f>
        <v/>
      </c>
      <c r="U207" s="6">
        <f>IF(OR($BJ207="",20&gt;設定!$B$3),"",IF(INDEX(原始資料!W$2:W$501,$BJ207)="","",INDEX(原始資料!W$2:W$501,$BJ207)))</f>
        <v/>
      </c>
      <c r="V207" s="6">
        <f>IF(OR($BJ207="",21&gt;設定!$B$3),"",IF(INDEX(原始資料!X$2:X$501,$BJ207)="","",INDEX(原始資料!X$2:X$501,$BJ207)))</f>
        <v/>
      </c>
      <c r="W207" s="6">
        <f>IF(OR($BJ207="",22&gt;設定!$B$3),"",IF(INDEX(原始資料!Y$2:Y$501,$BJ207)="","",INDEX(原始資料!Y$2:Y$501,$BJ207)))</f>
        <v/>
      </c>
      <c r="X207" s="6">
        <f>IF(OR($BJ207="",23&gt;設定!$B$3),"",IF(INDEX(原始資料!Z$2:Z$501,$BJ207)="","",INDEX(原始資料!Z$2:Z$501,$BJ207)))</f>
        <v/>
      </c>
      <c r="Y207" s="6">
        <f>IF(OR($BJ207="",24&gt;設定!$B$3),"",IF(INDEX(原始資料!AA$2:AA$501,$BJ207)="","",INDEX(原始資料!AA$2:AA$501,$BJ207)))</f>
        <v/>
      </c>
      <c r="Z207" s="6">
        <f>IF(OR($BJ207="",25&gt;設定!$B$3),"",IF(INDEX(原始資料!AB$2:AB$501,$BJ207)="","",INDEX(原始資料!AB$2:AB$501,$BJ207)))</f>
        <v/>
      </c>
      <c r="AA207" s="6">
        <f>IF(OR($BJ207="",26&gt;設定!$B$3),"",IF(INDEX(原始資料!AC$2:AC$501,$BJ207)="","",INDEX(原始資料!AC$2:AC$501,$BJ207)))</f>
        <v/>
      </c>
      <c r="AB207" s="6">
        <f>IF(OR($BJ207="",27&gt;設定!$B$3),"",IF(INDEX(原始資料!AD$2:AD$501,$BJ207)="","",INDEX(原始資料!AD$2:AD$501,$BJ207)))</f>
        <v/>
      </c>
      <c r="AC207" s="6">
        <f>IF(OR($BJ207="",28&gt;設定!$B$3),"",IF(INDEX(原始資料!AE$2:AE$501,$BJ207)="","",INDEX(原始資料!AE$2:AE$501,$BJ207)))</f>
        <v/>
      </c>
      <c r="AD207" s="6">
        <f>IF(OR($BJ207="",29&gt;設定!$B$3),"",IF(INDEX(原始資料!AF$2:AF$501,$BJ207)="","",INDEX(原始資料!AF$2:AF$501,$BJ207)))</f>
        <v/>
      </c>
      <c r="AE207" s="6">
        <f>IF(OR($BJ207="",30&gt;設定!$B$3),"",IF(INDEX(原始資料!AG$2:AG$501,$BJ207)="","",INDEX(原始資料!AG$2:AG$501,$BJ207)))</f>
        <v/>
      </c>
      <c r="AF207" s="6">
        <f>IF(OR($BJ207="",31&gt;設定!$B$3),"",IF(INDEX(原始資料!AH$2:AH$501,$BJ207)="","",INDEX(原始資料!AH$2:AH$501,$BJ207)))</f>
        <v/>
      </c>
      <c r="AG207" s="6">
        <f>IF(OR($BJ207="",32&gt;設定!$B$3),"",IF(INDEX(原始資料!AI$2:AI$501,$BJ207)="","",INDEX(原始資料!AI$2:AI$501,$BJ207)))</f>
        <v/>
      </c>
      <c r="AH207" s="6">
        <f>IF(OR($BJ207="",33&gt;設定!$B$3),"",IF(INDEX(原始資料!AJ$2:AJ$501,$BJ207)="","",INDEX(原始資料!AJ$2:AJ$501,$BJ207)))</f>
        <v/>
      </c>
      <c r="AI207" s="6">
        <f>IF(OR($BJ207="",34&gt;設定!$B$3),"",IF(INDEX(原始資料!AK$2:AK$501,$BJ207)="","",INDEX(原始資料!AK$2:AK$501,$BJ207)))</f>
        <v/>
      </c>
      <c r="AJ207" s="6">
        <f>IF(OR($BJ207="",35&gt;設定!$B$3),"",IF(INDEX(原始資料!AL$2:AL$501,$BJ207)="","",INDEX(原始資料!AL$2:AL$501,$BJ207)))</f>
        <v/>
      </c>
      <c r="AK207" s="6">
        <f>IF(OR($BJ207="",36&gt;設定!$B$3),"",IF(INDEX(原始資料!AM$2:AM$501,$BJ207)="","",INDEX(原始資料!AM$2:AM$501,$BJ207)))</f>
        <v/>
      </c>
      <c r="AL207" s="6">
        <f>IF(OR($BJ207="",37&gt;設定!$B$3),"",IF(INDEX(原始資料!AN$2:AN$501,$BJ207)="","",INDEX(原始資料!AN$2:AN$501,$BJ207)))</f>
        <v/>
      </c>
      <c r="AM207" s="6">
        <f>IF(OR($BJ207="",38&gt;設定!$B$3),"",IF(INDEX(原始資料!AO$2:AO$501,$BJ207)="","",INDEX(原始資料!AO$2:AO$501,$BJ207)))</f>
        <v/>
      </c>
      <c r="AN207" s="6">
        <f>IF(OR($BJ207="",39&gt;設定!$B$3),"",IF(INDEX(原始資料!AP$2:AP$501,$BJ207)="","",INDEX(原始資料!AP$2:AP$501,$BJ207)))</f>
        <v/>
      </c>
      <c r="AO207" s="6">
        <f>IF(OR($BJ207="",40&gt;設定!$B$3),"",IF(INDEX(原始資料!AQ$2:AQ$501,$BJ207)="","",INDEX(原始資料!AQ$2:AQ$501,$BJ207)))</f>
        <v/>
      </c>
      <c r="AP207" s="6">
        <f>IF(OR($BJ207="",41&gt;設定!$B$3),"",IF(INDEX(原始資料!AR$2:AR$501,$BJ207)="","",INDEX(原始資料!AR$2:AR$501,$BJ207)))</f>
        <v/>
      </c>
      <c r="AQ207" s="6">
        <f>IF(OR($BJ207="",42&gt;設定!$B$3),"",IF(INDEX(原始資料!AS$2:AS$501,$BJ207)="","",INDEX(原始資料!AS$2:AS$501,$BJ207)))</f>
        <v/>
      </c>
      <c r="AR207" s="6">
        <f>IF(OR($BJ207="",43&gt;設定!$B$3),"",IF(INDEX(原始資料!AT$2:AT$501,$BJ207)="","",INDEX(原始資料!AT$2:AT$501,$BJ207)))</f>
        <v/>
      </c>
      <c r="AS207" s="6">
        <f>IF(OR($BJ207="",44&gt;設定!$B$3),"",IF(INDEX(原始資料!AU$2:AU$501,$BJ207)="","",INDEX(原始資料!AU$2:AU$501,$BJ207)))</f>
        <v/>
      </c>
      <c r="AT207" s="6">
        <f>IF(OR($BJ207="",45&gt;設定!$B$3),"",IF(INDEX(原始資料!AV$2:AV$501,$BJ207)="","",INDEX(原始資料!AV$2:AV$501,$BJ207)))</f>
        <v/>
      </c>
      <c r="AU207" s="6">
        <f>IF(OR($BJ207="",46&gt;設定!$B$3),"",IF(INDEX(原始資料!AW$2:AW$501,$BJ207)="","",INDEX(原始資料!AW$2:AW$501,$BJ207)))</f>
        <v/>
      </c>
      <c r="AV207" s="6">
        <f>IF(OR($BJ207="",47&gt;設定!$B$3),"",IF(INDEX(原始資料!AX$2:AX$501,$BJ207)="","",INDEX(原始資料!AX$2:AX$501,$BJ207)))</f>
        <v/>
      </c>
      <c r="AW207" s="6">
        <f>IF(OR($BJ207="",48&gt;設定!$B$3),"",IF(INDEX(原始資料!AY$2:AY$501,$BJ207)="","",INDEX(原始資料!AY$2:AY$501,$BJ207)))</f>
        <v/>
      </c>
      <c r="AX207" s="6">
        <f>IF(OR($BJ207="",49&gt;設定!$B$3),"",IF(INDEX(原始資料!AZ$2:AZ$501,$BJ207)="","",INDEX(原始資料!AZ$2:AZ$501,$BJ207)))</f>
        <v/>
      </c>
      <c r="AY207" s="6">
        <f>IF(OR($BJ207="",50&gt;設定!$B$3),"",IF(INDEX(原始資料!BA$2:BA$501,$BJ207)="","",INDEX(原始資料!BA$2:BA$501,$BJ207)))</f>
        <v/>
      </c>
      <c r="AZ207" s="6">
        <f>IF(OR($BJ207="",51&gt;設定!$B$3),"",IF(INDEX(原始資料!BB$2:BB$501,$BJ207)="","",INDEX(原始資料!BB$2:BB$501,$BJ207)))</f>
        <v/>
      </c>
      <c r="BA207" s="6">
        <f>IF(OR($BJ207="",52&gt;設定!$B$3),"",IF(INDEX(原始資料!BC$2:BC$501,$BJ207)="","",INDEX(原始資料!BC$2:BC$501,$BJ207)))</f>
        <v/>
      </c>
      <c r="BB207" s="6">
        <f>IF(OR($BJ207="",53&gt;設定!$B$3),"",IF(INDEX(原始資料!BD$2:BD$501,$BJ207)="","",INDEX(原始資料!BD$2:BD$501,$BJ207)))</f>
        <v/>
      </c>
      <c r="BC207" s="6">
        <f>IF(OR($BJ207="",54&gt;設定!$B$3),"",IF(INDEX(原始資料!BE$2:BE$501,$BJ207)="","",INDEX(原始資料!BE$2:BE$501,$BJ207)))</f>
        <v/>
      </c>
      <c r="BD207" s="6">
        <f>IF(OR($BJ207="",55&gt;設定!$B$3),"",IF(INDEX(原始資料!BF$2:BF$501,$BJ207)="","",INDEX(原始資料!BF$2:BF$501,$BJ207)))</f>
        <v/>
      </c>
      <c r="BE207" s="6">
        <f>IF(OR($BJ207="",56&gt;設定!$B$3),"",IF(INDEX(原始資料!BG$2:BG$501,$BJ207)="","",INDEX(原始資料!BG$2:BG$501,$BJ207)))</f>
        <v/>
      </c>
      <c r="BF207" s="6">
        <f>IF(OR($BJ207="",57&gt;設定!$B$3),"",IF(INDEX(原始資料!BH$2:BH$501,$BJ207)="","",INDEX(原始資料!BH$2:BH$501,$BJ207)))</f>
        <v/>
      </c>
      <c r="BG207" s="6">
        <f>IF(OR($BJ207="",58&gt;設定!$B$3),"",IF(INDEX(原始資料!BI$2:BI$501,$BJ207)="","",INDEX(原始資料!BI$2:BI$501,$BJ207)))</f>
        <v/>
      </c>
      <c r="BH207" s="6">
        <f>IF(OR($BJ207="",59&gt;設定!$B$3),"",IF(INDEX(原始資料!BJ$2:BJ$501,$BJ207)="","",INDEX(原始資料!BJ$2:BJ$501,$BJ207)))</f>
        <v/>
      </c>
      <c r="BI207" s="6">
        <f>IF(OR($BJ207="",60&gt;設定!$B$3),"",IF(INDEX(原始資料!BK$2:BK$501,$BJ207)="","",INDEX(原始資料!BK$2:BK$501,$BJ207)))</f>
        <v/>
      </c>
      <c r="BJ207" s="6">
        <f>IFERROR(MATCH(ROW()-1,判定!$H$2:$H$501,0),"")</f>
        <v/>
      </c>
    </row>
    <row r="208">
      <c r="A208" s="6">
        <f>IF($BJ208="","",INDEX(原始資料!$A$2:$A$501,$BJ208))</f>
        <v/>
      </c>
      <c r="B208" s="6">
        <f>IF(OR($BJ208="",1&gt;設定!$B$3),"",IF(INDEX(原始資料!D$2:D$501,$BJ208)="","",INDEX(原始資料!D$2:D$501,$BJ208)))</f>
        <v/>
      </c>
      <c r="C208" s="6">
        <f>IF(OR($BJ208="",2&gt;設定!$B$3),"",IF(INDEX(原始資料!E$2:E$501,$BJ208)="","",INDEX(原始資料!E$2:E$501,$BJ208)))</f>
        <v/>
      </c>
      <c r="D208" s="6">
        <f>IF(OR($BJ208="",3&gt;設定!$B$3),"",IF(INDEX(原始資料!F$2:F$501,$BJ208)="","",INDEX(原始資料!F$2:F$501,$BJ208)))</f>
        <v/>
      </c>
      <c r="E208" s="6">
        <f>IF(OR($BJ208="",4&gt;設定!$B$3),"",IF(INDEX(原始資料!G$2:G$501,$BJ208)="","",INDEX(原始資料!G$2:G$501,$BJ208)))</f>
        <v/>
      </c>
      <c r="F208" s="6">
        <f>IF(OR($BJ208="",5&gt;設定!$B$3),"",IF(INDEX(原始資料!H$2:H$501,$BJ208)="","",INDEX(原始資料!H$2:H$501,$BJ208)))</f>
        <v/>
      </c>
      <c r="G208" s="6">
        <f>IF(OR($BJ208="",6&gt;設定!$B$3),"",IF(INDEX(原始資料!I$2:I$501,$BJ208)="","",INDEX(原始資料!I$2:I$501,$BJ208)))</f>
        <v/>
      </c>
      <c r="H208" s="6">
        <f>IF(OR($BJ208="",7&gt;設定!$B$3),"",IF(INDEX(原始資料!J$2:J$501,$BJ208)="","",INDEX(原始資料!J$2:J$501,$BJ208)))</f>
        <v/>
      </c>
      <c r="I208" s="6">
        <f>IF(OR($BJ208="",8&gt;設定!$B$3),"",IF(INDEX(原始資料!K$2:K$501,$BJ208)="","",INDEX(原始資料!K$2:K$501,$BJ208)))</f>
        <v/>
      </c>
      <c r="J208" s="6">
        <f>IF(OR($BJ208="",9&gt;設定!$B$3),"",IF(INDEX(原始資料!L$2:L$501,$BJ208)="","",INDEX(原始資料!L$2:L$501,$BJ208)))</f>
        <v/>
      </c>
      <c r="K208" s="6">
        <f>IF(OR($BJ208="",10&gt;設定!$B$3),"",IF(INDEX(原始資料!M$2:M$501,$BJ208)="","",INDEX(原始資料!M$2:M$501,$BJ208)))</f>
        <v/>
      </c>
      <c r="L208" s="6">
        <f>IF(OR($BJ208="",11&gt;設定!$B$3),"",IF(INDEX(原始資料!N$2:N$501,$BJ208)="","",INDEX(原始資料!N$2:N$501,$BJ208)))</f>
        <v/>
      </c>
      <c r="M208" s="6">
        <f>IF(OR($BJ208="",12&gt;設定!$B$3),"",IF(INDEX(原始資料!O$2:O$501,$BJ208)="","",INDEX(原始資料!O$2:O$501,$BJ208)))</f>
        <v/>
      </c>
      <c r="N208" s="6">
        <f>IF(OR($BJ208="",13&gt;設定!$B$3),"",IF(INDEX(原始資料!P$2:P$501,$BJ208)="","",INDEX(原始資料!P$2:P$501,$BJ208)))</f>
        <v/>
      </c>
      <c r="O208" s="6">
        <f>IF(OR($BJ208="",14&gt;設定!$B$3),"",IF(INDEX(原始資料!Q$2:Q$501,$BJ208)="","",INDEX(原始資料!Q$2:Q$501,$BJ208)))</f>
        <v/>
      </c>
      <c r="P208" s="6">
        <f>IF(OR($BJ208="",15&gt;設定!$B$3),"",IF(INDEX(原始資料!R$2:R$501,$BJ208)="","",INDEX(原始資料!R$2:R$501,$BJ208)))</f>
        <v/>
      </c>
      <c r="Q208" s="6">
        <f>IF(OR($BJ208="",16&gt;設定!$B$3),"",IF(INDEX(原始資料!S$2:S$501,$BJ208)="","",INDEX(原始資料!S$2:S$501,$BJ208)))</f>
        <v/>
      </c>
      <c r="R208" s="6">
        <f>IF(OR($BJ208="",17&gt;設定!$B$3),"",IF(INDEX(原始資料!T$2:T$501,$BJ208)="","",INDEX(原始資料!T$2:T$501,$BJ208)))</f>
        <v/>
      </c>
      <c r="S208" s="6">
        <f>IF(OR($BJ208="",18&gt;設定!$B$3),"",IF(INDEX(原始資料!U$2:U$501,$BJ208)="","",INDEX(原始資料!U$2:U$501,$BJ208)))</f>
        <v/>
      </c>
      <c r="T208" s="6">
        <f>IF(OR($BJ208="",19&gt;設定!$B$3),"",IF(INDEX(原始資料!V$2:V$501,$BJ208)="","",INDEX(原始資料!V$2:V$501,$BJ208)))</f>
        <v/>
      </c>
      <c r="U208" s="6">
        <f>IF(OR($BJ208="",20&gt;設定!$B$3),"",IF(INDEX(原始資料!W$2:W$501,$BJ208)="","",INDEX(原始資料!W$2:W$501,$BJ208)))</f>
        <v/>
      </c>
      <c r="V208" s="6">
        <f>IF(OR($BJ208="",21&gt;設定!$B$3),"",IF(INDEX(原始資料!X$2:X$501,$BJ208)="","",INDEX(原始資料!X$2:X$501,$BJ208)))</f>
        <v/>
      </c>
      <c r="W208" s="6">
        <f>IF(OR($BJ208="",22&gt;設定!$B$3),"",IF(INDEX(原始資料!Y$2:Y$501,$BJ208)="","",INDEX(原始資料!Y$2:Y$501,$BJ208)))</f>
        <v/>
      </c>
      <c r="X208" s="6">
        <f>IF(OR($BJ208="",23&gt;設定!$B$3),"",IF(INDEX(原始資料!Z$2:Z$501,$BJ208)="","",INDEX(原始資料!Z$2:Z$501,$BJ208)))</f>
        <v/>
      </c>
      <c r="Y208" s="6">
        <f>IF(OR($BJ208="",24&gt;設定!$B$3),"",IF(INDEX(原始資料!AA$2:AA$501,$BJ208)="","",INDEX(原始資料!AA$2:AA$501,$BJ208)))</f>
        <v/>
      </c>
      <c r="Z208" s="6">
        <f>IF(OR($BJ208="",25&gt;設定!$B$3),"",IF(INDEX(原始資料!AB$2:AB$501,$BJ208)="","",INDEX(原始資料!AB$2:AB$501,$BJ208)))</f>
        <v/>
      </c>
      <c r="AA208" s="6">
        <f>IF(OR($BJ208="",26&gt;設定!$B$3),"",IF(INDEX(原始資料!AC$2:AC$501,$BJ208)="","",INDEX(原始資料!AC$2:AC$501,$BJ208)))</f>
        <v/>
      </c>
      <c r="AB208" s="6">
        <f>IF(OR($BJ208="",27&gt;設定!$B$3),"",IF(INDEX(原始資料!AD$2:AD$501,$BJ208)="","",INDEX(原始資料!AD$2:AD$501,$BJ208)))</f>
        <v/>
      </c>
      <c r="AC208" s="6">
        <f>IF(OR($BJ208="",28&gt;設定!$B$3),"",IF(INDEX(原始資料!AE$2:AE$501,$BJ208)="","",INDEX(原始資料!AE$2:AE$501,$BJ208)))</f>
        <v/>
      </c>
      <c r="AD208" s="6">
        <f>IF(OR($BJ208="",29&gt;設定!$B$3),"",IF(INDEX(原始資料!AF$2:AF$501,$BJ208)="","",INDEX(原始資料!AF$2:AF$501,$BJ208)))</f>
        <v/>
      </c>
      <c r="AE208" s="6">
        <f>IF(OR($BJ208="",30&gt;設定!$B$3),"",IF(INDEX(原始資料!AG$2:AG$501,$BJ208)="","",INDEX(原始資料!AG$2:AG$501,$BJ208)))</f>
        <v/>
      </c>
      <c r="AF208" s="6">
        <f>IF(OR($BJ208="",31&gt;設定!$B$3),"",IF(INDEX(原始資料!AH$2:AH$501,$BJ208)="","",INDEX(原始資料!AH$2:AH$501,$BJ208)))</f>
        <v/>
      </c>
      <c r="AG208" s="6">
        <f>IF(OR($BJ208="",32&gt;設定!$B$3),"",IF(INDEX(原始資料!AI$2:AI$501,$BJ208)="","",INDEX(原始資料!AI$2:AI$501,$BJ208)))</f>
        <v/>
      </c>
      <c r="AH208" s="6">
        <f>IF(OR($BJ208="",33&gt;設定!$B$3),"",IF(INDEX(原始資料!AJ$2:AJ$501,$BJ208)="","",INDEX(原始資料!AJ$2:AJ$501,$BJ208)))</f>
        <v/>
      </c>
      <c r="AI208" s="6">
        <f>IF(OR($BJ208="",34&gt;設定!$B$3),"",IF(INDEX(原始資料!AK$2:AK$501,$BJ208)="","",INDEX(原始資料!AK$2:AK$501,$BJ208)))</f>
        <v/>
      </c>
      <c r="AJ208" s="6">
        <f>IF(OR($BJ208="",35&gt;設定!$B$3),"",IF(INDEX(原始資料!AL$2:AL$501,$BJ208)="","",INDEX(原始資料!AL$2:AL$501,$BJ208)))</f>
        <v/>
      </c>
      <c r="AK208" s="6">
        <f>IF(OR($BJ208="",36&gt;設定!$B$3),"",IF(INDEX(原始資料!AM$2:AM$501,$BJ208)="","",INDEX(原始資料!AM$2:AM$501,$BJ208)))</f>
        <v/>
      </c>
      <c r="AL208" s="6">
        <f>IF(OR($BJ208="",37&gt;設定!$B$3),"",IF(INDEX(原始資料!AN$2:AN$501,$BJ208)="","",INDEX(原始資料!AN$2:AN$501,$BJ208)))</f>
        <v/>
      </c>
      <c r="AM208" s="6">
        <f>IF(OR($BJ208="",38&gt;設定!$B$3),"",IF(INDEX(原始資料!AO$2:AO$501,$BJ208)="","",INDEX(原始資料!AO$2:AO$501,$BJ208)))</f>
        <v/>
      </c>
      <c r="AN208" s="6">
        <f>IF(OR($BJ208="",39&gt;設定!$B$3),"",IF(INDEX(原始資料!AP$2:AP$501,$BJ208)="","",INDEX(原始資料!AP$2:AP$501,$BJ208)))</f>
        <v/>
      </c>
      <c r="AO208" s="6">
        <f>IF(OR($BJ208="",40&gt;設定!$B$3),"",IF(INDEX(原始資料!AQ$2:AQ$501,$BJ208)="","",INDEX(原始資料!AQ$2:AQ$501,$BJ208)))</f>
        <v/>
      </c>
      <c r="AP208" s="6">
        <f>IF(OR($BJ208="",41&gt;設定!$B$3),"",IF(INDEX(原始資料!AR$2:AR$501,$BJ208)="","",INDEX(原始資料!AR$2:AR$501,$BJ208)))</f>
        <v/>
      </c>
      <c r="AQ208" s="6">
        <f>IF(OR($BJ208="",42&gt;設定!$B$3),"",IF(INDEX(原始資料!AS$2:AS$501,$BJ208)="","",INDEX(原始資料!AS$2:AS$501,$BJ208)))</f>
        <v/>
      </c>
      <c r="AR208" s="6">
        <f>IF(OR($BJ208="",43&gt;設定!$B$3),"",IF(INDEX(原始資料!AT$2:AT$501,$BJ208)="","",INDEX(原始資料!AT$2:AT$501,$BJ208)))</f>
        <v/>
      </c>
      <c r="AS208" s="6">
        <f>IF(OR($BJ208="",44&gt;設定!$B$3),"",IF(INDEX(原始資料!AU$2:AU$501,$BJ208)="","",INDEX(原始資料!AU$2:AU$501,$BJ208)))</f>
        <v/>
      </c>
      <c r="AT208" s="6">
        <f>IF(OR($BJ208="",45&gt;設定!$B$3),"",IF(INDEX(原始資料!AV$2:AV$501,$BJ208)="","",INDEX(原始資料!AV$2:AV$501,$BJ208)))</f>
        <v/>
      </c>
      <c r="AU208" s="6">
        <f>IF(OR($BJ208="",46&gt;設定!$B$3),"",IF(INDEX(原始資料!AW$2:AW$501,$BJ208)="","",INDEX(原始資料!AW$2:AW$501,$BJ208)))</f>
        <v/>
      </c>
      <c r="AV208" s="6">
        <f>IF(OR($BJ208="",47&gt;設定!$B$3),"",IF(INDEX(原始資料!AX$2:AX$501,$BJ208)="","",INDEX(原始資料!AX$2:AX$501,$BJ208)))</f>
        <v/>
      </c>
      <c r="AW208" s="6">
        <f>IF(OR($BJ208="",48&gt;設定!$B$3),"",IF(INDEX(原始資料!AY$2:AY$501,$BJ208)="","",INDEX(原始資料!AY$2:AY$501,$BJ208)))</f>
        <v/>
      </c>
      <c r="AX208" s="6">
        <f>IF(OR($BJ208="",49&gt;設定!$B$3),"",IF(INDEX(原始資料!AZ$2:AZ$501,$BJ208)="","",INDEX(原始資料!AZ$2:AZ$501,$BJ208)))</f>
        <v/>
      </c>
      <c r="AY208" s="6">
        <f>IF(OR($BJ208="",50&gt;設定!$B$3),"",IF(INDEX(原始資料!BA$2:BA$501,$BJ208)="","",INDEX(原始資料!BA$2:BA$501,$BJ208)))</f>
        <v/>
      </c>
      <c r="AZ208" s="6">
        <f>IF(OR($BJ208="",51&gt;設定!$B$3),"",IF(INDEX(原始資料!BB$2:BB$501,$BJ208)="","",INDEX(原始資料!BB$2:BB$501,$BJ208)))</f>
        <v/>
      </c>
      <c r="BA208" s="6">
        <f>IF(OR($BJ208="",52&gt;設定!$B$3),"",IF(INDEX(原始資料!BC$2:BC$501,$BJ208)="","",INDEX(原始資料!BC$2:BC$501,$BJ208)))</f>
        <v/>
      </c>
      <c r="BB208" s="6">
        <f>IF(OR($BJ208="",53&gt;設定!$B$3),"",IF(INDEX(原始資料!BD$2:BD$501,$BJ208)="","",INDEX(原始資料!BD$2:BD$501,$BJ208)))</f>
        <v/>
      </c>
      <c r="BC208" s="6">
        <f>IF(OR($BJ208="",54&gt;設定!$B$3),"",IF(INDEX(原始資料!BE$2:BE$501,$BJ208)="","",INDEX(原始資料!BE$2:BE$501,$BJ208)))</f>
        <v/>
      </c>
      <c r="BD208" s="6">
        <f>IF(OR($BJ208="",55&gt;設定!$B$3),"",IF(INDEX(原始資料!BF$2:BF$501,$BJ208)="","",INDEX(原始資料!BF$2:BF$501,$BJ208)))</f>
        <v/>
      </c>
      <c r="BE208" s="6">
        <f>IF(OR($BJ208="",56&gt;設定!$B$3),"",IF(INDEX(原始資料!BG$2:BG$501,$BJ208)="","",INDEX(原始資料!BG$2:BG$501,$BJ208)))</f>
        <v/>
      </c>
      <c r="BF208" s="6">
        <f>IF(OR($BJ208="",57&gt;設定!$B$3),"",IF(INDEX(原始資料!BH$2:BH$501,$BJ208)="","",INDEX(原始資料!BH$2:BH$501,$BJ208)))</f>
        <v/>
      </c>
      <c r="BG208" s="6">
        <f>IF(OR($BJ208="",58&gt;設定!$B$3),"",IF(INDEX(原始資料!BI$2:BI$501,$BJ208)="","",INDEX(原始資料!BI$2:BI$501,$BJ208)))</f>
        <v/>
      </c>
      <c r="BH208" s="6">
        <f>IF(OR($BJ208="",59&gt;設定!$B$3),"",IF(INDEX(原始資料!BJ$2:BJ$501,$BJ208)="","",INDEX(原始資料!BJ$2:BJ$501,$BJ208)))</f>
        <v/>
      </c>
      <c r="BI208" s="6">
        <f>IF(OR($BJ208="",60&gt;設定!$B$3),"",IF(INDEX(原始資料!BK$2:BK$501,$BJ208)="","",INDEX(原始資料!BK$2:BK$501,$BJ208)))</f>
        <v/>
      </c>
      <c r="BJ208" s="6">
        <f>IFERROR(MATCH(ROW()-1,判定!$H$2:$H$501,0),"")</f>
        <v/>
      </c>
    </row>
    <row r="209">
      <c r="A209" s="6">
        <f>IF($BJ209="","",INDEX(原始資料!$A$2:$A$501,$BJ209))</f>
        <v/>
      </c>
      <c r="B209" s="6">
        <f>IF(OR($BJ209="",1&gt;設定!$B$3),"",IF(INDEX(原始資料!D$2:D$501,$BJ209)="","",INDEX(原始資料!D$2:D$501,$BJ209)))</f>
        <v/>
      </c>
      <c r="C209" s="6">
        <f>IF(OR($BJ209="",2&gt;設定!$B$3),"",IF(INDEX(原始資料!E$2:E$501,$BJ209)="","",INDEX(原始資料!E$2:E$501,$BJ209)))</f>
        <v/>
      </c>
      <c r="D209" s="6">
        <f>IF(OR($BJ209="",3&gt;設定!$B$3),"",IF(INDEX(原始資料!F$2:F$501,$BJ209)="","",INDEX(原始資料!F$2:F$501,$BJ209)))</f>
        <v/>
      </c>
      <c r="E209" s="6">
        <f>IF(OR($BJ209="",4&gt;設定!$B$3),"",IF(INDEX(原始資料!G$2:G$501,$BJ209)="","",INDEX(原始資料!G$2:G$501,$BJ209)))</f>
        <v/>
      </c>
      <c r="F209" s="6">
        <f>IF(OR($BJ209="",5&gt;設定!$B$3),"",IF(INDEX(原始資料!H$2:H$501,$BJ209)="","",INDEX(原始資料!H$2:H$501,$BJ209)))</f>
        <v/>
      </c>
      <c r="G209" s="6">
        <f>IF(OR($BJ209="",6&gt;設定!$B$3),"",IF(INDEX(原始資料!I$2:I$501,$BJ209)="","",INDEX(原始資料!I$2:I$501,$BJ209)))</f>
        <v/>
      </c>
      <c r="H209" s="6">
        <f>IF(OR($BJ209="",7&gt;設定!$B$3),"",IF(INDEX(原始資料!J$2:J$501,$BJ209)="","",INDEX(原始資料!J$2:J$501,$BJ209)))</f>
        <v/>
      </c>
      <c r="I209" s="6">
        <f>IF(OR($BJ209="",8&gt;設定!$B$3),"",IF(INDEX(原始資料!K$2:K$501,$BJ209)="","",INDEX(原始資料!K$2:K$501,$BJ209)))</f>
        <v/>
      </c>
      <c r="J209" s="6">
        <f>IF(OR($BJ209="",9&gt;設定!$B$3),"",IF(INDEX(原始資料!L$2:L$501,$BJ209)="","",INDEX(原始資料!L$2:L$501,$BJ209)))</f>
        <v/>
      </c>
      <c r="K209" s="6">
        <f>IF(OR($BJ209="",10&gt;設定!$B$3),"",IF(INDEX(原始資料!M$2:M$501,$BJ209)="","",INDEX(原始資料!M$2:M$501,$BJ209)))</f>
        <v/>
      </c>
      <c r="L209" s="6">
        <f>IF(OR($BJ209="",11&gt;設定!$B$3),"",IF(INDEX(原始資料!N$2:N$501,$BJ209)="","",INDEX(原始資料!N$2:N$501,$BJ209)))</f>
        <v/>
      </c>
      <c r="M209" s="6">
        <f>IF(OR($BJ209="",12&gt;設定!$B$3),"",IF(INDEX(原始資料!O$2:O$501,$BJ209)="","",INDEX(原始資料!O$2:O$501,$BJ209)))</f>
        <v/>
      </c>
      <c r="N209" s="6">
        <f>IF(OR($BJ209="",13&gt;設定!$B$3),"",IF(INDEX(原始資料!P$2:P$501,$BJ209)="","",INDEX(原始資料!P$2:P$501,$BJ209)))</f>
        <v/>
      </c>
      <c r="O209" s="6">
        <f>IF(OR($BJ209="",14&gt;設定!$B$3),"",IF(INDEX(原始資料!Q$2:Q$501,$BJ209)="","",INDEX(原始資料!Q$2:Q$501,$BJ209)))</f>
        <v/>
      </c>
      <c r="P209" s="6">
        <f>IF(OR($BJ209="",15&gt;設定!$B$3),"",IF(INDEX(原始資料!R$2:R$501,$BJ209)="","",INDEX(原始資料!R$2:R$501,$BJ209)))</f>
        <v/>
      </c>
      <c r="Q209" s="6">
        <f>IF(OR($BJ209="",16&gt;設定!$B$3),"",IF(INDEX(原始資料!S$2:S$501,$BJ209)="","",INDEX(原始資料!S$2:S$501,$BJ209)))</f>
        <v/>
      </c>
      <c r="R209" s="6">
        <f>IF(OR($BJ209="",17&gt;設定!$B$3),"",IF(INDEX(原始資料!T$2:T$501,$BJ209)="","",INDEX(原始資料!T$2:T$501,$BJ209)))</f>
        <v/>
      </c>
      <c r="S209" s="6">
        <f>IF(OR($BJ209="",18&gt;設定!$B$3),"",IF(INDEX(原始資料!U$2:U$501,$BJ209)="","",INDEX(原始資料!U$2:U$501,$BJ209)))</f>
        <v/>
      </c>
      <c r="T209" s="6">
        <f>IF(OR($BJ209="",19&gt;設定!$B$3),"",IF(INDEX(原始資料!V$2:V$501,$BJ209)="","",INDEX(原始資料!V$2:V$501,$BJ209)))</f>
        <v/>
      </c>
      <c r="U209" s="6">
        <f>IF(OR($BJ209="",20&gt;設定!$B$3),"",IF(INDEX(原始資料!W$2:W$501,$BJ209)="","",INDEX(原始資料!W$2:W$501,$BJ209)))</f>
        <v/>
      </c>
      <c r="V209" s="6">
        <f>IF(OR($BJ209="",21&gt;設定!$B$3),"",IF(INDEX(原始資料!X$2:X$501,$BJ209)="","",INDEX(原始資料!X$2:X$501,$BJ209)))</f>
        <v/>
      </c>
      <c r="W209" s="6">
        <f>IF(OR($BJ209="",22&gt;設定!$B$3),"",IF(INDEX(原始資料!Y$2:Y$501,$BJ209)="","",INDEX(原始資料!Y$2:Y$501,$BJ209)))</f>
        <v/>
      </c>
      <c r="X209" s="6">
        <f>IF(OR($BJ209="",23&gt;設定!$B$3),"",IF(INDEX(原始資料!Z$2:Z$501,$BJ209)="","",INDEX(原始資料!Z$2:Z$501,$BJ209)))</f>
        <v/>
      </c>
      <c r="Y209" s="6">
        <f>IF(OR($BJ209="",24&gt;設定!$B$3),"",IF(INDEX(原始資料!AA$2:AA$501,$BJ209)="","",INDEX(原始資料!AA$2:AA$501,$BJ209)))</f>
        <v/>
      </c>
      <c r="Z209" s="6">
        <f>IF(OR($BJ209="",25&gt;設定!$B$3),"",IF(INDEX(原始資料!AB$2:AB$501,$BJ209)="","",INDEX(原始資料!AB$2:AB$501,$BJ209)))</f>
        <v/>
      </c>
      <c r="AA209" s="6">
        <f>IF(OR($BJ209="",26&gt;設定!$B$3),"",IF(INDEX(原始資料!AC$2:AC$501,$BJ209)="","",INDEX(原始資料!AC$2:AC$501,$BJ209)))</f>
        <v/>
      </c>
      <c r="AB209" s="6">
        <f>IF(OR($BJ209="",27&gt;設定!$B$3),"",IF(INDEX(原始資料!AD$2:AD$501,$BJ209)="","",INDEX(原始資料!AD$2:AD$501,$BJ209)))</f>
        <v/>
      </c>
      <c r="AC209" s="6">
        <f>IF(OR($BJ209="",28&gt;設定!$B$3),"",IF(INDEX(原始資料!AE$2:AE$501,$BJ209)="","",INDEX(原始資料!AE$2:AE$501,$BJ209)))</f>
        <v/>
      </c>
      <c r="AD209" s="6">
        <f>IF(OR($BJ209="",29&gt;設定!$B$3),"",IF(INDEX(原始資料!AF$2:AF$501,$BJ209)="","",INDEX(原始資料!AF$2:AF$501,$BJ209)))</f>
        <v/>
      </c>
      <c r="AE209" s="6">
        <f>IF(OR($BJ209="",30&gt;設定!$B$3),"",IF(INDEX(原始資料!AG$2:AG$501,$BJ209)="","",INDEX(原始資料!AG$2:AG$501,$BJ209)))</f>
        <v/>
      </c>
      <c r="AF209" s="6">
        <f>IF(OR($BJ209="",31&gt;設定!$B$3),"",IF(INDEX(原始資料!AH$2:AH$501,$BJ209)="","",INDEX(原始資料!AH$2:AH$501,$BJ209)))</f>
        <v/>
      </c>
      <c r="AG209" s="6">
        <f>IF(OR($BJ209="",32&gt;設定!$B$3),"",IF(INDEX(原始資料!AI$2:AI$501,$BJ209)="","",INDEX(原始資料!AI$2:AI$501,$BJ209)))</f>
        <v/>
      </c>
      <c r="AH209" s="6">
        <f>IF(OR($BJ209="",33&gt;設定!$B$3),"",IF(INDEX(原始資料!AJ$2:AJ$501,$BJ209)="","",INDEX(原始資料!AJ$2:AJ$501,$BJ209)))</f>
        <v/>
      </c>
      <c r="AI209" s="6">
        <f>IF(OR($BJ209="",34&gt;設定!$B$3),"",IF(INDEX(原始資料!AK$2:AK$501,$BJ209)="","",INDEX(原始資料!AK$2:AK$501,$BJ209)))</f>
        <v/>
      </c>
      <c r="AJ209" s="6">
        <f>IF(OR($BJ209="",35&gt;設定!$B$3),"",IF(INDEX(原始資料!AL$2:AL$501,$BJ209)="","",INDEX(原始資料!AL$2:AL$501,$BJ209)))</f>
        <v/>
      </c>
      <c r="AK209" s="6">
        <f>IF(OR($BJ209="",36&gt;設定!$B$3),"",IF(INDEX(原始資料!AM$2:AM$501,$BJ209)="","",INDEX(原始資料!AM$2:AM$501,$BJ209)))</f>
        <v/>
      </c>
      <c r="AL209" s="6">
        <f>IF(OR($BJ209="",37&gt;設定!$B$3),"",IF(INDEX(原始資料!AN$2:AN$501,$BJ209)="","",INDEX(原始資料!AN$2:AN$501,$BJ209)))</f>
        <v/>
      </c>
      <c r="AM209" s="6">
        <f>IF(OR($BJ209="",38&gt;設定!$B$3),"",IF(INDEX(原始資料!AO$2:AO$501,$BJ209)="","",INDEX(原始資料!AO$2:AO$501,$BJ209)))</f>
        <v/>
      </c>
      <c r="AN209" s="6">
        <f>IF(OR($BJ209="",39&gt;設定!$B$3),"",IF(INDEX(原始資料!AP$2:AP$501,$BJ209)="","",INDEX(原始資料!AP$2:AP$501,$BJ209)))</f>
        <v/>
      </c>
      <c r="AO209" s="6">
        <f>IF(OR($BJ209="",40&gt;設定!$B$3),"",IF(INDEX(原始資料!AQ$2:AQ$501,$BJ209)="","",INDEX(原始資料!AQ$2:AQ$501,$BJ209)))</f>
        <v/>
      </c>
      <c r="AP209" s="6">
        <f>IF(OR($BJ209="",41&gt;設定!$B$3),"",IF(INDEX(原始資料!AR$2:AR$501,$BJ209)="","",INDEX(原始資料!AR$2:AR$501,$BJ209)))</f>
        <v/>
      </c>
      <c r="AQ209" s="6">
        <f>IF(OR($BJ209="",42&gt;設定!$B$3),"",IF(INDEX(原始資料!AS$2:AS$501,$BJ209)="","",INDEX(原始資料!AS$2:AS$501,$BJ209)))</f>
        <v/>
      </c>
      <c r="AR209" s="6">
        <f>IF(OR($BJ209="",43&gt;設定!$B$3),"",IF(INDEX(原始資料!AT$2:AT$501,$BJ209)="","",INDEX(原始資料!AT$2:AT$501,$BJ209)))</f>
        <v/>
      </c>
      <c r="AS209" s="6">
        <f>IF(OR($BJ209="",44&gt;設定!$B$3),"",IF(INDEX(原始資料!AU$2:AU$501,$BJ209)="","",INDEX(原始資料!AU$2:AU$501,$BJ209)))</f>
        <v/>
      </c>
      <c r="AT209" s="6">
        <f>IF(OR($BJ209="",45&gt;設定!$B$3),"",IF(INDEX(原始資料!AV$2:AV$501,$BJ209)="","",INDEX(原始資料!AV$2:AV$501,$BJ209)))</f>
        <v/>
      </c>
      <c r="AU209" s="6">
        <f>IF(OR($BJ209="",46&gt;設定!$B$3),"",IF(INDEX(原始資料!AW$2:AW$501,$BJ209)="","",INDEX(原始資料!AW$2:AW$501,$BJ209)))</f>
        <v/>
      </c>
      <c r="AV209" s="6">
        <f>IF(OR($BJ209="",47&gt;設定!$B$3),"",IF(INDEX(原始資料!AX$2:AX$501,$BJ209)="","",INDEX(原始資料!AX$2:AX$501,$BJ209)))</f>
        <v/>
      </c>
      <c r="AW209" s="6">
        <f>IF(OR($BJ209="",48&gt;設定!$B$3),"",IF(INDEX(原始資料!AY$2:AY$501,$BJ209)="","",INDEX(原始資料!AY$2:AY$501,$BJ209)))</f>
        <v/>
      </c>
      <c r="AX209" s="6">
        <f>IF(OR($BJ209="",49&gt;設定!$B$3),"",IF(INDEX(原始資料!AZ$2:AZ$501,$BJ209)="","",INDEX(原始資料!AZ$2:AZ$501,$BJ209)))</f>
        <v/>
      </c>
      <c r="AY209" s="6">
        <f>IF(OR($BJ209="",50&gt;設定!$B$3),"",IF(INDEX(原始資料!BA$2:BA$501,$BJ209)="","",INDEX(原始資料!BA$2:BA$501,$BJ209)))</f>
        <v/>
      </c>
      <c r="AZ209" s="6">
        <f>IF(OR($BJ209="",51&gt;設定!$B$3),"",IF(INDEX(原始資料!BB$2:BB$501,$BJ209)="","",INDEX(原始資料!BB$2:BB$501,$BJ209)))</f>
        <v/>
      </c>
      <c r="BA209" s="6">
        <f>IF(OR($BJ209="",52&gt;設定!$B$3),"",IF(INDEX(原始資料!BC$2:BC$501,$BJ209)="","",INDEX(原始資料!BC$2:BC$501,$BJ209)))</f>
        <v/>
      </c>
      <c r="BB209" s="6">
        <f>IF(OR($BJ209="",53&gt;設定!$B$3),"",IF(INDEX(原始資料!BD$2:BD$501,$BJ209)="","",INDEX(原始資料!BD$2:BD$501,$BJ209)))</f>
        <v/>
      </c>
      <c r="BC209" s="6">
        <f>IF(OR($BJ209="",54&gt;設定!$B$3),"",IF(INDEX(原始資料!BE$2:BE$501,$BJ209)="","",INDEX(原始資料!BE$2:BE$501,$BJ209)))</f>
        <v/>
      </c>
      <c r="BD209" s="6">
        <f>IF(OR($BJ209="",55&gt;設定!$B$3),"",IF(INDEX(原始資料!BF$2:BF$501,$BJ209)="","",INDEX(原始資料!BF$2:BF$501,$BJ209)))</f>
        <v/>
      </c>
      <c r="BE209" s="6">
        <f>IF(OR($BJ209="",56&gt;設定!$B$3),"",IF(INDEX(原始資料!BG$2:BG$501,$BJ209)="","",INDEX(原始資料!BG$2:BG$501,$BJ209)))</f>
        <v/>
      </c>
      <c r="BF209" s="6">
        <f>IF(OR($BJ209="",57&gt;設定!$B$3),"",IF(INDEX(原始資料!BH$2:BH$501,$BJ209)="","",INDEX(原始資料!BH$2:BH$501,$BJ209)))</f>
        <v/>
      </c>
      <c r="BG209" s="6">
        <f>IF(OR($BJ209="",58&gt;設定!$B$3),"",IF(INDEX(原始資料!BI$2:BI$501,$BJ209)="","",INDEX(原始資料!BI$2:BI$501,$BJ209)))</f>
        <v/>
      </c>
      <c r="BH209" s="6">
        <f>IF(OR($BJ209="",59&gt;設定!$B$3),"",IF(INDEX(原始資料!BJ$2:BJ$501,$BJ209)="","",INDEX(原始資料!BJ$2:BJ$501,$BJ209)))</f>
        <v/>
      </c>
      <c r="BI209" s="6">
        <f>IF(OR($BJ209="",60&gt;設定!$B$3),"",IF(INDEX(原始資料!BK$2:BK$501,$BJ209)="","",INDEX(原始資料!BK$2:BK$501,$BJ209)))</f>
        <v/>
      </c>
      <c r="BJ209" s="6">
        <f>IFERROR(MATCH(ROW()-1,判定!$H$2:$H$501,0),"")</f>
        <v/>
      </c>
    </row>
    <row r="210">
      <c r="A210" s="6">
        <f>IF($BJ210="","",INDEX(原始資料!$A$2:$A$501,$BJ210))</f>
        <v/>
      </c>
      <c r="B210" s="6">
        <f>IF(OR($BJ210="",1&gt;設定!$B$3),"",IF(INDEX(原始資料!D$2:D$501,$BJ210)="","",INDEX(原始資料!D$2:D$501,$BJ210)))</f>
        <v/>
      </c>
      <c r="C210" s="6">
        <f>IF(OR($BJ210="",2&gt;設定!$B$3),"",IF(INDEX(原始資料!E$2:E$501,$BJ210)="","",INDEX(原始資料!E$2:E$501,$BJ210)))</f>
        <v/>
      </c>
      <c r="D210" s="6">
        <f>IF(OR($BJ210="",3&gt;設定!$B$3),"",IF(INDEX(原始資料!F$2:F$501,$BJ210)="","",INDEX(原始資料!F$2:F$501,$BJ210)))</f>
        <v/>
      </c>
      <c r="E210" s="6">
        <f>IF(OR($BJ210="",4&gt;設定!$B$3),"",IF(INDEX(原始資料!G$2:G$501,$BJ210)="","",INDEX(原始資料!G$2:G$501,$BJ210)))</f>
        <v/>
      </c>
      <c r="F210" s="6">
        <f>IF(OR($BJ210="",5&gt;設定!$B$3),"",IF(INDEX(原始資料!H$2:H$501,$BJ210)="","",INDEX(原始資料!H$2:H$501,$BJ210)))</f>
        <v/>
      </c>
      <c r="G210" s="6">
        <f>IF(OR($BJ210="",6&gt;設定!$B$3),"",IF(INDEX(原始資料!I$2:I$501,$BJ210)="","",INDEX(原始資料!I$2:I$501,$BJ210)))</f>
        <v/>
      </c>
      <c r="H210" s="6">
        <f>IF(OR($BJ210="",7&gt;設定!$B$3),"",IF(INDEX(原始資料!J$2:J$501,$BJ210)="","",INDEX(原始資料!J$2:J$501,$BJ210)))</f>
        <v/>
      </c>
      <c r="I210" s="6">
        <f>IF(OR($BJ210="",8&gt;設定!$B$3),"",IF(INDEX(原始資料!K$2:K$501,$BJ210)="","",INDEX(原始資料!K$2:K$501,$BJ210)))</f>
        <v/>
      </c>
      <c r="J210" s="6">
        <f>IF(OR($BJ210="",9&gt;設定!$B$3),"",IF(INDEX(原始資料!L$2:L$501,$BJ210)="","",INDEX(原始資料!L$2:L$501,$BJ210)))</f>
        <v/>
      </c>
      <c r="K210" s="6">
        <f>IF(OR($BJ210="",10&gt;設定!$B$3),"",IF(INDEX(原始資料!M$2:M$501,$BJ210)="","",INDEX(原始資料!M$2:M$501,$BJ210)))</f>
        <v/>
      </c>
      <c r="L210" s="6">
        <f>IF(OR($BJ210="",11&gt;設定!$B$3),"",IF(INDEX(原始資料!N$2:N$501,$BJ210)="","",INDEX(原始資料!N$2:N$501,$BJ210)))</f>
        <v/>
      </c>
      <c r="M210" s="6">
        <f>IF(OR($BJ210="",12&gt;設定!$B$3),"",IF(INDEX(原始資料!O$2:O$501,$BJ210)="","",INDEX(原始資料!O$2:O$501,$BJ210)))</f>
        <v/>
      </c>
      <c r="N210" s="6">
        <f>IF(OR($BJ210="",13&gt;設定!$B$3),"",IF(INDEX(原始資料!P$2:P$501,$BJ210)="","",INDEX(原始資料!P$2:P$501,$BJ210)))</f>
        <v/>
      </c>
      <c r="O210" s="6">
        <f>IF(OR($BJ210="",14&gt;設定!$B$3),"",IF(INDEX(原始資料!Q$2:Q$501,$BJ210)="","",INDEX(原始資料!Q$2:Q$501,$BJ210)))</f>
        <v/>
      </c>
      <c r="P210" s="6">
        <f>IF(OR($BJ210="",15&gt;設定!$B$3),"",IF(INDEX(原始資料!R$2:R$501,$BJ210)="","",INDEX(原始資料!R$2:R$501,$BJ210)))</f>
        <v/>
      </c>
      <c r="Q210" s="6">
        <f>IF(OR($BJ210="",16&gt;設定!$B$3),"",IF(INDEX(原始資料!S$2:S$501,$BJ210)="","",INDEX(原始資料!S$2:S$501,$BJ210)))</f>
        <v/>
      </c>
      <c r="R210" s="6">
        <f>IF(OR($BJ210="",17&gt;設定!$B$3),"",IF(INDEX(原始資料!T$2:T$501,$BJ210)="","",INDEX(原始資料!T$2:T$501,$BJ210)))</f>
        <v/>
      </c>
      <c r="S210" s="6">
        <f>IF(OR($BJ210="",18&gt;設定!$B$3),"",IF(INDEX(原始資料!U$2:U$501,$BJ210)="","",INDEX(原始資料!U$2:U$501,$BJ210)))</f>
        <v/>
      </c>
      <c r="T210" s="6">
        <f>IF(OR($BJ210="",19&gt;設定!$B$3),"",IF(INDEX(原始資料!V$2:V$501,$BJ210)="","",INDEX(原始資料!V$2:V$501,$BJ210)))</f>
        <v/>
      </c>
      <c r="U210" s="6">
        <f>IF(OR($BJ210="",20&gt;設定!$B$3),"",IF(INDEX(原始資料!W$2:W$501,$BJ210)="","",INDEX(原始資料!W$2:W$501,$BJ210)))</f>
        <v/>
      </c>
      <c r="V210" s="6">
        <f>IF(OR($BJ210="",21&gt;設定!$B$3),"",IF(INDEX(原始資料!X$2:X$501,$BJ210)="","",INDEX(原始資料!X$2:X$501,$BJ210)))</f>
        <v/>
      </c>
      <c r="W210" s="6">
        <f>IF(OR($BJ210="",22&gt;設定!$B$3),"",IF(INDEX(原始資料!Y$2:Y$501,$BJ210)="","",INDEX(原始資料!Y$2:Y$501,$BJ210)))</f>
        <v/>
      </c>
      <c r="X210" s="6">
        <f>IF(OR($BJ210="",23&gt;設定!$B$3),"",IF(INDEX(原始資料!Z$2:Z$501,$BJ210)="","",INDEX(原始資料!Z$2:Z$501,$BJ210)))</f>
        <v/>
      </c>
      <c r="Y210" s="6">
        <f>IF(OR($BJ210="",24&gt;設定!$B$3),"",IF(INDEX(原始資料!AA$2:AA$501,$BJ210)="","",INDEX(原始資料!AA$2:AA$501,$BJ210)))</f>
        <v/>
      </c>
      <c r="Z210" s="6">
        <f>IF(OR($BJ210="",25&gt;設定!$B$3),"",IF(INDEX(原始資料!AB$2:AB$501,$BJ210)="","",INDEX(原始資料!AB$2:AB$501,$BJ210)))</f>
        <v/>
      </c>
      <c r="AA210" s="6">
        <f>IF(OR($BJ210="",26&gt;設定!$B$3),"",IF(INDEX(原始資料!AC$2:AC$501,$BJ210)="","",INDEX(原始資料!AC$2:AC$501,$BJ210)))</f>
        <v/>
      </c>
      <c r="AB210" s="6">
        <f>IF(OR($BJ210="",27&gt;設定!$B$3),"",IF(INDEX(原始資料!AD$2:AD$501,$BJ210)="","",INDEX(原始資料!AD$2:AD$501,$BJ210)))</f>
        <v/>
      </c>
      <c r="AC210" s="6">
        <f>IF(OR($BJ210="",28&gt;設定!$B$3),"",IF(INDEX(原始資料!AE$2:AE$501,$BJ210)="","",INDEX(原始資料!AE$2:AE$501,$BJ210)))</f>
        <v/>
      </c>
      <c r="AD210" s="6">
        <f>IF(OR($BJ210="",29&gt;設定!$B$3),"",IF(INDEX(原始資料!AF$2:AF$501,$BJ210)="","",INDEX(原始資料!AF$2:AF$501,$BJ210)))</f>
        <v/>
      </c>
      <c r="AE210" s="6">
        <f>IF(OR($BJ210="",30&gt;設定!$B$3),"",IF(INDEX(原始資料!AG$2:AG$501,$BJ210)="","",INDEX(原始資料!AG$2:AG$501,$BJ210)))</f>
        <v/>
      </c>
      <c r="AF210" s="6">
        <f>IF(OR($BJ210="",31&gt;設定!$B$3),"",IF(INDEX(原始資料!AH$2:AH$501,$BJ210)="","",INDEX(原始資料!AH$2:AH$501,$BJ210)))</f>
        <v/>
      </c>
      <c r="AG210" s="6">
        <f>IF(OR($BJ210="",32&gt;設定!$B$3),"",IF(INDEX(原始資料!AI$2:AI$501,$BJ210)="","",INDEX(原始資料!AI$2:AI$501,$BJ210)))</f>
        <v/>
      </c>
      <c r="AH210" s="6">
        <f>IF(OR($BJ210="",33&gt;設定!$B$3),"",IF(INDEX(原始資料!AJ$2:AJ$501,$BJ210)="","",INDEX(原始資料!AJ$2:AJ$501,$BJ210)))</f>
        <v/>
      </c>
      <c r="AI210" s="6">
        <f>IF(OR($BJ210="",34&gt;設定!$B$3),"",IF(INDEX(原始資料!AK$2:AK$501,$BJ210)="","",INDEX(原始資料!AK$2:AK$501,$BJ210)))</f>
        <v/>
      </c>
      <c r="AJ210" s="6">
        <f>IF(OR($BJ210="",35&gt;設定!$B$3),"",IF(INDEX(原始資料!AL$2:AL$501,$BJ210)="","",INDEX(原始資料!AL$2:AL$501,$BJ210)))</f>
        <v/>
      </c>
      <c r="AK210" s="6">
        <f>IF(OR($BJ210="",36&gt;設定!$B$3),"",IF(INDEX(原始資料!AM$2:AM$501,$BJ210)="","",INDEX(原始資料!AM$2:AM$501,$BJ210)))</f>
        <v/>
      </c>
      <c r="AL210" s="6">
        <f>IF(OR($BJ210="",37&gt;設定!$B$3),"",IF(INDEX(原始資料!AN$2:AN$501,$BJ210)="","",INDEX(原始資料!AN$2:AN$501,$BJ210)))</f>
        <v/>
      </c>
      <c r="AM210" s="6">
        <f>IF(OR($BJ210="",38&gt;設定!$B$3),"",IF(INDEX(原始資料!AO$2:AO$501,$BJ210)="","",INDEX(原始資料!AO$2:AO$501,$BJ210)))</f>
        <v/>
      </c>
      <c r="AN210" s="6">
        <f>IF(OR($BJ210="",39&gt;設定!$B$3),"",IF(INDEX(原始資料!AP$2:AP$501,$BJ210)="","",INDEX(原始資料!AP$2:AP$501,$BJ210)))</f>
        <v/>
      </c>
      <c r="AO210" s="6">
        <f>IF(OR($BJ210="",40&gt;設定!$B$3),"",IF(INDEX(原始資料!AQ$2:AQ$501,$BJ210)="","",INDEX(原始資料!AQ$2:AQ$501,$BJ210)))</f>
        <v/>
      </c>
      <c r="AP210" s="6">
        <f>IF(OR($BJ210="",41&gt;設定!$B$3),"",IF(INDEX(原始資料!AR$2:AR$501,$BJ210)="","",INDEX(原始資料!AR$2:AR$501,$BJ210)))</f>
        <v/>
      </c>
      <c r="AQ210" s="6">
        <f>IF(OR($BJ210="",42&gt;設定!$B$3),"",IF(INDEX(原始資料!AS$2:AS$501,$BJ210)="","",INDEX(原始資料!AS$2:AS$501,$BJ210)))</f>
        <v/>
      </c>
      <c r="AR210" s="6">
        <f>IF(OR($BJ210="",43&gt;設定!$B$3),"",IF(INDEX(原始資料!AT$2:AT$501,$BJ210)="","",INDEX(原始資料!AT$2:AT$501,$BJ210)))</f>
        <v/>
      </c>
      <c r="AS210" s="6">
        <f>IF(OR($BJ210="",44&gt;設定!$B$3),"",IF(INDEX(原始資料!AU$2:AU$501,$BJ210)="","",INDEX(原始資料!AU$2:AU$501,$BJ210)))</f>
        <v/>
      </c>
      <c r="AT210" s="6">
        <f>IF(OR($BJ210="",45&gt;設定!$B$3),"",IF(INDEX(原始資料!AV$2:AV$501,$BJ210)="","",INDEX(原始資料!AV$2:AV$501,$BJ210)))</f>
        <v/>
      </c>
      <c r="AU210" s="6">
        <f>IF(OR($BJ210="",46&gt;設定!$B$3),"",IF(INDEX(原始資料!AW$2:AW$501,$BJ210)="","",INDEX(原始資料!AW$2:AW$501,$BJ210)))</f>
        <v/>
      </c>
      <c r="AV210" s="6">
        <f>IF(OR($BJ210="",47&gt;設定!$B$3),"",IF(INDEX(原始資料!AX$2:AX$501,$BJ210)="","",INDEX(原始資料!AX$2:AX$501,$BJ210)))</f>
        <v/>
      </c>
      <c r="AW210" s="6">
        <f>IF(OR($BJ210="",48&gt;設定!$B$3),"",IF(INDEX(原始資料!AY$2:AY$501,$BJ210)="","",INDEX(原始資料!AY$2:AY$501,$BJ210)))</f>
        <v/>
      </c>
      <c r="AX210" s="6">
        <f>IF(OR($BJ210="",49&gt;設定!$B$3),"",IF(INDEX(原始資料!AZ$2:AZ$501,$BJ210)="","",INDEX(原始資料!AZ$2:AZ$501,$BJ210)))</f>
        <v/>
      </c>
      <c r="AY210" s="6">
        <f>IF(OR($BJ210="",50&gt;設定!$B$3),"",IF(INDEX(原始資料!BA$2:BA$501,$BJ210)="","",INDEX(原始資料!BA$2:BA$501,$BJ210)))</f>
        <v/>
      </c>
      <c r="AZ210" s="6">
        <f>IF(OR($BJ210="",51&gt;設定!$B$3),"",IF(INDEX(原始資料!BB$2:BB$501,$BJ210)="","",INDEX(原始資料!BB$2:BB$501,$BJ210)))</f>
        <v/>
      </c>
      <c r="BA210" s="6">
        <f>IF(OR($BJ210="",52&gt;設定!$B$3),"",IF(INDEX(原始資料!BC$2:BC$501,$BJ210)="","",INDEX(原始資料!BC$2:BC$501,$BJ210)))</f>
        <v/>
      </c>
      <c r="BB210" s="6">
        <f>IF(OR($BJ210="",53&gt;設定!$B$3),"",IF(INDEX(原始資料!BD$2:BD$501,$BJ210)="","",INDEX(原始資料!BD$2:BD$501,$BJ210)))</f>
        <v/>
      </c>
      <c r="BC210" s="6">
        <f>IF(OR($BJ210="",54&gt;設定!$B$3),"",IF(INDEX(原始資料!BE$2:BE$501,$BJ210)="","",INDEX(原始資料!BE$2:BE$501,$BJ210)))</f>
        <v/>
      </c>
      <c r="BD210" s="6">
        <f>IF(OR($BJ210="",55&gt;設定!$B$3),"",IF(INDEX(原始資料!BF$2:BF$501,$BJ210)="","",INDEX(原始資料!BF$2:BF$501,$BJ210)))</f>
        <v/>
      </c>
      <c r="BE210" s="6">
        <f>IF(OR($BJ210="",56&gt;設定!$B$3),"",IF(INDEX(原始資料!BG$2:BG$501,$BJ210)="","",INDEX(原始資料!BG$2:BG$501,$BJ210)))</f>
        <v/>
      </c>
      <c r="BF210" s="6">
        <f>IF(OR($BJ210="",57&gt;設定!$B$3),"",IF(INDEX(原始資料!BH$2:BH$501,$BJ210)="","",INDEX(原始資料!BH$2:BH$501,$BJ210)))</f>
        <v/>
      </c>
      <c r="BG210" s="6">
        <f>IF(OR($BJ210="",58&gt;設定!$B$3),"",IF(INDEX(原始資料!BI$2:BI$501,$BJ210)="","",INDEX(原始資料!BI$2:BI$501,$BJ210)))</f>
        <v/>
      </c>
      <c r="BH210" s="6">
        <f>IF(OR($BJ210="",59&gt;設定!$B$3),"",IF(INDEX(原始資料!BJ$2:BJ$501,$BJ210)="","",INDEX(原始資料!BJ$2:BJ$501,$BJ210)))</f>
        <v/>
      </c>
      <c r="BI210" s="6">
        <f>IF(OR($BJ210="",60&gt;設定!$B$3),"",IF(INDEX(原始資料!BK$2:BK$501,$BJ210)="","",INDEX(原始資料!BK$2:BK$501,$BJ210)))</f>
        <v/>
      </c>
      <c r="BJ210" s="6">
        <f>IFERROR(MATCH(ROW()-1,判定!$H$2:$H$501,0),"")</f>
        <v/>
      </c>
    </row>
    <row r="211">
      <c r="A211" s="6">
        <f>IF($BJ211="","",INDEX(原始資料!$A$2:$A$501,$BJ211))</f>
        <v/>
      </c>
      <c r="B211" s="6">
        <f>IF(OR($BJ211="",1&gt;設定!$B$3),"",IF(INDEX(原始資料!D$2:D$501,$BJ211)="","",INDEX(原始資料!D$2:D$501,$BJ211)))</f>
        <v/>
      </c>
      <c r="C211" s="6">
        <f>IF(OR($BJ211="",2&gt;設定!$B$3),"",IF(INDEX(原始資料!E$2:E$501,$BJ211)="","",INDEX(原始資料!E$2:E$501,$BJ211)))</f>
        <v/>
      </c>
      <c r="D211" s="6">
        <f>IF(OR($BJ211="",3&gt;設定!$B$3),"",IF(INDEX(原始資料!F$2:F$501,$BJ211)="","",INDEX(原始資料!F$2:F$501,$BJ211)))</f>
        <v/>
      </c>
      <c r="E211" s="6">
        <f>IF(OR($BJ211="",4&gt;設定!$B$3),"",IF(INDEX(原始資料!G$2:G$501,$BJ211)="","",INDEX(原始資料!G$2:G$501,$BJ211)))</f>
        <v/>
      </c>
      <c r="F211" s="6">
        <f>IF(OR($BJ211="",5&gt;設定!$B$3),"",IF(INDEX(原始資料!H$2:H$501,$BJ211)="","",INDEX(原始資料!H$2:H$501,$BJ211)))</f>
        <v/>
      </c>
      <c r="G211" s="6">
        <f>IF(OR($BJ211="",6&gt;設定!$B$3),"",IF(INDEX(原始資料!I$2:I$501,$BJ211)="","",INDEX(原始資料!I$2:I$501,$BJ211)))</f>
        <v/>
      </c>
      <c r="H211" s="6">
        <f>IF(OR($BJ211="",7&gt;設定!$B$3),"",IF(INDEX(原始資料!J$2:J$501,$BJ211)="","",INDEX(原始資料!J$2:J$501,$BJ211)))</f>
        <v/>
      </c>
      <c r="I211" s="6">
        <f>IF(OR($BJ211="",8&gt;設定!$B$3),"",IF(INDEX(原始資料!K$2:K$501,$BJ211)="","",INDEX(原始資料!K$2:K$501,$BJ211)))</f>
        <v/>
      </c>
      <c r="J211" s="6">
        <f>IF(OR($BJ211="",9&gt;設定!$B$3),"",IF(INDEX(原始資料!L$2:L$501,$BJ211)="","",INDEX(原始資料!L$2:L$501,$BJ211)))</f>
        <v/>
      </c>
      <c r="K211" s="6">
        <f>IF(OR($BJ211="",10&gt;設定!$B$3),"",IF(INDEX(原始資料!M$2:M$501,$BJ211)="","",INDEX(原始資料!M$2:M$501,$BJ211)))</f>
        <v/>
      </c>
      <c r="L211" s="6">
        <f>IF(OR($BJ211="",11&gt;設定!$B$3),"",IF(INDEX(原始資料!N$2:N$501,$BJ211)="","",INDEX(原始資料!N$2:N$501,$BJ211)))</f>
        <v/>
      </c>
      <c r="M211" s="6">
        <f>IF(OR($BJ211="",12&gt;設定!$B$3),"",IF(INDEX(原始資料!O$2:O$501,$BJ211)="","",INDEX(原始資料!O$2:O$501,$BJ211)))</f>
        <v/>
      </c>
      <c r="N211" s="6">
        <f>IF(OR($BJ211="",13&gt;設定!$B$3),"",IF(INDEX(原始資料!P$2:P$501,$BJ211)="","",INDEX(原始資料!P$2:P$501,$BJ211)))</f>
        <v/>
      </c>
      <c r="O211" s="6">
        <f>IF(OR($BJ211="",14&gt;設定!$B$3),"",IF(INDEX(原始資料!Q$2:Q$501,$BJ211)="","",INDEX(原始資料!Q$2:Q$501,$BJ211)))</f>
        <v/>
      </c>
      <c r="P211" s="6">
        <f>IF(OR($BJ211="",15&gt;設定!$B$3),"",IF(INDEX(原始資料!R$2:R$501,$BJ211)="","",INDEX(原始資料!R$2:R$501,$BJ211)))</f>
        <v/>
      </c>
      <c r="Q211" s="6">
        <f>IF(OR($BJ211="",16&gt;設定!$B$3),"",IF(INDEX(原始資料!S$2:S$501,$BJ211)="","",INDEX(原始資料!S$2:S$501,$BJ211)))</f>
        <v/>
      </c>
      <c r="R211" s="6">
        <f>IF(OR($BJ211="",17&gt;設定!$B$3),"",IF(INDEX(原始資料!T$2:T$501,$BJ211)="","",INDEX(原始資料!T$2:T$501,$BJ211)))</f>
        <v/>
      </c>
      <c r="S211" s="6">
        <f>IF(OR($BJ211="",18&gt;設定!$B$3),"",IF(INDEX(原始資料!U$2:U$501,$BJ211)="","",INDEX(原始資料!U$2:U$501,$BJ211)))</f>
        <v/>
      </c>
      <c r="T211" s="6">
        <f>IF(OR($BJ211="",19&gt;設定!$B$3),"",IF(INDEX(原始資料!V$2:V$501,$BJ211)="","",INDEX(原始資料!V$2:V$501,$BJ211)))</f>
        <v/>
      </c>
      <c r="U211" s="6">
        <f>IF(OR($BJ211="",20&gt;設定!$B$3),"",IF(INDEX(原始資料!W$2:W$501,$BJ211)="","",INDEX(原始資料!W$2:W$501,$BJ211)))</f>
        <v/>
      </c>
      <c r="V211" s="6">
        <f>IF(OR($BJ211="",21&gt;設定!$B$3),"",IF(INDEX(原始資料!X$2:X$501,$BJ211)="","",INDEX(原始資料!X$2:X$501,$BJ211)))</f>
        <v/>
      </c>
      <c r="W211" s="6">
        <f>IF(OR($BJ211="",22&gt;設定!$B$3),"",IF(INDEX(原始資料!Y$2:Y$501,$BJ211)="","",INDEX(原始資料!Y$2:Y$501,$BJ211)))</f>
        <v/>
      </c>
      <c r="X211" s="6">
        <f>IF(OR($BJ211="",23&gt;設定!$B$3),"",IF(INDEX(原始資料!Z$2:Z$501,$BJ211)="","",INDEX(原始資料!Z$2:Z$501,$BJ211)))</f>
        <v/>
      </c>
      <c r="Y211" s="6">
        <f>IF(OR($BJ211="",24&gt;設定!$B$3),"",IF(INDEX(原始資料!AA$2:AA$501,$BJ211)="","",INDEX(原始資料!AA$2:AA$501,$BJ211)))</f>
        <v/>
      </c>
      <c r="Z211" s="6">
        <f>IF(OR($BJ211="",25&gt;設定!$B$3),"",IF(INDEX(原始資料!AB$2:AB$501,$BJ211)="","",INDEX(原始資料!AB$2:AB$501,$BJ211)))</f>
        <v/>
      </c>
      <c r="AA211" s="6">
        <f>IF(OR($BJ211="",26&gt;設定!$B$3),"",IF(INDEX(原始資料!AC$2:AC$501,$BJ211)="","",INDEX(原始資料!AC$2:AC$501,$BJ211)))</f>
        <v/>
      </c>
      <c r="AB211" s="6">
        <f>IF(OR($BJ211="",27&gt;設定!$B$3),"",IF(INDEX(原始資料!AD$2:AD$501,$BJ211)="","",INDEX(原始資料!AD$2:AD$501,$BJ211)))</f>
        <v/>
      </c>
      <c r="AC211" s="6">
        <f>IF(OR($BJ211="",28&gt;設定!$B$3),"",IF(INDEX(原始資料!AE$2:AE$501,$BJ211)="","",INDEX(原始資料!AE$2:AE$501,$BJ211)))</f>
        <v/>
      </c>
      <c r="AD211" s="6">
        <f>IF(OR($BJ211="",29&gt;設定!$B$3),"",IF(INDEX(原始資料!AF$2:AF$501,$BJ211)="","",INDEX(原始資料!AF$2:AF$501,$BJ211)))</f>
        <v/>
      </c>
      <c r="AE211" s="6">
        <f>IF(OR($BJ211="",30&gt;設定!$B$3),"",IF(INDEX(原始資料!AG$2:AG$501,$BJ211)="","",INDEX(原始資料!AG$2:AG$501,$BJ211)))</f>
        <v/>
      </c>
      <c r="AF211" s="6">
        <f>IF(OR($BJ211="",31&gt;設定!$B$3),"",IF(INDEX(原始資料!AH$2:AH$501,$BJ211)="","",INDEX(原始資料!AH$2:AH$501,$BJ211)))</f>
        <v/>
      </c>
      <c r="AG211" s="6">
        <f>IF(OR($BJ211="",32&gt;設定!$B$3),"",IF(INDEX(原始資料!AI$2:AI$501,$BJ211)="","",INDEX(原始資料!AI$2:AI$501,$BJ211)))</f>
        <v/>
      </c>
      <c r="AH211" s="6">
        <f>IF(OR($BJ211="",33&gt;設定!$B$3),"",IF(INDEX(原始資料!AJ$2:AJ$501,$BJ211)="","",INDEX(原始資料!AJ$2:AJ$501,$BJ211)))</f>
        <v/>
      </c>
      <c r="AI211" s="6">
        <f>IF(OR($BJ211="",34&gt;設定!$B$3),"",IF(INDEX(原始資料!AK$2:AK$501,$BJ211)="","",INDEX(原始資料!AK$2:AK$501,$BJ211)))</f>
        <v/>
      </c>
      <c r="AJ211" s="6">
        <f>IF(OR($BJ211="",35&gt;設定!$B$3),"",IF(INDEX(原始資料!AL$2:AL$501,$BJ211)="","",INDEX(原始資料!AL$2:AL$501,$BJ211)))</f>
        <v/>
      </c>
      <c r="AK211" s="6">
        <f>IF(OR($BJ211="",36&gt;設定!$B$3),"",IF(INDEX(原始資料!AM$2:AM$501,$BJ211)="","",INDEX(原始資料!AM$2:AM$501,$BJ211)))</f>
        <v/>
      </c>
      <c r="AL211" s="6">
        <f>IF(OR($BJ211="",37&gt;設定!$B$3),"",IF(INDEX(原始資料!AN$2:AN$501,$BJ211)="","",INDEX(原始資料!AN$2:AN$501,$BJ211)))</f>
        <v/>
      </c>
      <c r="AM211" s="6">
        <f>IF(OR($BJ211="",38&gt;設定!$B$3),"",IF(INDEX(原始資料!AO$2:AO$501,$BJ211)="","",INDEX(原始資料!AO$2:AO$501,$BJ211)))</f>
        <v/>
      </c>
      <c r="AN211" s="6">
        <f>IF(OR($BJ211="",39&gt;設定!$B$3),"",IF(INDEX(原始資料!AP$2:AP$501,$BJ211)="","",INDEX(原始資料!AP$2:AP$501,$BJ211)))</f>
        <v/>
      </c>
      <c r="AO211" s="6">
        <f>IF(OR($BJ211="",40&gt;設定!$B$3),"",IF(INDEX(原始資料!AQ$2:AQ$501,$BJ211)="","",INDEX(原始資料!AQ$2:AQ$501,$BJ211)))</f>
        <v/>
      </c>
      <c r="AP211" s="6">
        <f>IF(OR($BJ211="",41&gt;設定!$B$3),"",IF(INDEX(原始資料!AR$2:AR$501,$BJ211)="","",INDEX(原始資料!AR$2:AR$501,$BJ211)))</f>
        <v/>
      </c>
      <c r="AQ211" s="6">
        <f>IF(OR($BJ211="",42&gt;設定!$B$3),"",IF(INDEX(原始資料!AS$2:AS$501,$BJ211)="","",INDEX(原始資料!AS$2:AS$501,$BJ211)))</f>
        <v/>
      </c>
      <c r="AR211" s="6">
        <f>IF(OR($BJ211="",43&gt;設定!$B$3),"",IF(INDEX(原始資料!AT$2:AT$501,$BJ211)="","",INDEX(原始資料!AT$2:AT$501,$BJ211)))</f>
        <v/>
      </c>
      <c r="AS211" s="6">
        <f>IF(OR($BJ211="",44&gt;設定!$B$3),"",IF(INDEX(原始資料!AU$2:AU$501,$BJ211)="","",INDEX(原始資料!AU$2:AU$501,$BJ211)))</f>
        <v/>
      </c>
      <c r="AT211" s="6">
        <f>IF(OR($BJ211="",45&gt;設定!$B$3),"",IF(INDEX(原始資料!AV$2:AV$501,$BJ211)="","",INDEX(原始資料!AV$2:AV$501,$BJ211)))</f>
        <v/>
      </c>
      <c r="AU211" s="6">
        <f>IF(OR($BJ211="",46&gt;設定!$B$3),"",IF(INDEX(原始資料!AW$2:AW$501,$BJ211)="","",INDEX(原始資料!AW$2:AW$501,$BJ211)))</f>
        <v/>
      </c>
      <c r="AV211" s="6">
        <f>IF(OR($BJ211="",47&gt;設定!$B$3),"",IF(INDEX(原始資料!AX$2:AX$501,$BJ211)="","",INDEX(原始資料!AX$2:AX$501,$BJ211)))</f>
        <v/>
      </c>
      <c r="AW211" s="6">
        <f>IF(OR($BJ211="",48&gt;設定!$B$3),"",IF(INDEX(原始資料!AY$2:AY$501,$BJ211)="","",INDEX(原始資料!AY$2:AY$501,$BJ211)))</f>
        <v/>
      </c>
      <c r="AX211" s="6">
        <f>IF(OR($BJ211="",49&gt;設定!$B$3),"",IF(INDEX(原始資料!AZ$2:AZ$501,$BJ211)="","",INDEX(原始資料!AZ$2:AZ$501,$BJ211)))</f>
        <v/>
      </c>
      <c r="AY211" s="6">
        <f>IF(OR($BJ211="",50&gt;設定!$B$3),"",IF(INDEX(原始資料!BA$2:BA$501,$BJ211)="","",INDEX(原始資料!BA$2:BA$501,$BJ211)))</f>
        <v/>
      </c>
      <c r="AZ211" s="6">
        <f>IF(OR($BJ211="",51&gt;設定!$B$3),"",IF(INDEX(原始資料!BB$2:BB$501,$BJ211)="","",INDEX(原始資料!BB$2:BB$501,$BJ211)))</f>
        <v/>
      </c>
      <c r="BA211" s="6">
        <f>IF(OR($BJ211="",52&gt;設定!$B$3),"",IF(INDEX(原始資料!BC$2:BC$501,$BJ211)="","",INDEX(原始資料!BC$2:BC$501,$BJ211)))</f>
        <v/>
      </c>
      <c r="BB211" s="6">
        <f>IF(OR($BJ211="",53&gt;設定!$B$3),"",IF(INDEX(原始資料!BD$2:BD$501,$BJ211)="","",INDEX(原始資料!BD$2:BD$501,$BJ211)))</f>
        <v/>
      </c>
      <c r="BC211" s="6">
        <f>IF(OR($BJ211="",54&gt;設定!$B$3),"",IF(INDEX(原始資料!BE$2:BE$501,$BJ211)="","",INDEX(原始資料!BE$2:BE$501,$BJ211)))</f>
        <v/>
      </c>
      <c r="BD211" s="6">
        <f>IF(OR($BJ211="",55&gt;設定!$B$3),"",IF(INDEX(原始資料!BF$2:BF$501,$BJ211)="","",INDEX(原始資料!BF$2:BF$501,$BJ211)))</f>
        <v/>
      </c>
      <c r="BE211" s="6">
        <f>IF(OR($BJ211="",56&gt;設定!$B$3),"",IF(INDEX(原始資料!BG$2:BG$501,$BJ211)="","",INDEX(原始資料!BG$2:BG$501,$BJ211)))</f>
        <v/>
      </c>
      <c r="BF211" s="6">
        <f>IF(OR($BJ211="",57&gt;設定!$B$3),"",IF(INDEX(原始資料!BH$2:BH$501,$BJ211)="","",INDEX(原始資料!BH$2:BH$501,$BJ211)))</f>
        <v/>
      </c>
      <c r="BG211" s="6">
        <f>IF(OR($BJ211="",58&gt;設定!$B$3),"",IF(INDEX(原始資料!BI$2:BI$501,$BJ211)="","",INDEX(原始資料!BI$2:BI$501,$BJ211)))</f>
        <v/>
      </c>
      <c r="BH211" s="6">
        <f>IF(OR($BJ211="",59&gt;設定!$B$3),"",IF(INDEX(原始資料!BJ$2:BJ$501,$BJ211)="","",INDEX(原始資料!BJ$2:BJ$501,$BJ211)))</f>
        <v/>
      </c>
      <c r="BI211" s="6">
        <f>IF(OR($BJ211="",60&gt;設定!$B$3),"",IF(INDEX(原始資料!BK$2:BK$501,$BJ211)="","",INDEX(原始資料!BK$2:BK$501,$BJ211)))</f>
        <v/>
      </c>
      <c r="BJ211" s="6">
        <f>IFERROR(MATCH(ROW()-1,判定!$H$2:$H$501,0),"")</f>
        <v/>
      </c>
    </row>
    <row r="212">
      <c r="A212" s="6">
        <f>IF($BJ212="","",INDEX(原始資料!$A$2:$A$501,$BJ212))</f>
        <v/>
      </c>
      <c r="B212" s="6">
        <f>IF(OR($BJ212="",1&gt;設定!$B$3),"",IF(INDEX(原始資料!D$2:D$501,$BJ212)="","",INDEX(原始資料!D$2:D$501,$BJ212)))</f>
        <v/>
      </c>
      <c r="C212" s="6">
        <f>IF(OR($BJ212="",2&gt;設定!$B$3),"",IF(INDEX(原始資料!E$2:E$501,$BJ212)="","",INDEX(原始資料!E$2:E$501,$BJ212)))</f>
        <v/>
      </c>
      <c r="D212" s="6">
        <f>IF(OR($BJ212="",3&gt;設定!$B$3),"",IF(INDEX(原始資料!F$2:F$501,$BJ212)="","",INDEX(原始資料!F$2:F$501,$BJ212)))</f>
        <v/>
      </c>
      <c r="E212" s="6">
        <f>IF(OR($BJ212="",4&gt;設定!$B$3),"",IF(INDEX(原始資料!G$2:G$501,$BJ212)="","",INDEX(原始資料!G$2:G$501,$BJ212)))</f>
        <v/>
      </c>
      <c r="F212" s="6">
        <f>IF(OR($BJ212="",5&gt;設定!$B$3),"",IF(INDEX(原始資料!H$2:H$501,$BJ212)="","",INDEX(原始資料!H$2:H$501,$BJ212)))</f>
        <v/>
      </c>
      <c r="G212" s="6">
        <f>IF(OR($BJ212="",6&gt;設定!$B$3),"",IF(INDEX(原始資料!I$2:I$501,$BJ212)="","",INDEX(原始資料!I$2:I$501,$BJ212)))</f>
        <v/>
      </c>
      <c r="H212" s="6">
        <f>IF(OR($BJ212="",7&gt;設定!$B$3),"",IF(INDEX(原始資料!J$2:J$501,$BJ212)="","",INDEX(原始資料!J$2:J$501,$BJ212)))</f>
        <v/>
      </c>
      <c r="I212" s="6">
        <f>IF(OR($BJ212="",8&gt;設定!$B$3),"",IF(INDEX(原始資料!K$2:K$501,$BJ212)="","",INDEX(原始資料!K$2:K$501,$BJ212)))</f>
        <v/>
      </c>
      <c r="J212" s="6">
        <f>IF(OR($BJ212="",9&gt;設定!$B$3),"",IF(INDEX(原始資料!L$2:L$501,$BJ212)="","",INDEX(原始資料!L$2:L$501,$BJ212)))</f>
        <v/>
      </c>
      <c r="K212" s="6">
        <f>IF(OR($BJ212="",10&gt;設定!$B$3),"",IF(INDEX(原始資料!M$2:M$501,$BJ212)="","",INDEX(原始資料!M$2:M$501,$BJ212)))</f>
        <v/>
      </c>
      <c r="L212" s="6">
        <f>IF(OR($BJ212="",11&gt;設定!$B$3),"",IF(INDEX(原始資料!N$2:N$501,$BJ212)="","",INDEX(原始資料!N$2:N$501,$BJ212)))</f>
        <v/>
      </c>
      <c r="M212" s="6">
        <f>IF(OR($BJ212="",12&gt;設定!$B$3),"",IF(INDEX(原始資料!O$2:O$501,$BJ212)="","",INDEX(原始資料!O$2:O$501,$BJ212)))</f>
        <v/>
      </c>
      <c r="N212" s="6">
        <f>IF(OR($BJ212="",13&gt;設定!$B$3),"",IF(INDEX(原始資料!P$2:P$501,$BJ212)="","",INDEX(原始資料!P$2:P$501,$BJ212)))</f>
        <v/>
      </c>
      <c r="O212" s="6">
        <f>IF(OR($BJ212="",14&gt;設定!$B$3),"",IF(INDEX(原始資料!Q$2:Q$501,$BJ212)="","",INDEX(原始資料!Q$2:Q$501,$BJ212)))</f>
        <v/>
      </c>
      <c r="P212" s="6">
        <f>IF(OR($BJ212="",15&gt;設定!$B$3),"",IF(INDEX(原始資料!R$2:R$501,$BJ212)="","",INDEX(原始資料!R$2:R$501,$BJ212)))</f>
        <v/>
      </c>
      <c r="Q212" s="6">
        <f>IF(OR($BJ212="",16&gt;設定!$B$3),"",IF(INDEX(原始資料!S$2:S$501,$BJ212)="","",INDEX(原始資料!S$2:S$501,$BJ212)))</f>
        <v/>
      </c>
      <c r="R212" s="6">
        <f>IF(OR($BJ212="",17&gt;設定!$B$3),"",IF(INDEX(原始資料!T$2:T$501,$BJ212)="","",INDEX(原始資料!T$2:T$501,$BJ212)))</f>
        <v/>
      </c>
      <c r="S212" s="6">
        <f>IF(OR($BJ212="",18&gt;設定!$B$3),"",IF(INDEX(原始資料!U$2:U$501,$BJ212)="","",INDEX(原始資料!U$2:U$501,$BJ212)))</f>
        <v/>
      </c>
      <c r="T212" s="6">
        <f>IF(OR($BJ212="",19&gt;設定!$B$3),"",IF(INDEX(原始資料!V$2:V$501,$BJ212)="","",INDEX(原始資料!V$2:V$501,$BJ212)))</f>
        <v/>
      </c>
      <c r="U212" s="6">
        <f>IF(OR($BJ212="",20&gt;設定!$B$3),"",IF(INDEX(原始資料!W$2:W$501,$BJ212)="","",INDEX(原始資料!W$2:W$501,$BJ212)))</f>
        <v/>
      </c>
      <c r="V212" s="6">
        <f>IF(OR($BJ212="",21&gt;設定!$B$3),"",IF(INDEX(原始資料!X$2:X$501,$BJ212)="","",INDEX(原始資料!X$2:X$501,$BJ212)))</f>
        <v/>
      </c>
      <c r="W212" s="6">
        <f>IF(OR($BJ212="",22&gt;設定!$B$3),"",IF(INDEX(原始資料!Y$2:Y$501,$BJ212)="","",INDEX(原始資料!Y$2:Y$501,$BJ212)))</f>
        <v/>
      </c>
      <c r="X212" s="6">
        <f>IF(OR($BJ212="",23&gt;設定!$B$3),"",IF(INDEX(原始資料!Z$2:Z$501,$BJ212)="","",INDEX(原始資料!Z$2:Z$501,$BJ212)))</f>
        <v/>
      </c>
      <c r="Y212" s="6">
        <f>IF(OR($BJ212="",24&gt;設定!$B$3),"",IF(INDEX(原始資料!AA$2:AA$501,$BJ212)="","",INDEX(原始資料!AA$2:AA$501,$BJ212)))</f>
        <v/>
      </c>
      <c r="Z212" s="6">
        <f>IF(OR($BJ212="",25&gt;設定!$B$3),"",IF(INDEX(原始資料!AB$2:AB$501,$BJ212)="","",INDEX(原始資料!AB$2:AB$501,$BJ212)))</f>
        <v/>
      </c>
      <c r="AA212" s="6">
        <f>IF(OR($BJ212="",26&gt;設定!$B$3),"",IF(INDEX(原始資料!AC$2:AC$501,$BJ212)="","",INDEX(原始資料!AC$2:AC$501,$BJ212)))</f>
        <v/>
      </c>
      <c r="AB212" s="6">
        <f>IF(OR($BJ212="",27&gt;設定!$B$3),"",IF(INDEX(原始資料!AD$2:AD$501,$BJ212)="","",INDEX(原始資料!AD$2:AD$501,$BJ212)))</f>
        <v/>
      </c>
      <c r="AC212" s="6">
        <f>IF(OR($BJ212="",28&gt;設定!$B$3),"",IF(INDEX(原始資料!AE$2:AE$501,$BJ212)="","",INDEX(原始資料!AE$2:AE$501,$BJ212)))</f>
        <v/>
      </c>
      <c r="AD212" s="6">
        <f>IF(OR($BJ212="",29&gt;設定!$B$3),"",IF(INDEX(原始資料!AF$2:AF$501,$BJ212)="","",INDEX(原始資料!AF$2:AF$501,$BJ212)))</f>
        <v/>
      </c>
      <c r="AE212" s="6">
        <f>IF(OR($BJ212="",30&gt;設定!$B$3),"",IF(INDEX(原始資料!AG$2:AG$501,$BJ212)="","",INDEX(原始資料!AG$2:AG$501,$BJ212)))</f>
        <v/>
      </c>
      <c r="AF212" s="6">
        <f>IF(OR($BJ212="",31&gt;設定!$B$3),"",IF(INDEX(原始資料!AH$2:AH$501,$BJ212)="","",INDEX(原始資料!AH$2:AH$501,$BJ212)))</f>
        <v/>
      </c>
      <c r="AG212" s="6">
        <f>IF(OR($BJ212="",32&gt;設定!$B$3),"",IF(INDEX(原始資料!AI$2:AI$501,$BJ212)="","",INDEX(原始資料!AI$2:AI$501,$BJ212)))</f>
        <v/>
      </c>
      <c r="AH212" s="6">
        <f>IF(OR($BJ212="",33&gt;設定!$B$3),"",IF(INDEX(原始資料!AJ$2:AJ$501,$BJ212)="","",INDEX(原始資料!AJ$2:AJ$501,$BJ212)))</f>
        <v/>
      </c>
      <c r="AI212" s="6">
        <f>IF(OR($BJ212="",34&gt;設定!$B$3),"",IF(INDEX(原始資料!AK$2:AK$501,$BJ212)="","",INDEX(原始資料!AK$2:AK$501,$BJ212)))</f>
        <v/>
      </c>
      <c r="AJ212" s="6">
        <f>IF(OR($BJ212="",35&gt;設定!$B$3),"",IF(INDEX(原始資料!AL$2:AL$501,$BJ212)="","",INDEX(原始資料!AL$2:AL$501,$BJ212)))</f>
        <v/>
      </c>
      <c r="AK212" s="6">
        <f>IF(OR($BJ212="",36&gt;設定!$B$3),"",IF(INDEX(原始資料!AM$2:AM$501,$BJ212)="","",INDEX(原始資料!AM$2:AM$501,$BJ212)))</f>
        <v/>
      </c>
      <c r="AL212" s="6">
        <f>IF(OR($BJ212="",37&gt;設定!$B$3),"",IF(INDEX(原始資料!AN$2:AN$501,$BJ212)="","",INDEX(原始資料!AN$2:AN$501,$BJ212)))</f>
        <v/>
      </c>
      <c r="AM212" s="6">
        <f>IF(OR($BJ212="",38&gt;設定!$B$3),"",IF(INDEX(原始資料!AO$2:AO$501,$BJ212)="","",INDEX(原始資料!AO$2:AO$501,$BJ212)))</f>
        <v/>
      </c>
      <c r="AN212" s="6">
        <f>IF(OR($BJ212="",39&gt;設定!$B$3),"",IF(INDEX(原始資料!AP$2:AP$501,$BJ212)="","",INDEX(原始資料!AP$2:AP$501,$BJ212)))</f>
        <v/>
      </c>
      <c r="AO212" s="6">
        <f>IF(OR($BJ212="",40&gt;設定!$B$3),"",IF(INDEX(原始資料!AQ$2:AQ$501,$BJ212)="","",INDEX(原始資料!AQ$2:AQ$501,$BJ212)))</f>
        <v/>
      </c>
      <c r="AP212" s="6">
        <f>IF(OR($BJ212="",41&gt;設定!$B$3),"",IF(INDEX(原始資料!AR$2:AR$501,$BJ212)="","",INDEX(原始資料!AR$2:AR$501,$BJ212)))</f>
        <v/>
      </c>
      <c r="AQ212" s="6">
        <f>IF(OR($BJ212="",42&gt;設定!$B$3),"",IF(INDEX(原始資料!AS$2:AS$501,$BJ212)="","",INDEX(原始資料!AS$2:AS$501,$BJ212)))</f>
        <v/>
      </c>
      <c r="AR212" s="6">
        <f>IF(OR($BJ212="",43&gt;設定!$B$3),"",IF(INDEX(原始資料!AT$2:AT$501,$BJ212)="","",INDEX(原始資料!AT$2:AT$501,$BJ212)))</f>
        <v/>
      </c>
      <c r="AS212" s="6">
        <f>IF(OR($BJ212="",44&gt;設定!$B$3),"",IF(INDEX(原始資料!AU$2:AU$501,$BJ212)="","",INDEX(原始資料!AU$2:AU$501,$BJ212)))</f>
        <v/>
      </c>
      <c r="AT212" s="6">
        <f>IF(OR($BJ212="",45&gt;設定!$B$3),"",IF(INDEX(原始資料!AV$2:AV$501,$BJ212)="","",INDEX(原始資料!AV$2:AV$501,$BJ212)))</f>
        <v/>
      </c>
      <c r="AU212" s="6">
        <f>IF(OR($BJ212="",46&gt;設定!$B$3),"",IF(INDEX(原始資料!AW$2:AW$501,$BJ212)="","",INDEX(原始資料!AW$2:AW$501,$BJ212)))</f>
        <v/>
      </c>
      <c r="AV212" s="6">
        <f>IF(OR($BJ212="",47&gt;設定!$B$3),"",IF(INDEX(原始資料!AX$2:AX$501,$BJ212)="","",INDEX(原始資料!AX$2:AX$501,$BJ212)))</f>
        <v/>
      </c>
      <c r="AW212" s="6">
        <f>IF(OR($BJ212="",48&gt;設定!$B$3),"",IF(INDEX(原始資料!AY$2:AY$501,$BJ212)="","",INDEX(原始資料!AY$2:AY$501,$BJ212)))</f>
        <v/>
      </c>
      <c r="AX212" s="6">
        <f>IF(OR($BJ212="",49&gt;設定!$B$3),"",IF(INDEX(原始資料!AZ$2:AZ$501,$BJ212)="","",INDEX(原始資料!AZ$2:AZ$501,$BJ212)))</f>
        <v/>
      </c>
      <c r="AY212" s="6">
        <f>IF(OR($BJ212="",50&gt;設定!$B$3),"",IF(INDEX(原始資料!BA$2:BA$501,$BJ212)="","",INDEX(原始資料!BA$2:BA$501,$BJ212)))</f>
        <v/>
      </c>
      <c r="AZ212" s="6">
        <f>IF(OR($BJ212="",51&gt;設定!$B$3),"",IF(INDEX(原始資料!BB$2:BB$501,$BJ212)="","",INDEX(原始資料!BB$2:BB$501,$BJ212)))</f>
        <v/>
      </c>
      <c r="BA212" s="6">
        <f>IF(OR($BJ212="",52&gt;設定!$B$3),"",IF(INDEX(原始資料!BC$2:BC$501,$BJ212)="","",INDEX(原始資料!BC$2:BC$501,$BJ212)))</f>
        <v/>
      </c>
      <c r="BB212" s="6">
        <f>IF(OR($BJ212="",53&gt;設定!$B$3),"",IF(INDEX(原始資料!BD$2:BD$501,$BJ212)="","",INDEX(原始資料!BD$2:BD$501,$BJ212)))</f>
        <v/>
      </c>
      <c r="BC212" s="6">
        <f>IF(OR($BJ212="",54&gt;設定!$B$3),"",IF(INDEX(原始資料!BE$2:BE$501,$BJ212)="","",INDEX(原始資料!BE$2:BE$501,$BJ212)))</f>
        <v/>
      </c>
      <c r="BD212" s="6">
        <f>IF(OR($BJ212="",55&gt;設定!$B$3),"",IF(INDEX(原始資料!BF$2:BF$501,$BJ212)="","",INDEX(原始資料!BF$2:BF$501,$BJ212)))</f>
        <v/>
      </c>
      <c r="BE212" s="6">
        <f>IF(OR($BJ212="",56&gt;設定!$B$3),"",IF(INDEX(原始資料!BG$2:BG$501,$BJ212)="","",INDEX(原始資料!BG$2:BG$501,$BJ212)))</f>
        <v/>
      </c>
      <c r="BF212" s="6">
        <f>IF(OR($BJ212="",57&gt;設定!$B$3),"",IF(INDEX(原始資料!BH$2:BH$501,$BJ212)="","",INDEX(原始資料!BH$2:BH$501,$BJ212)))</f>
        <v/>
      </c>
      <c r="BG212" s="6">
        <f>IF(OR($BJ212="",58&gt;設定!$B$3),"",IF(INDEX(原始資料!BI$2:BI$501,$BJ212)="","",INDEX(原始資料!BI$2:BI$501,$BJ212)))</f>
        <v/>
      </c>
      <c r="BH212" s="6">
        <f>IF(OR($BJ212="",59&gt;設定!$B$3),"",IF(INDEX(原始資料!BJ$2:BJ$501,$BJ212)="","",INDEX(原始資料!BJ$2:BJ$501,$BJ212)))</f>
        <v/>
      </c>
      <c r="BI212" s="6">
        <f>IF(OR($BJ212="",60&gt;設定!$B$3),"",IF(INDEX(原始資料!BK$2:BK$501,$BJ212)="","",INDEX(原始資料!BK$2:BK$501,$BJ212)))</f>
        <v/>
      </c>
      <c r="BJ212" s="6">
        <f>IFERROR(MATCH(ROW()-1,判定!$H$2:$H$501,0),"")</f>
        <v/>
      </c>
    </row>
    <row r="213">
      <c r="A213" s="6">
        <f>IF($BJ213="","",INDEX(原始資料!$A$2:$A$501,$BJ213))</f>
        <v/>
      </c>
      <c r="B213" s="6">
        <f>IF(OR($BJ213="",1&gt;設定!$B$3),"",IF(INDEX(原始資料!D$2:D$501,$BJ213)="","",INDEX(原始資料!D$2:D$501,$BJ213)))</f>
        <v/>
      </c>
      <c r="C213" s="6">
        <f>IF(OR($BJ213="",2&gt;設定!$B$3),"",IF(INDEX(原始資料!E$2:E$501,$BJ213)="","",INDEX(原始資料!E$2:E$501,$BJ213)))</f>
        <v/>
      </c>
      <c r="D213" s="6">
        <f>IF(OR($BJ213="",3&gt;設定!$B$3),"",IF(INDEX(原始資料!F$2:F$501,$BJ213)="","",INDEX(原始資料!F$2:F$501,$BJ213)))</f>
        <v/>
      </c>
      <c r="E213" s="6">
        <f>IF(OR($BJ213="",4&gt;設定!$B$3),"",IF(INDEX(原始資料!G$2:G$501,$BJ213)="","",INDEX(原始資料!G$2:G$501,$BJ213)))</f>
        <v/>
      </c>
      <c r="F213" s="6">
        <f>IF(OR($BJ213="",5&gt;設定!$B$3),"",IF(INDEX(原始資料!H$2:H$501,$BJ213)="","",INDEX(原始資料!H$2:H$501,$BJ213)))</f>
        <v/>
      </c>
      <c r="G213" s="6">
        <f>IF(OR($BJ213="",6&gt;設定!$B$3),"",IF(INDEX(原始資料!I$2:I$501,$BJ213)="","",INDEX(原始資料!I$2:I$501,$BJ213)))</f>
        <v/>
      </c>
      <c r="H213" s="6">
        <f>IF(OR($BJ213="",7&gt;設定!$B$3),"",IF(INDEX(原始資料!J$2:J$501,$BJ213)="","",INDEX(原始資料!J$2:J$501,$BJ213)))</f>
        <v/>
      </c>
      <c r="I213" s="6">
        <f>IF(OR($BJ213="",8&gt;設定!$B$3),"",IF(INDEX(原始資料!K$2:K$501,$BJ213)="","",INDEX(原始資料!K$2:K$501,$BJ213)))</f>
        <v/>
      </c>
      <c r="J213" s="6">
        <f>IF(OR($BJ213="",9&gt;設定!$B$3),"",IF(INDEX(原始資料!L$2:L$501,$BJ213)="","",INDEX(原始資料!L$2:L$501,$BJ213)))</f>
        <v/>
      </c>
      <c r="K213" s="6">
        <f>IF(OR($BJ213="",10&gt;設定!$B$3),"",IF(INDEX(原始資料!M$2:M$501,$BJ213)="","",INDEX(原始資料!M$2:M$501,$BJ213)))</f>
        <v/>
      </c>
      <c r="L213" s="6">
        <f>IF(OR($BJ213="",11&gt;設定!$B$3),"",IF(INDEX(原始資料!N$2:N$501,$BJ213)="","",INDEX(原始資料!N$2:N$501,$BJ213)))</f>
        <v/>
      </c>
      <c r="M213" s="6">
        <f>IF(OR($BJ213="",12&gt;設定!$B$3),"",IF(INDEX(原始資料!O$2:O$501,$BJ213)="","",INDEX(原始資料!O$2:O$501,$BJ213)))</f>
        <v/>
      </c>
      <c r="N213" s="6">
        <f>IF(OR($BJ213="",13&gt;設定!$B$3),"",IF(INDEX(原始資料!P$2:P$501,$BJ213)="","",INDEX(原始資料!P$2:P$501,$BJ213)))</f>
        <v/>
      </c>
      <c r="O213" s="6">
        <f>IF(OR($BJ213="",14&gt;設定!$B$3),"",IF(INDEX(原始資料!Q$2:Q$501,$BJ213)="","",INDEX(原始資料!Q$2:Q$501,$BJ213)))</f>
        <v/>
      </c>
      <c r="P213" s="6">
        <f>IF(OR($BJ213="",15&gt;設定!$B$3),"",IF(INDEX(原始資料!R$2:R$501,$BJ213)="","",INDEX(原始資料!R$2:R$501,$BJ213)))</f>
        <v/>
      </c>
      <c r="Q213" s="6">
        <f>IF(OR($BJ213="",16&gt;設定!$B$3),"",IF(INDEX(原始資料!S$2:S$501,$BJ213)="","",INDEX(原始資料!S$2:S$501,$BJ213)))</f>
        <v/>
      </c>
      <c r="R213" s="6">
        <f>IF(OR($BJ213="",17&gt;設定!$B$3),"",IF(INDEX(原始資料!T$2:T$501,$BJ213)="","",INDEX(原始資料!T$2:T$501,$BJ213)))</f>
        <v/>
      </c>
      <c r="S213" s="6">
        <f>IF(OR($BJ213="",18&gt;設定!$B$3),"",IF(INDEX(原始資料!U$2:U$501,$BJ213)="","",INDEX(原始資料!U$2:U$501,$BJ213)))</f>
        <v/>
      </c>
      <c r="T213" s="6">
        <f>IF(OR($BJ213="",19&gt;設定!$B$3),"",IF(INDEX(原始資料!V$2:V$501,$BJ213)="","",INDEX(原始資料!V$2:V$501,$BJ213)))</f>
        <v/>
      </c>
      <c r="U213" s="6">
        <f>IF(OR($BJ213="",20&gt;設定!$B$3),"",IF(INDEX(原始資料!W$2:W$501,$BJ213)="","",INDEX(原始資料!W$2:W$501,$BJ213)))</f>
        <v/>
      </c>
      <c r="V213" s="6">
        <f>IF(OR($BJ213="",21&gt;設定!$B$3),"",IF(INDEX(原始資料!X$2:X$501,$BJ213)="","",INDEX(原始資料!X$2:X$501,$BJ213)))</f>
        <v/>
      </c>
      <c r="W213" s="6">
        <f>IF(OR($BJ213="",22&gt;設定!$B$3),"",IF(INDEX(原始資料!Y$2:Y$501,$BJ213)="","",INDEX(原始資料!Y$2:Y$501,$BJ213)))</f>
        <v/>
      </c>
      <c r="X213" s="6">
        <f>IF(OR($BJ213="",23&gt;設定!$B$3),"",IF(INDEX(原始資料!Z$2:Z$501,$BJ213)="","",INDEX(原始資料!Z$2:Z$501,$BJ213)))</f>
        <v/>
      </c>
      <c r="Y213" s="6">
        <f>IF(OR($BJ213="",24&gt;設定!$B$3),"",IF(INDEX(原始資料!AA$2:AA$501,$BJ213)="","",INDEX(原始資料!AA$2:AA$501,$BJ213)))</f>
        <v/>
      </c>
      <c r="Z213" s="6">
        <f>IF(OR($BJ213="",25&gt;設定!$B$3),"",IF(INDEX(原始資料!AB$2:AB$501,$BJ213)="","",INDEX(原始資料!AB$2:AB$501,$BJ213)))</f>
        <v/>
      </c>
      <c r="AA213" s="6">
        <f>IF(OR($BJ213="",26&gt;設定!$B$3),"",IF(INDEX(原始資料!AC$2:AC$501,$BJ213)="","",INDEX(原始資料!AC$2:AC$501,$BJ213)))</f>
        <v/>
      </c>
      <c r="AB213" s="6">
        <f>IF(OR($BJ213="",27&gt;設定!$B$3),"",IF(INDEX(原始資料!AD$2:AD$501,$BJ213)="","",INDEX(原始資料!AD$2:AD$501,$BJ213)))</f>
        <v/>
      </c>
      <c r="AC213" s="6">
        <f>IF(OR($BJ213="",28&gt;設定!$B$3),"",IF(INDEX(原始資料!AE$2:AE$501,$BJ213)="","",INDEX(原始資料!AE$2:AE$501,$BJ213)))</f>
        <v/>
      </c>
      <c r="AD213" s="6">
        <f>IF(OR($BJ213="",29&gt;設定!$B$3),"",IF(INDEX(原始資料!AF$2:AF$501,$BJ213)="","",INDEX(原始資料!AF$2:AF$501,$BJ213)))</f>
        <v/>
      </c>
      <c r="AE213" s="6">
        <f>IF(OR($BJ213="",30&gt;設定!$B$3),"",IF(INDEX(原始資料!AG$2:AG$501,$BJ213)="","",INDEX(原始資料!AG$2:AG$501,$BJ213)))</f>
        <v/>
      </c>
      <c r="AF213" s="6">
        <f>IF(OR($BJ213="",31&gt;設定!$B$3),"",IF(INDEX(原始資料!AH$2:AH$501,$BJ213)="","",INDEX(原始資料!AH$2:AH$501,$BJ213)))</f>
        <v/>
      </c>
      <c r="AG213" s="6">
        <f>IF(OR($BJ213="",32&gt;設定!$B$3),"",IF(INDEX(原始資料!AI$2:AI$501,$BJ213)="","",INDEX(原始資料!AI$2:AI$501,$BJ213)))</f>
        <v/>
      </c>
      <c r="AH213" s="6">
        <f>IF(OR($BJ213="",33&gt;設定!$B$3),"",IF(INDEX(原始資料!AJ$2:AJ$501,$BJ213)="","",INDEX(原始資料!AJ$2:AJ$501,$BJ213)))</f>
        <v/>
      </c>
      <c r="AI213" s="6">
        <f>IF(OR($BJ213="",34&gt;設定!$B$3),"",IF(INDEX(原始資料!AK$2:AK$501,$BJ213)="","",INDEX(原始資料!AK$2:AK$501,$BJ213)))</f>
        <v/>
      </c>
      <c r="AJ213" s="6">
        <f>IF(OR($BJ213="",35&gt;設定!$B$3),"",IF(INDEX(原始資料!AL$2:AL$501,$BJ213)="","",INDEX(原始資料!AL$2:AL$501,$BJ213)))</f>
        <v/>
      </c>
      <c r="AK213" s="6">
        <f>IF(OR($BJ213="",36&gt;設定!$B$3),"",IF(INDEX(原始資料!AM$2:AM$501,$BJ213)="","",INDEX(原始資料!AM$2:AM$501,$BJ213)))</f>
        <v/>
      </c>
      <c r="AL213" s="6">
        <f>IF(OR($BJ213="",37&gt;設定!$B$3),"",IF(INDEX(原始資料!AN$2:AN$501,$BJ213)="","",INDEX(原始資料!AN$2:AN$501,$BJ213)))</f>
        <v/>
      </c>
      <c r="AM213" s="6">
        <f>IF(OR($BJ213="",38&gt;設定!$B$3),"",IF(INDEX(原始資料!AO$2:AO$501,$BJ213)="","",INDEX(原始資料!AO$2:AO$501,$BJ213)))</f>
        <v/>
      </c>
      <c r="AN213" s="6">
        <f>IF(OR($BJ213="",39&gt;設定!$B$3),"",IF(INDEX(原始資料!AP$2:AP$501,$BJ213)="","",INDEX(原始資料!AP$2:AP$501,$BJ213)))</f>
        <v/>
      </c>
      <c r="AO213" s="6">
        <f>IF(OR($BJ213="",40&gt;設定!$B$3),"",IF(INDEX(原始資料!AQ$2:AQ$501,$BJ213)="","",INDEX(原始資料!AQ$2:AQ$501,$BJ213)))</f>
        <v/>
      </c>
      <c r="AP213" s="6">
        <f>IF(OR($BJ213="",41&gt;設定!$B$3),"",IF(INDEX(原始資料!AR$2:AR$501,$BJ213)="","",INDEX(原始資料!AR$2:AR$501,$BJ213)))</f>
        <v/>
      </c>
      <c r="AQ213" s="6">
        <f>IF(OR($BJ213="",42&gt;設定!$B$3),"",IF(INDEX(原始資料!AS$2:AS$501,$BJ213)="","",INDEX(原始資料!AS$2:AS$501,$BJ213)))</f>
        <v/>
      </c>
      <c r="AR213" s="6">
        <f>IF(OR($BJ213="",43&gt;設定!$B$3),"",IF(INDEX(原始資料!AT$2:AT$501,$BJ213)="","",INDEX(原始資料!AT$2:AT$501,$BJ213)))</f>
        <v/>
      </c>
      <c r="AS213" s="6">
        <f>IF(OR($BJ213="",44&gt;設定!$B$3),"",IF(INDEX(原始資料!AU$2:AU$501,$BJ213)="","",INDEX(原始資料!AU$2:AU$501,$BJ213)))</f>
        <v/>
      </c>
      <c r="AT213" s="6">
        <f>IF(OR($BJ213="",45&gt;設定!$B$3),"",IF(INDEX(原始資料!AV$2:AV$501,$BJ213)="","",INDEX(原始資料!AV$2:AV$501,$BJ213)))</f>
        <v/>
      </c>
      <c r="AU213" s="6">
        <f>IF(OR($BJ213="",46&gt;設定!$B$3),"",IF(INDEX(原始資料!AW$2:AW$501,$BJ213)="","",INDEX(原始資料!AW$2:AW$501,$BJ213)))</f>
        <v/>
      </c>
      <c r="AV213" s="6">
        <f>IF(OR($BJ213="",47&gt;設定!$B$3),"",IF(INDEX(原始資料!AX$2:AX$501,$BJ213)="","",INDEX(原始資料!AX$2:AX$501,$BJ213)))</f>
        <v/>
      </c>
      <c r="AW213" s="6">
        <f>IF(OR($BJ213="",48&gt;設定!$B$3),"",IF(INDEX(原始資料!AY$2:AY$501,$BJ213)="","",INDEX(原始資料!AY$2:AY$501,$BJ213)))</f>
        <v/>
      </c>
      <c r="AX213" s="6">
        <f>IF(OR($BJ213="",49&gt;設定!$B$3),"",IF(INDEX(原始資料!AZ$2:AZ$501,$BJ213)="","",INDEX(原始資料!AZ$2:AZ$501,$BJ213)))</f>
        <v/>
      </c>
      <c r="AY213" s="6">
        <f>IF(OR($BJ213="",50&gt;設定!$B$3),"",IF(INDEX(原始資料!BA$2:BA$501,$BJ213)="","",INDEX(原始資料!BA$2:BA$501,$BJ213)))</f>
        <v/>
      </c>
      <c r="AZ213" s="6">
        <f>IF(OR($BJ213="",51&gt;設定!$B$3),"",IF(INDEX(原始資料!BB$2:BB$501,$BJ213)="","",INDEX(原始資料!BB$2:BB$501,$BJ213)))</f>
        <v/>
      </c>
      <c r="BA213" s="6">
        <f>IF(OR($BJ213="",52&gt;設定!$B$3),"",IF(INDEX(原始資料!BC$2:BC$501,$BJ213)="","",INDEX(原始資料!BC$2:BC$501,$BJ213)))</f>
        <v/>
      </c>
      <c r="BB213" s="6">
        <f>IF(OR($BJ213="",53&gt;設定!$B$3),"",IF(INDEX(原始資料!BD$2:BD$501,$BJ213)="","",INDEX(原始資料!BD$2:BD$501,$BJ213)))</f>
        <v/>
      </c>
      <c r="BC213" s="6">
        <f>IF(OR($BJ213="",54&gt;設定!$B$3),"",IF(INDEX(原始資料!BE$2:BE$501,$BJ213)="","",INDEX(原始資料!BE$2:BE$501,$BJ213)))</f>
        <v/>
      </c>
      <c r="BD213" s="6">
        <f>IF(OR($BJ213="",55&gt;設定!$B$3),"",IF(INDEX(原始資料!BF$2:BF$501,$BJ213)="","",INDEX(原始資料!BF$2:BF$501,$BJ213)))</f>
        <v/>
      </c>
      <c r="BE213" s="6">
        <f>IF(OR($BJ213="",56&gt;設定!$B$3),"",IF(INDEX(原始資料!BG$2:BG$501,$BJ213)="","",INDEX(原始資料!BG$2:BG$501,$BJ213)))</f>
        <v/>
      </c>
      <c r="BF213" s="6">
        <f>IF(OR($BJ213="",57&gt;設定!$B$3),"",IF(INDEX(原始資料!BH$2:BH$501,$BJ213)="","",INDEX(原始資料!BH$2:BH$501,$BJ213)))</f>
        <v/>
      </c>
      <c r="BG213" s="6">
        <f>IF(OR($BJ213="",58&gt;設定!$B$3),"",IF(INDEX(原始資料!BI$2:BI$501,$BJ213)="","",INDEX(原始資料!BI$2:BI$501,$BJ213)))</f>
        <v/>
      </c>
      <c r="BH213" s="6">
        <f>IF(OR($BJ213="",59&gt;設定!$B$3),"",IF(INDEX(原始資料!BJ$2:BJ$501,$BJ213)="","",INDEX(原始資料!BJ$2:BJ$501,$BJ213)))</f>
        <v/>
      </c>
      <c r="BI213" s="6">
        <f>IF(OR($BJ213="",60&gt;設定!$B$3),"",IF(INDEX(原始資料!BK$2:BK$501,$BJ213)="","",INDEX(原始資料!BK$2:BK$501,$BJ213)))</f>
        <v/>
      </c>
      <c r="BJ213" s="6">
        <f>IFERROR(MATCH(ROW()-1,判定!$H$2:$H$501,0),"")</f>
        <v/>
      </c>
    </row>
    <row r="214">
      <c r="A214" s="6">
        <f>IF($BJ214="","",INDEX(原始資料!$A$2:$A$501,$BJ214))</f>
        <v/>
      </c>
      <c r="B214" s="6">
        <f>IF(OR($BJ214="",1&gt;設定!$B$3),"",IF(INDEX(原始資料!D$2:D$501,$BJ214)="","",INDEX(原始資料!D$2:D$501,$BJ214)))</f>
        <v/>
      </c>
      <c r="C214" s="6">
        <f>IF(OR($BJ214="",2&gt;設定!$B$3),"",IF(INDEX(原始資料!E$2:E$501,$BJ214)="","",INDEX(原始資料!E$2:E$501,$BJ214)))</f>
        <v/>
      </c>
      <c r="D214" s="6">
        <f>IF(OR($BJ214="",3&gt;設定!$B$3),"",IF(INDEX(原始資料!F$2:F$501,$BJ214)="","",INDEX(原始資料!F$2:F$501,$BJ214)))</f>
        <v/>
      </c>
      <c r="E214" s="6">
        <f>IF(OR($BJ214="",4&gt;設定!$B$3),"",IF(INDEX(原始資料!G$2:G$501,$BJ214)="","",INDEX(原始資料!G$2:G$501,$BJ214)))</f>
        <v/>
      </c>
      <c r="F214" s="6">
        <f>IF(OR($BJ214="",5&gt;設定!$B$3),"",IF(INDEX(原始資料!H$2:H$501,$BJ214)="","",INDEX(原始資料!H$2:H$501,$BJ214)))</f>
        <v/>
      </c>
      <c r="G214" s="6">
        <f>IF(OR($BJ214="",6&gt;設定!$B$3),"",IF(INDEX(原始資料!I$2:I$501,$BJ214)="","",INDEX(原始資料!I$2:I$501,$BJ214)))</f>
        <v/>
      </c>
      <c r="H214" s="6">
        <f>IF(OR($BJ214="",7&gt;設定!$B$3),"",IF(INDEX(原始資料!J$2:J$501,$BJ214)="","",INDEX(原始資料!J$2:J$501,$BJ214)))</f>
        <v/>
      </c>
      <c r="I214" s="6">
        <f>IF(OR($BJ214="",8&gt;設定!$B$3),"",IF(INDEX(原始資料!K$2:K$501,$BJ214)="","",INDEX(原始資料!K$2:K$501,$BJ214)))</f>
        <v/>
      </c>
      <c r="J214" s="6">
        <f>IF(OR($BJ214="",9&gt;設定!$B$3),"",IF(INDEX(原始資料!L$2:L$501,$BJ214)="","",INDEX(原始資料!L$2:L$501,$BJ214)))</f>
        <v/>
      </c>
      <c r="K214" s="6">
        <f>IF(OR($BJ214="",10&gt;設定!$B$3),"",IF(INDEX(原始資料!M$2:M$501,$BJ214)="","",INDEX(原始資料!M$2:M$501,$BJ214)))</f>
        <v/>
      </c>
      <c r="L214" s="6">
        <f>IF(OR($BJ214="",11&gt;設定!$B$3),"",IF(INDEX(原始資料!N$2:N$501,$BJ214)="","",INDEX(原始資料!N$2:N$501,$BJ214)))</f>
        <v/>
      </c>
      <c r="M214" s="6">
        <f>IF(OR($BJ214="",12&gt;設定!$B$3),"",IF(INDEX(原始資料!O$2:O$501,$BJ214)="","",INDEX(原始資料!O$2:O$501,$BJ214)))</f>
        <v/>
      </c>
      <c r="N214" s="6">
        <f>IF(OR($BJ214="",13&gt;設定!$B$3),"",IF(INDEX(原始資料!P$2:P$501,$BJ214)="","",INDEX(原始資料!P$2:P$501,$BJ214)))</f>
        <v/>
      </c>
      <c r="O214" s="6">
        <f>IF(OR($BJ214="",14&gt;設定!$B$3),"",IF(INDEX(原始資料!Q$2:Q$501,$BJ214)="","",INDEX(原始資料!Q$2:Q$501,$BJ214)))</f>
        <v/>
      </c>
      <c r="P214" s="6">
        <f>IF(OR($BJ214="",15&gt;設定!$B$3),"",IF(INDEX(原始資料!R$2:R$501,$BJ214)="","",INDEX(原始資料!R$2:R$501,$BJ214)))</f>
        <v/>
      </c>
      <c r="Q214" s="6">
        <f>IF(OR($BJ214="",16&gt;設定!$B$3),"",IF(INDEX(原始資料!S$2:S$501,$BJ214)="","",INDEX(原始資料!S$2:S$501,$BJ214)))</f>
        <v/>
      </c>
      <c r="R214" s="6">
        <f>IF(OR($BJ214="",17&gt;設定!$B$3),"",IF(INDEX(原始資料!T$2:T$501,$BJ214)="","",INDEX(原始資料!T$2:T$501,$BJ214)))</f>
        <v/>
      </c>
      <c r="S214" s="6">
        <f>IF(OR($BJ214="",18&gt;設定!$B$3),"",IF(INDEX(原始資料!U$2:U$501,$BJ214)="","",INDEX(原始資料!U$2:U$501,$BJ214)))</f>
        <v/>
      </c>
      <c r="T214" s="6">
        <f>IF(OR($BJ214="",19&gt;設定!$B$3),"",IF(INDEX(原始資料!V$2:V$501,$BJ214)="","",INDEX(原始資料!V$2:V$501,$BJ214)))</f>
        <v/>
      </c>
      <c r="U214" s="6">
        <f>IF(OR($BJ214="",20&gt;設定!$B$3),"",IF(INDEX(原始資料!W$2:W$501,$BJ214)="","",INDEX(原始資料!W$2:W$501,$BJ214)))</f>
        <v/>
      </c>
      <c r="V214" s="6">
        <f>IF(OR($BJ214="",21&gt;設定!$B$3),"",IF(INDEX(原始資料!X$2:X$501,$BJ214)="","",INDEX(原始資料!X$2:X$501,$BJ214)))</f>
        <v/>
      </c>
      <c r="W214" s="6">
        <f>IF(OR($BJ214="",22&gt;設定!$B$3),"",IF(INDEX(原始資料!Y$2:Y$501,$BJ214)="","",INDEX(原始資料!Y$2:Y$501,$BJ214)))</f>
        <v/>
      </c>
      <c r="X214" s="6">
        <f>IF(OR($BJ214="",23&gt;設定!$B$3),"",IF(INDEX(原始資料!Z$2:Z$501,$BJ214)="","",INDEX(原始資料!Z$2:Z$501,$BJ214)))</f>
        <v/>
      </c>
      <c r="Y214" s="6">
        <f>IF(OR($BJ214="",24&gt;設定!$B$3),"",IF(INDEX(原始資料!AA$2:AA$501,$BJ214)="","",INDEX(原始資料!AA$2:AA$501,$BJ214)))</f>
        <v/>
      </c>
      <c r="Z214" s="6">
        <f>IF(OR($BJ214="",25&gt;設定!$B$3),"",IF(INDEX(原始資料!AB$2:AB$501,$BJ214)="","",INDEX(原始資料!AB$2:AB$501,$BJ214)))</f>
        <v/>
      </c>
      <c r="AA214" s="6">
        <f>IF(OR($BJ214="",26&gt;設定!$B$3),"",IF(INDEX(原始資料!AC$2:AC$501,$BJ214)="","",INDEX(原始資料!AC$2:AC$501,$BJ214)))</f>
        <v/>
      </c>
      <c r="AB214" s="6">
        <f>IF(OR($BJ214="",27&gt;設定!$B$3),"",IF(INDEX(原始資料!AD$2:AD$501,$BJ214)="","",INDEX(原始資料!AD$2:AD$501,$BJ214)))</f>
        <v/>
      </c>
      <c r="AC214" s="6">
        <f>IF(OR($BJ214="",28&gt;設定!$B$3),"",IF(INDEX(原始資料!AE$2:AE$501,$BJ214)="","",INDEX(原始資料!AE$2:AE$501,$BJ214)))</f>
        <v/>
      </c>
      <c r="AD214" s="6">
        <f>IF(OR($BJ214="",29&gt;設定!$B$3),"",IF(INDEX(原始資料!AF$2:AF$501,$BJ214)="","",INDEX(原始資料!AF$2:AF$501,$BJ214)))</f>
        <v/>
      </c>
      <c r="AE214" s="6">
        <f>IF(OR($BJ214="",30&gt;設定!$B$3),"",IF(INDEX(原始資料!AG$2:AG$501,$BJ214)="","",INDEX(原始資料!AG$2:AG$501,$BJ214)))</f>
        <v/>
      </c>
      <c r="AF214" s="6">
        <f>IF(OR($BJ214="",31&gt;設定!$B$3),"",IF(INDEX(原始資料!AH$2:AH$501,$BJ214)="","",INDEX(原始資料!AH$2:AH$501,$BJ214)))</f>
        <v/>
      </c>
      <c r="AG214" s="6">
        <f>IF(OR($BJ214="",32&gt;設定!$B$3),"",IF(INDEX(原始資料!AI$2:AI$501,$BJ214)="","",INDEX(原始資料!AI$2:AI$501,$BJ214)))</f>
        <v/>
      </c>
      <c r="AH214" s="6">
        <f>IF(OR($BJ214="",33&gt;設定!$B$3),"",IF(INDEX(原始資料!AJ$2:AJ$501,$BJ214)="","",INDEX(原始資料!AJ$2:AJ$501,$BJ214)))</f>
        <v/>
      </c>
      <c r="AI214" s="6">
        <f>IF(OR($BJ214="",34&gt;設定!$B$3),"",IF(INDEX(原始資料!AK$2:AK$501,$BJ214)="","",INDEX(原始資料!AK$2:AK$501,$BJ214)))</f>
        <v/>
      </c>
      <c r="AJ214" s="6">
        <f>IF(OR($BJ214="",35&gt;設定!$B$3),"",IF(INDEX(原始資料!AL$2:AL$501,$BJ214)="","",INDEX(原始資料!AL$2:AL$501,$BJ214)))</f>
        <v/>
      </c>
      <c r="AK214" s="6">
        <f>IF(OR($BJ214="",36&gt;設定!$B$3),"",IF(INDEX(原始資料!AM$2:AM$501,$BJ214)="","",INDEX(原始資料!AM$2:AM$501,$BJ214)))</f>
        <v/>
      </c>
      <c r="AL214" s="6">
        <f>IF(OR($BJ214="",37&gt;設定!$B$3),"",IF(INDEX(原始資料!AN$2:AN$501,$BJ214)="","",INDEX(原始資料!AN$2:AN$501,$BJ214)))</f>
        <v/>
      </c>
      <c r="AM214" s="6">
        <f>IF(OR($BJ214="",38&gt;設定!$B$3),"",IF(INDEX(原始資料!AO$2:AO$501,$BJ214)="","",INDEX(原始資料!AO$2:AO$501,$BJ214)))</f>
        <v/>
      </c>
      <c r="AN214" s="6">
        <f>IF(OR($BJ214="",39&gt;設定!$B$3),"",IF(INDEX(原始資料!AP$2:AP$501,$BJ214)="","",INDEX(原始資料!AP$2:AP$501,$BJ214)))</f>
        <v/>
      </c>
      <c r="AO214" s="6">
        <f>IF(OR($BJ214="",40&gt;設定!$B$3),"",IF(INDEX(原始資料!AQ$2:AQ$501,$BJ214)="","",INDEX(原始資料!AQ$2:AQ$501,$BJ214)))</f>
        <v/>
      </c>
      <c r="AP214" s="6">
        <f>IF(OR($BJ214="",41&gt;設定!$B$3),"",IF(INDEX(原始資料!AR$2:AR$501,$BJ214)="","",INDEX(原始資料!AR$2:AR$501,$BJ214)))</f>
        <v/>
      </c>
      <c r="AQ214" s="6">
        <f>IF(OR($BJ214="",42&gt;設定!$B$3),"",IF(INDEX(原始資料!AS$2:AS$501,$BJ214)="","",INDEX(原始資料!AS$2:AS$501,$BJ214)))</f>
        <v/>
      </c>
      <c r="AR214" s="6">
        <f>IF(OR($BJ214="",43&gt;設定!$B$3),"",IF(INDEX(原始資料!AT$2:AT$501,$BJ214)="","",INDEX(原始資料!AT$2:AT$501,$BJ214)))</f>
        <v/>
      </c>
      <c r="AS214" s="6">
        <f>IF(OR($BJ214="",44&gt;設定!$B$3),"",IF(INDEX(原始資料!AU$2:AU$501,$BJ214)="","",INDEX(原始資料!AU$2:AU$501,$BJ214)))</f>
        <v/>
      </c>
      <c r="AT214" s="6">
        <f>IF(OR($BJ214="",45&gt;設定!$B$3),"",IF(INDEX(原始資料!AV$2:AV$501,$BJ214)="","",INDEX(原始資料!AV$2:AV$501,$BJ214)))</f>
        <v/>
      </c>
      <c r="AU214" s="6">
        <f>IF(OR($BJ214="",46&gt;設定!$B$3),"",IF(INDEX(原始資料!AW$2:AW$501,$BJ214)="","",INDEX(原始資料!AW$2:AW$501,$BJ214)))</f>
        <v/>
      </c>
      <c r="AV214" s="6">
        <f>IF(OR($BJ214="",47&gt;設定!$B$3),"",IF(INDEX(原始資料!AX$2:AX$501,$BJ214)="","",INDEX(原始資料!AX$2:AX$501,$BJ214)))</f>
        <v/>
      </c>
      <c r="AW214" s="6">
        <f>IF(OR($BJ214="",48&gt;設定!$B$3),"",IF(INDEX(原始資料!AY$2:AY$501,$BJ214)="","",INDEX(原始資料!AY$2:AY$501,$BJ214)))</f>
        <v/>
      </c>
      <c r="AX214" s="6">
        <f>IF(OR($BJ214="",49&gt;設定!$B$3),"",IF(INDEX(原始資料!AZ$2:AZ$501,$BJ214)="","",INDEX(原始資料!AZ$2:AZ$501,$BJ214)))</f>
        <v/>
      </c>
      <c r="AY214" s="6">
        <f>IF(OR($BJ214="",50&gt;設定!$B$3),"",IF(INDEX(原始資料!BA$2:BA$501,$BJ214)="","",INDEX(原始資料!BA$2:BA$501,$BJ214)))</f>
        <v/>
      </c>
      <c r="AZ214" s="6">
        <f>IF(OR($BJ214="",51&gt;設定!$B$3),"",IF(INDEX(原始資料!BB$2:BB$501,$BJ214)="","",INDEX(原始資料!BB$2:BB$501,$BJ214)))</f>
        <v/>
      </c>
      <c r="BA214" s="6">
        <f>IF(OR($BJ214="",52&gt;設定!$B$3),"",IF(INDEX(原始資料!BC$2:BC$501,$BJ214)="","",INDEX(原始資料!BC$2:BC$501,$BJ214)))</f>
        <v/>
      </c>
      <c r="BB214" s="6">
        <f>IF(OR($BJ214="",53&gt;設定!$B$3),"",IF(INDEX(原始資料!BD$2:BD$501,$BJ214)="","",INDEX(原始資料!BD$2:BD$501,$BJ214)))</f>
        <v/>
      </c>
      <c r="BC214" s="6">
        <f>IF(OR($BJ214="",54&gt;設定!$B$3),"",IF(INDEX(原始資料!BE$2:BE$501,$BJ214)="","",INDEX(原始資料!BE$2:BE$501,$BJ214)))</f>
        <v/>
      </c>
      <c r="BD214" s="6">
        <f>IF(OR($BJ214="",55&gt;設定!$B$3),"",IF(INDEX(原始資料!BF$2:BF$501,$BJ214)="","",INDEX(原始資料!BF$2:BF$501,$BJ214)))</f>
        <v/>
      </c>
      <c r="BE214" s="6">
        <f>IF(OR($BJ214="",56&gt;設定!$B$3),"",IF(INDEX(原始資料!BG$2:BG$501,$BJ214)="","",INDEX(原始資料!BG$2:BG$501,$BJ214)))</f>
        <v/>
      </c>
      <c r="BF214" s="6">
        <f>IF(OR($BJ214="",57&gt;設定!$B$3),"",IF(INDEX(原始資料!BH$2:BH$501,$BJ214)="","",INDEX(原始資料!BH$2:BH$501,$BJ214)))</f>
        <v/>
      </c>
      <c r="BG214" s="6">
        <f>IF(OR($BJ214="",58&gt;設定!$B$3),"",IF(INDEX(原始資料!BI$2:BI$501,$BJ214)="","",INDEX(原始資料!BI$2:BI$501,$BJ214)))</f>
        <v/>
      </c>
      <c r="BH214" s="6">
        <f>IF(OR($BJ214="",59&gt;設定!$B$3),"",IF(INDEX(原始資料!BJ$2:BJ$501,$BJ214)="","",INDEX(原始資料!BJ$2:BJ$501,$BJ214)))</f>
        <v/>
      </c>
      <c r="BI214" s="6">
        <f>IF(OR($BJ214="",60&gt;設定!$B$3),"",IF(INDEX(原始資料!BK$2:BK$501,$BJ214)="","",INDEX(原始資料!BK$2:BK$501,$BJ214)))</f>
        <v/>
      </c>
      <c r="BJ214" s="6">
        <f>IFERROR(MATCH(ROW()-1,判定!$H$2:$H$501,0),"")</f>
        <v/>
      </c>
    </row>
    <row r="215">
      <c r="A215" s="6">
        <f>IF($BJ215="","",INDEX(原始資料!$A$2:$A$501,$BJ215))</f>
        <v/>
      </c>
      <c r="B215" s="6">
        <f>IF(OR($BJ215="",1&gt;設定!$B$3),"",IF(INDEX(原始資料!D$2:D$501,$BJ215)="","",INDEX(原始資料!D$2:D$501,$BJ215)))</f>
        <v/>
      </c>
      <c r="C215" s="6">
        <f>IF(OR($BJ215="",2&gt;設定!$B$3),"",IF(INDEX(原始資料!E$2:E$501,$BJ215)="","",INDEX(原始資料!E$2:E$501,$BJ215)))</f>
        <v/>
      </c>
      <c r="D215" s="6">
        <f>IF(OR($BJ215="",3&gt;設定!$B$3),"",IF(INDEX(原始資料!F$2:F$501,$BJ215)="","",INDEX(原始資料!F$2:F$501,$BJ215)))</f>
        <v/>
      </c>
      <c r="E215" s="6">
        <f>IF(OR($BJ215="",4&gt;設定!$B$3),"",IF(INDEX(原始資料!G$2:G$501,$BJ215)="","",INDEX(原始資料!G$2:G$501,$BJ215)))</f>
        <v/>
      </c>
      <c r="F215" s="6">
        <f>IF(OR($BJ215="",5&gt;設定!$B$3),"",IF(INDEX(原始資料!H$2:H$501,$BJ215)="","",INDEX(原始資料!H$2:H$501,$BJ215)))</f>
        <v/>
      </c>
      <c r="G215" s="6">
        <f>IF(OR($BJ215="",6&gt;設定!$B$3),"",IF(INDEX(原始資料!I$2:I$501,$BJ215)="","",INDEX(原始資料!I$2:I$501,$BJ215)))</f>
        <v/>
      </c>
      <c r="H215" s="6">
        <f>IF(OR($BJ215="",7&gt;設定!$B$3),"",IF(INDEX(原始資料!J$2:J$501,$BJ215)="","",INDEX(原始資料!J$2:J$501,$BJ215)))</f>
        <v/>
      </c>
      <c r="I215" s="6">
        <f>IF(OR($BJ215="",8&gt;設定!$B$3),"",IF(INDEX(原始資料!K$2:K$501,$BJ215)="","",INDEX(原始資料!K$2:K$501,$BJ215)))</f>
        <v/>
      </c>
      <c r="J215" s="6">
        <f>IF(OR($BJ215="",9&gt;設定!$B$3),"",IF(INDEX(原始資料!L$2:L$501,$BJ215)="","",INDEX(原始資料!L$2:L$501,$BJ215)))</f>
        <v/>
      </c>
      <c r="K215" s="6">
        <f>IF(OR($BJ215="",10&gt;設定!$B$3),"",IF(INDEX(原始資料!M$2:M$501,$BJ215)="","",INDEX(原始資料!M$2:M$501,$BJ215)))</f>
        <v/>
      </c>
      <c r="L215" s="6">
        <f>IF(OR($BJ215="",11&gt;設定!$B$3),"",IF(INDEX(原始資料!N$2:N$501,$BJ215)="","",INDEX(原始資料!N$2:N$501,$BJ215)))</f>
        <v/>
      </c>
      <c r="M215" s="6">
        <f>IF(OR($BJ215="",12&gt;設定!$B$3),"",IF(INDEX(原始資料!O$2:O$501,$BJ215)="","",INDEX(原始資料!O$2:O$501,$BJ215)))</f>
        <v/>
      </c>
      <c r="N215" s="6">
        <f>IF(OR($BJ215="",13&gt;設定!$B$3),"",IF(INDEX(原始資料!P$2:P$501,$BJ215)="","",INDEX(原始資料!P$2:P$501,$BJ215)))</f>
        <v/>
      </c>
      <c r="O215" s="6">
        <f>IF(OR($BJ215="",14&gt;設定!$B$3),"",IF(INDEX(原始資料!Q$2:Q$501,$BJ215)="","",INDEX(原始資料!Q$2:Q$501,$BJ215)))</f>
        <v/>
      </c>
      <c r="P215" s="6">
        <f>IF(OR($BJ215="",15&gt;設定!$B$3),"",IF(INDEX(原始資料!R$2:R$501,$BJ215)="","",INDEX(原始資料!R$2:R$501,$BJ215)))</f>
        <v/>
      </c>
      <c r="Q215" s="6">
        <f>IF(OR($BJ215="",16&gt;設定!$B$3),"",IF(INDEX(原始資料!S$2:S$501,$BJ215)="","",INDEX(原始資料!S$2:S$501,$BJ215)))</f>
        <v/>
      </c>
      <c r="R215" s="6">
        <f>IF(OR($BJ215="",17&gt;設定!$B$3),"",IF(INDEX(原始資料!T$2:T$501,$BJ215)="","",INDEX(原始資料!T$2:T$501,$BJ215)))</f>
        <v/>
      </c>
      <c r="S215" s="6">
        <f>IF(OR($BJ215="",18&gt;設定!$B$3),"",IF(INDEX(原始資料!U$2:U$501,$BJ215)="","",INDEX(原始資料!U$2:U$501,$BJ215)))</f>
        <v/>
      </c>
      <c r="T215" s="6">
        <f>IF(OR($BJ215="",19&gt;設定!$B$3),"",IF(INDEX(原始資料!V$2:V$501,$BJ215)="","",INDEX(原始資料!V$2:V$501,$BJ215)))</f>
        <v/>
      </c>
      <c r="U215" s="6">
        <f>IF(OR($BJ215="",20&gt;設定!$B$3),"",IF(INDEX(原始資料!W$2:W$501,$BJ215)="","",INDEX(原始資料!W$2:W$501,$BJ215)))</f>
        <v/>
      </c>
      <c r="V215" s="6">
        <f>IF(OR($BJ215="",21&gt;設定!$B$3),"",IF(INDEX(原始資料!X$2:X$501,$BJ215)="","",INDEX(原始資料!X$2:X$501,$BJ215)))</f>
        <v/>
      </c>
      <c r="W215" s="6">
        <f>IF(OR($BJ215="",22&gt;設定!$B$3),"",IF(INDEX(原始資料!Y$2:Y$501,$BJ215)="","",INDEX(原始資料!Y$2:Y$501,$BJ215)))</f>
        <v/>
      </c>
      <c r="X215" s="6">
        <f>IF(OR($BJ215="",23&gt;設定!$B$3),"",IF(INDEX(原始資料!Z$2:Z$501,$BJ215)="","",INDEX(原始資料!Z$2:Z$501,$BJ215)))</f>
        <v/>
      </c>
      <c r="Y215" s="6">
        <f>IF(OR($BJ215="",24&gt;設定!$B$3),"",IF(INDEX(原始資料!AA$2:AA$501,$BJ215)="","",INDEX(原始資料!AA$2:AA$501,$BJ215)))</f>
        <v/>
      </c>
      <c r="Z215" s="6">
        <f>IF(OR($BJ215="",25&gt;設定!$B$3),"",IF(INDEX(原始資料!AB$2:AB$501,$BJ215)="","",INDEX(原始資料!AB$2:AB$501,$BJ215)))</f>
        <v/>
      </c>
      <c r="AA215" s="6">
        <f>IF(OR($BJ215="",26&gt;設定!$B$3),"",IF(INDEX(原始資料!AC$2:AC$501,$BJ215)="","",INDEX(原始資料!AC$2:AC$501,$BJ215)))</f>
        <v/>
      </c>
      <c r="AB215" s="6">
        <f>IF(OR($BJ215="",27&gt;設定!$B$3),"",IF(INDEX(原始資料!AD$2:AD$501,$BJ215)="","",INDEX(原始資料!AD$2:AD$501,$BJ215)))</f>
        <v/>
      </c>
      <c r="AC215" s="6">
        <f>IF(OR($BJ215="",28&gt;設定!$B$3),"",IF(INDEX(原始資料!AE$2:AE$501,$BJ215)="","",INDEX(原始資料!AE$2:AE$501,$BJ215)))</f>
        <v/>
      </c>
      <c r="AD215" s="6">
        <f>IF(OR($BJ215="",29&gt;設定!$B$3),"",IF(INDEX(原始資料!AF$2:AF$501,$BJ215)="","",INDEX(原始資料!AF$2:AF$501,$BJ215)))</f>
        <v/>
      </c>
      <c r="AE215" s="6">
        <f>IF(OR($BJ215="",30&gt;設定!$B$3),"",IF(INDEX(原始資料!AG$2:AG$501,$BJ215)="","",INDEX(原始資料!AG$2:AG$501,$BJ215)))</f>
        <v/>
      </c>
      <c r="AF215" s="6">
        <f>IF(OR($BJ215="",31&gt;設定!$B$3),"",IF(INDEX(原始資料!AH$2:AH$501,$BJ215)="","",INDEX(原始資料!AH$2:AH$501,$BJ215)))</f>
        <v/>
      </c>
      <c r="AG215" s="6">
        <f>IF(OR($BJ215="",32&gt;設定!$B$3),"",IF(INDEX(原始資料!AI$2:AI$501,$BJ215)="","",INDEX(原始資料!AI$2:AI$501,$BJ215)))</f>
        <v/>
      </c>
      <c r="AH215" s="6">
        <f>IF(OR($BJ215="",33&gt;設定!$B$3),"",IF(INDEX(原始資料!AJ$2:AJ$501,$BJ215)="","",INDEX(原始資料!AJ$2:AJ$501,$BJ215)))</f>
        <v/>
      </c>
      <c r="AI215" s="6">
        <f>IF(OR($BJ215="",34&gt;設定!$B$3),"",IF(INDEX(原始資料!AK$2:AK$501,$BJ215)="","",INDEX(原始資料!AK$2:AK$501,$BJ215)))</f>
        <v/>
      </c>
      <c r="AJ215" s="6">
        <f>IF(OR($BJ215="",35&gt;設定!$B$3),"",IF(INDEX(原始資料!AL$2:AL$501,$BJ215)="","",INDEX(原始資料!AL$2:AL$501,$BJ215)))</f>
        <v/>
      </c>
      <c r="AK215" s="6">
        <f>IF(OR($BJ215="",36&gt;設定!$B$3),"",IF(INDEX(原始資料!AM$2:AM$501,$BJ215)="","",INDEX(原始資料!AM$2:AM$501,$BJ215)))</f>
        <v/>
      </c>
      <c r="AL215" s="6">
        <f>IF(OR($BJ215="",37&gt;設定!$B$3),"",IF(INDEX(原始資料!AN$2:AN$501,$BJ215)="","",INDEX(原始資料!AN$2:AN$501,$BJ215)))</f>
        <v/>
      </c>
      <c r="AM215" s="6">
        <f>IF(OR($BJ215="",38&gt;設定!$B$3),"",IF(INDEX(原始資料!AO$2:AO$501,$BJ215)="","",INDEX(原始資料!AO$2:AO$501,$BJ215)))</f>
        <v/>
      </c>
      <c r="AN215" s="6">
        <f>IF(OR($BJ215="",39&gt;設定!$B$3),"",IF(INDEX(原始資料!AP$2:AP$501,$BJ215)="","",INDEX(原始資料!AP$2:AP$501,$BJ215)))</f>
        <v/>
      </c>
      <c r="AO215" s="6">
        <f>IF(OR($BJ215="",40&gt;設定!$B$3),"",IF(INDEX(原始資料!AQ$2:AQ$501,$BJ215)="","",INDEX(原始資料!AQ$2:AQ$501,$BJ215)))</f>
        <v/>
      </c>
      <c r="AP215" s="6">
        <f>IF(OR($BJ215="",41&gt;設定!$B$3),"",IF(INDEX(原始資料!AR$2:AR$501,$BJ215)="","",INDEX(原始資料!AR$2:AR$501,$BJ215)))</f>
        <v/>
      </c>
      <c r="AQ215" s="6">
        <f>IF(OR($BJ215="",42&gt;設定!$B$3),"",IF(INDEX(原始資料!AS$2:AS$501,$BJ215)="","",INDEX(原始資料!AS$2:AS$501,$BJ215)))</f>
        <v/>
      </c>
      <c r="AR215" s="6">
        <f>IF(OR($BJ215="",43&gt;設定!$B$3),"",IF(INDEX(原始資料!AT$2:AT$501,$BJ215)="","",INDEX(原始資料!AT$2:AT$501,$BJ215)))</f>
        <v/>
      </c>
      <c r="AS215" s="6">
        <f>IF(OR($BJ215="",44&gt;設定!$B$3),"",IF(INDEX(原始資料!AU$2:AU$501,$BJ215)="","",INDEX(原始資料!AU$2:AU$501,$BJ215)))</f>
        <v/>
      </c>
      <c r="AT215" s="6">
        <f>IF(OR($BJ215="",45&gt;設定!$B$3),"",IF(INDEX(原始資料!AV$2:AV$501,$BJ215)="","",INDEX(原始資料!AV$2:AV$501,$BJ215)))</f>
        <v/>
      </c>
      <c r="AU215" s="6">
        <f>IF(OR($BJ215="",46&gt;設定!$B$3),"",IF(INDEX(原始資料!AW$2:AW$501,$BJ215)="","",INDEX(原始資料!AW$2:AW$501,$BJ215)))</f>
        <v/>
      </c>
      <c r="AV215" s="6">
        <f>IF(OR($BJ215="",47&gt;設定!$B$3),"",IF(INDEX(原始資料!AX$2:AX$501,$BJ215)="","",INDEX(原始資料!AX$2:AX$501,$BJ215)))</f>
        <v/>
      </c>
      <c r="AW215" s="6">
        <f>IF(OR($BJ215="",48&gt;設定!$B$3),"",IF(INDEX(原始資料!AY$2:AY$501,$BJ215)="","",INDEX(原始資料!AY$2:AY$501,$BJ215)))</f>
        <v/>
      </c>
      <c r="AX215" s="6">
        <f>IF(OR($BJ215="",49&gt;設定!$B$3),"",IF(INDEX(原始資料!AZ$2:AZ$501,$BJ215)="","",INDEX(原始資料!AZ$2:AZ$501,$BJ215)))</f>
        <v/>
      </c>
      <c r="AY215" s="6">
        <f>IF(OR($BJ215="",50&gt;設定!$B$3),"",IF(INDEX(原始資料!BA$2:BA$501,$BJ215)="","",INDEX(原始資料!BA$2:BA$501,$BJ215)))</f>
        <v/>
      </c>
      <c r="AZ215" s="6">
        <f>IF(OR($BJ215="",51&gt;設定!$B$3),"",IF(INDEX(原始資料!BB$2:BB$501,$BJ215)="","",INDEX(原始資料!BB$2:BB$501,$BJ215)))</f>
        <v/>
      </c>
      <c r="BA215" s="6">
        <f>IF(OR($BJ215="",52&gt;設定!$B$3),"",IF(INDEX(原始資料!BC$2:BC$501,$BJ215)="","",INDEX(原始資料!BC$2:BC$501,$BJ215)))</f>
        <v/>
      </c>
      <c r="BB215" s="6">
        <f>IF(OR($BJ215="",53&gt;設定!$B$3),"",IF(INDEX(原始資料!BD$2:BD$501,$BJ215)="","",INDEX(原始資料!BD$2:BD$501,$BJ215)))</f>
        <v/>
      </c>
      <c r="BC215" s="6">
        <f>IF(OR($BJ215="",54&gt;設定!$B$3),"",IF(INDEX(原始資料!BE$2:BE$501,$BJ215)="","",INDEX(原始資料!BE$2:BE$501,$BJ215)))</f>
        <v/>
      </c>
      <c r="BD215" s="6">
        <f>IF(OR($BJ215="",55&gt;設定!$B$3),"",IF(INDEX(原始資料!BF$2:BF$501,$BJ215)="","",INDEX(原始資料!BF$2:BF$501,$BJ215)))</f>
        <v/>
      </c>
      <c r="BE215" s="6">
        <f>IF(OR($BJ215="",56&gt;設定!$B$3),"",IF(INDEX(原始資料!BG$2:BG$501,$BJ215)="","",INDEX(原始資料!BG$2:BG$501,$BJ215)))</f>
        <v/>
      </c>
      <c r="BF215" s="6">
        <f>IF(OR($BJ215="",57&gt;設定!$B$3),"",IF(INDEX(原始資料!BH$2:BH$501,$BJ215)="","",INDEX(原始資料!BH$2:BH$501,$BJ215)))</f>
        <v/>
      </c>
      <c r="BG215" s="6">
        <f>IF(OR($BJ215="",58&gt;設定!$B$3),"",IF(INDEX(原始資料!BI$2:BI$501,$BJ215)="","",INDEX(原始資料!BI$2:BI$501,$BJ215)))</f>
        <v/>
      </c>
      <c r="BH215" s="6">
        <f>IF(OR($BJ215="",59&gt;設定!$B$3),"",IF(INDEX(原始資料!BJ$2:BJ$501,$BJ215)="","",INDEX(原始資料!BJ$2:BJ$501,$BJ215)))</f>
        <v/>
      </c>
      <c r="BI215" s="6">
        <f>IF(OR($BJ215="",60&gt;設定!$B$3),"",IF(INDEX(原始資料!BK$2:BK$501,$BJ215)="","",INDEX(原始資料!BK$2:BK$501,$BJ215)))</f>
        <v/>
      </c>
      <c r="BJ215" s="6">
        <f>IFERROR(MATCH(ROW()-1,判定!$H$2:$H$501,0),"")</f>
        <v/>
      </c>
    </row>
    <row r="216">
      <c r="A216" s="6">
        <f>IF($BJ216="","",INDEX(原始資料!$A$2:$A$501,$BJ216))</f>
        <v/>
      </c>
      <c r="B216" s="6">
        <f>IF(OR($BJ216="",1&gt;設定!$B$3),"",IF(INDEX(原始資料!D$2:D$501,$BJ216)="","",INDEX(原始資料!D$2:D$501,$BJ216)))</f>
        <v/>
      </c>
      <c r="C216" s="6">
        <f>IF(OR($BJ216="",2&gt;設定!$B$3),"",IF(INDEX(原始資料!E$2:E$501,$BJ216)="","",INDEX(原始資料!E$2:E$501,$BJ216)))</f>
        <v/>
      </c>
      <c r="D216" s="6">
        <f>IF(OR($BJ216="",3&gt;設定!$B$3),"",IF(INDEX(原始資料!F$2:F$501,$BJ216)="","",INDEX(原始資料!F$2:F$501,$BJ216)))</f>
        <v/>
      </c>
      <c r="E216" s="6">
        <f>IF(OR($BJ216="",4&gt;設定!$B$3),"",IF(INDEX(原始資料!G$2:G$501,$BJ216)="","",INDEX(原始資料!G$2:G$501,$BJ216)))</f>
        <v/>
      </c>
      <c r="F216" s="6">
        <f>IF(OR($BJ216="",5&gt;設定!$B$3),"",IF(INDEX(原始資料!H$2:H$501,$BJ216)="","",INDEX(原始資料!H$2:H$501,$BJ216)))</f>
        <v/>
      </c>
      <c r="G216" s="6">
        <f>IF(OR($BJ216="",6&gt;設定!$B$3),"",IF(INDEX(原始資料!I$2:I$501,$BJ216)="","",INDEX(原始資料!I$2:I$501,$BJ216)))</f>
        <v/>
      </c>
      <c r="H216" s="6">
        <f>IF(OR($BJ216="",7&gt;設定!$B$3),"",IF(INDEX(原始資料!J$2:J$501,$BJ216)="","",INDEX(原始資料!J$2:J$501,$BJ216)))</f>
        <v/>
      </c>
      <c r="I216" s="6">
        <f>IF(OR($BJ216="",8&gt;設定!$B$3),"",IF(INDEX(原始資料!K$2:K$501,$BJ216)="","",INDEX(原始資料!K$2:K$501,$BJ216)))</f>
        <v/>
      </c>
      <c r="J216" s="6">
        <f>IF(OR($BJ216="",9&gt;設定!$B$3),"",IF(INDEX(原始資料!L$2:L$501,$BJ216)="","",INDEX(原始資料!L$2:L$501,$BJ216)))</f>
        <v/>
      </c>
      <c r="K216" s="6">
        <f>IF(OR($BJ216="",10&gt;設定!$B$3),"",IF(INDEX(原始資料!M$2:M$501,$BJ216)="","",INDEX(原始資料!M$2:M$501,$BJ216)))</f>
        <v/>
      </c>
      <c r="L216" s="6">
        <f>IF(OR($BJ216="",11&gt;設定!$B$3),"",IF(INDEX(原始資料!N$2:N$501,$BJ216)="","",INDEX(原始資料!N$2:N$501,$BJ216)))</f>
        <v/>
      </c>
      <c r="M216" s="6">
        <f>IF(OR($BJ216="",12&gt;設定!$B$3),"",IF(INDEX(原始資料!O$2:O$501,$BJ216)="","",INDEX(原始資料!O$2:O$501,$BJ216)))</f>
        <v/>
      </c>
      <c r="N216" s="6">
        <f>IF(OR($BJ216="",13&gt;設定!$B$3),"",IF(INDEX(原始資料!P$2:P$501,$BJ216)="","",INDEX(原始資料!P$2:P$501,$BJ216)))</f>
        <v/>
      </c>
      <c r="O216" s="6">
        <f>IF(OR($BJ216="",14&gt;設定!$B$3),"",IF(INDEX(原始資料!Q$2:Q$501,$BJ216)="","",INDEX(原始資料!Q$2:Q$501,$BJ216)))</f>
        <v/>
      </c>
      <c r="P216" s="6">
        <f>IF(OR($BJ216="",15&gt;設定!$B$3),"",IF(INDEX(原始資料!R$2:R$501,$BJ216)="","",INDEX(原始資料!R$2:R$501,$BJ216)))</f>
        <v/>
      </c>
      <c r="Q216" s="6">
        <f>IF(OR($BJ216="",16&gt;設定!$B$3),"",IF(INDEX(原始資料!S$2:S$501,$BJ216)="","",INDEX(原始資料!S$2:S$501,$BJ216)))</f>
        <v/>
      </c>
      <c r="R216" s="6">
        <f>IF(OR($BJ216="",17&gt;設定!$B$3),"",IF(INDEX(原始資料!T$2:T$501,$BJ216)="","",INDEX(原始資料!T$2:T$501,$BJ216)))</f>
        <v/>
      </c>
      <c r="S216" s="6">
        <f>IF(OR($BJ216="",18&gt;設定!$B$3),"",IF(INDEX(原始資料!U$2:U$501,$BJ216)="","",INDEX(原始資料!U$2:U$501,$BJ216)))</f>
        <v/>
      </c>
      <c r="T216" s="6">
        <f>IF(OR($BJ216="",19&gt;設定!$B$3),"",IF(INDEX(原始資料!V$2:V$501,$BJ216)="","",INDEX(原始資料!V$2:V$501,$BJ216)))</f>
        <v/>
      </c>
      <c r="U216" s="6">
        <f>IF(OR($BJ216="",20&gt;設定!$B$3),"",IF(INDEX(原始資料!W$2:W$501,$BJ216)="","",INDEX(原始資料!W$2:W$501,$BJ216)))</f>
        <v/>
      </c>
      <c r="V216" s="6">
        <f>IF(OR($BJ216="",21&gt;設定!$B$3),"",IF(INDEX(原始資料!X$2:X$501,$BJ216)="","",INDEX(原始資料!X$2:X$501,$BJ216)))</f>
        <v/>
      </c>
      <c r="W216" s="6">
        <f>IF(OR($BJ216="",22&gt;設定!$B$3),"",IF(INDEX(原始資料!Y$2:Y$501,$BJ216)="","",INDEX(原始資料!Y$2:Y$501,$BJ216)))</f>
        <v/>
      </c>
      <c r="X216" s="6">
        <f>IF(OR($BJ216="",23&gt;設定!$B$3),"",IF(INDEX(原始資料!Z$2:Z$501,$BJ216)="","",INDEX(原始資料!Z$2:Z$501,$BJ216)))</f>
        <v/>
      </c>
      <c r="Y216" s="6">
        <f>IF(OR($BJ216="",24&gt;設定!$B$3),"",IF(INDEX(原始資料!AA$2:AA$501,$BJ216)="","",INDEX(原始資料!AA$2:AA$501,$BJ216)))</f>
        <v/>
      </c>
      <c r="Z216" s="6">
        <f>IF(OR($BJ216="",25&gt;設定!$B$3),"",IF(INDEX(原始資料!AB$2:AB$501,$BJ216)="","",INDEX(原始資料!AB$2:AB$501,$BJ216)))</f>
        <v/>
      </c>
      <c r="AA216" s="6">
        <f>IF(OR($BJ216="",26&gt;設定!$B$3),"",IF(INDEX(原始資料!AC$2:AC$501,$BJ216)="","",INDEX(原始資料!AC$2:AC$501,$BJ216)))</f>
        <v/>
      </c>
      <c r="AB216" s="6">
        <f>IF(OR($BJ216="",27&gt;設定!$B$3),"",IF(INDEX(原始資料!AD$2:AD$501,$BJ216)="","",INDEX(原始資料!AD$2:AD$501,$BJ216)))</f>
        <v/>
      </c>
      <c r="AC216" s="6">
        <f>IF(OR($BJ216="",28&gt;設定!$B$3),"",IF(INDEX(原始資料!AE$2:AE$501,$BJ216)="","",INDEX(原始資料!AE$2:AE$501,$BJ216)))</f>
        <v/>
      </c>
      <c r="AD216" s="6">
        <f>IF(OR($BJ216="",29&gt;設定!$B$3),"",IF(INDEX(原始資料!AF$2:AF$501,$BJ216)="","",INDEX(原始資料!AF$2:AF$501,$BJ216)))</f>
        <v/>
      </c>
      <c r="AE216" s="6">
        <f>IF(OR($BJ216="",30&gt;設定!$B$3),"",IF(INDEX(原始資料!AG$2:AG$501,$BJ216)="","",INDEX(原始資料!AG$2:AG$501,$BJ216)))</f>
        <v/>
      </c>
      <c r="AF216" s="6">
        <f>IF(OR($BJ216="",31&gt;設定!$B$3),"",IF(INDEX(原始資料!AH$2:AH$501,$BJ216)="","",INDEX(原始資料!AH$2:AH$501,$BJ216)))</f>
        <v/>
      </c>
      <c r="AG216" s="6">
        <f>IF(OR($BJ216="",32&gt;設定!$B$3),"",IF(INDEX(原始資料!AI$2:AI$501,$BJ216)="","",INDEX(原始資料!AI$2:AI$501,$BJ216)))</f>
        <v/>
      </c>
      <c r="AH216" s="6">
        <f>IF(OR($BJ216="",33&gt;設定!$B$3),"",IF(INDEX(原始資料!AJ$2:AJ$501,$BJ216)="","",INDEX(原始資料!AJ$2:AJ$501,$BJ216)))</f>
        <v/>
      </c>
      <c r="AI216" s="6">
        <f>IF(OR($BJ216="",34&gt;設定!$B$3),"",IF(INDEX(原始資料!AK$2:AK$501,$BJ216)="","",INDEX(原始資料!AK$2:AK$501,$BJ216)))</f>
        <v/>
      </c>
      <c r="AJ216" s="6">
        <f>IF(OR($BJ216="",35&gt;設定!$B$3),"",IF(INDEX(原始資料!AL$2:AL$501,$BJ216)="","",INDEX(原始資料!AL$2:AL$501,$BJ216)))</f>
        <v/>
      </c>
      <c r="AK216" s="6">
        <f>IF(OR($BJ216="",36&gt;設定!$B$3),"",IF(INDEX(原始資料!AM$2:AM$501,$BJ216)="","",INDEX(原始資料!AM$2:AM$501,$BJ216)))</f>
        <v/>
      </c>
      <c r="AL216" s="6">
        <f>IF(OR($BJ216="",37&gt;設定!$B$3),"",IF(INDEX(原始資料!AN$2:AN$501,$BJ216)="","",INDEX(原始資料!AN$2:AN$501,$BJ216)))</f>
        <v/>
      </c>
      <c r="AM216" s="6">
        <f>IF(OR($BJ216="",38&gt;設定!$B$3),"",IF(INDEX(原始資料!AO$2:AO$501,$BJ216)="","",INDEX(原始資料!AO$2:AO$501,$BJ216)))</f>
        <v/>
      </c>
      <c r="AN216" s="6">
        <f>IF(OR($BJ216="",39&gt;設定!$B$3),"",IF(INDEX(原始資料!AP$2:AP$501,$BJ216)="","",INDEX(原始資料!AP$2:AP$501,$BJ216)))</f>
        <v/>
      </c>
      <c r="AO216" s="6">
        <f>IF(OR($BJ216="",40&gt;設定!$B$3),"",IF(INDEX(原始資料!AQ$2:AQ$501,$BJ216)="","",INDEX(原始資料!AQ$2:AQ$501,$BJ216)))</f>
        <v/>
      </c>
      <c r="AP216" s="6">
        <f>IF(OR($BJ216="",41&gt;設定!$B$3),"",IF(INDEX(原始資料!AR$2:AR$501,$BJ216)="","",INDEX(原始資料!AR$2:AR$501,$BJ216)))</f>
        <v/>
      </c>
      <c r="AQ216" s="6">
        <f>IF(OR($BJ216="",42&gt;設定!$B$3),"",IF(INDEX(原始資料!AS$2:AS$501,$BJ216)="","",INDEX(原始資料!AS$2:AS$501,$BJ216)))</f>
        <v/>
      </c>
      <c r="AR216" s="6">
        <f>IF(OR($BJ216="",43&gt;設定!$B$3),"",IF(INDEX(原始資料!AT$2:AT$501,$BJ216)="","",INDEX(原始資料!AT$2:AT$501,$BJ216)))</f>
        <v/>
      </c>
      <c r="AS216" s="6">
        <f>IF(OR($BJ216="",44&gt;設定!$B$3),"",IF(INDEX(原始資料!AU$2:AU$501,$BJ216)="","",INDEX(原始資料!AU$2:AU$501,$BJ216)))</f>
        <v/>
      </c>
      <c r="AT216" s="6">
        <f>IF(OR($BJ216="",45&gt;設定!$B$3),"",IF(INDEX(原始資料!AV$2:AV$501,$BJ216)="","",INDEX(原始資料!AV$2:AV$501,$BJ216)))</f>
        <v/>
      </c>
      <c r="AU216" s="6">
        <f>IF(OR($BJ216="",46&gt;設定!$B$3),"",IF(INDEX(原始資料!AW$2:AW$501,$BJ216)="","",INDEX(原始資料!AW$2:AW$501,$BJ216)))</f>
        <v/>
      </c>
      <c r="AV216" s="6">
        <f>IF(OR($BJ216="",47&gt;設定!$B$3),"",IF(INDEX(原始資料!AX$2:AX$501,$BJ216)="","",INDEX(原始資料!AX$2:AX$501,$BJ216)))</f>
        <v/>
      </c>
      <c r="AW216" s="6">
        <f>IF(OR($BJ216="",48&gt;設定!$B$3),"",IF(INDEX(原始資料!AY$2:AY$501,$BJ216)="","",INDEX(原始資料!AY$2:AY$501,$BJ216)))</f>
        <v/>
      </c>
      <c r="AX216" s="6">
        <f>IF(OR($BJ216="",49&gt;設定!$B$3),"",IF(INDEX(原始資料!AZ$2:AZ$501,$BJ216)="","",INDEX(原始資料!AZ$2:AZ$501,$BJ216)))</f>
        <v/>
      </c>
      <c r="AY216" s="6">
        <f>IF(OR($BJ216="",50&gt;設定!$B$3),"",IF(INDEX(原始資料!BA$2:BA$501,$BJ216)="","",INDEX(原始資料!BA$2:BA$501,$BJ216)))</f>
        <v/>
      </c>
      <c r="AZ216" s="6">
        <f>IF(OR($BJ216="",51&gt;設定!$B$3),"",IF(INDEX(原始資料!BB$2:BB$501,$BJ216)="","",INDEX(原始資料!BB$2:BB$501,$BJ216)))</f>
        <v/>
      </c>
      <c r="BA216" s="6">
        <f>IF(OR($BJ216="",52&gt;設定!$B$3),"",IF(INDEX(原始資料!BC$2:BC$501,$BJ216)="","",INDEX(原始資料!BC$2:BC$501,$BJ216)))</f>
        <v/>
      </c>
      <c r="BB216" s="6">
        <f>IF(OR($BJ216="",53&gt;設定!$B$3),"",IF(INDEX(原始資料!BD$2:BD$501,$BJ216)="","",INDEX(原始資料!BD$2:BD$501,$BJ216)))</f>
        <v/>
      </c>
      <c r="BC216" s="6">
        <f>IF(OR($BJ216="",54&gt;設定!$B$3),"",IF(INDEX(原始資料!BE$2:BE$501,$BJ216)="","",INDEX(原始資料!BE$2:BE$501,$BJ216)))</f>
        <v/>
      </c>
      <c r="BD216" s="6">
        <f>IF(OR($BJ216="",55&gt;設定!$B$3),"",IF(INDEX(原始資料!BF$2:BF$501,$BJ216)="","",INDEX(原始資料!BF$2:BF$501,$BJ216)))</f>
        <v/>
      </c>
      <c r="BE216" s="6">
        <f>IF(OR($BJ216="",56&gt;設定!$B$3),"",IF(INDEX(原始資料!BG$2:BG$501,$BJ216)="","",INDEX(原始資料!BG$2:BG$501,$BJ216)))</f>
        <v/>
      </c>
      <c r="BF216" s="6">
        <f>IF(OR($BJ216="",57&gt;設定!$B$3),"",IF(INDEX(原始資料!BH$2:BH$501,$BJ216)="","",INDEX(原始資料!BH$2:BH$501,$BJ216)))</f>
        <v/>
      </c>
      <c r="BG216" s="6">
        <f>IF(OR($BJ216="",58&gt;設定!$B$3),"",IF(INDEX(原始資料!BI$2:BI$501,$BJ216)="","",INDEX(原始資料!BI$2:BI$501,$BJ216)))</f>
        <v/>
      </c>
      <c r="BH216" s="6">
        <f>IF(OR($BJ216="",59&gt;設定!$B$3),"",IF(INDEX(原始資料!BJ$2:BJ$501,$BJ216)="","",INDEX(原始資料!BJ$2:BJ$501,$BJ216)))</f>
        <v/>
      </c>
      <c r="BI216" s="6">
        <f>IF(OR($BJ216="",60&gt;設定!$B$3),"",IF(INDEX(原始資料!BK$2:BK$501,$BJ216)="","",INDEX(原始資料!BK$2:BK$501,$BJ216)))</f>
        <v/>
      </c>
      <c r="BJ216" s="6">
        <f>IFERROR(MATCH(ROW()-1,判定!$H$2:$H$501,0),"")</f>
        <v/>
      </c>
    </row>
    <row r="217">
      <c r="A217" s="6">
        <f>IF($BJ217="","",INDEX(原始資料!$A$2:$A$501,$BJ217))</f>
        <v/>
      </c>
      <c r="B217" s="6">
        <f>IF(OR($BJ217="",1&gt;設定!$B$3),"",IF(INDEX(原始資料!D$2:D$501,$BJ217)="","",INDEX(原始資料!D$2:D$501,$BJ217)))</f>
        <v/>
      </c>
      <c r="C217" s="6">
        <f>IF(OR($BJ217="",2&gt;設定!$B$3),"",IF(INDEX(原始資料!E$2:E$501,$BJ217)="","",INDEX(原始資料!E$2:E$501,$BJ217)))</f>
        <v/>
      </c>
      <c r="D217" s="6">
        <f>IF(OR($BJ217="",3&gt;設定!$B$3),"",IF(INDEX(原始資料!F$2:F$501,$BJ217)="","",INDEX(原始資料!F$2:F$501,$BJ217)))</f>
        <v/>
      </c>
      <c r="E217" s="6">
        <f>IF(OR($BJ217="",4&gt;設定!$B$3),"",IF(INDEX(原始資料!G$2:G$501,$BJ217)="","",INDEX(原始資料!G$2:G$501,$BJ217)))</f>
        <v/>
      </c>
      <c r="F217" s="6">
        <f>IF(OR($BJ217="",5&gt;設定!$B$3),"",IF(INDEX(原始資料!H$2:H$501,$BJ217)="","",INDEX(原始資料!H$2:H$501,$BJ217)))</f>
        <v/>
      </c>
      <c r="G217" s="6">
        <f>IF(OR($BJ217="",6&gt;設定!$B$3),"",IF(INDEX(原始資料!I$2:I$501,$BJ217)="","",INDEX(原始資料!I$2:I$501,$BJ217)))</f>
        <v/>
      </c>
      <c r="H217" s="6">
        <f>IF(OR($BJ217="",7&gt;設定!$B$3),"",IF(INDEX(原始資料!J$2:J$501,$BJ217)="","",INDEX(原始資料!J$2:J$501,$BJ217)))</f>
        <v/>
      </c>
      <c r="I217" s="6">
        <f>IF(OR($BJ217="",8&gt;設定!$B$3),"",IF(INDEX(原始資料!K$2:K$501,$BJ217)="","",INDEX(原始資料!K$2:K$501,$BJ217)))</f>
        <v/>
      </c>
      <c r="J217" s="6">
        <f>IF(OR($BJ217="",9&gt;設定!$B$3),"",IF(INDEX(原始資料!L$2:L$501,$BJ217)="","",INDEX(原始資料!L$2:L$501,$BJ217)))</f>
        <v/>
      </c>
      <c r="K217" s="6">
        <f>IF(OR($BJ217="",10&gt;設定!$B$3),"",IF(INDEX(原始資料!M$2:M$501,$BJ217)="","",INDEX(原始資料!M$2:M$501,$BJ217)))</f>
        <v/>
      </c>
      <c r="L217" s="6">
        <f>IF(OR($BJ217="",11&gt;設定!$B$3),"",IF(INDEX(原始資料!N$2:N$501,$BJ217)="","",INDEX(原始資料!N$2:N$501,$BJ217)))</f>
        <v/>
      </c>
      <c r="M217" s="6">
        <f>IF(OR($BJ217="",12&gt;設定!$B$3),"",IF(INDEX(原始資料!O$2:O$501,$BJ217)="","",INDEX(原始資料!O$2:O$501,$BJ217)))</f>
        <v/>
      </c>
      <c r="N217" s="6">
        <f>IF(OR($BJ217="",13&gt;設定!$B$3),"",IF(INDEX(原始資料!P$2:P$501,$BJ217)="","",INDEX(原始資料!P$2:P$501,$BJ217)))</f>
        <v/>
      </c>
      <c r="O217" s="6">
        <f>IF(OR($BJ217="",14&gt;設定!$B$3),"",IF(INDEX(原始資料!Q$2:Q$501,$BJ217)="","",INDEX(原始資料!Q$2:Q$501,$BJ217)))</f>
        <v/>
      </c>
      <c r="P217" s="6">
        <f>IF(OR($BJ217="",15&gt;設定!$B$3),"",IF(INDEX(原始資料!R$2:R$501,$BJ217)="","",INDEX(原始資料!R$2:R$501,$BJ217)))</f>
        <v/>
      </c>
      <c r="Q217" s="6">
        <f>IF(OR($BJ217="",16&gt;設定!$B$3),"",IF(INDEX(原始資料!S$2:S$501,$BJ217)="","",INDEX(原始資料!S$2:S$501,$BJ217)))</f>
        <v/>
      </c>
      <c r="R217" s="6">
        <f>IF(OR($BJ217="",17&gt;設定!$B$3),"",IF(INDEX(原始資料!T$2:T$501,$BJ217)="","",INDEX(原始資料!T$2:T$501,$BJ217)))</f>
        <v/>
      </c>
      <c r="S217" s="6">
        <f>IF(OR($BJ217="",18&gt;設定!$B$3),"",IF(INDEX(原始資料!U$2:U$501,$BJ217)="","",INDEX(原始資料!U$2:U$501,$BJ217)))</f>
        <v/>
      </c>
      <c r="T217" s="6">
        <f>IF(OR($BJ217="",19&gt;設定!$B$3),"",IF(INDEX(原始資料!V$2:V$501,$BJ217)="","",INDEX(原始資料!V$2:V$501,$BJ217)))</f>
        <v/>
      </c>
      <c r="U217" s="6">
        <f>IF(OR($BJ217="",20&gt;設定!$B$3),"",IF(INDEX(原始資料!W$2:W$501,$BJ217)="","",INDEX(原始資料!W$2:W$501,$BJ217)))</f>
        <v/>
      </c>
      <c r="V217" s="6">
        <f>IF(OR($BJ217="",21&gt;設定!$B$3),"",IF(INDEX(原始資料!X$2:X$501,$BJ217)="","",INDEX(原始資料!X$2:X$501,$BJ217)))</f>
        <v/>
      </c>
      <c r="W217" s="6">
        <f>IF(OR($BJ217="",22&gt;設定!$B$3),"",IF(INDEX(原始資料!Y$2:Y$501,$BJ217)="","",INDEX(原始資料!Y$2:Y$501,$BJ217)))</f>
        <v/>
      </c>
      <c r="X217" s="6">
        <f>IF(OR($BJ217="",23&gt;設定!$B$3),"",IF(INDEX(原始資料!Z$2:Z$501,$BJ217)="","",INDEX(原始資料!Z$2:Z$501,$BJ217)))</f>
        <v/>
      </c>
      <c r="Y217" s="6">
        <f>IF(OR($BJ217="",24&gt;設定!$B$3),"",IF(INDEX(原始資料!AA$2:AA$501,$BJ217)="","",INDEX(原始資料!AA$2:AA$501,$BJ217)))</f>
        <v/>
      </c>
      <c r="Z217" s="6">
        <f>IF(OR($BJ217="",25&gt;設定!$B$3),"",IF(INDEX(原始資料!AB$2:AB$501,$BJ217)="","",INDEX(原始資料!AB$2:AB$501,$BJ217)))</f>
        <v/>
      </c>
      <c r="AA217" s="6">
        <f>IF(OR($BJ217="",26&gt;設定!$B$3),"",IF(INDEX(原始資料!AC$2:AC$501,$BJ217)="","",INDEX(原始資料!AC$2:AC$501,$BJ217)))</f>
        <v/>
      </c>
      <c r="AB217" s="6">
        <f>IF(OR($BJ217="",27&gt;設定!$B$3),"",IF(INDEX(原始資料!AD$2:AD$501,$BJ217)="","",INDEX(原始資料!AD$2:AD$501,$BJ217)))</f>
        <v/>
      </c>
      <c r="AC217" s="6">
        <f>IF(OR($BJ217="",28&gt;設定!$B$3),"",IF(INDEX(原始資料!AE$2:AE$501,$BJ217)="","",INDEX(原始資料!AE$2:AE$501,$BJ217)))</f>
        <v/>
      </c>
      <c r="AD217" s="6">
        <f>IF(OR($BJ217="",29&gt;設定!$B$3),"",IF(INDEX(原始資料!AF$2:AF$501,$BJ217)="","",INDEX(原始資料!AF$2:AF$501,$BJ217)))</f>
        <v/>
      </c>
      <c r="AE217" s="6">
        <f>IF(OR($BJ217="",30&gt;設定!$B$3),"",IF(INDEX(原始資料!AG$2:AG$501,$BJ217)="","",INDEX(原始資料!AG$2:AG$501,$BJ217)))</f>
        <v/>
      </c>
      <c r="AF217" s="6">
        <f>IF(OR($BJ217="",31&gt;設定!$B$3),"",IF(INDEX(原始資料!AH$2:AH$501,$BJ217)="","",INDEX(原始資料!AH$2:AH$501,$BJ217)))</f>
        <v/>
      </c>
      <c r="AG217" s="6">
        <f>IF(OR($BJ217="",32&gt;設定!$B$3),"",IF(INDEX(原始資料!AI$2:AI$501,$BJ217)="","",INDEX(原始資料!AI$2:AI$501,$BJ217)))</f>
        <v/>
      </c>
      <c r="AH217" s="6">
        <f>IF(OR($BJ217="",33&gt;設定!$B$3),"",IF(INDEX(原始資料!AJ$2:AJ$501,$BJ217)="","",INDEX(原始資料!AJ$2:AJ$501,$BJ217)))</f>
        <v/>
      </c>
      <c r="AI217" s="6">
        <f>IF(OR($BJ217="",34&gt;設定!$B$3),"",IF(INDEX(原始資料!AK$2:AK$501,$BJ217)="","",INDEX(原始資料!AK$2:AK$501,$BJ217)))</f>
        <v/>
      </c>
      <c r="AJ217" s="6">
        <f>IF(OR($BJ217="",35&gt;設定!$B$3),"",IF(INDEX(原始資料!AL$2:AL$501,$BJ217)="","",INDEX(原始資料!AL$2:AL$501,$BJ217)))</f>
        <v/>
      </c>
      <c r="AK217" s="6">
        <f>IF(OR($BJ217="",36&gt;設定!$B$3),"",IF(INDEX(原始資料!AM$2:AM$501,$BJ217)="","",INDEX(原始資料!AM$2:AM$501,$BJ217)))</f>
        <v/>
      </c>
      <c r="AL217" s="6">
        <f>IF(OR($BJ217="",37&gt;設定!$B$3),"",IF(INDEX(原始資料!AN$2:AN$501,$BJ217)="","",INDEX(原始資料!AN$2:AN$501,$BJ217)))</f>
        <v/>
      </c>
      <c r="AM217" s="6">
        <f>IF(OR($BJ217="",38&gt;設定!$B$3),"",IF(INDEX(原始資料!AO$2:AO$501,$BJ217)="","",INDEX(原始資料!AO$2:AO$501,$BJ217)))</f>
        <v/>
      </c>
      <c r="AN217" s="6">
        <f>IF(OR($BJ217="",39&gt;設定!$B$3),"",IF(INDEX(原始資料!AP$2:AP$501,$BJ217)="","",INDEX(原始資料!AP$2:AP$501,$BJ217)))</f>
        <v/>
      </c>
      <c r="AO217" s="6">
        <f>IF(OR($BJ217="",40&gt;設定!$B$3),"",IF(INDEX(原始資料!AQ$2:AQ$501,$BJ217)="","",INDEX(原始資料!AQ$2:AQ$501,$BJ217)))</f>
        <v/>
      </c>
      <c r="AP217" s="6">
        <f>IF(OR($BJ217="",41&gt;設定!$B$3),"",IF(INDEX(原始資料!AR$2:AR$501,$BJ217)="","",INDEX(原始資料!AR$2:AR$501,$BJ217)))</f>
        <v/>
      </c>
      <c r="AQ217" s="6">
        <f>IF(OR($BJ217="",42&gt;設定!$B$3),"",IF(INDEX(原始資料!AS$2:AS$501,$BJ217)="","",INDEX(原始資料!AS$2:AS$501,$BJ217)))</f>
        <v/>
      </c>
      <c r="AR217" s="6">
        <f>IF(OR($BJ217="",43&gt;設定!$B$3),"",IF(INDEX(原始資料!AT$2:AT$501,$BJ217)="","",INDEX(原始資料!AT$2:AT$501,$BJ217)))</f>
        <v/>
      </c>
      <c r="AS217" s="6">
        <f>IF(OR($BJ217="",44&gt;設定!$B$3),"",IF(INDEX(原始資料!AU$2:AU$501,$BJ217)="","",INDEX(原始資料!AU$2:AU$501,$BJ217)))</f>
        <v/>
      </c>
      <c r="AT217" s="6">
        <f>IF(OR($BJ217="",45&gt;設定!$B$3),"",IF(INDEX(原始資料!AV$2:AV$501,$BJ217)="","",INDEX(原始資料!AV$2:AV$501,$BJ217)))</f>
        <v/>
      </c>
      <c r="AU217" s="6">
        <f>IF(OR($BJ217="",46&gt;設定!$B$3),"",IF(INDEX(原始資料!AW$2:AW$501,$BJ217)="","",INDEX(原始資料!AW$2:AW$501,$BJ217)))</f>
        <v/>
      </c>
      <c r="AV217" s="6">
        <f>IF(OR($BJ217="",47&gt;設定!$B$3),"",IF(INDEX(原始資料!AX$2:AX$501,$BJ217)="","",INDEX(原始資料!AX$2:AX$501,$BJ217)))</f>
        <v/>
      </c>
      <c r="AW217" s="6">
        <f>IF(OR($BJ217="",48&gt;設定!$B$3),"",IF(INDEX(原始資料!AY$2:AY$501,$BJ217)="","",INDEX(原始資料!AY$2:AY$501,$BJ217)))</f>
        <v/>
      </c>
      <c r="AX217" s="6">
        <f>IF(OR($BJ217="",49&gt;設定!$B$3),"",IF(INDEX(原始資料!AZ$2:AZ$501,$BJ217)="","",INDEX(原始資料!AZ$2:AZ$501,$BJ217)))</f>
        <v/>
      </c>
      <c r="AY217" s="6">
        <f>IF(OR($BJ217="",50&gt;設定!$B$3),"",IF(INDEX(原始資料!BA$2:BA$501,$BJ217)="","",INDEX(原始資料!BA$2:BA$501,$BJ217)))</f>
        <v/>
      </c>
      <c r="AZ217" s="6">
        <f>IF(OR($BJ217="",51&gt;設定!$B$3),"",IF(INDEX(原始資料!BB$2:BB$501,$BJ217)="","",INDEX(原始資料!BB$2:BB$501,$BJ217)))</f>
        <v/>
      </c>
      <c r="BA217" s="6">
        <f>IF(OR($BJ217="",52&gt;設定!$B$3),"",IF(INDEX(原始資料!BC$2:BC$501,$BJ217)="","",INDEX(原始資料!BC$2:BC$501,$BJ217)))</f>
        <v/>
      </c>
      <c r="BB217" s="6">
        <f>IF(OR($BJ217="",53&gt;設定!$B$3),"",IF(INDEX(原始資料!BD$2:BD$501,$BJ217)="","",INDEX(原始資料!BD$2:BD$501,$BJ217)))</f>
        <v/>
      </c>
      <c r="BC217" s="6">
        <f>IF(OR($BJ217="",54&gt;設定!$B$3),"",IF(INDEX(原始資料!BE$2:BE$501,$BJ217)="","",INDEX(原始資料!BE$2:BE$501,$BJ217)))</f>
        <v/>
      </c>
      <c r="BD217" s="6">
        <f>IF(OR($BJ217="",55&gt;設定!$B$3),"",IF(INDEX(原始資料!BF$2:BF$501,$BJ217)="","",INDEX(原始資料!BF$2:BF$501,$BJ217)))</f>
        <v/>
      </c>
      <c r="BE217" s="6">
        <f>IF(OR($BJ217="",56&gt;設定!$B$3),"",IF(INDEX(原始資料!BG$2:BG$501,$BJ217)="","",INDEX(原始資料!BG$2:BG$501,$BJ217)))</f>
        <v/>
      </c>
      <c r="BF217" s="6">
        <f>IF(OR($BJ217="",57&gt;設定!$B$3),"",IF(INDEX(原始資料!BH$2:BH$501,$BJ217)="","",INDEX(原始資料!BH$2:BH$501,$BJ217)))</f>
        <v/>
      </c>
      <c r="BG217" s="6">
        <f>IF(OR($BJ217="",58&gt;設定!$B$3),"",IF(INDEX(原始資料!BI$2:BI$501,$BJ217)="","",INDEX(原始資料!BI$2:BI$501,$BJ217)))</f>
        <v/>
      </c>
      <c r="BH217" s="6">
        <f>IF(OR($BJ217="",59&gt;設定!$B$3),"",IF(INDEX(原始資料!BJ$2:BJ$501,$BJ217)="","",INDEX(原始資料!BJ$2:BJ$501,$BJ217)))</f>
        <v/>
      </c>
      <c r="BI217" s="6">
        <f>IF(OR($BJ217="",60&gt;設定!$B$3),"",IF(INDEX(原始資料!BK$2:BK$501,$BJ217)="","",INDEX(原始資料!BK$2:BK$501,$BJ217)))</f>
        <v/>
      </c>
      <c r="BJ217" s="6">
        <f>IFERROR(MATCH(ROW()-1,判定!$H$2:$H$501,0),"")</f>
        <v/>
      </c>
    </row>
    <row r="218">
      <c r="A218" s="6">
        <f>IF($BJ218="","",INDEX(原始資料!$A$2:$A$501,$BJ218))</f>
        <v/>
      </c>
      <c r="B218" s="6">
        <f>IF(OR($BJ218="",1&gt;設定!$B$3),"",IF(INDEX(原始資料!D$2:D$501,$BJ218)="","",INDEX(原始資料!D$2:D$501,$BJ218)))</f>
        <v/>
      </c>
      <c r="C218" s="6">
        <f>IF(OR($BJ218="",2&gt;設定!$B$3),"",IF(INDEX(原始資料!E$2:E$501,$BJ218)="","",INDEX(原始資料!E$2:E$501,$BJ218)))</f>
        <v/>
      </c>
      <c r="D218" s="6">
        <f>IF(OR($BJ218="",3&gt;設定!$B$3),"",IF(INDEX(原始資料!F$2:F$501,$BJ218)="","",INDEX(原始資料!F$2:F$501,$BJ218)))</f>
        <v/>
      </c>
      <c r="E218" s="6">
        <f>IF(OR($BJ218="",4&gt;設定!$B$3),"",IF(INDEX(原始資料!G$2:G$501,$BJ218)="","",INDEX(原始資料!G$2:G$501,$BJ218)))</f>
        <v/>
      </c>
      <c r="F218" s="6">
        <f>IF(OR($BJ218="",5&gt;設定!$B$3),"",IF(INDEX(原始資料!H$2:H$501,$BJ218)="","",INDEX(原始資料!H$2:H$501,$BJ218)))</f>
        <v/>
      </c>
      <c r="G218" s="6">
        <f>IF(OR($BJ218="",6&gt;設定!$B$3),"",IF(INDEX(原始資料!I$2:I$501,$BJ218)="","",INDEX(原始資料!I$2:I$501,$BJ218)))</f>
        <v/>
      </c>
      <c r="H218" s="6">
        <f>IF(OR($BJ218="",7&gt;設定!$B$3),"",IF(INDEX(原始資料!J$2:J$501,$BJ218)="","",INDEX(原始資料!J$2:J$501,$BJ218)))</f>
        <v/>
      </c>
      <c r="I218" s="6">
        <f>IF(OR($BJ218="",8&gt;設定!$B$3),"",IF(INDEX(原始資料!K$2:K$501,$BJ218)="","",INDEX(原始資料!K$2:K$501,$BJ218)))</f>
        <v/>
      </c>
      <c r="J218" s="6">
        <f>IF(OR($BJ218="",9&gt;設定!$B$3),"",IF(INDEX(原始資料!L$2:L$501,$BJ218)="","",INDEX(原始資料!L$2:L$501,$BJ218)))</f>
        <v/>
      </c>
      <c r="K218" s="6">
        <f>IF(OR($BJ218="",10&gt;設定!$B$3),"",IF(INDEX(原始資料!M$2:M$501,$BJ218)="","",INDEX(原始資料!M$2:M$501,$BJ218)))</f>
        <v/>
      </c>
      <c r="L218" s="6">
        <f>IF(OR($BJ218="",11&gt;設定!$B$3),"",IF(INDEX(原始資料!N$2:N$501,$BJ218)="","",INDEX(原始資料!N$2:N$501,$BJ218)))</f>
        <v/>
      </c>
      <c r="M218" s="6">
        <f>IF(OR($BJ218="",12&gt;設定!$B$3),"",IF(INDEX(原始資料!O$2:O$501,$BJ218)="","",INDEX(原始資料!O$2:O$501,$BJ218)))</f>
        <v/>
      </c>
      <c r="N218" s="6">
        <f>IF(OR($BJ218="",13&gt;設定!$B$3),"",IF(INDEX(原始資料!P$2:P$501,$BJ218)="","",INDEX(原始資料!P$2:P$501,$BJ218)))</f>
        <v/>
      </c>
      <c r="O218" s="6">
        <f>IF(OR($BJ218="",14&gt;設定!$B$3),"",IF(INDEX(原始資料!Q$2:Q$501,$BJ218)="","",INDEX(原始資料!Q$2:Q$501,$BJ218)))</f>
        <v/>
      </c>
      <c r="P218" s="6">
        <f>IF(OR($BJ218="",15&gt;設定!$B$3),"",IF(INDEX(原始資料!R$2:R$501,$BJ218)="","",INDEX(原始資料!R$2:R$501,$BJ218)))</f>
        <v/>
      </c>
      <c r="Q218" s="6">
        <f>IF(OR($BJ218="",16&gt;設定!$B$3),"",IF(INDEX(原始資料!S$2:S$501,$BJ218)="","",INDEX(原始資料!S$2:S$501,$BJ218)))</f>
        <v/>
      </c>
      <c r="R218" s="6">
        <f>IF(OR($BJ218="",17&gt;設定!$B$3),"",IF(INDEX(原始資料!T$2:T$501,$BJ218)="","",INDEX(原始資料!T$2:T$501,$BJ218)))</f>
        <v/>
      </c>
      <c r="S218" s="6">
        <f>IF(OR($BJ218="",18&gt;設定!$B$3),"",IF(INDEX(原始資料!U$2:U$501,$BJ218)="","",INDEX(原始資料!U$2:U$501,$BJ218)))</f>
        <v/>
      </c>
      <c r="T218" s="6">
        <f>IF(OR($BJ218="",19&gt;設定!$B$3),"",IF(INDEX(原始資料!V$2:V$501,$BJ218)="","",INDEX(原始資料!V$2:V$501,$BJ218)))</f>
        <v/>
      </c>
      <c r="U218" s="6">
        <f>IF(OR($BJ218="",20&gt;設定!$B$3),"",IF(INDEX(原始資料!W$2:W$501,$BJ218)="","",INDEX(原始資料!W$2:W$501,$BJ218)))</f>
        <v/>
      </c>
      <c r="V218" s="6">
        <f>IF(OR($BJ218="",21&gt;設定!$B$3),"",IF(INDEX(原始資料!X$2:X$501,$BJ218)="","",INDEX(原始資料!X$2:X$501,$BJ218)))</f>
        <v/>
      </c>
      <c r="W218" s="6">
        <f>IF(OR($BJ218="",22&gt;設定!$B$3),"",IF(INDEX(原始資料!Y$2:Y$501,$BJ218)="","",INDEX(原始資料!Y$2:Y$501,$BJ218)))</f>
        <v/>
      </c>
      <c r="X218" s="6">
        <f>IF(OR($BJ218="",23&gt;設定!$B$3),"",IF(INDEX(原始資料!Z$2:Z$501,$BJ218)="","",INDEX(原始資料!Z$2:Z$501,$BJ218)))</f>
        <v/>
      </c>
      <c r="Y218" s="6">
        <f>IF(OR($BJ218="",24&gt;設定!$B$3),"",IF(INDEX(原始資料!AA$2:AA$501,$BJ218)="","",INDEX(原始資料!AA$2:AA$501,$BJ218)))</f>
        <v/>
      </c>
      <c r="Z218" s="6">
        <f>IF(OR($BJ218="",25&gt;設定!$B$3),"",IF(INDEX(原始資料!AB$2:AB$501,$BJ218)="","",INDEX(原始資料!AB$2:AB$501,$BJ218)))</f>
        <v/>
      </c>
      <c r="AA218" s="6">
        <f>IF(OR($BJ218="",26&gt;設定!$B$3),"",IF(INDEX(原始資料!AC$2:AC$501,$BJ218)="","",INDEX(原始資料!AC$2:AC$501,$BJ218)))</f>
        <v/>
      </c>
      <c r="AB218" s="6">
        <f>IF(OR($BJ218="",27&gt;設定!$B$3),"",IF(INDEX(原始資料!AD$2:AD$501,$BJ218)="","",INDEX(原始資料!AD$2:AD$501,$BJ218)))</f>
        <v/>
      </c>
      <c r="AC218" s="6">
        <f>IF(OR($BJ218="",28&gt;設定!$B$3),"",IF(INDEX(原始資料!AE$2:AE$501,$BJ218)="","",INDEX(原始資料!AE$2:AE$501,$BJ218)))</f>
        <v/>
      </c>
      <c r="AD218" s="6">
        <f>IF(OR($BJ218="",29&gt;設定!$B$3),"",IF(INDEX(原始資料!AF$2:AF$501,$BJ218)="","",INDEX(原始資料!AF$2:AF$501,$BJ218)))</f>
        <v/>
      </c>
      <c r="AE218" s="6">
        <f>IF(OR($BJ218="",30&gt;設定!$B$3),"",IF(INDEX(原始資料!AG$2:AG$501,$BJ218)="","",INDEX(原始資料!AG$2:AG$501,$BJ218)))</f>
        <v/>
      </c>
      <c r="AF218" s="6">
        <f>IF(OR($BJ218="",31&gt;設定!$B$3),"",IF(INDEX(原始資料!AH$2:AH$501,$BJ218)="","",INDEX(原始資料!AH$2:AH$501,$BJ218)))</f>
        <v/>
      </c>
      <c r="AG218" s="6">
        <f>IF(OR($BJ218="",32&gt;設定!$B$3),"",IF(INDEX(原始資料!AI$2:AI$501,$BJ218)="","",INDEX(原始資料!AI$2:AI$501,$BJ218)))</f>
        <v/>
      </c>
      <c r="AH218" s="6">
        <f>IF(OR($BJ218="",33&gt;設定!$B$3),"",IF(INDEX(原始資料!AJ$2:AJ$501,$BJ218)="","",INDEX(原始資料!AJ$2:AJ$501,$BJ218)))</f>
        <v/>
      </c>
      <c r="AI218" s="6">
        <f>IF(OR($BJ218="",34&gt;設定!$B$3),"",IF(INDEX(原始資料!AK$2:AK$501,$BJ218)="","",INDEX(原始資料!AK$2:AK$501,$BJ218)))</f>
        <v/>
      </c>
      <c r="AJ218" s="6">
        <f>IF(OR($BJ218="",35&gt;設定!$B$3),"",IF(INDEX(原始資料!AL$2:AL$501,$BJ218)="","",INDEX(原始資料!AL$2:AL$501,$BJ218)))</f>
        <v/>
      </c>
      <c r="AK218" s="6">
        <f>IF(OR($BJ218="",36&gt;設定!$B$3),"",IF(INDEX(原始資料!AM$2:AM$501,$BJ218)="","",INDEX(原始資料!AM$2:AM$501,$BJ218)))</f>
        <v/>
      </c>
      <c r="AL218" s="6">
        <f>IF(OR($BJ218="",37&gt;設定!$B$3),"",IF(INDEX(原始資料!AN$2:AN$501,$BJ218)="","",INDEX(原始資料!AN$2:AN$501,$BJ218)))</f>
        <v/>
      </c>
      <c r="AM218" s="6">
        <f>IF(OR($BJ218="",38&gt;設定!$B$3),"",IF(INDEX(原始資料!AO$2:AO$501,$BJ218)="","",INDEX(原始資料!AO$2:AO$501,$BJ218)))</f>
        <v/>
      </c>
      <c r="AN218" s="6">
        <f>IF(OR($BJ218="",39&gt;設定!$B$3),"",IF(INDEX(原始資料!AP$2:AP$501,$BJ218)="","",INDEX(原始資料!AP$2:AP$501,$BJ218)))</f>
        <v/>
      </c>
      <c r="AO218" s="6">
        <f>IF(OR($BJ218="",40&gt;設定!$B$3),"",IF(INDEX(原始資料!AQ$2:AQ$501,$BJ218)="","",INDEX(原始資料!AQ$2:AQ$501,$BJ218)))</f>
        <v/>
      </c>
      <c r="AP218" s="6">
        <f>IF(OR($BJ218="",41&gt;設定!$B$3),"",IF(INDEX(原始資料!AR$2:AR$501,$BJ218)="","",INDEX(原始資料!AR$2:AR$501,$BJ218)))</f>
        <v/>
      </c>
      <c r="AQ218" s="6">
        <f>IF(OR($BJ218="",42&gt;設定!$B$3),"",IF(INDEX(原始資料!AS$2:AS$501,$BJ218)="","",INDEX(原始資料!AS$2:AS$501,$BJ218)))</f>
        <v/>
      </c>
      <c r="AR218" s="6">
        <f>IF(OR($BJ218="",43&gt;設定!$B$3),"",IF(INDEX(原始資料!AT$2:AT$501,$BJ218)="","",INDEX(原始資料!AT$2:AT$501,$BJ218)))</f>
        <v/>
      </c>
      <c r="AS218" s="6">
        <f>IF(OR($BJ218="",44&gt;設定!$B$3),"",IF(INDEX(原始資料!AU$2:AU$501,$BJ218)="","",INDEX(原始資料!AU$2:AU$501,$BJ218)))</f>
        <v/>
      </c>
      <c r="AT218" s="6">
        <f>IF(OR($BJ218="",45&gt;設定!$B$3),"",IF(INDEX(原始資料!AV$2:AV$501,$BJ218)="","",INDEX(原始資料!AV$2:AV$501,$BJ218)))</f>
        <v/>
      </c>
      <c r="AU218" s="6">
        <f>IF(OR($BJ218="",46&gt;設定!$B$3),"",IF(INDEX(原始資料!AW$2:AW$501,$BJ218)="","",INDEX(原始資料!AW$2:AW$501,$BJ218)))</f>
        <v/>
      </c>
      <c r="AV218" s="6">
        <f>IF(OR($BJ218="",47&gt;設定!$B$3),"",IF(INDEX(原始資料!AX$2:AX$501,$BJ218)="","",INDEX(原始資料!AX$2:AX$501,$BJ218)))</f>
        <v/>
      </c>
      <c r="AW218" s="6">
        <f>IF(OR($BJ218="",48&gt;設定!$B$3),"",IF(INDEX(原始資料!AY$2:AY$501,$BJ218)="","",INDEX(原始資料!AY$2:AY$501,$BJ218)))</f>
        <v/>
      </c>
      <c r="AX218" s="6">
        <f>IF(OR($BJ218="",49&gt;設定!$B$3),"",IF(INDEX(原始資料!AZ$2:AZ$501,$BJ218)="","",INDEX(原始資料!AZ$2:AZ$501,$BJ218)))</f>
        <v/>
      </c>
      <c r="AY218" s="6">
        <f>IF(OR($BJ218="",50&gt;設定!$B$3),"",IF(INDEX(原始資料!BA$2:BA$501,$BJ218)="","",INDEX(原始資料!BA$2:BA$501,$BJ218)))</f>
        <v/>
      </c>
      <c r="AZ218" s="6">
        <f>IF(OR($BJ218="",51&gt;設定!$B$3),"",IF(INDEX(原始資料!BB$2:BB$501,$BJ218)="","",INDEX(原始資料!BB$2:BB$501,$BJ218)))</f>
        <v/>
      </c>
      <c r="BA218" s="6">
        <f>IF(OR($BJ218="",52&gt;設定!$B$3),"",IF(INDEX(原始資料!BC$2:BC$501,$BJ218)="","",INDEX(原始資料!BC$2:BC$501,$BJ218)))</f>
        <v/>
      </c>
      <c r="BB218" s="6">
        <f>IF(OR($BJ218="",53&gt;設定!$B$3),"",IF(INDEX(原始資料!BD$2:BD$501,$BJ218)="","",INDEX(原始資料!BD$2:BD$501,$BJ218)))</f>
        <v/>
      </c>
      <c r="BC218" s="6">
        <f>IF(OR($BJ218="",54&gt;設定!$B$3),"",IF(INDEX(原始資料!BE$2:BE$501,$BJ218)="","",INDEX(原始資料!BE$2:BE$501,$BJ218)))</f>
        <v/>
      </c>
      <c r="BD218" s="6">
        <f>IF(OR($BJ218="",55&gt;設定!$B$3),"",IF(INDEX(原始資料!BF$2:BF$501,$BJ218)="","",INDEX(原始資料!BF$2:BF$501,$BJ218)))</f>
        <v/>
      </c>
      <c r="BE218" s="6">
        <f>IF(OR($BJ218="",56&gt;設定!$B$3),"",IF(INDEX(原始資料!BG$2:BG$501,$BJ218)="","",INDEX(原始資料!BG$2:BG$501,$BJ218)))</f>
        <v/>
      </c>
      <c r="BF218" s="6">
        <f>IF(OR($BJ218="",57&gt;設定!$B$3),"",IF(INDEX(原始資料!BH$2:BH$501,$BJ218)="","",INDEX(原始資料!BH$2:BH$501,$BJ218)))</f>
        <v/>
      </c>
      <c r="BG218" s="6">
        <f>IF(OR($BJ218="",58&gt;設定!$B$3),"",IF(INDEX(原始資料!BI$2:BI$501,$BJ218)="","",INDEX(原始資料!BI$2:BI$501,$BJ218)))</f>
        <v/>
      </c>
      <c r="BH218" s="6">
        <f>IF(OR($BJ218="",59&gt;設定!$B$3),"",IF(INDEX(原始資料!BJ$2:BJ$501,$BJ218)="","",INDEX(原始資料!BJ$2:BJ$501,$BJ218)))</f>
        <v/>
      </c>
      <c r="BI218" s="6">
        <f>IF(OR($BJ218="",60&gt;設定!$B$3),"",IF(INDEX(原始資料!BK$2:BK$501,$BJ218)="","",INDEX(原始資料!BK$2:BK$501,$BJ218)))</f>
        <v/>
      </c>
      <c r="BJ218" s="6">
        <f>IFERROR(MATCH(ROW()-1,判定!$H$2:$H$501,0),"")</f>
        <v/>
      </c>
    </row>
    <row r="219">
      <c r="A219" s="6">
        <f>IF($BJ219="","",INDEX(原始資料!$A$2:$A$501,$BJ219))</f>
        <v/>
      </c>
      <c r="B219" s="6">
        <f>IF(OR($BJ219="",1&gt;設定!$B$3),"",IF(INDEX(原始資料!D$2:D$501,$BJ219)="","",INDEX(原始資料!D$2:D$501,$BJ219)))</f>
        <v/>
      </c>
      <c r="C219" s="6">
        <f>IF(OR($BJ219="",2&gt;設定!$B$3),"",IF(INDEX(原始資料!E$2:E$501,$BJ219)="","",INDEX(原始資料!E$2:E$501,$BJ219)))</f>
        <v/>
      </c>
      <c r="D219" s="6">
        <f>IF(OR($BJ219="",3&gt;設定!$B$3),"",IF(INDEX(原始資料!F$2:F$501,$BJ219)="","",INDEX(原始資料!F$2:F$501,$BJ219)))</f>
        <v/>
      </c>
      <c r="E219" s="6">
        <f>IF(OR($BJ219="",4&gt;設定!$B$3),"",IF(INDEX(原始資料!G$2:G$501,$BJ219)="","",INDEX(原始資料!G$2:G$501,$BJ219)))</f>
        <v/>
      </c>
      <c r="F219" s="6">
        <f>IF(OR($BJ219="",5&gt;設定!$B$3),"",IF(INDEX(原始資料!H$2:H$501,$BJ219)="","",INDEX(原始資料!H$2:H$501,$BJ219)))</f>
        <v/>
      </c>
      <c r="G219" s="6">
        <f>IF(OR($BJ219="",6&gt;設定!$B$3),"",IF(INDEX(原始資料!I$2:I$501,$BJ219)="","",INDEX(原始資料!I$2:I$501,$BJ219)))</f>
        <v/>
      </c>
      <c r="H219" s="6">
        <f>IF(OR($BJ219="",7&gt;設定!$B$3),"",IF(INDEX(原始資料!J$2:J$501,$BJ219)="","",INDEX(原始資料!J$2:J$501,$BJ219)))</f>
        <v/>
      </c>
      <c r="I219" s="6">
        <f>IF(OR($BJ219="",8&gt;設定!$B$3),"",IF(INDEX(原始資料!K$2:K$501,$BJ219)="","",INDEX(原始資料!K$2:K$501,$BJ219)))</f>
        <v/>
      </c>
      <c r="J219" s="6">
        <f>IF(OR($BJ219="",9&gt;設定!$B$3),"",IF(INDEX(原始資料!L$2:L$501,$BJ219)="","",INDEX(原始資料!L$2:L$501,$BJ219)))</f>
        <v/>
      </c>
      <c r="K219" s="6">
        <f>IF(OR($BJ219="",10&gt;設定!$B$3),"",IF(INDEX(原始資料!M$2:M$501,$BJ219)="","",INDEX(原始資料!M$2:M$501,$BJ219)))</f>
        <v/>
      </c>
      <c r="L219" s="6">
        <f>IF(OR($BJ219="",11&gt;設定!$B$3),"",IF(INDEX(原始資料!N$2:N$501,$BJ219)="","",INDEX(原始資料!N$2:N$501,$BJ219)))</f>
        <v/>
      </c>
      <c r="M219" s="6">
        <f>IF(OR($BJ219="",12&gt;設定!$B$3),"",IF(INDEX(原始資料!O$2:O$501,$BJ219)="","",INDEX(原始資料!O$2:O$501,$BJ219)))</f>
        <v/>
      </c>
      <c r="N219" s="6">
        <f>IF(OR($BJ219="",13&gt;設定!$B$3),"",IF(INDEX(原始資料!P$2:P$501,$BJ219)="","",INDEX(原始資料!P$2:P$501,$BJ219)))</f>
        <v/>
      </c>
      <c r="O219" s="6">
        <f>IF(OR($BJ219="",14&gt;設定!$B$3),"",IF(INDEX(原始資料!Q$2:Q$501,$BJ219)="","",INDEX(原始資料!Q$2:Q$501,$BJ219)))</f>
        <v/>
      </c>
      <c r="P219" s="6">
        <f>IF(OR($BJ219="",15&gt;設定!$B$3),"",IF(INDEX(原始資料!R$2:R$501,$BJ219)="","",INDEX(原始資料!R$2:R$501,$BJ219)))</f>
        <v/>
      </c>
      <c r="Q219" s="6">
        <f>IF(OR($BJ219="",16&gt;設定!$B$3),"",IF(INDEX(原始資料!S$2:S$501,$BJ219)="","",INDEX(原始資料!S$2:S$501,$BJ219)))</f>
        <v/>
      </c>
      <c r="R219" s="6">
        <f>IF(OR($BJ219="",17&gt;設定!$B$3),"",IF(INDEX(原始資料!T$2:T$501,$BJ219)="","",INDEX(原始資料!T$2:T$501,$BJ219)))</f>
        <v/>
      </c>
      <c r="S219" s="6">
        <f>IF(OR($BJ219="",18&gt;設定!$B$3),"",IF(INDEX(原始資料!U$2:U$501,$BJ219)="","",INDEX(原始資料!U$2:U$501,$BJ219)))</f>
        <v/>
      </c>
      <c r="T219" s="6">
        <f>IF(OR($BJ219="",19&gt;設定!$B$3),"",IF(INDEX(原始資料!V$2:V$501,$BJ219)="","",INDEX(原始資料!V$2:V$501,$BJ219)))</f>
        <v/>
      </c>
      <c r="U219" s="6">
        <f>IF(OR($BJ219="",20&gt;設定!$B$3),"",IF(INDEX(原始資料!W$2:W$501,$BJ219)="","",INDEX(原始資料!W$2:W$501,$BJ219)))</f>
        <v/>
      </c>
      <c r="V219" s="6">
        <f>IF(OR($BJ219="",21&gt;設定!$B$3),"",IF(INDEX(原始資料!X$2:X$501,$BJ219)="","",INDEX(原始資料!X$2:X$501,$BJ219)))</f>
        <v/>
      </c>
      <c r="W219" s="6">
        <f>IF(OR($BJ219="",22&gt;設定!$B$3),"",IF(INDEX(原始資料!Y$2:Y$501,$BJ219)="","",INDEX(原始資料!Y$2:Y$501,$BJ219)))</f>
        <v/>
      </c>
      <c r="X219" s="6">
        <f>IF(OR($BJ219="",23&gt;設定!$B$3),"",IF(INDEX(原始資料!Z$2:Z$501,$BJ219)="","",INDEX(原始資料!Z$2:Z$501,$BJ219)))</f>
        <v/>
      </c>
      <c r="Y219" s="6">
        <f>IF(OR($BJ219="",24&gt;設定!$B$3),"",IF(INDEX(原始資料!AA$2:AA$501,$BJ219)="","",INDEX(原始資料!AA$2:AA$501,$BJ219)))</f>
        <v/>
      </c>
      <c r="Z219" s="6">
        <f>IF(OR($BJ219="",25&gt;設定!$B$3),"",IF(INDEX(原始資料!AB$2:AB$501,$BJ219)="","",INDEX(原始資料!AB$2:AB$501,$BJ219)))</f>
        <v/>
      </c>
      <c r="AA219" s="6">
        <f>IF(OR($BJ219="",26&gt;設定!$B$3),"",IF(INDEX(原始資料!AC$2:AC$501,$BJ219)="","",INDEX(原始資料!AC$2:AC$501,$BJ219)))</f>
        <v/>
      </c>
      <c r="AB219" s="6">
        <f>IF(OR($BJ219="",27&gt;設定!$B$3),"",IF(INDEX(原始資料!AD$2:AD$501,$BJ219)="","",INDEX(原始資料!AD$2:AD$501,$BJ219)))</f>
        <v/>
      </c>
      <c r="AC219" s="6">
        <f>IF(OR($BJ219="",28&gt;設定!$B$3),"",IF(INDEX(原始資料!AE$2:AE$501,$BJ219)="","",INDEX(原始資料!AE$2:AE$501,$BJ219)))</f>
        <v/>
      </c>
      <c r="AD219" s="6">
        <f>IF(OR($BJ219="",29&gt;設定!$B$3),"",IF(INDEX(原始資料!AF$2:AF$501,$BJ219)="","",INDEX(原始資料!AF$2:AF$501,$BJ219)))</f>
        <v/>
      </c>
      <c r="AE219" s="6">
        <f>IF(OR($BJ219="",30&gt;設定!$B$3),"",IF(INDEX(原始資料!AG$2:AG$501,$BJ219)="","",INDEX(原始資料!AG$2:AG$501,$BJ219)))</f>
        <v/>
      </c>
      <c r="AF219" s="6">
        <f>IF(OR($BJ219="",31&gt;設定!$B$3),"",IF(INDEX(原始資料!AH$2:AH$501,$BJ219)="","",INDEX(原始資料!AH$2:AH$501,$BJ219)))</f>
        <v/>
      </c>
      <c r="AG219" s="6">
        <f>IF(OR($BJ219="",32&gt;設定!$B$3),"",IF(INDEX(原始資料!AI$2:AI$501,$BJ219)="","",INDEX(原始資料!AI$2:AI$501,$BJ219)))</f>
        <v/>
      </c>
      <c r="AH219" s="6">
        <f>IF(OR($BJ219="",33&gt;設定!$B$3),"",IF(INDEX(原始資料!AJ$2:AJ$501,$BJ219)="","",INDEX(原始資料!AJ$2:AJ$501,$BJ219)))</f>
        <v/>
      </c>
      <c r="AI219" s="6">
        <f>IF(OR($BJ219="",34&gt;設定!$B$3),"",IF(INDEX(原始資料!AK$2:AK$501,$BJ219)="","",INDEX(原始資料!AK$2:AK$501,$BJ219)))</f>
        <v/>
      </c>
      <c r="AJ219" s="6">
        <f>IF(OR($BJ219="",35&gt;設定!$B$3),"",IF(INDEX(原始資料!AL$2:AL$501,$BJ219)="","",INDEX(原始資料!AL$2:AL$501,$BJ219)))</f>
        <v/>
      </c>
      <c r="AK219" s="6">
        <f>IF(OR($BJ219="",36&gt;設定!$B$3),"",IF(INDEX(原始資料!AM$2:AM$501,$BJ219)="","",INDEX(原始資料!AM$2:AM$501,$BJ219)))</f>
        <v/>
      </c>
      <c r="AL219" s="6">
        <f>IF(OR($BJ219="",37&gt;設定!$B$3),"",IF(INDEX(原始資料!AN$2:AN$501,$BJ219)="","",INDEX(原始資料!AN$2:AN$501,$BJ219)))</f>
        <v/>
      </c>
      <c r="AM219" s="6">
        <f>IF(OR($BJ219="",38&gt;設定!$B$3),"",IF(INDEX(原始資料!AO$2:AO$501,$BJ219)="","",INDEX(原始資料!AO$2:AO$501,$BJ219)))</f>
        <v/>
      </c>
      <c r="AN219" s="6">
        <f>IF(OR($BJ219="",39&gt;設定!$B$3),"",IF(INDEX(原始資料!AP$2:AP$501,$BJ219)="","",INDEX(原始資料!AP$2:AP$501,$BJ219)))</f>
        <v/>
      </c>
      <c r="AO219" s="6">
        <f>IF(OR($BJ219="",40&gt;設定!$B$3),"",IF(INDEX(原始資料!AQ$2:AQ$501,$BJ219)="","",INDEX(原始資料!AQ$2:AQ$501,$BJ219)))</f>
        <v/>
      </c>
      <c r="AP219" s="6">
        <f>IF(OR($BJ219="",41&gt;設定!$B$3),"",IF(INDEX(原始資料!AR$2:AR$501,$BJ219)="","",INDEX(原始資料!AR$2:AR$501,$BJ219)))</f>
        <v/>
      </c>
      <c r="AQ219" s="6">
        <f>IF(OR($BJ219="",42&gt;設定!$B$3),"",IF(INDEX(原始資料!AS$2:AS$501,$BJ219)="","",INDEX(原始資料!AS$2:AS$501,$BJ219)))</f>
        <v/>
      </c>
      <c r="AR219" s="6">
        <f>IF(OR($BJ219="",43&gt;設定!$B$3),"",IF(INDEX(原始資料!AT$2:AT$501,$BJ219)="","",INDEX(原始資料!AT$2:AT$501,$BJ219)))</f>
        <v/>
      </c>
      <c r="AS219" s="6">
        <f>IF(OR($BJ219="",44&gt;設定!$B$3),"",IF(INDEX(原始資料!AU$2:AU$501,$BJ219)="","",INDEX(原始資料!AU$2:AU$501,$BJ219)))</f>
        <v/>
      </c>
      <c r="AT219" s="6">
        <f>IF(OR($BJ219="",45&gt;設定!$B$3),"",IF(INDEX(原始資料!AV$2:AV$501,$BJ219)="","",INDEX(原始資料!AV$2:AV$501,$BJ219)))</f>
        <v/>
      </c>
      <c r="AU219" s="6">
        <f>IF(OR($BJ219="",46&gt;設定!$B$3),"",IF(INDEX(原始資料!AW$2:AW$501,$BJ219)="","",INDEX(原始資料!AW$2:AW$501,$BJ219)))</f>
        <v/>
      </c>
      <c r="AV219" s="6">
        <f>IF(OR($BJ219="",47&gt;設定!$B$3),"",IF(INDEX(原始資料!AX$2:AX$501,$BJ219)="","",INDEX(原始資料!AX$2:AX$501,$BJ219)))</f>
        <v/>
      </c>
      <c r="AW219" s="6">
        <f>IF(OR($BJ219="",48&gt;設定!$B$3),"",IF(INDEX(原始資料!AY$2:AY$501,$BJ219)="","",INDEX(原始資料!AY$2:AY$501,$BJ219)))</f>
        <v/>
      </c>
      <c r="AX219" s="6">
        <f>IF(OR($BJ219="",49&gt;設定!$B$3),"",IF(INDEX(原始資料!AZ$2:AZ$501,$BJ219)="","",INDEX(原始資料!AZ$2:AZ$501,$BJ219)))</f>
        <v/>
      </c>
      <c r="AY219" s="6">
        <f>IF(OR($BJ219="",50&gt;設定!$B$3),"",IF(INDEX(原始資料!BA$2:BA$501,$BJ219)="","",INDEX(原始資料!BA$2:BA$501,$BJ219)))</f>
        <v/>
      </c>
      <c r="AZ219" s="6">
        <f>IF(OR($BJ219="",51&gt;設定!$B$3),"",IF(INDEX(原始資料!BB$2:BB$501,$BJ219)="","",INDEX(原始資料!BB$2:BB$501,$BJ219)))</f>
        <v/>
      </c>
      <c r="BA219" s="6">
        <f>IF(OR($BJ219="",52&gt;設定!$B$3),"",IF(INDEX(原始資料!BC$2:BC$501,$BJ219)="","",INDEX(原始資料!BC$2:BC$501,$BJ219)))</f>
        <v/>
      </c>
      <c r="BB219" s="6">
        <f>IF(OR($BJ219="",53&gt;設定!$B$3),"",IF(INDEX(原始資料!BD$2:BD$501,$BJ219)="","",INDEX(原始資料!BD$2:BD$501,$BJ219)))</f>
        <v/>
      </c>
      <c r="BC219" s="6">
        <f>IF(OR($BJ219="",54&gt;設定!$B$3),"",IF(INDEX(原始資料!BE$2:BE$501,$BJ219)="","",INDEX(原始資料!BE$2:BE$501,$BJ219)))</f>
        <v/>
      </c>
      <c r="BD219" s="6">
        <f>IF(OR($BJ219="",55&gt;設定!$B$3),"",IF(INDEX(原始資料!BF$2:BF$501,$BJ219)="","",INDEX(原始資料!BF$2:BF$501,$BJ219)))</f>
        <v/>
      </c>
      <c r="BE219" s="6">
        <f>IF(OR($BJ219="",56&gt;設定!$B$3),"",IF(INDEX(原始資料!BG$2:BG$501,$BJ219)="","",INDEX(原始資料!BG$2:BG$501,$BJ219)))</f>
        <v/>
      </c>
      <c r="BF219" s="6">
        <f>IF(OR($BJ219="",57&gt;設定!$B$3),"",IF(INDEX(原始資料!BH$2:BH$501,$BJ219)="","",INDEX(原始資料!BH$2:BH$501,$BJ219)))</f>
        <v/>
      </c>
      <c r="BG219" s="6">
        <f>IF(OR($BJ219="",58&gt;設定!$B$3),"",IF(INDEX(原始資料!BI$2:BI$501,$BJ219)="","",INDEX(原始資料!BI$2:BI$501,$BJ219)))</f>
        <v/>
      </c>
      <c r="BH219" s="6">
        <f>IF(OR($BJ219="",59&gt;設定!$B$3),"",IF(INDEX(原始資料!BJ$2:BJ$501,$BJ219)="","",INDEX(原始資料!BJ$2:BJ$501,$BJ219)))</f>
        <v/>
      </c>
      <c r="BI219" s="6">
        <f>IF(OR($BJ219="",60&gt;設定!$B$3),"",IF(INDEX(原始資料!BK$2:BK$501,$BJ219)="","",INDEX(原始資料!BK$2:BK$501,$BJ219)))</f>
        <v/>
      </c>
      <c r="BJ219" s="6">
        <f>IFERROR(MATCH(ROW()-1,判定!$H$2:$H$501,0),"")</f>
        <v/>
      </c>
    </row>
    <row r="220">
      <c r="A220" s="6">
        <f>IF($BJ220="","",INDEX(原始資料!$A$2:$A$501,$BJ220))</f>
        <v/>
      </c>
      <c r="B220" s="6">
        <f>IF(OR($BJ220="",1&gt;設定!$B$3),"",IF(INDEX(原始資料!D$2:D$501,$BJ220)="","",INDEX(原始資料!D$2:D$501,$BJ220)))</f>
        <v/>
      </c>
      <c r="C220" s="6">
        <f>IF(OR($BJ220="",2&gt;設定!$B$3),"",IF(INDEX(原始資料!E$2:E$501,$BJ220)="","",INDEX(原始資料!E$2:E$501,$BJ220)))</f>
        <v/>
      </c>
      <c r="D220" s="6">
        <f>IF(OR($BJ220="",3&gt;設定!$B$3),"",IF(INDEX(原始資料!F$2:F$501,$BJ220)="","",INDEX(原始資料!F$2:F$501,$BJ220)))</f>
        <v/>
      </c>
      <c r="E220" s="6">
        <f>IF(OR($BJ220="",4&gt;設定!$B$3),"",IF(INDEX(原始資料!G$2:G$501,$BJ220)="","",INDEX(原始資料!G$2:G$501,$BJ220)))</f>
        <v/>
      </c>
      <c r="F220" s="6">
        <f>IF(OR($BJ220="",5&gt;設定!$B$3),"",IF(INDEX(原始資料!H$2:H$501,$BJ220)="","",INDEX(原始資料!H$2:H$501,$BJ220)))</f>
        <v/>
      </c>
      <c r="G220" s="6">
        <f>IF(OR($BJ220="",6&gt;設定!$B$3),"",IF(INDEX(原始資料!I$2:I$501,$BJ220)="","",INDEX(原始資料!I$2:I$501,$BJ220)))</f>
        <v/>
      </c>
      <c r="H220" s="6">
        <f>IF(OR($BJ220="",7&gt;設定!$B$3),"",IF(INDEX(原始資料!J$2:J$501,$BJ220)="","",INDEX(原始資料!J$2:J$501,$BJ220)))</f>
        <v/>
      </c>
      <c r="I220" s="6">
        <f>IF(OR($BJ220="",8&gt;設定!$B$3),"",IF(INDEX(原始資料!K$2:K$501,$BJ220)="","",INDEX(原始資料!K$2:K$501,$BJ220)))</f>
        <v/>
      </c>
      <c r="J220" s="6">
        <f>IF(OR($BJ220="",9&gt;設定!$B$3),"",IF(INDEX(原始資料!L$2:L$501,$BJ220)="","",INDEX(原始資料!L$2:L$501,$BJ220)))</f>
        <v/>
      </c>
      <c r="K220" s="6">
        <f>IF(OR($BJ220="",10&gt;設定!$B$3),"",IF(INDEX(原始資料!M$2:M$501,$BJ220)="","",INDEX(原始資料!M$2:M$501,$BJ220)))</f>
        <v/>
      </c>
      <c r="L220" s="6">
        <f>IF(OR($BJ220="",11&gt;設定!$B$3),"",IF(INDEX(原始資料!N$2:N$501,$BJ220)="","",INDEX(原始資料!N$2:N$501,$BJ220)))</f>
        <v/>
      </c>
      <c r="M220" s="6">
        <f>IF(OR($BJ220="",12&gt;設定!$B$3),"",IF(INDEX(原始資料!O$2:O$501,$BJ220)="","",INDEX(原始資料!O$2:O$501,$BJ220)))</f>
        <v/>
      </c>
      <c r="N220" s="6">
        <f>IF(OR($BJ220="",13&gt;設定!$B$3),"",IF(INDEX(原始資料!P$2:P$501,$BJ220)="","",INDEX(原始資料!P$2:P$501,$BJ220)))</f>
        <v/>
      </c>
      <c r="O220" s="6">
        <f>IF(OR($BJ220="",14&gt;設定!$B$3),"",IF(INDEX(原始資料!Q$2:Q$501,$BJ220)="","",INDEX(原始資料!Q$2:Q$501,$BJ220)))</f>
        <v/>
      </c>
      <c r="P220" s="6">
        <f>IF(OR($BJ220="",15&gt;設定!$B$3),"",IF(INDEX(原始資料!R$2:R$501,$BJ220)="","",INDEX(原始資料!R$2:R$501,$BJ220)))</f>
        <v/>
      </c>
      <c r="Q220" s="6">
        <f>IF(OR($BJ220="",16&gt;設定!$B$3),"",IF(INDEX(原始資料!S$2:S$501,$BJ220)="","",INDEX(原始資料!S$2:S$501,$BJ220)))</f>
        <v/>
      </c>
      <c r="R220" s="6">
        <f>IF(OR($BJ220="",17&gt;設定!$B$3),"",IF(INDEX(原始資料!T$2:T$501,$BJ220)="","",INDEX(原始資料!T$2:T$501,$BJ220)))</f>
        <v/>
      </c>
      <c r="S220" s="6">
        <f>IF(OR($BJ220="",18&gt;設定!$B$3),"",IF(INDEX(原始資料!U$2:U$501,$BJ220)="","",INDEX(原始資料!U$2:U$501,$BJ220)))</f>
        <v/>
      </c>
      <c r="T220" s="6">
        <f>IF(OR($BJ220="",19&gt;設定!$B$3),"",IF(INDEX(原始資料!V$2:V$501,$BJ220)="","",INDEX(原始資料!V$2:V$501,$BJ220)))</f>
        <v/>
      </c>
      <c r="U220" s="6">
        <f>IF(OR($BJ220="",20&gt;設定!$B$3),"",IF(INDEX(原始資料!W$2:W$501,$BJ220)="","",INDEX(原始資料!W$2:W$501,$BJ220)))</f>
        <v/>
      </c>
      <c r="V220" s="6">
        <f>IF(OR($BJ220="",21&gt;設定!$B$3),"",IF(INDEX(原始資料!X$2:X$501,$BJ220)="","",INDEX(原始資料!X$2:X$501,$BJ220)))</f>
        <v/>
      </c>
      <c r="W220" s="6">
        <f>IF(OR($BJ220="",22&gt;設定!$B$3),"",IF(INDEX(原始資料!Y$2:Y$501,$BJ220)="","",INDEX(原始資料!Y$2:Y$501,$BJ220)))</f>
        <v/>
      </c>
      <c r="X220" s="6">
        <f>IF(OR($BJ220="",23&gt;設定!$B$3),"",IF(INDEX(原始資料!Z$2:Z$501,$BJ220)="","",INDEX(原始資料!Z$2:Z$501,$BJ220)))</f>
        <v/>
      </c>
      <c r="Y220" s="6">
        <f>IF(OR($BJ220="",24&gt;設定!$B$3),"",IF(INDEX(原始資料!AA$2:AA$501,$BJ220)="","",INDEX(原始資料!AA$2:AA$501,$BJ220)))</f>
        <v/>
      </c>
      <c r="Z220" s="6">
        <f>IF(OR($BJ220="",25&gt;設定!$B$3),"",IF(INDEX(原始資料!AB$2:AB$501,$BJ220)="","",INDEX(原始資料!AB$2:AB$501,$BJ220)))</f>
        <v/>
      </c>
      <c r="AA220" s="6">
        <f>IF(OR($BJ220="",26&gt;設定!$B$3),"",IF(INDEX(原始資料!AC$2:AC$501,$BJ220)="","",INDEX(原始資料!AC$2:AC$501,$BJ220)))</f>
        <v/>
      </c>
      <c r="AB220" s="6">
        <f>IF(OR($BJ220="",27&gt;設定!$B$3),"",IF(INDEX(原始資料!AD$2:AD$501,$BJ220)="","",INDEX(原始資料!AD$2:AD$501,$BJ220)))</f>
        <v/>
      </c>
      <c r="AC220" s="6">
        <f>IF(OR($BJ220="",28&gt;設定!$B$3),"",IF(INDEX(原始資料!AE$2:AE$501,$BJ220)="","",INDEX(原始資料!AE$2:AE$501,$BJ220)))</f>
        <v/>
      </c>
      <c r="AD220" s="6">
        <f>IF(OR($BJ220="",29&gt;設定!$B$3),"",IF(INDEX(原始資料!AF$2:AF$501,$BJ220)="","",INDEX(原始資料!AF$2:AF$501,$BJ220)))</f>
        <v/>
      </c>
      <c r="AE220" s="6">
        <f>IF(OR($BJ220="",30&gt;設定!$B$3),"",IF(INDEX(原始資料!AG$2:AG$501,$BJ220)="","",INDEX(原始資料!AG$2:AG$501,$BJ220)))</f>
        <v/>
      </c>
      <c r="AF220" s="6">
        <f>IF(OR($BJ220="",31&gt;設定!$B$3),"",IF(INDEX(原始資料!AH$2:AH$501,$BJ220)="","",INDEX(原始資料!AH$2:AH$501,$BJ220)))</f>
        <v/>
      </c>
      <c r="AG220" s="6">
        <f>IF(OR($BJ220="",32&gt;設定!$B$3),"",IF(INDEX(原始資料!AI$2:AI$501,$BJ220)="","",INDEX(原始資料!AI$2:AI$501,$BJ220)))</f>
        <v/>
      </c>
      <c r="AH220" s="6">
        <f>IF(OR($BJ220="",33&gt;設定!$B$3),"",IF(INDEX(原始資料!AJ$2:AJ$501,$BJ220)="","",INDEX(原始資料!AJ$2:AJ$501,$BJ220)))</f>
        <v/>
      </c>
      <c r="AI220" s="6">
        <f>IF(OR($BJ220="",34&gt;設定!$B$3),"",IF(INDEX(原始資料!AK$2:AK$501,$BJ220)="","",INDEX(原始資料!AK$2:AK$501,$BJ220)))</f>
        <v/>
      </c>
      <c r="AJ220" s="6">
        <f>IF(OR($BJ220="",35&gt;設定!$B$3),"",IF(INDEX(原始資料!AL$2:AL$501,$BJ220)="","",INDEX(原始資料!AL$2:AL$501,$BJ220)))</f>
        <v/>
      </c>
      <c r="AK220" s="6">
        <f>IF(OR($BJ220="",36&gt;設定!$B$3),"",IF(INDEX(原始資料!AM$2:AM$501,$BJ220)="","",INDEX(原始資料!AM$2:AM$501,$BJ220)))</f>
        <v/>
      </c>
      <c r="AL220" s="6">
        <f>IF(OR($BJ220="",37&gt;設定!$B$3),"",IF(INDEX(原始資料!AN$2:AN$501,$BJ220)="","",INDEX(原始資料!AN$2:AN$501,$BJ220)))</f>
        <v/>
      </c>
      <c r="AM220" s="6">
        <f>IF(OR($BJ220="",38&gt;設定!$B$3),"",IF(INDEX(原始資料!AO$2:AO$501,$BJ220)="","",INDEX(原始資料!AO$2:AO$501,$BJ220)))</f>
        <v/>
      </c>
      <c r="AN220" s="6">
        <f>IF(OR($BJ220="",39&gt;設定!$B$3),"",IF(INDEX(原始資料!AP$2:AP$501,$BJ220)="","",INDEX(原始資料!AP$2:AP$501,$BJ220)))</f>
        <v/>
      </c>
      <c r="AO220" s="6">
        <f>IF(OR($BJ220="",40&gt;設定!$B$3),"",IF(INDEX(原始資料!AQ$2:AQ$501,$BJ220)="","",INDEX(原始資料!AQ$2:AQ$501,$BJ220)))</f>
        <v/>
      </c>
      <c r="AP220" s="6">
        <f>IF(OR($BJ220="",41&gt;設定!$B$3),"",IF(INDEX(原始資料!AR$2:AR$501,$BJ220)="","",INDEX(原始資料!AR$2:AR$501,$BJ220)))</f>
        <v/>
      </c>
      <c r="AQ220" s="6">
        <f>IF(OR($BJ220="",42&gt;設定!$B$3),"",IF(INDEX(原始資料!AS$2:AS$501,$BJ220)="","",INDEX(原始資料!AS$2:AS$501,$BJ220)))</f>
        <v/>
      </c>
      <c r="AR220" s="6">
        <f>IF(OR($BJ220="",43&gt;設定!$B$3),"",IF(INDEX(原始資料!AT$2:AT$501,$BJ220)="","",INDEX(原始資料!AT$2:AT$501,$BJ220)))</f>
        <v/>
      </c>
      <c r="AS220" s="6">
        <f>IF(OR($BJ220="",44&gt;設定!$B$3),"",IF(INDEX(原始資料!AU$2:AU$501,$BJ220)="","",INDEX(原始資料!AU$2:AU$501,$BJ220)))</f>
        <v/>
      </c>
      <c r="AT220" s="6">
        <f>IF(OR($BJ220="",45&gt;設定!$B$3),"",IF(INDEX(原始資料!AV$2:AV$501,$BJ220)="","",INDEX(原始資料!AV$2:AV$501,$BJ220)))</f>
        <v/>
      </c>
      <c r="AU220" s="6">
        <f>IF(OR($BJ220="",46&gt;設定!$B$3),"",IF(INDEX(原始資料!AW$2:AW$501,$BJ220)="","",INDEX(原始資料!AW$2:AW$501,$BJ220)))</f>
        <v/>
      </c>
      <c r="AV220" s="6">
        <f>IF(OR($BJ220="",47&gt;設定!$B$3),"",IF(INDEX(原始資料!AX$2:AX$501,$BJ220)="","",INDEX(原始資料!AX$2:AX$501,$BJ220)))</f>
        <v/>
      </c>
      <c r="AW220" s="6">
        <f>IF(OR($BJ220="",48&gt;設定!$B$3),"",IF(INDEX(原始資料!AY$2:AY$501,$BJ220)="","",INDEX(原始資料!AY$2:AY$501,$BJ220)))</f>
        <v/>
      </c>
      <c r="AX220" s="6">
        <f>IF(OR($BJ220="",49&gt;設定!$B$3),"",IF(INDEX(原始資料!AZ$2:AZ$501,$BJ220)="","",INDEX(原始資料!AZ$2:AZ$501,$BJ220)))</f>
        <v/>
      </c>
      <c r="AY220" s="6">
        <f>IF(OR($BJ220="",50&gt;設定!$B$3),"",IF(INDEX(原始資料!BA$2:BA$501,$BJ220)="","",INDEX(原始資料!BA$2:BA$501,$BJ220)))</f>
        <v/>
      </c>
      <c r="AZ220" s="6">
        <f>IF(OR($BJ220="",51&gt;設定!$B$3),"",IF(INDEX(原始資料!BB$2:BB$501,$BJ220)="","",INDEX(原始資料!BB$2:BB$501,$BJ220)))</f>
        <v/>
      </c>
      <c r="BA220" s="6">
        <f>IF(OR($BJ220="",52&gt;設定!$B$3),"",IF(INDEX(原始資料!BC$2:BC$501,$BJ220)="","",INDEX(原始資料!BC$2:BC$501,$BJ220)))</f>
        <v/>
      </c>
      <c r="BB220" s="6">
        <f>IF(OR($BJ220="",53&gt;設定!$B$3),"",IF(INDEX(原始資料!BD$2:BD$501,$BJ220)="","",INDEX(原始資料!BD$2:BD$501,$BJ220)))</f>
        <v/>
      </c>
      <c r="BC220" s="6">
        <f>IF(OR($BJ220="",54&gt;設定!$B$3),"",IF(INDEX(原始資料!BE$2:BE$501,$BJ220)="","",INDEX(原始資料!BE$2:BE$501,$BJ220)))</f>
        <v/>
      </c>
      <c r="BD220" s="6">
        <f>IF(OR($BJ220="",55&gt;設定!$B$3),"",IF(INDEX(原始資料!BF$2:BF$501,$BJ220)="","",INDEX(原始資料!BF$2:BF$501,$BJ220)))</f>
        <v/>
      </c>
      <c r="BE220" s="6">
        <f>IF(OR($BJ220="",56&gt;設定!$B$3),"",IF(INDEX(原始資料!BG$2:BG$501,$BJ220)="","",INDEX(原始資料!BG$2:BG$501,$BJ220)))</f>
        <v/>
      </c>
      <c r="BF220" s="6">
        <f>IF(OR($BJ220="",57&gt;設定!$B$3),"",IF(INDEX(原始資料!BH$2:BH$501,$BJ220)="","",INDEX(原始資料!BH$2:BH$501,$BJ220)))</f>
        <v/>
      </c>
      <c r="BG220" s="6">
        <f>IF(OR($BJ220="",58&gt;設定!$B$3),"",IF(INDEX(原始資料!BI$2:BI$501,$BJ220)="","",INDEX(原始資料!BI$2:BI$501,$BJ220)))</f>
        <v/>
      </c>
      <c r="BH220" s="6">
        <f>IF(OR($BJ220="",59&gt;設定!$B$3),"",IF(INDEX(原始資料!BJ$2:BJ$501,$BJ220)="","",INDEX(原始資料!BJ$2:BJ$501,$BJ220)))</f>
        <v/>
      </c>
      <c r="BI220" s="6">
        <f>IF(OR($BJ220="",60&gt;設定!$B$3),"",IF(INDEX(原始資料!BK$2:BK$501,$BJ220)="","",INDEX(原始資料!BK$2:BK$501,$BJ220)))</f>
        <v/>
      </c>
      <c r="BJ220" s="6">
        <f>IFERROR(MATCH(ROW()-1,判定!$H$2:$H$501,0),"")</f>
        <v/>
      </c>
    </row>
    <row r="221">
      <c r="A221" s="6">
        <f>IF($BJ221="","",INDEX(原始資料!$A$2:$A$501,$BJ221))</f>
        <v/>
      </c>
      <c r="B221" s="6">
        <f>IF(OR($BJ221="",1&gt;設定!$B$3),"",IF(INDEX(原始資料!D$2:D$501,$BJ221)="","",INDEX(原始資料!D$2:D$501,$BJ221)))</f>
        <v/>
      </c>
      <c r="C221" s="6">
        <f>IF(OR($BJ221="",2&gt;設定!$B$3),"",IF(INDEX(原始資料!E$2:E$501,$BJ221)="","",INDEX(原始資料!E$2:E$501,$BJ221)))</f>
        <v/>
      </c>
      <c r="D221" s="6">
        <f>IF(OR($BJ221="",3&gt;設定!$B$3),"",IF(INDEX(原始資料!F$2:F$501,$BJ221)="","",INDEX(原始資料!F$2:F$501,$BJ221)))</f>
        <v/>
      </c>
      <c r="E221" s="6">
        <f>IF(OR($BJ221="",4&gt;設定!$B$3),"",IF(INDEX(原始資料!G$2:G$501,$BJ221)="","",INDEX(原始資料!G$2:G$501,$BJ221)))</f>
        <v/>
      </c>
      <c r="F221" s="6">
        <f>IF(OR($BJ221="",5&gt;設定!$B$3),"",IF(INDEX(原始資料!H$2:H$501,$BJ221)="","",INDEX(原始資料!H$2:H$501,$BJ221)))</f>
        <v/>
      </c>
      <c r="G221" s="6">
        <f>IF(OR($BJ221="",6&gt;設定!$B$3),"",IF(INDEX(原始資料!I$2:I$501,$BJ221)="","",INDEX(原始資料!I$2:I$501,$BJ221)))</f>
        <v/>
      </c>
      <c r="H221" s="6">
        <f>IF(OR($BJ221="",7&gt;設定!$B$3),"",IF(INDEX(原始資料!J$2:J$501,$BJ221)="","",INDEX(原始資料!J$2:J$501,$BJ221)))</f>
        <v/>
      </c>
      <c r="I221" s="6">
        <f>IF(OR($BJ221="",8&gt;設定!$B$3),"",IF(INDEX(原始資料!K$2:K$501,$BJ221)="","",INDEX(原始資料!K$2:K$501,$BJ221)))</f>
        <v/>
      </c>
      <c r="J221" s="6">
        <f>IF(OR($BJ221="",9&gt;設定!$B$3),"",IF(INDEX(原始資料!L$2:L$501,$BJ221)="","",INDEX(原始資料!L$2:L$501,$BJ221)))</f>
        <v/>
      </c>
      <c r="K221" s="6">
        <f>IF(OR($BJ221="",10&gt;設定!$B$3),"",IF(INDEX(原始資料!M$2:M$501,$BJ221)="","",INDEX(原始資料!M$2:M$501,$BJ221)))</f>
        <v/>
      </c>
      <c r="L221" s="6">
        <f>IF(OR($BJ221="",11&gt;設定!$B$3),"",IF(INDEX(原始資料!N$2:N$501,$BJ221)="","",INDEX(原始資料!N$2:N$501,$BJ221)))</f>
        <v/>
      </c>
      <c r="M221" s="6">
        <f>IF(OR($BJ221="",12&gt;設定!$B$3),"",IF(INDEX(原始資料!O$2:O$501,$BJ221)="","",INDEX(原始資料!O$2:O$501,$BJ221)))</f>
        <v/>
      </c>
      <c r="N221" s="6">
        <f>IF(OR($BJ221="",13&gt;設定!$B$3),"",IF(INDEX(原始資料!P$2:P$501,$BJ221)="","",INDEX(原始資料!P$2:P$501,$BJ221)))</f>
        <v/>
      </c>
      <c r="O221" s="6">
        <f>IF(OR($BJ221="",14&gt;設定!$B$3),"",IF(INDEX(原始資料!Q$2:Q$501,$BJ221)="","",INDEX(原始資料!Q$2:Q$501,$BJ221)))</f>
        <v/>
      </c>
      <c r="P221" s="6">
        <f>IF(OR($BJ221="",15&gt;設定!$B$3),"",IF(INDEX(原始資料!R$2:R$501,$BJ221)="","",INDEX(原始資料!R$2:R$501,$BJ221)))</f>
        <v/>
      </c>
      <c r="Q221" s="6">
        <f>IF(OR($BJ221="",16&gt;設定!$B$3),"",IF(INDEX(原始資料!S$2:S$501,$BJ221)="","",INDEX(原始資料!S$2:S$501,$BJ221)))</f>
        <v/>
      </c>
      <c r="R221" s="6">
        <f>IF(OR($BJ221="",17&gt;設定!$B$3),"",IF(INDEX(原始資料!T$2:T$501,$BJ221)="","",INDEX(原始資料!T$2:T$501,$BJ221)))</f>
        <v/>
      </c>
      <c r="S221" s="6">
        <f>IF(OR($BJ221="",18&gt;設定!$B$3),"",IF(INDEX(原始資料!U$2:U$501,$BJ221)="","",INDEX(原始資料!U$2:U$501,$BJ221)))</f>
        <v/>
      </c>
      <c r="T221" s="6">
        <f>IF(OR($BJ221="",19&gt;設定!$B$3),"",IF(INDEX(原始資料!V$2:V$501,$BJ221)="","",INDEX(原始資料!V$2:V$501,$BJ221)))</f>
        <v/>
      </c>
      <c r="U221" s="6">
        <f>IF(OR($BJ221="",20&gt;設定!$B$3),"",IF(INDEX(原始資料!W$2:W$501,$BJ221)="","",INDEX(原始資料!W$2:W$501,$BJ221)))</f>
        <v/>
      </c>
      <c r="V221" s="6">
        <f>IF(OR($BJ221="",21&gt;設定!$B$3),"",IF(INDEX(原始資料!X$2:X$501,$BJ221)="","",INDEX(原始資料!X$2:X$501,$BJ221)))</f>
        <v/>
      </c>
      <c r="W221" s="6">
        <f>IF(OR($BJ221="",22&gt;設定!$B$3),"",IF(INDEX(原始資料!Y$2:Y$501,$BJ221)="","",INDEX(原始資料!Y$2:Y$501,$BJ221)))</f>
        <v/>
      </c>
      <c r="X221" s="6">
        <f>IF(OR($BJ221="",23&gt;設定!$B$3),"",IF(INDEX(原始資料!Z$2:Z$501,$BJ221)="","",INDEX(原始資料!Z$2:Z$501,$BJ221)))</f>
        <v/>
      </c>
      <c r="Y221" s="6">
        <f>IF(OR($BJ221="",24&gt;設定!$B$3),"",IF(INDEX(原始資料!AA$2:AA$501,$BJ221)="","",INDEX(原始資料!AA$2:AA$501,$BJ221)))</f>
        <v/>
      </c>
      <c r="Z221" s="6">
        <f>IF(OR($BJ221="",25&gt;設定!$B$3),"",IF(INDEX(原始資料!AB$2:AB$501,$BJ221)="","",INDEX(原始資料!AB$2:AB$501,$BJ221)))</f>
        <v/>
      </c>
      <c r="AA221" s="6">
        <f>IF(OR($BJ221="",26&gt;設定!$B$3),"",IF(INDEX(原始資料!AC$2:AC$501,$BJ221)="","",INDEX(原始資料!AC$2:AC$501,$BJ221)))</f>
        <v/>
      </c>
      <c r="AB221" s="6">
        <f>IF(OR($BJ221="",27&gt;設定!$B$3),"",IF(INDEX(原始資料!AD$2:AD$501,$BJ221)="","",INDEX(原始資料!AD$2:AD$501,$BJ221)))</f>
        <v/>
      </c>
      <c r="AC221" s="6">
        <f>IF(OR($BJ221="",28&gt;設定!$B$3),"",IF(INDEX(原始資料!AE$2:AE$501,$BJ221)="","",INDEX(原始資料!AE$2:AE$501,$BJ221)))</f>
        <v/>
      </c>
      <c r="AD221" s="6">
        <f>IF(OR($BJ221="",29&gt;設定!$B$3),"",IF(INDEX(原始資料!AF$2:AF$501,$BJ221)="","",INDEX(原始資料!AF$2:AF$501,$BJ221)))</f>
        <v/>
      </c>
      <c r="AE221" s="6">
        <f>IF(OR($BJ221="",30&gt;設定!$B$3),"",IF(INDEX(原始資料!AG$2:AG$501,$BJ221)="","",INDEX(原始資料!AG$2:AG$501,$BJ221)))</f>
        <v/>
      </c>
      <c r="AF221" s="6">
        <f>IF(OR($BJ221="",31&gt;設定!$B$3),"",IF(INDEX(原始資料!AH$2:AH$501,$BJ221)="","",INDEX(原始資料!AH$2:AH$501,$BJ221)))</f>
        <v/>
      </c>
      <c r="AG221" s="6">
        <f>IF(OR($BJ221="",32&gt;設定!$B$3),"",IF(INDEX(原始資料!AI$2:AI$501,$BJ221)="","",INDEX(原始資料!AI$2:AI$501,$BJ221)))</f>
        <v/>
      </c>
      <c r="AH221" s="6">
        <f>IF(OR($BJ221="",33&gt;設定!$B$3),"",IF(INDEX(原始資料!AJ$2:AJ$501,$BJ221)="","",INDEX(原始資料!AJ$2:AJ$501,$BJ221)))</f>
        <v/>
      </c>
      <c r="AI221" s="6">
        <f>IF(OR($BJ221="",34&gt;設定!$B$3),"",IF(INDEX(原始資料!AK$2:AK$501,$BJ221)="","",INDEX(原始資料!AK$2:AK$501,$BJ221)))</f>
        <v/>
      </c>
      <c r="AJ221" s="6">
        <f>IF(OR($BJ221="",35&gt;設定!$B$3),"",IF(INDEX(原始資料!AL$2:AL$501,$BJ221)="","",INDEX(原始資料!AL$2:AL$501,$BJ221)))</f>
        <v/>
      </c>
      <c r="AK221" s="6">
        <f>IF(OR($BJ221="",36&gt;設定!$B$3),"",IF(INDEX(原始資料!AM$2:AM$501,$BJ221)="","",INDEX(原始資料!AM$2:AM$501,$BJ221)))</f>
        <v/>
      </c>
      <c r="AL221" s="6">
        <f>IF(OR($BJ221="",37&gt;設定!$B$3),"",IF(INDEX(原始資料!AN$2:AN$501,$BJ221)="","",INDEX(原始資料!AN$2:AN$501,$BJ221)))</f>
        <v/>
      </c>
      <c r="AM221" s="6">
        <f>IF(OR($BJ221="",38&gt;設定!$B$3),"",IF(INDEX(原始資料!AO$2:AO$501,$BJ221)="","",INDEX(原始資料!AO$2:AO$501,$BJ221)))</f>
        <v/>
      </c>
      <c r="AN221" s="6">
        <f>IF(OR($BJ221="",39&gt;設定!$B$3),"",IF(INDEX(原始資料!AP$2:AP$501,$BJ221)="","",INDEX(原始資料!AP$2:AP$501,$BJ221)))</f>
        <v/>
      </c>
      <c r="AO221" s="6">
        <f>IF(OR($BJ221="",40&gt;設定!$B$3),"",IF(INDEX(原始資料!AQ$2:AQ$501,$BJ221)="","",INDEX(原始資料!AQ$2:AQ$501,$BJ221)))</f>
        <v/>
      </c>
      <c r="AP221" s="6">
        <f>IF(OR($BJ221="",41&gt;設定!$B$3),"",IF(INDEX(原始資料!AR$2:AR$501,$BJ221)="","",INDEX(原始資料!AR$2:AR$501,$BJ221)))</f>
        <v/>
      </c>
      <c r="AQ221" s="6">
        <f>IF(OR($BJ221="",42&gt;設定!$B$3),"",IF(INDEX(原始資料!AS$2:AS$501,$BJ221)="","",INDEX(原始資料!AS$2:AS$501,$BJ221)))</f>
        <v/>
      </c>
      <c r="AR221" s="6">
        <f>IF(OR($BJ221="",43&gt;設定!$B$3),"",IF(INDEX(原始資料!AT$2:AT$501,$BJ221)="","",INDEX(原始資料!AT$2:AT$501,$BJ221)))</f>
        <v/>
      </c>
      <c r="AS221" s="6">
        <f>IF(OR($BJ221="",44&gt;設定!$B$3),"",IF(INDEX(原始資料!AU$2:AU$501,$BJ221)="","",INDEX(原始資料!AU$2:AU$501,$BJ221)))</f>
        <v/>
      </c>
      <c r="AT221" s="6">
        <f>IF(OR($BJ221="",45&gt;設定!$B$3),"",IF(INDEX(原始資料!AV$2:AV$501,$BJ221)="","",INDEX(原始資料!AV$2:AV$501,$BJ221)))</f>
        <v/>
      </c>
      <c r="AU221" s="6">
        <f>IF(OR($BJ221="",46&gt;設定!$B$3),"",IF(INDEX(原始資料!AW$2:AW$501,$BJ221)="","",INDEX(原始資料!AW$2:AW$501,$BJ221)))</f>
        <v/>
      </c>
      <c r="AV221" s="6">
        <f>IF(OR($BJ221="",47&gt;設定!$B$3),"",IF(INDEX(原始資料!AX$2:AX$501,$BJ221)="","",INDEX(原始資料!AX$2:AX$501,$BJ221)))</f>
        <v/>
      </c>
      <c r="AW221" s="6">
        <f>IF(OR($BJ221="",48&gt;設定!$B$3),"",IF(INDEX(原始資料!AY$2:AY$501,$BJ221)="","",INDEX(原始資料!AY$2:AY$501,$BJ221)))</f>
        <v/>
      </c>
      <c r="AX221" s="6">
        <f>IF(OR($BJ221="",49&gt;設定!$B$3),"",IF(INDEX(原始資料!AZ$2:AZ$501,$BJ221)="","",INDEX(原始資料!AZ$2:AZ$501,$BJ221)))</f>
        <v/>
      </c>
      <c r="AY221" s="6">
        <f>IF(OR($BJ221="",50&gt;設定!$B$3),"",IF(INDEX(原始資料!BA$2:BA$501,$BJ221)="","",INDEX(原始資料!BA$2:BA$501,$BJ221)))</f>
        <v/>
      </c>
      <c r="AZ221" s="6">
        <f>IF(OR($BJ221="",51&gt;設定!$B$3),"",IF(INDEX(原始資料!BB$2:BB$501,$BJ221)="","",INDEX(原始資料!BB$2:BB$501,$BJ221)))</f>
        <v/>
      </c>
      <c r="BA221" s="6">
        <f>IF(OR($BJ221="",52&gt;設定!$B$3),"",IF(INDEX(原始資料!BC$2:BC$501,$BJ221)="","",INDEX(原始資料!BC$2:BC$501,$BJ221)))</f>
        <v/>
      </c>
      <c r="BB221" s="6">
        <f>IF(OR($BJ221="",53&gt;設定!$B$3),"",IF(INDEX(原始資料!BD$2:BD$501,$BJ221)="","",INDEX(原始資料!BD$2:BD$501,$BJ221)))</f>
        <v/>
      </c>
      <c r="BC221" s="6">
        <f>IF(OR($BJ221="",54&gt;設定!$B$3),"",IF(INDEX(原始資料!BE$2:BE$501,$BJ221)="","",INDEX(原始資料!BE$2:BE$501,$BJ221)))</f>
        <v/>
      </c>
      <c r="BD221" s="6">
        <f>IF(OR($BJ221="",55&gt;設定!$B$3),"",IF(INDEX(原始資料!BF$2:BF$501,$BJ221)="","",INDEX(原始資料!BF$2:BF$501,$BJ221)))</f>
        <v/>
      </c>
      <c r="BE221" s="6">
        <f>IF(OR($BJ221="",56&gt;設定!$B$3),"",IF(INDEX(原始資料!BG$2:BG$501,$BJ221)="","",INDEX(原始資料!BG$2:BG$501,$BJ221)))</f>
        <v/>
      </c>
      <c r="BF221" s="6">
        <f>IF(OR($BJ221="",57&gt;設定!$B$3),"",IF(INDEX(原始資料!BH$2:BH$501,$BJ221)="","",INDEX(原始資料!BH$2:BH$501,$BJ221)))</f>
        <v/>
      </c>
      <c r="BG221" s="6">
        <f>IF(OR($BJ221="",58&gt;設定!$B$3),"",IF(INDEX(原始資料!BI$2:BI$501,$BJ221)="","",INDEX(原始資料!BI$2:BI$501,$BJ221)))</f>
        <v/>
      </c>
      <c r="BH221" s="6">
        <f>IF(OR($BJ221="",59&gt;設定!$B$3),"",IF(INDEX(原始資料!BJ$2:BJ$501,$BJ221)="","",INDEX(原始資料!BJ$2:BJ$501,$BJ221)))</f>
        <v/>
      </c>
      <c r="BI221" s="6">
        <f>IF(OR($BJ221="",60&gt;設定!$B$3),"",IF(INDEX(原始資料!BK$2:BK$501,$BJ221)="","",INDEX(原始資料!BK$2:BK$501,$BJ221)))</f>
        <v/>
      </c>
      <c r="BJ221" s="6">
        <f>IFERROR(MATCH(ROW()-1,判定!$H$2:$H$501,0),"")</f>
        <v/>
      </c>
    </row>
    <row r="222">
      <c r="A222" s="6">
        <f>IF($BJ222="","",INDEX(原始資料!$A$2:$A$501,$BJ222))</f>
        <v/>
      </c>
      <c r="B222" s="6">
        <f>IF(OR($BJ222="",1&gt;設定!$B$3),"",IF(INDEX(原始資料!D$2:D$501,$BJ222)="","",INDEX(原始資料!D$2:D$501,$BJ222)))</f>
        <v/>
      </c>
      <c r="C222" s="6">
        <f>IF(OR($BJ222="",2&gt;設定!$B$3),"",IF(INDEX(原始資料!E$2:E$501,$BJ222)="","",INDEX(原始資料!E$2:E$501,$BJ222)))</f>
        <v/>
      </c>
      <c r="D222" s="6">
        <f>IF(OR($BJ222="",3&gt;設定!$B$3),"",IF(INDEX(原始資料!F$2:F$501,$BJ222)="","",INDEX(原始資料!F$2:F$501,$BJ222)))</f>
        <v/>
      </c>
      <c r="E222" s="6">
        <f>IF(OR($BJ222="",4&gt;設定!$B$3),"",IF(INDEX(原始資料!G$2:G$501,$BJ222)="","",INDEX(原始資料!G$2:G$501,$BJ222)))</f>
        <v/>
      </c>
      <c r="F222" s="6">
        <f>IF(OR($BJ222="",5&gt;設定!$B$3),"",IF(INDEX(原始資料!H$2:H$501,$BJ222)="","",INDEX(原始資料!H$2:H$501,$BJ222)))</f>
        <v/>
      </c>
      <c r="G222" s="6">
        <f>IF(OR($BJ222="",6&gt;設定!$B$3),"",IF(INDEX(原始資料!I$2:I$501,$BJ222)="","",INDEX(原始資料!I$2:I$501,$BJ222)))</f>
        <v/>
      </c>
      <c r="H222" s="6">
        <f>IF(OR($BJ222="",7&gt;設定!$B$3),"",IF(INDEX(原始資料!J$2:J$501,$BJ222)="","",INDEX(原始資料!J$2:J$501,$BJ222)))</f>
        <v/>
      </c>
      <c r="I222" s="6">
        <f>IF(OR($BJ222="",8&gt;設定!$B$3),"",IF(INDEX(原始資料!K$2:K$501,$BJ222)="","",INDEX(原始資料!K$2:K$501,$BJ222)))</f>
        <v/>
      </c>
      <c r="J222" s="6">
        <f>IF(OR($BJ222="",9&gt;設定!$B$3),"",IF(INDEX(原始資料!L$2:L$501,$BJ222)="","",INDEX(原始資料!L$2:L$501,$BJ222)))</f>
        <v/>
      </c>
      <c r="K222" s="6">
        <f>IF(OR($BJ222="",10&gt;設定!$B$3),"",IF(INDEX(原始資料!M$2:M$501,$BJ222)="","",INDEX(原始資料!M$2:M$501,$BJ222)))</f>
        <v/>
      </c>
      <c r="L222" s="6">
        <f>IF(OR($BJ222="",11&gt;設定!$B$3),"",IF(INDEX(原始資料!N$2:N$501,$BJ222)="","",INDEX(原始資料!N$2:N$501,$BJ222)))</f>
        <v/>
      </c>
      <c r="M222" s="6">
        <f>IF(OR($BJ222="",12&gt;設定!$B$3),"",IF(INDEX(原始資料!O$2:O$501,$BJ222)="","",INDEX(原始資料!O$2:O$501,$BJ222)))</f>
        <v/>
      </c>
      <c r="N222" s="6">
        <f>IF(OR($BJ222="",13&gt;設定!$B$3),"",IF(INDEX(原始資料!P$2:P$501,$BJ222)="","",INDEX(原始資料!P$2:P$501,$BJ222)))</f>
        <v/>
      </c>
      <c r="O222" s="6">
        <f>IF(OR($BJ222="",14&gt;設定!$B$3),"",IF(INDEX(原始資料!Q$2:Q$501,$BJ222)="","",INDEX(原始資料!Q$2:Q$501,$BJ222)))</f>
        <v/>
      </c>
      <c r="P222" s="6">
        <f>IF(OR($BJ222="",15&gt;設定!$B$3),"",IF(INDEX(原始資料!R$2:R$501,$BJ222)="","",INDEX(原始資料!R$2:R$501,$BJ222)))</f>
        <v/>
      </c>
      <c r="Q222" s="6">
        <f>IF(OR($BJ222="",16&gt;設定!$B$3),"",IF(INDEX(原始資料!S$2:S$501,$BJ222)="","",INDEX(原始資料!S$2:S$501,$BJ222)))</f>
        <v/>
      </c>
      <c r="R222" s="6">
        <f>IF(OR($BJ222="",17&gt;設定!$B$3),"",IF(INDEX(原始資料!T$2:T$501,$BJ222)="","",INDEX(原始資料!T$2:T$501,$BJ222)))</f>
        <v/>
      </c>
      <c r="S222" s="6">
        <f>IF(OR($BJ222="",18&gt;設定!$B$3),"",IF(INDEX(原始資料!U$2:U$501,$BJ222)="","",INDEX(原始資料!U$2:U$501,$BJ222)))</f>
        <v/>
      </c>
      <c r="T222" s="6">
        <f>IF(OR($BJ222="",19&gt;設定!$B$3),"",IF(INDEX(原始資料!V$2:V$501,$BJ222)="","",INDEX(原始資料!V$2:V$501,$BJ222)))</f>
        <v/>
      </c>
      <c r="U222" s="6">
        <f>IF(OR($BJ222="",20&gt;設定!$B$3),"",IF(INDEX(原始資料!W$2:W$501,$BJ222)="","",INDEX(原始資料!W$2:W$501,$BJ222)))</f>
        <v/>
      </c>
      <c r="V222" s="6">
        <f>IF(OR($BJ222="",21&gt;設定!$B$3),"",IF(INDEX(原始資料!X$2:X$501,$BJ222)="","",INDEX(原始資料!X$2:X$501,$BJ222)))</f>
        <v/>
      </c>
      <c r="W222" s="6">
        <f>IF(OR($BJ222="",22&gt;設定!$B$3),"",IF(INDEX(原始資料!Y$2:Y$501,$BJ222)="","",INDEX(原始資料!Y$2:Y$501,$BJ222)))</f>
        <v/>
      </c>
      <c r="X222" s="6">
        <f>IF(OR($BJ222="",23&gt;設定!$B$3),"",IF(INDEX(原始資料!Z$2:Z$501,$BJ222)="","",INDEX(原始資料!Z$2:Z$501,$BJ222)))</f>
        <v/>
      </c>
      <c r="Y222" s="6">
        <f>IF(OR($BJ222="",24&gt;設定!$B$3),"",IF(INDEX(原始資料!AA$2:AA$501,$BJ222)="","",INDEX(原始資料!AA$2:AA$501,$BJ222)))</f>
        <v/>
      </c>
      <c r="Z222" s="6">
        <f>IF(OR($BJ222="",25&gt;設定!$B$3),"",IF(INDEX(原始資料!AB$2:AB$501,$BJ222)="","",INDEX(原始資料!AB$2:AB$501,$BJ222)))</f>
        <v/>
      </c>
      <c r="AA222" s="6">
        <f>IF(OR($BJ222="",26&gt;設定!$B$3),"",IF(INDEX(原始資料!AC$2:AC$501,$BJ222)="","",INDEX(原始資料!AC$2:AC$501,$BJ222)))</f>
        <v/>
      </c>
      <c r="AB222" s="6">
        <f>IF(OR($BJ222="",27&gt;設定!$B$3),"",IF(INDEX(原始資料!AD$2:AD$501,$BJ222)="","",INDEX(原始資料!AD$2:AD$501,$BJ222)))</f>
        <v/>
      </c>
      <c r="AC222" s="6">
        <f>IF(OR($BJ222="",28&gt;設定!$B$3),"",IF(INDEX(原始資料!AE$2:AE$501,$BJ222)="","",INDEX(原始資料!AE$2:AE$501,$BJ222)))</f>
        <v/>
      </c>
      <c r="AD222" s="6">
        <f>IF(OR($BJ222="",29&gt;設定!$B$3),"",IF(INDEX(原始資料!AF$2:AF$501,$BJ222)="","",INDEX(原始資料!AF$2:AF$501,$BJ222)))</f>
        <v/>
      </c>
      <c r="AE222" s="6">
        <f>IF(OR($BJ222="",30&gt;設定!$B$3),"",IF(INDEX(原始資料!AG$2:AG$501,$BJ222)="","",INDEX(原始資料!AG$2:AG$501,$BJ222)))</f>
        <v/>
      </c>
      <c r="AF222" s="6">
        <f>IF(OR($BJ222="",31&gt;設定!$B$3),"",IF(INDEX(原始資料!AH$2:AH$501,$BJ222)="","",INDEX(原始資料!AH$2:AH$501,$BJ222)))</f>
        <v/>
      </c>
      <c r="AG222" s="6">
        <f>IF(OR($BJ222="",32&gt;設定!$B$3),"",IF(INDEX(原始資料!AI$2:AI$501,$BJ222)="","",INDEX(原始資料!AI$2:AI$501,$BJ222)))</f>
        <v/>
      </c>
      <c r="AH222" s="6">
        <f>IF(OR($BJ222="",33&gt;設定!$B$3),"",IF(INDEX(原始資料!AJ$2:AJ$501,$BJ222)="","",INDEX(原始資料!AJ$2:AJ$501,$BJ222)))</f>
        <v/>
      </c>
      <c r="AI222" s="6">
        <f>IF(OR($BJ222="",34&gt;設定!$B$3),"",IF(INDEX(原始資料!AK$2:AK$501,$BJ222)="","",INDEX(原始資料!AK$2:AK$501,$BJ222)))</f>
        <v/>
      </c>
      <c r="AJ222" s="6">
        <f>IF(OR($BJ222="",35&gt;設定!$B$3),"",IF(INDEX(原始資料!AL$2:AL$501,$BJ222)="","",INDEX(原始資料!AL$2:AL$501,$BJ222)))</f>
        <v/>
      </c>
      <c r="AK222" s="6">
        <f>IF(OR($BJ222="",36&gt;設定!$B$3),"",IF(INDEX(原始資料!AM$2:AM$501,$BJ222)="","",INDEX(原始資料!AM$2:AM$501,$BJ222)))</f>
        <v/>
      </c>
      <c r="AL222" s="6">
        <f>IF(OR($BJ222="",37&gt;設定!$B$3),"",IF(INDEX(原始資料!AN$2:AN$501,$BJ222)="","",INDEX(原始資料!AN$2:AN$501,$BJ222)))</f>
        <v/>
      </c>
      <c r="AM222" s="6">
        <f>IF(OR($BJ222="",38&gt;設定!$B$3),"",IF(INDEX(原始資料!AO$2:AO$501,$BJ222)="","",INDEX(原始資料!AO$2:AO$501,$BJ222)))</f>
        <v/>
      </c>
      <c r="AN222" s="6">
        <f>IF(OR($BJ222="",39&gt;設定!$B$3),"",IF(INDEX(原始資料!AP$2:AP$501,$BJ222)="","",INDEX(原始資料!AP$2:AP$501,$BJ222)))</f>
        <v/>
      </c>
      <c r="AO222" s="6">
        <f>IF(OR($BJ222="",40&gt;設定!$B$3),"",IF(INDEX(原始資料!AQ$2:AQ$501,$BJ222)="","",INDEX(原始資料!AQ$2:AQ$501,$BJ222)))</f>
        <v/>
      </c>
      <c r="AP222" s="6">
        <f>IF(OR($BJ222="",41&gt;設定!$B$3),"",IF(INDEX(原始資料!AR$2:AR$501,$BJ222)="","",INDEX(原始資料!AR$2:AR$501,$BJ222)))</f>
        <v/>
      </c>
      <c r="AQ222" s="6">
        <f>IF(OR($BJ222="",42&gt;設定!$B$3),"",IF(INDEX(原始資料!AS$2:AS$501,$BJ222)="","",INDEX(原始資料!AS$2:AS$501,$BJ222)))</f>
        <v/>
      </c>
      <c r="AR222" s="6">
        <f>IF(OR($BJ222="",43&gt;設定!$B$3),"",IF(INDEX(原始資料!AT$2:AT$501,$BJ222)="","",INDEX(原始資料!AT$2:AT$501,$BJ222)))</f>
        <v/>
      </c>
      <c r="AS222" s="6">
        <f>IF(OR($BJ222="",44&gt;設定!$B$3),"",IF(INDEX(原始資料!AU$2:AU$501,$BJ222)="","",INDEX(原始資料!AU$2:AU$501,$BJ222)))</f>
        <v/>
      </c>
      <c r="AT222" s="6">
        <f>IF(OR($BJ222="",45&gt;設定!$B$3),"",IF(INDEX(原始資料!AV$2:AV$501,$BJ222)="","",INDEX(原始資料!AV$2:AV$501,$BJ222)))</f>
        <v/>
      </c>
      <c r="AU222" s="6">
        <f>IF(OR($BJ222="",46&gt;設定!$B$3),"",IF(INDEX(原始資料!AW$2:AW$501,$BJ222)="","",INDEX(原始資料!AW$2:AW$501,$BJ222)))</f>
        <v/>
      </c>
      <c r="AV222" s="6">
        <f>IF(OR($BJ222="",47&gt;設定!$B$3),"",IF(INDEX(原始資料!AX$2:AX$501,$BJ222)="","",INDEX(原始資料!AX$2:AX$501,$BJ222)))</f>
        <v/>
      </c>
      <c r="AW222" s="6">
        <f>IF(OR($BJ222="",48&gt;設定!$B$3),"",IF(INDEX(原始資料!AY$2:AY$501,$BJ222)="","",INDEX(原始資料!AY$2:AY$501,$BJ222)))</f>
        <v/>
      </c>
      <c r="AX222" s="6">
        <f>IF(OR($BJ222="",49&gt;設定!$B$3),"",IF(INDEX(原始資料!AZ$2:AZ$501,$BJ222)="","",INDEX(原始資料!AZ$2:AZ$501,$BJ222)))</f>
        <v/>
      </c>
      <c r="AY222" s="6">
        <f>IF(OR($BJ222="",50&gt;設定!$B$3),"",IF(INDEX(原始資料!BA$2:BA$501,$BJ222)="","",INDEX(原始資料!BA$2:BA$501,$BJ222)))</f>
        <v/>
      </c>
      <c r="AZ222" s="6">
        <f>IF(OR($BJ222="",51&gt;設定!$B$3),"",IF(INDEX(原始資料!BB$2:BB$501,$BJ222)="","",INDEX(原始資料!BB$2:BB$501,$BJ222)))</f>
        <v/>
      </c>
      <c r="BA222" s="6">
        <f>IF(OR($BJ222="",52&gt;設定!$B$3),"",IF(INDEX(原始資料!BC$2:BC$501,$BJ222)="","",INDEX(原始資料!BC$2:BC$501,$BJ222)))</f>
        <v/>
      </c>
      <c r="BB222" s="6">
        <f>IF(OR($BJ222="",53&gt;設定!$B$3),"",IF(INDEX(原始資料!BD$2:BD$501,$BJ222)="","",INDEX(原始資料!BD$2:BD$501,$BJ222)))</f>
        <v/>
      </c>
      <c r="BC222" s="6">
        <f>IF(OR($BJ222="",54&gt;設定!$B$3),"",IF(INDEX(原始資料!BE$2:BE$501,$BJ222)="","",INDEX(原始資料!BE$2:BE$501,$BJ222)))</f>
        <v/>
      </c>
      <c r="BD222" s="6">
        <f>IF(OR($BJ222="",55&gt;設定!$B$3),"",IF(INDEX(原始資料!BF$2:BF$501,$BJ222)="","",INDEX(原始資料!BF$2:BF$501,$BJ222)))</f>
        <v/>
      </c>
      <c r="BE222" s="6">
        <f>IF(OR($BJ222="",56&gt;設定!$B$3),"",IF(INDEX(原始資料!BG$2:BG$501,$BJ222)="","",INDEX(原始資料!BG$2:BG$501,$BJ222)))</f>
        <v/>
      </c>
      <c r="BF222" s="6">
        <f>IF(OR($BJ222="",57&gt;設定!$B$3),"",IF(INDEX(原始資料!BH$2:BH$501,$BJ222)="","",INDEX(原始資料!BH$2:BH$501,$BJ222)))</f>
        <v/>
      </c>
      <c r="BG222" s="6">
        <f>IF(OR($BJ222="",58&gt;設定!$B$3),"",IF(INDEX(原始資料!BI$2:BI$501,$BJ222)="","",INDEX(原始資料!BI$2:BI$501,$BJ222)))</f>
        <v/>
      </c>
      <c r="BH222" s="6">
        <f>IF(OR($BJ222="",59&gt;設定!$B$3),"",IF(INDEX(原始資料!BJ$2:BJ$501,$BJ222)="","",INDEX(原始資料!BJ$2:BJ$501,$BJ222)))</f>
        <v/>
      </c>
      <c r="BI222" s="6">
        <f>IF(OR($BJ222="",60&gt;設定!$B$3),"",IF(INDEX(原始資料!BK$2:BK$501,$BJ222)="","",INDEX(原始資料!BK$2:BK$501,$BJ222)))</f>
        <v/>
      </c>
      <c r="BJ222" s="6">
        <f>IFERROR(MATCH(ROW()-1,判定!$H$2:$H$501,0),"")</f>
        <v/>
      </c>
    </row>
    <row r="223">
      <c r="A223" s="6">
        <f>IF($BJ223="","",INDEX(原始資料!$A$2:$A$501,$BJ223))</f>
        <v/>
      </c>
      <c r="B223" s="6">
        <f>IF(OR($BJ223="",1&gt;設定!$B$3),"",IF(INDEX(原始資料!D$2:D$501,$BJ223)="","",INDEX(原始資料!D$2:D$501,$BJ223)))</f>
        <v/>
      </c>
      <c r="C223" s="6">
        <f>IF(OR($BJ223="",2&gt;設定!$B$3),"",IF(INDEX(原始資料!E$2:E$501,$BJ223)="","",INDEX(原始資料!E$2:E$501,$BJ223)))</f>
        <v/>
      </c>
      <c r="D223" s="6">
        <f>IF(OR($BJ223="",3&gt;設定!$B$3),"",IF(INDEX(原始資料!F$2:F$501,$BJ223)="","",INDEX(原始資料!F$2:F$501,$BJ223)))</f>
        <v/>
      </c>
      <c r="E223" s="6">
        <f>IF(OR($BJ223="",4&gt;設定!$B$3),"",IF(INDEX(原始資料!G$2:G$501,$BJ223)="","",INDEX(原始資料!G$2:G$501,$BJ223)))</f>
        <v/>
      </c>
      <c r="F223" s="6">
        <f>IF(OR($BJ223="",5&gt;設定!$B$3),"",IF(INDEX(原始資料!H$2:H$501,$BJ223)="","",INDEX(原始資料!H$2:H$501,$BJ223)))</f>
        <v/>
      </c>
      <c r="G223" s="6">
        <f>IF(OR($BJ223="",6&gt;設定!$B$3),"",IF(INDEX(原始資料!I$2:I$501,$BJ223)="","",INDEX(原始資料!I$2:I$501,$BJ223)))</f>
        <v/>
      </c>
      <c r="H223" s="6">
        <f>IF(OR($BJ223="",7&gt;設定!$B$3),"",IF(INDEX(原始資料!J$2:J$501,$BJ223)="","",INDEX(原始資料!J$2:J$501,$BJ223)))</f>
        <v/>
      </c>
      <c r="I223" s="6">
        <f>IF(OR($BJ223="",8&gt;設定!$B$3),"",IF(INDEX(原始資料!K$2:K$501,$BJ223)="","",INDEX(原始資料!K$2:K$501,$BJ223)))</f>
        <v/>
      </c>
      <c r="J223" s="6">
        <f>IF(OR($BJ223="",9&gt;設定!$B$3),"",IF(INDEX(原始資料!L$2:L$501,$BJ223)="","",INDEX(原始資料!L$2:L$501,$BJ223)))</f>
        <v/>
      </c>
      <c r="K223" s="6">
        <f>IF(OR($BJ223="",10&gt;設定!$B$3),"",IF(INDEX(原始資料!M$2:M$501,$BJ223)="","",INDEX(原始資料!M$2:M$501,$BJ223)))</f>
        <v/>
      </c>
      <c r="L223" s="6">
        <f>IF(OR($BJ223="",11&gt;設定!$B$3),"",IF(INDEX(原始資料!N$2:N$501,$BJ223)="","",INDEX(原始資料!N$2:N$501,$BJ223)))</f>
        <v/>
      </c>
      <c r="M223" s="6">
        <f>IF(OR($BJ223="",12&gt;設定!$B$3),"",IF(INDEX(原始資料!O$2:O$501,$BJ223)="","",INDEX(原始資料!O$2:O$501,$BJ223)))</f>
        <v/>
      </c>
      <c r="N223" s="6">
        <f>IF(OR($BJ223="",13&gt;設定!$B$3),"",IF(INDEX(原始資料!P$2:P$501,$BJ223)="","",INDEX(原始資料!P$2:P$501,$BJ223)))</f>
        <v/>
      </c>
      <c r="O223" s="6">
        <f>IF(OR($BJ223="",14&gt;設定!$B$3),"",IF(INDEX(原始資料!Q$2:Q$501,$BJ223)="","",INDEX(原始資料!Q$2:Q$501,$BJ223)))</f>
        <v/>
      </c>
      <c r="P223" s="6">
        <f>IF(OR($BJ223="",15&gt;設定!$B$3),"",IF(INDEX(原始資料!R$2:R$501,$BJ223)="","",INDEX(原始資料!R$2:R$501,$BJ223)))</f>
        <v/>
      </c>
      <c r="Q223" s="6">
        <f>IF(OR($BJ223="",16&gt;設定!$B$3),"",IF(INDEX(原始資料!S$2:S$501,$BJ223)="","",INDEX(原始資料!S$2:S$501,$BJ223)))</f>
        <v/>
      </c>
      <c r="R223" s="6">
        <f>IF(OR($BJ223="",17&gt;設定!$B$3),"",IF(INDEX(原始資料!T$2:T$501,$BJ223)="","",INDEX(原始資料!T$2:T$501,$BJ223)))</f>
        <v/>
      </c>
      <c r="S223" s="6">
        <f>IF(OR($BJ223="",18&gt;設定!$B$3),"",IF(INDEX(原始資料!U$2:U$501,$BJ223)="","",INDEX(原始資料!U$2:U$501,$BJ223)))</f>
        <v/>
      </c>
      <c r="T223" s="6">
        <f>IF(OR($BJ223="",19&gt;設定!$B$3),"",IF(INDEX(原始資料!V$2:V$501,$BJ223)="","",INDEX(原始資料!V$2:V$501,$BJ223)))</f>
        <v/>
      </c>
      <c r="U223" s="6">
        <f>IF(OR($BJ223="",20&gt;設定!$B$3),"",IF(INDEX(原始資料!W$2:W$501,$BJ223)="","",INDEX(原始資料!W$2:W$501,$BJ223)))</f>
        <v/>
      </c>
      <c r="V223" s="6">
        <f>IF(OR($BJ223="",21&gt;設定!$B$3),"",IF(INDEX(原始資料!X$2:X$501,$BJ223)="","",INDEX(原始資料!X$2:X$501,$BJ223)))</f>
        <v/>
      </c>
      <c r="W223" s="6">
        <f>IF(OR($BJ223="",22&gt;設定!$B$3),"",IF(INDEX(原始資料!Y$2:Y$501,$BJ223)="","",INDEX(原始資料!Y$2:Y$501,$BJ223)))</f>
        <v/>
      </c>
      <c r="X223" s="6">
        <f>IF(OR($BJ223="",23&gt;設定!$B$3),"",IF(INDEX(原始資料!Z$2:Z$501,$BJ223)="","",INDEX(原始資料!Z$2:Z$501,$BJ223)))</f>
        <v/>
      </c>
      <c r="Y223" s="6">
        <f>IF(OR($BJ223="",24&gt;設定!$B$3),"",IF(INDEX(原始資料!AA$2:AA$501,$BJ223)="","",INDEX(原始資料!AA$2:AA$501,$BJ223)))</f>
        <v/>
      </c>
      <c r="Z223" s="6">
        <f>IF(OR($BJ223="",25&gt;設定!$B$3),"",IF(INDEX(原始資料!AB$2:AB$501,$BJ223)="","",INDEX(原始資料!AB$2:AB$501,$BJ223)))</f>
        <v/>
      </c>
      <c r="AA223" s="6">
        <f>IF(OR($BJ223="",26&gt;設定!$B$3),"",IF(INDEX(原始資料!AC$2:AC$501,$BJ223)="","",INDEX(原始資料!AC$2:AC$501,$BJ223)))</f>
        <v/>
      </c>
      <c r="AB223" s="6">
        <f>IF(OR($BJ223="",27&gt;設定!$B$3),"",IF(INDEX(原始資料!AD$2:AD$501,$BJ223)="","",INDEX(原始資料!AD$2:AD$501,$BJ223)))</f>
        <v/>
      </c>
      <c r="AC223" s="6">
        <f>IF(OR($BJ223="",28&gt;設定!$B$3),"",IF(INDEX(原始資料!AE$2:AE$501,$BJ223)="","",INDEX(原始資料!AE$2:AE$501,$BJ223)))</f>
        <v/>
      </c>
      <c r="AD223" s="6">
        <f>IF(OR($BJ223="",29&gt;設定!$B$3),"",IF(INDEX(原始資料!AF$2:AF$501,$BJ223)="","",INDEX(原始資料!AF$2:AF$501,$BJ223)))</f>
        <v/>
      </c>
      <c r="AE223" s="6">
        <f>IF(OR($BJ223="",30&gt;設定!$B$3),"",IF(INDEX(原始資料!AG$2:AG$501,$BJ223)="","",INDEX(原始資料!AG$2:AG$501,$BJ223)))</f>
        <v/>
      </c>
      <c r="AF223" s="6">
        <f>IF(OR($BJ223="",31&gt;設定!$B$3),"",IF(INDEX(原始資料!AH$2:AH$501,$BJ223)="","",INDEX(原始資料!AH$2:AH$501,$BJ223)))</f>
        <v/>
      </c>
      <c r="AG223" s="6">
        <f>IF(OR($BJ223="",32&gt;設定!$B$3),"",IF(INDEX(原始資料!AI$2:AI$501,$BJ223)="","",INDEX(原始資料!AI$2:AI$501,$BJ223)))</f>
        <v/>
      </c>
      <c r="AH223" s="6">
        <f>IF(OR($BJ223="",33&gt;設定!$B$3),"",IF(INDEX(原始資料!AJ$2:AJ$501,$BJ223)="","",INDEX(原始資料!AJ$2:AJ$501,$BJ223)))</f>
        <v/>
      </c>
      <c r="AI223" s="6">
        <f>IF(OR($BJ223="",34&gt;設定!$B$3),"",IF(INDEX(原始資料!AK$2:AK$501,$BJ223)="","",INDEX(原始資料!AK$2:AK$501,$BJ223)))</f>
        <v/>
      </c>
      <c r="AJ223" s="6">
        <f>IF(OR($BJ223="",35&gt;設定!$B$3),"",IF(INDEX(原始資料!AL$2:AL$501,$BJ223)="","",INDEX(原始資料!AL$2:AL$501,$BJ223)))</f>
        <v/>
      </c>
      <c r="AK223" s="6">
        <f>IF(OR($BJ223="",36&gt;設定!$B$3),"",IF(INDEX(原始資料!AM$2:AM$501,$BJ223)="","",INDEX(原始資料!AM$2:AM$501,$BJ223)))</f>
        <v/>
      </c>
      <c r="AL223" s="6">
        <f>IF(OR($BJ223="",37&gt;設定!$B$3),"",IF(INDEX(原始資料!AN$2:AN$501,$BJ223)="","",INDEX(原始資料!AN$2:AN$501,$BJ223)))</f>
        <v/>
      </c>
      <c r="AM223" s="6">
        <f>IF(OR($BJ223="",38&gt;設定!$B$3),"",IF(INDEX(原始資料!AO$2:AO$501,$BJ223)="","",INDEX(原始資料!AO$2:AO$501,$BJ223)))</f>
        <v/>
      </c>
      <c r="AN223" s="6">
        <f>IF(OR($BJ223="",39&gt;設定!$B$3),"",IF(INDEX(原始資料!AP$2:AP$501,$BJ223)="","",INDEX(原始資料!AP$2:AP$501,$BJ223)))</f>
        <v/>
      </c>
      <c r="AO223" s="6">
        <f>IF(OR($BJ223="",40&gt;設定!$B$3),"",IF(INDEX(原始資料!AQ$2:AQ$501,$BJ223)="","",INDEX(原始資料!AQ$2:AQ$501,$BJ223)))</f>
        <v/>
      </c>
      <c r="AP223" s="6">
        <f>IF(OR($BJ223="",41&gt;設定!$B$3),"",IF(INDEX(原始資料!AR$2:AR$501,$BJ223)="","",INDEX(原始資料!AR$2:AR$501,$BJ223)))</f>
        <v/>
      </c>
      <c r="AQ223" s="6">
        <f>IF(OR($BJ223="",42&gt;設定!$B$3),"",IF(INDEX(原始資料!AS$2:AS$501,$BJ223)="","",INDEX(原始資料!AS$2:AS$501,$BJ223)))</f>
        <v/>
      </c>
      <c r="AR223" s="6">
        <f>IF(OR($BJ223="",43&gt;設定!$B$3),"",IF(INDEX(原始資料!AT$2:AT$501,$BJ223)="","",INDEX(原始資料!AT$2:AT$501,$BJ223)))</f>
        <v/>
      </c>
      <c r="AS223" s="6">
        <f>IF(OR($BJ223="",44&gt;設定!$B$3),"",IF(INDEX(原始資料!AU$2:AU$501,$BJ223)="","",INDEX(原始資料!AU$2:AU$501,$BJ223)))</f>
        <v/>
      </c>
      <c r="AT223" s="6">
        <f>IF(OR($BJ223="",45&gt;設定!$B$3),"",IF(INDEX(原始資料!AV$2:AV$501,$BJ223)="","",INDEX(原始資料!AV$2:AV$501,$BJ223)))</f>
        <v/>
      </c>
      <c r="AU223" s="6">
        <f>IF(OR($BJ223="",46&gt;設定!$B$3),"",IF(INDEX(原始資料!AW$2:AW$501,$BJ223)="","",INDEX(原始資料!AW$2:AW$501,$BJ223)))</f>
        <v/>
      </c>
      <c r="AV223" s="6">
        <f>IF(OR($BJ223="",47&gt;設定!$B$3),"",IF(INDEX(原始資料!AX$2:AX$501,$BJ223)="","",INDEX(原始資料!AX$2:AX$501,$BJ223)))</f>
        <v/>
      </c>
      <c r="AW223" s="6">
        <f>IF(OR($BJ223="",48&gt;設定!$B$3),"",IF(INDEX(原始資料!AY$2:AY$501,$BJ223)="","",INDEX(原始資料!AY$2:AY$501,$BJ223)))</f>
        <v/>
      </c>
      <c r="AX223" s="6">
        <f>IF(OR($BJ223="",49&gt;設定!$B$3),"",IF(INDEX(原始資料!AZ$2:AZ$501,$BJ223)="","",INDEX(原始資料!AZ$2:AZ$501,$BJ223)))</f>
        <v/>
      </c>
      <c r="AY223" s="6">
        <f>IF(OR($BJ223="",50&gt;設定!$B$3),"",IF(INDEX(原始資料!BA$2:BA$501,$BJ223)="","",INDEX(原始資料!BA$2:BA$501,$BJ223)))</f>
        <v/>
      </c>
      <c r="AZ223" s="6">
        <f>IF(OR($BJ223="",51&gt;設定!$B$3),"",IF(INDEX(原始資料!BB$2:BB$501,$BJ223)="","",INDEX(原始資料!BB$2:BB$501,$BJ223)))</f>
        <v/>
      </c>
      <c r="BA223" s="6">
        <f>IF(OR($BJ223="",52&gt;設定!$B$3),"",IF(INDEX(原始資料!BC$2:BC$501,$BJ223)="","",INDEX(原始資料!BC$2:BC$501,$BJ223)))</f>
        <v/>
      </c>
      <c r="BB223" s="6">
        <f>IF(OR($BJ223="",53&gt;設定!$B$3),"",IF(INDEX(原始資料!BD$2:BD$501,$BJ223)="","",INDEX(原始資料!BD$2:BD$501,$BJ223)))</f>
        <v/>
      </c>
      <c r="BC223" s="6">
        <f>IF(OR($BJ223="",54&gt;設定!$B$3),"",IF(INDEX(原始資料!BE$2:BE$501,$BJ223)="","",INDEX(原始資料!BE$2:BE$501,$BJ223)))</f>
        <v/>
      </c>
      <c r="BD223" s="6">
        <f>IF(OR($BJ223="",55&gt;設定!$B$3),"",IF(INDEX(原始資料!BF$2:BF$501,$BJ223)="","",INDEX(原始資料!BF$2:BF$501,$BJ223)))</f>
        <v/>
      </c>
      <c r="BE223" s="6">
        <f>IF(OR($BJ223="",56&gt;設定!$B$3),"",IF(INDEX(原始資料!BG$2:BG$501,$BJ223)="","",INDEX(原始資料!BG$2:BG$501,$BJ223)))</f>
        <v/>
      </c>
      <c r="BF223" s="6">
        <f>IF(OR($BJ223="",57&gt;設定!$B$3),"",IF(INDEX(原始資料!BH$2:BH$501,$BJ223)="","",INDEX(原始資料!BH$2:BH$501,$BJ223)))</f>
        <v/>
      </c>
      <c r="BG223" s="6">
        <f>IF(OR($BJ223="",58&gt;設定!$B$3),"",IF(INDEX(原始資料!BI$2:BI$501,$BJ223)="","",INDEX(原始資料!BI$2:BI$501,$BJ223)))</f>
        <v/>
      </c>
      <c r="BH223" s="6">
        <f>IF(OR($BJ223="",59&gt;設定!$B$3),"",IF(INDEX(原始資料!BJ$2:BJ$501,$BJ223)="","",INDEX(原始資料!BJ$2:BJ$501,$BJ223)))</f>
        <v/>
      </c>
      <c r="BI223" s="6">
        <f>IF(OR($BJ223="",60&gt;設定!$B$3),"",IF(INDEX(原始資料!BK$2:BK$501,$BJ223)="","",INDEX(原始資料!BK$2:BK$501,$BJ223)))</f>
        <v/>
      </c>
      <c r="BJ223" s="6">
        <f>IFERROR(MATCH(ROW()-1,判定!$H$2:$H$501,0),"")</f>
        <v/>
      </c>
    </row>
    <row r="224">
      <c r="A224" s="6">
        <f>IF($BJ224="","",INDEX(原始資料!$A$2:$A$501,$BJ224))</f>
        <v/>
      </c>
      <c r="B224" s="6">
        <f>IF(OR($BJ224="",1&gt;設定!$B$3),"",IF(INDEX(原始資料!D$2:D$501,$BJ224)="","",INDEX(原始資料!D$2:D$501,$BJ224)))</f>
        <v/>
      </c>
      <c r="C224" s="6">
        <f>IF(OR($BJ224="",2&gt;設定!$B$3),"",IF(INDEX(原始資料!E$2:E$501,$BJ224)="","",INDEX(原始資料!E$2:E$501,$BJ224)))</f>
        <v/>
      </c>
      <c r="D224" s="6">
        <f>IF(OR($BJ224="",3&gt;設定!$B$3),"",IF(INDEX(原始資料!F$2:F$501,$BJ224)="","",INDEX(原始資料!F$2:F$501,$BJ224)))</f>
        <v/>
      </c>
      <c r="E224" s="6">
        <f>IF(OR($BJ224="",4&gt;設定!$B$3),"",IF(INDEX(原始資料!G$2:G$501,$BJ224)="","",INDEX(原始資料!G$2:G$501,$BJ224)))</f>
        <v/>
      </c>
      <c r="F224" s="6">
        <f>IF(OR($BJ224="",5&gt;設定!$B$3),"",IF(INDEX(原始資料!H$2:H$501,$BJ224)="","",INDEX(原始資料!H$2:H$501,$BJ224)))</f>
        <v/>
      </c>
      <c r="G224" s="6">
        <f>IF(OR($BJ224="",6&gt;設定!$B$3),"",IF(INDEX(原始資料!I$2:I$501,$BJ224)="","",INDEX(原始資料!I$2:I$501,$BJ224)))</f>
        <v/>
      </c>
      <c r="H224" s="6">
        <f>IF(OR($BJ224="",7&gt;設定!$B$3),"",IF(INDEX(原始資料!J$2:J$501,$BJ224)="","",INDEX(原始資料!J$2:J$501,$BJ224)))</f>
        <v/>
      </c>
      <c r="I224" s="6">
        <f>IF(OR($BJ224="",8&gt;設定!$B$3),"",IF(INDEX(原始資料!K$2:K$501,$BJ224)="","",INDEX(原始資料!K$2:K$501,$BJ224)))</f>
        <v/>
      </c>
      <c r="J224" s="6">
        <f>IF(OR($BJ224="",9&gt;設定!$B$3),"",IF(INDEX(原始資料!L$2:L$501,$BJ224)="","",INDEX(原始資料!L$2:L$501,$BJ224)))</f>
        <v/>
      </c>
      <c r="K224" s="6">
        <f>IF(OR($BJ224="",10&gt;設定!$B$3),"",IF(INDEX(原始資料!M$2:M$501,$BJ224)="","",INDEX(原始資料!M$2:M$501,$BJ224)))</f>
        <v/>
      </c>
      <c r="L224" s="6">
        <f>IF(OR($BJ224="",11&gt;設定!$B$3),"",IF(INDEX(原始資料!N$2:N$501,$BJ224)="","",INDEX(原始資料!N$2:N$501,$BJ224)))</f>
        <v/>
      </c>
      <c r="M224" s="6">
        <f>IF(OR($BJ224="",12&gt;設定!$B$3),"",IF(INDEX(原始資料!O$2:O$501,$BJ224)="","",INDEX(原始資料!O$2:O$501,$BJ224)))</f>
        <v/>
      </c>
      <c r="N224" s="6">
        <f>IF(OR($BJ224="",13&gt;設定!$B$3),"",IF(INDEX(原始資料!P$2:P$501,$BJ224)="","",INDEX(原始資料!P$2:P$501,$BJ224)))</f>
        <v/>
      </c>
      <c r="O224" s="6">
        <f>IF(OR($BJ224="",14&gt;設定!$B$3),"",IF(INDEX(原始資料!Q$2:Q$501,$BJ224)="","",INDEX(原始資料!Q$2:Q$501,$BJ224)))</f>
        <v/>
      </c>
      <c r="P224" s="6">
        <f>IF(OR($BJ224="",15&gt;設定!$B$3),"",IF(INDEX(原始資料!R$2:R$501,$BJ224)="","",INDEX(原始資料!R$2:R$501,$BJ224)))</f>
        <v/>
      </c>
      <c r="Q224" s="6">
        <f>IF(OR($BJ224="",16&gt;設定!$B$3),"",IF(INDEX(原始資料!S$2:S$501,$BJ224)="","",INDEX(原始資料!S$2:S$501,$BJ224)))</f>
        <v/>
      </c>
      <c r="R224" s="6">
        <f>IF(OR($BJ224="",17&gt;設定!$B$3),"",IF(INDEX(原始資料!T$2:T$501,$BJ224)="","",INDEX(原始資料!T$2:T$501,$BJ224)))</f>
        <v/>
      </c>
      <c r="S224" s="6">
        <f>IF(OR($BJ224="",18&gt;設定!$B$3),"",IF(INDEX(原始資料!U$2:U$501,$BJ224)="","",INDEX(原始資料!U$2:U$501,$BJ224)))</f>
        <v/>
      </c>
      <c r="T224" s="6">
        <f>IF(OR($BJ224="",19&gt;設定!$B$3),"",IF(INDEX(原始資料!V$2:V$501,$BJ224)="","",INDEX(原始資料!V$2:V$501,$BJ224)))</f>
        <v/>
      </c>
      <c r="U224" s="6">
        <f>IF(OR($BJ224="",20&gt;設定!$B$3),"",IF(INDEX(原始資料!W$2:W$501,$BJ224)="","",INDEX(原始資料!W$2:W$501,$BJ224)))</f>
        <v/>
      </c>
      <c r="V224" s="6">
        <f>IF(OR($BJ224="",21&gt;設定!$B$3),"",IF(INDEX(原始資料!X$2:X$501,$BJ224)="","",INDEX(原始資料!X$2:X$501,$BJ224)))</f>
        <v/>
      </c>
      <c r="W224" s="6">
        <f>IF(OR($BJ224="",22&gt;設定!$B$3),"",IF(INDEX(原始資料!Y$2:Y$501,$BJ224)="","",INDEX(原始資料!Y$2:Y$501,$BJ224)))</f>
        <v/>
      </c>
      <c r="X224" s="6">
        <f>IF(OR($BJ224="",23&gt;設定!$B$3),"",IF(INDEX(原始資料!Z$2:Z$501,$BJ224)="","",INDEX(原始資料!Z$2:Z$501,$BJ224)))</f>
        <v/>
      </c>
      <c r="Y224" s="6">
        <f>IF(OR($BJ224="",24&gt;設定!$B$3),"",IF(INDEX(原始資料!AA$2:AA$501,$BJ224)="","",INDEX(原始資料!AA$2:AA$501,$BJ224)))</f>
        <v/>
      </c>
      <c r="Z224" s="6">
        <f>IF(OR($BJ224="",25&gt;設定!$B$3),"",IF(INDEX(原始資料!AB$2:AB$501,$BJ224)="","",INDEX(原始資料!AB$2:AB$501,$BJ224)))</f>
        <v/>
      </c>
      <c r="AA224" s="6">
        <f>IF(OR($BJ224="",26&gt;設定!$B$3),"",IF(INDEX(原始資料!AC$2:AC$501,$BJ224)="","",INDEX(原始資料!AC$2:AC$501,$BJ224)))</f>
        <v/>
      </c>
      <c r="AB224" s="6">
        <f>IF(OR($BJ224="",27&gt;設定!$B$3),"",IF(INDEX(原始資料!AD$2:AD$501,$BJ224)="","",INDEX(原始資料!AD$2:AD$501,$BJ224)))</f>
        <v/>
      </c>
      <c r="AC224" s="6">
        <f>IF(OR($BJ224="",28&gt;設定!$B$3),"",IF(INDEX(原始資料!AE$2:AE$501,$BJ224)="","",INDEX(原始資料!AE$2:AE$501,$BJ224)))</f>
        <v/>
      </c>
      <c r="AD224" s="6">
        <f>IF(OR($BJ224="",29&gt;設定!$B$3),"",IF(INDEX(原始資料!AF$2:AF$501,$BJ224)="","",INDEX(原始資料!AF$2:AF$501,$BJ224)))</f>
        <v/>
      </c>
      <c r="AE224" s="6">
        <f>IF(OR($BJ224="",30&gt;設定!$B$3),"",IF(INDEX(原始資料!AG$2:AG$501,$BJ224)="","",INDEX(原始資料!AG$2:AG$501,$BJ224)))</f>
        <v/>
      </c>
      <c r="AF224" s="6">
        <f>IF(OR($BJ224="",31&gt;設定!$B$3),"",IF(INDEX(原始資料!AH$2:AH$501,$BJ224)="","",INDEX(原始資料!AH$2:AH$501,$BJ224)))</f>
        <v/>
      </c>
      <c r="AG224" s="6">
        <f>IF(OR($BJ224="",32&gt;設定!$B$3),"",IF(INDEX(原始資料!AI$2:AI$501,$BJ224)="","",INDEX(原始資料!AI$2:AI$501,$BJ224)))</f>
        <v/>
      </c>
      <c r="AH224" s="6">
        <f>IF(OR($BJ224="",33&gt;設定!$B$3),"",IF(INDEX(原始資料!AJ$2:AJ$501,$BJ224)="","",INDEX(原始資料!AJ$2:AJ$501,$BJ224)))</f>
        <v/>
      </c>
      <c r="AI224" s="6">
        <f>IF(OR($BJ224="",34&gt;設定!$B$3),"",IF(INDEX(原始資料!AK$2:AK$501,$BJ224)="","",INDEX(原始資料!AK$2:AK$501,$BJ224)))</f>
        <v/>
      </c>
      <c r="AJ224" s="6">
        <f>IF(OR($BJ224="",35&gt;設定!$B$3),"",IF(INDEX(原始資料!AL$2:AL$501,$BJ224)="","",INDEX(原始資料!AL$2:AL$501,$BJ224)))</f>
        <v/>
      </c>
      <c r="AK224" s="6">
        <f>IF(OR($BJ224="",36&gt;設定!$B$3),"",IF(INDEX(原始資料!AM$2:AM$501,$BJ224)="","",INDEX(原始資料!AM$2:AM$501,$BJ224)))</f>
        <v/>
      </c>
      <c r="AL224" s="6">
        <f>IF(OR($BJ224="",37&gt;設定!$B$3),"",IF(INDEX(原始資料!AN$2:AN$501,$BJ224)="","",INDEX(原始資料!AN$2:AN$501,$BJ224)))</f>
        <v/>
      </c>
      <c r="AM224" s="6">
        <f>IF(OR($BJ224="",38&gt;設定!$B$3),"",IF(INDEX(原始資料!AO$2:AO$501,$BJ224)="","",INDEX(原始資料!AO$2:AO$501,$BJ224)))</f>
        <v/>
      </c>
      <c r="AN224" s="6">
        <f>IF(OR($BJ224="",39&gt;設定!$B$3),"",IF(INDEX(原始資料!AP$2:AP$501,$BJ224)="","",INDEX(原始資料!AP$2:AP$501,$BJ224)))</f>
        <v/>
      </c>
      <c r="AO224" s="6">
        <f>IF(OR($BJ224="",40&gt;設定!$B$3),"",IF(INDEX(原始資料!AQ$2:AQ$501,$BJ224)="","",INDEX(原始資料!AQ$2:AQ$501,$BJ224)))</f>
        <v/>
      </c>
      <c r="AP224" s="6">
        <f>IF(OR($BJ224="",41&gt;設定!$B$3),"",IF(INDEX(原始資料!AR$2:AR$501,$BJ224)="","",INDEX(原始資料!AR$2:AR$501,$BJ224)))</f>
        <v/>
      </c>
      <c r="AQ224" s="6">
        <f>IF(OR($BJ224="",42&gt;設定!$B$3),"",IF(INDEX(原始資料!AS$2:AS$501,$BJ224)="","",INDEX(原始資料!AS$2:AS$501,$BJ224)))</f>
        <v/>
      </c>
      <c r="AR224" s="6">
        <f>IF(OR($BJ224="",43&gt;設定!$B$3),"",IF(INDEX(原始資料!AT$2:AT$501,$BJ224)="","",INDEX(原始資料!AT$2:AT$501,$BJ224)))</f>
        <v/>
      </c>
      <c r="AS224" s="6">
        <f>IF(OR($BJ224="",44&gt;設定!$B$3),"",IF(INDEX(原始資料!AU$2:AU$501,$BJ224)="","",INDEX(原始資料!AU$2:AU$501,$BJ224)))</f>
        <v/>
      </c>
      <c r="AT224" s="6">
        <f>IF(OR($BJ224="",45&gt;設定!$B$3),"",IF(INDEX(原始資料!AV$2:AV$501,$BJ224)="","",INDEX(原始資料!AV$2:AV$501,$BJ224)))</f>
        <v/>
      </c>
      <c r="AU224" s="6">
        <f>IF(OR($BJ224="",46&gt;設定!$B$3),"",IF(INDEX(原始資料!AW$2:AW$501,$BJ224)="","",INDEX(原始資料!AW$2:AW$501,$BJ224)))</f>
        <v/>
      </c>
      <c r="AV224" s="6">
        <f>IF(OR($BJ224="",47&gt;設定!$B$3),"",IF(INDEX(原始資料!AX$2:AX$501,$BJ224)="","",INDEX(原始資料!AX$2:AX$501,$BJ224)))</f>
        <v/>
      </c>
      <c r="AW224" s="6">
        <f>IF(OR($BJ224="",48&gt;設定!$B$3),"",IF(INDEX(原始資料!AY$2:AY$501,$BJ224)="","",INDEX(原始資料!AY$2:AY$501,$BJ224)))</f>
        <v/>
      </c>
      <c r="AX224" s="6">
        <f>IF(OR($BJ224="",49&gt;設定!$B$3),"",IF(INDEX(原始資料!AZ$2:AZ$501,$BJ224)="","",INDEX(原始資料!AZ$2:AZ$501,$BJ224)))</f>
        <v/>
      </c>
      <c r="AY224" s="6">
        <f>IF(OR($BJ224="",50&gt;設定!$B$3),"",IF(INDEX(原始資料!BA$2:BA$501,$BJ224)="","",INDEX(原始資料!BA$2:BA$501,$BJ224)))</f>
        <v/>
      </c>
      <c r="AZ224" s="6">
        <f>IF(OR($BJ224="",51&gt;設定!$B$3),"",IF(INDEX(原始資料!BB$2:BB$501,$BJ224)="","",INDEX(原始資料!BB$2:BB$501,$BJ224)))</f>
        <v/>
      </c>
      <c r="BA224" s="6">
        <f>IF(OR($BJ224="",52&gt;設定!$B$3),"",IF(INDEX(原始資料!BC$2:BC$501,$BJ224)="","",INDEX(原始資料!BC$2:BC$501,$BJ224)))</f>
        <v/>
      </c>
      <c r="BB224" s="6">
        <f>IF(OR($BJ224="",53&gt;設定!$B$3),"",IF(INDEX(原始資料!BD$2:BD$501,$BJ224)="","",INDEX(原始資料!BD$2:BD$501,$BJ224)))</f>
        <v/>
      </c>
      <c r="BC224" s="6">
        <f>IF(OR($BJ224="",54&gt;設定!$B$3),"",IF(INDEX(原始資料!BE$2:BE$501,$BJ224)="","",INDEX(原始資料!BE$2:BE$501,$BJ224)))</f>
        <v/>
      </c>
      <c r="BD224" s="6">
        <f>IF(OR($BJ224="",55&gt;設定!$B$3),"",IF(INDEX(原始資料!BF$2:BF$501,$BJ224)="","",INDEX(原始資料!BF$2:BF$501,$BJ224)))</f>
        <v/>
      </c>
      <c r="BE224" s="6">
        <f>IF(OR($BJ224="",56&gt;設定!$B$3),"",IF(INDEX(原始資料!BG$2:BG$501,$BJ224)="","",INDEX(原始資料!BG$2:BG$501,$BJ224)))</f>
        <v/>
      </c>
      <c r="BF224" s="6">
        <f>IF(OR($BJ224="",57&gt;設定!$B$3),"",IF(INDEX(原始資料!BH$2:BH$501,$BJ224)="","",INDEX(原始資料!BH$2:BH$501,$BJ224)))</f>
        <v/>
      </c>
      <c r="BG224" s="6">
        <f>IF(OR($BJ224="",58&gt;設定!$B$3),"",IF(INDEX(原始資料!BI$2:BI$501,$BJ224)="","",INDEX(原始資料!BI$2:BI$501,$BJ224)))</f>
        <v/>
      </c>
      <c r="BH224" s="6">
        <f>IF(OR($BJ224="",59&gt;設定!$B$3),"",IF(INDEX(原始資料!BJ$2:BJ$501,$BJ224)="","",INDEX(原始資料!BJ$2:BJ$501,$BJ224)))</f>
        <v/>
      </c>
      <c r="BI224" s="6">
        <f>IF(OR($BJ224="",60&gt;設定!$B$3),"",IF(INDEX(原始資料!BK$2:BK$501,$BJ224)="","",INDEX(原始資料!BK$2:BK$501,$BJ224)))</f>
        <v/>
      </c>
      <c r="BJ224" s="6">
        <f>IFERROR(MATCH(ROW()-1,判定!$H$2:$H$501,0),"")</f>
        <v/>
      </c>
    </row>
    <row r="225">
      <c r="A225" s="6">
        <f>IF($BJ225="","",INDEX(原始資料!$A$2:$A$501,$BJ225))</f>
        <v/>
      </c>
      <c r="B225" s="6">
        <f>IF(OR($BJ225="",1&gt;設定!$B$3),"",IF(INDEX(原始資料!D$2:D$501,$BJ225)="","",INDEX(原始資料!D$2:D$501,$BJ225)))</f>
        <v/>
      </c>
      <c r="C225" s="6">
        <f>IF(OR($BJ225="",2&gt;設定!$B$3),"",IF(INDEX(原始資料!E$2:E$501,$BJ225)="","",INDEX(原始資料!E$2:E$501,$BJ225)))</f>
        <v/>
      </c>
      <c r="D225" s="6">
        <f>IF(OR($BJ225="",3&gt;設定!$B$3),"",IF(INDEX(原始資料!F$2:F$501,$BJ225)="","",INDEX(原始資料!F$2:F$501,$BJ225)))</f>
        <v/>
      </c>
      <c r="E225" s="6">
        <f>IF(OR($BJ225="",4&gt;設定!$B$3),"",IF(INDEX(原始資料!G$2:G$501,$BJ225)="","",INDEX(原始資料!G$2:G$501,$BJ225)))</f>
        <v/>
      </c>
      <c r="F225" s="6">
        <f>IF(OR($BJ225="",5&gt;設定!$B$3),"",IF(INDEX(原始資料!H$2:H$501,$BJ225)="","",INDEX(原始資料!H$2:H$501,$BJ225)))</f>
        <v/>
      </c>
      <c r="G225" s="6">
        <f>IF(OR($BJ225="",6&gt;設定!$B$3),"",IF(INDEX(原始資料!I$2:I$501,$BJ225)="","",INDEX(原始資料!I$2:I$501,$BJ225)))</f>
        <v/>
      </c>
      <c r="H225" s="6">
        <f>IF(OR($BJ225="",7&gt;設定!$B$3),"",IF(INDEX(原始資料!J$2:J$501,$BJ225)="","",INDEX(原始資料!J$2:J$501,$BJ225)))</f>
        <v/>
      </c>
      <c r="I225" s="6">
        <f>IF(OR($BJ225="",8&gt;設定!$B$3),"",IF(INDEX(原始資料!K$2:K$501,$BJ225)="","",INDEX(原始資料!K$2:K$501,$BJ225)))</f>
        <v/>
      </c>
      <c r="J225" s="6">
        <f>IF(OR($BJ225="",9&gt;設定!$B$3),"",IF(INDEX(原始資料!L$2:L$501,$BJ225)="","",INDEX(原始資料!L$2:L$501,$BJ225)))</f>
        <v/>
      </c>
      <c r="K225" s="6">
        <f>IF(OR($BJ225="",10&gt;設定!$B$3),"",IF(INDEX(原始資料!M$2:M$501,$BJ225)="","",INDEX(原始資料!M$2:M$501,$BJ225)))</f>
        <v/>
      </c>
      <c r="L225" s="6">
        <f>IF(OR($BJ225="",11&gt;設定!$B$3),"",IF(INDEX(原始資料!N$2:N$501,$BJ225)="","",INDEX(原始資料!N$2:N$501,$BJ225)))</f>
        <v/>
      </c>
      <c r="M225" s="6">
        <f>IF(OR($BJ225="",12&gt;設定!$B$3),"",IF(INDEX(原始資料!O$2:O$501,$BJ225)="","",INDEX(原始資料!O$2:O$501,$BJ225)))</f>
        <v/>
      </c>
      <c r="N225" s="6">
        <f>IF(OR($BJ225="",13&gt;設定!$B$3),"",IF(INDEX(原始資料!P$2:P$501,$BJ225)="","",INDEX(原始資料!P$2:P$501,$BJ225)))</f>
        <v/>
      </c>
      <c r="O225" s="6">
        <f>IF(OR($BJ225="",14&gt;設定!$B$3),"",IF(INDEX(原始資料!Q$2:Q$501,$BJ225)="","",INDEX(原始資料!Q$2:Q$501,$BJ225)))</f>
        <v/>
      </c>
      <c r="P225" s="6">
        <f>IF(OR($BJ225="",15&gt;設定!$B$3),"",IF(INDEX(原始資料!R$2:R$501,$BJ225)="","",INDEX(原始資料!R$2:R$501,$BJ225)))</f>
        <v/>
      </c>
      <c r="Q225" s="6">
        <f>IF(OR($BJ225="",16&gt;設定!$B$3),"",IF(INDEX(原始資料!S$2:S$501,$BJ225)="","",INDEX(原始資料!S$2:S$501,$BJ225)))</f>
        <v/>
      </c>
      <c r="R225" s="6">
        <f>IF(OR($BJ225="",17&gt;設定!$B$3),"",IF(INDEX(原始資料!T$2:T$501,$BJ225)="","",INDEX(原始資料!T$2:T$501,$BJ225)))</f>
        <v/>
      </c>
      <c r="S225" s="6">
        <f>IF(OR($BJ225="",18&gt;設定!$B$3),"",IF(INDEX(原始資料!U$2:U$501,$BJ225)="","",INDEX(原始資料!U$2:U$501,$BJ225)))</f>
        <v/>
      </c>
      <c r="T225" s="6">
        <f>IF(OR($BJ225="",19&gt;設定!$B$3),"",IF(INDEX(原始資料!V$2:V$501,$BJ225)="","",INDEX(原始資料!V$2:V$501,$BJ225)))</f>
        <v/>
      </c>
      <c r="U225" s="6">
        <f>IF(OR($BJ225="",20&gt;設定!$B$3),"",IF(INDEX(原始資料!W$2:W$501,$BJ225)="","",INDEX(原始資料!W$2:W$501,$BJ225)))</f>
        <v/>
      </c>
      <c r="V225" s="6">
        <f>IF(OR($BJ225="",21&gt;設定!$B$3),"",IF(INDEX(原始資料!X$2:X$501,$BJ225)="","",INDEX(原始資料!X$2:X$501,$BJ225)))</f>
        <v/>
      </c>
      <c r="W225" s="6">
        <f>IF(OR($BJ225="",22&gt;設定!$B$3),"",IF(INDEX(原始資料!Y$2:Y$501,$BJ225)="","",INDEX(原始資料!Y$2:Y$501,$BJ225)))</f>
        <v/>
      </c>
      <c r="X225" s="6">
        <f>IF(OR($BJ225="",23&gt;設定!$B$3),"",IF(INDEX(原始資料!Z$2:Z$501,$BJ225)="","",INDEX(原始資料!Z$2:Z$501,$BJ225)))</f>
        <v/>
      </c>
      <c r="Y225" s="6">
        <f>IF(OR($BJ225="",24&gt;設定!$B$3),"",IF(INDEX(原始資料!AA$2:AA$501,$BJ225)="","",INDEX(原始資料!AA$2:AA$501,$BJ225)))</f>
        <v/>
      </c>
      <c r="Z225" s="6">
        <f>IF(OR($BJ225="",25&gt;設定!$B$3),"",IF(INDEX(原始資料!AB$2:AB$501,$BJ225)="","",INDEX(原始資料!AB$2:AB$501,$BJ225)))</f>
        <v/>
      </c>
      <c r="AA225" s="6">
        <f>IF(OR($BJ225="",26&gt;設定!$B$3),"",IF(INDEX(原始資料!AC$2:AC$501,$BJ225)="","",INDEX(原始資料!AC$2:AC$501,$BJ225)))</f>
        <v/>
      </c>
      <c r="AB225" s="6">
        <f>IF(OR($BJ225="",27&gt;設定!$B$3),"",IF(INDEX(原始資料!AD$2:AD$501,$BJ225)="","",INDEX(原始資料!AD$2:AD$501,$BJ225)))</f>
        <v/>
      </c>
      <c r="AC225" s="6">
        <f>IF(OR($BJ225="",28&gt;設定!$B$3),"",IF(INDEX(原始資料!AE$2:AE$501,$BJ225)="","",INDEX(原始資料!AE$2:AE$501,$BJ225)))</f>
        <v/>
      </c>
      <c r="AD225" s="6">
        <f>IF(OR($BJ225="",29&gt;設定!$B$3),"",IF(INDEX(原始資料!AF$2:AF$501,$BJ225)="","",INDEX(原始資料!AF$2:AF$501,$BJ225)))</f>
        <v/>
      </c>
      <c r="AE225" s="6">
        <f>IF(OR($BJ225="",30&gt;設定!$B$3),"",IF(INDEX(原始資料!AG$2:AG$501,$BJ225)="","",INDEX(原始資料!AG$2:AG$501,$BJ225)))</f>
        <v/>
      </c>
      <c r="AF225" s="6">
        <f>IF(OR($BJ225="",31&gt;設定!$B$3),"",IF(INDEX(原始資料!AH$2:AH$501,$BJ225)="","",INDEX(原始資料!AH$2:AH$501,$BJ225)))</f>
        <v/>
      </c>
      <c r="AG225" s="6">
        <f>IF(OR($BJ225="",32&gt;設定!$B$3),"",IF(INDEX(原始資料!AI$2:AI$501,$BJ225)="","",INDEX(原始資料!AI$2:AI$501,$BJ225)))</f>
        <v/>
      </c>
      <c r="AH225" s="6">
        <f>IF(OR($BJ225="",33&gt;設定!$B$3),"",IF(INDEX(原始資料!AJ$2:AJ$501,$BJ225)="","",INDEX(原始資料!AJ$2:AJ$501,$BJ225)))</f>
        <v/>
      </c>
      <c r="AI225" s="6">
        <f>IF(OR($BJ225="",34&gt;設定!$B$3),"",IF(INDEX(原始資料!AK$2:AK$501,$BJ225)="","",INDEX(原始資料!AK$2:AK$501,$BJ225)))</f>
        <v/>
      </c>
      <c r="AJ225" s="6">
        <f>IF(OR($BJ225="",35&gt;設定!$B$3),"",IF(INDEX(原始資料!AL$2:AL$501,$BJ225)="","",INDEX(原始資料!AL$2:AL$501,$BJ225)))</f>
        <v/>
      </c>
      <c r="AK225" s="6">
        <f>IF(OR($BJ225="",36&gt;設定!$B$3),"",IF(INDEX(原始資料!AM$2:AM$501,$BJ225)="","",INDEX(原始資料!AM$2:AM$501,$BJ225)))</f>
        <v/>
      </c>
      <c r="AL225" s="6">
        <f>IF(OR($BJ225="",37&gt;設定!$B$3),"",IF(INDEX(原始資料!AN$2:AN$501,$BJ225)="","",INDEX(原始資料!AN$2:AN$501,$BJ225)))</f>
        <v/>
      </c>
      <c r="AM225" s="6">
        <f>IF(OR($BJ225="",38&gt;設定!$B$3),"",IF(INDEX(原始資料!AO$2:AO$501,$BJ225)="","",INDEX(原始資料!AO$2:AO$501,$BJ225)))</f>
        <v/>
      </c>
      <c r="AN225" s="6">
        <f>IF(OR($BJ225="",39&gt;設定!$B$3),"",IF(INDEX(原始資料!AP$2:AP$501,$BJ225)="","",INDEX(原始資料!AP$2:AP$501,$BJ225)))</f>
        <v/>
      </c>
      <c r="AO225" s="6">
        <f>IF(OR($BJ225="",40&gt;設定!$B$3),"",IF(INDEX(原始資料!AQ$2:AQ$501,$BJ225)="","",INDEX(原始資料!AQ$2:AQ$501,$BJ225)))</f>
        <v/>
      </c>
      <c r="AP225" s="6">
        <f>IF(OR($BJ225="",41&gt;設定!$B$3),"",IF(INDEX(原始資料!AR$2:AR$501,$BJ225)="","",INDEX(原始資料!AR$2:AR$501,$BJ225)))</f>
        <v/>
      </c>
      <c r="AQ225" s="6">
        <f>IF(OR($BJ225="",42&gt;設定!$B$3),"",IF(INDEX(原始資料!AS$2:AS$501,$BJ225)="","",INDEX(原始資料!AS$2:AS$501,$BJ225)))</f>
        <v/>
      </c>
      <c r="AR225" s="6">
        <f>IF(OR($BJ225="",43&gt;設定!$B$3),"",IF(INDEX(原始資料!AT$2:AT$501,$BJ225)="","",INDEX(原始資料!AT$2:AT$501,$BJ225)))</f>
        <v/>
      </c>
      <c r="AS225" s="6">
        <f>IF(OR($BJ225="",44&gt;設定!$B$3),"",IF(INDEX(原始資料!AU$2:AU$501,$BJ225)="","",INDEX(原始資料!AU$2:AU$501,$BJ225)))</f>
        <v/>
      </c>
      <c r="AT225" s="6">
        <f>IF(OR($BJ225="",45&gt;設定!$B$3),"",IF(INDEX(原始資料!AV$2:AV$501,$BJ225)="","",INDEX(原始資料!AV$2:AV$501,$BJ225)))</f>
        <v/>
      </c>
      <c r="AU225" s="6">
        <f>IF(OR($BJ225="",46&gt;設定!$B$3),"",IF(INDEX(原始資料!AW$2:AW$501,$BJ225)="","",INDEX(原始資料!AW$2:AW$501,$BJ225)))</f>
        <v/>
      </c>
      <c r="AV225" s="6">
        <f>IF(OR($BJ225="",47&gt;設定!$B$3),"",IF(INDEX(原始資料!AX$2:AX$501,$BJ225)="","",INDEX(原始資料!AX$2:AX$501,$BJ225)))</f>
        <v/>
      </c>
      <c r="AW225" s="6">
        <f>IF(OR($BJ225="",48&gt;設定!$B$3),"",IF(INDEX(原始資料!AY$2:AY$501,$BJ225)="","",INDEX(原始資料!AY$2:AY$501,$BJ225)))</f>
        <v/>
      </c>
      <c r="AX225" s="6">
        <f>IF(OR($BJ225="",49&gt;設定!$B$3),"",IF(INDEX(原始資料!AZ$2:AZ$501,$BJ225)="","",INDEX(原始資料!AZ$2:AZ$501,$BJ225)))</f>
        <v/>
      </c>
      <c r="AY225" s="6">
        <f>IF(OR($BJ225="",50&gt;設定!$B$3),"",IF(INDEX(原始資料!BA$2:BA$501,$BJ225)="","",INDEX(原始資料!BA$2:BA$501,$BJ225)))</f>
        <v/>
      </c>
      <c r="AZ225" s="6">
        <f>IF(OR($BJ225="",51&gt;設定!$B$3),"",IF(INDEX(原始資料!BB$2:BB$501,$BJ225)="","",INDEX(原始資料!BB$2:BB$501,$BJ225)))</f>
        <v/>
      </c>
      <c r="BA225" s="6">
        <f>IF(OR($BJ225="",52&gt;設定!$B$3),"",IF(INDEX(原始資料!BC$2:BC$501,$BJ225)="","",INDEX(原始資料!BC$2:BC$501,$BJ225)))</f>
        <v/>
      </c>
      <c r="BB225" s="6">
        <f>IF(OR($BJ225="",53&gt;設定!$B$3),"",IF(INDEX(原始資料!BD$2:BD$501,$BJ225)="","",INDEX(原始資料!BD$2:BD$501,$BJ225)))</f>
        <v/>
      </c>
      <c r="BC225" s="6">
        <f>IF(OR($BJ225="",54&gt;設定!$B$3),"",IF(INDEX(原始資料!BE$2:BE$501,$BJ225)="","",INDEX(原始資料!BE$2:BE$501,$BJ225)))</f>
        <v/>
      </c>
      <c r="BD225" s="6">
        <f>IF(OR($BJ225="",55&gt;設定!$B$3),"",IF(INDEX(原始資料!BF$2:BF$501,$BJ225)="","",INDEX(原始資料!BF$2:BF$501,$BJ225)))</f>
        <v/>
      </c>
      <c r="BE225" s="6">
        <f>IF(OR($BJ225="",56&gt;設定!$B$3),"",IF(INDEX(原始資料!BG$2:BG$501,$BJ225)="","",INDEX(原始資料!BG$2:BG$501,$BJ225)))</f>
        <v/>
      </c>
      <c r="BF225" s="6">
        <f>IF(OR($BJ225="",57&gt;設定!$B$3),"",IF(INDEX(原始資料!BH$2:BH$501,$BJ225)="","",INDEX(原始資料!BH$2:BH$501,$BJ225)))</f>
        <v/>
      </c>
      <c r="BG225" s="6">
        <f>IF(OR($BJ225="",58&gt;設定!$B$3),"",IF(INDEX(原始資料!BI$2:BI$501,$BJ225)="","",INDEX(原始資料!BI$2:BI$501,$BJ225)))</f>
        <v/>
      </c>
      <c r="BH225" s="6">
        <f>IF(OR($BJ225="",59&gt;設定!$B$3),"",IF(INDEX(原始資料!BJ$2:BJ$501,$BJ225)="","",INDEX(原始資料!BJ$2:BJ$501,$BJ225)))</f>
        <v/>
      </c>
      <c r="BI225" s="6">
        <f>IF(OR($BJ225="",60&gt;設定!$B$3),"",IF(INDEX(原始資料!BK$2:BK$501,$BJ225)="","",INDEX(原始資料!BK$2:BK$501,$BJ225)))</f>
        <v/>
      </c>
      <c r="BJ225" s="6">
        <f>IFERROR(MATCH(ROW()-1,判定!$H$2:$H$501,0),"")</f>
        <v/>
      </c>
    </row>
    <row r="226">
      <c r="A226" s="6">
        <f>IF($BJ226="","",INDEX(原始資料!$A$2:$A$501,$BJ226))</f>
        <v/>
      </c>
      <c r="B226" s="6">
        <f>IF(OR($BJ226="",1&gt;設定!$B$3),"",IF(INDEX(原始資料!D$2:D$501,$BJ226)="","",INDEX(原始資料!D$2:D$501,$BJ226)))</f>
        <v/>
      </c>
      <c r="C226" s="6">
        <f>IF(OR($BJ226="",2&gt;設定!$B$3),"",IF(INDEX(原始資料!E$2:E$501,$BJ226)="","",INDEX(原始資料!E$2:E$501,$BJ226)))</f>
        <v/>
      </c>
      <c r="D226" s="6">
        <f>IF(OR($BJ226="",3&gt;設定!$B$3),"",IF(INDEX(原始資料!F$2:F$501,$BJ226)="","",INDEX(原始資料!F$2:F$501,$BJ226)))</f>
        <v/>
      </c>
      <c r="E226" s="6">
        <f>IF(OR($BJ226="",4&gt;設定!$B$3),"",IF(INDEX(原始資料!G$2:G$501,$BJ226)="","",INDEX(原始資料!G$2:G$501,$BJ226)))</f>
        <v/>
      </c>
      <c r="F226" s="6">
        <f>IF(OR($BJ226="",5&gt;設定!$B$3),"",IF(INDEX(原始資料!H$2:H$501,$BJ226)="","",INDEX(原始資料!H$2:H$501,$BJ226)))</f>
        <v/>
      </c>
      <c r="G226" s="6">
        <f>IF(OR($BJ226="",6&gt;設定!$B$3),"",IF(INDEX(原始資料!I$2:I$501,$BJ226)="","",INDEX(原始資料!I$2:I$501,$BJ226)))</f>
        <v/>
      </c>
      <c r="H226" s="6">
        <f>IF(OR($BJ226="",7&gt;設定!$B$3),"",IF(INDEX(原始資料!J$2:J$501,$BJ226)="","",INDEX(原始資料!J$2:J$501,$BJ226)))</f>
        <v/>
      </c>
      <c r="I226" s="6">
        <f>IF(OR($BJ226="",8&gt;設定!$B$3),"",IF(INDEX(原始資料!K$2:K$501,$BJ226)="","",INDEX(原始資料!K$2:K$501,$BJ226)))</f>
        <v/>
      </c>
      <c r="J226" s="6">
        <f>IF(OR($BJ226="",9&gt;設定!$B$3),"",IF(INDEX(原始資料!L$2:L$501,$BJ226)="","",INDEX(原始資料!L$2:L$501,$BJ226)))</f>
        <v/>
      </c>
      <c r="K226" s="6">
        <f>IF(OR($BJ226="",10&gt;設定!$B$3),"",IF(INDEX(原始資料!M$2:M$501,$BJ226)="","",INDEX(原始資料!M$2:M$501,$BJ226)))</f>
        <v/>
      </c>
      <c r="L226" s="6">
        <f>IF(OR($BJ226="",11&gt;設定!$B$3),"",IF(INDEX(原始資料!N$2:N$501,$BJ226)="","",INDEX(原始資料!N$2:N$501,$BJ226)))</f>
        <v/>
      </c>
      <c r="M226" s="6">
        <f>IF(OR($BJ226="",12&gt;設定!$B$3),"",IF(INDEX(原始資料!O$2:O$501,$BJ226)="","",INDEX(原始資料!O$2:O$501,$BJ226)))</f>
        <v/>
      </c>
      <c r="N226" s="6">
        <f>IF(OR($BJ226="",13&gt;設定!$B$3),"",IF(INDEX(原始資料!P$2:P$501,$BJ226)="","",INDEX(原始資料!P$2:P$501,$BJ226)))</f>
        <v/>
      </c>
      <c r="O226" s="6">
        <f>IF(OR($BJ226="",14&gt;設定!$B$3),"",IF(INDEX(原始資料!Q$2:Q$501,$BJ226)="","",INDEX(原始資料!Q$2:Q$501,$BJ226)))</f>
        <v/>
      </c>
      <c r="P226" s="6">
        <f>IF(OR($BJ226="",15&gt;設定!$B$3),"",IF(INDEX(原始資料!R$2:R$501,$BJ226)="","",INDEX(原始資料!R$2:R$501,$BJ226)))</f>
        <v/>
      </c>
      <c r="Q226" s="6">
        <f>IF(OR($BJ226="",16&gt;設定!$B$3),"",IF(INDEX(原始資料!S$2:S$501,$BJ226)="","",INDEX(原始資料!S$2:S$501,$BJ226)))</f>
        <v/>
      </c>
      <c r="R226" s="6">
        <f>IF(OR($BJ226="",17&gt;設定!$B$3),"",IF(INDEX(原始資料!T$2:T$501,$BJ226)="","",INDEX(原始資料!T$2:T$501,$BJ226)))</f>
        <v/>
      </c>
      <c r="S226" s="6">
        <f>IF(OR($BJ226="",18&gt;設定!$B$3),"",IF(INDEX(原始資料!U$2:U$501,$BJ226)="","",INDEX(原始資料!U$2:U$501,$BJ226)))</f>
        <v/>
      </c>
      <c r="T226" s="6">
        <f>IF(OR($BJ226="",19&gt;設定!$B$3),"",IF(INDEX(原始資料!V$2:V$501,$BJ226)="","",INDEX(原始資料!V$2:V$501,$BJ226)))</f>
        <v/>
      </c>
      <c r="U226" s="6">
        <f>IF(OR($BJ226="",20&gt;設定!$B$3),"",IF(INDEX(原始資料!W$2:W$501,$BJ226)="","",INDEX(原始資料!W$2:W$501,$BJ226)))</f>
        <v/>
      </c>
      <c r="V226" s="6">
        <f>IF(OR($BJ226="",21&gt;設定!$B$3),"",IF(INDEX(原始資料!X$2:X$501,$BJ226)="","",INDEX(原始資料!X$2:X$501,$BJ226)))</f>
        <v/>
      </c>
      <c r="W226" s="6">
        <f>IF(OR($BJ226="",22&gt;設定!$B$3),"",IF(INDEX(原始資料!Y$2:Y$501,$BJ226)="","",INDEX(原始資料!Y$2:Y$501,$BJ226)))</f>
        <v/>
      </c>
      <c r="X226" s="6">
        <f>IF(OR($BJ226="",23&gt;設定!$B$3),"",IF(INDEX(原始資料!Z$2:Z$501,$BJ226)="","",INDEX(原始資料!Z$2:Z$501,$BJ226)))</f>
        <v/>
      </c>
      <c r="Y226" s="6">
        <f>IF(OR($BJ226="",24&gt;設定!$B$3),"",IF(INDEX(原始資料!AA$2:AA$501,$BJ226)="","",INDEX(原始資料!AA$2:AA$501,$BJ226)))</f>
        <v/>
      </c>
      <c r="Z226" s="6">
        <f>IF(OR($BJ226="",25&gt;設定!$B$3),"",IF(INDEX(原始資料!AB$2:AB$501,$BJ226)="","",INDEX(原始資料!AB$2:AB$501,$BJ226)))</f>
        <v/>
      </c>
      <c r="AA226" s="6">
        <f>IF(OR($BJ226="",26&gt;設定!$B$3),"",IF(INDEX(原始資料!AC$2:AC$501,$BJ226)="","",INDEX(原始資料!AC$2:AC$501,$BJ226)))</f>
        <v/>
      </c>
      <c r="AB226" s="6">
        <f>IF(OR($BJ226="",27&gt;設定!$B$3),"",IF(INDEX(原始資料!AD$2:AD$501,$BJ226)="","",INDEX(原始資料!AD$2:AD$501,$BJ226)))</f>
        <v/>
      </c>
      <c r="AC226" s="6">
        <f>IF(OR($BJ226="",28&gt;設定!$B$3),"",IF(INDEX(原始資料!AE$2:AE$501,$BJ226)="","",INDEX(原始資料!AE$2:AE$501,$BJ226)))</f>
        <v/>
      </c>
      <c r="AD226" s="6">
        <f>IF(OR($BJ226="",29&gt;設定!$B$3),"",IF(INDEX(原始資料!AF$2:AF$501,$BJ226)="","",INDEX(原始資料!AF$2:AF$501,$BJ226)))</f>
        <v/>
      </c>
      <c r="AE226" s="6">
        <f>IF(OR($BJ226="",30&gt;設定!$B$3),"",IF(INDEX(原始資料!AG$2:AG$501,$BJ226)="","",INDEX(原始資料!AG$2:AG$501,$BJ226)))</f>
        <v/>
      </c>
      <c r="AF226" s="6">
        <f>IF(OR($BJ226="",31&gt;設定!$B$3),"",IF(INDEX(原始資料!AH$2:AH$501,$BJ226)="","",INDEX(原始資料!AH$2:AH$501,$BJ226)))</f>
        <v/>
      </c>
      <c r="AG226" s="6">
        <f>IF(OR($BJ226="",32&gt;設定!$B$3),"",IF(INDEX(原始資料!AI$2:AI$501,$BJ226)="","",INDEX(原始資料!AI$2:AI$501,$BJ226)))</f>
        <v/>
      </c>
      <c r="AH226" s="6">
        <f>IF(OR($BJ226="",33&gt;設定!$B$3),"",IF(INDEX(原始資料!AJ$2:AJ$501,$BJ226)="","",INDEX(原始資料!AJ$2:AJ$501,$BJ226)))</f>
        <v/>
      </c>
      <c r="AI226" s="6">
        <f>IF(OR($BJ226="",34&gt;設定!$B$3),"",IF(INDEX(原始資料!AK$2:AK$501,$BJ226)="","",INDEX(原始資料!AK$2:AK$501,$BJ226)))</f>
        <v/>
      </c>
      <c r="AJ226" s="6">
        <f>IF(OR($BJ226="",35&gt;設定!$B$3),"",IF(INDEX(原始資料!AL$2:AL$501,$BJ226)="","",INDEX(原始資料!AL$2:AL$501,$BJ226)))</f>
        <v/>
      </c>
      <c r="AK226" s="6">
        <f>IF(OR($BJ226="",36&gt;設定!$B$3),"",IF(INDEX(原始資料!AM$2:AM$501,$BJ226)="","",INDEX(原始資料!AM$2:AM$501,$BJ226)))</f>
        <v/>
      </c>
      <c r="AL226" s="6">
        <f>IF(OR($BJ226="",37&gt;設定!$B$3),"",IF(INDEX(原始資料!AN$2:AN$501,$BJ226)="","",INDEX(原始資料!AN$2:AN$501,$BJ226)))</f>
        <v/>
      </c>
      <c r="AM226" s="6">
        <f>IF(OR($BJ226="",38&gt;設定!$B$3),"",IF(INDEX(原始資料!AO$2:AO$501,$BJ226)="","",INDEX(原始資料!AO$2:AO$501,$BJ226)))</f>
        <v/>
      </c>
      <c r="AN226" s="6">
        <f>IF(OR($BJ226="",39&gt;設定!$B$3),"",IF(INDEX(原始資料!AP$2:AP$501,$BJ226)="","",INDEX(原始資料!AP$2:AP$501,$BJ226)))</f>
        <v/>
      </c>
      <c r="AO226" s="6">
        <f>IF(OR($BJ226="",40&gt;設定!$B$3),"",IF(INDEX(原始資料!AQ$2:AQ$501,$BJ226)="","",INDEX(原始資料!AQ$2:AQ$501,$BJ226)))</f>
        <v/>
      </c>
      <c r="AP226" s="6">
        <f>IF(OR($BJ226="",41&gt;設定!$B$3),"",IF(INDEX(原始資料!AR$2:AR$501,$BJ226)="","",INDEX(原始資料!AR$2:AR$501,$BJ226)))</f>
        <v/>
      </c>
      <c r="AQ226" s="6">
        <f>IF(OR($BJ226="",42&gt;設定!$B$3),"",IF(INDEX(原始資料!AS$2:AS$501,$BJ226)="","",INDEX(原始資料!AS$2:AS$501,$BJ226)))</f>
        <v/>
      </c>
      <c r="AR226" s="6">
        <f>IF(OR($BJ226="",43&gt;設定!$B$3),"",IF(INDEX(原始資料!AT$2:AT$501,$BJ226)="","",INDEX(原始資料!AT$2:AT$501,$BJ226)))</f>
        <v/>
      </c>
      <c r="AS226" s="6">
        <f>IF(OR($BJ226="",44&gt;設定!$B$3),"",IF(INDEX(原始資料!AU$2:AU$501,$BJ226)="","",INDEX(原始資料!AU$2:AU$501,$BJ226)))</f>
        <v/>
      </c>
      <c r="AT226" s="6">
        <f>IF(OR($BJ226="",45&gt;設定!$B$3),"",IF(INDEX(原始資料!AV$2:AV$501,$BJ226)="","",INDEX(原始資料!AV$2:AV$501,$BJ226)))</f>
        <v/>
      </c>
      <c r="AU226" s="6">
        <f>IF(OR($BJ226="",46&gt;設定!$B$3),"",IF(INDEX(原始資料!AW$2:AW$501,$BJ226)="","",INDEX(原始資料!AW$2:AW$501,$BJ226)))</f>
        <v/>
      </c>
      <c r="AV226" s="6">
        <f>IF(OR($BJ226="",47&gt;設定!$B$3),"",IF(INDEX(原始資料!AX$2:AX$501,$BJ226)="","",INDEX(原始資料!AX$2:AX$501,$BJ226)))</f>
        <v/>
      </c>
      <c r="AW226" s="6">
        <f>IF(OR($BJ226="",48&gt;設定!$B$3),"",IF(INDEX(原始資料!AY$2:AY$501,$BJ226)="","",INDEX(原始資料!AY$2:AY$501,$BJ226)))</f>
        <v/>
      </c>
      <c r="AX226" s="6">
        <f>IF(OR($BJ226="",49&gt;設定!$B$3),"",IF(INDEX(原始資料!AZ$2:AZ$501,$BJ226)="","",INDEX(原始資料!AZ$2:AZ$501,$BJ226)))</f>
        <v/>
      </c>
      <c r="AY226" s="6">
        <f>IF(OR($BJ226="",50&gt;設定!$B$3),"",IF(INDEX(原始資料!BA$2:BA$501,$BJ226)="","",INDEX(原始資料!BA$2:BA$501,$BJ226)))</f>
        <v/>
      </c>
      <c r="AZ226" s="6">
        <f>IF(OR($BJ226="",51&gt;設定!$B$3),"",IF(INDEX(原始資料!BB$2:BB$501,$BJ226)="","",INDEX(原始資料!BB$2:BB$501,$BJ226)))</f>
        <v/>
      </c>
      <c r="BA226" s="6">
        <f>IF(OR($BJ226="",52&gt;設定!$B$3),"",IF(INDEX(原始資料!BC$2:BC$501,$BJ226)="","",INDEX(原始資料!BC$2:BC$501,$BJ226)))</f>
        <v/>
      </c>
      <c r="BB226" s="6">
        <f>IF(OR($BJ226="",53&gt;設定!$B$3),"",IF(INDEX(原始資料!BD$2:BD$501,$BJ226)="","",INDEX(原始資料!BD$2:BD$501,$BJ226)))</f>
        <v/>
      </c>
      <c r="BC226" s="6">
        <f>IF(OR($BJ226="",54&gt;設定!$B$3),"",IF(INDEX(原始資料!BE$2:BE$501,$BJ226)="","",INDEX(原始資料!BE$2:BE$501,$BJ226)))</f>
        <v/>
      </c>
      <c r="BD226" s="6">
        <f>IF(OR($BJ226="",55&gt;設定!$B$3),"",IF(INDEX(原始資料!BF$2:BF$501,$BJ226)="","",INDEX(原始資料!BF$2:BF$501,$BJ226)))</f>
        <v/>
      </c>
      <c r="BE226" s="6">
        <f>IF(OR($BJ226="",56&gt;設定!$B$3),"",IF(INDEX(原始資料!BG$2:BG$501,$BJ226)="","",INDEX(原始資料!BG$2:BG$501,$BJ226)))</f>
        <v/>
      </c>
      <c r="BF226" s="6">
        <f>IF(OR($BJ226="",57&gt;設定!$B$3),"",IF(INDEX(原始資料!BH$2:BH$501,$BJ226)="","",INDEX(原始資料!BH$2:BH$501,$BJ226)))</f>
        <v/>
      </c>
      <c r="BG226" s="6">
        <f>IF(OR($BJ226="",58&gt;設定!$B$3),"",IF(INDEX(原始資料!BI$2:BI$501,$BJ226)="","",INDEX(原始資料!BI$2:BI$501,$BJ226)))</f>
        <v/>
      </c>
      <c r="BH226" s="6">
        <f>IF(OR($BJ226="",59&gt;設定!$B$3),"",IF(INDEX(原始資料!BJ$2:BJ$501,$BJ226)="","",INDEX(原始資料!BJ$2:BJ$501,$BJ226)))</f>
        <v/>
      </c>
      <c r="BI226" s="6">
        <f>IF(OR($BJ226="",60&gt;設定!$B$3),"",IF(INDEX(原始資料!BK$2:BK$501,$BJ226)="","",INDEX(原始資料!BK$2:BK$501,$BJ226)))</f>
        <v/>
      </c>
      <c r="BJ226" s="6">
        <f>IFERROR(MATCH(ROW()-1,判定!$H$2:$H$501,0),"")</f>
        <v/>
      </c>
    </row>
    <row r="227">
      <c r="A227" s="6">
        <f>IF($BJ227="","",INDEX(原始資料!$A$2:$A$501,$BJ227))</f>
        <v/>
      </c>
      <c r="B227" s="6">
        <f>IF(OR($BJ227="",1&gt;設定!$B$3),"",IF(INDEX(原始資料!D$2:D$501,$BJ227)="","",INDEX(原始資料!D$2:D$501,$BJ227)))</f>
        <v/>
      </c>
      <c r="C227" s="6">
        <f>IF(OR($BJ227="",2&gt;設定!$B$3),"",IF(INDEX(原始資料!E$2:E$501,$BJ227)="","",INDEX(原始資料!E$2:E$501,$BJ227)))</f>
        <v/>
      </c>
      <c r="D227" s="6">
        <f>IF(OR($BJ227="",3&gt;設定!$B$3),"",IF(INDEX(原始資料!F$2:F$501,$BJ227)="","",INDEX(原始資料!F$2:F$501,$BJ227)))</f>
        <v/>
      </c>
      <c r="E227" s="6">
        <f>IF(OR($BJ227="",4&gt;設定!$B$3),"",IF(INDEX(原始資料!G$2:G$501,$BJ227)="","",INDEX(原始資料!G$2:G$501,$BJ227)))</f>
        <v/>
      </c>
      <c r="F227" s="6">
        <f>IF(OR($BJ227="",5&gt;設定!$B$3),"",IF(INDEX(原始資料!H$2:H$501,$BJ227)="","",INDEX(原始資料!H$2:H$501,$BJ227)))</f>
        <v/>
      </c>
      <c r="G227" s="6">
        <f>IF(OR($BJ227="",6&gt;設定!$B$3),"",IF(INDEX(原始資料!I$2:I$501,$BJ227)="","",INDEX(原始資料!I$2:I$501,$BJ227)))</f>
        <v/>
      </c>
      <c r="H227" s="6">
        <f>IF(OR($BJ227="",7&gt;設定!$B$3),"",IF(INDEX(原始資料!J$2:J$501,$BJ227)="","",INDEX(原始資料!J$2:J$501,$BJ227)))</f>
        <v/>
      </c>
      <c r="I227" s="6">
        <f>IF(OR($BJ227="",8&gt;設定!$B$3),"",IF(INDEX(原始資料!K$2:K$501,$BJ227)="","",INDEX(原始資料!K$2:K$501,$BJ227)))</f>
        <v/>
      </c>
      <c r="J227" s="6">
        <f>IF(OR($BJ227="",9&gt;設定!$B$3),"",IF(INDEX(原始資料!L$2:L$501,$BJ227)="","",INDEX(原始資料!L$2:L$501,$BJ227)))</f>
        <v/>
      </c>
      <c r="K227" s="6">
        <f>IF(OR($BJ227="",10&gt;設定!$B$3),"",IF(INDEX(原始資料!M$2:M$501,$BJ227)="","",INDEX(原始資料!M$2:M$501,$BJ227)))</f>
        <v/>
      </c>
      <c r="L227" s="6">
        <f>IF(OR($BJ227="",11&gt;設定!$B$3),"",IF(INDEX(原始資料!N$2:N$501,$BJ227)="","",INDEX(原始資料!N$2:N$501,$BJ227)))</f>
        <v/>
      </c>
      <c r="M227" s="6">
        <f>IF(OR($BJ227="",12&gt;設定!$B$3),"",IF(INDEX(原始資料!O$2:O$501,$BJ227)="","",INDEX(原始資料!O$2:O$501,$BJ227)))</f>
        <v/>
      </c>
      <c r="N227" s="6">
        <f>IF(OR($BJ227="",13&gt;設定!$B$3),"",IF(INDEX(原始資料!P$2:P$501,$BJ227)="","",INDEX(原始資料!P$2:P$501,$BJ227)))</f>
        <v/>
      </c>
      <c r="O227" s="6">
        <f>IF(OR($BJ227="",14&gt;設定!$B$3),"",IF(INDEX(原始資料!Q$2:Q$501,$BJ227)="","",INDEX(原始資料!Q$2:Q$501,$BJ227)))</f>
        <v/>
      </c>
      <c r="P227" s="6">
        <f>IF(OR($BJ227="",15&gt;設定!$B$3),"",IF(INDEX(原始資料!R$2:R$501,$BJ227)="","",INDEX(原始資料!R$2:R$501,$BJ227)))</f>
        <v/>
      </c>
      <c r="Q227" s="6">
        <f>IF(OR($BJ227="",16&gt;設定!$B$3),"",IF(INDEX(原始資料!S$2:S$501,$BJ227)="","",INDEX(原始資料!S$2:S$501,$BJ227)))</f>
        <v/>
      </c>
      <c r="R227" s="6">
        <f>IF(OR($BJ227="",17&gt;設定!$B$3),"",IF(INDEX(原始資料!T$2:T$501,$BJ227)="","",INDEX(原始資料!T$2:T$501,$BJ227)))</f>
        <v/>
      </c>
      <c r="S227" s="6">
        <f>IF(OR($BJ227="",18&gt;設定!$B$3),"",IF(INDEX(原始資料!U$2:U$501,$BJ227)="","",INDEX(原始資料!U$2:U$501,$BJ227)))</f>
        <v/>
      </c>
      <c r="T227" s="6">
        <f>IF(OR($BJ227="",19&gt;設定!$B$3),"",IF(INDEX(原始資料!V$2:V$501,$BJ227)="","",INDEX(原始資料!V$2:V$501,$BJ227)))</f>
        <v/>
      </c>
      <c r="U227" s="6">
        <f>IF(OR($BJ227="",20&gt;設定!$B$3),"",IF(INDEX(原始資料!W$2:W$501,$BJ227)="","",INDEX(原始資料!W$2:W$501,$BJ227)))</f>
        <v/>
      </c>
      <c r="V227" s="6">
        <f>IF(OR($BJ227="",21&gt;設定!$B$3),"",IF(INDEX(原始資料!X$2:X$501,$BJ227)="","",INDEX(原始資料!X$2:X$501,$BJ227)))</f>
        <v/>
      </c>
      <c r="W227" s="6">
        <f>IF(OR($BJ227="",22&gt;設定!$B$3),"",IF(INDEX(原始資料!Y$2:Y$501,$BJ227)="","",INDEX(原始資料!Y$2:Y$501,$BJ227)))</f>
        <v/>
      </c>
      <c r="X227" s="6">
        <f>IF(OR($BJ227="",23&gt;設定!$B$3),"",IF(INDEX(原始資料!Z$2:Z$501,$BJ227)="","",INDEX(原始資料!Z$2:Z$501,$BJ227)))</f>
        <v/>
      </c>
      <c r="Y227" s="6">
        <f>IF(OR($BJ227="",24&gt;設定!$B$3),"",IF(INDEX(原始資料!AA$2:AA$501,$BJ227)="","",INDEX(原始資料!AA$2:AA$501,$BJ227)))</f>
        <v/>
      </c>
      <c r="Z227" s="6">
        <f>IF(OR($BJ227="",25&gt;設定!$B$3),"",IF(INDEX(原始資料!AB$2:AB$501,$BJ227)="","",INDEX(原始資料!AB$2:AB$501,$BJ227)))</f>
        <v/>
      </c>
      <c r="AA227" s="6">
        <f>IF(OR($BJ227="",26&gt;設定!$B$3),"",IF(INDEX(原始資料!AC$2:AC$501,$BJ227)="","",INDEX(原始資料!AC$2:AC$501,$BJ227)))</f>
        <v/>
      </c>
      <c r="AB227" s="6">
        <f>IF(OR($BJ227="",27&gt;設定!$B$3),"",IF(INDEX(原始資料!AD$2:AD$501,$BJ227)="","",INDEX(原始資料!AD$2:AD$501,$BJ227)))</f>
        <v/>
      </c>
      <c r="AC227" s="6">
        <f>IF(OR($BJ227="",28&gt;設定!$B$3),"",IF(INDEX(原始資料!AE$2:AE$501,$BJ227)="","",INDEX(原始資料!AE$2:AE$501,$BJ227)))</f>
        <v/>
      </c>
      <c r="AD227" s="6">
        <f>IF(OR($BJ227="",29&gt;設定!$B$3),"",IF(INDEX(原始資料!AF$2:AF$501,$BJ227)="","",INDEX(原始資料!AF$2:AF$501,$BJ227)))</f>
        <v/>
      </c>
      <c r="AE227" s="6">
        <f>IF(OR($BJ227="",30&gt;設定!$B$3),"",IF(INDEX(原始資料!AG$2:AG$501,$BJ227)="","",INDEX(原始資料!AG$2:AG$501,$BJ227)))</f>
        <v/>
      </c>
      <c r="AF227" s="6">
        <f>IF(OR($BJ227="",31&gt;設定!$B$3),"",IF(INDEX(原始資料!AH$2:AH$501,$BJ227)="","",INDEX(原始資料!AH$2:AH$501,$BJ227)))</f>
        <v/>
      </c>
      <c r="AG227" s="6">
        <f>IF(OR($BJ227="",32&gt;設定!$B$3),"",IF(INDEX(原始資料!AI$2:AI$501,$BJ227)="","",INDEX(原始資料!AI$2:AI$501,$BJ227)))</f>
        <v/>
      </c>
      <c r="AH227" s="6">
        <f>IF(OR($BJ227="",33&gt;設定!$B$3),"",IF(INDEX(原始資料!AJ$2:AJ$501,$BJ227)="","",INDEX(原始資料!AJ$2:AJ$501,$BJ227)))</f>
        <v/>
      </c>
      <c r="AI227" s="6">
        <f>IF(OR($BJ227="",34&gt;設定!$B$3),"",IF(INDEX(原始資料!AK$2:AK$501,$BJ227)="","",INDEX(原始資料!AK$2:AK$501,$BJ227)))</f>
        <v/>
      </c>
      <c r="AJ227" s="6">
        <f>IF(OR($BJ227="",35&gt;設定!$B$3),"",IF(INDEX(原始資料!AL$2:AL$501,$BJ227)="","",INDEX(原始資料!AL$2:AL$501,$BJ227)))</f>
        <v/>
      </c>
      <c r="AK227" s="6">
        <f>IF(OR($BJ227="",36&gt;設定!$B$3),"",IF(INDEX(原始資料!AM$2:AM$501,$BJ227)="","",INDEX(原始資料!AM$2:AM$501,$BJ227)))</f>
        <v/>
      </c>
      <c r="AL227" s="6">
        <f>IF(OR($BJ227="",37&gt;設定!$B$3),"",IF(INDEX(原始資料!AN$2:AN$501,$BJ227)="","",INDEX(原始資料!AN$2:AN$501,$BJ227)))</f>
        <v/>
      </c>
      <c r="AM227" s="6">
        <f>IF(OR($BJ227="",38&gt;設定!$B$3),"",IF(INDEX(原始資料!AO$2:AO$501,$BJ227)="","",INDEX(原始資料!AO$2:AO$501,$BJ227)))</f>
        <v/>
      </c>
      <c r="AN227" s="6">
        <f>IF(OR($BJ227="",39&gt;設定!$B$3),"",IF(INDEX(原始資料!AP$2:AP$501,$BJ227)="","",INDEX(原始資料!AP$2:AP$501,$BJ227)))</f>
        <v/>
      </c>
      <c r="AO227" s="6">
        <f>IF(OR($BJ227="",40&gt;設定!$B$3),"",IF(INDEX(原始資料!AQ$2:AQ$501,$BJ227)="","",INDEX(原始資料!AQ$2:AQ$501,$BJ227)))</f>
        <v/>
      </c>
      <c r="AP227" s="6">
        <f>IF(OR($BJ227="",41&gt;設定!$B$3),"",IF(INDEX(原始資料!AR$2:AR$501,$BJ227)="","",INDEX(原始資料!AR$2:AR$501,$BJ227)))</f>
        <v/>
      </c>
      <c r="AQ227" s="6">
        <f>IF(OR($BJ227="",42&gt;設定!$B$3),"",IF(INDEX(原始資料!AS$2:AS$501,$BJ227)="","",INDEX(原始資料!AS$2:AS$501,$BJ227)))</f>
        <v/>
      </c>
      <c r="AR227" s="6">
        <f>IF(OR($BJ227="",43&gt;設定!$B$3),"",IF(INDEX(原始資料!AT$2:AT$501,$BJ227)="","",INDEX(原始資料!AT$2:AT$501,$BJ227)))</f>
        <v/>
      </c>
      <c r="AS227" s="6">
        <f>IF(OR($BJ227="",44&gt;設定!$B$3),"",IF(INDEX(原始資料!AU$2:AU$501,$BJ227)="","",INDEX(原始資料!AU$2:AU$501,$BJ227)))</f>
        <v/>
      </c>
      <c r="AT227" s="6">
        <f>IF(OR($BJ227="",45&gt;設定!$B$3),"",IF(INDEX(原始資料!AV$2:AV$501,$BJ227)="","",INDEX(原始資料!AV$2:AV$501,$BJ227)))</f>
        <v/>
      </c>
      <c r="AU227" s="6">
        <f>IF(OR($BJ227="",46&gt;設定!$B$3),"",IF(INDEX(原始資料!AW$2:AW$501,$BJ227)="","",INDEX(原始資料!AW$2:AW$501,$BJ227)))</f>
        <v/>
      </c>
      <c r="AV227" s="6">
        <f>IF(OR($BJ227="",47&gt;設定!$B$3),"",IF(INDEX(原始資料!AX$2:AX$501,$BJ227)="","",INDEX(原始資料!AX$2:AX$501,$BJ227)))</f>
        <v/>
      </c>
      <c r="AW227" s="6">
        <f>IF(OR($BJ227="",48&gt;設定!$B$3),"",IF(INDEX(原始資料!AY$2:AY$501,$BJ227)="","",INDEX(原始資料!AY$2:AY$501,$BJ227)))</f>
        <v/>
      </c>
      <c r="AX227" s="6">
        <f>IF(OR($BJ227="",49&gt;設定!$B$3),"",IF(INDEX(原始資料!AZ$2:AZ$501,$BJ227)="","",INDEX(原始資料!AZ$2:AZ$501,$BJ227)))</f>
        <v/>
      </c>
      <c r="AY227" s="6">
        <f>IF(OR($BJ227="",50&gt;設定!$B$3),"",IF(INDEX(原始資料!BA$2:BA$501,$BJ227)="","",INDEX(原始資料!BA$2:BA$501,$BJ227)))</f>
        <v/>
      </c>
      <c r="AZ227" s="6">
        <f>IF(OR($BJ227="",51&gt;設定!$B$3),"",IF(INDEX(原始資料!BB$2:BB$501,$BJ227)="","",INDEX(原始資料!BB$2:BB$501,$BJ227)))</f>
        <v/>
      </c>
      <c r="BA227" s="6">
        <f>IF(OR($BJ227="",52&gt;設定!$B$3),"",IF(INDEX(原始資料!BC$2:BC$501,$BJ227)="","",INDEX(原始資料!BC$2:BC$501,$BJ227)))</f>
        <v/>
      </c>
      <c r="BB227" s="6">
        <f>IF(OR($BJ227="",53&gt;設定!$B$3),"",IF(INDEX(原始資料!BD$2:BD$501,$BJ227)="","",INDEX(原始資料!BD$2:BD$501,$BJ227)))</f>
        <v/>
      </c>
      <c r="BC227" s="6">
        <f>IF(OR($BJ227="",54&gt;設定!$B$3),"",IF(INDEX(原始資料!BE$2:BE$501,$BJ227)="","",INDEX(原始資料!BE$2:BE$501,$BJ227)))</f>
        <v/>
      </c>
      <c r="BD227" s="6">
        <f>IF(OR($BJ227="",55&gt;設定!$B$3),"",IF(INDEX(原始資料!BF$2:BF$501,$BJ227)="","",INDEX(原始資料!BF$2:BF$501,$BJ227)))</f>
        <v/>
      </c>
      <c r="BE227" s="6">
        <f>IF(OR($BJ227="",56&gt;設定!$B$3),"",IF(INDEX(原始資料!BG$2:BG$501,$BJ227)="","",INDEX(原始資料!BG$2:BG$501,$BJ227)))</f>
        <v/>
      </c>
      <c r="BF227" s="6">
        <f>IF(OR($BJ227="",57&gt;設定!$B$3),"",IF(INDEX(原始資料!BH$2:BH$501,$BJ227)="","",INDEX(原始資料!BH$2:BH$501,$BJ227)))</f>
        <v/>
      </c>
      <c r="BG227" s="6">
        <f>IF(OR($BJ227="",58&gt;設定!$B$3),"",IF(INDEX(原始資料!BI$2:BI$501,$BJ227)="","",INDEX(原始資料!BI$2:BI$501,$BJ227)))</f>
        <v/>
      </c>
      <c r="BH227" s="6">
        <f>IF(OR($BJ227="",59&gt;設定!$B$3),"",IF(INDEX(原始資料!BJ$2:BJ$501,$BJ227)="","",INDEX(原始資料!BJ$2:BJ$501,$BJ227)))</f>
        <v/>
      </c>
      <c r="BI227" s="6">
        <f>IF(OR($BJ227="",60&gt;設定!$B$3),"",IF(INDEX(原始資料!BK$2:BK$501,$BJ227)="","",INDEX(原始資料!BK$2:BK$501,$BJ227)))</f>
        <v/>
      </c>
      <c r="BJ227" s="6">
        <f>IFERROR(MATCH(ROW()-1,判定!$H$2:$H$501,0),"")</f>
        <v/>
      </c>
    </row>
    <row r="228">
      <c r="A228" s="6">
        <f>IF($BJ228="","",INDEX(原始資料!$A$2:$A$501,$BJ228))</f>
        <v/>
      </c>
      <c r="B228" s="6">
        <f>IF(OR($BJ228="",1&gt;設定!$B$3),"",IF(INDEX(原始資料!D$2:D$501,$BJ228)="","",INDEX(原始資料!D$2:D$501,$BJ228)))</f>
        <v/>
      </c>
      <c r="C228" s="6">
        <f>IF(OR($BJ228="",2&gt;設定!$B$3),"",IF(INDEX(原始資料!E$2:E$501,$BJ228)="","",INDEX(原始資料!E$2:E$501,$BJ228)))</f>
        <v/>
      </c>
      <c r="D228" s="6">
        <f>IF(OR($BJ228="",3&gt;設定!$B$3),"",IF(INDEX(原始資料!F$2:F$501,$BJ228)="","",INDEX(原始資料!F$2:F$501,$BJ228)))</f>
        <v/>
      </c>
      <c r="E228" s="6">
        <f>IF(OR($BJ228="",4&gt;設定!$B$3),"",IF(INDEX(原始資料!G$2:G$501,$BJ228)="","",INDEX(原始資料!G$2:G$501,$BJ228)))</f>
        <v/>
      </c>
      <c r="F228" s="6">
        <f>IF(OR($BJ228="",5&gt;設定!$B$3),"",IF(INDEX(原始資料!H$2:H$501,$BJ228)="","",INDEX(原始資料!H$2:H$501,$BJ228)))</f>
        <v/>
      </c>
      <c r="G228" s="6">
        <f>IF(OR($BJ228="",6&gt;設定!$B$3),"",IF(INDEX(原始資料!I$2:I$501,$BJ228)="","",INDEX(原始資料!I$2:I$501,$BJ228)))</f>
        <v/>
      </c>
      <c r="H228" s="6">
        <f>IF(OR($BJ228="",7&gt;設定!$B$3),"",IF(INDEX(原始資料!J$2:J$501,$BJ228)="","",INDEX(原始資料!J$2:J$501,$BJ228)))</f>
        <v/>
      </c>
      <c r="I228" s="6">
        <f>IF(OR($BJ228="",8&gt;設定!$B$3),"",IF(INDEX(原始資料!K$2:K$501,$BJ228)="","",INDEX(原始資料!K$2:K$501,$BJ228)))</f>
        <v/>
      </c>
      <c r="J228" s="6">
        <f>IF(OR($BJ228="",9&gt;設定!$B$3),"",IF(INDEX(原始資料!L$2:L$501,$BJ228)="","",INDEX(原始資料!L$2:L$501,$BJ228)))</f>
        <v/>
      </c>
      <c r="K228" s="6">
        <f>IF(OR($BJ228="",10&gt;設定!$B$3),"",IF(INDEX(原始資料!M$2:M$501,$BJ228)="","",INDEX(原始資料!M$2:M$501,$BJ228)))</f>
        <v/>
      </c>
      <c r="L228" s="6">
        <f>IF(OR($BJ228="",11&gt;設定!$B$3),"",IF(INDEX(原始資料!N$2:N$501,$BJ228)="","",INDEX(原始資料!N$2:N$501,$BJ228)))</f>
        <v/>
      </c>
      <c r="M228" s="6">
        <f>IF(OR($BJ228="",12&gt;設定!$B$3),"",IF(INDEX(原始資料!O$2:O$501,$BJ228)="","",INDEX(原始資料!O$2:O$501,$BJ228)))</f>
        <v/>
      </c>
      <c r="N228" s="6">
        <f>IF(OR($BJ228="",13&gt;設定!$B$3),"",IF(INDEX(原始資料!P$2:P$501,$BJ228)="","",INDEX(原始資料!P$2:P$501,$BJ228)))</f>
        <v/>
      </c>
      <c r="O228" s="6">
        <f>IF(OR($BJ228="",14&gt;設定!$B$3),"",IF(INDEX(原始資料!Q$2:Q$501,$BJ228)="","",INDEX(原始資料!Q$2:Q$501,$BJ228)))</f>
        <v/>
      </c>
      <c r="P228" s="6">
        <f>IF(OR($BJ228="",15&gt;設定!$B$3),"",IF(INDEX(原始資料!R$2:R$501,$BJ228)="","",INDEX(原始資料!R$2:R$501,$BJ228)))</f>
        <v/>
      </c>
      <c r="Q228" s="6">
        <f>IF(OR($BJ228="",16&gt;設定!$B$3),"",IF(INDEX(原始資料!S$2:S$501,$BJ228)="","",INDEX(原始資料!S$2:S$501,$BJ228)))</f>
        <v/>
      </c>
      <c r="R228" s="6">
        <f>IF(OR($BJ228="",17&gt;設定!$B$3),"",IF(INDEX(原始資料!T$2:T$501,$BJ228)="","",INDEX(原始資料!T$2:T$501,$BJ228)))</f>
        <v/>
      </c>
      <c r="S228" s="6">
        <f>IF(OR($BJ228="",18&gt;設定!$B$3),"",IF(INDEX(原始資料!U$2:U$501,$BJ228)="","",INDEX(原始資料!U$2:U$501,$BJ228)))</f>
        <v/>
      </c>
      <c r="T228" s="6">
        <f>IF(OR($BJ228="",19&gt;設定!$B$3),"",IF(INDEX(原始資料!V$2:V$501,$BJ228)="","",INDEX(原始資料!V$2:V$501,$BJ228)))</f>
        <v/>
      </c>
      <c r="U228" s="6">
        <f>IF(OR($BJ228="",20&gt;設定!$B$3),"",IF(INDEX(原始資料!W$2:W$501,$BJ228)="","",INDEX(原始資料!W$2:W$501,$BJ228)))</f>
        <v/>
      </c>
      <c r="V228" s="6">
        <f>IF(OR($BJ228="",21&gt;設定!$B$3),"",IF(INDEX(原始資料!X$2:X$501,$BJ228)="","",INDEX(原始資料!X$2:X$501,$BJ228)))</f>
        <v/>
      </c>
      <c r="W228" s="6">
        <f>IF(OR($BJ228="",22&gt;設定!$B$3),"",IF(INDEX(原始資料!Y$2:Y$501,$BJ228)="","",INDEX(原始資料!Y$2:Y$501,$BJ228)))</f>
        <v/>
      </c>
      <c r="X228" s="6">
        <f>IF(OR($BJ228="",23&gt;設定!$B$3),"",IF(INDEX(原始資料!Z$2:Z$501,$BJ228)="","",INDEX(原始資料!Z$2:Z$501,$BJ228)))</f>
        <v/>
      </c>
      <c r="Y228" s="6">
        <f>IF(OR($BJ228="",24&gt;設定!$B$3),"",IF(INDEX(原始資料!AA$2:AA$501,$BJ228)="","",INDEX(原始資料!AA$2:AA$501,$BJ228)))</f>
        <v/>
      </c>
      <c r="Z228" s="6">
        <f>IF(OR($BJ228="",25&gt;設定!$B$3),"",IF(INDEX(原始資料!AB$2:AB$501,$BJ228)="","",INDEX(原始資料!AB$2:AB$501,$BJ228)))</f>
        <v/>
      </c>
      <c r="AA228" s="6">
        <f>IF(OR($BJ228="",26&gt;設定!$B$3),"",IF(INDEX(原始資料!AC$2:AC$501,$BJ228)="","",INDEX(原始資料!AC$2:AC$501,$BJ228)))</f>
        <v/>
      </c>
      <c r="AB228" s="6">
        <f>IF(OR($BJ228="",27&gt;設定!$B$3),"",IF(INDEX(原始資料!AD$2:AD$501,$BJ228)="","",INDEX(原始資料!AD$2:AD$501,$BJ228)))</f>
        <v/>
      </c>
      <c r="AC228" s="6">
        <f>IF(OR($BJ228="",28&gt;設定!$B$3),"",IF(INDEX(原始資料!AE$2:AE$501,$BJ228)="","",INDEX(原始資料!AE$2:AE$501,$BJ228)))</f>
        <v/>
      </c>
      <c r="AD228" s="6">
        <f>IF(OR($BJ228="",29&gt;設定!$B$3),"",IF(INDEX(原始資料!AF$2:AF$501,$BJ228)="","",INDEX(原始資料!AF$2:AF$501,$BJ228)))</f>
        <v/>
      </c>
      <c r="AE228" s="6">
        <f>IF(OR($BJ228="",30&gt;設定!$B$3),"",IF(INDEX(原始資料!AG$2:AG$501,$BJ228)="","",INDEX(原始資料!AG$2:AG$501,$BJ228)))</f>
        <v/>
      </c>
      <c r="AF228" s="6">
        <f>IF(OR($BJ228="",31&gt;設定!$B$3),"",IF(INDEX(原始資料!AH$2:AH$501,$BJ228)="","",INDEX(原始資料!AH$2:AH$501,$BJ228)))</f>
        <v/>
      </c>
      <c r="AG228" s="6">
        <f>IF(OR($BJ228="",32&gt;設定!$B$3),"",IF(INDEX(原始資料!AI$2:AI$501,$BJ228)="","",INDEX(原始資料!AI$2:AI$501,$BJ228)))</f>
        <v/>
      </c>
      <c r="AH228" s="6">
        <f>IF(OR($BJ228="",33&gt;設定!$B$3),"",IF(INDEX(原始資料!AJ$2:AJ$501,$BJ228)="","",INDEX(原始資料!AJ$2:AJ$501,$BJ228)))</f>
        <v/>
      </c>
      <c r="AI228" s="6">
        <f>IF(OR($BJ228="",34&gt;設定!$B$3),"",IF(INDEX(原始資料!AK$2:AK$501,$BJ228)="","",INDEX(原始資料!AK$2:AK$501,$BJ228)))</f>
        <v/>
      </c>
      <c r="AJ228" s="6">
        <f>IF(OR($BJ228="",35&gt;設定!$B$3),"",IF(INDEX(原始資料!AL$2:AL$501,$BJ228)="","",INDEX(原始資料!AL$2:AL$501,$BJ228)))</f>
        <v/>
      </c>
      <c r="AK228" s="6">
        <f>IF(OR($BJ228="",36&gt;設定!$B$3),"",IF(INDEX(原始資料!AM$2:AM$501,$BJ228)="","",INDEX(原始資料!AM$2:AM$501,$BJ228)))</f>
        <v/>
      </c>
      <c r="AL228" s="6">
        <f>IF(OR($BJ228="",37&gt;設定!$B$3),"",IF(INDEX(原始資料!AN$2:AN$501,$BJ228)="","",INDEX(原始資料!AN$2:AN$501,$BJ228)))</f>
        <v/>
      </c>
      <c r="AM228" s="6">
        <f>IF(OR($BJ228="",38&gt;設定!$B$3),"",IF(INDEX(原始資料!AO$2:AO$501,$BJ228)="","",INDEX(原始資料!AO$2:AO$501,$BJ228)))</f>
        <v/>
      </c>
      <c r="AN228" s="6">
        <f>IF(OR($BJ228="",39&gt;設定!$B$3),"",IF(INDEX(原始資料!AP$2:AP$501,$BJ228)="","",INDEX(原始資料!AP$2:AP$501,$BJ228)))</f>
        <v/>
      </c>
      <c r="AO228" s="6">
        <f>IF(OR($BJ228="",40&gt;設定!$B$3),"",IF(INDEX(原始資料!AQ$2:AQ$501,$BJ228)="","",INDEX(原始資料!AQ$2:AQ$501,$BJ228)))</f>
        <v/>
      </c>
      <c r="AP228" s="6">
        <f>IF(OR($BJ228="",41&gt;設定!$B$3),"",IF(INDEX(原始資料!AR$2:AR$501,$BJ228)="","",INDEX(原始資料!AR$2:AR$501,$BJ228)))</f>
        <v/>
      </c>
      <c r="AQ228" s="6">
        <f>IF(OR($BJ228="",42&gt;設定!$B$3),"",IF(INDEX(原始資料!AS$2:AS$501,$BJ228)="","",INDEX(原始資料!AS$2:AS$501,$BJ228)))</f>
        <v/>
      </c>
      <c r="AR228" s="6">
        <f>IF(OR($BJ228="",43&gt;設定!$B$3),"",IF(INDEX(原始資料!AT$2:AT$501,$BJ228)="","",INDEX(原始資料!AT$2:AT$501,$BJ228)))</f>
        <v/>
      </c>
      <c r="AS228" s="6">
        <f>IF(OR($BJ228="",44&gt;設定!$B$3),"",IF(INDEX(原始資料!AU$2:AU$501,$BJ228)="","",INDEX(原始資料!AU$2:AU$501,$BJ228)))</f>
        <v/>
      </c>
      <c r="AT228" s="6">
        <f>IF(OR($BJ228="",45&gt;設定!$B$3),"",IF(INDEX(原始資料!AV$2:AV$501,$BJ228)="","",INDEX(原始資料!AV$2:AV$501,$BJ228)))</f>
        <v/>
      </c>
      <c r="AU228" s="6">
        <f>IF(OR($BJ228="",46&gt;設定!$B$3),"",IF(INDEX(原始資料!AW$2:AW$501,$BJ228)="","",INDEX(原始資料!AW$2:AW$501,$BJ228)))</f>
        <v/>
      </c>
      <c r="AV228" s="6">
        <f>IF(OR($BJ228="",47&gt;設定!$B$3),"",IF(INDEX(原始資料!AX$2:AX$501,$BJ228)="","",INDEX(原始資料!AX$2:AX$501,$BJ228)))</f>
        <v/>
      </c>
      <c r="AW228" s="6">
        <f>IF(OR($BJ228="",48&gt;設定!$B$3),"",IF(INDEX(原始資料!AY$2:AY$501,$BJ228)="","",INDEX(原始資料!AY$2:AY$501,$BJ228)))</f>
        <v/>
      </c>
      <c r="AX228" s="6">
        <f>IF(OR($BJ228="",49&gt;設定!$B$3),"",IF(INDEX(原始資料!AZ$2:AZ$501,$BJ228)="","",INDEX(原始資料!AZ$2:AZ$501,$BJ228)))</f>
        <v/>
      </c>
      <c r="AY228" s="6">
        <f>IF(OR($BJ228="",50&gt;設定!$B$3),"",IF(INDEX(原始資料!BA$2:BA$501,$BJ228)="","",INDEX(原始資料!BA$2:BA$501,$BJ228)))</f>
        <v/>
      </c>
      <c r="AZ228" s="6">
        <f>IF(OR($BJ228="",51&gt;設定!$B$3),"",IF(INDEX(原始資料!BB$2:BB$501,$BJ228)="","",INDEX(原始資料!BB$2:BB$501,$BJ228)))</f>
        <v/>
      </c>
      <c r="BA228" s="6">
        <f>IF(OR($BJ228="",52&gt;設定!$B$3),"",IF(INDEX(原始資料!BC$2:BC$501,$BJ228)="","",INDEX(原始資料!BC$2:BC$501,$BJ228)))</f>
        <v/>
      </c>
      <c r="BB228" s="6">
        <f>IF(OR($BJ228="",53&gt;設定!$B$3),"",IF(INDEX(原始資料!BD$2:BD$501,$BJ228)="","",INDEX(原始資料!BD$2:BD$501,$BJ228)))</f>
        <v/>
      </c>
      <c r="BC228" s="6">
        <f>IF(OR($BJ228="",54&gt;設定!$B$3),"",IF(INDEX(原始資料!BE$2:BE$501,$BJ228)="","",INDEX(原始資料!BE$2:BE$501,$BJ228)))</f>
        <v/>
      </c>
      <c r="BD228" s="6">
        <f>IF(OR($BJ228="",55&gt;設定!$B$3),"",IF(INDEX(原始資料!BF$2:BF$501,$BJ228)="","",INDEX(原始資料!BF$2:BF$501,$BJ228)))</f>
        <v/>
      </c>
      <c r="BE228" s="6">
        <f>IF(OR($BJ228="",56&gt;設定!$B$3),"",IF(INDEX(原始資料!BG$2:BG$501,$BJ228)="","",INDEX(原始資料!BG$2:BG$501,$BJ228)))</f>
        <v/>
      </c>
      <c r="BF228" s="6">
        <f>IF(OR($BJ228="",57&gt;設定!$B$3),"",IF(INDEX(原始資料!BH$2:BH$501,$BJ228)="","",INDEX(原始資料!BH$2:BH$501,$BJ228)))</f>
        <v/>
      </c>
      <c r="BG228" s="6">
        <f>IF(OR($BJ228="",58&gt;設定!$B$3),"",IF(INDEX(原始資料!BI$2:BI$501,$BJ228)="","",INDEX(原始資料!BI$2:BI$501,$BJ228)))</f>
        <v/>
      </c>
      <c r="BH228" s="6">
        <f>IF(OR($BJ228="",59&gt;設定!$B$3),"",IF(INDEX(原始資料!BJ$2:BJ$501,$BJ228)="","",INDEX(原始資料!BJ$2:BJ$501,$BJ228)))</f>
        <v/>
      </c>
      <c r="BI228" s="6">
        <f>IF(OR($BJ228="",60&gt;設定!$B$3),"",IF(INDEX(原始資料!BK$2:BK$501,$BJ228)="","",INDEX(原始資料!BK$2:BK$501,$BJ228)))</f>
        <v/>
      </c>
      <c r="BJ228" s="6">
        <f>IFERROR(MATCH(ROW()-1,判定!$H$2:$H$501,0),"")</f>
        <v/>
      </c>
    </row>
    <row r="229">
      <c r="A229" s="6">
        <f>IF($BJ229="","",INDEX(原始資料!$A$2:$A$501,$BJ229))</f>
        <v/>
      </c>
      <c r="B229" s="6">
        <f>IF(OR($BJ229="",1&gt;設定!$B$3),"",IF(INDEX(原始資料!D$2:D$501,$BJ229)="","",INDEX(原始資料!D$2:D$501,$BJ229)))</f>
        <v/>
      </c>
      <c r="C229" s="6">
        <f>IF(OR($BJ229="",2&gt;設定!$B$3),"",IF(INDEX(原始資料!E$2:E$501,$BJ229)="","",INDEX(原始資料!E$2:E$501,$BJ229)))</f>
        <v/>
      </c>
      <c r="D229" s="6">
        <f>IF(OR($BJ229="",3&gt;設定!$B$3),"",IF(INDEX(原始資料!F$2:F$501,$BJ229)="","",INDEX(原始資料!F$2:F$501,$BJ229)))</f>
        <v/>
      </c>
      <c r="E229" s="6">
        <f>IF(OR($BJ229="",4&gt;設定!$B$3),"",IF(INDEX(原始資料!G$2:G$501,$BJ229)="","",INDEX(原始資料!G$2:G$501,$BJ229)))</f>
        <v/>
      </c>
      <c r="F229" s="6">
        <f>IF(OR($BJ229="",5&gt;設定!$B$3),"",IF(INDEX(原始資料!H$2:H$501,$BJ229)="","",INDEX(原始資料!H$2:H$501,$BJ229)))</f>
        <v/>
      </c>
      <c r="G229" s="6">
        <f>IF(OR($BJ229="",6&gt;設定!$B$3),"",IF(INDEX(原始資料!I$2:I$501,$BJ229)="","",INDEX(原始資料!I$2:I$501,$BJ229)))</f>
        <v/>
      </c>
      <c r="H229" s="6">
        <f>IF(OR($BJ229="",7&gt;設定!$B$3),"",IF(INDEX(原始資料!J$2:J$501,$BJ229)="","",INDEX(原始資料!J$2:J$501,$BJ229)))</f>
        <v/>
      </c>
      <c r="I229" s="6">
        <f>IF(OR($BJ229="",8&gt;設定!$B$3),"",IF(INDEX(原始資料!K$2:K$501,$BJ229)="","",INDEX(原始資料!K$2:K$501,$BJ229)))</f>
        <v/>
      </c>
      <c r="J229" s="6">
        <f>IF(OR($BJ229="",9&gt;設定!$B$3),"",IF(INDEX(原始資料!L$2:L$501,$BJ229)="","",INDEX(原始資料!L$2:L$501,$BJ229)))</f>
        <v/>
      </c>
      <c r="K229" s="6">
        <f>IF(OR($BJ229="",10&gt;設定!$B$3),"",IF(INDEX(原始資料!M$2:M$501,$BJ229)="","",INDEX(原始資料!M$2:M$501,$BJ229)))</f>
        <v/>
      </c>
      <c r="L229" s="6">
        <f>IF(OR($BJ229="",11&gt;設定!$B$3),"",IF(INDEX(原始資料!N$2:N$501,$BJ229)="","",INDEX(原始資料!N$2:N$501,$BJ229)))</f>
        <v/>
      </c>
      <c r="M229" s="6">
        <f>IF(OR($BJ229="",12&gt;設定!$B$3),"",IF(INDEX(原始資料!O$2:O$501,$BJ229)="","",INDEX(原始資料!O$2:O$501,$BJ229)))</f>
        <v/>
      </c>
      <c r="N229" s="6">
        <f>IF(OR($BJ229="",13&gt;設定!$B$3),"",IF(INDEX(原始資料!P$2:P$501,$BJ229)="","",INDEX(原始資料!P$2:P$501,$BJ229)))</f>
        <v/>
      </c>
      <c r="O229" s="6">
        <f>IF(OR($BJ229="",14&gt;設定!$B$3),"",IF(INDEX(原始資料!Q$2:Q$501,$BJ229)="","",INDEX(原始資料!Q$2:Q$501,$BJ229)))</f>
        <v/>
      </c>
      <c r="P229" s="6">
        <f>IF(OR($BJ229="",15&gt;設定!$B$3),"",IF(INDEX(原始資料!R$2:R$501,$BJ229)="","",INDEX(原始資料!R$2:R$501,$BJ229)))</f>
        <v/>
      </c>
      <c r="Q229" s="6">
        <f>IF(OR($BJ229="",16&gt;設定!$B$3),"",IF(INDEX(原始資料!S$2:S$501,$BJ229)="","",INDEX(原始資料!S$2:S$501,$BJ229)))</f>
        <v/>
      </c>
      <c r="R229" s="6">
        <f>IF(OR($BJ229="",17&gt;設定!$B$3),"",IF(INDEX(原始資料!T$2:T$501,$BJ229)="","",INDEX(原始資料!T$2:T$501,$BJ229)))</f>
        <v/>
      </c>
      <c r="S229" s="6">
        <f>IF(OR($BJ229="",18&gt;設定!$B$3),"",IF(INDEX(原始資料!U$2:U$501,$BJ229)="","",INDEX(原始資料!U$2:U$501,$BJ229)))</f>
        <v/>
      </c>
      <c r="T229" s="6">
        <f>IF(OR($BJ229="",19&gt;設定!$B$3),"",IF(INDEX(原始資料!V$2:V$501,$BJ229)="","",INDEX(原始資料!V$2:V$501,$BJ229)))</f>
        <v/>
      </c>
      <c r="U229" s="6">
        <f>IF(OR($BJ229="",20&gt;設定!$B$3),"",IF(INDEX(原始資料!W$2:W$501,$BJ229)="","",INDEX(原始資料!W$2:W$501,$BJ229)))</f>
        <v/>
      </c>
      <c r="V229" s="6">
        <f>IF(OR($BJ229="",21&gt;設定!$B$3),"",IF(INDEX(原始資料!X$2:X$501,$BJ229)="","",INDEX(原始資料!X$2:X$501,$BJ229)))</f>
        <v/>
      </c>
      <c r="W229" s="6">
        <f>IF(OR($BJ229="",22&gt;設定!$B$3),"",IF(INDEX(原始資料!Y$2:Y$501,$BJ229)="","",INDEX(原始資料!Y$2:Y$501,$BJ229)))</f>
        <v/>
      </c>
      <c r="X229" s="6">
        <f>IF(OR($BJ229="",23&gt;設定!$B$3),"",IF(INDEX(原始資料!Z$2:Z$501,$BJ229)="","",INDEX(原始資料!Z$2:Z$501,$BJ229)))</f>
        <v/>
      </c>
      <c r="Y229" s="6">
        <f>IF(OR($BJ229="",24&gt;設定!$B$3),"",IF(INDEX(原始資料!AA$2:AA$501,$BJ229)="","",INDEX(原始資料!AA$2:AA$501,$BJ229)))</f>
        <v/>
      </c>
      <c r="Z229" s="6">
        <f>IF(OR($BJ229="",25&gt;設定!$B$3),"",IF(INDEX(原始資料!AB$2:AB$501,$BJ229)="","",INDEX(原始資料!AB$2:AB$501,$BJ229)))</f>
        <v/>
      </c>
      <c r="AA229" s="6">
        <f>IF(OR($BJ229="",26&gt;設定!$B$3),"",IF(INDEX(原始資料!AC$2:AC$501,$BJ229)="","",INDEX(原始資料!AC$2:AC$501,$BJ229)))</f>
        <v/>
      </c>
      <c r="AB229" s="6">
        <f>IF(OR($BJ229="",27&gt;設定!$B$3),"",IF(INDEX(原始資料!AD$2:AD$501,$BJ229)="","",INDEX(原始資料!AD$2:AD$501,$BJ229)))</f>
        <v/>
      </c>
      <c r="AC229" s="6">
        <f>IF(OR($BJ229="",28&gt;設定!$B$3),"",IF(INDEX(原始資料!AE$2:AE$501,$BJ229)="","",INDEX(原始資料!AE$2:AE$501,$BJ229)))</f>
        <v/>
      </c>
      <c r="AD229" s="6">
        <f>IF(OR($BJ229="",29&gt;設定!$B$3),"",IF(INDEX(原始資料!AF$2:AF$501,$BJ229)="","",INDEX(原始資料!AF$2:AF$501,$BJ229)))</f>
        <v/>
      </c>
      <c r="AE229" s="6">
        <f>IF(OR($BJ229="",30&gt;設定!$B$3),"",IF(INDEX(原始資料!AG$2:AG$501,$BJ229)="","",INDEX(原始資料!AG$2:AG$501,$BJ229)))</f>
        <v/>
      </c>
      <c r="AF229" s="6">
        <f>IF(OR($BJ229="",31&gt;設定!$B$3),"",IF(INDEX(原始資料!AH$2:AH$501,$BJ229)="","",INDEX(原始資料!AH$2:AH$501,$BJ229)))</f>
        <v/>
      </c>
      <c r="AG229" s="6">
        <f>IF(OR($BJ229="",32&gt;設定!$B$3),"",IF(INDEX(原始資料!AI$2:AI$501,$BJ229)="","",INDEX(原始資料!AI$2:AI$501,$BJ229)))</f>
        <v/>
      </c>
      <c r="AH229" s="6">
        <f>IF(OR($BJ229="",33&gt;設定!$B$3),"",IF(INDEX(原始資料!AJ$2:AJ$501,$BJ229)="","",INDEX(原始資料!AJ$2:AJ$501,$BJ229)))</f>
        <v/>
      </c>
      <c r="AI229" s="6">
        <f>IF(OR($BJ229="",34&gt;設定!$B$3),"",IF(INDEX(原始資料!AK$2:AK$501,$BJ229)="","",INDEX(原始資料!AK$2:AK$501,$BJ229)))</f>
        <v/>
      </c>
      <c r="AJ229" s="6">
        <f>IF(OR($BJ229="",35&gt;設定!$B$3),"",IF(INDEX(原始資料!AL$2:AL$501,$BJ229)="","",INDEX(原始資料!AL$2:AL$501,$BJ229)))</f>
        <v/>
      </c>
      <c r="AK229" s="6">
        <f>IF(OR($BJ229="",36&gt;設定!$B$3),"",IF(INDEX(原始資料!AM$2:AM$501,$BJ229)="","",INDEX(原始資料!AM$2:AM$501,$BJ229)))</f>
        <v/>
      </c>
      <c r="AL229" s="6">
        <f>IF(OR($BJ229="",37&gt;設定!$B$3),"",IF(INDEX(原始資料!AN$2:AN$501,$BJ229)="","",INDEX(原始資料!AN$2:AN$501,$BJ229)))</f>
        <v/>
      </c>
      <c r="AM229" s="6">
        <f>IF(OR($BJ229="",38&gt;設定!$B$3),"",IF(INDEX(原始資料!AO$2:AO$501,$BJ229)="","",INDEX(原始資料!AO$2:AO$501,$BJ229)))</f>
        <v/>
      </c>
      <c r="AN229" s="6">
        <f>IF(OR($BJ229="",39&gt;設定!$B$3),"",IF(INDEX(原始資料!AP$2:AP$501,$BJ229)="","",INDEX(原始資料!AP$2:AP$501,$BJ229)))</f>
        <v/>
      </c>
      <c r="AO229" s="6">
        <f>IF(OR($BJ229="",40&gt;設定!$B$3),"",IF(INDEX(原始資料!AQ$2:AQ$501,$BJ229)="","",INDEX(原始資料!AQ$2:AQ$501,$BJ229)))</f>
        <v/>
      </c>
      <c r="AP229" s="6">
        <f>IF(OR($BJ229="",41&gt;設定!$B$3),"",IF(INDEX(原始資料!AR$2:AR$501,$BJ229)="","",INDEX(原始資料!AR$2:AR$501,$BJ229)))</f>
        <v/>
      </c>
      <c r="AQ229" s="6">
        <f>IF(OR($BJ229="",42&gt;設定!$B$3),"",IF(INDEX(原始資料!AS$2:AS$501,$BJ229)="","",INDEX(原始資料!AS$2:AS$501,$BJ229)))</f>
        <v/>
      </c>
      <c r="AR229" s="6">
        <f>IF(OR($BJ229="",43&gt;設定!$B$3),"",IF(INDEX(原始資料!AT$2:AT$501,$BJ229)="","",INDEX(原始資料!AT$2:AT$501,$BJ229)))</f>
        <v/>
      </c>
      <c r="AS229" s="6">
        <f>IF(OR($BJ229="",44&gt;設定!$B$3),"",IF(INDEX(原始資料!AU$2:AU$501,$BJ229)="","",INDEX(原始資料!AU$2:AU$501,$BJ229)))</f>
        <v/>
      </c>
      <c r="AT229" s="6">
        <f>IF(OR($BJ229="",45&gt;設定!$B$3),"",IF(INDEX(原始資料!AV$2:AV$501,$BJ229)="","",INDEX(原始資料!AV$2:AV$501,$BJ229)))</f>
        <v/>
      </c>
      <c r="AU229" s="6">
        <f>IF(OR($BJ229="",46&gt;設定!$B$3),"",IF(INDEX(原始資料!AW$2:AW$501,$BJ229)="","",INDEX(原始資料!AW$2:AW$501,$BJ229)))</f>
        <v/>
      </c>
      <c r="AV229" s="6">
        <f>IF(OR($BJ229="",47&gt;設定!$B$3),"",IF(INDEX(原始資料!AX$2:AX$501,$BJ229)="","",INDEX(原始資料!AX$2:AX$501,$BJ229)))</f>
        <v/>
      </c>
      <c r="AW229" s="6">
        <f>IF(OR($BJ229="",48&gt;設定!$B$3),"",IF(INDEX(原始資料!AY$2:AY$501,$BJ229)="","",INDEX(原始資料!AY$2:AY$501,$BJ229)))</f>
        <v/>
      </c>
      <c r="AX229" s="6">
        <f>IF(OR($BJ229="",49&gt;設定!$B$3),"",IF(INDEX(原始資料!AZ$2:AZ$501,$BJ229)="","",INDEX(原始資料!AZ$2:AZ$501,$BJ229)))</f>
        <v/>
      </c>
      <c r="AY229" s="6">
        <f>IF(OR($BJ229="",50&gt;設定!$B$3),"",IF(INDEX(原始資料!BA$2:BA$501,$BJ229)="","",INDEX(原始資料!BA$2:BA$501,$BJ229)))</f>
        <v/>
      </c>
      <c r="AZ229" s="6">
        <f>IF(OR($BJ229="",51&gt;設定!$B$3),"",IF(INDEX(原始資料!BB$2:BB$501,$BJ229)="","",INDEX(原始資料!BB$2:BB$501,$BJ229)))</f>
        <v/>
      </c>
      <c r="BA229" s="6">
        <f>IF(OR($BJ229="",52&gt;設定!$B$3),"",IF(INDEX(原始資料!BC$2:BC$501,$BJ229)="","",INDEX(原始資料!BC$2:BC$501,$BJ229)))</f>
        <v/>
      </c>
      <c r="BB229" s="6">
        <f>IF(OR($BJ229="",53&gt;設定!$B$3),"",IF(INDEX(原始資料!BD$2:BD$501,$BJ229)="","",INDEX(原始資料!BD$2:BD$501,$BJ229)))</f>
        <v/>
      </c>
      <c r="BC229" s="6">
        <f>IF(OR($BJ229="",54&gt;設定!$B$3),"",IF(INDEX(原始資料!BE$2:BE$501,$BJ229)="","",INDEX(原始資料!BE$2:BE$501,$BJ229)))</f>
        <v/>
      </c>
      <c r="BD229" s="6">
        <f>IF(OR($BJ229="",55&gt;設定!$B$3),"",IF(INDEX(原始資料!BF$2:BF$501,$BJ229)="","",INDEX(原始資料!BF$2:BF$501,$BJ229)))</f>
        <v/>
      </c>
      <c r="BE229" s="6">
        <f>IF(OR($BJ229="",56&gt;設定!$B$3),"",IF(INDEX(原始資料!BG$2:BG$501,$BJ229)="","",INDEX(原始資料!BG$2:BG$501,$BJ229)))</f>
        <v/>
      </c>
      <c r="BF229" s="6">
        <f>IF(OR($BJ229="",57&gt;設定!$B$3),"",IF(INDEX(原始資料!BH$2:BH$501,$BJ229)="","",INDEX(原始資料!BH$2:BH$501,$BJ229)))</f>
        <v/>
      </c>
      <c r="BG229" s="6">
        <f>IF(OR($BJ229="",58&gt;設定!$B$3),"",IF(INDEX(原始資料!BI$2:BI$501,$BJ229)="","",INDEX(原始資料!BI$2:BI$501,$BJ229)))</f>
        <v/>
      </c>
      <c r="BH229" s="6">
        <f>IF(OR($BJ229="",59&gt;設定!$B$3),"",IF(INDEX(原始資料!BJ$2:BJ$501,$BJ229)="","",INDEX(原始資料!BJ$2:BJ$501,$BJ229)))</f>
        <v/>
      </c>
      <c r="BI229" s="6">
        <f>IF(OR($BJ229="",60&gt;設定!$B$3),"",IF(INDEX(原始資料!BK$2:BK$501,$BJ229)="","",INDEX(原始資料!BK$2:BK$501,$BJ229)))</f>
        <v/>
      </c>
      <c r="BJ229" s="6">
        <f>IFERROR(MATCH(ROW()-1,判定!$H$2:$H$501,0),"")</f>
        <v/>
      </c>
    </row>
    <row r="230">
      <c r="A230" s="6">
        <f>IF($BJ230="","",INDEX(原始資料!$A$2:$A$501,$BJ230))</f>
        <v/>
      </c>
      <c r="B230" s="6">
        <f>IF(OR($BJ230="",1&gt;設定!$B$3),"",IF(INDEX(原始資料!D$2:D$501,$BJ230)="","",INDEX(原始資料!D$2:D$501,$BJ230)))</f>
        <v/>
      </c>
      <c r="C230" s="6">
        <f>IF(OR($BJ230="",2&gt;設定!$B$3),"",IF(INDEX(原始資料!E$2:E$501,$BJ230)="","",INDEX(原始資料!E$2:E$501,$BJ230)))</f>
        <v/>
      </c>
      <c r="D230" s="6">
        <f>IF(OR($BJ230="",3&gt;設定!$B$3),"",IF(INDEX(原始資料!F$2:F$501,$BJ230)="","",INDEX(原始資料!F$2:F$501,$BJ230)))</f>
        <v/>
      </c>
      <c r="E230" s="6">
        <f>IF(OR($BJ230="",4&gt;設定!$B$3),"",IF(INDEX(原始資料!G$2:G$501,$BJ230)="","",INDEX(原始資料!G$2:G$501,$BJ230)))</f>
        <v/>
      </c>
      <c r="F230" s="6">
        <f>IF(OR($BJ230="",5&gt;設定!$B$3),"",IF(INDEX(原始資料!H$2:H$501,$BJ230)="","",INDEX(原始資料!H$2:H$501,$BJ230)))</f>
        <v/>
      </c>
      <c r="G230" s="6">
        <f>IF(OR($BJ230="",6&gt;設定!$B$3),"",IF(INDEX(原始資料!I$2:I$501,$BJ230)="","",INDEX(原始資料!I$2:I$501,$BJ230)))</f>
        <v/>
      </c>
      <c r="H230" s="6">
        <f>IF(OR($BJ230="",7&gt;設定!$B$3),"",IF(INDEX(原始資料!J$2:J$501,$BJ230)="","",INDEX(原始資料!J$2:J$501,$BJ230)))</f>
        <v/>
      </c>
      <c r="I230" s="6">
        <f>IF(OR($BJ230="",8&gt;設定!$B$3),"",IF(INDEX(原始資料!K$2:K$501,$BJ230)="","",INDEX(原始資料!K$2:K$501,$BJ230)))</f>
        <v/>
      </c>
      <c r="J230" s="6">
        <f>IF(OR($BJ230="",9&gt;設定!$B$3),"",IF(INDEX(原始資料!L$2:L$501,$BJ230)="","",INDEX(原始資料!L$2:L$501,$BJ230)))</f>
        <v/>
      </c>
      <c r="K230" s="6">
        <f>IF(OR($BJ230="",10&gt;設定!$B$3),"",IF(INDEX(原始資料!M$2:M$501,$BJ230)="","",INDEX(原始資料!M$2:M$501,$BJ230)))</f>
        <v/>
      </c>
      <c r="L230" s="6">
        <f>IF(OR($BJ230="",11&gt;設定!$B$3),"",IF(INDEX(原始資料!N$2:N$501,$BJ230)="","",INDEX(原始資料!N$2:N$501,$BJ230)))</f>
        <v/>
      </c>
      <c r="M230" s="6">
        <f>IF(OR($BJ230="",12&gt;設定!$B$3),"",IF(INDEX(原始資料!O$2:O$501,$BJ230)="","",INDEX(原始資料!O$2:O$501,$BJ230)))</f>
        <v/>
      </c>
      <c r="N230" s="6">
        <f>IF(OR($BJ230="",13&gt;設定!$B$3),"",IF(INDEX(原始資料!P$2:P$501,$BJ230)="","",INDEX(原始資料!P$2:P$501,$BJ230)))</f>
        <v/>
      </c>
      <c r="O230" s="6">
        <f>IF(OR($BJ230="",14&gt;設定!$B$3),"",IF(INDEX(原始資料!Q$2:Q$501,$BJ230)="","",INDEX(原始資料!Q$2:Q$501,$BJ230)))</f>
        <v/>
      </c>
      <c r="P230" s="6">
        <f>IF(OR($BJ230="",15&gt;設定!$B$3),"",IF(INDEX(原始資料!R$2:R$501,$BJ230)="","",INDEX(原始資料!R$2:R$501,$BJ230)))</f>
        <v/>
      </c>
      <c r="Q230" s="6">
        <f>IF(OR($BJ230="",16&gt;設定!$B$3),"",IF(INDEX(原始資料!S$2:S$501,$BJ230)="","",INDEX(原始資料!S$2:S$501,$BJ230)))</f>
        <v/>
      </c>
      <c r="R230" s="6">
        <f>IF(OR($BJ230="",17&gt;設定!$B$3),"",IF(INDEX(原始資料!T$2:T$501,$BJ230)="","",INDEX(原始資料!T$2:T$501,$BJ230)))</f>
        <v/>
      </c>
      <c r="S230" s="6">
        <f>IF(OR($BJ230="",18&gt;設定!$B$3),"",IF(INDEX(原始資料!U$2:U$501,$BJ230)="","",INDEX(原始資料!U$2:U$501,$BJ230)))</f>
        <v/>
      </c>
      <c r="T230" s="6">
        <f>IF(OR($BJ230="",19&gt;設定!$B$3),"",IF(INDEX(原始資料!V$2:V$501,$BJ230)="","",INDEX(原始資料!V$2:V$501,$BJ230)))</f>
        <v/>
      </c>
      <c r="U230" s="6">
        <f>IF(OR($BJ230="",20&gt;設定!$B$3),"",IF(INDEX(原始資料!W$2:W$501,$BJ230)="","",INDEX(原始資料!W$2:W$501,$BJ230)))</f>
        <v/>
      </c>
      <c r="V230" s="6">
        <f>IF(OR($BJ230="",21&gt;設定!$B$3),"",IF(INDEX(原始資料!X$2:X$501,$BJ230)="","",INDEX(原始資料!X$2:X$501,$BJ230)))</f>
        <v/>
      </c>
      <c r="W230" s="6">
        <f>IF(OR($BJ230="",22&gt;設定!$B$3),"",IF(INDEX(原始資料!Y$2:Y$501,$BJ230)="","",INDEX(原始資料!Y$2:Y$501,$BJ230)))</f>
        <v/>
      </c>
      <c r="X230" s="6">
        <f>IF(OR($BJ230="",23&gt;設定!$B$3),"",IF(INDEX(原始資料!Z$2:Z$501,$BJ230)="","",INDEX(原始資料!Z$2:Z$501,$BJ230)))</f>
        <v/>
      </c>
      <c r="Y230" s="6">
        <f>IF(OR($BJ230="",24&gt;設定!$B$3),"",IF(INDEX(原始資料!AA$2:AA$501,$BJ230)="","",INDEX(原始資料!AA$2:AA$501,$BJ230)))</f>
        <v/>
      </c>
      <c r="Z230" s="6">
        <f>IF(OR($BJ230="",25&gt;設定!$B$3),"",IF(INDEX(原始資料!AB$2:AB$501,$BJ230)="","",INDEX(原始資料!AB$2:AB$501,$BJ230)))</f>
        <v/>
      </c>
      <c r="AA230" s="6">
        <f>IF(OR($BJ230="",26&gt;設定!$B$3),"",IF(INDEX(原始資料!AC$2:AC$501,$BJ230)="","",INDEX(原始資料!AC$2:AC$501,$BJ230)))</f>
        <v/>
      </c>
      <c r="AB230" s="6">
        <f>IF(OR($BJ230="",27&gt;設定!$B$3),"",IF(INDEX(原始資料!AD$2:AD$501,$BJ230)="","",INDEX(原始資料!AD$2:AD$501,$BJ230)))</f>
        <v/>
      </c>
      <c r="AC230" s="6">
        <f>IF(OR($BJ230="",28&gt;設定!$B$3),"",IF(INDEX(原始資料!AE$2:AE$501,$BJ230)="","",INDEX(原始資料!AE$2:AE$501,$BJ230)))</f>
        <v/>
      </c>
      <c r="AD230" s="6">
        <f>IF(OR($BJ230="",29&gt;設定!$B$3),"",IF(INDEX(原始資料!AF$2:AF$501,$BJ230)="","",INDEX(原始資料!AF$2:AF$501,$BJ230)))</f>
        <v/>
      </c>
      <c r="AE230" s="6">
        <f>IF(OR($BJ230="",30&gt;設定!$B$3),"",IF(INDEX(原始資料!AG$2:AG$501,$BJ230)="","",INDEX(原始資料!AG$2:AG$501,$BJ230)))</f>
        <v/>
      </c>
      <c r="AF230" s="6">
        <f>IF(OR($BJ230="",31&gt;設定!$B$3),"",IF(INDEX(原始資料!AH$2:AH$501,$BJ230)="","",INDEX(原始資料!AH$2:AH$501,$BJ230)))</f>
        <v/>
      </c>
      <c r="AG230" s="6">
        <f>IF(OR($BJ230="",32&gt;設定!$B$3),"",IF(INDEX(原始資料!AI$2:AI$501,$BJ230)="","",INDEX(原始資料!AI$2:AI$501,$BJ230)))</f>
        <v/>
      </c>
      <c r="AH230" s="6">
        <f>IF(OR($BJ230="",33&gt;設定!$B$3),"",IF(INDEX(原始資料!AJ$2:AJ$501,$BJ230)="","",INDEX(原始資料!AJ$2:AJ$501,$BJ230)))</f>
        <v/>
      </c>
      <c r="AI230" s="6">
        <f>IF(OR($BJ230="",34&gt;設定!$B$3),"",IF(INDEX(原始資料!AK$2:AK$501,$BJ230)="","",INDEX(原始資料!AK$2:AK$501,$BJ230)))</f>
        <v/>
      </c>
      <c r="AJ230" s="6">
        <f>IF(OR($BJ230="",35&gt;設定!$B$3),"",IF(INDEX(原始資料!AL$2:AL$501,$BJ230)="","",INDEX(原始資料!AL$2:AL$501,$BJ230)))</f>
        <v/>
      </c>
      <c r="AK230" s="6">
        <f>IF(OR($BJ230="",36&gt;設定!$B$3),"",IF(INDEX(原始資料!AM$2:AM$501,$BJ230)="","",INDEX(原始資料!AM$2:AM$501,$BJ230)))</f>
        <v/>
      </c>
      <c r="AL230" s="6">
        <f>IF(OR($BJ230="",37&gt;設定!$B$3),"",IF(INDEX(原始資料!AN$2:AN$501,$BJ230)="","",INDEX(原始資料!AN$2:AN$501,$BJ230)))</f>
        <v/>
      </c>
      <c r="AM230" s="6">
        <f>IF(OR($BJ230="",38&gt;設定!$B$3),"",IF(INDEX(原始資料!AO$2:AO$501,$BJ230)="","",INDEX(原始資料!AO$2:AO$501,$BJ230)))</f>
        <v/>
      </c>
      <c r="AN230" s="6">
        <f>IF(OR($BJ230="",39&gt;設定!$B$3),"",IF(INDEX(原始資料!AP$2:AP$501,$BJ230)="","",INDEX(原始資料!AP$2:AP$501,$BJ230)))</f>
        <v/>
      </c>
      <c r="AO230" s="6">
        <f>IF(OR($BJ230="",40&gt;設定!$B$3),"",IF(INDEX(原始資料!AQ$2:AQ$501,$BJ230)="","",INDEX(原始資料!AQ$2:AQ$501,$BJ230)))</f>
        <v/>
      </c>
      <c r="AP230" s="6">
        <f>IF(OR($BJ230="",41&gt;設定!$B$3),"",IF(INDEX(原始資料!AR$2:AR$501,$BJ230)="","",INDEX(原始資料!AR$2:AR$501,$BJ230)))</f>
        <v/>
      </c>
      <c r="AQ230" s="6">
        <f>IF(OR($BJ230="",42&gt;設定!$B$3),"",IF(INDEX(原始資料!AS$2:AS$501,$BJ230)="","",INDEX(原始資料!AS$2:AS$501,$BJ230)))</f>
        <v/>
      </c>
      <c r="AR230" s="6">
        <f>IF(OR($BJ230="",43&gt;設定!$B$3),"",IF(INDEX(原始資料!AT$2:AT$501,$BJ230)="","",INDEX(原始資料!AT$2:AT$501,$BJ230)))</f>
        <v/>
      </c>
      <c r="AS230" s="6">
        <f>IF(OR($BJ230="",44&gt;設定!$B$3),"",IF(INDEX(原始資料!AU$2:AU$501,$BJ230)="","",INDEX(原始資料!AU$2:AU$501,$BJ230)))</f>
        <v/>
      </c>
      <c r="AT230" s="6">
        <f>IF(OR($BJ230="",45&gt;設定!$B$3),"",IF(INDEX(原始資料!AV$2:AV$501,$BJ230)="","",INDEX(原始資料!AV$2:AV$501,$BJ230)))</f>
        <v/>
      </c>
      <c r="AU230" s="6">
        <f>IF(OR($BJ230="",46&gt;設定!$B$3),"",IF(INDEX(原始資料!AW$2:AW$501,$BJ230)="","",INDEX(原始資料!AW$2:AW$501,$BJ230)))</f>
        <v/>
      </c>
      <c r="AV230" s="6">
        <f>IF(OR($BJ230="",47&gt;設定!$B$3),"",IF(INDEX(原始資料!AX$2:AX$501,$BJ230)="","",INDEX(原始資料!AX$2:AX$501,$BJ230)))</f>
        <v/>
      </c>
      <c r="AW230" s="6">
        <f>IF(OR($BJ230="",48&gt;設定!$B$3),"",IF(INDEX(原始資料!AY$2:AY$501,$BJ230)="","",INDEX(原始資料!AY$2:AY$501,$BJ230)))</f>
        <v/>
      </c>
      <c r="AX230" s="6">
        <f>IF(OR($BJ230="",49&gt;設定!$B$3),"",IF(INDEX(原始資料!AZ$2:AZ$501,$BJ230)="","",INDEX(原始資料!AZ$2:AZ$501,$BJ230)))</f>
        <v/>
      </c>
      <c r="AY230" s="6">
        <f>IF(OR($BJ230="",50&gt;設定!$B$3),"",IF(INDEX(原始資料!BA$2:BA$501,$BJ230)="","",INDEX(原始資料!BA$2:BA$501,$BJ230)))</f>
        <v/>
      </c>
      <c r="AZ230" s="6">
        <f>IF(OR($BJ230="",51&gt;設定!$B$3),"",IF(INDEX(原始資料!BB$2:BB$501,$BJ230)="","",INDEX(原始資料!BB$2:BB$501,$BJ230)))</f>
        <v/>
      </c>
      <c r="BA230" s="6">
        <f>IF(OR($BJ230="",52&gt;設定!$B$3),"",IF(INDEX(原始資料!BC$2:BC$501,$BJ230)="","",INDEX(原始資料!BC$2:BC$501,$BJ230)))</f>
        <v/>
      </c>
      <c r="BB230" s="6">
        <f>IF(OR($BJ230="",53&gt;設定!$B$3),"",IF(INDEX(原始資料!BD$2:BD$501,$BJ230)="","",INDEX(原始資料!BD$2:BD$501,$BJ230)))</f>
        <v/>
      </c>
      <c r="BC230" s="6">
        <f>IF(OR($BJ230="",54&gt;設定!$B$3),"",IF(INDEX(原始資料!BE$2:BE$501,$BJ230)="","",INDEX(原始資料!BE$2:BE$501,$BJ230)))</f>
        <v/>
      </c>
      <c r="BD230" s="6">
        <f>IF(OR($BJ230="",55&gt;設定!$B$3),"",IF(INDEX(原始資料!BF$2:BF$501,$BJ230)="","",INDEX(原始資料!BF$2:BF$501,$BJ230)))</f>
        <v/>
      </c>
      <c r="BE230" s="6">
        <f>IF(OR($BJ230="",56&gt;設定!$B$3),"",IF(INDEX(原始資料!BG$2:BG$501,$BJ230)="","",INDEX(原始資料!BG$2:BG$501,$BJ230)))</f>
        <v/>
      </c>
      <c r="BF230" s="6">
        <f>IF(OR($BJ230="",57&gt;設定!$B$3),"",IF(INDEX(原始資料!BH$2:BH$501,$BJ230)="","",INDEX(原始資料!BH$2:BH$501,$BJ230)))</f>
        <v/>
      </c>
      <c r="BG230" s="6">
        <f>IF(OR($BJ230="",58&gt;設定!$B$3),"",IF(INDEX(原始資料!BI$2:BI$501,$BJ230)="","",INDEX(原始資料!BI$2:BI$501,$BJ230)))</f>
        <v/>
      </c>
      <c r="BH230" s="6">
        <f>IF(OR($BJ230="",59&gt;設定!$B$3),"",IF(INDEX(原始資料!BJ$2:BJ$501,$BJ230)="","",INDEX(原始資料!BJ$2:BJ$501,$BJ230)))</f>
        <v/>
      </c>
      <c r="BI230" s="6">
        <f>IF(OR($BJ230="",60&gt;設定!$B$3),"",IF(INDEX(原始資料!BK$2:BK$501,$BJ230)="","",INDEX(原始資料!BK$2:BK$501,$BJ230)))</f>
        <v/>
      </c>
      <c r="BJ230" s="6">
        <f>IFERROR(MATCH(ROW()-1,判定!$H$2:$H$501,0),"")</f>
        <v/>
      </c>
    </row>
    <row r="231">
      <c r="A231" s="6">
        <f>IF($BJ231="","",INDEX(原始資料!$A$2:$A$501,$BJ231))</f>
        <v/>
      </c>
      <c r="B231" s="6">
        <f>IF(OR($BJ231="",1&gt;設定!$B$3),"",IF(INDEX(原始資料!D$2:D$501,$BJ231)="","",INDEX(原始資料!D$2:D$501,$BJ231)))</f>
        <v/>
      </c>
      <c r="C231" s="6">
        <f>IF(OR($BJ231="",2&gt;設定!$B$3),"",IF(INDEX(原始資料!E$2:E$501,$BJ231)="","",INDEX(原始資料!E$2:E$501,$BJ231)))</f>
        <v/>
      </c>
      <c r="D231" s="6">
        <f>IF(OR($BJ231="",3&gt;設定!$B$3),"",IF(INDEX(原始資料!F$2:F$501,$BJ231)="","",INDEX(原始資料!F$2:F$501,$BJ231)))</f>
        <v/>
      </c>
      <c r="E231" s="6">
        <f>IF(OR($BJ231="",4&gt;設定!$B$3),"",IF(INDEX(原始資料!G$2:G$501,$BJ231)="","",INDEX(原始資料!G$2:G$501,$BJ231)))</f>
        <v/>
      </c>
      <c r="F231" s="6">
        <f>IF(OR($BJ231="",5&gt;設定!$B$3),"",IF(INDEX(原始資料!H$2:H$501,$BJ231)="","",INDEX(原始資料!H$2:H$501,$BJ231)))</f>
        <v/>
      </c>
      <c r="G231" s="6">
        <f>IF(OR($BJ231="",6&gt;設定!$B$3),"",IF(INDEX(原始資料!I$2:I$501,$BJ231)="","",INDEX(原始資料!I$2:I$501,$BJ231)))</f>
        <v/>
      </c>
      <c r="H231" s="6">
        <f>IF(OR($BJ231="",7&gt;設定!$B$3),"",IF(INDEX(原始資料!J$2:J$501,$BJ231)="","",INDEX(原始資料!J$2:J$501,$BJ231)))</f>
        <v/>
      </c>
      <c r="I231" s="6">
        <f>IF(OR($BJ231="",8&gt;設定!$B$3),"",IF(INDEX(原始資料!K$2:K$501,$BJ231)="","",INDEX(原始資料!K$2:K$501,$BJ231)))</f>
        <v/>
      </c>
      <c r="J231" s="6">
        <f>IF(OR($BJ231="",9&gt;設定!$B$3),"",IF(INDEX(原始資料!L$2:L$501,$BJ231)="","",INDEX(原始資料!L$2:L$501,$BJ231)))</f>
        <v/>
      </c>
      <c r="K231" s="6">
        <f>IF(OR($BJ231="",10&gt;設定!$B$3),"",IF(INDEX(原始資料!M$2:M$501,$BJ231)="","",INDEX(原始資料!M$2:M$501,$BJ231)))</f>
        <v/>
      </c>
      <c r="L231" s="6">
        <f>IF(OR($BJ231="",11&gt;設定!$B$3),"",IF(INDEX(原始資料!N$2:N$501,$BJ231)="","",INDEX(原始資料!N$2:N$501,$BJ231)))</f>
        <v/>
      </c>
      <c r="M231" s="6">
        <f>IF(OR($BJ231="",12&gt;設定!$B$3),"",IF(INDEX(原始資料!O$2:O$501,$BJ231)="","",INDEX(原始資料!O$2:O$501,$BJ231)))</f>
        <v/>
      </c>
      <c r="N231" s="6">
        <f>IF(OR($BJ231="",13&gt;設定!$B$3),"",IF(INDEX(原始資料!P$2:P$501,$BJ231)="","",INDEX(原始資料!P$2:P$501,$BJ231)))</f>
        <v/>
      </c>
      <c r="O231" s="6">
        <f>IF(OR($BJ231="",14&gt;設定!$B$3),"",IF(INDEX(原始資料!Q$2:Q$501,$BJ231)="","",INDEX(原始資料!Q$2:Q$501,$BJ231)))</f>
        <v/>
      </c>
      <c r="P231" s="6">
        <f>IF(OR($BJ231="",15&gt;設定!$B$3),"",IF(INDEX(原始資料!R$2:R$501,$BJ231)="","",INDEX(原始資料!R$2:R$501,$BJ231)))</f>
        <v/>
      </c>
      <c r="Q231" s="6">
        <f>IF(OR($BJ231="",16&gt;設定!$B$3),"",IF(INDEX(原始資料!S$2:S$501,$BJ231)="","",INDEX(原始資料!S$2:S$501,$BJ231)))</f>
        <v/>
      </c>
      <c r="R231" s="6">
        <f>IF(OR($BJ231="",17&gt;設定!$B$3),"",IF(INDEX(原始資料!T$2:T$501,$BJ231)="","",INDEX(原始資料!T$2:T$501,$BJ231)))</f>
        <v/>
      </c>
      <c r="S231" s="6">
        <f>IF(OR($BJ231="",18&gt;設定!$B$3),"",IF(INDEX(原始資料!U$2:U$501,$BJ231)="","",INDEX(原始資料!U$2:U$501,$BJ231)))</f>
        <v/>
      </c>
      <c r="T231" s="6">
        <f>IF(OR($BJ231="",19&gt;設定!$B$3),"",IF(INDEX(原始資料!V$2:V$501,$BJ231)="","",INDEX(原始資料!V$2:V$501,$BJ231)))</f>
        <v/>
      </c>
      <c r="U231" s="6">
        <f>IF(OR($BJ231="",20&gt;設定!$B$3),"",IF(INDEX(原始資料!W$2:W$501,$BJ231)="","",INDEX(原始資料!W$2:W$501,$BJ231)))</f>
        <v/>
      </c>
      <c r="V231" s="6">
        <f>IF(OR($BJ231="",21&gt;設定!$B$3),"",IF(INDEX(原始資料!X$2:X$501,$BJ231)="","",INDEX(原始資料!X$2:X$501,$BJ231)))</f>
        <v/>
      </c>
      <c r="W231" s="6">
        <f>IF(OR($BJ231="",22&gt;設定!$B$3),"",IF(INDEX(原始資料!Y$2:Y$501,$BJ231)="","",INDEX(原始資料!Y$2:Y$501,$BJ231)))</f>
        <v/>
      </c>
      <c r="X231" s="6">
        <f>IF(OR($BJ231="",23&gt;設定!$B$3),"",IF(INDEX(原始資料!Z$2:Z$501,$BJ231)="","",INDEX(原始資料!Z$2:Z$501,$BJ231)))</f>
        <v/>
      </c>
      <c r="Y231" s="6">
        <f>IF(OR($BJ231="",24&gt;設定!$B$3),"",IF(INDEX(原始資料!AA$2:AA$501,$BJ231)="","",INDEX(原始資料!AA$2:AA$501,$BJ231)))</f>
        <v/>
      </c>
      <c r="Z231" s="6">
        <f>IF(OR($BJ231="",25&gt;設定!$B$3),"",IF(INDEX(原始資料!AB$2:AB$501,$BJ231)="","",INDEX(原始資料!AB$2:AB$501,$BJ231)))</f>
        <v/>
      </c>
      <c r="AA231" s="6">
        <f>IF(OR($BJ231="",26&gt;設定!$B$3),"",IF(INDEX(原始資料!AC$2:AC$501,$BJ231)="","",INDEX(原始資料!AC$2:AC$501,$BJ231)))</f>
        <v/>
      </c>
      <c r="AB231" s="6">
        <f>IF(OR($BJ231="",27&gt;設定!$B$3),"",IF(INDEX(原始資料!AD$2:AD$501,$BJ231)="","",INDEX(原始資料!AD$2:AD$501,$BJ231)))</f>
        <v/>
      </c>
      <c r="AC231" s="6">
        <f>IF(OR($BJ231="",28&gt;設定!$B$3),"",IF(INDEX(原始資料!AE$2:AE$501,$BJ231)="","",INDEX(原始資料!AE$2:AE$501,$BJ231)))</f>
        <v/>
      </c>
      <c r="AD231" s="6">
        <f>IF(OR($BJ231="",29&gt;設定!$B$3),"",IF(INDEX(原始資料!AF$2:AF$501,$BJ231)="","",INDEX(原始資料!AF$2:AF$501,$BJ231)))</f>
        <v/>
      </c>
      <c r="AE231" s="6">
        <f>IF(OR($BJ231="",30&gt;設定!$B$3),"",IF(INDEX(原始資料!AG$2:AG$501,$BJ231)="","",INDEX(原始資料!AG$2:AG$501,$BJ231)))</f>
        <v/>
      </c>
      <c r="AF231" s="6">
        <f>IF(OR($BJ231="",31&gt;設定!$B$3),"",IF(INDEX(原始資料!AH$2:AH$501,$BJ231)="","",INDEX(原始資料!AH$2:AH$501,$BJ231)))</f>
        <v/>
      </c>
      <c r="AG231" s="6">
        <f>IF(OR($BJ231="",32&gt;設定!$B$3),"",IF(INDEX(原始資料!AI$2:AI$501,$BJ231)="","",INDEX(原始資料!AI$2:AI$501,$BJ231)))</f>
        <v/>
      </c>
      <c r="AH231" s="6">
        <f>IF(OR($BJ231="",33&gt;設定!$B$3),"",IF(INDEX(原始資料!AJ$2:AJ$501,$BJ231)="","",INDEX(原始資料!AJ$2:AJ$501,$BJ231)))</f>
        <v/>
      </c>
      <c r="AI231" s="6">
        <f>IF(OR($BJ231="",34&gt;設定!$B$3),"",IF(INDEX(原始資料!AK$2:AK$501,$BJ231)="","",INDEX(原始資料!AK$2:AK$501,$BJ231)))</f>
        <v/>
      </c>
      <c r="AJ231" s="6">
        <f>IF(OR($BJ231="",35&gt;設定!$B$3),"",IF(INDEX(原始資料!AL$2:AL$501,$BJ231)="","",INDEX(原始資料!AL$2:AL$501,$BJ231)))</f>
        <v/>
      </c>
      <c r="AK231" s="6">
        <f>IF(OR($BJ231="",36&gt;設定!$B$3),"",IF(INDEX(原始資料!AM$2:AM$501,$BJ231)="","",INDEX(原始資料!AM$2:AM$501,$BJ231)))</f>
        <v/>
      </c>
      <c r="AL231" s="6">
        <f>IF(OR($BJ231="",37&gt;設定!$B$3),"",IF(INDEX(原始資料!AN$2:AN$501,$BJ231)="","",INDEX(原始資料!AN$2:AN$501,$BJ231)))</f>
        <v/>
      </c>
      <c r="AM231" s="6">
        <f>IF(OR($BJ231="",38&gt;設定!$B$3),"",IF(INDEX(原始資料!AO$2:AO$501,$BJ231)="","",INDEX(原始資料!AO$2:AO$501,$BJ231)))</f>
        <v/>
      </c>
      <c r="AN231" s="6">
        <f>IF(OR($BJ231="",39&gt;設定!$B$3),"",IF(INDEX(原始資料!AP$2:AP$501,$BJ231)="","",INDEX(原始資料!AP$2:AP$501,$BJ231)))</f>
        <v/>
      </c>
      <c r="AO231" s="6">
        <f>IF(OR($BJ231="",40&gt;設定!$B$3),"",IF(INDEX(原始資料!AQ$2:AQ$501,$BJ231)="","",INDEX(原始資料!AQ$2:AQ$501,$BJ231)))</f>
        <v/>
      </c>
      <c r="AP231" s="6">
        <f>IF(OR($BJ231="",41&gt;設定!$B$3),"",IF(INDEX(原始資料!AR$2:AR$501,$BJ231)="","",INDEX(原始資料!AR$2:AR$501,$BJ231)))</f>
        <v/>
      </c>
      <c r="AQ231" s="6">
        <f>IF(OR($BJ231="",42&gt;設定!$B$3),"",IF(INDEX(原始資料!AS$2:AS$501,$BJ231)="","",INDEX(原始資料!AS$2:AS$501,$BJ231)))</f>
        <v/>
      </c>
      <c r="AR231" s="6">
        <f>IF(OR($BJ231="",43&gt;設定!$B$3),"",IF(INDEX(原始資料!AT$2:AT$501,$BJ231)="","",INDEX(原始資料!AT$2:AT$501,$BJ231)))</f>
        <v/>
      </c>
      <c r="AS231" s="6">
        <f>IF(OR($BJ231="",44&gt;設定!$B$3),"",IF(INDEX(原始資料!AU$2:AU$501,$BJ231)="","",INDEX(原始資料!AU$2:AU$501,$BJ231)))</f>
        <v/>
      </c>
      <c r="AT231" s="6">
        <f>IF(OR($BJ231="",45&gt;設定!$B$3),"",IF(INDEX(原始資料!AV$2:AV$501,$BJ231)="","",INDEX(原始資料!AV$2:AV$501,$BJ231)))</f>
        <v/>
      </c>
      <c r="AU231" s="6">
        <f>IF(OR($BJ231="",46&gt;設定!$B$3),"",IF(INDEX(原始資料!AW$2:AW$501,$BJ231)="","",INDEX(原始資料!AW$2:AW$501,$BJ231)))</f>
        <v/>
      </c>
      <c r="AV231" s="6">
        <f>IF(OR($BJ231="",47&gt;設定!$B$3),"",IF(INDEX(原始資料!AX$2:AX$501,$BJ231)="","",INDEX(原始資料!AX$2:AX$501,$BJ231)))</f>
        <v/>
      </c>
      <c r="AW231" s="6">
        <f>IF(OR($BJ231="",48&gt;設定!$B$3),"",IF(INDEX(原始資料!AY$2:AY$501,$BJ231)="","",INDEX(原始資料!AY$2:AY$501,$BJ231)))</f>
        <v/>
      </c>
      <c r="AX231" s="6">
        <f>IF(OR($BJ231="",49&gt;設定!$B$3),"",IF(INDEX(原始資料!AZ$2:AZ$501,$BJ231)="","",INDEX(原始資料!AZ$2:AZ$501,$BJ231)))</f>
        <v/>
      </c>
      <c r="AY231" s="6">
        <f>IF(OR($BJ231="",50&gt;設定!$B$3),"",IF(INDEX(原始資料!BA$2:BA$501,$BJ231)="","",INDEX(原始資料!BA$2:BA$501,$BJ231)))</f>
        <v/>
      </c>
      <c r="AZ231" s="6">
        <f>IF(OR($BJ231="",51&gt;設定!$B$3),"",IF(INDEX(原始資料!BB$2:BB$501,$BJ231)="","",INDEX(原始資料!BB$2:BB$501,$BJ231)))</f>
        <v/>
      </c>
      <c r="BA231" s="6">
        <f>IF(OR($BJ231="",52&gt;設定!$B$3),"",IF(INDEX(原始資料!BC$2:BC$501,$BJ231)="","",INDEX(原始資料!BC$2:BC$501,$BJ231)))</f>
        <v/>
      </c>
      <c r="BB231" s="6">
        <f>IF(OR($BJ231="",53&gt;設定!$B$3),"",IF(INDEX(原始資料!BD$2:BD$501,$BJ231)="","",INDEX(原始資料!BD$2:BD$501,$BJ231)))</f>
        <v/>
      </c>
      <c r="BC231" s="6">
        <f>IF(OR($BJ231="",54&gt;設定!$B$3),"",IF(INDEX(原始資料!BE$2:BE$501,$BJ231)="","",INDEX(原始資料!BE$2:BE$501,$BJ231)))</f>
        <v/>
      </c>
      <c r="BD231" s="6">
        <f>IF(OR($BJ231="",55&gt;設定!$B$3),"",IF(INDEX(原始資料!BF$2:BF$501,$BJ231)="","",INDEX(原始資料!BF$2:BF$501,$BJ231)))</f>
        <v/>
      </c>
      <c r="BE231" s="6">
        <f>IF(OR($BJ231="",56&gt;設定!$B$3),"",IF(INDEX(原始資料!BG$2:BG$501,$BJ231)="","",INDEX(原始資料!BG$2:BG$501,$BJ231)))</f>
        <v/>
      </c>
      <c r="BF231" s="6">
        <f>IF(OR($BJ231="",57&gt;設定!$B$3),"",IF(INDEX(原始資料!BH$2:BH$501,$BJ231)="","",INDEX(原始資料!BH$2:BH$501,$BJ231)))</f>
        <v/>
      </c>
      <c r="BG231" s="6">
        <f>IF(OR($BJ231="",58&gt;設定!$B$3),"",IF(INDEX(原始資料!BI$2:BI$501,$BJ231)="","",INDEX(原始資料!BI$2:BI$501,$BJ231)))</f>
        <v/>
      </c>
      <c r="BH231" s="6">
        <f>IF(OR($BJ231="",59&gt;設定!$B$3),"",IF(INDEX(原始資料!BJ$2:BJ$501,$BJ231)="","",INDEX(原始資料!BJ$2:BJ$501,$BJ231)))</f>
        <v/>
      </c>
      <c r="BI231" s="6">
        <f>IF(OR($BJ231="",60&gt;設定!$B$3),"",IF(INDEX(原始資料!BK$2:BK$501,$BJ231)="","",INDEX(原始資料!BK$2:BK$501,$BJ231)))</f>
        <v/>
      </c>
      <c r="BJ231" s="6">
        <f>IFERROR(MATCH(ROW()-1,判定!$H$2:$H$501,0),"")</f>
        <v/>
      </c>
    </row>
    <row r="232">
      <c r="A232" s="6">
        <f>IF($BJ232="","",INDEX(原始資料!$A$2:$A$501,$BJ232))</f>
        <v/>
      </c>
      <c r="B232" s="6">
        <f>IF(OR($BJ232="",1&gt;設定!$B$3),"",IF(INDEX(原始資料!D$2:D$501,$BJ232)="","",INDEX(原始資料!D$2:D$501,$BJ232)))</f>
        <v/>
      </c>
      <c r="C232" s="6">
        <f>IF(OR($BJ232="",2&gt;設定!$B$3),"",IF(INDEX(原始資料!E$2:E$501,$BJ232)="","",INDEX(原始資料!E$2:E$501,$BJ232)))</f>
        <v/>
      </c>
      <c r="D232" s="6">
        <f>IF(OR($BJ232="",3&gt;設定!$B$3),"",IF(INDEX(原始資料!F$2:F$501,$BJ232)="","",INDEX(原始資料!F$2:F$501,$BJ232)))</f>
        <v/>
      </c>
      <c r="E232" s="6">
        <f>IF(OR($BJ232="",4&gt;設定!$B$3),"",IF(INDEX(原始資料!G$2:G$501,$BJ232)="","",INDEX(原始資料!G$2:G$501,$BJ232)))</f>
        <v/>
      </c>
      <c r="F232" s="6">
        <f>IF(OR($BJ232="",5&gt;設定!$B$3),"",IF(INDEX(原始資料!H$2:H$501,$BJ232)="","",INDEX(原始資料!H$2:H$501,$BJ232)))</f>
        <v/>
      </c>
      <c r="G232" s="6">
        <f>IF(OR($BJ232="",6&gt;設定!$B$3),"",IF(INDEX(原始資料!I$2:I$501,$BJ232)="","",INDEX(原始資料!I$2:I$501,$BJ232)))</f>
        <v/>
      </c>
      <c r="H232" s="6">
        <f>IF(OR($BJ232="",7&gt;設定!$B$3),"",IF(INDEX(原始資料!J$2:J$501,$BJ232)="","",INDEX(原始資料!J$2:J$501,$BJ232)))</f>
        <v/>
      </c>
      <c r="I232" s="6">
        <f>IF(OR($BJ232="",8&gt;設定!$B$3),"",IF(INDEX(原始資料!K$2:K$501,$BJ232)="","",INDEX(原始資料!K$2:K$501,$BJ232)))</f>
        <v/>
      </c>
      <c r="J232" s="6">
        <f>IF(OR($BJ232="",9&gt;設定!$B$3),"",IF(INDEX(原始資料!L$2:L$501,$BJ232)="","",INDEX(原始資料!L$2:L$501,$BJ232)))</f>
        <v/>
      </c>
      <c r="K232" s="6">
        <f>IF(OR($BJ232="",10&gt;設定!$B$3),"",IF(INDEX(原始資料!M$2:M$501,$BJ232)="","",INDEX(原始資料!M$2:M$501,$BJ232)))</f>
        <v/>
      </c>
      <c r="L232" s="6">
        <f>IF(OR($BJ232="",11&gt;設定!$B$3),"",IF(INDEX(原始資料!N$2:N$501,$BJ232)="","",INDEX(原始資料!N$2:N$501,$BJ232)))</f>
        <v/>
      </c>
      <c r="M232" s="6">
        <f>IF(OR($BJ232="",12&gt;設定!$B$3),"",IF(INDEX(原始資料!O$2:O$501,$BJ232)="","",INDEX(原始資料!O$2:O$501,$BJ232)))</f>
        <v/>
      </c>
      <c r="N232" s="6">
        <f>IF(OR($BJ232="",13&gt;設定!$B$3),"",IF(INDEX(原始資料!P$2:P$501,$BJ232)="","",INDEX(原始資料!P$2:P$501,$BJ232)))</f>
        <v/>
      </c>
      <c r="O232" s="6">
        <f>IF(OR($BJ232="",14&gt;設定!$B$3),"",IF(INDEX(原始資料!Q$2:Q$501,$BJ232)="","",INDEX(原始資料!Q$2:Q$501,$BJ232)))</f>
        <v/>
      </c>
      <c r="P232" s="6">
        <f>IF(OR($BJ232="",15&gt;設定!$B$3),"",IF(INDEX(原始資料!R$2:R$501,$BJ232)="","",INDEX(原始資料!R$2:R$501,$BJ232)))</f>
        <v/>
      </c>
      <c r="Q232" s="6">
        <f>IF(OR($BJ232="",16&gt;設定!$B$3),"",IF(INDEX(原始資料!S$2:S$501,$BJ232)="","",INDEX(原始資料!S$2:S$501,$BJ232)))</f>
        <v/>
      </c>
      <c r="R232" s="6">
        <f>IF(OR($BJ232="",17&gt;設定!$B$3),"",IF(INDEX(原始資料!T$2:T$501,$BJ232)="","",INDEX(原始資料!T$2:T$501,$BJ232)))</f>
        <v/>
      </c>
      <c r="S232" s="6">
        <f>IF(OR($BJ232="",18&gt;設定!$B$3),"",IF(INDEX(原始資料!U$2:U$501,$BJ232)="","",INDEX(原始資料!U$2:U$501,$BJ232)))</f>
        <v/>
      </c>
      <c r="T232" s="6">
        <f>IF(OR($BJ232="",19&gt;設定!$B$3),"",IF(INDEX(原始資料!V$2:V$501,$BJ232)="","",INDEX(原始資料!V$2:V$501,$BJ232)))</f>
        <v/>
      </c>
      <c r="U232" s="6">
        <f>IF(OR($BJ232="",20&gt;設定!$B$3),"",IF(INDEX(原始資料!W$2:W$501,$BJ232)="","",INDEX(原始資料!W$2:W$501,$BJ232)))</f>
        <v/>
      </c>
      <c r="V232" s="6">
        <f>IF(OR($BJ232="",21&gt;設定!$B$3),"",IF(INDEX(原始資料!X$2:X$501,$BJ232)="","",INDEX(原始資料!X$2:X$501,$BJ232)))</f>
        <v/>
      </c>
      <c r="W232" s="6">
        <f>IF(OR($BJ232="",22&gt;設定!$B$3),"",IF(INDEX(原始資料!Y$2:Y$501,$BJ232)="","",INDEX(原始資料!Y$2:Y$501,$BJ232)))</f>
        <v/>
      </c>
      <c r="X232" s="6">
        <f>IF(OR($BJ232="",23&gt;設定!$B$3),"",IF(INDEX(原始資料!Z$2:Z$501,$BJ232)="","",INDEX(原始資料!Z$2:Z$501,$BJ232)))</f>
        <v/>
      </c>
      <c r="Y232" s="6">
        <f>IF(OR($BJ232="",24&gt;設定!$B$3),"",IF(INDEX(原始資料!AA$2:AA$501,$BJ232)="","",INDEX(原始資料!AA$2:AA$501,$BJ232)))</f>
        <v/>
      </c>
      <c r="Z232" s="6">
        <f>IF(OR($BJ232="",25&gt;設定!$B$3),"",IF(INDEX(原始資料!AB$2:AB$501,$BJ232)="","",INDEX(原始資料!AB$2:AB$501,$BJ232)))</f>
        <v/>
      </c>
      <c r="AA232" s="6">
        <f>IF(OR($BJ232="",26&gt;設定!$B$3),"",IF(INDEX(原始資料!AC$2:AC$501,$BJ232)="","",INDEX(原始資料!AC$2:AC$501,$BJ232)))</f>
        <v/>
      </c>
      <c r="AB232" s="6">
        <f>IF(OR($BJ232="",27&gt;設定!$B$3),"",IF(INDEX(原始資料!AD$2:AD$501,$BJ232)="","",INDEX(原始資料!AD$2:AD$501,$BJ232)))</f>
        <v/>
      </c>
      <c r="AC232" s="6">
        <f>IF(OR($BJ232="",28&gt;設定!$B$3),"",IF(INDEX(原始資料!AE$2:AE$501,$BJ232)="","",INDEX(原始資料!AE$2:AE$501,$BJ232)))</f>
        <v/>
      </c>
      <c r="AD232" s="6">
        <f>IF(OR($BJ232="",29&gt;設定!$B$3),"",IF(INDEX(原始資料!AF$2:AF$501,$BJ232)="","",INDEX(原始資料!AF$2:AF$501,$BJ232)))</f>
        <v/>
      </c>
      <c r="AE232" s="6">
        <f>IF(OR($BJ232="",30&gt;設定!$B$3),"",IF(INDEX(原始資料!AG$2:AG$501,$BJ232)="","",INDEX(原始資料!AG$2:AG$501,$BJ232)))</f>
        <v/>
      </c>
      <c r="AF232" s="6">
        <f>IF(OR($BJ232="",31&gt;設定!$B$3),"",IF(INDEX(原始資料!AH$2:AH$501,$BJ232)="","",INDEX(原始資料!AH$2:AH$501,$BJ232)))</f>
        <v/>
      </c>
      <c r="AG232" s="6">
        <f>IF(OR($BJ232="",32&gt;設定!$B$3),"",IF(INDEX(原始資料!AI$2:AI$501,$BJ232)="","",INDEX(原始資料!AI$2:AI$501,$BJ232)))</f>
        <v/>
      </c>
      <c r="AH232" s="6">
        <f>IF(OR($BJ232="",33&gt;設定!$B$3),"",IF(INDEX(原始資料!AJ$2:AJ$501,$BJ232)="","",INDEX(原始資料!AJ$2:AJ$501,$BJ232)))</f>
        <v/>
      </c>
      <c r="AI232" s="6">
        <f>IF(OR($BJ232="",34&gt;設定!$B$3),"",IF(INDEX(原始資料!AK$2:AK$501,$BJ232)="","",INDEX(原始資料!AK$2:AK$501,$BJ232)))</f>
        <v/>
      </c>
      <c r="AJ232" s="6">
        <f>IF(OR($BJ232="",35&gt;設定!$B$3),"",IF(INDEX(原始資料!AL$2:AL$501,$BJ232)="","",INDEX(原始資料!AL$2:AL$501,$BJ232)))</f>
        <v/>
      </c>
      <c r="AK232" s="6">
        <f>IF(OR($BJ232="",36&gt;設定!$B$3),"",IF(INDEX(原始資料!AM$2:AM$501,$BJ232)="","",INDEX(原始資料!AM$2:AM$501,$BJ232)))</f>
        <v/>
      </c>
      <c r="AL232" s="6">
        <f>IF(OR($BJ232="",37&gt;設定!$B$3),"",IF(INDEX(原始資料!AN$2:AN$501,$BJ232)="","",INDEX(原始資料!AN$2:AN$501,$BJ232)))</f>
        <v/>
      </c>
      <c r="AM232" s="6">
        <f>IF(OR($BJ232="",38&gt;設定!$B$3),"",IF(INDEX(原始資料!AO$2:AO$501,$BJ232)="","",INDEX(原始資料!AO$2:AO$501,$BJ232)))</f>
        <v/>
      </c>
      <c r="AN232" s="6">
        <f>IF(OR($BJ232="",39&gt;設定!$B$3),"",IF(INDEX(原始資料!AP$2:AP$501,$BJ232)="","",INDEX(原始資料!AP$2:AP$501,$BJ232)))</f>
        <v/>
      </c>
      <c r="AO232" s="6">
        <f>IF(OR($BJ232="",40&gt;設定!$B$3),"",IF(INDEX(原始資料!AQ$2:AQ$501,$BJ232)="","",INDEX(原始資料!AQ$2:AQ$501,$BJ232)))</f>
        <v/>
      </c>
      <c r="AP232" s="6">
        <f>IF(OR($BJ232="",41&gt;設定!$B$3),"",IF(INDEX(原始資料!AR$2:AR$501,$BJ232)="","",INDEX(原始資料!AR$2:AR$501,$BJ232)))</f>
        <v/>
      </c>
      <c r="AQ232" s="6">
        <f>IF(OR($BJ232="",42&gt;設定!$B$3),"",IF(INDEX(原始資料!AS$2:AS$501,$BJ232)="","",INDEX(原始資料!AS$2:AS$501,$BJ232)))</f>
        <v/>
      </c>
      <c r="AR232" s="6">
        <f>IF(OR($BJ232="",43&gt;設定!$B$3),"",IF(INDEX(原始資料!AT$2:AT$501,$BJ232)="","",INDEX(原始資料!AT$2:AT$501,$BJ232)))</f>
        <v/>
      </c>
      <c r="AS232" s="6">
        <f>IF(OR($BJ232="",44&gt;設定!$B$3),"",IF(INDEX(原始資料!AU$2:AU$501,$BJ232)="","",INDEX(原始資料!AU$2:AU$501,$BJ232)))</f>
        <v/>
      </c>
      <c r="AT232" s="6">
        <f>IF(OR($BJ232="",45&gt;設定!$B$3),"",IF(INDEX(原始資料!AV$2:AV$501,$BJ232)="","",INDEX(原始資料!AV$2:AV$501,$BJ232)))</f>
        <v/>
      </c>
      <c r="AU232" s="6">
        <f>IF(OR($BJ232="",46&gt;設定!$B$3),"",IF(INDEX(原始資料!AW$2:AW$501,$BJ232)="","",INDEX(原始資料!AW$2:AW$501,$BJ232)))</f>
        <v/>
      </c>
      <c r="AV232" s="6">
        <f>IF(OR($BJ232="",47&gt;設定!$B$3),"",IF(INDEX(原始資料!AX$2:AX$501,$BJ232)="","",INDEX(原始資料!AX$2:AX$501,$BJ232)))</f>
        <v/>
      </c>
      <c r="AW232" s="6">
        <f>IF(OR($BJ232="",48&gt;設定!$B$3),"",IF(INDEX(原始資料!AY$2:AY$501,$BJ232)="","",INDEX(原始資料!AY$2:AY$501,$BJ232)))</f>
        <v/>
      </c>
      <c r="AX232" s="6">
        <f>IF(OR($BJ232="",49&gt;設定!$B$3),"",IF(INDEX(原始資料!AZ$2:AZ$501,$BJ232)="","",INDEX(原始資料!AZ$2:AZ$501,$BJ232)))</f>
        <v/>
      </c>
      <c r="AY232" s="6">
        <f>IF(OR($BJ232="",50&gt;設定!$B$3),"",IF(INDEX(原始資料!BA$2:BA$501,$BJ232)="","",INDEX(原始資料!BA$2:BA$501,$BJ232)))</f>
        <v/>
      </c>
      <c r="AZ232" s="6">
        <f>IF(OR($BJ232="",51&gt;設定!$B$3),"",IF(INDEX(原始資料!BB$2:BB$501,$BJ232)="","",INDEX(原始資料!BB$2:BB$501,$BJ232)))</f>
        <v/>
      </c>
      <c r="BA232" s="6">
        <f>IF(OR($BJ232="",52&gt;設定!$B$3),"",IF(INDEX(原始資料!BC$2:BC$501,$BJ232)="","",INDEX(原始資料!BC$2:BC$501,$BJ232)))</f>
        <v/>
      </c>
      <c r="BB232" s="6">
        <f>IF(OR($BJ232="",53&gt;設定!$B$3),"",IF(INDEX(原始資料!BD$2:BD$501,$BJ232)="","",INDEX(原始資料!BD$2:BD$501,$BJ232)))</f>
        <v/>
      </c>
      <c r="BC232" s="6">
        <f>IF(OR($BJ232="",54&gt;設定!$B$3),"",IF(INDEX(原始資料!BE$2:BE$501,$BJ232)="","",INDEX(原始資料!BE$2:BE$501,$BJ232)))</f>
        <v/>
      </c>
      <c r="BD232" s="6">
        <f>IF(OR($BJ232="",55&gt;設定!$B$3),"",IF(INDEX(原始資料!BF$2:BF$501,$BJ232)="","",INDEX(原始資料!BF$2:BF$501,$BJ232)))</f>
        <v/>
      </c>
      <c r="BE232" s="6">
        <f>IF(OR($BJ232="",56&gt;設定!$B$3),"",IF(INDEX(原始資料!BG$2:BG$501,$BJ232)="","",INDEX(原始資料!BG$2:BG$501,$BJ232)))</f>
        <v/>
      </c>
      <c r="BF232" s="6">
        <f>IF(OR($BJ232="",57&gt;設定!$B$3),"",IF(INDEX(原始資料!BH$2:BH$501,$BJ232)="","",INDEX(原始資料!BH$2:BH$501,$BJ232)))</f>
        <v/>
      </c>
      <c r="BG232" s="6">
        <f>IF(OR($BJ232="",58&gt;設定!$B$3),"",IF(INDEX(原始資料!BI$2:BI$501,$BJ232)="","",INDEX(原始資料!BI$2:BI$501,$BJ232)))</f>
        <v/>
      </c>
      <c r="BH232" s="6">
        <f>IF(OR($BJ232="",59&gt;設定!$B$3),"",IF(INDEX(原始資料!BJ$2:BJ$501,$BJ232)="","",INDEX(原始資料!BJ$2:BJ$501,$BJ232)))</f>
        <v/>
      </c>
      <c r="BI232" s="6">
        <f>IF(OR($BJ232="",60&gt;設定!$B$3),"",IF(INDEX(原始資料!BK$2:BK$501,$BJ232)="","",INDEX(原始資料!BK$2:BK$501,$BJ232)))</f>
        <v/>
      </c>
      <c r="BJ232" s="6">
        <f>IFERROR(MATCH(ROW()-1,判定!$H$2:$H$501,0),"")</f>
        <v/>
      </c>
    </row>
    <row r="233">
      <c r="A233" s="6">
        <f>IF($BJ233="","",INDEX(原始資料!$A$2:$A$501,$BJ233))</f>
        <v/>
      </c>
      <c r="B233" s="6">
        <f>IF(OR($BJ233="",1&gt;設定!$B$3),"",IF(INDEX(原始資料!D$2:D$501,$BJ233)="","",INDEX(原始資料!D$2:D$501,$BJ233)))</f>
        <v/>
      </c>
      <c r="C233" s="6">
        <f>IF(OR($BJ233="",2&gt;設定!$B$3),"",IF(INDEX(原始資料!E$2:E$501,$BJ233)="","",INDEX(原始資料!E$2:E$501,$BJ233)))</f>
        <v/>
      </c>
      <c r="D233" s="6">
        <f>IF(OR($BJ233="",3&gt;設定!$B$3),"",IF(INDEX(原始資料!F$2:F$501,$BJ233)="","",INDEX(原始資料!F$2:F$501,$BJ233)))</f>
        <v/>
      </c>
      <c r="E233" s="6">
        <f>IF(OR($BJ233="",4&gt;設定!$B$3),"",IF(INDEX(原始資料!G$2:G$501,$BJ233)="","",INDEX(原始資料!G$2:G$501,$BJ233)))</f>
        <v/>
      </c>
      <c r="F233" s="6">
        <f>IF(OR($BJ233="",5&gt;設定!$B$3),"",IF(INDEX(原始資料!H$2:H$501,$BJ233)="","",INDEX(原始資料!H$2:H$501,$BJ233)))</f>
        <v/>
      </c>
      <c r="G233" s="6">
        <f>IF(OR($BJ233="",6&gt;設定!$B$3),"",IF(INDEX(原始資料!I$2:I$501,$BJ233)="","",INDEX(原始資料!I$2:I$501,$BJ233)))</f>
        <v/>
      </c>
      <c r="H233" s="6">
        <f>IF(OR($BJ233="",7&gt;設定!$B$3),"",IF(INDEX(原始資料!J$2:J$501,$BJ233)="","",INDEX(原始資料!J$2:J$501,$BJ233)))</f>
        <v/>
      </c>
      <c r="I233" s="6">
        <f>IF(OR($BJ233="",8&gt;設定!$B$3),"",IF(INDEX(原始資料!K$2:K$501,$BJ233)="","",INDEX(原始資料!K$2:K$501,$BJ233)))</f>
        <v/>
      </c>
      <c r="J233" s="6">
        <f>IF(OR($BJ233="",9&gt;設定!$B$3),"",IF(INDEX(原始資料!L$2:L$501,$BJ233)="","",INDEX(原始資料!L$2:L$501,$BJ233)))</f>
        <v/>
      </c>
      <c r="K233" s="6">
        <f>IF(OR($BJ233="",10&gt;設定!$B$3),"",IF(INDEX(原始資料!M$2:M$501,$BJ233)="","",INDEX(原始資料!M$2:M$501,$BJ233)))</f>
        <v/>
      </c>
      <c r="L233" s="6">
        <f>IF(OR($BJ233="",11&gt;設定!$B$3),"",IF(INDEX(原始資料!N$2:N$501,$BJ233)="","",INDEX(原始資料!N$2:N$501,$BJ233)))</f>
        <v/>
      </c>
      <c r="M233" s="6">
        <f>IF(OR($BJ233="",12&gt;設定!$B$3),"",IF(INDEX(原始資料!O$2:O$501,$BJ233)="","",INDEX(原始資料!O$2:O$501,$BJ233)))</f>
        <v/>
      </c>
      <c r="N233" s="6">
        <f>IF(OR($BJ233="",13&gt;設定!$B$3),"",IF(INDEX(原始資料!P$2:P$501,$BJ233)="","",INDEX(原始資料!P$2:P$501,$BJ233)))</f>
        <v/>
      </c>
      <c r="O233" s="6">
        <f>IF(OR($BJ233="",14&gt;設定!$B$3),"",IF(INDEX(原始資料!Q$2:Q$501,$BJ233)="","",INDEX(原始資料!Q$2:Q$501,$BJ233)))</f>
        <v/>
      </c>
      <c r="P233" s="6">
        <f>IF(OR($BJ233="",15&gt;設定!$B$3),"",IF(INDEX(原始資料!R$2:R$501,$BJ233)="","",INDEX(原始資料!R$2:R$501,$BJ233)))</f>
        <v/>
      </c>
      <c r="Q233" s="6">
        <f>IF(OR($BJ233="",16&gt;設定!$B$3),"",IF(INDEX(原始資料!S$2:S$501,$BJ233)="","",INDEX(原始資料!S$2:S$501,$BJ233)))</f>
        <v/>
      </c>
      <c r="R233" s="6">
        <f>IF(OR($BJ233="",17&gt;設定!$B$3),"",IF(INDEX(原始資料!T$2:T$501,$BJ233)="","",INDEX(原始資料!T$2:T$501,$BJ233)))</f>
        <v/>
      </c>
      <c r="S233" s="6">
        <f>IF(OR($BJ233="",18&gt;設定!$B$3),"",IF(INDEX(原始資料!U$2:U$501,$BJ233)="","",INDEX(原始資料!U$2:U$501,$BJ233)))</f>
        <v/>
      </c>
      <c r="T233" s="6">
        <f>IF(OR($BJ233="",19&gt;設定!$B$3),"",IF(INDEX(原始資料!V$2:V$501,$BJ233)="","",INDEX(原始資料!V$2:V$501,$BJ233)))</f>
        <v/>
      </c>
      <c r="U233" s="6">
        <f>IF(OR($BJ233="",20&gt;設定!$B$3),"",IF(INDEX(原始資料!W$2:W$501,$BJ233)="","",INDEX(原始資料!W$2:W$501,$BJ233)))</f>
        <v/>
      </c>
      <c r="V233" s="6">
        <f>IF(OR($BJ233="",21&gt;設定!$B$3),"",IF(INDEX(原始資料!X$2:X$501,$BJ233)="","",INDEX(原始資料!X$2:X$501,$BJ233)))</f>
        <v/>
      </c>
      <c r="W233" s="6">
        <f>IF(OR($BJ233="",22&gt;設定!$B$3),"",IF(INDEX(原始資料!Y$2:Y$501,$BJ233)="","",INDEX(原始資料!Y$2:Y$501,$BJ233)))</f>
        <v/>
      </c>
      <c r="X233" s="6">
        <f>IF(OR($BJ233="",23&gt;設定!$B$3),"",IF(INDEX(原始資料!Z$2:Z$501,$BJ233)="","",INDEX(原始資料!Z$2:Z$501,$BJ233)))</f>
        <v/>
      </c>
      <c r="Y233" s="6">
        <f>IF(OR($BJ233="",24&gt;設定!$B$3),"",IF(INDEX(原始資料!AA$2:AA$501,$BJ233)="","",INDEX(原始資料!AA$2:AA$501,$BJ233)))</f>
        <v/>
      </c>
      <c r="Z233" s="6">
        <f>IF(OR($BJ233="",25&gt;設定!$B$3),"",IF(INDEX(原始資料!AB$2:AB$501,$BJ233)="","",INDEX(原始資料!AB$2:AB$501,$BJ233)))</f>
        <v/>
      </c>
      <c r="AA233" s="6">
        <f>IF(OR($BJ233="",26&gt;設定!$B$3),"",IF(INDEX(原始資料!AC$2:AC$501,$BJ233)="","",INDEX(原始資料!AC$2:AC$501,$BJ233)))</f>
        <v/>
      </c>
      <c r="AB233" s="6">
        <f>IF(OR($BJ233="",27&gt;設定!$B$3),"",IF(INDEX(原始資料!AD$2:AD$501,$BJ233)="","",INDEX(原始資料!AD$2:AD$501,$BJ233)))</f>
        <v/>
      </c>
      <c r="AC233" s="6">
        <f>IF(OR($BJ233="",28&gt;設定!$B$3),"",IF(INDEX(原始資料!AE$2:AE$501,$BJ233)="","",INDEX(原始資料!AE$2:AE$501,$BJ233)))</f>
        <v/>
      </c>
      <c r="AD233" s="6">
        <f>IF(OR($BJ233="",29&gt;設定!$B$3),"",IF(INDEX(原始資料!AF$2:AF$501,$BJ233)="","",INDEX(原始資料!AF$2:AF$501,$BJ233)))</f>
        <v/>
      </c>
      <c r="AE233" s="6">
        <f>IF(OR($BJ233="",30&gt;設定!$B$3),"",IF(INDEX(原始資料!AG$2:AG$501,$BJ233)="","",INDEX(原始資料!AG$2:AG$501,$BJ233)))</f>
        <v/>
      </c>
      <c r="AF233" s="6">
        <f>IF(OR($BJ233="",31&gt;設定!$B$3),"",IF(INDEX(原始資料!AH$2:AH$501,$BJ233)="","",INDEX(原始資料!AH$2:AH$501,$BJ233)))</f>
        <v/>
      </c>
      <c r="AG233" s="6">
        <f>IF(OR($BJ233="",32&gt;設定!$B$3),"",IF(INDEX(原始資料!AI$2:AI$501,$BJ233)="","",INDEX(原始資料!AI$2:AI$501,$BJ233)))</f>
        <v/>
      </c>
      <c r="AH233" s="6">
        <f>IF(OR($BJ233="",33&gt;設定!$B$3),"",IF(INDEX(原始資料!AJ$2:AJ$501,$BJ233)="","",INDEX(原始資料!AJ$2:AJ$501,$BJ233)))</f>
        <v/>
      </c>
      <c r="AI233" s="6">
        <f>IF(OR($BJ233="",34&gt;設定!$B$3),"",IF(INDEX(原始資料!AK$2:AK$501,$BJ233)="","",INDEX(原始資料!AK$2:AK$501,$BJ233)))</f>
        <v/>
      </c>
      <c r="AJ233" s="6">
        <f>IF(OR($BJ233="",35&gt;設定!$B$3),"",IF(INDEX(原始資料!AL$2:AL$501,$BJ233)="","",INDEX(原始資料!AL$2:AL$501,$BJ233)))</f>
        <v/>
      </c>
      <c r="AK233" s="6">
        <f>IF(OR($BJ233="",36&gt;設定!$B$3),"",IF(INDEX(原始資料!AM$2:AM$501,$BJ233)="","",INDEX(原始資料!AM$2:AM$501,$BJ233)))</f>
        <v/>
      </c>
      <c r="AL233" s="6">
        <f>IF(OR($BJ233="",37&gt;設定!$B$3),"",IF(INDEX(原始資料!AN$2:AN$501,$BJ233)="","",INDEX(原始資料!AN$2:AN$501,$BJ233)))</f>
        <v/>
      </c>
      <c r="AM233" s="6">
        <f>IF(OR($BJ233="",38&gt;設定!$B$3),"",IF(INDEX(原始資料!AO$2:AO$501,$BJ233)="","",INDEX(原始資料!AO$2:AO$501,$BJ233)))</f>
        <v/>
      </c>
      <c r="AN233" s="6">
        <f>IF(OR($BJ233="",39&gt;設定!$B$3),"",IF(INDEX(原始資料!AP$2:AP$501,$BJ233)="","",INDEX(原始資料!AP$2:AP$501,$BJ233)))</f>
        <v/>
      </c>
      <c r="AO233" s="6">
        <f>IF(OR($BJ233="",40&gt;設定!$B$3),"",IF(INDEX(原始資料!AQ$2:AQ$501,$BJ233)="","",INDEX(原始資料!AQ$2:AQ$501,$BJ233)))</f>
        <v/>
      </c>
      <c r="AP233" s="6">
        <f>IF(OR($BJ233="",41&gt;設定!$B$3),"",IF(INDEX(原始資料!AR$2:AR$501,$BJ233)="","",INDEX(原始資料!AR$2:AR$501,$BJ233)))</f>
        <v/>
      </c>
      <c r="AQ233" s="6">
        <f>IF(OR($BJ233="",42&gt;設定!$B$3),"",IF(INDEX(原始資料!AS$2:AS$501,$BJ233)="","",INDEX(原始資料!AS$2:AS$501,$BJ233)))</f>
        <v/>
      </c>
      <c r="AR233" s="6">
        <f>IF(OR($BJ233="",43&gt;設定!$B$3),"",IF(INDEX(原始資料!AT$2:AT$501,$BJ233)="","",INDEX(原始資料!AT$2:AT$501,$BJ233)))</f>
        <v/>
      </c>
      <c r="AS233" s="6">
        <f>IF(OR($BJ233="",44&gt;設定!$B$3),"",IF(INDEX(原始資料!AU$2:AU$501,$BJ233)="","",INDEX(原始資料!AU$2:AU$501,$BJ233)))</f>
        <v/>
      </c>
      <c r="AT233" s="6">
        <f>IF(OR($BJ233="",45&gt;設定!$B$3),"",IF(INDEX(原始資料!AV$2:AV$501,$BJ233)="","",INDEX(原始資料!AV$2:AV$501,$BJ233)))</f>
        <v/>
      </c>
      <c r="AU233" s="6">
        <f>IF(OR($BJ233="",46&gt;設定!$B$3),"",IF(INDEX(原始資料!AW$2:AW$501,$BJ233)="","",INDEX(原始資料!AW$2:AW$501,$BJ233)))</f>
        <v/>
      </c>
      <c r="AV233" s="6">
        <f>IF(OR($BJ233="",47&gt;設定!$B$3),"",IF(INDEX(原始資料!AX$2:AX$501,$BJ233)="","",INDEX(原始資料!AX$2:AX$501,$BJ233)))</f>
        <v/>
      </c>
      <c r="AW233" s="6">
        <f>IF(OR($BJ233="",48&gt;設定!$B$3),"",IF(INDEX(原始資料!AY$2:AY$501,$BJ233)="","",INDEX(原始資料!AY$2:AY$501,$BJ233)))</f>
        <v/>
      </c>
      <c r="AX233" s="6">
        <f>IF(OR($BJ233="",49&gt;設定!$B$3),"",IF(INDEX(原始資料!AZ$2:AZ$501,$BJ233)="","",INDEX(原始資料!AZ$2:AZ$501,$BJ233)))</f>
        <v/>
      </c>
      <c r="AY233" s="6">
        <f>IF(OR($BJ233="",50&gt;設定!$B$3),"",IF(INDEX(原始資料!BA$2:BA$501,$BJ233)="","",INDEX(原始資料!BA$2:BA$501,$BJ233)))</f>
        <v/>
      </c>
      <c r="AZ233" s="6">
        <f>IF(OR($BJ233="",51&gt;設定!$B$3),"",IF(INDEX(原始資料!BB$2:BB$501,$BJ233)="","",INDEX(原始資料!BB$2:BB$501,$BJ233)))</f>
        <v/>
      </c>
      <c r="BA233" s="6">
        <f>IF(OR($BJ233="",52&gt;設定!$B$3),"",IF(INDEX(原始資料!BC$2:BC$501,$BJ233)="","",INDEX(原始資料!BC$2:BC$501,$BJ233)))</f>
        <v/>
      </c>
      <c r="BB233" s="6">
        <f>IF(OR($BJ233="",53&gt;設定!$B$3),"",IF(INDEX(原始資料!BD$2:BD$501,$BJ233)="","",INDEX(原始資料!BD$2:BD$501,$BJ233)))</f>
        <v/>
      </c>
      <c r="BC233" s="6">
        <f>IF(OR($BJ233="",54&gt;設定!$B$3),"",IF(INDEX(原始資料!BE$2:BE$501,$BJ233)="","",INDEX(原始資料!BE$2:BE$501,$BJ233)))</f>
        <v/>
      </c>
      <c r="BD233" s="6">
        <f>IF(OR($BJ233="",55&gt;設定!$B$3),"",IF(INDEX(原始資料!BF$2:BF$501,$BJ233)="","",INDEX(原始資料!BF$2:BF$501,$BJ233)))</f>
        <v/>
      </c>
      <c r="BE233" s="6">
        <f>IF(OR($BJ233="",56&gt;設定!$B$3),"",IF(INDEX(原始資料!BG$2:BG$501,$BJ233)="","",INDEX(原始資料!BG$2:BG$501,$BJ233)))</f>
        <v/>
      </c>
      <c r="BF233" s="6">
        <f>IF(OR($BJ233="",57&gt;設定!$B$3),"",IF(INDEX(原始資料!BH$2:BH$501,$BJ233)="","",INDEX(原始資料!BH$2:BH$501,$BJ233)))</f>
        <v/>
      </c>
      <c r="BG233" s="6">
        <f>IF(OR($BJ233="",58&gt;設定!$B$3),"",IF(INDEX(原始資料!BI$2:BI$501,$BJ233)="","",INDEX(原始資料!BI$2:BI$501,$BJ233)))</f>
        <v/>
      </c>
      <c r="BH233" s="6">
        <f>IF(OR($BJ233="",59&gt;設定!$B$3),"",IF(INDEX(原始資料!BJ$2:BJ$501,$BJ233)="","",INDEX(原始資料!BJ$2:BJ$501,$BJ233)))</f>
        <v/>
      </c>
      <c r="BI233" s="6">
        <f>IF(OR($BJ233="",60&gt;設定!$B$3),"",IF(INDEX(原始資料!BK$2:BK$501,$BJ233)="","",INDEX(原始資料!BK$2:BK$501,$BJ233)))</f>
        <v/>
      </c>
      <c r="BJ233" s="6">
        <f>IFERROR(MATCH(ROW()-1,判定!$H$2:$H$501,0),"")</f>
        <v/>
      </c>
    </row>
    <row r="234">
      <c r="A234" s="6">
        <f>IF($BJ234="","",INDEX(原始資料!$A$2:$A$501,$BJ234))</f>
        <v/>
      </c>
      <c r="B234" s="6">
        <f>IF(OR($BJ234="",1&gt;設定!$B$3),"",IF(INDEX(原始資料!D$2:D$501,$BJ234)="","",INDEX(原始資料!D$2:D$501,$BJ234)))</f>
        <v/>
      </c>
      <c r="C234" s="6">
        <f>IF(OR($BJ234="",2&gt;設定!$B$3),"",IF(INDEX(原始資料!E$2:E$501,$BJ234)="","",INDEX(原始資料!E$2:E$501,$BJ234)))</f>
        <v/>
      </c>
      <c r="D234" s="6">
        <f>IF(OR($BJ234="",3&gt;設定!$B$3),"",IF(INDEX(原始資料!F$2:F$501,$BJ234)="","",INDEX(原始資料!F$2:F$501,$BJ234)))</f>
        <v/>
      </c>
      <c r="E234" s="6">
        <f>IF(OR($BJ234="",4&gt;設定!$B$3),"",IF(INDEX(原始資料!G$2:G$501,$BJ234)="","",INDEX(原始資料!G$2:G$501,$BJ234)))</f>
        <v/>
      </c>
      <c r="F234" s="6">
        <f>IF(OR($BJ234="",5&gt;設定!$B$3),"",IF(INDEX(原始資料!H$2:H$501,$BJ234)="","",INDEX(原始資料!H$2:H$501,$BJ234)))</f>
        <v/>
      </c>
      <c r="G234" s="6">
        <f>IF(OR($BJ234="",6&gt;設定!$B$3),"",IF(INDEX(原始資料!I$2:I$501,$BJ234)="","",INDEX(原始資料!I$2:I$501,$BJ234)))</f>
        <v/>
      </c>
      <c r="H234" s="6">
        <f>IF(OR($BJ234="",7&gt;設定!$B$3),"",IF(INDEX(原始資料!J$2:J$501,$BJ234)="","",INDEX(原始資料!J$2:J$501,$BJ234)))</f>
        <v/>
      </c>
      <c r="I234" s="6">
        <f>IF(OR($BJ234="",8&gt;設定!$B$3),"",IF(INDEX(原始資料!K$2:K$501,$BJ234)="","",INDEX(原始資料!K$2:K$501,$BJ234)))</f>
        <v/>
      </c>
      <c r="J234" s="6">
        <f>IF(OR($BJ234="",9&gt;設定!$B$3),"",IF(INDEX(原始資料!L$2:L$501,$BJ234)="","",INDEX(原始資料!L$2:L$501,$BJ234)))</f>
        <v/>
      </c>
      <c r="K234" s="6">
        <f>IF(OR($BJ234="",10&gt;設定!$B$3),"",IF(INDEX(原始資料!M$2:M$501,$BJ234)="","",INDEX(原始資料!M$2:M$501,$BJ234)))</f>
        <v/>
      </c>
      <c r="L234" s="6">
        <f>IF(OR($BJ234="",11&gt;設定!$B$3),"",IF(INDEX(原始資料!N$2:N$501,$BJ234)="","",INDEX(原始資料!N$2:N$501,$BJ234)))</f>
        <v/>
      </c>
      <c r="M234" s="6">
        <f>IF(OR($BJ234="",12&gt;設定!$B$3),"",IF(INDEX(原始資料!O$2:O$501,$BJ234)="","",INDEX(原始資料!O$2:O$501,$BJ234)))</f>
        <v/>
      </c>
      <c r="N234" s="6">
        <f>IF(OR($BJ234="",13&gt;設定!$B$3),"",IF(INDEX(原始資料!P$2:P$501,$BJ234)="","",INDEX(原始資料!P$2:P$501,$BJ234)))</f>
        <v/>
      </c>
      <c r="O234" s="6">
        <f>IF(OR($BJ234="",14&gt;設定!$B$3),"",IF(INDEX(原始資料!Q$2:Q$501,$BJ234)="","",INDEX(原始資料!Q$2:Q$501,$BJ234)))</f>
        <v/>
      </c>
      <c r="P234" s="6">
        <f>IF(OR($BJ234="",15&gt;設定!$B$3),"",IF(INDEX(原始資料!R$2:R$501,$BJ234)="","",INDEX(原始資料!R$2:R$501,$BJ234)))</f>
        <v/>
      </c>
      <c r="Q234" s="6">
        <f>IF(OR($BJ234="",16&gt;設定!$B$3),"",IF(INDEX(原始資料!S$2:S$501,$BJ234)="","",INDEX(原始資料!S$2:S$501,$BJ234)))</f>
        <v/>
      </c>
      <c r="R234" s="6">
        <f>IF(OR($BJ234="",17&gt;設定!$B$3),"",IF(INDEX(原始資料!T$2:T$501,$BJ234)="","",INDEX(原始資料!T$2:T$501,$BJ234)))</f>
        <v/>
      </c>
      <c r="S234" s="6">
        <f>IF(OR($BJ234="",18&gt;設定!$B$3),"",IF(INDEX(原始資料!U$2:U$501,$BJ234)="","",INDEX(原始資料!U$2:U$501,$BJ234)))</f>
        <v/>
      </c>
      <c r="T234" s="6">
        <f>IF(OR($BJ234="",19&gt;設定!$B$3),"",IF(INDEX(原始資料!V$2:V$501,$BJ234)="","",INDEX(原始資料!V$2:V$501,$BJ234)))</f>
        <v/>
      </c>
      <c r="U234" s="6">
        <f>IF(OR($BJ234="",20&gt;設定!$B$3),"",IF(INDEX(原始資料!W$2:W$501,$BJ234)="","",INDEX(原始資料!W$2:W$501,$BJ234)))</f>
        <v/>
      </c>
      <c r="V234" s="6">
        <f>IF(OR($BJ234="",21&gt;設定!$B$3),"",IF(INDEX(原始資料!X$2:X$501,$BJ234)="","",INDEX(原始資料!X$2:X$501,$BJ234)))</f>
        <v/>
      </c>
      <c r="W234" s="6">
        <f>IF(OR($BJ234="",22&gt;設定!$B$3),"",IF(INDEX(原始資料!Y$2:Y$501,$BJ234)="","",INDEX(原始資料!Y$2:Y$501,$BJ234)))</f>
        <v/>
      </c>
      <c r="X234" s="6">
        <f>IF(OR($BJ234="",23&gt;設定!$B$3),"",IF(INDEX(原始資料!Z$2:Z$501,$BJ234)="","",INDEX(原始資料!Z$2:Z$501,$BJ234)))</f>
        <v/>
      </c>
      <c r="Y234" s="6">
        <f>IF(OR($BJ234="",24&gt;設定!$B$3),"",IF(INDEX(原始資料!AA$2:AA$501,$BJ234)="","",INDEX(原始資料!AA$2:AA$501,$BJ234)))</f>
        <v/>
      </c>
      <c r="Z234" s="6">
        <f>IF(OR($BJ234="",25&gt;設定!$B$3),"",IF(INDEX(原始資料!AB$2:AB$501,$BJ234)="","",INDEX(原始資料!AB$2:AB$501,$BJ234)))</f>
        <v/>
      </c>
      <c r="AA234" s="6">
        <f>IF(OR($BJ234="",26&gt;設定!$B$3),"",IF(INDEX(原始資料!AC$2:AC$501,$BJ234)="","",INDEX(原始資料!AC$2:AC$501,$BJ234)))</f>
        <v/>
      </c>
      <c r="AB234" s="6">
        <f>IF(OR($BJ234="",27&gt;設定!$B$3),"",IF(INDEX(原始資料!AD$2:AD$501,$BJ234)="","",INDEX(原始資料!AD$2:AD$501,$BJ234)))</f>
        <v/>
      </c>
      <c r="AC234" s="6">
        <f>IF(OR($BJ234="",28&gt;設定!$B$3),"",IF(INDEX(原始資料!AE$2:AE$501,$BJ234)="","",INDEX(原始資料!AE$2:AE$501,$BJ234)))</f>
        <v/>
      </c>
      <c r="AD234" s="6">
        <f>IF(OR($BJ234="",29&gt;設定!$B$3),"",IF(INDEX(原始資料!AF$2:AF$501,$BJ234)="","",INDEX(原始資料!AF$2:AF$501,$BJ234)))</f>
        <v/>
      </c>
      <c r="AE234" s="6">
        <f>IF(OR($BJ234="",30&gt;設定!$B$3),"",IF(INDEX(原始資料!AG$2:AG$501,$BJ234)="","",INDEX(原始資料!AG$2:AG$501,$BJ234)))</f>
        <v/>
      </c>
      <c r="AF234" s="6">
        <f>IF(OR($BJ234="",31&gt;設定!$B$3),"",IF(INDEX(原始資料!AH$2:AH$501,$BJ234)="","",INDEX(原始資料!AH$2:AH$501,$BJ234)))</f>
        <v/>
      </c>
      <c r="AG234" s="6">
        <f>IF(OR($BJ234="",32&gt;設定!$B$3),"",IF(INDEX(原始資料!AI$2:AI$501,$BJ234)="","",INDEX(原始資料!AI$2:AI$501,$BJ234)))</f>
        <v/>
      </c>
      <c r="AH234" s="6">
        <f>IF(OR($BJ234="",33&gt;設定!$B$3),"",IF(INDEX(原始資料!AJ$2:AJ$501,$BJ234)="","",INDEX(原始資料!AJ$2:AJ$501,$BJ234)))</f>
        <v/>
      </c>
      <c r="AI234" s="6">
        <f>IF(OR($BJ234="",34&gt;設定!$B$3),"",IF(INDEX(原始資料!AK$2:AK$501,$BJ234)="","",INDEX(原始資料!AK$2:AK$501,$BJ234)))</f>
        <v/>
      </c>
      <c r="AJ234" s="6">
        <f>IF(OR($BJ234="",35&gt;設定!$B$3),"",IF(INDEX(原始資料!AL$2:AL$501,$BJ234)="","",INDEX(原始資料!AL$2:AL$501,$BJ234)))</f>
        <v/>
      </c>
      <c r="AK234" s="6">
        <f>IF(OR($BJ234="",36&gt;設定!$B$3),"",IF(INDEX(原始資料!AM$2:AM$501,$BJ234)="","",INDEX(原始資料!AM$2:AM$501,$BJ234)))</f>
        <v/>
      </c>
      <c r="AL234" s="6">
        <f>IF(OR($BJ234="",37&gt;設定!$B$3),"",IF(INDEX(原始資料!AN$2:AN$501,$BJ234)="","",INDEX(原始資料!AN$2:AN$501,$BJ234)))</f>
        <v/>
      </c>
      <c r="AM234" s="6">
        <f>IF(OR($BJ234="",38&gt;設定!$B$3),"",IF(INDEX(原始資料!AO$2:AO$501,$BJ234)="","",INDEX(原始資料!AO$2:AO$501,$BJ234)))</f>
        <v/>
      </c>
      <c r="AN234" s="6">
        <f>IF(OR($BJ234="",39&gt;設定!$B$3),"",IF(INDEX(原始資料!AP$2:AP$501,$BJ234)="","",INDEX(原始資料!AP$2:AP$501,$BJ234)))</f>
        <v/>
      </c>
      <c r="AO234" s="6">
        <f>IF(OR($BJ234="",40&gt;設定!$B$3),"",IF(INDEX(原始資料!AQ$2:AQ$501,$BJ234)="","",INDEX(原始資料!AQ$2:AQ$501,$BJ234)))</f>
        <v/>
      </c>
      <c r="AP234" s="6">
        <f>IF(OR($BJ234="",41&gt;設定!$B$3),"",IF(INDEX(原始資料!AR$2:AR$501,$BJ234)="","",INDEX(原始資料!AR$2:AR$501,$BJ234)))</f>
        <v/>
      </c>
      <c r="AQ234" s="6">
        <f>IF(OR($BJ234="",42&gt;設定!$B$3),"",IF(INDEX(原始資料!AS$2:AS$501,$BJ234)="","",INDEX(原始資料!AS$2:AS$501,$BJ234)))</f>
        <v/>
      </c>
      <c r="AR234" s="6">
        <f>IF(OR($BJ234="",43&gt;設定!$B$3),"",IF(INDEX(原始資料!AT$2:AT$501,$BJ234)="","",INDEX(原始資料!AT$2:AT$501,$BJ234)))</f>
        <v/>
      </c>
      <c r="AS234" s="6">
        <f>IF(OR($BJ234="",44&gt;設定!$B$3),"",IF(INDEX(原始資料!AU$2:AU$501,$BJ234)="","",INDEX(原始資料!AU$2:AU$501,$BJ234)))</f>
        <v/>
      </c>
      <c r="AT234" s="6">
        <f>IF(OR($BJ234="",45&gt;設定!$B$3),"",IF(INDEX(原始資料!AV$2:AV$501,$BJ234)="","",INDEX(原始資料!AV$2:AV$501,$BJ234)))</f>
        <v/>
      </c>
      <c r="AU234" s="6">
        <f>IF(OR($BJ234="",46&gt;設定!$B$3),"",IF(INDEX(原始資料!AW$2:AW$501,$BJ234)="","",INDEX(原始資料!AW$2:AW$501,$BJ234)))</f>
        <v/>
      </c>
      <c r="AV234" s="6">
        <f>IF(OR($BJ234="",47&gt;設定!$B$3),"",IF(INDEX(原始資料!AX$2:AX$501,$BJ234)="","",INDEX(原始資料!AX$2:AX$501,$BJ234)))</f>
        <v/>
      </c>
      <c r="AW234" s="6">
        <f>IF(OR($BJ234="",48&gt;設定!$B$3),"",IF(INDEX(原始資料!AY$2:AY$501,$BJ234)="","",INDEX(原始資料!AY$2:AY$501,$BJ234)))</f>
        <v/>
      </c>
      <c r="AX234" s="6">
        <f>IF(OR($BJ234="",49&gt;設定!$B$3),"",IF(INDEX(原始資料!AZ$2:AZ$501,$BJ234)="","",INDEX(原始資料!AZ$2:AZ$501,$BJ234)))</f>
        <v/>
      </c>
      <c r="AY234" s="6">
        <f>IF(OR($BJ234="",50&gt;設定!$B$3),"",IF(INDEX(原始資料!BA$2:BA$501,$BJ234)="","",INDEX(原始資料!BA$2:BA$501,$BJ234)))</f>
        <v/>
      </c>
      <c r="AZ234" s="6">
        <f>IF(OR($BJ234="",51&gt;設定!$B$3),"",IF(INDEX(原始資料!BB$2:BB$501,$BJ234)="","",INDEX(原始資料!BB$2:BB$501,$BJ234)))</f>
        <v/>
      </c>
      <c r="BA234" s="6">
        <f>IF(OR($BJ234="",52&gt;設定!$B$3),"",IF(INDEX(原始資料!BC$2:BC$501,$BJ234)="","",INDEX(原始資料!BC$2:BC$501,$BJ234)))</f>
        <v/>
      </c>
      <c r="BB234" s="6">
        <f>IF(OR($BJ234="",53&gt;設定!$B$3),"",IF(INDEX(原始資料!BD$2:BD$501,$BJ234)="","",INDEX(原始資料!BD$2:BD$501,$BJ234)))</f>
        <v/>
      </c>
      <c r="BC234" s="6">
        <f>IF(OR($BJ234="",54&gt;設定!$B$3),"",IF(INDEX(原始資料!BE$2:BE$501,$BJ234)="","",INDEX(原始資料!BE$2:BE$501,$BJ234)))</f>
        <v/>
      </c>
      <c r="BD234" s="6">
        <f>IF(OR($BJ234="",55&gt;設定!$B$3),"",IF(INDEX(原始資料!BF$2:BF$501,$BJ234)="","",INDEX(原始資料!BF$2:BF$501,$BJ234)))</f>
        <v/>
      </c>
      <c r="BE234" s="6">
        <f>IF(OR($BJ234="",56&gt;設定!$B$3),"",IF(INDEX(原始資料!BG$2:BG$501,$BJ234)="","",INDEX(原始資料!BG$2:BG$501,$BJ234)))</f>
        <v/>
      </c>
      <c r="BF234" s="6">
        <f>IF(OR($BJ234="",57&gt;設定!$B$3),"",IF(INDEX(原始資料!BH$2:BH$501,$BJ234)="","",INDEX(原始資料!BH$2:BH$501,$BJ234)))</f>
        <v/>
      </c>
      <c r="BG234" s="6">
        <f>IF(OR($BJ234="",58&gt;設定!$B$3),"",IF(INDEX(原始資料!BI$2:BI$501,$BJ234)="","",INDEX(原始資料!BI$2:BI$501,$BJ234)))</f>
        <v/>
      </c>
      <c r="BH234" s="6">
        <f>IF(OR($BJ234="",59&gt;設定!$B$3),"",IF(INDEX(原始資料!BJ$2:BJ$501,$BJ234)="","",INDEX(原始資料!BJ$2:BJ$501,$BJ234)))</f>
        <v/>
      </c>
      <c r="BI234" s="6">
        <f>IF(OR($BJ234="",60&gt;設定!$B$3),"",IF(INDEX(原始資料!BK$2:BK$501,$BJ234)="","",INDEX(原始資料!BK$2:BK$501,$BJ234)))</f>
        <v/>
      </c>
      <c r="BJ234" s="6">
        <f>IFERROR(MATCH(ROW()-1,判定!$H$2:$H$501,0),"")</f>
        <v/>
      </c>
    </row>
    <row r="235">
      <c r="A235" s="6">
        <f>IF($BJ235="","",INDEX(原始資料!$A$2:$A$501,$BJ235))</f>
        <v/>
      </c>
      <c r="B235" s="6">
        <f>IF(OR($BJ235="",1&gt;設定!$B$3),"",IF(INDEX(原始資料!D$2:D$501,$BJ235)="","",INDEX(原始資料!D$2:D$501,$BJ235)))</f>
        <v/>
      </c>
      <c r="C235" s="6">
        <f>IF(OR($BJ235="",2&gt;設定!$B$3),"",IF(INDEX(原始資料!E$2:E$501,$BJ235)="","",INDEX(原始資料!E$2:E$501,$BJ235)))</f>
        <v/>
      </c>
      <c r="D235" s="6">
        <f>IF(OR($BJ235="",3&gt;設定!$B$3),"",IF(INDEX(原始資料!F$2:F$501,$BJ235)="","",INDEX(原始資料!F$2:F$501,$BJ235)))</f>
        <v/>
      </c>
      <c r="E235" s="6">
        <f>IF(OR($BJ235="",4&gt;設定!$B$3),"",IF(INDEX(原始資料!G$2:G$501,$BJ235)="","",INDEX(原始資料!G$2:G$501,$BJ235)))</f>
        <v/>
      </c>
      <c r="F235" s="6">
        <f>IF(OR($BJ235="",5&gt;設定!$B$3),"",IF(INDEX(原始資料!H$2:H$501,$BJ235)="","",INDEX(原始資料!H$2:H$501,$BJ235)))</f>
        <v/>
      </c>
      <c r="G235" s="6">
        <f>IF(OR($BJ235="",6&gt;設定!$B$3),"",IF(INDEX(原始資料!I$2:I$501,$BJ235)="","",INDEX(原始資料!I$2:I$501,$BJ235)))</f>
        <v/>
      </c>
      <c r="H235" s="6">
        <f>IF(OR($BJ235="",7&gt;設定!$B$3),"",IF(INDEX(原始資料!J$2:J$501,$BJ235)="","",INDEX(原始資料!J$2:J$501,$BJ235)))</f>
        <v/>
      </c>
      <c r="I235" s="6">
        <f>IF(OR($BJ235="",8&gt;設定!$B$3),"",IF(INDEX(原始資料!K$2:K$501,$BJ235)="","",INDEX(原始資料!K$2:K$501,$BJ235)))</f>
        <v/>
      </c>
      <c r="J235" s="6">
        <f>IF(OR($BJ235="",9&gt;設定!$B$3),"",IF(INDEX(原始資料!L$2:L$501,$BJ235)="","",INDEX(原始資料!L$2:L$501,$BJ235)))</f>
        <v/>
      </c>
      <c r="K235" s="6">
        <f>IF(OR($BJ235="",10&gt;設定!$B$3),"",IF(INDEX(原始資料!M$2:M$501,$BJ235)="","",INDEX(原始資料!M$2:M$501,$BJ235)))</f>
        <v/>
      </c>
      <c r="L235" s="6">
        <f>IF(OR($BJ235="",11&gt;設定!$B$3),"",IF(INDEX(原始資料!N$2:N$501,$BJ235)="","",INDEX(原始資料!N$2:N$501,$BJ235)))</f>
        <v/>
      </c>
      <c r="M235" s="6">
        <f>IF(OR($BJ235="",12&gt;設定!$B$3),"",IF(INDEX(原始資料!O$2:O$501,$BJ235)="","",INDEX(原始資料!O$2:O$501,$BJ235)))</f>
        <v/>
      </c>
      <c r="N235" s="6">
        <f>IF(OR($BJ235="",13&gt;設定!$B$3),"",IF(INDEX(原始資料!P$2:P$501,$BJ235)="","",INDEX(原始資料!P$2:P$501,$BJ235)))</f>
        <v/>
      </c>
      <c r="O235" s="6">
        <f>IF(OR($BJ235="",14&gt;設定!$B$3),"",IF(INDEX(原始資料!Q$2:Q$501,$BJ235)="","",INDEX(原始資料!Q$2:Q$501,$BJ235)))</f>
        <v/>
      </c>
      <c r="P235" s="6">
        <f>IF(OR($BJ235="",15&gt;設定!$B$3),"",IF(INDEX(原始資料!R$2:R$501,$BJ235)="","",INDEX(原始資料!R$2:R$501,$BJ235)))</f>
        <v/>
      </c>
      <c r="Q235" s="6">
        <f>IF(OR($BJ235="",16&gt;設定!$B$3),"",IF(INDEX(原始資料!S$2:S$501,$BJ235)="","",INDEX(原始資料!S$2:S$501,$BJ235)))</f>
        <v/>
      </c>
      <c r="R235" s="6">
        <f>IF(OR($BJ235="",17&gt;設定!$B$3),"",IF(INDEX(原始資料!T$2:T$501,$BJ235)="","",INDEX(原始資料!T$2:T$501,$BJ235)))</f>
        <v/>
      </c>
      <c r="S235" s="6">
        <f>IF(OR($BJ235="",18&gt;設定!$B$3),"",IF(INDEX(原始資料!U$2:U$501,$BJ235)="","",INDEX(原始資料!U$2:U$501,$BJ235)))</f>
        <v/>
      </c>
      <c r="T235" s="6">
        <f>IF(OR($BJ235="",19&gt;設定!$B$3),"",IF(INDEX(原始資料!V$2:V$501,$BJ235)="","",INDEX(原始資料!V$2:V$501,$BJ235)))</f>
        <v/>
      </c>
      <c r="U235" s="6">
        <f>IF(OR($BJ235="",20&gt;設定!$B$3),"",IF(INDEX(原始資料!W$2:W$501,$BJ235)="","",INDEX(原始資料!W$2:W$501,$BJ235)))</f>
        <v/>
      </c>
      <c r="V235" s="6">
        <f>IF(OR($BJ235="",21&gt;設定!$B$3),"",IF(INDEX(原始資料!X$2:X$501,$BJ235)="","",INDEX(原始資料!X$2:X$501,$BJ235)))</f>
        <v/>
      </c>
      <c r="W235" s="6">
        <f>IF(OR($BJ235="",22&gt;設定!$B$3),"",IF(INDEX(原始資料!Y$2:Y$501,$BJ235)="","",INDEX(原始資料!Y$2:Y$501,$BJ235)))</f>
        <v/>
      </c>
      <c r="X235" s="6">
        <f>IF(OR($BJ235="",23&gt;設定!$B$3),"",IF(INDEX(原始資料!Z$2:Z$501,$BJ235)="","",INDEX(原始資料!Z$2:Z$501,$BJ235)))</f>
        <v/>
      </c>
      <c r="Y235" s="6">
        <f>IF(OR($BJ235="",24&gt;設定!$B$3),"",IF(INDEX(原始資料!AA$2:AA$501,$BJ235)="","",INDEX(原始資料!AA$2:AA$501,$BJ235)))</f>
        <v/>
      </c>
      <c r="Z235" s="6">
        <f>IF(OR($BJ235="",25&gt;設定!$B$3),"",IF(INDEX(原始資料!AB$2:AB$501,$BJ235)="","",INDEX(原始資料!AB$2:AB$501,$BJ235)))</f>
        <v/>
      </c>
      <c r="AA235" s="6">
        <f>IF(OR($BJ235="",26&gt;設定!$B$3),"",IF(INDEX(原始資料!AC$2:AC$501,$BJ235)="","",INDEX(原始資料!AC$2:AC$501,$BJ235)))</f>
        <v/>
      </c>
      <c r="AB235" s="6">
        <f>IF(OR($BJ235="",27&gt;設定!$B$3),"",IF(INDEX(原始資料!AD$2:AD$501,$BJ235)="","",INDEX(原始資料!AD$2:AD$501,$BJ235)))</f>
        <v/>
      </c>
      <c r="AC235" s="6">
        <f>IF(OR($BJ235="",28&gt;設定!$B$3),"",IF(INDEX(原始資料!AE$2:AE$501,$BJ235)="","",INDEX(原始資料!AE$2:AE$501,$BJ235)))</f>
        <v/>
      </c>
      <c r="AD235" s="6">
        <f>IF(OR($BJ235="",29&gt;設定!$B$3),"",IF(INDEX(原始資料!AF$2:AF$501,$BJ235)="","",INDEX(原始資料!AF$2:AF$501,$BJ235)))</f>
        <v/>
      </c>
      <c r="AE235" s="6">
        <f>IF(OR($BJ235="",30&gt;設定!$B$3),"",IF(INDEX(原始資料!AG$2:AG$501,$BJ235)="","",INDEX(原始資料!AG$2:AG$501,$BJ235)))</f>
        <v/>
      </c>
      <c r="AF235" s="6">
        <f>IF(OR($BJ235="",31&gt;設定!$B$3),"",IF(INDEX(原始資料!AH$2:AH$501,$BJ235)="","",INDEX(原始資料!AH$2:AH$501,$BJ235)))</f>
        <v/>
      </c>
      <c r="AG235" s="6">
        <f>IF(OR($BJ235="",32&gt;設定!$B$3),"",IF(INDEX(原始資料!AI$2:AI$501,$BJ235)="","",INDEX(原始資料!AI$2:AI$501,$BJ235)))</f>
        <v/>
      </c>
      <c r="AH235" s="6">
        <f>IF(OR($BJ235="",33&gt;設定!$B$3),"",IF(INDEX(原始資料!AJ$2:AJ$501,$BJ235)="","",INDEX(原始資料!AJ$2:AJ$501,$BJ235)))</f>
        <v/>
      </c>
      <c r="AI235" s="6">
        <f>IF(OR($BJ235="",34&gt;設定!$B$3),"",IF(INDEX(原始資料!AK$2:AK$501,$BJ235)="","",INDEX(原始資料!AK$2:AK$501,$BJ235)))</f>
        <v/>
      </c>
      <c r="AJ235" s="6">
        <f>IF(OR($BJ235="",35&gt;設定!$B$3),"",IF(INDEX(原始資料!AL$2:AL$501,$BJ235)="","",INDEX(原始資料!AL$2:AL$501,$BJ235)))</f>
        <v/>
      </c>
      <c r="AK235" s="6">
        <f>IF(OR($BJ235="",36&gt;設定!$B$3),"",IF(INDEX(原始資料!AM$2:AM$501,$BJ235)="","",INDEX(原始資料!AM$2:AM$501,$BJ235)))</f>
        <v/>
      </c>
      <c r="AL235" s="6">
        <f>IF(OR($BJ235="",37&gt;設定!$B$3),"",IF(INDEX(原始資料!AN$2:AN$501,$BJ235)="","",INDEX(原始資料!AN$2:AN$501,$BJ235)))</f>
        <v/>
      </c>
      <c r="AM235" s="6">
        <f>IF(OR($BJ235="",38&gt;設定!$B$3),"",IF(INDEX(原始資料!AO$2:AO$501,$BJ235)="","",INDEX(原始資料!AO$2:AO$501,$BJ235)))</f>
        <v/>
      </c>
      <c r="AN235" s="6">
        <f>IF(OR($BJ235="",39&gt;設定!$B$3),"",IF(INDEX(原始資料!AP$2:AP$501,$BJ235)="","",INDEX(原始資料!AP$2:AP$501,$BJ235)))</f>
        <v/>
      </c>
      <c r="AO235" s="6">
        <f>IF(OR($BJ235="",40&gt;設定!$B$3),"",IF(INDEX(原始資料!AQ$2:AQ$501,$BJ235)="","",INDEX(原始資料!AQ$2:AQ$501,$BJ235)))</f>
        <v/>
      </c>
      <c r="AP235" s="6">
        <f>IF(OR($BJ235="",41&gt;設定!$B$3),"",IF(INDEX(原始資料!AR$2:AR$501,$BJ235)="","",INDEX(原始資料!AR$2:AR$501,$BJ235)))</f>
        <v/>
      </c>
      <c r="AQ235" s="6">
        <f>IF(OR($BJ235="",42&gt;設定!$B$3),"",IF(INDEX(原始資料!AS$2:AS$501,$BJ235)="","",INDEX(原始資料!AS$2:AS$501,$BJ235)))</f>
        <v/>
      </c>
      <c r="AR235" s="6">
        <f>IF(OR($BJ235="",43&gt;設定!$B$3),"",IF(INDEX(原始資料!AT$2:AT$501,$BJ235)="","",INDEX(原始資料!AT$2:AT$501,$BJ235)))</f>
        <v/>
      </c>
      <c r="AS235" s="6">
        <f>IF(OR($BJ235="",44&gt;設定!$B$3),"",IF(INDEX(原始資料!AU$2:AU$501,$BJ235)="","",INDEX(原始資料!AU$2:AU$501,$BJ235)))</f>
        <v/>
      </c>
      <c r="AT235" s="6">
        <f>IF(OR($BJ235="",45&gt;設定!$B$3),"",IF(INDEX(原始資料!AV$2:AV$501,$BJ235)="","",INDEX(原始資料!AV$2:AV$501,$BJ235)))</f>
        <v/>
      </c>
      <c r="AU235" s="6">
        <f>IF(OR($BJ235="",46&gt;設定!$B$3),"",IF(INDEX(原始資料!AW$2:AW$501,$BJ235)="","",INDEX(原始資料!AW$2:AW$501,$BJ235)))</f>
        <v/>
      </c>
      <c r="AV235" s="6">
        <f>IF(OR($BJ235="",47&gt;設定!$B$3),"",IF(INDEX(原始資料!AX$2:AX$501,$BJ235)="","",INDEX(原始資料!AX$2:AX$501,$BJ235)))</f>
        <v/>
      </c>
      <c r="AW235" s="6">
        <f>IF(OR($BJ235="",48&gt;設定!$B$3),"",IF(INDEX(原始資料!AY$2:AY$501,$BJ235)="","",INDEX(原始資料!AY$2:AY$501,$BJ235)))</f>
        <v/>
      </c>
      <c r="AX235" s="6">
        <f>IF(OR($BJ235="",49&gt;設定!$B$3),"",IF(INDEX(原始資料!AZ$2:AZ$501,$BJ235)="","",INDEX(原始資料!AZ$2:AZ$501,$BJ235)))</f>
        <v/>
      </c>
      <c r="AY235" s="6">
        <f>IF(OR($BJ235="",50&gt;設定!$B$3),"",IF(INDEX(原始資料!BA$2:BA$501,$BJ235)="","",INDEX(原始資料!BA$2:BA$501,$BJ235)))</f>
        <v/>
      </c>
      <c r="AZ235" s="6">
        <f>IF(OR($BJ235="",51&gt;設定!$B$3),"",IF(INDEX(原始資料!BB$2:BB$501,$BJ235)="","",INDEX(原始資料!BB$2:BB$501,$BJ235)))</f>
        <v/>
      </c>
      <c r="BA235" s="6">
        <f>IF(OR($BJ235="",52&gt;設定!$B$3),"",IF(INDEX(原始資料!BC$2:BC$501,$BJ235)="","",INDEX(原始資料!BC$2:BC$501,$BJ235)))</f>
        <v/>
      </c>
      <c r="BB235" s="6">
        <f>IF(OR($BJ235="",53&gt;設定!$B$3),"",IF(INDEX(原始資料!BD$2:BD$501,$BJ235)="","",INDEX(原始資料!BD$2:BD$501,$BJ235)))</f>
        <v/>
      </c>
      <c r="BC235" s="6">
        <f>IF(OR($BJ235="",54&gt;設定!$B$3),"",IF(INDEX(原始資料!BE$2:BE$501,$BJ235)="","",INDEX(原始資料!BE$2:BE$501,$BJ235)))</f>
        <v/>
      </c>
      <c r="BD235" s="6">
        <f>IF(OR($BJ235="",55&gt;設定!$B$3),"",IF(INDEX(原始資料!BF$2:BF$501,$BJ235)="","",INDEX(原始資料!BF$2:BF$501,$BJ235)))</f>
        <v/>
      </c>
      <c r="BE235" s="6">
        <f>IF(OR($BJ235="",56&gt;設定!$B$3),"",IF(INDEX(原始資料!BG$2:BG$501,$BJ235)="","",INDEX(原始資料!BG$2:BG$501,$BJ235)))</f>
        <v/>
      </c>
      <c r="BF235" s="6">
        <f>IF(OR($BJ235="",57&gt;設定!$B$3),"",IF(INDEX(原始資料!BH$2:BH$501,$BJ235)="","",INDEX(原始資料!BH$2:BH$501,$BJ235)))</f>
        <v/>
      </c>
      <c r="BG235" s="6">
        <f>IF(OR($BJ235="",58&gt;設定!$B$3),"",IF(INDEX(原始資料!BI$2:BI$501,$BJ235)="","",INDEX(原始資料!BI$2:BI$501,$BJ235)))</f>
        <v/>
      </c>
      <c r="BH235" s="6">
        <f>IF(OR($BJ235="",59&gt;設定!$B$3),"",IF(INDEX(原始資料!BJ$2:BJ$501,$BJ235)="","",INDEX(原始資料!BJ$2:BJ$501,$BJ235)))</f>
        <v/>
      </c>
      <c r="BI235" s="6">
        <f>IF(OR($BJ235="",60&gt;設定!$B$3),"",IF(INDEX(原始資料!BK$2:BK$501,$BJ235)="","",INDEX(原始資料!BK$2:BK$501,$BJ235)))</f>
        <v/>
      </c>
      <c r="BJ235" s="6">
        <f>IFERROR(MATCH(ROW()-1,判定!$H$2:$H$501,0),"")</f>
        <v/>
      </c>
    </row>
    <row r="236">
      <c r="A236" s="6">
        <f>IF($BJ236="","",INDEX(原始資料!$A$2:$A$501,$BJ236))</f>
        <v/>
      </c>
      <c r="B236" s="6">
        <f>IF(OR($BJ236="",1&gt;設定!$B$3),"",IF(INDEX(原始資料!D$2:D$501,$BJ236)="","",INDEX(原始資料!D$2:D$501,$BJ236)))</f>
        <v/>
      </c>
      <c r="C236" s="6">
        <f>IF(OR($BJ236="",2&gt;設定!$B$3),"",IF(INDEX(原始資料!E$2:E$501,$BJ236)="","",INDEX(原始資料!E$2:E$501,$BJ236)))</f>
        <v/>
      </c>
      <c r="D236" s="6">
        <f>IF(OR($BJ236="",3&gt;設定!$B$3),"",IF(INDEX(原始資料!F$2:F$501,$BJ236)="","",INDEX(原始資料!F$2:F$501,$BJ236)))</f>
        <v/>
      </c>
      <c r="E236" s="6">
        <f>IF(OR($BJ236="",4&gt;設定!$B$3),"",IF(INDEX(原始資料!G$2:G$501,$BJ236)="","",INDEX(原始資料!G$2:G$501,$BJ236)))</f>
        <v/>
      </c>
      <c r="F236" s="6">
        <f>IF(OR($BJ236="",5&gt;設定!$B$3),"",IF(INDEX(原始資料!H$2:H$501,$BJ236)="","",INDEX(原始資料!H$2:H$501,$BJ236)))</f>
        <v/>
      </c>
      <c r="G236" s="6">
        <f>IF(OR($BJ236="",6&gt;設定!$B$3),"",IF(INDEX(原始資料!I$2:I$501,$BJ236)="","",INDEX(原始資料!I$2:I$501,$BJ236)))</f>
        <v/>
      </c>
      <c r="H236" s="6">
        <f>IF(OR($BJ236="",7&gt;設定!$B$3),"",IF(INDEX(原始資料!J$2:J$501,$BJ236)="","",INDEX(原始資料!J$2:J$501,$BJ236)))</f>
        <v/>
      </c>
      <c r="I236" s="6">
        <f>IF(OR($BJ236="",8&gt;設定!$B$3),"",IF(INDEX(原始資料!K$2:K$501,$BJ236)="","",INDEX(原始資料!K$2:K$501,$BJ236)))</f>
        <v/>
      </c>
      <c r="J236" s="6">
        <f>IF(OR($BJ236="",9&gt;設定!$B$3),"",IF(INDEX(原始資料!L$2:L$501,$BJ236)="","",INDEX(原始資料!L$2:L$501,$BJ236)))</f>
        <v/>
      </c>
      <c r="K236" s="6">
        <f>IF(OR($BJ236="",10&gt;設定!$B$3),"",IF(INDEX(原始資料!M$2:M$501,$BJ236)="","",INDEX(原始資料!M$2:M$501,$BJ236)))</f>
        <v/>
      </c>
      <c r="L236" s="6">
        <f>IF(OR($BJ236="",11&gt;設定!$B$3),"",IF(INDEX(原始資料!N$2:N$501,$BJ236)="","",INDEX(原始資料!N$2:N$501,$BJ236)))</f>
        <v/>
      </c>
      <c r="M236" s="6">
        <f>IF(OR($BJ236="",12&gt;設定!$B$3),"",IF(INDEX(原始資料!O$2:O$501,$BJ236)="","",INDEX(原始資料!O$2:O$501,$BJ236)))</f>
        <v/>
      </c>
      <c r="N236" s="6">
        <f>IF(OR($BJ236="",13&gt;設定!$B$3),"",IF(INDEX(原始資料!P$2:P$501,$BJ236)="","",INDEX(原始資料!P$2:P$501,$BJ236)))</f>
        <v/>
      </c>
      <c r="O236" s="6">
        <f>IF(OR($BJ236="",14&gt;設定!$B$3),"",IF(INDEX(原始資料!Q$2:Q$501,$BJ236)="","",INDEX(原始資料!Q$2:Q$501,$BJ236)))</f>
        <v/>
      </c>
      <c r="P236" s="6">
        <f>IF(OR($BJ236="",15&gt;設定!$B$3),"",IF(INDEX(原始資料!R$2:R$501,$BJ236)="","",INDEX(原始資料!R$2:R$501,$BJ236)))</f>
        <v/>
      </c>
      <c r="Q236" s="6">
        <f>IF(OR($BJ236="",16&gt;設定!$B$3),"",IF(INDEX(原始資料!S$2:S$501,$BJ236)="","",INDEX(原始資料!S$2:S$501,$BJ236)))</f>
        <v/>
      </c>
      <c r="R236" s="6">
        <f>IF(OR($BJ236="",17&gt;設定!$B$3),"",IF(INDEX(原始資料!T$2:T$501,$BJ236)="","",INDEX(原始資料!T$2:T$501,$BJ236)))</f>
        <v/>
      </c>
      <c r="S236" s="6">
        <f>IF(OR($BJ236="",18&gt;設定!$B$3),"",IF(INDEX(原始資料!U$2:U$501,$BJ236)="","",INDEX(原始資料!U$2:U$501,$BJ236)))</f>
        <v/>
      </c>
      <c r="T236" s="6">
        <f>IF(OR($BJ236="",19&gt;設定!$B$3),"",IF(INDEX(原始資料!V$2:V$501,$BJ236)="","",INDEX(原始資料!V$2:V$501,$BJ236)))</f>
        <v/>
      </c>
      <c r="U236" s="6">
        <f>IF(OR($BJ236="",20&gt;設定!$B$3),"",IF(INDEX(原始資料!W$2:W$501,$BJ236)="","",INDEX(原始資料!W$2:W$501,$BJ236)))</f>
        <v/>
      </c>
      <c r="V236" s="6">
        <f>IF(OR($BJ236="",21&gt;設定!$B$3),"",IF(INDEX(原始資料!X$2:X$501,$BJ236)="","",INDEX(原始資料!X$2:X$501,$BJ236)))</f>
        <v/>
      </c>
      <c r="W236" s="6">
        <f>IF(OR($BJ236="",22&gt;設定!$B$3),"",IF(INDEX(原始資料!Y$2:Y$501,$BJ236)="","",INDEX(原始資料!Y$2:Y$501,$BJ236)))</f>
        <v/>
      </c>
      <c r="X236" s="6">
        <f>IF(OR($BJ236="",23&gt;設定!$B$3),"",IF(INDEX(原始資料!Z$2:Z$501,$BJ236)="","",INDEX(原始資料!Z$2:Z$501,$BJ236)))</f>
        <v/>
      </c>
      <c r="Y236" s="6">
        <f>IF(OR($BJ236="",24&gt;設定!$B$3),"",IF(INDEX(原始資料!AA$2:AA$501,$BJ236)="","",INDEX(原始資料!AA$2:AA$501,$BJ236)))</f>
        <v/>
      </c>
      <c r="Z236" s="6">
        <f>IF(OR($BJ236="",25&gt;設定!$B$3),"",IF(INDEX(原始資料!AB$2:AB$501,$BJ236)="","",INDEX(原始資料!AB$2:AB$501,$BJ236)))</f>
        <v/>
      </c>
      <c r="AA236" s="6">
        <f>IF(OR($BJ236="",26&gt;設定!$B$3),"",IF(INDEX(原始資料!AC$2:AC$501,$BJ236)="","",INDEX(原始資料!AC$2:AC$501,$BJ236)))</f>
        <v/>
      </c>
      <c r="AB236" s="6">
        <f>IF(OR($BJ236="",27&gt;設定!$B$3),"",IF(INDEX(原始資料!AD$2:AD$501,$BJ236)="","",INDEX(原始資料!AD$2:AD$501,$BJ236)))</f>
        <v/>
      </c>
      <c r="AC236" s="6">
        <f>IF(OR($BJ236="",28&gt;設定!$B$3),"",IF(INDEX(原始資料!AE$2:AE$501,$BJ236)="","",INDEX(原始資料!AE$2:AE$501,$BJ236)))</f>
        <v/>
      </c>
      <c r="AD236" s="6">
        <f>IF(OR($BJ236="",29&gt;設定!$B$3),"",IF(INDEX(原始資料!AF$2:AF$501,$BJ236)="","",INDEX(原始資料!AF$2:AF$501,$BJ236)))</f>
        <v/>
      </c>
      <c r="AE236" s="6">
        <f>IF(OR($BJ236="",30&gt;設定!$B$3),"",IF(INDEX(原始資料!AG$2:AG$501,$BJ236)="","",INDEX(原始資料!AG$2:AG$501,$BJ236)))</f>
        <v/>
      </c>
      <c r="AF236" s="6">
        <f>IF(OR($BJ236="",31&gt;設定!$B$3),"",IF(INDEX(原始資料!AH$2:AH$501,$BJ236)="","",INDEX(原始資料!AH$2:AH$501,$BJ236)))</f>
        <v/>
      </c>
      <c r="AG236" s="6">
        <f>IF(OR($BJ236="",32&gt;設定!$B$3),"",IF(INDEX(原始資料!AI$2:AI$501,$BJ236)="","",INDEX(原始資料!AI$2:AI$501,$BJ236)))</f>
        <v/>
      </c>
      <c r="AH236" s="6">
        <f>IF(OR($BJ236="",33&gt;設定!$B$3),"",IF(INDEX(原始資料!AJ$2:AJ$501,$BJ236)="","",INDEX(原始資料!AJ$2:AJ$501,$BJ236)))</f>
        <v/>
      </c>
      <c r="AI236" s="6">
        <f>IF(OR($BJ236="",34&gt;設定!$B$3),"",IF(INDEX(原始資料!AK$2:AK$501,$BJ236)="","",INDEX(原始資料!AK$2:AK$501,$BJ236)))</f>
        <v/>
      </c>
      <c r="AJ236" s="6">
        <f>IF(OR($BJ236="",35&gt;設定!$B$3),"",IF(INDEX(原始資料!AL$2:AL$501,$BJ236)="","",INDEX(原始資料!AL$2:AL$501,$BJ236)))</f>
        <v/>
      </c>
      <c r="AK236" s="6">
        <f>IF(OR($BJ236="",36&gt;設定!$B$3),"",IF(INDEX(原始資料!AM$2:AM$501,$BJ236)="","",INDEX(原始資料!AM$2:AM$501,$BJ236)))</f>
        <v/>
      </c>
      <c r="AL236" s="6">
        <f>IF(OR($BJ236="",37&gt;設定!$B$3),"",IF(INDEX(原始資料!AN$2:AN$501,$BJ236)="","",INDEX(原始資料!AN$2:AN$501,$BJ236)))</f>
        <v/>
      </c>
      <c r="AM236" s="6">
        <f>IF(OR($BJ236="",38&gt;設定!$B$3),"",IF(INDEX(原始資料!AO$2:AO$501,$BJ236)="","",INDEX(原始資料!AO$2:AO$501,$BJ236)))</f>
        <v/>
      </c>
      <c r="AN236" s="6">
        <f>IF(OR($BJ236="",39&gt;設定!$B$3),"",IF(INDEX(原始資料!AP$2:AP$501,$BJ236)="","",INDEX(原始資料!AP$2:AP$501,$BJ236)))</f>
        <v/>
      </c>
      <c r="AO236" s="6">
        <f>IF(OR($BJ236="",40&gt;設定!$B$3),"",IF(INDEX(原始資料!AQ$2:AQ$501,$BJ236)="","",INDEX(原始資料!AQ$2:AQ$501,$BJ236)))</f>
        <v/>
      </c>
      <c r="AP236" s="6">
        <f>IF(OR($BJ236="",41&gt;設定!$B$3),"",IF(INDEX(原始資料!AR$2:AR$501,$BJ236)="","",INDEX(原始資料!AR$2:AR$501,$BJ236)))</f>
        <v/>
      </c>
      <c r="AQ236" s="6">
        <f>IF(OR($BJ236="",42&gt;設定!$B$3),"",IF(INDEX(原始資料!AS$2:AS$501,$BJ236)="","",INDEX(原始資料!AS$2:AS$501,$BJ236)))</f>
        <v/>
      </c>
      <c r="AR236" s="6">
        <f>IF(OR($BJ236="",43&gt;設定!$B$3),"",IF(INDEX(原始資料!AT$2:AT$501,$BJ236)="","",INDEX(原始資料!AT$2:AT$501,$BJ236)))</f>
        <v/>
      </c>
      <c r="AS236" s="6">
        <f>IF(OR($BJ236="",44&gt;設定!$B$3),"",IF(INDEX(原始資料!AU$2:AU$501,$BJ236)="","",INDEX(原始資料!AU$2:AU$501,$BJ236)))</f>
        <v/>
      </c>
      <c r="AT236" s="6">
        <f>IF(OR($BJ236="",45&gt;設定!$B$3),"",IF(INDEX(原始資料!AV$2:AV$501,$BJ236)="","",INDEX(原始資料!AV$2:AV$501,$BJ236)))</f>
        <v/>
      </c>
      <c r="AU236" s="6">
        <f>IF(OR($BJ236="",46&gt;設定!$B$3),"",IF(INDEX(原始資料!AW$2:AW$501,$BJ236)="","",INDEX(原始資料!AW$2:AW$501,$BJ236)))</f>
        <v/>
      </c>
      <c r="AV236" s="6">
        <f>IF(OR($BJ236="",47&gt;設定!$B$3),"",IF(INDEX(原始資料!AX$2:AX$501,$BJ236)="","",INDEX(原始資料!AX$2:AX$501,$BJ236)))</f>
        <v/>
      </c>
      <c r="AW236" s="6">
        <f>IF(OR($BJ236="",48&gt;設定!$B$3),"",IF(INDEX(原始資料!AY$2:AY$501,$BJ236)="","",INDEX(原始資料!AY$2:AY$501,$BJ236)))</f>
        <v/>
      </c>
      <c r="AX236" s="6">
        <f>IF(OR($BJ236="",49&gt;設定!$B$3),"",IF(INDEX(原始資料!AZ$2:AZ$501,$BJ236)="","",INDEX(原始資料!AZ$2:AZ$501,$BJ236)))</f>
        <v/>
      </c>
      <c r="AY236" s="6">
        <f>IF(OR($BJ236="",50&gt;設定!$B$3),"",IF(INDEX(原始資料!BA$2:BA$501,$BJ236)="","",INDEX(原始資料!BA$2:BA$501,$BJ236)))</f>
        <v/>
      </c>
      <c r="AZ236" s="6">
        <f>IF(OR($BJ236="",51&gt;設定!$B$3),"",IF(INDEX(原始資料!BB$2:BB$501,$BJ236)="","",INDEX(原始資料!BB$2:BB$501,$BJ236)))</f>
        <v/>
      </c>
      <c r="BA236" s="6">
        <f>IF(OR($BJ236="",52&gt;設定!$B$3),"",IF(INDEX(原始資料!BC$2:BC$501,$BJ236)="","",INDEX(原始資料!BC$2:BC$501,$BJ236)))</f>
        <v/>
      </c>
      <c r="BB236" s="6">
        <f>IF(OR($BJ236="",53&gt;設定!$B$3),"",IF(INDEX(原始資料!BD$2:BD$501,$BJ236)="","",INDEX(原始資料!BD$2:BD$501,$BJ236)))</f>
        <v/>
      </c>
      <c r="BC236" s="6">
        <f>IF(OR($BJ236="",54&gt;設定!$B$3),"",IF(INDEX(原始資料!BE$2:BE$501,$BJ236)="","",INDEX(原始資料!BE$2:BE$501,$BJ236)))</f>
        <v/>
      </c>
      <c r="BD236" s="6">
        <f>IF(OR($BJ236="",55&gt;設定!$B$3),"",IF(INDEX(原始資料!BF$2:BF$501,$BJ236)="","",INDEX(原始資料!BF$2:BF$501,$BJ236)))</f>
        <v/>
      </c>
      <c r="BE236" s="6">
        <f>IF(OR($BJ236="",56&gt;設定!$B$3),"",IF(INDEX(原始資料!BG$2:BG$501,$BJ236)="","",INDEX(原始資料!BG$2:BG$501,$BJ236)))</f>
        <v/>
      </c>
      <c r="BF236" s="6">
        <f>IF(OR($BJ236="",57&gt;設定!$B$3),"",IF(INDEX(原始資料!BH$2:BH$501,$BJ236)="","",INDEX(原始資料!BH$2:BH$501,$BJ236)))</f>
        <v/>
      </c>
      <c r="BG236" s="6">
        <f>IF(OR($BJ236="",58&gt;設定!$B$3),"",IF(INDEX(原始資料!BI$2:BI$501,$BJ236)="","",INDEX(原始資料!BI$2:BI$501,$BJ236)))</f>
        <v/>
      </c>
      <c r="BH236" s="6">
        <f>IF(OR($BJ236="",59&gt;設定!$B$3),"",IF(INDEX(原始資料!BJ$2:BJ$501,$BJ236)="","",INDEX(原始資料!BJ$2:BJ$501,$BJ236)))</f>
        <v/>
      </c>
      <c r="BI236" s="6">
        <f>IF(OR($BJ236="",60&gt;設定!$B$3),"",IF(INDEX(原始資料!BK$2:BK$501,$BJ236)="","",INDEX(原始資料!BK$2:BK$501,$BJ236)))</f>
        <v/>
      </c>
      <c r="BJ236" s="6">
        <f>IFERROR(MATCH(ROW()-1,判定!$H$2:$H$501,0),"")</f>
        <v/>
      </c>
    </row>
    <row r="237">
      <c r="A237" s="6">
        <f>IF($BJ237="","",INDEX(原始資料!$A$2:$A$501,$BJ237))</f>
        <v/>
      </c>
      <c r="B237" s="6">
        <f>IF(OR($BJ237="",1&gt;設定!$B$3),"",IF(INDEX(原始資料!D$2:D$501,$BJ237)="","",INDEX(原始資料!D$2:D$501,$BJ237)))</f>
        <v/>
      </c>
      <c r="C237" s="6">
        <f>IF(OR($BJ237="",2&gt;設定!$B$3),"",IF(INDEX(原始資料!E$2:E$501,$BJ237)="","",INDEX(原始資料!E$2:E$501,$BJ237)))</f>
        <v/>
      </c>
      <c r="D237" s="6">
        <f>IF(OR($BJ237="",3&gt;設定!$B$3),"",IF(INDEX(原始資料!F$2:F$501,$BJ237)="","",INDEX(原始資料!F$2:F$501,$BJ237)))</f>
        <v/>
      </c>
      <c r="E237" s="6">
        <f>IF(OR($BJ237="",4&gt;設定!$B$3),"",IF(INDEX(原始資料!G$2:G$501,$BJ237)="","",INDEX(原始資料!G$2:G$501,$BJ237)))</f>
        <v/>
      </c>
      <c r="F237" s="6">
        <f>IF(OR($BJ237="",5&gt;設定!$B$3),"",IF(INDEX(原始資料!H$2:H$501,$BJ237)="","",INDEX(原始資料!H$2:H$501,$BJ237)))</f>
        <v/>
      </c>
      <c r="G237" s="6">
        <f>IF(OR($BJ237="",6&gt;設定!$B$3),"",IF(INDEX(原始資料!I$2:I$501,$BJ237)="","",INDEX(原始資料!I$2:I$501,$BJ237)))</f>
        <v/>
      </c>
      <c r="H237" s="6">
        <f>IF(OR($BJ237="",7&gt;設定!$B$3),"",IF(INDEX(原始資料!J$2:J$501,$BJ237)="","",INDEX(原始資料!J$2:J$501,$BJ237)))</f>
        <v/>
      </c>
      <c r="I237" s="6">
        <f>IF(OR($BJ237="",8&gt;設定!$B$3),"",IF(INDEX(原始資料!K$2:K$501,$BJ237)="","",INDEX(原始資料!K$2:K$501,$BJ237)))</f>
        <v/>
      </c>
      <c r="J237" s="6">
        <f>IF(OR($BJ237="",9&gt;設定!$B$3),"",IF(INDEX(原始資料!L$2:L$501,$BJ237)="","",INDEX(原始資料!L$2:L$501,$BJ237)))</f>
        <v/>
      </c>
      <c r="K237" s="6">
        <f>IF(OR($BJ237="",10&gt;設定!$B$3),"",IF(INDEX(原始資料!M$2:M$501,$BJ237)="","",INDEX(原始資料!M$2:M$501,$BJ237)))</f>
        <v/>
      </c>
      <c r="L237" s="6">
        <f>IF(OR($BJ237="",11&gt;設定!$B$3),"",IF(INDEX(原始資料!N$2:N$501,$BJ237)="","",INDEX(原始資料!N$2:N$501,$BJ237)))</f>
        <v/>
      </c>
      <c r="M237" s="6">
        <f>IF(OR($BJ237="",12&gt;設定!$B$3),"",IF(INDEX(原始資料!O$2:O$501,$BJ237)="","",INDEX(原始資料!O$2:O$501,$BJ237)))</f>
        <v/>
      </c>
      <c r="N237" s="6">
        <f>IF(OR($BJ237="",13&gt;設定!$B$3),"",IF(INDEX(原始資料!P$2:P$501,$BJ237)="","",INDEX(原始資料!P$2:P$501,$BJ237)))</f>
        <v/>
      </c>
      <c r="O237" s="6">
        <f>IF(OR($BJ237="",14&gt;設定!$B$3),"",IF(INDEX(原始資料!Q$2:Q$501,$BJ237)="","",INDEX(原始資料!Q$2:Q$501,$BJ237)))</f>
        <v/>
      </c>
      <c r="P237" s="6">
        <f>IF(OR($BJ237="",15&gt;設定!$B$3),"",IF(INDEX(原始資料!R$2:R$501,$BJ237)="","",INDEX(原始資料!R$2:R$501,$BJ237)))</f>
        <v/>
      </c>
      <c r="Q237" s="6">
        <f>IF(OR($BJ237="",16&gt;設定!$B$3),"",IF(INDEX(原始資料!S$2:S$501,$BJ237)="","",INDEX(原始資料!S$2:S$501,$BJ237)))</f>
        <v/>
      </c>
      <c r="R237" s="6">
        <f>IF(OR($BJ237="",17&gt;設定!$B$3),"",IF(INDEX(原始資料!T$2:T$501,$BJ237)="","",INDEX(原始資料!T$2:T$501,$BJ237)))</f>
        <v/>
      </c>
      <c r="S237" s="6">
        <f>IF(OR($BJ237="",18&gt;設定!$B$3),"",IF(INDEX(原始資料!U$2:U$501,$BJ237)="","",INDEX(原始資料!U$2:U$501,$BJ237)))</f>
        <v/>
      </c>
      <c r="T237" s="6">
        <f>IF(OR($BJ237="",19&gt;設定!$B$3),"",IF(INDEX(原始資料!V$2:V$501,$BJ237)="","",INDEX(原始資料!V$2:V$501,$BJ237)))</f>
        <v/>
      </c>
      <c r="U237" s="6">
        <f>IF(OR($BJ237="",20&gt;設定!$B$3),"",IF(INDEX(原始資料!W$2:W$501,$BJ237)="","",INDEX(原始資料!W$2:W$501,$BJ237)))</f>
        <v/>
      </c>
      <c r="V237" s="6">
        <f>IF(OR($BJ237="",21&gt;設定!$B$3),"",IF(INDEX(原始資料!X$2:X$501,$BJ237)="","",INDEX(原始資料!X$2:X$501,$BJ237)))</f>
        <v/>
      </c>
      <c r="W237" s="6">
        <f>IF(OR($BJ237="",22&gt;設定!$B$3),"",IF(INDEX(原始資料!Y$2:Y$501,$BJ237)="","",INDEX(原始資料!Y$2:Y$501,$BJ237)))</f>
        <v/>
      </c>
      <c r="X237" s="6">
        <f>IF(OR($BJ237="",23&gt;設定!$B$3),"",IF(INDEX(原始資料!Z$2:Z$501,$BJ237)="","",INDEX(原始資料!Z$2:Z$501,$BJ237)))</f>
        <v/>
      </c>
      <c r="Y237" s="6">
        <f>IF(OR($BJ237="",24&gt;設定!$B$3),"",IF(INDEX(原始資料!AA$2:AA$501,$BJ237)="","",INDEX(原始資料!AA$2:AA$501,$BJ237)))</f>
        <v/>
      </c>
      <c r="Z237" s="6">
        <f>IF(OR($BJ237="",25&gt;設定!$B$3),"",IF(INDEX(原始資料!AB$2:AB$501,$BJ237)="","",INDEX(原始資料!AB$2:AB$501,$BJ237)))</f>
        <v/>
      </c>
      <c r="AA237" s="6">
        <f>IF(OR($BJ237="",26&gt;設定!$B$3),"",IF(INDEX(原始資料!AC$2:AC$501,$BJ237)="","",INDEX(原始資料!AC$2:AC$501,$BJ237)))</f>
        <v/>
      </c>
      <c r="AB237" s="6">
        <f>IF(OR($BJ237="",27&gt;設定!$B$3),"",IF(INDEX(原始資料!AD$2:AD$501,$BJ237)="","",INDEX(原始資料!AD$2:AD$501,$BJ237)))</f>
        <v/>
      </c>
      <c r="AC237" s="6">
        <f>IF(OR($BJ237="",28&gt;設定!$B$3),"",IF(INDEX(原始資料!AE$2:AE$501,$BJ237)="","",INDEX(原始資料!AE$2:AE$501,$BJ237)))</f>
        <v/>
      </c>
      <c r="AD237" s="6">
        <f>IF(OR($BJ237="",29&gt;設定!$B$3),"",IF(INDEX(原始資料!AF$2:AF$501,$BJ237)="","",INDEX(原始資料!AF$2:AF$501,$BJ237)))</f>
        <v/>
      </c>
      <c r="AE237" s="6">
        <f>IF(OR($BJ237="",30&gt;設定!$B$3),"",IF(INDEX(原始資料!AG$2:AG$501,$BJ237)="","",INDEX(原始資料!AG$2:AG$501,$BJ237)))</f>
        <v/>
      </c>
      <c r="AF237" s="6">
        <f>IF(OR($BJ237="",31&gt;設定!$B$3),"",IF(INDEX(原始資料!AH$2:AH$501,$BJ237)="","",INDEX(原始資料!AH$2:AH$501,$BJ237)))</f>
        <v/>
      </c>
      <c r="AG237" s="6">
        <f>IF(OR($BJ237="",32&gt;設定!$B$3),"",IF(INDEX(原始資料!AI$2:AI$501,$BJ237)="","",INDEX(原始資料!AI$2:AI$501,$BJ237)))</f>
        <v/>
      </c>
      <c r="AH237" s="6">
        <f>IF(OR($BJ237="",33&gt;設定!$B$3),"",IF(INDEX(原始資料!AJ$2:AJ$501,$BJ237)="","",INDEX(原始資料!AJ$2:AJ$501,$BJ237)))</f>
        <v/>
      </c>
      <c r="AI237" s="6">
        <f>IF(OR($BJ237="",34&gt;設定!$B$3),"",IF(INDEX(原始資料!AK$2:AK$501,$BJ237)="","",INDEX(原始資料!AK$2:AK$501,$BJ237)))</f>
        <v/>
      </c>
      <c r="AJ237" s="6">
        <f>IF(OR($BJ237="",35&gt;設定!$B$3),"",IF(INDEX(原始資料!AL$2:AL$501,$BJ237)="","",INDEX(原始資料!AL$2:AL$501,$BJ237)))</f>
        <v/>
      </c>
      <c r="AK237" s="6">
        <f>IF(OR($BJ237="",36&gt;設定!$B$3),"",IF(INDEX(原始資料!AM$2:AM$501,$BJ237)="","",INDEX(原始資料!AM$2:AM$501,$BJ237)))</f>
        <v/>
      </c>
      <c r="AL237" s="6">
        <f>IF(OR($BJ237="",37&gt;設定!$B$3),"",IF(INDEX(原始資料!AN$2:AN$501,$BJ237)="","",INDEX(原始資料!AN$2:AN$501,$BJ237)))</f>
        <v/>
      </c>
      <c r="AM237" s="6">
        <f>IF(OR($BJ237="",38&gt;設定!$B$3),"",IF(INDEX(原始資料!AO$2:AO$501,$BJ237)="","",INDEX(原始資料!AO$2:AO$501,$BJ237)))</f>
        <v/>
      </c>
      <c r="AN237" s="6">
        <f>IF(OR($BJ237="",39&gt;設定!$B$3),"",IF(INDEX(原始資料!AP$2:AP$501,$BJ237)="","",INDEX(原始資料!AP$2:AP$501,$BJ237)))</f>
        <v/>
      </c>
      <c r="AO237" s="6">
        <f>IF(OR($BJ237="",40&gt;設定!$B$3),"",IF(INDEX(原始資料!AQ$2:AQ$501,$BJ237)="","",INDEX(原始資料!AQ$2:AQ$501,$BJ237)))</f>
        <v/>
      </c>
      <c r="AP237" s="6">
        <f>IF(OR($BJ237="",41&gt;設定!$B$3),"",IF(INDEX(原始資料!AR$2:AR$501,$BJ237)="","",INDEX(原始資料!AR$2:AR$501,$BJ237)))</f>
        <v/>
      </c>
      <c r="AQ237" s="6">
        <f>IF(OR($BJ237="",42&gt;設定!$B$3),"",IF(INDEX(原始資料!AS$2:AS$501,$BJ237)="","",INDEX(原始資料!AS$2:AS$501,$BJ237)))</f>
        <v/>
      </c>
      <c r="AR237" s="6">
        <f>IF(OR($BJ237="",43&gt;設定!$B$3),"",IF(INDEX(原始資料!AT$2:AT$501,$BJ237)="","",INDEX(原始資料!AT$2:AT$501,$BJ237)))</f>
        <v/>
      </c>
      <c r="AS237" s="6">
        <f>IF(OR($BJ237="",44&gt;設定!$B$3),"",IF(INDEX(原始資料!AU$2:AU$501,$BJ237)="","",INDEX(原始資料!AU$2:AU$501,$BJ237)))</f>
        <v/>
      </c>
      <c r="AT237" s="6">
        <f>IF(OR($BJ237="",45&gt;設定!$B$3),"",IF(INDEX(原始資料!AV$2:AV$501,$BJ237)="","",INDEX(原始資料!AV$2:AV$501,$BJ237)))</f>
        <v/>
      </c>
      <c r="AU237" s="6">
        <f>IF(OR($BJ237="",46&gt;設定!$B$3),"",IF(INDEX(原始資料!AW$2:AW$501,$BJ237)="","",INDEX(原始資料!AW$2:AW$501,$BJ237)))</f>
        <v/>
      </c>
      <c r="AV237" s="6">
        <f>IF(OR($BJ237="",47&gt;設定!$B$3),"",IF(INDEX(原始資料!AX$2:AX$501,$BJ237)="","",INDEX(原始資料!AX$2:AX$501,$BJ237)))</f>
        <v/>
      </c>
      <c r="AW237" s="6">
        <f>IF(OR($BJ237="",48&gt;設定!$B$3),"",IF(INDEX(原始資料!AY$2:AY$501,$BJ237)="","",INDEX(原始資料!AY$2:AY$501,$BJ237)))</f>
        <v/>
      </c>
      <c r="AX237" s="6">
        <f>IF(OR($BJ237="",49&gt;設定!$B$3),"",IF(INDEX(原始資料!AZ$2:AZ$501,$BJ237)="","",INDEX(原始資料!AZ$2:AZ$501,$BJ237)))</f>
        <v/>
      </c>
      <c r="AY237" s="6">
        <f>IF(OR($BJ237="",50&gt;設定!$B$3),"",IF(INDEX(原始資料!BA$2:BA$501,$BJ237)="","",INDEX(原始資料!BA$2:BA$501,$BJ237)))</f>
        <v/>
      </c>
      <c r="AZ237" s="6">
        <f>IF(OR($BJ237="",51&gt;設定!$B$3),"",IF(INDEX(原始資料!BB$2:BB$501,$BJ237)="","",INDEX(原始資料!BB$2:BB$501,$BJ237)))</f>
        <v/>
      </c>
      <c r="BA237" s="6">
        <f>IF(OR($BJ237="",52&gt;設定!$B$3),"",IF(INDEX(原始資料!BC$2:BC$501,$BJ237)="","",INDEX(原始資料!BC$2:BC$501,$BJ237)))</f>
        <v/>
      </c>
      <c r="BB237" s="6">
        <f>IF(OR($BJ237="",53&gt;設定!$B$3),"",IF(INDEX(原始資料!BD$2:BD$501,$BJ237)="","",INDEX(原始資料!BD$2:BD$501,$BJ237)))</f>
        <v/>
      </c>
      <c r="BC237" s="6">
        <f>IF(OR($BJ237="",54&gt;設定!$B$3),"",IF(INDEX(原始資料!BE$2:BE$501,$BJ237)="","",INDEX(原始資料!BE$2:BE$501,$BJ237)))</f>
        <v/>
      </c>
      <c r="BD237" s="6">
        <f>IF(OR($BJ237="",55&gt;設定!$B$3),"",IF(INDEX(原始資料!BF$2:BF$501,$BJ237)="","",INDEX(原始資料!BF$2:BF$501,$BJ237)))</f>
        <v/>
      </c>
      <c r="BE237" s="6">
        <f>IF(OR($BJ237="",56&gt;設定!$B$3),"",IF(INDEX(原始資料!BG$2:BG$501,$BJ237)="","",INDEX(原始資料!BG$2:BG$501,$BJ237)))</f>
        <v/>
      </c>
      <c r="BF237" s="6">
        <f>IF(OR($BJ237="",57&gt;設定!$B$3),"",IF(INDEX(原始資料!BH$2:BH$501,$BJ237)="","",INDEX(原始資料!BH$2:BH$501,$BJ237)))</f>
        <v/>
      </c>
      <c r="BG237" s="6">
        <f>IF(OR($BJ237="",58&gt;設定!$B$3),"",IF(INDEX(原始資料!BI$2:BI$501,$BJ237)="","",INDEX(原始資料!BI$2:BI$501,$BJ237)))</f>
        <v/>
      </c>
      <c r="BH237" s="6">
        <f>IF(OR($BJ237="",59&gt;設定!$B$3),"",IF(INDEX(原始資料!BJ$2:BJ$501,$BJ237)="","",INDEX(原始資料!BJ$2:BJ$501,$BJ237)))</f>
        <v/>
      </c>
      <c r="BI237" s="6">
        <f>IF(OR($BJ237="",60&gt;設定!$B$3),"",IF(INDEX(原始資料!BK$2:BK$501,$BJ237)="","",INDEX(原始資料!BK$2:BK$501,$BJ237)))</f>
        <v/>
      </c>
      <c r="BJ237" s="6">
        <f>IFERROR(MATCH(ROW()-1,判定!$H$2:$H$501,0),"")</f>
        <v/>
      </c>
    </row>
    <row r="238">
      <c r="A238" s="6">
        <f>IF($BJ238="","",INDEX(原始資料!$A$2:$A$501,$BJ238))</f>
        <v/>
      </c>
      <c r="B238" s="6">
        <f>IF(OR($BJ238="",1&gt;設定!$B$3),"",IF(INDEX(原始資料!D$2:D$501,$BJ238)="","",INDEX(原始資料!D$2:D$501,$BJ238)))</f>
        <v/>
      </c>
      <c r="C238" s="6">
        <f>IF(OR($BJ238="",2&gt;設定!$B$3),"",IF(INDEX(原始資料!E$2:E$501,$BJ238)="","",INDEX(原始資料!E$2:E$501,$BJ238)))</f>
        <v/>
      </c>
      <c r="D238" s="6">
        <f>IF(OR($BJ238="",3&gt;設定!$B$3),"",IF(INDEX(原始資料!F$2:F$501,$BJ238)="","",INDEX(原始資料!F$2:F$501,$BJ238)))</f>
        <v/>
      </c>
      <c r="E238" s="6">
        <f>IF(OR($BJ238="",4&gt;設定!$B$3),"",IF(INDEX(原始資料!G$2:G$501,$BJ238)="","",INDEX(原始資料!G$2:G$501,$BJ238)))</f>
        <v/>
      </c>
      <c r="F238" s="6">
        <f>IF(OR($BJ238="",5&gt;設定!$B$3),"",IF(INDEX(原始資料!H$2:H$501,$BJ238)="","",INDEX(原始資料!H$2:H$501,$BJ238)))</f>
        <v/>
      </c>
      <c r="G238" s="6">
        <f>IF(OR($BJ238="",6&gt;設定!$B$3),"",IF(INDEX(原始資料!I$2:I$501,$BJ238)="","",INDEX(原始資料!I$2:I$501,$BJ238)))</f>
        <v/>
      </c>
      <c r="H238" s="6">
        <f>IF(OR($BJ238="",7&gt;設定!$B$3),"",IF(INDEX(原始資料!J$2:J$501,$BJ238)="","",INDEX(原始資料!J$2:J$501,$BJ238)))</f>
        <v/>
      </c>
      <c r="I238" s="6">
        <f>IF(OR($BJ238="",8&gt;設定!$B$3),"",IF(INDEX(原始資料!K$2:K$501,$BJ238)="","",INDEX(原始資料!K$2:K$501,$BJ238)))</f>
        <v/>
      </c>
      <c r="J238" s="6">
        <f>IF(OR($BJ238="",9&gt;設定!$B$3),"",IF(INDEX(原始資料!L$2:L$501,$BJ238)="","",INDEX(原始資料!L$2:L$501,$BJ238)))</f>
        <v/>
      </c>
      <c r="K238" s="6">
        <f>IF(OR($BJ238="",10&gt;設定!$B$3),"",IF(INDEX(原始資料!M$2:M$501,$BJ238)="","",INDEX(原始資料!M$2:M$501,$BJ238)))</f>
        <v/>
      </c>
      <c r="L238" s="6">
        <f>IF(OR($BJ238="",11&gt;設定!$B$3),"",IF(INDEX(原始資料!N$2:N$501,$BJ238)="","",INDEX(原始資料!N$2:N$501,$BJ238)))</f>
        <v/>
      </c>
      <c r="M238" s="6">
        <f>IF(OR($BJ238="",12&gt;設定!$B$3),"",IF(INDEX(原始資料!O$2:O$501,$BJ238)="","",INDEX(原始資料!O$2:O$501,$BJ238)))</f>
        <v/>
      </c>
      <c r="N238" s="6">
        <f>IF(OR($BJ238="",13&gt;設定!$B$3),"",IF(INDEX(原始資料!P$2:P$501,$BJ238)="","",INDEX(原始資料!P$2:P$501,$BJ238)))</f>
        <v/>
      </c>
      <c r="O238" s="6">
        <f>IF(OR($BJ238="",14&gt;設定!$B$3),"",IF(INDEX(原始資料!Q$2:Q$501,$BJ238)="","",INDEX(原始資料!Q$2:Q$501,$BJ238)))</f>
        <v/>
      </c>
      <c r="P238" s="6">
        <f>IF(OR($BJ238="",15&gt;設定!$B$3),"",IF(INDEX(原始資料!R$2:R$501,$BJ238)="","",INDEX(原始資料!R$2:R$501,$BJ238)))</f>
        <v/>
      </c>
      <c r="Q238" s="6">
        <f>IF(OR($BJ238="",16&gt;設定!$B$3),"",IF(INDEX(原始資料!S$2:S$501,$BJ238)="","",INDEX(原始資料!S$2:S$501,$BJ238)))</f>
        <v/>
      </c>
      <c r="R238" s="6">
        <f>IF(OR($BJ238="",17&gt;設定!$B$3),"",IF(INDEX(原始資料!T$2:T$501,$BJ238)="","",INDEX(原始資料!T$2:T$501,$BJ238)))</f>
        <v/>
      </c>
      <c r="S238" s="6">
        <f>IF(OR($BJ238="",18&gt;設定!$B$3),"",IF(INDEX(原始資料!U$2:U$501,$BJ238)="","",INDEX(原始資料!U$2:U$501,$BJ238)))</f>
        <v/>
      </c>
      <c r="T238" s="6">
        <f>IF(OR($BJ238="",19&gt;設定!$B$3),"",IF(INDEX(原始資料!V$2:V$501,$BJ238)="","",INDEX(原始資料!V$2:V$501,$BJ238)))</f>
        <v/>
      </c>
      <c r="U238" s="6">
        <f>IF(OR($BJ238="",20&gt;設定!$B$3),"",IF(INDEX(原始資料!W$2:W$501,$BJ238)="","",INDEX(原始資料!W$2:W$501,$BJ238)))</f>
        <v/>
      </c>
      <c r="V238" s="6">
        <f>IF(OR($BJ238="",21&gt;設定!$B$3),"",IF(INDEX(原始資料!X$2:X$501,$BJ238)="","",INDEX(原始資料!X$2:X$501,$BJ238)))</f>
        <v/>
      </c>
      <c r="W238" s="6">
        <f>IF(OR($BJ238="",22&gt;設定!$B$3),"",IF(INDEX(原始資料!Y$2:Y$501,$BJ238)="","",INDEX(原始資料!Y$2:Y$501,$BJ238)))</f>
        <v/>
      </c>
      <c r="X238" s="6">
        <f>IF(OR($BJ238="",23&gt;設定!$B$3),"",IF(INDEX(原始資料!Z$2:Z$501,$BJ238)="","",INDEX(原始資料!Z$2:Z$501,$BJ238)))</f>
        <v/>
      </c>
      <c r="Y238" s="6">
        <f>IF(OR($BJ238="",24&gt;設定!$B$3),"",IF(INDEX(原始資料!AA$2:AA$501,$BJ238)="","",INDEX(原始資料!AA$2:AA$501,$BJ238)))</f>
        <v/>
      </c>
      <c r="Z238" s="6">
        <f>IF(OR($BJ238="",25&gt;設定!$B$3),"",IF(INDEX(原始資料!AB$2:AB$501,$BJ238)="","",INDEX(原始資料!AB$2:AB$501,$BJ238)))</f>
        <v/>
      </c>
      <c r="AA238" s="6">
        <f>IF(OR($BJ238="",26&gt;設定!$B$3),"",IF(INDEX(原始資料!AC$2:AC$501,$BJ238)="","",INDEX(原始資料!AC$2:AC$501,$BJ238)))</f>
        <v/>
      </c>
      <c r="AB238" s="6">
        <f>IF(OR($BJ238="",27&gt;設定!$B$3),"",IF(INDEX(原始資料!AD$2:AD$501,$BJ238)="","",INDEX(原始資料!AD$2:AD$501,$BJ238)))</f>
        <v/>
      </c>
      <c r="AC238" s="6">
        <f>IF(OR($BJ238="",28&gt;設定!$B$3),"",IF(INDEX(原始資料!AE$2:AE$501,$BJ238)="","",INDEX(原始資料!AE$2:AE$501,$BJ238)))</f>
        <v/>
      </c>
      <c r="AD238" s="6">
        <f>IF(OR($BJ238="",29&gt;設定!$B$3),"",IF(INDEX(原始資料!AF$2:AF$501,$BJ238)="","",INDEX(原始資料!AF$2:AF$501,$BJ238)))</f>
        <v/>
      </c>
      <c r="AE238" s="6">
        <f>IF(OR($BJ238="",30&gt;設定!$B$3),"",IF(INDEX(原始資料!AG$2:AG$501,$BJ238)="","",INDEX(原始資料!AG$2:AG$501,$BJ238)))</f>
        <v/>
      </c>
      <c r="AF238" s="6">
        <f>IF(OR($BJ238="",31&gt;設定!$B$3),"",IF(INDEX(原始資料!AH$2:AH$501,$BJ238)="","",INDEX(原始資料!AH$2:AH$501,$BJ238)))</f>
        <v/>
      </c>
      <c r="AG238" s="6">
        <f>IF(OR($BJ238="",32&gt;設定!$B$3),"",IF(INDEX(原始資料!AI$2:AI$501,$BJ238)="","",INDEX(原始資料!AI$2:AI$501,$BJ238)))</f>
        <v/>
      </c>
      <c r="AH238" s="6">
        <f>IF(OR($BJ238="",33&gt;設定!$B$3),"",IF(INDEX(原始資料!AJ$2:AJ$501,$BJ238)="","",INDEX(原始資料!AJ$2:AJ$501,$BJ238)))</f>
        <v/>
      </c>
      <c r="AI238" s="6">
        <f>IF(OR($BJ238="",34&gt;設定!$B$3),"",IF(INDEX(原始資料!AK$2:AK$501,$BJ238)="","",INDEX(原始資料!AK$2:AK$501,$BJ238)))</f>
        <v/>
      </c>
      <c r="AJ238" s="6">
        <f>IF(OR($BJ238="",35&gt;設定!$B$3),"",IF(INDEX(原始資料!AL$2:AL$501,$BJ238)="","",INDEX(原始資料!AL$2:AL$501,$BJ238)))</f>
        <v/>
      </c>
      <c r="AK238" s="6">
        <f>IF(OR($BJ238="",36&gt;設定!$B$3),"",IF(INDEX(原始資料!AM$2:AM$501,$BJ238)="","",INDEX(原始資料!AM$2:AM$501,$BJ238)))</f>
        <v/>
      </c>
      <c r="AL238" s="6">
        <f>IF(OR($BJ238="",37&gt;設定!$B$3),"",IF(INDEX(原始資料!AN$2:AN$501,$BJ238)="","",INDEX(原始資料!AN$2:AN$501,$BJ238)))</f>
        <v/>
      </c>
      <c r="AM238" s="6">
        <f>IF(OR($BJ238="",38&gt;設定!$B$3),"",IF(INDEX(原始資料!AO$2:AO$501,$BJ238)="","",INDEX(原始資料!AO$2:AO$501,$BJ238)))</f>
        <v/>
      </c>
      <c r="AN238" s="6">
        <f>IF(OR($BJ238="",39&gt;設定!$B$3),"",IF(INDEX(原始資料!AP$2:AP$501,$BJ238)="","",INDEX(原始資料!AP$2:AP$501,$BJ238)))</f>
        <v/>
      </c>
      <c r="AO238" s="6">
        <f>IF(OR($BJ238="",40&gt;設定!$B$3),"",IF(INDEX(原始資料!AQ$2:AQ$501,$BJ238)="","",INDEX(原始資料!AQ$2:AQ$501,$BJ238)))</f>
        <v/>
      </c>
      <c r="AP238" s="6">
        <f>IF(OR($BJ238="",41&gt;設定!$B$3),"",IF(INDEX(原始資料!AR$2:AR$501,$BJ238)="","",INDEX(原始資料!AR$2:AR$501,$BJ238)))</f>
        <v/>
      </c>
      <c r="AQ238" s="6">
        <f>IF(OR($BJ238="",42&gt;設定!$B$3),"",IF(INDEX(原始資料!AS$2:AS$501,$BJ238)="","",INDEX(原始資料!AS$2:AS$501,$BJ238)))</f>
        <v/>
      </c>
      <c r="AR238" s="6">
        <f>IF(OR($BJ238="",43&gt;設定!$B$3),"",IF(INDEX(原始資料!AT$2:AT$501,$BJ238)="","",INDEX(原始資料!AT$2:AT$501,$BJ238)))</f>
        <v/>
      </c>
      <c r="AS238" s="6">
        <f>IF(OR($BJ238="",44&gt;設定!$B$3),"",IF(INDEX(原始資料!AU$2:AU$501,$BJ238)="","",INDEX(原始資料!AU$2:AU$501,$BJ238)))</f>
        <v/>
      </c>
      <c r="AT238" s="6">
        <f>IF(OR($BJ238="",45&gt;設定!$B$3),"",IF(INDEX(原始資料!AV$2:AV$501,$BJ238)="","",INDEX(原始資料!AV$2:AV$501,$BJ238)))</f>
        <v/>
      </c>
      <c r="AU238" s="6">
        <f>IF(OR($BJ238="",46&gt;設定!$B$3),"",IF(INDEX(原始資料!AW$2:AW$501,$BJ238)="","",INDEX(原始資料!AW$2:AW$501,$BJ238)))</f>
        <v/>
      </c>
      <c r="AV238" s="6">
        <f>IF(OR($BJ238="",47&gt;設定!$B$3),"",IF(INDEX(原始資料!AX$2:AX$501,$BJ238)="","",INDEX(原始資料!AX$2:AX$501,$BJ238)))</f>
        <v/>
      </c>
      <c r="AW238" s="6">
        <f>IF(OR($BJ238="",48&gt;設定!$B$3),"",IF(INDEX(原始資料!AY$2:AY$501,$BJ238)="","",INDEX(原始資料!AY$2:AY$501,$BJ238)))</f>
        <v/>
      </c>
      <c r="AX238" s="6">
        <f>IF(OR($BJ238="",49&gt;設定!$B$3),"",IF(INDEX(原始資料!AZ$2:AZ$501,$BJ238)="","",INDEX(原始資料!AZ$2:AZ$501,$BJ238)))</f>
        <v/>
      </c>
      <c r="AY238" s="6">
        <f>IF(OR($BJ238="",50&gt;設定!$B$3),"",IF(INDEX(原始資料!BA$2:BA$501,$BJ238)="","",INDEX(原始資料!BA$2:BA$501,$BJ238)))</f>
        <v/>
      </c>
      <c r="AZ238" s="6">
        <f>IF(OR($BJ238="",51&gt;設定!$B$3),"",IF(INDEX(原始資料!BB$2:BB$501,$BJ238)="","",INDEX(原始資料!BB$2:BB$501,$BJ238)))</f>
        <v/>
      </c>
      <c r="BA238" s="6">
        <f>IF(OR($BJ238="",52&gt;設定!$B$3),"",IF(INDEX(原始資料!BC$2:BC$501,$BJ238)="","",INDEX(原始資料!BC$2:BC$501,$BJ238)))</f>
        <v/>
      </c>
      <c r="BB238" s="6">
        <f>IF(OR($BJ238="",53&gt;設定!$B$3),"",IF(INDEX(原始資料!BD$2:BD$501,$BJ238)="","",INDEX(原始資料!BD$2:BD$501,$BJ238)))</f>
        <v/>
      </c>
      <c r="BC238" s="6">
        <f>IF(OR($BJ238="",54&gt;設定!$B$3),"",IF(INDEX(原始資料!BE$2:BE$501,$BJ238)="","",INDEX(原始資料!BE$2:BE$501,$BJ238)))</f>
        <v/>
      </c>
      <c r="BD238" s="6">
        <f>IF(OR($BJ238="",55&gt;設定!$B$3),"",IF(INDEX(原始資料!BF$2:BF$501,$BJ238)="","",INDEX(原始資料!BF$2:BF$501,$BJ238)))</f>
        <v/>
      </c>
      <c r="BE238" s="6">
        <f>IF(OR($BJ238="",56&gt;設定!$B$3),"",IF(INDEX(原始資料!BG$2:BG$501,$BJ238)="","",INDEX(原始資料!BG$2:BG$501,$BJ238)))</f>
        <v/>
      </c>
      <c r="BF238" s="6">
        <f>IF(OR($BJ238="",57&gt;設定!$B$3),"",IF(INDEX(原始資料!BH$2:BH$501,$BJ238)="","",INDEX(原始資料!BH$2:BH$501,$BJ238)))</f>
        <v/>
      </c>
      <c r="BG238" s="6">
        <f>IF(OR($BJ238="",58&gt;設定!$B$3),"",IF(INDEX(原始資料!BI$2:BI$501,$BJ238)="","",INDEX(原始資料!BI$2:BI$501,$BJ238)))</f>
        <v/>
      </c>
      <c r="BH238" s="6">
        <f>IF(OR($BJ238="",59&gt;設定!$B$3),"",IF(INDEX(原始資料!BJ$2:BJ$501,$BJ238)="","",INDEX(原始資料!BJ$2:BJ$501,$BJ238)))</f>
        <v/>
      </c>
      <c r="BI238" s="6">
        <f>IF(OR($BJ238="",60&gt;設定!$B$3),"",IF(INDEX(原始資料!BK$2:BK$501,$BJ238)="","",INDEX(原始資料!BK$2:BK$501,$BJ238)))</f>
        <v/>
      </c>
      <c r="BJ238" s="6">
        <f>IFERROR(MATCH(ROW()-1,判定!$H$2:$H$501,0),"")</f>
        <v/>
      </c>
    </row>
    <row r="239">
      <c r="A239" s="6">
        <f>IF($BJ239="","",INDEX(原始資料!$A$2:$A$501,$BJ239))</f>
        <v/>
      </c>
      <c r="B239" s="6">
        <f>IF(OR($BJ239="",1&gt;設定!$B$3),"",IF(INDEX(原始資料!D$2:D$501,$BJ239)="","",INDEX(原始資料!D$2:D$501,$BJ239)))</f>
        <v/>
      </c>
      <c r="C239" s="6">
        <f>IF(OR($BJ239="",2&gt;設定!$B$3),"",IF(INDEX(原始資料!E$2:E$501,$BJ239)="","",INDEX(原始資料!E$2:E$501,$BJ239)))</f>
        <v/>
      </c>
      <c r="D239" s="6">
        <f>IF(OR($BJ239="",3&gt;設定!$B$3),"",IF(INDEX(原始資料!F$2:F$501,$BJ239)="","",INDEX(原始資料!F$2:F$501,$BJ239)))</f>
        <v/>
      </c>
      <c r="E239" s="6">
        <f>IF(OR($BJ239="",4&gt;設定!$B$3),"",IF(INDEX(原始資料!G$2:G$501,$BJ239)="","",INDEX(原始資料!G$2:G$501,$BJ239)))</f>
        <v/>
      </c>
      <c r="F239" s="6">
        <f>IF(OR($BJ239="",5&gt;設定!$B$3),"",IF(INDEX(原始資料!H$2:H$501,$BJ239)="","",INDEX(原始資料!H$2:H$501,$BJ239)))</f>
        <v/>
      </c>
      <c r="G239" s="6">
        <f>IF(OR($BJ239="",6&gt;設定!$B$3),"",IF(INDEX(原始資料!I$2:I$501,$BJ239)="","",INDEX(原始資料!I$2:I$501,$BJ239)))</f>
        <v/>
      </c>
      <c r="H239" s="6">
        <f>IF(OR($BJ239="",7&gt;設定!$B$3),"",IF(INDEX(原始資料!J$2:J$501,$BJ239)="","",INDEX(原始資料!J$2:J$501,$BJ239)))</f>
        <v/>
      </c>
      <c r="I239" s="6">
        <f>IF(OR($BJ239="",8&gt;設定!$B$3),"",IF(INDEX(原始資料!K$2:K$501,$BJ239)="","",INDEX(原始資料!K$2:K$501,$BJ239)))</f>
        <v/>
      </c>
      <c r="J239" s="6">
        <f>IF(OR($BJ239="",9&gt;設定!$B$3),"",IF(INDEX(原始資料!L$2:L$501,$BJ239)="","",INDEX(原始資料!L$2:L$501,$BJ239)))</f>
        <v/>
      </c>
      <c r="K239" s="6">
        <f>IF(OR($BJ239="",10&gt;設定!$B$3),"",IF(INDEX(原始資料!M$2:M$501,$BJ239)="","",INDEX(原始資料!M$2:M$501,$BJ239)))</f>
        <v/>
      </c>
      <c r="L239" s="6">
        <f>IF(OR($BJ239="",11&gt;設定!$B$3),"",IF(INDEX(原始資料!N$2:N$501,$BJ239)="","",INDEX(原始資料!N$2:N$501,$BJ239)))</f>
        <v/>
      </c>
      <c r="M239" s="6">
        <f>IF(OR($BJ239="",12&gt;設定!$B$3),"",IF(INDEX(原始資料!O$2:O$501,$BJ239)="","",INDEX(原始資料!O$2:O$501,$BJ239)))</f>
        <v/>
      </c>
      <c r="N239" s="6">
        <f>IF(OR($BJ239="",13&gt;設定!$B$3),"",IF(INDEX(原始資料!P$2:P$501,$BJ239)="","",INDEX(原始資料!P$2:P$501,$BJ239)))</f>
        <v/>
      </c>
      <c r="O239" s="6">
        <f>IF(OR($BJ239="",14&gt;設定!$B$3),"",IF(INDEX(原始資料!Q$2:Q$501,$BJ239)="","",INDEX(原始資料!Q$2:Q$501,$BJ239)))</f>
        <v/>
      </c>
      <c r="P239" s="6">
        <f>IF(OR($BJ239="",15&gt;設定!$B$3),"",IF(INDEX(原始資料!R$2:R$501,$BJ239)="","",INDEX(原始資料!R$2:R$501,$BJ239)))</f>
        <v/>
      </c>
      <c r="Q239" s="6">
        <f>IF(OR($BJ239="",16&gt;設定!$B$3),"",IF(INDEX(原始資料!S$2:S$501,$BJ239)="","",INDEX(原始資料!S$2:S$501,$BJ239)))</f>
        <v/>
      </c>
      <c r="R239" s="6">
        <f>IF(OR($BJ239="",17&gt;設定!$B$3),"",IF(INDEX(原始資料!T$2:T$501,$BJ239)="","",INDEX(原始資料!T$2:T$501,$BJ239)))</f>
        <v/>
      </c>
      <c r="S239" s="6">
        <f>IF(OR($BJ239="",18&gt;設定!$B$3),"",IF(INDEX(原始資料!U$2:U$501,$BJ239)="","",INDEX(原始資料!U$2:U$501,$BJ239)))</f>
        <v/>
      </c>
      <c r="T239" s="6">
        <f>IF(OR($BJ239="",19&gt;設定!$B$3),"",IF(INDEX(原始資料!V$2:V$501,$BJ239)="","",INDEX(原始資料!V$2:V$501,$BJ239)))</f>
        <v/>
      </c>
      <c r="U239" s="6">
        <f>IF(OR($BJ239="",20&gt;設定!$B$3),"",IF(INDEX(原始資料!W$2:W$501,$BJ239)="","",INDEX(原始資料!W$2:W$501,$BJ239)))</f>
        <v/>
      </c>
      <c r="V239" s="6">
        <f>IF(OR($BJ239="",21&gt;設定!$B$3),"",IF(INDEX(原始資料!X$2:X$501,$BJ239)="","",INDEX(原始資料!X$2:X$501,$BJ239)))</f>
        <v/>
      </c>
      <c r="W239" s="6">
        <f>IF(OR($BJ239="",22&gt;設定!$B$3),"",IF(INDEX(原始資料!Y$2:Y$501,$BJ239)="","",INDEX(原始資料!Y$2:Y$501,$BJ239)))</f>
        <v/>
      </c>
      <c r="X239" s="6">
        <f>IF(OR($BJ239="",23&gt;設定!$B$3),"",IF(INDEX(原始資料!Z$2:Z$501,$BJ239)="","",INDEX(原始資料!Z$2:Z$501,$BJ239)))</f>
        <v/>
      </c>
      <c r="Y239" s="6">
        <f>IF(OR($BJ239="",24&gt;設定!$B$3),"",IF(INDEX(原始資料!AA$2:AA$501,$BJ239)="","",INDEX(原始資料!AA$2:AA$501,$BJ239)))</f>
        <v/>
      </c>
      <c r="Z239" s="6">
        <f>IF(OR($BJ239="",25&gt;設定!$B$3),"",IF(INDEX(原始資料!AB$2:AB$501,$BJ239)="","",INDEX(原始資料!AB$2:AB$501,$BJ239)))</f>
        <v/>
      </c>
      <c r="AA239" s="6">
        <f>IF(OR($BJ239="",26&gt;設定!$B$3),"",IF(INDEX(原始資料!AC$2:AC$501,$BJ239)="","",INDEX(原始資料!AC$2:AC$501,$BJ239)))</f>
        <v/>
      </c>
      <c r="AB239" s="6">
        <f>IF(OR($BJ239="",27&gt;設定!$B$3),"",IF(INDEX(原始資料!AD$2:AD$501,$BJ239)="","",INDEX(原始資料!AD$2:AD$501,$BJ239)))</f>
        <v/>
      </c>
      <c r="AC239" s="6">
        <f>IF(OR($BJ239="",28&gt;設定!$B$3),"",IF(INDEX(原始資料!AE$2:AE$501,$BJ239)="","",INDEX(原始資料!AE$2:AE$501,$BJ239)))</f>
        <v/>
      </c>
      <c r="AD239" s="6">
        <f>IF(OR($BJ239="",29&gt;設定!$B$3),"",IF(INDEX(原始資料!AF$2:AF$501,$BJ239)="","",INDEX(原始資料!AF$2:AF$501,$BJ239)))</f>
        <v/>
      </c>
      <c r="AE239" s="6">
        <f>IF(OR($BJ239="",30&gt;設定!$B$3),"",IF(INDEX(原始資料!AG$2:AG$501,$BJ239)="","",INDEX(原始資料!AG$2:AG$501,$BJ239)))</f>
        <v/>
      </c>
      <c r="AF239" s="6">
        <f>IF(OR($BJ239="",31&gt;設定!$B$3),"",IF(INDEX(原始資料!AH$2:AH$501,$BJ239)="","",INDEX(原始資料!AH$2:AH$501,$BJ239)))</f>
        <v/>
      </c>
      <c r="AG239" s="6">
        <f>IF(OR($BJ239="",32&gt;設定!$B$3),"",IF(INDEX(原始資料!AI$2:AI$501,$BJ239)="","",INDEX(原始資料!AI$2:AI$501,$BJ239)))</f>
        <v/>
      </c>
      <c r="AH239" s="6">
        <f>IF(OR($BJ239="",33&gt;設定!$B$3),"",IF(INDEX(原始資料!AJ$2:AJ$501,$BJ239)="","",INDEX(原始資料!AJ$2:AJ$501,$BJ239)))</f>
        <v/>
      </c>
      <c r="AI239" s="6">
        <f>IF(OR($BJ239="",34&gt;設定!$B$3),"",IF(INDEX(原始資料!AK$2:AK$501,$BJ239)="","",INDEX(原始資料!AK$2:AK$501,$BJ239)))</f>
        <v/>
      </c>
      <c r="AJ239" s="6">
        <f>IF(OR($BJ239="",35&gt;設定!$B$3),"",IF(INDEX(原始資料!AL$2:AL$501,$BJ239)="","",INDEX(原始資料!AL$2:AL$501,$BJ239)))</f>
        <v/>
      </c>
      <c r="AK239" s="6">
        <f>IF(OR($BJ239="",36&gt;設定!$B$3),"",IF(INDEX(原始資料!AM$2:AM$501,$BJ239)="","",INDEX(原始資料!AM$2:AM$501,$BJ239)))</f>
        <v/>
      </c>
      <c r="AL239" s="6">
        <f>IF(OR($BJ239="",37&gt;設定!$B$3),"",IF(INDEX(原始資料!AN$2:AN$501,$BJ239)="","",INDEX(原始資料!AN$2:AN$501,$BJ239)))</f>
        <v/>
      </c>
      <c r="AM239" s="6">
        <f>IF(OR($BJ239="",38&gt;設定!$B$3),"",IF(INDEX(原始資料!AO$2:AO$501,$BJ239)="","",INDEX(原始資料!AO$2:AO$501,$BJ239)))</f>
        <v/>
      </c>
      <c r="AN239" s="6">
        <f>IF(OR($BJ239="",39&gt;設定!$B$3),"",IF(INDEX(原始資料!AP$2:AP$501,$BJ239)="","",INDEX(原始資料!AP$2:AP$501,$BJ239)))</f>
        <v/>
      </c>
      <c r="AO239" s="6">
        <f>IF(OR($BJ239="",40&gt;設定!$B$3),"",IF(INDEX(原始資料!AQ$2:AQ$501,$BJ239)="","",INDEX(原始資料!AQ$2:AQ$501,$BJ239)))</f>
        <v/>
      </c>
      <c r="AP239" s="6">
        <f>IF(OR($BJ239="",41&gt;設定!$B$3),"",IF(INDEX(原始資料!AR$2:AR$501,$BJ239)="","",INDEX(原始資料!AR$2:AR$501,$BJ239)))</f>
        <v/>
      </c>
      <c r="AQ239" s="6">
        <f>IF(OR($BJ239="",42&gt;設定!$B$3),"",IF(INDEX(原始資料!AS$2:AS$501,$BJ239)="","",INDEX(原始資料!AS$2:AS$501,$BJ239)))</f>
        <v/>
      </c>
      <c r="AR239" s="6">
        <f>IF(OR($BJ239="",43&gt;設定!$B$3),"",IF(INDEX(原始資料!AT$2:AT$501,$BJ239)="","",INDEX(原始資料!AT$2:AT$501,$BJ239)))</f>
        <v/>
      </c>
      <c r="AS239" s="6">
        <f>IF(OR($BJ239="",44&gt;設定!$B$3),"",IF(INDEX(原始資料!AU$2:AU$501,$BJ239)="","",INDEX(原始資料!AU$2:AU$501,$BJ239)))</f>
        <v/>
      </c>
      <c r="AT239" s="6">
        <f>IF(OR($BJ239="",45&gt;設定!$B$3),"",IF(INDEX(原始資料!AV$2:AV$501,$BJ239)="","",INDEX(原始資料!AV$2:AV$501,$BJ239)))</f>
        <v/>
      </c>
      <c r="AU239" s="6">
        <f>IF(OR($BJ239="",46&gt;設定!$B$3),"",IF(INDEX(原始資料!AW$2:AW$501,$BJ239)="","",INDEX(原始資料!AW$2:AW$501,$BJ239)))</f>
        <v/>
      </c>
      <c r="AV239" s="6">
        <f>IF(OR($BJ239="",47&gt;設定!$B$3),"",IF(INDEX(原始資料!AX$2:AX$501,$BJ239)="","",INDEX(原始資料!AX$2:AX$501,$BJ239)))</f>
        <v/>
      </c>
      <c r="AW239" s="6">
        <f>IF(OR($BJ239="",48&gt;設定!$B$3),"",IF(INDEX(原始資料!AY$2:AY$501,$BJ239)="","",INDEX(原始資料!AY$2:AY$501,$BJ239)))</f>
        <v/>
      </c>
      <c r="AX239" s="6">
        <f>IF(OR($BJ239="",49&gt;設定!$B$3),"",IF(INDEX(原始資料!AZ$2:AZ$501,$BJ239)="","",INDEX(原始資料!AZ$2:AZ$501,$BJ239)))</f>
        <v/>
      </c>
      <c r="AY239" s="6">
        <f>IF(OR($BJ239="",50&gt;設定!$B$3),"",IF(INDEX(原始資料!BA$2:BA$501,$BJ239)="","",INDEX(原始資料!BA$2:BA$501,$BJ239)))</f>
        <v/>
      </c>
      <c r="AZ239" s="6">
        <f>IF(OR($BJ239="",51&gt;設定!$B$3),"",IF(INDEX(原始資料!BB$2:BB$501,$BJ239)="","",INDEX(原始資料!BB$2:BB$501,$BJ239)))</f>
        <v/>
      </c>
      <c r="BA239" s="6">
        <f>IF(OR($BJ239="",52&gt;設定!$B$3),"",IF(INDEX(原始資料!BC$2:BC$501,$BJ239)="","",INDEX(原始資料!BC$2:BC$501,$BJ239)))</f>
        <v/>
      </c>
      <c r="BB239" s="6">
        <f>IF(OR($BJ239="",53&gt;設定!$B$3),"",IF(INDEX(原始資料!BD$2:BD$501,$BJ239)="","",INDEX(原始資料!BD$2:BD$501,$BJ239)))</f>
        <v/>
      </c>
      <c r="BC239" s="6">
        <f>IF(OR($BJ239="",54&gt;設定!$B$3),"",IF(INDEX(原始資料!BE$2:BE$501,$BJ239)="","",INDEX(原始資料!BE$2:BE$501,$BJ239)))</f>
        <v/>
      </c>
      <c r="BD239" s="6">
        <f>IF(OR($BJ239="",55&gt;設定!$B$3),"",IF(INDEX(原始資料!BF$2:BF$501,$BJ239)="","",INDEX(原始資料!BF$2:BF$501,$BJ239)))</f>
        <v/>
      </c>
      <c r="BE239" s="6">
        <f>IF(OR($BJ239="",56&gt;設定!$B$3),"",IF(INDEX(原始資料!BG$2:BG$501,$BJ239)="","",INDEX(原始資料!BG$2:BG$501,$BJ239)))</f>
        <v/>
      </c>
      <c r="BF239" s="6">
        <f>IF(OR($BJ239="",57&gt;設定!$B$3),"",IF(INDEX(原始資料!BH$2:BH$501,$BJ239)="","",INDEX(原始資料!BH$2:BH$501,$BJ239)))</f>
        <v/>
      </c>
      <c r="BG239" s="6">
        <f>IF(OR($BJ239="",58&gt;設定!$B$3),"",IF(INDEX(原始資料!BI$2:BI$501,$BJ239)="","",INDEX(原始資料!BI$2:BI$501,$BJ239)))</f>
        <v/>
      </c>
      <c r="BH239" s="6">
        <f>IF(OR($BJ239="",59&gt;設定!$B$3),"",IF(INDEX(原始資料!BJ$2:BJ$501,$BJ239)="","",INDEX(原始資料!BJ$2:BJ$501,$BJ239)))</f>
        <v/>
      </c>
      <c r="BI239" s="6">
        <f>IF(OR($BJ239="",60&gt;設定!$B$3),"",IF(INDEX(原始資料!BK$2:BK$501,$BJ239)="","",INDEX(原始資料!BK$2:BK$501,$BJ239)))</f>
        <v/>
      </c>
      <c r="BJ239" s="6">
        <f>IFERROR(MATCH(ROW()-1,判定!$H$2:$H$501,0),"")</f>
        <v/>
      </c>
    </row>
    <row r="240">
      <c r="A240" s="6">
        <f>IF($BJ240="","",INDEX(原始資料!$A$2:$A$501,$BJ240))</f>
        <v/>
      </c>
      <c r="B240" s="6">
        <f>IF(OR($BJ240="",1&gt;設定!$B$3),"",IF(INDEX(原始資料!D$2:D$501,$BJ240)="","",INDEX(原始資料!D$2:D$501,$BJ240)))</f>
        <v/>
      </c>
      <c r="C240" s="6">
        <f>IF(OR($BJ240="",2&gt;設定!$B$3),"",IF(INDEX(原始資料!E$2:E$501,$BJ240)="","",INDEX(原始資料!E$2:E$501,$BJ240)))</f>
        <v/>
      </c>
      <c r="D240" s="6">
        <f>IF(OR($BJ240="",3&gt;設定!$B$3),"",IF(INDEX(原始資料!F$2:F$501,$BJ240)="","",INDEX(原始資料!F$2:F$501,$BJ240)))</f>
        <v/>
      </c>
      <c r="E240" s="6">
        <f>IF(OR($BJ240="",4&gt;設定!$B$3),"",IF(INDEX(原始資料!G$2:G$501,$BJ240)="","",INDEX(原始資料!G$2:G$501,$BJ240)))</f>
        <v/>
      </c>
      <c r="F240" s="6">
        <f>IF(OR($BJ240="",5&gt;設定!$B$3),"",IF(INDEX(原始資料!H$2:H$501,$BJ240)="","",INDEX(原始資料!H$2:H$501,$BJ240)))</f>
        <v/>
      </c>
      <c r="G240" s="6">
        <f>IF(OR($BJ240="",6&gt;設定!$B$3),"",IF(INDEX(原始資料!I$2:I$501,$BJ240)="","",INDEX(原始資料!I$2:I$501,$BJ240)))</f>
        <v/>
      </c>
      <c r="H240" s="6">
        <f>IF(OR($BJ240="",7&gt;設定!$B$3),"",IF(INDEX(原始資料!J$2:J$501,$BJ240)="","",INDEX(原始資料!J$2:J$501,$BJ240)))</f>
        <v/>
      </c>
      <c r="I240" s="6">
        <f>IF(OR($BJ240="",8&gt;設定!$B$3),"",IF(INDEX(原始資料!K$2:K$501,$BJ240)="","",INDEX(原始資料!K$2:K$501,$BJ240)))</f>
        <v/>
      </c>
      <c r="J240" s="6">
        <f>IF(OR($BJ240="",9&gt;設定!$B$3),"",IF(INDEX(原始資料!L$2:L$501,$BJ240)="","",INDEX(原始資料!L$2:L$501,$BJ240)))</f>
        <v/>
      </c>
      <c r="K240" s="6">
        <f>IF(OR($BJ240="",10&gt;設定!$B$3),"",IF(INDEX(原始資料!M$2:M$501,$BJ240)="","",INDEX(原始資料!M$2:M$501,$BJ240)))</f>
        <v/>
      </c>
      <c r="L240" s="6">
        <f>IF(OR($BJ240="",11&gt;設定!$B$3),"",IF(INDEX(原始資料!N$2:N$501,$BJ240)="","",INDEX(原始資料!N$2:N$501,$BJ240)))</f>
        <v/>
      </c>
      <c r="M240" s="6">
        <f>IF(OR($BJ240="",12&gt;設定!$B$3),"",IF(INDEX(原始資料!O$2:O$501,$BJ240)="","",INDEX(原始資料!O$2:O$501,$BJ240)))</f>
        <v/>
      </c>
      <c r="N240" s="6">
        <f>IF(OR($BJ240="",13&gt;設定!$B$3),"",IF(INDEX(原始資料!P$2:P$501,$BJ240)="","",INDEX(原始資料!P$2:P$501,$BJ240)))</f>
        <v/>
      </c>
      <c r="O240" s="6">
        <f>IF(OR($BJ240="",14&gt;設定!$B$3),"",IF(INDEX(原始資料!Q$2:Q$501,$BJ240)="","",INDEX(原始資料!Q$2:Q$501,$BJ240)))</f>
        <v/>
      </c>
      <c r="P240" s="6">
        <f>IF(OR($BJ240="",15&gt;設定!$B$3),"",IF(INDEX(原始資料!R$2:R$501,$BJ240)="","",INDEX(原始資料!R$2:R$501,$BJ240)))</f>
        <v/>
      </c>
      <c r="Q240" s="6">
        <f>IF(OR($BJ240="",16&gt;設定!$B$3),"",IF(INDEX(原始資料!S$2:S$501,$BJ240)="","",INDEX(原始資料!S$2:S$501,$BJ240)))</f>
        <v/>
      </c>
      <c r="R240" s="6">
        <f>IF(OR($BJ240="",17&gt;設定!$B$3),"",IF(INDEX(原始資料!T$2:T$501,$BJ240)="","",INDEX(原始資料!T$2:T$501,$BJ240)))</f>
        <v/>
      </c>
      <c r="S240" s="6">
        <f>IF(OR($BJ240="",18&gt;設定!$B$3),"",IF(INDEX(原始資料!U$2:U$501,$BJ240)="","",INDEX(原始資料!U$2:U$501,$BJ240)))</f>
        <v/>
      </c>
      <c r="T240" s="6">
        <f>IF(OR($BJ240="",19&gt;設定!$B$3),"",IF(INDEX(原始資料!V$2:V$501,$BJ240)="","",INDEX(原始資料!V$2:V$501,$BJ240)))</f>
        <v/>
      </c>
      <c r="U240" s="6">
        <f>IF(OR($BJ240="",20&gt;設定!$B$3),"",IF(INDEX(原始資料!W$2:W$501,$BJ240)="","",INDEX(原始資料!W$2:W$501,$BJ240)))</f>
        <v/>
      </c>
      <c r="V240" s="6">
        <f>IF(OR($BJ240="",21&gt;設定!$B$3),"",IF(INDEX(原始資料!X$2:X$501,$BJ240)="","",INDEX(原始資料!X$2:X$501,$BJ240)))</f>
        <v/>
      </c>
      <c r="W240" s="6">
        <f>IF(OR($BJ240="",22&gt;設定!$B$3),"",IF(INDEX(原始資料!Y$2:Y$501,$BJ240)="","",INDEX(原始資料!Y$2:Y$501,$BJ240)))</f>
        <v/>
      </c>
      <c r="X240" s="6">
        <f>IF(OR($BJ240="",23&gt;設定!$B$3),"",IF(INDEX(原始資料!Z$2:Z$501,$BJ240)="","",INDEX(原始資料!Z$2:Z$501,$BJ240)))</f>
        <v/>
      </c>
      <c r="Y240" s="6">
        <f>IF(OR($BJ240="",24&gt;設定!$B$3),"",IF(INDEX(原始資料!AA$2:AA$501,$BJ240)="","",INDEX(原始資料!AA$2:AA$501,$BJ240)))</f>
        <v/>
      </c>
      <c r="Z240" s="6">
        <f>IF(OR($BJ240="",25&gt;設定!$B$3),"",IF(INDEX(原始資料!AB$2:AB$501,$BJ240)="","",INDEX(原始資料!AB$2:AB$501,$BJ240)))</f>
        <v/>
      </c>
      <c r="AA240" s="6">
        <f>IF(OR($BJ240="",26&gt;設定!$B$3),"",IF(INDEX(原始資料!AC$2:AC$501,$BJ240)="","",INDEX(原始資料!AC$2:AC$501,$BJ240)))</f>
        <v/>
      </c>
      <c r="AB240" s="6">
        <f>IF(OR($BJ240="",27&gt;設定!$B$3),"",IF(INDEX(原始資料!AD$2:AD$501,$BJ240)="","",INDEX(原始資料!AD$2:AD$501,$BJ240)))</f>
        <v/>
      </c>
      <c r="AC240" s="6">
        <f>IF(OR($BJ240="",28&gt;設定!$B$3),"",IF(INDEX(原始資料!AE$2:AE$501,$BJ240)="","",INDEX(原始資料!AE$2:AE$501,$BJ240)))</f>
        <v/>
      </c>
      <c r="AD240" s="6">
        <f>IF(OR($BJ240="",29&gt;設定!$B$3),"",IF(INDEX(原始資料!AF$2:AF$501,$BJ240)="","",INDEX(原始資料!AF$2:AF$501,$BJ240)))</f>
        <v/>
      </c>
      <c r="AE240" s="6">
        <f>IF(OR($BJ240="",30&gt;設定!$B$3),"",IF(INDEX(原始資料!AG$2:AG$501,$BJ240)="","",INDEX(原始資料!AG$2:AG$501,$BJ240)))</f>
        <v/>
      </c>
      <c r="AF240" s="6">
        <f>IF(OR($BJ240="",31&gt;設定!$B$3),"",IF(INDEX(原始資料!AH$2:AH$501,$BJ240)="","",INDEX(原始資料!AH$2:AH$501,$BJ240)))</f>
        <v/>
      </c>
      <c r="AG240" s="6">
        <f>IF(OR($BJ240="",32&gt;設定!$B$3),"",IF(INDEX(原始資料!AI$2:AI$501,$BJ240)="","",INDEX(原始資料!AI$2:AI$501,$BJ240)))</f>
        <v/>
      </c>
      <c r="AH240" s="6">
        <f>IF(OR($BJ240="",33&gt;設定!$B$3),"",IF(INDEX(原始資料!AJ$2:AJ$501,$BJ240)="","",INDEX(原始資料!AJ$2:AJ$501,$BJ240)))</f>
        <v/>
      </c>
      <c r="AI240" s="6">
        <f>IF(OR($BJ240="",34&gt;設定!$B$3),"",IF(INDEX(原始資料!AK$2:AK$501,$BJ240)="","",INDEX(原始資料!AK$2:AK$501,$BJ240)))</f>
        <v/>
      </c>
      <c r="AJ240" s="6">
        <f>IF(OR($BJ240="",35&gt;設定!$B$3),"",IF(INDEX(原始資料!AL$2:AL$501,$BJ240)="","",INDEX(原始資料!AL$2:AL$501,$BJ240)))</f>
        <v/>
      </c>
      <c r="AK240" s="6">
        <f>IF(OR($BJ240="",36&gt;設定!$B$3),"",IF(INDEX(原始資料!AM$2:AM$501,$BJ240)="","",INDEX(原始資料!AM$2:AM$501,$BJ240)))</f>
        <v/>
      </c>
      <c r="AL240" s="6">
        <f>IF(OR($BJ240="",37&gt;設定!$B$3),"",IF(INDEX(原始資料!AN$2:AN$501,$BJ240)="","",INDEX(原始資料!AN$2:AN$501,$BJ240)))</f>
        <v/>
      </c>
      <c r="AM240" s="6">
        <f>IF(OR($BJ240="",38&gt;設定!$B$3),"",IF(INDEX(原始資料!AO$2:AO$501,$BJ240)="","",INDEX(原始資料!AO$2:AO$501,$BJ240)))</f>
        <v/>
      </c>
      <c r="AN240" s="6">
        <f>IF(OR($BJ240="",39&gt;設定!$B$3),"",IF(INDEX(原始資料!AP$2:AP$501,$BJ240)="","",INDEX(原始資料!AP$2:AP$501,$BJ240)))</f>
        <v/>
      </c>
      <c r="AO240" s="6">
        <f>IF(OR($BJ240="",40&gt;設定!$B$3),"",IF(INDEX(原始資料!AQ$2:AQ$501,$BJ240)="","",INDEX(原始資料!AQ$2:AQ$501,$BJ240)))</f>
        <v/>
      </c>
      <c r="AP240" s="6">
        <f>IF(OR($BJ240="",41&gt;設定!$B$3),"",IF(INDEX(原始資料!AR$2:AR$501,$BJ240)="","",INDEX(原始資料!AR$2:AR$501,$BJ240)))</f>
        <v/>
      </c>
      <c r="AQ240" s="6">
        <f>IF(OR($BJ240="",42&gt;設定!$B$3),"",IF(INDEX(原始資料!AS$2:AS$501,$BJ240)="","",INDEX(原始資料!AS$2:AS$501,$BJ240)))</f>
        <v/>
      </c>
      <c r="AR240" s="6">
        <f>IF(OR($BJ240="",43&gt;設定!$B$3),"",IF(INDEX(原始資料!AT$2:AT$501,$BJ240)="","",INDEX(原始資料!AT$2:AT$501,$BJ240)))</f>
        <v/>
      </c>
      <c r="AS240" s="6">
        <f>IF(OR($BJ240="",44&gt;設定!$B$3),"",IF(INDEX(原始資料!AU$2:AU$501,$BJ240)="","",INDEX(原始資料!AU$2:AU$501,$BJ240)))</f>
        <v/>
      </c>
      <c r="AT240" s="6">
        <f>IF(OR($BJ240="",45&gt;設定!$B$3),"",IF(INDEX(原始資料!AV$2:AV$501,$BJ240)="","",INDEX(原始資料!AV$2:AV$501,$BJ240)))</f>
        <v/>
      </c>
      <c r="AU240" s="6">
        <f>IF(OR($BJ240="",46&gt;設定!$B$3),"",IF(INDEX(原始資料!AW$2:AW$501,$BJ240)="","",INDEX(原始資料!AW$2:AW$501,$BJ240)))</f>
        <v/>
      </c>
      <c r="AV240" s="6">
        <f>IF(OR($BJ240="",47&gt;設定!$B$3),"",IF(INDEX(原始資料!AX$2:AX$501,$BJ240)="","",INDEX(原始資料!AX$2:AX$501,$BJ240)))</f>
        <v/>
      </c>
      <c r="AW240" s="6">
        <f>IF(OR($BJ240="",48&gt;設定!$B$3),"",IF(INDEX(原始資料!AY$2:AY$501,$BJ240)="","",INDEX(原始資料!AY$2:AY$501,$BJ240)))</f>
        <v/>
      </c>
      <c r="AX240" s="6">
        <f>IF(OR($BJ240="",49&gt;設定!$B$3),"",IF(INDEX(原始資料!AZ$2:AZ$501,$BJ240)="","",INDEX(原始資料!AZ$2:AZ$501,$BJ240)))</f>
        <v/>
      </c>
      <c r="AY240" s="6">
        <f>IF(OR($BJ240="",50&gt;設定!$B$3),"",IF(INDEX(原始資料!BA$2:BA$501,$BJ240)="","",INDEX(原始資料!BA$2:BA$501,$BJ240)))</f>
        <v/>
      </c>
      <c r="AZ240" s="6">
        <f>IF(OR($BJ240="",51&gt;設定!$B$3),"",IF(INDEX(原始資料!BB$2:BB$501,$BJ240)="","",INDEX(原始資料!BB$2:BB$501,$BJ240)))</f>
        <v/>
      </c>
      <c r="BA240" s="6">
        <f>IF(OR($BJ240="",52&gt;設定!$B$3),"",IF(INDEX(原始資料!BC$2:BC$501,$BJ240)="","",INDEX(原始資料!BC$2:BC$501,$BJ240)))</f>
        <v/>
      </c>
      <c r="BB240" s="6">
        <f>IF(OR($BJ240="",53&gt;設定!$B$3),"",IF(INDEX(原始資料!BD$2:BD$501,$BJ240)="","",INDEX(原始資料!BD$2:BD$501,$BJ240)))</f>
        <v/>
      </c>
      <c r="BC240" s="6">
        <f>IF(OR($BJ240="",54&gt;設定!$B$3),"",IF(INDEX(原始資料!BE$2:BE$501,$BJ240)="","",INDEX(原始資料!BE$2:BE$501,$BJ240)))</f>
        <v/>
      </c>
      <c r="BD240" s="6">
        <f>IF(OR($BJ240="",55&gt;設定!$B$3),"",IF(INDEX(原始資料!BF$2:BF$501,$BJ240)="","",INDEX(原始資料!BF$2:BF$501,$BJ240)))</f>
        <v/>
      </c>
      <c r="BE240" s="6">
        <f>IF(OR($BJ240="",56&gt;設定!$B$3),"",IF(INDEX(原始資料!BG$2:BG$501,$BJ240)="","",INDEX(原始資料!BG$2:BG$501,$BJ240)))</f>
        <v/>
      </c>
      <c r="BF240" s="6">
        <f>IF(OR($BJ240="",57&gt;設定!$B$3),"",IF(INDEX(原始資料!BH$2:BH$501,$BJ240)="","",INDEX(原始資料!BH$2:BH$501,$BJ240)))</f>
        <v/>
      </c>
      <c r="BG240" s="6">
        <f>IF(OR($BJ240="",58&gt;設定!$B$3),"",IF(INDEX(原始資料!BI$2:BI$501,$BJ240)="","",INDEX(原始資料!BI$2:BI$501,$BJ240)))</f>
        <v/>
      </c>
      <c r="BH240" s="6">
        <f>IF(OR($BJ240="",59&gt;設定!$B$3),"",IF(INDEX(原始資料!BJ$2:BJ$501,$BJ240)="","",INDEX(原始資料!BJ$2:BJ$501,$BJ240)))</f>
        <v/>
      </c>
      <c r="BI240" s="6">
        <f>IF(OR($BJ240="",60&gt;設定!$B$3),"",IF(INDEX(原始資料!BK$2:BK$501,$BJ240)="","",INDEX(原始資料!BK$2:BK$501,$BJ240)))</f>
        <v/>
      </c>
      <c r="BJ240" s="6">
        <f>IFERROR(MATCH(ROW()-1,判定!$H$2:$H$501,0),"")</f>
        <v/>
      </c>
    </row>
    <row r="241">
      <c r="A241" s="6">
        <f>IF($BJ241="","",INDEX(原始資料!$A$2:$A$501,$BJ241))</f>
        <v/>
      </c>
      <c r="B241" s="6">
        <f>IF(OR($BJ241="",1&gt;設定!$B$3),"",IF(INDEX(原始資料!D$2:D$501,$BJ241)="","",INDEX(原始資料!D$2:D$501,$BJ241)))</f>
        <v/>
      </c>
      <c r="C241" s="6">
        <f>IF(OR($BJ241="",2&gt;設定!$B$3),"",IF(INDEX(原始資料!E$2:E$501,$BJ241)="","",INDEX(原始資料!E$2:E$501,$BJ241)))</f>
        <v/>
      </c>
      <c r="D241" s="6">
        <f>IF(OR($BJ241="",3&gt;設定!$B$3),"",IF(INDEX(原始資料!F$2:F$501,$BJ241)="","",INDEX(原始資料!F$2:F$501,$BJ241)))</f>
        <v/>
      </c>
      <c r="E241" s="6">
        <f>IF(OR($BJ241="",4&gt;設定!$B$3),"",IF(INDEX(原始資料!G$2:G$501,$BJ241)="","",INDEX(原始資料!G$2:G$501,$BJ241)))</f>
        <v/>
      </c>
      <c r="F241" s="6">
        <f>IF(OR($BJ241="",5&gt;設定!$B$3),"",IF(INDEX(原始資料!H$2:H$501,$BJ241)="","",INDEX(原始資料!H$2:H$501,$BJ241)))</f>
        <v/>
      </c>
      <c r="G241" s="6">
        <f>IF(OR($BJ241="",6&gt;設定!$B$3),"",IF(INDEX(原始資料!I$2:I$501,$BJ241)="","",INDEX(原始資料!I$2:I$501,$BJ241)))</f>
        <v/>
      </c>
      <c r="H241" s="6">
        <f>IF(OR($BJ241="",7&gt;設定!$B$3),"",IF(INDEX(原始資料!J$2:J$501,$BJ241)="","",INDEX(原始資料!J$2:J$501,$BJ241)))</f>
        <v/>
      </c>
      <c r="I241" s="6">
        <f>IF(OR($BJ241="",8&gt;設定!$B$3),"",IF(INDEX(原始資料!K$2:K$501,$BJ241)="","",INDEX(原始資料!K$2:K$501,$BJ241)))</f>
        <v/>
      </c>
      <c r="J241" s="6">
        <f>IF(OR($BJ241="",9&gt;設定!$B$3),"",IF(INDEX(原始資料!L$2:L$501,$BJ241)="","",INDEX(原始資料!L$2:L$501,$BJ241)))</f>
        <v/>
      </c>
      <c r="K241" s="6">
        <f>IF(OR($BJ241="",10&gt;設定!$B$3),"",IF(INDEX(原始資料!M$2:M$501,$BJ241)="","",INDEX(原始資料!M$2:M$501,$BJ241)))</f>
        <v/>
      </c>
      <c r="L241" s="6">
        <f>IF(OR($BJ241="",11&gt;設定!$B$3),"",IF(INDEX(原始資料!N$2:N$501,$BJ241)="","",INDEX(原始資料!N$2:N$501,$BJ241)))</f>
        <v/>
      </c>
      <c r="M241" s="6">
        <f>IF(OR($BJ241="",12&gt;設定!$B$3),"",IF(INDEX(原始資料!O$2:O$501,$BJ241)="","",INDEX(原始資料!O$2:O$501,$BJ241)))</f>
        <v/>
      </c>
      <c r="N241" s="6">
        <f>IF(OR($BJ241="",13&gt;設定!$B$3),"",IF(INDEX(原始資料!P$2:P$501,$BJ241)="","",INDEX(原始資料!P$2:P$501,$BJ241)))</f>
        <v/>
      </c>
      <c r="O241" s="6">
        <f>IF(OR($BJ241="",14&gt;設定!$B$3),"",IF(INDEX(原始資料!Q$2:Q$501,$BJ241)="","",INDEX(原始資料!Q$2:Q$501,$BJ241)))</f>
        <v/>
      </c>
      <c r="P241" s="6">
        <f>IF(OR($BJ241="",15&gt;設定!$B$3),"",IF(INDEX(原始資料!R$2:R$501,$BJ241)="","",INDEX(原始資料!R$2:R$501,$BJ241)))</f>
        <v/>
      </c>
      <c r="Q241" s="6">
        <f>IF(OR($BJ241="",16&gt;設定!$B$3),"",IF(INDEX(原始資料!S$2:S$501,$BJ241)="","",INDEX(原始資料!S$2:S$501,$BJ241)))</f>
        <v/>
      </c>
      <c r="R241" s="6">
        <f>IF(OR($BJ241="",17&gt;設定!$B$3),"",IF(INDEX(原始資料!T$2:T$501,$BJ241)="","",INDEX(原始資料!T$2:T$501,$BJ241)))</f>
        <v/>
      </c>
      <c r="S241" s="6">
        <f>IF(OR($BJ241="",18&gt;設定!$B$3),"",IF(INDEX(原始資料!U$2:U$501,$BJ241)="","",INDEX(原始資料!U$2:U$501,$BJ241)))</f>
        <v/>
      </c>
      <c r="T241" s="6">
        <f>IF(OR($BJ241="",19&gt;設定!$B$3),"",IF(INDEX(原始資料!V$2:V$501,$BJ241)="","",INDEX(原始資料!V$2:V$501,$BJ241)))</f>
        <v/>
      </c>
      <c r="U241" s="6">
        <f>IF(OR($BJ241="",20&gt;設定!$B$3),"",IF(INDEX(原始資料!W$2:W$501,$BJ241)="","",INDEX(原始資料!W$2:W$501,$BJ241)))</f>
        <v/>
      </c>
      <c r="V241" s="6">
        <f>IF(OR($BJ241="",21&gt;設定!$B$3),"",IF(INDEX(原始資料!X$2:X$501,$BJ241)="","",INDEX(原始資料!X$2:X$501,$BJ241)))</f>
        <v/>
      </c>
      <c r="W241" s="6">
        <f>IF(OR($BJ241="",22&gt;設定!$B$3),"",IF(INDEX(原始資料!Y$2:Y$501,$BJ241)="","",INDEX(原始資料!Y$2:Y$501,$BJ241)))</f>
        <v/>
      </c>
      <c r="X241" s="6">
        <f>IF(OR($BJ241="",23&gt;設定!$B$3),"",IF(INDEX(原始資料!Z$2:Z$501,$BJ241)="","",INDEX(原始資料!Z$2:Z$501,$BJ241)))</f>
        <v/>
      </c>
      <c r="Y241" s="6">
        <f>IF(OR($BJ241="",24&gt;設定!$B$3),"",IF(INDEX(原始資料!AA$2:AA$501,$BJ241)="","",INDEX(原始資料!AA$2:AA$501,$BJ241)))</f>
        <v/>
      </c>
      <c r="Z241" s="6">
        <f>IF(OR($BJ241="",25&gt;設定!$B$3),"",IF(INDEX(原始資料!AB$2:AB$501,$BJ241)="","",INDEX(原始資料!AB$2:AB$501,$BJ241)))</f>
        <v/>
      </c>
      <c r="AA241" s="6">
        <f>IF(OR($BJ241="",26&gt;設定!$B$3),"",IF(INDEX(原始資料!AC$2:AC$501,$BJ241)="","",INDEX(原始資料!AC$2:AC$501,$BJ241)))</f>
        <v/>
      </c>
      <c r="AB241" s="6">
        <f>IF(OR($BJ241="",27&gt;設定!$B$3),"",IF(INDEX(原始資料!AD$2:AD$501,$BJ241)="","",INDEX(原始資料!AD$2:AD$501,$BJ241)))</f>
        <v/>
      </c>
      <c r="AC241" s="6">
        <f>IF(OR($BJ241="",28&gt;設定!$B$3),"",IF(INDEX(原始資料!AE$2:AE$501,$BJ241)="","",INDEX(原始資料!AE$2:AE$501,$BJ241)))</f>
        <v/>
      </c>
      <c r="AD241" s="6">
        <f>IF(OR($BJ241="",29&gt;設定!$B$3),"",IF(INDEX(原始資料!AF$2:AF$501,$BJ241)="","",INDEX(原始資料!AF$2:AF$501,$BJ241)))</f>
        <v/>
      </c>
      <c r="AE241" s="6">
        <f>IF(OR($BJ241="",30&gt;設定!$B$3),"",IF(INDEX(原始資料!AG$2:AG$501,$BJ241)="","",INDEX(原始資料!AG$2:AG$501,$BJ241)))</f>
        <v/>
      </c>
      <c r="AF241" s="6">
        <f>IF(OR($BJ241="",31&gt;設定!$B$3),"",IF(INDEX(原始資料!AH$2:AH$501,$BJ241)="","",INDEX(原始資料!AH$2:AH$501,$BJ241)))</f>
        <v/>
      </c>
      <c r="AG241" s="6">
        <f>IF(OR($BJ241="",32&gt;設定!$B$3),"",IF(INDEX(原始資料!AI$2:AI$501,$BJ241)="","",INDEX(原始資料!AI$2:AI$501,$BJ241)))</f>
        <v/>
      </c>
      <c r="AH241" s="6">
        <f>IF(OR($BJ241="",33&gt;設定!$B$3),"",IF(INDEX(原始資料!AJ$2:AJ$501,$BJ241)="","",INDEX(原始資料!AJ$2:AJ$501,$BJ241)))</f>
        <v/>
      </c>
      <c r="AI241" s="6">
        <f>IF(OR($BJ241="",34&gt;設定!$B$3),"",IF(INDEX(原始資料!AK$2:AK$501,$BJ241)="","",INDEX(原始資料!AK$2:AK$501,$BJ241)))</f>
        <v/>
      </c>
      <c r="AJ241" s="6">
        <f>IF(OR($BJ241="",35&gt;設定!$B$3),"",IF(INDEX(原始資料!AL$2:AL$501,$BJ241)="","",INDEX(原始資料!AL$2:AL$501,$BJ241)))</f>
        <v/>
      </c>
      <c r="AK241" s="6">
        <f>IF(OR($BJ241="",36&gt;設定!$B$3),"",IF(INDEX(原始資料!AM$2:AM$501,$BJ241)="","",INDEX(原始資料!AM$2:AM$501,$BJ241)))</f>
        <v/>
      </c>
      <c r="AL241" s="6">
        <f>IF(OR($BJ241="",37&gt;設定!$B$3),"",IF(INDEX(原始資料!AN$2:AN$501,$BJ241)="","",INDEX(原始資料!AN$2:AN$501,$BJ241)))</f>
        <v/>
      </c>
      <c r="AM241" s="6">
        <f>IF(OR($BJ241="",38&gt;設定!$B$3),"",IF(INDEX(原始資料!AO$2:AO$501,$BJ241)="","",INDEX(原始資料!AO$2:AO$501,$BJ241)))</f>
        <v/>
      </c>
      <c r="AN241" s="6">
        <f>IF(OR($BJ241="",39&gt;設定!$B$3),"",IF(INDEX(原始資料!AP$2:AP$501,$BJ241)="","",INDEX(原始資料!AP$2:AP$501,$BJ241)))</f>
        <v/>
      </c>
      <c r="AO241" s="6">
        <f>IF(OR($BJ241="",40&gt;設定!$B$3),"",IF(INDEX(原始資料!AQ$2:AQ$501,$BJ241)="","",INDEX(原始資料!AQ$2:AQ$501,$BJ241)))</f>
        <v/>
      </c>
      <c r="AP241" s="6">
        <f>IF(OR($BJ241="",41&gt;設定!$B$3),"",IF(INDEX(原始資料!AR$2:AR$501,$BJ241)="","",INDEX(原始資料!AR$2:AR$501,$BJ241)))</f>
        <v/>
      </c>
      <c r="AQ241" s="6">
        <f>IF(OR($BJ241="",42&gt;設定!$B$3),"",IF(INDEX(原始資料!AS$2:AS$501,$BJ241)="","",INDEX(原始資料!AS$2:AS$501,$BJ241)))</f>
        <v/>
      </c>
      <c r="AR241" s="6">
        <f>IF(OR($BJ241="",43&gt;設定!$B$3),"",IF(INDEX(原始資料!AT$2:AT$501,$BJ241)="","",INDEX(原始資料!AT$2:AT$501,$BJ241)))</f>
        <v/>
      </c>
      <c r="AS241" s="6">
        <f>IF(OR($BJ241="",44&gt;設定!$B$3),"",IF(INDEX(原始資料!AU$2:AU$501,$BJ241)="","",INDEX(原始資料!AU$2:AU$501,$BJ241)))</f>
        <v/>
      </c>
      <c r="AT241" s="6">
        <f>IF(OR($BJ241="",45&gt;設定!$B$3),"",IF(INDEX(原始資料!AV$2:AV$501,$BJ241)="","",INDEX(原始資料!AV$2:AV$501,$BJ241)))</f>
        <v/>
      </c>
      <c r="AU241" s="6">
        <f>IF(OR($BJ241="",46&gt;設定!$B$3),"",IF(INDEX(原始資料!AW$2:AW$501,$BJ241)="","",INDEX(原始資料!AW$2:AW$501,$BJ241)))</f>
        <v/>
      </c>
      <c r="AV241" s="6">
        <f>IF(OR($BJ241="",47&gt;設定!$B$3),"",IF(INDEX(原始資料!AX$2:AX$501,$BJ241)="","",INDEX(原始資料!AX$2:AX$501,$BJ241)))</f>
        <v/>
      </c>
      <c r="AW241" s="6">
        <f>IF(OR($BJ241="",48&gt;設定!$B$3),"",IF(INDEX(原始資料!AY$2:AY$501,$BJ241)="","",INDEX(原始資料!AY$2:AY$501,$BJ241)))</f>
        <v/>
      </c>
      <c r="AX241" s="6">
        <f>IF(OR($BJ241="",49&gt;設定!$B$3),"",IF(INDEX(原始資料!AZ$2:AZ$501,$BJ241)="","",INDEX(原始資料!AZ$2:AZ$501,$BJ241)))</f>
        <v/>
      </c>
      <c r="AY241" s="6">
        <f>IF(OR($BJ241="",50&gt;設定!$B$3),"",IF(INDEX(原始資料!BA$2:BA$501,$BJ241)="","",INDEX(原始資料!BA$2:BA$501,$BJ241)))</f>
        <v/>
      </c>
      <c r="AZ241" s="6">
        <f>IF(OR($BJ241="",51&gt;設定!$B$3),"",IF(INDEX(原始資料!BB$2:BB$501,$BJ241)="","",INDEX(原始資料!BB$2:BB$501,$BJ241)))</f>
        <v/>
      </c>
      <c r="BA241" s="6">
        <f>IF(OR($BJ241="",52&gt;設定!$B$3),"",IF(INDEX(原始資料!BC$2:BC$501,$BJ241)="","",INDEX(原始資料!BC$2:BC$501,$BJ241)))</f>
        <v/>
      </c>
      <c r="BB241" s="6">
        <f>IF(OR($BJ241="",53&gt;設定!$B$3),"",IF(INDEX(原始資料!BD$2:BD$501,$BJ241)="","",INDEX(原始資料!BD$2:BD$501,$BJ241)))</f>
        <v/>
      </c>
      <c r="BC241" s="6">
        <f>IF(OR($BJ241="",54&gt;設定!$B$3),"",IF(INDEX(原始資料!BE$2:BE$501,$BJ241)="","",INDEX(原始資料!BE$2:BE$501,$BJ241)))</f>
        <v/>
      </c>
      <c r="BD241" s="6">
        <f>IF(OR($BJ241="",55&gt;設定!$B$3),"",IF(INDEX(原始資料!BF$2:BF$501,$BJ241)="","",INDEX(原始資料!BF$2:BF$501,$BJ241)))</f>
        <v/>
      </c>
      <c r="BE241" s="6">
        <f>IF(OR($BJ241="",56&gt;設定!$B$3),"",IF(INDEX(原始資料!BG$2:BG$501,$BJ241)="","",INDEX(原始資料!BG$2:BG$501,$BJ241)))</f>
        <v/>
      </c>
      <c r="BF241" s="6">
        <f>IF(OR($BJ241="",57&gt;設定!$B$3),"",IF(INDEX(原始資料!BH$2:BH$501,$BJ241)="","",INDEX(原始資料!BH$2:BH$501,$BJ241)))</f>
        <v/>
      </c>
      <c r="BG241" s="6">
        <f>IF(OR($BJ241="",58&gt;設定!$B$3),"",IF(INDEX(原始資料!BI$2:BI$501,$BJ241)="","",INDEX(原始資料!BI$2:BI$501,$BJ241)))</f>
        <v/>
      </c>
      <c r="BH241" s="6">
        <f>IF(OR($BJ241="",59&gt;設定!$B$3),"",IF(INDEX(原始資料!BJ$2:BJ$501,$BJ241)="","",INDEX(原始資料!BJ$2:BJ$501,$BJ241)))</f>
        <v/>
      </c>
      <c r="BI241" s="6">
        <f>IF(OR($BJ241="",60&gt;設定!$B$3),"",IF(INDEX(原始資料!BK$2:BK$501,$BJ241)="","",INDEX(原始資料!BK$2:BK$501,$BJ241)))</f>
        <v/>
      </c>
      <c r="BJ241" s="6">
        <f>IFERROR(MATCH(ROW()-1,判定!$H$2:$H$501,0),"")</f>
        <v/>
      </c>
    </row>
    <row r="242">
      <c r="A242" s="6">
        <f>IF($BJ242="","",INDEX(原始資料!$A$2:$A$501,$BJ242))</f>
        <v/>
      </c>
      <c r="B242" s="6">
        <f>IF(OR($BJ242="",1&gt;設定!$B$3),"",IF(INDEX(原始資料!D$2:D$501,$BJ242)="","",INDEX(原始資料!D$2:D$501,$BJ242)))</f>
        <v/>
      </c>
      <c r="C242" s="6">
        <f>IF(OR($BJ242="",2&gt;設定!$B$3),"",IF(INDEX(原始資料!E$2:E$501,$BJ242)="","",INDEX(原始資料!E$2:E$501,$BJ242)))</f>
        <v/>
      </c>
      <c r="D242" s="6">
        <f>IF(OR($BJ242="",3&gt;設定!$B$3),"",IF(INDEX(原始資料!F$2:F$501,$BJ242)="","",INDEX(原始資料!F$2:F$501,$BJ242)))</f>
        <v/>
      </c>
      <c r="E242" s="6">
        <f>IF(OR($BJ242="",4&gt;設定!$B$3),"",IF(INDEX(原始資料!G$2:G$501,$BJ242)="","",INDEX(原始資料!G$2:G$501,$BJ242)))</f>
        <v/>
      </c>
      <c r="F242" s="6">
        <f>IF(OR($BJ242="",5&gt;設定!$B$3),"",IF(INDEX(原始資料!H$2:H$501,$BJ242)="","",INDEX(原始資料!H$2:H$501,$BJ242)))</f>
        <v/>
      </c>
      <c r="G242" s="6">
        <f>IF(OR($BJ242="",6&gt;設定!$B$3),"",IF(INDEX(原始資料!I$2:I$501,$BJ242)="","",INDEX(原始資料!I$2:I$501,$BJ242)))</f>
        <v/>
      </c>
      <c r="H242" s="6">
        <f>IF(OR($BJ242="",7&gt;設定!$B$3),"",IF(INDEX(原始資料!J$2:J$501,$BJ242)="","",INDEX(原始資料!J$2:J$501,$BJ242)))</f>
        <v/>
      </c>
      <c r="I242" s="6">
        <f>IF(OR($BJ242="",8&gt;設定!$B$3),"",IF(INDEX(原始資料!K$2:K$501,$BJ242)="","",INDEX(原始資料!K$2:K$501,$BJ242)))</f>
        <v/>
      </c>
      <c r="J242" s="6">
        <f>IF(OR($BJ242="",9&gt;設定!$B$3),"",IF(INDEX(原始資料!L$2:L$501,$BJ242)="","",INDEX(原始資料!L$2:L$501,$BJ242)))</f>
        <v/>
      </c>
      <c r="K242" s="6">
        <f>IF(OR($BJ242="",10&gt;設定!$B$3),"",IF(INDEX(原始資料!M$2:M$501,$BJ242)="","",INDEX(原始資料!M$2:M$501,$BJ242)))</f>
        <v/>
      </c>
      <c r="L242" s="6">
        <f>IF(OR($BJ242="",11&gt;設定!$B$3),"",IF(INDEX(原始資料!N$2:N$501,$BJ242)="","",INDEX(原始資料!N$2:N$501,$BJ242)))</f>
        <v/>
      </c>
      <c r="M242" s="6">
        <f>IF(OR($BJ242="",12&gt;設定!$B$3),"",IF(INDEX(原始資料!O$2:O$501,$BJ242)="","",INDEX(原始資料!O$2:O$501,$BJ242)))</f>
        <v/>
      </c>
      <c r="N242" s="6">
        <f>IF(OR($BJ242="",13&gt;設定!$B$3),"",IF(INDEX(原始資料!P$2:P$501,$BJ242)="","",INDEX(原始資料!P$2:P$501,$BJ242)))</f>
        <v/>
      </c>
      <c r="O242" s="6">
        <f>IF(OR($BJ242="",14&gt;設定!$B$3),"",IF(INDEX(原始資料!Q$2:Q$501,$BJ242)="","",INDEX(原始資料!Q$2:Q$501,$BJ242)))</f>
        <v/>
      </c>
      <c r="P242" s="6">
        <f>IF(OR($BJ242="",15&gt;設定!$B$3),"",IF(INDEX(原始資料!R$2:R$501,$BJ242)="","",INDEX(原始資料!R$2:R$501,$BJ242)))</f>
        <v/>
      </c>
      <c r="Q242" s="6">
        <f>IF(OR($BJ242="",16&gt;設定!$B$3),"",IF(INDEX(原始資料!S$2:S$501,$BJ242)="","",INDEX(原始資料!S$2:S$501,$BJ242)))</f>
        <v/>
      </c>
      <c r="R242" s="6">
        <f>IF(OR($BJ242="",17&gt;設定!$B$3),"",IF(INDEX(原始資料!T$2:T$501,$BJ242)="","",INDEX(原始資料!T$2:T$501,$BJ242)))</f>
        <v/>
      </c>
      <c r="S242" s="6">
        <f>IF(OR($BJ242="",18&gt;設定!$B$3),"",IF(INDEX(原始資料!U$2:U$501,$BJ242)="","",INDEX(原始資料!U$2:U$501,$BJ242)))</f>
        <v/>
      </c>
      <c r="T242" s="6">
        <f>IF(OR($BJ242="",19&gt;設定!$B$3),"",IF(INDEX(原始資料!V$2:V$501,$BJ242)="","",INDEX(原始資料!V$2:V$501,$BJ242)))</f>
        <v/>
      </c>
      <c r="U242" s="6">
        <f>IF(OR($BJ242="",20&gt;設定!$B$3),"",IF(INDEX(原始資料!W$2:W$501,$BJ242)="","",INDEX(原始資料!W$2:W$501,$BJ242)))</f>
        <v/>
      </c>
      <c r="V242" s="6">
        <f>IF(OR($BJ242="",21&gt;設定!$B$3),"",IF(INDEX(原始資料!X$2:X$501,$BJ242)="","",INDEX(原始資料!X$2:X$501,$BJ242)))</f>
        <v/>
      </c>
      <c r="W242" s="6">
        <f>IF(OR($BJ242="",22&gt;設定!$B$3),"",IF(INDEX(原始資料!Y$2:Y$501,$BJ242)="","",INDEX(原始資料!Y$2:Y$501,$BJ242)))</f>
        <v/>
      </c>
      <c r="X242" s="6">
        <f>IF(OR($BJ242="",23&gt;設定!$B$3),"",IF(INDEX(原始資料!Z$2:Z$501,$BJ242)="","",INDEX(原始資料!Z$2:Z$501,$BJ242)))</f>
        <v/>
      </c>
      <c r="Y242" s="6">
        <f>IF(OR($BJ242="",24&gt;設定!$B$3),"",IF(INDEX(原始資料!AA$2:AA$501,$BJ242)="","",INDEX(原始資料!AA$2:AA$501,$BJ242)))</f>
        <v/>
      </c>
      <c r="Z242" s="6">
        <f>IF(OR($BJ242="",25&gt;設定!$B$3),"",IF(INDEX(原始資料!AB$2:AB$501,$BJ242)="","",INDEX(原始資料!AB$2:AB$501,$BJ242)))</f>
        <v/>
      </c>
      <c r="AA242" s="6">
        <f>IF(OR($BJ242="",26&gt;設定!$B$3),"",IF(INDEX(原始資料!AC$2:AC$501,$BJ242)="","",INDEX(原始資料!AC$2:AC$501,$BJ242)))</f>
        <v/>
      </c>
      <c r="AB242" s="6">
        <f>IF(OR($BJ242="",27&gt;設定!$B$3),"",IF(INDEX(原始資料!AD$2:AD$501,$BJ242)="","",INDEX(原始資料!AD$2:AD$501,$BJ242)))</f>
        <v/>
      </c>
      <c r="AC242" s="6">
        <f>IF(OR($BJ242="",28&gt;設定!$B$3),"",IF(INDEX(原始資料!AE$2:AE$501,$BJ242)="","",INDEX(原始資料!AE$2:AE$501,$BJ242)))</f>
        <v/>
      </c>
      <c r="AD242" s="6">
        <f>IF(OR($BJ242="",29&gt;設定!$B$3),"",IF(INDEX(原始資料!AF$2:AF$501,$BJ242)="","",INDEX(原始資料!AF$2:AF$501,$BJ242)))</f>
        <v/>
      </c>
      <c r="AE242" s="6">
        <f>IF(OR($BJ242="",30&gt;設定!$B$3),"",IF(INDEX(原始資料!AG$2:AG$501,$BJ242)="","",INDEX(原始資料!AG$2:AG$501,$BJ242)))</f>
        <v/>
      </c>
      <c r="AF242" s="6">
        <f>IF(OR($BJ242="",31&gt;設定!$B$3),"",IF(INDEX(原始資料!AH$2:AH$501,$BJ242)="","",INDEX(原始資料!AH$2:AH$501,$BJ242)))</f>
        <v/>
      </c>
      <c r="AG242" s="6">
        <f>IF(OR($BJ242="",32&gt;設定!$B$3),"",IF(INDEX(原始資料!AI$2:AI$501,$BJ242)="","",INDEX(原始資料!AI$2:AI$501,$BJ242)))</f>
        <v/>
      </c>
      <c r="AH242" s="6">
        <f>IF(OR($BJ242="",33&gt;設定!$B$3),"",IF(INDEX(原始資料!AJ$2:AJ$501,$BJ242)="","",INDEX(原始資料!AJ$2:AJ$501,$BJ242)))</f>
        <v/>
      </c>
      <c r="AI242" s="6">
        <f>IF(OR($BJ242="",34&gt;設定!$B$3),"",IF(INDEX(原始資料!AK$2:AK$501,$BJ242)="","",INDEX(原始資料!AK$2:AK$501,$BJ242)))</f>
        <v/>
      </c>
      <c r="AJ242" s="6">
        <f>IF(OR($BJ242="",35&gt;設定!$B$3),"",IF(INDEX(原始資料!AL$2:AL$501,$BJ242)="","",INDEX(原始資料!AL$2:AL$501,$BJ242)))</f>
        <v/>
      </c>
      <c r="AK242" s="6">
        <f>IF(OR($BJ242="",36&gt;設定!$B$3),"",IF(INDEX(原始資料!AM$2:AM$501,$BJ242)="","",INDEX(原始資料!AM$2:AM$501,$BJ242)))</f>
        <v/>
      </c>
      <c r="AL242" s="6">
        <f>IF(OR($BJ242="",37&gt;設定!$B$3),"",IF(INDEX(原始資料!AN$2:AN$501,$BJ242)="","",INDEX(原始資料!AN$2:AN$501,$BJ242)))</f>
        <v/>
      </c>
      <c r="AM242" s="6">
        <f>IF(OR($BJ242="",38&gt;設定!$B$3),"",IF(INDEX(原始資料!AO$2:AO$501,$BJ242)="","",INDEX(原始資料!AO$2:AO$501,$BJ242)))</f>
        <v/>
      </c>
      <c r="AN242" s="6">
        <f>IF(OR($BJ242="",39&gt;設定!$B$3),"",IF(INDEX(原始資料!AP$2:AP$501,$BJ242)="","",INDEX(原始資料!AP$2:AP$501,$BJ242)))</f>
        <v/>
      </c>
      <c r="AO242" s="6">
        <f>IF(OR($BJ242="",40&gt;設定!$B$3),"",IF(INDEX(原始資料!AQ$2:AQ$501,$BJ242)="","",INDEX(原始資料!AQ$2:AQ$501,$BJ242)))</f>
        <v/>
      </c>
      <c r="AP242" s="6">
        <f>IF(OR($BJ242="",41&gt;設定!$B$3),"",IF(INDEX(原始資料!AR$2:AR$501,$BJ242)="","",INDEX(原始資料!AR$2:AR$501,$BJ242)))</f>
        <v/>
      </c>
      <c r="AQ242" s="6">
        <f>IF(OR($BJ242="",42&gt;設定!$B$3),"",IF(INDEX(原始資料!AS$2:AS$501,$BJ242)="","",INDEX(原始資料!AS$2:AS$501,$BJ242)))</f>
        <v/>
      </c>
      <c r="AR242" s="6">
        <f>IF(OR($BJ242="",43&gt;設定!$B$3),"",IF(INDEX(原始資料!AT$2:AT$501,$BJ242)="","",INDEX(原始資料!AT$2:AT$501,$BJ242)))</f>
        <v/>
      </c>
      <c r="AS242" s="6">
        <f>IF(OR($BJ242="",44&gt;設定!$B$3),"",IF(INDEX(原始資料!AU$2:AU$501,$BJ242)="","",INDEX(原始資料!AU$2:AU$501,$BJ242)))</f>
        <v/>
      </c>
      <c r="AT242" s="6">
        <f>IF(OR($BJ242="",45&gt;設定!$B$3),"",IF(INDEX(原始資料!AV$2:AV$501,$BJ242)="","",INDEX(原始資料!AV$2:AV$501,$BJ242)))</f>
        <v/>
      </c>
      <c r="AU242" s="6">
        <f>IF(OR($BJ242="",46&gt;設定!$B$3),"",IF(INDEX(原始資料!AW$2:AW$501,$BJ242)="","",INDEX(原始資料!AW$2:AW$501,$BJ242)))</f>
        <v/>
      </c>
      <c r="AV242" s="6">
        <f>IF(OR($BJ242="",47&gt;設定!$B$3),"",IF(INDEX(原始資料!AX$2:AX$501,$BJ242)="","",INDEX(原始資料!AX$2:AX$501,$BJ242)))</f>
        <v/>
      </c>
      <c r="AW242" s="6">
        <f>IF(OR($BJ242="",48&gt;設定!$B$3),"",IF(INDEX(原始資料!AY$2:AY$501,$BJ242)="","",INDEX(原始資料!AY$2:AY$501,$BJ242)))</f>
        <v/>
      </c>
      <c r="AX242" s="6">
        <f>IF(OR($BJ242="",49&gt;設定!$B$3),"",IF(INDEX(原始資料!AZ$2:AZ$501,$BJ242)="","",INDEX(原始資料!AZ$2:AZ$501,$BJ242)))</f>
        <v/>
      </c>
      <c r="AY242" s="6">
        <f>IF(OR($BJ242="",50&gt;設定!$B$3),"",IF(INDEX(原始資料!BA$2:BA$501,$BJ242)="","",INDEX(原始資料!BA$2:BA$501,$BJ242)))</f>
        <v/>
      </c>
      <c r="AZ242" s="6">
        <f>IF(OR($BJ242="",51&gt;設定!$B$3),"",IF(INDEX(原始資料!BB$2:BB$501,$BJ242)="","",INDEX(原始資料!BB$2:BB$501,$BJ242)))</f>
        <v/>
      </c>
      <c r="BA242" s="6">
        <f>IF(OR($BJ242="",52&gt;設定!$B$3),"",IF(INDEX(原始資料!BC$2:BC$501,$BJ242)="","",INDEX(原始資料!BC$2:BC$501,$BJ242)))</f>
        <v/>
      </c>
      <c r="BB242" s="6">
        <f>IF(OR($BJ242="",53&gt;設定!$B$3),"",IF(INDEX(原始資料!BD$2:BD$501,$BJ242)="","",INDEX(原始資料!BD$2:BD$501,$BJ242)))</f>
        <v/>
      </c>
      <c r="BC242" s="6">
        <f>IF(OR($BJ242="",54&gt;設定!$B$3),"",IF(INDEX(原始資料!BE$2:BE$501,$BJ242)="","",INDEX(原始資料!BE$2:BE$501,$BJ242)))</f>
        <v/>
      </c>
      <c r="BD242" s="6">
        <f>IF(OR($BJ242="",55&gt;設定!$B$3),"",IF(INDEX(原始資料!BF$2:BF$501,$BJ242)="","",INDEX(原始資料!BF$2:BF$501,$BJ242)))</f>
        <v/>
      </c>
      <c r="BE242" s="6">
        <f>IF(OR($BJ242="",56&gt;設定!$B$3),"",IF(INDEX(原始資料!BG$2:BG$501,$BJ242)="","",INDEX(原始資料!BG$2:BG$501,$BJ242)))</f>
        <v/>
      </c>
      <c r="BF242" s="6">
        <f>IF(OR($BJ242="",57&gt;設定!$B$3),"",IF(INDEX(原始資料!BH$2:BH$501,$BJ242)="","",INDEX(原始資料!BH$2:BH$501,$BJ242)))</f>
        <v/>
      </c>
      <c r="BG242" s="6">
        <f>IF(OR($BJ242="",58&gt;設定!$B$3),"",IF(INDEX(原始資料!BI$2:BI$501,$BJ242)="","",INDEX(原始資料!BI$2:BI$501,$BJ242)))</f>
        <v/>
      </c>
      <c r="BH242" s="6">
        <f>IF(OR($BJ242="",59&gt;設定!$B$3),"",IF(INDEX(原始資料!BJ$2:BJ$501,$BJ242)="","",INDEX(原始資料!BJ$2:BJ$501,$BJ242)))</f>
        <v/>
      </c>
      <c r="BI242" s="6">
        <f>IF(OR($BJ242="",60&gt;設定!$B$3),"",IF(INDEX(原始資料!BK$2:BK$501,$BJ242)="","",INDEX(原始資料!BK$2:BK$501,$BJ242)))</f>
        <v/>
      </c>
      <c r="BJ242" s="6">
        <f>IFERROR(MATCH(ROW()-1,判定!$H$2:$H$501,0),"")</f>
        <v/>
      </c>
    </row>
    <row r="243">
      <c r="A243" s="6">
        <f>IF($BJ243="","",INDEX(原始資料!$A$2:$A$501,$BJ243))</f>
        <v/>
      </c>
      <c r="B243" s="6">
        <f>IF(OR($BJ243="",1&gt;設定!$B$3),"",IF(INDEX(原始資料!D$2:D$501,$BJ243)="","",INDEX(原始資料!D$2:D$501,$BJ243)))</f>
        <v/>
      </c>
      <c r="C243" s="6">
        <f>IF(OR($BJ243="",2&gt;設定!$B$3),"",IF(INDEX(原始資料!E$2:E$501,$BJ243)="","",INDEX(原始資料!E$2:E$501,$BJ243)))</f>
        <v/>
      </c>
      <c r="D243" s="6">
        <f>IF(OR($BJ243="",3&gt;設定!$B$3),"",IF(INDEX(原始資料!F$2:F$501,$BJ243)="","",INDEX(原始資料!F$2:F$501,$BJ243)))</f>
        <v/>
      </c>
      <c r="E243" s="6">
        <f>IF(OR($BJ243="",4&gt;設定!$B$3),"",IF(INDEX(原始資料!G$2:G$501,$BJ243)="","",INDEX(原始資料!G$2:G$501,$BJ243)))</f>
        <v/>
      </c>
      <c r="F243" s="6">
        <f>IF(OR($BJ243="",5&gt;設定!$B$3),"",IF(INDEX(原始資料!H$2:H$501,$BJ243)="","",INDEX(原始資料!H$2:H$501,$BJ243)))</f>
        <v/>
      </c>
      <c r="G243" s="6">
        <f>IF(OR($BJ243="",6&gt;設定!$B$3),"",IF(INDEX(原始資料!I$2:I$501,$BJ243)="","",INDEX(原始資料!I$2:I$501,$BJ243)))</f>
        <v/>
      </c>
      <c r="H243" s="6">
        <f>IF(OR($BJ243="",7&gt;設定!$B$3),"",IF(INDEX(原始資料!J$2:J$501,$BJ243)="","",INDEX(原始資料!J$2:J$501,$BJ243)))</f>
        <v/>
      </c>
      <c r="I243" s="6">
        <f>IF(OR($BJ243="",8&gt;設定!$B$3),"",IF(INDEX(原始資料!K$2:K$501,$BJ243)="","",INDEX(原始資料!K$2:K$501,$BJ243)))</f>
        <v/>
      </c>
      <c r="J243" s="6">
        <f>IF(OR($BJ243="",9&gt;設定!$B$3),"",IF(INDEX(原始資料!L$2:L$501,$BJ243)="","",INDEX(原始資料!L$2:L$501,$BJ243)))</f>
        <v/>
      </c>
      <c r="K243" s="6">
        <f>IF(OR($BJ243="",10&gt;設定!$B$3),"",IF(INDEX(原始資料!M$2:M$501,$BJ243)="","",INDEX(原始資料!M$2:M$501,$BJ243)))</f>
        <v/>
      </c>
      <c r="L243" s="6">
        <f>IF(OR($BJ243="",11&gt;設定!$B$3),"",IF(INDEX(原始資料!N$2:N$501,$BJ243)="","",INDEX(原始資料!N$2:N$501,$BJ243)))</f>
        <v/>
      </c>
      <c r="M243" s="6">
        <f>IF(OR($BJ243="",12&gt;設定!$B$3),"",IF(INDEX(原始資料!O$2:O$501,$BJ243)="","",INDEX(原始資料!O$2:O$501,$BJ243)))</f>
        <v/>
      </c>
      <c r="N243" s="6">
        <f>IF(OR($BJ243="",13&gt;設定!$B$3),"",IF(INDEX(原始資料!P$2:P$501,$BJ243)="","",INDEX(原始資料!P$2:P$501,$BJ243)))</f>
        <v/>
      </c>
      <c r="O243" s="6">
        <f>IF(OR($BJ243="",14&gt;設定!$B$3),"",IF(INDEX(原始資料!Q$2:Q$501,$BJ243)="","",INDEX(原始資料!Q$2:Q$501,$BJ243)))</f>
        <v/>
      </c>
      <c r="P243" s="6">
        <f>IF(OR($BJ243="",15&gt;設定!$B$3),"",IF(INDEX(原始資料!R$2:R$501,$BJ243)="","",INDEX(原始資料!R$2:R$501,$BJ243)))</f>
        <v/>
      </c>
      <c r="Q243" s="6">
        <f>IF(OR($BJ243="",16&gt;設定!$B$3),"",IF(INDEX(原始資料!S$2:S$501,$BJ243)="","",INDEX(原始資料!S$2:S$501,$BJ243)))</f>
        <v/>
      </c>
      <c r="R243" s="6">
        <f>IF(OR($BJ243="",17&gt;設定!$B$3),"",IF(INDEX(原始資料!T$2:T$501,$BJ243)="","",INDEX(原始資料!T$2:T$501,$BJ243)))</f>
        <v/>
      </c>
      <c r="S243" s="6">
        <f>IF(OR($BJ243="",18&gt;設定!$B$3),"",IF(INDEX(原始資料!U$2:U$501,$BJ243)="","",INDEX(原始資料!U$2:U$501,$BJ243)))</f>
        <v/>
      </c>
      <c r="T243" s="6">
        <f>IF(OR($BJ243="",19&gt;設定!$B$3),"",IF(INDEX(原始資料!V$2:V$501,$BJ243)="","",INDEX(原始資料!V$2:V$501,$BJ243)))</f>
        <v/>
      </c>
      <c r="U243" s="6">
        <f>IF(OR($BJ243="",20&gt;設定!$B$3),"",IF(INDEX(原始資料!W$2:W$501,$BJ243)="","",INDEX(原始資料!W$2:W$501,$BJ243)))</f>
        <v/>
      </c>
      <c r="V243" s="6">
        <f>IF(OR($BJ243="",21&gt;設定!$B$3),"",IF(INDEX(原始資料!X$2:X$501,$BJ243)="","",INDEX(原始資料!X$2:X$501,$BJ243)))</f>
        <v/>
      </c>
      <c r="W243" s="6">
        <f>IF(OR($BJ243="",22&gt;設定!$B$3),"",IF(INDEX(原始資料!Y$2:Y$501,$BJ243)="","",INDEX(原始資料!Y$2:Y$501,$BJ243)))</f>
        <v/>
      </c>
      <c r="X243" s="6">
        <f>IF(OR($BJ243="",23&gt;設定!$B$3),"",IF(INDEX(原始資料!Z$2:Z$501,$BJ243)="","",INDEX(原始資料!Z$2:Z$501,$BJ243)))</f>
        <v/>
      </c>
      <c r="Y243" s="6">
        <f>IF(OR($BJ243="",24&gt;設定!$B$3),"",IF(INDEX(原始資料!AA$2:AA$501,$BJ243)="","",INDEX(原始資料!AA$2:AA$501,$BJ243)))</f>
        <v/>
      </c>
      <c r="Z243" s="6">
        <f>IF(OR($BJ243="",25&gt;設定!$B$3),"",IF(INDEX(原始資料!AB$2:AB$501,$BJ243)="","",INDEX(原始資料!AB$2:AB$501,$BJ243)))</f>
        <v/>
      </c>
      <c r="AA243" s="6">
        <f>IF(OR($BJ243="",26&gt;設定!$B$3),"",IF(INDEX(原始資料!AC$2:AC$501,$BJ243)="","",INDEX(原始資料!AC$2:AC$501,$BJ243)))</f>
        <v/>
      </c>
      <c r="AB243" s="6">
        <f>IF(OR($BJ243="",27&gt;設定!$B$3),"",IF(INDEX(原始資料!AD$2:AD$501,$BJ243)="","",INDEX(原始資料!AD$2:AD$501,$BJ243)))</f>
        <v/>
      </c>
      <c r="AC243" s="6">
        <f>IF(OR($BJ243="",28&gt;設定!$B$3),"",IF(INDEX(原始資料!AE$2:AE$501,$BJ243)="","",INDEX(原始資料!AE$2:AE$501,$BJ243)))</f>
        <v/>
      </c>
      <c r="AD243" s="6">
        <f>IF(OR($BJ243="",29&gt;設定!$B$3),"",IF(INDEX(原始資料!AF$2:AF$501,$BJ243)="","",INDEX(原始資料!AF$2:AF$501,$BJ243)))</f>
        <v/>
      </c>
      <c r="AE243" s="6">
        <f>IF(OR($BJ243="",30&gt;設定!$B$3),"",IF(INDEX(原始資料!AG$2:AG$501,$BJ243)="","",INDEX(原始資料!AG$2:AG$501,$BJ243)))</f>
        <v/>
      </c>
      <c r="AF243" s="6">
        <f>IF(OR($BJ243="",31&gt;設定!$B$3),"",IF(INDEX(原始資料!AH$2:AH$501,$BJ243)="","",INDEX(原始資料!AH$2:AH$501,$BJ243)))</f>
        <v/>
      </c>
      <c r="AG243" s="6">
        <f>IF(OR($BJ243="",32&gt;設定!$B$3),"",IF(INDEX(原始資料!AI$2:AI$501,$BJ243)="","",INDEX(原始資料!AI$2:AI$501,$BJ243)))</f>
        <v/>
      </c>
      <c r="AH243" s="6">
        <f>IF(OR($BJ243="",33&gt;設定!$B$3),"",IF(INDEX(原始資料!AJ$2:AJ$501,$BJ243)="","",INDEX(原始資料!AJ$2:AJ$501,$BJ243)))</f>
        <v/>
      </c>
      <c r="AI243" s="6">
        <f>IF(OR($BJ243="",34&gt;設定!$B$3),"",IF(INDEX(原始資料!AK$2:AK$501,$BJ243)="","",INDEX(原始資料!AK$2:AK$501,$BJ243)))</f>
        <v/>
      </c>
      <c r="AJ243" s="6">
        <f>IF(OR($BJ243="",35&gt;設定!$B$3),"",IF(INDEX(原始資料!AL$2:AL$501,$BJ243)="","",INDEX(原始資料!AL$2:AL$501,$BJ243)))</f>
        <v/>
      </c>
      <c r="AK243" s="6">
        <f>IF(OR($BJ243="",36&gt;設定!$B$3),"",IF(INDEX(原始資料!AM$2:AM$501,$BJ243)="","",INDEX(原始資料!AM$2:AM$501,$BJ243)))</f>
        <v/>
      </c>
      <c r="AL243" s="6">
        <f>IF(OR($BJ243="",37&gt;設定!$B$3),"",IF(INDEX(原始資料!AN$2:AN$501,$BJ243)="","",INDEX(原始資料!AN$2:AN$501,$BJ243)))</f>
        <v/>
      </c>
      <c r="AM243" s="6">
        <f>IF(OR($BJ243="",38&gt;設定!$B$3),"",IF(INDEX(原始資料!AO$2:AO$501,$BJ243)="","",INDEX(原始資料!AO$2:AO$501,$BJ243)))</f>
        <v/>
      </c>
      <c r="AN243" s="6">
        <f>IF(OR($BJ243="",39&gt;設定!$B$3),"",IF(INDEX(原始資料!AP$2:AP$501,$BJ243)="","",INDEX(原始資料!AP$2:AP$501,$BJ243)))</f>
        <v/>
      </c>
      <c r="AO243" s="6">
        <f>IF(OR($BJ243="",40&gt;設定!$B$3),"",IF(INDEX(原始資料!AQ$2:AQ$501,$BJ243)="","",INDEX(原始資料!AQ$2:AQ$501,$BJ243)))</f>
        <v/>
      </c>
      <c r="AP243" s="6">
        <f>IF(OR($BJ243="",41&gt;設定!$B$3),"",IF(INDEX(原始資料!AR$2:AR$501,$BJ243)="","",INDEX(原始資料!AR$2:AR$501,$BJ243)))</f>
        <v/>
      </c>
      <c r="AQ243" s="6">
        <f>IF(OR($BJ243="",42&gt;設定!$B$3),"",IF(INDEX(原始資料!AS$2:AS$501,$BJ243)="","",INDEX(原始資料!AS$2:AS$501,$BJ243)))</f>
        <v/>
      </c>
      <c r="AR243" s="6">
        <f>IF(OR($BJ243="",43&gt;設定!$B$3),"",IF(INDEX(原始資料!AT$2:AT$501,$BJ243)="","",INDEX(原始資料!AT$2:AT$501,$BJ243)))</f>
        <v/>
      </c>
      <c r="AS243" s="6">
        <f>IF(OR($BJ243="",44&gt;設定!$B$3),"",IF(INDEX(原始資料!AU$2:AU$501,$BJ243)="","",INDEX(原始資料!AU$2:AU$501,$BJ243)))</f>
        <v/>
      </c>
      <c r="AT243" s="6">
        <f>IF(OR($BJ243="",45&gt;設定!$B$3),"",IF(INDEX(原始資料!AV$2:AV$501,$BJ243)="","",INDEX(原始資料!AV$2:AV$501,$BJ243)))</f>
        <v/>
      </c>
      <c r="AU243" s="6">
        <f>IF(OR($BJ243="",46&gt;設定!$B$3),"",IF(INDEX(原始資料!AW$2:AW$501,$BJ243)="","",INDEX(原始資料!AW$2:AW$501,$BJ243)))</f>
        <v/>
      </c>
      <c r="AV243" s="6">
        <f>IF(OR($BJ243="",47&gt;設定!$B$3),"",IF(INDEX(原始資料!AX$2:AX$501,$BJ243)="","",INDEX(原始資料!AX$2:AX$501,$BJ243)))</f>
        <v/>
      </c>
      <c r="AW243" s="6">
        <f>IF(OR($BJ243="",48&gt;設定!$B$3),"",IF(INDEX(原始資料!AY$2:AY$501,$BJ243)="","",INDEX(原始資料!AY$2:AY$501,$BJ243)))</f>
        <v/>
      </c>
      <c r="AX243" s="6">
        <f>IF(OR($BJ243="",49&gt;設定!$B$3),"",IF(INDEX(原始資料!AZ$2:AZ$501,$BJ243)="","",INDEX(原始資料!AZ$2:AZ$501,$BJ243)))</f>
        <v/>
      </c>
      <c r="AY243" s="6">
        <f>IF(OR($BJ243="",50&gt;設定!$B$3),"",IF(INDEX(原始資料!BA$2:BA$501,$BJ243)="","",INDEX(原始資料!BA$2:BA$501,$BJ243)))</f>
        <v/>
      </c>
      <c r="AZ243" s="6">
        <f>IF(OR($BJ243="",51&gt;設定!$B$3),"",IF(INDEX(原始資料!BB$2:BB$501,$BJ243)="","",INDEX(原始資料!BB$2:BB$501,$BJ243)))</f>
        <v/>
      </c>
      <c r="BA243" s="6">
        <f>IF(OR($BJ243="",52&gt;設定!$B$3),"",IF(INDEX(原始資料!BC$2:BC$501,$BJ243)="","",INDEX(原始資料!BC$2:BC$501,$BJ243)))</f>
        <v/>
      </c>
      <c r="BB243" s="6">
        <f>IF(OR($BJ243="",53&gt;設定!$B$3),"",IF(INDEX(原始資料!BD$2:BD$501,$BJ243)="","",INDEX(原始資料!BD$2:BD$501,$BJ243)))</f>
        <v/>
      </c>
      <c r="BC243" s="6">
        <f>IF(OR($BJ243="",54&gt;設定!$B$3),"",IF(INDEX(原始資料!BE$2:BE$501,$BJ243)="","",INDEX(原始資料!BE$2:BE$501,$BJ243)))</f>
        <v/>
      </c>
      <c r="BD243" s="6">
        <f>IF(OR($BJ243="",55&gt;設定!$B$3),"",IF(INDEX(原始資料!BF$2:BF$501,$BJ243)="","",INDEX(原始資料!BF$2:BF$501,$BJ243)))</f>
        <v/>
      </c>
      <c r="BE243" s="6">
        <f>IF(OR($BJ243="",56&gt;設定!$B$3),"",IF(INDEX(原始資料!BG$2:BG$501,$BJ243)="","",INDEX(原始資料!BG$2:BG$501,$BJ243)))</f>
        <v/>
      </c>
      <c r="BF243" s="6">
        <f>IF(OR($BJ243="",57&gt;設定!$B$3),"",IF(INDEX(原始資料!BH$2:BH$501,$BJ243)="","",INDEX(原始資料!BH$2:BH$501,$BJ243)))</f>
        <v/>
      </c>
      <c r="BG243" s="6">
        <f>IF(OR($BJ243="",58&gt;設定!$B$3),"",IF(INDEX(原始資料!BI$2:BI$501,$BJ243)="","",INDEX(原始資料!BI$2:BI$501,$BJ243)))</f>
        <v/>
      </c>
      <c r="BH243" s="6">
        <f>IF(OR($BJ243="",59&gt;設定!$B$3),"",IF(INDEX(原始資料!BJ$2:BJ$501,$BJ243)="","",INDEX(原始資料!BJ$2:BJ$501,$BJ243)))</f>
        <v/>
      </c>
      <c r="BI243" s="6">
        <f>IF(OR($BJ243="",60&gt;設定!$B$3),"",IF(INDEX(原始資料!BK$2:BK$501,$BJ243)="","",INDEX(原始資料!BK$2:BK$501,$BJ243)))</f>
        <v/>
      </c>
      <c r="BJ243" s="6">
        <f>IFERROR(MATCH(ROW()-1,判定!$H$2:$H$501,0),"")</f>
        <v/>
      </c>
    </row>
    <row r="244">
      <c r="A244" s="6">
        <f>IF($BJ244="","",INDEX(原始資料!$A$2:$A$501,$BJ244))</f>
        <v/>
      </c>
      <c r="B244" s="6">
        <f>IF(OR($BJ244="",1&gt;設定!$B$3),"",IF(INDEX(原始資料!D$2:D$501,$BJ244)="","",INDEX(原始資料!D$2:D$501,$BJ244)))</f>
        <v/>
      </c>
      <c r="C244" s="6">
        <f>IF(OR($BJ244="",2&gt;設定!$B$3),"",IF(INDEX(原始資料!E$2:E$501,$BJ244)="","",INDEX(原始資料!E$2:E$501,$BJ244)))</f>
        <v/>
      </c>
      <c r="D244" s="6">
        <f>IF(OR($BJ244="",3&gt;設定!$B$3),"",IF(INDEX(原始資料!F$2:F$501,$BJ244)="","",INDEX(原始資料!F$2:F$501,$BJ244)))</f>
        <v/>
      </c>
      <c r="E244" s="6">
        <f>IF(OR($BJ244="",4&gt;設定!$B$3),"",IF(INDEX(原始資料!G$2:G$501,$BJ244)="","",INDEX(原始資料!G$2:G$501,$BJ244)))</f>
        <v/>
      </c>
      <c r="F244" s="6">
        <f>IF(OR($BJ244="",5&gt;設定!$B$3),"",IF(INDEX(原始資料!H$2:H$501,$BJ244)="","",INDEX(原始資料!H$2:H$501,$BJ244)))</f>
        <v/>
      </c>
      <c r="G244" s="6">
        <f>IF(OR($BJ244="",6&gt;設定!$B$3),"",IF(INDEX(原始資料!I$2:I$501,$BJ244)="","",INDEX(原始資料!I$2:I$501,$BJ244)))</f>
        <v/>
      </c>
      <c r="H244" s="6">
        <f>IF(OR($BJ244="",7&gt;設定!$B$3),"",IF(INDEX(原始資料!J$2:J$501,$BJ244)="","",INDEX(原始資料!J$2:J$501,$BJ244)))</f>
        <v/>
      </c>
      <c r="I244" s="6">
        <f>IF(OR($BJ244="",8&gt;設定!$B$3),"",IF(INDEX(原始資料!K$2:K$501,$BJ244)="","",INDEX(原始資料!K$2:K$501,$BJ244)))</f>
        <v/>
      </c>
      <c r="J244" s="6">
        <f>IF(OR($BJ244="",9&gt;設定!$B$3),"",IF(INDEX(原始資料!L$2:L$501,$BJ244)="","",INDEX(原始資料!L$2:L$501,$BJ244)))</f>
        <v/>
      </c>
      <c r="K244" s="6">
        <f>IF(OR($BJ244="",10&gt;設定!$B$3),"",IF(INDEX(原始資料!M$2:M$501,$BJ244)="","",INDEX(原始資料!M$2:M$501,$BJ244)))</f>
        <v/>
      </c>
      <c r="L244" s="6">
        <f>IF(OR($BJ244="",11&gt;設定!$B$3),"",IF(INDEX(原始資料!N$2:N$501,$BJ244)="","",INDEX(原始資料!N$2:N$501,$BJ244)))</f>
        <v/>
      </c>
      <c r="M244" s="6">
        <f>IF(OR($BJ244="",12&gt;設定!$B$3),"",IF(INDEX(原始資料!O$2:O$501,$BJ244)="","",INDEX(原始資料!O$2:O$501,$BJ244)))</f>
        <v/>
      </c>
      <c r="N244" s="6">
        <f>IF(OR($BJ244="",13&gt;設定!$B$3),"",IF(INDEX(原始資料!P$2:P$501,$BJ244)="","",INDEX(原始資料!P$2:P$501,$BJ244)))</f>
        <v/>
      </c>
      <c r="O244" s="6">
        <f>IF(OR($BJ244="",14&gt;設定!$B$3),"",IF(INDEX(原始資料!Q$2:Q$501,$BJ244)="","",INDEX(原始資料!Q$2:Q$501,$BJ244)))</f>
        <v/>
      </c>
      <c r="P244" s="6">
        <f>IF(OR($BJ244="",15&gt;設定!$B$3),"",IF(INDEX(原始資料!R$2:R$501,$BJ244)="","",INDEX(原始資料!R$2:R$501,$BJ244)))</f>
        <v/>
      </c>
      <c r="Q244" s="6">
        <f>IF(OR($BJ244="",16&gt;設定!$B$3),"",IF(INDEX(原始資料!S$2:S$501,$BJ244)="","",INDEX(原始資料!S$2:S$501,$BJ244)))</f>
        <v/>
      </c>
      <c r="R244" s="6">
        <f>IF(OR($BJ244="",17&gt;設定!$B$3),"",IF(INDEX(原始資料!T$2:T$501,$BJ244)="","",INDEX(原始資料!T$2:T$501,$BJ244)))</f>
        <v/>
      </c>
      <c r="S244" s="6">
        <f>IF(OR($BJ244="",18&gt;設定!$B$3),"",IF(INDEX(原始資料!U$2:U$501,$BJ244)="","",INDEX(原始資料!U$2:U$501,$BJ244)))</f>
        <v/>
      </c>
      <c r="T244" s="6">
        <f>IF(OR($BJ244="",19&gt;設定!$B$3),"",IF(INDEX(原始資料!V$2:V$501,$BJ244)="","",INDEX(原始資料!V$2:V$501,$BJ244)))</f>
        <v/>
      </c>
      <c r="U244" s="6">
        <f>IF(OR($BJ244="",20&gt;設定!$B$3),"",IF(INDEX(原始資料!W$2:W$501,$BJ244)="","",INDEX(原始資料!W$2:W$501,$BJ244)))</f>
        <v/>
      </c>
      <c r="V244" s="6">
        <f>IF(OR($BJ244="",21&gt;設定!$B$3),"",IF(INDEX(原始資料!X$2:X$501,$BJ244)="","",INDEX(原始資料!X$2:X$501,$BJ244)))</f>
        <v/>
      </c>
      <c r="W244" s="6">
        <f>IF(OR($BJ244="",22&gt;設定!$B$3),"",IF(INDEX(原始資料!Y$2:Y$501,$BJ244)="","",INDEX(原始資料!Y$2:Y$501,$BJ244)))</f>
        <v/>
      </c>
      <c r="X244" s="6">
        <f>IF(OR($BJ244="",23&gt;設定!$B$3),"",IF(INDEX(原始資料!Z$2:Z$501,$BJ244)="","",INDEX(原始資料!Z$2:Z$501,$BJ244)))</f>
        <v/>
      </c>
      <c r="Y244" s="6">
        <f>IF(OR($BJ244="",24&gt;設定!$B$3),"",IF(INDEX(原始資料!AA$2:AA$501,$BJ244)="","",INDEX(原始資料!AA$2:AA$501,$BJ244)))</f>
        <v/>
      </c>
      <c r="Z244" s="6">
        <f>IF(OR($BJ244="",25&gt;設定!$B$3),"",IF(INDEX(原始資料!AB$2:AB$501,$BJ244)="","",INDEX(原始資料!AB$2:AB$501,$BJ244)))</f>
        <v/>
      </c>
      <c r="AA244" s="6">
        <f>IF(OR($BJ244="",26&gt;設定!$B$3),"",IF(INDEX(原始資料!AC$2:AC$501,$BJ244)="","",INDEX(原始資料!AC$2:AC$501,$BJ244)))</f>
        <v/>
      </c>
      <c r="AB244" s="6">
        <f>IF(OR($BJ244="",27&gt;設定!$B$3),"",IF(INDEX(原始資料!AD$2:AD$501,$BJ244)="","",INDEX(原始資料!AD$2:AD$501,$BJ244)))</f>
        <v/>
      </c>
      <c r="AC244" s="6">
        <f>IF(OR($BJ244="",28&gt;設定!$B$3),"",IF(INDEX(原始資料!AE$2:AE$501,$BJ244)="","",INDEX(原始資料!AE$2:AE$501,$BJ244)))</f>
        <v/>
      </c>
      <c r="AD244" s="6">
        <f>IF(OR($BJ244="",29&gt;設定!$B$3),"",IF(INDEX(原始資料!AF$2:AF$501,$BJ244)="","",INDEX(原始資料!AF$2:AF$501,$BJ244)))</f>
        <v/>
      </c>
      <c r="AE244" s="6">
        <f>IF(OR($BJ244="",30&gt;設定!$B$3),"",IF(INDEX(原始資料!AG$2:AG$501,$BJ244)="","",INDEX(原始資料!AG$2:AG$501,$BJ244)))</f>
        <v/>
      </c>
      <c r="AF244" s="6">
        <f>IF(OR($BJ244="",31&gt;設定!$B$3),"",IF(INDEX(原始資料!AH$2:AH$501,$BJ244)="","",INDEX(原始資料!AH$2:AH$501,$BJ244)))</f>
        <v/>
      </c>
      <c r="AG244" s="6">
        <f>IF(OR($BJ244="",32&gt;設定!$B$3),"",IF(INDEX(原始資料!AI$2:AI$501,$BJ244)="","",INDEX(原始資料!AI$2:AI$501,$BJ244)))</f>
        <v/>
      </c>
      <c r="AH244" s="6">
        <f>IF(OR($BJ244="",33&gt;設定!$B$3),"",IF(INDEX(原始資料!AJ$2:AJ$501,$BJ244)="","",INDEX(原始資料!AJ$2:AJ$501,$BJ244)))</f>
        <v/>
      </c>
      <c r="AI244" s="6">
        <f>IF(OR($BJ244="",34&gt;設定!$B$3),"",IF(INDEX(原始資料!AK$2:AK$501,$BJ244)="","",INDEX(原始資料!AK$2:AK$501,$BJ244)))</f>
        <v/>
      </c>
      <c r="AJ244" s="6">
        <f>IF(OR($BJ244="",35&gt;設定!$B$3),"",IF(INDEX(原始資料!AL$2:AL$501,$BJ244)="","",INDEX(原始資料!AL$2:AL$501,$BJ244)))</f>
        <v/>
      </c>
      <c r="AK244" s="6">
        <f>IF(OR($BJ244="",36&gt;設定!$B$3),"",IF(INDEX(原始資料!AM$2:AM$501,$BJ244)="","",INDEX(原始資料!AM$2:AM$501,$BJ244)))</f>
        <v/>
      </c>
      <c r="AL244" s="6">
        <f>IF(OR($BJ244="",37&gt;設定!$B$3),"",IF(INDEX(原始資料!AN$2:AN$501,$BJ244)="","",INDEX(原始資料!AN$2:AN$501,$BJ244)))</f>
        <v/>
      </c>
      <c r="AM244" s="6">
        <f>IF(OR($BJ244="",38&gt;設定!$B$3),"",IF(INDEX(原始資料!AO$2:AO$501,$BJ244)="","",INDEX(原始資料!AO$2:AO$501,$BJ244)))</f>
        <v/>
      </c>
      <c r="AN244" s="6">
        <f>IF(OR($BJ244="",39&gt;設定!$B$3),"",IF(INDEX(原始資料!AP$2:AP$501,$BJ244)="","",INDEX(原始資料!AP$2:AP$501,$BJ244)))</f>
        <v/>
      </c>
      <c r="AO244" s="6">
        <f>IF(OR($BJ244="",40&gt;設定!$B$3),"",IF(INDEX(原始資料!AQ$2:AQ$501,$BJ244)="","",INDEX(原始資料!AQ$2:AQ$501,$BJ244)))</f>
        <v/>
      </c>
      <c r="AP244" s="6">
        <f>IF(OR($BJ244="",41&gt;設定!$B$3),"",IF(INDEX(原始資料!AR$2:AR$501,$BJ244)="","",INDEX(原始資料!AR$2:AR$501,$BJ244)))</f>
        <v/>
      </c>
      <c r="AQ244" s="6">
        <f>IF(OR($BJ244="",42&gt;設定!$B$3),"",IF(INDEX(原始資料!AS$2:AS$501,$BJ244)="","",INDEX(原始資料!AS$2:AS$501,$BJ244)))</f>
        <v/>
      </c>
      <c r="AR244" s="6">
        <f>IF(OR($BJ244="",43&gt;設定!$B$3),"",IF(INDEX(原始資料!AT$2:AT$501,$BJ244)="","",INDEX(原始資料!AT$2:AT$501,$BJ244)))</f>
        <v/>
      </c>
      <c r="AS244" s="6">
        <f>IF(OR($BJ244="",44&gt;設定!$B$3),"",IF(INDEX(原始資料!AU$2:AU$501,$BJ244)="","",INDEX(原始資料!AU$2:AU$501,$BJ244)))</f>
        <v/>
      </c>
      <c r="AT244" s="6">
        <f>IF(OR($BJ244="",45&gt;設定!$B$3),"",IF(INDEX(原始資料!AV$2:AV$501,$BJ244)="","",INDEX(原始資料!AV$2:AV$501,$BJ244)))</f>
        <v/>
      </c>
      <c r="AU244" s="6">
        <f>IF(OR($BJ244="",46&gt;設定!$B$3),"",IF(INDEX(原始資料!AW$2:AW$501,$BJ244)="","",INDEX(原始資料!AW$2:AW$501,$BJ244)))</f>
        <v/>
      </c>
      <c r="AV244" s="6">
        <f>IF(OR($BJ244="",47&gt;設定!$B$3),"",IF(INDEX(原始資料!AX$2:AX$501,$BJ244)="","",INDEX(原始資料!AX$2:AX$501,$BJ244)))</f>
        <v/>
      </c>
      <c r="AW244" s="6">
        <f>IF(OR($BJ244="",48&gt;設定!$B$3),"",IF(INDEX(原始資料!AY$2:AY$501,$BJ244)="","",INDEX(原始資料!AY$2:AY$501,$BJ244)))</f>
        <v/>
      </c>
      <c r="AX244" s="6">
        <f>IF(OR($BJ244="",49&gt;設定!$B$3),"",IF(INDEX(原始資料!AZ$2:AZ$501,$BJ244)="","",INDEX(原始資料!AZ$2:AZ$501,$BJ244)))</f>
        <v/>
      </c>
      <c r="AY244" s="6">
        <f>IF(OR($BJ244="",50&gt;設定!$B$3),"",IF(INDEX(原始資料!BA$2:BA$501,$BJ244)="","",INDEX(原始資料!BA$2:BA$501,$BJ244)))</f>
        <v/>
      </c>
      <c r="AZ244" s="6">
        <f>IF(OR($BJ244="",51&gt;設定!$B$3),"",IF(INDEX(原始資料!BB$2:BB$501,$BJ244)="","",INDEX(原始資料!BB$2:BB$501,$BJ244)))</f>
        <v/>
      </c>
      <c r="BA244" s="6">
        <f>IF(OR($BJ244="",52&gt;設定!$B$3),"",IF(INDEX(原始資料!BC$2:BC$501,$BJ244)="","",INDEX(原始資料!BC$2:BC$501,$BJ244)))</f>
        <v/>
      </c>
      <c r="BB244" s="6">
        <f>IF(OR($BJ244="",53&gt;設定!$B$3),"",IF(INDEX(原始資料!BD$2:BD$501,$BJ244)="","",INDEX(原始資料!BD$2:BD$501,$BJ244)))</f>
        <v/>
      </c>
      <c r="BC244" s="6">
        <f>IF(OR($BJ244="",54&gt;設定!$B$3),"",IF(INDEX(原始資料!BE$2:BE$501,$BJ244)="","",INDEX(原始資料!BE$2:BE$501,$BJ244)))</f>
        <v/>
      </c>
      <c r="BD244" s="6">
        <f>IF(OR($BJ244="",55&gt;設定!$B$3),"",IF(INDEX(原始資料!BF$2:BF$501,$BJ244)="","",INDEX(原始資料!BF$2:BF$501,$BJ244)))</f>
        <v/>
      </c>
      <c r="BE244" s="6">
        <f>IF(OR($BJ244="",56&gt;設定!$B$3),"",IF(INDEX(原始資料!BG$2:BG$501,$BJ244)="","",INDEX(原始資料!BG$2:BG$501,$BJ244)))</f>
        <v/>
      </c>
      <c r="BF244" s="6">
        <f>IF(OR($BJ244="",57&gt;設定!$B$3),"",IF(INDEX(原始資料!BH$2:BH$501,$BJ244)="","",INDEX(原始資料!BH$2:BH$501,$BJ244)))</f>
        <v/>
      </c>
      <c r="BG244" s="6">
        <f>IF(OR($BJ244="",58&gt;設定!$B$3),"",IF(INDEX(原始資料!BI$2:BI$501,$BJ244)="","",INDEX(原始資料!BI$2:BI$501,$BJ244)))</f>
        <v/>
      </c>
      <c r="BH244" s="6">
        <f>IF(OR($BJ244="",59&gt;設定!$B$3),"",IF(INDEX(原始資料!BJ$2:BJ$501,$BJ244)="","",INDEX(原始資料!BJ$2:BJ$501,$BJ244)))</f>
        <v/>
      </c>
      <c r="BI244" s="6">
        <f>IF(OR($BJ244="",60&gt;設定!$B$3),"",IF(INDEX(原始資料!BK$2:BK$501,$BJ244)="","",INDEX(原始資料!BK$2:BK$501,$BJ244)))</f>
        <v/>
      </c>
      <c r="BJ244" s="6">
        <f>IFERROR(MATCH(ROW()-1,判定!$H$2:$H$501,0),"")</f>
        <v/>
      </c>
    </row>
    <row r="245">
      <c r="A245" s="6">
        <f>IF($BJ245="","",INDEX(原始資料!$A$2:$A$501,$BJ245))</f>
        <v/>
      </c>
      <c r="B245" s="6">
        <f>IF(OR($BJ245="",1&gt;設定!$B$3),"",IF(INDEX(原始資料!D$2:D$501,$BJ245)="","",INDEX(原始資料!D$2:D$501,$BJ245)))</f>
        <v/>
      </c>
      <c r="C245" s="6">
        <f>IF(OR($BJ245="",2&gt;設定!$B$3),"",IF(INDEX(原始資料!E$2:E$501,$BJ245)="","",INDEX(原始資料!E$2:E$501,$BJ245)))</f>
        <v/>
      </c>
      <c r="D245" s="6">
        <f>IF(OR($BJ245="",3&gt;設定!$B$3),"",IF(INDEX(原始資料!F$2:F$501,$BJ245)="","",INDEX(原始資料!F$2:F$501,$BJ245)))</f>
        <v/>
      </c>
      <c r="E245" s="6">
        <f>IF(OR($BJ245="",4&gt;設定!$B$3),"",IF(INDEX(原始資料!G$2:G$501,$BJ245)="","",INDEX(原始資料!G$2:G$501,$BJ245)))</f>
        <v/>
      </c>
      <c r="F245" s="6">
        <f>IF(OR($BJ245="",5&gt;設定!$B$3),"",IF(INDEX(原始資料!H$2:H$501,$BJ245)="","",INDEX(原始資料!H$2:H$501,$BJ245)))</f>
        <v/>
      </c>
      <c r="G245" s="6">
        <f>IF(OR($BJ245="",6&gt;設定!$B$3),"",IF(INDEX(原始資料!I$2:I$501,$BJ245)="","",INDEX(原始資料!I$2:I$501,$BJ245)))</f>
        <v/>
      </c>
      <c r="H245" s="6">
        <f>IF(OR($BJ245="",7&gt;設定!$B$3),"",IF(INDEX(原始資料!J$2:J$501,$BJ245)="","",INDEX(原始資料!J$2:J$501,$BJ245)))</f>
        <v/>
      </c>
      <c r="I245" s="6">
        <f>IF(OR($BJ245="",8&gt;設定!$B$3),"",IF(INDEX(原始資料!K$2:K$501,$BJ245)="","",INDEX(原始資料!K$2:K$501,$BJ245)))</f>
        <v/>
      </c>
      <c r="J245" s="6">
        <f>IF(OR($BJ245="",9&gt;設定!$B$3),"",IF(INDEX(原始資料!L$2:L$501,$BJ245)="","",INDEX(原始資料!L$2:L$501,$BJ245)))</f>
        <v/>
      </c>
      <c r="K245" s="6">
        <f>IF(OR($BJ245="",10&gt;設定!$B$3),"",IF(INDEX(原始資料!M$2:M$501,$BJ245)="","",INDEX(原始資料!M$2:M$501,$BJ245)))</f>
        <v/>
      </c>
      <c r="L245" s="6">
        <f>IF(OR($BJ245="",11&gt;設定!$B$3),"",IF(INDEX(原始資料!N$2:N$501,$BJ245)="","",INDEX(原始資料!N$2:N$501,$BJ245)))</f>
        <v/>
      </c>
      <c r="M245" s="6">
        <f>IF(OR($BJ245="",12&gt;設定!$B$3),"",IF(INDEX(原始資料!O$2:O$501,$BJ245)="","",INDEX(原始資料!O$2:O$501,$BJ245)))</f>
        <v/>
      </c>
      <c r="N245" s="6">
        <f>IF(OR($BJ245="",13&gt;設定!$B$3),"",IF(INDEX(原始資料!P$2:P$501,$BJ245)="","",INDEX(原始資料!P$2:P$501,$BJ245)))</f>
        <v/>
      </c>
      <c r="O245" s="6">
        <f>IF(OR($BJ245="",14&gt;設定!$B$3),"",IF(INDEX(原始資料!Q$2:Q$501,$BJ245)="","",INDEX(原始資料!Q$2:Q$501,$BJ245)))</f>
        <v/>
      </c>
      <c r="P245" s="6">
        <f>IF(OR($BJ245="",15&gt;設定!$B$3),"",IF(INDEX(原始資料!R$2:R$501,$BJ245)="","",INDEX(原始資料!R$2:R$501,$BJ245)))</f>
        <v/>
      </c>
      <c r="Q245" s="6">
        <f>IF(OR($BJ245="",16&gt;設定!$B$3),"",IF(INDEX(原始資料!S$2:S$501,$BJ245)="","",INDEX(原始資料!S$2:S$501,$BJ245)))</f>
        <v/>
      </c>
      <c r="R245" s="6">
        <f>IF(OR($BJ245="",17&gt;設定!$B$3),"",IF(INDEX(原始資料!T$2:T$501,$BJ245)="","",INDEX(原始資料!T$2:T$501,$BJ245)))</f>
        <v/>
      </c>
      <c r="S245" s="6">
        <f>IF(OR($BJ245="",18&gt;設定!$B$3),"",IF(INDEX(原始資料!U$2:U$501,$BJ245)="","",INDEX(原始資料!U$2:U$501,$BJ245)))</f>
        <v/>
      </c>
      <c r="T245" s="6">
        <f>IF(OR($BJ245="",19&gt;設定!$B$3),"",IF(INDEX(原始資料!V$2:V$501,$BJ245)="","",INDEX(原始資料!V$2:V$501,$BJ245)))</f>
        <v/>
      </c>
      <c r="U245" s="6">
        <f>IF(OR($BJ245="",20&gt;設定!$B$3),"",IF(INDEX(原始資料!W$2:W$501,$BJ245)="","",INDEX(原始資料!W$2:W$501,$BJ245)))</f>
        <v/>
      </c>
      <c r="V245" s="6">
        <f>IF(OR($BJ245="",21&gt;設定!$B$3),"",IF(INDEX(原始資料!X$2:X$501,$BJ245)="","",INDEX(原始資料!X$2:X$501,$BJ245)))</f>
        <v/>
      </c>
      <c r="W245" s="6">
        <f>IF(OR($BJ245="",22&gt;設定!$B$3),"",IF(INDEX(原始資料!Y$2:Y$501,$BJ245)="","",INDEX(原始資料!Y$2:Y$501,$BJ245)))</f>
        <v/>
      </c>
      <c r="X245" s="6">
        <f>IF(OR($BJ245="",23&gt;設定!$B$3),"",IF(INDEX(原始資料!Z$2:Z$501,$BJ245)="","",INDEX(原始資料!Z$2:Z$501,$BJ245)))</f>
        <v/>
      </c>
      <c r="Y245" s="6">
        <f>IF(OR($BJ245="",24&gt;設定!$B$3),"",IF(INDEX(原始資料!AA$2:AA$501,$BJ245)="","",INDEX(原始資料!AA$2:AA$501,$BJ245)))</f>
        <v/>
      </c>
      <c r="Z245" s="6">
        <f>IF(OR($BJ245="",25&gt;設定!$B$3),"",IF(INDEX(原始資料!AB$2:AB$501,$BJ245)="","",INDEX(原始資料!AB$2:AB$501,$BJ245)))</f>
        <v/>
      </c>
      <c r="AA245" s="6">
        <f>IF(OR($BJ245="",26&gt;設定!$B$3),"",IF(INDEX(原始資料!AC$2:AC$501,$BJ245)="","",INDEX(原始資料!AC$2:AC$501,$BJ245)))</f>
        <v/>
      </c>
      <c r="AB245" s="6">
        <f>IF(OR($BJ245="",27&gt;設定!$B$3),"",IF(INDEX(原始資料!AD$2:AD$501,$BJ245)="","",INDEX(原始資料!AD$2:AD$501,$BJ245)))</f>
        <v/>
      </c>
      <c r="AC245" s="6">
        <f>IF(OR($BJ245="",28&gt;設定!$B$3),"",IF(INDEX(原始資料!AE$2:AE$501,$BJ245)="","",INDEX(原始資料!AE$2:AE$501,$BJ245)))</f>
        <v/>
      </c>
      <c r="AD245" s="6">
        <f>IF(OR($BJ245="",29&gt;設定!$B$3),"",IF(INDEX(原始資料!AF$2:AF$501,$BJ245)="","",INDEX(原始資料!AF$2:AF$501,$BJ245)))</f>
        <v/>
      </c>
      <c r="AE245" s="6">
        <f>IF(OR($BJ245="",30&gt;設定!$B$3),"",IF(INDEX(原始資料!AG$2:AG$501,$BJ245)="","",INDEX(原始資料!AG$2:AG$501,$BJ245)))</f>
        <v/>
      </c>
      <c r="AF245" s="6">
        <f>IF(OR($BJ245="",31&gt;設定!$B$3),"",IF(INDEX(原始資料!AH$2:AH$501,$BJ245)="","",INDEX(原始資料!AH$2:AH$501,$BJ245)))</f>
        <v/>
      </c>
      <c r="AG245" s="6">
        <f>IF(OR($BJ245="",32&gt;設定!$B$3),"",IF(INDEX(原始資料!AI$2:AI$501,$BJ245)="","",INDEX(原始資料!AI$2:AI$501,$BJ245)))</f>
        <v/>
      </c>
      <c r="AH245" s="6">
        <f>IF(OR($BJ245="",33&gt;設定!$B$3),"",IF(INDEX(原始資料!AJ$2:AJ$501,$BJ245)="","",INDEX(原始資料!AJ$2:AJ$501,$BJ245)))</f>
        <v/>
      </c>
      <c r="AI245" s="6">
        <f>IF(OR($BJ245="",34&gt;設定!$B$3),"",IF(INDEX(原始資料!AK$2:AK$501,$BJ245)="","",INDEX(原始資料!AK$2:AK$501,$BJ245)))</f>
        <v/>
      </c>
      <c r="AJ245" s="6">
        <f>IF(OR($BJ245="",35&gt;設定!$B$3),"",IF(INDEX(原始資料!AL$2:AL$501,$BJ245)="","",INDEX(原始資料!AL$2:AL$501,$BJ245)))</f>
        <v/>
      </c>
      <c r="AK245" s="6">
        <f>IF(OR($BJ245="",36&gt;設定!$B$3),"",IF(INDEX(原始資料!AM$2:AM$501,$BJ245)="","",INDEX(原始資料!AM$2:AM$501,$BJ245)))</f>
        <v/>
      </c>
      <c r="AL245" s="6">
        <f>IF(OR($BJ245="",37&gt;設定!$B$3),"",IF(INDEX(原始資料!AN$2:AN$501,$BJ245)="","",INDEX(原始資料!AN$2:AN$501,$BJ245)))</f>
        <v/>
      </c>
      <c r="AM245" s="6">
        <f>IF(OR($BJ245="",38&gt;設定!$B$3),"",IF(INDEX(原始資料!AO$2:AO$501,$BJ245)="","",INDEX(原始資料!AO$2:AO$501,$BJ245)))</f>
        <v/>
      </c>
      <c r="AN245" s="6">
        <f>IF(OR($BJ245="",39&gt;設定!$B$3),"",IF(INDEX(原始資料!AP$2:AP$501,$BJ245)="","",INDEX(原始資料!AP$2:AP$501,$BJ245)))</f>
        <v/>
      </c>
      <c r="AO245" s="6">
        <f>IF(OR($BJ245="",40&gt;設定!$B$3),"",IF(INDEX(原始資料!AQ$2:AQ$501,$BJ245)="","",INDEX(原始資料!AQ$2:AQ$501,$BJ245)))</f>
        <v/>
      </c>
      <c r="AP245" s="6">
        <f>IF(OR($BJ245="",41&gt;設定!$B$3),"",IF(INDEX(原始資料!AR$2:AR$501,$BJ245)="","",INDEX(原始資料!AR$2:AR$501,$BJ245)))</f>
        <v/>
      </c>
      <c r="AQ245" s="6">
        <f>IF(OR($BJ245="",42&gt;設定!$B$3),"",IF(INDEX(原始資料!AS$2:AS$501,$BJ245)="","",INDEX(原始資料!AS$2:AS$501,$BJ245)))</f>
        <v/>
      </c>
      <c r="AR245" s="6">
        <f>IF(OR($BJ245="",43&gt;設定!$B$3),"",IF(INDEX(原始資料!AT$2:AT$501,$BJ245)="","",INDEX(原始資料!AT$2:AT$501,$BJ245)))</f>
        <v/>
      </c>
      <c r="AS245" s="6">
        <f>IF(OR($BJ245="",44&gt;設定!$B$3),"",IF(INDEX(原始資料!AU$2:AU$501,$BJ245)="","",INDEX(原始資料!AU$2:AU$501,$BJ245)))</f>
        <v/>
      </c>
      <c r="AT245" s="6">
        <f>IF(OR($BJ245="",45&gt;設定!$B$3),"",IF(INDEX(原始資料!AV$2:AV$501,$BJ245)="","",INDEX(原始資料!AV$2:AV$501,$BJ245)))</f>
        <v/>
      </c>
      <c r="AU245" s="6">
        <f>IF(OR($BJ245="",46&gt;設定!$B$3),"",IF(INDEX(原始資料!AW$2:AW$501,$BJ245)="","",INDEX(原始資料!AW$2:AW$501,$BJ245)))</f>
        <v/>
      </c>
      <c r="AV245" s="6">
        <f>IF(OR($BJ245="",47&gt;設定!$B$3),"",IF(INDEX(原始資料!AX$2:AX$501,$BJ245)="","",INDEX(原始資料!AX$2:AX$501,$BJ245)))</f>
        <v/>
      </c>
      <c r="AW245" s="6">
        <f>IF(OR($BJ245="",48&gt;設定!$B$3),"",IF(INDEX(原始資料!AY$2:AY$501,$BJ245)="","",INDEX(原始資料!AY$2:AY$501,$BJ245)))</f>
        <v/>
      </c>
      <c r="AX245" s="6">
        <f>IF(OR($BJ245="",49&gt;設定!$B$3),"",IF(INDEX(原始資料!AZ$2:AZ$501,$BJ245)="","",INDEX(原始資料!AZ$2:AZ$501,$BJ245)))</f>
        <v/>
      </c>
      <c r="AY245" s="6">
        <f>IF(OR($BJ245="",50&gt;設定!$B$3),"",IF(INDEX(原始資料!BA$2:BA$501,$BJ245)="","",INDEX(原始資料!BA$2:BA$501,$BJ245)))</f>
        <v/>
      </c>
      <c r="AZ245" s="6">
        <f>IF(OR($BJ245="",51&gt;設定!$B$3),"",IF(INDEX(原始資料!BB$2:BB$501,$BJ245)="","",INDEX(原始資料!BB$2:BB$501,$BJ245)))</f>
        <v/>
      </c>
      <c r="BA245" s="6">
        <f>IF(OR($BJ245="",52&gt;設定!$B$3),"",IF(INDEX(原始資料!BC$2:BC$501,$BJ245)="","",INDEX(原始資料!BC$2:BC$501,$BJ245)))</f>
        <v/>
      </c>
      <c r="BB245" s="6">
        <f>IF(OR($BJ245="",53&gt;設定!$B$3),"",IF(INDEX(原始資料!BD$2:BD$501,$BJ245)="","",INDEX(原始資料!BD$2:BD$501,$BJ245)))</f>
        <v/>
      </c>
      <c r="BC245" s="6">
        <f>IF(OR($BJ245="",54&gt;設定!$B$3),"",IF(INDEX(原始資料!BE$2:BE$501,$BJ245)="","",INDEX(原始資料!BE$2:BE$501,$BJ245)))</f>
        <v/>
      </c>
      <c r="BD245" s="6">
        <f>IF(OR($BJ245="",55&gt;設定!$B$3),"",IF(INDEX(原始資料!BF$2:BF$501,$BJ245)="","",INDEX(原始資料!BF$2:BF$501,$BJ245)))</f>
        <v/>
      </c>
      <c r="BE245" s="6">
        <f>IF(OR($BJ245="",56&gt;設定!$B$3),"",IF(INDEX(原始資料!BG$2:BG$501,$BJ245)="","",INDEX(原始資料!BG$2:BG$501,$BJ245)))</f>
        <v/>
      </c>
      <c r="BF245" s="6">
        <f>IF(OR($BJ245="",57&gt;設定!$B$3),"",IF(INDEX(原始資料!BH$2:BH$501,$BJ245)="","",INDEX(原始資料!BH$2:BH$501,$BJ245)))</f>
        <v/>
      </c>
      <c r="BG245" s="6">
        <f>IF(OR($BJ245="",58&gt;設定!$B$3),"",IF(INDEX(原始資料!BI$2:BI$501,$BJ245)="","",INDEX(原始資料!BI$2:BI$501,$BJ245)))</f>
        <v/>
      </c>
      <c r="BH245" s="6">
        <f>IF(OR($BJ245="",59&gt;設定!$B$3),"",IF(INDEX(原始資料!BJ$2:BJ$501,$BJ245)="","",INDEX(原始資料!BJ$2:BJ$501,$BJ245)))</f>
        <v/>
      </c>
      <c r="BI245" s="6">
        <f>IF(OR($BJ245="",60&gt;設定!$B$3),"",IF(INDEX(原始資料!BK$2:BK$501,$BJ245)="","",INDEX(原始資料!BK$2:BK$501,$BJ245)))</f>
        <v/>
      </c>
      <c r="BJ245" s="6">
        <f>IFERROR(MATCH(ROW()-1,判定!$H$2:$H$501,0),"")</f>
        <v/>
      </c>
    </row>
    <row r="246">
      <c r="A246" s="6">
        <f>IF($BJ246="","",INDEX(原始資料!$A$2:$A$501,$BJ246))</f>
        <v/>
      </c>
      <c r="B246" s="6">
        <f>IF(OR($BJ246="",1&gt;設定!$B$3),"",IF(INDEX(原始資料!D$2:D$501,$BJ246)="","",INDEX(原始資料!D$2:D$501,$BJ246)))</f>
        <v/>
      </c>
      <c r="C246" s="6">
        <f>IF(OR($BJ246="",2&gt;設定!$B$3),"",IF(INDEX(原始資料!E$2:E$501,$BJ246)="","",INDEX(原始資料!E$2:E$501,$BJ246)))</f>
        <v/>
      </c>
      <c r="D246" s="6">
        <f>IF(OR($BJ246="",3&gt;設定!$B$3),"",IF(INDEX(原始資料!F$2:F$501,$BJ246)="","",INDEX(原始資料!F$2:F$501,$BJ246)))</f>
        <v/>
      </c>
      <c r="E246" s="6">
        <f>IF(OR($BJ246="",4&gt;設定!$B$3),"",IF(INDEX(原始資料!G$2:G$501,$BJ246)="","",INDEX(原始資料!G$2:G$501,$BJ246)))</f>
        <v/>
      </c>
      <c r="F246" s="6">
        <f>IF(OR($BJ246="",5&gt;設定!$B$3),"",IF(INDEX(原始資料!H$2:H$501,$BJ246)="","",INDEX(原始資料!H$2:H$501,$BJ246)))</f>
        <v/>
      </c>
      <c r="G246" s="6">
        <f>IF(OR($BJ246="",6&gt;設定!$B$3),"",IF(INDEX(原始資料!I$2:I$501,$BJ246)="","",INDEX(原始資料!I$2:I$501,$BJ246)))</f>
        <v/>
      </c>
      <c r="H246" s="6">
        <f>IF(OR($BJ246="",7&gt;設定!$B$3),"",IF(INDEX(原始資料!J$2:J$501,$BJ246)="","",INDEX(原始資料!J$2:J$501,$BJ246)))</f>
        <v/>
      </c>
      <c r="I246" s="6">
        <f>IF(OR($BJ246="",8&gt;設定!$B$3),"",IF(INDEX(原始資料!K$2:K$501,$BJ246)="","",INDEX(原始資料!K$2:K$501,$BJ246)))</f>
        <v/>
      </c>
      <c r="J246" s="6">
        <f>IF(OR($BJ246="",9&gt;設定!$B$3),"",IF(INDEX(原始資料!L$2:L$501,$BJ246)="","",INDEX(原始資料!L$2:L$501,$BJ246)))</f>
        <v/>
      </c>
      <c r="K246" s="6">
        <f>IF(OR($BJ246="",10&gt;設定!$B$3),"",IF(INDEX(原始資料!M$2:M$501,$BJ246)="","",INDEX(原始資料!M$2:M$501,$BJ246)))</f>
        <v/>
      </c>
      <c r="L246" s="6">
        <f>IF(OR($BJ246="",11&gt;設定!$B$3),"",IF(INDEX(原始資料!N$2:N$501,$BJ246)="","",INDEX(原始資料!N$2:N$501,$BJ246)))</f>
        <v/>
      </c>
      <c r="M246" s="6">
        <f>IF(OR($BJ246="",12&gt;設定!$B$3),"",IF(INDEX(原始資料!O$2:O$501,$BJ246)="","",INDEX(原始資料!O$2:O$501,$BJ246)))</f>
        <v/>
      </c>
      <c r="N246" s="6">
        <f>IF(OR($BJ246="",13&gt;設定!$B$3),"",IF(INDEX(原始資料!P$2:P$501,$BJ246)="","",INDEX(原始資料!P$2:P$501,$BJ246)))</f>
        <v/>
      </c>
      <c r="O246" s="6">
        <f>IF(OR($BJ246="",14&gt;設定!$B$3),"",IF(INDEX(原始資料!Q$2:Q$501,$BJ246)="","",INDEX(原始資料!Q$2:Q$501,$BJ246)))</f>
        <v/>
      </c>
      <c r="P246" s="6">
        <f>IF(OR($BJ246="",15&gt;設定!$B$3),"",IF(INDEX(原始資料!R$2:R$501,$BJ246)="","",INDEX(原始資料!R$2:R$501,$BJ246)))</f>
        <v/>
      </c>
      <c r="Q246" s="6">
        <f>IF(OR($BJ246="",16&gt;設定!$B$3),"",IF(INDEX(原始資料!S$2:S$501,$BJ246)="","",INDEX(原始資料!S$2:S$501,$BJ246)))</f>
        <v/>
      </c>
      <c r="R246" s="6">
        <f>IF(OR($BJ246="",17&gt;設定!$B$3),"",IF(INDEX(原始資料!T$2:T$501,$BJ246)="","",INDEX(原始資料!T$2:T$501,$BJ246)))</f>
        <v/>
      </c>
      <c r="S246" s="6">
        <f>IF(OR($BJ246="",18&gt;設定!$B$3),"",IF(INDEX(原始資料!U$2:U$501,$BJ246)="","",INDEX(原始資料!U$2:U$501,$BJ246)))</f>
        <v/>
      </c>
      <c r="T246" s="6">
        <f>IF(OR($BJ246="",19&gt;設定!$B$3),"",IF(INDEX(原始資料!V$2:V$501,$BJ246)="","",INDEX(原始資料!V$2:V$501,$BJ246)))</f>
        <v/>
      </c>
      <c r="U246" s="6">
        <f>IF(OR($BJ246="",20&gt;設定!$B$3),"",IF(INDEX(原始資料!W$2:W$501,$BJ246)="","",INDEX(原始資料!W$2:W$501,$BJ246)))</f>
        <v/>
      </c>
      <c r="V246" s="6">
        <f>IF(OR($BJ246="",21&gt;設定!$B$3),"",IF(INDEX(原始資料!X$2:X$501,$BJ246)="","",INDEX(原始資料!X$2:X$501,$BJ246)))</f>
        <v/>
      </c>
      <c r="W246" s="6">
        <f>IF(OR($BJ246="",22&gt;設定!$B$3),"",IF(INDEX(原始資料!Y$2:Y$501,$BJ246)="","",INDEX(原始資料!Y$2:Y$501,$BJ246)))</f>
        <v/>
      </c>
      <c r="X246" s="6">
        <f>IF(OR($BJ246="",23&gt;設定!$B$3),"",IF(INDEX(原始資料!Z$2:Z$501,$BJ246)="","",INDEX(原始資料!Z$2:Z$501,$BJ246)))</f>
        <v/>
      </c>
      <c r="Y246" s="6">
        <f>IF(OR($BJ246="",24&gt;設定!$B$3),"",IF(INDEX(原始資料!AA$2:AA$501,$BJ246)="","",INDEX(原始資料!AA$2:AA$501,$BJ246)))</f>
        <v/>
      </c>
      <c r="Z246" s="6">
        <f>IF(OR($BJ246="",25&gt;設定!$B$3),"",IF(INDEX(原始資料!AB$2:AB$501,$BJ246)="","",INDEX(原始資料!AB$2:AB$501,$BJ246)))</f>
        <v/>
      </c>
      <c r="AA246" s="6">
        <f>IF(OR($BJ246="",26&gt;設定!$B$3),"",IF(INDEX(原始資料!AC$2:AC$501,$BJ246)="","",INDEX(原始資料!AC$2:AC$501,$BJ246)))</f>
        <v/>
      </c>
      <c r="AB246" s="6">
        <f>IF(OR($BJ246="",27&gt;設定!$B$3),"",IF(INDEX(原始資料!AD$2:AD$501,$BJ246)="","",INDEX(原始資料!AD$2:AD$501,$BJ246)))</f>
        <v/>
      </c>
      <c r="AC246" s="6">
        <f>IF(OR($BJ246="",28&gt;設定!$B$3),"",IF(INDEX(原始資料!AE$2:AE$501,$BJ246)="","",INDEX(原始資料!AE$2:AE$501,$BJ246)))</f>
        <v/>
      </c>
      <c r="AD246" s="6">
        <f>IF(OR($BJ246="",29&gt;設定!$B$3),"",IF(INDEX(原始資料!AF$2:AF$501,$BJ246)="","",INDEX(原始資料!AF$2:AF$501,$BJ246)))</f>
        <v/>
      </c>
      <c r="AE246" s="6">
        <f>IF(OR($BJ246="",30&gt;設定!$B$3),"",IF(INDEX(原始資料!AG$2:AG$501,$BJ246)="","",INDEX(原始資料!AG$2:AG$501,$BJ246)))</f>
        <v/>
      </c>
      <c r="AF246" s="6">
        <f>IF(OR($BJ246="",31&gt;設定!$B$3),"",IF(INDEX(原始資料!AH$2:AH$501,$BJ246)="","",INDEX(原始資料!AH$2:AH$501,$BJ246)))</f>
        <v/>
      </c>
      <c r="AG246" s="6">
        <f>IF(OR($BJ246="",32&gt;設定!$B$3),"",IF(INDEX(原始資料!AI$2:AI$501,$BJ246)="","",INDEX(原始資料!AI$2:AI$501,$BJ246)))</f>
        <v/>
      </c>
      <c r="AH246" s="6">
        <f>IF(OR($BJ246="",33&gt;設定!$B$3),"",IF(INDEX(原始資料!AJ$2:AJ$501,$BJ246)="","",INDEX(原始資料!AJ$2:AJ$501,$BJ246)))</f>
        <v/>
      </c>
      <c r="AI246" s="6">
        <f>IF(OR($BJ246="",34&gt;設定!$B$3),"",IF(INDEX(原始資料!AK$2:AK$501,$BJ246)="","",INDEX(原始資料!AK$2:AK$501,$BJ246)))</f>
        <v/>
      </c>
      <c r="AJ246" s="6">
        <f>IF(OR($BJ246="",35&gt;設定!$B$3),"",IF(INDEX(原始資料!AL$2:AL$501,$BJ246)="","",INDEX(原始資料!AL$2:AL$501,$BJ246)))</f>
        <v/>
      </c>
      <c r="AK246" s="6">
        <f>IF(OR($BJ246="",36&gt;設定!$B$3),"",IF(INDEX(原始資料!AM$2:AM$501,$BJ246)="","",INDEX(原始資料!AM$2:AM$501,$BJ246)))</f>
        <v/>
      </c>
      <c r="AL246" s="6">
        <f>IF(OR($BJ246="",37&gt;設定!$B$3),"",IF(INDEX(原始資料!AN$2:AN$501,$BJ246)="","",INDEX(原始資料!AN$2:AN$501,$BJ246)))</f>
        <v/>
      </c>
      <c r="AM246" s="6">
        <f>IF(OR($BJ246="",38&gt;設定!$B$3),"",IF(INDEX(原始資料!AO$2:AO$501,$BJ246)="","",INDEX(原始資料!AO$2:AO$501,$BJ246)))</f>
        <v/>
      </c>
      <c r="AN246" s="6">
        <f>IF(OR($BJ246="",39&gt;設定!$B$3),"",IF(INDEX(原始資料!AP$2:AP$501,$BJ246)="","",INDEX(原始資料!AP$2:AP$501,$BJ246)))</f>
        <v/>
      </c>
      <c r="AO246" s="6">
        <f>IF(OR($BJ246="",40&gt;設定!$B$3),"",IF(INDEX(原始資料!AQ$2:AQ$501,$BJ246)="","",INDEX(原始資料!AQ$2:AQ$501,$BJ246)))</f>
        <v/>
      </c>
      <c r="AP246" s="6">
        <f>IF(OR($BJ246="",41&gt;設定!$B$3),"",IF(INDEX(原始資料!AR$2:AR$501,$BJ246)="","",INDEX(原始資料!AR$2:AR$501,$BJ246)))</f>
        <v/>
      </c>
      <c r="AQ246" s="6">
        <f>IF(OR($BJ246="",42&gt;設定!$B$3),"",IF(INDEX(原始資料!AS$2:AS$501,$BJ246)="","",INDEX(原始資料!AS$2:AS$501,$BJ246)))</f>
        <v/>
      </c>
      <c r="AR246" s="6">
        <f>IF(OR($BJ246="",43&gt;設定!$B$3),"",IF(INDEX(原始資料!AT$2:AT$501,$BJ246)="","",INDEX(原始資料!AT$2:AT$501,$BJ246)))</f>
        <v/>
      </c>
      <c r="AS246" s="6">
        <f>IF(OR($BJ246="",44&gt;設定!$B$3),"",IF(INDEX(原始資料!AU$2:AU$501,$BJ246)="","",INDEX(原始資料!AU$2:AU$501,$BJ246)))</f>
        <v/>
      </c>
      <c r="AT246" s="6">
        <f>IF(OR($BJ246="",45&gt;設定!$B$3),"",IF(INDEX(原始資料!AV$2:AV$501,$BJ246)="","",INDEX(原始資料!AV$2:AV$501,$BJ246)))</f>
        <v/>
      </c>
      <c r="AU246" s="6">
        <f>IF(OR($BJ246="",46&gt;設定!$B$3),"",IF(INDEX(原始資料!AW$2:AW$501,$BJ246)="","",INDEX(原始資料!AW$2:AW$501,$BJ246)))</f>
        <v/>
      </c>
      <c r="AV246" s="6">
        <f>IF(OR($BJ246="",47&gt;設定!$B$3),"",IF(INDEX(原始資料!AX$2:AX$501,$BJ246)="","",INDEX(原始資料!AX$2:AX$501,$BJ246)))</f>
        <v/>
      </c>
      <c r="AW246" s="6">
        <f>IF(OR($BJ246="",48&gt;設定!$B$3),"",IF(INDEX(原始資料!AY$2:AY$501,$BJ246)="","",INDEX(原始資料!AY$2:AY$501,$BJ246)))</f>
        <v/>
      </c>
      <c r="AX246" s="6">
        <f>IF(OR($BJ246="",49&gt;設定!$B$3),"",IF(INDEX(原始資料!AZ$2:AZ$501,$BJ246)="","",INDEX(原始資料!AZ$2:AZ$501,$BJ246)))</f>
        <v/>
      </c>
      <c r="AY246" s="6">
        <f>IF(OR($BJ246="",50&gt;設定!$B$3),"",IF(INDEX(原始資料!BA$2:BA$501,$BJ246)="","",INDEX(原始資料!BA$2:BA$501,$BJ246)))</f>
        <v/>
      </c>
      <c r="AZ246" s="6">
        <f>IF(OR($BJ246="",51&gt;設定!$B$3),"",IF(INDEX(原始資料!BB$2:BB$501,$BJ246)="","",INDEX(原始資料!BB$2:BB$501,$BJ246)))</f>
        <v/>
      </c>
      <c r="BA246" s="6">
        <f>IF(OR($BJ246="",52&gt;設定!$B$3),"",IF(INDEX(原始資料!BC$2:BC$501,$BJ246)="","",INDEX(原始資料!BC$2:BC$501,$BJ246)))</f>
        <v/>
      </c>
      <c r="BB246" s="6">
        <f>IF(OR($BJ246="",53&gt;設定!$B$3),"",IF(INDEX(原始資料!BD$2:BD$501,$BJ246)="","",INDEX(原始資料!BD$2:BD$501,$BJ246)))</f>
        <v/>
      </c>
      <c r="BC246" s="6">
        <f>IF(OR($BJ246="",54&gt;設定!$B$3),"",IF(INDEX(原始資料!BE$2:BE$501,$BJ246)="","",INDEX(原始資料!BE$2:BE$501,$BJ246)))</f>
        <v/>
      </c>
      <c r="BD246" s="6">
        <f>IF(OR($BJ246="",55&gt;設定!$B$3),"",IF(INDEX(原始資料!BF$2:BF$501,$BJ246)="","",INDEX(原始資料!BF$2:BF$501,$BJ246)))</f>
        <v/>
      </c>
      <c r="BE246" s="6">
        <f>IF(OR($BJ246="",56&gt;設定!$B$3),"",IF(INDEX(原始資料!BG$2:BG$501,$BJ246)="","",INDEX(原始資料!BG$2:BG$501,$BJ246)))</f>
        <v/>
      </c>
      <c r="BF246" s="6">
        <f>IF(OR($BJ246="",57&gt;設定!$B$3),"",IF(INDEX(原始資料!BH$2:BH$501,$BJ246)="","",INDEX(原始資料!BH$2:BH$501,$BJ246)))</f>
        <v/>
      </c>
      <c r="BG246" s="6">
        <f>IF(OR($BJ246="",58&gt;設定!$B$3),"",IF(INDEX(原始資料!BI$2:BI$501,$BJ246)="","",INDEX(原始資料!BI$2:BI$501,$BJ246)))</f>
        <v/>
      </c>
      <c r="BH246" s="6">
        <f>IF(OR($BJ246="",59&gt;設定!$B$3),"",IF(INDEX(原始資料!BJ$2:BJ$501,$BJ246)="","",INDEX(原始資料!BJ$2:BJ$501,$BJ246)))</f>
        <v/>
      </c>
      <c r="BI246" s="6">
        <f>IF(OR($BJ246="",60&gt;設定!$B$3),"",IF(INDEX(原始資料!BK$2:BK$501,$BJ246)="","",INDEX(原始資料!BK$2:BK$501,$BJ246)))</f>
        <v/>
      </c>
      <c r="BJ246" s="6">
        <f>IFERROR(MATCH(ROW()-1,判定!$H$2:$H$501,0),"")</f>
        <v/>
      </c>
    </row>
    <row r="247">
      <c r="A247" s="6">
        <f>IF($BJ247="","",INDEX(原始資料!$A$2:$A$501,$BJ247))</f>
        <v/>
      </c>
      <c r="B247" s="6">
        <f>IF(OR($BJ247="",1&gt;設定!$B$3),"",IF(INDEX(原始資料!D$2:D$501,$BJ247)="","",INDEX(原始資料!D$2:D$501,$BJ247)))</f>
        <v/>
      </c>
      <c r="C247" s="6">
        <f>IF(OR($BJ247="",2&gt;設定!$B$3),"",IF(INDEX(原始資料!E$2:E$501,$BJ247)="","",INDEX(原始資料!E$2:E$501,$BJ247)))</f>
        <v/>
      </c>
      <c r="D247" s="6">
        <f>IF(OR($BJ247="",3&gt;設定!$B$3),"",IF(INDEX(原始資料!F$2:F$501,$BJ247)="","",INDEX(原始資料!F$2:F$501,$BJ247)))</f>
        <v/>
      </c>
      <c r="E247" s="6">
        <f>IF(OR($BJ247="",4&gt;設定!$B$3),"",IF(INDEX(原始資料!G$2:G$501,$BJ247)="","",INDEX(原始資料!G$2:G$501,$BJ247)))</f>
        <v/>
      </c>
      <c r="F247" s="6">
        <f>IF(OR($BJ247="",5&gt;設定!$B$3),"",IF(INDEX(原始資料!H$2:H$501,$BJ247)="","",INDEX(原始資料!H$2:H$501,$BJ247)))</f>
        <v/>
      </c>
      <c r="G247" s="6">
        <f>IF(OR($BJ247="",6&gt;設定!$B$3),"",IF(INDEX(原始資料!I$2:I$501,$BJ247)="","",INDEX(原始資料!I$2:I$501,$BJ247)))</f>
        <v/>
      </c>
      <c r="H247" s="6">
        <f>IF(OR($BJ247="",7&gt;設定!$B$3),"",IF(INDEX(原始資料!J$2:J$501,$BJ247)="","",INDEX(原始資料!J$2:J$501,$BJ247)))</f>
        <v/>
      </c>
      <c r="I247" s="6">
        <f>IF(OR($BJ247="",8&gt;設定!$B$3),"",IF(INDEX(原始資料!K$2:K$501,$BJ247)="","",INDEX(原始資料!K$2:K$501,$BJ247)))</f>
        <v/>
      </c>
      <c r="J247" s="6">
        <f>IF(OR($BJ247="",9&gt;設定!$B$3),"",IF(INDEX(原始資料!L$2:L$501,$BJ247)="","",INDEX(原始資料!L$2:L$501,$BJ247)))</f>
        <v/>
      </c>
      <c r="K247" s="6">
        <f>IF(OR($BJ247="",10&gt;設定!$B$3),"",IF(INDEX(原始資料!M$2:M$501,$BJ247)="","",INDEX(原始資料!M$2:M$501,$BJ247)))</f>
        <v/>
      </c>
      <c r="L247" s="6">
        <f>IF(OR($BJ247="",11&gt;設定!$B$3),"",IF(INDEX(原始資料!N$2:N$501,$BJ247)="","",INDEX(原始資料!N$2:N$501,$BJ247)))</f>
        <v/>
      </c>
      <c r="M247" s="6">
        <f>IF(OR($BJ247="",12&gt;設定!$B$3),"",IF(INDEX(原始資料!O$2:O$501,$BJ247)="","",INDEX(原始資料!O$2:O$501,$BJ247)))</f>
        <v/>
      </c>
      <c r="N247" s="6">
        <f>IF(OR($BJ247="",13&gt;設定!$B$3),"",IF(INDEX(原始資料!P$2:P$501,$BJ247)="","",INDEX(原始資料!P$2:P$501,$BJ247)))</f>
        <v/>
      </c>
      <c r="O247" s="6">
        <f>IF(OR($BJ247="",14&gt;設定!$B$3),"",IF(INDEX(原始資料!Q$2:Q$501,$BJ247)="","",INDEX(原始資料!Q$2:Q$501,$BJ247)))</f>
        <v/>
      </c>
      <c r="P247" s="6">
        <f>IF(OR($BJ247="",15&gt;設定!$B$3),"",IF(INDEX(原始資料!R$2:R$501,$BJ247)="","",INDEX(原始資料!R$2:R$501,$BJ247)))</f>
        <v/>
      </c>
      <c r="Q247" s="6">
        <f>IF(OR($BJ247="",16&gt;設定!$B$3),"",IF(INDEX(原始資料!S$2:S$501,$BJ247)="","",INDEX(原始資料!S$2:S$501,$BJ247)))</f>
        <v/>
      </c>
      <c r="R247" s="6">
        <f>IF(OR($BJ247="",17&gt;設定!$B$3),"",IF(INDEX(原始資料!T$2:T$501,$BJ247)="","",INDEX(原始資料!T$2:T$501,$BJ247)))</f>
        <v/>
      </c>
      <c r="S247" s="6">
        <f>IF(OR($BJ247="",18&gt;設定!$B$3),"",IF(INDEX(原始資料!U$2:U$501,$BJ247)="","",INDEX(原始資料!U$2:U$501,$BJ247)))</f>
        <v/>
      </c>
      <c r="T247" s="6">
        <f>IF(OR($BJ247="",19&gt;設定!$B$3),"",IF(INDEX(原始資料!V$2:V$501,$BJ247)="","",INDEX(原始資料!V$2:V$501,$BJ247)))</f>
        <v/>
      </c>
      <c r="U247" s="6">
        <f>IF(OR($BJ247="",20&gt;設定!$B$3),"",IF(INDEX(原始資料!W$2:W$501,$BJ247)="","",INDEX(原始資料!W$2:W$501,$BJ247)))</f>
        <v/>
      </c>
      <c r="V247" s="6">
        <f>IF(OR($BJ247="",21&gt;設定!$B$3),"",IF(INDEX(原始資料!X$2:X$501,$BJ247)="","",INDEX(原始資料!X$2:X$501,$BJ247)))</f>
        <v/>
      </c>
      <c r="W247" s="6">
        <f>IF(OR($BJ247="",22&gt;設定!$B$3),"",IF(INDEX(原始資料!Y$2:Y$501,$BJ247)="","",INDEX(原始資料!Y$2:Y$501,$BJ247)))</f>
        <v/>
      </c>
      <c r="X247" s="6">
        <f>IF(OR($BJ247="",23&gt;設定!$B$3),"",IF(INDEX(原始資料!Z$2:Z$501,$BJ247)="","",INDEX(原始資料!Z$2:Z$501,$BJ247)))</f>
        <v/>
      </c>
      <c r="Y247" s="6">
        <f>IF(OR($BJ247="",24&gt;設定!$B$3),"",IF(INDEX(原始資料!AA$2:AA$501,$BJ247)="","",INDEX(原始資料!AA$2:AA$501,$BJ247)))</f>
        <v/>
      </c>
      <c r="Z247" s="6">
        <f>IF(OR($BJ247="",25&gt;設定!$B$3),"",IF(INDEX(原始資料!AB$2:AB$501,$BJ247)="","",INDEX(原始資料!AB$2:AB$501,$BJ247)))</f>
        <v/>
      </c>
      <c r="AA247" s="6">
        <f>IF(OR($BJ247="",26&gt;設定!$B$3),"",IF(INDEX(原始資料!AC$2:AC$501,$BJ247)="","",INDEX(原始資料!AC$2:AC$501,$BJ247)))</f>
        <v/>
      </c>
      <c r="AB247" s="6">
        <f>IF(OR($BJ247="",27&gt;設定!$B$3),"",IF(INDEX(原始資料!AD$2:AD$501,$BJ247)="","",INDEX(原始資料!AD$2:AD$501,$BJ247)))</f>
        <v/>
      </c>
      <c r="AC247" s="6">
        <f>IF(OR($BJ247="",28&gt;設定!$B$3),"",IF(INDEX(原始資料!AE$2:AE$501,$BJ247)="","",INDEX(原始資料!AE$2:AE$501,$BJ247)))</f>
        <v/>
      </c>
      <c r="AD247" s="6">
        <f>IF(OR($BJ247="",29&gt;設定!$B$3),"",IF(INDEX(原始資料!AF$2:AF$501,$BJ247)="","",INDEX(原始資料!AF$2:AF$501,$BJ247)))</f>
        <v/>
      </c>
      <c r="AE247" s="6">
        <f>IF(OR($BJ247="",30&gt;設定!$B$3),"",IF(INDEX(原始資料!AG$2:AG$501,$BJ247)="","",INDEX(原始資料!AG$2:AG$501,$BJ247)))</f>
        <v/>
      </c>
      <c r="AF247" s="6">
        <f>IF(OR($BJ247="",31&gt;設定!$B$3),"",IF(INDEX(原始資料!AH$2:AH$501,$BJ247)="","",INDEX(原始資料!AH$2:AH$501,$BJ247)))</f>
        <v/>
      </c>
      <c r="AG247" s="6">
        <f>IF(OR($BJ247="",32&gt;設定!$B$3),"",IF(INDEX(原始資料!AI$2:AI$501,$BJ247)="","",INDEX(原始資料!AI$2:AI$501,$BJ247)))</f>
        <v/>
      </c>
      <c r="AH247" s="6">
        <f>IF(OR($BJ247="",33&gt;設定!$B$3),"",IF(INDEX(原始資料!AJ$2:AJ$501,$BJ247)="","",INDEX(原始資料!AJ$2:AJ$501,$BJ247)))</f>
        <v/>
      </c>
      <c r="AI247" s="6">
        <f>IF(OR($BJ247="",34&gt;設定!$B$3),"",IF(INDEX(原始資料!AK$2:AK$501,$BJ247)="","",INDEX(原始資料!AK$2:AK$501,$BJ247)))</f>
        <v/>
      </c>
      <c r="AJ247" s="6">
        <f>IF(OR($BJ247="",35&gt;設定!$B$3),"",IF(INDEX(原始資料!AL$2:AL$501,$BJ247)="","",INDEX(原始資料!AL$2:AL$501,$BJ247)))</f>
        <v/>
      </c>
      <c r="AK247" s="6">
        <f>IF(OR($BJ247="",36&gt;設定!$B$3),"",IF(INDEX(原始資料!AM$2:AM$501,$BJ247)="","",INDEX(原始資料!AM$2:AM$501,$BJ247)))</f>
        <v/>
      </c>
      <c r="AL247" s="6">
        <f>IF(OR($BJ247="",37&gt;設定!$B$3),"",IF(INDEX(原始資料!AN$2:AN$501,$BJ247)="","",INDEX(原始資料!AN$2:AN$501,$BJ247)))</f>
        <v/>
      </c>
      <c r="AM247" s="6">
        <f>IF(OR($BJ247="",38&gt;設定!$B$3),"",IF(INDEX(原始資料!AO$2:AO$501,$BJ247)="","",INDEX(原始資料!AO$2:AO$501,$BJ247)))</f>
        <v/>
      </c>
      <c r="AN247" s="6">
        <f>IF(OR($BJ247="",39&gt;設定!$B$3),"",IF(INDEX(原始資料!AP$2:AP$501,$BJ247)="","",INDEX(原始資料!AP$2:AP$501,$BJ247)))</f>
        <v/>
      </c>
      <c r="AO247" s="6">
        <f>IF(OR($BJ247="",40&gt;設定!$B$3),"",IF(INDEX(原始資料!AQ$2:AQ$501,$BJ247)="","",INDEX(原始資料!AQ$2:AQ$501,$BJ247)))</f>
        <v/>
      </c>
      <c r="AP247" s="6">
        <f>IF(OR($BJ247="",41&gt;設定!$B$3),"",IF(INDEX(原始資料!AR$2:AR$501,$BJ247)="","",INDEX(原始資料!AR$2:AR$501,$BJ247)))</f>
        <v/>
      </c>
      <c r="AQ247" s="6">
        <f>IF(OR($BJ247="",42&gt;設定!$B$3),"",IF(INDEX(原始資料!AS$2:AS$501,$BJ247)="","",INDEX(原始資料!AS$2:AS$501,$BJ247)))</f>
        <v/>
      </c>
      <c r="AR247" s="6">
        <f>IF(OR($BJ247="",43&gt;設定!$B$3),"",IF(INDEX(原始資料!AT$2:AT$501,$BJ247)="","",INDEX(原始資料!AT$2:AT$501,$BJ247)))</f>
        <v/>
      </c>
      <c r="AS247" s="6">
        <f>IF(OR($BJ247="",44&gt;設定!$B$3),"",IF(INDEX(原始資料!AU$2:AU$501,$BJ247)="","",INDEX(原始資料!AU$2:AU$501,$BJ247)))</f>
        <v/>
      </c>
      <c r="AT247" s="6">
        <f>IF(OR($BJ247="",45&gt;設定!$B$3),"",IF(INDEX(原始資料!AV$2:AV$501,$BJ247)="","",INDEX(原始資料!AV$2:AV$501,$BJ247)))</f>
        <v/>
      </c>
      <c r="AU247" s="6">
        <f>IF(OR($BJ247="",46&gt;設定!$B$3),"",IF(INDEX(原始資料!AW$2:AW$501,$BJ247)="","",INDEX(原始資料!AW$2:AW$501,$BJ247)))</f>
        <v/>
      </c>
      <c r="AV247" s="6">
        <f>IF(OR($BJ247="",47&gt;設定!$B$3),"",IF(INDEX(原始資料!AX$2:AX$501,$BJ247)="","",INDEX(原始資料!AX$2:AX$501,$BJ247)))</f>
        <v/>
      </c>
      <c r="AW247" s="6">
        <f>IF(OR($BJ247="",48&gt;設定!$B$3),"",IF(INDEX(原始資料!AY$2:AY$501,$BJ247)="","",INDEX(原始資料!AY$2:AY$501,$BJ247)))</f>
        <v/>
      </c>
      <c r="AX247" s="6">
        <f>IF(OR($BJ247="",49&gt;設定!$B$3),"",IF(INDEX(原始資料!AZ$2:AZ$501,$BJ247)="","",INDEX(原始資料!AZ$2:AZ$501,$BJ247)))</f>
        <v/>
      </c>
      <c r="AY247" s="6">
        <f>IF(OR($BJ247="",50&gt;設定!$B$3),"",IF(INDEX(原始資料!BA$2:BA$501,$BJ247)="","",INDEX(原始資料!BA$2:BA$501,$BJ247)))</f>
        <v/>
      </c>
      <c r="AZ247" s="6">
        <f>IF(OR($BJ247="",51&gt;設定!$B$3),"",IF(INDEX(原始資料!BB$2:BB$501,$BJ247)="","",INDEX(原始資料!BB$2:BB$501,$BJ247)))</f>
        <v/>
      </c>
      <c r="BA247" s="6">
        <f>IF(OR($BJ247="",52&gt;設定!$B$3),"",IF(INDEX(原始資料!BC$2:BC$501,$BJ247)="","",INDEX(原始資料!BC$2:BC$501,$BJ247)))</f>
        <v/>
      </c>
      <c r="BB247" s="6">
        <f>IF(OR($BJ247="",53&gt;設定!$B$3),"",IF(INDEX(原始資料!BD$2:BD$501,$BJ247)="","",INDEX(原始資料!BD$2:BD$501,$BJ247)))</f>
        <v/>
      </c>
      <c r="BC247" s="6">
        <f>IF(OR($BJ247="",54&gt;設定!$B$3),"",IF(INDEX(原始資料!BE$2:BE$501,$BJ247)="","",INDEX(原始資料!BE$2:BE$501,$BJ247)))</f>
        <v/>
      </c>
      <c r="BD247" s="6">
        <f>IF(OR($BJ247="",55&gt;設定!$B$3),"",IF(INDEX(原始資料!BF$2:BF$501,$BJ247)="","",INDEX(原始資料!BF$2:BF$501,$BJ247)))</f>
        <v/>
      </c>
      <c r="BE247" s="6">
        <f>IF(OR($BJ247="",56&gt;設定!$B$3),"",IF(INDEX(原始資料!BG$2:BG$501,$BJ247)="","",INDEX(原始資料!BG$2:BG$501,$BJ247)))</f>
        <v/>
      </c>
      <c r="BF247" s="6">
        <f>IF(OR($BJ247="",57&gt;設定!$B$3),"",IF(INDEX(原始資料!BH$2:BH$501,$BJ247)="","",INDEX(原始資料!BH$2:BH$501,$BJ247)))</f>
        <v/>
      </c>
      <c r="BG247" s="6">
        <f>IF(OR($BJ247="",58&gt;設定!$B$3),"",IF(INDEX(原始資料!BI$2:BI$501,$BJ247)="","",INDEX(原始資料!BI$2:BI$501,$BJ247)))</f>
        <v/>
      </c>
      <c r="BH247" s="6">
        <f>IF(OR($BJ247="",59&gt;設定!$B$3),"",IF(INDEX(原始資料!BJ$2:BJ$501,$BJ247)="","",INDEX(原始資料!BJ$2:BJ$501,$BJ247)))</f>
        <v/>
      </c>
      <c r="BI247" s="6">
        <f>IF(OR($BJ247="",60&gt;設定!$B$3),"",IF(INDEX(原始資料!BK$2:BK$501,$BJ247)="","",INDEX(原始資料!BK$2:BK$501,$BJ247)))</f>
        <v/>
      </c>
      <c r="BJ247" s="6">
        <f>IFERROR(MATCH(ROW()-1,判定!$H$2:$H$501,0),"")</f>
        <v/>
      </c>
    </row>
    <row r="248">
      <c r="A248" s="6">
        <f>IF($BJ248="","",INDEX(原始資料!$A$2:$A$501,$BJ248))</f>
        <v/>
      </c>
      <c r="B248" s="6">
        <f>IF(OR($BJ248="",1&gt;設定!$B$3),"",IF(INDEX(原始資料!D$2:D$501,$BJ248)="","",INDEX(原始資料!D$2:D$501,$BJ248)))</f>
        <v/>
      </c>
      <c r="C248" s="6">
        <f>IF(OR($BJ248="",2&gt;設定!$B$3),"",IF(INDEX(原始資料!E$2:E$501,$BJ248)="","",INDEX(原始資料!E$2:E$501,$BJ248)))</f>
        <v/>
      </c>
      <c r="D248" s="6">
        <f>IF(OR($BJ248="",3&gt;設定!$B$3),"",IF(INDEX(原始資料!F$2:F$501,$BJ248)="","",INDEX(原始資料!F$2:F$501,$BJ248)))</f>
        <v/>
      </c>
      <c r="E248" s="6">
        <f>IF(OR($BJ248="",4&gt;設定!$B$3),"",IF(INDEX(原始資料!G$2:G$501,$BJ248)="","",INDEX(原始資料!G$2:G$501,$BJ248)))</f>
        <v/>
      </c>
      <c r="F248" s="6">
        <f>IF(OR($BJ248="",5&gt;設定!$B$3),"",IF(INDEX(原始資料!H$2:H$501,$BJ248)="","",INDEX(原始資料!H$2:H$501,$BJ248)))</f>
        <v/>
      </c>
      <c r="G248" s="6">
        <f>IF(OR($BJ248="",6&gt;設定!$B$3),"",IF(INDEX(原始資料!I$2:I$501,$BJ248)="","",INDEX(原始資料!I$2:I$501,$BJ248)))</f>
        <v/>
      </c>
      <c r="H248" s="6">
        <f>IF(OR($BJ248="",7&gt;設定!$B$3),"",IF(INDEX(原始資料!J$2:J$501,$BJ248)="","",INDEX(原始資料!J$2:J$501,$BJ248)))</f>
        <v/>
      </c>
      <c r="I248" s="6">
        <f>IF(OR($BJ248="",8&gt;設定!$B$3),"",IF(INDEX(原始資料!K$2:K$501,$BJ248)="","",INDEX(原始資料!K$2:K$501,$BJ248)))</f>
        <v/>
      </c>
      <c r="J248" s="6">
        <f>IF(OR($BJ248="",9&gt;設定!$B$3),"",IF(INDEX(原始資料!L$2:L$501,$BJ248)="","",INDEX(原始資料!L$2:L$501,$BJ248)))</f>
        <v/>
      </c>
      <c r="K248" s="6">
        <f>IF(OR($BJ248="",10&gt;設定!$B$3),"",IF(INDEX(原始資料!M$2:M$501,$BJ248)="","",INDEX(原始資料!M$2:M$501,$BJ248)))</f>
        <v/>
      </c>
      <c r="L248" s="6">
        <f>IF(OR($BJ248="",11&gt;設定!$B$3),"",IF(INDEX(原始資料!N$2:N$501,$BJ248)="","",INDEX(原始資料!N$2:N$501,$BJ248)))</f>
        <v/>
      </c>
      <c r="M248" s="6">
        <f>IF(OR($BJ248="",12&gt;設定!$B$3),"",IF(INDEX(原始資料!O$2:O$501,$BJ248)="","",INDEX(原始資料!O$2:O$501,$BJ248)))</f>
        <v/>
      </c>
      <c r="N248" s="6">
        <f>IF(OR($BJ248="",13&gt;設定!$B$3),"",IF(INDEX(原始資料!P$2:P$501,$BJ248)="","",INDEX(原始資料!P$2:P$501,$BJ248)))</f>
        <v/>
      </c>
      <c r="O248" s="6">
        <f>IF(OR($BJ248="",14&gt;設定!$B$3),"",IF(INDEX(原始資料!Q$2:Q$501,$BJ248)="","",INDEX(原始資料!Q$2:Q$501,$BJ248)))</f>
        <v/>
      </c>
      <c r="P248" s="6">
        <f>IF(OR($BJ248="",15&gt;設定!$B$3),"",IF(INDEX(原始資料!R$2:R$501,$BJ248)="","",INDEX(原始資料!R$2:R$501,$BJ248)))</f>
        <v/>
      </c>
      <c r="Q248" s="6">
        <f>IF(OR($BJ248="",16&gt;設定!$B$3),"",IF(INDEX(原始資料!S$2:S$501,$BJ248)="","",INDEX(原始資料!S$2:S$501,$BJ248)))</f>
        <v/>
      </c>
      <c r="R248" s="6">
        <f>IF(OR($BJ248="",17&gt;設定!$B$3),"",IF(INDEX(原始資料!T$2:T$501,$BJ248)="","",INDEX(原始資料!T$2:T$501,$BJ248)))</f>
        <v/>
      </c>
      <c r="S248" s="6">
        <f>IF(OR($BJ248="",18&gt;設定!$B$3),"",IF(INDEX(原始資料!U$2:U$501,$BJ248)="","",INDEX(原始資料!U$2:U$501,$BJ248)))</f>
        <v/>
      </c>
      <c r="T248" s="6">
        <f>IF(OR($BJ248="",19&gt;設定!$B$3),"",IF(INDEX(原始資料!V$2:V$501,$BJ248)="","",INDEX(原始資料!V$2:V$501,$BJ248)))</f>
        <v/>
      </c>
      <c r="U248" s="6">
        <f>IF(OR($BJ248="",20&gt;設定!$B$3),"",IF(INDEX(原始資料!W$2:W$501,$BJ248)="","",INDEX(原始資料!W$2:W$501,$BJ248)))</f>
        <v/>
      </c>
      <c r="V248" s="6">
        <f>IF(OR($BJ248="",21&gt;設定!$B$3),"",IF(INDEX(原始資料!X$2:X$501,$BJ248)="","",INDEX(原始資料!X$2:X$501,$BJ248)))</f>
        <v/>
      </c>
      <c r="W248" s="6">
        <f>IF(OR($BJ248="",22&gt;設定!$B$3),"",IF(INDEX(原始資料!Y$2:Y$501,$BJ248)="","",INDEX(原始資料!Y$2:Y$501,$BJ248)))</f>
        <v/>
      </c>
      <c r="X248" s="6">
        <f>IF(OR($BJ248="",23&gt;設定!$B$3),"",IF(INDEX(原始資料!Z$2:Z$501,$BJ248)="","",INDEX(原始資料!Z$2:Z$501,$BJ248)))</f>
        <v/>
      </c>
      <c r="Y248" s="6">
        <f>IF(OR($BJ248="",24&gt;設定!$B$3),"",IF(INDEX(原始資料!AA$2:AA$501,$BJ248)="","",INDEX(原始資料!AA$2:AA$501,$BJ248)))</f>
        <v/>
      </c>
      <c r="Z248" s="6">
        <f>IF(OR($BJ248="",25&gt;設定!$B$3),"",IF(INDEX(原始資料!AB$2:AB$501,$BJ248)="","",INDEX(原始資料!AB$2:AB$501,$BJ248)))</f>
        <v/>
      </c>
      <c r="AA248" s="6">
        <f>IF(OR($BJ248="",26&gt;設定!$B$3),"",IF(INDEX(原始資料!AC$2:AC$501,$BJ248)="","",INDEX(原始資料!AC$2:AC$501,$BJ248)))</f>
        <v/>
      </c>
      <c r="AB248" s="6">
        <f>IF(OR($BJ248="",27&gt;設定!$B$3),"",IF(INDEX(原始資料!AD$2:AD$501,$BJ248)="","",INDEX(原始資料!AD$2:AD$501,$BJ248)))</f>
        <v/>
      </c>
      <c r="AC248" s="6">
        <f>IF(OR($BJ248="",28&gt;設定!$B$3),"",IF(INDEX(原始資料!AE$2:AE$501,$BJ248)="","",INDEX(原始資料!AE$2:AE$501,$BJ248)))</f>
        <v/>
      </c>
      <c r="AD248" s="6">
        <f>IF(OR($BJ248="",29&gt;設定!$B$3),"",IF(INDEX(原始資料!AF$2:AF$501,$BJ248)="","",INDEX(原始資料!AF$2:AF$501,$BJ248)))</f>
        <v/>
      </c>
      <c r="AE248" s="6">
        <f>IF(OR($BJ248="",30&gt;設定!$B$3),"",IF(INDEX(原始資料!AG$2:AG$501,$BJ248)="","",INDEX(原始資料!AG$2:AG$501,$BJ248)))</f>
        <v/>
      </c>
      <c r="AF248" s="6">
        <f>IF(OR($BJ248="",31&gt;設定!$B$3),"",IF(INDEX(原始資料!AH$2:AH$501,$BJ248)="","",INDEX(原始資料!AH$2:AH$501,$BJ248)))</f>
        <v/>
      </c>
      <c r="AG248" s="6">
        <f>IF(OR($BJ248="",32&gt;設定!$B$3),"",IF(INDEX(原始資料!AI$2:AI$501,$BJ248)="","",INDEX(原始資料!AI$2:AI$501,$BJ248)))</f>
        <v/>
      </c>
      <c r="AH248" s="6">
        <f>IF(OR($BJ248="",33&gt;設定!$B$3),"",IF(INDEX(原始資料!AJ$2:AJ$501,$BJ248)="","",INDEX(原始資料!AJ$2:AJ$501,$BJ248)))</f>
        <v/>
      </c>
      <c r="AI248" s="6">
        <f>IF(OR($BJ248="",34&gt;設定!$B$3),"",IF(INDEX(原始資料!AK$2:AK$501,$BJ248)="","",INDEX(原始資料!AK$2:AK$501,$BJ248)))</f>
        <v/>
      </c>
      <c r="AJ248" s="6">
        <f>IF(OR($BJ248="",35&gt;設定!$B$3),"",IF(INDEX(原始資料!AL$2:AL$501,$BJ248)="","",INDEX(原始資料!AL$2:AL$501,$BJ248)))</f>
        <v/>
      </c>
      <c r="AK248" s="6">
        <f>IF(OR($BJ248="",36&gt;設定!$B$3),"",IF(INDEX(原始資料!AM$2:AM$501,$BJ248)="","",INDEX(原始資料!AM$2:AM$501,$BJ248)))</f>
        <v/>
      </c>
      <c r="AL248" s="6">
        <f>IF(OR($BJ248="",37&gt;設定!$B$3),"",IF(INDEX(原始資料!AN$2:AN$501,$BJ248)="","",INDEX(原始資料!AN$2:AN$501,$BJ248)))</f>
        <v/>
      </c>
      <c r="AM248" s="6">
        <f>IF(OR($BJ248="",38&gt;設定!$B$3),"",IF(INDEX(原始資料!AO$2:AO$501,$BJ248)="","",INDEX(原始資料!AO$2:AO$501,$BJ248)))</f>
        <v/>
      </c>
      <c r="AN248" s="6">
        <f>IF(OR($BJ248="",39&gt;設定!$B$3),"",IF(INDEX(原始資料!AP$2:AP$501,$BJ248)="","",INDEX(原始資料!AP$2:AP$501,$BJ248)))</f>
        <v/>
      </c>
      <c r="AO248" s="6">
        <f>IF(OR($BJ248="",40&gt;設定!$B$3),"",IF(INDEX(原始資料!AQ$2:AQ$501,$BJ248)="","",INDEX(原始資料!AQ$2:AQ$501,$BJ248)))</f>
        <v/>
      </c>
      <c r="AP248" s="6">
        <f>IF(OR($BJ248="",41&gt;設定!$B$3),"",IF(INDEX(原始資料!AR$2:AR$501,$BJ248)="","",INDEX(原始資料!AR$2:AR$501,$BJ248)))</f>
        <v/>
      </c>
      <c r="AQ248" s="6">
        <f>IF(OR($BJ248="",42&gt;設定!$B$3),"",IF(INDEX(原始資料!AS$2:AS$501,$BJ248)="","",INDEX(原始資料!AS$2:AS$501,$BJ248)))</f>
        <v/>
      </c>
      <c r="AR248" s="6">
        <f>IF(OR($BJ248="",43&gt;設定!$B$3),"",IF(INDEX(原始資料!AT$2:AT$501,$BJ248)="","",INDEX(原始資料!AT$2:AT$501,$BJ248)))</f>
        <v/>
      </c>
      <c r="AS248" s="6">
        <f>IF(OR($BJ248="",44&gt;設定!$B$3),"",IF(INDEX(原始資料!AU$2:AU$501,$BJ248)="","",INDEX(原始資料!AU$2:AU$501,$BJ248)))</f>
        <v/>
      </c>
      <c r="AT248" s="6">
        <f>IF(OR($BJ248="",45&gt;設定!$B$3),"",IF(INDEX(原始資料!AV$2:AV$501,$BJ248)="","",INDEX(原始資料!AV$2:AV$501,$BJ248)))</f>
        <v/>
      </c>
      <c r="AU248" s="6">
        <f>IF(OR($BJ248="",46&gt;設定!$B$3),"",IF(INDEX(原始資料!AW$2:AW$501,$BJ248)="","",INDEX(原始資料!AW$2:AW$501,$BJ248)))</f>
        <v/>
      </c>
      <c r="AV248" s="6">
        <f>IF(OR($BJ248="",47&gt;設定!$B$3),"",IF(INDEX(原始資料!AX$2:AX$501,$BJ248)="","",INDEX(原始資料!AX$2:AX$501,$BJ248)))</f>
        <v/>
      </c>
      <c r="AW248" s="6">
        <f>IF(OR($BJ248="",48&gt;設定!$B$3),"",IF(INDEX(原始資料!AY$2:AY$501,$BJ248)="","",INDEX(原始資料!AY$2:AY$501,$BJ248)))</f>
        <v/>
      </c>
      <c r="AX248" s="6">
        <f>IF(OR($BJ248="",49&gt;設定!$B$3),"",IF(INDEX(原始資料!AZ$2:AZ$501,$BJ248)="","",INDEX(原始資料!AZ$2:AZ$501,$BJ248)))</f>
        <v/>
      </c>
      <c r="AY248" s="6">
        <f>IF(OR($BJ248="",50&gt;設定!$B$3),"",IF(INDEX(原始資料!BA$2:BA$501,$BJ248)="","",INDEX(原始資料!BA$2:BA$501,$BJ248)))</f>
        <v/>
      </c>
      <c r="AZ248" s="6">
        <f>IF(OR($BJ248="",51&gt;設定!$B$3),"",IF(INDEX(原始資料!BB$2:BB$501,$BJ248)="","",INDEX(原始資料!BB$2:BB$501,$BJ248)))</f>
        <v/>
      </c>
      <c r="BA248" s="6">
        <f>IF(OR($BJ248="",52&gt;設定!$B$3),"",IF(INDEX(原始資料!BC$2:BC$501,$BJ248)="","",INDEX(原始資料!BC$2:BC$501,$BJ248)))</f>
        <v/>
      </c>
      <c r="BB248" s="6">
        <f>IF(OR($BJ248="",53&gt;設定!$B$3),"",IF(INDEX(原始資料!BD$2:BD$501,$BJ248)="","",INDEX(原始資料!BD$2:BD$501,$BJ248)))</f>
        <v/>
      </c>
      <c r="BC248" s="6">
        <f>IF(OR($BJ248="",54&gt;設定!$B$3),"",IF(INDEX(原始資料!BE$2:BE$501,$BJ248)="","",INDEX(原始資料!BE$2:BE$501,$BJ248)))</f>
        <v/>
      </c>
      <c r="BD248" s="6">
        <f>IF(OR($BJ248="",55&gt;設定!$B$3),"",IF(INDEX(原始資料!BF$2:BF$501,$BJ248)="","",INDEX(原始資料!BF$2:BF$501,$BJ248)))</f>
        <v/>
      </c>
      <c r="BE248" s="6">
        <f>IF(OR($BJ248="",56&gt;設定!$B$3),"",IF(INDEX(原始資料!BG$2:BG$501,$BJ248)="","",INDEX(原始資料!BG$2:BG$501,$BJ248)))</f>
        <v/>
      </c>
      <c r="BF248" s="6">
        <f>IF(OR($BJ248="",57&gt;設定!$B$3),"",IF(INDEX(原始資料!BH$2:BH$501,$BJ248)="","",INDEX(原始資料!BH$2:BH$501,$BJ248)))</f>
        <v/>
      </c>
      <c r="BG248" s="6">
        <f>IF(OR($BJ248="",58&gt;設定!$B$3),"",IF(INDEX(原始資料!BI$2:BI$501,$BJ248)="","",INDEX(原始資料!BI$2:BI$501,$BJ248)))</f>
        <v/>
      </c>
      <c r="BH248" s="6">
        <f>IF(OR($BJ248="",59&gt;設定!$B$3),"",IF(INDEX(原始資料!BJ$2:BJ$501,$BJ248)="","",INDEX(原始資料!BJ$2:BJ$501,$BJ248)))</f>
        <v/>
      </c>
      <c r="BI248" s="6">
        <f>IF(OR($BJ248="",60&gt;設定!$B$3),"",IF(INDEX(原始資料!BK$2:BK$501,$BJ248)="","",INDEX(原始資料!BK$2:BK$501,$BJ248)))</f>
        <v/>
      </c>
      <c r="BJ248" s="6">
        <f>IFERROR(MATCH(ROW()-1,判定!$H$2:$H$501,0),"")</f>
        <v/>
      </c>
    </row>
    <row r="249">
      <c r="A249" s="6">
        <f>IF($BJ249="","",INDEX(原始資料!$A$2:$A$501,$BJ249))</f>
        <v/>
      </c>
      <c r="B249" s="6">
        <f>IF(OR($BJ249="",1&gt;設定!$B$3),"",IF(INDEX(原始資料!D$2:D$501,$BJ249)="","",INDEX(原始資料!D$2:D$501,$BJ249)))</f>
        <v/>
      </c>
      <c r="C249" s="6">
        <f>IF(OR($BJ249="",2&gt;設定!$B$3),"",IF(INDEX(原始資料!E$2:E$501,$BJ249)="","",INDEX(原始資料!E$2:E$501,$BJ249)))</f>
        <v/>
      </c>
      <c r="D249" s="6">
        <f>IF(OR($BJ249="",3&gt;設定!$B$3),"",IF(INDEX(原始資料!F$2:F$501,$BJ249)="","",INDEX(原始資料!F$2:F$501,$BJ249)))</f>
        <v/>
      </c>
      <c r="E249" s="6">
        <f>IF(OR($BJ249="",4&gt;設定!$B$3),"",IF(INDEX(原始資料!G$2:G$501,$BJ249)="","",INDEX(原始資料!G$2:G$501,$BJ249)))</f>
        <v/>
      </c>
      <c r="F249" s="6">
        <f>IF(OR($BJ249="",5&gt;設定!$B$3),"",IF(INDEX(原始資料!H$2:H$501,$BJ249)="","",INDEX(原始資料!H$2:H$501,$BJ249)))</f>
        <v/>
      </c>
      <c r="G249" s="6">
        <f>IF(OR($BJ249="",6&gt;設定!$B$3),"",IF(INDEX(原始資料!I$2:I$501,$BJ249)="","",INDEX(原始資料!I$2:I$501,$BJ249)))</f>
        <v/>
      </c>
      <c r="H249" s="6">
        <f>IF(OR($BJ249="",7&gt;設定!$B$3),"",IF(INDEX(原始資料!J$2:J$501,$BJ249)="","",INDEX(原始資料!J$2:J$501,$BJ249)))</f>
        <v/>
      </c>
      <c r="I249" s="6">
        <f>IF(OR($BJ249="",8&gt;設定!$B$3),"",IF(INDEX(原始資料!K$2:K$501,$BJ249)="","",INDEX(原始資料!K$2:K$501,$BJ249)))</f>
        <v/>
      </c>
      <c r="J249" s="6">
        <f>IF(OR($BJ249="",9&gt;設定!$B$3),"",IF(INDEX(原始資料!L$2:L$501,$BJ249)="","",INDEX(原始資料!L$2:L$501,$BJ249)))</f>
        <v/>
      </c>
      <c r="K249" s="6">
        <f>IF(OR($BJ249="",10&gt;設定!$B$3),"",IF(INDEX(原始資料!M$2:M$501,$BJ249)="","",INDEX(原始資料!M$2:M$501,$BJ249)))</f>
        <v/>
      </c>
      <c r="L249" s="6">
        <f>IF(OR($BJ249="",11&gt;設定!$B$3),"",IF(INDEX(原始資料!N$2:N$501,$BJ249)="","",INDEX(原始資料!N$2:N$501,$BJ249)))</f>
        <v/>
      </c>
      <c r="M249" s="6">
        <f>IF(OR($BJ249="",12&gt;設定!$B$3),"",IF(INDEX(原始資料!O$2:O$501,$BJ249)="","",INDEX(原始資料!O$2:O$501,$BJ249)))</f>
        <v/>
      </c>
      <c r="N249" s="6">
        <f>IF(OR($BJ249="",13&gt;設定!$B$3),"",IF(INDEX(原始資料!P$2:P$501,$BJ249)="","",INDEX(原始資料!P$2:P$501,$BJ249)))</f>
        <v/>
      </c>
      <c r="O249" s="6">
        <f>IF(OR($BJ249="",14&gt;設定!$B$3),"",IF(INDEX(原始資料!Q$2:Q$501,$BJ249)="","",INDEX(原始資料!Q$2:Q$501,$BJ249)))</f>
        <v/>
      </c>
      <c r="P249" s="6">
        <f>IF(OR($BJ249="",15&gt;設定!$B$3),"",IF(INDEX(原始資料!R$2:R$501,$BJ249)="","",INDEX(原始資料!R$2:R$501,$BJ249)))</f>
        <v/>
      </c>
      <c r="Q249" s="6">
        <f>IF(OR($BJ249="",16&gt;設定!$B$3),"",IF(INDEX(原始資料!S$2:S$501,$BJ249)="","",INDEX(原始資料!S$2:S$501,$BJ249)))</f>
        <v/>
      </c>
      <c r="R249" s="6">
        <f>IF(OR($BJ249="",17&gt;設定!$B$3),"",IF(INDEX(原始資料!T$2:T$501,$BJ249)="","",INDEX(原始資料!T$2:T$501,$BJ249)))</f>
        <v/>
      </c>
      <c r="S249" s="6">
        <f>IF(OR($BJ249="",18&gt;設定!$B$3),"",IF(INDEX(原始資料!U$2:U$501,$BJ249)="","",INDEX(原始資料!U$2:U$501,$BJ249)))</f>
        <v/>
      </c>
      <c r="T249" s="6">
        <f>IF(OR($BJ249="",19&gt;設定!$B$3),"",IF(INDEX(原始資料!V$2:V$501,$BJ249)="","",INDEX(原始資料!V$2:V$501,$BJ249)))</f>
        <v/>
      </c>
      <c r="U249" s="6">
        <f>IF(OR($BJ249="",20&gt;設定!$B$3),"",IF(INDEX(原始資料!W$2:W$501,$BJ249)="","",INDEX(原始資料!W$2:W$501,$BJ249)))</f>
        <v/>
      </c>
      <c r="V249" s="6">
        <f>IF(OR($BJ249="",21&gt;設定!$B$3),"",IF(INDEX(原始資料!X$2:X$501,$BJ249)="","",INDEX(原始資料!X$2:X$501,$BJ249)))</f>
        <v/>
      </c>
      <c r="W249" s="6">
        <f>IF(OR($BJ249="",22&gt;設定!$B$3),"",IF(INDEX(原始資料!Y$2:Y$501,$BJ249)="","",INDEX(原始資料!Y$2:Y$501,$BJ249)))</f>
        <v/>
      </c>
      <c r="X249" s="6">
        <f>IF(OR($BJ249="",23&gt;設定!$B$3),"",IF(INDEX(原始資料!Z$2:Z$501,$BJ249)="","",INDEX(原始資料!Z$2:Z$501,$BJ249)))</f>
        <v/>
      </c>
      <c r="Y249" s="6">
        <f>IF(OR($BJ249="",24&gt;設定!$B$3),"",IF(INDEX(原始資料!AA$2:AA$501,$BJ249)="","",INDEX(原始資料!AA$2:AA$501,$BJ249)))</f>
        <v/>
      </c>
      <c r="Z249" s="6">
        <f>IF(OR($BJ249="",25&gt;設定!$B$3),"",IF(INDEX(原始資料!AB$2:AB$501,$BJ249)="","",INDEX(原始資料!AB$2:AB$501,$BJ249)))</f>
        <v/>
      </c>
      <c r="AA249" s="6">
        <f>IF(OR($BJ249="",26&gt;設定!$B$3),"",IF(INDEX(原始資料!AC$2:AC$501,$BJ249)="","",INDEX(原始資料!AC$2:AC$501,$BJ249)))</f>
        <v/>
      </c>
      <c r="AB249" s="6">
        <f>IF(OR($BJ249="",27&gt;設定!$B$3),"",IF(INDEX(原始資料!AD$2:AD$501,$BJ249)="","",INDEX(原始資料!AD$2:AD$501,$BJ249)))</f>
        <v/>
      </c>
      <c r="AC249" s="6">
        <f>IF(OR($BJ249="",28&gt;設定!$B$3),"",IF(INDEX(原始資料!AE$2:AE$501,$BJ249)="","",INDEX(原始資料!AE$2:AE$501,$BJ249)))</f>
        <v/>
      </c>
      <c r="AD249" s="6">
        <f>IF(OR($BJ249="",29&gt;設定!$B$3),"",IF(INDEX(原始資料!AF$2:AF$501,$BJ249)="","",INDEX(原始資料!AF$2:AF$501,$BJ249)))</f>
        <v/>
      </c>
      <c r="AE249" s="6">
        <f>IF(OR($BJ249="",30&gt;設定!$B$3),"",IF(INDEX(原始資料!AG$2:AG$501,$BJ249)="","",INDEX(原始資料!AG$2:AG$501,$BJ249)))</f>
        <v/>
      </c>
      <c r="AF249" s="6">
        <f>IF(OR($BJ249="",31&gt;設定!$B$3),"",IF(INDEX(原始資料!AH$2:AH$501,$BJ249)="","",INDEX(原始資料!AH$2:AH$501,$BJ249)))</f>
        <v/>
      </c>
      <c r="AG249" s="6">
        <f>IF(OR($BJ249="",32&gt;設定!$B$3),"",IF(INDEX(原始資料!AI$2:AI$501,$BJ249)="","",INDEX(原始資料!AI$2:AI$501,$BJ249)))</f>
        <v/>
      </c>
      <c r="AH249" s="6">
        <f>IF(OR($BJ249="",33&gt;設定!$B$3),"",IF(INDEX(原始資料!AJ$2:AJ$501,$BJ249)="","",INDEX(原始資料!AJ$2:AJ$501,$BJ249)))</f>
        <v/>
      </c>
      <c r="AI249" s="6">
        <f>IF(OR($BJ249="",34&gt;設定!$B$3),"",IF(INDEX(原始資料!AK$2:AK$501,$BJ249)="","",INDEX(原始資料!AK$2:AK$501,$BJ249)))</f>
        <v/>
      </c>
      <c r="AJ249" s="6">
        <f>IF(OR($BJ249="",35&gt;設定!$B$3),"",IF(INDEX(原始資料!AL$2:AL$501,$BJ249)="","",INDEX(原始資料!AL$2:AL$501,$BJ249)))</f>
        <v/>
      </c>
      <c r="AK249" s="6">
        <f>IF(OR($BJ249="",36&gt;設定!$B$3),"",IF(INDEX(原始資料!AM$2:AM$501,$BJ249)="","",INDEX(原始資料!AM$2:AM$501,$BJ249)))</f>
        <v/>
      </c>
      <c r="AL249" s="6">
        <f>IF(OR($BJ249="",37&gt;設定!$B$3),"",IF(INDEX(原始資料!AN$2:AN$501,$BJ249)="","",INDEX(原始資料!AN$2:AN$501,$BJ249)))</f>
        <v/>
      </c>
      <c r="AM249" s="6">
        <f>IF(OR($BJ249="",38&gt;設定!$B$3),"",IF(INDEX(原始資料!AO$2:AO$501,$BJ249)="","",INDEX(原始資料!AO$2:AO$501,$BJ249)))</f>
        <v/>
      </c>
      <c r="AN249" s="6">
        <f>IF(OR($BJ249="",39&gt;設定!$B$3),"",IF(INDEX(原始資料!AP$2:AP$501,$BJ249)="","",INDEX(原始資料!AP$2:AP$501,$BJ249)))</f>
        <v/>
      </c>
      <c r="AO249" s="6">
        <f>IF(OR($BJ249="",40&gt;設定!$B$3),"",IF(INDEX(原始資料!AQ$2:AQ$501,$BJ249)="","",INDEX(原始資料!AQ$2:AQ$501,$BJ249)))</f>
        <v/>
      </c>
      <c r="AP249" s="6">
        <f>IF(OR($BJ249="",41&gt;設定!$B$3),"",IF(INDEX(原始資料!AR$2:AR$501,$BJ249)="","",INDEX(原始資料!AR$2:AR$501,$BJ249)))</f>
        <v/>
      </c>
      <c r="AQ249" s="6">
        <f>IF(OR($BJ249="",42&gt;設定!$B$3),"",IF(INDEX(原始資料!AS$2:AS$501,$BJ249)="","",INDEX(原始資料!AS$2:AS$501,$BJ249)))</f>
        <v/>
      </c>
      <c r="AR249" s="6">
        <f>IF(OR($BJ249="",43&gt;設定!$B$3),"",IF(INDEX(原始資料!AT$2:AT$501,$BJ249)="","",INDEX(原始資料!AT$2:AT$501,$BJ249)))</f>
        <v/>
      </c>
      <c r="AS249" s="6">
        <f>IF(OR($BJ249="",44&gt;設定!$B$3),"",IF(INDEX(原始資料!AU$2:AU$501,$BJ249)="","",INDEX(原始資料!AU$2:AU$501,$BJ249)))</f>
        <v/>
      </c>
      <c r="AT249" s="6">
        <f>IF(OR($BJ249="",45&gt;設定!$B$3),"",IF(INDEX(原始資料!AV$2:AV$501,$BJ249)="","",INDEX(原始資料!AV$2:AV$501,$BJ249)))</f>
        <v/>
      </c>
      <c r="AU249" s="6">
        <f>IF(OR($BJ249="",46&gt;設定!$B$3),"",IF(INDEX(原始資料!AW$2:AW$501,$BJ249)="","",INDEX(原始資料!AW$2:AW$501,$BJ249)))</f>
        <v/>
      </c>
      <c r="AV249" s="6">
        <f>IF(OR($BJ249="",47&gt;設定!$B$3),"",IF(INDEX(原始資料!AX$2:AX$501,$BJ249)="","",INDEX(原始資料!AX$2:AX$501,$BJ249)))</f>
        <v/>
      </c>
      <c r="AW249" s="6">
        <f>IF(OR($BJ249="",48&gt;設定!$B$3),"",IF(INDEX(原始資料!AY$2:AY$501,$BJ249)="","",INDEX(原始資料!AY$2:AY$501,$BJ249)))</f>
        <v/>
      </c>
      <c r="AX249" s="6">
        <f>IF(OR($BJ249="",49&gt;設定!$B$3),"",IF(INDEX(原始資料!AZ$2:AZ$501,$BJ249)="","",INDEX(原始資料!AZ$2:AZ$501,$BJ249)))</f>
        <v/>
      </c>
      <c r="AY249" s="6">
        <f>IF(OR($BJ249="",50&gt;設定!$B$3),"",IF(INDEX(原始資料!BA$2:BA$501,$BJ249)="","",INDEX(原始資料!BA$2:BA$501,$BJ249)))</f>
        <v/>
      </c>
      <c r="AZ249" s="6">
        <f>IF(OR($BJ249="",51&gt;設定!$B$3),"",IF(INDEX(原始資料!BB$2:BB$501,$BJ249)="","",INDEX(原始資料!BB$2:BB$501,$BJ249)))</f>
        <v/>
      </c>
      <c r="BA249" s="6">
        <f>IF(OR($BJ249="",52&gt;設定!$B$3),"",IF(INDEX(原始資料!BC$2:BC$501,$BJ249)="","",INDEX(原始資料!BC$2:BC$501,$BJ249)))</f>
        <v/>
      </c>
      <c r="BB249" s="6">
        <f>IF(OR($BJ249="",53&gt;設定!$B$3),"",IF(INDEX(原始資料!BD$2:BD$501,$BJ249)="","",INDEX(原始資料!BD$2:BD$501,$BJ249)))</f>
        <v/>
      </c>
      <c r="BC249" s="6">
        <f>IF(OR($BJ249="",54&gt;設定!$B$3),"",IF(INDEX(原始資料!BE$2:BE$501,$BJ249)="","",INDEX(原始資料!BE$2:BE$501,$BJ249)))</f>
        <v/>
      </c>
      <c r="BD249" s="6">
        <f>IF(OR($BJ249="",55&gt;設定!$B$3),"",IF(INDEX(原始資料!BF$2:BF$501,$BJ249)="","",INDEX(原始資料!BF$2:BF$501,$BJ249)))</f>
        <v/>
      </c>
      <c r="BE249" s="6">
        <f>IF(OR($BJ249="",56&gt;設定!$B$3),"",IF(INDEX(原始資料!BG$2:BG$501,$BJ249)="","",INDEX(原始資料!BG$2:BG$501,$BJ249)))</f>
        <v/>
      </c>
      <c r="BF249" s="6">
        <f>IF(OR($BJ249="",57&gt;設定!$B$3),"",IF(INDEX(原始資料!BH$2:BH$501,$BJ249)="","",INDEX(原始資料!BH$2:BH$501,$BJ249)))</f>
        <v/>
      </c>
      <c r="BG249" s="6">
        <f>IF(OR($BJ249="",58&gt;設定!$B$3),"",IF(INDEX(原始資料!BI$2:BI$501,$BJ249)="","",INDEX(原始資料!BI$2:BI$501,$BJ249)))</f>
        <v/>
      </c>
      <c r="BH249" s="6">
        <f>IF(OR($BJ249="",59&gt;設定!$B$3),"",IF(INDEX(原始資料!BJ$2:BJ$501,$BJ249)="","",INDEX(原始資料!BJ$2:BJ$501,$BJ249)))</f>
        <v/>
      </c>
      <c r="BI249" s="6">
        <f>IF(OR($BJ249="",60&gt;設定!$B$3),"",IF(INDEX(原始資料!BK$2:BK$501,$BJ249)="","",INDEX(原始資料!BK$2:BK$501,$BJ249)))</f>
        <v/>
      </c>
      <c r="BJ249" s="6">
        <f>IFERROR(MATCH(ROW()-1,判定!$H$2:$H$501,0),"")</f>
        <v/>
      </c>
    </row>
    <row r="250">
      <c r="A250" s="6">
        <f>IF($BJ250="","",INDEX(原始資料!$A$2:$A$501,$BJ250))</f>
        <v/>
      </c>
      <c r="B250" s="6">
        <f>IF(OR($BJ250="",1&gt;設定!$B$3),"",IF(INDEX(原始資料!D$2:D$501,$BJ250)="","",INDEX(原始資料!D$2:D$501,$BJ250)))</f>
        <v/>
      </c>
      <c r="C250" s="6">
        <f>IF(OR($BJ250="",2&gt;設定!$B$3),"",IF(INDEX(原始資料!E$2:E$501,$BJ250)="","",INDEX(原始資料!E$2:E$501,$BJ250)))</f>
        <v/>
      </c>
      <c r="D250" s="6">
        <f>IF(OR($BJ250="",3&gt;設定!$B$3),"",IF(INDEX(原始資料!F$2:F$501,$BJ250)="","",INDEX(原始資料!F$2:F$501,$BJ250)))</f>
        <v/>
      </c>
      <c r="E250" s="6">
        <f>IF(OR($BJ250="",4&gt;設定!$B$3),"",IF(INDEX(原始資料!G$2:G$501,$BJ250)="","",INDEX(原始資料!G$2:G$501,$BJ250)))</f>
        <v/>
      </c>
      <c r="F250" s="6">
        <f>IF(OR($BJ250="",5&gt;設定!$B$3),"",IF(INDEX(原始資料!H$2:H$501,$BJ250)="","",INDEX(原始資料!H$2:H$501,$BJ250)))</f>
        <v/>
      </c>
      <c r="G250" s="6">
        <f>IF(OR($BJ250="",6&gt;設定!$B$3),"",IF(INDEX(原始資料!I$2:I$501,$BJ250)="","",INDEX(原始資料!I$2:I$501,$BJ250)))</f>
        <v/>
      </c>
      <c r="H250" s="6">
        <f>IF(OR($BJ250="",7&gt;設定!$B$3),"",IF(INDEX(原始資料!J$2:J$501,$BJ250)="","",INDEX(原始資料!J$2:J$501,$BJ250)))</f>
        <v/>
      </c>
      <c r="I250" s="6">
        <f>IF(OR($BJ250="",8&gt;設定!$B$3),"",IF(INDEX(原始資料!K$2:K$501,$BJ250)="","",INDEX(原始資料!K$2:K$501,$BJ250)))</f>
        <v/>
      </c>
      <c r="J250" s="6">
        <f>IF(OR($BJ250="",9&gt;設定!$B$3),"",IF(INDEX(原始資料!L$2:L$501,$BJ250)="","",INDEX(原始資料!L$2:L$501,$BJ250)))</f>
        <v/>
      </c>
      <c r="K250" s="6">
        <f>IF(OR($BJ250="",10&gt;設定!$B$3),"",IF(INDEX(原始資料!M$2:M$501,$BJ250)="","",INDEX(原始資料!M$2:M$501,$BJ250)))</f>
        <v/>
      </c>
      <c r="L250" s="6">
        <f>IF(OR($BJ250="",11&gt;設定!$B$3),"",IF(INDEX(原始資料!N$2:N$501,$BJ250)="","",INDEX(原始資料!N$2:N$501,$BJ250)))</f>
        <v/>
      </c>
      <c r="M250" s="6">
        <f>IF(OR($BJ250="",12&gt;設定!$B$3),"",IF(INDEX(原始資料!O$2:O$501,$BJ250)="","",INDEX(原始資料!O$2:O$501,$BJ250)))</f>
        <v/>
      </c>
      <c r="N250" s="6">
        <f>IF(OR($BJ250="",13&gt;設定!$B$3),"",IF(INDEX(原始資料!P$2:P$501,$BJ250)="","",INDEX(原始資料!P$2:P$501,$BJ250)))</f>
        <v/>
      </c>
      <c r="O250" s="6">
        <f>IF(OR($BJ250="",14&gt;設定!$B$3),"",IF(INDEX(原始資料!Q$2:Q$501,$BJ250)="","",INDEX(原始資料!Q$2:Q$501,$BJ250)))</f>
        <v/>
      </c>
      <c r="P250" s="6">
        <f>IF(OR($BJ250="",15&gt;設定!$B$3),"",IF(INDEX(原始資料!R$2:R$501,$BJ250)="","",INDEX(原始資料!R$2:R$501,$BJ250)))</f>
        <v/>
      </c>
      <c r="Q250" s="6">
        <f>IF(OR($BJ250="",16&gt;設定!$B$3),"",IF(INDEX(原始資料!S$2:S$501,$BJ250)="","",INDEX(原始資料!S$2:S$501,$BJ250)))</f>
        <v/>
      </c>
      <c r="R250" s="6">
        <f>IF(OR($BJ250="",17&gt;設定!$B$3),"",IF(INDEX(原始資料!T$2:T$501,$BJ250)="","",INDEX(原始資料!T$2:T$501,$BJ250)))</f>
        <v/>
      </c>
      <c r="S250" s="6">
        <f>IF(OR($BJ250="",18&gt;設定!$B$3),"",IF(INDEX(原始資料!U$2:U$501,$BJ250)="","",INDEX(原始資料!U$2:U$501,$BJ250)))</f>
        <v/>
      </c>
      <c r="T250" s="6">
        <f>IF(OR($BJ250="",19&gt;設定!$B$3),"",IF(INDEX(原始資料!V$2:V$501,$BJ250)="","",INDEX(原始資料!V$2:V$501,$BJ250)))</f>
        <v/>
      </c>
      <c r="U250" s="6">
        <f>IF(OR($BJ250="",20&gt;設定!$B$3),"",IF(INDEX(原始資料!W$2:W$501,$BJ250)="","",INDEX(原始資料!W$2:W$501,$BJ250)))</f>
        <v/>
      </c>
      <c r="V250" s="6">
        <f>IF(OR($BJ250="",21&gt;設定!$B$3),"",IF(INDEX(原始資料!X$2:X$501,$BJ250)="","",INDEX(原始資料!X$2:X$501,$BJ250)))</f>
        <v/>
      </c>
      <c r="W250" s="6">
        <f>IF(OR($BJ250="",22&gt;設定!$B$3),"",IF(INDEX(原始資料!Y$2:Y$501,$BJ250)="","",INDEX(原始資料!Y$2:Y$501,$BJ250)))</f>
        <v/>
      </c>
      <c r="X250" s="6">
        <f>IF(OR($BJ250="",23&gt;設定!$B$3),"",IF(INDEX(原始資料!Z$2:Z$501,$BJ250)="","",INDEX(原始資料!Z$2:Z$501,$BJ250)))</f>
        <v/>
      </c>
      <c r="Y250" s="6">
        <f>IF(OR($BJ250="",24&gt;設定!$B$3),"",IF(INDEX(原始資料!AA$2:AA$501,$BJ250)="","",INDEX(原始資料!AA$2:AA$501,$BJ250)))</f>
        <v/>
      </c>
      <c r="Z250" s="6">
        <f>IF(OR($BJ250="",25&gt;設定!$B$3),"",IF(INDEX(原始資料!AB$2:AB$501,$BJ250)="","",INDEX(原始資料!AB$2:AB$501,$BJ250)))</f>
        <v/>
      </c>
      <c r="AA250" s="6">
        <f>IF(OR($BJ250="",26&gt;設定!$B$3),"",IF(INDEX(原始資料!AC$2:AC$501,$BJ250)="","",INDEX(原始資料!AC$2:AC$501,$BJ250)))</f>
        <v/>
      </c>
      <c r="AB250" s="6">
        <f>IF(OR($BJ250="",27&gt;設定!$B$3),"",IF(INDEX(原始資料!AD$2:AD$501,$BJ250)="","",INDEX(原始資料!AD$2:AD$501,$BJ250)))</f>
        <v/>
      </c>
      <c r="AC250" s="6">
        <f>IF(OR($BJ250="",28&gt;設定!$B$3),"",IF(INDEX(原始資料!AE$2:AE$501,$BJ250)="","",INDEX(原始資料!AE$2:AE$501,$BJ250)))</f>
        <v/>
      </c>
      <c r="AD250" s="6">
        <f>IF(OR($BJ250="",29&gt;設定!$B$3),"",IF(INDEX(原始資料!AF$2:AF$501,$BJ250)="","",INDEX(原始資料!AF$2:AF$501,$BJ250)))</f>
        <v/>
      </c>
      <c r="AE250" s="6">
        <f>IF(OR($BJ250="",30&gt;設定!$B$3),"",IF(INDEX(原始資料!AG$2:AG$501,$BJ250)="","",INDEX(原始資料!AG$2:AG$501,$BJ250)))</f>
        <v/>
      </c>
      <c r="AF250" s="6">
        <f>IF(OR($BJ250="",31&gt;設定!$B$3),"",IF(INDEX(原始資料!AH$2:AH$501,$BJ250)="","",INDEX(原始資料!AH$2:AH$501,$BJ250)))</f>
        <v/>
      </c>
      <c r="AG250" s="6">
        <f>IF(OR($BJ250="",32&gt;設定!$B$3),"",IF(INDEX(原始資料!AI$2:AI$501,$BJ250)="","",INDEX(原始資料!AI$2:AI$501,$BJ250)))</f>
        <v/>
      </c>
      <c r="AH250" s="6">
        <f>IF(OR($BJ250="",33&gt;設定!$B$3),"",IF(INDEX(原始資料!AJ$2:AJ$501,$BJ250)="","",INDEX(原始資料!AJ$2:AJ$501,$BJ250)))</f>
        <v/>
      </c>
      <c r="AI250" s="6">
        <f>IF(OR($BJ250="",34&gt;設定!$B$3),"",IF(INDEX(原始資料!AK$2:AK$501,$BJ250)="","",INDEX(原始資料!AK$2:AK$501,$BJ250)))</f>
        <v/>
      </c>
      <c r="AJ250" s="6">
        <f>IF(OR($BJ250="",35&gt;設定!$B$3),"",IF(INDEX(原始資料!AL$2:AL$501,$BJ250)="","",INDEX(原始資料!AL$2:AL$501,$BJ250)))</f>
        <v/>
      </c>
      <c r="AK250" s="6">
        <f>IF(OR($BJ250="",36&gt;設定!$B$3),"",IF(INDEX(原始資料!AM$2:AM$501,$BJ250)="","",INDEX(原始資料!AM$2:AM$501,$BJ250)))</f>
        <v/>
      </c>
      <c r="AL250" s="6">
        <f>IF(OR($BJ250="",37&gt;設定!$B$3),"",IF(INDEX(原始資料!AN$2:AN$501,$BJ250)="","",INDEX(原始資料!AN$2:AN$501,$BJ250)))</f>
        <v/>
      </c>
      <c r="AM250" s="6">
        <f>IF(OR($BJ250="",38&gt;設定!$B$3),"",IF(INDEX(原始資料!AO$2:AO$501,$BJ250)="","",INDEX(原始資料!AO$2:AO$501,$BJ250)))</f>
        <v/>
      </c>
      <c r="AN250" s="6">
        <f>IF(OR($BJ250="",39&gt;設定!$B$3),"",IF(INDEX(原始資料!AP$2:AP$501,$BJ250)="","",INDEX(原始資料!AP$2:AP$501,$BJ250)))</f>
        <v/>
      </c>
      <c r="AO250" s="6">
        <f>IF(OR($BJ250="",40&gt;設定!$B$3),"",IF(INDEX(原始資料!AQ$2:AQ$501,$BJ250)="","",INDEX(原始資料!AQ$2:AQ$501,$BJ250)))</f>
        <v/>
      </c>
      <c r="AP250" s="6">
        <f>IF(OR($BJ250="",41&gt;設定!$B$3),"",IF(INDEX(原始資料!AR$2:AR$501,$BJ250)="","",INDEX(原始資料!AR$2:AR$501,$BJ250)))</f>
        <v/>
      </c>
      <c r="AQ250" s="6">
        <f>IF(OR($BJ250="",42&gt;設定!$B$3),"",IF(INDEX(原始資料!AS$2:AS$501,$BJ250)="","",INDEX(原始資料!AS$2:AS$501,$BJ250)))</f>
        <v/>
      </c>
      <c r="AR250" s="6">
        <f>IF(OR($BJ250="",43&gt;設定!$B$3),"",IF(INDEX(原始資料!AT$2:AT$501,$BJ250)="","",INDEX(原始資料!AT$2:AT$501,$BJ250)))</f>
        <v/>
      </c>
      <c r="AS250" s="6">
        <f>IF(OR($BJ250="",44&gt;設定!$B$3),"",IF(INDEX(原始資料!AU$2:AU$501,$BJ250)="","",INDEX(原始資料!AU$2:AU$501,$BJ250)))</f>
        <v/>
      </c>
      <c r="AT250" s="6">
        <f>IF(OR($BJ250="",45&gt;設定!$B$3),"",IF(INDEX(原始資料!AV$2:AV$501,$BJ250)="","",INDEX(原始資料!AV$2:AV$501,$BJ250)))</f>
        <v/>
      </c>
      <c r="AU250" s="6">
        <f>IF(OR($BJ250="",46&gt;設定!$B$3),"",IF(INDEX(原始資料!AW$2:AW$501,$BJ250)="","",INDEX(原始資料!AW$2:AW$501,$BJ250)))</f>
        <v/>
      </c>
      <c r="AV250" s="6">
        <f>IF(OR($BJ250="",47&gt;設定!$B$3),"",IF(INDEX(原始資料!AX$2:AX$501,$BJ250)="","",INDEX(原始資料!AX$2:AX$501,$BJ250)))</f>
        <v/>
      </c>
      <c r="AW250" s="6">
        <f>IF(OR($BJ250="",48&gt;設定!$B$3),"",IF(INDEX(原始資料!AY$2:AY$501,$BJ250)="","",INDEX(原始資料!AY$2:AY$501,$BJ250)))</f>
        <v/>
      </c>
      <c r="AX250" s="6">
        <f>IF(OR($BJ250="",49&gt;設定!$B$3),"",IF(INDEX(原始資料!AZ$2:AZ$501,$BJ250)="","",INDEX(原始資料!AZ$2:AZ$501,$BJ250)))</f>
        <v/>
      </c>
      <c r="AY250" s="6">
        <f>IF(OR($BJ250="",50&gt;設定!$B$3),"",IF(INDEX(原始資料!BA$2:BA$501,$BJ250)="","",INDEX(原始資料!BA$2:BA$501,$BJ250)))</f>
        <v/>
      </c>
      <c r="AZ250" s="6">
        <f>IF(OR($BJ250="",51&gt;設定!$B$3),"",IF(INDEX(原始資料!BB$2:BB$501,$BJ250)="","",INDEX(原始資料!BB$2:BB$501,$BJ250)))</f>
        <v/>
      </c>
      <c r="BA250" s="6">
        <f>IF(OR($BJ250="",52&gt;設定!$B$3),"",IF(INDEX(原始資料!BC$2:BC$501,$BJ250)="","",INDEX(原始資料!BC$2:BC$501,$BJ250)))</f>
        <v/>
      </c>
      <c r="BB250" s="6">
        <f>IF(OR($BJ250="",53&gt;設定!$B$3),"",IF(INDEX(原始資料!BD$2:BD$501,$BJ250)="","",INDEX(原始資料!BD$2:BD$501,$BJ250)))</f>
        <v/>
      </c>
      <c r="BC250" s="6">
        <f>IF(OR($BJ250="",54&gt;設定!$B$3),"",IF(INDEX(原始資料!BE$2:BE$501,$BJ250)="","",INDEX(原始資料!BE$2:BE$501,$BJ250)))</f>
        <v/>
      </c>
      <c r="BD250" s="6">
        <f>IF(OR($BJ250="",55&gt;設定!$B$3),"",IF(INDEX(原始資料!BF$2:BF$501,$BJ250)="","",INDEX(原始資料!BF$2:BF$501,$BJ250)))</f>
        <v/>
      </c>
      <c r="BE250" s="6">
        <f>IF(OR($BJ250="",56&gt;設定!$B$3),"",IF(INDEX(原始資料!BG$2:BG$501,$BJ250)="","",INDEX(原始資料!BG$2:BG$501,$BJ250)))</f>
        <v/>
      </c>
      <c r="BF250" s="6">
        <f>IF(OR($BJ250="",57&gt;設定!$B$3),"",IF(INDEX(原始資料!BH$2:BH$501,$BJ250)="","",INDEX(原始資料!BH$2:BH$501,$BJ250)))</f>
        <v/>
      </c>
      <c r="BG250" s="6">
        <f>IF(OR($BJ250="",58&gt;設定!$B$3),"",IF(INDEX(原始資料!BI$2:BI$501,$BJ250)="","",INDEX(原始資料!BI$2:BI$501,$BJ250)))</f>
        <v/>
      </c>
      <c r="BH250" s="6">
        <f>IF(OR($BJ250="",59&gt;設定!$B$3),"",IF(INDEX(原始資料!BJ$2:BJ$501,$BJ250)="","",INDEX(原始資料!BJ$2:BJ$501,$BJ250)))</f>
        <v/>
      </c>
      <c r="BI250" s="6">
        <f>IF(OR($BJ250="",60&gt;設定!$B$3),"",IF(INDEX(原始資料!BK$2:BK$501,$BJ250)="","",INDEX(原始資料!BK$2:BK$501,$BJ250)))</f>
        <v/>
      </c>
      <c r="BJ250" s="6">
        <f>IFERROR(MATCH(ROW()-1,判定!$H$2:$H$501,0),"")</f>
        <v/>
      </c>
    </row>
    <row r="251">
      <c r="A251" s="6">
        <f>IF($BJ251="","",INDEX(原始資料!$A$2:$A$501,$BJ251))</f>
        <v/>
      </c>
      <c r="B251" s="6">
        <f>IF(OR($BJ251="",1&gt;設定!$B$3),"",IF(INDEX(原始資料!D$2:D$501,$BJ251)="","",INDEX(原始資料!D$2:D$501,$BJ251)))</f>
        <v/>
      </c>
      <c r="C251" s="6">
        <f>IF(OR($BJ251="",2&gt;設定!$B$3),"",IF(INDEX(原始資料!E$2:E$501,$BJ251)="","",INDEX(原始資料!E$2:E$501,$BJ251)))</f>
        <v/>
      </c>
      <c r="D251" s="6">
        <f>IF(OR($BJ251="",3&gt;設定!$B$3),"",IF(INDEX(原始資料!F$2:F$501,$BJ251)="","",INDEX(原始資料!F$2:F$501,$BJ251)))</f>
        <v/>
      </c>
      <c r="E251" s="6">
        <f>IF(OR($BJ251="",4&gt;設定!$B$3),"",IF(INDEX(原始資料!G$2:G$501,$BJ251)="","",INDEX(原始資料!G$2:G$501,$BJ251)))</f>
        <v/>
      </c>
      <c r="F251" s="6">
        <f>IF(OR($BJ251="",5&gt;設定!$B$3),"",IF(INDEX(原始資料!H$2:H$501,$BJ251)="","",INDEX(原始資料!H$2:H$501,$BJ251)))</f>
        <v/>
      </c>
      <c r="G251" s="6">
        <f>IF(OR($BJ251="",6&gt;設定!$B$3),"",IF(INDEX(原始資料!I$2:I$501,$BJ251)="","",INDEX(原始資料!I$2:I$501,$BJ251)))</f>
        <v/>
      </c>
      <c r="H251" s="6">
        <f>IF(OR($BJ251="",7&gt;設定!$B$3),"",IF(INDEX(原始資料!J$2:J$501,$BJ251)="","",INDEX(原始資料!J$2:J$501,$BJ251)))</f>
        <v/>
      </c>
      <c r="I251" s="6">
        <f>IF(OR($BJ251="",8&gt;設定!$B$3),"",IF(INDEX(原始資料!K$2:K$501,$BJ251)="","",INDEX(原始資料!K$2:K$501,$BJ251)))</f>
        <v/>
      </c>
      <c r="J251" s="6">
        <f>IF(OR($BJ251="",9&gt;設定!$B$3),"",IF(INDEX(原始資料!L$2:L$501,$BJ251)="","",INDEX(原始資料!L$2:L$501,$BJ251)))</f>
        <v/>
      </c>
      <c r="K251" s="6">
        <f>IF(OR($BJ251="",10&gt;設定!$B$3),"",IF(INDEX(原始資料!M$2:M$501,$BJ251)="","",INDEX(原始資料!M$2:M$501,$BJ251)))</f>
        <v/>
      </c>
      <c r="L251" s="6">
        <f>IF(OR($BJ251="",11&gt;設定!$B$3),"",IF(INDEX(原始資料!N$2:N$501,$BJ251)="","",INDEX(原始資料!N$2:N$501,$BJ251)))</f>
        <v/>
      </c>
      <c r="M251" s="6">
        <f>IF(OR($BJ251="",12&gt;設定!$B$3),"",IF(INDEX(原始資料!O$2:O$501,$BJ251)="","",INDEX(原始資料!O$2:O$501,$BJ251)))</f>
        <v/>
      </c>
      <c r="N251" s="6">
        <f>IF(OR($BJ251="",13&gt;設定!$B$3),"",IF(INDEX(原始資料!P$2:P$501,$BJ251)="","",INDEX(原始資料!P$2:P$501,$BJ251)))</f>
        <v/>
      </c>
      <c r="O251" s="6">
        <f>IF(OR($BJ251="",14&gt;設定!$B$3),"",IF(INDEX(原始資料!Q$2:Q$501,$BJ251)="","",INDEX(原始資料!Q$2:Q$501,$BJ251)))</f>
        <v/>
      </c>
      <c r="P251" s="6">
        <f>IF(OR($BJ251="",15&gt;設定!$B$3),"",IF(INDEX(原始資料!R$2:R$501,$BJ251)="","",INDEX(原始資料!R$2:R$501,$BJ251)))</f>
        <v/>
      </c>
      <c r="Q251" s="6">
        <f>IF(OR($BJ251="",16&gt;設定!$B$3),"",IF(INDEX(原始資料!S$2:S$501,$BJ251)="","",INDEX(原始資料!S$2:S$501,$BJ251)))</f>
        <v/>
      </c>
      <c r="R251" s="6">
        <f>IF(OR($BJ251="",17&gt;設定!$B$3),"",IF(INDEX(原始資料!T$2:T$501,$BJ251)="","",INDEX(原始資料!T$2:T$501,$BJ251)))</f>
        <v/>
      </c>
      <c r="S251" s="6">
        <f>IF(OR($BJ251="",18&gt;設定!$B$3),"",IF(INDEX(原始資料!U$2:U$501,$BJ251)="","",INDEX(原始資料!U$2:U$501,$BJ251)))</f>
        <v/>
      </c>
      <c r="T251" s="6">
        <f>IF(OR($BJ251="",19&gt;設定!$B$3),"",IF(INDEX(原始資料!V$2:V$501,$BJ251)="","",INDEX(原始資料!V$2:V$501,$BJ251)))</f>
        <v/>
      </c>
      <c r="U251" s="6">
        <f>IF(OR($BJ251="",20&gt;設定!$B$3),"",IF(INDEX(原始資料!W$2:W$501,$BJ251)="","",INDEX(原始資料!W$2:W$501,$BJ251)))</f>
        <v/>
      </c>
      <c r="V251" s="6">
        <f>IF(OR($BJ251="",21&gt;設定!$B$3),"",IF(INDEX(原始資料!X$2:X$501,$BJ251)="","",INDEX(原始資料!X$2:X$501,$BJ251)))</f>
        <v/>
      </c>
      <c r="W251" s="6">
        <f>IF(OR($BJ251="",22&gt;設定!$B$3),"",IF(INDEX(原始資料!Y$2:Y$501,$BJ251)="","",INDEX(原始資料!Y$2:Y$501,$BJ251)))</f>
        <v/>
      </c>
      <c r="X251" s="6">
        <f>IF(OR($BJ251="",23&gt;設定!$B$3),"",IF(INDEX(原始資料!Z$2:Z$501,$BJ251)="","",INDEX(原始資料!Z$2:Z$501,$BJ251)))</f>
        <v/>
      </c>
      <c r="Y251" s="6">
        <f>IF(OR($BJ251="",24&gt;設定!$B$3),"",IF(INDEX(原始資料!AA$2:AA$501,$BJ251)="","",INDEX(原始資料!AA$2:AA$501,$BJ251)))</f>
        <v/>
      </c>
      <c r="Z251" s="6">
        <f>IF(OR($BJ251="",25&gt;設定!$B$3),"",IF(INDEX(原始資料!AB$2:AB$501,$BJ251)="","",INDEX(原始資料!AB$2:AB$501,$BJ251)))</f>
        <v/>
      </c>
      <c r="AA251" s="6">
        <f>IF(OR($BJ251="",26&gt;設定!$B$3),"",IF(INDEX(原始資料!AC$2:AC$501,$BJ251)="","",INDEX(原始資料!AC$2:AC$501,$BJ251)))</f>
        <v/>
      </c>
      <c r="AB251" s="6">
        <f>IF(OR($BJ251="",27&gt;設定!$B$3),"",IF(INDEX(原始資料!AD$2:AD$501,$BJ251)="","",INDEX(原始資料!AD$2:AD$501,$BJ251)))</f>
        <v/>
      </c>
      <c r="AC251" s="6">
        <f>IF(OR($BJ251="",28&gt;設定!$B$3),"",IF(INDEX(原始資料!AE$2:AE$501,$BJ251)="","",INDEX(原始資料!AE$2:AE$501,$BJ251)))</f>
        <v/>
      </c>
      <c r="AD251" s="6">
        <f>IF(OR($BJ251="",29&gt;設定!$B$3),"",IF(INDEX(原始資料!AF$2:AF$501,$BJ251)="","",INDEX(原始資料!AF$2:AF$501,$BJ251)))</f>
        <v/>
      </c>
      <c r="AE251" s="6">
        <f>IF(OR($BJ251="",30&gt;設定!$B$3),"",IF(INDEX(原始資料!AG$2:AG$501,$BJ251)="","",INDEX(原始資料!AG$2:AG$501,$BJ251)))</f>
        <v/>
      </c>
      <c r="AF251" s="6">
        <f>IF(OR($BJ251="",31&gt;設定!$B$3),"",IF(INDEX(原始資料!AH$2:AH$501,$BJ251)="","",INDEX(原始資料!AH$2:AH$501,$BJ251)))</f>
        <v/>
      </c>
      <c r="AG251" s="6">
        <f>IF(OR($BJ251="",32&gt;設定!$B$3),"",IF(INDEX(原始資料!AI$2:AI$501,$BJ251)="","",INDEX(原始資料!AI$2:AI$501,$BJ251)))</f>
        <v/>
      </c>
      <c r="AH251" s="6">
        <f>IF(OR($BJ251="",33&gt;設定!$B$3),"",IF(INDEX(原始資料!AJ$2:AJ$501,$BJ251)="","",INDEX(原始資料!AJ$2:AJ$501,$BJ251)))</f>
        <v/>
      </c>
      <c r="AI251" s="6">
        <f>IF(OR($BJ251="",34&gt;設定!$B$3),"",IF(INDEX(原始資料!AK$2:AK$501,$BJ251)="","",INDEX(原始資料!AK$2:AK$501,$BJ251)))</f>
        <v/>
      </c>
      <c r="AJ251" s="6">
        <f>IF(OR($BJ251="",35&gt;設定!$B$3),"",IF(INDEX(原始資料!AL$2:AL$501,$BJ251)="","",INDEX(原始資料!AL$2:AL$501,$BJ251)))</f>
        <v/>
      </c>
      <c r="AK251" s="6">
        <f>IF(OR($BJ251="",36&gt;設定!$B$3),"",IF(INDEX(原始資料!AM$2:AM$501,$BJ251)="","",INDEX(原始資料!AM$2:AM$501,$BJ251)))</f>
        <v/>
      </c>
      <c r="AL251" s="6">
        <f>IF(OR($BJ251="",37&gt;設定!$B$3),"",IF(INDEX(原始資料!AN$2:AN$501,$BJ251)="","",INDEX(原始資料!AN$2:AN$501,$BJ251)))</f>
        <v/>
      </c>
      <c r="AM251" s="6">
        <f>IF(OR($BJ251="",38&gt;設定!$B$3),"",IF(INDEX(原始資料!AO$2:AO$501,$BJ251)="","",INDEX(原始資料!AO$2:AO$501,$BJ251)))</f>
        <v/>
      </c>
      <c r="AN251" s="6">
        <f>IF(OR($BJ251="",39&gt;設定!$B$3),"",IF(INDEX(原始資料!AP$2:AP$501,$BJ251)="","",INDEX(原始資料!AP$2:AP$501,$BJ251)))</f>
        <v/>
      </c>
      <c r="AO251" s="6">
        <f>IF(OR($BJ251="",40&gt;設定!$B$3),"",IF(INDEX(原始資料!AQ$2:AQ$501,$BJ251)="","",INDEX(原始資料!AQ$2:AQ$501,$BJ251)))</f>
        <v/>
      </c>
      <c r="AP251" s="6">
        <f>IF(OR($BJ251="",41&gt;設定!$B$3),"",IF(INDEX(原始資料!AR$2:AR$501,$BJ251)="","",INDEX(原始資料!AR$2:AR$501,$BJ251)))</f>
        <v/>
      </c>
      <c r="AQ251" s="6">
        <f>IF(OR($BJ251="",42&gt;設定!$B$3),"",IF(INDEX(原始資料!AS$2:AS$501,$BJ251)="","",INDEX(原始資料!AS$2:AS$501,$BJ251)))</f>
        <v/>
      </c>
      <c r="AR251" s="6">
        <f>IF(OR($BJ251="",43&gt;設定!$B$3),"",IF(INDEX(原始資料!AT$2:AT$501,$BJ251)="","",INDEX(原始資料!AT$2:AT$501,$BJ251)))</f>
        <v/>
      </c>
      <c r="AS251" s="6">
        <f>IF(OR($BJ251="",44&gt;設定!$B$3),"",IF(INDEX(原始資料!AU$2:AU$501,$BJ251)="","",INDEX(原始資料!AU$2:AU$501,$BJ251)))</f>
        <v/>
      </c>
      <c r="AT251" s="6">
        <f>IF(OR($BJ251="",45&gt;設定!$B$3),"",IF(INDEX(原始資料!AV$2:AV$501,$BJ251)="","",INDEX(原始資料!AV$2:AV$501,$BJ251)))</f>
        <v/>
      </c>
      <c r="AU251" s="6">
        <f>IF(OR($BJ251="",46&gt;設定!$B$3),"",IF(INDEX(原始資料!AW$2:AW$501,$BJ251)="","",INDEX(原始資料!AW$2:AW$501,$BJ251)))</f>
        <v/>
      </c>
      <c r="AV251" s="6">
        <f>IF(OR($BJ251="",47&gt;設定!$B$3),"",IF(INDEX(原始資料!AX$2:AX$501,$BJ251)="","",INDEX(原始資料!AX$2:AX$501,$BJ251)))</f>
        <v/>
      </c>
      <c r="AW251" s="6">
        <f>IF(OR($BJ251="",48&gt;設定!$B$3),"",IF(INDEX(原始資料!AY$2:AY$501,$BJ251)="","",INDEX(原始資料!AY$2:AY$501,$BJ251)))</f>
        <v/>
      </c>
      <c r="AX251" s="6">
        <f>IF(OR($BJ251="",49&gt;設定!$B$3),"",IF(INDEX(原始資料!AZ$2:AZ$501,$BJ251)="","",INDEX(原始資料!AZ$2:AZ$501,$BJ251)))</f>
        <v/>
      </c>
      <c r="AY251" s="6">
        <f>IF(OR($BJ251="",50&gt;設定!$B$3),"",IF(INDEX(原始資料!BA$2:BA$501,$BJ251)="","",INDEX(原始資料!BA$2:BA$501,$BJ251)))</f>
        <v/>
      </c>
      <c r="AZ251" s="6">
        <f>IF(OR($BJ251="",51&gt;設定!$B$3),"",IF(INDEX(原始資料!BB$2:BB$501,$BJ251)="","",INDEX(原始資料!BB$2:BB$501,$BJ251)))</f>
        <v/>
      </c>
      <c r="BA251" s="6">
        <f>IF(OR($BJ251="",52&gt;設定!$B$3),"",IF(INDEX(原始資料!BC$2:BC$501,$BJ251)="","",INDEX(原始資料!BC$2:BC$501,$BJ251)))</f>
        <v/>
      </c>
      <c r="BB251" s="6">
        <f>IF(OR($BJ251="",53&gt;設定!$B$3),"",IF(INDEX(原始資料!BD$2:BD$501,$BJ251)="","",INDEX(原始資料!BD$2:BD$501,$BJ251)))</f>
        <v/>
      </c>
      <c r="BC251" s="6">
        <f>IF(OR($BJ251="",54&gt;設定!$B$3),"",IF(INDEX(原始資料!BE$2:BE$501,$BJ251)="","",INDEX(原始資料!BE$2:BE$501,$BJ251)))</f>
        <v/>
      </c>
      <c r="BD251" s="6">
        <f>IF(OR($BJ251="",55&gt;設定!$B$3),"",IF(INDEX(原始資料!BF$2:BF$501,$BJ251)="","",INDEX(原始資料!BF$2:BF$501,$BJ251)))</f>
        <v/>
      </c>
      <c r="BE251" s="6">
        <f>IF(OR($BJ251="",56&gt;設定!$B$3),"",IF(INDEX(原始資料!BG$2:BG$501,$BJ251)="","",INDEX(原始資料!BG$2:BG$501,$BJ251)))</f>
        <v/>
      </c>
      <c r="BF251" s="6">
        <f>IF(OR($BJ251="",57&gt;設定!$B$3),"",IF(INDEX(原始資料!BH$2:BH$501,$BJ251)="","",INDEX(原始資料!BH$2:BH$501,$BJ251)))</f>
        <v/>
      </c>
      <c r="BG251" s="6">
        <f>IF(OR($BJ251="",58&gt;設定!$B$3),"",IF(INDEX(原始資料!BI$2:BI$501,$BJ251)="","",INDEX(原始資料!BI$2:BI$501,$BJ251)))</f>
        <v/>
      </c>
      <c r="BH251" s="6">
        <f>IF(OR($BJ251="",59&gt;設定!$B$3),"",IF(INDEX(原始資料!BJ$2:BJ$501,$BJ251)="","",INDEX(原始資料!BJ$2:BJ$501,$BJ251)))</f>
        <v/>
      </c>
      <c r="BI251" s="6">
        <f>IF(OR($BJ251="",60&gt;設定!$B$3),"",IF(INDEX(原始資料!BK$2:BK$501,$BJ251)="","",INDEX(原始資料!BK$2:BK$501,$BJ251)))</f>
        <v/>
      </c>
      <c r="BJ251" s="6">
        <f>IFERROR(MATCH(ROW()-1,判定!$H$2:$H$501,0),"")</f>
        <v/>
      </c>
    </row>
    <row r="252">
      <c r="A252" s="6">
        <f>IF($BJ252="","",INDEX(原始資料!$A$2:$A$501,$BJ252))</f>
        <v/>
      </c>
      <c r="B252" s="6">
        <f>IF(OR($BJ252="",1&gt;設定!$B$3),"",IF(INDEX(原始資料!D$2:D$501,$BJ252)="","",INDEX(原始資料!D$2:D$501,$BJ252)))</f>
        <v/>
      </c>
      <c r="C252" s="6">
        <f>IF(OR($BJ252="",2&gt;設定!$B$3),"",IF(INDEX(原始資料!E$2:E$501,$BJ252)="","",INDEX(原始資料!E$2:E$501,$BJ252)))</f>
        <v/>
      </c>
      <c r="D252" s="6">
        <f>IF(OR($BJ252="",3&gt;設定!$B$3),"",IF(INDEX(原始資料!F$2:F$501,$BJ252)="","",INDEX(原始資料!F$2:F$501,$BJ252)))</f>
        <v/>
      </c>
      <c r="E252" s="6">
        <f>IF(OR($BJ252="",4&gt;設定!$B$3),"",IF(INDEX(原始資料!G$2:G$501,$BJ252)="","",INDEX(原始資料!G$2:G$501,$BJ252)))</f>
        <v/>
      </c>
      <c r="F252" s="6">
        <f>IF(OR($BJ252="",5&gt;設定!$B$3),"",IF(INDEX(原始資料!H$2:H$501,$BJ252)="","",INDEX(原始資料!H$2:H$501,$BJ252)))</f>
        <v/>
      </c>
      <c r="G252" s="6">
        <f>IF(OR($BJ252="",6&gt;設定!$B$3),"",IF(INDEX(原始資料!I$2:I$501,$BJ252)="","",INDEX(原始資料!I$2:I$501,$BJ252)))</f>
        <v/>
      </c>
      <c r="H252" s="6">
        <f>IF(OR($BJ252="",7&gt;設定!$B$3),"",IF(INDEX(原始資料!J$2:J$501,$BJ252)="","",INDEX(原始資料!J$2:J$501,$BJ252)))</f>
        <v/>
      </c>
      <c r="I252" s="6">
        <f>IF(OR($BJ252="",8&gt;設定!$B$3),"",IF(INDEX(原始資料!K$2:K$501,$BJ252)="","",INDEX(原始資料!K$2:K$501,$BJ252)))</f>
        <v/>
      </c>
      <c r="J252" s="6">
        <f>IF(OR($BJ252="",9&gt;設定!$B$3),"",IF(INDEX(原始資料!L$2:L$501,$BJ252)="","",INDEX(原始資料!L$2:L$501,$BJ252)))</f>
        <v/>
      </c>
      <c r="K252" s="6">
        <f>IF(OR($BJ252="",10&gt;設定!$B$3),"",IF(INDEX(原始資料!M$2:M$501,$BJ252)="","",INDEX(原始資料!M$2:M$501,$BJ252)))</f>
        <v/>
      </c>
      <c r="L252" s="6">
        <f>IF(OR($BJ252="",11&gt;設定!$B$3),"",IF(INDEX(原始資料!N$2:N$501,$BJ252)="","",INDEX(原始資料!N$2:N$501,$BJ252)))</f>
        <v/>
      </c>
      <c r="M252" s="6">
        <f>IF(OR($BJ252="",12&gt;設定!$B$3),"",IF(INDEX(原始資料!O$2:O$501,$BJ252)="","",INDEX(原始資料!O$2:O$501,$BJ252)))</f>
        <v/>
      </c>
      <c r="N252" s="6">
        <f>IF(OR($BJ252="",13&gt;設定!$B$3),"",IF(INDEX(原始資料!P$2:P$501,$BJ252)="","",INDEX(原始資料!P$2:P$501,$BJ252)))</f>
        <v/>
      </c>
      <c r="O252" s="6">
        <f>IF(OR($BJ252="",14&gt;設定!$B$3),"",IF(INDEX(原始資料!Q$2:Q$501,$BJ252)="","",INDEX(原始資料!Q$2:Q$501,$BJ252)))</f>
        <v/>
      </c>
      <c r="P252" s="6">
        <f>IF(OR($BJ252="",15&gt;設定!$B$3),"",IF(INDEX(原始資料!R$2:R$501,$BJ252)="","",INDEX(原始資料!R$2:R$501,$BJ252)))</f>
        <v/>
      </c>
      <c r="Q252" s="6">
        <f>IF(OR($BJ252="",16&gt;設定!$B$3),"",IF(INDEX(原始資料!S$2:S$501,$BJ252)="","",INDEX(原始資料!S$2:S$501,$BJ252)))</f>
        <v/>
      </c>
      <c r="R252" s="6">
        <f>IF(OR($BJ252="",17&gt;設定!$B$3),"",IF(INDEX(原始資料!T$2:T$501,$BJ252)="","",INDEX(原始資料!T$2:T$501,$BJ252)))</f>
        <v/>
      </c>
      <c r="S252" s="6">
        <f>IF(OR($BJ252="",18&gt;設定!$B$3),"",IF(INDEX(原始資料!U$2:U$501,$BJ252)="","",INDEX(原始資料!U$2:U$501,$BJ252)))</f>
        <v/>
      </c>
      <c r="T252" s="6">
        <f>IF(OR($BJ252="",19&gt;設定!$B$3),"",IF(INDEX(原始資料!V$2:V$501,$BJ252)="","",INDEX(原始資料!V$2:V$501,$BJ252)))</f>
        <v/>
      </c>
      <c r="U252" s="6">
        <f>IF(OR($BJ252="",20&gt;設定!$B$3),"",IF(INDEX(原始資料!W$2:W$501,$BJ252)="","",INDEX(原始資料!W$2:W$501,$BJ252)))</f>
        <v/>
      </c>
      <c r="V252" s="6">
        <f>IF(OR($BJ252="",21&gt;設定!$B$3),"",IF(INDEX(原始資料!X$2:X$501,$BJ252)="","",INDEX(原始資料!X$2:X$501,$BJ252)))</f>
        <v/>
      </c>
      <c r="W252" s="6">
        <f>IF(OR($BJ252="",22&gt;設定!$B$3),"",IF(INDEX(原始資料!Y$2:Y$501,$BJ252)="","",INDEX(原始資料!Y$2:Y$501,$BJ252)))</f>
        <v/>
      </c>
      <c r="X252" s="6">
        <f>IF(OR($BJ252="",23&gt;設定!$B$3),"",IF(INDEX(原始資料!Z$2:Z$501,$BJ252)="","",INDEX(原始資料!Z$2:Z$501,$BJ252)))</f>
        <v/>
      </c>
      <c r="Y252" s="6">
        <f>IF(OR($BJ252="",24&gt;設定!$B$3),"",IF(INDEX(原始資料!AA$2:AA$501,$BJ252)="","",INDEX(原始資料!AA$2:AA$501,$BJ252)))</f>
        <v/>
      </c>
      <c r="Z252" s="6">
        <f>IF(OR($BJ252="",25&gt;設定!$B$3),"",IF(INDEX(原始資料!AB$2:AB$501,$BJ252)="","",INDEX(原始資料!AB$2:AB$501,$BJ252)))</f>
        <v/>
      </c>
      <c r="AA252" s="6">
        <f>IF(OR($BJ252="",26&gt;設定!$B$3),"",IF(INDEX(原始資料!AC$2:AC$501,$BJ252)="","",INDEX(原始資料!AC$2:AC$501,$BJ252)))</f>
        <v/>
      </c>
      <c r="AB252" s="6">
        <f>IF(OR($BJ252="",27&gt;設定!$B$3),"",IF(INDEX(原始資料!AD$2:AD$501,$BJ252)="","",INDEX(原始資料!AD$2:AD$501,$BJ252)))</f>
        <v/>
      </c>
      <c r="AC252" s="6">
        <f>IF(OR($BJ252="",28&gt;設定!$B$3),"",IF(INDEX(原始資料!AE$2:AE$501,$BJ252)="","",INDEX(原始資料!AE$2:AE$501,$BJ252)))</f>
        <v/>
      </c>
      <c r="AD252" s="6">
        <f>IF(OR($BJ252="",29&gt;設定!$B$3),"",IF(INDEX(原始資料!AF$2:AF$501,$BJ252)="","",INDEX(原始資料!AF$2:AF$501,$BJ252)))</f>
        <v/>
      </c>
      <c r="AE252" s="6">
        <f>IF(OR($BJ252="",30&gt;設定!$B$3),"",IF(INDEX(原始資料!AG$2:AG$501,$BJ252)="","",INDEX(原始資料!AG$2:AG$501,$BJ252)))</f>
        <v/>
      </c>
      <c r="AF252" s="6">
        <f>IF(OR($BJ252="",31&gt;設定!$B$3),"",IF(INDEX(原始資料!AH$2:AH$501,$BJ252)="","",INDEX(原始資料!AH$2:AH$501,$BJ252)))</f>
        <v/>
      </c>
      <c r="AG252" s="6">
        <f>IF(OR($BJ252="",32&gt;設定!$B$3),"",IF(INDEX(原始資料!AI$2:AI$501,$BJ252)="","",INDEX(原始資料!AI$2:AI$501,$BJ252)))</f>
        <v/>
      </c>
      <c r="AH252" s="6">
        <f>IF(OR($BJ252="",33&gt;設定!$B$3),"",IF(INDEX(原始資料!AJ$2:AJ$501,$BJ252)="","",INDEX(原始資料!AJ$2:AJ$501,$BJ252)))</f>
        <v/>
      </c>
      <c r="AI252" s="6">
        <f>IF(OR($BJ252="",34&gt;設定!$B$3),"",IF(INDEX(原始資料!AK$2:AK$501,$BJ252)="","",INDEX(原始資料!AK$2:AK$501,$BJ252)))</f>
        <v/>
      </c>
      <c r="AJ252" s="6">
        <f>IF(OR($BJ252="",35&gt;設定!$B$3),"",IF(INDEX(原始資料!AL$2:AL$501,$BJ252)="","",INDEX(原始資料!AL$2:AL$501,$BJ252)))</f>
        <v/>
      </c>
      <c r="AK252" s="6">
        <f>IF(OR($BJ252="",36&gt;設定!$B$3),"",IF(INDEX(原始資料!AM$2:AM$501,$BJ252)="","",INDEX(原始資料!AM$2:AM$501,$BJ252)))</f>
        <v/>
      </c>
      <c r="AL252" s="6">
        <f>IF(OR($BJ252="",37&gt;設定!$B$3),"",IF(INDEX(原始資料!AN$2:AN$501,$BJ252)="","",INDEX(原始資料!AN$2:AN$501,$BJ252)))</f>
        <v/>
      </c>
      <c r="AM252" s="6">
        <f>IF(OR($BJ252="",38&gt;設定!$B$3),"",IF(INDEX(原始資料!AO$2:AO$501,$BJ252)="","",INDEX(原始資料!AO$2:AO$501,$BJ252)))</f>
        <v/>
      </c>
      <c r="AN252" s="6">
        <f>IF(OR($BJ252="",39&gt;設定!$B$3),"",IF(INDEX(原始資料!AP$2:AP$501,$BJ252)="","",INDEX(原始資料!AP$2:AP$501,$BJ252)))</f>
        <v/>
      </c>
      <c r="AO252" s="6">
        <f>IF(OR($BJ252="",40&gt;設定!$B$3),"",IF(INDEX(原始資料!AQ$2:AQ$501,$BJ252)="","",INDEX(原始資料!AQ$2:AQ$501,$BJ252)))</f>
        <v/>
      </c>
      <c r="AP252" s="6">
        <f>IF(OR($BJ252="",41&gt;設定!$B$3),"",IF(INDEX(原始資料!AR$2:AR$501,$BJ252)="","",INDEX(原始資料!AR$2:AR$501,$BJ252)))</f>
        <v/>
      </c>
      <c r="AQ252" s="6">
        <f>IF(OR($BJ252="",42&gt;設定!$B$3),"",IF(INDEX(原始資料!AS$2:AS$501,$BJ252)="","",INDEX(原始資料!AS$2:AS$501,$BJ252)))</f>
        <v/>
      </c>
      <c r="AR252" s="6">
        <f>IF(OR($BJ252="",43&gt;設定!$B$3),"",IF(INDEX(原始資料!AT$2:AT$501,$BJ252)="","",INDEX(原始資料!AT$2:AT$501,$BJ252)))</f>
        <v/>
      </c>
      <c r="AS252" s="6">
        <f>IF(OR($BJ252="",44&gt;設定!$B$3),"",IF(INDEX(原始資料!AU$2:AU$501,$BJ252)="","",INDEX(原始資料!AU$2:AU$501,$BJ252)))</f>
        <v/>
      </c>
      <c r="AT252" s="6">
        <f>IF(OR($BJ252="",45&gt;設定!$B$3),"",IF(INDEX(原始資料!AV$2:AV$501,$BJ252)="","",INDEX(原始資料!AV$2:AV$501,$BJ252)))</f>
        <v/>
      </c>
      <c r="AU252" s="6">
        <f>IF(OR($BJ252="",46&gt;設定!$B$3),"",IF(INDEX(原始資料!AW$2:AW$501,$BJ252)="","",INDEX(原始資料!AW$2:AW$501,$BJ252)))</f>
        <v/>
      </c>
      <c r="AV252" s="6">
        <f>IF(OR($BJ252="",47&gt;設定!$B$3),"",IF(INDEX(原始資料!AX$2:AX$501,$BJ252)="","",INDEX(原始資料!AX$2:AX$501,$BJ252)))</f>
        <v/>
      </c>
      <c r="AW252" s="6">
        <f>IF(OR($BJ252="",48&gt;設定!$B$3),"",IF(INDEX(原始資料!AY$2:AY$501,$BJ252)="","",INDEX(原始資料!AY$2:AY$501,$BJ252)))</f>
        <v/>
      </c>
      <c r="AX252" s="6">
        <f>IF(OR($BJ252="",49&gt;設定!$B$3),"",IF(INDEX(原始資料!AZ$2:AZ$501,$BJ252)="","",INDEX(原始資料!AZ$2:AZ$501,$BJ252)))</f>
        <v/>
      </c>
      <c r="AY252" s="6">
        <f>IF(OR($BJ252="",50&gt;設定!$B$3),"",IF(INDEX(原始資料!BA$2:BA$501,$BJ252)="","",INDEX(原始資料!BA$2:BA$501,$BJ252)))</f>
        <v/>
      </c>
      <c r="AZ252" s="6">
        <f>IF(OR($BJ252="",51&gt;設定!$B$3),"",IF(INDEX(原始資料!BB$2:BB$501,$BJ252)="","",INDEX(原始資料!BB$2:BB$501,$BJ252)))</f>
        <v/>
      </c>
      <c r="BA252" s="6">
        <f>IF(OR($BJ252="",52&gt;設定!$B$3),"",IF(INDEX(原始資料!BC$2:BC$501,$BJ252)="","",INDEX(原始資料!BC$2:BC$501,$BJ252)))</f>
        <v/>
      </c>
      <c r="BB252" s="6">
        <f>IF(OR($BJ252="",53&gt;設定!$B$3),"",IF(INDEX(原始資料!BD$2:BD$501,$BJ252)="","",INDEX(原始資料!BD$2:BD$501,$BJ252)))</f>
        <v/>
      </c>
      <c r="BC252" s="6">
        <f>IF(OR($BJ252="",54&gt;設定!$B$3),"",IF(INDEX(原始資料!BE$2:BE$501,$BJ252)="","",INDEX(原始資料!BE$2:BE$501,$BJ252)))</f>
        <v/>
      </c>
      <c r="BD252" s="6">
        <f>IF(OR($BJ252="",55&gt;設定!$B$3),"",IF(INDEX(原始資料!BF$2:BF$501,$BJ252)="","",INDEX(原始資料!BF$2:BF$501,$BJ252)))</f>
        <v/>
      </c>
      <c r="BE252" s="6">
        <f>IF(OR($BJ252="",56&gt;設定!$B$3),"",IF(INDEX(原始資料!BG$2:BG$501,$BJ252)="","",INDEX(原始資料!BG$2:BG$501,$BJ252)))</f>
        <v/>
      </c>
      <c r="BF252" s="6">
        <f>IF(OR($BJ252="",57&gt;設定!$B$3),"",IF(INDEX(原始資料!BH$2:BH$501,$BJ252)="","",INDEX(原始資料!BH$2:BH$501,$BJ252)))</f>
        <v/>
      </c>
      <c r="BG252" s="6">
        <f>IF(OR($BJ252="",58&gt;設定!$B$3),"",IF(INDEX(原始資料!BI$2:BI$501,$BJ252)="","",INDEX(原始資料!BI$2:BI$501,$BJ252)))</f>
        <v/>
      </c>
      <c r="BH252" s="6">
        <f>IF(OR($BJ252="",59&gt;設定!$B$3),"",IF(INDEX(原始資料!BJ$2:BJ$501,$BJ252)="","",INDEX(原始資料!BJ$2:BJ$501,$BJ252)))</f>
        <v/>
      </c>
      <c r="BI252" s="6">
        <f>IF(OR($BJ252="",60&gt;設定!$B$3),"",IF(INDEX(原始資料!BK$2:BK$501,$BJ252)="","",INDEX(原始資料!BK$2:BK$501,$BJ252)))</f>
        <v/>
      </c>
      <c r="BJ252" s="6">
        <f>IFERROR(MATCH(ROW()-1,判定!$H$2:$H$501,0),"")</f>
        <v/>
      </c>
    </row>
    <row r="253">
      <c r="A253" s="6">
        <f>IF($BJ253="","",INDEX(原始資料!$A$2:$A$501,$BJ253))</f>
        <v/>
      </c>
      <c r="B253" s="6">
        <f>IF(OR($BJ253="",1&gt;設定!$B$3),"",IF(INDEX(原始資料!D$2:D$501,$BJ253)="","",INDEX(原始資料!D$2:D$501,$BJ253)))</f>
        <v/>
      </c>
      <c r="C253" s="6">
        <f>IF(OR($BJ253="",2&gt;設定!$B$3),"",IF(INDEX(原始資料!E$2:E$501,$BJ253)="","",INDEX(原始資料!E$2:E$501,$BJ253)))</f>
        <v/>
      </c>
      <c r="D253" s="6">
        <f>IF(OR($BJ253="",3&gt;設定!$B$3),"",IF(INDEX(原始資料!F$2:F$501,$BJ253)="","",INDEX(原始資料!F$2:F$501,$BJ253)))</f>
        <v/>
      </c>
      <c r="E253" s="6">
        <f>IF(OR($BJ253="",4&gt;設定!$B$3),"",IF(INDEX(原始資料!G$2:G$501,$BJ253)="","",INDEX(原始資料!G$2:G$501,$BJ253)))</f>
        <v/>
      </c>
      <c r="F253" s="6">
        <f>IF(OR($BJ253="",5&gt;設定!$B$3),"",IF(INDEX(原始資料!H$2:H$501,$BJ253)="","",INDEX(原始資料!H$2:H$501,$BJ253)))</f>
        <v/>
      </c>
      <c r="G253" s="6">
        <f>IF(OR($BJ253="",6&gt;設定!$B$3),"",IF(INDEX(原始資料!I$2:I$501,$BJ253)="","",INDEX(原始資料!I$2:I$501,$BJ253)))</f>
        <v/>
      </c>
      <c r="H253" s="6">
        <f>IF(OR($BJ253="",7&gt;設定!$B$3),"",IF(INDEX(原始資料!J$2:J$501,$BJ253)="","",INDEX(原始資料!J$2:J$501,$BJ253)))</f>
        <v/>
      </c>
      <c r="I253" s="6">
        <f>IF(OR($BJ253="",8&gt;設定!$B$3),"",IF(INDEX(原始資料!K$2:K$501,$BJ253)="","",INDEX(原始資料!K$2:K$501,$BJ253)))</f>
        <v/>
      </c>
      <c r="J253" s="6">
        <f>IF(OR($BJ253="",9&gt;設定!$B$3),"",IF(INDEX(原始資料!L$2:L$501,$BJ253)="","",INDEX(原始資料!L$2:L$501,$BJ253)))</f>
        <v/>
      </c>
      <c r="K253" s="6">
        <f>IF(OR($BJ253="",10&gt;設定!$B$3),"",IF(INDEX(原始資料!M$2:M$501,$BJ253)="","",INDEX(原始資料!M$2:M$501,$BJ253)))</f>
        <v/>
      </c>
      <c r="L253" s="6">
        <f>IF(OR($BJ253="",11&gt;設定!$B$3),"",IF(INDEX(原始資料!N$2:N$501,$BJ253)="","",INDEX(原始資料!N$2:N$501,$BJ253)))</f>
        <v/>
      </c>
      <c r="M253" s="6">
        <f>IF(OR($BJ253="",12&gt;設定!$B$3),"",IF(INDEX(原始資料!O$2:O$501,$BJ253)="","",INDEX(原始資料!O$2:O$501,$BJ253)))</f>
        <v/>
      </c>
      <c r="N253" s="6">
        <f>IF(OR($BJ253="",13&gt;設定!$B$3),"",IF(INDEX(原始資料!P$2:P$501,$BJ253)="","",INDEX(原始資料!P$2:P$501,$BJ253)))</f>
        <v/>
      </c>
      <c r="O253" s="6">
        <f>IF(OR($BJ253="",14&gt;設定!$B$3),"",IF(INDEX(原始資料!Q$2:Q$501,$BJ253)="","",INDEX(原始資料!Q$2:Q$501,$BJ253)))</f>
        <v/>
      </c>
      <c r="P253" s="6">
        <f>IF(OR($BJ253="",15&gt;設定!$B$3),"",IF(INDEX(原始資料!R$2:R$501,$BJ253)="","",INDEX(原始資料!R$2:R$501,$BJ253)))</f>
        <v/>
      </c>
      <c r="Q253" s="6">
        <f>IF(OR($BJ253="",16&gt;設定!$B$3),"",IF(INDEX(原始資料!S$2:S$501,$BJ253)="","",INDEX(原始資料!S$2:S$501,$BJ253)))</f>
        <v/>
      </c>
      <c r="R253" s="6">
        <f>IF(OR($BJ253="",17&gt;設定!$B$3),"",IF(INDEX(原始資料!T$2:T$501,$BJ253)="","",INDEX(原始資料!T$2:T$501,$BJ253)))</f>
        <v/>
      </c>
      <c r="S253" s="6">
        <f>IF(OR($BJ253="",18&gt;設定!$B$3),"",IF(INDEX(原始資料!U$2:U$501,$BJ253)="","",INDEX(原始資料!U$2:U$501,$BJ253)))</f>
        <v/>
      </c>
      <c r="T253" s="6">
        <f>IF(OR($BJ253="",19&gt;設定!$B$3),"",IF(INDEX(原始資料!V$2:V$501,$BJ253)="","",INDEX(原始資料!V$2:V$501,$BJ253)))</f>
        <v/>
      </c>
      <c r="U253" s="6">
        <f>IF(OR($BJ253="",20&gt;設定!$B$3),"",IF(INDEX(原始資料!W$2:W$501,$BJ253)="","",INDEX(原始資料!W$2:W$501,$BJ253)))</f>
        <v/>
      </c>
      <c r="V253" s="6">
        <f>IF(OR($BJ253="",21&gt;設定!$B$3),"",IF(INDEX(原始資料!X$2:X$501,$BJ253)="","",INDEX(原始資料!X$2:X$501,$BJ253)))</f>
        <v/>
      </c>
      <c r="W253" s="6">
        <f>IF(OR($BJ253="",22&gt;設定!$B$3),"",IF(INDEX(原始資料!Y$2:Y$501,$BJ253)="","",INDEX(原始資料!Y$2:Y$501,$BJ253)))</f>
        <v/>
      </c>
      <c r="X253" s="6">
        <f>IF(OR($BJ253="",23&gt;設定!$B$3),"",IF(INDEX(原始資料!Z$2:Z$501,$BJ253)="","",INDEX(原始資料!Z$2:Z$501,$BJ253)))</f>
        <v/>
      </c>
      <c r="Y253" s="6">
        <f>IF(OR($BJ253="",24&gt;設定!$B$3),"",IF(INDEX(原始資料!AA$2:AA$501,$BJ253)="","",INDEX(原始資料!AA$2:AA$501,$BJ253)))</f>
        <v/>
      </c>
      <c r="Z253" s="6">
        <f>IF(OR($BJ253="",25&gt;設定!$B$3),"",IF(INDEX(原始資料!AB$2:AB$501,$BJ253)="","",INDEX(原始資料!AB$2:AB$501,$BJ253)))</f>
        <v/>
      </c>
      <c r="AA253" s="6">
        <f>IF(OR($BJ253="",26&gt;設定!$B$3),"",IF(INDEX(原始資料!AC$2:AC$501,$BJ253)="","",INDEX(原始資料!AC$2:AC$501,$BJ253)))</f>
        <v/>
      </c>
      <c r="AB253" s="6">
        <f>IF(OR($BJ253="",27&gt;設定!$B$3),"",IF(INDEX(原始資料!AD$2:AD$501,$BJ253)="","",INDEX(原始資料!AD$2:AD$501,$BJ253)))</f>
        <v/>
      </c>
      <c r="AC253" s="6">
        <f>IF(OR($BJ253="",28&gt;設定!$B$3),"",IF(INDEX(原始資料!AE$2:AE$501,$BJ253)="","",INDEX(原始資料!AE$2:AE$501,$BJ253)))</f>
        <v/>
      </c>
      <c r="AD253" s="6">
        <f>IF(OR($BJ253="",29&gt;設定!$B$3),"",IF(INDEX(原始資料!AF$2:AF$501,$BJ253)="","",INDEX(原始資料!AF$2:AF$501,$BJ253)))</f>
        <v/>
      </c>
      <c r="AE253" s="6">
        <f>IF(OR($BJ253="",30&gt;設定!$B$3),"",IF(INDEX(原始資料!AG$2:AG$501,$BJ253)="","",INDEX(原始資料!AG$2:AG$501,$BJ253)))</f>
        <v/>
      </c>
      <c r="AF253" s="6">
        <f>IF(OR($BJ253="",31&gt;設定!$B$3),"",IF(INDEX(原始資料!AH$2:AH$501,$BJ253)="","",INDEX(原始資料!AH$2:AH$501,$BJ253)))</f>
        <v/>
      </c>
      <c r="AG253" s="6">
        <f>IF(OR($BJ253="",32&gt;設定!$B$3),"",IF(INDEX(原始資料!AI$2:AI$501,$BJ253)="","",INDEX(原始資料!AI$2:AI$501,$BJ253)))</f>
        <v/>
      </c>
      <c r="AH253" s="6">
        <f>IF(OR($BJ253="",33&gt;設定!$B$3),"",IF(INDEX(原始資料!AJ$2:AJ$501,$BJ253)="","",INDEX(原始資料!AJ$2:AJ$501,$BJ253)))</f>
        <v/>
      </c>
      <c r="AI253" s="6">
        <f>IF(OR($BJ253="",34&gt;設定!$B$3),"",IF(INDEX(原始資料!AK$2:AK$501,$BJ253)="","",INDEX(原始資料!AK$2:AK$501,$BJ253)))</f>
        <v/>
      </c>
      <c r="AJ253" s="6">
        <f>IF(OR($BJ253="",35&gt;設定!$B$3),"",IF(INDEX(原始資料!AL$2:AL$501,$BJ253)="","",INDEX(原始資料!AL$2:AL$501,$BJ253)))</f>
        <v/>
      </c>
      <c r="AK253" s="6">
        <f>IF(OR($BJ253="",36&gt;設定!$B$3),"",IF(INDEX(原始資料!AM$2:AM$501,$BJ253)="","",INDEX(原始資料!AM$2:AM$501,$BJ253)))</f>
        <v/>
      </c>
      <c r="AL253" s="6">
        <f>IF(OR($BJ253="",37&gt;設定!$B$3),"",IF(INDEX(原始資料!AN$2:AN$501,$BJ253)="","",INDEX(原始資料!AN$2:AN$501,$BJ253)))</f>
        <v/>
      </c>
      <c r="AM253" s="6">
        <f>IF(OR($BJ253="",38&gt;設定!$B$3),"",IF(INDEX(原始資料!AO$2:AO$501,$BJ253)="","",INDEX(原始資料!AO$2:AO$501,$BJ253)))</f>
        <v/>
      </c>
      <c r="AN253" s="6">
        <f>IF(OR($BJ253="",39&gt;設定!$B$3),"",IF(INDEX(原始資料!AP$2:AP$501,$BJ253)="","",INDEX(原始資料!AP$2:AP$501,$BJ253)))</f>
        <v/>
      </c>
      <c r="AO253" s="6">
        <f>IF(OR($BJ253="",40&gt;設定!$B$3),"",IF(INDEX(原始資料!AQ$2:AQ$501,$BJ253)="","",INDEX(原始資料!AQ$2:AQ$501,$BJ253)))</f>
        <v/>
      </c>
      <c r="AP253" s="6">
        <f>IF(OR($BJ253="",41&gt;設定!$B$3),"",IF(INDEX(原始資料!AR$2:AR$501,$BJ253)="","",INDEX(原始資料!AR$2:AR$501,$BJ253)))</f>
        <v/>
      </c>
      <c r="AQ253" s="6">
        <f>IF(OR($BJ253="",42&gt;設定!$B$3),"",IF(INDEX(原始資料!AS$2:AS$501,$BJ253)="","",INDEX(原始資料!AS$2:AS$501,$BJ253)))</f>
        <v/>
      </c>
      <c r="AR253" s="6">
        <f>IF(OR($BJ253="",43&gt;設定!$B$3),"",IF(INDEX(原始資料!AT$2:AT$501,$BJ253)="","",INDEX(原始資料!AT$2:AT$501,$BJ253)))</f>
        <v/>
      </c>
      <c r="AS253" s="6">
        <f>IF(OR($BJ253="",44&gt;設定!$B$3),"",IF(INDEX(原始資料!AU$2:AU$501,$BJ253)="","",INDEX(原始資料!AU$2:AU$501,$BJ253)))</f>
        <v/>
      </c>
      <c r="AT253" s="6">
        <f>IF(OR($BJ253="",45&gt;設定!$B$3),"",IF(INDEX(原始資料!AV$2:AV$501,$BJ253)="","",INDEX(原始資料!AV$2:AV$501,$BJ253)))</f>
        <v/>
      </c>
      <c r="AU253" s="6">
        <f>IF(OR($BJ253="",46&gt;設定!$B$3),"",IF(INDEX(原始資料!AW$2:AW$501,$BJ253)="","",INDEX(原始資料!AW$2:AW$501,$BJ253)))</f>
        <v/>
      </c>
      <c r="AV253" s="6">
        <f>IF(OR($BJ253="",47&gt;設定!$B$3),"",IF(INDEX(原始資料!AX$2:AX$501,$BJ253)="","",INDEX(原始資料!AX$2:AX$501,$BJ253)))</f>
        <v/>
      </c>
      <c r="AW253" s="6">
        <f>IF(OR($BJ253="",48&gt;設定!$B$3),"",IF(INDEX(原始資料!AY$2:AY$501,$BJ253)="","",INDEX(原始資料!AY$2:AY$501,$BJ253)))</f>
        <v/>
      </c>
      <c r="AX253" s="6">
        <f>IF(OR($BJ253="",49&gt;設定!$B$3),"",IF(INDEX(原始資料!AZ$2:AZ$501,$BJ253)="","",INDEX(原始資料!AZ$2:AZ$501,$BJ253)))</f>
        <v/>
      </c>
      <c r="AY253" s="6">
        <f>IF(OR($BJ253="",50&gt;設定!$B$3),"",IF(INDEX(原始資料!BA$2:BA$501,$BJ253)="","",INDEX(原始資料!BA$2:BA$501,$BJ253)))</f>
        <v/>
      </c>
      <c r="AZ253" s="6">
        <f>IF(OR($BJ253="",51&gt;設定!$B$3),"",IF(INDEX(原始資料!BB$2:BB$501,$BJ253)="","",INDEX(原始資料!BB$2:BB$501,$BJ253)))</f>
        <v/>
      </c>
      <c r="BA253" s="6">
        <f>IF(OR($BJ253="",52&gt;設定!$B$3),"",IF(INDEX(原始資料!BC$2:BC$501,$BJ253)="","",INDEX(原始資料!BC$2:BC$501,$BJ253)))</f>
        <v/>
      </c>
      <c r="BB253" s="6">
        <f>IF(OR($BJ253="",53&gt;設定!$B$3),"",IF(INDEX(原始資料!BD$2:BD$501,$BJ253)="","",INDEX(原始資料!BD$2:BD$501,$BJ253)))</f>
        <v/>
      </c>
      <c r="BC253" s="6">
        <f>IF(OR($BJ253="",54&gt;設定!$B$3),"",IF(INDEX(原始資料!BE$2:BE$501,$BJ253)="","",INDEX(原始資料!BE$2:BE$501,$BJ253)))</f>
        <v/>
      </c>
      <c r="BD253" s="6">
        <f>IF(OR($BJ253="",55&gt;設定!$B$3),"",IF(INDEX(原始資料!BF$2:BF$501,$BJ253)="","",INDEX(原始資料!BF$2:BF$501,$BJ253)))</f>
        <v/>
      </c>
      <c r="BE253" s="6">
        <f>IF(OR($BJ253="",56&gt;設定!$B$3),"",IF(INDEX(原始資料!BG$2:BG$501,$BJ253)="","",INDEX(原始資料!BG$2:BG$501,$BJ253)))</f>
        <v/>
      </c>
      <c r="BF253" s="6">
        <f>IF(OR($BJ253="",57&gt;設定!$B$3),"",IF(INDEX(原始資料!BH$2:BH$501,$BJ253)="","",INDEX(原始資料!BH$2:BH$501,$BJ253)))</f>
        <v/>
      </c>
      <c r="BG253" s="6">
        <f>IF(OR($BJ253="",58&gt;設定!$B$3),"",IF(INDEX(原始資料!BI$2:BI$501,$BJ253)="","",INDEX(原始資料!BI$2:BI$501,$BJ253)))</f>
        <v/>
      </c>
      <c r="BH253" s="6">
        <f>IF(OR($BJ253="",59&gt;設定!$B$3),"",IF(INDEX(原始資料!BJ$2:BJ$501,$BJ253)="","",INDEX(原始資料!BJ$2:BJ$501,$BJ253)))</f>
        <v/>
      </c>
      <c r="BI253" s="6">
        <f>IF(OR($BJ253="",60&gt;設定!$B$3),"",IF(INDEX(原始資料!BK$2:BK$501,$BJ253)="","",INDEX(原始資料!BK$2:BK$501,$BJ253)))</f>
        <v/>
      </c>
      <c r="BJ253" s="6">
        <f>IFERROR(MATCH(ROW()-1,判定!$H$2:$H$501,0),"")</f>
        <v/>
      </c>
    </row>
    <row r="254">
      <c r="A254" s="6">
        <f>IF($BJ254="","",INDEX(原始資料!$A$2:$A$501,$BJ254))</f>
        <v/>
      </c>
      <c r="B254" s="6">
        <f>IF(OR($BJ254="",1&gt;設定!$B$3),"",IF(INDEX(原始資料!D$2:D$501,$BJ254)="","",INDEX(原始資料!D$2:D$501,$BJ254)))</f>
        <v/>
      </c>
      <c r="C254" s="6">
        <f>IF(OR($BJ254="",2&gt;設定!$B$3),"",IF(INDEX(原始資料!E$2:E$501,$BJ254)="","",INDEX(原始資料!E$2:E$501,$BJ254)))</f>
        <v/>
      </c>
      <c r="D254" s="6">
        <f>IF(OR($BJ254="",3&gt;設定!$B$3),"",IF(INDEX(原始資料!F$2:F$501,$BJ254)="","",INDEX(原始資料!F$2:F$501,$BJ254)))</f>
        <v/>
      </c>
      <c r="E254" s="6">
        <f>IF(OR($BJ254="",4&gt;設定!$B$3),"",IF(INDEX(原始資料!G$2:G$501,$BJ254)="","",INDEX(原始資料!G$2:G$501,$BJ254)))</f>
        <v/>
      </c>
      <c r="F254" s="6">
        <f>IF(OR($BJ254="",5&gt;設定!$B$3),"",IF(INDEX(原始資料!H$2:H$501,$BJ254)="","",INDEX(原始資料!H$2:H$501,$BJ254)))</f>
        <v/>
      </c>
      <c r="G254" s="6">
        <f>IF(OR($BJ254="",6&gt;設定!$B$3),"",IF(INDEX(原始資料!I$2:I$501,$BJ254)="","",INDEX(原始資料!I$2:I$501,$BJ254)))</f>
        <v/>
      </c>
      <c r="H254" s="6">
        <f>IF(OR($BJ254="",7&gt;設定!$B$3),"",IF(INDEX(原始資料!J$2:J$501,$BJ254)="","",INDEX(原始資料!J$2:J$501,$BJ254)))</f>
        <v/>
      </c>
      <c r="I254" s="6">
        <f>IF(OR($BJ254="",8&gt;設定!$B$3),"",IF(INDEX(原始資料!K$2:K$501,$BJ254)="","",INDEX(原始資料!K$2:K$501,$BJ254)))</f>
        <v/>
      </c>
      <c r="J254" s="6">
        <f>IF(OR($BJ254="",9&gt;設定!$B$3),"",IF(INDEX(原始資料!L$2:L$501,$BJ254)="","",INDEX(原始資料!L$2:L$501,$BJ254)))</f>
        <v/>
      </c>
      <c r="K254" s="6">
        <f>IF(OR($BJ254="",10&gt;設定!$B$3),"",IF(INDEX(原始資料!M$2:M$501,$BJ254)="","",INDEX(原始資料!M$2:M$501,$BJ254)))</f>
        <v/>
      </c>
      <c r="L254" s="6">
        <f>IF(OR($BJ254="",11&gt;設定!$B$3),"",IF(INDEX(原始資料!N$2:N$501,$BJ254)="","",INDEX(原始資料!N$2:N$501,$BJ254)))</f>
        <v/>
      </c>
      <c r="M254" s="6">
        <f>IF(OR($BJ254="",12&gt;設定!$B$3),"",IF(INDEX(原始資料!O$2:O$501,$BJ254)="","",INDEX(原始資料!O$2:O$501,$BJ254)))</f>
        <v/>
      </c>
      <c r="N254" s="6">
        <f>IF(OR($BJ254="",13&gt;設定!$B$3),"",IF(INDEX(原始資料!P$2:P$501,$BJ254)="","",INDEX(原始資料!P$2:P$501,$BJ254)))</f>
        <v/>
      </c>
      <c r="O254" s="6">
        <f>IF(OR($BJ254="",14&gt;設定!$B$3),"",IF(INDEX(原始資料!Q$2:Q$501,$BJ254)="","",INDEX(原始資料!Q$2:Q$501,$BJ254)))</f>
        <v/>
      </c>
      <c r="P254" s="6">
        <f>IF(OR($BJ254="",15&gt;設定!$B$3),"",IF(INDEX(原始資料!R$2:R$501,$BJ254)="","",INDEX(原始資料!R$2:R$501,$BJ254)))</f>
        <v/>
      </c>
      <c r="Q254" s="6">
        <f>IF(OR($BJ254="",16&gt;設定!$B$3),"",IF(INDEX(原始資料!S$2:S$501,$BJ254)="","",INDEX(原始資料!S$2:S$501,$BJ254)))</f>
        <v/>
      </c>
      <c r="R254" s="6">
        <f>IF(OR($BJ254="",17&gt;設定!$B$3),"",IF(INDEX(原始資料!T$2:T$501,$BJ254)="","",INDEX(原始資料!T$2:T$501,$BJ254)))</f>
        <v/>
      </c>
      <c r="S254" s="6">
        <f>IF(OR($BJ254="",18&gt;設定!$B$3),"",IF(INDEX(原始資料!U$2:U$501,$BJ254)="","",INDEX(原始資料!U$2:U$501,$BJ254)))</f>
        <v/>
      </c>
      <c r="T254" s="6">
        <f>IF(OR($BJ254="",19&gt;設定!$B$3),"",IF(INDEX(原始資料!V$2:V$501,$BJ254)="","",INDEX(原始資料!V$2:V$501,$BJ254)))</f>
        <v/>
      </c>
      <c r="U254" s="6">
        <f>IF(OR($BJ254="",20&gt;設定!$B$3),"",IF(INDEX(原始資料!W$2:W$501,$BJ254)="","",INDEX(原始資料!W$2:W$501,$BJ254)))</f>
        <v/>
      </c>
      <c r="V254" s="6">
        <f>IF(OR($BJ254="",21&gt;設定!$B$3),"",IF(INDEX(原始資料!X$2:X$501,$BJ254)="","",INDEX(原始資料!X$2:X$501,$BJ254)))</f>
        <v/>
      </c>
      <c r="W254" s="6">
        <f>IF(OR($BJ254="",22&gt;設定!$B$3),"",IF(INDEX(原始資料!Y$2:Y$501,$BJ254)="","",INDEX(原始資料!Y$2:Y$501,$BJ254)))</f>
        <v/>
      </c>
      <c r="X254" s="6">
        <f>IF(OR($BJ254="",23&gt;設定!$B$3),"",IF(INDEX(原始資料!Z$2:Z$501,$BJ254)="","",INDEX(原始資料!Z$2:Z$501,$BJ254)))</f>
        <v/>
      </c>
      <c r="Y254" s="6">
        <f>IF(OR($BJ254="",24&gt;設定!$B$3),"",IF(INDEX(原始資料!AA$2:AA$501,$BJ254)="","",INDEX(原始資料!AA$2:AA$501,$BJ254)))</f>
        <v/>
      </c>
      <c r="Z254" s="6">
        <f>IF(OR($BJ254="",25&gt;設定!$B$3),"",IF(INDEX(原始資料!AB$2:AB$501,$BJ254)="","",INDEX(原始資料!AB$2:AB$501,$BJ254)))</f>
        <v/>
      </c>
      <c r="AA254" s="6">
        <f>IF(OR($BJ254="",26&gt;設定!$B$3),"",IF(INDEX(原始資料!AC$2:AC$501,$BJ254)="","",INDEX(原始資料!AC$2:AC$501,$BJ254)))</f>
        <v/>
      </c>
      <c r="AB254" s="6">
        <f>IF(OR($BJ254="",27&gt;設定!$B$3),"",IF(INDEX(原始資料!AD$2:AD$501,$BJ254)="","",INDEX(原始資料!AD$2:AD$501,$BJ254)))</f>
        <v/>
      </c>
      <c r="AC254" s="6">
        <f>IF(OR($BJ254="",28&gt;設定!$B$3),"",IF(INDEX(原始資料!AE$2:AE$501,$BJ254)="","",INDEX(原始資料!AE$2:AE$501,$BJ254)))</f>
        <v/>
      </c>
      <c r="AD254" s="6">
        <f>IF(OR($BJ254="",29&gt;設定!$B$3),"",IF(INDEX(原始資料!AF$2:AF$501,$BJ254)="","",INDEX(原始資料!AF$2:AF$501,$BJ254)))</f>
        <v/>
      </c>
      <c r="AE254" s="6">
        <f>IF(OR($BJ254="",30&gt;設定!$B$3),"",IF(INDEX(原始資料!AG$2:AG$501,$BJ254)="","",INDEX(原始資料!AG$2:AG$501,$BJ254)))</f>
        <v/>
      </c>
      <c r="AF254" s="6">
        <f>IF(OR($BJ254="",31&gt;設定!$B$3),"",IF(INDEX(原始資料!AH$2:AH$501,$BJ254)="","",INDEX(原始資料!AH$2:AH$501,$BJ254)))</f>
        <v/>
      </c>
      <c r="AG254" s="6">
        <f>IF(OR($BJ254="",32&gt;設定!$B$3),"",IF(INDEX(原始資料!AI$2:AI$501,$BJ254)="","",INDEX(原始資料!AI$2:AI$501,$BJ254)))</f>
        <v/>
      </c>
      <c r="AH254" s="6">
        <f>IF(OR($BJ254="",33&gt;設定!$B$3),"",IF(INDEX(原始資料!AJ$2:AJ$501,$BJ254)="","",INDEX(原始資料!AJ$2:AJ$501,$BJ254)))</f>
        <v/>
      </c>
      <c r="AI254" s="6">
        <f>IF(OR($BJ254="",34&gt;設定!$B$3),"",IF(INDEX(原始資料!AK$2:AK$501,$BJ254)="","",INDEX(原始資料!AK$2:AK$501,$BJ254)))</f>
        <v/>
      </c>
      <c r="AJ254" s="6">
        <f>IF(OR($BJ254="",35&gt;設定!$B$3),"",IF(INDEX(原始資料!AL$2:AL$501,$BJ254)="","",INDEX(原始資料!AL$2:AL$501,$BJ254)))</f>
        <v/>
      </c>
      <c r="AK254" s="6">
        <f>IF(OR($BJ254="",36&gt;設定!$B$3),"",IF(INDEX(原始資料!AM$2:AM$501,$BJ254)="","",INDEX(原始資料!AM$2:AM$501,$BJ254)))</f>
        <v/>
      </c>
      <c r="AL254" s="6">
        <f>IF(OR($BJ254="",37&gt;設定!$B$3),"",IF(INDEX(原始資料!AN$2:AN$501,$BJ254)="","",INDEX(原始資料!AN$2:AN$501,$BJ254)))</f>
        <v/>
      </c>
      <c r="AM254" s="6">
        <f>IF(OR($BJ254="",38&gt;設定!$B$3),"",IF(INDEX(原始資料!AO$2:AO$501,$BJ254)="","",INDEX(原始資料!AO$2:AO$501,$BJ254)))</f>
        <v/>
      </c>
      <c r="AN254" s="6">
        <f>IF(OR($BJ254="",39&gt;設定!$B$3),"",IF(INDEX(原始資料!AP$2:AP$501,$BJ254)="","",INDEX(原始資料!AP$2:AP$501,$BJ254)))</f>
        <v/>
      </c>
      <c r="AO254" s="6">
        <f>IF(OR($BJ254="",40&gt;設定!$B$3),"",IF(INDEX(原始資料!AQ$2:AQ$501,$BJ254)="","",INDEX(原始資料!AQ$2:AQ$501,$BJ254)))</f>
        <v/>
      </c>
      <c r="AP254" s="6">
        <f>IF(OR($BJ254="",41&gt;設定!$B$3),"",IF(INDEX(原始資料!AR$2:AR$501,$BJ254)="","",INDEX(原始資料!AR$2:AR$501,$BJ254)))</f>
        <v/>
      </c>
      <c r="AQ254" s="6">
        <f>IF(OR($BJ254="",42&gt;設定!$B$3),"",IF(INDEX(原始資料!AS$2:AS$501,$BJ254)="","",INDEX(原始資料!AS$2:AS$501,$BJ254)))</f>
        <v/>
      </c>
      <c r="AR254" s="6">
        <f>IF(OR($BJ254="",43&gt;設定!$B$3),"",IF(INDEX(原始資料!AT$2:AT$501,$BJ254)="","",INDEX(原始資料!AT$2:AT$501,$BJ254)))</f>
        <v/>
      </c>
      <c r="AS254" s="6">
        <f>IF(OR($BJ254="",44&gt;設定!$B$3),"",IF(INDEX(原始資料!AU$2:AU$501,$BJ254)="","",INDEX(原始資料!AU$2:AU$501,$BJ254)))</f>
        <v/>
      </c>
      <c r="AT254" s="6">
        <f>IF(OR($BJ254="",45&gt;設定!$B$3),"",IF(INDEX(原始資料!AV$2:AV$501,$BJ254)="","",INDEX(原始資料!AV$2:AV$501,$BJ254)))</f>
        <v/>
      </c>
      <c r="AU254" s="6">
        <f>IF(OR($BJ254="",46&gt;設定!$B$3),"",IF(INDEX(原始資料!AW$2:AW$501,$BJ254)="","",INDEX(原始資料!AW$2:AW$501,$BJ254)))</f>
        <v/>
      </c>
      <c r="AV254" s="6">
        <f>IF(OR($BJ254="",47&gt;設定!$B$3),"",IF(INDEX(原始資料!AX$2:AX$501,$BJ254)="","",INDEX(原始資料!AX$2:AX$501,$BJ254)))</f>
        <v/>
      </c>
      <c r="AW254" s="6">
        <f>IF(OR($BJ254="",48&gt;設定!$B$3),"",IF(INDEX(原始資料!AY$2:AY$501,$BJ254)="","",INDEX(原始資料!AY$2:AY$501,$BJ254)))</f>
        <v/>
      </c>
      <c r="AX254" s="6">
        <f>IF(OR($BJ254="",49&gt;設定!$B$3),"",IF(INDEX(原始資料!AZ$2:AZ$501,$BJ254)="","",INDEX(原始資料!AZ$2:AZ$501,$BJ254)))</f>
        <v/>
      </c>
      <c r="AY254" s="6">
        <f>IF(OR($BJ254="",50&gt;設定!$B$3),"",IF(INDEX(原始資料!BA$2:BA$501,$BJ254)="","",INDEX(原始資料!BA$2:BA$501,$BJ254)))</f>
        <v/>
      </c>
      <c r="AZ254" s="6">
        <f>IF(OR($BJ254="",51&gt;設定!$B$3),"",IF(INDEX(原始資料!BB$2:BB$501,$BJ254)="","",INDEX(原始資料!BB$2:BB$501,$BJ254)))</f>
        <v/>
      </c>
      <c r="BA254" s="6">
        <f>IF(OR($BJ254="",52&gt;設定!$B$3),"",IF(INDEX(原始資料!BC$2:BC$501,$BJ254)="","",INDEX(原始資料!BC$2:BC$501,$BJ254)))</f>
        <v/>
      </c>
      <c r="BB254" s="6">
        <f>IF(OR($BJ254="",53&gt;設定!$B$3),"",IF(INDEX(原始資料!BD$2:BD$501,$BJ254)="","",INDEX(原始資料!BD$2:BD$501,$BJ254)))</f>
        <v/>
      </c>
      <c r="BC254" s="6">
        <f>IF(OR($BJ254="",54&gt;設定!$B$3),"",IF(INDEX(原始資料!BE$2:BE$501,$BJ254)="","",INDEX(原始資料!BE$2:BE$501,$BJ254)))</f>
        <v/>
      </c>
      <c r="BD254" s="6">
        <f>IF(OR($BJ254="",55&gt;設定!$B$3),"",IF(INDEX(原始資料!BF$2:BF$501,$BJ254)="","",INDEX(原始資料!BF$2:BF$501,$BJ254)))</f>
        <v/>
      </c>
      <c r="BE254" s="6">
        <f>IF(OR($BJ254="",56&gt;設定!$B$3),"",IF(INDEX(原始資料!BG$2:BG$501,$BJ254)="","",INDEX(原始資料!BG$2:BG$501,$BJ254)))</f>
        <v/>
      </c>
      <c r="BF254" s="6">
        <f>IF(OR($BJ254="",57&gt;設定!$B$3),"",IF(INDEX(原始資料!BH$2:BH$501,$BJ254)="","",INDEX(原始資料!BH$2:BH$501,$BJ254)))</f>
        <v/>
      </c>
      <c r="BG254" s="6">
        <f>IF(OR($BJ254="",58&gt;設定!$B$3),"",IF(INDEX(原始資料!BI$2:BI$501,$BJ254)="","",INDEX(原始資料!BI$2:BI$501,$BJ254)))</f>
        <v/>
      </c>
      <c r="BH254" s="6">
        <f>IF(OR($BJ254="",59&gt;設定!$B$3),"",IF(INDEX(原始資料!BJ$2:BJ$501,$BJ254)="","",INDEX(原始資料!BJ$2:BJ$501,$BJ254)))</f>
        <v/>
      </c>
      <c r="BI254" s="6">
        <f>IF(OR($BJ254="",60&gt;設定!$B$3),"",IF(INDEX(原始資料!BK$2:BK$501,$BJ254)="","",INDEX(原始資料!BK$2:BK$501,$BJ254)))</f>
        <v/>
      </c>
      <c r="BJ254" s="6">
        <f>IFERROR(MATCH(ROW()-1,判定!$H$2:$H$501,0),"")</f>
        <v/>
      </c>
    </row>
    <row r="255">
      <c r="A255" s="6">
        <f>IF($BJ255="","",INDEX(原始資料!$A$2:$A$501,$BJ255))</f>
        <v/>
      </c>
      <c r="B255" s="6">
        <f>IF(OR($BJ255="",1&gt;設定!$B$3),"",IF(INDEX(原始資料!D$2:D$501,$BJ255)="","",INDEX(原始資料!D$2:D$501,$BJ255)))</f>
        <v/>
      </c>
      <c r="C255" s="6">
        <f>IF(OR($BJ255="",2&gt;設定!$B$3),"",IF(INDEX(原始資料!E$2:E$501,$BJ255)="","",INDEX(原始資料!E$2:E$501,$BJ255)))</f>
        <v/>
      </c>
      <c r="D255" s="6">
        <f>IF(OR($BJ255="",3&gt;設定!$B$3),"",IF(INDEX(原始資料!F$2:F$501,$BJ255)="","",INDEX(原始資料!F$2:F$501,$BJ255)))</f>
        <v/>
      </c>
      <c r="E255" s="6">
        <f>IF(OR($BJ255="",4&gt;設定!$B$3),"",IF(INDEX(原始資料!G$2:G$501,$BJ255)="","",INDEX(原始資料!G$2:G$501,$BJ255)))</f>
        <v/>
      </c>
      <c r="F255" s="6">
        <f>IF(OR($BJ255="",5&gt;設定!$B$3),"",IF(INDEX(原始資料!H$2:H$501,$BJ255)="","",INDEX(原始資料!H$2:H$501,$BJ255)))</f>
        <v/>
      </c>
      <c r="G255" s="6">
        <f>IF(OR($BJ255="",6&gt;設定!$B$3),"",IF(INDEX(原始資料!I$2:I$501,$BJ255)="","",INDEX(原始資料!I$2:I$501,$BJ255)))</f>
        <v/>
      </c>
      <c r="H255" s="6">
        <f>IF(OR($BJ255="",7&gt;設定!$B$3),"",IF(INDEX(原始資料!J$2:J$501,$BJ255)="","",INDEX(原始資料!J$2:J$501,$BJ255)))</f>
        <v/>
      </c>
      <c r="I255" s="6">
        <f>IF(OR($BJ255="",8&gt;設定!$B$3),"",IF(INDEX(原始資料!K$2:K$501,$BJ255)="","",INDEX(原始資料!K$2:K$501,$BJ255)))</f>
        <v/>
      </c>
      <c r="J255" s="6">
        <f>IF(OR($BJ255="",9&gt;設定!$B$3),"",IF(INDEX(原始資料!L$2:L$501,$BJ255)="","",INDEX(原始資料!L$2:L$501,$BJ255)))</f>
        <v/>
      </c>
      <c r="K255" s="6">
        <f>IF(OR($BJ255="",10&gt;設定!$B$3),"",IF(INDEX(原始資料!M$2:M$501,$BJ255)="","",INDEX(原始資料!M$2:M$501,$BJ255)))</f>
        <v/>
      </c>
      <c r="L255" s="6">
        <f>IF(OR($BJ255="",11&gt;設定!$B$3),"",IF(INDEX(原始資料!N$2:N$501,$BJ255)="","",INDEX(原始資料!N$2:N$501,$BJ255)))</f>
        <v/>
      </c>
      <c r="M255" s="6">
        <f>IF(OR($BJ255="",12&gt;設定!$B$3),"",IF(INDEX(原始資料!O$2:O$501,$BJ255)="","",INDEX(原始資料!O$2:O$501,$BJ255)))</f>
        <v/>
      </c>
      <c r="N255" s="6">
        <f>IF(OR($BJ255="",13&gt;設定!$B$3),"",IF(INDEX(原始資料!P$2:P$501,$BJ255)="","",INDEX(原始資料!P$2:P$501,$BJ255)))</f>
        <v/>
      </c>
      <c r="O255" s="6">
        <f>IF(OR($BJ255="",14&gt;設定!$B$3),"",IF(INDEX(原始資料!Q$2:Q$501,$BJ255)="","",INDEX(原始資料!Q$2:Q$501,$BJ255)))</f>
        <v/>
      </c>
      <c r="P255" s="6">
        <f>IF(OR($BJ255="",15&gt;設定!$B$3),"",IF(INDEX(原始資料!R$2:R$501,$BJ255)="","",INDEX(原始資料!R$2:R$501,$BJ255)))</f>
        <v/>
      </c>
      <c r="Q255" s="6">
        <f>IF(OR($BJ255="",16&gt;設定!$B$3),"",IF(INDEX(原始資料!S$2:S$501,$BJ255)="","",INDEX(原始資料!S$2:S$501,$BJ255)))</f>
        <v/>
      </c>
      <c r="R255" s="6">
        <f>IF(OR($BJ255="",17&gt;設定!$B$3),"",IF(INDEX(原始資料!T$2:T$501,$BJ255)="","",INDEX(原始資料!T$2:T$501,$BJ255)))</f>
        <v/>
      </c>
      <c r="S255" s="6">
        <f>IF(OR($BJ255="",18&gt;設定!$B$3),"",IF(INDEX(原始資料!U$2:U$501,$BJ255)="","",INDEX(原始資料!U$2:U$501,$BJ255)))</f>
        <v/>
      </c>
      <c r="T255" s="6">
        <f>IF(OR($BJ255="",19&gt;設定!$B$3),"",IF(INDEX(原始資料!V$2:V$501,$BJ255)="","",INDEX(原始資料!V$2:V$501,$BJ255)))</f>
        <v/>
      </c>
      <c r="U255" s="6">
        <f>IF(OR($BJ255="",20&gt;設定!$B$3),"",IF(INDEX(原始資料!W$2:W$501,$BJ255)="","",INDEX(原始資料!W$2:W$501,$BJ255)))</f>
        <v/>
      </c>
      <c r="V255" s="6">
        <f>IF(OR($BJ255="",21&gt;設定!$B$3),"",IF(INDEX(原始資料!X$2:X$501,$BJ255)="","",INDEX(原始資料!X$2:X$501,$BJ255)))</f>
        <v/>
      </c>
      <c r="W255" s="6">
        <f>IF(OR($BJ255="",22&gt;設定!$B$3),"",IF(INDEX(原始資料!Y$2:Y$501,$BJ255)="","",INDEX(原始資料!Y$2:Y$501,$BJ255)))</f>
        <v/>
      </c>
      <c r="X255" s="6">
        <f>IF(OR($BJ255="",23&gt;設定!$B$3),"",IF(INDEX(原始資料!Z$2:Z$501,$BJ255)="","",INDEX(原始資料!Z$2:Z$501,$BJ255)))</f>
        <v/>
      </c>
      <c r="Y255" s="6">
        <f>IF(OR($BJ255="",24&gt;設定!$B$3),"",IF(INDEX(原始資料!AA$2:AA$501,$BJ255)="","",INDEX(原始資料!AA$2:AA$501,$BJ255)))</f>
        <v/>
      </c>
      <c r="Z255" s="6">
        <f>IF(OR($BJ255="",25&gt;設定!$B$3),"",IF(INDEX(原始資料!AB$2:AB$501,$BJ255)="","",INDEX(原始資料!AB$2:AB$501,$BJ255)))</f>
        <v/>
      </c>
      <c r="AA255" s="6">
        <f>IF(OR($BJ255="",26&gt;設定!$B$3),"",IF(INDEX(原始資料!AC$2:AC$501,$BJ255)="","",INDEX(原始資料!AC$2:AC$501,$BJ255)))</f>
        <v/>
      </c>
      <c r="AB255" s="6">
        <f>IF(OR($BJ255="",27&gt;設定!$B$3),"",IF(INDEX(原始資料!AD$2:AD$501,$BJ255)="","",INDEX(原始資料!AD$2:AD$501,$BJ255)))</f>
        <v/>
      </c>
      <c r="AC255" s="6">
        <f>IF(OR($BJ255="",28&gt;設定!$B$3),"",IF(INDEX(原始資料!AE$2:AE$501,$BJ255)="","",INDEX(原始資料!AE$2:AE$501,$BJ255)))</f>
        <v/>
      </c>
      <c r="AD255" s="6">
        <f>IF(OR($BJ255="",29&gt;設定!$B$3),"",IF(INDEX(原始資料!AF$2:AF$501,$BJ255)="","",INDEX(原始資料!AF$2:AF$501,$BJ255)))</f>
        <v/>
      </c>
      <c r="AE255" s="6">
        <f>IF(OR($BJ255="",30&gt;設定!$B$3),"",IF(INDEX(原始資料!AG$2:AG$501,$BJ255)="","",INDEX(原始資料!AG$2:AG$501,$BJ255)))</f>
        <v/>
      </c>
      <c r="AF255" s="6">
        <f>IF(OR($BJ255="",31&gt;設定!$B$3),"",IF(INDEX(原始資料!AH$2:AH$501,$BJ255)="","",INDEX(原始資料!AH$2:AH$501,$BJ255)))</f>
        <v/>
      </c>
      <c r="AG255" s="6">
        <f>IF(OR($BJ255="",32&gt;設定!$B$3),"",IF(INDEX(原始資料!AI$2:AI$501,$BJ255)="","",INDEX(原始資料!AI$2:AI$501,$BJ255)))</f>
        <v/>
      </c>
      <c r="AH255" s="6">
        <f>IF(OR($BJ255="",33&gt;設定!$B$3),"",IF(INDEX(原始資料!AJ$2:AJ$501,$BJ255)="","",INDEX(原始資料!AJ$2:AJ$501,$BJ255)))</f>
        <v/>
      </c>
      <c r="AI255" s="6">
        <f>IF(OR($BJ255="",34&gt;設定!$B$3),"",IF(INDEX(原始資料!AK$2:AK$501,$BJ255)="","",INDEX(原始資料!AK$2:AK$501,$BJ255)))</f>
        <v/>
      </c>
      <c r="AJ255" s="6">
        <f>IF(OR($BJ255="",35&gt;設定!$B$3),"",IF(INDEX(原始資料!AL$2:AL$501,$BJ255)="","",INDEX(原始資料!AL$2:AL$501,$BJ255)))</f>
        <v/>
      </c>
      <c r="AK255" s="6">
        <f>IF(OR($BJ255="",36&gt;設定!$B$3),"",IF(INDEX(原始資料!AM$2:AM$501,$BJ255)="","",INDEX(原始資料!AM$2:AM$501,$BJ255)))</f>
        <v/>
      </c>
      <c r="AL255" s="6">
        <f>IF(OR($BJ255="",37&gt;設定!$B$3),"",IF(INDEX(原始資料!AN$2:AN$501,$BJ255)="","",INDEX(原始資料!AN$2:AN$501,$BJ255)))</f>
        <v/>
      </c>
      <c r="AM255" s="6">
        <f>IF(OR($BJ255="",38&gt;設定!$B$3),"",IF(INDEX(原始資料!AO$2:AO$501,$BJ255)="","",INDEX(原始資料!AO$2:AO$501,$BJ255)))</f>
        <v/>
      </c>
      <c r="AN255" s="6">
        <f>IF(OR($BJ255="",39&gt;設定!$B$3),"",IF(INDEX(原始資料!AP$2:AP$501,$BJ255)="","",INDEX(原始資料!AP$2:AP$501,$BJ255)))</f>
        <v/>
      </c>
      <c r="AO255" s="6">
        <f>IF(OR($BJ255="",40&gt;設定!$B$3),"",IF(INDEX(原始資料!AQ$2:AQ$501,$BJ255)="","",INDEX(原始資料!AQ$2:AQ$501,$BJ255)))</f>
        <v/>
      </c>
      <c r="AP255" s="6">
        <f>IF(OR($BJ255="",41&gt;設定!$B$3),"",IF(INDEX(原始資料!AR$2:AR$501,$BJ255)="","",INDEX(原始資料!AR$2:AR$501,$BJ255)))</f>
        <v/>
      </c>
      <c r="AQ255" s="6">
        <f>IF(OR($BJ255="",42&gt;設定!$B$3),"",IF(INDEX(原始資料!AS$2:AS$501,$BJ255)="","",INDEX(原始資料!AS$2:AS$501,$BJ255)))</f>
        <v/>
      </c>
      <c r="AR255" s="6">
        <f>IF(OR($BJ255="",43&gt;設定!$B$3),"",IF(INDEX(原始資料!AT$2:AT$501,$BJ255)="","",INDEX(原始資料!AT$2:AT$501,$BJ255)))</f>
        <v/>
      </c>
      <c r="AS255" s="6">
        <f>IF(OR($BJ255="",44&gt;設定!$B$3),"",IF(INDEX(原始資料!AU$2:AU$501,$BJ255)="","",INDEX(原始資料!AU$2:AU$501,$BJ255)))</f>
        <v/>
      </c>
      <c r="AT255" s="6">
        <f>IF(OR($BJ255="",45&gt;設定!$B$3),"",IF(INDEX(原始資料!AV$2:AV$501,$BJ255)="","",INDEX(原始資料!AV$2:AV$501,$BJ255)))</f>
        <v/>
      </c>
      <c r="AU255" s="6">
        <f>IF(OR($BJ255="",46&gt;設定!$B$3),"",IF(INDEX(原始資料!AW$2:AW$501,$BJ255)="","",INDEX(原始資料!AW$2:AW$501,$BJ255)))</f>
        <v/>
      </c>
      <c r="AV255" s="6">
        <f>IF(OR($BJ255="",47&gt;設定!$B$3),"",IF(INDEX(原始資料!AX$2:AX$501,$BJ255)="","",INDEX(原始資料!AX$2:AX$501,$BJ255)))</f>
        <v/>
      </c>
      <c r="AW255" s="6">
        <f>IF(OR($BJ255="",48&gt;設定!$B$3),"",IF(INDEX(原始資料!AY$2:AY$501,$BJ255)="","",INDEX(原始資料!AY$2:AY$501,$BJ255)))</f>
        <v/>
      </c>
      <c r="AX255" s="6">
        <f>IF(OR($BJ255="",49&gt;設定!$B$3),"",IF(INDEX(原始資料!AZ$2:AZ$501,$BJ255)="","",INDEX(原始資料!AZ$2:AZ$501,$BJ255)))</f>
        <v/>
      </c>
      <c r="AY255" s="6">
        <f>IF(OR($BJ255="",50&gt;設定!$B$3),"",IF(INDEX(原始資料!BA$2:BA$501,$BJ255)="","",INDEX(原始資料!BA$2:BA$501,$BJ255)))</f>
        <v/>
      </c>
      <c r="AZ255" s="6">
        <f>IF(OR($BJ255="",51&gt;設定!$B$3),"",IF(INDEX(原始資料!BB$2:BB$501,$BJ255)="","",INDEX(原始資料!BB$2:BB$501,$BJ255)))</f>
        <v/>
      </c>
      <c r="BA255" s="6">
        <f>IF(OR($BJ255="",52&gt;設定!$B$3),"",IF(INDEX(原始資料!BC$2:BC$501,$BJ255)="","",INDEX(原始資料!BC$2:BC$501,$BJ255)))</f>
        <v/>
      </c>
      <c r="BB255" s="6">
        <f>IF(OR($BJ255="",53&gt;設定!$B$3),"",IF(INDEX(原始資料!BD$2:BD$501,$BJ255)="","",INDEX(原始資料!BD$2:BD$501,$BJ255)))</f>
        <v/>
      </c>
      <c r="BC255" s="6">
        <f>IF(OR($BJ255="",54&gt;設定!$B$3),"",IF(INDEX(原始資料!BE$2:BE$501,$BJ255)="","",INDEX(原始資料!BE$2:BE$501,$BJ255)))</f>
        <v/>
      </c>
      <c r="BD255" s="6">
        <f>IF(OR($BJ255="",55&gt;設定!$B$3),"",IF(INDEX(原始資料!BF$2:BF$501,$BJ255)="","",INDEX(原始資料!BF$2:BF$501,$BJ255)))</f>
        <v/>
      </c>
      <c r="BE255" s="6">
        <f>IF(OR($BJ255="",56&gt;設定!$B$3),"",IF(INDEX(原始資料!BG$2:BG$501,$BJ255)="","",INDEX(原始資料!BG$2:BG$501,$BJ255)))</f>
        <v/>
      </c>
      <c r="BF255" s="6">
        <f>IF(OR($BJ255="",57&gt;設定!$B$3),"",IF(INDEX(原始資料!BH$2:BH$501,$BJ255)="","",INDEX(原始資料!BH$2:BH$501,$BJ255)))</f>
        <v/>
      </c>
      <c r="BG255" s="6">
        <f>IF(OR($BJ255="",58&gt;設定!$B$3),"",IF(INDEX(原始資料!BI$2:BI$501,$BJ255)="","",INDEX(原始資料!BI$2:BI$501,$BJ255)))</f>
        <v/>
      </c>
      <c r="BH255" s="6">
        <f>IF(OR($BJ255="",59&gt;設定!$B$3),"",IF(INDEX(原始資料!BJ$2:BJ$501,$BJ255)="","",INDEX(原始資料!BJ$2:BJ$501,$BJ255)))</f>
        <v/>
      </c>
      <c r="BI255" s="6">
        <f>IF(OR($BJ255="",60&gt;設定!$B$3),"",IF(INDEX(原始資料!BK$2:BK$501,$BJ255)="","",INDEX(原始資料!BK$2:BK$501,$BJ255)))</f>
        <v/>
      </c>
      <c r="BJ255" s="6">
        <f>IFERROR(MATCH(ROW()-1,判定!$H$2:$H$501,0),"")</f>
        <v/>
      </c>
    </row>
    <row r="256">
      <c r="A256" s="6">
        <f>IF($BJ256="","",INDEX(原始資料!$A$2:$A$501,$BJ256))</f>
        <v/>
      </c>
      <c r="B256" s="6">
        <f>IF(OR($BJ256="",1&gt;設定!$B$3),"",IF(INDEX(原始資料!D$2:D$501,$BJ256)="","",INDEX(原始資料!D$2:D$501,$BJ256)))</f>
        <v/>
      </c>
      <c r="C256" s="6">
        <f>IF(OR($BJ256="",2&gt;設定!$B$3),"",IF(INDEX(原始資料!E$2:E$501,$BJ256)="","",INDEX(原始資料!E$2:E$501,$BJ256)))</f>
        <v/>
      </c>
      <c r="D256" s="6">
        <f>IF(OR($BJ256="",3&gt;設定!$B$3),"",IF(INDEX(原始資料!F$2:F$501,$BJ256)="","",INDEX(原始資料!F$2:F$501,$BJ256)))</f>
        <v/>
      </c>
      <c r="E256" s="6">
        <f>IF(OR($BJ256="",4&gt;設定!$B$3),"",IF(INDEX(原始資料!G$2:G$501,$BJ256)="","",INDEX(原始資料!G$2:G$501,$BJ256)))</f>
        <v/>
      </c>
      <c r="F256" s="6">
        <f>IF(OR($BJ256="",5&gt;設定!$B$3),"",IF(INDEX(原始資料!H$2:H$501,$BJ256)="","",INDEX(原始資料!H$2:H$501,$BJ256)))</f>
        <v/>
      </c>
      <c r="G256" s="6">
        <f>IF(OR($BJ256="",6&gt;設定!$B$3),"",IF(INDEX(原始資料!I$2:I$501,$BJ256)="","",INDEX(原始資料!I$2:I$501,$BJ256)))</f>
        <v/>
      </c>
      <c r="H256" s="6">
        <f>IF(OR($BJ256="",7&gt;設定!$B$3),"",IF(INDEX(原始資料!J$2:J$501,$BJ256)="","",INDEX(原始資料!J$2:J$501,$BJ256)))</f>
        <v/>
      </c>
      <c r="I256" s="6">
        <f>IF(OR($BJ256="",8&gt;設定!$B$3),"",IF(INDEX(原始資料!K$2:K$501,$BJ256)="","",INDEX(原始資料!K$2:K$501,$BJ256)))</f>
        <v/>
      </c>
      <c r="J256" s="6">
        <f>IF(OR($BJ256="",9&gt;設定!$B$3),"",IF(INDEX(原始資料!L$2:L$501,$BJ256)="","",INDEX(原始資料!L$2:L$501,$BJ256)))</f>
        <v/>
      </c>
      <c r="K256" s="6">
        <f>IF(OR($BJ256="",10&gt;設定!$B$3),"",IF(INDEX(原始資料!M$2:M$501,$BJ256)="","",INDEX(原始資料!M$2:M$501,$BJ256)))</f>
        <v/>
      </c>
      <c r="L256" s="6">
        <f>IF(OR($BJ256="",11&gt;設定!$B$3),"",IF(INDEX(原始資料!N$2:N$501,$BJ256)="","",INDEX(原始資料!N$2:N$501,$BJ256)))</f>
        <v/>
      </c>
      <c r="M256" s="6">
        <f>IF(OR($BJ256="",12&gt;設定!$B$3),"",IF(INDEX(原始資料!O$2:O$501,$BJ256)="","",INDEX(原始資料!O$2:O$501,$BJ256)))</f>
        <v/>
      </c>
      <c r="N256" s="6">
        <f>IF(OR($BJ256="",13&gt;設定!$B$3),"",IF(INDEX(原始資料!P$2:P$501,$BJ256)="","",INDEX(原始資料!P$2:P$501,$BJ256)))</f>
        <v/>
      </c>
      <c r="O256" s="6">
        <f>IF(OR($BJ256="",14&gt;設定!$B$3),"",IF(INDEX(原始資料!Q$2:Q$501,$BJ256)="","",INDEX(原始資料!Q$2:Q$501,$BJ256)))</f>
        <v/>
      </c>
      <c r="P256" s="6">
        <f>IF(OR($BJ256="",15&gt;設定!$B$3),"",IF(INDEX(原始資料!R$2:R$501,$BJ256)="","",INDEX(原始資料!R$2:R$501,$BJ256)))</f>
        <v/>
      </c>
      <c r="Q256" s="6">
        <f>IF(OR($BJ256="",16&gt;設定!$B$3),"",IF(INDEX(原始資料!S$2:S$501,$BJ256)="","",INDEX(原始資料!S$2:S$501,$BJ256)))</f>
        <v/>
      </c>
      <c r="R256" s="6">
        <f>IF(OR($BJ256="",17&gt;設定!$B$3),"",IF(INDEX(原始資料!T$2:T$501,$BJ256)="","",INDEX(原始資料!T$2:T$501,$BJ256)))</f>
        <v/>
      </c>
      <c r="S256" s="6">
        <f>IF(OR($BJ256="",18&gt;設定!$B$3),"",IF(INDEX(原始資料!U$2:U$501,$BJ256)="","",INDEX(原始資料!U$2:U$501,$BJ256)))</f>
        <v/>
      </c>
      <c r="T256" s="6">
        <f>IF(OR($BJ256="",19&gt;設定!$B$3),"",IF(INDEX(原始資料!V$2:V$501,$BJ256)="","",INDEX(原始資料!V$2:V$501,$BJ256)))</f>
        <v/>
      </c>
      <c r="U256" s="6">
        <f>IF(OR($BJ256="",20&gt;設定!$B$3),"",IF(INDEX(原始資料!W$2:W$501,$BJ256)="","",INDEX(原始資料!W$2:W$501,$BJ256)))</f>
        <v/>
      </c>
      <c r="V256" s="6">
        <f>IF(OR($BJ256="",21&gt;設定!$B$3),"",IF(INDEX(原始資料!X$2:X$501,$BJ256)="","",INDEX(原始資料!X$2:X$501,$BJ256)))</f>
        <v/>
      </c>
      <c r="W256" s="6">
        <f>IF(OR($BJ256="",22&gt;設定!$B$3),"",IF(INDEX(原始資料!Y$2:Y$501,$BJ256)="","",INDEX(原始資料!Y$2:Y$501,$BJ256)))</f>
        <v/>
      </c>
      <c r="X256" s="6">
        <f>IF(OR($BJ256="",23&gt;設定!$B$3),"",IF(INDEX(原始資料!Z$2:Z$501,$BJ256)="","",INDEX(原始資料!Z$2:Z$501,$BJ256)))</f>
        <v/>
      </c>
      <c r="Y256" s="6">
        <f>IF(OR($BJ256="",24&gt;設定!$B$3),"",IF(INDEX(原始資料!AA$2:AA$501,$BJ256)="","",INDEX(原始資料!AA$2:AA$501,$BJ256)))</f>
        <v/>
      </c>
      <c r="Z256" s="6">
        <f>IF(OR($BJ256="",25&gt;設定!$B$3),"",IF(INDEX(原始資料!AB$2:AB$501,$BJ256)="","",INDEX(原始資料!AB$2:AB$501,$BJ256)))</f>
        <v/>
      </c>
      <c r="AA256" s="6">
        <f>IF(OR($BJ256="",26&gt;設定!$B$3),"",IF(INDEX(原始資料!AC$2:AC$501,$BJ256)="","",INDEX(原始資料!AC$2:AC$501,$BJ256)))</f>
        <v/>
      </c>
      <c r="AB256" s="6">
        <f>IF(OR($BJ256="",27&gt;設定!$B$3),"",IF(INDEX(原始資料!AD$2:AD$501,$BJ256)="","",INDEX(原始資料!AD$2:AD$501,$BJ256)))</f>
        <v/>
      </c>
      <c r="AC256" s="6">
        <f>IF(OR($BJ256="",28&gt;設定!$B$3),"",IF(INDEX(原始資料!AE$2:AE$501,$BJ256)="","",INDEX(原始資料!AE$2:AE$501,$BJ256)))</f>
        <v/>
      </c>
      <c r="AD256" s="6">
        <f>IF(OR($BJ256="",29&gt;設定!$B$3),"",IF(INDEX(原始資料!AF$2:AF$501,$BJ256)="","",INDEX(原始資料!AF$2:AF$501,$BJ256)))</f>
        <v/>
      </c>
      <c r="AE256" s="6">
        <f>IF(OR($BJ256="",30&gt;設定!$B$3),"",IF(INDEX(原始資料!AG$2:AG$501,$BJ256)="","",INDEX(原始資料!AG$2:AG$501,$BJ256)))</f>
        <v/>
      </c>
      <c r="AF256" s="6">
        <f>IF(OR($BJ256="",31&gt;設定!$B$3),"",IF(INDEX(原始資料!AH$2:AH$501,$BJ256)="","",INDEX(原始資料!AH$2:AH$501,$BJ256)))</f>
        <v/>
      </c>
      <c r="AG256" s="6">
        <f>IF(OR($BJ256="",32&gt;設定!$B$3),"",IF(INDEX(原始資料!AI$2:AI$501,$BJ256)="","",INDEX(原始資料!AI$2:AI$501,$BJ256)))</f>
        <v/>
      </c>
      <c r="AH256" s="6">
        <f>IF(OR($BJ256="",33&gt;設定!$B$3),"",IF(INDEX(原始資料!AJ$2:AJ$501,$BJ256)="","",INDEX(原始資料!AJ$2:AJ$501,$BJ256)))</f>
        <v/>
      </c>
      <c r="AI256" s="6">
        <f>IF(OR($BJ256="",34&gt;設定!$B$3),"",IF(INDEX(原始資料!AK$2:AK$501,$BJ256)="","",INDEX(原始資料!AK$2:AK$501,$BJ256)))</f>
        <v/>
      </c>
      <c r="AJ256" s="6">
        <f>IF(OR($BJ256="",35&gt;設定!$B$3),"",IF(INDEX(原始資料!AL$2:AL$501,$BJ256)="","",INDEX(原始資料!AL$2:AL$501,$BJ256)))</f>
        <v/>
      </c>
      <c r="AK256" s="6">
        <f>IF(OR($BJ256="",36&gt;設定!$B$3),"",IF(INDEX(原始資料!AM$2:AM$501,$BJ256)="","",INDEX(原始資料!AM$2:AM$501,$BJ256)))</f>
        <v/>
      </c>
      <c r="AL256" s="6">
        <f>IF(OR($BJ256="",37&gt;設定!$B$3),"",IF(INDEX(原始資料!AN$2:AN$501,$BJ256)="","",INDEX(原始資料!AN$2:AN$501,$BJ256)))</f>
        <v/>
      </c>
      <c r="AM256" s="6">
        <f>IF(OR($BJ256="",38&gt;設定!$B$3),"",IF(INDEX(原始資料!AO$2:AO$501,$BJ256)="","",INDEX(原始資料!AO$2:AO$501,$BJ256)))</f>
        <v/>
      </c>
      <c r="AN256" s="6">
        <f>IF(OR($BJ256="",39&gt;設定!$B$3),"",IF(INDEX(原始資料!AP$2:AP$501,$BJ256)="","",INDEX(原始資料!AP$2:AP$501,$BJ256)))</f>
        <v/>
      </c>
      <c r="AO256" s="6">
        <f>IF(OR($BJ256="",40&gt;設定!$B$3),"",IF(INDEX(原始資料!AQ$2:AQ$501,$BJ256)="","",INDEX(原始資料!AQ$2:AQ$501,$BJ256)))</f>
        <v/>
      </c>
      <c r="AP256" s="6">
        <f>IF(OR($BJ256="",41&gt;設定!$B$3),"",IF(INDEX(原始資料!AR$2:AR$501,$BJ256)="","",INDEX(原始資料!AR$2:AR$501,$BJ256)))</f>
        <v/>
      </c>
      <c r="AQ256" s="6">
        <f>IF(OR($BJ256="",42&gt;設定!$B$3),"",IF(INDEX(原始資料!AS$2:AS$501,$BJ256)="","",INDEX(原始資料!AS$2:AS$501,$BJ256)))</f>
        <v/>
      </c>
      <c r="AR256" s="6">
        <f>IF(OR($BJ256="",43&gt;設定!$B$3),"",IF(INDEX(原始資料!AT$2:AT$501,$BJ256)="","",INDEX(原始資料!AT$2:AT$501,$BJ256)))</f>
        <v/>
      </c>
      <c r="AS256" s="6">
        <f>IF(OR($BJ256="",44&gt;設定!$B$3),"",IF(INDEX(原始資料!AU$2:AU$501,$BJ256)="","",INDEX(原始資料!AU$2:AU$501,$BJ256)))</f>
        <v/>
      </c>
      <c r="AT256" s="6">
        <f>IF(OR($BJ256="",45&gt;設定!$B$3),"",IF(INDEX(原始資料!AV$2:AV$501,$BJ256)="","",INDEX(原始資料!AV$2:AV$501,$BJ256)))</f>
        <v/>
      </c>
      <c r="AU256" s="6">
        <f>IF(OR($BJ256="",46&gt;設定!$B$3),"",IF(INDEX(原始資料!AW$2:AW$501,$BJ256)="","",INDEX(原始資料!AW$2:AW$501,$BJ256)))</f>
        <v/>
      </c>
      <c r="AV256" s="6">
        <f>IF(OR($BJ256="",47&gt;設定!$B$3),"",IF(INDEX(原始資料!AX$2:AX$501,$BJ256)="","",INDEX(原始資料!AX$2:AX$501,$BJ256)))</f>
        <v/>
      </c>
      <c r="AW256" s="6">
        <f>IF(OR($BJ256="",48&gt;設定!$B$3),"",IF(INDEX(原始資料!AY$2:AY$501,$BJ256)="","",INDEX(原始資料!AY$2:AY$501,$BJ256)))</f>
        <v/>
      </c>
      <c r="AX256" s="6">
        <f>IF(OR($BJ256="",49&gt;設定!$B$3),"",IF(INDEX(原始資料!AZ$2:AZ$501,$BJ256)="","",INDEX(原始資料!AZ$2:AZ$501,$BJ256)))</f>
        <v/>
      </c>
      <c r="AY256" s="6">
        <f>IF(OR($BJ256="",50&gt;設定!$B$3),"",IF(INDEX(原始資料!BA$2:BA$501,$BJ256)="","",INDEX(原始資料!BA$2:BA$501,$BJ256)))</f>
        <v/>
      </c>
      <c r="AZ256" s="6">
        <f>IF(OR($BJ256="",51&gt;設定!$B$3),"",IF(INDEX(原始資料!BB$2:BB$501,$BJ256)="","",INDEX(原始資料!BB$2:BB$501,$BJ256)))</f>
        <v/>
      </c>
      <c r="BA256" s="6">
        <f>IF(OR($BJ256="",52&gt;設定!$B$3),"",IF(INDEX(原始資料!BC$2:BC$501,$BJ256)="","",INDEX(原始資料!BC$2:BC$501,$BJ256)))</f>
        <v/>
      </c>
      <c r="BB256" s="6">
        <f>IF(OR($BJ256="",53&gt;設定!$B$3),"",IF(INDEX(原始資料!BD$2:BD$501,$BJ256)="","",INDEX(原始資料!BD$2:BD$501,$BJ256)))</f>
        <v/>
      </c>
      <c r="BC256" s="6">
        <f>IF(OR($BJ256="",54&gt;設定!$B$3),"",IF(INDEX(原始資料!BE$2:BE$501,$BJ256)="","",INDEX(原始資料!BE$2:BE$501,$BJ256)))</f>
        <v/>
      </c>
      <c r="BD256" s="6">
        <f>IF(OR($BJ256="",55&gt;設定!$B$3),"",IF(INDEX(原始資料!BF$2:BF$501,$BJ256)="","",INDEX(原始資料!BF$2:BF$501,$BJ256)))</f>
        <v/>
      </c>
      <c r="BE256" s="6">
        <f>IF(OR($BJ256="",56&gt;設定!$B$3),"",IF(INDEX(原始資料!BG$2:BG$501,$BJ256)="","",INDEX(原始資料!BG$2:BG$501,$BJ256)))</f>
        <v/>
      </c>
      <c r="BF256" s="6">
        <f>IF(OR($BJ256="",57&gt;設定!$B$3),"",IF(INDEX(原始資料!BH$2:BH$501,$BJ256)="","",INDEX(原始資料!BH$2:BH$501,$BJ256)))</f>
        <v/>
      </c>
      <c r="BG256" s="6">
        <f>IF(OR($BJ256="",58&gt;設定!$B$3),"",IF(INDEX(原始資料!BI$2:BI$501,$BJ256)="","",INDEX(原始資料!BI$2:BI$501,$BJ256)))</f>
        <v/>
      </c>
      <c r="BH256" s="6">
        <f>IF(OR($BJ256="",59&gt;設定!$B$3),"",IF(INDEX(原始資料!BJ$2:BJ$501,$BJ256)="","",INDEX(原始資料!BJ$2:BJ$501,$BJ256)))</f>
        <v/>
      </c>
      <c r="BI256" s="6">
        <f>IF(OR($BJ256="",60&gt;設定!$B$3),"",IF(INDEX(原始資料!BK$2:BK$501,$BJ256)="","",INDEX(原始資料!BK$2:BK$501,$BJ256)))</f>
        <v/>
      </c>
      <c r="BJ256" s="6">
        <f>IFERROR(MATCH(ROW()-1,判定!$H$2:$H$501,0),"")</f>
        <v/>
      </c>
    </row>
    <row r="257">
      <c r="A257" s="6">
        <f>IF($BJ257="","",INDEX(原始資料!$A$2:$A$501,$BJ257))</f>
        <v/>
      </c>
      <c r="B257" s="6">
        <f>IF(OR($BJ257="",1&gt;設定!$B$3),"",IF(INDEX(原始資料!D$2:D$501,$BJ257)="","",INDEX(原始資料!D$2:D$501,$BJ257)))</f>
        <v/>
      </c>
      <c r="C257" s="6">
        <f>IF(OR($BJ257="",2&gt;設定!$B$3),"",IF(INDEX(原始資料!E$2:E$501,$BJ257)="","",INDEX(原始資料!E$2:E$501,$BJ257)))</f>
        <v/>
      </c>
      <c r="D257" s="6">
        <f>IF(OR($BJ257="",3&gt;設定!$B$3),"",IF(INDEX(原始資料!F$2:F$501,$BJ257)="","",INDEX(原始資料!F$2:F$501,$BJ257)))</f>
        <v/>
      </c>
      <c r="E257" s="6">
        <f>IF(OR($BJ257="",4&gt;設定!$B$3),"",IF(INDEX(原始資料!G$2:G$501,$BJ257)="","",INDEX(原始資料!G$2:G$501,$BJ257)))</f>
        <v/>
      </c>
      <c r="F257" s="6">
        <f>IF(OR($BJ257="",5&gt;設定!$B$3),"",IF(INDEX(原始資料!H$2:H$501,$BJ257)="","",INDEX(原始資料!H$2:H$501,$BJ257)))</f>
        <v/>
      </c>
      <c r="G257" s="6">
        <f>IF(OR($BJ257="",6&gt;設定!$B$3),"",IF(INDEX(原始資料!I$2:I$501,$BJ257)="","",INDEX(原始資料!I$2:I$501,$BJ257)))</f>
        <v/>
      </c>
      <c r="H257" s="6">
        <f>IF(OR($BJ257="",7&gt;設定!$B$3),"",IF(INDEX(原始資料!J$2:J$501,$BJ257)="","",INDEX(原始資料!J$2:J$501,$BJ257)))</f>
        <v/>
      </c>
      <c r="I257" s="6">
        <f>IF(OR($BJ257="",8&gt;設定!$B$3),"",IF(INDEX(原始資料!K$2:K$501,$BJ257)="","",INDEX(原始資料!K$2:K$501,$BJ257)))</f>
        <v/>
      </c>
      <c r="J257" s="6">
        <f>IF(OR($BJ257="",9&gt;設定!$B$3),"",IF(INDEX(原始資料!L$2:L$501,$BJ257)="","",INDEX(原始資料!L$2:L$501,$BJ257)))</f>
        <v/>
      </c>
      <c r="K257" s="6">
        <f>IF(OR($BJ257="",10&gt;設定!$B$3),"",IF(INDEX(原始資料!M$2:M$501,$BJ257)="","",INDEX(原始資料!M$2:M$501,$BJ257)))</f>
        <v/>
      </c>
      <c r="L257" s="6">
        <f>IF(OR($BJ257="",11&gt;設定!$B$3),"",IF(INDEX(原始資料!N$2:N$501,$BJ257)="","",INDEX(原始資料!N$2:N$501,$BJ257)))</f>
        <v/>
      </c>
      <c r="M257" s="6">
        <f>IF(OR($BJ257="",12&gt;設定!$B$3),"",IF(INDEX(原始資料!O$2:O$501,$BJ257)="","",INDEX(原始資料!O$2:O$501,$BJ257)))</f>
        <v/>
      </c>
      <c r="N257" s="6">
        <f>IF(OR($BJ257="",13&gt;設定!$B$3),"",IF(INDEX(原始資料!P$2:P$501,$BJ257)="","",INDEX(原始資料!P$2:P$501,$BJ257)))</f>
        <v/>
      </c>
      <c r="O257" s="6">
        <f>IF(OR($BJ257="",14&gt;設定!$B$3),"",IF(INDEX(原始資料!Q$2:Q$501,$BJ257)="","",INDEX(原始資料!Q$2:Q$501,$BJ257)))</f>
        <v/>
      </c>
      <c r="P257" s="6">
        <f>IF(OR($BJ257="",15&gt;設定!$B$3),"",IF(INDEX(原始資料!R$2:R$501,$BJ257)="","",INDEX(原始資料!R$2:R$501,$BJ257)))</f>
        <v/>
      </c>
      <c r="Q257" s="6">
        <f>IF(OR($BJ257="",16&gt;設定!$B$3),"",IF(INDEX(原始資料!S$2:S$501,$BJ257)="","",INDEX(原始資料!S$2:S$501,$BJ257)))</f>
        <v/>
      </c>
      <c r="R257" s="6">
        <f>IF(OR($BJ257="",17&gt;設定!$B$3),"",IF(INDEX(原始資料!T$2:T$501,$BJ257)="","",INDEX(原始資料!T$2:T$501,$BJ257)))</f>
        <v/>
      </c>
      <c r="S257" s="6">
        <f>IF(OR($BJ257="",18&gt;設定!$B$3),"",IF(INDEX(原始資料!U$2:U$501,$BJ257)="","",INDEX(原始資料!U$2:U$501,$BJ257)))</f>
        <v/>
      </c>
      <c r="T257" s="6">
        <f>IF(OR($BJ257="",19&gt;設定!$B$3),"",IF(INDEX(原始資料!V$2:V$501,$BJ257)="","",INDEX(原始資料!V$2:V$501,$BJ257)))</f>
        <v/>
      </c>
      <c r="U257" s="6">
        <f>IF(OR($BJ257="",20&gt;設定!$B$3),"",IF(INDEX(原始資料!W$2:W$501,$BJ257)="","",INDEX(原始資料!W$2:W$501,$BJ257)))</f>
        <v/>
      </c>
      <c r="V257" s="6">
        <f>IF(OR($BJ257="",21&gt;設定!$B$3),"",IF(INDEX(原始資料!X$2:X$501,$BJ257)="","",INDEX(原始資料!X$2:X$501,$BJ257)))</f>
        <v/>
      </c>
      <c r="W257" s="6">
        <f>IF(OR($BJ257="",22&gt;設定!$B$3),"",IF(INDEX(原始資料!Y$2:Y$501,$BJ257)="","",INDEX(原始資料!Y$2:Y$501,$BJ257)))</f>
        <v/>
      </c>
      <c r="X257" s="6">
        <f>IF(OR($BJ257="",23&gt;設定!$B$3),"",IF(INDEX(原始資料!Z$2:Z$501,$BJ257)="","",INDEX(原始資料!Z$2:Z$501,$BJ257)))</f>
        <v/>
      </c>
      <c r="Y257" s="6">
        <f>IF(OR($BJ257="",24&gt;設定!$B$3),"",IF(INDEX(原始資料!AA$2:AA$501,$BJ257)="","",INDEX(原始資料!AA$2:AA$501,$BJ257)))</f>
        <v/>
      </c>
      <c r="Z257" s="6">
        <f>IF(OR($BJ257="",25&gt;設定!$B$3),"",IF(INDEX(原始資料!AB$2:AB$501,$BJ257)="","",INDEX(原始資料!AB$2:AB$501,$BJ257)))</f>
        <v/>
      </c>
      <c r="AA257" s="6">
        <f>IF(OR($BJ257="",26&gt;設定!$B$3),"",IF(INDEX(原始資料!AC$2:AC$501,$BJ257)="","",INDEX(原始資料!AC$2:AC$501,$BJ257)))</f>
        <v/>
      </c>
      <c r="AB257" s="6">
        <f>IF(OR($BJ257="",27&gt;設定!$B$3),"",IF(INDEX(原始資料!AD$2:AD$501,$BJ257)="","",INDEX(原始資料!AD$2:AD$501,$BJ257)))</f>
        <v/>
      </c>
      <c r="AC257" s="6">
        <f>IF(OR($BJ257="",28&gt;設定!$B$3),"",IF(INDEX(原始資料!AE$2:AE$501,$BJ257)="","",INDEX(原始資料!AE$2:AE$501,$BJ257)))</f>
        <v/>
      </c>
      <c r="AD257" s="6">
        <f>IF(OR($BJ257="",29&gt;設定!$B$3),"",IF(INDEX(原始資料!AF$2:AF$501,$BJ257)="","",INDEX(原始資料!AF$2:AF$501,$BJ257)))</f>
        <v/>
      </c>
      <c r="AE257" s="6">
        <f>IF(OR($BJ257="",30&gt;設定!$B$3),"",IF(INDEX(原始資料!AG$2:AG$501,$BJ257)="","",INDEX(原始資料!AG$2:AG$501,$BJ257)))</f>
        <v/>
      </c>
      <c r="AF257" s="6">
        <f>IF(OR($BJ257="",31&gt;設定!$B$3),"",IF(INDEX(原始資料!AH$2:AH$501,$BJ257)="","",INDEX(原始資料!AH$2:AH$501,$BJ257)))</f>
        <v/>
      </c>
      <c r="AG257" s="6">
        <f>IF(OR($BJ257="",32&gt;設定!$B$3),"",IF(INDEX(原始資料!AI$2:AI$501,$BJ257)="","",INDEX(原始資料!AI$2:AI$501,$BJ257)))</f>
        <v/>
      </c>
      <c r="AH257" s="6">
        <f>IF(OR($BJ257="",33&gt;設定!$B$3),"",IF(INDEX(原始資料!AJ$2:AJ$501,$BJ257)="","",INDEX(原始資料!AJ$2:AJ$501,$BJ257)))</f>
        <v/>
      </c>
      <c r="AI257" s="6">
        <f>IF(OR($BJ257="",34&gt;設定!$B$3),"",IF(INDEX(原始資料!AK$2:AK$501,$BJ257)="","",INDEX(原始資料!AK$2:AK$501,$BJ257)))</f>
        <v/>
      </c>
      <c r="AJ257" s="6">
        <f>IF(OR($BJ257="",35&gt;設定!$B$3),"",IF(INDEX(原始資料!AL$2:AL$501,$BJ257)="","",INDEX(原始資料!AL$2:AL$501,$BJ257)))</f>
        <v/>
      </c>
      <c r="AK257" s="6">
        <f>IF(OR($BJ257="",36&gt;設定!$B$3),"",IF(INDEX(原始資料!AM$2:AM$501,$BJ257)="","",INDEX(原始資料!AM$2:AM$501,$BJ257)))</f>
        <v/>
      </c>
      <c r="AL257" s="6">
        <f>IF(OR($BJ257="",37&gt;設定!$B$3),"",IF(INDEX(原始資料!AN$2:AN$501,$BJ257)="","",INDEX(原始資料!AN$2:AN$501,$BJ257)))</f>
        <v/>
      </c>
      <c r="AM257" s="6">
        <f>IF(OR($BJ257="",38&gt;設定!$B$3),"",IF(INDEX(原始資料!AO$2:AO$501,$BJ257)="","",INDEX(原始資料!AO$2:AO$501,$BJ257)))</f>
        <v/>
      </c>
      <c r="AN257" s="6">
        <f>IF(OR($BJ257="",39&gt;設定!$B$3),"",IF(INDEX(原始資料!AP$2:AP$501,$BJ257)="","",INDEX(原始資料!AP$2:AP$501,$BJ257)))</f>
        <v/>
      </c>
      <c r="AO257" s="6">
        <f>IF(OR($BJ257="",40&gt;設定!$B$3),"",IF(INDEX(原始資料!AQ$2:AQ$501,$BJ257)="","",INDEX(原始資料!AQ$2:AQ$501,$BJ257)))</f>
        <v/>
      </c>
      <c r="AP257" s="6">
        <f>IF(OR($BJ257="",41&gt;設定!$B$3),"",IF(INDEX(原始資料!AR$2:AR$501,$BJ257)="","",INDEX(原始資料!AR$2:AR$501,$BJ257)))</f>
        <v/>
      </c>
      <c r="AQ257" s="6">
        <f>IF(OR($BJ257="",42&gt;設定!$B$3),"",IF(INDEX(原始資料!AS$2:AS$501,$BJ257)="","",INDEX(原始資料!AS$2:AS$501,$BJ257)))</f>
        <v/>
      </c>
      <c r="AR257" s="6">
        <f>IF(OR($BJ257="",43&gt;設定!$B$3),"",IF(INDEX(原始資料!AT$2:AT$501,$BJ257)="","",INDEX(原始資料!AT$2:AT$501,$BJ257)))</f>
        <v/>
      </c>
      <c r="AS257" s="6">
        <f>IF(OR($BJ257="",44&gt;設定!$B$3),"",IF(INDEX(原始資料!AU$2:AU$501,$BJ257)="","",INDEX(原始資料!AU$2:AU$501,$BJ257)))</f>
        <v/>
      </c>
      <c r="AT257" s="6">
        <f>IF(OR($BJ257="",45&gt;設定!$B$3),"",IF(INDEX(原始資料!AV$2:AV$501,$BJ257)="","",INDEX(原始資料!AV$2:AV$501,$BJ257)))</f>
        <v/>
      </c>
      <c r="AU257" s="6">
        <f>IF(OR($BJ257="",46&gt;設定!$B$3),"",IF(INDEX(原始資料!AW$2:AW$501,$BJ257)="","",INDEX(原始資料!AW$2:AW$501,$BJ257)))</f>
        <v/>
      </c>
      <c r="AV257" s="6">
        <f>IF(OR($BJ257="",47&gt;設定!$B$3),"",IF(INDEX(原始資料!AX$2:AX$501,$BJ257)="","",INDEX(原始資料!AX$2:AX$501,$BJ257)))</f>
        <v/>
      </c>
      <c r="AW257" s="6">
        <f>IF(OR($BJ257="",48&gt;設定!$B$3),"",IF(INDEX(原始資料!AY$2:AY$501,$BJ257)="","",INDEX(原始資料!AY$2:AY$501,$BJ257)))</f>
        <v/>
      </c>
      <c r="AX257" s="6">
        <f>IF(OR($BJ257="",49&gt;設定!$B$3),"",IF(INDEX(原始資料!AZ$2:AZ$501,$BJ257)="","",INDEX(原始資料!AZ$2:AZ$501,$BJ257)))</f>
        <v/>
      </c>
      <c r="AY257" s="6">
        <f>IF(OR($BJ257="",50&gt;設定!$B$3),"",IF(INDEX(原始資料!BA$2:BA$501,$BJ257)="","",INDEX(原始資料!BA$2:BA$501,$BJ257)))</f>
        <v/>
      </c>
      <c r="AZ257" s="6">
        <f>IF(OR($BJ257="",51&gt;設定!$B$3),"",IF(INDEX(原始資料!BB$2:BB$501,$BJ257)="","",INDEX(原始資料!BB$2:BB$501,$BJ257)))</f>
        <v/>
      </c>
      <c r="BA257" s="6">
        <f>IF(OR($BJ257="",52&gt;設定!$B$3),"",IF(INDEX(原始資料!BC$2:BC$501,$BJ257)="","",INDEX(原始資料!BC$2:BC$501,$BJ257)))</f>
        <v/>
      </c>
      <c r="BB257" s="6">
        <f>IF(OR($BJ257="",53&gt;設定!$B$3),"",IF(INDEX(原始資料!BD$2:BD$501,$BJ257)="","",INDEX(原始資料!BD$2:BD$501,$BJ257)))</f>
        <v/>
      </c>
      <c r="BC257" s="6">
        <f>IF(OR($BJ257="",54&gt;設定!$B$3),"",IF(INDEX(原始資料!BE$2:BE$501,$BJ257)="","",INDEX(原始資料!BE$2:BE$501,$BJ257)))</f>
        <v/>
      </c>
      <c r="BD257" s="6">
        <f>IF(OR($BJ257="",55&gt;設定!$B$3),"",IF(INDEX(原始資料!BF$2:BF$501,$BJ257)="","",INDEX(原始資料!BF$2:BF$501,$BJ257)))</f>
        <v/>
      </c>
      <c r="BE257" s="6">
        <f>IF(OR($BJ257="",56&gt;設定!$B$3),"",IF(INDEX(原始資料!BG$2:BG$501,$BJ257)="","",INDEX(原始資料!BG$2:BG$501,$BJ257)))</f>
        <v/>
      </c>
      <c r="BF257" s="6">
        <f>IF(OR($BJ257="",57&gt;設定!$B$3),"",IF(INDEX(原始資料!BH$2:BH$501,$BJ257)="","",INDEX(原始資料!BH$2:BH$501,$BJ257)))</f>
        <v/>
      </c>
      <c r="BG257" s="6">
        <f>IF(OR($BJ257="",58&gt;設定!$B$3),"",IF(INDEX(原始資料!BI$2:BI$501,$BJ257)="","",INDEX(原始資料!BI$2:BI$501,$BJ257)))</f>
        <v/>
      </c>
      <c r="BH257" s="6">
        <f>IF(OR($BJ257="",59&gt;設定!$B$3),"",IF(INDEX(原始資料!BJ$2:BJ$501,$BJ257)="","",INDEX(原始資料!BJ$2:BJ$501,$BJ257)))</f>
        <v/>
      </c>
      <c r="BI257" s="6">
        <f>IF(OR($BJ257="",60&gt;設定!$B$3),"",IF(INDEX(原始資料!BK$2:BK$501,$BJ257)="","",INDEX(原始資料!BK$2:BK$501,$BJ257)))</f>
        <v/>
      </c>
      <c r="BJ257" s="6">
        <f>IFERROR(MATCH(ROW()-1,判定!$H$2:$H$501,0),"")</f>
        <v/>
      </c>
    </row>
    <row r="258">
      <c r="A258" s="6">
        <f>IF($BJ258="","",INDEX(原始資料!$A$2:$A$501,$BJ258))</f>
        <v/>
      </c>
      <c r="B258" s="6">
        <f>IF(OR($BJ258="",1&gt;設定!$B$3),"",IF(INDEX(原始資料!D$2:D$501,$BJ258)="","",INDEX(原始資料!D$2:D$501,$BJ258)))</f>
        <v/>
      </c>
      <c r="C258" s="6">
        <f>IF(OR($BJ258="",2&gt;設定!$B$3),"",IF(INDEX(原始資料!E$2:E$501,$BJ258)="","",INDEX(原始資料!E$2:E$501,$BJ258)))</f>
        <v/>
      </c>
      <c r="D258" s="6">
        <f>IF(OR($BJ258="",3&gt;設定!$B$3),"",IF(INDEX(原始資料!F$2:F$501,$BJ258)="","",INDEX(原始資料!F$2:F$501,$BJ258)))</f>
        <v/>
      </c>
      <c r="E258" s="6">
        <f>IF(OR($BJ258="",4&gt;設定!$B$3),"",IF(INDEX(原始資料!G$2:G$501,$BJ258)="","",INDEX(原始資料!G$2:G$501,$BJ258)))</f>
        <v/>
      </c>
      <c r="F258" s="6">
        <f>IF(OR($BJ258="",5&gt;設定!$B$3),"",IF(INDEX(原始資料!H$2:H$501,$BJ258)="","",INDEX(原始資料!H$2:H$501,$BJ258)))</f>
        <v/>
      </c>
      <c r="G258" s="6">
        <f>IF(OR($BJ258="",6&gt;設定!$B$3),"",IF(INDEX(原始資料!I$2:I$501,$BJ258)="","",INDEX(原始資料!I$2:I$501,$BJ258)))</f>
        <v/>
      </c>
      <c r="H258" s="6">
        <f>IF(OR($BJ258="",7&gt;設定!$B$3),"",IF(INDEX(原始資料!J$2:J$501,$BJ258)="","",INDEX(原始資料!J$2:J$501,$BJ258)))</f>
        <v/>
      </c>
      <c r="I258" s="6">
        <f>IF(OR($BJ258="",8&gt;設定!$B$3),"",IF(INDEX(原始資料!K$2:K$501,$BJ258)="","",INDEX(原始資料!K$2:K$501,$BJ258)))</f>
        <v/>
      </c>
      <c r="J258" s="6">
        <f>IF(OR($BJ258="",9&gt;設定!$B$3),"",IF(INDEX(原始資料!L$2:L$501,$BJ258)="","",INDEX(原始資料!L$2:L$501,$BJ258)))</f>
        <v/>
      </c>
      <c r="K258" s="6">
        <f>IF(OR($BJ258="",10&gt;設定!$B$3),"",IF(INDEX(原始資料!M$2:M$501,$BJ258)="","",INDEX(原始資料!M$2:M$501,$BJ258)))</f>
        <v/>
      </c>
      <c r="L258" s="6">
        <f>IF(OR($BJ258="",11&gt;設定!$B$3),"",IF(INDEX(原始資料!N$2:N$501,$BJ258)="","",INDEX(原始資料!N$2:N$501,$BJ258)))</f>
        <v/>
      </c>
      <c r="M258" s="6">
        <f>IF(OR($BJ258="",12&gt;設定!$B$3),"",IF(INDEX(原始資料!O$2:O$501,$BJ258)="","",INDEX(原始資料!O$2:O$501,$BJ258)))</f>
        <v/>
      </c>
      <c r="N258" s="6">
        <f>IF(OR($BJ258="",13&gt;設定!$B$3),"",IF(INDEX(原始資料!P$2:P$501,$BJ258)="","",INDEX(原始資料!P$2:P$501,$BJ258)))</f>
        <v/>
      </c>
      <c r="O258" s="6">
        <f>IF(OR($BJ258="",14&gt;設定!$B$3),"",IF(INDEX(原始資料!Q$2:Q$501,$BJ258)="","",INDEX(原始資料!Q$2:Q$501,$BJ258)))</f>
        <v/>
      </c>
      <c r="P258" s="6">
        <f>IF(OR($BJ258="",15&gt;設定!$B$3),"",IF(INDEX(原始資料!R$2:R$501,$BJ258)="","",INDEX(原始資料!R$2:R$501,$BJ258)))</f>
        <v/>
      </c>
      <c r="Q258" s="6">
        <f>IF(OR($BJ258="",16&gt;設定!$B$3),"",IF(INDEX(原始資料!S$2:S$501,$BJ258)="","",INDEX(原始資料!S$2:S$501,$BJ258)))</f>
        <v/>
      </c>
      <c r="R258" s="6">
        <f>IF(OR($BJ258="",17&gt;設定!$B$3),"",IF(INDEX(原始資料!T$2:T$501,$BJ258)="","",INDEX(原始資料!T$2:T$501,$BJ258)))</f>
        <v/>
      </c>
      <c r="S258" s="6">
        <f>IF(OR($BJ258="",18&gt;設定!$B$3),"",IF(INDEX(原始資料!U$2:U$501,$BJ258)="","",INDEX(原始資料!U$2:U$501,$BJ258)))</f>
        <v/>
      </c>
      <c r="T258" s="6">
        <f>IF(OR($BJ258="",19&gt;設定!$B$3),"",IF(INDEX(原始資料!V$2:V$501,$BJ258)="","",INDEX(原始資料!V$2:V$501,$BJ258)))</f>
        <v/>
      </c>
      <c r="U258" s="6">
        <f>IF(OR($BJ258="",20&gt;設定!$B$3),"",IF(INDEX(原始資料!W$2:W$501,$BJ258)="","",INDEX(原始資料!W$2:W$501,$BJ258)))</f>
        <v/>
      </c>
      <c r="V258" s="6">
        <f>IF(OR($BJ258="",21&gt;設定!$B$3),"",IF(INDEX(原始資料!X$2:X$501,$BJ258)="","",INDEX(原始資料!X$2:X$501,$BJ258)))</f>
        <v/>
      </c>
      <c r="W258" s="6">
        <f>IF(OR($BJ258="",22&gt;設定!$B$3),"",IF(INDEX(原始資料!Y$2:Y$501,$BJ258)="","",INDEX(原始資料!Y$2:Y$501,$BJ258)))</f>
        <v/>
      </c>
      <c r="X258" s="6">
        <f>IF(OR($BJ258="",23&gt;設定!$B$3),"",IF(INDEX(原始資料!Z$2:Z$501,$BJ258)="","",INDEX(原始資料!Z$2:Z$501,$BJ258)))</f>
        <v/>
      </c>
      <c r="Y258" s="6">
        <f>IF(OR($BJ258="",24&gt;設定!$B$3),"",IF(INDEX(原始資料!AA$2:AA$501,$BJ258)="","",INDEX(原始資料!AA$2:AA$501,$BJ258)))</f>
        <v/>
      </c>
      <c r="Z258" s="6">
        <f>IF(OR($BJ258="",25&gt;設定!$B$3),"",IF(INDEX(原始資料!AB$2:AB$501,$BJ258)="","",INDEX(原始資料!AB$2:AB$501,$BJ258)))</f>
        <v/>
      </c>
      <c r="AA258" s="6">
        <f>IF(OR($BJ258="",26&gt;設定!$B$3),"",IF(INDEX(原始資料!AC$2:AC$501,$BJ258)="","",INDEX(原始資料!AC$2:AC$501,$BJ258)))</f>
        <v/>
      </c>
      <c r="AB258" s="6">
        <f>IF(OR($BJ258="",27&gt;設定!$B$3),"",IF(INDEX(原始資料!AD$2:AD$501,$BJ258)="","",INDEX(原始資料!AD$2:AD$501,$BJ258)))</f>
        <v/>
      </c>
      <c r="AC258" s="6">
        <f>IF(OR($BJ258="",28&gt;設定!$B$3),"",IF(INDEX(原始資料!AE$2:AE$501,$BJ258)="","",INDEX(原始資料!AE$2:AE$501,$BJ258)))</f>
        <v/>
      </c>
      <c r="AD258" s="6">
        <f>IF(OR($BJ258="",29&gt;設定!$B$3),"",IF(INDEX(原始資料!AF$2:AF$501,$BJ258)="","",INDEX(原始資料!AF$2:AF$501,$BJ258)))</f>
        <v/>
      </c>
      <c r="AE258" s="6">
        <f>IF(OR($BJ258="",30&gt;設定!$B$3),"",IF(INDEX(原始資料!AG$2:AG$501,$BJ258)="","",INDEX(原始資料!AG$2:AG$501,$BJ258)))</f>
        <v/>
      </c>
      <c r="AF258" s="6">
        <f>IF(OR($BJ258="",31&gt;設定!$B$3),"",IF(INDEX(原始資料!AH$2:AH$501,$BJ258)="","",INDEX(原始資料!AH$2:AH$501,$BJ258)))</f>
        <v/>
      </c>
      <c r="AG258" s="6">
        <f>IF(OR($BJ258="",32&gt;設定!$B$3),"",IF(INDEX(原始資料!AI$2:AI$501,$BJ258)="","",INDEX(原始資料!AI$2:AI$501,$BJ258)))</f>
        <v/>
      </c>
      <c r="AH258" s="6">
        <f>IF(OR($BJ258="",33&gt;設定!$B$3),"",IF(INDEX(原始資料!AJ$2:AJ$501,$BJ258)="","",INDEX(原始資料!AJ$2:AJ$501,$BJ258)))</f>
        <v/>
      </c>
      <c r="AI258" s="6">
        <f>IF(OR($BJ258="",34&gt;設定!$B$3),"",IF(INDEX(原始資料!AK$2:AK$501,$BJ258)="","",INDEX(原始資料!AK$2:AK$501,$BJ258)))</f>
        <v/>
      </c>
      <c r="AJ258" s="6">
        <f>IF(OR($BJ258="",35&gt;設定!$B$3),"",IF(INDEX(原始資料!AL$2:AL$501,$BJ258)="","",INDEX(原始資料!AL$2:AL$501,$BJ258)))</f>
        <v/>
      </c>
      <c r="AK258" s="6">
        <f>IF(OR($BJ258="",36&gt;設定!$B$3),"",IF(INDEX(原始資料!AM$2:AM$501,$BJ258)="","",INDEX(原始資料!AM$2:AM$501,$BJ258)))</f>
        <v/>
      </c>
      <c r="AL258" s="6">
        <f>IF(OR($BJ258="",37&gt;設定!$B$3),"",IF(INDEX(原始資料!AN$2:AN$501,$BJ258)="","",INDEX(原始資料!AN$2:AN$501,$BJ258)))</f>
        <v/>
      </c>
      <c r="AM258" s="6">
        <f>IF(OR($BJ258="",38&gt;設定!$B$3),"",IF(INDEX(原始資料!AO$2:AO$501,$BJ258)="","",INDEX(原始資料!AO$2:AO$501,$BJ258)))</f>
        <v/>
      </c>
      <c r="AN258" s="6">
        <f>IF(OR($BJ258="",39&gt;設定!$B$3),"",IF(INDEX(原始資料!AP$2:AP$501,$BJ258)="","",INDEX(原始資料!AP$2:AP$501,$BJ258)))</f>
        <v/>
      </c>
      <c r="AO258" s="6">
        <f>IF(OR($BJ258="",40&gt;設定!$B$3),"",IF(INDEX(原始資料!AQ$2:AQ$501,$BJ258)="","",INDEX(原始資料!AQ$2:AQ$501,$BJ258)))</f>
        <v/>
      </c>
      <c r="AP258" s="6">
        <f>IF(OR($BJ258="",41&gt;設定!$B$3),"",IF(INDEX(原始資料!AR$2:AR$501,$BJ258)="","",INDEX(原始資料!AR$2:AR$501,$BJ258)))</f>
        <v/>
      </c>
      <c r="AQ258" s="6">
        <f>IF(OR($BJ258="",42&gt;設定!$B$3),"",IF(INDEX(原始資料!AS$2:AS$501,$BJ258)="","",INDEX(原始資料!AS$2:AS$501,$BJ258)))</f>
        <v/>
      </c>
      <c r="AR258" s="6">
        <f>IF(OR($BJ258="",43&gt;設定!$B$3),"",IF(INDEX(原始資料!AT$2:AT$501,$BJ258)="","",INDEX(原始資料!AT$2:AT$501,$BJ258)))</f>
        <v/>
      </c>
      <c r="AS258" s="6">
        <f>IF(OR($BJ258="",44&gt;設定!$B$3),"",IF(INDEX(原始資料!AU$2:AU$501,$BJ258)="","",INDEX(原始資料!AU$2:AU$501,$BJ258)))</f>
        <v/>
      </c>
      <c r="AT258" s="6">
        <f>IF(OR($BJ258="",45&gt;設定!$B$3),"",IF(INDEX(原始資料!AV$2:AV$501,$BJ258)="","",INDEX(原始資料!AV$2:AV$501,$BJ258)))</f>
        <v/>
      </c>
      <c r="AU258" s="6">
        <f>IF(OR($BJ258="",46&gt;設定!$B$3),"",IF(INDEX(原始資料!AW$2:AW$501,$BJ258)="","",INDEX(原始資料!AW$2:AW$501,$BJ258)))</f>
        <v/>
      </c>
      <c r="AV258" s="6">
        <f>IF(OR($BJ258="",47&gt;設定!$B$3),"",IF(INDEX(原始資料!AX$2:AX$501,$BJ258)="","",INDEX(原始資料!AX$2:AX$501,$BJ258)))</f>
        <v/>
      </c>
      <c r="AW258" s="6">
        <f>IF(OR($BJ258="",48&gt;設定!$B$3),"",IF(INDEX(原始資料!AY$2:AY$501,$BJ258)="","",INDEX(原始資料!AY$2:AY$501,$BJ258)))</f>
        <v/>
      </c>
      <c r="AX258" s="6">
        <f>IF(OR($BJ258="",49&gt;設定!$B$3),"",IF(INDEX(原始資料!AZ$2:AZ$501,$BJ258)="","",INDEX(原始資料!AZ$2:AZ$501,$BJ258)))</f>
        <v/>
      </c>
      <c r="AY258" s="6">
        <f>IF(OR($BJ258="",50&gt;設定!$B$3),"",IF(INDEX(原始資料!BA$2:BA$501,$BJ258)="","",INDEX(原始資料!BA$2:BA$501,$BJ258)))</f>
        <v/>
      </c>
      <c r="AZ258" s="6">
        <f>IF(OR($BJ258="",51&gt;設定!$B$3),"",IF(INDEX(原始資料!BB$2:BB$501,$BJ258)="","",INDEX(原始資料!BB$2:BB$501,$BJ258)))</f>
        <v/>
      </c>
      <c r="BA258" s="6">
        <f>IF(OR($BJ258="",52&gt;設定!$B$3),"",IF(INDEX(原始資料!BC$2:BC$501,$BJ258)="","",INDEX(原始資料!BC$2:BC$501,$BJ258)))</f>
        <v/>
      </c>
      <c r="BB258" s="6">
        <f>IF(OR($BJ258="",53&gt;設定!$B$3),"",IF(INDEX(原始資料!BD$2:BD$501,$BJ258)="","",INDEX(原始資料!BD$2:BD$501,$BJ258)))</f>
        <v/>
      </c>
      <c r="BC258" s="6">
        <f>IF(OR($BJ258="",54&gt;設定!$B$3),"",IF(INDEX(原始資料!BE$2:BE$501,$BJ258)="","",INDEX(原始資料!BE$2:BE$501,$BJ258)))</f>
        <v/>
      </c>
      <c r="BD258" s="6">
        <f>IF(OR($BJ258="",55&gt;設定!$B$3),"",IF(INDEX(原始資料!BF$2:BF$501,$BJ258)="","",INDEX(原始資料!BF$2:BF$501,$BJ258)))</f>
        <v/>
      </c>
      <c r="BE258" s="6">
        <f>IF(OR($BJ258="",56&gt;設定!$B$3),"",IF(INDEX(原始資料!BG$2:BG$501,$BJ258)="","",INDEX(原始資料!BG$2:BG$501,$BJ258)))</f>
        <v/>
      </c>
      <c r="BF258" s="6">
        <f>IF(OR($BJ258="",57&gt;設定!$B$3),"",IF(INDEX(原始資料!BH$2:BH$501,$BJ258)="","",INDEX(原始資料!BH$2:BH$501,$BJ258)))</f>
        <v/>
      </c>
      <c r="BG258" s="6">
        <f>IF(OR($BJ258="",58&gt;設定!$B$3),"",IF(INDEX(原始資料!BI$2:BI$501,$BJ258)="","",INDEX(原始資料!BI$2:BI$501,$BJ258)))</f>
        <v/>
      </c>
      <c r="BH258" s="6">
        <f>IF(OR($BJ258="",59&gt;設定!$B$3),"",IF(INDEX(原始資料!BJ$2:BJ$501,$BJ258)="","",INDEX(原始資料!BJ$2:BJ$501,$BJ258)))</f>
        <v/>
      </c>
      <c r="BI258" s="6">
        <f>IF(OR($BJ258="",60&gt;設定!$B$3),"",IF(INDEX(原始資料!BK$2:BK$501,$BJ258)="","",INDEX(原始資料!BK$2:BK$501,$BJ258)))</f>
        <v/>
      </c>
      <c r="BJ258" s="6">
        <f>IFERROR(MATCH(ROW()-1,判定!$H$2:$H$501,0),"")</f>
        <v/>
      </c>
    </row>
    <row r="259">
      <c r="A259" s="6">
        <f>IF($BJ259="","",INDEX(原始資料!$A$2:$A$501,$BJ259))</f>
        <v/>
      </c>
      <c r="B259" s="6">
        <f>IF(OR($BJ259="",1&gt;設定!$B$3),"",IF(INDEX(原始資料!D$2:D$501,$BJ259)="","",INDEX(原始資料!D$2:D$501,$BJ259)))</f>
        <v/>
      </c>
      <c r="C259" s="6">
        <f>IF(OR($BJ259="",2&gt;設定!$B$3),"",IF(INDEX(原始資料!E$2:E$501,$BJ259)="","",INDEX(原始資料!E$2:E$501,$BJ259)))</f>
        <v/>
      </c>
      <c r="D259" s="6">
        <f>IF(OR($BJ259="",3&gt;設定!$B$3),"",IF(INDEX(原始資料!F$2:F$501,$BJ259)="","",INDEX(原始資料!F$2:F$501,$BJ259)))</f>
        <v/>
      </c>
      <c r="E259" s="6">
        <f>IF(OR($BJ259="",4&gt;設定!$B$3),"",IF(INDEX(原始資料!G$2:G$501,$BJ259)="","",INDEX(原始資料!G$2:G$501,$BJ259)))</f>
        <v/>
      </c>
      <c r="F259" s="6">
        <f>IF(OR($BJ259="",5&gt;設定!$B$3),"",IF(INDEX(原始資料!H$2:H$501,$BJ259)="","",INDEX(原始資料!H$2:H$501,$BJ259)))</f>
        <v/>
      </c>
      <c r="G259" s="6">
        <f>IF(OR($BJ259="",6&gt;設定!$B$3),"",IF(INDEX(原始資料!I$2:I$501,$BJ259)="","",INDEX(原始資料!I$2:I$501,$BJ259)))</f>
        <v/>
      </c>
      <c r="H259" s="6">
        <f>IF(OR($BJ259="",7&gt;設定!$B$3),"",IF(INDEX(原始資料!J$2:J$501,$BJ259)="","",INDEX(原始資料!J$2:J$501,$BJ259)))</f>
        <v/>
      </c>
      <c r="I259" s="6">
        <f>IF(OR($BJ259="",8&gt;設定!$B$3),"",IF(INDEX(原始資料!K$2:K$501,$BJ259)="","",INDEX(原始資料!K$2:K$501,$BJ259)))</f>
        <v/>
      </c>
      <c r="J259" s="6">
        <f>IF(OR($BJ259="",9&gt;設定!$B$3),"",IF(INDEX(原始資料!L$2:L$501,$BJ259)="","",INDEX(原始資料!L$2:L$501,$BJ259)))</f>
        <v/>
      </c>
      <c r="K259" s="6">
        <f>IF(OR($BJ259="",10&gt;設定!$B$3),"",IF(INDEX(原始資料!M$2:M$501,$BJ259)="","",INDEX(原始資料!M$2:M$501,$BJ259)))</f>
        <v/>
      </c>
      <c r="L259" s="6">
        <f>IF(OR($BJ259="",11&gt;設定!$B$3),"",IF(INDEX(原始資料!N$2:N$501,$BJ259)="","",INDEX(原始資料!N$2:N$501,$BJ259)))</f>
        <v/>
      </c>
      <c r="M259" s="6">
        <f>IF(OR($BJ259="",12&gt;設定!$B$3),"",IF(INDEX(原始資料!O$2:O$501,$BJ259)="","",INDEX(原始資料!O$2:O$501,$BJ259)))</f>
        <v/>
      </c>
      <c r="N259" s="6">
        <f>IF(OR($BJ259="",13&gt;設定!$B$3),"",IF(INDEX(原始資料!P$2:P$501,$BJ259)="","",INDEX(原始資料!P$2:P$501,$BJ259)))</f>
        <v/>
      </c>
      <c r="O259" s="6">
        <f>IF(OR($BJ259="",14&gt;設定!$B$3),"",IF(INDEX(原始資料!Q$2:Q$501,$BJ259)="","",INDEX(原始資料!Q$2:Q$501,$BJ259)))</f>
        <v/>
      </c>
      <c r="P259" s="6">
        <f>IF(OR($BJ259="",15&gt;設定!$B$3),"",IF(INDEX(原始資料!R$2:R$501,$BJ259)="","",INDEX(原始資料!R$2:R$501,$BJ259)))</f>
        <v/>
      </c>
      <c r="Q259" s="6">
        <f>IF(OR($BJ259="",16&gt;設定!$B$3),"",IF(INDEX(原始資料!S$2:S$501,$BJ259)="","",INDEX(原始資料!S$2:S$501,$BJ259)))</f>
        <v/>
      </c>
      <c r="R259" s="6">
        <f>IF(OR($BJ259="",17&gt;設定!$B$3),"",IF(INDEX(原始資料!T$2:T$501,$BJ259)="","",INDEX(原始資料!T$2:T$501,$BJ259)))</f>
        <v/>
      </c>
      <c r="S259" s="6">
        <f>IF(OR($BJ259="",18&gt;設定!$B$3),"",IF(INDEX(原始資料!U$2:U$501,$BJ259)="","",INDEX(原始資料!U$2:U$501,$BJ259)))</f>
        <v/>
      </c>
      <c r="T259" s="6">
        <f>IF(OR($BJ259="",19&gt;設定!$B$3),"",IF(INDEX(原始資料!V$2:V$501,$BJ259)="","",INDEX(原始資料!V$2:V$501,$BJ259)))</f>
        <v/>
      </c>
      <c r="U259" s="6">
        <f>IF(OR($BJ259="",20&gt;設定!$B$3),"",IF(INDEX(原始資料!W$2:W$501,$BJ259)="","",INDEX(原始資料!W$2:W$501,$BJ259)))</f>
        <v/>
      </c>
      <c r="V259" s="6">
        <f>IF(OR($BJ259="",21&gt;設定!$B$3),"",IF(INDEX(原始資料!X$2:X$501,$BJ259)="","",INDEX(原始資料!X$2:X$501,$BJ259)))</f>
        <v/>
      </c>
      <c r="W259" s="6">
        <f>IF(OR($BJ259="",22&gt;設定!$B$3),"",IF(INDEX(原始資料!Y$2:Y$501,$BJ259)="","",INDEX(原始資料!Y$2:Y$501,$BJ259)))</f>
        <v/>
      </c>
      <c r="X259" s="6">
        <f>IF(OR($BJ259="",23&gt;設定!$B$3),"",IF(INDEX(原始資料!Z$2:Z$501,$BJ259)="","",INDEX(原始資料!Z$2:Z$501,$BJ259)))</f>
        <v/>
      </c>
      <c r="Y259" s="6">
        <f>IF(OR($BJ259="",24&gt;設定!$B$3),"",IF(INDEX(原始資料!AA$2:AA$501,$BJ259)="","",INDEX(原始資料!AA$2:AA$501,$BJ259)))</f>
        <v/>
      </c>
      <c r="Z259" s="6">
        <f>IF(OR($BJ259="",25&gt;設定!$B$3),"",IF(INDEX(原始資料!AB$2:AB$501,$BJ259)="","",INDEX(原始資料!AB$2:AB$501,$BJ259)))</f>
        <v/>
      </c>
      <c r="AA259" s="6">
        <f>IF(OR($BJ259="",26&gt;設定!$B$3),"",IF(INDEX(原始資料!AC$2:AC$501,$BJ259)="","",INDEX(原始資料!AC$2:AC$501,$BJ259)))</f>
        <v/>
      </c>
      <c r="AB259" s="6">
        <f>IF(OR($BJ259="",27&gt;設定!$B$3),"",IF(INDEX(原始資料!AD$2:AD$501,$BJ259)="","",INDEX(原始資料!AD$2:AD$501,$BJ259)))</f>
        <v/>
      </c>
      <c r="AC259" s="6">
        <f>IF(OR($BJ259="",28&gt;設定!$B$3),"",IF(INDEX(原始資料!AE$2:AE$501,$BJ259)="","",INDEX(原始資料!AE$2:AE$501,$BJ259)))</f>
        <v/>
      </c>
      <c r="AD259" s="6">
        <f>IF(OR($BJ259="",29&gt;設定!$B$3),"",IF(INDEX(原始資料!AF$2:AF$501,$BJ259)="","",INDEX(原始資料!AF$2:AF$501,$BJ259)))</f>
        <v/>
      </c>
      <c r="AE259" s="6">
        <f>IF(OR($BJ259="",30&gt;設定!$B$3),"",IF(INDEX(原始資料!AG$2:AG$501,$BJ259)="","",INDEX(原始資料!AG$2:AG$501,$BJ259)))</f>
        <v/>
      </c>
      <c r="AF259" s="6">
        <f>IF(OR($BJ259="",31&gt;設定!$B$3),"",IF(INDEX(原始資料!AH$2:AH$501,$BJ259)="","",INDEX(原始資料!AH$2:AH$501,$BJ259)))</f>
        <v/>
      </c>
      <c r="AG259" s="6">
        <f>IF(OR($BJ259="",32&gt;設定!$B$3),"",IF(INDEX(原始資料!AI$2:AI$501,$BJ259)="","",INDEX(原始資料!AI$2:AI$501,$BJ259)))</f>
        <v/>
      </c>
      <c r="AH259" s="6">
        <f>IF(OR($BJ259="",33&gt;設定!$B$3),"",IF(INDEX(原始資料!AJ$2:AJ$501,$BJ259)="","",INDEX(原始資料!AJ$2:AJ$501,$BJ259)))</f>
        <v/>
      </c>
      <c r="AI259" s="6">
        <f>IF(OR($BJ259="",34&gt;設定!$B$3),"",IF(INDEX(原始資料!AK$2:AK$501,$BJ259)="","",INDEX(原始資料!AK$2:AK$501,$BJ259)))</f>
        <v/>
      </c>
      <c r="AJ259" s="6">
        <f>IF(OR($BJ259="",35&gt;設定!$B$3),"",IF(INDEX(原始資料!AL$2:AL$501,$BJ259)="","",INDEX(原始資料!AL$2:AL$501,$BJ259)))</f>
        <v/>
      </c>
      <c r="AK259" s="6">
        <f>IF(OR($BJ259="",36&gt;設定!$B$3),"",IF(INDEX(原始資料!AM$2:AM$501,$BJ259)="","",INDEX(原始資料!AM$2:AM$501,$BJ259)))</f>
        <v/>
      </c>
      <c r="AL259" s="6">
        <f>IF(OR($BJ259="",37&gt;設定!$B$3),"",IF(INDEX(原始資料!AN$2:AN$501,$BJ259)="","",INDEX(原始資料!AN$2:AN$501,$BJ259)))</f>
        <v/>
      </c>
      <c r="AM259" s="6">
        <f>IF(OR($BJ259="",38&gt;設定!$B$3),"",IF(INDEX(原始資料!AO$2:AO$501,$BJ259)="","",INDEX(原始資料!AO$2:AO$501,$BJ259)))</f>
        <v/>
      </c>
      <c r="AN259" s="6">
        <f>IF(OR($BJ259="",39&gt;設定!$B$3),"",IF(INDEX(原始資料!AP$2:AP$501,$BJ259)="","",INDEX(原始資料!AP$2:AP$501,$BJ259)))</f>
        <v/>
      </c>
      <c r="AO259" s="6">
        <f>IF(OR($BJ259="",40&gt;設定!$B$3),"",IF(INDEX(原始資料!AQ$2:AQ$501,$BJ259)="","",INDEX(原始資料!AQ$2:AQ$501,$BJ259)))</f>
        <v/>
      </c>
      <c r="AP259" s="6">
        <f>IF(OR($BJ259="",41&gt;設定!$B$3),"",IF(INDEX(原始資料!AR$2:AR$501,$BJ259)="","",INDEX(原始資料!AR$2:AR$501,$BJ259)))</f>
        <v/>
      </c>
      <c r="AQ259" s="6">
        <f>IF(OR($BJ259="",42&gt;設定!$B$3),"",IF(INDEX(原始資料!AS$2:AS$501,$BJ259)="","",INDEX(原始資料!AS$2:AS$501,$BJ259)))</f>
        <v/>
      </c>
      <c r="AR259" s="6">
        <f>IF(OR($BJ259="",43&gt;設定!$B$3),"",IF(INDEX(原始資料!AT$2:AT$501,$BJ259)="","",INDEX(原始資料!AT$2:AT$501,$BJ259)))</f>
        <v/>
      </c>
      <c r="AS259" s="6">
        <f>IF(OR($BJ259="",44&gt;設定!$B$3),"",IF(INDEX(原始資料!AU$2:AU$501,$BJ259)="","",INDEX(原始資料!AU$2:AU$501,$BJ259)))</f>
        <v/>
      </c>
      <c r="AT259" s="6">
        <f>IF(OR($BJ259="",45&gt;設定!$B$3),"",IF(INDEX(原始資料!AV$2:AV$501,$BJ259)="","",INDEX(原始資料!AV$2:AV$501,$BJ259)))</f>
        <v/>
      </c>
      <c r="AU259" s="6">
        <f>IF(OR($BJ259="",46&gt;設定!$B$3),"",IF(INDEX(原始資料!AW$2:AW$501,$BJ259)="","",INDEX(原始資料!AW$2:AW$501,$BJ259)))</f>
        <v/>
      </c>
      <c r="AV259" s="6">
        <f>IF(OR($BJ259="",47&gt;設定!$B$3),"",IF(INDEX(原始資料!AX$2:AX$501,$BJ259)="","",INDEX(原始資料!AX$2:AX$501,$BJ259)))</f>
        <v/>
      </c>
      <c r="AW259" s="6">
        <f>IF(OR($BJ259="",48&gt;設定!$B$3),"",IF(INDEX(原始資料!AY$2:AY$501,$BJ259)="","",INDEX(原始資料!AY$2:AY$501,$BJ259)))</f>
        <v/>
      </c>
      <c r="AX259" s="6">
        <f>IF(OR($BJ259="",49&gt;設定!$B$3),"",IF(INDEX(原始資料!AZ$2:AZ$501,$BJ259)="","",INDEX(原始資料!AZ$2:AZ$501,$BJ259)))</f>
        <v/>
      </c>
      <c r="AY259" s="6">
        <f>IF(OR($BJ259="",50&gt;設定!$B$3),"",IF(INDEX(原始資料!BA$2:BA$501,$BJ259)="","",INDEX(原始資料!BA$2:BA$501,$BJ259)))</f>
        <v/>
      </c>
      <c r="AZ259" s="6">
        <f>IF(OR($BJ259="",51&gt;設定!$B$3),"",IF(INDEX(原始資料!BB$2:BB$501,$BJ259)="","",INDEX(原始資料!BB$2:BB$501,$BJ259)))</f>
        <v/>
      </c>
      <c r="BA259" s="6">
        <f>IF(OR($BJ259="",52&gt;設定!$B$3),"",IF(INDEX(原始資料!BC$2:BC$501,$BJ259)="","",INDEX(原始資料!BC$2:BC$501,$BJ259)))</f>
        <v/>
      </c>
      <c r="BB259" s="6">
        <f>IF(OR($BJ259="",53&gt;設定!$B$3),"",IF(INDEX(原始資料!BD$2:BD$501,$BJ259)="","",INDEX(原始資料!BD$2:BD$501,$BJ259)))</f>
        <v/>
      </c>
      <c r="BC259" s="6">
        <f>IF(OR($BJ259="",54&gt;設定!$B$3),"",IF(INDEX(原始資料!BE$2:BE$501,$BJ259)="","",INDEX(原始資料!BE$2:BE$501,$BJ259)))</f>
        <v/>
      </c>
      <c r="BD259" s="6">
        <f>IF(OR($BJ259="",55&gt;設定!$B$3),"",IF(INDEX(原始資料!BF$2:BF$501,$BJ259)="","",INDEX(原始資料!BF$2:BF$501,$BJ259)))</f>
        <v/>
      </c>
      <c r="BE259" s="6">
        <f>IF(OR($BJ259="",56&gt;設定!$B$3),"",IF(INDEX(原始資料!BG$2:BG$501,$BJ259)="","",INDEX(原始資料!BG$2:BG$501,$BJ259)))</f>
        <v/>
      </c>
      <c r="BF259" s="6">
        <f>IF(OR($BJ259="",57&gt;設定!$B$3),"",IF(INDEX(原始資料!BH$2:BH$501,$BJ259)="","",INDEX(原始資料!BH$2:BH$501,$BJ259)))</f>
        <v/>
      </c>
      <c r="BG259" s="6">
        <f>IF(OR($BJ259="",58&gt;設定!$B$3),"",IF(INDEX(原始資料!BI$2:BI$501,$BJ259)="","",INDEX(原始資料!BI$2:BI$501,$BJ259)))</f>
        <v/>
      </c>
      <c r="BH259" s="6">
        <f>IF(OR($BJ259="",59&gt;設定!$B$3),"",IF(INDEX(原始資料!BJ$2:BJ$501,$BJ259)="","",INDEX(原始資料!BJ$2:BJ$501,$BJ259)))</f>
        <v/>
      </c>
      <c r="BI259" s="6">
        <f>IF(OR($BJ259="",60&gt;設定!$B$3),"",IF(INDEX(原始資料!BK$2:BK$501,$BJ259)="","",INDEX(原始資料!BK$2:BK$501,$BJ259)))</f>
        <v/>
      </c>
      <c r="BJ259" s="6">
        <f>IFERROR(MATCH(ROW()-1,判定!$H$2:$H$501,0),"")</f>
        <v/>
      </c>
    </row>
    <row r="260">
      <c r="A260" s="6">
        <f>IF($BJ260="","",INDEX(原始資料!$A$2:$A$501,$BJ260))</f>
        <v/>
      </c>
      <c r="B260" s="6">
        <f>IF(OR($BJ260="",1&gt;設定!$B$3),"",IF(INDEX(原始資料!D$2:D$501,$BJ260)="","",INDEX(原始資料!D$2:D$501,$BJ260)))</f>
        <v/>
      </c>
      <c r="C260" s="6">
        <f>IF(OR($BJ260="",2&gt;設定!$B$3),"",IF(INDEX(原始資料!E$2:E$501,$BJ260)="","",INDEX(原始資料!E$2:E$501,$BJ260)))</f>
        <v/>
      </c>
      <c r="D260" s="6">
        <f>IF(OR($BJ260="",3&gt;設定!$B$3),"",IF(INDEX(原始資料!F$2:F$501,$BJ260)="","",INDEX(原始資料!F$2:F$501,$BJ260)))</f>
        <v/>
      </c>
      <c r="E260" s="6">
        <f>IF(OR($BJ260="",4&gt;設定!$B$3),"",IF(INDEX(原始資料!G$2:G$501,$BJ260)="","",INDEX(原始資料!G$2:G$501,$BJ260)))</f>
        <v/>
      </c>
      <c r="F260" s="6">
        <f>IF(OR($BJ260="",5&gt;設定!$B$3),"",IF(INDEX(原始資料!H$2:H$501,$BJ260)="","",INDEX(原始資料!H$2:H$501,$BJ260)))</f>
        <v/>
      </c>
      <c r="G260" s="6">
        <f>IF(OR($BJ260="",6&gt;設定!$B$3),"",IF(INDEX(原始資料!I$2:I$501,$BJ260)="","",INDEX(原始資料!I$2:I$501,$BJ260)))</f>
        <v/>
      </c>
      <c r="H260" s="6">
        <f>IF(OR($BJ260="",7&gt;設定!$B$3),"",IF(INDEX(原始資料!J$2:J$501,$BJ260)="","",INDEX(原始資料!J$2:J$501,$BJ260)))</f>
        <v/>
      </c>
      <c r="I260" s="6">
        <f>IF(OR($BJ260="",8&gt;設定!$B$3),"",IF(INDEX(原始資料!K$2:K$501,$BJ260)="","",INDEX(原始資料!K$2:K$501,$BJ260)))</f>
        <v/>
      </c>
      <c r="J260" s="6">
        <f>IF(OR($BJ260="",9&gt;設定!$B$3),"",IF(INDEX(原始資料!L$2:L$501,$BJ260)="","",INDEX(原始資料!L$2:L$501,$BJ260)))</f>
        <v/>
      </c>
      <c r="K260" s="6">
        <f>IF(OR($BJ260="",10&gt;設定!$B$3),"",IF(INDEX(原始資料!M$2:M$501,$BJ260)="","",INDEX(原始資料!M$2:M$501,$BJ260)))</f>
        <v/>
      </c>
      <c r="L260" s="6">
        <f>IF(OR($BJ260="",11&gt;設定!$B$3),"",IF(INDEX(原始資料!N$2:N$501,$BJ260)="","",INDEX(原始資料!N$2:N$501,$BJ260)))</f>
        <v/>
      </c>
      <c r="M260" s="6">
        <f>IF(OR($BJ260="",12&gt;設定!$B$3),"",IF(INDEX(原始資料!O$2:O$501,$BJ260)="","",INDEX(原始資料!O$2:O$501,$BJ260)))</f>
        <v/>
      </c>
      <c r="N260" s="6">
        <f>IF(OR($BJ260="",13&gt;設定!$B$3),"",IF(INDEX(原始資料!P$2:P$501,$BJ260)="","",INDEX(原始資料!P$2:P$501,$BJ260)))</f>
        <v/>
      </c>
      <c r="O260" s="6">
        <f>IF(OR($BJ260="",14&gt;設定!$B$3),"",IF(INDEX(原始資料!Q$2:Q$501,$BJ260)="","",INDEX(原始資料!Q$2:Q$501,$BJ260)))</f>
        <v/>
      </c>
      <c r="P260" s="6">
        <f>IF(OR($BJ260="",15&gt;設定!$B$3),"",IF(INDEX(原始資料!R$2:R$501,$BJ260)="","",INDEX(原始資料!R$2:R$501,$BJ260)))</f>
        <v/>
      </c>
      <c r="Q260" s="6">
        <f>IF(OR($BJ260="",16&gt;設定!$B$3),"",IF(INDEX(原始資料!S$2:S$501,$BJ260)="","",INDEX(原始資料!S$2:S$501,$BJ260)))</f>
        <v/>
      </c>
      <c r="R260" s="6">
        <f>IF(OR($BJ260="",17&gt;設定!$B$3),"",IF(INDEX(原始資料!T$2:T$501,$BJ260)="","",INDEX(原始資料!T$2:T$501,$BJ260)))</f>
        <v/>
      </c>
      <c r="S260" s="6">
        <f>IF(OR($BJ260="",18&gt;設定!$B$3),"",IF(INDEX(原始資料!U$2:U$501,$BJ260)="","",INDEX(原始資料!U$2:U$501,$BJ260)))</f>
        <v/>
      </c>
      <c r="T260" s="6">
        <f>IF(OR($BJ260="",19&gt;設定!$B$3),"",IF(INDEX(原始資料!V$2:V$501,$BJ260)="","",INDEX(原始資料!V$2:V$501,$BJ260)))</f>
        <v/>
      </c>
      <c r="U260" s="6">
        <f>IF(OR($BJ260="",20&gt;設定!$B$3),"",IF(INDEX(原始資料!W$2:W$501,$BJ260)="","",INDEX(原始資料!W$2:W$501,$BJ260)))</f>
        <v/>
      </c>
      <c r="V260" s="6">
        <f>IF(OR($BJ260="",21&gt;設定!$B$3),"",IF(INDEX(原始資料!X$2:X$501,$BJ260)="","",INDEX(原始資料!X$2:X$501,$BJ260)))</f>
        <v/>
      </c>
      <c r="W260" s="6">
        <f>IF(OR($BJ260="",22&gt;設定!$B$3),"",IF(INDEX(原始資料!Y$2:Y$501,$BJ260)="","",INDEX(原始資料!Y$2:Y$501,$BJ260)))</f>
        <v/>
      </c>
      <c r="X260" s="6">
        <f>IF(OR($BJ260="",23&gt;設定!$B$3),"",IF(INDEX(原始資料!Z$2:Z$501,$BJ260)="","",INDEX(原始資料!Z$2:Z$501,$BJ260)))</f>
        <v/>
      </c>
      <c r="Y260" s="6">
        <f>IF(OR($BJ260="",24&gt;設定!$B$3),"",IF(INDEX(原始資料!AA$2:AA$501,$BJ260)="","",INDEX(原始資料!AA$2:AA$501,$BJ260)))</f>
        <v/>
      </c>
      <c r="Z260" s="6">
        <f>IF(OR($BJ260="",25&gt;設定!$B$3),"",IF(INDEX(原始資料!AB$2:AB$501,$BJ260)="","",INDEX(原始資料!AB$2:AB$501,$BJ260)))</f>
        <v/>
      </c>
      <c r="AA260" s="6">
        <f>IF(OR($BJ260="",26&gt;設定!$B$3),"",IF(INDEX(原始資料!AC$2:AC$501,$BJ260)="","",INDEX(原始資料!AC$2:AC$501,$BJ260)))</f>
        <v/>
      </c>
      <c r="AB260" s="6">
        <f>IF(OR($BJ260="",27&gt;設定!$B$3),"",IF(INDEX(原始資料!AD$2:AD$501,$BJ260)="","",INDEX(原始資料!AD$2:AD$501,$BJ260)))</f>
        <v/>
      </c>
      <c r="AC260" s="6">
        <f>IF(OR($BJ260="",28&gt;設定!$B$3),"",IF(INDEX(原始資料!AE$2:AE$501,$BJ260)="","",INDEX(原始資料!AE$2:AE$501,$BJ260)))</f>
        <v/>
      </c>
      <c r="AD260" s="6">
        <f>IF(OR($BJ260="",29&gt;設定!$B$3),"",IF(INDEX(原始資料!AF$2:AF$501,$BJ260)="","",INDEX(原始資料!AF$2:AF$501,$BJ260)))</f>
        <v/>
      </c>
      <c r="AE260" s="6">
        <f>IF(OR($BJ260="",30&gt;設定!$B$3),"",IF(INDEX(原始資料!AG$2:AG$501,$BJ260)="","",INDEX(原始資料!AG$2:AG$501,$BJ260)))</f>
        <v/>
      </c>
      <c r="AF260" s="6">
        <f>IF(OR($BJ260="",31&gt;設定!$B$3),"",IF(INDEX(原始資料!AH$2:AH$501,$BJ260)="","",INDEX(原始資料!AH$2:AH$501,$BJ260)))</f>
        <v/>
      </c>
      <c r="AG260" s="6">
        <f>IF(OR($BJ260="",32&gt;設定!$B$3),"",IF(INDEX(原始資料!AI$2:AI$501,$BJ260)="","",INDEX(原始資料!AI$2:AI$501,$BJ260)))</f>
        <v/>
      </c>
      <c r="AH260" s="6">
        <f>IF(OR($BJ260="",33&gt;設定!$B$3),"",IF(INDEX(原始資料!AJ$2:AJ$501,$BJ260)="","",INDEX(原始資料!AJ$2:AJ$501,$BJ260)))</f>
        <v/>
      </c>
      <c r="AI260" s="6">
        <f>IF(OR($BJ260="",34&gt;設定!$B$3),"",IF(INDEX(原始資料!AK$2:AK$501,$BJ260)="","",INDEX(原始資料!AK$2:AK$501,$BJ260)))</f>
        <v/>
      </c>
      <c r="AJ260" s="6">
        <f>IF(OR($BJ260="",35&gt;設定!$B$3),"",IF(INDEX(原始資料!AL$2:AL$501,$BJ260)="","",INDEX(原始資料!AL$2:AL$501,$BJ260)))</f>
        <v/>
      </c>
      <c r="AK260" s="6">
        <f>IF(OR($BJ260="",36&gt;設定!$B$3),"",IF(INDEX(原始資料!AM$2:AM$501,$BJ260)="","",INDEX(原始資料!AM$2:AM$501,$BJ260)))</f>
        <v/>
      </c>
      <c r="AL260" s="6">
        <f>IF(OR($BJ260="",37&gt;設定!$B$3),"",IF(INDEX(原始資料!AN$2:AN$501,$BJ260)="","",INDEX(原始資料!AN$2:AN$501,$BJ260)))</f>
        <v/>
      </c>
      <c r="AM260" s="6">
        <f>IF(OR($BJ260="",38&gt;設定!$B$3),"",IF(INDEX(原始資料!AO$2:AO$501,$BJ260)="","",INDEX(原始資料!AO$2:AO$501,$BJ260)))</f>
        <v/>
      </c>
      <c r="AN260" s="6">
        <f>IF(OR($BJ260="",39&gt;設定!$B$3),"",IF(INDEX(原始資料!AP$2:AP$501,$BJ260)="","",INDEX(原始資料!AP$2:AP$501,$BJ260)))</f>
        <v/>
      </c>
      <c r="AO260" s="6">
        <f>IF(OR($BJ260="",40&gt;設定!$B$3),"",IF(INDEX(原始資料!AQ$2:AQ$501,$BJ260)="","",INDEX(原始資料!AQ$2:AQ$501,$BJ260)))</f>
        <v/>
      </c>
      <c r="AP260" s="6">
        <f>IF(OR($BJ260="",41&gt;設定!$B$3),"",IF(INDEX(原始資料!AR$2:AR$501,$BJ260)="","",INDEX(原始資料!AR$2:AR$501,$BJ260)))</f>
        <v/>
      </c>
      <c r="AQ260" s="6">
        <f>IF(OR($BJ260="",42&gt;設定!$B$3),"",IF(INDEX(原始資料!AS$2:AS$501,$BJ260)="","",INDEX(原始資料!AS$2:AS$501,$BJ260)))</f>
        <v/>
      </c>
      <c r="AR260" s="6">
        <f>IF(OR($BJ260="",43&gt;設定!$B$3),"",IF(INDEX(原始資料!AT$2:AT$501,$BJ260)="","",INDEX(原始資料!AT$2:AT$501,$BJ260)))</f>
        <v/>
      </c>
      <c r="AS260" s="6">
        <f>IF(OR($BJ260="",44&gt;設定!$B$3),"",IF(INDEX(原始資料!AU$2:AU$501,$BJ260)="","",INDEX(原始資料!AU$2:AU$501,$BJ260)))</f>
        <v/>
      </c>
      <c r="AT260" s="6">
        <f>IF(OR($BJ260="",45&gt;設定!$B$3),"",IF(INDEX(原始資料!AV$2:AV$501,$BJ260)="","",INDEX(原始資料!AV$2:AV$501,$BJ260)))</f>
        <v/>
      </c>
      <c r="AU260" s="6">
        <f>IF(OR($BJ260="",46&gt;設定!$B$3),"",IF(INDEX(原始資料!AW$2:AW$501,$BJ260)="","",INDEX(原始資料!AW$2:AW$501,$BJ260)))</f>
        <v/>
      </c>
      <c r="AV260" s="6">
        <f>IF(OR($BJ260="",47&gt;設定!$B$3),"",IF(INDEX(原始資料!AX$2:AX$501,$BJ260)="","",INDEX(原始資料!AX$2:AX$501,$BJ260)))</f>
        <v/>
      </c>
      <c r="AW260" s="6">
        <f>IF(OR($BJ260="",48&gt;設定!$B$3),"",IF(INDEX(原始資料!AY$2:AY$501,$BJ260)="","",INDEX(原始資料!AY$2:AY$501,$BJ260)))</f>
        <v/>
      </c>
      <c r="AX260" s="6">
        <f>IF(OR($BJ260="",49&gt;設定!$B$3),"",IF(INDEX(原始資料!AZ$2:AZ$501,$BJ260)="","",INDEX(原始資料!AZ$2:AZ$501,$BJ260)))</f>
        <v/>
      </c>
      <c r="AY260" s="6">
        <f>IF(OR($BJ260="",50&gt;設定!$B$3),"",IF(INDEX(原始資料!BA$2:BA$501,$BJ260)="","",INDEX(原始資料!BA$2:BA$501,$BJ260)))</f>
        <v/>
      </c>
      <c r="AZ260" s="6">
        <f>IF(OR($BJ260="",51&gt;設定!$B$3),"",IF(INDEX(原始資料!BB$2:BB$501,$BJ260)="","",INDEX(原始資料!BB$2:BB$501,$BJ260)))</f>
        <v/>
      </c>
      <c r="BA260" s="6">
        <f>IF(OR($BJ260="",52&gt;設定!$B$3),"",IF(INDEX(原始資料!BC$2:BC$501,$BJ260)="","",INDEX(原始資料!BC$2:BC$501,$BJ260)))</f>
        <v/>
      </c>
      <c r="BB260" s="6">
        <f>IF(OR($BJ260="",53&gt;設定!$B$3),"",IF(INDEX(原始資料!BD$2:BD$501,$BJ260)="","",INDEX(原始資料!BD$2:BD$501,$BJ260)))</f>
        <v/>
      </c>
      <c r="BC260" s="6">
        <f>IF(OR($BJ260="",54&gt;設定!$B$3),"",IF(INDEX(原始資料!BE$2:BE$501,$BJ260)="","",INDEX(原始資料!BE$2:BE$501,$BJ260)))</f>
        <v/>
      </c>
      <c r="BD260" s="6">
        <f>IF(OR($BJ260="",55&gt;設定!$B$3),"",IF(INDEX(原始資料!BF$2:BF$501,$BJ260)="","",INDEX(原始資料!BF$2:BF$501,$BJ260)))</f>
        <v/>
      </c>
      <c r="BE260" s="6">
        <f>IF(OR($BJ260="",56&gt;設定!$B$3),"",IF(INDEX(原始資料!BG$2:BG$501,$BJ260)="","",INDEX(原始資料!BG$2:BG$501,$BJ260)))</f>
        <v/>
      </c>
      <c r="BF260" s="6">
        <f>IF(OR($BJ260="",57&gt;設定!$B$3),"",IF(INDEX(原始資料!BH$2:BH$501,$BJ260)="","",INDEX(原始資料!BH$2:BH$501,$BJ260)))</f>
        <v/>
      </c>
      <c r="BG260" s="6">
        <f>IF(OR($BJ260="",58&gt;設定!$B$3),"",IF(INDEX(原始資料!BI$2:BI$501,$BJ260)="","",INDEX(原始資料!BI$2:BI$501,$BJ260)))</f>
        <v/>
      </c>
      <c r="BH260" s="6">
        <f>IF(OR($BJ260="",59&gt;設定!$B$3),"",IF(INDEX(原始資料!BJ$2:BJ$501,$BJ260)="","",INDEX(原始資料!BJ$2:BJ$501,$BJ260)))</f>
        <v/>
      </c>
      <c r="BI260" s="6">
        <f>IF(OR($BJ260="",60&gt;設定!$B$3),"",IF(INDEX(原始資料!BK$2:BK$501,$BJ260)="","",INDEX(原始資料!BK$2:BK$501,$BJ260)))</f>
        <v/>
      </c>
      <c r="BJ260" s="6">
        <f>IFERROR(MATCH(ROW()-1,判定!$H$2:$H$501,0),"")</f>
        <v/>
      </c>
    </row>
    <row r="261">
      <c r="A261" s="6">
        <f>IF($BJ261="","",INDEX(原始資料!$A$2:$A$501,$BJ261))</f>
        <v/>
      </c>
      <c r="B261" s="6">
        <f>IF(OR($BJ261="",1&gt;設定!$B$3),"",IF(INDEX(原始資料!D$2:D$501,$BJ261)="","",INDEX(原始資料!D$2:D$501,$BJ261)))</f>
        <v/>
      </c>
      <c r="C261" s="6">
        <f>IF(OR($BJ261="",2&gt;設定!$B$3),"",IF(INDEX(原始資料!E$2:E$501,$BJ261)="","",INDEX(原始資料!E$2:E$501,$BJ261)))</f>
        <v/>
      </c>
      <c r="D261" s="6">
        <f>IF(OR($BJ261="",3&gt;設定!$B$3),"",IF(INDEX(原始資料!F$2:F$501,$BJ261)="","",INDEX(原始資料!F$2:F$501,$BJ261)))</f>
        <v/>
      </c>
      <c r="E261" s="6">
        <f>IF(OR($BJ261="",4&gt;設定!$B$3),"",IF(INDEX(原始資料!G$2:G$501,$BJ261)="","",INDEX(原始資料!G$2:G$501,$BJ261)))</f>
        <v/>
      </c>
      <c r="F261" s="6">
        <f>IF(OR($BJ261="",5&gt;設定!$B$3),"",IF(INDEX(原始資料!H$2:H$501,$BJ261)="","",INDEX(原始資料!H$2:H$501,$BJ261)))</f>
        <v/>
      </c>
      <c r="G261" s="6">
        <f>IF(OR($BJ261="",6&gt;設定!$B$3),"",IF(INDEX(原始資料!I$2:I$501,$BJ261)="","",INDEX(原始資料!I$2:I$501,$BJ261)))</f>
        <v/>
      </c>
      <c r="H261" s="6">
        <f>IF(OR($BJ261="",7&gt;設定!$B$3),"",IF(INDEX(原始資料!J$2:J$501,$BJ261)="","",INDEX(原始資料!J$2:J$501,$BJ261)))</f>
        <v/>
      </c>
      <c r="I261" s="6">
        <f>IF(OR($BJ261="",8&gt;設定!$B$3),"",IF(INDEX(原始資料!K$2:K$501,$BJ261)="","",INDEX(原始資料!K$2:K$501,$BJ261)))</f>
        <v/>
      </c>
      <c r="J261" s="6">
        <f>IF(OR($BJ261="",9&gt;設定!$B$3),"",IF(INDEX(原始資料!L$2:L$501,$BJ261)="","",INDEX(原始資料!L$2:L$501,$BJ261)))</f>
        <v/>
      </c>
      <c r="K261" s="6">
        <f>IF(OR($BJ261="",10&gt;設定!$B$3),"",IF(INDEX(原始資料!M$2:M$501,$BJ261)="","",INDEX(原始資料!M$2:M$501,$BJ261)))</f>
        <v/>
      </c>
      <c r="L261" s="6">
        <f>IF(OR($BJ261="",11&gt;設定!$B$3),"",IF(INDEX(原始資料!N$2:N$501,$BJ261)="","",INDEX(原始資料!N$2:N$501,$BJ261)))</f>
        <v/>
      </c>
      <c r="M261" s="6">
        <f>IF(OR($BJ261="",12&gt;設定!$B$3),"",IF(INDEX(原始資料!O$2:O$501,$BJ261)="","",INDEX(原始資料!O$2:O$501,$BJ261)))</f>
        <v/>
      </c>
      <c r="N261" s="6">
        <f>IF(OR($BJ261="",13&gt;設定!$B$3),"",IF(INDEX(原始資料!P$2:P$501,$BJ261)="","",INDEX(原始資料!P$2:P$501,$BJ261)))</f>
        <v/>
      </c>
      <c r="O261" s="6">
        <f>IF(OR($BJ261="",14&gt;設定!$B$3),"",IF(INDEX(原始資料!Q$2:Q$501,$BJ261)="","",INDEX(原始資料!Q$2:Q$501,$BJ261)))</f>
        <v/>
      </c>
      <c r="P261" s="6">
        <f>IF(OR($BJ261="",15&gt;設定!$B$3),"",IF(INDEX(原始資料!R$2:R$501,$BJ261)="","",INDEX(原始資料!R$2:R$501,$BJ261)))</f>
        <v/>
      </c>
      <c r="Q261" s="6">
        <f>IF(OR($BJ261="",16&gt;設定!$B$3),"",IF(INDEX(原始資料!S$2:S$501,$BJ261)="","",INDEX(原始資料!S$2:S$501,$BJ261)))</f>
        <v/>
      </c>
      <c r="R261" s="6">
        <f>IF(OR($BJ261="",17&gt;設定!$B$3),"",IF(INDEX(原始資料!T$2:T$501,$BJ261)="","",INDEX(原始資料!T$2:T$501,$BJ261)))</f>
        <v/>
      </c>
      <c r="S261" s="6">
        <f>IF(OR($BJ261="",18&gt;設定!$B$3),"",IF(INDEX(原始資料!U$2:U$501,$BJ261)="","",INDEX(原始資料!U$2:U$501,$BJ261)))</f>
        <v/>
      </c>
      <c r="T261" s="6">
        <f>IF(OR($BJ261="",19&gt;設定!$B$3),"",IF(INDEX(原始資料!V$2:V$501,$BJ261)="","",INDEX(原始資料!V$2:V$501,$BJ261)))</f>
        <v/>
      </c>
      <c r="U261" s="6">
        <f>IF(OR($BJ261="",20&gt;設定!$B$3),"",IF(INDEX(原始資料!W$2:W$501,$BJ261)="","",INDEX(原始資料!W$2:W$501,$BJ261)))</f>
        <v/>
      </c>
      <c r="V261" s="6">
        <f>IF(OR($BJ261="",21&gt;設定!$B$3),"",IF(INDEX(原始資料!X$2:X$501,$BJ261)="","",INDEX(原始資料!X$2:X$501,$BJ261)))</f>
        <v/>
      </c>
      <c r="W261" s="6">
        <f>IF(OR($BJ261="",22&gt;設定!$B$3),"",IF(INDEX(原始資料!Y$2:Y$501,$BJ261)="","",INDEX(原始資料!Y$2:Y$501,$BJ261)))</f>
        <v/>
      </c>
      <c r="X261" s="6">
        <f>IF(OR($BJ261="",23&gt;設定!$B$3),"",IF(INDEX(原始資料!Z$2:Z$501,$BJ261)="","",INDEX(原始資料!Z$2:Z$501,$BJ261)))</f>
        <v/>
      </c>
      <c r="Y261" s="6">
        <f>IF(OR($BJ261="",24&gt;設定!$B$3),"",IF(INDEX(原始資料!AA$2:AA$501,$BJ261)="","",INDEX(原始資料!AA$2:AA$501,$BJ261)))</f>
        <v/>
      </c>
      <c r="Z261" s="6">
        <f>IF(OR($BJ261="",25&gt;設定!$B$3),"",IF(INDEX(原始資料!AB$2:AB$501,$BJ261)="","",INDEX(原始資料!AB$2:AB$501,$BJ261)))</f>
        <v/>
      </c>
      <c r="AA261" s="6">
        <f>IF(OR($BJ261="",26&gt;設定!$B$3),"",IF(INDEX(原始資料!AC$2:AC$501,$BJ261)="","",INDEX(原始資料!AC$2:AC$501,$BJ261)))</f>
        <v/>
      </c>
      <c r="AB261" s="6">
        <f>IF(OR($BJ261="",27&gt;設定!$B$3),"",IF(INDEX(原始資料!AD$2:AD$501,$BJ261)="","",INDEX(原始資料!AD$2:AD$501,$BJ261)))</f>
        <v/>
      </c>
      <c r="AC261" s="6">
        <f>IF(OR($BJ261="",28&gt;設定!$B$3),"",IF(INDEX(原始資料!AE$2:AE$501,$BJ261)="","",INDEX(原始資料!AE$2:AE$501,$BJ261)))</f>
        <v/>
      </c>
      <c r="AD261" s="6">
        <f>IF(OR($BJ261="",29&gt;設定!$B$3),"",IF(INDEX(原始資料!AF$2:AF$501,$BJ261)="","",INDEX(原始資料!AF$2:AF$501,$BJ261)))</f>
        <v/>
      </c>
      <c r="AE261" s="6">
        <f>IF(OR($BJ261="",30&gt;設定!$B$3),"",IF(INDEX(原始資料!AG$2:AG$501,$BJ261)="","",INDEX(原始資料!AG$2:AG$501,$BJ261)))</f>
        <v/>
      </c>
      <c r="AF261" s="6">
        <f>IF(OR($BJ261="",31&gt;設定!$B$3),"",IF(INDEX(原始資料!AH$2:AH$501,$BJ261)="","",INDEX(原始資料!AH$2:AH$501,$BJ261)))</f>
        <v/>
      </c>
      <c r="AG261" s="6">
        <f>IF(OR($BJ261="",32&gt;設定!$B$3),"",IF(INDEX(原始資料!AI$2:AI$501,$BJ261)="","",INDEX(原始資料!AI$2:AI$501,$BJ261)))</f>
        <v/>
      </c>
      <c r="AH261" s="6">
        <f>IF(OR($BJ261="",33&gt;設定!$B$3),"",IF(INDEX(原始資料!AJ$2:AJ$501,$BJ261)="","",INDEX(原始資料!AJ$2:AJ$501,$BJ261)))</f>
        <v/>
      </c>
      <c r="AI261" s="6">
        <f>IF(OR($BJ261="",34&gt;設定!$B$3),"",IF(INDEX(原始資料!AK$2:AK$501,$BJ261)="","",INDEX(原始資料!AK$2:AK$501,$BJ261)))</f>
        <v/>
      </c>
      <c r="AJ261" s="6">
        <f>IF(OR($BJ261="",35&gt;設定!$B$3),"",IF(INDEX(原始資料!AL$2:AL$501,$BJ261)="","",INDEX(原始資料!AL$2:AL$501,$BJ261)))</f>
        <v/>
      </c>
      <c r="AK261" s="6">
        <f>IF(OR($BJ261="",36&gt;設定!$B$3),"",IF(INDEX(原始資料!AM$2:AM$501,$BJ261)="","",INDEX(原始資料!AM$2:AM$501,$BJ261)))</f>
        <v/>
      </c>
      <c r="AL261" s="6">
        <f>IF(OR($BJ261="",37&gt;設定!$B$3),"",IF(INDEX(原始資料!AN$2:AN$501,$BJ261)="","",INDEX(原始資料!AN$2:AN$501,$BJ261)))</f>
        <v/>
      </c>
      <c r="AM261" s="6">
        <f>IF(OR($BJ261="",38&gt;設定!$B$3),"",IF(INDEX(原始資料!AO$2:AO$501,$BJ261)="","",INDEX(原始資料!AO$2:AO$501,$BJ261)))</f>
        <v/>
      </c>
      <c r="AN261" s="6">
        <f>IF(OR($BJ261="",39&gt;設定!$B$3),"",IF(INDEX(原始資料!AP$2:AP$501,$BJ261)="","",INDEX(原始資料!AP$2:AP$501,$BJ261)))</f>
        <v/>
      </c>
      <c r="AO261" s="6">
        <f>IF(OR($BJ261="",40&gt;設定!$B$3),"",IF(INDEX(原始資料!AQ$2:AQ$501,$BJ261)="","",INDEX(原始資料!AQ$2:AQ$501,$BJ261)))</f>
        <v/>
      </c>
      <c r="AP261" s="6">
        <f>IF(OR($BJ261="",41&gt;設定!$B$3),"",IF(INDEX(原始資料!AR$2:AR$501,$BJ261)="","",INDEX(原始資料!AR$2:AR$501,$BJ261)))</f>
        <v/>
      </c>
      <c r="AQ261" s="6">
        <f>IF(OR($BJ261="",42&gt;設定!$B$3),"",IF(INDEX(原始資料!AS$2:AS$501,$BJ261)="","",INDEX(原始資料!AS$2:AS$501,$BJ261)))</f>
        <v/>
      </c>
      <c r="AR261" s="6">
        <f>IF(OR($BJ261="",43&gt;設定!$B$3),"",IF(INDEX(原始資料!AT$2:AT$501,$BJ261)="","",INDEX(原始資料!AT$2:AT$501,$BJ261)))</f>
        <v/>
      </c>
      <c r="AS261" s="6">
        <f>IF(OR($BJ261="",44&gt;設定!$B$3),"",IF(INDEX(原始資料!AU$2:AU$501,$BJ261)="","",INDEX(原始資料!AU$2:AU$501,$BJ261)))</f>
        <v/>
      </c>
      <c r="AT261" s="6">
        <f>IF(OR($BJ261="",45&gt;設定!$B$3),"",IF(INDEX(原始資料!AV$2:AV$501,$BJ261)="","",INDEX(原始資料!AV$2:AV$501,$BJ261)))</f>
        <v/>
      </c>
      <c r="AU261" s="6">
        <f>IF(OR($BJ261="",46&gt;設定!$B$3),"",IF(INDEX(原始資料!AW$2:AW$501,$BJ261)="","",INDEX(原始資料!AW$2:AW$501,$BJ261)))</f>
        <v/>
      </c>
      <c r="AV261" s="6">
        <f>IF(OR($BJ261="",47&gt;設定!$B$3),"",IF(INDEX(原始資料!AX$2:AX$501,$BJ261)="","",INDEX(原始資料!AX$2:AX$501,$BJ261)))</f>
        <v/>
      </c>
      <c r="AW261" s="6">
        <f>IF(OR($BJ261="",48&gt;設定!$B$3),"",IF(INDEX(原始資料!AY$2:AY$501,$BJ261)="","",INDEX(原始資料!AY$2:AY$501,$BJ261)))</f>
        <v/>
      </c>
      <c r="AX261" s="6">
        <f>IF(OR($BJ261="",49&gt;設定!$B$3),"",IF(INDEX(原始資料!AZ$2:AZ$501,$BJ261)="","",INDEX(原始資料!AZ$2:AZ$501,$BJ261)))</f>
        <v/>
      </c>
      <c r="AY261" s="6">
        <f>IF(OR($BJ261="",50&gt;設定!$B$3),"",IF(INDEX(原始資料!BA$2:BA$501,$BJ261)="","",INDEX(原始資料!BA$2:BA$501,$BJ261)))</f>
        <v/>
      </c>
      <c r="AZ261" s="6">
        <f>IF(OR($BJ261="",51&gt;設定!$B$3),"",IF(INDEX(原始資料!BB$2:BB$501,$BJ261)="","",INDEX(原始資料!BB$2:BB$501,$BJ261)))</f>
        <v/>
      </c>
      <c r="BA261" s="6">
        <f>IF(OR($BJ261="",52&gt;設定!$B$3),"",IF(INDEX(原始資料!BC$2:BC$501,$BJ261)="","",INDEX(原始資料!BC$2:BC$501,$BJ261)))</f>
        <v/>
      </c>
      <c r="BB261" s="6">
        <f>IF(OR($BJ261="",53&gt;設定!$B$3),"",IF(INDEX(原始資料!BD$2:BD$501,$BJ261)="","",INDEX(原始資料!BD$2:BD$501,$BJ261)))</f>
        <v/>
      </c>
      <c r="BC261" s="6">
        <f>IF(OR($BJ261="",54&gt;設定!$B$3),"",IF(INDEX(原始資料!BE$2:BE$501,$BJ261)="","",INDEX(原始資料!BE$2:BE$501,$BJ261)))</f>
        <v/>
      </c>
      <c r="BD261" s="6">
        <f>IF(OR($BJ261="",55&gt;設定!$B$3),"",IF(INDEX(原始資料!BF$2:BF$501,$BJ261)="","",INDEX(原始資料!BF$2:BF$501,$BJ261)))</f>
        <v/>
      </c>
      <c r="BE261" s="6">
        <f>IF(OR($BJ261="",56&gt;設定!$B$3),"",IF(INDEX(原始資料!BG$2:BG$501,$BJ261)="","",INDEX(原始資料!BG$2:BG$501,$BJ261)))</f>
        <v/>
      </c>
      <c r="BF261" s="6">
        <f>IF(OR($BJ261="",57&gt;設定!$B$3),"",IF(INDEX(原始資料!BH$2:BH$501,$BJ261)="","",INDEX(原始資料!BH$2:BH$501,$BJ261)))</f>
        <v/>
      </c>
      <c r="BG261" s="6">
        <f>IF(OR($BJ261="",58&gt;設定!$B$3),"",IF(INDEX(原始資料!BI$2:BI$501,$BJ261)="","",INDEX(原始資料!BI$2:BI$501,$BJ261)))</f>
        <v/>
      </c>
      <c r="BH261" s="6">
        <f>IF(OR($BJ261="",59&gt;設定!$B$3),"",IF(INDEX(原始資料!BJ$2:BJ$501,$BJ261)="","",INDEX(原始資料!BJ$2:BJ$501,$BJ261)))</f>
        <v/>
      </c>
      <c r="BI261" s="6">
        <f>IF(OR($BJ261="",60&gt;設定!$B$3),"",IF(INDEX(原始資料!BK$2:BK$501,$BJ261)="","",INDEX(原始資料!BK$2:BK$501,$BJ261)))</f>
        <v/>
      </c>
      <c r="BJ261" s="6">
        <f>IFERROR(MATCH(ROW()-1,判定!$H$2:$H$501,0),"")</f>
        <v/>
      </c>
    </row>
    <row r="262">
      <c r="A262" s="6">
        <f>IF($BJ262="","",INDEX(原始資料!$A$2:$A$501,$BJ262))</f>
        <v/>
      </c>
      <c r="B262" s="6">
        <f>IF(OR($BJ262="",1&gt;設定!$B$3),"",IF(INDEX(原始資料!D$2:D$501,$BJ262)="","",INDEX(原始資料!D$2:D$501,$BJ262)))</f>
        <v/>
      </c>
      <c r="C262" s="6">
        <f>IF(OR($BJ262="",2&gt;設定!$B$3),"",IF(INDEX(原始資料!E$2:E$501,$BJ262)="","",INDEX(原始資料!E$2:E$501,$BJ262)))</f>
        <v/>
      </c>
      <c r="D262" s="6">
        <f>IF(OR($BJ262="",3&gt;設定!$B$3),"",IF(INDEX(原始資料!F$2:F$501,$BJ262)="","",INDEX(原始資料!F$2:F$501,$BJ262)))</f>
        <v/>
      </c>
      <c r="E262" s="6">
        <f>IF(OR($BJ262="",4&gt;設定!$B$3),"",IF(INDEX(原始資料!G$2:G$501,$BJ262)="","",INDEX(原始資料!G$2:G$501,$BJ262)))</f>
        <v/>
      </c>
      <c r="F262" s="6">
        <f>IF(OR($BJ262="",5&gt;設定!$B$3),"",IF(INDEX(原始資料!H$2:H$501,$BJ262)="","",INDEX(原始資料!H$2:H$501,$BJ262)))</f>
        <v/>
      </c>
      <c r="G262" s="6">
        <f>IF(OR($BJ262="",6&gt;設定!$B$3),"",IF(INDEX(原始資料!I$2:I$501,$BJ262)="","",INDEX(原始資料!I$2:I$501,$BJ262)))</f>
        <v/>
      </c>
      <c r="H262" s="6">
        <f>IF(OR($BJ262="",7&gt;設定!$B$3),"",IF(INDEX(原始資料!J$2:J$501,$BJ262)="","",INDEX(原始資料!J$2:J$501,$BJ262)))</f>
        <v/>
      </c>
      <c r="I262" s="6">
        <f>IF(OR($BJ262="",8&gt;設定!$B$3),"",IF(INDEX(原始資料!K$2:K$501,$BJ262)="","",INDEX(原始資料!K$2:K$501,$BJ262)))</f>
        <v/>
      </c>
      <c r="J262" s="6">
        <f>IF(OR($BJ262="",9&gt;設定!$B$3),"",IF(INDEX(原始資料!L$2:L$501,$BJ262)="","",INDEX(原始資料!L$2:L$501,$BJ262)))</f>
        <v/>
      </c>
      <c r="K262" s="6">
        <f>IF(OR($BJ262="",10&gt;設定!$B$3),"",IF(INDEX(原始資料!M$2:M$501,$BJ262)="","",INDEX(原始資料!M$2:M$501,$BJ262)))</f>
        <v/>
      </c>
      <c r="L262" s="6">
        <f>IF(OR($BJ262="",11&gt;設定!$B$3),"",IF(INDEX(原始資料!N$2:N$501,$BJ262)="","",INDEX(原始資料!N$2:N$501,$BJ262)))</f>
        <v/>
      </c>
      <c r="M262" s="6">
        <f>IF(OR($BJ262="",12&gt;設定!$B$3),"",IF(INDEX(原始資料!O$2:O$501,$BJ262)="","",INDEX(原始資料!O$2:O$501,$BJ262)))</f>
        <v/>
      </c>
      <c r="N262" s="6">
        <f>IF(OR($BJ262="",13&gt;設定!$B$3),"",IF(INDEX(原始資料!P$2:P$501,$BJ262)="","",INDEX(原始資料!P$2:P$501,$BJ262)))</f>
        <v/>
      </c>
      <c r="O262" s="6">
        <f>IF(OR($BJ262="",14&gt;設定!$B$3),"",IF(INDEX(原始資料!Q$2:Q$501,$BJ262)="","",INDEX(原始資料!Q$2:Q$501,$BJ262)))</f>
        <v/>
      </c>
      <c r="P262" s="6">
        <f>IF(OR($BJ262="",15&gt;設定!$B$3),"",IF(INDEX(原始資料!R$2:R$501,$BJ262)="","",INDEX(原始資料!R$2:R$501,$BJ262)))</f>
        <v/>
      </c>
      <c r="Q262" s="6">
        <f>IF(OR($BJ262="",16&gt;設定!$B$3),"",IF(INDEX(原始資料!S$2:S$501,$BJ262)="","",INDEX(原始資料!S$2:S$501,$BJ262)))</f>
        <v/>
      </c>
      <c r="R262" s="6">
        <f>IF(OR($BJ262="",17&gt;設定!$B$3),"",IF(INDEX(原始資料!T$2:T$501,$BJ262)="","",INDEX(原始資料!T$2:T$501,$BJ262)))</f>
        <v/>
      </c>
      <c r="S262" s="6">
        <f>IF(OR($BJ262="",18&gt;設定!$B$3),"",IF(INDEX(原始資料!U$2:U$501,$BJ262)="","",INDEX(原始資料!U$2:U$501,$BJ262)))</f>
        <v/>
      </c>
      <c r="T262" s="6">
        <f>IF(OR($BJ262="",19&gt;設定!$B$3),"",IF(INDEX(原始資料!V$2:V$501,$BJ262)="","",INDEX(原始資料!V$2:V$501,$BJ262)))</f>
        <v/>
      </c>
      <c r="U262" s="6">
        <f>IF(OR($BJ262="",20&gt;設定!$B$3),"",IF(INDEX(原始資料!W$2:W$501,$BJ262)="","",INDEX(原始資料!W$2:W$501,$BJ262)))</f>
        <v/>
      </c>
      <c r="V262" s="6">
        <f>IF(OR($BJ262="",21&gt;設定!$B$3),"",IF(INDEX(原始資料!X$2:X$501,$BJ262)="","",INDEX(原始資料!X$2:X$501,$BJ262)))</f>
        <v/>
      </c>
      <c r="W262" s="6">
        <f>IF(OR($BJ262="",22&gt;設定!$B$3),"",IF(INDEX(原始資料!Y$2:Y$501,$BJ262)="","",INDEX(原始資料!Y$2:Y$501,$BJ262)))</f>
        <v/>
      </c>
      <c r="X262" s="6">
        <f>IF(OR($BJ262="",23&gt;設定!$B$3),"",IF(INDEX(原始資料!Z$2:Z$501,$BJ262)="","",INDEX(原始資料!Z$2:Z$501,$BJ262)))</f>
        <v/>
      </c>
      <c r="Y262" s="6">
        <f>IF(OR($BJ262="",24&gt;設定!$B$3),"",IF(INDEX(原始資料!AA$2:AA$501,$BJ262)="","",INDEX(原始資料!AA$2:AA$501,$BJ262)))</f>
        <v/>
      </c>
      <c r="Z262" s="6">
        <f>IF(OR($BJ262="",25&gt;設定!$B$3),"",IF(INDEX(原始資料!AB$2:AB$501,$BJ262)="","",INDEX(原始資料!AB$2:AB$501,$BJ262)))</f>
        <v/>
      </c>
      <c r="AA262" s="6">
        <f>IF(OR($BJ262="",26&gt;設定!$B$3),"",IF(INDEX(原始資料!AC$2:AC$501,$BJ262)="","",INDEX(原始資料!AC$2:AC$501,$BJ262)))</f>
        <v/>
      </c>
      <c r="AB262" s="6">
        <f>IF(OR($BJ262="",27&gt;設定!$B$3),"",IF(INDEX(原始資料!AD$2:AD$501,$BJ262)="","",INDEX(原始資料!AD$2:AD$501,$BJ262)))</f>
        <v/>
      </c>
      <c r="AC262" s="6">
        <f>IF(OR($BJ262="",28&gt;設定!$B$3),"",IF(INDEX(原始資料!AE$2:AE$501,$BJ262)="","",INDEX(原始資料!AE$2:AE$501,$BJ262)))</f>
        <v/>
      </c>
      <c r="AD262" s="6">
        <f>IF(OR($BJ262="",29&gt;設定!$B$3),"",IF(INDEX(原始資料!AF$2:AF$501,$BJ262)="","",INDEX(原始資料!AF$2:AF$501,$BJ262)))</f>
        <v/>
      </c>
      <c r="AE262" s="6">
        <f>IF(OR($BJ262="",30&gt;設定!$B$3),"",IF(INDEX(原始資料!AG$2:AG$501,$BJ262)="","",INDEX(原始資料!AG$2:AG$501,$BJ262)))</f>
        <v/>
      </c>
      <c r="AF262" s="6">
        <f>IF(OR($BJ262="",31&gt;設定!$B$3),"",IF(INDEX(原始資料!AH$2:AH$501,$BJ262)="","",INDEX(原始資料!AH$2:AH$501,$BJ262)))</f>
        <v/>
      </c>
      <c r="AG262" s="6">
        <f>IF(OR($BJ262="",32&gt;設定!$B$3),"",IF(INDEX(原始資料!AI$2:AI$501,$BJ262)="","",INDEX(原始資料!AI$2:AI$501,$BJ262)))</f>
        <v/>
      </c>
      <c r="AH262" s="6">
        <f>IF(OR($BJ262="",33&gt;設定!$B$3),"",IF(INDEX(原始資料!AJ$2:AJ$501,$BJ262)="","",INDEX(原始資料!AJ$2:AJ$501,$BJ262)))</f>
        <v/>
      </c>
      <c r="AI262" s="6">
        <f>IF(OR($BJ262="",34&gt;設定!$B$3),"",IF(INDEX(原始資料!AK$2:AK$501,$BJ262)="","",INDEX(原始資料!AK$2:AK$501,$BJ262)))</f>
        <v/>
      </c>
      <c r="AJ262" s="6">
        <f>IF(OR($BJ262="",35&gt;設定!$B$3),"",IF(INDEX(原始資料!AL$2:AL$501,$BJ262)="","",INDEX(原始資料!AL$2:AL$501,$BJ262)))</f>
        <v/>
      </c>
      <c r="AK262" s="6">
        <f>IF(OR($BJ262="",36&gt;設定!$B$3),"",IF(INDEX(原始資料!AM$2:AM$501,$BJ262)="","",INDEX(原始資料!AM$2:AM$501,$BJ262)))</f>
        <v/>
      </c>
      <c r="AL262" s="6">
        <f>IF(OR($BJ262="",37&gt;設定!$B$3),"",IF(INDEX(原始資料!AN$2:AN$501,$BJ262)="","",INDEX(原始資料!AN$2:AN$501,$BJ262)))</f>
        <v/>
      </c>
      <c r="AM262" s="6">
        <f>IF(OR($BJ262="",38&gt;設定!$B$3),"",IF(INDEX(原始資料!AO$2:AO$501,$BJ262)="","",INDEX(原始資料!AO$2:AO$501,$BJ262)))</f>
        <v/>
      </c>
      <c r="AN262" s="6">
        <f>IF(OR($BJ262="",39&gt;設定!$B$3),"",IF(INDEX(原始資料!AP$2:AP$501,$BJ262)="","",INDEX(原始資料!AP$2:AP$501,$BJ262)))</f>
        <v/>
      </c>
      <c r="AO262" s="6">
        <f>IF(OR($BJ262="",40&gt;設定!$B$3),"",IF(INDEX(原始資料!AQ$2:AQ$501,$BJ262)="","",INDEX(原始資料!AQ$2:AQ$501,$BJ262)))</f>
        <v/>
      </c>
      <c r="AP262" s="6">
        <f>IF(OR($BJ262="",41&gt;設定!$B$3),"",IF(INDEX(原始資料!AR$2:AR$501,$BJ262)="","",INDEX(原始資料!AR$2:AR$501,$BJ262)))</f>
        <v/>
      </c>
      <c r="AQ262" s="6">
        <f>IF(OR($BJ262="",42&gt;設定!$B$3),"",IF(INDEX(原始資料!AS$2:AS$501,$BJ262)="","",INDEX(原始資料!AS$2:AS$501,$BJ262)))</f>
        <v/>
      </c>
      <c r="AR262" s="6">
        <f>IF(OR($BJ262="",43&gt;設定!$B$3),"",IF(INDEX(原始資料!AT$2:AT$501,$BJ262)="","",INDEX(原始資料!AT$2:AT$501,$BJ262)))</f>
        <v/>
      </c>
      <c r="AS262" s="6">
        <f>IF(OR($BJ262="",44&gt;設定!$B$3),"",IF(INDEX(原始資料!AU$2:AU$501,$BJ262)="","",INDEX(原始資料!AU$2:AU$501,$BJ262)))</f>
        <v/>
      </c>
      <c r="AT262" s="6">
        <f>IF(OR($BJ262="",45&gt;設定!$B$3),"",IF(INDEX(原始資料!AV$2:AV$501,$BJ262)="","",INDEX(原始資料!AV$2:AV$501,$BJ262)))</f>
        <v/>
      </c>
      <c r="AU262" s="6">
        <f>IF(OR($BJ262="",46&gt;設定!$B$3),"",IF(INDEX(原始資料!AW$2:AW$501,$BJ262)="","",INDEX(原始資料!AW$2:AW$501,$BJ262)))</f>
        <v/>
      </c>
      <c r="AV262" s="6">
        <f>IF(OR($BJ262="",47&gt;設定!$B$3),"",IF(INDEX(原始資料!AX$2:AX$501,$BJ262)="","",INDEX(原始資料!AX$2:AX$501,$BJ262)))</f>
        <v/>
      </c>
      <c r="AW262" s="6">
        <f>IF(OR($BJ262="",48&gt;設定!$B$3),"",IF(INDEX(原始資料!AY$2:AY$501,$BJ262)="","",INDEX(原始資料!AY$2:AY$501,$BJ262)))</f>
        <v/>
      </c>
      <c r="AX262" s="6">
        <f>IF(OR($BJ262="",49&gt;設定!$B$3),"",IF(INDEX(原始資料!AZ$2:AZ$501,$BJ262)="","",INDEX(原始資料!AZ$2:AZ$501,$BJ262)))</f>
        <v/>
      </c>
      <c r="AY262" s="6">
        <f>IF(OR($BJ262="",50&gt;設定!$B$3),"",IF(INDEX(原始資料!BA$2:BA$501,$BJ262)="","",INDEX(原始資料!BA$2:BA$501,$BJ262)))</f>
        <v/>
      </c>
      <c r="AZ262" s="6">
        <f>IF(OR($BJ262="",51&gt;設定!$B$3),"",IF(INDEX(原始資料!BB$2:BB$501,$BJ262)="","",INDEX(原始資料!BB$2:BB$501,$BJ262)))</f>
        <v/>
      </c>
      <c r="BA262" s="6">
        <f>IF(OR($BJ262="",52&gt;設定!$B$3),"",IF(INDEX(原始資料!BC$2:BC$501,$BJ262)="","",INDEX(原始資料!BC$2:BC$501,$BJ262)))</f>
        <v/>
      </c>
      <c r="BB262" s="6">
        <f>IF(OR($BJ262="",53&gt;設定!$B$3),"",IF(INDEX(原始資料!BD$2:BD$501,$BJ262)="","",INDEX(原始資料!BD$2:BD$501,$BJ262)))</f>
        <v/>
      </c>
      <c r="BC262" s="6">
        <f>IF(OR($BJ262="",54&gt;設定!$B$3),"",IF(INDEX(原始資料!BE$2:BE$501,$BJ262)="","",INDEX(原始資料!BE$2:BE$501,$BJ262)))</f>
        <v/>
      </c>
      <c r="BD262" s="6">
        <f>IF(OR($BJ262="",55&gt;設定!$B$3),"",IF(INDEX(原始資料!BF$2:BF$501,$BJ262)="","",INDEX(原始資料!BF$2:BF$501,$BJ262)))</f>
        <v/>
      </c>
      <c r="BE262" s="6">
        <f>IF(OR($BJ262="",56&gt;設定!$B$3),"",IF(INDEX(原始資料!BG$2:BG$501,$BJ262)="","",INDEX(原始資料!BG$2:BG$501,$BJ262)))</f>
        <v/>
      </c>
      <c r="BF262" s="6">
        <f>IF(OR($BJ262="",57&gt;設定!$B$3),"",IF(INDEX(原始資料!BH$2:BH$501,$BJ262)="","",INDEX(原始資料!BH$2:BH$501,$BJ262)))</f>
        <v/>
      </c>
      <c r="BG262" s="6">
        <f>IF(OR($BJ262="",58&gt;設定!$B$3),"",IF(INDEX(原始資料!BI$2:BI$501,$BJ262)="","",INDEX(原始資料!BI$2:BI$501,$BJ262)))</f>
        <v/>
      </c>
      <c r="BH262" s="6">
        <f>IF(OR($BJ262="",59&gt;設定!$B$3),"",IF(INDEX(原始資料!BJ$2:BJ$501,$BJ262)="","",INDEX(原始資料!BJ$2:BJ$501,$BJ262)))</f>
        <v/>
      </c>
      <c r="BI262" s="6">
        <f>IF(OR($BJ262="",60&gt;設定!$B$3),"",IF(INDEX(原始資料!BK$2:BK$501,$BJ262)="","",INDEX(原始資料!BK$2:BK$501,$BJ262)))</f>
        <v/>
      </c>
      <c r="BJ262" s="6">
        <f>IFERROR(MATCH(ROW()-1,判定!$H$2:$H$501,0),"")</f>
        <v/>
      </c>
    </row>
    <row r="263">
      <c r="A263" s="6">
        <f>IF($BJ263="","",INDEX(原始資料!$A$2:$A$501,$BJ263))</f>
        <v/>
      </c>
      <c r="B263" s="6">
        <f>IF(OR($BJ263="",1&gt;設定!$B$3),"",IF(INDEX(原始資料!D$2:D$501,$BJ263)="","",INDEX(原始資料!D$2:D$501,$BJ263)))</f>
        <v/>
      </c>
      <c r="C263" s="6">
        <f>IF(OR($BJ263="",2&gt;設定!$B$3),"",IF(INDEX(原始資料!E$2:E$501,$BJ263)="","",INDEX(原始資料!E$2:E$501,$BJ263)))</f>
        <v/>
      </c>
      <c r="D263" s="6">
        <f>IF(OR($BJ263="",3&gt;設定!$B$3),"",IF(INDEX(原始資料!F$2:F$501,$BJ263)="","",INDEX(原始資料!F$2:F$501,$BJ263)))</f>
        <v/>
      </c>
      <c r="E263" s="6">
        <f>IF(OR($BJ263="",4&gt;設定!$B$3),"",IF(INDEX(原始資料!G$2:G$501,$BJ263)="","",INDEX(原始資料!G$2:G$501,$BJ263)))</f>
        <v/>
      </c>
      <c r="F263" s="6">
        <f>IF(OR($BJ263="",5&gt;設定!$B$3),"",IF(INDEX(原始資料!H$2:H$501,$BJ263)="","",INDEX(原始資料!H$2:H$501,$BJ263)))</f>
        <v/>
      </c>
      <c r="G263" s="6">
        <f>IF(OR($BJ263="",6&gt;設定!$B$3),"",IF(INDEX(原始資料!I$2:I$501,$BJ263)="","",INDEX(原始資料!I$2:I$501,$BJ263)))</f>
        <v/>
      </c>
      <c r="H263" s="6">
        <f>IF(OR($BJ263="",7&gt;設定!$B$3),"",IF(INDEX(原始資料!J$2:J$501,$BJ263)="","",INDEX(原始資料!J$2:J$501,$BJ263)))</f>
        <v/>
      </c>
      <c r="I263" s="6">
        <f>IF(OR($BJ263="",8&gt;設定!$B$3),"",IF(INDEX(原始資料!K$2:K$501,$BJ263)="","",INDEX(原始資料!K$2:K$501,$BJ263)))</f>
        <v/>
      </c>
      <c r="J263" s="6">
        <f>IF(OR($BJ263="",9&gt;設定!$B$3),"",IF(INDEX(原始資料!L$2:L$501,$BJ263)="","",INDEX(原始資料!L$2:L$501,$BJ263)))</f>
        <v/>
      </c>
      <c r="K263" s="6">
        <f>IF(OR($BJ263="",10&gt;設定!$B$3),"",IF(INDEX(原始資料!M$2:M$501,$BJ263)="","",INDEX(原始資料!M$2:M$501,$BJ263)))</f>
        <v/>
      </c>
      <c r="L263" s="6">
        <f>IF(OR($BJ263="",11&gt;設定!$B$3),"",IF(INDEX(原始資料!N$2:N$501,$BJ263)="","",INDEX(原始資料!N$2:N$501,$BJ263)))</f>
        <v/>
      </c>
      <c r="M263" s="6">
        <f>IF(OR($BJ263="",12&gt;設定!$B$3),"",IF(INDEX(原始資料!O$2:O$501,$BJ263)="","",INDEX(原始資料!O$2:O$501,$BJ263)))</f>
        <v/>
      </c>
      <c r="N263" s="6">
        <f>IF(OR($BJ263="",13&gt;設定!$B$3),"",IF(INDEX(原始資料!P$2:P$501,$BJ263)="","",INDEX(原始資料!P$2:P$501,$BJ263)))</f>
        <v/>
      </c>
      <c r="O263" s="6">
        <f>IF(OR($BJ263="",14&gt;設定!$B$3),"",IF(INDEX(原始資料!Q$2:Q$501,$BJ263)="","",INDEX(原始資料!Q$2:Q$501,$BJ263)))</f>
        <v/>
      </c>
      <c r="P263" s="6">
        <f>IF(OR($BJ263="",15&gt;設定!$B$3),"",IF(INDEX(原始資料!R$2:R$501,$BJ263)="","",INDEX(原始資料!R$2:R$501,$BJ263)))</f>
        <v/>
      </c>
      <c r="Q263" s="6">
        <f>IF(OR($BJ263="",16&gt;設定!$B$3),"",IF(INDEX(原始資料!S$2:S$501,$BJ263)="","",INDEX(原始資料!S$2:S$501,$BJ263)))</f>
        <v/>
      </c>
      <c r="R263" s="6">
        <f>IF(OR($BJ263="",17&gt;設定!$B$3),"",IF(INDEX(原始資料!T$2:T$501,$BJ263)="","",INDEX(原始資料!T$2:T$501,$BJ263)))</f>
        <v/>
      </c>
      <c r="S263" s="6">
        <f>IF(OR($BJ263="",18&gt;設定!$B$3),"",IF(INDEX(原始資料!U$2:U$501,$BJ263)="","",INDEX(原始資料!U$2:U$501,$BJ263)))</f>
        <v/>
      </c>
      <c r="T263" s="6">
        <f>IF(OR($BJ263="",19&gt;設定!$B$3),"",IF(INDEX(原始資料!V$2:V$501,$BJ263)="","",INDEX(原始資料!V$2:V$501,$BJ263)))</f>
        <v/>
      </c>
      <c r="U263" s="6">
        <f>IF(OR($BJ263="",20&gt;設定!$B$3),"",IF(INDEX(原始資料!W$2:W$501,$BJ263)="","",INDEX(原始資料!W$2:W$501,$BJ263)))</f>
        <v/>
      </c>
      <c r="V263" s="6">
        <f>IF(OR($BJ263="",21&gt;設定!$B$3),"",IF(INDEX(原始資料!X$2:X$501,$BJ263)="","",INDEX(原始資料!X$2:X$501,$BJ263)))</f>
        <v/>
      </c>
      <c r="W263" s="6">
        <f>IF(OR($BJ263="",22&gt;設定!$B$3),"",IF(INDEX(原始資料!Y$2:Y$501,$BJ263)="","",INDEX(原始資料!Y$2:Y$501,$BJ263)))</f>
        <v/>
      </c>
      <c r="X263" s="6">
        <f>IF(OR($BJ263="",23&gt;設定!$B$3),"",IF(INDEX(原始資料!Z$2:Z$501,$BJ263)="","",INDEX(原始資料!Z$2:Z$501,$BJ263)))</f>
        <v/>
      </c>
      <c r="Y263" s="6">
        <f>IF(OR($BJ263="",24&gt;設定!$B$3),"",IF(INDEX(原始資料!AA$2:AA$501,$BJ263)="","",INDEX(原始資料!AA$2:AA$501,$BJ263)))</f>
        <v/>
      </c>
      <c r="Z263" s="6">
        <f>IF(OR($BJ263="",25&gt;設定!$B$3),"",IF(INDEX(原始資料!AB$2:AB$501,$BJ263)="","",INDEX(原始資料!AB$2:AB$501,$BJ263)))</f>
        <v/>
      </c>
      <c r="AA263" s="6">
        <f>IF(OR($BJ263="",26&gt;設定!$B$3),"",IF(INDEX(原始資料!AC$2:AC$501,$BJ263)="","",INDEX(原始資料!AC$2:AC$501,$BJ263)))</f>
        <v/>
      </c>
      <c r="AB263" s="6">
        <f>IF(OR($BJ263="",27&gt;設定!$B$3),"",IF(INDEX(原始資料!AD$2:AD$501,$BJ263)="","",INDEX(原始資料!AD$2:AD$501,$BJ263)))</f>
        <v/>
      </c>
      <c r="AC263" s="6">
        <f>IF(OR($BJ263="",28&gt;設定!$B$3),"",IF(INDEX(原始資料!AE$2:AE$501,$BJ263)="","",INDEX(原始資料!AE$2:AE$501,$BJ263)))</f>
        <v/>
      </c>
      <c r="AD263" s="6">
        <f>IF(OR($BJ263="",29&gt;設定!$B$3),"",IF(INDEX(原始資料!AF$2:AF$501,$BJ263)="","",INDEX(原始資料!AF$2:AF$501,$BJ263)))</f>
        <v/>
      </c>
      <c r="AE263" s="6">
        <f>IF(OR($BJ263="",30&gt;設定!$B$3),"",IF(INDEX(原始資料!AG$2:AG$501,$BJ263)="","",INDEX(原始資料!AG$2:AG$501,$BJ263)))</f>
        <v/>
      </c>
      <c r="AF263" s="6">
        <f>IF(OR($BJ263="",31&gt;設定!$B$3),"",IF(INDEX(原始資料!AH$2:AH$501,$BJ263)="","",INDEX(原始資料!AH$2:AH$501,$BJ263)))</f>
        <v/>
      </c>
      <c r="AG263" s="6">
        <f>IF(OR($BJ263="",32&gt;設定!$B$3),"",IF(INDEX(原始資料!AI$2:AI$501,$BJ263)="","",INDEX(原始資料!AI$2:AI$501,$BJ263)))</f>
        <v/>
      </c>
      <c r="AH263" s="6">
        <f>IF(OR($BJ263="",33&gt;設定!$B$3),"",IF(INDEX(原始資料!AJ$2:AJ$501,$BJ263)="","",INDEX(原始資料!AJ$2:AJ$501,$BJ263)))</f>
        <v/>
      </c>
      <c r="AI263" s="6">
        <f>IF(OR($BJ263="",34&gt;設定!$B$3),"",IF(INDEX(原始資料!AK$2:AK$501,$BJ263)="","",INDEX(原始資料!AK$2:AK$501,$BJ263)))</f>
        <v/>
      </c>
      <c r="AJ263" s="6">
        <f>IF(OR($BJ263="",35&gt;設定!$B$3),"",IF(INDEX(原始資料!AL$2:AL$501,$BJ263)="","",INDEX(原始資料!AL$2:AL$501,$BJ263)))</f>
        <v/>
      </c>
      <c r="AK263" s="6">
        <f>IF(OR($BJ263="",36&gt;設定!$B$3),"",IF(INDEX(原始資料!AM$2:AM$501,$BJ263)="","",INDEX(原始資料!AM$2:AM$501,$BJ263)))</f>
        <v/>
      </c>
      <c r="AL263" s="6">
        <f>IF(OR($BJ263="",37&gt;設定!$B$3),"",IF(INDEX(原始資料!AN$2:AN$501,$BJ263)="","",INDEX(原始資料!AN$2:AN$501,$BJ263)))</f>
        <v/>
      </c>
      <c r="AM263" s="6">
        <f>IF(OR($BJ263="",38&gt;設定!$B$3),"",IF(INDEX(原始資料!AO$2:AO$501,$BJ263)="","",INDEX(原始資料!AO$2:AO$501,$BJ263)))</f>
        <v/>
      </c>
      <c r="AN263" s="6">
        <f>IF(OR($BJ263="",39&gt;設定!$B$3),"",IF(INDEX(原始資料!AP$2:AP$501,$BJ263)="","",INDEX(原始資料!AP$2:AP$501,$BJ263)))</f>
        <v/>
      </c>
      <c r="AO263" s="6">
        <f>IF(OR($BJ263="",40&gt;設定!$B$3),"",IF(INDEX(原始資料!AQ$2:AQ$501,$BJ263)="","",INDEX(原始資料!AQ$2:AQ$501,$BJ263)))</f>
        <v/>
      </c>
      <c r="AP263" s="6">
        <f>IF(OR($BJ263="",41&gt;設定!$B$3),"",IF(INDEX(原始資料!AR$2:AR$501,$BJ263)="","",INDEX(原始資料!AR$2:AR$501,$BJ263)))</f>
        <v/>
      </c>
      <c r="AQ263" s="6">
        <f>IF(OR($BJ263="",42&gt;設定!$B$3),"",IF(INDEX(原始資料!AS$2:AS$501,$BJ263)="","",INDEX(原始資料!AS$2:AS$501,$BJ263)))</f>
        <v/>
      </c>
      <c r="AR263" s="6">
        <f>IF(OR($BJ263="",43&gt;設定!$B$3),"",IF(INDEX(原始資料!AT$2:AT$501,$BJ263)="","",INDEX(原始資料!AT$2:AT$501,$BJ263)))</f>
        <v/>
      </c>
      <c r="AS263" s="6">
        <f>IF(OR($BJ263="",44&gt;設定!$B$3),"",IF(INDEX(原始資料!AU$2:AU$501,$BJ263)="","",INDEX(原始資料!AU$2:AU$501,$BJ263)))</f>
        <v/>
      </c>
      <c r="AT263" s="6">
        <f>IF(OR($BJ263="",45&gt;設定!$B$3),"",IF(INDEX(原始資料!AV$2:AV$501,$BJ263)="","",INDEX(原始資料!AV$2:AV$501,$BJ263)))</f>
        <v/>
      </c>
      <c r="AU263" s="6">
        <f>IF(OR($BJ263="",46&gt;設定!$B$3),"",IF(INDEX(原始資料!AW$2:AW$501,$BJ263)="","",INDEX(原始資料!AW$2:AW$501,$BJ263)))</f>
        <v/>
      </c>
      <c r="AV263" s="6">
        <f>IF(OR($BJ263="",47&gt;設定!$B$3),"",IF(INDEX(原始資料!AX$2:AX$501,$BJ263)="","",INDEX(原始資料!AX$2:AX$501,$BJ263)))</f>
        <v/>
      </c>
      <c r="AW263" s="6">
        <f>IF(OR($BJ263="",48&gt;設定!$B$3),"",IF(INDEX(原始資料!AY$2:AY$501,$BJ263)="","",INDEX(原始資料!AY$2:AY$501,$BJ263)))</f>
        <v/>
      </c>
      <c r="AX263" s="6">
        <f>IF(OR($BJ263="",49&gt;設定!$B$3),"",IF(INDEX(原始資料!AZ$2:AZ$501,$BJ263)="","",INDEX(原始資料!AZ$2:AZ$501,$BJ263)))</f>
        <v/>
      </c>
      <c r="AY263" s="6">
        <f>IF(OR($BJ263="",50&gt;設定!$B$3),"",IF(INDEX(原始資料!BA$2:BA$501,$BJ263)="","",INDEX(原始資料!BA$2:BA$501,$BJ263)))</f>
        <v/>
      </c>
      <c r="AZ263" s="6">
        <f>IF(OR($BJ263="",51&gt;設定!$B$3),"",IF(INDEX(原始資料!BB$2:BB$501,$BJ263)="","",INDEX(原始資料!BB$2:BB$501,$BJ263)))</f>
        <v/>
      </c>
      <c r="BA263" s="6">
        <f>IF(OR($BJ263="",52&gt;設定!$B$3),"",IF(INDEX(原始資料!BC$2:BC$501,$BJ263)="","",INDEX(原始資料!BC$2:BC$501,$BJ263)))</f>
        <v/>
      </c>
      <c r="BB263" s="6">
        <f>IF(OR($BJ263="",53&gt;設定!$B$3),"",IF(INDEX(原始資料!BD$2:BD$501,$BJ263)="","",INDEX(原始資料!BD$2:BD$501,$BJ263)))</f>
        <v/>
      </c>
      <c r="BC263" s="6">
        <f>IF(OR($BJ263="",54&gt;設定!$B$3),"",IF(INDEX(原始資料!BE$2:BE$501,$BJ263)="","",INDEX(原始資料!BE$2:BE$501,$BJ263)))</f>
        <v/>
      </c>
      <c r="BD263" s="6">
        <f>IF(OR($BJ263="",55&gt;設定!$B$3),"",IF(INDEX(原始資料!BF$2:BF$501,$BJ263)="","",INDEX(原始資料!BF$2:BF$501,$BJ263)))</f>
        <v/>
      </c>
      <c r="BE263" s="6">
        <f>IF(OR($BJ263="",56&gt;設定!$B$3),"",IF(INDEX(原始資料!BG$2:BG$501,$BJ263)="","",INDEX(原始資料!BG$2:BG$501,$BJ263)))</f>
        <v/>
      </c>
      <c r="BF263" s="6">
        <f>IF(OR($BJ263="",57&gt;設定!$B$3),"",IF(INDEX(原始資料!BH$2:BH$501,$BJ263)="","",INDEX(原始資料!BH$2:BH$501,$BJ263)))</f>
        <v/>
      </c>
      <c r="BG263" s="6">
        <f>IF(OR($BJ263="",58&gt;設定!$B$3),"",IF(INDEX(原始資料!BI$2:BI$501,$BJ263)="","",INDEX(原始資料!BI$2:BI$501,$BJ263)))</f>
        <v/>
      </c>
      <c r="BH263" s="6">
        <f>IF(OR($BJ263="",59&gt;設定!$B$3),"",IF(INDEX(原始資料!BJ$2:BJ$501,$BJ263)="","",INDEX(原始資料!BJ$2:BJ$501,$BJ263)))</f>
        <v/>
      </c>
      <c r="BI263" s="6">
        <f>IF(OR($BJ263="",60&gt;設定!$B$3),"",IF(INDEX(原始資料!BK$2:BK$501,$BJ263)="","",INDEX(原始資料!BK$2:BK$501,$BJ263)))</f>
        <v/>
      </c>
      <c r="BJ263" s="6">
        <f>IFERROR(MATCH(ROW()-1,判定!$H$2:$H$501,0),"")</f>
        <v/>
      </c>
    </row>
    <row r="264">
      <c r="A264" s="6">
        <f>IF($BJ264="","",INDEX(原始資料!$A$2:$A$501,$BJ264))</f>
        <v/>
      </c>
      <c r="B264" s="6">
        <f>IF(OR($BJ264="",1&gt;設定!$B$3),"",IF(INDEX(原始資料!D$2:D$501,$BJ264)="","",INDEX(原始資料!D$2:D$501,$BJ264)))</f>
        <v/>
      </c>
      <c r="C264" s="6">
        <f>IF(OR($BJ264="",2&gt;設定!$B$3),"",IF(INDEX(原始資料!E$2:E$501,$BJ264)="","",INDEX(原始資料!E$2:E$501,$BJ264)))</f>
        <v/>
      </c>
      <c r="D264" s="6">
        <f>IF(OR($BJ264="",3&gt;設定!$B$3),"",IF(INDEX(原始資料!F$2:F$501,$BJ264)="","",INDEX(原始資料!F$2:F$501,$BJ264)))</f>
        <v/>
      </c>
      <c r="E264" s="6">
        <f>IF(OR($BJ264="",4&gt;設定!$B$3),"",IF(INDEX(原始資料!G$2:G$501,$BJ264)="","",INDEX(原始資料!G$2:G$501,$BJ264)))</f>
        <v/>
      </c>
      <c r="F264" s="6">
        <f>IF(OR($BJ264="",5&gt;設定!$B$3),"",IF(INDEX(原始資料!H$2:H$501,$BJ264)="","",INDEX(原始資料!H$2:H$501,$BJ264)))</f>
        <v/>
      </c>
      <c r="G264" s="6">
        <f>IF(OR($BJ264="",6&gt;設定!$B$3),"",IF(INDEX(原始資料!I$2:I$501,$BJ264)="","",INDEX(原始資料!I$2:I$501,$BJ264)))</f>
        <v/>
      </c>
      <c r="H264" s="6">
        <f>IF(OR($BJ264="",7&gt;設定!$B$3),"",IF(INDEX(原始資料!J$2:J$501,$BJ264)="","",INDEX(原始資料!J$2:J$501,$BJ264)))</f>
        <v/>
      </c>
      <c r="I264" s="6">
        <f>IF(OR($BJ264="",8&gt;設定!$B$3),"",IF(INDEX(原始資料!K$2:K$501,$BJ264)="","",INDEX(原始資料!K$2:K$501,$BJ264)))</f>
        <v/>
      </c>
      <c r="J264" s="6">
        <f>IF(OR($BJ264="",9&gt;設定!$B$3),"",IF(INDEX(原始資料!L$2:L$501,$BJ264)="","",INDEX(原始資料!L$2:L$501,$BJ264)))</f>
        <v/>
      </c>
      <c r="K264" s="6">
        <f>IF(OR($BJ264="",10&gt;設定!$B$3),"",IF(INDEX(原始資料!M$2:M$501,$BJ264)="","",INDEX(原始資料!M$2:M$501,$BJ264)))</f>
        <v/>
      </c>
      <c r="L264" s="6">
        <f>IF(OR($BJ264="",11&gt;設定!$B$3),"",IF(INDEX(原始資料!N$2:N$501,$BJ264)="","",INDEX(原始資料!N$2:N$501,$BJ264)))</f>
        <v/>
      </c>
      <c r="M264" s="6">
        <f>IF(OR($BJ264="",12&gt;設定!$B$3),"",IF(INDEX(原始資料!O$2:O$501,$BJ264)="","",INDEX(原始資料!O$2:O$501,$BJ264)))</f>
        <v/>
      </c>
      <c r="N264" s="6">
        <f>IF(OR($BJ264="",13&gt;設定!$B$3),"",IF(INDEX(原始資料!P$2:P$501,$BJ264)="","",INDEX(原始資料!P$2:P$501,$BJ264)))</f>
        <v/>
      </c>
      <c r="O264" s="6">
        <f>IF(OR($BJ264="",14&gt;設定!$B$3),"",IF(INDEX(原始資料!Q$2:Q$501,$BJ264)="","",INDEX(原始資料!Q$2:Q$501,$BJ264)))</f>
        <v/>
      </c>
      <c r="P264" s="6">
        <f>IF(OR($BJ264="",15&gt;設定!$B$3),"",IF(INDEX(原始資料!R$2:R$501,$BJ264)="","",INDEX(原始資料!R$2:R$501,$BJ264)))</f>
        <v/>
      </c>
      <c r="Q264" s="6">
        <f>IF(OR($BJ264="",16&gt;設定!$B$3),"",IF(INDEX(原始資料!S$2:S$501,$BJ264)="","",INDEX(原始資料!S$2:S$501,$BJ264)))</f>
        <v/>
      </c>
      <c r="R264" s="6">
        <f>IF(OR($BJ264="",17&gt;設定!$B$3),"",IF(INDEX(原始資料!T$2:T$501,$BJ264)="","",INDEX(原始資料!T$2:T$501,$BJ264)))</f>
        <v/>
      </c>
      <c r="S264" s="6">
        <f>IF(OR($BJ264="",18&gt;設定!$B$3),"",IF(INDEX(原始資料!U$2:U$501,$BJ264)="","",INDEX(原始資料!U$2:U$501,$BJ264)))</f>
        <v/>
      </c>
      <c r="T264" s="6">
        <f>IF(OR($BJ264="",19&gt;設定!$B$3),"",IF(INDEX(原始資料!V$2:V$501,$BJ264)="","",INDEX(原始資料!V$2:V$501,$BJ264)))</f>
        <v/>
      </c>
      <c r="U264" s="6">
        <f>IF(OR($BJ264="",20&gt;設定!$B$3),"",IF(INDEX(原始資料!W$2:W$501,$BJ264)="","",INDEX(原始資料!W$2:W$501,$BJ264)))</f>
        <v/>
      </c>
      <c r="V264" s="6">
        <f>IF(OR($BJ264="",21&gt;設定!$B$3),"",IF(INDEX(原始資料!X$2:X$501,$BJ264)="","",INDEX(原始資料!X$2:X$501,$BJ264)))</f>
        <v/>
      </c>
      <c r="W264" s="6">
        <f>IF(OR($BJ264="",22&gt;設定!$B$3),"",IF(INDEX(原始資料!Y$2:Y$501,$BJ264)="","",INDEX(原始資料!Y$2:Y$501,$BJ264)))</f>
        <v/>
      </c>
      <c r="X264" s="6">
        <f>IF(OR($BJ264="",23&gt;設定!$B$3),"",IF(INDEX(原始資料!Z$2:Z$501,$BJ264)="","",INDEX(原始資料!Z$2:Z$501,$BJ264)))</f>
        <v/>
      </c>
      <c r="Y264" s="6">
        <f>IF(OR($BJ264="",24&gt;設定!$B$3),"",IF(INDEX(原始資料!AA$2:AA$501,$BJ264)="","",INDEX(原始資料!AA$2:AA$501,$BJ264)))</f>
        <v/>
      </c>
      <c r="Z264" s="6">
        <f>IF(OR($BJ264="",25&gt;設定!$B$3),"",IF(INDEX(原始資料!AB$2:AB$501,$BJ264)="","",INDEX(原始資料!AB$2:AB$501,$BJ264)))</f>
        <v/>
      </c>
      <c r="AA264" s="6">
        <f>IF(OR($BJ264="",26&gt;設定!$B$3),"",IF(INDEX(原始資料!AC$2:AC$501,$BJ264)="","",INDEX(原始資料!AC$2:AC$501,$BJ264)))</f>
        <v/>
      </c>
      <c r="AB264" s="6">
        <f>IF(OR($BJ264="",27&gt;設定!$B$3),"",IF(INDEX(原始資料!AD$2:AD$501,$BJ264)="","",INDEX(原始資料!AD$2:AD$501,$BJ264)))</f>
        <v/>
      </c>
      <c r="AC264" s="6">
        <f>IF(OR($BJ264="",28&gt;設定!$B$3),"",IF(INDEX(原始資料!AE$2:AE$501,$BJ264)="","",INDEX(原始資料!AE$2:AE$501,$BJ264)))</f>
        <v/>
      </c>
      <c r="AD264" s="6">
        <f>IF(OR($BJ264="",29&gt;設定!$B$3),"",IF(INDEX(原始資料!AF$2:AF$501,$BJ264)="","",INDEX(原始資料!AF$2:AF$501,$BJ264)))</f>
        <v/>
      </c>
      <c r="AE264" s="6">
        <f>IF(OR($BJ264="",30&gt;設定!$B$3),"",IF(INDEX(原始資料!AG$2:AG$501,$BJ264)="","",INDEX(原始資料!AG$2:AG$501,$BJ264)))</f>
        <v/>
      </c>
      <c r="AF264" s="6">
        <f>IF(OR($BJ264="",31&gt;設定!$B$3),"",IF(INDEX(原始資料!AH$2:AH$501,$BJ264)="","",INDEX(原始資料!AH$2:AH$501,$BJ264)))</f>
        <v/>
      </c>
      <c r="AG264" s="6">
        <f>IF(OR($BJ264="",32&gt;設定!$B$3),"",IF(INDEX(原始資料!AI$2:AI$501,$BJ264)="","",INDEX(原始資料!AI$2:AI$501,$BJ264)))</f>
        <v/>
      </c>
      <c r="AH264" s="6">
        <f>IF(OR($BJ264="",33&gt;設定!$B$3),"",IF(INDEX(原始資料!AJ$2:AJ$501,$BJ264)="","",INDEX(原始資料!AJ$2:AJ$501,$BJ264)))</f>
        <v/>
      </c>
      <c r="AI264" s="6">
        <f>IF(OR($BJ264="",34&gt;設定!$B$3),"",IF(INDEX(原始資料!AK$2:AK$501,$BJ264)="","",INDEX(原始資料!AK$2:AK$501,$BJ264)))</f>
        <v/>
      </c>
      <c r="AJ264" s="6">
        <f>IF(OR($BJ264="",35&gt;設定!$B$3),"",IF(INDEX(原始資料!AL$2:AL$501,$BJ264)="","",INDEX(原始資料!AL$2:AL$501,$BJ264)))</f>
        <v/>
      </c>
      <c r="AK264" s="6">
        <f>IF(OR($BJ264="",36&gt;設定!$B$3),"",IF(INDEX(原始資料!AM$2:AM$501,$BJ264)="","",INDEX(原始資料!AM$2:AM$501,$BJ264)))</f>
        <v/>
      </c>
      <c r="AL264" s="6">
        <f>IF(OR($BJ264="",37&gt;設定!$B$3),"",IF(INDEX(原始資料!AN$2:AN$501,$BJ264)="","",INDEX(原始資料!AN$2:AN$501,$BJ264)))</f>
        <v/>
      </c>
      <c r="AM264" s="6">
        <f>IF(OR($BJ264="",38&gt;設定!$B$3),"",IF(INDEX(原始資料!AO$2:AO$501,$BJ264)="","",INDEX(原始資料!AO$2:AO$501,$BJ264)))</f>
        <v/>
      </c>
      <c r="AN264" s="6">
        <f>IF(OR($BJ264="",39&gt;設定!$B$3),"",IF(INDEX(原始資料!AP$2:AP$501,$BJ264)="","",INDEX(原始資料!AP$2:AP$501,$BJ264)))</f>
        <v/>
      </c>
      <c r="AO264" s="6">
        <f>IF(OR($BJ264="",40&gt;設定!$B$3),"",IF(INDEX(原始資料!AQ$2:AQ$501,$BJ264)="","",INDEX(原始資料!AQ$2:AQ$501,$BJ264)))</f>
        <v/>
      </c>
      <c r="AP264" s="6">
        <f>IF(OR($BJ264="",41&gt;設定!$B$3),"",IF(INDEX(原始資料!AR$2:AR$501,$BJ264)="","",INDEX(原始資料!AR$2:AR$501,$BJ264)))</f>
        <v/>
      </c>
      <c r="AQ264" s="6">
        <f>IF(OR($BJ264="",42&gt;設定!$B$3),"",IF(INDEX(原始資料!AS$2:AS$501,$BJ264)="","",INDEX(原始資料!AS$2:AS$501,$BJ264)))</f>
        <v/>
      </c>
      <c r="AR264" s="6">
        <f>IF(OR($BJ264="",43&gt;設定!$B$3),"",IF(INDEX(原始資料!AT$2:AT$501,$BJ264)="","",INDEX(原始資料!AT$2:AT$501,$BJ264)))</f>
        <v/>
      </c>
      <c r="AS264" s="6">
        <f>IF(OR($BJ264="",44&gt;設定!$B$3),"",IF(INDEX(原始資料!AU$2:AU$501,$BJ264)="","",INDEX(原始資料!AU$2:AU$501,$BJ264)))</f>
        <v/>
      </c>
      <c r="AT264" s="6">
        <f>IF(OR($BJ264="",45&gt;設定!$B$3),"",IF(INDEX(原始資料!AV$2:AV$501,$BJ264)="","",INDEX(原始資料!AV$2:AV$501,$BJ264)))</f>
        <v/>
      </c>
      <c r="AU264" s="6">
        <f>IF(OR($BJ264="",46&gt;設定!$B$3),"",IF(INDEX(原始資料!AW$2:AW$501,$BJ264)="","",INDEX(原始資料!AW$2:AW$501,$BJ264)))</f>
        <v/>
      </c>
      <c r="AV264" s="6">
        <f>IF(OR($BJ264="",47&gt;設定!$B$3),"",IF(INDEX(原始資料!AX$2:AX$501,$BJ264)="","",INDEX(原始資料!AX$2:AX$501,$BJ264)))</f>
        <v/>
      </c>
      <c r="AW264" s="6">
        <f>IF(OR($BJ264="",48&gt;設定!$B$3),"",IF(INDEX(原始資料!AY$2:AY$501,$BJ264)="","",INDEX(原始資料!AY$2:AY$501,$BJ264)))</f>
        <v/>
      </c>
      <c r="AX264" s="6">
        <f>IF(OR($BJ264="",49&gt;設定!$B$3),"",IF(INDEX(原始資料!AZ$2:AZ$501,$BJ264)="","",INDEX(原始資料!AZ$2:AZ$501,$BJ264)))</f>
        <v/>
      </c>
      <c r="AY264" s="6">
        <f>IF(OR($BJ264="",50&gt;設定!$B$3),"",IF(INDEX(原始資料!BA$2:BA$501,$BJ264)="","",INDEX(原始資料!BA$2:BA$501,$BJ264)))</f>
        <v/>
      </c>
      <c r="AZ264" s="6">
        <f>IF(OR($BJ264="",51&gt;設定!$B$3),"",IF(INDEX(原始資料!BB$2:BB$501,$BJ264)="","",INDEX(原始資料!BB$2:BB$501,$BJ264)))</f>
        <v/>
      </c>
      <c r="BA264" s="6">
        <f>IF(OR($BJ264="",52&gt;設定!$B$3),"",IF(INDEX(原始資料!BC$2:BC$501,$BJ264)="","",INDEX(原始資料!BC$2:BC$501,$BJ264)))</f>
        <v/>
      </c>
      <c r="BB264" s="6">
        <f>IF(OR($BJ264="",53&gt;設定!$B$3),"",IF(INDEX(原始資料!BD$2:BD$501,$BJ264)="","",INDEX(原始資料!BD$2:BD$501,$BJ264)))</f>
        <v/>
      </c>
      <c r="BC264" s="6">
        <f>IF(OR($BJ264="",54&gt;設定!$B$3),"",IF(INDEX(原始資料!BE$2:BE$501,$BJ264)="","",INDEX(原始資料!BE$2:BE$501,$BJ264)))</f>
        <v/>
      </c>
      <c r="BD264" s="6">
        <f>IF(OR($BJ264="",55&gt;設定!$B$3),"",IF(INDEX(原始資料!BF$2:BF$501,$BJ264)="","",INDEX(原始資料!BF$2:BF$501,$BJ264)))</f>
        <v/>
      </c>
      <c r="BE264" s="6">
        <f>IF(OR($BJ264="",56&gt;設定!$B$3),"",IF(INDEX(原始資料!BG$2:BG$501,$BJ264)="","",INDEX(原始資料!BG$2:BG$501,$BJ264)))</f>
        <v/>
      </c>
      <c r="BF264" s="6">
        <f>IF(OR($BJ264="",57&gt;設定!$B$3),"",IF(INDEX(原始資料!BH$2:BH$501,$BJ264)="","",INDEX(原始資料!BH$2:BH$501,$BJ264)))</f>
        <v/>
      </c>
      <c r="BG264" s="6">
        <f>IF(OR($BJ264="",58&gt;設定!$B$3),"",IF(INDEX(原始資料!BI$2:BI$501,$BJ264)="","",INDEX(原始資料!BI$2:BI$501,$BJ264)))</f>
        <v/>
      </c>
      <c r="BH264" s="6">
        <f>IF(OR($BJ264="",59&gt;設定!$B$3),"",IF(INDEX(原始資料!BJ$2:BJ$501,$BJ264)="","",INDEX(原始資料!BJ$2:BJ$501,$BJ264)))</f>
        <v/>
      </c>
      <c r="BI264" s="6">
        <f>IF(OR($BJ264="",60&gt;設定!$B$3),"",IF(INDEX(原始資料!BK$2:BK$501,$BJ264)="","",INDEX(原始資料!BK$2:BK$501,$BJ264)))</f>
        <v/>
      </c>
      <c r="BJ264" s="6">
        <f>IFERROR(MATCH(ROW()-1,判定!$H$2:$H$501,0),"")</f>
        <v/>
      </c>
    </row>
    <row r="265">
      <c r="A265" s="6">
        <f>IF($BJ265="","",INDEX(原始資料!$A$2:$A$501,$BJ265))</f>
        <v/>
      </c>
      <c r="B265" s="6">
        <f>IF(OR($BJ265="",1&gt;設定!$B$3),"",IF(INDEX(原始資料!D$2:D$501,$BJ265)="","",INDEX(原始資料!D$2:D$501,$BJ265)))</f>
        <v/>
      </c>
      <c r="C265" s="6">
        <f>IF(OR($BJ265="",2&gt;設定!$B$3),"",IF(INDEX(原始資料!E$2:E$501,$BJ265)="","",INDEX(原始資料!E$2:E$501,$BJ265)))</f>
        <v/>
      </c>
      <c r="D265" s="6">
        <f>IF(OR($BJ265="",3&gt;設定!$B$3),"",IF(INDEX(原始資料!F$2:F$501,$BJ265)="","",INDEX(原始資料!F$2:F$501,$BJ265)))</f>
        <v/>
      </c>
      <c r="E265" s="6">
        <f>IF(OR($BJ265="",4&gt;設定!$B$3),"",IF(INDEX(原始資料!G$2:G$501,$BJ265)="","",INDEX(原始資料!G$2:G$501,$BJ265)))</f>
        <v/>
      </c>
      <c r="F265" s="6">
        <f>IF(OR($BJ265="",5&gt;設定!$B$3),"",IF(INDEX(原始資料!H$2:H$501,$BJ265)="","",INDEX(原始資料!H$2:H$501,$BJ265)))</f>
        <v/>
      </c>
      <c r="G265" s="6">
        <f>IF(OR($BJ265="",6&gt;設定!$B$3),"",IF(INDEX(原始資料!I$2:I$501,$BJ265)="","",INDEX(原始資料!I$2:I$501,$BJ265)))</f>
        <v/>
      </c>
      <c r="H265" s="6">
        <f>IF(OR($BJ265="",7&gt;設定!$B$3),"",IF(INDEX(原始資料!J$2:J$501,$BJ265)="","",INDEX(原始資料!J$2:J$501,$BJ265)))</f>
        <v/>
      </c>
      <c r="I265" s="6">
        <f>IF(OR($BJ265="",8&gt;設定!$B$3),"",IF(INDEX(原始資料!K$2:K$501,$BJ265)="","",INDEX(原始資料!K$2:K$501,$BJ265)))</f>
        <v/>
      </c>
      <c r="J265" s="6">
        <f>IF(OR($BJ265="",9&gt;設定!$B$3),"",IF(INDEX(原始資料!L$2:L$501,$BJ265)="","",INDEX(原始資料!L$2:L$501,$BJ265)))</f>
        <v/>
      </c>
      <c r="K265" s="6">
        <f>IF(OR($BJ265="",10&gt;設定!$B$3),"",IF(INDEX(原始資料!M$2:M$501,$BJ265)="","",INDEX(原始資料!M$2:M$501,$BJ265)))</f>
        <v/>
      </c>
      <c r="L265" s="6">
        <f>IF(OR($BJ265="",11&gt;設定!$B$3),"",IF(INDEX(原始資料!N$2:N$501,$BJ265)="","",INDEX(原始資料!N$2:N$501,$BJ265)))</f>
        <v/>
      </c>
      <c r="M265" s="6">
        <f>IF(OR($BJ265="",12&gt;設定!$B$3),"",IF(INDEX(原始資料!O$2:O$501,$BJ265)="","",INDEX(原始資料!O$2:O$501,$BJ265)))</f>
        <v/>
      </c>
      <c r="N265" s="6">
        <f>IF(OR($BJ265="",13&gt;設定!$B$3),"",IF(INDEX(原始資料!P$2:P$501,$BJ265)="","",INDEX(原始資料!P$2:P$501,$BJ265)))</f>
        <v/>
      </c>
      <c r="O265" s="6">
        <f>IF(OR($BJ265="",14&gt;設定!$B$3),"",IF(INDEX(原始資料!Q$2:Q$501,$BJ265)="","",INDEX(原始資料!Q$2:Q$501,$BJ265)))</f>
        <v/>
      </c>
      <c r="P265" s="6">
        <f>IF(OR($BJ265="",15&gt;設定!$B$3),"",IF(INDEX(原始資料!R$2:R$501,$BJ265)="","",INDEX(原始資料!R$2:R$501,$BJ265)))</f>
        <v/>
      </c>
      <c r="Q265" s="6">
        <f>IF(OR($BJ265="",16&gt;設定!$B$3),"",IF(INDEX(原始資料!S$2:S$501,$BJ265)="","",INDEX(原始資料!S$2:S$501,$BJ265)))</f>
        <v/>
      </c>
      <c r="R265" s="6">
        <f>IF(OR($BJ265="",17&gt;設定!$B$3),"",IF(INDEX(原始資料!T$2:T$501,$BJ265)="","",INDEX(原始資料!T$2:T$501,$BJ265)))</f>
        <v/>
      </c>
      <c r="S265" s="6">
        <f>IF(OR($BJ265="",18&gt;設定!$B$3),"",IF(INDEX(原始資料!U$2:U$501,$BJ265)="","",INDEX(原始資料!U$2:U$501,$BJ265)))</f>
        <v/>
      </c>
      <c r="T265" s="6">
        <f>IF(OR($BJ265="",19&gt;設定!$B$3),"",IF(INDEX(原始資料!V$2:V$501,$BJ265)="","",INDEX(原始資料!V$2:V$501,$BJ265)))</f>
        <v/>
      </c>
      <c r="U265" s="6">
        <f>IF(OR($BJ265="",20&gt;設定!$B$3),"",IF(INDEX(原始資料!W$2:W$501,$BJ265)="","",INDEX(原始資料!W$2:W$501,$BJ265)))</f>
        <v/>
      </c>
      <c r="V265" s="6">
        <f>IF(OR($BJ265="",21&gt;設定!$B$3),"",IF(INDEX(原始資料!X$2:X$501,$BJ265)="","",INDEX(原始資料!X$2:X$501,$BJ265)))</f>
        <v/>
      </c>
      <c r="W265" s="6">
        <f>IF(OR($BJ265="",22&gt;設定!$B$3),"",IF(INDEX(原始資料!Y$2:Y$501,$BJ265)="","",INDEX(原始資料!Y$2:Y$501,$BJ265)))</f>
        <v/>
      </c>
      <c r="X265" s="6">
        <f>IF(OR($BJ265="",23&gt;設定!$B$3),"",IF(INDEX(原始資料!Z$2:Z$501,$BJ265)="","",INDEX(原始資料!Z$2:Z$501,$BJ265)))</f>
        <v/>
      </c>
      <c r="Y265" s="6">
        <f>IF(OR($BJ265="",24&gt;設定!$B$3),"",IF(INDEX(原始資料!AA$2:AA$501,$BJ265)="","",INDEX(原始資料!AA$2:AA$501,$BJ265)))</f>
        <v/>
      </c>
      <c r="Z265" s="6">
        <f>IF(OR($BJ265="",25&gt;設定!$B$3),"",IF(INDEX(原始資料!AB$2:AB$501,$BJ265)="","",INDEX(原始資料!AB$2:AB$501,$BJ265)))</f>
        <v/>
      </c>
      <c r="AA265" s="6">
        <f>IF(OR($BJ265="",26&gt;設定!$B$3),"",IF(INDEX(原始資料!AC$2:AC$501,$BJ265)="","",INDEX(原始資料!AC$2:AC$501,$BJ265)))</f>
        <v/>
      </c>
      <c r="AB265" s="6">
        <f>IF(OR($BJ265="",27&gt;設定!$B$3),"",IF(INDEX(原始資料!AD$2:AD$501,$BJ265)="","",INDEX(原始資料!AD$2:AD$501,$BJ265)))</f>
        <v/>
      </c>
      <c r="AC265" s="6">
        <f>IF(OR($BJ265="",28&gt;設定!$B$3),"",IF(INDEX(原始資料!AE$2:AE$501,$BJ265)="","",INDEX(原始資料!AE$2:AE$501,$BJ265)))</f>
        <v/>
      </c>
      <c r="AD265" s="6">
        <f>IF(OR($BJ265="",29&gt;設定!$B$3),"",IF(INDEX(原始資料!AF$2:AF$501,$BJ265)="","",INDEX(原始資料!AF$2:AF$501,$BJ265)))</f>
        <v/>
      </c>
      <c r="AE265" s="6">
        <f>IF(OR($BJ265="",30&gt;設定!$B$3),"",IF(INDEX(原始資料!AG$2:AG$501,$BJ265)="","",INDEX(原始資料!AG$2:AG$501,$BJ265)))</f>
        <v/>
      </c>
      <c r="AF265" s="6">
        <f>IF(OR($BJ265="",31&gt;設定!$B$3),"",IF(INDEX(原始資料!AH$2:AH$501,$BJ265)="","",INDEX(原始資料!AH$2:AH$501,$BJ265)))</f>
        <v/>
      </c>
      <c r="AG265" s="6">
        <f>IF(OR($BJ265="",32&gt;設定!$B$3),"",IF(INDEX(原始資料!AI$2:AI$501,$BJ265)="","",INDEX(原始資料!AI$2:AI$501,$BJ265)))</f>
        <v/>
      </c>
      <c r="AH265" s="6">
        <f>IF(OR($BJ265="",33&gt;設定!$B$3),"",IF(INDEX(原始資料!AJ$2:AJ$501,$BJ265)="","",INDEX(原始資料!AJ$2:AJ$501,$BJ265)))</f>
        <v/>
      </c>
      <c r="AI265" s="6">
        <f>IF(OR($BJ265="",34&gt;設定!$B$3),"",IF(INDEX(原始資料!AK$2:AK$501,$BJ265)="","",INDEX(原始資料!AK$2:AK$501,$BJ265)))</f>
        <v/>
      </c>
      <c r="AJ265" s="6">
        <f>IF(OR($BJ265="",35&gt;設定!$B$3),"",IF(INDEX(原始資料!AL$2:AL$501,$BJ265)="","",INDEX(原始資料!AL$2:AL$501,$BJ265)))</f>
        <v/>
      </c>
      <c r="AK265" s="6">
        <f>IF(OR($BJ265="",36&gt;設定!$B$3),"",IF(INDEX(原始資料!AM$2:AM$501,$BJ265)="","",INDEX(原始資料!AM$2:AM$501,$BJ265)))</f>
        <v/>
      </c>
      <c r="AL265" s="6">
        <f>IF(OR($BJ265="",37&gt;設定!$B$3),"",IF(INDEX(原始資料!AN$2:AN$501,$BJ265)="","",INDEX(原始資料!AN$2:AN$501,$BJ265)))</f>
        <v/>
      </c>
      <c r="AM265" s="6">
        <f>IF(OR($BJ265="",38&gt;設定!$B$3),"",IF(INDEX(原始資料!AO$2:AO$501,$BJ265)="","",INDEX(原始資料!AO$2:AO$501,$BJ265)))</f>
        <v/>
      </c>
      <c r="AN265" s="6">
        <f>IF(OR($BJ265="",39&gt;設定!$B$3),"",IF(INDEX(原始資料!AP$2:AP$501,$BJ265)="","",INDEX(原始資料!AP$2:AP$501,$BJ265)))</f>
        <v/>
      </c>
      <c r="AO265" s="6">
        <f>IF(OR($BJ265="",40&gt;設定!$B$3),"",IF(INDEX(原始資料!AQ$2:AQ$501,$BJ265)="","",INDEX(原始資料!AQ$2:AQ$501,$BJ265)))</f>
        <v/>
      </c>
      <c r="AP265" s="6">
        <f>IF(OR($BJ265="",41&gt;設定!$B$3),"",IF(INDEX(原始資料!AR$2:AR$501,$BJ265)="","",INDEX(原始資料!AR$2:AR$501,$BJ265)))</f>
        <v/>
      </c>
      <c r="AQ265" s="6">
        <f>IF(OR($BJ265="",42&gt;設定!$B$3),"",IF(INDEX(原始資料!AS$2:AS$501,$BJ265)="","",INDEX(原始資料!AS$2:AS$501,$BJ265)))</f>
        <v/>
      </c>
      <c r="AR265" s="6">
        <f>IF(OR($BJ265="",43&gt;設定!$B$3),"",IF(INDEX(原始資料!AT$2:AT$501,$BJ265)="","",INDEX(原始資料!AT$2:AT$501,$BJ265)))</f>
        <v/>
      </c>
      <c r="AS265" s="6">
        <f>IF(OR($BJ265="",44&gt;設定!$B$3),"",IF(INDEX(原始資料!AU$2:AU$501,$BJ265)="","",INDEX(原始資料!AU$2:AU$501,$BJ265)))</f>
        <v/>
      </c>
      <c r="AT265" s="6">
        <f>IF(OR($BJ265="",45&gt;設定!$B$3),"",IF(INDEX(原始資料!AV$2:AV$501,$BJ265)="","",INDEX(原始資料!AV$2:AV$501,$BJ265)))</f>
        <v/>
      </c>
      <c r="AU265" s="6">
        <f>IF(OR($BJ265="",46&gt;設定!$B$3),"",IF(INDEX(原始資料!AW$2:AW$501,$BJ265)="","",INDEX(原始資料!AW$2:AW$501,$BJ265)))</f>
        <v/>
      </c>
      <c r="AV265" s="6">
        <f>IF(OR($BJ265="",47&gt;設定!$B$3),"",IF(INDEX(原始資料!AX$2:AX$501,$BJ265)="","",INDEX(原始資料!AX$2:AX$501,$BJ265)))</f>
        <v/>
      </c>
      <c r="AW265" s="6">
        <f>IF(OR($BJ265="",48&gt;設定!$B$3),"",IF(INDEX(原始資料!AY$2:AY$501,$BJ265)="","",INDEX(原始資料!AY$2:AY$501,$BJ265)))</f>
        <v/>
      </c>
      <c r="AX265" s="6">
        <f>IF(OR($BJ265="",49&gt;設定!$B$3),"",IF(INDEX(原始資料!AZ$2:AZ$501,$BJ265)="","",INDEX(原始資料!AZ$2:AZ$501,$BJ265)))</f>
        <v/>
      </c>
      <c r="AY265" s="6">
        <f>IF(OR($BJ265="",50&gt;設定!$B$3),"",IF(INDEX(原始資料!BA$2:BA$501,$BJ265)="","",INDEX(原始資料!BA$2:BA$501,$BJ265)))</f>
        <v/>
      </c>
      <c r="AZ265" s="6">
        <f>IF(OR($BJ265="",51&gt;設定!$B$3),"",IF(INDEX(原始資料!BB$2:BB$501,$BJ265)="","",INDEX(原始資料!BB$2:BB$501,$BJ265)))</f>
        <v/>
      </c>
      <c r="BA265" s="6">
        <f>IF(OR($BJ265="",52&gt;設定!$B$3),"",IF(INDEX(原始資料!BC$2:BC$501,$BJ265)="","",INDEX(原始資料!BC$2:BC$501,$BJ265)))</f>
        <v/>
      </c>
      <c r="BB265" s="6">
        <f>IF(OR($BJ265="",53&gt;設定!$B$3),"",IF(INDEX(原始資料!BD$2:BD$501,$BJ265)="","",INDEX(原始資料!BD$2:BD$501,$BJ265)))</f>
        <v/>
      </c>
      <c r="BC265" s="6">
        <f>IF(OR($BJ265="",54&gt;設定!$B$3),"",IF(INDEX(原始資料!BE$2:BE$501,$BJ265)="","",INDEX(原始資料!BE$2:BE$501,$BJ265)))</f>
        <v/>
      </c>
      <c r="BD265" s="6">
        <f>IF(OR($BJ265="",55&gt;設定!$B$3),"",IF(INDEX(原始資料!BF$2:BF$501,$BJ265)="","",INDEX(原始資料!BF$2:BF$501,$BJ265)))</f>
        <v/>
      </c>
      <c r="BE265" s="6">
        <f>IF(OR($BJ265="",56&gt;設定!$B$3),"",IF(INDEX(原始資料!BG$2:BG$501,$BJ265)="","",INDEX(原始資料!BG$2:BG$501,$BJ265)))</f>
        <v/>
      </c>
      <c r="BF265" s="6">
        <f>IF(OR($BJ265="",57&gt;設定!$B$3),"",IF(INDEX(原始資料!BH$2:BH$501,$BJ265)="","",INDEX(原始資料!BH$2:BH$501,$BJ265)))</f>
        <v/>
      </c>
      <c r="BG265" s="6">
        <f>IF(OR($BJ265="",58&gt;設定!$B$3),"",IF(INDEX(原始資料!BI$2:BI$501,$BJ265)="","",INDEX(原始資料!BI$2:BI$501,$BJ265)))</f>
        <v/>
      </c>
      <c r="BH265" s="6">
        <f>IF(OR($BJ265="",59&gt;設定!$B$3),"",IF(INDEX(原始資料!BJ$2:BJ$501,$BJ265)="","",INDEX(原始資料!BJ$2:BJ$501,$BJ265)))</f>
        <v/>
      </c>
      <c r="BI265" s="6">
        <f>IF(OR($BJ265="",60&gt;設定!$B$3),"",IF(INDEX(原始資料!BK$2:BK$501,$BJ265)="","",INDEX(原始資料!BK$2:BK$501,$BJ265)))</f>
        <v/>
      </c>
      <c r="BJ265" s="6">
        <f>IFERROR(MATCH(ROW()-1,判定!$H$2:$H$501,0),"")</f>
        <v/>
      </c>
    </row>
    <row r="266">
      <c r="A266" s="6">
        <f>IF($BJ266="","",INDEX(原始資料!$A$2:$A$501,$BJ266))</f>
        <v/>
      </c>
      <c r="B266" s="6">
        <f>IF(OR($BJ266="",1&gt;設定!$B$3),"",IF(INDEX(原始資料!D$2:D$501,$BJ266)="","",INDEX(原始資料!D$2:D$501,$BJ266)))</f>
        <v/>
      </c>
      <c r="C266" s="6">
        <f>IF(OR($BJ266="",2&gt;設定!$B$3),"",IF(INDEX(原始資料!E$2:E$501,$BJ266)="","",INDEX(原始資料!E$2:E$501,$BJ266)))</f>
        <v/>
      </c>
      <c r="D266" s="6">
        <f>IF(OR($BJ266="",3&gt;設定!$B$3),"",IF(INDEX(原始資料!F$2:F$501,$BJ266)="","",INDEX(原始資料!F$2:F$501,$BJ266)))</f>
        <v/>
      </c>
      <c r="E266" s="6">
        <f>IF(OR($BJ266="",4&gt;設定!$B$3),"",IF(INDEX(原始資料!G$2:G$501,$BJ266)="","",INDEX(原始資料!G$2:G$501,$BJ266)))</f>
        <v/>
      </c>
      <c r="F266" s="6">
        <f>IF(OR($BJ266="",5&gt;設定!$B$3),"",IF(INDEX(原始資料!H$2:H$501,$BJ266)="","",INDEX(原始資料!H$2:H$501,$BJ266)))</f>
        <v/>
      </c>
      <c r="G266" s="6">
        <f>IF(OR($BJ266="",6&gt;設定!$B$3),"",IF(INDEX(原始資料!I$2:I$501,$BJ266)="","",INDEX(原始資料!I$2:I$501,$BJ266)))</f>
        <v/>
      </c>
      <c r="H266" s="6">
        <f>IF(OR($BJ266="",7&gt;設定!$B$3),"",IF(INDEX(原始資料!J$2:J$501,$BJ266)="","",INDEX(原始資料!J$2:J$501,$BJ266)))</f>
        <v/>
      </c>
      <c r="I266" s="6">
        <f>IF(OR($BJ266="",8&gt;設定!$B$3),"",IF(INDEX(原始資料!K$2:K$501,$BJ266)="","",INDEX(原始資料!K$2:K$501,$BJ266)))</f>
        <v/>
      </c>
      <c r="J266" s="6">
        <f>IF(OR($BJ266="",9&gt;設定!$B$3),"",IF(INDEX(原始資料!L$2:L$501,$BJ266)="","",INDEX(原始資料!L$2:L$501,$BJ266)))</f>
        <v/>
      </c>
      <c r="K266" s="6">
        <f>IF(OR($BJ266="",10&gt;設定!$B$3),"",IF(INDEX(原始資料!M$2:M$501,$BJ266)="","",INDEX(原始資料!M$2:M$501,$BJ266)))</f>
        <v/>
      </c>
      <c r="L266" s="6">
        <f>IF(OR($BJ266="",11&gt;設定!$B$3),"",IF(INDEX(原始資料!N$2:N$501,$BJ266)="","",INDEX(原始資料!N$2:N$501,$BJ266)))</f>
        <v/>
      </c>
      <c r="M266" s="6">
        <f>IF(OR($BJ266="",12&gt;設定!$B$3),"",IF(INDEX(原始資料!O$2:O$501,$BJ266)="","",INDEX(原始資料!O$2:O$501,$BJ266)))</f>
        <v/>
      </c>
      <c r="N266" s="6">
        <f>IF(OR($BJ266="",13&gt;設定!$B$3),"",IF(INDEX(原始資料!P$2:P$501,$BJ266)="","",INDEX(原始資料!P$2:P$501,$BJ266)))</f>
        <v/>
      </c>
      <c r="O266" s="6">
        <f>IF(OR($BJ266="",14&gt;設定!$B$3),"",IF(INDEX(原始資料!Q$2:Q$501,$BJ266)="","",INDEX(原始資料!Q$2:Q$501,$BJ266)))</f>
        <v/>
      </c>
      <c r="P266" s="6">
        <f>IF(OR($BJ266="",15&gt;設定!$B$3),"",IF(INDEX(原始資料!R$2:R$501,$BJ266)="","",INDEX(原始資料!R$2:R$501,$BJ266)))</f>
        <v/>
      </c>
      <c r="Q266" s="6">
        <f>IF(OR($BJ266="",16&gt;設定!$B$3),"",IF(INDEX(原始資料!S$2:S$501,$BJ266)="","",INDEX(原始資料!S$2:S$501,$BJ266)))</f>
        <v/>
      </c>
      <c r="R266" s="6">
        <f>IF(OR($BJ266="",17&gt;設定!$B$3),"",IF(INDEX(原始資料!T$2:T$501,$BJ266)="","",INDEX(原始資料!T$2:T$501,$BJ266)))</f>
        <v/>
      </c>
      <c r="S266" s="6">
        <f>IF(OR($BJ266="",18&gt;設定!$B$3),"",IF(INDEX(原始資料!U$2:U$501,$BJ266)="","",INDEX(原始資料!U$2:U$501,$BJ266)))</f>
        <v/>
      </c>
      <c r="T266" s="6">
        <f>IF(OR($BJ266="",19&gt;設定!$B$3),"",IF(INDEX(原始資料!V$2:V$501,$BJ266)="","",INDEX(原始資料!V$2:V$501,$BJ266)))</f>
        <v/>
      </c>
      <c r="U266" s="6">
        <f>IF(OR($BJ266="",20&gt;設定!$B$3),"",IF(INDEX(原始資料!W$2:W$501,$BJ266)="","",INDEX(原始資料!W$2:W$501,$BJ266)))</f>
        <v/>
      </c>
      <c r="V266" s="6">
        <f>IF(OR($BJ266="",21&gt;設定!$B$3),"",IF(INDEX(原始資料!X$2:X$501,$BJ266)="","",INDEX(原始資料!X$2:X$501,$BJ266)))</f>
        <v/>
      </c>
      <c r="W266" s="6">
        <f>IF(OR($BJ266="",22&gt;設定!$B$3),"",IF(INDEX(原始資料!Y$2:Y$501,$BJ266)="","",INDEX(原始資料!Y$2:Y$501,$BJ266)))</f>
        <v/>
      </c>
      <c r="X266" s="6">
        <f>IF(OR($BJ266="",23&gt;設定!$B$3),"",IF(INDEX(原始資料!Z$2:Z$501,$BJ266)="","",INDEX(原始資料!Z$2:Z$501,$BJ266)))</f>
        <v/>
      </c>
      <c r="Y266" s="6">
        <f>IF(OR($BJ266="",24&gt;設定!$B$3),"",IF(INDEX(原始資料!AA$2:AA$501,$BJ266)="","",INDEX(原始資料!AA$2:AA$501,$BJ266)))</f>
        <v/>
      </c>
      <c r="Z266" s="6">
        <f>IF(OR($BJ266="",25&gt;設定!$B$3),"",IF(INDEX(原始資料!AB$2:AB$501,$BJ266)="","",INDEX(原始資料!AB$2:AB$501,$BJ266)))</f>
        <v/>
      </c>
      <c r="AA266" s="6">
        <f>IF(OR($BJ266="",26&gt;設定!$B$3),"",IF(INDEX(原始資料!AC$2:AC$501,$BJ266)="","",INDEX(原始資料!AC$2:AC$501,$BJ266)))</f>
        <v/>
      </c>
      <c r="AB266" s="6">
        <f>IF(OR($BJ266="",27&gt;設定!$B$3),"",IF(INDEX(原始資料!AD$2:AD$501,$BJ266)="","",INDEX(原始資料!AD$2:AD$501,$BJ266)))</f>
        <v/>
      </c>
      <c r="AC266" s="6">
        <f>IF(OR($BJ266="",28&gt;設定!$B$3),"",IF(INDEX(原始資料!AE$2:AE$501,$BJ266)="","",INDEX(原始資料!AE$2:AE$501,$BJ266)))</f>
        <v/>
      </c>
      <c r="AD266" s="6">
        <f>IF(OR($BJ266="",29&gt;設定!$B$3),"",IF(INDEX(原始資料!AF$2:AF$501,$BJ266)="","",INDEX(原始資料!AF$2:AF$501,$BJ266)))</f>
        <v/>
      </c>
      <c r="AE266" s="6">
        <f>IF(OR($BJ266="",30&gt;設定!$B$3),"",IF(INDEX(原始資料!AG$2:AG$501,$BJ266)="","",INDEX(原始資料!AG$2:AG$501,$BJ266)))</f>
        <v/>
      </c>
      <c r="AF266" s="6">
        <f>IF(OR($BJ266="",31&gt;設定!$B$3),"",IF(INDEX(原始資料!AH$2:AH$501,$BJ266)="","",INDEX(原始資料!AH$2:AH$501,$BJ266)))</f>
        <v/>
      </c>
      <c r="AG266" s="6">
        <f>IF(OR($BJ266="",32&gt;設定!$B$3),"",IF(INDEX(原始資料!AI$2:AI$501,$BJ266)="","",INDEX(原始資料!AI$2:AI$501,$BJ266)))</f>
        <v/>
      </c>
      <c r="AH266" s="6">
        <f>IF(OR($BJ266="",33&gt;設定!$B$3),"",IF(INDEX(原始資料!AJ$2:AJ$501,$BJ266)="","",INDEX(原始資料!AJ$2:AJ$501,$BJ266)))</f>
        <v/>
      </c>
      <c r="AI266" s="6">
        <f>IF(OR($BJ266="",34&gt;設定!$B$3),"",IF(INDEX(原始資料!AK$2:AK$501,$BJ266)="","",INDEX(原始資料!AK$2:AK$501,$BJ266)))</f>
        <v/>
      </c>
      <c r="AJ266" s="6">
        <f>IF(OR($BJ266="",35&gt;設定!$B$3),"",IF(INDEX(原始資料!AL$2:AL$501,$BJ266)="","",INDEX(原始資料!AL$2:AL$501,$BJ266)))</f>
        <v/>
      </c>
      <c r="AK266" s="6">
        <f>IF(OR($BJ266="",36&gt;設定!$B$3),"",IF(INDEX(原始資料!AM$2:AM$501,$BJ266)="","",INDEX(原始資料!AM$2:AM$501,$BJ266)))</f>
        <v/>
      </c>
      <c r="AL266" s="6">
        <f>IF(OR($BJ266="",37&gt;設定!$B$3),"",IF(INDEX(原始資料!AN$2:AN$501,$BJ266)="","",INDEX(原始資料!AN$2:AN$501,$BJ266)))</f>
        <v/>
      </c>
      <c r="AM266" s="6">
        <f>IF(OR($BJ266="",38&gt;設定!$B$3),"",IF(INDEX(原始資料!AO$2:AO$501,$BJ266)="","",INDEX(原始資料!AO$2:AO$501,$BJ266)))</f>
        <v/>
      </c>
      <c r="AN266" s="6">
        <f>IF(OR($BJ266="",39&gt;設定!$B$3),"",IF(INDEX(原始資料!AP$2:AP$501,$BJ266)="","",INDEX(原始資料!AP$2:AP$501,$BJ266)))</f>
        <v/>
      </c>
      <c r="AO266" s="6">
        <f>IF(OR($BJ266="",40&gt;設定!$B$3),"",IF(INDEX(原始資料!AQ$2:AQ$501,$BJ266)="","",INDEX(原始資料!AQ$2:AQ$501,$BJ266)))</f>
        <v/>
      </c>
      <c r="AP266" s="6">
        <f>IF(OR($BJ266="",41&gt;設定!$B$3),"",IF(INDEX(原始資料!AR$2:AR$501,$BJ266)="","",INDEX(原始資料!AR$2:AR$501,$BJ266)))</f>
        <v/>
      </c>
      <c r="AQ266" s="6">
        <f>IF(OR($BJ266="",42&gt;設定!$B$3),"",IF(INDEX(原始資料!AS$2:AS$501,$BJ266)="","",INDEX(原始資料!AS$2:AS$501,$BJ266)))</f>
        <v/>
      </c>
      <c r="AR266" s="6">
        <f>IF(OR($BJ266="",43&gt;設定!$B$3),"",IF(INDEX(原始資料!AT$2:AT$501,$BJ266)="","",INDEX(原始資料!AT$2:AT$501,$BJ266)))</f>
        <v/>
      </c>
      <c r="AS266" s="6">
        <f>IF(OR($BJ266="",44&gt;設定!$B$3),"",IF(INDEX(原始資料!AU$2:AU$501,$BJ266)="","",INDEX(原始資料!AU$2:AU$501,$BJ266)))</f>
        <v/>
      </c>
      <c r="AT266" s="6">
        <f>IF(OR($BJ266="",45&gt;設定!$B$3),"",IF(INDEX(原始資料!AV$2:AV$501,$BJ266)="","",INDEX(原始資料!AV$2:AV$501,$BJ266)))</f>
        <v/>
      </c>
      <c r="AU266" s="6">
        <f>IF(OR($BJ266="",46&gt;設定!$B$3),"",IF(INDEX(原始資料!AW$2:AW$501,$BJ266)="","",INDEX(原始資料!AW$2:AW$501,$BJ266)))</f>
        <v/>
      </c>
      <c r="AV266" s="6">
        <f>IF(OR($BJ266="",47&gt;設定!$B$3),"",IF(INDEX(原始資料!AX$2:AX$501,$BJ266)="","",INDEX(原始資料!AX$2:AX$501,$BJ266)))</f>
        <v/>
      </c>
      <c r="AW266" s="6">
        <f>IF(OR($BJ266="",48&gt;設定!$B$3),"",IF(INDEX(原始資料!AY$2:AY$501,$BJ266)="","",INDEX(原始資料!AY$2:AY$501,$BJ266)))</f>
        <v/>
      </c>
      <c r="AX266" s="6">
        <f>IF(OR($BJ266="",49&gt;設定!$B$3),"",IF(INDEX(原始資料!AZ$2:AZ$501,$BJ266)="","",INDEX(原始資料!AZ$2:AZ$501,$BJ266)))</f>
        <v/>
      </c>
      <c r="AY266" s="6">
        <f>IF(OR($BJ266="",50&gt;設定!$B$3),"",IF(INDEX(原始資料!BA$2:BA$501,$BJ266)="","",INDEX(原始資料!BA$2:BA$501,$BJ266)))</f>
        <v/>
      </c>
      <c r="AZ266" s="6">
        <f>IF(OR($BJ266="",51&gt;設定!$B$3),"",IF(INDEX(原始資料!BB$2:BB$501,$BJ266)="","",INDEX(原始資料!BB$2:BB$501,$BJ266)))</f>
        <v/>
      </c>
      <c r="BA266" s="6">
        <f>IF(OR($BJ266="",52&gt;設定!$B$3),"",IF(INDEX(原始資料!BC$2:BC$501,$BJ266)="","",INDEX(原始資料!BC$2:BC$501,$BJ266)))</f>
        <v/>
      </c>
      <c r="BB266" s="6">
        <f>IF(OR($BJ266="",53&gt;設定!$B$3),"",IF(INDEX(原始資料!BD$2:BD$501,$BJ266)="","",INDEX(原始資料!BD$2:BD$501,$BJ266)))</f>
        <v/>
      </c>
      <c r="BC266" s="6">
        <f>IF(OR($BJ266="",54&gt;設定!$B$3),"",IF(INDEX(原始資料!BE$2:BE$501,$BJ266)="","",INDEX(原始資料!BE$2:BE$501,$BJ266)))</f>
        <v/>
      </c>
      <c r="BD266" s="6">
        <f>IF(OR($BJ266="",55&gt;設定!$B$3),"",IF(INDEX(原始資料!BF$2:BF$501,$BJ266)="","",INDEX(原始資料!BF$2:BF$501,$BJ266)))</f>
        <v/>
      </c>
      <c r="BE266" s="6">
        <f>IF(OR($BJ266="",56&gt;設定!$B$3),"",IF(INDEX(原始資料!BG$2:BG$501,$BJ266)="","",INDEX(原始資料!BG$2:BG$501,$BJ266)))</f>
        <v/>
      </c>
      <c r="BF266" s="6">
        <f>IF(OR($BJ266="",57&gt;設定!$B$3),"",IF(INDEX(原始資料!BH$2:BH$501,$BJ266)="","",INDEX(原始資料!BH$2:BH$501,$BJ266)))</f>
        <v/>
      </c>
      <c r="BG266" s="6">
        <f>IF(OR($BJ266="",58&gt;設定!$B$3),"",IF(INDEX(原始資料!BI$2:BI$501,$BJ266)="","",INDEX(原始資料!BI$2:BI$501,$BJ266)))</f>
        <v/>
      </c>
      <c r="BH266" s="6">
        <f>IF(OR($BJ266="",59&gt;設定!$B$3),"",IF(INDEX(原始資料!BJ$2:BJ$501,$BJ266)="","",INDEX(原始資料!BJ$2:BJ$501,$BJ266)))</f>
        <v/>
      </c>
      <c r="BI266" s="6">
        <f>IF(OR($BJ266="",60&gt;設定!$B$3),"",IF(INDEX(原始資料!BK$2:BK$501,$BJ266)="","",INDEX(原始資料!BK$2:BK$501,$BJ266)))</f>
        <v/>
      </c>
      <c r="BJ266" s="6">
        <f>IFERROR(MATCH(ROW()-1,判定!$H$2:$H$501,0),"")</f>
        <v/>
      </c>
    </row>
    <row r="267">
      <c r="A267" s="6">
        <f>IF($BJ267="","",INDEX(原始資料!$A$2:$A$501,$BJ267))</f>
        <v/>
      </c>
      <c r="B267" s="6">
        <f>IF(OR($BJ267="",1&gt;設定!$B$3),"",IF(INDEX(原始資料!D$2:D$501,$BJ267)="","",INDEX(原始資料!D$2:D$501,$BJ267)))</f>
        <v/>
      </c>
      <c r="C267" s="6">
        <f>IF(OR($BJ267="",2&gt;設定!$B$3),"",IF(INDEX(原始資料!E$2:E$501,$BJ267)="","",INDEX(原始資料!E$2:E$501,$BJ267)))</f>
        <v/>
      </c>
      <c r="D267" s="6">
        <f>IF(OR($BJ267="",3&gt;設定!$B$3),"",IF(INDEX(原始資料!F$2:F$501,$BJ267)="","",INDEX(原始資料!F$2:F$501,$BJ267)))</f>
        <v/>
      </c>
      <c r="E267" s="6">
        <f>IF(OR($BJ267="",4&gt;設定!$B$3),"",IF(INDEX(原始資料!G$2:G$501,$BJ267)="","",INDEX(原始資料!G$2:G$501,$BJ267)))</f>
        <v/>
      </c>
      <c r="F267" s="6">
        <f>IF(OR($BJ267="",5&gt;設定!$B$3),"",IF(INDEX(原始資料!H$2:H$501,$BJ267)="","",INDEX(原始資料!H$2:H$501,$BJ267)))</f>
        <v/>
      </c>
      <c r="G267" s="6">
        <f>IF(OR($BJ267="",6&gt;設定!$B$3),"",IF(INDEX(原始資料!I$2:I$501,$BJ267)="","",INDEX(原始資料!I$2:I$501,$BJ267)))</f>
        <v/>
      </c>
      <c r="H267" s="6">
        <f>IF(OR($BJ267="",7&gt;設定!$B$3),"",IF(INDEX(原始資料!J$2:J$501,$BJ267)="","",INDEX(原始資料!J$2:J$501,$BJ267)))</f>
        <v/>
      </c>
      <c r="I267" s="6">
        <f>IF(OR($BJ267="",8&gt;設定!$B$3),"",IF(INDEX(原始資料!K$2:K$501,$BJ267)="","",INDEX(原始資料!K$2:K$501,$BJ267)))</f>
        <v/>
      </c>
      <c r="J267" s="6">
        <f>IF(OR($BJ267="",9&gt;設定!$B$3),"",IF(INDEX(原始資料!L$2:L$501,$BJ267)="","",INDEX(原始資料!L$2:L$501,$BJ267)))</f>
        <v/>
      </c>
      <c r="K267" s="6">
        <f>IF(OR($BJ267="",10&gt;設定!$B$3),"",IF(INDEX(原始資料!M$2:M$501,$BJ267)="","",INDEX(原始資料!M$2:M$501,$BJ267)))</f>
        <v/>
      </c>
      <c r="L267" s="6">
        <f>IF(OR($BJ267="",11&gt;設定!$B$3),"",IF(INDEX(原始資料!N$2:N$501,$BJ267)="","",INDEX(原始資料!N$2:N$501,$BJ267)))</f>
        <v/>
      </c>
      <c r="M267" s="6">
        <f>IF(OR($BJ267="",12&gt;設定!$B$3),"",IF(INDEX(原始資料!O$2:O$501,$BJ267)="","",INDEX(原始資料!O$2:O$501,$BJ267)))</f>
        <v/>
      </c>
      <c r="N267" s="6">
        <f>IF(OR($BJ267="",13&gt;設定!$B$3),"",IF(INDEX(原始資料!P$2:P$501,$BJ267)="","",INDEX(原始資料!P$2:P$501,$BJ267)))</f>
        <v/>
      </c>
      <c r="O267" s="6">
        <f>IF(OR($BJ267="",14&gt;設定!$B$3),"",IF(INDEX(原始資料!Q$2:Q$501,$BJ267)="","",INDEX(原始資料!Q$2:Q$501,$BJ267)))</f>
        <v/>
      </c>
      <c r="P267" s="6">
        <f>IF(OR($BJ267="",15&gt;設定!$B$3),"",IF(INDEX(原始資料!R$2:R$501,$BJ267)="","",INDEX(原始資料!R$2:R$501,$BJ267)))</f>
        <v/>
      </c>
      <c r="Q267" s="6">
        <f>IF(OR($BJ267="",16&gt;設定!$B$3),"",IF(INDEX(原始資料!S$2:S$501,$BJ267)="","",INDEX(原始資料!S$2:S$501,$BJ267)))</f>
        <v/>
      </c>
      <c r="R267" s="6">
        <f>IF(OR($BJ267="",17&gt;設定!$B$3),"",IF(INDEX(原始資料!T$2:T$501,$BJ267)="","",INDEX(原始資料!T$2:T$501,$BJ267)))</f>
        <v/>
      </c>
      <c r="S267" s="6">
        <f>IF(OR($BJ267="",18&gt;設定!$B$3),"",IF(INDEX(原始資料!U$2:U$501,$BJ267)="","",INDEX(原始資料!U$2:U$501,$BJ267)))</f>
        <v/>
      </c>
      <c r="T267" s="6">
        <f>IF(OR($BJ267="",19&gt;設定!$B$3),"",IF(INDEX(原始資料!V$2:V$501,$BJ267)="","",INDEX(原始資料!V$2:V$501,$BJ267)))</f>
        <v/>
      </c>
      <c r="U267" s="6">
        <f>IF(OR($BJ267="",20&gt;設定!$B$3),"",IF(INDEX(原始資料!W$2:W$501,$BJ267)="","",INDEX(原始資料!W$2:W$501,$BJ267)))</f>
        <v/>
      </c>
      <c r="V267" s="6">
        <f>IF(OR($BJ267="",21&gt;設定!$B$3),"",IF(INDEX(原始資料!X$2:X$501,$BJ267)="","",INDEX(原始資料!X$2:X$501,$BJ267)))</f>
        <v/>
      </c>
      <c r="W267" s="6">
        <f>IF(OR($BJ267="",22&gt;設定!$B$3),"",IF(INDEX(原始資料!Y$2:Y$501,$BJ267)="","",INDEX(原始資料!Y$2:Y$501,$BJ267)))</f>
        <v/>
      </c>
      <c r="X267" s="6">
        <f>IF(OR($BJ267="",23&gt;設定!$B$3),"",IF(INDEX(原始資料!Z$2:Z$501,$BJ267)="","",INDEX(原始資料!Z$2:Z$501,$BJ267)))</f>
        <v/>
      </c>
      <c r="Y267" s="6">
        <f>IF(OR($BJ267="",24&gt;設定!$B$3),"",IF(INDEX(原始資料!AA$2:AA$501,$BJ267)="","",INDEX(原始資料!AA$2:AA$501,$BJ267)))</f>
        <v/>
      </c>
      <c r="Z267" s="6">
        <f>IF(OR($BJ267="",25&gt;設定!$B$3),"",IF(INDEX(原始資料!AB$2:AB$501,$BJ267)="","",INDEX(原始資料!AB$2:AB$501,$BJ267)))</f>
        <v/>
      </c>
      <c r="AA267" s="6">
        <f>IF(OR($BJ267="",26&gt;設定!$B$3),"",IF(INDEX(原始資料!AC$2:AC$501,$BJ267)="","",INDEX(原始資料!AC$2:AC$501,$BJ267)))</f>
        <v/>
      </c>
      <c r="AB267" s="6">
        <f>IF(OR($BJ267="",27&gt;設定!$B$3),"",IF(INDEX(原始資料!AD$2:AD$501,$BJ267)="","",INDEX(原始資料!AD$2:AD$501,$BJ267)))</f>
        <v/>
      </c>
      <c r="AC267" s="6">
        <f>IF(OR($BJ267="",28&gt;設定!$B$3),"",IF(INDEX(原始資料!AE$2:AE$501,$BJ267)="","",INDEX(原始資料!AE$2:AE$501,$BJ267)))</f>
        <v/>
      </c>
      <c r="AD267" s="6">
        <f>IF(OR($BJ267="",29&gt;設定!$B$3),"",IF(INDEX(原始資料!AF$2:AF$501,$BJ267)="","",INDEX(原始資料!AF$2:AF$501,$BJ267)))</f>
        <v/>
      </c>
      <c r="AE267" s="6">
        <f>IF(OR($BJ267="",30&gt;設定!$B$3),"",IF(INDEX(原始資料!AG$2:AG$501,$BJ267)="","",INDEX(原始資料!AG$2:AG$501,$BJ267)))</f>
        <v/>
      </c>
      <c r="AF267" s="6">
        <f>IF(OR($BJ267="",31&gt;設定!$B$3),"",IF(INDEX(原始資料!AH$2:AH$501,$BJ267)="","",INDEX(原始資料!AH$2:AH$501,$BJ267)))</f>
        <v/>
      </c>
      <c r="AG267" s="6">
        <f>IF(OR($BJ267="",32&gt;設定!$B$3),"",IF(INDEX(原始資料!AI$2:AI$501,$BJ267)="","",INDEX(原始資料!AI$2:AI$501,$BJ267)))</f>
        <v/>
      </c>
      <c r="AH267" s="6">
        <f>IF(OR($BJ267="",33&gt;設定!$B$3),"",IF(INDEX(原始資料!AJ$2:AJ$501,$BJ267)="","",INDEX(原始資料!AJ$2:AJ$501,$BJ267)))</f>
        <v/>
      </c>
      <c r="AI267" s="6">
        <f>IF(OR($BJ267="",34&gt;設定!$B$3),"",IF(INDEX(原始資料!AK$2:AK$501,$BJ267)="","",INDEX(原始資料!AK$2:AK$501,$BJ267)))</f>
        <v/>
      </c>
      <c r="AJ267" s="6">
        <f>IF(OR($BJ267="",35&gt;設定!$B$3),"",IF(INDEX(原始資料!AL$2:AL$501,$BJ267)="","",INDEX(原始資料!AL$2:AL$501,$BJ267)))</f>
        <v/>
      </c>
      <c r="AK267" s="6">
        <f>IF(OR($BJ267="",36&gt;設定!$B$3),"",IF(INDEX(原始資料!AM$2:AM$501,$BJ267)="","",INDEX(原始資料!AM$2:AM$501,$BJ267)))</f>
        <v/>
      </c>
      <c r="AL267" s="6">
        <f>IF(OR($BJ267="",37&gt;設定!$B$3),"",IF(INDEX(原始資料!AN$2:AN$501,$BJ267)="","",INDEX(原始資料!AN$2:AN$501,$BJ267)))</f>
        <v/>
      </c>
      <c r="AM267" s="6">
        <f>IF(OR($BJ267="",38&gt;設定!$B$3),"",IF(INDEX(原始資料!AO$2:AO$501,$BJ267)="","",INDEX(原始資料!AO$2:AO$501,$BJ267)))</f>
        <v/>
      </c>
      <c r="AN267" s="6">
        <f>IF(OR($BJ267="",39&gt;設定!$B$3),"",IF(INDEX(原始資料!AP$2:AP$501,$BJ267)="","",INDEX(原始資料!AP$2:AP$501,$BJ267)))</f>
        <v/>
      </c>
      <c r="AO267" s="6">
        <f>IF(OR($BJ267="",40&gt;設定!$B$3),"",IF(INDEX(原始資料!AQ$2:AQ$501,$BJ267)="","",INDEX(原始資料!AQ$2:AQ$501,$BJ267)))</f>
        <v/>
      </c>
      <c r="AP267" s="6">
        <f>IF(OR($BJ267="",41&gt;設定!$B$3),"",IF(INDEX(原始資料!AR$2:AR$501,$BJ267)="","",INDEX(原始資料!AR$2:AR$501,$BJ267)))</f>
        <v/>
      </c>
      <c r="AQ267" s="6">
        <f>IF(OR($BJ267="",42&gt;設定!$B$3),"",IF(INDEX(原始資料!AS$2:AS$501,$BJ267)="","",INDEX(原始資料!AS$2:AS$501,$BJ267)))</f>
        <v/>
      </c>
      <c r="AR267" s="6">
        <f>IF(OR($BJ267="",43&gt;設定!$B$3),"",IF(INDEX(原始資料!AT$2:AT$501,$BJ267)="","",INDEX(原始資料!AT$2:AT$501,$BJ267)))</f>
        <v/>
      </c>
      <c r="AS267" s="6">
        <f>IF(OR($BJ267="",44&gt;設定!$B$3),"",IF(INDEX(原始資料!AU$2:AU$501,$BJ267)="","",INDEX(原始資料!AU$2:AU$501,$BJ267)))</f>
        <v/>
      </c>
      <c r="AT267" s="6">
        <f>IF(OR($BJ267="",45&gt;設定!$B$3),"",IF(INDEX(原始資料!AV$2:AV$501,$BJ267)="","",INDEX(原始資料!AV$2:AV$501,$BJ267)))</f>
        <v/>
      </c>
      <c r="AU267" s="6">
        <f>IF(OR($BJ267="",46&gt;設定!$B$3),"",IF(INDEX(原始資料!AW$2:AW$501,$BJ267)="","",INDEX(原始資料!AW$2:AW$501,$BJ267)))</f>
        <v/>
      </c>
      <c r="AV267" s="6">
        <f>IF(OR($BJ267="",47&gt;設定!$B$3),"",IF(INDEX(原始資料!AX$2:AX$501,$BJ267)="","",INDEX(原始資料!AX$2:AX$501,$BJ267)))</f>
        <v/>
      </c>
      <c r="AW267" s="6">
        <f>IF(OR($BJ267="",48&gt;設定!$B$3),"",IF(INDEX(原始資料!AY$2:AY$501,$BJ267)="","",INDEX(原始資料!AY$2:AY$501,$BJ267)))</f>
        <v/>
      </c>
      <c r="AX267" s="6">
        <f>IF(OR($BJ267="",49&gt;設定!$B$3),"",IF(INDEX(原始資料!AZ$2:AZ$501,$BJ267)="","",INDEX(原始資料!AZ$2:AZ$501,$BJ267)))</f>
        <v/>
      </c>
      <c r="AY267" s="6">
        <f>IF(OR($BJ267="",50&gt;設定!$B$3),"",IF(INDEX(原始資料!BA$2:BA$501,$BJ267)="","",INDEX(原始資料!BA$2:BA$501,$BJ267)))</f>
        <v/>
      </c>
      <c r="AZ267" s="6">
        <f>IF(OR($BJ267="",51&gt;設定!$B$3),"",IF(INDEX(原始資料!BB$2:BB$501,$BJ267)="","",INDEX(原始資料!BB$2:BB$501,$BJ267)))</f>
        <v/>
      </c>
      <c r="BA267" s="6">
        <f>IF(OR($BJ267="",52&gt;設定!$B$3),"",IF(INDEX(原始資料!BC$2:BC$501,$BJ267)="","",INDEX(原始資料!BC$2:BC$501,$BJ267)))</f>
        <v/>
      </c>
      <c r="BB267" s="6">
        <f>IF(OR($BJ267="",53&gt;設定!$B$3),"",IF(INDEX(原始資料!BD$2:BD$501,$BJ267)="","",INDEX(原始資料!BD$2:BD$501,$BJ267)))</f>
        <v/>
      </c>
      <c r="BC267" s="6">
        <f>IF(OR($BJ267="",54&gt;設定!$B$3),"",IF(INDEX(原始資料!BE$2:BE$501,$BJ267)="","",INDEX(原始資料!BE$2:BE$501,$BJ267)))</f>
        <v/>
      </c>
      <c r="BD267" s="6">
        <f>IF(OR($BJ267="",55&gt;設定!$B$3),"",IF(INDEX(原始資料!BF$2:BF$501,$BJ267)="","",INDEX(原始資料!BF$2:BF$501,$BJ267)))</f>
        <v/>
      </c>
      <c r="BE267" s="6">
        <f>IF(OR($BJ267="",56&gt;設定!$B$3),"",IF(INDEX(原始資料!BG$2:BG$501,$BJ267)="","",INDEX(原始資料!BG$2:BG$501,$BJ267)))</f>
        <v/>
      </c>
      <c r="BF267" s="6">
        <f>IF(OR($BJ267="",57&gt;設定!$B$3),"",IF(INDEX(原始資料!BH$2:BH$501,$BJ267)="","",INDEX(原始資料!BH$2:BH$501,$BJ267)))</f>
        <v/>
      </c>
      <c r="BG267" s="6">
        <f>IF(OR($BJ267="",58&gt;設定!$B$3),"",IF(INDEX(原始資料!BI$2:BI$501,$BJ267)="","",INDEX(原始資料!BI$2:BI$501,$BJ267)))</f>
        <v/>
      </c>
      <c r="BH267" s="6">
        <f>IF(OR($BJ267="",59&gt;設定!$B$3),"",IF(INDEX(原始資料!BJ$2:BJ$501,$BJ267)="","",INDEX(原始資料!BJ$2:BJ$501,$BJ267)))</f>
        <v/>
      </c>
      <c r="BI267" s="6">
        <f>IF(OR($BJ267="",60&gt;設定!$B$3),"",IF(INDEX(原始資料!BK$2:BK$501,$BJ267)="","",INDEX(原始資料!BK$2:BK$501,$BJ267)))</f>
        <v/>
      </c>
      <c r="BJ267" s="6">
        <f>IFERROR(MATCH(ROW()-1,判定!$H$2:$H$501,0),"")</f>
        <v/>
      </c>
    </row>
    <row r="268">
      <c r="A268" s="6">
        <f>IF($BJ268="","",INDEX(原始資料!$A$2:$A$501,$BJ268))</f>
        <v/>
      </c>
      <c r="B268" s="6">
        <f>IF(OR($BJ268="",1&gt;設定!$B$3),"",IF(INDEX(原始資料!D$2:D$501,$BJ268)="","",INDEX(原始資料!D$2:D$501,$BJ268)))</f>
        <v/>
      </c>
      <c r="C268" s="6">
        <f>IF(OR($BJ268="",2&gt;設定!$B$3),"",IF(INDEX(原始資料!E$2:E$501,$BJ268)="","",INDEX(原始資料!E$2:E$501,$BJ268)))</f>
        <v/>
      </c>
      <c r="D268" s="6">
        <f>IF(OR($BJ268="",3&gt;設定!$B$3),"",IF(INDEX(原始資料!F$2:F$501,$BJ268)="","",INDEX(原始資料!F$2:F$501,$BJ268)))</f>
        <v/>
      </c>
      <c r="E268" s="6">
        <f>IF(OR($BJ268="",4&gt;設定!$B$3),"",IF(INDEX(原始資料!G$2:G$501,$BJ268)="","",INDEX(原始資料!G$2:G$501,$BJ268)))</f>
        <v/>
      </c>
      <c r="F268" s="6">
        <f>IF(OR($BJ268="",5&gt;設定!$B$3),"",IF(INDEX(原始資料!H$2:H$501,$BJ268)="","",INDEX(原始資料!H$2:H$501,$BJ268)))</f>
        <v/>
      </c>
      <c r="G268" s="6">
        <f>IF(OR($BJ268="",6&gt;設定!$B$3),"",IF(INDEX(原始資料!I$2:I$501,$BJ268)="","",INDEX(原始資料!I$2:I$501,$BJ268)))</f>
        <v/>
      </c>
      <c r="H268" s="6">
        <f>IF(OR($BJ268="",7&gt;設定!$B$3),"",IF(INDEX(原始資料!J$2:J$501,$BJ268)="","",INDEX(原始資料!J$2:J$501,$BJ268)))</f>
        <v/>
      </c>
      <c r="I268" s="6">
        <f>IF(OR($BJ268="",8&gt;設定!$B$3),"",IF(INDEX(原始資料!K$2:K$501,$BJ268)="","",INDEX(原始資料!K$2:K$501,$BJ268)))</f>
        <v/>
      </c>
      <c r="J268" s="6">
        <f>IF(OR($BJ268="",9&gt;設定!$B$3),"",IF(INDEX(原始資料!L$2:L$501,$BJ268)="","",INDEX(原始資料!L$2:L$501,$BJ268)))</f>
        <v/>
      </c>
      <c r="K268" s="6">
        <f>IF(OR($BJ268="",10&gt;設定!$B$3),"",IF(INDEX(原始資料!M$2:M$501,$BJ268)="","",INDEX(原始資料!M$2:M$501,$BJ268)))</f>
        <v/>
      </c>
      <c r="L268" s="6">
        <f>IF(OR($BJ268="",11&gt;設定!$B$3),"",IF(INDEX(原始資料!N$2:N$501,$BJ268)="","",INDEX(原始資料!N$2:N$501,$BJ268)))</f>
        <v/>
      </c>
      <c r="M268" s="6">
        <f>IF(OR($BJ268="",12&gt;設定!$B$3),"",IF(INDEX(原始資料!O$2:O$501,$BJ268)="","",INDEX(原始資料!O$2:O$501,$BJ268)))</f>
        <v/>
      </c>
      <c r="N268" s="6">
        <f>IF(OR($BJ268="",13&gt;設定!$B$3),"",IF(INDEX(原始資料!P$2:P$501,$BJ268)="","",INDEX(原始資料!P$2:P$501,$BJ268)))</f>
        <v/>
      </c>
      <c r="O268" s="6">
        <f>IF(OR($BJ268="",14&gt;設定!$B$3),"",IF(INDEX(原始資料!Q$2:Q$501,$BJ268)="","",INDEX(原始資料!Q$2:Q$501,$BJ268)))</f>
        <v/>
      </c>
      <c r="P268" s="6">
        <f>IF(OR($BJ268="",15&gt;設定!$B$3),"",IF(INDEX(原始資料!R$2:R$501,$BJ268)="","",INDEX(原始資料!R$2:R$501,$BJ268)))</f>
        <v/>
      </c>
      <c r="Q268" s="6">
        <f>IF(OR($BJ268="",16&gt;設定!$B$3),"",IF(INDEX(原始資料!S$2:S$501,$BJ268)="","",INDEX(原始資料!S$2:S$501,$BJ268)))</f>
        <v/>
      </c>
      <c r="R268" s="6">
        <f>IF(OR($BJ268="",17&gt;設定!$B$3),"",IF(INDEX(原始資料!T$2:T$501,$BJ268)="","",INDEX(原始資料!T$2:T$501,$BJ268)))</f>
        <v/>
      </c>
      <c r="S268" s="6">
        <f>IF(OR($BJ268="",18&gt;設定!$B$3),"",IF(INDEX(原始資料!U$2:U$501,$BJ268)="","",INDEX(原始資料!U$2:U$501,$BJ268)))</f>
        <v/>
      </c>
      <c r="T268" s="6">
        <f>IF(OR($BJ268="",19&gt;設定!$B$3),"",IF(INDEX(原始資料!V$2:V$501,$BJ268)="","",INDEX(原始資料!V$2:V$501,$BJ268)))</f>
        <v/>
      </c>
      <c r="U268" s="6">
        <f>IF(OR($BJ268="",20&gt;設定!$B$3),"",IF(INDEX(原始資料!W$2:W$501,$BJ268)="","",INDEX(原始資料!W$2:W$501,$BJ268)))</f>
        <v/>
      </c>
      <c r="V268" s="6">
        <f>IF(OR($BJ268="",21&gt;設定!$B$3),"",IF(INDEX(原始資料!X$2:X$501,$BJ268)="","",INDEX(原始資料!X$2:X$501,$BJ268)))</f>
        <v/>
      </c>
      <c r="W268" s="6">
        <f>IF(OR($BJ268="",22&gt;設定!$B$3),"",IF(INDEX(原始資料!Y$2:Y$501,$BJ268)="","",INDEX(原始資料!Y$2:Y$501,$BJ268)))</f>
        <v/>
      </c>
      <c r="X268" s="6">
        <f>IF(OR($BJ268="",23&gt;設定!$B$3),"",IF(INDEX(原始資料!Z$2:Z$501,$BJ268)="","",INDEX(原始資料!Z$2:Z$501,$BJ268)))</f>
        <v/>
      </c>
      <c r="Y268" s="6">
        <f>IF(OR($BJ268="",24&gt;設定!$B$3),"",IF(INDEX(原始資料!AA$2:AA$501,$BJ268)="","",INDEX(原始資料!AA$2:AA$501,$BJ268)))</f>
        <v/>
      </c>
      <c r="Z268" s="6">
        <f>IF(OR($BJ268="",25&gt;設定!$B$3),"",IF(INDEX(原始資料!AB$2:AB$501,$BJ268)="","",INDEX(原始資料!AB$2:AB$501,$BJ268)))</f>
        <v/>
      </c>
      <c r="AA268" s="6">
        <f>IF(OR($BJ268="",26&gt;設定!$B$3),"",IF(INDEX(原始資料!AC$2:AC$501,$BJ268)="","",INDEX(原始資料!AC$2:AC$501,$BJ268)))</f>
        <v/>
      </c>
      <c r="AB268" s="6">
        <f>IF(OR($BJ268="",27&gt;設定!$B$3),"",IF(INDEX(原始資料!AD$2:AD$501,$BJ268)="","",INDEX(原始資料!AD$2:AD$501,$BJ268)))</f>
        <v/>
      </c>
      <c r="AC268" s="6">
        <f>IF(OR($BJ268="",28&gt;設定!$B$3),"",IF(INDEX(原始資料!AE$2:AE$501,$BJ268)="","",INDEX(原始資料!AE$2:AE$501,$BJ268)))</f>
        <v/>
      </c>
      <c r="AD268" s="6">
        <f>IF(OR($BJ268="",29&gt;設定!$B$3),"",IF(INDEX(原始資料!AF$2:AF$501,$BJ268)="","",INDEX(原始資料!AF$2:AF$501,$BJ268)))</f>
        <v/>
      </c>
      <c r="AE268" s="6">
        <f>IF(OR($BJ268="",30&gt;設定!$B$3),"",IF(INDEX(原始資料!AG$2:AG$501,$BJ268)="","",INDEX(原始資料!AG$2:AG$501,$BJ268)))</f>
        <v/>
      </c>
      <c r="AF268" s="6">
        <f>IF(OR($BJ268="",31&gt;設定!$B$3),"",IF(INDEX(原始資料!AH$2:AH$501,$BJ268)="","",INDEX(原始資料!AH$2:AH$501,$BJ268)))</f>
        <v/>
      </c>
      <c r="AG268" s="6">
        <f>IF(OR($BJ268="",32&gt;設定!$B$3),"",IF(INDEX(原始資料!AI$2:AI$501,$BJ268)="","",INDEX(原始資料!AI$2:AI$501,$BJ268)))</f>
        <v/>
      </c>
      <c r="AH268" s="6">
        <f>IF(OR($BJ268="",33&gt;設定!$B$3),"",IF(INDEX(原始資料!AJ$2:AJ$501,$BJ268)="","",INDEX(原始資料!AJ$2:AJ$501,$BJ268)))</f>
        <v/>
      </c>
      <c r="AI268" s="6">
        <f>IF(OR($BJ268="",34&gt;設定!$B$3),"",IF(INDEX(原始資料!AK$2:AK$501,$BJ268)="","",INDEX(原始資料!AK$2:AK$501,$BJ268)))</f>
        <v/>
      </c>
      <c r="AJ268" s="6">
        <f>IF(OR($BJ268="",35&gt;設定!$B$3),"",IF(INDEX(原始資料!AL$2:AL$501,$BJ268)="","",INDEX(原始資料!AL$2:AL$501,$BJ268)))</f>
        <v/>
      </c>
      <c r="AK268" s="6">
        <f>IF(OR($BJ268="",36&gt;設定!$B$3),"",IF(INDEX(原始資料!AM$2:AM$501,$BJ268)="","",INDEX(原始資料!AM$2:AM$501,$BJ268)))</f>
        <v/>
      </c>
      <c r="AL268" s="6">
        <f>IF(OR($BJ268="",37&gt;設定!$B$3),"",IF(INDEX(原始資料!AN$2:AN$501,$BJ268)="","",INDEX(原始資料!AN$2:AN$501,$BJ268)))</f>
        <v/>
      </c>
      <c r="AM268" s="6">
        <f>IF(OR($BJ268="",38&gt;設定!$B$3),"",IF(INDEX(原始資料!AO$2:AO$501,$BJ268)="","",INDEX(原始資料!AO$2:AO$501,$BJ268)))</f>
        <v/>
      </c>
      <c r="AN268" s="6">
        <f>IF(OR($BJ268="",39&gt;設定!$B$3),"",IF(INDEX(原始資料!AP$2:AP$501,$BJ268)="","",INDEX(原始資料!AP$2:AP$501,$BJ268)))</f>
        <v/>
      </c>
      <c r="AO268" s="6">
        <f>IF(OR($BJ268="",40&gt;設定!$B$3),"",IF(INDEX(原始資料!AQ$2:AQ$501,$BJ268)="","",INDEX(原始資料!AQ$2:AQ$501,$BJ268)))</f>
        <v/>
      </c>
      <c r="AP268" s="6">
        <f>IF(OR($BJ268="",41&gt;設定!$B$3),"",IF(INDEX(原始資料!AR$2:AR$501,$BJ268)="","",INDEX(原始資料!AR$2:AR$501,$BJ268)))</f>
        <v/>
      </c>
      <c r="AQ268" s="6">
        <f>IF(OR($BJ268="",42&gt;設定!$B$3),"",IF(INDEX(原始資料!AS$2:AS$501,$BJ268)="","",INDEX(原始資料!AS$2:AS$501,$BJ268)))</f>
        <v/>
      </c>
      <c r="AR268" s="6">
        <f>IF(OR($BJ268="",43&gt;設定!$B$3),"",IF(INDEX(原始資料!AT$2:AT$501,$BJ268)="","",INDEX(原始資料!AT$2:AT$501,$BJ268)))</f>
        <v/>
      </c>
      <c r="AS268" s="6">
        <f>IF(OR($BJ268="",44&gt;設定!$B$3),"",IF(INDEX(原始資料!AU$2:AU$501,$BJ268)="","",INDEX(原始資料!AU$2:AU$501,$BJ268)))</f>
        <v/>
      </c>
      <c r="AT268" s="6">
        <f>IF(OR($BJ268="",45&gt;設定!$B$3),"",IF(INDEX(原始資料!AV$2:AV$501,$BJ268)="","",INDEX(原始資料!AV$2:AV$501,$BJ268)))</f>
        <v/>
      </c>
      <c r="AU268" s="6">
        <f>IF(OR($BJ268="",46&gt;設定!$B$3),"",IF(INDEX(原始資料!AW$2:AW$501,$BJ268)="","",INDEX(原始資料!AW$2:AW$501,$BJ268)))</f>
        <v/>
      </c>
      <c r="AV268" s="6">
        <f>IF(OR($BJ268="",47&gt;設定!$B$3),"",IF(INDEX(原始資料!AX$2:AX$501,$BJ268)="","",INDEX(原始資料!AX$2:AX$501,$BJ268)))</f>
        <v/>
      </c>
      <c r="AW268" s="6">
        <f>IF(OR($BJ268="",48&gt;設定!$B$3),"",IF(INDEX(原始資料!AY$2:AY$501,$BJ268)="","",INDEX(原始資料!AY$2:AY$501,$BJ268)))</f>
        <v/>
      </c>
      <c r="AX268" s="6">
        <f>IF(OR($BJ268="",49&gt;設定!$B$3),"",IF(INDEX(原始資料!AZ$2:AZ$501,$BJ268)="","",INDEX(原始資料!AZ$2:AZ$501,$BJ268)))</f>
        <v/>
      </c>
      <c r="AY268" s="6">
        <f>IF(OR($BJ268="",50&gt;設定!$B$3),"",IF(INDEX(原始資料!BA$2:BA$501,$BJ268)="","",INDEX(原始資料!BA$2:BA$501,$BJ268)))</f>
        <v/>
      </c>
      <c r="AZ268" s="6">
        <f>IF(OR($BJ268="",51&gt;設定!$B$3),"",IF(INDEX(原始資料!BB$2:BB$501,$BJ268)="","",INDEX(原始資料!BB$2:BB$501,$BJ268)))</f>
        <v/>
      </c>
      <c r="BA268" s="6">
        <f>IF(OR($BJ268="",52&gt;設定!$B$3),"",IF(INDEX(原始資料!BC$2:BC$501,$BJ268)="","",INDEX(原始資料!BC$2:BC$501,$BJ268)))</f>
        <v/>
      </c>
      <c r="BB268" s="6">
        <f>IF(OR($BJ268="",53&gt;設定!$B$3),"",IF(INDEX(原始資料!BD$2:BD$501,$BJ268)="","",INDEX(原始資料!BD$2:BD$501,$BJ268)))</f>
        <v/>
      </c>
      <c r="BC268" s="6">
        <f>IF(OR($BJ268="",54&gt;設定!$B$3),"",IF(INDEX(原始資料!BE$2:BE$501,$BJ268)="","",INDEX(原始資料!BE$2:BE$501,$BJ268)))</f>
        <v/>
      </c>
      <c r="BD268" s="6">
        <f>IF(OR($BJ268="",55&gt;設定!$B$3),"",IF(INDEX(原始資料!BF$2:BF$501,$BJ268)="","",INDEX(原始資料!BF$2:BF$501,$BJ268)))</f>
        <v/>
      </c>
      <c r="BE268" s="6">
        <f>IF(OR($BJ268="",56&gt;設定!$B$3),"",IF(INDEX(原始資料!BG$2:BG$501,$BJ268)="","",INDEX(原始資料!BG$2:BG$501,$BJ268)))</f>
        <v/>
      </c>
      <c r="BF268" s="6">
        <f>IF(OR($BJ268="",57&gt;設定!$B$3),"",IF(INDEX(原始資料!BH$2:BH$501,$BJ268)="","",INDEX(原始資料!BH$2:BH$501,$BJ268)))</f>
        <v/>
      </c>
      <c r="BG268" s="6">
        <f>IF(OR($BJ268="",58&gt;設定!$B$3),"",IF(INDEX(原始資料!BI$2:BI$501,$BJ268)="","",INDEX(原始資料!BI$2:BI$501,$BJ268)))</f>
        <v/>
      </c>
      <c r="BH268" s="6">
        <f>IF(OR($BJ268="",59&gt;設定!$B$3),"",IF(INDEX(原始資料!BJ$2:BJ$501,$BJ268)="","",INDEX(原始資料!BJ$2:BJ$501,$BJ268)))</f>
        <v/>
      </c>
      <c r="BI268" s="6">
        <f>IF(OR($BJ268="",60&gt;設定!$B$3),"",IF(INDEX(原始資料!BK$2:BK$501,$BJ268)="","",INDEX(原始資料!BK$2:BK$501,$BJ268)))</f>
        <v/>
      </c>
      <c r="BJ268" s="6">
        <f>IFERROR(MATCH(ROW()-1,判定!$H$2:$H$501,0),"")</f>
        <v/>
      </c>
    </row>
    <row r="269">
      <c r="A269" s="6">
        <f>IF($BJ269="","",INDEX(原始資料!$A$2:$A$501,$BJ269))</f>
        <v/>
      </c>
      <c r="B269" s="6">
        <f>IF(OR($BJ269="",1&gt;設定!$B$3),"",IF(INDEX(原始資料!D$2:D$501,$BJ269)="","",INDEX(原始資料!D$2:D$501,$BJ269)))</f>
        <v/>
      </c>
      <c r="C269" s="6">
        <f>IF(OR($BJ269="",2&gt;設定!$B$3),"",IF(INDEX(原始資料!E$2:E$501,$BJ269)="","",INDEX(原始資料!E$2:E$501,$BJ269)))</f>
        <v/>
      </c>
      <c r="D269" s="6">
        <f>IF(OR($BJ269="",3&gt;設定!$B$3),"",IF(INDEX(原始資料!F$2:F$501,$BJ269)="","",INDEX(原始資料!F$2:F$501,$BJ269)))</f>
        <v/>
      </c>
      <c r="E269" s="6">
        <f>IF(OR($BJ269="",4&gt;設定!$B$3),"",IF(INDEX(原始資料!G$2:G$501,$BJ269)="","",INDEX(原始資料!G$2:G$501,$BJ269)))</f>
        <v/>
      </c>
      <c r="F269" s="6">
        <f>IF(OR($BJ269="",5&gt;設定!$B$3),"",IF(INDEX(原始資料!H$2:H$501,$BJ269)="","",INDEX(原始資料!H$2:H$501,$BJ269)))</f>
        <v/>
      </c>
      <c r="G269" s="6">
        <f>IF(OR($BJ269="",6&gt;設定!$B$3),"",IF(INDEX(原始資料!I$2:I$501,$BJ269)="","",INDEX(原始資料!I$2:I$501,$BJ269)))</f>
        <v/>
      </c>
      <c r="H269" s="6">
        <f>IF(OR($BJ269="",7&gt;設定!$B$3),"",IF(INDEX(原始資料!J$2:J$501,$BJ269)="","",INDEX(原始資料!J$2:J$501,$BJ269)))</f>
        <v/>
      </c>
      <c r="I269" s="6">
        <f>IF(OR($BJ269="",8&gt;設定!$B$3),"",IF(INDEX(原始資料!K$2:K$501,$BJ269)="","",INDEX(原始資料!K$2:K$501,$BJ269)))</f>
        <v/>
      </c>
      <c r="J269" s="6">
        <f>IF(OR($BJ269="",9&gt;設定!$B$3),"",IF(INDEX(原始資料!L$2:L$501,$BJ269)="","",INDEX(原始資料!L$2:L$501,$BJ269)))</f>
        <v/>
      </c>
      <c r="K269" s="6">
        <f>IF(OR($BJ269="",10&gt;設定!$B$3),"",IF(INDEX(原始資料!M$2:M$501,$BJ269)="","",INDEX(原始資料!M$2:M$501,$BJ269)))</f>
        <v/>
      </c>
      <c r="L269" s="6">
        <f>IF(OR($BJ269="",11&gt;設定!$B$3),"",IF(INDEX(原始資料!N$2:N$501,$BJ269)="","",INDEX(原始資料!N$2:N$501,$BJ269)))</f>
        <v/>
      </c>
      <c r="M269" s="6">
        <f>IF(OR($BJ269="",12&gt;設定!$B$3),"",IF(INDEX(原始資料!O$2:O$501,$BJ269)="","",INDEX(原始資料!O$2:O$501,$BJ269)))</f>
        <v/>
      </c>
      <c r="N269" s="6">
        <f>IF(OR($BJ269="",13&gt;設定!$B$3),"",IF(INDEX(原始資料!P$2:P$501,$BJ269)="","",INDEX(原始資料!P$2:P$501,$BJ269)))</f>
        <v/>
      </c>
      <c r="O269" s="6">
        <f>IF(OR($BJ269="",14&gt;設定!$B$3),"",IF(INDEX(原始資料!Q$2:Q$501,$BJ269)="","",INDEX(原始資料!Q$2:Q$501,$BJ269)))</f>
        <v/>
      </c>
      <c r="P269" s="6">
        <f>IF(OR($BJ269="",15&gt;設定!$B$3),"",IF(INDEX(原始資料!R$2:R$501,$BJ269)="","",INDEX(原始資料!R$2:R$501,$BJ269)))</f>
        <v/>
      </c>
      <c r="Q269" s="6">
        <f>IF(OR($BJ269="",16&gt;設定!$B$3),"",IF(INDEX(原始資料!S$2:S$501,$BJ269)="","",INDEX(原始資料!S$2:S$501,$BJ269)))</f>
        <v/>
      </c>
      <c r="R269" s="6">
        <f>IF(OR($BJ269="",17&gt;設定!$B$3),"",IF(INDEX(原始資料!T$2:T$501,$BJ269)="","",INDEX(原始資料!T$2:T$501,$BJ269)))</f>
        <v/>
      </c>
      <c r="S269" s="6">
        <f>IF(OR($BJ269="",18&gt;設定!$B$3),"",IF(INDEX(原始資料!U$2:U$501,$BJ269)="","",INDEX(原始資料!U$2:U$501,$BJ269)))</f>
        <v/>
      </c>
      <c r="T269" s="6">
        <f>IF(OR($BJ269="",19&gt;設定!$B$3),"",IF(INDEX(原始資料!V$2:V$501,$BJ269)="","",INDEX(原始資料!V$2:V$501,$BJ269)))</f>
        <v/>
      </c>
      <c r="U269" s="6">
        <f>IF(OR($BJ269="",20&gt;設定!$B$3),"",IF(INDEX(原始資料!W$2:W$501,$BJ269)="","",INDEX(原始資料!W$2:W$501,$BJ269)))</f>
        <v/>
      </c>
      <c r="V269" s="6">
        <f>IF(OR($BJ269="",21&gt;設定!$B$3),"",IF(INDEX(原始資料!X$2:X$501,$BJ269)="","",INDEX(原始資料!X$2:X$501,$BJ269)))</f>
        <v/>
      </c>
      <c r="W269" s="6">
        <f>IF(OR($BJ269="",22&gt;設定!$B$3),"",IF(INDEX(原始資料!Y$2:Y$501,$BJ269)="","",INDEX(原始資料!Y$2:Y$501,$BJ269)))</f>
        <v/>
      </c>
      <c r="X269" s="6">
        <f>IF(OR($BJ269="",23&gt;設定!$B$3),"",IF(INDEX(原始資料!Z$2:Z$501,$BJ269)="","",INDEX(原始資料!Z$2:Z$501,$BJ269)))</f>
        <v/>
      </c>
      <c r="Y269" s="6">
        <f>IF(OR($BJ269="",24&gt;設定!$B$3),"",IF(INDEX(原始資料!AA$2:AA$501,$BJ269)="","",INDEX(原始資料!AA$2:AA$501,$BJ269)))</f>
        <v/>
      </c>
      <c r="Z269" s="6">
        <f>IF(OR($BJ269="",25&gt;設定!$B$3),"",IF(INDEX(原始資料!AB$2:AB$501,$BJ269)="","",INDEX(原始資料!AB$2:AB$501,$BJ269)))</f>
        <v/>
      </c>
      <c r="AA269" s="6">
        <f>IF(OR($BJ269="",26&gt;設定!$B$3),"",IF(INDEX(原始資料!AC$2:AC$501,$BJ269)="","",INDEX(原始資料!AC$2:AC$501,$BJ269)))</f>
        <v/>
      </c>
      <c r="AB269" s="6">
        <f>IF(OR($BJ269="",27&gt;設定!$B$3),"",IF(INDEX(原始資料!AD$2:AD$501,$BJ269)="","",INDEX(原始資料!AD$2:AD$501,$BJ269)))</f>
        <v/>
      </c>
      <c r="AC269" s="6">
        <f>IF(OR($BJ269="",28&gt;設定!$B$3),"",IF(INDEX(原始資料!AE$2:AE$501,$BJ269)="","",INDEX(原始資料!AE$2:AE$501,$BJ269)))</f>
        <v/>
      </c>
      <c r="AD269" s="6">
        <f>IF(OR($BJ269="",29&gt;設定!$B$3),"",IF(INDEX(原始資料!AF$2:AF$501,$BJ269)="","",INDEX(原始資料!AF$2:AF$501,$BJ269)))</f>
        <v/>
      </c>
      <c r="AE269" s="6">
        <f>IF(OR($BJ269="",30&gt;設定!$B$3),"",IF(INDEX(原始資料!AG$2:AG$501,$BJ269)="","",INDEX(原始資料!AG$2:AG$501,$BJ269)))</f>
        <v/>
      </c>
      <c r="AF269" s="6">
        <f>IF(OR($BJ269="",31&gt;設定!$B$3),"",IF(INDEX(原始資料!AH$2:AH$501,$BJ269)="","",INDEX(原始資料!AH$2:AH$501,$BJ269)))</f>
        <v/>
      </c>
      <c r="AG269" s="6">
        <f>IF(OR($BJ269="",32&gt;設定!$B$3),"",IF(INDEX(原始資料!AI$2:AI$501,$BJ269)="","",INDEX(原始資料!AI$2:AI$501,$BJ269)))</f>
        <v/>
      </c>
      <c r="AH269" s="6">
        <f>IF(OR($BJ269="",33&gt;設定!$B$3),"",IF(INDEX(原始資料!AJ$2:AJ$501,$BJ269)="","",INDEX(原始資料!AJ$2:AJ$501,$BJ269)))</f>
        <v/>
      </c>
      <c r="AI269" s="6">
        <f>IF(OR($BJ269="",34&gt;設定!$B$3),"",IF(INDEX(原始資料!AK$2:AK$501,$BJ269)="","",INDEX(原始資料!AK$2:AK$501,$BJ269)))</f>
        <v/>
      </c>
      <c r="AJ269" s="6">
        <f>IF(OR($BJ269="",35&gt;設定!$B$3),"",IF(INDEX(原始資料!AL$2:AL$501,$BJ269)="","",INDEX(原始資料!AL$2:AL$501,$BJ269)))</f>
        <v/>
      </c>
      <c r="AK269" s="6">
        <f>IF(OR($BJ269="",36&gt;設定!$B$3),"",IF(INDEX(原始資料!AM$2:AM$501,$BJ269)="","",INDEX(原始資料!AM$2:AM$501,$BJ269)))</f>
        <v/>
      </c>
      <c r="AL269" s="6">
        <f>IF(OR($BJ269="",37&gt;設定!$B$3),"",IF(INDEX(原始資料!AN$2:AN$501,$BJ269)="","",INDEX(原始資料!AN$2:AN$501,$BJ269)))</f>
        <v/>
      </c>
      <c r="AM269" s="6">
        <f>IF(OR($BJ269="",38&gt;設定!$B$3),"",IF(INDEX(原始資料!AO$2:AO$501,$BJ269)="","",INDEX(原始資料!AO$2:AO$501,$BJ269)))</f>
        <v/>
      </c>
      <c r="AN269" s="6">
        <f>IF(OR($BJ269="",39&gt;設定!$B$3),"",IF(INDEX(原始資料!AP$2:AP$501,$BJ269)="","",INDEX(原始資料!AP$2:AP$501,$BJ269)))</f>
        <v/>
      </c>
      <c r="AO269" s="6">
        <f>IF(OR($BJ269="",40&gt;設定!$B$3),"",IF(INDEX(原始資料!AQ$2:AQ$501,$BJ269)="","",INDEX(原始資料!AQ$2:AQ$501,$BJ269)))</f>
        <v/>
      </c>
      <c r="AP269" s="6">
        <f>IF(OR($BJ269="",41&gt;設定!$B$3),"",IF(INDEX(原始資料!AR$2:AR$501,$BJ269)="","",INDEX(原始資料!AR$2:AR$501,$BJ269)))</f>
        <v/>
      </c>
      <c r="AQ269" s="6">
        <f>IF(OR($BJ269="",42&gt;設定!$B$3),"",IF(INDEX(原始資料!AS$2:AS$501,$BJ269)="","",INDEX(原始資料!AS$2:AS$501,$BJ269)))</f>
        <v/>
      </c>
      <c r="AR269" s="6">
        <f>IF(OR($BJ269="",43&gt;設定!$B$3),"",IF(INDEX(原始資料!AT$2:AT$501,$BJ269)="","",INDEX(原始資料!AT$2:AT$501,$BJ269)))</f>
        <v/>
      </c>
      <c r="AS269" s="6">
        <f>IF(OR($BJ269="",44&gt;設定!$B$3),"",IF(INDEX(原始資料!AU$2:AU$501,$BJ269)="","",INDEX(原始資料!AU$2:AU$501,$BJ269)))</f>
        <v/>
      </c>
      <c r="AT269" s="6">
        <f>IF(OR($BJ269="",45&gt;設定!$B$3),"",IF(INDEX(原始資料!AV$2:AV$501,$BJ269)="","",INDEX(原始資料!AV$2:AV$501,$BJ269)))</f>
        <v/>
      </c>
      <c r="AU269" s="6">
        <f>IF(OR($BJ269="",46&gt;設定!$B$3),"",IF(INDEX(原始資料!AW$2:AW$501,$BJ269)="","",INDEX(原始資料!AW$2:AW$501,$BJ269)))</f>
        <v/>
      </c>
      <c r="AV269" s="6">
        <f>IF(OR($BJ269="",47&gt;設定!$B$3),"",IF(INDEX(原始資料!AX$2:AX$501,$BJ269)="","",INDEX(原始資料!AX$2:AX$501,$BJ269)))</f>
        <v/>
      </c>
      <c r="AW269" s="6">
        <f>IF(OR($BJ269="",48&gt;設定!$B$3),"",IF(INDEX(原始資料!AY$2:AY$501,$BJ269)="","",INDEX(原始資料!AY$2:AY$501,$BJ269)))</f>
        <v/>
      </c>
      <c r="AX269" s="6">
        <f>IF(OR($BJ269="",49&gt;設定!$B$3),"",IF(INDEX(原始資料!AZ$2:AZ$501,$BJ269)="","",INDEX(原始資料!AZ$2:AZ$501,$BJ269)))</f>
        <v/>
      </c>
      <c r="AY269" s="6">
        <f>IF(OR($BJ269="",50&gt;設定!$B$3),"",IF(INDEX(原始資料!BA$2:BA$501,$BJ269)="","",INDEX(原始資料!BA$2:BA$501,$BJ269)))</f>
        <v/>
      </c>
      <c r="AZ269" s="6">
        <f>IF(OR($BJ269="",51&gt;設定!$B$3),"",IF(INDEX(原始資料!BB$2:BB$501,$BJ269)="","",INDEX(原始資料!BB$2:BB$501,$BJ269)))</f>
        <v/>
      </c>
      <c r="BA269" s="6">
        <f>IF(OR($BJ269="",52&gt;設定!$B$3),"",IF(INDEX(原始資料!BC$2:BC$501,$BJ269)="","",INDEX(原始資料!BC$2:BC$501,$BJ269)))</f>
        <v/>
      </c>
      <c r="BB269" s="6">
        <f>IF(OR($BJ269="",53&gt;設定!$B$3),"",IF(INDEX(原始資料!BD$2:BD$501,$BJ269)="","",INDEX(原始資料!BD$2:BD$501,$BJ269)))</f>
        <v/>
      </c>
      <c r="BC269" s="6">
        <f>IF(OR($BJ269="",54&gt;設定!$B$3),"",IF(INDEX(原始資料!BE$2:BE$501,$BJ269)="","",INDEX(原始資料!BE$2:BE$501,$BJ269)))</f>
        <v/>
      </c>
      <c r="BD269" s="6">
        <f>IF(OR($BJ269="",55&gt;設定!$B$3),"",IF(INDEX(原始資料!BF$2:BF$501,$BJ269)="","",INDEX(原始資料!BF$2:BF$501,$BJ269)))</f>
        <v/>
      </c>
      <c r="BE269" s="6">
        <f>IF(OR($BJ269="",56&gt;設定!$B$3),"",IF(INDEX(原始資料!BG$2:BG$501,$BJ269)="","",INDEX(原始資料!BG$2:BG$501,$BJ269)))</f>
        <v/>
      </c>
      <c r="BF269" s="6">
        <f>IF(OR($BJ269="",57&gt;設定!$B$3),"",IF(INDEX(原始資料!BH$2:BH$501,$BJ269)="","",INDEX(原始資料!BH$2:BH$501,$BJ269)))</f>
        <v/>
      </c>
      <c r="BG269" s="6">
        <f>IF(OR($BJ269="",58&gt;設定!$B$3),"",IF(INDEX(原始資料!BI$2:BI$501,$BJ269)="","",INDEX(原始資料!BI$2:BI$501,$BJ269)))</f>
        <v/>
      </c>
      <c r="BH269" s="6">
        <f>IF(OR($BJ269="",59&gt;設定!$B$3),"",IF(INDEX(原始資料!BJ$2:BJ$501,$BJ269)="","",INDEX(原始資料!BJ$2:BJ$501,$BJ269)))</f>
        <v/>
      </c>
      <c r="BI269" s="6">
        <f>IF(OR($BJ269="",60&gt;設定!$B$3),"",IF(INDEX(原始資料!BK$2:BK$501,$BJ269)="","",INDEX(原始資料!BK$2:BK$501,$BJ269)))</f>
        <v/>
      </c>
      <c r="BJ269" s="6">
        <f>IFERROR(MATCH(ROW()-1,判定!$H$2:$H$501,0),"")</f>
        <v/>
      </c>
    </row>
    <row r="270">
      <c r="A270" s="6">
        <f>IF($BJ270="","",INDEX(原始資料!$A$2:$A$501,$BJ270))</f>
        <v/>
      </c>
      <c r="B270" s="6">
        <f>IF(OR($BJ270="",1&gt;設定!$B$3),"",IF(INDEX(原始資料!D$2:D$501,$BJ270)="","",INDEX(原始資料!D$2:D$501,$BJ270)))</f>
        <v/>
      </c>
      <c r="C270" s="6">
        <f>IF(OR($BJ270="",2&gt;設定!$B$3),"",IF(INDEX(原始資料!E$2:E$501,$BJ270)="","",INDEX(原始資料!E$2:E$501,$BJ270)))</f>
        <v/>
      </c>
      <c r="D270" s="6">
        <f>IF(OR($BJ270="",3&gt;設定!$B$3),"",IF(INDEX(原始資料!F$2:F$501,$BJ270)="","",INDEX(原始資料!F$2:F$501,$BJ270)))</f>
        <v/>
      </c>
      <c r="E270" s="6">
        <f>IF(OR($BJ270="",4&gt;設定!$B$3),"",IF(INDEX(原始資料!G$2:G$501,$BJ270)="","",INDEX(原始資料!G$2:G$501,$BJ270)))</f>
        <v/>
      </c>
      <c r="F270" s="6">
        <f>IF(OR($BJ270="",5&gt;設定!$B$3),"",IF(INDEX(原始資料!H$2:H$501,$BJ270)="","",INDEX(原始資料!H$2:H$501,$BJ270)))</f>
        <v/>
      </c>
      <c r="G270" s="6">
        <f>IF(OR($BJ270="",6&gt;設定!$B$3),"",IF(INDEX(原始資料!I$2:I$501,$BJ270)="","",INDEX(原始資料!I$2:I$501,$BJ270)))</f>
        <v/>
      </c>
      <c r="H270" s="6">
        <f>IF(OR($BJ270="",7&gt;設定!$B$3),"",IF(INDEX(原始資料!J$2:J$501,$BJ270)="","",INDEX(原始資料!J$2:J$501,$BJ270)))</f>
        <v/>
      </c>
      <c r="I270" s="6">
        <f>IF(OR($BJ270="",8&gt;設定!$B$3),"",IF(INDEX(原始資料!K$2:K$501,$BJ270)="","",INDEX(原始資料!K$2:K$501,$BJ270)))</f>
        <v/>
      </c>
      <c r="J270" s="6">
        <f>IF(OR($BJ270="",9&gt;設定!$B$3),"",IF(INDEX(原始資料!L$2:L$501,$BJ270)="","",INDEX(原始資料!L$2:L$501,$BJ270)))</f>
        <v/>
      </c>
      <c r="K270" s="6">
        <f>IF(OR($BJ270="",10&gt;設定!$B$3),"",IF(INDEX(原始資料!M$2:M$501,$BJ270)="","",INDEX(原始資料!M$2:M$501,$BJ270)))</f>
        <v/>
      </c>
      <c r="L270" s="6">
        <f>IF(OR($BJ270="",11&gt;設定!$B$3),"",IF(INDEX(原始資料!N$2:N$501,$BJ270)="","",INDEX(原始資料!N$2:N$501,$BJ270)))</f>
        <v/>
      </c>
      <c r="M270" s="6">
        <f>IF(OR($BJ270="",12&gt;設定!$B$3),"",IF(INDEX(原始資料!O$2:O$501,$BJ270)="","",INDEX(原始資料!O$2:O$501,$BJ270)))</f>
        <v/>
      </c>
      <c r="N270" s="6">
        <f>IF(OR($BJ270="",13&gt;設定!$B$3),"",IF(INDEX(原始資料!P$2:P$501,$BJ270)="","",INDEX(原始資料!P$2:P$501,$BJ270)))</f>
        <v/>
      </c>
      <c r="O270" s="6">
        <f>IF(OR($BJ270="",14&gt;設定!$B$3),"",IF(INDEX(原始資料!Q$2:Q$501,$BJ270)="","",INDEX(原始資料!Q$2:Q$501,$BJ270)))</f>
        <v/>
      </c>
      <c r="P270" s="6">
        <f>IF(OR($BJ270="",15&gt;設定!$B$3),"",IF(INDEX(原始資料!R$2:R$501,$BJ270)="","",INDEX(原始資料!R$2:R$501,$BJ270)))</f>
        <v/>
      </c>
      <c r="Q270" s="6">
        <f>IF(OR($BJ270="",16&gt;設定!$B$3),"",IF(INDEX(原始資料!S$2:S$501,$BJ270)="","",INDEX(原始資料!S$2:S$501,$BJ270)))</f>
        <v/>
      </c>
      <c r="R270" s="6">
        <f>IF(OR($BJ270="",17&gt;設定!$B$3),"",IF(INDEX(原始資料!T$2:T$501,$BJ270)="","",INDEX(原始資料!T$2:T$501,$BJ270)))</f>
        <v/>
      </c>
      <c r="S270" s="6">
        <f>IF(OR($BJ270="",18&gt;設定!$B$3),"",IF(INDEX(原始資料!U$2:U$501,$BJ270)="","",INDEX(原始資料!U$2:U$501,$BJ270)))</f>
        <v/>
      </c>
      <c r="T270" s="6">
        <f>IF(OR($BJ270="",19&gt;設定!$B$3),"",IF(INDEX(原始資料!V$2:V$501,$BJ270)="","",INDEX(原始資料!V$2:V$501,$BJ270)))</f>
        <v/>
      </c>
      <c r="U270" s="6">
        <f>IF(OR($BJ270="",20&gt;設定!$B$3),"",IF(INDEX(原始資料!W$2:W$501,$BJ270)="","",INDEX(原始資料!W$2:W$501,$BJ270)))</f>
        <v/>
      </c>
      <c r="V270" s="6">
        <f>IF(OR($BJ270="",21&gt;設定!$B$3),"",IF(INDEX(原始資料!X$2:X$501,$BJ270)="","",INDEX(原始資料!X$2:X$501,$BJ270)))</f>
        <v/>
      </c>
      <c r="W270" s="6">
        <f>IF(OR($BJ270="",22&gt;設定!$B$3),"",IF(INDEX(原始資料!Y$2:Y$501,$BJ270)="","",INDEX(原始資料!Y$2:Y$501,$BJ270)))</f>
        <v/>
      </c>
      <c r="X270" s="6">
        <f>IF(OR($BJ270="",23&gt;設定!$B$3),"",IF(INDEX(原始資料!Z$2:Z$501,$BJ270)="","",INDEX(原始資料!Z$2:Z$501,$BJ270)))</f>
        <v/>
      </c>
      <c r="Y270" s="6">
        <f>IF(OR($BJ270="",24&gt;設定!$B$3),"",IF(INDEX(原始資料!AA$2:AA$501,$BJ270)="","",INDEX(原始資料!AA$2:AA$501,$BJ270)))</f>
        <v/>
      </c>
      <c r="Z270" s="6">
        <f>IF(OR($BJ270="",25&gt;設定!$B$3),"",IF(INDEX(原始資料!AB$2:AB$501,$BJ270)="","",INDEX(原始資料!AB$2:AB$501,$BJ270)))</f>
        <v/>
      </c>
      <c r="AA270" s="6">
        <f>IF(OR($BJ270="",26&gt;設定!$B$3),"",IF(INDEX(原始資料!AC$2:AC$501,$BJ270)="","",INDEX(原始資料!AC$2:AC$501,$BJ270)))</f>
        <v/>
      </c>
      <c r="AB270" s="6">
        <f>IF(OR($BJ270="",27&gt;設定!$B$3),"",IF(INDEX(原始資料!AD$2:AD$501,$BJ270)="","",INDEX(原始資料!AD$2:AD$501,$BJ270)))</f>
        <v/>
      </c>
      <c r="AC270" s="6">
        <f>IF(OR($BJ270="",28&gt;設定!$B$3),"",IF(INDEX(原始資料!AE$2:AE$501,$BJ270)="","",INDEX(原始資料!AE$2:AE$501,$BJ270)))</f>
        <v/>
      </c>
      <c r="AD270" s="6">
        <f>IF(OR($BJ270="",29&gt;設定!$B$3),"",IF(INDEX(原始資料!AF$2:AF$501,$BJ270)="","",INDEX(原始資料!AF$2:AF$501,$BJ270)))</f>
        <v/>
      </c>
      <c r="AE270" s="6">
        <f>IF(OR($BJ270="",30&gt;設定!$B$3),"",IF(INDEX(原始資料!AG$2:AG$501,$BJ270)="","",INDEX(原始資料!AG$2:AG$501,$BJ270)))</f>
        <v/>
      </c>
      <c r="AF270" s="6">
        <f>IF(OR($BJ270="",31&gt;設定!$B$3),"",IF(INDEX(原始資料!AH$2:AH$501,$BJ270)="","",INDEX(原始資料!AH$2:AH$501,$BJ270)))</f>
        <v/>
      </c>
      <c r="AG270" s="6">
        <f>IF(OR($BJ270="",32&gt;設定!$B$3),"",IF(INDEX(原始資料!AI$2:AI$501,$BJ270)="","",INDEX(原始資料!AI$2:AI$501,$BJ270)))</f>
        <v/>
      </c>
      <c r="AH270" s="6">
        <f>IF(OR($BJ270="",33&gt;設定!$B$3),"",IF(INDEX(原始資料!AJ$2:AJ$501,$BJ270)="","",INDEX(原始資料!AJ$2:AJ$501,$BJ270)))</f>
        <v/>
      </c>
      <c r="AI270" s="6">
        <f>IF(OR($BJ270="",34&gt;設定!$B$3),"",IF(INDEX(原始資料!AK$2:AK$501,$BJ270)="","",INDEX(原始資料!AK$2:AK$501,$BJ270)))</f>
        <v/>
      </c>
      <c r="AJ270" s="6">
        <f>IF(OR($BJ270="",35&gt;設定!$B$3),"",IF(INDEX(原始資料!AL$2:AL$501,$BJ270)="","",INDEX(原始資料!AL$2:AL$501,$BJ270)))</f>
        <v/>
      </c>
      <c r="AK270" s="6">
        <f>IF(OR($BJ270="",36&gt;設定!$B$3),"",IF(INDEX(原始資料!AM$2:AM$501,$BJ270)="","",INDEX(原始資料!AM$2:AM$501,$BJ270)))</f>
        <v/>
      </c>
      <c r="AL270" s="6">
        <f>IF(OR($BJ270="",37&gt;設定!$B$3),"",IF(INDEX(原始資料!AN$2:AN$501,$BJ270)="","",INDEX(原始資料!AN$2:AN$501,$BJ270)))</f>
        <v/>
      </c>
      <c r="AM270" s="6">
        <f>IF(OR($BJ270="",38&gt;設定!$B$3),"",IF(INDEX(原始資料!AO$2:AO$501,$BJ270)="","",INDEX(原始資料!AO$2:AO$501,$BJ270)))</f>
        <v/>
      </c>
      <c r="AN270" s="6">
        <f>IF(OR($BJ270="",39&gt;設定!$B$3),"",IF(INDEX(原始資料!AP$2:AP$501,$BJ270)="","",INDEX(原始資料!AP$2:AP$501,$BJ270)))</f>
        <v/>
      </c>
      <c r="AO270" s="6">
        <f>IF(OR($BJ270="",40&gt;設定!$B$3),"",IF(INDEX(原始資料!AQ$2:AQ$501,$BJ270)="","",INDEX(原始資料!AQ$2:AQ$501,$BJ270)))</f>
        <v/>
      </c>
      <c r="AP270" s="6">
        <f>IF(OR($BJ270="",41&gt;設定!$B$3),"",IF(INDEX(原始資料!AR$2:AR$501,$BJ270)="","",INDEX(原始資料!AR$2:AR$501,$BJ270)))</f>
        <v/>
      </c>
      <c r="AQ270" s="6">
        <f>IF(OR($BJ270="",42&gt;設定!$B$3),"",IF(INDEX(原始資料!AS$2:AS$501,$BJ270)="","",INDEX(原始資料!AS$2:AS$501,$BJ270)))</f>
        <v/>
      </c>
      <c r="AR270" s="6">
        <f>IF(OR($BJ270="",43&gt;設定!$B$3),"",IF(INDEX(原始資料!AT$2:AT$501,$BJ270)="","",INDEX(原始資料!AT$2:AT$501,$BJ270)))</f>
        <v/>
      </c>
      <c r="AS270" s="6">
        <f>IF(OR($BJ270="",44&gt;設定!$B$3),"",IF(INDEX(原始資料!AU$2:AU$501,$BJ270)="","",INDEX(原始資料!AU$2:AU$501,$BJ270)))</f>
        <v/>
      </c>
      <c r="AT270" s="6">
        <f>IF(OR($BJ270="",45&gt;設定!$B$3),"",IF(INDEX(原始資料!AV$2:AV$501,$BJ270)="","",INDEX(原始資料!AV$2:AV$501,$BJ270)))</f>
        <v/>
      </c>
      <c r="AU270" s="6">
        <f>IF(OR($BJ270="",46&gt;設定!$B$3),"",IF(INDEX(原始資料!AW$2:AW$501,$BJ270)="","",INDEX(原始資料!AW$2:AW$501,$BJ270)))</f>
        <v/>
      </c>
      <c r="AV270" s="6">
        <f>IF(OR($BJ270="",47&gt;設定!$B$3),"",IF(INDEX(原始資料!AX$2:AX$501,$BJ270)="","",INDEX(原始資料!AX$2:AX$501,$BJ270)))</f>
        <v/>
      </c>
      <c r="AW270" s="6">
        <f>IF(OR($BJ270="",48&gt;設定!$B$3),"",IF(INDEX(原始資料!AY$2:AY$501,$BJ270)="","",INDEX(原始資料!AY$2:AY$501,$BJ270)))</f>
        <v/>
      </c>
      <c r="AX270" s="6">
        <f>IF(OR($BJ270="",49&gt;設定!$B$3),"",IF(INDEX(原始資料!AZ$2:AZ$501,$BJ270)="","",INDEX(原始資料!AZ$2:AZ$501,$BJ270)))</f>
        <v/>
      </c>
      <c r="AY270" s="6">
        <f>IF(OR($BJ270="",50&gt;設定!$B$3),"",IF(INDEX(原始資料!BA$2:BA$501,$BJ270)="","",INDEX(原始資料!BA$2:BA$501,$BJ270)))</f>
        <v/>
      </c>
      <c r="AZ270" s="6">
        <f>IF(OR($BJ270="",51&gt;設定!$B$3),"",IF(INDEX(原始資料!BB$2:BB$501,$BJ270)="","",INDEX(原始資料!BB$2:BB$501,$BJ270)))</f>
        <v/>
      </c>
      <c r="BA270" s="6">
        <f>IF(OR($BJ270="",52&gt;設定!$B$3),"",IF(INDEX(原始資料!BC$2:BC$501,$BJ270)="","",INDEX(原始資料!BC$2:BC$501,$BJ270)))</f>
        <v/>
      </c>
      <c r="BB270" s="6">
        <f>IF(OR($BJ270="",53&gt;設定!$B$3),"",IF(INDEX(原始資料!BD$2:BD$501,$BJ270)="","",INDEX(原始資料!BD$2:BD$501,$BJ270)))</f>
        <v/>
      </c>
      <c r="BC270" s="6">
        <f>IF(OR($BJ270="",54&gt;設定!$B$3),"",IF(INDEX(原始資料!BE$2:BE$501,$BJ270)="","",INDEX(原始資料!BE$2:BE$501,$BJ270)))</f>
        <v/>
      </c>
      <c r="BD270" s="6">
        <f>IF(OR($BJ270="",55&gt;設定!$B$3),"",IF(INDEX(原始資料!BF$2:BF$501,$BJ270)="","",INDEX(原始資料!BF$2:BF$501,$BJ270)))</f>
        <v/>
      </c>
      <c r="BE270" s="6">
        <f>IF(OR($BJ270="",56&gt;設定!$B$3),"",IF(INDEX(原始資料!BG$2:BG$501,$BJ270)="","",INDEX(原始資料!BG$2:BG$501,$BJ270)))</f>
        <v/>
      </c>
      <c r="BF270" s="6">
        <f>IF(OR($BJ270="",57&gt;設定!$B$3),"",IF(INDEX(原始資料!BH$2:BH$501,$BJ270)="","",INDEX(原始資料!BH$2:BH$501,$BJ270)))</f>
        <v/>
      </c>
      <c r="BG270" s="6">
        <f>IF(OR($BJ270="",58&gt;設定!$B$3),"",IF(INDEX(原始資料!BI$2:BI$501,$BJ270)="","",INDEX(原始資料!BI$2:BI$501,$BJ270)))</f>
        <v/>
      </c>
      <c r="BH270" s="6">
        <f>IF(OR($BJ270="",59&gt;設定!$B$3),"",IF(INDEX(原始資料!BJ$2:BJ$501,$BJ270)="","",INDEX(原始資料!BJ$2:BJ$501,$BJ270)))</f>
        <v/>
      </c>
      <c r="BI270" s="6">
        <f>IF(OR($BJ270="",60&gt;設定!$B$3),"",IF(INDEX(原始資料!BK$2:BK$501,$BJ270)="","",INDEX(原始資料!BK$2:BK$501,$BJ270)))</f>
        <v/>
      </c>
      <c r="BJ270" s="6">
        <f>IFERROR(MATCH(ROW()-1,判定!$H$2:$H$501,0),"")</f>
        <v/>
      </c>
    </row>
    <row r="271">
      <c r="A271" s="6">
        <f>IF($BJ271="","",INDEX(原始資料!$A$2:$A$501,$BJ271))</f>
        <v/>
      </c>
      <c r="B271" s="6">
        <f>IF(OR($BJ271="",1&gt;設定!$B$3),"",IF(INDEX(原始資料!D$2:D$501,$BJ271)="","",INDEX(原始資料!D$2:D$501,$BJ271)))</f>
        <v/>
      </c>
      <c r="C271" s="6">
        <f>IF(OR($BJ271="",2&gt;設定!$B$3),"",IF(INDEX(原始資料!E$2:E$501,$BJ271)="","",INDEX(原始資料!E$2:E$501,$BJ271)))</f>
        <v/>
      </c>
      <c r="D271" s="6">
        <f>IF(OR($BJ271="",3&gt;設定!$B$3),"",IF(INDEX(原始資料!F$2:F$501,$BJ271)="","",INDEX(原始資料!F$2:F$501,$BJ271)))</f>
        <v/>
      </c>
      <c r="E271" s="6">
        <f>IF(OR($BJ271="",4&gt;設定!$B$3),"",IF(INDEX(原始資料!G$2:G$501,$BJ271)="","",INDEX(原始資料!G$2:G$501,$BJ271)))</f>
        <v/>
      </c>
      <c r="F271" s="6">
        <f>IF(OR($BJ271="",5&gt;設定!$B$3),"",IF(INDEX(原始資料!H$2:H$501,$BJ271)="","",INDEX(原始資料!H$2:H$501,$BJ271)))</f>
        <v/>
      </c>
      <c r="G271" s="6">
        <f>IF(OR($BJ271="",6&gt;設定!$B$3),"",IF(INDEX(原始資料!I$2:I$501,$BJ271)="","",INDEX(原始資料!I$2:I$501,$BJ271)))</f>
        <v/>
      </c>
      <c r="H271" s="6">
        <f>IF(OR($BJ271="",7&gt;設定!$B$3),"",IF(INDEX(原始資料!J$2:J$501,$BJ271)="","",INDEX(原始資料!J$2:J$501,$BJ271)))</f>
        <v/>
      </c>
      <c r="I271" s="6">
        <f>IF(OR($BJ271="",8&gt;設定!$B$3),"",IF(INDEX(原始資料!K$2:K$501,$BJ271)="","",INDEX(原始資料!K$2:K$501,$BJ271)))</f>
        <v/>
      </c>
      <c r="J271" s="6">
        <f>IF(OR($BJ271="",9&gt;設定!$B$3),"",IF(INDEX(原始資料!L$2:L$501,$BJ271)="","",INDEX(原始資料!L$2:L$501,$BJ271)))</f>
        <v/>
      </c>
      <c r="K271" s="6">
        <f>IF(OR($BJ271="",10&gt;設定!$B$3),"",IF(INDEX(原始資料!M$2:M$501,$BJ271)="","",INDEX(原始資料!M$2:M$501,$BJ271)))</f>
        <v/>
      </c>
      <c r="L271" s="6">
        <f>IF(OR($BJ271="",11&gt;設定!$B$3),"",IF(INDEX(原始資料!N$2:N$501,$BJ271)="","",INDEX(原始資料!N$2:N$501,$BJ271)))</f>
        <v/>
      </c>
      <c r="M271" s="6">
        <f>IF(OR($BJ271="",12&gt;設定!$B$3),"",IF(INDEX(原始資料!O$2:O$501,$BJ271)="","",INDEX(原始資料!O$2:O$501,$BJ271)))</f>
        <v/>
      </c>
      <c r="N271" s="6">
        <f>IF(OR($BJ271="",13&gt;設定!$B$3),"",IF(INDEX(原始資料!P$2:P$501,$BJ271)="","",INDEX(原始資料!P$2:P$501,$BJ271)))</f>
        <v/>
      </c>
      <c r="O271" s="6">
        <f>IF(OR($BJ271="",14&gt;設定!$B$3),"",IF(INDEX(原始資料!Q$2:Q$501,$BJ271)="","",INDEX(原始資料!Q$2:Q$501,$BJ271)))</f>
        <v/>
      </c>
      <c r="P271" s="6">
        <f>IF(OR($BJ271="",15&gt;設定!$B$3),"",IF(INDEX(原始資料!R$2:R$501,$BJ271)="","",INDEX(原始資料!R$2:R$501,$BJ271)))</f>
        <v/>
      </c>
      <c r="Q271" s="6">
        <f>IF(OR($BJ271="",16&gt;設定!$B$3),"",IF(INDEX(原始資料!S$2:S$501,$BJ271)="","",INDEX(原始資料!S$2:S$501,$BJ271)))</f>
        <v/>
      </c>
      <c r="R271" s="6">
        <f>IF(OR($BJ271="",17&gt;設定!$B$3),"",IF(INDEX(原始資料!T$2:T$501,$BJ271)="","",INDEX(原始資料!T$2:T$501,$BJ271)))</f>
        <v/>
      </c>
      <c r="S271" s="6">
        <f>IF(OR($BJ271="",18&gt;設定!$B$3),"",IF(INDEX(原始資料!U$2:U$501,$BJ271)="","",INDEX(原始資料!U$2:U$501,$BJ271)))</f>
        <v/>
      </c>
      <c r="T271" s="6">
        <f>IF(OR($BJ271="",19&gt;設定!$B$3),"",IF(INDEX(原始資料!V$2:V$501,$BJ271)="","",INDEX(原始資料!V$2:V$501,$BJ271)))</f>
        <v/>
      </c>
      <c r="U271" s="6">
        <f>IF(OR($BJ271="",20&gt;設定!$B$3),"",IF(INDEX(原始資料!W$2:W$501,$BJ271)="","",INDEX(原始資料!W$2:W$501,$BJ271)))</f>
        <v/>
      </c>
      <c r="V271" s="6">
        <f>IF(OR($BJ271="",21&gt;設定!$B$3),"",IF(INDEX(原始資料!X$2:X$501,$BJ271)="","",INDEX(原始資料!X$2:X$501,$BJ271)))</f>
        <v/>
      </c>
      <c r="W271" s="6">
        <f>IF(OR($BJ271="",22&gt;設定!$B$3),"",IF(INDEX(原始資料!Y$2:Y$501,$BJ271)="","",INDEX(原始資料!Y$2:Y$501,$BJ271)))</f>
        <v/>
      </c>
      <c r="X271" s="6">
        <f>IF(OR($BJ271="",23&gt;設定!$B$3),"",IF(INDEX(原始資料!Z$2:Z$501,$BJ271)="","",INDEX(原始資料!Z$2:Z$501,$BJ271)))</f>
        <v/>
      </c>
      <c r="Y271" s="6">
        <f>IF(OR($BJ271="",24&gt;設定!$B$3),"",IF(INDEX(原始資料!AA$2:AA$501,$BJ271)="","",INDEX(原始資料!AA$2:AA$501,$BJ271)))</f>
        <v/>
      </c>
      <c r="Z271" s="6">
        <f>IF(OR($BJ271="",25&gt;設定!$B$3),"",IF(INDEX(原始資料!AB$2:AB$501,$BJ271)="","",INDEX(原始資料!AB$2:AB$501,$BJ271)))</f>
        <v/>
      </c>
      <c r="AA271" s="6">
        <f>IF(OR($BJ271="",26&gt;設定!$B$3),"",IF(INDEX(原始資料!AC$2:AC$501,$BJ271)="","",INDEX(原始資料!AC$2:AC$501,$BJ271)))</f>
        <v/>
      </c>
      <c r="AB271" s="6">
        <f>IF(OR($BJ271="",27&gt;設定!$B$3),"",IF(INDEX(原始資料!AD$2:AD$501,$BJ271)="","",INDEX(原始資料!AD$2:AD$501,$BJ271)))</f>
        <v/>
      </c>
      <c r="AC271" s="6">
        <f>IF(OR($BJ271="",28&gt;設定!$B$3),"",IF(INDEX(原始資料!AE$2:AE$501,$BJ271)="","",INDEX(原始資料!AE$2:AE$501,$BJ271)))</f>
        <v/>
      </c>
      <c r="AD271" s="6">
        <f>IF(OR($BJ271="",29&gt;設定!$B$3),"",IF(INDEX(原始資料!AF$2:AF$501,$BJ271)="","",INDEX(原始資料!AF$2:AF$501,$BJ271)))</f>
        <v/>
      </c>
      <c r="AE271" s="6">
        <f>IF(OR($BJ271="",30&gt;設定!$B$3),"",IF(INDEX(原始資料!AG$2:AG$501,$BJ271)="","",INDEX(原始資料!AG$2:AG$501,$BJ271)))</f>
        <v/>
      </c>
      <c r="AF271" s="6">
        <f>IF(OR($BJ271="",31&gt;設定!$B$3),"",IF(INDEX(原始資料!AH$2:AH$501,$BJ271)="","",INDEX(原始資料!AH$2:AH$501,$BJ271)))</f>
        <v/>
      </c>
      <c r="AG271" s="6">
        <f>IF(OR($BJ271="",32&gt;設定!$B$3),"",IF(INDEX(原始資料!AI$2:AI$501,$BJ271)="","",INDEX(原始資料!AI$2:AI$501,$BJ271)))</f>
        <v/>
      </c>
      <c r="AH271" s="6">
        <f>IF(OR($BJ271="",33&gt;設定!$B$3),"",IF(INDEX(原始資料!AJ$2:AJ$501,$BJ271)="","",INDEX(原始資料!AJ$2:AJ$501,$BJ271)))</f>
        <v/>
      </c>
      <c r="AI271" s="6">
        <f>IF(OR($BJ271="",34&gt;設定!$B$3),"",IF(INDEX(原始資料!AK$2:AK$501,$BJ271)="","",INDEX(原始資料!AK$2:AK$501,$BJ271)))</f>
        <v/>
      </c>
      <c r="AJ271" s="6">
        <f>IF(OR($BJ271="",35&gt;設定!$B$3),"",IF(INDEX(原始資料!AL$2:AL$501,$BJ271)="","",INDEX(原始資料!AL$2:AL$501,$BJ271)))</f>
        <v/>
      </c>
      <c r="AK271" s="6">
        <f>IF(OR($BJ271="",36&gt;設定!$B$3),"",IF(INDEX(原始資料!AM$2:AM$501,$BJ271)="","",INDEX(原始資料!AM$2:AM$501,$BJ271)))</f>
        <v/>
      </c>
      <c r="AL271" s="6">
        <f>IF(OR($BJ271="",37&gt;設定!$B$3),"",IF(INDEX(原始資料!AN$2:AN$501,$BJ271)="","",INDEX(原始資料!AN$2:AN$501,$BJ271)))</f>
        <v/>
      </c>
      <c r="AM271" s="6">
        <f>IF(OR($BJ271="",38&gt;設定!$B$3),"",IF(INDEX(原始資料!AO$2:AO$501,$BJ271)="","",INDEX(原始資料!AO$2:AO$501,$BJ271)))</f>
        <v/>
      </c>
      <c r="AN271" s="6">
        <f>IF(OR($BJ271="",39&gt;設定!$B$3),"",IF(INDEX(原始資料!AP$2:AP$501,$BJ271)="","",INDEX(原始資料!AP$2:AP$501,$BJ271)))</f>
        <v/>
      </c>
      <c r="AO271" s="6">
        <f>IF(OR($BJ271="",40&gt;設定!$B$3),"",IF(INDEX(原始資料!AQ$2:AQ$501,$BJ271)="","",INDEX(原始資料!AQ$2:AQ$501,$BJ271)))</f>
        <v/>
      </c>
      <c r="AP271" s="6">
        <f>IF(OR($BJ271="",41&gt;設定!$B$3),"",IF(INDEX(原始資料!AR$2:AR$501,$BJ271)="","",INDEX(原始資料!AR$2:AR$501,$BJ271)))</f>
        <v/>
      </c>
      <c r="AQ271" s="6">
        <f>IF(OR($BJ271="",42&gt;設定!$B$3),"",IF(INDEX(原始資料!AS$2:AS$501,$BJ271)="","",INDEX(原始資料!AS$2:AS$501,$BJ271)))</f>
        <v/>
      </c>
      <c r="AR271" s="6">
        <f>IF(OR($BJ271="",43&gt;設定!$B$3),"",IF(INDEX(原始資料!AT$2:AT$501,$BJ271)="","",INDEX(原始資料!AT$2:AT$501,$BJ271)))</f>
        <v/>
      </c>
      <c r="AS271" s="6">
        <f>IF(OR($BJ271="",44&gt;設定!$B$3),"",IF(INDEX(原始資料!AU$2:AU$501,$BJ271)="","",INDEX(原始資料!AU$2:AU$501,$BJ271)))</f>
        <v/>
      </c>
      <c r="AT271" s="6">
        <f>IF(OR($BJ271="",45&gt;設定!$B$3),"",IF(INDEX(原始資料!AV$2:AV$501,$BJ271)="","",INDEX(原始資料!AV$2:AV$501,$BJ271)))</f>
        <v/>
      </c>
      <c r="AU271" s="6">
        <f>IF(OR($BJ271="",46&gt;設定!$B$3),"",IF(INDEX(原始資料!AW$2:AW$501,$BJ271)="","",INDEX(原始資料!AW$2:AW$501,$BJ271)))</f>
        <v/>
      </c>
      <c r="AV271" s="6">
        <f>IF(OR($BJ271="",47&gt;設定!$B$3),"",IF(INDEX(原始資料!AX$2:AX$501,$BJ271)="","",INDEX(原始資料!AX$2:AX$501,$BJ271)))</f>
        <v/>
      </c>
      <c r="AW271" s="6">
        <f>IF(OR($BJ271="",48&gt;設定!$B$3),"",IF(INDEX(原始資料!AY$2:AY$501,$BJ271)="","",INDEX(原始資料!AY$2:AY$501,$BJ271)))</f>
        <v/>
      </c>
      <c r="AX271" s="6">
        <f>IF(OR($BJ271="",49&gt;設定!$B$3),"",IF(INDEX(原始資料!AZ$2:AZ$501,$BJ271)="","",INDEX(原始資料!AZ$2:AZ$501,$BJ271)))</f>
        <v/>
      </c>
      <c r="AY271" s="6">
        <f>IF(OR($BJ271="",50&gt;設定!$B$3),"",IF(INDEX(原始資料!BA$2:BA$501,$BJ271)="","",INDEX(原始資料!BA$2:BA$501,$BJ271)))</f>
        <v/>
      </c>
      <c r="AZ271" s="6">
        <f>IF(OR($BJ271="",51&gt;設定!$B$3),"",IF(INDEX(原始資料!BB$2:BB$501,$BJ271)="","",INDEX(原始資料!BB$2:BB$501,$BJ271)))</f>
        <v/>
      </c>
      <c r="BA271" s="6">
        <f>IF(OR($BJ271="",52&gt;設定!$B$3),"",IF(INDEX(原始資料!BC$2:BC$501,$BJ271)="","",INDEX(原始資料!BC$2:BC$501,$BJ271)))</f>
        <v/>
      </c>
      <c r="BB271" s="6">
        <f>IF(OR($BJ271="",53&gt;設定!$B$3),"",IF(INDEX(原始資料!BD$2:BD$501,$BJ271)="","",INDEX(原始資料!BD$2:BD$501,$BJ271)))</f>
        <v/>
      </c>
      <c r="BC271" s="6">
        <f>IF(OR($BJ271="",54&gt;設定!$B$3),"",IF(INDEX(原始資料!BE$2:BE$501,$BJ271)="","",INDEX(原始資料!BE$2:BE$501,$BJ271)))</f>
        <v/>
      </c>
      <c r="BD271" s="6">
        <f>IF(OR($BJ271="",55&gt;設定!$B$3),"",IF(INDEX(原始資料!BF$2:BF$501,$BJ271)="","",INDEX(原始資料!BF$2:BF$501,$BJ271)))</f>
        <v/>
      </c>
      <c r="BE271" s="6">
        <f>IF(OR($BJ271="",56&gt;設定!$B$3),"",IF(INDEX(原始資料!BG$2:BG$501,$BJ271)="","",INDEX(原始資料!BG$2:BG$501,$BJ271)))</f>
        <v/>
      </c>
      <c r="BF271" s="6">
        <f>IF(OR($BJ271="",57&gt;設定!$B$3),"",IF(INDEX(原始資料!BH$2:BH$501,$BJ271)="","",INDEX(原始資料!BH$2:BH$501,$BJ271)))</f>
        <v/>
      </c>
      <c r="BG271" s="6">
        <f>IF(OR($BJ271="",58&gt;設定!$B$3),"",IF(INDEX(原始資料!BI$2:BI$501,$BJ271)="","",INDEX(原始資料!BI$2:BI$501,$BJ271)))</f>
        <v/>
      </c>
      <c r="BH271" s="6">
        <f>IF(OR($BJ271="",59&gt;設定!$B$3),"",IF(INDEX(原始資料!BJ$2:BJ$501,$BJ271)="","",INDEX(原始資料!BJ$2:BJ$501,$BJ271)))</f>
        <v/>
      </c>
      <c r="BI271" s="6">
        <f>IF(OR($BJ271="",60&gt;設定!$B$3),"",IF(INDEX(原始資料!BK$2:BK$501,$BJ271)="","",INDEX(原始資料!BK$2:BK$501,$BJ271)))</f>
        <v/>
      </c>
      <c r="BJ271" s="6">
        <f>IFERROR(MATCH(ROW()-1,判定!$H$2:$H$501,0),"")</f>
        <v/>
      </c>
    </row>
    <row r="272">
      <c r="A272" s="6">
        <f>IF($BJ272="","",INDEX(原始資料!$A$2:$A$501,$BJ272))</f>
        <v/>
      </c>
      <c r="B272" s="6">
        <f>IF(OR($BJ272="",1&gt;設定!$B$3),"",IF(INDEX(原始資料!D$2:D$501,$BJ272)="","",INDEX(原始資料!D$2:D$501,$BJ272)))</f>
        <v/>
      </c>
      <c r="C272" s="6">
        <f>IF(OR($BJ272="",2&gt;設定!$B$3),"",IF(INDEX(原始資料!E$2:E$501,$BJ272)="","",INDEX(原始資料!E$2:E$501,$BJ272)))</f>
        <v/>
      </c>
      <c r="D272" s="6">
        <f>IF(OR($BJ272="",3&gt;設定!$B$3),"",IF(INDEX(原始資料!F$2:F$501,$BJ272)="","",INDEX(原始資料!F$2:F$501,$BJ272)))</f>
        <v/>
      </c>
      <c r="E272" s="6">
        <f>IF(OR($BJ272="",4&gt;設定!$B$3),"",IF(INDEX(原始資料!G$2:G$501,$BJ272)="","",INDEX(原始資料!G$2:G$501,$BJ272)))</f>
        <v/>
      </c>
      <c r="F272" s="6">
        <f>IF(OR($BJ272="",5&gt;設定!$B$3),"",IF(INDEX(原始資料!H$2:H$501,$BJ272)="","",INDEX(原始資料!H$2:H$501,$BJ272)))</f>
        <v/>
      </c>
      <c r="G272" s="6">
        <f>IF(OR($BJ272="",6&gt;設定!$B$3),"",IF(INDEX(原始資料!I$2:I$501,$BJ272)="","",INDEX(原始資料!I$2:I$501,$BJ272)))</f>
        <v/>
      </c>
      <c r="H272" s="6">
        <f>IF(OR($BJ272="",7&gt;設定!$B$3),"",IF(INDEX(原始資料!J$2:J$501,$BJ272)="","",INDEX(原始資料!J$2:J$501,$BJ272)))</f>
        <v/>
      </c>
      <c r="I272" s="6">
        <f>IF(OR($BJ272="",8&gt;設定!$B$3),"",IF(INDEX(原始資料!K$2:K$501,$BJ272)="","",INDEX(原始資料!K$2:K$501,$BJ272)))</f>
        <v/>
      </c>
      <c r="J272" s="6">
        <f>IF(OR($BJ272="",9&gt;設定!$B$3),"",IF(INDEX(原始資料!L$2:L$501,$BJ272)="","",INDEX(原始資料!L$2:L$501,$BJ272)))</f>
        <v/>
      </c>
      <c r="K272" s="6">
        <f>IF(OR($BJ272="",10&gt;設定!$B$3),"",IF(INDEX(原始資料!M$2:M$501,$BJ272)="","",INDEX(原始資料!M$2:M$501,$BJ272)))</f>
        <v/>
      </c>
      <c r="L272" s="6">
        <f>IF(OR($BJ272="",11&gt;設定!$B$3),"",IF(INDEX(原始資料!N$2:N$501,$BJ272)="","",INDEX(原始資料!N$2:N$501,$BJ272)))</f>
        <v/>
      </c>
      <c r="M272" s="6">
        <f>IF(OR($BJ272="",12&gt;設定!$B$3),"",IF(INDEX(原始資料!O$2:O$501,$BJ272)="","",INDEX(原始資料!O$2:O$501,$BJ272)))</f>
        <v/>
      </c>
      <c r="N272" s="6">
        <f>IF(OR($BJ272="",13&gt;設定!$B$3),"",IF(INDEX(原始資料!P$2:P$501,$BJ272)="","",INDEX(原始資料!P$2:P$501,$BJ272)))</f>
        <v/>
      </c>
      <c r="O272" s="6">
        <f>IF(OR($BJ272="",14&gt;設定!$B$3),"",IF(INDEX(原始資料!Q$2:Q$501,$BJ272)="","",INDEX(原始資料!Q$2:Q$501,$BJ272)))</f>
        <v/>
      </c>
      <c r="P272" s="6">
        <f>IF(OR($BJ272="",15&gt;設定!$B$3),"",IF(INDEX(原始資料!R$2:R$501,$BJ272)="","",INDEX(原始資料!R$2:R$501,$BJ272)))</f>
        <v/>
      </c>
      <c r="Q272" s="6">
        <f>IF(OR($BJ272="",16&gt;設定!$B$3),"",IF(INDEX(原始資料!S$2:S$501,$BJ272)="","",INDEX(原始資料!S$2:S$501,$BJ272)))</f>
        <v/>
      </c>
      <c r="R272" s="6">
        <f>IF(OR($BJ272="",17&gt;設定!$B$3),"",IF(INDEX(原始資料!T$2:T$501,$BJ272)="","",INDEX(原始資料!T$2:T$501,$BJ272)))</f>
        <v/>
      </c>
      <c r="S272" s="6">
        <f>IF(OR($BJ272="",18&gt;設定!$B$3),"",IF(INDEX(原始資料!U$2:U$501,$BJ272)="","",INDEX(原始資料!U$2:U$501,$BJ272)))</f>
        <v/>
      </c>
      <c r="T272" s="6">
        <f>IF(OR($BJ272="",19&gt;設定!$B$3),"",IF(INDEX(原始資料!V$2:V$501,$BJ272)="","",INDEX(原始資料!V$2:V$501,$BJ272)))</f>
        <v/>
      </c>
      <c r="U272" s="6">
        <f>IF(OR($BJ272="",20&gt;設定!$B$3),"",IF(INDEX(原始資料!W$2:W$501,$BJ272)="","",INDEX(原始資料!W$2:W$501,$BJ272)))</f>
        <v/>
      </c>
      <c r="V272" s="6">
        <f>IF(OR($BJ272="",21&gt;設定!$B$3),"",IF(INDEX(原始資料!X$2:X$501,$BJ272)="","",INDEX(原始資料!X$2:X$501,$BJ272)))</f>
        <v/>
      </c>
      <c r="W272" s="6">
        <f>IF(OR($BJ272="",22&gt;設定!$B$3),"",IF(INDEX(原始資料!Y$2:Y$501,$BJ272)="","",INDEX(原始資料!Y$2:Y$501,$BJ272)))</f>
        <v/>
      </c>
      <c r="X272" s="6">
        <f>IF(OR($BJ272="",23&gt;設定!$B$3),"",IF(INDEX(原始資料!Z$2:Z$501,$BJ272)="","",INDEX(原始資料!Z$2:Z$501,$BJ272)))</f>
        <v/>
      </c>
      <c r="Y272" s="6">
        <f>IF(OR($BJ272="",24&gt;設定!$B$3),"",IF(INDEX(原始資料!AA$2:AA$501,$BJ272)="","",INDEX(原始資料!AA$2:AA$501,$BJ272)))</f>
        <v/>
      </c>
      <c r="Z272" s="6">
        <f>IF(OR($BJ272="",25&gt;設定!$B$3),"",IF(INDEX(原始資料!AB$2:AB$501,$BJ272)="","",INDEX(原始資料!AB$2:AB$501,$BJ272)))</f>
        <v/>
      </c>
      <c r="AA272" s="6">
        <f>IF(OR($BJ272="",26&gt;設定!$B$3),"",IF(INDEX(原始資料!AC$2:AC$501,$BJ272)="","",INDEX(原始資料!AC$2:AC$501,$BJ272)))</f>
        <v/>
      </c>
      <c r="AB272" s="6">
        <f>IF(OR($BJ272="",27&gt;設定!$B$3),"",IF(INDEX(原始資料!AD$2:AD$501,$BJ272)="","",INDEX(原始資料!AD$2:AD$501,$BJ272)))</f>
        <v/>
      </c>
      <c r="AC272" s="6">
        <f>IF(OR($BJ272="",28&gt;設定!$B$3),"",IF(INDEX(原始資料!AE$2:AE$501,$BJ272)="","",INDEX(原始資料!AE$2:AE$501,$BJ272)))</f>
        <v/>
      </c>
      <c r="AD272" s="6">
        <f>IF(OR($BJ272="",29&gt;設定!$B$3),"",IF(INDEX(原始資料!AF$2:AF$501,$BJ272)="","",INDEX(原始資料!AF$2:AF$501,$BJ272)))</f>
        <v/>
      </c>
      <c r="AE272" s="6">
        <f>IF(OR($BJ272="",30&gt;設定!$B$3),"",IF(INDEX(原始資料!AG$2:AG$501,$BJ272)="","",INDEX(原始資料!AG$2:AG$501,$BJ272)))</f>
        <v/>
      </c>
      <c r="AF272" s="6">
        <f>IF(OR($BJ272="",31&gt;設定!$B$3),"",IF(INDEX(原始資料!AH$2:AH$501,$BJ272)="","",INDEX(原始資料!AH$2:AH$501,$BJ272)))</f>
        <v/>
      </c>
      <c r="AG272" s="6">
        <f>IF(OR($BJ272="",32&gt;設定!$B$3),"",IF(INDEX(原始資料!AI$2:AI$501,$BJ272)="","",INDEX(原始資料!AI$2:AI$501,$BJ272)))</f>
        <v/>
      </c>
      <c r="AH272" s="6">
        <f>IF(OR($BJ272="",33&gt;設定!$B$3),"",IF(INDEX(原始資料!AJ$2:AJ$501,$BJ272)="","",INDEX(原始資料!AJ$2:AJ$501,$BJ272)))</f>
        <v/>
      </c>
      <c r="AI272" s="6">
        <f>IF(OR($BJ272="",34&gt;設定!$B$3),"",IF(INDEX(原始資料!AK$2:AK$501,$BJ272)="","",INDEX(原始資料!AK$2:AK$501,$BJ272)))</f>
        <v/>
      </c>
      <c r="AJ272" s="6">
        <f>IF(OR($BJ272="",35&gt;設定!$B$3),"",IF(INDEX(原始資料!AL$2:AL$501,$BJ272)="","",INDEX(原始資料!AL$2:AL$501,$BJ272)))</f>
        <v/>
      </c>
      <c r="AK272" s="6">
        <f>IF(OR($BJ272="",36&gt;設定!$B$3),"",IF(INDEX(原始資料!AM$2:AM$501,$BJ272)="","",INDEX(原始資料!AM$2:AM$501,$BJ272)))</f>
        <v/>
      </c>
      <c r="AL272" s="6">
        <f>IF(OR($BJ272="",37&gt;設定!$B$3),"",IF(INDEX(原始資料!AN$2:AN$501,$BJ272)="","",INDEX(原始資料!AN$2:AN$501,$BJ272)))</f>
        <v/>
      </c>
      <c r="AM272" s="6">
        <f>IF(OR($BJ272="",38&gt;設定!$B$3),"",IF(INDEX(原始資料!AO$2:AO$501,$BJ272)="","",INDEX(原始資料!AO$2:AO$501,$BJ272)))</f>
        <v/>
      </c>
      <c r="AN272" s="6">
        <f>IF(OR($BJ272="",39&gt;設定!$B$3),"",IF(INDEX(原始資料!AP$2:AP$501,$BJ272)="","",INDEX(原始資料!AP$2:AP$501,$BJ272)))</f>
        <v/>
      </c>
      <c r="AO272" s="6">
        <f>IF(OR($BJ272="",40&gt;設定!$B$3),"",IF(INDEX(原始資料!AQ$2:AQ$501,$BJ272)="","",INDEX(原始資料!AQ$2:AQ$501,$BJ272)))</f>
        <v/>
      </c>
      <c r="AP272" s="6">
        <f>IF(OR($BJ272="",41&gt;設定!$B$3),"",IF(INDEX(原始資料!AR$2:AR$501,$BJ272)="","",INDEX(原始資料!AR$2:AR$501,$BJ272)))</f>
        <v/>
      </c>
      <c r="AQ272" s="6">
        <f>IF(OR($BJ272="",42&gt;設定!$B$3),"",IF(INDEX(原始資料!AS$2:AS$501,$BJ272)="","",INDEX(原始資料!AS$2:AS$501,$BJ272)))</f>
        <v/>
      </c>
      <c r="AR272" s="6">
        <f>IF(OR($BJ272="",43&gt;設定!$B$3),"",IF(INDEX(原始資料!AT$2:AT$501,$BJ272)="","",INDEX(原始資料!AT$2:AT$501,$BJ272)))</f>
        <v/>
      </c>
      <c r="AS272" s="6">
        <f>IF(OR($BJ272="",44&gt;設定!$B$3),"",IF(INDEX(原始資料!AU$2:AU$501,$BJ272)="","",INDEX(原始資料!AU$2:AU$501,$BJ272)))</f>
        <v/>
      </c>
      <c r="AT272" s="6">
        <f>IF(OR($BJ272="",45&gt;設定!$B$3),"",IF(INDEX(原始資料!AV$2:AV$501,$BJ272)="","",INDEX(原始資料!AV$2:AV$501,$BJ272)))</f>
        <v/>
      </c>
      <c r="AU272" s="6">
        <f>IF(OR($BJ272="",46&gt;設定!$B$3),"",IF(INDEX(原始資料!AW$2:AW$501,$BJ272)="","",INDEX(原始資料!AW$2:AW$501,$BJ272)))</f>
        <v/>
      </c>
      <c r="AV272" s="6">
        <f>IF(OR($BJ272="",47&gt;設定!$B$3),"",IF(INDEX(原始資料!AX$2:AX$501,$BJ272)="","",INDEX(原始資料!AX$2:AX$501,$BJ272)))</f>
        <v/>
      </c>
      <c r="AW272" s="6">
        <f>IF(OR($BJ272="",48&gt;設定!$B$3),"",IF(INDEX(原始資料!AY$2:AY$501,$BJ272)="","",INDEX(原始資料!AY$2:AY$501,$BJ272)))</f>
        <v/>
      </c>
      <c r="AX272" s="6">
        <f>IF(OR($BJ272="",49&gt;設定!$B$3),"",IF(INDEX(原始資料!AZ$2:AZ$501,$BJ272)="","",INDEX(原始資料!AZ$2:AZ$501,$BJ272)))</f>
        <v/>
      </c>
      <c r="AY272" s="6">
        <f>IF(OR($BJ272="",50&gt;設定!$B$3),"",IF(INDEX(原始資料!BA$2:BA$501,$BJ272)="","",INDEX(原始資料!BA$2:BA$501,$BJ272)))</f>
        <v/>
      </c>
      <c r="AZ272" s="6">
        <f>IF(OR($BJ272="",51&gt;設定!$B$3),"",IF(INDEX(原始資料!BB$2:BB$501,$BJ272)="","",INDEX(原始資料!BB$2:BB$501,$BJ272)))</f>
        <v/>
      </c>
      <c r="BA272" s="6">
        <f>IF(OR($BJ272="",52&gt;設定!$B$3),"",IF(INDEX(原始資料!BC$2:BC$501,$BJ272)="","",INDEX(原始資料!BC$2:BC$501,$BJ272)))</f>
        <v/>
      </c>
      <c r="BB272" s="6">
        <f>IF(OR($BJ272="",53&gt;設定!$B$3),"",IF(INDEX(原始資料!BD$2:BD$501,$BJ272)="","",INDEX(原始資料!BD$2:BD$501,$BJ272)))</f>
        <v/>
      </c>
      <c r="BC272" s="6">
        <f>IF(OR($BJ272="",54&gt;設定!$B$3),"",IF(INDEX(原始資料!BE$2:BE$501,$BJ272)="","",INDEX(原始資料!BE$2:BE$501,$BJ272)))</f>
        <v/>
      </c>
      <c r="BD272" s="6">
        <f>IF(OR($BJ272="",55&gt;設定!$B$3),"",IF(INDEX(原始資料!BF$2:BF$501,$BJ272)="","",INDEX(原始資料!BF$2:BF$501,$BJ272)))</f>
        <v/>
      </c>
      <c r="BE272" s="6">
        <f>IF(OR($BJ272="",56&gt;設定!$B$3),"",IF(INDEX(原始資料!BG$2:BG$501,$BJ272)="","",INDEX(原始資料!BG$2:BG$501,$BJ272)))</f>
        <v/>
      </c>
      <c r="BF272" s="6">
        <f>IF(OR($BJ272="",57&gt;設定!$B$3),"",IF(INDEX(原始資料!BH$2:BH$501,$BJ272)="","",INDEX(原始資料!BH$2:BH$501,$BJ272)))</f>
        <v/>
      </c>
      <c r="BG272" s="6">
        <f>IF(OR($BJ272="",58&gt;設定!$B$3),"",IF(INDEX(原始資料!BI$2:BI$501,$BJ272)="","",INDEX(原始資料!BI$2:BI$501,$BJ272)))</f>
        <v/>
      </c>
      <c r="BH272" s="6">
        <f>IF(OR($BJ272="",59&gt;設定!$B$3),"",IF(INDEX(原始資料!BJ$2:BJ$501,$BJ272)="","",INDEX(原始資料!BJ$2:BJ$501,$BJ272)))</f>
        <v/>
      </c>
      <c r="BI272" s="6">
        <f>IF(OR($BJ272="",60&gt;設定!$B$3),"",IF(INDEX(原始資料!BK$2:BK$501,$BJ272)="","",INDEX(原始資料!BK$2:BK$501,$BJ272)))</f>
        <v/>
      </c>
      <c r="BJ272" s="6">
        <f>IFERROR(MATCH(ROW()-1,判定!$H$2:$H$501,0),"")</f>
        <v/>
      </c>
    </row>
    <row r="273">
      <c r="A273" s="6">
        <f>IF($BJ273="","",INDEX(原始資料!$A$2:$A$501,$BJ273))</f>
        <v/>
      </c>
      <c r="B273" s="6">
        <f>IF(OR($BJ273="",1&gt;設定!$B$3),"",IF(INDEX(原始資料!D$2:D$501,$BJ273)="","",INDEX(原始資料!D$2:D$501,$BJ273)))</f>
        <v/>
      </c>
      <c r="C273" s="6">
        <f>IF(OR($BJ273="",2&gt;設定!$B$3),"",IF(INDEX(原始資料!E$2:E$501,$BJ273)="","",INDEX(原始資料!E$2:E$501,$BJ273)))</f>
        <v/>
      </c>
      <c r="D273" s="6">
        <f>IF(OR($BJ273="",3&gt;設定!$B$3),"",IF(INDEX(原始資料!F$2:F$501,$BJ273)="","",INDEX(原始資料!F$2:F$501,$BJ273)))</f>
        <v/>
      </c>
      <c r="E273" s="6">
        <f>IF(OR($BJ273="",4&gt;設定!$B$3),"",IF(INDEX(原始資料!G$2:G$501,$BJ273)="","",INDEX(原始資料!G$2:G$501,$BJ273)))</f>
        <v/>
      </c>
      <c r="F273" s="6">
        <f>IF(OR($BJ273="",5&gt;設定!$B$3),"",IF(INDEX(原始資料!H$2:H$501,$BJ273)="","",INDEX(原始資料!H$2:H$501,$BJ273)))</f>
        <v/>
      </c>
      <c r="G273" s="6">
        <f>IF(OR($BJ273="",6&gt;設定!$B$3),"",IF(INDEX(原始資料!I$2:I$501,$BJ273)="","",INDEX(原始資料!I$2:I$501,$BJ273)))</f>
        <v/>
      </c>
      <c r="H273" s="6">
        <f>IF(OR($BJ273="",7&gt;設定!$B$3),"",IF(INDEX(原始資料!J$2:J$501,$BJ273)="","",INDEX(原始資料!J$2:J$501,$BJ273)))</f>
        <v/>
      </c>
      <c r="I273" s="6">
        <f>IF(OR($BJ273="",8&gt;設定!$B$3),"",IF(INDEX(原始資料!K$2:K$501,$BJ273)="","",INDEX(原始資料!K$2:K$501,$BJ273)))</f>
        <v/>
      </c>
      <c r="J273" s="6">
        <f>IF(OR($BJ273="",9&gt;設定!$B$3),"",IF(INDEX(原始資料!L$2:L$501,$BJ273)="","",INDEX(原始資料!L$2:L$501,$BJ273)))</f>
        <v/>
      </c>
      <c r="K273" s="6">
        <f>IF(OR($BJ273="",10&gt;設定!$B$3),"",IF(INDEX(原始資料!M$2:M$501,$BJ273)="","",INDEX(原始資料!M$2:M$501,$BJ273)))</f>
        <v/>
      </c>
      <c r="L273" s="6">
        <f>IF(OR($BJ273="",11&gt;設定!$B$3),"",IF(INDEX(原始資料!N$2:N$501,$BJ273)="","",INDEX(原始資料!N$2:N$501,$BJ273)))</f>
        <v/>
      </c>
      <c r="M273" s="6">
        <f>IF(OR($BJ273="",12&gt;設定!$B$3),"",IF(INDEX(原始資料!O$2:O$501,$BJ273)="","",INDEX(原始資料!O$2:O$501,$BJ273)))</f>
        <v/>
      </c>
      <c r="N273" s="6">
        <f>IF(OR($BJ273="",13&gt;設定!$B$3),"",IF(INDEX(原始資料!P$2:P$501,$BJ273)="","",INDEX(原始資料!P$2:P$501,$BJ273)))</f>
        <v/>
      </c>
      <c r="O273" s="6">
        <f>IF(OR($BJ273="",14&gt;設定!$B$3),"",IF(INDEX(原始資料!Q$2:Q$501,$BJ273)="","",INDEX(原始資料!Q$2:Q$501,$BJ273)))</f>
        <v/>
      </c>
      <c r="P273" s="6">
        <f>IF(OR($BJ273="",15&gt;設定!$B$3),"",IF(INDEX(原始資料!R$2:R$501,$BJ273)="","",INDEX(原始資料!R$2:R$501,$BJ273)))</f>
        <v/>
      </c>
      <c r="Q273" s="6">
        <f>IF(OR($BJ273="",16&gt;設定!$B$3),"",IF(INDEX(原始資料!S$2:S$501,$BJ273)="","",INDEX(原始資料!S$2:S$501,$BJ273)))</f>
        <v/>
      </c>
      <c r="R273" s="6">
        <f>IF(OR($BJ273="",17&gt;設定!$B$3),"",IF(INDEX(原始資料!T$2:T$501,$BJ273)="","",INDEX(原始資料!T$2:T$501,$BJ273)))</f>
        <v/>
      </c>
      <c r="S273" s="6">
        <f>IF(OR($BJ273="",18&gt;設定!$B$3),"",IF(INDEX(原始資料!U$2:U$501,$BJ273)="","",INDEX(原始資料!U$2:U$501,$BJ273)))</f>
        <v/>
      </c>
      <c r="T273" s="6">
        <f>IF(OR($BJ273="",19&gt;設定!$B$3),"",IF(INDEX(原始資料!V$2:V$501,$BJ273)="","",INDEX(原始資料!V$2:V$501,$BJ273)))</f>
        <v/>
      </c>
      <c r="U273" s="6">
        <f>IF(OR($BJ273="",20&gt;設定!$B$3),"",IF(INDEX(原始資料!W$2:W$501,$BJ273)="","",INDEX(原始資料!W$2:W$501,$BJ273)))</f>
        <v/>
      </c>
      <c r="V273" s="6">
        <f>IF(OR($BJ273="",21&gt;設定!$B$3),"",IF(INDEX(原始資料!X$2:X$501,$BJ273)="","",INDEX(原始資料!X$2:X$501,$BJ273)))</f>
        <v/>
      </c>
      <c r="W273" s="6">
        <f>IF(OR($BJ273="",22&gt;設定!$B$3),"",IF(INDEX(原始資料!Y$2:Y$501,$BJ273)="","",INDEX(原始資料!Y$2:Y$501,$BJ273)))</f>
        <v/>
      </c>
      <c r="X273" s="6">
        <f>IF(OR($BJ273="",23&gt;設定!$B$3),"",IF(INDEX(原始資料!Z$2:Z$501,$BJ273)="","",INDEX(原始資料!Z$2:Z$501,$BJ273)))</f>
        <v/>
      </c>
      <c r="Y273" s="6">
        <f>IF(OR($BJ273="",24&gt;設定!$B$3),"",IF(INDEX(原始資料!AA$2:AA$501,$BJ273)="","",INDEX(原始資料!AA$2:AA$501,$BJ273)))</f>
        <v/>
      </c>
      <c r="Z273" s="6">
        <f>IF(OR($BJ273="",25&gt;設定!$B$3),"",IF(INDEX(原始資料!AB$2:AB$501,$BJ273)="","",INDEX(原始資料!AB$2:AB$501,$BJ273)))</f>
        <v/>
      </c>
      <c r="AA273" s="6">
        <f>IF(OR($BJ273="",26&gt;設定!$B$3),"",IF(INDEX(原始資料!AC$2:AC$501,$BJ273)="","",INDEX(原始資料!AC$2:AC$501,$BJ273)))</f>
        <v/>
      </c>
      <c r="AB273" s="6">
        <f>IF(OR($BJ273="",27&gt;設定!$B$3),"",IF(INDEX(原始資料!AD$2:AD$501,$BJ273)="","",INDEX(原始資料!AD$2:AD$501,$BJ273)))</f>
        <v/>
      </c>
      <c r="AC273" s="6">
        <f>IF(OR($BJ273="",28&gt;設定!$B$3),"",IF(INDEX(原始資料!AE$2:AE$501,$BJ273)="","",INDEX(原始資料!AE$2:AE$501,$BJ273)))</f>
        <v/>
      </c>
      <c r="AD273" s="6">
        <f>IF(OR($BJ273="",29&gt;設定!$B$3),"",IF(INDEX(原始資料!AF$2:AF$501,$BJ273)="","",INDEX(原始資料!AF$2:AF$501,$BJ273)))</f>
        <v/>
      </c>
      <c r="AE273" s="6">
        <f>IF(OR($BJ273="",30&gt;設定!$B$3),"",IF(INDEX(原始資料!AG$2:AG$501,$BJ273)="","",INDEX(原始資料!AG$2:AG$501,$BJ273)))</f>
        <v/>
      </c>
      <c r="AF273" s="6">
        <f>IF(OR($BJ273="",31&gt;設定!$B$3),"",IF(INDEX(原始資料!AH$2:AH$501,$BJ273)="","",INDEX(原始資料!AH$2:AH$501,$BJ273)))</f>
        <v/>
      </c>
      <c r="AG273" s="6">
        <f>IF(OR($BJ273="",32&gt;設定!$B$3),"",IF(INDEX(原始資料!AI$2:AI$501,$BJ273)="","",INDEX(原始資料!AI$2:AI$501,$BJ273)))</f>
        <v/>
      </c>
      <c r="AH273" s="6">
        <f>IF(OR($BJ273="",33&gt;設定!$B$3),"",IF(INDEX(原始資料!AJ$2:AJ$501,$BJ273)="","",INDEX(原始資料!AJ$2:AJ$501,$BJ273)))</f>
        <v/>
      </c>
      <c r="AI273" s="6">
        <f>IF(OR($BJ273="",34&gt;設定!$B$3),"",IF(INDEX(原始資料!AK$2:AK$501,$BJ273)="","",INDEX(原始資料!AK$2:AK$501,$BJ273)))</f>
        <v/>
      </c>
      <c r="AJ273" s="6">
        <f>IF(OR($BJ273="",35&gt;設定!$B$3),"",IF(INDEX(原始資料!AL$2:AL$501,$BJ273)="","",INDEX(原始資料!AL$2:AL$501,$BJ273)))</f>
        <v/>
      </c>
      <c r="AK273" s="6">
        <f>IF(OR($BJ273="",36&gt;設定!$B$3),"",IF(INDEX(原始資料!AM$2:AM$501,$BJ273)="","",INDEX(原始資料!AM$2:AM$501,$BJ273)))</f>
        <v/>
      </c>
      <c r="AL273" s="6">
        <f>IF(OR($BJ273="",37&gt;設定!$B$3),"",IF(INDEX(原始資料!AN$2:AN$501,$BJ273)="","",INDEX(原始資料!AN$2:AN$501,$BJ273)))</f>
        <v/>
      </c>
      <c r="AM273" s="6">
        <f>IF(OR($BJ273="",38&gt;設定!$B$3),"",IF(INDEX(原始資料!AO$2:AO$501,$BJ273)="","",INDEX(原始資料!AO$2:AO$501,$BJ273)))</f>
        <v/>
      </c>
      <c r="AN273" s="6">
        <f>IF(OR($BJ273="",39&gt;設定!$B$3),"",IF(INDEX(原始資料!AP$2:AP$501,$BJ273)="","",INDEX(原始資料!AP$2:AP$501,$BJ273)))</f>
        <v/>
      </c>
      <c r="AO273" s="6">
        <f>IF(OR($BJ273="",40&gt;設定!$B$3),"",IF(INDEX(原始資料!AQ$2:AQ$501,$BJ273)="","",INDEX(原始資料!AQ$2:AQ$501,$BJ273)))</f>
        <v/>
      </c>
      <c r="AP273" s="6">
        <f>IF(OR($BJ273="",41&gt;設定!$B$3),"",IF(INDEX(原始資料!AR$2:AR$501,$BJ273)="","",INDEX(原始資料!AR$2:AR$501,$BJ273)))</f>
        <v/>
      </c>
      <c r="AQ273" s="6">
        <f>IF(OR($BJ273="",42&gt;設定!$B$3),"",IF(INDEX(原始資料!AS$2:AS$501,$BJ273)="","",INDEX(原始資料!AS$2:AS$501,$BJ273)))</f>
        <v/>
      </c>
      <c r="AR273" s="6">
        <f>IF(OR($BJ273="",43&gt;設定!$B$3),"",IF(INDEX(原始資料!AT$2:AT$501,$BJ273)="","",INDEX(原始資料!AT$2:AT$501,$BJ273)))</f>
        <v/>
      </c>
      <c r="AS273" s="6">
        <f>IF(OR($BJ273="",44&gt;設定!$B$3),"",IF(INDEX(原始資料!AU$2:AU$501,$BJ273)="","",INDEX(原始資料!AU$2:AU$501,$BJ273)))</f>
        <v/>
      </c>
      <c r="AT273" s="6">
        <f>IF(OR($BJ273="",45&gt;設定!$B$3),"",IF(INDEX(原始資料!AV$2:AV$501,$BJ273)="","",INDEX(原始資料!AV$2:AV$501,$BJ273)))</f>
        <v/>
      </c>
      <c r="AU273" s="6">
        <f>IF(OR($BJ273="",46&gt;設定!$B$3),"",IF(INDEX(原始資料!AW$2:AW$501,$BJ273)="","",INDEX(原始資料!AW$2:AW$501,$BJ273)))</f>
        <v/>
      </c>
      <c r="AV273" s="6">
        <f>IF(OR($BJ273="",47&gt;設定!$B$3),"",IF(INDEX(原始資料!AX$2:AX$501,$BJ273)="","",INDEX(原始資料!AX$2:AX$501,$BJ273)))</f>
        <v/>
      </c>
      <c r="AW273" s="6">
        <f>IF(OR($BJ273="",48&gt;設定!$B$3),"",IF(INDEX(原始資料!AY$2:AY$501,$BJ273)="","",INDEX(原始資料!AY$2:AY$501,$BJ273)))</f>
        <v/>
      </c>
      <c r="AX273" s="6">
        <f>IF(OR($BJ273="",49&gt;設定!$B$3),"",IF(INDEX(原始資料!AZ$2:AZ$501,$BJ273)="","",INDEX(原始資料!AZ$2:AZ$501,$BJ273)))</f>
        <v/>
      </c>
      <c r="AY273" s="6">
        <f>IF(OR($BJ273="",50&gt;設定!$B$3),"",IF(INDEX(原始資料!BA$2:BA$501,$BJ273)="","",INDEX(原始資料!BA$2:BA$501,$BJ273)))</f>
        <v/>
      </c>
      <c r="AZ273" s="6">
        <f>IF(OR($BJ273="",51&gt;設定!$B$3),"",IF(INDEX(原始資料!BB$2:BB$501,$BJ273)="","",INDEX(原始資料!BB$2:BB$501,$BJ273)))</f>
        <v/>
      </c>
      <c r="BA273" s="6">
        <f>IF(OR($BJ273="",52&gt;設定!$B$3),"",IF(INDEX(原始資料!BC$2:BC$501,$BJ273)="","",INDEX(原始資料!BC$2:BC$501,$BJ273)))</f>
        <v/>
      </c>
      <c r="BB273" s="6">
        <f>IF(OR($BJ273="",53&gt;設定!$B$3),"",IF(INDEX(原始資料!BD$2:BD$501,$BJ273)="","",INDEX(原始資料!BD$2:BD$501,$BJ273)))</f>
        <v/>
      </c>
      <c r="BC273" s="6">
        <f>IF(OR($BJ273="",54&gt;設定!$B$3),"",IF(INDEX(原始資料!BE$2:BE$501,$BJ273)="","",INDEX(原始資料!BE$2:BE$501,$BJ273)))</f>
        <v/>
      </c>
      <c r="BD273" s="6">
        <f>IF(OR($BJ273="",55&gt;設定!$B$3),"",IF(INDEX(原始資料!BF$2:BF$501,$BJ273)="","",INDEX(原始資料!BF$2:BF$501,$BJ273)))</f>
        <v/>
      </c>
      <c r="BE273" s="6">
        <f>IF(OR($BJ273="",56&gt;設定!$B$3),"",IF(INDEX(原始資料!BG$2:BG$501,$BJ273)="","",INDEX(原始資料!BG$2:BG$501,$BJ273)))</f>
        <v/>
      </c>
      <c r="BF273" s="6">
        <f>IF(OR($BJ273="",57&gt;設定!$B$3),"",IF(INDEX(原始資料!BH$2:BH$501,$BJ273)="","",INDEX(原始資料!BH$2:BH$501,$BJ273)))</f>
        <v/>
      </c>
      <c r="BG273" s="6">
        <f>IF(OR($BJ273="",58&gt;設定!$B$3),"",IF(INDEX(原始資料!BI$2:BI$501,$BJ273)="","",INDEX(原始資料!BI$2:BI$501,$BJ273)))</f>
        <v/>
      </c>
      <c r="BH273" s="6">
        <f>IF(OR($BJ273="",59&gt;設定!$B$3),"",IF(INDEX(原始資料!BJ$2:BJ$501,$BJ273)="","",INDEX(原始資料!BJ$2:BJ$501,$BJ273)))</f>
        <v/>
      </c>
      <c r="BI273" s="6">
        <f>IF(OR($BJ273="",60&gt;設定!$B$3),"",IF(INDEX(原始資料!BK$2:BK$501,$BJ273)="","",INDEX(原始資料!BK$2:BK$501,$BJ273)))</f>
        <v/>
      </c>
      <c r="BJ273" s="6">
        <f>IFERROR(MATCH(ROW()-1,判定!$H$2:$H$501,0),"")</f>
        <v/>
      </c>
    </row>
    <row r="274">
      <c r="A274" s="6">
        <f>IF($BJ274="","",INDEX(原始資料!$A$2:$A$501,$BJ274))</f>
        <v/>
      </c>
      <c r="B274" s="6">
        <f>IF(OR($BJ274="",1&gt;設定!$B$3),"",IF(INDEX(原始資料!D$2:D$501,$BJ274)="","",INDEX(原始資料!D$2:D$501,$BJ274)))</f>
        <v/>
      </c>
      <c r="C274" s="6">
        <f>IF(OR($BJ274="",2&gt;設定!$B$3),"",IF(INDEX(原始資料!E$2:E$501,$BJ274)="","",INDEX(原始資料!E$2:E$501,$BJ274)))</f>
        <v/>
      </c>
      <c r="D274" s="6">
        <f>IF(OR($BJ274="",3&gt;設定!$B$3),"",IF(INDEX(原始資料!F$2:F$501,$BJ274)="","",INDEX(原始資料!F$2:F$501,$BJ274)))</f>
        <v/>
      </c>
      <c r="E274" s="6">
        <f>IF(OR($BJ274="",4&gt;設定!$B$3),"",IF(INDEX(原始資料!G$2:G$501,$BJ274)="","",INDEX(原始資料!G$2:G$501,$BJ274)))</f>
        <v/>
      </c>
      <c r="F274" s="6">
        <f>IF(OR($BJ274="",5&gt;設定!$B$3),"",IF(INDEX(原始資料!H$2:H$501,$BJ274)="","",INDEX(原始資料!H$2:H$501,$BJ274)))</f>
        <v/>
      </c>
      <c r="G274" s="6">
        <f>IF(OR($BJ274="",6&gt;設定!$B$3),"",IF(INDEX(原始資料!I$2:I$501,$BJ274)="","",INDEX(原始資料!I$2:I$501,$BJ274)))</f>
        <v/>
      </c>
      <c r="H274" s="6">
        <f>IF(OR($BJ274="",7&gt;設定!$B$3),"",IF(INDEX(原始資料!J$2:J$501,$BJ274)="","",INDEX(原始資料!J$2:J$501,$BJ274)))</f>
        <v/>
      </c>
      <c r="I274" s="6">
        <f>IF(OR($BJ274="",8&gt;設定!$B$3),"",IF(INDEX(原始資料!K$2:K$501,$BJ274)="","",INDEX(原始資料!K$2:K$501,$BJ274)))</f>
        <v/>
      </c>
      <c r="J274" s="6">
        <f>IF(OR($BJ274="",9&gt;設定!$B$3),"",IF(INDEX(原始資料!L$2:L$501,$BJ274)="","",INDEX(原始資料!L$2:L$501,$BJ274)))</f>
        <v/>
      </c>
      <c r="K274" s="6">
        <f>IF(OR($BJ274="",10&gt;設定!$B$3),"",IF(INDEX(原始資料!M$2:M$501,$BJ274)="","",INDEX(原始資料!M$2:M$501,$BJ274)))</f>
        <v/>
      </c>
      <c r="L274" s="6">
        <f>IF(OR($BJ274="",11&gt;設定!$B$3),"",IF(INDEX(原始資料!N$2:N$501,$BJ274)="","",INDEX(原始資料!N$2:N$501,$BJ274)))</f>
        <v/>
      </c>
      <c r="M274" s="6">
        <f>IF(OR($BJ274="",12&gt;設定!$B$3),"",IF(INDEX(原始資料!O$2:O$501,$BJ274)="","",INDEX(原始資料!O$2:O$501,$BJ274)))</f>
        <v/>
      </c>
      <c r="N274" s="6">
        <f>IF(OR($BJ274="",13&gt;設定!$B$3),"",IF(INDEX(原始資料!P$2:P$501,$BJ274)="","",INDEX(原始資料!P$2:P$501,$BJ274)))</f>
        <v/>
      </c>
      <c r="O274" s="6">
        <f>IF(OR($BJ274="",14&gt;設定!$B$3),"",IF(INDEX(原始資料!Q$2:Q$501,$BJ274)="","",INDEX(原始資料!Q$2:Q$501,$BJ274)))</f>
        <v/>
      </c>
      <c r="P274" s="6">
        <f>IF(OR($BJ274="",15&gt;設定!$B$3),"",IF(INDEX(原始資料!R$2:R$501,$BJ274)="","",INDEX(原始資料!R$2:R$501,$BJ274)))</f>
        <v/>
      </c>
      <c r="Q274" s="6">
        <f>IF(OR($BJ274="",16&gt;設定!$B$3),"",IF(INDEX(原始資料!S$2:S$501,$BJ274)="","",INDEX(原始資料!S$2:S$501,$BJ274)))</f>
        <v/>
      </c>
      <c r="R274" s="6">
        <f>IF(OR($BJ274="",17&gt;設定!$B$3),"",IF(INDEX(原始資料!T$2:T$501,$BJ274)="","",INDEX(原始資料!T$2:T$501,$BJ274)))</f>
        <v/>
      </c>
      <c r="S274" s="6">
        <f>IF(OR($BJ274="",18&gt;設定!$B$3),"",IF(INDEX(原始資料!U$2:U$501,$BJ274)="","",INDEX(原始資料!U$2:U$501,$BJ274)))</f>
        <v/>
      </c>
      <c r="T274" s="6">
        <f>IF(OR($BJ274="",19&gt;設定!$B$3),"",IF(INDEX(原始資料!V$2:V$501,$BJ274)="","",INDEX(原始資料!V$2:V$501,$BJ274)))</f>
        <v/>
      </c>
      <c r="U274" s="6">
        <f>IF(OR($BJ274="",20&gt;設定!$B$3),"",IF(INDEX(原始資料!W$2:W$501,$BJ274)="","",INDEX(原始資料!W$2:W$501,$BJ274)))</f>
        <v/>
      </c>
      <c r="V274" s="6">
        <f>IF(OR($BJ274="",21&gt;設定!$B$3),"",IF(INDEX(原始資料!X$2:X$501,$BJ274)="","",INDEX(原始資料!X$2:X$501,$BJ274)))</f>
        <v/>
      </c>
      <c r="W274" s="6">
        <f>IF(OR($BJ274="",22&gt;設定!$B$3),"",IF(INDEX(原始資料!Y$2:Y$501,$BJ274)="","",INDEX(原始資料!Y$2:Y$501,$BJ274)))</f>
        <v/>
      </c>
      <c r="X274" s="6">
        <f>IF(OR($BJ274="",23&gt;設定!$B$3),"",IF(INDEX(原始資料!Z$2:Z$501,$BJ274)="","",INDEX(原始資料!Z$2:Z$501,$BJ274)))</f>
        <v/>
      </c>
      <c r="Y274" s="6">
        <f>IF(OR($BJ274="",24&gt;設定!$B$3),"",IF(INDEX(原始資料!AA$2:AA$501,$BJ274)="","",INDEX(原始資料!AA$2:AA$501,$BJ274)))</f>
        <v/>
      </c>
      <c r="Z274" s="6">
        <f>IF(OR($BJ274="",25&gt;設定!$B$3),"",IF(INDEX(原始資料!AB$2:AB$501,$BJ274)="","",INDEX(原始資料!AB$2:AB$501,$BJ274)))</f>
        <v/>
      </c>
      <c r="AA274" s="6">
        <f>IF(OR($BJ274="",26&gt;設定!$B$3),"",IF(INDEX(原始資料!AC$2:AC$501,$BJ274)="","",INDEX(原始資料!AC$2:AC$501,$BJ274)))</f>
        <v/>
      </c>
      <c r="AB274" s="6">
        <f>IF(OR($BJ274="",27&gt;設定!$B$3),"",IF(INDEX(原始資料!AD$2:AD$501,$BJ274)="","",INDEX(原始資料!AD$2:AD$501,$BJ274)))</f>
        <v/>
      </c>
      <c r="AC274" s="6">
        <f>IF(OR($BJ274="",28&gt;設定!$B$3),"",IF(INDEX(原始資料!AE$2:AE$501,$BJ274)="","",INDEX(原始資料!AE$2:AE$501,$BJ274)))</f>
        <v/>
      </c>
      <c r="AD274" s="6">
        <f>IF(OR($BJ274="",29&gt;設定!$B$3),"",IF(INDEX(原始資料!AF$2:AF$501,$BJ274)="","",INDEX(原始資料!AF$2:AF$501,$BJ274)))</f>
        <v/>
      </c>
      <c r="AE274" s="6">
        <f>IF(OR($BJ274="",30&gt;設定!$B$3),"",IF(INDEX(原始資料!AG$2:AG$501,$BJ274)="","",INDEX(原始資料!AG$2:AG$501,$BJ274)))</f>
        <v/>
      </c>
      <c r="AF274" s="6">
        <f>IF(OR($BJ274="",31&gt;設定!$B$3),"",IF(INDEX(原始資料!AH$2:AH$501,$BJ274)="","",INDEX(原始資料!AH$2:AH$501,$BJ274)))</f>
        <v/>
      </c>
      <c r="AG274" s="6">
        <f>IF(OR($BJ274="",32&gt;設定!$B$3),"",IF(INDEX(原始資料!AI$2:AI$501,$BJ274)="","",INDEX(原始資料!AI$2:AI$501,$BJ274)))</f>
        <v/>
      </c>
      <c r="AH274" s="6">
        <f>IF(OR($BJ274="",33&gt;設定!$B$3),"",IF(INDEX(原始資料!AJ$2:AJ$501,$BJ274)="","",INDEX(原始資料!AJ$2:AJ$501,$BJ274)))</f>
        <v/>
      </c>
      <c r="AI274" s="6">
        <f>IF(OR($BJ274="",34&gt;設定!$B$3),"",IF(INDEX(原始資料!AK$2:AK$501,$BJ274)="","",INDEX(原始資料!AK$2:AK$501,$BJ274)))</f>
        <v/>
      </c>
      <c r="AJ274" s="6">
        <f>IF(OR($BJ274="",35&gt;設定!$B$3),"",IF(INDEX(原始資料!AL$2:AL$501,$BJ274)="","",INDEX(原始資料!AL$2:AL$501,$BJ274)))</f>
        <v/>
      </c>
      <c r="AK274" s="6">
        <f>IF(OR($BJ274="",36&gt;設定!$B$3),"",IF(INDEX(原始資料!AM$2:AM$501,$BJ274)="","",INDEX(原始資料!AM$2:AM$501,$BJ274)))</f>
        <v/>
      </c>
      <c r="AL274" s="6">
        <f>IF(OR($BJ274="",37&gt;設定!$B$3),"",IF(INDEX(原始資料!AN$2:AN$501,$BJ274)="","",INDEX(原始資料!AN$2:AN$501,$BJ274)))</f>
        <v/>
      </c>
      <c r="AM274" s="6">
        <f>IF(OR($BJ274="",38&gt;設定!$B$3),"",IF(INDEX(原始資料!AO$2:AO$501,$BJ274)="","",INDEX(原始資料!AO$2:AO$501,$BJ274)))</f>
        <v/>
      </c>
      <c r="AN274" s="6">
        <f>IF(OR($BJ274="",39&gt;設定!$B$3),"",IF(INDEX(原始資料!AP$2:AP$501,$BJ274)="","",INDEX(原始資料!AP$2:AP$501,$BJ274)))</f>
        <v/>
      </c>
      <c r="AO274" s="6">
        <f>IF(OR($BJ274="",40&gt;設定!$B$3),"",IF(INDEX(原始資料!AQ$2:AQ$501,$BJ274)="","",INDEX(原始資料!AQ$2:AQ$501,$BJ274)))</f>
        <v/>
      </c>
      <c r="AP274" s="6">
        <f>IF(OR($BJ274="",41&gt;設定!$B$3),"",IF(INDEX(原始資料!AR$2:AR$501,$BJ274)="","",INDEX(原始資料!AR$2:AR$501,$BJ274)))</f>
        <v/>
      </c>
      <c r="AQ274" s="6">
        <f>IF(OR($BJ274="",42&gt;設定!$B$3),"",IF(INDEX(原始資料!AS$2:AS$501,$BJ274)="","",INDEX(原始資料!AS$2:AS$501,$BJ274)))</f>
        <v/>
      </c>
      <c r="AR274" s="6">
        <f>IF(OR($BJ274="",43&gt;設定!$B$3),"",IF(INDEX(原始資料!AT$2:AT$501,$BJ274)="","",INDEX(原始資料!AT$2:AT$501,$BJ274)))</f>
        <v/>
      </c>
      <c r="AS274" s="6">
        <f>IF(OR($BJ274="",44&gt;設定!$B$3),"",IF(INDEX(原始資料!AU$2:AU$501,$BJ274)="","",INDEX(原始資料!AU$2:AU$501,$BJ274)))</f>
        <v/>
      </c>
      <c r="AT274" s="6">
        <f>IF(OR($BJ274="",45&gt;設定!$B$3),"",IF(INDEX(原始資料!AV$2:AV$501,$BJ274)="","",INDEX(原始資料!AV$2:AV$501,$BJ274)))</f>
        <v/>
      </c>
      <c r="AU274" s="6">
        <f>IF(OR($BJ274="",46&gt;設定!$B$3),"",IF(INDEX(原始資料!AW$2:AW$501,$BJ274)="","",INDEX(原始資料!AW$2:AW$501,$BJ274)))</f>
        <v/>
      </c>
      <c r="AV274" s="6">
        <f>IF(OR($BJ274="",47&gt;設定!$B$3),"",IF(INDEX(原始資料!AX$2:AX$501,$BJ274)="","",INDEX(原始資料!AX$2:AX$501,$BJ274)))</f>
        <v/>
      </c>
      <c r="AW274" s="6">
        <f>IF(OR($BJ274="",48&gt;設定!$B$3),"",IF(INDEX(原始資料!AY$2:AY$501,$BJ274)="","",INDEX(原始資料!AY$2:AY$501,$BJ274)))</f>
        <v/>
      </c>
      <c r="AX274" s="6">
        <f>IF(OR($BJ274="",49&gt;設定!$B$3),"",IF(INDEX(原始資料!AZ$2:AZ$501,$BJ274)="","",INDEX(原始資料!AZ$2:AZ$501,$BJ274)))</f>
        <v/>
      </c>
      <c r="AY274" s="6">
        <f>IF(OR($BJ274="",50&gt;設定!$B$3),"",IF(INDEX(原始資料!BA$2:BA$501,$BJ274)="","",INDEX(原始資料!BA$2:BA$501,$BJ274)))</f>
        <v/>
      </c>
      <c r="AZ274" s="6">
        <f>IF(OR($BJ274="",51&gt;設定!$B$3),"",IF(INDEX(原始資料!BB$2:BB$501,$BJ274)="","",INDEX(原始資料!BB$2:BB$501,$BJ274)))</f>
        <v/>
      </c>
      <c r="BA274" s="6">
        <f>IF(OR($BJ274="",52&gt;設定!$B$3),"",IF(INDEX(原始資料!BC$2:BC$501,$BJ274)="","",INDEX(原始資料!BC$2:BC$501,$BJ274)))</f>
        <v/>
      </c>
      <c r="BB274" s="6">
        <f>IF(OR($BJ274="",53&gt;設定!$B$3),"",IF(INDEX(原始資料!BD$2:BD$501,$BJ274)="","",INDEX(原始資料!BD$2:BD$501,$BJ274)))</f>
        <v/>
      </c>
      <c r="BC274" s="6">
        <f>IF(OR($BJ274="",54&gt;設定!$B$3),"",IF(INDEX(原始資料!BE$2:BE$501,$BJ274)="","",INDEX(原始資料!BE$2:BE$501,$BJ274)))</f>
        <v/>
      </c>
      <c r="BD274" s="6">
        <f>IF(OR($BJ274="",55&gt;設定!$B$3),"",IF(INDEX(原始資料!BF$2:BF$501,$BJ274)="","",INDEX(原始資料!BF$2:BF$501,$BJ274)))</f>
        <v/>
      </c>
      <c r="BE274" s="6">
        <f>IF(OR($BJ274="",56&gt;設定!$B$3),"",IF(INDEX(原始資料!BG$2:BG$501,$BJ274)="","",INDEX(原始資料!BG$2:BG$501,$BJ274)))</f>
        <v/>
      </c>
      <c r="BF274" s="6">
        <f>IF(OR($BJ274="",57&gt;設定!$B$3),"",IF(INDEX(原始資料!BH$2:BH$501,$BJ274)="","",INDEX(原始資料!BH$2:BH$501,$BJ274)))</f>
        <v/>
      </c>
      <c r="BG274" s="6">
        <f>IF(OR($BJ274="",58&gt;設定!$B$3),"",IF(INDEX(原始資料!BI$2:BI$501,$BJ274)="","",INDEX(原始資料!BI$2:BI$501,$BJ274)))</f>
        <v/>
      </c>
      <c r="BH274" s="6">
        <f>IF(OR($BJ274="",59&gt;設定!$B$3),"",IF(INDEX(原始資料!BJ$2:BJ$501,$BJ274)="","",INDEX(原始資料!BJ$2:BJ$501,$BJ274)))</f>
        <v/>
      </c>
      <c r="BI274" s="6">
        <f>IF(OR($BJ274="",60&gt;設定!$B$3),"",IF(INDEX(原始資料!BK$2:BK$501,$BJ274)="","",INDEX(原始資料!BK$2:BK$501,$BJ274)))</f>
        <v/>
      </c>
      <c r="BJ274" s="6">
        <f>IFERROR(MATCH(ROW()-1,判定!$H$2:$H$501,0),"")</f>
        <v/>
      </c>
    </row>
    <row r="275">
      <c r="A275" s="6">
        <f>IF($BJ275="","",INDEX(原始資料!$A$2:$A$501,$BJ275))</f>
        <v/>
      </c>
      <c r="B275" s="6">
        <f>IF(OR($BJ275="",1&gt;設定!$B$3),"",IF(INDEX(原始資料!D$2:D$501,$BJ275)="","",INDEX(原始資料!D$2:D$501,$BJ275)))</f>
        <v/>
      </c>
      <c r="C275" s="6">
        <f>IF(OR($BJ275="",2&gt;設定!$B$3),"",IF(INDEX(原始資料!E$2:E$501,$BJ275)="","",INDEX(原始資料!E$2:E$501,$BJ275)))</f>
        <v/>
      </c>
      <c r="D275" s="6">
        <f>IF(OR($BJ275="",3&gt;設定!$B$3),"",IF(INDEX(原始資料!F$2:F$501,$BJ275)="","",INDEX(原始資料!F$2:F$501,$BJ275)))</f>
        <v/>
      </c>
      <c r="E275" s="6">
        <f>IF(OR($BJ275="",4&gt;設定!$B$3),"",IF(INDEX(原始資料!G$2:G$501,$BJ275)="","",INDEX(原始資料!G$2:G$501,$BJ275)))</f>
        <v/>
      </c>
      <c r="F275" s="6">
        <f>IF(OR($BJ275="",5&gt;設定!$B$3),"",IF(INDEX(原始資料!H$2:H$501,$BJ275)="","",INDEX(原始資料!H$2:H$501,$BJ275)))</f>
        <v/>
      </c>
      <c r="G275" s="6">
        <f>IF(OR($BJ275="",6&gt;設定!$B$3),"",IF(INDEX(原始資料!I$2:I$501,$BJ275)="","",INDEX(原始資料!I$2:I$501,$BJ275)))</f>
        <v/>
      </c>
      <c r="H275" s="6">
        <f>IF(OR($BJ275="",7&gt;設定!$B$3),"",IF(INDEX(原始資料!J$2:J$501,$BJ275)="","",INDEX(原始資料!J$2:J$501,$BJ275)))</f>
        <v/>
      </c>
      <c r="I275" s="6">
        <f>IF(OR($BJ275="",8&gt;設定!$B$3),"",IF(INDEX(原始資料!K$2:K$501,$BJ275)="","",INDEX(原始資料!K$2:K$501,$BJ275)))</f>
        <v/>
      </c>
      <c r="J275" s="6">
        <f>IF(OR($BJ275="",9&gt;設定!$B$3),"",IF(INDEX(原始資料!L$2:L$501,$BJ275)="","",INDEX(原始資料!L$2:L$501,$BJ275)))</f>
        <v/>
      </c>
      <c r="K275" s="6">
        <f>IF(OR($BJ275="",10&gt;設定!$B$3),"",IF(INDEX(原始資料!M$2:M$501,$BJ275)="","",INDEX(原始資料!M$2:M$501,$BJ275)))</f>
        <v/>
      </c>
      <c r="L275" s="6">
        <f>IF(OR($BJ275="",11&gt;設定!$B$3),"",IF(INDEX(原始資料!N$2:N$501,$BJ275)="","",INDEX(原始資料!N$2:N$501,$BJ275)))</f>
        <v/>
      </c>
      <c r="M275" s="6">
        <f>IF(OR($BJ275="",12&gt;設定!$B$3),"",IF(INDEX(原始資料!O$2:O$501,$BJ275)="","",INDEX(原始資料!O$2:O$501,$BJ275)))</f>
        <v/>
      </c>
      <c r="N275" s="6">
        <f>IF(OR($BJ275="",13&gt;設定!$B$3),"",IF(INDEX(原始資料!P$2:P$501,$BJ275)="","",INDEX(原始資料!P$2:P$501,$BJ275)))</f>
        <v/>
      </c>
      <c r="O275" s="6">
        <f>IF(OR($BJ275="",14&gt;設定!$B$3),"",IF(INDEX(原始資料!Q$2:Q$501,$BJ275)="","",INDEX(原始資料!Q$2:Q$501,$BJ275)))</f>
        <v/>
      </c>
      <c r="P275" s="6">
        <f>IF(OR($BJ275="",15&gt;設定!$B$3),"",IF(INDEX(原始資料!R$2:R$501,$BJ275)="","",INDEX(原始資料!R$2:R$501,$BJ275)))</f>
        <v/>
      </c>
      <c r="Q275" s="6">
        <f>IF(OR($BJ275="",16&gt;設定!$B$3),"",IF(INDEX(原始資料!S$2:S$501,$BJ275)="","",INDEX(原始資料!S$2:S$501,$BJ275)))</f>
        <v/>
      </c>
      <c r="R275" s="6">
        <f>IF(OR($BJ275="",17&gt;設定!$B$3),"",IF(INDEX(原始資料!T$2:T$501,$BJ275)="","",INDEX(原始資料!T$2:T$501,$BJ275)))</f>
        <v/>
      </c>
      <c r="S275" s="6">
        <f>IF(OR($BJ275="",18&gt;設定!$B$3),"",IF(INDEX(原始資料!U$2:U$501,$BJ275)="","",INDEX(原始資料!U$2:U$501,$BJ275)))</f>
        <v/>
      </c>
      <c r="T275" s="6">
        <f>IF(OR($BJ275="",19&gt;設定!$B$3),"",IF(INDEX(原始資料!V$2:V$501,$BJ275)="","",INDEX(原始資料!V$2:V$501,$BJ275)))</f>
        <v/>
      </c>
      <c r="U275" s="6">
        <f>IF(OR($BJ275="",20&gt;設定!$B$3),"",IF(INDEX(原始資料!W$2:W$501,$BJ275)="","",INDEX(原始資料!W$2:W$501,$BJ275)))</f>
        <v/>
      </c>
      <c r="V275" s="6">
        <f>IF(OR($BJ275="",21&gt;設定!$B$3),"",IF(INDEX(原始資料!X$2:X$501,$BJ275)="","",INDEX(原始資料!X$2:X$501,$BJ275)))</f>
        <v/>
      </c>
      <c r="W275" s="6">
        <f>IF(OR($BJ275="",22&gt;設定!$B$3),"",IF(INDEX(原始資料!Y$2:Y$501,$BJ275)="","",INDEX(原始資料!Y$2:Y$501,$BJ275)))</f>
        <v/>
      </c>
      <c r="X275" s="6">
        <f>IF(OR($BJ275="",23&gt;設定!$B$3),"",IF(INDEX(原始資料!Z$2:Z$501,$BJ275)="","",INDEX(原始資料!Z$2:Z$501,$BJ275)))</f>
        <v/>
      </c>
      <c r="Y275" s="6">
        <f>IF(OR($BJ275="",24&gt;設定!$B$3),"",IF(INDEX(原始資料!AA$2:AA$501,$BJ275)="","",INDEX(原始資料!AA$2:AA$501,$BJ275)))</f>
        <v/>
      </c>
      <c r="Z275" s="6">
        <f>IF(OR($BJ275="",25&gt;設定!$B$3),"",IF(INDEX(原始資料!AB$2:AB$501,$BJ275)="","",INDEX(原始資料!AB$2:AB$501,$BJ275)))</f>
        <v/>
      </c>
      <c r="AA275" s="6">
        <f>IF(OR($BJ275="",26&gt;設定!$B$3),"",IF(INDEX(原始資料!AC$2:AC$501,$BJ275)="","",INDEX(原始資料!AC$2:AC$501,$BJ275)))</f>
        <v/>
      </c>
      <c r="AB275" s="6">
        <f>IF(OR($BJ275="",27&gt;設定!$B$3),"",IF(INDEX(原始資料!AD$2:AD$501,$BJ275)="","",INDEX(原始資料!AD$2:AD$501,$BJ275)))</f>
        <v/>
      </c>
      <c r="AC275" s="6">
        <f>IF(OR($BJ275="",28&gt;設定!$B$3),"",IF(INDEX(原始資料!AE$2:AE$501,$BJ275)="","",INDEX(原始資料!AE$2:AE$501,$BJ275)))</f>
        <v/>
      </c>
      <c r="AD275" s="6">
        <f>IF(OR($BJ275="",29&gt;設定!$B$3),"",IF(INDEX(原始資料!AF$2:AF$501,$BJ275)="","",INDEX(原始資料!AF$2:AF$501,$BJ275)))</f>
        <v/>
      </c>
      <c r="AE275" s="6">
        <f>IF(OR($BJ275="",30&gt;設定!$B$3),"",IF(INDEX(原始資料!AG$2:AG$501,$BJ275)="","",INDEX(原始資料!AG$2:AG$501,$BJ275)))</f>
        <v/>
      </c>
      <c r="AF275" s="6">
        <f>IF(OR($BJ275="",31&gt;設定!$B$3),"",IF(INDEX(原始資料!AH$2:AH$501,$BJ275)="","",INDEX(原始資料!AH$2:AH$501,$BJ275)))</f>
        <v/>
      </c>
      <c r="AG275" s="6">
        <f>IF(OR($BJ275="",32&gt;設定!$B$3),"",IF(INDEX(原始資料!AI$2:AI$501,$BJ275)="","",INDEX(原始資料!AI$2:AI$501,$BJ275)))</f>
        <v/>
      </c>
      <c r="AH275" s="6">
        <f>IF(OR($BJ275="",33&gt;設定!$B$3),"",IF(INDEX(原始資料!AJ$2:AJ$501,$BJ275)="","",INDEX(原始資料!AJ$2:AJ$501,$BJ275)))</f>
        <v/>
      </c>
      <c r="AI275" s="6">
        <f>IF(OR($BJ275="",34&gt;設定!$B$3),"",IF(INDEX(原始資料!AK$2:AK$501,$BJ275)="","",INDEX(原始資料!AK$2:AK$501,$BJ275)))</f>
        <v/>
      </c>
      <c r="AJ275" s="6">
        <f>IF(OR($BJ275="",35&gt;設定!$B$3),"",IF(INDEX(原始資料!AL$2:AL$501,$BJ275)="","",INDEX(原始資料!AL$2:AL$501,$BJ275)))</f>
        <v/>
      </c>
      <c r="AK275" s="6">
        <f>IF(OR($BJ275="",36&gt;設定!$B$3),"",IF(INDEX(原始資料!AM$2:AM$501,$BJ275)="","",INDEX(原始資料!AM$2:AM$501,$BJ275)))</f>
        <v/>
      </c>
      <c r="AL275" s="6">
        <f>IF(OR($BJ275="",37&gt;設定!$B$3),"",IF(INDEX(原始資料!AN$2:AN$501,$BJ275)="","",INDEX(原始資料!AN$2:AN$501,$BJ275)))</f>
        <v/>
      </c>
      <c r="AM275" s="6">
        <f>IF(OR($BJ275="",38&gt;設定!$B$3),"",IF(INDEX(原始資料!AO$2:AO$501,$BJ275)="","",INDEX(原始資料!AO$2:AO$501,$BJ275)))</f>
        <v/>
      </c>
      <c r="AN275" s="6">
        <f>IF(OR($BJ275="",39&gt;設定!$B$3),"",IF(INDEX(原始資料!AP$2:AP$501,$BJ275)="","",INDEX(原始資料!AP$2:AP$501,$BJ275)))</f>
        <v/>
      </c>
      <c r="AO275" s="6">
        <f>IF(OR($BJ275="",40&gt;設定!$B$3),"",IF(INDEX(原始資料!AQ$2:AQ$501,$BJ275)="","",INDEX(原始資料!AQ$2:AQ$501,$BJ275)))</f>
        <v/>
      </c>
      <c r="AP275" s="6">
        <f>IF(OR($BJ275="",41&gt;設定!$B$3),"",IF(INDEX(原始資料!AR$2:AR$501,$BJ275)="","",INDEX(原始資料!AR$2:AR$501,$BJ275)))</f>
        <v/>
      </c>
      <c r="AQ275" s="6">
        <f>IF(OR($BJ275="",42&gt;設定!$B$3),"",IF(INDEX(原始資料!AS$2:AS$501,$BJ275)="","",INDEX(原始資料!AS$2:AS$501,$BJ275)))</f>
        <v/>
      </c>
      <c r="AR275" s="6">
        <f>IF(OR($BJ275="",43&gt;設定!$B$3),"",IF(INDEX(原始資料!AT$2:AT$501,$BJ275)="","",INDEX(原始資料!AT$2:AT$501,$BJ275)))</f>
        <v/>
      </c>
      <c r="AS275" s="6">
        <f>IF(OR($BJ275="",44&gt;設定!$B$3),"",IF(INDEX(原始資料!AU$2:AU$501,$BJ275)="","",INDEX(原始資料!AU$2:AU$501,$BJ275)))</f>
        <v/>
      </c>
      <c r="AT275" s="6">
        <f>IF(OR($BJ275="",45&gt;設定!$B$3),"",IF(INDEX(原始資料!AV$2:AV$501,$BJ275)="","",INDEX(原始資料!AV$2:AV$501,$BJ275)))</f>
        <v/>
      </c>
      <c r="AU275" s="6">
        <f>IF(OR($BJ275="",46&gt;設定!$B$3),"",IF(INDEX(原始資料!AW$2:AW$501,$BJ275)="","",INDEX(原始資料!AW$2:AW$501,$BJ275)))</f>
        <v/>
      </c>
      <c r="AV275" s="6">
        <f>IF(OR($BJ275="",47&gt;設定!$B$3),"",IF(INDEX(原始資料!AX$2:AX$501,$BJ275)="","",INDEX(原始資料!AX$2:AX$501,$BJ275)))</f>
        <v/>
      </c>
      <c r="AW275" s="6">
        <f>IF(OR($BJ275="",48&gt;設定!$B$3),"",IF(INDEX(原始資料!AY$2:AY$501,$BJ275)="","",INDEX(原始資料!AY$2:AY$501,$BJ275)))</f>
        <v/>
      </c>
      <c r="AX275" s="6">
        <f>IF(OR($BJ275="",49&gt;設定!$B$3),"",IF(INDEX(原始資料!AZ$2:AZ$501,$BJ275)="","",INDEX(原始資料!AZ$2:AZ$501,$BJ275)))</f>
        <v/>
      </c>
      <c r="AY275" s="6">
        <f>IF(OR($BJ275="",50&gt;設定!$B$3),"",IF(INDEX(原始資料!BA$2:BA$501,$BJ275)="","",INDEX(原始資料!BA$2:BA$501,$BJ275)))</f>
        <v/>
      </c>
      <c r="AZ275" s="6">
        <f>IF(OR($BJ275="",51&gt;設定!$B$3),"",IF(INDEX(原始資料!BB$2:BB$501,$BJ275)="","",INDEX(原始資料!BB$2:BB$501,$BJ275)))</f>
        <v/>
      </c>
      <c r="BA275" s="6">
        <f>IF(OR($BJ275="",52&gt;設定!$B$3),"",IF(INDEX(原始資料!BC$2:BC$501,$BJ275)="","",INDEX(原始資料!BC$2:BC$501,$BJ275)))</f>
        <v/>
      </c>
      <c r="BB275" s="6">
        <f>IF(OR($BJ275="",53&gt;設定!$B$3),"",IF(INDEX(原始資料!BD$2:BD$501,$BJ275)="","",INDEX(原始資料!BD$2:BD$501,$BJ275)))</f>
        <v/>
      </c>
      <c r="BC275" s="6">
        <f>IF(OR($BJ275="",54&gt;設定!$B$3),"",IF(INDEX(原始資料!BE$2:BE$501,$BJ275)="","",INDEX(原始資料!BE$2:BE$501,$BJ275)))</f>
        <v/>
      </c>
      <c r="BD275" s="6">
        <f>IF(OR($BJ275="",55&gt;設定!$B$3),"",IF(INDEX(原始資料!BF$2:BF$501,$BJ275)="","",INDEX(原始資料!BF$2:BF$501,$BJ275)))</f>
        <v/>
      </c>
      <c r="BE275" s="6">
        <f>IF(OR($BJ275="",56&gt;設定!$B$3),"",IF(INDEX(原始資料!BG$2:BG$501,$BJ275)="","",INDEX(原始資料!BG$2:BG$501,$BJ275)))</f>
        <v/>
      </c>
      <c r="BF275" s="6">
        <f>IF(OR($BJ275="",57&gt;設定!$B$3),"",IF(INDEX(原始資料!BH$2:BH$501,$BJ275)="","",INDEX(原始資料!BH$2:BH$501,$BJ275)))</f>
        <v/>
      </c>
      <c r="BG275" s="6">
        <f>IF(OR($BJ275="",58&gt;設定!$B$3),"",IF(INDEX(原始資料!BI$2:BI$501,$BJ275)="","",INDEX(原始資料!BI$2:BI$501,$BJ275)))</f>
        <v/>
      </c>
      <c r="BH275" s="6">
        <f>IF(OR($BJ275="",59&gt;設定!$B$3),"",IF(INDEX(原始資料!BJ$2:BJ$501,$BJ275)="","",INDEX(原始資料!BJ$2:BJ$501,$BJ275)))</f>
        <v/>
      </c>
      <c r="BI275" s="6">
        <f>IF(OR($BJ275="",60&gt;設定!$B$3),"",IF(INDEX(原始資料!BK$2:BK$501,$BJ275)="","",INDEX(原始資料!BK$2:BK$501,$BJ275)))</f>
        <v/>
      </c>
      <c r="BJ275" s="6">
        <f>IFERROR(MATCH(ROW()-1,判定!$H$2:$H$501,0),"")</f>
        <v/>
      </c>
    </row>
    <row r="276">
      <c r="A276" s="6">
        <f>IF($BJ276="","",INDEX(原始資料!$A$2:$A$501,$BJ276))</f>
        <v/>
      </c>
      <c r="B276" s="6">
        <f>IF(OR($BJ276="",1&gt;設定!$B$3),"",IF(INDEX(原始資料!D$2:D$501,$BJ276)="","",INDEX(原始資料!D$2:D$501,$BJ276)))</f>
        <v/>
      </c>
      <c r="C276" s="6">
        <f>IF(OR($BJ276="",2&gt;設定!$B$3),"",IF(INDEX(原始資料!E$2:E$501,$BJ276)="","",INDEX(原始資料!E$2:E$501,$BJ276)))</f>
        <v/>
      </c>
      <c r="D276" s="6">
        <f>IF(OR($BJ276="",3&gt;設定!$B$3),"",IF(INDEX(原始資料!F$2:F$501,$BJ276)="","",INDEX(原始資料!F$2:F$501,$BJ276)))</f>
        <v/>
      </c>
      <c r="E276" s="6">
        <f>IF(OR($BJ276="",4&gt;設定!$B$3),"",IF(INDEX(原始資料!G$2:G$501,$BJ276)="","",INDEX(原始資料!G$2:G$501,$BJ276)))</f>
        <v/>
      </c>
      <c r="F276" s="6">
        <f>IF(OR($BJ276="",5&gt;設定!$B$3),"",IF(INDEX(原始資料!H$2:H$501,$BJ276)="","",INDEX(原始資料!H$2:H$501,$BJ276)))</f>
        <v/>
      </c>
      <c r="G276" s="6">
        <f>IF(OR($BJ276="",6&gt;設定!$B$3),"",IF(INDEX(原始資料!I$2:I$501,$BJ276)="","",INDEX(原始資料!I$2:I$501,$BJ276)))</f>
        <v/>
      </c>
      <c r="H276" s="6">
        <f>IF(OR($BJ276="",7&gt;設定!$B$3),"",IF(INDEX(原始資料!J$2:J$501,$BJ276)="","",INDEX(原始資料!J$2:J$501,$BJ276)))</f>
        <v/>
      </c>
      <c r="I276" s="6">
        <f>IF(OR($BJ276="",8&gt;設定!$B$3),"",IF(INDEX(原始資料!K$2:K$501,$BJ276)="","",INDEX(原始資料!K$2:K$501,$BJ276)))</f>
        <v/>
      </c>
      <c r="J276" s="6">
        <f>IF(OR($BJ276="",9&gt;設定!$B$3),"",IF(INDEX(原始資料!L$2:L$501,$BJ276)="","",INDEX(原始資料!L$2:L$501,$BJ276)))</f>
        <v/>
      </c>
      <c r="K276" s="6">
        <f>IF(OR($BJ276="",10&gt;設定!$B$3),"",IF(INDEX(原始資料!M$2:M$501,$BJ276)="","",INDEX(原始資料!M$2:M$501,$BJ276)))</f>
        <v/>
      </c>
      <c r="L276" s="6">
        <f>IF(OR($BJ276="",11&gt;設定!$B$3),"",IF(INDEX(原始資料!N$2:N$501,$BJ276)="","",INDEX(原始資料!N$2:N$501,$BJ276)))</f>
        <v/>
      </c>
      <c r="M276" s="6">
        <f>IF(OR($BJ276="",12&gt;設定!$B$3),"",IF(INDEX(原始資料!O$2:O$501,$BJ276)="","",INDEX(原始資料!O$2:O$501,$BJ276)))</f>
        <v/>
      </c>
      <c r="N276" s="6">
        <f>IF(OR($BJ276="",13&gt;設定!$B$3),"",IF(INDEX(原始資料!P$2:P$501,$BJ276)="","",INDEX(原始資料!P$2:P$501,$BJ276)))</f>
        <v/>
      </c>
      <c r="O276" s="6">
        <f>IF(OR($BJ276="",14&gt;設定!$B$3),"",IF(INDEX(原始資料!Q$2:Q$501,$BJ276)="","",INDEX(原始資料!Q$2:Q$501,$BJ276)))</f>
        <v/>
      </c>
      <c r="P276" s="6">
        <f>IF(OR($BJ276="",15&gt;設定!$B$3),"",IF(INDEX(原始資料!R$2:R$501,$BJ276)="","",INDEX(原始資料!R$2:R$501,$BJ276)))</f>
        <v/>
      </c>
      <c r="Q276" s="6">
        <f>IF(OR($BJ276="",16&gt;設定!$B$3),"",IF(INDEX(原始資料!S$2:S$501,$BJ276)="","",INDEX(原始資料!S$2:S$501,$BJ276)))</f>
        <v/>
      </c>
      <c r="R276" s="6">
        <f>IF(OR($BJ276="",17&gt;設定!$B$3),"",IF(INDEX(原始資料!T$2:T$501,$BJ276)="","",INDEX(原始資料!T$2:T$501,$BJ276)))</f>
        <v/>
      </c>
      <c r="S276" s="6">
        <f>IF(OR($BJ276="",18&gt;設定!$B$3),"",IF(INDEX(原始資料!U$2:U$501,$BJ276)="","",INDEX(原始資料!U$2:U$501,$BJ276)))</f>
        <v/>
      </c>
      <c r="T276" s="6">
        <f>IF(OR($BJ276="",19&gt;設定!$B$3),"",IF(INDEX(原始資料!V$2:V$501,$BJ276)="","",INDEX(原始資料!V$2:V$501,$BJ276)))</f>
        <v/>
      </c>
      <c r="U276" s="6">
        <f>IF(OR($BJ276="",20&gt;設定!$B$3),"",IF(INDEX(原始資料!W$2:W$501,$BJ276)="","",INDEX(原始資料!W$2:W$501,$BJ276)))</f>
        <v/>
      </c>
      <c r="V276" s="6">
        <f>IF(OR($BJ276="",21&gt;設定!$B$3),"",IF(INDEX(原始資料!X$2:X$501,$BJ276)="","",INDEX(原始資料!X$2:X$501,$BJ276)))</f>
        <v/>
      </c>
      <c r="W276" s="6">
        <f>IF(OR($BJ276="",22&gt;設定!$B$3),"",IF(INDEX(原始資料!Y$2:Y$501,$BJ276)="","",INDEX(原始資料!Y$2:Y$501,$BJ276)))</f>
        <v/>
      </c>
      <c r="X276" s="6">
        <f>IF(OR($BJ276="",23&gt;設定!$B$3),"",IF(INDEX(原始資料!Z$2:Z$501,$BJ276)="","",INDEX(原始資料!Z$2:Z$501,$BJ276)))</f>
        <v/>
      </c>
      <c r="Y276" s="6">
        <f>IF(OR($BJ276="",24&gt;設定!$B$3),"",IF(INDEX(原始資料!AA$2:AA$501,$BJ276)="","",INDEX(原始資料!AA$2:AA$501,$BJ276)))</f>
        <v/>
      </c>
      <c r="Z276" s="6">
        <f>IF(OR($BJ276="",25&gt;設定!$B$3),"",IF(INDEX(原始資料!AB$2:AB$501,$BJ276)="","",INDEX(原始資料!AB$2:AB$501,$BJ276)))</f>
        <v/>
      </c>
      <c r="AA276" s="6">
        <f>IF(OR($BJ276="",26&gt;設定!$B$3),"",IF(INDEX(原始資料!AC$2:AC$501,$BJ276)="","",INDEX(原始資料!AC$2:AC$501,$BJ276)))</f>
        <v/>
      </c>
      <c r="AB276" s="6">
        <f>IF(OR($BJ276="",27&gt;設定!$B$3),"",IF(INDEX(原始資料!AD$2:AD$501,$BJ276)="","",INDEX(原始資料!AD$2:AD$501,$BJ276)))</f>
        <v/>
      </c>
      <c r="AC276" s="6">
        <f>IF(OR($BJ276="",28&gt;設定!$B$3),"",IF(INDEX(原始資料!AE$2:AE$501,$BJ276)="","",INDEX(原始資料!AE$2:AE$501,$BJ276)))</f>
        <v/>
      </c>
      <c r="AD276" s="6">
        <f>IF(OR($BJ276="",29&gt;設定!$B$3),"",IF(INDEX(原始資料!AF$2:AF$501,$BJ276)="","",INDEX(原始資料!AF$2:AF$501,$BJ276)))</f>
        <v/>
      </c>
      <c r="AE276" s="6">
        <f>IF(OR($BJ276="",30&gt;設定!$B$3),"",IF(INDEX(原始資料!AG$2:AG$501,$BJ276)="","",INDEX(原始資料!AG$2:AG$501,$BJ276)))</f>
        <v/>
      </c>
      <c r="AF276" s="6">
        <f>IF(OR($BJ276="",31&gt;設定!$B$3),"",IF(INDEX(原始資料!AH$2:AH$501,$BJ276)="","",INDEX(原始資料!AH$2:AH$501,$BJ276)))</f>
        <v/>
      </c>
      <c r="AG276" s="6">
        <f>IF(OR($BJ276="",32&gt;設定!$B$3),"",IF(INDEX(原始資料!AI$2:AI$501,$BJ276)="","",INDEX(原始資料!AI$2:AI$501,$BJ276)))</f>
        <v/>
      </c>
      <c r="AH276" s="6">
        <f>IF(OR($BJ276="",33&gt;設定!$B$3),"",IF(INDEX(原始資料!AJ$2:AJ$501,$BJ276)="","",INDEX(原始資料!AJ$2:AJ$501,$BJ276)))</f>
        <v/>
      </c>
      <c r="AI276" s="6">
        <f>IF(OR($BJ276="",34&gt;設定!$B$3),"",IF(INDEX(原始資料!AK$2:AK$501,$BJ276)="","",INDEX(原始資料!AK$2:AK$501,$BJ276)))</f>
        <v/>
      </c>
      <c r="AJ276" s="6">
        <f>IF(OR($BJ276="",35&gt;設定!$B$3),"",IF(INDEX(原始資料!AL$2:AL$501,$BJ276)="","",INDEX(原始資料!AL$2:AL$501,$BJ276)))</f>
        <v/>
      </c>
      <c r="AK276" s="6">
        <f>IF(OR($BJ276="",36&gt;設定!$B$3),"",IF(INDEX(原始資料!AM$2:AM$501,$BJ276)="","",INDEX(原始資料!AM$2:AM$501,$BJ276)))</f>
        <v/>
      </c>
      <c r="AL276" s="6">
        <f>IF(OR($BJ276="",37&gt;設定!$B$3),"",IF(INDEX(原始資料!AN$2:AN$501,$BJ276)="","",INDEX(原始資料!AN$2:AN$501,$BJ276)))</f>
        <v/>
      </c>
      <c r="AM276" s="6">
        <f>IF(OR($BJ276="",38&gt;設定!$B$3),"",IF(INDEX(原始資料!AO$2:AO$501,$BJ276)="","",INDEX(原始資料!AO$2:AO$501,$BJ276)))</f>
        <v/>
      </c>
      <c r="AN276" s="6">
        <f>IF(OR($BJ276="",39&gt;設定!$B$3),"",IF(INDEX(原始資料!AP$2:AP$501,$BJ276)="","",INDEX(原始資料!AP$2:AP$501,$BJ276)))</f>
        <v/>
      </c>
      <c r="AO276" s="6">
        <f>IF(OR($BJ276="",40&gt;設定!$B$3),"",IF(INDEX(原始資料!AQ$2:AQ$501,$BJ276)="","",INDEX(原始資料!AQ$2:AQ$501,$BJ276)))</f>
        <v/>
      </c>
      <c r="AP276" s="6">
        <f>IF(OR($BJ276="",41&gt;設定!$B$3),"",IF(INDEX(原始資料!AR$2:AR$501,$BJ276)="","",INDEX(原始資料!AR$2:AR$501,$BJ276)))</f>
        <v/>
      </c>
      <c r="AQ276" s="6">
        <f>IF(OR($BJ276="",42&gt;設定!$B$3),"",IF(INDEX(原始資料!AS$2:AS$501,$BJ276)="","",INDEX(原始資料!AS$2:AS$501,$BJ276)))</f>
        <v/>
      </c>
      <c r="AR276" s="6">
        <f>IF(OR($BJ276="",43&gt;設定!$B$3),"",IF(INDEX(原始資料!AT$2:AT$501,$BJ276)="","",INDEX(原始資料!AT$2:AT$501,$BJ276)))</f>
        <v/>
      </c>
      <c r="AS276" s="6">
        <f>IF(OR($BJ276="",44&gt;設定!$B$3),"",IF(INDEX(原始資料!AU$2:AU$501,$BJ276)="","",INDEX(原始資料!AU$2:AU$501,$BJ276)))</f>
        <v/>
      </c>
      <c r="AT276" s="6">
        <f>IF(OR($BJ276="",45&gt;設定!$B$3),"",IF(INDEX(原始資料!AV$2:AV$501,$BJ276)="","",INDEX(原始資料!AV$2:AV$501,$BJ276)))</f>
        <v/>
      </c>
      <c r="AU276" s="6">
        <f>IF(OR($BJ276="",46&gt;設定!$B$3),"",IF(INDEX(原始資料!AW$2:AW$501,$BJ276)="","",INDEX(原始資料!AW$2:AW$501,$BJ276)))</f>
        <v/>
      </c>
      <c r="AV276" s="6">
        <f>IF(OR($BJ276="",47&gt;設定!$B$3),"",IF(INDEX(原始資料!AX$2:AX$501,$BJ276)="","",INDEX(原始資料!AX$2:AX$501,$BJ276)))</f>
        <v/>
      </c>
      <c r="AW276" s="6">
        <f>IF(OR($BJ276="",48&gt;設定!$B$3),"",IF(INDEX(原始資料!AY$2:AY$501,$BJ276)="","",INDEX(原始資料!AY$2:AY$501,$BJ276)))</f>
        <v/>
      </c>
      <c r="AX276" s="6">
        <f>IF(OR($BJ276="",49&gt;設定!$B$3),"",IF(INDEX(原始資料!AZ$2:AZ$501,$BJ276)="","",INDEX(原始資料!AZ$2:AZ$501,$BJ276)))</f>
        <v/>
      </c>
      <c r="AY276" s="6">
        <f>IF(OR($BJ276="",50&gt;設定!$B$3),"",IF(INDEX(原始資料!BA$2:BA$501,$BJ276)="","",INDEX(原始資料!BA$2:BA$501,$BJ276)))</f>
        <v/>
      </c>
      <c r="AZ276" s="6">
        <f>IF(OR($BJ276="",51&gt;設定!$B$3),"",IF(INDEX(原始資料!BB$2:BB$501,$BJ276)="","",INDEX(原始資料!BB$2:BB$501,$BJ276)))</f>
        <v/>
      </c>
      <c r="BA276" s="6">
        <f>IF(OR($BJ276="",52&gt;設定!$B$3),"",IF(INDEX(原始資料!BC$2:BC$501,$BJ276)="","",INDEX(原始資料!BC$2:BC$501,$BJ276)))</f>
        <v/>
      </c>
      <c r="BB276" s="6">
        <f>IF(OR($BJ276="",53&gt;設定!$B$3),"",IF(INDEX(原始資料!BD$2:BD$501,$BJ276)="","",INDEX(原始資料!BD$2:BD$501,$BJ276)))</f>
        <v/>
      </c>
      <c r="BC276" s="6">
        <f>IF(OR($BJ276="",54&gt;設定!$B$3),"",IF(INDEX(原始資料!BE$2:BE$501,$BJ276)="","",INDEX(原始資料!BE$2:BE$501,$BJ276)))</f>
        <v/>
      </c>
      <c r="BD276" s="6">
        <f>IF(OR($BJ276="",55&gt;設定!$B$3),"",IF(INDEX(原始資料!BF$2:BF$501,$BJ276)="","",INDEX(原始資料!BF$2:BF$501,$BJ276)))</f>
        <v/>
      </c>
      <c r="BE276" s="6">
        <f>IF(OR($BJ276="",56&gt;設定!$B$3),"",IF(INDEX(原始資料!BG$2:BG$501,$BJ276)="","",INDEX(原始資料!BG$2:BG$501,$BJ276)))</f>
        <v/>
      </c>
      <c r="BF276" s="6">
        <f>IF(OR($BJ276="",57&gt;設定!$B$3),"",IF(INDEX(原始資料!BH$2:BH$501,$BJ276)="","",INDEX(原始資料!BH$2:BH$501,$BJ276)))</f>
        <v/>
      </c>
      <c r="BG276" s="6">
        <f>IF(OR($BJ276="",58&gt;設定!$B$3),"",IF(INDEX(原始資料!BI$2:BI$501,$BJ276)="","",INDEX(原始資料!BI$2:BI$501,$BJ276)))</f>
        <v/>
      </c>
      <c r="BH276" s="6">
        <f>IF(OR($BJ276="",59&gt;設定!$B$3),"",IF(INDEX(原始資料!BJ$2:BJ$501,$BJ276)="","",INDEX(原始資料!BJ$2:BJ$501,$BJ276)))</f>
        <v/>
      </c>
      <c r="BI276" s="6">
        <f>IF(OR($BJ276="",60&gt;設定!$B$3),"",IF(INDEX(原始資料!BK$2:BK$501,$BJ276)="","",INDEX(原始資料!BK$2:BK$501,$BJ276)))</f>
        <v/>
      </c>
      <c r="BJ276" s="6">
        <f>IFERROR(MATCH(ROW()-1,判定!$H$2:$H$501,0),"")</f>
        <v/>
      </c>
    </row>
    <row r="277">
      <c r="A277" s="6">
        <f>IF($BJ277="","",INDEX(原始資料!$A$2:$A$501,$BJ277))</f>
        <v/>
      </c>
      <c r="B277" s="6">
        <f>IF(OR($BJ277="",1&gt;設定!$B$3),"",IF(INDEX(原始資料!D$2:D$501,$BJ277)="","",INDEX(原始資料!D$2:D$501,$BJ277)))</f>
        <v/>
      </c>
      <c r="C277" s="6">
        <f>IF(OR($BJ277="",2&gt;設定!$B$3),"",IF(INDEX(原始資料!E$2:E$501,$BJ277)="","",INDEX(原始資料!E$2:E$501,$BJ277)))</f>
        <v/>
      </c>
      <c r="D277" s="6">
        <f>IF(OR($BJ277="",3&gt;設定!$B$3),"",IF(INDEX(原始資料!F$2:F$501,$BJ277)="","",INDEX(原始資料!F$2:F$501,$BJ277)))</f>
        <v/>
      </c>
      <c r="E277" s="6">
        <f>IF(OR($BJ277="",4&gt;設定!$B$3),"",IF(INDEX(原始資料!G$2:G$501,$BJ277)="","",INDEX(原始資料!G$2:G$501,$BJ277)))</f>
        <v/>
      </c>
      <c r="F277" s="6">
        <f>IF(OR($BJ277="",5&gt;設定!$B$3),"",IF(INDEX(原始資料!H$2:H$501,$BJ277)="","",INDEX(原始資料!H$2:H$501,$BJ277)))</f>
        <v/>
      </c>
      <c r="G277" s="6">
        <f>IF(OR($BJ277="",6&gt;設定!$B$3),"",IF(INDEX(原始資料!I$2:I$501,$BJ277)="","",INDEX(原始資料!I$2:I$501,$BJ277)))</f>
        <v/>
      </c>
      <c r="H277" s="6">
        <f>IF(OR($BJ277="",7&gt;設定!$B$3),"",IF(INDEX(原始資料!J$2:J$501,$BJ277)="","",INDEX(原始資料!J$2:J$501,$BJ277)))</f>
        <v/>
      </c>
      <c r="I277" s="6">
        <f>IF(OR($BJ277="",8&gt;設定!$B$3),"",IF(INDEX(原始資料!K$2:K$501,$BJ277)="","",INDEX(原始資料!K$2:K$501,$BJ277)))</f>
        <v/>
      </c>
      <c r="J277" s="6">
        <f>IF(OR($BJ277="",9&gt;設定!$B$3),"",IF(INDEX(原始資料!L$2:L$501,$BJ277)="","",INDEX(原始資料!L$2:L$501,$BJ277)))</f>
        <v/>
      </c>
      <c r="K277" s="6">
        <f>IF(OR($BJ277="",10&gt;設定!$B$3),"",IF(INDEX(原始資料!M$2:M$501,$BJ277)="","",INDEX(原始資料!M$2:M$501,$BJ277)))</f>
        <v/>
      </c>
      <c r="L277" s="6">
        <f>IF(OR($BJ277="",11&gt;設定!$B$3),"",IF(INDEX(原始資料!N$2:N$501,$BJ277)="","",INDEX(原始資料!N$2:N$501,$BJ277)))</f>
        <v/>
      </c>
      <c r="M277" s="6">
        <f>IF(OR($BJ277="",12&gt;設定!$B$3),"",IF(INDEX(原始資料!O$2:O$501,$BJ277)="","",INDEX(原始資料!O$2:O$501,$BJ277)))</f>
        <v/>
      </c>
      <c r="N277" s="6">
        <f>IF(OR($BJ277="",13&gt;設定!$B$3),"",IF(INDEX(原始資料!P$2:P$501,$BJ277)="","",INDEX(原始資料!P$2:P$501,$BJ277)))</f>
        <v/>
      </c>
      <c r="O277" s="6">
        <f>IF(OR($BJ277="",14&gt;設定!$B$3),"",IF(INDEX(原始資料!Q$2:Q$501,$BJ277)="","",INDEX(原始資料!Q$2:Q$501,$BJ277)))</f>
        <v/>
      </c>
      <c r="P277" s="6">
        <f>IF(OR($BJ277="",15&gt;設定!$B$3),"",IF(INDEX(原始資料!R$2:R$501,$BJ277)="","",INDEX(原始資料!R$2:R$501,$BJ277)))</f>
        <v/>
      </c>
      <c r="Q277" s="6">
        <f>IF(OR($BJ277="",16&gt;設定!$B$3),"",IF(INDEX(原始資料!S$2:S$501,$BJ277)="","",INDEX(原始資料!S$2:S$501,$BJ277)))</f>
        <v/>
      </c>
      <c r="R277" s="6">
        <f>IF(OR($BJ277="",17&gt;設定!$B$3),"",IF(INDEX(原始資料!T$2:T$501,$BJ277)="","",INDEX(原始資料!T$2:T$501,$BJ277)))</f>
        <v/>
      </c>
      <c r="S277" s="6">
        <f>IF(OR($BJ277="",18&gt;設定!$B$3),"",IF(INDEX(原始資料!U$2:U$501,$BJ277)="","",INDEX(原始資料!U$2:U$501,$BJ277)))</f>
        <v/>
      </c>
      <c r="T277" s="6">
        <f>IF(OR($BJ277="",19&gt;設定!$B$3),"",IF(INDEX(原始資料!V$2:V$501,$BJ277)="","",INDEX(原始資料!V$2:V$501,$BJ277)))</f>
        <v/>
      </c>
      <c r="U277" s="6">
        <f>IF(OR($BJ277="",20&gt;設定!$B$3),"",IF(INDEX(原始資料!W$2:W$501,$BJ277)="","",INDEX(原始資料!W$2:W$501,$BJ277)))</f>
        <v/>
      </c>
      <c r="V277" s="6">
        <f>IF(OR($BJ277="",21&gt;設定!$B$3),"",IF(INDEX(原始資料!X$2:X$501,$BJ277)="","",INDEX(原始資料!X$2:X$501,$BJ277)))</f>
        <v/>
      </c>
      <c r="W277" s="6">
        <f>IF(OR($BJ277="",22&gt;設定!$B$3),"",IF(INDEX(原始資料!Y$2:Y$501,$BJ277)="","",INDEX(原始資料!Y$2:Y$501,$BJ277)))</f>
        <v/>
      </c>
      <c r="X277" s="6">
        <f>IF(OR($BJ277="",23&gt;設定!$B$3),"",IF(INDEX(原始資料!Z$2:Z$501,$BJ277)="","",INDEX(原始資料!Z$2:Z$501,$BJ277)))</f>
        <v/>
      </c>
      <c r="Y277" s="6">
        <f>IF(OR($BJ277="",24&gt;設定!$B$3),"",IF(INDEX(原始資料!AA$2:AA$501,$BJ277)="","",INDEX(原始資料!AA$2:AA$501,$BJ277)))</f>
        <v/>
      </c>
      <c r="Z277" s="6">
        <f>IF(OR($BJ277="",25&gt;設定!$B$3),"",IF(INDEX(原始資料!AB$2:AB$501,$BJ277)="","",INDEX(原始資料!AB$2:AB$501,$BJ277)))</f>
        <v/>
      </c>
      <c r="AA277" s="6">
        <f>IF(OR($BJ277="",26&gt;設定!$B$3),"",IF(INDEX(原始資料!AC$2:AC$501,$BJ277)="","",INDEX(原始資料!AC$2:AC$501,$BJ277)))</f>
        <v/>
      </c>
      <c r="AB277" s="6">
        <f>IF(OR($BJ277="",27&gt;設定!$B$3),"",IF(INDEX(原始資料!AD$2:AD$501,$BJ277)="","",INDEX(原始資料!AD$2:AD$501,$BJ277)))</f>
        <v/>
      </c>
      <c r="AC277" s="6">
        <f>IF(OR($BJ277="",28&gt;設定!$B$3),"",IF(INDEX(原始資料!AE$2:AE$501,$BJ277)="","",INDEX(原始資料!AE$2:AE$501,$BJ277)))</f>
        <v/>
      </c>
      <c r="AD277" s="6">
        <f>IF(OR($BJ277="",29&gt;設定!$B$3),"",IF(INDEX(原始資料!AF$2:AF$501,$BJ277)="","",INDEX(原始資料!AF$2:AF$501,$BJ277)))</f>
        <v/>
      </c>
      <c r="AE277" s="6">
        <f>IF(OR($BJ277="",30&gt;設定!$B$3),"",IF(INDEX(原始資料!AG$2:AG$501,$BJ277)="","",INDEX(原始資料!AG$2:AG$501,$BJ277)))</f>
        <v/>
      </c>
      <c r="AF277" s="6">
        <f>IF(OR($BJ277="",31&gt;設定!$B$3),"",IF(INDEX(原始資料!AH$2:AH$501,$BJ277)="","",INDEX(原始資料!AH$2:AH$501,$BJ277)))</f>
        <v/>
      </c>
      <c r="AG277" s="6">
        <f>IF(OR($BJ277="",32&gt;設定!$B$3),"",IF(INDEX(原始資料!AI$2:AI$501,$BJ277)="","",INDEX(原始資料!AI$2:AI$501,$BJ277)))</f>
        <v/>
      </c>
      <c r="AH277" s="6">
        <f>IF(OR($BJ277="",33&gt;設定!$B$3),"",IF(INDEX(原始資料!AJ$2:AJ$501,$BJ277)="","",INDEX(原始資料!AJ$2:AJ$501,$BJ277)))</f>
        <v/>
      </c>
      <c r="AI277" s="6">
        <f>IF(OR($BJ277="",34&gt;設定!$B$3),"",IF(INDEX(原始資料!AK$2:AK$501,$BJ277)="","",INDEX(原始資料!AK$2:AK$501,$BJ277)))</f>
        <v/>
      </c>
      <c r="AJ277" s="6">
        <f>IF(OR($BJ277="",35&gt;設定!$B$3),"",IF(INDEX(原始資料!AL$2:AL$501,$BJ277)="","",INDEX(原始資料!AL$2:AL$501,$BJ277)))</f>
        <v/>
      </c>
      <c r="AK277" s="6">
        <f>IF(OR($BJ277="",36&gt;設定!$B$3),"",IF(INDEX(原始資料!AM$2:AM$501,$BJ277)="","",INDEX(原始資料!AM$2:AM$501,$BJ277)))</f>
        <v/>
      </c>
      <c r="AL277" s="6">
        <f>IF(OR($BJ277="",37&gt;設定!$B$3),"",IF(INDEX(原始資料!AN$2:AN$501,$BJ277)="","",INDEX(原始資料!AN$2:AN$501,$BJ277)))</f>
        <v/>
      </c>
      <c r="AM277" s="6">
        <f>IF(OR($BJ277="",38&gt;設定!$B$3),"",IF(INDEX(原始資料!AO$2:AO$501,$BJ277)="","",INDEX(原始資料!AO$2:AO$501,$BJ277)))</f>
        <v/>
      </c>
      <c r="AN277" s="6">
        <f>IF(OR($BJ277="",39&gt;設定!$B$3),"",IF(INDEX(原始資料!AP$2:AP$501,$BJ277)="","",INDEX(原始資料!AP$2:AP$501,$BJ277)))</f>
        <v/>
      </c>
      <c r="AO277" s="6">
        <f>IF(OR($BJ277="",40&gt;設定!$B$3),"",IF(INDEX(原始資料!AQ$2:AQ$501,$BJ277)="","",INDEX(原始資料!AQ$2:AQ$501,$BJ277)))</f>
        <v/>
      </c>
      <c r="AP277" s="6">
        <f>IF(OR($BJ277="",41&gt;設定!$B$3),"",IF(INDEX(原始資料!AR$2:AR$501,$BJ277)="","",INDEX(原始資料!AR$2:AR$501,$BJ277)))</f>
        <v/>
      </c>
      <c r="AQ277" s="6">
        <f>IF(OR($BJ277="",42&gt;設定!$B$3),"",IF(INDEX(原始資料!AS$2:AS$501,$BJ277)="","",INDEX(原始資料!AS$2:AS$501,$BJ277)))</f>
        <v/>
      </c>
      <c r="AR277" s="6">
        <f>IF(OR($BJ277="",43&gt;設定!$B$3),"",IF(INDEX(原始資料!AT$2:AT$501,$BJ277)="","",INDEX(原始資料!AT$2:AT$501,$BJ277)))</f>
        <v/>
      </c>
      <c r="AS277" s="6">
        <f>IF(OR($BJ277="",44&gt;設定!$B$3),"",IF(INDEX(原始資料!AU$2:AU$501,$BJ277)="","",INDEX(原始資料!AU$2:AU$501,$BJ277)))</f>
        <v/>
      </c>
      <c r="AT277" s="6">
        <f>IF(OR($BJ277="",45&gt;設定!$B$3),"",IF(INDEX(原始資料!AV$2:AV$501,$BJ277)="","",INDEX(原始資料!AV$2:AV$501,$BJ277)))</f>
        <v/>
      </c>
      <c r="AU277" s="6">
        <f>IF(OR($BJ277="",46&gt;設定!$B$3),"",IF(INDEX(原始資料!AW$2:AW$501,$BJ277)="","",INDEX(原始資料!AW$2:AW$501,$BJ277)))</f>
        <v/>
      </c>
      <c r="AV277" s="6">
        <f>IF(OR($BJ277="",47&gt;設定!$B$3),"",IF(INDEX(原始資料!AX$2:AX$501,$BJ277)="","",INDEX(原始資料!AX$2:AX$501,$BJ277)))</f>
        <v/>
      </c>
      <c r="AW277" s="6">
        <f>IF(OR($BJ277="",48&gt;設定!$B$3),"",IF(INDEX(原始資料!AY$2:AY$501,$BJ277)="","",INDEX(原始資料!AY$2:AY$501,$BJ277)))</f>
        <v/>
      </c>
      <c r="AX277" s="6">
        <f>IF(OR($BJ277="",49&gt;設定!$B$3),"",IF(INDEX(原始資料!AZ$2:AZ$501,$BJ277)="","",INDEX(原始資料!AZ$2:AZ$501,$BJ277)))</f>
        <v/>
      </c>
      <c r="AY277" s="6">
        <f>IF(OR($BJ277="",50&gt;設定!$B$3),"",IF(INDEX(原始資料!BA$2:BA$501,$BJ277)="","",INDEX(原始資料!BA$2:BA$501,$BJ277)))</f>
        <v/>
      </c>
      <c r="AZ277" s="6">
        <f>IF(OR($BJ277="",51&gt;設定!$B$3),"",IF(INDEX(原始資料!BB$2:BB$501,$BJ277)="","",INDEX(原始資料!BB$2:BB$501,$BJ277)))</f>
        <v/>
      </c>
      <c r="BA277" s="6">
        <f>IF(OR($BJ277="",52&gt;設定!$B$3),"",IF(INDEX(原始資料!BC$2:BC$501,$BJ277)="","",INDEX(原始資料!BC$2:BC$501,$BJ277)))</f>
        <v/>
      </c>
      <c r="BB277" s="6">
        <f>IF(OR($BJ277="",53&gt;設定!$B$3),"",IF(INDEX(原始資料!BD$2:BD$501,$BJ277)="","",INDEX(原始資料!BD$2:BD$501,$BJ277)))</f>
        <v/>
      </c>
      <c r="BC277" s="6">
        <f>IF(OR($BJ277="",54&gt;設定!$B$3),"",IF(INDEX(原始資料!BE$2:BE$501,$BJ277)="","",INDEX(原始資料!BE$2:BE$501,$BJ277)))</f>
        <v/>
      </c>
      <c r="BD277" s="6">
        <f>IF(OR($BJ277="",55&gt;設定!$B$3),"",IF(INDEX(原始資料!BF$2:BF$501,$BJ277)="","",INDEX(原始資料!BF$2:BF$501,$BJ277)))</f>
        <v/>
      </c>
      <c r="BE277" s="6">
        <f>IF(OR($BJ277="",56&gt;設定!$B$3),"",IF(INDEX(原始資料!BG$2:BG$501,$BJ277)="","",INDEX(原始資料!BG$2:BG$501,$BJ277)))</f>
        <v/>
      </c>
      <c r="BF277" s="6">
        <f>IF(OR($BJ277="",57&gt;設定!$B$3),"",IF(INDEX(原始資料!BH$2:BH$501,$BJ277)="","",INDEX(原始資料!BH$2:BH$501,$BJ277)))</f>
        <v/>
      </c>
      <c r="BG277" s="6">
        <f>IF(OR($BJ277="",58&gt;設定!$B$3),"",IF(INDEX(原始資料!BI$2:BI$501,$BJ277)="","",INDEX(原始資料!BI$2:BI$501,$BJ277)))</f>
        <v/>
      </c>
      <c r="BH277" s="6">
        <f>IF(OR($BJ277="",59&gt;設定!$B$3),"",IF(INDEX(原始資料!BJ$2:BJ$501,$BJ277)="","",INDEX(原始資料!BJ$2:BJ$501,$BJ277)))</f>
        <v/>
      </c>
      <c r="BI277" s="6">
        <f>IF(OR($BJ277="",60&gt;設定!$B$3),"",IF(INDEX(原始資料!BK$2:BK$501,$BJ277)="","",INDEX(原始資料!BK$2:BK$501,$BJ277)))</f>
        <v/>
      </c>
      <c r="BJ277" s="6">
        <f>IFERROR(MATCH(ROW()-1,判定!$H$2:$H$501,0),"")</f>
        <v/>
      </c>
    </row>
    <row r="278">
      <c r="A278" s="6">
        <f>IF($BJ278="","",INDEX(原始資料!$A$2:$A$501,$BJ278))</f>
        <v/>
      </c>
      <c r="B278" s="6">
        <f>IF(OR($BJ278="",1&gt;設定!$B$3),"",IF(INDEX(原始資料!D$2:D$501,$BJ278)="","",INDEX(原始資料!D$2:D$501,$BJ278)))</f>
        <v/>
      </c>
      <c r="C278" s="6">
        <f>IF(OR($BJ278="",2&gt;設定!$B$3),"",IF(INDEX(原始資料!E$2:E$501,$BJ278)="","",INDEX(原始資料!E$2:E$501,$BJ278)))</f>
        <v/>
      </c>
      <c r="D278" s="6">
        <f>IF(OR($BJ278="",3&gt;設定!$B$3),"",IF(INDEX(原始資料!F$2:F$501,$BJ278)="","",INDEX(原始資料!F$2:F$501,$BJ278)))</f>
        <v/>
      </c>
      <c r="E278" s="6">
        <f>IF(OR($BJ278="",4&gt;設定!$B$3),"",IF(INDEX(原始資料!G$2:G$501,$BJ278)="","",INDEX(原始資料!G$2:G$501,$BJ278)))</f>
        <v/>
      </c>
      <c r="F278" s="6">
        <f>IF(OR($BJ278="",5&gt;設定!$B$3),"",IF(INDEX(原始資料!H$2:H$501,$BJ278)="","",INDEX(原始資料!H$2:H$501,$BJ278)))</f>
        <v/>
      </c>
      <c r="G278" s="6">
        <f>IF(OR($BJ278="",6&gt;設定!$B$3),"",IF(INDEX(原始資料!I$2:I$501,$BJ278)="","",INDEX(原始資料!I$2:I$501,$BJ278)))</f>
        <v/>
      </c>
      <c r="H278" s="6">
        <f>IF(OR($BJ278="",7&gt;設定!$B$3),"",IF(INDEX(原始資料!J$2:J$501,$BJ278)="","",INDEX(原始資料!J$2:J$501,$BJ278)))</f>
        <v/>
      </c>
      <c r="I278" s="6">
        <f>IF(OR($BJ278="",8&gt;設定!$B$3),"",IF(INDEX(原始資料!K$2:K$501,$BJ278)="","",INDEX(原始資料!K$2:K$501,$BJ278)))</f>
        <v/>
      </c>
      <c r="J278" s="6">
        <f>IF(OR($BJ278="",9&gt;設定!$B$3),"",IF(INDEX(原始資料!L$2:L$501,$BJ278)="","",INDEX(原始資料!L$2:L$501,$BJ278)))</f>
        <v/>
      </c>
      <c r="K278" s="6">
        <f>IF(OR($BJ278="",10&gt;設定!$B$3),"",IF(INDEX(原始資料!M$2:M$501,$BJ278)="","",INDEX(原始資料!M$2:M$501,$BJ278)))</f>
        <v/>
      </c>
      <c r="L278" s="6">
        <f>IF(OR($BJ278="",11&gt;設定!$B$3),"",IF(INDEX(原始資料!N$2:N$501,$BJ278)="","",INDEX(原始資料!N$2:N$501,$BJ278)))</f>
        <v/>
      </c>
      <c r="M278" s="6">
        <f>IF(OR($BJ278="",12&gt;設定!$B$3),"",IF(INDEX(原始資料!O$2:O$501,$BJ278)="","",INDEX(原始資料!O$2:O$501,$BJ278)))</f>
        <v/>
      </c>
      <c r="N278" s="6">
        <f>IF(OR($BJ278="",13&gt;設定!$B$3),"",IF(INDEX(原始資料!P$2:P$501,$BJ278)="","",INDEX(原始資料!P$2:P$501,$BJ278)))</f>
        <v/>
      </c>
      <c r="O278" s="6">
        <f>IF(OR($BJ278="",14&gt;設定!$B$3),"",IF(INDEX(原始資料!Q$2:Q$501,$BJ278)="","",INDEX(原始資料!Q$2:Q$501,$BJ278)))</f>
        <v/>
      </c>
      <c r="P278" s="6">
        <f>IF(OR($BJ278="",15&gt;設定!$B$3),"",IF(INDEX(原始資料!R$2:R$501,$BJ278)="","",INDEX(原始資料!R$2:R$501,$BJ278)))</f>
        <v/>
      </c>
      <c r="Q278" s="6">
        <f>IF(OR($BJ278="",16&gt;設定!$B$3),"",IF(INDEX(原始資料!S$2:S$501,$BJ278)="","",INDEX(原始資料!S$2:S$501,$BJ278)))</f>
        <v/>
      </c>
      <c r="R278" s="6">
        <f>IF(OR($BJ278="",17&gt;設定!$B$3),"",IF(INDEX(原始資料!T$2:T$501,$BJ278)="","",INDEX(原始資料!T$2:T$501,$BJ278)))</f>
        <v/>
      </c>
      <c r="S278" s="6">
        <f>IF(OR($BJ278="",18&gt;設定!$B$3),"",IF(INDEX(原始資料!U$2:U$501,$BJ278)="","",INDEX(原始資料!U$2:U$501,$BJ278)))</f>
        <v/>
      </c>
      <c r="T278" s="6">
        <f>IF(OR($BJ278="",19&gt;設定!$B$3),"",IF(INDEX(原始資料!V$2:V$501,$BJ278)="","",INDEX(原始資料!V$2:V$501,$BJ278)))</f>
        <v/>
      </c>
      <c r="U278" s="6">
        <f>IF(OR($BJ278="",20&gt;設定!$B$3),"",IF(INDEX(原始資料!W$2:W$501,$BJ278)="","",INDEX(原始資料!W$2:W$501,$BJ278)))</f>
        <v/>
      </c>
      <c r="V278" s="6">
        <f>IF(OR($BJ278="",21&gt;設定!$B$3),"",IF(INDEX(原始資料!X$2:X$501,$BJ278)="","",INDEX(原始資料!X$2:X$501,$BJ278)))</f>
        <v/>
      </c>
      <c r="W278" s="6">
        <f>IF(OR($BJ278="",22&gt;設定!$B$3),"",IF(INDEX(原始資料!Y$2:Y$501,$BJ278)="","",INDEX(原始資料!Y$2:Y$501,$BJ278)))</f>
        <v/>
      </c>
      <c r="X278" s="6">
        <f>IF(OR($BJ278="",23&gt;設定!$B$3),"",IF(INDEX(原始資料!Z$2:Z$501,$BJ278)="","",INDEX(原始資料!Z$2:Z$501,$BJ278)))</f>
        <v/>
      </c>
      <c r="Y278" s="6">
        <f>IF(OR($BJ278="",24&gt;設定!$B$3),"",IF(INDEX(原始資料!AA$2:AA$501,$BJ278)="","",INDEX(原始資料!AA$2:AA$501,$BJ278)))</f>
        <v/>
      </c>
      <c r="Z278" s="6">
        <f>IF(OR($BJ278="",25&gt;設定!$B$3),"",IF(INDEX(原始資料!AB$2:AB$501,$BJ278)="","",INDEX(原始資料!AB$2:AB$501,$BJ278)))</f>
        <v/>
      </c>
      <c r="AA278" s="6">
        <f>IF(OR($BJ278="",26&gt;設定!$B$3),"",IF(INDEX(原始資料!AC$2:AC$501,$BJ278)="","",INDEX(原始資料!AC$2:AC$501,$BJ278)))</f>
        <v/>
      </c>
      <c r="AB278" s="6">
        <f>IF(OR($BJ278="",27&gt;設定!$B$3),"",IF(INDEX(原始資料!AD$2:AD$501,$BJ278)="","",INDEX(原始資料!AD$2:AD$501,$BJ278)))</f>
        <v/>
      </c>
      <c r="AC278" s="6">
        <f>IF(OR($BJ278="",28&gt;設定!$B$3),"",IF(INDEX(原始資料!AE$2:AE$501,$BJ278)="","",INDEX(原始資料!AE$2:AE$501,$BJ278)))</f>
        <v/>
      </c>
      <c r="AD278" s="6">
        <f>IF(OR($BJ278="",29&gt;設定!$B$3),"",IF(INDEX(原始資料!AF$2:AF$501,$BJ278)="","",INDEX(原始資料!AF$2:AF$501,$BJ278)))</f>
        <v/>
      </c>
      <c r="AE278" s="6">
        <f>IF(OR($BJ278="",30&gt;設定!$B$3),"",IF(INDEX(原始資料!AG$2:AG$501,$BJ278)="","",INDEX(原始資料!AG$2:AG$501,$BJ278)))</f>
        <v/>
      </c>
      <c r="AF278" s="6">
        <f>IF(OR($BJ278="",31&gt;設定!$B$3),"",IF(INDEX(原始資料!AH$2:AH$501,$BJ278)="","",INDEX(原始資料!AH$2:AH$501,$BJ278)))</f>
        <v/>
      </c>
      <c r="AG278" s="6">
        <f>IF(OR($BJ278="",32&gt;設定!$B$3),"",IF(INDEX(原始資料!AI$2:AI$501,$BJ278)="","",INDEX(原始資料!AI$2:AI$501,$BJ278)))</f>
        <v/>
      </c>
      <c r="AH278" s="6">
        <f>IF(OR($BJ278="",33&gt;設定!$B$3),"",IF(INDEX(原始資料!AJ$2:AJ$501,$BJ278)="","",INDEX(原始資料!AJ$2:AJ$501,$BJ278)))</f>
        <v/>
      </c>
      <c r="AI278" s="6">
        <f>IF(OR($BJ278="",34&gt;設定!$B$3),"",IF(INDEX(原始資料!AK$2:AK$501,$BJ278)="","",INDEX(原始資料!AK$2:AK$501,$BJ278)))</f>
        <v/>
      </c>
      <c r="AJ278" s="6">
        <f>IF(OR($BJ278="",35&gt;設定!$B$3),"",IF(INDEX(原始資料!AL$2:AL$501,$BJ278)="","",INDEX(原始資料!AL$2:AL$501,$BJ278)))</f>
        <v/>
      </c>
      <c r="AK278" s="6">
        <f>IF(OR($BJ278="",36&gt;設定!$B$3),"",IF(INDEX(原始資料!AM$2:AM$501,$BJ278)="","",INDEX(原始資料!AM$2:AM$501,$BJ278)))</f>
        <v/>
      </c>
      <c r="AL278" s="6">
        <f>IF(OR($BJ278="",37&gt;設定!$B$3),"",IF(INDEX(原始資料!AN$2:AN$501,$BJ278)="","",INDEX(原始資料!AN$2:AN$501,$BJ278)))</f>
        <v/>
      </c>
      <c r="AM278" s="6">
        <f>IF(OR($BJ278="",38&gt;設定!$B$3),"",IF(INDEX(原始資料!AO$2:AO$501,$BJ278)="","",INDEX(原始資料!AO$2:AO$501,$BJ278)))</f>
        <v/>
      </c>
      <c r="AN278" s="6">
        <f>IF(OR($BJ278="",39&gt;設定!$B$3),"",IF(INDEX(原始資料!AP$2:AP$501,$BJ278)="","",INDEX(原始資料!AP$2:AP$501,$BJ278)))</f>
        <v/>
      </c>
      <c r="AO278" s="6">
        <f>IF(OR($BJ278="",40&gt;設定!$B$3),"",IF(INDEX(原始資料!AQ$2:AQ$501,$BJ278)="","",INDEX(原始資料!AQ$2:AQ$501,$BJ278)))</f>
        <v/>
      </c>
      <c r="AP278" s="6">
        <f>IF(OR($BJ278="",41&gt;設定!$B$3),"",IF(INDEX(原始資料!AR$2:AR$501,$BJ278)="","",INDEX(原始資料!AR$2:AR$501,$BJ278)))</f>
        <v/>
      </c>
      <c r="AQ278" s="6">
        <f>IF(OR($BJ278="",42&gt;設定!$B$3),"",IF(INDEX(原始資料!AS$2:AS$501,$BJ278)="","",INDEX(原始資料!AS$2:AS$501,$BJ278)))</f>
        <v/>
      </c>
      <c r="AR278" s="6">
        <f>IF(OR($BJ278="",43&gt;設定!$B$3),"",IF(INDEX(原始資料!AT$2:AT$501,$BJ278)="","",INDEX(原始資料!AT$2:AT$501,$BJ278)))</f>
        <v/>
      </c>
      <c r="AS278" s="6">
        <f>IF(OR($BJ278="",44&gt;設定!$B$3),"",IF(INDEX(原始資料!AU$2:AU$501,$BJ278)="","",INDEX(原始資料!AU$2:AU$501,$BJ278)))</f>
        <v/>
      </c>
      <c r="AT278" s="6">
        <f>IF(OR($BJ278="",45&gt;設定!$B$3),"",IF(INDEX(原始資料!AV$2:AV$501,$BJ278)="","",INDEX(原始資料!AV$2:AV$501,$BJ278)))</f>
        <v/>
      </c>
      <c r="AU278" s="6">
        <f>IF(OR($BJ278="",46&gt;設定!$B$3),"",IF(INDEX(原始資料!AW$2:AW$501,$BJ278)="","",INDEX(原始資料!AW$2:AW$501,$BJ278)))</f>
        <v/>
      </c>
      <c r="AV278" s="6">
        <f>IF(OR($BJ278="",47&gt;設定!$B$3),"",IF(INDEX(原始資料!AX$2:AX$501,$BJ278)="","",INDEX(原始資料!AX$2:AX$501,$BJ278)))</f>
        <v/>
      </c>
      <c r="AW278" s="6">
        <f>IF(OR($BJ278="",48&gt;設定!$B$3),"",IF(INDEX(原始資料!AY$2:AY$501,$BJ278)="","",INDEX(原始資料!AY$2:AY$501,$BJ278)))</f>
        <v/>
      </c>
      <c r="AX278" s="6">
        <f>IF(OR($BJ278="",49&gt;設定!$B$3),"",IF(INDEX(原始資料!AZ$2:AZ$501,$BJ278)="","",INDEX(原始資料!AZ$2:AZ$501,$BJ278)))</f>
        <v/>
      </c>
      <c r="AY278" s="6">
        <f>IF(OR($BJ278="",50&gt;設定!$B$3),"",IF(INDEX(原始資料!BA$2:BA$501,$BJ278)="","",INDEX(原始資料!BA$2:BA$501,$BJ278)))</f>
        <v/>
      </c>
      <c r="AZ278" s="6">
        <f>IF(OR($BJ278="",51&gt;設定!$B$3),"",IF(INDEX(原始資料!BB$2:BB$501,$BJ278)="","",INDEX(原始資料!BB$2:BB$501,$BJ278)))</f>
        <v/>
      </c>
      <c r="BA278" s="6">
        <f>IF(OR($BJ278="",52&gt;設定!$B$3),"",IF(INDEX(原始資料!BC$2:BC$501,$BJ278)="","",INDEX(原始資料!BC$2:BC$501,$BJ278)))</f>
        <v/>
      </c>
      <c r="BB278" s="6">
        <f>IF(OR($BJ278="",53&gt;設定!$B$3),"",IF(INDEX(原始資料!BD$2:BD$501,$BJ278)="","",INDEX(原始資料!BD$2:BD$501,$BJ278)))</f>
        <v/>
      </c>
      <c r="BC278" s="6">
        <f>IF(OR($BJ278="",54&gt;設定!$B$3),"",IF(INDEX(原始資料!BE$2:BE$501,$BJ278)="","",INDEX(原始資料!BE$2:BE$501,$BJ278)))</f>
        <v/>
      </c>
      <c r="BD278" s="6">
        <f>IF(OR($BJ278="",55&gt;設定!$B$3),"",IF(INDEX(原始資料!BF$2:BF$501,$BJ278)="","",INDEX(原始資料!BF$2:BF$501,$BJ278)))</f>
        <v/>
      </c>
      <c r="BE278" s="6">
        <f>IF(OR($BJ278="",56&gt;設定!$B$3),"",IF(INDEX(原始資料!BG$2:BG$501,$BJ278)="","",INDEX(原始資料!BG$2:BG$501,$BJ278)))</f>
        <v/>
      </c>
      <c r="BF278" s="6">
        <f>IF(OR($BJ278="",57&gt;設定!$B$3),"",IF(INDEX(原始資料!BH$2:BH$501,$BJ278)="","",INDEX(原始資料!BH$2:BH$501,$BJ278)))</f>
        <v/>
      </c>
      <c r="BG278" s="6">
        <f>IF(OR($BJ278="",58&gt;設定!$B$3),"",IF(INDEX(原始資料!BI$2:BI$501,$BJ278)="","",INDEX(原始資料!BI$2:BI$501,$BJ278)))</f>
        <v/>
      </c>
      <c r="BH278" s="6">
        <f>IF(OR($BJ278="",59&gt;設定!$B$3),"",IF(INDEX(原始資料!BJ$2:BJ$501,$BJ278)="","",INDEX(原始資料!BJ$2:BJ$501,$BJ278)))</f>
        <v/>
      </c>
      <c r="BI278" s="6">
        <f>IF(OR($BJ278="",60&gt;設定!$B$3),"",IF(INDEX(原始資料!BK$2:BK$501,$BJ278)="","",INDEX(原始資料!BK$2:BK$501,$BJ278)))</f>
        <v/>
      </c>
      <c r="BJ278" s="6">
        <f>IFERROR(MATCH(ROW()-1,判定!$H$2:$H$501,0),"")</f>
        <v/>
      </c>
    </row>
    <row r="279">
      <c r="A279" s="6">
        <f>IF($BJ279="","",INDEX(原始資料!$A$2:$A$501,$BJ279))</f>
        <v/>
      </c>
      <c r="B279" s="6">
        <f>IF(OR($BJ279="",1&gt;設定!$B$3),"",IF(INDEX(原始資料!D$2:D$501,$BJ279)="","",INDEX(原始資料!D$2:D$501,$BJ279)))</f>
        <v/>
      </c>
      <c r="C279" s="6">
        <f>IF(OR($BJ279="",2&gt;設定!$B$3),"",IF(INDEX(原始資料!E$2:E$501,$BJ279)="","",INDEX(原始資料!E$2:E$501,$BJ279)))</f>
        <v/>
      </c>
      <c r="D279" s="6">
        <f>IF(OR($BJ279="",3&gt;設定!$B$3),"",IF(INDEX(原始資料!F$2:F$501,$BJ279)="","",INDEX(原始資料!F$2:F$501,$BJ279)))</f>
        <v/>
      </c>
      <c r="E279" s="6">
        <f>IF(OR($BJ279="",4&gt;設定!$B$3),"",IF(INDEX(原始資料!G$2:G$501,$BJ279)="","",INDEX(原始資料!G$2:G$501,$BJ279)))</f>
        <v/>
      </c>
      <c r="F279" s="6">
        <f>IF(OR($BJ279="",5&gt;設定!$B$3),"",IF(INDEX(原始資料!H$2:H$501,$BJ279)="","",INDEX(原始資料!H$2:H$501,$BJ279)))</f>
        <v/>
      </c>
      <c r="G279" s="6">
        <f>IF(OR($BJ279="",6&gt;設定!$B$3),"",IF(INDEX(原始資料!I$2:I$501,$BJ279)="","",INDEX(原始資料!I$2:I$501,$BJ279)))</f>
        <v/>
      </c>
      <c r="H279" s="6">
        <f>IF(OR($BJ279="",7&gt;設定!$B$3),"",IF(INDEX(原始資料!J$2:J$501,$BJ279)="","",INDEX(原始資料!J$2:J$501,$BJ279)))</f>
        <v/>
      </c>
      <c r="I279" s="6">
        <f>IF(OR($BJ279="",8&gt;設定!$B$3),"",IF(INDEX(原始資料!K$2:K$501,$BJ279)="","",INDEX(原始資料!K$2:K$501,$BJ279)))</f>
        <v/>
      </c>
      <c r="J279" s="6">
        <f>IF(OR($BJ279="",9&gt;設定!$B$3),"",IF(INDEX(原始資料!L$2:L$501,$BJ279)="","",INDEX(原始資料!L$2:L$501,$BJ279)))</f>
        <v/>
      </c>
      <c r="K279" s="6">
        <f>IF(OR($BJ279="",10&gt;設定!$B$3),"",IF(INDEX(原始資料!M$2:M$501,$BJ279)="","",INDEX(原始資料!M$2:M$501,$BJ279)))</f>
        <v/>
      </c>
      <c r="L279" s="6">
        <f>IF(OR($BJ279="",11&gt;設定!$B$3),"",IF(INDEX(原始資料!N$2:N$501,$BJ279)="","",INDEX(原始資料!N$2:N$501,$BJ279)))</f>
        <v/>
      </c>
      <c r="M279" s="6">
        <f>IF(OR($BJ279="",12&gt;設定!$B$3),"",IF(INDEX(原始資料!O$2:O$501,$BJ279)="","",INDEX(原始資料!O$2:O$501,$BJ279)))</f>
        <v/>
      </c>
      <c r="N279" s="6">
        <f>IF(OR($BJ279="",13&gt;設定!$B$3),"",IF(INDEX(原始資料!P$2:P$501,$BJ279)="","",INDEX(原始資料!P$2:P$501,$BJ279)))</f>
        <v/>
      </c>
      <c r="O279" s="6">
        <f>IF(OR($BJ279="",14&gt;設定!$B$3),"",IF(INDEX(原始資料!Q$2:Q$501,$BJ279)="","",INDEX(原始資料!Q$2:Q$501,$BJ279)))</f>
        <v/>
      </c>
      <c r="P279" s="6">
        <f>IF(OR($BJ279="",15&gt;設定!$B$3),"",IF(INDEX(原始資料!R$2:R$501,$BJ279)="","",INDEX(原始資料!R$2:R$501,$BJ279)))</f>
        <v/>
      </c>
      <c r="Q279" s="6">
        <f>IF(OR($BJ279="",16&gt;設定!$B$3),"",IF(INDEX(原始資料!S$2:S$501,$BJ279)="","",INDEX(原始資料!S$2:S$501,$BJ279)))</f>
        <v/>
      </c>
      <c r="R279" s="6">
        <f>IF(OR($BJ279="",17&gt;設定!$B$3),"",IF(INDEX(原始資料!T$2:T$501,$BJ279)="","",INDEX(原始資料!T$2:T$501,$BJ279)))</f>
        <v/>
      </c>
      <c r="S279" s="6">
        <f>IF(OR($BJ279="",18&gt;設定!$B$3),"",IF(INDEX(原始資料!U$2:U$501,$BJ279)="","",INDEX(原始資料!U$2:U$501,$BJ279)))</f>
        <v/>
      </c>
      <c r="T279" s="6">
        <f>IF(OR($BJ279="",19&gt;設定!$B$3),"",IF(INDEX(原始資料!V$2:V$501,$BJ279)="","",INDEX(原始資料!V$2:V$501,$BJ279)))</f>
        <v/>
      </c>
      <c r="U279" s="6">
        <f>IF(OR($BJ279="",20&gt;設定!$B$3),"",IF(INDEX(原始資料!W$2:W$501,$BJ279)="","",INDEX(原始資料!W$2:W$501,$BJ279)))</f>
        <v/>
      </c>
      <c r="V279" s="6">
        <f>IF(OR($BJ279="",21&gt;設定!$B$3),"",IF(INDEX(原始資料!X$2:X$501,$BJ279)="","",INDEX(原始資料!X$2:X$501,$BJ279)))</f>
        <v/>
      </c>
      <c r="W279" s="6">
        <f>IF(OR($BJ279="",22&gt;設定!$B$3),"",IF(INDEX(原始資料!Y$2:Y$501,$BJ279)="","",INDEX(原始資料!Y$2:Y$501,$BJ279)))</f>
        <v/>
      </c>
      <c r="X279" s="6">
        <f>IF(OR($BJ279="",23&gt;設定!$B$3),"",IF(INDEX(原始資料!Z$2:Z$501,$BJ279)="","",INDEX(原始資料!Z$2:Z$501,$BJ279)))</f>
        <v/>
      </c>
      <c r="Y279" s="6">
        <f>IF(OR($BJ279="",24&gt;設定!$B$3),"",IF(INDEX(原始資料!AA$2:AA$501,$BJ279)="","",INDEX(原始資料!AA$2:AA$501,$BJ279)))</f>
        <v/>
      </c>
      <c r="Z279" s="6">
        <f>IF(OR($BJ279="",25&gt;設定!$B$3),"",IF(INDEX(原始資料!AB$2:AB$501,$BJ279)="","",INDEX(原始資料!AB$2:AB$501,$BJ279)))</f>
        <v/>
      </c>
      <c r="AA279" s="6">
        <f>IF(OR($BJ279="",26&gt;設定!$B$3),"",IF(INDEX(原始資料!AC$2:AC$501,$BJ279)="","",INDEX(原始資料!AC$2:AC$501,$BJ279)))</f>
        <v/>
      </c>
      <c r="AB279" s="6">
        <f>IF(OR($BJ279="",27&gt;設定!$B$3),"",IF(INDEX(原始資料!AD$2:AD$501,$BJ279)="","",INDEX(原始資料!AD$2:AD$501,$BJ279)))</f>
        <v/>
      </c>
      <c r="AC279" s="6">
        <f>IF(OR($BJ279="",28&gt;設定!$B$3),"",IF(INDEX(原始資料!AE$2:AE$501,$BJ279)="","",INDEX(原始資料!AE$2:AE$501,$BJ279)))</f>
        <v/>
      </c>
      <c r="AD279" s="6">
        <f>IF(OR($BJ279="",29&gt;設定!$B$3),"",IF(INDEX(原始資料!AF$2:AF$501,$BJ279)="","",INDEX(原始資料!AF$2:AF$501,$BJ279)))</f>
        <v/>
      </c>
      <c r="AE279" s="6">
        <f>IF(OR($BJ279="",30&gt;設定!$B$3),"",IF(INDEX(原始資料!AG$2:AG$501,$BJ279)="","",INDEX(原始資料!AG$2:AG$501,$BJ279)))</f>
        <v/>
      </c>
      <c r="AF279" s="6">
        <f>IF(OR($BJ279="",31&gt;設定!$B$3),"",IF(INDEX(原始資料!AH$2:AH$501,$BJ279)="","",INDEX(原始資料!AH$2:AH$501,$BJ279)))</f>
        <v/>
      </c>
      <c r="AG279" s="6">
        <f>IF(OR($BJ279="",32&gt;設定!$B$3),"",IF(INDEX(原始資料!AI$2:AI$501,$BJ279)="","",INDEX(原始資料!AI$2:AI$501,$BJ279)))</f>
        <v/>
      </c>
      <c r="AH279" s="6">
        <f>IF(OR($BJ279="",33&gt;設定!$B$3),"",IF(INDEX(原始資料!AJ$2:AJ$501,$BJ279)="","",INDEX(原始資料!AJ$2:AJ$501,$BJ279)))</f>
        <v/>
      </c>
      <c r="AI279" s="6">
        <f>IF(OR($BJ279="",34&gt;設定!$B$3),"",IF(INDEX(原始資料!AK$2:AK$501,$BJ279)="","",INDEX(原始資料!AK$2:AK$501,$BJ279)))</f>
        <v/>
      </c>
      <c r="AJ279" s="6">
        <f>IF(OR($BJ279="",35&gt;設定!$B$3),"",IF(INDEX(原始資料!AL$2:AL$501,$BJ279)="","",INDEX(原始資料!AL$2:AL$501,$BJ279)))</f>
        <v/>
      </c>
      <c r="AK279" s="6">
        <f>IF(OR($BJ279="",36&gt;設定!$B$3),"",IF(INDEX(原始資料!AM$2:AM$501,$BJ279)="","",INDEX(原始資料!AM$2:AM$501,$BJ279)))</f>
        <v/>
      </c>
      <c r="AL279" s="6">
        <f>IF(OR($BJ279="",37&gt;設定!$B$3),"",IF(INDEX(原始資料!AN$2:AN$501,$BJ279)="","",INDEX(原始資料!AN$2:AN$501,$BJ279)))</f>
        <v/>
      </c>
      <c r="AM279" s="6">
        <f>IF(OR($BJ279="",38&gt;設定!$B$3),"",IF(INDEX(原始資料!AO$2:AO$501,$BJ279)="","",INDEX(原始資料!AO$2:AO$501,$BJ279)))</f>
        <v/>
      </c>
      <c r="AN279" s="6">
        <f>IF(OR($BJ279="",39&gt;設定!$B$3),"",IF(INDEX(原始資料!AP$2:AP$501,$BJ279)="","",INDEX(原始資料!AP$2:AP$501,$BJ279)))</f>
        <v/>
      </c>
      <c r="AO279" s="6">
        <f>IF(OR($BJ279="",40&gt;設定!$B$3),"",IF(INDEX(原始資料!AQ$2:AQ$501,$BJ279)="","",INDEX(原始資料!AQ$2:AQ$501,$BJ279)))</f>
        <v/>
      </c>
      <c r="AP279" s="6">
        <f>IF(OR($BJ279="",41&gt;設定!$B$3),"",IF(INDEX(原始資料!AR$2:AR$501,$BJ279)="","",INDEX(原始資料!AR$2:AR$501,$BJ279)))</f>
        <v/>
      </c>
      <c r="AQ279" s="6">
        <f>IF(OR($BJ279="",42&gt;設定!$B$3),"",IF(INDEX(原始資料!AS$2:AS$501,$BJ279)="","",INDEX(原始資料!AS$2:AS$501,$BJ279)))</f>
        <v/>
      </c>
      <c r="AR279" s="6">
        <f>IF(OR($BJ279="",43&gt;設定!$B$3),"",IF(INDEX(原始資料!AT$2:AT$501,$BJ279)="","",INDEX(原始資料!AT$2:AT$501,$BJ279)))</f>
        <v/>
      </c>
      <c r="AS279" s="6">
        <f>IF(OR($BJ279="",44&gt;設定!$B$3),"",IF(INDEX(原始資料!AU$2:AU$501,$BJ279)="","",INDEX(原始資料!AU$2:AU$501,$BJ279)))</f>
        <v/>
      </c>
      <c r="AT279" s="6">
        <f>IF(OR($BJ279="",45&gt;設定!$B$3),"",IF(INDEX(原始資料!AV$2:AV$501,$BJ279)="","",INDEX(原始資料!AV$2:AV$501,$BJ279)))</f>
        <v/>
      </c>
      <c r="AU279" s="6">
        <f>IF(OR($BJ279="",46&gt;設定!$B$3),"",IF(INDEX(原始資料!AW$2:AW$501,$BJ279)="","",INDEX(原始資料!AW$2:AW$501,$BJ279)))</f>
        <v/>
      </c>
      <c r="AV279" s="6">
        <f>IF(OR($BJ279="",47&gt;設定!$B$3),"",IF(INDEX(原始資料!AX$2:AX$501,$BJ279)="","",INDEX(原始資料!AX$2:AX$501,$BJ279)))</f>
        <v/>
      </c>
      <c r="AW279" s="6">
        <f>IF(OR($BJ279="",48&gt;設定!$B$3),"",IF(INDEX(原始資料!AY$2:AY$501,$BJ279)="","",INDEX(原始資料!AY$2:AY$501,$BJ279)))</f>
        <v/>
      </c>
      <c r="AX279" s="6">
        <f>IF(OR($BJ279="",49&gt;設定!$B$3),"",IF(INDEX(原始資料!AZ$2:AZ$501,$BJ279)="","",INDEX(原始資料!AZ$2:AZ$501,$BJ279)))</f>
        <v/>
      </c>
      <c r="AY279" s="6">
        <f>IF(OR($BJ279="",50&gt;設定!$B$3),"",IF(INDEX(原始資料!BA$2:BA$501,$BJ279)="","",INDEX(原始資料!BA$2:BA$501,$BJ279)))</f>
        <v/>
      </c>
      <c r="AZ279" s="6">
        <f>IF(OR($BJ279="",51&gt;設定!$B$3),"",IF(INDEX(原始資料!BB$2:BB$501,$BJ279)="","",INDEX(原始資料!BB$2:BB$501,$BJ279)))</f>
        <v/>
      </c>
      <c r="BA279" s="6">
        <f>IF(OR($BJ279="",52&gt;設定!$B$3),"",IF(INDEX(原始資料!BC$2:BC$501,$BJ279)="","",INDEX(原始資料!BC$2:BC$501,$BJ279)))</f>
        <v/>
      </c>
      <c r="BB279" s="6">
        <f>IF(OR($BJ279="",53&gt;設定!$B$3),"",IF(INDEX(原始資料!BD$2:BD$501,$BJ279)="","",INDEX(原始資料!BD$2:BD$501,$BJ279)))</f>
        <v/>
      </c>
      <c r="BC279" s="6">
        <f>IF(OR($BJ279="",54&gt;設定!$B$3),"",IF(INDEX(原始資料!BE$2:BE$501,$BJ279)="","",INDEX(原始資料!BE$2:BE$501,$BJ279)))</f>
        <v/>
      </c>
      <c r="BD279" s="6">
        <f>IF(OR($BJ279="",55&gt;設定!$B$3),"",IF(INDEX(原始資料!BF$2:BF$501,$BJ279)="","",INDEX(原始資料!BF$2:BF$501,$BJ279)))</f>
        <v/>
      </c>
      <c r="BE279" s="6">
        <f>IF(OR($BJ279="",56&gt;設定!$B$3),"",IF(INDEX(原始資料!BG$2:BG$501,$BJ279)="","",INDEX(原始資料!BG$2:BG$501,$BJ279)))</f>
        <v/>
      </c>
      <c r="BF279" s="6">
        <f>IF(OR($BJ279="",57&gt;設定!$B$3),"",IF(INDEX(原始資料!BH$2:BH$501,$BJ279)="","",INDEX(原始資料!BH$2:BH$501,$BJ279)))</f>
        <v/>
      </c>
      <c r="BG279" s="6">
        <f>IF(OR($BJ279="",58&gt;設定!$B$3),"",IF(INDEX(原始資料!BI$2:BI$501,$BJ279)="","",INDEX(原始資料!BI$2:BI$501,$BJ279)))</f>
        <v/>
      </c>
      <c r="BH279" s="6">
        <f>IF(OR($BJ279="",59&gt;設定!$B$3),"",IF(INDEX(原始資料!BJ$2:BJ$501,$BJ279)="","",INDEX(原始資料!BJ$2:BJ$501,$BJ279)))</f>
        <v/>
      </c>
      <c r="BI279" s="6">
        <f>IF(OR($BJ279="",60&gt;設定!$B$3),"",IF(INDEX(原始資料!BK$2:BK$501,$BJ279)="","",INDEX(原始資料!BK$2:BK$501,$BJ279)))</f>
        <v/>
      </c>
      <c r="BJ279" s="6">
        <f>IFERROR(MATCH(ROW()-1,判定!$H$2:$H$501,0),"")</f>
        <v/>
      </c>
    </row>
    <row r="280">
      <c r="A280" s="6">
        <f>IF($BJ280="","",INDEX(原始資料!$A$2:$A$501,$BJ280))</f>
        <v/>
      </c>
      <c r="B280" s="6">
        <f>IF(OR($BJ280="",1&gt;設定!$B$3),"",IF(INDEX(原始資料!D$2:D$501,$BJ280)="","",INDEX(原始資料!D$2:D$501,$BJ280)))</f>
        <v/>
      </c>
      <c r="C280" s="6">
        <f>IF(OR($BJ280="",2&gt;設定!$B$3),"",IF(INDEX(原始資料!E$2:E$501,$BJ280)="","",INDEX(原始資料!E$2:E$501,$BJ280)))</f>
        <v/>
      </c>
      <c r="D280" s="6">
        <f>IF(OR($BJ280="",3&gt;設定!$B$3),"",IF(INDEX(原始資料!F$2:F$501,$BJ280)="","",INDEX(原始資料!F$2:F$501,$BJ280)))</f>
        <v/>
      </c>
      <c r="E280" s="6">
        <f>IF(OR($BJ280="",4&gt;設定!$B$3),"",IF(INDEX(原始資料!G$2:G$501,$BJ280)="","",INDEX(原始資料!G$2:G$501,$BJ280)))</f>
        <v/>
      </c>
      <c r="F280" s="6">
        <f>IF(OR($BJ280="",5&gt;設定!$B$3),"",IF(INDEX(原始資料!H$2:H$501,$BJ280)="","",INDEX(原始資料!H$2:H$501,$BJ280)))</f>
        <v/>
      </c>
      <c r="G280" s="6">
        <f>IF(OR($BJ280="",6&gt;設定!$B$3),"",IF(INDEX(原始資料!I$2:I$501,$BJ280)="","",INDEX(原始資料!I$2:I$501,$BJ280)))</f>
        <v/>
      </c>
      <c r="H280" s="6">
        <f>IF(OR($BJ280="",7&gt;設定!$B$3),"",IF(INDEX(原始資料!J$2:J$501,$BJ280)="","",INDEX(原始資料!J$2:J$501,$BJ280)))</f>
        <v/>
      </c>
      <c r="I280" s="6">
        <f>IF(OR($BJ280="",8&gt;設定!$B$3),"",IF(INDEX(原始資料!K$2:K$501,$BJ280)="","",INDEX(原始資料!K$2:K$501,$BJ280)))</f>
        <v/>
      </c>
      <c r="J280" s="6">
        <f>IF(OR($BJ280="",9&gt;設定!$B$3),"",IF(INDEX(原始資料!L$2:L$501,$BJ280)="","",INDEX(原始資料!L$2:L$501,$BJ280)))</f>
        <v/>
      </c>
      <c r="K280" s="6">
        <f>IF(OR($BJ280="",10&gt;設定!$B$3),"",IF(INDEX(原始資料!M$2:M$501,$BJ280)="","",INDEX(原始資料!M$2:M$501,$BJ280)))</f>
        <v/>
      </c>
      <c r="L280" s="6">
        <f>IF(OR($BJ280="",11&gt;設定!$B$3),"",IF(INDEX(原始資料!N$2:N$501,$BJ280)="","",INDEX(原始資料!N$2:N$501,$BJ280)))</f>
        <v/>
      </c>
      <c r="M280" s="6">
        <f>IF(OR($BJ280="",12&gt;設定!$B$3),"",IF(INDEX(原始資料!O$2:O$501,$BJ280)="","",INDEX(原始資料!O$2:O$501,$BJ280)))</f>
        <v/>
      </c>
      <c r="N280" s="6">
        <f>IF(OR($BJ280="",13&gt;設定!$B$3),"",IF(INDEX(原始資料!P$2:P$501,$BJ280)="","",INDEX(原始資料!P$2:P$501,$BJ280)))</f>
        <v/>
      </c>
      <c r="O280" s="6">
        <f>IF(OR($BJ280="",14&gt;設定!$B$3),"",IF(INDEX(原始資料!Q$2:Q$501,$BJ280)="","",INDEX(原始資料!Q$2:Q$501,$BJ280)))</f>
        <v/>
      </c>
      <c r="P280" s="6">
        <f>IF(OR($BJ280="",15&gt;設定!$B$3),"",IF(INDEX(原始資料!R$2:R$501,$BJ280)="","",INDEX(原始資料!R$2:R$501,$BJ280)))</f>
        <v/>
      </c>
      <c r="Q280" s="6">
        <f>IF(OR($BJ280="",16&gt;設定!$B$3),"",IF(INDEX(原始資料!S$2:S$501,$BJ280)="","",INDEX(原始資料!S$2:S$501,$BJ280)))</f>
        <v/>
      </c>
      <c r="R280" s="6">
        <f>IF(OR($BJ280="",17&gt;設定!$B$3),"",IF(INDEX(原始資料!T$2:T$501,$BJ280)="","",INDEX(原始資料!T$2:T$501,$BJ280)))</f>
        <v/>
      </c>
      <c r="S280" s="6">
        <f>IF(OR($BJ280="",18&gt;設定!$B$3),"",IF(INDEX(原始資料!U$2:U$501,$BJ280)="","",INDEX(原始資料!U$2:U$501,$BJ280)))</f>
        <v/>
      </c>
      <c r="T280" s="6">
        <f>IF(OR($BJ280="",19&gt;設定!$B$3),"",IF(INDEX(原始資料!V$2:V$501,$BJ280)="","",INDEX(原始資料!V$2:V$501,$BJ280)))</f>
        <v/>
      </c>
      <c r="U280" s="6">
        <f>IF(OR($BJ280="",20&gt;設定!$B$3),"",IF(INDEX(原始資料!W$2:W$501,$BJ280)="","",INDEX(原始資料!W$2:W$501,$BJ280)))</f>
        <v/>
      </c>
      <c r="V280" s="6">
        <f>IF(OR($BJ280="",21&gt;設定!$B$3),"",IF(INDEX(原始資料!X$2:X$501,$BJ280)="","",INDEX(原始資料!X$2:X$501,$BJ280)))</f>
        <v/>
      </c>
      <c r="W280" s="6">
        <f>IF(OR($BJ280="",22&gt;設定!$B$3),"",IF(INDEX(原始資料!Y$2:Y$501,$BJ280)="","",INDEX(原始資料!Y$2:Y$501,$BJ280)))</f>
        <v/>
      </c>
      <c r="X280" s="6">
        <f>IF(OR($BJ280="",23&gt;設定!$B$3),"",IF(INDEX(原始資料!Z$2:Z$501,$BJ280)="","",INDEX(原始資料!Z$2:Z$501,$BJ280)))</f>
        <v/>
      </c>
      <c r="Y280" s="6">
        <f>IF(OR($BJ280="",24&gt;設定!$B$3),"",IF(INDEX(原始資料!AA$2:AA$501,$BJ280)="","",INDEX(原始資料!AA$2:AA$501,$BJ280)))</f>
        <v/>
      </c>
      <c r="Z280" s="6">
        <f>IF(OR($BJ280="",25&gt;設定!$B$3),"",IF(INDEX(原始資料!AB$2:AB$501,$BJ280)="","",INDEX(原始資料!AB$2:AB$501,$BJ280)))</f>
        <v/>
      </c>
      <c r="AA280" s="6">
        <f>IF(OR($BJ280="",26&gt;設定!$B$3),"",IF(INDEX(原始資料!AC$2:AC$501,$BJ280)="","",INDEX(原始資料!AC$2:AC$501,$BJ280)))</f>
        <v/>
      </c>
      <c r="AB280" s="6">
        <f>IF(OR($BJ280="",27&gt;設定!$B$3),"",IF(INDEX(原始資料!AD$2:AD$501,$BJ280)="","",INDEX(原始資料!AD$2:AD$501,$BJ280)))</f>
        <v/>
      </c>
      <c r="AC280" s="6">
        <f>IF(OR($BJ280="",28&gt;設定!$B$3),"",IF(INDEX(原始資料!AE$2:AE$501,$BJ280)="","",INDEX(原始資料!AE$2:AE$501,$BJ280)))</f>
        <v/>
      </c>
      <c r="AD280" s="6">
        <f>IF(OR($BJ280="",29&gt;設定!$B$3),"",IF(INDEX(原始資料!AF$2:AF$501,$BJ280)="","",INDEX(原始資料!AF$2:AF$501,$BJ280)))</f>
        <v/>
      </c>
      <c r="AE280" s="6">
        <f>IF(OR($BJ280="",30&gt;設定!$B$3),"",IF(INDEX(原始資料!AG$2:AG$501,$BJ280)="","",INDEX(原始資料!AG$2:AG$501,$BJ280)))</f>
        <v/>
      </c>
      <c r="AF280" s="6">
        <f>IF(OR($BJ280="",31&gt;設定!$B$3),"",IF(INDEX(原始資料!AH$2:AH$501,$BJ280)="","",INDEX(原始資料!AH$2:AH$501,$BJ280)))</f>
        <v/>
      </c>
      <c r="AG280" s="6">
        <f>IF(OR($BJ280="",32&gt;設定!$B$3),"",IF(INDEX(原始資料!AI$2:AI$501,$BJ280)="","",INDEX(原始資料!AI$2:AI$501,$BJ280)))</f>
        <v/>
      </c>
      <c r="AH280" s="6">
        <f>IF(OR($BJ280="",33&gt;設定!$B$3),"",IF(INDEX(原始資料!AJ$2:AJ$501,$BJ280)="","",INDEX(原始資料!AJ$2:AJ$501,$BJ280)))</f>
        <v/>
      </c>
      <c r="AI280" s="6">
        <f>IF(OR($BJ280="",34&gt;設定!$B$3),"",IF(INDEX(原始資料!AK$2:AK$501,$BJ280)="","",INDEX(原始資料!AK$2:AK$501,$BJ280)))</f>
        <v/>
      </c>
      <c r="AJ280" s="6">
        <f>IF(OR($BJ280="",35&gt;設定!$B$3),"",IF(INDEX(原始資料!AL$2:AL$501,$BJ280)="","",INDEX(原始資料!AL$2:AL$501,$BJ280)))</f>
        <v/>
      </c>
      <c r="AK280" s="6">
        <f>IF(OR($BJ280="",36&gt;設定!$B$3),"",IF(INDEX(原始資料!AM$2:AM$501,$BJ280)="","",INDEX(原始資料!AM$2:AM$501,$BJ280)))</f>
        <v/>
      </c>
      <c r="AL280" s="6">
        <f>IF(OR($BJ280="",37&gt;設定!$B$3),"",IF(INDEX(原始資料!AN$2:AN$501,$BJ280)="","",INDEX(原始資料!AN$2:AN$501,$BJ280)))</f>
        <v/>
      </c>
      <c r="AM280" s="6">
        <f>IF(OR($BJ280="",38&gt;設定!$B$3),"",IF(INDEX(原始資料!AO$2:AO$501,$BJ280)="","",INDEX(原始資料!AO$2:AO$501,$BJ280)))</f>
        <v/>
      </c>
      <c r="AN280" s="6">
        <f>IF(OR($BJ280="",39&gt;設定!$B$3),"",IF(INDEX(原始資料!AP$2:AP$501,$BJ280)="","",INDEX(原始資料!AP$2:AP$501,$BJ280)))</f>
        <v/>
      </c>
      <c r="AO280" s="6">
        <f>IF(OR($BJ280="",40&gt;設定!$B$3),"",IF(INDEX(原始資料!AQ$2:AQ$501,$BJ280)="","",INDEX(原始資料!AQ$2:AQ$501,$BJ280)))</f>
        <v/>
      </c>
      <c r="AP280" s="6">
        <f>IF(OR($BJ280="",41&gt;設定!$B$3),"",IF(INDEX(原始資料!AR$2:AR$501,$BJ280)="","",INDEX(原始資料!AR$2:AR$501,$BJ280)))</f>
        <v/>
      </c>
      <c r="AQ280" s="6">
        <f>IF(OR($BJ280="",42&gt;設定!$B$3),"",IF(INDEX(原始資料!AS$2:AS$501,$BJ280)="","",INDEX(原始資料!AS$2:AS$501,$BJ280)))</f>
        <v/>
      </c>
      <c r="AR280" s="6">
        <f>IF(OR($BJ280="",43&gt;設定!$B$3),"",IF(INDEX(原始資料!AT$2:AT$501,$BJ280)="","",INDEX(原始資料!AT$2:AT$501,$BJ280)))</f>
        <v/>
      </c>
      <c r="AS280" s="6">
        <f>IF(OR($BJ280="",44&gt;設定!$B$3),"",IF(INDEX(原始資料!AU$2:AU$501,$BJ280)="","",INDEX(原始資料!AU$2:AU$501,$BJ280)))</f>
        <v/>
      </c>
      <c r="AT280" s="6">
        <f>IF(OR($BJ280="",45&gt;設定!$B$3),"",IF(INDEX(原始資料!AV$2:AV$501,$BJ280)="","",INDEX(原始資料!AV$2:AV$501,$BJ280)))</f>
        <v/>
      </c>
      <c r="AU280" s="6">
        <f>IF(OR($BJ280="",46&gt;設定!$B$3),"",IF(INDEX(原始資料!AW$2:AW$501,$BJ280)="","",INDEX(原始資料!AW$2:AW$501,$BJ280)))</f>
        <v/>
      </c>
      <c r="AV280" s="6">
        <f>IF(OR($BJ280="",47&gt;設定!$B$3),"",IF(INDEX(原始資料!AX$2:AX$501,$BJ280)="","",INDEX(原始資料!AX$2:AX$501,$BJ280)))</f>
        <v/>
      </c>
      <c r="AW280" s="6">
        <f>IF(OR($BJ280="",48&gt;設定!$B$3),"",IF(INDEX(原始資料!AY$2:AY$501,$BJ280)="","",INDEX(原始資料!AY$2:AY$501,$BJ280)))</f>
        <v/>
      </c>
      <c r="AX280" s="6">
        <f>IF(OR($BJ280="",49&gt;設定!$B$3),"",IF(INDEX(原始資料!AZ$2:AZ$501,$BJ280)="","",INDEX(原始資料!AZ$2:AZ$501,$BJ280)))</f>
        <v/>
      </c>
      <c r="AY280" s="6">
        <f>IF(OR($BJ280="",50&gt;設定!$B$3),"",IF(INDEX(原始資料!BA$2:BA$501,$BJ280)="","",INDEX(原始資料!BA$2:BA$501,$BJ280)))</f>
        <v/>
      </c>
      <c r="AZ280" s="6">
        <f>IF(OR($BJ280="",51&gt;設定!$B$3),"",IF(INDEX(原始資料!BB$2:BB$501,$BJ280)="","",INDEX(原始資料!BB$2:BB$501,$BJ280)))</f>
        <v/>
      </c>
      <c r="BA280" s="6">
        <f>IF(OR($BJ280="",52&gt;設定!$B$3),"",IF(INDEX(原始資料!BC$2:BC$501,$BJ280)="","",INDEX(原始資料!BC$2:BC$501,$BJ280)))</f>
        <v/>
      </c>
      <c r="BB280" s="6">
        <f>IF(OR($BJ280="",53&gt;設定!$B$3),"",IF(INDEX(原始資料!BD$2:BD$501,$BJ280)="","",INDEX(原始資料!BD$2:BD$501,$BJ280)))</f>
        <v/>
      </c>
      <c r="BC280" s="6">
        <f>IF(OR($BJ280="",54&gt;設定!$B$3),"",IF(INDEX(原始資料!BE$2:BE$501,$BJ280)="","",INDEX(原始資料!BE$2:BE$501,$BJ280)))</f>
        <v/>
      </c>
      <c r="BD280" s="6">
        <f>IF(OR($BJ280="",55&gt;設定!$B$3),"",IF(INDEX(原始資料!BF$2:BF$501,$BJ280)="","",INDEX(原始資料!BF$2:BF$501,$BJ280)))</f>
        <v/>
      </c>
      <c r="BE280" s="6">
        <f>IF(OR($BJ280="",56&gt;設定!$B$3),"",IF(INDEX(原始資料!BG$2:BG$501,$BJ280)="","",INDEX(原始資料!BG$2:BG$501,$BJ280)))</f>
        <v/>
      </c>
      <c r="BF280" s="6">
        <f>IF(OR($BJ280="",57&gt;設定!$B$3),"",IF(INDEX(原始資料!BH$2:BH$501,$BJ280)="","",INDEX(原始資料!BH$2:BH$501,$BJ280)))</f>
        <v/>
      </c>
      <c r="BG280" s="6">
        <f>IF(OR($BJ280="",58&gt;設定!$B$3),"",IF(INDEX(原始資料!BI$2:BI$501,$BJ280)="","",INDEX(原始資料!BI$2:BI$501,$BJ280)))</f>
        <v/>
      </c>
      <c r="BH280" s="6">
        <f>IF(OR($BJ280="",59&gt;設定!$B$3),"",IF(INDEX(原始資料!BJ$2:BJ$501,$BJ280)="","",INDEX(原始資料!BJ$2:BJ$501,$BJ280)))</f>
        <v/>
      </c>
      <c r="BI280" s="6">
        <f>IF(OR($BJ280="",60&gt;設定!$B$3),"",IF(INDEX(原始資料!BK$2:BK$501,$BJ280)="","",INDEX(原始資料!BK$2:BK$501,$BJ280)))</f>
        <v/>
      </c>
      <c r="BJ280" s="6">
        <f>IFERROR(MATCH(ROW()-1,判定!$H$2:$H$501,0),"")</f>
        <v/>
      </c>
    </row>
    <row r="281">
      <c r="A281" s="6">
        <f>IF($BJ281="","",INDEX(原始資料!$A$2:$A$501,$BJ281))</f>
        <v/>
      </c>
      <c r="B281" s="6">
        <f>IF(OR($BJ281="",1&gt;設定!$B$3),"",IF(INDEX(原始資料!D$2:D$501,$BJ281)="","",INDEX(原始資料!D$2:D$501,$BJ281)))</f>
        <v/>
      </c>
      <c r="C281" s="6">
        <f>IF(OR($BJ281="",2&gt;設定!$B$3),"",IF(INDEX(原始資料!E$2:E$501,$BJ281)="","",INDEX(原始資料!E$2:E$501,$BJ281)))</f>
        <v/>
      </c>
      <c r="D281" s="6">
        <f>IF(OR($BJ281="",3&gt;設定!$B$3),"",IF(INDEX(原始資料!F$2:F$501,$BJ281)="","",INDEX(原始資料!F$2:F$501,$BJ281)))</f>
        <v/>
      </c>
      <c r="E281" s="6">
        <f>IF(OR($BJ281="",4&gt;設定!$B$3),"",IF(INDEX(原始資料!G$2:G$501,$BJ281)="","",INDEX(原始資料!G$2:G$501,$BJ281)))</f>
        <v/>
      </c>
      <c r="F281" s="6">
        <f>IF(OR($BJ281="",5&gt;設定!$B$3),"",IF(INDEX(原始資料!H$2:H$501,$BJ281)="","",INDEX(原始資料!H$2:H$501,$BJ281)))</f>
        <v/>
      </c>
      <c r="G281" s="6">
        <f>IF(OR($BJ281="",6&gt;設定!$B$3),"",IF(INDEX(原始資料!I$2:I$501,$BJ281)="","",INDEX(原始資料!I$2:I$501,$BJ281)))</f>
        <v/>
      </c>
      <c r="H281" s="6">
        <f>IF(OR($BJ281="",7&gt;設定!$B$3),"",IF(INDEX(原始資料!J$2:J$501,$BJ281)="","",INDEX(原始資料!J$2:J$501,$BJ281)))</f>
        <v/>
      </c>
      <c r="I281" s="6">
        <f>IF(OR($BJ281="",8&gt;設定!$B$3),"",IF(INDEX(原始資料!K$2:K$501,$BJ281)="","",INDEX(原始資料!K$2:K$501,$BJ281)))</f>
        <v/>
      </c>
      <c r="J281" s="6">
        <f>IF(OR($BJ281="",9&gt;設定!$B$3),"",IF(INDEX(原始資料!L$2:L$501,$BJ281)="","",INDEX(原始資料!L$2:L$501,$BJ281)))</f>
        <v/>
      </c>
      <c r="K281" s="6">
        <f>IF(OR($BJ281="",10&gt;設定!$B$3),"",IF(INDEX(原始資料!M$2:M$501,$BJ281)="","",INDEX(原始資料!M$2:M$501,$BJ281)))</f>
        <v/>
      </c>
      <c r="L281" s="6">
        <f>IF(OR($BJ281="",11&gt;設定!$B$3),"",IF(INDEX(原始資料!N$2:N$501,$BJ281)="","",INDEX(原始資料!N$2:N$501,$BJ281)))</f>
        <v/>
      </c>
      <c r="M281" s="6">
        <f>IF(OR($BJ281="",12&gt;設定!$B$3),"",IF(INDEX(原始資料!O$2:O$501,$BJ281)="","",INDEX(原始資料!O$2:O$501,$BJ281)))</f>
        <v/>
      </c>
      <c r="N281" s="6">
        <f>IF(OR($BJ281="",13&gt;設定!$B$3),"",IF(INDEX(原始資料!P$2:P$501,$BJ281)="","",INDEX(原始資料!P$2:P$501,$BJ281)))</f>
        <v/>
      </c>
      <c r="O281" s="6">
        <f>IF(OR($BJ281="",14&gt;設定!$B$3),"",IF(INDEX(原始資料!Q$2:Q$501,$BJ281)="","",INDEX(原始資料!Q$2:Q$501,$BJ281)))</f>
        <v/>
      </c>
      <c r="P281" s="6">
        <f>IF(OR($BJ281="",15&gt;設定!$B$3),"",IF(INDEX(原始資料!R$2:R$501,$BJ281)="","",INDEX(原始資料!R$2:R$501,$BJ281)))</f>
        <v/>
      </c>
      <c r="Q281" s="6">
        <f>IF(OR($BJ281="",16&gt;設定!$B$3),"",IF(INDEX(原始資料!S$2:S$501,$BJ281)="","",INDEX(原始資料!S$2:S$501,$BJ281)))</f>
        <v/>
      </c>
      <c r="R281" s="6">
        <f>IF(OR($BJ281="",17&gt;設定!$B$3),"",IF(INDEX(原始資料!T$2:T$501,$BJ281)="","",INDEX(原始資料!T$2:T$501,$BJ281)))</f>
        <v/>
      </c>
      <c r="S281" s="6">
        <f>IF(OR($BJ281="",18&gt;設定!$B$3),"",IF(INDEX(原始資料!U$2:U$501,$BJ281)="","",INDEX(原始資料!U$2:U$501,$BJ281)))</f>
        <v/>
      </c>
      <c r="T281" s="6">
        <f>IF(OR($BJ281="",19&gt;設定!$B$3),"",IF(INDEX(原始資料!V$2:V$501,$BJ281)="","",INDEX(原始資料!V$2:V$501,$BJ281)))</f>
        <v/>
      </c>
      <c r="U281" s="6">
        <f>IF(OR($BJ281="",20&gt;設定!$B$3),"",IF(INDEX(原始資料!W$2:W$501,$BJ281)="","",INDEX(原始資料!W$2:W$501,$BJ281)))</f>
        <v/>
      </c>
      <c r="V281" s="6">
        <f>IF(OR($BJ281="",21&gt;設定!$B$3),"",IF(INDEX(原始資料!X$2:X$501,$BJ281)="","",INDEX(原始資料!X$2:X$501,$BJ281)))</f>
        <v/>
      </c>
      <c r="W281" s="6">
        <f>IF(OR($BJ281="",22&gt;設定!$B$3),"",IF(INDEX(原始資料!Y$2:Y$501,$BJ281)="","",INDEX(原始資料!Y$2:Y$501,$BJ281)))</f>
        <v/>
      </c>
      <c r="X281" s="6">
        <f>IF(OR($BJ281="",23&gt;設定!$B$3),"",IF(INDEX(原始資料!Z$2:Z$501,$BJ281)="","",INDEX(原始資料!Z$2:Z$501,$BJ281)))</f>
        <v/>
      </c>
      <c r="Y281" s="6">
        <f>IF(OR($BJ281="",24&gt;設定!$B$3),"",IF(INDEX(原始資料!AA$2:AA$501,$BJ281)="","",INDEX(原始資料!AA$2:AA$501,$BJ281)))</f>
        <v/>
      </c>
      <c r="Z281" s="6">
        <f>IF(OR($BJ281="",25&gt;設定!$B$3),"",IF(INDEX(原始資料!AB$2:AB$501,$BJ281)="","",INDEX(原始資料!AB$2:AB$501,$BJ281)))</f>
        <v/>
      </c>
      <c r="AA281" s="6">
        <f>IF(OR($BJ281="",26&gt;設定!$B$3),"",IF(INDEX(原始資料!AC$2:AC$501,$BJ281)="","",INDEX(原始資料!AC$2:AC$501,$BJ281)))</f>
        <v/>
      </c>
      <c r="AB281" s="6">
        <f>IF(OR($BJ281="",27&gt;設定!$B$3),"",IF(INDEX(原始資料!AD$2:AD$501,$BJ281)="","",INDEX(原始資料!AD$2:AD$501,$BJ281)))</f>
        <v/>
      </c>
      <c r="AC281" s="6">
        <f>IF(OR($BJ281="",28&gt;設定!$B$3),"",IF(INDEX(原始資料!AE$2:AE$501,$BJ281)="","",INDEX(原始資料!AE$2:AE$501,$BJ281)))</f>
        <v/>
      </c>
      <c r="AD281" s="6">
        <f>IF(OR($BJ281="",29&gt;設定!$B$3),"",IF(INDEX(原始資料!AF$2:AF$501,$BJ281)="","",INDEX(原始資料!AF$2:AF$501,$BJ281)))</f>
        <v/>
      </c>
      <c r="AE281" s="6">
        <f>IF(OR($BJ281="",30&gt;設定!$B$3),"",IF(INDEX(原始資料!AG$2:AG$501,$BJ281)="","",INDEX(原始資料!AG$2:AG$501,$BJ281)))</f>
        <v/>
      </c>
      <c r="AF281" s="6">
        <f>IF(OR($BJ281="",31&gt;設定!$B$3),"",IF(INDEX(原始資料!AH$2:AH$501,$BJ281)="","",INDEX(原始資料!AH$2:AH$501,$BJ281)))</f>
        <v/>
      </c>
      <c r="AG281" s="6">
        <f>IF(OR($BJ281="",32&gt;設定!$B$3),"",IF(INDEX(原始資料!AI$2:AI$501,$BJ281)="","",INDEX(原始資料!AI$2:AI$501,$BJ281)))</f>
        <v/>
      </c>
      <c r="AH281" s="6">
        <f>IF(OR($BJ281="",33&gt;設定!$B$3),"",IF(INDEX(原始資料!AJ$2:AJ$501,$BJ281)="","",INDEX(原始資料!AJ$2:AJ$501,$BJ281)))</f>
        <v/>
      </c>
      <c r="AI281" s="6">
        <f>IF(OR($BJ281="",34&gt;設定!$B$3),"",IF(INDEX(原始資料!AK$2:AK$501,$BJ281)="","",INDEX(原始資料!AK$2:AK$501,$BJ281)))</f>
        <v/>
      </c>
      <c r="AJ281" s="6">
        <f>IF(OR($BJ281="",35&gt;設定!$B$3),"",IF(INDEX(原始資料!AL$2:AL$501,$BJ281)="","",INDEX(原始資料!AL$2:AL$501,$BJ281)))</f>
        <v/>
      </c>
      <c r="AK281" s="6">
        <f>IF(OR($BJ281="",36&gt;設定!$B$3),"",IF(INDEX(原始資料!AM$2:AM$501,$BJ281)="","",INDEX(原始資料!AM$2:AM$501,$BJ281)))</f>
        <v/>
      </c>
      <c r="AL281" s="6">
        <f>IF(OR($BJ281="",37&gt;設定!$B$3),"",IF(INDEX(原始資料!AN$2:AN$501,$BJ281)="","",INDEX(原始資料!AN$2:AN$501,$BJ281)))</f>
        <v/>
      </c>
      <c r="AM281" s="6">
        <f>IF(OR($BJ281="",38&gt;設定!$B$3),"",IF(INDEX(原始資料!AO$2:AO$501,$BJ281)="","",INDEX(原始資料!AO$2:AO$501,$BJ281)))</f>
        <v/>
      </c>
      <c r="AN281" s="6">
        <f>IF(OR($BJ281="",39&gt;設定!$B$3),"",IF(INDEX(原始資料!AP$2:AP$501,$BJ281)="","",INDEX(原始資料!AP$2:AP$501,$BJ281)))</f>
        <v/>
      </c>
      <c r="AO281" s="6">
        <f>IF(OR($BJ281="",40&gt;設定!$B$3),"",IF(INDEX(原始資料!AQ$2:AQ$501,$BJ281)="","",INDEX(原始資料!AQ$2:AQ$501,$BJ281)))</f>
        <v/>
      </c>
      <c r="AP281" s="6">
        <f>IF(OR($BJ281="",41&gt;設定!$B$3),"",IF(INDEX(原始資料!AR$2:AR$501,$BJ281)="","",INDEX(原始資料!AR$2:AR$501,$BJ281)))</f>
        <v/>
      </c>
      <c r="AQ281" s="6">
        <f>IF(OR($BJ281="",42&gt;設定!$B$3),"",IF(INDEX(原始資料!AS$2:AS$501,$BJ281)="","",INDEX(原始資料!AS$2:AS$501,$BJ281)))</f>
        <v/>
      </c>
      <c r="AR281" s="6">
        <f>IF(OR($BJ281="",43&gt;設定!$B$3),"",IF(INDEX(原始資料!AT$2:AT$501,$BJ281)="","",INDEX(原始資料!AT$2:AT$501,$BJ281)))</f>
        <v/>
      </c>
      <c r="AS281" s="6">
        <f>IF(OR($BJ281="",44&gt;設定!$B$3),"",IF(INDEX(原始資料!AU$2:AU$501,$BJ281)="","",INDEX(原始資料!AU$2:AU$501,$BJ281)))</f>
        <v/>
      </c>
      <c r="AT281" s="6">
        <f>IF(OR($BJ281="",45&gt;設定!$B$3),"",IF(INDEX(原始資料!AV$2:AV$501,$BJ281)="","",INDEX(原始資料!AV$2:AV$501,$BJ281)))</f>
        <v/>
      </c>
      <c r="AU281" s="6">
        <f>IF(OR($BJ281="",46&gt;設定!$B$3),"",IF(INDEX(原始資料!AW$2:AW$501,$BJ281)="","",INDEX(原始資料!AW$2:AW$501,$BJ281)))</f>
        <v/>
      </c>
      <c r="AV281" s="6">
        <f>IF(OR($BJ281="",47&gt;設定!$B$3),"",IF(INDEX(原始資料!AX$2:AX$501,$BJ281)="","",INDEX(原始資料!AX$2:AX$501,$BJ281)))</f>
        <v/>
      </c>
      <c r="AW281" s="6">
        <f>IF(OR($BJ281="",48&gt;設定!$B$3),"",IF(INDEX(原始資料!AY$2:AY$501,$BJ281)="","",INDEX(原始資料!AY$2:AY$501,$BJ281)))</f>
        <v/>
      </c>
      <c r="AX281" s="6">
        <f>IF(OR($BJ281="",49&gt;設定!$B$3),"",IF(INDEX(原始資料!AZ$2:AZ$501,$BJ281)="","",INDEX(原始資料!AZ$2:AZ$501,$BJ281)))</f>
        <v/>
      </c>
      <c r="AY281" s="6">
        <f>IF(OR($BJ281="",50&gt;設定!$B$3),"",IF(INDEX(原始資料!BA$2:BA$501,$BJ281)="","",INDEX(原始資料!BA$2:BA$501,$BJ281)))</f>
        <v/>
      </c>
      <c r="AZ281" s="6">
        <f>IF(OR($BJ281="",51&gt;設定!$B$3),"",IF(INDEX(原始資料!BB$2:BB$501,$BJ281)="","",INDEX(原始資料!BB$2:BB$501,$BJ281)))</f>
        <v/>
      </c>
      <c r="BA281" s="6">
        <f>IF(OR($BJ281="",52&gt;設定!$B$3),"",IF(INDEX(原始資料!BC$2:BC$501,$BJ281)="","",INDEX(原始資料!BC$2:BC$501,$BJ281)))</f>
        <v/>
      </c>
      <c r="BB281" s="6">
        <f>IF(OR($BJ281="",53&gt;設定!$B$3),"",IF(INDEX(原始資料!BD$2:BD$501,$BJ281)="","",INDEX(原始資料!BD$2:BD$501,$BJ281)))</f>
        <v/>
      </c>
      <c r="BC281" s="6">
        <f>IF(OR($BJ281="",54&gt;設定!$B$3),"",IF(INDEX(原始資料!BE$2:BE$501,$BJ281)="","",INDEX(原始資料!BE$2:BE$501,$BJ281)))</f>
        <v/>
      </c>
      <c r="BD281" s="6">
        <f>IF(OR($BJ281="",55&gt;設定!$B$3),"",IF(INDEX(原始資料!BF$2:BF$501,$BJ281)="","",INDEX(原始資料!BF$2:BF$501,$BJ281)))</f>
        <v/>
      </c>
      <c r="BE281" s="6">
        <f>IF(OR($BJ281="",56&gt;設定!$B$3),"",IF(INDEX(原始資料!BG$2:BG$501,$BJ281)="","",INDEX(原始資料!BG$2:BG$501,$BJ281)))</f>
        <v/>
      </c>
      <c r="BF281" s="6">
        <f>IF(OR($BJ281="",57&gt;設定!$B$3),"",IF(INDEX(原始資料!BH$2:BH$501,$BJ281)="","",INDEX(原始資料!BH$2:BH$501,$BJ281)))</f>
        <v/>
      </c>
      <c r="BG281" s="6">
        <f>IF(OR($BJ281="",58&gt;設定!$B$3),"",IF(INDEX(原始資料!BI$2:BI$501,$BJ281)="","",INDEX(原始資料!BI$2:BI$501,$BJ281)))</f>
        <v/>
      </c>
      <c r="BH281" s="6">
        <f>IF(OR($BJ281="",59&gt;設定!$B$3),"",IF(INDEX(原始資料!BJ$2:BJ$501,$BJ281)="","",INDEX(原始資料!BJ$2:BJ$501,$BJ281)))</f>
        <v/>
      </c>
      <c r="BI281" s="6">
        <f>IF(OR($BJ281="",60&gt;設定!$B$3),"",IF(INDEX(原始資料!BK$2:BK$501,$BJ281)="","",INDEX(原始資料!BK$2:BK$501,$BJ281)))</f>
        <v/>
      </c>
      <c r="BJ281" s="6">
        <f>IFERROR(MATCH(ROW()-1,判定!$H$2:$H$501,0),"")</f>
        <v/>
      </c>
    </row>
    <row r="282">
      <c r="A282" s="6">
        <f>IF($BJ282="","",INDEX(原始資料!$A$2:$A$501,$BJ282))</f>
        <v/>
      </c>
      <c r="B282" s="6">
        <f>IF(OR($BJ282="",1&gt;設定!$B$3),"",IF(INDEX(原始資料!D$2:D$501,$BJ282)="","",INDEX(原始資料!D$2:D$501,$BJ282)))</f>
        <v/>
      </c>
      <c r="C282" s="6">
        <f>IF(OR($BJ282="",2&gt;設定!$B$3),"",IF(INDEX(原始資料!E$2:E$501,$BJ282)="","",INDEX(原始資料!E$2:E$501,$BJ282)))</f>
        <v/>
      </c>
      <c r="D282" s="6">
        <f>IF(OR($BJ282="",3&gt;設定!$B$3),"",IF(INDEX(原始資料!F$2:F$501,$BJ282)="","",INDEX(原始資料!F$2:F$501,$BJ282)))</f>
        <v/>
      </c>
      <c r="E282" s="6">
        <f>IF(OR($BJ282="",4&gt;設定!$B$3),"",IF(INDEX(原始資料!G$2:G$501,$BJ282)="","",INDEX(原始資料!G$2:G$501,$BJ282)))</f>
        <v/>
      </c>
      <c r="F282" s="6">
        <f>IF(OR($BJ282="",5&gt;設定!$B$3),"",IF(INDEX(原始資料!H$2:H$501,$BJ282)="","",INDEX(原始資料!H$2:H$501,$BJ282)))</f>
        <v/>
      </c>
      <c r="G282" s="6">
        <f>IF(OR($BJ282="",6&gt;設定!$B$3),"",IF(INDEX(原始資料!I$2:I$501,$BJ282)="","",INDEX(原始資料!I$2:I$501,$BJ282)))</f>
        <v/>
      </c>
      <c r="H282" s="6">
        <f>IF(OR($BJ282="",7&gt;設定!$B$3),"",IF(INDEX(原始資料!J$2:J$501,$BJ282)="","",INDEX(原始資料!J$2:J$501,$BJ282)))</f>
        <v/>
      </c>
      <c r="I282" s="6">
        <f>IF(OR($BJ282="",8&gt;設定!$B$3),"",IF(INDEX(原始資料!K$2:K$501,$BJ282)="","",INDEX(原始資料!K$2:K$501,$BJ282)))</f>
        <v/>
      </c>
      <c r="J282" s="6">
        <f>IF(OR($BJ282="",9&gt;設定!$B$3),"",IF(INDEX(原始資料!L$2:L$501,$BJ282)="","",INDEX(原始資料!L$2:L$501,$BJ282)))</f>
        <v/>
      </c>
      <c r="K282" s="6">
        <f>IF(OR($BJ282="",10&gt;設定!$B$3),"",IF(INDEX(原始資料!M$2:M$501,$BJ282)="","",INDEX(原始資料!M$2:M$501,$BJ282)))</f>
        <v/>
      </c>
      <c r="L282" s="6">
        <f>IF(OR($BJ282="",11&gt;設定!$B$3),"",IF(INDEX(原始資料!N$2:N$501,$BJ282)="","",INDEX(原始資料!N$2:N$501,$BJ282)))</f>
        <v/>
      </c>
      <c r="M282" s="6">
        <f>IF(OR($BJ282="",12&gt;設定!$B$3),"",IF(INDEX(原始資料!O$2:O$501,$BJ282)="","",INDEX(原始資料!O$2:O$501,$BJ282)))</f>
        <v/>
      </c>
      <c r="N282" s="6">
        <f>IF(OR($BJ282="",13&gt;設定!$B$3),"",IF(INDEX(原始資料!P$2:P$501,$BJ282)="","",INDEX(原始資料!P$2:P$501,$BJ282)))</f>
        <v/>
      </c>
      <c r="O282" s="6">
        <f>IF(OR($BJ282="",14&gt;設定!$B$3),"",IF(INDEX(原始資料!Q$2:Q$501,$BJ282)="","",INDEX(原始資料!Q$2:Q$501,$BJ282)))</f>
        <v/>
      </c>
      <c r="P282" s="6">
        <f>IF(OR($BJ282="",15&gt;設定!$B$3),"",IF(INDEX(原始資料!R$2:R$501,$BJ282)="","",INDEX(原始資料!R$2:R$501,$BJ282)))</f>
        <v/>
      </c>
      <c r="Q282" s="6">
        <f>IF(OR($BJ282="",16&gt;設定!$B$3),"",IF(INDEX(原始資料!S$2:S$501,$BJ282)="","",INDEX(原始資料!S$2:S$501,$BJ282)))</f>
        <v/>
      </c>
      <c r="R282" s="6">
        <f>IF(OR($BJ282="",17&gt;設定!$B$3),"",IF(INDEX(原始資料!T$2:T$501,$BJ282)="","",INDEX(原始資料!T$2:T$501,$BJ282)))</f>
        <v/>
      </c>
      <c r="S282" s="6">
        <f>IF(OR($BJ282="",18&gt;設定!$B$3),"",IF(INDEX(原始資料!U$2:U$501,$BJ282)="","",INDEX(原始資料!U$2:U$501,$BJ282)))</f>
        <v/>
      </c>
      <c r="T282" s="6">
        <f>IF(OR($BJ282="",19&gt;設定!$B$3),"",IF(INDEX(原始資料!V$2:V$501,$BJ282)="","",INDEX(原始資料!V$2:V$501,$BJ282)))</f>
        <v/>
      </c>
      <c r="U282" s="6">
        <f>IF(OR($BJ282="",20&gt;設定!$B$3),"",IF(INDEX(原始資料!W$2:W$501,$BJ282)="","",INDEX(原始資料!W$2:W$501,$BJ282)))</f>
        <v/>
      </c>
      <c r="V282" s="6">
        <f>IF(OR($BJ282="",21&gt;設定!$B$3),"",IF(INDEX(原始資料!X$2:X$501,$BJ282)="","",INDEX(原始資料!X$2:X$501,$BJ282)))</f>
        <v/>
      </c>
      <c r="W282" s="6">
        <f>IF(OR($BJ282="",22&gt;設定!$B$3),"",IF(INDEX(原始資料!Y$2:Y$501,$BJ282)="","",INDEX(原始資料!Y$2:Y$501,$BJ282)))</f>
        <v/>
      </c>
      <c r="X282" s="6">
        <f>IF(OR($BJ282="",23&gt;設定!$B$3),"",IF(INDEX(原始資料!Z$2:Z$501,$BJ282)="","",INDEX(原始資料!Z$2:Z$501,$BJ282)))</f>
        <v/>
      </c>
      <c r="Y282" s="6">
        <f>IF(OR($BJ282="",24&gt;設定!$B$3),"",IF(INDEX(原始資料!AA$2:AA$501,$BJ282)="","",INDEX(原始資料!AA$2:AA$501,$BJ282)))</f>
        <v/>
      </c>
      <c r="Z282" s="6">
        <f>IF(OR($BJ282="",25&gt;設定!$B$3),"",IF(INDEX(原始資料!AB$2:AB$501,$BJ282)="","",INDEX(原始資料!AB$2:AB$501,$BJ282)))</f>
        <v/>
      </c>
      <c r="AA282" s="6">
        <f>IF(OR($BJ282="",26&gt;設定!$B$3),"",IF(INDEX(原始資料!AC$2:AC$501,$BJ282)="","",INDEX(原始資料!AC$2:AC$501,$BJ282)))</f>
        <v/>
      </c>
      <c r="AB282" s="6">
        <f>IF(OR($BJ282="",27&gt;設定!$B$3),"",IF(INDEX(原始資料!AD$2:AD$501,$BJ282)="","",INDEX(原始資料!AD$2:AD$501,$BJ282)))</f>
        <v/>
      </c>
      <c r="AC282" s="6">
        <f>IF(OR($BJ282="",28&gt;設定!$B$3),"",IF(INDEX(原始資料!AE$2:AE$501,$BJ282)="","",INDEX(原始資料!AE$2:AE$501,$BJ282)))</f>
        <v/>
      </c>
      <c r="AD282" s="6">
        <f>IF(OR($BJ282="",29&gt;設定!$B$3),"",IF(INDEX(原始資料!AF$2:AF$501,$BJ282)="","",INDEX(原始資料!AF$2:AF$501,$BJ282)))</f>
        <v/>
      </c>
      <c r="AE282" s="6">
        <f>IF(OR($BJ282="",30&gt;設定!$B$3),"",IF(INDEX(原始資料!AG$2:AG$501,$BJ282)="","",INDEX(原始資料!AG$2:AG$501,$BJ282)))</f>
        <v/>
      </c>
      <c r="AF282" s="6">
        <f>IF(OR($BJ282="",31&gt;設定!$B$3),"",IF(INDEX(原始資料!AH$2:AH$501,$BJ282)="","",INDEX(原始資料!AH$2:AH$501,$BJ282)))</f>
        <v/>
      </c>
      <c r="AG282" s="6">
        <f>IF(OR($BJ282="",32&gt;設定!$B$3),"",IF(INDEX(原始資料!AI$2:AI$501,$BJ282)="","",INDEX(原始資料!AI$2:AI$501,$BJ282)))</f>
        <v/>
      </c>
      <c r="AH282" s="6">
        <f>IF(OR($BJ282="",33&gt;設定!$B$3),"",IF(INDEX(原始資料!AJ$2:AJ$501,$BJ282)="","",INDEX(原始資料!AJ$2:AJ$501,$BJ282)))</f>
        <v/>
      </c>
      <c r="AI282" s="6">
        <f>IF(OR($BJ282="",34&gt;設定!$B$3),"",IF(INDEX(原始資料!AK$2:AK$501,$BJ282)="","",INDEX(原始資料!AK$2:AK$501,$BJ282)))</f>
        <v/>
      </c>
      <c r="AJ282" s="6">
        <f>IF(OR($BJ282="",35&gt;設定!$B$3),"",IF(INDEX(原始資料!AL$2:AL$501,$BJ282)="","",INDEX(原始資料!AL$2:AL$501,$BJ282)))</f>
        <v/>
      </c>
      <c r="AK282" s="6">
        <f>IF(OR($BJ282="",36&gt;設定!$B$3),"",IF(INDEX(原始資料!AM$2:AM$501,$BJ282)="","",INDEX(原始資料!AM$2:AM$501,$BJ282)))</f>
        <v/>
      </c>
      <c r="AL282" s="6">
        <f>IF(OR($BJ282="",37&gt;設定!$B$3),"",IF(INDEX(原始資料!AN$2:AN$501,$BJ282)="","",INDEX(原始資料!AN$2:AN$501,$BJ282)))</f>
        <v/>
      </c>
      <c r="AM282" s="6">
        <f>IF(OR($BJ282="",38&gt;設定!$B$3),"",IF(INDEX(原始資料!AO$2:AO$501,$BJ282)="","",INDEX(原始資料!AO$2:AO$501,$BJ282)))</f>
        <v/>
      </c>
      <c r="AN282" s="6">
        <f>IF(OR($BJ282="",39&gt;設定!$B$3),"",IF(INDEX(原始資料!AP$2:AP$501,$BJ282)="","",INDEX(原始資料!AP$2:AP$501,$BJ282)))</f>
        <v/>
      </c>
      <c r="AO282" s="6">
        <f>IF(OR($BJ282="",40&gt;設定!$B$3),"",IF(INDEX(原始資料!AQ$2:AQ$501,$BJ282)="","",INDEX(原始資料!AQ$2:AQ$501,$BJ282)))</f>
        <v/>
      </c>
      <c r="AP282" s="6">
        <f>IF(OR($BJ282="",41&gt;設定!$B$3),"",IF(INDEX(原始資料!AR$2:AR$501,$BJ282)="","",INDEX(原始資料!AR$2:AR$501,$BJ282)))</f>
        <v/>
      </c>
      <c r="AQ282" s="6">
        <f>IF(OR($BJ282="",42&gt;設定!$B$3),"",IF(INDEX(原始資料!AS$2:AS$501,$BJ282)="","",INDEX(原始資料!AS$2:AS$501,$BJ282)))</f>
        <v/>
      </c>
      <c r="AR282" s="6">
        <f>IF(OR($BJ282="",43&gt;設定!$B$3),"",IF(INDEX(原始資料!AT$2:AT$501,$BJ282)="","",INDEX(原始資料!AT$2:AT$501,$BJ282)))</f>
        <v/>
      </c>
      <c r="AS282" s="6">
        <f>IF(OR($BJ282="",44&gt;設定!$B$3),"",IF(INDEX(原始資料!AU$2:AU$501,$BJ282)="","",INDEX(原始資料!AU$2:AU$501,$BJ282)))</f>
        <v/>
      </c>
      <c r="AT282" s="6">
        <f>IF(OR($BJ282="",45&gt;設定!$B$3),"",IF(INDEX(原始資料!AV$2:AV$501,$BJ282)="","",INDEX(原始資料!AV$2:AV$501,$BJ282)))</f>
        <v/>
      </c>
      <c r="AU282" s="6">
        <f>IF(OR($BJ282="",46&gt;設定!$B$3),"",IF(INDEX(原始資料!AW$2:AW$501,$BJ282)="","",INDEX(原始資料!AW$2:AW$501,$BJ282)))</f>
        <v/>
      </c>
      <c r="AV282" s="6">
        <f>IF(OR($BJ282="",47&gt;設定!$B$3),"",IF(INDEX(原始資料!AX$2:AX$501,$BJ282)="","",INDEX(原始資料!AX$2:AX$501,$BJ282)))</f>
        <v/>
      </c>
      <c r="AW282" s="6">
        <f>IF(OR($BJ282="",48&gt;設定!$B$3),"",IF(INDEX(原始資料!AY$2:AY$501,$BJ282)="","",INDEX(原始資料!AY$2:AY$501,$BJ282)))</f>
        <v/>
      </c>
      <c r="AX282" s="6">
        <f>IF(OR($BJ282="",49&gt;設定!$B$3),"",IF(INDEX(原始資料!AZ$2:AZ$501,$BJ282)="","",INDEX(原始資料!AZ$2:AZ$501,$BJ282)))</f>
        <v/>
      </c>
      <c r="AY282" s="6">
        <f>IF(OR($BJ282="",50&gt;設定!$B$3),"",IF(INDEX(原始資料!BA$2:BA$501,$BJ282)="","",INDEX(原始資料!BA$2:BA$501,$BJ282)))</f>
        <v/>
      </c>
      <c r="AZ282" s="6">
        <f>IF(OR($BJ282="",51&gt;設定!$B$3),"",IF(INDEX(原始資料!BB$2:BB$501,$BJ282)="","",INDEX(原始資料!BB$2:BB$501,$BJ282)))</f>
        <v/>
      </c>
      <c r="BA282" s="6">
        <f>IF(OR($BJ282="",52&gt;設定!$B$3),"",IF(INDEX(原始資料!BC$2:BC$501,$BJ282)="","",INDEX(原始資料!BC$2:BC$501,$BJ282)))</f>
        <v/>
      </c>
      <c r="BB282" s="6">
        <f>IF(OR($BJ282="",53&gt;設定!$B$3),"",IF(INDEX(原始資料!BD$2:BD$501,$BJ282)="","",INDEX(原始資料!BD$2:BD$501,$BJ282)))</f>
        <v/>
      </c>
      <c r="BC282" s="6">
        <f>IF(OR($BJ282="",54&gt;設定!$B$3),"",IF(INDEX(原始資料!BE$2:BE$501,$BJ282)="","",INDEX(原始資料!BE$2:BE$501,$BJ282)))</f>
        <v/>
      </c>
      <c r="BD282" s="6">
        <f>IF(OR($BJ282="",55&gt;設定!$B$3),"",IF(INDEX(原始資料!BF$2:BF$501,$BJ282)="","",INDEX(原始資料!BF$2:BF$501,$BJ282)))</f>
        <v/>
      </c>
      <c r="BE282" s="6">
        <f>IF(OR($BJ282="",56&gt;設定!$B$3),"",IF(INDEX(原始資料!BG$2:BG$501,$BJ282)="","",INDEX(原始資料!BG$2:BG$501,$BJ282)))</f>
        <v/>
      </c>
      <c r="BF282" s="6">
        <f>IF(OR($BJ282="",57&gt;設定!$B$3),"",IF(INDEX(原始資料!BH$2:BH$501,$BJ282)="","",INDEX(原始資料!BH$2:BH$501,$BJ282)))</f>
        <v/>
      </c>
      <c r="BG282" s="6">
        <f>IF(OR($BJ282="",58&gt;設定!$B$3),"",IF(INDEX(原始資料!BI$2:BI$501,$BJ282)="","",INDEX(原始資料!BI$2:BI$501,$BJ282)))</f>
        <v/>
      </c>
      <c r="BH282" s="6">
        <f>IF(OR($BJ282="",59&gt;設定!$B$3),"",IF(INDEX(原始資料!BJ$2:BJ$501,$BJ282)="","",INDEX(原始資料!BJ$2:BJ$501,$BJ282)))</f>
        <v/>
      </c>
      <c r="BI282" s="6">
        <f>IF(OR($BJ282="",60&gt;設定!$B$3),"",IF(INDEX(原始資料!BK$2:BK$501,$BJ282)="","",INDEX(原始資料!BK$2:BK$501,$BJ282)))</f>
        <v/>
      </c>
      <c r="BJ282" s="6">
        <f>IFERROR(MATCH(ROW()-1,判定!$H$2:$H$501,0),"")</f>
        <v/>
      </c>
    </row>
    <row r="283">
      <c r="A283" s="6">
        <f>IF($BJ283="","",INDEX(原始資料!$A$2:$A$501,$BJ283))</f>
        <v/>
      </c>
      <c r="B283" s="6">
        <f>IF(OR($BJ283="",1&gt;設定!$B$3),"",IF(INDEX(原始資料!D$2:D$501,$BJ283)="","",INDEX(原始資料!D$2:D$501,$BJ283)))</f>
        <v/>
      </c>
      <c r="C283" s="6">
        <f>IF(OR($BJ283="",2&gt;設定!$B$3),"",IF(INDEX(原始資料!E$2:E$501,$BJ283)="","",INDEX(原始資料!E$2:E$501,$BJ283)))</f>
        <v/>
      </c>
      <c r="D283" s="6">
        <f>IF(OR($BJ283="",3&gt;設定!$B$3),"",IF(INDEX(原始資料!F$2:F$501,$BJ283)="","",INDEX(原始資料!F$2:F$501,$BJ283)))</f>
        <v/>
      </c>
      <c r="E283" s="6">
        <f>IF(OR($BJ283="",4&gt;設定!$B$3),"",IF(INDEX(原始資料!G$2:G$501,$BJ283)="","",INDEX(原始資料!G$2:G$501,$BJ283)))</f>
        <v/>
      </c>
      <c r="F283" s="6">
        <f>IF(OR($BJ283="",5&gt;設定!$B$3),"",IF(INDEX(原始資料!H$2:H$501,$BJ283)="","",INDEX(原始資料!H$2:H$501,$BJ283)))</f>
        <v/>
      </c>
      <c r="G283" s="6">
        <f>IF(OR($BJ283="",6&gt;設定!$B$3),"",IF(INDEX(原始資料!I$2:I$501,$BJ283)="","",INDEX(原始資料!I$2:I$501,$BJ283)))</f>
        <v/>
      </c>
      <c r="H283" s="6">
        <f>IF(OR($BJ283="",7&gt;設定!$B$3),"",IF(INDEX(原始資料!J$2:J$501,$BJ283)="","",INDEX(原始資料!J$2:J$501,$BJ283)))</f>
        <v/>
      </c>
      <c r="I283" s="6">
        <f>IF(OR($BJ283="",8&gt;設定!$B$3),"",IF(INDEX(原始資料!K$2:K$501,$BJ283)="","",INDEX(原始資料!K$2:K$501,$BJ283)))</f>
        <v/>
      </c>
      <c r="J283" s="6">
        <f>IF(OR($BJ283="",9&gt;設定!$B$3),"",IF(INDEX(原始資料!L$2:L$501,$BJ283)="","",INDEX(原始資料!L$2:L$501,$BJ283)))</f>
        <v/>
      </c>
      <c r="K283" s="6">
        <f>IF(OR($BJ283="",10&gt;設定!$B$3),"",IF(INDEX(原始資料!M$2:M$501,$BJ283)="","",INDEX(原始資料!M$2:M$501,$BJ283)))</f>
        <v/>
      </c>
      <c r="L283" s="6">
        <f>IF(OR($BJ283="",11&gt;設定!$B$3),"",IF(INDEX(原始資料!N$2:N$501,$BJ283)="","",INDEX(原始資料!N$2:N$501,$BJ283)))</f>
        <v/>
      </c>
      <c r="M283" s="6">
        <f>IF(OR($BJ283="",12&gt;設定!$B$3),"",IF(INDEX(原始資料!O$2:O$501,$BJ283)="","",INDEX(原始資料!O$2:O$501,$BJ283)))</f>
        <v/>
      </c>
      <c r="N283" s="6">
        <f>IF(OR($BJ283="",13&gt;設定!$B$3),"",IF(INDEX(原始資料!P$2:P$501,$BJ283)="","",INDEX(原始資料!P$2:P$501,$BJ283)))</f>
        <v/>
      </c>
      <c r="O283" s="6">
        <f>IF(OR($BJ283="",14&gt;設定!$B$3),"",IF(INDEX(原始資料!Q$2:Q$501,$BJ283)="","",INDEX(原始資料!Q$2:Q$501,$BJ283)))</f>
        <v/>
      </c>
      <c r="P283" s="6">
        <f>IF(OR($BJ283="",15&gt;設定!$B$3),"",IF(INDEX(原始資料!R$2:R$501,$BJ283)="","",INDEX(原始資料!R$2:R$501,$BJ283)))</f>
        <v/>
      </c>
      <c r="Q283" s="6">
        <f>IF(OR($BJ283="",16&gt;設定!$B$3),"",IF(INDEX(原始資料!S$2:S$501,$BJ283)="","",INDEX(原始資料!S$2:S$501,$BJ283)))</f>
        <v/>
      </c>
      <c r="R283" s="6">
        <f>IF(OR($BJ283="",17&gt;設定!$B$3),"",IF(INDEX(原始資料!T$2:T$501,$BJ283)="","",INDEX(原始資料!T$2:T$501,$BJ283)))</f>
        <v/>
      </c>
      <c r="S283" s="6">
        <f>IF(OR($BJ283="",18&gt;設定!$B$3),"",IF(INDEX(原始資料!U$2:U$501,$BJ283)="","",INDEX(原始資料!U$2:U$501,$BJ283)))</f>
        <v/>
      </c>
      <c r="T283" s="6">
        <f>IF(OR($BJ283="",19&gt;設定!$B$3),"",IF(INDEX(原始資料!V$2:V$501,$BJ283)="","",INDEX(原始資料!V$2:V$501,$BJ283)))</f>
        <v/>
      </c>
      <c r="U283" s="6">
        <f>IF(OR($BJ283="",20&gt;設定!$B$3),"",IF(INDEX(原始資料!W$2:W$501,$BJ283)="","",INDEX(原始資料!W$2:W$501,$BJ283)))</f>
        <v/>
      </c>
      <c r="V283" s="6">
        <f>IF(OR($BJ283="",21&gt;設定!$B$3),"",IF(INDEX(原始資料!X$2:X$501,$BJ283)="","",INDEX(原始資料!X$2:X$501,$BJ283)))</f>
        <v/>
      </c>
      <c r="W283" s="6">
        <f>IF(OR($BJ283="",22&gt;設定!$B$3),"",IF(INDEX(原始資料!Y$2:Y$501,$BJ283)="","",INDEX(原始資料!Y$2:Y$501,$BJ283)))</f>
        <v/>
      </c>
      <c r="X283" s="6">
        <f>IF(OR($BJ283="",23&gt;設定!$B$3),"",IF(INDEX(原始資料!Z$2:Z$501,$BJ283)="","",INDEX(原始資料!Z$2:Z$501,$BJ283)))</f>
        <v/>
      </c>
      <c r="Y283" s="6">
        <f>IF(OR($BJ283="",24&gt;設定!$B$3),"",IF(INDEX(原始資料!AA$2:AA$501,$BJ283)="","",INDEX(原始資料!AA$2:AA$501,$BJ283)))</f>
        <v/>
      </c>
      <c r="Z283" s="6">
        <f>IF(OR($BJ283="",25&gt;設定!$B$3),"",IF(INDEX(原始資料!AB$2:AB$501,$BJ283)="","",INDEX(原始資料!AB$2:AB$501,$BJ283)))</f>
        <v/>
      </c>
      <c r="AA283" s="6">
        <f>IF(OR($BJ283="",26&gt;設定!$B$3),"",IF(INDEX(原始資料!AC$2:AC$501,$BJ283)="","",INDEX(原始資料!AC$2:AC$501,$BJ283)))</f>
        <v/>
      </c>
      <c r="AB283" s="6">
        <f>IF(OR($BJ283="",27&gt;設定!$B$3),"",IF(INDEX(原始資料!AD$2:AD$501,$BJ283)="","",INDEX(原始資料!AD$2:AD$501,$BJ283)))</f>
        <v/>
      </c>
      <c r="AC283" s="6">
        <f>IF(OR($BJ283="",28&gt;設定!$B$3),"",IF(INDEX(原始資料!AE$2:AE$501,$BJ283)="","",INDEX(原始資料!AE$2:AE$501,$BJ283)))</f>
        <v/>
      </c>
      <c r="AD283" s="6">
        <f>IF(OR($BJ283="",29&gt;設定!$B$3),"",IF(INDEX(原始資料!AF$2:AF$501,$BJ283)="","",INDEX(原始資料!AF$2:AF$501,$BJ283)))</f>
        <v/>
      </c>
      <c r="AE283" s="6">
        <f>IF(OR($BJ283="",30&gt;設定!$B$3),"",IF(INDEX(原始資料!AG$2:AG$501,$BJ283)="","",INDEX(原始資料!AG$2:AG$501,$BJ283)))</f>
        <v/>
      </c>
      <c r="AF283" s="6">
        <f>IF(OR($BJ283="",31&gt;設定!$B$3),"",IF(INDEX(原始資料!AH$2:AH$501,$BJ283)="","",INDEX(原始資料!AH$2:AH$501,$BJ283)))</f>
        <v/>
      </c>
      <c r="AG283" s="6">
        <f>IF(OR($BJ283="",32&gt;設定!$B$3),"",IF(INDEX(原始資料!AI$2:AI$501,$BJ283)="","",INDEX(原始資料!AI$2:AI$501,$BJ283)))</f>
        <v/>
      </c>
      <c r="AH283" s="6">
        <f>IF(OR($BJ283="",33&gt;設定!$B$3),"",IF(INDEX(原始資料!AJ$2:AJ$501,$BJ283)="","",INDEX(原始資料!AJ$2:AJ$501,$BJ283)))</f>
        <v/>
      </c>
      <c r="AI283" s="6">
        <f>IF(OR($BJ283="",34&gt;設定!$B$3),"",IF(INDEX(原始資料!AK$2:AK$501,$BJ283)="","",INDEX(原始資料!AK$2:AK$501,$BJ283)))</f>
        <v/>
      </c>
      <c r="AJ283" s="6">
        <f>IF(OR($BJ283="",35&gt;設定!$B$3),"",IF(INDEX(原始資料!AL$2:AL$501,$BJ283)="","",INDEX(原始資料!AL$2:AL$501,$BJ283)))</f>
        <v/>
      </c>
      <c r="AK283" s="6">
        <f>IF(OR($BJ283="",36&gt;設定!$B$3),"",IF(INDEX(原始資料!AM$2:AM$501,$BJ283)="","",INDEX(原始資料!AM$2:AM$501,$BJ283)))</f>
        <v/>
      </c>
      <c r="AL283" s="6">
        <f>IF(OR($BJ283="",37&gt;設定!$B$3),"",IF(INDEX(原始資料!AN$2:AN$501,$BJ283)="","",INDEX(原始資料!AN$2:AN$501,$BJ283)))</f>
        <v/>
      </c>
      <c r="AM283" s="6">
        <f>IF(OR($BJ283="",38&gt;設定!$B$3),"",IF(INDEX(原始資料!AO$2:AO$501,$BJ283)="","",INDEX(原始資料!AO$2:AO$501,$BJ283)))</f>
        <v/>
      </c>
      <c r="AN283" s="6">
        <f>IF(OR($BJ283="",39&gt;設定!$B$3),"",IF(INDEX(原始資料!AP$2:AP$501,$BJ283)="","",INDEX(原始資料!AP$2:AP$501,$BJ283)))</f>
        <v/>
      </c>
      <c r="AO283" s="6">
        <f>IF(OR($BJ283="",40&gt;設定!$B$3),"",IF(INDEX(原始資料!AQ$2:AQ$501,$BJ283)="","",INDEX(原始資料!AQ$2:AQ$501,$BJ283)))</f>
        <v/>
      </c>
      <c r="AP283" s="6">
        <f>IF(OR($BJ283="",41&gt;設定!$B$3),"",IF(INDEX(原始資料!AR$2:AR$501,$BJ283)="","",INDEX(原始資料!AR$2:AR$501,$BJ283)))</f>
        <v/>
      </c>
      <c r="AQ283" s="6">
        <f>IF(OR($BJ283="",42&gt;設定!$B$3),"",IF(INDEX(原始資料!AS$2:AS$501,$BJ283)="","",INDEX(原始資料!AS$2:AS$501,$BJ283)))</f>
        <v/>
      </c>
      <c r="AR283" s="6">
        <f>IF(OR($BJ283="",43&gt;設定!$B$3),"",IF(INDEX(原始資料!AT$2:AT$501,$BJ283)="","",INDEX(原始資料!AT$2:AT$501,$BJ283)))</f>
        <v/>
      </c>
      <c r="AS283" s="6">
        <f>IF(OR($BJ283="",44&gt;設定!$B$3),"",IF(INDEX(原始資料!AU$2:AU$501,$BJ283)="","",INDEX(原始資料!AU$2:AU$501,$BJ283)))</f>
        <v/>
      </c>
      <c r="AT283" s="6">
        <f>IF(OR($BJ283="",45&gt;設定!$B$3),"",IF(INDEX(原始資料!AV$2:AV$501,$BJ283)="","",INDEX(原始資料!AV$2:AV$501,$BJ283)))</f>
        <v/>
      </c>
      <c r="AU283" s="6">
        <f>IF(OR($BJ283="",46&gt;設定!$B$3),"",IF(INDEX(原始資料!AW$2:AW$501,$BJ283)="","",INDEX(原始資料!AW$2:AW$501,$BJ283)))</f>
        <v/>
      </c>
      <c r="AV283" s="6">
        <f>IF(OR($BJ283="",47&gt;設定!$B$3),"",IF(INDEX(原始資料!AX$2:AX$501,$BJ283)="","",INDEX(原始資料!AX$2:AX$501,$BJ283)))</f>
        <v/>
      </c>
      <c r="AW283" s="6">
        <f>IF(OR($BJ283="",48&gt;設定!$B$3),"",IF(INDEX(原始資料!AY$2:AY$501,$BJ283)="","",INDEX(原始資料!AY$2:AY$501,$BJ283)))</f>
        <v/>
      </c>
      <c r="AX283" s="6">
        <f>IF(OR($BJ283="",49&gt;設定!$B$3),"",IF(INDEX(原始資料!AZ$2:AZ$501,$BJ283)="","",INDEX(原始資料!AZ$2:AZ$501,$BJ283)))</f>
        <v/>
      </c>
      <c r="AY283" s="6">
        <f>IF(OR($BJ283="",50&gt;設定!$B$3),"",IF(INDEX(原始資料!BA$2:BA$501,$BJ283)="","",INDEX(原始資料!BA$2:BA$501,$BJ283)))</f>
        <v/>
      </c>
      <c r="AZ283" s="6">
        <f>IF(OR($BJ283="",51&gt;設定!$B$3),"",IF(INDEX(原始資料!BB$2:BB$501,$BJ283)="","",INDEX(原始資料!BB$2:BB$501,$BJ283)))</f>
        <v/>
      </c>
      <c r="BA283" s="6">
        <f>IF(OR($BJ283="",52&gt;設定!$B$3),"",IF(INDEX(原始資料!BC$2:BC$501,$BJ283)="","",INDEX(原始資料!BC$2:BC$501,$BJ283)))</f>
        <v/>
      </c>
      <c r="BB283" s="6">
        <f>IF(OR($BJ283="",53&gt;設定!$B$3),"",IF(INDEX(原始資料!BD$2:BD$501,$BJ283)="","",INDEX(原始資料!BD$2:BD$501,$BJ283)))</f>
        <v/>
      </c>
      <c r="BC283" s="6">
        <f>IF(OR($BJ283="",54&gt;設定!$B$3),"",IF(INDEX(原始資料!BE$2:BE$501,$BJ283)="","",INDEX(原始資料!BE$2:BE$501,$BJ283)))</f>
        <v/>
      </c>
      <c r="BD283" s="6">
        <f>IF(OR($BJ283="",55&gt;設定!$B$3),"",IF(INDEX(原始資料!BF$2:BF$501,$BJ283)="","",INDEX(原始資料!BF$2:BF$501,$BJ283)))</f>
        <v/>
      </c>
      <c r="BE283" s="6">
        <f>IF(OR($BJ283="",56&gt;設定!$B$3),"",IF(INDEX(原始資料!BG$2:BG$501,$BJ283)="","",INDEX(原始資料!BG$2:BG$501,$BJ283)))</f>
        <v/>
      </c>
      <c r="BF283" s="6">
        <f>IF(OR($BJ283="",57&gt;設定!$B$3),"",IF(INDEX(原始資料!BH$2:BH$501,$BJ283)="","",INDEX(原始資料!BH$2:BH$501,$BJ283)))</f>
        <v/>
      </c>
      <c r="BG283" s="6">
        <f>IF(OR($BJ283="",58&gt;設定!$B$3),"",IF(INDEX(原始資料!BI$2:BI$501,$BJ283)="","",INDEX(原始資料!BI$2:BI$501,$BJ283)))</f>
        <v/>
      </c>
      <c r="BH283" s="6">
        <f>IF(OR($BJ283="",59&gt;設定!$B$3),"",IF(INDEX(原始資料!BJ$2:BJ$501,$BJ283)="","",INDEX(原始資料!BJ$2:BJ$501,$BJ283)))</f>
        <v/>
      </c>
      <c r="BI283" s="6">
        <f>IF(OR($BJ283="",60&gt;設定!$B$3),"",IF(INDEX(原始資料!BK$2:BK$501,$BJ283)="","",INDEX(原始資料!BK$2:BK$501,$BJ283)))</f>
        <v/>
      </c>
      <c r="BJ283" s="6">
        <f>IFERROR(MATCH(ROW()-1,判定!$H$2:$H$501,0),"")</f>
        <v/>
      </c>
    </row>
    <row r="284">
      <c r="A284" s="6">
        <f>IF($BJ284="","",INDEX(原始資料!$A$2:$A$501,$BJ284))</f>
        <v/>
      </c>
      <c r="B284" s="6">
        <f>IF(OR($BJ284="",1&gt;設定!$B$3),"",IF(INDEX(原始資料!D$2:D$501,$BJ284)="","",INDEX(原始資料!D$2:D$501,$BJ284)))</f>
        <v/>
      </c>
      <c r="C284" s="6">
        <f>IF(OR($BJ284="",2&gt;設定!$B$3),"",IF(INDEX(原始資料!E$2:E$501,$BJ284)="","",INDEX(原始資料!E$2:E$501,$BJ284)))</f>
        <v/>
      </c>
      <c r="D284" s="6">
        <f>IF(OR($BJ284="",3&gt;設定!$B$3),"",IF(INDEX(原始資料!F$2:F$501,$BJ284)="","",INDEX(原始資料!F$2:F$501,$BJ284)))</f>
        <v/>
      </c>
      <c r="E284" s="6">
        <f>IF(OR($BJ284="",4&gt;設定!$B$3),"",IF(INDEX(原始資料!G$2:G$501,$BJ284)="","",INDEX(原始資料!G$2:G$501,$BJ284)))</f>
        <v/>
      </c>
      <c r="F284" s="6">
        <f>IF(OR($BJ284="",5&gt;設定!$B$3),"",IF(INDEX(原始資料!H$2:H$501,$BJ284)="","",INDEX(原始資料!H$2:H$501,$BJ284)))</f>
        <v/>
      </c>
      <c r="G284" s="6">
        <f>IF(OR($BJ284="",6&gt;設定!$B$3),"",IF(INDEX(原始資料!I$2:I$501,$BJ284)="","",INDEX(原始資料!I$2:I$501,$BJ284)))</f>
        <v/>
      </c>
      <c r="H284" s="6">
        <f>IF(OR($BJ284="",7&gt;設定!$B$3),"",IF(INDEX(原始資料!J$2:J$501,$BJ284)="","",INDEX(原始資料!J$2:J$501,$BJ284)))</f>
        <v/>
      </c>
      <c r="I284" s="6">
        <f>IF(OR($BJ284="",8&gt;設定!$B$3),"",IF(INDEX(原始資料!K$2:K$501,$BJ284)="","",INDEX(原始資料!K$2:K$501,$BJ284)))</f>
        <v/>
      </c>
      <c r="J284" s="6">
        <f>IF(OR($BJ284="",9&gt;設定!$B$3),"",IF(INDEX(原始資料!L$2:L$501,$BJ284)="","",INDEX(原始資料!L$2:L$501,$BJ284)))</f>
        <v/>
      </c>
      <c r="K284" s="6">
        <f>IF(OR($BJ284="",10&gt;設定!$B$3),"",IF(INDEX(原始資料!M$2:M$501,$BJ284)="","",INDEX(原始資料!M$2:M$501,$BJ284)))</f>
        <v/>
      </c>
      <c r="L284" s="6">
        <f>IF(OR($BJ284="",11&gt;設定!$B$3),"",IF(INDEX(原始資料!N$2:N$501,$BJ284)="","",INDEX(原始資料!N$2:N$501,$BJ284)))</f>
        <v/>
      </c>
      <c r="M284" s="6">
        <f>IF(OR($BJ284="",12&gt;設定!$B$3),"",IF(INDEX(原始資料!O$2:O$501,$BJ284)="","",INDEX(原始資料!O$2:O$501,$BJ284)))</f>
        <v/>
      </c>
      <c r="N284" s="6">
        <f>IF(OR($BJ284="",13&gt;設定!$B$3),"",IF(INDEX(原始資料!P$2:P$501,$BJ284)="","",INDEX(原始資料!P$2:P$501,$BJ284)))</f>
        <v/>
      </c>
      <c r="O284" s="6">
        <f>IF(OR($BJ284="",14&gt;設定!$B$3),"",IF(INDEX(原始資料!Q$2:Q$501,$BJ284)="","",INDEX(原始資料!Q$2:Q$501,$BJ284)))</f>
        <v/>
      </c>
      <c r="P284" s="6">
        <f>IF(OR($BJ284="",15&gt;設定!$B$3),"",IF(INDEX(原始資料!R$2:R$501,$BJ284)="","",INDEX(原始資料!R$2:R$501,$BJ284)))</f>
        <v/>
      </c>
      <c r="Q284" s="6">
        <f>IF(OR($BJ284="",16&gt;設定!$B$3),"",IF(INDEX(原始資料!S$2:S$501,$BJ284)="","",INDEX(原始資料!S$2:S$501,$BJ284)))</f>
        <v/>
      </c>
      <c r="R284" s="6">
        <f>IF(OR($BJ284="",17&gt;設定!$B$3),"",IF(INDEX(原始資料!T$2:T$501,$BJ284)="","",INDEX(原始資料!T$2:T$501,$BJ284)))</f>
        <v/>
      </c>
      <c r="S284" s="6">
        <f>IF(OR($BJ284="",18&gt;設定!$B$3),"",IF(INDEX(原始資料!U$2:U$501,$BJ284)="","",INDEX(原始資料!U$2:U$501,$BJ284)))</f>
        <v/>
      </c>
      <c r="T284" s="6">
        <f>IF(OR($BJ284="",19&gt;設定!$B$3),"",IF(INDEX(原始資料!V$2:V$501,$BJ284)="","",INDEX(原始資料!V$2:V$501,$BJ284)))</f>
        <v/>
      </c>
      <c r="U284" s="6">
        <f>IF(OR($BJ284="",20&gt;設定!$B$3),"",IF(INDEX(原始資料!W$2:W$501,$BJ284)="","",INDEX(原始資料!W$2:W$501,$BJ284)))</f>
        <v/>
      </c>
      <c r="V284" s="6">
        <f>IF(OR($BJ284="",21&gt;設定!$B$3),"",IF(INDEX(原始資料!X$2:X$501,$BJ284)="","",INDEX(原始資料!X$2:X$501,$BJ284)))</f>
        <v/>
      </c>
      <c r="W284" s="6">
        <f>IF(OR($BJ284="",22&gt;設定!$B$3),"",IF(INDEX(原始資料!Y$2:Y$501,$BJ284)="","",INDEX(原始資料!Y$2:Y$501,$BJ284)))</f>
        <v/>
      </c>
      <c r="X284" s="6">
        <f>IF(OR($BJ284="",23&gt;設定!$B$3),"",IF(INDEX(原始資料!Z$2:Z$501,$BJ284)="","",INDEX(原始資料!Z$2:Z$501,$BJ284)))</f>
        <v/>
      </c>
      <c r="Y284" s="6">
        <f>IF(OR($BJ284="",24&gt;設定!$B$3),"",IF(INDEX(原始資料!AA$2:AA$501,$BJ284)="","",INDEX(原始資料!AA$2:AA$501,$BJ284)))</f>
        <v/>
      </c>
      <c r="Z284" s="6">
        <f>IF(OR($BJ284="",25&gt;設定!$B$3),"",IF(INDEX(原始資料!AB$2:AB$501,$BJ284)="","",INDEX(原始資料!AB$2:AB$501,$BJ284)))</f>
        <v/>
      </c>
      <c r="AA284" s="6">
        <f>IF(OR($BJ284="",26&gt;設定!$B$3),"",IF(INDEX(原始資料!AC$2:AC$501,$BJ284)="","",INDEX(原始資料!AC$2:AC$501,$BJ284)))</f>
        <v/>
      </c>
      <c r="AB284" s="6">
        <f>IF(OR($BJ284="",27&gt;設定!$B$3),"",IF(INDEX(原始資料!AD$2:AD$501,$BJ284)="","",INDEX(原始資料!AD$2:AD$501,$BJ284)))</f>
        <v/>
      </c>
      <c r="AC284" s="6">
        <f>IF(OR($BJ284="",28&gt;設定!$B$3),"",IF(INDEX(原始資料!AE$2:AE$501,$BJ284)="","",INDEX(原始資料!AE$2:AE$501,$BJ284)))</f>
        <v/>
      </c>
      <c r="AD284" s="6">
        <f>IF(OR($BJ284="",29&gt;設定!$B$3),"",IF(INDEX(原始資料!AF$2:AF$501,$BJ284)="","",INDEX(原始資料!AF$2:AF$501,$BJ284)))</f>
        <v/>
      </c>
      <c r="AE284" s="6">
        <f>IF(OR($BJ284="",30&gt;設定!$B$3),"",IF(INDEX(原始資料!AG$2:AG$501,$BJ284)="","",INDEX(原始資料!AG$2:AG$501,$BJ284)))</f>
        <v/>
      </c>
      <c r="AF284" s="6">
        <f>IF(OR($BJ284="",31&gt;設定!$B$3),"",IF(INDEX(原始資料!AH$2:AH$501,$BJ284)="","",INDEX(原始資料!AH$2:AH$501,$BJ284)))</f>
        <v/>
      </c>
      <c r="AG284" s="6">
        <f>IF(OR($BJ284="",32&gt;設定!$B$3),"",IF(INDEX(原始資料!AI$2:AI$501,$BJ284)="","",INDEX(原始資料!AI$2:AI$501,$BJ284)))</f>
        <v/>
      </c>
      <c r="AH284" s="6">
        <f>IF(OR($BJ284="",33&gt;設定!$B$3),"",IF(INDEX(原始資料!AJ$2:AJ$501,$BJ284)="","",INDEX(原始資料!AJ$2:AJ$501,$BJ284)))</f>
        <v/>
      </c>
      <c r="AI284" s="6">
        <f>IF(OR($BJ284="",34&gt;設定!$B$3),"",IF(INDEX(原始資料!AK$2:AK$501,$BJ284)="","",INDEX(原始資料!AK$2:AK$501,$BJ284)))</f>
        <v/>
      </c>
      <c r="AJ284" s="6">
        <f>IF(OR($BJ284="",35&gt;設定!$B$3),"",IF(INDEX(原始資料!AL$2:AL$501,$BJ284)="","",INDEX(原始資料!AL$2:AL$501,$BJ284)))</f>
        <v/>
      </c>
      <c r="AK284" s="6">
        <f>IF(OR($BJ284="",36&gt;設定!$B$3),"",IF(INDEX(原始資料!AM$2:AM$501,$BJ284)="","",INDEX(原始資料!AM$2:AM$501,$BJ284)))</f>
        <v/>
      </c>
      <c r="AL284" s="6">
        <f>IF(OR($BJ284="",37&gt;設定!$B$3),"",IF(INDEX(原始資料!AN$2:AN$501,$BJ284)="","",INDEX(原始資料!AN$2:AN$501,$BJ284)))</f>
        <v/>
      </c>
      <c r="AM284" s="6">
        <f>IF(OR($BJ284="",38&gt;設定!$B$3),"",IF(INDEX(原始資料!AO$2:AO$501,$BJ284)="","",INDEX(原始資料!AO$2:AO$501,$BJ284)))</f>
        <v/>
      </c>
      <c r="AN284" s="6">
        <f>IF(OR($BJ284="",39&gt;設定!$B$3),"",IF(INDEX(原始資料!AP$2:AP$501,$BJ284)="","",INDEX(原始資料!AP$2:AP$501,$BJ284)))</f>
        <v/>
      </c>
      <c r="AO284" s="6">
        <f>IF(OR($BJ284="",40&gt;設定!$B$3),"",IF(INDEX(原始資料!AQ$2:AQ$501,$BJ284)="","",INDEX(原始資料!AQ$2:AQ$501,$BJ284)))</f>
        <v/>
      </c>
      <c r="AP284" s="6">
        <f>IF(OR($BJ284="",41&gt;設定!$B$3),"",IF(INDEX(原始資料!AR$2:AR$501,$BJ284)="","",INDEX(原始資料!AR$2:AR$501,$BJ284)))</f>
        <v/>
      </c>
      <c r="AQ284" s="6">
        <f>IF(OR($BJ284="",42&gt;設定!$B$3),"",IF(INDEX(原始資料!AS$2:AS$501,$BJ284)="","",INDEX(原始資料!AS$2:AS$501,$BJ284)))</f>
        <v/>
      </c>
      <c r="AR284" s="6">
        <f>IF(OR($BJ284="",43&gt;設定!$B$3),"",IF(INDEX(原始資料!AT$2:AT$501,$BJ284)="","",INDEX(原始資料!AT$2:AT$501,$BJ284)))</f>
        <v/>
      </c>
      <c r="AS284" s="6">
        <f>IF(OR($BJ284="",44&gt;設定!$B$3),"",IF(INDEX(原始資料!AU$2:AU$501,$BJ284)="","",INDEX(原始資料!AU$2:AU$501,$BJ284)))</f>
        <v/>
      </c>
      <c r="AT284" s="6">
        <f>IF(OR($BJ284="",45&gt;設定!$B$3),"",IF(INDEX(原始資料!AV$2:AV$501,$BJ284)="","",INDEX(原始資料!AV$2:AV$501,$BJ284)))</f>
        <v/>
      </c>
      <c r="AU284" s="6">
        <f>IF(OR($BJ284="",46&gt;設定!$B$3),"",IF(INDEX(原始資料!AW$2:AW$501,$BJ284)="","",INDEX(原始資料!AW$2:AW$501,$BJ284)))</f>
        <v/>
      </c>
      <c r="AV284" s="6">
        <f>IF(OR($BJ284="",47&gt;設定!$B$3),"",IF(INDEX(原始資料!AX$2:AX$501,$BJ284)="","",INDEX(原始資料!AX$2:AX$501,$BJ284)))</f>
        <v/>
      </c>
      <c r="AW284" s="6">
        <f>IF(OR($BJ284="",48&gt;設定!$B$3),"",IF(INDEX(原始資料!AY$2:AY$501,$BJ284)="","",INDEX(原始資料!AY$2:AY$501,$BJ284)))</f>
        <v/>
      </c>
      <c r="AX284" s="6">
        <f>IF(OR($BJ284="",49&gt;設定!$B$3),"",IF(INDEX(原始資料!AZ$2:AZ$501,$BJ284)="","",INDEX(原始資料!AZ$2:AZ$501,$BJ284)))</f>
        <v/>
      </c>
      <c r="AY284" s="6">
        <f>IF(OR($BJ284="",50&gt;設定!$B$3),"",IF(INDEX(原始資料!BA$2:BA$501,$BJ284)="","",INDEX(原始資料!BA$2:BA$501,$BJ284)))</f>
        <v/>
      </c>
      <c r="AZ284" s="6">
        <f>IF(OR($BJ284="",51&gt;設定!$B$3),"",IF(INDEX(原始資料!BB$2:BB$501,$BJ284)="","",INDEX(原始資料!BB$2:BB$501,$BJ284)))</f>
        <v/>
      </c>
      <c r="BA284" s="6">
        <f>IF(OR($BJ284="",52&gt;設定!$B$3),"",IF(INDEX(原始資料!BC$2:BC$501,$BJ284)="","",INDEX(原始資料!BC$2:BC$501,$BJ284)))</f>
        <v/>
      </c>
      <c r="BB284" s="6">
        <f>IF(OR($BJ284="",53&gt;設定!$B$3),"",IF(INDEX(原始資料!BD$2:BD$501,$BJ284)="","",INDEX(原始資料!BD$2:BD$501,$BJ284)))</f>
        <v/>
      </c>
      <c r="BC284" s="6">
        <f>IF(OR($BJ284="",54&gt;設定!$B$3),"",IF(INDEX(原始資料!BE$2:BE$501,$BJ284)="","",INDEX(原始資料!BE$2:BE$501,$BJ284)))</f>
        <v/>
      </c>
      <c r="BD284" s="6">
        <f>IF(OR($BJ284="",55&gt;設定!$B$3),"",IF(INDEX(原始資料!BF$2:BF$501,$BJ284)="","",INDEX(原始資料!BF$2:BF$501,$BJ284)))</f>
        <v/>
      </c>
      <c r="BE284" s="6">
        <f>IF(OR($BJ284="",56&gt;設定!$B$3),"",IF(INDEX(原始資料!BG$2:BG$501,$BJ284)="","",INDEX(原始資料!BG$2:BG$501,$BJ284)))</f>
        <v/>
      </c>
      <c r="BF284" s="6">
        <f>IF(OR($BJ284="",57&gt;設定!$B$3),"",IF(INDEX(原始資料!BH$2:BH$501,$BJ284)="","",INDEX(原始資料!BH$2:BH$501,$BJ284)))</f>
        <v/>
      </c>
      <c r="BG284" s="6">
        <f>IF(OR($BJ284="",58&gt;設定!$B$3),"",IF(INDEX(原始資料!BI$2:BI$501,$BJ284)="","",INDEX(原始資料!BI$2:BI$501,$BJ284)))</f>
        <v/>
      </c>
      <c r="BH284" s="6">
        <f>IF(OR($BJ284="",59&gt;設定!$B$3),"",IF(INDEX(原始資料!BJ$2:BJ$501,$BJ284)="","",INDEX(原始資料!BJ$2:BJ$501,$BJ284)))</f>
        <v/>
      </c>
      <c r="BI284" s="6">
        <f>IF(OR($BJ284="",60&gt;設定!$B$3),"",IF(INDEX(原始資料!BK$2:BK$501,$BJ284)="","",INDEX(原始資料!BK$2:BK$501,$BJ284)))</f>
        <v/>
      </c>
      <c r="BJ284" s="6">
        <f>IFERROR(MATCH(ROW()-1,判定!$H$2:$H$501,0),"")</f>
        <v/>
      </c>
    </row>
    <row r="285">
      <c r="A285" s="6">
        <f>IF($BJ285="","",INDEX(原始資料!$A$2:$A$501,$BJ285))</f>
        <v/>
      </c>
      <c r="B285" s="6">
        <f>IF(OR($BJ285="",1&gt;設定!$B$3),"",IF(INDEX(原始資料!D$2:D$501,$BJ285)="","",INDEX(原始資料!D$2:D$501,$BJ285)))</f>
        <v/>
      </c>
      <c r="C285" s="6">
        <f>IF(OR($BJ285="",2&gt;設定!$B$3),"",IF(INDEX(原始資料!E$2:E$501,$BJ285)="","",INDEX(原始資料!E$2:E$501,$BJ285)))</f>
        <v/>
      </c>
      <c r="D285" s="6">
        <f>IF(OR($BJ285="",3&gt;設定!$B$3),"",IF(INDEX(原始資料!F$2:F$501,$BJ285)="","",INDEX(原始資料!F$2:F$501,$BJ285)))</f>
        <v/>
      </c>
      <c r="E285" s="6">
        <f>IF(OR($BJ285="",4&gt;設定!$B$3),"",IF(INDEX(原始資料!G$2:G$501,$BJ285)="","",INDEX(原始資料!G$2:G$501,$BJ285)))</f>
        <v/>
      </c>
      <c r="F285" s="6">
        <f>IF(OR($BJ285="",5&gt;設定!$B$3),"",IF(INDEX(原始資料!H$2:H$501,$BJ285)="","",INDEX(原始資料!H$2:H$501,$BJ285)))</f>
        <v/>
      </c>
      <c r="G285" s="6">
        <f>IF(OR($BJ285="",6&gt;設定!$B$3),"",IF(INDEX(原始資料!I$2:I$501,$BJ285)="","",INDEX(原始資料!I$2:I$501,$BJ285)))</f>
        <v/>
      </c>
      <c r="H285" s="6">
        <f>IF(OR($BJ285="",7&gt;設定!$B$3),"",IF(INDEX(原始資料!J$2:J$501,$BJ285)="","",INDEX(原始資料!J$2:J$501,$BJ285)))</f>
        <v/>
      </c>
      <c r="I285" s="6">
        <f>IF(OR($BJ285="",8&gt;設定!$B$3),"",IF(INDEX(原始資料!K$2:K$501,$BJ285)="","",INDEX(原始資料!K$2:K$501,$BJ285)))</f>
        <v/>
      </c>
      <c r="J285" s="6">
        <f>IF(OR($BJ285="",9&gt;設定!$B$3),"",IF(INDEX(原始資料!L$2:L$501,$BJ285)="","",INDEX(原始資料!L$2:L$501,$BJ285)))</f>
        <v/>
      </c>
      <c r="K285" s="6">
        <f>IF(OR($BJ285="",10&gt;設定!$B$3),"",IF(INDEX(原始資料!M$2:M$501,$BJ285)="","",INDEX(原始資料!M$2:M$501,$BJ285)))</f>
        <v/>
      </c>
      <c r="L285" s="6">
        <f>IF(OR($BJ285="",11&gt;設定!$B$3),"",IF(INDEX(原始資料!N$2:N$501,$BJ285)="","",INDEX(原始資料!N$2:N$501,$BJ285)))</f>
        <v/>
      </c>
      <c r="M285" s="6">
        <f>IF(OR($BJ285="",12&gt;設定!$B$3),"",IF(INDEX(原始資料!O$2:O$501,$BJ285)="","",INDEX(原始資料!O$2:O$501,$BJ285)))</f>
        <v/>
      </c>
      <c r="N285" s="6">
        <f>IF(OR($BJ285="",13&gt;設定!$B$3),"",IF(INDEX(原始資料!P$2:P$501,$BJ285)="","",INDEX(原始資料!P$2:P$501,$BJ285)))</f>
        <v/>
      </c>
      <c r="O285" s="6">
        <f>IF(OR($BJ285="",14&gt;設定!$B$3),"",IF(INDEX(原始資料!Q$2:Q$501,$BJ285)="","",INDEX(原始資料!Q$2:Q$501,$BJ285)))</f>
        <v/>
      </c>
      <c r="P285" s="6">
        <f>IF(OR($BJ285="",15&gt;設定!$B$3),"",IF(INDEX(原始資料!R$2:R$501,$BJ285)="","",INDEX(原始資料!R$2:R$501,$BJ285)))</f>
        <v/>
      </c>
      <c r="Q285" s="6">
        <f>IF(OR($BJ285="",16&gt;設定!$B$3),"",IF(INDEX(原始資料!S$2:S$501,$BJ285)="","",INDEX(原始資料!S$2:S$501,$BJ285)))</f>
        <v/>
      </c>
      <c r="R285" s="6">
        <f>IF(OR($BJ285="",17&gt;設定!$B$3),"",IF(INDEX(原始資料!T$2:T$501,$BJ285)="","",INDEX(原始資料!T$2:T$501,$BJ285)))</f>
        <v/>
      </c>
      <c r="S285" s="6">
        <f>IF(OR($BJ285="",18&gt;設定!$B$3),"",IF(INDEX(原始資料!U$2:U$501,$BJ285)="","",INDEX(原始資料!U$2:U$501,$BJ285)))</f>
        <v/>
      </c>
      <c r="T285" s="6">
        <f>IF(OR($BJ285="",19&gt;設定!$B$3),"",IF(INDEX(原始資料!V$2:V$501,$BJ285)="","",INDEX(原始資料!V$2:V$501,$BJ285)))</f>
        <v/>
      </c>
      <c r="U285" s="6">
        <f>IF(OR($BJ285="",20&gt;設定!$B$3),"",IF(INDEX(原始資料!W$2:W$501,$BJ285)="","",INDEX(原始資料!W$2:W$501,$BJ285)))</f>
        <v/>
      </c>
      <c r="V285" s="6">
        <f>IF(OR($BJ285="",21&gt;設定!$B$3),"",IF(INDEX(原始資料!X$2:X$501,$BJ285)="","",INDEX(原始資料!X$2:X$501,$BJ285)))</f>
        <v/>
      </c>
      <c r="W285" s="6">
        <f>IF(OR($BJ285="",22&gt;設定!$B$3),"",IF(INDEX(原始資料!Y$2:Y$501,$BJ285)="","",INDEX(原始資料!Y$2:Y$501,$BJ285)))</f>
        <v/>
      </c>
      <c r="X285" s="6">
        <f>IF(OR($BJ285="",23&gt;設定!$B$3),"",IF(INDEX(原始資料!Z$2:Z$501,$BJ285)="","",INDEX(原始資料!Z$2:Z$501,$BJ285)))</f>
        <v/>
      </c>
      <c r="Y285" s="6">
        <f>IF(OR($BJ285="",24&gt;設定!$B$3),"",IF(INDEX(原始資料!AA$2:AA$501,$BJ285)="","",INDEX(原始資料!AA$2:AA$501,$BJ285)))</f>
        <v/>
      </c>
      <c r="Z285" s="6">
        <f>IF(OR($BJ285="",25&gt;設定!$B$3),"",IF(INDEX(原始資料!AB$2:AB$501,$BJ285)="","",INDEX(原始資料!AB$2:AB$501,$BJ285)))</f>
        <v/>
      </c>
      <c r="AA285" s="6">
        <f>IF(OR($BJ285="",26&gt;設定!$B$3),"",IF(INDEX(原始資料!AC$2:AC$501,$BJ285)="","",INDEX(原始資料!AC$2:AC$501,$BJ285)))</f>
        <v/>
      </c>
      <c r="AB285" s="6">
        <f>IF(OR($BJ285="",27&gt;設定!$B$3),"",IF(INDEX(原始資料!AD$2:AD$501,$BJ285)="","",INDEX(原始資料!AD$2:AD$501,$BJ285)))</f>
        <v/>
      </c>
      <c r="AC285" s="6">
        <f>IF(OR($BJ285="",28&gt;設定!$B$3),"",IF(INDEX(原始資料!AE$2:AE$501,$BJ285)="","",INDEX(原始資料!AE$2:AE$501,$BJ285)))</f>
        <v/>
      </c>
      <c r="AD285" s="6">
        <f>IF(OR($BJ285="",29&gt;設定!$B$3),"",IF(INDEX(原始資料!AF$2:AF$501,$BJ285)="","",INDEX(原始資料!AF$2:AF$501,$BJ285)))</f>
        <v/>
      </c>
      <c r="AE285" s="6">
        <f>IF(OR($BJ285="",30&gt;設定!$B$3),"",IF(INDEX(原始資料!AG$2:AG$501,$BJ285)="","",INDEX(原始資料!AG$2:AG$501,$BJ285)))</f>
        <v/>
      </c>
      <c r="AF285" s="6">
        <f>IF(OR($BJ285="",31&gt;設定!$B$3),"",IF(INDEX(原始資料!AH$2:AH$501,$BJ285)="","",INDEX(原始資料!AH$2:AH$501,$BJ285)))</f>
        <v/>
      </c>
      <c r="AG285" s="6">
        <f>IF(OR($BJ285="",32&gt;設定!$B$3),"",IF(INDEX(原始資料!AI$2:AI$501,$BJ285)="","",INDEX(原始資料!AI$2:AI$501,$BJ285)))</f>
        <v/>
      </c>
      <c r="AH285" s="6">
        <f>IF(OR($BJ285="",33&gt;設定!$B$3),"",IF(INDEX(原始資料!AJ$2:AJ$501,$BJ285)="","",INDEX(原始資料!AJ$2:AJ$501,$BJ285)))</f>
        <v/>
      </c>
      <c r="AI285" s="6">
        <f>IF(OR($BJ285="",34&gt;設定!$B$3),"",IF(INDEX(原始資料!AK$2:AK$501,$BJ285)="","",INDEX(原始資料!AK$2:AK$501,$BJ285)))</f>
        <v/>
      </c>
      <c r="AJ285" s="6">
        <f>IF(OR($BJ285="",35&gt;設定!$B$3),"",IF(INDEX(原始資料!AL$2:AL$501,$BJ285)="","",INDEX(原始資料!AL$2:AL$501,$BJ285)))</f>
        <v/>
      </c>
      <c r="AK285" s="6">
        <f>IF(OR($BJ285="",36&gt;設定!$B$3),"",IF(INDEX(原始資料!AM$2:AM$501,$BJ285)="","",INDEX(原始資料!AM$2:AM$501,$BJ285)))</f>
        <v/>
      </c>
      <c r="AL285" s="6">
        <f>IF(OR($BJ285="",37&gt;設定!$B$3),"",IF(INDEX(原始資料!AN$2:AN$501,$BJ285)="","",INDEX(原始資料!AN$2:AN$501,$BJ285)))</f>
        <v/>
      </c>
      <c r="AM285" s="6">
        <f>IF(OR($BJ285="",38&gt;設定!$B$3),"",IF(INDEX(原始資料!AO$2:AO$501,$BJ285)="","",INDEX(原始資料!AO$2:AO$501,$BJ285)))</f>
        <v/>
      </c>
      <c r="AN285" s="6">
        <f>IF(OR($BJ285="",39&gt;設定!$B$3),"",IF(INDEX(原始資料!AP$2:AP$501,$BJ285)="","",INDEX(原始資料!AP$2:AP$501,$BJ285)))</f>
        <v/>
      </c>
      <c r="AO285" s="6">
        <f>IF(OR($BJ285="",40&gt;設定!$B$3),"",IF(INDEX(原始資料!AQ$2:AQ$501,$BJ285)="","",INDEX(原始資料!AQ$2:AQ$501,$BJ285)))</f>
        <v/>
      </c>
      <c r="AP285" s="6">
        <f>IF(OR($BJ285="",41&gt;設定!$B$3),"",IF(INDEX(原始資料!AR$2:AR$501,$BJ285)="","",INDEX(原始資料!AR$2:AR$501,$BJ285)))</f>
        <v/>
      </c>
      <c r="AQ285" s="6">
        <f>IF(OR($BJ285="",42&gt;設定!$B$3),"",IF(INDEX(原始資料!AS$2:AS$501,$BJ285)="","",INDEX(原始資料!AS$2:AS$501,$BJ285)))</f>
        <v/>
      </c>
      <c r="AR285" s="6">
        <f>IF(OR($BJ285="",43&gt;設定!$B$3),"",IF(INDEX(原始資料!AT$2:AT$501,$BJ285)="","",INDEX(原始資料!AT$2:AT$501,$BJ285)))</f>
        <v/>
      </c>
      <c r="AS285" s="6">
        <f>IF(OR($BJ285="",44&gt;設定!$B$3),"",IF(INDEX(原始資料!AU$2:AU$501,$BJ285)="","",INDEX(原始資料!AU$2:AU$501,$BJ285)))</f>
        <v/>
      </c>
      <c r="AT285" s="6">
        <f>IF(OR($BJ285="",45&gt;設定!$B$3),"",IF(INDEX(原始資料!AV$2:AV$501,$BJ285)="","",INDEX(原始資料!AV$2:AV$501,$BJ285)))</f>
        <v/>
      </c>
      <c r="AU285" s="6">
        <f>IF(OR($BJ285="",46&gt;設定!$B$3),"",IF(INDEX(原始資料!AW$2:AW$501,$BJ285)="","",INDEX(原始資料!AW$2:AW$501,$BJ285)))</f>
        <v/>
      </c>
      <c r="AV285" s="6">
        <f>IF(OR($BJ285="",47&gt;設定!$B$3),"",IF(INDEX(原始資料!AX$2:AX$501,$BJ285)="","",INDEX(原始資料!AX$2:AX$501,$BJ285)))</f>
        <v/>
      </c>
      <c r="AW285" s="6">
        <f>IF(OR($BJ285="",48&gt;設定!$B$3),"",IF(INDEX(原始資料!AY$2:AY$501,$BJ285)="","",INDEX(原始資料!AY$2:AY$501,$BJ285)))</f>
        <v/>
      </c>
      <c r="AX285" s="6">
        <f>IF(OR($BJ285="",49&gt;設定!$B$3),"",IF(INDEX(原始資料!AZ$2:AZ$501,$BJ285)="","",INDEX(原始資料!AZ$2:AZ$501,$BJ285)))</f>
        <v/>
      </c>
      <c r="AY285" s="6">
        <f>IF(OR($BJ285="",50&gt;設定!$B$3),"",IF(INDEX(原始資料!BA$2:BA$501,$BJ285)="","",INDEX(原始資料!BA$2:BA$501,$BJ285)))</f>
        <v/>
      </c>
      <c r="AZ285" s="6">
        <f>IF(OR($BJ285="",51&gt;設定!$B$3),"",IF(INDEX(原始資料!BB$2:BB$501,$BJ285)="","",INDEX(原始資料!BB$2:BB$501,$BJ285)))</f>
        <v/>
      </c>
      <c r="BA285" s="6">
        <f>IF(OR($BJ285="",52&gt;設定!$B$3),"",IF(INDEX(原始資料!BC$2:BC$501,$BJ285)="","",INDEX(原始資料!BC$2:BC$501,$BJ285)))</f>
        <v/>
      </c>
      <c r="BB285" s="6">
        <f>IF(OR($BJ285="",53&gt;設定!$B$3),"",IF(INDEX(原始資料!BD$2:BD$501,$BJ285)="","",INDEX(原始資料!BD$2:BD$501,$BJ285)))</f>
        <v/>
      </c>
      <c r="BC285" s="6">
        <f>IF(OR($BJ285="",54&gt;設定!$B$3),"",IF(INDEX(原始資料!BE$2:BE$501,$BJ285)="","",INDEX(原始資料!BE$2:BE$501,$BJ285)))</f>
        <v/>
      </c>
      <c r="BD285" s="6">
        <f>IF(OR($BJ285="",55&gt;設定!$B$3),"",IF(INDEX(原始資料!BF$2:BF$501,$BJ285)="","",INDEX(原始資料!BF$2:BF$501,$BJ285)))</f>
        <v/>
      </c>
      <c r="BE285" s="6">
        <f>IF(OR($BJ285="",56&gt;設定!$B$3),"",IF(INDEX(原始資料!BG$2:BG$501,$BJ285)="","",INDEX(原始資料!BG$2:BG$501,$BJ285)))</f>
        <v/>
      </c>
      <c r="BF285" s="6">
        <f>IF(OR($BJ285="",57&gt;設定!$B$3),"",IF(INDEX(原始資料!BH$2:BH$501,$BJ285)="","",INDEX(原始資料!BH$2:BH$501,$BJ285)))</f>
        <v/>
      </c>
      <c r="BG285" s="6">
        <f>IF(OR($BJ285="",58&gt;設定!$B$3),"",IF(INDEX(原始資料!BI$2:BI$501,$BJ285)="","",INDEX(原始資料!BI$2:BI$501,$BJ285)))</f>
        <v/>
      </c>
      <c r="BH285" s="6">
        <f>IF(OR($BJ285="",59&gt;設定!$B$3),"",IF(INDEX(原始資料!BJ$2:BJ$501,$BJ285)="","",INDEX(原始資料!BJ$2:BJ$501,$BJ285)))</f>
        <v/>
      </c>
      <c r="BI285" s="6">
        <f>IF(OR($BJ285="",60&gt;設定!$B$3),"",IF(INDEX(原始資料!BK$2:BK$501,$BJ285)="","",INDEX(原始資料!BK$2:BK$501,$BJ285)))</f>
        <v/>
      </c>
      <c r="BJ285" s="6">
        <f>IFERROR(MATCH(ROW()-1,判定!$H$2:$H$501,0),"")</f>
        <v/>
      </c>
    </row>
    <row r="286">
      <c r="A286" s="6">
        <f>IF($BJ286="","",INDEX(原始資料!$A$2:$A$501,$BJ286))</f>
        <v/>
      </c>
      <c r="B286" s="6">
        <f>IF(OR($BJ286="",1&gt;設定!$B$3),"",IF(INDEX(原始資料!D$2:D$501,$BJ286)="","",INDEX(原始資料!D$2:D$501,$BJ286)))</f>
        <v/>
      </c>
      <c r="C286" s="6">
        <f>IF(OR($BJ286="",2&gt;設定!$B$3),"",IF(INDEX(原始資料!E$2:E$501,$BJ286)="","",INDEX(原始資料!E$2:E$501,$BJ286)))</f>
        <v/>
      </c>
      <c r="D286" s="6">
        <f>IF(OR($BJ286="",3&gt;設定!$B$3),"",IF(INDEX(原始資料!F$2:F$501,$BJ286)="","",INDEX(原始資料!F$2:F$501,$BJ286)))</f>
        <v/>
      </c>
      <c r="E286" s="6">
        <f>IF(OR($BJ286="",4&gt;設定!$B$3),"",IF(INDEX(原始資料!G$2:G$501,$BJ286)="","",INDEX(原始資料!G$2:G$501,$BJ286)))</f>
        <v/>
      </c>
      <c r="F286" s="6">
        <f>IF(OR($BJ286="",5&gt;設定!$B$3),"",IF(INDEX(原始資料!H$2:H$501,$BJ286)="","",INDEX(原始資料!H$2:H$501,$BJ286)))</f>
        <v/>
      </c>
      <c r="G286" s="6">
        <f>IF(OR($BJ286="",6&gt;設定!$B$3),"",IF(INDEX(原始資料!I$2:I$501,$BJ286)="","",INDEX(原始資料!I$2:I$501,$BJ286)))</f>
        <v/>
      </c>
      <c r="H286" s="6">
        <f>IF(OR($BJ286="",7&gt;設定!$B$3),"",IF(INDEX(原始資料!J$2:J$501,$BJ286)="","",INDEX(原始資料!J$2:J$501,$BJ286)))</f>
        <v/>
      </c>
      <c r="I286" s="6">
        <f>IF(OR($BJ286="",8&gt;設定!$B$3),"",IF(INDEX(原始資料!K$2:K$501,$BJ286)="","",INDEX(原始資料!K$2:K$501,$BJ286)))</f>
        <v/>
      </c>
      <c r="J286" s="6">
        <f>IF(OR($BJ286="",9&gt;設定!$B$3),"",IF(INDEX(原始資料!L$2:L$501,$BJ286)="","",INDEX(原始資料!L$2:L$501,$BJ286)))</f>
        <v/>
      </c>
      <c r="K286" s="6">
        <f>IF(OR($BJ286="",10&gt;設定!$B$3),"",IF(INDEX(原始資料!M$2:M$501,$BJ286)="","",INDEX(原始資料!M$2:M$501,$BJ286)))</f>
        <v/>
      </c>
      <c r="L286" s="6">
        <f>IF(OR($BJ286="",11&gt;設定!$B$3),"",IF(INDEX(原始資料!N$2:N$501,$BJ286)="","",INDEX(原始資料!N$2:N$501,$BJ286)))</f>
        <v/>
      </c>
      <c r="M286" s="6">
        <f>IF(OR($BJ286="",12&gt;設定!$B$3),"",IF(INDEX(原始資料!O$2:O$501,$BJ286)="","",INDEX(原始資料!O$2:O$501,$BJ286)))</f>
        <v/>
      </c>
      <c r="N286" s="6">
        <f>IF(OR($BJ286="",13&gt;設定!$B$3),"",IF(INDEX(原始資料!P$2:P$501,$BJ286)="","",INDEX(原始資料!P$2:P$501,$BJ286)))</f>
        <v/>
      </c>
      <c r="O286" s="6">
        <f>IF(OR($BJ286="",14&gt;設定!$B$3),"",IF(INDEX(原始資料!Q$2:Q$501,$BJ286)="","",INDEX(原始資料!Q$2:Q$501,$BJ286)))</f>
        <v/>
      </c>
      <c r="P286" s="6">
        <f>IF(OR($BJ286="",15&gt;設定!$B$3),"",IF(INDEX(原始資料!R$2:R$501,$BJ286)="","",INDEX(原始資料!R$2:R$501,$BJ286)))</f>
        <v/>
      </c>
      <c r="Q286" s="6">
        <f>IF(OR($BJ286="",16&gt;設定!$B$3),"",IF(INDEX(原始資料!S$2:S$501,$BJ286)="","",INDEX(原始資料!S$2:S$501,$BJ286)))</f>
        <v/>
      </c>
      <c r="R286" s="6">
        <f>IF(OR($BJ286="",17&gt;設定!$B$3),"",IF(INDEX(原始資料!T$2:T$501,$BJ286)="","",INDEX(原始資料!T$2:T$501,$BJ286)))</f>
        <v/>
      </c>
      <c r="S286" s="6">
        <f>IF(OR($BJ286="",18&gt;設定!$B$3),"",IF(INDEX(原始資料!U$2:U$501,$BJ286)="","",INDEX(原始資料!U$2:U$501,$BJ286)))</f>
        <v/>
      </c>
      <c r="T286" s="6">
        <f>IF(OR($BJ286="",19&gt;設定!$B$3),"",IF(INDEX(原始資料!V$2:V$501,$BJ286)="","",INDEX(原始資料!V$2:V$501,$BJ286)))</f>
        <v/>
      </c>
      <c r="U286" s="6">
        <f>IF(OR($BJ286="",20&gt;設定!$B$3),"",IF(INDEX(原始資料!W$2:W$501,$BJ286)="","",INDEX(原始資料!W$2:W$501,$BJ286)))</f>
        <v/>
      </c>
      <c r="V286" s="6">
        <f>IF(OR($BJ286="",21&gt;設定!$B$3),"",IF(INDEX(原始資料!X$2:X$501,$BJ286)="","",INDEX(原始資料!X$2:X$501,$BJ286)))</f>
        <v/>
      </c>
      <c r="W286" s="6">
        <f>IF(OR($BJ286="",22&gt;設定!$B$3),"",IF(INDEX(原始資料!Y$2:Y$501,$BJ286)="","",INDEX(原始資料!Y$2:Y$501,$BJ286)))</f>
        <v/>
      </c>
      <c r="X286" s="6">
        <f>IF(OR($BJ286="",23&gt;設定!$B$3),"",IF(INDEX(原始資料!Z$2:Z$501,$BJ286)="","",INDEX(原始資料!Z$2:Z$501,$BJ286)))</f>
        <v/>
      </c>
      <c r="Y286" s="6">
        <f>IF(OR($BJ286="",24&gt;設定!$B$3),"",IF(INDEX(原始資料!AA$2:AA$501,$BJ286)="","",INDEX(原始資料!AA$2:AA$501,$BJ286)))</f>
        <v/>
      </c>
      <c r="Z286" s="6">
        <f>IF(OR($BJ286="",25&gt;設定!$B$3),"",IF(INDEX(原始資料!AB$2:AB$501,$BJ286)="","",INDEX(原始資料!AB$2:AB$501,$BJ286)))</f>
        <v/>
      </c>
      <c r="AA286" s="6">
        <f>IF(OR($BJ286="",26&gt;設定!$B$3),"",IF(INDEX(原始資料!AC$2:AC$501,$BJ286)="","",INDEX(原始資料!AC$2:AC$501,$BJ286)))</f>
        <v/>
      </c>
      <c r="AB286" s="6">
        <f>IF(OR($BJ286="",27&gt;設定!$B$3),"",IF(INDEX(原始資料!AD$2:AD$501,$BJ286)="","",INDEX(原始資料!AD$2:AD$501,$BJ286)))</f>
        <v/>
      </c>
      <c r="AC286" s="6">
        <f>IF(OR($BJ286="",28&gt;設定!$B$3),"",IF(INDEX(原始資料!AE$2:AE$501,$BJ286)="","",INDEX(原始資料!AE$2:AE$501,$BJ286)))</f>
        <v/>
      </c>
      <c r="AD286" s="6">
        <f>IF(OR($BJ286="",29&gt;設定!$B$3),"",IF(INDEX(原始資料!AF$2:AF$501,$BJ286)="","",INDEX(原始資料!AF$2:AF$501,$BJ286)))</f>
        <v/>
      </c>
      <c r="AE286" s="6">
        <f>IF(OR($BJ286="",30&gt;設定!$B$3),"",IF(INDEX(原始資料!AG$2:AG$501,$BJ286)="","",INDEX(原始資料!AG$2:AG$501,$BJ286)))</f>
        <v/>
      </c>
      <c r="AF286" s="6">
        <f>IF(OR($BJ286="",31&gt;設定!$B$3),"",IF(INDEX(原始資料!AH$2:AH$501,$BJ286)="","",INDEX(原始資料!AH$2:AH$501,$BJ286)))</f>
        <v/>
      </c>
      <c r="AG286" s="6">
        <f>IF(OR($BJ286="",32&gt;設定!$B$3),"",IF(INDEX(原始資料!AI$2:AI$501,$BJ286)="","",INDEX(原始資料!AI$2:AI$501,$BJ286)))</f>
        <v/>
      </c>
      <c r="AH286" s="6">
        <f>IF(OR($BJ286="",33&gt;設定!$B$3),"",IF(INDEX(原始資料!AJ$2:AJ$501,$BJ286)="","",INDEX(原始資料!AJ$2:AJ$501,$BJ286)))</f>
        <v/>
      </c>
      <c r="AI286" s="6">
        <f>IF(OR($BJ286="",34&gt;設定!$B$3),"",IF(INDEX(原始資料!AK$2:AK$501,$BJ286)="","",INDEX(原始資料!AK$2:AK$501,$BJ286)))</f>
        <v/>
      </c>
      <c r="AJ286" s="6">
        <f>IF(OR($BJ286="",35&gt;設定!$B$3),"",IF(INDEX(原始資料!AL$2:AL$501,$BJ286)="","",INDEX(原始資料!AL$2:AL$501,$BJ286)))</f>
        <v/>
      </c>
      <c r="AK286" s="6">
        <f>IF(OR($BJ286="",36&gt;設定!$B$3),"",IF(INDEX(原始資料!AM$2:AM$501,$BJ286)="","",INDEX(原始資料!AM$2:AM$501,$BJ286)))</f>
        <v/>
      </c>
      <c r="AL286" s="6">
        <f>IF(OR($BJ286="",37&gt;設定!$B$3),"",IF(INDEX(原始資料!AN$2:AN$501,$BJ286)="","",INDEX(原始資料!AN$2:AN$501,$BJ286)))</f>
        <v/>
      </c>
      <c r="AM286" s="6">
        <f>IF(OR($BJ286="",38&gt;設定!$B$3),"",IF(INDEX(原始資料!AO$2:AO$501,$BJ286)="","",INDEX(原始資料!AO$2:AO$501,$BJ286)))</f>
        <v/>
      </c>
      <c r="AN286" s="6">
        <f>IF(OR($BJ286="",39&gt;設定!$B$3),"",IF(INDEX(原始資料!AP$2:AP$501,$BJ286)="","",INDEX(原始資料!AP$2:AP$501,$BJ286)))</f>
        <v/>
      </c>
      <c r="AO286" s="6">
        <f>IF(OR($BJ286="",40&gt;設定!$B$3),"",IF(INDEX(原始資料!AQ$2:AQ$501,$BJ286)="","",INDEX(原始資料!AQ$2:AQ$501,$BJ286)))</f>
        <v/>
      </c>
      <c r="AP286" s="6">
        <f>IF(OR($BJ286="",41&gt;設定!$B$3),"",IF(INDEX(原始資料!AR$2:AR$501,$BJ286)="","",INDEX(原始資料!AR$2:AR$501,$BJ286)))</f>
        <v/>
      </c>
      <c r="AQ286" s="6">
        <f>IF(OR($BJ286="",42&gt;設定!$B$3),"",IF(INDEX(原始資料!AS$2:AS$501,$BJ286)="","",INDEX(原始資料!AS$2:AS$501,$BJ286)))</f>
        <v/>
      </c>
      <c r="AR286" s="6">
        <f>IF(OR($BJ286="",43&gt;設定!$B$3),"",IF(INDEX(原始資料!AT$2:AT$501,$BJ286)="","",INDEX(原始資料!AT$2:AT$501,$BJ286)))</f>
        <v/>
      </c>
      <c r="AS286" s="6">
        <f>IF(OR($BJ286="",44&gt;設定!$B$3),"",IF(INDEX(原始資料!AU$2:AU$501,$BJ286)="","",INDEX(原始資料!AU$2:AU$501,$BJ286)))</f>
        <v/>
      </c>
      <c r="AT286" s="6">
        <f>IF(OR($BJ286="",45&gt;設定!$B$3),"",IF(INDEX(原始資料!AV$2:AV$501,$BJ286)="","",INDEX(原始資料!AV$2:AV$501,$BJ286)))</f>
        <v/>
      </c>
      <c r="AU286" s="6">
        <f>IF(OR($BJ286="",46&gt;設定!$B$3),"",IF(INDEX(原始資料!AW$2:AW$501,$BJ286)="","",INDEX(原始資料!AW$2:AW$501,$BJ286)))</f>
        <v/>
      </c>
      <c r="AV286" s="6">
        <f>IF(OR($BJ286="",47&gt;設定!$B$3),"",IF(INDEX(原始資料!AX$2:AX$501,$BJ286)="","",INDEX(原始資料!AX$2:AX$501,$BJ286)))</f>
        <v/>
      </c>
      <c r="AW286" s="6">
        <f>IF(OR($BJ286="",48&gt;設定!$B$3),"",IF(INDEX(原始資料!AY$2:AY$501,$BJ286)="","",INDEX(原始資料!AY$2:AY$501,$BJ286)))</f>
        <v/>
      </c>
      <c r="AX286" s="6">
        <f>IF(OR($BJ286="",49&gt;設定!$B$3),"",IF(INDEX(原始資料!AZ$2:AZ$501,$BJ286)="","",INDEX(原始資料!AZ$2:AZ$501,$BJ286)))</f>
        <v/>
      </c>
      <c r="AY286" s="6">
        <f>IF(OR($BJ286="",50&gt;設定!$B$3),"",IF(INDEX(原始資料!BA$2:BA$501,$BJ286)="","",INDEX(原始資料!BA$2:BA$501,$BJ286)))</f>
        <v/>
      </c>
      <c r="AZ286" s="6">
        <f>IF(OR($BJ286="",51&gt;設定!$B$3),"",IF(INDEX(原始資料!BB$2:BB$501,$BJ286)="","",INDEX(原始資料!BB$2:BB$501,$BJ286)))</f>
        <v/>
      </c>
      <c r="BA286" s="6">
        <f>IF(OR($BJ286="",52&gt;設定!$B$3),"",IF(INDEX(原始資料!BC$2:BC$501,$BJ286)="","",INDEX(原始資料!BC$2:BC$501,$BJ286)))</f>
        <v/>
      </c>
      <c r="BB286" s="6">
        <f>IF(OR($BJ286="",53&gt;設定!$B$3),"",IF(INDEX(原始資料!BD$2:BD$501,$BJ286)="","",INDEX(原始資料!BD$2:BD$501,$BJ286)))</f>
        <v/>
      </c>
      <c r="BC286" s="6">
        <f>IF(OR($BJ286="",54&gt;設定!$B$3),"",IF(INDEX(原始資料!BE$2:BE$501,$BJ286)="","",INDEX(原始資料!BE$2:BE$501,$BJ286)))</f>
        <v/>
      </c>
      <c r="BD286" s="6">
        <f>IF(OR($BJ286="",55&gt;設定!$B$3),"",IF(INDEX(原始資料!BF$2:BF$501,$BJ286)="","",INDEX(原始資料!BF$2:BF$501,$BJ286)))</f>
        <v/>
      </c>
      <c r="BE286" s="6">
        <f>IF(OR($BJ286="",56&gt;設定!$B$3),"",IF(INDEX(原始資料!BG$2:BG$501,$BJ286)="","",INDEX(原始資料!BG$2:BG$501,$BJ286)))</f>
        <v/>
      </c>
      <c r="BF286" s="6">
        <f>IF(OR($BJ286="",57&gt;設定!$B$3),"",IF(INDEX(原始資料!BH$2:BH$501,$BJ286)="","",INDEX(原始資料!BH$2:BH$501,$BJ286)))</f>
        <v/>
      </c>
      <c r="BG286" s="6">
        <f>IF(OR($BJ286="",58&gt;設定!$B$3),"",IF(INDEX(原始資料!BI$2:BI$501,$BJ286)="","",INDEX(原始資料!BI$2:BI$501,$BJ286)))</f>
        <v/>
      </c>
      <c r="BH286" s="6">
        <f>IF(OR($BJ286="",59&gt;設定!$B$3),"",IF(INDEX(原始資料!BJ$2:BJ$501,$BJ286)="","",INDEX(原始資料!BJ$2:BJ$501,$BJ286)))</f>
        <v/>
      </c>
      <c r="BI286" s="6">
        <f>IF(OR($BJ286="",60&gt;設定!$B$3),"",IF(INDEX(原始資料!BK$2:BK$501,$BJ286)="","",INDEX(原始資料!BK$2:BK$501,$BJ286)))</f>
        <v/>
      </c>
      <c r="BJ286" s="6">
        <f>IFERROR(MATCH(ROW()-1,判定!$H$2:$H$501,0),"")</f>
        <v/>
      </c>
    </row>
    <row r="287">
      <c r="A287" s="6">
        <f>IF($BJ287="","",INDEX(原始資料!$A$2:$A$501,$BJ287))</f>
        <v/>
      </c>
      <c r="B287" s="6">
        <f>IF(OR($BJ287="",1&gt;設定!$B$3),"",IF(INDEX(原始資料!D$2:D$501,$BJ287)="","",INDEX(原始資料!D$2:D$501,$BJ287)))</f>
        <v/>
      </c>
      <c r="C287" s="6">
        <f>IF(OR($BJ287="",2&gt;設定!$B$3),"",IF(INDEX(原始資料!E$2:E$501,$BJ287)="","",INDEX(原始資料!E$2:E$501,$BJ287)))</f>
        <v/>
      </c>
      <c r="D287" s="6">
        <f>IF(OR($BJ287="",3&gt;設定!$B$3),"",IF(INDEX(原始資料!F$2:F$501,$BJ287)="","",INDEX(原始資料!F$2:F$501,$BJ287)))</f>
        <v/>
      </c>
      <c r="E287" s="6">
        <f>IF(OR($BJ287="",4&gt;設定!$B$3),"",IF(INDEX(原始資料!G$2:G$501,$BJ287)="","",INDEX(原始資料!G$2:G$501,$BJ287)))</f>
        <v/>
      </c>
      <c r="F287" s="6">
        <f>IF(OR($BJ287="",5&gt;設定!$B$3),"",IF(INDEX(原始資料!H$2:H$501,$BJ287)="","",INDEX(原始資料!H$2:H$501,$BJ287)))</f>
        <v/>
      </c>
      <c r="G287" s="6">
        <f>IF(OR($BJ287="",6&gt;設定!$B$3),"",IF(INDEX(原始資料!I$2:I$501,$BJ287)="","",INDEX(原始資料!I$2:I$501,$BJ287)))</f>
        <v/>
      </c>
      <c r="H287" s="6">
        <f>IF(OR($BJ287="",7&gt;設定!$B$3),"",IF(INDEX(原始資料!J$2:J$501,$BJ287)="","",INDEX(原始資料!J$2:J$501,$BJ287)))</f>
        <v/>
      </c>
      <c r="I287" s="6">
        <f>IF(OR($BJ287="",8&gt;設定!$B$3),"",IF(INDEX(原始資料!K$2:K$501,$BJ287)="","",INDEX(原始資料!K$2:K$501,$BJ287)))</f>
        <v/>
      </c>
      <c r="J287" s="6">
        <f>IF(OR($BJ287="",9&gt;設定!$B$3),"",IF(INDEX(原始資料!L$2:L$501,$BJ287)="","",INDEX(原始資料!L$2:L$501,$BJ287)))</f>
        <v/>
      </c>
      <c r="K287" s="6">
        <f>IF(OR($BJ287="",10&gt;設定!$B$3),"",IF(INDEX(原始資料!M$2:M$501,$BJ287)="","",INDEX(原始資料!M$2:M$501,$BJ287)))</f>
        <v/>
      </c>
      <c r="L287" s="6">
        <f>IF(OR($BJ287="",11&gt;設定!$B$3),"",IF(INDEX(原始資料!N$2:N$501,$BJ287)="","",INDEX(原始資料!N$2:N$501,$BJ287)))</f>
        <v/>
      </c>
      <c r="M287" s="6">
        <f>IF(OR($BJ287="",12&gt;設定!$B$3),"",IF(INDEX(原始資料!O$2:O$501,$BJ287)="","",INDEX(原始資料!O$2:O$501,$BJ287)))</f>
        <v/>
      </c>
      <c r="N287" s="6">
        <f>IF(OR($BJ287="",13&gt;設定!$B$3),"",IF(INDEX(原始資料!P$2:P$501,$BJ287)="","",INDEX(原始資料!P$2:P$501,$BJ287)))</f>
        <v/>
      </c>
      <c r="O287" s="6">
        <f>IF(OR($BJ287="",14&gt;設定!$B$3),"",IF(INDEX(原始資料!Q$2:Q$501,$BJ287)="","",INDEX(原始資料!Q$2:Q$501,$BJ287)))</f>
        <v/>
      </c>
      <c r="P287" s="6">
        <f>IF(OR($BJ287="",15&gt;設定!$B$3),"",IF(INDEX(原始資料!R$2:R$501,$BJ287)="","",INDEX(原始資料!R$2:R$501,$BJ287)))</f>
        <v/>
      </c>
      <c r="Q287" s="6">
        <f>IF(OR($BJ287="",16&gt;設定!$B$3),"",IF(INDEX(原始資料!S$2:S$501,$BJ287)="","",INDEX(原始資料!S$2:S$501,$BJ287)))</f>
        <v/>
      </c>
      <c r="R287" s="6">
        <f>IF(OR($BJ287="",17&gt;設定!$B$3),"",IF(INDEX(原始資料!T$2:T$501,$BJ287)="","",INDEX(原始資料!T$2:T$501,$BJ287)))</f>
        <v/>
      </c>
      <c r="S287" s="6">
        <f>IF(OR($BJ287="",18&gt;設定!$B$3),"",IF(INDEX(原始資料!U$2:U$501,$BJ287)="","",INDEX(原始資料!U$2:U$501,$BJ287)))</f>
        <v/>
      </c>
      <c r="T287" s="6">
        <f>IF(OR($BJ287="",19&gt;設定!$B$3),"",IF(INDEX(原始資料!V$2:V$501,$BJ287)="","",INDEX(原始資料!V$2:V$501,$BJ287)))</f>
        <v/>
      </c>
      <c r="U287" s="6">
        <f>IF(OR($BJ287="",20&gt;設定!$B$3),"",IF(INDEX(原始資料!W$2:W$501,$BJ287)="","",INDEX(原始資料!W$2:W$501,$BJ287)))</f>
        <v/>
      </c>
      <c r="V287" s="6">
        <f>IF(OR($BJ287="",21&gt;設定!$B$3),"",IF(INDEX(原始資料!X$2:X$501,$BJ287)="","",INDEX(原始資料!X$2:X$501,$BJ287)))</f>
        <v/>
      </c>
      <c r="W287" s="6">
        <f>IF(OR($BJ287="",22&gt;設定!$B$3),"",IF(INDEX(原始資料!Y$2:Y$501,$BJ287)="","",INDEX(原始資料!Y$2:Y$501,$BJ287)))</f>
        <v/>
      </c>
      <c r="X287" s="6">
        <f>IF(OR($BJ287="",23&gt;設定!$B$3),"",IF(INDEX(原始資料!Z$2:Z$501,$BJ287)="","",INDEX(原始資料!Z$2:Z$501,$BJ287)))</f>
        <v/>
      </c>
      <c r="Y287" s="6">
        <f>IF(OR($BJ287="",24&gt;設定!$B$3),"",IF(INDEX(原始資料!AA$2:AA$501,$BJ287)="","",INDEX(原始資料!AA$2:AA$501,$BJ287)))</f>
        <v/>
      </c>
      <c r="Z287" s="6">
        <f>IF(OR($BJ287="",25&gt;設定!$B$3),"",IF(INDEX(原始資料!AB$2:AB$501,$BJ287)="","",INDEX(原始資料!AB$2:AB$501,$BJ287)))</f>
        <v/>
      </c>
      <c r="AA287" s="6">
        <f>IF(OR($BJ287="",26&gt;設定!$B$3),"",IF(INDEX(原始資料!AC$2:AC$501,$BJ287)="","",INDEX(原始資料!AC$2:AC$501,$BJ287)))</f>
        <v/>
      </c>
      <c r="AB287" s="6">
        <f>IF(OR($BJ287="",27&gt;設定!$B$3),"",IF(INDEX(原始資料!AD$2:AD$501,$BJ287)="","",INDEX(原始資料!AD$2:AD$501,$BJ287)))</f>
        <v/>
      </c>
      <c r="AC287" s="6">
        <f>IF(OR($BJ287="",28&gt;設定!$B$3),"",IF(INDEX(原始資料!AE$2:AE$501,$BJ287)="","",INDEX(原始資料!AE$2:AE$501,$BJ287)))</f>
        <v/>
      </c>
      <c r="AD287" s="6">
        <f>IF(OR($BJ287="",29&gt;設定!$B$3),"",IF(INDEX(原始資料!AF$2:AF$501,$BJ287)="","",INDEX(原始資料!AF$2:AF$501,$BJ287)))</f>
        <v/>
      </c>
      <c r="AE287" s="6">
        <f>IF(OR($BJ287="",30&gt;設定!$B$3),"",IF(INDEX(原始資料!AG$2:AG$501,$BJ287)="","",INDEX(原始資料!AG$2:AG$501,$BJ287)))</f>
        <v/>
      </c>
      <c r="AF287" s="6">
        <f>IF(OR($BJ287="",31&gt;設定!$B$3),"",IF(INDEX(原始資料!AH$2:AH$501,$BJ287)="","",INDEX(原始資料!AH$2:AH$501,$BJ287)))</f>
        <v/>
      </c>
      <c r="AG287" s="6">
        <f>IF(OR($BJ287="",32&gt;設定!$B$3),"",IF(INDEX(原始資料!AI$2:AI$501,$BJ287)="","",INDEX(原始資料!AI$2:AI$501,$BJ287)))</f>
        <v/>
      </c>
      <c r="AH287" s="6">
        <f>IF(OR($BJ287="",33&gt;設定!$B$3),"",IF(INDEX(原始資料!AJ$2:AJ$501,$BJ287)="","",INDEX(原始資料!AJ$2:AJ$501,$BJ287)))</f>
        <v/>
      </c>
      <c r="AI287" s="6">
        <f>IF(OR($BJ287="",34&gt;設定!$B$3),"",IF(INDEX(原始資料!AK$2:AK$501,$BJ287)="","",INDEX(原始資料!AK$2:AK$501,$BJ287)))</f>
        <v/>
      </c>
      <c r="AJ287" s="6">
        <f>IF(OR($BJ287="",35&gt;設定!$B$3),"",IF(INDEX(原始資料!AL$2:AL$501,$BJ287)="","",INDEX(原始資料!AL$2:AL$501,$BJ287)))</f>
        <v/>
      </c>
      <c r="AK287" s="6">
        <f>IF(OR($BJ287="",36&gt;設定!$B$3),"",IF(INDEX(原始資料!AM$2:AM$501,$BJ287)="","",INDEX(原始資料!AM$2:AM$501,$BJ287)))</f>
        <v/>
      </c>
      <c r="AL287" s="6">
        <f>IF(OR($BJ287="",37&gt;設定!$B$3),"",IF(INDEX(原始資料!AN$2:AN$501,$BJ287)="","",INDEX(原始資料!AN$2:AN$501,$BJ287)))</f>
        <v/>
      </c>
      <c r="AM287" s="6">
        <f>IF(OR($BJ287="",38&gt;設定!$B$3),"",IF(INDEX(原始資料!AO$2:AO$501,$BJ287)="","",INDEX(原始資料!AO$2:AO$501,$BJ287)))</f>
        <v/>
      </c>
      <c r="AN287" s="6">
        <f>IF(OR($BJ287="",39&gt;設定!$B$3),"",IF(INDEX(原始資料!AP$2:AP$501,$BJ287)="","",INDEX(原始資料!AP$2:AP$501,$BJ287)))</f>
        <v/>
      </c>
      <c r="AO287" s="6">
        <f>IF(OR($BJ287="",40&gt;設定!$B$3),"",IF(INDEX(原始資料!AQ$2:AQ$501,$BJ287)="","",INDEX(原始資料!AQ$2:AQ$501,$BJ287)))</f>
        <v/>
      </c>
      <c r="AP287" s="6">
        <f>IF(OR($BJ287="",41&gt;設定!$B$3),"",IF(INDEX(原始資料!AR$2:AR$501,$BJ287)="","",INDEX(原始資料!AR$2:AR$501,$BJ287)))</f>
        <v/>
      </c>
      <c r="AQ287" s="6">
        <f>IF(OR($BJ287="",42&gt;設定!$B$3),"",IF(INDEX(原始資料!AS$2:AS$501,$BJ287)="","",INDEX(原始資料!AS$2:AS$501,$BJ287)))</f>
        <v/>
      </c>
      <c r="AR287" s="6">
        <f>IF(OR($BJ287="",43&gt;設定!$B$3),"",IF(INDEX(原始資料!AT$2:AT$501,$BJ287)="","",INDEX(原始資料!AT$2:AT$501,$BJ287)))</f>
        <v/>
      </c>
      <c r="AS287" s="6">
        <f>IF(OR($BJ287="",44&gt;設定!$B$3),"",IF(INDEX(原始資料!AU$2:AU$501,$BJ287)="","",INDEX(原始資料!AU$2:AU$501,$BJ287)))</f>
        <v/>
      </c>
      <c r="AT287" s="6">
        <f>IF(OR($BJ287="",45&gt;設定!$B$3),"",IF(INDEX(原始資料!AV$2:AV$501,$BJ287)="","",INDEX(原始資料!AV$2:AV$501,$BJ287)))</f>
        <v/>
      </c>
      <c r="AU287" s="6">
        <f>IF(OR($BJ287="",46&gt;設定!$B$3),"",IF(INDEX(原始資料!AW$2:AW$501,$BJ287)="","",INDEX(原始資料!AW$2:AW$501,$BJ287)))</f>
        <v/>
      </c>
      <c r="AV287" s="6">
        <f>IF(OR($BJ287="",47&gt;設定!$B$3),"",IF(INDEX(原始資料!AX$2:AX$501,$BJ287)="","",INDEX(原始資料!AX$2:AX$501,$BJ287)))</f>
        <v/>
      </c>
      <c r="AW287" s="6">
        <f>IF(OR($BJ287="",48&gt;設定!$B$3),"",IF(INDEX(原始資料!AY$2:AY$501,$BJ287)="","",INDEX(原始資料!AY$2:AY$501,$BJ287)))</f>
        <v/>
      </c>
      <c r="AX287" s="6">
        <f>IF(OR($BJ287="",49&gt;設定!$B$3),"",IF(INDEX(原始資料!AZ$2:AZ$501,$BJ287)="","",INDEX(原始資料!AZ$2:AZ$501,$BJ287)))</f>
        <v/>
      </c>
      <c r="AY287" s="6">
        <f>IF(OR($BJ287="",50&gt;設定!$B$3),"",IF(INDEX(原始資料!BA$2:BA$501,$BJ287)="","",INDEX(原始資料!BA$2:BA$501,$BJ287)))</f>
        <v/>
      </c>
      <c r="AZ287" s="6">
        <f>IF(OR($BJ287="",51&gt;設定!$B$3),"",IF(INDEX(原始資料!BB$2:BB$501,$BJ287)="","",INDEX(原始資料!BB$2:BB$501,$BJ287)))</f>
        <v/>
      </c>
      <c r="BA287" s="6">
        <f>IF(OR($BJ287="",52&gt;設定!$B$3),"",IF(INDEX(原始資料!BC$2:BC$501,$BJ287)="","",INDEX(原始資料!BC$2:BC$501,$BJ287)))</f>
        <v/>
      </c>
      <c r="BB287" s="6">
        <f>IF(OR($BJ287="",53&gt;設定!$B$3),"",IF(INDEX(原始資料!BD$2:BD$501,$BJ287)="","",INDEX(原始資料!BD$2:BD$501,$BJ287)))</f>
        <v/>
      </c>
      <c r="BC287" s="6">
        <f>IF(OR($BJ287="",54&gt;設定!$B$3),"",IF(INDEX(原始資料!BE$2:BE$501,$BJ287)="","",INDEX(原始資料!BE$2:BE$501,$BJ287)))</f>
        <v/>
      </c>
      <c r="BD287" s="6">
        <f>IF(OR($BJ287="",55&gt;設定!$B$3),"",IF(INDEX(原始資料!BF$2:BF$501,$BJ287)="","",INDEX(原始資料!BF$2:BF$501,$BJ287)))</f>
        <v/>
      </c>
      <c r="BE287" s="6">
        <f>IF(OR($BJ287="",56&gt;設定!$B$3),"",IF(INDEX(原始資料!BG$2:BG$501,$BJ287)="","",INDEX(原始資料!BG$2:BG$501,$BJ287)))</f>
        <v/>
      </c>
      <c r="BF287" s="6">
        <f>IF(OR($BJ287="",57&gt;設定!$B$3),"",IF(INDEX(原始資料!BH$2:BH$501,$BJ287)="","",INDEX(原始資料!BH$2:BH$501,$BJ287)))</f>
        <v/>
      </c>
      <c r="BG287" s="6">
        <f>IF(OR($BJ287="",58&gt;設定!$B$3),"",IF(INDEX(原始資料!BI$2:BI$501,$BJ287)="","",INDEX(原始資料!BI$2:BI$501,$BJ287)))</f>
        <v/>
      </c>
      <c r="BH287" s="6">
        <f>IF(OR($BJ287="",59&gt;設定!$B$3),"",IF(INDEX(原始資料!BJ$2:BJ$501,$BJ287)="","",INDEX(原始資料!BJ$2:BJ$501,$BJ287)))</f>
        <v/>
      </c>
      <c r="BI287" s="6">
        <f>IF(OR($BJ287="",60&gt;設定!$B$3),"",IF(INDEX(原始資料!BK$2:BK$501,$BJ287)="","",INDEX(原始資料!BK$2:BK$501,$BJ287)))</f>
        <v/>
      </c>
      <c r="BJ287" s="6">
        <f>IFERROR(MATCH(ROW()-1,判定!$H$2:$H$501,0),"")</f>
        <v/>
      </c>
    </row>
    <row r="288">
      <c r="A288" s="6">
        <f>IF($BJ288="","",INDEX(原始資料!$A$2:$A$501,$BJ288))</f>
        <v/>
      </c>
      <c r="B288" s="6">
        <f>IF(OR($BJ288="",1&gt;設定!$B$3),"",IF(INDEX(原始資料!D$2:D$501,$BJ288)="","",INDEX(原始資料!D$2:D$501,$BJ288)))</f>
        <v/>
      </c>
      <c r="C288" s="6">
        <f>IF(OR($BJ288="",2&gt;設定!$B$3),"",IF(INDEX(原始資料!E$2:E$501,$BJ288)="","",INDEX(原始資料!E$2:E$501,$BJ288)))</f>
        <v/>
      </c>
      <c r="D288" s="6">
        <f>IF(OR($BJ288="",3&gt;設定!$B$3),"",IF(INDEX(原始資料!F$2:F$501,$BJ288)="","",INDEX(原始資料!F$2:F$501,$BJ288)))</f>
        <v/>
      </c>
      <c r="E288" s="6">
        <f>IF(OR($BJ288="",4&gt;設定!$B$3),"",IF(INDEX(原始資料!G$2:G$501,$BJ288)="","",INDEX(原始資料!G$2:G$501,$BJ288)))</f>
        <v/>
      </c>
      <c r="F288" s="6">
        <f>IF(OR($BJ288="",5&gt;設定!$B$3),"",IF(INDEX(原始資料!H$2:H$501,$BJ288)="","",INDEX(原始資料!H$2:H$501,$BJ288)))</f>
        <v/>
      </c>
      <c r="G288" s="6">
        <f>IF(OR($BJ288="",6&gt;設定!$B$3),"",IF(INDEX(原始資料!I$2:I$501,$BJ288)="","",INDEX(原始資料!I$2:I$501,$BJ288)))</f>
        <v/>
      </c>
      <c r="H288" s="6">
        <f>IF(OR($BJ288="",7&gt;設定!$B$3),"",IF(INDEX(原始資料!J$2:J$501,$BJ288)="","",INDEX(原始資料!J$2:J$501,$BJ288)))</f>
        <v/>
      </c>
      <c r="I288" s="6">
        <f>IF(OR($BJ288="",8&gt;設定!$B$3),"",IF(INDEX(原始資料!K$2:K$501,$BJ288)="","",INDEX(原始資料!K$2:K$501,$BJ288)))</f>
        <v/>
      </c>
      <c r="J288" s="6">
        <f>IF(OR($BJ288="",9&gt;設定!$B$3),"",IF(INDEX(原始資料!L$2:L$501,$BJ288)="","",INDEX(原始資料!L$2:L$501,$BJ288)))</f>
        <v/>
      </c>
      <c r="K288" s="6">
        <f>IF(OR($BJ288="",10&gt;設定!$B$3),"",IF(INDEX(原始資料!M$2:M$501,$BJ288)="","",INDEX(原始資料!M$2:M$501,$BJ288)))</f>
        <v/>
      </c>
      <c r="L288" s="6">
        <f>IF(OR($BJ288="",11&gt;設定!$B$3),"",IF(INDEX(原始資料!N$2:N$501,$BJ288)="","",INDEX(原始資料!N$2:N$501,$BJ288)))</f>
        <v/>
      </c>
      <c r="M288" s="6">
        <f>IF(OR($BJ288="",12&gt;設定!$B$3),"",IF(INDEX(原始資料!O$2:O$501,$BJ288)="","",INDEX(原始資料!O$2:O$501,$BJ288)))</f>
        <v/>
      </c>
      <c r="N288" s="6">
        <f>IF(OR($BJ288="",13&gt;設定!$B$3),"",IF(INDEX(原始資料!P$2:P$501,$BJ288)="","",INDEX(原始資料!P$2:P$501,$BJ288)))</f>
        <v/>
      </c>
      <c r="O288" s="6">
        <f>IF(OR($BJ288="",14&gt;設定!$B$3),"",IF(INDEX(原始資料!Q$2:Q$501,$BJ288)="","",INDEX(原始資料!Q$2:Q$501,$BJ288)))</f>
        <v/>
      </c>
      <c r="P288" s="6">
        <f>IF(OR($BJ288="",15&gt;設定!$B$3),"",IF(INDEX(原始資料!R$2:R$501,$BJ288)="","",INDEX(原始資料!R$2:R$501,$BJ288)))</f>
        <v/>
      </c>
      <c r="Q288" s="6">
        <f>IF(OR($BJ288="",16&gt;設定!$B$3),"",IF(INDEX(原始資料!S$2:S$501,$BJ288)="","",INDEX(原始資料!S$2:S$501,$BJ288)))</f>
        <v/>
      </c>
      <c r="R288" s="6">
        <f>IF(OR($BJ288="",17&gt;設定!$B$3),"",IF(INDEX(原始資料!T$2:T$501,$BJ288)="","",INDEX(原始資料!T$2:T$501,$BJ288)))</f>
        <v/>
      </c>
      <c r="S288" s="6">
        <f>IF(OR($BJ288="",18&gt;設定!$B$3),"",IF(INDEX(原始資料!U$2:U$501,$BJ288)="","",INDEX(原始資料!U$2:U$501,$BJ288)))</f>
        <v/>
      </c>
      <c r="T288" s="6">
        <f>IF(OR($BJ288="",19&gt;設定!$B$3),"",IF(INDEX(原始資料!V$2:V$501,$BJ288)="","",INDEX(原始資料!V$2:V$501,$BJ288)))</f>
        <v/>
      </c>
      <c r="U288" s="6">
        <f>IF(OR($BJ288="",20&gt;設定!$B$3),"",IF(INDEX(原始資料!W$2:W$501,$BJ288)="","",INDEX(原始資料!W$2:W$501,$BJ288)))</f>
        <v/>
      </c>
      <c r="V288" s="6">
        <f>IF(OR($BJ288="",21&gt;設定!$B$3),"",IF(INDEX(原始資料!X$2:X$501,$BJ288)="","",INDEX(原始資料!X$2:X$501,$BJ288)))</f>
        <v/>
      </c>
      <c r="W288" s="6">
        <f>IF(OR($BJ288="",22&gt;設定!$B$3),"",IF(INDEX(原始資料!Y$2:Y$501,$BJ288)="","",INDEX(原始資料!Y$2:Y$501,$BJ288)))</f>
        <v/>
      </c>
      <c r="X288" s="6">
        <f>IF(OR($BJ288="",23&gt;設定!$B$3),"",IF(INDEX(原始資料!Z$2:Z$501,$BJ288)="","",INDEX(原始資料!Z$2:Z$501,$BJ288)))</f>
        <v/>
      </c>
      <c r="Y288" s="6">
        <f>IF(OR($BJ288="",24&gt;設定!$B$3),"",IF(INDEX(原始資料!AA$2:AA$501,$BJ288)="","",INDEX(原始資料!AA$2:AA$501,$BJ288)))</f>
        <v/>
      </c>
      <c r="Z288" s="6">
        <f>IF(OR($BJ288="",25&gt;設定!$B$3),"",IF(INDEX(原始資料!AB$2:AB$501,$BJ288)="","",INDEX(原始資料!AB$2:AB$501,$BJ288)))</f>
        <v/>
      </c>
      <c r="AA288" s="6">
        <f>IF(OR($BJ288="",26&gt;設定!$B$3),"",IF(INDEX(原始資料!AC$2:AC$501,$BJ288)="","",INDEX(原始資料!AC$2:AC$501,$BJ288)))</f>
        <v/>
      </c>
      <c r="AB288" s="6">
        <f>IF(OR($BJ288="",27&gt;設定!$B$3),"",IF(INDEX(原始資料!AD$2:AD$501,$BJ288)="","",INDEX(原始資料!AD$2:AD$501,$BJ288)))</f>
        <v/>
      </c>
      <c r="AC288" s="6">
        <f>IF(OR($BJ288="",28&gt;設定!$B$3),"",IF(INDEX(原始資料!AE$2:AE$501,$BJ288)="","",INDEX(原始資料!AE$2:AE$501,$BJ288)))</f>
        <v/>
      </c>
      <c r="AD288" s="6">
        <f>IF(OR($BJ288="",29&gt;設定!$B$3),"",IF(INDEX(原始資料!AF$2:AF$501,$BJ288)="","",INDEX(原始資料!AF$2:AF$501,$BJ288)))</f>
        <v/>
      </c>
      <c r="AE288" s="6">
        <f>IF(OR($BJ288="",30&gt;設定!$B$3),"",IF(INDEX(原始資料!AG$2:AG$501,$BJ288)="","",INDEX(原始資料!AG$2:AG$501,$BJ288)))</f>
        <v/>
      </c>
      <c r="AF288" s="6">
        <f>IF(OR($BJ288="",31&gt;設定!$B$3),"",IF(INDEX(原始資料!AH$2:AH$501,$BJ288)="","",INDEX(原始資料!AH$2:AH$501,$BJ288)))</f>
        <v/>
      </c>
      <c r="AG288" s="6">
        <f>IF(OR($BJ288="",32&gt;設定!$B$3),"",IF(INDEX(原始資料!AI$2:AI$501,$BJ288)="","",INDEX(原始資料!AI$2:AI$501,$BJ288)))</f>
        <v/>
      </c>
      <c r="AH288" s="6">
        <f>IF(OR($BJ288="",33&gt;設定!$B$3),"",IF(INDEX(原始資料!AJ$2:AJ$501,$BJ288)="","",INDEX(原始資料!AJ$2:AJ$501,$BJ288)))</f>
        <v/>
      </c>
      <c r="AI288" s="6">
        <f>IF(OR($BJ288="",34&gt;設定!$B$3),"",IF(INDEX(原始資料!AK$2:AK$501,$BJ288)="","",INDEX(原始資料!AK$2:AK$501,$BJ288)))</f>
        <v/>
      </c>
      <c r="AJ288" s="6">
        <f>IF(OR($BJ288="",35&gt;設定!$B$3),"",IF(INDEX(原始資料!AL$2:AL$501,$BJ288)="","",INDEX(原始資料!AL$2:AL$501,$BJ288)))</f>
        <v/>
      </c>
      <c r="AK288" s="6">
        <f>IF(OR($BJ288="",36&gt;設定!$B$3),"",IF(INDEX(原始資料!AM$2:AM$501,$BJ288)="","",INDEX(原始資料!AM$2:AM$501,$BJ288)))</f>
        <v/>
      </c>
      <c r="AL288" s="6">
        <f>IF(OR($BJ288="",37&gt;設定!$B$3),"",IF(INDEX(原始資料!AN$2:AN$501,$BJ288)="","",INDEX(原始資料!AN$2:AN$501,$BJ288)))</f>
        <v/>
      </c>
      <c r="AM288" s="6">
        <f>IF(OR($BJ288="",38&gt;設定!$B$3),"",IF(INDEX(原始資料!AO$2:AO$501,$BJ288)="","",INDEX(原始資料!AO$2:AO$501,$BJ288)))</f>
        <v/>
      </c>
      <c r="AN288" s="6">
        <f>IF(OR($BJ288="",39&gt;設定!$B$3),"",IF(INDEX(原始資料!AP$2:AP$501,$BJ288)="","",INDEX(原始資料!AP$2:AP$501,$BJ288)))</f>
        <v/>
      </c>
      <c r="AO288" s="6">
        <f>IF(OR($BJ288="",40&gt;設定!$B$3),"",IF(INDEX(原始資料!AQ$2:AQ$501,$BJ288)="","",INDEX(原始資料!AQ$2:AQ$501,$BJ288)))</f>
        <v/>
      </c>
      <c r="AP288" s="6">
        <f>IF(OR($BJ288="",41&gt;設定!$B$3),"",IF(INDEX(原始資料!AR$2:AR$501,$BJ288)="","",INDEX(原始資料!AR$2:AR$501,$BJ288)))</f>
        <v/>
      </c>
      <c r="AQ288" s="6">
        <f>IF(OR($BJ288="",42&gt;設定!$B$3),"",IF(INDEX(原始資料!AS$2:AS$501,$BJ288)="","",INDEX(原始資料!AS$2:AS$501,$BJ288)))</f>
        <v/>
      </c>
      <c r="AR288" s="6">
        <f>IF(OR($BJ288="",43&gt;設定!$B$3),"",IF(INDEX(原始資料!AT$2:AT$501,$BJ288)="","",INDEX(原始資料!AT$2:AT$501,$BJ288)))</f>
        <v/>
      </c>
      <c r="AS288" s="6">
        <f>IF(OR($BJ288="",44&gt;設定!$B$3),"",IF(INDEX(原始資料!AU$2:AU$501,$BJ288)="","",INDEX(原始資料!AU$2:AU$501,$BJ288)))</f>
        <v/>
      </c>
      <c r="AT288" s="6">
        <f>IF(OR($BJ288="",45&gt;設定!$B$3),"",IF(INDEX(原始資料!AV$2:AV$501,$BJ288)="","",INDEX(原始資料!AV$2:AV$501,$BJ288)))</f>
        <v/>
      </c>
      <c r="AU288" s="6">
        <f>IF(OR($BJ288="",46&gt;設定!$B$3),"",IF(INDEX(原始資料!AW$2:AW$501,$BJ288)="","",INDEX(原始資料!AW$2:AW$501,$BJ288)))</f>
        <v/>
      </c>
      <c r="AV288" s="6">
        <f>IF(OR($BJ288="",47&gt;設定!$B$3),"",IF(INDEX(原始資料!AX$2:AX$501,$BJ288)="","",INDEX(原始資料!AX$2:AX$501,$BJ288)))</f>
        <v/>
      </c>
      <c r="AW288" s="6">
        <f>IF(OR($BJ288="",48&gt;設定!$B$3),"",IF(INDEX(原始資料!AY$2:AY$501,$BJ288)="","",INDEX(原始資料!AY$2:AY$501,$BJ288)))</f>
        <v/>
      </c>
      <c r="AX288" s="6">
        <f>IF(OR($BJ288="",49&gt;設定!$B$3),"",IF(INDEX(原始資料!AZ$2:AZ$501,$BJ288)="","",INDEX(原始資料!AZ$2:AZ$501,$BJ288)))</f>
        <v/>
      </c>
      <c r="AY288" s="6">
        <f>IF(OR($BJ288="",50&gt;設定!$B$3),"",IF(INDEX(原始資料!BA$2:BA$501,$BJ288)="","",INDEX(原始資料!BA$2:BA$501,$BJ288)))</f>
        <v/>
      </c>
      <c r="AZ288" s="6">
        <f>IF(OR($BJ288="",51&gt;設定!$B$3),"",IF(INDEX(原始資料!BB$2:BB$501,$BJ288)="","",INDEX(原始資料!BB$2:BB$501,$BJ288)))</f>
        <v/>
      </c>
      <c r="BA288" s="6">
        <f>IF(OR($BJ288="",52&gt;設定!$B$3),"",IF(INDEX(原始資料!BC$2:BC$501,$BJ288)="","",INDEX(原始資料!BC$2:BC$501,$BJ288)))</f>
        <v/>
      </c>
      <c r="BB288" s="6">
        <f>IF(OR($BJ288="",53&gt;設定!$B$3),"",IF(INDEX(原始資料!BD$2:BD$501,$BJ288)="","",INDEX(原始資料!BD$2:BD$501,$BJ288)))</f>
        <v/>
      </c>
      <c r="BC288" s="6">
        <f>IF(OR($BJ288="",54&gt;設定!$B$3),"",IF(INDEX(原始資料!BE$2:BE$501,$BJ288)="","",INDEX(原始資料!BE$2:BE$501,$BJ288)))</f>
        <v/>
      </c>
      <c r="BD288" s="6">
        <f>IF(OR($BJ288="",55&gt;設定!$B$3),"",IF(INDEX(原始資料!BF$2:BF$501,$BJ288)="","",INDEX(原始資料!BF$2:BF$501,$BJ288)))</f>
        <v/>
      </c>
      <c r="BE288" s="6">
        <f>IF(OR($BJ288="",56&gt;設定!$B$3),"",IF(INDEX(原始資料!BG$2:BG$501,$BJ288)="","",INDEX(原始資料!BG$2:BG$501,$BJ288)))</f>
        <v/>
      </c>
      <c r="BF288" s="6">
        <f>IF(OR($BJ288="",57&gt;設定!$B$3),"",IF(INDEX(原始資料!BH$2:BH$501,$BJ288)="","",INDEX(原始資料!BH$2:BH$501,$BJ288)))</f>
        <v/>
      </c>
      <c r="BG288" s="6">
        <f>IF(OR($BJ288="",58&gt;設定!$B$3),"",IF(INDEX(原始資料!BI$2:BI$501,$BJ288)="","",INDEX(原始資料!BI$2:BI$501,$BJ288)))</f>
        <v/>
      </c>
      <c r="BH288" s="6">
        <f>IF(OR($BJ288="",59&gt;設定!$B$3),"",IF(INDEX(原始資料!BJ$2:BJ$501,$BJ288)="","",INDEX(原始資料!BJ$2:BJ$501,$BJ288)))</f>
        <v/>
      </c>
      <c r="BI288" s="6">
        <f>IF(OR($BJ288="",60&gt;設定!$B$3),"",IF(INDEX(原始資料!BK$2:BK$501,$BJ288)="","",INDEX(原始資料!BK$2:BK$501,$BJ288)))</f>
        <v/>
      </c>
      <c r="BJ288" s="6">
        <f>IFERROR(MATCH(ROW()-1,判定!$H$2:$H$501,0),"")</f>
        <v/>
      </c>
    </row>
    <row r="289">
      <c r="A289" s="6">
        <f>IF($BJ289="","",INDEX(原始資料!$A$2:$A$501,$BJ289))</f>
        <v/>
      </c>
      <c r="B289" s="6">
        <f>IF(OR($BJ289="",1&gt;設定!$B$3),"",IF(INDEX(原始資料!D$2:D$501,$BJ289)="","",INDEX(原始資料!D$2:D$501,$BJ289)))</f>
        <v/>
      </c>
      <c r="C289" s="6">
        <f>IF(OR($BJ289="",2&gt;設定!$B$3),"",IF(INDEX(原始資料!E$2:E$501,$BJ289)="","",INDEX(原始資料!E$2:E$501,$BJ289)))</f>
        <v/>
      </c>
      <c r="D289" s="6">
        <f>IF(OR($BJ289="",3&gt;設定!$B$3),"",IF(INDEX(原始資料!F$2:F$501,$BJ289)="","",INDEX(原始資料!F$2:F$501,$BJ289)))</f>
        <v/>
      </c>
      <c r="E289" s="6">
        <f>IF(OR($BJ289="",4&gt;設定!$B$3),"",IF(INDEX(原始資料!G$2:G$501,$BJ289)="","",INDEX(原始資料!G$2:G$501,$BJ289)))</f>
        <v/>
      </c>
      <c r="F289" s="6">
        <f>IF(OR($BJ289="",5&gt;設定!$B$3),"",IF(INDEX(原始資料!H$2:H$501,$BJ289)="","",INDEX(原始資料!H$2:H$501,$BJ289)))</f>
        <v/>
      </c>
      <c r="G289" s="6">
        <f>IF(OR($BJ289="",6&gt;設定!$B$3),"",IF(INDEX(原始資料!I$2:I$501,$BJ289)="","",INDEX(原始資料!I$2:I$501,$BJ289)))</f>
        <v/>
      </c>
      <c r="H289" s="6">
        <f>IF(OR($BJ289="",7&gt;設定!$B$3),"",IF(INDEX(原始資料!J$2:J$501,$BJ289)="","",INDEX(原始資料!J$2:J$501,$BJ289)))</f>
        <v/>
      </c>
      <c r="I289" s="6">
        <f>IF(OR($BJ289="",8&gt;設定!$B$3),"",IF(INDEX(原始資料!K$2:K$501,$BJ289)="","",INDEX(原始資料!K$2:K$501,$BJ289)))</f>
        <v/>
      </c>
      <c r="J289" s="6">
        <f>IF(OR($BJ289="",9&gt;設定!$B$3),"",IF(INDEX(原始資料!L$2:L$501,$BJ289)="","",INDEX(原始資料!L$2:L$501,$BJ289)))</f>
        <v/>
      </c>
      <c r="K289" s="6">
        <f>IF(OR($BJ289="",10&gt;設定!$B$3),"",IF(INDEX(原始資料!M$2:M$501,$BJ289)="","",INDEX(原始資料!M$2:M$501,$BJ289)))</f>
        <v/>
      </c>
      <c r="L289" s="6">
        <f>IF(OR($BJ289="",11&gt;設定!$B$3),"",IF(INDEX(原始資料!N$2:N$501,$BJ289)="","",INDEX(原始資料!N$2:N$501,$BJ289)))</f>
        <v/>
      </c>
      <c r="M289" s="6">
        <f>IF(OR($BJ289="",12&gt;設定!$B$3),"",IF(INDEX(原始資料!O$2:O$501,$BJ289)="","",INDEX(原始資料!O$2:O$501,$BJ289)))</f>
        <v/>
      </c>
      <c r="N289" s="6">
        <f>IF(OR($BJ289="",13&gt;設定!$B$3),"",IF(INDEX(原始資料!P$2:P$501,$BJ289)="","",INDEX(原始資料!P$2:P$501,$BJ289)))</f>
        <v/>
      </c>
      <c r="O289" s="6">
        <f>IF(OR($BJ289="",14&gt;設定!$B$3),"",IF(INDEX(原始資料!Q$2:Q$501,$BJ289)="","",INDEX(原始資料!Q$2:Q$501,$BJ289)))</f>
        <v/>
      </c>
      <c r="P289" s="6">
        <f>IF(OR($BJ289="",15&gt;設定!$B$3),"",IF(INDEX(原始資料!R$2:R$501,$BJ289)="","",INDEX(原始資料!R$2:R$501,$BJ289)))</f>
        <v/>
      </c>
      <c r="Q289" s="6">
        <f>IF(OR($BJ289="",16&gt;設定!$B$3),"",IF(INDEX(原始資料!S$2:S$501,$BJ289)="","",INDEX(原始資料!S$2:S$501,$BJ289)))</f>
        <v/>
      </c>
      <c r="R289" s="6">
        <f>IF(OR($BJ289="",17&gt;設定!$B$3),"",IF(INDEX(原始資料!T$2:T$501,$BJ289)="","",INDEX(原始資料!T$2:T$501,$BJ289)))</f>
        <v/>
      </c>
      <c r="S289" s="6">
        <f>IF(OR($BJ289="",18&gt;設定!$B$3),"",IF(INDEX(原始資料!U$2:U$501,$BJ289)="","",INDEX(原始資料!U$2:U$501,$BJ289)))</f>
        <v/>
      </c>
      <c r="T289" s="6">
        <f>IF(OR($BJ289="",19&gt;設定!$B$3),"",IF(INDEX(原始資料!V$2:V$501,$BJ289)="","",INDEX(原始資料!V$2:V$501,$BJ289)))</f>
        <v/>
      </c>
      <c r="U289" s="6">
        <f>IF(OR($BJ289="",20&gt;設定!$B$3),"",IF(INDEX(原始資料!W$2:W$501,$BJ289)="","",INDEX(原始資料!W$2:W$501,$BJ289)))</f>
        <v/>
      </c>
      <c r="V289" s="6">
        <f>IF(OR($BJ289="",21&gt;設定!$B$3),"",IF(INDEX(原始資料!X$2:X$501,$BJ289)="","",INDEX(原始資料!X$2:X$501,$BJ289)))</f>
        <v/>
      </c>
      <c r="W289" s="6">
        <f>IF(OR($BJ289="",22&gt;設定!$B$3),"",IF(INDEX(原始資料!Y$2:Y$501,$BJ289)="","",INDEX(原始資料!Y$2:Y$501,$BJ289)))</f>
        <v/>
      </c>
      <c r="X289" s="6">
        <f>IF(OR($BJ289="",23&gt;設定!$B$3),"",IF(INDEX(原始資料!Z$2:Z$501,$BJ289)="","",INDEX(原始資料!Z$2:Z$501,$BJ289)))</f>
        <v/>
      </c>
      <c r="Y289" s="6">
        <f>IF(OR($BJ289="",24&gt;設定!$B$3),"",IF(INDEX(原始資料!AA$2:AA$501,$BJ289)="","",INDEX(原始資料!AA$2:AA$501,$BJ289)))</f>
        <v/>
      </c>
      <c r="Z289" s="6">
        <f>IF(OR($BJ289="",25&gt;設定!$B$3),"",IF(INDEX(原始資料!AB$2:AB$501,$BJ289)="","",INDEX(原始資料!AB$2:AB$501,$BJ289)))</f>
        <v/>
      </c>
      <c r="AA289" s="6">
        <f>IF(OR($BJ289="",26&gt;設定!$B$3),"",IF(INDEX(原始資料!AC$2:AC$501,$BJ289)="","",INDEX(原始資料!AC$2:AC$501,$BJ289)))</f>
        <v/>
      </c>
      <c r="AB289" s="6">
        <f>IF(OR($BJ289="",27&gt;設定!$B$3),"",IF(INDEX(原始資料!AD$2:AD$501,$BJ289)="","",INDEX(原始資料!AD$2:AD$501,$BJ289)))</f>
        <v/>
      </c>
      <c r="AC289" s="6">
        <f>IF(OR($BJ289="",28&gt;設定!$B$3),"",IF(INDEX(原始資料!AE$2:AE$501,$BJ289)="","",INDEX(原始資料!AE$2:AE$501,$BJ289)))</f>
        <v/>
      </c>
      <c r="AD289" s="6">
        <f>IF(OR($BJ289="",29&gt;設定!$B$3),"",IF(INDEX(原始資料!AF$2:AF$501,$BJ289)="","",INDEX(原始資料!AF$2:AF$501,$BJ289)))</f>
        <v/>
      </c>
      <c r="AE289" s="6">
        <f>IF(OR($BJ289="",30&gt;設定!$B$3),"",IF(INDEX(原始資料!AG$2:AG$501,$BJ289)="","",INDEX(原始資料!AG$2:AG$501,$BJ289)))</f>
        <v/>
      </c>
      <c r="AF289" s="6">
        <f>IF(OR($BJ289="",31&gt;設定!$B$3),"",IF(INDEX(原始資料!AH$2:AH$501,$BJ289)="","",INDEX(原始資料!AH$2:AH$501,$BJ289)))</f>
        <v/>
      </c>
      <c r="AG289" s="6">
        <f>IF(OR($BJ289="",32&gt;設定!$B$3),"",IF(INDEX(原始資料!AI$2:AI$501,$BJ289)="","",INDEX(原始資料!AI$2:AI$501,$BJ289)))</f>
        <v/>
      </c>
      <c r="AH289" s="6">
        <f>IF(OR($BJ289="",33&gt;設定!$B$3),"",IF(INDEX(原始資料!AJ$2:AJ$501,$BJ289)="","",INDEX(原始資料!AJ$2:AJ$501,$BJ289)))</f>
        <v/>
      </c>
      <c r="AI289" s="6">
        <f>IF(OR($BJ289="",34&gt;設定!$B$3),"",IF(INDEX(原始資料!AK$2:AK$501,$BJ289)="","",INDEX(原始資料!AK$2:AK$501,$BJ289)))</f>
        <v/>
      </c>
      <c r="AJ289" s="6">
        <f>IF(OR($BJ289="",35&gt;設定!$B$3),"",IF(INDEX(原始資料!AL$2:AL$501,$BJ289)="","",INDEX(原始資料!AL$2:AL$501,$BJ289)))</f>
        <v/>
      </c>
      <c r="AK289" s="6">
        <f>IF(OR($BJ289="",36&gt;設定!$B$3),"",IF(INDEX(原始資料!AM$2:AM$501,$BJ289)="","",INDEX(原始資料!AM$2:AM$501,$BJ289)))</f>
        <v/>
      </c>
      <c r="AL289" s="6">
        <f>IF(OR($BJ289="",37&gt;設定!$B$3),"",IF(INDEX(原始資料!AN$2:AN$501,$BJ289)="","",INDEX(原始資料!AN$2:AN$501,$BJ289)))</f>
        <v/>
      </c>
      <c r="AM289" s="6">
        <f>IF(OR($BJ289="",38&gt;設定!$B$3),"",IF(INDEX(原始資料!AO$2:AO$501,$BJ289)="","",INDEX(原始資料!AO$2:AO$501,$BJ289)))</f>
        <v/>
      </c>
      <c r="AN289" s="6">
        <f>IF(OR($BJ289="",39&gt;設定!$B$3),"",IF(INDEX(原始資料!AP$2:AP$501,$BJ289)="","",INDEX(原始資料!AP$2:AP$501,$BJ289)))</f>
        <v/>
      </c>
      <c r="AO289" s="6">
        <f>IF(OR($BJ289="",40&gt;設定!$B$3),"",IF(INDEX(原始資料!AQ$2:AQ$501,$BJ289)="","",INDEX(原始資料!AQ$2:AQ$501,$BJ289)))</f>
        <v/>
      </c>
      <c r="AP289" s="6">
        <f>IF(OR($BJ289="",41&gt;設定!$B$3),"",IF(INDEX(原始資料!AR$2:AR$501,$BJ289)="","",INDEX(原始資料!AR$2:AR$501,$BJ289)))</f>
        <v/>
      </c>
      <c r="AQ289" s="6">
        <f>IF(OR($BJ289="",42&gt;設定!$B$3),"",IF(INDEX(原始資料!AS$2:AS$501,$BJ289)="","",INDEX(原始資料!AS$2:AS$501,$BJ289)))</f>
        <v/>
      </c>
      <c r="AR289" s="6">
        <f>IF(OR($BJ289="",43&gt;設定!$B$3),"",IF(INDEX(原始資料!AT$2:AT$501,$BJ289)="","",INDEX(原始資料!AT$2:AT$501,$BJ289)))</f>
        <v/>
      </c>
      <c r="AS289" s="6">
        <f>IF(OR($BJ289="",44&gt;設定!$B$3),"",IF(INDEX(原始資料!AU$2:AU$501,$BJ289)="","",INDEX(原始資料!AU$2:AU$501,$BJ289)))</f>
        <v/>
      </c>
      <c r="AT289" s="6">
        <f>IF(OR($BJ289="",45&gt;設定!$B$3),"",IF(INDEX(原始資料!AV$2:AV$501,$BJ289)="","",INDEX(原始資料!AV$2:AV$501,$BJ289)))</f>
        <v/>
      </c>
      <c r="AU289" s="6">
        <f>IF(OR($BJ289="",46&gt;設定!$B$3),"",IF(INDEX(原始資料!AW$2:AW$501,$BJ289)="","",INDEX(原始資料!AW$2:AW$501,$BJ289)))</f>
        <v/>
      </c>
      <c r="AV289" s="6">
        <f>IF(OR($BJ289="",47&gt;設定!$B$3),"",IF(INDEX(原始資料!AX$2:AX$501,$BJ289)="","",INDEX(原始資料!AX$2:AX$501,$BJ289)))</f>
        <v/>
      </c>
      <c r="AW289" s="6">
        <f>IF(OR($BJ289="",48&gt;設定!$B$3),"",IF(INDEX(原始資料!AY$2:AY$501,$BJ289)="","",INDEX(原始資料!AY$2:AY$501,$BJ289)))</f>
        <v/>
      </c>
      <c r="AX289" s="6">
        <f>IF(OR($BJ289="",49&gt;設定!$B$3),"",IF(INDEX(原始資料!AZ$2:AZ$501,$BJ289)="","",INDEX(原始資料!AZ$2:AZ$501,$BJ289)))</f>
        <v/>
      </c>
      <c r="AY289" s="6">
        <f>IF(OR($BJ289="",50&gt;設定!$B$3),"",IF(INDEX(原始資料!BA$2:BA$501,$BJ289)="","",INDEX(原始資料!BA$2:BA$501,$BJ289)))</f>
        <v/>
      </c>
      <c r="AZ289" s="6">
        <f>IF(OR($BJ289="",51&gt;設定!$B$3),"",IF(INDEX(原始資料!BB$2:BB$501,$BJ289)="","",INDEX(原始資料!BB$2:BB$501,$BJ289)))</f>
        <v/>
      </c>
      <c r="BA289" s="6">
        <f>IF(OR($BJ289="",52&gt;設定!$B$3),"",IF(INDEX(原始資料!BC$2:BC$501,$BJ289)="","",INDEX(原始資料!BC$2:BC$501,$BJ289)))</f>
        <v/>
      </c>
      <c r="BB289" s="6">
        <f>IF(OR($BJ289="",53&gt;設定!$B$3),"",IF(INDEX(原始資料!BD$2:BD$501,$BJ289)="","",INDEX(原始資料!BD$2:BD$501,$BJ289)))</f>
        <v/>
      </c>
      <c r="BC289" s="6">
        <f>IF(OR($BJ289="",54&gt;設定!$B$3),"",IF(INDEX(原始資料!BE$2:BE$501,$BJ289)="","",INDEX(原始資料!BE$2:BE$501,$BJ289)))</f>
        <v/>
      </c>
      <c r="BD289" s="6">
        <f>IF(OR($BJ289="",55&gt;設定!$B$3),"",IF(INDEX(原始資料!BF$2:BF$501,$BJ289)="","",INDEX(原始資料!BF$2:BF$501,$BJ289)))</f>
        <v/>
      </c>
      <c r="BE289" s="6">
        <f>IF(OR($BJ289="",56&gt;設定!$B$3),"",IF(INDEX(原始資料!BG$2:BG$501,$BJ289)="","",INDEX(原始資料!BG$2:BG$501,$BJ289)))</f>
        <v/>
      </c>
      <c r="BF289" s="6">
        <f>IF(OR($BJ289="",57&gt;設定!$B$3),"",IF(INDEX(原始資料!BH$2:BH$501,$BJ289)="","",INDEX(原始資料!BH$2:BH$501,$BJ289)))</f>
        <v/>
      </c>
      <c r="BG289" s="6">
        <f>IF(OR($BJ289="",58&gt;設定!$B$3),"",IF(INDEX(原始資料!BI$2:BI$501,$BJ289)="","",INDEX(原始資料!BI$2:BI$501,$BJ289)))</f>
        <v/>
      </c>
      <c r="BH289" s="6">
        <f>IF(OR($BJ289="",59&gt;設定!$B$3),"",IF(INDEX(原始資料!BJ$2:BJ$501,$BJ289)="","",INDEX(原始資料!BJ$2:BJ$501,$BJ289)))</f>
        <v/>
      </c>
      <c r="BI289" s="6">
        <f>IF(OR($BJ289="",60&gt;設定!$B$3),"",IF(INDEX(原始資料!BK$2:BK$501,$BJ289)="","",INDEX(原始資料!BK$2:BK$501,$BJ289)))</f>
        <v/>
      </c>
      <c r="BJ289" s="6">
        <f>IFERROR(MATCH(ROW()-1,判定!$H$2:$H$501,0),"")</f>
        <v/>
      </c>
    </row>
    <row r="290">
      <c r="A290" s="6">
        <f>IF($BJ290="","",INDEX(原始資料!$A$2:$A$501,$BJ290))</f>
        <v/>
      </c>
      <c r="B290" s="6">
        <f>IF(OR($BJ290="",1&gt;設定!$B$3),"",IF(INDEX(原始資料!D$2:D$501,$BJ290)="","",INDEX(原始資料!D$2:D$501,$BJ290)))</f>
        <v/>
      </c>
      <c r="C290" s="6">
        <f>IF(OR($BJ290="",2&gt;設定!$B$3),"",IF(INDEX(原始資料!E$2:E$501,$BJ290)="","",INDEX(原始資料!E$2:E$501,$BJ290)))</f>
        <v/>
      </c>
      <c r="D290" s="6">
        <f>IF(OR($BJ290="",3&gt;設定!$B$3),"",IF(INDEX(原始資料!F$2:F$501,$BJ290)="","",INDEX(原始資料!F$2:F$501,$BJ290)))</f>
        <v/>
      </c>
      <c r="E290" s="6">
        <f>IF(OR($BJ290="",4&gt;設定!$B$3),"",IF(INDEX(原始資料!G$2:G$501,$BJ290)="","",INDEX(原始資料!G$2:G$501,$BJ290)))</f>
        <v/>
      </c>
      <c r="F290" s="6">
        <f>IF(OR($BJ290="",5&gt;設定!$B$3),"",IF(INDEX(原始資料!H$2:H$501,$BJ290)="","",INDEX(原始資料!H$2:H$501,$BJ290)))</f>
        <v/>
      </c>
      <c r="G290" s="6">
        <f>IF(OR($BJ290="",6&gt;設定!$B$3),"",IF(INDEX(原始資料!I$2:I$501,$BJ290)="","",INDEX(原始資料!I$2:I$501,$BJ290)))</f>
        <v/>
      </c>
      <c r="H290" s="6">
        <f>IF(OR($BJ290="",7&gt;設定!$B$3),"",IF(INDEX(原始資料!J$2:J$501,$BJ290)="","",INDEX(原始資料!J$2:J$501,$BJ290)))</f>
        <v/>
      </c>
      <c r="I290" s="6">
        <f>IF(OR($BJ290="",8&gt;設定!$B$3),"",IF(INDEX(原始資料!K$2:K$501,$BJ290)="","",INDEX(原始資料!K$2:K$501,$BJ290)))</f>
        <v/>
      </c>
      <c r="J290" s="6">
        <f>IF(OR($BJ290="",9&gt;設定!$B$3),"",IF(INDEX(原始資料!L$2:L$501,$BJ290)="","",INDEX(原始資料!L$2:L$501,$BJ290)))</f>
        <v/>
      </c>
      <c r="K290" s="6">
        <f>IF(OR($BJ290="",10&gt;設定!$B$3),"",IF(INDEX(原始資料!M$2:M$501,$BJ290)="","",INDEX(原始資料!M$2:M$501,$BJ290)))</f>
        <v/>
      </c>
      <c r="L290" s="6">
        <f>IF(OR($BJ290="",11&gt;設定!$B$3),"",IF(INDEX(原始資料!N$2:N$501,$BJ290)="","",INDEX(原始資料!N$2:N$501,$BJ290)))</f>
        <v/>
      </c>
      <c r="M290" s="6">
        <f>IF(OR($BJ290="",12&gt;設定!$B$3),"",IF(INDEX(原始資料!O$2:O$501,$BJ290)="","",INDEX(原始資料!O$2:O$501,$BJ290)))</f>
        <v/>
      </c>
      <c r="N290" s="6">
        <f>IF(OR($BJ290="",13&gt;設定!$B$3),"",IF(INDEX(原始資料!P$2:P$501,$BJ290)="","",INDEX(原始資料!P$2:P$501,$BJ290)))</f>
        <v/>
      </c>
      <c r="O290" s="6">
        <f>IF(OR($BJ290="",14&gt;設定!$B$3),"",IF(INDEX(原始資料!Q$2:Q$501,$BJ290)="","",INDEX(原始資料!Q$2:Q$501,$BJ290)))</f>
        <v/>
      </c>
      <c r="P290" s="6">
        <f>IF(OR($BJ290="",15&gt;設定!$B$3),"",IF(INDEX(原始資料!R$2:R$501,$BJ290)="","",INDEX(原始資料!R$2:R$501,$BJ290)))</f>
        <v/>
      </c>
      <c r="Q290" s="6">
        <f>IF(OR($BJ290="",16&gt;設定!$B$3),"",IF(INDEX(原始資料!S$2:S$501,$BJ290)="","",INDEX(原始資料!S$2:S$501,$BJ290)))</f>
        <v/>
      </c>
      <c r="R290" s="6">
        <f>IF(OR($BJ290="",17&gt;設定!$B$3),"",IF(INDEX(原始資料!T$2:T$501,$BJ290)="","",INDEX(原始資料!T$2:T$501,$BJ290)))</f>
        <v/>
      </c>
      <c r="S290" s="6">
        <f>IF(OR($BJ290="",18&gt;設定!$B$3),"",IF(INDEX(原始資料!U$2:U$501,$BJ290)="","",INDEX(原始資料!U$2:U$501,$BJ290)))</f>
        <v/>
      </c>
      <c r="T290" s="6">
        <f>IF(OR($BJ290="",19&gt;設定!$B$3),"",IF(INDEX(原始資料!V$2:V$501,$BJ290)="","",INDEX(原始資料!V$2:V$501,$BJ290)))</f>
        <v/>
      </c>
      <c r="U290" s="6">
        <f>IF(OR($BJ290="",20&gt;設定!$B$3),"",IF(INDEX(原始資料!W$2:W$501,$BJ290)="","",INDEX(原始資料!W$2:W$501,$BJ290)))</f>
        <v/>
      </c>
      <c r="V290" s="6">
        <f>IF(OR($BJ290="",21&gt;設定!$B$3),"",IF(INDEX(原始資料!X$2:X$501,$BJ290)="","",INDEX(原始資料!X$2:X$501,$BJ290)))</f>
        <v/>
      </c>
      <c r="W290" s="6">
        <f>IF(OR($BJ290="",22&gt;設定!$B$3),"",IF(INDEX(原始資料!Y$2:Y$501,$BJ290)="","",INDEX(原始資料!Y$2:Y$501,$BJ290)))</f>
        <v/>
      </c>
      <c r="X290" s="6">
        <f>IF(OR($BJ290="",23&gt;設定!$B$3),"",IF(INDEX(原始資料!Z$2:Z$501,$BJ290)="","",INDEX(原始資料!Z$2:Z$501,$BJ290)))</f>
        <v/>
      </c>
      <c r="Y290" s="6">
        <f>IF(OR($BJ290="",24&gt;設定!$B$3),"",IF(INDEX(原始資料!AA$2:AA$501,$BJ290)="","",INDEX(原始資料!AA$2:AA$501,$BJ290)))</f>
        <v/>
      </c>
      <c r="Z290" s="6">
        <f>IF(OR($BJ290="",25&gt;設定!$B$3),"",IF(INDEX(原始資料!AB$2:AB$501,$BJ290)="","",INDEX(原始資料!AB$2:AB$501,$BJ290)))</f>
        <v/>
      </c>
      <c r="AA290" s="6">
        <f>IF(OR($BJ290="",26&gt;設定!$B$3),"",IF(INDEX(原始資料!AC$2:AC$501,$BJ290)="","",INDEX(原始資料!AC$2:AC$501,$BJ290)))</f>
        <v/>
      </c>
      <c r="AB290" s="6">
        <f>IF(OR($BJ290="",27&gt;設定!$B$3),"",IF(INDEX(原始資料!AD$2:AD$501,$BJ290)="","",INDEX(原始資料!AD$2:AD$501,$BJ290)))</f>
        <v/>
      </c>
      <c r="AC290" s="6">
        <f>IF(OR($BJ290="",28&gt;設定!$B$3),"",IF(INDEX(原始資料!AE$2:AE$501,$BJ290)="","",INDEX(原始資料!AE$2:AE$501,$BJ290)))</f>
        <v/>
      </c>
      <c r="AD290" s="6">
        <f>IF(OR($BJ290="",29&gt;設定!$B$3),"",IF(INDEX(原始資料!AF$2:AF$501,$BJ290)="","",INDEX(原始資料!AF$2:AF$501,$BJ290)))</f>
        <v/>
      </c>
      <c r="AE290" s="6">
        <f>IF(OR($BJ290="",30&gt;設定!$B$3),"",IF(INDEX(原始資料!AG$2:AG$501,$BJ290)="","",INDEX(原始資料!AG$2:AG$501,$BJ290)))</f>
        <v/>
      </c>
      <c r="AF290" s="6">
        <f>IF(OR($BJ290="",31&gt;設定!$B$3),"",IF(INDEX(原始資料!AH$2:AH$501,$BJ290)="","",INDEX(原始資料!AH$2:AH$501,$BJ290)))</f>
        <v/>
      </c>
      <c r="AG290" s="6">
        <f>IF(OR($BJ290="",32&gt;設定!$B$3),"",IF(INDEX(原始資料!AI$2:AI$501,$BJ290)="","",INDEX(原始資料!AI$2:AI$501,$BJ290)))</f>
        <v/>
      </c>
      <c r="AH290" s="6">
        <f>IF(OR($BJ290="",33&gt;設定!$B$3),"",IF(INDEX(原始資料!AJ$2:AJ$501,$BJ290)="","",INDEX(原始資料!AJ$2:AJ$501,$BJ290)))</f>
        <v/>
      </c>
      <c r="AI290" s="6">
        <f>IF(OR($BJ290="",34&gt;設定!$B$3),"",IF(INDEX(原始資料!AK$2:AK$501,$BJ290)="","",INDEX(原始資料!AK$2:AK$501,$BJ290)))</f>
        <v/>
      </c>
      <c r="AJ290" s="6">
        <f>IF(OR($BJ290="",35&gt;設定!$B$3),"",IF(INDEX(原始資料!AL$2:AL$501,$BJ290)="","",INDEX(原始資料!AL$2:AL$501,$BJ290)))</f>
        <v/>
      </c>
      <c r="AK290" s="6">
        <f>IF(OR($BJ290="",36&gt;設定!$B$3),"",IF(INDEX(原始資料!AM$2:AM$501,$BJ290)="","",INDEX(原始資料!AM$2:AM$501,$BJ290)))</f>
        <v/>
      </c>
      <c r="AL290" s="6">
        <f>IF(OR($BJ290="",37&gt;設定!$B$3),"",IF(INDEX(原始資料!AN$2:AN$501,$BJ290)="","",INDEX(原始資料!AN$2:AN$501,$BJ290)))</f>
        <v/>
      </c>
      <c r="AM290" s="6">
        <f>IF(OR($BJ290="",38&gt;設定!$B$3),"",IF(INDEX(原始資料!AO$2:AO$501,$BJ290)="","",INDEX(原始資料!AO$2:AO$501,$BJ290)))</f>
        <v/>
      </c>
      <c r="AN290" s="6">
        <f>IF(OR($BJ290="",39&gt;設定!$B$3),"",IF(INDEX(原始資料!AP$2:AP$501,$BJ290)="","",INDEX(原始資料!AP$2:AP$501,$BJ290)))</f>
        <v/>
      </c>
      <c r="AO290" s="6">
        <f>IF(OR($BJ290="",40&gt;設定!$B$3),"",IF(INDEX(原始資料!AQ$2:AQ$501,$BJ290)="","",INDEX(原始資料!AQ$2:AQ$501,$BJ290)))</f>
        <v/>
      </c>
      <c r="AP290" s="6">
        <f>IF(OR($BJ290="",41&gt;設定!$B$3),"",IF(INDEX(原始資料!AR$2:AR$501,$BJ290)="","",INDEX(原始資料!AR$2:AR$501,$BJ290)))</f>
        <v/>
      </c>
      <c r="AQ290" s="6">
        <f>IF(OR($BJ290="",42&gt;設定!$B$3),"",IF(INDEX(原始資料!AS$2:AS$501,$BJ290)="","",INDEX(原始資料!AS$2:AS$501,$BJ290)))</f>
        <v/>
      </c>
      <c r="AR290" s="6">
        <f>IF(OR($BJ290="",43&gt;設定!$B$3),"",IF(INDEX(原始資料!AT$2:AT$501,$BJ290)="","",INDEX(原始資料!AT$2:AT$501,$BJ290)))</f>
        <v/>
      </c>
      <c r="AS290" s="6">
        <f>IF(OR($BJ290="",44&gt;設定!$B$3),"",IF(INDEX(原始資料!AU$2:AU$501,$BJ290)="","",INDEX(原始資料!AU$2:AU$501,$BJ290)))</f>
        <v/>
      </c>
      <c r="AT290" s="6">
        <f>IF(OR($BJ290="",45&gt;設定!$B$3),"",IF(INDEX(原始資料!AV$2:AV$501,$BJ290)="","",INDEX(原始資料!AV$2:AV$501,$BJ290)))</f>
        <v/>
      </c>
      <c r="AU290" s="6">
        <f>IF(OR($BJ290="",46&gt;設定!$B$3),"",IF(INDEX(原始資料!AW$2:AW$501,$BJ290)="","",INDEX(原始資料!AW$2:AW$501,$BJ290)))</f>
        <v/>
      </c>
      <c r="AV290" s="6">
        <f>IF(OR($BJ290="",47&gt;設定!$B$3),"",IF(INDEX(原始資料!AX$2:AX$501,$BJ290)="","",INDEX(原始資料!AX$2:AX$501,$BJ290)))</f>
        <v/>
      </c>
      <c r="AW290" s="6">
        <f>IF(OR($BJ290="",48&gt;設定!$B$3),"",IF(INDEX(原始資料!AY$2:AY$501,$BJ290)="","",INDEX(原始資料!AY$2:AY$501,$BJ290)))</f>
        <v/>
      </c>
      <c r="AX290" s="6">
        <f>IF(OR($BJ290="",49&gt;設定!$B$3),"",IF(INDEX(原始資料!AZ$2:AZ$501,$BJ290)="","",INDEX(原始資料!AZ$2:AZ$501,$BJ290)))</f>
        <v/>
      </c>
      <c r="AY290" s="6">
        <f>IF(OR($BJ290="",50&gt;設定!$B$3),"",IF(INDEX(原始資料!BA$2:BA$501,$BJ290)="","",INDEX(原始資料!BA$2:BA$501,$BJ290)))</f>
        <v/>
      </c>
      <c r="AZ290" s="6">
        <f>IF(OR($BJ290="",51&gt;設定!$B$3),"",IF(INDEX(原始資料!BB$2:BB$501,$BJ290)="","",INDEX(原始資料!BB$2:BB$501,$BJ290)))</f>
        <v/>
      </c>
      <c r="BA290" s="6">
        <f>IF(OR($BJ290="",52&gt;設定!$B$3),"",IF(INDEX(原始資料!BC$2:BC$501,$BJ290)="","",INDEX(原始資料!BC$2:BC$501,$BJ290)))</f>
        <v/>
      </c>
      <c r="BB290" s="6">
        <f>IF(OR($BJ290="",53&gt;設定!$B$3),"",IF(INDEX(原始資料!BD$2:BD$501,$BJ290)="","",INDEX(原始資料!BD$2:BD$501,$BJ290)))</f>
        <v/>
      </c>
      <c r="BC290" s="6">
        <f>IF(OR($BJ290="",54&gt;設定!$B$3),"",IF(INDEX(原始資料!BE$2:BE$501,$BJ290)="","",INDEX(原始資料!BE$2:BE$501,$BJ290)))</f>
        <v/>
      </c>
      <c r="BD290" s="6">
        <f>IF(OR($BJ290="",55&gt;設定!$B$3),"",IF(INDEX(原始資料!BF$2:BF$501,$BJ290)="","",INDEX(原始資料!BF$2:BF$501,$BJ290)))</f>
        <v/>
      </c>
      <c r="BE290" s="6">
        <f>IF(OR($BJ290="",56&gt;設定!$B$3),"",IF(INDEX(原始資料!BG$2:BG$501,$BJ290)="","",INDEX(原始資料!BG$2:BG$501,$BJ290)))</f>
        <v/>
      </c>
      <c r="BF290" s="6">
        <f>IF(OR($BJ290="",57&gt;設定!$B$3),"",IF(INDEX(原始資料!BH$2:BH$501,$BJ290)="","",INDEX(原始資料!BH$2:BH$501,$BJ290)))</f>
        <v/>
      </c>
      <c r="BG290" s="6">
        <f>IF(OR($BJ290="",58&gt;設定!$B$3),"",IF(INDEX(原始資料!BI$2:BI$501,$BJ290)="","",INDEX(原始資料!BI$2:BI$501,$BJ290)))</f>
        <v/>
      </c>
      <c r="BH290" s="6">
        <f>IF(OR($BJ290="",59&gt;設定!$B$3),"",IF(INDEX(原始資料!BJ$2:BJ$501,$BJ290)="","",INDEX(原始資料!BJ$2:BJ$501,$BJ290)))</f>
        <v/>
      </c>
      <c r="BI290" s="6">
        <f>IF(OR($BJ290="",60&gt;設定!$B$3),"",IF(INDEX(原始資料!BK$2:BK$501,$BJ290)="","",INDEX(原始資料!BK$2:BK$501,$BJ290)))</f>
        <v/>
      </c>
      <c r="BJ290" s="6">
        <f>IFERROR(MATCH(ROW()-1,判定!$H$2:$H$501,0),"")</f>
        <v/>
      </c>
    </row>
    <row r="291">
      <c r="A291" s="6">
        <f>IF($BJ291="","",INDEX(原始資料!$A$2:$A$501,$BJ291))</f>
        <v/>
      </c>
      <c r="B291" s="6">
        <f>IF(OR($BJ291="",1&gt;設定!$B$3),"",IF(INDEX(原始資料!D$2:D$501,$BJ291)="","",INDEX(原始資料!D$2:D$501,$BJ291)))</f>
        <v/>
      </c>
      <c r="C291" s="6">
        <f>IF(OR($BJ291="",2&gt;設定!$B$3),"",IF(INDEX(原始資料!E$2:E$501,$BJ291)="","",INDEX(原始資料!E$2:E$501,$BJ291)))</f>
        <v/>
      </c>
      <c r="D291" s="6">
        <f>IF(OR($BJ291="",3&gt;設定!$B$3),"",IF(INDEX(原始資料!F$2:F$501,$BJ291)="","",INDEX(原始資料!F$2:F$501,$BJ291)))</f>
        <v/>
      </c>
      <c r="E291" s="6">
        <f>IF(OR($BJ291="",4&gt;設定!$B$3),"",IF(INDEX(原始資料!G$2:G$501,$BJ291)="","",INDEX(原始資料!G$2:G$501,$BJ291)))</f>
        <v/>
      </c>
      <c r="F291" s="6">
        <f>IF(OR($BJ291="",5&gt;設定!$B$3),"",IF(INDEX(原始資料!H$2:H$501,$BJ291)="","",INDEX(原始資料!H$2:H$501,$BJ291)))</f>
        <v/>
      </c>
      <c r="G291" s="6">
        <f>IF(OR($BJ291="",6&gt;設定!$B$3),"",IF(INDEX(原始資料!I$2:I$501,$BJ291)="","",INDEX(原始資料!I$2:I$501,$BJ291)))</f>
        <v/>
      </c>
      <c r="H291" s="6">
        <f>IF(OR($BJ291="",7&gt;設定!$B$3),"",IF(INDEX(原始資料!J$2:J$501,$BJ291)="","",INDEX(原始資料!J$2:J$501,$BJ291)))</f>
        <v/>
      </c>
      <c r="I291" s="6">
        <f>IF(OR($BJ291="",8&gt;設定!$B$3),"",IF(INDEX(原始資料!K$2:K$501,$BJ291)="","",INDEX(原始資料!K$2:K$501,$BJ291)))</f>
        <v/>
      </c>
      <c r="J291" s="6">
        <f>IF(OR($BJ291="",9&gt;設定!$B$3),"",IF(INDEX(原始資料!L$2:L$501,$BJ291)="","",INDEX(原始資料!L$2:L$501,$BJ291)))</f>
        <v/>
      </c>
      <c r="K291" s="6">
        <f>IF(OR($BJ291="",10&gt;設定!$B$3),"",IF(INDEX(原始資料!M$2:M$501,$BJ291)="","",INDEX(原始資料!M$2:M$501,$BJ291)))</f>
        <v/>
      </c>
      <c r="L291" s="6">
        <f>IF(OR($BJ291="",11&gt;設定!$B$3),"",IF(INDEX(原始資料!N$2:N$501,$BJ291)="","",INDEX(原始資料!N$2:N$501,$BJ291)))</f>
        <v/>
      </c>
      <c r="M291" s="6">
        <f>IF(OR($BJ291="",12&gt;設定!$B$3),"",IF(INDEX(原始資料!O$2:O$501,$BJ291)="","",INDEX(原始資料!O$2:O$501,$BJ291)))</f>
        <v/>
      </c>
      <c r="N291" s="6">
        <f>IF(OR($BJ291="",13&gt;設定!$B$3),"",IF(INDEX(原始資料!P$2:P$501,$BJ291)="","",INDEX(原始資料!P$2:P$501,$BJ291)))</f>
        <v/>
      </c>
      <c r="O291" s="6">
        <f>IF(OR($BJ291="",14&gt;設定!$B$3),"",IF(INDEX(原始資料!Q$2:Q$501,$BJ291)="","",INDEX(原始資料!Q$2:Q$501,$BJ291)))</f>
        <v/>
      </c>
      <c r="P291" s="6">
        <f>IF(OR($BJ291="",15&gt;設定!$B$3),"",IF(INDEX(原始資料!R$2:R$501,$BJ291)="","",INDEX(原始資料!R$2:R$501,$BJ291)))</f>
        <v/>
      </c>
      <c r="Q291" s="6">
        <f>IF(OR($BJ291="",16&gt;設定!$B$3),"",IF(INDEX(原始資料!S$2:S$501,$BJ291)="","",INDEX(原始資料!S$2:S$501,$BJ291)))</f>
        <v/>
      </c>
      <c r="R291" s="6">
        <f>IF(OR($BJ291="",17&gt;設定!$B$3),"",IF(INDEX(原始資料!T$2:T$501,$BJ291)="","",INDEX(原始資料!T$2:T$501,$BJ291)))</f>
        <v/>
      </c>
      <c r="S291" s="6">
        <f>IF(OR($BJ291="",18&gt;設定!$B$3),"",IF(INDEX(原始資料!U$2:U$501,$BJ291)="","",INDEX(原始資料!U$2:U$501,$BJ291)))</f>
        <v/>
      </c>
      <c r="T291" s="6">
        <f>IF(OR($BJ291="",19&gt;設定!$B$3),"",IF(INDEX(原始資料!V$2:V$501,$BJ291)="","",INDEX(原始資料!V$2:V$501,$BJ291)))</f>
        <v/>
      </c>
      <c r="U291" s="6">
        <f>IF(OR($BJ291="",20&gt;設定!$B$3),"",IF(INDEX(原始資料!W$2:W$501,$BJ291)="","",INDEX(原始資料!W$2:W$501,$BJ291)))</f>
        <v/>
      </c>
      <c r="V291" s="6">
        <f>IF(OR($BJ291="",21&gt;設定!$B$3),"",IF(INDEX(原始資料!X$2:X$501,$BJ291)="","",INDEX(原始資料!X$2:X$501,$BJ291)))</f>
        <v/>
      </c>
      <c r="W291" s="6">
        <f>IF(OR($BJ291="",22&gt;設定!$B$3),"",IF(INDEX(原始資料!Y$2:Y$501,$BJ291)="","",INDEX(原始資料!Y$2:Y$501,$BJ291)))</f>
        <v/>
      </c>
      <c r="X291" s="6">
        <f>IF(OR($BJ291="",23&gt;設定!$B$3),"",IF(INDEX(原始資料!Z$2:Z$501,$BJ291)="","",INDEX(原始資料!Z$2:Z$501,$BJ291)))</f>
        <v/>
      </c>
      <c r="Y291" s="6">
        <f>IF(OR($BJ291="",24&gt;設定!$B$3),"",IF(INDEX(原始資料!AA$2:AA$501,$BJ291)="","",INDEX(原始資料!AA$2:AA$501,$BJ291)))</f>
        <v/>
      </c>
      <c r="Z291" s="6">
        <f>IF(OR($BJ291="",25&gt;設定!$B$3),"",IF(INDEX(原始資料!AB$2:AB$501,$BJ291)="","",INDEX(原始資料!AB$2:AB$501,$BJ291)))</f>
        <v/>
      </c>
      <c r="AA291" s="6">
        <f>IF(OR($BJ291="",26&gt;設定!$B$3),"",IF(INDEX(原始資料!AC$2:AC$501,$BJ291)="","",INDEX(原始資料!AC$2:AC$501,$BJ291)))</f>
        <v/>
      </c>
      <c r="AB291" s="6">
        <f>IF(OR($BJ291="",27&gt;設定!$B$3),"",IF(INDEX(原始資料!AD$2:AD$501,$BJ291)="","",INDEX(原始資料!AD$2:AD$501,$BJ291)))</f>
        <v/>
      </c>
      <c r="AC291" s="6">
        <f>IF(OR($BJ291="",28&gt;設定!$B$3),"",IF(INDEX(原始資料!AE$2:AE$501,$BJ291)="","",INDEX(原始資料!AE$2:AE$501,$BJ291)))</f>
        <v/>
      </c>
      <c r="AD291" s="6">
        <f>IF(OR($BJ291="",29&gt;設定!$B$3),"",IF(INDEX(原始資料!AF$2:AF$501,$BJ291)="","",INDEX(原始資料!AF$2:AF$501,$BJ291)))</f>
        <v/>
      </c>
      <c r="AE291" s="6">
        <f>IF(OR($BJ291="",30&gt;設定!$B$3),"",IF(INDEX(原始資料!AG$2:AG$501,$BJ291)="","",INDEX(原始資料!AG$2:AG$501,$BJ291)))</f>
        <v/>
      </c>
      <c r="AF291" s="6">
        <f>IF(OR($BJ291="",31&gt;設定!$B$3),"",IF(INDEX(原始資料!AH$2:AH$501,$BJ291)="","",INDEX(原始資料!AH$2:AH$501,$BJ291)))</f>
        <v/>
      </c>
      <c r="AG291" s="6">
        <f>IF(OR($BJ291="",32&gt;設定!$B$3),"",IF(INDEX(原始資料!AI$2:AI$501,$BJ291)="","",INDEX(原始資料!AI$2:AI$501,$BJ291)))</f>
        <v/>
      </c>
      <c r="AH291" s="6">
        <f>IF(OR($BJ291="",33&gt;設定!$B$3),"",IF(INDEX(原始資料!AJ$2:AJ$501,$BJ291)="","",INDEX(原始資料!AJ$2:AJ$501,$BJ291)))</f>
        <v/>
      </c>
      <c r="AI291" s="6">
        <f>IF(OR($BJ291="",34&gt;設定!$B$3),"",IF(INDEX(原始資料!AK$2:AK$501,$BJ291)="","",INDEX(原始資料!AK$2:AK$501,$BJ291)))</f>
        <v/>
      </c>
      <c r="AJ291" s="6">
        <f>IF(OR($BJ291="",35&gt;設定!$B$3),"",IF(INDEX(原始資料!AL$2:AL$501,$BJ291)="","",INDEX(原始資料!AL$2:AL$501,$BJ291)))</f>
        <v/>
      </c>
      <c r="AK291" s="6">
        <f>IF(OR($BJ291="",36&gt;設定!$B$3),"",IF(INDEX(原始資料!AM$2:AM$501,$BJ291)="","",INDEX(原始資料!AM$2:AM$501,$BJ291)))</f>
        <v/>
      </c>
      <c r="AL291" s="6">
        <f>IF(OR($BJ291="",37&gt;設定!$B$3),"",IF(INDEX(原始資料!AN$2:AN$501,$BJ291)="","",INDEX(原始資料!AN$2:AN$501,$BJ291)))</f>
        <v/>
      </c>
      <c r="AM291" s="6">
        <f>IF(OR($BJ291="",38&gt;設定!$B$3),"",IF(INDEX(原始資料!AO$2:AO$501,$BJ291)="","",INDEX(原始資料!AO$2:AO$501,$BJ291)))</f>
        <v/>
      </c>
      <c r="AN291" s="6">
        <f>IF(OR($BJ291="",39&gt;設定!$B$3),"",IF(INDEX(原始資料!AP$2:AP$501,$BJ291)="","",INDEX(原始資料!AP$2:AP$501,$BJ291)))</f>
        <v/>
      </c>
      <c r="AO291" s="6">
        <f>IF(OR($BJ291="",40&gt;設定!$B$3),"",IF(INDEX(原始資料!AQ$2:AQ$501,$BJ291)="","",INDEX(原始資料!AQ$2:AQ$501,$BJ291)))</f>
        <v/>
      </c>
      <c r="AP291" s="6">
        <f>IF(OR($BJ291="",41&gt;設定!$B$3),"",IF(INDEX(原始資料!AR$2:AR$501,$BJ291)="","",INDEX(原始資料!AR$2:AR$501,$BJ291)))</f>
        <v/>
      </c>
      <c r="AQ291" s="6">
        <f>IF(OR($BJ291="",42&gt;設定!$B$3),"",IF(INDEX(原始資料!AS$2:AS$501,$BJ291)="","",INDEX(原始資料!AS$2:AS$501,$BJ291)))</f>
        <v/>
      </c>
      <c r="AR291" s="6">
        <f>IF(OR($BJ291="",43&gt;設定!$B$3),"",IF(INDEX(原始資料!AT$2:AT$501,$BJ291)="","",INDEX(原始資料!AT$2:AT$501,$BJ291)))</f>
        <v/>
      </c>
      <c r="AS291" s="6">
        <f>IF(OR($BJ291="",44&gt;設定!$B$3),"",IF(INDEX(原始資料!AU$2:AU$501,$BJ291)="","",INDEX(原始資料!AU$2:AU$501,$BJ291)))</f>
        <v/>
      </c>
      <c r="AT291" s="6">
        <f>IF(OR($BJ291="",45&gt;設定!$B$3),"",IF(INDEX(原始資料!AV$2:AV$501,$BJ291)="","",INDEX(原始資料!AV$2:AV$501,$BJ291)))</f>
        <v/>
      </c>
      <c r="AU291" s="6">
        <f>IF(OR($BJ291="",46&gt;設定!$B$3),"",IF(INDEX(原始資料!AW$2:AW$501,$BJ291)="","",INDEX(原始資料!AW$2:AW$501,$BJ291)))</f>
        <v/>
      </c>
      <c r="AV291" s="6">
        <f>IF(OR($BJ291="",47&gt;設定!$B$3),"",IF(INDEX(原始資料!AX$2:AX$501,$BJ291)="","",INDEX(原始資料!AX$2:AX$501,$BJ291)))</f>
        <v/>
      </c>
      <c r="AW291" s="6">
        <f>IF(OR($BJ291="",48&gt;設定!$B$3),"",IF(INDEX(原始資料!AY$2:AY$501,$BJ291)="","",INDEX(原始資料!AY$2:AY$501,$BJ291)))</f>
        <v/>
      </c>
      <c r="AX291" s="6">
        <f>IF(OR($BJ291="",49&gt;設定!$B$3),"",IF(INDEX(原始資料!AZ$2:AZ$501,$BJ291)="","",INDEX(原始資料!AZ$2:AZ$501,$BJ291)))</f>
        <v/>
      </c>
      <c r="AY291" s="6">
        <f>IF(OR($BJ291="",50&gt;設定!$B$3),"",IF(INDEX(原始資料!BA$2:BA$501,$BJ291)="","",INDEX(原始資料!BA$2:BA$501,$BJ291)))</f>
        <v/>
      </c>
      <c r="AZ291" s="6">
        <f>IF(OR($BJ291="",51&gt;設定!$B$3),"",IF(INDEX(原始資料!BB$2:BB$501,$BJ291)="","",INDEX(原始資料!BB$2:BB$501,$BJ291)))</f>
        <v/>
      </c>
      <c r="BA291" s="6">
        <f>IF(OR($BJ291="",52&gt;設定!$B$3),"",IF(INDEX(原始資料!BC$2:BC$501,$BJ291)="","",INDEX(原始資料!BC$2:BC$501,$BJ291)))</f>
        <v/>
      </c>
      <c r="BB291" s="6">
        <f>IF(OR($BJ291="",53&gt;設定!$B$3),"",IF(INDEX(原始資料!BD$2:BD$501,$BJ291)="","",INDEX(原始資料!BD$2:BD$501,$BJ291)))</f>
        <v/>
      </c>
      <c r="BC291" s="6">
        <f>IF(OR($BJ291="",54&gt;設定!$B$3),"",IF(INDEX(原始資料!BE$2:BE$501,$BJ291)="","",INDEX(原始資料!BE$2:BE$501,$BJ291)))</f>
        <v/>
      </c>
      <c r="BD291" s="6">
        <f>IF(OR($BJ291="",55&gt;設定!$B$3),"",IF(INDEX(原始資料!BF$2:BF$501,$BJ291)="","",INDEX(原始資料!BF$2:BF$501,$BJ291)))</f>
        <v/>
      </c>
      <c r="BE291" s="6">
        <f>IF(OR($BJ291="",56&gt;設定!$B$3),"",IF(INDEX(原始資料!BG$2:BG$501,$BJ291)="","",INDEX(原始資料!BG$2:BG$501,$BJ291)))</f>
        <v/>
      </c>
      <c r="BF291" s="6">
        <f>IF(OR($BJ291="",57&gt;設定!$B$3),"",IF(INDEX(原始資料!BH$2:BH$501,$BJ291)="","",INDEX(原始資料!BH$2:BH$501,$BJ291)))</f>
        <v/>
      </c>
      <c r="BG291" s="6">
        <f>IF(OR($BJ291="",58&gt;設定!$B$3),"",IF(INDEX(原始資料!BI$2:BI$501,$BJ291)="","",INDEX(原始資料!BI$2:BI$501,$BJ291)))</f>
        <v/>
      </c>
      <c r="BH291" s="6">
        <f>IF(OR($BJ291="",59&gt;設定!$B$3),"",IF(INDEX(原始資料!BJ$2:BJ$501,$BJ291)="","",INDEX(原始資料!BJ$2:BJ$501,$BJ291)))</f>
        <v/>
      </c>
      <c r="BI291" s="6">
        <f>IF(OR($BJ291="",60&gt;設定!$B$3),"",IF(INDEX(原始資料!BK$2:BK$501,$BJ291)="","",INDEX(原始資料!BK$2:BK$501,$BJ291)))</f>
        <v/>
      </c>
      <c r="BJ291" s="6">
        <f>IFERROR(MATCH(ROW()-1,判定!$H$2:$H$501,0),"")</f>
        <v/>
      </c>
    </row>
    <row r="292">
      <c r="A292" s="6">
        <f>IF($BJ292="","",INDEX(原始資料!$A$2:$A$501,$BJ292))</f>
        <v/>
      </c>
      <c r="B292" s="6">
        <f>IF(OR($BJ292="",1&gt;設定!$B$3),"",IF(INDEX(原始資料!D$2:D$501,$BJ292)="","",INDEX(原始資料!D$2:D$501,$BJ292)))</f>
        <v/>
      </c>
      <c r="C292" s="6">
        <f>IF(OR($BJ292="",2&gt;設定!$B$3),"",IF(INDEX(原始資料!E$2:E$501,$BJ292)="","",INDEX(原始資料!E$2:E$501,$BJ292)))</f>
        <v/>
      </c>
      <c r="D292" s="6">
        <f>IF(OR($BJ292="",3&gt;設定!$B$3),"",IF(INDEX(原始資料!F$2:F$501,$BJ292)="","",INDEX(原始資料!F$2:F$501,$BJ292)))</f>
        <v/>
      </c>
      <c r="E292" s="6">
        <f>IF(OR($BJ292="",4&gt;設定!$B$3),"",IF(INDEX(原始資料!G$2:G$501,$BJ292)="","",INDEX(原始資料!G$2:G$501,$BJ292)))</f>
        <v/>
      </c>
      <c r="F292" s="6">
        <f>IF(OR($BJ292="",5&gt;設定!$B$3),"",IF(INDEX(原始資料!H$2:H$501,$BJ292)="","",INDEX(原始資料!H$2:H$501,$BJ292)))</f>
        <v/>
      </c>
      <c r="G292" s="6">
        <f>IF(OR($BJ292="",6&gt;設定!$B$3),"",IF(INDEX(原始資料!I$2:I$501,$BJ292)="","",INDEX(原始資料!I$2:I$501,$BJ292)))</f>
        <v/>
      </c>
      <c r="H292" s="6">
        <f>IF(OR($BJ292="",7&gt;設定!$B$3),"",IF(INDEX(原始資料!J$2:J$501,$BJ292)="","",INDEX(原始資料!J$2:J$501,$BJ292)))</f>
        <v/>
      </c>
      <c r="I292" s="6">
        <f>IF(OR($BJ292="",8&gt;設定!$B$3),"",IF(INDEX(原始資料!K$2:K$501,$BJ292)="","",INDEX(原始資料!K$2:K$501,$BJ292)))</f>
        <v/>
      </c>
      <c r="J292" s="6">
        <f>IF(OR($BJ292="",9&gt;設定!$B$3),"",IF(INDEX(原始資料!L$2:L$501,$BJ292)="","",INDEX(原始資料!L$2:L$501,$BJ292)))</f>
        <v/>
      </c>
      <c r="K292" s="6">
        <f>IF(OR($BJ292="",10&gt;設定!$B$3),"",IF(INDEX(原始資料!M$2:M$501,$BJ292)="","",INDEX(原始資料!M$2:M$501,$BJ292)))</f>
        <v/>
      </c>
      <c r="L292" s="6">
        <f>IF(OR($BJ292="",11&gt;設定!$B$3),"",IF(INDEX(原始資料!N$2:N$501,$BJ292)="","",INDEX(原始資料!N$2:N$501,$BJ292)))</f>
        <v/>
      </c>
      <c r="M292" s="6">
        <f>IF(OR($BJ292="",12&gt;設定!$B$3),"",IF(INDEX(原始資料!O$2:O$501,$BJ292)="","",INDEX(原始資料!O$2:O$501,$BJ292)))</f>
        <v/>
      </c>
      <c r="N292" s="6">
        <f>IF(OR($BJ292="",13&gt;設定!$B$3),"",IF(INDEX(原始資料!P$2:P$501,$BJ292)="","",INDEX(原始資料!P$2:P$501,$BJ292)))</f>
        <v/>
      </c>
      <c r="O292" s="6">
        <f>IF(OR($BJ292="",14&gt;設定!$B$3),"",IF(INDEX(原始資料!Q$2:Q$501,$BJ292)="","",INDEX(原始資料!Q$2:Q$501,$BJ292)))</f>
        <v/>
      </c>
      <c r="P292" s="6">
        <f>IF(OR($BJ292="",15&gt;設定!$B$3),"",IF(INDEX(原始資料!R$2:R$501,$BJ292)="","",INDEX(原始資料!R$2:R$501,$BJ292)))</f>
        <v/>
      </c>
      <c r="Q292" s="6">
        <f>IF(OR($BJ292="",16&gt;設定!$B$3),"",IF(INDEX(原始資料!S$2:S$501,$BJ292)="","",INDEX(原始資料!S$2:S$501,$BJ292)))</f>
        <v/>
      </c>
      <c r="R292" s="6">
        <f>IF(OR($BJ292="",17&gt;設定!$B$3),"",IF(INDEX(原始資料!T$2:T$501,$BJ292)="","",INDEX(原始資料!T$2:T$501,$BJ292)))</f>
        <v/>
      </c>
      <c r="S292" s="6">
        <f>IF(OR($BJ292="",18&gt;設定!$B$3),"",IF(INDEX(原始資料!U$2:U$501,$BJ292)="","",INDEX(原始資料!U$2:U$501,$BJ292)))</f>
        <v/>
      </c>
      <c r="T292" s="6">
        <f>IF(OR($BJ292="",19&gt;設定!$B$3),"",IF(INDEX(原始資料!V$2:V$501,$BJ292)="","",INDEX(原始資料!V$2:V$501,$BJ292)))</f>
        <v/>
      </c>
      <c r="U292" s="6">
        <f>IF(OR($BJ292="",20&gt;設定!$B$3),"",IF(INDEX(原始資料!W$2:W$501,$BJ292)="","",INDEX(原始資料!W$2:W$501,$BJ292)))</f>
        <v/>
      </c>
      <c r="V292" s="6">
        <f>IF(OR($BJ292="",21&gt;設定!$B$3),"",IF(INDEX(原始資料!X$2:X$501,$BJ292)="","",INDEX(原始資料!X$2:X$501,$BJ292)))</f>
        <v/>
      </c>
      <c r="W292" s="6">
        <f>IF(OR($BJ292="",22&gt;設定!$B$3),"",IF(INDEX(原始資料!Y$2:Y$501,$BJ292)="","",INDEX(原始資料!Y$2:Y$501,$BJ292)))</f>
        <v/>
      </c>
      <c r="X292" s="6">
        <f>IF(OR($BJ292="",23&gt;設定!$B$3),"",IF(INDEX(原始資料!Z$2:Z$501,$BJ292)="","",INDEX(原始資料!Z$2:Z$501,$BJ292)))</f>
        <v/>
      </c>
      <c r="Y292" s="6">
        <f>IF(OR($BJ292="",24&gt;設定!$B$3),"",IF(INDEX(原始資料!AA$2:AA$501,$BJ292)="","",INDEX(原始資料!AA$2:AA$501,$BJ292)))</f>
        <v/>
      </c>
      <c r="Z292" s="6">
        <f>IF(OR($BJ292="",25&gt;設定!$B$3),"",IF(INDEX(原始資料!AB$2:AB$501,$BJ292)="","",INDEX(原始資料!AB$2:AB$501,$BJ292)))</f>
        <v/>
      </c>
      <c r="AA292" s="6">
        <f>IF(OR($BJ292="",26&gt;設定!$B$3),"",IF(INDEX(原始資料!AC$2:AC$501,$BJ292)="","",INDEX(原始資料!AC$2:AC$501,$BJ292)))</f>
        <v/>
      </c>
      <c r="AB292" s="6">
        <f>IF(OR($BJ292="",27&gt;設定!$B$3),"",IF(INDEX(原始資料!AD$2:AD$501,$BJ292)="","",INDEX(原始資料!AD$2:AD$501,$BJ292)))</f>
        <v/>
      </c>
      <c r="AC292" s="6">
        <f>IF(OR($BJ292="",28&gt;設定!$B$3),"",IF(INDEX(原始資料!AE$2:AE$501,$BJ292)="","",INDEX(原始資料!AE$2:AE$501,$BJ292)))</f>
        <v/>
      </c>
      <c r="AD292" s="6">
        <f>IF(OR($BJ292="",29&gt;設定!$B$3),"",IF(INDEX(原始資料!AF$2:AF$501,$BJ292)="","",INDEX(原始資料!AF$2:AF$501,$BJ292)))</f>
        <v/>
      </c>
      <c r="AE292" s="6">
        <f>IF(OR($BJ292="",30&gt;設定!$B$3),"",IF(INDEX(原始資料!AG$2:AG$501,$BJ292)="","",INDEX(原始資料!AG$2:AG$501,$BJ292)))</f>
        <v/>
      </c>
      <c r="AF292" s="6">
        <f>IF(OR($BJ292="",31&gt;設定!$B$3),"",IF(INDEX(原始資料!AH$2:AH$501,$BJ292)="","",INDEX(原始資料!AH$2:AH$501,$BJ292)))</f>
        <v/>
      </c>
      <c r="AG292" s="6">
        <f>IF(OR($BJ292="",32&gt;設定!$B$3),"",IF(INDEX(原始資料!AI$2:AI$501,$BJ292)="","",INDEX(原始資料!AI$2:AI$501,$BJ292)))</f>
        <v/>
      </c>
      <c r="AH292" s="6">
        <f>IF(OR($BJ292="",33&gt;設定!$B$3),"",IF(INDEX(原始資料!AJ$2:AJ$501,$BJ292)="","",INDEX(原始資料!AJ$2:AJ$501,$BJ292)))</f>
        <v/>
      </c>
      <c r="AI292" s="6">
        <f>IF(OR($BJ292="",34&gt;設定!$B$3),"",IF(INDEX(原始資料!AK$2:AK$501,$BJ292)="","",INDEX(原始資料!AK$2:AK$501,$BJ292)))</f>
        <v/>
      </c>
      <c r="AJ292" s="6">
        <f>IF(OR($BJ292="",35&gt;設定!$B$3),"",IF(INDEX(原始資料!AL$2:AL$501,$BJ292)="","",INDEX(原始資料!AL$2:AL$501,$BJ292)))</f>
        <v/>
      </c>
      <c r="AK292" s="6">
        <f>IF(OR($BJ292="",36&gt;設定!$B$3),"",IF(INDEX(原始資料!AM$2:AM$501,$BJ292)="","",INDEX(原始資料!AM$2:AM$501,$BJ292)))</f>
        <v/>
      </c>
      <c r="AL292" s="6">
        <f>IF(OR($BJ292="",37&gt;設定!$B$3),"",IF(INDEX(原始資料!AN$2:AN$501,$BJ292)="","",INDEX(原始資料!AN$2:AN$501,$BJ292)))</f>
        <v/>
      </c>
      <c r="AM292" s="6">
        <f>IF(OR($BJ292="",38&gt;設定!$B$3),"",IF(INDEX(原始資料!AO$2:AO$501,$BJ292)="","",INDEX(原始資料!AO$2:AO$501,$BJ292)))</f>
        <v/>
      </c>
      <c r="AN292" s="6">
        <f>IF(OR($BJ292="",39&gt;設定!$B$3),"",IF(INDEX(原始資料!AP$2:AP$501,$BJ292)="","",INDEX(原始資料!AP$2:AP$501,$BJ292)))</f>
        <v/>
      </c>
      <c r="AO292" s="6">
        <f>IF(OR($BJ292="",40&gt;設定!$B$3),"",IF(INDEX(原始資料!AQ$2:AQ$501,$BJ292)="","",INDEX(原始資料!AQ$2:AQ$501,$BJ292)))</f>
        <v/>
      </c>
      <c r="AP292" s="6">
        <f>IF(OR($BJ292="",41&gt;設定!$B$3),"",IF(INDEX(原始資料!AR$2:AR$501,$BJ292)="","",INDEX(原始資料!AR$2:AR$501,$BJ292)))</f>
        <v/>
      </c>
      <c r="AQ292" s="6">
        <f>IF(OR($BJ292="",42&gt;設定!$B$3),"",IF(INDEX(原始資料!AS$2:AS$501,$BJ292)="","",INDEX(原始資料!AS$2:AS$501,$BJ292)))</f>
        <v/>
      </c>
      <c r="AR292" s="6">
        <f>IF(OR($BJ292="",43&gt;設定!$B$3),"",IF(INDEX(原始資料!AT$2:AT$501,$BJ292)="","",INDEX(原始資料!AT$2:AT$501,$BJ292)))</f>
        <v/>
      </c>
      <c r="AS292" s="6">
        <f>IF(OR($BJ292="",44&gt;設定!$B$3),"",IF(INDEX(原始資料!AU$2:AU$501,$BJ292)="","",INDEX(原始資料!AU$2:AU$501,$BJ292)))</f>
        <v/>
      </c>
      <c r="AT292" s="6">
        <f>IF(OR($BJ292="",45&gt;設定!$B$3),"",IF(INDEX(原始資料!AV$2:AV$501,$BJ292)="","",INDEX(原始資料!AV$2:AV$501,$BJ292)))</f>
        <v/>
      </c>
      <c r="AU292" s="6">
        <f>IF(OR($BJ292="",46&gt;設定!$B$3),"",IF(INDEX(原始資料!AW$2:AW$501,$BJ292)="","",INDEX(原始資料!AW$2:AW$501,$BJ292)))</f>
        <v/>
      </c>
      <c r="AV292" s="6">
        <f>IF(OR($BJ292="",47&gt;設定!$B$3),"",IF(INDEX(原始資料!AX$2:AX$501,$BJ292)="","",INDEX(原始資料!AX$2:AX$501,$BJ292)))</f>
        <v/>
      </c>
      <c r="AW292" s="6">
        <f>IF(OR($BJ292="",48&gt;設定!$B$3),"",IF(INDEX(原始資料!AY$2:AY$501,$BJ292)="","",INDEX(原始資料!AY$2:AY$501,$BJ292)))</f>
        <v/>
      </c>
      <c r="AX292" s="6">
        <f>IF(OR($BJ292="",49&gt;設定!$B$3),"",IF(INDEX(原始資料!AZ$2:AZ$501,$BJ292)="","",INDEX(原始資料!AZ$2:AZ$501,$BJ292)))</f>
        <v/>
      </c>
      <c r="AY292" s="6">
        <f>IF(OR($BJ292="",50&gt;設定!$B$3),"",IF(INDEX(原始資料!BA$2:BA$501,$BJ292)="","",INDEX(原始資料!BA$2:BA$501,$BJ292)))</f>
        <v/>
      </c>
      <c r="AZ292" s="6">
        <f>IF(OR($BJ292="",51&gt;設定!$B$3),"",IF(INDEX(原始資料!BB$2:BB$501,$BJ292)="","",INDEX(原始資料!BB$2:BB$501,$BJ292)))</f>
        <v/>
      </c>
      <c r="BA292" s="6">
        <f>IF(OR($BJ292="",52&gt;設定!$B$3),"",IF(INDEX(原始資料!BC$2:BC$501,$BJ292)="","",INDEX(原始資料!BC$2:BC$501,$BJ292)))</f>
        <v/>
      </c>
      <c r="BB292" s="6">
        <f>IF(OR($BJ292="",53&gt;設定!$B$3),"",IF(INDEX(原始資料!BD$2:BD$501,$BJ292)="","",INDEX(原始資料!BD$2:BD$501,$BJ292)))</f>
        <v/>
      </c>
      <c r="BC292" s="6">
        <f>IF(OR($BJ292="",54&gt;設定!$B$3),"",IF(INDEX(原始資料!BE$2:BE$501,$BJ292)="","",INDEX(原始資料!BE$2:BE$501,$BJ292)))</f>
        <v/>
      </c>
      <c r="BD292" s="6">
        <f>IF(OR($BJ292="",55&gt;設定!$B$3),"",IF(INDEX(原始資料!BF$2:BF$501,$BJ292)="","",INDEX(原始資料!BF$2:BF$501,$BJ292)))</f>
        <v/>
      </c>
      <c r="BE292" s="6">
        <f>IF(OR($BJ292="",56&gt;設定!$B$3),"",IF(INDEX(原始資料!BG$2:BG$501,$BJ292)="","",INDEX(原始資料!BG$2:BG$501,$BJ292)))</f>
        <v/>
      </c>
      <c r="BF292" s="6">
        <f>IF(OR($BJ292="",57&gt;設定!$B$3),"",IF(INDEX(原始資料!BH$2:BH$501,$BJ292)="","",INDEX(原始資料!BH$2:BH$501,$BJ292)))</f>
        <v/>
      </c>
      <c r="BG292" s="6">
        <f>IF(OR($BJ292="",58&gt;設定!$B$3),"",IF(INDEX(原始資料!BI$2:BI$501,$BJ292)="","",INDEX(原始資料!BI$2:BI$501,$BJ292)))</f>
        <v/>
      </c>
      <c r="BH292" s="6">
        <f>IF(OR($BJ292="",59&gt;設定!$B$3),"",IF(INDEX(原始資料!BJ$2:BJ$501,$BJ292)="","",INDEX(原始資料!BJ$2:BJ$501,$BJ292)))</f>
        <v/>
      </c>
      <c r="BI292" s="6">
        <f>IF(OR($BJ292="",60&gt;設定!$B$3),"",IF(INDEX(原始資料!BK$2:BK$501,$BJ292)="","",INDEX(原始資料!BK$2:BK$501,$BJ292)))</f>
        <v/>
      </c>
      <c r="BJ292" s="6">
        <f>IFERROR(MATCH(ROW()-1,判定!$H$2:$H$501,0),"")</f>
        <v/>
      </c>
    </row>
    <row r="293">
      <c r="A293" s="6">
        <f>IF($BJ293="","",INDEX(原始資料!$A$2:$A$501,$BJ293))</f>
        <v/>
      </c>
      <c r="B293" s="6">
        <f>IF(OR($BJ293="",1&gt;設定!$B$3),"",IF(INDEX(原始資料!D$2:D$501,$BJ293)="","",INDEX(原始資料!D$2:D$501,$BJ293)))</f>
        <v/>
      </c>
      <c r="C293" s="6">
        <f>IF(OR($BJ293="",2&gt;設定!$B$3),"",IF(INDEX(原始資料!E$2:E$501,$BJ293)="","",INDEX(原始資料!E$2:E$501,$BJ293)))</f>
        <v/>
      </c>
      <c r="D293" s="6">
        <f>IF(OR($BJ293="",3&gt;設定!$B$3),"",IF(INDEX(原始資料!F$2:F$501,$BJ293)="","",INDEX(原始資料!F$2:F$501,$BJ293)))</f>
        <v/>
      </c>
      <c r="E293" s="6">
        <f>IF(OR($BJ293="",4&gt;設定!$B$3),"",IF(INDEX(原始資料!G$2:G$501,$BJ293)="","",INDEX(原始資料!G$2:G$501,$BJ293)))</f>
        <v/>
      </c>
      <c r="F293" s="6">
        <f>IF(OR($BJ293="",5&gt;設定!$B$3),"",IF(INDEX(原始資料!H$2:H$501,$BJ293)="","",INDEX(原始資料!H$2:H$501,$BJ293)))</f>
        <v/>
      </c>
      <c r="G293" s="6">
        <f>IF(OR($BJ293="",6&gt;設定!$B$3),"",IF(INDEX(原始資料!I$2:I$501,$BJ293)="","",INDEX(原始資料!I$2:I$501,$BJ293)))</f>
        <v/>
      </c>
      <c r="H293" s="6">
        <f>IF(OR($BJ293="",7&gt;設定!$B$3),"",IF(INDEX(原始資料!J$2:J$501,$BJ293)="","",INDEX(原始資料!J$2:J$501,$BJ293)))</f>
        <v/>
      </c>
      <c r="I293" s="6">
        <f>IF(OR($BJ293="",8&gt;設定!$B$3),"",IF(INDEX(原始資料!K$2:K$501,$BJ293)="","",INDEX(原始資料!K$2:K$501,$BJ293)))</f>
        <v/>
      </c>
      <c r="J293" s="6">
        <f>IF(OR($BJ293="",9&gt;設定!$B$3),"",IF(INDEX(原始資料!L$2:L$501,$BJ293)="","",INDEX(原始資料!L$2:L$501,$BJ293)))</f>
        <v/>
      </c>
      <c r="K293" s="6">
        <f>IF(OR($BJ293="",10&gt;設定!$B$3),"",IF(INDEX(原始資料!M$2:M$501,$BJ293)="","",INDEX(原始資料!M$2:M$501,$BJ293)))</f>
        <v/>
      </c>
      <c r="L293" s="6">
        <f>IF(OR($BJ293="",11&gt;設定!$B$3),"",IF(INDEX(原始資料!N$2:N$501,$BJ293)="","",INDEX(原始資料!N$2:N$501,$BJ293)))</f>
        <v/>
      </c>
      <c r="M293" s="6">
        <f>IF(OR($BJ293="",12&gt;設定!$B$3),"",IF(INDEX(原始資料!O$2:O$501,$BJ293)="","",INDEX(原始資料!O$2:O$501,$BJ293)))</f>
        <v/>
      </c>
      <c r="N293" s="6">
        <f>IF(OR($BJ293="",13&gt;設定!$B$3),"",IF(INDEX(原始資料!P$2:P$501,$BJ293)="","",INDEX(原始資料!P$2:P$501,$BJ293)))</f>
        <v/>
      </c>
      <c r="O293" s="6">
        <f>IF(OR($BJ293="",14&gt;設定!$B$3),"",IF(INDEX(原始資料!Q$2:Q$501,$BJ293)="","",INDEX(原始資料!Q$2:Q$501,$BJ293)))</f>
        <v/>
      </c>
      <c r="P293" s="6">
        <f>IF(OR($BJ293="",15&gt;設定!$B$3),"",IF(INDEX(原始資料!R$2:R$501,$BJ293)="","",INDEX(原始資料!R$2:R$501,$BJ293)))</f>
        <v/>
      </c>
      <c r="Q293" s="6">
        <f>IF(OR($BJ293="",16&gt;設定!$B$3),"",IF(INDEX(原始資料!S$2:S$501,$BJ293)="","",INDEX(原始資料!S$2:S$501,$BJ293)))</f>
        <v/>
      </c>
      <c r="R293" s="6">
        <f>IF(OR($BJ293="",17&gt;設定!$B$3),"",IF(INDEX(原始資料!T$2:T$501,$BJ293)="","",INDEX(原始資料!T$2:T$501,$BJ293)))</f>
        <v/>
      </c>
      <c r="S293" s="6">
        <f>IF(OR($BJ293="",18&gt;設定!$B$3),"",IF(INDEX(原始資料!U$2:U$501,$BJ293)="","",INDEX(原始資料!U$2:U$501,$BJ293)))</f>
        <v/>
      </c>
      <c r="T293" s="6">
        <f>IF(OR($BJ293="",19&gt;設定!$B$3),"",IF(INDEX(原始資料!V$2:V$501,$BJ293)="","",INDEX(原始資料!V$2:V$501,$BJ293)))</f>
        <v/>
      </c>
      <c r="U293" s="6">
        <f>IF(OR($BJ293="",20&gt;設定!$B$3),"",IF(INDEX(原始資料!W$2:W$501,$BJ293)="","",INDEX(原始資料!W$2:W$501,$BJ293)))</f>
        <v/>
      </c>
      <c r="V293" s="6">
        <f>IF(OR($BJ293="",21&gt;設定!$B$3),"",IF(INDEX(原始資料!X$2:X$501,$BJ293)="","",INDEX(原始資料!X$2:X$501,$BJ293)))</f>
        <v/>
      </c>
      <c r="W293" s="6">
        <f>IF(OR($BJ293="",22&gt;設定!$B$3),"",IF(INDEX(原始資料!Y$2:Y$501,$BJ293)="","",INDEX(原始資料!Y$2:Y$501,$BJ293)))</f>
        <v/>
      </c>
      <c r="X293" s="6">
        <f>IF(OR($BJ293="",23&gt;設定!$B$3),"",IF(INDEX(原始資料!Z$2:Z$501,$BJ293)="","",INDEX(原始資料!Z$2:Z$501,$BJ293)))</f>
        <v/>
      </c>
      <c r="Y293" s="6">
        <f>IF(OR($BJ293="",24&gt;設定!$B$3),"",IF(INDEX(原始資料!AA$2:AA$501,$BJ293)="","",INDEX(原始資料!AA$2:AA$501,$BJ293)))</f>
        <v/>
      </c>
      <c r="Z293" s="6">
        <f>IF(OR($BJ293="",25&gt;設定!$B$3),"",IF(INDEX(原始資料!AB$2:AB$501,$BJ293)="","",INDEX(原始資料!AB$2:AB$501,$BJ293)))</f>
        <v/>
      </c>
      <c r="AA293" s="6">
        <f>IF(OR($BJ293="",26&gt;設定!$B$3),"",IF(INDEX(原始資料!AC$2:AC$501,$BJ293)="","",INDEX(原始資料!AC$2:AC$501,$BJ293)))</f>
        <v/>
      </c>
      <c r="AB293" s="6">
        <f>IF(OR($BJ293="",27&gt;設定!$B$3),"",IF(INDEX(原始資料!AD$2:AD$501,$BJ293)="","",INDEX(原始資料!AD$2:AD$501,$BJ293)))</f>
        <v/>
      </c>
      <c r="AC293" s="6">
        <f>IF(OR($BJ293="",28&gt;設定!$B$3),"",IF(INDEX(原始資料!AE$2:AE$501,$BJ293)="","",INDEX(原始資料!AE$2:AE$501,$BJ293)))</f>
        <v/>
      </c>
      <c r="AD293" s="6">
        <f>IF(OR($BJ293="",29&gt;設定!$B$3),"",IF(INDEX(原始資料!AF$2:AF$501,$BJ293)="","",INDEX(原始資料!AF$2:AF$501,$BJ293)))</f>
        <v/>
      </c>
      <c r="AE293" s="6">
        <f>IF(OR($BJ293="",30&gt;設定!$B$3),"",IF(INDEX(原始資料!AG$2:AG$501,$BJ293)="","",INDEX(原始資料!AG$2:AG$501,$BJ293)))</f>
        <v/>
      </c>
      <c r="AF293" s="6">
        <f>IF(OR($BJ293="",31&gt;設定!$B$3),"",IF(INDEX(原始資料!AH$2:AH$501,$BJ293)="","",INDEX(原始資料!AH$2:AH$501,$BJ293)))</f>
        <v/>
      </c>
      <c r="AG293" s="6">
        <f>IF(OR($BJ293="",32&gt;設定!$B$3),"",IF(INDEX(原始資料!AI$2:AI$501,$BJ293)="","",INDEX(原始資料!AI$2:AI$501,$BJ293)))</f>
        <v/>
      </c>
      <c r="AH293" s="6">
        <f>IF(OR($BJ293="",33&gt;設定!$B$3),"",IF(INDEX(原始資料!AJ$2:AJ$501,$BJ293)="","",INDEX(原始資料!AJ$2:AJ$501,$BJ293)))</f>
        <v/>
      </c>
      <c r="AI293" s="6">
        <f>IF(OR($BJ293="",34&gt;設定!$B$3),"",IF(INDEX(原始資料!AK$2:AK$501,$BJ293)="","",INDEX(原始資料!AK$2:AK$501,$BJ293)))</f>
        <v/>
      </c>
      <c r="AJ293" s="6">
        <f>IF(OR($BJ293="",35&gt;設定!$B$3),"",IF(INDEX(原始資料!AL$2:AL$501,$BJ293)="","",INDEX(原始資料!AL$2:AL$501,$BJ293)))</f>
        <v/>
      </c>
      <c r="AK293" s="6">
        <f>IF(OR($BJ293="",36&gt;設定!$B$3),"",IF(INDEX(原始資料!AM$2:AM$501,$BJ293)="","",INDEX(原始資料!AM$2:AM$501,$BJ293)))</f>
        <v/>
      </c>
      <c r="AL293" s="6">
        <f>IF(OR($BJ293="",37&gt;設定!$B$3),"",IF(INDEX(原始資料!AN$2:AN$501,$BJ293)="","",INDEX(原始資料!AN$2:AN$501,$BJ293)))</f>
        <v/>
      </c>
      <c r="AM293" s="6">
        <f>IF(OR($BJ293="",38&gt;設定!$B$3),"",IF(INDEX(原始資料!AO$2:AO$501,$BJ293)="","",INDEX(原始資料!AO$2:AO$501,$BJ293)))</f>
        <v/>
      </c>
      <c r="AN293" s="6">
        <f>IF(OR($BJ293="",39&gt;設定!$B$3),"",IF(INDEX(原始資料!AP$2:AP$501,$BJ293)="","",INDEX(原始資料!AP$2:AP$501,$BJ293)))</f>
        <v/>
      </c>
      <c r="AO293" s="6">
        <f>IF(OR($BJ293="",40&gt;設定!$B$3),"",IF(INDEX(原始資料!AQ$2:AQ$501,$BJ293)="","",INDEX(原始資料!AQ$2:AQ$501,$BJ293)))</f>
        <v/>
      </c>
      <c r="AP293" s="6">
        <f>IF(OR($BJ293="",41&gt;設定!$B$3),"",IF(INDEX(原始資料!AR$2:AR$501,$BJ293)="","",INDEX(原始資料!AR$2:AR$501,$BJ293)))</f>
        <v/>
      </c>
      <c r="AQ293" s="6">
        <f>IF(OR($BJ293="",42&gt;設定!$B$3),"",IF(INDEX(原始資料!AS$2:AS$501,$BJ293)="","",INDEX(原始資料!AS$2:AS$501,$BJ293)))</f>
        <v/>
      </c>
      <c r="AR293" s="6">
        <f>IF(OR($BJ293="",43&gt;設定!$B$3),"",IF(INDEX(原始資料!AT$2:AT$501,$BJ293)="","",INDEX(原始資料!AT$2:AT$501,$BJ293)))</f>
        <v/>
      </c>
      <c r="AS293" s="6">
        <f>IF(OR($BJ293="",44&gt;設定!$B$3),"",IF(INDEX(原始資料!AU$2:AU$501,$BJ293)="","",INDEX(原始資料!AU$2:AU$501,$BJ293)))</f>
        <v/>
      </c>
      <c r="AT293" s="6">
        <f>IF(OR($BJ293="",45&gt;設定!$B$3),"",IF(INDEX(原始資料!AV$2:AV$501,$BJ293)="","",INDEX(原始資料!AV$2:AV$501,$BJ293)))</f>
        <v/>
      </c>
      <c r="AU293" s="6">
        <f>IF(OR($BJ293="",46&gt;設定!$B$3),"",IF(INDEX(原始資料!AW$2:AW$501,$BJ293)="","",INDEX(原始資料!AW$2:AW$501,$BJ293)))</f>
        <v/>
      </c>
      <c r="AV293" s="6">
        <f>IF(OR($BJ293="",47&gt;設定!$B$3),"",IF(INDEX(原始資料!AX$2:AX$501,$BJ293)="","",INDEX(原始資料!AX$2:AX$501,$BJ293)))</f>
        <v/>
      </c>
      <c r="AW293" s="6">
        <f>IF(OR($BJ293="",48&gt;設定!$B$3),"",IF(INDEX(原始資料!AY$2:AY$501,$BJ293)="","",INDEX(原始資料!AY$2:AY$501,$BJ293)))</f>
        <v/>
      </c>
      <c r="AX293" s="6">
        <f>IF(OR($BJ293="",49&gt;設定!$B$3),"",IF(INDEX(原始資料!AZ$2:AZ$501,$BJ293)="","",INDEX(原始資料!AZ$2:AZ$501,$BJ293)))</f>
        <v/>
      </c>
      <c r="AY293" s="6">
        <f>IF(OR($BJ293="",50&gt;設定!$B$3),"",IF(INDEX(原始資料!BA$2:BA$501,$BJ293)="","",INDEX(原始資料!BA$2:BA$501,$BJ293)))</f>
        <v/>
      </c>
      <c r="AZ293" s="6">
        <f>IF(OR($BJ293="",51&gt;設定!$B$3),"",IF(INDEX(原始資料!BB$2:BB$501,$BJ293)="","",INDEX(原始資料!BB$2:BB$501,$BJ293)))</f>
        <v/>
      </c>
      <c r="BA293" s="6">
        <f>IF(OR($BJ293="",52&gt;設定!$B$3),"",IF(INDEX(原始資料!BC$2:BC$501,$BJ293)="","",INDEX(原始資料!BC$2:BC$501,$BJ293)))</f>
        <v/>
      </c>
      <c r="BB293" s="6">
        <f>IF(OR($BJ293="",53&gt;設定!$B$3),"",IF(INDEX(原始資料!BD$2:BD$501,$BJ293)="","",INDEX(原始資料!BD$2:BD$501,$BJ293)))</f>
        <v/>
      </c>
      <c r="BC293" s="6">
        <f>IF(OR($BJ293="",54&gt;設定!$B$3),"",IF(INDEX(原始資料!BE$2:BE$501,$BJ293)="","",INDEX(原始資料!BE$2:BE$501,$BJ293)))</f>
        <v/>
      </c>
      <c r="BD293" s="6">
        <f>IF(OR($BJ293="",55&gt;設定!$B$3),"",IF(INDEX(原始資料!BF$2:BF$501,$BJ293)="","",INDEX(原始資料!BF$2:BF$501,$BJ293)))</f>
        <v/>
      </c>
      <c r="BE293" s="6">
        <f>IF(OR($BJ293="",56&gt;設定!$B$3),"",IF(INDEX(原始資料!BG$2:BG$501,$BJ293)="","",INDEX(原始資料!BG$2:BG$501,$BJ293)))</f>
        <v/>
      </c>
      <c r="BF293" s="6">
        <f>IF(OR($BJ293="",57&gt;設定!$B$3),"",IF(INDEX(原始資料!BH$2:BH$501,$BJ293)="","",INDEX(原始資料!BH$2:BH$501,$BJ293)))</f>
        <v/>
      </c>
      <c r="BG293" s="6">
        <f>IF(OR($BJ293="",58&gt;設定!$B$3),"",IF(INDEX(原始資料!BI$2:BI$501,$BJ293)="","",INDEX(原始資料!BI$2:BI$501,$BJ293)))</f>
        <v/>
      </c>
      <c r="BH293" s="6">
        <f>IF(OR($BJ293="",59&gt;設定!$B$3),"",IF(INDEX(原始資料!BJ$2:BJ$501,$BJ293)="","",INDEX(原始資料!BJ$2:BJ$501,$BJ293)))</f>
        <v/>
      </c>
      <c r="BI293" s="6">
        <f>IF(OR($BJ293="",60&gt;設定!$B$3),"",IF(INDEX(原始資料!BK$2:BK$501,$BJ293)="","",INDEX(原始資料!BK$2:BK$501,$BJ293)))</f>
        <v/>
      </c>
      <c r="BJ293" s="6">
        <f>IFERROR(MATCH(ROW()-1,判定!$H$2:$H$501,0),"")</f>
        <v/>
      </c>
    </row>
    <row r="294">
      <c r="A294" s="6">
        <f>IF($BJ294="","",INDEX(原始資料!$A$2:$A$501,$BJ294))</f>
        <v/>
      </c>
      <c r="B294" s="6">
        <f>IF(OR($BJ294="",1&gt;設定!$B$3),"",IF(INDEX(原始資料!D$2:D$501,$BJ294)="","",INDEX(原始資料!D$2:D$501,$BJ294)))</f>
        <v/>
      </c>
      <c r="C294" s="6">
        <f>IF(OR($BJ294="",2&gt;設定!$B$3),"",IF(INDEX(原始資料!E$2:E$501,$BJ294)="","",INDEX(原始資料!E$2:E$501,$BJ294)))</f>
        <v/>
      </c>
      <c r="D294" s="6">
        <f>IF(OR($BJ294="",3&gt;設定!$B$3),"",IF(INDEX(原始資料!F$2:F$501,$BJ294)="","",INDEX(原始資料!F$2:F$501,$BJ294)))</f>
        <v/>
      </c>
      <c r="E294" s="6">
        <f>IF(OR($BJ294="",4&gt;設定!$B$3),"",IF(INDEX(原始資料!G$2:G$501,$BJ294)="","",INDEX(原始資料!G$2:G$501,$BJ294)))</f>
        <v/>
      </c>
      <c r="F294" s="6">
        <f>IF(OR($BJ294="",5&gt;設定!$B$3),"",IF(INDEX(原始資料!H$2:H$501,$BJ294)="","",INDEX(原始資料!H$2:H$501,$BJ294)))</f>
        <v/>
      </c>
      <c r="G294" s="6">
        <f>IF(OR($BJ294="",6&gt;設定!$B$3),"",IF(INDEX(原始資料!I$2:I$501,$BJ294)="","",INDEX(原始資料!I$2:I$501,$BJ294)))</f>
        <v/>
      </c>
      <c r="H294" s="6">
        <f>IF(OR($BJ294="",7&gt;設定!$B$3),"",IF(INDEX(原始資料!J$2:J$501,$BJ294)="","",INDEX(原始資料!J$2:J$501,$BJ294)))</f>
        <v/>
      </c>
      <c r="I294" s="6">
        <f>IF(OR($BJ294="",8&gt;設定!$B$3),"",IF(INDEX(原始資料!K$2:K$501,$BJ294)="","",INDEX(原始資料!K$2:K$501,$BJ294)))</f>
        <v/>
      </c>
      <c r="J294" s="6">
        <f>IF(OR($BJ294="",9&gt;設定!$B$3),"",IF(INDEX(原始資料!L$2:L$501,$BJ294)="","",INDEX(原始資料!L$2:L$501,$BJ294)))</f>
        <v/>
      </c>
      <c r="K294" s="6">
        <f>IF(OR($BJ294="",10&gt;設定!$B$3),"",IF(INDEX(原始資料!M$2:M$501,$BJ294)="","",INDEX(原始資料!M$2:M$501,$BJ294)))</f>
        <v/>
      </c>
      <c r="L294" s="6">
        <f>IF(OR($BJ294="",11&gt;設定!$B$3),"",IF(INDEX(原始資料!N$2:N$501,$BJ294)="","",INDEX(原始資料!N$2:N$501,$BJ294)))</f>
        <v/>
      </c>
      <c r="M294" s="6">
        <f>IF(OR($BJ294="",12&gt;設定!$B$3),"",IF(INDEX(原始資料!O$2:O$501,$BJ294)="","",INDEX(原始資料!O$2:O$501,$BJ294)))</f>
        <v/>
      </c>
      <c r="N294" s="6">
        <f>IF(OR($BJ294="",13&gt;設定!$B$3),"",IF(INDEX(原始資料!P$2:P$501,$BJ294)="","",INDEX(原始資料!P$2:P$501,$BJ294)))</f>
        <v/>
      </c>
      <c r="O294" s="6">
        <f>IF(OR($BJ294="",14&gt;設定!$B$3),"",IF(INDEX(原始資料!Q$2:Q$501,$BJ294)="","",INDEX(原始資料!Q$2:Q$501,$BJ294)))</f>
        <v/>
      </c>
      <c r="P294" s="6">
        <f>IF(OR($BJ294="",15&gt;設定!$B$3),"",IF(INDEX(原始資料!R$2:R$501,$BJ294)="","",INDEX(原始資料!R$2:R$501,$BJ294)))</f>
        <v/>
      </c>
      <c r="Q294" s="6">
        <f>IF(OR($BJ294="",16&gt;設定!$B$3),"",IF(INDEX(原始資料!S$2:S$501,$BJ294)="","",INDEX(原始資料!S$2:S$501,$BJ294)))</f>
        <v/>
      </c>
      <c r="R294" s="6">
        <f>IF(OR($BJ294="",17&gt;設定!$B$3),"",IF(INDEX(原始資料!T$2:T$501,$BJ294)="","",INDEX(原始資料!T$2:T$501,$BJ294)))</f>
        <v/>
      </c>
      <c r="S294" s="6">
        <f>IF(OR($BJ294="",18&gt;設定!$B$3),"",IF(INDEX(原始資料!U$2:U$501,$BJ294)="","",INDEX(原始資料!U$2:U$501,$BJ294)))</f>
        <v/>
      </c>
      <c r="T294" s="6">
        <f>IF(OR($BJ294="",19&gt;設定!$B$3),"",IF(INDEX(原始資料!V$2:V$501,$BJ294)="","",INDEX(原始資料!V$2:V$501,$BJ294)))</f>
        <v/>
      </c>
      <c r="U294" s="6">
        <f>IF(OR($BJ294="",20&gt;設定!$B$3),"",IF(INDEX(原始資料!W$2:W$501,$BJ294)="","",INDEX(原始資料!W$2:W$501,$BJ294)))</f>
        <v/>
      </c>
      <c r="V294" s="6">
        <f>IF(OR($BJ294="",21&gt;設定!$B$3),"",IF(INDEX(原始資料!X$2:X$501,$BJ294)="","",INDEX(原始資料!X$2:X$501,$BJ294)))</f>
        <v/>
      </c>
      <c r="W294" s="6">
        <f>IF(OR($BJ294="",22&gt;設定!$B$3),"",IF(INDEX(原始資料!Y$2:Y$501,$BJ294)="","",INDEX(原始資料!Y$2:Y$501,$BJ294)))</f>
        <v/>
      </c>
      <c r="X294" s="6">
        <f>IF(OR($BJ294="",23&gt;設定!$B$3),"",IF(INDEX(原始資料!Z$2:Z$501,$BJ294)="","",INDEX(原始資料!Z$2:Z$501,$BJ294)))</f>
        <v/>
      </c>
      <c r="Y294" s="6">
        <f>IF(OR($BJ294="",24&gt;設定!$B$3),"",IF(INDEX(原始資料!AA$2:AA$501,$BJ294)="","",INDEX(原始資料!AA$2:AA$501,$BJ294)))</f>
        <v/>
      </c>
      <c r="Z294" s="6">
        <f>IF(OR($BJ294="",25&gt;設定!$B$3),"",IF(INDEX(原始資料!AB$2:AB$501,$BJ294)="","",INDEX(原始資料!AB$2:AB$501,$BJ294)))</f>
        <v/>
      </c>
      <c r="AA294" s="6">
        <f>IF(OR($BJ294="",26&gt;設定!$B$3),"",IF(INDEX(原始資料!AC$2:AC$501,$BJ294)="","",INDEX(原始資料!AC$2:AC$501,$BJ294)))</f>
        <v/>
      </c>
      <c r="AB294" s="6">
        <f>IF(OR($BJ294="",27&gt;設定!$B$3),"",IF(INDEX(原始資料!AD$2:AD$501,$BJ294)="","",INDEX(原始資料!AD$2:AD$501,$BJ294)))</f>
        <v/>
      </c>
      <c r="AC294" s="6">
        <f>IF(OR($BJ294="",28&gt;設定!$B$3),"",IF(INDEX(原始資料!AE$2:AE$501,$BJ294)="","",INDEX(原始資料!AE$2:AE$501,$BJ294)))</f>
        <v/>
      </c>
      <c r="AD294" s="6">
        <f>IF(OR($BJ294="",29&gt;設定!$B$3),"",IF(INDEX(原始資料!AF$2:AF$501,$BJ294)="","",INDEX(原始資料!AF$2:AF$501,$BJ294)))</f>
        <v/>
      </c>
      <c r="AE294" s="6">
        <f>IF(OR($BJ294="",30&gt;設定!$B$3),"",IF(INDEX(原始資料!AG$2:AG$501,$BJ294)="","",INDEX(原始資料!AG$2:AG$501,$BJ294)))</f>
        <v/>
      </c>
      <c r="AF294" s="6">
        <f>IF(OR($BJ294="",31&gt;設定!$B$3),"",IF(INDEX(原始資料!AH$2:AH$501,$BJ294)="","",INDEX(原始資料!AH$2:AH$501,$BJ294)))</f>
        <v/>
      </c>
      <c r="AG294" s="6">
        <f>IF(OR($BJ294="",32&gt;設定!$B$3),"",IF(INDEX(原始資料!AI$2:AI$501,$BJ294)="","",INDEX(原始資料!AI$2:AI$501,$BJ294)))</f>
        <v/>
      </c>
      <c r="AH294" s="6">
        <f>IF(OR($BJ294="",33&gt;設定!$B$3),"",IF(INDEX(原始資料!AJ$2:AJ$501,$BJ294)="","",INDEX(原始資料!AJ$2:AJ$501,$BJ294)))</f>
        <v/>
      </c>
      <c r="AI294" s="6">
        <f>IF(OR($BJ294="",34&gt;設定!$B$3),"",IF(INDEX(原始資料!AK$2:AK$501,$BJ294)="","",INDEX(原始資料!AK$2:AK$501,$BJ294)))</f>
        <v/>
      </c>
      <c r="AJ294" s="6">
        <f>IF(OR($BJ294="",35&gt;設定!$B$3),"",IF(INDEX(原始資料!AL$2:AL$501,$BJ294)="","",INDEX(原始資料!AL$2:AL$501,$BJ294)))</f>
        <v/>
      </c>
      <c r="AK294" s="6">
        <f>IF(OR($BJ294="",36&gt;設定!$B$3),"",IF(INDEX(原始資料!AM$2:AM$501,$BJ294)="","",INDEX(原始資料!AM$2:AM$501,$BJ294)))</f>
        <v/>
      </c>
      <c r="AL294" s="6">
        <f>IF(OR($BJ294="",37&gt;設定!$B$3),"",IF(INDEX(原始資料!AN$2:AN$501,$BJ294)="","",INDEX(原始資料!AN$2:AN$501,$BJ294)))</f>
        <v/>
      </c>
      <c r="AM294" s="6">
        <f>IF(OR($BJ294="",38&gt;設定!$B$3),"",IF(INDEX(原始資料!AO$2:AO$501,$BJ294)="","",INDEX(原始資料!AO$2:AO$501,$BJ294)))</f>
        <v/>
      </c>
      <c r="AN294" s="6">
        <f>IF(OR($BJ294="",39&gt;設定!$B$3),"",IF(INDEX(原始資料!AP$2:AP$501,$BJ294)="","",INDEX(原始資料!AP$2:AP$501,$BJ294)))</f>
        <v/>
      </c>
      <c r="AO294" s="6">
        <f>IF(OR($BJ294="",40&gt;設定!$B$3),"",IF(INDEX(原始資料!AQ$2:AQ$501,$BJ294)="","",INDEX(原始資料!AQ$2:AQ$501,$BJ294)))</f>
        <v/>
      </c>
      <c r="AP294" s="6">
        <f>IF(OR($BJ294="",41&gt;設定!$B$3),"",IF(INDEX(原始資料!AR$2:AR$501,$BJ294)="","",INDEX(原始資料!AR$2:AR$501,$BJ294)))</f>
        <v/>
      </c>
      <c r="AQ294" s="6">
        <f>IF(OR($BJ294="",42&gt;設定!$B$3),"",IF(INDEX(原始資料!AS$2:AS$501,$BJ294)="","",INDEX(原始資料!AS$2:AS$501,$BJ294)))</f>
        <v/>
      </c>
      <c r="AR294" s="6">
        <f>IF(OR($BJ294="",43&gt;設定!$B$3),"",IF(INDEX(原始資料!AT$2:AT$501,$BJ294)="","",INDEX(原始資料!AT$2:AT$501,$BJ294)))</f>
        <v/>
      </c>
      <c r="AS294" s="6">
        <f>IF(OR($BJ294="",44&gt;設定!$B$3),"",IF(INDEX(原始資料!AU$2:AU$501,$BJ294)="","",INDEX(原始資料!AU$2:AU$501,$BJ294)))</f>
        <v/>
      </c>
      <c r="AT294" s="6">
        <f>IF(OR($BJ294="",45&gt;設定!$B$3),"",IF(INDEX(原始資料!AV$2:AV$501,$BJ294)="","",INDEX(原始資料!AV$2:AV$501,$BJ294)))</f>
        <v/>
      </c>
      <c r="AU294" s="6">
        <f>IF(OR($BJ294="",46&gt;設定!$B$3),"",IF(INDEX(原始資料!AW$2:AW$501,$BJ294)="","",INDEX(原始資料!AW$2:AW$501,$BJ294)))</f>
        <v/>
      </c>
      <c r="AV294" s="6">
        <f>IF(OR($BJ294="",47&gt;設定!$B$3),"",IF(INDEX(原始資料!AX$2:AX$501,$BJ294)="","",INDEX(原始資料!AX$2:AX$501,$BJ294)))</f>
        <v/>
      </c>
      <c r="AW294" s="6">
        <f>IF(OR($BJ294="",48&gt;設定!$B$3),"",IF(INDEX(原始資料!AY$2:AY$501,$BJ294)="","",INDEX(原始資料!AY$2:AY$501,$BJ294)))</f>
        <v/>
      </c>
      <c r="AX294" s="6">
        <f>IF(OR($BJ294="",49&gt;設定!$B$3),"",IF(INDEX(原始資料!AZ$2:AZ$501,$BJ294)="","",INDEX(原始資料!AZ$2:AZ$501,$BJ294)))</f>
        <v/>
      </c>
      <c r="AY294" s="6">
        <f>IF(OR($BJ294="",50&gt;設定!$B$3),"",IF(INDEX(原始資料!BA$2:BA$501,$BJ294)="","",INDEX(原始資料!BA$2:BA$501,$BJ294)))</f>
        <v/>
      </c>
      <c r="AZ294" s="6">
        <f>IF(OR($BJ294="",51&gt;設定!$B$3),"",IF(INDEX(原始資料!BB$2:BB$501,$BJ294)="","",INDEX(原始資料!BB$2:BB$501,$BJ294)))</f>
        <v/>
      </c>
      <c r="BA294" s="6">
        <f>IF(OR($BJ294="",52&gt;設定!$B$3),"",IF(INDEX(原始資料!BC$2:BC$501,$BJ294)="","",INDEX(原始資料!BC$2:BC$501,$BJ294)))</f>
        <v/>
      </c>
      <c r="BB294" s="6">
        <f>IF(OR($BJ294="",53&gt;設定!$B$3),"",IF(INDEX(原始資料!BD$2:BD$501,$BJ294)="","",INDEX(原始資料!BD$2:BD$501,$BJ294)))</f>
        <v/>
      </c>
      <c r="BC294" s="6">
        <f>IF(OR($BJ294="",54&gt;設定!$B$3),"",IF(INDEX(原始資料!BE$2:BE$501,$BJ294)="","",INDEX(原始資料!BE$2:BE$501,$BJ294)))</f>
        <v/>
      </c>
      <c r="BD294" s="6">
        <f>IF(OR($BJ294="",55&gt;設定!$B$3),"",IF(INDEX(原始資料!BF$2:BF$501,$BJ294)="","",INDEX(原始資料!BF$2:BF$501,$BJ294)))</f>
        <v/>
      </c>
      <c r="BE294" s="6">
        <f>IF(OR($BJ294="",56&gt;設定!$B$3),"",IF(INDEX(原始資料!BG$2:BG$501,$BJ294)="","",INDEX(原始資料!BG$2:BG$501,$BJ294)))</f>
        <v/>
      </c>
      <c r="BF294" s="6">
        <f>IF(OR($BJ294="",57&gt;設定!$B$3),"",IF(INDEX(原始資料!BH$2:BH$501,$BJ294)="","",INDEX(原始資料!BH$2:BH$501,$BJ294)))</f>
        <v/>
      </c>
      <c r="BG294" s="6">
        <f>IF(OR($BJ294="",58&gt;設定!$B$3),"",IF(INDEX(原始資料!BI$2:BI$501,$BJ294)="","",INDEX(原始資料!BI$2:BI$501,$BJ294)))</f>
        <v/>
      </c>
      <c r="BH294" s="6">
        <f>IF(OR($BJ294="",59&gt;設定!$B$3),"",IF(INDEX(原始資料!BJ$2:BJ$501,$BJ294)="","",INDEX(原始資料!BJ$2:BJ$501,$BJ294)))</f>
        <v/>
      </c>
      <c r="BI294" s="6">
        <f>IF(OR($BJ294="",60&gt;設定!$B$3),"",IF(INDEX(原始資料!BK$2:BK$501,$BJ294)="","",INDEX(原始資料!BK$2:BK$501,$BJ294)))</f>
        <v/>
      </c>
      <c r="BJ294" s="6">
        <f>IFERROR(MATCH(ROW()-1,判定!$H$2:$H$501,0),"")</f>
        <v/>
      </c>
    </row>
    <row r="295">
      <c r="A295" s="6">
        <f>IF($BJ295="","",INDEX(原始資料!$A$2:$A$501,$BJ295))</f>
        <v/>
      </c>
      <c r="B295" s="6">
        <f>IF(OR($BJ295="",1&gt;設定!$B$3),"",IF(INDEX(原始資料!D$2:D$501,$BJ295)="","",INDEX(原始資料!D$2:D$501,$BJ295)))</f>
        <v/>
      </c>
      <c r="C295" s="6">
        <f>IF(OR($BJ295="",2&gt;設定!$B$3),"",IF(INDEX(原始資料!E$2:E$501,$BJ295)="","",INDEX(原始資料!E$2:E$501,$BJ295)))</f>
        <v/>
      </c>
      <c r="D295" s="6">
        <f>IF(OR($BJ295="",3&gt;設定!$B$3),"",IF(INDEX(原始資料!F$2:F$501,$BJ295)="","",INDEX(原始資料!F$2:F$501,$BJ295)))</f>
        <v/>
      </c>
      <c r="E295" s="6">
        <f>IF(OR($BJ295="",4&gt;設定!$B$3),"",IF(INDEX(原始資料!G$2:G$501,$BJ295)="","",INDEX(原始資料!G$2:G$501,$BJ295)))</f>
        <v/>
      </c>
      <c r="F295" s="6">
        <f>IF(OR($BJ295="",5&gt;設定!$B$3),"",IF(INDEX(原始資料!H$2:H$501,$BJ295)="","",INDEX(原始資料!H$2:H$501,$BJ295)))</f>
        <v/>
      </c>
      <c r="G295" s="6">
        <f>IF(OR($BJ295="",6&gt;設定!$B$3),"",IF(INDEX(原始資料!I$2:I$501,$BJ295)="","",INDEX(原始資料!I$2:I$501,$BJ295)))</f>
        <v/>
      </c>
      <c r="H295" s="6">
        <f>IF(OR($BJ295="",7&gt;設定!$B$3),"",IF(INDEX(原始資料!J$2:J$501,$BJ295)="","",INDEX(原始資料!J$2:J$501,$BJ295)))</f>
        <v/>
      </c>
      <c r="I295" s="6">
        <f>IF(OR($BJ295="",8&gt;設定!$B$3),"",IF(INDEX(原始資料!K$2:K$501,$BJ295)="","",INDEX(原始資料!K$2:K$501,$BJ295)))</f>
        <v/>
      </c>
      <c r="J295" s="6">
        <f>IF(OR($BJ295="",9&gt;設定!$B$3),"",IF(INDEX(原始資料!L$2:L$501,$BJ295)="","",INDEX(原始資料!L$2:L$501,$BJ295)))</f>
        <v/>
      </c>
      <c r="K295" s="6">
        <f>IF(OR($BJ295="",10&gt;設定!$B$3),"",IF(INDEX(原始資料!M$2:M$501,$BJ295)="","",INDEX(原始資料!M$2:M$501,$BJ295)))</f>
        <v/>
      </c>
      <c r="L295" s="6">
        <f>IF(OR($BJ295="",11&gt;設定!$B$3),"",IF(INDEX(原始資料!N$2:N$501,$BJ295)="","",INDEX(原始資料!N$2:N$501,$BJ295)))</f>
        <v/>
      </c>
      <c r="M295" s="6">
        <f>IF(OR($BJ295="",12&gt;設定!$B$3),"",IF(INDEX(原始資料!O$2:O$501,$BJ295)="","",INDEX(原始資料!O$2:O$501,$BJ295)))</f>
        <v/>
      </c>
      <c r="N295" s="6">
        <f>IF(OR($BJ295="",13&gt;設定!$B$3),"",IF(INDEX(原始資料!P$2:P$501,$BJ295)="","",INDEX(原始資料!P$2:P$501,$BJ295)))</f>
        <v/>
      </c>
      <c r="O295" s="6">
        <f>IF(OR($BJ295="",14&gt;設定!$B$3),"",IF(INDEX(原始資料!Q$2:Q$501,$BJ295)="","",INDEX(原始資料!Q$2:Q$501,$BJ295)))</f>
        <v/>
      </c>
      <c r="P295" s="6">
        <f>IF(OR($BJ295="",15&gt;設定!$B$3),"",IF(INDEX(原始資料!R$2:R$501,$BJ295)="","",INDEX(原始資料!R$2:R$501,$BJ295)))</f>
        <v/>
      </c>
      <c r="Q295" s="6">
        <f>IF(OR($BJ295="",16&gt;設定!$B$3),"",IF(INDEX(原始資料!S$2:S$501,$BJ295)="","",INDEX(原始資料!S$2:S$501,$BJ295)))</f>
        <v/>
      </c>
      <c r="R295" s="6">
        <f>IF(OR($BJ295="",17&gt;設定!$B$3),"",IF(INDEX(原始資料!T$2:T$501,$BJ295)="","",INDEX(原始資料!T$2:T$501,$BJ295)))</f>
        <v/>
      </c>
      <c r="S295" s="6">
        <f>IF(OR($BJ295="",18&gt;設定!$B$3),"",IF(INDEX(原始資料!U$2:U$501,$BJ295)="","",INDEX(原始資料!U$2:U$501,$BJ295)))</f>
        <v/>
      </c>
      <c r="T295" s="6">
        <f>IF(OR($BJ295="",19&gt;設定!$B$3),"",IF(INDEX(原始資料!V$2:V$501,$BJ295)="","",INDEX(原始資料!V$2:V$501,$BJ295)))</f>
        <v/>
      </c>
      <c r="U295" s="6">
        <f>IF(OR($BJ295="",20&gt;設定!$B$3),"",IF(INDEX(原始資料!W$2:W$501,$BJ295)="","",INDEX(原始資料!W$2:W$501,$BJ295)))</f>
        <v/>
      </c>
      <c r="V295" s="6">
        <f>IF(OR($BJ295="",21&gt;設定!$B$3),"",IF(INDEX(原始資料!X$2:X$501,$BJ295)="","",INDEX(原始資料!X$2:X$501,$BJ295)))</f>
        <v/>
      </c>
      <c r="W295" s="6">
        <f>IF(OR($BJ295="",22&gt;設定!$B$3),"",IF(INDEX(原始資料!Y$2:Y$501,$BJ295)="","",INDEX(原始資料!Y$2:Y$501,$BJ295)))</f>
        <v/>
      </c>
      <c r="X295" s="6">
        <f>IF(OR($BJ295="",23&gt;設定!$B$3),"",IF(INDEX(原始資料!Z$2:Z$501,$BJ295)="","",INDEX(原始資料!Z$2:Z$501,$BJ295)))</f>
        <v/>
      </c>
      <c r="Y295" s="6">
        <f>IF(OR($BJ295="",24&gt;設定!$B$3),"",IF(INDEX(原始資料!AA$2:AA$501,$BJ295)="","",INDEX(原始資料!AA$2:AA$501,$BJ295)))</f>
        <v/>
      </c>
      <c r="Z295" s="6">
        <f>IF(OR($BJ295="",25&gt;設定!$B$3),"",IF(INDEX(原始資料!AB$2:AB$501,$BJ295)="","",INDEX(原始資料!AB$2:AB$501,$BJ295)))</f>
        <v/>
      </c>
      <c r="AA295" s="6">
        <f>IF(OR($BJ295="",26&gt;設定!$B$3),"",IF(INDEX(原始資料!AC$2:AC$501,$BJ295)="","",INDEX(原始資料!AC$2:AC$501,$BJ295)))</f>
        <v/>
      </c>
      <c r="AB295" s="6">
        <f>IF(OR($BJ295="",27&gt;設定!$B$3),"",IF(INDEX(原始資料!AD$2:AD$501,$BJ295)="","",INDEX(原始資料!AD$2:AD$501,$BJ295)))</f>
        <v/>
      </c>
      <c r="AC295" s="6">
        <f>IF(OR($BJ295="",28&gt;設定!$B$3),"",IF(INDEX(原始資料!AE$2:AE$501,$BJ295)="","",INDEX(原始資料!AE$2:AE$501,$BJ295)))</f>
        <v/>
      </c>
      <c r="AD295" s="6">
        <f>IF(OR($BJ295="",29&gt;設定!$B$3),"",IF(INDEX(原始資料!AF$2:AF$501,$BJ295)="","",INDEX(原始資料!AF$2:AF$501,$BJ295)))</f>
        <v/>
      </c>
      <c r="AE295" s="6">
        <f>IF(OR($BJ295="",30&gt;設定!$B$3),"",IF(INDEX(原始資料!AG$2:AG$501,$BJ295)="","",INDEX(原始資料!AG$2:AG$501,$BJ295)))</f>
        <v/>
      </c>
      <c r="AF295" s="6">
        <f>IF(OR($BJ295="",31&gt;設定!$B$3),"",IF(INDEX(原始資料!AH$2:AH$501,$BJ295)="","",INDEX(原始資料!AH$2:AH$501,$BJ295)))</f>
        <v/>
      </c>
      <c r="AG295" s="6">
        <f>IF(OR($BJ295="",32&gt;設定!$B$3),"",IF(INDEX(原始資料!AI$2:AI$501,$BJ295)="","",INDEX(原始資料!AI$2:AI$501,$BJ295)))</f>
        <v/>
      </c>
      <c r="AH295" s="6">
        <f>IF(OR($BJ295="",33&gt;設定!$B$3),"",IF(INDEX(原始資料!AJ$2:AJ$501,$BJ295)="","",INDEX(原始資料!AJ$2:AJ$501,$BJ295)))</f>
        <v/>
      </c>
      <c r="AI295" s="6">
        <f>IF(OR($BJ295="",34&gt;設定!$B$3),"",IF(INDEX(原始資料!AK$2:AK$501,$BJ295)="","",INDEX(原始資料!AK$2:AK$501,$BJ295)))</f>
        <v/>
      </c>
      <c r="AJ295" s="6">
        <f>IF(OR($BJ295="",35&gt;設定!$B$3),"",IF(INDEX(原始資料!AL$2:AL$501,$BJ295)="","",INDEX(原始資料!AL$2:AL$501,$BJ295)))</f>
        <v/>
      </c>
      <c r="AK295" s="6">
        <f>IF(OR($BJ295="",36&gt;設定!$B$3),"",IF(INDEX(原始資料!AM$2:AM$501,$BJ295)="","",INDEX(原始資料!AM$2:AM$501,$BJ295)))</f>
        <v/>
      </c>
      <c r="AL295" s="6">
        <f>IF(OR($BJ295="",37&gt;設定!$B$3),"",IF(INDEX(原始資料!AN$2:AN$501,$BJ295)="","",INDEX(原始資料!AN$2:AN$501,$BJ295)))</f>
        <v/>
      </c>
      <c r="AM295" s="6">
        <f>IF(OR($BJ295="",38&gt;設定!$B$3),"",IF(INDEX(原始資料!AO$2:AO$501,$BJ295)="","",INDEX(原始資料!AO$2:AO$501,$BJ295)))</f>
        <v/>
      </c>
      <c r="AN295" s="6">
        <f>IF(OR($BJ295="",39&gt;設定!$B$3),"",IF(INDEX(原始資料!AP$2:AP$501,$BJ295)="","",INDEX(原始資料!AP$2:AP$501,$BJ295)))</f>
        <v/>
      </c>
      <c r="AO295" s="6">
        <f>IF(OR($BJ295="",40&gt;設定!$B$3),"",IF(INDEX(原始資料!AQ$2:AQ$501,$BJ295)="","",INDEX(原始資料!AQ$2:AQ$501,$BJ295)))</f>
        <v/>
      </c>
      <c r="AP295" s="6">
        <f>IF(OR($BJ295="",41&gt;設定!$B$3),"",IF(INDEX(原始資料!AR$2:AR$501,$BJ295)="","",INDEX(原始資料!AR$2:AR$501,$BJ295)))</f>
        <v/>
      </c>
      <c r="AQ295" s="6">
        <f>IF(OR($BJ295="",42&gt;設定!$B$3),"",IF(INDEX(原始資料!AS$2:AS$501,$BJ295)="","",INDEX(原始資料!AS$2:AS$501,$BJ295)))</f>
        <v/>
      </c>
      <c r="AR295" s="6">
        <f>IF(OR($BJ295="",43&gt;設定!$B$3),"",IF(INDEX(原始資料!AT$2:AT$501,$BJ295)="","",INDEX(原始資料!AT$2:AT$501,$BJ295)))</f>
        <v/>
      </c>
      <c r="AS295" s="6">
        <f>IF(OR($BJ295="",44&gt;設定!$B$3),"",IF(INDEX(原始資料!AU$2:AU$501,$BJ295)="","",INDEX(原始資料!AU$2:AU$501,$BJ295)))</f>
        <v/>
      </c>
      <c r="AT295" s="6">
        <f>IF(OR($BJ295="",45&gt;設定!$B$3),"",IF(INDEX(原始資料!AV$2:AV$501,$BJ295)="","",INDEX(原始資料!AV$2:AV$501,$BJ295)))</f>
        <v/>
      </c>
      <c r="AU295" s="6">
        <f>IF(OR($BJ295="",46&gt;設定!$B$3),"",IF(INDEX(原始資料!AW$2:AW$501,$BJ295)="","",INDEX(原始資料!AW$2:AW$501,$BJ295)))</f>
        <v/>
      </c>
      <c r="AV295" s="6">
        <f>IF(OR($BJ295="",47&gt;設定!$B$3),"",IF(INDEX(原始資料!AX$2:AX$501,$BJ295)="","",INDEX(原始資料!AX$2:AX$501,$BJ295)))</f>
        <v/>
      </c>
      <c r="AW295" s="6">
        <f>IF(OR($BJ295="",48&gt;設定!$B$3),"",IF(INDEX(原始資料!AY$2:AY$501,$BJ295)="","",INDEX(原始資料!AY$2:AY$501,$BJ295)))</f>
        <v/>
      </c>
      <c r="AX295" s="6">
        <f>IF(OR($BJ295="",49&gt;設定!$B$3),"",IF(INDEX(原始資料!AZ$2:AZ$501,$BJ295)="","",INDEX(原始資料!AZ$2:AZ$501,$BJ295)))</f>
        <v/>
      </c>
      <c r="AY295" s="6">
        <f>IF(OR($BJ295="",50&gt;設定!$B$3),"",IF(INDEX(原始資料!BA$2:BA$501,$BJ295)="","",INDEX(原始資料!BA$2:BA$501,$BJ295)))</f>
        <v/>
      </c>
      <c r="AZ295" s="6">
        <f>IF(OR($BJ295="",51&gt;設定!$B$3),"",IF(INDEX(原始資料!BB$2:BB$501,$BJ295)="","",INDEX(原始資料!BB$2:BB$501,$BJ295)))</f>
        <v/>
      </c>
      <c r="BA295" s="6">
        <f>IF(OR($BJ295="",52&gt;設定!$B$3),"",IF(INDEX(原始資料!BC$2:BC$501,$BJ295)="","",INDEX(原始資料!BC$2:BC$501,$BJ295)))</f>
        <v/>
      </c>
      <c r="BB295" s="6">
        <f>IF(OR($BJ295="",53&gt;設定!$B$3),"",IF(INDEX(原始資料!BD$2:BD$501,$BJ295)="","",INDEX(原始資料!BD$2:BD$501,$BJ295)))</f>
        <v/>
      </c>
      <c r="BC295" s="6">
        <f>IF(OR($BJ295="",54&gt;設定!$B$3),"",IF(INDEX(原始資料!BE$2:BE$501,$BJ295)="","",INDEX(原始資料!BE$2:BE$501,$BJ295)))</f>
        <v/>
      </c>
      <c r="BD295" s="6">
        <f>IF(OR($BJ295="",55&gt;設定!$B$3),"",IF(INDEX(原始資料!BF$2:BF$501,$BJ295)="","",INDEX(原始資料!BF$2:BF$501,$BJ295)))</f>
        <v/>
      </c>
      <c r="BE295" s="6">
        <f>IF(OR($BJ295="",56&gt;設定!$B$3),"",IF(INDEX(原始資料!BG$2:BG$501,$BJ295)="","",INDEX(原始資料!BG$2:BG$501,$BJ295)))</f>
        <v/>
      </c>
      <c r="BF295" s="6">
        <f>IF(OR($BJ295="",57&gt;設定!$B$3),"",IF(INDEX(原始資料!BH$2:BH$501,$BJ295)="","",INDEX(原始資料!BH$2:BH$501,$BJ295)))</f>
        <v/>
      </c>
      <c r="BG295" s="6">
        <f>IF(OR($BJ295="",58&gt;設定!$B$3),"",IF(INDEX(原始資料!BI$2:BI$501,$BJ295)="","",INDEX(原始資料!BI$2:BI$501,$BJ295)))</f>
        <v/>
      </c>
      <c r="BH295" s="6">
        <f>IF(OR($BJ295="",59&gt;設定!$B$3),"",IF(INDEX(原始資料!BJ$2:BJ$501,$BJ295)="","",INDEX(原始資料!BJ$2:BJ$501,$BJ295)))</f>
        <v/>
      </c>
      <c r="BI295" s="6">
        <f>IF(OR($BJ295="",60&gt;設定!$B$3),"",IF(INDEX(原始資料!BK$2:BK$501,$BJ295)="","",INDEX(原始資料!BK$2:BK$501,$BJ295)))</f>
        <v/>
      </c>
      <c r="BJ295" s="6">
        <f>IFERROR(MATCH(ROW()-1,判定!$H$2:$H$501,0),"")</f>
        <v/>
      </c>
    </row>
    <row r="296">
      <c r="A296" s="6">
        <f>IF($BJ296="","",INDEX(原始資料!$A$2:$A$501,$BJ296))</f>
        <v/>
      </c>
      <c r="B296" s="6">
        <f>IF(OR($BJ296="",1&gt;設定!$B$3),"",IF(INDEX(原始資料!D$2:D$501,$BJ296)="","",INDEX(原始資料!D$2:D$501,$BJ296)))</f>
        <v/>
      </c>
      <c r="C296" s="6">
        <f>IF(OR($BJ296="",2&gt;設定!$B$3),"",IF(INDEX(原始資料!E$2:E$501,$BJ296)="","",INDEX(原始資料!E$2:E$501,$BJ296)))</f>
        <v/>
      </c>
      <c r="D296" s="6">
        <f>IF(OR($BJ296="",3&gt;設定!$B$3),"",IF(INDEX(原始資料!F$2:F$501,$BJ296)="","",INDEX(原始資料!F$2:F$501,$BJ296)))</f>
        <v/>
      </c>
      <c r="E296" s="6">
        <f>IF(OR($BJ296="",4&gt;設定!$B$3),"",IF(INDEX(原始資料!G$2:G$501,$BJ296)="","",INDEX(原始資料!G$2:G$501,$BJ296)))</f>
        <v/>
      </c>
      <c r="F296" s="6">
        <f>IF(OR($BJ296="",5&gt;設定!$B$3),"",IF(INDEX(原始資料!H$2:H$501,$BJ296)="","",INDEX(原始資料!H$2:H$501,$BJ296)))</f>
        <v/>
      </c>
      <c r="G296" s="6">
        <f>IF(OR($BJ296="",6&gt;設定!$B$3),"",IF(INDEX(原始資料!I$2:I$501,$BJ296)="","",INDEX(原始資料!I$2:I$501,$BJ296)))</f>
        <v/>
      </c>
      <c r="H296" s="6">
        <f>IF(OR($BJ296="",7&gt;設定!$B$3),"",IF(INDEX(原始資料!J$2:J$501,$BJ296)="","",INDEX(原始資料!J$2:J$501,$BJ296)))</f>
        <v/>
      </c>
      <c r="I296" s="6">
        <f>IF(OR($BJ296="",8&gt;設定!$B$3),"",IF(INDEX(原始資料!K$2:K$501,$BJ296)="","",INDEX(原始資料!K$2:K$501,$BJ296)))</f>
        <v/>
      </c>
      <c r="J296" s="6">
        <f>IF(OR($BJ296="",9&gt;設定!$B$3),"",IF(INDEX(原始資料!L$2:L$501,$BJ296)="","",INDEX(原始資料!L$2:L$501,$BJ296)))</f>
        <v/>
      </c>
      <c r="K296" s="6">
        <f>IF(OR($BJ296="",10&gt;設定!$B$3),"",IF(INDEX(原始資料!M$2:M$501,$BJ296)="","",INDEX(原始資料!M$2:M$501,$BJ296)))</f>
        <v/>
      </c>
      <c r="L296" s="6">
        <f>IF(OR($BJ296="",11&gt;設定!$B$3),"",IF(INDEX(原始資料!N$2:N$501,$BJ296)="","",INDEX(原始資料!N$2:N$501,$BJ296)))</f>
        <v/>
      </c>
      <c r="M296" s="6">
        <f>IF(OR($BJ296="",12&gt;設定!$B$3),"",IF(INDEX(原始資料!O$2:O$501,$BJ296)="","",INDEX(原始資料!O$2:O$501,$BJ296)))</f>
        <v/>
      </c>
      <c r="N296" s="6">
        <f>IF(OR($BJ296="",13&gt;設定!$B$3),"",IF(INDEX(原始資料!P$2:P$501,$BJ296)="","",INDEX(原始資料!P$2:P$501,$BJ296)))</f>
        <v/>
      </c>
      <c r="O296" s="6">
        <f>IF(OR($BJ296="",14&gt;設定!$B$3),"",IF(INDEX(原始資料!Q$2:Q$501,$BJ296)="","",INDEX(原始資料!Q$2:Q$501,$BJ296)))</f>
        <v/>
      </c>
      <c r="P296" s="6">
        <f>IF(OR($BJ296="",15&gt;設定!$B$3),"",IF(INDEX(原始資料!R$2:R$501,$BJ296)="","",INDEX(原始資料!R$2:R$501,$BJ296)))</f>
        <v/>
      </c>
      <c r="Q296" s="6">
        <f>IF(OR($BJ296="",16&gt;設定!$B$3),"",IF(INDEX(原始資料!S$2:S$501,$BJ296)="","",INDEX(原始資料!S$2:S$501,$BJ296)))</f>
        <v/>
      </c>
      <c r="R296" s="6">
        <f>IF(OR($BJ296="",17&gt;設定!$B$3),"",IF(INDEX(原始資料!T$2:T$501,$BJ296)="","",INDEX(原始資料!T$2:T$501,$BJ296)))</f>
        <v/>
      </c>
      <c r="S296" s="6">
        <f>IF(OR($BJ296="",18&gt;設定!$B$3),"",IF(INDEX(原始資料!U$2:U$501,$BJ296)="","",INDEX(原始資料!U$2:U$501,$BJ296)))</f>
        <v/>
      </c>
      <c r="T296" s="6">
        <f>IF(OR($BJ296="",19&gt;設定!$B$3),"",IF(INDEX(原始資料!V$2:V$501,$BJ296)="","",INDEX(原始資料!V$2:V$501,$BJ296)))</f>
        <v/>
      </c>
      <c r="U296" s="6">
        <f>IF(OR($BJ296="",20&gt;設定!$B$3),"",IF(INDEX(原始資料!W$2:W$501,$BJ296)="","",INDEX(原始資料!W$2:W$501,$BJ296)))</f>
        <v/>
      </c>
      <c r="V296" s="6">
        <f>IF(OR($BJ296="",21&gt;設定!$B$3),"",IF(INDEX(原始資料!X$2:X$501,$BJ296)="","",INDEX(原始資料!X$2:X$501,$BJ296)))</f>
        <v/>
      </c>
      <c r="W296" s="6">
        <f>IF(OR($BJ296="",22&gt;設定!$B$3),"",IF(INDEX(原始資料!Y$2:Y$501,$BJ296)="","",INDEX(原始資料!Y$2:Y$501,$BJ296)))</f>
        <v/>
      </c>
      <c r="X296" s="6">
        <f>IF(OR($BJ296="",23&gt;設定!$B$3),"",IF(INDEX(原始資料!Z$2:Z$501,$BJ296)="","",INDEX(原始資料!Z$2:Z$501,$BJ296)))</f>
        <v/>
      </c>
      <c r="Y296" s="6">
        <f>IF(OR($BJ296="",24&gt;設定!$B$3),"",IF(INDEX(原始資料!AA$2:AA$501,$BJ296)="","",INDEX(原始資料!AA$2:AA$501,$BJ296)))</f>
        <v/>
      </c>
      <c r="Z296" s="6">
        <f>IF(OR($BJ296="",25&gt;設定!$B$3),"",IF(INDEX(原始資料!AB$2:AB$501,$BJ296)="","",INDEX(原始資料!AB$2:AB$501,$BJ296)))</f>
        <v/>
      </c>
      <c r="AA296" s="6">
        <f>IF(OR($BJ296="",26&gt;設定!$B$3),"",IF(INDEX(原始資料!AC$2:AC$501,$BJ296)="","",INDEX(原始資料!AC$2:AC$501,$BJ296)))</f>
        <v/>
      </c>
      <c r="AB296" s="6">
        <f>IF(OR($BJ296="",27&gt;設定!$B$3),"",IF(INDEX(原始資料!AD$2:AD$501,$BJ296)="","",INDEX(原始資料!AD$2:AD$501,$BJ296)))</f>
        <v/>
      </c>
      <c r="AC296" s="6">
        <f>IF(OR($BJ296="",28&gt;設定!$B$3),"",IF(INDEX(原始資料!AE$2:AE$501,$BJ296)="","",INDEX(原始資料!AE$2:AE$501,$BJ296)))</f>
        <v/>
      </c>
      <c r="AD296" s="6">
        <f>IF(OR($BJ296="",29&gt;設定!$B$3),"",IF(INDEX(原始資料!AF$2:AF$501,$BJ296)="","",INDEX(原始資料!AF$2:AF$501,$BJ296)))</f>
        <v/>
      </c>
      <c r="AE296" s="6">
        <f>IF(OR($BJ296="",30&gt;設定!$B$3),"",IF(INDEX(原始資料!AG$2:AG$501,$BJ296)="","",INDEX(原始資料!AG$2:AG$501,$BJ296)))</f>
        <v/>
      </c>
      <c r="AF296" s="6">
        <f>IF(OR($BJ296="",31&gt;設定!$B$3),"",IF(INDEX(原始資料!AH$2:AH$501,$BJ296)="","",INDEX(原始資料!AH$2:AH$501,$BJ296)))</f>
        <v/>
      </c>
      <c r="AG296" s="6">
        <f>IF(OR($BJ296="",32&gt;設定!$B$3),"",IF(INDEX(原始資料!AI$2:AI$501,$BJ296)="","",INDEX(原始資料!AI$2:AI$501,$BJ296)))</f>
        <v/>
      </c>
      <c r="AH296" s="6">
        <f>IF(OR($BJ296="",33&gt;設定!$B$3),"",IF(INDEX(原始資料!AJ$2:AJ$501,$BJ296)="","",INDEX(原始資料!AJ$2:AJ$501,$BJ296)))</f>
        <v/>
      </c>
      <c r="AI296" s="6">
        <f>IF(OR($BJ296="",34&gt;設定!$B$3),"",IF(INDEX(原始資料!AK$2:AK$501,$BJ296)="","",INDEX(原始資料!AK$2:AK$501,$BJ296)))</f>
        <v/>
      </c>
      <c r="AJ296" s="6">
        <f>IF(OR($BJ296="",35&gt;設定!$B$3),"",IF(INDEX(原始資料!AL$2:AL$501,$BJ296)="","",INDEX(原始資料!AL$2:AL$501,$BJ296)))</f>
        <v/>
      </c>
      <c r="AK296" s="6">
        <f>IF(OR($BJ296="",36&gt;設定!$B$3),"",IF(INDEX(原始資料!AM$2:AM$501,$BJ296)="","",INDEX(原始資料!AM$2:AM$501,$BJ296)))</f>
        <v/>
      </c>
      <c r="AL296" s="6">
        <f>IF(OR($BJ296="",37&gt;設定!$B$3),"",IF(INDEX(原始資料!AN$2:AN$501,$BJ296)="","",INDEX(原始資料!AN$2:AN$501,$BJ296)))</f>
        <v/>
      </c>
      <c r="AM296" s="6">
        <f>IF(OR($BJ296="",38&gt;設定!$B$3),"",IF(INDEX(原始資料!AO$2:AO$501,$BJ296)="","",INDEX(原始資料!AO$2:AO$501,$BJ296)))</f>
        <v/>
      </c>
      <c r="AN296" s="6">
        <f>IF(OR($BJ296="",39&gt;設定!$B$3),"",IF(INDEX(原始資料!AP$2:AP$501,$BJ296)="","",INDEX(原始資料!AP$2:AP$501,$BJ296)))</f>
        <v/>
      </c>
      <c r="AO296" s="6">
        <f>IF(OR($BJ296="",40&gt;設定!$B$3),"",IF(INDEX(原始資料!AQ$2:AQ$501,$BJ296)="","",INDEX(原始資料!AQ$2:AQ$501,$BJ296)))</f>
        <v/>
      </c>
      <c r="AP296" s="6">
        <f>IF(OR($BJ296="",41&gt;設定!$B$3),"",IF(INDEX(原始資料!AR$2:AR$501,$BJ296)="","",INDEX(原始資料!AR$2:AR$501,$BJ296)))</f>
        <v/>
      </c>
      <c r="AQ296" s="6">
        <f>IF(OR($BJ296="",42&gt;設定!$B$3),"",IF(INDEX(原始資料!AS$2:AS$501,$BJ296)="","",INDEX(原始資料!AS$2:AS$501,$BJ296)))</f>
        <v/>
      </c>
      <c r="AR296" s="6">
        <f>IF(OR($BJ296="",43&gt;設定!$B$3),"",IF(INDEX(原始資料!AT$2:AT$501,$BJ296)="","",INDEX(原始資料!AT$2:AT$501,$BJ296)))</f>
        <v/>
      </c>
      <c r="AS296" s="6">
        <f>IF(OR($BJ296="",44&gt;設定!$B$3),"",IF(INDEX(原始資料!AU$2:AU$501,$BJ296)="","",INDEX(原始資料!AU$2:AU$501,$BJ296)))</f>
        <v/>
      </c>
      <c r="AT296" s="6">
        <f>IF(OR($BJ296="",45&gt;設定!$B$3),"",IF(INDEX(原始資料!AV$2:AV$501,$BJ296)="","",INDEX(原始資料!AV$2:AV$501,$BJ296)))</f>
        <v/>
      </c>
      <c r="AU296" s="6">
        <f>IF(OR($BJ296="",46&gt;設定!$B$3),"",IF(INDEX(原始資料!AW$2:AW$501,$BJ296)="","",INDEX(原始資料!AW$2:AW$501,$BJ296)))</f>
        <v/>
      </c>
      <c r="AV296" s="6">
        <f>IF(OR($BJ296="",47&gt;設定!$B$3),"",IF(INDEX(原始資料!AX$2:AX$501,$BJ296)="","",INDEX(原始資料!AX$2:AX$501,$BJ296)))</f>
        <v/>
      </c>
      <c r="AW296" s="6">
        <f>IF(OR($BJ296="",48&gt;設定!$B$3),"",IF(INDEX(原始資料!AY$2:AY$501,$BJ296)="","",INDEX(原始資料!AY$2:AY$501,$BJ296)))</f>
        <v/>
      </c>
      <c r="AX296" s="6">
        <f>IF(OR($BJ296="",49&gt;設定!$B$3),"",IF(INDEX(原始資料!AZ$2:AZ$501,$BJ296)="","",INDEX(原始資料!AZ$2:AZ$501,$BJ296)))</f>
        <v/>
      </c>
      <c r="AY296" s="6">
        <f>IF(OR($BJ296="",50&gt;設定!$B$3),"",IF(INDEX(原始資料!BA$2:BA$501,$BJ296)="","",INDEX(原始資料!BA$2:BA$501,$BJ296)))</f>
        <v/>
      </c>
      <c r="AZ296" s="6">
        <f>IF(OR($BJ296="",51&gt;設定!$B$3),"",IF(INDEX(原始資料!BB$2:BB$501,$BJ296)="","",INDEX(原始資料!BB$2:BB$501,$BJ296)))</f>
        <v/>
      </c>
      <c r="BA296" s="6">
        <f>IF(OR($BJ296="",52&gt;設定!$B$3),"",IF(INDEX(原始資料!BC$2:BC$501,$BJ296)="","",INDEX(原始資料!BC$2:BC$501,$BJ296)))</f>
        <v/>
      </c>
      <c r="BB296" s="6">
        <f>IF(OR($BJ296="",53&gt;設定!$B$3),"",IF(INDEX(原始資料!BD$2:BD$501,$BJ296)="","",INDEX(原始資料!BD$2:BD$501,$BJ296)))</f>
        <v/>
      </c>
      <c r="BC296" s="6">
        <f>IF(OR($BJ296="",54&gt;設定!$B$3),"",IF(INDEX(原始資料!BE$2:BE$501,$BJ296)="","",INDEX(原始資料!BE$2:BE$501,$BJ296)))</f>
        <v/>
      </c>
      <c r="BD296" s="6">
        <f>IF(OR($BJ296="",55&gt;設定!$B$3),"",IF(INDEX(原始資料!BF$2:BF$501,$BJ296)="","",INDEX(原始資料!BF$2:BF$501,$BJ296)))</f>
        <v/>
      </c>
      <c r="BE296" s="6">
        <f>IF(OR($BJ296="",56&gt;設定!$B$3),"",IF(INDEX(原始資料!BG$2:BG$501,$BJ296)="","",INDEX(原始資料!BG$2:BG$501,$BJ296)))</f>
        <v/>
      </c>
      <c r="BF296" s="6">
        <f>IF(OR($BJ296="",57&gt;設定!$B$3),"",IF(INDEX(原始資料!BH$2:BH$501,$BJ296)="","",INDEX(原始資料!BH$2:BH$501,$BJ296)))</f>
        <v/>
      </c>
      <c r="BG296" s="6">
        <f>IF(OR($BJ296="",58&gt;設定!$B$3),"",IF(INDEX(原始資料!BI$2:BI$501,$BJ296)="","",INDEX(原始資料!BI$2:BI$501,$BJ296)))</f>
        <v/>
      </c>
      <c r="BH296" s="6">
        <f>IF(OR($BJ296="",59&gt;設定!$B$3),"",IF(INDEX(原始資料!BJ$2:BJ$501,$BJ296)="","",INDEX(原始資料!BJ$2:BJ$501,$BJ296)))</f>
        <v/>
      </c>
      <c r="BI296" s="6">
        <f>IF(OR($BJ296="",60&gt;設定!$B$3),"",IF(INDEX(原始資料!BK$2:BK$501,$BJ296)="","",INDEX(原始資料!BK$2:BK$501,$BJ296)))</f>
        <v/>
      </c>
      <c r="BJ296" s="6">
        <f>IFERROR(MATCH(ROW()-1,判定!$H$2:$H$501,0),"")</f>
        <v/>
      </c>
    </row>
    <row r="297">
      <c r="A297" s="6">
        <f>IF($BJ297="","",INDEX(原始資料!$A$2:$A$501,$BJ297))</f>
        <v/>
      </c>
      <c r="B297" s="6">
        <f>IF(OR($BJ297="",1&gt;設定!$B$3),"",IF(INDEX(原始資料!D$2:D$501,$BJ297)="","",INDEX(原始資料!D$2:D$501,$BJ297)))</f>
        <v/>
      </c>
      <c r="C297" s="6">
        <f>IF(OR($BJ297="",2&gt;設定!$B$3),"",IF(INDEX(原始資料!E$2:E$501,$BJ297)="","",INDEX(原始資料!E$2:E$501,$BJ297)))</f>
        <v/>
      </c>
      <c r="D297" s="6">
        <f>IF(OR($BJ297="",3&gt;設定!$B$3),"",IF(INDEX(原始資料!F$2:F$501,$BJ297)="","",INDEX(原始資料!F$2:F$501,$BJ297)))</f>
        <v/>
      </c>
      <c r="E297" s="6">
        <f>IF(OR($BJ297="",4&gt;設定!$B$3),"",IF(INDEX(原始資料!G$2:G$501,$BJ297)="","",INDEX(原始資料!G$2:G$501,$BJ297)))</f>
        <v/>
      </c>
      <c r="F297" s="6">
        <f>IF(OR($BJ297="",5&gt;設定!$B$3),"",IF(INDEX(原始資料!H$2:H$501,$BJ297)="","",INDEX(原始資料!H$2:H$501,$BJ297)))</f>
        <v/>
      </c>
      <c r="G297" s="6">
        <f>IF(OR($BJ297="",6&gt;設定!$B$3),"",IF(INDEX(原始資料!I$2:I$501,$BJ297)="","",INDEX(原始資料!I$2:I$501,$BJ297)))</f>
        <v/>
      </c>
      <c r="H297" s="6">
        <f>IF(OR($BJ297="",7&gt;設定!$B$3),"",IF(INDEX(原始資料!J$2:J$501,$BJ297)="","",INDEX(原始資料!J$2:J$501,$BJ297)))</f>
        <v/>
      </c>
      <c r="I297" s="6">
        <f>IF(OR($BJ297="",8&gt;設定!$B$3),"",IF(INDEX(原始資料!K$2:K$501,$BJ297)="","",INDEX(原始資料!K$2:K$501,$BJ297)))</f>
        <v/>
      </c>
      <c r="J297" s="6">
        <f>IF(OR($BJ297="",9&gt;設定!$B$3),"",IF(INDEX(原始資料!L$2:L$501,$BJ297)="","",INDEX(原始資料!L$2:L$501,$BJ297)))</f>
        <v/>
      </c>
      <c r="K297" s="6">
        <f>IF(OR($BJ297="",10&gt;設定!$B$3),"",IF(INDEX(原始資料!M$2:M$501,$BJ297)="","",INDEX(原始資料!M$2:M$501,$BJ297)))</f>
        <v/>
      </c>
      <c r="L297" s="6">
        <f>IF(OR($BJ297="",11&gt;設定!$B$3),"",IF(INDEX(原始資料!N$2:N$501,$BJ297)="","",INDEX(原始資料!N$2:N$501,$BJ297)))</f>
        <v/>
      </c>
      <c r="M297" s="6">
        <f>IF(OR($BJ297="",12&gt;設定!$B$3),"",IF(INDEX(原始資料!O$2:O$501,$BJ297)="","",INDEX(原始資料!O$2:O$501,$BJ297)))</f>
        <v/>
      </c>
      <c r="N297" s="6">
        <f>IF(OR($BJ297="",13&gt;設定!$B$3),"",IF(INDEX(原始資料!P$2:P$501,$BJ297)="","",INDEX(原始資料!P$2:P$501,$BJ297)))</f>
        <v/>
      </c>
      <c r="O297" s="6">
        <f>IF(OR($BJ297="",14&gt;設定!$B$3),"",IF(INDEX(原始資料!Q$2:Q$501,$BJ297)="","",INDEX(原始資料!Q$2:Q$501,$BJ297)))</f>
        <v/>
      </c>
      <c r="P297" s="6">
        <f>IF(OR($BJ297="",15&gt;設定!$B$3),"",IF(INDEX(原始資料!R$2:R$501,$BJ297)="","",INDEX(原始資料!R$2:R$501,$BJ297)))</f>
        <v/>
      </c>
      <c r="Q297" s="6">
        <f>IF(OR($BJ297="",16&gt;設定!$B$3),"",IF(INDEX(原始資料!S$2:S$501,$BJ297)="","",INDEX(原始資料!S$2:S$501,$BJ297)))</f>
        <v/>
      </c>
      <c r="R297" s="6">
        <f>IF(OR($BJ297="",17&gt;設定!$B$3),"",IF(INDEX(原始資料!T$2:T$501,$BJ297)="","",INDEX(原始資料!T$2:T$501,$BJ297)))</f>
        <v/>
      </c>
      <c r="S297" s="6">
        <f>IF(OR($BJ297="",18&gt;設定!$B$3),"",IF(INDEX(原始資料!U$2:U$501,$BJ297)="","",INDEX(原始資料!U$2:U$501,$BJ297)))</f>
        <v/>
      </c>
      <c r="T297" s="6">
        <f>IF(OR($BJ297="",19&gt;設定!$B$3),"",IF(INDEX(原始資料!V$2:V$501,$BJ297)="","",INDEX(原始資料!V$2:V$501,$BJ297)))</f>
        <v/>
      </c>
      <c r="U297" s="6">
        <f>IF(OR($BJ297="",20&gt;設定!$B$3),"",IF(INDEX(原始資料!W$2:W$501,$BJ297)="","",INDEX(原始資料!W$2:W$501,$BJ297)))</f>
        <v/>
      </c>
      <c r="V297" s="6">
        <f>IF(OR($BJ297="",21&gt;設定!$B$3),"",IF(INDEX(原始資料!X$2:X$501,$BJ297)="","",INDEX(原始資料!X$2:X$501,$BJ297)))</f>
        <v/>
      </c>
      <c r="W297" s="6">
        <f>IF(OR($BJ297="",22&gt;設定!$B$3),"",IF(INDEX(原始資料!Y$2:Y$501,$BJ297)="","",INDEX(原始資料!Y$2:Y$501,$BJ297)))</f>
        <v/>
      </c>
      <c r="X297" s="6">
        <f>IF(OR($BJ297="",23&gt;設定!$B$3),"",IF(INDEX(原始資料!Z$2:Z$501,$BJ297)="","",INDEX(原始資料!Z$2:Z$501,$BJ297)))</f>
        <v/>
      </c>
      <c r="Y297" s="6">
        <f>IF(OR($BJ297="",24&gt;設定!$B$3),"",IF(INDEX(原始資料!AA$2:AA$501,$BJ297)="","",INDEX(原始資料!AA$2:AA$501,$BJ297)))</f>
        <v/>
      </c>
      <c r="Z297" s="6">
        <f>IF(OR($BJ297="",25&gt;設定!$B$3),"",IF(INDEX(原始資料!AB$2:AB$501,$BJ297)="","",INDEX(原始資料!AB$2:AB$501,$BJ297)))</f>
        <v/>
      </c>
      <c r="AA297" s="6">
        <f>IF(OR($BJ297="",26&gt;設定!$B$3),"",IF(INDEX(原始資料!AC$2:AC$501,$BJ297)="","",INDEX(原始資料!AC$2:AC$501,$BJ297)))</f>
        <v/>
      </c>
      <c r="AB297" s="6">
        <f>IF(OR($BJ297="",27&gt;設定!$B$3),"",IF(INDEX(原始資料!AD$2:AD$501,$BJ297)="","",INDEX(原始資料!AD$2:AD$501,$BJ297)))</f>
        <v/>
      </c>
      <c r="AC297" s="6">
        <f>IF(OR($BJ297="",28&gt;設定!$B$3),"",IF(INDEX(原始資料!AE$2:AE$501,$BJ297)="","",INDEX(原始資料!AE$2:AE$501,$BJ297)))</f>
        <v/>
      </c>
      <c r="AD297" s="6">
        <f>IF(OR($BJ297="",29&gt;設定!$B$3),"",IF(INDEX(原始資料!AF$2:AF$501,$BJ297)="","",INDEX(原始資料!AF$2:AF$501,$BJ297)))</f>
        <v/>
      </c>
      <c r="AE297" s="6">
        <f>IF(OR($BJ297="",30&gt;設定!$B$3),"",IF(INDEX(原始資料!AG$2:AG$501,$BJ297)="","",INDEX(原始資料!AG$2:AG$501,$BJ297)))</f>
        <v/>
      </c>
      <c r="AF297" s="6">
        <f>IF(OR($BJ297="",31&gt;設定!$B$3),"",IF(INDEX(原始資料!AH$2:AH$501,$BJ297)="","",INDEX(原始資料!AH$2:AH$501,$BJ297)))</f>
        <v/>
      </c>
      <c r="AG297" s="6">
        <f>IF(OR($BJ297="",32&gt;設定!$B$3),"",IF(INDEX(原始資料!AI$2:AI$501,$BJ297)="","",INDEX(原始資料!AI$2:AI$501,$BJ297)))</f>
        <v/>
      </c>
      <c r="AH297" s="6">
        <f>IF(OR($BJ297="",33&gt;設定!$B$3),"",IF(INDEX(原始資料!AJ$2:AJ$501,$BJ297)="","",INDEX(原始資料!AJ$2:AJ$501,$BJ297)))</f>
        <v/>
      </c>
      <c r="AI297" s="6">
        <f>IF(OR($BJ297="",34&gt;設定!$B$3),"",IF(INDEX(原始資料!AK$2:AK$501,$BJ297)="","",INDEX(原始資料!AK$2:AK$501,$BJ297)))</f>
        <v/>
      </c>
      <c r="AJ297" s="6">
        <f>IF(OR($BJ297="",35&gt;設定!$B$3),"",IF(INDEX(原始資料!AL$2:AL$501,$BJ297)="","",INDEX(原始資料!AL$2:AL$501,$BJ297)))</f>
        <v/>
      </c>
      <c r="AK297" s="6">
        <f>IF(OR($BJ297="",36&gt;設定!$B$3),"",IF(INDEX(原始資料!AM$2:AM$501,$BJ297)="","",INDEX(原始資料!AM$2:AM$501,$BJ297)))</f>
        <v/>
      </c>
      <c r="AL297" s="6">
        <f>IF(OR($BJ297="",37&gt;設定!$B$3),"",IF(INDEX(原始資料!AN$2:AN$501,$BJ297)="","",INDEX(原始資料!AN$2:AN$501,$BJ297)))</f>
        <v/>
      </c>
      <c r="AM297" s="6">
        <f>IF(OR($BJ297="",38&gt;設定!$B$3),"",IF(INDEX(原始資料!AO$2:AO$501,$BJ297)="","",INDEX(原始資料!AO$2:AO$501,$BJ297)))</f>
        <v/>
      </c>
      <c r="AN297" s="6">
        <f>IF(OR($BJ297="",39&gt;設定!$B$3),"",IF(INDEX(原始資料!AP$2:AP$501,$BJ297)="","",INDEX(原始資料!AP$2:AP$501,$BJ297)))</f>
        <v/>
      </c>
      <c r="AO297" s="6">
        <f>IF(OR($BJ297="",40&gt;設定!$B$3),"",IF(INDEX(原始資料!AQ$2:AQ$501,$BJ297)="","",INDEX(原始資料!AQ$2:AQ$501,$BJ297)))</f>
        <v/>
      </c>
      <c r="AP297" s="6">
        <f>IF(OR($BJ297="",41&gt;設定!$B$3),"",IF(INDEX(原始資料!AR$2:AR$501,$BJ297)="","",INDEX(原始資料!AR$2:AR$501,$BJ297)))</f>
        <v/>
      </c>
      <c r="AQ297" s="6">
        <f>IF(OR($BJ297="",42&gt;設定!$B$3),"",IF(INDEX(原始資料!AS$2:AS$501,$BJ297)="","",INDEX(原始資料!AS$2:AS$501,$BJ297)))</f>
        <v/>
      </c>
      <c r="AR297" s="6">
        <f>IF(OR($BJ297="",43&gt;設定!$B$3),"",IF(INDEX(原始資料!AT$2:AT$501,$BJ297)="","",INDEX(原始資料!AT$2:AT$501,$BJ297)))</f>
        <v/>
      </c>
      <c r="AS297" s="6">
        <f>IF(OR($BJ297="",44&gt;設定!$B$3),"",IF(INDEX(原始資料!AU$2:AU$501,$BJ297)="","",INDEX(原始資料!AU$2:AU$501,$BJ297)))</f>
        <v/>
      </c>
      <c r="AT297" s="6">
        <f>IF(OR($BJ297="",45&gt;設定!$B$3),"",IF(INDEX(原始資料!AV$2:AV$501,$BJ297)="","",INDEX(原始資料!AV$2:AV$501,$BJ297)))</f>
        <v/>
      </c>
      <c r="AU297" s="6">
        <f>IF(OR($BJ297="",46&gt;設定!$B$3),"",IF(INDEX(原始資料!AW$2:AW$501,$BJ297)="","",INDEX(原始資料!AW$2:AW$501,$BJ297)))</f>
        <v/>
      </c>
      <c r="AV297" s="6">
        <f>IF(OR($BJ297="",47&gt;設定!$B$3),"",IF(INDEX(原始資料!AX$2:AX$501,$BJ297)="","",INDEX(原始資料!AX$2:AX$501,$BJ297)))</f>
        <v/>
      </c>
      <c r="AW297" s="6">
        <f>IF(OR($BJ297="",48&gt;設定!$B$3),"",IF(INDEX(原始資料!AY$2:AY$501,$BJ297)="","",INDEX(原始資料!AY$2:AY$501,$BJ297)))</f>
        <v/>
      </c>
      <c r="AX297" s="6">
        <f>IF(OR($BJ297="",49&gt;設定!$B$3),"",IF(INDEX(原始資料!AZ$2:AZ$501,$BJ297)="","",INDEX(原始資料!AZ$2:AZ$501,$BJ297)))</f>
        <v/>
      </c>
      <c r="AY297" s="6">
        <f>IF(OR($BJ297="",50&gt;設定!$B$3),"",IF(INDEX(原始資料!BA$2:BA$501,$BJ297)="","",INDEX(原始資料!BA$2:BA$501,$BJ297)))</f>
        <v/>
      </c>
      <c r="AZ297" s="6">
        <f>IF(OR($BJ297="",51&gt;設定!$B$3),"",IF(INDEX(原始資料!BB$2:BB$501,$BJ297)="","",INDEX(原始資料!BB$2:BB$501,$BJ297)))</f>
        <v/>
      </c>
      <c r="BA297" s="6">
        <f>IF(OR($BJ297="",52&gt;設定!$B$3),"",IF(INDEX(原始資料!BC$2:BC$501,$BJ297)="","",INDEX(原始資料!BC$2:BC$501,$BJ297)))</f>
        <v/>
      </c>
      <c r="BB297" s="6">
        <f>IF(OR($BJ297="",53&gt;設定!$B$3),"",IF(INDEX(原始資料!BD$2:BD$501,$BJ297)="","",INDEX(原始資料!BD$2:BD$501,$BJ297)))</f>
        <v/>
      </c>
      <c r="BC297" s="6">
        <f>IF(OR($BJ297="",54&gt;設定!$B$3),"",IF(INDEX(原始資料!BE$2:BE$501,$BJ297)="","",INDEX(原始資料!BE$2:BE$501,$BJ297)))</f>
        <v/>
      </c>
      <c r="BD297" s="6">
        <f>IF(OR($BJ297="",55&gt;設定!$B$3),"",IF(INDEX(原始資料!BF$2:BF$501,$BJ297)="","",INDEX(原始資料!BF$2:BF$501,$BJ297)))</f>
        <v/>
      </c>
      <c r="BE297" s="6">
        <f>IF(OR($BJ297="",56&gt;設定!$B$3),"",IF(INDEX(原始資料!BG$2:BG$501,$BJ297)="","",INDEX(原始資料!BG$2:BG$501,$BJ297)))</f>
        <v/>
      </c>
      <c r="BF297" s="6">
        <f>IF(OR($BJ297="",57&gt;設定!$B$3),"",IF(INDEX(原始資料!BH$2:BH$501,$BJ297)="","",INDEX(原始資料!BH$2:BH$501,$BJ297)))</f>
        <v/>
      </c>
      <c r="BG297" s="6">
        <f>IF(OR($BJ297="",58&gt;設定!$B$3),"",IF(INDEX(原始資料!BI$2:BI$501,$BJ297)="","",INDEX(原始資料!BI$2:BI$501,$BJ297)))</f>
        <v/>
      </c>
      <c r="BH297" s="6">
        <f>IF(OR($BJ297="",59&gt;設定!$B$3),"",IF(INDEX(原始資料!BJ$2:BJ$501,$BJ297)="","",INDEX(原始資料!BJ$2:BJ$501,$BJ297)))</f>
        <v/>
      </c>
      <c r="BI297" s="6">
        <f>IF(OR($BJ297="",60&gt;設定!$B$3),"",IF(INDEX(原始資料!BK$2:BK$501,$BJ297)="","",INDEX(原始資料!BK$2:BK$501,$BJ297)))</f>
        <v/>
      </c>
      <c r="BJ297" s="6">
        <f>IFERROR(MATCH(ROW()-1,判定!$H$2:$H$501,0),"")</f>
        <v/>
      </c>
    </row>
    <row r="298">
      <c r="A298" s="6">
        <f>IF($BJ298="","",INDEX(原始資料!$A$2:$A$501,$BJ298))</f>
        <v/>
      </c>
      <c r="B298" s="6">
        <f>IF(OR($BJ298="",1&gt;設定!$B$3),"",IF(INDEX(原始資料!D$2:D$501,$BJ298)="","",INDEX(原始資料!D$2:D$501,$BJ298)))</f>
        <v/>
      </c>
      <c r="C298" s="6">
        <f>IF(OR($BJ298="",2&gt;設定!$B$3),"",IF(INDEX(原始資料!E$2:E$501,$BJ298)="","",INDEX(原始資料!E$2:E$501,$BJ298)))</f>
        <v/>
      </c>
      <c r="D298" s="6">
        <f>IF(OR($BJ298="",3&gt;設定!$B$3),"",IF(INDEX(原始資料!F$2:F$501,$BJ298)="","",INDEX(原始資料!F$2:F$501,$BJ298)))</f>
        <v/>
      </c>
      <c r="E298" s="6">
        <f>IF(OR($BJ298="",4&gt;設定!$B$3),"",IF(INDEX(原始資料!G$2:G$501,$BJ298)="","",INDEX(原始資料!G$2:G$501,$BJ298)))</f>
        <v/>
      </c>
      <c r="F298" s="6">
        <f>IF(OR($BJ298="",5&gt;設定!$B$3),"",IF(INDEX(原始資料!H$2:H$501,$BJ298)="","",INDEX(原始資料!H$2:H$501,$BJ298)))</f>
        <v/>
      </c>
      <c r="G298" s="6">
        <f>IF(OR($BJ298="",6&gt;設定!$B$3),"",IF(INDEX(原始資料!I$2:I$501,$BJ298)="","",INDEX(原始資料!I$2:I$501,$BJ298)))</f>
        <v/>
      </c>
      <c r="H298" s="6">
        <f>IF(OR($BJ298="",7&gt;設定!$B$3),"",IF(INDEX(原始資料!J$2:J$501,$BJ298)="","",INDEX(原始資料!J$2:J$501,$BJ298)))</f>
        <v/>
      </c>
      <c r="I298" s="6">
        <f>IF(OR($BJ298="",8&gt;設定!$B$3),"",IF(INDEX(原始資料!K$2:K$501,$BJ298)="","",INDEX(原始資料!K$2:K$501,$BJ298)))</f>
        <v/>
      </c>
      <c r="J298" s="6">
        <f>IF(OR($BJ298="",9&gt;設定!$B$3),"",IF(INDEX(原始資料!L$2:L$501,$BJ298)="","",INDEX(原始資料!L$2:L$501,$BJ298)))</f>
        <v/>
      </c>
      <c r="K298" s="6">
        <f>IF(OR($BJ298="",10&gt;設定!$B$3),"",IF(INDEX(原始資料!M$2:M$501,$BJ298)="","",INDEX(原始資料!M$2:M$501,$BJ298)))</f>
        <v/>
      </c>
      <c r="L298" s="6">
        <f>IF(OR($BJ298="",11&gt;設定!$B$3),"",IF(INDEX(原始資料!N$2:N$501,$BJ298)="","",INDEX(原始資料!N$2:N$501,$BJ298)))</f>
        <v/>
      </c>
      <c r="M298" s="6">
        <f>IF(OR($BJ298="",12&gt;設定!$B$3),"",IF(INDEX(原始資料!O$2:O$501,$BJ298)="","",INDEX(原始資料!O$2:O$501,$BJ298)))</f>
        <v/>
      </c>
      <c r="N298" s="6">
        <f>IF(OR($BJ298="",13&gt;設定!$B$3),"",IF(INDEX(原始資料!P$2:P$501,$BJ298)="","",INDEX(原始資料!P$2:P$501,$BJ298)))</f>
        <v/>
      </c>
      <c r="O298" s="6">
        <f>IF(OR($BJ298="",14&gt;設定!$B$3),"",IF(INDEX(原始資料!Q$2:Q$501,$BJ298)="","",INDEX(原始資料!Q$2:Q$501,$BJ298)))</f>
        <v/>
      </c>
      <c r="P298" s="6">
        <f>IF(OR($BJ298="",15&gt;設定!$B$3),"",IF(INDEX(原始資料!R$2:R$501,$BJ298)="","",INDEX(原始資料!R$2:R$501,$BJ298)))</f>
        <v/>
      </c>
      <c r="Q298" s="6">
        <f>IF(OR($BJ298="",16&gt;設定!$B$3),"",IF(INDEX(原始資料!S$2:S$501,$BJ298)="","",INDEX(原始資料!S$2:S$501,$BJ298)))</f>
        <v/>
      </c>
      <c r="R298" s="6">
        <f>IF(OR($BJ298="",17&gt;設定!$B$3),"",IF(INDEX(原始資料!T$2:T$501,$BJ298)="","",INDEX(原始資料!T$2:T$501,$BJ298)))</f>
        <v/>
      </c>
      <c r="S298" s="6">
        <f>IF(OR($BJ298="",18&gt;設定!$B$3),"",IF(INDEX(原始資料!U$2:U$501,$BJ298)="","",INDEX(原始資料!U$2:U$501,$BJ298)))</f>
        <v/>
      </c>
      <c r="T298" s="6">
        <f>IF(OR($BJ298="",19&gt;設定!$B$3),"",IF(INDEX(原始資料!V$2:V$501,$BJ298)="","",INDEX(原始資料!V$2:V$501,$BJ298)))</f>
        <v/>
      </c>
      <c r="U298" s="6">
        <f>IF(OR($BJ298="",20&gt;設定!$B$3),"",IF(INDEX(原始資料!W$2:W$501,$BJ298)="","",INDEX(原始資料!W$2:W$501,$BJ298)))</f>
        <v/>
      </c>
      <c r="V298" s="6">
        <f>IF(OR($BJ298="",21&gt;設定!$B$3),"",IF(INDEX(原始資料!X$2:X$501,$BJ298)="","",INDEX(原始資料!X$2:X$501,$BJ298)))</f>
        <v/>
      </c>
      <c r="W298" s="6">
        <f>IF(OR($BJ298="",22&gt;設定!$B$3),"",IF(INDEX(原始資料!Y$2:Y$501,$BJ298)="","",INDEX(原始資料!Y$2:Y$501,$BJ298)))</f>
        <v/>
      </c>
      <c r="X298" s="6">
        <f>IF(OR($BJ298="",23&gt;設定!$B$3),"",IF(INDEX(原始資料!Z$2:Z$501,$BJ298)="","",INDEX(原始資料!Z$2:Z$501,$BJ298)))</f>
        <v/>
      </c>
      <c r="Y298" s="6">
        <f>IF(OR($BJ298="",24&gt;設定!$B$3),"",IF(INDEX(原始資料!AA$2:AA$501,$BJ298)="","",INDEX(原始資料!AA$2:AA$501,$BJ298)))</f>
        <v/>
      </c>
      <c r="Z298" s="6">
        <f>IF(OR($BJ298="",25&gt;設定!$B$3),"",IF(INDEX(原始資料!AB$2:AB$501,$BJ298)="","",INDEX(原始資料!AB$2:AB$501,$BJ298)))</f>
        <v/>
      </c>
      <c r="AA298" s="6">
        <f>IF(OR($BJ298="",26&gt;設定!$B$3),"",IF(INDEX(原始資料!AC$2:AC$501,$BJ298)="","",INDEX(原始資料!AC$2:AC$501,$BJ298)))</f>
        <v/>
      </c>
      <c r="AB298" s="6">
        <f>IF(OR($BJ298="",27&gt;設定!$B$3),"",IF(INDEX(原始資料!AD$2:AD$501,$BJ298)="","",INDEX(原始資料!AD$2:AD$501,$BJ298)))</f>
        <v/>
      </c>
      <c r="AC298" s="6">
        <f>IF(OR($BJ298="",28&gt;設定!$B$3),"",IF(INDEX(原始資料!AE$2:AE$501,$BJ298)="","",INDEX(原始資料!AE$2:AE$501,$BJ298)))</f>
        <v/>
      </c>
      <c r="AD298" s="6">
        <f>IF(OR($BJ298="",29&gt;設定!$B$3),"",IF(INDEX(原始資料!AF$2:AF$501,$BJ298)="","",INDEX(原始資料!AF$2:AF$501,$BJ298)))</f>
        <v/>
      </c>
      <c r="AE298" s="6">
        <f>IF(OR($BJ298="",30&gt;設定!$B$3),"",IF(INDEX(原始資料!AG$2:AG$501,$BJ298)="","",INDEX(原始資料!AG$2:AG$501,$BJ298)))</f>
        <v/>
      </c>
      <c r="AF298" s="6">
        <f>IF(OR($BJ298="",31&gt;設定!$B$3),"",IF(INDEX(原始資料!AH$2:AH$501,$BJ298)="","",INDEX(原始資料!AH$2:AH$501,$BJ298)))</f>
        <v/>
      </c>
      <c r="AG298" s="6">
        <f>IF(OR($BJ298="",32&gt;設定!$B$3),"",IF(INDEX(原始資料!AI$2:AI$501,$BJ298)="","",INDEX(原始資料!AI$2:AI$501,$BJ298)))</f>
        <v/>
      </c>
      <c r="AH298" s="6">
        <f>IF(OR($BJ298="",33&gt;設定!$B$3),"",IF(INDEX(原始資料!AJ$2:AJ$501,$BJ298)="","",INDEX(原始資料!AJ$2:AJ$501,$BJ298)))</f>
        <v/>
      </c>
      <c r="AI298" s="6">
        <f>IF(OR($BJ298="",34&gt;設定!$B$3),"",IF(INDEX(原始資料!AK$2:AK$501,$BJ298)="","",INDEX(原始資料!AK$2:AK$501,$BJ298)))</f>
        <v/>
      </c>
      <c r="AJ298" s="6">
        <f>IF(OR($BJ298="",35&gt;設定!$B$3),"",IF(INDEX(原始資料!AL$2:AL$501,$BJ298)="","",INDEX(原始資料!AL$2:AL$501,$BJ298)))</f>
        <v/>
      </c>
      <c r="AK298" s="6">
        <f>IF(OR($BJ298="",36&gt;設定!$B$3),"",IF(INDEX(原始資料!AM$2:AM$501,$BJ298)="","",INDEX(原始資料!AM$2:AM$501,$BJ298)))</f>
        <v/>
      </c>
      <c r="AL298" s="6">
        <f>IF(OR($BJ298="",37&gt;設定!$B$3),"",IF(INDEX(原始資料!AN$2:AN$501,$BJ298)="","",INDEX(原始資料!AN$2:AN$501,$BJ298)))</f>
        <v/>
      </c>
      <c r="AM298" s="6">
        <f>IF(OR($BJ298="",38&gt;設定!$B$3),"",IF(INDEX(原始資料!AO$2:AO$501,$BJ298)="","",INDEX(原始資料!AO$2:AO$501,$BJ298)))</f>
        <v/>
      </c>
      <c r="AN298" s="6">
        <f>IF(OR($BJ298="",39&gt;設定!$B$3),"",IF(INDEX(原始資料!AP$2:AP$501,$BJ298)="","",INDEX(原始資料!AP$2:AP$501,$BJ298)))</f>
        <v/>
      </c>
      <c r="AO298" s="6">
        <f>IF(OR($BJ298="",40&gt;設定!$B$3),"",IF(INDEX(原始資料!AQ$2:AQ$501,$BJ298)="","",INDEX(原始資料!AQ$2:AQ$501,$BJ298)))</f>
        <v/>
      </c>
      <c r="AP298" s="6">
        <f>IF(OR($BJ298="",41&gt;設定!$B$3),"",IF(INDEX(原始資料!AR$2:AR$501,$BJ298)="","",INDEX(原始資料!AR$2:AR$501,$BJ298)))</f>
        <v/>
      </c>
      <c r="AQ298" s="6">
        <f>IF(OR($BJ298="",42&gt;設定!$B$3),"",IF(INDEX(原始資料!AS$2:AS$501,$BJ298)="","",INDEX(原始資料!AS$2:AS$501,$BJ298)))</f>
        <v/>
      </c>
      <c r="AR298" s="6">
        <f>IF(OR($BJ298="",43&gt;設定!$B$3),"",IF(INDEX(原始資料!AT$2:AT$501,$BJ298)="","",INDEX(原始資料!AT$2:AT$501,$BJ298)))</f>
        <v/>
      </c>
      <c r="AS298" s="6">
        <f>IF(OR($BJ298="",44&gt;設定!$B$3),"",IF(INDEX(原始資料!AU$2:AU$501,$BJ298)="","",INDEX(原始資料!AU$2:AU$501,$BJ298)))</f>
        <v/>
      </c>
      <c r="AT298" s="6">
        <f>IF(OR($BJ298="",45&gt;設定!$B$3),"",IF(INDEX(原始資料!AV$2:AV$501,$BJ298)="","",INDEX(原始資料!AV$2:AV$501,$BJ298)))</f>
        <v/>
      </c>
      <c r="AU298" s="6">
        <f>IF(OR($BJ298="",46&gt;設定!$B$3),"",IF(INDEX(原始資料!AW$2:AW$501,$BJ298)="","",INDEX(原始資料!AW$2:AW$501,$BJ298)))</f>
        <v/>
      </c>
      <c r="AV298" s="6">
        <f>IF(OR($BJ298="",47&gt;設定!$B$3),"",IF(INDEX(原始資料!AX$2:AX$501,$BJ298)="","",INDEX(原始資料!AX$2:AX$501,$BJ298)))</f>
        <v/>
      </c>
      <c r="AW298" s="6">
        <f>IF(OR($BJ298="",48&gt;設定!$B$3),"",IF(INDEX(原始資料!AY$2:AY$501,$BJ298)="","",INDEX(原始資料!AY$2:AY$501,$BJ298)))</f>
        <v/>
      </c>
      <c r="AX298" s="6">
        <f>IF(OR($BJ298="",49&gt;設定!$B$3),"",IF(INDEX(原始資料!AZ$2:AZ$501,$BJ298)="","",INDEX(原始資料!AZ$2:AZ$501,$BJ298)))</f>
        <v/>
      </c>
      <c r="AY298" s="6">
        <f>IF(OR($BJ298="",50&gt;設定!$B$3),"",IF(INDEX(原始資料!BA$2:BA$501,$BJ298)="","",INDEX(原始資料!BA$2:BA$501,$BJ298)))</f>
        <v/>
      </c>
      <c r="AZ298" s="6">
        <f>IF(OR($BJ298="",51&gt;設定!$B$3),"",IF(INDEX(原始資料!BB$2:BB$501,$BJ298)="","",INDEX(原始資料!BB$2:BB$501,$BJ298)))</f>
        <v/>
      </c>
      <c r="BA298" s="6">
        <f>IF(OR($BJ298="",52&gt;設定!$B$3),"",IF(INDEX(原始資料!BC$2:BC$501,$BJ298)="","",INDEX(原始資料!BC$2:BC$501,$BJ298)))</f>
        <v/>
      </c>
      <c r="BB298" s="6">
        <f>IF(OR($BJ298="",53&gt;設定!$B$3),"",IF(INDEX(原始資料!BD$2:BD$501,$BJ298)="","",INDEX(原始資料!BD$2:BD$501,$BJ298)))</f>
        <v/>
      </c>
      <c r="BC298" s="6">
        <f>IF(OR($BJ298="",54&gt;設定!$B$3),"",IF(INDEX(原始資料!BE$2:BE$501,$BJ298)="","",INDEX(原始資料!BE$2:BE$501,$BJ298)))</f>
        <v/>
      </c>
      <c r="BD298" s="6">
        <f>IF(OR($BJ298="",55&gt;設定!$B$3),"",IF(INDEX(原始資料!BF$2:BF$501,$BJ298)="","",INDEX(原始資料!BF$2:BF$501,$BJ298)))</f>
        <v/>
      </c>
      <c r="BE298" s="6">
        <f>IF(OR($BJ298="",56&gt;設定!$B$3),"",IF(INDEX(原始資料!BG$2:BG$501,$BJ298)="","",INDEX(原始資料!BG$2:BG$501,$BJ298)))</f>
        <v/>
      </c>
      <c r="BF298" s="6">
        <f>IF(OR($BJ298="",57&gt;設定!$B$3),"",IF(INDEX(原始資料!BH$2:BH$501,$BJ298)="","",INDEX(原始資料!BH$2:BH$501,$BJ298)))</f>
        <v/>
      </c>
      <c r="BG298" s="6">
        <f>IF(OR($BJ298="",58&gt;設定!$B$3),"",IF(INDEX(原始資料!BI$2:BI$501,$BJ298)="","",INDEX(原始資料!BI$2:BI$501,$BJ298)))</f>
        <v/>
      </c>
      <c r="BH298" s="6">
        <f>IF(OR($BJ298="",59&gt;設定!$B$3),"",IF(INDEX(原始資料!BJ$2:BJ$501,$BJ298)="","",INDEX(原始資料!BJ$2:BJ$501,$BJ298)))</f>
        <v/>
      </c>
      <c r="BI298" s="6">
        <f>IF(OR($BJ298="",60&gt;設定!$B$3),"",IF(INDEX(原始資料!BK$2:BK$501,$BJ298)="","",INDEX(原始資料!BK$2:BK$501,$BJ298)))</f>
        <v/>
      </c>
      <c r="BJ298" s="6">
        <f>IFERROR(MATCH(ROW()-1,判定!$H$2:$H$501,0),"")</f>
        <v/>
      </c>
    </row>
    <row r="299">
      <c r="A299" s="6">
        <f>IF($BJ299="","",INDEX(原始資料!$A$2:$A$501,$BJ299))</f>
        <v/>
      </c>
      <c r="B299" s="6">
        <f>IF(OR($BJ299="",1&gt;設定!$B$3),"",IF(INDEX(原始資料!D$2:D$501,$BJ299)="","",INDEX(原始資料!D$2:D$501,$BJ299)))</f>
        <v/>
      </c>
      <c r="C299" s="6">
        <f>IF(OR($BJ299="",2&gt;設定!$B$3),"",IF(INDEX(原始資料!E$2:E$501,$BJ299)="","",INDEX(原始資料!E$2:E$501,$BJ299)))</f>
        <v/>
      </c>
      <c r="D299" s="6">
        <f>IF(OR($BJ299="",3&gt;設定!$B$3),"",IF(INDEX(原始資料!F$2:F$501,$BJ299)="","",INDEX(原始資料!F$2:F$501,$BJ299)))</f>
        <v/>
      </c>
      <c r="E299" s="6">
        <f>IF(OR($BJ299="",4&gt;設定!$B$3),"",IF(INDEX(原始資料!G$2:G$501,$BJ299)="","",INDEX(原始資料!G$2:G$501,$BJ299)))</f>
        <v/>
      </c>
      <c r="F299" s="6">
        <f>IF(OR($BJ299="",5&gt;設定!$B$3),"",IF(INDEX(原始資料!H$2:H$501,$BJ299)="","",INDEX(原始資料!H$2:H$501,$BJ299)))</f>
        <v/>
      </c>
      <c r="G299" s="6">
        <f>IF(OR($BJ299="",6&gt;設定!$B$3),"",IF(INDEX(原始資料!I$2:I$501,$BJ299)="","",INDEX(原始資料!I$2:I$501,$BJ299)))</f>
        <v/>
      </c>
      <c r="H299" s="6">
        <f>IF(OR($BJ299="",7&gt;設定!$B$3),"",IF(INDEX(原始資料!J$2:J$501,$BJ299)="","",INDEX(原始資料!J$2:J$501,$BJ299)))</f>
        <v/>
      </c>
      <c r="I299" s="6">
        <f>IF(OR($BJ299="",8&gt;設定!$B$3),"",IF(INDEX(原始資料!K$2:K$501,$BJ299)="","",INDEX(原始資料!K$2:K$501,$BJ299)))</f>
        <v/>
      </c>
      <c r="J299" s="6">
        <f>IF(OR($BJ299="",9&gt;設定!$B$3),"",IF(INDEX(原始資料!L$2:L$501,$BJ299)="","",INDEX(原始資料!L$2:L$501,$BJ299)))</f>
        <v/>
      </c>
      <c r="K299" s="6">
        <f>IF(OR($BJ299="",10&gt;設定!$B$3),"",IF(INDEX(原始資料!M$2:M$501,$BJ299)="","",INDEX(原始資料!M$2:M$501,$BJ299)))</f>
        <v/>
      </c>
      <c r="L299" s="6">
        <f>IF(OR($BJ299="",11&gt;設定!$B$3),"",IF(INDEX(原始資料!N$2:N$501,$BJ299)="","",INDEX(原始資料!N$2:N$501,$BJ299)))</f>
        <v/>
      </c>
      <c r="M299" s="6">
        <f>IF(OR($BJ299="",12&gt;設定!$B$3),"",IF(INDEX(原始資料!O$2:O$501,$BJ299)="","",INDEX(原始資料!O$2:O$501,$BJ299)))</f>
        <v/>
      </c>
      <c r="N299" s="6">
        <f>IF(OR($BJ299="",13&gt;設定!$B$3),"",IF(INDEX(原始資料!P$2:P$501,$BJ299)="","",INDEX(原始資料!P$2:P$501,$BJ299)))</f>
        <v/>
      </c>
      <c r="O299" s="6">
        <f>IF(OR($BJ299="",14&gt;設定!$B$3),"",IF(INDEX(原始資料!Q$2:Q$501,$BJ299)="","",INDEX(原始資料!Q$2:Q$501,$BJ299)))</f>
        <v/>
      </c>
      <c r="P299" s="6">
        <f>IF(OR($BJ299="",15&gt;設定!$B$3),"",IF(INDEX(原始資料!R$2:R$501,$BJ299)="","",INDEX(原始資料!R$2:R$501,$BJ299)))</f>
        <v/>
      </c>
      <c r="Q299" s="6">
        <f>IF(OR($BJ299="",16&gt;設定!$B$3),"",IF(INDEX(原始資料!S$2:S$501,$BJ299)="","",INDEX(原始資料!S$2:S$501,$BJ299)))</f>
        <v/>
      </c>
      <c r="R299" s="6">
        <f>IF(OR($BJ299="",17&gt;設定!$B$3),"",IF(INDEX(原始資料!T$2:T$501,$BJ299)="","",INDEX(原始資料!T$2:T$501,$BJ299)))</f>
        <v/>
      </c>
      <c r="S299" s="6">
        <f>IF(OR($BJ299="",18&gt;設定!$B$3),"",IF(INDEX(原始資料!U$2:U$501,$BJ299)="","",INDEX(原始資料!U$2:U$501,$BJ299)))</f>
        <v/>
      </c>
      <c r="T299" s="6">
        <f>IF(OR($BJ299="",19&gt;設定!$B$3),"",IF(INDEX(原始資料!V$2:V$501,$BJ299)="","",INDEX(原始資料!V$2:V$501,$BJ299)))</f>
        <v/>
      </c>
      <c r="U299" s="6">
        <f>IF(OR($BJ299="",20&gt;設定!$B$3),"",IF(INDEX(原始資料!W$2:W$501,$BJ299)="","",INDEX(原始資料!W$2:W$501,$BJ299)))</f>
        <v/>
      </c>
      <c r="V299" s="6">
        <f>IF(OR($BJ299="",21&gt;設定!$B$3),"",IF(INDEX(原始資料!X$2:X$501,$BJ299)="","",INDEX(原始資料!X$2:X$501,$BJ299)))</f>
        <v/>
      </c>
      <c r="W299" s="6">
        <f>IF(OR($BJ299="",22&gt;設定!$B$3),"",IF(INDEX(原始資料!Y$2:Y$501,$BJ299)="","",INDEX(原始資料!Y$2:Y$501,$BJ299)))</f>
        <v/>
      </c>
      <c r="X299" s="6">
        <f>IF(OR($BJ299="",23&gt;設定!$B$3),"",IF(INDEX(原始資料!Z$2:Z$501,$BJ299)="","",INDEX(原始資料!Z$2:Z$501,$BJ299)))</f>
        <v/>
      </c>
      <c r="Y299" s="6">
        <f>IF(OR($BJ299="",24&gt;設定!$B$3),"",IF(INDEX(原始資料!AA$2:AA$501,$BJ299)="","",INDEX(原始資料!AA$2:AA$501,$BJ299)))</f>
        <v/>
      </c>
      <c r="Z299" s="6">
        <f>IF(OR($BJ299="",25&gt;設定!$B$3),"",IF(INDEX(原始資料!AB$2:AB$501,$BJ299)="","",INDEX(原始資料!AB$2:AB$501,$BJ299)))</f>
        <v/>
      </c>
      <c r="AA299" s="6">
        <f>IF(OR($BJ299="",26&gt;設定!$B$3),"",IF(INDEX(原始資料!AC$2:AC$501,$BJ299)="","",INDEX(原始資料!AC$2:AC$501,$BJ299)))</f>
        <v/>
      </c>
      <c r="AB299" s="6">
        <f>IF(OR($BJ299="",27&gt;設定!$B$3),"",IF(INDEX(原始資料!AD$2:AD$501,$BJ299)="","",INDEX(原始資料!AD$2:AD$501,$BJ299)))</f>
        <v/>
      </c>
      <c r="AC299" s="6">
        <f>IF(OR($BJ299="",28&gt;設定!$B$3),"",IF(INDEX(原始資料!AE$2:AE$501,$BJ299)="","",INDEX(原始資料!AE$2:AE$501,$BJ299)))</f>
        <v/>
      </c>
      <c r="AD299" s="6">
        <f>IF(OR($BJ299="",29&gt;設定!$B$3),"",IF(INDEX(原始資料!AF$2:AF$501,$BJ299)="","",INDEX(原始資料!AF$2:AF$501,$BJ299)))</f>
        <v/>
      </c>
      <c r="AE299" s="6">
        <f>IF(OR($BJ299="",30&gt;設定!$B$3),"",IF(INDEX(原始資料!AG$2:AG$501,$BJ299)="","",INDEX(原始資料!AG$2:AG$501,$BJ299)))</f>
        <v/>
      </c>
      <c r="AF299" s="6">
        <f>IF(OR($BJ299="",31&gt;設定!$B$3),"",IF(INDEX(原始資料!AH$2:AH$501,$BJ299)="","",INDEX(原始資料!AH$2:AH$501,$BJ299)))</f>
        <v/>
      </c>
      <c r="AG299" s="6">
        <f>IF(OR($BJ299="",32&gt;設定!$B$3),"",IF(INDEX(原始資料!AI$2:AI$501,$BJ299)="","",INDEX(原始資料!AI$2:AI$501,$BJ299)))</f>
        <v/>
      </c>
      <c r="AH299" s="6">
        <f>IF(OR($BJ299="",33&gt;設定!$B$3),"",IF(INDEX(原始資料!AJ$2:AJ$501,$BJ299)="","",INDEX(原始資料!AJ$2:AJ$501,$BJ299)))</f>
        <v/>
      </c>
      <c r="AI299" s="6">
        <f>IF(OR($BJ299="",34&gt;設定!$B$3),"",IF(INDEX(原始資料!AK$2:AK$501,$BJ299)="","",INDEX(原始資料!AK$2:AK$501,$BJ299)))</f>
        <v/>
      </c>
      <c r="AJ299" s="6">
        <f>IF(OR($BJ299="",35&gt;設定!$B$3),"",IF(INDEX(原始資料!AL$2:AL$501,$BJ299)="","",INDEX(原始資料!AL$2:AL$501,$BJ299)))</f>
        <v/>
      </c>
      <c r="AK299" s="6">
        <f>IF(OR($BJ299="",36&gt;設定!$B$3),"",IF(INDEX(原始資料!AM$2:AM$501,$BJ299)="","",INDEX(原始資料!AM$2:AM$501,$BJ299)))</f>
        <v/>
      </c>
      <c r="AL299" s="6">
        <f>IF(OR($BJ299="",37&gt;設定!$B$3),"",IF(INDEX(原始資料!AN$2:AN$501,$BJ299)="","",INDEX(原始資料!AN$2:AN$501,$BJ299)))</f>
        <v/>
      </c>
      <c r="AM299" s="6">
        <f>IF(OR($BJ299="",38&gt;設定!$B$3),"",IF(INDEX(原始資料!AO$2:AO$501,$BJ299)="","",INDEX(原始資料!AO$2:AO$501,$BJ299)))</f>
        <v/>
      </c>
      <c r="AN299" s="6">
        <f>IF(OR($BJ299="",39&gt;設定!$B$3),"",IF(INDEX(原始資料!AP$2:AP$501,$BJ299)="","",INDEX(原始資料!AP$2:AP$501,$BJ299)))</f>
        <v/>
      </c>
      <c r="AO299" s="6">
        <f>IF(OR($BJ299="",40&gt;設定!$B$3),"",IF(INDEX(原始資料!AQ$2:AQ$501,$BJ299)="","",INDEX(原始資料!AQ$2:AQ$501,$BJ299)))</f>
        <v/>
      </c>
      <c r="AP299" s="6">
        <f>IF(OR($BJ299="",41&gt;設定!$B$3),"",IF(INDEX(原始資料!AR$2:AR$501,$BJ299)="","",INDEX(原始資料!AR$2:AR$501,$BJ299)))</f>
        <v/>
      </c>
      <c r="AQ299" s="6">
        <f>IF(OR($BJ299="",42&gt;設定!$B$3),"",IF(INDEX(原始資料!AS$2:AS$501,$BJ299)="","",INDEX(原始資料!AS$2:AS$501,$BJ299)))</f>
        <v/>
      </c>
      <c r="AR299" s="6">
        <f>IF(OR($BJ299="",43&gt;設定!$B$3),"",IF(INDEX(原始資料!AT$2:AT$501,$BJ299)="","",INDEX(原始資料!AT$2:AT$501,$BJ299)))</f>
        <v/>
      </c>
      <c r="AS299" s="6">
        <f>IF(OR($BJ299="",44&gt;設定!$B$3),"",IF(INDEX(原始資料!AU$2:AU$501,$BJ299)="","",INDEX(原始資料!AU$2:AU$501,$BJ299)))</f>
        <v/>
      </c>
      <c r="AT299" s="6">
        <f>IF(OR($BJ299="",45&gt;設定!$B$3),"",IF(INDEX(原始資料!AV$2:AV$501,$BJ299)="","",INDEX(原始資料!AV$2:AV$501,$BJ299)))</f>
        <v/>
      </c>
      <c r="AU299" s="6">
        <f>IF(OR($BJ299="",46&gt;設定!$B$3),"",IF(INDEX(原始資料!AW$2:AW$501,$BJ299)="","",INDEX(原始資料!AW$2:AW$501,$BJ299)))</f>
        <v/>
      </c>
      <c r="AV299" s="6">
        <f>IF(OR($BJ299="",47&gt;設定!$B$3),"",IF(INDEX(原始資料!AX$2:AX$501,$BJ299)="","",INDEX(原始資料!AX$2:AX$501,$BJ299)))</f>
        <v/>
      </c>
      <c r="AW299" s="6">
        <f>IF(OR($BJ299="",48&gt;設定!$B$3),"",IF(INDEX(原始資料!AY$2:AY$501,$BJ299)="","",INDEX(原始資料!AY$2:AY$501,$BJ299)))</f>
        <v/>
      </c>
      <c r="AX299" s="6">
        <f>IF(OR($BJ299="",49&gt;設定!$B$3),"",IF(INDEX(原始資料!AZ$2:AZ$501,$BJ299)="","",INDEX(原始資料!AZ$2:AZ$501,$BJ299)))</f>
        <v/>
      </c>
      <c r="AY299" s="6">
        <f>IF(OR($BJ299="",50&gt;設定!$B$3),"",IF(INDEX(原始資料!BA$2:BA$501,$BJ299)="","",INDEX(原始資料!BA$2:BA$501,$BJ299)))</f>
        <v/>
      </c>
      <c r="AZ299" s="6">
        <f>IF(OR($BJ299="",51&gt;設定!$B$3),"",IF(INDEX(原始資料!BB$2:BB$501,$BJ299)="","",INDEX(原始資料!BB$2:BB$501,$BJ299)))</f>
        <v/>
      </c>
      <c r="BA299" s="6">
        <f>IF(OR($BJ299="",52&gt;設定!$B$3),"",IF(INDEX(原始資料!BC$2:BC$501,$BJ299)="","",INDEX(原始資料!BC$2:BC$501,$BJ299)))</f>
        <v/>
      </c>
      <c r="BB299" s="6">
        <f>IF(OR($BJ299="",53&gt;設定!$B$3),"",IF(INDEX(原始資料!BD$2:BD$501,$BJ299)="","",INDEX(原始資料!BD$2:BD$501,$BJ299)))</f>
        <v/>
      </c>
      <c r="BC299" s="6">
        <f>IF(OR($BJ299="",54&gt;設定!$B$3),"",IF(INDEX(原始資料!BE$2:BE$501,$BJ299)="","",INDEX(原始資料!BE$2:BE$501,$BJ299)))</f>
        <v/>
      </c>
      <c r="BD299" s="6">
        <f>IF(OR($BJ299="",55&gt;設定!$B$3),"",IF(INDEX(原始資料!BF$2:BF$501,$BJ299)="","",INDEX(原始資料!BF$2:BF$501,$BJ299)))</f>
        <v/>
      </c>
      <c r="BE299" s="6">
        <f>IF(OR($BJ299="",56&gt;設定!$B$3),"",IF(INDEX(原始資料!BG$2:BG$501,$BJ299)="","",INDEX(原始資料!BG$2:BG$501,$BJ299)))</f>
        <v/>
      </c>
      <c r="BF299" s="6">
        <f>IF(OR($BJ299="",57&gt;設定!$B$3),"",IF(INDEX(原始資料!BH$2:BH$501,$BJ299)="","",INDEX(原始資料!BH$2:BH$501,$BJ299)))</f>
        <v/>
      </c>
      <c r="BG299" s="6">
        <f>IF(OR($BJ299="",58&gt;設定!$B$3),"",IF(INDEX(原始資料!BI$2:BI$501,$BJ299)="","",INDEX(原始資料!BI$2:BI$501,$BJ299)))</f>
        <v/>
      </c>
      <c r="BH299" s="6">
        <f>IF(OR($BJ299="",59&gt;設定!$B$3),"",IF(INDEX(原始資料!BJ$2:BJ$501,$BJ299)="","",INDEX(原始資料!BJ$2:BJ$501,$BJ299)))</f>
        <v/>
      </c>
      <c r="BI299" s="6">
        <f>IF(OR($BJ299="",60&gt;設定!$B$3),"",IF(INDEX(原始資料!BK$2:BK$501,$BJ299)="","",INDEX(原始資料!BK$2:BK$501,$BJ299)))</f>
        <v/>
      </c>
      <c r="BJ299" s="6">
        <f>IFERROR(MATCH(ROW()-1,判定!$H$2:$H$501,0),"")</f>
        <v/>
      </c>
    </row>
    <row r="300">
      <c r="A300" s="6">
        <f>IF($BJ300="","",INDEX(原始資料!$A$2:$A$501,$BJ300))</f>
        <v/>
      </c>
      <c r="B300" s="6">
        <f>IF(OR($BJ300="",1&gt;設定!$B$3),"",IF(INDEX(原始資料!D$2:D$501,$BJ300)="","",INDEX(原始資料!D$2:D$501,$BJ300)))</f>
        <v/>
      </c>
      <c r="C300" s="6">
        <f>IF(OR($BJ300="",2&gt;設定!$B$3),"",IF(INDEX(原始資料!E$2:E$501,$BJ300)="","",INDEX(原始資料!E$2:E$501,$BJ300)))</f>
        <v/>
      </c>
      <c r="D300" s="6">
        <f>IF(OR($BJ300="",3&gt;設定!$B$3),"",IF(INDEX(原始資料!F$2:F$501,$BJ300)="","",INDEX(原始資料!F$2:F$501,$BJ300)))</f>
        <v/>
      </c>
      <c r="E300" s="6">
        <f>IF(OR($BJ300="",4&gt;設定!$B$3),"",IF(INDEX(原始資料!G$2:G$501,$BJ300)="","",INDEX(原始資料!G$2:G$501,$BJ300)))</f>
        <v/>
      </c>
      <c r="F300" s="6">
        <f>IF(OR($BJ300="",5&gt;設定!$B$3),"",IF(INDEX(原始資料!H$2:H$501,$BJ300)="","",INDEX(原始資料!H$2:H$501,$BJ300)))</f>
        <v/>
      </c>
      <c r="G300" s="6">
        <f>IF(OR($BJ300="",6&gt;設定!$B$3),"",IF(INDEX(原始資料!I$2:I$501,$BJ300)="","",INDEX(原始資料!I$2:I$501,$BJ300)))</f>
        <v/>
      </c>
      <c r="H300" s="6">
        <f>IF(OR($BJ300="",7&gt;設定!$B$3),"",IF(INDEX(原始資料!J$2:J$501,$BJ300)="","",INDEX(原始資料!J$2:J$501,$BJ300)))</f>
        <v/>
      </c>
      <c r="I300" s="6">
        <f>IF(OR($BJ300="",8&gt;設定!$B$3),"",IF(INDEX(原始資料!K$2:K$501,$BJ300)="","",INDEX(原始資料!K$2:K$501,$BJ300)))</f>
        <v/>
      </c>
      <c r="J300" s="6">
        <f>IF(OR($BJ300="",9&gt;設定!$B$3),"",IF(INDEX(原始資料!L$2:L$501,$BJ300)="","",INDEX(原始資料!L$2:L$501,$BJ300)))</f>
        <v/>
      </c>
      <c r="K300" s="6">
        <f>IF(OR($BJ300="",10&gt;設定!$B$3),"",IF(INDEX(原始資料!M$2:M$501,$BJ300)="","",INDEX(原始資料!M$2:M$501,$BJ300)))</f>
        <v/>
      </c>
      <c r="L300" s="6">
        <f>IF(OR($BJ300="",11&gt;設定!$B$3),"",IF(INDEX(原始資料!N$2:N$501,$BJ300)="","",INDEX(原始資料!N$2:N$501,$BJ300)))</f>
        <v/>
      </c>
      <c r="M300" s="6">
        <f>IF(OR($BJ300="",12&gt;設定!$B$3),"",IF(INDEX(原始資料!O$2:O$501,$BJ300)="","",INDEX(原始資料!O$2:O$501,$BJ300)))</f>
        <v/>
      </c>
      <c r="N300" s="6">
        <f>IF(OR($BJ300="",13&gt;設定!$B$3),"",IF(INDEX(原始資料!P$2:P$501,$BJ300)="","",INDEX(原始資料!P$2:P$501,$BJ300)))</f>
        <v/>
      </c>
      <c r="O300" s="6">
        <f>IF(OR($BJ300="",14&gt;設定!$B$3),"",IF(INDEX(原始資料!Q$2:Q$501,$BJ300)="","",INDEX(原始資料!Q$2:Q$501,$BJ300)))</f>
        <v/>
      </c>
      <c r="P300" s="6">
        <f>IF(OR($BJ300="",15&gt;設定!$B$3),"",IF(INDEX(原始資料!R$2:R$501,$BJ300)="","",INDEX(原始資料!R$2:R$501,$BJ300)))</f>
        <v/>
      </c>
      <c r="Q300" s="6">
        <f>IF(OR($BJ300="",16&gt;設定!$B$3),"",IF(INDEX(原始資料!S$2:S$501,$BJ300)="","",INDEX(原始資料!S$2:S$501,$BJ300)))</f>
        <v/>
      </c>
      <c r="R300" s="6">
        <f>IF(OR($BJ300="",17&gt;設定!$B$3),"",IF(INDEX(原始資料!T$2:T$501,$BJ300)="","",INDEX(原始資料!T$2:T$501,$BJ300)))</f>
        <v/>
      </c>
      <c r="S300" s="6">
        <f>IF(OR($BJ300="",18&gt;設定!$B$3),"",IF(INDEX(原始資料!U$2:U$501,$BJ300)="","",INDEX(原始資料!U$2:U$501,$BJ300)))</f>
        <v/>
      </c>
      <c r="T300" s="6">
        <f>IF(OR($BJ300="",19&gt;設定!$B$3),"",IF(INDEX(原始資料!V$2:V$501,$BJ300)="","",INDEX(原始資料!V$2:V$501,$BJ300)))</f>
        <v/>
      </c>
      <c r="U300" s="6">
        <f>IF(OR($BJ300="",20&gt;設定!$B$3),"",IF(INDEX(原始資料!W$2:W$501,$BJ300)="","",INDEX(原始資料!W$2:W$501,$BJ300)))</f>
        <v/>
      </c>
      <c r="V300" s="6">
        <f>IF(OR($BJ300="",21&gt;設定!$B$3),"",IF(INDEX(原始資料!X$2:X$501,$BJ300)="","",INDEX(原始資料!X$2:X$501,$BJ300)))</f>
        <v/>
      </c>
      <c r="W300" s="6">
        <f>IF(OR($BJ300="",22&gt;設定!$B$3),"",IF(INDEX(原始資料!Y$2:Y$501,$BJ300)="","",INDEX(原始資料!Y$2:Y$501,$BJ300)))</f>
        <v/>
      </c>
      <c r="X300" s="6">
        <f>IF(OR($BJ300="",23&gt;設定!$B$3),"",IF(INDEX(原始資料!Z$2:Z$501,$BJ300)="","",INDEX(原始資料!Z$2:Z$501,$BJ300)))</f>
        <v/>
      </c>
      <c r="Y300" s="6">
        <f>IF(OR($BJ300="",24&gt;設定!$B$3),"",IF(INDEX(原始資料!AA$2:AA$501,$BJ300)="","",INDEX(原始資料!AA$2:AA$501,$BJ300)))</f>
        <v/>
      </c>
      <c r="Z300" s="6">
        <f>IF(OR($BJ300="",25&gt;設定!$B$3),"",IF(INDEX(原始資料!AB$2:AB$501,$BJ300)="","",INDEX(原始資料!AB$2:AB$501,$BJ300)))</f>
        <v/>
      </c>
      <c r="AA300" s="6">
        <f>IF(OR($BJ300="",26&gt;設定!$B$3),"",IF(INDEX(原始資料!AC$2:AC$501,$BJ300)="","",INDEX(原始資料!AC$2:AC$501,$BJ300)))</f>
        <v/>
      </c>
      <c r="AB300" s="6">
        <f>IF(OR($BJ300="",27&gt;設定!$B$3),"",IF(INDEX(原始資料!AD$2:AD$501,$BJ300)="","",INDEX(原始資料!AD$2:AD$501,$BJ300)))</f>
        <v/>
      </c>
      <c r="AC300" s="6">
        <f>IF(OR($BJ300="",28&gt;設定!$B$3),"",IF(INDEX(原始資料!AE$2:AE$501,$BJ300)="","",INDEX(原始資料!AE$2:AE$501,$BJ300)))</f>
        <v/>
      </c>
      <c r="AD300" s="6">
        <f>IF(OR($BJ300="",29&gt;設定!$B$3),"",IF(INDEX(原始資料!AF$2:AF$501,$BJ300)="","",INDEX(原始資料!AF$2:AF$501,$BJ300)))</f>
        <v/>
      </c>
      <c r="AE300" s="6">
        <f>IF(OR($BJ300="",30&gt;設定!$B$3),"",IF(INDEX(原始資料!AG$2:AG$501,$BJ300)="","",INDEX(原始資料!AG$2:AG$501,$BJ300)))</f>
        <v/>
      </c>
      <c r="AF300" s="6">
        <f>IF(OR($BJ300="",31&gt;設定!$B$3),"",IF(INDEX(原始資料!AH$2:AH$501,$BJ300)="","",INDEX(原始資料!AH$2:AH$501,$BJ300)))</f>
        <v/>
      </c>
      <c r="AG300" s="6">
        <f>IF(OR($BJ300="",32&gt;設定!$B$3),"",IF(INDEX(原始資料!AI$2:AI$501,$BJ300)="","",INDEX(原始資料!AI$2:AI$501,$BJ300)))</f>
        <v/>
      </c>
      <c r="AH300" s="6">
        <f>IF(OR($BJ300="",33&gt;設定!$B$3),"",IF(INDEX(原始資料!AJ$2:AJ$501,$BJ300)="","",INDEX(原始資料!AJ$2:AJ$501,$BJ300)))</f>
        <v/>
      </c>
      <c r="AI300" s="6">
        <f>IF(OR($BJ300="",34&gt;設定!$B$3),"",IF(INDEX(原始資料!AK$2:AK$501,$BJ300)="","",INDEX(原始資料!AK$2:AK$501,$BJ300)))</f>
        <v/>
      </c>
      <c r="AJ300" s="6">
        <f>IF(OR($BJ300="",35&gt;設定!$B$3),"",IF(INDEX(原始資料!AL$2:AL$501,$BJ300)="","",INDEX(原始資料!AL$2:AL$501,$BJ300)))</f>
        <v/>
      </c>
      <c r="AK300" s="6">
        <f>IF(OR($BJ300="",36&gt;設定!$B$3),"",IF(INDEX(原始資料!AM$2:AM$501,$BJ300)="","",INDEX(原始資料!AM$2:AM$501,$BJ300)))</f>
        <v/>
      </c>
      <c r="AL300" s="6">
        <f>IF(OR($BJ300="",37&gt;設定!$B$3),"",IF(INDEX(原始資料!AN$2:AN$501,$BJ300)="","",INDEX(原始資料!AN$2:AN$501,$BJ300)))</f>
        <v/>
      </c>
      <c r="AM300" s="6">
        <f>IF(OR($BJ300="",38&gt;設定!$B$3),"",IF(INDEX(原始資料!AO$2:AO$501,$BJ300)="","",INDEX(原始資料!AO$2:AO$501,$BJ300)))</f>
        <v/>
      </c>
      <c r="AN300" s="6">
        <f>IF(OR($BJ300="",39&gt;設定!$B$3),"",IF(INDEX(原始資料!AP$2:AP$501,$BJ300)="","",INDEX(原始資料!AP$2:AP$501,$BJ300)))</f>
        <v/>
      </c>
      <c r="AO300" s="6">
        <f>IF(OR($BJ300="",40&gt;設定!$B$3),"",IF(INDEX(原始資料!AQ$2:AQ$501,$BJ300)="","",INDEX(原始資料!AQ$2:AQ$501,$BJ300)))</f>
        <v/>
      </c>
      <c r="AP300" s="6">
        <f>IF(OR($BJ300="",41&gt;設定!$B$3),"",IF(INDEX(原始資料!AR$2:AR$501,$BJ300)="","",INDEX(原始資料!AR$2:AR$501,$BJ300)))</f>
        <v/>
      </c>
      <c r="AQ300" s="6">
        <f>IF(OR($BJ300="",42&gt;設定!$B$3),"",IF(INDEX(原始資料!AS$2:AS$501,$BJ300)="","",INDEX(原始資料!AS$2:AS$501,$BJ300)))</f>
        <v/>
      </c>
      <c r="AR300" s="6">
        <f>IF(OR($BJ300="",43&gt;設定!$B$3),"",IF(INDEX(原始資料!AT$2:AT$501,$BJ300)="","",INDEX(原始資料!AT$2:AT$501,$BJ300)))</f>
        <v/>
      </c>
      <c r="AS300" s="6">
        <f>IF(OR($BJ300="",44&gt;設定!$B$3),"",IF(INDEX(原始資料!AU$2:AU$501,$BJ300)="","",INDEX(原始資料!AU$2:AU$501,$BJ300)))</f>
        <v/>
      </c>
      <c r="AT300" s="6">
        <f>IF(OR($BJ300="",45&gt;設定!$B$3),"",IF(INDEX(原始資料!AV$2:AV$501,$BJ300)="","",INDEX(原始資料!AV$2:AV$501,$BJ300)))</f>
        <v/>
      </c>
      <c r="AU300" s="6">
        <f>IF(OR($BJ300="",46&gt;設定!$B$3),"",IF(INDEX(原始資料!AW$2:AW$501,$BJ300)="","",INDEX(原始資料!AW$2:AW$501,$BJ300)))</f>
        <v/>
      </c>
      <c r="AV300" s="6">
        <f>IF(OR($BJ300="",47&gt;設定!$B$3),"",IF(INDEX(原始資料!AX$2:AX$501,$BJ300)="","",INDEX(原始資料!AX$2:AX$501,$BJ300)))</f>
        <v/>
      </c>
      <c r="AW300" s="6">
        <f>IF(OR($BJ300="",48&gt;設定!$B$3),"",IF(INDEX(原始資料!AY$2:AY$501,$BJ300)="","",INDEX(原始資料!AY$2:AY$501,$BJ300)))</f>
        <v/>
      </c>
      <c r="AX300" s="6">
        <f>IF(OR($BJ300="",49&gt;設定!$B$3),"",IF(INDEX(原始資料!AZ$2:AZ$501,$BJ300)="","",INDEX(原始資料!AZ$2:AZ$501,$BJ300)))</f>
        <v/>
      </c>
      <c r="AY300" s="6">
        <f>IF(OR($BJ300="",50&gt;設定!$B$3),"",IF(INDEX(原始資料!BA$2:BA$501,$BJ300)="","",INDEX(原始資料!BA$2:BA$501,$BJ300)))</f>
        <v/>
      </c>
      <c r="AZ300" s="6">
        <f>IF(OR($BJ300="",51&gt;設定!$B$3),"",IF(INDEX(原始資料!BB$2:BB$501,$BJ300)="","",INDEX(原始資料!BB$2:BB$501,$BJ300)))</f>
        <v/>
      </c>
      <c r="BA300" s="6">
        <f>IF(OR($BJ300="",52&gt;設定!$B$3),"",IF(INDEX(原始資料!BC$2:BC$501,$BJ300)="","",INDEX(原始資料!BC$2:BC$501,$BJ300)))</f>
        <v/>
      </c>
      <c r="BB300" s="6">
        <f>IF(OR($BJ300="",53&gt;設定!$B$3),"",IF(INDEX(原始資料!BD$2:BD$501,$BJ300)="","",INDEX(原始資料!BD$2:BD$501,$BJ300)))</f>
        <v/>
      </c>
      <c r="BC300" s="6">
        <f>IF(OR($BJ300="",54&gt;設定!$B$3),"",IF(INDEX(原始資料!BE$2:BE$501,$BJ300)="","",INDEX(原始資料!BE$2:BE$501,$BJ300)))</f>
        <v/>
      </c>
      <c r="BD300" s="6">
        <f>IF(OR($BJ300="",55&gt;設定!$B$3),"",IF(INDEX(原始資料!BF$2:BF$501,$BJ300)="","",INDEX(原始資料!BF$2:BF$501,$BJ300)))</f>
        <v/>
      </c>
      <c r="BE300" s="6">
        <f>IF(OR($BJ300="",56&gt;設定!$B$3),"",IF(INDEX(原始資料!BG$2:BG$501,$BJ300)="","",INDEX(原始資料!BG$2:BG$501,$BJ300)))</f>
        <v/>
      </c>
      <c r="BF300" s="6">
        <f>IF(OR($BJ300="",57&gt;設定!$B$3),"",IF(INDEX(原始資料!BH$2:BH$501,$BJ300)="","",INDEX(原始資料!BH$2:BH$501,$BJ300)))</f>
        <v/>
      </c>
      <c r="BG300" s="6">
        <f>IF(OR($BJ300="",58&gt;設定!$B$3),"",IF(INDEX(原始資料!BI$2:BI$501,$BJ300)="","",INDEX(原始資料!BI$2:BI$501,$BJ300)))</f>
        <v/>
      </c>
      <c r="BH300" s="6">
        <f>IF(OR($BJ300="",59&gt;設定!$B$3),"",IF(INDEX(原始資料!BJ$2:BJ$501,$BJ300)="","",INDEX(原始資料!BJ$2:BJ$501,$BJ300)))</f>
        <v/>
      </c>
      <c r="BI300" s="6">
        <f>IF(OR($BJ300="",60&gt;設定!$B$3),"",IF(INDEX(原始資料!BK$2:BK$501,$BJ300)="","",INDEX(原始資料!BK$2:BK$501,$BJ300)))</f>
        <v/>
      </c>
      <c r="BJ300" s="6">
        <f>IFERROR(MATCH(ROW()-1,判定!$H$2:$H$501,0),"")</f>
        <v/>
      </c>
    </row>
    <row r="301">
      <c r="A301" s="6">
        <f>IF($BJ301="","",INDEX(原始資料!$A$2:$A$501,$BJ301))</f>
        <v/>
      </c>
      <c r="B301" s="6">
        <f>IF(OR($BJ301="",1&gt;設定!$B$3),"",IF(INDEX(原始資料!D$2:D$501,$BJ301)="","",INDEX(原始資料!D$2:D$501,$BJ301)))</f>
        <v/>
      </c>
      <c r="C301" s="6">
        <f>IF(OR($BJ301="",2&gt;設定!$B$3),"",IF(INDEX(原始資料!E$2:E$501,$BJ301)="","",INDEX(原始資料!E$2:E$501,$BJ301)))</f>
        <v/>
      </c>
      <c r="D301" s="6">
        <f>IF(OR($BJ301="",3&gt;設定!$B$3),"",IF(INDEX(原始資料!F$2:F$501,$BJ301)="","",INDEX(原始資料!F$2:F$501,$BJ301)))</f>
        <v/>
      </c>
      <c r="E301" s="6">
        <f>IF(OR($BJ301="",4&gt;設定!$B$3),"",IF(INDEX(原始資料!G$2:G$501,$BJ301)="","",INDEX(原始資料!G$2:G$501,$BJ301)))</f>
        <v/>
      </c>
      <c r="F301" s="6">
        <f>IF(OR($BJ301="",5&gt;設定!$B$3),"",IF(INDEX(原始資料!H$2:H$501,$BJ301)="","",INDEX(原始資料!H$2:H$501,$BJ301)))</f>
        <v/>
      </c>
      <c r="G301" s="6">
        <f>IF(OR($BJ301="",6&gt;設定!$B$3),"",IF(INDEX(原始資料!I$2:I$501,$BJ301)="","",INDEX(原始資料!I$2:I$501,$BJ301)))</f>
        <v/>
      </c>
      <c r="H301" s="6">
        <f>IF(OR($BJ301="",7&gt;設定!$B$3),"",IF(INDEX(原始資料!J$2:J$501,$BJ301)="","",INDEX(原始資料!J$2:J$501,$BJ301)))</f>
        <v/>
      </c>
      <c r="I301" s="6">
        <f>IF(OR($BJ301="",8&gt;設定!$B$3),"",IF(INDEX(原始資料!K$2:K$501,$BJ301)="","",INDEX(原始資料!K$2:K$501,$BJ301)))</f>
        <v/>
      </c>
      <c r="J301" s="6">
        <f>IF(OR($BJ301="",9&gt;設定!$B$3),"",IF(INDEX(原始資料!L$2:L$501,$BJ301)="","",INDEX(原始資料!L$2:L$501,$BJ301)))</f>
        <v/>
      </c>
      <c r="K301" s="6">
        <f>IF(OR($BJ301="",10&gt;設定!$B$3),"",IF(INDEX(原始資料!M$2:M$501,$BJ301)="","",INDEX(原始資料!M$2:M$501,$BJ301)))</f>
        <v/>
      </c>
      <c r="L301" s="6">
        <f>IF(OR($BJ301="",11&gt;設定!$B$3),"",IF(INDEX(原始資料!N$2:N$501,$BJ301)="","",INDEX(原始資料!N$2:N$501,$BJ301)))</f>
        <v/>
      </c>
      <c r="M301" s="6">
        <f>IF(OR($BJ301="",12&gt;設定!$B$3),"",IF(INDEX(原始資料!O$2:O$501,$BJ301)="","",INDEX(原始資料!O$2:O$501,$BJ301)))</f>
        <v/>
      </c>
      <c r="N301" s="6">
        <f>IF(OR($BJ301="",13&gt;設定!$B$3),"",IF(INDEX(原始資料!P$2:P$501,$BJ301)="","",INDEX(原始資料!P$2:P$501,$BJ301)))</f>
        <v/>
      </c>
      <c r="O301" s="6">
        <f>IF(OR($BJ301="",14&gt;設定!$B$3),"",IF(INDEX(原始資料!Q$2:Q$501,$BJ301)="","",INDEX(原始資料!Q$2:Q$501,$BJ301)))</f>
        <v/>
      </c>
      <c r="P301" s="6">
        <f>IF(OR($BJ301="",15&gt;設定!$B$3),"",IF(INDEX(原始資料!R$2:R$501,$BJ301)="","",INDEX(原始資料!R$2:R$501,$BJ301)))</f>
        <v/>
      </c>
      <c r="Q301" s="6">
        <f>IF(OR($BJ301="",16&gt;設定!$B$3),"",IF(INDEX(原始資料!S$2:S$501,$BJ301)="","",INDEX(原始資料!S$2:S$501,$BJ301)))</f>
        <v/>
      </c>
      <c r="R301" s="6">
        <f>IF(OR($BJ301="",17&gt;設定!$B$3),"",IF(INDEX(原始資料!T$2:T$501,$BJ301)="","",INDEX(原始資料!T$2:T$501,$BJ301)))</f>
        <v/>
      </c>
      <c r="S301" s="6">
        <f>IF(OR($BJ301="",18&gt;設定!$B$3),"",IF(INDEX(原始資料!U$2:U$501,$BJ301)="","",INDEX(原始資料!U$2:U$501,$BJ301)))</f>
        <v/>
      </c>
      <c r="T301" s="6">
        <f>IF(OR($BJ301="",19&gt;設定!$B$3),"",IF(INDEX(原始資料!V$2:V$501,$BJ301)="","",INDEX(原始資料!V$2:V$501,$BJ301)))</f>
        <v/>
      </c>
      <c r="U301" s="6">
        <f>IF(OR($BJ301="",20&gt;設定!$B$3),"",IF(INDEX(原始資料!W$2:W$501,$BJ301)="","",INDEX(原始資料!W$2:W$501,$BJ301)))</f>
        <v/>
      </c>
      <c r="V301" s="6">
        <f>IF(OR($BJ301="",21&gt;設定!$B$3),"",IF(INDEX(原始資料!X$2:X$501,$BJ301)="","",INDEX(原始資料!X$2:X$501,$BJ301)))</f>
        <v/>
      </c>
      <c r="W301" s="6">
        <f>IF(OR($BJ301="",22&gt;設定!$B$3),"",IF(INDEX(原始資料!Y$2:Y$501,$BJ301)="","",INDEX(原始資料!Y$2:Y$501,$BJ301)))</f>
        <v/>
      </c>
      <c r="X301" s="6">
        <f>IF(OR($BJ301="",23&gt;設定!$B$3),"",IF(INDEX(原始資料!Z$2:Z$501,$BJ301)="","",INDEX(原始資料!Z$2:Z$501,$BJ301)))</f>
        <v/>
      </c>
      <c r="Y301" s="6">
        <f>IF(OR($BJ301="",24&gt;設定!$B$3),"",IF(INDEX(原始資料!AA$2:AA$501,$BJ301)="","",INDEX(原始資料!AA$2:AA$501,$BJ301)))</f>
        <v/>
      </c>
      <c r="Z301" s="6">
        <f>IF(OR($BJ301="",25&gt;設定!$B$3),"",IF(INDEX(原始資料!AB$2:AB$501,$BJ301)="","",INDEX(原始資料!AB$2:AB$501,$BJ301)))</f>
        <v/>
      </c>
      <c r="AA301" s="6">
        <f>IF(OR($BJ301="",26&gt;設定!$B$3),"",IF(INDEX(原始資料!AC$2:AC$501,$BJ301)="","",INDEX(原始資料!AC$2:AC$501,$BJ301)))</f>
        <v/>
      </c>
      <c r="AB301" s="6">
        <f>IF(OR($BJ301="",27&gt;設定!$B$3),"",IF(INDEX(原始資料!AD$2:AD$501,$BJ301)="","",INDEX(原始資料!AD$2:AD$501,$BJ301)))</f>
        <v/>
      </c>
      <c r="AC301" s="6">
        <f>IF(OR($BJ301="",28&gt;設定!$B$3),"",IF(INDEX(原始資料!AE$2:AE$501,$BJ301)="","",INDEX(原始資料!AE$2:AE$501,$BJ301)))</f>
        <v/>
      </c>
      <c r="AD301" s="6">
        <f>IF(OR($BJ301="",29&gt;設定!$B$3),"",IF(INDEX(原始資料!AF$2:AF$501,$BJ301)="","",INDEX(原始資料!AF$2:AF$501,$BJ301)))</f>
        <v/>
      </c>
      <c r="AE301" s="6">
        <f>IF(OR($BJ301="",30&gt;設定!$B$3),"",IF(INDEX(原始資料!AG$2:AG$501,$BJ301)="","",INDEX(原始資料!AG$2:AG$501,$BJ301)))</f>
        <v/>
      </c>
      <c r="AF301" s="6">
        <f>IF(OR($BJ301="",31&gt;設定!$B$3),"",IF(INDEX(原始資料!AH$2:AH$501,$BJ301)="","",INDEX(原始資料!AH$2:AH$501,$BJ301)))</f>
        <v/>
      </c>
      <c r="AG301" s="6">
        <f>IF(OR($BJ301="",32&gt;設定!$B$3),"",IF(INDEX(原始資料!AI$2:AI$501,$BJ301)="","",INDEX(原始資料!AI$2:AI$501,$BJ301)))</f>
        <v/>
      </c>
      <c r="AH301" s="6">
        <f>IF(OR($BJ301="",33&gt;設定!$B$3),"",IF(INDEX(原始資料!AJ$2:AJ$501,$BJ301)="","",INDEX(原始資料!AJ$2:AJ$501,$BJ301)))</f>
        <v/>
      </c>
      <c r="AI301" s="6">
        <f>IF(OR($BJ301="",34&gt;設定!$B$3),"",IF(INDEX(原始資料!AK$2:AK$501,$BJ301)="","",INDEX(原始資料!AK$2:AK$501,$BJ301)))</f>
        <v/>
      </c>
      <c r="AJ301" s="6">
        <f>IF(OR($BJ301="",35&gt;設定!$B$3),"",IF(INDEX(原始資料!AL$2:AL$501,$BJ301)="","",INDEX(原始資料!AL$2:AL$501,$BJ301)))</f>
        <v/>
      </c>
      <c r="AK301" s="6">
        <f>IF(OR($BJ301="",36&gt;設定!$B$3),"",IF(INDEX(原始資料!AM$2:AM$501,$BJ301)="","",INDEX(原始資料!AM$2:AM$501,$BJ301)))</f>
        <v/>
      </c>
      <c r="AL301" s="6">
        <f>IF(OR($BJ301="",37&gt;設定!$B$3),"",IF(INDEX(原始資料!AN$2:AN$501,$BJ301)="","",INDEX(原始資料!AN$2:AN$501,$BJ301)))</f>
        <v/>
      </c>
      <c r="AM301" s="6">
        <f>IF(OR($BJ301="",38&gt;設定!$B$3),"",IF(INDEX(原始資料!AO$2:AO$501,$BJ301)="","",INDEX(原始資料!AO$2:AO$501,$BJ301)))</f>
        <v/>
      </c>
      <c r="AN301" s="6">
        <f>IF(OR($BJ301="",39&gt;設定!$B$3),"",IF(INDEX(原始資料!AP$2:AP$501,$BJ301)="","",INDEX(原始資料!AP$2:AP$501,$BJ301)))</f>
        <v/>
      </c>
      <c r="AO301" s="6">
        <f>IF(OR($BJ301="",40&gt;設定!$B$3),"",IF(INDEX(原始資料!AQ$2:AQ$501,$BJ301)="","",INDEX(原始資料!AQ$2:AQ$501,$BJ301)))</f>
        <v/>
      </c>
      <c r="AP301" s="6">
        <f>IF(OR($BJ301="",41&gt;設定!$B$3),"",IF(INDEX(原始資料!AR$2:AR$501,$BJ301)="","",INDEX(原始資料!AR$2:AR$501,$BJ301)))</f>
        <v/>
      </c>
      <c r="AQ301" s="6">
        <f>IF(OR($BJ301="",42&gt;設定!$B$3),"",IF(INDEX(原始資料!AS$2:AS$501,$BJ301)="","",INDEX(原始資料!AS$2:AS$501,$BJ301)))</f>
        <v/>
      </c>
      <c r="AR301" s="6">
        <f>IF(OR($BJ301="",43&gt;設定!$B$3),"",IF(INDEX(原始資料!AT$2:AT$501,$BJ301)="","",INDEX(原始資料!AT$2:AT$501,$BJ301)))</f>
        <v/>
      </c>
      <c r="AS301" s="6">
        <f>IF(OR($BJ301="",44&gt;設定!$B$3),"",IF(INDEX(原始資料!AU$2:AU$501,$BJ301)="","",INDEX(原始資料!AU$2:AU$501,$BJ301)))</f>
        <v/>
      </c>
      <c r="AT301" s="6">
        <f>IF(OR($BJ301="",45&gt;設定!$B$3),"",IF(INDEX(原始資料!AV$2:AV$501,$BJ301)="","",INDEX(原始資料!AV$2:AV$501,$BJ301)))</f>
        <v/>
      </c>
      <c r="AU301" s="6">
        <f>IF(OR($BJ301="",46&gt;設定!$B$3),"",IF(INDEX(原始資料!AW$2:AW$501,$BJ301)="","",INDEX(原始資料!AW$2:AW$501,$BJ301)))</f>
        <v/>
      </c>
      <c r="AV301" s="6">
        <f>IF(OR($BJ301="",47&gt;設定!$B$3),"",IF(INDEX(原始資料!AX$2:AX$501,$BJ301)="","",INDEX(原始資料!AX$2:AX$501,$BJ301)))</f>
        <v/>
      </c>
      <c r="AW301" s="6">
        <f>IF(OR($BJ301="",48&gt;設定!$B$3),"",IF(INDEX(原始資料!AY$2:AY$501,$BJ301)="","",INDEX(原始資料!AY$2:AY$501,$BJ301)))</f>
        <v/>
      </c>
      <c r="AX301" s="6">
        <f>IF(OR($BJ301="",49&gt;設定!$B$3),"",IF(INDEX(原始資料!AZ$2:AZ$501,$BJ301)="","",INDEX(原始資料!AZ$2:AZ$501,$BJ301)))</f>
        <v/>
      </c>
      <c r="AY301" s="6">
        <f>IF(OR($BJ301="",50&gt;設定!$B$3),"",IF(INDEX(原始資料!BA$2:BA$501,$BJ301)="","",INDEX(原始資料!BA$2:BA$501,$BJ301)))</f>
        <v/>
      </c>
      <c r="AZ301" s="6">
        <f>IF(OR($BJ301="",51&gt;設定!$B$3),"",IF(INDEX(原始資料!BB$2:BB$501,$BJ301)="","",INDEX(原始資料!BB$2:BB$501,$BJ301)))</f>
        <v/>
      </c>
      <c r="BA301" s="6">
        <f>IF(OR($BJ301="",52&gt;設定!$B$3),"",IF(INDEX(原始資料!BC$2:BC$501,$BJ301)="","",INDEX(原始資料!BC$2:BC$501,$BJ301)))</f>
        <v/>
      </c>
      <c r="BB301" s="6">
        <f>IF(OR($BJ301="",53&gt;設定!$B$3),"",IF(INDEX(原始資料!BD$2:BD$501,$BJ301)="","",INDEX(原始資料!BD$2:BD$501,$BJ301)))</f>
        <v/>
      </c>
      <c r="BC301" s="6">
        <f>IF(OR($BJ301="",54&gt;設定!$B$3),"",IF(INDEX(原始資料!BE$2:BE$501,$BJ301)="","",INDEX(原始資料!BE$2:BE$501,$BJ301)))</f>
        <v/>
      </c>
      <c r="BD301" s="6">
        <f>IF(OR($BJ301="",55&gt;設定!$B$3),"",IF(INDEX(原始資料!BF$2:BF$501,$BJ301)="","",INDEX(原始資料!BF$2:BF$501,$BJ301)))</f>
        <v/>
      </c>
      <c r="BE301" s="6">
        <f>IF(OR($BJ301="",56&gt;設定!$B$3),"",IF(INDEX(原始資料!BG$2:BG$501,$BJ301)="","",INDEX(原始資料!BG$2:BG$501,$BJ301)))</f>
        <v/>
      </c>
      <c r="BF301" s="6">
        <f>IF(OR($BJ301="",57&gt;設定!$B$3),"",IF(INDEX(原始資料!BH$2:BH$501,$BJ301)="","",INDEX(原始資料!BH$2:BH$501,$BJ301)))</f>
        <v/>
      </c>
      <c r="BG301" s="6">
        <f>IF(OR($BJ301="",58&gt;設定!$B$3),"",IF(INDEX(原始資料!BI$2:BI$501,$BJ301)="","",INDEX(原始資料!BI$2:BI$501,$BJ301)))</f>
        <v/>
      </c>
      <c r="BH301" s="6">
        <f>IF(OR($BJ301="",59&gt;設定!$B$3),"",IF(INDEX(原始資料!BJ$2:BJ$501,$BJ301)="","",INDEX(原始資料!BJ$2:BJ$501,$BJ301)))</f>
        <v/>
      </c>
      <c r="BI301" s="6">
        <f>IF(OR($BJ301="",60&gt;設定!$B$3),"",IF(INDEX(原始資料!BK$2:BK$501,$BJ301)="","",INDEX(原始資料!BK$2:BK$501,$BJ301)))</f>
        <v/>
      </c>
      <c r="BJ301" s="6">
        <f>IFERROR(MATCH(ROW()-1,判定!$H$2:$H$501,0),"")</f>
        <v/>
      </c>
    </row>
    <row r="302">
      <c r="A302" s="6">
        <f>IF($BJ302="","",INDEX(原始資料!$A$2:$A$501,$BJ302))</f>
        <v/>
      </c>
      <c r="B302" s="6">
        <f>IF(OR($BJ302="",1&gt;設定!$B$3),"",IF(INDEX(原始資料!D$2:D$501,$BJ302)="","",INDEX(原始資料!D$2:D$501,$BJ302)))</f>
        <v/>
      </c>
      <c r="C302" s="6">
        <f>IF(OR($BJ302="",2&gt;設定!$B$3),"",IF(INDEX(原始資料!E$2:E$501,$BJ302)="","",INDEX(原始資料!E$2:E$501,$BJ302)))</f>
        <v/>
      </c>
      <c r="D302" s="6">
        <f>IF(OR($BJ302="",3&gt;設定!$B$3),"",IF(INDEX(原始資料!F$2:F$501,$BJ302)="","",INDEX(原始資料!F$2:F$501,$BJ302)))</f>
        <v/>
      </c>
      <c r="E302" s="6">
        <f>IF(OR($BJ302="",4&gt;設定!$B$3),"",IF(INDEX(原始資料!G$2:G$501,$BJ302)="","",INDEX(原始資料!G$2:G$501,$BJ302)))</f>
        <v/>
      </c>
      <c r="F302" s="6">
        <f>IF(OR($BJ302="",5&gt;設定!$B$3),"",IF(INDEX(原始資料!H$2:H$501,$BJ302)="","",INDEX(原始資料!H$2:H$501,$BJ302)))</f>
        <v/>
      </c>
      <c r="G302" s="6">
        <f>IF(OR($BJ302="",6&gt;設定!$B$3),"",IF(INDEX(原始資料!I$2:I$501,$BJ302)="","",INDEX(原始資料!I$2:I$501,$BJ302)))</f>
        <v/>
      </c>
      <c r="H302" s="6">
        <f>IF(OR($BJ302="",7&gt;設定!$B$3),"",IF(INDEX(原始資料!J$2:J$501,$BJ302)="","",INDEX(原始資料!J$2:J$501,$BJ302)))</f>
        <v/>
      </c>
      <c r="I302" s="6">
        <f>IF(OR($BJ302="",8&gt;設定!$B$3),"",IF(INDEX(原始資料!K$2:K$501,$BJ302)="","",INDEX(原始資料!K$2:K$501,$BJ302)))</f>
        <v/>
      </c>
      <c r="J302" s="6">
        <f>IF(OR($BJ302="",9&gt;設定!$B$3),"",IF(INDEX(原始資料!L$2:L$501,$BJ302)="","",INDEX(原始資料!L$2:L$501,$BJ302)))</f>
        <v/>
      </c>
      <c r="K302" s="6">
        <f>IF(OR($BJ302="",10&gt;設定!$B$3),"",IF(INDEX(原始資料!M$2:M$501,$BJ302)="","",INDEX(原始資料!M$2:M$501,$BJ302)))</f>
        <v/>
      </c>
      <c r="L302" s="6">
        <f>IF(OR($BJ302="",11&gt;設定!$B$3),"",IF(INDEX(原始資料!N$2:N$501,$BJ302)="","",INDEX(原始資料!N$2:N$501,$BJ302)))</f>
        <v/>
      </c>
      <c r="M302" s="6">
        <f>IF(OR($BJ302="",12&gt;設定!$B$3),"",IF(INDEX(原始資料!O$2:O$501,$BJ302)="","",INDEX(原始資料!O$2:O$501,$BJ302)))</f>
        <v/>
      </c>
      <c r="N302" s="6">
        <f>IF(OR($BJ302="",13&gt;設定!$B$3),"",IF(INDEX(原始資料!P$2:P$501,$BJ302)="","",INDEX(原始資料!P$2:P$501,$BJ302)))</f>
        <v/>
      </c>
      <c r="O302" s="6">
        <f>IF(OR($BJ302="",14&gt;設定!$B$3),"",IF(INDEX(原始資料!Q$2:Q$501,$BJ302)="","",INDEX(原始資料!Q$2:Q$501,$BJ302)))</f>
        <v/>
      </c>
      <c r="P302" s="6">
        <f>IF(OR($BJ302="",15&gt;設定!$B$3),"",IF(INDEX(原始資料!R$2:R$501,$BJ302)="","",INDEX(原始資料!R$2:R$501,$BJ302)))</f>
        <v/>
      </c>
      <c r="Q302" s="6">
        <f>IF(OR($BJ302="",16&gt;設定!$B$3),"",IF(INDEX(原始資料!S$2:S$501,$BJ302)="","",INDEX(原始資料!S$2:S$501,$BJ302)))</f>
        <v/>
      </c>
      <c r="R302" s="6">
        <f>IF(OR($BJ302="",17&gt;設定!$B$3),"",IF(INDEX(原始資料!T$2:T$501,$BJ302)="","",INDEX(原始資料!T$2:T$501,$BJ302)))</f>
        <v/>
      </c>
      <c r="S302" s="6">
        <f>IF(OR($BJ302="",18&gt;設定!$B$3),"",IF(INDEX(原始資料!U$2:U$501,$BJ302)="","",INDEX(原始資料!U$2:U$501,$BJ302)))</f>
        <v/>
      </c>
      <c r="T302" s="6">
        <f>IF(OR($BJ302="",19&gt;設定!$B$3),"",IF(INDEX(原始資料!V$2:V$501,$BJ302)="","",INDEX(原始資料!V$2:V$501,$BJ302)))</f>
        <v/>
      </c>
      <c r="U302" s="6">
        <f>IF(OR($BJ302="",20&gt;設定!$B$3),"",IF(INDEX(原始資料!W$2:W$501,$BJ302)="","",INDEX(原始資料!W$2:W$501,$BJ302)))</f>
        <v/>
      </c>
      <c r="V302" s="6">
        <f>IF(OR($BJ302="",21&gt;設定!$B$3),"",IF(INDEX(原始資料!X$2:X$501,$BJ302)="","",INDEX(原始資料!X$2:X$501,$BJ302)))</f>
        <v/>
      </c>
      <c r="W302" s="6">
        <f>IF(OR($BJ302="",22&gt;設定!$B$3),"",IF(INDEX(原始資料!Y$2:Y$501,$BJ302)="","",INDEX(原始資料!Y$2:Y$501,$BJ302)))</f>
        <v/>
      </c>
      <c r="X302" s="6">
        <f>IF(OR($BJ302="",23&gt;設定!$B$3),"",IF(INDEX(原始資料!Z$2:Z$501,$BJ302)="","",INDEX(原始資料!Z$2:Z$501,$BJ302)))</f>
        <v/>
      </c>
      <c r="Y302" s="6">
        <f>IF(OR($BJ302="",24&gt;設定!$B$3),"",IF(INDEX(原始資料!AA$2:AA$501,$BJ302)="","",INDEX(原始資料!AA$2:AA$501,$BJ302)))</f>
        <v/>
      </c>
      <c r="Z302" s="6">
        <f>IF(OR($BJ302="",25&gt;設定!$B$3),"",IF(INDEX(原始資料!AB$2:AB$501,$BJ302)="","",INDEX(原始資料!AB$2:AB$501,$BJ302)))</f>
        <v/>
      </c>
      <c r="AA302" s="6">
        <f>IF(OR($BJ302="",26&gt;設定!$B$3),"",IF(INDEX(原始資料!AC$2:AC$501,$BJ302)="","",INDEX(原始資料!AC$2:AC$501,$BJ302)))</f>
        <v/>
      </c>
      <c r="AB302" s="6">
        <f>IF(OR($BJ302="",27&gt;設定!$B$3),"",IF(INDEX(原始資料!AD$2:AD$501,$BJ302)="","",INDEX(原始資料!AD$2:AD$501,$BJ302)))</f>
        <v/>
      </c>
      <c r="AC302" s="6">
        <f>IF(OR($BJ302="",28&gt;設定!$B$3),"",IF(INDEX(原始資料!AE$2:AE$501,$BJ302)="","",INDEX(原始資料!AE$2:AE$501,$BJ302)))</f>
        <v/>
      </c>
      <c r="AD302" s="6">
        <f>IF(OR($BJ302="",29&gt;設定!$B$3),"",IF(INDEX(原始資料!AF$2:AF$501,$BJ302)="","",INDEX(原始資料!AF$2:AF$501,$BJ302)))</f>
        <v/>
      </c>
      <c r="AE302" s="6">
        <f>IF(OR($BJ302="",30&gt;設定!$B$3),"",IF(INDEX(原始資料!AG$2:AG$501,$BJ302)="","",INDEX(原始資料!AG$2:AG$501,$BJ302)))</f>
        <v/>
      </c>
      <c r="AF302" s="6">
        <f>IF(OR($BJ302="",31&gt;設定!$B$3),"",IF(INDEX(原始資料!AH$2:AH$501,$BJ302)="","",INDEX(原始資料!AH$2:AH$501,$BJ302)))</f>
        <v/>
      </c>
      <c r="AG302" s="6">
        <f>IF(OR($BJ302="",32&gt;設定!$B$3),"",IF(INDEX(原始資料!AI$2:AI$501,$BJ302)="","",INDEX(原始資料!AI$2:AI$501,$BJ302)))</f>
        <v/>
      </c>
      <c r="AH302" s="6">
        <f>IF(OR($BJ302="",33&gt;設定!$B$3),"",IF(INDEX(原始資料!AJ$2:AJ$501,$BJ302)="","",INDEX(原始資料!AJ$2:AJ$501,$BJ302)))</f>
        <v/>
      </c>
      <c r="AI302" s="6">
        <f>IF(OR($BJ302="",34&gt;設定!$B$3),"",IF(INDEX(原始資料!AK$2:AK$501,$BJ302)="","",INDEX(原始資料!AK$2:AK$501,$BJ302)))</f>
        <v/>
      </c>
      <c r="AJ302" s="6">
        <f>IF(OR($BJ302="",35&gt;設定!$B$3),"",IF(INDEX(原始資料!AL$2:AL$501,$BJ302)="","",INDEX(原始資料!AL$2:AL$501,$BJ302)))</f>
        <v/>
      </c>
      <c r="AK302" s="6">
        <f>IF(OR($BJ302="",36&gt;設定!$B$3),"",IF(INDEX(原始資料!AM$2:AM$501,$BJ302)="","",INDEX(原始資料!AM$2:AM$501,$BJ302)))</f>
        <v/>
      </c>
      <c r="AL302" s="6">
        <f>IF(OR($BJ302="",37&gt;設定!$B$3),"",IF(INDEX(原始資料!AN$2:AN$501,$BJ302)="","",INDEX(原始資料!AN$2:AN$501,$BJ302)))</f>
        <v/>
      </c>
      <c r="AM302" s="6">
        <f>IF(OR($BJ302="",38&gt;設定!$B$3),"",IF(INDEX(原始資料!AO$2:AO$501,$BJ302)="","",INDEX(原始資料!AO$2:AO$501,$BJ302)))</f>
        <v/>
      </c>
      <c r="AN302" s="6">
        <f>IF(OR($BJ302="",39&gt;設定!$B$3),"",IF(INDEX(原始資料!AP$2:AP$501,$BJ302)="","",INDEX(原始資料!AP$2:AP$501,$BJ302)))</f>
        <v/>
      </c>
      <c r="AO302" s="6">
        <f>IF(OR($BJ302="",40&gt;設定!$B$3),"",IF(INDEX(原始資料!AQ$2:AQ$501,$BJ302)="","",INDEX(原始資料!AQ$2:AQ$501,$BJ302)))</f>
        <v/>
      </c>
      <c r="AP302" s="6">
        <f>IF(OR($BJ302="",41&gt;設定!$B$3),"",IF(INDEX(原始資料!AR$2:AR$501,$BJ302)="","",INDEX(原始資料!AR$2:AR$501,$BJ302)))</f>
        <v/>
      </c>
      <c r="AQ302" s="6">
        <f>IF(OR($BJ302="",42&gt;設定!$B$3),"",IF(INDEX(原始資料!AS$2:AS$501,$BJ302)="","",INDEX(原始資料!AS$2:AS$501,$BJ302)))</f>
        <v/>
      </c>
      <c r="AR302" s="6">
        <f>IF(OR($BJ302="",43&gt;設定!$B$3),"",IF(INDEX(原始資料!AT$2:AT$501,$BJ302)="","",INDEX(原始資料!AT$2:AT$501,$BJ302)))</f>
        <v/>
      </c>
      <c r="AS302" s="6">
        <f>IF(OR($BJ302="",44&gt;設定!$B$3),"",IF(INDEX(原始資料!AU$2:AU$501,$BJ302)="","",INDEX(原始資料!AU$2:AU$501,$BJ302)))</f>
        <v/>
      </c>
      <c r="AT302" s="6">
        <f>IF(OR($BJ302="",45&gt;設定!$B$3),"",IF(INDEX(原始資料!AV$2:AV$501,$BJ302)="","",INDEX(原始資料!AV$2:AV$501,$BJ302)))</f>
        <v/>
      </c>
      <c r="AU302" s="6">
        <f>IF(OR($BJ302="",46&gt;設定!$B$3),"",IF(INDEX(原始資料!AW$2:AW$501,$BJ302)="","",INDEX(原始資料!AW$2:AW$501,$BJ302)))</f>
        <v/>
      </c>
      <c r="AV302" s="6">
        <f>IF(OR($BJ302="",47&gt;設定!$B$3),"",IF(INDEX(原始資料!AX$2:AX$501,$BJ302)="","",INDEX(原始資料!AX$2:AX$501,$BJ302)))</f>
        <v/>
      </c>
      <c r="AW302" s="6">
        <f>IF(OR($BJ302="",48&gt;設定!$B$3),"",IF(INDEX(原始資料!AY$2:AY$501,$BJ302)="","",INDEX(原始資料!AY$2:AY$501,$BJ302)))</f>
        <v/>
      </c>
      <c r="AX302" s="6">
        <f>IF(OR($BJ302="",49&gt;設定!$B$3),"",IF(INDEX(原始資料!AZ$2:AZ$501,$BJ302)="","",INDEX(原始資料!AZ$2:AZ$501,$BJ302)))</f>
        <v/>
      </c>
      <c r="AY302" s="6">
        <f>IF(OR($BJ302="",50&gt;設定!$B$3),"",IF(INDEX(原始資料!BA$2:BA$501,$BJ302)="","",INDEX(原始資料!BA$2:BA$501,$BJ302)))</f>
        <v/>
      </c>
      <c r="AZ302" s="6">
        <f>IF(OR($BJ302="",51&gt;設定!$B$3),"",IF(INDEX(原始資料!BB$2:BB$501,$BJ302)="","",INDEX(原始資料!BB$2:BB$501,$BJ302)))</f>
        <v/>
      </c>
      <c r="BA302" s="6">
        <f>IF(OR($BJ302="",52&gt;設定!$B$3),"",IF(INDEX(原始資料!BC$2:BC$501,$BJ302)="","",INDEX(原始資料!BC$2:BC$501,$BJ302)))</f>
        <v/>
      </c>
      <c r="BB302" s="6">
        <f>IF(OR($BJ302="",53&gt;設定!$B$3),"",IF(INDEX(原始資料!BD$2:BD$501,$BJ302)="","",INDEX(原始資料!BD$2:BD$501,$BJ302)))</f>
        <v/>
      </c>
      <c r="BC302" s="6">
        <f>IF(OR($BJ302="",54&gt;設定!$B$3),"",IF(INDEX(原始資料!BE$2:BE$501,$BJ302)="","",INDEX(原始資料!BE$2:BE$501,$BJ302)))</f>
        <v/>
      </c>
      <c r="BD302" s="6">
        <f>IF(OR($BJ302="",55&gt;設定!$B$3),"",IF(INDEX(原始資料!BF$2:BF$501,$BJ302)="","",INDEX(原始資料!BF$2:BF$501,$BJ302)))</f>
        <v/>
      </c>
      <c r="BE302" s="6">
        <f>IF(OR($BJ302="",56&gt;設定!$B$3),"",IF(INDEX(原始資料!BG$2:BG$501,$BJ302)="","",INDEX(原始資料!BG$2:BG$501,$BJ302)))</f>
        <v/>
      </c>
      <c r="BF302" s="6">
        <f>IF(OR($BJ302="",57&gt;設定!$B$3),"",IF(INDEX(原始資料!BH$2:BH$501,$BJ302)="","",INDEX(原始資料!BH$2:BH$501,$BJ302)))</f>
        <v/>
      </c>
      <c r="BG302" s="6">
        <f>IF(OR($BJ302="",58&gt;設定!$B$3),"",IF(INDEX(原始資料!BI$2:BI$501,$BJ302)="","",INDEX(原始資料!BI$2:BI$501,$BJ302)))</f>
        <v/>
      </c>
      <c r="BH302" s="6">
        <f>IF(OR($BJ302="",59&gt;設定!$B$3),"",IF(INDEX(原始資料!BJ$2:BJ$501,$BJ302)="","",INDEX(原始資料!BJ$2:BJ$501,$BJ302)))</f>
        <v/>
      </c>
      <c r="BI302" s="6">
        <f>IF(OR($BJ302="",60&gt;設定!$B$3),"",IF(INDEX(原始資料!BK$2:BK$501,$BJ302)="","",INDEX(原始資料!BK$2:BK$501,$BJ302)))</f>
        <v/>
      </c>
      <c r="BJ302" s="6">
        <f>IFERROR(MATCH(ROW()-1,判定!$H$2:$H$501,0),"")</f>
        <v/>
      </c>
    </row>
    <row r="303">
      <c r="A303" s="6">
        <f>IF($BJ303="","",INDEX(原始資料!$A$2:$A$501,$BJ303))</f>
        <v/>
      </c>
      <c r="B303" s="6">
        <f>IF(OR($BJ303="",1&gt;設定!$B$3),"",IF(INDEX(原始資料!D$2:D$501,$BJ303)="","",INDEX(原始資料!D$2:D$501,$BJ303)))</f>
        <v/>
      </c>
      <c r="C303" s="6">
        <f>IF(OR($BJ303="",2&gt;設定!$B$3),"",IF(INDEX(原始資料!E$2:E$501,$BJ303)="","",INDEX(原始資料!E$2:E$501,$BJ303)))</f>
        <v/>
      </c>
      <c r="D303" s="6">
        <f>IF(OR($BJ303="",3&gt;設定!$B$3),"",IF(INDEX(原始資料!F$2:F$501,$BJ303)="","",INDEX(原始資料!F$2:F$501,$BJ303)))</f>
        <v/>
      </c>
      <c r="E303" s="6">
        <f>IF(OR($BJ303="",4&gt;設定!$B$3),"",IF(INDEX(原始資料!G$2:G$501,$BJ303)="","",INDEX(原始資料!G$2:G$501,$BJ303)))</f>
        <v/>
      </c>
      <c r="F303" s="6">
        <f>IF(OR($BJ303="",5&gt;設定!$B$3),"",IF(INDEX(原始資料!H$2:H$501,$BJ303)="","",INDEX(原始資料!H$2:H$501,$BJ303)))</f>
        <v/>
      </c>
      <c r="G303" s="6">
        <f>IF(OR($BJ303="",6&gt;設定!$B$3),"",IF(INDEX(原始資料!I$2:I$501,$BJ303)="","",INDEX(原始資料!I$2:I$501,$BJ303)))</f>
        <v/>
      </c>
      <c r="H303" s="6">
        <f>IF(OR($BJ303="",7&gt;設定!$B$3),"",IF(INDEX(原始資料!J$2:J$501,$BJ303)="","",INDEX(原始資料!J$2:J$501,$BJ303)))</f>
        <v/>
      </c>
      <c r="I303" s="6">
        <f>IF(OR($BJ303="",8&gt;設定!$B$3),"",IF(INDEX(原始資料!K$2:K$501,$BJ303)="","",INDEX(原始資料!K$2:K$501,$BJ303)))</f>
        <v/>
      </c>
      <c r="J303" s="6">
        <f>IF(OR($BJ303="",9&gt;設定!$B$3),"",IF(INDEX(原始資料!L$2:L$501,$BJ303)="","",INDEX(原始資料!L$2:L$501,$BJ303)))</f>
        <v/>
      </c>
      <c r="K303" s="6">
        <f>IF(OR($BJ303="",10&gt;設定!$B$3),"",IF(INDEX(原始資料!M$2:M$501,$BJ303)="","",INDEX(原始資料!M$2:M$501,$BJ303)))</f>
        <v/>
      </c>
      <c r="L303" s="6">
        <f>IF(OR($BJ303="",11&gt;設定!$B$3),"",IF(INDEX(原始資料!N$2:N$501,$BJ303)="","",INDEX(原始資料!N$2:N$501,$BJ303)))</f>
        <v/>
      </c>
      <c r="M303" s="6">
        <f>IF(OR($BJ303="",12&gt;設定!$B$3),"",IF(INDEX(原始資料!O$2:O$501,$BJ303)="","",INDEX(原始資料!O$2:O$501,$BJ303)))</f>
        <v/>
      </c>
      <c r="N303" s="6">
        <f>IF(OR($BJ303="",13&gt;設定!$B$3),"",IF(INDEX(原始資料!P$2:P$501,$BJ303)="","",INDEX(原始資料!P$2:P$501,$BJ303)))</f>
        <v/>
      </c>
      <c r="O303" s="6">
        <f>IF(OR($BJ303="",14&gt;設定!$B$3),"",IF(INDEX(原始資料!Q$2:Q$501,$BJ303)="","",INDEX(原始資料!Q$2:Q$501,$BJ303)))</f>
        <v/>
      </c>
      <c r="P303" s="6">
        <f>IF(OR($BJ303="",15&gt;設定!$B$3),"",IF(INDEX(原始資料!R$2:R$501,$BJ303)="","",INDEX(原始資料!R$2:R$501,$BJ303)))</f>
        <v/>
      </c>
      <c r="Q303" s="6">
        <f>IF(OR($BJ303="",16&gt;設定!$B$3),"",IF(INDEX(原始資料!S$2:S$501,$BJ303)="","",INDEX(原始資料!S$2:S$501,$BJ303)))</f>
        <v/>
      </c>
      <c r="R303" s="6">
        <f>IF(OR($BJ303="",17&gt;設定!$B$3),"",IF(INDEX(原始資料!T$2:T$501,$BJ303)="","",INDEX(原始資料!T$2:T$501,$BJ303)))</f>
        <v/>
      </c>
      <c r="S303" s="6">
        <f>IF(OR($BJ303="",18&gt;設定!$B$3),"",IF(INDEX(原始資料!U$2:U$501,$BJ303)="","",INDEX(原始資料!U$2:U$501,$BJ303)))</f>
        <v/>
      </c>
      <c r="T303" s="6">
        <f>IF(OR($BJ303="",19&gt;設定!$B$3),"",IF(INDEX(原始資料!V$2:V$501,$BJ303)="","",INDEX(原始資料!V$2:V$501,$BJ303)))</f>
        <v/>
      </c>
      <c r="U303" s="6">
        <f>IF(OR($BJ303="",20&gt;設定!$B$3),"",IF(INDEX(原始資料!W$2:W$501,$BJ303)="","",INDEX(原始資料!W$2:W$501,$BJ303)))</f>
        <v/>
      </c>
      <c r="V303" s="6">
        <f>IF(OR($BJ303="",21&gt;設定!$B$3),"",IF(INDEX(原始資料!X$2:X$501,$BJ303)="","",INDEX(原始資料!X$2:X$501,$BJ303)))</f>
        <v/>
      </c>
      <c r="W303" s="6">
        <f>IF(OR($BJ303="",22&gt;設定!$B$3),"",IF(INDEX(原始資料!Y$2:Y$501,$BJ303)="","",INDEX(原始資料!Y$2:Y$501,$BJ303)))</f>
        <v/>
      </c>
      <c r="X303" s="6">
        <f>IF(OR($BJ303="",23&gt;設定!$B$3),"",IF(INDEX(原始資料!Z$2:Z$501,$BJ303)="","",INDEX(原始資料!Z$2:Z$501,$BJ303)))</f>
        <v/>
      </c>
      <c r="Y303" s="6">
        <f>IF(OR($BJ303="",24&gt;設定!$B$3),"",IF(INDEX(原始資料!AA$2:AA$501,$BJ303)="","",INDEX(原始資料!AA$2:AA$501,$BJ303)))</f>
        <v/>
      </c>
      <c r="Z303" s="6">
        <f>IF(OR($BJ303="",25&gt;設定!$B$3),"",IF(INDEX(原始資料!AB$2:AB$501,$BJ303)="","",INDEX(原始資料!AB$2:AB$501,$BJ303)))</f>
        <v/>
      </c>
      <c r="AA303" s="6">
        <f>IF(OR($BJ303="",26&gt;設定!$B$3),"",IF(INDEX(原始資料!AC$2:AC$501,$BJ303)="","",INDEX(原始資料!AC$2:AC$501,$BJ303)))</f>
        <v/>
      </c>
      <c r="AB303" s="6">
        <f>IF(OR($BJ303="",27&gt;設定!$B$3),"",IF(INDEX(原始資料!AD$2:AD$501,$BJ303)="","",INDEX(原始資料!AD$2:AD$501,$BJ303)))</f>
        <v/>
      </c>
      <c r="AC303" s="6">
        <f>IF(OR($BJ303="",28&gt;設定!$B$3),"",IF(INDEX(原始資料!AE$2:AE$501,$BJ303)="","",INDEX(原始資料!AE$2:AE$501,$BJ303)))</f>
        <v/>
      </c>
      <c r="AD303" s="6">
        <f>IF(OR($BJ303="",29&gt;設定!$B$3),"",IF(INDEX(原始資料!AF$2:AF$501,$BJ303)="","",INDEX(原始資料!AF$2:AF$501,$BJ303)))</f>
        <v/>
      </c>
      <c r="AE303" s="6">
        <f>IF(OR($BJ303="",30&gt;設定!$B$3),"",IF(INDEX(原始資料!AG$2:AG$501,$BJ303)="","",INDEX(原始資料!AG$2:AG$501,$BJ303)))</f>
        <v/>
      </c>
      <c r="AF303" s="6">
        <f>IF(OR($BJ303="",31&gt;設定!$B$3),"",IF(INDEX(原始資料!AH$2:AH$501,$BJ303)="","",INDEX(原始資料!AH$2:AH$501,$BJ303)))</f>
        <v/>
      </c>
      <c r="AG303" s="6">
        <f>IF(OR($BJ303="",32&gt;設定!$B$3),"",IF(INDEX(原始資料!AI$2:AI$501,$BJ303)="","",INDEX(原始資料!AI$2:AI$501,$BJ303)))</f>
        <v/>
      </c>
      <c r="AH303" s="6">
        <f>IF(OR($BJ303="",33&gt;設定!$B$3),"",IF(INDEX(原始資料!AJ$2:AJ$501,$BJ303)="","",INDEX(原始資料!AJ$2:AJ$501,$BJ303)))</f>
        <v/>
      </c>
      <c r="AI303" s="6">
        <f>IF(OR($BJ303="",34&gt;設定!$B$3),"",IF(INDEX(原始資料!AK$2:AK$501,$BJ303)="","",INDEX(原始資料!AK$2:AK$501,$BJ303)))</f>
        <v/>
      </c>
      <c r="AJ303" s="6">
        <f>IF(OR($BJ303="",35&gt;設定!$B$3),"",IF(INDEX(原始資料!AL$2:AL$501,$BJ303)="","",INDEX(原始資料!AL$2:AL$501,$BJ303)))</f>
        <v/>
      </c>
      <c r="AK303" s="6">
        <f>IF(OR($BJ303="",36&gt;設定!$B$3),"",IF(INDEX(原始資料!AM$2:AM$501,$BJ303)="","",INDEX(原始資料!AM$2:AM$501,$BJ303)))</f>
        <v/>
      </c>
      <c r="AL303" s="6">
        <f>IF(OR($BJ303="",37&gt;設定!$B$3),"",IF(INDEX(原始資料!AN$2:AN$501,$BJ303)="","",INDEX(原始資料!AN$2:AN$501,$BJ303)))</f>
        <v/>
      </c>
      <c r="AM303" s="6">
        <f>IF(OR($BJ303="",38&gt;設定!$B$3),"",IF(INDEX(原始資料!AO$2:AO$501,$BJ303)="","",INDEX(原始資料!AO$2:AO$501,$BJ303)))</f>
        <v/>
      </c>
      <c r="AN303" s="6">
        <f>IF(OR($BJ303="",39&gt;設定!$B$3),"",IF(INDEX(原始資料!AP$2:AP$501,$BJ303)="","",INDEX(原始資料!AP$2:AP$501,$BJ303)))</f>
        <v/>
      </c>
      <c r="AO303" s="6">
        <f>IF(OR($BJ303="",40&gt;設定!$B$3),"",IF(INDEX(原始資料!AQ$2:AQ$501,$BJ303)="","",INDEX(原始資料!AQ$2:AQ$501,$BJ303)))</f>
        <v/>
      </c>
      <c r="AP303" s="6">
        <f>IF(OR($BJ303="",41&gt;設定!$B$3),"",IF(INDEX(原始資料!AR$2:AR$501,$BJ303)="","",INDEX(原始資料!AR$2:AR$501,$BJ303)))</f>
        <v/>
      </c>
      <c r="AQ303" s="6">
        <f>IF(OR($BJ303="",42&gt;設定!$B$3),"",IF(INDEX(原始資料!AS$2:AS$501,$BJ303)="","",INDEX(原始資料!AS$2:AS$501,$BJ303)))</f>
        <v/>
      </c>
      <c r="AR303" s="6">
        <f>IF(OR($BJ303="",43&gt;設定!$B$3),"",IF(INDEX(原始資料!AT$2:AT$501,$BJ303)="","",INDEX(原始資料!AT$2:AT$501,$BJ303)))</f>
        <v/>
      </c>
      <c r="AS303" s="6">
        <f>IF(OR($BJ303="",44&gt;設定!$B$3),"",IF(INDEX(原始資料!AU$2:AU$501,$BJ303)="","",INDEX(原始資料!AU$2:AU$501,$BJ303)))</f>
        <v/>
      </c>
      <c r="AT303" s="6">
        <f>IF(OR($BJ303="",45&gt;設定!$B$3),"",IF(INDEX(原始資料!AV$2:AV$501,$BJ303)="","",INDEX(原始資料!AV$2:AV$501,$BJ303)))</f>
        <v/>
      </c>
      <c r="AU303" s="6">
        <f>IF(OR($BJ303="",46&gt;設定!$B$3),"",IF(INDEX(原始資料!AW$2:AW$501,$BJ303)="","",INDEX(原始資料!AW$2:AW$501,$BJ303)))</f>
        <v/>
      </c>
      <c r="AV303" s="6">
        <f>IF(OR($BJ303="",47&gt;設定!$B$3),"",IF(INDEX(原始資料!AX$2:AX$501,$BJ303)="","",INDEX(原始資料!AX$2:AX$501,$BJ303)))</f>
        <v/>
      </c>
      <c r="AW303" s="6">
        <f>IF(OR($BJ303="",48&gt;設定!$B$3),"",IF(INDEX(原始資料!AY$2:AY$501,$BJ303)="","",INDEX(原始資料!AY$2:AY$501,$BJ303)))</f>
        <v/>
      </c>
      <c r="AX303" s="6">
        <f>IF(OR($BJ303="",49&gt;設定!$B$3),"",IF(INDEX(原始資料!AZ$2:AZ$501,$BJ303)="","",INDEX(原始資料!AZ$2:AZ$501,$BJ303)))</f>
        <v/>
      </c>
      <c r="AY303" s="6">
        <f>IF(OR($BJ303="",50&gt;設定!$B$3),"",IF(INDEX(原始資料!BA$2:BA$501,$BJ303)="","",INDEX(原始資料!BA$2:BA$501,$BJ303)))</f>
        <v/>
      </c>
      <c r="AZ303" s="6">
        <f>IF(OR($BJ303="",51&gt;設定!$B$3),"",IF(INDEX(原始資料!BB$2:BB$501,$BJ303)="","",INDEX(原始資料!BB$2:BB$501,$BJ303)))</f>
        <v/>
      </c>
      <c r="BA303" s="6">
        <f>IF(OR($BJ303="",52&gt;設定!$B$3),"",IF(INDEX(原始資料!BC$2:BC$501,$BJ303)="","",INDEX(原始資料!BC$2:BC$501,$BJ303)))</f>
        <v/>
      </c>
      <c r="BB303" s="6">
        <f>IF(OR($BJ303="",53&gt;設定!$B$3),"",IF(INDEX(原始資料!BD$2:BD$501,$BJ303)="","",INDEX(原始資料!BD$2:BD$501,$BJ303)))</f>
        <v/>
      </c>
      <c r="BC303" s="6">
        <f>IF(OR($BJ303="",54&gt;設定!$B$3),"",IF(INDEX(原始資料!BE$2:BE$501,$BJ303)="","",INDEX(原始資料!BE$2:BE$501,$BJ303)))</f>
        <v/>
      </c>
      <c r="BD303" s="6">
        <f>IF(OR($BJ303="",55&gt;設定!$B$3),"",IF(INDEX(原始資料!BF$2:BF$501,$BJ303)="","",INDEX(原始資料!BF$2:BF$501,$BJ303)))</f>
        <v/>
      </c>
      <c r="BE303" s="6">
        <f>IF(OR($BJ303="",56&gt;設定!$B$3),"",IF(INDEX(原始資料!BG$2:BG$501,$BJ303)="","",INDEX(原始資料!BG$2:BG$501,$BJ303)))</f>
        <v/>
      </c>
      <c r="BF303" s="6">
        <f>IF(OR($BJ303="",57&gt;設定!$B$3),"",IF(INDEX(原始資料!BH$2:BH$501,$BJ303)="","",INDEX(原始資料!BH$2:BH$501,$BJ303)))</f>
        <v/>
      </c>
      <c r="BG303" s="6">
        <f>IF(OR($BJ303="",58&gt;設定!$B$3),"",IF(INDEX(原始資料!BI$2:BI$501,$BJ303)="","",INDEX(原始資料!BI$2:BI$501,$BJ303)))</f>
        <v/>
      </c>
      <c r="BH303" s="6">
        <f>IF(OR($BJ303="",59&gt;設定!$B$3),"",IF(INDEX(原始資料!BJ$2:BJ$501,$BJ303)="","",INDEX(原始資料!BJ$2:BJ$501,$BJ303)))</f>
        <v/>
      </c>
      <c r="BI303" s="6">
        <f>IF(OR($BJ303="",60&gt;設定!$B$3),"",IF(INDEX(原始資料!BK$2:BK$501,$BJ303)="","",INDEX(原始資料!BK$2:BK$501,$BJ303)))</f>
        <v/>
      </c>
      <c r="BJ303" s="6">
        <f>IFERROR(MATCH(ROW()-1,判定!$H$2:$H$501,0),"")</f>
        <v/>
      </c>
    </row>
    <row r="304">
      <c r="A304" s="6">
        <f>IF($BJ304="","",INDEX(原始資料!$A$2:$A$501,$BJ304))</f>
        <v/>
      </c>
      <c r="B304" s="6">
        <f>IF(OR($BJ304="",1&gt;設定!$B$3),"",IF(INDEX(原始資料!D$2:D$501,$BJ304)="","",INDEX(原始資料!D$2:D$501,$BJ304)))</f>
        <v/>
      </c>
      <c r="C304" s="6">
        <f>IF(OR($BJ304="",2&gt;設定!$B$3),"",IF(INDEX(原始資料!E$2:E$501,$BJ304)="","",INDEX(原始資料!E$2:E$501,$BJ304)))</f>
        <v/>
      </c>
      <c r="D304" s="6">
        <f>IF(OR($BJ304="",3&gt;設定!$B$3),"",IF(INDEX(原始資料!F$2:F$501,$BJ304)="","",INDEX(原始資料!F$2:F$501,$BJ304)))</f>
        <v/>
      </c>
      <c r="E304" s="6">
        <f>IF(OR($BJ304="",4&gt;設定!$B$3),"",IF(INDEX(原始資料!G$2:G$501,$BJ304)="","",INDEX(原始資料!G$2:G$501,$BJ304)))</f>
        <v/>
      </c>
      <c r="F304" s="6">
        <f>IF(OR($BJ304="",5&gt;設定!$B$3),"",IF(INDEX(原始資料!H$2:H$501,$BJ304)="","",INDEX(原始資料!H$2:H$501,$BJ304)))</f>
        <v/>
      </c>
      <c r="G304" s="6">
        <f>IF(OR($BJ304="",6&gt;設定!$B$3),"",IF(INDEX(原始資料!I$2:I$501,$BJ304)="","",INDEX(原始資料!I$2:I$501,$BJ304)))</f>
        <v/>
      </c>
      <c r="H304" s="6">
        <f>IF(OR($BJ304="",7&gt;設定!$B$3),"",IF(INDEX(原始資料!J$2:J$501,$BJ304)="","",INDEX(原始資料!J$2:J$501,$BJ304)))</f>
        <v/>
      </c>
      <c r="I304" s="6">
        <f>IF(OR($BJ304="",8&gt;設定!$B$3),"",IF(INDEX(原始資料!K$2:K$501,$BJ304)="","",INDEX(原始資料!K$2:K$501,$BJ304)))</f>
        <v/>
      </c>
      <c r="J304" s="6">
        <f>IF(OR($BJ304="",9&gt;設定!$B$3),"",IF(INDEX(原始資料!L$2:L$501,$BJ304)="","",INDEX(原始資料!L$2:L$501,$BJ304)))</f>
        <v/>
      </c>
      <c r="K304" s="6">
        <f>IF(OR($BJ304="",10&gt;設定!$B$3),"",IF(INDEX(原始資料!M$2:M$501,$BJ304)="","",INDEX(原始資料!M$2:M$501,$BJ304)))</f>
        <v/>
      </c>
      <c r="L304" s="6">
        <f>IF(OR($BJ304="",11&gt;設定!$B$3),"",IF(INDEX(原始資料!N$2:N$501,$BJ304)="","",INDEX(原始資料!N$2:N$501,$BJ304)))</f>
        <v/>
      </c>
      <c r="M304" s="6">
        <f>IF(OR($BJ304="",12&gt;設定!$B$3),"",IF(INDEX(原始資料!O$2:O$501,$BJ304)="","",INDEX(原始資料!O$2:O$501,$BJ304)))</f>
        <v/>
      </c>
      <c r="N304" s="6">
        <f>IF(OR($BJ304="",13&gt;設定!$B$3),"",IF(INDEX(原始資料!P$2:P$501,$BJ304)="","",INDEX(原始資料!P$2:P$501,$BJ304)))</f>
        <v/>
      </c>
      <c r="O304" s="6">
        <f>IF(OR($BJ304="",14&gt;設定!$B$3),"",IF(INDEX(原始資料!Q$2:Q$501,$BJ304)="","",INDEX(原始資料!Q$2:Q$501,$BJ304)))</f>
        <v/>
      </c>
      <c r="P304" s="6">
        <f>IF(OR($BJ304="",15&gt;設定!$B$3),"",IF(INDEX(原始資料!R$2:R$501,$BJ304)="","",INDEX(原始資料!R$2:R$501,$BJ304)))</f>
        <v/>
      </c>
      <c r="Q304" s="6">
        <f>IF(OR($BJ304="",16&gt;設定!$B$3),"",IF(INDEX(原始資料!S$2:S$501,$BJ304)="","",INDEX(原始資料!S$2:S$501,$BJ304)))</f>
        <v/>
      </c>
      <c r="R304" s="6">
        <f>IF(OR($BJ304="",17&gt;設定!$B$3),"",IF(INDEX(原始資料!T$2:T$501,$BJ304)="","",INDEX(原始資料!T$2:T$501,$BJ304)))</f>
        <v/>
      </c>
      <c r="S304" s="6">
        <f>IF(OR($BJ304="",18&gt;設定!$B$3),"",IF(INDEX(原始資料!U$2:U$501,$BJ304)="","",INDEX(原始資料!U$2:U$501,$BJ304)))</f>
        <v/>
      </c>
      <c r="T304" s="6">
        <f>IF(OR($BJ304="",19&gt;設定!$B$3),"",IF(INDEX(原始資料!V$2:V$501,$BJ304)="","",INDEX(原始資料!V$2:V$501,$BJ304)))</f>
        <v/>
      </c>
      <c r="U304" s="6">
        <f>IF(OR($BJ304="",20&gt;設定!$B$3),"",IF(INDEX(原始資料!W$2:W$501,$BJ304)="","",INDEX(原始資料!W$2:W$501,$BJ304)))</f>
        <v/>
      </c>
      <c r="V304" s="6">
        <f>IF(OR($BJ304="",21&gt;設定!$B$3),"",IF(INDEX(原始資料!X$2:X$501,$BJ304)="","",INDEX(原始資料!X$2:X$501,$BJ304)))</f>
        <v/>
      </c>
      <c r="W304" s="6">
        <f>IF(OR($BJ304="",22&gt;設定!$B$3),"",IF(INDEX(原始資料!Y$2:Y$501,$BJ304)="","",INDEX(原始資料!Y$2:Y$501,$BJ304)))</f>
        <v/>
      </c>
      <c r="X304" s="6">
        <f>IF(OR($BJ304="",23&gt;設定!$B$3),"",IF(INDEX(原始資料!Z$2:Z$501,$BJ304)="","",INDEX(原始資料!Z$2:Z$501,$BJ304)))</f>
        <v/>
      </c>
      <c r="Y304" s="6">
        <f>IF(OR($BJ304="",24&gt;設定!$B$3),"",IF(INDEX(原始資料!AA$2:AA$501,$BJ304)="","",INDEX(原始資料!AA$2:AA$501,$BJ304)))</f>
        <v/>
      </c>
      <c r="Z304" s="6">
        <f>IF(OR($BJ304="",25&gt;設定!$B$3),"",IF(INDEX(原始資料!AB$2:AB$501,$BJ304)="","",INDEX(原始資料!AB$2:AB$501,$BJ304)))</f>
        <v/>
      </c>
      <c r="AA304" s="6">
        <f>IF(OR($BJ304="",26&gt;設定!$B$3),"",IF(INDEX(原始資料!AC$2:AC$501,$BJ304)="","",INDEX(原始資料!AC$2:AC$501,$BJ304)))</f>
        <v/>
      </c>
      <c r="AB304" s="6">
        <f>IF(OR($BJ304="",27&gt;設定!$B$3),"",IF(INDEX(原始資料!AD$2:AD$501,$BJ304)="","",INDEX(原始資料!AD$2:AD$501,$BJ304)))</f>
        <v/>
      </c>
      <c r="AC304" s="6">
        <f>IF(OR($BJ304="",28&gt;設定!$B$3),"",IF(INDEX(原始資料!AE$2:AE$501,$BJ304)="","",INDEX(原始資料!AE$2:AE$501,$BJ304)))</f>
        <v/>
      </c>
      <c r="AD304" s="6">
        <f>IF(OR($BJ304="",29&gt;設定!$B$3),"",IF(INDEX(原始資料!AF$2:AF$501,$BJ304)="","",INDEX(原始資料!AF$2:AF$501,$BJ304)))</f>
        <v/>
      </c>
      <c r="AE304" s="6">
        <f>IF(OR($BJ304="",30&gt;設定!$B$3),"",IF(INDEX(原始資料!AG$2:AG$501,$BJ304)="","",INDEX(原始資料!AG$2:AG$501,$BJ304)))</f>
        <v/>
      </c>
      <c r="AF304" s="6">
        <f>IF(OR($BJ304="",31&gt;設定!$B$3),"",IF(INDEX(原始資料!AH$2:AH$501,$BJ304)="","",INDEX(原始資料!AH$2:AH$501,$BJ304)))</f>
        <v/>
      </c>
      <c r="AG304" s="6">
        <f>IF(OR($BJ304="",32&gt;設定!$B$3),"",IF(INDEX(原始資料!AI$2:AI$501,$BJ304)="","",INDEX(原始資料!AI$2:AI$501,$BJ304)))</f>
        <v/>
      </c>
      <c r="AH304" s="6">
        <f>IF(OR($BJ304="",33&gt;設定!$B$3),"",IF(INDEX(原始資料!AJ$2:AJ$501,$BJ304)="","",INDEX(原始資料!AJ$2:AJ$501,$BJ304)))</f>
        <v/>
      </c>
      <c r="AI304" s="6">
        <f>IF(OR($BJ304="",34&gt;設定!$B$3),"",IF(INDEX(原始資料!AK$2:AK$501,$BJ304)="","",INDEX(原始資料!AK$2:AK$501,$BJ304)))</f>
        <v/>
      </c>
      <c r="AJ304" s="6">
        <f>IF(OR($BJ304="",35&gt;設定!$B$3),"",IF(INDEX(原始資料!AL$2:AL$501,$BJ304)="","",INDEX(原始資料!AL$2:AL$501,$BJ304)))</f>
        <v/>
      </c>
      <c r="AK304" s="6">
        <f>IF(OR($BJ304="",36&gt;設定!$B$3),"",IF(INDEX(原始資料!AM$2:AM$501,$BJ304)="","",INDEX(原始資料!AM$2:AM$501,$BJ304)))</f>
        <v/>
      </c>
      <c r="AL304" s="6">
        <f>IF(OR($BJ304="",37&gt;設定!$B$3),"",IF(INDEX(原始資料!AN$2:AN$501,$BJ304)="","",INDEX(原始資料!AN$2:AN$501,$BJ304)))</f>
        <v/>
      </c>
      <c r="AM304" s="6">
        <f>IF(OR($BJ304="",38&gt;設定!$B$3),"",IF(INDEX(原始資料!AO$2:AO$501,$BJ304)="","",INDEX(原始資料!AO$2:AO$501,$BJ304)))</f>
        <v/>
      </c>
      <c r="AN304" s="6">
        <f>IF(OR($BJ304="",39&gt;設定!$B$3),"",IF(INDEX(原始資料!AP$2:AP$501,$BJ304)="","",INDEX(原始資料!AP$2:AP$501,$BJ304)))</f>
        <v/>
      </c>
      <c r="AO304" s="6">
        <f>IF(OR($BJ304="",40&gt;設定!$B$3),"",IF(INDEX(原始資料!AQ$2:AQ$501,$BJ304)="","",INDEX(原始資料!AQ$2:AQ$501,$BJ304)))</f>
        <v/>
      </c>
      <c r="AP304" s="6">
        <f>IF(OR($BJ304="",41&gt;設定!$B$3),"",IF(INDEX(原始資料!AR$2:AR$501,$BJ304)="","",INDEX(原始資料!AR$2:AR$501,$BJ304)))</f>
        <v/>
      </c>
      <c r="AQ304" s="6">
        <f>IF(OR($BJ304="",42&gt;設定!$B$3),"",IF(INDEX(原始資料!AS$2:AS$501,$BJ304)="","",INDEX(原始資料!AS$2:AS$501,$BJ304)))</f>
        <v/>
      </c>
      <c r="AR304" s="6">
        <f>IF(OR($BJ304="",43&gt;設定!$B$3),"",IF(INDEX(原始資料!AT$2:AT$501,$BJ304)="","",INDEX(原始資料!AT$2:AT$501,$BJ304)))</f>
        <v/>
      </c>
      <c r="AS304" s="6">
        <f>IF(OR($BJ304="",44&gt;設定!$B$3),"",IF(INDEX(原始資料!AU$2:AU$501,$BJ304)="","",INDEX(原始資料!AU$2:AU$501,$BJ304)))</f>
        <v/>
      </c>
      <c r="AT304" s="6">
        <f>IF(OR($BJ304="",45&gt;設定!$B$3),"",IF(INDEX(原始資料!AV$2:AV$501,$BJ304)="","",INDEX(原始資料!AV$2:AV$501,$BJ304)))</f>
        <v/>
      </c>
      <c r="AU304" s="6">
        <f>IF(OR($BJ304="",46&gt;設定!$B$3),"",IF(INDEX(原始資料!AW$2:AW$501,$BJ304)="","",INDEX(原始資料!AW$2:AW$501,$BJ304)))</f>
        <v/>
      </c>
      <c r="AV304" s="6">
        <f>IF(OR($BJ304="",47&gt;設定!$B$3),"",IF(INDEX(原始資料!AX$2:AX$501,$BJ304)="","",INDEX(原始資料!AX$2:AX$501,$BJ304)))</f>
        <v/>
      </c>
      <c r="AW304" s="6">
        <f>IF(OR($BJ304="",48&gt;設定!$B$3),"",IF(INDEX(原始資料!AY$2:AY$501,$BJ304)="","",INDEX(原始資料!AY$2:AY$501,$BJ304)))</f>
        <v/>
      </c>
      <c r="AX304" s="6">
        <f>IF(OR($BJ304="",49&gt;設定!$B$3),"",IF(INDEX(原始資料!AZ$2:AZ$501,$BJ304)="","",INDEX(原始資料!AZ$2:AZ$501,$BJ304)))</f>
        <v/>
      </c>
      <c r="AY304" s="6">
        <f>IF(OR($BJ304="",50&gt;設定!$B$3),"",IF(INDEX(原始資料!BA$2:BA$501,$BJ304)="","",INDEX(原始資料!BA$2:BA$501,$BJ304)))</f>
        <v/>
      </c>
      <c r="AZ304" s="6">
        <f>IF(OR($BJ304="",51&gt;設定!$B$3),"",IF(INDEX(原始資料!BB$2:BB$501,$BJ304)="","",INDEX(原始資料!BB$2:BB$501,$BJ304)))</f>
        <v/>
      </c>
      <c r="BA304" s="6">
        <f>IF(OR($BJ304="",52&gt;設定!$B$3),"",IF(INDEX(原始資料!BC$2:BC$501,$BJ304)="","",INDEX(原始資料!BC$2:BC$501,$BJ304)))</f>
        <v/>
      </c>
      <c r="BB304" s="6">
        <f>IF(OR($BJ304="",53&gt;設定!$B$3),"",IF(INDEX(原始資料!BD$2:BD$501,$BJ304)="","",INDEX(原始資料!BD$2:BD$501,$BJ304)))</f>
        <v/>
      </c>
      <c r="BC304" s="6">
        <f>IF(OR($BJ304="",54&gt;設定!$B$3),"",IF(INDEX(原始資料!BE$2:BE$501,$BJ304)="","",INDEX(原始資料!BE$2:BE$501,$BJ304)))</f>
        <v/>
      </c>
      <c r="BD304" s="6">
        <f>IF(OR($BJ304="",55&gt;設定!$B$3),"",IF(INDEX(原始資料!BF$2:BF$501,$BJ304)="","",INDEX(原始資料!BF$2:BF$501,$BJ304)))</f>
        <v/>
      </c>
      <c r="BE304" s="6">
        <f>IF(OR($BJ304="",56&gt;設定!$B$3),"",IF(INDEX(原始資料!BG$2:BG$501,$BJ304)="","",INDEX(原始資料!BG$2:BG$501,$BJ304)))</f>
        <v/>
      </c>
      <c r="BF304" s="6">
        <f>IF(OR($BJ304="",57&gt;設定!$B$3),"",IF(INDEX(原始資料!BH$2:BH$501,$BJ304)="","",INDEX(原始資料!BH$2:BH$501,$BJ304)))</f>
        <v/>
      </c>
      <c r="BG304" s="6">
        <f>IF(OR($BJ304="",58&gt;設定!$B$3),"",IF(INDEX(原始資料!BI$2:BI$501,$BJ304)="","",INDEX(原始資料!BI$2:BI$501,$BJ304)))</f>
        <v/>
      </c>
      <c r="BH304" s="6">
        <f>IF(OR($BJ304="",59&gt;設定!$B$3),"",IF(INDEX(原始資料!BJ$2:BJ$501,$BJ304)="","",INDEX(原始資料!BJ$2:BJ$501,$BJ304)))</f>
        <v/>
      </c>
      <c r="BI304" s="6">
        <f>IF(OR($BJ304="",60&gt;設定!$B$3),"",IF(INDEX(原始資料!BK$2:BK$501,$BJ304)="","",INDEX(原始資料!BK$2:BK$501,$BJ304)))</f>
        <v/>
      </c>
      <c r="BJ304" s="6">
        <f>IFERROR(MATCH(ROW()-1,判定!$H$2:$H$501,0),"")</f>
        <v/>
      </c>
    </row>
    <row r="305">
      <c r="A305" s="6">
        <f>IF($BJ305="","",INDEX(原始資料!$A$2:$A$501,$BJ305))</f>
        <v/>
      </c>
      <c r="B305" s="6">
        <f>IF(OR($BJ305="",1&gt;設定!$B$3),"",IF(INDEX(原始資料!D$2:D$501,$BJ305)="","",INDEX(原始資料!D$2:D$501,$BJ305)))</f>
        <v/>
      </c>
      <c r="C305" s="6">
        <f>IF(OR($BJ305="",2&gt;設定!$B$3),"",IF(INDEX(原始資料!E$2:E$501,$BJ305)="","",INDEX(原始資料!E$2:E$501,$BJ305)))</f>
        <v/>
      </c>
      <c r="D305" s="6">
        <f>IF(OR($BJ305="",3&gt;設定!$B$3),"",IF(INDEX(原始資料!F$2:F$501,$BJ305)="","",INDEX(原始資料!F$2:F$501,$BJ305)))</f>
        <v/>
      </c>
      <c r="E305" s="6">
        <f>IF(OR($BJ305="",4&gt;設定!$B$3),"",IF(INDEX(原始資料!G$2:G$501,$BJ305)="","",INDEX(原始資料!G$2:G$501,$BJ305)))</f>
        <v/>
      </c>
      <c r="F305" s="6">
        <f>IF(OR($BJ305="",5&gt;設定!$B$3),"",IF(INDEX(原始資料!H$2:H$501,$BJ305)="","",INDEX(原始資料!H$2:H$501,$BJ305)))</f>
        <v/>
      </c>
      <c r="G305" s="6">
        <f>IF(OR($BJ305="",6&gt;設定!$B$3),"",IF(INDEX(原始資料!I$2:I$501,$BJ305)="","",INDEX(原始資料!I$2:I$501,$BJ305)))</f>
        <v/>
      </c>
      <c r="H305" s="6">
        <f>IF(OR($BJ305="",7&gt;設定!$B$3),"",IF(INDEX(原始資料!J$2:J$501,$BJ305)="","",INDEX(原始資料!J$2:J$501,$BJ305)))</f>
        <v/>
      </c>
      <c r="I305" s="6">
        <f>IF(OR($BJ305="",8&gt;設定!$B$3),"",IF(INDEX(原始資料!K$2:K$501,$BJ305)="","",INDEX(原始資料!K$2:K$501,$BJ305)))</f>
        <v/>
      </c>
      <c r="J305" s="6">
        <f>IF(OR($BJ305="",9&gt;設定!$B$3),"",IF(INDEX(原始資料!L$2:L$501,$BJ305)="","",INDEX(原始資料!L$2:L$501,$BJ305)))</f>
        <v/>
      </c>
      <c r="K305" s="6">
        <f>IF(OR($BJ305="",10&gt;設定!$B$3),"",IF(INDEX(原始資料!M$2:M$501,$BJ305)="","",INDEX(原始資料!M$2:M$501,$BJ305)))</f>
        <v/>
      </c>
      <c r="L305" s="6">
        <f>IF(OR($BJ305="",11&gt;設定!$B$3),"",IF(INDEX(原始資料!N$2:N$501,$BJ305)="","",INDEX(原始資料!N$2:N$501,$BJ305)))</f>
        <v/>
      </c>
      <c r="M305" s="6">
        <f>IF(OR($BJ305="",12&gt;設定!$B$3),"",IF(INDEX(原始資料!O$2:O$501,$BJ305)="","",INDEX(原始資料!O$2:O$501,$BJ305)))</f>
        <v/>
      </c>
      <c r="N305" s="6">
        <f>IF(OR($BJ305="",13&gt;設定!$B$3),"",IF(INDEX(原始資料!P$2:P$501,$BJ305)="","",INDEX(原始資料!P$2:P$501,$BJ305)))</f>
        <v/>
      </c>
      <c r="O305" s="6">
        <f>IF(OR($BJ305="",14&gt;設定!$B$3),"",IF(INDEX(原始資料!Q$2:Q$501,$BJ305)="","",INDEX(原始資料!Q$2:Q$501,$BJ305)))</f>
        <v/>
      </c>
      <c r="P305" s="6">
        <f>IF(OR($BJ305="",15&gt;設定!$B$3),"",IF(INDEX(原始資料!R$2:R$501,$BJ305)="","",INDEX(原始資料!R$2:R$501,$BJ305)))</f>
        <v/>
      </c>
      <c r="Q305" s="6">
        <f>IF(OR($BJ305="",16&gt;設定!$B$3),"",IF(INDEX(原始資料!S$2:S$501,$BJ305)="","",INDEX(原始資料!S$2:S$501,$BJ305)))</f>
        <v/>
      </c>
      <c r="R305" s="6">
        <f>IF(OR($BJ305="",17&gt;設定!$B$3),"",IF(INDEX(原始資料!T$2:T$501,$BJ305)="","",INDEX(原始資料!T$2:T$501,$BJ305)))</f>
        <v/>
      </c>
      <c r="S305" s="6">
        <f>IF(OR($BJ305="",18&gt;設定!$B$3),"",IF(INDEX(原始資料!U$2:U$501,$BJ305)="","",INDEX(原始資料!U$2:U$501,$BJ305)))</f>
        <v/>
      </c>
      <c r="T305" s="6">
        <f>IF(OR($BJ305="",19&gt;設定!$B$3),"",IF(INDEX(原始資料!V$2:V$501,$BJ305)="","",INDEX(原始資料!V$2:V$501,$BJ305)))</f>
        <v/>
      </c>
      <c r="U305" s="6">
        <f>IF(OR($BJ305="",20&gt;設定!$B$3),"",IF(INDEX(原始資料!W$2:W$501,$BJ305)="","",INDEX(原始資料!W$2:W$501,$BJ305)))</f>
        <v/>
      </c>
      <c r="V305" s="6">
        <f>IF(OR($BJ305="",21&gt;設定!$B$3),"",IF(INDEX(原始資料!X$2:X$501,$BJ305)="","",INDEX(原始資料!X$2:X$501,$BJ305)))</f>
        <v/>
      </c>
      <c r="W305" s="6">
        <f>IF(OR($BJ305="",22&gt;設定!$B$3),"",IF(INDEX(原始資料!Y$2:Y$501,$BJ305)="","",INDEX(原始資料!Y$2:Y$501,$BJ305)))</f>
        <v/>
      </c>
      <c r="X305" s="6">
        <f>IF(OR($BJ305="",23&gt;設定!$B$3),"",IF(INDEX(原始資料!Z$2:Z$501,$BJ305)="","",INDEX(原始資料!Z$2:Z$501,$BJ305)))</f>
        <v/>
      </c>
      <c r="Y305" s="6">
        <f>IF(OR($BJ305="",24&gt;設定!$B$3),"",IF(INDEX(原始資料!AA$2:AA$501,$BJ305)="","",INDEX(原始資料!AA$2:AA$501,$BJ305)))</f>
        <v/>
      </c>
      <c r="Z305" s="6">
        <f>IF(OR($BJ305="",25&gt;設定!$B$3),"",IF(INDEX(原始資料!AB$2:AB$501,$BJ305)="","",INDEX(原始資料!AB$2:AB$501,$BJ305)))</f>
        <v/>
      </c>
      <c r="AA305" s="6">
        <f>IF(OR($BJ305="",26&gt;設定!$B$3),"",IF(INDEX(原始資料!AC$2:AC$501,$BJ305)="","",INDEX(原始資料!AC$2:AC$501,$BJ305)))</f>
        <v/>
      </c>
      <c r="AB305" s="6">
        <f>IF(OR($BJ305="",27&gt;設定!$B$3),"",IF(INDEX(原始資料!AD$2:AD$501,$BJ305)="","",INDEX(原始資料!AD$2:AD$501,$BJ305)))</f>
        <v/>
      </c>
      <c r="AC305" s="6">
        <f>IF(OR($BJ305="",28&gt;設定!$B$3),"",IF(INDEX(原始資料!AE$2:AE$501,$BJ305)="","",INDEX(原始資料!AE$2:AE$501,$BJ305)))</f>
        <v/>
      </c>
      <c r="AD305" s="6">
        <f>IF(OR($BJ305="",29&gt;設定!$B$3),"",IF(INDEX(原始資料!AF$2:AF$501,$BJ305)="","",INDEX(原始資料!AF$2:AF$501,$BJ305)))</f>
        <v/>
      </c>
      <c r="AE305" s="6">
        <f>IF(OR($BJ305="",30&gt;設定!$B$3),"",IF(INDEX(原始資料!AG$2:AG$501,$BJ305)="","",INDEX(原始資料!AG$2:AG$501,$BJ305)))</f>
        <v/>
      </c>
      <c r="AF305" s="6">
        <f>IF(OR($BJ305="",31&gt;設定!$B$3),"",IF(INDEX(原始資料!AH$2:AH$501,$BJ305)="","",INDEX(原始資料!AH$2:AH$501,$BJ305)))</f>
        <v/>
      </c>
      <c r="AG305" s="6">
        <f>IF(OR($BJ305="",32&gt;設定!$B$3),"",IF(INDEX(原始資料!AI$2:AI$501,$BJ305)="","",INDEX(原始資料!AI$2:AI$501,$BJ305)))</f>
        <v/>
      </c>
      <c r="AH305" s="6">
        <f>IF(OR($BJ305="",33&gt;設定!$B$3),"",IF(INDEX(原始資料!AJ$2:AJ$501,$BJ305)="","",INDEX(原始資料!AJ$2:AJ$501,$BJ305)))</f>
        <v/>
      </c>
      <c r="AI305" s="6">
        <f>IF(OR($BJ305="",34&gt;設定!$B$3),"",IF(INDEX(原始資料!AK$2:AK$501,$BJ305)="","",INDEX(原始資料!AK$2:AK$501,$BJ305)))</f>
        <v/>
      </c>
      <c r="AJ305" s="6">
        <f>IF(OR($BJ305="",35&gt;設定!$B$3),"",IF(INDEX(原始資料!AL$2:AL$501,$BJ305)="","",INDEX(原始資料!AL$2:AL$501,$BJ305)))</f>
        <v/>
      </c>
      <c r="AK305" s="6">
        <f>IF(OR($BJ305="",36&gt;設定!$B$3),"",IF(INDEX(原始資料!AM$2:AM$501,$BJ305)="","",INDEX(原始資料!AM$2:AM$501,$BJ305)))</f>
        <v/>
      </c>
      <c r="AL305" s="6">
        <f>IF(OR($BJ305="",37&gt;設定!$B$3),"",IF(INDEX(原始資料!AN$2:AN$501,$BJ305)="","",INDEX(原始資料!AN$2:AN$501,$BJ305)))</f>
        <v/>
      </c>
      <c r="AM305" s="6">
        <f>IF(OR($BJ305="",38&gt;設定!$B$3),"",IF(INDEX(原始資料!AO$2:AO$501,$BJ305)="","",INDEX(原始資料!AO$2:AO$501,$BJ305)))</f>
        <v/>
      </c>
      <c r="AN305" s="6">
        <f>IF(OR($BJ305="",39&gt;設定!$B$3),"",IF(INDEX(原始資料!AP$2:AP$501,$BJ305)="","",INDEX(原始資料!AP$2:AP$501,$BJ305)))</f>
        <v/>
      </c>
      <c r="AO305" s="6">
        <f>IF(OR($BJ305="",40&gt;設定!$B$3),"",IF(INDEX(原始資料!AQ$2:AQ$501,$BJ305)="","",INDEX(原始資料!AQ$2:AQ$501,$BJ305)))</f>
        <v/>
      </c>
      <c r="AP305" s="6">
        <f>IF(OR($BJ305="",41&gt;設定!$B$3),"",IF(INDEX(原始資料!AR$2:AR$501,$BJ305)="","",INDEX(原始資料!AR$2:AR$501,$BJ305)))</f>
        <v/>
      </c>
      <c r="AQ305" s="6">
        <f>IF(OR($BJ305="",42&gt;設定!$B$3),"",IF(INDEX(原始資料!AS$2:AS$501,$BJ305)="","",INDEX(原始資料!AS$2:AS$501,$BJ305)))</f>
        <v/>
      </c>
      <c r="AR305" s="6">
        <f>IF(OR($BJ305="",43&gt;設定!$B$3),"",IF(INDEX(原始資料!AT$2:AT$501,$BJ305)="","",INDEX(原始資料!AT$2:AT$501,$BJ305)))</f>
        <v/>
      </c>
      <c r="AS305" s="6">
        <f>IF(OR($BJ305="",44&gt;設定!$B$3),"",IF(INDEX(原始資料!AU$2:AU$501,$BJ305)="","",INDEX(原始資料!AU$2:AU$501,$BJ305)))</f>
        <v/>
      </c>
      <c r="AT305" s="6">
        <f>IF(OR($BJ305="",45&gt;設定!$B$3),"",IF(INDEX(原始資料!AV$2:AV$501,$BJ305)="","",INDEX(原始資料!AV$2:AV$501,$BJ305)))</f>
        <v/>
      </c>
      <c r="AU305" s="6">
        <f>IF(OR($BJ305="",46&gt;設定!$B$3),"",IF(INDEX(原始資料!AW$2:AW$501,$BJ305)="","",INDEX(原始資料!AW$2:AW$501,$BJ305)))</f>
        <v/>
      </c>
      <c r="AV305" s="6">
        <f>IF(OR($BJ305="",47&gt;設定!$B$3),"",IF(INDEX(原始資料!AX$2:AX$501,$BJ305)="","",INDEX(原始資料!AX$2:AX$501,$BJ305)))</f>
        <v/>
      </c>
      <c r="AW305" s="6">
        <f>IF(OR($BJ305="",48&gt;設定!$B$3),"",IF(INDEX(原始資料!AY$2:AY$501,$BJ305)="","",INDEX(原始資料!AY$2:AY$501,$BJ305)))</f>
        <v/>
      </c>
      <c r="AX305" s="6">
        <f>IF(OR($BJ305="",49&gt;設定!$B$3),"",IF(INDEX(原始資料!AZ$2:AZ$501,$BJ305)="","",INDEX(原始資料!AZ$2:AZ$501,$BJ305)))</f>
        <v/>
      </c>
      <c r="AY305" s="6">
        <f>IF(OR($BJ305="",50&gt;設定!$B$3),"",IF(INDEX(原始資料!BA$2:BA$501,$BJ305)="","",INDEX(原始資料!BA$2:BA$501,$BJ305)))</f>
        <v/>
      </c>
      <c r="AZ305" s="6">
        <f>IF(OR($BJ305="",51&gt;設定!$B$3),"",IF(INDEX(原始資料!BB$2:BB$501,$BJ305)="","",INDEX(原始資料!BB$2:BB$501,$BJ305)))</f>
        <v/>
      </c>
      <c r="BA305" s="6">
        <f>IF(OR($BJ305="",52&gt;設定!$B$3),"",IF(INDEX(原始資料!BC$2:BC$501,$BJ305)="","",INDEX(原始資料!BC$2:BC$501,$BJ305)))</f>
        <v/>
      </c>
      <c r="BB305" s="6">
        <f>IF(OR($BJ305="",53&gt;設定!$B$3),"",IF(INDEX(原始資料!BD$2:BD$501,$BJ305)="","",INDEX(原始資料!BD$2:BD$501,$BJ305)))</f>
        <v/>
      </c>
      <c r="BC305" s="6">
        <f>IF(OR($BJ305="",54&gt;設定!$B$3),"",IF(INDEX(原始資料!BE$2:BE$501,$BJ305)="","",INDEX(原始資料!BE$2:BE$501,$BJ305)))</f>
        <v/>
      </c>
      <c r="BD305" s="6">
        <f>IF(OR($BJ305="",55&gt;設定!$B$3),"",IF(INDEX(原始資料!BF$2:BF$501,$BJ305)="","",INDEX(原始資料!BF$2:BF$501,$BJ305)))</f>
        <v/>
      </c>
      <c r="BE305" s="6">
        <f>IF(OR($BJ305="",56&gt;設定!$B$3),"",IF(INDEX(原始資料!BG$2:BG$501,$BJ305)="","",INDEX(原始資料!BG$2:BG$501,$BJ305)))</f>
        <v/>
      </c>
      <c r="BF305" s="6">
        <f>IF(OR($BJ305="",57&gt;設定!$B$3),"",IF(INDEX(原始資料!BH$2:BH$501,$BJ305)="","",INDEX(原始資料!BH$2:BH$501,$BJ305)))</f>
        <v/>
      </c>
      <c r="BG305" s="6">
        <f>IF(OR($BJ305="",58&gt;設定!$B$3),"",IF(INDEX(原始資料!BI$2:BI$501,$BJ305)="","",INDEX(原始資料!BI$2:BI$501,$BJ305)))</f>
        <v/>
      </c>
      <c r="BH305" s="6">
        <f>IF(OR($BJ305="",59&gt;設定!$B$3),"",IF(INDEX(原始資料!BJ$2:BJ$501,$BJ305)="","",INDEX(原始資料!BJ$2:BJ$501,$BJ305)))</f>
        <v/>
      </c>
      <c r="BI305" s="6">
        <f>IF(OR($BJ305="",60&gt;設定!$B$3),"",IF(INDEX(原始資料!BK$2:BK$501,$BJ305)="","",INDEX(原始資料!BK$2:BK$501,$BJ305)))</f>
        <v/>
      </c>
      <c r="BJ305" s="6">
        <f>IFERROR(MATCH(ROW()-1,判定!$H$2:$H$501,0),"")</f>
        <v/>
      </c>
    </row>
    <row r="306">
      <c r="A306" s="6">
        <f>IF($BJ306="","",INDEX(原始資料!$A$2:$A$501,$BJ306))</f>
        <v/>
      </c>
      <c r="B306" s="6">
        <f>IF(OR($BJ306="",1&gt;設定!$B$3),"",IF(INDEX(原始資料!D$2:D$501,$BJ306)="","",INDEX(原始資料!D$2:D$501,$BJ306)))</f>
        <v/>
      </c>
      <c r="C306" s="6">
        <f>IF(OR($BJ306="",2&gt;設定!$B$3),"",IF(INDEX(原始資料!E$2:E$501,$BJ306)="","",INDEX(原始資料!E$2:E$501,$BJ306)))</f>
        <v/>
      </c>
      <c r="D306" s="6">
        <f>IF(OR($BJ306="",3&gt;設定!$B$3),"",IF(INDEX(原始資料!F$2:F$501,$BJ306)="","",INDEX(原始資料!F$2:F$501,$BJ306)))</f>
        <v/>
      </c>
      <c r="E306" s="6">
        <f>IF(OR($BJ306="",4&gt;設定!$B$3),"",IF(INDEX(原始資料!G$2:G$501,$BJ306)="","",INDEX(原始資料!G$2:G$501,$BJ306)))</f>
        <v/>
      </c>
      <c r="F306" s="6">
        <f>IF(OR($BJ306="",5&gt;設定!$B$3),"",IF(INDEX(原始資料!H$2:H$501,$BJ306)="","",INDEX(原始資料!H$2:H$501,$BJ306)))</f>
        <v/>
      </c>
      <c r="G306" s="6">
        <f>IF(OR($BJ306="",6&gt;設定!$B$3),"",IF(INDEX(原始資料!I$2:I$501,$BJ306)="","",INDEX(原始資料!I$2:I$501,$BJ306)))</f>
        <v/>
      </c>
      <c r="H306" s="6">
        <f>IF(OR($BJ306="",7&gt;設定!$B$3),"",IF(INDEX(原始資料!J$2:J$501,$BJ306)="","",INDEX(原始資料!J$2:J$501,$BJ306)))</f>
        <v/>
      </c>
      <c r="I306" s="6">
        <f>IF(OR($BJ306="",8&gt;設定!$B$3),"",IF(INDEX(原始資料!K$2:K$501,$BJ306)="","",INDEX(原始資料!K$2:K$501,$BJ306)))</f>
        <v/>
      </c>
      <c r="J306" s="6">
        <f>IF(OR($BJ306="",9&gt;設定!$B$3),"",IF(INDEX(原始資料!L$2:L$501,$BJ306)="","",INDEX(原始資料!L$2:L$501,$BJ306)))</f>
        <v/>
      </c>
      <c r="K306" s="6">
        <f>IF(OR($BJ306="",10&gt;設定!$B$3),"",IF(INDEX(原始資料!M$2:M$501,$BJ306)="","",INDEX(原始資料!M$2:M$501,$BJ306)))</f>
        <v/>
      </c>
      <c r="L306" s="6">
        <f>IF(OR($BJ306="",11&gt;設定!$B$3),"",IF(INDEX(原始資料!N$2:N$501,$BJ306)="","",INDEX(原始資料!N$2:N$501,$BJ306)))</f>
        <v/>
      </c>
      <c r="M306" s="6">
        <f>IF(OR($BJ306="",12&gt;設定!$B$3),"",IF(INDEX(原始資料!O$2:O$501,$BJ306)="","",INDEX(原始資料!O$2:O$501,$BJ306)))</f>
        <v/>
      </c>
      <c r="N306" s="6">
        <f>IF(OR($BJ306="",13&gt;設定!$B$3),"",IF(INDEX(原始資料!P$2:P$501,$BJ306)="","",INDEX(原始資料!P$2:P$501,$BJ306)))</f>
        <v/>
      </c>
      <c r="O306" s="6">
        <f>IF(OR($BJ306="",14&gt;設定!$B$3),"",IF(INDEX(原始資料!Q$2:Q$501,$BJ306)="","",INDEX(原始資料!Q$2:Q$501,$BJ306)))</f>
        <v/>
      </c>
      <c r="P306" s="6">
        <f>IF(OR($BJ306="",15&gt;設定!$B$3),"",IF(INDEX(原始資料!R$2:R$501,$BJ306)="","",INDEX(原始資料!R$2:R$501,$BJ306)))</f>
        <v/>
      </c>
      <c r="Q306" s="6">
        <f>IF(OR($BJ306="",16&gt;設定!$B$3),"",IF(INDEX(原始資料!S$2:S$501,$BJ306)="","",INDEX(原始資料!S$2:S$501,$BJ306)))</f>
        <v/>
      </c>
      <c r="R306" s="6">
        <f>IF(OR($BJ306="",17&gt;設定!$B$3),"",IF(INDEX(原始資料!T$2:T$501,$BJ306)="","",INDEX(原始資料!T$2:T$501,$BJ306)))</f>
        <v/>
      </c>
      <c r="S306" s="6">
        <f>IF(OR($BJ306="",18&gt;設定!$B$3),"",IF(INDEX(原始資料!U$2:U$501,$BJ306)="","",INDEX(原始資料!U$2:U$501,$BJ306)))</f>
        <v/>
      </c>
      <c r="T306" s="6">
        <f>IF(OR($BJ306="",19&gt;設定!$B$3),"",IF(INDEX(原始資料!V$2:V$501,$BJ306)="","",INDEX(原始資料!V$2:V$501,$BJ306)))</f>
        <v/>
      </c>
      <c r="U306" s="6">
        <f>IF(OR($BJ306="",20&gt;設定!$B$3),"",IF(INDEX(原始資料!W$2:W$501,$BJ306)="","",INDEX(原始資料!W$2:W$501,$BJ306)))</f>
        <v/>
      </c>
      <c r="V306" s="6">
        <f>IF(OR($BJ306="",21&gt;設定!$B$3),"",IF(INDEX(原始資料!X$2:X$501,$BJ306)="","",INDEX(原始資料!X$2:X$501,$BJ306)))</f>
        <v/>
      </c>
      <c r="W306" s="6">
        <f>IF(OR($BJ306="",22&gt;設定!$B$3),"",IF(INDEX(原始資料!Y$2:Y$501,$BJ306)="","",INDEX(原始資料!Y$2:Y$501,$BJ306)))</f>
        <v/>
      </c>
      <c r="X306" s="6">
        <f>IF(OR($BJ306="",23&gt;設定!$B$3),"",IF(INDEX(原始資料!Z$2:Z$501,$BJ306)="","",INDEX(原始資料!Z$2:Z$501,$BJ306)))</f>
        <v/>
      </c>
      <c r="Y306" s="6">
        <f>IF(OR($BJ306="",24&gt;設定!$B$3),"",IF(INDEX(原始資料!AA$2:AA$501,$BJ306)="","",INDEX(原始資料!AA$2:AA$501,$BJ306)))</f>
        <v/>
      </c>
      <c r="Z306" s="6">
        <f>IF(OR($BJ306="",25&gt;設定!$B$3),"",IF(INDEX(原始資料!AB$2:AB$501,$BJ306)="","",INDEX(原始資料!AB$2:AB$501,$BJ306)))</f>
        <v/>
      </c>
      <c r="AA306" s="6">
        <f>IF(OR($BJ306="",26&gt;設定!$B$3),"",IF(INDEX(原始資料!AC$2:AC$501,$BJ306)="","",INDEX(原始資料!AC$2:AC$501,$BJ306)))</f>
        <v/>
      </c>
      <c r="AB306" s="6">
        <f>IF(OR($BJ306="",27&gt;設定!$B$3),"",IF(INDEX(原始資料!AD$2:AD$501,$BJ306)="","",INDEX(原始資料!AD$2:AD$501,$BJ306)))</f>
        <v/>
      </c>
      <c r="AC306" s="6">
        <f>IF(OR($BJ306="",28&gt;設定!$B$3),"",IF(INDEX(原始資料!AE$2:AE$501,$BJ306)="","",INDEX(原始資料!AE$2:AE$501,$BJ306)))</f>
        <v/>
      </c>
      <c r="AD306" s="6">
        <f>IF(OR($BJ306="",29&gt;設定!$B$3),"",IF(INDEX(原始資料!AF$2:AF$501,$BJ306)="","",INDEX(原始資料!AF$2:AF$501,$BJ306)))</f>
        <v/>
      </c>
      <c r="AE306" s="6">
        <f>IF(OR($BJ306="",30&gt;設定!$B$3),"",IF(INDEX(原始資料!AG$2:AG$501,$BJ306)="","",INDEX(原始資料!AG$2:AG$501,$BJ306)))</f>
        <v/>
      </c>
      <c r="AF306" s="6">
        <f>IF(OR($BJ306="",31&gt;設定!$B$3),"",IF(INDEX(原始資料!AH$2:AH$501,$BJ306)="","",INDEX(原始資料!AH$2:AH$501,$BJ306)))</f>
        <v/>
      </c>
      <c r="AG306" s="6">
        <f>IF(OR($BJ306="",32&gt;設定!$B$3),"",IF(INDEX(原始資料!AI$2:AI$501,$BJ306)="","",INDEX(原始資料!AI$2:AI$501,$BJ306)))</f>
        <v/>
      </c>
      <c r="AH306" s="6">
        <f>IF(OR($BJ306="",33&gt;設定!$B$3),"",IF(INDEX(原始資料!AJ$2:AJ$501,$BJ306)="","",INDEX(原始資料!AJ$2:AJ$501,$BJ306)))</f>
        <v/>
      </c>
      <c r="AI306" s="6">
        <f>IF(OR($BJ306="",34&gt;設定!$B$3),"",IF(INDEX(原始資料!AK$2:AK$501,$BJ306)="","",INDEX(原始資料!AK$2:AK$501,$BJ306)))</f>
        <v/>
      </c>
      <c r="AJ306" s="6">
        <f>IF(OR($BJ306="",35&gt;設定!$B$3),"",IF(INDEX(原始資料!AL$2:AL$501,$BJ306)="","",INDEX(原始資料!AL$2:AL$501,$BJ306)))</f>
        <v/>
      </c>
      <c r="AK306" s="6">
        <f>IF(OR($BJ306="",36&gt;設定!$B$3),"",IF(INDEX(原始資料!AM$2:AM$501,$BJ306)="","",INDEX(原始資料!AM$2:AM$501,$BJ306)))</f>
        <v/>
      </c>
      <c r="AL306" s="6">
        <f>IF(OR($BJ306="",37&gt;設定!$B$3),"",IF(INDEX(原始資料!AN$2:AN$501,$BJ306)="","",INDEX(原始資料!AN$2:AN$501,$BJ306)))</f>
        <v/>
      </c>
      <c r="AM306" s="6">
        <f>IF(OR($BJ306="",38&gt;設定!$B$3),"",IF(INDEX(原始資料!AO$2:AO$501,$BJ306)="","",INDEX(原始資料!AO$2:AO$501,$BJ306)))</f>
        <v/>
      </c>
      <c r="AN306" s="6">
        <f>IF(OR($BJ306="",39&gt;設定!$B$3),"",IF(INDEX(原始資料!AP$2:AP$501,$BJ306)="","",INDEX(原始資料!AP$2:AP$501,$BJ306)))</f>
        <v/>
      </c>
      <c r="AO306" s="6">
        <f>IF(OR($BJ306="",40&gt;設定!$B$3),"",IF(INDEX(原始資料!AQ$2:AQ$501,$BJ306)="","",INDEX(原始資料!AQ$2:AQ$501,$BJ306)))</f>
        <v/>
      </c>
      <c r="AP306" s="6">
        <f>IF(OR($BJ306="",41&gt;設定!$B$3),"",IF(INDEX(原始資料!AR$2:AR$501,$BJ306)="","",INDEX(原始資料!AR$2:AR$501,$BJ306)))</f>
        <v/>
      </c>
      <c r="AQ306" s="6">
        <f>IF(OR($BJ306="",42&gt;設定!$B$3),"",IF(INDEX(原始資料!AS$2:AS$501,$BJ306)="","",INDEX(原始資料!AS$2:AS$501,$BJ306)))</f>
        <v/>
      </c>
      <c r="AR306" s="6">
        <f>IF(OR($BJ306="",43&gt;設定!$B$3),"",IF(INDEX(原始資料!AT$2:AT$501,$BJ306)="","",INDEX(原始資料!AT$2:AT$501,$BJ306)))</f>
        <v/>
      </c>
      <c r="AS306" s="6">
        <f>IF(OR($BJ306="",44&gt;設定!$B$3),"",IF(INDEX(原始資料!AU$2:AU$501,$BJ306)="","",INDEX(原始資料!AU$2:AU$501,$BJ306)))</f>
        <v/>
      </c>
      <c r="AT306" s="6">
        <f>IF(OR($BJ306="",45&gt;設定!$B$3),"",IF(INDEX(原始資料!AV$2:AV$501,$BJ306)="","",INDEX(原始資料!AV$2:AV$501,$BJ306)))</f>
        <v/>
      </c>
      <c r="AU306" s="6">
        <f>IF(OR($BJ306="",46&gt;設定!$B$3),"",IF(INDEX(原始資料!AW$2:AW$501,$BJ306)="","",INDEX(原始資料!AW$2:AW$501,$BJ306)))</f>
        <v/>
      </c>
      <c r="AV306" s="6">
        <f>IF(OR($BJ306="",47&gt;設定!$B$3),"",IF(INDEX(原始資料!AX$2:AX$501,$BJ306)="","",INDEX(原始資料!AX$2:AX$501,$BJ306)))</f>
        <v/>
      </c>
      <c r="AW306" s="6">
        <f>IF(OR($BJ306="",48&gt;設定!$B$3),"",IF(INDEX(原始資料!AY$2:AY$501,$BJ306)="","",INDEX(原始資料!AY$2:AY$501,$BJ306)))</f>
        <v/>
      </c>
      <c r="AX306" s="6">
        <f>IF(OR($BJ306="",49&gt;設定!$B$3),"",IF(INDEX(原始資料!AZ$2:AZ$501,$BJ306)="","",INDEX(原始資料!AZ$2:AZ$501,$BJ306)))</f>
        <v/>
      </c>
      <c r="AY306" s="6">
        <f>IF(OR($BJ306="",50&gt;設定!$B$3),"",IF(INDEX(原始資料!BA$2:BA$501,$BJ306)="","",INDEX(原始資料!BA$2:BA$501,$BJ306)))</f>
        <v/>
      </c>
      <c r="AZ306" s="6">
        <f>IF(OR($BJ306="",51&gt;設定!$B$3),"",IF(INDEX(原始資料!BB$2:BB$501,$BJ306)="","",INDEX(原始資料!BB$2:BB$501,$BJ306)))</f>
        <v/>
      </c>
      <c r="BA306" s="6">
        <f>IF(OR($BJ306="",52&gt;設定!$B$3),"",IF(INDEX(原始資料!BC$2:BC$501,$BJ306)="","",INDEX(原始資料!BC$2:BC$501,$BJ306)))</f>
        <v/>
      </c>
      <c r="BB306" s="6">
        <f>IF(OR($BJ306="",53&gt;設定!$B$3),"",IF(INDEX(原始資料!BD$2:BD$501,$BJ306)="","",INDEX(原始資料!BD$2:BD$501,$BJ306)))</f>
        <v/>
      </c>
      <c r="BC306" s="6">
        <f>IF(OR($BJ306="",54&gt;設定!$B$3),"",IF(INDEX(原始資料!BE$2:BE$501,$BJ306)="","",INDEX(原始資料!BE$2:BE$501,$BJ306)))</f>
        <v/>
      </c>
      <c r="BD306" s="6">
        <f>IF(OR($BJ306="",55&gt;設定!$B$3),"",IF(INDEX(原始資料!BF$2:BF$501,$BJ306)="","",INDEX(原始資料!BF$2:BF$501,$BJ306)))</f>
        <v/>
      </c>
      <c r="BE306" s="6">
        <f>IF(OR($BJ306="",56&gt;設定!$B$3),"",IF(INDEX(原始資料!BG$2:BG$501,$BJ306)="","",INDEX(原始資料!BG$2:BG$501,$BJ306)))</f>
        <v/>
      </c>
      <c r="BF306" s="6">
        <f>IF(OR($BJ306="",57&gt;設定!$B$3),"",IF(INDEX(原始資料!BH$2:BH$501,$BJ306)="","",INDEX(原始資料!BH$2:BH$501,$BJ306)))</f>
        <v/>
      </c>
      <c r="BG306" s="6">
        <f>IF(OR($BJ306="",58&gt;設定!$B$3),"",IF(INDEX(原始資料!BI$2:BI$501,$BJ306)="","",INDEX(原始資料!BI$2:BI$501,$BJ306)))</f>
        <v/>
      </c>
      <c r="BH306" s="6">
        <f>IF(OR($BJ306="",59&gt;設定!$B$3),"",IF(INDEX(原始資料!BJ$2:BJ$501,$BJ306)="","",INDEX(原始資料!BJ$2:BJ$501,$BJ306)))</f>
        <v/>
      </c>
      <c r="BI306" s="6">
        <f>IF(OR($BJ306="",60&gt;設定!$B$3),"",IF(INDEX(原始資料!BK$2:BK$501,$BJ306)="","",INDEX(原始資料!BK$2:BK$501,$BJ306)))</f>
        <v/>
      </c>
      <c r="BJ306" s="6">
        <f>IFERROR(MATCH(ROW()-1,判定!$H$2:$H$501,0),"")</f>
        <v/>
      </c>
    </row>
    <row r="307">
      <c r="A307" s="6">
        <f>IF($BJ307="","",INDEX(原始資料!$A$2:$A$501,$BJ307))</f>
        <v/>
      </c>
      <c r="B307" s="6">
        <f>IF(OR($BJ307="",1&gt;設定!$B$3),"",IF(INDEX(原始資料!D$2:D$501,$BJ307)="","",INDEX(原始資料!D$2:D$501,$BJ307)))</f>
        <v/>
      </c>
      <c r="C307" s="6">
        <f>IF(OR($BJ307="",2&gt;設定!$B$3),"",IF(INDEX(原始資料!E$2:E$501,$BJ307)="","",INDEX(原始資料!E$2:E$501,$BJ307)))</f>
        <v/>
      </c>
      <c r="D307" s="6">
        <f>IF(OR($BJ307="",3&gt;設定!$B$3),"",IF(INDEX(原始資料!F$2:F$501,$BJ307)="","",INDEX(原始資料!F$2:F$501,$BJ307)))</f>
        <v/>
      </c>
      <c r="E307" s="6">
        <f>IF(OR($BJ307="",4&gt;設定!$B$3),"",IF(INDEX(原始資料!G$2:G$501,$BJ307)="","",INDEX(原始資料!G$2:G$501,$BJ307)))</f>
        <v/>
      </c>
      <c r="F307" s="6">
        <f>IF(OR($BJ307="",5&gt;設定!$B$3),"",IF(INDEX(原始資料!H$2:H$501,$BJ307)="","",INDEX(原始資料!H$2:H$501,$BJ307)))</f>
        <v/>
      </c>
      <c r="G307" s="6">
        <f>IF(OR($BJ307="",6&gt;設定!$B$3),"",IF(INDEX(原始資料!I$2:I$501,$BJ307)="","",INDEX(原始資料!I$2:I$501,$BJ307)))</f>
        <v/>
      </c>
      <c r="H307" s="6">
        <f>IF(OR($BJ307="",7&gt;設定!$B$3),"",IF(INDEX(原始資料!J$2:J$501,$BJ307)="","",INDEX(原始資料!J$2:J$501,$BJ307)))</f>
        <v/>
      </c>
      <c r="I307" s="6">
        <f>IF(OR($BJ307="",8&gt;設定!$B$3),"",IF(INDEX(原始資料!K$2:K$501,$BJ307)="","",INDEX(原始資料!K$2:K$501,$BJ307)))</f>
        <v/>
      </c>
      <c r="J307" s="6">
        <f>IF(OR($BJ307="",9&gt;設定!$B$3),"",IF(INDEX(原始資料!L$2:L$501,$BJ307)="","",INDEX(原始資料!L$2:L$501,$BJ307)))</f>
        <v/>
      </c>
      <c r="K307" s="6">
        <f>IF(OR($BJ307="",10&gt;設定!$B$3),"",IF(INDEX(原始資料!M$2:M$501,$BJ307)="","",INDEX(原始資料!M$2:M$501,$BJ307)))</f>
        <v/>
      </c>
      <c r="L307" s="6">
        <f>IF(OR($BJ307="",11&gt;設定!$B$3),"",IF(INDEX(原始資料!N$2:N$501,$BJ307)="","",INDEX(原始資料!N$2:N$501,$BJ307)))</f>
        <v/>
      </c>
      <c r="M307" s="6">
        <f>IF(OR($BJ307="",12&gt;設定!$B$3),"",IF(INDEX(原始資料!O$2:O$501,$BJ307)="","",INDEX(原始資料!O$2:O$501,$BJ307)))</f>
        <v/>
      </c>
      <c r="N307" s="6">
        <f>IF(OR($BJ307="",13&gt;設定!$B$3),"",IF(INDEX(原始資料!P$2:P$501,$BJ307)="","",INDEX(原始資料!P$2:P$501,$BJ307)))</f>
        <v/>
      </c>
      <c r="O307" s="6">
        <f>IF(OR($BJ307="",14&gt;設定!$B$3),"",IF(INDEX(原始資料!Q$2:Q$501,$BJ307)="","",INDEX(原始資料!Q$2:Q$501,$BJ307)))</f>
        <v/>
      </c>
      <c r="P307" s="6">
        <f>IF(OR($BJ307="",15&gt;設定!$B$3),"",IF(INDEX(原始資料!R$2:R$501,$BJ307)="","",INDEX(原始資料!R$2:R$501,$BJ307)))</f>
        <v/>
      </c>
      <c r="Q307" s="6">
        <f>IF(OR($BJ307="",16&gt;設定!$B$3),"",IF(INDEX(原始資料!S$2:S$501,$BJ307)="","",INDEX(原始資料!S$2:S$501,$BJ307)))</f>
        <v/>
      </c>
      <c r="R307" s="6">
        <f>IF(OR($BJ307="",17&gt;設定!$B$3),"",IF(INDEX(原始資料!T$2:T$501,$BJ307)="","",INDEX(原始資料!T$2:T$501,$BJ307)))</f>
        <v/>
      </c>
      <c r="S307" s="6">
        <f>IF(OR($BJ307="",18&gt;設定!$B$3),"",IF(INDEX(原始資料!U$2:U$501,$BJ307)="","",INDEX(原始資料!U$2:U$501,$BJ307)))</f>
        <v/>
      </c>
      <c r="T307" s="6">
        <f>IF(OR($BJ307="",19&gt;設定!$B$3),"",IF(INDEX(原始資料!V$2:V$501,$BJ307)="","",INDEX(原始資料!V$2:V$501,$BJ307)))</f>
        <v/>
      </c>
      <c r="U307" s="6">
        <f>IF(OR($BJ307="",20&gt;設定!$B$3),"",IF(INDEX(原始資料!W$2:W$501,$BJ307)="","",INDEX(原始資料!W$2:W$501,$BJ307)))</f>
        <v/>
      </c>
      <c r="V307" s="6">
        <f>IF(OR($BJ307="",21&gt;設定!$B$3),"",IF(INDEX(原始資料!X$2:X$501,$BJ307)="","",INDEX(原始資料!X$2:X$501,$BJ307)))</f>
        <v/>
      </c>
      <c r="W307" s="6">
        <f>IF(OR($BJ307="",22&gt;設定!$B$3),"",IF(INDEX(原始資料!Y$2:Y$501,$BJ307)="","",INDEX(原始資料!Y$2:Y$501,$BJ307)))</f>
        <v/>
      </c>
      <c r="X307" s="6">
        <f>IF(OR($BJ307="",23&gt;設定!$B$3),"",IF(INDEX(原始資料!Z$2:Z$501,$BJ307)="","",INDEX(原始資料!Z$2:Z$501,$BJ307)))</f>
        <v/>
      </c>
      <c r="Y307" s="6">
        <f>IF(OR($BJ307="",24&gt;設定!$B$3),"",IF(INDEX(原始資料!AA$2:AA$501,$BJ307)="","",INDEX(原始資料!AA$2:AA$501,$BJ307)))</f>
        <v/>
      </c>
      <c r="Z307" s="6">
        <f>IF(OR($BJ307="",25&gt;設定!$B$3),"",IF(INDEX(原始資料!AB$2:AB$501,$BJ307)="","",INDEX(原始資料!AB$2:AB$501,$BJ307)))</f>
        <v/>
      </c>
      <c r="AA307" s="6">
        <f>IF(OR($BJ307="",26&gt;設定!$B$3),"",IF(INDEX(原始資料!AC$2:AC$501,$BJ307)="","",INDEX(原始資料!AC$2:AC$501,$BJ307)))</f>
        <v/>
      </c>
      <c r="AB307" s="6">
        <f>IF(OR($BJ307="",27&gt;設定!$B$3),"",IF(INDEX(原始資料!AD$2:AD$501,$BJ307)="","",INDEX(原始資料!AD$2:AD$501,$BJ307)))</f>
        <v/>
      </c>
      <c r="AC307" s="6">
        <f>IF(OR($BJ307="",28&gt;設定!$B$3),"",IF(INDEX(原始資料!AE$2:AE$501,$BJ307)="","",INDEX(原始資料!AE$2:AE$501,$BJ307)))</f>
        <v/>
      </c>
      <c r="AD307" s="6">
        <f>IF(OR($BJ307="",29&gt;設定!$B$3),"",IF(INDEX(原始資料!AF$2:AF$501,$BJ307)="","",INDEX(原始資料!AF$2:AF$501,$BJ307)))</f>
        <v/>
      </c>
      <c r="AE307" s="6">
        <f>IF(OR($BJ307="",30&gt;設定!$B$3),"",IF(INDEX(原始資料!AG$2:AG$501,$BJ307)="","",INDEX(原始資料!AG$2:AG$501,$BJ307)))</f>
        <v/>
      </c>
      <c r="AF307" s="6">
        <f>IF(OR($BJ307="",31&gt;設定!$B$3),"",IF(INDEX(原始資料!AH$2:AH$501,$BJ307)="","",INDEX(原始資料!AH$2:AH$501,$BJ307)))</f>
        <v/>
      </c>
      <c r="AG307" s="6">
        <f>IF(OR($BJ307="",32&gt;設定!$B$3),"",IF(INDEX(原始資料!AI$2:AI$501,$BJ307)="","",INDEX(原始資料!AI$2:AI$501,$BJ307)))</f>
        <v/>
      </c>
      <c r="AH307" s="6">
        <f>IF(OR($BJ307="",33&gt;設定!$B$3),"",IF(INDEX(原始資料!AJ$2:AJ$501,$BJ307)="","",INDEX(原始資料!AJ$2:AJ$501,$BJ307)))</f>
        <v/>
      </c>
      <c r="AI307" s="6">
        <f>IF(OR($BJ307="",34&gt;設定!$B$3),"",IF(INDEX(原始資料!AK$2:AK$501,$BJ307)="","",INDEX(原始資料!AK$2:AK$501,$BJ307)))</f>
        <v/>
      </c>
      <c r="AJ307" s="6">
        <f>IF(OR($BJ307="",35&gt;設定!$B$3),"",IF(INDEX(原始資料!AL$2:AL$501,$BJ307)="","",INDEX(原始資料!AL$2:AL$501,$BJ307)))</f>
        <v/>
      </c>
      <c r="AK307" s="6">
        <f>IF(OR($BJ307="",36&gt;設定!$B$3),"",IF(INDEX(原始資料!AM$2:AM$501,$BJ307)="","",INDEX(原始資料!AM$2:AM$501,$BJ307)))</f>
        <v/>
      </c>
      <c r="AL307" s="6">
        <f>IF(OR($BJ307="",37&gt;設定!$B$3),"",IF(INDEX(原始資料!AN$2:AN$501,$BJ307)="","",INDEX(原始資料!AN$2:AN$501,$BJ307)))</f>
        <v/>
      </c>
      <c r="AM307" s="6">
        <f>IF(OR($BJ307="",38&gt;設定!$B$3),"",IF(INDEX(原始資料!AO$2:AO$501,$BJ307)="","",INDEX(原始資料!AO$2:AO$501,$BJ307)))</f>
        <v/>
      </c>
      <c r="AN307" s="6">
        <f>IF(OR($BJ307="",39&gt;設定!$B$3),"",IF(INDEX(原始資料!AP$2:AP$501,$BJ307)="","",INDEX(原始資料!AP$2:AP$501,$BJ307)))</f>
        <v/>
      </c>
      <c r="AO307" s="6">
        <f>IF(OR($BJ307="",40&gt;設定!$B$3),"",IF(INDEX(原始資料!AQ$2:AQ$501,$BJ307)="","",INDEX(原始資料!AQ$2:AQ$501,$BJ307)))</f>
        <v/>
      </c>
      <c r="AP307" s="6">
        <f>IF(OR($BJ307="",41&gt;設定!$B$3),"",IF(INDEX(原始資料!AR$2:AR$501,$BJ307)="","",INDEX(原始資料!AR$2:AR$501,$BJ307)))</f>
        <v/>
      </c>
      <c r="AQ307" s="6">
        <f>IF(OR($BJ307="",42&gt;設定!$B$3),"",IF(INDEX(原始資料!AS$2:AS$501,$BJ307)="","",INDEX(原始資料!AS$2:AS$501,$BJ307)))</f>
        <v/>
      </c>
      <c r="AR307" s="6">
        <f>IF(OR($BJ307="",43&gt;設定!$B$3),"",IF(INDEX(原始資料!AT$2:AT$501,$BJ307)="","",INDEX(原始資料!AT$2:AT$501,$BJ307)))</f>
        <v/>
      </c>
      <c r="AS307" s="6">
        <f>IF(OR($BJ307="",44&gt;設定!$B$3),"",IF(INDEX(原始資料!AU$2:AU$501,$BJ307)="","",INDEX(原始資料!AU$2:AU$501,$BJ307)))</f>
        <v/>
      </c>
      <c r="AT307" s="6">
        <f>IF(OR($BJ307="",45&gt;設定!$B$3),"",IF(INDEX(原始資料!AV$2:AV$501,$BJ307)="","",INDEX(原始資料!AV$2:AV$501,$BJ307)))</f>
        <v/>
      </c>
      <c r="AU307" s="6">
        <f>IF(OR($BJ307="",46&gt;設定!$B$3),"",IF(INDEX(原始資料!AW$2:AW$501,$BJ307)="","",INDEX(原始資料!AW$2:AW$501,$BJ307)))</f>
        <v/>
      </c>
      <c r="AV307" s="6">
        <f>IF(OR($BJ307="",47&gt;設定!$B$3),"",IF(INDEX(原始資料!AX$2:AX$501,$BJ307)="","",INDEX(原始資料!AX$2:AX$501,$BJ307)))</f>
        <v/>
      </c>
      <c r="AW307" s="6">
        <f>IF(OR($BJ307="",48&gt;設定!$B$3),"",IF(INDEX(原始資料!AY$2:AY$501,$BJ307)="","",INDEX(原始資料!AY$2:AY$501,$BJ307)))</f>
        <v/>
      </c>
      <c r="AX307" s="6">
        <f>IF(OR($BJ307="",49&gt;設定!$B$3),"",IF(INDEX(原始資料!AZ$2:AZ$501,$BJ307)="","",INDEX(原始資料!AZ$2:AZ$501,$BJ307)))</f>
        <v/>
      </c>
      <c r="AY307" s="6">
        <f>IF(OR($BJ307="",50&gt;設定!$B$3),"",IF(INDEX(原始資料!BA$2:BA$501,$BJ307)="","",INDEX(原始資料!BA$2:BA$501,$BJ307)))</f>
        <v/>
      </c>
      <c r="AZ307" s="6">
        <f>IF(OR($BJ307="",51&gt;設定!$B$3),"",IF(INDEX(原始資料!BB$2:BB$501,$BJ307)="","",INDEX(原始資料!BB$2:BB$501,$BJ307)))</f>
        <v/>
      </c>
      <c r="BA307" s="6">
        <f>IF(OR($BJ307="",52&gt;設定!$B$3),"",IF(INDEX(原始資料!BC$2:BC$501,$BJ307)="","",INDEX(原始資料!BC$2:BC$501,$BJ307)))</f>
        <v/>
      </c>
      <c r="BB307" s="6">
        <f>IF(OR($BJ307="",53&gt;設定!$B$3),"",IF(INDEX(原始資料!BD$2:BD$501,$BJ307)="","",INDEX(原始資料!BD$2:BD$501,$BJ307)))</f>
        <v/>
      </c>
      <c r="BC307" s="6">
        <f>IF(OR($BJ307="",54&gt;設定!$B$3),"",IF(INDEX(原始資料!BE$2:BE$501,$BJ307)="","",INDEX(原始資料!BE$2:BE$501,$BJ307)))</f>
        <v/>
      </c>
      <c r="BD307" s="6">
        <f>IF(OR($BJ307="",55&gt;設定!$B$3),"",IF(INDEX(原始資料!BF$2:BF$501,$BJ307)="","",INDEX(原始資料!BF$2:BF$501,$BJ307)))</f>
        <v/>
      </c>
      <c r="BE307" s="6">
        <f>IF(OR($BJ307="",56&gt;設定!$B$3),"",IF(INDEX(原始資料!BG$2:BG$501,$BJ307)="","",INDEX(原始資料!BG$2:BG$501,$BJ307)))</f>
        <v/>
      </c>
      <c r="BF307" s="6">
        <f>IF(OR($BJ307="",57&gt;設定!$B$3),"",IF(INDEX(原始資料!BH$2:BH$501,$BJ307)="","",INDEX(原始資料!BH$2:BH$501,$BJ307)))</f>
        <v/>
      </c>
      <c r="BG307" s="6">
        <f>IF(OR($BJ307="",58&gt;設定!$B$3),"",IF(INDEX(原始資料!BI$2:BI$501,$BJ307)="","",INDEX(原始資料!BI$2:BI$501,$BJ307)))</f>
        <v/>
      </c>
      <c r="BH307" s="6">
        <f>IF(OR($BJ307="",59&gt;設定!$B$3),"",IF(INDEX(原始資料!BJ$2:BJ$501,$BJ307)="","",INDEX(原始資料!BJ$2:BJ$501,$BJ307)))</f>
        <v/>
      </c>
      <c r="BI307" s="6">
        <f>IF(OR($BJ307="",60&gt;設定!$B$3),"",IF(INDEX(原始資料!BK$2:BK$501,$BJ307)="","",INDEX(原始資料!BK$2:BK$501,$BJ307)))</f>
        <v/>
      </c>
      <c r="BJ307" s="6">
        <f>IFERROR(MATCH(ROW()-1,判定!$H$2:$H$501,0),"")</f>
        <v/>
      </c>
    </row>
    <row r="308">
      <c r="A308" s="6">
        <f>IF($BJ308="","",INDEX(原始資料!$A$2:$A$501,$BJ308))</f>
        <v/>
      </c>
      <c r="B308" s="6">
        <f>IF(OR($BJ308="",1&gt;設定!$B$3),"",IF(INDEX(原始資料!D$2:D$501,$BJ308)="","",INDEX(原始資料!D$2:D$501,$BJ308)))</f>
        <v/>
      </c>
      <c r="C308" s="6">
        <f>IF(OR($BJ308="",2&gt;設定!$B$3),"",IF(INDEX(原始資料!E$2:E$501,$BJ308)="","",INDEX(原始資料!E$2:E$501,$BJ308)))</f>
        <v/>
      </c>
      <c r="D308" s="6">
        <f>IF(OR($BJ308="",3&gt;設定!$B$3),"",IF(INDEX(原始資料!F$2:F$501,$BJ308)="","",INDEX(原始資料!F$2:F$501,$BJ308)))</f>
        <v/>
      </c>
      <c r="E308" s="6">
        <f>IF(OR($BJ308="",4&gt;設定!$B$3),"",IF(INDEX(原始資料!G$2:G$501,$BJ308)="","",INDEX(原始資料!G$2:G$501,$BJ308)))</f>
        <v/>
      </c>
      <c r="F308" s="6">
        <f>IF(OR($BJ308="",5&gt;設定!$B$3),"",IF(INDEX(原始資料!H$2:H$501,$BJ308)="","",INDEX(原始資料!H$2:H$501,$BJ308)))</f>
        <v/>
      </c>
      <c r="G308" s="6">
        <f>IF(OR($BJ308="",6&gt;設定!$B$3),"",IF(INDEX(原始資料!I$2:I$501,$BJ308)="","",INDEX(原始資料!I$2:I$501,$BJ308)))</f>
        <v/>
      </c>
      <c r="H308" s="6">
        <f>IF(OR($BJ308="",7&gt;設定!$B$3),"",IF(INDEX(原始資料!J$2:J$501,$BJ308)="","",INDEX(原始資料!J$2:J$501,$BJ308)))</f>
        <v/>
      </c>
      <c r="I308" s="6">
        <f>IF(OR($BJ308="",8&gt;設定!$B$3),"",IF(INDEX(原始資料!K$2:K$501,$BJ308)="","",INDEX(原始資料!K$2:K$501,$BJ308)))</f>
        <v/>
      </c>
      <c r="J308" s="6">
        <f>IF(OR($BJ308="",9&gt;設定!$B$3),"",IF(INDEX(原始資料!L$2:L$501,$BJ308)="","",INDEX(原始資料!L$2:L$501,$BJ308)))</f>
        <v/>
      </c>
      <c r="K308" s="6">
        <f>IF(OR($BJ308="",10&gt;設定!$B$3),"",IF(INDEX(原始資料!M$2:M$501,$BJ308)="","",INDEX(原始資料!M$2:M$501,$BJ308)))</f>
        <v/>
      </c>
      <c r="L308" s="6">
        <f>IF(OR($BJ308="",11&gt;設定!$B$3),"",IF(INDEX(原始資料!N$2:N$501,$BJ308)="","",INDEX(原始資料!N$2:N$501,$BJ308)))</f>
        <v/>
      </c>
      <c r="M308" s="6">
        <f>IF(OR($BJ308="",12&gt;設定!$B$3),"",IF(INDEX(原始資料!O$2:O$501,$BJ308)="","",INDEX(原始資料!O$2:O$501,$BJ308)))</f>
        <v/>
      </c>
      <c r="N308" s="6">
        <f>IF(OR($BJ308="",13&gt;設定!$B$3),"",IF(INDEX(原始資料!P$2:P$501,$BJ308)="","",INDEX(原始資料!P$2:P$501,$BJ308)))</f>
        <v/>
      </c>
      <c r="O308" s="6">
        <f>IF(OR($BJ308="",14&gt;設定!$B$3),"",IF(INDEX(原始資料!Q$2:Q$501,$BJ308)="","",INDEX(原始資料!Q$2:Q$501,$BJ308)))</f>
        <v/>
      </c>
      <c r="P308" s="6">
        <f>IF(OR($BJ308="",15&gt;設定!$B$3),"",IF(INDEX(原始資料!R$2:R$501,$BJ308)="","",INDEX(原始資料!R$2:R$501,$BJ308)))</f>
        <v/>
      </c>
      <c r="Q308" s="6">
        <f>IF(OR($BJ308="",16&gt;設定!$B$3),"",IF(INDEX(原始資料!S$2:S$501,$BJ308)="","",INDEX(原始資料!S$2:S$501,$BJ308)))</f>
        <v/>
      </c>
      <c r="R308" s="6">
        <f>IF(OR($BJ308="",17&gt;設定!$B$3),"",IF(INDEX(原始資料!T$2:T$501,$BJ308)="","",INDEX(原始資料!T$2:T$501,$BJ308)))</f>
        <v/>
      </c>
      <c r="S308" s="6">
        <f>IF(OR($BJ308="",18&gt;設定!$B$3),"",IF(INDEX(原始資料!U$2:U$501,$BJ308)="","",INDEX(原始資料!U$2:U$501,$BJ308)))</f>
        <v/>
      </c>
      <c r="T308" s="6">
        <f>IF(OR($BJ308="",19&gt;設定!$B$3),"",IF(INDEX(原始資料!V$2:V$501,$BJ308)="","",INDEX(原始資料!V$2:V$501,$BJ308)))</f>
        <v/>
      </c>
      <c r="U308" s="6">
        <f>IF(OR($BJ308="",20&gt;設定!$B$3),"",IF(INDEX(原始資料!W$2:W$501,$BJ308)="","",INDEX(原始資料!W$2:W$501,$BJ308)))</f>
        <v/>
      </c>
      <c r="V308" s="6">
        <f>IF(OR($BJ308="",21&gt;設定!$B$3),"",IF(INDEX(原始資料!X$2:X$501,$BJ308)="","",INDEX(原始資料!X$2:X$501,$BJ308)))</f>
        <v/>
      </c>
      <c r="W308" s="6">
        <f>IF(OR($BJ308="",22&gt;設定!$B$3),"",IF(INDEX(原始資料!Y$2:Y$501,$BJ308)="","",INDEX(原始資料!Y$2:Y$501,$BJ308)))</f>
        <v/>
      </c>
      <c r="X308" s="6">
        <f>IF(OR($BJ308="",23&gt;設定!$B$3),"",IF(INDEX(原始資料!Z$2:Z$501,$BJ308)="","",INDEX(原始資料!Z$2:Z$501,$BJ308)))</f>
        <v/>
      </c>
      <c r="Y308" s="6">
        <f>IF(OR($BJ308="",24&gt;設定!$B$3),"",IF(INDEX(原始資料!AA$2:AA$501,$BJ308)="","",INDEX(原始資料!AA$2:AA$501,$BJ308)))</f>
        <v/>
      </c>
      <c r="Z308" s="6">
        <f>IF(OR($BJ308="",25&gt;設定!$B$3),"",IF(INDEX(原始資料!AB$2:AB$501,$BJ308)="","",INDEX(原始資料!AB$2:AB$501,$BJ308)))</f>
        <v/>
      </c>
      <c r="AA308" s="6">
        <f>IF(OR($BJ308="",26&gt;設定!$B$3),"",IF(INDEX(原始資料!AC$2:AC$501,$BJ308)="","",INDEX(原始資料!AC$2:AC$501,$BJ308)))</f>
        <v/>
      </c>
      <c r="AB308" s="6">
        <f>IF(OR($BJ308="",27&gt;設定!$B$3),"",IF(INDEX(原始資料!AD$2:AD$501,$BJ308)="","",INDEX(原始資料!AD$2:AD$501,$BJ308)))</f>
        <v/>
      </c>
      <c r="AC308" s="6">
        <f>IF(OR($BJ308="",28&gt;設定!$B$3),"",IF(INDEX(原始資料!AE$2:AE$501,$BJ308)="","",INDEX(原始資料!AE$2:AE$501,$BJ308)))</f>
        <v/>
      </c>
      <c r="AD308" s="6">
        <f>IF(OR($BJ308="",29&gt;設定!$B$3),"",IF(INDEX(原始資料!AF$2:AF$501,$BJ308)="","",INDEX(原始資料!AF$2:AF$501,$BJ308)))</f>
        <v/>
      </c>
      <c r="AE308" s="6">
        <f>IF(OR($BJ308="",30&gt;設定!$B$3),"",IF(INDEX(原始資料!AG$2:AG$501,$BJ308)="","",INDEX(原始資料!AG$2:AG$501,$BJ308)))</f>
        <v/>
      </c>
      <c r="AF308" s="6">
        <f>IF(OR($BJ308="",31&gt;設定!$B$3),"",IF(INDEX(原始資料!AH$2:AH$501,$BJ308)="","",INDEX(原始資料!AH$2:AH$501,$BJ308)))</f>
        <v/>
      </c>
      <c r="AG308" s="6">
        <f>IF(OR($BJ308="",32&gt;設定!$B$3),"",IF(INDEX(原始資料!AI$2:AI$501,$BJ308)="","",INDEX(原始資料!AI$2:AI$501,$BJ308)))</f>
        <v/>
      </c>
      <c r="AH308" s="6">
        <f>IF(OR($BJ308="",33&gt;設定!$B$3),"",IF(INDEX(原始資料!AJ$2:AJ$501,$BJ308)="","",INDEX(原始資料!AJ$2:AJ$501,$BJ308)))</f>
        <v/>
      </c>
      <c r="AI308" s="6">
        <f>IF(OR($BJ308="",34&gt;設定!$B$3),"",IF(INDEX(原始資料!AK$2:AK$501,$BJ308)="","",INDEX(原始資料!AK$2:AK$501,$BJ308)))</f>
        <v/>
      </c>
      <c r="AJ308" s="6">
        <f>IF(OR($BJ308="",35&gt;設定!$B$3),"",IF(INDEX(原始資料!AL$2:AL$501,$BJ308)="","",INDEX(原始資料!AL$2:AL$501,$BJ308)))</f>
        <v/>
      </c>
      <c r="AK308" s="6">
        <f>IF(OR($BJ308="",36&gt;設定!$B$3),"",IF(INDEX(原始資料!AM$2:AM$501,$BJ308)="","",INDEX(原始資料!AM$2:AM$501,$BJ308)))</f>
        <v/>
      </c>
      <c r="AL308" s="6">
        <f>IF(OR($BJ308="",37&gt;設定!$B$3),"",IF(INDEX(原始資料!AN$2:AN$501,$BJ308)="","",INDEX(原始資料!AN$2:AN$501,$BJ308)))</f>
        <v/>
      </c>
      <c r="AM308" s="6">
        <f>IF(OR($BJ308="",38&gt;設定!$B$3),"",IF(INDEX(原始資料!AO$2:AO$501,$BJ308)="","",INDEX(原始資料!AO$2:AO$501,$BJ308)))</f>
        <v/>
      </c>
      <c r="AN308" s="6">
        <f>IF(OR($BJ308="",39&gt;設定!$B$3),"",IF(INDEX(原始資料!AP$2:AP$501,$BJ308)="","",INDEX(原始資料!AP$2:AP$501,$BJ308)))</f>
        <v/>
      </c>
      <c r="AO308" s="6">
        <f>IF(OR($BJ308="",40&gt;設定!$B$3),"",IF(INDEX(原始資料!AQ$2:AQ$501,$BJ308)="","",INDEX(原始資料!AQ$2:AQ$501,$BJ308)))</f>
        <v/>
      </c>
      <c r="AP308" s="6">
        <f>IF(OR($BJ308="",41&gt;設定!$B$3),"",IF(INDEX(原始資料!AR$2:AR$501,$BJ308)="","",INDEX(原始資料!AR$2:AR$501,$BJ308)))</f>
        <v/>
      </c>
      <c r="AQ308" s="6">
        <f>IF(OR($BJ308="",42&gt;設定!$B$3),"",IF(INDEX(原始資料!AS$2:AS$501,$BJ308)="","",INDEX(原始資料!AS$2:AS$501,$BJ308)))</f>
        <v/>
      </c>
      <c r="AR308" s="6">
        <f>IF(OR($BJ308="",43&gt;設定!$B$3),"",IF(INDEX(原始資料!AT$2:AT$501,$BJ308)="","",INDEX(原始資料!AT$2:AT$501,$BJ308)))</f>
        <v/>
      </c>
      <c r="AS308" s="6">
        <f>IF(OR($BJ308="",44&gt;設定!$B$3),"",IF(INDEX(原始資料!AU$2:AU$501,$BJ308)="","",INDEX(原始資料!AU$2:AU$501,$BJ308)))</f>
        <v/>
      </c>
      <c r="AT308" s="6">
        <f>IF(OR($BJ308="",45&gt;設定!$B$3),"",IF(INDEX(原始資料!AV$2:AV$501,$BJ308)="","",INDEX(原始資料!AV$2:AV$501,$BJ308)))</f>
        <v/>
      </c>
      <c r="AU308" s="6">
        <f>IF(OR($BJ308="",46&gt;設定!$B$3),"",IF(INDEX(原始資料!AW$2:AW$501,$BJ308)="","",INDEX(原始資料!AW$2:AW$501,$BJ308)))</f>
        <v/>
      </c>
      <c r="AV308" s="6">
        <f>IF(OR($BJ308="",47&gt;設定!$B$3),"",IF(INDEX(原始資料!AX$2:AX$501,$BJ308)="","",INDEX(原始資料!AX$2:AX$501,$BJ308)))</f>
        <v/>
      </c>
      <c r="AW308" s="6">
        <f>IF(OR($BJ308="",48&gt;設定!$B$3),"",IF(INDEX(原始資料!AY$2:AY$501,$BJ308)="","",INDEX(原始資料!AY$2:AY$501,$BJ308)))</f>
        <v/>
      </c>
      <c r="AX308" s="6">
        <f>IF(OR($BJ308="",49&gt;設定!$B$3),"",IF(INDEX(原始資料!AZ$2:AZ$501,$BJ308)="","",INDEX(原始資料!AZ$2:AZ$501,$BJ308)))</f>
        <v/>
      </c>
      <c r="AY308" s="6">
        <f>IF(OR($BJ308="",50&gt;設定!$B$3),"",IF(INDEX(原始資料!BA$2:BA$501,$BJ308)="","",INDEX(原始資料!BA$2:BA$501,$BJ308)))</f>
        <v/>
      </c>
      <c r="AZ308" s="6">
        <f>IF(OR($BJ308="",51&gt;設定!$B$3),"",IF(INDEX(原始資料!BB$2:BB$501,$BJ308)="","",INDEX(原始資料!BB$2:BB$501,$BJ308)))</f>
        <v/>
      </c>
      <c r="BA308" s="6">
        <f>IF(OR($BJ308="",52&gt;設定!$B$3),"",IF(INDEX(原始資料!BC$2:BC$501,$BJ308)="","",INDEX(原始資料!BC$2:BC$501,$BJ308)))</f>
        <v/>
      </c>
      <c r="BB308" s="6">
        <f>IF(OR($BJ308="",53&gt;設定!$B$3),"",IF(INDEX(原始資料!BD$2:BD$501,$BJ308)="","",INDEX(原始資料!BD$2:BD$501,$BJ308)))</f>
        <v/>
      </c>
      <c r="BC308" s="6">
        <f>IF(OR($BJ308="",54&gt;設定!$B$3),"",IF(INDEX(原始資料!BE$2:BE$501,$BJ308)="","",INDEX(原始資料!BE$2:BE$501,$BJ308)))</f>
        <v/>
      </c>
      <c r="BD308" s="6">
        <f>IF(OR($BJ308="",55&gt;設定!$B$3),"",IF(INDEX(原始資料!BF$2:BF$501,$BJ308)="","",INDEX(原始資料!BF$2:BF$501,$BJ308)))</f>
        <v/>
      </c>
      <c r="BE308" s="6">
        <f>IF(OR($BJ308="",56&gt;設定!$B$3),"",IF(INDEX(原始資料!BG$2:BG$501,$BJ308)="","",INDEX(原始資料!BG$2:BG$501,$BJ308)))</f>
        <v/>
      </c>
      <c r="BF308" s="6">
        <f>IF(OR($BJ308="",57&gt;設定!$B$3),"",IF(INDEX(原始資料!BH$2:BH$501,$BJ308)="","",INDEX(原始資料!BH$2:BH$501,$BJ308)))</f>
        <v/>
      </c>
      <c r="BG308" s="6">
        <f>IF(OR($BJ308="",58&gt;設定!$B$3),"",IF(INDEX(原始資料!BI$2:BI$501,$BJ308)="","",INDEX(原始資料!BI$2:BI$501,$BJ308)))</f>
        <v/>
      </c>
      <c r="BH308" s="6">
        <f>IF(OR($BJ308="",59&gt;設定!$B$3),"",IF(INDEX(原始資料!BJ$2:BJ$501,$BJ308)="","",INDEX(原始資料!BJ$2:BJ$501,$BJ308)))</f>
        <v/>
      </c>
      <c r="BI308" s="6">
        <f>IF(OR($BJ308="",60&gt;設定!$B$3),"",IF(INDEX(原始資料!BK$2:BK$501,$BJ308)="","",INDEX(原始資料!BK$2:BK$501,$BJ308)))</f>
        <v/>
      </c>
      <c r="BJ308" s="6">
        <f>IFERROR(MATCH(ROW()-1,判定!$H$2:$H$501,0),"")</f>
        <v/>
      </c>
    </row>
    <row r="309">
      <c r="A309" s="6">
        <f>IF($BJ309="","",INDEX(原始資料!$A$2:$A$501,$BJ309))</f>
        <v/>
      </c>
      <c r="B309" s="6">
        <f>IF(OR($BJ309="",1&gt;設定!$B$3),"",IF(INDEX(原始資料!D$2:D$501,$BJ309)="","",INDEX(原始資料!D$2:D$501,$BJ309)))</f>
        <v/>
      </c>
      <c r="C309" s="6">
        <f>IF(OR($BJ309="",2&gt;設定!$B$3),"",IF(INDEX(原始資料!E$2:E$501,$BJ309)="","",INDEX(原始資料!E$2:E$501,$BJ309)))</f>
        <v/>
      </c>
      <c r="D309" s="6">
        <f>IF(OR($BJ309="",3&gt;設定!$B$3),"",IF(INDEX(原始資料!F$2:F$501,$BJ309)="","",INDEX(原始資料!F$2:F$501,$BJ309)))</f>
        <v/>
      </c>
      <c r="E309" s="6">
        <f>IF(OR($BJ309="",4&gt;設定!$B$3),"",IF(INDEX(原始資料!G$2:G$501,$BJ309)="","",INDEX(原始資料!G$2:G$501,$BJ309)))</f>
        <v/>
      </c>
      <c r="F309" s="6">
        <f>IF(OR($BJ309="",5&gt;設定!$B$3),"",IF(INDEX(原始資料!H$2:H$501,$BJ309)="","",INDEX(原始資料!H$2:H$501,$BJ309)))</f>
        <v/>
      </c>
      <c r="G309" s="6">
        <f>IF(OR($BJ309="",6&gt;設定!$B$3),"",IF(INDEX(原始資料!I$2:I$501,$BJ309)="","",INDEX(原始資料!I$2:I$501,$BJ309)))</f>
        <v/>
      </c>
      <c r="H309" s="6">
        <f>IF(OR($BJ309="",7&gt;設定!$B$3),"",IF(INDEX(原始資料!J$2:J$501,$BJ309)="","",INDEX(原始資料!J$2:J$501,$BJ309)))</f>
        <v/>
      </c>
      <c r="I309" s="6">
        <f>IF(OR($BJ309="",8&gt;設定!$B$3),"",IF(INDEX(原始資料!K$2:K$501,$BJ309)="","",INDEX(原始資料!K$2:K$501,$BJ309)))</f>
        <v/>
      </c>
      <c r="J309" s="6">
        <f>IF(OR($BJ309="",9&gt;設定!$B$3),"",IF(INDEX(原始資料!L$2:L$501,$BJ309)="","",INDEX(原始資料!L$2:L$501,$BJ309)))</f>
        <v/>
      </c>
      <c r="K309" s="6">
        <f>IF(OR($BJ309="",10&gt;設定!$B$3),"",IF(INDEX(原始資料!M$2:M$501,$BJ309)="","",INDEX(原始資料!M$2:M$501,$BJ309)))</f>
        <v/>
      </c>
      <c r="L309" s="6">
        <f>IF(OR($BJ309="",11&gt;設定!$B$3),"",IF(INDEX(原始資料!N$2:N$501,$BJ309)="","",INDEX(原始資料!N$2:N$501,$BJ309)))</f>
        <v/>
      </c>
      <c r="M309" s="6">
        <f>IF(OR($BJ309="",12&gt;設定!$B$3),"",IF(INDEX(原始資料!O$2:O$501,$BJ309)="","",INDEX(原始資料!O$2:O$501,$BJ309)))</f>
        <v/>
      </c>
      <c r="N309" s="6">
        <f>IF(OR($BJ309="",13&gt;設定!$B$3),"",IF(INDEX(原始資料!P$2:P$501,$BJ309)="","",INDEX(原始資料!P$2:P$501,$BJ309)))</f>
        <v/>
      </c>
      <c r="O309" s="6">
        <f>IF(OR($BJ309="",14&gt;設定!$B$3),"",IF(INDEX(原始資料!Q$2:Q$501,$BJ309)="","",INDEX(原始資料!Q$2:Q$501,$BJ309)))</f>
        <v/>
      </c>
      <c r="P309" s="6">
        <f>IF(OR($BJ309="",15&gt;設定!$B$3),"",IF(INDEX(原始資料!R$2:R$501,$BJ309)="","",INDEX(原始資料!R$2:R$501,$BJ309)))</f>
        <v/>
      </c>
      <c r="Q309" s="6">
        <f>IF(OR($BJ309="",16&gt;設定!$B$3),"",IF(INDEX(原始資料!S$2:S$501,$BJ309)="","",INDEX(原始資料!S$2:S$501,$BJ309)))</f>
        <v/>
      </c>
      <c r="R309" s="6">
        <f>IF(OR($BJ309="",17&gt;設定!$B$3),"",IF(INDEX(原始資料!T$2:T$501,$BJ309)="","",INDEX(原始資料!T$2:T$501,$BJ309)))</f>
        <v/>
      </c>
      <c r="S309" s="6">
        <f>IF(OR($BJ309="",18&gt;設定!$B$3),"",IF(INDEX(原始資料!U$2:U$501,$BJ309)="","",INDEX(原始資料!U$2:U$501,$BJ309)))</f>
        <v/>
      </c>
      <c r="T309" s="6">
        <f>IF(OR($BJ309="",19&gt;設定!$B$3),"",IF(INDEX(原始資料!V$2:V$501,$BJ309)="","",INDEX(原始資料!V$2:V$501,$BJ309)))</f>
        <v/>
      </c>
      <c r="U309" s="6">
        <f>IF(OR($BJ309="",20&gt;設定!$B$3),"",IF(INDEX(原始資料!W$2:W$501,$BJ309)="","",INDEX(原始資料!W$2:W$501,$BJ309)))</f>
        <v/>
      </c>
      <c r="V309" s="6">
        <f>IF(OR($BJ309="",21&gt;設定!$B$3),"",IF(INDEX(原始資料!X$2:X$501,$BJ309)="","",INDEX(原始資料!X$2:X$501,$BJ309)))</f>
        <v/>
      </c>
      <c r="W309" s="6">
        <f>IF(OR($BJ309="",22&gt;設定!$B$3),"",IF(INDEX(原始資料!Y$2:Y$501,$BJ309)="","",INDEX(原始資料!Y$2:Y$501,$BJ309)))</f>
        <v/>
      </c>
      <c r="X309" s="6">
        <f>IF(OR($BJ309="",23&gt;設定!$B$3),"",IF(INDEX(原始資料!Z$2:Z$501,$BJ309)="","",INDEX(原始資料!Z$2:Z$501,$BJ309)))</f>
        <v/>
      </c>
      <c r="Y309" s="6">
        <f>IF(OR($BJ309="",24&gt;設定!$B$3),"",IF(INDEX(原始資料!AA$2:AA$501,$BJ309)="","",INDEX(原始資料!AA$2:AA$501,$BJ309)))</f>
        <v/>
      </c>
      <c r="Z309" s="6">
        <f>IF(OR($BJ309="",25&gt;設定!$B$3),"",IF(INDEX(原始資料!AB$2:AB$501,$BJ309)="","",INDEX(原始資料!AB$2:AB$501,$BJ309)))</f>
        <v/>
      </c>
      <c r="AA309" s="6">
        <f>IF(OR($BJ309="",26&gt;設定!$B$3),"",IF(INDEX(原始資料!AC$2:AC$501,$BJ309)="","",INDEX(原始資料!AC$2:AC$501,$BJ309)))</f>
        <v/>
      </c>
      <c r="AB309" s="6">
        <f>IF(OR($BJ309="",27&gt;設定!$B$3),"",IF(INDEX(原始資料!AD$2:AD$501,$BJ309)="","",INDEX(原始資料!AD$2:AD$501,$BJ309)))</f>
        <v/>
      </c>
      <c r="AC309" s="6">
        <f>IF(OR($BJ309="",28&gt;設定!$B$3),"",IF(INDEX(原始資料!AE$2:AE$501,$BJ309)="","",INDEX(原始資料!AE$2:AE$501,$BJ309)))</f>
        <v/>
      </c>
      <c r="AD309" s="6">
        <f>IF(OR($BJ309="",29&gt;設定!$B$3),"",IF(INDEX(原始資料!AF$2:AF$501,$BJ309)="","",INDEX(原始資料!AF$2:AF$501,$BJ309)))</f>
        <v/>
      </c>
      <c r="AE309" s="6">
        <f>IF(OR($BJ309="",30&gt;設定!$B$3),"",IF(INDEX(原始資料!AG$2:AG$501,$BJ309)="","",INDEX(原始資料!AG$2:AG$501,$BJ309)))</f>
        <v/>
      </c>
      <c r="AF309" s="6">
        <f>IF(OR($BJ309="",31&gt;設定!$B$3),"",IF(INDEX(原始資料!AH$2:AH$501,$BJ309)="","",INDEX(原始資料!AH$2:AH$501,$BJ309)))</f>
        <v/>
      </c>
      <c r="AG309" s="6">
        <f>IF(OR($BJ309="",32&gt;設定!$B$3),"",IF(INDEX(原始資料!AI$2:AI$501,$BJ309)="","",INDEX(原始資料!AI$2:AI$501,$BJ309)))</f>
        <v/>
      </c>
      <c r="AH309" s="6">
        <f>IF(OR($BJ309="",33&gt;設定!$B$3),"",IF(INDEX(原始資料!AJ$2:AJ$501,$BJ309)="","",INDEX(原始資料!AJ$2:AJ$501,$BJ309)))</f>
        <v/>
      </c>
      <c r="AI309" s="6">
        <f>IF(OR($BJ309="",34&gt;設定!$B$3),"",IF(INDEX(原始資料!AK$2:AK$501,$BJ309)="","",INDEX(原始資料!AK$2:AK$501,$BJ309)))</f>
        <v/>
      </c>
      <c r="AJ309" s="6">
        <f>IF(OR($BJ309="",35&gt;設定!$B$3),"",IF(INDEX(原始資料!AL$2:AL$501,$BJ309)="","",INDEX(原始資料!AL$2:AL$501,$BJ309)))</f>
        <v/>
      </c>
      <c r="AK309" s="6">
        <f>IF(OR($BJ309="",36&gt;設定!$B$3),"",IF(INDEX(原始資料!AM$2:AM$501,$BJ309)="","",INDEX(原始資料!AM$2:AM$501,$BJ309)))</f>
        <v/>
      </c>
      <c r="AL309" s="6">
        <f>IF(OR($BJ309="",37&gt;設定!$B$3),"",IF(INDEX(原始資料!AN$2:AN$501,$BJ309)="","",INDEX(原始資料!AN$2:AN$501,$BJ309)))</f>
        <v/>
      </c>
      <c r="AM309" s="6">
        <f>IF(OR($BJ309="",38&gt;設定!$B$3),"",IF(INDEX(原始資料!AO$2:AO$501,$BJ309)="","",INDEX(原始資料!AO$2:AO$501,$BJ309)))</f>
        <v/>
      </c>
      <c r="AN309" s="6">
        <f>IF(OR($BJ309="",39&gt;設定!$B$3),"",IF(INDEX(原始資料!AP$2:AP$501,$BJ309)="","",INDEX(原始資料!AP$2:AP$501,$BJ309)))</f>
        <v/>
      </c>
      <c r="AO309" s="6">
        <f>IF(OR($BJ309="",40&gt;設定!$B$3),"",IF(INDEX(原始資料!AQ$2:AQ$501,$BJ309)="","",INDEX(原始資料!AQ$2:AQ$501,$BJ309)))</f>
        <v/>
      </c>
      <c r="AP309" s="6">
        <f>IF(OR($BJ309="",41&gt;設定!$B$3),"",IF(INDEX(原始資料!AR$2:AR$501,$BJ309)="","",INDEX(原始資料!AR$2:AR$501,$BJ309)))</f>
        <v/>
      </c>
      <c r="AQ309" s="6">
        <f>IF(OR($BJ309="",42&gt;設定!$B$3),"",IF(INDEX(原始資料!AS$2:AS$501,$BJ309)="","",INDEX(原始資料!AS$2:AS$501,$BJ309)))</f>
        <v/>
      </c>
      <c r="AR309" s="6">
        <f>IF(OR($BJ309="",43&gt;設定!$B$3),"",IF(INDEX(原始資料!AT$2:AT$501,$BJ309)="","",INDEX(原始資料!AT$2:AT$501,$BJ309)))</f>
        <v/>
      </c>
      <c r="AS309" s="6">
        <f>IF(OR($BJ309="",44&gt;設定!$B$3),"",IF(INDEX(原始資料!AU$2:AU$501,$BJ309)="","",INDEX(原始資料!AU$2:AU$501,$BJ309)))</f>
        <v/>
      </c>
      <c r="AT309" s="6">
        <f>IF(OR($BJ309="",45&gt;設定!$B$3),"",IF(INDEX(原始資料!AV$2:AV$501,$BJ309)="","",INDEX(原始資料!AV$2:AV$501,$BJ309)))</f>
        <v/>
      </c>
      <c r="AU309" s="6">
        <f>IF(OR($BJ309="",46&gt;設定!$B$3),"",IF(INDEX(原始資料!AW$2:AW$501,$BJ309)="","",INDEX(原始資料!AW$2:AW$501,$BJ309)))</f>
        <v/>
      </c>
      <c r="AV309" s="6">
        <f>IF(OR($BJ309="",47&gt;設定!$B$3),"",IF(INDEX(原始資料!AX$2:AX$501,$BJ309)="","",INDEX(原始資料!AX$2:AX$501,$BJ309)))</f>
        <v/>
      </c>
      <c r="AW309" s="6">
        <f>IF(OR($BJ309="",48&gt;設定!$B$3),"",IF(INDEX(原始資料!AY$2:AY$501,$BJ309)="","",INDEX(原始資料!AY$2:AY$501,$BJ309)))</f>
        <v/>
      </c>
      <c r="AX309" s="6">
        <f>IF(OR($BJ309="",49&gt;設定!$B$3),"",IF(INDEX(原始資料!AZ$2:AZ$501,$BJ309)="","",INDEX(原始資料!AZ$2:AZ$501,$BJ309)))</f>
        <v/>
      </c>
      <c r="AY309" s="6">
        <f>IF(OR($BJ309="",50&gt;設定!$B$3),"",IF(INDEX(原始資料!BA$2:BA$501,$BJ309)="","",INDEX(原始資料!BA$2:BA$501,$BJ309)))</f>
        <v/>
      </c>
      <c r="AZ309" s="6">
        <f>IF(OR($BJ309="",51&gt;設定!$B$3),"",IF(INDEX(原始資料!BB$2:BB$501,$BJ309)="","",INDEX(原始資料!BB$2:BB$501,$BJ309)))</f>
        <v/>
      </c>
      <c r="BA309" s="6">
        <f>IF(OR($BJ309="",52&gt;設定!$B$3),"",IF(INDEX(原始資料!BC$2:BC$501,$BJ309)="","",INDEX(原始資料!BC$2:BC$501,$BJ309)))</f>
        <v/>
      </c>
      <c r="BB309" s="6">
        <f>IF(OR($BJ309="",53&gt;設定!$B$3),"",IF(INDEX(原始資料!BD$2:BD$501,$BJ309)="","",INDEX(原始資料!BD$2:BD$501,$BJ309)))</f>
        <v/>
      </c>
      <c r="BC309" s="6">
        <f>IF(OR($BJ309="",54&gt;設定!$B$3),"",IF(INDEX(原始資料!BE$2:BE$501,$BJ309)="","",INDEX(原始資料!BE$2:BE$501,$BJ309)))</f>
        <v/>
      </c>
      <c r="BD309" s="6">
        <f>IF(OR($BJ309="",55&gt;設定!$B$3),"",IF(INDEX(原始資料!BF$2:BF$501,$BJ309)="","",INDEX(原始資料!BF$2:BF$501,$BJ309)))</f>
        <v/>
      </c>
      <c r="BE309" s="6">
        <f>IF(OR($BJ309="",56&gt;設定!$B$3),"",IF(INDEX(原始資料!BG$2:BG$501,$BJ309)="","",INDEX(原始資料!BG$2:BG$501,$BJ309)))</f>
        <v/>
      </c>
      <c r="BF309" s="6">
        <f>IF(OR($BJ309="",57&gt;設定!$B$3),"",IF(INDEX(原始資料!BH$2:BH$501,$BJ309)="","",INDEX(原始資料!BH$2:BH$501,$BJ309)))</f>
        <v/>
      </c>
      <c r="BG309" s="6">
        <f>IF(OR($BJ309="",58&gt;設定!$B$3),"",IF(INDEX(原始資料!BI$2:BI$501,$BJ309)="","",INDEX(原始資料!BI$2:BI$501,$BJ309)))</f>
        <v/>
      </c>
      <c r="BH309" s="6">
        <f>IF(OR($BJ309="",59&gt;設定!$B$3),"",IF(INDEX(原始資料!BJ$2:BJ$501,$BJ309)="","",INDEX(原始資料!BJ$2:BJ$501,$BJ309)))</f>
        <v/>
      </c>
      <c r="BI309" s="6">
        <f>IF(OR($BJ309="",60&gt;設定!$B$3),"",IF(INDEX(原始資料!BK$2:BK$501,$BJ309)="","",INDEX(原始資料!BK$2:BK$501,$BJ309)))</f>
        <v/>
      </c>
      <c r="BJ309" s="6">
        <f>IFERROR(MATCH(ROW()-1,判定!$H$2:$H$501,0),"")</f>
        <v/>
      </c>
    </row>
    <row r="310">
      <c r="A310" s="6">
        <f>IF($BJ310="","",INDEX(原始資料!$A$2:$A$501,$BJ310))</f>
        <v/>
      </c>
      <c r="B310" s="6">
        <f>IF(OR($BJ310="",1&gt;設定!$B$3),"",IF(INDEX(原始資料!D$2:D$501,$BJ310)="","",INDEX(原始資料!D$2:D$501,$BJ310)))</f>
        <v/>
      </c>
      <c r="C310" s="6">
        <f>IF(OR($BJ310="",2&gt;設定!$B$3),"",IF(INDEX(原始資料!E$2:E$501,$BJ310)="","",INDEX(原始資料!E$2:E$501,$BJ310)))</f>
        <v/>
      </c>
      <c r="D310" s="6">
        <f>IF(OR($BJ310="",3&gt;設定!$B$3),"",IF(INDEX(原始資料!F$2:F$501,$BJ310)="","",INDEX(原始資料!F$2:F$501,$BJ310)))</f>
        <v/>
      </c>
      <c r="E310" s="6">
        <f>IF(OR($BJ310="",4&gt;設定!$B$3),"",IF(INDEX(原始資料!G$2:G$501,$BJ310)="","",INDEX(原始資料!G$2:G$501,$BJ310)))</f>
        <v/>
      </c>
      <c r="F310" s="6">
        <f>IF(OR($BJ310="",5&gt;設定!$B$3),"",IF(INDEX(原始資料!H$2:H$501,$BJ310)="","",INDEX(原始資料!H$2:H$501,$BJ310)))</f>
        <v/>
      </c>
      <c r="G310" s="6">
        <f>IF(OR($BJ310="",6&gt;設定!$B$3),"",IF(INDEX(原始資料!I$2:I$501,$BJ310)="","",INDEX(原始資料!I$2:I$501,$BJ310)))</f>
        <v/>
      </c>
      <c r="H310" s="6">
        <f>IF(OR($BJ310="",7&gt;設定!$B$3),"",IF(INDEX(原始資料!J$2:J$501,$BJ310)="","",INDEX(原始資料!J$2:J$501,$BJ310)))</f>
        <v/>
      </c>
      <c r="I310" s="6">
        <f>IF(OR($BJ310="",8&gt;設定!$B$3),"",IF(INDEX(原始資料!K$2:K$501,$BJ310)="","",INDEX(原始資料!K$2:K$501,$BJ310)))</f>
        <v/>
      </c>
      <c r="J310" s="6">
        <f>IF(OR($BJ310="",9&gt;設定!$B$3),"",IF(INDEX(原始資料!L$2:L$501,$BJ310)="","",INDEX(原始資料!L$2:L$501,$BJ310)))</f>
        <v/>
      </c>
      <c r="K310" s="6">
        <f>IF(OR($BJ310="",10&gt;設定!$B$3),"",IF(INDEX(原始資料!M$2:M$501,$BJ310)="","",INDEX(原始資料!M$2:M$501,$BJ310)))</f>
        <v/>
      </c>
      <c r="L310" s="6">
        <f>IF(OR($BJ310="",11&gt;設定!$B$3),"",IF(INDEX(原始資料!N$2:N$501,$BJ310)="","",INDEX(原始資料!N$2:N$501,$BJ310)))</f>
        <v/>
      </c>
      <c r="M310" s="6">
        <f>IF(OR($BJ310="",12&gt;設定!$B$3),"",IF(INDEX(原始資料!O$2:O$501,$BJ310)="","",INDEX(原始資料!O$2:O$501,$BJ310)))</f>
        <v/>
      </c>
      <c r="N310" s="6">
        <f>IF(OR($BJ310="",13&gt;設定!$B$3),"",IF(INDEX(原始資料!P$2:P$501,$BJ310)="","",INDEX(原始資料!P$2:P$501,$BJ310)))</f>
        <v/>
      </c>
      <c r="O310" s="6">
        <f>IF(OR($BJ310="",14&gt;設定!$B$3),"",IF(INDEX(原始資料!Q$2:Q$501,$BJ310)="","",INDEX(原始資料!Q$2:Q$501,$BJ310)))</f>
        <v/>
      </c>
      <c r="P310" s="6">
        <f>IF(OR($BJ310="",15&gt;設定!$B$3),"",IF(INDEX(原始資料!R$2:R$501,$BJ310)="","",INDEX(原始資料!R$2:R$501,$BJ310)))</f>
        <v/>
      </c>
      <c r="Q310" s="6">
        <f>IF(OR($BJ310="",16&gt;設定!$B$3),"",IF(INDEX(原始資料!S$2:S$501,$BJ310)="","",INDEX(原始資料!S$2:S$501,$BJ310)))</f>
        <v/>
      </c>
      <c r="R310" s="6">
        <f>IF(OR($BJ310="",17&gt;設定!$B$3),"",IF(INDEX(原始資料!T$2:T$501,$BJ310)="","",INDEX(原始資料!T$2:T$501,$BJ310)))</f>
        <v/>
      </c>
      <c r="S310" s="6">
        <f>IF(OR($BJ310="",18&gt;設定!$B$3),"",IF(INDEX(原始資料!U$2:U$501,$BJ310)="","",INDEX(原始資料!U$2:U$501,$BJ310)))</f>
        <v/>
      </c>
      <c r="T310" s="6">
        <f>IF(OR($BJ310="",19&gt;設定!$B$3),"",IF(INDEX(原始資料!V$2:V$501,$BJ310)="","",INDEX(原始資料!V$2:V$501,$BJ310)))</f>
        <v/>
      </c>
      <c r="U310" s="6">
        <f>IF(OR($BJ310="",20&gt;設定!$B$3),"",IF(INDEX(原始資料!W$2:W$501,$BJ310)="","",INDEX(原始資料!W$2:W$501,$BJ310)))</f>
        <v/>
      </c>
      <c r="V310" s="6">
        <f>IF(OR($BJ310="",21&gt;設定!$B$3),"",IF(INDEX(原始資料!X$2:X$501,$BJ310)="","",INDEX(原始資料!X$2:X$501,$BJ310)))</f>
        <v/>
      </c>
      <c r="W310" s="6">
        <f>IF(OR($BJ310="",22&gt;設定!$B$3),"",IF(INDEX(原始資料!Y$2:Y$501,$BJ310)="","",INDEX(原始資料!Y$2:Y$501,$BJ310)))</f>
        <v/>
      </c>
      <c r="X310" s="6">
        <f>IF(OR($BJ310="",23&gt;設定!$B$3),"",IF(INDEX(原始資料!Z$2:Z$501,$BJ310)="","",INDEX(原始資料!Z$2:Z$501,$BJ310)))</f>
        <v/>
      </c>
      <c r="Y310" s="6">
        <f>IF(OR($BJ310="",24&gt;設定!$B$3),"",IF(INDEX(原始資料!AA$2:AA$501,$BJ310)="","",INDEX(原始資料!AA$2:AA$501,$BJ310)))</f>
        <v/>
      </c>
      <c r="Z310" s="6">
        <f>IF(OR($BJ310="",25&gt;設定!$B$3),"",IF(INDEX(原始資料!AB$2:AB$501,$BJ310)="","",INDEX(原始資料!AB$2:AB$501,$BJ310)))</f>
        <v/>
      </c>
      <c r="AA310" s="6">
        <f>IF(OR($BJ310="",26&gt;設定!$B$3),"",IF(INDEX(原始資料!AC$2:AC$501,$BJ310)="","",INDEX(原始資料!AC$2:AC$501,$BJ310)))</f>
        <v/>
      </c>
      <c r="AB310" s="6">
        <f>IF(OR($BJ310="",27&gt;設定!$B$3),"",IF(INDEX(原始資料!AD$2:AD$501,$BJ310)="","",INDEX(原始資料!AD$2:AD$501,$BJ310)))</f>
        <v/>
      </c>
      <c r="AC310" s="6">
        <f>IF(OR($BJ310="",28&gt;設定!$B$3),"",IF(INDEX(原始資料!AE$2:AE$501,$BJ310)="","",INDEX(原始資料!AE$2:AE$501,$BJ310)))</f>
        <v/>
      </c>
      <c r="AD310" s="6">
        <f>IF(OR($BJ310="",29&gt;設定!$B$3),"",IF(INDEX(原始資料!AF$2:AF$501,$BJ310)="","",INDEX(原始資料!AF$2:AF$501,$BJ310)))</f>
        <v/>
      </c>
      <c r="AE310" s="6">
        <f>IF(OR($BJ310="",30&gt;設定!$B$3),"",IF(INDEX(原始資料!AG$2:AG$501,$BJ310)="","",INDEX(原始資料!AG$2:AG$501,$BJ310)))</f>
        <v/>
      </c>
      <c r="AF310" s="6">
        <f>IF(OR($BJ310="",31&gt;設定!$B$3),"",IF(INDEX(原始資料!AH$2:AH$501,$BJ310)="","",INDEX(原始資料!AH$2:AH$501,$BJ310)))</f>
        <v/>
      </c>
      <c r="AG310" s="6">
        <f>IF(OR($BJ310="",32&gt;設定!$B$3),"",IF(INDEX(原始資料!AI$2:AI$501,$BJ310)="","",INDEX(原始資料!AI$2:AI$501,$BJ310)))</f>
        <v/>
      </c>
      <c r="AH310" s="6">
        <f>IF(OR($BJ310="",33&gt;設定!$B$3),"",IF(INDEX(原始資料!AJ$2:AJ$501,$BJ310)="","",INDEX(原始資料!AJ$2:AJ$501,$BJ310)))</f>
        <v/>
      </c>
      <c r="AI310" s="6">
        <f>IF(OR($BJ310="",34&gt;設定!$B$3),"",IF(INDEX(原始資料!AK$2:AK$501,$BJ310)="","",INDEX(原始資料!AK$2:AK$501,$BJ310)))</f>
        <v/>
      </c>
      <c r="AJ310" s="6">
        <f>IF(OR($BJ310="",35&gt;設定!$B$3),"",IF(INDEX(原始資料!AL$2:AL$501,$BJ310)="","",INDEX(原始資料!AL$2:AL$501,$BJ310)))</f>
        <v/>
      </c>
      <c r="AK310" s="6">
        <f>IF(OR($BJ310="",36&gt;設定!$B$3),"",IF(INDEX(原始資料!AM$2:AM$501,$BJ310)="","",INDEX(原始資料!AM$2:AM$501,$BJ310)))</f>
        <v/>
      </c>
      <c r="AL310" s="6">
        <f>IF(OR($BJ310="",37&gt;設定!$B$3),"",IF(INDEX(原始資料!AN$2:AN$501,$BJ310)="","",INDEX(原始資料!AN$2:AN$501,$BJ310)))</f>
        <v/>
      </c>
      <c r="AM310" s="6">
        <f>IF(OR($BJ310="",38&gt;設定!$B$3),"",IF(INDEX(原始資料!AO$2:AO$501,$BJ310)="","",INDEX(原始資料!AO$2:AO$501,$BJ310)))</f>
        <v/>
      </c>
      <c r="AN310" s="6">
        <f>IF(OR($BJ310="",39&gt;設定!$B$3),"",IF(INDEX(原始資料!AP$2:AP$501,$BJ310)="","",INDEX(原始資料!AP$2:AP$501,$BJ310)))</f>
        <v/>
      </c>
      <c r="AO310" s="6">
        <f>IF(OR($BJ310="",40&gt;設定!$B$3),"",IF(INDEX(原始資料!AQ$2:AQ$501,$BJ310)="","",INDEX(原始資料!AQ$2:AQ$501,$BJ310)))</f>
        <v/>
      </c>
      <c r="AP310" s="6">
        <f>IF(OR($BJ310="",41&gt;設定!$B$3),"",IF(INDEX(原始資料!AR$2:AR$501,$BJ310)="","",INDEX(原始資料!AR$2:AR$501,$BJ310)))</f>
        <v/>
      </c>
      <c r="AQ310" s="6">
        <f>IF(OR($BJ310="",42&gt;設定!$B$3),"",IF(INDEX(原始資料!AS$2:AS$501,$BJ310)="","",INDEX(原始資料!AS$2:AS$501,$BJ310)))</f>
        <v/>
      </c>
      <c r="AR310" s="6">
        <f>IF(OR($BJ310="",43&gt;設定!$B$3),"",IF(INDEX(原始資料!AT$2:AT$501,$BJ310)="","",INDEX(原始資料!AT$2:AT$501,$BJ310)))</f>
        <v/>
      </c>
      <c r="AS310" s="6">
        <f>IF(OR($BJ310="",44&gt;設定!$B$3),"",IF(INDEX(原始資料!AU$2:AU$501,$BJ310)="","",INDEX(原始資料!AU$2:AU$501,$BJ310)))</f>
        <v/>
      </c>
      <c r="AT310" s="6">
        <f>IF(OR($BJ310="",45&gt;設定!$B$3),"",IF(INDEX(原始資料!AV$2:AV$501,$BJ310)="","",INDEX(原始資料!AV$2:AV$501,$BJ310)))</f>
        <v/>
      </c>
      <c r="AU310" s="6">
        <f>IF(OR($BJ310="",46&gt;設定!$B$3),"",IF(INDEX(原始資料!AW$2:AW$501,$BJ310)="","",INDEX(原始資料!AW$2:AW$501,$BJ310)))</f>
        <v/>
      </c>
      <c r="AV310" s="6">
        <f>IF(OR($BJ310="",47&gt;設定!$B$3),"",IF(INDEX(原始資料!AX$2:AX$501,$BJ310)="","",INDEX(原始資料!AX$2:AX$501,$BJ310)))</f>
        <v/>
      </c>
      <c r="AW310" s="6">
        <f>IF(OR($BJ310="",48&gt;設定!$B$3),"",IF(INDEX(原始資料!AY$2:AY$501,$BJ310)="","",INDEX(原始資料!AY$2:AY$501,$BJ310)))</f>
        <v/>
      </c>
      <c r="AX310" s="6">
        <f>IF(OR($BJ310="",49&gt;設定!$B$3),"",IF(INDEX(原始資料!AZ$2:AZ$501,$BJ310)="","",INDEX(原始資料!AZ$2:AZ$501,$BJ310)))</f>
        <v/>
      </c>
      <c r="AY310" s="6">
        <f>IF(OR($BJ310="",50&gt;設定!$B$3),"",IF(INDEX(原始資料!BA$2:BA$501,$BJ310)="","",INDEX(原始資料!BA$2:BA$501,$BJ310)))</f>
        <v/>
      </c>
      <c r="AZ310" s="6">
        <f>IF(OR($BJ310="",51&gt;設定!$B$3),"",IF(INDEX(原始資料!BB$2:BB$501,$BJ310)="","",INDEX(原始資料!BB$2:BB$501,$BJ310)))</f>
        <v/>
      </c>
      <c r="BA310" s="6">
        <f>IF(OR($BJ310="",52&gt;設定!$B$3),"",IF(INDEX(原始資料!BC$2:BC$501,$BJ310)="","",INDEX(原始資料!BC$2:BC$501,$BJ310)))</f>
        <v/>
      </c>
      <c r="BB310" s="6">
        <f>IF(OR($BJ310="",53&gt;設定!$B$3),"",IF(INDEX(原始資料!BD$2:BD$501,$BJ310)="","",INDEX(原始資料!BD$2:BD$501,$BJ310)))</f>
        <v/>
      </c>
      <c r="BC310" s="6">
        <f>IF(OR($BJ310="",54&gt;設定!$B$3),"",IF(INDEX(原始資料!BE$2:BE$501,$BJ310)="","",INDEX(原始資料!BE$2:BE$501,$BJ310)))</f>
        <v/>
      </c>
      <c r="BD310" s="6">
        <f>IF(OR($BJ310="",55&gt;設定!$B$3),"",IF(INDEX(原始資料!BF$2:BF$501,$BJ310)="","",INDEX(原始資料!BF$2:BF$501,$BJ310)))</f>
        <v/>
      </c>
      <c r="BE310" s="6">
        <f>IF(OR($BJ310="",56&gt;設定!$B$3),"",IF(INDEX(原始資料!BG$2:BG$501,$BJ310)="","",INDEX(原始資料!BG$2:BG$501,$BJ310)))</f>
        <v/>
      </c>
      <c r="BF310" s="6">
        <f>IF(OR($BJ310="",57&gt;設定!$B$3),"",IF(INDEX(原始資料!BH$2:BH$501,$BJ310)="","",INDEX(原始資料!BH$2:BH$501,$BJ310)))</f>
        <v/>
      </c>
      <c r="BG310" s="6">
        <f>IF(OR($BJ310="",58&gt;設定!$B$3),"",IF(INDEX(原始資料!BI$2:BI$501,$BJ310)="","",INDEX(原始資料!BI$2:BI$501,$BJ310)))</f>
        <v/>
      </c>
      <c r="BH310" s="6">
        <f>IF(OR($BJ310="",59&gt;設定!$B$3),"",IF(INDEX(原始資料!BJ$2:BJ$501,$BJ310)="","",INDEX(原始資料!BJ$2:BJ$501,$BJ310)))</f>
        <v/>
      </c>
      <c r="BI310" s="6">
        <f>IF(OR($BJ310="",60&gt;設定!$B$3),"",IF(INDEX(原始資料!BK$2:BK$501,$BJ310)="","",INDEX(原始資料!BK$2:BK$501,$BJ310)))</f>
        <v/>
      </c>
      <c r="BJ310" s="6">
        <f>IFERROR(MATCH(ROW()-1,判定!$H$2:$H$501,0),"")</f>
        <v/>
      </c>
    </row>
    <row r="311">
      <c r="A311" s="6">
        <f>IF($BJ311="","",INDEX(原始資料!$A$2:$A$501,$BJ311))</f>
        <v/>
      </c>
      <c r="B311" s="6">
        <f>IF(OR($BJ311="",1&gt;設定!$B$3),"",IF(INDEX(原始資料!D$2:D$501,$BJ311)="","",INDEX(原始資料!D$2:D$501,$BJ311)))</f>
        <v/>
      </c>
      <c r="C311" s="6">
        <f>IF(OR($BJ311="",2&gt;設定!$B$3),"",IF(INDEX(原始資料!E$2:E$501,$BJ311)="","",INDEX(原始資料!E$2:E$501,$BJ311)))</f>
        <v/>
      </c>
      <c r="D311" s="6">
        <f>IF(OR($BJ311="",3&gt;設定!$B$3),"",IF(INDEX(原始資料!F$2:F$501,$BJ311)="","",INDEX(原始資料!F$2:F$501,$BJ311)))</f>
        <v/>
      </c>
      <c r="E311" s="6">
        <f>IF(OR($BJ311="",4&gt;設定!$B$3),"",IF(INDEX(原始資料!G$2:G$501,$BJ311)="","",INDEX(原始資料!G$2:G$501,$BJ311)))</f>
        <v/>
      </c>
      <c r="F311" s="6">
        <f>IF(OR($BJ311="",5&gt;設定!$B$3),"",IF(INDEX(原始資料!H$2:H$501,$BJ311)="","",INDEX(原始資料!H$2:H$501,$BJ311)))</f>
        <v/>
      </c>
      <c r="G311" s="6">
        <f>IF(OR($BJ311="",6&gt;設定!$B$3),"",IF(INDEX(原始資料!I$2:I$501,$BJ311)="","",INDEX(原始資料!I$2:I$501,$BJ311)))</f>
        <v/>
      </c>
      <c r="H311" s="6">
        <f>IF(OR($BJ311="",7&gt;設定!$B$3),"",IF(INDEX(原始資料!J$2:J$501,$BJ311)="","",INDEX(原始資料!J$2:J$501,$BJ311)))</f>
        <v/>
      </c>
      <c r="I311" s="6">
        <f>IF(OR($BJ311="",8&gt;設定!$B$3),"",IF(INDEX(原始資料!K$2:K$501,$BJ311)="","",INDEX(原始資料!K$2:K$501,$BJ311)))</f>
        <v/>
      </c>
      <c r="J311" s="6">
        <f>IF(OR($BJ311="",9&gt;設定!$B$3),"",IF(INDEX(原始資料!L$2:L$501,$BJ311)="","",INDEX(原始資料!L$2:L$501,$BJ311)))</f>
        <v/>
      </c>
      <c r="K311" s="6">
        <f>IF(OR($BJ311="",10&gt;設定!$B$3),"",IF(INDEX(原始資料!M$2:M$501,$BJ311)="","",INDEX(原始資料!M$2:M$501,$BJ311)))</f>
        <v/>
      </c>
      <c r="L311" s="6">
        <f>IF(OR($BJ311="",11&gt;設定!$B$3),"",IF(INDEX(原始資料!N$2:N$501,$BJ311)="","",INDEX(原始資料!N$2:N$501,$BJ311)))</f>
        <v/>
      </c>
      <c r="M311" s="6">
        <f>IF(OR($BJ311="",12&gt;設定!$B$3),"",IF(INDEX(原始資料!O$2:O$501,$BJ311)="","",INDEX(原始資料!O$2:O$501,$BJ311)))</f>
        <v/>
      </c>
      <c r="N311" s="6">
        <f>IF(OR($BJ311="",13&gt;設定!$B$3),"",IF(INDEX(原始資料!P$2:P$501,$BJ311)="","",INDEX(原始資料!P$2:P$501,$BJ311)))</f>
        <v/>
      </c>
      <c r="O311" s="6">
        <f>IF(OR($BJ311="",14&gt;設定!$B$3),"",IF(INDEX(原始資料!Q$2:Q$501,$BJ311)="","",INDEX(原始資料!Q$2:Q$501,$BJ311)))</f>
        <v/>
      </c>
      <c r="P311" s="6">
        <f>IF(OR($BJ311="",15&gt;設定!$B$3),"",IF(INDEX(原始資料!R$2:R$501,$BJ311)="","",INDEX(原始資料!R$2:R$501,$BJ311)))</f>
        <v/>
      </c>
      <c r="Q311" s="6">
        <f>IF(OR($BJ311="",16&gt;設定!$B$3),"",IF(INDEX(原始資料!S$2:S$501,$BJ311)="","",INDEX(原始資料!S$2:S$501,$BJ311)))</f>
        <v/>
      </c>
      <c r="R311" s="6">
        <f>IF(OR($BJ311="",17&gt;設定!$B$3),"",IF(INDEX(原始資料!T$2:T$501,$BJ311)="","",INDEX(原始資料!T$2:T$501,$BJ311)))</f>
        <v/>
      </c>
      <c r="S311" s="6">
        <f>IF(OR($BJ311="",18&gt;設定!$B$3),"",IF(INDEX(原始資料!U$2:U$501,$BJ311)="","",INDEX(原始資料!U$2:U$501,$BJ311)))</f>
        <v/>
      </c>
      <c r="T311" s="6">
        <f>IF(OR($BJ311="",19&gt;設定!$B$3),"",IF(INDEX(原始資料!V$2:V$501,$BJ311)="","",INDEX(原始資料!V$2:V$501,$BJ311)))</f>
        <v/>
      </c>
      <c r="U311" s="6">
        <f>IF(OR($BJ311="",20&gt;設定!$B$3),"",IF(INDEX(原始資料!W$2:W$501,$BJ311)="","",INDEX(原始資料!W$2:W$501,$BJ311)))</f>
        <v/>
      </c>
      <c r="V311" s="6">
        <f>IF(OR($BJ311="",21&gt;設定!$B$3),"",IF(INDEX(原始資料!X$2:X$501,$BJ311)="","",INDEX(原始資料!X$2:X$501,$BJ311)))</f>
        <v/>
      </c>
      <c r="W311" s="6">
        <f>IF(OR($BJ311="",22&gt;設定!$B$3),"",IF(INDEX(原始資料!Y$2:Y$501,$BJ311)="","",INDEX(原始資料!Y$2:Y$501,$BJ311)))</f>
        <v/>
      </c>
      <c r="X311" s="6">
        <f>IF(OR($BJ311="",23&gt;設定!$B$3),"",IF(INDEX(原始資料!Z$2:Z$501,$BJ311)="","",INDEX(原始資料!Z$2:Z$501,$BJ311)))</f>
        <v/>
      </c>
      <c r="Y311" s="6">
        <f>IF(OR($BJ311="",24&gt;設定!$B$3),"",IF(INDEX(原始資料!AA$2:AA$501,$BJ311)="","",INDEX(原始資料!AA$2:AA$501,$BJ311)))</f>
        <v/>
      </c>
      <c r="Z311" s="6">
        <f>IF(OR($BJ311="",25&gt;設定!$B$3),"",IF(INDEX(原始資料!AB$2:AB$501,$BJ311)="","",INDEX(原始資料!AB$2:AB$501,$BJ311)))</f>
        <v/>
      </c>
      <c r="AA311" s="6">
        <f>IF(OR($BJ311="",26&gt;設定!$B$3),"",IF(INDEX(原始資料!AC$2:AC$501,$BJ311)="","",INDEX(原始資料!AC$2:AC$501,$BJ311)))</f>
        <v/>
      </c>
      <c r="AB311" s="6">
        <f>IF(OR($BJ311="",27&gt;設定!$B$3),"",IF(INDEX(原始資料!AD$2:AD$501,$BJ311)="","",INDEX(原始資料!AD$2:AD$501,$BJ311)))</f>
        <v/>
      </c>
      <c r="AC311" s="6">
        <f>IF(OR($BJ311="",28&gt;設定!$B$3),"",IF(INDEX(原始資料!AE$2:AE$501,$BJ311)="","",INDEX(原始資料!AE$2:AE$501,$BJ311)))</f>
        <v/>
      </c>
      <c r="AD311" s="6">
        <f>IF(OR($BJ311="",29&gt;設定!$B$3),"",IF(INDEX(原始資料!AF$2:AF$501,$BJ311)="","",INDEX(原始資料!AF$2:AF$501,$BJ311)))</f>
        <v/>
      </c>
      <c r="AE311" s="6">
        <f>IF(OR($BJ311="",30&gt;設定!$B$3),"",IF(INDEX(原始資料!AG$2:AG$501,$BJ311)="","",INDEX(原始資料!AG$2:AG$501,$BJ311)))</f>
        <v/>
      </c>
      <c r="AF311" s="6">
        <f>IF(OR($BJ311="",31&gt;設定!$B$3),"",IF(INDEX(原始資料!AH$2:AH$501,$BJ311)="","",INDEX(原始資料!AH$2:AH$501,$BJ311)))</f>
        <v/>
      </c>
      <c r="AG311" s="6">
        <f>IF(OR($BJ311="",32&gt;設定!$B$3),"",IF(INDEX(原始資料!AI$2:AI$501,$BJ311)="","",INDEX(原始資料!AI$2:AI$501,$BJ311)))</f>
        <v/>
      </c>
      <c r="AH311" s="6">
        <f>IF(OR($BJ311="",33&gt;設定!$B$3),"",IF(INDEX(原始資料!AJ$2:AJ$501,$BJ311)="","",INDEX(原始資料!AJ$2:AJ$501,$BJ311)))</f>
        <v/>
      </c>
      <c r="AI311" s="6">
        <f>IF(OR($BJ311="",34&gt;設定!$B$3),"",IF(INDEX(原始資料!AK$2:AK$501,$BJ311)="","",INDEX(原始資料!AK$2:AK$501,$BJ311)))</f>
        <v/>
      </c>
      <c r="AJ311" s="6">
        <f>IF(OR($BJ311="",35&gt;設定!$B$3),"",IF(INDEX(原始資料!AL$2:AL$501,$BJ311)="","",INDEX(原始資料!AL$2:AL$501,$BJ311)))</f>
        <v/>
      </c>
      <c r="AK311" s="6">
        <f>IF(OR($BJ311="",36&gt;設定!$B$3),"",IF(INDEX(原始資料!AM$2:AM$501,$BJ311)="","",INDEX(原始資料!AM$2:AM$501,$BJ311)))</f>
        <v/>
      </c>
      <c r="AL311" s="6">
        <f>IF(OR($BJ311="",37&gt;設定!$B$3),"",IF(INDEX(原始資料!AN$2:AN$501,$BJ311)="","",INDEX(原始資料!AN$2:AN$501,$BJ311)))</f>
        <v/>
      </c>
      <c r="AM311" s="6">
        <f>IF(OR($BJ311="",38&gt;設定!$B$3),"",IF(INDEX(原始資料!AO$2:AO$501,$BJ311)="","",INDEX(原始資料!AO$2:AO$501,$BJ311)))</f>
        <v/>
      </c>
      <c r="AN311" s="6">
        <f>IF(OR($BJ311="",39&gt;設定!$B$3),"",IF(INDEX(原始資料!AP$2:AP$501,$BJ311)="","",INDEX(原始資料!AP$2:AP$501,$BJ311)))</f>
        <v/>
      </c>
      <c r="AO311" s="6">
        <f>IF(OR($BJ311="",40&gt;設定!$B$3),"",IF(INDEX(原始資料!AQ$2:AQ$501,$BJ311)="","",INDEX(原始資料!AQ$2:AQ$501,$BJ311)))</f>
        <v/>
      </c>
      <c r="AP311" s="6">
        <f>IF(OR($BJ311="",41&gt;設定!$B$3),"",IF(INDEX(原始資料!AR$2:AR$501,$BJ311)="","",INDEX(原始資料!AR$2:AR$501,$BJ311)))</f>
        <v/>
      </c>
      <c r="AQ311" s="6">
        <f>IF(OR($BJ311="",42&gt;設定!$B$3),"",IF(INDEX(原始資料!AS$2:AS$501,$BJ311)="","",INDEX(原始資料!AS$2:AS$501,$BJ311)))</f>
        <v/>
      </c>
      <c r="AR311" s="6">
        <f>IF(OR($BJ311="",43&gt;設定!$B$3),"",IF(INDEX(原始資料!AT$2:AT$501,$BJ311)="","",INDEX(原始資料!AT$2:AT$501,$BJ311)))</f>
        <v/>
      </c>
      <c r="AS311" s="6">
        <f>IF(OR($BJ311="",44&gt;設定!$B$3),"",IF(INDEX(原始資料!AU$2:AU$501,$BJ311)="","",INDEX(原始資料!AU$2:AU$501,$BJ311)))</f>
        <v/>
      </c>
      <c r="AT311" s="6">
        <f>IF(OR($BJ311="",45&gt;設定!$B$3),"",IF(INDEX(原始資料!AV$2:AV$501,$BJ311)="","",INDEX(原始資料!AV$2:AV$501,$BJ311)))</f>
        <v/>
      </c>
      <c r="AU311" s="6">
        <f>IF(OR($BJ311="",46&gt;設定!$B$3),"",IF(INDEX(原始資料!AW$2:AW$501,$BJ311)="","",INDEX(原始資料!AW$2:AW$501,$BJ311)))</f>
        <v/>
      </c>
      <c r="AV311" s="6">
        <f>IF(OR($BJ311="",47&gt;設定!$B$3),"",IF(INDEX(原始資料!AX$2:AX$501,$BJ311)="","",INDEX(原始資料!AX$2:AX$501,$BJ311)))</f>
        <v/>
      </c>
      <c r="AW311" s="6">
        <f>IF(OR($BJ311="",48&gt;設定!$B$3),"",IF(INDEX(原始資料!AY$2:AY$501,$BJ311)="","",INDEX(原始資料!AY$2:AY$501,$BJ311)))</f>
        <v/>
      </c>
      <c r="AX311" s="6">
        <f>IF(OR($BJ311="",49&gt;設定!$B$3),"",IF(INDEX(原始資料!AZ$2:AZ$501,$BJ311)="","",INDEX(原始資料!AZ$2:AZ$501,$BJ311)))</f>
        <v/>
      </c>
      <c r="AY311" s="6">
        <f>IF(OR($BJ311="",50&gt;設定!$B$3),"",IF(INDEX(原始資料!BA$2:BA$501,$BJ311)="","",INDEX(原始資料!BA$2:BA$501,$BJ311)))</f>
        <v/>
      </c>
      <c r="AZ311" s="6">
        <f>IF(OR($BJ311="",51&gt;設定!$B$3),"",IF(INDEX(原始資料!BB$2:BB$501,$BJ311)="","",INDEX(原始資料!BB$2:BB$501,$BJ311)))</f>
        <v/>
      </c>
      <c r="BA311" s="6">
        <f>IF(OR($BJ311="",52&gt;設定!$B$3),"",IF(INDEX(原始資料!BC$2:BC$501,$BJ311)="","",INDEX(原始資料!BC$2:BC$501,$BJ311)))</f>
        <v/>
      </c>
      <c r="BB311" s="6">
        <f>IF(OR($BJ311="",53&gt;設定!$B$3),"",IF(INDEX(原始資料!BD$2:BD$501,$BJ311)="","",INDEX(原始資料!BD$2:BD$501,$BJ311)))</f>
        <v/>
      </c>
      <c r="BC311" s="6">
        <f>IF(OR($BJ311="",54&gt;設定!$B$3),"",IF(INDEX(原始資料!BE$2:BE$501,$BJ311)="","",INDEX(原始資料!BE$2:BE$501,$BJ311)))</f>
        <v/>
      </c>
      <c r="BD311" s="6">
        <f>IF(OR($BJ311="",55&gt;設定!$B$3),"",IF(INDEX(原始資料!BF$2:BF$501,$BJ311)="","",INDEX(原始資料!BF$2:BF$501,$BJ311)))</f>
        <v/>
      </c>
      <c r="BE311" s="6">
        <f>IF(OR($BJ311="",56&gt;設定!$B$3),"",IF(INDEX(原始資料!BG$2:BG$501,$BJ311)="","",INDEX(原始資料!BG$2:BG$501,$BJ311)))</f>
        <v/>
      </c>
      <c r="BF311" s="6">
        <f>IF(OR($BJ311="",57&gt;設定!$B$3),"",IF(INDEX(原始資料!BH$2:BH$501,$BJ311)="","",INDEX(原始資料!BH$2:BH$501,$BJ311)))</f>
        <v/>
      </c>
      <c r="BG311" s="6">
        <f>IF(OR($BJ311="",58&gt;設定!$B$3),"",IF(INDEX(原始資料!BI$2:BI$501,$BJ311)="","",INDEX(原始資料!BI$2:BI$501,$BJ311)))</f>
        <v/>
      </c>
      <c r="BH311" s="6">
        <f>IF(OR($BJ311="",59&gt;設定!$B$3),"",IF(INDEX(原始資料!BJ$2:BJ$501,$BJ311)="","",INDEX(原始資料!BJ$2:BJ$501,$BJ311)))</f>
        <v/>
      </c>
      <c r="BI311" s="6">
        <f>IF(OR($BJ311="",60&gt;設定!$B$3),"",IF(INDEX(原始資料!BK$2:BK$501,$BJ311)="","",INDEX(原始資料!BK$2:BK$501,$BJ311)))</f>
        <v/>
      </c>
      <c r="BJ311" s="6">
        <f>IFERROR(MATCH(ROW()-1,判定!$H$2:$H$501,0),"")</f>
        <v/>
      </c>
    </row>
    <row r="312">
      <c r="A312" s="6">
        <f>IF($BJ312="","",INDEX(原始資料!$A$2:$A$501,$BJ312))</f>
        <v/>
      </c>
      <c r="B312" s="6">
        <f>IF(OR($BJ312="",1&gt;設定!$B$3),"",IF(INDEX(原始資料!D$2:D$501,$BJ312)="","",INDEX(原始資料!D$2:D$501,$BJ312)))</f>
        <v/>
      </c>
      <c r="C312" s="6">
        <f>IF(OR($BJ312="",2&gt;設定!$B$3),"",IF(INDEX(原始資料!E$2:E$501,$BJ312)="","",INDEX(原始資料!E$2:E$501,$BJ312)))</f>
        <v/>
      </c>
      <c r="D312" s="6">
        <f>IF(OR($BJ312="",3&gt;設定!$B$3),"",IF(INDEX(原始資料!F$2:F$501,$BJ312)="","",INDEX(原始資料!F$2:F$501,$BJ312)))</f>
        <v/>
      </c>
      <c r="E312" s="6">
        <f>IF(OR($BJ312="",4&gt;設定!$B$3),"",IF(INDEX(原始資料!G$2:G$501,$BJ312)="","",INDEX(原始資料!G$2:G$501,$BJ312)))</f>
        <v/>
      </c>
      <c r="F312" s="6">
        <f>IF(OR($BJ312="",5&gt;設定!$B$3),"",IF(INDEX(原始資料!H$2:H$501,$BJ312)="","",INDEX(原始資料!H$2:H$501,$BJ312)))</f>
        <v/>
      </c>
      <c r="G312" s="6">
        <f>IF(OR($BJ312="",6&gt;設定!$B$3),"",IF(INDEX(原始資料!I$2:I$501,$BJ312)="","",INDEX(原始資料!I$2:I$501,$BJ312)))</f>
        <v/>
      </c>
      <c r="H312" s="6">
        <f>IF(OR($BJ312="",7&gt;設定!$B$3),"",IF(INDEX(原始資料!J$2:J$501,$BJ312)="","",INDEX(原始資料!J$2:J$501,$BJ312)))</f>
        <v/>
      </c>
      <c r="I312" s="6">
        <f>IF(OR($BJ312="",8&gt;設定!$B$3),"",IF(INDEX(原始資料!K$2:K$501,$BJ312)="","",INDEX(原始資料!K$2:K$501,$BJ312)))</f>
        <v/>
      </c>
      <c r="J312" s="6">
        <f>IF(OR($BJ312="",9&gt;設定!$B$3),"",IF(INDEX(原始資料!L$2:L$501,$BJ312)="","",INDEX(原始資料!L$2:L$501,$BJ312)))</f>
        <v/>
      </c>
      <c r="K312" s="6">
        <f>IF(OR($BJ312="",10&gt;設定!$B$3),"",IF(INDEX(原始資料!M$2:M$501,$BJ312)="","",INDEX(原始資料!M$2:M$501,$BJ312)))</f>
        <v/>
      </c>
      <c r="L312" s="6">
        <f>IF(OR($BJ312="",11&gt;設定!$B$3),"",IF(INDEX(原始資料!N$2:N$501,$BJ312)="","",INDEX(原始資料!N$2:N$501,$BJ312)))</f>
        <v/>
      </c>
      <c r="M312" s="6">
        <f>IF(OR($BJ312="",12&gt;設定!$B$3),"",IF(INDEX(原始資料!O$2:O$501,$BJ312)="","",INDEX(原始資料!O$2:O$501,$BJ312)))</f>
        <v/>
      </c>
      <c r="N312" s="6">
        <f>IF(OR($BJ312="",13&gt;設定!$B$3),"",IF(INDEX(原始資料!P$2:P$501,$BJ312)="","",INDEX(原始資料!P$2:P$501,$BJ312)))</f>
        <v/>
      </c>
      <c r="O312" s="6">
        <f>IF(OR($BJ312="",14&gt;設定!$B$3),"",IF(INDEX(原始資料!Q$2:Q$501,$BJ312)="","",INDEX(原始資料!Q$2:Q$501,$BJ312)))</f>
        <v/>
      </c>
      <c r="P312" s="6">
        <f>IF(OR($BJ312="",15&gt;設定!$B$3),"",IF(INDEX(原始資料!R$2:R$501,$BJ312)="","",INDEX(原始資料!R$2:R$501,$BJ312)))</f>
        <v/>
      </c>
      <c r="Q312" s="6">
        <f>IF(OR($BJ312="",16&gt;設定!$B$3),"",IF(INDEX(原始資料!S$2:S$501,$BJ312)="","",INDEX(原始資料!S$2:S$501,$BJ312)))</f>
        <v/>
      </c>
      <c r="R312" s="6">
        <f>IF(OR($BJ312="",17&gt;設定!$B$3),"",IF(INDEX(原始資料!T$2:T$501,$BJ312)="","",INDEX(原始資料!T$2:T$501,$BJ312)))</f>
        <v/>
      </c>
      <c r="S312" s="6">
        <f>IF(OR($BJ312="",18&gt;設定!$B$3),"",IF(INDEX(原始資料!U$2:U$501,$BJ312)="","",INDEX(原始資料!U$2:U$501,$BJ312)))</f>
        <v/>
      </c>
      <c r="T312" s="6">
        <f>IF(OR($BJ312="",19&gt;設定!$B$3),"",IF(INDEX(原始資料!V$2:V$501,$BJ312)="","",INDEX(原始資料!V$2:V$501,$BJ312)))</f>
        <v/>
      </c>
      <c r="U312" s="6">
        <f>IF(OR($BJ312="",20&gt;設定!$B$3),"",IF(INDEX(原始資料!W$2:W$501,$BJ312)="","",INDEX(原始資料!W$2:W$501,$BJ312)))</f>
        <v/>
      </c>
      <c r="V312" s="6">
        <f>IF(OR($BJ312="",21&gt;設定!$B$3),"",IF(INDEX(原始資料!X$2:X$501,$BJ312)="","",INDEX(原始資料!X$2:X$501,$BJ312)))</f>
        <v/>
      </c>
      <c r="W312" s="6">
        <f>IF(OR($BJ312="",22&gt;設定!$B$3),"",IF(INDEX(原始資料!Y$2:Y$501,$BJ312)="","",INDEX(原始資料!Y$2:Y$501,$BJ312)))</f>
        <v/>
      </c>
      <c r="X312" s="6">
        <f>IF(OR($BJ312="",23&gt;設定!$B$3),"",IF(INDEX(原始資料!Z$2:Z$501,$BJ312)="","",INDEX(原始資料!Z$2:Z$501,$BJ312)))</f>
        <v/>
      </c>
      <c r="Y312" s="6">
        <f>IF(OR($BJ312="",24&gt;設定!$B$3),"",IF(INDEX(原始資料!AA$2:AA$501,$BJ312)="","",INDEX(原始資料!AA$2:AA$501,$BJ312)))</f>
        <v/>
      </c>
      <c r="Z312" s="6">
        <f>IF(OR($BJ312="",25&gt;設定!$B$3),"",IF(INDEX(原始資料!AB$2:AB$501,$BJ312)="","",INDEX(原始資料!AB$2:AB$501,$BJ312)))</f>
        <v/>
      </c>
      <c r="AA312" s="6">
        <f>IF(OR($BJ312="",26&gt;設定!$B$3),"",IF(INDEX(原始資料!AC$2:AC$501,$BJ312)="","",INDEX(原始資料!AC$2:AC$501,$BJ312)))</f>
        <v/>
      </c>
      <c r="AB312" s="6">
        <f>IF(OR($BJ312="",27&gt;設定!$B$3),"",IF(INDEX(原始資料!AD$2:AD$501,$BJ312)="","",INDEX(原始資料!AD$2:AD$501,$BJ312)))</f>
        <v/>
      </c>
      <c r="AC312" s="6">
        <f>IF(OR($BJ312="",28&gt;設定!$B$3),"",IF(INDEX(原始資料!AE$2:AE$501,$BJ312)="","",INDEX(原始資料!AE$2:AE$501,$BJ312)))</f>
        <v/>
      </c>
      <c r="AD312" s="6">
        <f>IF(OR($BJ312="",29&gt;設定!$B$3),"",IF(INDEX(原始資料!AF$2:AF$501,$BJ312)="","",INDEX(原始資料!AF$2:AF$501,$BJ312)))</f>
        <v/>
      </c>
      <c r="AE312" s="6">
        <f>IF(OR($BJ312="",30&gt;設定!$B$3),"",IF(INDEX(原始資料!AG$2:AG$501,$BJ312)="","",INDEX(原始資料!AG$2:AG$501,$BJ312)))</f>
        <v/>
      </c>
      <c r="AF312" s="6">
        <f>IF(OR($BJ312="",31&gt;設定!$B$3),"",IF(INDEX(原始資料!AH$2:AH$501,$BJ312)="","",INDEX(原始資料!AH$2:AH$501,$BJ312)))</f>
        <v/>
      </c>
      <c r="AG312" s="6">
        <f>IF(OR($BJ312="",32&gt;設定!$B$3),"",IF(INDEX(原始資料!AI$2:AI$501,$BJ312)="","",INDEX(原始資料!AI$2:AI$501,$BJ312)))</f>
        <v/>
      </c>
      <c r="AH312" s="6">
        <f>IF(OR($BJ312="",33&gt;設定!$B$3),"",IF(INDEX(原始資料!AJ$2:AJ$501,$BJ312)="","",INDEX(原始資料!AJ$2:AJ$501,$BJ312)))</f>
        <v/>
      </c>
      <c r="AI312" s="6">
        <f>IF(OR($BJ312="",34&gt;設定!$B$3),"",IF(INDEX(原始資料!AK$2:AK$501,$BJ312)="","",INDEX(原始資料!AK$2:AK$501,$BJ312)))</f>
        <v/>
      </c>
      <c r="AJ312" s="6">
        <f>IF(OR($BJ312="",35&gt;設定!$B$3),"",IF(INDEX(原始資料!AL$2:AL$501,$BJ312)="","",INDEX(原始資料!AL$2:AL$501,$BJ312)))</f>
        <v/>
      </c>
      <c r="AK312" s="6">
        <f>IF(OR($BJ312="",36&gt;設定!$B$3),"",IF(INDEX(原始資料!AM$2:AM$501,$BJ312)="","",INDEX(原始資料!AM$2:AM$501,$BJ312)))</f>
        <v/>
      </c>
      <c r="AL312" s="6">
        <f>IF(OR($BJ312="",37&gt;設定!$B$3),"",IF(INDEX(原始資料!AN$2:AN$501,$BJ312)="","",INDEX(原始資料!AN$2:AN$501,$BJ312)))</f>
        <v/>
      </c>
      <c r="AM312" s="6">
        <f>IF(OR($BJ312="",38&gt;設定!$B$3),"",IF(INDEX(原始資料!AO$2:AO$501,$BJ312)="","",INDEX(原始資料!AO$2:AO$501,$BJ312)))</f>
        <v/>
      </c>
      <c r="AN312" s="6">
        <f>IF(OR($BJ312="",39&gt;設定!$B$3),"",IF(INDEX(原始資料!AP$2:AP$501,$BJ312)="","",INDEX(原始資料!AP$2:AP$501,$BJ312)))</f>
        <v/>
      </c>
      <c r="AO312" s="6">
        <f>IF(OR($BJ312="",40&gt;設定!$B$3),"",IF(INDEX(原始資料!AQ$2:AQ$501,$BJ312)="","",INDEX(原始資料!AQ$2:AQ$501,$BJ312)))</f>
        <v/>
      </c>
      <c r="AP312" s="6">
        <f>IF(OR($BJ312="",41&gt;設定!$B$3),"",IF(INDEX(原始資料!AR$2:AR$501,$BJ312)="","",INDEX(原始資料!AR$2:AR$501,$BJ312)))</f>
        <v/>
      </c>
      <c r="AQ312" s="6">
        <f>IF(OR($BJ312="",42&gt;設定!$B$3),"",IF(INDEX(原始資料!AS$2:AS$501,$BJ312)="","",INDEX(原始資料!AS$2:AS$501,$BJ312)))</f>
        <v/>
      </c>
      <c r="AR312" s="6">
        <f>IF(OR($BJ312="",43&gt;設定!$B$3),"",IF(INDEX(原始資料!AT$2:AT$501,$BJ312)="","",INDEX(原始資料!AT$2:AT$501,$BJ312)))</f>
        <v/>
      </c>
      <c r="AS312" s="6">
        <f>IF(OR($BJ312="",44&gt;設定!$B$3),"",IF(INDEX(原始資料!AU$2:AU$501,$BJ312)="","",INDEX(原始資料!AU$2:AU$501,$BJ312)))</f>
        <v/>
      </c>
      <c r="AT312" s="6">
        <f>IF(OR($BJ312="",45&gt;設定!$B$3),"",IF(INDEX(原始資料!AV$2:AV$501,$BJ312)="","",INDEX(原始資料!AV$2:AV$501,$BJ312)))</f>
        <v/>
      </c>
      <c r="AU312" s="6">
        <f>IF(OR($BJ312="",46&gt;設定!$B$3),"",IF(INDEX(原始資料!AW$2:AW$501,$BJ312)="","",INDEX(原始資料!AW$2:AW$501,$BJ312)))</f>
        <v/>
      </c>
      <c r="AV312" s="6">
        <f>IF(OR($BJ312="",47&gt;設定!$B$3),"",IF(INDEX(原始資料!AX$2:AX$501,$BJ312)="","",INDEX(原始資料!AX$2:AX$501,$BJ312)))</f>
        <v/>
      </c>
      <c r="AW312" s="6">
        <f>IF(OR($BJ312="",48&gt;設定!$B$3),"",IF(INDEX(原始資料!AY$2:AY$501,$BJ312)="","",INDEX(原始資料!AY$2:AY$501,$BJ312)))</f>
        <v/>
      </c>
      <c r="AX312" s="6">
        <f>IF(OR($BJ312="",49&gt;設定!$B$3),"",IF(INDEX(原始資料!AZ$2:AZ$501,$BJ312)="","",INDEX(原始資料!AZ$2:AZ$501,$BJ312)))</f>
        <v/>
      </c>
      <c r="AY312" s="6">
        <f>IF(OR($BJ312="",50&gt;設定!$B$3),"",IF(INDEX(原始資料!BA$2:BA$501,$BJ312)="","",INDEX(原始資料!BA$2:BA$501,$BJ312)))</f>
        <v/>
      </c>
      <c r="AZ312" s="6">
        <f>IF(OR($BJ312="",51&gt;設定!$B$3),"",IF(INDEX(原始資料!BB$2:BB$501,$BJ312)="","",INDEX(原始資料!BB$2:BB$501,$BJ312)))</f>
        <v/>
      </c>
      <c r="BA312" s="6">
        <f>IF(OR($BJ312="",52&gt;設定!$B$3),"",IF(INDEX(原始資料!BC$2:BC$501,$BJ312)="","",INDEX(原始資料!BC$2:BC$501,$BJ312)))</f>
        <v/>
      </c>
      <c r="BB312" s="6">
        <f>IF(OR($BJ312="",53&gt;設定!$B$3),"",IF(INDEX(原始資料!BD$2:BD$501,$BJ312)="","",INDEX(原始資料!BD$2:BD$501,$BJ312)))</f>
        <v/>
      </c>
      <c r="BC312" s="6">
        <f>IF(OR($BJ312="",54&gt;設定!$B$3),"",IF(INDEX(原始資料!BE$2:BE$501,$BJ312)="","",INDEX(原始資料!BE$2:BE$501,$BJ312)))</f>
        <v/>
      </c>
      <c r="BD312" s="6">
        <f>IF(OR($BJ312="",55&gt;設定!$B$3),"",IF(INDEX(原始資料!BF$2:BF$501,$BJ312)="","",INDEX(原始資料!BF$2:BF$501,$BJ312)))</f>
        <v/>
      </c>
      <c r="BE312" s="6">
        <f>IF(OR($BJ312="",56&gt;設定!$B$3),"",IF(INDEX(原始資料!BG$2:BG$501,$BJ312)="","",INDEX(原始資料!BG$2:BG$501,$BJ312)))</f>
        <v/>
      </c>
      <c r="BF312" s="6">
        <f>IF(OR($BJ312="",57&gt;設定!$B$3),"",IF(INDEX(原始資料!BH$2:BH$501,$BJ312)="","",INDEX(原始資料!BH$2:BH$501,$BJ312)))</f>
        <v/>
      </c>
      <c r="BG312" s="6">
        <f>IF(OR($BJ312="",58&gt;設定!$B$3),"",IF(INDEX(原始資料!BI$2:BI$501,$BJ312)="","",INDEX(原始資料!BI$2:BI$501,$BJ312)))</f>
        <v/>
      </c>
      <c r="BH312" s="6">
        <f>IF(OR($BJ312="",59&gt;設定!$B$3),"",IF(INDEX(原始資料!BJ$2:BJ$501,$BJ312)="","",INDEX(原始資料!BJ$2:BJ$501,$BJ312)))</f>
        <v/>
      </c>
      <c r="BI312" s="6">
        <f>IF(OR($BJ312="",60&gt;設定!$B$3),"",IF(INDEX(原始資料!BK$2:BK$501,$BJ312)="","",INDEX(原始資料!BK$2:BK$501,$BJ312)))</f>
        <v/>
      </c>
      <c r="BJ312" s="6">
        <f>IFERROR(MATCH(ROW()-1,判定!$H$2:$H$501,0),"")</f>
        <v/>
      </c>
    </row>
    <row r="313">
      <c r="A313" s="6">
        <f>IF($BJ313="","",INDEX(原始資料!$A$2:$A$501,$BJ313))</f>
        <v/>
      </c>
      <c r="B313" s="6">
        <f>IF(OR($BJ313="",1&gt;設定!$B$3),"",IF(INDEX(原始資料!D$2:D$501,$BJ313)="","",INDEX(原始資料!D$2:D$501,$BJ313)))</f>
        <v/>
      </c>
      <c r="C313" s="6">
        <f>IF(OR($BJ313="",2&gt;設定!$B$3),"",IF(INDEX(原始資料!E$2:E$501,$BJ313)="","",INDEX(原始資料!E$2:E$501,$BJ313)))</f>
        <v/>
      </c>
      <c r="D313" s="6">
        <f>IF(OR($BJ313="",3&gt;設定!$B$3),"",IF(INDEX(原始資料!F$2:F$501,$BJ313)="","",INDEX(原始資料!F$2:F$501,$BJ313)))</f>
        <v/>
      </c>
      <c r="E313" s="6">
        <f>IF(OR($BJ313="",4&gt;設定!$B$3),"",IF(INDEX(原始資料!G$2:G$501,$BJ313)="","",INDEX(原始資料!G$2:G$501,$BJ313)))</f>
        <v/>
      </c>
      <c r="F313" s="6">
        <f>IF(OR($BJ313="",5&gt;設定!$B$3),"",IF(INDEX(原始資料!H$2:H$501,$BJ313)="","",INDEX(原始資料!H$2:H$501,$BJ313)))</f>
        <v/>
      </c>
      <c r="G313" s="6">
        <f>IF(OR($BJ313="",6&gt;設定!$B$3),"",IF(INDEX(原始資料!I$2:I$501,$BJ313)="","",INDEX(原始資料!I$2:I$501,$BJ313)))</f>
        <v/>
      </c>
      <c r="H313" s="6">
        <f>IF(OR($BJ313="",7&gt;設定!$B$3),"",IF(INDEX(原始資料!J$2:J$501,$BJ313)="","",INDEX(原始資料!J$2:J$501,$BJ313)))</f>
        <v/>
      </c>
      <c r="I313" s="6">
        <f>IF(OR($BJ313="",8&gt;設定!$B$3),"",IF(INDEX(原始資料!K$2:K$501,$BJ313)="","",INDEX(原始資料!K$2:K$501,$BJ313)))</f>
        <v/>
      </c>
      <c r="J313" s="6">
        <f>IF(OR($BJ313="",9&gt;設定!$B$3),"",IF(INDEX(原始資料!L$2:L$501,$BJ313)="","",INDEX(原始資料!L$2:L$501,$BJ313)))</f>
        <v/>
      </c>
      <c r="K313" s="6">
        <f>IF(OR($BJ313="",10&gt;設定!$B$3),"",IF(INDEX(原始資料!M$2:M$501,$BJ313)="","",INDEX(原始資料!M$2:M$501,$BJ313)))</f>
        <v/>
      </c>
      <c r="L313" s="6">
        <f>IF(OR($BJ313="",11&gt;設定!$B$3),"",IF(INDEX(原始資料!N$2:N$501,$BJ313)="","",INDEX(原始資料!N$2:N$501,$BJ313)))</f>
        <v/>
      </c>
      <c r="M313" s="6">
        <f>IF(OR($BJ313="",12&gt;設定!$B$3),"",IF(INDEX(原始資料!O$2:O$501,$BJ313)="","",INDEX(原始資料!O$2:O$501,$BJ313)))</f>
        <v/>
      </c>
      <c r="N313" s="6">
        <f>IF(OR($BJ313="",13&gt;設定!$B$3),"",IF(INDEX(原始資料!P$2:P$501,$BJ313)="","",INDEX(原始資料!P$2:P$501,$BJ313)))</f>
        <v/>
      </c>
      <c r="O313" s="6">
        <f>IF(OR($BJ313="",14&gt;設定!$B$3),"",IF(INDEX(原始資料!Q$2:Q$501,$BJ313)="","",INDEX(原始資料!Q$2:Q$501,$BJ313)))</f>
        <v/>
      </c>
      <c r="P313" s="6">
        <f>IF(OR($BJ313="",15&gt;設定!$B$3),"",IF(INDEX(原始資料!R$2:R$501,$BJ313)="","",INDEX(原始資料!R$2:R$501,$BJ313)))</f>
        <v/>
      </c>
      <c r="Q313" s="6">
        <f>IF(OR($BJ313="",16&gt;設定!$B$3),"",IF(INDEX(原始資料!S$2:S$501,$BJ313)="","",INDEX(原始資料!S$2:S$501,$BJ313)))</f>
        <v/>
      </c>
      <c r="R313" s="6">
        <f>IF(OR($BJ313="",17&gt;設定!$B$3),"",IF(INDEX(原始資料!T$2:T$501,$BJ313)="","",INDEX(原始資料!T$2:T$501,$BJ313)))</f>
        <v/>
      </c>
      <c r="S313" s="6">
        <f>IF(OR($BJ313="",18&gt;設定!$B$3),"",IF(INDEX(原始資料!U$2:U$501,$BJ313)="","",INDEX(原始資料!U$2:U$501,$BJ313)))</f>
        <v/>
      </c>
      <c r="T313" s="6">
        <f>IF(OR($BJ313="",19&gt;設定!$B$3),"",IF(INDEX(原始資料!V$2:V$501,$BJ313)="","",INDEX(原始資料!V$2:V$501,$BJ313)))</f>
        <v/>
      </c>
      <c r="U313" s="6">
        <f>IF(OR($BJ313="",20&gt;設定!$B$3),"",IF(INDEX(原始資料!W$2:W$501,$BJ313)="","",INDEX(原始資料!W$2:W$501,$BJ313)))</f>
        <v/>
      </c>
      <c r="V313" s="6">
        <f>IF(OR($BJ313="",21&gt;設定!$B$3),"",IF(INDEX(原始資料!X$2:X$501,$BJ313)="","",INDEX(原始資料!X$2:X$501,$BJ313)))</f>
        <v/>
      </c>
      <c r="W313" s="6">
        <f>IF(OR($BJ313="",22&gt;設定!$B$3),"",IF(INDEX(原始資料!Y$2:Y$501,$BJ313)="","",INDEX(原始資料!Y$2:Y$501,$BJ313)))</f>
        <v/>
      </c>
      <c r="X313" s="6">
        <f>IF(OR($BJ313="",23&gt;設定!$B$3),"",IF(INDEX(原始資料!Z$2:Z$501,$BJ313)="","",INDEX(原始資料!Z$2:Z$501,$BJ313)))</f>
        <v/>
      </c>
      <c r="Y313" s="6">
        <f>IF(OR($BJ313="",24&gt;設定!$B$3),"",IF(INDEX(原始資料!AA$2:AA$501,$BJ313)="","",INDEX(原始資料!AA$2:AA$501,$BJ313)))</f>
        <v/>
      </c>
      <c r="Z313" s="6">
        <f>IF(OR($BJ313="",25&gt;設定!$B$3),"",IF(INDEX(原始資料!AB$2:AB$501,$BJ313)="","",INDEX(原始資料!AB$2:AB$501,$BJ313)))</f>
        <v/>
      </c>
      <c r="AA313" s="6">
        <f>IF(OR($BJ313="",26&gt;設定!$B$3),"",IF(INDEX(原始資料!AC$2:AC$501,$BJ313)="","",INDEX(原始資料!AC$2:AC$501,$BJ313)))</f>
        <v/>
      </c>
      <c r="AB313" s="6">
        <f>IF(OR($BJ313="",27&gt;設定!$B$3),"",IF(INDEX(原始資料!AD$2:AD$501,$BJ313)="","",INDEX(原始資料!AD$2:AD$501,$BJ313)))</f>
        <v/>
      </c>
      <c r="AC313" s="6">
        <f>IF(OR($BJ313="",28&gt;設定!$B$3),"",IF(INDEX(原始資料!AE$2:AE$501,$BJ313)="","",INDEX(原始資料!AE$2:AE$501,$BJ313)))</f>
        <v/>
      </c>
      <c r="AD313" s="6">
        <f>IF(OR($BJ313="",29&gt;設定!$B$3),"",IF(INDEX(原始資料!AF$2:AF$501,$BJ313)="","",INDEX(原始資料!AF$2:AF$501,$BJ313)))</f>
        <v/>
      </c>
      <c r="AE313" s="6">
        <f>IF(OR($BJ313="",30&gt;設定!$B$3),"",IF(INDEX(原始資料!AG$2:AG$501,$BJ313)="","",INDEX(原始資料!AG$2:AG$501,$BJ313)))</f>
        <v/>
      </c>
      <c r="AF313" s="6">
        <f>IF(OR($BJ313="",31&gt;設定!$B$3),"",IF(INDEX(原始資料!AH$2:AH$501,$BJ313)="","",INDEX(原始資料!AH$2:AH$501,$BJ313)))</f>
        <v/>
      </c>
      <c r="AG313" s="6">
        <f>IF(OR($BJ313="",32&gt;設定!$B$3),"",IF(INDEX(原始資料!AI$2:AI$501,$BJ313)="","",INDEX(原始資料!AI$2:AI$501,$BJ313)))</f>
        <v/>
      </c>
      <c r="AH313" s="6">
        <f>IF(OR($BJ313="",33&gt;設定!$B$3),"",IF(INDEX(原始資料!AJ$2:AJ$501,$BJ313)="","",INDEX(原始資料!AJ$2:AJ$501,$BJ313)))</f>
        <v/>
      </c>
      <c r="AI313" s="6">
        <f>IF(OR($BJ313="",34&gt;設定!$B$3),"",IF(INDEX(原始資料!AK$2:AK$501,$BJ313)="","",INDEX(原始資料!AK$2:AK$501,$BJ313)))</f>
        <v/>
      </c>
      <c r="AJ313" s="6">
        <f>IF(OR($BJ313="",35&gt;設定!$B$3),"",IF(INDEX(原始資料!AL$2:AL$501,$BJ313)="","",INDEX(原始資料!AL$2:AL$501,$BJ313)))</f>
        <v/>
      </c>
      <c r="AK313" s="6">
        <f>IF(OR($BJ313="",36&gt;設定!$B$3),"",IF(INDEX(原始資料!AM$2:AM$501,$BJ313)="","",INDEX(原始資料!AM$2:AM$501,$BJ313)))</f>
        <v/>
      </c>
      <c r="AL313" s="6">
        <f>IF(OR($BJ313="",37&gt;設定!$B$3),"",IF(INDEX(原始資料!AN$2:AN$501,$BJ313)="","",INDEX(原始資料!AN$2:AN$501,$BJ313)))</f>
        <v/>
      </c>
      <c r="AM313" s="6">
        <f>IF(OR($BJ313="",38&gt;設定!$B$3),"",IF(INDEX(原始資料!AO$2:AO$501,$BJ313)="","",INDEX(原始資料!AO$2:AO$501,$BJ313)))</f>
        <v/>
      </c>
      <c r="AN313" s="6">
        <f>IF(OR($BJ313="",39&gt;設定!$B$3),"",IF(INDEX(原始資料!AP$2:AP$501,$BJ313)="","",INDEX(原始資料!AP$2:AP$501,$BJ313)))</f>
        <v/>
      </c>
      <c r="AO313" s="6">
        <f>IF(OR($BJ313="",40&gt;設定!$B$3),"",IF(INDEX(原始資料!AQ$2:AQ$501,$BJ313)="","",INDEX(原始資料!AQ$2:AQ$501,$BJ313)))</f>
        <v/>
      </c>
      <c r="AP313" s="6">
        <f>IF(OR($BJ313="",41&gt;設定!$B$3),"",IF(INDEX(原始資料!AR$2:AR$501,$BJ313)="","",INDEX(原始資料!AR$2:AR$501,$BJ313)))</f>
        <v/>
      </c>
      <c r="AQ313" s="6">
        <f>IF(OR($BJ313="",42&gt;設定!$B$3),"",IF(INDEX(原始資料!AS$2:AS$501,$BJ313)="","",INDEX(原始資料!AS$2:AS$501,$BJ313)))</f>
        <v/>
      </c>
      <c r="AR313" s="6">
        <f>IF(OR($BJ313="",43&gt;設定!$B$3),"",IF(INDEX(原始資料!AT$2:AT$501,$BJ313)="","",INDEX(原始資料!AT$2:AT$501,$BJ313)))</f>
        <v/>
      </c>
      <c r="AS313" s="6">
        <f>IF(OR($BJ313="",44&gt;設定!$B$3),"",IF(INDEX(原始資料!AU$2:AU$501,$BJ313)="","",INDEX(原始資料!AU$2:AU$501,$BJ313)))</f>
        <v/>
      </c>
      <c r="AT313" s="6">
        <f>IF(OR($BJ313="",45&gt;設定!$B$3),"",IF(INDEX(原始資料!AV$2:AV$501,$BJ313)="","",INDEX(原始資料!AV$2:AV$501,$BJ313)))</f>
        <v/>
      </c>
      <c r="AU313" s="6">
        <f>IF(OR($BJ313="",46&gt;設定!$B$3),"",IF(INDEX(原始資料!AW$2:AW$501,$BJ313)="","",INDEX(原始資料!AW$2:AW$501,$BJ313)))</f>
        <v/>
      </c>
      <c r="AV313" s="6">
        <f>IF(OR($BJ313="",47&gt;設定!$B$3),"",IF(INDEX(原始資料!AX$2:AX$501,$BJ313)="","",INDEX(原始資料!AX$2:AX$501,$BJ313)))</f>
        <v/>
      </c>
      <c r="AW313" s="6">
        <f>IF(OR($BJ313="",48&gt;設定!$B$3),"",IF(INDEX(原始資料!AY$2:AY$501,$BJ313)="","",INDEX(原始資料!AY$2:AY$501,$BJ313)))</f>
        <v/>
      </c>
      <c r="AX313" s="6">
        <f>IF(OR($BJ313="",49&gt;設定!$B$3),"",IF(INDEX(原始資料!AZ$2:AZ$501,$BJ313)="","",INDEX(原始資料!AZ$2:AZ$501,$BJ313)))</f>
        <v/>
      </c>
      <c r="AY313" s="6">
        <f>IF(OR($BJ313="",50&gt;設定!$B$3),"",IF(INDEX(原始資料!BA$2:BA$501,$BJ313)="","",INDEX(原始資料!BA$2:BA$501,$BJ313)))</f>
        <v/>
      </c>
      <c r="AZ313" s="6">
        <f>IF(OR($BJ313="",51&gt;設定!$B$3),"",IF(INDEX(原始資料!BB$2:BB$501,$BJ313)="","",INDEX(原始資料!BB$2:BB$501,$BJ313)))</f>
        <v/>
      </c>
      <c r="BA313" s="6">
        <f>IF(OR($BJ313="",52&gt;設定!$B$3),"",IF(INDEX(原始資料!BC$2:BC$501,$BJ313)="","",INDEX(原始資料!BC$2:BC$501,$BJ313)))</f>
        <v/>
      </c>
      <c r="BB313" s="6">
        <f>IF(OR($BJ313="",53&gt;設定!$B$3),"",IF(INDEX(原始資料!BD$2:BD$501,$BJ313)="","",INDEX(原始資料!BD$2:BD$501,$BJ313)))</f>
        <v/>
      </c>
      <c r="BC313" s="6">
        <f>IF(OR($BJ313="",54&gt;設定!$B$3),"",IF(INDEX(原始資料!BE$2:BE$501,$BJ313)="","",INDEX(原始資料!BE$2:BE$501,$BJ313)))</f>
        <v/>
      </c>
      <c r="BD313" s="6">
        <f>IF(OR($BJ313="",55&gt;設定!$B$3),"",IF(INDEX(原始資料!BF$2:BF$501,$BJ313)="","",INDEX(原始資料!BF$2:BF$501,$BJ313)))</f>
        <v/>
      </c>
      <c r="BE313" s="6">
        <f>IF(OR($BJ313="",56&gt;設定!$B$3),"",IF(INDEX(原始資料!BG$2:BG$501,$BJ313)="","",INDEX(原始資料!BG$2:BG$501,$BJ313)))</f>
        <v/>
      </c>
      <c r="BF313" s="6">
        <f>IF(OR($BJ313="",57&gt;設定!$B$3),"",IF(INDEX(原始資料!BH$2:BH$501,$BJ313)="","",INDEX(原始資料!BH$2:BH$501,$BJ313)))</f>
        <v/>
      </c>
      <c r="BG313" s="6">
        <f>IF(OR($BJ313="",58&gt;設定!$B$3),"",IF(INDEX(原始資料!BI$2:BI$501,$BJ313)="","",INDEX(原始資料!BI$2:BI$501,$BJ313)))</f>
        <v/>
      </c>
      <c r="BH313" s="6">
        <f>IF(OR($BJ313="",59&gt;設定!$B$3),"",IF(INDEX(原始資料!BJ$2:BJ$501,$BJ313)="","",INDEX(原始資料!BJ$2:BJ$501,$BJ313)))</f>
        <v/>
      </c>
      <c r="BI313" s="6">
        <f>IF(OR($BJ313="",60&gt;設定!$B$3),"",IF(INDEX(原始資料!BK$2:BK$501,$BJ313)="","",INDEX(原始資料!BK$2:BK$501,$BJ313)))</f>
        <v/>
      </c>
      <c r="BJ313" s="6">
        <f>IFERROR(MATCH(ROW()-1,判定!$H$2:$H$501,0),"")</f>
        <v/>
      </c>
    </row>
    <row r="314">
      <c r="A314" s="6">
        <f>IF($BJ314="","",INDEX(原始資料!$A$2:$A$501,$BJ314))</f>
        <v/>
      </c>
      <c r="B314" s="6">
        <f>IF(OR($BJ314="",1&gt;設定!$B$3),"",IF(INDEX(原始資料!D$2:D$501,$BJ314)="","",INDEX(原始資料!D$2:D$501,$BJ314)))</f>
        <v/>
      </c>
      <c r="C314" s="6">
        <f>IF(OR($BJ314="",2&gt;設定!$B$3),"",IF(INDEX(原始資料!E$2:E$501,$BJ314)="","",INDEX(原始資料!E$2:E$501,$BJ314)))</f>
        <v/>
      </c>
      <c r="D314" s="6">
        <f>IF(OR($BJ314="",3&gt;設定!$B$3),"",IF(INDEX(原始資料!F$2:F$501,$BJ314)="","",INDEX(原始資料!F$2:F$501,$BJ314)))</f>
        <v/>
      </c>
      <c r="E314" s="6">
        <f>IF(OR($BJ314="",4&gt;設定!$B$3),"",IF(INDEX(原始資料!G$2:G$501,$BJ314)="","",INDEX(原始資料!G$2:G$501,$BJ314)))</f>
        <v/>
      </c>
      <c r="F314" s="6">
        <f>IF(OR($BJ314="",5&gt;設定!$B$3),"",IF(INDEX(原始資料!H$2:H$501,$BJ314)="","",INDEX(原始資料!H$2:H$501,$BJ314)))</f>
        <v/>
      </c>
      <c r="G314" s="6">
        <f>IF(OR($BJ314="",6&gt;設定!$B$3),"",IF(INDEX(原始資料!I$2:I$501,$BJ314)="","",INDEX(原始資料!I$2:I$501,$BJ314)))</f>
        <v/>
      </c>
      <c r="H314" s="6">
        <f>IF(OR($BJ314="",7&gt;設定!$B$3),"",IF(INDEX(原始資料!J$2:J$501,$BJ314)="","",INDEX(原始資料!J$2:J$501,$BJ314)))</f>
        <v/>
      </c>
      <c r="I314" s="6">
        <f>IF(OR($BJ314="",8&gt;設定!$B$3),"",IF(INDEX(原始資料!K$2:K$501,$BJ314)="","",INDEX(原始資料!K$2:K$501,$BJ314)))</f>
        <v/>
      </c>
      <c r="J314" s="6">
        <f>IF(OR($BJ314="",9&gt;設定!$B$3),"",IF(INDEX(原始資料!L$2:L$501,$BJ314)="","",INDEX(原始資料!L$2:L$501,$BJ314)))</f>
        <v/>
      </c>
      <c r="K314" s="6">
        <f>IF(OR($BJ314="",10&gt;設定!$B$3),"",IF(INDEX(原始資料!M$2:M$501,$BJ314)="","",INDEX(原始資料!M$2:M$501,$BJ314)))</f>
        <v/>
      </c>
      <c r="L314" s="6">
        <f>IF(OR($BJ314="",11&gt;設定!$B$3),"",IF(INDEX(原始資料!N$2:N$501,$BJ314)="","",INDEX(原始資料!N$2:N$501,$BJ314)))</f>
        <v/>
      </c>
      <c r="M314" s="6">
        <f>IF(OR($BJ314="",12&gt;設定!$B$3),"",IF(INDEX(原始資料!O$2:O$501,$BJ314)="","",INDEX(原始資料!O$2:O$501,$BJ314)))</f>
        <v/>
      </c>
      <c r="N314" s="6">
        <f>IF(OR($BJ314="",13&gt;設定!$B$3),"",IF(INDEX(原始資料!P$2:P$501,$BJ314)="","",INDEX(原始資料!P$2:P$501,$BJ314)))</f>
        <v/>
      </c>
      <c r="O314" s="6">
        <f>IF(OR($BJ314="",14&gt;設定!$B$3),"",IF(INDEX(原始資料!Q$2:Q$501,$BJ314)="","",INDEX(原始資料!Q$2:Q$501,$BJ314)))</f>
        <v/>
      </c>
      <c r="P314" s="6">
        <f>IF(OR($BJ314="",15&gt;設定!$B$3),"",IF(INDEX(原始資料!R$2:R$501,$BJ314)="","",INDEX(原始資料!R$2:R$501,$BJ314)))</f>
        <v/>
      </c>
      <c r="Q314" s="6">
        <f>IF(OR($BJ314="",16&gt;設定!$B$3),"",IF(INDEX(原始資料!S$2:S$501,$BJ314)="","",INDEX(原始資料!S$2:S$501,$BJ314)))</f>
        <v/>
      </c>
      <c r="R314" s="6">
        <f>IF(OR($BJ314="",17&gt;設定!$B$3),"",IF(INDEX(原始資料!T$2:T$501,$BJ314)="","",INDEX(原始資料!T$2:T$501,$BJ314)))</f>
        <v/>
      </c>
      <c r="S314" s="6">
        <f>IF(OR($BJ314="",18&gt;設定!$B$3),"",IF(INDEX(原始資料!U$2:U$501,$BJ314)="","",INDEX(原始資料!U$2:U$501,$BJ314)))</f>
        <v/>
      </c>
      <c r="T314" s="6">
        <f>IF(OR($BJ314="",19&gt;設定!$B$3),"",IF(INDEX(原始資料!V$2:V$501,$BJ314)="","",INDEX(原始資料!V$2:V$501,$BJ314)))</f>
        <v/>
      </c>
      <c r="U314" s="6">
        <f>IF(OR($BJ314="",20&gt;設定!$B$3),"",IF(INDEX(原始資料!W$2:W$501,$BJ314)="","",INDEX(原始資料!W$2:W$501,$BJ314)))</f>
        <v/>
      </c>
      <c r="V314" s="6">
        <f>IF(OR($BJ314="",21&gt;設定!$B$3),"",IF(INDEX(原始資料!X$2:X$501,$BJ314)="","",INDEX(原始資料!X$2:X$501,$BJ314)))</f>
        <v/>
      </c>
      <c r="W314" s="6">
        <f>IF(OR($BJ314="",22&gt;設定!$B$3),"",IF(INDEX(原始資料!Y$2:Y$501,$BJ314)="","",INDEX(原始資料!Y$2:Y$501,$BJ314)))</f>
        <v/>
      </c>
      <c r="X314" s="6">
        <f>IF(OR($BJ314="",23&gt;設定!$B$3),"",IF(INDEX(原始資料!Z$2:Z$501,$BJ314)="","",INDEX(原始資料!Z$2:Z$501,$BJ314)))</f>
        <v/>
      </c>
      <c r="Y314" s="6">
        <f>IF(OR($BJ314="",24&gt;設定!$B$3),"",IF(INDEX(原始資料!AA$2:AA$501,$BJ314)="","",INDEX(原始資料!AA$2:AA$501,$BJ314)))</f>
        <v/>
      </c>
      <c r="Z314" s="6">
        <f>IF(OR($BJ314="",25&gt;設定!$B$3),"",IF(INDEX(原始資料!AB$2:AB$501,$BJ314)="","",INDEX(原始資料!AB$2:AB$501,$BJ314)))</f>
        <v/>
      </c>
      <c r="AA314" s="6">
        <f>IF(OR($BJ314="",26&gt;設定!$B$3),"",IF(INDEX(原始資料!AC$2:AC$501,$BJ314)="","",INDEX(原始資料!AC$2:AC$501,$BJ314)))</f>
        <v/>
      </c>
      <c r="AB314" s="6">
        <f>IF(OR($BJ314="",27&gt;設定!$B$3),"",IF(INDEX(原始資料!AD$2:AD$501,$BJ314)="","",INDEX(原始資料!AD$2:AD$501,$BJ314)))</f>
        <v/>
      </c>
      <c r="AC314" s="6">
        <f>IF(OR($BJ314="",28&gt;設定!$B$3),"",IF(INDEX(原始資料!AE$2:AE$501,$BJ314)="","",INDEX(原始資料!AE$2:AE$501,$BJ314)))</f>
        <v/>
      </c>
      <c r="AD314" s="6">
        <f>IF(OR($BJ314="",29&gt;設定!$B$3),"",IF(INDEX(原始資料!AF$2:AF$501,$BJ314)="","",INDEX(原始資料!AF$2:AF$501,$BJ314)))</f>
        <v/>
      </c>
      <c r="AE314" s="6">
        <f>IF(OR($BJ314="",30&gt;設定!$B$3),"",IF(INDEX(原始資料!AG$2:AG$501,$BJ314)="","",INDEX(原始資料!AG$2:AG$501,$BJ314)))</f>
        <v/>
      </c>
      <c r="AF314" s="6">
        <f>IF(OR($BJ314="",31&gt;設定!$B$3),"",IF(INDEX(原始資料!AH$2:AH$501,$BJ314)="","",INDEX(原始資料!AH$2:AH$501,$BJ314)))</f>
        <v/>
      </c>
      <c r="AG314" s="6">
        <f>IF(OR($BJ314="",32&gt;設定!$B$3),"",IF(INDEX(原始資料!AI$2:AI$501,$BJ314)="","",INDEX(原始資料!AI$2:AI$501,$BJ314)))</f>
        <v/>
      </c>
      <c r="AH314" s="6">
        <f>IF(OR($BJ314="",33&gt;設定!$B$3),"",IF(INDEX(原始資料!AJ$2:AJ$501,$BJ314)="","",INDEX(原始資料!AJ$2:AJ$501,$BJ314)))</f>
        <v/>
      </c>
      <c r="AI314" s="6">
        <f>IF(OR($BJ314="",34&gt;設定!$B$3),"",IF(INDEX(原始資料!AK$2:AK$501,$BJ314)="","",INDEX(原始資料!AK$2:AK$501,$BJ314)))</f>
        <v/>
      </c>
      <c r="AJ314" s="6">
        <f>IF(OR($BJ314="",35&gt;設定!$B$3),"",IF(INDEX(原始資料!AL$2:AL$501,$BJ314)="","",INDEX(原始資料!AL$2:AL$501,$BJ314)))</f>
        <v/>
      </c>
      <c r="AK314" s="6">
        <f>IF(OR($BJ314="",36&gt;設定!$B$3),"",IF(INDEX(原始資料!AM$2:AM$501,$BJ314)="","",INDEX(原始資料!AM$2:AM$501,$BJ314)))</f>
        <v/>
      </c>
      <c r="AL314" s="6">
        <f>IF(OR($BJ314="",37&gt;設定!$B$3),"",IF(INDEX(原始資料!AN$2:AN$501,$BJ314)="","",INDEX(原始資料!AN$2:AN$501,$BJ314)))</f>
        <v/>
      </c>
      <c r="AM314" s="6">
        <f>IF(OR($BJ314="",38&gt;設定!$B$3),"",IF(INDEX(原始資料!AO$2:AO$501,$BJ314)="","",INDEX(原始資料!AO$2:AO$501,$BJ314)))</f>
        <v/>
      </c>
      <c r="AN314" s="6">
        <f>IF(OR($BJ314="",39&gt;設定!$B$3),"",IF(INDEX(原始資料!AP$2:AP$501,$BJ314)="","",INDEX(原始資料!AP$2:AP$501,$BJ314)))</f>
        <v/>
      </c>
      <c r="AO314" s="6">
        <f>IF(OR($BJ314="",40&gt;設定!$B$3),"",IF(INDEX(原始資料!AQ$2:AQ$501,$BJ314)="","",INDEX(原始資料!AQ$2:AQ$501,$BJ314)))</f>
        <v/>
      </c>
      <c r="AP314" s="6">
        <f>IF(OR($BJ314="",41&gt;設定!$B$3),"",IF(INDEX(原始資料!AR$2:AR$501,$BJ314)="","",INDEX(原始資料!AR$2:AR$501,$BJ314)))</f>
        <v/>
      </c>
      <c r="AQ314" s="6">
        <f>IF(OR($BJ314="",42&gt;設定!$B$3),"",IF(INDEX(原始資料!AS$2:AS$501,$BJ314)="","",INDEX(原始資料!AS$2:AS$501,$BJ314)))</f>
        <v/>
      </c>
      <c r="AR314" s="6">
        <f>IF(OR($BJ314="",43&gt;設定!$B$3),"",IF(INDEX(原始資料!AT$2:AT$501,$BJ314)="","",INDEX(原始資料!AT$2:AT$501,$BJ314)))</f>
        <v/>
      </c>
      <c r="AS314" s="6">
        <f>IF(OR($BJ314="",44&gt;設定!$B$3),"",IF(INDEX(原始資料!AU$2:AU$501,$BJ314)="","",INDEX(原始資料!AU$2:AU$501,$BJ314)))</f>
        <v/>
      </c>
      <c r="AT314" s="6">
        <f>IF(OR($BJ314="",45&gt;設定!$B$3),"",IF(INDEX(原始資料!AV$2:AV$501,$BJ314)="","",INDEX(原始資料!AV$2:AV$501,$BJ314)))</f>
        <v/>
      </c>
      <c r="AU314" s="6">
        <f>IF(OR($BJ314="",46&gt;設定!$B$3),"",IF(INDEX(原始資料!AW$2:AW$501,$BJ314)="","",INDEX(原始資料!AW$2:AW$501,$BJ314)))</f>
        <v/>
      </c>
      <c r="AV314" s="6">
        <f>IF(OR($BJ314="",47&gt;設定!$B$3),"",IF(INDEX(原始資料!AX$2:AX$501,$BJ314)="","",INDEX(原始資料!AX$2:AX$501,$BJ314)))</f>
        <v/>
      </c>
      <c r="AW314" s="6">
        <f>IF(OR($BJ314="",48&gt;設定!$B$3),"",IF(INDEX(原始資料!AY$2:AY$501,$BJ314)="","",INDEX(原始資料!AY$2:AY$501,$BJ314)))</f>
        <v/>
      </c>
      <c r="AX314" s="6">
        <f>IF(OR($BJ314="",49&gt;設定!$B$3),"",IF(INDEX(原始資料!AZ$2:AZ$501,$BJ314)="","",INDEX(原始資料!AZ$2:AZ$501,$BJ314)))</f>
        <v/>
      </c>
      <c r="AY314" s="6">
        <f>IF(OR($BJ314="",50&gt;設定!$B$3),"",IF(INDEX(原始資料!BA$2:BA$501,$BJ314)="","",INDEX(原始資料!BA$2:BA$501,$BJ314)))</f>
        <v/>
      </c>
      <c r="AZ314" s="6">
        <f>IF(OR($BJ314="",51&gt;設定!$B$3),"",IF(INDEX(原始資料!BB$2:BB$501,$BJ314)="","",INDEX(原始資料!BB$2:BB$501,$BJ314)))</f>
        <v/>
      </c>
      <c r="BA314" s="6">
        <f>IF(OR($BJ314="",52&gt;設定!$B$3),"",IF(INDEX(原始資料!BC$2:BC$501,$BJ314)="","",INDEX(原始資料!BC$2:BC$501,$BJ314)))</f>
        <v/>
      </c>
      <c r="BB314" s="6">
        <f>IF(OR($BJ314="",53&gt;設定!$B$3),"",IF(INDEX(原始資料!BD$2:BD$501,$BJ314)="","",INDEX(原始資料!BD$2:BD$501,$BJ314)))</f>
        <v/>
      </c>
      <c r="BC314" s="6">
        <f>IF(OR($BJ314="",54&gt;設定!$B$3),"",IF(INDEX(原始資料!BE$2:BE$501,$BJ314)="","",INDEX(原始資料!BE$2:BE$501,$BJ314)))</f>
        <v/>
      </c>
      <c r="BD314" s="6">
        <f>IF(OR($BJ314="",55&gt;設定!$B$3),"",IF(INDEX(原始資料!BF$2:BF$501,$BJ314)="","",INDEX(原始資料!BF$2:BF$501,$BJ314)))</f>
        <v/>
      </c>
      <c r="BE314" s="6">
        <f>IF(OR($BJ314="",56&gt;設定!$B$3),"",IF(INDEX(原始資料!BG$2:BG$501,$BJ314)="","",INDEX(原始資料!BG$2:BG$501,$BJ314)))</f>
        <v/>
      </c>
      <c r="BF314" s="6">
        <f>IF(OR($BJ314="",57&gt;設定!$B$3),"",IF(INDEX(原始資料!BH$2:BH$501,$BJ314)="","",INDEX(原始資料!BH$2:BH$501,$BJ314)))</f>
        <v/>
      </c>
      <c r="BG314" s="6">
        <f>IF(OR($BJ314="",58&gt;設定!$B$3),"",IF(INDEX(原始資料!BI$2:BI$501,$BJ314)="","",INDEX(原始資料!BI$2:BI$501,$BJ314)))</f>
        <v/>
      </c>
      <c r="BH314" s="6">
        <f>IF(OR($BJ314="",59&gt;設定!$B$3),"",IF(INDEX(原始資料!BJ$2:BJ$501,$BJ314)="","",INDEX(原始資料!BJ$2:BJ$501,$BJ314)))</f>
        <v/>
      </c>
      <c r="BI314" s="6">
        <f>IF(OR($BJ314="",60&gt;設定!$B$3),"",IF(INDEX(原始資料!BK$2:BK$501,$BJ314)="","",INDEX(原始資料!BK$2:BK$501,$BJ314)))</f>
        <v/>
      </c>
      <c r="BJ314" s="6">
        <f>IFERROR(MATCH(ROW()-1,判定!$H$2:$H$501,0),"")</f>
        <v/>
      </c>
    </row>
    <row r="315">
      <c r="A315" s="6">
        <f>IF($BJ315="","",INDEX(原始資料!$A$2:$A$501,$BJ315))</f>
        <v/>
      </c>
      <c r="B315" s="6">
        <f>IF(OR($BJ315="",1&gt;設定!$B$3),"",IF(INDEX(原始資料!D$2:D$501,$BJ315)="","",INDEX(原始資料!D$2:D$501,$BJ315)))</f>
        <v/>
      </c>
      <c r="C315" s="6">
        <f>IF(OR($BJ315="",2&gt;設定!$B$3),"",IF(INDEX(原始資料!E$2:E$501,$BJ315)="","",INDEX(原始資料!E$2:E$501,$BJ315)))</f>
        <v/>
      </c>
      <c r="D315" s="6">
        <f>IF(OR($BJ315="",3&gt;設定!$B$3),"",IF(INDEX(原始資料!F$2:F$501,$BJ315)="","",INDEX(原始資料!F$2:F$501,$BJ315)))</f>
        <v/>
      </c>
      <c r="E315" s="6">
        <f>IF(OR($BJ315="",4&gt;設定!$B$3),"",IF(INDEX(原始資料!G$2:G$501,$BJ315)="","",INDEX(原始資料!G$2:G$501,$BJ315)))</f>
        <v/>
      </c>
      <c r="F315" s="6">
        <f>IF(OR($BJ315="",5&gt;設定!$B$3),"",IF(INDEX(原始資料!H$2:H$501,$BJ315)="","",INDEX(原始資料!H$2:H$501,$BJ315)))</f>
        <v/>
      </c>
      <c r="G315" s="6">
        <f>IF(OR($BJ315="",6&gt;設定!$B$3),"",IF(INDEX(原始資料!I$2:I$501,$BJ315)="","",INDEX(原始資料!I$2:I$501,$BJ315)))</f>
        <v/>
      </c>
      <c r="H315" s="6">
        <f>IF(OR($BJ315="",7&gt;設定!$B$3),"",IF(INDEX(原始資料!J$2:J$501,$BJ315)="","",INDEX(原始資料!J$2:J$501,$BJ315)))</f>
        <v/>
      </c>
      <c r="I315" s="6">
        <f>IF(OR($BJ315="",8&gt;設定!$B$3),"",IF(INDEX(原始資料!K$2:K$501,$BJ315)="","",INDEX(原始資料!K$2:K$501,$BJ315)))</f>
        <v/>
      </c>
      <c r="J315" s="6">
        <f>IF(OR($BJ315="",9&gt;設定!$B$3),"",IF(INDEX(原始資料!L$2:L$501,$BJ315)="","",INDEX(原始資料!L$2:L$501,$BJ315)))</f>
        <v/>
      </c>
      <c r="K315" s="6">
        <f>IF(OR($BJ315="",10&gt;設定!$B$3),"",IF(INDEX(原始資料!M$2:M$501,$BJ315)="","",INDEX(原始資料!M$2:M$501,$BJ315)))</f>
        <v/>
      </c>
      <c r="L315" s="6">
        <f>IF(OR($BJ315="",11&gt;設定!$B$3),"",IF(INDEX(原始資料!N$2:N$501,$BJ315)="","",INDEX(原始資料!N$2:N$501,$BJ315)))</f>
        <v/>
      </c>
      <c r="M315" s="6">
        <f>IF(OR($BJ315="",12&gt;設定!$B$3),"",IF(INDEX(原始資料!O$2:O$501,$BJ315)="","",INDEX(原始資料!O$2:O$501,$BJ315)))</f>
        <v/>
      </c>
      <c r="N315" s="6">
        <f>IF(OR($BJ315="",13&gt;設定!$B$3),"",IF(INDEX(原始資料!P$2:P$501,$BJ315)="","",INDEX(原始資料!P$2:P$501,$BJ315)))</f>
        <v/>
      </c>
      <c r="O315" s="6">
        <f>IF(OR($BJ315="",14&gt;設定!$B$3),"",IF(INDEX(原始資料!Q$2:Q$501,$BJ315)="","",INDEX(原始資料!Q$2:Q$501,$BJ315)))</f>
        <v/>
      </c>
      <c r="P315" s="6">
        <f>IF(OR($BJ315="",15&gt;設定!$B$3),"",IF(INDEX(原始資料!R$2:R$501,$BJ315)="","",INDEX(原始資料!R$2:R$501,$BJ315)))</f>
        <v/>
      </c>
      <c r="Q315" s="6">
        <f>IF(OR($BJ315="",16&gt;設定!$B$3),"",IF(INDEX(原始資料!S$2:S$501,$BJ315)="","",INDEX(原始資料!S$2:S$501,$BJ315)))</f>
        <v/>
      </c>
      <c r="R315" s="6">
        <f>IF(OR($BJ315="",17&gt;設定!$B$3),"",IF(INDEX(原始資料!T$2:T$501,$BJ315)="","",INDEX(原始資料!T$2:T$501,$BJ315)))</f>
        <v/>
      </c>
      <c r="S315" s="6">
        <f>IF(OR($BJ315="",18&gt;設定!$B$3),"",IF(INDEX(原始資料!U$2:U$501,$BJ315)="","",INDEX(原始資料!U$2:U$501,$BJ315)))</f>
        <v/>
      </c>
      <c r="T315" s="6">
        <f>IF(OR($BJ315="",19&gt;設定!$B$3),"",IF(INDEX(原始資料!V$2:V$501,$BJ315)="","",INDEX(原始資料!V$2:V$501,$BJ315)))</f>
        <v/>
      </c>
      <c r="U315" s="6">
        <f>IF(OR($BJ315="",20&gt;設定!$B$3),"",IF(INDEX(原始資料!W$2:W$501,$BJ315)="","",INDEX(原始資料!W$2:W$501,$BJ315)))</f>
        <v/>
      </c>
      <c r="V315" s="6">
        <f>IF(OR($BJ315="",21&gt;設定!$B$3),"",IF(INDEX(原始資料!X$2:X$501,$BJ315)="","",INDEX(原始資料!X$2:X$501,$BJ315)))</f>
        <v/>
      </c>
      <c r="W315" s="6">
        <f>IF(OR($BJ315="",22&gt;設定!$B$3),"",IF(INDEX(原始資料!Y$2:Y$501,$BJ315)="","",INDEX(原始資料!Y$2:Y$501,$BJ315)))</f>
        <v/>
      </c>
      <c r="X315" s="6">
        <f>IF(OR($BJ315="",23&gt;設定!$B$3),"",IF(INDEX(原始資料!Z$2:Z$501,$BJ315)="","",INDEX(原始資料!Z$2:Z$501,$BJ315)))</f>
        <v/>
      </c>
      <c r="Y315" s="6">
        <f>IF(OR($BJ315="",24&gt;設定!$B$3),"",IF(INDEX(原始資料!AA$2:AA$501,$BJ315)="","",INDEX(原始資料!AA$2:AA$501,$BJ315)))</f>
        <v/>
      </c>
      <c r="Z315" s="6">
        <f>IF(OR($BJ315="",25&gt;設定!$B$3),"",IF(INDEX(原始資料!AB$2:AB$501,$BJ315)="","",INDEX(原始資料!AB$2:AB$501,$BJ315)))</f>
        <v/>
      </c>
      <c r="AA315" s="6">
        <f>IF(OR($BJ315="",26&gt;設定!$B$3),"",IF(INDEX(原始資料!AC$2:AC$501,$BJ315)="","",INDEX(原始資料!AC$2:AC$501,$BJ315)))</f>
        <v/>
      </c>
      <c r="AB315" s="6">
        <f>IF(OR($BJ315="",27&gt;設定!$B$3),"",IF(INDEX(原始資料!AD$2:AD$501,$BJ315)="","",INDEX(原始資料!AD$2:AD$501,$BJ315)))</f>
        <v/>
      </c>
      <c r="AC315" s="6">
        <f>IF(OR($BJ315="",28&gt;設定!$B$3),"",IF(INDEX(原始資料!AE$2:AE$501,$BJ315)="","",INDEX(原始資料!AE$2:AE$501,$BJ315)))</f>
        <v/>
      </c>
      <c r="AD315" s="6">
        <f>IF(OR($BJ315="",29&gt;設定!$B$3),"",IF(INDEX(原始資料!AF$2:AF$501,$BJ315)="","",INDEX(原始資料!AF$2:AF$501,$BJ315)))</f>
        <v/>
      </c>
      <c r="AE315" s="6">
        <f>IF(OR($BJ315="",30&gt;設定!$B$3),"",IF(INDEX(原始資料!AG$2:AG$501,$BJ315)="","",INDEX(原始資料!AG$2:AG$501,$BJ315)))</f>
        <v/>
      </c>
      <c r="AF315" s="6">
        <f>IF(OR($BJ315="",31&gt;設定!$B$3),"",IF(INDEX(原始資料!AH$2:AH$501,$BJ315)="","",INDEX(原始資料!AH$2:AH$501,$BJ315)))</f>
        <v/>
      </c>
      <c r="AG315" s="6">
        <f>IF(OR($BJ315="",32&gt;設定!$B$3),"",IF(INDEX(原始資料!AI$2:AI$501,$BJ315)="","",INDEX(原始資料!AI$2:AI$501,$BJ315)))</f>
        <v/>
      </c>
      <c r="AH315" s="6">
        <f>IF(OR($BJ315="",33&gt;設定!$B$3),"",IF(INDEX(原始資料!AJ$2:AJ$501,$BJ315)="","",INDEX(原始資料!AJ$2:AJ$501,$BJ315)))</f>
        <v/>
      </c>
      <c r="AI315" s="6">
        <f>IF(OR($BJ315="",34&gt;設定!$B$3),"",IF(INDEX(原始資料!AK$2:AK$501,$BJ315)="","",INDEX(原始資料!AK$2:AK$501,$BJ315)))</f>
        <v/>
      </c>
      <c r="AJ315" s="6">
        <f>IF(OR($BJ315="",35&gt;設定!$B$3),"",IF(INDEX(原始資料!AL$2:AL$501,$BJ315)="","",INDEX(原始資料!AL$2:AL$501,$BJ315)))</f>
        <v/>
      </c>
      <c r="AK315" s="6">
        <f>IF(OR($BJ315="",36&gt;設定!$B$3),"",IF(INDEX(原始資料!AM$2:AM$501,$BJ315)="","",INDEX(原始資料!AM$2:AM$501,$BJ315)))</f>
        <v/>
      </c>
      <c r="AL315" s="6">
        <f>IF(OR($BJ315="",37&gt;設定!$B$3),"",IF(INDEX(原始資料!AN$2:AN$501,$BJ315)="","",INDEX(原始資料!AN$2:AN$501,$BJ315)))</f>
        <v/>
      </c>
      <c r="AM315" s="6">
        <f>IF(OR($BJ315="",38&gt;設定!$B$3),"",IF(INDEX(原始資料!AO$2:AO$501,$BJ315)="","",INDEX(原始資料!AO$2:AO$501,$BJ315)))</f>
        <v/>
      </c>
      <c r="AN315" s="6">
        <f>IF(OR($BJ315="",39&gt;設定!$B$3),"",IF(INDEX(原始資料!AP$2:AP$501,$BJ315)="","",INDEX(原始資料!AP$2:AP$501,$BJ315)))</f>
        <v/>
      </c>
      <c r="AO315" s="6">
        <f>IF(OR($BJ315="",40&gt;設定!$B$3),"",IF(INDEX(原始資料!AQ$2:AQ$501,$BJ315)="","",INDEX(原始資料!AQ$2:AQ$501,$BJ315)))</f>
        <v/>
      </c>
      <c r="AP315" s="6">
        <f>IF(OR($BJ315="",41&gt;設定!$B$3),"",IF(INDEX(原始資料!AR$2:AR$501,$BJ315)="","",INDEX(原始資料!AR$2:AR$501,$BJ315)))</f>
        <v/>
      </c>
      <c r="AQ315" s="6">
        <f>IF(OR($BJ315="",42&gt;設定!$B$3),"",IF(INDEX(原始資料!AS$2:AS$501,$BJ315)="","",INDEX(原始資料!AS$2:AS$501,$BJ315)))</f>
        <v/>
      </c>
      <c r="AR315" s="6">
        <f>IF(OR($BJ315="",43&gt;設定!$B$3),"",IF(INDEX(原始資料!AT$2:AT$501,$BJ315)="","",INDEX(原始資料!AT$2:AT$501,$BJ315)))</f>
        <v/>
      </c>
      <c r="AS315" s="6">
        <f>IF(OR($BJ315="",44&gt;設定!$B$3),"",IF(INDEX(原始資料!AU$2:AU$501,$BJ315)="","",INDEX(原始資料!AU$2:AU$501,$BJ315)))</f>
        <v/>
      </c>
      <c r="AT315" s="6">
        <f>IF(OR($BJ315="",45&gt;設定!$B$3),"",IF(INDEX(原始資料!AV$2:AV$501,$BJ315)="","",INDEX(原始資料!AV$2:AV$501,$BJ315)))</f>
        <v/>
      </c>
      <c r="AU315" s="6">
        <f>IF(OR($BJ315="",46&gt;設定!$B$3),"",IF(INDEX(原始資料!AW$2:AW$501,$BJ315)="","",INDEX(原始資料!AW$2:AW$501,$BJ315)))</f>
        <v/>
      </c>
      <c r="AV315" s="6">
        <f>IF(OR($BJ315="",47&gt;設定!$B$3),"",IF(INDEX(原始資料!AX$2:AX$501,$BJ315)="","",INDEX(原始資料!AX$2:AX$501,$BJ315)))</f>
        <v/>
      </c>
      <c r="AW315" s="6">
        <f>IF(OR($BJ315="",48&gt;設定!$B$3),"",IF(INDEX(原始資料!AY$2:AY$501,$BJ315)="","",INDEX(原始資料!AY$2:AY$501,$BJ315)))</f>
        <v/>
      </c>
      <c r="AX315" s="6">
        <f>IF(OR($BJ315="",49&gt;設定!$B$3),"",IF(INDEX(原始資料!AZ$2:AZ$501,$BJ315)="","",INDEX(原始資料!AZ$2:AZ$501,$BJ315)))</f>
        <v/>
      </c>
      <c r="AY315" s="6">
        <f>IF(OR($BJ315="",50&gt;設定!$B$3),"",IF(INDEX(原始資料!BA$2:BA$501,$BJ315)="","",INDEX(原始資料!BA$2:BA$501,$BJ315)))</f>
        <v/>
      </c>
      <c r="AZ315" s="6">
        <f>IF(OR($BJ315="",51&gt;設定!$B$3),"",IF(INDEX(原始資料!BB$2:BB$501,$BJ315)="","",INDEX(原始資料!BB$2:BB$501,$BJ315)))</f>
        <v/>
      </c>
      <c r="BA315" s="6">
        <f>IF(OR($BJ315="",52&gt;設定!$B$3),"",IF(INDEX(原始資料!BC$2:BC$501,$BJ315)="","",INDEX(原始資料!BC$2:BC$501,$BJ315)))</f>
        <v/>
      </c>
      <c r="BB315" s="6">
        <f>IF(OR($BJ315="",53&gt;設定!$B$3),"",IF(INDEX(原始資料!BD$2:BD$501,$BJ315)="","",INDEX(原始資料!BD$2:BD$501,$BJ315)))</f>
        <v/>
      </c>
      <c r="BC315" s="6">
        <f>IF(OR($BJ315="",54&gt;設定!$B$3),"",IF(INDEX(原始資料!BE$2:BE$501,$BJ315)="","",INDEX(原始資料!BE$2:BE$501,$BJ315)))</f>
        <v/>
      </c>
      <c r="BD315" s="6">
        <f>IF(OR($BJ315="",55&gt;設定!$B$3),"",IF(INDEX(原始資料!BF$2:BF$501,$BJ315)="","",INDEX(原始資料!BF$2:BF$501,$BJ315)))</f>
        <v/>
      </c>
      <c r="BE315" s="6">
        <f>IF(OR($BJ315="",56&gt;設定!$B$3),"",IF(INDEX(原始資料!BG$2:BG$501,$BJ315)="","",INDEX(原始資料!BG$2:BG$501,$BJ315)))</f>
        <v/>
      </c>
      <c r="BF315" s="6">
        <f>IF(OR($BJ315="",57&gt;設定!$B$3),"",IF(INDEX(原始資料!BH$2:BH$501,$BJ315)="","",INDEX(原始資料!BH$2:BH$501,$BJ315)))</f>
        <v/>
      </c>
      <c r="BG315" s="6">
        <f>IF(OR($BJ315="",58&gt;設定!$B$3),"",IF(INDEX(原始資料!BI$2:BI$501,$BJ315)="","",INDEX(原始資料!BI$2:BI$501,$BJ315)))</f>
        <v/>
      </c>
      <c r="BH315" s="6">
        <f>IF(OR($BJ315="",59&gt;設定!$B$3),"",IF(INDEX(原始資料!BJ$2:BJ$501,$BJ315)="","",INDEX(原始資料!BJ$2:BJ$501,$BJ315)))</f>
        <v/>
      </c>
      <c r="BI315" s="6">
        <f>IF(OR($BJ315="",60&gt;設定!$B$3),"",IF(INDEX(原始資料!BK$2:BK$501,$BJ315)="","",INDEX(原始資料!BK$2:BK$501,$BJ315)))</f>
        <v/>
      </c>
      <c r="BJ315" s="6">
        <f>IFERROR(MATCH(ROW()-1,判定!$H$2:$H$501,0),"")</f>
        <v/>
      </c>
    </row>
    <row r="316">
      <c r="A316" s="6">
        <f>IF($BJ316="","",INDEX(原始資料!$A$2:$A$501,$BJ316))</f>
        <v/>
      </c>
      <c r="B316" s="6">
        <f>IF(OR($BJ316="",1&gt;設定!$B$3),"",IF(INDEX(原始資料!D$2:D$501,$BJ316)="","",INDEX(原始資料!D$2:D$501,$BJ316)))</f>
        <v/>
      </c>
      <c r="C316" s="6">
        <f>IF(OR($BJ316="",2&gt;設定!$B$3),"",IF(INDEX(原始資料!E$2:E$501,$BJ316)="","",INDEX(原始資料!E$2:E$501,$BJ316)))</f>
        <v/>
      </c>
      <c r="D316" s="6">
        <f>IF(OR($BJ316="",3&gt;設定!$B$3),"",IF(INDEX(原始資料!F$2:F$501,$BJ316)="","",INDEX(原始資料!F$2:F$501,$BJ316)))</f>
        <v/>
      </c>
      <c r="E316" s="6">
        <f>IF(OR($BJ316="",4&gt;設定!$B$3),"",IF(INDEX(原始資料!G$2:G$501,$BJ316)="","",INDEX(原始資料!G$2:G$501,$BJ316)))</f>
        <v/>
      </c>
      <c r="F316" s="6">
        <f>IF(OR($BJ316="",5&gt;設定!$B$3),"",IF(INDEX(原始資料!H$2:H$501,$BJ316)="","",INDEX(原始資料!H$2:H$501,$BJ316)))</f>
        <v/>
      </c>
      <c r="G316" s="6">
        <f>IF(OR($BJ316="",6&gt;設定!$B$3),"",IF(INDEX(原始資料!I$2:I$501,$BJ316)="","",INDEX(原始資料!I$2:I$501,$BJ316)))</f>
        <v/>
      </c>
      <c r="H316" s="6">
        <f>IF(OR($BJ316="",7&gt;設定!$B$3),"",IF(INDEX(原始資料!J$2:J$501,$BJ316)="","",INDEX(原始資料!J$2:J$501,$BJ316)))</f>
        <v/>
      </c>
      <c r="I316" s="6">
        <f>IF(OR($BJ316="",8&gt;設定!$B$3),"",IF(INDEX(原始資料!K$2:K$501,$BJ316)="","",INDEX(原始資料!K$2:K$501,$BJ316)))</f>
        <v/>
      </c>
      <c r="J316" s="6">
        <f>IF(OR($BJ316="",9&gt;設定!$B$3),"",IF(INDEX(原始資料!L$2:L$501,$BJ316)="","",INDEX(原始資料!L$2:L$501,$BJ316)))</f>
        <v/>
      </c>
      <c r="K316" s="6">
        <f>IF(OR($BJ316="",10&gt;設定!$B$3),"",IF(INDEX(原始資料!M$2:M$501,$BJ316)="","",INDEX(原始資料!M$2:M$501,$BJ316)))</f>
        <v/>
      </c>
      <c r="L316" s="6">
        <f>IF(OR($BJ316="",11&gt;設定!$B$3),"",IF(INDEX(原始資料!N$2:N$501,$BJ316)="","",INDEX(原始資料!N$2:N$501,$BJ316)))</f>
        <v/>
      </c>
      <c r="M316" s="6">
        <f>IF(OR($BJ316="",12&gt;設定!$B$3),"",IF(INDEX(原始資料!O$2:O$501,$BJ316)="","",INDEX(原始資料!O$2:O$501,$BJ316)))</f>
        <v/>
      </c>
      <c r="N316" s="6">
        <f>IF(OR($BJ316="",13&gt;設定!$B$3),"",IF(INDEX(原始資料!P$2:P$501,$BJ316)="","",INDEX(原始資料!P$2:P$501,$BJ316)))</f>
        <v/>
      </c>
      <c r="O316" s="6">
        <f>IF(OR($BJ316="",14&gt;設定!$B$3),"",IF(INDEX(原始資料!Q$2:Q$501,$BJ316)="","",INDEX(原始資料!Q$2:Q$501,$BJ316)))</f>
        <v/>
      </c>
      <c r="P316" s="6">
        <f>IF(OR($BJ316="",15&gt;設定!$B$3),"",IF(INDEX(原始資料!R$2:R$501,$BJ316)="","",INDEX(原始資料!R$2:R$501,$BJ316)))</f>
        <v/>
      </c>
      <c r="Q316" s="6">
        <f>IF(OR($BJ316="",16&gt;設定!$B$3),"",IF(INDEX(原始資料!S$2:S$501,$BJ316)="","",INDEX(原始資料!S$2:S$501,$BJ316)))</f>
        <v/>
      </c>
      <c r="R316" s="6">
        <f>IF(OR($BJ316="",17&gt;設定!$B$3),"",IF(INDEX(原始資料!T$2:T$501,$BJ316)="","",INDEX(原始資料!T$2:T$501,$BJ316)))</f>
        <v/>
      </c>
      <c r="S316" s="6">
        <f>IF(OR($BJ316="",18&gt;設定!$B$3),"",IF(INDEX(原始資料!U$2:U$501,$BJ316)="","",INDEX(原始資料!U$2:U$501,$BJ316)))</f>
        <v/>
      </c>
      <c r="T316" s="6">
        <f>IF(OR($BJ316="",19&gt;設定!$B$3),"",IF(INDEX(原始資料!V$2:V$501,$BJ316)="","",INDEX(原始資料!V$2:V$501,$BJ316)))</f>
        <v/>
      </c>
      <c r="U316" s="6">
        <f>IF(OR($BJ316="",20&gt;設定!$B$3),"",IF(INDEX(原始資料!W$2:W$501,$BJ316)="","",INDEX(原始資料!W$2:W$501,$BJ316)))</f>
        <v/>
      </c>
      <c r="V316" s="6">
        <f>IF(OR($BJ316="",21&gt;設定!$B$3),"",IF(INDEX(原始資料!X$2:X$501,$BJ316)="","",INDEX(原始資料!X$2:X$501,$BJ316)))</f>
        <v/>
      </c>
      <c r="W316" s="6">
        <f>IF(OR($BJ316="",22&gt;設定!$B$3),"",IF(INDEX(原始資料!Y$2:Y$501,$BJ316)="","",INDEX(原始資料!Y$2:Y$501,$BJ316)))</f>
        <v/>
      </c>
      <c r="X316" s="6">
        <f>IF(OR($BJ316="",23&gt;設定!$B$3),"",IF(INDEX(原始資料!Z$2:Z$501,$BJ316)="","",INDEX(原始資料!Z$2:Z$501,$BJ316)))</f>
        <v/>
      </c>
      <c r="Y316" s="6">
        <f>IF(OR($BJ316="",24&gt;設定!$B$3),"",IF(INDEX(原始資料!AA$2:AA$501,$BJ316)="","",INDEX(原始資料!AA$2:AA$501,$BJ316)))</f>
        <v/>
      </c>
      <c r="Z316" s="6">
        <f>IF(OR($BJ316="",25&gt;設定!$B$3),"",IF(INDEX(原始資料!AB$2:AB$501,$BJ316)="","",INDEX(原始資料!AB$2:AB$501,$BJ316)))</f>
        <v/>
      </c>
      <c r="AA316" s="6">
        <f>IF(OR($BJ316="",26&gt;設定!$B$3),"",IF(INDEX(原始資料!AC$2:AC$501,$BJ316)="","",INDEX(原始資料!AC$2:AC$501,$BJ316)))</f>
        <v/>
      </c>
      <c r="AB316" s="6">
        <f>IF(OR($BJ316="",27&gt;設定!$B$3),"",IF(INDEX(原始資料!AD$2:AD$501,$BJ316)="","",INDEX(原始資料!AD$2:AD$501,$BJ316)))</f>
        <v/>
      </c>
      <c r="AC316" s="6">
        <f>IF(OR($BJ316="",28&gt;設定!$B$3),"",IF(INDEX(原始資料!AE$2:AE$501,$BJ316)="","",INDEX(原始資料!AE$2:AE$501,$BJ316)))</f>
        <v/>
      </c>
      <c r="AD316" s="6">
        <f>IF(OR($BJ316="",29&gt;設定!$B$3),"",IF(INDEX(原始資料!AF$2:AF$501,$BJ316)="","",INDEX(原始資料!AF$2:AF$501,$BJ316)))</f>
        <v/>
      </c>
      <c r="AE316" s="6">
        <f>IF(OR($BJ316="",30&gt;設定!$B$3),"",IF(INDEX(原始資料!AG$2:AG$501,$BJ316)="","",INDEX(原始資料!AG$2:AG$501,$BJ316)))</f>
        <v/>
      </c>
      <c r="AF316" s="6">
        <f>IF(OR($BJ316="",31&gt;設定!$B$3),"",IF(INDEX(原始資料!AH$2:AH$501,$BJ316)="","",INDEX(原始資料!AH$2:AH$501,$BJ316)))</f>
        <v/>
      </c>
      <c r="AG316" s="6">
        <f>IF(OR($BJ316="",32&gt;設定!$B$3),"",IF(INDEX(原始資料!AI$2:AI$501,$BJ316)="","",INDEX(原始資料!AI$2:AI$501,$BJ316)))</f>
        <v/>
      </c>
      <c r="AH316" s="6">
        <f>IF(OR($BJ316="",33&gt;設定!$B$3),"",IF(INDEX(原始資料!AJ$2:AJ$501,$BJ316)="","",INDEX(原始資料!AJ$2:AJ$501,$BJ316)))</f>
        <v/>
      </c>
      <c r="AI316" s="6">
        <f>IF(OR($BJ316="",34&gt;設定!$B$3),"",IF(INDEX(原始資料!AK$2:AK$501,$BJ316)="","",INDEX(原始資料!AK$2:AK$501,$BJ316)))</f>
        <v/>
      </c>
      <c r="AJ316" s="6">
        <f>IF(OR($BJ316="",35&gt;設定!$B$3),"",IF(INDEX(原始資料!AL$2:AL$501,$BJ316)="","",INDEX(原始資料!AL$2:AL$501,$BJ316)))</f>
        <v/>
      </c>
      <c r="AK316" s="6">
        <f>IF(OR($BJ316="",36&gt;設定!$B$3),"",IF(INDEX(原始資料!AM$2:AM$501,$BJ316)="","",INDEX(原始資料!AM$2:AM$501,$BJ316)))</f>
        <v/>
      </c>
      <c r="AL316" s="6">
        <f>IF(OR($BJ316="",37&gt;設定!$B$3),"",IF(INDEX(原始資料!AN$2:AN$501,$BJ316)="","",INDEX(原始資料!AN$2:AN$501,$BJ316)))</f>
        <v/>
      </c>
      <c r="AM316" s="6">
        <f>IF(OR($BJ316="",38&gt;設定!$B$3),"",IF(INDEX(原始資料!AO$2:AO$501,$BJ316)="","",INDEX(原始資料!AO$2:AO$501,$BJ316)))</f>
        <v/>
      </c>
      <c r="AN316" s="6">
        <f>IF(OR($BJ316="",39&gt;設定!$B$3),"",IF(INDEX(原始資料!AP$2:AP$501,$BJ316)="","",INDEX(原始資料!AP$2:AP$501,$BJ316)))</f>
        <v/>
      </c>
      <c r="AO316" s="6">
        <f>IF(OR($BJ316="",40&gt;設定!$B$3),"",IF(INDEX(原始資料!AQ$2:AQ$501,$BJ316)="","",INDEX(原始資料!AQ$2:AQ$501,$BJ316)))</f>
        <v/>
      </c>
      <c r="AP316" s="6">
        <f>IF(OR($BJ316="",41&gt;設定!$B$3),"",IF(INDEX(原始資料!AR$2:AR$501,$BJ316)="","",INDEX(原始資料!AR$2:AR$501,$BJ316)))</f>
        <v/>
      </c>
      <c r="AQ316" s="6">
        <f>IF(OR($BJ316="",42&gt;設定!$B$3),"",IF(INDEX(原始資料!AS$2:AS$501,$BJ316)="","",INDEX(原始資料!AS$2:AS$501,$BJ316)))</f>
        <v/>
      </c>
      <c r="AR316" s="6">
        <f>IF(OR($BJ316="",43&gt;設定!$B$3),"",IF(INDEX(原始資料!AT$2:AT$501,$BJ316)="","",INDEX(原始資料!AT$2:AT$501,$BJ316)))</f>
        <v/>
      </c>
      <c r="AS316" s="6">
        <f>IF(OR($BJ316="",44&gt;設定!$B$3),"",IF(INDEX(原始資料!AU$2:AU$501,$BJ316)="","",INDEX(原始資料!AU$2:AU$501,$BJ316)))</f>
        <v/>
      </c>
      <c r="AT316" s="6">
        <f>IF(OR($BJ316="",45&gt;設定!$B$3),"",IF(INDEX(原始資料!AV$2:AV$501,$BJ316)="","",INDEX(原始資料!AV$2:AV$501,$BJ316)))</f>
        <v/>
      </c>
      <c r="AU316" s="6">
        <f>IF(OR($BJ316="",46&gt;設定!$B$3),"",IF(INDEX(原始資料!AW$2:AW$501,$BJ316)="","",INDEX(原始資料!AW$2:AW$501,$BJ316)))</f>
        <v/>
      </c>
      <c r="AV316" s="6">
        <f>IF(OR($BJ316="",47&gt;設定!$B$3),"",IF(INDEX(原始資料!AX$2:AX$501,$BJ316)="","",INDEX(原始資料!AX$2:AX$501,$BJ316)))</f>
        <v/>
      </c>
      <c r="AW316" s="6">
        <f>IF(OR($BJ316="",48&gt;設定!$B$3),"",IF(INDEX(原始資料!AY$2:AY$501,$BJ316)="","",INDEX(原始資料!AY$2:AY$501,$BJ316)))</f>
        <v/>
      </c>
      <c r="AX316" s="6">
        <f>IF(OR($BJ316="",49&gt;設定!$B$3),"",IF(INDEX(原始資料!AZ$2:AZ$501,$BJ316)="","",INDEX(原始資料!AZ$2:AZ$501,$BJ316)))</f>
        <v/>
      </c>
      <c r="AY316" s="6">
        <f>IF(OR($BJ316="",50&gt;設定!$B$3),"",IF(INDEX(原始資料!BA$2:BA$501,$BJ316)="","",INDEX(原始資料!BA$2:BA$501,$BJ316)))</f>
        <v/>
      </c>
      <c r="AZ316" s="6">
        <f>IF(OR($BJ316="",51&gt;設定!$B$3),"",IF(INDEX(原始資料!BB$2:BB$501,$BJ316)="","",INDEX(原始資料!BB$2:BB$501,$BJ316)))</f>
        <v/>
      </c>
      <c r="BA316" s="6">
        <f>IF(OR($BJ316="",52&gt;設定!$B$3),"",IF(INDEX(原始資料!BC$2:BC$501,$BJ316)="","",INDEX(原始資料!BC$2:BC$501,$BJ316)))</f>
        <v/>
      </c>
      <c r="BB316" s="6">
        <f>IF(OR($BJ316="",53&gt;設定!$B$3),"",IF(INDEX(原始資料!BD$2:BD$501,$BJ316)="","",INDEX(原始資料!BD$2:BD$501,$BJ316)))</f>
        <v/>
      </c>
      <c r="BC316" s="6">
        <f>IF(OR($BJ316="",54&gt;設定!$B$3),"",IF(INDEX(原始資料!BE$2:BE$501,$BJ316)="","",INDEX(原始資料!BE$2:BE$501,$BJ316)))</f>
        <v/>
      </c>
      <c r="BD316" s="6">
        <f>IF(OR($BJ316="",55&gt;設定!$B$3),"",IF(INDEX(原始資料!BF$2:BF$501,$BJ316)="","",INDEX(原始資料!BF$2:BF$501,$BJ316)))</f>
        <v/>
      </c>
      <c r="BE316" s="6">
        <f>IF(OR($BJ316="",56&gt;設定!$B$3),"",IF(INDEX(原始資料!BG$2:BG$501,$BJ316)="","",INDEX(原始資料!BG$2:BG$501,$BJ316)))</f>
        <v/>
      </c>
      <c r="BF316" s="6">
        <f>IF(OR($BJ316="",57&gt;設定!$B$3),"",IF(INDEX(原始資料!BH$2:BH$501,$BJ316)="","",INDEX(原始資料!BH$2:BH$501,$BJ316)))</f>
        <v/>
      </c>
      <c r="BG316" s="6">
        <f>IF(OR($BJ316="",58&gt;設定!$B$3),"",IF(INDEX(原始資料!BI$2:BI$501,$BJ316)="","",INDEX(原始資料!BI$2:BI$501,$BJ316)))</f>
        <v/>
      </c>
      <c r="BH316" s="6">
        <f>IF(OR($BJ316="",59&gt;設定!$B$3),"",IF(INDEX(原始資料!BJ$2:BJ$501,$BJ316)="","",INDEX(原始資料!BJ$2:BJ$501,$BJ316)))</f>
        <v/>
      </c>
      <c r="BI316" s="6">
        <f>IF(OR($BJ316="",60&gt;設定!$B$3),"",IF(INDEX(原始資料!BK$2:BK$501,$BJ316)="","",INDEX(原始資料!BK$2:BK$501,$BJ316)))</f>
        <v/>
      </c>
      <c r="BJ316" s="6">
        <f>IFERROR(MATCH(ROW()-1,判定!$H$2:$H$501,0),"")</f>
        <v/>
      </c>
    </row>
    <row r="317">
      <c r="A317" s="6">
        <f>IF($BJ317="","",INDEX(原始資料!$A$2:$A$501,$BJ317))</f>
        <v/>
      </c>
      <c r="B317" s="6">
        <f>IF(OR($BJ317="",1&gt;設定!$B$3),"",IF(INDEX(原始資料!D$2:D$501,$BJ317)="","",INDEX(原始資料!D$2:D$501,$BJ317)))</f>
        <v/>
      </c>
      <c r="C317" s="6">
        <f>IF(OR($BJ317="",2&gt;設定!$B$3),"",IF(INDEX(原始資料!E$2:E$501,$BJ317)="","",INDEX(原始資料!E$2:E$501,$BJ317)))</f>
        <v/>
      </c>
      <c r="D317" s="6">
        <f>IF(OR($BJ317="",3&gt;設定!$B$3),"",IF(INDEX(原始資料!F$2:F$501,$BJ317)="","",INDEX(原始資料!F$2:F$501,$BJ317)))</f>
        <v/>
      </c>
      <c r="E317" s="6">
        <f>IF(OR($BJ317="",4&gt;設定!$B$3),"",IF(INDEX(原始資料!G$2:G$501,$BJ317)="","",INDEX(原始資料!G$2:G$501,$BJ317)))</f>
        <v/>
      </c>
      <c r="F317" s="6">
        <f>IF(OR($BJ317="",5&gt;設定!$B$3),"",IF(INDEX(原始資料!H$2:H$501,$BJ317)="","",INDEX(原始資料!H$2:H$501,$BJ317)))</f>
        <v/>
      </c>
      <c r="G317" s="6">
        <f>IF(OR($BJ317="",6&gt;設定!$B$3),"",IF(INDEX(原始資料!I$2:I$501,$BJ317)="","",INDEX(原始資料!I$2:I$501,$BJ317)))</f>
        <v/>
      </c>
      <c r="H317" s="6">
        <f>IF(OR($BJ317="",7&gt;設定!$B$3),"",IF(INDEX(原始資料!J$2:J$501,$BJ317)="","",INDEX(原始資料!J$2:J$501,$BJ317)))</f>
        <v/>
      </c>
      <c r="I317" s="6">
        <f>IF(OR($BJ317="",8&gt;設定!$B$3),"",IF(INDEX(原始資料!K$2:K$501,$BJ317)="","",INDEX(原始資料!K$2:K$501,$BJ317)))</f>
        <v/>
      </c>
      <c r="J317" s="6">
        <f>IF(OR($BJ317="",9&gt;設定!$B$3),"",IF(INDEX(原始資料!L$2:L$501,$BJ317)="","",INDEX(原始資料!L$2:L$501,$BJ317)))</f>
        <v/>
      </c>
      <c r="K317" s="6">
        <f>IF(OR($BJ317="",10&gt;設定!$B$3),"",IF(INDEX(原始資料!M$2:M$501,$BJ317)="","",INDEX(原始資料!M$2:M$501,$BJ317)))</f>
        <v/>
      </c>
      <c r="L317" s="6">
        <f>IF(OR($BJ317="",11&gt;設定!$B$3),"",IF(INDEX(原始資料!N$2:N$501,$BJ317)="","",INDEX(原始資料!N$2:N$501,$BJ317)))</f>
        <v/>
      </c>
      <c r="M317" s="6">
        <f>IF(OR($BJ317="",12&gt;設定!$B$3),"",IF(INDEX(原始資料!O$2:O$501,$BJ317)="","",INDEX(原始資料!O$2:O$501,$BJ317)))</f>
        <v/>
      </c>
      <c r="N317" s="6">
        <f>IF(OR($BJ317="",13&gt;設定!$B$3),"",IF(INDEX(原始資料!P$2:P$501,$BJ317)="","",INDEX(原始資料!P$2:P$501,$BJ317)))</f>
        <v/>
      </c>
      <c r="O317" s="6">
        <f>IF(OR($BJ317="",14&gt;設定!$B$3),"",IF(INDEX(原始資料!Q$2:Q$501,$BJ317)="","",INDEX(原始資料!Q$2:Q$501,$BJ317)))</f>
        <v/>
      </c>
      <c r="P317" s="6">
        <f>IF(OR($BJ317="",15&gt;設定!$B$3),"",IF(INDEX(原始資料!R$2:R$501,$BJ317)="","",INDEX(原始資料!R$2:R$501,$BJ317)))</f>
        <v/>
      </c>
      <c r="Q317" s="6">
        <f>IF(OR($BJ317="",16&gt;設定!$B$3),"",IF(INDEX(原始資料!S$2:S$501,$BJ317)="","",INDEX(原始資料!S$2:S$501,$BJ317)))</f>
        <v/>
      </c>
      <c r="R317" s="6">
        <f>IF(OR($BJ317="",17&gt;設定!$B$3),"",IF(INDEX(原始資料!T$2:T$501,$BJ317)="","",INDEX(原始資料!T$2:T$501,$BJ317)))</f>
        <v/>
      </c>
      <c r="S317" s="6">
        <f>IF(OR($BJ317="",18&gt;設定!$B$3),"",IF(INDEX(原始資料!U$2:U$501,$BJ317)="","",INDEX(原始資料!U$2:U$501,$BJ317)))</f>
        <v/>
      </c>
      <c r="T317" s="6">
        <f>IF(OR($BJ317="",19&gt;設定!$B$3),"",IF(INDEX(原始資料!V$2:V$501,$BJ317)="","",INDEX(原始資料!V$2:V$501,$BJ317)))</f>
        <v/>
      </c>
      <c r="U317" s="6">
        <f>IF(OR($BJ317="",20&gt;設定!$B$3),"",IF(INDEX(原始資料!W$2:W$501,$BJ317)="","",INDEX(原始資料!W$2:W$501,$BJ317)))</f>
        <v/>
      </c>
      <c r="V317" s="6">
        <f>IF(OR($BJ317="",21&gt;設定!$B$3),"",IF(INDEX(原始資料!X$2:X$501,$BJ317)="","",INDEX(原始資料!X$2:X$501,$BJ317)))</f>
        <v/>
      </c>
      <c r="W317" s="6">
        <f>IF(OR($BJ317="",22&gt;設定!$B$3),"",IF(INDEX(原始資料!Y$2:Y$501,$BJ317)="","",INDEX(原始資料!Y$2:Y$501,$BJ317)))</f>
        <v/>
      </c>
      <c r="X317" s="6">
        <f>IF(OR($BJ317="",23&gt;設定!$B$3),"",IF(INDEX(原始資料!Z$2:Z$501,$BJ317)="","",INDEX(原始資料!Z$2:Z$501,$BJ317)))</f>
        <v/>
      </c>
      <c r="Y317" s="6">
        <f>IF(OR($BJ317="",24&gt;設定!$B$3),"",IF(INDEX(原始資料!AA$2:AA$501,$BJ317)="","",INDEX(原始資料!AA$2:AA$501,$BJ317)))</f>
        <v/>
      </c>
      <c r="Z317" s="6">
        <f>IF(OR($BJ317="",25&gt;設定!$B$3),"",IF(INDEX(原始資料!AB$2:AB$501,$BJ317)="","",INDEX(原始資料!AB$2:AB$501,$BJ317)))</f>
        <v/>
      </c>
      <c r="AA317" s="6">
        <f>IF(OR($BJ317="",26&gt;設定!$B$3),"",IF(INDEX(原始資料!AC$2:AC$501,$BJ317)="","",INDEX(原始資料!AC$2:AC$501,$BJ317)))</f>
        <v/>
      </c>
      <c r="AB317" s="6">
        <f>IF(OR($BJ317="",27&gt;設定!$B$3),"",IF(INDEX(原始資料!AD$2:AD$501,$BJ317)="","",INDEX(原始資料!AD$2:AD$501,$BJ317)))</f>
        <v/>
      </c>
      <c r="AC317" s="6">
        <f>IF(OR($BJ317="",28&gt;設定!$B$3),"",IF(INDEX(原始資料!AE$2:AE$501,$BJ317)="","",INDEX(原始資料!AE$2:AE$501,$BJ317)))</f>
        <v/>
      </c>
      <c r="AD317" s="6">
        <f>IF(OR($BJ317="",29&gt;設定!$B$3),"",IF(INDEX(原始資料!AF$2:AF$501,$BJ317)="","",INDEX(原始資料!AF$2:AF$501,$BJ317)))</f>
        <v/>
      </c>
      <c r="AE317" s="6">
        <f>IF(OR($BJ317="",30&gt;設定!$B$3),"",IF(INDEX(原始資料!AG$2:AG$501,$BJ317)="","",INDEX(原始資料!AG$2:AG$501,$BJ317)))</f>
        <v/>
      </c>
      <c r="AF317" s="6">
        <f>IF(OR($BJ317="",31&gt;設定!$B$3),"",IF(INDEX(原始資料!AH$2:AH$501,$BJ317)="","",INDEX(原始資料!AH$2:AH$501,$BJ317)))</f>
        <v/>
      </c>
      <c r="AG317" s="6">
        <f>IF(OR($BJ317="",32&gt;設定!$B$3),"",IF(INDEX(原始資料!AI$2:AI$501,$BJ317)="","",INDEX(原始資料!AI$2:AI$501,$BJ317)))</f>
        <v/>
      </c>
      <c r="AH317" s="6">
        <f>IF(OR($BJ317="",33&gt;設定!$B$3),"",IF(INDEX(原始資料!AJ$2:AJ$501,$BJ317)="","",INDEX(原始資料!AJ$2:AJ$501,$BJ317)))</f>
        <v/>
      </c>
      <c r="AI317" s="6">
        <f>IF(OR($BJ317="",34&gt;設定!$B$3),"",IF(INDEX(原始資料!AK$2:AK$501,$BJ317)="","",INDEX(原始資料!AK$2:AK$501,$BJ317)))</f>
        <v/>
      </c>
      <c r="AJ317" s="6">
        <f>IF(OR($BJ317="",35&gt;設定!$B$3),"",IF(INDEX(原始資料!AL$2:AL$501,$BJ317)="","",INDEX(原始資料!AL$2:AL$501,$BJ317)))</f>
        <v/>
      </c>
      <c r="AK317" s="6">
        <f>IF(OR($BJ317="",36&gt;設定!$B$3),"",IF(INDEX(原始資料!AM$2:AM$501,$BJ317)="","",INDEX(原始資料!AM$2:AM$501,$BJ317)))</f>
        <v/>
      </c>
      <c r="AL317" s="6">
        <f>IF(OR($BJ317="",37&gt;設定!$B$3),"",IF(INDEX(原始資料!AN$2:AN$501,$BJ317)="","",INDEX(原始資料!AN$2:AN$501,$BJ317)))</f>
        <v/>
      </c>
      <c r="AM317" s="6">
        <f>IF(OR($BJ317="",38&gt;設定!$B$3),"",IF(INDEX(原始資料!AO$2:AO$501,$BJ317)="","",INDEX(原始資料!AO$2:AO$501,$BJ317)))</f>
        <v/>
      </c>
      <c r="AN317" s="6">
        <f>IF(OR($BJ317="",39&gt;設定!$B$3),"",IF(INDEX(原始資料!AP$2:AP$501,$BJ317)="","",INDEX(原始資料!AP$2:AP$501,$BJ317)))</f>
        <v/>
      </c>
      <c r="AO317" s="6">
        <f>IF(OR($BJ317="",40&gt;設定!$B$3),"",IF(INDEX(原始資料!AQ$2:AQ$501,$BJ317)="","",INDEX(原始資料!AQ$2:AQ$501,$BJ317)))</f>
        <v/>
      </c>
      <c r="AP317" s="6">
        <f>IF(OR($BJ317="",41&gt;設定!$B$3),"",IF(INDEX(原始資料!AR$2:AR$501,$BJ317)="","",INDEX(原始資料!AR$2:AR$501,$BJ317)))</f>
        <v/>
      </c>
      <c r="AQ317" s="6">
        <f>IF(OR($BJ317="",42&gt;設定!$B$3),"",IF(INDEX(原始資料!AS$2:AS$501,$BJ317)="","",INDEX(原始資料!AS$2:AS$501,$BJ317)))</f>
        <v/>
      </c>
      <c r="AR317" s="6">
        <f>IF(OR($BJ317="",43&gt;設定!$B$3),"",IF(INDEX(原始資料!AT$2:AT$501,$BJ317)="","",INDEX(原始資料!AT$2:AT$501,$BJ317)))</f>
        <v/>
      </c>
      <c r="AS317" s="6">
        <f>IF(OR($BJ317="",44&gt;設定!$B$3),"",IF(INDEX(原始資料!AU$2:AU$501,$BJ317)="","",INDEX(原始資料!AU$2:AU$501,$BJ317)))</f>
        <v/>
      </c>
      <c r="AT317" s="6">
        <f>IF(OR($BJ317="",45&gt;設定!$B$3),"",IF(INDEX(原始資料!AV$2:AV$501,$BJ317)="","",INDEX(原始資料!AV$2:AV$501,$BJ317)))</f>
        <v/>
      </c>
      <c r="AU317" s="6">
        <f>IF(OR($BJ317="",46&gt;設定!$B$3),"",IF(INDEX(原始資料!AW$2:AW$501,$BJ317)="","",INDEX(原始資料!AW$2:AW$501,$BJ317)))</f>
        <v/>
      </c>
      <c r="AV317" s="6">
        <f>IF(OR($BJ317="",47&gt;設定!$B$3),"",IF(INDEX(原始資料!AX$2:AX$501,$BJ317)="","",INDEX(原始資料!AX$2:AX$501,$BJ317)))</f>
        <v/>
      </c>
      <c r="AW317" s="6">
        <f>IF(OR($BJ317="",48&gt;設定!$B$3),"",IF(INDEX(原始資料!AY$2:AY$501,$BJ317)="","",INDEX(原始資料!AY$2:AY$501,$BJ317)))</f>
        <v/>
      </c>
      <c r="AX317" s="6">
        <f>IF(OR($BJ317="",49&gt;設定!$B$3),"",IF(INDEX(原始資料!AZ$2:AZ$501,$BJ317)="","",INDEX(原始資料!AZ$2:AZ$501,$BJ317)))</f>
        <v/>
      </c>
      <c r="AY317" s="6">
        <f>IF(OR($BJ317="",50&gt;設定!$B$3),"",IF(INDEX(原始資料!BA$2:BA$501,$BJ317)="","",INDEX(原始資料!BA$2:BA$501,$BJ317)))</f>
        <v/>
      </c>
      <c r="AZ317" s="6">
        <f>IF(OR($BJ317="",51&gt;設定!$B$3),"",IF(INDEX(原始資料!BB$2:BB$501,$BJ317)="","",INDEX(原始資料!BB$2:BB$501,$BJ317)))</f>
        <v/>
      </c>
      <c r="BA317" s="6">
        <f>IF(OR($BJ317="",52&gt;設定!$B$3),"",IF(INDEX(原始資料!BC$2:BC$501,$BJ317)="","",INDEX(原始資料!BC$2:BC$501,$BJ317)))</f>
        <v/>
      </c>
      <c r="BB317" s="6">
        <f>IF(OR($BJ317="",53&gt;設定!$B$3),"",IF(INDEX(原始資料!BD$2:BD$501,$BJ317)="","",INDEX(原始資料!BD$2:BD$501,$BJ317)))</f>
        <v/>
      </c>
      <c r="BC317" s="6">
        <f>IF(OR($BJ317="",54&gt;設定!$B$3),"",IF(INDEX(原始資料!BE$2:BE$501,$BJ317)="","",INDEX(原始資料!BE$2:BE$501,$BJ317)))</f>
        <v/>
      </c>
      <c r="BD317" s="6">
        <f>IF(OR($BJ317="",55&gt;設定!$B$3),"",IF(INDEX(原始資料!BF$2:BF$501,$BJ317)="","",INDEX(原始資料!BF$2:BF$501,$BJ317)))</f>
        <v/>
      </c>
      <c r="BE317" s="6">
        <f>IF(OR($BJ317="",56&gt;設定!$B$3),"",IF(INDEX(原始資料!BG$2:BG$501,$BJ317)="","",INDEX(原始資料!BG$2:BG$501,$BJ317)))</f>
        <v/>
      </c>
      <c r="BF317" s="6">
        <f>IF(OR($BJ317="",57&gt;設定!$B$3),"",IF(INDEX(原始資料!BH$2:BH$501,$BJ317)="","",INDEX(原始資料!BH$2:BH$501,$BJ317)))</f>
        <v/>
      </c>
      <c r="BG317" s="6">
        <f>IF(OR($BJ317="",58&gt;設定!$B$3),"",IF(INDEX(原始資料!BI$2:BI$501,$BJ317)="","",INDEX(原始資料!BI$2:BI$501,$BJ317)))</f>
        <v/>
      </c>
      <c r="BH317" s="6">
        <f>IF(OR($BJ317="",59&gt;設定!$B$3),"",IF(INDEX(原始資料!BJ$2:BJ$501,$BJ317)="","",INDEX(原始資料!BJ$2:BJ$501,$BJ317)))</f>
        <v/>
      </c>
      <c r="BI317" s="6">
        <f>IF(OR($BJ317="",60&gt;設定!$B$3),"",IF(INDEX(原始資料!BK$2:BK$501,$BJ317)="","",INDEX(原始資料!BK$2:BK$501,$BJ317)))</f>
        <v/>
      </c>
      <c r="BJ317" s="6">
        <f>IFERROR(MATCH(ROW()-1,判定!$H$2:$H$501,0),"")</f>
        <v/>
      </c>
    </row>
    <row r="318">
      <c r="A318" s="6">
        <f>IF($BJ318="","",INDEX(原始資料!$A$2:$A$501,$BJ318))</f>
        <v/>
      </c>
      <c r="B318" s="6">
        <f>IF(OR($BJ318="",1&gt;設定!$B$3),"",IF(INDEX(原始資料!D$2:D$501,$BJ318)="","",INDEX(原始資料!D$2:D$501,$BJ318)))</f>
        <v/>
      </c>
      <c r="C318" s="6">
        <f>IF(OR($BJ318="",2&gt;設定!$B$3),"",IF(INDEX(原始資料!E$2:E$501,$BJ318)="","",INDEX(原始資料!E$2:E$501,$BJ318)))</f>
        <v/>
      </c>
      <c r="D318" s="6">
        <f>IF(OR($BJ318="",3&gt;設定!$B$3),"",IF(INDEX(原始資料!F$2:F$501,$BJ318)="","",INDEX(原始資料!F$2:F$501,$BJ318)))</f>
        <v/>
      </c>
      <c r="E318" s="6">
        <f>IF(OR($BJ318="",4&gt;設定!$B$3),"",IF(INDEX(原始資料!G$2:G$501,$BJ318)="","",INDEX(原始資料!G$2:G$501,$BJ318)))</f>
        <v/>
      </c>
      <c r="F318" s="6">
        <f>IF(OR($BJ318="",5&gt;設定!$B$3),"",IF(INDEX(原始資料!H$2:H$501,$BJ318)="","",INDEX(原始資料!H$2:H$501,$BJ318)))</f>
        <v/>
      </c>
      <c r="G318" s="6">
        <f>IF(OR($BJ318="",6&gt;設定!$B$3),"",IF(INDEX(原始資料!I$2:I$501,$BJ318)="","",INDEX(原始資料!I$2:I$501,$BJ318)))</f>
        <v/>
      </c>
      <c r="H318" s="6">
        <f>IF(OR($BJ318="",7&gt;設定!$B$3),"",IF(INDEX(原始資料!J$2:J$501,$BJ318)="","",INDEX(原始資料!J$2:J$501,$BJ318)))</f>
        <v/>
      </c>
      <c r="I318" s="6">
        <f>IF(OR($BJ318="",8&gt;設定!$B$3),"",IF(INDEX(原始資料!K$2:K$501,$BJ318)="","",INDEX(原始資料!K$2:K$501,$BJ318)))</f>
        <v/>
      </c>
      <c r="J318" s="6">
        <f>IF(OR($BJ318="",9&gt;設定!$B$3),"",IF(INDEX(原始資料!L$2:L$501,$BJ318)="","",INDEX(原始資料!L$2:L$501,$BJ318)))</f>
        <v/>
      </c>
      <c r="K318" s="6">
        <f>IF(OR($BJ318="",10&gt;設定!$B$3),"",IF(INDEX(原始資料!M$2:M$501,$BJ318)="","",INDEX(原始資料!M$2:M$501,$BJ318)))</f>
        <v/>
      </c>
      <c r="L318" s="6">
        <f>IF(OR($BJ318="",11&gt;設定!$B$3),"",IF(INDEX(原始資料!N$2:N$501,$BJ318)="","",INDEX(原始資料!N$2:N$501,$BJ318)))</f>
        <v/>
      </c>
      <c r="M318" s="6">
        <f>IF(OR($BJ318="",12&gt;設定!$B$3),"",IF(INDEX(原始資料!O$2:O$501,$BJ318)="","",INDEX(原始資料!O$2:O$501,$BJ318)))</f>
        <v/>
      </c>
      <c r="N318" s="6">
        <f>IF(OR($BJ318="",13&gt;設定!$B$3),"",IF(INDEX(原始資料!P$2:P$501,$BJ318)="","",INDEX(原始資料!P$2:P$501,$BJ318)))</f>
        <v/>
      </c>
      <c r="O318" s="6">
        <f>IF(OR($BJ318="",14&gt;設定!$B$3),"",IF(INDEX(原始資料!Q$2:Q$501,$BJ318)="","",INDEX(原始資料!Q$2:Q$501,$BJ318)))</f>
        <v/>
      </c>
      <c r="P318" s="6">
        <f>IF(OR($BJ318="",15&gt;設定!$B$3),"",IF(INDEX(原始資料!R$2:R$501,$BJ318)="","",INDEX(原始資料!R$2:R$501,$BJ318)))</f>
        <v/>
      </c>
      <c r="Q318" s="6">
        <f>IF(OR($BJ318="",16&gt;設定!$B$3),"",IF(INDEX(原始資料!S$2:S$501,$BJ318)="","",INDEX(原始資料!S$2:S$501,$BJ318)))</f>
        <v/>
      </c>
      <c r="R318" s="6">
        <f>IF(OR($BJ318="",17&gt;設定!$B$3),"",IF(INDEX(原始資料!T$2:T$501,$BJ318)="","",INDEX(原始資料!T$2:T$501,$BJ318)))</f>
        <v/>
      </c>
      <c r="S318" s="6">
        <f>IF(OR($BJ318="",18&gt;設定!$B$3),"",IF(INDEX(原始資料!U$2:U$501,$BJ318)="","",INDEX(原始資料!U$2:U$501,$BJ318)))</f>
        <v/>
      </c>
      <c r="T318" s="6">
        <f>IF(OR($BJ318="",19&gt;設定!$B$3),"",IF(INDEX(原始資料!V$2:V$501,$BJ318)="","",INDEX(原始資料!V$2:V$501,$BJ318)))</f>
        <v/>
      </c>
      <c r="U318" s="6">
        <f>IF(OR($BJ318="",20&gt;設定!$B$3),"",IF(INDEX(原始資料!W$2:W$501,$BJ318)="","",INDEX(原始資料!W$2:W$501,$BJ318)))</f>
        <v/>
      </c>
      <c r="V318" s="6">
        <f>IF(OR($BJ318="",21&gt;設定!$B$3),"",IF(INDEX(原始資料!X$2:X$501,$BJ318)="","",INDEX(原始資料!X$2:X$501,$BJ318)))</f>
        <v/>
      </c>
      <c r="W318" s="6">
        <f>IF(OR($BJ318="",22&gt;設定!$B$3),"",IF(INDEX(原始資料!Y$2:Y$501,$BJ318)="","",INDEX(原始資料!Y$2:Y$501,$BJ318)))</f>
        <v/>
      </c>
      <c r="X318" s="6">
        <f>IF(OR($BJ318="",23&gt;設定!$B$3),"",IF(INDEX(原始資料!Z$2:Z$501,$BJ318)="","",INDEX(原始資料!Z$2:Z$501,$BJ318)))</f>
        <v/>
      </c>
      <c r="Y318" s="6">
        <f>IF(OR($BJ318="",24&gt;設定!$B$3),"",IF(INDEX(原始資料!AA$2:AA$501,$BJ318)="","",INDEX(原始資料!AA$2:AA$501,$BJ318)))</f>
        <v/>
      </c>
      <c r="Z318" s="6">
        <f>IF(OR($BJ318="",25&gt;設定!$B$3),"",IF(INDEX(原始資料!AB$2:AB$501,$BJ318)="","",INDEX(原始資料!AB$2:AB$501,$BJ318)))</f>
        <v/>
      </c>
      <c r="AA318" s="6">
        <f>IF(OR($BJ318="",26&gt;設定!$B$3),"",IF(INDEX(原始資料!AC$2:AC$501,$BJ318)="","",INDEX(原始資料!AC$2:AC$501,$BJ318)))</f>
        <v/>
      </c>
      <c r="AB318" s="6">
        <f>IF(OR($BJ318="",27&gt;設定!$B$3),"",IF(INDEX(原始資料!AD$2:AD$501,$BJ318)="","",INDEX(原始資料!AD$2:AD$501,$BJ318)))</f>
        <v/>
      </c>
      <c r="AC318" s="6">
        <f>IF(OR($BJ318="",28&gt;設定!$B$3),"",IF(INDEX(原始資料!AE$2:AE$501,$BJ318)="","",INDEX(原始資料!AE$2:AE$501,$BJ318)))</f>
        <v/>
      </c>
      <c r="AD318" s="6">
        <f>IF(OR($BJ318="",29&gt;設定!$B$3),"",IF(INDEX(原始資料!AF$2:AF$501,$BJ318)="","",INDEX(原始資料!AF$2:AF$501,$BJ318)))</f>
        <v/>
      </c>
      <c r="AE318" s="6">
        <f>IF(OR($BJ318="",30&gt;設定!$B$3),"",IF(INDEX(原始資料!AG$2:AG$501,$BJ318)="","",INDEX(原始資料!AG$2:AG$501,$BJ318)))</f>
        <v/>
      </c>
      <c r="AF318" s="6">
        <f>IF(OR($BJ318="",31&gt;設定!$B$3),"",IF(INDEX(原始資料!AH$2:AH$501,$BJ318)="","",INDEX(原始資料!AH$2:AH$501,$BJ318)))</f>
        <v/>
      </c>
      <c r="AG318" s="6">
        <f>IF(OR($BJ318="",32&gt;設定!$B$3),"",IF(INDEX(原始資料!AI$2:AI$501,$BJ318)="","",INDEX(原始資料!AI$2:AI$501,$BJ318)))</f>
        <v/>
      </c>
      <c r="AH318" s="6">
        <f>IF(OR($BJ318="",33&gt;設定!$B$3),"",IF(INDEX(原始資料!AJ$2:AJ$501,$BJ318)="","",INDEX(原始資料!AJ$2:AJ$501,$BJ318)))</f>
        <v/>
      </c>
      <c r="AI318" s="6">
        <f>IF(OR($BJ318="",34&gt;設定!$B$3),"",IF(INDEX(原始資料!AK$2:AK$501,$BJ318)="","",INDEX(原始資料!AK$2:AK$501,$BJ318)))</f>
        <v/>
      </c>
      <c r="AJ318" s="6">
        <f>IF(OR($BJ318="",35&gt;設定!$B$3),"",IF(INDEX(原始資料!AL$2:AL$501,$BJ318)="","",INDEX(原始資料!AL$2:AL$501,$BJ318)))</f>
        <v/>
      </c>
      <c r="AK318" s="6">
        <f>IF(OR($BJ318="",36&gt;設定!$B$3),"",IF(INDEX(原始資料!AM$2:AM$501,$BJ318)="","",INDEX(原始資料!AM$2:AM$501,$BJ318)))</f>
        <v/>
      </c>
      <c r="AL318" s="6">
        <f>IF(OR($BJ318="",37&gt;設定!$B$3),"",IF(INDEX(原始資料!AN$2:AN$501,$BJ318)="","",INDEX(原始資料!AN$2:AN$501,$BJ318)))</f>
        <v/>
      </c>
      <c r="AM318" s="6">
        <f>IF(OR($BJ318="",38&gt;設定!$B$3),"",IF(INDEX(原始資料!AO$2:AO$501,$BJ318)="","",INDEX(原始資料!AO$2:AO$501,$BJ318)))</f>
        <v/>
      </c>
      <c r="AN318" s="6">
        <f>IF(OR($BJ318="",39&gt;設定!$B$3),"",IF(INDEX(原始資料!AP$2:AP$501,$BJ318)="","",INDEX(原始資料!AP$2:AP$501,$BJ318)))</f>
        <v/>
      </c>
      <c r="AO318" s="6">
        <f>IF(OR($BJ318="",40&gt;設定!$B$3),"",IF(INDEX(原始資料!AQ$2:AQ$501,$BJ318)="","",INDEX(原始資料!AQ$2:AQ$501,$BJ318)))</f>
        <v/>
      </c>
      <c r="AP318" s="6">
        <f>IF(OR($BJ318="",41&gt;設定!$B$3),"",IF(INDEX(原始資料!AR$2:AR$501,$BJ318)="","",INDEX(原始資料!AR$2:AR$501,$BJ318)))</f>
        <v/>
      </c>
      <c r="AQ318" s="6">
        <f>IF(OR($BJ318="",42&gt;設定!$B$3),"",IF(INDEX(原始資料!AS$2:AS$501,$BJ318)="","",INDEX(原始資料!AS$2:AS$501,$BJ318)))</f>
        <v/>
      </c>
      <c r="AR318" s="6">
        <f>IF(OR($BJ318="",43&gt;設定!$B$3),"",IF(INDEX(原始資料!AT$2:AT$501,$BJ318)="","",INDEX(原始資料!AT$2:AT$501,$BJ318)))</f>
        <v/>
      </c>
      <c r="AS318" s="6">
        <f>IF(OR($BJ318="",44&gt;設定!$B$3),"",IF(INDEX(原始資料!AU$2:AU$501,$BJ318)="","",INDEX(原始資料!AU$2:AU$501,$BJ318)))</f>
        <v/>
      </c>
      <c r="AT318" s="6">
        <f>IF(OR($BJ318="",45&gt;設定!$B$3),"",IF(INDEX(原始資料!AV$2:AV$501,$BJ318)="","",INDEX(原始資料!AV$2:AV$501,$BJ318)))</f>
        <v/>
      </c>
      <c r="AU318" s="6">
        <f>IF(OR($BJ318="",46&gt;設定!$B$3),"",IF(INDEX(原始資料!AW$2:AW$501,$BJ318)="","",INDEX(原始資料!AW$2:AW$501,$BJ318)))</f>
        <v/>
      </c>
      <c r="AV318" s="6">
        <f>IF(OR($BJ318="",47&gt;設定!$B$3),"",IF(INDEX(原始資料!AX$2:AX$501,$BJ318)="","",INDEX(原始資料!AX$2:AX$501,$BJ318)))</f>
        <v/>
      </c>
      <c r="AW318" s="6">
        <f>IF(OR($BJ318="",48&gt;設定!$B$3),"",IF(INDEX(原始資料!AY$2:AY$501,$BJ318)="","",INDEX(原始資料!AY$2:AY$501,$BJ318)))</f>
        <v/>
      </c>
      <c r="AX318" s="6">
        <f>IF(OR($BJ318="",49&gt;設定!$B$3),"",IF(INDEX(原始資料!AZ$2:AZ$501,$BJ318)="","",INDEX(原始資料!AZ$2:AZ$501,$BJ318)))</f>
        <v/>
      </c>
      <c r="AY318" s="6">
        <f>IF(OR($BJ318="",50&gt;設定!$B$3),"",IF(INDEX(原始資料!BA$2:BA$501,$BJ318)="","",INDEX(原始資料!BA$2:BA$501,$BJ318)))</f>
        <v/>
      </c>
      <c r="AZ318" s="6">
        <f>IF(OR($BJ318="",51&gt;設定!$B$3),"",IF(INDEX(原始資料!BB$2:BB$501,$BJ318)="","",INDEX(原始資料!BB$2:BB$501,$BJ318)))</f>
        <v/>
      </c>
      <c r="BA318" s="6">
        <f>IF(OR($BJ318="",52&gt;設定!$B$3),"",IF(INDEX(原始資料!BC$2:BC$501,$BJ318)="","",INDEX(原始資料!BC$2:BC$501,$BJ318)))</f>
        <v/>
      </c>
      <c r="BB318" s="6">
        <f>IF(OR($BJ318="",53&gt;設定!$B$3),"",IF(INDEX(原始資料!BD$2:BD$501,$BJ318)="","",INDEX(原始資料!BD$2:BD$501,$BJ318)))</f>
        <v/>
      </c>
      <c r="BC318" s="6">
        <f>IF(OR($BJ318="",54&gt;設定!$B$3),"",IF(INDEX(原始資料!BE$2:BE$501,$BJ318)="","",INDEX(原始資料!BE$2:BE$501,$BJ318)))</f>
        <v/>
      </c>
      <c r="BD318" s="6">
        <f>IF(OR($BJ318="",55&gt;設定!$B$3),"",IF(INDEX(原始資料!BF$2:BF$501,$BJ318)="","",INDEX(原始資料!BF$2:BF$501,$BJ318)))</f>
        <v/>
      </c>
      <c r="BE318" s="6">
        <f>IF(OR($BJ318="",56&gt;設定!$B$3),"",IF(INDEX(原始資料!BG$2:BG$501,$BJ318)="","",INDEX(原始資料!BG$2:BG$501,$BJ318)))</f>
        <v/>
      </c>
      <c r="BF318" s="6">
        <f>IF(OR($BJ318="",57&gt;設定!$B$3),"",IF(INDEX(原始資料!BH$2:BH$501,$BJ318)="","",INDEX(原始資料!BH$2:BH$501,$BJ318)))</f>
        <v/>
      </c>
      <c r="BG318" s="6">
        <f>IF(OR($BJ318="",58&gt;設定!$B$3),"",IF(INDEX(原始資料!BI$2:BI$501,$BJ318)="","",INDEX(原始資料!BI$2:BI$501,$BJ318)))</f>
        <v/>
      </c>
      <c r="BH318" s="6">
        <f>IF(OR($BJ318="",59&gt;設定!$B$3),"",IF(INDEX(原始資料!BJ$2:BJ$501,$BJ318)="","",INDEX(原始資料!BJ$2:BJ$501,$BJ318)))</f>
        <v/>
      </c>
      <c r="BI318" s="6">
        <f>IF(OR($BJ318="",60&gt;設定!$B$3),"",IF(INDEX(原始資料!BK$2:BK$501,$BJ318)="","",INDEX(原始資料!BK$2:BK$501,$BJ318)))</f>
        <v/>
      </c>
      <c r="BJ318" s="6">
        <f>IFERROR(MATCH(ROW()-1,判定!$H$2:$H$501,0),"")</f>
        <v/>
      </c>
    </row>
    <row r="319">
      <c r="A319" s="6">
        <f>IF($BJ319="","",INDEX(原始資料!$A$2:$A$501,$BJ319))</f>
        <v/>
      </c>
      <c r="B319" s="6">
        <f>IF(OR($BJ319="",1&gt;設定!$B$3),"",IF(INDEX(原始資料!D$2:D$501,$BJ319)="","",INDEX(原始資料!D$2:D$501,$BJ319)))</f>
        <v/>
      </c>
      <c r="C319" s="6">
        <f>IF(OR($BJ319="",2&gt;設定!$B$3),"",IF(INDEX(原始資料!E$2:E$501,$BJ319)="","",INDEX(原始資料!E$2:E$501,$BJ319)))</f>
        <v/>
      </c>
      <c r="D319" s="6">
        <f>IF(OR($BJ319="",3&gt;設定!$B$3),"",IF(INDEX(原始資料!F$2:F$501,$BJ319)="","",INDEX(原始資料!F$2:F$501,$BJ319)))</f>
        <v/>
      </c>
      <c r="E319" s="6">
        <f>IF(OR($BJ319="",4&gt;設定!$B$3),"",IF(INDEX(原始資料!G$2:G$501,$BJ319)="","",INDEX(原始資料!G$2:G$501,$BJ319)))</f>
        <v/>
      </c>
      <c r="F319" s="6">
        <f>IF(OR($BJ319="",5&gt;設定!$B$3),"",IF(INDEX(原始資料!H$2:H$501,$BJ319)="","",INDEX(原始資料!H$2:H$501,$BJ319)))</f>
        <v/>
      </c>
      <c r="G319" s="6">
        <f>IF(OR($BJ319="",6&gt;設定!$B$3),"",IF(INDEX(原始資料!I$2:I$501,$BJ319)="","",INDEX(原始資料!I$2:I$501,$BJ319)))</f>
        <v/>
      </c>
      <c r="H319" s="6">
        <f>IF(OR($BJ319="",7&gt;設定!$B$3),"",IF(INDEX(原始資料!J$2:J$501,$BJ319)="","",INDEX(原始資料!J$2:J$501,$BJ319)))</f>
        <v/>
      </c>
      <c r="I319" s="6">
        <f>IF(OR($BJ319="",8&gt;設定!$B$3),"",IF(INDEX(原始資料!K$2:K$501,$BJ319)="","",INDEX(原始資料!K$2:K$501,$BJ319)))</f>
        <v/>
      </c>
      <c r="J319" s="6">
        <f>IF(OR($BJ319="",9&gt;設定!$B$3),"",IF(INDEX(原始資料!L$2:L$501,$BJ319)="","",INDEX(原始資料!L$2:L$501,$BJ319)))</f>
        <v/>
      </c>
      <c r="K319" s="6">
        <f>IF(OR($BJ319="",10&gt;設定!$B$3),"",IF(INDEX(原始資料!M$2:M$501,$BJ319)="","",INDEX(原始資料!M$2:M$501,$BJ319)))</f>
        <v/>
      </c>
      <c r="L319" s="6">
        <f>IF(OR($BJ319="",11&gt;設定!$B$3),"",IF(INDEX(原始資料!N$2:N$501,$BJ319)="","",INDEX(原始資料!N$2:N$501,$BJ319)))</f>
        <v/>
      </c>
      <c r="M319" s="6">
        <f>IF(OR($BJ319="",12&gt;設定!$B$3),"",IF(INDEX(原始資料!O$2:O$501,$BJ319)="","",INDEX(原始資料!O$2:O$501,$BJ319)))</f>
        <v/>
      </c>
      <c r="N319" s="6">
        <f>IF(OR($BJ319="",13&gt;設定!$B$3),"",IF(INDEX(原始資料!P$2:P$501,$BJ319)="","",INDEX(原始資料!P$2:P$501,$BJ319)))</f>
        <v/>
      </c>
      <c r="O319" s="6">
        <f>IF(OR($BJ319="",14&gt;設定!$B$3),"",IF(INDEX(原始資料!Q$2:Q$501,$BJ319)="","",INDEX(原始資料!Q$2:Q$501,$BJ319)))</f>
        <v/>
      </c>
      <c r="P319" s="6">
        <f>IF(OR($BJ319="",15&gt;設定!$B$3),"",IF(INDEX(原始資料!R$2:R$501,$BJ319)="","",INDEX(原始資料!R$2:R$501,$BJ319)))</f>
        <v/>
      </c>
      <c r="Q319" s="6">
        <f>IF(OR($BJ319="",16&gt;設定!$B$3),"",IF(INDEX(原始資料!S$2:S$501,$BJ319)="","",INDEX(原始資料!S$2:S$501,$BJ319)))</f>
        <v/>
      </c>
      <c r="R319" s="6">
        <f>IF(OR($BJ319="",17&gt;設定!$B$3),"",IF(INDEX(原始資料!T$2:T$501,$BJ319)="","",INDEX(原始資料!T$2:T$501,$BJ319)))</f>
        <v/>
      </c>
      <c r="S319" s="6">
        <f>IF(OR($BJ319="",18&gt;設定!$B$3),"",IF(INDEX(原始資料!U$2:U$501,$BJ319)="","",INDEX(原始資料!U$2:U$501,$BJ319)))</f>
        <v/>
      </c>
      <c r="T319" s="6">
        <f>IF(OR($BJ319="",19&gt;設定!$B$3),"",IF(INDEX(原始資料!V$2:V$501,$BJ319)="","",INDEX(原始資料!V$2:V$501,$BJ319)))</f>
        <v/>
      </c>
      <c r="U319" s="6">
        <f>IF(OR($BJ319="",20&gt;設定!$B$3),"",IF(INDEX(原始資料!W$2:W$501,$BJ319)="","",INDEX(原始資料!W$2:W$501,$BJ319)))</f>
        <v/>
      </c>
      <c r="V319" s="6">
        <f>IF(OR($BJ319="",21&gt;設定!$B$3),"",IF(INDEX(原始資料!X$2:X$501,$BJ319)="","",INDEX(原始資料!X$2:X$501,$BJ319)))</f>
        <v/>
      </c>
      <c r="W319" s="6">
        <f>IF(OR($BJ319="",22&gt;設定!$B$3),"",IF(INDEX(原始資料!Y$2:Y$501,$BJ319)="","",INDEX(原始資料!Y$2:Y$501,$BJ319)))</f>
        <v/>
      </c>
      <c r="X319" s="6">
        <f>IF(OR($BJ319="",23&gt;設定!$B$3),"",IF(INDEX(原始資料!Z$2:Z$501,$BJ319)="","",INDEX(原始資料!Z$2:Z$501,$BJ319)))</f>
        <v/>
      </c>
      <c r="Y319" s="6">
        <f>IF(OR($BJ319="",24&gt;設定!$B$3),"",IF(INDEX(原始資料!AA$2:AA$501,$BJ319)="","",INDEX(原始資料!AA$2:AA$501,$BJ319)))</f>
        <v/>
      </c>
      <c r="Z319" s="6">
        <f>IF(OR($BJ319="",25&gt;設定!$B$3),"",IF(INDEX(原始資料!AB$2:AB$501,$BJ319)="","",INDEX(原始資料!AB$2:AB$501,$BJ319)))</f>
        <v/>
      </c>
      <c r="AA319" s="6">
        <f>IF(OR($BJ319="",26&gt;設定!$B$3),"",IF(INDEX(原始資料!AC$2:AC$501,$BJ319)="","",INDEX(原始資料!AC$2:AC$501,$BJ319)))</f>
        <v/>
      </c>
      <c r="AB319" s="6">
        <f>IF(OR($BJ319="",27&gt;設定!$B$3),"",IF(INDEX(原始資料!AD$2:AD$501,$BJ319)="","",INDEX(原始資料!AD$2:AD$501,$BJ319)))</f>
        <v/>
      </c>
      <c r="AC319" s="6">
        <f>IF(OR($BJ319="",28&gt;設定!$B$3),"",IF(INDEX(原始資料!AE$2:AE$501,$BJ319)="","",INDEX(原始資料!AE$2:AE$501,$BJ319)))</f>
        <v/>
      </c>
      <c r="AD319" s="6">
        <f>IF(OR($BJ319="",29&gt;設定!$B$3),"",IF(INDEX(原始資料!AF$2:AF$501,$BJ319)="","",INDEX(原始資料!AF$2:AF$501,$BJ319)))</f>
        <v/>
      </c>
      <c r="AE319" s="6">
        <f>IF(OR($BJ319="",30&gt;設定!$B$3),"",IF(INDEX(原始資料!AG$2:AG$501,$BJ319)="","",INDEX(原始資料!AG$2:AG$501,$BJ319)))</f>
        <v/>
      </c>
      <c r="AF319" s="6">
        <f>IF(OR($BJ319="",31&gt;設定!$B$3),"",IF(INDEX(原始資料!AH$2:AH$501,$BJ319)="","",INDEX(原始資料!AH$2:AH$501,$BJ319)))</f>
        <v/>
      </c>
      <c r="AG319" s="6">
        <f>IF(OR($BJ319="",32&gt;設定!$B$3),"",IF(INDEX(原始資料!AI$2:AI$501,$BJ319)="","",INDEX(原始資料!AI$2:AI$501,$BJ319)))</f>
        <v/>
      </c>
      <c r="AH319" s="6">
        <f>IF(OR($BJ319="",33&gt;設定!$B$3),"",IF(INDEX(原始資料!AJ$2:AJ$501,$BJ319)="","",INDEX(原始資料!AJ$2:AJ$501,$BJ319)))</f>
        <v/>
      </c>
      <c r="AI319" s="6">
        <f>IF(OR($BJ319="",34&gt;設定!$B$3),"",IF(INDEX(原始資料!AK$2:AK$501,$BJ319)="","",INDEX(原始資料!AK$2:AK$501,$BJ319)))</f>
        <v/>
      </c>
      <c r="AJ319" s="6">
        <f>IF(OR($BJ319="",35&gt;設定!$B$3),"",IF(INDEX(原始資料!AL$2:AL$501,$BJ319)="","",INDEX(原始資料!AL$2:AL$501,$BJ319)))</f>
        <v/>
      </c>
      <c r="AK319" s="6">
        <f>IF(OR($BJ319="",36&gt;設定!$B$3),"",IF(INDEX(原始資料!AM$2:AM$501,$BJ319)="","",INDEX(原始資料!AM$2:AM$501,$BJ319)))</f>
        <v/>
      </c>
      <c r="AL319" s="6">
        <f>IF(OR($BJ319="",37&gt;設定!$B$3),"",IF(INDEX(原始資料!AN$2:AN$501,$BJ319)="","",INDEX(原始資料!AN$2:AN$501,$BJ319)))</f>
        <v/>
      </c>
      <c r="AM319" s="6">
        <f>IF(OR($BJ319="",38&gt;設定!$B$3),"",IF(INDEX(原始資料!AO$2:AO$501,$BJ319)="","",INDEX(原始資料!AO$2:AO$501,$BJ319)))</f>
        <v/>
      </c>
      <c r="AN319" s="6">
        <f>IF(OR($BJ319="",39&gt;設定!$B$3),"",IF(INDEX(原始資料!AP$2:AP$501,$BJ319)="","",INDEX(原始資料!AP$2:AP$501,$BJ319)))</f>
        <v/>
      </c>
      <c r="AO319" s="6">
        <f>IF(OR($BJ319="",40&gt;設定!$B$3),"",IF(INDEX(原始資料!AQ$2:AQ$501,$BJ319)="","",INDEX(原始資料!AQ$2:AQ$501,$BJ319)))</f>
        <v/>
      </c>
      <c r="AP319" s="6">
        <f>IF(OR($BJ319="",41&gt;設定!$B$3),"",IF(INDEX(原始資料!AR$2:AR$501,$BJ319)="","",INDEX(原始資料!AR$2:AR$501,$BJ319)))</f>
        <v/>
      </c>
      <c r="AQ319" s="6">
        <f>IF(OR($BJ319="",42&gt;設定!$B$3),"",IF(INDEX(原始資料!AS$2:AS$501,$BJ319)="","",INDEX(原始資料!AS$2:AS$501,$BJ319)))</f>
        <v/>
      </c>
      <c r="AR319" s="6">
        <f>IF(OR($BJ319="",43&gt;設定!$B$3),"",IF(INDEX(原始資料!AT$2:AT$501,$BJ319)="","",INDEX(原始資料!AT$2:AT$501,$BJ319)))</f>
        <v/>
      </c>
      <c r="AS319" s="6">
        <f>IF(OR($BJ319="",44&gt;設定!$B$3),"",IF(INDEX(原始資料!AU$2:AU$501,$BJ319)="","",INDEX(原始資料!AU$2:AU$501,$BJ319)))</f>
        <v/>
      </c>
      <c r="AT319" s="6">
        <f>IF(OR($BJ319="",45&gt;設定!$B$3),"",IF(INDEX(原始資料!AV$2:AV$501,$BJ319)="","",INDEX(原始資料!AV$2:AV$501,$BJ319)))</f>
        <v/>
      </c>
      <c r="AU319" s="6">
        <f>IF(OR($BJ319="",46&gt;設定!$B$3),"",IF(INDEX(原始資料!AW$2:AW$501,$BJ319)="","",INDEX(原始資料!AW$2:AW$501,$BJ319)))</f>
        <v/>
      </c>
      <c r="AV319" s="6">
        <f>IF(OR($BJ319="",47&gt;設定!$B$3),"",IF(INDEX(原始資料!AX$2:AX$501,$BJ319)="","",INDEX(原始資料!AX$2:AX$501,$BJ319)))</f>
        <v/>
      </c>
      <c r="AW319" s="6">
        <f>IF(OR($BJ319="",48&gt;設定!$B$3),"",IF(INDEX(原始資料!AY$2:AY$501,$BJ319)="","",INDEX(原始資料!AY$2:AY$501,$BJ319)))</f>
        <v/>
      </c>
      <c r="AX319" s="6">
        <f>IF(OR($BJ319="",49&gt;設定!$B$3),"",IF(INDEX(原始資料!AZ$2:AZ$501,$BJ319)="","",INDEX(原始資料!AZ$2:AZ$501,$BJ319)))</f>
        <v/>
      </c>
      <c r="AY319" s="6">
        <f>IF(OR($BJ319="",50&gt;設定!$B$3),"",IF(INDEX(原始資料!BA$2:BA$501,$BJ319)="","",INDEX(原始資料!BA$2:BA$501,$BJ319)))</f>
        <v/>
      </c>
      <c r="AZ319" s="6">
        <f>IF(OR($BJ319="",51&gt;設定!$B$3),"",IF(INDEX(原始資料!BB$2:BB$501,$BJ319)="","",INDEX(原始資料!BB$2:BB$501,$BJ319)))</f>
        <v/>
      </c>
      <c r="BA319" s="6">
        <f>IF(OR($BJ319="",52&gt;設定!$B$3),"",IF(INDEX(原始資料!BC$2:BC$501,$BJ319)="","",INDEX(原始資料!BC$2:BC$501,$BJ319)))</f>
        <v/>
      </c>
      <c r="BB319" s="6">
        <f>IF(OR($BJ319="",53&gt;設定!$B$3),"",IF(INDEX(原始資料!BD$2:BD$501,$BJ319)="","",INDEX(原始資料!BD$2:BD$501,$BJ319)))</f>
        <v/>
      </c>
      <c r="BC319" s="6">
        <f>IF(OR($BJ319="",54&gt;設定!$B$3),"",IF(INDEX(原始資料!BE$2:BE$501,$BJ319)="","",INDEX(原始資料!BE$2:BE$501,$BJ319)))</f>
        <v/>
      </c>
      <c r="BD319" s="6">
        <f>IF(OR($BJ319="",55&gt;設定!$B$3),"",IF(INDEX(原始資料!BF$2:BF$501,$BJ319)="","",INDEX(原始資料!BF$2:BF$501,$BJ319)))</f>
        <v/>
      </c>
      <c r="BE319" s="6">
        <f>IF(OR($BJ319="",56&gt;設定!$B$3),"",IF(INDEX(原始資料!BG$2:BG$501,$BJ319)="","",INDEX(原始資料!BG$2:BG$501,$BJ319)))</f>
        <v/>
      </c>
      <c r="BF319" s="6">
        <f>IF(OR($BJ319="",57&gt;設定!$B$3),"",IF(INDEX(原始資料!BH$2:BH$501,$BJ319)="","",INDEX(原始資料!BH$2:BH$501,$BJ319)))</f>
        <v/>
      </c>
      <c r="BG319" s="6">
        <f>IF(OR($BJ319="",58&gt;設定!$B$3),"",IF(INDEX(原始資料!BI$2:BI$501,$BJ319)="","",INDEX(原始資料!BI$2:BI$501,$BJ319)))</f>
        <v/>
      </c>
      <c r="BH319" s="6">
        <f>IF(OR($BJ319="",59&gt;設定!$B$3),"",IF(INDEX(原始資料!BJ$2:BJ$501,$BJ319)="","",INDEX(原始資料!BJ$2:BJ$501,$BJ319)))</f>
        <v/>
      </c>
      <c r="BI319" s="6">
        <f>IF(OR($BJ319="",60&gt;設定!$B$3),"",IF(INDEX(原始資料!BK$2:BK$501,$BJ319)="","",INDEX(原始資料!BK$2:BK$501,$BJ319)))</f>
        <v/>
      </c>
      <c r="BJ319" s="6">
        <f>IFERROR(MATCH(ROW()-1,判定!$H$2:$H$501,0),"")</f>
        <v/>
      </c>
    </row>
    <row r="320">
      <c r="A320" s="6">
        <f>IF($BJ320="","",INDEX(原始資料!$A$2:$A$501,$BJ320))</f>
        <v/>
      </c>
      <c r="B320" s="6">
        <f>IF(OR($BJ320="",1&gt;設定!$B$3),"",IF(INDEX(原始資料!D$2:D$501,$BJ320)="","",INDEX(原始資料!D$2:D$501,$BJ320)))</f>
        <v/>
      </c>
      <c r="C320" s="6">
        <f>IF(OR($BJ320="",2&gt;設定!$B$3),"",IF(INDEX(原始資料!E$2:E$501,$BJ320)="","",INDEX(原始資料!E$2:E$501,$BJ320)))</f>
        <v/>
      </c>
      <c r="D320" s="6">
        <f>IF(OR($BJ320="",3&gt;設定!$B$3),"",IF(INDEX(原始資料!F$2:F$501,$BJ320)="","",INDEX(原始資料!F$2:F$501,$BJ320)))</f>
        <v/>
      </c>
      <c r="E320" s="6">
        <f>IF(OR($BJ320="",4&gt;設定!$B$3),"",IF(INDEX(原始資料!G$2:G$501,$BJ320)="","",INDEX(原始資料!G$2:G$501,$BJ320)))</f>
        <v/>
      </c>
      <c r="F320" s="6">
        <f>IF(OR($BJ320="",5&gt;設定!$B$3),"",IF(INDEX(原始資料!H$2:H$501,$BJ320)="","",INDEX(原始資料!H$2:H$501,$BJ320)))</f>
        <v/>
      </c>
      <c r="G320" s="6">
        <f>IF(OR($BJ320="",6&gt;設定!$B$3),"",IF(INDEX(原始資料!I$2:I$501,$BJ320)="","",INDEX(原始資料!I$2:I$501,$BJ320)))</f>
        <v/>
      </c>
      <c r="H320" s="6">
        <f>IF(OR($BJ320="",7&gt;設定!$B$3),"",IF(INDEX(原始資料!J$2:J$501,$BJ320)="","",INDEX(原始資料!J$2:J$501,$BJ320)))</f>
        <v/>
      </c>
      <c r="I320" s="6">
        <f>IF(OR($BJ320="",8&gt;設定!$B$3),"",IF(INDEX(原始資料!K$2:K$501,$BJ320)="","",INDEX(原始資料!K$2:K$501,$BJ320)))</f>
        <v/>
      </c>
      <c r="J320" s="6">
        <f>IF(OR($BJ320="",9&gt;設定!$B$3),"",IF(INDEX(原始資料!L$2:L$501,$BJ320)="","",INDEX(原始資料!L$2:L$501,$BJ320)))</f>
        <v/>
      </c>
      <c r="K320" s="6">
        <f>IF(OR($BJ320="",10&gt;設定!$B$3),"",IF(INDEX(原始資料!M$2:M$501,$BJ320)="","",INDEX(原始資料!M$2:M$501,$BJ320)))</f>
        <v/>
      </c>
      <c r="L320" s="6">
        <f>IF(OR($BJ320="",11&gt;設定!$B$3),"",IF(INDEX(原始資料!N$2:N$501,$BJ320)="","",INDEX(原始資料!N$2:N$501,$BJ320)))</f>
        <v/>
      </c>
      <c r="M320" s="6">
        <f>IF(OR($BJ320="",12&gt;設定!$B$3),"",IF(INDEX(原始資料!O$2:O$501,$BJ320)="","",INDEX(原始資料!O$2:O$501,$BJ320)))</f>
        <v/>
      </c>
      <c r="N320" s="6">
        <f>IF(OR($BJ320="",13&gt;設定!$B$3),"",IF(INDEX(原始資料!P$2:P$501,$BJ320)="","",INDEX(原始資料!P$2:P$501,$BJ320)))</f>
        <v/>
      </c>
      <c r="O320" s="6">
        <f>IF(OR($BJ320="",14&gt;設定!$B$3),"",IF(INDEX(原始資料!Q$2:Q$501,$BJ320)="","",INDEX(原始資料!Q$2:Q$501,$BJ320)))</f>
        <v/>
      </c>
      <c r="P320" s="6">
        <f>IF(OR($BJ320="",15&gt;設定!$B$3),"",IF(INDEX(原始資料!R$2:R$501,$BJ320)="","",INDEX(原始資料!R$2:R$501,$BJ320)))</f>
        <v/>
      </c>
      <c r="Q320" s="6">
        <f>IF(OR($BJ320="",16&gt;設定!$B$3),"",IF(INDEX(原始資料!S$2:S$501,$BJ320)="","",INDEX(原始資料!S$2:S$501,$BJ320)))</f>
        <v/>
      </c>
      <c r="R320" s="6">
        <f>IF(OR($BJ320="",17&gt;設定!$B$3),"",IF(INDEX(原始資料!T$2:T$501,$BJ320)="","",INDEX(原始資料!T$2:T$501,$BJ320)))</f>
        <v/>
      </c>
      <c r="S320" s="6">
        <f>IF(OR($BJ320="",18&gt;設定!$B$3),"",IF(INDEX(原始資料!U$2:U$501,$BJ320)="","",INDEX(原始資料!U$2:U$501,$BJ320)))</f>
        <v/>
      </c>
      <c r="T320" s="6">
        <f>IF(OR($BJ320="",19&gt;設定!$B$3),"",IF(INDEX(原始資料!V$2:V$501,$BJ320)="","",INDEX(原始資料!V$2:V$501,$BJ320)))</f>
        <v/>
      </c>
      <c r="U320" s="6">
        <f>IF(OR($BJ320="",20&gt;設定!$B$3),"",IF(INDEX(原始資料!W$2:W$501,$BJ320)="","",INDEX(原始資料!W$2:W$501,$BJ320)))</f>
        <v/>
      </c>
      <c r="V320" s="6">
        <f>IF(OR($BJ320="",21&gt;設定!$B$3),"",IF(INDEX(原始資料!X$2:X$501,$BJ320)="","",INDEX(原始資料!X$2:X$501,$BJ320)))</f>
        <v/>
      </c>
      <c r="W320" s="6">
        <f>IF(OR($BJ320="",22&gt;設定!$B$3),"",IF(INDEX(原始資料!Y$2:Y$501,$BJ320)="","",INDEX(原始資料!Y$2:Y$501,$BJ320)))</f>
        <v/>
      </c>
      <c r="X320" s="6">
        <f>IF(OR($BJ320="",23&gt;設定!$B$3),"",IF(INDEX(原始資料!Z$2:Z$501,$BJ320)="","",INDEX(原始資料!Z$2:Z$501,$BJ320)))</f>
        <v/>
      </c>
      <c r="Y320" s="6">
        <f>IF(OR($BJ320="",24&gt;設定!$B$3),"",IF(INDEX(原始資料!AA$2:AA$501,$BJ320)="","",INDEX(原始資料!AA$2:AA$501,$BJ320)))</f>
        <v/>
      </c>
      <c r="Z320" s="6">
        <f>IF(OR($BJ320="",25&gt;設定!$B$3),"",IF(INDEX(原始資料!AB$2:AB$501,$BJ320)="","",INDEX(原始資料!AB$2:AB$501,$BJ320)))</f>
        <v/>
      </c>
      <c r="AA320" s="6">
        <f>IF(OR($BJ320="",26&gt;設定!$B$3),"",IF(INDEX(原始資料!AC$2:AC$501,$BJ320)="","",INDEX(原始資料!AC$2:AC$501,$BJ320)))</f>
        <v/>
      </c>
      <c r="AB320" s="6">
        <f>IF(OR($BJ320="",27&gt;設定!$B$3),"",IF(INDEX(原始資料!AD$2:AD$501,$BJ320)="","",INDEX(原始資料!AD$2:AD$501,$BJ320)))</f>
        <v/>
      </c>
      <c r="AC320" s="6">
        <f>IF(OR($BJ320="",28&gt;設定!$B$3),"",IF(INDEX(原始資料!AE$2:AE$501,$BJ320)="","",INDEX(原始資料!AE$2:AE$501,$BJ320)))</f>
        <v/>
      </c>
      <c r="AD320" s="6">
        <f>IF(OR($BJ320="",29&gt;設定!$B$3),"",IF(INDEX(原始資料!AF$2:AF$501,$BJ320)="","",INDEX(原始資料!AF$2:AF$501,$BJ320)))</f>
        <v/>
      </c>
      <c r="AE320" s="6">
        <f>IF(OR($BJ320="",30&gt;設定!$B$3),"",IF(INDEX(原始資料!AG$2:AG$501,$BJ320)="","",INDEX(原始資料!AG$2:AG$501,$BJ320)))</f>
        <v/>
      </c>
      <c r="AF320" s="6">
        <f>IF(OR($BJ320="",31&gt;設定!$B$3),"",IF(INDEX(原始資料!AH$2:AH$501,$BJ320)="","",INDEX(原始資料!AH$2:AH$501,$BJ320)))</f>
        <v/>
      </c>
      <c r="AG320" s="6">
        <f>IF(OR($BJ320="",32&gt;設定!$B$3),"",IF(INDEX(原始資料!AI$2:AI$501,$BJ320)="","",INDEX(原始資料!AI$2:AI$501,$BJ320)))</f>
        <v/>
      </c>
      <c r="AH320" s="6">
        <f>IF(OR($BJ320="",33&gt;設定!$B$3),"",IF(INDEX(原始資料!AJ$2:AJ$501,$BJ320)="","",INDEX(原始資料!AJ$2:AJ$501,$BJ320)))</f>
        <v/>
      </c>
      <c r="AI320" s="6">
        <f>IF(OR($BJ320="",34&gt;設定!$B$3),"",IF(INDEX(原始資料!AK$2:AK$501,$BJ320)="","",INDEX(原始資料!AK$2:AK$501,$BJ320)))</f>
        <v/>
      </c>
      <c r="AJ320" s="6">
        <f>IF(OR($BJ320="",35&gt;設定!$B$3),"",IF(INDEX(原始資料!AL$2:AL$501,$BJ320)="","",INDEX(原始資料!AL$2:AL$501,$BJ320)))</f>
        <v/>
      </c>
      <c r="AK320" s="6">
        <f>IF(OR($BJ320="",36&gt;設定!$B$3),"",IF(INDEX(原始資料!AM$2:AM$501,$BJ320)="","",INDEX(原始資料!AM$2:AM$501,$BJ320)))</f>
        <v/>
      </c>
      <c r="AL320" s="6">
        <f>IF(OR($BJ320="",37&gt;設定!$B$3),"",IF(INDEX(原始資料!AN$2:AN$501,$BJ320)="","",INDEX(原始資料!AN$2:AN$501,$BJ320)))</f>
        <v/>
      </c>
      <c r="AM320" s="6">
        <f>IF(OR($BJ320="",38&gt;設定!$B$3),"",IF(INDEX(原始資料!AO$2:AO$501,$BJ320)="","",INDEX(原始資料!AO$2:AO$501,$BJ320)))</f>
        <v/>
      </c>
      <c r="AN320" s="6">
        <f>IF(OR($BJ320="",39&gt;設定!$B$3),"",IF(INDEX(原始資料!AP$2:AP$501,$BJ320)="","",INDEX(原始資料!AP$2:AP$501,$BJ320)))</f>
        <v/>
      </c>
      <c r="AO320" s="6">
        <f>IF(OR($BJ320="",40&gt;設定!$B$3),"",IF(INDEX(原始資料!AQ$2:AQ$501,$BJ320)="","",INDEX(原始資料!AQ$2:AQ$501,$BJ320)))</f>
        <v/>
      </c>
      <c r="AP320" s="6">
        <f>IF(OR($BJ320="",41&gt;設定!$B$3),"",IF(INDEX(原始資料!AR$2:AR$501,$BJ320)="","",INDEX(原始資料!AR$2:AR$501,$BJ320)))</f>
        <v/>
      </c>
      <c r="AQ320" s="6">
        <f>IF(OR($BJ320="",42&gt;設定!$B$3),"",IF(INDEX(原始資料!AS$2:AS$501,$BJ320)="","",INDEX(原始資料!AS$2:AS$501,$BJ320)))</f>
        <v/>
      </c>
      <c r="AR320" s="6">
        <f>IF(OR($BJ320="",43&gt;設定!$B$3),"",IF(INDEX(原始資料!AT$2:AT$501,$BJ320)="","",INDEX(原始資料!AT$2:AT$501,$BJ320)))</f>
        <v/>
      </c>
      <c r="AS320" s="6">
        <f>IF(OR($BJ320="",44&gt;設定!$B$3),"",IF(INDEX(原始資料!AU$2:AU$501,$BJ320)="","",INDEX(原始資料!AU$2:AU$501,$BJ320)))</f>
        <v/>
      </c>
      <c r="AT320" s="6">
        <f>IF(OR($BJ320="",45&gt;設定!$B$3),"",IF(INDEX(原始資料!AV$2:AV$501,$BJ320)="","",INDEX(原始資料!AV$2:AV$501,$BJ320)))</f>
        <v/>
      </c>
      <c r="AU320" s="6">
        <f>IF(OR($BJ320="",46&gt;設定!$B$3),"",IF(INDEX(原始資料!AW$2:AW$501,$BJ320)="","",INDEX(原始資料!AW$2:AW$501,$BJ320)))</f>
        <v/>
      </c>
      <c r="AV320" s="6">
        <f>IF(OR($BJ320="",47&gt;設定!$B$3),"",IF(INDEX(原始資料!AX$2:AX$501,$BJ320)="","",INDEX(原始資料!AX$2:AX$501,$BJ320)))</f>
        <v/>
      </c>
      <c r="AW320" s="6">
        <f>IF(OR($BJ320="",48&gt;設定!$B$3),"",IF(INDEX(原始資料!AY$2:AY$501,$BJ320)="","",INDEX(原始資料!AY$2:AY$501,$BJ320)))</f>
        <v/>
      </c>
      <c r="AX320" s="6">
        <f>IF(OR($BJ320="",49&gt;設定!$B$3),"",IF(INDEX(原始資料!AZ$2:AZ$501,$BJ320)="","",INDEX(原始資料!AZ$2:AZ$501,$BJ320)))</f>
        <v/>
      </c>
      <c r="AY320" s="6">
        <f>IF(OR($BJ320="",50&gt;設定!$B$3),"",IF(INDEX(原始資料!BA$2:BA$501,$BJ320)="","",INDEX(原始資料!BA$2:BA$501,$BJ320)))</f>
        <v/>
      </c>
      <c r="AZ320" s="6">
        <f>IF(OR($BJ320="",51&gt;設定!$B$3),"",IF(INDEX(原始資料!BB$2:BB$501,$BJ320)="","",INDEX(原始資料!BB$2:BB$501,$BJ320)))</f>
        <v/>
      </c>
      <c r="BA320" s="6">
        <f>IF(OR($BJ320="",52&gt;設定!$B$3),"",IF(INDEX(原始資料!BC$2:BC$501,$BJ320)="","",INDEX(原始資料!BC$2:BC$501,$BJ320)))</f>
        <v/>
      </c>
      <c r="BB320" s="6">
        <f>IF(OR($BJ320="",53&gt;設定!$B$3),"",IF(INDEX(原始資料!BD$2:BD$501,$BJ320)="","",INDEX(原始資料!BD$2:BD$501,$BJ320)))</f>
        <v/>
      </c>
      <c r="BC320" s="6">
        <f>IF(OR($BJ320="",54&gt;設定!$B$3),"",IF(INDEX(原始資料!BE$2:BE$501,$BJ320)="","",INDEX(原始資料!BE$2:BE$501,$BJ320)))</f>
        <v/>
      </c>
      <c r="BD320" s="6">
        <f>IF(OR($BJ320="",55&gt;設定!$B$3),"",IF(INDEX(原始資料!BF$2:BF$501,$BJ320)="","",INDEX(原始資料!BF$2:BF$501,$BJ320)))</f>
        <v/>
      </c>
      <c r="BE320" s="6">
        <f>IF(OR($BJ320="",56&gt;設定!$B$3),"",IF(INDEX(原始資料!BG$2:BG$501,$BJ320)="","",INDEX(原始資料!BG$2:BG$501,$BJ320)))</f>
        <v/>
      </c>
      <c r="BF320" s="6">
        <f>IF(OR($BJ320="",57&gt;設定!$B$3),"",IF(INDEX(原始資料!BH$2:BH$501,$BJ320)="","",INDEX(原始資料!BH$2:BH$501,$BJ320)))</f>
        <v/>
      </c>
      <c r="BG320" s="6">
        <f>IF(OR($BJ320="",58&gt;設定!$B$3),"",IF(INDEX(原始資料!BI$2:BI$501,$BJ320)="","",INDEX(原始資料!BI$2:BI$501,$BJ320)))</f>
        <v/>
      </c>
      <c r="BH320" s="6">
        <f>IF(OR($BJ320="",59&gt;設定!$B$3),"",IF(INDEX(原始資料!BJ$2:BJ$501,$BJ320)="","",INDEX(原始資料!BJ$2:BJ$501,$BJ320)))</f>
        <v/>
      </c>
      <c r="BI320" s="6">
        <f>IF(OR($BJ320="",60&gt;設定!$B$3),"",IF(INDEX(原始資料!BK$2:BK$501,$BJ320)="","",INDEX(原始資料!BK$2:BK$501,$BJ320)))</f>
        <v/>
      </c>
      <c r="BJ320" s="6">
        <f>IFERROR(MATCH(ROW()-1,判定!$H$2:$H$501,0),"")</f>
        <v/>
      </c>
    </row>
    <row r="321">
      <c r="A321" s="6">
        <f>IF($BJ321="","",INDEX(原始資料!$A$2:$A$501,$BJ321))</f>
        <v/>
      </c>
      <c r="B321" s="6">
        <f>IF(OR($BJ321="",1&gt;設定!$B$3),"",IF(INDEX(原始資料!D$2:D$501,$BJ321)="","",INDEX(原始資料!D$2:D$501,$BJ321)))</f>
        <v/>
      </c>
      <c r="C321" s="6">
        <f>IF(OR($BJ321="",2&gt;設定!$B$3),"",IF(INDEX(原始資料!E$2:E$501,$BJ321)="","",INDEX(原始資料!E$2:E$501,$BJ321)))</f>
        <v/>
      </c>
      <c r="D321" s="6">
        <f>IF(OR($BJ321="",3&gt;設定!$B$3),"",IF(INDEX(原始資料!F$2:F$501,$BJ321)="","",INDEX(原始資料!F$2:F$501,$BJ321)))</f>
        <v/>
      </c>
      <c r="E321" s="6">
        <f>IF(OR($BJ321="",4&gt;設定!$B$3),"",IF(INDEX(原始資料!G$2:G$501,$BJ321)="","",INDEX(原始資料!G$2:G$501,$BJ321)))</f>
        <v/>
      </c>
      <c r="F321" s="6">
        <f>IF(OR($BJ321="",5&gt;設定!$B$3),"",IF(INDEX(原始資料!H$2:H$501,$BJ321)="","",INDEX(原始資料!H$2:H$501,$BJ321)))</f>
        <v/>
      </c>
      <c r="G321" s="6">
        <f>IF(OR($BJ321="",6&gt;設定!$B$3),"",IF(INDEX(原始資料!I$2:I$501,$BJ321)="","",INDEX(原始資料!I$2:I$501,$BJ321)))</f>
        <v/>
      </c>
      <c r="H321" s="6">
        <f>IF(OR($BJ321="",7&gt;設定!$B$3),"",IF(INDEX(原始資料!J$2:J$501,$BJ321)="","",INDEX(原始資料!J$2:J$501,$BJ321)))</f>
        <v/>
      </c>
      <c r="I321" s="6">
        <f>IF(OR($BJ321="",8&gt;設定!$B$3),"",IF(INDEX(原始資料!K$2:K$501,$BJ321)="","",INDEX(原始資料!K$2:K$501,$BJ321)))</f>
        <v/>
      </c>
      <c r="J321" s="6">
        <f>IF(OR($BJ321="",9&gt;設定!$B$3),"",IF(INDEX(原始資料!L$2:L$501,$BJ321)="","",INDEX(原始資料!L$2:L$501,$BJ321)))</f>
        <v/>
      </c>
      <c r="K321" s="6">
        <f>IF(OR($BJ321="",10&gt;設定!$B$3),"",IF(INDEX(原始資料!M$2:M$501,$BJ321)="","",INDEX(原始資料!M$2:M$501,$BJ321)))</f>
        <v/>
      </c>
      <c r="L321" s="6">
        <f>IF(OR($BJ321="",11&gt;設定!$B$3),"",IF(INDEX(原始資料!N$2:N$501,$BJ321)="","",INDEX(原始資料!N$2:N$501,$BJ321)))</f>
        <v/>
      </c>
      <c r="M321" s="6">
        <f>IF(OR($BJ321="",12&gt;設定!$B$3),"",IF(INDEX(原始資料!O$2:O$501,$BJ321)="","",INDEX(原始資料!O$2:O$501,$BJ321)))</f>
        <v/>
      </c>
      <c r="N321" s="6">
        <f>IF(OR($BJ321="",13&gt;設定!$B$3),"",IF(INDEX(原始資料!P$2:P$501,$BJ321)="","",INDEX(原始資料!P$2:P$501,$BJ321)))</f>
        <v/>
      </c>
      <c r="O321" s="6">
        <f>IF(OR($BJ321="",14&gt;設定!$B$3),"",IF(INDEX(原始資料!Q$2:Q$501,$BJ321)="","",INDEX(原始資料!Q$2:Q$501,$BJ321)))</f>
        <v/>
      </c>
      <c r="P321" s="6">
        <f>IF(OR($BJ321="",15&gt;設定!$B$3),"",IF(INDEX(原始資料!R$2:R$501,$BJ321)="","",INDEX(原始資料!R$2:R$501,$BJ321)))</f>
        <v/>
      </c>
      <c r="Q321" s="6">
        <f>IF(OR($BJ321="",16&gt;設定!$B$3),"",IF(INDEX(原始資料!S$2:S$501,$BJ321)="","",INDEX(原始資料!S$2:S$501,$BJ321)))</f>
        <v/>
      </c>
      <c r="R321" s="6">
        <f>IF(OR($BJ321="",17&gt;設定!$B$3),"",IF(INDEX(原始資料!T$2:T$501,$BJ321)="","",INDEX(原始資料!T$2:T$501,$BJ321)))</f>
        <v/>
      </c>
      <c r="S321" s="6">
        <f>IF(OR($BJ321="",18&gt;設定!$B$3),"",IF(INDEX(原始資料!U$2:U$501,$BJ321)="","",INDEX(原始資料!U$2:U$501,$BJ321)))</f>
        <v/>
      </c>
      <c r="T321" s="6">
        <f>IF(OR($BJ321="",19&gt;設定!$B$3),"",IF(INDEX(原始資料!V$2:V$501,$BJ321)="","",INDEX(原始資料!V$2:V$501,$BJ321)))</f>
        <v/>
      </c>
      <c r="U321" s="6">
        <f>IF(OR($BJ321="",20&gt;設定!$B$3),"",IF(INDEX(原始資料!W$2:W$501,$BJ321)="","",INDEX(原始資料!W$2:W$501,$BJ321)))</f>
        <v/>
      </c>
      <c r="V321" s="6">
        <f>IF(OR($BJ321="",21&gt;設定!$B$3),"",IF(INDEX(原始資料!X$2:X$501,$BJ321)="","",INDEX(原始資料!X$2:X$501,$BJ321)))</f>
        <v/>
      </c>
      <c r="W321" s="6">
        <f>IF(OR($BJ321="",22&gt;設定!$B$3),"",IF(INDEX(原始資料!Y$2:Y$501,$BJ321)="","",INDEX(原始資料!Y$2:Y$501,$BJ321)))</f>
        <v/>
      </c>
      <c r="X321" s="6">
        <f>IF(OR($BJ321="",23&gt;設定!$B$3),"",IF(INDEX(原始資料!Z$2:Z$501,$BJ321)="","",INDEX(原始資料!Z$2:Z$501,$BJ321)))</f>
        <v/>
      </c>
      <c r="Y321" s="6">
        <f>IF(OR($BJ321="",24&gt;設定!$B$3),"",IF(INDEX(原始資料!AA$2:AA$501,$BJ321)="","",INDEX(原始資料!AA$2:AA$501,$BJ321)))</f>
        <v/>
      </c>
      <c r="Z321" s="6">
        <f>IF(OR($BJ321="",25&gt;設定!$B$3),"",IF(INDEX(原始資料!AB$2:AB$501,$BJ321)="","",INDEX(原始資料!AB$2:AB$501,$BJ321)))</f>
        <v/>
      </c>
      <c r="AA321" s="6">
        <f>IF(OR($BJ321="",26&gt;設定!$B$3),"",IF(INDEX(原始資料!AC$2:AC$501,$BJ321)="","",INDEX(原始資料!AC$2:AC$501,$BJ321)))</f>
        <v/>
      </c>
      <c r="AB321" s="6">
        <f>IF(OR($BJ321="",27&gt;設定!$B$3),"",IF(INDEX(原始資料!AD$2:AD$501,$BJ321)="","",INDEX(原始資料!AD$2:AD$501,$BJ321)))</f>
        <v/>
      </c>
      <c r="AC321" s="6">
        <f>IF(OR($BJ321="",28&gt;設定!$B$3),"",IF(INDEX(原始資料!AE$2:AE$501,$BJ321)="","",INDEX(原始資料!AE$2:AE$501,$BJ321)))</f>
        <v/>
      </c>
      <c r="AD321" s="6">
        <f>IF(OR($BJ321="",29&gt;設定!$B$3),"",IF(INDEX(原始資料!AF$2:AF$501,$BJ321)="","",INDEX(原始資料!AF$2:AF$501,$BJ321)))</f>
        <v/>
      </c>
      <c r="AE321" s="6">
        <f>IF(OR($BJ321="",30&gt;設定!$B$3),"",IF(INDEX(原始資料!AG$2:AG$501,$BJ321)="","",INDEX(原始資料!AG$2:AG$501,$BJ321)))</f>
        <v/>
      </c>
      <c r="AF321" s="6">
        <f>IF(OR($BJ321="",31&gt;設定!$B$3),"",IF(INDEX(原始資料!AH$2:AH$501,$BJ321)="","",INDEX(原始資料!AH$2:AH$501,$BJ321)))</f>
        <v/>
      </c>
      <c r="AG321" s="6">
        <f>IF(OR($BJ321="",32&gt;設定!$B$3),"",IF(INDEX(原始資料!AI$2:AI$501,$BJ321)="","",INDEX(原始資料!AI$2:AI$501,$BJ321)))</f>
        <v/>
      </c>
      <c r="AH321" s="6">
        <f>IF(OR($BJ321="",33&gt;設定!$B$3),"",IF(INDEX(原始資料!AJ$2:AJ$501,$BJ321)="","",INDEX(原始資料!AJ$2:AJ$501,$BJ321)))</f>
        <v/>
      </c>
      <c r="AI321" s="6">
        <f>IF(OR($BJ321="",34&gt;設定!$B$3),"",IF(INDEX(原始資料!AK$2:AK$501,$BJ321)="","",INDEX(原始資料!AK$2:AK$501,$BJ321)))</f>
        <v/>
      </c>
      <c r="AJ321" s="6">
        <f>IF(OR($BJ321="",35&gt;設定!$B$3),"",IF(INDEX(原始資料!AL$2:AL$501,$BJ321)="","",INDEX(原始資料!AL$2:AL$501,$BJ321)))</f>
        <v/>
      </c>
      <c r="AK321" s="6">
        <f>IF(OR($BJ321="",36&gt;設定!$B$3),"",IF(INDEX(原始資料!AM$2:AM$501,$BJ321)="","",INDEX(原始資料!AM$2:AM$501,$BJ321)))</f>
        <v/>
      </c>
      <c r="AL321" s="6">
        <f>IF(OR($BJ321="",37&gt;設定!$B$3),"",IF(INDEX(原始資料!AN$2:AN$501,$BJ321)="","",INDEX(原始資料!AN$2:AN$501,$BJ321)))</f>
        <v/>
      </c>
      <c r="AM321" s="6">
        <f>IF(OR($BJ321="",38&gt;設定!$B$3),"",IF(INDEX(原始資料!AO$2:AO$501,$BJ321)="","",INDEX(原始資料!AO$2:AO$501,$BJ321)))</f>
        <v/>
      </c>
      <c r="AN321" s="6">
        <f>IF(OR($BJ321="",39&gt;設定!$B$3),"",IF(INDEX(原始資料!AP$2:AP$501,$BJ321)="","",INDEX(原始資料!AP$2:AP$501,$BJ321)))</f>
        <v/>
      </c>
      <c r="AO321" s="6">
        <f>IF(OR($BJ321="",40&gt;設定!$B$3),"",IF(INDEX(原始資料!AQ$2:AQ$501,$BJ321)="","",INDEX(原始資料!AQ$2:AQ$501,$BJ321)))</f>
        <v/>
      </c>
      <c r="AP321" s="6">
        <f>IF(OR($BJ321="",41&gt;設定!$B$3),"",IF(INDEX(原始資料!AR$2:AR$501,$BJ321)="","",INDEX(原始資料!AR$2:AR$501,$BJ321)))</f>
        <v/>
      </c>
      <c r="AQ321" s="6">
        <f>IF(OR($BJ321="",42&gt;設定!$B$3),"",IF(INDEX(原始資料!AS$2:AS$501,$BJ321)="","",INDEX(原始資料!AS$2:AS$501,$BJ321)))</f>
        <v/>
      </c>
      <c r="AR321" s="6">
        <f>IF(OR($BJ321="",43&gt;設定!$B$3),"",IF(INDEX(原始資料!AT$2:AT$501,$BJ321)="","",INDEX(原始資料!AT$2:AT$501,$BJ321)))</f>
        <v/>
      </c>
      <c r="AS321" s="6">
        <f>IF(OR($BJ321="",44&gt;設定!$B$3),"",IF(INDEX(原始資料!AU$2:AU$501,$BJ321)="","",INDEX(原始資料!AU$2:AU$501,$BJ321)))</f>
        <v/>
      </c>
      <c r="AT321" s="6">
        <f>IF(OR($BJ321="",45&gt;設定!$B$3),"",IF(INDEX(原始資料!AV$2:AV$501,$BJ321)="","",INDEX(原始資料!AV$2:AV$501,$BJ321)))</f>
        <v/>
      </c>
      <c r="AU321" s="6">
        <f>IF(OR($BJ321="",46&gt;設定!$B$3),"",IF(INDEX(原始資料!AW$2:AW$501,$BJ321)="","",INDEX(原始資料!AW$2:AW$501,$BJ321)))</f>
        <v/>
      </c>
      <c r="AV321" s="6">
        <f>IF(OR($BJ321="",47&gt;設定!$B$3),"",IF(INDEX(原始資料!AX$2:AX$501,$BJ321)="","",INDEX(原始資料!AX$2:AX$501,$BJ321)))</f>
        <v/>
      </c>
      <c r="AW321" s="6">
        <f>IF(OR($BJ321="",48&gt;設定!$B$3),"",IF(INDEX(原始資料!AY$2:AY$501,$BJ321)="","",INDEX(原始資料!AY$2:AY$501,$BJ321)))</f>
        <v/>
      </c>
      <c r="AX321" s="6">
        <f>IF(OR($BJ321="",49&gt;設定!$B$3),"",IF(INDEX(原始資料!AZ$2:AZ$501,$BJ321)="","",INDEX(原始資料!AZ$2:AZ$501,$BJ321)))</f>
        <v/>
      </c>
      <c r="AY321" s="6">
        <f>IF(OR($BJ321="",50&gt;設定!$B$3),"",IF(INDEX(原始資料!BA$2:BA$501,$BJ321)="","",INDEX(原始資料!BA$2:BA$501,$BJ321)))</f>
        <v/>
      </c>
      <c r="AZ321" s="6">
        <f>IF(OR($BJ321="",51&gt;設定!$B$3),"",IF(INDEX(原始資料!BB$2:BB$501,$BJ321)="","",INDEX(原始資料!BB$2:BB$501,$BJ321)))</f>
        <v/>
      </c>
      <c r="BA321" s="6">
        <f>IF(OR($BJ321="",52&gt;設定!$B$3),"",IF(INDEX(原始資料!BC$2:BC$501,$BJ321)="","",INDEX(原始資料!BC$2:BC$501,$BJ321)))</f>
        <v/>
      </c>
      <c r="BB321" s="6">
        <f>IF(OR($BJ321="",53&gt;設定!$B$3),"",IF(INDEX(原始資料!BD$2:BD$501,$BJ321)="","",INDEX(原始資料!BD$2:BD$501,$BJ321)))</f>
        <v/>
      </c>
      <c r="BC321" s="6">
        <f>IF(OR($BJ321="",54&gt;設定!$B$3),"",IF(INDEX(原始資料!BE$2:BE$501,$BJ321)="","",INDEX(原始資料!BE$2:BE$501,$BJ321)))</f>
        <v/>
      </c>
      <c r="BD321" s="6">
        <f>IF(OR($BJ321="",55&gt;設定!$B$3),"",IF(INDEX(原始資料!BF$2:BF$501,$BJ321)="","",INDEX(原始資料!BF$2:BF$501,$BJ321)))</f>
        <v/>
      </c>
      <c r="BE321" s="6">
        <f>IF(OR($BJ321="",56&gt;設定!$B$3),"",IF(INDEX(原始資料!BG$2:BG$501,$BJ321)="","",INDEX(原始資料!BG$2:BG$501,$BJ321)))</f>
        <v/>
      </c>
      <c r="BF321" s="6">
        <f>IF(OR($BJ321="",57&gt;設定!$B$3),"",IF(INDEX(原始資料!BH$2:BH$501,$BJ321)="","",INDEX(原始資料!BH$2:BH$501,$BJ321)))</f>
        <v/>
      </c>
      <c r="BG321" s="6">
        <f>IF(OR($BJ321="",58&gt;設定!$B$3),"",IF(INDEX(原始資料!BI$2:BI$501,$BJ321)="","",INDEX(原始資料!BI$2:BI$501,$BJ321)))</f>
        <v/>
      </c>
      <c r="BH321" s="6">
        <f>IF(OR($BJ321="",59&gt;設定!$B$3),"",IF(INDEX(原始資料!BJ$2:BJ$501,$BJ321)="","",INDEX(原始資料!BJ$2:BJ$501,$BJ321)))</f>
        <v/>
      </c>
      <c r="BI321" s="6">
        <f>IF(OR($BJ321="",60&gt;設定!$B$3),"",IF(INDEX(原始資料!BK$2:BK$501,$BJ321)="","",INDEX(原始資料!BK$2:BK$501,$BJ321)))</f>
        <v/>
      </c>
      <c r="BJ321" s="6">
        <f>IFERROR(MATCH(ROW()-1,判定!$H$2:$H$501,0),"")</f>
        <v/>
      </c>
    </row>
    <row r="322">
      <c r="A322" s="6">
        <f>IF($BJ322="","",INDEX(原始資料!$A$2:$A$501,$BJ322))</f>
        <v/>
      </c>
      <c r="B322" s="6">
        <f>IF(OR($BJ322="",1&gt;設定!$B$3),"",IF(INDEX(原始資料!D$2:D$501,$BJ322)="","",INDEX(原始資料!D$2:D$501,$BJ322)))</f>
        <v/>
      </c>
      <c r="C322" s="6">
        <f>IF(OR($BJ322="",2&gt;設定!$B$3),"",IF(INDEX(原始資料!E$2:E$501,$BJ322)="","",INDEX(原始資料!E$2:E$501,$BJ322)))</f>
        <v/>
      </c>
      <c r="D322" s="6">
        <f>IF(OR($BJ322="",3&gt;設定!$B$3),"",IF(INDEX(原始資料!F$2:F$501,$BJ322)="","",INDEX(原始資料!F$2:F$501,$BJ322)))</f>
        <v/>
      </c>
      <c r="E322" s="6">
        <f>IF(OR($BJ322="",4&gt;設定!$B$3),"",IF(INDEX(原始資料!G$2:G$501,$BJ322)="","",INDEX(原始資料!G$2:G$501,$BJ322)))</f>
        <v/>
      </c>
      <c r="F322" s="6">
        <f>IF(OR($BJ322="",5&gt;設定!$B$3),"",IF(INDEX(原始資料!H$2:H$501,$BJ322)="","",INDEX(原始資料!H$2:H$501,$BJ322)))</f>
        <v/>
      </c>
      <c r="G322" s="6">
        <f>IF(OR($BJ322="",6&gt;設定!$B$3),"",IF(INDEX(原始資料!I$2:I$501,$BJ322)="","",INDEX(原始資料!I$2:I$501,$BJ322)))</f>
        <v/>
      </c>
      <c r="H322" s="6">
        <f>IF(OR($BJ322="",7&gt;設定!$B$3),"",IF(INDEX(原始資料!J$2:J$501,$BJ322)="","",INDEX(原始資料!J$2:J$501,$BJ322)))</f>
        <v/>
      </c>
      <c r="I322" s="6">
        <f>IF(OR($BJ322="",8&gt;設定!$B$3),"",IF(INDEX(原始資料!K$2:K$501,$BJ322)="","",INDEX(原始資料!K$2:K$501,$BJ322)))</f>
        <v/>
      </c>
      <c r="J322" s="6">
        <f>IF(OR($BJ322="",9&gt;設定!$B$3),"",IF(INDEX(原始資料!L$2:L$501,$BJ322)="","",INDEX(原始資料!L$2:L$501,$BJ322)))</f>
        <v/>
      </c>
      <c r="K322" s="6">
        <f>IF(OR($BJ322="",10&gt;設定!$B$3),"",IF(INDEX(原始資料!M$2:M$501,$BJ322)="","",INDEX(原始資料!M$2:M$501,$BJ322)))</f>
        <v/>
      </c>
      <c r="L322" s="6">
        <f>IF(OR($BJ322="",11&gt;設定!$B$3),"",IF(INDEX(原始資料!N$2:N$501,$BJ322)="","",INDEX(原始資料!N$2:N$501,$BJ322)))</f>
        <v/>
      </c>
      <c r="M322" s="6">
        <f>IF(OR($BJ322="",12&gt;設定!$B$3),"",IF(INDEX(原始資料!O$2:O$501,$BJ322)="","",INDEX(原始資料!O$2:O$501,$BJ322)))</f>
        <v/>
      </c>
      <c r="N322" s="6">
        <f>IF(OR($BJ322="",13&gt;設定!$B$3),"",IF(INDEX(原始資料!P$2:P$501,$BJ322)="","",INDEX(原始資料!P$2:P$501,$BJ322)))</f>
        <v/>
      </c>
      <c r="O322" s="6">
        <f>IF(OR($BJ322="",14&gt;設定!$B$3),"",IF(INDEX(原始資料!Q$2:Q$501,$BJ322)="","",INDEX(原始資料!Q$2:Q$501,$BJ322)))</f>
        <v/>
      </c>
      <c r="P322" s="6">
        <f>IF(OR($BJ322="",15&gt;設定!$B$3),"",IF(INDEX(原始資料!R$2:R$501,$BJ322)="","",INDEX(原始資料!R$2:R$501,$BJ322)))</f>
        <v/>
      </c>
      <c r="Q322" s="6">
        <f>IF(OR($BJ322="",16&gt;設定!$B$3),"",IF(INDEX(原始資料!S$2:S$501,$BJ322)="","",INDEX(原始資料!S$2:S$501,$BJ322)))</f>
        <v/>
      </c>
      <c r="R322" s="6">
        <f>IF(OR($BJ322="",17&gt;設定!$B$3),"",IF(INDEX(原始資料!T$2:T$501,$BJ322)="","",INDEX(原始資料!T$2:T$501,$BJ322)))</f>
        <v/>
      </c>
      <c r="S322" s="6">
        <f>IF(OR($BJ322="",18&gt;設定!$B$3),"",IF(INDEX(原始資料!U$2:U$501,$BJ322)="","",INDEX(原始資料!U$2:U$501,$BJ322)))</f>
        <v/>
      </c>
      <c r="T322" s="6">
        <f>IF(OR($BJ322="",19&gt;設定!$B$3),"",IF(INDEX(原始資料!V$2:V$501,$BJ322)="","",INDEX(原始資料!V$2:V$501,$BJ322)))</f>
        <v/>
      </c>
      <c r="U322" s="6">
        <f>IF(OR($BJ322="",20&gt;設定!$B$3),"",IF(INDEX(原始資料!W$2:W$501,$BJ322)="","",INDEX(原始資料!W$2:W$501,$BJ322)))</f>
        <v/>
      </c>
      <c r="V322" s="6">
        <f>IF(OR($BJ322="",21&gt;設定!$B$3),"",IF(INDEX(原始資料!X$2:X$501,$BJ322)="","",INDEX(原始資料!X$2:X$501,$BJ322)))</f>
        <v/>
      </c>
      <c r="W322" s="6">
        <f>IF(OR($BJ322="",22&gt;設定!$B$3),"",IF(INDEX(原始資料!Y$2:Y$501,$BJ322)="","",INDEX(原始資料!Y$2:Y$501,$BJ322)))</f>
        <v/>
      </c>
      <c r="X322" s="6">
        <f>IF(OR($BJ322="",23&gt;設定!$B$3),"",IF(INDEX(原始資料!Z$2:Z$501,$BJ322)="","",INDEX(原始資料!Z$2:Z$501,$BJ322)))</f>
        <v/>
      </c>
      <c r="Y322" s="6">
        <f>IF(OR($BJ322="",24&gt;設定!$B$3),"",IF(INDEX(原始資料!AA$2:AA$501,$BJ322)="","",INDEX(原始資料!AA$2:AA$501,$BJ322)))</f>
        <v/>
      </c>
      <c r="Z322" s="6">
        <f>IF(OR($BJ322="",25&gt;設定!$B$3),"",IF(INDEX(原始資料!AB$2:AB$501,$BJ322)="","",INDEX(原始資料!AB$2:AB$501,$BJ322)))</f>
        <v/>
      </c>
      <c r="AA322" s="6">
        <f>IF(OR($BJ322="",26&gt;設定!$B$3),"",IF(INDEX(原始資料!AC$2:AC$501,$BJ322)="","",INDEX(原始資料!AC$2:AC$501,$BJ322)))</f>
        <v/>
      </c>
      <c r="AB322" s="6">
        <f>IF(OR($BJ322="",27&gt;設定!$B$3),"",IF(INDEX(原始資料!AD$2:AD$501,$BJ322)="","",INDEX(原始資料!AD$2:AD$501,$BJ322)))</f>
        <v/>
      </c>
      <c r="AC322" s="6">
        <f>IF(OR($BJ322="",28&gt;設定!$B$3),"",IF(INDEX(原始資料!AE$2:AE$501,$BJ322)="","",INDEX(原始資料!AE$2:AE$501,$BJ322)))</f>
        <v/>
      </c>
      <c r="AD322" s="6">
        <f>IF(OR($BJ322="",29&gt;設定!$B$3),"",IF(INDEX(原始資料!AF$2:AF$501,$BJ322)="","",INDEX(原始資料!AF$2:AF$501,$BJ322)))</f>
        <v/>
      </c>
      <c r="AE322" s="6">
        <f>IF(OR($BJ322="",30&gt;設定!$B$3),"",IF(INDEX(原始資料!AG$2:AG$501,$BJ322)="","",INDEX(原始資料!AG$2:AG$501,$BJ322)))</f>
        <v/>
      </c>
      <c r="AF322" s="6">
        <f>IF(OR($BJ322="",31&gt;設定!$B$3),"",IF(INDEX(原始資料!AH$2:AH$501,$BJ322)="","",INDEX(原始資料!AH$2:AH$501,$BJ322)))</f>
        <v/>
      </c>
      <c r="AG322" s="6">
        <f>IF(OR($BJ322="",32&gt;設定!$B$3),"",IF(INDEX(原始資料!AI$2:AI$501,$BJ322)="","",INDEX(原始資料!AI$2:AI$501,$BJ322)))</f>
        <v/>
      </c>
      <c r="AH322" s="6">
        <f>IF(OR($BJ322="",33&gt;設定!$B$3),"",IF(INDEX(原始資料!AJ$2:AJ$501,$BJ322)="","",INDEX(原始資料!AJ$2:AJ$501,$BJ322)))</f>
        <v/>
      </c>
      <c r="AI322" s="6">
        <f>IF(OR($BJ322="",34&gt;設定!$B$3),"",IF(INDEX(原始資料!AK$2:AK$501,$BJ322)="","",INDEX(原始資料!AK$2:AK$501,$BJ322)))</f>
        <v/>
      </c>
      <c r="AJ322" s="6">
        <f>IF(OR($BJ322="",35&gt;設定!$B$3),"",IF(INDEX(原始資料!AL$2:AL$501,$BJ322)="","",INDEX(原始資料!AL$2:AL$501,$BJ322)))</f>
        <v/>
      </c>
      <c r="AK322" s="6">
        <f>IF(OR($BJ322="",36&gt;設定!$B$3),"",IF(INDEX(原始資料!AM$2:AM$501,$BJ322)="","",INDEX(原始資料!AM$2:AM$501,$BJ322)))</f>
        <v/>
      </c>
      <c r="AL322" s="6">
        <f>IF(OR($BJ322="",37&gt;設定!$B$3),"",IF(INDEX(原始資料!AN$2:AN$501,$BJ322)="","",INDEX(原始資料!AN$2:AN$501,$BJ322)))</f>
        <v/>
      </c>
      <c r="AM322" s="6">
        <f>IF(OR($BJ322="",38&gt;設定!$B$3),"",IF(INDEX(原始資料!AO$2:AO$501,$BJ322)="","",INDEX(原始資料!AO$2:AO$501,$BJ322)))</f>
        <v/>
      </c>
      <c r="AN322" s="6">
        <f>IF(OR($BJ322="",39&gt;設定!$B$3),"",IF(INDEX(原始資料!AP$2:AP$501,$BJ322)="","",INDEX(原始資料!AP$2:AP$501,$BJ322)))</f>
        <v/>
      </c>
      <c r="AO322" s="6">
        <f>IF(OR($BJ322="",40&gt;設定!$B$3),"",IF(INDEX(原始資料!AQ$2:AQ$501,$BJ322)="","",INDEX(原始資料!AQ$2:AQ$501,$BJ322)))</f>
        <v/>
      </c>
      <c r="AP322" s="6">
        <f>IF(OR($BJ322="",41&gt;設定!$B$3),"",IF(INDEX(原始資料!AR$2:AR$501,$BJ322)="","",INDEX(原始資料!AR$2:AR$501,$BJ322)))</f>
        <v/>
      </c>
      <c r="AQ322" s="6">
        <f>IF(OR($BJ322="",42&gt;設定!$B$3),"",IF(INDEX(原始資料!AS$2:AS$501,$BJ322)="","",INDEX(原始資料!AS$2:AS$501,$BJ322)))</f>
        <v/>
      </c>
      <c r="AR322" s="6">
        <f>IF(OR($BJ322="",43&gt;設定!$B$3),"",IF(INDEX(原始資料!AT$2:AT$501,$BJ322)="","",INDEX(原始資料!AT$2:AT$501,$BJ322)))</f>
        <v/>
      </c>
      <c r="AS322" s="6">
        <f>IF(OR($BJ322="",44&gt;設定!$B$3),"",IF(INDEX(原始資料!AU$2:AU$501,$BJ322)="","",INDEX(原始資料!AU$2:AU$501,$BJ322)))</f>
        <v/>
      </c>
      <c r="AT322" s="6">
        <f>IF(OR($BJ322="",45&gt;設定!$B$3),"",IF(INDEX(原始資料!AV$2:AV$501,$BJ322)="","",INDEX(原始資料!AV$2:AV$501,$BJ322)))</f>
        <v/>
      </c>
      <c r="AU322" s="6">
        <f>IF(OR($BJ322="",46&gt;設定!$B$3),"",IF(INDEX(原始資料!AW$2:AW$501,$BJ322)="","",INDEX(原始資料!AW$2:AW$501,$BJ322)))</f>
        <v/>
      </c>
      <c r="AV322" s="6">
        <f>IF(OR($BJ322="",47&gt;設定!$B$3),"",IF(INDEX(原始資料!AX$2:AX$501,$BJ322)="","",INDEX(原始資料!AX$2:AX$501,$BJ322)))</f>
        <v/>
      </c>
      <c r="AW322" s="6">
        <f>IF(OR($BJ322="",48&gt;設定!$B$3),"",IF(INDEX(原始資料!AY$2:AY$501,$BJ322)="","",INDEX(原始資料!AY$2:AY$501,$BJ322)))</f>
        <v/>
      </c>
      <c r="AX322" s="6">
        <f>IF(OR($BJ322="",49&gt;設定!$B$3),"",IF(INDEX(原始資料!AZ$2:AZ$501,$BJ322)="","",INDEX(原始資料!AZ$2:AZ$501,$BJ322)))</f>
        <v/>
      </c>
      <c r="AY322" s="6">
        <f>IF(OR($BJ322="",50&gt;設定!$B$3),"",IF(INDEX(原始資料!BA$2:BA$501,$BJ322)="","",INDEX(原始資料!BA$2:BA$501,$BJ322)))</f>
        <v/>
      </c>
      <c r="AZ322" s="6">
        <f>IF(OR($BJ322="",51&gt;設定!$B$3),"",IF(INDEX(原始資料!BB$2:BB$501,$BJ322)="","",INDEX(原始資料!BB$2:BB$501,$BJ322)))</f>
        <v/>
      </c>
      <c r="BA322" s="6">
        <f>IF(OR($BJ322="",52&gt;設定!$B$3),"",IF(INDEX(原始資料!BC$2:BC$501,$BJ322)="","",INDEX(原始資料!BC$2:BC$501,$BJ322)))</f>
        <v/>
      </c>
      <c r="BB322" s="6">
        <f>IF(OR($BJ322="",53&gt;設定!$B$3),"",IF(INDEX(原始資料!BD$2:BD$501,$BJ322)="","",INDEX(原始資料!BD$2:BD$501,$BJ322)))</f>
        <v/>
      </c>
      <c r="BC322" s="6">
        <f>IF(OR($BJ322="",54&gt;設定!$B$3),"",IF(INDEX(原始資料!BE$2:BE$501,$BJ322)="","",INDEX(原始資料!BE$2:BE$501,$BJ322)))</f>
        <v/>
      </c>
      <c r="BD322" s="6">
        <f>IF(OR($BJ322="",55&gt;設定!$B$3),"",IF(INDEX(原始資料!BF$2:BF$501,$BJ322)="","",INDEX(原始資料!BF$2:BF$501,$BJ322)))</f>
        <v/>
      </c>
      <c r="BE322" s="6">
        <f>IF(OR($BJ322="",56&gt;設定!$B$3),"",IF(INDEX(原始資料!BG$2:BG$501,$BJ322)="","",INDEX(原始資料!BG$2:BG$501,$BJ322)))</f>
        <v/>
      </c>
      <c r="BF322" s="6">
        <f>IF(OR($BJ322="",57&gt;設定!$B$3),"",IF(INDEX(原始資料!BH$2:BH$501,$BJ322)="","",INDEX(原始資料!BH$2:BH$501,$BJ322)))</f>
        <v/>
      </c>
      <c r="BG322" s="6">
        <f>IF(OR($BJ322="",58&gt;設定!$B$3),"",IF(INDEX(原始資料!BI$2:BI$501,$BJ322)="","",INDEX(原始資料!BI$2:BI$501,$BJ322)))</f>
        <v/>
      </c>
      <c r="BH322" s="6">
        <f>IF(OR($BJ322="",59&gt;設定!$B$3),"",IF(INDEX(原始資料!BJ$2:BJ$501,$BJ322)="","",INDEX(原始資料!BJ$2:BJ$501,$BJ322)))</f>
        <v/>
      </c>
      <c r="BI322" s="6">
        <f>IF(OR($BJ322="",60&gt;設定!$B$3),"",IF(INDEX(原始資料!BK$2:BK$501,$BJ322)="","",INDEX(原始資料!BK$2:BK$501,$BJ322)))</f>
        <v/>
      </c>
      <c r="BJ322" s="6">
        <f>IFERROR(MATCH(ROW()-1,判定!$H$2:$H$501,0),"")</f>
        <v/>
      </c>
    </row>
    <row r="323">
      <c r="A323" s="6">
        <f>IF($BJ323="","",INDEX(原始資料!$A$2:$A$501,$BJ323))</f>
        <v/>
      </c>
      <c r="B323" s="6">
        <f>IF(OR($BJ323="",1&gt;設定!$B$3),"",IF(INDEX(原始資料!D$2:D$501,$BJ323)="","",INDEX(原始資料!D$2:D$501,$BJ323)))</f>
        <v/>
      </c>
      <c r="C323" s="6">
        <f>IF(OR($BJ323="",2&gt;設定!$B$3),"",IF(INDEX(原始資料!E$2:E$501,$BJ323)="","",INDEX(原始資料!E$2:E$501,$BJ323)))</f>
        <v/>
      </c>
      <c r="D323" s="6">
        <f>IF(OR($BJ323="",3&gt;設定!$B$3),"",IF(INDEX(原始資料!F$2:F$501,$BJ323)="","",INDEX(原始資料!F$2:F$501,$BJ323)))</f>
        <v/>
      </c>
      <c r="E323" s="6">
        <f>IF(OR($BJ323="",4&gt;設定!$B$3),"",IF(INDEX(原始資料!G$2:G$501,$BJ323)="","",INDEX(原始資料!G$2:G$501,$BJ323)))</f>
        <v/>
      </c>
      <c r="F323" s="6">
        <f>IF(OR($BJ323="",5&gt;設定!$B$3),"",IF(INDEX(原始資料!H$2:H$501,$BJ323)="","",INDEX(原始資料!H$2:H$501,$BJ323)))</f>
        <v/>
      </c>
      <c r="G323" s="6">
        <f>IF(OR($BJ323="",6&gt;設定!$B$3),"",IF(INDEX(原始資料!I$2:I$501,$BJ323)="","",INDEX(原始資料!I$2:I$501,$BJ323)))</f>
        <v/>
      </c>
      <c r="H323" s="6">
        <f>IF(OR($BJ323="",7&gt;設定!$B$3),"",IF(INDEX(原始資料!J$2:J$501,$BJ323)="","",INDEX(原始資料!J$2:J$501,$BJ323)))</f>
        <v/>
      </c>
      <c r="I323" s="6">
        <f>IF(OR($BJ323="",8&gt;設定!$B$3),"",IF(INDEX(原始資料!K$2:K$501,$BJ323)="","",INDEX(原始資料!K$2:K$501,$BJ323)))</f>
        <v/>
      </c>
      <c r="J323" s="6">
        <f>IF(OR($BJ323="",9&gt;設定!$B$3),"",IF(INDEX(原始資料!L$2:L$501,$BJ323)="","",INDEX(原始資料!L$2:L$501,$BJ323)))</f>
        <v/>
      </c>
      <c r="K323" s="6">
        <f>IF(OR($BJ323="",10&gt;設定!$B$3),"",IF(INDEX(原始資料!M$2:M$501,$BJ323)="","",INDEX(原始資料!M$2:M$501,$BJ323)))</f>
        <v/>
      </c>
      <c r="L323" s="6">
        <f>IF(OR($BJ323="",11&gt;設定!$B$3),"",IF(INDEX(原始資料!N$2:N$501,$BJ323)="","",INDEX(原始資料!N$2:N$501,$BJ323)))</f>
        <v/>
      </c>
      <c r="M323" s="6">
        <f>IF(OR($BJ323="",12&gt;設定!$B$3),"",IF(INDEX(原始資料!O$2:O$501,$BJ323)="","",INDEX(原始資料!O$2:O$501,$BJ323)))</f>
        <v/>
      </c>
      <c r="N323" s="6">
        <f>IF(OR($BJ323="",13&gt;設定!$B$3),"",IF(INDEX(原始資料!P$2:P$501,$BJ323)="","",INDEX(原始資料!P$2:P$501,$BJ323)))</f>
        <v/>
      </c>
      <c r="O323" s="6">
        <f>IF(OR($BJ323="",14&gt;設定!$B$3),"",IF(INDEX(原始資料!Q$2:Q$501,$BJ323)="","",INDEX(原始資料!Q$2:Q$501,$BJ323)))</f>
        <v/>
      </c>
      <c r="P323" s="6">
        <f>IF(OR($BJ323="",15&gt;設定!$B$3),"",IF(INDEX(原始資料!R$2:R$501,$BJ323)="","",INDEX(原始資料!R$2:R$501,$BJ323)))</f>
        <v/>
      </c>
      <c r="Q323" s="6">
        <f>IF(OR($BJ323="",16&gt;設定!$B$3),"",IF(INDEX(原始資料!S$2:S$501,$BJ323)="","",INDEX(原始資料!S$2:S$501,$BJ323)))</f>
        <v/>
      </c>
      <c r="R323" s="6">
        <f>IF(OR($BJ323="",17&gt;設定!$B$3),"",IF(INDEX(原始資料!T$2:T$501,$BJ323)="","",INDEX(原始資料!T$2:T$501,$BJ323)))</f>
        <v/>
      </c>
      <c r="S323" s="6">
        <f>IF(OR($BJ323="",18&gt;設定!$B$3),"",IF(INDEX(原始資料!U$2:U$501,$BJ323)="","",INDEX(原始資料!U$2:U$501,$BJ323)))</f>
        <v/>
      </c>
      <c r="T323" s="6">
        <f>IF(OR($BJ323="",19&gt;設定!$B$3),"",IF(INDEX(原始資料!V$2:V$501,$BJ323)="","",INDEX(原始資料!V$2:V$501,$BJ323)))</f>
        <v/>
      </c>
      <c r="U323" s="6">
        <f>IF(OR($BJ323="",20&gt;設定!$B$3),"",IF(INDEX(原始資料!W$2:W$501,$BJ323)="","",INDEX(原始資料!W$2:W$501,$BJ323)))</f>
        <v/>
      </c>
      <c r="V323" s="6">
        <f>IF(OR($BJ323="",21&gt;設定!$B$3),"",IF(INDEX(原始資料!X$2:X$501,$BJ323)="","",INDEX(原始資料!X$2:X$501,$BJ323)))</f>
        <v/>
      </c>
      <c r="W323" s="6">
        <f>IF(OR($BJ323="",22&gt;設定!$B$3),"",IF(INDEX(原始資料!Y$2:Y$501,$BJ323)="","",INDEX(原始資料!Y$2:Y$501,$BJ323)))</f>
        <v/>
      </c>
      <c r="X323" s="6">
        <f>IF(OR($BJ323="",23&gt;設定!$B$3),"",IF(INDEX(原始資料!Z$2:Z$501,$BJ323)="","",INDEX(原始資料!Z$2:Z$501,$BJ323)))</f>
        <v/>
      </c>
      <c r="Y323" s="6">
        <f>IF(OR($BJ323="",24&gt;設定!$B$3),"",IF(INDEX(原始資料!AA$2:AA$501,$BJ323)="","",INDEX(原始資料!AA$2:AA$501,$BJ323)))</f>
        <v/>
      </c>
      <c r="Z323" s="6">
        <f>IF(OR($BJ323="",25&gt;設定!$B$3),"",IF(INDEX(原始資料!AB$2:AB$501,$BJ323)="","",INDEX(原始資料!AB$2:AB$501,$BJ323)))</f>
        <v/>
      </c>
      <c r="AA323" s="6">
        <f>IF(OR($BJ323="",26&gt;設定!$B$3),"",IF(INDEX(原始資料!AC$2:AC$501,$BJ323)="","",INDEX(原始資料!AC$2:AC$501,$BJ323)))</f>
        <v/>
      </c>
      <c r="AB323" s="6">
        <f>IF(OR($BJ323="",27&gt;設定!$B$3),"",IF(INDEX(原始資料!AD$2:AD$501,$BJ323)="","",INDEX(原始資料!AD$2:AD$501,$BJ323)))</f>
        <v/>
      </c>
      <c r="AC323" s="6">
        <f>IF(OR($BJ323="",28&gt;設定!$B$3),"",IF(INDEX(原始資料!AE$2:AE$501,$BJ323)="","",INDEX(原始資料!AE$2:AE$501,$BJ323)))</f>
        <v/>
      </c>
      <c r="AD323" s="6">
        <f>IF(OR($BJ323="",29&gt;設定!$B$3),"",IF(INDEX(原始資料!AF$2:AF$501,$BJ323)="","",INDEX(原始資料!AF$2:AF$501,$BJ323)))</f>
        <v/>
      </c>
      <c r="AE323" s="6">
        <f>IF(OR($BJ323="",30&gt;設定!$B$3),"",IF(INDEX(原始資料!AG$2:AG$501,$BJ323)="","",INDEX(原始資料!AG$2:AG$501,$BJ323)))</f>
        <v/>
      </c>
      <c r="AF323" s="6">
        <f>IF(OR($BJ323="",31&gt;設定!$B$3),"",IF(INDEX(原始資料!AH$2:AH$501,$BJ323)="","",INDEX(原始資料!AH$2:AH$501,$BJ323)))</f>
        <v/>
      </c>
      <c r="AG323" s="6">
        <f>IF(OR($BJ323="",32&gt;設定!$B$3),"",IF(INDEX(原始資料!AI$2:AI$501,$BJ323)="","",INDEX(原始資料!AI$2:AI$501,$BJ323)))</f>
        <v/>
      </c>
      <c r="AH323" s="6">
        <f>IF(OR($BJ323="",33&gt;設定!$B$3),"",IF(INDEX(原始資料!AJ$2:AJ$501,$BJ323)="","",INDEX(原始資料!AJ$2:AJ$501,$BJ323)))</f>
        <v/>
      </c>
      <c r="AI323" s="6">
        <f>IF(OR($BJ323="",34&gt;設定!$B$3),"",IF(INDEX(原始資料!AK$2:AK$501,$BJ323)="","",INDEX(原始資料!AK$2:AK$501,$BJ323)))</f>
        <v/>
      </c>
      <c r="AJ323" s="6">
        <f>IF(OR($BJ323="",35&gt;設定!$B$3),"",IF(INDEX(原始資料!AL$2:AL$501,$BJ323)="","",INDEX(原始資料!AL$2:AL$501,$BJ323)))</f>
        <v/>
      </c>
      <c r="AK323" s="6">
        <f>IF(OR($BJ323="",36&gt;設定!$B$3),"",IF(INDEX(原始資料!AM$2:AM$501,$BJ323)="","",INDEX(原始資料!AM$2:AM$501,$BJ323)))</f>
        <v/>
      </c>
      <c r="AL323" s="6">
        <f>IF(OR($BJ323="",37&gt;設定!$B$3),"",IF(INDEX(原始資料!AN$2:AN$501,$BJ323)="","",INDEX(原始資料!AN$2:AN$501,$BJ323)))</f>
        <v/>
      </c>
      <c r="AM323" s="6">
        <f>IF(OR($BJ323="",38&gt;設定!$B$3),"",IF(INDEX(原始資料!AO$2:AO$501,$BJ323)="","",INDEX(原始資料!AO$2:AO$501,$BJ323)))</f>
        <v/>
      </c>
      <c r="AN323" s="6">
        <f>IF(OR($BJ323="",39&gt;設定!$B$3),"",IF(INDEX(原始資料!AP$2:AP$501,$BJ323)="","",INDEX(原始資料!AP$2:AP$501,$BJ323)))</f>
        <v/>
      </c>
      <c r="AO323" s="6">
        <f>IF(OR($BJ323="",40&gt;設定!$B$3),"",IF(INDEX(原始資料!AQ$2:AQ$501,$BJ323)="","",INDEX(原始資料!AQ$2:AQ$501,$BJ323)))</f>
        <v/>
      </c>
      <c r="AP323" s="6">
        <f>IF(OR($BJ323="",41&gt;設定!$B$3),"",IF(INDEX(原始資料!AR$2:AR$501,$BJ323)="","",INDEX(原始資料!AR$2:AR$501,$BJ323)))</f>
        <v/>
      </c>
      <c r="AQ323" s="6">
        <f>IF(OR($BJ323="",42&gt;設定!$B$3),"",IF(INDEX(原始資料!AS$2:AS$501,$BJ323)="","",INDEX(原始資料!AS$2:AS$501,$BJ323)))</f>
        <v/>
      </c>
      <c r="AR323" s="6">
        <f>IF(OR($BJ323="",43&gt;設定!$B$3),"",IF(INDEX(原始資料!AT$2:AT$501,$BJ323)="","",INDEX(原始資料!AT$2:AT$501,$BJ323)))</f>
        <v/>
      </c>
      <c r="AS323" s="6">
        <f>IF(OR($BJ323="",44&gt;設定!$B$3),"",IF(INDEX(原始資料!AU$2:AU$501,$BJ323)="","",INDEX(原始資料!AU$2:AU$501,$BJ323)))</f>
        <v/>
      </c>
      <c r="AT323" s="6">
        <f>IF(OR($BJ323="",45&gt;設定!$B$3),"",IF(INDEX(原始資料!AV$2:AV$501,$BJ323)="","",INDEX(原始資料!AV$2:AV$501,$BJ323)))</f>
        <v/>
      </c>
      <c r="AU323" s="6">
        <f>IF(OR($BJ323="",46&gt;設定!$B$3),"",IF(INDEX(原始資料!AW$2:AW$501,$BJ323)="","",INDEX(原始資料!AW$2:AW$501,$BJ323)))</f>
        <v/>
      </c>
      <c r="AV323" s="6">
        <f>IF(OR($BJ323="",47&gt;設定!$B$3),"",IF(INDEX(原始資料!AX$2:AX$501,$BJ323)="","",INDEX(原始資料!AX$2:AX$501,$BJ323)))</f>
        <v/>
      </c>
      <c r="AW323" s="6">
        <f>IF(OR($BJ323="",48&gt;設定!$B$3),"",IF(INDEX(原始資料!AY$2:AY$501,$BJ323)="","",INDEX(原始資料!AY$2:AY$501,$BJ323)))</f>
        <v/>
      </c>
      <c r="AX323" s="6">
        <f>IF(OR($BJ323="",49&gt;設定!$B$3),"",IF(INDEX(原始資料!AZ$2:AZ$501,$BJ323)="","",INDEX(原始資料!AZ$2:AZ$501,$BJ323)))</f>
        <v/>
      </c>
      <c r="AY323" s="6">
        <f>IF(OR($BJ323="",50&gt;設定!$B$3),"",IF(INDEX(原始資料!BA$2:BA$501,$BJ323)="","",INDEX(原始資料!BA$2:BA$501,$BJ323)))</f>
        <v/>
      </c>
      <c r="AZ323" s="6">
        <f>IF(OR($BJ323="",51&gt;設定!$B$3),"",IF(INDEX(原始資料!BB$2:BB$501,$BJ323)="","",INDEX(原始資料!BB$2:BB$501,$BJ323)))</f>
        <v/>
      </c>
      <c r="BA323" s="6">
        <f>IF(OR($BJ323="",52&gt;設定!$B$3),"",IF(INDEX(原始資料!BC$2:BC$501,$BJ323)="","",INDEX(原始資料!BC$2:BC$501,$BJ323)))</f>
        <v/>
      </c>
      <c r="BB323" s="6">
        <f>IF(OR($BJ323="",53&gt;設定!$B$3),"",IF(INDEX(原始資料!BD$2:BD$501,$BJ323)="","",INDEX(原始資料!BD$2:BD$501,$BJ323)))</f>
        <v/>
      </c>
      <c r="BC323" s="6">
        <f>IF(OR($BJ323="",54&gt;設定!$B$3),"",IF(INDEX(原始資料!BE$2:BE$501,$BJ323)="","",INDEX(原始資料!BE$2:BE$501,$BJ323)))</f>
        <v/>
      </c>
      <c r="BD323" s="6">
        <f>IF(OR($BJ323="",55&gt;設定!$B$3),"",IF(INDEX(原始資料!BF$2:BF$501,$BJ323)="","",INDEX(原始資料!BF$2:BF$501,$BJ323)))</f>
        <v/>
      </c>
      <c r="BE323" s="6">
        <f>IF(OR($BJ323="",56&gt;設定!$B$3),"",IF(INDEX(原始資料!BG$2:BG$501,$BJ323)="","",INDEX(原始資料!BG$2:BG$501,$BJ323)))</f>
        <v/>
      </c>
      <c r="BF323" s="6">
        <f>IF(OR($BJ323="",57&gt;設定!$B$3),"",IF(INDEX(原始資料!BH$2:BH$501,$BJ323)="","",INDEX(原始資料!BH$2:BH$501,$BJ323)))</f>
        <v/>
      </c>
      <c r="BG323" s="6">
        <f>IF(OR($BJ323="",58&gt;設定!$B$3),"",IF(INDEX(原始資料!BI$2:BI$501,$BJ323)="","",INDEX(原始資料!BI$2:BI$501,$BJ323)))</f>
        <v/>
      </c>
      <c r="BH323" s="6">
        <f>IF(OR($BJ323="",59&gt;設定!$B$3),"",IF(INDEX(原始資料!BJ$2:BJ$501,$BJ323)="","",INDEX(原始資料!BJ$2:BJ$501,$BJ323)))</f>
        <v/>
      </c>
      <c r="BI323" s="6">
        <f>IF(OR($BJ323="",60&gt;設定!$B$3),"",IF(INDEX(原始資料!BK$2:BK$501,$BJ323)="","",INDEX(原始資料!BK$2:BK$501,$BJ323)))</f>
        <v/>
      </c>
      <c r="BJ323" s="6">
        <f>IFERROR(MATCH(ROW()-1,判定!$H$2:$H$501,0),"")</f>
        <v/>
      </c>
    </row>
    <row r="324">
      <c r="A324" s="6">
        <f>IF($BJ324="","",INDEX(原始資料!$A$2:$A$501,$BJ324))</f>
        <v/>
      </c>
      <c r="B324" s="6">
        <f>IF(OR($BJ324="",1&gt;設定!$B$3),"",IF(INDEX(原始資料!D$2:D$501,$BJ324)="","",INDEX(原始資料!D$2:D$501,$BJ324)))</f>
        <v/>
      </c>
      <c r="C324" s="6">
        <f>IF(OR($BJ324="",2&gt;設定!$B$3),"",IF(INDEX(原始資料!E$2:E$501,$BJ324)="","",INDEX(原始資料!E$2:E$501,$BJ324)))</f>
        <v/>
      </c>
      <c r="D324" s="6">
        <f>IF(OR($BJ324="",3&gt;設定!$B$3),"",IF(INDEX(原始資料!F$2:F$501,$BJ324)="","",INDEX(原始資料!F$2:F$501,$BJ324)))</f>
        <v/>
      </c>
      <c r="E324" s="6">
        <f>IF(OR($BJ324="",4&gt;設定!$B$3),"",IF(INDEX(原始資料!G$2:G$501,$BJ324)="","",INDEX(原始資料!G$2:G$501,$BJ324)))</f>
        <v/>
      </c>
      <c r="F324" s="6">
        <f>IF(OR($BJ324="",5&gt;設定!$B$3),"",IF(INDEX(原始資料!H$2:H$501,$BJ324)="","",INDEX(原始資料!H$2:H$501,$BJ324)))</f>
        <v/>
      </c>
      <c r="G324" s="6">
        <f>IF(OR($BJ324="",6&gt;設定!$B$3),"",IF(INDEX(原始資料!I$2:I$501,$BJ324)="","",INDEX(原始資料!I$2:I$501,$BJ324)))</f>
        <v/>
      </c>
      <c r="H324" s="6">
        <f>IF(OR($BJ324="",7&gt;設定!$B$3),"",IF(INDEX(原始資料!J$2:J$501,$BJ324)="","",INDEX(原始資料!J$2:J$501,$BJ324)))</f>
        <v/>
      </c>
      <c r="I324" s="6">
        <f>IF(OR($BJ324="",8&gt;設定!$B$3),"",IF(INDEX(原始資料!K$2:K$501,$BJ324)="","",INDEX(原始資料!K$2:K$501,$BJ324)))</f>
        <v/>
      </c>
      <c r="J324" s="6">
        <f>IF(OR($BJ324="",9&gt;設定!$B$3),"",IF(INDEX(原始資料!L$2:L$501,$BJ324)="","",INDEX(原始資料!L$2:L$501,$BJ324)))</f>
        <v/>
      </c>
      <c r="K324" s="6">
        <f>IF(OR($BJ324="",10&gt;設定!$B$3),"",IF(INDEX(原始資料!M$2:M$501,$BJ324)="","",INDEX(原始資料!M$2:M$501,$BJ324)))</f>
        <v/>
      </c>
      <c r="L324" s="6">
        <f>IF(OR($BJ324="",11&gt;設定!$B$3),"",IF(INDEX(原始資料!N$2:N$501,$BJ324)="","",INDEX(原始資料!N$2:N$501,$BJ324)))</f>
        <v/>
      </c>
      <c r="M324" s="6">
        <f>IF(OR($BJ324="",12&gt;設定!$B$3),"",IF(INDEX(原始資料!O$2:O$501,$BJ324)="","",INDEX(原始資料!O$2:O$501,$BJ324)))</f>
        <v/>
      </c>
      <c r="N324" s="6">
        <f>IF(OR($BJ324="",13&gt;設定!$B$3),"",IF(INDEX(原始資料!P$2:P$501,$BJ324)="","",INDEX(原始資料!P$2:P$501,$BJ324)))</f>
        <v/>
      </c>
      <c r="O324" s="6">
        <f>IF(OR($BJ324="",14&gt;設定!$B$3),"",IF(INDEX(原始資料!Q$2:Q$501,$BJ324)="","",INDEX(原始資料!Q$2:Q$501,$BJ324)))</f>
        <v/>
      </c>
      <c r="P324" s="6">
        <f>IF(OR($BJ324="",15&gt;設定!$B$3),"",IF(INDEX(原始資料!R$2:R$501,$BJ324)="","",INDEX(原始資料!R$2:R$501,$BJ324)))</f>
        <v/>
      </c>
      <c r="Q324" s="6">
        <f>IF(OR($BJ324="",16&gt;設定!$B$3),"",IF(INDEX(原始資料!S$2:S$501,$BJ324)="","",INDEX(原始資料!S$2:S$501,$BJ324)))</f>
        <v/>
      </c>
      <c r="R324" s="6">
        <f>IF(OR($BJ324="",17&gt;設定!$B$3),"",IF(INDEX(原始資料!T$2:T$501,$BJ324)="","",INDEX(原始資料!T$2:T$501,$BJ324)))</f>
        <v/>
      </c>
      <c r="S324" s="6">
        <f>IF(OR($BJ324="",18&gt;設定!$B$3),"",IF(INDEX(原始資料!U$2:U$501,$BJ324)="","",INDEX(原始資料!U$2:U$501,$BJ324)))</f>
        <v/>
      </c>
      <c r="T324" s="6">
        <f>IF(OR($BJ324="",19&gt;設定!$B$3),"",IF(INDEX(原始資料!V$2:V$501,$BJ324)="","",INDEX(原始資料!V$2:V$501,$BJ324)))</f>
        <v/>
      </c>
      <c r="U324" s="6">
        <f>IF(OR($BJ324="",20&gt;設定!$B$3),"",IF(INDEX(原始資料!W$2:W$501,$BJ324)="","",INDEX(原始資料!W$2:W$501,$BJ324)))</f>
        <v/>
      </c>
      <c r="V324" s="6">
        <f>IF(OR($BJ324="",21&gt;設定!$B$3),"",IF(INDEX(原始資料!X$2:X$501,$BJ324)="","",INDEX(原始資料!X$2:X$501,$BJ324)))</f>
        <v/>
      </c>
      <c r="W324" s="6">
        <f>IF(OR($BJ324="",22&gt;設定!$B$3),"",IF(INDEX(原始資料!Y$2:Y$501,$BJ324)="","",INDEX(原始資料!Y$2:Y$501,$BJ324)))</f>
        <v/>
      </c>
      <c r="X324" s="6">
        <f>IF(OR($BJ324="",23&gt;設定!$B$3),"",IF(INDEX(原始資料!Z$2:Z$501,$BJ324)="","",INDEX(原始資料!Z$2:Z$501,$BJ324)))</f>
        <v/>
      </c>
      <c r="Y324" s="6">
        <f>IF(OR($BJ324="",24&gt;設定!$B$3),"",IF(INDEX(原始資料!AA$2:AA$501,$BJ324)="","",INDEX(原始資料!AA$2:AA$501,$BJ324)))</f>
        <v/>
      </c>
      <c r="Z324" s="6">
        <f>IF(OR($BJ324="",25&gt;設定!$B$3),"",IF(INDEX(原始資料!AB$2:AB$501,$BJ324)="","",INDEX(原始資料!AB$2:AB$501,$BJ324)))</f>
        <v/>
      </c>
      <c r="AA324" s="6">
        <f>IF(OR($BJ324="",26&gt;設定!$B$3),"",IF(INDEX(原始資料!AC$2:AC$501,$BJ324)="","",INDEX(原始資料!AC$2:AC$501,$BJ324)))</f>
        <v/>
      </c>
      <c r="AB324" s="6">
        <f>IF(OR($BJ324="",27&gt;設定!$B$3),"",IF(INDEX(原始資料!AD$2:AD$501,$BJ324)="","",INDEX(原始資料!AD$2:AD$501,$BJ324)))</f>
        <v/>
      </c>
      <c r="AC324" s="6">
        <f>IF(OR($BJ324="",28&gt;設定!$B$3),"",IF(INDEX(原始資料!AE$2:AE$501,$BJ324)="","",INDEX(原始資料!AE$2:AE$501,$BJ324)))</f>
        <v/>
      </c>
      <c r="AD324" s="6">
        <f>IF(OR($BJ324="",29&gt;設定!$B$3),"",IF(INDEX(原始資料!AF$2:AF$501,$BJ324)="","",INDEX(原始資料!AF$2:AF$501,$BJ324)))</f>
        <v/>
      </c>
      <c r="AE324" s="6">
        <f>IF(OR($BJ324="",30&gt;設定!$B$3),"",IF(INDEX(原始資料!AG$2:AG$501,$BJ324)="","",INDEX(原始資料!AG$2:AG$501,$BJ324)))</f>
        <v/>
      </c>
      <c r="AF324" s="6">
        <f>IF(OR($BJ324="",31&gt;設定!$B$3),"",IF(INDEX(原始資料!AH$2:AH$501,$BJ324)="","",INDEX(原始資料!AH$2:AH$501,$BJ324)))</f>
        <v/>
      </c>
      <c r="AG324" s="6">
        <f>IF(OR($BJ324="",32&gt;設定!$B$3),"",IF(INDEX(原始資料!AI$2:AI$501,$BJ324)="","",INDEX(原始資料!AI$2:AI$501,$BJ324)))</f>
        <v/>
      </c>
      <c r="AH324" s="6">
        <f>IF(OR($BJ324="",33&gt;設定!$B$3),"",IF(INDEX(原始資料!AJ$2:AJ$501,$BJ324)="","",INDEX(原始資料!AJ$2:AJ$501,$BJ324)))</f>
        <v/>
      </c>
      <c r="AI324" s="6">
        <f>IF(OR($BJ324="",34&gt;設定!$B$3),"",IF(INDEX(原始資料!AK$2:AK$501,$BJ324)="","",INDEX(原始資料!AK$2:AK$501,$BJ324)))</f>
        <v/>
      </c>
      <c r="AJ324" s="6">
        <f>IF(OR($BJ324="",35&gt;設定!$B$3),"",IF(INDEX(原始資料!AL$2:AL$501,$BJ324)="","",INDEX(原始資料!AL$2:AL$501,$BJ324)))</f>
        <v/>
      </c>
      <c r="AK324" s="6">
        <f>IF(OR($BJ324="",36&gt;設定!$B$3),"",IF(INDEX(原始資料!AM$2:AM$501,$BJ324)="","",INDEX(原始資料!AM$2:AM$501,$BJ324)))</f>
        <v/>
      </c>
      <c r="AL324" s="6">
        <f>IF(OR($BJ324="",37&gt;設定!$B$3),"",IF(INDEX(原始資料!AN$2:AN$501,$BJ324)="","",INDEX(原始資料!AN$2:AN$501,$BJ324)))</f>
        <v/>
      </c>
      <c r="AM324" s="6">
        <f>IF(OR($BJ324="",38&gt;設定!$B$3),"",IF(INDEX(原始資料!AO$2:AO$501,$BJ324)="","",INDEX(原始資料!AO$2:AO$501,$BJ324)))</f>
        <v/>
      </c>
      <c r="AN324" s="6">
        <f>IF(OR($BJ324="",39&gt;設定!$B$3),"",IF(INDEX(原始資料!AP$2:AP$501,$BJ324)="","",INDEX(原始資料!AP$2:AP$501,$BJ324)))</f>
        <v/>
      </c>
      <c r="AO324" s="6">
        <f>IF(OR($BJ324="",40&gt;設定!$B$3),"",IF(INDEX(原始資料!AQ$2:AQ$501,$BJ324)="","",INDEX(原始資料!AQ$2:AQ$501,$BJ324)))</f>
        <v/>
      </c>
      <c r="AP324" s="6">
        <f>IF(OR($BJ324="",41&gt;設定!$B$3),"",IF(INDEX(原始資料!AR$2:AR$501,$BJ324)="","",INDEX(原始資料!AR$2:AR$501,$BJ324)))</f>
        <v/>
      </c>
      <c r="AQ324" s="6">
        <f>IF(OR($BJ324="",42&gt;設定!$B$3),"",IF(INDEX(原始資料!AS$2:AS$501,$BJ324)="","",INDEX(原始資料!AS$2:AS$501,$BJ324)))</f>
        <v/>
      </c>
      <c r="AR324" s="6">
        <f>IF(OR($BJ324="",43&gt;設定!$B$3),"",IF(INDEX(原始資料!AT$2:AT$501,$BJ324)="","",INDEX(原始資料!AT$2:AT$501,$BJ324)))</f>
        <v/>
      </c>
      <c r="AS324" s="6">
        <f>IF(OR($BJ324="",44&gt;設定!$B$3),"",IF(INDEX(原始資料!AU$2:AU$501,$BJ324)="","",INDEX(原始資料!AU$2:AU$501,$BJ324)))</f>
        <v/>
      </c>
      <c r="AT324" s="6">
        <f>IF(OR($BJ324="",45&gt;設定!$B$3),"",IF(INDEX(原始資料!AV$2:AV$501,$BJ324)="","",INDEX(原始資料!AV$2:AV$501,$BJ324)))</f>
        <v/>
      </c>
      <c r="AU324" s="6">
        <f>IF(OR($BJ324="",46&gt;設定!$B$3),"",IF(INDEX(原始資料!AW$2:AW$501,$BJ324)="","",INDEX(原始資料!AW$2:AW$501,$BJ324)))</f>
        <v/>
      </c>
      <c r="AV324" s="6">
        <f>IF(OR($BJ324="",47&gt;設定!$B$3),"",IF(INDEX(原始資料!AX$2:AX$501,$BJ324)="","",INDEX(原始資料!AX$2:AX$501,$BJ324)))</f>
        <v/>
      </c>
      <c r="AW324" s="6">
        <f>IF(OR($BJ324="",48&gt;設定!$B$3),"",IF(INDEX(原始資料!AY$2:AY$501,$BJ324)="","",INDEX(原始資料!AY$2:AY$501,$BJ324)))</f>
        <v/>
      </c>
      <c r="AX324" s="6">
        <f>IF(OR($BJ324="",49&gt;設定!$B$3),"",IF(INDEX(原始資料!AZ$2:AZ$501,$BJ324)="","",INDEX(原始資料!AZ$2:AZ$501,$BJ324)))</f>
        <v/>
      </c>
      <c r="AY324" s="6">
        <f>IF(OR($BJ324="",50&gt;設定!$B$3),"",IF(INDEX(原始資料!BA$2:BA$501,$BJ324)="","",INDEX(原始資料!BA$2:BA$501,$BJ324)))</f>
        <v/>
      </c>
      <c r="AZ324" s="6">
        <f>IF(OR($BJ324="",51&gt;設定!$B$3),"",IF(INDEX(原始資料!BB$2:BB$501,$BJ324)="","",INDEX(原始資料!BB$2:BB$501,$BJ324)))</f>
        <v/>
      </c>
      <c r="BA324" s="6">
        <f>IF(OR($BJ324="",52&gt;設定!$B$3),"",IF(INDEX(原始資料!BC$2:BC$501,$BJ324)="","",INDEX(原始資料!BC$2:BC$501,$BJ324)))</f>
        <v/>
      </c>
      <c r="BB324" s="6">
        <f>IF(OR($BJ324="",53&gt;設定!$B$3),"",IF(INDEX(原始資料!BD$2:BD$501,$BJ324)="","",INDEX(原始資料!BD$2:BD$501,$BJ324)))</f>
        <v/>
      </c>
      <c r="BC324" s="6">
        <f>IF(OR($BJ324="",54&gt;設定!$B$3),"",IF(INDEX(原始資料!BE$2:BE$501,$BJ324)="","",INDEX(原始資料!BE$2:BE$501,$BJ324)))</f>
        <v/>
      </c>
      <c r="BD324" s="6">
        <f>IF(OR($BJ324="",55&gt;設定!$B$3),"",IF(INDEX(原始資料!BF$2:BF$501,$BJ324)="","",INDEX(原始資料!BF$2:BF$501,$BJ324)))</f>
        <v/>
      </c>
      <c r="BE324" s="6">
        <f>IF(OR($BJ324="",56&gt;設定!$B$3),"",IF(INDEX(原始資料!BG$2:BG$501,$BJ324)="","",INDEX(原始資料!BG$2:BG$501,$BJ324)))</f>
        <v/>
      </c>
      <c r="BF324" s="6">
        <f>IF(OR($BJ324="",57&gt;設定!$B$3),"",IF(INDEX(原始資料!BH$2:BH$501,$BJ324)="","",INDEX(原始資料!BH$2:BH$501,$BJ324)))</f>
        <v/>
      </c>
      <c r="BG324" s="6">
        <f>IF(OR($BJ324="",58&gt;設定!$B$3),"",IF(INDEX(原始資料!BI$2:BI$501,$BJ324)="","",INDEX(原始資料!BI$2:BI$501,$BJ324)))</f>
        <v/>
      </c>
      <c r="BH324" s="6">
        <f>IF(OR($BJ324="",59&gt;設定!$B$3),"",IF(INDEX(原始資料!BJ$2:BJ$501,$BJ324)="","",INDEX(原始資料!BJ$2:BJ$501,$BJ324)))</f>
        <v/>
      </c>
      <c r="BI324" s="6">
        <f>IF(OR($BJ324="",60&gt;設定!$B$3),"",IF(INDEX(原始資料!BK$2:BK$501,$BJ324)="","",INDEX(原始資料!BK$2:BK$501,$BJ324)))</f>
        <v/>
      </c>
      <c r="BJ324" s="6">
        <f>IFERROR(MATCH(ROW()-1,判定!$H$2:$H$501,0),"")</f>
        <v/>
      </c>
    </row>
    <row r="325">
      <c r="A325" s="6">
        <f>IF($BJ325="","",INDEX(原始資料!$A$2:$A$501,$BJ325))</f>
        <v/>
      </c>
      <c r="B325" s="6">
        <f>IF(OR($BJ325="",1&gt;設定!$B$3),"",IF(INDEX(原始資料!D$2:D$501,$BJ325)="","",INDEX(原始資料!D$2:D$501,$BJ325)))</f>
        <v/>
      </c>
      <c r="C325" s="6">
        <f>IF(OR($BJ325="",2&gt;設定!$B$3),"",IF(INDEX(原始資料!E$2:E$501,$BJ325)="","",INDEX(原始資料!E$2:E$501,$BJ325)))</f>
        <v/>
      </c>
      <c r="D325" s="6">
        <f>IF(OR($BJ325="",3&gt;設定!$B$3),"",IF(INDEX(原始資料!F$2:F$501,$BJ325)="","",INDEX(原始資料!F$2:F$501,$BJ325)))</f>
        <v/>
      </c>
      <c r="E325" s="6">
        <f>IF(OR($BJ325="",4&gt;設定!$B$3),"",IF(INDEX(原始資料!G$2:G$501,$BJ325)="","",INDEX(原始資料!G$2:G$501,$BJ325)))</f>
        <v/>
      </c>
      <c r="F325" s="6">
        <f>IF(OR($BJ325="",5&gt;設定!$B$3),"",IF(INDEX(原始資料!H$2:H$501,$BJ325)="","",INDEX(原始資料!H$2:H$501,$BJ325)))</f>
        <v/>
      </c>
      <c r="G325" s="6">
        <f>IF(OR($BJ325="",6&gt;設定!$B$3),"",IF(INDEX(原始資料!I$2:I$501,$BJ325)="","",INDEX(原始資料!I$2:I$501,$BJ325)))</f>
        <v/>
      </c>
      <c r="H325" s="6">
        <f>IF(OR($BJ325="",7&gt;設定!$B$3),"",IF(INDEX(原始資料!J$2:J$501,$BJ325)="","",INDEX(原始資料!J$2:J$501,$BJ325)))</f>
        <v/>
      </c>
      <c r="I325" s="6">
        <f>IF(OR($BJ325="",8&gt;設定!$B$3),"",IF(INDEX(原始資料!K$2:K$501,$BJ325)="","",INDEX(原始資料!K$2:K$501,$BJ325)))</f>
        <v/>
      </c>
      <c r="J325" s="6">
        <f>IF(OR($BJ325="",9&gt;設定!$B$3),"",IF(INDEX(原始資料!L$2:L$501,$BJ325)="","",INDEX(原始資料!L$2:L$501,$BJ325)))</f>
        <v/>
      </c>
      <c r="K325" s="6">
        <f>IF(OR($BJ325="",10&gt;設定!$B$3),"",IF(INDEX(原始資料!M$2:M$501,$BJ325)="","",INDEX(原始資料!M$2:M$501,$BJ325)))</f>
        <v/>
      </c>
      <c r="L325" s="6">
        <f>IF(OR($BJ325="",11&gt;設定!$B$3),"",IF(INDEX(原始資料!N$2:N$501,$BJ325)="","",INDEX(原始資料!N$2:N$501,$BJ325)))</f>
        <v/>
      </c>
      <c r="M325" s="6">
        <f>IF(OR($BJ325="",12&gt;設定!$B$3),"",IF(INDEX(原始資料!O$2:O$501,$BJ325)="","",INDEX(原始資料!O$2:O$501,$BJ325)))</f>
        <v/>
      </c>
      <c r="N325" s="6">
        <f>IF(OR($BJ325="",13&gt;設定!$B$3),"",IF(INDEX(原始資料!P$2:P$501,$BJ325)="","",INDEX(原始資料!P$2:P$501,$BJ325)))</f>
        <v/>
      </c>
      <c r="O325" s="6">
        <f>IF(OR($BJ325="",14&gt;設定!$B$3),"",IF(INDEX(原始資料!Q$2:Q$501,$BJ325)="","",INDEX(原始資料!Q$2:Q$501,$BJ325)))</f>
        <v/>
      </c>
      <c r="P325" s="6">
        <f>IF(OR($BJ325="",15&gt;設定!$B$3),"",IF(INDEX(原始資料!R$2:R$501,$BJ325)="","",INDEX(原始資料!R$2:R$501,$BJ325)))</f>
        <v/>
      </c>
      <c r="Q325" s="6">
        <f>IF(OR($BJ325="",16&gt;設定!$B$3),"",IF(INDEX(原始資料!S$2:S$501,$BJ325)="","",INDEX(原始資料!S$2:S$501,$BJ325)))</f>
        <v/>
      </c>
      <c r="R325" s="6">
        <f>IF(OR($BJ325="",17&gt;設定!$B$3),"",IF(INDEX(原始資料!T$2:T$501,$BJ325)="","",INDEX(原始資料!T$2:T$501,$BJ325)))</f>
        <v/>
      </c>
      <c r="S325" s="6">
        <f>IF(OR($BJ325="",18&gt;設定!$B$3),"",IF(INDEX(原始資料!U$2:U$501,$BJ325)="","",INDEX(原始資料!U$2:U$501,$BJ325)))</f>
        <v/>
      </c>
      <c r="T325" s="6">
        <f>IF(OR($BJ325="",19&gt;設定!$B$3),"",IF(INDEX(原始資料!V$2:V$501,$BJ325)="","",INDEX(原始資料!V$2:V$501,$BJ325)))</f>
        <v/>
      </c>
      <c r="U325" s="6">
        <f>IF(OR($BJ325="",20&gt;設定!$B$3),"",IF(INDEX(原始資料!W$2:W$501,$BJ325)="","",INDEX(原始資料!W$2:W$501,$BJ325)))</f>
        <v/>
      </c>
      <c r="V325" s="6">
        <f>IF(OR($BJ325="",21&gt;設定!$B$3),"",IF(INDEX(原始資料!X$2:X$501,$BJ325)="","",INDEX(原始資料!X$2:X$501,$BJ325)))</f>
        <v/>
      </c>
      <c r="W325" s="6">
        <f>IF(OR($BJ325="",22&gt;設定!$B$3),"",IF(INDEX(原始資料!Y$2:Y$501,$BJ325)="","",INDEX(原始資料!Y$2:Y$501,$BJ325)))</f>
        <v/>
      </c>
      <c r="X325" s="6">
        <f>IF(OR($BJ325="",23&gt;設定!$B$3),"",IF(INDEX(原始資料!Z$2:Z$501,$BJ325)="","",INDEX(原始資料!Z$2:Z$501,$BJ325)))</f>
        <v/>
      </c>
      <c r="Y325" s="6">
        <f>IF(OR($BJ325="",24&gt;設定!$B$3),"",IF(INDEX(原始資料!AA$2:AA$501,$BJ325)="","",INDEX(原始資料!AA$2:AA$501,$BJ325)))</f>
        <v/>
      </c>
      <c r="Z325" s="6">
        <f>IF(OR($BJ325="",25&gt;設定!$B$3),"",IF(INDEX(原始資料!AB$2:AB$501,$BJ325)="","",INDEX(原始資料!AB$2:AB$501,$BJ325)))</f>
        <v/>
      </c>
      <c r="AA325" s="6">
        <f>IF(OR($BJ325="",26&gt;設定!$B$3),"",IF(INDEX(原始資料!AC$2:AC$501,$BJ325)="","",INDEX(原始資料!AC$2:AC$501,$BJ325)))</f>
        <v/>
      </c>
      <c r="AB325" s="6">
        <f>IF(OR($BJ325="",27&gt;設定!$B$3),"",IF(INDEX(原始資料!AD$2:AD$501,$BJ325)="","",INDEX(原始資料!AD$2:AD$501,$BJ325)))</f>
        <v/>
      </c>
      <c r="AC325" s="6">
        <f>IF(OR($BJ325="",28&gt;設定!$B$3),"",IF(INDEX(原始資料!AE$2:AE$501,$BJ325)="","",INDEX(原始資料!AE$2:AE$501,$BJ325)))</f>
        <v/>
      </c>
      <c r="AD325" s="6">
        <f>IF(OR($BJ325="",29&gt;設定!$B$3),"",IF(INDEX(原始資料!AF$2:AF$501,$BJ325)="","",INDEX(原始資料!AF$2:AF$501,$BJ325)))</f>
        <v/>
      </c>
      <c r="AE325" s="6">
        <f>IF(OR($BJ325="",30&gt;設定!$B$3),"",IF(INDEX(原始資料!AG$2:AG$501,$BJ325)="","",INDEX(原始資料!AG$2:AG$501,$BJ325)))</f>
        <v/>
      </c>
      <c r="AF325" s="6">
        <f>IF(OR($BJ325="",31&gt;設定!$B$3),"",IF(INDEX(原始資料!AH$2:AH$501,$BJ325)="","",INDEX(原始資料!AH$2:AH$501,$BJ325)))</f>
        <v/>
      </c>
      <c r="AG325" s="6">
        <f>IF(OR($BJ325="",32&gt;設定!$B$3),"",IF(INDEX(原始資料!AI$2:AI$501,$BJ325)="","",INDEX(原始資料!AI$2:AI$501,$BJ325)))</f>
        <v/>
      </c>
      <c r="AH325" s="6">
        <f>IF(OR($BJ325="",33&gt;設定!$B$3),"",IF(INDEX(原始資料!AJ$2:AJ$501,$BJ325)="","",INDEX(原始資料!AJ$2:AJ$501,$BJ325)))</f>
        <v/>
      </c>
      <c r="AI325" s="6">
        <f>IF(OR($BJ325="",34&gt;設定!$B$3),"",IF(INDEX(原始資料!AK$2:AK$501,$BJ325)="","",INDEX(原始資料!AK$2:AK$501,$BJ325)))</f>
        <v/>
      </c>
      <c r="AJ325" s="6">
        <f>IF(OR($BJ325="",35&gt;設定!$B$3),"",IF(INDEX(原始資料!AL$2:AL$501,$BJ325)="","",INDEX(原始資料!AL$2:AL$501,$BJ325)))</f>
        <v/>
      </c>
      <c r="AK325" s="6">
        <f>IF(OR($BJ325="",36&gt;設定!$B$3),"",IF(INDEX(原始資料!AM$2:AM$501,$BJ325)="","",INDEX(原始資料!AM$2:AM$501,$BJ325)))</f>
        <v/>
      </c>
      <c r="AL325" s="6">
        <f>IF(OR($BJ325="",37&gt;設定!$B$3),"",IF(INDEX(原始資料!AN$2:AN$501,$BJ325)="","",INDEX(原始資料!AN$2:AN$501,$BJ325)))</f>
        <v/>
      </c>
      <c r="AM325" s="6">
        <f>IF(OR($BJ325="",38&gt;設定!$B$3),"",IF(INDEX(原始資料!AO$2:AO$501,$BJ325)="","",INDEX(原始資料!AO$2:AO$501,$BJ325)))</f>
        <v/>
      </c>
      <c r="AN325" s="6">
        <f>IF(OR($BJ325="",39&gt;設定!$B$3),"",IF(INDEX(原始資料!AP$2:AP$501,$BJ325)="","",INDEX(原始資料!AP$2:AP$501,$BJ325)))</f>
        <v/>
      </c>
      <c r="AO325" s="6">
        <f>IF(OR($BJ325="",40&gt;設定!$B$3),"",IF(INDEX(原始資料!AQ$2:AQ$501,$BJ325)="","",INDEX(原始資料!AQ$2:AQ$501,$BJ325)))</f>
        <v/>
      </c>
      <c r="AP325" s="6">
        <f>IF(OR($BJ325="",41&gt;設定!$B$3),"",IF(INDEX(原始資料!AR$2:AR$501,$BJ325)="","",INDEX(原始資料!AR$2:AR$501,$BJ325)))</f>
        <v/>
      </c>
      <c r="AQ325" s="6">
        <f>IF(OR($BJ325="",42&gt;設定!$B$3),"",IF(INDEX(原始資料!AS$2:AS$501,$BJ325)="","",INDEX(原始資料!AS$2:AS$501,$BJ325)))</f>
        <v/>
      </c>
      <c r="AR325" s="6">
        <f>IF(OR($BJ325="",43&gt;設定!$B$3),"",IF(INDEX(原始資料!AT$2:AT$501,$BJ325)="","",INDEX(原始資料!AT$2:AT$501,$BJ325)))</f>
        <v/>
      </c>
      <c r="AS325" s="6">
        <f>IF(OR($BJ325="",44&gt;設定!$B$3),"",IF(INDEX(原始資料!AU$2:AU$501,$BJ325)="","",INDEX(原始資料!AU$2:AU$501,$BJ325)))</f>
        <v/>
      </c>
      <c r="AT325" s="6">
        <f>IF(OR($BJ325="",45&gt;設定!$B$3),"",IF(INDEX(原始資料!AV$2:AV$501,$BJ325)="","",INDEX(原始資料!AV$2:AV$501,$BJ325)))</f>
        <v/>
      </c>
      <c r="AU325" s="6">
        <f>IF(OR($BJ325="",46&gt;設定!$B$3),"",IF(INDEX(原始資料!AW$2:AW$501,$BJ325)="","",INDEX(原始資料!AW$2:AW$501,$BJ325)))</f>
        <v/>
      </c>
      <c r="AV325" s="6">
        <f>IF(OR($BJ325="",47&gt;設定!$B$3),"",IF(INDEX(原始資料!AX$2:AX$501,$BJ325)="","",INDEX(原始資料!AX$2:AX$501,$BJ325)))</f>
        <v/>
      </c>
      <c r="AW325" s="6">
        <f>IF(OR($BJ325="",48&gt;設定!$B$3),"",IF(INDEX(原始資料!AY$2:AY$501,$BJ325)="","",INDEX(原始資料!AY$2:AY$501,$BJ325)))</f>
        <v/>
      </c>
      <c r="AX325" s="6">
        <f>IF(OR($BJ325="",49&gt;設定!$B$3),"",IF(INDEX(原始資料!AZ$2:AZ$501,$BJ325)="","",INDEX(原始資料!AZ$2:AZ$501,$BJ325)))</f>
        <v/>
      </c>
      <c r="AY325" s="6">
        <f>IF(OR($BJ325="",50&gt;設定!$B$3),"",IF(INDEX(原始資料!BA$2:BA$501,$BJ325)="","",INDEX(原始資料!BA$2:BA$501,$BJ325)))</f>
        <v/>
      </c>
      <c r="AZ325" s="6">
        <f>IF(OR($BJ325="",51&gt;設定!$B$3),"",IF(INDEX(原始資料!BB$2:BB$501,$BJ325)="","",INDEX(原始資料!BB$2:BB$501,$BJ325)))</f>
        <v/>
      </c>
      <c r="BA325" s="6">
        <f>IF(OR($BJ325="",52&gt;設定!$B$3),"",IF(INDEX(原始資料!BC$2:BC$501,$BJ325)="","",INDEX(原始資料!BC$2:BC$501,$BJ325)))</f>
        <v/>
      </c>
      <c r="BB325" s="6">
        <f>IF(OR($BJ325="",53&gt;設定!$B$3),"",IF(INDEX(原始資料!BD$2:BD$501,$BJ325)="","",INDEX(原始資料!BD$2:BD$501,$BJ325)))</f>
        <v/>
      </c>
      <c r="BC325" s="6">
        <f>IF(OR($BJ325="",54&gt;設定!$B$3),"",IF(INDEX(原始資料!BE$2:BE$501,$BJ325)="","",INDEX(原始資料!BE$2:BE$501,$BJ325)))</f>
        <v/>
      </c>
      <c r="BD325" s="6">
        <f>IF(OR($BJ325="",55&gt;設定!$B$3),"",IF(INDEX(原始資料!BF$2:BF$501,$BJ325)="","",INDEX(原始資料!BF$2:BF$501,$BJ325)))</f>
        <v/>
      </c>
      <c r="BE325" s="6">
        <f>IF(OR($BJ325="",56&gt;設定!$B$3),"",IF(INDEX(原始資料!BG$2:BG$501,$BJ325)="","",INDEX(原始資料!BG$2:BG$501,$BJ325)))</f>
        <v/>
      </c>
      <c r="BF325" s="6">
        <f>IF(OR($BJ325="",57&gt;設定!$B$3),"",IF(INDEX(原始資料!BH$2:BH$501,$BJ325)="","",INDEX(原始資料!BH$2:BH$501,$BJ325)))</f>
        <v/>
      </c>
      <c r="BG325" s="6">
        <f>IF(OR($BJ325="",58&gt;設定!$B$3),"",IF(INDEX(原始資料!BI$2:BI$501,$BJ325)="","",INDEX(原始資料!BI$2:BI$501,$BJ325)))</f>
        <v/>
      </c>
      <c r="BH325" s="6">
        <f>IF(OR($BJ325="",59&gt;設定!$B$3),"",IF(INDEX(原始資料!BJ$2:BJ$501,$BJ325)="","",INDEX(原始資料!BJ$2:BJ$501,$BJ325)))</f>
        <v/>
      </c>
      <c r="BI325" s="6">
        <f>IF(OR($BJ325="",60&gt;設定!$B$3),"",IF(INDEX(原始資料!BK$2:BK$501,$BJ325)="","",INDEX(原始資料!BK$2:BK$501,$BJ325)))</f>
        <v/>
      </c>
      <c r="BJ325" s="6">
        <f>IFERROR(MATCH(ROW()-1,判定!$H$2:$H$501,0),"")</f>
        <v/>
      </c>
    </row>
    <row r="326">
      <c r="A326" s="6">
        <f>IF($BJ326="","",INDEX(原始資料!$A$2:$A$501,$BJ326))</f>
        <v/>
      </c>
      <c r="B326" s="6">
        <f>IF(OR($BJ326="",1&gt;設定!$B$3),"",IF(INDEX(原始資料!D$2:D$501,$BJ326)="","",INDEX(原始資料!D$2:D$501,$BJ326)))</f>
        <v/>
      </c>
      <c r="C326" s="6">
        <f>IF(OR($BJ326="",2&gt;設定!$B$3),"",IF(INDEX(原始資料!E$2:E$501,$BJ326)="","",INDEX(原始資料!E$2:E$501,$BJ326)))</f>
        <v/>
      </c>
      <c r="D326" s="6">
        <f>IF(OR($BJ326="",3&gt;設定!$B$3),"",IF(INDEX(原始資料!F$2:F$501,$BJ326)="","",INDEX(原始資料!F$2:F$501,$BJ326)))</f>
        <v/>
      </c>
      <c r="E326" s="6">
        <f>IF(OR($BJ326="",4&gt;設定!$B$3),"",IF(INDEX(原始資料!G$2:G$501,$BJ326)="","",INDEX(原始資料!G$2:G$501,$BJ326)))</f>
        <v/>
      </c>
      <c r="F326" s="6">
        <f>IF(OR($BJ326="",5&gt;設定!$B$3),"",IF(INDEX(原始資料!H$2:H$501,$BJ326)="","",INDEX(原始資料!H$2:H$501,$BJ326)))</f>
        <v/>
      </c>
      <c r="G326" s="6">
        <f>IF(OR($BJ326="",6&gt;設定!$B$3),"",IF(INDEX(原始資料!I$2:I$501,$BJ326)="","",INDEX(原始資料!I$2:I$501,$BJ326)))</f>
        <v/>
      </c>
      <c r="H326" s="6">
        <f>IF(OR($BJ326="",7&gt;設定!$B$3),"",IF(INDEX(原始資料!J$2:J$501,$BJ326)="","",INDEX(原始資料!J$2:J$501,$BJ326)))</f>
        <v/>
      </c>
      <c r="I326" s="6">
        <f>IF(OR($BJ326="",8&gt;設定!$B$3),"",IF(INDEX(原始資料!K$2:K$501,$BJ326)="","",INDEX(原始資料!K$2:K$501,$BJ326)))</f>
        <v/>
      </c>
      <c r="J326" s="6">
        <f>IF(OR($BJ326="",9&gt;設定!$B$3),"",IF(INDEX(原始資料!L$2:L$501,$BJ326)="","",INDEX(原始資料!L$2:L$501,$BJ326)))</f>
        <v/>
      </c>
      <c r="K326" s="6">
        <f>IF(OR($BJ326="",10&gt;設定!$B$3),"",IF(INDEX(原始資料!M$2:M$501,$BJ326)="","",INDEX(原始資料!M$2:M$501,$BJ326)))</f>
        <v/>
      </c>
      <c r="L326" s="6">
        <f>IF(OR($BJ326="",11&gt;設定!$B$3),"",IF(INDEX(原始資料!N$2:N$501,$BJ326)="","",INDEX(原始資料!N$2:N$501,$BJ326)))</f>
        <v/>
      </c>
      <c r="M326" s="6">
        <f>IF(OR($BJ326="",12&gt;設定!$B$3),"",IF(INDEX(原始資料!O$2:O$501,$BJ326)="","",INDEX(原始資料!O$2:O$501,$BJ326)))</f>
        <v/>
      </c>
      <c r="N326" s="6">
        <f>IF(OR($BJ326="",13&gt;設定!$B$3),"",IF(INDEX(原始資料!P$2:P$501,$BJ326)="","",INDEX(原始資料!P$2:P$501,$BJ326)))</f>
        <v/>
      </c>
      <c r="O326" s="6">
        <f>IF(OR($BJ326="",14&gt;設定!$B$3),"",IF(INDEX(原始資料!Q$2:Q$501,$BJ326)="","",INDEX(原始資料!Q$2:Q$501,$BJ326)))</f>
        <v/>
      </c>
      <c r="P326" s="6">
        <f>IF(OR($BJ326="",15&gt;設定!$B$3),"",IF(INDEX(原始資料!R$2:R$501,$BJ326)="","",INDEX(原始資料!R$2:R$501,$BJ326)))</f>
        <v/>
      </c>
      <c r="Q326" s="6">
        <f>IF(OR($BJ326="",16&gt;設定!$B$3),"",IF(INDEX(原始資料!S$2:S$501,$BJ326)="","",INDEX(原始資料!S$2:S$501,$BJ326)))</f>
        <v/>
      </c>
      <c r="R326" s="6">
        <f>IF(OR($BJ326="",17&gt;設定!$B$3),"",IF(INDEX(原始資料!T$2:T$501,$BJ326)="","",INDEX(原始資料!T$2:T$501,$BJ326)))</f>
        <v/>
      </c>
      <c r="S326" s="6">
        <f>IF(OR($BJ326="",18&gt;設定!$B$3),"",IF(INDEX(原始資料!U$2:U$501,$BJ326)="","",INDEX(原始資料!U$2:U$501,$BJ326)))</f>
        <v/>
      </c>
      <c r="T326" s="6">
        <f>IF(OR($BJ326="",19&gt;設定!$B$3),"",IF(INDEX(原始資料!V$2:V$501,$BJ326)="","",INDEX(原始資料!V$2:V$501,$BJ326)))</f>
        <v/>
      </c>
      <c r="U326" s="6">
        <f>IF(OR($BJ326="",20&gt;設定!$B$3),"",IF(INDEX(原始資料!W$2:W$501,$BJ326)="","",INDEX(原始資料!W$2:W$501,$BJ326)))</f>
        <v/>
      </c>
      <c r="V326" s="6">
        <f>IF(OR($BJ326="",21&gt;設定!$B$3),"",IF(INDEX(原始資料!X$2:X$501,$BJ326)="","",INDEX(原始資料!X$2:X$501,$BJ326)))</f>
        <v/>
      </c>
      <c r="W326" s="6">
        <f>IF(OR($BJ326="",22&gt;設定!$B$3),"",IF(INDEX(原始資料!Y$2:Y$501,$BJ326)="","",INDEX(原始資料!Y$2:Y$501,$BJ326)))</f>
        <v/>
      </c>
      <c r="X326" s="6">
        <f>IF(OR($BJ326="",23&gt;設定!$B$3),"",IF(INDEX(原始資料!Z$2:Z$501,$BJ326)="","",INDEX(原始資料!Z$2:Z$501,$BJ326)))</f>
        <v/>
      </c>
      <c r="Y326" s="6">
        <f>IF(OR($BJ326="",24&gt;設定!$B$3),"",IF(INDEX(原始資料!AA$2:AA$501,$BJ326)="","",INDEX(原始資料!AA$2:AA$501,$BJ326)))</f>
        <v/>
      </c>
      <c r="Z326" s="6">
        <f>IF(OR($BJ326="",25&gt;設定!$B$3),"",IF(INDEX(原始資料!AB$2:AB$501,$BJ326)="","",INDEX(原始資料!AB$2:AB$501,$BJ326)))</f>
        <v/>
      </c>
      <c r="AA326" s="6">
        <f>IF(OR($BJ326="",26&gt;設定!$B$3),"",IF(INDEX(原始資料!AC$2:AC$501,$BJ326)="","",INDEX(原始資料!AC$2:AC$501,$BJ326)))</f>
        <v/>
      </c>
      <c r="AB326" s="6">
        <f>IF(OR($BJ326="",27&gt;設定!$B$3),"",IF(INDEX(原始資料!AD$2:AD$501,$BJ326)="","",INDEX(原始資料!AD$2:AD$501,$BJ326)))</f>
        <v/>
      </c>
      <c r="AC326" s="6">
        <f>IF(OR($BJ326="",28&gt;設定!$B$3),"",IF(INDEX(原始資料!AE$2:AE$501,$BJ326)="","",INDEX(原始資料!AE$2:AE$501,$BJ326)))</f>
        <v/>
      </c>
      <c r="AD326" s="6">
        <f>IF(OR($BJ326="",29&gt;設定!$B$3),"",IF(INDEX(原始資料!AF$2:AF$501,$BJ326)="","",INDEX(原始資料!AF$2:AF$501,$BJ326)))</f>
        <v/>
      </c>
      <c r="AE326" s="6">
        <f>IF(OR($BJ326="",30&gt;設定!$B$3),"",IF(INDEX(原始資料!AG$2:AG$501,$BJ326)="","",INDEX(原始資料!AG$2:AG$501,$BJ326)))</f>
        <v/>
      </c>
      <c r="AF326" s="6">
        <f>IF(OR($BJ326="",31&gt;設定!$B$3),"",IF(INDEX(原始資料!AH$2:AH$501,$BJ326)="","",INDEX(原始資料!AH$2:AH$501,$BJ326)))</f>
        <v/>
      </c>
      <c r="AG326" s="6">
        <f>IF(OR($BJ326="",32&gt;設定!$B$3),"",IF(INDEX(原始資料!AI$2:AI$501,$BJ326)="","",INDEX(原始資料!AI$2:AI$501,$BJ326)))</f>
        <v/>
      </c>
      <c r="AH326" s="6">
        <f>IF(OR($BJ326="",33&gt;設定!$B$3),"",IF(INDEX(原始資料!AJ$2:AJ$501,$BJ326)="","",INDEX(原始資料!AJ$2:AJ$501,$BJ326)))</f>
        <v/>
      </c>
      <c r="AI326" s="6">
        <f>IF(OR($BJ326="",34&gt;設定!$B$3),"",IF(INDEX(原始資料!AK$2:AK$501,$BJ326)="","",INDEX(原始資料!AK$2:AK$501,$BJ326)))</f>
        <v/>
      </c>
      <c r="AJ326" s="6">
        <f>IF(OR($BJ326="",35&gt;設定!$B$3),"",IF(INDEX(原始資料!AL$2:AL$501,$BJ326)="","",INDEX(原始資料!AL$2:AL$501,$BJ326)))</f>
        <v/>
      </c>
      <c r="AK326" s="6">
        <f>IF(OR($BJ326="",36&gt;設定!$B$3),"",IF(INDEX(原始資料!AM$2:AM$501,$BJ326)="","",INDEX(原始資料!AM$2:AM$501,$BJ326)))</f>
        <v/>
      </c>
      <c r="AL326" s="6">
        <f>IF(OR($BJ326="",37&gt;設定!$B$3),"",IF(INDEX(原始資料!AN$2:AN$501,$BJ326)="","",INDEX(原始資料!AN$2:AN$501,$BJ326)))</f>
        <v/>
      </c>
      <c r="AM326" s="6">
        <f>IF(OR($BJ326="",38&gt;設定!$B$3),"",IF(INDEX(原始資料!AO$2:AO$501,$BJ326)="","",INDEX(原始資料!AO$2:AO$501,$BJ326)))</f>
        <v/>
      </c>
      <c r="AN326" s="6">
        <f>IF(OR($BJ326="",39&gt;設定!$B$3),"",IF(INDEX(原始資料!AP$2:AP$501,$BJ326)="","",INDEX(原始資料!AP$2:AP$501,$BJ326)))</f>
        <v/>
      </c>
      <c r="AO326" s="6">
        <f>IF(OR($BJ326="",40&gt;設定!$B$3),"",IF(INDEX(原始資料!AQ$2:AQ$501,$BJ326)="","",INDEX(原始資料!AQ$2:AQ$501,$BJ326)))</f>
        <v/>
      </c>
      <c r="AP326" s="6">
        <f>IF(OR($BJ326="",41&gt;設定!$B$3),"",IF(INDEX(原始資料!AR$2:AR$501,$BJ326)="","",INDEX(原始資料!AR$2:AR$501,$BJ326)))</f>
        <v/>
      </c>
      <c r="AQ326" s="6">
        <f>IF(OR($BJ326="",42&gt;設定!$B$3),"",IF(INDEX(原始資料!AS$2:AS$501,$BJ326)="","",INDEX(原始資料!AS$2:AS$501,$BJ326)))</f>
        <v/>
      </c>
      <c r="AR326" s="6">
        <f>IF(OR($BJ326="",43&gt;設定!$B$3),"",IF(INDEX(原始資料!AT$2:AT$501,$BJ326)="","",INDEX(原始資料!AT$2:AT$501,$BJ326)))</f>
        <v/>
      </c>
      <c r="AS326" s="6">
        <f>IF(OR($BJ326="",44&gt;設定!$B$3),"",IF(INDEX(原始資料!AU$2:AU$501,$BJ326)="","",INDEX(原始資料!AU$2:AU$501,$BJ326)))</f>
        <v/>
      </c>
      <c r="AT326" s="6">
        <f>IF(OR($BJ326="",45&gt;設定!$B$3),"",IF(INDEX(原始資料!AV$2:AV$501,$BJ326)="","",INDEX(原始資料!AV$2:AV$501,$BJ326)))</f>
        <v/>
      </c>
      <c r="AU326" s="6">
        <f>IF(OR($BJ326="",46&gt;設定!$B$3),"",IF(INDEX(原始資料!AW$2:AW$501,$BJ326)="","",INDEX(原始資料!AW$2:AW$501,$BJ326)))</f>
        <v/>
      </c>
      <c r="AV326" s="6">
        <f>IF(OR($BJ326="",47&gt;設定!$B$3),"",IF(INDEX(原始資料!AX$2:AX$501,$BJ326)="","",INDEX(原始資料!AX$2:AX$501,$BJ326)))</f>
        <v/>
      </c>
      <c r="AW326" s="6">
        <f>IF(OR($BJ326="",48&gt;設定!$B$3),"",IF(INDEX(原始資料!AY$2:AY$501,$BJ326)="","",INDEX(原始資料!AY$2:AY$501,$BJ326)))</f>
        <v/>
      </c>
      <c r="AX326" s="6">
        <f>IF(OR($BJ326="",49&gt;設定!$B$3),"",IF(INDEX(原始資料!AZ$2:AZ$501,$BJ326)="","",INDEX(原始資料!AZ$2:AZ$501,$BJ326)))</f>
        <v/>
      </c>
      <c r="AY326" s="6">
        <f>IF(OR($BJ326="",50&gt;設定!$B$3),"",IF(INDEX(原始資料!BA$2:BA$501,$BJ326)="","",INDEX(原始資料!BA$2:BA$501,$BJ326)))</f>
        <v/>
      </c>
      <c r="AZ326" s="6">
        <f>IF(OR($BJ326="",51&gt;設定!$B$3),"",IF(INDEX(原始資料!BB$2:BB$501,$BJ326)="","",INDEX(原始資料!BB$2:BB$501,$BJ326)))</f>
        <v/>
      </c>
      <c r="BA326" s="6">
        <f>IF(OR($BJ326="",52&gt;設定!$B$3),"",IF(INDEX(原始資料!BC$2:BC$501,$BJ326)="","",INDEX(原始資料!BC$2:BC$501,$BJ326)))</f>
        <v/>
      </c>
      <c r="BB326" s="6">
        <f>IF(OR($BJ326="",53&gt;設定!$B$3),"",IF(INDEX(原始資料!BD$2:BD$501,$BJ326)="","",INDEX(原始資料!BD$2:BD$501,$BJ326)))</f>
        <v/>
      </c>
      <c r="BC326" s="6">
        <f>IF(OR($BJ326="",54&gt;設定!$B$3),"",IF(INDEX(原始資料!BE$2:BE$501,$BJ326)="","",INDEX(原始資料!BE$2:BE$501,$BJ326)))</f>
        <v/>
      </c>
      <c r="BD326" s="6">
        <f>IF(OR($BJ326="",55&gt;設定!$B$3),"",IF(INDEX(原始資料!BF$2:BF$501,$BJ326)="","",INDEX(原始資料!BF$2:BF$501,$BJ326)))</f>
        <v/>
      </c>
      <c r="BE326" s="6">
        <f>IF(OR($BJ326="",56&gt;設定!$B$3),"",IF(INDEX(原始資料!BG$2:BG$501,$BJ326)="","",INDEX(原始資料!BG$2:BG$501,$BJ326)))</f>
        <v/>
      </c>
      <c r="BF326" s="6">
        <f>IF(OR($BJ326="",57&gt;設定!$B$3),"",IF(INDEX(原始資料!BH$2:BH$501,$BJ326)="","",INDEX(原始資料!BH$2:BH$501,$BJ326)))</f>
        <v/>
      </c>
      <c r="BG326" s="6">
        <f>IF(OR($BJ326="",58&gt;設定!$B$3),"",IF(INDEX(原始資料!BI$2:BI$501,$BJ326)="","",INDEX(原始資料!BI$2:BI$501,$BJ326)))</f>
        <v/>
      </c>
      <c r="BH326" s="6">
        <f>IF(OR($BJ326="",59&gt;設定!$B$3),"",IF(INDEX(原始資料!BJ$2:BJ$501,$BJ326)="","",INDEX(原始資料!BJ$2:BJ$501,$BJ326)))</f>
        <v/>
      </c>
      <c r="BI326" s="6">
        <f>IF(OR($BJ326="",60&gt;設定!$B$3),"",IF(INDEX(原始資料!BK$2:BK$501,$BJ326)="","",INDEX(原始資料!BK$2:BK$501,$BJ326)))</f>
        <v/>
      </c>
      <c r="BJ326" s="6">
        <f>IFERROR(MATCH(ROW()-1,判定!$H$2:$H$501,0),"")</f>
        <v/>
      </c>
    </row>
    <row r="327">
      <c r="A327" s="6">
        <f>IF($BJ327="","",INDEX(原始資料!$A$2:$A$501,$BJ327))</f>
        <v/>
      </c>
      <c r="B327" s="6">
        <f>IF(OR($BJ327="",1&gt;設定!$B$3),"",IF(INDEX(原始資料!D$2:D$501,$BJ327)="","",INDEX(原始資料!D$2:D$501,$BJ327)))</f>
        <v/>
      </c>
      <c r="C327" s="6">
        <f>IF(OR($BJ327="",2&gt;設定!$B$3),"",IF(INDEX(原始資料!E$2:E$501,$BJ327)="","",INDEX(原始資料!E$2:E$501,$BJ327)))</f>
        <v/>
      </c>
      <c r="D327" s="6">
        <f>IF(OR($BJ327="",3&gt;設定!$B$3),"",IF(INDEX(原始資料!F$2:F$501,$BJ327)="","",INDEX(原始資料!F$2:F$501,$BJ327)))</f>
        <v/>
      </c>
      <c r="E327" s="6">
        <f>IF(OR($BJ327="",4&gt;設定!$B$3),"",IF(INDEX(原始資料!G$2:G$501,$BJ327)="","",INDEX(原始資料!G$2:G$501,$BJ327)))</f>
        <v/>
      </c>
      <c r="F327" s="6">
        <f>IF(OR($BJ327="",5&gt;設定!$B$3),"",IF(INDEX(原始資料!H$2:H$501,$BJ327)="","",INDEX(原始資料!H$2:H$501,$BJ327)))</f>
        <v/>
      </c>
      <c r="G327" s="6">
        <f>IF(OR($BJ327="",6&gt;設定!$B$3),"",IF(INDEX(原始資料!I$2:I$501,$BJ327)="","",INDEX(原始資料!I$2:I$501,$BJ327)))</f>
        <v/>
      </c>
      <c r="H327" s="6">
        <f>IF(OR($BJ327="",7&gt;設定!$B$3),"",IF(INDEX(原始資料!J$2:J$501,$BJ327)="","",INDEX(原始資料!J$2:J$501,$BJ327)))</f>
        <v/>
      </c>
      <c r="I327" s="6">
        <f>IF(OR($BJ327="",8&gt;設定!$B$3),"",IF(INDEX(原始資料!K$2:K$501,$BJ327)="","",INDEX(原始資料!K$2:K$501,$BJ327)))</f>
        <v/>
      </c>
      <c r="J327" s="6">
        <f>IF(OR($BJ327="",9&gt;設定!$B$3),"",IF(INDEX(原始資料!L$2:L$501,$BJ327)="","",INDEX(原始資料!L$2:L$501,$BJ327)))</f>
        <v/>
      </c>
      <c r="K327" s="6">
        <f>IF(OR($BJ327="",10&gt;設定!$B$3),"",IF(INDEX(原始資料!M$2:M$501,$BJ327)="","",INDEX(原始資料!M$2:M$501,$BJ327)))</f>
        <v/>
      </c>
      <c r="L327" s="6">
        <f>IF(OR($BJ327="",11&gt;設定!$B$3),"",IF(INDEX(原始資料!N$2:N$501,$BJ327)="","",INDEX(原始資料!N$2:N$501,$BJ327)))</f>
        <v/>
      </c>
      <c r="M327" s="6">
        <f>IF(OR($BJ327="",12&gt;設定!$B$3),"",IF(INDEX(原始資料!O$2:O$501,$BJ327)="","",INDEX(原始資料!O$2:O$501,$BJ327)))</f>
        <v/>
      </c>
      <c r="N327" s="6">
        <f>IF(OR($BJ327="",13&gt;設定!$B$3),"",IF(INDEX(原始資料!P$2:P$501,$BJ327)="","",INDEX(原始資料!P$2:P$501,$BJ327)))</f>
        <v/>
      </c>
      <c r="O327" s="6">
        <f>IF(OR($BJ327="",14&gt;設定!$B$3),"",IF(INDEX(原始資料!Q$2:Q$501,$BJ327)="","",INDEX(原始資料!Q$2:Q$501,$BJ327)))</f>
        <v/>
      </c>
      <c r="P327" s="6">
        <f>IF(OR($BJ327="",15&gt;設定!$B$3),"",IF(INDEX(原始資料!R$2:R$501,$BJ327)="","",INDEX(原始資料!R$2:R$501,$BJ327)))</f>
        <v/>
      </c>
      <c r="Q327" s="6">
        <f>IF(OR($BJ327="",16&gt;設定!$B$3),"",IF(INDEX(原始資料!S$2:S$501,$BJ327)="","",INDEX(原始資料!S$2:S$501,$BJ327)))</f>
        <v/>
      </c>
      <c r="R327" s="6">
        <f>IF(OR($BJ327="",17&gt;設定!$B$3),"",IF(INDEX(原始資料!T$2:T$501,$BJ327)="","",INDEX(原始資料!T$2:T$501,$BJ327)))</f>
        <v/>
      </c>
      <c r="S327" s="6">
        <f>IF(OR($BJ327="",18&gt;設定!$B$3),"",IF(INDEX(原始資料!U$2:U$501,$BJ327)="","",INDEX(原始資料!U$2:U$501,$BJ327)))</f>
        <v/>
      </c>
      <c r="T327" s="6">
        <f>IF(OR($BJ327="",19&gt;設定!$B$3),"",IF(INDEX(原始資料!V$2:V$501,$BJ327)="","",INDEX(原始資料!V$2:V$501,$BJ327)))</f>
        <v/>
      </c>
      <c r="U327" s="6">
        <f>IF(OR($BJ327="",20&gt;設定!$B$3),"",IF(INDEX(原始資料!W$2:W$501,$BJ327)="","",INDEX(原始資料!W$2:W$501,$BJ327)))</f>
        <v/>
      </c>
      <c r="V327" s="6">
        <f>IF(OR($BJ327="",21&gt;設定!$B$3),"",IF(INDEX(原始資料!X$2:X$501,$BJ327)="","",INDEX(原始資料!X$2:X$501,$BJ327)))</f>
        <v/>
      </c>
      <c r="W327" s="6">
        <f>IF(OR($BJ327="",22&gt;設定!$B$3),"",IF(INDEX(原始資料!Y$2:Y$501,$BJ327)="","",INDEX(原始資料!Y$2:Y$501,$BJ327)))</f>
        <v/>
      </c>
      <c r="X327" s="6">
        <f>IF(OR($BJ327="",23&gt;設定!$B$3),"",IF(INDEX(原始資料!Z$2:Z$501,$BJ327)="","",INDEX(原始資料!Z$2:Z$501,$BJ327)))</f>
        <v/>
      </c>
      <c r="Y327" s="6">
        <f>IF(OR($BJ327="",24&gt;設定!$B$3),"",IF(INDEX(原始資料!AA$2:AA$501,$BJ327)="","",INDEX(原始資料!AA$2:AA$501,$BJ327)))</f>
        <v/>
      </c>
      <c r="Z327" s="6">
        <f>IF(OR($BJ327="",25&gt;設定!$B$3),"",IF(INDEX(原始資料!AB$2:AB$501,$BJ327)="","",INDEX(原始資料!AB$2:AB$501,$BJ327)))</f>
        <v/>
      </c>
      <c r="AA327" s="6">
        <f>IF(OR($BJ327="",26&gt;設定!$B$3),"",IF(INDEX(原始資料!AC$2:AC$501,$BJ327)="","",INDEX(原始資料!AC$2:AC$501,$BJ327)))</f>
        <v/>
      </c>
      <c r="AB327" s="6">
        <f>IF(OR($BJ327="",27&gt;設定!$B$3),"",IF(INDEX(原始資料!AD$2:AD$501,$BJ327)="","",INDEX(原始資料!AD$2:AD$501,$BJ327)))</f>
        <v/>
      </c>
      <c r="AC327" s="6">
        <f>IF(OR($BJ327="",28&gt;設定!$B$3),"",IF(INDEX(原始資料!AE$2:AE$501,$BJ327)="","",INDEX(原始資料!AE$2:AE$501,$BJ327)))</f>
        <v/>
      </c>
      <c r="AD327" s="6">
        <f>IF(OR($BJ327="",29&gt;設定!$B$3),"",IF(INDEX(原始資料!AF$2:AF$501,$BJ327)="","",INDEX(原始資料!AF$2:AF$501,$BJ327)))</f>
        <v/>
      </c>
      <c r="AE327" s="6">
        <f>IF(OR($BJ327="",30&gt;設定!$B$3),"",IF(INDEX(原始資料!AG$2:AG$501,$BJ327)="","",INDEX(原始資料!AG$2:AG$501,$BJ327)))</f>
        <v/>
      </c>
      <c r="AF327" s="6">
        <f>IF(OR($BJ327="",31&gt;設定!$B$3),"",IF(INDEX(原始資料!AH$2:AH$501,$BJ327)="","",INDEX(原始資料!AH$2:AH$501,$BJ327)))</f>
        <v/>
      </c>
      <c r="AG327" s="6">
        <f>IF(OR($BJ327="",32&gt;設定!$B$3),"",IF(INDEX(原始資料!AI$2:AI$501,$BJ327)="","",INDEX(原始資料!AI$2:AI$501,$BJ327)))</f>
        <v/>
      </c>
      <c r="AH327" s="6">
        <f>IF(OR($BJ327="",33&gt;設定!$B$3),"",IF(INDEX(原始資料!AJ$2:AJ$501,$BJ327)="","",INDEX(原始資料!AJ$2:AJ$501,$BJ327)))</f>
        <v/>
      </c>
      <c r="AI327" s="6">
        <f>IF(OR($BJ327="",34&gt;設定!$B$3),"",IF(INDEX(原始資料!AK$2:AK$501,$BJ327)="","",INDEX(原始資料!AK$2:AK$501,$BJ327)))</f>
        <v/>
      </c>
      <c r="AJ327" s="6">
        <f>IF(OR($BJ327="",35&gt;設定!$B$3),"",IF(INDEX(原始資料!AL$2:AL$501,$BJ327)="","",INDEX(原始資料!AL$2:AL$501,$BJ327)))</f>
        <v/>
      </c>
      <c r="AK327" s="6">
        <f>IF(OR($BJ327="",36&gt;設定!$B$3),"",IF(INDEX(原始資料!AM$2:AM$501,$BJ327)="","",INDEX(原始資料!AM$2:AM$501,$BJ327)))</f>
        <v/>
      </c>
      <c r="AL327" s="6">
        <f>IF(OR($BJ327="",37&gt;設定!$B$3),"",IF(INDEX(原始資料!AN$2:AN$501,$BJ327)="","",INDEX(原始資料!AN$2:AN$501,$BJ327)))</f>
        <v/>
      </c>
      <c r="AM327" s="6">
        <f>IF(OR($BJ327="",38&gt;設定!$B$3),"",IF(INDEX(原始資料!AO$2:AO$501,$BJ327)="","",INDEX(原始資料!AO$2:AO$501,$BJ327)))</f>
        <v/>
      </c>
      <c r="AN327" s="6">
        <f>IF(OR($BJ327="",39&gt;設定!$B$3),"",IF(INDEX(原始資料!AP$2:AP$501,$BJ327)="","",INDEX(原始資料!AP$2:AP$501,$BJ327)))</f>
        <v/>
      </c>
      <c r="AO327" s="6">
        <f>IF(OR($BJ327="",40&gt;設定!$B$3),"",IF(INDEX(原始資料!AQ$2:AQ$501,$BJ327)="","",INDEX(原始資料!AQ$2:AQ$501,$BJ327)))</f>
        <v/>
      </c>
      <c r="AP327" s="6">
        <f>IF(OR($BJ327="",41&gt;設定!$B$3),"",IF(INDEX(原始資料!AR$2:AR$501,$BJ327)="","",INDEX(原始資料!AR$2:AR$501,$BJ327)))</f>
        <v/>
      </c>
      <c r="AQ327" s="6">
        <f>IF(OR($BJ327="",42&gt;設定!$B$3),"",IF(INDEX(原始資料!AS$2:AS$501,$BJ327)="","",INDEX(原始資料!AS$2:AS$501,$BJ327)))</f>
        <v/>
      </c>
      <c r="AR327" s="6">
        <f>IF(OR($BJ327="",43&gt;設定!$B$3),"",IF(INDEX(原始資料!AT$2:AT$501,$BJ327)="","",INDEX(原始資料!AT$2:AT$501,$BJ327)))</f>
        <v/>
      </c>
      <c r="AS327" s="6">
        <f>IF(OR($BJ327="",44&gt;設定!$B$3),"",IF(INDEX(原始資料!AU$2:AU$501,$BJ327)="","",INDEX(原始資料!AU$2:AU$501,$BJ327)))</f>
        <v/>
      </c>
      <c r="AT327" s="6">
        <f>IF(OR($BJ327="",45&gt;設定!$B$3),"",IF(INDEX(原始資料!AV$2:AV$501,$BJ327)="","",INDEX(原始資料!AV$2:AV$501,$BJ327)))</f>
        <v/>
      </c>
      <c r="AU327" s="6">
        <f>IF(OR($BJ327="",46&gt;設定!$B$3),"",IF(INDEX(原始資料!AW$2:AW$501,$BJ327)="","",INDEX(原始資料!AW$2:AW$501,$BJ327)))</f>
        <v/>
      </c>
      <c r="AV327" s="6">
        <f>IF(OR($BJ327="",47&gt;設定!$B$3),"",IF(INDEX(原始資料!AX$2:AX$501,$BJ327)="","",INDEX(原始資料!AX$2:AX$501,$BJ327)))</f>
        <v/>
      </c>
      <c r="AW327" s="6">
        <f>IF(OR($BJ327="",48&gt;設定!$B$3),"",IF(INDEX(原始資料!AY$2:AY$501,$BJ327)="","",INDEX(原始資料!AY$2:AY$501,$BJ327)))</f>
        <v/>
      </c>
      <c r="AX327" s="6">
        <f>IF(OR($BJ327="",49&gt;設定!$B$3),"",IF(INDEX(原始資料!AZ$2:AZ$501,$BJ327)="","",INDEX(原始資料!AZ$2:AZ$501,$BJ327)))</f>
        <v/>
      </c>
      <c r="AY327" s="6">
        <f>IF(OR($BJ327="",50&gt;設定!$B$3),"",IF(INDEX(原始資料!BA$2:BA$501,$BJ327)="","",INDEX(原始資料!BA$2:BA$501,$BJ327)))</f>
        <v/>
      </c>
      <c r="AZ327" s="6">
        <f>IF(OR($BJ327="",51&gt;設定!$B$3),"",IF(INDEX(原始資料!BB$2:BB$501,$BJ327)="","",INDEX(原始資料!BB$2:BB$501,$BJ327)))</f>
        <v/>
      </c>
      <c r="BA327" s="6">
        <f>IF(OR($BJ327="",52&gt;設定!$B$3),"",IF(INDEX(原始資料!BC$2:BC$501,$BJ327)="","",INDEX(原始資料!BC$2:BC$501,$BJ327)))</f>
        <v/>
      </c>
      <c r="BB327" s="6">
        <f>IF(OR($BJ327="",53&gt;設定!$B$3),"",IF(INDEX(原始資料!BD$2:BD$501,$BJ327)="","",INDEX(原始資料!BD$2:BD$501,$BJ327)))</f>
        <v/>
      </c>
      <c r="BC327" s="6">
        <f>IF(OR($BJ327="",54&gt;設定!$B$3),"",IF(INDEX(原始資料!BE$2:BE$501,$BJ327)="","",INDEX(原始資料!BE$2:BE$501,$BJ327)))</f>
        <v/>
      </c>
      <c r="BD327" s="6">
        <f>IF(OR($BJ327="",55&gt;設定!$B$3),"",IF(INDEX(原始資料!BF$2:BF$501,$BJ327)="","",INDEX(原始資料!BF$2:BF$501,$BJ327)))</f>
        <v/>
      </c>
      <c r="BE327" s="6">
        <f>IF(OR($BJ327="",56&gt;設定!$B$3),"",IF(INDEX(原始資料!BG$2:BG$501,$BJ327)="","",INDEX(原始資料!BG$2:BG$501,$BJ327)))</f>
        <v/>
      </c>
      <c r="BF327" s="6">
        <f>IF(OR($BJ327="",57&gt;設定!$B$3),"",IF(INDEX(原始資料!BH$2:BH$501,$BJ327)="","",INDEX(原始資料!BH$2:BH$501,$BJ327)))</f>
        <v/>
      </c>
      <c r="BG327" s="6">
        <f>IF(OR($BJ327="",58&gt;設定!$B$3),"",IF(INDEX(原始資料!BI$2:BI$501,$BJ327)="","",INDEX(原始資料!BI$2:BI$501,$BJ327)))</f>
        <v/>
      </c>
      <c r="BH327" s="6">
        <f>IF(OR($BJ327="",59&gt;設定!$B$3),"",IF(INDEX(原始資料!BJ$2:BJ$501,$BJ327)="","",INDEX(原始資料!BJ$2:BJ$501,$BJ327)))</f>
        <v/>
      </c>
      <c r="BI327" s="6">
        <f>IF(OR($BJ327="",60&gt;設定!$B$3),"",IF(INDEX(原始資料!BK$2:BK$501,$BJ327)="","",INDEX(原始資料!BK$2:BK$501,$BJ327)))</f>
        <v/>
      </c>
      <c r="BJ327" s="6">
        <f>IFERROR(MATCH(ROW()-1,判定!$H$2:$H$501,0),"")</f>
        <v/>
      </c>
    </row>
    <row r="328">
      <c r="A328" s="6">
        <f>IF($BJ328="","",INDEX(原始資料!$A$2:$A$501,$BJ328))</f>
        <v/>
      </c>
      <c r="B328" s="6">
        <f>IF(OR($BJ328="",1&gt;設定!$B$3),"",IF(INDEX(原始資料!D$2:D$501,$BJ328)="","",INDEX(原始資料!D$2:D$501,$BJ328)))</f>
        <v/>
      </c>
      <c r="C328" s="6">
        <f>IF(OR($BJ328="",2&gt;設定!$B$3),"",IF(INDEX(原始資料!E$2:E$501,$BJ328)="","",INDEX(原始資料!E$2:E$501,$BJ328)))</f>
        <v/>
      </c>
      <c r="D328" s="6">
        <f>IF(OR($BJ328="",3&gt;設定!$B$3),"",IF(INDEX(原始資料!F$2:F$501,$BJ328)="","",INDEX(原始資料!F$2:F$501,$BJ328)))</f>
        <v/>
      </c>
      <c r="E328" s="6">
        <f>IF(OR($BJ328="",4&gt;設定!$B$3),"",IF(INDEX(原始資料!G$2:G$501,$BJ328)="","",INDEX(原始資料!G$2:G$501,$BJ328)))</f>
        <v/>
      </c>
      <c r="F328" s="6">
        <f>IF(OR($BJ328="",5&gt;設定!$B$3),"",IF(INDEX(原始資料!H$2:H$501,$BJ328)="","",INDEX(原始資料!H$2:H$501,$BJ328)))</f>
        <v/>
      </c>
      <c r="G328" s="6">
        <f>IF(OR($BJ328="",6&gt;設定!$B$3),"",IF(INDEX(原始資料!I$2:I$501,$BJ328)="","",INDEX(原始資料!I$2:I$501,$BJ328)))</f>
        <v/>
      </c>
      <c r="H328" s="6">
        <f>IF(OR($BJ328="",7&gt;設定!$B$3),"",IF(INDEX(原始資料!J$2:J$501,$BJ328)="","",INDEX(原始資料!J$2:J$501,$BJ328)))</f>
        <v/>
      </c>
      <c r="I328" s="6">
        <f>IF(OR($BJ328="",8&gt;設定!$B$3),"",IF(INDEX(原始資料!K$2:K$501,$BJ328)="","",INDEX(原始資料!K$2:K$501,$BJ328)))</f>
        <v/>
      </c>
      <c r="J328" s="6">
        <f>IF(OR($BJ328="",9&gt;設定!$B$3),"",IF(INDEX(原始資料!L$2:L$501,$BJ328)="","",INDEX(原始資料!L$2:L$501,$BJ328)))</f>
        <v/>
      </c>
      <c r="K328" s="6">
        <f>IF(OR($BJ328="",10&gt;設定!$B$3),"",IF(INDEX(原始資料!M$2:M$501,$BJ328)="","",INDEX(原始資料!M$2:M$501,$BJ328)))</f>
        <v/>
      </c>
      <c r="L328" s="6">
        <f>IF(OR($BJ328="",11&gt;設定!$B$3),"",IF(INDEX(原始資料!N$2:N$501,$BJ328)="","",INDEX(原始資料!N$2:N$501,$BJ328)))</f>
        <v/>
      </c>
      <c r="M328" s="6">
        <f>IF(OR($BJ328="",12&gt;設定!$B$3),"",IF(INDEX(原始資料!O$2:O$501,$BJ328)="","",INDEX(原始資料!O$2:O$501,$BJ328)))</f>
        <v/>
      </c>
      <c r="N328" s="6">
        <f>IF(OR($BJ328="",13&gt;設定!$B$3),"",IF(INDEX(原始資料!P$2:P$501,$BJ328)="","",INDEX(原始資料!P$2:P$501,$BJ328)))</f>
        <v/>
      </c>
      <c r="O328" s="6">
        <f>IF(OR($BJ328="",14&gt;設定!$B$3),"",IF(INDEX(原始資料!Q$2:Q$501,$BJ328)="","",INDEX(原始資料!Q$2:Q$501,$BJ328)))</f>
        <v/>
      </c>
      <c r="P328" s="6">
        <f>IF(OR($BJ328="",15&gt;設定!$B$3),"",IF(INDEX(原始資料!R$2:R$501,$BJ328)="","",INDEX(原始資料!R$2:R$501,$BJ328)))</f>
        <v/>
      </c>
      <c r="Q328" s="6">
        <f>IF(OR($BJ328="",16&gt;設定!$B$3),"",IF(INDEX(原始資料!S$2:S$501,$BJ328)="","",INDEX(原始資料!S$2:S$501,$BJ328)))</f>
        <v/>
      </c>
      <c r="R328" s="6">
        <f>IF(OR($BJ328="",17&gt;設定!$B$3),"",IF(INDEX(原始資料!T$2:T$501,$BJ328)="","",INDEX(原始資料!T$2:T$501,$BJ328)))</f>
        <v/>
      </c>
      <c r="S328" s="6">
        <f>IF(OR($BJ328="",18&gt;設定!$B$3),"",IF(INDEX(原始資料!U$2:U$501,$BJ328)="","",INDEX(原始資料!U$2:U$501,$BJ328)))</f>
        <v/>
      </c>
      <c r="T328" s="6">
        <f>IF(OR($BJ328="",19&gt;設定!$B$3),"",IF(INDEX(原始資料!V$2:V$501,$BJ328)="","",INDEX(原始資料!V$2:V$501,$BJ328)))</f>
        <v/>
      </c>
      <c r="U328" s="6">
        <f>IF(OR($BJ328="",20&gt;設定!$B$3),"",IF(INDEX(原始資料!W$2:W$501,$BJ328)="","",INDEX(原始資料!W$2:W$501,$BJ328)))</f>
        <v/>
      </c>
      <c r="V328" s="6">
        <f>IF(OR($BJ328="",21&gt;設定!$B$3),"",IF(INDEX(原始資料!X$2:X$501,$BJ328)="","",INDEX(原始資料!X$2:X$501,$BJ328)))</f>
        <v/>
      </c>
      <c r="W328" s="6">
        <f>IF(OR($BJ328="",22&gt;設定!$B$3),"",IF(INDEX(原始資料!Y$2:Y$501,$BJ328)="","",INDEX(原始資料!Y$2:Y$501,$BJ328)))</f>
        <v/>
      </c>
      <c r="X328" s="6">
        <f>IF(OR($BJ328="",23&gt;設定!$B$3),"",IF(INDEX(原始資料!Z$2:Z$501,$BJ328)="","",INDEX(原始資料!Z$2:Z$501,$BJ328)))</f>
        <v/>
      </c>
      <c r="Y328" s="6">
        <f>IF(OR($BJ328="",24&gt;設定!$B$3),"",IF(INDEX(原始資料!AA$2:AA$501,$BJ328)="","",INDEX(原始資料!AA$2:AA$501,$BJ328)))</f>
        <v/>
      </c>
      <c r="Z328" s="6">
        <f>IF(OR($BJ328="",25&gt;設定!$B$3),"",IF(INDEX(原始資料!AB$2:AB$501,$BJ328)="","",INDEX(原始資料!AB$2:AB$501,$BJ328)))</f>
        <v/>
      </c>
      <c r="AA328" s="6">
        <f>IF(OR($BJ328="",26&gt;設定!$B$3),"",IF(INDEX(原始資料!AC$2:AC$501,$BJ328)="","",INDEX(原始資料!AC$2:AC$501,$BJ328)))</f>
        <v/>
      </c>
      <c r="AB328" s="6">
        <f>IF(OR($BJ328="",27&gt;設定!$B$3),"",IF(INDEX(原始資料!AD$2:AD$501,$BJ328)="","",INDEX(原始資料!AD$2:AD$501,$BJ328)))</f>
        <v/>
      </c>
      <c r="AC328" s="6">
        <f>IF(OR($BJ328="",28&gt;設定!$B$3),"",IF(INDEX(原始資料!AE$2:AE$501,$BJ328)="","",INDEX(原始資料!AE$2:AE$501,$BJ328)))</f>
        <v/>
      </c>
      <c r="AD328" s="6">
        <f>IF(OR($BJ328="",29&gt;設定!$B$3),"",IF(INDEX(原始資料!AF$2:AF$501,$BJ328)="","",INDEX(原始資料!AF$2:AF$501,$BJ328)))</f>
        <v/>
      </c>
      <c r="AE328" s="6">
        <f>IF(OR($BJ328="",30&gt;設定!$B$3),"",IF(INDEX(原始資料!AG$2:AG$501,$BJ328)="","",INDEX(原始資料!AG$2:AG$501,$BJ328)))</f>
        <v/>
      </c>
      <c r="AF328" s="6">
        <f>IF(OR($BJ328="",31&gt;設定!$B$3),"",IF(INDEX(原始資料!AH$2:AH$501,$BJ328)="","",INDEX(原始資料!AH$2:AH$501,$BJ328)))</f>
        <v/>
      </c>
      <c r="AG328" s="6">
        <f>IF(OR($BJ328="",32&gt;設定!$B$3),"",IF(INDEX(原始資料!AI$2:AI$501,$BJ328)="","",INDEX(原始資料!AI$2:AI$501,$BJ328)))</f>
        <v/>
      </c>
      <c r="AH328" s="6">
        <f>IF(OR($BJ328="",33&gt;設定!$B$3),"",IF(INDEX(原始資料!AJ$2:AJ$501,$BJ328)="","",INDEX(原始資料!AJ$2:AJ$501,$BJ328)))</f>
        <v/>
      </c>
      <c r="AI328" s="6">
        <f>IF(OR($BJ328="",34&gt;設定!$B$3),"",IF(INDEX(原始資料!AK$2:AK$501,$BJ328)="","",INDEX(原始資料!AK$2:AK$501,$BJ328)))</f>
        <v/>
      </c>
      <c r="AJ328" s="6">
        <f>IF(OR($BJ328="",35&gt;設定!$B$3),"",IF(INDEX(原始資料!AL$2:AL$501,$BJ328)="","",INDEX(原始資料!AL$2:AL$501,$BJ328)))</f>
        <v/>
      </c>
      <c r="AK328" s="6">
        <f>IF(OR($BJ328="",36&gt;設定!$B$3),"",IF(INDEX(原始資料!AM$2:AM$501,$BJ328)="","",INDEX(原始資料!AM$2:AM$501,$BJ328)))</f>
        <v/>
      </c>
      <c r="AL328" s="6">
        <f>IF(OR($BJ328="",37&gt;設定!$B$3),"",IF(INDEX(原始資料!AN$2:AN$501,$BJ328)="","",INDEX(原始資料!AN$2:AN$501,$BJ328)))</f>
        <v/>
      </c>
      <c r="AM328" s="6">
        <f>IF(OR($BJ328="",38&gt;設定!$B$3),"",IF(INDEX(原始資料!AO$2:AO$501,$BJ328)="","",INDEX(原始資料!AO$2:AO$501,$BJ328)))</f>
        <v/>
      </c>
      <c r="AN328" s="6">
        <f>IF(OR($BJ328="",39&gt;設定!$B$3),"",IF(INDEX(原始資料!AP$2:AP$501,$BJ328)="","",INDEX(原始資料!AP$2:AP$501,$BJ328)))</f>
        <v/>
      </c>
      <c r="AO328" s="6">
        <f>IF(OR($BJ328="",40&gt;設定!$B$3),"",IF(INDEX(原始資料!AQ$2:AQ$501,$BJ328)="","",INDEX(原始資料!AQ$2:AQ$501,$BJ328)))</f>
        <v/>
      </c>
      <c r="AP328" s="6">
        <f>IF(OR($BJ328="",41&gt;設定!$B$3),"",IF(INDEX(原始資料!AR$2:AR$501,$BJ328)="","",INDEX(原始資料!AR$2:AR$501,$BJ328)))</f>
        <v/>
      </c>
      <c r="AQ328" s="6">
        <f>IF(OR($BJ328="",42&gt;設定!$B$3),"",IF(INDEX(原始資料!AS$2:AS$501,$BJ328)="","",INDEX(原始資料!AS$2:AS$501,$BJ328)))</f>
        <v/>
      </c>
      <c r="AR328" s="6">
        <f>IF(OR($BJ328="",43&gt;設定!$B$3),"",IF(INDEX(原始資料!AT$2:AT$501,$BJ328)="","",INDEX(原始資料!AT$2:AT$501,$BJ328)))</f>
        <v/>
      </c>
      <c r="AS328" s="6">
        <f>IF(OR($BJ328="",44&gt;設定!$B$3),"",IF(INDEX(原始資料!AU$2:AU$501,$BJ328)="","",INDEX(原始資料!AU$2:AU$501,$BJ328)))</f>
        <v/>
      </c>
      <c r="AT328" s="6">
        <f>IF(OR($BJ328="",45&gt;設定!$B$3),"",IF(INDEX(原始資料!AV$2:AV$501,$BJ328)="","",INDEX(原始資料!AV$2:AV$501,$BJ328)))</f>
        <v/>
      </c>
      <c r="AU328" s="6">
        <f>IF(OR($BJ328="",46&gt;設定!$B$3),"",IF(INDEX(原始資料!AW$2:AW$501,$BJ328)="","",INDEX(原始資料!AW$2:AW$501,$BJ328)))</f>
        <v/>
      </c>
      <c r="AV328" s="6">
        <f>IF(OR($BJ328="",47&gt;設定!$B$3),"",IF(INDEX(原始資料!AX$2:AX$501,$BJ328)="","",INDEX(原始資料!AX$2:AX$501,$BJ328)))</f>
        <v/>
      </c>
      <c r="AW328" s="6">
        <f>IF(OR($BJ328="",48&gt;設定!$B$3),"",IF(INDEX(原始資料!AY$2:AY$501,$BJ328)="","",INDEX(原始資料!AY$2:AY$501,$BJ328)))</f>
        <v/>
      </c>
      <c r="AX328" s="6">
        <f>IF(OR($BJ328="",49&gt;設定!$B$3),"",IF(INDEX(原始資料!AZ$2:AZ$501,$BJ328)="","",INDEX(原始資料!AZ$2:AZ$501,$BJ328)))</f>
        <v/>
      </c>
      <c r="AY328" s="6">
        <f>IF(OR($BJ328="",50&gt;設定!$B$3),"",IF(INDEX(原始資料!BA$2:BA$501,$BJ328)="","",INDEX(原始資料!BA$2:BA$501,$BJ328)))</f>
        <v/>
      </c>
      <c r="AZ328" s="6">
        <f>IF(OR($BJ328="",51&gt;設定!$B$3),"",IF(INDEX(原始資料!BB$2:BB$501,$BJ328)="","",INDEX(原始資料!BB$2:BB$501,$BJ328)))</f>
        <v/>
      </c>
      <c r="BA328" s="6">
        <f>IF(OR($BJ328="",52&gt;設定!$B$3),"",IF(INDEX(原始資料!BC$2:BC$501,$BJ328)="","",INDEX(原始資料!BC$2:BC$501,$BJ328)))</f>
        <v/>
      </c>
      <c r="BB328" s="6">
        <f>IF(OR($BJ328="",53&gt;設定!$B$3),"",IF(INDEX(原始資料!BD$2:BD$501,$BJ328)="","",INDEX(原始資料!BD$2:BD$501,$BJ328)))</f>
        <v/>
      </c>
      <c r="BC328" s="6">
        <f>IF(OR($BJ328="",54&gt;設定!$B$3),"",IF(INDEX(原始資料!BE$2:BE$501,$BJ328)="","",INDEX(原始資料!BE$2:BE$501,$BJ328)))</f>
        <v/>
      </c>
      <c r="BD328" s="6">
        <f>IF(OR($BJ328="",55&gt;設定!$B$3),"",IF(INDEX(原始資料!BF$2:BF$501,$BJ328)="","",INDEX(原始資料!BF$2:BF$501,$BJ328)))</f>
        <v/>
      </c>
      <c r="BE328" s="6">
        <f>IF(OR($BJ328="",56&gt;設定!$B$3),"",IF(INDEX(原始資料!BG$2:BG$501,$BJ328)="","",INDEX(原始資料!BG$2:BG$501,$BJ328)))</f>
        <v/>
      </c>
      <c r="BF328" s="6">
        <f>IF(OR($BJ328="",57&gt;設定!$B$3),"",IF(INDEX(原始資料!BH$2:BH$501,$BJ328)="","",INDEX(原始資料!BH$2:BH$501,$BJ328)))</f>
        <v/>
      </c>
      <c r="BG328" s="6">
        <f>IF(OR($BJ328="",58&gt;設定!$B$3),"",IF(INDEX(原始資料!BI$2:BI$501,$BJ328)="","",INDEX(原始資料!BI$2:BI$501,$BJ328)))</f>
        <v/>
      </c>
      <c r="BH328" s="6">
        <f>IF(OR($BJ328="",59&gt;設定!$B$3),"",IF(INDEX(原始資料!BJ$2:BJ$501,$BJ328)="","",INDEX(原始資料!BJ$2:BJ$501,$BJ328)))</f>
        <v/>
      </c>
      <c r="BI328" s="6">
        <f>IF(OR($BJ328="",60&gt;設定!$B$3),"",IF(INDEX(原始資料!BK$2:BK$501,$BJ328)="","",INDEX(原始資料!BK$2:BK$501,$BJ328)))</f>
        <v/>
      </c>
      <c r="BJ328" s="6">
        <f>IFERROR(MATCH(ROW()-1,判定!$H$2:$H$501,0),"")</f>
        <v/>
      </c>
    </row>
    <row r="329">
      <c r="A329" s="6">
        <f>IF($BJ329="","",INDEX(原始資料!$A$2:$A$501,$BJ329))</f>
        <v/>
      </c>
      <c r="B329" s="6">
        <f>IF(OR($BJ329="",1&gt;設定!$B$3),"",IF(INDEX(原始資料!D$2:D$501,$BJ329)="","",INDEX(原始資料!D$2:D$501,$BJ329)))</f>
        <v/>
      </c>
      <c r="C329" s="6">
        <f>IF(OR($BJ329="",2&gt;設定!$B$3),"",IF(INDEX(原始資料!E$2:E$501,$BJ329)="","",INDEX(原始資料!E$2:E$501,$BJ329)))</f>
        <v/>
      </c>
      <c r="D329" s="6">
        <f>IF(OR($BJ329="",3&gt;設定!$B$3),"",IF(INDEX(原始資料!F$2:F$501,$BJ329)="","",INDEX(原始資料!F$2:F$501,$BJ329)))</f>
        <v/>
      </c>
      <c r="E329" s="6">
        <f>IF(OR($BJ329="",4&gt;設定!$B$3),"",IF(INDEX(原始資料!G$2:G$501,$BJ329)="","",INDEX(原始資料!G$2:G$501,$BJ329)))</f>
        <v/>
      </c>
      <c r="F329" s="6">
        <f>IF(OR($BJ329="",5&gt;設定!$B$3),"",IF(INDEX(原始資料!H$2:H$501,$BJ329)="","",INDEX(原始資料!H$2:H$501,$BJ329)))</f>
        <v/>
      </c>
      <c r="G329" s="6">
        <f>IF(OR($BJ329="",6&gt;設定!$B$3),"",IF(INDEX(原始資料!I$2:I$501,$BJ329)="","",INDEX(原始資料!I$2:I$501,$BJ329)))</f>
        <v/>
      </c>
      <c r="H329" s="6">
        <f>IF(OR($BJ329="",7&gt;設定!$B$3),"",IF(INDEX(原始資料!J$2:J$501,$BJ329)="","",INDEX(原始資料!J$2:J$501,$BJ329)))</f>
        <v/>
      </c>
      <c r="I329" s="6">
        <f>IF(OR($BJ329="",8&gt;設定!$B$3),"",IF(INDEX(原始資料!K$2:K$501,$BJ329)="","",INDEX(原始資料!K$2:K$501,$BJ329)))</f>
        <v/>
      </c>
      <c r="J329" s="6">
        <f>IF(OR($BJ329="",9&gt;設定!$B$3),"",IF(INDEX(原始資料!L$2:L$501,$BJ329)="","",INDEX(原始資料!L$2:L$501,$BJ329)))</f>
        <v/>
      </c>
      <c r="K329" s="6">
        <f>IF(OR($BJ329="",10&gt;設定!$B$3),"",IF(INDEX(原始資料!M$2:M$501,$BJ329)="","",INDEX(原始資料!M$2:M$501,$BJ329)))</f>
        <v/>
      </c>
      <c r="L329" s="6">
        <f>IF(OR($BJ329="",11&gt;設定!$B$3),"",IF(INDEX(原始資料!N$2:N$501,$BJ329)="","",INDEX(原始資料!N$2:N$501,$BJ329)))</f>
        <v/>
      </c>
      <c r="M329" s="6">
        <f>IF(OR($BJ329="",12&gt;設定!$B$3),"",IF(INDEX(原始資料!O$2:O$501,$BJ329)="","",INDEX(原始資料!O$2:O$501,$BJ329)))</f>
        <v/>
      </c>
      <c r="N329" s="6">
        <f>IF(OR($BJ329="",13&gt;設定!$B$3),"",IF(INDEX(原始資料!P$2:P$501,$BJ329)="","",INDEX(原始資料!P$2:P$501,$BJ329)))</f>
        <v/>
      </c>
      <c r="O329" s="6">
        <f>IF(OR($BJ329="",14&gt;設定!$B$3),"",IF(INDEX(原始資料!Q$2:Q$501,$BJ329)="","",INDEX(原始資料!Q$2:Q$501,$BJ329)))</f>
        <v/>
      </c>
      <c r="P329" s="6">
        <f>IF(OR($BJ329="",15&gt;設定!$B$3),"",IF(INDEX(原始資料!R$2:R$501,$BJ329)="","",INDEX(原始資料!R$2:R$501,$BJ329)))</f>
        <v/>
      </c>
      <c r="Q329" s="6">
        <f>IF(OR($BJ329="",16&gt;設定!$B$3),"",IF(INDEX(原始資料!S$2:S$501,$BJ329)="","",INDEX(原始資料!S$2:S$501,$BJ329)))</f>
        <v/>
      </c>
      <c r="R329" s="6">
        <f>IF(OR($BJ329="",17&gt;設定!$B$3),"",IF(INDEX(原始資料!T$2:T$501,$BJ329)="","",INDEX(原始資料!T$2:T$501,$BJ329)))</f>
        <v/>
      </c>
      <c r="S329" s="6">
        <f>IF(OR($BJ329="",18&gt;設定!$B$3),"",IF(INDEX(原始資料!U$2:U$501,$BJ329)="","",INDEX(原始資料!U$2:U$501,$BJ329)))</f>
        <v/>
      </c>
      <c r="T329" s="6">
        <f>IF(OR($BJ329="",19&gt;設定!$B$3),"",IF(INDEX(原始資料!V$2:V$501,$BJ329)="","",INDEX(原始資料!V$2:V$501,$BJ329)))</f>
        <v/>
      </c>
      <c r="U329" s="6">
        <f>IF(OR($BJ329="",20&gt;設定!$B$3),"",IF(INDEX(原始資料!W$2:W$501,$BJ329)="","",INDEX(原始資料!W$2:W$501,$BJ329)))</f>
        <v/>
      </c>
      <c r="V329" s="6">
        <f>IF(OR($BJ329="",21&gt;設定!$B$3),"",IF(INDEX(原始資料!X$2:X$501,$BJ329)="","",INDEX(原始資料!X$2:X$501,$BJ329)))</f>
        <v/>
      </c>
      <c r="W329" s="6">
        <f>IF(OR($BJ329="",22&gt;設定!$B$3),"",IF(INDEX(原始資料!Y$2:Y$501,$BJ329)="","",INDEX(原始資料!Y$2:Y$501,$BJ329)))</f>
        <v/>
      </c>
      <c r="X329" s="6">
        <f>IF(OR($BJ329="",23&gt;設定!$B$3),"",IF(INDEX(原始資料!Z$2:Z$501,$BJ329)="","",INDEX(原始資料!Z$2:Z$501,$BJ329)))</f>
        <v/>
      </c>
      <c r="Y329" s="6">
        <f>IF(OR($BJ329="",24&gt;設定!$B$3),"",IF(INDEX(原始資料!AA$2:AA$501,$BJ329)="","",INDEX(原始資料!AA$2:AA$501,$BJ329)))</f>
        <v/>
      </c>
      <c r="Z329" s="6">
        <f>IF(OR($BJ329="",25&gt;設定!$B$3),"",IF(INDEX(原始資料!AB$2:AB$501,$BJ329)="","",INDEX(原始資料!AB$2:AB$501,$BJ329)))</f>
        <v/>
      </c>
      <c r="AA329" s="6">
        <f>IF(OR($BJ329="",26&gt;設定!$B$3),"",IF(INDEX(原始資料!AC$2:AC$501,$BJ329)="","",INDEX(原始資料!AC$2:AC$501,$BJ329)))</f>
        <v/>
      </c>
      <c r="AB329" s="6">
        <f>IF(OR($BJ329="",27&gt;設定!$B$3),"",IF(INDEX(原始資料!AD$2:AD$501,$BJ329)="","",INDEX(原始資料!AD$2:AD$501,$BJ329)))</f>
        <v/>
      </c>
      <c r="AC329" s="6">
        <f>IF(OR($BJ329="",28&gt;設定!$B$3),"",IF(INDEX(原始資料!AE$2:AE$501,$BJ329)="","",INDEX(原始資料!AE$2:AE$501,$BJ329)))</f>
        <v/>
      </c>
      <c r="AD329" s="6">
        <f>IF(OR($BJ329="",29&gt;設定!$B$3),"",IF(INDEX(原始資料!AF$2:AF$501,$BJ329)="","",INDEX(原始資料!AF$2:AF$501,$BJ329)))</f>
        <v/>
      </c>
      <c r="AE329" s="6">
        <f>IF(OR($BJ329="",30&gt;設定!$B$3),"",IF(INDEX(原始資料!AG$2:AG$501,$BJ329)="","",INDEX(原始資料!AG$2:AG$501,$BJ329)))</f>
        <v/>
      </c>
      <c r="AF329" s="6">
        <f>IF(OR($BJ329="",31&gt;設定!$B$3),"",IF(INDEX(原始資料!AH$2:AH$501,$BJ329)="","",INDEX(原始資料!AH$2:AH$501,$BJ329)))</f>
        <v/>
      </c>
      <c r="AG329" s="6">
        <f>IF(OR($BJ329="",32&gt;設定!$B$3),"",IF(INDEX(原始資料!AI$2:AI$501,$BJ329)="","",INDEX(原始資料!AI$2:AI$501,$BJ329)))</f>
        <v/>
      </c>
      <c r="AH329" s="6">
        <f>IF(OR($BJ329="",33&gt;設定!$B$3),"",IF(INDEX(原始資料!AJ$2:AJ$501,$BJ329)="","",INDEX(原始資料!AJ$2:AJ$501,$BJ329)))</f>
        <v/>
      </c>
      <c r="AI329" s="6">
        <f>IF(OR($BJ329="",34&gt;設定!$B$3),"",IF(INDEX(原始資料!AK$2:AK$501,$BJ329)="","",INDEX(原始資料!AK$2:AK$501,$BJ329)))</f>
        <v/>
      </c>
      <c r="AJ329" s="6">
        <f>IF(OR($BJ329="",35&gt;設定!$B$3),"",IF(INDEX(原始資料!AL$2:AL$501,$BJ329)="","",INDEX(原始資料!AL$2:AL$501,$BJ329)))</f>
        <v/>
      </c>
      <c r="AK329" s="6">
        <f>IF(OR($BJ329="",36&gt;設定!$B$3),"",IF(INDEX(原始資料!AM$2:AM$501,$BJ329)="","",INDEX(原始資料!AM$2:AM$501,$BJ329)))</f>
        <v/>
      </c>
      <c r="AL329" s="6">
        <f>IF(OR($BJ329="",37&gt;設定!$B$3),"",IF(INDEX(原始資料!AN$2:AN$501,$BJ329)="","",INDEX(原始資料!AN$2:AN$501,$BJ329)))</f>
        <v/>
      </c>
      <c r="AM329" s="6">
        <f>IF(OR($BJ329="",38&gt;設定!$B$3),"",IF(INDEX(原始資料!AO$2:AO$501,$BJ329)="","",INDEX(原始資料!AO$2:AO$501,$BJ329)))</f>
        <v/>
      </c>
      <c r="AN329" s="6">
        <f>IF(OR($BJ329="",39&gt;設定!$B$3),"",IF(INDEX(原始資料!AP$2:AP$501,$BJ329)="","",INDEX(原始資料!AP$2:AP$501,$BJ329)))</f>
        <v/>
      </c>
      <c r="AO329" s="6">
        <f>IF(OR($BJ329="",40&gt;設定!$B$3),"",IF(INDEX(原始資料!AQ$2:AQ$501,$BJ329)="","",INDEX(原始資料!AQ$2:AQ$501,$BJ329)))</f>
        <v/>
      </c>
      <c r="AP329" s="6">
        <f>IF(OR($BJ329="",41&gt;設定!$B$3),"",IF(INDEX(原始資料!AR$2:AR$501,$BJ329)="","",INDEX(原始資料!AR$2:AR$501,$BJ329)))</f>
        <v/>
      </c>
      <c r="AQ329" s="6">
        <f>IF(OR($BJ329="",42&gt;設定!$B$3),"",IF(INDEX(原始資料!AS$2:AS$501,$BJ329)="","",INDEX(原始資料!AS$2:AS$501,$BJ329)))</f>
        <v/>
      </c>
      <c r="AR329" s="6">
        <f>IF(OR($BJ329="",43&gt;設定!$B$3),"",IF(INDEX(原始資料!AT$2:AT$501,$BJ329)="","",INDEX(原始資料!AT$2:AT$501,$BJ329)))</f>
        <v/>
      </c>
      <c r="AS329" s="6">
        <f>IF(OR($BJ329="",44&gt;設定!$B$3),"",IF(INDEX(原始資料!AU$2:AU$501,$BJ329)="","",INDEX(原始資料!AU$2:AU$501,$BJ329)))</f>
        <v/>
      </c>
      <c r="AT329" s="6">
        <f>IF(OR($BJ329="",45&gt;設定!$B$3),"",IF(INDEX(原始資料!AV$2:AV$501,$BJ329)="","",INDEX(原始資料!AV$2:AV$501,$BJ329)))</f>
        <v/>
      </c>
      <c r="AU329" s="6">
        <f>IF(OR($BJ329="",46&gt;設定!$B$3),"",IF(INDEX(原始資料!AW$2:AW$501,$BJ329)="","",INDEX(原始資料!AW$2:AW$501,$BJ329)))</f>
        <v/>
      </c>
      <c r="AV329" s="6">
        <f>IF(OR($BJ329="",47&gt;設定!$B$3),"",IF(INDEX(原始資料!AX$2:AX$501,$BJ329)="","",INDEX(原始資料!AX$2:AX$501,$BJ329)))</f>
        <v/>
      </c>
      <c r="AW329" s="6">
        <f>IF(OR($BJ329="",48&gt;設定!$B$3),"",IF(INDEX(原始資料!AY$2:AY$501,$BJ329)="","",INDEX(原始資料!AY$2:AY$501,$BJ329)))</f>
        <v/>
      </c>
      <c r="AX329" s="6">
        <f>IF(OR($BJ329="",49&gt;設定!$B$3),"",IF(INDEX(原始資料!AZ$2:AZ$501,$BJ329)="","",INDEX(原始資料!AZ$2:AZ$501,$BJ329)))</f>
        <v/>
      </c>
      <c r="AY329" s="6">
        <f>IF(OR($BJ329="",50&gt;設定!$B$3),"",IF(INDEX(原始資料!BA$2:BA$501,$BJ329)="","",INDEX(原始資料!BA$2:BA$501,$BJ329)))</f>
        <v/>
      </c>
      <c r="AZ329" s="6">
        <f>IF(OR($BJ329="",51&gt;設定!$B$3),"",IF(INDEX(原始資料!BB$2:BB$501,$BJ329)="","",INDEX(原始資料!BB$2:BB$501,$BJ329)))</f>
        <v/>
      </c>
      <c r="BA329" s="6">
        <f>IF(OR($BJ329="",52&gt;設定!$B$3),"",IF(INDEX(原始資料!BC$2:BC$501,$BJ329)="","",INDEX(原始資料!BC$2:BC$501,$BJ329)))</f>
        <v/>
      </c>
      <c r="BB329" s="6">
        <f>IF(OR($BJ329="",53&gt;設定!$B$3),"",IF(INDEX(原始資料!BD$2:BD$501,$BJ329)="","",INDEX(原始資料!BD$2:BD$501,$BJ329)))</f>
        <v/>
      </c>
      <c r="BC329" s="6">
        <f>IF(OR($BJ329="",54&gt;設定!$B$3),"",IF(INDEX(原始資料!BE$2:BE$501,$BJ329)="","",INDEX(原始資料!BE$2:BE$501,$BJ329)))</f>
        <v/>
      </c>
      <c r="BD329" s="6">
        <f>IF(OR($BJ329="",55&gt;設定!$B$3),"",IF(INDEX(原始資料!BF$2:BF$501,$BJ329)="","",INDEX(原始資料!BF$2:BF$501,$BJ329)))</f>
        <v/>
      </c>
      <c r="BE329" s="6">
        <f>IF(OR($BJ329="",56&gt;設定!$B$3),"",IF(INDEX(原始資料!BG$2:BG$501,$BJ329)="","",INDEX(原始資料!BG$2:BG$501,$BJ329)))</f>
        <v/>
      </c>
      <c r="BF329" s="6">
        <f>IF(OR($BJ329="",57&gt;設定!$B$3),"",IF(INDEX(原始資料!BH$2:BH$501,$BJ329)="","",INDEX(原始資料!BH$2:BH$501,$BJ329)))</f>
        <v/>
      </c>
      <c r="BG329" s="6">
        <f>IF(OR($BJ329="",58&gt;設定!$B$3),"",IF(INDEX(原始資料!BI$2:BI$501,$BJ329)="","",INDEX(原始資料!BI$2:BI$501,$BJ329)))</f>
        <v/>
      </c>
      <c r="BH329" s="6">
        <f>IF(OR($BJ329="",59&gt;設定!$B$3),"",IF(INDEX(原始資料!BJ$2:BJ$501,$BJ329)="","",INDEX(原始資料!BJ$2:BJ$501,$BJ329)))</f>
        <v/>
      </c>
      <c r="BI329" s="6">
        <f>IF(OR($BJ329="",60&gt;設定!$B$3),"",IF(INDEX(原始資料!BK$2:BK$501,$BJ329)="","",INDEX(原始資料!BK$2:BK$501,$BJ329)))</f>
        <v/>
      </c>
      <c r="BJ329" s="6">
        <f>IFERROR(MATCH(ROW()-1,判定!$H$2:$H$501,0),"")</f>
        <v/>
      </c>
    </row>
    <row r="330">
      <c r="A330" s="6">
        <f>IF($BJ330="","",INDEX(原始資料!$A$2:$A$501,$BJ330))</f>
        <v/>
      </c>
      <c r="B330" s="6">
        <f>IF(OR($BJ330="",1&gt;設定!$B$3),"",IF(INDEX(原始資料!D$2:D$501,$BJ330)="","",INDEX(原始資料!D$2:D$501,$BJ330)))</f>
        <v/>
      </c>
      <c r="C330" s="6">
        <f>IF(OR($BJ330="",2&gt;設定!$B$3),"",IF(INDEX(原始資料!E$2:E$501,$BJ330)="","",INDEX(原始資料!E$2:E$501,$BJ330)))</f>
        <v/>
      </c>
      <c r="D330" s="6">
        <f>IF(OR($BJ330="",3&gt;設定!$B$3),"",IF(INDEX(原始資料!F$2:F$501,$BJ330)="","",INDEX(原始資料!F$2:F$501,$BJ330)))</f>
        <v/>
      </c>
      <c r="E330" s="6">
        <f>IF(OR($BJ330="",4&gt;設定!$B$3),"",IF(INDEX(原始資料!G$2:G$501,$BJ330)="","",INDEX(原始資料!G$2:G$501,$BJ330)))</f>
        <v/>
      </c>
      <c r="F330" s="6">
        <f>IF(OR($BJ330="",5&gt;設定!$B$3),"",IF(INDEX(原始資料!H$2:H$501,$BJ330)="","",INDEX(原始資料!H$2:H$501,$BJ330)))</f>
        <v/>
      </c>
      <c r="G330" s="6">
        <f>IF(OR($BJ330="",6&gt;設定!$B$3),"",IF(INDEX(原始資料!I$2:I$501,$BJ330)="","",INDEX(原始資料!I$2:I$501,$BJ330)))</f>
        <v/>
      </c>
      <c r="H330" s="6">
        <f>IF(OR($BJ330="",7&gt;設定!$B$3),"",IF(INDEX(原始資料!J$2:J$501,$BJ330)="","",INDEX(原始資料!J$2:J$501,$BJ330)))</f>
        <v/>
      </c>
      <c r="I330" s="6">
        <f>IF(OR($BJ330="",8&gt;設定!$B$3),"",IF(INDEX(原始資料!K$2:K$501,$BJ330)="","",INDEX(原始資料!K$2:K$501,$BJ330)))</f>
        <v/>
      </c>
      <c r="J330" s="6">
        <f>IF(OR($BJ330="",9&gt;設定!$B$3),"",IF(INDEX(原始資料!L$2:L$501,$BJ330)="","",INDEX(原始資料!L$2:L$501,$BJ330)))</f>
        <v/>
      </c>
      <c r="K330" s="6">
        <f>IF(OR($BJ330="",10&gt;設定!$B$3),"",IF(INDEX(原始資料!M$2:M$501,$BJ330)="","",INDEX(原始資料!M$2:M$501,$BJ330)))</f>
        <v/>
      </c>
      <c r="L330" s="6">
        <f>IF(OR($BJ330="",11&gt;設定!$B$3),"",IF(INDEX(原始資料!N$2:N$501,$BJ330)="","",INDEX(原始資料!N$2:N$501,$BJ330)))</f>
        <v/>
      </c>
      <c r="M330" s="6">
        <f>IF(OR($BJ330="",12&gt;設定!$B$3),"",IF(INDEX(原始資料!O$2:O$501,$BJ330)="","",INDEX(原始資料!O$2:O$501,$BJ330)))</f>
        <v/>
      </c>
      <c r="N330" s="6">
        <f>IF(OR($BJ330="",13&gt;設定!$B$3),"",IF(INDEX(原始資料!P$2:P$501,$BJ330)="","",INDEX(原始資料!P$2:P$501,$BJ330)))</f>
        <v/>
      </c>
      <c r="O330" s="6">
        <f>IF(OR($BJ330="",14&gt;設定!$B$3),"",IF(INDEX(原始資料!Q$2:Q$501,$BJ330)="","",INDEX(原始資料!Q$2:Q$501,$BJ330)))</f>
        <v/>
      </c>
      <c r="P330" s="6">
        <f>IF(OR($BJ330="",15&gt;設定!$B$3),"",IF(INDEX(原始資料!R$2:R$501,$BJ330)="","",INDEX(原始資料!R$2:R$501,$BJ330)))</f>
        <v/>
      </c>
      <c r="Q330" s="6">
        <f>IF(OR($BJ330="",16&gt;設定!$B$3),"",IF(INDEX(原始資料!S$2:S$501,$BJ330)="","",INDEX(原始資料!S$2:S$501,$BJ330)))</f>
        <v/>
      </c>
      <c r="R330" s="6">
        <f>IF(OR($BJ330="",17&gt;設定!$B$3),"",IF(INDEX(原始資料!T$2:T$501,$BJ330)="","",INDEX(原始資料!T$2:T$501,$BJ330)))</f>
        <v/>
      </c>
      <c r="S330" s="6">
        <f>IF(OR($BJ330="",18&gt;設定!$B$3),"",IF(INDEX(原始資料!U$2:U$501,$BJ330)="","",INDEX(原始資料!U$2:U$501,$BJ330)))</f>
        <v/>
      </c>
      <c r="T330" s="6">
        <f>IF(OR($BJ330="",19&gt;設定!$B$3),"",IF(INDEX(原始資料!V$2:V$501,$BJ330)="","",INDEX(原始資料!V$2:V$501,$BJ330)))</f>
        <v/>
      </c>
      <c r="U330" s="6">
        <f>IF(OR($BJ330="",20&gt;設定!$B$3),"",IF(INDEX(原始資料!W$2:W$501,$BJ330)="","",INDEX(原始資料!W$2:W$501,$BJ330)))</f>
        <v/>
      </c>
      <c r="V330" s="6">
        <f>IF(OR($BJ330="",21&gt;設定!$B$3),"",IF(INDEX(原始資料!X$2:X$501,$BJ330)="","",INDEX(原始資料!X$2:X$501,$BJ330)))</f>
        <v/>
      </c>
      <c r="W330" s="6">
        <f>IF(OR($BJ330="",22&gt;設定!$B$3),"",IF(INDEX(原始資料!Y$2:Y$501,$BJ330)="","",INDEX(原始資料!Y$2:Y$501,$BJ330)))</f>
        <v/>
      </c>
      <c r="X330" s="6">
        <f>IF(OR($BJ330="",23&gt;設定!$B$3),"",IF(INDEX(原始資料!Z$2:Z$501,$BJ330)="","",INDEX(原始資料!Z$2:Z$501,$BJ330)))</f>
        <v/>
      </c>
      <c r="Y330" s="6">
        <f>IF(OR($BJ330="",24&gt;設定!$B$3),"",IF(INDEX(原始資料!AA$2:AA$501,$BJ330)="","",INDEX(原始資料!AA$2:AA$501,$BJ330)))</f>
        <v/>
      </c>
      <c r="Z330" s="6">
        <f>IF(OR($BJ330="",25&gt;設定!$B$3),"",IF(INDEX(原始資料!AB$2:AB$501,$BJ330)="","",INDEX(原始資料!AB$2:AB$501,$BJ330)))</f>
        <v/>
      </c>
      <c r="AA330" s="6">
        <f>IF(OR($BJ330="",26&gt;設定!$B$3),"",IF(INDEX(原始資料!AC$2:AC$501,$BJ330)="","",INDEX(原始資料!AC$2:AC$501,$BJ330)))</f>
        <v/>
      </c>
      <c r="AB330" s="6">
        <f>IF(OR($BJ330="",27&gt;設定!$B$3),"",IF(INDEX(原始資料!AD$2:AD$501,$BJ330)="","",INDEX(原始資料!AD$2:AD$501,$BJ330)))</f>
        <v/>
      </c>
      <c r="AC330" s="6">
        <f>IF(OR($BJ330="",28&gt;設定!$B$3),"",IF(INDEX(原始資料!AE$2:AE$501,$BJ330)="","",INDEX(原始資料!AE$2:AE$501,$BJ330)))</f>
        <v/>
      </c>
      <c r="AD330" s="6">
        <f>IF(OR($BJ330="",29&gt;設定!$B$3),"",IF(INDEX(原始資料!AF$2:AF$501,$BJ330)="","",INDEX(原始資料!AF$2:AF$501,$BJ330)))</f>
        <v/>
      </c>
      <c r="AE330" s="6">
        <f>IF(OR($BJ330="",30&gt;設定!$B$3),"",IF(INDEX(原始資料!AG$2:AG$501,$BJ330)="","",INDEX(原始資料!AG$2:AG$501,$BJ330)))</f>
        <v/>
      </c>
      <c r="AF330" s="6">
        <f>IF(OR($BJ330="",31&gt;設定!$B$3),"",IF(INDEX(原始資料!AH$2:AH$501,$BJ330)="","",INDEX(原始資料!AH$2:AH$501,$BJ330)))</f>
        <v/>
      </c>
      <c r="AG330" s="6">
        <f>IF(OR($BJ330="",32&gt;設定!$B$3),"",IF(INDEX(原始資料!AI$2:AI$501,$BJ330)="","",INDEX(原始資料!AI$2:AI$501,$BJ330)))</f>
        <v/>
      </c>
      <c r="AH330" s="6">
        <f>IF(OR($BJ330="",33&gt;設定!$B$3),"",IF(INDEX(原始資料!AJ$2:AJ$501,$BJ330)="","",INDEX(原始資料!AJ$2:AJ$501,$BJ330)))</f>
        <v/>
      </c>
      <c r="AI330" s="6">
        <f>IF(OR($BJ330="",34&gt;設定!$B$3),"",IF(INDEX(原始資料!AK$2:AK$501,$BJ330)="","",INDEX(原始資料!AK$2:AK$501,$BJ330)))</f>
        <v/>
      </c>
      <c r="AJ330" s="6">
        <f>IF(OR($BJ330="",35&gt;設定!$B$3),"",IF(INDEX(原始資料!AL$2:AL$501,$BJ330)="","",INDEX(原始資料!AL$2:AL$501,$BJ330)))</f>
        <v/>
      </c>
      <c r="AK330" s="6">
        <f>IF(OR($BJ330="",36&gt;設定!$B$3),"",IF(INDEX(原始資料!AM$2:AM$501,$BJ330)="","",INDEX(原始資料!AM$2:AM$501,$BJ330)))</f>
        <v/>
      </c>
      <c r="AL330" s="6">
        <f>IF(OR($BJ330="",37&gt;設定!$B$3),"",IF(INDEX(原始資料!AN$2:AN$501,$BJ330)="","",INDEX(原始資料!AN$2:AN$501,$BJ330)))</f>
        <v/>
      </c>
      <c r="AM330" s="6">
        <f>IF(OR($BJ330="",38&gt;設定!$B$3),"",IF(INDEX(原始資料!AO$2:AO$501,$BJ330)="","",INDEX(原始資料!AO$2:AO$501,$BJ330)))</f>
        <v/>
      </c>
      <c r="AN330" s="6">
        <f>IF(OR($BJ330="",39&gt;設定!$B$3),"",IF(INDEX(原始資料!AP$2:AP$501,$BJ330)="","",INDEX(原始資料!AP$2:AP$501,$BJ330)))</f>
        <v/>
      </c>
      <c r="AO330" s="6">
        <f>IF(OR($BJ330="",40&gt;設定!$B$3),"",IF(INDEX(原始資料!AQ$2:AQ$501,$BJ330)="","",INDEX(原始資料!AQ$2:AQ$501,$BJ330)))</f>
        <v/>
      </c>
      <c r="AP330" s="6">
        <f>IF(OR($BJ330="",41&gt;設定!$B$3),"",IF(INDEX(原始資料!AR$2:AR$501,$BJ330)="","",INDEX(原始資料!AR$2:AR$501,$BJ330)))</f>
        <v/>
      </c>
      <c r="AQ330" s="6">
        <f>IF(OR($BJ330="",42&gt;設定!$B$3),"",IF(INDEX(原始資料!AS$2:AS$501,$BJ330)="","",INDEX(原始資料!AS$2:AS$501,$BJ330)))</f>
        <v/>
      </c>
      <c r="AR330" s="6">
        <f>IF(OR($BJ330="",43&gt;設定!$B$3),"",IF(INDEX(原始資料!AT$2:AT$501,$BJ330)="","",INDEX(原始資料!AT$2:AT$501,$BJ330)))</f>
        <v/>
      </c>
      <c r="AS330" s="6">
        <f>IF(OR($BJ330="",44&gt;設定!$B$3),"",IF(INDEX(原始資料!AU$2:AU$501,$BJ330)="","",INDEX(原始資料!AU$2:AU$501,$BJ330)))</f>
        <v/>
      </c>
      <c r="AT330" s="6">
        <f>IF(OR($BJ330="",45&gt;設定!$B$3),"",IF(INDEX(原始資料!AV$2:AV$501,$BJ330)="","",INDEX(原始資料!AV$2:AV$501,$BJ330)))</f>
        <v/>
      </c>
      <c r="AU330" s="6">
        <f>IF(OR($BJ330="",46&gt;設定!$B$3),"",IF(INDEX(原始資料!AW$2:AW$501,$BJ330)="","",INDEX(原始資料!AW$2:AW$501,$BJ330)))</f>
        <v/>
      </c>
      <c r="AV330" s="6">
        <f>IF(OR($BJ330="",47&gt;設定!$B$3),"",IF(INDEX(原始資料!AX$2:AX$501,$BJ330)="","",INDEX(原始資料!AX$2:AX$501,$BJ330)))</f>
        <v/>
      </c>
      <c r="AW330" s="6">
        <f>IF(OR($BJ330="",48&gt;設定!$B$3),"",IF(INDEX(原始資料!AY$2:AY$501,$BJ330)="","",INDEX(原始資料!AY$2:AY$501,$BJ330)))</f>
        <v/>
      </c>
      <c r="AX330" s="6">
        <f>IF(OR($BJ330="",49&gt;設定!$B$3),"",IF(INDEX(原始資料!AZ$2:AZ$501,$BJ330)="","",INDEX(原始資料!AZ$2:AZ$501,$BJ330)))</f>
        <v/>
      </c>
      <c r="AY330" s="6">
        <f>IF(OR($BJ330="",50&gt;設定!$B$3),"",IF(INDEX(原始資料!BA$2:BA$501,$BJ330)="","",INDEX(原始資料!BA$2:BA$501,$BJ330)))</f>
        <v/>
      </c>
      <c r="AZ330" s="6">
        <f>IF(OR($BJ330="",51&gt;設定!$B$3),"",IF(INDEX(原始資料!BB$2:BB$501,$BJ330)="","",INDEX(原始資料!BB$2:BB$501,$BJ330)))</f>
        <v/>
      </c>
      <c r="BA330" s="6">
        <f>IF(OR($BJ330="",52&gt;設定!$B$3),"",IF(INDEX(原始資料!BC$2:BC$501,$BJ330)="","",INDEX(原始資料!BC$2:BC$501,$BJ330)))</f>
        <v/>
      </c>
      <c r="BB330" s="6">
        <f>IF(OR($BJ330="",53&gt;設定!$B$3),"",IF(INDEX(原始資料!BD$2:BD$501,$BJ330)="","",INDEX(原始資料!BD$2:BD$501,$BJ330)))</f>
        <v/>
      </c>
      <c r="BC330" s="6">
        <f>IF(OR($BJ330="",54&gt;設定!$B$3),"",IF(INDEX(原始資料!BE$2:BE$501,$BJ330)="","",INDEX(原始資料!BE$2:BE$501,$BJ330)))</f>
        <v/>
      </c>
      <c r="BD330" s="6">
        <f>IF(OR($BJ330="",55&gt;設定!$B$3),"",IF(INDEX(原始資料!BF$2:BF$501,$BJ330)="","",INDEX(原始資料!BF$2:BF$501,$BJ330)))</f>
        <v/>
      </c>
      <c r="BE330" s="6">
        <f>IF(OR($BJ330="",56&gt;設定!$B$3),"",IF(INDEX(原始資料!BG$2:BG$501,$BJ330)="","",INDEX(原始資料!BG$2:BG$501,$BJ330)))</f>
        <v/>
      </c>
      <c r="BF330" s="6">
        <f>IF(OR($BJ330="",57&gt;設定!$B$3),"",IF(INDEX(原始資料!BH$2:BH$501,$BJ330)="","",INDEX(原始資料!BH$2:BH$501,$BJ330)))</f>
        <v/>
      </c>
      <c r="BG330" s="6">
        <f>IF(OR($BJ330="",58&gt;設定!$B$3),"",IF(INDEX(原始資料!BI$2:BI$501,$BJ330)="","",INDEX(原始資料!BI$2:BI$501,$BJ330)))</f>
        <v/>
      </c>
      <c r="BH330" s="6">
        <f>IF(OR($BJ330="",59&gt;設定!$B$3),"",IF(INDEX(原始資料!BJ$2:BJ$501,$BJ330)="","",INDEX(原始資料!BJ$2:BJ$501,$BJ330)))</f>
        <v/>
      </c>
      <c r="BI330" s="6">
        <f>IF(OR($BJ330="",60&gt;設定!$B$3),"",IF(INDEX(原始資料!BK$2:BK$501,$BJ330)="","",INDEX(原始資料!BK$2:BK$501,$BJ330)))</f>
        <v/>
      </c>
      <c r="BJ330" s="6">
        <f>IFERROR(MATCH(ROW()-1,判定!$H$2:$H$501,0),"")</f>
        <v/>
      </c>
    </row>
    <row r="331">
      <c r="A331" s="6">
        <f>IF($BJ331="","",INDEX(原始資料!$A$2:$A$501,$BJ331))</f>
        <v/>
      </c>
      <c r="B331" s="6">
        <f>IF(OR($BJ331="",1&gt;設定!$B$3),"",IF(INDEX(原始資料!D$2:D$501,$BJ331)="","",INDEX(原始資料!D$2:D$501,$BJ331)))</f>
        <v/>
      </c>
      <c r="C331" s="6">
        <f>IF(OR($BJ331="",2&gt;設定!$B$3),"",IF(INDEX(原始資料!E$2:E$501,$BJ331)="","",INDEX(原始資料!E$2:E$501,$BJ331)))</f>
        <v/>
      </c>
      <c r="D331" s="6">
        <f>IF(OR($BJ331="",3&gt;設定!$B$3),"",IF(INDEX(原始資料!F$2:F$501,$BJ331)="","",INDEX(原始資料!F$2:F$501,$BJ331)))</f>
        <v/>
      </c>
      <c r="E331" s="6">
        <f>IF(OR($BJ331="",4&gt;設定!$B$3),"",IF(INDEX(原始資料!G$2:G$501,$BJ331)="","",INDEX(原始資料!G$2:G$501,$BJ331)))</f>
        <v/>
      </c>
      <c r="F331" s="6">
        <f>IF(OR($BJ331="",5&gt;設定!$B$3),"",IF(INDEX(原始資料!H$2:H$501,$BJ331)="","",INDEX(原始資料!H$2:H$501,$BJ331)))</f>
        <v/>
      </c>
      <c r="G331" s="6">
        <f>IF(OR($BJ331="",6&gt;設定!$B$3),"",IF(INDEX(原始資料!I$2:I$501,$BJ331)="","",INDEX(原始資料!I$2:I$501,$BJ331)))</f>
        <v/>
      </c>
      <c r="H331" s="6">
        <f>IF(OR($BJ331="",7&gt;設定!$B$3),"",IF(INDEX(原始資料!J$2:J$501,$BJ331)="","",INDEX(原始資料!J$2:J$501,$BJ331)))</f>
        <v/>
      </c>
      <c r="I331" s="6">
        <f>IF(OR($BJ331="",8&gt;設定!$B$3),"",IF(INDEX(原始資料!K$2:K$501,$BJ331)="","",INDEX(原始資料!K$2:K$501,$BJ331)))</f>
        <v/>
      </c>
      <c r="J331" s="6">
        <f>IF(OR($BJ331="",9&gt;設定!$B$3),"",IF(INDEX(原始資料!L$2:L$501,$BJ331)="","",INDEX(原始資料!L$2:L$501,$BJ331)))</f>
        <v/>
      </c>
      <c r="K331" s="6">
        <f>IF(OR($BJ331="",10&gt;設定!$B$3),"",IF(INDEX(原始資料!M$2:M$501,$BJ331)="","",INDEX(原始資料!M$2:M$501,$BJ331)))</f>
        <v/>
      </c>
      <c r="L331" s="6">
        <f>IF(OR($BJ331="",11&gt;設定!$B$3),"",IF(INDEX(原始資料!N$2:N$501,$BJ331)="","",INDEX(原始資料!N$2:N$501,$BJ331)))</f>
        <v/>
      </c>
      <c r="M331" s="6">
        <f>IF(OR($BJ331="",12&gt;設定!$B$3),"",IF(INDEX(原始資料!O$2:O$501,$BJ331)="","",INDEX(原始資料!O$2:O$501,$BJ331)))</f>
        <v/>
      </c>
      <c r="N331" s="6">
        <f>IF(OR($BJ331="",13&gt;設定!$B$3),"",IF(INDEX(原始資料!P$2:P$501,$BJ331)="","",INDEX(原始資料!P$2:P$501,$BJ331)))</f>
        <v/>
      </c>
      <c r="O331" s="6">
        <f>IF(OR($BJ331="",14&gt;設定!$B$3),"",IF(INDEX(原始資料!Q$2:Q$501,$BJ331)="","",INDEX(原始資料!Q$2:Q$501,$BJ331)))</f>
        <v/>
      </c>
      <c r="P331" s="6">
        <f>IF(OR($BJ331="",15&gt;設定!$B$3),"",IF(INDEX(原始資料!R$2:R$501,$BJ331)="","",INDEX(原始資料!R$2:R$501,$BJ331)))</f>
        <v/>
      </c>
      <c r="Q331" s="6">
        <f>IF(OR($BJ331="",16&gt;設定!$B$3),"",IF(INDEX(原始資料!S$2:S$501,$BJ331)="","",INDEX(原始資料!S$2:S$501,$BJ331)))</f>
        <v/>
      </c>
      <c r="R331" s="6">
        <f>IF(OR($BJ331="",17&gt;設定!$B$3),"",IF(INDEX(原始資料!T$2:T$501,$BJ331)="","",INDEX(原始資料!T$2:T$501,$BJ331)))</f>
        <v/>
      </c>
      <c r="S331" s="6">
        <f>IF(OR($BJ331="",18&gt;設定!$B$3),"",IF(INDEX(原始資料!U$2:U$501,$BJ331)="","",INDEX(原始資料!U$2:U$501,$BJ331)))</f>
        <v/>
      </c>
      <c r="T331" s="6">
        <f>IF(OR($BJ331="",19&gt;設定!$B$3),"",IF(INDEX(原始資料!V$2:V$501,$BJ331)="","",INDEX(原始資料!V$2:V$501,$BJ331)))</f>
        <v/>
      </c>
      <c r="U331" s="6">
        <f>IF(OR($BJ331="",20&gt;設定!$B$3),"",IF(INDEX(原始資料!W$2:W$501,$BJ331)="","",INDEX(原始資料!W$2:W$501,$BJ331)))</f>
        <v/>
      </c>
      <c r="V331" s="6">
        <f>IF(OR($BJ331="",21&gt;設定!$B$3),"",IF(INDEX(原始資料!X$2:X$501,$BJ331)="","",INDEX(原始資料!X$2:X$501,$BJ331)))</f>
        <v/>
      </c>
      <c r="W331" s="6">
        <f>IF(OR($BJ331="",22&gt;設定!$B$3),"",IF(INDEX(原始資料!Y$2:Y$501,$BJ331)="","",INDEX(原始資料!Y$2:Y$501,$BJ331)))</f>
        <v/>
      </c>
      <c r="X331" s="6">
        <f>IF(OR($BJ331="",23&gt;設定!$B$3),"",IF(INDEX(原始資料!Z$2:Z$501,$BJ331)="","",INDEX(原始資料!Z$2:Z$501,$BJ331)))</f>
        <v/>
      </c>
      <c r="Y331" s="6">
        <f>IF(OR($BJ331="",24&gt;設定!$B$3),"",IF(INDEX(原始資料!AA$2:AA$501,$BJ331)="","",INDEX(原始資料!AA$2:AA$501,$BJ331)))</f>
        <v/>
      </c>
      <c r="Z331" s="6">
        <f>IF(OR($BJ331="",25&gt;設定!$B$3),"",IF(INDEX(原始資料!AB$2:AB$501,$BJ331)="","",INDEX(原始資料!AB$2:AB$501,$BJ331)))</f>
        <v/>
      </c>
      <c r="AA331" s="6">
        <f>IF(OR($BJ331="",26&gt;設定!$B$3),"",IF(INDEX(原始資料!AC$2:AC$501,$BJ331)="","",INDEX(原始資料!AC$2:AC$501,$BJ331)))</f>
        <v/>
      </c>
      <c r="AB331" s="6">
        <f>IF(OR($BJ331="",27&gt;設定!$B$3),"",IF(INDEX(原始資料!AD$2:AD$501,$BJ331)="","",INDEX(原始資料!AD$2:AD$501,$BJ331)))</f>
        <v/>
      </c>
      <c r="AC331" s="6">
        <f>IF(OR($BJ331="",28&gt;設定!$B$3),"",IF(INDEX(原始資料!AE$2:AE$501,$BJ331)="","",INDEX(原始資料!AE$2:AE$501,$BJ331)))</f>
        <v/>
      </c>
      <c r="AD331" s="6">
        <f>IF(OR($BJ331="",29&gt;設定!$B$3),"",IF(INDEX(原始資料!AF$2:AF$501,$BJ331)="","",INDEX(原始資料!AF$2:AF$501,$BJ331)))</f>
        <v/>
      </c>
      <c r="AE331" s="6">
        <f>IF(OR($BJ331="",30&gt;設定!$B$3),"",IF(INDEX(原始資料!AG$2:AG$501,$BJ331)="","",INDEX(原始資料!AG$2:AG$501,$BJ331)))</f>
        <v/>
      </c>
      <c r="AF331" s="6">
        <f>IF(OR($BJ331="",31&gt;設定!$B$3),"",IF(INDEX(原始資料!AH$2:AH$501,$BJ331)="","",INDEX(原始資料!AH$2:AH$501,$BJ331)))</f>
        <v/>
      </c>
      <c r="AG331" s="6">
        <f>IF(OR($BJ331="",32&gt;設定!$B$3),"",IF(INDEX(原始資料!AI$2:AI$501,$BJ331)="","",INDEX(原始資料!AI$2:AI$501,$BJ331)))</f>
        <v/>
      </c>
      <c r="AH331" s="6">
        <f>IF(OR($BJ331="",33&gt;設定!$B$3),"",IF(INDEX(原始資料!AJ$2:AJ$501,$BJ331)="","",INDEX(原始資料!AJ$2:AJ$501,$BJ331)))</f>
        <v/>
      </c>
      <c r="AI331" s="6">
        <f>IF(OR($BJ331="",34&gt;設定!$B$3),"",IF(INDEX(原始資料!AK$2:AK$501,$BJ331)="","",INDEX(原始資料!AK$2:AK$501,$BJ331)))</f>
        <v/>
      </c>
      <c r="AJ331" s="6">
        <f>IF(OR($BJ331="",35&gt;設定!$B$3),"",IF(INDEX(原始資料!AL$2:AL$501,$BJ331)="","",INDEX(原始資料!AL$2:AL$501,$BJ331)))</f>
        <v/>
      </c>
      <c r="AK331" s="6">
        <f>IF(OR($BJ331="",36&gt;設定!$B$3),"",IF(INDEX(原始資料!AM$2:AM$501,$BJ331)="","",INDEX(原始資料!AM$2:AM$501,$BJ331)))</f>
        <v/>
      </c>
      <c r="AL331" s="6">
        <f>IF(OR($BJ331="",37&gt;設定!$B$3),"",IF(INDEX(原始資料!AN$2:AN$501,$BJ331)="","",INDEX(原始資料!AN$2:AN$501,$BJ331)))</f>
        <v/>
      </c>
      <c r="AM331" s="6">
        <f>IF(OR($BJ331="",38&gt;設定!$B$3),"",IF(INDEX(原始資料!AO$2:AO$501,$BJ331)="","",INDEX(原始資料!AO$2:AO$501,$BJ331)))</f>
        <v/>
      </c>
      <c r="AN331" s="6">
        <f>IF(OR($BJ331="",39&gt;設定!$B$3),"",IF(INDEX(原始資料!AP$2:AP$501,$BJ331)="","",INDEX(原始資料!AP$2:AP$501,$BJ331)))</f>
        <v/>
      </c>
      <c r="AO331" s="6">
        <f>IF(OR($BJ331="",40&gt;設定!$B$3),"",IF(INDEX(原始資料!AQ$2:AQ$501,$BJ331)="","",INDEX(原始資料!AQ$2:AQ$501,$BJ331)))</f>
        <v/>
      </c>
      <c r="AP331" s="6">
        <f>IF(OR($BJ331="",41&gt;設定!$B$3),"",IF(INDEX(原始資料!AR$2:AR$501,$BJ331)="","",INDEX(原始資料!AR$2:AR$501,$BJ331)))</f>
        <v/>
      </c>
      <c r="AQ331" s="6">
        <f>IF(OR($BJ331="",42&gt;設定!$B$3),"",IF(INDEX(原始資料!AS$2:AS$501,$BJ331)="","",INDEX(原始資料!AS$2:AS$501,$BJ331)))</f>
        <v/>
      </c>
      <c r="AR331" s="6">
        <f>IF(OR($BJ331="",43&gt;設定!$B$3),"",IF(INDEX(原始資料!AT$2:AT$501,$BJ331)="","",INDEX(原始資料!AT$2:AT$501,$BJ331)))</f>
        <v/>
      </c>
      <c r="AS331" s="6">
        <f>IF(OR($BJ331="",44&gt;設定!$B$3),"",IF(INDEX(原始資料!AU$2:AU$501,$BJ331)="","",INDEX(原始資料!AU$2:AU$501,$BJ331)))</f>
        <v/>
      </c>
      <c r="AT331" s="6">
        <f>IF(OR($BJ331="",45&gt;設定!$B$3),"",IF(INDEX(原始資料!AV$2:AV$501,$BJ331)="","",INDEX(原始資料!AV$2:AV$501,$BJ331)))</f>
        <v/>
      </c>
      <c r="AU331" s="6">
        <f>IF(OR($BJ331="",46&gt;設定!$B$3),"",IF(INDEX(原始資料!AW$2:AW$501,$BJ331)="","",INDEX(原始資料!AW$2:AW$501,$BJ331)))</f>
        <v/>
      </c>
      <c r="AV331" s="6">
        <f>IF(OR($BJ331="",47&gt;設定!$B$3),"",IF(INDEX(原始資料!AX$2:AX$501,$BJ331)="","",INDEX(原始資料!AX$2:AX$501,$BJ331)))</f>
        <v/>
      </c>
      <c r="AW331" s="6">
        <f>IF(OR($BJ331="",48&gt;設定!$B$3),"",IF(INDEX(原始資料!AY$2:AY$501,$BJ331)="","",INDEX(原始資料!AY$2:AY$501,$BJ331)))</f>
        <v/>
      </c>
      <c r="AX331" s="6">
        <f>IF(OR($BJ331="",49&gt;設定!$B$3),"",IF(INDEX(原始資料!AZ$2:AZ$501,$BJ331)="","",INDEX(原始資料!AZ$2:AZ$501,$BJ331)))</f>
        <v/>
      </c>
      <c r="AY331" s="6">
        <f>IF(OR($BJ331="",50&gt;設定!$B$3),"",IF(INDEX(原始資料!BA$2:BA$501,$BJ331)="","",INDEX(原始資料!BA$2:BA$501,$BJ331)))</f>
        <v/>
      </c>
      <c r="AZ331" s="6">
        <f>IF(OR($BJ331="",51&gt;設定!$B$3),"",IF(INDEX(原始資料!BB$2:BB$501,$BJ331)="","",INDEX(原始資料!BB$2:BB$501,$BJ331)))</f>
        <v/>
      </c>
      <c r="BA331" s="6">
        <f>IF(OR($BJ331="",52&gt;設定!$B$3),"",IF(INDEX(原始資料!BC$2:BC$501,$BJ331)="","",INDEX(原始資料!BC$2:BC$501,$BJ331)))</f>
        <v/>
      </c>
      <c r="BB331" s="6">
        <f>IF(OR($BJ331="",53&gt;設定!$B$3),"",IF(INDEX(原始資料!BD$2:BD$501,$BJ331)="","",INDEX(原始資料!BD$2:BD$501,$BJ331)))</f>
        <v/>
      </c>
      <c r="BC331" s="6">
        <f>IF(OR($BJ331="",54&gt;設定!$B$3),"",IF(INDEX(原始資料!BE$2:BE$501,$BJ331)="","",INDEX(原始資料!BE$2:BE$501,$BJ331)))</f>
        <v/>
      </c>
      <c r="BD331" s="6">
        <f>IF(OR($BJ331="",55&gt;設定!$B$3),"",IF(INDEX(原始資料!BF$2:BF$501,$BJ331)="","",INDEX(原始資料!BF$2:BF$501,$BJ331)))</f>
        <v/>
      </c>
      <c r="BE331" s="6">
        <f>IF(OR($BJ331="",56&gt;設定!$B$3),"",IF(INDEX(原始資料!BG$2:BG$501,$BJ331)="","",INDEX(原始資料!BG$2:BG$501,$BJ331)))</f>
        <v/>
      </c>
      <c r="BF331" s="6">
        <f>IF(OR($BJ331="",57&gt;設定!$B$3),"",IF(INDEX(原始資料!BH$2:BH$501,$BJ331)="","",INDEX(原始資料!BH$2:BH$501,$BJ331)))</f>
        <v/>
      </c>
      <c r="BG331" s="6">
        <f>IF(OR($BJ331="",58&gt;設定!$B$3),"",IF(INDEX(原始資料!BI$2:BI$501,$BJ331)="","",INDEX(原始資料!BI$2:BI$501,$BJ331)))</f>
        <v/>
      </c>
      <c r="BH331" s="6">
        <f>IF(OR($BJ331="",59&gt;設定!$B$3),"",IF(INDEX(原始資料!BJ$2:BJ$501,$BJ331)="","",INDEX(原始資料!BJ$2:BJ$501,$BJ331)))</f>
        <v/>
      </c>
      <c r="BI331" s="6">
        <f>IF(OR($BJ331="",60&gt;設定!$B$3),"",IF(INDEX(原始資料!BK$2:BK$501,$BJ331)="","",INDEX(原始資料!BK$2:BK$501,$BJ331)))</f>
        <v/>
      </c>
      <c r="BJ331" s="6">
        <f>IFERROR(MATCH(ROW()-1,判定!$H$2:$H$501,0),"")</f>
        <v/>
      </c>
    </row>
    <row r="332">
      <c r="A332" s="6">
        <f>IF($BJ332="","",INDEX(原始資料!$A$2:$A$501,$BJ332))</f>
        <v/>
      </c>
      <c r="B332" s="6">
        <f>IF(OR($BJ332="",1&gt;設定!$B$3),"",IF(INDEX(原始資料!D$2:D$501,$BJ332)="","",INDEX(原始資料!D$2:D$501,$BJ332)))</f>
        <v/>
      </c>
      <c r="C332" s="6">
        <f>IF(OR($BJ332="",2&gt;設定!$B$3),"",IF(INDEX(原始資料!E$2:E$501,$BJ332)="","",INDEX(原始資料!E$2:E$501,$BJ332)))</f>
        <v/>
      </c>
      <c r="D332" s="6">
        <f>IF(OR($BJ332="",3&gt;設定!$B$3),"",IF(INDEX(原始資料!F$2:F$501,$BJ332)="","",INDEX(原始資料!F$2:F$501,$BJ332)))</f>
        <v/>
      </c>
      <c r="E332" s="6">
        <f>IF(OR($BJ332="",4&gt;設定!$B$3),"",IF(INDEX(原始資料!G$2:G$501,$BJ332)="","",INDEX(原始資料!G$2:G$501,$BJ332)))</f>
        <v/>
      </c>
      <c r="F332" s="6">
        <f>IF(OR($BJ332="",5&gt;設定!$B$3),"",IF(INDEX(原始資料!H$2:H$501,$BJ332)="","",INDEX(原始資料!H$2:H$501,$BJ332)))</f>
        <v/>
      </c>
      <c r="G332" s="6">
        <f>IF(OR($BJ332="",6&gt;設定!$B$3),"",IF(INDEX(原始資料!I$2:I$501,$BJ332)="","",INDEX(原始資料!I$2:I$501,$BJ332)))</f>
        <v/>
      </c>
      <c r="H332" s="6">
        <f>IF(OR($BJ332="",7&gt;設定!$B$3),"",IF(INDEX(原始資料!J$2:J$501,$BJ332)="","",INDEX(原始資料!J$2:J$501,$BJ332)))</f>
        <v/>
      </c>
      <c r="I332" s="6">
        <f>IF(OR($BJ332="",8&gt;設定!$B$3),"",IF(INDEX(原始資料!K$2:K$501,$BJ332)="","",INDEX(原始資料!K$2:K$501,$BJ332)))</f>
        <v/>
      </c>
      <c r="J332" s="6">
        <f>IF(OR($BJ332="",9&gt;設定!$B$3),"",IF(INDEX(原始資料!L$2:L$501,$BJ332)="","",INDEX(原始資料!L$2:L$501,$BJ332)))</f>
        <v/>
      </c>
      <c r="K332" s="6">
        <f>IF(OR($BJ332="",10&gt;設定!$B$3),"",IF(INDEX(原始資料!M$2:M$501,$BJ332)="","",INDEX(原始資料!M$2:M$501,$BJ332)))</f>
        <v/>
      </c>
      <c r="L332" s="6">
        <f>IF(OR($BJ332="",11&gt;設定!$B$3),"",IF(INDEX(原始資料!N$2:N$501,$BJ332)="","",INDEX(原始資料!N$2:N$501,$BJ332)))</f>
        <v/>
      </c>
      <c r="M332" s="6">
        <f>IF(OR($BJ332="",12&gt;設定!$B$3),"",IF(INDEX(原始資料!O$2:O$501,$BJ332)="","",INDEX(原始資料!O$2:O$501,$BJ332)))</f>
        <v/>
      </c>
      <c r="N332" s="6">
        <f>IF(OR($BJ332="",13&gt;設定!$B$3),"",IF(INDEX(原始資料!P$2:P$501,$BJ332)="","",INDEX(原始資料!P$2:P$501,$BJ332)))</f>
        <v/>
      </c>
      <c r="O332" s="6">
        <f>IF(OR($BJ332="",14&gt;設定!$B$3),"",IF(INDEX(原始資料!Q$2:Q$501,$BJ332)="","",INDEX(原始資料!Q$2:Q$501,$BJ332)))</f>
        <v/>
      </c>
      <c r="P332" s="6">
        <f>IF(OR($BJ332="",15&gt;設定!$B$3),"",IF(INDEX(原始資料!R$2:R$501,$BJ332)="","",INDEX(原始資料!R$2:R$501,$BJ332)))</f>
        <v/>
      </c>
      <c r="Q332" s="6">
        <f>IF(OR($BJ332="",16&gt;設定!$B$3),"",IF(INDEX(原始資料!S$2:S$501,$BJ332)="","",INDEX(原始資料!S$2:S$501,$BJ332)))</f>
        <v/>
      </c>
      <c r="R332" s="6">
        <f>IF(OR($BJ332="",17&gt;設定!$B$3),"",IF(INDEX(原始資料!T$2:T$501,$BJ332)="","",INDEX(原始資料!T$2:T$501,$BJ332)))</f>
        <v/>
      </c>
      <c r="S332" s="6">
        <f>IF(OR($BJ332="",18&gt;設定!$B$3),"",IF(INDEX(原始資料!U$2:U$501,$BJ332)="","",INDEX(原始資料!U$2:U$501,$BJ332)))</f>
        <v/>
      </c>
      <c r="T332" s="6">
        <f>IF(OR($BJ332="",19&gt;設定!$B$3),"",IF(INDEX(原始資料!V$2:V$501,$BJ332)="","",INDEX(原始資料!V$2:V$501,$BJ332)))</f>
        <v/>
      </c>
      <c r="U332" s="6">
        <f>IF(OR($BJ332="",20&gt;設定!$B$3),"",IF(INDEX(原始資料!W$2:W$501,$BJ332)="","",INDEX(原始資料!W$2:W$501,$BJ332)))</f>
        <v/>
      </c>
      <c r="V332" s="6">
        <f>IF(OR($BJ332="",21&gt;設定!$B$3),"",IF(INDEX(原始資料!X$2:X$501,$BJ332)="","",INDEX(原始資料!X$2:X$501,$BJ332)))</f>
        <v/>
      </c>
      <c r="W332" s="6">
        <f>IF(OR($BJ332="",22&gt;設定!$B$3),"",IF(INDEX(原始資料!Y$2:Y$501,$BJ332)="","",INDEX(原始資料!Y$2:Y$501,$BJ332)))</f>
        <v/>
      </c>
      <c r="X332" s="6">
        <f>IF(OR($BJ332="",23&gt;設定!$B$3),"",IF(INDEX(原始資料!Z$2:Z$501,$BJ332)="","",INDEX(原始資料!Z$2:Z$501,$BJ332)))</f>
        <v/>
      </c>
      <c r="Y332" s="6">
        <f>IF(OR($BJ332="",24&gt;設定!$B$3),"",IF(INDEX(原始資料!AA$2:AA$501,$BJ332)="","",INDEX(原始資料!AA$2:AA$501,$BJ332)))</f>
        <v/>
      </c>
      <c r="Z332" s="6">
        <f>IF(OR($BJ332="",25&gt;設定!$B$3),"",IF(INDEX(原始資料!AB$2:AB$501,$BJ332)="","",INDEX(原始資料!AB$2:AB$501,$BJ332)))</f>
        <v/>
      </c>
      <c r="AA332" s="6">
        <f>IF(OR($BJ332="",26&gt;設定!$B$3),"",IF(INDEX(原始資料!AC$2:AC$501,$BJ332)="","",INDEX(原始資料!AC$2:AC$501,$BJ332)))</f>
        <v/>
      </c>
      <c r="AB332" s="6">
        <f>IF(OR($BJ332="",27&gt;設定!$B$3),"",IF(INDEX(原始資料!AD$2:AD$501,$BJ332)="","",INDEX(原始資料!AD$2:AD$501,$BJ332)))</f>
        <v/>
      </c>
      <c r="AC332" s="6">
        <f>IF(OR($BJ332="",28&gt;設定!$B$3),"",IF(INDEX(原始資料!AE$2:AE$501,$BJ332)="","",INDEX(原始資料!AE$2:AE$501,$BJ332)))</f>
        <v/>
      </c>
      <c r="AD332" s="6">
        <f>IF(OR($BJ332="",29&gt;設定!$B$3),"",IF(INDEX(原始資料!AF$2:AF$501,$BJ332)="","",INDEX(原始資料!AF$2:AF$501,$BJ332)))</f>
        <v/>
      </c>
      <c r="AE332" s="6">
        <f>IF(OR($BJ332="",30&gt;設定!$B$3),"",IF(INDEX(原始資料!AG$2:AG$501,$BJ332)="","",INDEX(原始資料!AG$2:AG$501,$BJ332)))</f>
        <v/>
      </c>
      <c r="AF332" s="6">
        <f>IF(OR($BJ332="",31&gt;設定!$B$3),"",IF(INDEX(原始資料!AH$2:AH$501,$BJ332)="","",INDEX(原始資料!AH$2:AH$501,$BJ332)))</f>
        <v/>
      </c>
      <c r="AG332" s="6">
        <f>IF(OR($BJ332="",32&gt;設定!$B$3),"",IF(INDEX(原始資料!AI$2:AI$501,$BJ332)="","",INDEX(原始資料!AI$2:AI$501,$BJ332)))</f>
        <v/>
      </c>
      <c r="AH332" s="6">
        <f>IF(OR($BJ332="",33&gt;設定!$B$3),"",IF(INDEX(原始資料!AJ$2:AJ$501,$BJ332)="","",INDEX(原始資料!AJ$2:AJ$501,$BJ332)))</f>
        <v/>
      </c>
      <c r="AI332" s="6">
        <f>IF(OR($BJ332="",34&gt;設定!$B$3),"",IF(INDEX(原始資料!AK$2:AK$501,$BJ332)="","",INDEX(原始資料!AK$2:AK$501,$BJ332)))</f>
        <v/>
      </c>
      <c r="AJ332" s="6">
        <f>IF(OR($BJ332="",35&gt;設定!$B$3),"",IF(INDEX(原始資料!AL$2:AL$501,$BJ332)="","",INDEX(原始資料!AL$2:AL$501,$BJ332)))</f>
        <v/>
      </c>
      <c r="AK332" s="6">
        <f>IF(OR($BJ332="",36&gt;設定!$B$3),"",IF(INDEX(原始資料!AM$2:AM$501,$BJ332)="","",INDEX(原始資料!AM$2:AM$501,$BJ332)))</f>
        <v/>
      </c>
      <c r="AL332" s="6">
        <f>IF(OR($BJ332="",37&gt;設定!$B$3),"",IF(INDEX(原始資料!AN$2:AN$501,$BJ332)="","",INDEX(原始資料!AN$2:AN$501,$BJ332)))</f>
        <v/>
      </c>
      <c r="AM332" s="6">
        <f>IF(OR($BJ332="",38&gt;設定!$B$3),"",IF(INDEX(原始資料!AO$2:AO$501,$BJ332)="","",INDEX(原始資料!AO$2:AO$501,$BJ332)))</f>
        <v/>
      </c>
      <c r="AN332" s="6">
        <f>IF(OR($BJ332="",39&gt;設定!$B$3),"",IF(INDEX(原始資料!AP$2:AP$501,$BJ332)="","",INDEX(原始資料!AP$2:AP$501,$BJ332)))</f>
        <v/>
      </c>
      <c r="AO332" s="6">
        <f>IF(OR($BJ332="",40&gt;設定!$B$3),"",IF(INDEX(原始資料!AQ$2:AQ$501,$BJ332)="","",INDEX(原始資料!AQ$2:AQ$501,$BJ332)))</f>
        <v/>
      </c>
      <c r="AP332" s="6">
        <f>IF(OR($BJ332="",41&gt;設定!$B$3),"",IF(INDEX(原始資料!AR$2:AR$501,$BJ332)="","",INDEX(原始資料!AR$2:AR$501,$BJ332)))</f>
        <v/>
      </c>
      <c r="AQ332" s="6">
        <f>IF(OR($BJ332="",42&gt;設定!$B$3),"",IF(INDEX(原始資料!AS$2:AS$501,$BJ332)="","",INDEX(原始資料!AS$2:AS$501,$BJ332)))</f>
        <v/>
      </c>
      <c r="AR332" s="6">
        <f>IF(OR($BJ332="",43&gt;設定!$B$3),"",IF(INDEX(原始資料!AT$2:AT$501,$BJ332)="","",INDEX(原始資料!AT$2:AT$501,$BJ332)))</f>
        <v/>
      </c>
      <c r="AS332" s="6">
        <f>IF(OR($BJ332="",44&gt;設定!$B$3),"",IF(INDEX(原始資料!AU$2:AU$501,$BJ332)="","",INDEX(原始資料!AU$2:AU$501,$BJ332)))</f>
        <v/>
      </c>
      <c r="AT332" s="6">
        <f>IF(OR($BJ332="",45&gt;設定!$B$3),"",IF(INDEX(原始資料!AV$2:AV$501,$BJ332)="","",INDEX(原始資料!AV$2:AV$501,$BJ332)))</f>
        <v/>
      </c>
      <c r="AU332" s="6">
        <f>IF(OR($BJ332="",46&gt;設定!$B$3),"",IF(INDEX(原始資料!AW$2:AW$501,$BJ332)="","",INDEX(原始資料!AW$2:AW$501,$BJ332)))</f>
        <v/>
      </c>
      <c r="AV332" s="6">
        <f>IF(OR($BJ332="",47&gt;設定!$B$3),"",IF(INDEX(原始資料!AX$2:AX$501,$BJ332)="","",INDEX(原始資料!AX$2:AX$501,$BJ332)))</f>
        <v/>
      </c>
      <c r="AW332" s="6">
        <f>IF(OR($BJ332="",48&gt;設定!$B$3),"",IF(INDEX(原始資料!AY$2:AY$501,$BJ332)="","",INDEX(原始資料!AY$2:AY$501,$BJ332)))</f>
        <v/>
      </c>
      <c r="AX332" s="6">
        <f>IF(OR($BJ332="",49&gt;設定!$B$3),"",IF(INDEX(原始資料!AZ$2:AZ$501,$BJ332)="","",INDEX(原始資料!AZ$2:AZ$501,$BJ332)))</f>
        <v/>
      </c>
      <c r="AY332" s="6">
        <f>IF(OR($BJ332="",50&gt;設定!$B$3),"",IF(INDEX(原始資料!BA$2:BA$501,$BJ332)="","",INDEX(原始資料!BA$2:BA$501,$BJ332)))</f>
        <v/>
      </c>
      <c r="AZ332" s="6">
        <f>IF(OR($BJ332="",51&gt;設定!$B$3),"",IF(INDEX(原始資料!BB$2:BB$501,$BJ332)="","",INDEX(原始資料!BB$2:BB$501,$BJ332)))</f>
        <v/>
      </c>
      <c r="BA332" s="6">
        <f>IF(OR($BJ332="",52&gt;設定!$B$3),"",IF(INDEX(原始資料!BC$2:BC$501,$BJ332)="","",INDEX(原始資料!BC$2:BC$501,$BJ332)))</f>
        <v/>
      </c>
      <c r="BB332" s="6">
        <f>IF(OR($BJ332="",53&gt;設定!$B$3),"",IF(INDEX(原始資料!BD$2:BD$501,$BJ332)="","",INDEX(原始資料!BD$2:BD$501,$BJ332)))</f>
        <v/>
      </c>
      <c r="BC332" s="6">
        <f>IF(OR($BJ332="",54&gt;設定!$B$3),"",IF(INDEX(原始資料!BE$2:BE$501,$BJ332)="","",INDEX(原始資料!BE$2:BE$501,$BJ332)))</f>
        <v/>
      </c>
      <c r="BD332" s="6">
        <f>IF(OR($BJ332="",55&gt;設定!$B$3),"",IF(INDEX(原始資料!BF$2:BF$501,$BJ332)="","",INDEX(原始資料!BF$2:BF$501,$BJ332)))</f>
        <v/>
      </c>
      <c r="BE332" s="6">
        <f>IF(OR($BJ332="",56&gt;設定!$B$3),"",IF(INDEX(原始資料!BG$2:BG$501,$BJ332)="","",INDEX(原始資料!BG$2:BG$501,$BJ332)))</f>
        <v/>
      </c>
      <c r="BF332" s="6">
        <f>IF(OR($BJ332="",57&gt;設定!$B$3),"",IF(INDEX(原始資料!BH$2:BH$501,$BJ332)="","",INDEX(原始資料!BH$2:BH$501,$BJ332)))</f>
        <v/>
      </c>
      <c r="BG332" s="6">
        <f>IF(OR($BJ332="",58&gt;設定!$B$3),"",IF(INDEX(原始資料!BI$2:BI$501,$BJ332)="","",INDEX(原始資料!BI$2:BI$501,$BJ332)))</f>
        <v/>
      </c>
      <c r="BH332" s="6">
        <f>IF(OR($BJ332="",59&gt;設定!$B$3),"",IF(INDEX(原始資料!BJ$2:BJ$501,$BJ332)="","",INDEX(原始資料!BJ$2:BJ$501,$BJ332)))</f>
        <v/>
      </c>
      <c r="BI332" s="6">
        <f>IF(OR($BJ332="",60&gt;設定!$B$3),"",IF(INDEX(原始資料!BK$2:BK$501,$BJ332)="","",INDEX(原始資料!BK$2:BK$501,$BJ332)))</f>
        <v/>
      </c>
      <c r="BJ332" s="6">
        <f>IFERROR(MATCH(ROW()-1,判定!$H$2:$H$501,0),"")</f>
        <v/>
      </c>
    </row>
    <row r="333">
      <c r="A333" s="6">
        <f>IF($BJ333="","",INDEX(原始資料!$A$2:$A$501,$BJ333))</f>
        <v/>
      </c>
      <c r="B333" s="6">
        <f>IF(OR($BJ333="",1&gt;設定!$B$3),"",IF(INDEX(原始資料!D$2:D$501,$BJ333)="","",INDEX(原始資料!D$2:D$501,$BJ333)))</f>
        <v/>
      </c>
      <c r="C333" s="6">
        <f>IF(OR($BJ333="",2&gt;設定!$B$3),"",IF(INDEX(原始資料!E$2:E$501,$BJ333)="","",INDEX(原始資料!E$2:E$501,$BJ333)))</f>
        <v/>
      </c>
      <c r="D333" s="6">
        <f>IF(OR($BJ333="",3&gt;設定!$B$3),"",IF(INDEX(原始資料!F$2:F$501,$BJ333)="","",INDEX(原始資料!F$2:F$501,$BJ333)))</f>
        <v/>
      </c>
      <c r="E333" s="6">
        <f>IF(OR($BJ333="",4&gt;設定!$B$3),"",IF(INDEX(原始資料!G$2:G$501,$BJ333)="","",INDEX(原始資料!G$2:G$501,$BJ333)))</f>
        <v/>
      </c>
      <c r="F333" s="6">
        <f>IF(OR($BJ333="",5&gt;設定!$B$3),"",IF(INDEX(原始資料!H$2:H$501,$BJ333)="","",INDEX(原始資料!H$2:H$501,$BJ333)))</f>
        <v/>
      </c>
      <c r="G333" s="6">
        <f>IF(OR($BJ333="",6&gt;設定!$B$3),"",IF(INDEX(原始資料!I$2:I$501,$BJ333)="","",INDEX(原始資料!I$2:I$501,$BJ333)))</f>
        <v/>
      </c>
      <c r="H333" s="6">
        <f>IF(OR($BJ333="",7&gt;設定!$B$3),"",IF(INDEX(原始資料!J$2:J$501,$BJ333)="","",INDEX(原始資料!J$2:J$501,$BJ333)))</f>
        <v/>
      </c>
      <c r="I333" s="6">
        <f>IF(OR($BJ333="",8&gt;設定!$B$3),"",IF(INDEX(原始資料!K$2:K$501,$BJ333)="","",INDEX(原始資料!K$2:K$501,$BJ333)))</f>
        <v/>
      </c>
      <c r="J333" s="6">
        <f>IF(OR($BJ333="",9&gt;設定!$B$3),"",IF(INDEX(原始資料!L$2:L$501,$BJ333)="","",INDEX(原始資料!L$2:L$501,$BJ333)))</f>
        <v/>
      </c>
      <c r="K333" s="6">
        <f>IF(OR($BJ333="",10&gt;設定!$B$3),"",IF(INDEX(原始資料!M$2:M$501,$BJ333)="","",INDEX(原始資料!M$2:M$501,$BJ333)))</f>
        <v/>
      </c>
      <c r="L333" s="6">
        <f>IF(OR($BJ333="",11&gt;設定!$B$3),"",IF(INDEX(原始資料!N$2:N$501,$BJ333)="","",INDEX(原始資料!N$2:N$501,$BJ333)))</f>
        <v/>
      </c>
      <c r="M333" s="6">
        <f>IF(OR($BJ333="",12&gt;設定!$B$3),"",IF(INDEX(原始資料!O$2:O$501,$BJ333)="","",INDEX(原始資料!O$2:O$501,$BJ333)))</f>
        <v/>
      </c>
      <c r="N333" s="6">
        <f>IF(OR($BJ333="",13&gt;設定!$B$3),"",IF(INDEX(原始資料!P$2:P$501,$BJ333)="","",INDEX(原始資料!P$2:P$501,$BJ333)))</f>
        <v/>
      </c>
      <c r="O333" s="6">
        <f>IF(OR($BJ333="",14&gt;設定!$B$3),"",IF(INDEX(原始資料!Q$2:Q$501,$BJ333)="","",INDEX(原始資料!Q$2:Q$501,$BJ333)))</f>
        <v/>
      </c>
      <c r="P333" s="6">
        <f>IF(OR($BJ333="",15&gt;設定!$B$3),"",IF(INDEX(原始資料!R$2:R$501,$BJ333)="","",INDEX(原始資料!R$2:R$501,$BJ333)))</f>
        <v/>
      </c>
      <c r="Q333" s="6">
        <f>IF(OR($BJ333="",16&gt;設定!$B$3),"",IF(INDEX(原始資料!S$2:S$501,$BJ333)="","",INDEX(原始資料!S$2:S$501,$BJ333)))</f>
        <v/>
      </c>
      <c r="R333" s="6">
        <f>IF(OR($BJ333="",17&gt;設定!$B$3),"",IF(INDEX(原始資料!T$2:T$501,$BJ333)="","",INDEX(原始資料!T$2:T$501,$BJ333)))</f>
        <v/>
      </c>
      <c r="S333" s="6">
        <f>IF(OR($BJ333="",18&gt;設定!$B$3),"",IF(INDEX(原始資料!U$2:U$501,$BJ333)="","",INDEX(原始資料!U$2:U$501,$BJ333)))</f>
        <v/>
      </c>
      <c r="T333" s="6">
        <f>IF(OR($BJ333="",19&gt;設定!$B$3),"",IF(INDEX(原始資料!V$2:V$501,$BJ333)="","",INDEX(原始資料!V$2:V$501,$BJ333)))</f>
        <v/>
      </c>
      <c r="U333" s="6">
        <f>IF(OR($BJ333="",20&gt;設定!$B$3),"",IF(INDEX(原始資料!W$2:W$501,$BJ333)="","",INDEX(原始資料!W$2:W$501,$BJ333)))</f>
        <v/>
      </c>
      <c r="V333" s="6">
        <f>IF(OR($BJ333="",21&gt;設定!$B$3),"",IF(INDEX(原始資料!X$2:X$501,$BJ333)="","",INDEX(原始資料!X$2:X$501,$BJ333)))</f>
        <v/>
      </c>
      <c r="W333" s="6">
        <f>IF(OR($BJ333="",22&gt;設定!$B$3),"",IF(INDEX(原始資料!Y$2:Y$501,$BJ333)="","",INDEX(原始資料!Y$2:Y$501,$BJ333)))</f>
        <v/>
      </c>
      <c r="X333" s="6">
        <f>IF(OR($BJ333="",23&gt;設定!$B$3),"",IF(INDEX(原始資料!Z$2:Z$501,$BJ333)="","",INDEX(原始資料!Z$2:Z$501,$BJ333)))</f>
        <v/>
      </c>
      <c r="Y333" s="6">
        <f>IF(OR($BJ333="",24&gt;設定!$B$3),"",IF(INDEX(原始資料!AA$2:AA$501,$BJ333)="","",INDEX(原始資料!AA$2:AA$501,$BJ333)))</f>
        <v/>
      </c>
      <c r="Z333" s="6">
        <f>IF(OR($BJ333="",25&gt;設定!$B$3),"",IF(INDEX(原始資料!AB$2:AB$501,$BJ333)="","",INDEX(原始資料!AB$2:AB$501,$BJ333)))</f>
        <v/>
      </c>
      <c r="AA333" s="6">
        <f>IF(OR($BJ333="",26&gt;設定!$B$3),"",IF(INDEX(原始資料!AC$2:AC$501,$BJ333)="","",INDEX(原始資料!AC$2:AC$501,$BJ333)))</f>
        <v/>
      </c>
      <c r="AB333" s="6">
        <f>IF(OR($BJ333="",27&gt;設定!$B$3),"",IF(INDEX(原始資料!AD$2:AD$501,$BJ333)="","",INDEX(原始資料!AD$2:AD$501,$BJ333)))</f>
        <v/>
      </c>
      <c r="AC333" s="6">
        <f>IF(OR($BJ333="",28&gt;設定!$B$3),"",IF(INDEX(原始資料!AE$2:AE$501,$BJ333)="","",INDEX(原始資料!AE$2:AE$501,$BJ333)))</f>
        <v/>
      </c>
      <c r="AD333" s="6">
        <f>IF(OR($BJ333="",29&gt;設定!$B$3),"",IF(INDEX(原始資料!AF$2:AF$501,$BJ333)="","",INDEX(原始資料!AF$2:AF$501,$BJ333)))</f>
        <v/>
      </c>
      <c r="AE333" s="6">
        <f>IF(OR($BJ333="",30&gt;設定!$B$3),"",IF(INDEX(原始資料!AG$2:AG$501,$BJ333)="","",INDEX(原始資料!AG$2:AG$501,$BJ333)))</f>
        <v/>
      </c>
      <c r="AF333" s="6">
        <f>IF(OR($BJ333="",31&gt;設定!$B$3),"",IF(INDEX(原始資料!AH$2:AH$501,$BJ333)="","",INDEX(原始資料!AH$2:AH$501,$BJ333)))</f>
        <v/>
      </c>
      <c r="AG333" s="6">
        <f>IF(OR($BJ333="",32&gt;設定!$B$3),"",IF(INDEX(原始資料!AI$2:AI$501,$BJ333)="","",INDEX(原始資料!AI$2:AI$501,$BJ333)))</f>
        <v/>
      </c>
      <c r="AH333" s="6">
        <f>IF(OR($BJ333="",33&gt;設定!$B$3),"",IF(INDEX(原始資料!AJ$2:AJ$501,$BJ333)="","",INDEX(原始資料!AJ$2:AJ$501,$BJ333)))</f>
        <v/>
      </c>
      <c r="AI333" s="6">
        <f>IF(OR($BJ333="",34&gt;設定!$B$3),"",IF(INDEX(原始資料!AK$2:AK$501,$BJ333)="","",INDEX(原始資料!AK$2:AK$501,$BJ333)))</f>
        <v/>
      </c>
      <c r="AJ333" s="6">
        <f>IF(OR($BJ333="",35&gt;設定!$B$3),"",IF(INDEX(原始資料!AL$2:AL$501,$BJ333)="","",INDEX(原始資料!AL$2:AL$501,$BJ333)))</f>
        <v/>
      </c>
      <c r="AK333" s="6">
        <f>IF(OR($BJ333="",36&gt;設定!$B$3),"",IF(INDEX(原始資料!AM$2:AM$501,$BJ333)="","",INDEX(原始資料!AM$2:AM$501,$BJ333)))</f>
        <v/>
      </c>
      <c r="AL333" s="6">
        <f>IF(OR($BJ333="",37&gt;設定!$B$3),"",IF(INDEX(原始資料!AN$2:AN$501,$BJ333)="","",INDEX(原始資料!AN$2:AN$501,$BJ333)))</f>
        <v/>
      </c>
      <c r="AM333" s="6">
        <f>IF(OR($BJ333="",38&gt;設定!$B$3),"",IF(INDEX(原始資料!AO$2:AO$501,$BJ333)="","",INDEX(原始資料!AO$2:AO$501,$BJ333)))</f>
        <v/>
      </c>
      <c r="AN333" s="6">
        <f>IF(OR($BJ333="",39&gt;設定!$B$3),"",IF(INDEX(原始資料!AP$2:AP$501,$BJ333)="","",INDEX(原始資料!AP$2:AP$501,$BJ333)))</f>
        <v/>
      </c>
      <c r="AO333" s="6">
        <f>IF(OR($BJ333="",40&gt;設定!$B$3),"",IF(INDEX(原始資料!AQ$2:AQ$501,$BJ333)="","",INDEX(原始資料!AQ$2:AQ$501,$BJ333)))</f>
        <v/>
      </c>
      <c r="AP333" s="6">
        <f>IF(OR($BJ333="",41&gt;設定!$B$3),"",IF(INDEX(原始資料!AR$2:AR$501,$BJ333)="","",INDEX(原始資料!AR$2:AR$501,$BJ333)))</f>
        <v/>
      </c>
      <c r="AQ333" s="6">
        <f>IF(OR($BJ333="",42&gt;設定!$B$3),"",IF(INDEX(原始資料!AS$2:AS$501,$BJ333)="","",INDEX(原始資料!AS$2:AS$501,$BJ333)))</f>
        <v/>
      </c>
      <c r="AR333" s="6">
        <f>IF(OR($BJ333="",43&gt;設定!$B$3),"",IF(INDEX(原始資料!AT$2:AT$501,$BJ333)="","",INDEX(原始資料!AT$2:AT$501,$BJ333)))</f>
        <v/>
      </c>
      <c r="AS333" s="6">
        <f>IF(OR($BJ333="",44&gt;設定!$B$3),"",IF(INDEX(原始資料!AU$2:AU$501,$BJ333)="","",INDEX(原始資料!AU$2:AU$501,$BJ333)))</f>
        <v/>
      </c>
      <c r="AT333" s="6">
        <f>IF(OR($BJ333="",45&gt;設定!$B$3),"",IF(INDEX(原始資料!AV$2:AV$501,$BJ333)="","",INDEX(原始資料!AV$2:AV$501,$BJ333)))</f>
        <v/>
      </c>
      <c r="AU333" s="6">
        <f>IF(OR($BJ333="",46&gt;設定!$B$3),"",IF(INDEX(原始資料!AW$2:AW$501,$BJ333)="","",INDEX(原始資料!AW$2:AW$501,$BJ333)))</f>
        <v/>
      </c>
      <c r="AV333" s="6">
        <f>IF(OR($BJ333="",47&gt;設定!$B$3),"",IF(INDEX(原始資料!AX$2:AX$501,$BJ333)="","",INDEX(原始資料!AX$2:AX$501,$BJ333)))</f>
        <v/>
      </c>
      <c r="AW333" s="6">
        <f>IF(OR($BJ333="",48&gt;設定!$B$3),"",IF(INDEX(原始資料!AY$2:AY$501,$BJ333)="","",INDEX(原始資料!AY$2:AY$501,$BJ333)))</f>
        <v/>
      </c>
      <c r="AX333" s="6">
        <f>IF(OR($BJ333="",49&gt;設定!$B$3),"",IF(INDEX(原始資料!AZ$2:AZ$501,$BJ333)="","",INDEX(原始資料!AZ$2:AZ$501,$BJ333)))</f>
        <v/>
      </c>
      <c r="AY333" s="6">
        <f>IF(OR($BJ333="",50&gt;設定!$B$3),"",IF(INDEX(原始資料!BA$2:BA$501,$BJ333)="","",INDEX(原始資料!BA$2:BA$501,$BJ333)))</f>
        <v/>
      </c>
      <c r="AZ333" s="6">
        <f>IF(OR($BJ333="",51&gt;設定!$B$3),"",IF(INDEX(原始資料!BB$2:BB$501,$BJ333)="","",INDEX(原始資料!BB$2:BB$501,$BJ333)))</f>
        <v/>
      </c>
      <c r="BA333" s="6">
        <f>IF(OR($BJ333="",52&gt;設定!$B$3),"",IF(INDEX(原始資料!BC$2:BC$501,$BJ333)="","",INDEX(原始資料!BC$2:BC$501,$BJ333)))</f>
        <v/>
      </c>
      <c r="BB333" s="6">
        <f>IF(OR($BJ333="",53&gt;設定!$B$3),"",IF(INDEX(原始資料!BD$2:BD$501,$BJ333)="","",INDEX(原始資料!BD$2:BD$501,$BJ333)))</f>
        <v/>
      </c>
      <c r="BC333" s="6">
        <f>IF(OR($BJ333="",54&gt;設定!$B$3),"",IF(INDEX(原始資料!BE$2:BE$501,$BJ333)="","",INDEX(原始資料!BE$2:BE$501,$BJ333)))</f>
        <v/>
      </c>
      <c r="BD333" s="6">
        <f>IF(OR($BJ333="",55&gt;設定!$B$3),"",IF(INDEX(原始資料!BF$2:BF$501,$BJ333)="","",INDEX(原始資料!BF$2:BF$501,$BJ333)))</f>
        <v/>
      </c>
      <c r="BE333" s="6">
        <f>IF(OR($BJ333="",56&gt;設定!$B$3),"",IF(INDEX(原始資料!BG$2:BG$501,$BJ333)="","",INDEX(原始資料!BG$2:BG$501,$BJ333)))</f>
        <v/>
      </c>
      <c r="BF333" s="6">
        <f>IF(OR($BJ333="",57&gt;設定!$B$3),"",IF(INDEX(原始資料!BH$2:BH$501,$BJ333)="","",INDEX(原始資料!BH$2:BH$501,$BJ333)))</f>
        <v/>
      </c>
      <c r="BG333" s="6">
        <f>IF(OR($BJ333="",58&gt;設定!$B$3),"",IF(INDEX(原始資料!BI$2:BI$501,$BJ333)="","",INDEX(原始資料!BI$2:BI$501,$BJ333)))</f>
        <v/>
      </c>
      <c r="BH333" s="6">
        <f>IF(OR($BJ333="",59&gt;設定!$B$3),"",IF(INDEX(原始資料!BJ$2:BJ$501,$BJ333)="","",INDEX(原始資料!BJ$2:BJ$501,$BJ333)))</f>
        <v/>
      </c>
      <c r="BI333" s="6">
        <f>IF(OR($BJ333="",60&gt;設定!$B$3),"",IF(INDEX(原始資料!BK$2:BK$501,$BJ333)="","",INDEX(原始資料!BK$2:BK$501,$BJ333)))</f>
        <v/>
      </c>
      <c r="BJ333" s="6">
        <f>IFERROR(MATCH(ROW()-1,判定!$H$2:$H$501,0),"")</f>
        <v/>
      </c>
    </row>
    <row r="334">
      <c r="A334" s="6">
        <f>IF($BJ334="","",INDEX(原始資料!$A$2:$A$501,$BJ334))</f>
        <v/>
      </c>
      <c r="B334" s="6">
        <f>IF(OR($BJ334="",1&gt;設定!$B$3),"",IF(INDEX(原始資料!D$2:D$501,$BJ334)="","",INDEX(原始資料!D$2:D$501,$BJ334)))</f>
        <v/>
      </c>
      <c r="C334" s="6">
        <f>IF(OR($BJ334="",2&gt;設定!$B$3),"",IF(INDEX(原始資料!E$2:E$501,$BJ334)="","",INDEX(原始資料!E$2:E$501,$BJ334)))</f>
        <v/>
      </c>
      <c r="D334" s="6">
        <f>IF(OR($BJ334="",3&gt;設定!$B$3),"",IF(INDEX(原始資料!F$2:F$501,$BJ334)="","",INDEX(原始資料!F$2:F$501,$BJ334)))</f>
        <v/>
      </c>
      <c r="E334" s="6">
        <f>IF(OR($BJ334="",4&gt;設定!$B$3),"",IF(INDEX(原始資料!G$2:G$501,$BJ334)="","",INDEX(原始資料!G$2:G$501,$BJ334)))</f>
        <v/>
      </c>
      <c r="F334" s="6">
        <f>IF(OR($BJ334="",5&gt;設定!$B$3),"",IF(INDEX(原始資料!H$2:H$501,$BJ334)="","",INDEX(原始資料!H$2:H$501,$BJ334)))</f>
        <v/>
      </c>
      <c r="G334" s="6">
        <f>IF(OR($BJ334="",6&gt;設定!$B$3),"",IF(INDEX(原始資料!I$2:I$501,$BJ334)="","",INDEX(原始資料!I$2:I$501,$BJ334)))</f>
        <v/>
      </c>
      <c r="H334" s="6">
        <f>IF(OR($BJ334="",7&gt;設定!$B$3),"",IF(INDEX(原始資料!J$2:J$501,$BJ334)="","",INDEX(原始資料!J$2:J$501,$BJ334)))</f>
        <v/>
      </c>
      <c r="I334" s="6">
        <f>IF(OR($BJ334="",8&gt;設定!$B$3),"",IF(INDEX(原始資料!K$2:K$501,$BJ334)="","",INDEX(原始資料!K$2:K$501,$BJ334)))</f>
        <v/>
      </c>
      <c r="J334" s="6">
        <f>IF(OR($BJ334="",9&gt;設定!$B$3),"",IF(INDEX(原始資料!L$2:L$501,$BJ334)="","",INDEX(原始資料!L$2:L$501,$BJ334)))</f>
        <v/>
      </c>
      <c r="K334" s="6">
        <f>IF(OR($BJ334="",10&gt;設定!$B$3),"",IF(INDEX(原始資料!M$2:M$501,$BJ334)="","",INDEX(原始資料!M$2:M$501,$BJ334)))</f>
        <v/>
      </c>
      <c r="L334" s="6">
        <f>IF(OR($BJ334="",11&gt;設定!$B$3),"",IF(INDEX(原始資料!N$2:N$501,$BJ334)="","",INDEX(原始資料!N$2:N$501,$BJ334)))</f>
        <v/>
      </c>
      <c r="M334" s="6">
        <f>IF(OR($BJ334="",12&gt;設定!$B$3),"",IF(INDEX(原始資料!O$2:O$501,$BJ334)="","",INDEX(原始資料!O$2:O$501,$BJ334)))</f>
        <v/>
      </c>
      <c r="N334" s="6">
        <f>IF(OR($BJ334="",13&gt;設定!$B$3),"",IF(INDEX(原始資料!P$2:P$501,$BJ334)="","",INDEX(原始資料!P$2:P$501,$BJ334)))</f>
        <v/>
      </c>
      <c r="O334" s="6">
        <f>IF(OR($BJ334="",14&gt;設定!$B$3),"",IF(INDEX(原始資料!Q$2:Q$501,$BJ334)="","",INDEX(原始資料!Q$2:Q$501,$BJ334)))</f>
        <v/>
      </c>
      <c r="P334" s="6">
        <f>IF(OR($BJ334="",15&gt;設定!$B$3),"",IF(INDEX(原始資料!R$2:R$501,$BJ334)="","",INDEX(原始資料!R$2:R$501,$BJ334)))</f>
        <v/>
      </c>
      <c r="Q334" s="6">
        <f>IF(OR($BJ334="",16&gt;設定!$B$3),"",IF(INDEX(原始資料!S$2:S$501,$BJ334)="","",INDEX(原始資料!S$2:S$501,$BJ334)))</f>
        <v/>
      </c>
      <c r="R334" s="6">
        <f>IF(OR($BJ334="",17&gt;設定!$B$3),"",IF(INDEX(原始資料!T$2:T$501,$BJ334)="","",INDEX(原始資料!T$2:T$501,$BJ334)))</f>
        <v/>
      </c>
      <c r="S334" s="6">
        <f>IF(OR($BJ334="",18&gt;設定!$B$3),"",IF(INDEX(原始資料!U$2:U$501,$BJ334)="","",INDEX(原始資料!U$2:U$501,$BJ334)))</f>
        <v/>
      </c>
      <c r="T334" s="6">
        <f>IF(OR($BJ334="",19&gt;設定!$B$3),"",IF(INDEX(原始資料!V$2:V$501,$BJ334)="","",INDEX(原始資料!V$2:V$501,$BJ334)))</f>
        <v/>
      </c>
      <c r="U334" s="6">
        <f>IF(OR($BJ334="",20&gt;設定!$B$3),"",IF(INDEX(原始資料!W$2:W$501,$BJ334)="","",INDEX(原始資料!W$2:W$501,$BJ334)))</f>
        <v/>
      </c>
      <c r="V334" s="6">
        <f>IF(OR($BJ334="",21&gt;設定!$B$3),"",IF(INDEX(原始資料!X$2:X$501,$BJ334)="","",INDEX(原始資料!X$2:X$501,$BJ334)))</f>
        <v/>
      </c>
      <c r="W334" s="6">
        <f>IF(OR($BJ334="",22&gt;設定!$B$3),"",IF(INDEX(原始資料!Y$2:Y$501,$BJ334)="","",INDEX(原始資料!Y$2:Y$501,$BJ334)))</f>
        <v/>
      </c>
      <c r="X334" s="6">
        <f>IF(OR($BJ334="",23&gt;設定!$B$3),"",IF(INDEX(原始資料!Z$2:Z$501,$BJ334)="","",INDEX(原始資料!Z$2:Z$501,$BJ334)))</f>
        <v/>
      </c>
      <c r="Y334" s="6">
        <f>IF(OR($BJ334="",24&gt;設定!$B$3),"",IF(INDEX(原始資料!AA$2:AA$501,$BJ334)="","",INDEX(原始資料!AA$2:AA$501,$BJ334)))</f>
        <v/>
      </c>
      <c r="Z334" s="6">
        <f>IF(OR($BJ334="",25&gt;設定!$B$3),"",IF(INDEX(原始資料!AB$2:AB$501,$BJ334)="","",INDEX(原始資料!AB$2:AB$501,$BJ334)))</f>
        <v/>
      </c>
      <c r="AA334" s="6">
        <f>IF(OR($BJ334="",26&gt;設定!$B$3),"",IF(INDEX(原始資料!AC$2:AC$501,$BJ334)="","",INDEX(原始資料!AC$2:AC$501,$BJ334)))</f>
        <v/>
      </c>
      <c r="AB334" s="6">
        <f>IF(OR($BJ334="",27&gt;設定!$B$3),"",IF(INDEX(原始資料!AD$2:AD$501,$BJ334)="","",INDEX(原始資料!AD$2:AD$501,$BJ334)))</f>
        <v/>
      </c>
      <c r="AC334" s="6">
        <f>IF(OR($BJ334="",28&gt;設定!$B$3),"",IF(INDEX(原始資料!AE$2:AE$501,$BJ334)="","",INDEX(原始資料!AE$2:AE$501,$BJ334)))</f>
        <v/>
      </c>
      <c r="AD334" s="6">
        <f>IF(OR($BJ334="",29&gt;設定!$B$3),"",IF(INDEX(原始資料!AF$2:AF$501,$BJ334)="","",INDEX(原始資料!AF$2:AF$501,$BJ334)))</f>
        <v/>
      </c>
      <c r="AE334" s="6">
        <f>IF(OR($BJ334="",30&gt;設定!$B$3),"",IF(INDEX(原始資料!AG$2:AG$501,$BJ334)="","",INDEX(原始資料!AG$2:AG$501,$BJ334)))</f>
        <v/>
      </c>
      <c r="AF334" s="6">
        <f>IF(OR($BJ334="",31&gt;設定!$B$3),"",IF(INDEX(原始資料!AH$2:AH$501,$BJ334)="","",INDEX(原始資料!AH$2:AH$501,$BJ334)))</f>
        <v/>
      </c>
      <c r="AG334" s="6">
        <f>IF(OR($BJ334="",32&gt;設定!$B$3),"",IF(INDEX(原始資料!AI$2:AI$501,$BJ334)="","",INDEX(原始資料!AI$2:AI$501,$BJ334)))</f>
        <v/>
      </c>
      <c r="AH334" s="6">
        <f>IF(OR($BJ334="",33&gt;設定!$B$3),"",IF(INDEX(原始資料!AJ$2:AJ$501,$BJ334)="","",INDEX(原始資料!AJ$2:AJ$501,$BJ334)))</f>
        <v/>
      </c>
      <c r="AI334" s="6">
        <f>IF(OR($BJ334="",34&gt;設定!$B$3),"",IF(INDEX(原始資料!AK$2:AK$501,$BJ334)="","",INDEX(原始資料!AK$2:AK$501,$BJ334)))</f>
        <v/>
      </c>
      <c r="AJ334" s="6">
        <f>IF(OR($BJ334="",35&gt;設定!$B$3),"",IF(INDEX(原始資料!AL$2:AL$501,$BJ334)="","",INDEX(原始資料!AL$2:AL$501,$BJ334)))</f>
        <v/>
      </c>
      <c r="AK334" s="6">
        <f>IF(OR($BJ334="",36&gt;設定!$B$3),"",IF(INDEX(原始資料!AM$2:AM$501,$BJ334)="","",INDEX(原始資料!AM$2:AM$501,$BJ334)))</f>
        <v/>
      </c>
      <c r="AL334" s="6">
        <f>IF(OR($BJ334="",37&gt;設定!$B$3),"",IF(INDEX(原始資料!AN$2:AN$501,$BJ334)="","",INDEX(原始資料!AN$2:AN$501,$BJ334)))</f>
        <v/>
      </c>
      <c r="AM334" s="6">
        <f>IF(OR($BJ334="",38&gt;設定!$B$3),"",IF(INDEX(原始資料!AO$2:AO$501,$BJ334)="","",INDEX(原始資料!AO$2:AO$501,$BJ334)))</f>
        <v/>
      </c>
      <c r="AN334" s="6">
        <f>IF(OR($BJ334="",39&gt;設定!$B$3),"",IF(INDEX(原始資料!AP$2:AP$501,$BJ334)="","",INDEX(原始資料!AP$2:AP$501,$BJ334)))</f>
        <v/>
      </c>
      <c r="AO334" s="6">
        <f>IF(OR($BJ334="",40&gt;設定!$B$3),"",IF(INDEX(原始資料!AQ$2:AQ$501,$BJ334)="","",INDEX(原始資料!AQ$2:AQ$501,$BJ334)))</f>
        <v/>
      </c>
      <c r="AP334" s="6">
        <f>IF(OR($BJ334="",41&gt;設定!$B$3),"",IF(INDEX(原始資料!AR$2:AR$501,$BJ334)="","",INDEX(原始資料!AR$2:AR$501,$BJ334)))</f>
        <v/>
      </c>
      <c r="AQ334" s="6">
        <f>IF(OR($BJ334="",42&gt;設定!$B$3),"",IF(INDEX(原始資料!AS$2:AS$501,$BJ334)="","",INDEX(原始資料!AS$2:AS$501,$BJ334)))</f>
        <v/>
      </c>
      <c r="AR334" s="6">
        <f>IF(OR($BJ334="",43&gt;設定!$B$3),"",IF(INDEX(原始資料!AT$2:AT$501,$BJ334)="","",INDEX(原始資料!AT$2:AT$501,$BJ334)))</f>
        <v/>
      </c>
      <c r="AS334" s="6">
        <f>IF(OR($BJ334="",44&gt;設定!$B$3),"",IF(INDEX(原始資料!AU$2:AU$501,$BJ334)="","",INDEX(原始資料!AU$2:AU$501,$BJ334)))</f>
        <v/>
      </c>
      <c r="AT334" s="6">
        <f>IF(OR($BJ334="",45&gt;設定!$B$3),"",IF(INDEX(原始資料!AV$2:AV$501,$BJ334)="","",INDEX(原始資料!AV$2:AV$501,$BJ334)))</f>
        <v/>
      </c>
      <c r="AU334" s="6">
        <f>IF(OR($BJ334="",46&gt;設定!$B$3),"",IF(INDEX(原始資料!AW$2:AW$501,$BJ334)="","",INDEX(原始資料!AW$2:AW$501,$BJ334)))</f>
        <v/>
      </c>
      <c r="AV334" s="6">
        <f>IF(OR($BJ334="",47&gt;設定!$B$3),"",IF(INDEX(原始資料!AX$2:AX$501,$BJ334)="","",INDEX(原始資料!AX$2:AX$501,$BJ334)))</f>
        <v/>
      </c>
      <c r="AW334" s="6">
        <f>IF(OR($BJ334="",48&gt;設定!$B$3),"",IF(INDEX(原始資料!AY$2:AY$501,$BJ334)="","",INDEX(原始資料!AY$2:AY$501,$BJ334)))</f>
        <v/>
      </c>
      <c r="AX334" s="6">
        <f>IF(OR($BJ334="",49&gt;設定!$B$3),"",IF(INDEX(原始資料!AZ$2:AZ$501,$BJ334)="","",INDEX(原始資料!AZ$2:AZ$501,$BJ334)))</f>
        <v/>
      </c>
      <c r="AY334" s="6">
        <f>IF(OR($BJ334="",50&gt;設定!$B$3),"",IF(INDEX(原始資料!BA$2:BA$501,$BJ334)="","",INDEX(原始資料!BA$2:BA$501,$BJ334)))</f>
        <v/>
      </c>
      <c r="AZ334" s="6">
        <f>IF(OR($BJ334="",51&gt;設定!$B$3),"",IF(INDEX(原始資料!BB$2:BB$501,$BJ334)="","",INDEX(原始資料!BB$2:BB$501,$BJ334)))</f>
        <v/>
      </c>
      <c r="BA334" s="6">
        <f>IF(OR($BJ334="",52&gt;設定!$B$3),"",IF(INDEX(原始資料!BC$2:BC$501,$BJ334)="","",INDEX(原始資料!BC$2:BC$501,$BJ334)))</f>
        <v/>
      </c>
      <c r="BB334" s="6">
        <f>IF(OR($BJ334="",53&gt;設定!$B$3),"",IF(INDEX(原始資料!BD$2:BD$501,$BJ334)="","",INDEX(原始資料!BD$2:BD$501,$BJ334)))</f>
        <v/>
      </c>
      <c r="BC334" s="6">
        <f>IF(OR($BJ334="",54&gt;設定!$B$3),"",IF(INDEX(原始資料!BE$2:BE$501,$BJ334)="","",INDEX(原始資料!BE$2:BE$501,$BJ334)))</f>
        <v/>
      </c>
      <c r="BD334" s="6">
        <f>IF(OR($BJ334="",55&gt;設定!$B$3),"",IF(INDEX(原始資料!BF$2:BF$501,$BJ334)="","",INDEX(原始資料!BF$2:BF$501,$BJ334)))</f>
        <v/>
      </c>
      <c r="BE334" s="6">
        <f>IF(OR($BJ334="",56&gt;設定!$B$3),"",IF(INDEX(原始資料!BG$2:BG$501,$BJ334)="","",INDEX(原始資料!BG$2:BG$501,$BJ334)))</f>
        <v/>
      </c>
      <c r="BF334" s="6">
        <f>IF(OR($BJ334="",57&gt;設定!$B$3),"",IF(INDEX(原始資料!BH$2:BH$501,$BJ334)="","",INDEX(原始資料!BH$2:BH$501,$BJ334)))</f>
        <v/>
      </c>
      <c r="BG334" s="6">
        <f>IF(OR($BJ334="",58&gt;設定!$B$3),"",IF(INDEX(原始資料!BI$2:BI$501,$BJ334)="","",INDEX(原始資料!BI$2:BI$501,$BJ334)))</f>
        <v/>
      </c>
      <c r="BH334" s="6">
        <f>IF(OR($BJ334="",59&gt;設定!$B$3),"",IF(INDEX(原始資料!BJ$2:BJ$501,$BJ334)="","",INDEX(原始資料!BJ$2:BJ$501,$BJ334)))</f>
        <v/>
      </c>
      <c r="BI334" s="6">
        <f>IF(OR($BJ334="",60&gt;設定!$B$3),"",IF(INDEX(原始資料!BK$2:BK$501,$BJ334)="","",INDEX(原始資料!BK$2:BK$501,$BJ334)))</f>
        <v/>
      </c>
      <c r="BJ334" s="6">
        <f>IFERROR(MATCH(ROW()-1,判定!$H$2:$H$501,0),"")</f>
        <v/>
      </c>
    </row>
    <row r="335">
      <c r="A335" s="6">
        <f>IF($BJ335="","",INDEX(原始資料!$A$2:$A$501,$BJ335))</f>
        <v/>
      </c>
      <c r="B335" s="6">
        <f>IF(OR($BJ335="",1&gt;設定!$B$3),"",IF(INDEX(原始資料!D$2:D$501,$BJ335)="","",INDEX(原始資料!D$2:D$501,$BJ335)))</f>
        <v/>
      </c>
      <c r="C335" s="6">
        <f>IF(OR($BJ335="",2&gt;設定!$B$3),"",IF(INDEX(原始資料!E$2:E$501,$BJ335)="","",INDEX(原始資料!E$2:E$501,$BJ335)))</f>
        <v/>
      </c>
      <c r="D335" s="6">
        <f>IF(OR($BJ335="",3&gt;設定!$B$3),"",IF(INDEX(原始資料!F$2:F$501,$BJ335)="","",INDEX(原始資料!F$2:F$501,$BJ335)))</f>
        <v/>
      </c>
      <c r="E335" s="6">
        <f>IF(OR($BJ335="",4&gt;設定!$B$3),"",IF(INDEX(原始資料!G$2:G$501,$BJ335)="","",INDEX(原始資料!G$2:G$501,$BJ335)))</f>
        <v/>
      </c>
      <c r="F335" s="6">
        <f>IF(OR($BJ335="",5&gt;設定!$B$3),"",IF(INDEX(原始資料!H$2:H$501,$BJ335)="","",INDEX(原始資料!H$2:H$501,$BJ335)))</f>
        <v/>
      </c>
      <c r="G335" s="6">
        <f>IF(OR($BJ335="",6&gt;設定!$B$3),"",IF(INDEX(原始資料!I$2:I$501,$BJ335)="","",INDEX(原始資料!I$2:I$501,$BJ335)))</f>
        <v/>
      </c>
      <c r="H335" s="6">
        <f>IF(OR($BJ335="",7&gt;設定!$B$3),"",IF(INDEX(原始資料!J$2:J$501,$BJ335)="","",INDEX(原始資料!J$2:J$501,$BJ335)))</f>
        <v/>
      </c>
      <c r="I335" s="6">
        <f>IF(OR($BJ335="",8&gt;設定!$B$3),"",IF(INDEX(原始資料!K$2:K$501,$BJ335)="","",INDEX(原始資料!K$2:K$501,$BJ335)))</f>
        <v/>
      </c>
      <c r="J335" s="6">
        <f>IF(OR($BJ335="",9&gt;設定!$B$3),"",IF(INDEX(原始資料!L$2:L$501,$BJ335)="","",INDEX(原始資料!L$2:L$501,$BJ335)))</f>
        <v/>
      </c>
      <c r="K335" s="6">
        <f>IF(OR($BJ335="",10&gt;設定!$B$3),"",IF(INDEX(原始資料!M$2:M$501,$BJ335)="","",INDEX(原始資料!M$2:M$501,$BJ335)))</f>
        <v/>
      </c>
      <c r="L335" s="6">
        <f>IF(OR($BJ335="",11&gt;設定!$B$3),"",IF(INDEX(原始資料!N$2:N$501,$BJ335)="","",INDEX(原始資料!N$2:N$501,$BJ335)))</f>
        <v/>
      </c>
      <c r="M335" s="6">
        <f>IF(OR($BJ335="",12&gt;設定!$B$3),"",IF(INDEX(原始資料!O$2:O$501,$BJ335)="","",INDEX(原始資料!O$2:O$501,$BJ335)))</f>
        <v/>
      </c>
      <c r="N335" s="6">
        <f>IF(OR($BJ335="",13&gt;設定!$B$3),"",IF(INDEX(原始資料!P$2:P$501,$BJ335)="","",INDEX(原始資料!P$2:P$501,$BJ335)))</f>
        <v/>
      </c>
      <c r="O335" s="6">
        <f>IF(OR($BJ335="",14&gt;設定!$B$3),"",IF(INDEX(原始資料!Q$2:Q$501,$BJ335)="","",INDEX(原始資料!Q$2:Q$501,$BJ335)))</f>
        <v/>
      </c>
      <c r="P335" s="6">
        <f>IF(OR($BJ335="",15&gt;設定!$B$3),"",IF(INDEX(原始資料!R$2:R$501,$BJ335)="","",INDEX(原始資料!R$2:R$501,$BJ335)))</f>
        <v/>
      </c>
      <c r="Q335" s="6">
        <f>IF(OR($BJ335="",16&gt;設定!$B$3),"",IF(INDEX(原始資料!S$2:S$501,$BJ335)="","",INDEX(原始資料!S$2:S$501,$BJ335)))</f>
        <v/>
      </c>
      <c r="R335" s="6">
        <f>IF(OR($BJ335="",17&gt;設定!$B$3),"",IF(INDEX(原始資料!T$2:T$501,$BJ335)="","",INDEX(原始資料!T$2:T$501,$BJ335)))</f>
        <v/>
      </c>
      <c r="S335" s="6">
        <f>IF(OR($BJ335="",18&gt;設定!$B$3),"",IF(INDEX(原始資料!U$2:U$501,$BJ335)="","",INDEX(原始資料!U$2:U$501,$BJ335)))</f>
        <v/>
      </c>
      <c r="T335" s="6">
        <f>IF(OR($BJ335="",19&gt;設定!$B$3),"",IF(INDEX(原始資料!V$2:V$501,$BJ335)="","",INDEX(原始資料!V$2:V$501,$BJ335)))</f>
        <v/>
      </c>
      <c r="U335" s="6">
        <f>IF(OR($BJ335="",20&gt;設定!$B$3),"",IF(INDEX(原始資料!W$2:W$501,$BJ335)="","",INDEX(原始資料!W$2:W$501,$BJ335)))</f>
        <v/>
      </c>
      <c r="V335" s="6">
        <f>IF(OR($BJ335="",21&gt;設定!$B$3),"",IF(INDEX(原始資料!X$2:X$501,$BJ335)="","",INDEX(原始資料!X$2:X$501,$BJ335)))</f>
        <v/>
      </c>
      <c r="W335" s="6">
        <f>IF(OR($BJ335="",22&gt;設定!$B$3),"",IF(INDEX(原始資料!Y$2:Y$501,$BJ335)="","",INDEX(原始資料!Y$2:Y$501,$BJ335)))</f>
        <v/>
      </c>
      <c r="X335" s="6">
        <f>IF(OR($BJ335="",23&gt;設定!$B$3),"",IF(INDEX(原始資料!Z$2:Z$501,$BJ335)="","",INDEX(原始資料!Z$2:Z$501,$BJ335)))</f>
        <v/>
      </c>
      <c r="Y335" s="6">
        <f>IF(OR($BJ335="",24&gt;設定!$B$3),"",IF(INDEX(原始資料!AA$2:AA$501,$BJ335)="","",INDEX(原始資料!AA$2:AA$501,$BJ335)))</f>
        <v/>
      </c>
      <c r="Z335" s="6">
        <f>IF(OR($BJ335="",25&gt;設定!$B$3),"",IF(INDEX(原始資料!AB$2:AB$501,$BJ335)="","",INDEX(原始資料!AB$2:AB$501,$BJ335)))</f>
        <v/>
      </c>
      <c r="AA335" s="6">
        <f>IF(OR($BJ335="",26&gt;設定!$B$3),"",IF(INDEX(原始資料!AC$2:AC$501,$BJ335)="","",INDEX(原始資料!AC$2:AC$501,$BJ335)))</f>
        <v/>
      </c>
      <c r="AB335" s="6">
        <f>IF(OR($BJ335="",27&gt;設定!$B$3),"",IF(INDEX(原始資料!AD$2:AD$501,$BJ335)="","",INDEX(原始資料!AD$2:AD$501,$BJ335)))</f>
        <v/>
      </c>
      <c r="AC335" s="6">
        <f>IF(OR($BJ335="",28&gt;設定!$B$3),"",IF(INDEX(原始資料!AE$2:AE$501,$BJ335)="","",INDEX(原始資料!AE$2:AE$501,$BJ335)))</f>
        <v/>
      </c>
      <c r="AD335" s="6">
        <f>IF(OR($BJ335="",29&gt;設定!$B$3),"",IF(INDEX(原始資料!AF$2:AF$501,$BJ335)="","",INDEX(原始資料!AF$2:AF$501,$BJ335)))</f>
        <v/>
      </c>
      <c r="AE335" s="6">
        <f>IF(OR($BJ335="",30&gt;設定!$B$3),"",IF(INDEX(原始資料!AG$2:AG$501,$BJ335)="","",INDEX(原始資料!AG$2:AG$501,$BJ335)))</f>
        <v/>
      </c>
      <c r="AF335" s="6">
        <f>IF(OR($BJ335="",31&gt;設定!$B$3),"",IF(INDEX(原始資料!AH$2:AH$501,$BJ335)="","",INDEX(原始資料!AH$2:AH$501,$BJ335)))</f>
        <v/>
      </c>
      <c r="AG335" s="6">
        <f>IF(OR($BJ335="",32&gt;設定!$B$3),"",IF(INDEX(原始資料!AI$2:AI$501,$BJ335)="","",INDEX(原始資料!AI$2:AI$501,$BJ335)))</f>
        <v/>
      </c>
      <c r="AH335" s="6">
        <f>IF(OR($BJ335="",33&gt;設定!$B$3),"",IF(INDEX(原始資料!AJ$2:AJ$501,$BJ335)="","",INDEX(原始資料!AJ$2:AJ$501,$BJ335)))</f>
        <v/>
      </c>
      <c r="AI335" s="6">
        <f>IF(OR($BJ335="",34&gt;設定!$B$3),"",IF(INDEX(原始資料!AK$2:AK$501,$BJ335)="","",INDEX(原始資料!AK$2:AK$501,$BJ335)))</f>
        <v/>
      </c>
      <c r="AJ335" s="6">
        <f>IF(OR($BJ335="",35&gt;設定!$B$3),"",IF(INDEX(原始資料!AL$2:AL$501,$BJ335)="","",INDEX(原始資料!AL$2:AL$501,$BJ335)))</f>
        <v/>
      </c>
      <c r="AK335" s="6">
        <f>IF(OR($BJ335="",36&gt;設定!$B$3),"",IF(INDEX(原始資料!AM$2:AM$501,$BJ335)="","",INDEX(原始資料!AM$2:AM$501,$BJ335)))</f>
        <v/>
      </c>
      <c r="AL335" s="6">
        <f>IF(OR($BJ335="",37&gt;設定!$B$3),"",IF(INDEX(原始資料!AN$2:AN$501,$BJ335)="","",INDEX(原始資料!AN$2:AN$501,$BJ335)))</f>
        <v/>
      </c>
      <c r="AM335" s="6">
        <f>IF(OR($BJ335="",38&gt;設定!$B$3),"",IF(INDEX(原始資料!AO$2:AO$501,$BJ335)="","",INDEX(原始資料!AO$2:AO$501,$BJ335)))</f>
        <v/>
      </c>
      <c r="AN335" s="6">
        <f>IF(OR($BJ335="",39&gt;設定!$B$3),"",IF(INDEX(原始資料!AP$2:AP$501,$BJ335)="","",INDEX(原始資料!AP$2:AP$501,$BJ335)))</f>
        <v/>
      </c>
      <c r="AO335" s="6">
        <f>IF(OR($BJ335="",40&gt;設定!$B$3),"",IF(INDEX(原始資料!AQ$2:AQ$501,$BJ335)="","",INDEX(原始資料!AQ$2:AQ$501,$BJ335)))</f>
        <v/>
      </c>
      <c r="AP335" s="6">
        <f>IF(OR($BJ335="",41&gt;設定!$B$3),"",IF(INDEX(原始資料!AR$2:AR$501,$BJ335)="","",INDEX(原始資料!AR$2:AR$501,$BJ335)))</f>
        <v/>
      </c>
      <c r="AQ335" s="6">
        <f>IF(OR($BJ335="",42&gt;設定!$B$3),"",IF(INDEX(原始資料!AS$2:AS$501,$BJ335)="","",INDEX(原始資料!AS$2:AS$501,$BJ335)))</f>
        <v/>
      </c>
      <c r="AR335" s="6">
        <f>IF(OR($BJ335="",43&gt;設定!$B$3),"",IF(INDEX(原始資料!AT$2:AT$501,$BJ335)="","",INDEX(原始資料!AT$2:AT$501,$BJ335)))</f>
        <v/>
      </c>
      <c r="AS335" s="6">
        <f>IF(OR($BJ335="",44&gt;設定!$B$3),"",IF(INDEX(原始資料!AU$2:AU$501,$BJ335)="","",INDEX(原始資料!AU$2:AU$501,$BJ335)))</f>
        <v/>
      </c>
      <c r="AT335" s="6">
        <f>IF(OR($BJ335="",45&gt;設定!$B$3),"",IF(INDEX(原始資料!AV$2:AV$501,$BJ335)="","",INDEX(原始資料!AV$2:AV$501,$BJ335)))</f>
        <v/>
      </c>
      <c r="AU335" s="6">
        <f>IF(OR($BJ335="",46&gt;設定!$B$3),"",IF(INDEX(原始資料!AW$2:AW$501,$BJ335)="","",INDEX(原始資料!AW$2:AW$501,$BJ335)))</f>
        <v/>
      </c>
      <c r="AV335" s="6">
        <f>IF(OR($BJ335="",47&gt;設定!$B$3),"",IF(INDEX(原始資料!AX$2:AX$501,$BJ335)="","",INDEX(原始資料!AX$2:AX$501,$BJ335)))</f>
        <v/>
      </c>
      <c r="AW335" s="6">
        <f>IF(OR($BJ335="",48&gt;設定!$B$3),"",IF(INDEX(原始資料!AY$2:AY$501,$BJ335)="","",INDEX(原始資料!AY$2:AY$501,$BJ335)))</f>
        <v/>
      </c>
      <c r="AX335" s="6">
        <f>IF(OR($BJ335="",49&gt;設定!$B$3),"",IF(INDEX(原始資料!AZ$2:AZ$501,$BJ335)="","",INDEX(原始資料!AZ$2:AZ$501,$BJ335)))</f>
        <v/>
      </c>
      <c r="AY335" s="6">
        <f>IF(OR($BJ335="",50&gt;設定!$B$3),"",IF(INDEX(原始資料!BA$2:BA$501,$BJ335)="","",INDEX(原始資料!BA$2:BA$501,$BJ335)))</f>
        <v/>
      </c>
      <c r="AZ335" s="6">
        <f>IF(OR($BJ335="",51&gt;設定!$B$3),"",IF(INDEX(原始資料!BB$2:BB$501,$BJ335)="","",INDEX(原始資料!BB$2:BB$501,$BJ335)))</f>
        <v/>
      </c>
      <c r="BA335" s="6">
        <f>IF(OR($BJ335="",52&gt;設定!$B$3),"",IF(INDEX(原始資料!BC$2:BC$501,$BJ335)="","",INDEX(原始資料!BC$2:BC$501,$BJ335)))</f>
        <v/>
      </c>
      <c r="BB335" s="6">
        <f>IF(OR($BJ335="",53&gt;設定!$B$3),"",IF(INDEX(原始資料!BD$2:BD$501,$BJ335)="","",INDEX(原始資料!BD$2:BD$501,$BJ335)))</f>
        <v/>
      </c>
      <c r="BC335" s="6">
        <f>IF(OR($BJ335="",54&gt;設定!$B$3),"",IF(INDEX(原始資料!BE$2:BE$501,$BJ335)="","",INDEX(原始資料!BE$2:BE$501,$BJ335)))</f>
        <v/>
      </c>
      <c r="BD335" s="6">
        <f>IF(OR($BJ335="",55&gt;設定!$B$3),"",IF(INDEX(原始資料!BF$2:BF$501,$BJ335)="","",INDEX(原始資料!BF$2:BF$501,$BJ335)))</f>
        <v/>
      </c>
      <c r="BE335" s="6">
        <f>IF(OR($BJ335="",56&gt;設定!$B$3),"",IF(INDEX(原始資料!BG$2:BG$501,$BJ335)="","",INDEX(原始資料!BG$2:BG$501,$BJ335)))</f>
        <v/>
      </c>
      <c r="BF335" s="6">
        <f>IF(OR($BJ335="",57&gt;設定!$B$3),"",IF(INDEX(原始資料!BH$2:BH$501,$BJ335)="","",INDEX(原始資料!BH$2:BH$501,$BJ335)))</f>
        <v/>
      </c>
      <c r="BG335" s="6">
        <f>IF(OR($BJ335="",58&gt;設定!$B$3),"",IF(INDEX(原始資料!BI$2:BI$501,$BJ335)="","",INDEX(原始資料!BI$2:BI$501,$BJ335)))</f>
        <v/>
      </c>
      <c r="BH335" s="6">
        <f>IF(OR($BJ335="",59&gt;設定!$B$3),"",IF(INDEX(原始資料!BJ$2:BJ$501,$BJ335)="","",INDEX(原始資料!BJ$2:BJ$501,$BJ335)))</f>
        <v/>
      </c>
      <c r="BI335" s="6">
        <f>IF(OR($BJ335="",60&gt;設定!$B$3),"",IF(INDEX(原始資料!BK$2:BK$501,$BJ335)="","",INDEX(原始資料!BK$2:BK$501,$BJ335)))</f>
        <v/>
      </c>
      <c r="BJ335" s="6">
        <f>IFERROR(MATCH(ROW()-1,判定!$H$2:$H$501,0),"")</f>
        <v/>
      </c>
    </row>
    <row r="336">
      <c r="A336" s="6">
        <f>IF($BJ336="","",INDEX(原始資料!$A$2:$A$501,$BJ336))</f>
        <v/>
      </c>
      <c r="B336" s="6">
        <f>IF(OR($BJ336="",1&gt;設定!$B$3),"",IF(INDEX(原始資料!D$2:D$501,$BJ336)="","",INDEX(原始資料!D$2:D$501,$BJ336)))</f>
        <v/>
      </c>
      <c r="C336" s="6">
        <f>IF(OR($BJ336="",2&gt;設定!$B$3),"",IF(INDEX(原始資料!E$2:E$501,$BJ336)="","",INDEX(原始資料!E$2:E$501,$BJ336)))</f>
        <v/>
      </c>
      <c r="D336" s="6">
        <f>IF(OR($BJ336="",3&gt;設定!$B$3),"",IF(INDEX(原始資料!F$2:F$501,$BJ336)="","",INDEX(原始資料!F$2:F$501,$BJ336)))</f>
        <v/>
      </c>
      <c r="E336" s="6">
        <f>IF(OR($BJ336="",4&gt;設定!$B$3),"",IF(INDEX(原始資料!G$2:G$501,$BJ336)="","",INDEX(原始資料!G$2:G$501,$BJ336)))</f>
        <v/>
      </c>
      <c r="F336" s="6">
        <f>IF(OR($BJ336="",5&gt;設定!$B$3),"",IF(INDEX(原始資料!H$2:H$501,$BJ336)="","",INDEX(原始資料!H$2:H$501,$BJ336)))</f>
        <v/>
      </c>
      <c r="G336" s="6">
        <f>IF(OR($BJ336="",6&gt;設定!$B$3),"",IF(INDEX(原始資料!I$2:I$501,$BJ336)="","",INDEX(原始資料!I$2:I$501,$BJ336)))</f>
        <v/>
      </c>
      <c r="H336" s="6">
        <f>IF(OR($BJ336="",7&gt;設定!$B$3),"",IF(INDEX(原始資料!J$2:J$501,$BJ336)="","",INDEX(原始資料!J$2:J$501,$BJ336)))</f>
        <v/>
      </c>
      <c r="I336" s="6">
        <f>IF(OR($BJ336="",8&gt;設定!$B$3),"",IF(INDEX(原始資料!K$2:K$501,$BJ336)="","",INDEX(原始資料!K$2:K$501,$BJ336)))</f>
        <v/>
      </c>
      <c r="J336" s="6">
        <f>IF(OR($BJ336="",9&gt;設定!$B$3),"",IF(INDEX(原始資料!L$2:L$501,$BJ336)="","",INDEX(原始資料!L$2:L$501,$BJ336)))</f>
        <v/>
      </c>
      <c r="K336" s="6">
        <f>IF(OR($BJ336="",10&gt;設定!$B$3),"",IF(INDEX(原始資料!M$2:M$501,$BJ336)="","",INDEX(原始資料!M$2:M$501,$BJ336)))</f>
        <v/>
      </c>
      <c r="L336" s="6">
        <f>IF(OR($BJ336="",11&gt;設定!$B$3),"",IF(INDEX(原始資料!N$2:N$501,$BJ336)="","",INDEX(原始資料!N$2:N$501,$BJ336)))</f>
        <v/>
      </c>
      <c r="M336" s="6">
        <f>IF(OR($BJ336="",12&gt;設定!$B$3),"",IF(INDEX(原始資料!O$2:O$501,$BJ336)="","",INDEX(原始資料!O$2:O$501,$BJ336)))</f>
        <v/>
      </c>
      <c r="N336" s="6">
        <f>IF(OR($BJ336="",13&gt;設定!$B$3),"",IF(INDEX(原始資料!P$2:P$501,$BJ336)="","",INDEX(原始資料!P$2:P$501,$BJ336)))</f>
        <v/>
      </c>
      <c r="O336" s="6">
        <f>IF(OR($BJ336="",14&gt;設定!$B$3),"",IF(INDEX(原始資料!Q$2:Q$501,$BJ336)="","",INDEX(原始資料!Q$2:Q$501,$BJ336)))</f>
        <v/>
      </c>
      <c r="P336" s="6">
        <f>IF(OR($BJ336="",15&gt;設定!$B$3),"",IF(INDEX(原始資料!R$2:R$501,$BJ336)="","",INDEX(原始資料!R$2:R$501,$BJ336)))</f>
        <v/>
      </c>
      <c r="Q336" s="6">
        <f>IF(OR($BJ336="",16&gt;設定!$B$3),"",IF(INDEX(原始資料!S$2:S$501,$BJ336)="","",INDEX(原始資料!S$2:S$501,$BJ336)))</f>
        <v/>
      </c>
      <c r="R336" s="6">
        <f>IF(OR($BJ336="",17&gt;設定!$B$3),"",IF(INDEX(原始資料!T$2:T$501,$BJ336)="","",INDEX(原始資料!T$2:T$501,$BJ336)))</f>
        <v/>
      </c>
      <c r="S336" s="6">
        <f>IF(OR($BJ336="",18&gt;設定!$B$3),"",IF(INDEX(原始資料!U$2:U$501,$BJ336)="","",INDEX(原始資料!U$2:U$501,$BJ336)))</f>
        <v/>
      </c>
      <c r="T336" s="6">
        <f>IF(OR($BJ336="",19&gt;設定!$B$3),"",IF(INDEX(原始資料!V$2:V$501,$BJ336)="","",INDEX(原始資料!V$2:V$501,$BJ336)))</f>
        <v/>
      </c>
      <c r="U336" s="6">
        <f>IF(OR($BJ336="",20&gt;設定!$B$3),"",IF(INDEX(原始資料!W$2:W$501,$BJ336)="","",INDEX(原始資料!W$2:W$501,$BJ336)))</f>
        <v/>
      </c>
      <c r="V336" s="6">
        <f>IF(OR($BJ336="",21&gt;設定!$B$3),"",IF(INDEX(原始資料!X$2:X$501,$BJ336)="","",INDEX(原始資料!X$2:X$501,$BJ336)))</f>
        <v/>
      </c>
      <c r="W336" s="6">
        <f>IF(OR($BJ336="",22&gt;設定!$B$3),"",IF(INDEX(原始資料!Y$2:Y$501,$BJ336)="","",INDEX(原始資料!Y$2:Y$501,$BJ336)))</f>
        <v/>
      </c>
      <c r="X336" s="6">
        <f>IF(OR($BJ336="",23&gt;設定!$B$3),"",IF(INDEX(原始資料!Z$2:Z$501,$BJ336)="","",INDEX(原始資料!Z$2:Z$501,$BJ336)))</f>
        <v/>
      </c>
      <c r="Y336" s="6">
        <f>IF(OR($BJ336="",24&gt;設定!$B$3),"",IF(INDEX(原始資料!AA$2:AA$501,$BJ336)="","",INDEX(原始資料!AA$2:AA$501,$BJ336)))</f>
        <v/>
      </c>
      <c r="Z336" s="6">
        <f>IF(OR($BJ336="",25&gt;設定!$B$3),"",IF(INDEX(原始資料!AB$2:AB$501,$BJ336)="","",INDEX(原始資料!AB$2:AB$501,$BJ336)))</f>
        <v/>
      </c>
      <c r="AA336" s="6">
        <f>IF(OR($BJ336="",26&gt;設定!$B$3),"",IF(INDEX(原始資料!AC$2:AC$501,$BJ336)="","",INDEX(原始資料!AC$2:AC$501,$BJ336)))</f>
        <v/>
      </c>
      <c r="AB336" s="6">
        <f>IF(OR($BJ336="",27&gt;設定!$B$3),"",IF(INDEX(原始資料!AD$2:AD$501,$BJ336)="","",INDEX(原始資料!AD$2:AD$501,$BJ336)))</f>
        <v/>
      </c>
      <c r="AC336" s="6">
        <f>IF(OR($BJ336="",28&gt;設定!$B$3),"",IF(INDEX(原始資料!AE$2:AE$501,$BJ336)="","",INDEX(原始資料!AE$2:AE$501,$BJ336)))</f>
        <v/>
      </c>
      <c r="AD336" s="6">
        <f>IF(OR($BJ336="",29&gt;設定!$B$3),"",IF(INDEX(原始資料!AF$2:AF$501,$BJ336)="","",INDEX(原始資料!AF$2:AF$501,$BJ336)))</f>
        <v/>
      </c>
      <c r="AE336" s="6">
        <f>IF(OR($BJ336="",30&gt;設定!$B$3),"",IF(INDEX(原始資料!AG$2:AG$501,$BJ336)="","",INDEX(原始資料!AG$2:AG$501,$BJ336)))</f>
        <v/>
      </c>
      <c r="AF336" s="6">
        <f>IF(OR($BJ336="",31&gt;設定!$B$3),"",IF(INDEX(原始資料!AH$2:AH$501,$BJ336)="","",INDEX(原始資料!AH$2:AH$501,$BJ336)))</f>
        <v/>
      </c>
      <c r="AG336" s="6">
        <f>IF(OR($BJ336="",32&gt;設定!$B$3),"",IF(INDEX(原始資料!AI$2:AI$501,$BJ336)="","",INDEX(原始資料!AI$2:AI$501,$BJ336)))</f>
        <v/>
      </c>
      <c r="AH336" s="6">
        <f>IF(OR($BJ336="",33&gt;設定!$B$3),"",IF(INDEX(原始資料!AJ$2:AJ$501,$BJ336)="","",INDEX(原始資料!AJ$2:AJ$501,$BJ336)))</f>
        <v/>
      </c>
      <c r="AI336" s="6">
        <f>IF(OR($BJ336="",34&gt;設定!$B$3),"",IF(INDEX(原始資料!AK$2:AK$501,$BJ336)="","",INDEX(原始資料!AK$2:AK$501,$BJ336)))</f>
        <v/>
      </c>
      <c r="AJ336" s="6">
        <f>IF(OR($BJ336="",35&gt;設定!$B$3),"",IF(INDEX(原始資料!AL$2:AL$501,$BJ336)="","",INDEX(原始資料!AL$2:AL$501,$BJ336)))</f>
        <v/>
      </c>
      <c r="AK336" s="6">
        <f>IF(OR($BJ336="",36&gt;設定!$B$3),"",IF(INDEX(原始資料!AM$2:AM$501,$BJ336)="","",INDEX(原始資料!AM$2:AM$501,$BJ336)))</f>
        <v/>
      </c>
      <c r="AL336" s="6">
        <f>IF(OR($BJ336="",37&gt;設定!$B$3),"",IF(INDEX(原始資料!AN$2:AN$501,$BJ336)="","",INDEX(原始資料!AN$2:AN$501,$BJ336)))</f>
        <v/>
      </c>
      <c r="AM336" s="6">
        <f>IF(OR($BJ336="",38&gt;設定!$B$3),"",IF(INDEX(原始資料!AO$2:AO$501,$BJ336)="","",INDEX(原始資料!AO$2:AO$501,$BJ336)))</f>
        <v/>
      </c>
      <c r="AN336" s="6">
        <f>IF(OR($BJ336="",39&gt;設定!$B$3),"",IF(INDEX(原始資料!AP$2:AP$501,$BJ336)="","",INDEX(原始資料!AP$2:AP$501,$BJ336)))</f>
        <v/>
      </c>
      <c r="AO336" s="6">
        <f>IF(OR($BJ336="",40&gt;設定!$B$3),"",IF(INDEX(原始資料!AQ$2:AQ$501,$BJ336)="","",INDEX(原始資料!AQ$2:AQ$501,$BJ336)))</f>
        <v/>
      </c>
      <c r="AP336" s="6">
        <f>IF(OR($BJ336="",41&gt;設定!$B$3),"",IF(INDEX(原始資料!AR$2:AR$501,$BJ336)="","",INDEX(原始資料!AR$2:AR$501,$BJ336)))</f>
        <v/>
      </c>
      <c r="AQ336" s="6">
        <f>IF(OR($BJ336="",42&gt;設定!$B$3),"",IF(INDEX(原始資料!AS$2:AS$501,$BJ336)="","",INDEX(原始資料!AS$2:AS$501,$BJ336)))</f>
        <v/>
      </c>
      <c r="AR336" s="6">
        <f>IF(OR($BJ336="",43&gt;設定!$B$3),"",IF(INDEX(原始資料!AT$2:AT$501,$BJ336)="","",INDEX(原始資料!AT$2:AT$501,$BJ336)))</f>
        <v/>
      </c>
      <c r="AS336" s="6">
        <f>IF(OR($BJ336="",44&gt;設定!$B$3),"",IF(INDEX(原始資料!AU$2:AU$501,$BJ336)="","",INDEX(原始資料!AU$2:AU$501,$BJ336)))</f>
        <v/>
      </c>
      <c r="AT336" s="6">
        <f>IF(OR($BJ336="",45&gt;設定!$B$3),"",IF(INDEX(原始資料!AV$2:AV$501,$BJ336)="","",INDEX(原始資料!AV$2:AV$501,$BJ336)))</f>
        <v/>
      </c>
      <c r="AU336" s="6">
        <f>IF(OR($BJ336="",46&gt;設定!$B$3),"",IF(INDEX(原始資料!AW$2:AW$501,$BJ336)="","",INDEX(原始資料!AW$2:AW$501,$BJ336)))</f>
        <v/>
      </c>
      <c r="AV336" s="6">
        <f>IF(OR($BJ336="",47&gt;設定!$B$3),"",IF(INDEX(原始資料!AX$2:AX$501,$BJ336)="","",INDEX(原始資料!AX$2:AX$501,$BJ336)))</f>
        <v/>
      </c>
      <c r="AW336" s="6">
        <f>IF(OR($BJ336="",48&gt;設定!$B$3),"",IF(INDEX(原始資料!AY$2:AY$501,$BJ336)="","",INDEX(原始資料!AY$2:AY$501,$BJ336)))</f>
        <v/>
      </c>
      <c r="AX336" s="6">
        <f>IF(OR($BJ336="",49&gt;設定!$B$3),"",IF(INDEX(原始資料!AZ$2:AZ$501,$BJ336)="","",INDEX(原始資料!AZ$2:AZ$501,$BJ336)))</f>
        <v/>
      </c>
      <c r="AY336" s="6">
        <f>IF(OR($BJ336="",50&gt;設定!$B$3),"",IF(INDEX(原始資料!BA$2:BA$501,$BJ336)="","",INDEX(原始資料!BA$2:BA$501,$BJ336)))</f>
        <v/>
      </c>
      <c r="AZ336" s="6">
        <f>IF(OR($BJ336="",51&gt;設定!$B$3),"",IF(INDEX(原始資料!BB$2:BB$501,$BJ336)="","",INDEX(原始資料!BB$2:BB$501,$BJ336)))</f>
        <v/>
      </c>
      <c r="BA336" s="6">
        <f>IF(OR($BJ336="",52&gt;設定!$B$3),"",IF(INDEX(原始資料!BC$2:BC$501,$BJ336)="","",INDEX(原始資料!BC$2:BC$501,$BJ336)))</f>
        <v/>
      </c>
      <c r="BB336" s="6">
        <f>IF(OR($BJ336="",53&gt;設定!$B$3),"",IF(INDEX(原始資料!BD$2:BD$501,$BJ336)="","",INDEX(原始資料!BD$2:BD$501,$BJ336)))</f>
        <v/>
      </c>
      <c r="BC336" s="6">
        <f>IF(OR($BJ336="",54&gt;設定!$B$3),"",IF(INDEX(原始資料!BE$2:BE$501,$BJ336)="","",INDEX(原始資料!BE$2:BE$501,$BJ336)))</f>
        <v/>
      </c>
      <c r="BD336" s="6">
        <f>IF(OR($BJ336="",55&gt;設定!$B$3),"",IF(INDEX(原始資料!BF$2:BF$501,$BJ336)="","",INDEX(原始資料!BF$2:BF$501,$BJ336)))</f>
        <v/>
      </c>
      <c r="BE336" s="6">
        <f>IF(OR($BJ336="",56&gt;設定!$B$3),"",IF(INDEX(原始資料!BG$2:BG$501,$BJ336)="","",INDEX(原始資料!BG$2:BG$501,$BJ336)))</f>
        <v/>
      </c>
      <c r="BF336" s="6">
        <f>IF(OR($BJ336="",57&gt;設定!$B$3),"",IF(INDEX(原始資料!BH$2:BH$501,$BJ336)="","",INDEX(原始資料!BH$2:BH$501,$BJ336)))</f>
        <v/>
      </c>
      <c r="BG336" s="6">
        <f>IF(OR($BJ336="",58&gt;設定!$B$3),"",IF(INDEX(原始資料!BI$2:BI$501,$BJ336)="","",INDEX(原始資料!BI$2:BI$501,$BJ336)))</f>
        <v/>
      </c>
      <c r="BH336" s="6">
        <f>IF(OR($BJ336="",59&gt;設定!$B$3),"",IF(INDEX(原始資料!BJ$2:BJ$501,$BJ336)="","",INDEX(原始資料!BJ$2:BJ$501,$BJ336)))</f>
        <v/>
      </c>
      <c r="BI336" s="6">
        <f>IF(OR($BJ336="",60&gt;設定!$B$3),"",IF(INDEX(原始資料!BK$2:BK$501,$BJ336)="","",INDEX(原始資料!BK$2:BK$501,$BJ336)))</f>
        <v/>
      </c>
      <c r="BJ336" s="6">
        <f>IFERROR(MATCH(ROW()-1,判定!$H$2:$H$501,0),"")</f>
        <v/>
      </c>
    </row>
    <row r="337">
      <c r="A337" s="6">
        <f>IF($BJ337="","",INDEX(原始資料!$A$2:$A$501,$BJ337))</f>
        <v/>
      </c>
      <c r="B337" s="6">
        <f>IF(OR($BJ337="",1&gt;設定!$B$3),"",IF(INDEX(原始資料!D$2:D$501,$BJ337)="","",INDEX(原始資料!D$2:D$501,$BJ337)))</f>
        <v/>
      </c>
      <c r="C337" s="6">
        <f>IF(OR($BJ337="",2&gt;設定!$B$3),"",IF(INDEX(原始資料!E$2:E$501,$BJ337)="","",INDEX(原始資料!E$2:E$501,$BJ337)))</f>
        <v/>
      </c>
      <c r="D337" s="6">
        <f>IF(OR($BJ337="",3&gt;設定!$B$3),"",IF(INDEX(原始資料!F$2:F$501,$BJ337)="","",INDEX(原始資料!F$2:F$501,$BJ337)))</f>
        <v/>
      </c>
      <c r="E337" s="6">
        <f>IF(OR($BJ337="",4&gt;設定!$B$3),"",IF(INDEX(原始資料!G$2:G$501,$BJ337)="","",INDEX(原始資料!G$2:G$501,$BJ337)))</f>
        <v/>
      </c>
      <c r="F337" s="6">
        <f>IF(OR($BJ337="",5&gt;設定!$B$3),"",IF(INDEX(原始資料!H$2:H$501,$BJ337)="","",INDEX(原始資料!H$2:H$501,$BJ337)))</f>
        <v/>
      </c>
      <c r="G337" s="6">
        <f>IF(OR($BJ337="",6&gt;設定!$B$3),"",IF(INDEX(原始資料!I$2:I$501,$BJ337)="","",INDEX(原始資料!I$2:I$501,$BJ337)))</f>
        <v/>
      </c>
      <c r="H337" s="6">
        <f>IF(OR($BJ337="",7&gt;設定!$B$3),"",IF(INDEX(原始資料!J$2:J$501,$BJ337)="","",INDEX(原始資料!J$2:J$501,$BJ337)))</f>
        <v/>
      </c>
      <c r="I337" s="6">
        <f>IF(OR($BJ337="",8&gt;設定!$B$3),"",IF(INDEX(原始資料!K$2:K$501,$BJ337)="","",INDEX(原始資料!K$2:K$501,$BJ337)))</f>
        <v/>
      </c>
      <c r="J337" s="6">
        <f>IF(OR($BJ337="",9&gt;設定!$B$3),"",IF(INDEX(原始資料!L$2:L$501,$BJ337)="","",INDEX(原始資料!L$2:L$501,$BJ337)))</f>
        <v/>
      </c>
      <c r="K337" s="6">
        <f>IF(OR($BJ337="",10&gt;設定!$B$3),"",IF(INDEX(原始資料!M$2:M$501,$BJ337)="","",INDEX(原始資料!M$2:M$501,$BJ337)))</f>
        <v/>
      </c>
      <c r="L337" s="6">
        <f>IF(OR($BJ337="",11&gt;設定!$B$3),"",IF(INDEX(原始資料!N$2:N$501,$BJ337)="","",INDEX(原始資料!N$2:N$501,$BJ337)))</f>
        <v/>
      </c>
      <c r="M337" s="6">
        <f>IF(OR($BJ337="",12&gt;設定!$B$3),"",IF(INDEX(原始資料!O$2:O$501,$BJ337)="","",INDEX(原始資料!O$2:O$501,$BJ337)))</f>
        <v/>
      </c>
      <c r="N337" s="6">
        <f>IF(OR($BJ337="",13&gt;設定!$B$3),"",IF(INDEX(原始資料!P$2:P$501,$BJ337)="","",INDEX(原始資料!P$2:P$501,$BJ337)))</f>
        <v/>
      </c>
      <c r="O337" s="6">
        <f>IF(OR($BJ337="",14&gt;設定!$B$3),"",IF(INDEX(原始資料!Q$2:Q$501,$BJ337)="","",INDEX(原始資料!Q$2:Q$501,$BJ337)))</f>
        <v/>
      </c>
      <c r="P337" s="6">
        <f>IF(OR($BJ337="",15&gt;設定!$B$3),"",IF(INDEX(原始資料!R$2:R$501,$BJ337)="","",INDEX(原始資料!R$2:R$501,$BJ337)))</f>
        <v/>
      </c>
      <c r="Q337" s="6">
        <f>IF(OR($BJ337="",16&gt;設定!$B$3),"",IF(INDEX(原始資料!S$2:S$501,$BJ337)="","",INDEX(原始資料!S$2:S$501,$BJ337)))</f>
        <v/>
      </c>
      <c r="R337" s="6">
        <f>IF(OR($BJ337="",17&gt;設定!$B$3),"",IF(INDEX(原始資料!T$2:T$501,$BJ337)="","",INDEX(原始資料!T$2:T$501,$BJ337)))</f>
        <v/>
      </c>
      <c r="S337" s="6">
        <f>IF(OR($BJ337="",18&gt;設定!$B$3),"",IF(INDEX(原始資料!U$2:U$501,$BJ337)="","",INDEX(原始資料!U$2:U$501,$BJ337)))</f>
        <v/>
      </c>
      <c r="T337" s="6">
        <f>IF(OR($BJ337="",19&gt;設定!$B$3),"",IF(INDEX(原始資料!V$2:V$501,$BJ337)="","",INDEX(原始資料!V$2:V$501,$BJ337)))</f>
        <v/>
      </c>
      <c r="U337" s="6">
        <f>IF(OR($BJ337="",20&gt;設定!$B$3),"",IF(INDEX(原始資料!W$2:W$501,$BJ337)="","",INDEX(原始資料!W$2:W$501,$BJ337)))</f>
        <v/>
      </c>
      <c r="V337" s="6">
        <f>IF(OR($BJ337="",21&gt;設定!$B$3),"",IF(INDEX(原始資料!X$2:X$501,$BJ337)="","",INDEX(原始資料!X$2:X$501,$BJ337)))</f>
        <v/>
      </c>
      <c r="W337" s="6">
        <f>IF(OR($BJ337="",22&gt;設定!$B$3),"",IF(INDEX(原始資料!Y$2:Y$501,$BJ337)="","",INDEX(原始資料!Y$2:Y$501,$BJ337)))</f>
        <v/>
      </c>
      <c r="X337" s="6">
        <f>IF(OR($BJ337="",23&gt;設定!$B$3),"",IF(INDEX(原始資料!Z$2:Z$501,$BJ337)="","",INDEX(原始資料!Z$2:Z$501,$BJ337)))</f>
        <v/>
      </c>
      <c r="Y337" s="6">
        <f>IF(OR($BJ337="",24&gt;設定!$B$3),"",IF(INDEX(原始資料!AA$2:AA$501,$BJ337)="","",INDEX(原始資料!AA$2:AA$501,$BJ337)))</f>
        <v/>
      </c>
      <c r="Z337" s="6">
        <f>IF(OR($BJ337="",25&gt;設定!$B$3),"",IF(INDEX(原始資料!AB$2:AB$501,$BJ337)="","",INDEX(原始資料!AB$2:AB$501,$BJ337)))</f>
        <v/>
      </c>
      <c r="AA337" s="6">
        <f>IF(OR($BJ337="",26&gt;設定!$B$3),"",IF(INDEX(原始資料!AC$2:AC$501,$BJ337)="","",INDEX(原始資料!AC$2:AC$501,$BJ337)))</f>
        <v/>
      </c>
      <c r="AB337" s="6">
        <f>IF(OR($BJ337="",27&gt;設定!$B$3),"",IF(INDEX(原始資料!AD$2:AD$501,$BJ337)="","",INDEX(原始資料!AD$2:AD$501,$BJ337)))</f>
        <v/>
      </c>
      <c r="AC337" s="6">
        <f>IF(OR($BJ337="",28&gt;設定!$B$3),"",IF(INDEX(原始資料!AE$2:AE$501,$BJ337)="","",INDEX(原始資料!AE$2:AE$501,$BJ337)))</f>
        <v/>
      </c>
      <c r="AD337" s="6">
        <f>IF(OR($BJ337="",29&gt;設定!$B$3),"",IF(INDEX(原始資料!AF$2:AF$501,$BJ337)="","",INDEX(原始資料!AF$2:AF$501,$BJ337)))</f>
        <v/>
      </c>
      <c r="AE337" s="6">
        <f>IF(OR($BJ337="",30&gt;設定!$B$3),"",IF(INDEX(原始資料!AG$2:AG$501,$BJ337)="","",INDEX(原始資料!AG$2:AG$501,$BJ337)))</f>
        <v/>
      </c>
      <c r="AF337" s="6">
        <f>IF(OR($BJ337="",31&gt;設定!$B$3),"",IF(INDEX(原始資料!AH$2:AH$501,$BJ337)="","",INDEX(原始資料!AH$2:AH$501,$BJ337)))</f>
        <v/>
      </c>
      <c r="AG337" s="6">
        <f>IF(OR($BJ337="",32&gt;設定!$B$3),"",IF(INDEX(原始資料!AI$2:AI$501,$BJ337)="","",INDEX(原始資料!AI$2:AI$501,$BJ337)))</f>
        <v/>
      </c>
      <c r="AH337" s="6">
        <f>IF(OR($BJ337="",33&gt;設定!$B$3),"",IF(INDEX(原始資料!AJ$2:AJ$501,$BJ337)="","",INDEX(原始資料!AJ$2:AJ$501,$BJ337)))</f>
        <v/>
      </c>
      <c r="AI337" s="6">
        <f>IF(OR($BJ337="",34&gt;設定!$B$3),"",IF(INDEX(原始資料!AK$2:AK$501,$BJ337)="","",INDEX(原始資料!AK$2:AK$501,$BJ337)))</f>
        <v/>
      </c>
      <c r="AJ337" s="6">
        <f>IF(OR($BJ337="",35&gt;設定!$B$3),"",IF(INDEX(原始資料!AL$2:AL$501,$BJ337)="","",INDEX(原始資料!AL$2:AL$501,$BJ337)))</f>
        <v/>
      </c>
      <c r="AK337" s="6">
        <f>IF(OR($BJ337="",36&gt;設定!$B$3),"",IF(INDEX(原始資料!AM$2:AM$501,$BJ337)="","",INDEX(原始資料!AM$2:AM$501,$BJ337)))</f>
        <v/>
      </c>
      <c r="AL337" s="6">
        <f>IF(OR($BJ337="",37&gt;設定!$B$3),"",IF(INDEX(原始資料!AN$2:AN$501,$BJ337)="","",INDEX(原始資料!AN$2:AN$501,$BJ337)))</f>
        <v/>
      </c>
      <c r="AM337" s="6">
        <f>IF(OR($BJ337="",38&gt;設定!$B$3),"",IF(INDEX(原始資料!AO$2:AO$501,$BJ337)="","",INDEX(原始資料!AO$2:AO$501,$BJ337)))</f>
        <v/>
      </c>
      <c r="AN337" s="6">
        <f>IF(OR($BJ337="",39&gt;設定!$B$3),"",IF(INDEX(原始資料!AP$2:AP$501,$BJ337)="","",INDEX(原始資料!AP$2:AP$501,$BJ337)))</f>
        <v/>
      </c>
      <c r="AO337" s="6">
        <f>IF(OR($BJ337="",40&gt;設定!$B$3),"",IF(INDEX(原始資料!AQ$2:AQ$501,$BJ337)="","",INDEX(原始資料!AQ$2:AQ$501,$BJ337)))</f>
        <v/>
      </c>
      <c r="AP337" s="6">
        <f>IF(OR($BJ337="",41&gt;設定!$B$3),"",IF(INDEX(原始資料!AR$2:AR$501,$BJ337)="","",INDEX(原始資料!AR$2:AR$501,$BJ337)))</f>
        <v/>
      </c>
      <c r="AQ337" s="6">
        <f>IF(OR($BJ337="",42&gt;設定!$B$3),"",IF(INDEX(原始資料!AS$2:AS$501,$BJ337)="","",INDEX(原始資料!AS$2:AS$501,$BJ337)))</f>
        <v/>
      </c>
      <c r="AR337" s="6">
        <f>IF(OR($BJ337="",43&gt;設定!$B$3),"",IF(INDEX(原始資料!AT$2:AT$501,$BJ337)="","",INDEX(原始資料!AT$2:AT$501,$BJ337)))</f>
        <v/>
      </c>
      <c r="AS337" s="6">
        <f>IF(OR($BJ337="",44&gt;設定!$B$3),"",IF(INDEX(原始資料!AU$2:AU$501,$BJ337)="","",INDEX(原始資料!AU$2:AU$501,$BJ337)))</f>
        <v/>
      </c>
      <c r="AT337" s="6">
        <f>IF(OR($BJ337="",45&gt;設定!$B$3),"",IF(INDEX(原始資料!AV$2:AV$501,$BJ337)="","",INDEX(原始資料!AV$2:AV$501,$BJ337)))</f>
        <v/>
      </c>
      <c r="AU337" s="6">
        <f>IF(OR($BJ337="",46&gt;設定!$B$3),"",IF(INDEX(原始資料!AW$2:AW$501,$BJ337)="","",INDEX(原始資料!AW$2:AW$501,$BJ337)))</f>
        <v/>
      </c>
      <c r="AV337" s="6">
        <f>IF(OR($BJ337="",47&gt;設定!$B$3),"",IF(INDEX(原始資料!AX$2:AX$501,$BJ337)="","",INDEX(原始資料!AX$2:AX$501,$BJ337)))</f>
        <v/>
      </c>
      <c r="AW337" s="6">
        <f>IF(OR($BJ337="",48&gt;設定!$B$3),"",IF(INDEX(原始資料!AY$2:AY$501,$BJ337)="","",INDEX(原始資料!AY$2:AY$501,$BJ337)))</f>
        <v/>
      </c>
      <c r="AX337" s="6">
        <f>IF(OR($BJ337="",49&gt;設定!$B$3),"",IF(INDEX(原始資料!AZ$2:AZ$501,$BJ337)="","",INDEX(原始資料!AZ$2:AZ$501,$BJ337)))</f>
        <v/>
      </c>
      <c r="AY337" s="6">
        <f>IF(OR($BJ337="",50&gt;設定!$B$3),"",IF(INDEX(原始資料!BA$2:BA$501,$BJ337)="","",INDEX(原始資料!BA$2:BA$501,$BJ337)))</f>
        <v/>
      </c>
      <c r="AZ337" s="6">
        <f>IF(OR($BJ337="",51&gt;設定!$B$3),"",IF(INDEX(原始資料!BB$2:BB$501,$BJ337)="","",INDEX(原始資料!BB$2:BB$501,$BJ337)))</f>
        <v/>
      </c>
      <c r="BA337" s="6">
        <f>IF(OR($BJ337="",52&gt;設定!$B$3),"",IF(INDEX(原始資料!BC$2:BC$501,$BJ337)="","",INDEX(原始資料!BC$2:BC$501,$BJ337)))</f>
        <v/>
      </c>
      <c r="BB337" s="6">
        <f>IF(OR($BJ337="",53&gt;設定!$B$3),"",IF(INDEX(原始資料!BD$2:BD$501,$BJ337)="","",INDEX(原始資料!BD$2:BD$501,$BJ337)))</f>
        <v/>
      </c>
      <c r="BC337" s="6">
        <f>IF(OR($BJ337="",54&gt;設定!$B$3),"",IF(INDEX(原始資料!BE$2:BE$501,$BJ337)="","",INDEX(原始資料!BE$2:BE$501,$BJ337)))</f>
        <v/>
      </c>
      <c r="BD337" s="6">
        <f>IF(OR($BJ337="",55&gt;設定!$B$3),"",IF(INDEX(原始資料!BF$2:BF$501,$BJ337)="","",INDEX(原始資料!BF$2:BF$501,$BJ337)))</f>
        <v/>
      </c>
      <c r="BE337" s="6">
        <f>IF(OR($BJ337="",56&gt;設定!$B$3),"",IF(INDEX(原始資料!BG$2:BG$501,$BJ337)="","",INDEX(原始資料!BG$2:BG$501,$BJ337)))</f>
        <v/>
      </c>
      <c r="BF337" s="6">
        <f>IF(OR($BJ337="",57&gt;設定!$B$3),"",IF(INDEX(原始資料!BH$2:BH$501,$BJ337)="","",INDEX(原始資料!BH$2:BH$501,$BJ337)))</f>
        <v/>
      </c>
      <c r="BG337" s="6">
        <f>IF(OR($BJ337="",58&gt;設定!$B$3),"",IF(INDEX(原始資料!BI$2:BI$501,$BJ337)="","",INDEX(原始資料!BI$2:BI$501,$BJ337)))</f>
        <v/>
      </c>
      <c r="BH337" s="6">
        <f>IF(OR($BJ337="",59&gt;設定!$B$3),"",IF(INDEX(原始資料!BJ$2:BJ$501,$BJ337)="","",INDEX(原始資料!BJ$2:BJ$501,$BJ337)))</f>
        <v/>
      </c>
      <c r="BI337" s="6">
        <f>IF(OR($BJ337="",60&gt;設定!$B$3),"",IF(INDEX(原始資料!BK$2:BK$501,$BJ337)="","",INDEX(原始資料!BK$2:BK$501,$BJ337)))</f>
        <v/>
      </c>
      <c r="BJ337" s="6">
        <f>IFERROR(MATCH(ROW()-1,判定!$H$2:$H$501,0),"")</f>
        <v/>
      </c>
    </row>
    <row r="338">
      <c r="A338" s="6">
        <f>IF($BJ338="","",INDEX(原始資料!$A$2:$A$501,$BJ338))</f>
        <v/>
      </c>
      <c r="B338" s="6">
        <f>IF(OR($BJ338="",1&gt;設定!$B$3),"",IF(INDEX(原始資料!D$2:D$501,$BJ338)="","",INDEX(原始資料!D$2:D$501,$BJ338)))</f>
        <v/>
      </c>
      <c r="C338" s="6">
        <f>IF(OR($BJ338="",2&gt;設定!$B$3),"",IF(INDEX(原始資料!E$2:E$501,$BJ338)="","",INDEX(原始資料!E$2:E$501,$BJ338)))</f>
        <v/>
      </c>
      <c r="D338" s="6">
        <f>IF(OR($BJ338="",3&gt;設定!$B$3),"",IF(INDEX(原始資料!F$2:F$501,$BJ338)="","",INDEX(原始資料!F$2:F$501,$BJ338)))</f>
        <v/>
      </c>
      <c r="E338" s="6">
        <f>IF(OR($BJ338="",4&gt;設定!$B$3),"",IF(INDEX(原始資料!G$2:G$501,$BJ338)="","",INDEX(原始資料!G$2:G$501,$BJ338)))</f>
        <v/>
      </c>
      <c r="F338" s="6">
        <f>IF(OR($BJ338="",5&gt;設定!$B$3),"",IF(INDEX(原始資料!H$2:H$501,$BJ338)="","",INDEX(原始資料!H$2:H$501,$BJ338)))</f>
        <v/>
      </c>
      <c r="G338" s="6">
        <f>IF(OR($BJ338="",6&gt;設定!$B$3),"",IF(INDEX(原始資料!I$2:I$501,$BJ338)="","",INDEX(原始資料!I$2:I$501,$BJ338)))</f>
        <v/>
      </c>
      <c r="H338" s="6">
        <f>IF(OR($BJ338="",7&gt;設定!$B$3),"",IF(INDEX(原始資料!J$2:J$501,$BJ338)="","",INDEX(原始資料!J$2:J$501,$BJ338)))</f>
        <v/>
      </c>
      <c r="I338" s="6">
        <f>IF(OR($BJ338="",8&gt;設定!$B$3),"",IF(INDEX(原始資料!K$2:K$501,$BJ338)="","",INDEX(原始資料!K$2:K$501,$BJ338)))</f>
        <v/>
      </c>
      <c r="J338" s="6">
        <f>IF(OR($BJ338="",9&gt;設定!$B$3),"",IF(INDEX(原始資料!L$2:L$501,$BJ338)="","",INDEX(原始資料!L$2:L$501,$BJ338)))</f>
        <v/>
      </c>
      <c r="K338" s="6">
        <f>IF(OR($BJ338="",10&gt;設定!$B$3),"",IF(INDEX(原始資料!M$2:M$501,$BJ338)="","",INDEX(原始資料!M$2:M$501,$BJ338)))</f>
        <v/>
      </c>
      <c r="L338" s="6">
        <f>IF(OR($BJ338="",11&gt;設定!$B$3),"",IF(INDEX(原始資料!N$2:N$501,$BJ338)="","",INDEX(原始資料!N$2:N$501,$BJ338)))</f>
        <v/>
      </c>
      <c r="M338" s="6">
        <f>IF(OR($BJ338="",12&gt;設定!$B$3),"",IF(INDEX(原始資料!O$2:O$501,$BJ338)="","",INDEX(原始資料!O$2:O$501,$BJ338)))</f>
        <v/>
      </c>
      <c r="N338" s="6">
        <f>IF(OR($BJ338="",13&gt;設定!$B$3),"",IF(INDEX(原始資料!P$2:P$501,$BJ338)="","",INDEX(原始資料!P$2:P$501,$BJ338)))</f>
        <v/>
      </c>
      <c r="O338" s="6">
        <f>IF(OR($BJ338="",14&gt;設定!$B$3),"",IF(INDEX(原始資料!Q$2:Q$501,$BJ338)="","",INDEX(原始資料!Q$2:Q$501,$BJ338)))</f>
        <v/>
      </c>
      <c r="P338" s="6">
        <f>IF(OR($BJ338="",15&gt;設定!$B$3),"",IF(INDEX(原始資料!R$2:R$501,$BJ338)="","",INDEX(原始資料!R$2:R$501,$BJ338)))</f>
        <v/>
      </c>
      <c r="Q338" s="6">
        <f>IF(OR($BJ338="",16&gt;設定!$B$3),"",IF(INDEX(原始資料!S$2:S$501,$BJ338)="","",INDEX(原始資料!S$2:S$501,$BJ338)))</f>
        <v/>
      </c>
      <c r="R338" s="6">
        <f>IF(OR($BJ338="",17&gt;設定!$B$3),"",IF(INDEX(原始資料!T$2:T$501,$BJ338)="","",INDEX(原始資料!T$2:T$501,$BJ338)))</f>
        <v/>
      </c>
      <c r="S338" s="6">
        <f>IF(OR($BJ338="",18&gt;設定!$B$3),"",IF(INDEX(原始資料!U$2:U$501,$BJ338)="","",INDEX(原始資料!U$2:U$501,$BJ338)))</f>
        <v/>
      </c>
      <c r="T338" s="6">
        <f>IF(OR($BJ338="",19&gt;設定!$B$3),"",IF(INDEX(原始資料!V$2:V$501,$BJ338)="","",INDEX(原始資料!V$2:V$501,$BJ338)))</f>
        <v/>
      </c>
      <c r="U338" s="6">
        <f>IF(OR($BJ338="",20&gt;設定!$B$3),"",IF(INDEX(原始資料!W$2:W$501,$BJ338)="","",INDEX(原始資料!W$2:W$501,$BJ338)))</f>
        <v/>
      </c>
      <c r="V338" s="6">
        <f>IF(OR($BJ338="",21&gt;設定!$B$3),"",IF(INDEX(原始資料!X$2:X$501,$BJ338)="","",INDEX(原始資料!X$2:X$501,$BJ338)))</f>
        <v/>
      </c>
      <c r="W338" s="6">
        <f>IF(OR($BJ338="",22&gt;設定!$B$3),"",IF(INDEX(原始資料!Y$2:Y$501,$BJ338)="","",INDEX(原始資料!Y$2:Y$501,$BJ338)))</f>
        <v/>
      </c>
      <c r="X338" s="6">
        <f>IF(OR($BJ338="",23&gt;設定!$B$3),"",IF(INDEX(原始資料!Z$2:Z$501,$BJ338)="","",INDEX(原始資料!Z$2:Z$501,$BJ338)))</f>
        <v/>
      </c>
      <c r="Y338" s="6">
        <f>IF(OR($BJ338="",24&gt;設定!$B$3),"",IF(INDEX(原始資料!AA$2:AA$501,$BJ338)="","",INDEX(原始資料!AA$2:AA$501,$BJ338)))</f>
        <v/>
      </c>
      <c r="Z338" s="6">
        <f>IF(OR($BJ338="",25&gt;設定!$B$3),"",IF(INDEX(原始資料!AB$2:AB$501,$BJ338)="","",INDEX(原始資料!AB$2:AB$501,$BJ338)))</f>
        <v/>
      </c>
      <c r="AA338" s="6">
        <f>IF(OR($BJ338="",26&gt;設定!$B$3),"",IF(INDEX(原始資料!AC$2:AC$501,$BJ338)="","",INDEX(原始資料!AC$2:AC$501,$BJ338)))</f>
        <v/>
      </c>
      <c r="AB338" s="6">
        <f>IF(OR($BJ338="",27&gt;設定!$B$3),"",IF(INDEX(原始資料!AD$2:AD$501,$BJ338)="","",INDEX(原始資料!AD$2:AD$501,$BJ338)))</f>
        <v/>
      </c>
      <c r="AC338" s="6">
        <f>IF(OR($BJ338="",28&gt;設定!$B$3),"",IF(INDEX(原始資料!AE$2:AE$501,$BJ338)="","",INDEX(原始資料!AE$2:AE$501,$BJ338)))</f>
        <v/>
      </c>
      <c r="AD338" s="6">
        <f>IF(OR($BJ338="",29&gt;設定!$B$3),"",IF(INDEX(原始資料!AF$2:AF$501,$BJ338)="","",INDEX(原始資料!AF$2:AF$501,$BJ338)))</f>
        <v/>
      </c>
      <c r="AE338" s="6">
        <f>IF(OR($BJ338="",30&gt;設定!$B$3),"",IF(INDEX(原始資料!AG$2:AG$501,$BJ338)="","",INDEX(原始資料!AG$2:AG$501,$BJ338)))</f>
        <v/>
      </c>
      <c r="AF338" s="6">
        <f>IF(OR($BJ338="",31&gt;設定!$B$3),"",IF(INDEX(原始資料!AH$2:AH$501,$BJ338)="","",INDEX(原始資料!AH$2:AH$501,$BJ338)))</f>
        <v/>
      </c>
      <c r="AG338" s="6">
        <f>IF(OR($BJ338="",32&gt;設定!$B$3),"",IF(INDEX(原始資料!AI$2:AI$501,$BJ338)="","",INDEX(原始資料!AI$2:AI$501,$BJ338)))</f>
        <v/>
      </c>
      <c r="AH338" s="6">
        <f>IF(OR($BJ338="",33&gt;設定!$B$3),"",IF(INDEX(原始資料!AJ$2:AJ$501,$BJ338)="","",INDEX(原始資料!AJ$2:AJ$501,$BJ338)))</f>
        <v/>
      </c>
      <c r="AI338" s="6">
        <f>IF(OR($BJ338="",34&gt;設定!$B$3),"",IF(INDEX(原始資料!AK$2:AK$501,$BJ338)="","",INDEX(原始資料!AK$2:AK$501,$BJ338)))</f>
        <v/>
      </c>
      <c r="AJ338" s="6">
        <f>IF(OR($BJ338="",35&gt;設定!$B$3),"",IF(INDEX(原始資料!AL$2:AL$501,$BJ338)="","",INDEX(原始資料!AL$2:AL$501,$BJ338)))</f>
        <v/>
      </c>
      <c r="AK338" s="6">
        <f>IF(OR($BJ338="",36&gt;設定!$B$3),"",IF(INDEX(原始資料!AM$2:AM$501,$BJ338)="","",INDEX(原始資料!AM$2:AM$501,$BJ338)))</f>
        <v/>
      </c>
      <c r="AL338" s="6">
        <f>IF(OR($BJ338="",37&gt;設定!$B$3),"",IF(INDEX(原始資料!AN$2:AN$501,$BJ338)="","",INDEX(原始資料!AN$2:AN$501,$BJ338)))</f>
        <v/>
      </c>
      <c r="AM338" s="6">
        <f>IF(OR($BJ338="",38&gt;設定!$B$3),"",IF(INDEX(原始資料!AO$2:AO$501,$BJ338)="","",INDEX(原始資料!AO$2:AO$501,$BJ338)))</f>
        <v/>
      </c>
      <c r="AN338" s="6">
        <f>IF(OR($BJ338="",39&gt;設定!$B$3),"",IF(INDEX(原始資料!AP$2:AP$501,$BJ338)="","",INDEX(原始資料!AP$2:AP$501,$BJ338)))</f>
        <v/>
      </c>
      <c r="AO338" s="6">
        <f>IF(OR($BJ338="",40&gt;設定!$B$3),"",IF(INDEX(原始資料!AQ$2:AQ$501,$BJ338)="","",INDEX(原始資料!AQ$2:AQ$501,$BJ338)))</f>
        <v/>
      </c>
      <c r="AP338" s="6">
        <f>IF(OR($BJ338="",41&gt;設定!$B$3),"",IF(INDEX(原始資料!AR$2:AR$501,$BJ338)="","",INDEX(原始資料!AR$2:AR$501,$BJ338)))</f>
        <v/>
      </c>
      <c r="AQ338" s="6">
        <f>IF(OR($BJ338="",42&gt;設定!$B$3),"",IF(INDEX(原始資料!AS$2:AS$501,$BJ338)="","",INDEX(原始資料!AS$2:AS$501,$BJ338)))</f>
        <v/>
      </c>
      <c r="AR338" s="6">
        <f>IF(OR($BJ338="",43&gt;設定!$B$3),"",IF(INDEX(原始資料!AT$2:AT$501,$BJ338)="","",INDEX(原始資料!AT$2:AT$501,$BJ338)))</f>
        <v/>
      </c>
      <c r="AS338" s="6">
        <f>IF(OR($BJ338="",44&gt;設定!$B$3),"",IF(INDEX(原始資料!AU$2:AU$501,$BJ338)="","",INDEX(原始資料!AU$2:AU$501,$BJ338)))</f>
        <v/>
      </c>
      <c r="AT338" s="6">
        <f>IF(OR($BJ338="",45&gt;設定!$B$3),"",IF(INDEX(原始資料!AV$2:AV$501,$BJ338)="","",INDEX(原始資料!AV$2:AV$501,$BJ338)))</f>
        <v/>
      </c>
      <c r="AU338" s="6">
        <f>IF(OR($BJ338="",46&gt;設定!$B$3),"",IF(INDEX(原始資料!AW$2:AW$501,$BJ338)="","",INDEX(原始資料!AW$2:AW$501,$BJ338)))</f>
        <v/>
      </c>
      <c r="AV338" s="6">
        <f>IF(OR($BJ338="",47&gt;設定!$B$3),"",IF(INDEX(原始資料!AX$2:AX$501,$BJ338)="","",INDEX(原始資料!AX$2:AX$501,$BJ338)))</f>
        <v/>
      </c>
      <c r="AW338" s="6">
        <f>IF(OR($BJ338="",48&gt;設定!$B$3),"",IF(INDEX(原始資料!AY$2:AY$501,$BJ338)="","",INDEX(原始資料!AY$2:AY$501,$BJ338)))</f>
        <v/>
      </c>
      <c r="AX338" s="6">
        <f>IF(OR($BJ338="",49&gt;設定!$B$3),"",IF(INDEX(原始資料!AZ$2:AZ$501,$BJ338)="","",INDEX(原始資料!AZ$2:AZ$501,$BJ338)))</f>
        <v/>
      </c>
      <c r="AY338" s="6">
        <f>IF(OR($BJ338="",50&gt;設定!$B$3),"",IF(INDEX(原始資料!BA$2:BA$501,$BJ338)="","",INDEX(原始資料!BA$2:BA$501,$BJ338)))</f>
        <v/>
      </c>
      <c r="AZ338" s="6">
        <f>IF(OR($BJ338="",51&gt;設定!$B$3),"",IF(INDEX(原始資料!BB$2:BB$501,$BJ338)="","",INDEX(原始資料!BB$2:BB$501,$BJ338)))</f>
        <v/>
      </c>
      <c r="BA338" s="6">
        <f>IF(OR($BJ338="",52&gt;設定!$B$3),"",IF(INDEX(原始資料!BC$2:BC$501,$BJ338)="","",INDEX(原始資料!BC$2:BC$501,$BJ338)))</f>
        <v/>
      </c>
      <c r="BB338" s="6">
        <f>IF(OR($BJ338="",53&gt;設定!$B$3),"",IF(INDEX(原始資料!BD$2:BD$501,$BJ338)="","",INDEX(原始資料!BD$2:BD$501,$BJ338)))</f>
        <v/>
      </c>
      <c r="BC338" s="6">
        <f>IF(OR($BJ338="",54&gt;設定!$B$3),"",IF(INDEX(原始資料!BE$2:BE$501,$BJ338)="","",INDEX(原始資料!BE$2:BE$501,$BJ338)))</f>
        <v/>
      </c>
      <c r="BD338" s="6">
        <f>IF(OR($BJ338="",55&gt;設定!$B$3),"",IF(INDEX(原始資料!BF$2:BF$501,$BJ338)="","",INDEX(原始資料!BF$2:BF$501,$BJ338)))</f>
        <v/>
      </c>
      <c r="BE338" s="6">
        <f>IF(OR($BJ338="",56&gt;設定!$B$3),"",IF(INDEX(原始資料!BG$2:BG$501,$BJ338)="","",INDEX(原始資料!BG$2:BG$501,$BJ338)))</f>
        <v/>
      </c>
      <c r="BF338" s="6">
        <f>IF(OR($BJ338="",57&gt;設定!$B$3),"",IF(INDEX(原始資料!BH$2:BH$501,$BJ338)="","",INDEX(原始資料!BH$2:BH$501,$BJ338)))</f>
        <v/>
      </c>
      <c r="BG338" s="6">
        <f>IF(OR($BJ338="",58&gt;設定!$B$3),"",IF(INDEX(原始資料!BI$2:BI$501,$BJ338)="","",INDEX(原始資料!BI$2:BI$501,$BJ338)))</f>
        <v/>
      </c>
      <c r="BH338" s="6">
        <f>IF(OR($BJ338="",59&gt;設定!$B$3),"",IF(INDEX(原始資料!BJ$2:BJ$501,$BJ338)="","",INDEX(原始資料!BJ$2:BJ$501,$BJ338)))</f>
        <v/>
      </c>
      <c r="BI338" s="6">
        <f>IF(OR($BJ338="",60&gt;設定!$B$3),"",IF(INDEX(原始資料!BK$2:BK$501,$BJ338)="","",INDEX(原始資料!BK$2:BK$501,$BJ338)))</f>
        <v/>
      </c>
      <c r="BJ338" s="6">
        <f>IFERROR(MATCH(ROW()-1,判定!$H$2:$H$501,0),"")</f>
        <v/>
      </c>
    </row>
    <row r="339">
      <c r="A339" s="6">
        <f>IF($BJ339="","",INDEX(原始資料!$A$2:$A$501,$BJ339))</f>
        <v/>
      </c>
      <c r="B339" s="6">
        <f>IF(OR($BJ339="",1&gt;設定!$B$3),"",IF(INDEX(原始資料!D$2:D$501,$BJ339)="","",INDEX(原始資料!D$2:D$501,$BJ339)))</f>
        <v/>
      </c>
      <c r="C339" s="6">
        <f>IF(OR($BJ339="",2&gt;設定!$B$3),"",IF(INDEX(原始資料!E$2:E$501,$BJ339)="","",INDEX(原始資料!E$2:E$501,$BJ339)))</f>
        <v/>
      </c>
      <c r="D339" s="6">
        <f>IF(OR($BJ339="",3&gt;設定!$B$3),"",IF(INDEX(原始資料!F$2:F$501,$BJ339)="","",INDEX(原始資料!F$2:F$501,$BJ339)))</f>
        <v/>
      </c>
      <c r="E339" s="6">
        <f>IF(OR($BJ339="",4&gt;設定!$B$3),"",IF(INDEX(原始資料!G$2:G$501,$BJ339)="","",INDEX(原始資料!G$2:G$501,$BJ339)))</f>
        <v/>
      </c>
      <c r="F339" s="6">
        <f>IF(OR($BJ339="",5&gt;設定!$B$3),"",IF(INDEX(原始資料!H$2:H$501,$BJ339)="","",INDEX(原始資料!H$2:H$501,$BJ339)))</f>
        <v/>
      </c>
      <c r="G339" s="6">
        <f>IF(OR($BJ339="",6&gt;設定!$B$3),"",IF(INDEX(原始資料!I$2:I$501,$BJ339)="","",INDEX(原始資料!I$2:I$501,$BJ339)))</f>
        <v/>
      </c>
      <c r="H339" s="6">
        <f>IF(OR($BJ339="",7&gt;設定!$B$3),"",IF(INDEX(原始資料!J$2:J$501,$BJ339)="","",INDEX(原始資料!J$2:J$501,$BJ339)))</f>
        <v/>
      </c>
      <c r="I339" s="6">
        <f>IF(OR($BJ339="",8&gt;設定!$B$3),"",IF(INDEX(原始資料!K$2:K$501,$BJ339)="","",INDEX(原始資料!K$2:K$501,$BJ339)))</f>
        <v/>
      </c>
      <c r="J339" s="6">
        <f>IF(OR($BJ339="",9&gt;設定!$B$3),"",IF(INDEX(原始資料!L$2:L$501,$BJ339)="","",INDEX(原始資料!L$2:L$501,$BJ339)))</f>
        <v/>
      </c>
      <c r="K339" s="6">
        <f>IF(OR($BJ339="",10&gt;設定!$B$3),"",IF(INDEX(原始資料!M$2:M$501,$BJ339)="","",INDEX(原始資料!M$2:M$501,$BJ339)))</f>
        <v/>
      </c>
      <c r="L339" s="6">
        <f>IF(OR($BJ339="",11&gt;設定!$B$3),"",IF(INDEX(原始資料!N$2:N$501,$BJ339)="","",INDEX(原始資料!N$2:N$501,$BJ339)))</f>
        <v/>
      </c>
      <c r="M339" s="6">
        <f>IF(OR($BJ339="",12&gt;設定!$B$3),"",IF(INDEX(原始資料!O$2:O$501,$BJ339)="","",INDEX(原始資料!O$2:O$501,$BJ339)))</f>
        <v/>
      </c>
      <c r="N339" s="6">
        <f>IF(OR($BJ339="",13&gt;設定!$B$3),"",IF(INDEX(原始資料!P$2:P$501,$BJ339)="","",INDEX(原始資料!P$2:P$501,$BJ339)))</f>
        <v/>
      </c>
      <c r="O339" s="6">
        <f>IF(OR($BJ339="",14&gt;設定!$B$3),"",IF(INDEX(原始資料!Q$2:Q$501,$BJ339)="","",INDEX(原始資料!Q$2:Q$501,$BJ339)))</f>
        <v/>
      </c>
      <c r="P339" s="6">
        <f>IF(OR($BJ339="",15&gt;設定!$B$3),"",IF(INDEX(原始資料!R$2:R$501,$BJ339)="","",INDEX(原始資料!R$2:R$501,$BJ339)))</f>
        <v/>
      </c>
      <c r="Q339" s="6">
        <f>IF(OR($BJ339="",16&gt;設定!$B$3),"",IF(INDEX(原始資料!S$2:S$501,$BJ339)="","",INDEX(原始資料!S$2:S$501,$BJ339)))</f>
        <v/>
      </c>
      <c r="R339" s="6">
        <f>IF(OR($BJ339="",17&gt;設定!$B$3),"",IF(INDEX(原始資料!T$2:T$501,$BJ339)="","",INDEX(原始資料!T$2:T$501,$BJ339)))</f>
        <v/>
      </c>
      <c r="S339" s="6">
        <f>IF(OR($BJ339="",18&gt;設定!$B$3),"",IF(INDEX(原始資料!U$2:U$501,$BJ339)="","",INDEX(原始資料!U$2:U$501,$BJ339)))</f>
        <v/>
      </c>
      <c r="T339" s="6">
        <f>IF(OR($BJ339="",19&gt;設定!$B$3),"",IF(INDEX(原始資料!V$2:V$501,$BJ339)="","",INDEX(原始資料!V$2:V$501,$BJ339)))</f>
        <v/>
      </c>
      <c r="U339" s="6">
        <f>IF(OR($BJ339="",20&gt;設定!$B$3),"",IF(INDEX(原始資料!W$2:W$501,$BJ339)="","",INDEX(原始資料!W$2:W$501,$BJ339)))</f>
        <v/>
      </c>
      <c r="V339" s="6">
        <f>IF(OR($BJ339="",21&gt;設定!$B$3),"",IF(INDEX(原始資料!X$2:X$501,$BJ339)="","",INDEX(原始資料!X$2:X$501,$BJ339)))</f>
        <v/>
      </c>
      <c r="W339" s="6">
        <f>IF(OR($BJ339="",22&gt;設定!$B$3),"",IF(INDEX(原始資料!Y$2:Y$501,$BJ339)="","",INDEX(原始資料!Y$2:Y$501,$BJ339)))</f>
        <v/>
      </c>
      <c r="X339" s="6">
        <f>IF(OR($BJ339="",23&gt;設定!$B$3),"",IF(INDEX(原始資料!Z$2:Z$501,$BJ339)="","",INDEX(原始資料!Z$2:Z$501,$BJ339)))</f>
        <v/>
      </c>
      <c r="Y339" s="6">
        <f>IF(OR($BJ339="",24&gt;設定!$B$3),"",IF(INDEX(原始資料!AA$2:AA$501,$BJ339)="","",INDEX(原始資料!AA$2:AA$501,$BJ339)))</f>
        <v/>
      </c>
      <c r="Z339" s="6">
        <f>IF(OR($BJ339="",25&gt;設定!$B$3),"",IF(INDEX(原始資料!AB$2:AB$501,$BJ339)="","",INDEX(原始資料!AB$2:AB$501,$BJ339)))</f>
        <v/>
      </c>
      <c r="AA339" s="6">
        <f>IF(OR($BJ339="",26&gt;設定!$B$3),"",IF(INDEX(原始資料!AC$2:AC$501,$BJ339)="","",INDEX(原始資料!AC$2:AC$501,$BJ339)))</f>
        <v/>
      </c>
      <c r="AB339" s="6">
        <f>IF(OR($BJ339="",27&gt;設定!$B$3),"",IF(INDEX(原始資料!AD$2:AD$501,$BJ339)="","",INDEX(原始資料!AD$2:AD$501,$BJ339)))</f>
        <v/>
      </c>
      <c r="AC339" s="6">
        <f>IF(OR($BJ339="",28&gt;設定!$B$3),"",IF(INDEX(原始資料!AE$2:AE$501,$BJ339)="","",INDEX(原始資料!AE$2:AE$501,$BJ339)))</f>
        <v/>
      </c>
      <c r="AD339" s="6">
        <f>IF(OR($BJ339="",29&gt;設定!$B$3),"",IF(INDEX(原始資料!AF$2:AF$501,$BJ339)="","",INDEX(原始資料!AF$2:AF$501,$BJ339)))</f>
        <v/>
      </c>
      <c r="AE339" s="6">
        <f>IF(OR($BJ339="",30&gt;設定!$B$3),"",IF(INDEX(原始資料!AG$2:AG$501,$BJ339)="","",INDEX(原始資料!AG$2:AG$501,$BJ339)))</f>
        <v/>
      </c>
      <c r="AF339" s="6">
        <f>IF(OR($BJ339="",31&gt;設定!$B$3),"",IF(INDEX(原始資料!AH$2:AH$501,$BJ339)="","",INDEX(原始資料!AH$2:AH$501,$BJ339)))</f>
        <v/>
      </c>
      <c r="AG339" s="6">
        <f>IF(OR($BJ339="",32&gt;設定!$B$3),"",IF(INDEX(原始資料!AI$2:AI$501,$BJ339)="","",INDEX(原始資料!AI$2:AI$501,$BJ339)))</f>
        <v/>
      </c>
      <c r="AH339" s="6">
        <f>IF(OR($BJ339="",33&gt;設定!$B$3),"",IF(INDEX(原始資料!AJ$2:AJ$501,$BJ339)="","",INDEX(原始資料!AJ$2:AJ$501,$BJ339)))</f>
        <v/>
      </c>
      <c r="AI339" s="6">
        <f>IF(OR($BJ339="",34&gt;設定!$B$3),"",IF(INDEX(原始資料!AK$2:AK$501,$BJ339)="","",INDEX(原始資料!AK$2:AK$501,$BJ339)))</f>
        <v/>
      </c>
      <c r="AJ339" s="6">
        <f>IF(OR($BJ339="",35&gt;設定!$B$3),"",IF(INDEX(原始資料!AL$2:AL$501,$BJ339)="","",INDEX(原始資料!AL$2:AL$501,$BJ339)))</f>
        <v/>
      </c>
      <c r="AK339" s="6">
        <f>IF(OR($BJ339="",36&gt;設定!$B$3),"",IF(INDEX(原始資料!AM$2:AM$501,$BJ339)="","",INDEX(原始資料!AM$2:AM$501,$BJ339)))</f>
        <v/>
      </c>
      <c r="AL339" s="6">
        <f>IF(OR($BJ339="",37&gt;設定!$B$3),"",IF(INDEX(原始資料!AN$2:AN$501,$BJ339)="","",INDEX(原始資料!AN$2:AN$501,$BJ339)))</f>
        <v/>
      </c>
      <c r="AM339" s="6">
        <f>IF(OR($BJ339="",38&gt;設定!$B$3),"",IF(INDEX(原始資料!AO$2:AO$501,$BJ339)="","",INDEX(原始資料!AO$2:AO$501,$BJ339)))</f>
        <v/>
      </c>
      <c r="AN339" s="6">
        <f>IF(OR($BJ339="",39&gt;設定!$B$3),"",IF(INDEX(原始資料!AP$2:AP$501,$BJ339)="","",INDEX(原始資料!AP$2:AP$501,$BJ339)))</f>
        <v/>
      </c>
      <c r="AO339" s="6">
        <f>IF(OR($BJ339="",40&gt;設定!$B$3),"",IF(INDEX(原始資料!AQ$2:AQ$501,$BJ339)="","",INDEX(原始資料!AQ$2:AQ$501,$BJ339)))</f>
        <v/>
      </c>
      <c r="AP339" s="6">
        <f>IF(OR($BJ339="",41&gt;設定!$B$3),"",IF(INDEX(原始資料!AR$2:AR$501,$BJ339)="","",INDEX(原始資料!AR$2:AR$501,$BJ339)))</f>
        <v/>
      </c>
      <c r="AQ339" s="6">
        <f>IF(OR($BJ339="",42&gt;設定!$B$3),"",IF(INDEX(原始資料!AS$2:AS$501,$BJ339)="","",INDEX(原始資料!AS$2:AS$501,$BJ339)))</f>
        <v/>
      </c>
      <c r="AR339" s="6">
        <f>IF(OR($BJ339="",43&gt;設定!$B$3),"",IF(INDEX(原始資料!AT$2:AT$501,$BJ339)="","",INDEX(原始資料!AT$2:AT$501,$BJ339)))</f>
        <v/>
      </c>
      <c r="AS339" s="6">
        <f>IF(OR($BJ339="",44&gt;設定!$B$3),"",IF(INDEX(原始資料!AU$2:AU$501,$BJ339)="","",INDEX(原始資料!AU$2:AU$501,$BJ339)))</f>
        <v/>
      </c>
      <c r="AT339" s="6">
        <f>IF(OR($BJ339="",45&gt;設定!$B$3),"",IF(INDEX(原始資料!AV$2:AV$501,$BJ339)="","",INDEX(原始資料!AV$2:AV$501,$BJ339)))</f>
        <v/>
      </c>
      <c r="AU339" s="6">
        <f>IF(OR($BJ339="",46&gt;設定!$B$3),"",IF(INDEX(原始資料!AW$2:AW$501,$BJ339)="","",INDEX(原始資料!AW$2:AW$501,$BJ339)))</f>
        <v/>
      </c>
      <c r="AV339" s="6">
        <f>IF(OR($BJ339="",47&gt;設定!$B$3),"",IF(INDEX(原始資料!AX$2:AX$501,$BJ339)="","",INDEX(原始資料!AX$2:AX$501,$BJ339)))</f>
        <v/>
      </c>
      <c r="AW339" s="6">
        <f>IF(OR($BJ339="",48&gt;設定!$B$3),"",IF(INDEX(原始資料!AY$2:AY$501,$BJ339)="","",INDEX(原始資料!AY$2:AY$501,$BJ339)))</f>
        <v/>
      </c>
      <c r="AX339" s="6">
        <f>IF(OR($BJ339="",49&gt;設定!$B$3),"",IF(INDEX(原始資料!AZ$2:AZ$501,$BJ339)="","",INDEX(原始資料!AZ$2:AZ$501,$BJ339)))</f>
        <v/>
      </c>
      <c r="AY339" s="6">
        <f>IF(OR($BJ339="",50&gt;設定!$B$3),"",IF(INDEX(原始資料!BA$2:BA$501,$BJ339)="","",INDEX(原始資料!BA$2:BA$501,$BJ339)))</f>
        <v/>
      </c>
      <c r="AZ339" s="6">
        <f>IF(OR($BJ339="",51&gt;設定!$B$3),"",IF(INDEX(原始資料!BB$2:BB$501,$BJ339)="","",INDEX(原始資料!BB$2:BB$501,$BJ339)))</f>
        <v/>
      </c>
      <c r="BA339" s="6">
        <f>IF(OR($BJ339="",52&gt;設定!$B$3),"",IF(INDEX(原始資料!BC$2:BC$501,$BJ339)="","",INDEX(原始資料!BC$2:BC$501,$BJ339)))</f>
        <v/>
      </c>
      <c r="BB339" s="6">
        <f>IF(OR($BJ339="",53&gt;設定!$B$3),"",IF(INDEX(原始資料!BD$2:BD$501,$BJ339)="","",INDEX(原始資料!BD$2:BD$501,$BJ339)))</f>
        <v/>
      </c>
      <c r="BC339" s="6">
        <f>IF(OR($BJ339="",54&gt;設定!$B$3),"",IF(INDEX(原始資料!BE$2:BE$501,$BJ339)="","",INDEX(原始資料!BE$2:BE$501,$BJ339)))</f>
        <v/>
      </c>
      <c r="BD339" s="6">
        <f>IF(OR($BJ339="",55&gt;設定!$B$3),"",IF(INDEX(原始資料!BF$2:BF$501,$BJ339)="","",INDEX(原始資料!BF$2:BF$501,$BJ339)))</f>
        <v/>
      </c>
      <c r="BE339" s="6">
        <f>IF(OR($BJ339="",56&gt;設定!$B$3),"",IF(INDEX(原始資料!BG$2:BG$501,$BJ339)="","",INDEX(原始資料!BG$2:BG$501,$BJ339)))</f>
        <v/>
      </c>
      <c r="BF339" s="6">
        <f>IF(OR($BJ339="",57&gt;設定!$B$3),"",IF(INDEX(原始資料!BH$2:BH$501,$BJ339)="","",INDEX(原始資料!BH$2:BH$501,$BJ339)))</f>
        <v/>
      </c>
      <c r="BG339" s="6">
        <f>IF(OR($BJ339="",58&gt;設定!$B$3),"",IF(INDEX(原始資料!BI$2:BI$501,$BJ339)="","",INDEX(原始資料!BI$2:BI$501,$BJ339)))</f>
        <v/>
      </c>
      <c r="BH339" s="6">
        <f>IF(OR($BJ339="",59&gt;設定!$B$3),"",IF(INDEX(原始資料!BJ$2:BJ$501,$BJ339)="","",INDEX(原始資料!BJ$2:BJ$501,$BJ339)))</f>
        <v/>
      </c>
      <c r="BI339" s="6">
        <f>IF(OR($BJ339="",60&gt;設定!$B$3),"",IF(INDEX(原始資料!BK$2:BK$501,$BJ339)="","",INDEX(原始資料!BK$2:BK$501,$BJ339)))</f>
        <v/>
      </c>
      <c r="BJ339" s="6">
        <f>IFERROR(MATCH(ROW()-1,判定!$H$2:$H$501,0),"")</f>
        <v/>
      </c>
    </row>
    <row r="340">
      <c r="A340" s="6">
        <f>IF($BJ340="","",INDEX(原始資料!$A$2:$A$501,$BJ340))</f>
        <v/>
      </c>
      <c r="B340" s="6">
        <f>IF(OR($BJ340="",1&gt;設定!$B$3),"",IF(INDEX(原始資料!D$2:D$501,$BJ340)="","",INDEX(原始資料!D$2:D$501,$BJ340)))</f>
        <v/>
      </c>
      <c r="C340" s="6">
        <f>IF(OR($BJ340="",2&gt;設定!$B$3),"",IF(INDEX(原始資料!E$2:E$501,$BJ340)="","",INDEX(原始資料!E$2:E$501,$BJ340)))</f>
        <v/>
      </c>
      <c r="D340" s="6">
        <f>IF(OR($BJ340="",3&gt;設定!$B$3),"",IF(INDEX(原始資料!F$2:F$501,$BJ340)="","",INDEX(原始資料!F$2:F$501,$BJ340)))</f>
        <v/>
      </c>
      <c r="E340" s="6">
        <f>IF(OR($BJ340="",4&gt;設定!$B$3),"",IF(INDEX(原始資料!G$2:G$501,$BJ340)="","",INDEX(原始資料!G$2:G$501,$BJ340)))</f>
        <v/>
      </c>
      <c r="F340" s="6">
        <f>IF(OR($BJ340="",5&gt;設定!$B$3),"",IF(INDEX(原始資料!H$2:H$501,$BJ340)="","",INDEX(原始資料!H$2:H$501,$BJ340)))</f>
        <v/>
      </c>
      <c r="G340" s="6">
        <f>IF(OR($BJ340="",6&gt;設定!$B$3),"",IF(INDEX(原始資料!I$2:I$501,$BJ340)="","",INDEX(原始資料!I$2:I$501,$BJ340)))</f>
        <v/>
      </c>
      <c r="H340" s="6">
        <f>IF(OR($BJ340="",7&gt;設定!$B$3),"",IF(INDEX(原始資料!J$2:J$501,$BJ340)="","",INDEX(原始資料!J$2:J$501,$BJ340)))</f>
        <v/>
      </c>
      <c r="I340" s="6">
        <f>IF(OR($BJ340="",8&gt;設定!$B$3),"",IF(INDEX(原始資料!K$2:K$501,$BJ340)="","",INDEX(原始資料!K$2:K$501,$BJ340)))</f>
        <v/>
      </c>
      <c r="J340" s="6">
        <f>IF(OR($BJ340="",9&gt;設定!$B$3),"",IF(INDEX(原始資料!L$2:L$501,$BJ340)="","",INDEX(原始資料!L$2:L$501,$BJ340)))</f>
        <v/>
      </c>
      <c r="K340" s="6">
        <f>IF(OR($BJ340="",10&gt;設定!$B$3),"",IF(INDEX(原始資料!M$2:M$501,$BJ340)="","",INDEX(原始資料!M$2:M$501,$BJ340)))</f>
        <v/>
      </c>
      <c r="L340" s="6">
        <f>IF(OR($BJ340="",11&gt;設定!$B$3),"",IF(INDEX(原始資料!N$2:N$501,$BJ340)="","",INDEX(原始資料!N$2:N$501,$BJ340)))</f>
        <v/>
      </c>
      <c r="M340" s="6">
        <f>IF(OR($BJ340="",12&gt;設定!$B$3),"",IF(INDEX(原始資料!O$2:O$501,$BJ340)="","",INDEX(原始資料!O$2:O$501,$BJ340)))</f>
        <v/>
      </c>
      <c r="N340" s="6">
        <f>IF(OR($BJ340="",13&gt;設定!$B$3),"",IF(INDEX(原始資料!P$2:P$501,$BJ340)="","",INDEX(原始資料!P$2:P$501,$BJ340)))</f>
        <v/>
      </c>
      <c r="O340" s="6">
        <f>IF(OR($BJ340="",14&gt;設定!$B$3),"",IF(INDEX(原始資料!Q$2:Q$501,$BJ340)="","",INDEX(原始資料!Q$2:Q$501,$BJ340)))</f>
        <v/>
      </c>
      <c r="P340" s="6">
        <f>IF(OR($BJ340="",15&gt;設定!$B$3),"",IF(INDEX(原始資料!R$2:R$501,$BJ340)="","",INDEX(原始資料!R$2:R$501,$BJ340)))</f>
        <v/>
      </c>
      <c r="Q340" s="6">
        <f>IF(OR($BJ340="",16&gt;設定!$B$3),"",IF(INDEX(原始資料!S$2:S$501,$BJ340)="","",INDEX(原始資料!S$2:S$501,$BJ340)))</f>
        <v/>
      </c>
      <c r="R340" s="6">
        <f>IF(OR($BJ340="",17&gt;設定!$B$3),"",IF(INDEX(原始資料!T$2:T$501,$BJ340)="","",INDEX(原始資料!T$2:T$501,$BJ340)))</f>
        <v/>
      </c>
      <c r="S340" s="6">
        <f>IF(OR($BJ340="",18&gt;設定!$B$3),"",IF(INDEX(原始資料!U$2:U$501,$BJ340)="","",INDEX(原始資料!U$2:U$501,$BJ340)))</f>
        <v/>
      </c>
      <c r="T340" s="6">
        <f>IF(OR($BJ340="",19&gt;設定!$B$3),"",IF(INDEX(原始資料!V$2:V$501,$BJ340)="","",INDEX(原始資料!V$2:V$501,$BJ340)))</f>
        <v/>
      </c>
      <c r="U340" s="6">
        <f>IF(OR($BJ340="",20&gt;設定!$B$3),"",IF(INDEX(原始資料!W$2:W$501,$BJ340)="","",INDEX(原始資料!W$2:W$501,$BJ340)))</f>
        <v/>
      </c>
      <c r="V340" s="6">
        <f>IF(OR($BJ340="",21&gt;設定!$B$3),"",IF(INDEX(原始資料!X$2:X$501,$BJ340)="","",INDEX(原始資料!X$2:X$501,$BJ340)))</f>
        <v/>
      </c>
      <c r="W340" s="6">
        <f>IF(OR($BJ340="",22&gt;設定!$B$3),"",IF(INDEX(原始資料!Y$2:Y$501,$BJ340)="","",INDEX(原始資料!Y$2:Y$501,$BJ340)))</f>
        <v/>
      </c>
      <c r="X340" s="6">
        <f>IF(OR($BJ340="",23&gt;設定!$B$3),"",IF(INDEX(原始資料!Z$2:Z$501,$BJ340)="","",INDEX(原始資料!Z$2:Z$501,$BJ340)))</f>
        <v/>
      </c>
      <c r="Y340" s="6">
        <f>IF(OR($BJ340="",24&gt;設定!$B$3),"",IF(INDEX(原始資料!AA$2:AA$501,$BJ340)="","",INDEX(原始資料!AA$2:AA$501,$BJ340)))</f>
        <v/>
      </c>
      <c r="Z340" s="6">
        <f>IF(OR($BJ340="",25&gt;設定!$B$3),"",IF(INDEX(原始資料!AB$2:AB$501,$BJ340)="","",INDEX(原始資料!AB$2:AB$501,$BJ340)))</f>
        <v/>
      </c>
      <c r="AA340" s="6">
        <f>IF(OR($BJ340="",26&gt;設定!$B$3),"",IF(INDEX(原始資料!AC$2:AC$501,$BJ340)="","",INDEX(原始資料!AC$2:AC$501,$BJ340)))</f>
        <v/>
      </c>
      <c r="AB340" s="6">
        <f>IF(OR($BJ340="",27&gt;設定!$B$3),"",IF(INDEX(原始資料!AD$2:AD$501,$BJ340)="","",INDEX(原始資料!AD$2:AD$501,$BJ340)))</f>
        <v/>
      </c>
      <c r="AC340" s="6">
        <f>IF(OR($BJ340="",28&gt;設定!$B$3),"",IF(INDEX(原始資料!AE$2:AE$501,$BJ340)="","",INDEX(原始資料!AE$2:AE$501,$BJ340)))</f>
        <v/>
      </c>
      <c r="AD340" s="6">
        <f>IF(OR($BJ340="",29&gt;設定!$B$3),"",IF(INDEX(原始資料!AF$2:AF$501,$BJ340)="","",INDEX(原始資料!AF$2:AF$501,$BJ340)))</f>
        <v/>
      </c>
      <c r="AE340" s="6">
        <f>IF(OR($BJ340="",30&gt;設定!$B$3),"",IF(INDEX(原始資料!AG$2:AG$501,$BJ340)="","",INDEX(原始資料!AG$2:AG$501,$BJ340)))</f>
        <v/>
      </c>
      <c r="AF340" s="6">
        <f>IF(OR($BJ340="",31&gt;設定!$B$3),"",IF(INDEX(原始資料!AH$2:AH$501,$BJ340)="","",INDEX(原始資料!AH$2:AH$501,$BJ340)))</f>
        <v/>
      </c>
      <c r="AG340" s="6">
        <f>IF(OR($BJ340="",32&gt;設定!$B$3),"",IF(INDEX(原始資料!AI$2:AI$501,$BJ340)="","",INDEX(原始資料!AI$2:AI$501,$BJ340)))</f>
        <v/>
      </c>
      <c r="AH340" s="6">
        <f>IF(OR($BJ340="",33&gt;設定!$B$3),"",IF(INDEX(原始資料!AJ$2:AJ$501,$BJ340)="","",INDEX(原始資料!AJ$2:AJ$501,$BJ340)))</f>
        <v/>
      </c>
      <c r="AI340" s="6">
        <f>IF(OR($BJ340="",34&gt;設定!$B$3),"",IF(INDEX(原始資料!AK$2:AK$501,$BJ340)="","",INDEX(原始資料!AK$2:AK$501,$BJ340)))</f>
        <v/>
      </c>
      <c r="AJ340" s="6">
        <f>IF(OR($BJ340="",35&gt;設定!$B$3),"",IF(INDEX(原始資料!AL$2:AL$501,$BJ340)="","",INDEX(原始資料!AL$2:AL$501,$BJ340)))</f>
        <v/>
      </c>
      <c r="AK340" s="6">
        <f>IF(OR($BJ340="",36&gt;設定!$B$3),"",IF(INDEX(原始資料!AM$2:AM$501,$BJ340)="","",INDEX(原始資料!AM$2:AM$501,$BJ340)))</f>
        <v/>
      </c>
      <c r="AL340" s="6">
        <f>IF(OR($BJ340="",37&gt;設定!$B$3),"",IF(INDEX(原始資料!AN$2:AN$501,$BJ340)="","",INDEX(原始資料!AN$2:AN$501,$BJ340)))</f>
        <v/>
      </c>
      <c r="AM340" s="6">
        <f>IF(OR($BJ340="",38&gt;設定!$B$3),"",IF(INDEX(原始資料!AO$2:AO$501,$BJ340)="","",INDEX(原始資料!AO$2:AO$501,$BJ340)))</f>
        <v/>
      </c>
      <c r="AN340" s="6">
        <f>IF(OR($BJ340="",39&gt;設定!$B$3),"",IF(INDEX(原始資料!AP$2:AP$501,$BJ340)="","",INDEX(原始資料!AP$2:AP$501,$BJ340)))</f>
        <v/>
      </c>
      <c r="AO340" s="6">
        <f>IF(OR($BJ340="",40&gt;設定!$B$3),"",IF(INDEX(原始資料!AQ$2:AQ$501,$BJ340)="","",INDEX(原始資料!AQ$2:AQ$501,$BJ340)))</f>
        <v/>
      </c>
      <c r="AP340" s="6">
        <f>IF(OR($BJ340="",41&gt;設定!$B$3),"",IF(INDEX(原始資料!AR$2:AR$501,$BJ340)="","",INDEX(原始資料!AR$2:AR$501,$BJ340)))</f>
        <v/>
      </c>
      <c r="AQ340" s="6">
        <f>IF(OR($BJ340="",42&gt;設定!$B$3),"",IF(INDEX(原始資料!AS$2:AS$501,$BJ340)="","",INDEX(原始資料!AS$2:AS$501,$BJ340)))</f>
        <v/>
      </c>
      <c r="AR340" s="6">
        <f>IF(OR($BJ340="",43&gt;設定!$B$3),"",IF(INDEX(原始資料!AT$2:AT$501,$BJ340)="","",INDEX(原始資料!AT$2:AT$501,$BJ340)))</f>
        <v/>
      </c>
      <c r="AS340" s="6">
        <f>IF(OR($BJ340="",44&gt;設定!$B$3),"",IF(INDEX(原始資料!AU$2:AU$501,$BJ340)="","",INDEX(原始資料!AU$2:AU$501,$BJ340)))</f>
        <v/>
      </c>
      <c r="AT340" s="6">
        <f>IF(OR($BJ340="",45&gt;設定!$B$3),"",IF(INDEX(原始資料!AV$2:AV$501,$BJ340)="","",INDEX(原始資料!AV$2:AV$501,$BJ340)))</f>
        <v/>
      </c>
      <c r="AU340" s="6">
        <f>IF(OR($BJ340="",46&gt;設定!$B$3),"",IF(INDEX(原始資料!AW$2:AW$501,$BJ340)="","",INDEX(原始資料!AW$2:AW$501,$BJ340)))</f>
        <v/>
      </c>
      <c r="AV340" s="6">
        <f>IF(OR($BJ340="",47&gt;設定!$B$3),"",IF(INDEX(原始資料!AX$2:AX$501,$BJ340)="","",INDEX(原始資料!AX$2:AX$501,$BJ340)))</f>
        <v/>
      </c>
      <c r="AW340" s="6">
        <f>IF(OR($BJ340="",48&gt;設定!$B$3),"",IF(INDEX(原始資料!AY$2:AY$501,$BJ340)="","",INDEX(原始資料!AY$2:AY$501,$BJ340)))</f>
        <v/>
      </c>
      <c r="AX340" s="6">
        <f>IF(OR($BJ340="",49&gt;設定!$B$3),"",IF(INDEX(原始資料!AZ$2:AZ$501,$BJ340)="","",INDEX(原始資料!AZ$2:AZ$501,$BJ340)))</f>
        <v/>
      </c>
      <c r="AY340" s="6">
        <f>IF(OR($BJ340="",50&gt;設定!$B$3),"",IF(INDEX(原始資料!BA$2:BA$501,$BJ340)="","",INDEX(原始資料!BA$2:BA$501,$BJ340)))</f>
        <v/>
      </c>
      <c r="AZ340" s="6">
        <f>IF(OR($BJ340="",51&gt;設定!$B$3),"",IF(INDEX(原始資料!BB$2:BB$501,$BJ340)="","",INDEX(原始資料!BB$2:BB$501,$BJ340)))</f>
        <v/>
      </c>
      <c r="BA340" s="6">
        <f>IF(OR($BJ340="",52&gt;設定!$B$3),"",IF(INDEX(原始資料!BC$2:BC$501,$BJ340)="","",INDEX(原始資料!BC$2:BC$501,$BJ340)))</f>
        <v/>
      </c>
      <c r="BB340" s="6">
        <f>IF(OR($BJ340="",53&gt;設定!$B$3),"",IF(INDEX(原始資料!BD$2:BD$501,$BJ340)="","",INDEX(原始資料!BD$2:BD$501,$BJ340)))</f>
        <v/>
      </c>
      <c r="BC340" s="6">
        <f>IF(OR($BJ340="",54&gt;設定!$B$3),"",IF(INDEX(原始資料!BE$2:BE$501,$BJ340)="","",INDEX(原始資料!BE$2:BE$501,$BJ340)))</f>
        <v/>
      </c>
      <c r="BD340" s="6">
        <f>IF(OR($BJ340="",55&gt;設定!$B$3),"",IF(INDEX(原始資料!BF$2:BF$501,$BJ340)="","",INDEX(原始資料!BF$2:BF$501,$BJ340)))</f>
        <v/>
      </c>
      <c r="BE340" s="6">
        <f>IF(OR($BJ340="",56&gt;設定!$B$3),"",IF(INDEX(原始資料!BG$2:BG$501,$BJ340)="","",INDEX(原始資料!BG$2:BG$501,$BJ340)))</f>
        <v/>
      </c>
      <c r="BF340" s="6">
        <f>IF(OR($BJ340="",57&gt;設定!$B$3),"",IF(INDEX(原始資料!BH$2:BH$501,$BJ340)="","",INDEX(原始資料!BH$2:BH$501,$BJ340)))</f>
        <v/>
      </c>
      <c r="BG340" s="6">
        <f>IF(OR($BJ340="",58&gt;設定!$B$3),"",IF(INDEX(原始資料!BI$2:BI$501,$BJ340)="","",INDEX(原始資料!BI$2:BI$501,$BJ340)))</f>
        <v/>
      </c>
      <c r="BH340" s="6">
        <f>IF(OR($BJ340="",59&gt;設定!$B$3),"",IF(INDEX(原始資料!BJ$2:BJ$501,$BJ340)="","",INDEX(原始資料!BJ$2:BJ$501,$BJ340)))</f>
        <v/>
      </c>
      <c r="BI340" s="6">
        <f>IF(OR($BJ340="",60&gt;設定!$B$3),"",IF(INDEX(原始資料!BK$2:BK$501,$BJ340)="","",INDEX(原始資料!BK$2:BK$501,$BJ340)))</f>
        <v/>
      </c>
      <c r="BJ340" s="6">
        <f>IFERROR(MATCH(ROW()-1,判定!$H$2:$H$501,0),"")</f>
        <v/>
      </c>
    </row>
    <row r="341">
      <c r="A341" s="6">
        <f>IF($BJ341="","",INDEX(原始資料!$A$2:$A$501,$BJ341))</f>
        <v/>
      </c>
      <c r="B341" s="6">
        <f>IF(OR($BJ341="",1&gt;設定!$B$3),"",IF(INDEX(原始資料!D$2:D$501,$BJ341)="","",INDEX(原始資料!D$2:D$501,$BJ341)))</f>
        <v/>
      </c>
      <c r="C341" s="6">
        <f>IF(OR($BJ341="",2&gt;設定!$B$3),"",IF(INDEX(原始資料!E$2:E$501,$BJ341)="","",INDEX(原始資料!E$2:E$501,$BJ341)))</f>
        <v/>
      </c>
      <c r="D341" s="6">
        <f>IF(OR($BJ341="",3&gt;設定!$B$3),"",IF(INDEX(原始資料!F$2:F$501,$BJ341)="","",INDEX(原始資料!F$2:F$501,$BJ341)))</f>
        <v/>
      </c>
      <c r="E341" s="6">
        <f>IF(OR($BJ341="",4&gt;設定!$B$3),"",IF(INDEX(原始資料!G$2:G$501,$BJ341)="","",INDEX(原始資料!G$2:G$501,$BJ341)))</f>
        <v/>
      </c>
      <c r="F341" s="6">
        <f>IF(OR($BJ341="",5&gt;設定!$B$3),"",IF(INDEX(原始資料!H$2:H$501,$BJ341)="","",INDEX(原始資料!H$2:H$501,$BJ341)))</f>
        <v/>
      </c>
      <c r="G341" s="6">
        <f>IF(OR($BJ341="",6&gt;設定!$B$3),"",IF(INDEX(原始資料!I$2:I$501,$BJ341)="","",INDEX(原始資料!I$2:I$501,$BJ341)))</f>
        <v/>
      </c>
      <c r="H341" s="6">
        <f>IF(OR($BJ341="",7&gt;設定!$B$3),"",IF(INDEX(原始資料!J$2:J$501,$BJ341)="","",INDEX(原始資料!J$2:J$501,$BJ341)))</f>
        <v/>
      </c>
      <c r="I341" s="6">
        <f>IF(OR($BJ341="",8&gt;設定!$B$3),"",IF(INDEX(原始資料!K$2:K$501,$BJ341)="","",INDEX(原始資料!K$2:K$501,$BJ341)))</f>
        <v/>
      </c>
      <c r="J341" s="6">
        <f>IF(OR($BJ341="",9&gt;設定!$B$3),"",IF(INDEX(原始資料!L$2:L$501,$BJ341)="","",INDEX(原始資料!L$2:L$501,$BJ341)))</f>
        <v/>
      </c>
      <c r="K341" s="6">
        <f>IF(OR($BJ341="",10&gt;設定!$B$3),"",IF(INDEX(原始資料!M$2:M$501,$BJ341)="","",INDEX(原始資料!M$2:M$501,$BJ341)))</f>
        <v/>
      </c>
      <c r="L341" s="6">
        <f>IF(OR($BJ341="",11&gt;設定!$B$3),"",IF(INDEX(原始資料!N$2:N$501,$BJ341)="","",INDEX(原始資料!N$2:N$501,$BJ341)))</f>
        <v/>
      </c>
      <c r="M341" s="6">
        <f>IF(OR($BJ341="",12&gt;設定!$B$3),"",IF(INDEX(原始資料!O$2:O$501,$BJ341)="","",INDEX(原始資料!O$2:O$501,$BJ341)))</f>
        <v/>
      </c>
      <c r="N341" s="6">
        <f>IF(OR($BJ341="",13&gt;設定!$B$3),"",IF(INDEX(原始資料!P$2:P$501,$BJ341)="","",INDEX(原始資料!P$2:P$501,$BJ341)))</f>
        <v/>
      </c>
      <c r="O341" s="6">
        <f>IF(OR($BJ341="",14&gt;設定!$B$3),"",IF(INDEX(原始資料!Q$2:Q$501,$BJ341)="","",INDEX(原始資料!Q$2:Q$501,$BJ341)))</f>
        <v/>
      </c>
      <c r="P341" s="6">
        <f>IF(OR($BJ341="",15&gt;設定!$B$3),"",IF(INDEX(原始資料!R$2:R$501,$BJ341)="","",INDEX(原始資料!R$2:R$501,$BJ341)))</f>
        <v/>
      </c>
      <c r="Q341" s="6">
        <f>IF(OR($BJ341="",16&gt;設定!$B$3),"",IF(INDEX(原始資料!S$2:S$501,$BJ341)="","",INDEX(原始資料!S$2:S$501,$BJ341)))</f>
        <v/>
      </c>
      <c r="R341" s="6">
        <f>IF(OR($BJ341="",17&gt;設定!$B$3),"",IF(INDEX(原始資料!T$2:T$501,$BJ341)="","",INDEX(原始資料!T$2:T$501,$BJ341)))</f>
        <v/>
      </c>
      <c r="S341" s="6">
        <f>IF(OR($BJ341="",18&gt;設定!$B$3),"",IF(INDEX(原始資料!U$2:U$501,$BJ341)="","",INDEX(原始資料!U$2:U$501,$BJ341)))</f>
        <v/>
      </c>
      <c r="T341" s="6">
        <f>IF(OR($BJ341="",19&gt;設定!$B$3),"",IF(INDEX(原始資料!V$2:V$501,$BJ341)="","",INDEX(原始資料!V$2:V$501,$BJ341)))</f>
        <v/>
      </c>
      <c r="U341" s="6">
        <f>IF(OR($BJ341="",20&gt;設定!$B$3),"",IF(INDEX(原始資料!W$2:W$501,$BJ341)="","",INDEX(原始資料!W$2:W$501,$BJ341)))</f>
        <v/>
      </c>
      <c r="V341" s="6">
        <f>IF(OR($BJ341="",21&gt;設定!$B$3),"",IF(INDEX(原始資料!X$2:X$501,$BJ341)="","",INDEX(原始資料!X$2:X$501,$BJ341)))</f>
        <v/>
      </c>
      <c r="W341" s="6">
        <f>IF(OR($BJ341="",22&gt;設定!$B$3),"",IF(INDEX(原始資料!Y$2:Y$501,$BJ341)="","",INDEX(原始資料!Y$2:Y$501,$BJ341)))</f>
        <v/>
      </c>
      <c r="X341" s="6">
        <f>IF(OR($BJ341="",23&gt;設定!$B$3),"",IF(INDEX(原始資料!Z$2:Z$501,$BJ341)="","",INDEX(原始資料!Z$2:Z$501,$BJ341)))</f>
        <v/>
      </c>
      <c r="Y341" s="6">
        <f>IF(OR($BJ341="",24&gt;設定!$B$3),"",IF(INDEX(原始資料!AA$2:AA$501,$BJ341)="","",INDEX(原始資料!AA$2:AA$501,$BJ341)))</f>
        <v/>
      </c>
      <c r="Z341" s="6">
        <f>IF(OR($BJ341="",25&gt;設定!$B$3),"",IF(INDEX(原始資料!AB$2:AB$501,$BJ341)="","",INDEX(原始資料!AB$2:AB$501,$BJ341)))</f>
        <v/>
      </c>
      <c r="AA341" s="6">
        <f>IF(OR($BJ341="",26&gt;設定!$B$3),"",IF(INDEX(原始資料!AC$2:AC$501,$BJ341)="","",INDEX(原始資料!AC$2:AC$501,$BJ341)))</f>
        <v/>
      </c>
      <c r="AB341" s="6">
        <f>IF(OR($BJ341="",27&gt;設定!$B$3),"",IF(INDEX(原始資料!AD$2:AD$501,$BJ341)="","",INDEX(原始資料!AD$2:AD$501,$BJ341)))</f>
        <v/>
      </c>
      <c r="AC341" s="6">
        <f>IF(OR($BJ341="",28&gt;設定!$B$3),"",IF(INDEX(原始資料!AE$2:AE$501,$BJ341)="","",INDEX(原始資料!AE$2:AE$501,$BJ341)))</f>
        <v/>
      </c>
      <c r="AD341" s="6">
        <f>IF(OR($BJ341="",29&gt;設定!$B$3),"",IF(INDEX(原始資料!AF$2:AF$501,$BJ341)="","",INDEX(原始資料!AF$2:AF$501,$BJ341)))</f>
        <v/>
      </c>
      <c r="AE341" s="6">
        <f>IF(OR($BJ341="",30&gt;設定!$B$3),"",IF(INDEX(原始資料!AG$2:AG$501,$BJ341)="","",INDEX(原始資料!AG$2:AG$501,$BJ341)))</f>
        <v/>
      </c>
      <c r="AF341" s="6">
        <f>IF(OR($BJ341="",31&gt;設定!$B$3),"",IF(INDEX(原始資料!AH$2:AH$501,$BJ341)="","",INDEX(原始資料!AH$2:AH$501,$BJ341)))</f>
        <v/>
      </c>
      <c r="AG341" s="6">
        <f>IF(OR($BJ341="",32&gt;設定!$B$3),"",IF(INDEX(原始資料!AI$2:AI$501,$BJ341)="","",INDEX(原始資料!AI$2:AI$501,$BJ341)))</f>
        <v/>
      </c>
      <c r="AH341" s="6">
        <f>IF(OR($BJ341="",33&gt;設定!$B$3),"",IF(INDEX(原始資料!AJ$2:AJ$501,$BJ341)="","",INDEX(原始資料!AJ$2:AJ$501,$BJ341)))</f>
        <v/>
      </c>
      <c r="AI341" s="6">
        <f>IF(OR($BJ341="",34&gt;設定!$B$3),"",IF(INDEX(原始資料!AK$2:AK$501,$BJ341)="","",INDEX(原始資料!AK$2:AK$501,$BJ341)))</f>
        <v/>
      </c>
      <c r="AJ341" s="6">
        <f>IF(OR($BJ341="",35&gt;設定!$B$3),"",IF(INDEX(原始資料!AL$2:AL$501,$BJ341)="","",INDEX(原始資料!AL$2:AL$501,$BJ341)))</f>
        <v/>
      </c>
      <c r="AK341" s="6">
        <f>IF(OR($BJ341="",36&gt;設定!$B$3),"",IF(INDEX(原始資料!AM$2:AM$501,$BJ341)="","",INDEX(原始資料!AM$2:AM$501,$BJ341)))</f>
        <v/>
      </c>
      <c r="AL341" s="6">
        <f>IF(OR($BJ341="",37&gt;設定!$B$3),"",IF(INDEX(原始資料!AN$2:AN$501,$BJ341)="","",INDEX(原始資料!AN$2:AN$501,$BJ341)))</f>
        <v/>
      </c>
      <c r="AM341" s="6">
        <f>IF(OR($BJ341="",38&gt;設定!$B$3),"",IF(INDEX(原始資料!AO$2:AO$501,$BJ341)="","",INDEX(原始資料!AO$2:AO$501,$BJ341)))</f>
        <v/>
      </c>
      <c r="AN341" s="6">
        <f>IF(OR($BJ341="",39&gt;設定!$B$3),"",IF(INDEX(原始資料!AP$2:AP$501,$BJ341)="","",INDEX(原始資料!AP$2:AP$501,$BJ341)))</f>
        <v/>
      </c>
      <c r="AO341" s="6">
        <f>IF(OR($BJ341="",40&gt;設定!$B$3),"",IF(INDEX(原始資料!AQ$2:AQ$501,$BJ341)="","",INDEX(原始資料!AQ$2:AQ$501,$BJ341)))</f>
        <v/>
      </c>
      <c r="AP341" s="6">
        <f>IF(OR($BJ341="",41&gt;設定!$B$3),"",IF(INDEX(原始資料!AR$2:AR$501,$BJ341)="","",INDEX(原始資料!AR$2:AR$501,$BJ341)))</f>
        <v/>
      </c>
      <c r="AQ341" s="6">
        <f>IF(OR($BJ341="",42&gt;設定!$B$3),"",IF(INDEX(原始資料!AS$2:AS$501,$BJ341)="","",INDEX(原始資料!AS$2:AS$501,$BJ341)))</f>
        <v/>
      </c>
      <c r="AR341" s="6">
        <f>IF(OR($BJ341="",43&gt;設定!$B$3),"",IF(INDEX(原始資料!AT$2:AT$501,$BJ341)="","",INDEX(原始資料!AT$2:AT$501,$BJ341)))</f>
        <v/>
      </c>
      <c r="AS341" s="6">
        <f>IF(OR($BJ341="",44&gt;設定!$B$3),"",IF(INDEX(原始資料!AU$2:AU$501,$BJ341)="","",INDEX(原始資料!AU$2:AU$501,$BJ341)))</f>
        <v/>
      </c>
      <c r="AT341" s="6">
        <f>IF(OR($BJ341="",45&gt;設定!$B$3),"",IF(INDEX(原始資料!AV$2:AV$501,$BJ341)="","",INDEX(原始資料!AV$2:AV$501,$BJ341)))</f>
        <v/>
      </c>
      <c r="AU341" s="6">
        <f>IF(OR($BJ341="",46&gt;設定!$B$3),"",IF(INDEX(原始資料!AW$2:AW$501,$BJ341)="","",INDEX(原始資料!AW$2:AW$501,$BJ341)))</f>
        <v/>
      </c>
      <c r="AV341" s="6">
        <f>IF(OR($BJ341="",47&gt;設定!$B$3),"",IF(INDEX(原始資料!AX$2:AX$501,$BJ341)="","",INDEX(原始資料!AX$2:AX$501,$BJ341)))</f>
        <v/>
      </c>
      <c r="AW341" s="6">
        <f>IF(OR($BJ341="",48&gt;設定!$B$3),"",IF(INDEX(原始資料!AY$2:AY$501,$BJ341)="","",INDEX(原始資料!AY$2:AY$501,$BJ341)))</f>
        <v/>
      </c>
      <c r="AX341" s="6">
        <f>IF(OR($BJ341="",49&gt;設定!$B$3),"",IF(INDEX(原始資料!AZ$2:AZ$501,$BJ341)="","",INDEX(原始資料!AZ$2:AZ$501,$BJ341)))</f>
        <v/>
      </c>
      <c r="AY341" s="6">
        <f>IF(OR($BJ341="",50&gt;設定!$B$3),"",IF(INDEX(原始資料!BA$2:BA$501,$BJ341)="","",INDEX(原始資料!BA$2:BA$501,$BJ341)))</f>
        <v/>
      </c>
      <c r="AZ341" s="6">
        <f>IF(OR($BJ341="",51&gt;設定!$B$3),"",IF(INDEX(原始資料!BB$2:BB$501,$BJ341)="","",INDEX(原始資料!BB$2:BB$501,$BJ341)))</f>
        <v/>
      </c>
      <c r="BA341" s="6">
        <f>IF(OR($BJ341="",52&gt;設定!$B$3),"",IF(INDEX(原始資料!BC$2:BC$501,$BJ341)="","",INDEX(原始資料!BC$2:BC$501,$BJ341)))</f>
        <v/>
      </c>
      <c r="BB341" s="6">
        <f>IF(OR($BJ341="",53&gt;設定!$B$3),"",IF(INDEX(原始資料!BD$2:BD$501,$BJ341)="","",INDEX(原始資料!BD$2:BD$501,$BJ341)))</f>
        <v/>
      </c>
      <c r="BC341" s="6">
        <f>IF(OR($BJ341="",54&gt;設定!$B$3),"",IF(INDEX(原始資料!BE$2:BE$501,$BJ341)="","",INDEX(原始資料!BE$2:BE$501,$BJ341)))</f>
        <v/>
      </c>
      <c r="BD341" s="6">
        <f>IF(OR($BJ341="",55&gt;設定!$B$3),"",IF(INDEX(原始資料!BF$2:BF$501,$BJ341)="","",INDEX(原始資料!BF$2:BF$501,$BJ341)))</f>
        <v/>
      </c>
      <c r="BE341" s="6">
        <f>IF(OR($BJ341="",56&gt;設定!$B$3),"",IF(INDEX(原始資料!BG$2:BG$501,$BJ341)="","",INDEX(原始資料!BG$2:BG$501,$BJ341)))</f>
        <v/>
      </c>
      <c r="BF341" s="6">
        <f>IF(OR($BJ341="",57&gt;設定!$B$3),"",IF(INDEX(原始資料!BH$2:BH$501,$BJ341)="","",INDEX(原始資料!BH$2:BH$501,$BJ341)))</f>
        <v/>
      </c>
      <c r="BG341" s="6">
        <f>IF(OR($BJ341="",58&gt;設定!$B$3),"",IF(INDEX(原始資料!BI$2:BI$501,$BJ341)="","",INDEX(原始資料!BI$2:BI$501,$BJ341)))</f>
        <v/>
      </c>
      <c r="BH341" s="6">
        <f>IF(OR($BJ341="",59&gt;設定!$B$3),"",IF(INDEX(原始資料!BJ$2:BJ$501,$BJ341)="","",INDEX(原始資料!BJ$2:BJ$501,$BJ341)))</f>
        <v/>
      </c>
      <c r="BI341" s="6">
        <f>IF(OR($BJ341="",60&gt;設定!$B$3),"",IF(INDEX(原始資料!BK$2:BK$501,$BJ341)="","",INDEX(原始資料!BK$2:BK$501,$BJ341)))</f>
        <v/>
      </c>
      <c r="BJ341" s="6">
        <f>IFERROR(MATCH(ROW()-1,判定!$H$2:$H$501,0),"")</f>
        <v/>
      </c>
    </row>
    <row r="342">
      <c r="A342" s="6">
        <f>IF($BJ342="","",INDEX(原始資料!$A$2:$A$501,$BJ342))</f>
        <v/>
      </c>
      <c r="B342" s="6">
        <f>IF(OR($BJ342="",1&gt;設定!$B$3),"",IF(INDEX(原始資料!D$2:D$501,$BJ342)="","",INDEX(原始資料!D$2:D$501,$BJ342)))</f>
        <v/>
      </c>
      <c r="C342" s="6">
        <f>IF(OR($BJ342="",2&gt;設定!$B$3),"",IF(INDEX(原始資料!E$2:E$501,$BJ342)="","",INDEX(原始資料!E$2:E$501,$BJ342)))</f>
        <v/>
      </c>
      <c r="D342" s="6">
        <f>IF(OR($BJ342="",3&gt;設定!$B$3),"",IF(INDEX(原始資料!F$2:F$501,$BJ342)="","",INDEX(原始資料!F$2:F$501,$BJ342)))</f>
        <v/>
      </c>
      <c r="E342" s="6">
        <f>IF(OR($BJ342="",4&gt;設定!$B$3),"",IF(INDEX(原始資料!G$2:G$501,$BJ342)="","",INDEX(原始資料!G$2:G$501,$BJ342)))</f>
        <v/>
      </c>
      <c r="F342" s="6">
        <f>IF(OR($BJ342="",5&gt;設定!$B$3),"",IF(INDEX(原始資料!H$2:H$501,$BJ342)="","",INDEX(原始資料!H$2:H$501,$BJ342)))</f>
        <v/>
      </c>
      <c r="G342" s="6">
        <f>IF(OR($BJ342="",6&gt;設定!$B$3),"",IF(INDEX(原始資料!I$2:I$501,$BJ342)="","",INDEX(原始資料!I$2:I$501,$BJ342)))</f>
        <v/>
      </c>
      <c r="H342" s="6">
        <f>IF(OR($BJ342="",7&gt;設定!$B$3),"",IF(INDEX(原始資料!J$2:J$501,$BJ342)="","",INDEX(原始資料!J$2:J$501,$BJ342)))</f>
        <v/>
      </c>
      <c r="I342" s="6">
        <f>IF(OR($BJ342="",8&gt;設定!$B$3),"",IF(INDEX(原始資料!K$2:K$501,$BJ342)="","",INDEX(原始資料!K$2:K$501,$BJ342)))</f>
        <v/>
      </c>
      <c r="J342" s="6">
        <f>IF(OR($BJ342="",9&gt;設定!$B$3),"",IF(INDEX(原始資料!L$2:L$501,$BJ342)="","",INDEX(原始資料!L$2:L$501,$BJ342)))</f>
        <v/>
      </c>
      <c r="K342" s="6">
        <f>IF(OR($BJ342="",10&gt;設定!$B$3),"",IF(INDEX(原始資料!M$2:M$501,$BJ342)="","",INDEX(原始資料!M$2:M$501,$BJ342)))</f>
        <v/>
      </c>
      <c r="L342" s="6">
        <f>IF(OR($BJ342="",11&gt;設定!$B$3),"",IF(INDEX(原始資料!N$2:N$501,$BJ342)="","",INDEX(原始資料!N$2:N$501,$BJ342)))</f>
        <v/>
      </c>
      <c r="M342" s="6">
        <f>IF(OR($BJ342="",12&gt;設定!$B$3),"",IF(INDEX(原始資料!O$2:O$501,$BJ342)="","",INDEX(原始資料!O$2:O$501,$BJ342)))</f>
        <v/>
      </c>
      <c r="N342" s="6">
        <f>IF(OR($BJ342="",13&gt;設定!$B$3),"",IF(INDEX(原始資料!P$2:P$501,$BJ342)="","",INDEX(原始資料!P$2:P$501,$BJ342)))</f>
        <v/>
      </c>
      <c r="O342" s="6">
        <f>IF(OR($BJ342="",14&gt;設定!$B$3),"",IF(INDEX(原始資料!Q$2:Q$501,$BJ342)="","",INDEX(原始資料!Q$2:Q$501,$BJ342)))</f>
        <v/>
      </c>
      <c r="P342" s="6">
        <f>IF(OR($BJ342="",15&gt;設定!$B$3),"",IF(INDEX(原始資料!R$2:R$501,$BJ342)="","",INDEX(原始資料!R$2:R$501,$BJ342)))</f>
        <v/>
      </c>
      <c r="Q342" s="6">
        <f>IF(OR($BJ342="",16&gt;設定!$B$3),"",IF(INDEX(原始資料!S$2:S$501,$BJ342)="","",INDEX(原始資料!S$2:S$501,$BJ342)))</f>
        <v/>
      </c>
      <c r="R342" s="6">
        <f>IF(OR($BJ342="",17&gt;設定!$B$3),"",IF(INDEX(原始資料!T$2:T$501,$BJ342)="","",INDEX(原始資料!T$2:T$501,$BJ342)))</f>
        <v/>
      </c>
      <c r="S342" s="6">
        <f>IF(OR($BJ342="",18&gt;設定!$B$3),"",IF(INDEX(原始資料!U$2:U$501,$BJ342)="","",INDEX(原始資料!U$2:U$501,$BJ342)))</f>
        <v/>
      </c>
      <c r="T342" s="6">
        <f>IF(OR($BJ342="",19&gt;設定!$B$3),"",IF(INDEX(原始資料!V$2:V$501,$BJ342)="","",INDEX(原始資料!V$2:V$501,$BJ342)))</f>
        <v/>
      </c>
      <c r="U342" s="6">
        <f>IF(OR($BJ342="",20&gt;設定!$B$3),"",IF(INDEX(原始資料!W$2:W$501,$BJ342)="","",INDEX(原始資料!W$2:W$501,$BJ342)))</f>
        <v/>
      </c>
      <c r="V342" s="6">
        <f>IF(OR($BJ342="",21&gt;設定!$B$3),"",IF(INDEX(原始資料!X$2:X$501,$BJ342)="","",INDEX(原始資料!X$2:X$501,$BJ342)))</f>
        <v/>
      </c>
      <c r="W342" s="6">
        <f>IF(OR($BJ342="",22&gt;設定!$B$3),"",IF(INDEX(原始資料!Y$2:Y$501,$BJ342)="","",INDEX(原始資料!Y$2:Y$501,$BJ342)))</f>
        <v/>
      </c>
      <c r="X342" s="6">
        <f>IF(OR($BJ342="",23&gt;設定!$B$3),"",IF(INDEX(原始資料!Z$2:Z$501,$BJ342)="","",INDEX(原始資料!Z$2:Z$501,$BJ342)))</f>
        <v/>
      </c>
      <c r="Y342" s="6">
        <f>IF(OR($BJ342="",24&gt;設定!$B$3),"",IF(INDEX(原始資料!AA$2:AA$501,$BJ342)="","",INDEX(原始資料!AA$2:AA$501,$BJ342)))</f>
        <v/>
      </c>
      <c r="Z342" s="6">
        <f>IF(OR($BJ342="",25&gt;設定!$B$3),"",IF(INDEX(原始資料!AB$2:AB$501,$BJ342)="","",INDEX(原始資料!AB$2:AB$501,$BJ342)))</f>
        <v/>
      </c>
      <c r="AA342" s="6">
        <f>IF(OR($BJ342="",26&gt;設定!$B$3),"",IF(INDEX(原始資料!AC$2:AC$501,$BJ342)="","",INDEX(原始資料!AC$2:AC$501,$BJ342)))</f>
        <v/>
      </c>
      <c r="AB342" s="6">
        <f>IF(OR($BJ342="",27&gt;設定!$B$3),"",IF(INDEX(原始資料!AD$2:AD$501,$BJ342)="","",INDEX(原始資料!AD$2:AD$501,$BJ342)))</f>
        <v/>
      </c>
      <c r="AC342" s="6">
        <f>IF(OR($BJ342="",28&gt;設定!$B$3),"",IF(INDEX(原始資料!AE$2:AE$501,$BJ342)="","",INDEX(原始資料!AE$2:AE$501,$BJ342)))</f>
        <v/>
      </c>
      <c r="AD342" s="6">
        <f>IF(OR($BJ342="",29&gt;設定!$B$3),"",IF(INDEX(原始資料!AF$2:AF$501,$BJ342)="","",INDEX(原始資料!AF$2:AF$501,$BJ342)))</f>
        <v/>
      </c>
      <c r="AE342" s="6">
        <f>IF(OR($BJ342="",30&gt;設定!$B$3),"",IF(INDEX(原始資料!AG$2:AG$501,$BJ342)="","",INDEX(原始資料!AG$2:AG$501,$BJ342)))</f>
        <v/>
      </c>
      <c r="AF342" s="6">
        <f>IF(OR($BJ342="",31&gt;設定!$B$3),"",IF(INDEX(原始資料!AH$2:AH$501,$BJ342)="","",INDEX(原始資料!AH$2:AH$501,$BJ342)))</f>
        <v/>
      </c>
      <c r="AG342" s="6">
        <f>IF(OR($BJ342="",32&gt;設定!$B$3),"",IF(INDEX(原始資料!AI$2:AI$501,$BJ342)="","",INDEX(原始資料!AI$2:AI$501,$BJ342)))</f>
        <v/>
      </c>
      <c r="AH342" s="6">
        <f>IF(OR($BJ342="",33&gt;設定!$B$3),"",IF(INDEX(原始資料!AJ$2:AJ$501,$BJ342)="","",INDEX(原始資料!AJ$2:AJ$501,$BJ342)))</f>
        <v/>
      </c>
      <c r="AI342" s="6">
        <f>IF(OR($BJ342="",34&gt;設定!$B$3),"",IF(INDEX(原始資料!AK$2:AK$501,$BJ342)="","",INDEX(原始資料!AK$2:AK$501,$BJ342)))</f>
        <v/>
      </c>
      <c r="AJ342" s="6">
        <f>IF(OR($BJ342="",35&gt;設定!$B$3),"",IF(INDEX(原始資料!AL$2:AL$501,$BJ342)="","",INDEX(原始資料!AL$2:AL$501,$BJ342)))</f>
        <v/>
      </c>
      <c r="AK342" s="6">
        <f>IF(OR($BJ342="",36&gt;設定!$B$3),"",IF(INDEX(原始資料!AM$2:AM$501,$BJ342)="","",INDEX(原始資料!AM$2:AM$501,$BJ342)))</f>
        <v/>
      </c>
      <c r="AL342" s="6">
        <f>IF(OR($BJ342="",37&gt;設定!$B$3),"",IF(INDEX(原始資料!AN$2:AN$501,$BJ342)="","",INDEX(原始資料!AN$2:AN$501,$BJ342)))</f>
        <v/>
      </c>
      <c r="AM342" s="6">
        <f>IF(OR($BJ342="",38&gt;設定!$B$3),"",IF(INDEX(原始資料!AO$2:AO$501,$BJ342)="","",INDEX(原始資料!AO$2:AO$501,$BJ342)))</f>
        <v/>
      </c>
      <c r="AN342" s="6">
        <f>IF(OR($BJ342="",39&gt;設定!$B$3),"",IF(INDEX(原始資料!AP$2:AP$501,$BJ342)="","",INDEX(原始資料!AP$2:AP$501,$BJ342)))</f>
        <v/>
      </c>
      <c r="AO342" s="6">
        <f>IF(OR($BJ342="",40&gt;設定!$B$3),"",IF(INDEX(原始資料!AQ$2:AQ$501,$BJ342)="","",INDEX(原始資料!AQ$2:AQ$501,$BJ342)))</f>
        <v/>
      </c>
      <c r="AP342" s="6">
        <f>IF(OR($BJ342="",41&gt;設定!$B$3),"",IF(INDEX(原始資料!AR$2:AR$501,$BJ342)="","",INDEX(原始資料!AR$2:AR$501,$BJ342)))</f>
        <v/>
      </c>
      <c r="AQ342" s="6">
        <f>IF(OR($BJ342="",42&gt;設定!$B$3),"",IF(INDEX(原始資料!AS$2:AS$501,$BJ342)="","",INDEX(原始資料!AS$2:AS$501,$BJ342)))</f>
        <v/>
      </c>
      <c r="AR342" s="6">
        <f>IF(OR($BJ342="",43&gt;設定!$B$3),"",IF(INDEX(原始資料!AT$2:AT$501,$BJ342)="","",INDEX(原始資料!AT$2:AT$501,$BJ342)))</f>
        <v/>
      </c>
      <c r="AS342" s="6">
        <f>IF(OR($BJ342="",44&gt;設定!$B$3),"",IF(INDEX(原始資料!AU$2:AU$501,$BJ342)="","",INDEX(原始資料!AU$2:AU$501,$BJ342)))</f>
        <v/>
      </c>
      <c r="AT342" s="6">
        <f>IF(OR($BJ342="",45&gt;設定!$B$3),"",IF(INDEX(原始資料!AV$2:AV$501,$BJ342)="","",INDEX(原始資料!AV$2:AV$501,$BJ342)))</f>
        <v/>
      </c>
      <c r="AU342" s="6">
        <f>IF(OR($BJ342="",46&gt;設定!$B$3),"",IF(INDEX(原始資料!AW$2:AW$501,$BJ342)="","",INDEX(原始資料!AW$2:AW$501,$BJ342)))</f>
        <v/>
      </c>
      <c r="AV342" s="6">
        <f>IF(OR($BJ342="",47&gt;設定!$B$3),"",IF(INDEX(原始資料!AX$2:AX$501,$BJ342)="","",INDEX(原始資料!AX$2:AX$501,$BJ342)))</f>
        <v/>
      </c>
      <c r="AW342" s="6">
        <f>IF(OR($BJ342="",48&gt;設定!$B$3),"",IF(INDEX(原始資料!AY$2:AY$501,$BJ342)="","",INDEX(原始資料!AY$2:AY$501,$BJ342)))</f>
        <v/>
      </c>
      <c r="AX342" s="6">
        <f>IF(OR($BJ342="",49&gt;設定!$B$3),"",IF(INDEX(原始資料!AZ$2:AZ$501,$BJ342)="","",INDEX(原始資料!AZ$2:AZ$501,$BJ342)))</f>
        <v/>
      </c>
      <c r="AY342" s="6">
        <f>IF(OR($BJ342="",50&gt;設定!$B$3),"",IF(INDEX(原始資料!BA$2:BA$501,$BJ342)="","",INDEX(原始資料!BA$2:BA$501,$BJ342)))</f>
        <v/>
      </c>
      <c r="AZ342" s="6">
        <f>IF(OR($BJ342="",51&gt;設定!$B$3),"",IF(INDEX(原始資料!BB$2:BB$501,$BJ342)="","",INDEX(原始資料!BB$2:BB$501,$BJ342)))</f>
        <v/>
      </c>
      <c r="BA342" s="6">
        <f>IF(OR($BJ342="",52&gt;設定!$B$3),"",IF(INDEX(原始資料!BC$2:BC$501,$BJ342)="","",INDEX(原始資料!BC$2:BC$501,$BJ342)))</f>
        <v/>
      </c>
      <c r="BB342" s="6">
        <f>IF(OR($BJ342="",53&gt;設定!$B$3),"",IF(INDEX(原始資料!BD$2:BD$501,$BJ342)="","",INDEX(原始資料!BD$2:BD$501,$BJ342)))</f>
        <v/>
      </c>
      <c r="BC342" s="6">
        <f>IF(OR($BJ342="",54&gt;設定!$B$3),"",IF(INDEX(原始資料!BE$2:BE$501,$BJ342)="","",INDEX(原始資料!BE$2:BE$501,$BJ342)))</f>
        <v/>
      </c>
      <c r="BD342" s="6">
        <f>IF(OR($BJ342="",55&gt;設定!$B$3),"",IF(INDEX(原始資料!BF$2:BF$501,$BJ342)="","",INDEX(原始資料!BF$2:BF$501,$BJ342)))</f>
        <v/>
      </c>
      <c r="BE342" s="6">
        <f>IF(OR($BJ342="",56&gt;設定!$B$3),"",IF(INDEX(原始資料!BG$2:BG$501,$BJ342)="","",INDEX(原始資料!BG$2:BG$501,$BJ342)))</f>
        <v/>
      </c>
      <c r="BF342" s="6">
        <f>IF(OR($BJ342="",57&gt;設定!$B$3),"",IF(INDEX(原始資料!BH$2:BH$501,$BJ342)="","",INDEX(原始資料!BH$2:BH$501,$BJ342)))</f>
        <v/>
      </c>
      <c r="BG342" s="6">
        <f>IF(OR($BJ342="",58&gt;設定!$B$3),"",IF(INDEX(原始資料!BI$2:BI$501,$BJ342)="","",INDEX(原始資料!BI$2:BI$501,$BJ342)))</f>
        <v/>
      </c>
      <c r="BH342" s="6">
        <f>IF(OR($BJ342="",59&gt;設定!$B$3),"",IF(INDEX(原始資料!BJ$2:BJ$501,$BJ342)="","",INDEX(原始資料!BJ$2:BJ$501,$BJ342)))</f>
        <v/>
      </c>
      <c r="BI342" s="6">
        <f>IF(OR($BJ342="",60&gt;設定!$B$3),"",IF(INDEX(原始資料!BK$2:BK$501,$BJ342)="","",INDEX(原始資料!BK$2:BK$501,$BJ342)))</f>
        <v/>
      </c>
      <c r="BJ342" s="6">
        <f>IFERROR(MATCH(ROW()-1,判定!$H$2:$H$501,0),"")</f>
        <v/>
      </c>
    </row>
    <row r="343">
      <c r="A343" s="6">
        <f>IF($BJ343="","",INDEX(原始資料!$A$2:$A$501,$BJ343))</f>
        <v/>
      </c>
      <c r="B343" s="6">
        <f>IF(OR($BJ343="",1&gt;設定!$B$3),"",IF(INDEX(原始資料!D$2:D$501,$BJ343)="","",INDEX(原始資料!D$2:D$501,$BJ343)))</f>
        <v/>
      </c>
      <c r="C343" s="6">
        <f>IF(OR($BJ343="",2&gt;設定!$B$3),"",IF(INDEX(原始資料!E$2:E$501,$BJ343)="","",INDEX(原始資料!E$2:E$501,$BJ343)))</f>
        <v/>
      </c>
      <c r="D343" s="6">
        <f>IF(OR($BJ343="",3&gt;設定!$B$3),"",IF(INDEX(原始資料!F$2:F$501,$BJ343)="","",INDEX(原始資料!F$2:F$501,$BJ343)))</f>
        <v/>
      </c>
      <c r="E343" s="6">
        <f>IF(OR($BJ343="",4&gt;設定!$B$3),"",IF(INDEX(原始資料!G$2:G$501,$BJ343)="","",INDEX(原始資料!G$2:G$501,$BJ343)))</f>
        <v/>
      </c>
      <c r="F343" s="6">
        <f>IF(OR($BJ343="",5&gt;設定!$B$3),"",IF(INDEX(原始資料!H$2:H$501,$BJ343)="","",INDEX(原始資料!H$2:H$501,$BJ343)))</f>
        <v/>
      </c>
      <c r="G343" s="6">
        <f>IF(OR($BJ343="",6&gt;設定!$B$3),"",IF(INDEX(原始資料!I$2:I$501,$BJ343)="","",INDEX(原始資料!I$2:I$501,$BJ343)))</f>
        <v/>
      </c>
      <c r="H343" s="6">
        <f>IF(OR($BJ343="",7&gt;設定!$B$3),"",IF(INDEX(原始資料!J$2:J$501,$BJ343)="","",INDEX(原始資料!J$2:J$501,$BJ343)))</f>
        <v/>
      </c>
      <c r="I343" s="6">
        <f>IF(OR($BJ343="",8&gt;設定!$B$3),"",IF(INDEX(原始資料!K$2:K$501,$BJ343)="","",INDEX(原始資料!K$2:K$501,$BJ343)))</f>
        <v/>
      </c>
      <c r="J343" s="6">
        <f>IF(OR($BJ343="",9&gt;設定!$B$3),"",IF(INDEX(原始資料!L$2:L$501,$BJ343)="","",INDEX(原始資料!L$2:L$501,$BJ343)))</f>
        <v/>
      </c>
      <c r="K343" s="6">
        <f>IF(OR($BJ343="",10&gt;設定!$B$3),"",IF(INDEX(原始資料!M$2:M$501,$BJ343)="","",INDEX(原始資料!M$2:M$501,$BJ343)))</f>
        <v/>
      </c>
      <c r="L343" s="6">
        <f>IF(OR($BJ343="",11&gt;設定!$B$3),"",IF(INDEX(原始資料!N$2:N$501,$BJ343)="","",INDEX(原始資料!N$2:N$501,$BJ343)))</f>
        <v/>
      </c>
      <c r="M343" s="6">
        <f>IF(OR($BJ343="",12&gt;設定!$B$3),"",IF(INDEX(原始資料!O$2:O$501,$BJ343)="","",INDEX(原始資料!O$2:O$501,$BJ343)))</f>
        <v/>
      </c>
      <c r="N343" s="6">
        <f>IF(OR($BJ343="",13&gt;設定!$B$3),"",IF(INDEX(原始資料!P$2:P$501,$BJ343)="","",INDEX(原始資料!P$2:P$501,$BJ343)))</f>
        <v/>
      </c>
      <c r="O343" s="6">
        <f>IF(OR($BJ343="",14&gt;設定!$B$3),"",IF(INDEX(原始資料!Q$2:Q$501,$BJ343)="","",INDEX(原始資料!Q$2:Q$501,$BJ343)))</f>
        <v/>
      </c>
      <c r="P343" s="6">
        <f>IF(OR($BJ343="",15&gt;設定!$B$3),"",IF(INDEX(原始資料!R$2:R$501,$BJ343)="","",INDEX(原始資料!R$2:R$501,$BJ343)))</f>
        <v/>
      </c>
      <c r="Q343" s="6">
        <f>IF(OR($BJ343="",16&gt;設定!$B$3),"",IF(INDEX(原始資料!S$2:S$501,$BJ343)="","",INDEX(原始資料!S$2:S$501,$BJ343)))</f>
        <v/>
      </c>
      <c r="R343" s="6">
        <f>IF(OR($BJ343="",17&gt;設定!$B$3),"",IF(INDEX(原始資料!T$2:T$501,$BJ343)="","",INDEX(原始資料!T$2:T$501,$BJ343)))</f>
        <v/>
      </c>
      <c r="S343" s="6">
        <f>IF(OR($BJ343="",18&gt;設定!$B$3),"",IF(INDEX(原始資料!U$2:U$501,$BJ343)="","",INDEX(原始資料!U$2:U$501,$BJ343)))</f>
        <v/>
      </c>
      <c r="T343" s="6">
        <f>IF(OR($BJ343="",19&gt;設定!$B$3),"",IF(INDEX(原始資料!V$2:V$501,$BJ343)="","",INDEX(原始資料!V$2:V$501,$BJ343)))</f>
        <v/>
      </c>
      <c r="U343" s="6">
        <f>IF(OR($BJ343="",20&gt;設定!$B$3),"",IF(INDEX(原始資料!W$2:W$501,$BJ343)="","",INDEX(原始資料!W$2:W$501,$BJ343)))</f>
        <v/>
      </c>
      <c r="V343" s="6">
        <f>IF(OR($BJ343="",21&gt;設定!$B$3),"",IF(INDEX(原始資料!X$2:X$501,$BJ343)="","",INDEX(原始資料!X$2:X$501,$BJ343)))</f>
        <v/>
      </c>
      <c r="W343" s="6">
        <f>IF(OR($BJ343="",22&gt;設定!$B$3),"",IF(INDEX(原始資料!Y$2:Y$501,$BJ343)="","",INDEX(原始資料!Y$2:Y$501,$BJ343)))</f>
        <v/>
      </c>
      <c r="X343" s="6">
        <f>IF(OR($BJ343="",23&gt;設定!$B$3),"",IF(INDEX(原始資料!Z$2:Z$501,$BJ343)="","",INDEX(原始資料!Z$2:Z$501,$BJ343)))</f>
        <v/>
      </c>
      <c r="Y343" s="6">
        <f>IF(OR($BJ343="",24&gt;設定!$B$3),"",IF(INDEX(原始資料!AA$2:AA$501,$BJ343)="","",INDEX(原始資料!AA$2:AA$501,$BJ343)))</f>
        <v/>
      </c>
      <c r="Z343" s="6">
        <f>IF(OR($BJ343="",25&gt;設定!$B$3),"",IF(INDEX(原始資料!AB$2:AB$501,$BJ343)="","",INDEX(原始資料!AB$2:AB$501,$BJ343)))</f>
        <v/>
      </c>
      <c r="AA343" s="6">
        <f>IF(OR($BJ343="",26&gt;設定!$B$3),"",IF(INDEX(原始資料!AC$2:AC$501,$BJ343)="","",INDEX(原始資料!AC$2:AC$501,$BJ343)))</f>
        <v/>
      </c>
      <c r="AB343" s="6">
        <f>IF(OR($BJ343="",27&gt;設定!$B$3),"",IF(INDEX(原始資料!AD$2:AD$501,$BJ343)="","",INDEX(原始資料!AD$2:AD$501,$BJ343)))</f>
        <v/>
      </c>
      <c r="AC343" s="6">
        <f>IF(OR($BJ343="",28&gt;設定!$B$3),"",IF(INDEX(原始資料!AE$2:AE$501,$BJ343)="","",INDEX(原始資料!AE$2:AE$501,$BJ343)))</f>
        <v/>
      </c>
      <c r="AD343" s="6">
        <f>IF(OR($BJ343="",29&gt;設定!$B$3),"",IF(INDEX(原始資料!AF$2:AF$501,$BJ343)="","",INDEX(原始資料!AF$2:AF$501,$BJ343)))</f>
        <v/>
      </c>
      <c r="AE343" s="6">
        <f>IF(OR($BJ343="",30&gt;設定!$B$3),"",IF(INDEX(原始資料!AG$2:AG$501,$BJ343)="","",INDEX(原始資料!AG$2:AG$501,$BJ343)))</f>
        <v/>
      </c>
      <c r="AF343" s="6">
        <f>IF(OR($BJ343="",31&gt;設定!$B$3),"",IF(INDEX(原始資料!AH$2:AH$501,$BJ343)="","",INDEX(原始資料!AH$2:AH$501,$BJ343)))</f>
        <v/>
      </c>
      <c r="AG343" s="6">
        <f>IF(OR($BJ343="",32&gt;設定!$B$3),"",IF(INDEX(原始資料!AI$2:AI$501,$BJ343)="","",INDEX(原始資料!AI$2:AI$501,$BJ343)))</f>
        <v/>
      </c>
      <c r="AH343" s="6">
        <f>IF(OR($BJ343="",33&gt;設定!$B$3),"",IF(INDEX(原始資料!AJ$2:AJ$501,$BJ343)="","",INDEX(原始資料!AJ$2:AJ$501,$BJ343)))</f>
        <v/>
      </c>
      <c r="AI343" s="6">
        <f>IF(OR($BJ343="",34&gt;設定!$B$3),"",IF(INDEX(原始資料!AK$2:AK$501,$BJ343)="","",INDEX(原始資料!AK$2:AK$501,$BJ343)))</f>
        <v/>
      </c>
      <c r="AJ343" s="6">
        <f>IF(OR($BJ343="",35&gt;設定!$B$3),"",IF(INDEX(原始資料!AL$2:AL$501,$BJ343)="","",INDEX(原始資料!AL$2:AL$501,$BJ343)))</f>
        <v/>
      </c>
      <c r="AK343" s="6">
        <f>IF(OR($BJ343="",36&gt;設定!$B$3),"",IF(INDEX(原始資料!AM$2:AM$501,$BJ343)="","",INDEX(原始資料!AM$2:AM$501,$BJ343)))</f>
        <v/>
      </c>
      <c r="AL343" s="6">
        <f>IF(OR($BJ343="",37&gt;設定!$B$3),"",IF(INDEX(原始資料!AN$2:AN$501,$BJ343)="","",INDEX(原始資料!AN$2:AN$501,$BJ343)))</f>
        <v/>
      </c>
      <c r="AM343" s="6">
        <f>IF(OR($BJ343="",38&gt;設定!$B$3),"",IF(INDEX(原始資料!AO$2:AO$501,$BJ343)="","",INDEX(原始資料!AO$2:AO$501,$BJ343)))</f>
        <v/>
      </c>
      <c r="AN343" s="6">
        <f>IF(OR($BJ343="",39&gt;設定!$B$3),"",IF(INDEX(原始資料!AP$2:AP$501,$BJ343)="","",INDEX(原始資料!AP$2:AP$501,$BJ343)))</f>
        <v/>
      </c>
      <c r="AO343" s="6">
        <f>IF(OR($BJ343="",40&gt;設定!$B$3),"",IF(INDEX(原始資料!AQ$2:AQ$501,$BJ343)="","",INDEX(原始資料!AQ$2:AQ$501,$BJ343)))</f>
        <v/>
      </c>
      <c r="AP343" s="6">
        <f>IF(OR($BJ343="",41&gt;設定!$B$3),"",IF(INDEX(原始資料!AR$2:AR$501,$BJ343)="","",INDEX(原始資料!AR$2:AR$501,$BJ343)))</f>
        <v/>
      </c>
      <c r="AQ343" s="6">
        <f>IF(OR($BJ343="",42&gt;設定!$B$3),"",IF(INDEX(原始資料!AS$2:AS$501,$BJ343)="","",INDEX(原始資料!AS$2:AS$501,$BJ343)))</f>
        <v/>
      </c>
      <c r="AR343" s="6">
        <f>IF(OR($BJ343="",43&gt;設定!$B$3),"",IF(INDEX(原始資料!AT$2:AT$501,$BJ343)="","",INDEX(原始資料!AT$2:AT$501,$BJ343)))</f>
        <v/>
      </c>
      <c r="AS343" s="6">
        <f>IF(OR($BJ343="",44&gt;設定!$B$3),"",IF(INDEX(原始資料!AU$2:AU$501,$BJ343)="","",INDEX(原始資料!AU$2:AU$501,$BJ343)))</f>
        <v/>
      </c>
      <c r="AT343" s="6">
        <f>IF(OR($BJ343="",45&gt;設定!$B$3),"",IF(INDEX(原始資料!AV$2:AV$501,$BJ343)="","",INDEX(原始資料!AV$2:AV$501,$BJ343)))</f>
        <v/>
      </c>
      <c r="AU343" s="6">
        <f>IF(OR($BJ343="",46&gt;設定!$B$3),"",IF(INDEX(原始資料!AW$2:AW$501,$BJ343)="","",INDEX(原始資料!AW$2:AW$501,$BJ343)))</f>
        <v/>
      </c>
      <c r="AV343" s="6">
        <f>IF(OR($BJ343="",47&gt;設定!$B$3),"",IF(INDEX(原始資料!AX$2:AX$501,$BJ343)="","",INDEX(原始資料!AX$2:AX$501,$BJ343)))</f>
        <v/>
      </c>
      <c r="AW343" s="6">
        <f>IF(OR($BJ343="",48&gt;設定!$B$3),"",IF(INDEX(原始資料!AY$2:AY$501,$BJ343)="","",INDEX(原始資料!AY$2:AY$501,$BJ343)))</f>
        <v/>
      </c>
      <c r="AX343" s="6">
        <f>IF(OR($BJ343="",49&gt;設定!$B$3),"",IF(INDEX(原始資料!AZ$2:AZ$501,$BJ343)="","",INDEX(原始資料!AZ$2:AZ$501,$BJ343)))</f>
        <v/>
      </c>
      <c r="AY343" s="6">
        <f>IF(OR($BJ343="",50&gt;設定!$B$3),"",IF(INDEX(原始資料!BA$2:BA$501,$BJ343)="","",INDEX(原始資料!BA$2:BA$501,$BJ343)))</f>
        <v/>
      </c>
      <c r="AZ343" s="6">
        <f>IF(OR($BJ343="",51&gt;設定!$B$3),"",IF(INDEX(原始資料!BB$2:BB$501,$BJ343)="","",INDEX(原始資料!BB$2:BB$501,$BJ343)))</f>
        <v/>
      </c>
      <c r="BA343" s="6">
        <f>IF(OR($BJ343="",52&gt;設定!$B$3),"",IF(INDEX(原始資料!BC$2:BC$501,$BJ343)="","",INDEX(原始資料!BC$2:BC$501,$BJ343)))</f>
        <v/>
      </c>
      <c r="BB343" s="6">
        <f>IF(OR($BJ343="",53&gt;設定!$B$3),"",IF(INDEX(原始資料!BD$2:BD$501,$BJ343)="","",INDEX(原始資料!BD$2:BD$501,$BJ343)))</f>
        <v/>
      </c>
      <c r="BC343" s="6">
        <f>IF(OR($BJ343="",54&gt;設定!$B$3),"",IF(INDEX(原始資料!BE$2:BE$501,$BJ343)="","",INDEX(原始資料!BE$2:BE$501,$BJ343)))</f>
        <v/>
      </c>
      <c r="BD343" s="6">
        <f>IF(OR($BJ343="",55&gt;設定!$B$3),"",IF(INDEX(原始資料!BF$2:BF$501,$BJ343)="","",INDEX(原始資料!BF$2:BF$501,$BJ343)))</f>
        <v/>
      </c>
      <c r="BE343" s="6">
        <f>IF(OR($BJ343="",56&gt;設定!$B$3),"",IF(INDEX(原始資料!BG$2:BG$501,$BJ343)="","",INDEX(原始資料!BG$2:BG$501,$BJ343)))</f>
        <v/>
      </c>
      <c r="BF343" s="6">
        <f>IF(OR($BJ343="",57&gt;設定!$B$3),"",IF(INDEX(原始資料!BH$2:BH$501,$BJ343)="","",INDEX(原始資料!BH$2:BH$501,$BJ343)))</f>
        <v/>
      </c>
      <c r="BG343" s="6">
        <f>IF(OR($BJ343="",58&gt;設定!$B$3),"",IF(INDEX(原始資料!BI$2:BI$501,$BJ343)="","",INDEX(原始資料!BI$2:BI$501,$BJ343)))</f>
        <v/>
      </c>
      <c r="BH343" s="6">
        <f>IF(OR($BJ343="",59&gt;設定!$B$3),"",IF(INDEX(原始資料!BJ$2:BJ$501,$BJ343)="","",INDEX(原始資料!BJ$2:BJ$501,$BJ343)))</f>
        <v/>
      </c>
      <c r="BI343" s="6">
        <f>IF(OR($BJ343="",60&gt;設定!$B$3),"",IF(INDEX(原始資料!BK$2:BK$501,$BJ343)="","",INDEX(原始資料!BK$2:BK$501,$BJ343)))</f>
        <v/>
      </c>
      <c r="BJ343" s="6">
        <f>IFERROR(MATCH(ROW()-1,判定!$H$2:$H$501,0),"")</f>
        <v/>
      </c>
    </row>
    <row r="344">
      <c r="A344" s="6">
        <f>IF($BJ344="","",INDEX(原始資料!$A$2:$A$501,$BJ344))</f>
        <v/>
      </c>
      <c r="B344" s="6">
        <f>IF(OR($BJ344="",1&gt;設定!$B$3),"",IF(INDEX(原始資料!D$2:D$501,$BJ344)="","",INDEX(原始資料!D$2:D$501,$BJ344)))</f>
        <v/>
      </c>
      <c r="C344" s="6">
        <f>IF(OR($BJ344="",2&gt;設定!$B$3),"",IF(INDEX(原始資料!E$2:E$501,$BJ344)="","",INDEX(原始資料!E$2:E$501,$BJ344)))</f>
        <v/>
      </c>
      <c r="D344" s="6">
        <f>IF(OR($BJ344="",3&gt;設定!$B$3),"",IF(INDEX(原始資料!F$2:F$501,$BJ344)="","",INDEX(原始資料!F$2:F$501,$BJ344)))</f>
        <v/>
      </c>
      <c r="E344" s="6">
        <f>IF(OR($BJ344="",4&gt;設定!$B$3),"",IF(INDEX(原始資料!G$2:G$501,$BJ344)="","",INDEX(原始資料!G$2:G$501,$BJ344)))</f>
        <v/>
      </c>
      <c r="F344" s="6">
        <f>IF(OR($BJ344="",5&gt;設定!$B$3),"",IF(INDEX(原始資料!H$2:H$501,$BJ344)="","",INDEX(原始資料!H$2:H$501,$BJ344)))</f>
        <v/>
      </c>
      <c r="G344" s="6">
        <f>IF(OR($BJ344="",6&gt;設定!$B$3),"",IF(INDEX(原始資料!I$2:I$501,$BJ344)="","",INDEX(原始資料!I$2:I$501,$BJ344)))</f>
        <v/>
      </c>
      <c r="H344" s="6">
        <f>IF(OR($BJ344="",7&gt;設定!$B$3),"",IF(INDEX(原始資料!J$2:J$501,$BJ344)="","",INDEX(原始資料!J$2:J$501,$BJ344)))</f>
        <v/>
      </c>
      <c r="I344" s="6">
        <f>IF(OR($BJ344="",8&gt;設定!$B$3),"",IF(INDEX(原始資料!K$2:K$501,$BJ344)="","",INDEX(原始資料!K$2:K$501,$BJ344)))</f>
        <v/>
      </c>
      <c r="J344" s="6">
        <f>IF(OR($BJ344="",9&gt;設定!$B$3),"",IF(INDEX(原始資料!L$2:L$501,$BJ344)="","",INDEX(原始資料!L$2:L$501,$BJ344)))</f>
        <v/>
      </c>
      <c r="K344" s="6">
        <f>IF(OR($BJ344="",10&gt;設定!$B$3),"",IF(INDEX(原始資料!M$2:M$501,$BJ344)="","",INDEX(原始資料!M$2:M$501,$BJ344)))</f>
        <v/>
      </c>
      <c r="L344" s="6">
        <f>IF(OR($BJ344="",11&gt;設定!$B$3),"",IF(INDEX(原始資料!N$2:N$501,$BJ344)="","",INDEX(原始資料!N$2:N$501,$BJ344)))</f>
        <v/>
      </c>
      <c r="M344" s="6">
        <f>IF(OR($BJ344="",12&gt;設定!$B$3),"",IF(INDEX(原始資料!O$2:O$501,$BJ344)="","",INDEX(原始資料!O$2:O$501,$BJ344)))</f>
        <v/>
      </c>
      <c r="N344" s="6">
        <f>IF(OR($BJ344="",13&gt;設定!$B$3),"",IF(INDEX(原始資料!P$2:P$501,$BJ344)="","",INDEX(原始資料!P$2:P$501,$BJ344)))</f>
        <v/>
      </c>
      <c r="O344" s="6">
        <f>IF(OR($BJ344="",14&gt;設定!$B$3),"",IF(INDEX(原始資料!Q$2:Q$501,$BJ344)="","",INDEX(原始資料!Q$2:Q$501,$BJ344)))</f>
        <v/>
      </c>
      <c r="P344" s="6">
        <f>IF(OR($BJ344="",15&gt;設定!$B$3),"",IF(INDEX(原始資料!R$2:R$501,$BJ344)="","",INDEX(原始資料!R$2:R$501,$BJ344)))</f>
        <v/>
      </c>
      <c r="Q344" s="6">
        <f>IF(OR($BJ344="",16&gt;設定!$B$3),"",IF(INDEX(原始資料!S$2:S$501,$BJ344)="","",INDEX(原始資料!S$2:S$501,$BJ344)))</f>
        <v/>
      </c>
      <c r="R344" s="6">
        <f>IF(OR($BJ344="",17&gt;設定!$B$3),"",IF(INDEX(原始資料!T$2:T$501,$BJ344)="","",INDEX(原始資料!T$2:T$501,$BJ344)))</f>
        <v/>
      </c>
      <c r="S344" s="6">
        <f>IF(OR($BJ344="",18&gt;設定!$B$3),"",IF(INDEX(原始資料!U$2:U$501,$BJ344)="","",INDEX(原始資料!U$2:U$501,$BJ344)))</f>
        <v/>
      </c>
      <c r="T344" s="6">
        <f>IF(OR($BJ344="",19&gt;設定!$B$3),"",IF(INDEX(原始資料!V$2:V$501,$BJ344)="","",INDEX(原始資料!V$2:V$501,$BJ344)))</f>
        <v/>
      </c>
      <c r="U344" s="6">
        <f>IF(OR($BJ344="",20&gt;設定!$B$3),"",IF(INDEX(原始資料!W$2:W$501,$BJ344)="","",INDEX(原始資料!W$2:W$501,$BJ344)))</f>
        <v/>
      </c>
      <c r="V344" s="6">
        <f>IF(OR($BJ344="",21&gt;設定!$B$3),"",IF(INDEX(原始資料!X$2:X$501,$BJ344)="","",INDEX(原始資料!X$2:X$501,$BJ344)))</f>
        <v/>
      </c>
      <c r="W344" s="6">
        <f>IF(OR($BJ344="",22&gt;設定!$B$3),"",IF(INDEX(原始資料!Y$2:Y$501,$BJ344)="","",INDEX(原始資料!Y$2:Y$501,$BJ344)))</f>
        <v/>
      </c>
      <c r="X344" s="6">
        <f>IF(OR($BJ344="",23&gt;設定!$B$3),"",IF(INDEX(原始資料!Z$2:Z$501,$BJ344)="","",INDEX(原始資料!Z$2:Z$501,$BJ344)))</f>
        <v/>
      </c>
      <c r="Y344" s="6">
        <f>IF(OR($BJ344="",24&gt;設定!$B$3),"",IF(INDEX(原始資料!AA$2:AA$501,$BJ344)="","",INDEX(原始資料!AA$2:AA$501,$BJ344)))</f>
        <v/>
      </c>
      <c r="Z344" s="6">
        <f>IF(OR($BJ344="",25&gt;設定!$B$3),"",IF(INDEX(原始資料!AB$2:AB$501,$BJ344)="","",INDEX(原始資料!AB$2:AB$501,$BJ344)))</f>
        <v/>
      </c>
      <c r="AA344" s="6">
        <f>IF(OR($BJ344="",26&gt;設定!$B$3),"",IF(INDEX(原始資料!AC$2:AC$501,$BJ344)="","",INDEX(原始資料!AC$2:AC$501,$BJ344)))</f>
        <v/>
      </c>
      <c r="AB344" s="6">
        <f>IF(OR($BJ344="",27&gt;設定!$B$3),"",IF(INDEX(原始資料!AD$2:AD$501,$BJ344)="","",INDEX(原始資料!AD$2:AD$501,$BJ344)))</f>
        <v/>
      </c>
      <c r="AC344" s="6">
        <f>IF(OR($BJ344="",28&gt;設定!$B$3),"",IF(INDEX(原始資料!AE$2:AE$501,$BJ344)="","",INDEX(原始資料!AE$2:AE$501,$BJ344)))</f>
        <v/>
      </c>
      <c r="AD344" s="6">
        <f>IF(OR($BJ344="",29&gt;設定!$B$3),"",IF(INDEX(原始資料!AF$2:AF$501,$BJ344)="","",INDEX(原始資料!AF$2:AF$501,$BJ344)))</f>
        <v/>
      </c>
      <c r="AE344" s="6">
        <f>IF(OR($BJ344="",30&gt;設定!$B$3),"",IF(INDEX(原始資料!AG$2:AG$501,$BJ344)="","",INDEX(原始資料!AG$2:AG$501,$BJ344)))</f>
        <v/>
      </c>
      <c r="AF344" s="6">
        <f>IF(OR($BJ344="",31&gt;設定!$B$3),"",IF(INDEX(原始資料!AH$2:AH$501,$BJ344)="","",INDEX(原始資料!AH$2:AH$501,$BJ344)))</f>
        <v/>
      </c>
      <c r="AG344" s="6">
        <f>IF(OR($BJ344="",32&gt;設定!$B$3),"",IF(INDEX(原始資料!AI$2:AI$501,$BJ344)="","",INDEX(原始資料!AI$2:AI$501,$BJ344)))</f>
        <v/>
      </c>
      <c r="AH344" s="6">
        <f>IF(OR($BJ344="",33&gt;設定!$B$3),"",IF(INDEX(原始資料!AJ$2:AJ$501,$BJ344)="","",INDEX(原始資料!AJ$2:AJ$501,$BJ344)))</f>
        <v/>
      </c>
      <c r="AI344" s="6">
        <f>IF(OR($BJ344="",34&gt;設定!$B$3),"",IF(INDEX(原始資料!AK$2:AK$501,$BJ344)="","",INDEX(原始資料!AK$2:AK$501,$BJ344)))</f>
        <v/>
      </c>
      <c r="AJ344" s="6">
        <f>IF(OR($BJ344="",35&gt;設定!$B$3),"",IF(INDEX(原始資料!AL$2:AL$501,$BJ344)="","",INDEX(原始資料!AL$2:AL$501,$BJ344)))</f>
        <v/>
      </c>
      <c r="AK344" s="6">
        <f>IF(OR($BJ344="",36&gt;設定!$B$3),"",IF(INDEX(原始資料!AM$2:AM$501,$BJ344)="","",INDEX(原始資料!AM$2:AM$501,$BJ344)))</f>
        <v/>
      </c>
      <c r="AL344" s="6">
        <f>IF(OR($BJ344="",37&gt;設定!$B$3),"",IF(INDEX(原始資料!AN$2:AN$501,$BJ344)="","",INDEX(原始資料!AN$2:AN$501,$BJ344)))</f>
        <v/>
      </c>
      <c r="AM344" s="6">
        <f>IF(OR($BJ344="",38&gt;設定!$B$3),"",IF(INDEX(原始資料!AO$2:AO$501,$BJ344)="","",INDEX(原始資料!AO$2:AO$501,$BJ344)))</f>
        <v/>
      </c>
      <c r="AN344" s="6">
        <f>IF(OR($BJ344="",39&gt;設定!$B$3),"",IF(INDEX(原始資料!AP$2:AP$501,$BJ344)="","",INDEX(原始資料!AP$2:AP$501,$BJ344)))</f>
        <v/>
      </c>
      <c r="AO344" s="6">
        <f>IF(OR($BJ344="",40&gt;設定!$B$3),"",IF(INDEX(原始資料!AQ$2:AQ$501,$BJ344)="","",INDEX(原始資料!AQ$2:AQ$501,$BJ344)))</f>
        <v/>
      </c>
      <c r="AP344" s="6">
        <f>IF(OR($BJ344="",41&gt;設定!$B$3),"",IF(INDEX(原始資料!AR$2:AR$501,$BJ344)="","",INDEX(原始資料!AR$2:AR$501,$BJ344)))</f>
        <v/>
      </c>
      <c r="AQ344" s="6">
        <f>IF(OR($BJ344="",42&gt;設定!$B$3),"",IF(INDEX(原始資料!AS$2:AS$501,$BJ344)="","",INDEX(原始資料!AS$2:AS$501,$BJ344)))</f>
        <v/>
      </c>
      <c r="AR344" s="6">
        <f>IF(OR($BJ344="",43&gt;設定!$B$3),"",IF(INDEX(原始資料!AT$2:AT$501,$BJ344)="","",INDEX(原始資料!AT$2:AT$501,$BJ344)))</f>
        <v/>
      </c>
      <c r="AS344" s="6">
        <f>IF(OR($BJ344="",44&gt;設定!$B$3),"",IF(INDEX(原始資料!AU$2:AU$501,$BJ344)="","",INDEX(原始資料!AU$2:AU$501,$BJ344)))</f>
        <v/>
      </c>
      <c r="AT344" s="6">
        <f>IF(OR($BJ344="",45&gt;設定!$B$3),"",IF(INDEX(原始資料!AV$2:AV$501,$BJ344)="","",INDEX(原始資料!AV$2:AV$501,$BJ344)))</f>
        <v/>
      </c>
      <c r="AU344" s="6">
        <f>IF(OR($BJ344="",46&gt;設定!$B$3),"",IF(INDEX(原始資料!AW$2:AW$501,$BJ344)="","",INDEX(原始資料!AW$2:AW$501,$BJ344)))</f>
        <v/>
      </c>
      <c r="AV344" s="6">
        <f>IF(OR($BJ344="",47&gt;設定!$B$3),"",IF(INDEX(原始資料!AX$2:AX$501,$BJ344)="","",INDEX(原始資料!AX$2:AX$501,$BJ344)))</f>
        <v/>
      </c>
      <c r="AW344" s="6">
        <f>IF(OR($BJ344="",48&gt;設定!$B$3),"",IF(INDEX(原始資料!AY$2:AY$501,$BJ344)="","",INDEX(原始資料!AY$2:AY$501,$BJ344)))</f>
        <v/>
      </c>
      <c r="AX344" s="6">
        <f>IF(OR($BJ344="",49&gt;設定!$B$3),"",IF(INDEX(原始資料!AZ$2:AZ$501,$BJ344)="","",INDEX(原始資料!AZ$2:AZ$501,$BJ344)))</f>
        <v/>
      </c>
      <c r="AY344" s="6">
        <f>IF(OR($BJ344="",50&gt;設定!$B$3),"",IF(INDEX(原始資料!BA$2:BA$501,$BJ344)="","",INDEX(原始資料!BA$2:BA$501,$BJ344)))</f>
        <v/>
      </c>
      <c r="AZ344" s="6">
        <f>IF(OR($BJ344="",51&gt;設定!$B$3),"",IF(INDEX(原始資料!BB$2:BB$501,$BJ344)="","",INDEX(原始資料!BB$2:BB$501,$BJ344)))</f>
        <v/>
      </c>
      <c r="BA344" s="6">
        <f>IF(OR($BJ344="",52&gt;設定!$B$3),"",IF(INDEX(原始資料!BC$2:BC$501,$BJ344)="","",INDEX(原始資料!BC$2:BC$501,$BJ344)))</f>
        <v/>
      </c>
      <c r="BB344" s="6">
        <f>IF(OR($BJ344="",53&gt;設定!$B$3),"",IF(INDEX(原始資料!BD$2:BD$501,$BJ344)="","",INDEX(原始資料!BD$2:BD$501,$BJ344)))</f>
        <v/>
      </c>
      <c r="BC344" s="6">
        <f>IF(OR($BJ344="",54&gt;設定!$B$3),"",IF(INDEX(原始資料!BE$2:BE$501,$BJ344)="","",INDEX(原始資料!BE$2:BE$501,$BJ344)))</f>
        <v/>
      </c>
      <c r="BD344" s="6">
        <f>IF(OR($BJ344="",55&gt;設定!$B$3),"",IF(INDEX(原始資料!BF$2:BF$501,$BJ344)="","",INDEX(原始資料!BF$2:BF$501,$BJ344)))</f>
        <v/>
      </c>
      <c r="BE344" s="6">
        <f>IF(OR($BJ344="",56&gt;設定!$B$3),"",IF(INDEX(原始資料!BG$2:BG$501,$BJ344)="","",INDEX(原始資料!BG$2:BG$501,$BJ344)))</f>
        <v/>
      </c>
      <c r="BF344" s="6">
        <f>IF(OR($BJ344="",57&gt;設定!$B$3),"",IF(INDEX(原始資料!BH$2:BH$501,$BJ344)="","",INDEX(原始資料!BH$2:BH$501,$BJ344)))</f>
        <v/>
      </c>
      <c r="BG344" s="6">
        <f>IF(OR($BJ344="",58&gt;設定!$B$3),"",IF(INDEX(原始資料!BI$2:BI$501,$BJ344)="","",INDEX(原始資料!BI$2:BI$501,$BJ344)))</f>
        <v/>
      </c>
      <c r="BH344" s="6">
        <f>IF(OR($BJ344="",59&gt;設定!$B$3),"",IF(INDEX(原始資料!BJ$2:BJ$501,$BJ344)="","",INDEX(原始資料!BJ$2:BJ$501,$BJ344)))</f>
        <v/>
      </c>
      <c r="BI344" s="6">
        <f>IF(OR($BJ344="",60&gt;設定!$B$3),"",IF(INDEX(原始資料!BK$2:BK$501,$BJ344)="","",INDEX(原始資料!BK$2:BK$501,$BJ344)))</f>
        <v/>
      </c>
      <c r="BJ344" s="6">
        <f>IFERROR(MATCH(ROW()-1,判定!$H$2:$H$501,0),"")</f>
        <v/>
      </c>
    </row>
    <row r="345">
      <c r="A345" s="6">
        <f>IF($BJ345="","",INDEX(原始資料!$A$2:$A$501,$BJ345))</f>
        <v/>
      </c>
      <c r="B345" s="6">
        <f>IF(OR($BJ345="",1&gt;設定!$B$3),"",IF(INDEX(原始資料!D$2:D$501,$BJ345)="","",INDEX(原始資料!D$2:D$501,$BJ345)))</f>
        <v/>
      </c>
      <c r="C345" s="6">
        <f>IF(OR($BJ345="",2&gt;設定!$B$3),"",IF(INDEX(原始資料!E$2:E$501,$BJ345)="","",INDEX(原始資料!E$2:E$501,$BJ345)))</f>
        <v/>
      </c>
      <c r="D345" s="6">
        <f>IF(OR($BJ345="",3&gt;設定!$B$3),"",IF(INDEX(原始資料!F$2:F$501,$BJ345)="","",INDEX(原始資料!F$2:F$501,$BJ345)))</f>
        <v/>
      </c>
      <c r="E345" s="6">
        <f>IF(OR($BJ345="",4&gt;設定!$B$3),"",IF(INDEX(原始資料!G$2:G$501,$BJ345)="","",INDEX(原始資料!G$2:G$501,$BJ345)))</f>
        <v/>
      </c>
      <c r="F345" s="6">
        <f>IF(OR($BJ345="",5&gt;設定!$B$3),"",IF(INDEX(原始資料!H$2:H$501,$BJ345)="","",INDEX(原始資料!H$2:H$501,$BJ345)))</f>
        <v/>
      </c>
      <c r="G345" s="6">
        <f>IF(OR($BJ345="",6&gt;設定!$B$3),"",IF(INDEX(原始資料!I$2:I$501,$BJ345)="","",INDEX(原始資料!I$2:I$501,$BJ345)))</f>
        <v/>
      </c>
      <c r="H345" s="6">
        <f>IF(OR($BJ345="",7&gt;設定!$B$3),"",IF(INDEX(原始資料!J$2:J$501,$BJ345)="","",INDEX(原始資料!J$2:J$501,$BJ345)))</f>
        <v/>
      </c>
      <c r="I345" s="6">
        <f>IF(OR($BJ345="",8&gt;設定!$B$3),"",IF(INDEX(原始資料!K$2:K$501,$BJ345)="","",INDEX(原始資料!K$2:K$501,$BJ345)))</f>
        <v/>
      </c>
      <c r="J345" s="6">
        <f>IF(OR($BJ345="",9&gt;設定!$B$3),"",IF(INDEX(原始資料!L$2:L$501,$BJ345)="","",INDEX(原始資料!L$2:L$501,$BJ345)))</f>
        <v/>
      </c>
      <c r="K345" s="6">
        <f>IF(OR($BJ345="",10&gt;設定!$B$3),"",IF(INDEX(原始資料!M$2:M$501,$BJ345)="","",INDEX(原始資料!M$2:M$501,$BJ345)))</f>
        <v/>
      </c>
      <c r="L345" s="6">
        <f>IF(OR($BJ345="",11&gt;設定!$B$3),"",IF(INDEX(原始資料!N$2:N$501,$BJ345)="","",INDEX(原始資料!N$2:N$501,$BJ345)))</f>
        <v/>
      </c>
      <c r="M345" s="6">
        <f>IF(OR($BJ345="",12&gt;設定!$B$3),"",IF(INDEX(原始資料!O$2:O$501,$BJ345)="","",INDEX(原始資料!O$2:O$501,$BJ345)))</f>
        <v/>
      </c>
      <c r="N345" s="6">
        <f>IF(OR($BJ345="",13&gt;設定!$B$3),"",IF(INDEX(原始資料!P$2:P$501,$BJ345)="","",INDEX(原始資料!P$2:P$501,$BJ345)))</f>
        <v/>
      </c>
      <c r="O345" s="6">
        <f>IF(OR($BJ345="",14&gt;設定!$B$3),"",IF(INDEX(原始資料!Q$2:Q$501,$BJ345)="","",INDEX(原始資料!Q$2:Q$501,$BJ345)))</f>
        <v/>
      </c>
      <c r="P345" s="6">
        <f>IF(OR($BJ345="",15&gt;設定!$B$3),"",IF(INDEX(原始資料!R$2:R$501,$BJ345)="","",INDEX(原始資料!R$2:R$501,$BJ345)))</f>
        <v/>
      </c>
      <c r="Q345" s="6">
        <f>IF(OR($BJ345="",16&gt;設定!$B$3),"",IF(INDEX(原始資料!S$2:S$501,$BJ345)="","",INDEX(原始資料!S$2:S$501,$BJ345)))</f>
        <v/>
      </c>
      <c r="R345" s="6">
        <f>IF(OR($BJ345="",17&gt;設定!$B$3),"",IF(INDEX(原始資料!T$2:T$501,$BJ345)="","",INDEX(原始資料!T$2:T$501,$BJ345)))</f>
        <v/>
      </c>
      <c r="S345" s="6">
        <f>IF(OR($BJ345="",18&gt;設定!$B$3),"",IF(INDEX(原始資料!U$2:U$501,$BJ345)="","",INDEX(原始資料!U$2:U$501,$BJ345)))</f>
        <v/>
      </c>
      <c r="T345" s="6">
        <f>IF(OR($BJ345="",19&gt;設定!$B$3),"",IF(INDEX(原始資料!V$2:V$501,$BJ345)="","",INDEX(原始資料!V$2:V$501,$BJ345)))</f>
        <v/>
      </c>
      <c r="U345" s="6">
        <f>IF(OR($BJ345="",20&gt;設定!$B$3),"",IF(INDEX(原始資料!W$2:W$501,$BJ345)="","",INDEX(原始資料!W$2:W$501,$BJ345)))</f>
        <v/>
      </c>
      <c r="V345" s="6">
        <f>IF(OR($BJ345="",21&gt;設定!$B$3),"",IF(INDEX(原始資料!X$2:X$501,$BJ345)="","",INDEX(原始資料!X$2:X$501,$BJ345)))</f>
        <v/>
      </c>
      <c r="W345" s="6">
        <f>IF(OR($BJ345="",22&gt;設定!$B$3),"",IF(INDEX(原始資料!Y$2:Y$501,$BJ345)="","",INDEX(原始資料!Y$2:Y$501,$BJ345)))</f>
        <v/>
      </c>
      <c r="X345" s="6">
        <f>IF(OR($BJ345="",23&gt;設定!$B$3),"",IF(INDEX(原始資料!Z$2:Z$501,$BJ345)="","",INDEX(原始資料!Z$2:Z$501,$BJ345)))</f>
        <v/>
      </c>
      <c r="Y345" s="6">
        <f>IF(OR($BJ345="",24&gt;設定!$B$3),"",IF(INDEX(原始資料!AA$2:AA$501,$BJ345)="","",INDEX(原始資料!AA$2:AA$501,$BJ345)))</f>
        <v/>
      </c>
      <c r="Z345" s="6">
        <f>IF(OR($BJ345="",25&gt;設定!$B$3),"",IF(INDEX(原始資料!AB$2:AB$501,$BJ345)="","",INDEX(原始資料!AB$2:AB$501,$BJ345)))</f>
        <v/>
      </c>
      <c r="AA345" s="6">
        <f>IF(OR($BJ345="",26&gt;設定!$B$3),"",IF(INDEX(原始資料!AC$2:AC$501,$BJ345)="","",INDEX(原始資料!AC$2:AC$501,$BJ345)))</f>
        <v/>
      </c>
      <c r="AB345" s="6">
        <f>IF(OR($BJ345="",27&gt;設定!$B$3),"",IF(INDEX(原始資料!AD$2:AD$501,$BJ345)="","",INDEX(原始資料!AD$2:AD$501,$BJ345)))</f>
        <v/>
      </c>
      <c r="AC345" s="6">
        <f>IF(OR($BJ345="",28&gt;設定!$B$3),"",IF(INDEX(原始資料!AE$2:AE$501,$BJ345)="","",INDEX(原始資料!AE$2:AE$501,$BJ345)))</f>
        <v/>
      </c>
      <c r="AD345" s="6">
        <f>IF(OR($BJ345="",29&gt;設定!$B$3),"",IF(INDEX(原始資料!AF$2:AF$501,$BJ345)="","",INDEX(原始資料!AF$2:AF$501,$BJ345)))</f>
        <v/>
      </c>
      <c r="AE345" s="6">
        <f>IF(OR($BJ345="",30&gt;設定!$B$3),"",IF(INDEX(原始資料!AG$2:AG$501,$BJ345)="","",INDEX(原始資料!AG$2:AG$501,$BJ345)))</f>
        <v/>
      </c>
      <c r="AF345" s="6">
        <f>IF(OR($BJ345="",31&gt;設定!$B$3),"",IF(INDEX(原始資料!AH$2:AH$501,$BJ345)="","",INDEX(原始資料!AH$2:AH$501,$BJ345)))</f>
        <v/>
      </c>
      <c r="AG345" s="6">
        <f>IF(OR($BJ345="",32&gt;設定!$B$3),"",IF(INDEX(原始資料!AI$2:AI$501,$BJ345)="","",INDEX(原始資料!AI$2:AI$501,$BJ345)))</f>
        <v/>
      </c>
      <c r="AH345" s="6">
        <f>IF(OR($BJ345="",33&gt;設定!$B$3),"",IF(INDEX(原始資料!AJ$2:AJ$501,$BJ345)="","",INDEX(原始資料!AJ$2:AJ$501,$BJ345)))</f>
        <v/>
      </c>
      <c r="AI345" s="6">
        <f>IF(OR($BJ345="",34&gt;設定!$B$3),"",IF(INDEX(原始資料!AK$2:AK$501,$BJ345)="","",INDEX(原始資料!AK$2:AK$501,$BJ345)))</f>
        <v/>
      </c>
      <c r="AJ345" s="6">
        <f>IF(OR($BJ345="",35&gt;設定!$B$3),"",IF(INDEX(原始資料!AL$2:AL$501,$BJ345)="","",INDEX(原始資料!AL$2:AL$501,$BJ345)))</f>
        <v/>
      </c>
      <c r="AK345" s="6">
        <f>IF(OR($BJ345="",36&gt;設定!$B$3),"",IF(INDEX(原始資料!AM$2:AM$501,$BJ345)="","",INDEX(原始資料!AM$2:AM$501,$BJ345)))</f>
        <v/>
      </c>
      <c r="AL345" s="6">
        <f>IF(OR($BJ345="",37&gt;設定!$B$3),"",IF(INDEX(原始資料!AN$2:AN$501,$BJ345)="","",INDEX(原始資料!AN$2:AN$501,$BJ345)))</f>
        <v/>
      </c>
      <c r="AM345" s="6">
        <f>IF(OR($BJ345="",38&gt;設定!$B$3),"",IF(INDEX(原始資料!AO$2:AO$501,$BJ345)="","",INDEX(原始資料!AO$2:AO$501,$BJ345)))</f>
        <v/>
      </c>
      <c r="AN345" s="6">
        <f>IF(OR($BJ345="",39&gt;設定!$B$3),"",IF(INDEX(原始資料!AP$2:AP$501,$BJ345)="","",INDEX(原始資料!AP$2:AP$501,$BJ345)))</f>
        <v/>
      </c>
      <c r="AO345" s="6">
        <f>IF(OR($BJ345="",40&gt;設定!$B$3),"",IF(INDEX(原始資料!AQ$2:AQ$501,$BJ345)="","",INDEX(原始資料!AQ$2:AQ$501,$BJ345)))</f>
        <v/>
      </c>
      <c r="AP345" s="6">
        <f>IF(OR($BJ345="",41&gt;設定!$B$3),"",IF(INDEX(原始資料!AR$2:AR$501,$BJ345)="","",INDEX(原始資料!AR$2:AR$501,$BJ345)))</f>
        <v/>
      </c>
      <c r="AQ345" s="6">
        <f>IF(OR($BJ345="",42&gt;設定!$B$3),"",IF(INDEX(原始資料!AS$2:AS$501,$BJ345)="","",INDEX(原始資料!AS$2:AS$501,$BJ345)))</f>
        <v/>
      </c>
      <c r="AR345" s="6">
        <f>IF(OR($BJ345="",43&gt;設定!$B$3),"",IF(INDEX(原始資料!AT$2:AT$501,$BJ345)="","",INDEX(原始資料!AT$2:AT$501,$BJ345)))</f>
        <v/>
      </c>
      <c r="AS345" s="6">
        <f>IF(OR($BJ345="",44&gt;設定!$B$3),"",IF(INDEX(原始資料!AU$2:AU$501,$BJ345)="","",INDEX(原始資料!AU$2:AU$501,$BJ345)))</f>
        <v/>
      </c>
      <c r="AT345" s="6">
        <f>IF(OR($BJ345="",45&gt;設定!$B$3),"",IF(INDEX(原始資料!AV$2:AV$501,$BJ345)="","",INDEX(原始資料!AV$2:AV$501,$BJ345)))</f>
        <v/>
      </c>
      <c r="AU345" s="6">
        <f>IF(OR($BJ345="",46&gt;設定!$B$3),"",IF(INDEX(原始資料!AW$2:AW$501,$BJ345)="","",INDEX(原始資料!AW$2:AW$501,$BJ345)))</f>
        <v/>
      </c>
      <c r="AV345" s="6">
        <f>IF(OR($BJ345="",47&gt;設定!$B$3),"",IF(INDEX(原始資料!AX$2:AX$501,$BJ345)="","",INDEX(原始資料!AX$2:AX$501,$BJ345)))</f>
        <v/>
      </c>
      <c r="AW345" s="6">
        <f>IF(OR($BJ345="",48&gt;設定!$B$3),"",IF(INDEX(原始資料!AY$2:AY$501,$BJ345)="","",INDEX(原始資料!AY$2:AY$501,$BJ345)))</f>
        <v/>
      </c>
      <c r="AX345" s="6">
        <f>IF(OR($BJ345="",49&gt;設定!$B$3),"",IF(INDEX(原始資料!AZ$2:AZ$501,$BJ345)="","",INDEX(原始資料!AZ$2:AZ$501,$BJ345)))</f>
        <v/>
      </c>
      <c r="AY345" s="6">
        <f>IF(OR($BJ345="",50&gt;設定!$B$3),"",IF(INDEX(原始資料!BA$2:BA$501,$BJ345)="","",INDEX(原始資料!BA$2:BA$501,$BJ345)))</f>
        <v/>
      </c>
      <c r="AZ345" s="6">
        <f>IF(OR($BJ345="",51&gt;設定!$B$3),"",IF(INDEX(原始資料!BB$2:BB$501,$BJ345)="","",INDEX(原始資料!BB$2:BB$501,$BJ345)))</f>
        <v/>
      </c>
      <c r="BA345" s="6">
        <f>IF(OR($BJ345="",52&gt;設定!$B$3),"",IF(INDEX(原始資料!BC$2:BC$501,$BJ345)="","",INDEX(原始資料!BC$2:BC$501,$BJ345)))</f>
        <v/>
      </c>
      <c r="BB345" s="6">
        <f>IF(OR($BJ345="",53&gt;設定!$B$3),"",IF(INDEX(原始資料!BD$2:BD$501,$BJ345)="","",INDEX(原始資料!BD$2:BD$501,$BJ345)))</f>
        <v/>
      </c>
      <c r="BC345" s="6">
        <f>IF(OR($BJ345="",54&gt;設定!$B$3),"",IF(INDEX(原始資料!BE$2:BE$501,$BJ345)="","",INDEX(原始資料!BE$2:BE$501,$BJ345)))</f>
        <v/>
      </c>
      <c r="BD345" s="6">
        <f>IF(OR($BJ345="",55&gt;設定!$B$3),"",IF(INDEX(原始資料!BF$2:BF$501,$BJ345)="","",INDEX(原始資料!BF$2:BF$501,$BJ345)))</f>
        <v/>
      </c>
      <c r="BE345" s="6">
        <f>IF(OR($BJ345="",56&gt;設定!$B$3),"",IF(INDEX(原始資料!BG$2:BG$501,$BJ345)="","",INDEX(原始資料!BG$2:BG$501,$BJ345)))</f>
        <v/>
      </c>
      <c r="BF345" s="6">
        <f>IF(OR($BJ345="",57&gt;設定!$B$3),"",IF(INDEX(原始資料!BH$2:BH$501,$BJ345)="","",INDEX(原始資料!BH$2:BH$501,$BJ345)))</f>
        <v/>
      </c>
      <c r="BG345" s="6">
        <f>IF(OR($BJ345="",58&gt;設定!$B$3),"",IF(INDEX(原始資料!BI$2:BI$501,$BJ345)="","",INDEX(原始資料!BI$2:BI$501,$BJ345)))</f>
        <v/>
      </c>
      <c r="BH345" s="6">
        <f>IF(OR($BJ345="",59&gt;設定!$B$3),"",IF(INDEX(原始資料!BJ$2:BJ$501,$BJ345)="","",INDEX(原始資料!BJ$2:BJ$501,$BJ345)))</f>
        <v/>
      </c>
      <c r="BI345" s="6">
        <f>IF(OR($BJ345="",60&gt;設定!$B$3),"",IF(INDEX(原始資料!BK$2:BK$501,$BJ345)="","",INDEX(原始資料!BK$2:BK$501,$BJ345)))</f>
        <v/>
      </c>
      <c r="BJ345" s="6">
        <f>IFERROR(MATCH(ROW()-1,判定!$H$2:$H$501,0),"")</f>
        <v/>
      </c>
    </row>
    <row r="346">
      <c r="A346" s="6">
        <f>IF($BJ346="","",INDEX(原始資料!$A$2:$A$501,$BJ346))</f>
        <v/>
      </c>
      <c r="B346" s="6">
        <f>IF(OR($BJ346="",1&gt;設定!$B$3),"",IF(INDEX(原始資料!D$2:D$501,$BJ346)="","",INDEX(原始資料!D$2:D$501,$BJ346)))</f>
        <v/>
      </c>
      <c r="C346" s="6">
        <f>IF(OR($BJ346="",2&gt;設定!$B$3),"",IF(INDEX(原始資料!E$2:E$501,$BJ346)="","",INDEX(原始資料!E$2:E$501,$BJ346)))</f>
        <v/>
      </c>
      <c r="D346" s="6">
        <f>IF(OR($BJ346="",3&gt;設定!$B$3),"",IF(INDEX(原始資料!F$2:F$501,$BJ346)="","",INDEX(原始資料!F$2:F$501,$BJ346)))</f>
        <v/>
      </c>
      <c r="E346" s="6">
        <f>IF(OR($BJ346="",4&gt;設定!$B$3),"",IF(INDEX(原始資料!G$2:G$501,$BJ346)="","",INDEX(原始資料!G$2:G$501,$BJ346)))</f>
        <v/>
      </c>
      <c r="F346" s="6">
        <f>IF(OR($BJ346="",5&gt;設定!$B$3),"",IF(INDEX(原始資料!H$2:H$501,$BJ346)="","",INDEX(原始資料!H$2:H$501,$BJ346)))</f>
        <v/>
      </c>
      <c r="G346" s="6">
        <f>IF(OR($BJ346="",6&gt;設定!$B$3),"",IF(INDEX(原始資料!I$2:I$501,$BJ346)="","",INDEX(原始資料!I$2:I$501,$BJ346)))</f>
        <v/>
      </c>
      <c r="H346" s="6">
        <f>IF(OR($BJ346="",7&gt;設定!$B$3),"",IF(INDEX(原始資料!J$2:J$501,$BJ346)="","",INDEX(原始資料!J$2:J$501,$BJ346)))</f>
        <v/>
      </c>
      <c r="I346" s="6">
        <f>IF(OR($BJ346="",8&gt;設定!$B$3),"",IF(INDEX(原始資料!K$2:K$501,$BJ346)="","",INDEX(原始資料!K$2:K$501,$BJ346)))</f>
        <v/>
      </c>
      <c r="J346" s="6">
        <f>IF(OR($BJ346="",9&gt;設定!$B$3),"",IF(INDEX(原始資料!L$2:L$501,$BJ346)="","",INDEX(原始資料!L$2:L$501,$BJ346)))</f>
        <v/>
      </c>
      <c r="K346" s="6">
        <f>IF(OR($BJ346="",10&gt;設定!$B$3),"",IF(INDEX(原始資料!M$2:M$501,$BJ346)="","",INDEX(原始資料!M$2:M$501,$BJ346)))</f>
        <v/>
      </c>
      <c r="L346" s="6">
        <f>IF(OR($BJ346="",11&gt;設定!$B$3),"",IF(INDEX(原始資料!N$2:N$501,$BJ346)="","",INDEX(原始資料!N$2:N$501,$BJ346)))</f>
        <v/>
      </c>
      <c r="M346" s="6">
        <f>IF(OR($BJ346="",12&gt;設定!$B$3),"",IF(INDEX(原始資料!O$2:O$501,$BJ346)="","",INDEX(原始資料!O$2:O$501,$BJ346)))</f>
        <v/>
      </c>
      <c r="N346" s="6">
        <f>IF(OR($BJ346="",13&gt;設定!$B$3),"",IF(INDEX(原始資料!P$2:P$501,$BJ346)="","",INDEX(原始資料!P$2:P$501,$BJ346)))</f>
        <v/>
      </c>
      <c r="O346" s="6">
        <f>IF(OR($BJ346="",14&gt;設定!$B$3),"",IF(INDEX(原始資料!Q$2:Q$501,$BJ346)="","",INDEX(原始資料!Q$2:Q$501,$BJ346)))</f>
        <v/>
      </c>
      <c r="P346" s="6">
        <f>IF(OR($BJ346="",15&gt;設定!$B$3),"",IF(INDEX(原始資料!R$2:R$501,$BJ346)="","",INDEX(原始資料!R$2:R$501,$BJ346)))</f>
        <v/>
      </c>
      <c r="Q346" s="6">
        <f>IF(OR($BJ346="",16&gt;設定!$B$3),"",IF(INDEX(原始資料!S$2:S$501,$BJ346)="","",INDEX(原始資料!S$2:S$501,$BJ346)))</f>
        <v/>
      </c>
      <c r="R346" s="6">
        <f>IF(OR($BJ346="",17&gt;設定!$B$3),"",IF(INDEX(原始資料!T$2:T$501,$BJ346)="","",INDEX(原始資料!T$2:T$501,$BJ346)))</f>
        <v/>
      </c>
      <c r="S346" s="6">
        <f>IF(OR($BJ346="",18&gt;設定!$B$3),"",IF(INDEX(原始資料!U$2:U$501,$BJ346)="","",INDEX(原始資料!U$2:U$501,$BJ346)))</f>
        <v/>
      </c>
      <c r="T346" s="6">
        <f>IF(OR($BJ346="",19&gt;設定!$B$3),"",IF(INDEX(原始資料!V$2:V$501,$BJ346)="","",INDEX(原始資料!V$2:V$501,$BJ346)))</f>
        <v/>
      </c>
      <c r="U346" s="6">
        <f>IF(OR($BJ346="",20&gt;設定!$B$3),"",IF(INDEX(原始資料!W$2:W$501,$BJ346)="","",INDEX(原始資料!W$2:W$501,$BJ346)))</f>
        <v/>
      </c>
      <c r="V346" s="6">
        <f>IF(OR($BJ346="",21&gt;設定!$B$3),"",IF(INDEX(原始資料!X$2:X$501,$BJ346)="","",INDEX(原始資料!X$2:X$501,$BJ346)))</f>
        <v/>
      </c>
      <c r="W346" s="6">
        <f>IF(OR($BJ346="",22&gt;設定!$B$3),"",IF(INDEX(原始資料!Y$2:Y$501,$BJ346)="","",INDEX(原始資料!Y$2:Y$501,$BJ346)))</f>
        <v/>
      </c>
      <c r="X346" s="6">
        <f>IF(OR($BJ346="",23&gt;設定!$B$3),"",IF(INDEX(原始資料!Z$2:Z$501,$BJ346)="","",INDEX(原始資料!Z$2:Z$501,$BJ346)))</f>
        <v/>
      </c>
      <c r="Y346" s="6">
        <f>IF(OR($BJ346="",24&gt;設定!$B$3),"",IF(INDEX(原始資料!AA$2:AA$501,$BJ346)="","",INDEX(原始資料!AA$2:AA$501,$BJ346)))</f>
        <v/>
      </c>
      <c r="Z346" s="6">
        <f>IF(OR($BJ346="",25&gt;設定!$B$3),"",IF(INDEX(原始資料!AB$2:AB$501,$BJ346)="","",INDEX(原始資料!AB$2:AB$501,$BJ346)))</f>
        <v/>
      </c>
      <c r="AA346" s="6">
        <f>IF(OR($BJ346="",26&gt;設定!$B$3),"",IF(INDEX(原始資料!AC$2:AC$501,$BJ346)="","",INDEX(原始資料!AC$2:AC$501,$BJ346)))</f>
        <v/>
      </c>
      <c r="AB346" s="6">
        <f>IF(OR($BJ346="",27&gt;設定!$B$3),"",IF(INDEX(原始資料!AD$2:AD$501,$BJ346)="","",INDEX(原始資料!AD$2:AD$501,$BJ346)))</f>
        <v/>
      </c>
      <c r="AC346" s="6">
        <f>IF(OR($BJ346="",28&gt;設定!$B$3),"",IF(INDEX(原始資料!AE$2:AE$501,$BJ346)="","",INDEX(原始資料!AE$2:AE$501,$BJ346)))</f>
        <v/>
      </c>
      <c r="AD346" s="6">
        <f>IF(OR($BJ346="",29&gt;設定!$B$3),"",IF(INDEX(原始資料!AF$2:AF$501,$BJ346)="","",INDEX(原始資料!AF$2:AF$501,$BJ346)))</f>
        <v/>
      </c>
      <c r="AE346" s="6">
        <f>IF(OR($BJ346="",30&gt;設定!$B$3),"",IF(INDEX(原始資料!AG$2:AG$501,$BJ346)="","",INDEX(原始資料!AG$2:AG$501,$BJ346)))</f>
        <v/>
      </c>
      <c r="AF346" s="6">
        <f>IF(OR($BJ346="",31&gt;設定!$B$3),"",IF(INDEX(原始資料!AH$2:AH$501,$BJ346)="","",INDEX(原始資料!AH$2:AH$501,$BJ346)))</f>
        <v/>
      </c>
      <c r="AG346" s="6">
        <f>IF(OR($BJ346="",32&gt;設定!$B$3),"",IF(INDEX(原始資料!AI$2:AI$501,$BJ346)="","",INDEX(原始資料!AI$2:AI$501,$BJ346)))</f>
        <v/>
      </c>
      <c r="AH346" s="6">
        <f>IF(OR($BJ346="",33&gt;設定!$B$3),"",IF(INDEX(原始資料!AJ$2:AJ$501,$BJ346)="","",INDEX(原始資料!AJ$2:AJ$501,$BJ346)))</f>
        <v/>
      </c>
      <c r="AI346" s="6">
        <f>IF(OR($BJ346="",34&gt;設定!$B$3),"",IF(INDEX(原始資料!AK$2:AK$501,$BJ346)="","",INDEX(原始資料!AK$2:AK$501,$BJ346)))</f>
        <v/>
      </c>
      <c r="AJ346" s="6">
        <f>IF(OR($BJ346="",35&gt;設定!$B$3),"",IF(INDEX(原始資料!AL$2:AL$501,$BJ346)="","",INDEX(原始資料!AL$2:AL$501,$BJ346)))</f>
        <v/>
      </c>
      <c r="AK346" s="6">
        <f>IF(OR($BJ346="",36&gt;設定!$B$3),"",IF(INDEX(原始資料!AM$2:AM$501,$BJ346)="","",INDEX(原始資料!AM$2:AM$501,$BJ346)))</f>
        <v/>
      </c>
      <c r="AL346" s="6">
        <f>IF(OR($BJ346="",37&gt;設定!$B$3),"",IF(INDEX(原始資料!AN$2:AN$501,$BJ346)="","",INDEX(原始資料!AN$2:AN$501,$BJ346)))</f>
        <v/>
      </c>
      <c r="AM346" s="6">
        <f>IF(OR($BJ346="",38&gt;設定!$B$3),"",IF(INDEX(原始資料!AO$2:AO$501,$BJ346)="","",INDEX(原始資料!AO$2:AO$501,$BJ346)))</f>
        <v/>
      </c>
      <c r="AN346" s="6">
        <f>IF(OR($BJ346="",39&gt;設定!$B$3),"",IF(INDEX(原始資料!AP$2:AP$501,$BJ346)="","",INDEX(原始資料!AP$2:AP$501,$BJ346)))</f>
        <v/>
      </c>
      <c r="AO346" s="6">
        <f>IF(OR($BJ346="",40&gt;設定!$B$3),"",IF(INDEX(原始資料!AQ$2:AQ$501,$BJ346)="","",INDEX(原始資料!AQ$2:AQ$501,$BJ346)))</f>
        <v/>
      </c>
      <c r="AP346" s="6">
        <f>IF(OR($BJ346="",41&gt;設定!$B$3),"",IF(INDEX(原始資料!AR$2:AR$501,$BJ346)="","",INDEX(原始資料!AR$2:AR$501,$BJ346)))</f>
        <v/>
      </c>
      <c r="AQ346" s="6">
        <f>IF(OR($BJ346="",42&gt;設定!$B$3),"",IF(INDEX(原始資料!AS$2:AS$501,$BJ346)="","",INDEX(原始資料!AS$2:AS$501,$BJ346)))</f>
        <v/>
      </c>
      <c r="AR346" s="6">
        <f>IF(OR($BJ346="",43&gt;設定!$B$3),"",IF(INDEX(原始資料!AT$2:AT$501,$BJ346)="","",INDEX(原始資料!AT$2:AT$501,$BJ346)))</f>
        <v/>
      </c>
      <c r="AS346" s="6">
        <f>IF(OR($BJ346="",44&gt;設定!$B$3),"",IF(INDEX(原始資料!AU$2:AU$501,$BJ346)="","",INDEX(原始資料!AU$2:AU$501,$BJ346)))</f>
        <v/>
      </c>
      <c r="AT346" s="6">
        <f>IF(OR($BJ346="",45&gt;設定!$B$3),"",IF(INDEX(原始資料!AV$2:AV$501,$BJ346)="","",INDEX(原始資料!AV$2:AV$501,$BJ346)))</f>
        <v/>
      </c>
      <c r="AU346" s="6">
        <f>IF(OR($BJ346="",46&gt;設定!$B$3),"",IF(INDEX(原始資料!AW$2:AW$501,$BJ346)="","",INDEX(原始資料!AW$2:AW$501,$BJ346)))</f>
        <v/>
      </c>
      <c r="AV346" s="6">
        <f>IF(OR($BJ346="",47&gt;設定!$B$3),"",IF(INDEX(原始資料!AX$2:AX$501,$BJ346)="","",INDEX(原始資料!AX$2:AX$501,$BJ346)))</f>
        <v/>
      </c>
      <c r="AW346" s="6">
        <f>IF(OR($BJ346="",48&gt;設定!$B$3),"",IF(INDEX(原始資料!AY$2:AY$501,$BJ346)="","",INDEX(原始資料!AY$2:AY$501,$BJ346)))</f>
        <v/>
      </c>
      <c r="AX346" s="6">
        <f>IF(OR($BJ346="",49&gt;設定!$B$3),"",IF(INDEX(原始資料!AZ$2:AZ$501,$BJ346)="","",INDEX(原始資料!AZ$2:AZ$501,$BJ346)))</f>
        <v/>
      </c>
      <c r="AY346" s="6">
        <f>IF(OR($BJ346="",50&gt;設定!$B$3),"",IF(INDEX(原始資料!BA$2:BA$501,$BJ346)="","",INDEX(原始資料!BA$2:BA$501,$BJ346)))</f>
        <v/>
      </c>
      <c r="AZ346" s="6">
        <f>IF(OR($BJ346="",51&gt;設定!$B$3),"",IF(INDEX(原始資料!BB$2:BB$501,$BJ346)="","",INDEX(原始資料!BB$2:BB$501,$BJ346)))</f>
        <v/>
      </c>
      <c r="BA346" s="6">
        <f>IF(OR($BJ346="",52&gt;設定!$B$3),"",IF(INDEX(原始資料!BC$2:BC$501,$BJ346)="","",INDEX(原始資料!BC$2:BC$501,$BJ346)))</f>
        <v/>
      </c>
      <c r="BB346" s="6">
        <f>IF(OR($BJ346="",53&gt;設定!$B$3),"",IF(INDEX(原始資料!BD$2:BD$501,$BJ346)="","",INDEX(原始資料!BD$2:BD$501,$BJ346)))</f>
        <v/>
      </c>
      <c r="BC346" s="6">
        <f>IF(OR($BJ346="",54&gt;設定!$B$3),"",IF(INDEX(原始資料!BE$2:BE$501,$BJ346)="","",INDEX(原始資料!BE$2:BE$501,$BJ346)))</f>
        <v/>
      </c>
      <c r="BD346" s="6">
        <f>IF(OR($BJ346="",55&gt;設定!$B$3),"",IF(INDEX(原始資料!BF$2:BF$501,$BJ346)="","",INDEX(原始資料!BF$2:BF$501,$BJ346)))</f>
        <v/>
      </c>
      <c r="BE346" s="6">
        <f>IF(OR($BJ346="",56&gt;設定!$B$3),"",IF(INDEX(原始資料!BG$2:BG$501,$BJ346)="","",INDEX(原始資料!BG$2:BG$501,$BJ346)))</f>
        <v/>
      </c>
      <c r="BF346" s="6">
        <f>IF(OR($BJ346="",57&gt;設定!$B$3),"",IF(INDEX(原始資料!BH$2:BH$501,$BJ346)="","",INDEX(原始資料!BH$2:BH$501,$BJ346)))</f>
        <v/>
      </c>
      <c r="BG346" s="6">
        <f>IF(OR($BJ346="",58&gt;設定!$B$3),"",IF(INDEX(原始資料!BI$2:BI$501,$BJ346)="","",INDEX(原始資料!BI$2:BI$501,$BJ346)))</f>
        <v/>
      </c>
      <c r="BH346" s="6">
        <f>IF(OR($BJ346="",59&gt;設定!$B$3),"",IF(INDEX(原始資料!BJ$2:BJ$501,$BJ346)="","",INDEX(原始資料!BJ$2:BJ$501,$BJ346)))</f>
        <v/>
      </c>
      <c r="BI346" s="6">
        <f>IF(OR($BJ346="",60&gt;設定!$B$3),"",IF(INDEX(原始資料!BK$2:BK$501,$BJ346)="","",INDEX(原始資料!BK$2:BK$501,$BJ346)))</f>
        <v/>
      </c>
      <c r="BJ346" s="6">
        <f>IFERROR(MATCH(ROW()-1,判定!$H$2:$H$501,0),"")</f>
        <v/>
      </c>
    </row>
    <row r="347">
      <c r="A347" s="6">
        <f>IF($BJ347="","",INDEX(原始資料!$A$2:$A$501,$BJ347))</f>
        <v/>
      </c>
      <c r="B347" s="6">
        <f>IF(OR($BJ347="",1&gt;設定!$B$3),"",IF(INDEX(原始資料!D$2:D$501,$BJ347)="","",INDEX(原始資料!D$2:D$501,$BJ347)))</f>
        <v/>
      </c>
      <c r="C347" s="6">
        <f>IF(OR($BJ347="",2&gt;設定!$B$3),"",IF(INDEX(原始資料!E$2:E$501,$BJ347)="","",INDEX(原始資料!E$2:E$501,$BJ347)))</f>
        <v/>
      </c>
      <c r="D347" s="6">
        <f>IF(OR($BJ347="",3&gt;設定!$B$3),"",IF(INDEX(原始資料!F$2:F$501,$BJ347)="","",INDEX(原始資料!F$2:F$501,$BJ347)))</f>
        <v/>
      </c>
      <c r="E347" s="6">
        <f>IF(OR($BJ347="",4&gt;設定!$B$3),"",IF(INDEX(原始資料!G$2:G$501,$BJ347)="","",INDEX(原始資料!G$2:G$501,$BJ347)))</f>
        <v/>
      </c>
      <c r="F347" s="6">
        <f>IF(OR($BJ347="",5&gt;設定!$B$3),"",IF(INDEX(原始資料!H$2:H$501,$BJ347)="","",INDEX(原始資料!H$2:H$501,$BJ347)))</f>
        <v/>
      </c>
      <c r="G347" s="6">
        <f>IF(OR($BJ347="",6&gt;設定!$B$3),"",IF(INDEX(原始資料!I$2:I$501,$BJ347)="","",INDEX(原始資料!I$2:I$501,$BJ347)))</f>
        <v/>
      </c>
      <c r="H347" s="6">
        <f>IF(OR($BJ347="",7&gt;設定!$B$3),"",IF(INDEX(原始資料!J$2:J$501,$BJ347)="","",INDEX(原始資料!J$2:J$501,$BJ347)))</f>
        <v/>
      </c>
      <c r="I347" s="6">
        <f>IF(OR($BJ347="",8&gt;設定!$B$3),"",IF(INDEX(原始資料!K$2:K$501,$BJ347)="","",INDEX(原始資料!K$2:K$501,$BJ347)))</f>
        <v/>
      </c>
      <c r="J347" s="6">
        <f>IF(OR($BJ347="",9&gt;設定!$B$3),"",IF(INDEX(原始資料!L$2:L$501,$BJ347)="","",INDEX(原始資料!L$2:L$501,$BJ347)))</f>
        <v/>
      </c>
      <c r="K347" s="6">
        <f>IF(OR($BJ347="",10&gt;設定!$B$3),"",IF(INDEX(原始資料!M$2:M$501,$BJ347)="","",INDEX(原始資料!M$2:M$501,$BJ347)))</f>
        <v/>
      </c>
      <c r="L347" s="6">
        <f>IF(OR($BJ347="",11&gt;設定!$B$3),"",IF(INDEX(原始資料!N$2:N$501,$BJ347)="","",INDEX(原始資料!N$2:N$501,$BJ347)))</f>
        <v/>
      </c>
      <c r="M347" s="6">
        <f>IF(OR($BJ347="",12&gt;設定!$B$3),"",IF(INDEX(原始資料!O$2:O$501,$BJ347)="","",INDEX(原始資料!O$2:O$501,$BJ347)))</f>
        <v/>
      </c>
      <c r="N347" s="6">
        <f>IF(OR($BJ347="",13&gt;設定!$B$3),"",IF(INDEX(原始資料!P$2:P$501,$BJ347)="","",INDEX(原始資料!P$2:P$501,$BJ347)))</f>
        <v/>
      </c>
      <c r="O347" s="6">
        <f>IF(OR($BJ347="",14&gt;設定!$B$3),"",IF(INDEX(原始資料!Q$2:Q$501,$BJ347)="","",INDEX(原始資料!Q$2:Q$501,$BJ347)))</f>
        <v/>
      </c>
      <c r="P347" s="6">
        <f>IF(OR($BJ347="",15&gt;設定!$B$3),"",IF(INDEX(原始資料!R$2:R$501,$BJ347)="","",INDEX(原始資料!R$2:R$501,$BJ347)))</f>
        <v/>
      </c>
      <c r="Q347" s="6">
        <f>IF(OR($BJ347="",16&gt;設定!$B$3),"",IF(INDEX(原始資料!S$2:S$501,$BJ347)="","",INDEX(原始資料!S$2:S$501,$BJ347)))</f>
        <v/>
      </c>
      <c r="R347" s="6">
        <f>IF(OR($BJ347="",17&gt;設定!$B$3),"",IF(INDEX(原始資料!T$2:T$501,$BJ347)="","",INDEX(原始資料!T$2:T$501,$BJ347)))</f>
        <v/>
      </c>
      <c r="S347" s="6">
        <f>IF(OR($BJ347="",18&gt;設定!$B$3),"",IF(INDEX(原始資料!U$2:U$501,$BJ347)="","",INDEX(原始資料!U$2:U$501,$BJ347)))</f>
        <v/>
      </c>
      <c r="T347" s="6">
        <f>IF(OR($BJ347="",19&gt;設定!$B$3),"",IF(INDEX(原始資料!V$2:V$501,$BJ347)="","",INDEX(原始資料!V$2:V$501,$BJ347)))</f>
        <v/>
      </c>
      <c r="U347" s="6">
        <f>IF(OR($BJ347="",20&gt;設定!$B$3),"",IF(INDEX(原始資料!W$2:W$501,$BJ347)="","",INDEX(原始資料!W$2:W$501,$BJ347)))</f>
        <v/>
      </c>
      <c r="V347" s="6">
        <f>IF(OR($BJ347="",21&gt;設定!$B$3),"",IF(INDEX(原始資料!X$2:X$501,$BJ347)="","",INDEX(原始資料!X$2:X$501,$BJ347)))</f>
        <v/>
      </c>
      <c r="W347" s="6">
        <f>IF(OR($BJ347="",22&gt;設定!$B$3),"",IF(INDEX(原始資料!Y$2:Y$501,$BJ347)="","",INDEX(原始資料!Y$2:Y$501,$BJ347)))</f>
        <v/>
      </c>
      <c r="X347" s="6">
        <f>IF(OR($BJ347="",23&gt;設定!$B$3),"",IF(INDEX(原始資料!Z$2:Z$501,$BJ347)="","",INDEX(原始資料!Z$2:Z$501,$BJ347)))</f>
        <v/>
      </c>
      <c r="Y347" s="6">
        <f>IF(OR($BJ347="",24&gt;設定!$B$3),"",IF(INDEX(原始資料!AA$2:AA$501,$BJ347)="","",INDEX(原始資料!AA$2:AA$501,$BJ347)))</f>
        <v/>
      </c>
      <c r="Z347" s="6">
        <f>IF(OR($BJ347="",25&gt;設定!$B$3),"",IF(INDEX(原始資料!AB$2:AB$501,$BJ347)="","",INDEX(原始資料!AB$2:AB$501,$BJ347)))</f>
        <v/>
      </c>
      <c r="AA347" s="6">
        <f>IF(OR($BJ347="",26&gt;設定!$B$3),"",IF(INDEX(原始資料!AC$2:AC$501,$BJ347)="","",INDEX(原始資料!AC$2:AC$501,$BJ347)))</f>
        <v/>
      </c>
      <c r="AB347" s="6">
        <f>IF(OR($BJ347="",27&gt;設定!$B$3),"",IF(INDEX(原始資料!AD$2:AD$501,$BJ347)="","",INDEX(原始資料!AD$2:AD$501,$BJ347)))</f>
        <v/>
      </c>
      <c r="AC347" s="6">
        <f>IF(OR($BJ347="",28&gt;設定!$B$3),"",IF(INDEX(原始資料!AE$2:AE$501,$BJ347)="","",INDEX(原始資料!AE$2:AE$501,$BJ347)))</f>
        <v/>
      </c>
      <c r="AD347" s="6">
        <f>IF(OR($BJ347="",29&gt;設定!$B$3),"",IF(INDEX(原始資料!AF$2:AF$501,$BJ347)="","",INDEX(原始資料!AF$2:AF$501,$BJ347)))</f>
        <v/>
      </c>
      <c r="AE347" s="6">
        <f>IF(OR($BJ347="",30&gt;設定!$B$3),"",IF(INDEX(原始資料!AG$2:AG$501,$BJ347)="","",INDEX(原始資料!AG$2:AG$501,$BJ347)))</f>
        <v/>
      </c>
      <c r="AF347" s="6">
        <f>IF(OR($BJ347="",31&gt;設定!$B$3),"",IF(INDEX(原始資料!AH$2:AH$501,$BJ347)="","",INDEX(原始資料!AH$2:AH$501,$BJ347)))</f>
        <v/>
      </c>
      <c r="AG347" s="6">
        <f>IF(OR($BJ347="",32&gt;設定!$B$3),"",IF(INDEX(原始資料!AI$2:AI$501,$BJ347)="","",INDEX(原始資料!AI$2:AI$501,$BJ347)))</f>
        <v/>
      </c>
      <c r="AH347" s="6">
        <f>IF(OR($BJ347="",33&gt;設定!$B$3),"",IF(INDEX(原始資料!AJ$2:AJ$501,$BJ347)="","",INDEX(原始資料!AJ$2:AJ$501,$BJ347)))</f>
        <v/>
      </c>
      <c r="AI347" s="6">
        <f>IF(OR($BJ347="",34&gt;設定!$B$3),"",IF(INDEX(原始資料!AK$2:AK$501,$BJ347)="","",INDEX(原始資料!AK$2:AK$501,$BJ347)))</f>
        <v/>
      </c>
      <c r="AJ347" s="6">
        <f>IF(OR($BJ347="",35&gt;設定!$B$3),"",IF(INDEX(原始資料!AL$2:AL$501,$BJ347)="","",INDEX(原始資料!AL$2:AL$501,$BJ347)))</f>
        <v/>
      </c>
      <c r="AK347" s="6">
        <f>IF(OR($BJ347="",36&gt;設定!$B$3),"",IF(INDEX(原始資料!AM$2:AM$501,$BJ347)="","",INDEX(原始資料!AM$2:AM$501,$BJ347)))</f>
        <v/>
      </c>
      <c r="AL347" s="6">
        <f>IF(OR($BJ347="",37&gt;設定!$B$3),"",IF(INDEX(原始資料!AN$2:AN$501,$BJ347)="","",INDEX(原始資料!AN$2:AN$501,$BJ347)))</f>
        <v/>
      </c>
      <c r="AM347" s="6">
        <f>IF(OR($BJ347="",38&gt;設定!$B$3),"",IF(INDEX(原始資料!AO$2:AO$501,$BJ347)="","",INDEX(原始資料!AO$2:AO$501,$BJ347)))</f>
        <v/>
      </c>
      <c r="AN347" s="6">
        <f>IF(OR($BJ347="",39&gt;設定!$B$3),"",IF(INDEX(原始資料!AP$2:AP$501,$BJ347)="","",INDEX(原始資料!AP$2:AP$501,$BJ347)))</f>
        <v/>
      </c>
      <c r="AO347" s="6">
        <f>IF(OR($BJ347="",40&gt;設定!$B$3),"",IF(INDEX(原始資料!AQ$2:AQ$501,$BJ347)="","",INDEX(原始資料!AQ$2:AQ$501,$BJ347)))</f>
        <v/>
      </c>
      <c r="AP347" s="6">
        <f>IF(OR($BJ347="",41&gt;設定!$B$3),"",IF(INDEX(原始資料!AR$2:AR$501,$BJ347)="","",INDEX(原始資料!AR$2:AR$501,$BJ347)))</f>
        <v/>
      </c>
      <c r="AQ347" s="6">
        <f>IF(OR($BJ347="",42&gt;設定!$B$3),"",IF(INDEX(原始資料!AS$2:AS$501,$BJ347)="","",INDEX(原始資料!AS$2:AS$501,$BJ347)))</f>
        <v/>
      </c>
      <c r="AR347" s="6">
        <f>IF(OR($BJ347="",43&gt;設定!$B$3),"",IF(INDEX(原始資料!AT$2:AT$501,$BJ347)="","",INDEX(原始資料!AT$2:AT$501,$BJ347)))</f>
        <v/>
      </c>
      <c r="AS347" s="6">
        <f>IF(OR($BJ347="",44&gt;設定!$B$3),"",IF(INDEX(原始資料!AU$2:AU$501,$BJ347)="","",INDEX(原始資料!AU$2:AU$501,$BJ347)))</f>
        <v/>
      </c>
      <c r="AT347" s="6">
        <f>IF(OR($BJ347="",45&gt;設定!$B$3),"",IF(INDEX(原始資料!AV$2:AV$501,$BJ347)="","",INDEX(原始資料!AV$2:AV$501,$BJ347)))</f>
        <v/>
      </c>
      <c r="AU347" s="6">
        <f>IF(OR($BJ347="",46&gt;設定!$B$3),"",IF(INDEX(原始資料!AW$2:AW$501,$BJ347)="","",INDEX(原始資料!AW$2:AW$501,$BJ347)))</f>
        <v/>
      </c>
      <c r="AV347" s="6">
        <f>IF(OR($BJ347="",47&gt;設定!$B$3),"",IF(INDEX(原始資料!AX$2:AX$501,$BJ347)="","",INDEX(原始資料!AX$2:AX$501,$BJ347)))</f>
        <v/>
      </c>
      <c r="AW347" s="6">
        <f>IF(OR($BJ347="",48&gt;設定!$B$3),"",IF(INDEX(原始資料!AY$2:AY$501,$BJ347)="","",INDEX(原始資料!AY$2:AY$501,$BJ347)))</f>
        <v/>
      </c>
      <c r="AX347" s="6">
        <f>IF(OR($BJ347="",49&gt;設定!$B$3),"",IF(INDEX(原始資料!AZ$2:AZ$501,$BJ347)="","",INDEX(原始資料!AZ$2:AZ$501,$BJ347)))</f>
        <v/>
      </c>
      <c r="AY347" s="6">
        <f>IF(OR($BJ347="",50&gt;設定!$B$3),"",IF(INDEX(原始資料!BA$2:BA$501,$BJ347)="","",INDEX(原始資料!BA$2:BA$501,$BJ347)))</f>
        <v/>
      </c>
      <c r="AZ347" s="6">
        <f>IF(OR($BJ347="",51&gt;設定!$B$3),"",IF(INDEX(原始資料!BB$2:BB$501,$BJ347)="","",INDEX(原始資料!BB$2:BB$501,$BJ347)))</f>
        <v/>
      </c>
      <c r="BA347" s="6">
        <f>IF(OR($BJ347="",52&gt;設定!$B$3),"",IF(INDEX(原始資料!BC$2:BC$501,$BJ347)="","",INDEX(原始資料!BC$2:BC$501,$BJ347)))</f>
        <v/>
      </c>
      <c r="BB347" s="6">
        <f>IF(OR($BJ347="",53&gt;設定!$B$3),"",IF(INDEX(原始資料!BD$2:BD$501,$BJ347)="","",INDEX(原始資料!BD$2:BD$501,$BJ347)))</f>
        <v/>
      </c>
      <c r="BC347" s="6">
        <f>IF(OR($BJ347="",54&gt;設定!$B$3),"",IF(INDEX(原始資料!BE$2:BE$501,$BJ347)="","",INDEX(原始資料!BE$2:BE$501,$BJ347)))</f>
        <v/>
      </c>
      <c r="BD347" s="6">
        <f>IF(OR($BJ347="",55&gt;設定!$B$3),"",IF(INDEX(原始資料!BF$2:BF$501,$BJ347)="","",INDEX(原始資料!BF$2:BF$501,$BJ347)))</f>
        <v/>
      </c>
      <c r="BE347" s="6">
        <f>IF(OR($BJ347="",56&gt;設定!$B$3),"",IF(INDEX(原始資料!BG$2:BG$501,$BJ347)="","",INDEX(原始資料!BG$2:BG$501,$BJ347)))</f>
        <v/>
      </c>
      <c r="BF347" s="6">
        <f>IF(OR($BJ347="",57&gt;設定!$B$3),"",IF(INDEX(原始資料!BH$2:BH$501,$BJ347)="","",INDEX(原始資料!BH$2:BH$501,$BJ347)))</f>
        <v/>
      </c>
      <c r="BG347" s="6">
        <f>IF(OR($BJ347="",58&gt;設定!$B$3),"",IF(INDEX(原始資料!BI$2:BI$501,$BJ347)="","",INDEX(原始資料!BI$2:BI$501,$BJ347)))</f>
        <v/>
      </c>
      <c r="BH347" s="6">
        <f>IF(OR($BJ347="",59&gt;設定!$B$3),"",IF(INDEX(原始資料!BJ$2:BJ$501,$BJ347)="","",INDEX(原始資料!BJ$2:BJ$501,$BJ347)))</f>
        <v/>
      </c>
      <c r="BI347" s="6">
        <f>IF(OR($BJ347="",60&gt;設定!$B$3),"",IF(INDEX(原始資料!BK$2:BK$501,$BJ347)="","",INDEX(原始資料!BK$2:BK$501,$BJ347)))</f>
        <v/>
      </c>
      <c r="BJ347" s="6">
        <f>IFERROR(MATCH(ROW()-1,判定!$H$2:$H$501,0),"")</f>
        <v/>
      </c>
    </row>
    <row r="348">
      <c r="A348" s="6">
        <f>IF($BJ348="","",INDEX(原始資料!$A$2:$A$501,$BJ348))</f>
        <v/>
      </c>
      <c r="B348" s="6">
        <f>IF(OR($BJ348="",1&gt;設定!$B$3),"",IF(INDEX(原始資料!D$2:D$501,$BJ348)="","",INDEX(原始資料!D$2:D$501,$BJ348)))</f>
        <v/>
      </c>
      <c r="C348" s="6">
        <f>IF(OR($BJ348="",2&gt;設定!$B$3),"",IF(INDEX(原始資料!E$2:E$501,$BJ348)="","",INDEX(原始資料!E$2:E$501,$BJ348)))</f>
        <v/>
      </c>
      <c r="D348" s="6">
        <f>IF(OR($BJ348="",3&gt;設定!$B$3),"",IF(INDEX(原始資料!F$2:F$501,$BJ348)="","",INDEX(原始資料!F$2:F$501,$BJ348)))</f>
        <v/>
      </c>
      <c r="E348" s="6">
        <f>IF(OR($BJ348="",4&gt;設定!$B$3),"",IF(INDEX(原始資料!G$2:G$501,$BJ348)="","",INDEX(原始資料!G$2:G$501,$BJ348)))</f>
        <v/>
      </c>
      <c r="F348" s="6">
        <f>IF(OR($BJ348="",5&gt;設定!$B$3),"",IF(INDEX(原始資料!H$2:H$501,$BJ348)="","",INDEX(原始資料!H$2:H$501,$BJ348)))</f>
        <v/>
      </c>
      <c r="G348" s="6">
        <f>IF(OR($BJ348="",6&gt;設定!$B$3),"",IF(INDEX(原始資料!I$2:I$501,$BJ348)="","",INDEX(原始資料!I$2:I$501,$BJ348)))</f>
        <v/>
      </c>
      <c r="H348" s="6">
        <f>IF(OR($BJ348="",7&gt;設定!$B$3),"",IF(INDEX(原始資料!J$2:J$501,$BJ348)="","",INDEX(原始資料!J$2:J$501,$BJ348)))</f>
        <v/>
      </c>
      <c r="I348" s="6">
        <f>IF(OR($BJ348="",8&gt;設定!$B$3),"",IF(INDEX(原始資料!K$2:K$501,$BJ348)="","",INDEX(原始資料!K$2:K$501,$BJ348)))</f>
        <v/>
      </c>
      <c r="J348" s="6">
        <f>IF(OR($BJ348="",9&gt;設定!$B$3),"",IF(INDEX(原始資料!L$2:L$501,$BJ348)="","",INDEX(原始資料!L$2:L$501,$BJ348)))</f>
        <v/>
      </c>
      <c r="K348" s="6">
        <f>IF(OR($BJ348="",10&gt;設定!$B$3),"",IF(INDEX(原始資料!M$2:M$501,$BJ348)="","",INDEX(原始資料!M$2:M$501,$BJ348)))</f>
        <v/>
      </c>
      <c r="L348" s="6">
        <f>IF(OR($BJ348="",11&gt;設定!$B$3),"",IF(INDEX(原始資料!N$2:N$501,$BJ348)="","",INDEX(原始資料!N$2:N$501,$BJ348)))</f>
        <v/>
      </c>
      <c r="M348" s="6">
        <f>IF(OR($BJ348="",12&gt;設定!$B$3),"",IF(INDEX(原始資料!O$2:O$501,$BJ348)="","",INDEX(原始資料!O$2:O$501,$BJ348)))</f>
        <v/>
      </c>
      <c r="N348" s="6">
        <f>IF(OR($BJ348="",13&gt;設定!$B$3),"",IF(INDEX(原始資料!P$2:P$501,$BJ348)="","",INDEX(原始資料!P$2:P$501,$BJ348)))</f>
        <v/>
      </c>
      <c r="O348" s="6">
        <f>IF(OR($BJ348="",14&gt;設定!$B$3),"",IF(INDEX(原始資料!Q$2:Q$501,$BJ348)="","",INDEX(原始資料!Q$2:Q$501,$BJ348)))</f>
        <v/>
      </c>
      <c r="P348" s="6">
        <f>IF(OR($BJ348="",15&gt;設定!$B$3),"",IF(INDEX(原始資料!R$2:R$501,$BJ348)="","",INDEX(原始資料!R$2:R$501,$BJ348)))</f>
        <v/>
      </c>
      <c r="Q348" s="6">
        <f>IF(OR($BJ348="",16&gt;設定!$B$3),"",IF(INDEX(原始資料!S$2:S$501,$BJ348)="","",INDEX(原始資料!S$2:S$501,$BJ348)))</f>
        <v/>
      </c>
      <c r="R348" s="6">
        <f>IF(OR($BJ348="",17&gt;設定!$B$3),"",IF(INDEX(原始資料!T$2:T$501,$BJ348)="","",INDEX(原始資料!T$2:T$501,$BJ348)))</f>
        <v/>
      </c>
      <c r="S348" s="6">
        <f>IF(OR($BJ348="",18&gt;設定!$B$3),"",IF(INDEX(原始資料!U$2:U$501,$BJ348)="","",INDEX(原始資料!U$2:U$501,$BJ348)))</f>
        <v/>
      </c>
      <c r="T348" s="6">
        <f>IF(OR($BJ348="",19&gt;設定!$B$3),"",IF(INDEX(原始資料!V$2:V$501,$BJ348)="","",INDEX(原始資料!V$2:V$501,$BJ348)))</f>
        <v/>
      </c>
      <c r="U348" s="6">
        <f>IF(OR($BJ348="",20&gt;設定!$B$3),"",IF(INDEX(原始資料!W$2:W$501,$BJ348)="","",INDEX(原始資料!W$2:W$501,$BJ348)))</f>
        <v/>
      </c>
      <c r="V348" s="6">
        <f>IF(OR($BJ348="",21&gt;設定!$B$3),"",IF(INDEX(原始資料!X$2:X$501,$BJ348)="","",INDEX(原始資料!X$2:X$501,$BJ348)))</f>
        <v/>
      </c>
      <c r="W348" s="6">
        <f>IF(OR($BJ348="",22&gt;設定!$B$3),"",IF(INDEX(原始資料!Y$2:Y$501,$BJ348)="","",INDEX(原始資料!Y$2:Y$501,$BJ348)))</f>
        <v/>
      </c>
      <c r="X348" s="6">
        <f>IF(OR($BJ348="",23&gt;設定!$B$3),"",IF(INDEX(原始資料!Z$2:Z$501,$BJ348)="","",INDEX(原始資料!Z$2:Z$501,$BJ348)))</f>
        <v/>
      </c>
      <c r="Y348" s="6">
        <f>IF(OR($BJ348="",24&gt;設定!$B$3),"",IF(INDEX(原始資料!AA$2:AA$501,$BJ348)="","",INDEX(原始資料!AA$2:AA$501,$BJ348)))</f>
        <v/>
      </c>
      <c r="Z348" s="6">
        <f>IF(OR($BJ348="",25&gt;設定!$B$3),"",IF(INDEX(原始資料!AB$2:AB$501,$BJ348)="","",INDEX(原始資料!AB$2:AB$501,$BJ348)))</f>
        <v/>
      </c>
      <c r="AA348" s="6">
        <f>IF(OR($BJ348="",26&gt;設定!$B$3),"",IF(INDEX(原始資料!AC$2:AC$501,$BJ348)="","",INDEX(原始資料!AC$2:AC$501,$BJ348)))</f>
        <v/>
      </c>
      <c r="AB348" s="6">
        <f>IF(OR($BJ348="",27&gt;設定!$B$3),"",IF(INDEX(原始資料!AD$2:AD$501,$BJ348)="","",INDEX(原始資料!AD$2:AD$501,$BJ348)))</f>
        <v/>
      </c>
      <c r="AC348" s="6">
        <f>IF(OR($BJ348="",28&gt;設定!$B$3),"",IF(INDEX(原始資料!AE$2:AE$501,$BJ348)="","",INDEX(原始資料!AE$2:AE$501,$BJ348)))</f>
        <v/>
      </c>
      <c r="AD348" s="6">
        <f>IF(OR($BJ348="",29&gt;設定!$B$3),"",IF(INDEX(原始資料!AF$2:AF$501,$BJ348)="","",INDEX(原始資料!AF$2:AF$501,$BJ348)))</f>
        <v/>
      </c>
      <c r="AE348" s="6">
        <f>IF(OR($BJ348="",30&gt;設定!$B$3),"",IF(INDEX(原始資料!AG$2:AG$501,$BJ348)="","",INDEX(原始資料!AG$2:AG$501,$BJ348)))</f>
        <v/>
      </c>
      <c r="AF348" s="6">
        <f>IF(OR($BJ348="",31&gt;設定!$B$3),"",IF(INDEX(原始資料!AH$2:AH$501,$BJ348)="","",INDEX(原始資料!AH$2:AH$501,$BJ348)))</f>
        <v/>
      </c>
      <c r="AG348" s="6">
        <f>IF(OR($BJ348="",32&gt;設定!$B$3),"",IF(INDEX(原始資料!AI$2:AI$501,$BJ348)="","",INDEX(原始資料!AI$2:AI$501,$BJ348)))</f>
        <v/>
      </c>
      <c r="AH348" s="6">
        <f>IF(OR($BJ348="",33&gt;設定!$B$3),"",IF(INDEX(原始資料!AJ$2:AJ$501,$BJ348)="","",INDEX(原始資料!AJ$2:AJ$501,$BJ348)))</f>
        <v/>
      </c>
      <c r="AI348" s="6">
        <f>IF(OR($BJ348="",34&gt;設定!$B$3),"",IF(INDEX(原始資料!AK$2:AK$501,$BJ348)="","",INDEX(原始資料!AK$2:AK$501,$BJ348)))</f>
        <v/>
      </c>
      <c r="AJ348" s="6">
        <f>IF(OR($BJ348="",35&gt;設定!$B$3),"",IF(INDEX(原始資料!AL$2:AL$501,$BJ348)="","",INDEX(原始資料!AL$2:AL$501,$BJ348)))</f>
        <v/>
      </c>
      <c r="AK348" s="6">
        <f>IF(OR($BJ348="",36&gt;設定!$B$3),"",IF(INDEX(原始資料!AM$2:AM$501,$BJ348)="","",INDEX(原始資料!AM$2:AM$501,$BJ348)))</f>
        <v/>
      </c>
      <c r="AL348" s="6">
        <f>IF(OR($BJ348="",37&gt;設定!$B$3),"",IF(INDEX(原始資料!AN$2:AN$501,$BJ348)="","",INDEX(原始資料!AN$2:AN$501,$BJ348)))</f>
        <v/>
      </c>
      <c r="AM348" s="6">
        <f>IF(OR($BJ348="",38&gt;設定!$B$3),"",IF(INDEX(原始資料!AO$2:AO$501,$BJ348)="","",INDEX(原始資料!AO$2:AO$501,$BJ348)))</f>
        <v/>
      </c>
      <c r="AN348" s="6">
        <f>IF(OR($BJ348="",39&gt;設定!$B$3),"",IF(INDEX(原始資料!AP$2:AP$501,$BJ348)="","",INDEX(原始資料!AP$2:AP$501,$BJ348)))</f>
        <v/>
      </c>
      <c r="AO348" s="6">
        <f>IF(OR($BJ348="",40&gt;設定!$B$3),"",IF(INDEX(原始資料!AQ$2:AQ$501,$BJ348)="","",INDEX(原始資料!AQ$2:AQ$501,$BJ348)))</f>
        <v/>
      </c>
      <c r="AP348" s="6">
        <f>IF(OR($BJ348="",41&gt;設定!$B$3),"",IF(INDEX(原始資料!AR$2:AR$501,$BJ348)="","",INDEX(原始資料!AR$2:AR$501,$BJ348)))</f>
        <v/>
      </c>
      <c r="AQ348" s="6">
        <f>IF(OR($BJ348="",42&gt;設定!$B$3),"",IF(INDEX(原始資料!AS$2:AS$501,$BJ348)="","",INDEX(原始資料!AS$2:AS$501,$BJ348)))</f>
        <v/>
      </c>
      <c r="AR348" s="6">
        <f>IF(OR($BJ348="",43&gt;設定!$B$3),"",IF(INDEX(原始資料!AT$2:AT$501,$BJ348)="","",INDEX(原始資料!AT$2:AT$501,$BJ348)))</f>
        <v/>
      </c>
      <c r="AS348" s="6">
        <f>IF(OR($BJ348="",44&gt;設定!$B$3),"",IF(INDEX(原始資料!AU$2:AU$501,$BJ348)="","",INDEX(原始資料!AU$2:AU$501,$BJ348)))</f>
        <v/>
      </c>
      <c r="AT348" s="6">
        <f>IF(OR($BJ348="",45&gt;設定!$B$3),"",IF(INDEX(原始資料!AV$2:AV$501,$BJ348)="","",INDEX(原始資料!AV$2:AV$501,$BJ348)))</f>
        <v/>
      </c>
      <c r="AU348" s="6">
        <f>IF(OR($BJ348="",46&gt;設定!$B$3),"",IF(INDEX(原始資料!AW$2:AW$501,$BJ348)="","",INDEX(原始資料!AW$2:AW$501,$BJ348)))</f>
        <v/>
      </c>
      <c r="AV348" s="6">
        <f>IF(OR($BJ348="",47&gt;設定!$B$3),"",IF(INDEX(原始資料!AX$2:AX$501,$BJ348)="","",INDEX(原始資料!AX$2:AX$501,$BJ348)))</f>
        <v/>
      </c>
      <c r="AW348" s="6">
        <f>IF(OR($BJ348="",48&gt;設定!$B$3),"",IF(INDEX(原始資料!AY$2:AY$501,$BJ348)="","",INDEX(原始資料!AY$2:AY$501,$BJ348)))</f>
        <v/>
      </c>
      <c r="AX348" s="6">
        <f>IF(OR($BJ348="",49&gt;設定!$B$3),"",IF(INDEX(原始資料!AZ$2:AZ$501,$BJ348)="","",INDEX(原始資料!AZ$2:AZ$501,$BJ348)))</f>
        <v/>
      </c>
      <c r="AY348" s="6">
        <f>IF(OR($BJ348="",50&gt;設定!$B$3),"",IF(INDEX(原始資料!BA$2:BA$501,$BJ348)="","",INDEX(原始資料!BA$2:BA$501,$BJ348)))</f>
        <v/>
      </c>
      <c r="AZ348" s="6">
        <f>IF(OR($BJ348="",51&gt;設定!$B$3),"",IF(INDEX(原始資料!BB$2:BB$501,$BJ348)="","",INDEX(原始資料!BB$2:BB$501,$BJ348)))</f>
        <v/>
      </c>
      <c r="BA348" s="6">
        <f>IF(OR($BJ348="",52&gt;設定!$B$3),"",IF(INDEX(原始資料!BC$2:BC$501,$BJ348)="","",INDEX(原始資料!BC$2:BC$501,$BJ348)))</f>
        <v/>
      </c>
      <c r="BB348" s="6">
        <f>IF(OR($BJ348="",53&gt;設定!$B$3),"",IF(INDEX(原始資料!BD$2:BD$501,$BJ348)="","",INDEX(原始資料!BD$2:BD$501,$BJ348)))</f>
        <v/>
      </c>
      <c r="BC348" s="6">
        <f>IF(OR($BJ348="",54&gt;設定!$B$3),"",IF(INDEX(原始資料!BE$2:BE$501,$BJ348)="","",INDEX(原始資料!BE$2:BE$501,$BJ348)))</f>
        <v/>
      </c>
      <c r="BD348" s="6">
        <f>IF(OR($BJ348="",55&gt;設定!$B$3),"",IF(INDEX(原始資料!BF$2:BF$501,$BJ348)="","",INDEX(原始資料!BF$2:BF$501,$BJ348)))</f>
        <v/>
      </c>
      <c r="BE348" s="6">
        <f>IF(OR($BJ348="",56&gt;設定!$B$3),"",IF(INDEX(原始資料!BG$2:BG$501,$BJ348)="","",INDEX(原始資料!BG$2:BG$501,$BJ348)))</f>
        <v/>
      </c>
      <c r="BF348" s="6">
        <f>IF(OR($BJ348="",57&gt;設定!$B$3),"",IF(INDEX(原始資料!BH$2:BH$501,$BJ348)="","",INDEX(原始資料!BH$2:BH$501,$BJ348)))</f>
        <v/>
      </c>
      <c r="BG348" s="6">
        <f>IF(OR($BJ348="",58&gt;設定!$B$3),"",IF(INDEX(原始資料!BI$2:BI$501,$BJ348)="","",INDEX(原始資料!BI$2:BI$501,$BJ348)))</f>
        <v/>
      </c>
      <c r="BH348" s="6">
        <f>IF(OR($BJ348="",59&gt;設定!$B$3),"",IF(INDEX(原始資料!BJ$2:BJ$501,$BJ348)="","",INDEX(原始資料!BJ$2:BJ$501,$BJ348)))</f>
        <v/>
      </c>
      <c r="BI348" s="6">
        <f>IF(OR($BJ348="",60&gt;設定!$B$3),"",IF(INDEX(原始資料!BK$2:BK$501,$BJ348)="","",INDEX(原始資料!BK$2:BK$501,$BJ348)))</f>
        <v/>
      </c>
      <c r="BJ348" s="6">
        <f>IFERROR(MATCH(ROW()-1,判定!$H$2:$H$501,0),"")</f>
        <v/>
      </c>
    </row>
    <row r="349">
      <c r="A349" s="6">
        <f>IF($BJ349="","",INDEX(原始資料!$A$2:$A$501,$BJ349))</f>
        <v/>
      </c>
      <c r="B349" s="6">
        <f>IF(OR($BJ349="",1&gt;設定!$B$3),"",IF(INDEX(原始資料!D$2:D$501,$BJ349)="","",INDEX(原始資料!D$2:D$501,$BJ349)))</f>
        <v/>
      </c>
      <c r="C349" s="6">
        <f>IF(OR($BJ349="",2&gt;設定!$B$3),"",IF(INDEX(原始資料!E$2:E$501,$BJ349)="","",INDEX(原始資料!E$2:E$501,$BJ349)))</f>
        <v/>
      </c>
      <c r="D349" s="6">
        <f>IF(OR($BJ349="",3&gt;設定!$B$3),"",IF(INDEX(原始資料!F$2:F$501,$BJ349)="","",INDEX(原始資料!F$2:F$501,$BJ349)))</f>
        <v/>
      </c>
      <c r="E349" s="6">
        <f>IF(OR($BJ349="",4&gt;設定!$B$3),"",IF(INDEX(原始資料!G$2:G$501,$BJ349)="","",INDEX(原始資料!G$2:G$501,$BJ349)))</f>
        <v/>
      </c>
      <c r="F349" s="6">
        <f>IF(OR($BJ349="",5&gt;設定!$B$3),"",IF(INDEX(原始資料!H$2:H$501,$BJ349)="","",INDEX(原始資料!H$2:H$501,$BJ349)))</f>
        <v/>
      </c>
      <c r="G349" s="6">
        <f>IF(OR($BJ349="",6&gt;設定!$B$3),"",IF(INDEX(原始資料!I$2:I$501,$BJ349)="","",INDEX(原始資料!I$2:I$501,$BJ349)))</f>
        <v/>
      </c>
      <c r="H349" s="6">
        <f>IF(OR($BJ349="",7&gt;設定!$B$3),"",IF(INDEX(原始資料!J$2:J$501,$BJ349)="","",INDEX(原始資料!J$2:J$501,$BJ349)))</f>
        <v/>
      </c>
      <c r="I349" s="6">
        <f>IF(OR($BJ349="",8&gt;設定!$B$3),"",IF(INDEX(原始資料!K$2:K$501,$BJ349)="","",INDEX(原始資料!K$2:K$501,$BJ349)))</f>
        <v/>
      </c>
      <c r="J349" s="6">
        <f>IF(OR($BJ349="",9&gt;設定!$B$3),"",IF(INDEX(原始資料!L$2:L$501,$BJ349)="","",INDEX(原始資料!L$2:L$501,$BJ349)))</f>
        <v/>
      </c>
      <c r="K349" s="6">
        <f>IF(OR($BJ349="",10&gt;設定!$B$3),"",IF(INDEX(原始資料!M$2:M$501,$BJ349)="","",INDEX(原始資料!M$2:M$501,$BJ349)))</f>
        <v/>
      </c>
      <c r="L349" s="6">
        <f>IF(OR($BJ349="",11&gt;設定!$B$3),"",IF(INDEX(原始資料!N$2:N$501,$BJ349)="","",INDEX(原始資料!N$2:N$501,$BJ349)))</f>
        <v/>
      </c>
      <c r="M349" s="6">
        <f>IF(OR($BJ349="",12&gt;設定!$B$3),"",IF(INDEX(原始資料!O$2:O$501,$BJ349)="","",INDEX(原始資料!O$2:O$501,$BJ349)))</f>
        <v/>
      </c>
      <c r="N349" s="6">
        <f>IF(OR($BJ349="",13&gt;設定!$B$3),"",IF(INDEX(原始資料!P$2:P$501,$BJ349)="","",INDEX(原始資料!P$2:P$501,$BJ349)))</f>
        <v/>
      </c>
      <c r="O349" s="6">
        <f>IF(OR($BJ349="",14&gt;設定!$B$3),"",IF(INDEX(原始資料!Q$2:Q$501,$BJ349)="","",INDEX(原始資料!Q$2:Q$501,$BJ349)))</f>
        <v/>
      </c>
      <c r="P349" s="6">
        <f>IF(OR($BJ349="",15&gt;設定!$B$3),"",IF(INDEX(原始資料!R$2:R$501,$BJ349)="","",INDEX(原始資料!R$2:R$501,$BJ349)))</f>
        <v/>
      </c>
      <c r="Q349" s="6">
        <f>IF(OR($BJ349="",16&gt;設定!$B$3),"",IF(INDEX(原始資料!S$2:S$501,$BJ349)="","",INDEX(原始資料!S$2:S$501,$BJ349)))</f>
        <v/>
      </c>
      <c r="R349" s="6">
        <f>IF(OR($BJ349="",17&gt;設定!$B$3),"",IF(INDEX(原始資料!T$2:T$501,$BJ349)="","",INDEX(原始資料!T$2:T$501,$BJ349)))</f>
        <v/>
      </c>
      <c r="S349" s="6">
        <f>IF(OR($BJ349="",18&gt;設定!$B$3),"",IF(INDEX(原始資料!U$2:U$501,$BJ349)="","",INDEX(原始資料!U$2:U$501,$BJ349)))</f>
        <v/>
      </c>
      <c r="T349" s="6">
        <f>IF(OR($BJ349="",19&gt;設定!$B$3),"",IF(INDEX(原始資料!V$2:V$501,$BJ349)="","",INDEX(原始資料!V$2:V$501,$BJ349)))</f>
        <v/>
      </c>
      <c r="U349" s="6">
        <f>IF(OR($BJ349="",20&gt;設定!$B$3),"",IF(INDEX(原始資料!W$2:W$501,$BJ349)="","",INDEX(原始資料!W$2:W$501,$BJ349)))</f>
        <v/>
      </c>
      <c r="V349" s="6">
        <f>IF(OR($BJ349="",21&gt;設定!$B$3),"",IF(INDEX(原始資料!X$2:X$501,$BJ349)="","",INDEX(原始資料!X$2:X$501,$BJ349)))</f>
        <v/>
      </c>
      <c r="W349" s="6">
        <f>IF(OR($BJ349="",22&gt;設定!$B$3),"",IF(INDEX(原始資料!Y$2:Y$501,$BJ349)="","",INDEX(原始資料!Y$2:Y$501,$BJ349)))</f>
        <v/>
      </c>
      <c r="X349" s="6">
        <f>IF(OR($BJ349="",23&gt;設定!$B$3),"",IF(INDEX(原始資料!Z$2:Z$501,$BJ349)="","",INDEX(原始資料!Z$2:Z$501,$BJ349)))</f>
        <v/>
      </c>
      <c r="Y349" s="6">
        <f>IF(OR($BJ349="",24&gt;設定!$B$3),"",IF(INDEX(原始資料!AA$2:AA$501,$BJ349)="","",INDEX(原始資料!AA$2:AA$501,$BJ349)))</f>
        <v/>
      </c>
      <c r="Z349" s="6">
        <f>IF(OR($BJ349="",25&gt;設定!$B$3),"",IF(INDEX(原始資料!AB$2:AB$501,$BJ349)="","",INDEX(原始資料!AB$2:AB$501,$BJ349)))</f>
        <v/>
      </c>
      <c r="AA349" s="6">
        <f>IF(OR($BJ349="",26&gt;設定!$B$3),"",IF(INDEX(原始資料!AC$2:AC$501,$BJ349)="","",INDEX(原始資料!AC$2:AC$501,$BJ349)))</f>
        <v/>
      </c>
      <c r="AB349" s="6">
        <f>IF(OR($BJ349="",27&gt;設定!$B$3),"",IF(INDEX(原始資料!AD$2:AD$501,$BJ349)="","",INDEX(原始資料!AD$2:AD$501,$BJ349)))</f>
        <v/>
      </c>
      <c r="AC349" s="6">
        <f>IF(OR($BJ349="",28&gt;設定!$B$3),"",IF(INDEX(原始資料!AE$2:AE$501,$BJ349)="","",INDEX(原始資料!AE$2:AE$501,$BJ349)))</f>
        <v/>
      </c>
      <c r="AD349" s="6">
        <f>IF(OR($BJ349="",29&gt;設定!$B$3),"",IF(INDEX(原始資料!AF$2:AF$501,$BJ349)="","",INDEX(原始資料!AF$2:AF$501,$BJ349)))</f>
        <v/>
      </c>
      <c r="AE349" s="6">
        <f>IF(OR($BJ349="",30&gt;設定!$B$3),"",IF(INDEX(原始資料!AG$2:AG$501,$BJ349)="","",INDEX(原始資料!AG$2:AG$501,$BJ349)))</f>
        <v/>
      </c>
      <c r="AF349" s="6">
        <f>IF(OR($BJ349="",31&gt;設定!$B$3),"",IF(INDEX(原始資料!AH$2:AH$501,$BJ349)="","",INDEX(原始資料!AH$2:AH$501,$BJ349)))</f>
        <v/>
      </c>
      <c r="AG349" s="6">
        <f>IF(OR($BJ349="",32&gt;設定!$B$3),"",IF(INDEX(原始資料!AI$2:AI$501,$BJ349)="","",INDEX(原始資料!AI$2:AI$501,$BJ349)))</f>
        <v/>
      </c>
      <c r="AH349" s="6">
        <f>IF(OR($BJ349="",33&gt;設定!$B$3),"",IF(INDEX(原始資料!AJ$2:AJ$501,$BJ349)="","",INDEX(原始資料!AJ$2:AJ$501,$BJ349)))</f>
        <v/>
      </c>
      <c r="AI349" s="6">
        <f>IF(OR($BJ349="",34&gt;設定!$B$3),"",IF(INDEX(原始資料!AK$2:AK$501,$BJ349)="","",INDEX(原始資料!AK$2:AK$501,$BJ349)))</f>
        <v/>
      </c>
      <c r="AJ349" s="6">
        <f>IF(OR($BJ349="",35&gt;設定!$B$3),"",IF(INDEX(原始資料!AL$2:AL$501,$BJ349)="","",INDEX(原始資料!AL$2:AL$501,$BJ349)))</f>
        <v/>
      </c>
      <c r="AK349" s="6">
        <f>IF(OR($BJ349="",36&gt;設定!$B$3),"",IF(INDEX(原始資料!AM$2:AM$501,$BJ349)="","",INDEX(原始資料!AM$2:AM$501,$BJ349)))</f>
        <v/>
      </c>
      <c r="AL349" s="6">
        <f>IF(OR($BJ349="",37&gt;設定!$B$3),"",IF(INDEX(原始資料!AN$2:AN$501,$BJ349)="","",INDEX(原始資料!AN$2:AN$501,$BJ349)))</f>
        <v/>
      </c>
      <c r="AM349" s="6">
        <f>IF(OR($BJ349="",38&gt;設定!$B$3),"",IF(INDEX(原始資料!AO$2:AO$501,$BJ349)="","",INDEX(原始資料!AO$2:AO$501,$BJ349)))</f>
        <v/>
      </c>
      <c r="AN349" s="6">
        <f>IF(OR($BJ349="",39&gt;設定!$B$3),"",IF(INDEX(原始資料!AP$2:AP$501,$BJ349)="","",INDEX(原始資料!AP$2:AP$501,$BJ349)))</f>
        <v/>
      </c>
      <c r="AO349" s="6">
        <f>IF(OR($BJ349="",40&gt;設定!$B$3),"",IF(INDEX(原始資料!AQ$2:AQ$501,$BJ349)="","",INDEX(原始資料!AQ$2:AQ$501,$BJ349)))</f>
        <v/>
      </c>
      <c r="AP349" s="6">
        <f>IF(OR($BJ349="",41&gt;設定!$B$3),"",IF(INDEX(原始資料!AR$2:AR$501,$BJ349)="","",INDEX(原始資料!AR$2:AR$501,$BJ349)))</f>
        <v/>
      </c>
      <c r="AQ349" s="6">
        <f>IF(OR($BJ349="",42&gt;設定!$B$3),"",IF(INDEX(原始資料!AS$2:AS$501,$BJ349)="","",INDEX(原始資料!AS$2:AS$501,$BJ349)))</f>
        <v/>
      </c>
      <c r="AR349" s="6">
        <f>IF(OR($BJ349="",43&gt;設定!$B$3),"",IF(INDEX(原始資料!AT$2:AT$501,$BJ349)="","",INDEX(原始資料!AT$2:AT$501,$BJ349)))</f>
        <v/>
      </c>
      <c r="AS349" s="6">
        <f>IF(OR($BJ349="",44&gt;設定!$B$3),"",IF(INDEX(原始資料!AU$2:AU$501,$BJ349)="","",INDEX(原始資料!AU$2:AU$501,$BJ349)))</f>
        <v/>
      </c>
      <c r="AT349" s="6">
        <f>IF(OR($BJ349="",45&gt;設定!$B$3),"",IF(INDEX(原始資料!AV$2:AV$501,$BJ349)="","",INDEX(原始資料!AV$2:AV$501,$BJ349)))</f>
        <v/>
      </c>
      <c r="AU349" s="6">
        <f>IF(OR($BJ349="",46&gt;設定!$B$3),"",IF(INDEX(原始資料!AW$2:AW$501,$BJ349)="","",INDEX(原始資料!AW$2:AW$501,$BJ349)))</f>
        <v/>
      </c>
      <c r="AV349" s="6">
        <f>IF(OR($BJ349="",47&gt;設定!$B$3),"",IF(INDEX(原始資料!AX$2:AX$501,$BJ349)="","",INDEX(原始資料!AX$2:AX$501,$BJ349)))</f>
        <v/>
      </c>
      <c r="AW349" s="6">
        <f>IF(OR($BJ349="",48&gt;設定!$B$3),"",IF(INDEX(原始資料!AY$2:AY$501,$BJ349)="","",INDEX(原始資料!AY$2:AY$501,$BJ349)))</f>
        <v/>
      </c>
      <c r="AX349" s="6">
        <f>IF(OR($BJ349="",49&gt;設定!$B$3),"",IF(INDEX(原始資料!AZ$2:AZ$501,$BJ349)="","",INDEX(原始資料!AZ$2:AZ$501,$BJ349)))</f>
        <v/>
      </c>
      <c r="AY349" s="6">
        <f>IF(OR($BJ349="",50&gt;設定!$B$3),"",IF(INDEX(原始資料!BA$2:BA$501,$BJ349)="","",INDEX(原始資料!BA$2:BA$501,$BJ349)))</f>
        <v/>
      </c>
      <c r="AZ349" s="6">
        <f>IF(OR($BJ349="",51&gt;設定!$B$3),"",IF(INDEX(原始資料!BB$2:BB$501,$BJ349)="","",INDEX(原始資料!BB$2:BB$501,$BJ349)))</f>
        <v/>
      </c>
      <c r="BA349" s="6">
        <f>IF(OR($BJ349="",52&gt;設定!$B$3),"",IF(INDEX(原始資料!BC$2:BC$501,$BJ349)="","",INDEX(原始資料!BC$2:BC$501,$BJ349)))</f>
        <v/>
      </c>
      <c r="BB349" s="6">
        <f>IF(OR($BJ349="",53&gt;設定!$B$3),"",IF(INDEX(原始資料!BD$2:BD$501,$BJ349)="","",INDEX(原始資料!BD$2:BD$501,$BJ349)))</f>
        <v/>
      </c>
      <c r="BC349" s="6">
        <f>IF(OR($BJ349="",54&gt;設定!$B$3),"",IF(INDEX(原始資料!BE$2:BE$501,$BJ349)="","",INDEX(原始資料!BE$2:BE$501,$BJ349)))</f>
        <v/>
      </c>
      <c r="BD349" s="6">
        <f>IF(OR($BJ349="",55&gt;設定!$B$3),"",IF(INDEX(原始資料!BF$2:BF$501,$BJ349)="","",INDEX(原始資料!BF$2:BF$501,$BJ349)))</f>
        <v/>
      </c>
      <c r="BE349" s="6">
        <f>IF(OR($BJ349="",56&gt;設定!$B$3),"",IF(INDEX(原始資料!BG$2:BG$501,$BJ349)="","",INDEX(原始資料!BG$2:BG$501,$BJ349)))</f>
        <v/>
      </c>
      <c r="BF349" s="6">
        <f>IF(OR($BJ349="",57&gt;設定!$B$3),"",IF(INDEX(原始資料!BH$2:BH$501,$BJ349)="","",INDEX(原始資料!BH$2:BH$501,$BJ349)))</f>
        <v/>
      </c>
      <c r="BG349" s="6">
        <f>IF(OR($BJ349="",58&gt;設定!$B$3),"",IF(INDEX(原始資料!BI$2:BI$501,$BJ349)="","",INDEX(原始資料!BI$2:BI$501,$BJ349)))</f>
        <v/>
      </c>
      <c r="BH349" s="6">
        <f>IF(OR($BJ349="",59&gt;設定!$B$3),"",IF(INDEX(原始資料!BJ$2:BJ$501,$BJ349)="","",INDEX(原始資料!BJ$2:BJ$501,$BJ349)))</f>
        <v/>
      </c>
      <c r="BI349" s="6">
        <f>IF(OR($BJ349="",60&gt;設定!$B$3),"",IF(INDEX(原始資料!BK$2:BK$501,$BJ349)="","",INDEX(原始資料!BK$2:BK$501,$BJ349)))</f>
        <v/>
      </c>
      <c r="BJ349" s="6">
        <f>IFERROR(MATCH(ROW()-1,判定!$H$2:$H$501,0),"")</f>
        <v/>
      </c>
    </row>
    <row r="350">
      <c r="A350" s="6">
        <f>IF($BJ350="","",INDEX(原始資料!$A$2:$A$501,$BJ350))</f>
        <v/>
      </c>
      <c r="B350" s="6">
        <f>IF(OR($BJ350="",1&gt;設定!$B$3),"",IF(INDEX(原始資料!D$2:D$501,$BJ350)="","",INDEX(原始資料!D$2:D$501,$BJ350)))</f>
        <v/>
      </c>
      <c r="C350" s="6">
        <f>IF(OR($BJ350="",2&gt;設定!$B$3),"",IF(INDEX(原始資料!E$2:E$501,$BJ350)="","",INDEX(原始資料!E$2:E$501,$BJ350)))</f>
        <v/>
      </c>
      <c r="D350" s="6">
        <f>IF(OR($BJ350="",3&gt;設定!$B$3),"",IF(INDEX(原始資料!F$2:F$501,$BJ350)="","",INDEX(原始資料!F$2:F$501,$BJ350)))</f>
        <v/>
      </c>
      <c r="E350" s="6">
        <f>IF(OR($BJ350="",4&gt;設定!$B$3),"",IF(INDEX(原始資料!G$2:G$501,$BJ350)="","",INDEX(原始資料!G$2:G$501,$BJ350)))</f>
        <v/>
      </c>
      <c r="F350" s="6">
        <f>IF(OR($BJ350="",5&gt;設定!$B$3),"",IF(INDEX(原始資料!H$2:H$501,$BJ350)="","",INDEX(原始資料!H$2:H$501,$BJ350)))</f>
        <v/>
      </c>
      <c r="G350" s="6">
        <f>IF(OR($BJ350="",6&gt;設定!$B$3),"",IF(INDEX(原始資料!I$2:I$501,$BJ350)="","",INDEX(原始資料!I$2:I$501,$BJ350)))</f>
        <v/>
      </c>
      <c r="H350" s="6">
        <f>IF(OR($BJ350="",7&gt;設定!$B$3),"",IF(INDEX(原始資料!J$2:J$501,$BJ350)="","",INDEX(原始資料!J$2:J$501,$BJ350)))</f>
        <v/>
      </c>
      <c r="I350" s="6">
        <f>IF(OR($BJ350="",8&gt;設定!$B$3),"",IF(INDEX(原始資料!K$2:K$501,$BJ350)="","",INDEX(原始資料!K$2:K$501,$BJ350)))</f>
        <v/>
      </c>
      <c r="J350" s="6">
        <f>IF(OR($BJ350="",9&gt;設定!$B$3),"",IF(INDEX(原始資料!L$2:L$501,$BJ350)="","",INDEX(原始資料!L$2:L$501,$BJ350)))</f>
        <v/>
      </c>
      <c r="K350" s="6">
        <f>IF(OR($BJ350="",10&gt;設定!$B$3),"",IF(INDEX(原始資料!M$2:M$501,$BJ350)="","",INDEX(原始資料!M$2:M$501,$BJ350)))</f>
        <v/>
      </c>
      <c r="L350" s="6">
        <f>IF(OR($BJ350="",11&gt;設定!$B$3),"",IF(INDEX(原始資料!N$2:N$501,$BJ350)="","",INDEX(原始資料!N$2:N$501,$BJ350)))</f>
        <v/>
      </c>
      <c r="M350" s="6">
        <f>IF(OR($BJ350="",12&gt;設定!$B$3),"",IF(INDEX(原始資料!O$2:O$501,$BJ350)="","",INDEX(原始資料!O$2:O$501,$BJ350)))</f>
        <v/>
      </c>
      <c r="N350" s="6">
        <f>IF(OR($BJ350="",13&gt;設定!$B$3),"",IF(INDEX(原始資料!P$2:P$501,$BJ350)="","",INDEX(原始資料!P$2:P$501,$BJ350)))</f>
        <v/>
      </c>
      <c r="O350" s="6">
        <f>IF(OR($BJ350="",14&gt;設定!$B$3),"",IF(INDEX(原始資料!Q$2:Q$501,$BJ350)="","",INDEX(原始資料!Q$2:Q$501,$BJ350)))</f>
        <v/>
      </c>
      <c r="P350" s="6">
        <f>IF(OR($BJ350="",15&gt;設定!$B$3),"",IF(INDEX(原始資料!R$2:R$501,$BJ350)="","",INDEX(原始資料!R$2:R$501,$BJ350)))</f>
        <v/>
      </c>
      <c r="Q350" s="6">
        <f>IF(OR($BJ350="",16&gt;設定!$B$3),"",IF(INDEX(原始資料!S$2:S$501,$BJ350)="","",INDEX(原始資料!S$2:S$501,$BJ350)))</f>
        <v/>
      </c>
      <c r="R350" s="6">
        <f>IF(OR($BJ350="",17&gt;設定!$B$3),"",IF(INDEX(原始資料!T$2:T$501,$BJ350)="","",INDEX(原始資料!T$2:T$501,$BJ350)))</f>
        <v/>
      </c>
      <c r="S350" s="6">
        <f>IF(OR($BJ350="",18&gt;設定!$B$3),"",IF(INDEX(原始資料!U$2:U$501,$BJ350)="","",INDEX(原始資料!U$2:U$501,$BJ350)))</f>
        <v/>
      </c>
      <c r="T350" s="6">
        <f>IF(OR($BJ350="",19&gt;設定!$B$3),"",IF(INDEX(原始資料!V$2:V$501,$BJ350)="","",INDEX(原始資料!V$2:V$501,$BJ350)))</f>
        <v/>
      </c>
      <c r="U350" s="6">
        <f>IF(OR($BJ350="",20&gt;設定!$B$3),"",IF(INDEX(原始資料!W$2:W$501,$BJ350)="","",INDEX(原始資料!W$2:W$501,$BJ350)))</f>
        <v/>
      </c>
      <c r="V350" s="6">
        <f>IF(OR($BJ350="",21&gt;設定!$B$3),"",IF(INDEX(原始資料!X$2:X$501,$BJ350)="","",INDEX(原始資料!X$2:X$501,$BJ350)))</f>
        <v/>
      </c>
      <c r="W350" s="6">
        <f>IF(OR($BJ350="",22&gt;設定!$B$3),"",IF(INDEX(原始資料!Y$2:Y$501,$BJ350)="","",INDEX(原始資料!Y$2:Y$501,$BJ350)))</f>
        <v/>
      </c>
      <c r="X350" s="6">
        <f>IF(OR($BJ350="",23&gt;設定!$B$3),"",IF(INDEX(原始資料!Z$2:Z$501,$BJ350)="","",INDEX(原始資料!Z$2:Z$501,$BJ350)))</f>
        <v/>
      </c>
      <c r="Y350" s="6">
        <f>IF(OR($BJ350="",24&gt;設定!$B$3),"",IF(INDEX(原始資料!AA$2:AA$501,$BJ350)="","",INDEX(原始資料!AA$2:AA$501,$BJ350)))</f>
        <v/>
      </c>
      <c r="Z350" s="6">
        <f>IF(OR($BJ350="",25&gt;設定!$B$3),"",IF(INDEX(原始資料!AB$2:AB$501,$BJ350)="","",INDEX(原始資料!AB$2:AB$501,$BJ350)))</f>
        <v/>
      </c>
      <c r="AA350" s="6">
        <f>IF(OR($BJ350="",26&gt;設定!$B$3),"",IF(INDEX(原始資料!AC$2:AC$501,$BJ350)="","",INDEX(原始資料!AC$2:AC$501,$BJ350)))</f>
        <v/>
      </c>
      <c r="AB350" s="6">
        <f>IF(OR($BJ350="",27&gt;設定!$B$3),"",IF(INDEX(原始資料!AD$2:AD$501,$BJ350)="","",INDEX(原始資料!AD$2:AD$501,$BJ350)))</f>
        <v/>
      </c>
      <c r="AC350" s="6">
        <f>IF(OR($BJ350="",28&gt;設定!$B$3),"",IF(INDEX(原始資料!AE$2:AE$501,$BJ350)="","",INDEX(原始資料!AE$2:AE$501,$BJ350)))</f>
        <v/>
      </c>
      <c r="AD350" s="6">
        <f>IF(OR($BJ350="",29&gt;設定!$B$3),"",IF(INDEX(原始資料!AF$2:AF$501,$BJ350)="","",INDEX(原始資料!AF$2:AF$501,$BJ350)))</f>
        <v/>
      </c>
      <c r="AE350" s="6">
        <f>IF(OR($BJ350="",30&gt;設定!$B$3),"",IF(INDEX(原始資料!AG$2:AG$501,$BJ350)="","",INDEX(原始資料!AG$2:AG$501,$BJ350)))</f>
        <v/>
      </c>
      <c r="AF350" s="6">
        <f>IF(OR($BJ350="",31&gt;設定!$B$3),"",IF(INDEX(原始資料!AH$2:AH$501,$BJ350)="","",INDEX(原始資料!AH$2:AH$501,$BJ350)))</f>
        <v/>
      </c>
      <c r="AG350" s="6">
        <f>IF(OR($BJ350="",32&gt;設定!$B$3),"",IF(INDEX(原始資料!AI$2:AI$501,$BJ350)="","",INDEX(原始資料!AI$2:AI$501,$BJ350)))</f>
        <v/>
      </c>
      <c r="AH350" s="6">
        <f>IF(OR($BJ350="",33&gt;設定!$B$3),"",IF(INDEX(原始資料!AJ$2:AJ$501,$BJ350)="","",INDEX(原始資料!AJ$2:AJ$501,$BJ350)))</f>
        <v/>
      </c>
      <c r="AI350" s="6">
        <f>IF(OR($BJ350="",34&gt;設定!$B$3),"",IF(INDEX(原始資料!AK$2:AK$501,$BJ350)="","",INDEX(原始資料!AK$2:AK$501,$BJ350)))</f>
        <v/>
      </c>
      <c r="AJ350" s="6">
        <f>IF(OR($BJ350="",35&gt;設定!$B$3),"",IF(INDEX(原始資料!AL$2:AL$501,$BJ350)="","",INDEX(原始資料!AL$2:AL$501,$BJ350)))</f>
        <v/>
      </c>
      <c r="AK350" s="6">
        <f>IF(OR($BJ350="",36&gt;設定!$B$3),"",IF(INDEX(原始資料!AM$2:AM$501,$BJ350)="","",INDEX(原始資料!AM$2:AM$501,$BJ350)))</f>
        <v/>
      </c>
      <c r="AL350" s="6">
        <f>IF(OR($BJ350="",37&gt;設定!$B$3),"",IF(INDEX(原始資料!AN$2:AN$501,$BJ350)="","",INDEX(原始資料!AN$2:AN$501,$BJ350)))</f>
        <v/>
      </c>
      <c r="AM350" s="6">
        <f>IF(OR($BJ350="",38&gt;設定!$B$3),"",IF(INDEX(原始資料!AO$2:AO$501,$BJ350)="","",INDEX(原始資料!AO$2:AO$501,$BJ350)))</f>
        <v/>
      </c>
      <c r="AN350" s="6">
        <f>IF(OR($BJ350="",39&gt;設定!$B$3),"",IF(INDEX(原始資料!AP$2:AP$501,$BJ350)="","",INDEX(原始資料!AP$2:AP$501,$BJ350)))</f>
        <v/>
      </c>
      <c r="AO350" s="6">
        <f>IF(OR($BJ350="",40&gt;設定!$B$3),"",IF(INDEX(原始資料!AQ$2:AQ$501,$BJ350)="","",INDEX(原始資料!AQ$2:AQ$501,$BJ350)))</f>
        <v/>
      </c>
      <c r="AP350" s="6">
        <f>IF(OR($BJ350="",41&gt;設定!$B$3),"",IF(INDEX(原始資料!AR$2:AR$501,$BJ350)="","",INDEX(原始資料!AR$2:AR$501,$BJ350)))</f>
        <v/>
      </c>
      <c r="AQ350" s="6">
        <f>IF(OR($BJ350="",42&gt;設定!$B$3),"",IF(INDEX(原始資料!AS$2:AS$501,$BJ350)="","",INDEX(原始資料!AS$2:AS$501,$BJ350)))</f>
        <v/>
      </c>
      <c r="AR350" s="6">
        <f>IF(OR($BJ350="",43&gt;設定!$B$3),"",IF(INDEX(原始資料!AT$2:AT$501,$BJ350)="","",INDEX(原始資料!AT$2:AT$501,$BJ350)))</f>
        <v/>
      </c>
      <c r="AS350" s="6">
        <f>IF(OR($BJ350="",44&gt;設定!$B$3),"",IF(INDEX(原始資料!AU$2:AU$501,$BJ350)="","",INDEX(原始資料!AU$2:AU$501,$BJ350)))</f>
        <v/>
      </c>
      <c r="AT350" s="6">
        <f>IF(OR($BJ350="",45&gt;設定!$B$3),"",IF(INDEX(原始資料!AV$2:AV$501,$BJ350)="","",INDEX(原始資料!AV$2:AV$501,$BJ350)))</f>
        <v/>
      </c>
      <c r="AU350" s="6">
        <f>IF(OR($BJ350="",46&gt;設定!$B$3),"",IF(INDEX(原始資料!AW$2:AW$501,$BJ350)="","",INDEX(原始資料!AW$2:AW$501,$BJ350)))</f>
        <v/>
      </c>
      <c r="AV350" s="6">
        <f>IF(OR($BJ350="",47&gt;設定!$B$3),"",IF(INDEX(原始資料!AX$2:AX$501,$BJ350)="","",INDEX(原始資料!AX$2:AX$501,$BJ350)))</f>
        <v/>
      </c>
      <c r="AW350" s="6">
        <f>IF(OR($BJ350="",48&gt;設定!$B$3),"",IF(INDEX(原始資料!AY$2:AY$501,$BJ350)="","",INDEX(原始資料!AY$2:AY$501,$BJ350)))</f>
        <v/>
      </c>
      <c r="AX350" s="6">
        <f>IF(OR($BJ350="",49&gt;設定!$B$3),"",IF(INDEX(原始資料!AZ$2:AZ$501,$BJ350)="","",INDEX(原始資料!AZ$2:AZ$501,$BJ350)))</f>
        <v/>
      </c>
      <c r="AY350" s="6">
        <f>IF(OR($BJ350="",50&gt;設定!$B$3),"",IF(INDEX(原始資料!BA$2:BA$501,$BJ350)="","",INDEX(原始資料!BA$2:BA$501,$BJ350)))</f>
        <v/>
      </c>
      <c r="AZ350" s="6">
        <f>IF(OR($BJ350="",51&gt;設定!$B$3),"",IF(INDEX(原始資料!BB$2:BB$501,$BJ350)="","",INDEX(原始資料!BB$2:BB$501,$BJ350)))</f>
        <v/>
      </c>
      <c r="BA350" s="6">
        <f>IF(OR($BJ350="",52&gt;設定!$B$3),"",IF(INDEX(原始資料!BC$2:BC$501,$BJ350)="","",INDEX(原始資料!BC$2:BC$501,$BJ350)))</f>
        <v/>
      </c>
      <c r="BB350" s="6">
        <f>IF(OR($BJ350="",53&gt;設定!$B$3),"",IF(INDEX(原始資料!BD$2:BD$501,$BJ350)="","",INDEX(原始資料!BD$2:BD$501,$BJ350)))</f>
        <v/>
      </c>
      <c r="BC350" s="6">
        <f>IF(OR($BJ350="",54&gt;設定!$B$3),"",IF(INDEX(原始資料!BE$2:BE$501,$BJ350)="","",INDEX(原始資料!BE$2:BE$501,$BJ350)))</f>
        <v/>
      </c>
      <c r="BD350" s="6">
        <f>IF(OR($BJ350="",55&gt;設定!$B$3),"",IF(INDEX(原始資料!BF$2:BF$501,$BJ350)="","",INDEX(原始資料!BF$2:BF$501,$BJ350)))</f>
        <v/>
      </c>
      <c r="BE350" s="6">
        <f>IF(OR($BJ350="",56&gt;設定!$B$3),"",IF(INDEX(原始資料!BG$2:BG$501,$BJ350)="","",INDEX(原始資料!BG$2:BG$501,$BJ350)))</f>
        <v/>
      </c>
      <c r="BF350" s="6">
        <f>IF(OR($BJ350="",57&gt;設定!$B$3),"",IF(INDEX(原始資料!BH$2:BH$501,$BJ350)="","",INDEX(原始資料!BH$2:BH$501,$BJ350)))</f>
        <v/>
      </c>
      <c r="BG350" s="6">
        <f>IF(OR($BJ350="",58&gt;設定!$B$3),"",IF(INDEX(原始資料!BI$2:BI$501,$BJ350)="","",INDEX(原始資料!BI$2:BI$501,$BJ350)))</f>
        <v/>
      </c>
      <c r="BH350" s="6">
        <f>IF(OR($BJ350="",59&gt;設定!$B$3),"",IF(INDEX(原始資料!BJ$2:BJ$501,$BJ350)="","",INDEX(原始資料!BJ$2:BJ$501,$BJ350)))</f>
        <v/>
      </c>
      <c r="BI350" s="6">
        <f>IF(OR($BJ350="",60&gt;設定!$B$3),"",IF(INDEX(原始資料!BK$2:BK$501,$BJ350)="","",INDEX(原始資料!BK$2:BK$501,$BJ350)))</f>
        <v/>
      </c>
      <c r="BJ350" s="6">
        <f>IFERROR(MATCH(ROW()-1,判定!$H$2:$H$501,0),"")</f>
        <v/>
      </c>
    </row>
    <row r="351">
      <c r="A351" s="6">
        <f>IF($BJ351="","",INDEX(原始資料!$A$2:$A$501,$BJ351))</f>
        <v/>
      </c>
      <c r="B351" s="6">
        <f>IF(OR($BJ351="",1&gt;設定!$B$3),"",IF(INDEX(原始資料!D$2:D$501,$BJ351)="","",INDEX(原始資料!D$2:D$501,$BJ351)))</f>
        <v/>
      </c>
      <c r="C351" s="6">
        <f>IF(OR($BJ351="",2&gt;設定!$B$3),"",IF(INDEX(原始資料!E$2:E$501,$BJ351)="","",INDEX(原始資料!E$2:E$501,$BJ351)))</f>
        <v/>
      </c>
      <c r="D351" s="6">
        <f>IF(OR($BJ351="",3&gt;設定!$B$3),"",IF(INDEX(原始資料!F$2:F$501,$BJ351)="","",INDEX(原始資料!F$2:F$501,$BJ351)))</f>
        <v/>
      </c>
      <c r="E351" s="6">
        <f>IF(OR($BJ351="",4&gt;設定!$B$3),"",IF(INDEX(原始資料!G$2:G$501,$BJ351)="","",INDEX(原始資料!G$2:G$501,$BJ351)))</f>
        <v/>
      </c>
      <c r="F351" s="6">
        <f>IF(OR($BJ351="",5&gt;設定!$B$3),"",IF(INDEX(原始資料!H$2:H$501,$BJ351)="","",INDEX(原始資料!H$2:H$501,$BJ351)))</f>
        <v/>
      </c>
      <c r="G351" s="6">
        <f>IF(OR($BJ351="",6&gt;設定!$B$3),"",IF(INDEX(原始資料!I$2:I$501,$BJ351)="","",INDEX(原始資料!I$2:I$501,$BJ351)))</f>
        <v/>
      </c>
      <c r="H351" s="6">
        <f>IF(OR($BJ351="",7&gt;設定!$B$3),"",IF(INDEX(原始資料!J$2:J$501,$BJ351)="","",INDEX(原始資料!J$2:J$501,$BJ351)))</f>
        <v/>
      </c>
      <c r="I351" s="6">
        <f>IF(OR($BJ351="",8&gt;設定!$B$3),"",IF(INDEX(原始資料!K$2:K$501,$BJ351)="","",INDEX(原始資料!K$2:K$501,$BJ351)))</f>
        <v/>
      </c>
      <c r="J351" s="6">
        <f>IF(OR($BJ351="",9&gt;設定!$B$3),"",IF(INDEX(原始資料!L$2:L$501,$BJ351)="","",INDEX(原始資料!L$2:L$501,$BJ351)))</f>
        <v/>
      </c>
      <c r="K351" s="6">
        <f>IF(OR($BJ351="",10&gt;設定!$B$3),"",IF(INDEX(原始資料!M$2:M$501,$BJ351)="","",INDEX(原始資料!M$2:M$501,$BJ351)))</f>
        <v/>
      </c>
      <c r="L351" s="6">
        <f>IF(OR($BJ351="",11&gt;設定!$B$3),"",IF(INDEX(原始資料!N$2:N$501,$BJ351)="","",INDEX(原始資料!N$2:N$501,$BJ351)))</f>
        <v/>
      </c>
      <c r="M351" s="6">
        <f>IF(OR($BJ351="",12&gt;設定!$B$3),"",IF(INDEX(原始資料!O$2:O$501,$BJ351)="","",INDEX(原始資料!O$2:O$501,$BJ351)))</f>
        <v/>
      </c>
      <c r="N351" s="6">
        <f>IF(OR($BJ351="",13&gt;設定!$B$3),"",IF(INDEX(原始資料!P$2:P$501,$BJ351)="","",INDEX(原始資料!P$2:P$501,$BJ351)))</f>
        <v/>
      </c>
      <c r="O351" s="6">
        <f>IF(OR($BJ351="",14&gt;設定!$B$3),"",IF(INDEX(原始資料!Q$2:Q$501,$BJ351)="","",INDEX(原始資料!Q$2:Q$501,$BJ351)))</f>
        <v/>
      </c>
      <c r="P351" s="6">
        <f>IF(OR($BJ351="",15&gt;設定!$B$3),"",IF(INDEX(原始資料!R$2:R$501,$BJ351)="","",INDEX(原始資料!R$2:R$501,$BJ351)))</f>
        <v/>
      </c>
      <c r="Q351" s="6">
        <f>IF(OR($BJ351="",16&gt;設定!$B$3),"",IF(INDEX(原始資料!S$2:S$501,$BJ351)="","",INDEX(原始資料!S$2:S$501,$BJ351)))</f>
        <v/>
      </c>
      <c r="R351" s="6">
        <f>IF(OR($BJ351="",17&gt;設定!$B$3),"",IF(INDEX(原始資料!T$2:T$501,$BJ351)="","",INDEX(原始資料!T$2:T$501,$BJ351)))</f>
        <v/>
      </c>
      <c r="S351" s="6">
        <f>IF(OR($BJ351="",18&gt;設定!$B$3),"",IF(INDEX(原始資料!U$2:U$501,$BJ351)="","",INDEX(原始資料!U$2:U$501,$BJ351)))</f>
        <v/>
      </c>
      <c r="T351" s="6">
        <f>IF(OR($BJ351="",19&gt;設定!$B$3),"",IF(INDEX(原始資料!V$2:V$501,$BJ351)="","",INDEX(原始資料!V$2:V$501,$BJ351)))</f>
        <v/>
      </c>
      <c r="U351" s="6">
        <f>IF(OR($BJ351="",20&gt;設定!$B$3),"",IF(INDEX(原始資料!W$2:W$501,$BJ351)="","",INDEX(原始資料!W$2:W$501,$BJ351)))</f>
        <v/>
      </c>
      <c r="V351" s="6">
        <f>IF(OR($BJ351="",21&gt;設定!$B$3),"",IF(INDEX(原始資料!X$2:X$501,$BJ351)="","",INDEX(原始資料!X$2:X$501,$BJ351)))</f>
        <v/>
      </c>
      <c r="W351" s="6">
        <f>IF(OR($BJ351="",22&gt;設定!$B$3),"",IF(INDEX(原始資料!Y$2:Y$501,$BJ351)="","",INDEX(原始資料!Y$2:Y$501,$BJ351)))</f>
        <v/>
      </c>
      <c r="X351" s="6">
        <f>IF(OR($BJ351="",23&gt;設定!$B$3),"",IF(INDEX(原始資料!Z$2:Z$501,$BJ351)="","",INDEX(原始資料!Z$2:Z$501,$BJ351)))</f>
        <v/>
      </c>
      <c r="Y351" s="6">
        <f>IF(OR($BJ351="",24&gt;設定!$B$3),"",IF(INDEX(原始資料!AA$2:AA$501,$BJ351)="","",INDEX(原始資料!AA$2:AA$501,$BJ351)))</f>
        <v/>
      </c>
      <c r="Z351" s="6">
        <f>IF(OR($BJ351="",25&gt;設定!$B$3),"",IF(INDEX(原始資料!AB$2:AB$501,$BJ351)="","",INDEX(原始資料!AB$2:AB$501,$BJ351)))</f>
        <v/>
      </c>
      <c r="AA351" s="6">
        <f>IF(OR($BJ351="",26&gt;設定!$B$3),"",IF(INDEX(原始資料!AC$2:AC$501,$BJ351)="","",INDEX(原始資料!AC$2:AC$501,$BJ351)))</f>
        <v/>
      </c>
      <c r="AB351" s="6">
        <f>IF(OR($BJ351="",27&gt;設定!$B$3),"",IF(INDEX(原始資料!AD$2:AD$501,$BJ351)="","",INDEX(原始資料!AD$2:AD$501,$BJ351)))</f>
        <v/>
      </c>
      <c r="AC351" s="6">
        <f>IF(OR($BJ351="",28&gt;設定!$B$3),"",IF(INDEX(原始資料!AE$2:AE$501,$BJ351)="","",INDEX(原始資料!AE$2:AE$501,$BJ351)))</f>
        <v/>
      </c>
      <c r="AD351" s="6">
        <f>IF(OR($BJ351="",29&gt;設定!$B$3),"",IF(INDEX(原始資料!AF$2:AF$501,$BJ351)="","",INDEX(原始資料!AF$2:AF$501,$BJ351)))</f>
        <v/>
      </c>
      <c r="AE351" s="6">
        <f>IF(OR($BJ351="",30&gt;設定!$B$3),"",IF(INDEX(原始資料!AG$2:AG$501,$BJ351)="","",INDEX(原始資料!AG$2:AG$501,$BJ351)))</f>
        <v/>
      </c>
      <c r="AF351" s="6">
        <f>IF(OR($BJ351="",31&gt;設定!$B$3),"",IF(INDEX(原始資料!AH$2:AH$501,$BJ351)="","",INDEX(原始資料!AH$2:AH$501,$BJ351)))</f>
        <v/>
      </c>
      <c r="AG351" s="6">
        <f>IF(OR($BJ351="",32&gt;設定!$B$3),"",IF(INDEX(原始資料!AI$2:AI$501,$BJ351)="","",INDEX(原始資料!AI$2:AI$501,$BJ351)))</f>
        <v/>
      </c>
      <c r="AH351" s="6">
        <f>IF(OR($BJ351="",33&gt;設定!$B$3),"",IF(INDEX(原始資料!AJ$2:AJ$501,$BJ351)="","",INDEX(原始資料!AJ$2:AJ$501,$BJ351)))</f>
        <v/>
      </c>
      <c r="AI351" s="6">
        <f>IF(OR($BJ351="",34&gt;設定!$B$3),"",IF(INDEX(原始資料!AK$2:AK$501,$BJ351)="","",INDEX(原始資料!AK$2:AK$501,$BJ351)))</f>
        <v/>
      </c>
      <c r="AJ351" s="6">
        <f>IF(OR($BJ351="",35&gt;設定!$B$3),"",IF(INDEX(原始資料!AL$2:AL$501,$BJ351)="","",INDEX(原始資料!AL$2:AL$501,$BJ351)))</f>
        <v/>
      </c>
      <c r="AK351" s="6">
        <f>IF(OR($BJ351="",36&gt;設定!$B$3),"",IF(INDEX(原始資料!AM$2:AM$501,$BJ351)="","",INDEX(原始資料!AM$2:AM$501,$BJ351)))</f>
        <v/>
      </c>
      <c r="AL351" s="6">
        <f>IF(OR($BJ351="",37&gt;設定!$B$3),"",IF(INDEX(原始資料!AN$2:AN$501,$BJ351)="","",INDEX(原始資料!AN$2:AN$501,$BJ351)))</f>
        <v/>
      </c>
      <c r="AM351" s="6">
        <f>IF(OR($BJ351="",38&gt;設定!$B$3),"",IF(INDEX(原始資料!AO$2:AO$501,$BJ351)="","",INDEX(原始資料!AO$2:AO$501,$BJ351)))</f>
        <v/>
      </c>
      <c r="AN351" s="6">
        <f>IF(OR($BJ351="",39&gt;設定!$B$3),"",IF(INDEX(原始資料!AP$2:AP$501,$BJ351)="","",INDEX(原始資料!AP$2:AP$501,$BJ351)))</f>
        <v/>
      </c>
      <c r="AO351" s="6">
        <f>IF(OR($BJ351="",40&gt;設定!$B$3),"",IF(INDEX(原始資料!AQ$2:AQ$501,$BJ351)="","",INDEX(原始資料!AQ$2:AQ$501,$BJ351)))</f>
        <v/>
      </c>
      <c r="AP351" s="6">
        <f>IF(OR($BJ351="",41&gt;設定!$B$3),"",IF(INDEX(原始資料!AR$2:AR$501,$BJ351)="","",INDEX(原始資料!AR$2:AR$501,$BJ351)))</f>
        <v/>
      </c>
      <c r="AQ351" s="6">
        <f>IF(OR($BJ351="",42&gt;設定!$B$3),"",IF(INDEX(原始資料!AS$2:AS$501,$BJ351)="","",INDEX(原始資料!AS$2:AS$501,$BJ351)))</f>
        <v/>
      </c>
      <c r="AR351" s="6">
        <f>IF(OR($BJ351="",43&gt;設定!$B$3),"",IF(INDEX(原始資料!AT$2:AT$501,$BJ351)="","",INDEX(原始資料!AT$2:AT$501,$BJ351)))</f>
        <v/>
      </c>
      <c r="AS351" s="6">
        <f>IF(OR($BJ351="",44&gt;設定!$B$3),"",IF(INDEX(原始資料!AU$2:AU$501,$BJ351)="","",INDEX(原始資料!AU$2:AU$501,$BJ351)))</f>
        <v/>
      </c>
      <c r="AT351" s="6">
        <f>IF(OR($BJ351="",45&gt;設定!$B$3),"",IF(INDEX(原始資料!AV$2:AV$501,$BJ351)="","",INDEX(原始資料!AV$2:AV$501,$BJ351)))</f>
        <v/>
      </c>
      <c r="AU351" s="6">
        <f>IF(OR($BJ351="",46&gt;設定!$B$3),"",IF(INDEX(原始資料!AW$2:AW$501,$BJ351)="","",INDEX(原始資料!AW$2:AW$501,$BJ351)))</f>
        <v/>
      </c>
      <c r="AV351" s="6">
        <f>IF(OR($BJ351="",47&gt;設定!$B$3),"",IF(INDEX(原始資料!AX$2:AX$501,$BJ351)="","",INDEX(原始資料!AX$2:AX$501,$BJ351)))</f>
        <v/>
      </c>
      <c r="AW351" s="6">
        <f>IF(OR($BJ351="",48&gt;設定!$B$3),"",IF(INDEX(原始資料!AY$2:AY$501,$BJ351)="","",INDEX(原始資料!AY$2:AY$501,$BJ351)))</f>
        <v/>
      </c>
      <c r="AX351" s="6">
        <f>IF(OR($BJ351="",49&gt;設定!$B$3),"",IF(INDEX(原始資料!AZ$2:AZ$501,$BJ351)="","",INDEX(原始資料!AZ$2:AZ$501,$BJ351)))</f>
        <v/>
      </c>
      <c r="AY351" s="6">
        <f>IF(OR($BJ351="",50&gt;設定!$B$3),"",IF(INDEX(原始資料!BA$2:BA$501,$BJ351)="","",INDEX(原始資料!BA$2:BA$501,$BJ351)))</f>
        <v/>
      </c>
      <c r="AZ351" s="6">
        <f>IF(OR($BJ351="",51&gt;設定!$B$3),"",IF(INDEX(原始資料!BB$2:BB$501,$BJ351)="","",INDEX(原始資料!BB$2:BB$501,$BJ351)))</f>
        <v/>
      </c>
      <c r="BA351" s="6">
        <f>IF(OR($BJ351="",52&gt;設定!$B$3),"",IF(INDEX(原始資料!BC$2:BC$501,$BJ351)="","",INDEX(原始資料!BC$2:BC$501,$BJ351)))</f>
        <v/>
      </c>
      <c r="BB351" s="6">
        <f>IF(OR($BJ351="",53&gt;設定!$B$3),"",IF(INDEX(原始資料!BD$2:BD$501,$BJ351)="","",INDEX(原始資料!BD$2:BD$501,$BJ351)))</f>
        <v/>
      </c>
      <c r="BC351" s="6">
        <f>IF(OR($BJ351="",54&gt;設定!$B$3),"",IF(INDEX(原始資料!BE$2:BE$501,$BJ351)="","",INDEX(原始資料!BE$2:BE$501,$BJ351)))</f>
        <v/>
      </c>
      <c r="BD351" s="6">
        <f>IF(OR($BJ351="",55&gt;設定!$B$3),"",IF(INDEX(原始資料!BF$2:BF$501,$BJ351)="","",INDEX(原始資料!BF$2:BF$501,$BJ351)))</f>
        <v/>
      </c>
      <c r="BE351" s="6">
        <f>IF(OR($BJ351="",56&gt;設定!$B$3),"",IF(INDEX(原始資料!BG$2:BG$501,$BJ351)="","",INDEX(原始資料!BG$2:BG$501,$BJ351)))</f>
        <v/>
      </c>
      <c r="BF351" s="6">
        <f>IF(OR($BJ351="",57&gt;設定!$B$3),"",IF(INDEX(原始資料!BH$2:BH$501,$BJ351)="","",INDEX(原始資料!BH$2:BH$501,$BJ351)))</f>
        <v/>
      </c>
      <c r="BG351" s="6">
        <f>IF(OR($BJ351="",58&gt;設定!$B$3),"",IF(INDEX(原始資料!BI$2:BI$501,$BJ351)="","",INDEX(原始資料!BI$2:BI$501,$BJ351)))</f>
        <v/>
      </c>
      <c r="BH351" s="6">
        <f>IF(OR($BJ351="",59&gt;設定!$B$3),"",IF(INDEX(原始資料!BJ$2:BJ$501,$BJ351)="","",INDEX(原始資料!BJ$2:BJ$501,$BJ351)))</f>
        <v/>
      </c>
      <c r="BI351" s="6">
        <f>IF(OR($BJ351="",60&gt;設定!$B$3),"",IF(INDEX(原始資料!BK$2:BK$501,$BJ351)="","",INDEX(原始資料!BK$2:BK$501,$BJ351)))</f>
        <v/>
      </c>
      <c r="BJ351" s="6">
        <f>IFERROR(MATCH(ROW()-1,判定!$H$2:$H$501,0),"")</f>
        <v/>
      </c>
    </row>
    <row r="352">
      <c r="A352" s="6">
        <f>IF($BJ352="","",INDEX(原始資料!$A$2:$A$501,$BJ352))</f>
        <v/>
      </c>
      <c r="B352" s="6">
        <f>IF(OR($BJ352="",1&gt;設定!$B$3),"",IF(INDEX(原始資料!D$2:D$501,$BJ352)="","",INDEX(原始資料!D$2:D$501,$BJ352)))</f>
        <v/>
      </c>
      <c r="C352" s="6">
        <f>IF(OR($BJ352="",2&gt;設定!$B$3),"",IF(INDEX(原始資料!E$2:E$501,$BJ352)="","",INDEX(原始資料!E$2:E$501,$BJ352)))</f>
        <v/>
      </c>
      <c r="D352" s="6">
        <f>IF(OR($BJ352="",3&gt;設定!$B$3),"",IF(INDEX(原始資料!F$2:F$501,$BJ352)="","",INDEX(原始資料!F$2:F$501,$BJ352)))</f>
        <v/>
      </c>
      <c r="E352" s="6">
        <f>IF(OR($BJ352="",4&gt;設定!$B$3),"",IF(INDEX(原始資料!G$2:G$501,$BJ352)="","",INDEX(原始資料!G$2:G$501,$BJ352)))</f>
        <v/>
      </c>
      <c r="F352" s="6">
        <f>IF(OR($BJ352="",5&gt;設定!$B$3),"",IF(INDEX(原始資料!H$2:H$501,$BJ352)="","",INDEX(原始資料!H$2:H$501,$BJ352)))</f>
        <v/>
      </c>
      <c r="G352" s="6">
        <f>IF(OR($BJ352="",6&gt;設定!$B$3),"",IF(INDEX(原始資料!I$2:I$501,$BJ352)="","",INDEX(原始資料!I$2:I$501,$BJ352)))</f>
        <v/>
      </c>
      <c r="H352" s="6">
        <f>IF(OR($BJ352="",7&gt;設定!$B$3),"",IF(INDEX(原始資料!J$2:J$501,$BJ352)="","",INDEX(原始資料!J$2:J$501,$BJ352)))</f>
        <v/>
      </c>
      <c r="I352" s="6">
        <f>IF(OR($BJ352="",8&gt;設定!$B$3),"",IF(INDEX(原始資料!K$2:K$501,$BJ352)="","",INDEX(原始資料!K$2:K$501,$BJ352)))</f>
        <v/>
      </c>
      <c r="J352" s="6">
        <f>IF(OR($BJ352="",9&gt;設定!$B$3),"",IF(INDEX(原始資料!L$2:L$501,$BJ352)="","",INDEX(原始資料!L$2:L$501,$BJ352)))</f>
        <v/>
      </c>
      <c r="K352" s="6">
        <f>IF(OR($BJ352="",10&gt;設定!$B$3),"",IF(INDEX(原始資料!M$2:M$501,$BJ352)="","",INDEX(原始資料!M$2:M$501,$BJ352)))</f>
        <v/>
      </c>
      <c r="L352" s="6">
        <f>IF(OR($BJ352="",11&gt;設定!$B$3),"",IF(INDEX(原始資料!N$2:N$501,$BJ352)="","",INDEX(原始資料!N$2:N$501,$BJ352)))</f>
        <v/>
      </c>
      <c r="M352" s="6">
        <f>IF(OR($BJ352="",12&gt;設定!$B$3),"",IF(INDEX(原始資料!O$2:O$501,$BJ352)="","",INDEX(原始資料!O$2:O$501,$BJ352)))</f>
        <v/>
      </c>
      <c r="N352" s="6">
        <f>IF(OR($BJ352="",13&gt;設定!$B$3),"",IF(INDEX(原始資料!P$2:P$501,$BJ352)="","",INDEX(原始資料!P$2:P$501,$BJ352)))</f>
        <v/>
      </c>
      <c r="O352" s="6">
        <f>IF(OR($BJ352="",14&gt;設定!$B$3),"",IF(INDEX(原始資料!Q$2:Q$501,$BJ352)="","",INDEX(原始資料!Q$2:Q$501,$BJ352)))</f>
        <v/>
      </c>
      <c r="P352" s="6">
        <f>IF(OR($BJ352="",15&gt;設定!$B$3),"",IF(INDEX(原始資料!R$2:R$501,$BJ352)="","",INDEX(原始資料!R$2:R$501,$BJ352)))</f>
        <v/>
      </c>
      <c r="Q352" s="6">
        <f>IF(OR($BJ352="",16&gt;設定!$B$3),"",IF(INDEX(原始資料!S$2:S$501,$BJ352)="","",INDEX(原始資料!S$2:S$501,$BJ352)))</f>
        <v/>
      </c>
      <c r="R352" s="6">
        <f>IF(OR($BJ352="",17&gt;設定!$B$3),"",IF(INDEX(原始資料!T$2:T$501,$BJ352)="","",INDEX(原始資料!T$2:T$501,$BJ352)))</f>
        <v/>
      </c>
      <c r="S352" s="6">
        <f>IF(OR($BJ352="",18&gt;設定!$B$3),"",IF(INDEX(原始資料!U$2:U$501,$BJ352)="","",INDEX(原始資料!U$2:U$501,$BJ352)))</f>
        <v/>
      </c>
      <c r="T352" s="6">
        <f>IF(OR($BJ352="",19&gt;設定!$B$3),"",IF(INDEX(原始資料!V$2:V$501,$BJ352)="","",INDEX(原始資料!V$2:V$501,$BJ352)))</f>
        <v/>
      </c>
      <c r="U352" s="6">
        <f>IF(OR($BJ352="",20&gt;設定!$B$3),"",IF(INDEX(原始資料!W$2:W$501,$BJ352)="","",INDEX(原始資料!W$2:W$501,$BJ352)))</f>
        <v/>
      </c>
      <c r="V352" s="6">
        <f>IF(OR($BJ352="",21&gt;設定!$B$3),"",IF(INDEX(原始資料!X$2:X$501,$BJ352)="","",INDEX(原始資料!X$2:X$501,$BJ352)))</f>
        <v/>
      </c>
      <c r="W352" s="6">
        <f>IF(OR($BJ352="",22&gt;設定!$B$3),"",IF(INDEX(原始資料!Y$2:Y$501,$BJ352)="","",INDEX(原始資料!Y$2:Y$501,$BJ352)))</f>
        <v/>
      </c>
      <c r="X352" s="6">
        <f>IF(OR($BJ352="",23&gt;設定!$B$3),"",IF(INDEX(原始資料!Z$2:Z$501,$BJ352)="","",INDEX(原始資料!Z$2:Z$501,$BJ352)))</f>
        <v/>
      </c>
      <c r="Y352" s="6">
        <f>IF(OR($BJ352="",24&gt;設定!$B$3),"",IF(INDEX(原始資料!AA$2:AA$501,$BJ352)="","",INDEX(原始資料!AA$2:AA$501,$BJ352)))</f>
        <v/>
      </c>
      <c r="Z352" s="6">
        <f>IF(OR($BJ352="",25&gt;設定!$B$3),"",IF(INDEX(原始資料!AB$2:AB$501,$BJ352)="","",INDEX(原始資料!AB$2:AB$501,$BJ352)))</f>
        <v/>
      </c>
      <c r="AA352" s="6">
        <f>IF(OR($BJ352="",26&gt;設定!$B$3),"",IF(INDEX(原始資料!AC$2:AC$501,$BJ352)="","",INDEX(原始資料!AC$2:AC$501,$BJ352)))</f>
        <v/>
      </c>
      <c r="AB352" s="6">
        <f>IF(OR($BJ352="",27&gt;設定!$B$3),"",IF(INDEX(原始資料!AD$2:AD$501,$BJ352)="","",INDEX(原始資料!AD$2:AD$501,$BJ352)))</f>
        <v/>
      </c>
      <c r="AC352" s="6">
        <f>IF(OR($BJ352="",28&gt;設定!$B$3),"",IF(INDEX(原始資料!AE$2:AE$501,$BJ352)="","",INDEX(原始資料!AE$2:AE$501,$BJ352)))</f>
        <v/>
      </c>
      <c r="AD352" s="6">
        <f>IF(OR($BJ352="",29&gt;設定!$B$3),"",IF(INDEX(原始資料!AF$2:AF$501,$BJ352)="","",INDEX(原始資料!AF$2:AF$501,$BJ352)))</f>
        <v/>
      </c>
      <c r="AE352" s="6">
        <f>IF(OR($BJ352="",30&gt;設定!$B$3),"",IF(INDEX(原始資料!AG$2:AG$501,$BJ352)="","",INDEX(原始資料!AG$2:AG$501,$BJ352)))</f>
        <v/>
      </c>
      <c r="AF352" s="6">
        <f>IF(OR($BJ352="",31&gt;設定!$B$3),"",IF(INDEX(原始資料!AH$2:AH$501,$BJ352)="","",INDEX(原始資料!AH$2:AH$501,$BJ352)))</f>
        <v/>
      </c>
      <c r="AG352" s="6">
        <f>IF(OR($BJ352="",32&gt;設定!$B$3),"",IF(INDEX(原始資料!AI$2:AI$501,$BJ352)="","",INDEX(原始資料!AI$2:AI$501,$BJ352)))</f>
        <v/>
      </c>
      <c r="AH352" s="6">
        <f>IF(OR($BJ352="",33&gt;設定!$B$3),"",IF(INDEX(原始資料!AJ$2:AJ$501,$BJ352)="","",INDEX(原始資料!AJ$2:AJ$501,$BJ352)))</f>
        <v/>
      </c>
      <c r="AI352" s="6">
        <f>IF(OR($BJ352="",34&gt;設定!$B$3),"",IF(INDEX(原始資料!AK$2:AK$501,$BJ352)="","",INDEX(原始資料!AK$2:AK$501,$BJ352)))</f>
        <v/>
      </c>
      <c r="AJ352" s="6">
        <f>IF(OR($BJ352="",35&gt;設定!$B$3),"",IF(INDEX(原始資料!AL$2:AL$501,$BJ352)="","",INDEX(原始資料!AL$2:AL$501,$BJ352)))</f>
        <v/>
      </c>
      <c r="AK352" s="6">
        <f>IF(OR($BJ352="",36&gt;設定!$B$3),"",IF(INDEX(原始資料!AM$2:AM$501,$BJ352)="","",INDEX(原始資料!AM$2:AM$501,$BJ352)))</f>
        <v/>
      </c>
      <c r="AL352" s="6">
        <f>IF(OR($BJ352="",37&gt;設定!$B$3),"",IF(INDEX(原始資料!AN$2:AN$501,$BJ352)="","",INDEX(原始資料!AN$2:AN$501,$BJ352)))</f>
        <v/>
      </c>
      <c r="AM352" s="6">
        <f>IF(OR($BJ352="",38&gt;設定!$B$3),"",IF(INDEX(原始資料!AO$2:AO$501,$BJ352)="","",INDEX(原始資料!AO$2:AO$501,$BJ352)))</f>
        <v/>
      </c>
      <c r="AN352" s="6">
        <f>IF(OR($BJ352="",39&gt;設定!$B$3),"",IF(INDEX(原始資料!AP$2:AP$501,$BJ352)="","",INDEX(原始資料!AP$2:AP$501,$BJ352)))</f>
        <v/>
      </c>
      <c r="AO352" s="6">
        <f>IF(OR($BJ352="",40&gt;設定!$B$3),"",IF(INDEX(原始資料!AQ$2:AQ$501,$BJ352)="","",INDEX(原始資料!AQ$2:AQ$501,$BJ352)))</f>
        <v/>
      </c>
      <c r="AP352" s="6">
        <f>IF(OR($BJ352="",41&gt;設定!$B$3),"",IF(INDEX(原始資料!AR$2:AR$501,$BJ352)="","",INDEX(原始資料!AR$2:AR$501,$BJ352)))</f>
        <v/>
      </c>
      <c r="AQ352" s="6">
        <f>IF(OR($BJ352="",42&gt;設定!$B$3),"",IF(INDEX(原始資料!AS$2:AS$501,$BJ352)="","",INDEX(原始資料!AS$2:AS$501,$BJ352)))</f>
        <v/>
      </c>
      <c r="AR352" s="6">
        <f>IF(OR($BJ352="",43&gt;設定!$B$3),"",IF(INDEX(原始資料!AT$2:AT$501,$BJ352)="","",INDEX(原始資料!AT$2:AT$501,$BJ352)))</f>
        <v/>
      </c>
      <c r="AS352" s="6">
        <f>IF(OR($BJ352="",44&gt;設定!$B$3),"",IF(INDEX(原始資料!AU$2:AU$501,$BJ352)="","",INDEX(原始資料!AU$2:AU$501,$BJ352)))</f>
        <v/>
      </c>
      <c r="AT352" s="6">
        <f>IF(OR($BJ352="",45&gt;設定!$B$3),"",IF(INDEX(原始資料!AV$2:AV$501,$BJ352)="","",INDEX(原始資料!AV$2:AV$501,$BJ352)))</f>
        <v/>
      </c>
      <c r="AU352" s="6">
        <f>IF(OR($BJ352="",46&gt;設定!$B$3),"",IF(INDEX(原始資料!AW$2:AW$501,$BJ352)="","",INDEX(原始資料!AW$2:AW$501,$BJ352)))</f>
        <v/>
      </c>
      <c r="AV352" s="6">
        <f>IF(OR($BJ352="",47&gt;設定!$B$3),"",IF(INDEX(原始資料!AX$2:AX$501,$BJ352)="","",INDEX(原始資料!AX$2:AX$501,$BJ352)))</f>
        <v/>
      </c>
      <c r="AW352" s="6">
        <f>IF(OR($BJ352="",48&gt;設定!$B$3),"",IF(INDEX(原始資料!AY$2:AY$501,$BJ352)="","",INDEX(原始資料!AY$2:AY$501,$BJ352)))</f>
        <v/>
      </c>
      <c r="AX352" s="6">
        <f>IF(OR($BJ352="",49&gt;設定!$B$3),"",IF(INDEX(原始資料!AZ$2:AZ$501,$BJ352)="","",INDEX(原始資料!AZ$2:AZ$501,$BJ352)))</f>
        <v/>
      </c>
      <c r="AY352" s="6">
        <f>IF(OR($BJ352="",50&gt;設定!$B$3),"",IF(INDEX(原始資料!BA$2:BA$501,$BJ352)="","",INDEX(原始資料!BA$2:BA$501,$BJ352)))</f>
        <v/>
      </c>
      <c r="AZ352" s="6">
        <f>IF(OR($BJ352="",51&gt;設定!$B$3),"",IF(INDEX(原始資料!BB$2:BB$501,$BJ352)="","",INDEX(原始資料!BB$2:BB$501,$BJ352)))</f>
        <v/>
      </c>
      <c r="BA352" s="6">
        <f>IF(OR($BJ352="",52&gt;設定!$B$3),"",IF(INDEX(原始資料!BC$2:BC$501,$BJ352)="","",INDEX(原始資料!BC$2:BC$501,$BJ352)))</f>
        <v/>
      </c>
      <c r="BB352" s="6">
        <f>IF(OR($BJ352="",53&gt;設定!$B$3),"",IF(INDEX(原始資料!BD$2:BD$501,$BJ352)="","",INDEX(原始資料!BD$2:BD$501,$BJ352)))</f>
        <v/>
      </c>
      <c r="BC352" s="6">
        <f>IF(OR($BJ352="",54&gt;設定!$B$3),"",IF(INDEX(原始資料!BE$2:BE$501,$BJ352)="","",INDEX(原始資料!BE$2:BE$501,$BJ352)))</f>
        <v/>
      </c>
      <c r="BD352" s="6">
        <f>IF(OR($BJ352="",55&gt;設定!$B$3),"",IF(INDEX(原始資料!BF$2:BF$501,$BJ352)="","",INDEX(原始資料!BF$2:BF$501,$BJ352)))</f>
        <v/>
      </c>
      <c r="BE352" s="6">
        <f>IF(OR($BJ352="",56&gt;設定!$B$3),"",IF(INDEX(原始資料!BG$2:BG$501,$BJ352)="","",INDEX(原始資料!BG$2:BG$501,$BJ352)))</f>
        <v/>
      </c>
      <c r="BF352" s="6">
        <f>IF(OR($BJ352="",57&gt;設定!$B$3),"",IF(INDEX(原始資料!BH$2:BH$501,$BJ352)="","",INDEX(原始資料!BH$2:BH$501,$BJ352)))</f>
        <v/>
      </c>
      <c r="BG352" s="6">
        <f>IF(OR($BJ352="",58&gt;設定!$B$3),"",IF(INDEX(原始資料!BI$2:BI$501,$BJ352)="","",INDEX(原始資料!BI$2:BI$501,$BJ352)))</f>
        <v/>
      </c>
      <c r="BH352" s="6">
        <f>IF(OR($BJ352="",59&gt;設定!$B$3),"",IF(INDEX(原始資料!BJ$2:BJ$501,$BJ352)="","",INDEX(原始資料!BJ$2:BJ$501,$BJ352)))</f>
        <v/>
      </c>
      <c r="BI352" s="6">
        <f>IF(OR($BJ352="",60&gt;設定!$B$3),"",IF(INDEX(原始資料!BK$2:BK$501,$BJ352)="","",INDEX(原始資料!BK$2:BK$501,$BJ352)))</f>
        <v/>
      </c>
      <c r="BJ352" s="6">
        <f>IFERROR(MATCH(ROW()-1,判定!$H$2:$H$501,0),"")</f>
        <v/>
      </c>
    </row>
    <row r="353">
      <c r="A353" s="6">
        <f>IF($BJ353="","",INDEX(原始資料!$A$2:$A$501,$BJ353))</f>
        <v/>
      </c>
      <c r="B353" s="6">
        <f>IF(OR($BJ353="",1&gt;設定!$B$3),"",IF(INDEX(原始資料!D$2:D$501,$BJ353)="","",INDEX(原始資料!D$2:D$501,$BJ353)))</f>
        <v/>
      </c>
      <c r="C353" s="6">
        <f>IF(OR($BJ353="",2&gt;設定!$B$3),"",IF(INDEX(原始資料!E$2:E$501,$BJ353)="","",INDEX(原始資料!E$2:E$501,$BJ353)))</f>
        <v/>
      </c>
      <c r="D353" s="6">
        <f>IF(OR($BJ353="",3&gt;設定!$B$3),"",IF(INDEX(原始資料!F$2:F$501,$BJ353)="","",INDEX(原始資料!F$2:F$501,$BJ353)))</f>
        <v/>
      </c>
      <c r="E353" s="6">
        <f>IF(OR($BJ353="",4&gt;設定!$B$3),"",IF(INDEX(原始資料!G$2:G$501,$BJ353)="","",INDEX(原始資料!G$2:G$501,$BJ353)))</f>
        <v/>
      </c>
      <c r="F353" s="6">
        <f>IF(OR($BJ353="",5&gt;設定!$B$3),"",IF(INDEX(原始資料!H$2:H$501,$BJ353)="","",INDEX(原始資料!H$2:H$501,$BJ353)))</f>
        <v/>
      </c>
      <c r="G353" s="6">
        <f>IF(OR($BJ353="",6&gt;設定!$B$3),"",IF(INDEX(原始資料!I$2:I$501,$BJ353)="","",INDEX(原始資料!I$2:I$501,$BJ353)))</f>
        <v/>
      </c>
      <c r="H353" s="6">
        <f>IF(OR($BJ353="",7&gt;設定!$B$3),"",IF(INDEX(原始資料!J$2:J$501,$BJ353)="","",INDEX(原始資料!J$2:J$501,$BJ353)))</f>
        <v/>
      </c>
      <c r="I353" s="6">
        <f>IF(OR($BJ353="",8&gt;設定!$B$3),"",IF(INDEX(原始資料!K$2:K$501,$BJ353)="","",INDEX(原始資料!K$2:K$501,$BJ353)))</f>
        <v/>
      </c>
      <c r="J353" s="6">
        <f>IF(OR($BJ353="",9&gt;設定!$B$3),"",IF(INDEX(原始資料!L$2:L$501,$BJ353)="","",INDEX(原始資料!L$2:L$501,$BJ353)))</f>
        <v/>
      </c>
      <c r="K353" s="6">
        <f>IF(OR($BJ353="",10&gt;設定!$B$3),"",IF(INDEX(原始資料!M$2:M$501,$BJ353)="","",INDEX(原始資料!M$2:M$501,$BJ353)))</f>
        <v/>
      </c>
      <c r="L353" s="6">
        <f>IF(OR($BJ353="",11&gt;設定!$B$3),"",IF(INDEX(原始資料!N$2:N$501,$BJ353)="","",INDEX(原始資料!N$2:N$501,$BJ353)))</f>
        <v/>
      </c>
      <c r="M353" s="6">
        <f>IF(OR($BJ353="",12&gt;設定!$B$3),"",IF(INDEX(原始資料!O$2:O$501,$BJ353)="","",INDEX(原始資料!O$2:O$501,$BJ353)))</f>
        <v/>
      </c>
      <c r="N353" s="6">
        <f>IF(OR($BJ353="",13&gt;設定!$B$3),"",IF(INDEX(原始資料!P$2:P$501,$BJ353)="","",INDEX(原始資料!P$2:P$501,$BJ353)))</f>
        <v/>
      </c>
      <c r="O353" s="6">
        <f>IF(OR($BJ353="",14&gt;設定!$B$3),"",IF(INDEX(原始資料!Q$2:Q$501,$BJ353)="","",INDEX(原始資料!Q$2:Q$501,$BJ353)))</f>
        <v/>
      </c>
      <c r="P353" s="6">
        <f>IF(OR($BJ353="",15&gt;設定!$B$3),"",IF(INDEX(原始資料!R$2:R$501,$BJ353)="","",INDEX(原始資料!R$2:R$501,$BJ353)))</f>
        <v/>
      </c>
      <c r="Q353" s="6">
        <f>IF(OR($BJ353="",16&gt;設定!$B$3),"",IF(INDEX(原始資料!S$2:S$501,$BJ353)="","",INDEX(原始資料!S$2:S$501,$BJ353)))</f>
        <v/>
      </c>
      <c r="R353" s="6">
        <f>IF(OR($BJ353="",17&gt;設定!$B$3),"",IF(INDEX(原始資料!T$2:T$501,$BJ353)="","",INDEX(原始資料!T$2:T$501,$BJ353)))</f>
        <v/>
      </c>
      <c r="S353" s="6">
        <f>IF(OR($BJ353="",18&gt;設定!$B$3),"",IF(INDEX(原始資料!U$2:U$501,$BJ353)="","",INDEX(原始資料!U$2:U$501,$BJ353)))</f>
        <v/>
      </c>
      <c r="T353" s="6">
        <f>IF(OR($BJ353="",19&gt;設定!$B$3),"",IF(INDEX(原始資料!V$2:V$501,$BJ353)="","",INDEX(原始資料!V$2:V$501,$BJ353)))</f>
        <v/>
      </c>
      <c r="U353" s="6">
        <f>IF(OR($BJ353="",20&gt;設定!$B$3),"",IF(INDEX(原始資料!W$2:W$501,$BJ353)="","",INDEX(原始資料!W$2:W$501,$BJ353)))</f>
        <v/>
      </c>
      <c r="V353" s="6">
        <f>IF(OR($BJ353="",21&gt;設定!$B$3),"",IF(INDEX(原始資料!X$2:X$501,$BJ353)="","",INDEX(原始資料!X$2:X$501,$BJ353)))</f>
        <v/>
      </c>
      <c r="W353" s="6">
        <f>IF(OR($BJ353="",22&gt;設定!$B$3),"",IF(INDEX(原始資料!Y$2:Y$501,$BJ353)="","",INDEX(原始資料!Y$2:Y$501,$BJ353)))</f>
        <v/>
      </c>
      <c r="X353" s="6">
        <f>IF(OR($BJ353="",23&gt;設定!$B$3),"",IF(INDEX(原始資料!Z$2:Z$501,$BJ353)="","",INDEX(原始資料!Z$2:Z$501,$BJ353)))</f>
        <v/>
      </c>
      <c r="Y353" s="6">
        <f>IF(OR($BJ353="",24&gt;設定!$B$3),"",IF(INDEX(原始資料!AA$2:AA$501,$BJ353)="","",INDEX(原始資料!AA$2:AA$501,$BJ353)))</f>
        <v/>
      </c>
      <c r="Z353" s="6">
        <f>IF(OR($BJ353="",25&gt;設定!$B$3),"",IF(INDEX(原始資料!AB$2:AB$501,$BJ353)="","",INDEX(原始資料!AB$2:AB$501,$BJ353)))</f>
        <v/>
      </c>
      <c r="AA353" s="6">
        <f>IF(OR($BJ353="",26&gt;設定!$B$3),"",IF(INDEX(原始資料!AC$2:AC$501,$BJ353)="","",INDEX(原始資料!AC$2:AC$501,$BJ353)))</f>
        <v/>
      </c>
      <c r="AB353" s="6">
        <f>IF(OR($BJ353="",27&gt;設定!$B$3),"",IF(INDEX(原始資料!AD$2:AD$501,$BJ353)="","",INDEX(原始資料!AD$2:AD$501,$BJ353)))</f>
        <v/>
      </c>
      <c r="AC353" s="6">
        <f>IF(OR($BJ353="",28&gt;設定!$B$3),"",IF(INDEX(原始資料!AE$2:AE$501,$BJ353)="","",INDEX(原始資料!AE$2:AE$501,$BJ353)))</f>
        <v/>
      </c>
      <c r="AD353" s="6">
        <f>IF(OR($BJ353="",29&gt;設定!$B$3),"",IF(INDEX(原始資料!AF$2:AF$501,$BJ353)="","",INDEX(原始資料!AF$2:AF$501,$BJ353)))</f>
        <v/>
      </c>
      <c r="AE353" s="6">
        <f>IF(OR($BJ353="",30&gt;設定!$B$3),"",IF(INDEX(原始資料!AG$2:AG$501,$BJ353)="","",INDEX(原始資料!AG$2:AG$501,$BJ353)))</f>
        <v/>
      </c>
      <c r="AF353" s="6">
        <f>IF(OR($BJ353="",31&gt;設定!$B$3),"",IF(INDEX(原始資料!AH$2:AH$501,$BJ353)="","",INDEX(原始資料!AH$2:AH$501,$BJ353)))</f>
        <v/>
      </c>
      <c r="AG353" s="6">
        <f>IF(OR($BJ353="",32&gt;設定!$B$3),"",IF(INDEX(原始資料!AI$2:AI$501,$BJ353)="","",INDEX(原始資料!AI$2:AI$501,$BJ353)))</f>
        <v/>
      </c>
      <c r="AH353" s="6">
        <f>IF(OR($BJ353="",33&gt;設定!$B$3),"",IF(INDEX(原始資料!AJ$2:AJ$501,$BJ353)="","",INDEX(原始資料!AJ$2:AJ$501,$BJ353)))</f>
        <v/>
      </c>
      <c r="AI353" s="6">
        <f>IF(OR($BJ353="",34&gt;設定!$B$3),"",IF(INDEX(原始資料!AK$2:AK$501,$BJ353)="","",INDEX(原始資料!AK$2:AK$501,$BJ353)))</f>
        <v/>
      </c>
      <c r="AJ353" s="6">
        <f>IF(OR($BJ353="",35&gt;設定!$B$3),"",IF(INDEX(原始資料!AL$2:AL$501,$BJ353)="","",INDEX(原始資料!AL$2:AL$501,$BJ353)))</f>
        <v/>
      </c>
      <c r="AK353" s="6">
        <f>IF(OR($BJ353="",36&gt;設定!$B$3),"",IF(INDEX(原始資料!AM$2:AM$501,$BJ353)="","",INDEX(原始資料!AM$2:AM$501,$BJ353)))</f>
        <v/>
      </c>
      <c r="AL353" s="6">
        <f>IF(OR($BJ353="",37&gt;設定!$B$3),"",IF(INDEX(原始資料!AN$2:AN$501,$BJ353)="","",INDEX(原始資料!AN$2:AN$501,$BJ353)))</f>
        <v/>
      </c>
      <c r="AM353" s="6">
        <f>IF(OR($BJ353="",38&gt;設定!$B$3),"",IF(INDEX(原始資料!AO$2:AO$501,$BJ353)="","",INDEX(原始資料!AO$2:AO$501,$BJ353)))</f>
        <v/>
      </c>
      <c r="AN353" s="6">
        <f>IF(OR($BJ353="",39&gt;設定!$B$3),"",IF(INDEX(原始資料!AP$2:AP$501,$BJ353)="","",INDEX(原始資料!AP$2:AP$501,$BJ353)))</f>
        <v/>
      </c>
      <c r="AO353" s="6">
        <f>IF(OR($BJ353="",40&gt;設定!$B$3),"",IF(INDEX(原始資料!AQ$2:AQ$501,$BJ353)="","",INDEX(原始資料!AQ$2:AQ$501,$BJ353)))</f>
        <v/>
      </c>
      <c r="AP353" s="6">
        <f>IF(OR($BJ353="",41&gt;設定!$B$3),"",IF(INDEX(原始資料!AR$2:AR$501,$BJ353)="","",INDEX(原始資料!AR$2:AR$501,$BJ353)))</f>
        <v/>
      </c>
      <c r="AQ353" s="6">
        <f>IF(OR($BJ353="",42&gt;設定!$B$3),"",IF(INDEX(原始資料!AS$2:AS$501,$BJ353)="","",INDEX(原始資料!AS$2:AS$501,$BJ353)))</f>
        <v/>
      </c>
      <c r="AR353" s="6">
        <f>IF(OR($BJ353="",43&gt;設定!$B$3),"",IF(INDEX(原始資料!AT$2:AT$501,$BJ353)="","",INDEX(原始資料!AT$2:AT$501,$BJ353)))</f>
        <v/>
      </c>
      <c r="AS353" s="6">
        <f>IF(OR($BJ353="",44&gt;設定!$B$3),"",IF(INDEX(原始資料!AU$2:AU$501,$BJ353)="","",INDEX(原始資料!AU$2:AU$501,$BJ353)))</f>
        <v/>
      </c>
      <c r="AT353" s="6">
        <f>IF(OR($BJ353="",45&gt;設定!$B$3),"",IF(INDEX(原始資料!AV$2:AV$501,$BJ353)="","",INDEX(原始資料!AV$2:AV$501,$BJ353)))</f>
        <v/>
      </c>
      <c r="AU353" s="6">
        <f>IF(OR($BJ353="",46&gt;設定!$B$3),"",IF(INDEX(原始資料!AW$2:AW$501,$BJ353)="","",INDEX(原始資料!AW$2:AW$501,$BJ353)))</f>
        <v/>
      </c>
      <c r="AV353" s="6">
        <f>IF(OR($BJ353="",47&gt;設定!$B$3),"",IF(INDEX(原始資料!AX$2:AX$501,$BJ353)="","",INDEX(原始資料!AX$2:AX$501,$BJ353)))</f>
        <v/>
      </c>
      <c r="AW353" s="6">
        <f>IF(OR($BJ353="",48&gt;設定!$B$3),"",IF(INDEX(原始資料!AY$2:AY$501,$BJ353)="","",INDEX(原始資料!AY$2:AY$501,$BJ353)))</f>
        <v/>
      </c>
      <c r="AX353" s="6">
        <f>IF(OR($BJ353="",49&gt;設定!$B$3),"",IF(INDEX(原始資料!AZ$2:AZ$501,$BJ353)="","",INDEX(原始資料!AZ$2:AZ$501,$BJ353)))</f>
        <v/>
      </c>
      <c r="AY353" s="6">
        <f>IF(OR($BJ353="",50&gt;設定!$B$3),"",IF(INDEX(原始資料!BA$2:BA$501,$BJ353)="","",INDEX(原始資料!BA$2:BA$501,$BJ353)))</f>
        <v/>
      </c>
      <c r="AZ353" s="6">
        <f>IF(OR($BJ353="",51&gt;設定!$B$3),"",IF(INDEX(原始資料!BB$2:BB$501,$BJ353)="","",INDEX(原始資料!BB$2:BB$501,$BJ353)))</f>
        <v/>
      </c>
      <c r="BA353" s="6">
        <f>IF(OR($BJ353="",52&gt;設定!$B$3),"",IF(INDEX(原始資料!BC$2:BC$501,$BJ353)="","",INDEX(原始資料!BC$2:BC$501,$BJ353)))</f>
        <v/>
      </c>
      <c r="BB353" s="6">
        <f>IF(OR($BJ353="",53&gt;設定!$B$3),"",IF(INDEX(原始資料!BD$2:BD$501,$BJ353)="","",INDEX(原始資料!BD$2:BD$501,$BJ353)))</f>
        <v/>
      </c>
      <c r="BC353" s="6">
        <f>IF(OR($BJ353="",54&gt;設定!$B$3),"",IF(INDEX(原始資料!BE$2:BE$501,$BJ353)="","",INDEX(原始資料!BE$2:BE$501,$BJ353)))</f>
        <v/>
      </c>
      <c r="BD353" s="6">
        <f>IF(OR($BJ353="",55&gt;設定!$B$3),"",IF(INDEX(原始資料!BF$2:BF$501,$BJ353)="","",INDEX(原始資料!BF$2:BF$501,$BJ353)))</f>
        <v/>
      </c>
      <c r="BE353" s="6">
        <f>IF(OR($BJ353="",56&gt;設定!$B$3),"",IF(INDEX(原始資料!BG$2:BG$501,$BJ353)="","",INDEX(原始資料!BG$2:BG$501,$BJ353)))</f>
        <v/>
      </c>
      <c r="BF353" s="6">
        <f>IF(OR($BJ353="",57&gt;設定!$B$3),"",IF(INDEX(原始資料!BH$2:BH$501,$BJ353)="","",INDEX(原始資料!BH$2:BH$501,$BJ353)))</f>
        <v/>
      </c>
      <c r="BG353" s="6">
        <f>IF(OR($BJ353="",58&gt;設定!$B$3),"",IF(INDEX(原始資料!BI$2:BI$501,$BJ353)="","",INDEX(原始資料!BI$2:BI$501,$BJ353)))</f>
        <v/>
      </c>
      <c r="BH353" s="6">
        <f>IF(OR($BJ353="",59&gt;設定!$B$3),"",IF(INDEX(原始資料!BJ$2:BJ$501,$BJ353)="","",INDEX(原始資料!BJ$2:BJ$501,$BJ353)))</f>
        <v/>
      </c>
      <c r="BI353" s="6">
        <f>IF(OR($BJ353="",60&gt;設定!$B$3),"",IF(INDEX(原始資料!BK$2:BK$501,$BJ353)="","",INDEX(原始資料!BK$2:BK$501,$BJ353)))</f>
        <v/>
      </c>
      <c r="BJ353" s="6">
        <f>IFERROR(MATCH(ROW()-1,判定!$H$2:$H$501,0),"")</f>
        <v/>
      </c>
    </row>
    <row r="354">
      <c r="A354" s="6">
        <f>IF($BJ354="","",INDEX(原始資料!$A$2:$A$501,$BJ354))</f>
        <v/>
      </c>
      <c r="B354" s="6">
        <f>IF(OR($BJ354="",1&gt;設定!$B$3),"",IF(INDEX(原始資料!D$2:D$501,$BJ354)="","",INDEX(原始資料!D$2:D$501,$BJ354)))</f>
        <v/>
      </c>
      <c r="C354" s="6">
        <f>IF(OR($BJ354="",2&gt;設定!$B$3),"",IF(INDEX(原始資料!E$2:E$501,$BJ354)="","",INDEX(原始資料!E$2:E$501,$BJ354)))</f>
        <v/>
      </c>
      <c r="D354" s="6">
        <f>IF(OR($BJ354="",3&gt;設定!$B$3),"",IF(INDEX(原始資料!F$2:F$501,$BJ354)="","",INDEX(原始資料!F$2:F$501,$BJ354)))</f>
        <v/>
      </c>
      <c r="E354" s="6">
        <f>IF(OR($BJ354="",4&gt;設定!$B$3),"",IF(INDEX(原始資料!G$2:G$501,$BJ354)="","",INDEX(原始資料!G$2:G$501,$BJ354)))</f>
        <v/>
      </c>
      <c r="F354" s="6">
        <f>IF(OR($BJ354="",5&gt;設定!$B$3),"",IF(INDEX(原始資料!H$2:H$501,$BJ354)="","",INDEX(原始資料!H$2:H$501,$BJ354)))</f>
        <v/>
      </c>
      <c r="G354" s="6">
        <f>IF(OR($BJ354="",6&gt;設定!$B$3),"",IF(INDEX(原始資料!I$2:I$501,$BJ354)="","",INDEX(原始資料!I$2:I$501,$BJ354)))</f>
        <v/>
      </c>
      <c r="H354" s="6">
        <f>IF(OR($BJ354="",7&gt;設定!$B$3),"",IF(INDEX(原始資料!J$2:J$501,$BJ354)="","",INDEX(原始資料!J$2:J$501,$BJ354)))</f>
        <v/>
      </c>
      <c r="I354" s="6">
        <f>IF(OR($BJ354="",8&gt;設定!$B$3),"",IF(INDEX(原始資料!K$2:K$501,$BJ354)="","",INDEX(原始資料!K$2:K$501,$BJ354)))</f>
        <v/>
      </c>
      <c r="J354" s="6">
        <f>IF(OR($BJ354="",9&gt;設定!$B$3),"",IF(INDEX(原始資料!L$2:L$501,$BJ354)="","",INDEX(原始資料!L$2:L$501,$BJ354)))</f>
        <v/>
      </c>
      <c r="K354" s="6">
        <f>IF(OR($BJ354="",10&gt;設定!$B$3),"",IF(INDEX(原始資料!M$2:M$501,$BJ354)="","",INDEX(原始資料!M$2:M$501,$BJ354)))</f>
        <v/>
      </c>
      <c r="L354" s="6">
        <f>IF(OR($BJ354="",11&gt;設定!$B$3),"",IF(INDEX(原始資料!N$2:N$501,$BJ354)="","",INDEX(原始資料!N$2:N$501,$BJ354)))</f>
        <v/>
      </c>
      <c r="M354" s="6">
        <f>IF(OR($BJ354="",12&gt;設定!$B$3),"",IF(INDEX(原始資料!O$2:O$501,$BJ354)="","",INDEX(原始資料!O$2:O$501,$BJ354)))</f>
        <v/>
      </c>
      <c r="N354" s="6">
        <f>IF(OR($BJ354="",13&gt;設定!$B$3),"",IF(INDEX(原始資料!P$2:P$501,$BJ354)="","",INDEX(原始資料!P$2:P$501,$BJ354)))</f>
        <v/>
      </c>
      <c r="O354" s="6">
        <f>IF(OR($BJ354="",14&gt;設定!$B$3),"",IF(INDEX(原始資料!Q$2:Q$501,$BJ354)="","",INDEX(原始資料!Q$2:Q$501,$BJ354)))</f>
        <v/>
      </c>
      <c r="P354" s="6">
        <f>IF(OR($BJ354="",15&gt;設定!$B$3),"",IF(INDEX(原始資料!R$2:R$501,$BJ354)="","",INDEX(原始資料!R$2:R$501,$BJ354)))</f>
        <v/>
      </c>
      <c r="Q354" s="6">
        <f>IF(OR($BJ354="",16&gt;設定!$B$3),"",IF(INDEX(原始資料!S$2:S$501,$BJ354)="","",INDEX(原始資料!S$2:S$501,$BJ354)))</f>
        <v/>
      </c>
      <c r="R354" s="6">
        <f>IF(OR($BJ354="",17&gt;設定!$B$3),"",IF(INDEX(原始資料!T$2:T$501,$BJ354)="","",INDEX(原始資料!T$2:T$501,$BJ354)))</f>
        <v/>
      </c>
      <c r="S354" s="6">
        <f>IF(OR($BJ354="",18&gt;設定!$B$3),"",IF(INDEX(原始資料!U$2:U$501,$BJ354)="","",INDEX(原始資料!U$2:U$501,$BJ354)))</f>
        <v/>
      </c>
      <c r="T354" s="6">
        <f>IF(OR($BJ354="",19&gt;設定!$B$3),"",IF(INDEX(原始資料!V$2:V$501,$BJ354)="","",INDEX(原始資料!V$2:V$501,$BJ354)))</f>
        <v/>
      </c>
      <c r="U354" s="6">
        <f>IF(OR($BJ354="",20&gt;設定!$B$3),"",IF(INDEX(原始資料!W$2:W$501,$BJ354)="","",INDEX(原始資料!W$2:W$501,$BJ354)))</f>
        <v/>
      </c>
      <c r="V354" s="6">
        <f>IF(OR($BJ354="",21&gt;設定!$B$3),"",IF(INDEX(原始資料!X$2:X$501,$BJ354)="","",INDEX(原始資料!X$2:X$501,$BJ354)))</f>
        <v/>
      </c>
      <c r="W354" s="6">
        <f>IF(OR($BJ354="",22&gt;設定!$B$3),"",IF(INDEX(原始資料!Y$2:Y$501,$BJ354)="","",INDEX(原始資料!Y$2:Y$501,$BJ354)))</f>
        <v/>
      </c>
      <c r="X354" s="6">
        <f>IF(OR($BJ354="",23&gt;設定!$B$3),"",IF(INDEX(原始資料!Z$2:Z$501,$BJ354)="","",INDEX(原始資料!Z$2:Z$501,$BJ354)))</f>
        <v/>
      </c>
      <c r="Y354" s="6">
        <f>IF(OR($BJ354="",24&gt;設定!$B$3),"",IF(INDEX(原始資料!AA$2:AA$501,$BJ354)="","",INDEX(原始資料!AA$2:AA$501,$BJ354)))</f>
        <v/>
      </c>
      <c r="Z354" s="6">
        <f>IF(OR($BJ354="",25&gt;設定!$B$3),"",IF(INDEX(原始資料!AB$2:AB$501,$BJ354)="","",INDEX(原始資料!AB$2:AB$501,$BJ354)))</f>
        <v/>
      </c>
      <c r="AA354" s="6">
        <f>IF(OR($BJ354="",26&gt;設定!$B$3),"",IF(INDEX(原始資料!AC$2:AC$501,$BJ354)="","",INDEX(原始資料!AC$2:AC$501,$BJ354)))</f>
        <v/>
      </c>
      <c r="AB354" s="6">
        <f>IF(OR($BJ354="",27&gt;設定!$B$3),"",IF(INDEX(原始資料!AD$2:AD$501,$BJ354)="","",INDEX(原始資料!AD$2:AD$501,$BJ354)))</f>
        <v/>
      </c>
      <c r="AC354" s="6">
        <f>IF(OR($BJ354="",28&gt;設定!$B$3),"",IF(INDEX(原始資料!AE$2:AE$501,$BJ354)="","",INDEX(原始資料!AE$2:AE$501,$BJ354)))</f>
        <v/>
      </c>
      <c r="AD354" s="6">
        <f>IF(OR($BJ354="",29&gt;設定!$B$3),"",IF(INDEX(原始資料!AF$2:AF$501,$BJ354)="","",INDEX(原始資料!AF$2:AF$501,$BJ354)))</f>
        <v/>
      </c>
      <c r="AE354" s="6">
        <f>IF(OR($BJ354="",30&gt;設定!$B$3),"",IF(INDEX(原始資料!AG$2:AG$501,$BJ354)="","",INDEX(原始資料!AG$2:AG$501,$BJ354)))</f>
        <v/>
      </c>
      <c r="AF354" s="6">
        <f>IF(OR($BJ354="",31&gt;設定!$B$3),"",IF(INDEX(原始資料!AH$2:AH$501,$BJ354)="","",INDEX(原始資料!AH$2:AH$501,$BJ354)))</f>
        <v/>
      </c>
      <c r="AG354" s="6">
        <f>IF(OR($BJ354="",32&gt;設定!$B$3),"",IF(INDEX(原始資料!AI$2:AI$501,$BJ354)="","",INDEX(原始資料!AI$2:AI$501,$BJ354)))</f>
        <v/>
      </c>
      <c r="AH354" s="6">
        <f>IF(OR($BJ354="",33&gt;設定!$B$3),"",IF(INDEX(原始資料!AJ$2:AJ$501,$BJ354)="","",INDEX(原始資料!AJ$2:AJ$501,$BJ354)))</f>
        <v/>
      </c>
      <c r="AI354" s="6">
        <f>IF(OR($BJ354="",34&gt;設定!$B$3),"",IF(INDEX(原始資料!AK$2:AK$501,$BJ354)="","",INDEX(原始資料!AK$2:AK$501,$BJ354)))</f>
        <v/>
      </c>
      <c r="AJ354" s="6">
        <f>IF(OR($BJ354="",35&gt;設定!$B$3),"",IF(INDEX(原始資料!AL$2:AL$501,$BJ354)="","",INDEX(原始資料!AL$2:AL$501,$BJ354)))</f>
        <v/>
      </c>
      <c r="AK354" s="6">
        <f>IF(OR($BJ354="",36&gt;設定!$B$3),"",IF(INDEX(原始資料!AM$2:AM$501,$BJ354)="","",INDEX(原始資料!AM$2:AM$501,$BJ354)))</f>
        <v/>
      </c>
      <c r="AL354" s="6">
        <f>IF(OR($BJ354="",37&gt;設定!$B$3),"",IF(INDEX(原始資料!AN$2:AN$501,$BJ354)="","",INDEX(原始資料!AN$2:AN$501,$BJ354)))</f>
        <v/>
      </c>
      <c r="AM354" s="6">
        <f>IF(OR($BJ354="",38&gt;設定!$B$3),"",IF(INDEX(原始資料!AO$2:AO$501,$BJ354)="","",INDEX(原始資料!AO$2:AO$501,$BJ354)))</f>
        <v/>
      </c>
      <c r="AN354" s="6">
        <f>IF(OR($BJ354="",39&gt;設定!$B$3),"",IF(INDEX(原始資料!AP$2:AP$501,$BJ354)="","",INDEX(原始資料!AP$2:AP$501,$BJ354)))</f>
        <v/>
      </c>
      <c r="AO354" s="6">
        <f>IF(OR($BJ354="",40&gt;設定!$B$3),"",IF(INDEX(原始資料!AQ$2:AQ$501,$BJ354)="","",INDEX(原始資料!AQ$2:AQ$501,$BJ354)))</f>
        <v/>
      </c>
      <c r="AP354" s="6">
        <f>IF(OR($BJ354="",41&gt;設定!$B$3),"",IF(INDEX(原始資料!AR$2:AR$501,$BJ354)="","",INDEX(原始資料!AR$2:AR$501,$BJ354)))</f>
        <v/>
      </c>
      <c r="AQ354" s="6">
        <f>IF(OR($BJ354="",42&gt;設定!$B$3),"",IF(INDEX(原始資料!AS$2:AS$501,$BJ354)="","",INDEX(原始資料!AS$2:AS$501,$BJ354)))</f>
        <v/>
      </c>
      <c r="AR354" s="6">
        <f>IF(OR($BJ354="",43&gt;設定!$B$3),"",IF(INDEX(原始資料!AT$2:AT$501,$BJ354)="","",INDEX(原始資料!AT$2:AT$501,$BJ354)))</f>
        <v/>
      </c>
      <c r="AS354" s="6">
        <f>IF(OR($BJ354="",44&gt;設定!$B$3),"",IF(INDEX(原始資料!AU$2:AU$501,$BJ354)="","",INDEX(原始資料!AU$2:AU$501,$BJ354)))</f>
        <v/>
      </c>
      <c r="AT354" s="6">
        <f>IF(OR($BJ354="",45&gt;設定!$B$3),"",IF(INDEX(原始資料!AV$2:AV$501,$BJ354)="","",INDEX(原始資料!AV$2:AV$501,$BJ354)))</f>
        <v/>
      </c>
      <c r="AU354" s="6">
        <f>IF(OR($BJ354="",46&gt;設定!$B$3),"",IF(INDEX(原始資料!AW$2:AW$501,$BJ354)="","",INDEX(原始資料!AW$2:AW$501,$BJ354)))</f>
        <v/>
      </c>
      <c r="AV354" s="6">
        <f>IF(OR($BJ354="",47&gt;設定!$B$3),"",IF(INDEX(原始資料!AX$2:AX$501,$BJ354)="","",INDEX(原始資料!AX$2:AX$501,$BJ354)))</f>
        <v/>
      </c>
      <c r="AW354" s="6">
        <f>IF(OR($BJ354="",48&gt;設定!$B$3),"",IF(INDEX(原始資料!AY$2:AY$501,$BJ354)="","",INDEX(原始資料!AY$2:AY$501,$BJ354)))</f>
        <v/>
      </c>
      <c r="AX354" s="6">
        <f>IF(OR($BJ354="",49&gt;設定!$B$3),"",IF(INDEX(原始資料!AZ$2:AZ$501,$BJ354)="","",INDEX(原始資料!AZ$2:AZ$501,$BJ354)))</f>
        <v/>
      </c>
      <c r="AY354" s="6">
        <f>IF(OR($BJ354="",50&gt;設定!$B$3),"",IF(INDEX(原始資料!BA$2:BA$501,$BJ354)="","",INDEX(原始資料!BA$2:BA$501,$BJ354)))</f>
        <v/>
      </c>
      <c r="AZ354" s="6">
        <f>IF(OR($BJ354="",51&gt;設定!$B$3),"",IF(INDEX(原始資料!BB$2:BB$501,$BJ354)="","",INDEX(原始資料!BB$2:BB$501,$BJ354)))</f>
        <v/>
      </c>
      <c r="BA354" s="6">
        <f>IF(OR($BJ354="",52&gt;設定!$B$3),"",IF(INDEX(原始資料!BC$2:BC$501,$BJ354)="","",INDEX(原始資料!BC$2:BC$501,$BJ354)))</f>
        <v/>
      </c>
      <c r="BB354" s="6">
        <f>IF(OR($BJ354="",53&gt;設定!$B$3),"",IF(INDEX(原始資料!BD$2:BD$501,$BJ354)="","",INDEX(原始資料!BD$2:BD$501,$BJ354)))</f>
        <v/>
      </c>
      <c r="BC354" s="6">
        <f>IF(OR($BJ354="",54&gt;設定!$B$3),"",IF(INDEX(原始資料!BE$2:BE$501,$BJ354)="","",INDEX(原始資料!BE$2:BE$501,$BJ354)))</f>
        <v/>
      </c>
      <c r="BD354" s="6">
        <f>IF(OR($BJ354="",55&gt;設定!$B$3),"",IF(INDEX(原始資料!BF$2:BF$501,$BJ354)="","",INDEX(原始資料!BF$2:BF$501,$BJ354)))</f>
        <v/>
      </c>
      <c r="BE354" s="6">
        <f>IF(OR($BJ354="",56&gt;設定!$B$3),"",IF(INDEX(原始資料!BG$2:BG$501,$BJ354)="","",INDEX(原始資料!BG$2:BG$501,$BJ354)))</f>
        <v/>
      </c>
      <c r="BF354" s="6">
        <f>IF(OR($BJ354="",57&gt;設定!$B$3),"",IF(INDEX(原始資料!BH$2:BH$501,$BJ354)="","",INDEX(原始資料!BH$2:BH$501,$BJ354)))</f>
        <v/>
      </c>
      <c r="BG354" s="6">
        <f>IF(OR($BJ354="",58&gt;設定!$B$3),"",IF(INDEX(原始資料!BI$2:BI$501,$BJ354)="","",INDEX(原始資料!BI$2:BI$501,$BJ354)))</f>
        <v/>
      </c>
      <c r="BH354" s="6">
        <f>IF(OR($BJ354="",59&gt;設定!$B$3),"",IF(INDEX(原始資料!BJ$2:BJ$501,$BJ354)="","",INDEX(原始資料!BJ$2:BJ$501,$BJ354)))</f>
        <v/>
      </c>
      <c r="BI354" s="6">
        <f>IF(OR($BJ354="",60&gt;設定!$B$3),"",IF(INDEX(原始資料!BK$2:BK$501,$BJ354)="","",INDEX(原始資料!BK$2:BK$501,$BJ354)))</f>
        <v/>
      </c>
      <c r="BJ354" s="6">
        <f>IFERROR(MATCH(ROW()-1,判定!$H$2:$H$501,0),"")</f>
        <v/>
      </c>
    </row>
    <row r="355">
      <c r="A355" s="6">
        <f>IF($BJ355="","",INDEX(原始資料!$A$2:$A$501,$BJ355))</f>
        <v/>
      </c>
      <c r="B355" s="6">
        <f>IF(OR($BJ355="",1&gt;設定!$B$3),"",IF(INDEX(原始資料!D$2:D$501,$BJ355)="","",INDEX(原始資料!D$2:D$501,$BJ355)))</f>
        <v/>
      </c>
      <c r="C355" s="6">
        <f>IF(OR($BJ355="",2&gt;設定!$B$3),"",IF(INDEX(原始資料!E$2:E$501,$BJ355)="","",INDEX(原始資料!E$2:E$501,$BJ355)))</f>
        <v/>
      </c>
      <c r="D355" s="6">
        <f>IF(OR($BJ355="",3&gt;設定!$B$3),"",IF(INDEX(原始資料!F$2:F$501,$BJ355)="","",INDEX(原始資料!F$2:F$501,$BJ355)))</f>
        <v/>
      </c>
      <c r="E355" s="6">
        <f>IF(OR($BJ355="",4&gt;設定!$B$3),"",IF(INDEX(原始資料!G$2:G$501,$BJ355)="","",INDEX(原始資料!G$2:G$501,$BJ355)))</f>
        <v/>
      </c>
      <c r="F355" s="6">
        <f>IF(OR($BJ355="",5&gt;設定!$B$3),"",IF(INDEX(原始資料!H$2:H$501,$BJ355)="","",INDEX(原始資料!H$2:H$501,$BJ355)))</f>
        <v/>
      </c>
      <c r="G355" s="6">
        <f>IF(OR($BJ355="",6&gt;設定!$B$3),"",IF(INDEX(原始資料!I$2:I$501,$BJ355)="","",INDEX(原始資料!I$2:I$501,$BJ355)))</f>
        <v/>
      </c>
      <c r="H355" s="6">
        <f>IF(OR($BJ355="",7&gt;設定!$B$3),"",IF(INDEX(原始資料!J$2:J$501,$BJ355)="","",INDEX(原始資料!J$2:J$501,$BJ355)))</f>
        <v/>
      </c>
      <c r="I355" s="6">
        <f>IF(OR($BJ355="",8&gt;設定!$B$3),"",IF(INDEX(原始資料!K$2:K$501,$BJ355)="","",INDEX(原始資料!K$2:K$501,$BJ355)))</f>
        <v/>
      </c>
      <c r="J355" s="6">
        <f>IF(OR($BJ355="",9&gt;設定!$B$3),"",IF(INDEX(原始資料!L$2:L$501,$BJ355)="","",INDEX(原始資料!L$2:L$501,$BJ355)))</f>
        <v/>
      </c>
      <c r="K355" s="6">
        <f>IF(OR($BJ355="",10&gt;設定!$B$3),"",IF(INDEX(原始資料!M$2:M$501,$BJ355)="","",INDEX(原始資料!M$2:M$501,$BJ355)))</f>
        <v/>
      </c>
      <c r="L355" s="6">
        <f>IF(OR($BJ355="",11&gt;設定!$B$3),"",IF(INDEX(原始資料!N$2:N$501,$BJ355)="","",INDEX(原始資料!N$2:N$501,$BJ355)))</f>
        <v/>
      </c>
      <c r="M355" s="6">
        <f>IF(OR($BJ355="",12&gt;設定!$B$3),"",IF(INDEX(原始資料!O$2:O$501,$BJ355)="","",INDEX(原始資料!O$2:O$501,$BJ355)))</f>
        <v/>
      </c>
      <c r="N355" s="6">
        <f>IF(OR($BJ355="",13&gt;設定!$B$3),"",IF(INDEX(原始資料!P$2:P$501,$BJ355)="","",INDEX(原始資料!P$2:P$501,$BJ355)))</f>
        <v/>
      </c>
      <c r="O355" s="6">
        <f>IF(OR($BJ355="",14&gt;設定!$B$3),"",IF(INDEX(原始資料!Q$2:Q$501,$BJ355)="","",INDEX(原始資料!Q$2:Q$501,$BJ355)))</f>
        <v/>
      </c>
      <c r="P355" s="6">
        <f>IF(OR($BJ355="",15&gt;設定!$B$3),"",IF(INDEX(原始資料!R$2:R$501,$BJ355)="","",INDEX(原始資料!R$2:R$501,$BJ355)))</f>
        <v/>
      </c>
      <c r="Q355" s="6">
        <f>IF(OR($BJ355="",16&gt;設定!$B$3),"",IF(INDEX(原始資料!S$2:S$501,$BJ355)="","",INDEX(原始資料!S$2:S$501,$BJ355)))</f>
        <v/>
      </c>
      <c r="R355" s="6">
        <f>IF(OR($BJ355="",17&gt;設定!$B$3),"",IF(INDEX(原始資料!T$2:T$501,$BJ355)="","",INDEX(原始資料!T$2:T$501,$BJ355)))</f>
        <v/>
      </c>
      <c r="S355" s="6">
        <f>IF(OR($BJ355="",18&gt;設定!$B$3),"",IF(INDEX(原始資料!U$2:U$501,$BJ355)="","",INDEX(原始資料!U$2:U$501,$BJ355)))</f>
        <v/>
      </c>
      <c r="T355" s="6">
        <f>IF(OR($BJ355="",19&gt;設定!$B$3),"",IF(INDEX(原始資料!V$2:V$501,$BJ355)="","",INDEX(原始資料!V$2:V$501,$BJ355)))</f>
        <v/>
      </c>
      <c r="U355" s="6">
        <f>IF(OR($BJ355="",20&gt;設定!$B$3),"",IF(INDEX(原始資料!W$2:W$501,$BJ355)="","",INDEX(原始資料!W$2:W$501,$BJ355)))</f>
        <v/>
      </c>
      <c r="V355" s="6">
        <f>IF(OR($BJ355="",21&gt;設定!$B$3),"",IF(INDEX(原始資料!X$2:X$501,$BJ355)="","",INDEX(原始資料!X$2:X$501,$BJ355)))</f>
        <v/>
      </c>
      <c r="W355" s="6">
        <f>IF(OR($BJ355="",22&gt;設定!$B$3),"",IF(INDEX(原始資料!Y$2:Y$501,$BJ355)="","",INDEX(原始資料!Y$2:Y$501,$BJ355)))</f>
        <v/>
      </c>
      <c r="X355" s="6">
        <f>IF(OR($BJ355="",23&gt;設定!$B$3),"",IF(INDEX(原始資料!Z$2:Z$501,$BJ355)="","",INDEX(原始資料!Z$2:Z$501,$BJ355)))</f>
        <v/>
      </c>
      <c r="Y355" s="6">
        <f>IF(OR($BJ355="",24&gt;設定!$B$3),"",IF(INDEX(原始資料!AA$2:AA$501,$BJ355)="","",INDEX(原始資料!AA$2:AA$501,$BJ355)))</f>
        <v/>
      </c>
      <c r="Z355" s="6">
        <f>IF(OR($BJ355="",25&gt;設定!$B$3),"",IF(INDEX(原始資料!AB$2:AB$501,$BJ355)="","",INDEX(原始資料!AB$2:AB$501,$BJ355)))</f>
        <v/>
      </c>
      <c r="AA355" s="6">
        <f>IF(OR($BJ355="",26&gt;設定!$B$3),"",IF(INDEX(原始資料!AC$2:AC$501,$BJ355)="","",INDEX(原始資料!AC$2:AC$501,$BJ355)))</f>
        <v/>
      </c>
      <c r="AB355" s="6">
        <f>IF(OR($BJ355="",27&gt;設定!$B$3),"",IF(INDEX(原始資料!AD$2:AD$501,$BJ355)="","",INDEX(原始資料!AD$2:AD$501,$BJ355)))</f>
        <v/>
      </c>
      <c r="AC355" s="6">
        <f>IF(OR($BJ355="",28&gt;設定!$B$3),"",IF(INDEX(原始資料!AE$2:AE$501,$BJ355)="","",INDEX(原始資料!AE$2:AE$501,$BJ355)))</f>
        <v/>
      </c>
      <c r="AD355" s="6">
        <f>IF(OR($BJ355="",29&gt;設定!$B$3),"",IF(INDEX(原始資料!AF$2:AF$501,$BJ355)="","",INDEX(原始資料!AF$2:AF$501,$BJ355)))</f>
        <v/>
      </c>
      <c r="AE355" s="6">
        <f>IF(OR($BJ355="",30&gt;設定!$B$3),"",IF(INDEX(原始資料!AG$2:AG$501,$BJ355)="","",INDEX(原始資料!AG$2:AG$501,$BJ355)))</f>
        <v/>
      </c>
      <c r="AF355" s="6">
        <f>IF(OR($BJ355="",31&gt;設定!$B$3),"",IF(INDEX(原始資料!AH$2:AH$501,$BJ355)="","",INDEX(原始資料!AH$2:AH$501,$BJ355)))</f>
        <v/>
      </c>
      <c r="AG355" s="6">
        <f>IF(OR($BJ355="",32&gt;設定!$B$3),"",IF(INDEX(原始資料!AI$2:AI$501,$BJ355)="","",INDEX(原始資料!AI$2:AI$501,$BJ355)))</f>
        <v/>
      </c>
      <c r="AH355" s="6">
        <f>IF(OR($BJ355="",33&gt;設定!$B$3),"",IF(INDEX(原始資料!AJ$2:AJ$501,$BJ355)="","",INDEX(原始資料!AJ$2:AJ$501,$BJ355)))</f>
        <v/>
      </c>
      <c r="AI355" s="6">
        <f>IF(OR($BJ355="",34&gt;設定!$B$3),"",IF(INDEX(原始資料!AK$2:AK$501,$BJ355)="","",INDEX(原始資料!AK$2:AK$501,$BJ355)))</f>
        <v/>
      </c>
      <c r="AJ355" s="6">
        <f>IF(OR($BJ355="",35&gt;設定!$B$3),"",IF(INDEX(原始資料!AL$2:AL$501,$BJ355)="","",INDEX(原始資料!AL$2:AL$501,$BJ355)))</f>
        <v/>
      </c>
      <c r="AK355" s="6">
        <f>IF(OR($BJ355="",36&gt;設定!$B$3),"",IF(INDEX(原始資料!AM$2:AM$501,$BJ355)="","",INDEX(原始資料!AM$2:AM$501,$BJ355)))</f>
        <v/>
      </c>
      <c r="AL355" s="6">
        <f>IF(OR($BJ355="",37&gt;設定!$B$3),"",IF(INDEX(原始資料!AN$2:AN$501,$BJ355)="","",INDEX(原始資料!AN$2:AN$501,$BJ355)))</f>
        <v/>
      </c>
      <c r="AM355" s="6">
        <f>IF(OR($BJ355="",38&gt;設定!$B$3),"",IF(INDEX(原始資料!AO$2:AO$501,$BJ355)="","",INDEX(原始資料!AO$2:AO$501,$BJ355)))</f>
        <v/>
      </c>
      <c r="AN355" s="6">
        <f>IF(OR($BJ355="",39&gt;設定!$B$3),"",IF(INDEX(原始資料!AP$2:AP$501,$BJ355)="","",INDEX(原始資料!AP$2:AP$501,$BJ355)))</f>
        <v/>
      </c>
      <c r="AO355" s="6">
        <f>IF(OR($BJ355="",40&gt;設定!$B$3),"",IF(INDEX(原始資料!AQ$2:AQ$501,$BJ355)="","",INDEX(原始資料!AQ$2:AQ$501,$BJ355)))</f>
        <v/>
      </c>
      <c r="AP355" s="6">
        <f>IF(OR($BJ355="",41&gt;設定!$B$3),"",IF(INDEX(原始資料!AR$2:AR$501,$BJ355)="","",INDEX(原始資料!AR$2:AR$501,$BJ355)))</f>
        <v/>
      </c>
      <c r="AQ355" s="6">
        <f>IF(OR($BJ355="",42&gt;設定!$B$3),"",IF(INDEX(原始資料!AS$2:AS$501,$BJ355)="","",INDEX(原始資料!AS$2:AS$501,$BJ355)))</f>
        <v/>
      </c>
      <c r="AR355" s="6">
        <f>IF(OR($BJ355="",43&gt;設定!$B$3),"",IF(INDEX(原始資料!AT$2:AT$501,$BJ355)="","",INDEX(原始資料!AT$2:AT$501,$BJ355)))</f>
        <v/>
      </c>
      <c r="AS355" s="6">
        <f>IF(OR($BJ355="",44&gt;設定!$B$3),"",IF(INDEX(原始資料!AU$2:AU$501,$BJ355)="","",INDEX(原始資料!AU$2:AU$501,$BJ355)))</f>
        <v/>
      </c>
      <c r="AT355" s="6">
        <f>IF(OR($BJ355="",45&gt;設定!$B$3),"",IF(INDEX(原始資料!AV$2:AV$501,$BJ355)="","",INDEX(原始資料!AV$2:AV$501,$BJ355)))</f>
        <v/>
      </c>
      <c r="AU355" s="6">
        <f>IF(OR($BJ355="",46&gt;設定!$B$3),"",IF(INDEX(原始資料!AW$2:AW$501,$BJ355)="","",INDEX(原始資料!AW$2:AW$501,$BJ355)))</f>
        <v/>
      </c>
      <c r="AV355" s="6">
        <f>IF(OR($BJ355="",47&gt;設定!$B$3),"",IF(INDEX(原始資料!AX$2:AX$501,$BJ355)="","",INDEX(原始資料!AX$2:AX$501,$BJ355)))</f>
        <v/>
      </c>
      <c r="AW355" s="6">
        <f>IF(OR($BJ355="",48&gt;設定!$B$3),"",IF(INDEX(原始資料!AY$2:AY$501,$BJ355)="","",INDEX(原始資料!AY$2:AY$501,$BJ355)))</f>
        <v/>
      </c>
      <c r="AX355" s="6">
        <f>IF(OR($BJ355="",49&gt;設定!$B$3),"",IF(INDEX(原始資料!AZ$2:AZ$501,$BJ355)="","",INDEX(原始資料!AZ$2:AZ$501,$BJ355)))</f>
        <v/>
      </c>
      <c r="AY355" s="6">
        <f>IF(OR($BJ355="",50&gt;設定!$B$3),"",IF(INDEX(原始資料!BA$2:BA$501,$BJ355)="","",INDEX(原始資料!BA$2:BA$501,$BJ355)))</f>
        <v/>
      </c>
      <c r="AZ355" s="6">
        <f>IF(OR($BJ355="",51&gt;設定!$B$3),"",IF(INDEX(原始資料!BB$2:BB$501,$BJ355)="","",INDEX(原始資料!BB$2:BB$501,$BJ355)))</f>
        <v/>
      </c>
      <c r="BA355" s="6">
        <f>IF(OR($BJ355="",52&gt;設定!$B$3),"",IF(INDEX(原始資料!BC$2:BC$501,$BJ355)="","",INDEX(原始資料!BC$2:BC$501,$BJ355)))</f>
        <v/>
      </c>
      <c r="BB355" s="6">
        <f>IF(OR($BJ355="",53&gt;設定!$B$3),"",IF(INDEX(原始資料!BD$2:BD$501,$BJ355)="","",INDEX(原始資料!BD$2:BD$501,$BJ355)))</f>
        <v/>
      </c>
      <c r="BC355" s="6">
        <f>IF(OR($BJ355="",54&gt;設定!$B$3),"",IF(INDEX(原始資料!BE$2:BE$501,$BJ355)="","",INDEX(原始資料!BE$2:BE$501,$BJ355)))</f>
        <v/>
      </c>
      <c r="BD355" s="6">
        <f>IF(OR($BJ355="",55&gt;設定!$B$3),"",IF(INDEX(原始資料!BF$2:BF$501,$BJ355)="","",INDEX(原始資料!BF$2:BF$501,$BJ355)))</f>
        <v/>
      </c>
      <c r="BE355" s="6">
        <f>IF(OR($BJ355="",56&gt;設定!$B$3),"",IF(INDEX(原始資料!BG$2:BG$501,$BJ355)="","",INDEX(原始資料!BG$2:BG$501,$BJ355)))</f>
        <v/>
      </c>
      <c r="BF355" s="6">
        <f>IF(OR($BJ355="",57&gt;設定!$B$3),"",IF(INDEX(原始資料!BH$2:BH$501,$BJ355)="","",INDEX(原始資料!BH$2:BH$501,$BJ355)))</f>
        <v/>
      </c>
      <c r="BG355" s="6">
        <f>IF(OR($BJ355="",58&gt;設定!$B$3),"",IF(INDEX(原始資料!BI$2:BI$501,$BJ355)="","",INDEX(原始資料!BI$2:BI$501,$BJ355)))</f>
        <v/>
      </c>
      <c r="BH355" s="6">
        <f>IF(OR($BJ355="",59&gt;設定!$B$3),"",IF(INDEX(原始資料!BJ$2:BJ$501,$BJ355)="","",INDEX(原始資料!BJ$2:BJ$501,$BJ355)))</f>
        <v/>
      </c>
      <c r="BI355" s="6">
        <f>IF(OR($BJ355="",60&gt;設定!$B$3),"",IF(INDEX(原始資料!BK$2:BK$501,$BJ355)="","",INDEX(原始資料!BK$2:BK$501,$BJ355)))</f>
        <v/>
      </c>
      <c r="BJ355" s="6">
        <f>IFERROR(MATCH(ROW()-1,判定!$H$2:$H$501,0),"")</f>
        <v/>
      </c>
    </row>
    <row r="356">
      <c r="A356" s="6">
        <f>IF($BJ356="","",INDEX(原始資料!$A$2:$A$501,$BJ356))</f>
        <v/>
      </c>
      <c r="B356" s="6">
        <f>IF(OR($BJ356="",1&gt;設定!$B$3),"",IF(INDEX(原始資料!D$2:D$501,$BJ356)="","",INDEX(原始資料!D$2:D$501,$BJ356)))</f>
        <v/>
      </c>
      <c r="C356" s="6">
        <f>IF(OR($BJ356="",2&gt;設定!$B$3),"",IF(INDEX(原始資料!E$2:E$501,$BJ356)="","",INDEX(原始資料!E$2:E$501,$BJ356)))</f>
        <v/>
      </c>
      <c r="D356" s="6">
        <f>IF(OR($BJ356="",3&gt;設定!$B$3),"",IF(INDEX(原始資料!F$2:F$501,$BJ356)="","",INDEX(原始資料!F$2:F$501,$BJ356)))</f>
        <v/>
      </c>
      <c r="E356" s="6">
        <f>IF(OR($BJ356="",4&gt;設定!$B$3),"",IF(INDEX(原始資料!G$2:G$501,$BJ356)="","",INDEX(原始資料!G$2:G$501,$BJ356)))</f>
        <v/>
      </c>
      <c r="F356" s="6">
        <f>IF(OR($BJ356="",5&gt;設定!$B$3),"",IF(INDEX(原始資料!H$2:H$501,$BJ356)="","",INDEX(原始資料!H$2:H$501,$BJ356)))</f>
        <v/>
      </c>
      <c r="G356" s="6">
        <f>IF(OR($BJ356="",6&gt;設定!$B$3),"",IF(INDEX(原始資料!I$2:I$501,$BJ356)="","",INDEX(原始資料!I$2:I$501,$BJ356)))</f>
        <v/>
      </c>
      <c r="H356" s="6">
        <f>IF(OR($BJ356="",7&gt;設定!$B$3),"",IF(INDEX(原始資料!J$2:J$501,$BJ356)="","",INDEX(原始資料!J$2:J$501,$BJ356)))</f>
        <v/>
      </c>
      <c r="I356" s="6">
        <f>IF(OR($BJ356="",8&gt;設定!$B$3),"",IF(INDEX(原始資料!K$2:K$501,$BJ356)="","",INDEX(原始資料!K$2:K$501,$BJ356)))</f>
        <v/>
      </c>
      <c r="J356" s="6">
        <f>IF(OR($BJ356="",9&gt;設定!$B$3),"",IF(INDEX(原始資料!L$2:L$501,$BJ356)="","",INDEX(原始資料!L$2:L$501,$BJ356)))</f>
        <v/>
      </c>
      <c r="K356" s="6">
        <f>IF(OR($BJ356="",10&gt;設定!$B$3),"",IF(INDEX(原始資料!M$2:M$501,$BJ356)="","",INDEX(原始資料!M$2:M$501,$BJ356)))</f>
        <v/>
      </c>
      <c r="L356" s="6">
        <f>IF(OR($BJ356="",11&gt;設定!$B$3),"",IF(INDEX(原始資料!N$2:N$501,$BJ356)="","",INDEX(原始資料!N$2:N$501,$BJ356)))</f>
        <v/>
      </c>
      <c r="M356" s="6">
        <f>IF(OR($BJ356="",12&gt;設定!$B$3),"",IF(INDEX(原始資料!O$2:O$501,$BJ356)="","",INDEX(原始資料!O$2:O$501,$BJ356)))</f>
        <v/>
      </c>
      <c r="N356" s="6">
        <f>IF(OR($BJ356="",13&gt;設定!$B$3),"",IF(INDEX(原始資料!P$2:P$501,$BJ356)="","",INDEX(原始資料!P$2:P$501,$BJ356)))</f>
        <v/>
      </c>
      <c r="O356" s="6">
        <f>IF(OR($BJ356="",14&gt;設定!$B$3),"",IF(INDEX(原始資料!Q$2:Q$501,$BJ356)="","",INDEX(原始資料!Q$2:Q$501,$BJ356)))</f>
        <v/>
      </c>
      <c r="P356" s="6">
        <f>IF(OR($BJ356="",15&gt;設定!$B$3),"",IF(INDEX(原始資料!R$2:R$501,$BJ356)="","",INDEX(原始資料!R$2:R$501,$BJ356)))</f>
        <v/>
      </c>
      <c r="Q356" s="6">
        <f>IF(OR($BJ356="",16&gt;設定!$B$3),"",IF(INDEX(原始資料!S$2:S$501,$BJ356)="","",INDEX(原始資料!S$2:S$501,$BJ356)))</f>
        <v/>
      </c>
      <c r="R356" s="6">
        <f>IF(OR($BJ356="",17&gt;設定!$B$3),"",IF(INDEX(原始資料!T$2:T$501,$BJ356)="","",INDEX(原始資料!T$2:T$501,$BJ356)))</f>
        <v/>
      </c>
      <c r="S356" s="6">
        <f>IF(OR($BJ356="",18&gt;設定!$B$3),"",IF(INDEX(原始資料!U$2:U$501,$BJ356)="","",INDEX(原始資料!U$2:U$501,$BJ356)))</f>
        <v/>
      </c>
      <c r="T356" s="6">
        <f>IF(OR($BJ356="",19&gt;設定!$B$3),"",IF(INDEX(原始資料!V$2:V$501,$BJ356)="","",INDEX(原始資料!V$2:V$501,$BJ356)))</f>
        <v/>
      </c>
      <c r="U356" s="6">
        <f>IF(OR($BJ356="",20&gt;設定!$B$3),"",IF(INDEX(原始資料!W$2:W$501,$BJ356)="","",INDEX(原始資料!W$2:W$501,$BJ356)))</f>
        <v/>
      </c>
      <c r="V356" s="6">
        <f>IF(OR($BJ356="",21&gt;設定!$B$3),"",IF(INDEX(原始資料!X$2:X$501,$BJ356)="","",INDEX(原始資料!X$2:X$501,$BJ356)))</f>
        <v/>
      </c>
      <c r="W356" s="6">
        <f>IF(OR($BJ356="",22&gt;設定!$B$3),"",IF(INDEX(原始資料!Y$2:Y$501,$BJ356)="","",INDEX(原始資料!Y$2:Y$501,$BJ356)))</f>
        <v/>
      </c>
      <c r="X356" s="6">
        <f>IF(OR($BJ356="",23&gt;設定!$B$3),"",IF(INDEX(原始資料!Z$2:Z$501,$BJ356)="","",INDEX(原始資料!Z$2:Z$501,$BJ356)))</f>
        <v/>
      </c>
      <c r="Y356" s="6">
        <f>IF(OR($BJ356="",24&gt;設定!$B$3),"",IF(INDEX(原始資料!AA$2:AA$501,$BJ356)="","",INDEX(原始資料!AA$2:AA$501,$BJ356)))</f>
        <v/>
      </c>
      <c r="Z356" s="6">
        <f>IF(OR($BJ356="",25&gt;設定!$B$3),"",IF(INDEX(原始資料!AB$2:AB$501,$BJ356)="","",INDEX(原始資料!AB$2:AB$501,$BJ356)))</f>
        <v/>
      </c>
      <c r="AA356" s="6">
        <f>IF(OR($BJ356="",26&gt;設定!$B$3),"",IF(INDEX(原始資料!AC$2:AC$501,$BJ356)="","",INDEX(原始資料!AC$2:AC$501,$BJ356)))</f>
        <v/>
      </c>
      <c r="AB356" s="6">
        <f>IF(OR($BJ356="",27&gt;設定!$B$3),"",IF(INDEX(原始資料!AD$2:AD$501,$BJ356)="","",INDEX(原始資料!AD$2:AD$501,$BJ356)))</f>
        <v/>
      </c>
      <c r="AC356" s="6">
        <f>IF(OR($BJ356="",28&gt;設定!$B$3),"",IF(INDEX(原始資料!AE$2:AE$501,$BJ356)="","",INDEX(原始資料!AE$2:AE$501,$BJ356)))</f>
        <v/>
      </c>
      <c r="AD356" s="6">
        <f>IF(OR($BJ356="",29&gt;設定!$B$3),"",IF(INDEX(原始資料!AF$2:AF$501,$BJ356)="","",INDEX(原始資料!AF$2:AF$501,$BJ356)))</f>
        <v/>
      </c>
      <c r="AE356" s="6">
        <f>IF(OR($BJ356="",30&gt;設定!$B$3),"",IF(INDEX(原始資料!AG$2:AG$501,$BJ356)="","",INDEX(原始資料!AG$2:AG$501,$BJ356)))</f>
        <v/>
      </c>
      <c r="AF356" s="6">
        <f>IF(OR($BJ356="",31&gt;設定!$B$3),"",IF(INDEX(原始資料!AH$2:AH$501,$BJ356)="","",INDEX(原始資料!AH$2:AH$501,$BJ356)))</f>
        <v/>
      </c>
      <c r="AG356" s="6">
        <f>IF(OR($BJ356="",32&gt;設定!$B$3),"",IF(INDEX(原始資料!AI$2:AI$501,$BJ356)="","",INDEX(原始資料!AI$2:AI$501,$BJ356)))</f>
        <v/>
      </c>
      <c r="AH356" s="6">
        <f>IF(OR($BJ356="",33&gt;設定!$B$3),"",IF(INDEX(原始資料!AJ$2:AJ$501,$BJ356)="","",INDEX(原始資料!AJ$2:AJ$501,$BJ356)))</f>
        <v/>
      </c>
      <c r="AI356" s="6">
        <f>IF(OR($BJ356="",34&gt;設定!$B$3),"",IF(INDEX(原始資料!AK$2:AK$501,$BJ356)="","",INDEX(原始資料!AK$2:AK$501,$BJ356)))</f>
        <v/>
      </c>
      <c r="AJ356" s="6">
        <f>IF(OR($BJ356="",35&gt;設定!$B$3),"",IF(INDEX(原始資料!AL$2:AL$501,$BJ356)="","",INDEX(原始資料!AL$2:AL$501,$BJ356)))</f>
        <v/>
      </c>
      <c r="AK356" s="6">
        <f>IF(OR($BJ356="",36&gt;設定!$B$3),"",IF(INDEX(原始資料!AM$2:AM$501,$BJ356)="","",INDEX(原始資料!AM$2:AM$501,$BJ356)))</f>
        <v/>
      </c>
      <c r="AL356" s="6">
        <f>IF(OR($BJ356="",37&gt;設定!$B$3),"",IF(INDEX(原始資料!AN$2:AN$501,$BJ356)="","",INDEX(原始資料!AN$2:AN$501,$BJ356)))</f>
        <v/>
      </c>
      <c r="AM356" s="6">
        <f>IF(OR($BJ356="",38&gt;設定!$B$3),"",IF(INDEX(原始資料!AO$2:AO$501,$BJ356)="","",INDEX(原始資料!AO$2:AO$501,$BJ356)))</f>
        <v/>
      </c>
      <c r="AN356" s="6">
        <f>IF(OR($BJ356="",39&gt;設定!$B$3),"",IF(INDEX(原始資料!AP$2:AP$501,$BJ356)="","",INDEX(原始資料!AP$2:AP$501,$BJ356)))</f>
        <v/>
      </c>
      <c r="AO356" s="6">
        <f>IF(OR($BJ356="",40&gt;設定!$B$3),"",IF(INDEX(原始資料!AQ$2:AQ$501,$BJ356)="","",INDEX(原始資料!AQ$2:AQ$501,$BJ356)))</f>
        <v/>
      </c>
      <c r="AP356" s="6">
        <f>IF(OR($BJ356="",41&gt;設定!$B$3),"",IF(INDEX(原始資料!AR$2:AR$501,$BJ356)="","",INDEX(原始資料!AR$2:AR$501,$BJ356)))</f>
        <v/>
      </c>
      <c r="AQ356" s="6">
        <f>IF(OR($BJ356="",42&gt;設定!$B$3),"",IF(INDEX(原始資料!AS$2:AS$501,$BJ356)="","",INDEX(原始資料!AS$2:AS$501,$BJ356)))</f>
        <v/>
      </c>
      <c r="AR356" s="6">
        <f>IF(OR($BJ356="",43&gt;設定!$B$3),"",IF(INDEX(原始資料!AT$2:AT$501,$BJ356)="","",INDEX(原始資料!AT$2:AT$501,$BJ356)))</f>
        <v/>
      </c>
      <c r="AS356" s="6">
        <f>IF(OR($BJ356="",44&gt;設定!$B$3),"",IF(INDEX(原始資料!AU$2:AU$501,$BJ356)="","",INDEX(原始資料!AU$2:AU$501,$BJ356)))</f>
        <v/>
      </c>
      <c r="AT356" s="6">
        <f>IF(OR($BJ356="",45&gt;設定!$B$3),"",IF(INDEX(原始資料!AV$2:AV$501,$BJ356)="","",INDEX(原始資料!AV$2:AV$501,$BJ356)))</f>
        <v/>
      </c>
      <c r="AU356" s="6">
        <f>IF(OR($BJ356="",46&gt;設定!$B$3),"",IF(INDEX(原始資料!AW$2:AW$501,$BJ356)="","",INDEX(原始資料!AW$2:AW$501,$BJ356)))</f>
        <v/>
      </c>
      <c r="AV356" s="6">
        <f>IF(OR($BJ356="",47&gt;設定!$B$3),"",IF(INDEX(原始資料!AX$2:AX$501,$BJ356)="","",INDEX(原始資料!AX$2:AX$501,$BJ356)))</f>
        <v/>
      </c>
      <c r="AW356" s="6">
        <f>IF(OR($BJ356="",48&gt;設定!$B$3),"",IF(INDEX(原始資料!AY$2:AY$501,$BJ356)="","",INDEX(原始資料!AY$2:AY$501,$BJ356)))</f>
        <v/>
      </c>
      <c r="AX356" s="6">
        <f>IF(OR($BJ356="",49&gt;設定!$B$3),"",IF(INDEX(原始資料!AZ$2:AZ$501,$BJ356)="","",INDEX(原始資料!AZ$2:AZ$501,$BJ356)))</f>
        <v/>
      </c>
      <c r="AY356" s="6">
        <f>IF(OR($BJ356="",50&gt;設定!$B$3),"",IF(INDEX(原始資料!BA$2:BA$501,$BJ356)="","",INDEX(原始資料!BA$2:BA$501,$BJ356)))</f>
        <v/>
      </c>
      <c r="AZ356" s="6">
        <f>IF(OR($BJ356="",51&gt;設定!$B$3),"",IF(INDEX(原始資料!BB$2:BB$501,$BJ356)="","",INDEX(原始資料!BB$2:BB$501,$BJ356)))</f>
        <v/>
      </c>
      <c r="BA356" s="6">
        <f>IF(OR($BJ356="",52&gt;設定!$B$3),"",IF(INDEX(原始資料!BC$2:BC$501,$BJ356)="","",INDEX(原始資料!BC$2:BC$501,$BJ356)))</f>
        <v/>
      </c>
      <c r="BB356" s="6">
        <f>IF(OR($BJ356="",53&gt;設定!$B$3),"",IF(INDEX(原始資料!BD$2:BD$501,$BJ356)="","",INDEX(原始資料!BD$2:BD$501,$BJ356)))</f>
        <v/>
      </c>
      <c r="BC356" s="6">
        <f>IF(OR($BJ356="",54&gt;設定!$B$3),"",IF(INDEX(原始資料!BE$2:BE$501,$BJ356)="","",INDEX(原始資料!BE$2:BE$501,$BJ356)))</f>
        <v/>
      </c>
      <c r="BD356" s="6">
        <f>IF(OR($BJ356="",55&gt;設定!$B$3),"",IF(INDEX(原始資料!BF$2:BF$501,$BJ356)="","",INDEX(原始資料!BF$2:BF$501,$BJ356)))</f>
        <v/>
      </c>
      <c r="BE356" s="6">
        <f>IF(OR($BJ356="",56&gt;設定!$B$3),"",IF(INDEX(原始資料!BG$2:BG$501,$BJ356)="","",INDEX(原始資料!BG$2:BG$501,$BJ356)))</f>
        <v/>
      </c>
      <c r="BF356" s="6">
        <f>IF(OR($BJ356="",57&gt;設定!$B$3),"",IF(INDEX(原始資料!BH$2:BH$501,$BJ356)="","",INDEX(原始資料!BH$2:BH$501,$BJ356)))</f>
        <v/>
      </c>
      <c r="BG356" s="6">
        <f>IF(OR($BJ356="",58&gt;設定!$B$3),"",IF(INDEX(原始資料!BI$2:BI$501,$BJ356)="","",INDEX(原始資料!BI$2:BI$501,$BJ356)))</f>
        <v/>
      </c>
      <c r="BH356" s="6">
        <f>IF(OR($BJ356="",59&gt;設定!$B$3),"",IF(INDEX(原始資料!BJ$2:BJ$501,$BJ356)="","",INDEX(原始資料!BJ$2:BJ$501,$BJ356)))</f>
        <v/>
      </c>
      <c r="BI356" s="6">
        <f>IF(OR($BJ356="",60&gt;設定!$B$3),"",IF(INDEX(原始資料!BK$2:BK$501,$BJ356)="","",INDEX(原始資料!BK$2:BK$501,$BJ356)))</f>
        <v/>
      </c>
      <c r="BJ356" s="6">
        <f>IFERROR(MATCH(ROW()-1,判定!$H$2:$H$501,0),"")</f>
        <v/>
      </c>
    </row>
    <row r="357">
      <c r="A357" s="6">
        <f>IF($BJ357="","",INDEX(原始資料!$A$2:$A$501,$BJ357))</f>
        <v/>
      </c>
      <c r="B357" s="6">
        <f>IF(OR($BJ357="",1&gt;設定!$B$3),"",IF(INDEX(原始資料!D$2:D$501,$BJ357)="","",INDEX(原始資料!D$2:D$501,$BJ357)))</f>
        <v/>
      </c>
      <c r="C357" s="6">
        <f>IF(OR($BJ357="",2&gt;設定!$B$3),"",IF(INDEX(原始資料!E$2:E$501,$BJ357)="","",INDEX(原始資料!E$2:E$501,$BJ357)))</f>
        <v/>
      </c>
      <c r="D357" s="6">
        <f>IF(OR($BJ357="",3&gt;設定!$B$3),"",IF(INDEX(原始資料!F$2:F$501,$BJ357)="","",INDEX(原始資料!F$2:F$501,$BJ357)))</f>
        <v/>
      </c>
      <c r="E357" s="6">
        <f>IF(OR($BJ357="",4&gt;設定!$B$3),"",IF(INDEX(原始資料!G$2:G$501,$BJ357)="","",INDEX(原始資料!G$2:G$501,$BJ357)))</f>
        <v/>
      </c>
      <c r="F357" s="6">
        <f>IF(OR($BJ357="",5&gt;設定!$B$3),"",IF(INDEX(原始資料!H$2:H$501,$BJ357)="","",INDEX(原始資料!H$2:H$501,$BJ357)))</f>
        <v/>
      </c>
      <c r="G357" s="6">
        <f>IF(OR($BJ357="",6&gt;設定!$B$3),"",IF(INDEX(原始資料!I$2:I$501,$BJ357)="","",INDEX(原始資料!I$2:I$501,$BJ357)))</f>
        <v/>
      </c>
      <c r="H357" s="6">
        <f>IF(OR($BJ357="",7&gt;設定!$B$3),"",IF(INDEX(原始資料!J$2:J$501,$BJ357)="","",INDEX(原始資料!J$2:J$501,$BJ357)))</f>
        <v/>
      </c>
      <c r="I357" s="6">
        <f>IF(OR($BJ357="",8&gt;設定!$B$3),"",IF(INDEX(原始資料!K$2:K$501,$BJ357)="","",INDEX(原始資料!K$2:K$501,$BJ357)))</f>
        <v/>
      </c>
      <c r="J357" s="6">
        <f>IF(OR($BJ357="",9&gt;設定!$B$3),"",IF(INDEX(原始資料!L$2:L$501,$BJ357)="","",INDEX(原始資料!L$2:L$501,$BJ357)))</f>
        <v/>
      </c>
      <c r="K357" s="6">
        <f>IF(OR($BJ357="",10&gt;設定!$B$3),"",IF(INDEX(原始資料!M$2:M$501,$BJ357)="","",INDEX(原始資料!M$2:M$501,$BJ357)))</f>
        <v/>
      </c>
      <c r="L357" s="6">
        <f>IF(OR($BJ357="",11&gt;設定!$B$3),"",IF(INDEX(原始資料!N$2:N$501,$BJ357)="","",INDEX(原始資料!N$2:N$501,$BJ357)))</f>
        <v/>
      </c>
      <c r="M357" s="6">
        <f>IF(OR($BJ357="",12&gt;設定!$B$3),"",IF(INDEX(原始資料!O$2:O$501,$BJ357)="","",INDEX(原始資料!O$2:O$501,$BJ357)))</f>
        <v/>
      </c>
      <c r="N357" s="6">
        <f>IF(OR($BJ357="",13&gt;設定!$B$3),"",IF(INDEX(原始資料!P$2:P$501,$BJ357)="","",INDEX(原始資料!P$2:P$501,$BJ357)))</f>
        <v/>
      </c>
      <c r="O357" s="6">
        <f>IF(OR($BJ357="",14&gt;設定!$B$3),"",IF(INDEX(原始資料!Q$2:Q$501,$BJ357)="","",INDEX(原始資料!Q$2:Q$501,$BJ357)))</f>
        <v/>
      </c>
      <c r="P357" s="6">
        <f>IF(OR($BJ357="",15&gt;設定!$B$3),"",IF(INDEX(原始資料!R$2:R$501,$BJ357)="","",INDEX(原始資料!R$2:R$501,$BJ357)))</f>
        <v/>
      </c>
      <c r="Q357" s="6">
        <f>IF(OR($BJ357="",16&gt;設定!$B$3),"",IF(INDEX(原始資料!S$2:S$501,$BJ357)="","",INDEX(原始資料!S$2:S$501,$BJ357)))</f>
        <v/>
      </c>
      <c r="R357" s="6">
        <f>IF(OR($BJ357="",17&gt;設定!$B$3),"",IF(INDEX(原始資料!T$2:T$501,$BJ357)="","",INDEX(原始資料!T$2:T$501,$BJ357)))</f>
        <v/>
      </c>
      <c r="S357" s="6">
        <f>IF(OR($BJ357="",18&gt;設定!$B$3),"",IF(INDEX(原始資料!U$2:U$501,$BJ357)="","",INDEX(原始資料!U$2:U$501,$BJ357)))</f>
        <v/>
      </c>
      <c r="T357" s="6">
        <f>IF(OR($BJ357="",19&gt;設定!$B$3),"",IF(INDEX(原始資料!V$2:V$501,$BJ357)="","",INDEX(原始資料!V$2:V$501,$BJ357)))</f>
        <v/>
      </c>
      <c r="U357" s="6">
        <f>IF(OR($BJ357="",20&gt;設定!$B$3),"",IF(INDEX(原始資料!W$2:W$501,$BJ357)="","",INDEX(原始資料!W$2:W$501,$BJ357)))</f>
        <v/>
      </c>
      <c r="V357" s="6">
        <f>IF(OR($BJ357="",21&gt;設定!$B$3),"",IF(INDEX(原始資料!X$2:X$501,$BJ357)="","",INDEX(原始資料!X$2:X$501,$BJ357)))</f>
        <v/>
      </c>
      <c r="W357" s="6">
        <f>IF(OR($BJ357="",22&gt;設定!$B$3),"",IF(INDEX(原始資料!Y$2:Y$501,$BJ357)="","",INDEX(原始資料!Y$2:Y$501,$BJ357)))</f>
        <v/>
      </c>
      <c r="X357" s="6">
        <f>IF(OR($BJ357="",23&gt;設定!$B$3),"",IF(INDEX(原始資料!Z$2:Z$501,$BJ357)="","",INDEX(原始資料!Z$2:Z$501,$BJ357)))</f>
        <v/>
      </c>
      <c r="Y357" s="6">
        <f>IF(OR($BJ357="",24&gt;設定!$B$3),"",IF(INDEX(原始資料!AA$2:AA$501,$BJ357)="","",INDEX(原始資料!AA$2:AA$501,$BJ357)))</f>
        <v/>
      </c>
      <c r="Z357" s="6">
        <f>IF(OR($BJ357="",25&gt;設定!$B$3),"",IF(INDEX(原始資料!AB$2:AB$501,$BJ357)="","",INDEX(原始資料!AB$2:AB$501,$BJ357)))</f>
        <v/>
      </c>
      <c r="AA357" s="6">
        <f>IF(OR($BJ357="",26&gt;設定!$B$3),"",IF(INDEX(原始資料!AC$2:AC$501,$BJ357)="","",INDEX(原始資料!AC$2:AC$501,$BJ357)))</f>
        <v/>
      </c>
      <c r="AB357" s="6">
        <f>IF(OR($BJ357="",27&gt;設定!$B$3),"",IF(INDEX(原始資料!AD$2:AD$501,$BJ357)="","",INDEX(原始資料!AD$2:AD$501,$BJ357)))</f>
        <v/>
      </c>
      <c r="AC357" s="6">
        <f>IF(OR($BJ357="",28&gt;設定!$B$3),"",IF(INDEX(原始資料!AE$2:AE$501,$BJ357)="","",INDEX(原始資料!AE$2:AE$501,$BJ357)))</f>
        <v/>
      </c>
      <c r="AD357" s="6">
        <f>IF(OR($BJ357="",29&gt;設定!$B$3),"",IF(INDEX(原始資料!AF$2:AF$501,$BJ357)="","",INDEX(原始資料!AF$2:AF$501,$BJ357)))</f>
        <v/>
      </c>
      <c r="AE357" s="6">
        <f>IF(OR($BJ357="",30&gt;設定!$B$3),"",IF(INDEX(原始資料!AG$2:AG$501,$BJ357)="","",INDEX(原始資料!AG$2:AG$501,$BJ357)))</f>
        <v/>
      </c>
      <c r="AF357" s="6">
        <f>IF(OR($BJ357="",31&gt;設定!$B$3),"",IF(INDEX(原始資料!AH$2:AH$501,$BJ357)="","",INDEX(原始資料!AH$2:AH$501,$BJ357)))</f>
        <v/>
      </c>
      <c r="AG357" s="6">
        <f>IF(OR($BJ357="",32&gt;設定!$B$3),"",IF(INDEX(原始資料!AI$2:AI$501,$BJ357)="","",INDEX(原始資料!AI$2:AI$501,$BJ357)))</f>
        <v/>
      </c>
      <c r="AH357" s="6">
        <f>IF(OR($BJ357="",33&gt;設定!$B$3),"",IF(INDEX(原始資料!AJ$2:AJ$501,$BJ357)="","",INDEX(原始資料!AJ$2:AJ$501,$BJ357)))</f>
        <v/>
      </c>
      <c r="AI357" s="6">
        <f>IF(OR($BJ357="",34&gt;設定!$B$3),"",IF(INDEX(原始資料!AK$2:AK$501,$BJ357)="","",INDEX(原始資料!AK$2:AK$501,$BJ357)))</f>
        <v/>
      </c>
      <c r="AJ357" s="6">
        <f>IF(OR($BJ357="",35&gt;設定!$B$3),"",IF(INDEX(原始資料!AL$2:AL$501,$BJ357)="","",INDEX(原始資料!AL$2:AL$501,$BJ357)))</f>
        <v/>
      </c>
      <c r="AK357" s="6">
        <f>IF(OR($BJ357="",36&gt;設定!$B$3),"",IF(INDEX(原始資料!AM$2:AM$501,$BJ357)="","",INDEX(原始資料!AM$2:AM$501,$BJ357)))</f>
        <v/>
      </c>
      <c r="AL357" s="6">
        <f>IF(OR($BJ357="",37&gt;設定!$B$3),"",IF(INDEX(原始資料!AN$2:AN$501,$BJ357)="","",INDEX(原始資料!AN$2:AN$501,$BJ357)))</f>
        <v/>
      </c>
      <c r="AM357" s="6">
        <f>IF(OR($BJ357="",38&gt;設定!$B$3),"",IF(INDEX(原始資料!AO$2:AO$501,$BJ357)="","",INDEX(原始資料!AO$2:AO$501,$BJ357)))</f>
        <v/>
      </c>
      <c r="AN357" s="6">
        <f>IF(OR($BJ357="",39&gt;設定!$B$3),"",IF(INDEX(原始資料!AP$2:AP$501,$BJ357)="","",INDEX(原始資料!AP$2:AP$501,$BJ357)))</f>
        <v/>
      </c>
      <c r="AO357" s="6">
        <f>IF(OR($BJ357="",40&gt;設定!$B$3),"",IF(INDEX(原始資料!AQ$2:AQ$501,$BJ357)="","",INDEX(原始資料!AQ$2:AQ$501,$BJ357)))</f>
        <v/>
      </c>
      <c r="AP357" s="6">
        <f>IF(OR($BJ357="",41&gt;設定!$B$3),"",IF(INDEX(原始資料!AR$2:AR$501,$BJ357)="","",INDEX(原始資料!AR$2:AR$501,$BJ357)))</f>
        <v/>
      </c>
      <c r="AQ357" s="6">
        <f>IF(OR($BJ357="",42&gt;設定!$B$3),"",IF(INDEX(原始資料!AS$2:AS$501,$BJ357)="","",INDEX(原始資料!AS$2:AS$501,$BJ357)))</f>
        <v/>
      </c>
      <c r="AR357" s="6">
        <f>IF(OR($BJ357="",43&gt;設定!$B$3),"",IF(INDEX(原始資料!AT$2:AT$501,$BJ357)="","",INDEX(原始資料!AT$2:AT$501,$BJ357)))</f>
        <v/>
      </c>
      <c r="AS357" s="6">
        <f>IF(OR($BJ357="",44&gt;設定!$B$3),"",IF(INDEX(原始資料!AU$2:AU$501,$BJ357)="","",INDEX(原始資料!AU$2:AU$501,$BJ357)))</f>
        <v/>
      </c>
      <c r="AT357" s="6">
        <f>IF(OR($BJ357="",45&gt;設定!$B$3),"",IF(INDEX(原始資料!AV$2:AV$501,$BJ357)="","",INDEX(原始資料!AV$2:AV$501,$BJ357)))</f>
        <v/>
      </c>
      <c r="AU357" s="6">
        <f>IF(OR($BJ357="",46&gt;設定!$B$3),"",IF(INDEX(原始資料!AW$2:AW$501,$BJ357)="","",INDEX(原始資料!AW$2:AW$501,$BJ357)))</f>
        <v/>
      </c>
      <c r="AV357" s="6">
        <f>IF(OR($BJ357="",47&gt;設定!$B$3),"",IF(INDEX(原始資料!AX$2:AX$501,$BJ357)="","",INDEX(原始資料!AX$2:AX$501,$BJ357)))</f>
        <v/>
      </c>
      <c r="AW357" s="6">
        <f>IF(OR($BJ357="",48&gt;設定!$B$3),"",IF(INDEX(原始資料!AY$2:AY$501,$BJ357)="","",INDEX(原始資料!AY$2:AY$501,$BJ357)))</f>
        <v/>
      </c>
      <c r="AX357" s="6">
        <f>IF(OR($BJ357="",49&gt;設定!$B$3),"",IF(INDEX(原始資料!AZ$2:AZ$501,$BJ357)="","",INDEX(原始資料!AZ$2:AZ$501,$BJ357)))</f>
        <v/>
      </c>
      <c r="AY357" s="6">
        <f>IF(OR($BJ357="",50&gt;設定!$B$3),"",IF(INDEX(原始資料!BA$2:BA$501,$BJ357)="","",INDEX(原始資料!BA$2:BA$501,$BJ357)))</f>
        <v/>
      </c>
      <c r="AZ357" s="6">
        <f>IF(OR($BJ357="",51&gt;設定!$B$3),"",IF(INDEX(原始資料!BB$2:BB$501,$BJ357)="","",INDEX(原始資料!BB$2:BB$501,$BJ357)))</f>
        <v/>
      </c>
      <c r="BA357" s="6">
        <f>IF(OR($BJ357="",52&gt;設定!$B$3),"",IF(INDEX(原始資料!BC$2:BC$501,$BJ357)="","",INDEX(原始資料!BC$2:BC$501,$BJ357)))</f>
        <v/>
      </c>
      <c r="BB357" s="6">
        <f>IF(OR($BJ357="",53&gt;設定!$B$3),"",IF(INDEX(原始資料!BD$2:BD$501,$BJ357)="","",INDEX(原始資料!BD$2:BD$501,$BJ357)))</f>
        <v/>
      </c>
      <c r="BC357" s="6">
        <f>IF(OR($BJ357="",54&gt;設定!$B$3),"",IF(INDEX(原始資料!BE$2:BE$501,$BJ357)="","",INDEX(原始資料!BE$2:BE$501,$BJ357)))</f>
        <v/>
      </c>
      <c r="BD357" s="6">
        <f>IF(OR($BJ357="",55&gt;設定!$B$3),"",IF(INDEX(原始資料!BF$2:BF$501,$BJ357)="","",INDEX(原始資料!BF$2:BF$501,$BJ357)))</f>
        <v/>
      </c>
      <c r="BE357" s="6">
        <f>IF(OR($BJ357="",56&gt;設定!$B$3),"",IF(INDEX(原始資料!BG$2:BG$501,$BJ357)="","",INDEX(原始資料!BG$2:BG$501,$BJ357)))</f>
        <v/>
      </c>
      <c r="BF357" s="6">
        <f>IF(OR($BJ357="",57&gt;設定!$B$3),"",IF(INDEX(原始資料!BH$2:BH$501,$BJ357)="","",INDEX(原始資料!BH$2:BH$501,$BJ357)))</f>
        <v/>
      </c>
      <c r="BG357" s="6">
        <f>IF(OR($BJ357="",58&gt;設定!$B$3),"",IF(INDEX(原始資料!BI$2:BI$501,$BJ357)="","",INDEX(原始資料!BI$2:BI$501,$BJ357)))</f>
        <v/>
      </c>
      <c r="BH357" s="6">
        <f>IF(OR($BJ357="",59&gt;設定!$B$3),"",IF(INDEX(原始資料!BJ$2:BJ$501,$BJ357)="","",INDEX(原始資料!BJ$2:BJ$501,$BJ357)))</f>
        <v/>
      </c>
      <c r="BI357" s="6">
        <f>IF(OR($BJ357="",60&gt;設定!$B$3),"",IF(INDEX(原始資料!BK$2:BK$501,$BJ357)="","",INDEX(原始資料!BK$2:BK$501,$BJ357)))</f>
        <v/>
      </c>
      <c r="BJ357" s="6">
        <f>IFERROR(MATCH(ROW()-1,判定!$H$2:$H$501,0),"")</f>
        <v/>
      </c>
    </row>
    <row r="358">
      <c r="A358" s="6">
        <f>IF($BJ358="","",INDEX(原始資料!$A$2:$A$501,$BJ358))</f>
        <v/>
      </c>
      <c r="B358" s="6">
        <f>IF(OR($BJ358="",1&gt;設定!$B$3),"",IF(INDEX(原始資料!D$2:D$501,$BJ358)="","",INDEX(原始資料!D$2:D$501,$BJ358)))</f>
        <v/>
      </c>
      <c r="C358" s="6">
        <f>IF(OR($BJ358="",2&gt;設定!$B$3),"",IF(INDEX(原始資料!E$2:E$501,$BJ358)="","",INDEX(原始資料!E$2:E$501,$BJ358)))</f>
        <v/>
      </c>
      <c r="D358" s="6">
        <f>IF(OR($BJ358="",3&gt;設定!$B$3),"",IF(INDEX(原始資料!F$2:F$501,$BJ358)="","",INDEX(原始資料!F$2:F$501,$BJ358)))</f>
        <v/>
      </c>
      <c r="E358" s="6">
        <f>IF(OR($BJ358="",4&gt;設定!$B$3),"",IF(INDEX(原始資料!G$2:G$501,$BJ358)="","",INDEX(原始資料!G$2:G$501,$BJ358)))</f>
        <v/>
      </c>
      <c r="F358" s="6">
        <f>IF(OR($BJ358="",5&gt;設定!$B$3),"",IF(INDEX(原始資料!H$2:H$501,$BJ358)="","",INDEX(原始資料!H$2:H$501,$BJ358)))</f>
        <v/>
      </c>
      <c r="G358" s="6">
        <f>IF(OR($BJ358="",6&gt;設定!$B$3),"",IF(INDEX(原始資料!I$2:I$501,$BJ358)="","",INDEX(原始資料!I$2:I$501,$BJ358)))</f>
        <v/>
      </c>
      <c r="H358" s="6">
        <f>IF(OR($BJ358="",7&gt;設定!$B$3),"",IF(INDEX(原始資料!J$2:J$501,$BJ358)="","",INDEX(原始資料!J$2:J$501,$BJ358)))</f>
        <v/>
      </c>
      <c r="I358" s="6">
        <f>IF(OR($BJ358="",8&gt;設定!$B$3),"",IF(INDEX(原始資料!K$2:K$501,$BJ358)="","",INDEX(原始資料!K$2:K$501,$BJ358)))</f>
        <v/>
      </c>
      <c r="J358" s="6">
        <f>IF(OR($BJ358="",9&gt;設定!$B$3),"",IF(INDEX(原始資料!L$2:L$501,$BJ358)="","",INDEX(原始資料!L$2:L$501,$BJ358)))</f>
        <v/>
      </c>
      <c r="K358" s="6">
        <f>IF(OR($BJ358="",10&gt;設定!$B$3),"",IF(INDEX(原始資料!M$2:M$501,$BJ358)="","",INDEX(原始資料!M$2:M$501,$BJ358)))</f>
        <v/>
      </c>
      <c r="L358" s="6">
        <f>IF(OR($BJ358="",11&gt;設定!$B$3),"",IF(INDEX(原始資料!N$2:N$501,$BJ358)="","",INDEX(原始資料!N$2:N$501,$BJ358)))</f>
        <v/>
      </c>
      <c r="M358" s="6">
        <f>IF(OR($BJ358="",12&gt;設定!$B$3),"",IF(INDEX(原始資料!O$2:O$501,$BJ358)="","",INDEX(原始資料!O$2:O$501,$BJ358)))</f>
        <v/>
      </c>
      <c r="N358" s="6">
        <f>IF(OR($BJ358="",13&gt;設定!$B$3),"",IF(INDEX(原始資料!P$2:P$501,$BJ358)="","",INDEX(原始資料!P$2:P$501,$BJ358)))</f>
        <v/>
      </c>
      <c r="O358" s="6">
        <f>IF(OR($BJ358="",14&gt;設定!$B$3),"",IF(INDEX(原始資料!Q$2:Q$501,$BJ358)="","",INDEX(原始資料!Q$2:Q$501,$BJ358)))</f>
        <v/>
      </c>
      <c r="P358" s="6">
        <f>IF(OR($BJ358="",15&gt;設定!$B$3),"",IF(INDEX(原始資料!R$2:R$501,$BJ358)="","",INDEX(原始資料!R$2:R$501,$BJ358)))</f>
        <v/>
      </c>
      <c r="Q358" s="6">
        <f>IF(OR($BJ358="",16&gt;設定!$B$3),"",IF(INDEX(原始資料!S$2:S$501,$BJ358)="","",INDEX(原始資料!S$2:S$501,$BJ358)))</f>
        <v/>
      </c>
      <c r="R358" s="6">
        <f>IF(OR($BJ358="",17&gt;設定!$B$3),"",IF(INDEX(原始資料!T$2:T$501,$BJ358)="","",INDEX(原始資料!T$2:T$501,$BJ358)))</f>
        <v/>
      </c>
      <c r="S358" s="6">
        <f>IF(OR($BJ358="",18&gt;設定!$B$3),"",IF(INDEX(原始資料!U$2:U$501,$BJ358)="","",INDEX(原始資料!U$2:U$501,$BJ358)))</f>
        <v/>
      </c>
      <c r="T358" s="6">
        <f>IF(OR($BJ358="",19&gt;設定!$B$3),"",IF(INDEX(原始資料!V$2:V$501,$BJ358)="","",INDEX(原始資料!V$2:V$501,$BJ358)))</f>
        <v/>
      </c>
      <c r="U358" s="6">
        <f>IF(OR($BJ358="",20&gt;設定!$B$3),"",IF(INDEX(原始資料!W$2:W$501,$BJ358)="","",INDEX(原始資料!W$2:W$501,$BJ358)))</f>
        <v/>
      </c>
      <c r="V358" s="6">
        <f>IF(OR($BJ358="",21&gt;設定!$B$3),"",IF(INDEX(原始資料!X$2:X$501,$BJ358)="","",INDEX(原始資料!X$2:X$501,$BJ358)))</f>
        <v/>
      </c>
      <c r="W358" s="6">
        <f>IF(OR($BJ358="",22&gt;設定!$B$3),"",IF(INDEX(原始資料!Y$2:Y$501,$BJ358)="","",INDEX(原始資料!Y$2:Y$501,$BJ358)))</f>
        <v/>
      </c>
      <c r="X358" s="6">
        <f>IF(OR($BJ358="",23&gt;設定!$B$3),"",IF(INDEX(原始資料!Z$2:Z$501,$BJ358)="","",INDEX(原始資料!Z$2:Z$501,$BJ358)))</f>
        <v/>
      </c>
      <c r="Y358" s="6">
        <f>IF(OR($BJ358="",24&gt;設定!$B$3),"",IF(INDEX(原始資料!AA$2:AA$501,$BJ358)="","",INDEX(原始資料!AA$2:AA$501,$BJ358)))</f>
        <v/>
      </c>
      <c r="Z358" s="6">
        <f>IF(OR($BJ358="",25&gt;設定!$B$3),"",IF(INDEX(原始資料!AB$2:AB$501,$BJ358)="","",INDEX(原始資料!AB$2:AB$501,$BJ358)))</f>
        <v/>
      </c>
      <c r="AA358" s="6">
        <f>IF(OR($BJ358="",26&gt;設定!$B$3),"",IF(INDEX(原始資料!AC$2:AC$501,$BJ358)="","",INDEX(原始資料!AC$2:AC$501,$BJ358)))</f>
        <v/>
      </c>
      <c r="AB358" s="6">
        <f>IF(OR($BJ358="",27&gt;設定!$B$3),"",IF(INDEX(原始資料!AD$2:AD$501,$BJ358)="","",INDEX(原始資料!AD$2:AD$501,$BJ358)))</f>
        <v/>
      </c>
      <c r="AC358" s="6">
        <f>IF(OR($BJ358="",28&gt;設定!$B$3),"",IF(INDEX(原始資料!AE$2:AE$501,$BJ358)="","",INDEX(原始資料!AE$2:AE$501,$BJ358)))</f>
        <v/>
      </c>
      <c r="AD358" s="6">
        <f>IF(OR($BJ358="",29&gt;設定!$B$3),"",IF(INDEX(原始資料!AF$2:AF$501,$BJ358)="","",INDEX(原始資料!AF$2:AF$501,$BJ358)))</f>
        <v/>
      </c>
      <c r="AE358" s="6">
        <f>IF(OR($BJ358="",30&gt;設定!$B$3),"",IF(INDEX(原始資料!AG$2:AG$501,$BJ358)="","",INDEX(原始資料!AG$2:AG$501,$BJ358)))</f>
        <v/>
      </c>
      <c r="AF358" s="6">
        <f>IF(OR($BJ358="",31&gt;設定!$B$3),"",IF(INDEX(原始資料!AH$2:AH$501,$BJ358)="","",INDEX(原始資料!AH$2:AH$501,$BJ358)))</f>
        <v/>
      </c>
      <c r="AG358" s="6">
        <f>IF(OR($BJ358="",32&gt;設定!$B$3),"",IF(INDEX(原始資料!AI$2:AI$501,$BJ358)="","",INDEX(原始資料!AI$2:AI$501,$BJ358)))</f>
        <v/>
      </c>
      <c r="AH358" s="6">
        <f>IF(OR($BJ358="",33&gt;設定!$B$3),"",IF(INDEX(原始資料!AJ$2:AJ$501,$BJ358)="","",INDEX(原始資料!AJ$2:AJ$501,$BJ358)))</f>
        <v/>
      </c>
      <c r="AI358" s="6">
        <f>IF(OR($BJ358="",34&gt;設定!$B$3),"",IF(INDEX(原始資料!AK$2:AK$501,$BJ358)="","",INDEX(原始資料!AK$2:AK$501,$BJ358)))</f>
        <v/>
      </c>
      <c r="AJ358" s="6">
        <f>IF(OR($BJ358="",35&gt;設定!$B$3),"",IF(INDEX(原始資料!AL$2:AL$501,$BJ358)="","",INDEX(原始資料!AL$2:AL$501,$BJ358)))</f>
        <v/>
      </c>
      <c r="AK358" s="6">
        <f>IF(OR($BJ358="",36&gt;設定!$B$3),"",IF(INDEX(原始資料!AM$2:AM$501,$BJ358)="","",INDEX(原始資料!AM$2:AM$501,$BJ358)))</f>
        <v/>
      </c>
      <c r="AL358" s="6">
        <f>IF(OR($BJ358="",37&gt;設定!$B$3),"",IF(INDEX(原始資料!AN$2:AN$501,$BJ358)="","",INDEX(原始資料!AN$2:AN$501,$BJ358)))</f>
        <v/>
      </c>
      <c r="AM358" s="6">
        <f>IF(OR($BJ358="",38&gt;設定!$B$3),"",IF(INDEX(原始資料!AO$2:AO$501,$BJ358)="","",INDEX(原始資料!AO$2:AO$501,$BJ358)))</f>
        <v/>
      </c>
      <c r="AN358" s="6">
        <f>IF(OR($BJ358="",39&gt;設定!$B$3),"",IF(INDEX(原始資料!AP$2:AP$501,$BJ358)="","",INDEX(原始資料!AP$2:AP$501,$BJ358)))</f>
        <v/>
      </c>
      <c r="AO358" s="6">
        <f>IF(OR($BJ358="",40&gt;設定!$B$3),"",IF(INDEX(原始資料!AQ$2:AQ$501,$BJ358)="","",INDEX(原始資料!AQ$2:AQ$501,$BJ358)))</f>
        <v/>
      </c>
      <c r="AP358" s="6">
        <f>IF(OR($BJ358="",41&gt;設定!$B$3),"",IF(INDEX(原始資料!AR$2:AR$501,$BJ358)="","",INDEX(原始資料!AR$2:AR$501,$BJ358)))</f>
        <v/>
      </c>
      <c r="AQ358" s="6">
        <f>IF(OR($BJ358="",42&gt;設定!$B$3),"",IF(INDEX(原始資料!AS$2:AS$501,$BJ358)="","",INDEX(原始資料!AS$2:AS$501,$BJ358)))</f>
        <v/>
      </c>
      <c r="AR358" s="6">
        <f>IF(OR($BJ358="",43&gt;設定!$B$3),"",IF(INDEX(原始資料!AT$2:AT$501,$BJ358)="","",INDEX(原始資料!AT$2:AT$501,$BJ358)))</f>
        <v/>
      </c>
      <c r="AS358" s="6">
        <f>IF(OR($BJ358="",44&gt;設定!$B$3),"",IF(INDEX(原始資料!AU$2:AU$501,$BJ358)="","",INDEX(原始資料!AU$2:AU$501,$BJ358)))</f>
        <v/>
      </c>
      <c r="AT358" s="6">
        <f>IF(OR($BJ358="",45&gt;設定!$B$3),"",IF(INDEX(原始資料!AV$2:AV$501,$BJ358)="","",INDEX(原始資料!AV$2:AV$501,$BJ358)))</f>
        <v/>
      </c>
      <c r="AU358" s="6">
        <f>IF(OR($BJ358="",46&gt;設定!$B$3),"",IF(INDEX(原始資料!AW$2:AW$501,$BJ358)="","",INDEX(原始資料!AW$2:AW$501,$BJ358)))</f>
        <v/>
      </c>
      <c r="AV358" s="6">
        <f>IF(OR($BJ358="",47&gt;設定!$B$3),"",IF(INDEX(原始資料!AX$2:AX$501,$BJ358)="","",INDEX(原始資料!AX$2:AX$501,$BJ358)))</f>
        <v/>
      </c>
      <c r="AW358" s="6">
        <f>IF(OR($BJ358="",48&gt;設定!$B$3),"",IF(INDEX(原始資料!AY$2:AY$501,$BJ358)="","",INDEX(原始資料!AY$2:AY$501,$BJ358)))</f>
        <v/>
      </c>
      <c r="AX358" s="6">
        <f>IF(OR($BJ358="",49&gt;設定!$B$3),"",IF(INDEX(原始資料!AZ$2:AZ$501,$BJ358)="","",INDEX(原始資料!AZ$2:AZ$501,$BJ358)))</f>
        <v/>
      </c>
      <c r="AY358" s="6">
        <f>IF(OR($BJ358="",50&gt;設定!$B$3),"",IF(INDEX(原始資料!BA$2:BA$501,$BJ358)="","",INDEX(原始資料!BA$2:BA$501,$BJ358)))</f>
        <v/>
      </c>
      <c r="AZ358" s="6">
        <f>IF(OR($BJ358="",51&gt;設定!$B$3),"",IF(INDEX(原始資料!BB$2:BB$501,$BJ358)="","",INDEX(原始資料!BB$2:BB$501,$BJ358)))</f>
        <v/>
      </c>
      <c r="BA358" s="6">
        <f>IF(OR($BJ358="",52&gt;設定!$B$3),"",IF(INDEX(原始資料!BC$2:BC$501,$BJ358)="","",INDEX(原始資料!BC$2:BC$501,$BJ358)))</f>
        <v/>
      </c>
      <c r="BB358" s="6">
        <f>IF(OR($BJ358="",53&gt;設定!$B$3),"",IF(INDEX(原始資料!BD$2:BD$501,$BJ358)="","",INDEX(原始資料!BD$2:BD$501,$BJ358)))</f>
        <v/>
      </c>
      <c r="BC358" s="6">
        <f>IF(OR($BJ358="",54&gt;設定!$B$3),"",IF(INDEX(原始資料!BE$2:BE$501,$BJ358)="","",INDEX(原始資料!BE$2:BE$501,$BJ358)))</f>
        <v/>
      </c>
      <c r="BD358" s="6">
        <f>IF(OR($BJ358="",55&gt;設定!$B$3),"",IF(INDEX(原始資料!BF$2:BF$501,$BJ358)="","",INDEX(原始資料!BF$2:BF$501,$BJ358)))</f>
        <v/>
      </c>
      <c r="BE358" s="6">
        <f>IF(OR($BJ358="",56&gt;設定!$B$3),"",IF(INDEX(原始資料!BG$2:BG$501,$BJ358)="","",INDEX(原始資料!BG$2:BG$501,$BJ358)))</f>
        <v/>
      </c>
      <c r="BF358" s="6">
        <f>IF(OR($BJ358="",57&gt;設定!$B$3),"",IF(INDEX(原始資料!BH$2:BH$501,$BJ358)="","",INDEX(原始資料!BH$2:BH$501,$BJ358)))</f>
        <v/>
      </c>
      <c r="BG358" s="6">
        <f>IF(OR($BJ358="",58&gt;設定!$B$3),"",IF(INDEX(原始資料!BI$2:BI$501,$BJ358)="","",INDEX(原始資料!BI$2:BI$501,$BJ358)))</f>
        <v/>
      </c>
      <c r="BH358" s="6">
        <f>IF(OR($BJ358="",59&gt;設定!$B$3),"",IF(INDEX(原始資料!BJ$2:BJ$501,$BJ358)="","",INDEX(原始資料!BJ$2:BJ$501,$BJ358)))</f>
        <v/>
      </c>
      <c r="BI358" s="6">
        <f>IF(OR($BJ358="",60&gt;設定!$B$3),"",IF(INDEX(原始資料!BK$2:BK$501,$BJ358)="","",INDEX(原始資料!BK$2:BK$501,$BJ358)))</f>
        <v/>
      </c>
      <c r="BJ358" s="6">
        <f>IFERROR(MATCH(ROW()-1,判定!$H$2:$H$501,0),"")</f>
        <v/>
      </c>
    </row>
    <row r="359">
      <c r="A359" s="6">
        <f>IF($BJ359="","",INDEX(原始資料!$A$2:$A$501,$BJ359))</f>
        <v/>
      </c>
      <c r="B359" s="6">
        <f>IF(OR($BJ359="",1&gt;設定!$B$3),"",IF(INDEX(原始資料!D$2:D$501,$BJ359)="","",INDEX(原始資料!D$2:D$501,$BJ359)))</f>
        <v/>
      </c>
      <c r="C359" s="6">
        <f>IF(OR($BJ359="",2&gt;設定!$B$3),"",IF(INDEX(原始資料!E$2:E$501,$BJ359)="","",INDEX(原始資料!E$2:E$501,$BJ359)))</f>
        <v/>
      </c>
      <c r="D359" s="6">
        <f>IF(OR($BJ359="",3&gt;設定!$B$3),"",IF(INDEX(原始資料!F$2:F$501,$BJ359)="","",INDEX(原始資料!F$2:F$501,$BJ359)))</f>
        <v/>
      </c>
      <c r="E359" s="6">
        <f>IF(OR($BJ359="",4&gt;設定!$B$3),"",IF(INDEX(原始資料!G$2:G$501,$BJ359)="","",INDEX(原始資料!G$2:G$501,$BJ359)))</f>
        <v/>
      </c>
      <c r="F359" s="6">
        <f>IF(OR($BJ359="",5&gt;設定!$B$3),"",IF(INDEX(原始資料!H$2:H$501,$BJ359)="","",INDEX(原始資料!H$2:H$501,$BJ359)))</f>
        <v/>
      </c>
      <c r="G359" s="6">
        <f>IF(OR($BJ359="",6&gt;設定!$B$3),"",IF(INDEX(原始資料!I$2:I$501,$BJ359)="","",INDEX(原始資料!I$2:I$501,$BJ359)))</f>
        <v/>
      </c>
      <c r="H359" s="6">
        <f>IF(OR($BJ359="",7&gt;設定!$B$3),"",IF(INDEX(原始資料!J$2:J$501,$BJ359)="","",INDEX(原始資料!J$2:J$501,$BJ359)))</f>
        <v/>
      </c>
      <c r="I359" s="6">
        <f>IF(OR($BJ359="",8&gt;設定!$B$3),"",IF(INDEX(原始資料!K$2:K$501,$BJ359)="","",INDEX(原始資料!K$2:K$501,$BJ359)))</f>
        <v/>
      </c>
      <c r="J359" s="6">
        <f>IF(OR($BJ359="",9&gt;設定!$B$3),"",IF(INDEX(原始資料!L$2:L$501,$BJ359)="","",INDEX(原始資料!L$2:L$501,$BJ359)))</f>
        <v/>
      </c>
      <c r="K359" s="6">
        <f>IF(OR($BJ359="",10&gt;設定!$B$3),"",IF(INDEX(原始資料!M$2:M$501,$BJ359)="","",INDEX(原始資料!M$2:M$501,$BJ359)))</f>
        <v/>
      </c>
      <c r="L359" s="6">
        <f>IF(OR($BJ359="",11&gt;設定!$B$3),"",IF(INDEX(原始資料!N$2:N$501,$BJ359)="","",INDEX(原始資料!N$2:N$501,$BJ359)))</f>
        <v/>
      </c>
      <c r="M359" s="6">
        <f>IF(OR($BJ359="",12&gt;設定!$B$3),"",IF(INDEX(原始資料!O$2:O$501,$BJ359)="","",INDEX(原始資料!O$2:O$501,$BJ359)))</f>
        <v/>
      </c>
      <c r="N359" s="6">
        <f>IF(OR($BJ359="",13&gt;設定!$B$3),"",IF(INDEX(原始資料!P$2:P$501,$BJ359)="","",INDEX(原始資料!P$2:P$501,$BJ359)))</f>
        <v/>
      </c>
      <c r="O359" s="6">
        <f>IF(OR($BJ359="",14&gt;設定!$B$3),"",IF(INDEX(原始資料!Q$2:Q$501,$BJ359)="","",INDEX(原始資料!Q$2:Q$501,$BJ359)))</f>
        <v/>
      </c>
      <c r="P359" s="6">
        <f>IF(OR($BJ359="",15&gt;設定!$B$3),"",IF(INDEX(原始資料!R$2:R$501,$BJ359)="","",INDEX(原始資料!R$2:R$501,$BJ359)))</f>
        <v/>
      </c>
      <c r="Q359" s="6">
        <f>IF(OR($BJ359="",16&gt;設定!$B$3),"",IF(INDEX(原始資料!S$2:S$501,$BJ359)="","",INDEX(原始資料!S$2:S$501,$BJ359)))</f>
        <v/>
      </c>
      <c r="R359" s="6">
        <f>IF(OR($BJ359="",17&gt;設定!$B$3),"",IF(INDEX(原始資料!T$2:T$501,$BJ359)="","",INDEX(原始資料!T$2:T$501,$BJ359)))</f>
        <v/>
      </c>
      <c r="S359" s="6">
        <f>IF(OR($BJ359="",18&gt;設定!$B$3),"",IF(INDEX(原始資料!U$2:U$501,$BJ359)="","",INDEX(原始資料!U$2:U$501,$BJ359)))</f>
        <v/>
      </c>
      <c r="T359" s="6">
        <f>IF(OR($BJ359="",19&gt;設定!$B$3),"",IF(INDEX(原始資料!V$2:V$501,$BJ359)="","",INDEX(原始資料!V$2:V$501,$BJ359)))</f>
        <v/>
      </c>
      <c r="U359" s="6">
        <f>IF(OR($BJ359="",20&gt;設定!$B$3),"",IF(INDEX(原始資料!W$2:W$501,$BJ359)="","",INDEX(原始資料!W$2:W$501,$BJ359)))</f>
        <v/>
      </c>
      <c r="V359" s="6">
        <f>IF(OR($BJ359="",21&gt;設定!$B$3),"",IF(INDEX(原始資料!X$2:X$501,$BJ359)="","",INDEX(原始資料!X$2:X$501,$BJ359)))</f>
        <v/>
      </c>
      <c r="W359" s="6">
        <f>IF(OR($BJ359="",22&gt;設定!$B$3),"",IF(INDEX(原始資料!Y$2:Y$501,$BJ359)="","",INDEX(原始資料!Y$2:Y$501,$BJ359)))</f>
        <v/>
      </c>
      <c r="X359" s="6">
        <f>IF(OR($BJ359="",23&gt;設定!$B$3),"",IF(INDEX(原始資料!Z$2:Z$501,$BJ359)="","",INDEX(原始資料!Z$2:Z$501,$BJ359)))</f>
        <v/>
      </c>
      <c r="Y359" s="6">
        <f>IF(OR($BJ359="",24&gt;設定!$B$3),"",IF(INDEX(原始資料!AA$2:AA$501,$BJ359)="","",INDEX(原始資料!AA$2:AA$501,$BJ359)))</f>
        <v/>
      </c>
      <c r="Z359" s="6">
        <f>IF(OR($BJ359="",25&gt;設定!$B$3),"",IF(INDEX(原始資料!AB$2:AB$501,$BJ359)="","",INDEX(原始資料!AB$2:AB$501,$BJ359)))</f>
        <v/>
      </c>
      <c r="AA359" s="6">
        <f>IF(OR($BJ359="",26&gt;設定!$B$3),"",IF(INDEX(原始資料!AC$2:AC$501,$BJ359)="","",INDEX(原始資料!AC$2:AC$501,$BJ359)))</f>
        <v/>
      </c>
      <c r="AB359" s="6">
        <f>IF(OR($BJ359="",27&gt;設定!$B$3),"",IF(INDEX(原始資料!AD$2:AD$501,$BJ359)="","",INDEX(原始資料!AD$2:AD$501,$BJ359)))</f>
        <v/>
      </c>
      <c r="AC359" s="6">
        <f>IF(OR($BJ359="",28&gt;設定!$B$3),"",IF(INDEX(原始資料!AE$2:AE$501,$BJ359)="","",INDEX(原始資料!AE$2:AE$501,$BJ359)))</f>
        <v/>
      </c>
      <c r="AD359" s="6">
        <f>IF(OR($BJ359="",29&gt;設定!$B$3),"",IF(INDEX(原始資料!AF$2:AF$501,$BJ359)="","",INDEX(原始資料!AF$2:AF$501,$BJ359)))</f>
        <v/>
      </c>
      <c r="AE359" s="6">
        <f>IF(OR($BJ359="",30&gt;設定!$B$3),"",IF(INDEX(原始資料!AG$2:AG$501,$BJ359)="","",INDEX(原始資料!AG$2:AG$501,$BJ359)))</f>
        <v/>
      </c>
      <c r="AF359" s="6">
        <f>IF(OR($BJ359="",31&gt;設定!$B$3),"",IF(INDEX(原始資料!AH$2:AH$501,$BJ359)="","",INDEX(原始資料!AH$2:AH$501,$BJ359)))</f>
        <v/>
      </c>
      <c r="AG359" s="6">
        <f>IF(OR($BJ359="",32&gt;設定!$B$3),"",IF(INDEX(原始資料!AI$2:AI$501,$BJ359)="","",INDEX(原始資料!AI$2:AI$501,$BJ359)))</f>
        <v/>
      </c>
      <c r="AH359" s="6">
        <f>IF(OR($BJ359="",33&gt;設定!$B$3),"",IF(INDEX(原始資料!AJ$2:AJ$501,$BJ359)="","",INDEX(原始資料!AJ$2:AJ$501,$BJ359)))</f>
        <v/>
      </c>
      <c r="AI359" s="6">
        <f>IF(OR($BJ359="",34&gt;設定!$B$3),"",IF(INDEX(原始資料!AK$2:AK$501,$BJ359)="","",INDEX(原始資料!AK$2:AK$501,$BJ359)))</f>
        <v/>
      </c>
      <c r="AJ359" s="6">
        <f>IF(OR($BJ359="",35&gt;設定!$B$3),"",IF(INDEX(原始資料!AL$2:AL$501,$BJ359)="","",INDEX(原始資料!AL$2:AL$501,$BJ359)))</f>
        <v/>
      </c>
      <c r="AK359" s="6">
        <f>IF(OR($BJ359="",36&gt;設定!$B$3),"",IF(INDEX(原始資料!AM$2:AM$501,$BJ359)="","",INDEX(原始資料!AM$2:AM$501,$BJ359)))</f>
        <v/>
      </c>
      <c r="AL359" s="6">
        <f>IF(OR($BJ359="",37&gt;設定!$B$3),"",IF(INDEX(原始資料!AN$2:AN$501,$BJ359)="","",INDEX(原始資料!AN$2:AN$501,$BJ359)))</f>
        <v/>
      </c>
      <c r="AM359" s="6">
        <f>IF(OR($BJ359="",38&gt;設定!$B$3),"",IF(INDEX(原始資料!AO$2:AO$501,$BJ359)="","",INDEX(原始資料!AO$2:AO$501,$BJ359)))</f>
        <v/>
      </c>
      <c r="AN359" s="6">
        <f>IF(OR($BJ359="",39&gt;設定!$B$3),"",IF(INDEX(原始資料!AP$2:AP$501,$BJ359)="","",INDEX(原始資料!AP$2:AP$501,$BJ359)))</f>
        <v/>
      </c>
      <c r="AO359" s="6">
        <f>IF(OR($BJ359="",40&gt;設定!$B$3),"",IF(INDEX(原始資料!AQ$2:AQ$501,$BJ359)="","",INDEX(原始資料!AQ$2:AQ$501,$BJ359)))</f>
        <v/>
      </c>
      <c r="AP359" s="6">
        <f>IF(OR($BJ359="",41&gt;設定!$B$3),"",IF(INDEX(原始資料!AR$2:AR$501,$BJ359)="","",INDEX(原始資料!AR$2:AR$501,$BJ359)))</f>
        <v/>
      </c>
      <c r="AQ359" s="6">
        <f>IF(OR($BJ359="",42&gt;設定!$B$3),"",IF(INDEX(原始資料!AS$2:AS$501,$BJ359)="","",INDEX(原始資料!AS$2:AS$501,$BJ359)))</f>
        <v/>
      </c>
      <c r="AR359" s="6">
        <f>IF(OR($BJ359="",43&gt;設定!$B$3),"",IF(INDEX(原始資料!AT$2:AT$501,$BJ359)="","",INDEX(原始資料!AT$2:AT$501,$BJ359)))</f>
        <v/>
      </c>
      <c r="AS359" s="6">
        <f>IF(OR($BJ359="",44&gt;設定!$B$3),"",IF(INDEX(原始資料!AU$2:AU$501,$BJ359)="","",INDEX(原始資料!AU$2:AU$501,$BJ359)))</f>
        <v/>
      </c>
      <c r="AT359" s="6">
        <f>IF(OR($BJ359="",45&gt;設定!$B$3),"",IF(INDEX(原始資料!AV$2:AV$501,$BJ359)="","",INDEX(原始資料!AV$2:AV$501,$BJ359)))</f>
        <v/>
      </c>
      <c r="AU359" s="6">
        <f>IF(OR($BJ359="",46&gt;設定!$B$3),"",IF(INDEX(原始資料!AW$2:AW$501,$BJ359)="","",INDEX(原始資料!AW$2:AW$501,$BJ359)))</f>
        <v/>
      </c>
      <c r="AV359" s="6">
        <f>IF(OR($BJ359="",47&gt;設定!$B$3),"",IF(INDEX(原始資料!AX$2:AX$501,$BJ359)="","",INDEX(原始資料!AX$2:AX$501,$BJ359)))</f>
        <v/>
      </c>
      <c r="AW359" s="6">
        <f>IF(OR($BJ359="",48&gt;設定!$B$3),"",IF(INDEX(原始資料!AY$2:AY$501,$BJ359)="","",INDEX(原始資料!AY$2:AY$501,$BJ359)))</f>
        <v/>
      </c>
      <c r="AX359" s="6">
        <f>IF(OR($BJ359="",49&gt;設定!$B$3),"",IF(INDEX(原始資料!AZ$2:AZ$501,$BJ359)="","",INDEX(原始資料!AZ$2:AZ$501,$BJ359)))</f>
        <v/>
      </c>
      <c r="AY359" s="6">
        <f>IF(OR($BJ359="",50&gt;設定!$B$3),"",IF(INDEX(原始資料!BA$2:BA$501,$BJ359)="","",INDEX(原始資料!BA$2:BA$501,$BJ359)))</f>
        <v/>
      </c>
      <c r="AZ359" s="6">
        <f>IF(OR($BJ359="",51&gt;設定!$B$3),"",IF(INDEX(原始資料!BB$2:BB$501,$BJ359)="","",INDEX(原始資料!BB$2:BB$501,$BJ359)))</f>
        <v/>
      </c>
      <c r="BA359" s="6">
        <f>IF(OR($BJ359="",52&gt;設定!$B$3),"",IF(INDEX(原始資料!BC$2:BC$501,$BJ359)="","",INDEX(原始資料!BC$2:BC$501,$BJ359)))</f>
        <v/>
      </c>
      <c r="BB359" s="6">
        <f>IF(OR($BJ359="",53&gt;設定!$B$3),"",IF(INDEX(原始資料!BD$2:BD$501,$BJ359)="","",INDEX(原始資料!BD$2:BD$501,$BJ359)))</f>
        <v/>
      </c>
      <c r="BC359" s="6">
        <f>IF(OR($BJ359="",54&gt;設定!$B$3),"",IF(INDEX(原始資料!BE$2:BE$501,$BJ359)="","",INDEX(原始資料!BE$2:BE$501,$BJ359)))</f>
        <v/>
      </c>
      <c r="BD359" s="6">
        <f>IF(OR($BJ359="",55&gt;設定!$B$3),"",IF(INDEX(原始資料!BF$2:BF$501,$BJ359)="","",INDEX(原始資料!BF$2:BF$501,$BJ359)))</f>
        <v/>
      </c>
      <c r="BE359" s="6">
        <f>IF(OR($BJ359="",56&gt;設定!$B$3),"",IF(INDEX(原始資料!BG$2:BG$501,$BJ359)="","",INDEX(原始資料!BG$2:BG$501,$BJ359)))</f>
        <v/>
      </c>
      <c r="BF359" s="6">
        <f>IF(OR($BJ359="",57&gt;設定!$B$3),"",IF(INDEX(原始資料!BH$2:BH$501,$BJ359)="","",INDEX(原始資料!BH$2:BH$501,$BJ359)))</f>
        <v/>
      </c>
      <c r="BG359" s="6">
        <f>IF(OR($BJ359="",58&gt;設定!$B$3),"",IF(INDEX(原始資料!BI$2:BI$501,$BJ359)="","",INDEX(原始資料!BI$2:BI$501,$BJ359)))</f>
        <v/>
      </c>
      <c r="BH359" s="6">
        <f>IF(OR($BJ359="",59&gt;設定!$B$3),"",IF(INDEX(原始資料!BJ$2:BJ$501,$BJ359)="","",INDEX(原始資料!BJ$2:BJ$501,$BJ359)))</f>
        <v/>
      </c>
      <c r="BI359" s="6">
        <f>IF(OR($BJ359="",60&gt;設定!$B$3),"",IF(INDEX(原始資料!BK$2:BK$501,$BJ359)="","",INDEX(原始資料!BK$2:BK$501,$BJ359)))</f>
        <v/>
      </c>
      <c r="BJ359" s="6">
        <f>IFERROR(MATCH(ROW()-1,判定!$H$2:$H$501,0),"")</f>
        <v/>
      </c>
    </row>
    <row r="360">
      <c r="A360" s="6">
        <f>IF($BJ360="","",INDEX(原始資料!$A$2:$A$501,$BJ360))</f>
        <v/>
      </c>
      <c r="B360" s="6">
        <f>IF(OR($BJ360="",1&gt;設定!$B$3),"",IF(INDEX(原始資料!D$2:D$501,$BJ360)="","",INDEX(原始資料!D$2:D$501,$BJ360)))</f>
        <v/>
      </c>
      <c r="C360" s="6">
        <f>IF(OR($BJ360="",2&gt;設定!$B$3),"",IF(INDEX(原始資料!E$2:E$501,$BJ360)="","",INDEX(原始資料!E$2:E$501,$BJ360)))</f>
        <v/>
      </c>
      <c r="D360" s="6">
        <f>IF(OR($BJ360="",3&gt;設定!$B$3),"",IF(INDEX(原始資料!F$2:F$501,$BJ360)="","",INDEX(原始資料!F$2:F$501,$BJ360)))</f>
        <v/>
      </c>
      <c r="E360" s="6">
        <f>IF(OR($BJ360="",4&gt;設定!$B$3),"",IF(INDEX(原始資料!G$2:G$501,$BJ360)="","",INDEX(原始資料!G$2:G$501,$BJ360)))</f>
        <v/>
      </c>
      <c r="F360" s="6">
        <f>IF(OR($BJ360="",5&gt;設定!$B$3),"",IF(INDEX(原始資料!H$2:H$501,$BJ360)="","",INDEX(原始資料!H$2:H$501,$BJ360)))</f>
        <v/>
      </c>
      <c r="G360" s="6">
        <f>IF(OR($BJ360="",6&gt;設定!$B$3),"",IF(INDEX(原始資料!I$2:I$501,$BJ360)="","",INDEX(原始資料!I$2:I$501,$BJ360)))</f>
        <v/>
      </c>
      <c r="H360" s="6">
        <f>IF(OR($BJ360="",7&gt;設定!$B$3),"",IF(INDEX(原始資料!J$2:J$501,$BJ360)="","",INDEX(原始資料!J$2:J$501,$BJ360)))</f>
        <v/>
      </c>
      <c r="I360" s="6">
        <f>IF(OR($BJ360="",8&gt;設定!$B$3),"",IF(INDEX(原始資料!K$2:K$501,$BJ360)="","",INDEX(原始資料!K$2:K$501,$BJ360)))</f>
        <v/>
      </c>
      <c r="J360" s="6">
        <f>IF(OR($BJ360="",9&gt;設定!$B$3),"",IF(INDEX(原始資料!L$2:L$501,$BJ360)="","",INDEX(原始資料!L$2:L$501,$BJ360)))</f>
        <v/>
      </c>
      <c r="K360" s="6">
        <f>IF(OR($BJ360="",10&gt;設定!$B$3),"",IF(INDEX(原始資料!M$2:M$501,$BJ360)="","",INDEX(原始資料!M$2:M$501,$BJ360)))</f>
        <v/>
      </c>
      <c r="L360" s="6">
        <f>IF(OR($BJ360="",11&gt;設定!$B$3),"",IF(INDEX(原始資料!N$2:N$501,$BJ360)="","",INDEX(原始資料!N$2:N$501,$BJ360)))</f>
        <v/>
      </c>
      <c r="M360" s="6">
        <f>IF(OR($BJ360="",12&gt;設定!$B$3),"",IF(INDEX(原始資料!O$2:O$501,$BJ360)="","",INDEX(原始資料!O$2:O$501,$BJ360)))</f>
        <v/>
      </c>
      <c r="N360" s="6">
        <f>IF(OR($BJ360="",13&gt;設定!$B$3),"",IF(INDEX(原始資料!P$2:P$501,$BJ360)="","",INDEX(原始資料!P$2:P$501,$BJ360)))</f>
        <v/>
      </c>
      <c r="O360" s="6">
        <f>IF(OR($BJ360="",14&gt;設定!$B$3),"",IF(INDEX(原始資料!Q$2:Q$501,$BJ360)="","",INDEX(原始資料!Q$2:Q$501,$BJ360)))</f>
        <v/>
      </c>
      <c r="P360" s="6">
        <f>IF(OR($BJ360="",15&gt;設定!$B$3),"",IF(INDEX(原始資料!R$2:R$501,$BJ360)="","",INDEX(原始資料!R$2:R$501,$BJ360)))</f>
        <v/>
      </c>
      <c r="Q360" s="6">
        <f>IF(OR($BJ360="",16&gt;設定!$B$3),"",IF(INDEX(原始資料!S$2:S$501,$BJ360)="","",INDEX(原始資料!S$2:S$501,$BJ360)))</f>
        <v/>
      </c>
      <c r="R360" s="6">
        <f>IF(OR($BJ360="",17&gt;設定!$B$3),"",IF(INDEX(原始資料!T$2:T$501,$BJ360)="","",INDEX(原始資料!T$2:T$501,$BJ360)))</f>
        <v/>
      </c>
      <c r="S360" s="6">
        <f>IF(OR($BJ360="",18&gt;設定!$B$3),"",IF(INDEX(原始資料!U$2:U$501,$BJ360)="","",INDEX(原始資料!U$2:U$501,$BJ360)))</f>
        <v/>
      </c>
      <c r="T360" s="6">
        <f>IF(OR($BJ360="",19&gt;設定!$B$3),"",IF(INDEX(原始資料!V$2:V$501,$BJ360)="","",INDEX(原始資料!V$2:V$501,$BJ360)))</f>
        <v/>
      </c>
      <c r="U360" s="6">
        <f>IF(OR($BJ360="",20&gt;設定!$B$3),"",IF(INDEX(原始資料!W$2:W$501,$BJ360)="","",INDEX(原始資料!W$2:W$501,$BJ360)))</f>
        <v/>
      </c>
      <c r="V360" s="6">
        <f>IF(OR($BJ360="",21&gt;設定!$B$3),"",IF(INDEX(原始資料!X$2:X$501,$BJ360)="","",INDEX(原始資料!X$2:X$501,$BJ360)))</f>
        <v/>
      </c>
      <c r="W360" s="6">
        <f>IF(OR($BJ360="",22&gt;設定!$B$3),"",IF(INDEX(原始資料!Y$2:Y$501,$BJ360)="","",INDEX(原始資料!Y$2:Y$501,$BJ360)))</f>
        <v/>
      </c>
      <c r="X360" s="6">
        <f>IF(OR($BJ360="",23&gt;設定!$B$3),"",IF(INDEX(原始資料!Z$2:Z$501,$BJ360)="","",INDEX(原始資料!Z$2:Z$501,$BJ360)))</f>
        <v/>
      </c>
      <c r="Y360" s="6">
        <f>IF(OR($BJ360="",24&gt;設定!$B$3),"",IF(INDEX(原始資料!AA$2:AA$501,$BJ360)="","",INDEX(原始資料!AA$2:AA$501,$BJ360)))</f>
        <v/>
      </c>
      <c r="Z360" s="6">
        <f>IF(OR($BJ360="",25&gt;設定!$B$3),"",IF(INDEX(原始資料!AB$2:AB$501,$BJ360)="","",INDEX(原始資料!AB$2:AB$501,$BJ360)))</f>
        <v/>
      </c>
      <c r="AA360" s="6">
        <f>IF(OR($BJ360="",26&gt;設定!$B$3),"",IF(INDEX(原始資料!AC$2:AC$501,$BJ360)="","",INDEX(原始資料!AC$2:AC$501,$BJ360)))</f>
        <v/>
      </c>
      <c r="AB360" s="6">
        <f>IF(OR($BJ360="",27&gt;設定!$B$3),"",IF(INDEX(原始資料!AD$2:AD$501,$BJ360)="","",INDEX(原始資料!AD$2:AD$501,$BJ360)))</f>
        <v/>
      </c>
      <c r="AC360" s="6">
        <f>IF(OR($BJ360="",28&gt;設定!$B$3),"",IF(INDEX(原始資料!AE$2:AE$501,$BJ360)="","",INDEX(原始資料!AE$2:AE$501,$BJ360)))</f>
        <v/>
      </c>
      <c r="AD360" s="6">
        <f>IF(OR($BJ360="",29&gt;設定!$B$3),"",IF(INDEX(原始資料!AF$2:AF$501,$BJ360)="","",INDEX(原始資料!AF$2:AF$501,$BJ360)))</f>
        <v/>
      </c>
      <c r="AE360" s="6">
        <f>IF(OR($BJ360="",30&gt;設定!$B$3),"",IF(INDEX(原始資料!AG$2:AG$501,$BJ360)="","",INDEX(原始資料!AG$2:AG$501,$BJ360)))</f>
        <v/>
      </c>
      <c r="AF360" s="6">
        <f>IF(OR($BJ360="",31&gt;設定!$B$3),"",IF(INDEX(原始資料!AH$2:AH$501,$BJ360)="","",INDEX(原始資料!AH$2:AH$501,$BJ360)))</f>
        <v/>
      </c>
      <c r="AG360" s="6">
        <f>IF(OR($BJ360="",32&gt;設定!$B$3),"",IF(INDEX(原始資料!AI$2:AI$501,$BJ360)="","",INDEX(原始資料!AI$2:AI$501,$BJ360)))</f>
        <v/>
      </c>
      <c r="AH360" s="6">
        <f>IF(OR($BJ360="",33&gt;設定!$B$3),"",IF(INDEX(原始資料!AJ$2:AJ$501,$BJ360)="","",INDEX(原始資料!AJ$2:AJ$501,$BJ360)))</f>
        <v/>
      </c>
      <c r="AI360" s="6">
        <f>IF(OR($BJ360="",34&gt;設定!$B$3),"",IF(INDEX(原始資料!AK$2:AK$501,$BJ360)="","",INDEX(原始資料!AK$2:AK$501,$BJ360)))</f>
        <v/>
      </c>
      <c r="AJ360" s="6">
        <f>IF(OR($BJ360="",35&gt;設定!$B$3),"",IF(INDEX(原始資料!AL$2:AL$501,$BJ360)="","",INDEX(原始資料!AL$2:AL$501,$BJ360)))</f>
        <v/>
      </c>
      <c r="AK360" s="6">
        <f>IF(OR($BJ360="",36&gt;設定!$B$3),"",IF(INDEX(原始資料!AM$2:AM$501,$BJ360)="","",INDEX(原始資料!AM$2:AM$501,$BJ360)))</f>
        <v/>
      </c>
      <c r="AL360" s="6">
        <f>IF(OR($BJ360="",37&gt;設定!$B$3),"",IF(INDEX(原始資料!AN$2:AN$501,$BJ360)="","",INDEX(原始資料!AN$2:AN$501,$BJ360)))</f>
        <v/>
      </c>
      <c r="AM360" s="6">
        <f>IF(OR($BJ360="",38&gt;設定!$B$3),"",IF(INDEX(原始資料!AO$2:AO$501,$BJ360)="","",INDEX(原始資料!AO$2:AO$501,$BJ360)))</f>
        <v/>
      </c>
      <c r="AN360" s="6">
        <f>IF(OR($BJ360="",39&gt;設定!$B$3),"",IF(INDEX(原始資料!AP$2:AP$501,$BJ360)="","",INDEX(原始資料!AP$2:AP$501,$BJ360)))</f>
        <v/>
      </c>
      <c r="AO360" s="6">
        <f>IF(OR($BJ360="",40&gt;設定!$B$3),"",IF(INDEX(原始資料!AQ$2:AQ$501,$BJ360)="","",INDEX(原始資料!AQ$2:AQ$501,$BJ360)))</f>
        <v/>
      </c>
      <c r="AP360" s="6">
        <f>IF(OR($BJ360="",41&gt;設定!$B$3),"",IF(INDEX(原始資料!AR$2:AR$501,$BJ360)="","",INDEX(原始資料!AR$2:AR$501,$BJ360)))</f>
        <v/>
      </c>
      <c r="AQ360" s="6">
        <f>IF(OR($BJ360="",42&gt;設定!$B$3),"",IF(INDEX(原始資料!AS$2:AS$501,$BJ360)="","",INDEX(原始資料!AS$2:AS$501,$BJ360)))</f>
        <v/>
      </c>
      <c r="AR360" s="6">
        <f>IF(OR($BJ360="",43&gt;設定!$B$3),"",IF(INDEX(原始資料!AT$2:AT$501,$BJ360)="","",INDEX(原始資料!AT$2:AT$501,$BJ360)))</f>
        <v/>
      </c>
      <c r="AS360" s="6">
        <f>IF(OR($BJ360="",44&gt;設定!$B$3),"",IF(INDEX(原始資料!AU$2:AU$501,$BJ360)="","",INDEX(原始資料!AU$2:AU$501,$BJ360)))</f>
        <v/>
      </c>
      <c r="AT360" s="6">
        <f>IF(OR($BJ360="",45&gt;設定!$B$3),"",IF(INDEX(原始資料!AV$2:AV$501,$BJ360)="","",INDEX(原始資料!AV$2:AV$501,$BJ360)))</f>
        <v/>
      </c>
      <c r="AU360" s="6">
        <f>IF(OR($BJ360="",46&gt;設定!$B$3),"",IF(INDEX(原始資料!AW$2:AW$501,$BJ360)="","",INDEX(原始資料!AW$2:AW$501,$BJ360)))</f>
        <v/>
      </c>
      <c r="AV360" s="6">
        <f>IF(OR($BJ360="",47&gt;設定!$B$3),"",IF(INDEX(原始資料!AX$2:AX$501,$BJ360)="","",INDEX(原始資料!AX$2:AX$501,$BJ360)))</f>
        <v/>
      </c>
      <c r="AW360" s="6">
        <f>IF(OR($BJ360="",48&gt;設定!$B$3),"",IF(INDEX(原始資料!AY$2:AY$501,$BJ360)="","",INDEX(原始資料!AY$2:AY$501,$BJ360)))</f>
        <v/>
      </c>
      <c r="AX360" s="6">
        <f>IF(OR($BJ360="",49&gt;設定!$B$3),"",IF(INDEX(原始資料!AZ$2:AZ$501,$BJ360)="","",INDEX(原始資料!AZ$2:AZ$501,$BJ360)))</f>
        <v/>
      </c>
      <c r="AY360" s="6">
        <f>IF(OR($BJ360="",50&gt;設定!$B$3),"",IF(INDEX(原始資料!BA$2:BA$501,$BJ360)="","",INDEX(原始資料!BA$2:BA$501,$BJ360)))</f>
        <v/>
      </c>
      <c r="AZ360" s="6">
        <f>IF(OR($BJ360="",51&gt;設定!$B$3),"",IF(INDEX(原始資料!BB$2:BB$501,$BJ360)="","",INDEX(原始資料!BB$2:BB$501,$BJ360)))</f>
        <v/>
      </c>
      <c r="BA360" s="6">
        <f>IF(OR($BJ360="",52&gt;設定!$B$3),"",IF(INDEX(原始資料!BC$2:BC$501,$BJ360)="","",INDEX(原始資料!BC$2:BC$501,$BJ360)))</f>
        <v/>
      </c>
      <c r="BB360" s="6">
        <f>IF(OR($BJ360="",53&gt;設定!$B$3),"",IF(INDEX(原始資料!BD$2:BD$501,$BJ360)="","",INDEX(原始資料!BD$2:BD$501,$BJ360)))</f>
        <v/>
      </c>
      <c r="BC360" s="6">
        <f>IF(OR($BJ360="",54&gt;設定!$B$3),"",IF(INDEX(原始資料!BE$2:BE$501,$BJ360)="","",INDEX(原始資料!BE$2:BE$501,$BJ360)))</f>
        <v/>
      </c>
      <c r="BD360" s="6">
        <f>IF(OR($BJ360="",55&gt;設定!$B$3),"",IF(INDEX(原始資料!BF$2:BF$501,$BJ360)="","",INDEX(原始資料!BF$2:BF$501,$BJ360)))</f>
        <v/>
      </c>
      <c r="BE360" s="6">
        <f>IF(OR($BJ360="",56&gt;設定!$B$3),"",IF(INDEX(原始資料!BG$2:BG$501,$BJ360)="","",INDEX(原始資料!BG$2:BG$501,$BJ360)))</f>
        <v/>
      </c>
      <c r="BF360" s="6">
        <f>IF(OR($BJ360="",57&gt;設定!$B$3),"",IF(INDEX(原始資料!BH$2:BH$501,$BJ360)="","",INDEX(原始資料!BH$2:BH$501,$BJ360)))</f>
        <v/>
      </c>
      <c r="BG360" s="6">
        <f>IF(OR($BJ360="",58&gt;設定!$B$3),"",IF(INDEX(原始資料!BI$2:BI$501,$BJ360)="","",INDEX(原始資料!BI$2:BI$501,$BJ360)))</f>
        <v/>
      </c>
      <c r="BH360" s="6">
        <f>IF(OR($BJ360="",59&gt;設定!$B$3),"",IF(INDEX(原始資料!BJ$2:BJ$501,$BJ360)="","",INDEX(原始資料!BJ$2:BJ$501,$BJ360)))</f>
        <v/>
      </c>
      <c r="BI360" s="6">
        <f>IF(OR($BJ360="",60&gt;設定!$B$3),"",IF(INDEX(原始資料!BK$2:BK$501,$BJ360)="","",INDEX(原始資料!BK$2:BK$501,$BJ360)))</f>
        <v/>
      </c>
      <c r="BJ360" s="6">
        <f>IFERROR(MATCH(ROW()-1,判定!$H$2:$H$501,0),"")</f>
        <v/>
      </c>
    </row>
    <row r="361">
      <c r="A361" s="6">
        <f>IF($BJ361="","",INDEX(原始資料!$A$2:$A$501,$BJ361))</f>
        <v/>
      </c>
      <c r="B361" s="6">
        <f>IF(OR($BJ361="",1&gt;設定!$B$3),"",IF(INDEX(原始資料!D$2:D$501,$BJ361)="","",INDEX(原始資料!D$2:D$501,$BJ361)))</f>
        <v/>
      </c>
      <c r="C361" s="6">
        <f>IF(OR($BJ361="",2&gt;設定!$B$3),"",IF(INDEX(原始資料!E$2:E$501,$BJ361)="","",INDEX(原始資料!E$2:E$501,$BJ361)))</f>
        <v/>
      </c>
      <c r="D361" s="6">
        <f>IF(OR($BJ361="",3&gt;設定!$B$3),"",IF(INDEX(原始資料!F$2:F$501,$BJ361)="","",INDEX(原始資料!F$2:F$501,$BJ361)))</f>
        <v/>
      </c>
      <c r="E361" s="6">
        <f>IF(OR($BJ361="",4&gt;設定!$B$3),"",IF(INDEX(原始資料!G$2:G$501,$BJ361)="","",INDEX(原始資料!G$2:G$501,$BJ361)))</f>
        <v/>
      </c>
      <c r="F361" s="6">
        <f>IF(OR($BJ361="",5&gt;設定!$B$3),"",IF(INDEX(原始資料!H$2:H$501,$BJ361)="","",INDEX(原始資料!H$2:H$501,$BJ361)))</f>
        <v/>
      </c>
      <c r="G361" s="6">
        <f>IF(OR($BJ361="",6&gt;設定!$B$3),"",IF(INDEX(原始資料!I$2:I$501,$BJ361)="","",INDEX(原始資料!I$2:I$501,$BJ361)))</f>
        <v/>
      </c>
      <c r="H361" s="6">
        <f>IF(OR($BJ361="",7&gt;設定!$B$3),"",IF(INDEX(原始資料!J$2:J$501,$BJ361)="","",INDEX(原始資料!J$2:J$501,$BJ361)))</f>
        <v/>
      </c>
      <c r="I361" s="6">
        <f>IF(OR($BJ361="",8&gt;設定!$B$3),"",IF(INDEX(原始資料!K$2:K$501,$BJ361)="","",INDEX(原始資料!K$2:K$501,$BJ361)))</f>
        <v/>
      </c>
      <c r="J361" s="6">
        <f>IF(OR($BJ361="",9&gt;設定!$B$3),"",IF(INDEX(原始資料!L$2:L$501,$BJ361)="","",INDEX(原始資料!L$2:L$501,$BJ361)))</f>
        <v/>
      </c>
      <c r="K361" s="6">
        <f>IF(OR($BJ361="",10&gt;設定!$B$3),"",IF(INDEX(原始資料!M$2:M$501,$BJ361)="","",INDEX(原始資料!M$2:M$501,$BJ361)))</f>
        <v/>
      </c>
      <c r="L361" s="6">
        <f>IF(OR($BJ361="",11&gt;設定!$B$3),"",IF(INDEX(原始資料!N$2:N$501,$BJ361)="","",INDEX(原始資料!N$2:N$501,$BJ361)))</f>
        <v/>
      </c>
      <c r="M361" s="6">
        <f>IF(OR($BJ361="",12&gt;設定!$B$3),"",IF(INDEX(原始資料!O$2:O$501,$BJ361)="","",INDEX(原始資料!O$2:O$501,$BJ361)))</f>
        <v/>
      </c>
      <c r="N361" s="6">
        <f>IF(OR($BJ361="",13&gt;設定!$B$3),"",IF(INDEX(原始資料!P$2:P$501,$BJ361)="","",INDEX(原始資料!P$2:P$501,$BJ361)))</f>
        <v/>
      </c>
      <c r="O361" s="6">
        <f>IF(OR($BJ361="",14&gt;設定!$B$3),"",IF(INDEX(原始資料!Q$2:Q$501,$BJ361)="","",INDEX(原始資料!Q$2:Q$501,$BJ361)))</f>
        <v/>
      </c>
      <c r="P361" s="6">
        <f>IF(OR($BJ361="",15&gt;設定!$B$3),"",IF(INDEX(原始資料!R$2:R$501,$BJ361)="","",INDEX(原始資料!R$2:R$501,$BJ361)))</f>
        <v/>
      </c>
      <c r="Q361" s="6">
        <f>IF(OR($BJ361="",16&gt;設定!$B$3),"",IF(INDEX(原始資料!S$2:S$501,$BJ361)="","",INDEX(原始資料!S$2:S$501,$BJ361)))</f>
        <v/>
      </c>
      <c r="R361" s="6">
        <f>IF(OR($BJ361="",17&gt;設定!$B$3),"",IF(INDEX(原始資料!T$2:T$501,$BJ361)="","",INDEX(原始資料!T$2:T$501,$BJ361)))</f>
        <v/>
      </c>
      <c r="S361" s="6">
        <f>IF(OR($BJ361="",18&gt;設定!$B$3),"",IF(INDEX(原始資料!U$2:U$501,$BJ361)="","",INDEX(原始資料!U$2:U$501,$BJ361)))</f>
        <v/>
      </c>
      <c r="T361" s="6">
        <f>IF(OR($BJ361="",19&gt;設定!$B$3),"",IF(INDEX(原始資料!V$2:V$501,$BJ361)="","",INDEX(原始資料!V$2:V$501,$BJ361)))</f>
        <v/>
      </c>
      <c r="U361" s="6">
        <f>IF(OR($BJ361="",20&gt;設定!$B$3),"",IF(INDEX(原始資料!W$2:W$501,$BJ361)="","",INDEX(原始資料!W$2:W$501,$BJ361)))</f>
        <v/>
      </c>
      <c r="V361" s="6">
        <f>IF(OR($BJ361="",21&gt;設定!$B$3),"",IF(INDEX(原始資料!X$2:X$501,$BJ361)="","",INDEX(原始資料!X$2:X$501,$BJ361)))</f>
        <v/>
      </c>
      <c r="W361" s="6">
        <f>IF(OR($BJ361="",22&gt;設定!$B$3),"",IF(INDEX(原始資料!Y$2:Y$501,$BJ361)="","",INDEX(原始資料!Y$2:Y$501,$BJ361)))</f>
        <v/>
      </c>
      <c r="X361" s="6">
        <f>IF(OR($BJ361="",23&gt;設定!$B$3),"",IF(INDEX(原始資料!Z$2:Z$501,$BJ361)="","",INDEX(原始資料!Z$2:Z$501,$BJ361)))</f>
        <v/>
      </c>
      <c r="Y361" s="6">
        <f>IF(OR($BJ361="",24&gt;設定!$B$3),"",IF(INDEX(原始資料!AA$2:AA$501,$BJ361)="","",INDEX(原始資料!AA$2:AA$501,$BJ361)))</f>
        <v/>
      </c>
      <c r="Z361" s="6">
        <f>IF(OR($BJ361="",25&gt;設定!$B$3),"",IF(INDEX(原始資料!AB$2:AB$501,$BJ361)="","",INDEX(原始資料!AB$2:AB$501,$BJ361)))</f>
        <v/>
      </c>
      <c r="AA361" s="6">
        <f>IF(OR($BJ361="",26&gt;設定!$B$3),"",IF(INDEX(原始資料!AC$2:AC$501,$BJ361)="","",INDEX(原始資料!AC$2:AC$501,$BJ361)))</f>
        <v/>
      </c>
      <c r="AB361" s="6">
        <f>IF(OR($BJ361="",27&gt;設定!$B$3),"",IF(INDEX(原始資料!AD$2:AD$501,$BJ361)="","",INDEX(原始資料!AD$2:AD$501,$BJ361)))</f>
        <v/>
      </c>
      <c r="AC361" s="6">
        <f>IF(OR($BJ361="",28&gt;設定!$B$3),"",IF(INDEX(原始資料!AE$2:AE$501,$BJ361)="","",INDEX(原始資料!AE$2:AE$501,$BJ361)))</f>
        <v/>
      </c>
      <c r="AD361" s="6">
        <f>IF(OR($BJ361="",29&gt;設定!$B$3),"",IF(INDEX(原始資料!AF$2:AF$501,$BJ361)="","",INDEX(原始資料!AF$2:AF$501,$BJ361)))</f>
        <v/>
      </c>
      <c r="AE361" s="6">
        <f>IF(OR($BJ361="",30&gt;設定!$B$3),"",IF(INDEX(原始資料!AG$2:AG$501,$BJ361)="","",INDEX(原始資料!AG$2:AG$501,$BJ361)))</f>
        <v/>
      </c>
      <c r="AF361" s="6">
        <f>IF(OR($BJ361="",31&gt;設定!$B$3),"",IF(INDEX(原始資料!AH$2:AH$501,$BJ361)="","",INDEX(原始資料!AH$2:AH$501,$BJ361)))</f>
        <v/>
      </c>
      <c r="AG361" s="6">
        <f>IF(OR($BJ361="",32&gt;設定!$B$3),"",IF(INDEX(原始資料!AI$2:AI$501,$BJ361)="","",INDEX(原始資料!AI$2:AI$501,$BJ361)))</f>
        <v/>
      </c>
      <c r="AH361" s="6">
        <f>IF(OR($BJ361="",33&gt;設定!$B$3),"",IF(INDEX(原始資料!AJ$2:AJ$501,$BJ361)="","",INDEX(原始資料!AJ$2:AJ$501,$BJ361)))</f>
        <v/>
      </c>
      <c r="AI361" s="6">
        <f>IF(OR($BJ361="",34&gt;設定!$B$3),"",IF(INDEX(原始資料!AK$2:AK$501,$BJ361)="","",INDEX(原始資料!AK$2:AK$501,$BJ361)))</f>
        <v/>
      </c>
      <c r="AJ361" s="6">
        <f>IF(OR($BJ361="",35&gt;設定!$B$3),"",IF(INDEX(原始資料!AL$2:AL$501,$BJ361)="","",INDEX(原始資料!AL$2:AL$501,$BJ361)))</f>
        <v/>
      </c>
      <c r="AK361" s="6">
        <f>IF(OR($BJ361="",36&gt;設定!$B$3),"",IF(INDEX(原始資料!AM$2:AM$501,$BJ361)="","",INDEX(原始資料!AM$2:AM$501,$BJ361)))</f>
        <v/>
      </c>
      <c r="AL361" s="6">
        <f>IF(OR($BJ361="",37&gt;設定!$B$3),"",IF(INDEX(原始資料!AN$2:AN$501,$BJ361)="","",INDEX(原始資料!AN$2:AN$501,$BJ361)))</f>
        <v/>
      </c>
      <c r="AM361" s="6">
        <f>IF(OR($BJ361="",38&gt;設定!$B$3),"",IF(INDEX(原始資料!AO$2:AO$501,$BJ361)="","",INDEX(原始資料!AO$2:AO$501,$BJ361)))</f>
        <v/>
      </c>
      <c r="AN361" s="6">
        <f>IF(OR($BJ361="",39&gt;設定!$B$3),"",IF(INDEX(原始資料!AP$2:AP$501,$BJ361)="","",INDEX(原始資料!AP$2:AP$501,$BJ361)))</f>
        <v/>
      </c>
      <c r="AO361" s="6">
        <f>IF(OR($BJ361="",40&gt;設定!$B$3),"",IF(INDEX(原始資料!AQ$2:AQ$501,$BJ361)="","",INDEX(原始資料!AQ$2:AQ$501,$BJ361)))</f>
        <v/>
      </c>
      <c r="AP361" s="6">
        <f>IF(OR($BJ361="",41&gt;設定!$B$3),"",IF(INDEX(原始資料!AR$2:AR$501,$BJ361)="","",INDEX(原始資料!AR$2:AR$501,$BJ361)))</f>
        <v/>
      </c>
      <c r="AQ361" s="6">
        <f>IF(OR($BJ361="",42&gt;設定!$B$3),"",IF(INDEX(原始資料!AS$2:AS$501,$BJ361)="","",INDEX(原始資料!AS$2:AS$501,$BJ361)))</f>
        <v/>
      </c>
      <c r="AR361" s="6">
        <f>IF(OR($BJ361="",43&gt;設定!$B$3),"",IF(INDEX(原始資料!AT$2:AT$501,$BJ361)="","",INDEX(原始資料!AT$2:AT$501,$BJ361)))</f>
        <v/>
      </c>
      <c r="AS361" s="6">
        <f>IF(OR($BJ361="",44&gt;設定!$B$3),"",IF(INDEX(原始資料!AU$2:AU$501,$BJ361)="","",INDEX(原始資料!AU$2:AU$501,$BJ361)))</f>
        <v/>
      </c>
      <c r="AT361" s="6">
        <f>IF(OR($BJ361="",45&gt;設定!$B$3),"",IF(INDEX(原始資料!AV$2:AV$501,$BJ361)="","",INDEX(原始資料!AV$2:AV$501,$BJ361)))</f>
        <v/>
      </c>
      <c r="AU361" s="6">
        <f>IF(OR($BJ361="",46&gt;設定!$B$3),"",IF(INDEX(原始資料!AW$2:AW$501,$BJ361)="","",INDEX(原始資料!AW$2:AW$501,$BJ361)))</f>
        <v/>
      </c>
      <c r="AV361" s="6">
        <f>IF(OR($BJ361="",47&gt;設定!$B$3),"",IF(INDEX(原始資料!AX$2:AX$501,$BJ361)="","",INDEX(原始資料!AX$2:AX$501,$BJ361)))</f>
        <v/>
      </c>
      <c r="AW361" s="6">
        <f>IF(OR($BJ361="",48&gt;設定!$B$3),"",IF(INDEX(原始資料!AY$2:AY$501,$BJ361)="","",INDEX(原始資料!AY$2:AY$501,$BJ361)))</f>
        <v/>
      </c>
      <c r="AX361" s="6">
        <f>IF(OR($BJ361="",49&gt;設定!$B$3),"",IF(INDEX(原始資料!AZ$2:AZ$501,$BJ361)="","",INDEX(原始資料!AZ$2:AZ$501,$BJ361)))</f>
        <v/>
      </c>
      <c r="AY361" s="6">
        <f>IF(OR($BJ361="",50&gt;設定!$B$3),"",IF(INDEX(原始資料!BA$2:BA$501,$BJ361)="","",INDEX(原始資料!BA$2:BA$501,$BJ361)))</f>
        <v/>
      </c>
      <c r="AZ361" s="6">
        <f>IF(OR($BJ361="",51&gt;設定!$B$3),"",IF(INDEX(原始資料!BB$2:BB$501,$BJ361)="","",INDEX(原始資料!BB$2:BB$501,$BJ361)))</f>
        <v/>
      </c>
      <c r="BA361" s="6">
        <f>IF(OR($BJ361="",52&gt;設定!$B$3),"",IF(INDEX(原始資料!BC$2:BC$501,$BJ361)="","",INDEX(原始資料!BC$2:BC$501,$BJ361)))</f>
        <v/>
      </c>
      <c r="BB361" s="6">
        <f>IF(OR($BJ361="",53&gt;設定!$B$3),"",IF(INDEX(原始資料!BD$2:BD$501,$BJ361)="","",INDEX(原始資料!BD$2:BD$501,$BJ361)))</f>
        <v/>
      </c>
      <c r="BC361" s="6">
        <f>IF(OR($BJ361="",54&gt;設定!$B$3),"",IF(INDEX(原始資料!BE$2:BE$501,$BJ361)="","",INDEX(原始資料!BE$2:BE$501,$BJ361)))</f>
        <v/>
      </c>
      <c r="BD361" s="6">
        <f>IF(OR($BJ361="",55&gt;設定!$B$3),"",IF(INDEX(原始資料!BF$2:BF$501,$BJ361)="","",INDEX(原始資料!BF$2:BF$501,$BJ361)))</f>
        <v/>
      </c>
      <c r="BE361" s="6">
        <f>IF(OR($BJ361="",56&gt;設定!$B$3),"",IF(INDEX(原始資料!BG$2:BG$501,$BJ361)="","",INDEX(原始資料!BG$2:BG$501,$BJ361)))</f>
        <v/>
      </c>
      <c r="BF361" s="6">
        <f>IF(OR($BJ361="",57&gt;設定!$B$3),"",IF(INDEX(原始資料!BH$2:BH$501,$BJ361)="","",INDEX(原始資料!BH$2:BH$501,$BJ361)))</f>
        <v/>
      </c>
      <c r="BG361" s="6">
        <f>IF(OR($BJ361="",58&gt;設定!$B$3),"",IF(INDEX(原始資料!BI$2:BI$501,$BJ361)="","",INDEX(原始資料!BI$2:BI$501,$BJ361)))</f>
        <v/>
      </c>
      <c r="BH361" s="6">
        <f>IF(OR($BJ361="",59&gt;設定!$B$3),"",IF(INDEX(原始資料!BJ$2:BJ$501,$BJ361)="","",INDEX(原始資料!BJ$2:BJ$501,$BJ361)))</f>
        <v/>
      </c>
      <c r="BI361" s="6">
        <f>IF(OR($BJ361="",60&gt;設定!$B$3),"",IF(INDEX(原始資料!BK$2:BK$501,$BJ361)="","",INDEX(原始資料!BK$2:BK$501,$BJ361)))</f>
        <v/>
      </c>
      <c r="BJ361" s="6">
        <f>IFERROR(MATCH(ROW()-1,判定!$H$2:$H$501,0),"")</f>
        <v/>
      </c>
    </row>
    <row r="362">
      <c r="A362" s="6">
        <f>IF($BJ362="","",INDEX(原始資料!$A$2:$A$501,$BJ362))</f>
        <v/>
      </c>
      <c r="B362" s="6">
        <f>IF(OR($BJ362="",1&gt;設定!$B$3),"",IF(INDEX(原始資料!D$2:D$501,$BJ362)="","",INDEX(原始資料!D$2:D$501,$BJ362)))</f>
        <v/>
      </c>
      <c r="C362" s="6">
        <f>IF(OR($BJ362="",2&gt;設定!$B$3),"",IF(INDEX(原始資料!E$2:E$501,$BJ362)="","",INDEX(原始資料!E$2:E$501,$BJ362)))</f>
        <v/>
      </c>
      <c r="D362" s="6">
        <f>IF(OR($BJ362="",3&gt;設定!$B$3),"",IF(INDEX(原始資料!F$2:F$501,$BJ362)="","",INDEX(原始資料!F$2:F$501,$BJ362)))</f>
        <v/>
      </c>
      <c r="E362" s="6">
        <f>IF(OR($BJ362="",4&gt;設定!$B$3),"",IF(INDEX(原始資料!G$2:G$501,$BJ362)="","",INDEX(原始資料!G$2:G$501,$BJ362)))</f>
        <v/>
      </c>
      <c r="F362" s="6">
        <f>IF(OR($BJ362="",5&gt;設定!$B$3),"",IF(INDEX(原始資料!H$2:H$501,$BJ362)="","",INDEX(原始資料!H$2:H$501,$BJ362)))</f>
        <v/>
      </c>
      <c r="G362" s="6">
        <f>IF(OR($BJ362="",6&gt;設定!$B$3),"",IF(INDEX(原始資料!I$2:I$501,$BJ362)="","",INDEX(原始資料!I$2:I$501,$BJ362)))</f>
        <v/>
      </c>
      <c r="H362" s="6">
        <f>IF(OR($BJ362="",7&gt;設定!$B$3),"",IF(INDEX(原始資料!J$2:J$501,$BJ362)="","",INDEX(原始資料!J$2:J$501,$BJ362)))</f>
        <v/>
      </c>
      <c r="I362" s="6">
        <f>IF(OR($BJ362="",8&gt;設定!$B$3),"",IF(INDEX(原始資料!K$2:K$501,$BJ362)="","",INDEX(原始資料!K$2:K$501,$BJ362)))</f>
        <v/>
      </c>
      <c r="J362" s="6">
        <f>IF(OR($BJ362="",9&gt;設定!$B$3),"",IF(INDEX(原始資料!L$2:L$501,$BJ362)="","",INDEX(原始資料!L$2:L$501,$BJ362)))</f>
        <v/>
      </c>
      <c r="K362" s="6">
        <f>IF(OR($BJ362="",10&gt;設定!$B$3),"",IF(INDEX(原始資料!M$2:M$501,$BJ362)="","",INDEX(原始資料!M$2:M$501,$BJ362)))</f>
        <v/>
      </c>
      <c r="L362" s="6">
        <f>IF(OR($BJ362="",11&gt;設定!$B$3),"",IF(INDEX(原始資料!N$2:N$501,$BJ362)="","",INDEX(原始資料!N$2:N$501,$BJ362)))</f>
        <v/>
      </c>
      <c r="M362" s="6">
        <f>IF(OR($BJ362="",12&gt;設定!$B$3),"",IF(INDEX(原始資料!O$2:O$501,$BJ362)="","",INDEX(原始資料!O$2:O$501,$BJ362)))</f>
        <v/>
      </c>
      <c r="N362" s="6">
        <f>IF(OR($BJ362="",13&gt;設定!$B$3),"",IF(INDEX(原始資料!P$2:P$501,$BJ362)="","",INDEX(原始資料!P$2:P$501,$BJ362)))</f>
        <v/>
      </c>
      <c r="O362" s="6">
        <f>IF(OR($BJ362="",14&gt;設定!$B$3),"",IF(INDEX(原始資料!Q$2:Q$501,$BJ362)="","",INDEX(原始資料!Q$2:Q$501,$BJ362)))</f>
        <v/>
      </c>
      <c r="P362" s="6">
        <f>IF(OR($BJ362="",15&gt;設定!$B$3),"",IF(INDEX(原始資料!R$2:R$501,$BJ362)="","",INDEX(原始資料!R$2:R$501,$BJ362)))</f>
        <v/>
      </c>
      <c r="Q362" s="6">
        <f>IF(OR($BJ362="",16&gt;設定!$B$3),"",IF(INDEX(原始資料!S$2:S$501,$BJ362)="","",INDEX(原始資料!S$2:S$501,$BJ362)))</f>
        <v/>
      </c>
      <c r="R362" s="6">
        <f>IF(OR($BJ362="",17&gt;設定!$B$3),"",IF(INDEX(原始資料!T$2:T$501,$BJ362)="","",INDEX(原始資料!T$2:T$501,$BJ362)))</f>
        <v/>
      </c>
      <c r="S362" s="6">
        <f>IF(OR($BJ362="",18&gt;設定!$B$3),"",IF(INDEX(原始資料!U$2:U$501,$BJ362)="","",INDEX(原始資料!U$2:U$501,$BJ362)))</f>
        <v/>
      </c>
      <c r="T362" s="6">
        <f>IF(OR($BJ362="",19&gt;設定!$B$3),"",IF(INDEX(原始資料!V$2:V$501,$BJ362)="","",INDEX(原始資料!V$2:V$501,$BJ362)))</f>
        <v/>
      </c>
      <c r="U362" s="6">
        <f>IF(OR($BJ362="",20&gt;設定!$B$3),"",IF(INDEX(原始資料!W$2:W$501,$BJ362)="","",INDEX(原始資料!W$2:W$501,$BJ362)))</f>
        <v/>
      </c>
      <c r="V362" s="6">
        <f>IF(OR($BJ362="",21&gt;設定!$B$3),"",IF(INDEX(原始資料!X$2:X$501,$BJ362)="","",INDEX(原始資料!X$2:X$501,$BJ362)))</f>
        <v/>
      </c>
      <c r="W362" s="6">
        <f>IF(OR($BJ362="",22&gt;設定!$B$3),"",IF(INDEX(原始資料!Y$2:Y$501,$BJ362)="","",INDEX(原始資料!Y$2:Y$501,$BJ362)))</f>
        <v/>
      </c>
      <c r="X362" s="6">
        <f>IF(OR($BJ362="",23&gt;設定!$B$3),"",IF(INDEX(原始資料!Z$2:Z$501,$BJ362)="","",INDEX(原始資料!Z$2:Z$501,$BJ362)))</f>
        <v/>
      </c>
      <c r="Y362" s="6">
        <f>IF(OR($BJ362="",24&gt;設定!$B$3),"",IF(INDEX(原始資料!AA$2:AA$501,$BJ362)="","",INDEX(原始資料!AA$2:AA$501,$BJ362)))</f>
        <v/>
      </c>
      <c r="Z362" s="6">
        <f>IF(OR($BJ362="",25&gt;設定!$B$3),"",IF(INDEX(原始資料!AB$2:AB$501,$BJ362)="","",INDEX(原始資料!AB$2:AB$501,$BJ362)))</f>
        <v/>
      </c>
      <c r="AA362" s="6">
        <f>IF(OR($BJ362="",26&gt;設定!$B$3),"",IF(INDEX(原始資料!AC$2:AC$501,$BJ362)="","",INDEX(原始資料!AC$2:AC$501,$BJ362)))</f>
        <v/>
      </c>
      <c r="AB362" s="6">
        <f>IF(OR($BJ362="",27&gt;設定!$B$3),"",IF(INDEX(原始資料!AD$2:AD$501,$BJ362)="","",INDEX(原始資料!AD$2:AD$501,$BJ362)))</f>
        <v/>
      </c>
      <c r="AC362" s="6">
        <f>IF(OR($BJ362="",28&gt;設定!$B$3),"",IF(INDEX(原始資料!AE$2:AE$501,$BJ362)="","",INDEX(原始資料!AE$2:AE$501,$BJ362)))</f>
        <v/>
      </c>
      <c r="AD362" s="6">
        <f>IF(OR($BJ362="",29&gt;設定!$B$3),"",IF(INDEX(原始資料!AF$2:AF$501,$BJ362)="","",INDEX(原始資料!AF$2:AF$501,$BJ362)))</f>
        <v/>
      </c>
      <c r="AE362" s="6">
        <f>IF(OR($BJ362="",30&gt;設定!$B$3),"",IF(INDEX(原始資料!AG$2:AG$501,$BJ362)="","",INDEX(原始資料!AG$2:AG$501,$BJ362)))</f>
        <v/>
      </c>
      <c r="AF362" s="6">
        <f>IF(OR($BJ362="",31&gt;設定!$B$3),"",IF(INDEX(原始資料!AH$2:AH$501,$BJ362)="","",INDEX(原始資料!AH$2:AH$501,$BJ362)))</f>
        <v/>
      </c>
      <c r="AG362" s="6">
        <f>IF(OR($BJ362="",32&gt;設定!$B$3),"",IF(INDEX(原始資料!AI$2:AI$501,$BJ362)="","",INDEX(原始資料!AI$2:AI$501,$BJ362)))</f>
        <v/>
      </c>
      <c r="AH362" s="6">
        <f>IF(OR($BJ362="",33&gt;設定!$B$3),"",IF(INDEX(原始資料!AJ$2:AJ$501,$BJ362)="","",INDEX(原始資料!AJ$2:AJ$501,$BJ362)))</f>
        <v/>
      </c>
      <c r="AI362" s="6">
        <f>IF(OR($BJ362="",34&gt;設定!$B$3),"",IF(INDEX(原始資料!AK$2:AK$501,$BJ362)="","",INDEX(原始資料!AK$2:AK$501,$BJ362)))</f>
        <v/>
      </c>
      <c r="AJ362" s="6">
        <f>IF(OR($BJ362="",35&gt;設定!$B$3),"",IF(INDEX(原始資料!AL$2:AL$501,$BJ362)="","",INDEX(原始資料!AL$2:AL$501,$BJ362)))</f>
        <v/>
      </c>
      <c r="AK362" s="6">
        <f>IF(OR($BJ362="",36&gt;設定!$B$3),"",IF(INDEX(原始資料!AM$2:AM$501,$BJ362)="","",INDEX(原始資料!AM$2:AM$501,$BJ362)))</f>
        <v/>
      </c>
      <c r="AL362" s="6">
        <f>IF(OR($BJ362="",37&gt;設定!$B$3),"",IF(INDEX(原始資料!AN$2:AN$501,$BJ362)="","",INDEX(原始資料!AN$2:AN$501,$BJ362)))</f>
        <v/>
      </c>
      <c r="AM362" s="6">
        <f>IF(OR($BJ362="",38&gt;設定!$B$3),"",IF(INDEX(原始資料!AO$2:AO$501,$BJ362)="","",INDEX(原始資料!AO$2:AO$501,$BJ362)))</f>
        <v/>
      </c>
      <c r="AN362" s="6">
        <f>IF(OR($BJ362="",39&gt;設定!$B$3),"",IF(INDEX(原始資料!AP$2:AP$501,$BJ362)="","",INDEX(原始資料!AP$2:AP$501,$BJ362)))</f>
        <v/>
      </c>
      <c r="AO362" s="6">
        <f>IF(OR($BJ362="",40&gt;設定!$B$3),"",IF(INDEX(原始資料!AQ$2:AQ$501,$BJ362)="","",INDEX(原始資料!AQ$2:AQ$501,$BJ362)))</f>
        <v/>
      </c>
      <c r="AP362" s="6">
        <f>IF(OR($BJ362="",41&gt;設定!$B$3),"",IF(INDEX(原始資料!AR$2:AR$501,$BJ362)="","",INDEX(原始資料!AR$2:AR$501,$BJ362)))</f>
        <v/>
      </c>
      <c r="AQ362" s="6">
        <f>IF(OR($BJ362="",42&gt;設定!$B$3),"",IF(INDEX(原始資料!AS$2:AS$501,$BJ362)="","",INDEX(原始資料!AS$2:AS$501,$BJ362)))</f>
        <v/>
      </c>
      <c r="AR362" s="6">
        <f>IF(OR($BJ362="",43&gt;設定!$B$3),"",IF(INDEX(原始資料!AT$2:AT$501,$BJ362)="","",INDEX(原始資料!AT$2:AT$501,$BJ362)))</f>
        <v/>
      </c>
      <c r="AS362" s="6">
        <f>IF(OR($BJ362="",44&gt;設定!$B$3),"",IF(INDEX(原始資料!AU$2:AU$501,$BJ362)="","",INDEX(原始資料!AU$2:AU$501,$BJ362)))</f>
        <v/>
      </c>
      <c r="AT362" s="6">
        <f>IF(OR($BJ362="",45&gt;設定!$B$3),"",IF(INDEX(原始資料!AV$2:AV$501,$BJ362)="","",INDEX(原始資料!AV$2:AV$501,$BJ362)))</f>
        <v/>
      </c>
      <c r="AU362" s="6">
        <f>IF(OR($BJ362="",46&gt;設定!$B$3),"",IF(INDEX(原始資料!AW$2:AW$501,$BJ362)="","",INDEX(原始資料!AW$2:AW$501,$BJ362)))</f>
        <v/>
      </c>
      <c r="AV362" s="6">
        <f>IF(OR($BJ362="",47&gt;設定!$B$3),"",IF(INDEX(原始資料!AX$2:AX$501,$BJ362)="","",INDEX(原始資料!AX$2:AX$501,$BJ362)))</f>
        <v/>
      </c>
      <c r="AW362" s="6">
        <f>IF(OR($BJ362="",48&gt;設定!$B$3),"",IF(INDEX(原始資料!AY$2:AY$501,$BJ362)="","",INDEX(原始資料!AY$2:AY$501,$BJ362)))</f>
        <v/>
      </c>
      <c r="AX362" s="6">
        <f>IF(OR($BJ362="",49&gt;設定!$B$3),"",IF(INDEX(原始資料!AZ$2:AZ$501,$BJ362)="","",INDEX(原始資料!AZ$2:AZ$501,$BJ362)))</f>
        <v/>
      </c>
      <c r="AY362" s="6">
        <f>IF(OR($BJ362="",50&gt;設定!$B$3),"",IF(INDEX(原始資料!BA$2:BA$501,$BJ362)="","",INDEX(原始資料!BA$2:BA$501,$BJ362)))</f>
        <v/>
      </c>
      <c r="AZ362" s="6">
        <f>IF(OR($BJ362="",51&gt;設定!$B$3),"",IF(INDEX(原始資料!BB$2:BB$501,$BJ362)="","",INDEX(原始資料!BB$2:BB$501,$BJ362)))</f>
        <v/>
      </c>
      <c r="BA362" s="6">
        <f>IF(OR($BJ362="",52&gt;設定!$B$3),"",IF(INDEX(原始資料!BC$2:BC$501,$BJ362)="","",INDEX(原始資料!BC$2:BC$501,$BJ362)))</f>
        <v/>
      </c>
      <c r="BB362" s="6">
        <f>IF(OR($BJ362="",53&gt;設定!$B$3),"",IF(INDEX(原始資料!BD$2:BD$501,$BJ362)="","",INDEX(原始資料!BD$2:BD$501,$BJ362)))</f>
        <v/>
      </c>
      <c r="BC362" s="6">
        <f>IF(OR($BJ362="",54&gt;設定!$B$3),"",IF(INDEX(原始資料!BE$2:BE$501,$BJ362)="","",INDEX(原始資料!BE$2:BE$501,$BJ362)))</f>
        <v/>
      </c>
      <c r="BD362" s="6">
        <f>IF(OR($BJ362="",55&gt;設定!$B$3),"",IF(INDEX(原始資料!BF$2:BF$501,$BJ362)="","",INDEX(原始資料!BF$2:BF$501,$BJ362)))</f>
        <v/>
      </c>
      <c r="BE362" s="6">
        <f>IF(OR($BJ362="",56&gt;設定!$B$3),"",IF(INDEX(原始資料!BG$2:BG$501,$BJ362)="","",INDEX(原始資料!BG$2:BG$501,$BJ362)))</f>
        <v/>
      </c>
      <c r="BF362" s="6">
        <f>IF(OR($BJ362="",57&gt;設定!$B$3),"",IF(INDEX(原始資料!BH$2:BH$501,$BJ362)="","",INDEX(原始資料!BH$2:BH$501,$BJ362)))</f>
        <v/>
      </c>
      <c r="BG362" s="6">
        <f>IF(OR($BJ362="",58&gt;設定!$B$3),"",IF(INDEX(原始資料!BI$2:BI$501,$BJ362)="","",INDEX(原始資料!BI$2:BI$501,$BJ362)))</f>
        <v/>
      </c>
      <c r="BH362" s="6">
        <f>IF(OR($BJ362="",59&gt;設定!$B$3),"",IF(INDEX(原始資料!BJ$2:BJ$501,$BJ362)="","",INDEX(原始資料!BJ$2:BJ$501,$BJ362)))</f>
        <v/>
      </c>
      <c r="BI362" s="6">
        <f>IF(OR($BJ362="",60&gt;設定!$B$3),"",IF(INDEX(原始資料!BK$2:BK$501,$BJ362)="","",INDEX(原始資料!BK$2:BK$501,$BJ362)))</f>
        <v/>
      </c>
      <c r="BJ362" s="6">
        <f>IFERROR(MATCH(ROW()-1,判定!$H$2:$H$501,0),"")</f>
        <v/>
      </c>
    </row>
    <row r="363">
      <c r="A363" s="6">
        <f>IF($BJ363="","",INDEX(原始資料!$A$2:$A$501,$BJ363))</f>
        <v/>
      </c>
      <c r="B363" s="6">
        <f>IF(OR($BJ363="",1&gt;設定!$B$3),"",IF(INDEX(原始資料!D$2:D$501,$BJ363)="","",INDEX(原始資料!D$2:D$501,$BJ363)))</f>
        <v/>
      </c>
      <c r="C363" s="6">
        <f>IF(OR($BJ363="",2&gt;設定!$B$3),"",IF(INDEX(原始資料!E$2:E$501,$BJ363)="","",INDEX(原始資料!E$2:E$501,$BJ363)))</f>
        <v/>
      </c>
      <c r="D363" s="6">
        <f>IF(OR($BJ363="",3&gt;設定!$B$3),"",IF(INDEX(原始資料!F$2:F$501,$BJ363)="","",INDEX(原始資料!F$2:F$501,$BJ363)))</f>
        <v/>
      </c>
      <c r="E363" s="6">
        <f>IF(OR($BJ363="",4&gt;設定!$B$3),"",IF(INDEX(原始資料!G$2:G$501,$BJ363)="","",INDEX(原始資料!G$2:G$501,$BJ363)))</f>
        <v/>
      </c>
      <c r="F363" s="6">
        <f>IF(OR($BJ363="",5&gt;設定!$B$3),"",IF(INDEX(原始資料!H$2:H$501,$BJ363)="","",INDEX(原始資料!H$2:H$501,$BJ363)))</f>
        <v/>
      </c>
      <c r="G363" s="6">
        <f>IF(OR($BJ363="",6&gt;設定!$B$3),"",IF(INDEX(原始資料!I$2:I$501,$BJ363)="","",INDEX(原始資料!I$2:I$501,$BJ363)))</f>
        <v/>
      </c>
      <c r="H363" s="6">
        <f>IF(OR($BJ363="",7&gt;設定!$B$3),"",IF(INDEX(原始資料!J$2:J$501,$BJ363)="","",INDEX(原始資料!J$2:J$501,$BJ363)))</f>
        <v/>
      </c>
      <c r="I363" s="6">
        <f>IF(OR($BJ363="",8&gt;設定!$B$3),"",IF(INDEX(原始資料!K$2:K$501,$BJ363)="","",INDEX(原始資料!K$2:K$501,$BJ363)))</f>
        <v/>
      </c>
      <c r="J363" s="6">
        <f>IF(OR($BJ363="",9&gt;設定!$B$3),"",IF(INDEX(原始資料!L$2:L$501,$BJ363)="","",INDEX(原始資料!L$2:L$501,$BJ363)))</f>
        <v/>
      </c>
      <c r="K363" s="6">
        <f>IF(OR($BJ363="",10&gt;設定!$B$3),"",IF(INDEX(原始資料!M$2:M$501,$BJ363)="","",INDEX(原始資料!M$2:M$501,$BJ363)))</f>
        <v/>
      </c>
      <c r="L363" s="6">
        <f>IF(OR($BJ363="",11&gt;設定!$B$3),"",IF(INDEX(原始資料!N$2:N$501,$BJ363)="","",INDEX(原始資料!N$2:N$501,$BJ363)))</f>
        <v/>
      </c>
      <c r="M363" s="6">
        <f>IF(OR($BJ363="",12&gt;設定!$B$3),"",IF(INDEX(原始資料!O$2:O$501,$BJ363)="","",INDEX(原始資料!O$2:O$501,$BJ363)))</f>
        <v/>
      </c>
      <c r="N363" s="6">
        <f>IF(OR($BJ363="",13&gt;設定!$B$3),"",IF(INDEX(原始資料!P$2:P$501,$BJ363)="","",INDEX(原始資料!P$2:P$501,$BJ363)))</f>
        <v/>
      </c>
      <c r="O363" s="6">
        <f>IF(OR($BJ363="",14&gt;設定!$B$3),"",IF(INDEX(原始資料!Q$2:Q$501,$BJ363)="","",INDEX(原始資料!Q$2:Q$501,$BJ363)))</f>
        <v/>
      </c>
      <c r="P363" s="6">
        <f>IF(OR($BJ363="",15&gt;設定!$B$3),"",IF(INDEX(原始資料!R$2:R$501,$BJ363)="","",INDEX(原始資料!R$2:R$501,$BJ363)))</f>
        <v/>
      </c>
      <c r="Q363" s="6">
        <f>IF(OR($BJ363="",16&gt;設定!$B$3),"",IF(INDEX(原始資料!S$2:S$501,$BJ363)="","",INDEX(原始資料!S$2:S$501,$BJ363)))</f>
        <v/>
      </c>
      <c r="R363" s="6">
        <f>IF(OR($BJ363="",17&gt;設定!$B$3),"",IF(INDEX(原始資料!T$2:T$501,$BJ363)="","",INDEX(原始資料!T$2:T$501,$BJ363)))</f>
        <v/>
      </c>
      <c r="S363" s="6">
        <f>IF(OR($BJ363="",18&gt;設定!$B$3),"",IF(INDEX(原始資料!U$2:U$501,$BJ363)="","",INDEX(原始資料!U$2:U$501,$BJ363)))</f>
        <v/>
      </c>
      <c r="T363" s="6">
        <f>IF(OR($BJ363="",19&gt;設定!$B$3),"",IF(INDEX(原始資料!V$2:V$501,$BJ363)="","",INDEX(原始資料!V$2:V$501,$BJ363)))</f>
        <v/>
      </c>
      <c r="U363" s="6">
        <f>IF(OR($BJ363="",20&gt;設定!$B$3),"",IF(INDEX(原始資料!W$2:W$501,$BJ363)="","",INDEX(原始資料!W$2:W$501,$BJ363)))</f>
        <v/>
      </c>
      <c r="V363" s="6">
        <f>IF(OR($BJ363="",21&gt;設定!$B$3),"",IF(INDEX(原始資料!X$2:X$501,$BJ363)="","",INDEX(原始資料!X$2:X$501,$BJ363)))</f>
        <v/>
      </c>
      <c r="W363" s="6">
        <f>IF(OR($BJ363="",22&gt;設定!$B$3),"",IF(INDEX(原始資料!Y$2:Y$501,$BJ363)="","",INDEX(原始資料!Y$2:Y$501,$BJ363)))</f>
        <v/>
      </c>
      <c r="X363" s="6">
        <f>IF(OR($BJ363="",23&gt;設定!$B$3),"",IF(INDEX(原始資料!Z$2:Z$501,$BJ363)="","",INDEX(原始資料!Z$2:Z$501,$BJ363)))</f>
        <v/>
      </c>
      <c r="Y363" s="6">
        <f>IF(OR($BJ363="",24&gt;設定!$B$3),"",IF(INDEX(原始資料!AA$2:AA$501,$BJ363)="","",INDEX(原始資料!AA$2:AA$501,$BJ363)))</f>
        <v/>
      </c>
      <c r="Z363" s="6">
        <f>IF(OR($BJ363="",25&gt;設定!$B$3),"",IF(INDEX(原始資料!AB$2:AB$501,$BJ363)="","",INDEX(原始資料!AB$2:AB$501,$BJ363)))</f>
        <v/>
      </c>
      <c r="AA363" s="6">
        <f>IF(OR($BJ363="",26&gt;設定!$B$3),"",IF(INDEX(原始資料!AC$2:AC$501,$BJ363)="","",INDEX(原始資料!AC$2:AC$501,$BJ363)))</f>
        <v/>
      </c>
      <c r="AB363" s="6">
        <f>IF(OR($BJ363="",27&gt;設定!$B$3),"",IF(INDEX(原始資料!AD$2:AD$501,$BJ363)="","",INDEX(原始資料!AD$2:AD$501,$BJ363)))</f>
        <v/>
      </c>
      <c r="AC363" s="6">
        <f>IF(OR($BJ363="",28&gt;設定!$B$3),"",IF(INDEX(原始資料!AE$2:AE$501,$BJ363)="","",INDEX(原始資料!AE$2:AE$501,$BJ363)))</f>
        <v/>
      </c>
      <c r="AD363" s="6">
        <f>IF(OR($BJ363="",29&gt;設定!$B$3),"",IF(INDEX(原始資料!AF$2:AF$501,$BJ363)="","",INDEX(原始資料!AF$2:AF$501,$BJ363)))</f>
        <v/>
      </c>
      <c r="AE363" s="6">
        <f>IF(OR($BJ363="",30&gt;設定!$B$3),"",IF(INDEX(原始資料!AG$2:AG$501,$BJ363)="","",INDEX(原始資料!AG$2:AG$501,$BJ363)))</f>
        <v/>
      </c>
      <c r="AF363" s="6">
        <f>IF(OR($BJ363="",31&gt;設定!$B$3),"",IF(INDEX(原始資料!AH$2:AH$501,$BJ363)="","",INDEX(原始資料!AH$2:AH$501,$BJ363)))</f>
        <v/>
      </c>
      <c r="AG363" s="6">
        <f>IF(OR($BJ363="",32&gt;設定!$B$3),"",IF(INDEX(原始資料!AI$2:AI$501,$BJ363)="","",INDEX(原始資料!AI$2:AI$501,$BJ363)))</f>
        <v/>
      </c>
      <c r="AH363" s="6">
        <f>IF(OR($BJ363="",33&gt;設定!$B$3),"",IF(INDEX(原始資料!AJ$2:AJ$501,$BJ363)="","",INDEX(原始資料!AJ$2:AJ$501,$BJ363)))</f>
        <v/>
      </c>
      <c r="AI363" s="6">
        <f>IF(OR($BJ363="",34&gt;設定!$B$3),"",IF(INDEX(原始資料!AK$2:AK$501,$BJ363)="","",INDEX(原始資料!AK$2:AK$501,$BJ363)))</f>
        <v/>
      </c>
      <c r="AJ363" s="6">
        <f>IF(OR($BJ363="",35&gt;設定!$B$3),"",IF(INDEX(原始資料!AL$2:AL$501,$BJ363)="","",INDEX(原始資料!AL$2:AL$501,$BJ363)))</f>
        <v/>
      </c>
      <c r="AK363" s="6">
        <f>IF(OR($BJ363="",36&gt;設定!$B$3),"",IF(INDEX(原始資料!AM$2:AM$501,$BJ363)="","",INDEX(原始資料!AM$2:AM$501,$BJ363)))</f>
        <v/>
      </c>
      <c r="AL363" s="6">
        <f>IF(OR($BJ363="",37&gt;設定!$B$3),"",IF(INDEX(原始資料!AN$2:AN$501,$BJ363)="","",INDEX(原始資料!AN$2:AN$501,$BJ363)))</f>
        <v/>
      </c>
      <c r="AM363" s="6">
        <f>IF(OR($BJ363="",38&gt;設定!$B$3),"",IF(INDEX(原始資料!AO$2:AO$501,$BJ363)="","",INDEX(原始資料!AO$2:AO$501,$BJ363)))</f>
        <v/>
      </c>
      <c r="AN363" s="6">
        <f>IF(OR($BJ363="",39&gt;設定!$B$3),"",IF(INDEX(原始資料!AP$2:AP$501,$BJ363)="","",INDEX(原始資料!AP$2:AP$501,$BJ363)))</f>
        <v/>
      </c>
      <c r="AO363" s="6">
        <f>IF(OR($BJ363="",40&gt;設定!$B$3),"",IF(INDEX(原始資料!AQ$2:AQ$501,$BJ363)="","",INDEX(原始資料!AQ$2:AQ$501,$BJ363)))</f>
        <v/>
      </c>
      <c r="AP363" s="6">
        <f>IF(OR($BJ363="",41&gt;設定!$B$3),"",IF(INDEX(原始資料!AR$2:AR$501,$BJ363)="","",INDEX(原始資料!AR$2:AR$501,$BJ363)))</f>
        <v/>
      </c>
      <c r="AQ363" s="6">
        <f>IF(OR($BJ363="",42&gt;設定!$B$3),"",IF(INDEX(原始資料!AS$2:AS$501,$BJ363)="","",INDEX(原始資料!AS$2:AS$501,$BJ363)))</f>
        <v/>
      </c>
      <c r="AR363" s="6">
        <f>IF(OR($BJ363="",43&gt;設定!$B$3),"",IF(INDEX(原始資料!AT$2:AT$501,$BJ363)="","",INDEX(原始資料!AT$2:AT$501,$BJ363)))</f>
        <v/>
      </c>
      <c r="AS363" s="6">
        <f>IF(OR($BJ363="",44&gt;設定!$B$3),"",IF(INDEX(原始資料!AU$2:AU$501,$BJ363)="","",INDEX(原始資料!AU$2:AU$501,$BJ363)))</f>
        <v/>
      </c>
      <c r="AT363" s="6">
        <f>IF(OR($BJ363="",45&gt;設定!$B$3),"",IF(INDEX(原始資料!AV$2:AV$501,$BJ363)="","",INDEX(原始資料!AV$2:AV$501,$BJ363)))</f>
        <v/>
      </c>
      <c r="AU363" s="6">
        <f>IF(OR($BJ363="",46&gt;設定!$B$3),"",IF(INDEX(原始資料!AW$2:AW$501,$BJ363)="","",INDEX(原始資料!AW$2:AW$501,$BJ363)))</f>
        <v/>
      </c>
      <c r="AV363" s="6">
        <f>IF(OR($BJ363="",47&gt;設定!$B$3),"",IF(INDEX(原始資料!AX$2:AX$501,$BJ363)="","",INDEX(原始資料!AX$2:AX$501,$BJ363)))</f>
        <v/>
      </c>
      <c r="AW363" s="6">
        <f>IF(OR($BJ363="",48&gt;設定!$B$3),"",IF(INDEX(原始資料!AY$2:AY$501,$BJ363)="","",INDEX(原始資料!AY$2:AY$501,$BJ363)))</f>
        <v/>
      </c>
      <c r="AX363" s="6">
        <f>IF(OR($BJ363="",49&gt;設定!$B$3),"",IF(INDEX(原始資料!AZ$2:AZ$501,$BJ363)="","",INDEX(原始資料!AZ$2:AZ$501,$BJ363)))</f>
        <v/>
      </c>
      <c r="AY363" s="6">
        <f>IF(OR($BJ363="",50&gt;設定!$B$3),"",IF(INDEX(原始資料!BA$2:BA$501,$BJ363)="","",INDEX(原始資料!BA$2:BA$501,$BJ363)))</f>
        <v/>
      </c>
      <c r="AZ363" s="6">
        <f>IF(OR($BJ363="",51&gt;設定!$B$3),"",IF(INDEX(原始資料!BB$2:BB$501,$BJ363)="","",INDEX(原始資料!BB$2:BB$501,$BJ363)))</f>
        <v/>
      </c>
      <c r="BA363" s="6">
        <f>IF(OR($BJ363="",52&gt;設定!$B$3),"",IF(INDEX(原始資料!BC$2:BC$501,$BJ363)="","",INDEX(原始資料!BC$2:BC$501,$BJ363)))</f>
        <v/>
      </c>
      <c r="BB363" s="6">
        <f>IF(OR($BJ363="",53&gt;設定!$B$3),"",IF(INDEX(原始資料!BD$2:BD$501,$BJ363)="","",INDEX(原始資料!BD$2:BD$501,$BJ363)))</f>
        <v/>
      </c>
      <c r="BC363" s="6">
        <f>IF(OR($BJ363="",54&gt;設定!$B$3),"",IF(INDEX(原始資料!BE$2:BE$501,$BJ363)="","",INDEX(原始資料!BE$2:BE$501,$BJ363)))</f>
        <v/>
      </c>
      <c r="BD363" s="6">
        <f>IF(OR($BJ363="",55&gt;設定!$B$3),"",IF(INDEX(原始資料!BF$2:BF$501,$BJ363)="","",INDEX(原始資料!BF$2:BF$501,$BJ363)))</f>
        <v/>
      </c>
      <c r="BE363" s="6">
        <f>IF(OR($BJ363="",56&gt;設定!$B$3),"",IF(INDEX(原始資料!BG$2:BG$501,$BJ363)="","",INDEX(原始資料!BG$2:BG$501,$BJ363)))</f>
        <v/>
      </c>
      <c r="BF363" s="6">
        <f>IF(OR($BJ363="",57&gt;設定!$B$3),"",IF(INDEX(原始資料!BH$2:BH$501,$BJ363)="","",INDEX(原始資料!BH$2:BH$501,$BJ363)))</f>
        <v/>
      </c>
      <c r="BG363" s="6">
        <f>IF(OR($BJ363="",58&gt;設定!$B$3),"",IF(INDEX(原始資料!BI$2:BI$501,$BJ363)="","",INDEX(原始資料!BI$2:BI$501,$BJ363)))</f>
        <v/>
      </c>
      <c r="BH363" s="6">
        <f>IF(OR($BJ363="",59&gt;設定!$B$3),"",IF(INDEX(原始資料!BJ$2:BJ$501,$BJ363)="","",INDEX(原始資料!BJ$2:BJ$501,$BJ363)))</f>
        <v/>
      </c>
      <c r="BI363" s="6">
        <f>IF(OR($BJ363="",60&gt;設定!$B$3),"",IF(INDEX(原始資料!BK$2:BK$501,$BJ363)="","",INDEX(原始資料!BK$2:BK$501,$BJ363)))</f>
        <v/>
      </c>
      <c r="BJ363" s="6">
        <f>IFERROR(MATCH(ROW()-1,判定!$H$2:$H$501,0),"")</f>
        <v/>
      </c>
    </row>
    <row r="364">
      <c r="A364" s="6">
        <f>IF($BJ364="","",INDEX(原始資料!$A$2:$A$501,$BJ364))</f>
        <v/>
      </c>
      <c r="B364" s="6">
        <f>IF(OR($BJ364="",1&gt;設定!$B$3),"",IF(INDEX(原始資料!D$2:D$501,$BJ364)="","",INDEX(原始資料!D$2:D$501,$BJ364)))</f>
        <v/>
      </c>
      <c r="C364" s="6">
        <f>IF(OR($BJ364="",2&gt;設定!$B$3),"",IF(INDEX(原始資料!E$2:E$501,$BJ364)="","",INDEX(原始資料!E$2:E$501,$BJ364)))</f>
        <v/>
      </c>
      <c r="D364" s="6">
        <f>IF(OR($BJ364="",3&gt;設定!$B$3),"",IF(INDEX(原始資料!F$2:F$501,$BJ364)="","",INDEX(原始資料!F$2:F$501,$BJ364)))</f>
        <v/>
      </c>
      <c r="E364" s="6">
        <f>IF(OR($BJ364="",4&gt;設定!$B$3),"",IF(INDEX(原始資料!G$2:G$501,$BJ364)="","",INDEX(原始資料!G$2:G$501,$BJ364)))</f>
        <v/>
      </c>
      <c r="F364" s="6">
        <f>IF(OR($BJ364="",5&gt;設定!$B$3),"",IF(INDEX(原始資料!H$2:H$501,$BJ364)="","",INDEX(原始資料!H$2:H$501,$BJ364)))</f>
        <v/>
      </c>
      <c r="G364" s="6">
        <f>IF(OR($BJ364="",6&gt;設定!$B$3),"",IF(INDEX(原始資料!I$2:I$501,$BJ364)="","",INDEX(原始資料!I$2:I$501,$BJ364)))</f>
        <v/>
      </c>
      <c r="H364" s="6">
        <f>IF(OR($BJ364="",7&gt;設定!$B$3),"",IF(INDEX(原始資料!J$2:J$501,$BJ364)="","",INDEX(原始資料!J$2:J$501,$BJ364)))</f>
        <v/>
      </c>
      <c r="I364" s="6">
        <f>IF(OR($BJ364="",8&gt;設定!$B$3),"",IF(INDEX(原始資料!K$2:K$501,$BJ364)="","",INDEX(原始資料!K$2:K$501,$BJ364)))</f>
        <v/>
      </c>
      <c r="J364" s="6">
        <f>IF(OR($BJ364="",9&gt;設定!$B$3),"",IF(INDEX(原始資料!L$2:L$501,$BJ364)="","",INDEX(原始資料!L$2:L$501,$BJ364)))</f>
        <v/>
      </c>
      <c r="K364" s="6">
        <f>IF(OR($BJ364="",10&gt;設定!$B$3),"",IF(INDEX(原始資料!M$2:M$501,$BJ364)="","",INDEX(原始資料!M$2:M$501,$BJ364)))</f>
        <v/>
      </c>
      <c r="L364" s="6">
        <f>IF(OR($BJ364="",11&gt;設定!$B$3),"",IF(INDEX(原始資料!N$2:N$501,$BJ364)="","",INDEX(原始資料!N$2:N$501,$BJ364)))</f>
        <v/>
      </c>
      <c r="M364" s="6">
        <f>IF(OR($BJ364="",12&gt;設定!$B$3),"",IF(INDEX(原始資料!O$2:O$501,$BJ364)="","",INDEX(原始資料!O$2:O$501,$BJ364)))</f>
        <v/>
      </c>
      <c r="N364" s="6">
        <f>IF(OR($BJ364="",13&gt;設定!$B$3),"",IF(INDEX(原始資料!P$2:P$501,$BJ364)="","",INDEX(原始資料!P$2:P$501,$BJ364)))</f>
        <v/>
      </c>
      <c r="O364" s="6">
        <f>IF(OR($BJ364="",14&gt;設定!$B$3),"",IF(INDEX(原始資料!Q$2:Q$501,$BJ364)="","",INDEX(原始資料!Q$2:Q$501,$BJ364)))</f>
        <v/>
      </c>
      <c r="P364" s="6">
        <f>IF(OR($BJ364="",15&gt;設定!$B$3),"",IF(INDEX(原始資料!R$2:R$501,$BJ364)="","",INDEX(原始資料!R$2:R$501,$BJ364)))</f>
        <v/>
      </c>
      <c r="Q364" s="6">
        <f>IF(OR($BJ364="",16&gt;設定!$B$3),"",IF(INDEX(原始資料!S$2:S$501,$BJ364)="","",INDEX(原始資料!S$2:S$501,$BJ364)))</f>
        <v/>
      </c>
      <c r="R364" s="6">
        <f>IF(OR($BJ364="",17&gt;設定!$B$3),"",IF(INDEX(原始資料!T$2:T$501,$BJ364)="","",INDEX(原始資料!T$2:T$501,$BJ364)))</f>
        <v/>
      </c>
      <c r="S364" s="6">
        <f>IF(OR($BJ364="",18&gt;設定!$B$3),"",IF(INDEX(原始資料!U$2:U$501,$BJ364)="","",INDEX(原始資料!U$2:U$501,$BJ364)))</f>
        <v/>
      </c>
      <c r="T364" s="6">
        <f>IF(OR($BJ364="",19&gt;設定!$B$3),"",IF(INDEX(原始資料!V$2:V$501,$BJ364)="","",INDEX(原始資料!V$2:V$501,$BJ364)))</f>
        <v/>
      </c>
      <c r="U364" s="6">
        <f>IF(OR($BJ364="",20&gt;設定!$B$3),"",IF(INDEX(原始資料!W$2:W$501,$BJ364)="","",INDEX(原始資料!W$2:W$501,$BJ364)))</f>
        <v/>
      </c>
      <c r="V364" s="6">
        <f>IF(OR($BJ364="",21&gt;設定!$B$3),"",IF(INDEX(原始資料!X$2:X$501,$BJ364)="","",INDEX(原始資料!X$2:X$501,$BJ364)))</f>
        <v/>
      </c>
      <c r="W364" s="6">
        <f>IF(OR($BJ364="",22&gt;設定!$B$3),"",IF(INDEX(原始資料!Y$2:Y$501,$BJ364)="","",INDEX(原始資料!Y$2:Y$501,$BJ364)))</f>
        <v/>
      </c>
      <c r="X364" s="6">
        <f>IF(OR($BJ364="",23&gt;設定!$B$3),"",IF(INDEX(原始資料!Z$2:Z$501,$BJ364)="","",INDEX(原始資料!Z$2:Z$501,$BJ364)))</f>
        <v/>
      </c>
      <c r="Y364" s="6">
        <f>IF(OR($BJ364="",24&gt;設定!$B$3),"",IF(INDEX(原始資料!AA$2:AA$501,$BJ364)="","",INDEX(原始資料!AA$2:AA$501,$BJ364)))</f>
        <v/>
      </c>
      <c r="Z364" s="6">
        <f>IF(OR($BJ364="",25&gt;設定!$B$3),"",IF(INDEX(原始資料!AB$2:AB$501,$BJ364)="","",INDEX(原始資料!AB$2:AB$501,$BJ364)))</f>
        <v/>
      </c>
      <c r="AA364" s="6">
        <f>IF(OR($BJ364="",26&gt;設定!$B$3),"",IF(INDEX(原始資料!AC$2:AC$501,$BJ364)="","",INDEX(原始資料!AC$2:AC$501,$BJ364)))</f>
        <v/>
      </c>
      <c r="AB364" s="6">
        <f>IF(OR($BJ364="",27&gt;設定!$B$3),"",IF(INDEX(原始資料!AD$2:AD$501,$BJ364)="","",INDEX(原始資料!AD$2:AD$501,$BJ364)))</f>
        <v/>
      </c>
      <c r="AC364" s="6">
        <f>IF(OR($BJ364="",28&gt;設定!$B$3),"",IF(INDEX(原始資料!AE$2:AE$501,$BJ364)="","",INDEX(原始資料!AE$2:AE$501,$BJ364)))</f>
        <v/>
      </c>
      <c r="AD364" s="6">
        <f>IF(OR($BJ364="",29&gt;設定!$B$3),"",IF(INDEX(原始資料!AF$2:AF$501,$BJ364)="","",INDEX(原始資料!AF$2:AF$501,$BJ364)))</f>
        <v/>
      </c>
      <c r="AE364" s="6">
        <f>IF(OR($BJ364="",30&gt;設定!$B$3),"",IF(INDEX(原始資料!AG$2:AG$501,$BJ364)="","",INDEX(原始資料!AG$2:AG$501,$BJ364)))</f>
        <v/>
      </c>
      <c r="AF364" s="6">
        <f>IF(OR($BJ364="",31&gt;設定!$B$3),"",IF(INDEX(原始資料!AH$2:AH$501,$BJ364)="","",INDEX(原始資料!AH$2:AH$501,$BJ364)))</f>
        <v/>
      </c>
      <c r="AG364" s="6">
        <f>IF(OR($BJ364="",32&gt;設定!$B$3),"",IF(INDEX(原始資料!AI$2:AI$501,$BJ364)="","",INDEX(原始資料!AI$2:AI$501,$BJ364)))</f>
        <v/>
      </c>
      <c r="AH364" s="6">
        <f>IF(OR($BJ364="",33&gt;設定!$B$3),"",IF(INDEX(原始資料!AJ$2:AJ$501,$BJ364)="","",INDEX(原始資料!AJ$2:AJ$501,$BJ364)))</f>
        <v/>
      </c>
      <c r="AI364" s="6">
        <f>IF(OR($BJ364="",34&gt;設定!$B$3),"",IF(INDEX(原始資料!AK$2:AK$501,$BJ364)="","",INDEX(原始資料!AK$2:AK$501,$BJ364)))</f>
        <v/>
      </c>
      <c r="AJ364" s="6">
        <f>IF(OR($BJ364="",35&gt;設定!$B$3),"",IF(INDEX(原始資料!AL$2:AL$501,$BJ364)="","",INDEX(原始資料!AL$2:AL$501,$BJ364)))</f>
        <v/>
      </c>
      <c r="AK364" s="6">
        <f>IF(OR($BJ364="",36&gt;設定!$B$3),"",IF(INDEX(原始資料!AM$2:AM$501,$BJ364)="","",INDEX(原始資料!AM$2:AM$501,$BJ364)))</f>
        <v/>
      </c>
      <c r="AL364" s="6">
        <f>IF(OR($BJ364="",37&gt;設定!$B$3),"",IF(INDEX(原始資料!AN$2:AN$501,$BJ364)="","",INDEX(原始資料!AN$2:AN$501,$BJ364)))</f>
        <v/>
      </c>
      <c r="AM364" s="6">
        <f>IF(OR($BJ364="",38&gt;設定!$B$3),"",IF(INDEX(原始資料!AO$2:AO$501,$BJ364)="","",INDEX(原始資料!AO$2:AO$501,$BJ364)))</f>
        <v/>
      </c>
      <c r="AN364" s="6">
        <f>IF(OR($BJ364="",39&gt;設定!$B$3),"",IF(INDEX(原始資料!AP$2:AP$501,$BJ364)="","",INDEX(原始資料!AP$2:AP$501,$BJ364)))</f>
        <v/>
      </c>
      <c r="AO364" s="6">
        <f>IF(OR($BJ364="",40&gt;設定!$B$3),"",IF(INDEX(原始資料!AQ$2:AQ$501,$BJ364)="","",INDEX(原始資料!AQ$2:AQ$501,$BJ364)))</f>
        <v/>
      </c>
      <c r="AP364" s="6">
        <f>IF(OR($BJ364="",41&gt;設定!$B$3),"",IF(INDEX(原始資料!AR$2:AR$501,$BJ364)="","",INDEX(原始資料!AR$2:AR$501,$BJ364)))</f>
        <v/>
      </c>
      <c r="AQ364" s="6">
        <f>IF(OR($BJ364="",42&gt;設定!$B$3),"",IF(INDEX(原始資料!AS$2:AS$501,$BJ364)="","",INDEX(原始資料!AS$2:AS$501,$BJ364)))</f>
        <v/>
      </c>
      <c r="AR364" s="6">
        <f>IF(OR($BJ364="",43&gt;設定!$B$3),"",IF(INDEX(原始資料!AT$2:AT$501,$BJ364)="","",INDEX(原始資料!AT$2:AT$501,$BJ364)))</f>
        <v/>
      </c>
      <c r="AS364" s="6">
        <f>IF(OR($BJ364="",44&gt;設定!$B$3),"",IF(INDEX(原始資料!AU$2:AU$501,$BJ364)="","",INDEX(原始資料!AU$2:AU$501,$BJ364)))</f>
        <v/>
      </c>
      <c r="AT364" s="6">
        <f>IF(OR($BJ364="",45&gt;設定!$B$3),"",IF(INDEX(原始資料!AV$2:AV$501,$BJ364)="","",INDEX(原始資料!AV$2:AV$501,$BJ364)))</f>
        <v/>
      </c>
      <c r="AU364" s="6">
        <f>IF(OR($BJ364="",46&gt;設定!$B$3),"",IF(INDEX(原始資料!AW$2:AW$501,$BJ364)="","",INDEX(原始資料!AW$2:AW$501,$BJ364)))</f>
        <v/>
      </c>
      <c r="AV364" s="6">
        <f>IF(OR($BJ364="",47&gt;設定!$B$3),"",IF(INDEX(原始資料!AX$2:AX$501,$BJ364)="","",INDEX(原始資料!AX$2:AX$501,$BJ364)))</f>
        <v/>
      </c>
      <c r="AW364" s="6">
        <f>IF(OR($BJ364="",48&gt;設定!$B$3),"",IF(INDEX(原始資料!AY$2:AY$501,$BJ364)="","",INDEX(原始資料!AY$2:AY$501,$BJ364)))</f>
        <v/>
      </c>
      <c r="AX364" s="6">
        <f>IF(OR($BJ364="",49&gt;設定!$B$3),"",IF(INDEX(原始資料!AZ$2:AZ$501,$BJ364)="","",INDEX(原始資料!AZ$2:AZ$501,$BJ364)))</f>
        <v/>
      </c>
      <c r="AY364" s="6">
        <f>IF(OR($BJ364="",50&gt;設定!$B$3),"",IF(INDEX(原始資料!BA$2:BA$501,$BJ364)="","",INDEX(原始資料!BA$2:BA$501,$BJ364)))</f>
        <v/>
      </c>
      <c r="AZ364" s="6">
        <f>IF(OR($BJ364="",51&gt;設定!$B$3),"",IF(INDEX(原始資料!BB$2:BB$501,$BJ364)="","",INDEX(原始資料!BB$2:BB$501,$BJ364)))</f>
        <v/>
      </c>
      <c r="BA364" s="6">
        <f>IF(OR($BJ364="",52&gt;設定!$B$3),"",IF(INDEX(原始資料!BC$2:BC$501,$BJ364)="","",INDEX(原始資料!BC$2:BC$501,$BJ364)))</f>
        <v/>
      </c>
      <c r="BB364" s="6">
        <f>IF(OR($BJ364="",53&gt;設定!$B$3),"",IF(INDEX(原始資料!BD$2:BD$501,$BJ364)="","",INDEX(原始資料!BD$2:BD$501,$BJ364)))</f>
        <v/>
      </c>
      <c r="BC364" s="6">
        <f>IF(OR($BJ364="",54&gt;設定!$B$3),"",IF(INDEX(原始資料!BE$2:BE$501,$BJ364)="","",INDEX(原始資料!BE$2:BE$501,$BJ364)))</f>
        <v/>
      </c>
      <c r="BD364" s="6">
        <f>IF(OR($BJ364="",55&gt;設定!$B$3),"",IF(INDEX(原始資料!BF$2:BF$501,$BJ364)="","",INDEX(原始資料!BF$2:BF$501,$BJ364)))</f>
        <v/>
      </c>
      <c r="BE364" s="6">
        <f>IF(OR($BJ364="",56&gt;設定!$B$3),"",IF(INDEX(原始資料!BG$2:BG$501,$BJ364)="","",INDEX(原始資料!BG$2:BG$501,$BJ364)))</f>
        <v/>
      </c>
      <c r="BF364" s="6">
        <f>IF(OR($BJ364="",57&gt;設定!$B$3),"",IF(INDEX(原始資料!BH$2:BH$501,$BJ364)="","",INDEX(原始資料!BH$2:BH$501,$BJ364)))</f>
        <v/>
      </c>
      <c r="BG364" s="6">
        <f>IF(OR($BJ364="",58&gt;設定!$B$3),"",IF(INDEX(原始資料!BI$2:BI$501,$BJ364)="","",INDEX(原始資料!BI$2:BI$501,$BJ364)))</f>
        <v/>
      </c>
      <c r="BH364" s="6">
        <f>IF(OR($BJ364="",59&gt;設定!$B$3),"",IF(INDEX(原始資料!BJ$2:BJ$501,$BJ364)="","",INDEX(原始資料!BJ$2:BJ$501,$BJ364)))</f>
        <v/>
      </c>
      <c r="BI364" s="6">
        <f>IF(OR($BJ364="",60&gt;設定!$B$3),"",IF(INDEX(原始資料!BK$2:BK$501,$BJ364)="","",INDEX(原始資料!BK$2:BK$501,$BJ364)))</f>
        <v/>
      </c>
      <c r="BJ364" s="6">
        <f>IFERROR(MATCH(ROW()-1,判定!$H$2:$H$501,0),"")</f>
        <v/>
      </c>
    </row>
    <row r="365">
      <c r="A365" s="6">
        <f>IF($BJ365="","",INDEX(原始資料!$A$2:$A$501,$BJ365))</f>
        <v/>
      </c>
      <c r="B365" s="6">
        <f>IF(OR($BJ365="",1&gt;設定!$B$3),"",IF(INDEX(原始資料!D$2:D$501,$BJ365)="","",INDEX(原始資料!D$2:D$501,$BJ365)))</f>
        <v/>
      </c>
      <c r="C365" s="6">
        <f>IF(OR($BJ365="",2&gt;設定!$B$3),"",IF(INDEX(原始資料!E$2:E$501,$BJ365)="","",INDEX(原始資料!E$2:E$501,$BJ365)))</f>
        <v/>
      </c>
      <c r="D365" s="6">
        <f>IF(OR($BJ365="",3&gt;設定!$B$3),"",IF(INDEX(原始資料!F$2:F$501,$BJ365)="","",INDEX(原始資料!F$2:F$501,$BJ365)))</f>
        <v/>
      </c>
      <c r="E365" s="6">
        <f>IF(OR($BJ365="",4&gt;設定!$B$3),"",IF(INDEX(原始資料!G$2:G$501,$BJ365)="","",INDEX(原始資料!G$2:G$501,$BJ365)))</f>
        <v/>
      </c>
      <c r="F365" s="6">
        <f>IF(OR($BJ365="",5&gt;設定!$B$3),"",IF(INDEX(原始資料!H$2:H$501,$BJ365)="","",INDEX(原始資料!H$2:H$501,$BJ365)))</f>
        <v/>
      </c>
      <c r="G365" s="6">
        <f>IF(OR($BJ365="",6&gt;設定!$B$3),"",IF(INDEX(原始資料!I$2:I$501,$BJ365)="","",INDEX(原始資料!I$2:I$501,$BJ365)))</f>
        <v/>
      </c>
      <c r="H365" s="6">
        <f>IF(OR($BJ365="",7&gt;設定!$B$3),"",IF(INDEX(原始資料!J$2:J$501,$BJ365)="","",INDEX(原始資料!J$2:J$501,$BJ365)))</f>
        <v/>
      </c>
      <c r="I365" s="6">
        <f>IF(OR($BJ365="",8&gt;設定!$B$3),"",IF(INDEX(原始資料!K$2:K$501,$BJ365)="","",INDEX(原始資料!K$2:K$501,$BJ365)))</f>
        <v/>
      </c>
      <c r="J365" s="6">
        <f>IF(OR($BJ365="",9&gt;設定!$B$3),"",IF(INDEX(原始資料!L$2:L$501,$BJ365)="","",INDEX(原始資料!L$2:L$501,$BJ365)))</f>
        <v/>
      </c>
      <c r="K365" s="6">
        <f>IF(OR($BJ365="",10&gt;設定!$B$3),"",IF(INDEX(原始資料!M$2:M$501,$BJ365)="","",INDEX(原始資料!M$2:M$501,$BJ365)))</f>
        <v/>
      </c>
      <c r="L365" s="6">
        <f>IF(OR($BJ365="",11&gt;設定!$B$3),"",IF(INDEX(原始資料!N$2:N$501,$BJ365)="","",INDEX(原始資料!N$2:N$501,$BJ365)))</f>
        <v/>
      </c>
      <c r="M365" s="6">
        <f>IF(OR($BJ365="",12&gt;設定!$B$3),"",IF(INDEX(原始資料!O$2:O$501,$BJ365)="","",INDEX(原始資料!O$2:O$501,$BJ365)))</f>
        <v/>
      </c>
      <c r="N365" s="6">
        <f>IF(OR($BJ365="",13&gt;設定!$B$3),"",IF(INDEX(原始資料!P$2:P$501,$BJ365)="","",INDEX(原始資料!P$2:P$501,$BJ365)))</f>
        <v/>
      </c>
      <c r="O365" s="6">
        <f>IF(OR($BJ365="",14&gt;設定!$B$3),"",IF(INDEX(原始資料!Q$2:Q$501,$BJ365)="","",INDEX(原始資料!Q$2:Q$501,$BJ365)))</f>
        <v/>
      </c>
      <c r="P365" s="6">
        <f>IF(OR($BJ365="",15&gt;設定!$B$3),"",IF(INDEX(原始資料!R$2:R$501,$BJ365)="","",INDEX(原始資料!R$2:R$501,$BJ365)))</f>
        <v/>
      </c>
      <c r="Q365" s="6">
        <f>IF(OR($BJ365="",16&gt;設定!$B$3),"",IF(INDEX(原始資料!S$2:S$501,$BJ365)="","",INDEX(原始資料!S$2:S$501,$BJ365)))</f>
        <v/>
      </c>
      <c r="R365" s="6">
        <f>IF(OR($BJ365="",17&gt;設定!$B$3),"",IF(INDEX(原始資料!T$2:T$501,$BJ365)="","",INDEX(原始資料!T$2:T$501,$BJ365)))</f>
        <v/>
      </c>
      <c r="S365" s="6">
        <f>IF(OR($BJ365="",18&gt;設定!$B$3),"",IF(INDEX(原始資料!U$2:U$501,$BJ365)="","",INDEX(原始資料!U$2:U$501,$BJ365)))</f>
        <v/>
      </c>
      <c r="T365" s="6">
        <f>IF(OR($BJ365="",19&gt;設定!$B$3),"",IF(INDEX(原始資料!V$2:V$501,$BJ365)="","",INDEX(原始資料!V$2:V$501,$BJ365)))</f>
        <v/>
      </c>
      <c r="U365" s="6">
        <f>IF(OR($BJ365="",20&gt;設定!$B$3),"",IF(INDEX(原始資料!W$2:W$501,$BJ365)="","",INDEX(原始資料!W$2:W$501,$BJ365)))</f>
        <v/>
      </c>
      <c r="V365" s="6">
        <f>IF(OR($BJ365="",21&gt;設定!$B$3),"",IF(INDEX(原始資料!X$2:X$501,$BJ365)="","",INDEX(原始資料!X$2:X$501,$BJ365)))</f>
        <v/>
      </c>
      <c r="W365" s="6">
        <f>IF(OR($BJ365="",22&gt;設定!$B$3),"",IF(INDEX(原始資料!Y$2:Y$501,$BJ365)="","",INDEX(原始資料!Y$2:Y$501,$BJ365)))</f>
        <v/>
      </c>
      <c r="X365" s="6">
        <f>IF(OR($BJ365="",23&gt;設定!$B$3),"",IF(INDEX(原始資料!Z$2:Z$501,$BJ365)="","",INDEX(原始資料!Z$2:Z$501,$BJ365)))</f>
        <v/>
      </c>
      <c r="Y365" s="6">
        <f>IF(OR($BJ365="",24&gt;設定!$B$3),"",IF(INDEX(原始資料!AA$2:AA$501,$BJ365)="","",INDEX(原始資料!AA$2:AA$501,$BJ365)))</f>
        <v/>
      </c>
      <c r="Z365" s="6">
        <f>IF(OR($BJ365="",25&gt;設定!$B$3),"",IF(INDEX(原始資料!AB$2:AB$501,$BJ365)="","",INDEX(原始資料!AB$2:AB$501,$BJ365)))</f>
        <v/>
      </c>
      <c r="AA365" s="6">
        <f>IF(OR($BJ365="",26&gt;設定!$B$3),"",IF(INDEX(原始資料!AC$2:AC$501,$BJ365)="","",INDEX(原始資料!AC$2:AC$501,$BJ365)))</f>
        <v/>
      </c>
      <c r="AB365" s="6">
        <f>IF(OR($BJ365="",27&gt;設定!$B$3),"",IF(INDEX(原始資料!AD$2:AD$501,$BJ365)="","",INDEX(原始資料!AD$2:AD$501,$BJ365)))</f>
        <v/>
      </c>
      <c r="AC365" s="6">
        <f>IF(OR($BJ365="",28&gt;設定!$B$3),"",IF(INDEX(原始資料!AE$2:AE$501,$BJ365)="","",INDEX(原始資料!AE$2:AE$501,$BJ365)))</f>
        <v/>
      </c>
      <c r="AD365" s="6">
        <f>IF(OR($BJ365="",29&gt;設定!$B$3),"",IF(INDEX(原始資料!AF$2:AF$501,$BJ365)="","",INDEX(原始資料!AF$2:AF$501,$BJ365)))</f>
        <v/>
      </c>
      <c r="AE365" s="6">
        <f>IF(OR($BJ365="",30&gt;設定!$B$3),"",IF(INDEX(原始資料!AG$2:AG$501,$BJ365)="","",INDEX(原始資料!AG$2:AG$501,$BJ365)))</f>
        <v/>
      </c>
      <c r="AF365" s="6">
        <f>IF(OR($BJ365="",31&gt;設定!$B$3),"",IF(INDEX(原始資料!AH$2:AH$501,$BJ365)="","",INDEX(原始資料!AH$2:AH$501,$BJ365)))</f>
        <v/>
      </c>
      <c r="AG365" s="6">
        <f>IF(OR($BJ365="",32&gt;設定!$B$3),"",IF(INDEX(原始資料!AI$2:AI$501,$BJ365)="","",INDEX(原始資料!AI$2:AI$501,$BJ365)))</f>
        <v/>
      </c>
      <c r="AH365" s="6">
        <f>IF(OR($BJ365="",33&gt;設定!$B$3),"",IF(INDEX(原始資料!AJ$2:AJ$501,$BJ365)="","",INDEX(原始資料!AJ$2:AJ$501,$BJ365)))</f>
        <v/>
      </c>
      <c r="AI365" s="6">
        <f>IF(OR($BJ365="",34&gt;設定!$B$3),"",IF(INDEX(原始資料!AK$2:AK$501,$BJ365)="","",INDEX(原始資料!AK$2:AK$501,$BJ365)))</f>
        <v/>
      </c>
      <c r="AJ365" s="6">
        <f>IF(OR($BJ365="",35&gt;設定!$B$3),"",IF(INDEX(原始資料!AL$2:AL$501,$BJ365)="","",INDEX(原始資料!AL$2:AL$501,$BJ365)))</f>
        <v/>
      </c>
      <c r="AK365" s="6">
        <f>IF(OR($BJ365="",36&gt;設定!$B$3),"",IF(INDEX(原始資料!AM$2:AM$501,$BJ365)="","",INDEX(原始資料!AM$2:AM$501,$BJ365)))</f>
        <v/>
      </c>
      <c r="AL365" s="6">
        <f>IF(OR($BJ365="",37&gt;設定!$B$3),"",IF(INDEX(原始資料!AN$2:AN$501,$BJ365)="","",INDEX(原始資料!AN$2:AN$501,$BJ365)))</f>
        <v/>
      </c>
      <c r="AM365" s="6">
        <f>IF(OR($BJ365="",38&gt;設定!$B$3),"",IF(INDEX(原始資料!AO$2:AO$501,$BJ365)="","",INDEX(原始資料!AO$2:AO$501,$BJ365)))</f>
        <v/>
      </c>
      <c r="AN365" s="6">
        <f>IF(OR($BJ365="",39&gt;設定!$B$3),"",IF(INDEX(原始資料!AP$2:AP$501,$BJ365)="","",INDEX(原始資料!AP$2:AP$501,$BJ365)))</f>
        <v/>
      </c>
      <c r="AO365" s="6">
        <f>IF(OR($BJ365="",40&gt;設定!$B$3),"",IF(INDEX(原始資料!AQ$2:AQ$501,$BJ365)="","",INDEX(原始資料!AQ$2:AQ$501,$BJ365)))</f>
        <v/>
      </c>
      <c r="AP365" s="6">
        <f>IF(OR($BJ365="",41&gt;設定!$B$3),"",IF(INDEX(原始資料!AR$2:AR$501,$BJ365)="","",INDEX(原始資料!AR$2:AR$501,$BJ365)))</f>
        <v/>
      </c>
      <c r="AQ365" s="6">
        <f>IF(OR($BJ365="",42&gt;設定!$B$3),"",IF(INDEX(原始資料!AS$2:AS$501,$BJ365)="","",INDEX(原始資料!AS$2:AS$501,$BJ365)))</f>
        <v/>
      </c>
      <c r="AR365" s="6">
        <f>IF(OR($BJ365="",43&gt;設定!$B$3),"",IF(INDEX(原始資料!AT$2:AT$501,$BJ365)="","",INDEX(原始資料!AT$2:AT$501,$BJ365)))</f>
        <v/>
      </c>
      <c r="AS365" s="6">
        <f>IF(OR($BJ365="",44&gt;設定!$B$3),"",IF(INDEX(原始資料!AU$2:AU$501,$BJ365)="","",INDEX(原始資料!AU$2:AU$501,$BJ365)))</f>
        <v/>
      </c>
      <c r="AT365" s="6">
        <f>IF(OR($BJ365="",45&gt;設定!$B$3),"",IF(INDEX(原始資料!AV$2:AV$501,$BJ365)="","",INDEX(原始資料!AV$2:AV$501,$BJ365)))</f>
        <v/>
      </c>
      <c r="AU365" s="6">
        <f>IF(OR($BJ365="",46&gt;設定!$B$3),"",IF(INDEX(原始資料!AW$2:AW$501,$BJ365)="","",INDEX(原始資料!AW$2:AW$501,$BJ365)))</f>
        <v/>
      </c>
      <c r="AV365" s="6">
        <f>IF(OR($BJ365="",47&gt;設定!$B$3),"",IF(INDEX(原始資料!AX$2:AX$501,$BJ365)="","",INDEX(原始資料!AX$2:AX$501,$BJ365)))</f>
        <v/>
      </c>
      <c r="AW365" s="6">
        <f>IF(OR($BJ365="",48&gt;設定!$B$3),"",IF(INDEX(原始資料!AY$2:AY$501,$BJ365)="","",INDEX(原始資料!AY$2:AY$501,$BJ365)))</f>
        <v/>
      </c>
      <c r="AX365" s="6">
        <f>IF(OR($BJ365="",49&gt;設定!$B$3),"",IF(INDEX(原始資料!AZ$2:AZ$501,$BJ365)="","",INDEX(原始資料!AZ$2:AZ$501,$BJ365)))</f>
        <v/>
      </c>
      <c r="AY365" s="6">
        <f>IF(OR($BJ365="",50&gt;設定!$B$3),"",IF(INDEX(原始資料!BA$2:BA$501,$BJ365)="","",INDEX(原始資料!BA$2:BA$501,$BJ365)))</f>
        <v/>
      </c>
      <c r="AZ365" s="6">
        <f>IF(OR($BJ365="",51&gt;設定!$B$3),"",IF(INDEX(原始資料!BB$2:BB$501,$BJ365)="","",INDEX(原始資料!BB$2:BB$501,$BJ365)))</f>
        <v/>
      </c>
      <c r="BA365" s="6">
        <f>IF(OR($BJ365="",52&gt;設定!$B$3),"",IF(INDEX(原始資料!BC$2:BC$501,$BJ365)="","",INDEX(原始資料!BC$2:BC$501,$BJ365)))</f>
        <v/>
      </c>
      <c r="BB365" s="6">
        <f>IF(OR($BJ365="",53&gt;設定!$B$3),"",IF(INDEX(原始資料!BD$2:BD$501,$BJ365)="","",INDEX(原始資料!BD$2:BD$501,$BJ365)))</f>
        <v/>
      </c>
      <c r="BC365" s="6">
        <f>IF(OR($BJ365="",54&gt;設定!$B$3),"",IF(INDEX(原始資料!BE$2:BE$501,$BJ365)="","",INDEX(原始資料!BE$2:BE$501,$BJ365)))</f>
        <v/>
      </c>
      <c r="BD365" s="6">
        <f>IF(OR($BJ365="",55&gt;設定!$B$3),"",IF(INDEX(原始資料!BF$2:BF$501,$BJ365)="","",INDEX(原始資料!BF$2:BF$501,$BJ365)))</f>
        <v/>
      </c>
      <c r="BE365" s="6">
        <f>IF(OR($BJ365="",56&gt;設定!$B$3),"",IF(INDEX(原始資料!BG$2:BG$501,$BJ365)="","",INDEX(原始資料!BG$2:BG$501,$BJ365)))</f>
        <v/>
      </c>
      <c r="BF365" s="6">
        <f>IF(OR($BJ365="",57&gt;設定!$B$3),"",IF(INDEX(原始資料!BH$2:BH$501,$BJ365)="","",INDEX(原始資料!BH$2:BH$501,$BJ365)))</f>
        <v/>
      </c>
      <c r="BG365" s="6">
        <f>IF(OR($BJ365="",58&gt;設定!$B$3),"",IF(INDEX(原始資料!BI$2:BI$501,$BJ365)="","",INDEX(原始資料!BI$2:BI$501,$BJ365)))</f>
        <v/>
      </c>
      <c r="BH365" s="6">
        <f>IF(OR($BJ365="",59&gt;設定!$B$3),"",IF(INDEX(原始資料!BJ$2:BJ$501,$BJ365)="","",INDEX(原始資料!BJ$2:BJ$501,$BJ365)))</f>
        <v/>
      </c>
      <c r="BI365" s="6">
        <f>IF(OR($BJ365="",60&gt;設定!$B$3),"",IF(INDEX(原始資料!BK$2:BK$501,$BJ365)="","",INDEX(原始資料!BK$2:BK$501,$BJ365)))</f>
        <v/>
      </c>
      <c r="BJ365" s="6">
        <f>IFERROR(MATCH(ROW()-1,判定!$H$2:$H$501,0),"")</f>
        <v/>
      </c>
    </row>
    <row r="366">
      <c r="A366" s="6">
        <f>IF($BJ366="","",INDEX(原始資料!$A$2:$A$501,$BJ366))</f>
        <v/>
      </c>
      <c r="B366" s="6">
        <f>IF(OR($BJ366="",1&gt;設定!$B$3),"",IF(INDEX(原始資料!D$2:D$501,$BJ366)="","",INDEX(原始資料!D$2:D$501,$BJ366)))</f>
        <v/>
      </c>
      <c r="C366" s="6">
        <f>IF(OR($BJ366="",2&gt;設定!$B$3),"",IF(INDEX(原始資料!E$2:E$501,$BJ366)="","",INDEX(原始資料!E$2:E$501,$BJ366)))</f>
        <v/>
      </c>
      <c r="D366" s="6">
        <f>IF(OR($BJ366="",3&gt;設定!$B$3),"",IF(INDEX(原始資料!F$2:F$501,$BJ366)="","",INDEX(原始資料!F$2:F$501,$BJ366)))</f>
        <v/>
      </c>
      <c r="E366" s="6">
        <f>IF(OR($BJ366="",4&gt;設定!$B$3),"",IF(INDEX(原始資料!G$2:G$501,$BJ366)="","",INDEX(原始資料!G$2:G$501,$BJ366)))</f>
        <v/>
      </c>
      <c r="F366" s="6">
        <f>IF(OR($BJ366="",5&gt;設定!$B$3),"",IF(INDEX(原始資料!H$2:H$501,$BJ366)="","",INDEX(原始資料!H$2:H$501,$BJ366)))</f>
        <v/>
      </c>
      <c r="G366" s="6">
        <f>IF(OR($BJ366="",6&gt;設定!$B$3),"",IF(INDEX(原始資料!I$2:I$501,$BJ366)="","",INDEX(原始資料!I$2:I$501,$BJ366)))</f>
        <v/>
      </c>
      <c r="H366" s="6">
        <f>IF(OR($BJ366="",7&gt;設定!$B$3),"",IF(INDEX(原始資料!J$2:J$501,$BJ366)="","",INDEX(原始資料!J$2:J$501,$BJ366)))</f>
        <v/>
      </c>
      <c r="I366" s="6">
        <f>IF(OR($BJ366="",8&gt;設定!$B$3),"",IF(INDEX(原始資料!K$2:K$501,$BJ366)="","",INDEX(原始資料!K$2:K$501,$BJ366)))</f>
        <v/>
      </c>
      <c r="J366" s="6">
        <f>IF(OR($BJ366="",9&gt;設定!$B$3),"",IF(INDEX(原始資料!L$2:L$501,$BJ366)="","",INDEX(原始資料!L$2:L$501,$BJ366)))</f>
        <v/>
      </c>
      <c r="K366" s="6">
        <f>IF(OR($BJ366="",10&gt;設定!$B$3),"",IF(INDEX(原始資料!M$2:M$501,$BJ366)="","",INDEX(原始資料!M$2:M$501,$BJ366)))</f>
        <v/>
      </c>
      <c r="L366" s="6">
        <f>IF(OR($BJ366="",11&gt;設定!$B$3),"",IF(INDEX(原始資料!N$2:N$501,$BJ366)="","",INDEX(原始資料!N$2:N$501,$BJ366)))</f>
        <v/>
      </c>
      <c r="M366" s="6">
        <f>IF(OR($BJ366="",12&gt;設定!$B$3),"",IF(INDEX(原始資料!O$2:O$501,$BJ366)="","",INDEX(原始資料!O$2:O$501,$BJ366)))</f>
        <v/>
      </c>
      <c r="N366" s="6">
        <f>IF(OR($BJ366="",13&gt;設定!$B$3),"",IF(INDEX(原始資料!P$2:P$501,$BJ366)="","",INDEX(原始資料!P$2:P$501,$BJ366)))</f>
        <v/>
      </c>
      <c r="O366" s="6">
        <f>IF(OR($BJ366="",14&gt;設定!$B$3),"",IF(INDEX(原始資料!Q$2:Q$501,$BJ366)="","",INDEX(原始資料!Q$2:Q$501,$BJ366)))</f>
        <v/>
      </c>
      <c r="P366" s="6">
        <f>IF(OR($BJ366="",15&gt;設定!$B$3),"",IF(INDEX(原始資料!R$2:R$501,$BJ366)="","",INDEX(原始資料!R$2:R$501,$BJ366)))</f>
        <v/>
      </c>
      <c r="Q366" s="6">
        <f>IF(OR($BJ366="",16&gt;設定!$B$3),"",IF(INDEX(原始資料!S$2:S$501,$BJ366)="","",INDEX(原始資料!S$2:S$501,$BJ366)))</f>
        <v/>
      </c>
      <c r="R366" s="6">
        <f>IF(OR($BJ366="",17&gt;設定!$B$3),"",IF(INDEX(原始資料!T$2:T$501,$BJ366)="","",INDEX(原始資料!T$2:T$501,$BJ366)))</f>
        <v/>
      </c>
      <c r="S366" s="6">
        <f>IF(OR($BJ366="",18&gt;設定!$B$3),"",IF(INDEX(原始資料!U$2:U$501,$BJ366)="","",INDEX(原始資料!U$2:U$501,$BJ366)))</f>
        <v/>
      </c>
      <c r="T366" s="6">
        <f>IF(OR($BJ366="",19&gt;設定!$B$3),"",IF(INDEX(原始資料!V$2:V$501,$BJ366)="","",INDEX(原始資料!V$2:V$501,$BJ366)))</f>
        <v/>
      </c>
      <c r="U366" s="6">
        <f>IF(OR($BJ366="",20&gt;設定!$B$3),"",IF(INDEX(原始資料!W$2:W$501,$BJ366)="","",INDEX(原始資料!W$2:W$501,$BJ366)))</f>
        <v/>
      </c>
      <c r="V366" s="6">
        <f>IF(OR($BJ366="",21&gt;設定!$B$3),"",IF(INDEX(原始資料!X$2:X$501,$BJ366)="","",INDEX(原始資料!X$2:X$501,$BJ366)))</f>
        <v/>
      </c>
      <c r="W366" s="6">
        <f>IF(OR($BJ366="",22&gt;設定!$B$3),"",IF(INDEX(原始資料!Y$2:Y$501,$BJ366)="","",INDEX(原始資料!Y$2:Y$501,$BJ366)))</f>
        <v/>
      </c>
      <c r="X366" s="6">
        <f>IF(OR($BJ366="",23&gt;設定!$B$3),"",IF(INDEX(原始資料!Z$2:Z$501,$BJ366)="","",INDEX(原始資料!Z$2:Z$501,$BJ366)))</f>
        <v/>
      </c>
      <c r="Y366" s="6">
        <f>IF(OR($BJ366="",24&gt;設定!$B$3),"",IF(INDEX(原始資料!AA$2:AA$501,$BJ366)="","",INDEX(原始資料!AA$2:AA$501,$BJ366)))</f>
        <v/>
      </c>
      <c r="Z366" s="6">
        <f>IF(OR($BJ366="",25&gt;設定!$B$3),"",IF(INDEX(原始資料!AB$2:AB$501,$BJ366)="","",INDEX(原始資料!AB$2:AB$501,$BJ366)))</f>
        <v/>
      </c>
      <c r="AA366" s="6">
        <f>IF(OR($BJ366="",26&gt;設定!$B$3),"",IF(INDEX(原始資料!AC$2:AC$501,$BJ366)="","",INDEX(原始資料!AC$2:AC$501,$BJ366)))</f>
        <v/>
      </c>
      <c r="AB366" s="6">
        <f>IF(OR($BJ366="",27&gt;設定!$B$3),"",IF(INDEX(原始資料!AD$2:AD$501,$BJ366)="","",INDEX(原始資料!AD$2:AD$501,$BJ366)))</f>
        <v/>
      </c>
      <c r="AC366" s="6">
        <f>IF(OR($BJ366="",28&gt;設定!$B$3),"",IF(INDEX(原始資料!AE$2:AE$501,$BJ366)="","",INDEX(原始資料!AE$2:AE$501,$BJ366)))</f>
        <v/>
      </c>
      <c r="AD366" s="6">
        <f>IF(OR($BJ366="",29&gt;設定!$B$3),"",IF(INDEX(原始資料!AF$2:AF$501,$BJ366)="","",INDEX(原始資料!AF$2:AF$501,$BJ366)))</f>
        <v/>
      </c>
      <c r="AE366" s="6">
        <f>IF(OR($BJ366="",30&gt;設定!$B$3),"",IF(INDEX(原始資料!AG$2:AG$501,$BJ366)="","",INDEX(原始資料!AG$2:AG$501,$BJ366)))</f>
        <v/>
      </c>
      <c r="AF366" s="6">
        <f>IF(OR($BJ366="",31&gt;設定!$B$3),"",IF(INDEX(原始資料!AH$2:AH$501,$BJ366)="","",INDEX(原始資料!AH$2:AH$501,$BJ366)))</f>
        <v/>
      </c>
      <c r="AG366" s="6">
        <f>IF(OR($BJ366="",32&gt;設定!$B$3),"",IF(INDEX(原始資料!AI$2:AI$501,$BJ366)="","",INDEX(原始資料!AI$2:AI$501,$BJ366)))</f>
        <v/>
      </c>
      <c r="AH366" s="6">
        <f>IF(OR($BJ366="",33&gt;設定!$B$3),"",IF(INDEX(原始資料!AJ$2:AJ$501,$BJ366)="","",INDEX(原始資料!AJ$2:AJ$501,$BJ366)))</f>
        <v/>
      </c>
      <c r="AI366" s="6">
        <f>IF(OR($BJ366="",34&gt;設定!$B$3),"",IF(INDEX(原始資料!AK$2:AK$501,$BJ366)="","",INDEX(原始資料!AK$2:AK$501,$BJ366)))</f>
        <v/>
      </c>
      <c r="AJ366" s="6">
        <f>IF(OR($BJ366="",35&gt;設定!$B$3),"",IF(INDEX(原始資料!AL$2:AL$501,$BJ366)="","",INDEX(原始資料!AL$2:AL$501,$BJ366)))</f>
        <v/>
      </c>
      <c r="AK366" s="6">
        <f>IF(OR($BJ366="",36&gt;設定!$B$3),"",IF(INDEX(原始資料!AM$2:AM$501,$BJ366)="","",INDEX(原始資料!AM$2:AM$501,$BJ366)))</f>
        <v/>
      </c>
      <c r="AL366" s="6">
        <f>IF(OR($BJ366="",37&gt;設定!$B$3),"",IF(INDEX(原始資料!AN$2:AN$501,$BJ366)="","",INDEX(原始資料!AN$2:AN$501,$BJ366)))</f>
        <v/>
      </c>
      <c r="AM366" s="6">
        <f>IF(OR($BJ366="",38&gt;設定!$B$3),"",IF(INDEX(原始資料!AO$2:AO$501,$BJ366)="","",INDEX(原始資料!AO$2:AO$501,$BJ366)))</f>
        <v/>
      </c>
      <c r="AN366" s="6">
        <f>IF(OR($BJ366="",39&gt;設定!$B$3),"",IF(INDEX(原始資料!AP$2:AP$501,$BJ366)="","",INDEX(原始資料!AP$2:AP$501,$BJ366)))</f>
        <v/>
      </c>
      <c r="AO366" s="6">
        <f>IF(OR($BJ366="",40&gt;設定!$B$3),"",IF(INDEX(原始資料!AQ$2:AQ$501,$BJ366)="","",INDEX(原始資料!AQ$2:AQ$501,$BJ366)))</f>
        <v/>
      </c>
      <c r="AP366" s="6">
        <f>IF(OR($BJ366="",41&gt;設定!$B$3),"",IF(INDEX(原始資料!AR$2:AR$501,$BJ366)="","",INDEX(原始資料!AR$2:AR$501,$BJ366)))</f>
        <v/>
      </c>
      <c r="AQ366" s="6">
        <f>IF(OR($BJ366="",42&gt;設定!$B$3),"",IF(INDEX(原始資料!AS$2:AS$501,$BJ366)="","",INDEX(原始資料!AS$2:AS$501,$BJ366)))</f>
        <v/>
      </c>
      <c r="AR366" s="6">
        <f>IF(OR($BJ366="",43&gt;設定!$B$3),"",IF(INDEX(原始資料!AT$2:AT$501,$BJ366)="","",INDEX(原始資料!AT$2:AT$501,$BJ366)))</f>
        <v/>
      </c>
      <c r="AS366" s="6">
        <f>IF(OR($BJ366="",44&gt;設定!$B$3),"",IF(INDEX(原始資料!AU$2:AU$501,$BJ366)="","",INDEX(原始資料!AU$2:AU$501,$BJ366)))</f>
        <v/>
      </c>
      <c r="AT366" s="6">
        <f>IF(OR($BJ366="",45&gt;設定!$B$3),"",IF(INDEX(原始資料!AV$2:AV$501,$BJ366)="","",INDEX(原始資料!AV$2:AV$501,$BJ366)))</f>
        <v/>
      </c>
      <c r="AU366" s="6">
        <f>IF(OR($BJ366="",46&gt;設定!$B$3),"",IF(INDEX(原始資料!AW$2:AW$501,$BJ366)="","",INDEX(原始資料!AW$2:AW$501,$BJ366)))</f>
        <v/>
      </c>
      <c r="AV366" s="6">
        <f>IF(OR($BJ366="",47&gt;設定!$B$3),"",IF(INDEX(原始資料!AX$2:AX$501,$BJ366)="","",INDEX(原始資料!AX$2:AX$501,$BJ366)))</f>
        <v/>
      </c>
      <c r="AW366" s="6">
        <f>IF(OR($BJ366="",48&gt;設定!$B$3),"",IF(INDEX(原始資料!AY$2:AY$501,$BJ366)="","",INDEX(原始資料!AY$2:AY$501,$BJ366)))</f>
        <v/>
      </c>
      <c r="AX366" s="6">
        <f>IF(OR($BJ366="",49&gt;設定!$B$3),"",IF(INDEX(原始資料!AZ$2:AZ$501,$BJ366)="","",INDEX(原始資料!AZ$2:AZ$501,$BJ366)))</f>
        <v/>
      </c>
      <c r="AY366" s="6">
        <f>IF(OR($BJ366="",50&gt;設定!$B$3),"",IF(INDEX(原始資料!BA$2:BA$501,$BJ366)="","",INDEX(原始資料!BA$2:BA$501,$BJ366)))</f>
        <v/>
      </c>
      <c r="AZ366" s="6">
        <f>IF(OR($BJ366="",51&gt;設定!$B$3),"",IF(INDEX(原始資料!BB$2:BB$501,$BJ366)="","",INDEX(原始資料!BB$2:BB$501,$BJ366)))</f>
        <v/>
      </c>
      <c r="BA366" s="6">
        <f>IF(OR($BJ366="",52&gt;設定!$B$3),"",IF(INDEX(原始資料!BC$2:BC$501,$BJ366)="","",INDEX(原始資料!BC$2:BC$501,$BJ366)))</f>
        <v/>
      </c>
      <c r="BB366" s="6">
        <f>IF(OR($BJ366="",53&gt;設定!$B$3),"",IF(INDEX(原始資料!BD$2:BD$501,$BJ366)="","",INDEX(原始資料!BD$2:BD$501,$BJ366)))</f>
        <v/>
      </c>
      <c r="BC366" s="6">
        <f>IF(OR($BJ366="",54&gt;設定!$B$3),"",IF(INDEX(原始資料!BE$2:BE$501,$BJ366)="","",INDEX(原始資料!BE$2:BE$501,$BJ366)))</f>
        <v/>
      </c>
      <c r="BD366" s="6">
        <f>IF(OR($BJ366="",55&gt;設定!$B$3),"",IF(INDEX(原始資料!BF$2:BF$501,$BJ366)="","",INDEX(原始資料!BF$2:BF$501,$BJ366)))</f>
        <v/>
      </c>
      <c r="BE366" s="6">
        <f>IF(OR($BJ366="",56&gt;設定!$B$3),"",IF(INDEX(原始資料!BG$2:BG$501,$BJ366)="","",INDEX(原始資料!BG$2:BG$501,$BJ366)))</f>
        <v/>
      </c>
      <c r="BF366" s="6">
        <f>IF(OR($BJ366="",57&gt;設定!$B$3),"",IF(INDEX(原始資料!BH$2:BH$501,$BJ366)="","",INDEX(原始資料!BH$2:BH$501,$BJ366)))</f>
        <v/>
      </c>
      <c r="BG366" s="6">
        <f>IF(OR($BJ366="",58&gt;設定!$B$3),"",IF(INDEX(原始資料!BI$2:BI$501,$BJ366)="","",INDEX(原始資料!BI$2:BI$501,$BJ366)))</f>
        <v/>
      </c>
      <c r="BH366" s="6">
        <f>IF(OR($BJ366="",59&gt;設定!$B$3),"",IF(INDEX(原始資料!BJ$2:BJ$501,$BJ366)="","",INDEX(原始資料!BJ$2:BJ$501,$BJ366)))</f>
        <v/>
      </c>
      <c r="BI366" s="6">
        <f>IF(OR($BJ366="",60&gt;設定!$B$3),"",IF(INDEX(原始資料!BK$2:BK$501,$BJ366)="","",INDEX(原始資料!BK$2:BK$501,$BJ366)))</f>
        <v/>
      </c>
      <c r="BJ366" s="6">
        <f>IFERROR(MATCH(ROW()-1,判定!$H$2:$H$501,0),"")</f>
        <v/>
      </c>
    </row>
    <row r="367">
      <c r="A367" s="6">
        <f>IF($BJ367="","",INDEX(原始資料!$A$2:$A$501,$BJ367))</f>
        <v/>
      </c>
      <c r="B367" s="6">
        <f>IF(OR($BJ367="",1&gt;設定!$B$3),"",IF(INDEX(原始資料!D$2:D$501,$BJ367)="","",INDEX(原始資料!D$2:D$501,$BJ367)))</f>
        <v/>
      </c>
      <c r="C367" s="6">
        <f>IF(OR($BJ367="",2&gt;設定!$B$3),"",IF(INDEX(原始資料!E$2:E$501,$BJ367)="","",INDEX(原始資料!E$2:E$501,$BJ367)))</f>
        <v/>
      </c>
      <c r="D367" s="6">
        <f>IF(OR($BJ367="",3&gt;設定!$B$3),"",IF(INDEX(原始資料!F$2:F$501,$BJ367)="","",INDEX(原始資料!F$2:F$501,$BJ367)))</f>
        <v/>
      </c>
      <c r="E367" s="6">
        <f>IF(OR($BJ367="",4&gt;設定!$B$3),"",IF(INDEX(原始資料!G$2:G$501,$BJ367)="","",INDEX(原始資料!G$2:G$501,$BJ367)))</f>
        <v/>
      </c>
      <c r="F367" s="6">
        <f>IF(OR($BJ367="",5&gt;設定!$B$3),"",IF(INDEX(原始資料!H$2:H$501,$BJ367)="","",INDEX(原始資料!H$2:H$501,$BJ367)))</f>
        <v/>
      </c>
      <c r="G367" s="6">
        <f>IF(OR($BJ367="",6&gt;設定!$B$3),"",IF(INDEX(原始資料!I$2:I$501,$BJ367)="","",INDEX(原始資料!I$2:I$501,$BJ367)))</f>
        <v/>
      </c>
      <c r="H367" s="6">
        <f>IF(OR($BJ367="",7&gt;設定!$B$3),"",IF(INDEX(原始資料!J$2:J$501,$BJ367)="","",INDEX(原始資料!J$2:J$501,$BJ367)))</f>
        <v/>
      </c>
      <c r="I367" s="6">
        <f>IF(OR($BJ367="",8&gt;設定!$B$3),"",IF(INDEX(原始資料!K$2:K$501,$BJ367)="","",INDEX(原始資料!K$2:K$501,$BJ367)))</f>
        <v/>
      </c>
      <c r="J367" s="6">
        <f>IF(OR($BJ367="",9&gt;設定!$B$3),"",IF(INDEX(原始資料!L$2:L$501,$BJ367)="","",INDEX(原始資料!L$2:L$501,$BJ367)))</f>
        <v/>
      </c>
      <c r="K367" s="6">
        <f>IF(OR($BJ367="",10&gt;設定!$B$3),"",IF(INDEX(原始資料!M$2:M$501,$BJ367)="","",INDEX(原始資料!M$2:M$501,$BJ367)))</f>
        <v/>
      </c>
      <c r="L367" s="6">
        <f>IF(OR($BJ367="",11&gt;設定!$B$3),"",IF(INDEX(原始資料!N$2:N$501,$BJ367)="","",INDEX(原始資料!N$2:N$501,$BJ367)))</f>
        <v/>
      </c>
      <c r="M367" s="6">
        <f>IF(OR($BJ367="",12&gt;設定!$B$3),"",IF(INDEX(原始資料!O$2:O$501,$BJ367)="","",INDEX(原始資料!O$2:O$501,$BJ367)))</f>
        <v/>
      </c>
      <c r="N367" s="6">
        <f>IF(OR($BJ367="",13&gt;設定!$B$3),"",IF(INDEX(原始資料!P$2:P$501,$BJ367)="","",INDEX(原始資料!P$2:P$501,$BJ367)))</f>
        <v/>
      </c>
      <c r="O367" s="6">
        <f>IF(OR($BJ367="",14&gt;設定!$B$3),"",IF(INDEX(原始資料!Q$2:Q$501,$BJ367)="","",INDEX(原始資料!Q$2:Q$501,$BJ367)))</f>
        <v/>
      </c>
      <c r="P367" s="6">
        <f>IF(OR($BJ367="",15&gt;設定!$B$3),"",IF(INDEX(原始資料!R$2:R$501,$BJ367)="","",INDEX(原始資料!R$2:R$501,$BJ367)))</f>
        <v/>
      </c>
      <c r="Q367" s="6">
        <f>IF(OR($BJ367="",16&gt;設定!$B$3),"",IF(INDEX(原始資料!S$2:S$501,$BJ367)="","",INDEX(原始資料!S$2:S$501,$BJ367)))</f>
        <v/>
      </c>
      <c r="R367" s="6">
        <f>IF(OR($BJ367="",17&gt;設定!$B$3),"",IF(INDEX(原始資料!T$2:T$501,$BJ367)="","",INDEX(原始資料!T$2:T$501,$BJ367)))</f>
        <v/>
      </c>
      <c r="S367" s="6">
        <f>IF(OR($BJ367="",18&gt;設定!$B$3),"",IF(INDEX(原始資料!U$2:U$501,$BJ367)="","",INDEX(原始資料!U$2:U$501,$BJ367)))</f>
        <v/>
      </c>
      <c r="T367" s="6">
        <f>IF(OR($BJ367="",19&gt;設定!$B$3),"",IF(INDEX(原始資料!V$2:V$501,$BJ367)="","",INDEX(原始資料!V$2:V$501,$BJ367)))</f>
        <v/>
      </c>
      <c r="U367" s="6">
        <f>IF(OR($BJ367="",20&gt;設定!$B$3),"",IF(INDEX(原始資料!W$2:W$501,$BJ367)="","",INDEX(原始資料!W$2:W$501,$BJ367)))</f>
        <v/>
      </c>
      <c r="V367" s="6">
        <f>IF(OR($BJ367="",21&gt;設定!$B$3),"",IF(INDEX(原始資料!X$2:X$501,$BJ367)="","",INDEX(原始資料!X$2:X$501,$BJ367)))</f>
        <v/>
      </c>
      <c r="W367" s="6">
        <f>IF(OR($BJ367="",22&gt;設定!$B$3),"",IF(INDEX(原始資料!Y$2:Y$501,$BJ367)="","",INDEX(原始資料!Y$2:Y$501,$BJ367)))</f>
        <v/>
      </c>
      <c r="X367" s="6">
        <f>IF(OR($BJ367="",23&gt;設定!$B$3),"",IF(INDEX(原始資料!Z$2:Z$501,$BJ367)="","",INDEX(原始資料!Z$2:Z$501,$BJ367)))</f>
        <v/>
      </c>
      <c r="Y367" s="6">
        <f>IF(OR($BJ367="",24&gt;設定!$B$3),"",IF(INDEX(原始資料!AA$2:AA$501,$BJ367)="","",INDEX(原始資料!AA$2:AA$501,$BJ367)))</f>
        <v/>
      </c>
      <c r="Z367" s="6">
        <f>IF(OR($BJ367="",25&gt;設定!$B$3),"",IF(INDEX(原始資料!AB$2:AB$501,$BJ367)="","",INDEX(原始資料!AB$2:AB$501,$BJ367)))</f>
        <v/>
      </c>
      <c r="AA367" s="6">
        <f>IF(OR($BJ367="",26&gt;設定!$B$3),"",IF(INDEX(原始資料!AC$2:AC$501,$BJ367)="","",INDEX(原始資料!AC$2:AC$501,$BJ367)))</f>
        <v/>
      </c>
      <c r="AB367" s="6">
        <f>IF(OR($BJ367="",27&gt;設定!$B$3),"",IF(INDEX(原始資料!AD$2:AD$501,$BJ367)="","",INDEX(原始資料!AD$2:AD$501,$BJ367)))</f>
        <v/>
      </c>
      <c r="AC367" s="6">
        <f>IF(OR($BJ367="",28&gt;設定!$B$3),"",IF(INDEX(原始資料!AE$2:AE$501,$BJ367)="","",INDEX(原始資料!AE$2:AE$501,$BJ367)))</f>
        <v/>
      </c>
      <c r="AD367" s="6">
        <f>IF(OR($BJ367="",29&gt;設定!$B$3),"",IF(INDEX(原始資料!AF$2:AF$501,$BJ367)="","",INDEX(原始資料!AF$2:AF$501,$BJ367)))</f>
        <v/>
      </c>
      <c r="AE367" s="6">
        <f>IF(OR($BJ367="",30&gt;設定!$B$3),"",IF(INDEX(原始資料!AG$2:AG$501,$BJ367)="","",INDEX(原始資料!AG$2:AG$501,$BJ367)))</f>
        <v/>
      </c>
      <c r="AF367" s="6">
        <f>IF(OR($BJ367="",31&gt;設定!$B$3),"",IF(INDEX(原始資料!AH$2:AH$501,$BJ367)="","",INDEX(原始資料!AH$2:AH$501,$BJ367)))</f>
        <v/>
      </c>
      <c r="AG367" s="6">
        <f>IF(OR($BJ367="",32&gt;設定!$B$3),"",IF(INDEX(原始資料!AI$2:AI$501,$BJ367)="","",INDEX(原始資料!AI$2:AI$501,$BJ367)))</f>
        <v/>
      </c>
      <c r="AH367" s="6">
        <f>IF(OR($BJ367="",33&gt;設定!$B$3),"",IF(INDEX(原始資料!AJ$2:AJ$501,$BJ367)="","",INDEX(原始資料!AJ$2:AJ$501,$BJ367)))</f>
        <v/>
      </c>
      <c r="AI367" s="6">
        <f>IF(OR($BJ367="",34&gt;設定!$B$3),"",IF(INDEX(原始資料!AK$2:AK$501,$BJ367)="","",INDEX(原始資料!AK$2:AK$501,$BJ367)))</f>
        <v/>
      </c>
      <c r="AJ367" s="6">
        <f>IF(OR($BJ367="",35&gt;設定!$B$3),"",IF(INDEX(原始資料!AL$2:AL$501,$BJ367)="","",INDEX(原始資料!AL$2:AL$501,$BJ367)))</f>
        <v/>
      </c>
      <c r="AK367" s="6">
        <f>IF(OR($BJ367="",36&gt;設定!$B$3),"",IF(INDEX(原始資料!AM$2:AM$501,$BJ367)="","",INDEX(原始資料!AM$2:AM$501,$BJ367)))</f>
        <v/>
      </c>
      <c r="AL367" s="6">
        <f>IF(OR($BJ367="",37&gt;設定!$B$3),"",IF(INDEX(原始資料!AN$2:AN$501,$BJ367)="","",INDEX(原始資料!AN$2:AN$501,$BJ367)))</f>
        <v/>
      </c>
      <c r="AM367" s="6">
        <f>IF(OR($BJ367="",38&gt;設定!$B$3),"",IF(INDEX(原始資料!AO$2:AO$501,$BJ367)="","",INDEX(原始資料!AO$2:AO$501,$BJ367)))</f>
        <v/>
      </c>
      <c r="AN367" s="6">
        <f>IF(OR($BJ367="",39&gt;設定!$B$3),"",IF(INDEX(原始資料!AP$2:AP$501,$BJ367)="","",INDEX(原始資料!AP$2:AP$501,$BJ367)))</f>
        <v/>
      </c>
      <c r="AO367" s="6">
        <f>IF(OR($BJ367="",40&gt;設定!$B$3),"",IF(INDEX(原始資料!AQ$2:AQ$501,$BJ367)="","",INDEX(原始資料!AQ$2:AQ$501,$BJ367)))</f>
        <v/>
      </c>
      <c r="AP367" s="6">
        <f>IF(OR($BJ367="",41&gt;設定!$B$3),"",IF(INDEX(原始資料!AR$2:AR$501,$BJ367)="","",INDEX(原始資料!AR$2:AR$501,$BJ367)))</f>
        <v/>
      </c>
      <c r="AQ367" s="6">
        <f>IF(OR($BJ367="",42&gt;設定!$B$3),"",IF(INDEX(原始資料!AS$2:AS$501,$BJ367)="","",INDEX(原始資料!AS$2:AS$501,$BJ367)))</f>
        <v/>
      </c>
      <c r="AR367" s="6">
        <f>IF(OR($BJ367="",43&gt;設定!$B$3),"",IF(INDEX(原始資料!AT$2:AT$501,$BJ367)="","",INDEX(原始資料!AT$2:AT$501,$BJ367)))</f>
        <v/>
      </c>
      <c r="AS367" s="6">
        <f>IF(OR($BJ367="",44&gt;設定!$B$3),"",IF(INDEX(原始資料!AU$2:AU$501,$BJ367)="","",INDEX(原始資料!AU$2:AU$501,$BJ367)))</f>
        <v/>
      </c>
      <c r="AT367" s="6">
        <f>IF(OR($BJ367="",45&gt;設定!$B$3),"",IF(INDEX(原始資料!AV$2:AV$501,$BJ367)="","",INDEX(原始資料!AV$2:AV$501,$BJ367)))</f>
        <v/>
      </c>
      <c r="AU367" s="6">
        <f>IF(OR($BJ367="",46&gt;設定!$B$3),"",IF(INDEX(原始資料!AW$2:AW$501,$BJ367)="","",INDEX(原始資料!AW$2:AW$501,$BJ367)))</f>
        <v/>
      </c>
      <c r="AV367" s="6">
        <f>IF(OR($BJ367="",47&gt;設定!$B$3),"",IF(INDEX(原始資料!AX$2:AX$501,$BJ367)="","",INDEX(原始資料!AX$2:AX$501,$BJ367)))</f>
        <v/>
      </c>
      <c r="AW367" s="6">
        <f>IF(OR($BJ367="",48&gt;設定!$B$3),"",IF(INDEX(原始資料!AY$2:AY$501,$BJ367)="","",INDEX(原始資料!AY$2:AY$501,$BJ367)))</f>
        <v/>
      </c>
      <c r="AX367" s="6">
        <f>IF(OR($BJ367="",49&gt;設定!$B$3),"",IF(INDEX(原始資料!AZ$2:AZ$501,$BJ367)="","",INDEX(原始資料!AZ$2:AZ$501,$BJ367)))</f>
        <v/>
      </c>
      <c r="AY367" s="6">
        <f>IF(OR($BJ367="",50&gt;設定!$B$3),"",IF(INDEX(原始資料!BA$2:BA$501,$BJ367)="","",INDEX(原始資料!BA$2:BA$501,$BJ367)))</f>
        <v/>
      </c>
      <c r="AZ367" s="6">
        <f>IF(OR($BJ367="",51&gt;設定!$B$3),"",IF(INDEX(原始資料!BB$2:BB$501,$BJ367)="","",INDEX(原始資料!BB$2:BB$501,$BJ367)))</f>
        <v/>
      </c>
      <c r="BA367" s="6">
        <f>IF(OR($BJ367="",52&gt;設定!$B$3),"",IF(INDEX(原始資料!BC$2:BC$501,$BJ367)="","",INDEX(原始資料!BC$2:BC$501,$BJ367)))</f>
        <v/>
      </c>
      <c r="BB367" s="6">
        <f>IF(OR($BJ367="",53&gt;設定!$B$3),"",IF(INDEX(原始資料!BD$2:BD$501,$BJ367)="","",INDEX(原始資料!BD$2:BD$501,$BJ367)))</f>
        <v/>
      </c>
      <c r="BC367" s="6">
        <f>IF(OR($BJ367="",54&gt;設定!$B$3),"",IF(INDEX(原始資料!BE$2:BE$501,$BJ367)="","",INDEX(原始資料!BE$2:BE$501,$BJ367)))</f>
        <v/>
      </c>
      <c r="BD367" s="6">
        <f>IF(OR($BJ367="",55&gt;設定!$B$3),"",IF(INDEX(原始資料!BF$2:BF$501,$BJ367)="","",INDEX(原始資料!BF$2:BF$501,$BJ367)))</f>
        <v/>
      </c>
      <c r="BE367" s="6">
        <f>IF(OR($BJ367="",56&gt;設定!$B$3),"",IF(INDEX(原始資料!BG$2:BG$501,$BJ367)="","",INDEX(原始資料!BG$2:BG$501,$BJ367)))</f>
        <v/>
      </c>
      <c r="BF367" s="6">
        <f>IF(OR($BJ367="",57&gt;設定!$B$3),"",IF(INDEX(原始資料!BH$2:BH$501,$BJ367)="","",INDEX(原始資料!BH$2:BH$501,$BJ367)))</f>
        <v/>
      </c>
      <c r="BG367" s="6">
        <f>IF(OR($BJ367="",58&gt;設定!$B$3),"",IF(INDEX(原始資料!BI$2:BI$501,$BJ367)="","",INDEX(原始資料!BI$2:BI$501,$BJ367)))</f>
        <v/>
      </c>
      <c r="BH367" s="6">
        <f>IF(OR($BJ367="",59&gt;設定!$B$3),"",IF(INDEX(原始資料!BJ$2:BJ$501,$BJ367)="","",INDEX(原始資料!BJ$2:BJ$501,$BJ367)))</f>
        <v/>
      </c>
      <c r="BI367" s="6">
        <f>IF(OR($BJ367="",60&gt;設定!$B$3),"",IF(INDEX(原始資料!BK$2:BK$501,$BJ367)="","",INDEX(原始資料!BK$2:BK$501,$BJ367)))</f>
        <v/>
      </c>
      <c r="BJ367" s="6">
        <f>IFERROR(MATCH(ROW()-1,判定!$H$2:$H$501,0),"")</f>
        <v/>
      </c>
    </row>
    <row r="368">
      <c r="A368" s="6">
        <f>IF($BJ368="","",INDEX(原始資料!$A$2:$A$501,$BJ368))</f>
        <v/>
      </c>
      <c r="B368" s="6">
        <f>IF(OR($BJ368="",1&gt;設定!$B$3),"",IF(INDEX(原始資料!D$2:D$501,$BJ368)="","",INDEX(原始資料!D$2:D$501,$BJ368)))</f>
        <v/>
      </c>
      <c r="C368" s="6">
        <f>IF(OR($BJ368="",2&gt;設定!$B$3),"",IF(INDEX(原始資料!E$2:E$501,$BJ368)="","",INDEX(原始資料!E$2:E$501,$BJ368)))</f>
        <v/>
      </c>
      <c r="D368" s="6">
        <f>IF(OR($BJ368="",3&gt;設定!$B$3),"",IF(INDEX(原始資料!F$2:F$501,$BJ368)="","",INDEX(原始資料!F$2:F$501,$BJ368)))</f>
        <v/>
      </c>
      <c r="E368" s="6">
        <f>IF(OR($BJ368="",4&gt;設定!$B$3),"",IF(INDEX(原始資料!G$2:G$501,$BJ368)="","",INDEX(原始資料!G$2:G$501,$BJ368)))</f>
        <v/>
      </c>
      <c r="F368" s="6">
        <f>IF(OR($BJ368="",5&gt;設定!$B$3),"",IF(INDEX(原始資料!H$2:H$501,$BJ368)="","",INDEX(原始資料!H$2:H$501,$BJ368)))</f>
        <v/>
      </c>
      <c r="G368" s="6">
        <f>IF(OR($BJ368="",6&gt;設定!$B$3),"",IF(INDEX(原始資料!I$2:I$501,$BJ368)="","",INDEX(原始資料!I$2:I$501,$BJ368)))</f>
        <v/>
      </c>
      <c r="H368" s="6">
        <f>IF(OR($BJ368="",7&gt;設定!$B$3),"",IF(INDEX(原始資料!J$2:J$501,$BJ368)="","",INDEX(原始資料!J$2:J$501,$BJ368)))</f>
        <v/>
      </c>
      <c r="I368" s="6">
        <f>IF(OR($BJ368="",8&gt;設定!$B$3),"",IF(INDEX(原始資料!K$2:K$501,$BJ368)="","",INDEX(原始資料!K$2:K$501,$BJ368)))</f>
        <v/>
      </c>
      <c r="J368" s="6">
        <f>IF(OR($BJ368="",9&gt;設定!$B$3),"",IF(INDEX(原始資料!L$2:L$501,$BJ368)="","",INDEX(原始資料!L$2:L$501,$BJ368)))</f>
        <v/>
      </c>
      <c r="K368" s="6">
        <f>IF(OR($BJ368="",10&gt;設定!$B$3),"",IF(INDEX(原始資料!M$2:M$501,$BJ368)="","",INDEX(原始資料!M$2:M$501,$BJ368)))</f>
        <v/>
      </c>
      <c r="L368" s="6">
        <f>IF(OR($BJ368="",11&gt;設定!$B$3),"",IF(INDEX(原始資料!N$2:N$501,$BJ368)="","",INDEX(原始資料!N$2:N$501,$BJ368)))</f>
        <v/>
      </c>
      <c r="M368" s="6">
        <f>IF(OR($BJ368="",12&gt;設定!$B$3),"",IF(INDEX(原始資料!O$2:O$501,$BJ368)="","",INDEX(原始資料!O$2:O$501,$BJ368)))</f>
        <v/>
      </c>
      <c r="N368" s="6">
        <f>IF(OR($BJ368="",13&gt;設定!$B$3),"",IF(INDEX(原始資料!P$2:P$501,$BJ368)="","",INDEX(原始資料!P$2:P$501,$BJ368)))</f>
        <v/>
      </c>
      <c r="O368" s="6">
        <f>IF(OR($BJ368="",14&gt;設定!$B$3),"",IF(INDEX(原始資料!Q$2:Q$501,$BJ368)="","",INDEX(原始資料!Q$2:Q$501,$BJ368)))</f>
        <v/>
      </c>
      <c r="P368" s="6">
        <f>IF(OR($BJ368="",15&gt;設定!$B$3),"",IF(INDEX(原始資料!R$2:R$501,$BJ368)="","",INDEX(原始資料!R$2:R$501,$BJ368)))</f>
        <v/>
      </c>
      <c r="Q368" s="6">
        <f>IF(OR($BJ368="",16&gt;設定!$B$3),"",IF(INDEX(原始資料!S$2:S$501,$BJ368)="","",INDEX(原始資料!S$2:S$501,$BJ368)))</f>
        <v/>
      </c>
      <c r="R368" s="6">
        <f>IF(OR($BJ368="",17&gt;設定!$B$3),"",IF(INDEX(原始資料!T$2:T$501,$BJ368)="","",INDEX(原始資料!T$2:T$501,$BJ368)))</f>
        <v/>
      </c>
      <c r="S368" s="6">
        <f>IF(OR($BJ368="",18&gt;設定!$B$3),"",IF(INDEX(原始資料!U$2:U$501,$BJ368)="","",INDEX(原始資料!U$2:U$501,$BJ368)))</f>
        <v/>
      </c>
      <c r="T368" s="6">
        <f>IF(OR($BJ368="",19&gt;設定!$B$3),"",IF(INDEX(原始資料!V$2:V$501,$BJ368)="","",INDEX(原始資料!V$2:V$501,$BJ368)))</f>
        <v/>
      </c>
      <c r="U368" s="6">
        <f>IF(OR($BJ368="",20&gt;設定!$B$3),"",IF(INDEX(原始資料!W$2:W$501,$BJ368)="","",INDEX(原始資料!W$2:W$501,$BJ368)))</f>
        <v/>
      </c>
      <c r="V368" s="6">
        <f>IF(OR($BJ368="",21&gt;設定!$B$3),"",IF(INDEX(原始資料!X$2:X$501,$BJ368)="","",INDEX(原始資料!X$2:X$501,$BJ368)))</f>
        <v/>
      </c>
      <c r="W368" s="6">
        <f>IF(OR($BJ368="",22&gt;設定!$B$3),"",IF(INDEX(原始資料!Y$2:Y$501,$BJ368)="","",INDEX(原始資料!Y$2:Y$501,$BJ368)))</f>
        <v/>
      </c>
      <c r="X368" s="6">
        <f>IF(OR($BJ368="",23&gt;設定!$B$3),"",IF(INDEX(原始資料!Z$2:Z$501,$BJ368)="","",INDEX(原始資料!Z$2:Z$501,$BJ368)))</f>
        <v/>
      </c>
      <c r="Y368" s="6">
        <f>IF(OR($BJ368="",24&gt;設定!$B$3),"",IF(INDEX(原始資料!AA$2:AA$501,$BJ368)="","",INDEX(原始資料!AA$2:AA$501,$BJ368)))</f>
        <v/>
      </c>
      <c r="Z368" s="6">
        <f>IF(OR($BJ368="",25&gt;設定!$B$3),"",IF(INDEX(原始資料!AB$2:AB$501,$BJ368)="","",INDEX(原始資料!AB$2:AB$501,$BJ368)))</f>
        <v/>
      </c>
      <c r="AA368" s="6">
        <f>IF(OR($BJ368="",26&gt;設定!$B$3),"",IF(INDEX(原始資料!AC$2:AC$501,$BJ368)="","",INDEX(原始資料!AC$2:AC$501,$BJ368)))</f>
        <v/>
      </c>
      <c r="AB368" s="6">
        <f>IF(OR($BJ368="",27&gt;設定!$B$3),"",IF(INDEX(原始資料!AD$2:AD$501,$BJ368)="","",INDEX(原始資料!AD$2:AD$501,$BJ368)))</f>
        <v/>
      </c>
      <c r="AC368" s="6">
        <f>IF(OR($BJ368="",28&gt;設定!$B$3),"",IF(INDEX(原始資料!AE$2:AE$501,$BJ368)="","",INDEX(原始資料!AE$2:AE$501,$BJ368)))</f>
        <v/>
      </c>
      <c r="AD368" s="6">
        <f>IF(OR($BJ368="",29&gt;設定!$B$3),"",IF(INDEX(原始資料!AF$2:AF$501,$BJ368)="","",INDEX(原始資料!AF$2:AF$501,$BJ368)))</f>
        <v/>
      </c>
      <c r="AE368" s="6">
        <f>IF(OR($BJ368="",30&gt;設定!$B$3),"",IF(INDEX(原始資料!AG$2:AG$501,$BJ368)="","",INDEX(原始資料!AG$2:AG$501,$BJ368)))</f>
        <v/>
      </c>
      <c r="AF368" s="6">
        <f>IF(OR($BJ368="",31&gt;設定!$B$3),"",IF(INDEX(原始資料!AH$2:AH$501,$BJ368)="","",INDEX(原始資料!AH$2:AH$501,$BJ368)))</f>
        <v/>
      </c>
      <c r="AG368" s="6">
        <f>IF(OR($BJ368="",32&gt;設定!$B$3),"",IF(INDEX(原始資料!AI$2:AI$501,$BJ368)="","",INDEX(原始資料!AI$2:AI$501,$BJ368)))</f>
        <v/>
      </c>
      <c r="AH368" s="6">
        <f>IF(OR($BJ368="",33&gt;設定!$B$3),"",IF(INDEX(原始資料!AJ$2:AJ$501,$BJ368)="","",INDEX(原始資料!AJ$2:AJ$501,$BJ368)))</f>
        <v/>
      </c>
      <c r="AI368" s="6">
        <f>IF(OR($BJ368="",34&gt;設定!$B$3),"",IF(INDEX(原始資料!AK$2:AK$501,$BJ368)="","",INDEX(原始資料!AK$2:AK$501,$BJ368)))</f>
        <v/>
      </c>
      <c r="AJ368" s="6">
        <f>IF(OR($BJ368="",35&gt;設定!$B$3),"",IF(INDEX(原始資料!AL$2:AL$501,$BJ368)="","",INDEX(原始資料!AL$2:AL$501,$BJ368)))</f>
        <v/>
      </c>
      <c r="AK368" s="6">
        <f>IF(OR($BJ368="",36&gt;設定!$B$3),"",IF(INDEX(原始資料!AM$2:AM$501,$BJ368)="","",INDEX(原始資料!AM$2:AM$501,$BJ368)))</f>
        <v/>
      </c>
      <c r="AL368" s="6">
        <f>IF(OR($BJ368="",37&gt;設定!$B$3),"",IF(INDEX(原始資料!AN$2:AN$501,$BJ368)="","",INDEX(原始資料!AN$2:AN$501,$BJ368)))</f>
        <v/>
      </c>
      <c r="AM368" s="6">
        <f>IF(OR($BJ368="",38&gt;設定!$B$3),"",IF(INDEX(原始資料!AO$2:AO$501,$BJ368)="","",INDEX(原始資料!AO$2:AO$501,$BJ368)))</f>
        <v/>
      </c>
      <c r="AN368" s="6">
        <f>IF(OR($BJ368="",39&gt;設定!$B$3),"",IF(INDEX(原始資料!AP$2:AP$501,$BJ368)="","",INDEX(原始資料!AP$2:AP$501,$BJ368)))</f>
        <v/>
      </c>
      <c r="AO368" s="6">
        <f>IF(OR($BJ368="",40&gt;設定!$B$3),"",IF(INDEX(原始資料!AQ$2:AQ$501,$BJ368)="","",INDEX(原始資料!AQ$2:AQ$501,$BJ368)))</f>
        <v/>
      </c>
      <c r="AP368" s="6">
        <f>IF(OR($BJ368="",41&gt;設定!$B$3),"",IF(INDEX(原始資料!AR$2:AR$501,$BJ368)="","",INDEX(原始資料!AR$2:AR$501,$BJ368)))</f>
        <v/>
      </c>
      <c r="AQ368" s="6">
        <f>IF(OR($BJ368="",42&gt;設定!$B$3),"",IF(INDEX(原始資料!AS$2:AS$501,$BJ368)="","",INDEX(原始資料!AS$2:AS$501,$BJ368)))</f>
        <v/>
      </c>
      <c r="AR368" s="6">
        <f>IF(OR($BJ368="",43&gt;設定!$B$3),"",IF(INDEX(原始資料!AT$2:AT$501,$BJ368)="","",INDEX(原始資料!AT$2:AT$501,$BJ368)))</f>
        <v/>
      </c>
      <c r="AS368" s="6">
        <f>IF(OR($BJ368="",44&gt;設定!$B$3),"",IF(INDEX(原始資料!AU$2:AU$501,$BJ368)="","",INDEX(原始資料!AU$2:AU$501,$BJ368)))</f>
        <v/>
      </c>
      <c r="AT368" s="6">
        <f>IF(OR($BJ368="",45&gt;設定!$B$3),"",IF(INDEX(原始資料!AV$2:AV$501,$BJ368)="","",INDEX(原始資料!AV$2:AV$501,$BJ368)))</f>
        <v/>
      </c>
      <c r="AU368" s="6">
        <f>IF(OR($BJ368="",46&gt;設定!$B$3),"",IF(INDEX(原始資料!AW$2:AW$501,$BJ368)="","",INDEX(原始資料!AW$2:AW$501,$BJ368)))</f>
        <v/>
      </c>
      <c r="AV368" s="6">
        <f>IF(OR($BJ368="",47&gt;設定!$B$3),"",IF(INDEX(原始資料!AX$2:AX$501,$BJ368)="","",INDEX(原始資料!AX$2:AX$501,$BJ368)))</f>
        <v/>
      </c>
      <c r="AW368" s="6">
        <f>IF(OR($BJ368="",48&gt;設定!$B$3),"",IF(INDEX(原始資料!AY$2:AY$501,$BJ368)="","",INDEX(原始資料!AY$2:AY$501,$BJ368)))</f>
        <v/>
      </c>
      <c r="AX368" s="6">
        <f>IF(OR($BJ368="",49&gt;設定!$B$3),"",IF(INDEX(原始資料!AZ$2:AZ$501,$BJ368)="","",INDEX(原始資料!AZ$2:AZ$501,$BJ368)))</f>
        <v/>
      </c>
      <c r="AY368" s="6">
        <f>IF(OR($BJ368="",50&gt;設定!$B$3),"",IF(INDEX(原始資料!BA$2:BA$501,$BJ368)="","",INDEX(原始資料!BA$2:BA$501,$BJ368)))</f>
        <v/>
      </c>
      <c r="AZ368" s="6">
        <f>IF(OR($BJ368="",51&gt;設定!$B$3),"",IF(INDEX(原始資料!BB$2:BB$501,$BJ368)="","",INDEX(原始資料!BB$2:BB$501,$BJ368)))</f>
        <v/>
      </c>
      <c r="BA368" s="6">
        <f>IF(OR($BJ368="",52&gt;設定!$B$3),"",IF(INDEX(原始資料!BC$2:BC$501,$BJ368)="","",INDEX(原始資料!BC$2:BC$501,$BJ368)))</f>
        <v/>
      </c>
      <c r="BB368" s="6">
        <f>IF(OR($BJ368="",53&gt;設定!$B$3),"",IF(INDEX(原始資料!BD$2:BD$501,$BJ368)="","",INDEX(原始資料!BD$2:BD$501,$BJ368)))</f>
        <v/>
      </c>
      <c r="BC368" s="6">
        <f>IF(OR($BJ368="",54&gt;設定!$B$3),"",IF(INDEX(原始資料!BE$2:BE$501,$BJ368)="","",INDEX(原始資料!BE$2:BE$501,$BJ368)))</f>
        <v/>
      </c>
      <c r="BD368" s="6">
        <f>IF(OR($BJ368="",55&gt;設定!$B$3),"",IF(INDEX(原始資料!BF$2:BF$501,$BJ368)="","",INDEX(原始資料!BF$2:BF$501,$BJ368)))</f>
        <v/>
      </c>
      <c r="BE368" s="6">
        <f>IF(OR($BJ368="",56&gt;設定!$B$3),"",IF(INDEX(原始資料!BG$2:BG$501,$BJ368)="","",INDEX(原始資料!BG$2:BG$501,$BJ368)))</f>
        <v/>
      </c>
      <c r="BF368" s="6">
        <f>IF(OR($BJ368="",57&gt;設定!$B$3),"",IF(INDEX(原始資料!BH$2:BH$501,$BJ368)="","",INDEX(原始資料!BH$2:BH$501,$BJ368)))</f>
        <v/>
      </c>
      <c r="BG368" s="6">
        <f>IF(OR($BJ368="",58&gt;設定!$B$3),"",IF(INDEX(原始資料!BI$2:BI$501,$BJ368)="","",INDEX(原始資料!BI$2:BI$501,$BJ368)))</f>
        <v/>
      </c>
      <c r="BH368" s="6">
        <f>IF(OR($BJ368="",59&gt;設定!$B$3),"",IF(INDEX(原始資料!BJ$2:BJ$501,$BJ368)="","",INDEX(原始資料!BJ$2:BJ$501,$BJ368)))</f>
        <v/>
      </c>
      <c r="BI368" s="6">
        <f>IF(OR($BJ368="",60&gt;設定!$B$3),"",IF(INDEX(原始資料!BK$2:BK$501,$BJ368)="","",INDEX(原始資料!BK$2:BK$501,$BJ368)))</f>
        <v/>
      </c>
      <c r="BJ368" s="6">
        <f>IFERROR(MATCH(ROW()-1,判定!$H$2:$H$501,0),"")</f>
        <v/>
      </c>
    </row>
    <row r="369">
      <c r="A369" s="6">
        <f>IF($BJ369="","",INDEX(原始資料!$A$2:$A$501,$BJ369))</f>
        <v/>
      </c>
      <c r="B369" s="6">
        <f>IF(OR($BJ369="",1&gt;設定!$B$3),"",IF(INDEX(原始資料!D$2:D$501,$BJ369)="","",INDEX(原始資料!D$2:D$501,$BJ369)))</f>
        <v/>
      </c>
      <c r="C369" s="6">
        <f>IF(OR($BJ369="",2&gt;設定!$B$3),"",IF(INDEX(原始資料!E$2:E$501,$BJ369)="","",INDEX(原始資料!E$2:E$501,$BJ369)))</f>
        <v/>
      </c>
      <c r="D369" s="6">
        <f>IF(OR($BJ369="",3&gt;設定!$B$3),"",IF(INDEX(原始資料!F$2:F$501,$BJ369)="","",INDEX(原始資料!F$2:F$501,$BJ369)))</f>
        <v/>
      </c>
      <c r="E369" s="6">
        <f>IF(OR($BJ369="",4&gt;設定!$B$3),"",IF(INDEX(原始資料!G$2:G$501,$BJ369)="","",INDEX(原始資料!G$2:G$501,$BJ369)))</f>
        <v/>
      </c>
      <c r="F369" s="6">
        <f>IF(OR($BJ369="",5&gt;設定!$B$3),"",IF(INDEX(原始資料!H$2:H$501,$BJ369)="","",INDEX(原始資料!H$2:H$501,$BJ369)))</f>
        <v/>
      </c>
      <c r="G369" s="6">
        <f>IF(OR($BJ369="",6&gt;設定!$B$3),"",IF(INDEX(原始資料!I$2:I$501,$BJ369)="","",INDEX(原始資料!I$2:I$501,$BJ369)))</f>
        <v/>
      </c>
      <c r="H369" s="6">
        <f>IF(OR($BJ369="",7&gt;設定!$B$3),"",IF(INDEX(原始資料!J$2:J$501,$BJ369)="","",INDEX(原始資料!J$2:J$501,$BJ369)))</f>
        <v/>
      </c>
      <c r="I369" s="6">
        <f>IF(OR($BJ369="",8&gt;設定!$B$3),"",IF(INDEX(原始資料!K$2:K$501,$BJ369)="","",INDEX(原始資料!K$2:K$501,$BJ369)))</f>
        <v/>
      </c>
      <c r="J369" s="6">
        <f>IF(OR($BJ369="",9&gt;設定!$B$3),"",IF(INDEX(原始資料!L$2:L$501,$BJ369)="","",INDEX(原始資料!L$2:L$501,$BJ369)))</f>
        <v/>
      </c>
      <c r="K369" s="6">
        <f>IF(OR($BJ369="",10&gt;設定!$B$3),"",IF(INDEX(原始資料!M$2:M$501,$BJ369)="","",INDEX(原始資料!M$2:M$501,$BJ369)))</f>
        <v/>
      </c>
      <c r="L369" s="6">
        <f>IF(OR($BJ369="",11&gt;設定!$B$3),"",IF(INDEX(原始資料!N$2:N$501,$BJ369)="","",INDEX(原始資料!N$2:N$501,$BJ369)))</f>
        <v/>
      </c>
      <c r="M369" s="6">
        <f>IF(OR($BJ369="",12&gt;設定!$B$3),"",IF(INDEX(原始資料!O$2:O$501,$BJ369)="","",INDEX(原始資料!O$2:O$501,$BJ369)))</f>
        <v/>
      </c>
      <c r="N369" s="6">
        <f>IF(OR($BJ369="",13&gt;設定!$B$3),"",IF(INDEX(原始資料!P$2:P$501,$BJ369)="","",INDEX(原始資料!P$2:P$501,$BJ369)))</f>
        <v/>
      </c>
      <c r="O369" s="6">
        <f>IF(OR($BJ369="",14&gt;設定!$B$3),"",IF(INDEX(原始資料!Q$2:Q$501,$BJ369)="","",INDEX(原始資料!Q$2:Q$501,$BJ369)))</f>
        <v/>
      </c>
      <c r="P369" s="6">
        <f>IF(OR($BJ369="",15&gt;設定!$B$3),"",IF(INDEX(原始資料!R$2:R$501,$BJ369)="","",INDEX(原始資料!R$2:R$501,$BJ369)))</f>
        <v/>
      </c>
      <c r="Q369" s="6">
        <f>IF(OR($BJ369="",16&gt;設定!$B$3),"",IF(INDEX(原始資料!S$2:S$501,$BJ369)="","",INDEX(原始資料!S$2:S$501,$BJ369)))</f>
        <v/>
      </c>
      <c r="R369" s="6">
        <f>IF(OR($BJ369="",17&gt;設定!$B$3),"",IF(INDEX(原始資料!T$2:T$501,$BJ369)="","",INDEX(原始資料!T$2:T$501,$BJ369)))</f>
        <v/>
      </c>
      <c r="S369" s="6">
        <f>IF(OR($BJ369="",18&gt;設定!$B$3),"",IF(INDEX(原始資料!U$2:U$501,$BJ369)="","",INDEX(原始資料!U$2:U$501,$BJ369)))</f>
        <v/>
      </c>
      <c r="T369" s="6">
        <f>IF(OR($BJ369="",19&gt;設定!$B$3),"",IF(INDEX(原始資料!V$2:V$501,$BJ369)="","",INDEX(原始資料!V$2:V$501,$BJ369)))</f>
        <v/>
      </c>
      <c r="U369" s="6">
        <f>IF(OR($BJ369="",20&gt;設定!$B$3),"",IF(INDEX(原始資料!W$2:W$501,$BJ369)="","",INDEX(原始資料!W$2:W$501,$BJ369)))</f>
        <v/>
      </c>
      <c r="V369" s="6">
        <f>IF(OR($BJ369="",21&gt;設定!$B$3),"",IF(INDEX(原始資料!X$2:X$501,$BJ369)="","",INDEX(原始資料!X$2:X$501,$BJ369)))</f>
        <v/>
      </c>
      <c r="W369" s="6">
        <f>IF(OR($BJ369="",22&gt;設定!$B$3),"",IF(INDEX(原始資料!Y$2:Y$501,$BJ369)="","",INDEX(原始資料!Y$2:Y$501,$BJ369)))</f>
        <v/>
      </c>
      <c r="X369" s="6">
        <f>IF(OR($BJ369="",23&gt;設定!$B$3),"",IF(INDEX(原始資料!Z$2:Z$501,$BJ369)="","",INDEX(原始資料!Z$2:Z$501,$BJ369)))</f>
        <v/>
      </c>
      <c r="Y369" s="6">
        <f>IF(OR($BJ369="",24&gt;設定!$B$3),"",IF(INDEX(原始資料!AA$2:AA$501,$BJ369)="","",INDEX(原始資料!AA$2:AA$501,$BJ369)))</f>
        <v/>
      </c>
      <c r="Z369" s="6">
        <f>IF(OR($BJ369="",25&gt;設定!$B$3),"",IF(INDEX(原始資料!AB$2:AB$501,$BJ369)="","",INDEX(原始資料!AB$2:AB$501,$BJ369)))</f>
        <v/>
      </c>
      <c r="AA369" s="6">
        <f>IF(OR($BJ369="",26&gt;設定!$B$3),"",IF(INDEX(原始資料!AC$2:AC$501,$BJ369)="","",INDEX(原始資料!AC$2:AC$501,$BJ369)))</f>
        <v/>
      </c>
      <c r="AB369" s="6">
        <f>IF(OR($BJ369="",27&gt;設定!$B$3),"",IF(INDEX(原始資料!AD$2:AD$501,$BJ369)="","",INDEX(原始資料!AD$2:AD$501,$BJ369)))</f>
        <v/>
      </c>
      <c r="AC369" s="6">
        <f>IF(OR($BJ369="",28&gt;設定!$B$3),"",IF(INDEX(原始資料!AE$2:AE$501,$BJ369)="","",INDEX(原始資料!AE$2:AE$501,$BJ369)))</f>
        <v/>
      </c>
      <c r="AD369" s="6">
        <f>IF(OR($BJ369="",29&gt;設定!$B$3),"",IF(INDEX(原始資料!AF$2:AF$501,$BJ369)="","",INDEX(原始資料!AF$2:AF$501,$BJ369)))</f>
        <v/>
      </c>
      <c r="AE369" s="6">
        <f>IF(OR($BJ369="",30&gt;設定!$B$3),"",IF(INDEX(原始資料!AG$2:AG$501,$BJ369)="","",INDEX(原始資料!AG$2:AG$501,$BJ369)))</f>
        <v/>
      </c>
      <c r="AF369" s="6">
        <f>IF(OR($BJ369="",31&gt;設定!$B$3),"",IF(INDEX(原始資料!AH$2:AH$501,$BJ369)="","",INDEX(原始資料!AH$2:AH$501,$BJ369)))</f>
        <v/>
      </c>
      <c r="AG369" s="6">
        <f>IF(OR($BJ369="",32&gt;設定!$B$3),"",IF(INDEX(原始資料!AI$2:AI$501,$BJ369)="","",INDEX(原始資料!AI$2:AI$501,$BJ369)))</f>
        <v/>
      </c>
      <c r="AH369" s="6">
        <f>IF(OR($BJ369="",33&gt;設定!$B$3),"",IF(INDEX(原始資料!AJ$2:AJ$501,$BJ369)="","",INDEX(原始資料!AJ$2:AJ$501,$BJ369)))</f>
        <v/>
      </c>
      <c r="AI369" s="6">
        <f>IF(OR($BJ369="",34&gt;設定!$B$3),"",IF(INDEX(原始資料!AK$2:AK$501,$BJ369)="","",INDEX(原始資料!AK$2:AK$501,$BJ369)))</f>
        <v/>
      </c>
      <c r="AJ369" s="6">
        <f>IF(OR($BJ369="",35&gt;設定!$B$3),"",IF(INDEX(原始資料!AL$2:AL$501,$BJ369)="","",INDEX(原始資料!AL$2:AL$501,$BJ369)))</f>
        <v/>
      </c>
      <c r="AK369" s="6">
        <f>IF(OR($BJ369="",36&gt;設定!$B$3),"",IF(INDEX(原始資料!AM$2:AM$501,$BJ369)="","",INDEX(原始資料!AM$2:AM$501,$BJ369)))</f>
        <v/>
      </c>
      <c r="AL369" s="6">
        <f>IF(OR($BJ369="",37&gt;設定!$B$3),"",IF(INDEX(原始資料!AN$2:AN$501,$BJ369)="","",INDEX(原始資料!AN$2:AN$501,$BJ369)))</f>
        <v/>
      </c>
      <c r="AM369" s="6">
        <f>IF(OR($BJ369="",38&gt;設定!$B$3),"",IF(INDEX(原始資料!AO$2:AO$501,$BJ369)="","",INDEX(原始資料!AO$2:AO$501,$BJ369)))</f>
        <v/>
      </c>
      <c r="AN369" s="6">
        <f>IF(OR($BJ369="",39&gt;設定!$B$3),"",IF(INDEX(原始資料!AP$2:AP$501,$BJ369)="","",INDEX(原始資料!AP$2:AP$501,$BJ369)))</f>
        <v/>
      </c>
      <c r="AO369" s="6">
        <f>IF(OR($BJ369="",40&gt;設定!$B$3),"",IF(INDEX(原始資料!AQ$2:AQ$501,$BJ369)="","",INDEX(原始資料!AQ$2:AQ$501,$BJ369)))</f>
        <v/>
      </c>
      <c r="AP369" s="6">
        <f>IF(OR($BJ369="",41&gt;設定!$B$3),"",IF(INDEX(原始資料!AR$2:AR$501,$BJ369)="","",INDEX(原始資料!AR$2:AR$501,$BJ369)))</f>
        <v/>
      </c>
      <c r="AQ369" s="6">
        <f>IF(OR($BJ369="",42&gt;設定!$B$3),"",IF(INDEX(原始資料!AS$2:AS$501,$BJ369)="","",INDEX(原始資料!AS$2:AS$501,$BJ369)))</f>
        <v/>
      </c>
      <c r="AR369" s="6">
        <f>IF(OR($BJ369="",43&gt;設定!$B$3),"",IF(INDEX(原始資料!AT$2:AT$501,$BJ369)="","",INDEX(原始資料!AT$2:AT$501,$BJ369)))</f>
        <v/>
      </c>
      <c r="AS369" s="6">
        <f>IF(OR($BJ369="",44&gt;設定!$B$3),"",IF(INDEX(原始資料!AU$2:AU$501,$BJ369)="","",INDEX(原始資料!AU$2:AU$501,$BJ369)))</f>
        <v/>
      </c>
      <c r="AT369" s="6">
        <f>IF(OR($BJ369="",45&gt;設定!$B$3),"",IF(INDEX(原始資料!AV$2:AV$501,$BJ369)="","",INDEX(原始資料!AV$2:AV$501,$BJ369)))</f>
        <v/>
      </c>
      <c r="AU369" s="6">
        <f>IF(OR($BJ369="",46&gt;設定!$B$3),"",IF(INDEX(原始資料!AW$2:AW$501,$BJ369)="","",INDEX(原始資料!AW$2:AW$501,$BJ369)))</f>
        <v/>
      </c>
      <c r="AV369" s="6">
        <f>IF(OR($BJ369="",47&gt;設定!$B$3),"",IF(INDEX(原始資料!AX$2:AX$501,$BJ369)="","",INDEX(原始資料!AX$2:AX$501,$BJ369)))</f>
        <v/>
      </c>
      <c r="AW369" s="6">
        <f>IF(OR($BJ369="",48&gt;設定!$B$3),"",IF(INDEX(原始資料!AY$2:AY$501,$BJ369)="","",INDEX(原始資料!AY$2:AY$501,$BJ369)))</f>
        <v/>
      </c>
      <c r="AX369" s="6">
        <f>IF(OR($BJ369="",49&gt;設定!$B$3),"",IF(INDEX(原始資料!AZ$2:AZ$501,$BJ369)="","",INDEX(原始資料!AZ$2:AZ$501,$BJ369)))</f>
        <v/>
      </c>
      <c r="AY369" s="6">
        <f>IF(OR($BJ369="",50&gt;設定!$B$3),"",IF(INDEX(原始資料!BA$2:BA$501,$BJ369)="","",INDEX(原始資料!BA$2:BA$501,$BJ369)))</f>
        <v/>
      </c>
      <c r="AZ369" s="6">
        <f>IF(OR($BJ369="",51&gt;設定!$B$3),"",IF(INDEX(原始資料!BB$2:BB$501,$BJ369)="","",INDEX(原始資料!BB$2:BB$501,$BJ369)))</f>
        <v/>
      </c>
      <c r="BA369" s="6">
        <f>IF(OR($BJ369="",52&gt;設定!$B$3),"",IF(INDEX(原始資料!BC$2:BC$501,$BJ369)="","",INDEX(原始資料!BC$2:BC$501,$BJ369)))</f>
        <v/>
      </c>
      <c r="BB369" s="6">
        <f>IF(OR($BJ369="",53&gt;設定!$B$3),"",IF(INDEX(原始資料!BD$2:BD$501,$BJ369)="","",INDEX(原始資料!BD$2:BD$501,$BJ369)))</f>
        <v/>
      </c>
      <c r="BC369" s="6">
        <f>IF(OR($BJ369="",54&gt;設定!$B$3),"",IF(INDEX(原始資料!BE$2:BE$501,$BJ369)="","",INDEX(原始資料!BE$2:BE$501,$BJ369)))</f>
        <v/>
      </c>
      <c r="BD369" s="6">
        <f>IF(OR($BJ369="",55&gt;設定!$B$3),"",IF(INDEX(原始資料!BF$2:BF$501,$BJ369)="","",INDEX(原始資料!BF$2:BF$501,$BJ369)))</f>
        <v/>
      </c>
      <c r="BE369" s="6">
        <f>IF(OR($BJ369="",56&gt;設定!$B$3),"",IF(INDEX(原始資料!BG$2:BG$501,$BJ369)="","",INDEX(原始資料!BG$2:BG$501,$BJ369)))</f>
        <v/>
      </c>
      <c r="BF369" s="6">
        <f>IF(OR($BJ369="",57&gt;設定!$B$3),"",IF(INDEX(原始資料!BH$2:BH$501,$BJ369)="","",INDEX(原始資料!BH$2:BH$501,$BJ369)))</f>
        <v/>
      </c>
      <c r="BG369" s="6">
        <f>IF(OR($BJ369="",58&gt;設定!$B$3),"",IF(INDEX(原始資料!BI$2:BI$501,$BJ369)="","",INDEX(原始資料!BI$2:BI$501,$BJ369)))</f>
        <v/>
      </c>
      <c r="BH369" s="6">
        <f>IF(OR($BJ369="",59&gt;設定!$B$3),"",IF(INDEX(原始資料!BJ$2:BJ$501,$BJ369)="","",INDEX(原始資料!BJ$2:BJ$501,$BJ369)))</f>
        <v/>
      </c>
      <c r="BI369" s="6">
        <f>IF(OR($BJ369="",60&gt;設定!$B$3),"",IF(INDEX(原始資料!BK$2:BK$501,$BJ369)="","",INDEX(原始資料!BK$2:BK$501,$BJ369)))</f>
        <v/>
      </c>
      <c r="BJ369" s="6">
        <f>IFERROR(MATCH(ROW()-1,判定!$H$2:$H$501,0),"")</f>
        <v/>
      </c>
    </row>
    <row r="370">
      <c r="A370" s="6">
        <f>IF($BJ370="","",INDEX(原始資料!$A$2:$A$501,$BJ370))</f>
        <v/>
      </c>
      <c r="B370" s="6">
        <f>IF(OR($BJ370="",1&gt;設定!$B$3),"",IF(INDEX(原始資料!D$2:D$501,$BJ370)="","",INDEX(原始資料!D$2:D$501,$BJ370)))</f>
        <v/>
      </c>
      <c r="C370" s="6">
        <f>IF(OR($BJ370="",2&gt;設定!$B$3),"",IF(INDEX(原始資料!E$2:E$501,$BJ370)="","",INDEX(原始資料!E$2:E$501,$BJ370)))</f>
        <v/>
      </c>
      <c r="D370" s="6">
        <f>IF(OR($BJ370="",3&gt;設定!$B$3),"",IF(INDEX(原始資料!F$2:F$501,$BJ370)="","",INDEX(原始資料!F$2:F$501,$BJ370)))</f>
        <v/>
      </c>
      <c r="E370" s="6">
        <f>IF(OR($BJ370="",4&gt;設定!$B$3),"",IF(INDEX(原始資料!G$2:G$501,$BJ370)="","",INDEX(原始資料!G$2:G$501,$BJ370)))</f>
        <v/>
      </c>
      <c r="F370" s="6">
        <f>IF(OR($BJ370="",5&gt;設定!$B$3),"",IF(INDEX(原始資料!H$2:H$501,$BJ370)="","",INDEX(原始資料!H$2:H$501,$BJ370)))</f>
        <v/>
      </c>
      <c r="G370" s="6">
        <f>IF(OR($BJ370="",6&gt;設定!$B$3),"",IF(INDEX(原始資料!I$2:I$501,$BJ370)="","",INDEX(原始資料!I$2:I$501,$BJ370)))</f>
        <v/>
      </c>
      <c r="H370" s="6">
        <f>IF(OR($BJ370="",7&gt;設定!$B$3),"",IF(INDEX(原始資料!J$2:J$501,$BJ370)="","",INDEX(原始資料!J$2:J$501,$BJ370)))</f>
        <v/>
      </c>
      <c r="I370" s="6">
        <f>IF(OR($BJ370="",8&gt;設定!$B$3),"",IF(INDEX(原始資料!K$2:K$501,$BJ370)="","",INDEX(原始資料!K$2:K$501,$BJ370)))</f>
        <v/>
      </c>
      <c r="J370" s="6">
        <f>IF(OR($BJ370="",9&gt;設定!$B$3),"",IF(INDEX(原始資料!L$2:L$501,$BJ370)="","",INDEX(原始資料!L$2:L$501,$BJ370)))</f>
        <v/>
      </c>
      <c r="K370" s="6">
        <f>IF(OR($BJ370="",10&gt;設定!$B$3),"",IF(INDEX(原始資料!M$2:M$501,$BJ370)="","",INDEX(原始資料!M$2:M$501,$BJ370)))</f>
        <v/>
      </c>
      <c r="L370" s="6">
        <f>IF(OR($BJ370="",11&gt;設定!$B$3),"",IF(INDEX(原始資料!N$2:N$501,$BJ370)="","",INDEX(原始資料!N$2:N$501,$BJ370)))</f>
        <v/>
      </c>
      <c r="M370" s="6">
        <f>IF(OR($BJ370="",12&gt;設定!$B$3),"",IF(INDEX(原始資料!O$2:O$501,$BJ370)="","",INDEX(原始資料!O$2:O$501,$BJ370)))</f>
        <v/>
      </c>
      <c r="N370" s="6">
        <f>IF(OR($BJ370="",13&gt;設定!$B$3),"",IF(INDEX(原始資料!P$2:P$501,$BJ370)="","",INDEX(原始資料!P$2:P$501,$BJ370)))</f>
        <v/>
      </c>
      <c r="O370" s="6">
        <f>IF(OR($BJ370="",14&gt;設定!$B$3),"",IF(INDEX(原始資料!Q$2:Q$501,$BJ370)="","",INDEX(原始資料!Q$2:Q$501,$BJ370)))</f>
        <v/>
      </c>
      <c r="P370" s="6">
        <f>IF(OR($BJ370="",15&gt;設定!$B$3),"",IF(INDEX(原始資料!R$2:R$501,$BJ370)="","",INDEX(原始資料!R$2:R$501,$BJ370)))</f>
        <v/>
      </c>
      <c r="Q370" s="6">
        <f>IF(OR($BJ370="",16&gt;設定!$B$3),"",IF(INDEX(原始資料!S$2:S$501,$BJ370)="","",INDEX(原始資料!S$2:S$501,$BJ370)))</f>
        <v/>
      </c>
      <c r="R370" s="6">
        <f>IF(OR($BJ370="",17&gt;設定!$B$3),"",IF(INDEX(原始資料!T$2:T$501,$BJ370)="","",INDEX(原始資料!T$2:T$501,$BJ370)))</f>
        <v/>
      </c>
      <c r="S370" s="6">
        <f>IF(OR($BJ370="",18&gt;設定!$B$3),"",IF(INDEX(原始資料!U$2:U$501,$BJ370)="","",INDEX(原始資料!U$2:U$501,$BJ370)))</f>
        <v/>
      </c>
      <c r="T370" s="6">
        <f>IF(OR($BJ370="",19&gt;設定!$B$3),"",IF(INDEX(原始資料!V$2:V$501,$BJ370)="","",INDEX(原始資料!V$2:V$501,$BJ370)))</f>
        <v/>
      </c>
      <c r="U370" s="6">
        <f>IF(OR($BJ370="",20&gt;設定!$B$3),"",IF(INDEX(原始資料!W$2:W$501,$BJ370)="","",INDEX(原始資料!W$2:W$501,$BJ370)))</f>
        <v/>
      </c>
      <c r="V370" s="6">
        <f>IF(OR($BJ370="",21&gt;設定!$B$3),"",IF(INDEX(原始資料!X$2:X$501,$BJ370)="","",INDEX(原始資料!X$2:X$501,$BJ370)))</f>
        <v/>
      </c>
      <c r="W370" s="6">
        <f>IF(OR($BJ370="",22&gt;設定!$B$3),"",IF(INDEX(原始資料!Y$2:Y$501,$BJ370)="","",INDEX(原始資料!Y$2:Y$501,$BJ370)))</f>
        <v/>
      </c>
      <c r="X370" s="6">
        <f>IF(OR($BJ370="",23&gt;設定!$B$3),"",IF(INDEX(原始資料!Z$2:Z$501,$BJ370)="","",INDEX(原始資料!Z$2:Z$501,$BJ370)))</f>
        <v/>
      </c>
      <c r="Y370" s="6">
        <f>IF(OR($BJ370="",24&gt;設定!$B$3),"",IF(INDEX(原始資料!AA$2:AA$501,$BJ370)="","",INDEX(原始資料!AA$2:AA$501,$BJ370)))</f>
        <v/>
      </c>
      <c r="Z370" s="6">
        <f>IF(OR($BJ370="",25&gt;設定!$B$3),"",IF(INDEX(原始資料!AB$2:AB$501,$BJ370)="","",INDEX(原始資料!AB$2:AB$501,$BJ370)))</f>
        <v/>
      </c>
      <c r="AA370" s="6">
        <f>IF(OR($BJ370="",26&gt;設定!$B$3),"",IF(INDEX(原始資料!AC$2:AC$501,$BJ370)="","",INDEX(原始資料!AC$2:AC$501,$BJ370)))</f>
        <v/>
      </c>
      <c r="AB370" s="6">
        <f>IF(OR($BJ370="",27&gt;設定!$B$3),"",IF(INDEX(原始資料!AD$2:AD$501,$BJ370)="","",INDEX(原始資料!AD$2:AD$501,$BJ370)))</f>
        <v/>
      </c>
      <c r="AC370" s="6">
        <f>IF(OR($BJ370="",28&gt;設定!$B$3),"",IF(INDEX(原始資料!AE$2:AE$501,$BJ370)="","",INDEX(原始資料!AE$2:AE$501,$BJ370)))</f>
        <v/>
      </c>
      <c r="AD370" s="6">
        <f>IF(OR($BJ370="",29&gt;設定!$B$3),"",IF(INDEX(原始資料!AF$2:AF$501,$BJ370)="","",INDEX(原始資料!AF$2:AF$501,$BJ370)))</f>
        <v/>
      </c>
      <c r="AE370" s="6">
        <f>IF(OR($BJ370="",30&gt;設定!$B$3),"",IF(INDEX(原始資料!AG$2:AG$501,$BJ370)="","",INDEX(原始資料!AG$2:AG$501,$BJ370)))</f>
        <v/>
      </c>
      <c r="AF370" s="6">
        <f>IF(OR($BJ370="",31&gt;設定!$B$3),"",IF(INDEX(原始資料!AH$2:AH$501,$BJ370)="","",INDEX(原始資料!AH$2:AH$501,$BJ370)))</f>
        <v/>
      </c>
      <c r="AG370" s="6">
        <f>IF(OR($BJ370="",32&gt;設定!$B$3),"",IF(INDEX(原始資料!AI$2:AI$501,$BJ370)="","",INDEX(原始資料!AI$2:AI$501,$BJ370)))</f>
        <v/>
      </c>
      <c r="AH370" s="6">
        <f>IF(OR($BJ370="",33&gt;設定!$B$3),"",IF(INDEX(原始資料!AJ$2:AJ$501,$BJ370)="","",INDEX(原始資料!AJ$2:AJ$501,$BJ370)))</f>
        <v/>
      </c>
      <c r="AI370" s="6">
        <f>IF(OR($BJ370="",34&gt;設定!$B$3),"",IF(INDEX(原始資料!AK$2:AK$501,$BJ370)="","",INDEX(原始資料!AK$2:AK$501,$BJ370)))</f>
        <v/>
      </c>
      <c r="AJ370" s="6">
        <f>IF(OR($BJ370="",35&gt;設定!$B$3),"",IF(INDEX(原始資料!AL$2:AL$501,$BJ370)="","",INDEX(原始資料!AL$2:AL$501,$BJ370)))</f>
        <v/>
      </c>
      <c r="AK370" s="6">
        <f>IF(OR($BJ370="",36&gt;設定!$B$3),"",IF(INDEX(原始資料!AM$2:AM$501,$BJ370)="","",INDEX(原始資料!AM$2:AM$501,$BJ370)))</f>
        <v/>
      </c>
      <c r="AL370" s="6">
        <f>IF(OR($BJ370="",37&gt;設定!$B$3),"",IF(INDEX(原始資料!AN$2:AN$501,$BJ370)="","",INDEX(原始資料!AN$2:AN$501,$BJ370)))</f>
        <v/>
      </c>
      <c r="AM370" s="6">
        <f>IF(OR($BJ370="",38&gt;設定!$B$3),"",IF(INDEX(原始資料!AO$2:AO$501,$BJ370)="","",INDEX(原始資料!AO$2:AO$501,$BJ370)))</f>
        <v/>
      </c>
      <c r="AN370" s="6">
        <f>IF(OR($BJ370="",39&gt;設定!$B$3),"",IF(INDEX(原始資料!AP$2:AP$501,$BJ370)="","",INDEX(原始資料!AP$2:AP$501,$BJ370)))</f>
        <v/>
      </c>
      <c r="AO370" s="6">
        <f>IF(OR($BJ370="",40&gt;設定!$B$3),"",IF(INDEX(原始資料!AQ$2:AQ$501,$BJ370)="","",INDEX(原始資料!AQ$2:AQ$501,$BJ370)))</f>
        <v/>
      </c>
      <c r="AP370" s="6">
        <f>IF(OR($BJ370="",41&gt;設定!$B$3),"",IF(INDEX(原始資料!AR$2:AR$501,$BJ370)="","",INDEX(原始資料!AR$2:AR$501,$BJ370)))</f>
        <v/>
      </c>
      <c r="AQ370" s="6">
        <f>IF(OR($BJ370="",42&gt;設定!$B$3),"",IF(INDEX(原始資料!AS$2:AS$501,$BJ370)="","",INDEX(原始資料!AS$2:AS$501,$BJ370)))</f>
        <v/>
      </c>
      <c r="AR370" s="6">
        <f>IF(OR($BJ370="",43&gt;設定!$B$3),"",IF(INDEX(原始資料!AT$2:AT$501,$BJ370)="","",INDEX(原始資料!AT$2:AT$501,$BJ370)))</f>
        <v/>
      </c>
      <c r="AS370" s="6">
        <f>IF(OR($BJ370="",44&gt;設定!$B$3),"",IF(INDEX(原始資料!AU$2:AU$501,$BJ370)="","",INDEX(原始資料!AU$2:AU$501,$BJ370)))</f>
        <v/>
      </c>
      <c r="AT370" s="6">
        <f>IF(OR($BJ370="",45&gt;設定!$B$3),"",IF(INDEX(原始資料!AV$2:AV$501,$BJ370)="","",INDEX(原始資料!AV$2:AV$501,$BJ370)))</f>
        <v/>
      </c>
      <c r="AU370" s="6">
        <f>IF(OR($BJ370="",46&gt;設定!$B$3),"",IF(INDEX(原始資料!AW$2:AW$501,$BJ370)="","",INDEX(原始資料!AW$2:AW$501,$BJ370)))</f>
        <v/>
      </c>
      <c r="AV370" s="6">
        <f>IF(OR($BJ370="",47&gt;設定!$B$3),"",IF(INDEX(原始資料!AX$2:AX$501,$BJ370)="","",INDEX(原始資料!AX$2:AX$501,$BJ370)))</f>
        <v/>
      </c>
      <c r="AW370" s="6">
        <f>IF(OR($BJ370="",48&gt;設定!$B$3),"",IF(INDEX(原始資料!AY$2:AY$501,$BJ370)="","",INDEX(原始資料!AY$2:AY$501,$BJ370)))</f>
        <v/>
      </c>
      <c r="AX370" s="6">
        <f>IF(OR($BJ370="",49&gt;設定!$B$3),"",IF(INDEX(原始資料!AZ$2:AZ$501,$BJ370)="","",INDEX(原始資料!AZ$2:AZ$501,$BJ370)))</f>
        <v/>
      </c>
      <c r="AY370" s="6">
        <f>IF(OR($BJ370="",50&gt;設定!$B$3),"",IF(INDEX(原始資料!BA$2:BA$501,$BJ370)="","",INDEX(原始資料!BA$2:BA$501,$BJ370)))</f>
        <v/>
      </c>
      <c r="AZ370" s="6">
        <f>IF(OR($BJ370="",51&gt;設定!$B$3),"",IF(INDEX(原始資料!BB$2:BB$501,$BJ370)="","",INDEX(原始資料!BB$2:BB$501,$BJ370)))</f>
        <v/>
      </c>
      <c r="BA370" s="6">
        <f>IF(OR($BJ370="",52&gt;設定!$B$3),"",IF(INDEX(原始資料!BC$2:BC$501,$BJ370)="","",INDEX(原始資料!BC$2:BC$501,$BJ370)))</f>
        <v/>
      </c>
      <c r="BB370" s="6">
        <f>IF(OR($BJ370="",53&gt;設定!$B$3),"",IF(INDEX(原始資料!BD$2:BD$501,$BJ370)="","",INDEX(原始資料!BD$2:BD$501,$BJ370)))</f>
        <v/>
      </c>
      <c r="BC370" s="6">
        <f>IF(OR($BJ370="",54&gt;設定!$B$3),"",IF(INDEX(原始資料!BE$2:BE$501,$BJ370)="","",INDEX(原始資料!BE$2:BE$501,$BJ370)))</f>
        <v/>
      </c>
      <c r="BD370" s="6">
        <f>IF(OR($BJ370="",55&gt;設定!$B$3),"",IF(INDEX(原始資料!BF$2:BF$501,$BJ370)="","",INDEX(原始資料!BF$2:BF$501,$BJ370)))</f>
        <v/>
      </c>
      <c r="BE370" s="6">
        <f>IF(OR($BJ370="",56&gt;設定!$B$3),"",IF(INDEX(原始資料!BG$2:BG$501,$BJ370)="","",INDEX(原始資料!BG$2:BG$501,$BJ370)))</f>
        <v/>
      </c>
      <c r="BF370" s="6">
        <f>IF(OR($BJ370="",57&gt;設定!$B$3),"",IF(INDEX(原始資料!BH$2:BH$501,$BJ370)="","",INDEX(原始資料!BH$2:BH$501,$BJ370)))</f>
        <v/>
      </c>
      <c r="BG370" s="6">
        <f>IF(OR($BJ370="",58&gt;設定!$B$3),"",IF(INDEX(原始資料!BI$2:BI$501,$BJ370)="","",INDEX(原始資料!BI$2:BI$501,$BJ370)))</f>
        <v/>
      </c>
      <c r="BH370" s="6">
        <f>IF(OR($BJ370="",59&gt;設定!$B$3),"",IF(INDEX(原始資料!BJ$2:BJ$501,$BJ370)="","",INDEX(原始資料!BJ$2:BJ$501,$BJ370)))</f>
        <v/>
      </c>
      <c r="BI370" s="6">
        <f>IF(OR($BJ370="",60&gt;設定!$B$3),"",IF(INDEX(原始資料!BK$2:BK$501,$BJ370)="","",INDEX(原始資料!BK$2:BK$501,$BJ370)))</f>
        <v/>
      </c>
      <c r="BJ370" s="6">
        <f>IFERROR(MATCH(ROW()-1,判定!$H$2:$H$501,0),"")</f>
        <v/>
      </c>
    </row>
    <row r="371">
      <c r="A371" s="6">
        <f>IF($BJ371="","",INDEX(原始資料!$A$2:$A$501,$BJ371))</f>
        <v/>
      </c>
      <c r="B371" s="6">
        <f>IF(OR($BJ371="",1&gt;設定!$B$3),"",IF(INDEX(原始資料!D$2:D$501,$BJ371)="","",INDEX(原始資料!D$2:D$501,$BJ371)))</f>
        <v/>
      </c>
      <c r="C371" s="6">
        <f>IF(OR($BJ371="",2&gt;設定!$B$3),"",IF(INDEX(原始資料!E$2:E$501,$BJ371)="","",INDEX(原始資料!E$2:E$501,$BJ371)))</f>
        <v/>
      </c>
      <c r="D371" s="6">
        <f>IF(OR($BJ371="",3&gt;設定!$B$3),"",IF(INDEX(原始資料!F$2:F$501,$BJ371)="","",INDEX(原始資料!F$2:F$501,$BJ371)))</f>
        <v/>
      </c>
      <c r="E371" s="6">
        <f>IF(OR($BJ371="",4&gt;設定!$B$3),"",IF(INDEX(原始資料!G$2:G$501,$BJ371)="","",INDEX(原始資料!G$2:G$501,$BJ371)))</f>
        <v/>
      </c>
      <c r="F371" s="6">
        <f>IF(OR($BJ371="",5&gt;設定!$B$3),"",IF(INDEX(原始資料!H$2:H$501,$BJ371)="","",INDEX(原始資料!H$2:H$501,$BJ371)))</f>
        <v/>
      </c>
      <c r="G371" s="6">
        <f>IF(OR($BJ371="",6&gt;設定!$B$3),"",IF(INDEX(原始資料!I$2:I$501,$BJ371)="","",INDEX(原始資料!I$2:I$501,$BJ371)))</f>
        <v/>
      </c>
      <c r="H371" s="6">
        <f>IF(OR($BJ371="",7&gt;設定!$B$3),"",IF(INDEX(原始資料!J$2:J$501,$BJ371)="","",INDEX(原始資料!J$2:J$501,$BJ371)))</f>
        <v/>
      </c>
      <c r="I371" s="6">
        <f>IF(OR($BJ371="",8&gt;設定!$B$3),"",IF(INDEX(原始資料!K$2:K$501,$BJ371)="","",INDEX(原始資料!K$2:K$501,$BJ371)))</f>
        <v/>
      </c>
      <c r="J371" s="6">
        <f>IF(OR($BJ371="",9&gt;設定!$B$3),"",IF(INDEX(原始資料!L$2:L$501,$BJ371)="","",INDEX(原始資料!L$2:L$501,$BJ371)))</f>
        <v/>
      </c>
      <c r="K371" s="6">
        <f>IF(OR($BJ371="",10&gt;設定!$B$3),"",IF(INDEX(原始資料!M$2:M$501,$BJ371)="","",INDEX(原始資料!M$2:M$501,$BJ371)))</f>
        <v/>
      </c>
      <c r="L371" s="6">
        <f>IF(OR($BJ371="",11&gt;設定!$B$3),"",IF(INDEX(原始資料!N$2:N$501,$BJ371)="","",INDEX(原始資料!N$2:N$501,$BJ371)))</f>
        <v/>
      </c>
      <c r="M371" s="6">
        <f>IF(OR($BJ371="",12&gt;設定!$B$3),"",IF(INDEX(原始資料!O$2:O$501,$BJ371)="","",INDEX(原始資料!O$2:O$501,$BJ371)))</f>
        <v/>
      </c>
      <c r="N371" s="6">
        <f>IF(OR($BJ371="",13&gt;設定!$B$3),"",IF(INDEX(原始資料!P$2:P$501,$BJ371)="","",INDEX(原始資料!P$2:P$501,$BJ371)))</f>
        <v/>
      </c>
      <c r="O371" s="6">
        <f>IF(OR($BJ371="",14&gt;設定!$B$3),"",IF(INDEX(原始資料!Q$2:Q$501,$BJ371)="","",INDEX(原始資料!Q$2:Q$501,$BJ371)))</f>
        <v/>
      </c>
      <c r="P371" s="6">
        <f>IF(OR($BJ371="",15&gt;設定!$B$3),"",IF(INDEX(原始資料!R$2:R$501,$BJ371)="","",INDEX(原始資料!R$2:R$501,$BJ371)))</f>
        <v/>
      </c>
      <c r="Q371" s="6">
        <f>IF(OR($BJ371="",16&gt;設定!$B$3),"",IF(INDEX(原始資料!S$2:S$501,$BJ371)="","",INDEX(原始資料!S$2:S$501,$BJ371)))</f>
        <v/>
      </c>
      <c r="R371" s="6">
        <f>IF(OR($BJ371="",17&gt;設定!$B$3),"",IF(INDEX(原始資料!T$2:T$501,$BJ371)="","",INDEX(原始資料!T$2:T$501,$BJ371)))</f>
        <v/>
      </c>
      <c r="S371" s="6">
        <f>IF(OR($BJ371="",18&gt;設定!$B$3),"",IF(INDEX(原始資料!U$2:U$501,$BJ371)="","",INDEX(原始資料!U$2:U$501,$BJ371)))</f>
        <v/>
      </c>
      <c r="T371" s="6">
        <f>IF(OR($BJ371="",19&gt;設定!$B$3),"",IF(INDEX(原始資料!V$2:V$501,$BJ371)="","",INDEX(原始資料!V$2:V$501,$BJ371)))</f>
        <v/>
      </c>
      <c r="U371" s="6">
        <f>IF(OR($BJ371="",20&gt;設定!$B$3),"",IF(INDEX(原始資料!W$2:W$501,$BJ371)="","",INDEX(原始資料!W$2:W$501,$BJ371)))</f>
        <v/>
      </c>
      <c r="V371" s="6">
        <f>IF(OR($BJ371="",21&gt;設定!$B$3),"",IF(INDEX(原始資料!X$2:X$501,$BJ371)="","",INDEX(原始資料!X$2:X$501,$BJ371)))</f>
        <v/>
      </c>
      <c r="W371" s="6">
        <f>IF(OR($BJ371="",22&gt;設定!$B$3),"",IF(INDEX(原始資料!Y$2:Y$501,$BJ371)="","",INDEX(原始資料!Y$2:Y$501,$BJ371)))</f>
        <v/>
      </c>
      <c r="X371" s="6">
        <f>IF(OR($BJ371="",23&gt;設定!$B$3),"",IF(INDEX(原始資料!Z$2:Z$501,$BJ371)="","",INDEX(原始資料!Z$2:Z$501,$BJ371)))</f>
        <v/>
      </c>
      <c r="Y371" s="6">
        <f>IF(OR($BJ371="",24&gt;設定!$B$3),"",IF(INDEX(原始資料!AA$2:AA$501,$BJ371)="","",INDEX(原始資料!AA$2:AA$501,$BJ371)))</f>
        <v/>
      </c>
      <c r="Z371" s="6">
        <f>IF(OR($BJ371="",25&gt;設定!$B$3),"",IF(INDEX(原始資料!AB$2:AB$501,$BJ371)="","",INDEX(原始資料!AB$2:AB$501,$BJ371)))</f>
        <v/>
      </c>
      <c r="AA371" s="6">
        <f>IF(OR($BJ371="",26&gt;設定!$B$3),"",IF(INDEX(原始資料!AC$2:AC$501,$BJ371)="","",INDEX(原始資料!AC$2:AC$501,$BJ371)))</f>
        <v/>
      </c>
      <c r="AB371" s="6">
        <f>IF(OR($BJ371="",27&gt;設定!$B$3),"",IF(INDEX(原始資料!AD$2:AD$501,$BJ371)="","",INDEX(原始資料!AD$2:AD$501,$BJ371)))</f>
        <v/>
      </c>
      <c r="AC371" s="6">
        <f>IF(OR($BJ371="",28&gt;設定!$B$3),"",IF(INDEX(原始資料!AE$2:AE$501,$BJ371)="","",INDEX(原始資料!AE$2:AE$501,$BJ371)))</f>
        <v/>
      </c>
      <c r="AD371" s="6">
        <f>IF(OR($BJ371="",29&gt;設定!$B$3),"",IF(INDEX(原始資料!AF$2:AF$501,$BJ371)="","",INDEX(原始資料!AF$2:AF$501,$BJ371)))</f>
        <v/>
      </c>
      <c r="AE371" s="6">
        <f>IF(OR($BJ371="",30&gt;設定!$B$3),"",IF(INDEX(原始資料!AG$2:AG$501,$BJ371)="","",INDEX(原始資料!AG$2:AG$501,$BJ371)))</f>
        <v/>
      </c>
      <c r="AF371" s="6">
        <f>IF(OR($BJ371="",31&gt;設定!$B$3),"",IF(INDEX(原始資料!AH$2:AH$501,$BJ371)="","",INDEX(原始資料!AH$2:AH$501,$BJ371)))</f>
        <v/>
      </c>
      <c r="AG371" s="6">
        <f>IF(OR($BJ371="",32&gt;設定!$B$3),"",IF(INDEX(原始資料!AI$2:AI$501,$BJ371)="","",INDEX(原始資料!AI$2:AI$501,$BJ371)))</f>
        <v/>
      </c>
      <c r="AH371" s="6">
        <f>IF(OR($BJ371="",33&gt;設定!$B$3),"",IF(INDEX(原始資料!AJ$2:AJ$501,$BJ371)="","",INDEX(原始資料!AJ$2:AJ$501,$BJ371)))</f>
        <v/>
      </c>
      <c r="AI371" s="6">
        <f>IF(OR($BJ371="",34&gt;設定!$B$3),"",IF(INDEX(原始資料!AK$2:AK$501,$BJ371)="","",INDEX(原始資料!AK$2:AK$501,$BJ371)))</f>
        <v/>
      </c>
      <c r="AJ371" s="6">
        <f>IF(OR($BJ371="",35&gt;設定!$B$3),"",IF(INDEX(原始資料!AL$2:AL$501,$BJ371)="","",INDEX(原始資料!AL$2:AL$501,$BJ371)))</f>
        <v/>
      </c>
      <c r="AK371" s="6">
        <f>IF(OR($BJ371="",36&gt;設定!$B$3),"",IF(INDEX(原始資料!AM$2:AM$501,$BJ371)="","",INDEX(原始資料!AM$2:AM$501,$BJ371)))</f>
        <v/>
      </c>
      <c r="AL371" s="6">
        <f>IF(OR($BJ371="",37&gt;設定!$B$3),"",IF(INDEX(原始資料!AN$2:AN$501,$BJ371)="","",INDEX(原始資料!AN$2:AN$501,$BJ371)))</f>
        <v/>
      </c>
      <c r="AM371" s="6">
        <f>IF(OR($BJ371="",38&gt;設定!$B$3),"",IF(INDEX(原始資料!AO$2:AO$501,$BJ371)="","",INDEX(原始資料!AO$2:AO$501,$BJ371)))</f>
        <v/>
      </c>
      <c r="AN371" s="6">
        <f>IF(OR($BJ371="",39&gt;設定!$B$3),"",IF(INDEX(原始資料!AP$2:AP$501,$BJ371)="","",INDEX(原始資料!AP$2:AP$501,$BJ371)))</f>
        <v/>
      </c>
      <c r="AO371" s="6">
        <f>IF(OR($BJ371="",40&gt;設定!$B$3),"",IF(INDEX(原始資料!AQ$2:AQ$501,$BJ371)="","",INDEX(原始資料!AQ$2:AQ$501,$BJ371)))</f>
        <v/>
      </c>
      <c r="AP371" s="6">
        <f>IF(OR($BJ371="",41&gt;設定!$B$3),"",IF(INDEX(原始資料!AR$2:AR$501,$BJ371)="","",INDEX(原始資料!AR$2:AR$501,$BJ371)))</f>
        <v/>
      </c>
      <c r="AQ371" s="6">
        <f>IF(OR($BJ371="",42&gt;設定!$B$3),"",IF(INDEX(原始資料!AS$2:AS$501,$BJ371)="","",INDEX(原始資料!AS$2:AS$501,$BJ371)))</f>
        <v/>
      </c>
      <c r="AR371" s="6">
        <f>IF(OR($BJ371="",43&gt;設定!$B$3),"",IF(INDEX(原始資料!AT$2:AT$501,$BJ371)="","",INDEX(原始資料!AT$2:AT$501,$BJ371)))</f>
        <v/>
      </c>
      <c r="AS371" s="6">
        <f>IF(OR($BJ371="",44&gt;設定!$B$3),"",IF(INDEX(原始資料!AU$2:AU$501,$BJ371)="","",INDEX(原始資料!AU$2:AU$501,$BJ371)))</f>
        <v/>
      </c>
      <c r="AT371" s="6">
        <f>IF(OR($BJ371="",45&gt;設定!$B$3),"",IF(INDEX(原始資料!AV$2:AV$501,$BJ371)="","",INDEX(原始資料!AV$2:AV$501,$BJ371)))</f>
        <v/>
      </c>
      <c r="AU371" s="6">
        <f>IF(OR($BJ371="",46&gt;設定!$B$3),"",IF(INDEX(原始資料!AW$2:AW$501,$BJ371)="","",INDEX(原始資料!AW$2:AW$501,$BJ371)))</f>
        <v/>
      </c>
      <c r="AV371" s="6">
        <f>IF(OR($BJ371="",47&gt;設定!$B$3),"",IF(INDEX(原始資料!AX$2:AX$501,$BJ371)="","",INDEX(原始資料!AX$2:AX$501,$BJ371)))</f>
        <v/>
      </c>
      <c r="AW371" s="6">
        <f>IF(OR($BJ371="",48&gt;設定!$B$3),"",IF(INDEX(原始資料!AY$2:AY$501,$BJ371)="","",INDEX(原始資料!AY$2:AY$501,$BJ371)))</f>
        <v/>
      </c>
      <c r="AX371" s="6">
        <f>IF(OR($BJ371="",49&gt;設定!$B$3),"",IF(INDEX(原始資料!AZ$2:AZ$501,$BJ371)="","",INDEX(原始資料!AZ$2:AZ$501,$BJ371)))</f>
        <v/>
      </c>
      <c r="AY371" s="6">
        <f>IF(OR($BJ371="",50&gt;設定!$B$3),"",IF(INDEX(原始資料!BA$2:BA$501,$BJ371)="","",INDEX(原始資料!BA$2:BA$501,$BJ371)))</f>
        <v/>
      </c>
      <c r="AZ371" s="6">
        <f>IF(OR($BJ371="",51&gt;設定!$B$3),"",IF(INDEX(原始資料!BB$2:BB$501,$BJ371)="","",INDEX(原始資料!BB$2:BB$501,$BJ371)))</f>
        <v/>
      </c>
      <c r="BA371" s="6">
        <f>IF(OR($BJ371="",52&gt;設定!$B$3),"",IF(INDEX(原始資料!BC$2:BC$501,$BJ371)="","",INDEX(原始資料!BC$2:BC$501,$BJ371)))</f>
        <v/>
      </c>
      <c r="BB371" s="6">
        <f>IF(OR($BJ371="",53&gt;設定!$B$3),"",IF(INDEX(原始資料!BD$2:BD$501,$BJ371)="","",INDEX(原始資料!BD$2:BD$501,$BJ371)))</f>
        <v/>
      </c>
      <c r="BC371" s="6">
        <f>IF(OR($BJ371="",54&gt;設定!$B$3),"",IF(INDEX(原始資料!BE$2:BE$501,$BJ371)="","",INDEX(原始資料!BE$2:BE$501,$BJ371)))</f>
        <v/>
      </c>
      <c r="BD371" s="6">
        <f>IF(OR($BJ371="",55&gt;設定!$B$3),"",IF(INDEX(原始資料!BF$2:BF$501,$BJ371)="","",INDEX(原始資料!BF$2:BF$501,$BJ371)))</f>
        <v/>
      </c>
      <c r="BE371" s="6">
        <f>IF(OR($BJ371="",56&gt;設定!$B$3),"",IF(INDEX(原始資料!BG$2:BG$501,$BJ371)="","",INDEX(原始資料!BG$2:BG$501,$BJ371)))</f>
        <v/>
      </c>
      <c r="BF371" s="6">
        <f>IF(OR($BJ371="",57&gt;設定!$B$3),"",IF(INDEX(原始資料!BH$2:BH$501,$BJ371)="","",INDEX(原始資料!BH$2:BH$501,$BJ371)))</f>
        <v/>
      </c>
      <c r="BG371" s="6">
        <f>IF(OR($BJ371="",58&gt;設定!$B$3),"",IF(INDEX(原始資料!BI$2:BI$501,$BJ371)="","",INDEX(原始資料!BI$2:BI$501,$BJ371)))</f>
        <v/>
      </c>
      <c r="BH371" s="6">
        <f>IF(OR($BJ371="",59&gt;設定!$B$3),"",IF(INDEX(原始資料!BJ$2:BJ$501,$BJ371)="","",INDEX(原始資料!BJ$2:BJ$501,$BJ371)))</f>
        <v/>
      </c>
      <c r="BI371" s="6">
        <f>IF(OR($BJ371="",60&gt;設定!$B$3),"",IF(INDEX(原始資料!BK$2:BK$501,$BJ371)="","",INDEX(原始資料!BK$2:BK$501,$BJ371)))</f>
        <v/>
      </c>
      <c r="BJ371" s="6">
        <f>IFERROR(MATCH(ROW()-1,判定!$H$2:$H$501,0),"")</f>
        <v/>
      </c>
    </row>
    <row r="372">
      <c r="A372" s="6">
        <f>IF($BJ372="","",INDEX(原始資料!$A$2:$A$501,$BJ372))</f>
        <v/>
      </c>
      <c r="B372" s="6">
        <f>IF(OR($BJ372="",1&gt;設定!$B$3),"",IF(INDEX(原始資料!D$2:D$501,$BJ372)="","",INDEX(原始資料!D$2:D$501,$BJ372)))</f>
        <v/>
      </c>
      <c r="C372" s="6">
        <f>IF(OR($BJ372="",2&gt;設定!$B$3),"",IF(INDEX(原始資料!E$2:E$501,$BJ372)="","",INDEX(原始資料!E$2:E$501,$BJ372)))</f>
        <v/>
      </c>
      <c r="D372" s="6">
        <f>IF(OR($BJ372="",3&gt;設定!$B$3),"",IF(INDEX(原始資料!F$2:F$501,$BJ372)="","",INDEX(原始資料!F$2:F$501,$BJ372)))</f>
        <v/>
      </c>
      <c r="E372" s="6">
        <f>IF(OR($BJ372="",4&gt;設定!$B$3),"",IF(INDEX(原始資料!G$2:G$501,$BJ372)="","",INDEX(原始資料!G$2:G$501,$BJ372)))</f>
        <v/>
      </c>
      <c r="F372" s="6">
        <f>IF(OR($BJ372="",5&gt;設定!$B$3),"",IF(INDEX(原始資料!H$2:H$501,$BJ372)="","",INDEX(原始資料!H$2:H$501,$BJ372)))</f>
        <v/>
      </c>
      <c r="G372" s="6">
        <f>IF(OR($BJ372="",6&gt;設定!$B$3),"",IF(INDEX(原始資料!I$2:I$501,$BJ372)="","",INDEX(原始資料!I$2:I$501,$BJ372)))</f>
        <v/>
      </c>
      <c r="H372" s="6">
        <f>IF(OR($BJ372="",7&gt;設定!$B$3),"",IF(INDEX(原始資料!J$2:J$501,$BJ372)="","",INDEX(原始資料!J$2:J$501,$BJ372)))</f>
        <v/>
      </c>
      <c r="I372" s="6">
        <f>IF(OR($BJ372="",8&gt;設定!$B$3),"",IF(INDEX(原始資料!K$2:K$501,$BJ372)="","",INDEX(原始資料!K$2:K$501,$BJ372)))</f>
        <v/>
      </c>
      <c r="J372" s="6">
        <f>IF(OR($BJ372="",9&gt;設定!$B$3),"",IF(INDEX(原始資料!L$2:L$501,$BJ372)="","",INDEX(原始資料!L$2:L$501,$BJ372)))</f>
        <v/>
      </c>
      <c r="K372" s="6">
        <f>IF(OR($BJ372="",10&gt;設定!$B$3),"",IF(INDEX(原始資料!M$2:M$501,$BJ372)="","",INDEX(原始資料!M$2:M$501,$BJ372)))</f>
        <v/>
      </c>
      <c r="L372" s="6">
        <f>IF(OR($BJ372="",11&gt;設定!$B$3),"",IF(INDEX(原始資料!N$2:N$501,$BJ372)="","",INDEX(原始資料!N$2:N$501,$BJ372)))</f>
        <v/>
      </c>
      <c r="M372" s="6">
        <f>IF(OR($BJ372="",12&gt;設定!$B$3),"",IF(INDEX(原始資料!O$2:O$501,$BJ372)="","",INDEX(原始資料!O$2:O$501,$BJ372)))</f>
        <v/>
      </c>
      <c r="N372" s="6">
        <f>IF(OR($BJ372="",13&gt;設定!$B$3),"",IF(INDEX(原始資料!P$2:P$501,$BJ372)="","",INDEX(原始資料!P$2:P$501,$BJ372)))</f>
        <v/>
      </c>
      <c r="O372" s="6">
        <f>IF(OR($BJ372="",14&gt;設定!$B$3),"",IF(INDEX(原始資料!Q$2:Q$501,$BJ372)="","",INDEX(原始資料!Q$2:Q$501,$BJ372)))</f>
        <v/>
      </c>
      <c r="P372" s="6">
        <f>IF(OR($BJ372="",15&gt;設定!$B$3),"",IF(INDEX(原始資料!R$2:R$501,$BJ372)="","",INDEX(原始資料!R$2:R$501,$BJ372)))</f>
        <v/>
      </c>
      <c r="Q372" s="6">
        <f>IF(OR($BJ372="",16&gt;設定!$B$3),"",IF(INDEX(原始資料!S$2:S$501,$BJ372)="","",INDEX(原始資料!S$2:S$501,$BJ372)))</f>
        <v/>
      </c>
      <c r="R372" s="6">
        <f>IF(OR($BJ372="",17&gt;設定!$B$3),"",IF(INDEX(原始資料!T$2:T$501,$BJ372)="","",INDEX(原始資料!T$2:T$501,$BJ372)))</f>
        <v/>
      </c>
      <c r="S372" s="6">
        <f>IF(OR($BJ372="",18&gt;設定!$B$3),"",IF(INDEX(原始資料!U$2:U$501,$BJ372)="","",INDEX(原始資料!U$2:U$501,$BJ372)))</f>
        <v/>
      </c>
      <c r="T372" s="6">
        <f>IF(OR($BJ372="",19&gt;設定!$B$3),"",IF(INDEX(原始資料!V$2:V$501,$BJ372)="","",INDEX(原始資料!V$2:V$501,$BJ372)))</f>
        <v/>
      </c>
      <c r="U372" s="6">
        <f>IF(OR($BJ372="",20&gt;設定!$B$3),"",IF(INDEX(原始資料!W$2:W$501,$BJ372)="","",INDEX(原始資料!W$2:W$501,$BJ372)))</f>
        <v/>
      </c>
      <c r="V372" s="6">
        <f>IF(OR($BJ372="",21&gt;設定!$B$3),"",IF(INDEX(原始資料!X$2:X$501,$BJ372)="","",INDEX(原始資料!X$2:X$501,$BJ372)))</f>
        <v/>
      </c>
      <c r="W372" s="6">
        <f>IF(OR($BJ372="",22&gt;設定!$B$3),"",IF(INDEX(原始資料!Y$2:Y$501,$BJ372)="","",INDEX(原始資料!Y$2:Y$501,$BJ372)))</f>
        <v/>
      </c>
      <c r="X372" s="6">
        <f>IF(OR($BJ372="",23&gt;設定!$B$3),"",IF(INDEX(原始資料!Z$2:Z$501,$BJ372)="","",INDEX(原始資料!Z$2:Z$501,$BJ372)))</f>
        <v/>
      </c>
      <c r="Y372" s="6">
        <f>IF(OR($BJ372="",24&gt;設定!$B$3),"",IF(INDEX(原始資料!AA$2:AA$501,$BJ372)="","",INDEX(原始資料!AA$2:AA$501,$BJ372)))</f>
        <v/>
      </c>
      <c r="Z372" s="6">
        <f>IF(OR($BJ372="",25&gt;設定!$B$3),"",IF(INDEX(原始資料!AB$2:AB$501,$BJ372)="","",INDEX(原始資料!AB$2:AB$501,$BJ372)))</f>
        <v/>
      </c>
      <c r="AA372" s="6">
        <f>IF(OR($BJ372="",26&gt;設定!$B$3),"",IF(INDEX(原始資料!AC$2:AC$501,$BJ372)="","",INDEX(原始資料!AC$2:AC$501,$BJ372)))</f>
        <v/>
      </c>
      <c r="AB372" s="6">
        <f>IF(OR($BJ372="",27&gt;設定!$B$3),"",IF(INDEX(原始資料!AD$2:AD$501,$BJ372)="","",INDEX(原始資料!AD$2:AD$501,$BJ372)))</f>
        <v/>
      </c>
      <c r="AC372" s="6">
        <f>IF(OR($BJ372="",28&gt;設定!$B$3),"",IF(INDEX(原始資料!AE$2:AE$501,$BJ372)="","",INDEX(原始資料!AE$2:AE$501,$BJ372)))</f>
        <v/>
      </c>
      <c r="AD372" s="6">
        <f>IF(OR($BJ372="",29&gt;設定!$B$3),"",IF(INDEX(原始資料!AF$2:AF$501,$BJ372)="","",INDEX(原始資料!AF$2:AF$501,$BJ372)))</f>
        <v/>
      </c>
      <c r="AE372" s="6">
        <f>IF(OR($BJ372="",30&gt;設定!$B$3),"",IF(INDEX(原始資料!AG$2:AG$501,$BJ372)="","",INDEX(原始資料!AG$2:AG$501,$BJ372)))</f>
        <v/>
      </c>
      <c r="AF372" s="6">
        <f>IF(OR($BJ372="",31&gt;設定!$B$3),"",IF(INDEX(原始資料!AH$2:AH$501,$BJ372)="","",INDEX(原始資料!AH$2:AH$501,$BJ372)))</f>
        <v/>
      </c>
      <c r="AG372" s="6">
        <f>IF(OR($BJ372="",32&gt;設定!$B$3),"",IF(INDEX(原始資料!AI$2:AI$501,$BJ372)="","",INDEX(原始資料!AI$2:AI$501,$BJ372)))</f>
        <v/>
      </c>
      <c r="AH372" s="6">
        <f>IF(OR($BJ372="",33&gt;設定!$B$3),"",IF(INDEX(原始資料!AJ$2:AJ$501,$BJ372)="","",INDEX(原始資料!AJ$2:AJ$501,$BJ372)))</f>
        <v/>
      </c>
      <c r="AI372" s="6">
        <f>IF(OR($BJ372="",34&gt;設定!$B$3),"",IF(INDEX(原始資料!AK$2:AK$501,$BJ372)="","",INDEX(原始資料!AK$2:AK$501,$BJ372)))</f>
        <v/>
      </c>
      <c r="AJ372" s="6">
        <f>IF(OR($BJ372="",35&gt;設定!$B$3),"",IF(INDEX(原始資料!AL$2:AL$501,$BJ372)="","",INDEX(原始資料!AL$2:AL$501,$BJ372)))</f>
        <v/>
      </c>
      <c r="AK372" s="6">
        <f>IF(OR($BJ372="",36&gt;設定!$B$3),"",IF(INDEX(原始資料!AM$2:AM$501,$BJ372)="","",INDEX(原始資料!AM$2:AM$501,$BJ372)))</f>
        <v/>
      </c>
      <c r="AL372" s="6">
        <f>IF(OR($BJ372="",37&gt;設定!$B$3),"",IF(INDEX(原始資料!AN$2:AN$501,$BJ372)="","",INDEX(原始資料!AN$2:AN$501,$BJ372)))</f>
        <v/>
      </c>
      <c r="AM372" s="6">
        <f>IF(OR($BJ372="",38&gt;設定!$B$3),"",IF(INDEX(原始資料!AO$2:AO$501,$BJ372)="","",INDEX(原始資料!AO$2:AO$501,$BJ372)))</f>
        <v/>
      </c>
      <c r="AN372" s="6">
        <f>IF(OR($BJ372="",39&gt;設定!$B$3),"",IF(INDEX(原始資料!AP$2:AP$501,$BJ372)="","",INDEX(原始資料!AP$2:AP$501,$BJ372)))</f>
        <v/>
      </c>
      <c r="AO372" s="6">
        <f>IF(OR($BJ372="",40&gt;設定!$B$3),"",IF(INDEX(原始資料!AQ$2:AQ$501,$BJ372)="","",INDEX(原始資料!AQ$2:AQ$501,$BJ372)))</f>
        <v/>
      </c>
      <c r="AP372" s="6">
        <f>IF(OR($BJ372="",41&gt;設定!$B$3),"",IF(INDEX(原始資料!AR$2:AR$501,$BJ372)="","",INDEX(原始資料!AR$2:AR$501,$BJ372)))</f>
        <v/>
      </c>
      <c r="AQ372" s="6">
        <f>IF(OR($BJ372="",42&gt;設定!$B$3),"",IF(INDEX(原始資料!AS$2:AS$501,$BJ372)="","",INDEX(原始資料!AS$2:AS$501,$BJ372)))</f>
        <v/>
      </c>
      <c r="AR372" s="6">
        <f>IF(OR($BJ372="",43&gt;設定!$B$3),"",IF(INDEX(原始資料!AT$2:AT$501,$BJ372)="","",INDEX(原始資料!AT$2:AT$501,$BJ372)))</f>
        <v/>
      </c>
      <c r="AS372" s="6">
        <f>IF(OR($BJ372="",44&gt;設定!$B$3),"",IF(INDEX(原始資料!AU$2:AU$501,$BJ372)="","",INDEX(原始資料!AU$2:AU$501,$BJ372)))</f>
        <v/>
      </c>
      <c r="AT372" s="6">
        <f>IF(OR($BJ372="",45&gt;設定!$B$3),"",IF(INDEX(原始資料!AV$2:AV$501,$BJ372)="","",INDEX(原始資料!AV$2:AV$501,$BJ372)))</f>
        <v/>
      </c>
      <c r="AU372" s="6">
        <f>IF(OR($BJ372="",46&gt;設定!$B$3),"",IF(INDEX(原始資料!AW$2:AW$501,$BJ372)="","",INDEX(原始資料!AW$2:AW$501,$BJ372)))</f>
        <v/>
      </c>
      <c r="AV372" s="6">
        <f>IF(OR($BJ372="",47&gt;設定!$B$3),"",IF(INDEX(原始資料!AX$2:AX$501,$BJ372)="","",INDEX(原始資料!AX$2:AX$501,$BJ372)))</f>
        <v/>
      </c>
      <c r="AW372" s="6">
        <f>IF(OR($BJ372="",48&gt;設定!$B$3),"",IF(INDEX(原始資料!AY$2:AY$501,$BJ372)="","",INDEX(原始資料!AY$2:AY$501,$BJ372)))</f>
        <v/>
      </c>
      <c r="AX372" s="6">
        <f>IF(OR($BJ372="",49&gt;設定!$B$3),"",IF(INDEX(原始資料!AZ$2:AZ$501,$BJ372)="","",INDEX(原始資料!AZ$2:AZ$501,$BJ372)))</f>
        <v/>
      </c>
      <c r="AY372" s="6">
        <f>IF(OR($BJ372="",50&gt;設定!$B$3),"",IF(INDEX(原始資料!BA$2:BA$501,$BJ372)="","",INDEX(原始資料!BA$2:BA$501,$BJ372)))</f>
        <v/>
      </c>
      <c r="AZ372" s="6">
        <f>IF(OR($BJ372="",51&gt;設定!$B$3),"",IF(INDEX(原始資料!BB$2:BB$501,$BJ372)="","",INDEX(原始資料!BB$2:BB$501,$BJ372)))</f>
        <v/>
      </c>
      <c r="BA372" s="6">
        <f>IF(OR($BJ372="",52&gt;設定!$B$3),"",IF(INDEX(原始資料!BC$2:BC$501,$BJ372)="","",INDEX(原始資料!BC$2:BC$501,$BJ372)))</f>
        <v/>
      </c>
      <c r="BB372" s="6">
        <f>IF(OR($BJ372="",53&gt;設定!$B$3),"",IF(INDEX(原始資料!BD$2:BD$501,$BJ372)="","",INDEX(原始資料!BD$2:BD$501,$BJ372)))</f>
        <v/>
      </c>
      <c r="BC372" s="6">
        <f>IF(OR($BJ372="",54&gt;設定!$B$3),"",IF(INDEX(原始資料!BE$2:BE$501,$BJ372)="","",INDEX(原始資料!BE$2:BE$501,$BJ372)))</f>
        <v/>
      </c>
      <c r="BD372" s="6">
        <f>IF(OR($BJ372="",55&gt;設定!$B$3),"",IF(INDEX(原始資料!BF$2:BF$501,$BJ372)="","",INDEX(原始資料!BF$2:BF$501,$BJ372)))</f>
        <v/>
      </c>
      <c r="BE372" s="6">
        <f>IF(OR($BJ372="",56&gt;設定!$B$3),"",IF(INDEX(原始資料!BG$2:BG$501,$BJ372)="","",INDEX(原始資料!BG$2:BG$501,$BJ372)))</f>
        <v/>
      </c>
      <c r="BF372" s="6">
        <f>IF(OR($BJ372="",57&gt;設定!$B$3),"",IF(INDEX(原始資料!BH$2:BH$501,$BJ372)="","",INDEX(原始資料!BH$2:BH$501,$BJ372)))</f>
        <v/>
      </c>
      <c r="BG372" s="6">
        <f>IF(OR($BJ372="",58&gt;設定!$B$3),"",IF(INDEX(原始資料!BI$2:BI$501,$BJ372)="","",INDEX(原始資料!BI$2:BI$501,$BJ372)))</f>
        <v/>
      </c>
      <c r="BH372" s="6">
        <f>IF(OR($BJ372="",59&gt;設定!$B$3),"",IF(INDEX(原始資料!BJ$2:BJ$501,$BJ372)="","",INDEX(原始資料!BJ$2:BJ$501,$BJ372)))</f>
        <v/>
      </c>
      <c r="BI372" s="6">
        <f>IF(OR($BJ372="",60&gt;設定!$B$3),"",IF(INDEX(原始資料!BK$2:BK$501,$BJ372)="","",INDEX(原始資料!BK$2:BK$501,$BJ372)))</f>
        <v/>
      </c>
      <c r="BJ372" s="6">
        <f>IFERROR(MATCH(ROW()-1,判定!$H$2:$H$501,0),"")</f>
        <v/>
      </c>
    </row>
    <row r="373">
      <c r="A373" s="6">
        <f>IF($BJ373="","",INDEX(原始資料!$A$2:$A$501,$BJ373))</f>
        <v/>
      </c>
      <c r="B373" s="6">
        <f>IF(OR($BJ373="",1&gt;設定!$B$3),"",IF(INDEX(原始資料!D$2:D$501,$BJ373)="","",INDEX(原始資料!D$2:D$501,$BJ373)))</f>
        <v/>
      </c>
      <c r="C373" s="6">
        <f>IF(OR($BJ373="",2&gt;設定!$B$3),"",IF(INDEX(原始資料!E$2:E$501,$BJ373)="","",INDEX(原始資料!E$2:E$501,$BJ373)))</f>
        <v/>
      </c>
      <c r="D373" s="6">
        <f>IF(OR($BJ373="",3&gt;設定!$B$3),"",IF(INDEX(原始資料!F$2:F$501,$BJ373)="","",INDEX(原始資料!F$2:F$501,$BJ373)))</f>
        <v/>
      </c>
      <c r="E373" s="6">
        <f>IF(OR($BJ373="",4&gt;設定!$B$3),"",IF(INDEX(原始資料!G$2:G$501,$BJ373)="","",INDEX(原始資料!G$2:G$501,$BJ373)))</f>
        <v/>
      </c>
      <c r="F373" s="6">
        <f>IF(OR($BJ373="",5&gt;設定!$B$3),"",IF(INDEX(原始資料!H$2:H$501,$BJ373)="","",INDEX(原始資料!H$2:H$501,$BJ373)))</f>
        <v/>
      </c>
      <c r="G373" s="6">
        <f>IF(OR($BJ373="",6&gt;設定!$B$3),"",IF(INDEX(原始資料!I$2:I$501,$BJ373)="","",INDEX(原始資料!I$2:I$501,$BJ373)))</f>
        <v/>
      </c>
      <c r="H373" s="6">
        <f>IF(OR($BJ373="",7&gt;設定!$B$3),"",IF(INDEX(原始資料!J$2:J$501,$BJ373)="","",INDEX(原始資料!J$2:J$501,$BJ373)))</f>
        <v/>
      </c>
      <c r="I373" s="6">
        <f>IF(OR($BJ373="",8&gt;設定!$B$3),"",IF(INDEX(原始資料!K$2:K$501,$BJ373)="","",INDEX(原始資料!K$2:K$501,$BJ373)))</f>
        <v/>
      </c>
      <c r="J373" s="6">
        <f>IF(OR($BJ373="",9&gt;設定!$B$3),"",IF(INDEX(原始資料!L$2:L$501,$BJ373)="","",INDEX(原始資料!L$2:L$501,$BJ373)))</f>
        <v/>
      </c>
      <c r="K373" s="6">
        <f>IF(OR($BJ373="",10&gt;設定!$B$3),"",IF(INDEX(原始資料!M$2:M$501,$BJ373)="","",INDEX(原始資料!M$2:M$501,$BJ373)))</f>
        <v/>
      </c>
      <c r="L373" s="6">
        <f>IF(OR($BJ373="",11&gt;設定!$B$3),"",IF(INDEX(原始資料!N$2:N$501,$BJ373)="","",INDEX(原始資料!N$2:N$501,$BJ373)))</f>
        <v/>
      </c>
      <c r="M373" s="6">
        <f>IF(OR($BJ373="",12&gt;設定!$B$3),"",IF(INDEX(原始資料!O$2:O$501,$BJ373)="","",INDEX(原始資料!O$2:O$501,$BJ373)))</f>
        <v/>
      </c>
      <c r="N373" s="6">
        <f>IF(OR($BJ373="",13&gt;設定!$B$3),"",IF(INDEX(原始資料!P$2:P$501,$BJ373)="","",INDEX(原始資料!P$2:P$501,$BJ373)))</f>
        <v/>
      </c>
      <c r="O373" s="6">
        <f>IF(OR($BJ373="",14&gt;設定!$B$3),"",IF(INDEX(原始資料!Q$2:Q$501,$BJ373)="","",INDEX(原始資料!Q$2:Q$501,$BJ373)))</f>
        <v/>
      </c>
      <c r="P373" s="6">
        <f>IF(OR($BJ373="",15&gt;設定!$B$3),"",IF(INDEX(原始資料!R$2:R$501,$BJ373)="","",INDEX(原始資料!R$2:R$501,$BJ373)))</f>
        <v/>
      </c>
      <c r="Q373" s="6">
        <f>IF(OR($BJ373="",16&gt;設定!$B$3),"",IF(INDEX(原始資料!S$2:S$501,$BJ373)="","",INDEX(原始資料!S$2:S$501,$BJ373)))</f>
        <v/>
      </c>
      <c r="R373" s="6">
        <f>IF(OR($BJ373="",17&gt;設定!$B$3),"",IF(INDEX(原始資料!T$2:T$501,$BJ373)="","",INDEX(原始資料!T$2:T$501,$BJ373)))</f>
        <v/>
      </c>
      <c r="S373" s="6">
        <f>IF(OR($BJ373="",18&gt;設定!$B$3),"",IF(INDEX(原始資料!U$2:U$501,$BJ373)="","",INDEX(原始資料!U$2:U$501,$BJ373)))</f>
        <v/>
      </c>
      <c r="T373" s="6">
        <f>IF(OR($BJ373="",19&gt;設定!$B$3),"",IF(INDEX(原始資料!V$2:V$501,$BJ373)="","",INDEX(原始資料!V$2:V$501,$BJ373)))</f>
        <v/>
      </c>
      <c r="U373" s="6">
        <f>IF(OR($BJ373="",20&gt;設定!$B$3),"",IF(INDEX(原始資料!W$2:W$501,$BJ373)="","",INDEX(原始資料!W$2:W$501,$BJ373)))</f>
        <v/>
      </c>
      <c r="V373" s="6">
        <f>IF(OR($BJ373="",21&gt;設定!$B$3),"",IF(INDEX(原始資料!X$2:X$501,$BJ373)="","",INDEX(原始資料!X$2:X$501,$BJ373)))</f>
        <v/>
      </c>
      <c r="W373" s="6">
        <f>IF(OR($BJ373="",22&gt;設定!$B$3),"",IF(INDEX(原始資料!Y$2:Y$501,$BJ373)="","",INDEX(原始資料!Y$2:Y$501,$BJ373)))</f>
        <v/>
      </c>
      <c r="X373" s="6">
        <f>IF(OR($BJ373="",23&gt;設定!$B$3),"",IF(INDEX(原始資料!Z$2:Z$501,$BJ373)="","",INDEX(原始資料!Z$2:Z$501,$BJ373)))</f>
        <v/>
      </c>
      <c r="Y373" s="6">
        <f>IF(OR($BJ373="",24&gt;設定!$B$3),"",IF(INDEX(原始資料!AA$2:AA$501,$BJ373)="","",INDEX(原始資料!AA$2:AA$501,$BJ373)))</f>
        <v/>
      </c>
      <c r="Z373" s="6">
        <f>IF(OR($BJ373="",25&gt;設定!$B$3),"",IF(INDEX(原始資料!AB$2:AB$501,$BJ373)="","",INDEX(原始資料!AB$2:AB$501,$BJ373)))</f>
        <v/>
      </c>
      <c r="AA373" s="6">
        <f>IF(OR($BJ373="",26&gt;設定!$B$3),"",IF(INDEX(原始資料!AC$2:AC$501,$BJ373)="","",INDEX(原始資料!AC$2:AC$501,$BJ373)))</f>
        <v/>
      </c>
      <c r="AB373" s="6">
        <f>IF(OR($BJ373="",27&gt;設定!$B$3),"",IF(INDEX(原始資料!AD$2:AD$501,$BJ373)="","",INDEX(原始資料!AD$2:AD$501,$BJ373)))</f>
        <v/>
      </c>
      <c r="AC373" s="6">
        <f>IF(OR($BJ373="",28&gt;設定!$B$3),"",IF(INDEX(原始資料!AE$2:AE$501,$BJ373)="","",INDEX(原始資料!AE$2:AE$501,$BJ373)))</f>
        <v/>
      </c>
      <c r="AD373" s="6">
        <f>IF(OR($BJ373="",29&gt;設定!$B$3),"",IF(INDEX(原始資料!AF$2:AF$501,$BJ373)="","",INDEX(原始資料!AF$2:AF$501,$BJ373)))</f>
        <v/>
      </c>
      <c r="AE373" s="6">
        <f>IF(OR($BJ373="",30&gt;設定!$B$3),"",IF(INDEX(原始資料!AG$2:AG$501,$BJ373)="","",INDEX(原始資料!AG$2:AG$501,$BJ373)))</f>
        <v/>
      </c>
      <c r="AF373" s="6">
        <f>IF(OR($BJ373="",31&gt;設定!$B$3),"",IF(INDEX(原始資料!AH$2:AH$501,$BJ373)="","",INDEX(原始資料!AH$2:AH$501,$BJ373)))</f>
        <v/>
      </c>
      <c r="AG373" s="6">
        <f>IF(OR($BJ373="",32&gt;設定!$B$3),"",IF(INDEX(原始資料!AI$2:AI$501,$BJ373)="","",INDEX(原始資料!AI$2:AI$501,$BJ373)))</f>
        <v/>
      </c>
      <c r="AH373" s="6">
        <f>IF(OR($BJ373="",33&gt;設定!$B$3),"",IF(INDEX(原始資料!AJ$2:AJ$501,$BJ373)="","",INDEX(原始資料!AJ$2:AJ$501,$BJ373)))</f>
        <v/>
      </c>
      <c r="AI373" s="6">
        <f>IF(OR($BJ373="",34&gt;設定!$B$3),"",IF(INDEX(原始資料!AK$2:AK$501,$BJ373)="","",INDEX(原始資料!AK$2:AK$501,$BJ373)))</f>
        <v/>
      </c>
      <c r="AJ373" s="6">
        <f>IF(OR($BJ373="",35&gt;設定!$B$3),"",IF(INDEX(原始資料!AL$2:AL$501,$BJ373)="","",INDEX(原始資料!AL$2:AL$501,$BJ373)))</f>
        <v/>
      </c>
      <c r="AK373" s="6">
        <f>IF(OR($BJ373="",36&gt;設定!$B$3),"",IF(INDEX(原始資料!AM$2:AM$501,$BJ373)="","",INDEX(原始資料!AM$2:AM$501,$BJ373)))</f>
        <v/>
      </c>
      <c r="AL373" s="6">
        <f>IF(OR($BJ373="",37&gt;設定!$B$3),"",IF(INDEX(原始資料!AN$2:AN$501,$BJ373)="","",INDEX(原始資料!AN$2:AN$501,$BJ373)))</f>
        <v/>
      </c>
      <c r="AM373" s="6">
        <f>IF(OR($BJ373="",38&gt;設定!$B$3),"",IF(INDEX(原始資料!AO$2:AO$501,$BJ373)="","",INDEX(原始資料!AO$2:AO$501,$BJ373)))</f>
        <v/>
      </c>
      <c r="AN373" s="6">
        <f>IF(OR($BJ373="",39&gt;設定!$B$3),"",IF(INDEX(原始資料!AP$2:AP$501,$BJ373)="","",INDEX(原始資料!AP$2:AP$501,$BJ373)))</f>
        <v/>
      </c>
      <c r="AO373" s="6">
        <f>IF(OR($BJ373="",40&gt;設定!$B$3),"",IF(INDEX(原始資料!AQ$2:AQ$501,$BJ373)="","",INDEX(原始資料!AQ$2:AQ$501,$BJ373)))</f>
        <v/>
      </c>
      <c r="AP373" s="6">
        <f>IF(OR($BJ373="",41&gt;設定!$B$3),"",IF(INDEX(原始資料!AR$2:AR$501,$BJ373)="","",INDEX(原始資料!AR$2:AR$501,$BJ373)))</f>
        <v/>
      </c>
      <c r="AQ373" s="6">
        <f>IF(OR($BJ373="",42&gt;設定!$B$3),"",IF(INDEX(原始資料!AS$2:AS$501,$BJ373)="","",INDEX(原始資料!AS$2:AS$501,$BJ373)))</f>
        <v/>
      </c>
      <c r="AR373" s="6">
        <f>IF(OR($BJ373="",43&gt;設定!$B$3),"",IF(INDEX(原始資料!AT$2:AT$501,$BJ373)="","",INDEX(原始資料!AT$2:AT$501,$BJ373)))</f>
        <v/>
      </c>
      <c r="AS373" s="6">
        <f>IF(OR($BJ373="",44&gt;設定!$B$3),"",IF(INDEX(原始資料!AU$2:AU$501,$BJ373)="","",INDEX(原始資料!AU$2:AU$501,$BJ373)))</f>
        <v/>
      </c>
      <c r="AT373" s="6">
        <f>IF(OR($BJ373="",45&gt;設定!$B$3),"",IF(INDEX(原始資料!AV$2:AV$501,$BJ373)="","",INDEX(原始資料!AV$2:AV$501,$BJ373)))</f>
        <v/>
      </c>
      <c r="AU373" s="6">
        <f>IF(OR($BJ373="",46&gt;設定!$B$3),"",IF(INDEX(原始資料!AW$2:AW$501,$BJ373)="","",INDEX(原始資料!AW$2:AW$501,$BJ373)))</f>
        <v/>
      </c>
      <c r="AV373" s="6">
        <f>IF(OR($BJ373="",47&gt;設定!$B$3),"",IF(INDEX(原始資料!AX$2:AX$501,$BJ373)="","",INDEX(原始資料!AX$2:AX$501,$BJ373)))</f>
        <v/>
      </c>
      <c r="AW373" s="6">
        <f>IF(OR($BJ373="",48&gt;設定!$B$3),"",IF(INDEX(原始資料!AY$2:AY$501,$BJ373)="","",INDEX(原始資料!AY$2:AY$501,$BJ373)))</f>
        <v/>
      </c>
      <c r="AX373" s="6">
        <f>IF(OR($BJ373="",49&gt;設定!$B$3),"",IF(INDEX(原始資料!AZ$2:AZ$501,$BJ373)="","",INDEX(原始資料!AZ$2:AZ$501,$BJ373)))</f>
        <v/>
      </c>
      <c r="AY373" s="6">
        <f>IF(OR($BJ373="",50&gt;設定!$B$3),"",IF(INDEX(原始資料!BA$2:BA$501,$BJ373)="","",INDEX(原始資料!BA$2:BA$501,$BJ373)))</f>
        <v/>
      </c>
      <c r="AZ373" s="6">
        <f>IF(OR($BJ373="",51&gt;設定!$B$3),"",IF(INDEX(原始資料!BB$2:BB$501,$BJ373)="","",INDEX(原始資料!BB$2:BB$501,$BJ373)))</f>
        <v/>
      </c>
      <c r="BA373" s="6">
        <f>IF(OR($BJ373="",52&gt;設定!$B$3),"",IF(INDEX(原始資料!BC$2:BC$501,$BJ373)="","",INDEX(原始資料!BC$2:BC$501,$BJ373)))</f>
        <v/>
      </c>
      <c r="BB373" s="6">
        <f>IF(OR($BJ373="",53&gt;設定!$B$3),"",IF(INDEX(原始資料!BD$2:BD$501,$BJ373)="","",INDEX(原始資料!BD$2:BD$501,$BJ373)))</f>
        <v/>
      </c>
      <c r="BC373" s="6">
        <f>IF(OR($BJ373="",54&gt;設定!$B$3),"",IF(INDEX(原始資料!BE$2:BE$501,$BJ373)="","",INDEX(原始資料!BE$2:BE$501,$BJ373)))</f>
        <v/>
      </c>
      <c r="BD373" s="6">
        <f>IF(OR($BJ373="",55&gt;設定!$B$3),"",IF(INDEX(原始資料!BF$2:BF$501,$BJ373)="","",INDEX(原始資料!BF$2:BF$501,$BJ373)))</f>
        <v/>
      </c>
      <c r="BE373" s="6">
        <f>IF(OR($BJ373="",56&gt;設定!$B$3),"",IF(INDEX(原始資料!BG$2:BG$501,$BJ373)="","",INDEX(原始資料!BG$2:BG$501,$BJ373)))</f>
        <v/>
      </c>
      <c r="BF373" s="6">
        <f>IF(OR($BJ373="",57&gt;設定!$B$3),"",IF(INDEX(原始資料!BH$2:BH$501,$BJ373)="","",INDEX(原始資料!BH$2:BH$501,$BJ373)))</f>
        <v/>
      </c>
      <c r="BG373" s="6">
        <f>IF(OR($BJ373="",58&gt;設定!$B$3),"",IF(INDEX(原始資料!BI$2:BI$501,$BJ373)="","",INDEX(原始資料!BI$2:BI$501,$BJ373)))</f>
        <v/>
      </c>
      <c r="BH373" s="6">
        <f>IF(OR($BJ373="",59&gt;設定!$B$3),"",IF(INDEX(原始資料!BJ$2:BJ$501,$BJ373)="","",INDEX(原始資料!BJ$2:BJ$501,$BJ373)))</f>
        <v/>
      </c>
      <c r="BI373" s="6">
        <f>IF(OR($BJ373="",60&gt;設定!$B$3),"",IF(INDEX(原始資料!BK$2:BK$501,$BJ373)="","",INDEX(原始資料!BK$2:BK$501,$BJ373)))</f>
        <v/>
      </c>
      <c r="BJ373" s="6">
        <f>IFERROR(MATCH(ROW()-1,判定!$H$2:$H$501,0),"")</f>
        <v/>
      </c>
    </row>
    <row r="374">
      <c r="A374" s="6">
        <f>IF($BJ374="","",INDEX(原始資料!$A$2:$A$501,$BJ374))</f>
        <v/>
      </c>
      <c r="B374" s="6">
        <f>IF(OR($BJ374="",1&gt;設定!$B$3),"",IF(INDEX(原始資料!D$2:D$501,$BJ374)="","",INDEX(原始資料!D$2:D$501,$BJ374)))</f>
        <v/>
      </c>
      <c r="C374" s="6">
        <f>IF(OR($BJ374="",2&gt;設定!$B$3),"",IF(INDEX(原始資料!E$2:E$501,$BJ374)="","",INDEX(原始資料!E$2:E$501,$BJ374)))</f>
        <v/>
      </c>
      <c r="D374" s="6">
        <f>IF(OR($BJ374="",3&gt;設定!$B$3),"",IF(INDEX(原始資料!F$2:F$501,$BJ374)="","",INDEX(原始資料!F$2:F$501,$BJ374)))</f>
        <v/>
      </c>
      <c r="E374" s="6">
        <f>IF(OR($BJ374="",4&gt;設定!$B$3),"",IF(INDEX(原始資料!G$2:G$501,$BJ374)="","",INDEX(原始資料!G$2:G$501,$BJ374)))</f>
        <v/>
      </c>
      <c r="F374" s="6">
        <f>IF(OR($BJ374="",5&gt;設定!$B$3),"",IF(INDEX(原始資料!H$2:H$501,$BJ374)="","",INDEX(原始資料!H$2:H$501,$BJ374)))</f>
        <v/>
      </c>
      <c r="G374" s="6">
        <f>IF(OR($BJ374="",6&gt;設定!$B$3),"",IF(INDEX(原始資料!I$2:I$501,$BJ374)="","",INDEX(原始資料!I$2:I$501,$BJ374)))</f>
        <v/>
      </c>
      <c r="H374" s="6">
        <f>IF(OR($BJ374="",7&gt;設定!$B$3),"",IF(INDEX(原始資料!J$2:J$501,$BJ374)="","",INDEX(原始資料!J$2:J$501,$BJ374)))</f>
        <v/>
      </c>
      <c r="I374" s="6">
        <f>IF(OR($BJ374="",8&gt;設定!$B$3),"",IF(INDEX(原始資料!K$2:K$501,$BJ374)="","",INDEX(原始資料!K$2:K$501,$BJ374)))</f>
        <v/>
      </c>
      <c r="J374" s="6">
        <f>IF(OR($BJ374="",9&gt;設定!$B$3),"",IF(INDEX(原始資料!L$2:L$501,$BJ374)="","",INDEX(原始資料!L$2:L$501,$BJ374)))</f>
        <v/>
      </c>
      <c r="K374" s="6">
        <f>IF(OR($BJ374="",10&gt;設定!$B$3),"",IF(INDEX(原始資料!M$2:M$501,$BJ374)="","",INDEX(原始資料!M$2:M$501,$BJ374)))</f>
        <v/>
      </c>
      <c r="L374" s="6">
        <f>IF(OR($BJ374="",11&gt;設定!$B$3),"",IF(INDEX(原始資料!N$2:N$501,$BJ374)="","",INDEX(原始資料!N$2:N$501,$BJ374)))</f>
        <v/>
      </c>
      <c r="M374" s="6">
        <f>IF(OR($BJ374="",12&gt;設定!$B$3),"",IF(INDEX(原始資料!O$2:O$501,$BJ374)="","",INDEX(原始資料!O$2:O$501,$BJ374)))</f>
        <v/>
      </c>
      <c r="N374" s="6">
        <f>IF(OR($BJ374="",13&gt;設定!$B$3),"",IF(INDEX(原始資料!P$2:P$501,$BJ374)="","",INDEX(原始資料!P$2:P$501,$BJ374)))</f>
        <v/>
      </c>
      <c r="O374" s="6">
        <f>IF(OR($BJ374="",14&gt;設定!$B$3),"",IF(INDEX(原始資料!Q$2:Q$501,$BJ374)="","",INDEX(原始資料!Q$2:Q$501,$BJ374)))</f>
        <v/>
      </c>
      <c r="P374" s="6">
        <f>IF(OR($BJ374="",15&gt;設定!$B$3),"",IF(INDEX(原始資料!R$2:R$501,$BJ374)="","",INDEX(原始資料!R$2:R$501,$BJ374)))</f>
        <v/>
      </c>
      <c r="Q374" s="6">
        <f>IF(OR($BJ374="",16&gt;設定!$B$3),"",IF(INDEX(原始資料!S$2:S$501,$BJ374)="","",INDEX(原始資料!S$2:S$501,$BJ374)))</f>
        <v/>
      </c>
      <c r="R374" s="6">
        <f>IF(OR($BJ374="",17&gt;設定!$B$3),"",IF(INDEX(原始資料!T$2:T$501,$BJ374)="","",INDEX(原始資料!T$2:T$501,$BJ374)))</f>
        <v/>
      </c>
      <c r="S374" s="6">
        <f>IF(OR($BJ374="",18&gt;設定!$B$3),"",IF(INDEX(原始資料!U$2:U$501,$BJ374)="","",INDEX(原始資料!U$2:U$501,$BJ374)))</f>
        <v/>
      </c>
      <c r="T374" s="6">
        <f>IF(OR($BJ374="",19&gt;設定!$B$3),"",IF(INDEX(原始資料!V$2:V$501,$BJ374)="","",INDEX(原始資料!V$2:V$501,$BJ374)))</f>
        <v/>
      </c>
      <c r="U374" s="6">
        <f>IF(OR($BJ374="",20&gt;設定!$B$3),"",IF(INDEX(原始資料!W$2:W$501,$BJ374)="","",INDEX(原始資料!W$2:W$501,$BJ374)))</f>
        <v/>
      </c>
      <c r="V374" s="6">
        <f>IF(OR($BJ374="",21&gt;設定!$B$3),"",IF(INDEX(原始資料!X$2:X$501,$BJ374)="","",INDEX(原始資料!X$2:X$501,$BJ374)))</f>
        <v/>
      </c>
      <c r="W374" s="6">
        <f>IF(OR($BJ374="",22&gt;設定!$B$3),"",IF(INDEX(原始資料!Y$2:Y$501,$BJ374)="","",INDEX(原始資料!Y$2:Y$501,$BJ374)))</f>
        <v/>
      </c>
      <c r="X374" s="6">
        <f>IF(OR($BJ374="",23&gt;設定!$B$3),"",IF(INDEX(原始資料!Z$2:Z$501,$BJ374)="","",INDEX(原始資料!Z$2:Z$501,$BJ374)))</f>
        <v/>
      </c>
      <c r="Y374" s="6">
        <f>IF(OR($BJ374="",24&gt;設定!$B$3),"",IF(INDEX(原始資料!AA$2:AA$501,$BJ374)="","",INDEX(原始資料!AA$2:AA$501,$BJ374)))</f>
        <v/>
      </c>
      <c r="Z374" s="6">
        <f>IF(OR($BJ374="",25&gt;設定!$B$3),"",IF(INDEX(原始資料!AB$2:AB$501,$BJ374)="","",INDEX(原始資料!AB$2:AB$501,$BJ374)))</f>
        <v/>
      </c>
      <c r="AA374" s="6">
        <f>IF(OR($BJ374="",26&gt;設定!$B$3),"",IF(INDEX(原始資料!AC$2:AC$501,$BJ374)="","",INDEX(原始資料!AC$2:AC$501,$BJ374)))</f>
        <v/>
      </c>
      <c r="AB374" s="6">
        <f>IF(OR($BJ374="",27&gt;設定!$B$3),"",IF(INDEX(原始資料!AD$2:AD$501,$BJ374)="","",INDEX(原始資料!AD$2:AD$501,$BJ374)))</f>
        <v/>
      </c>
      <c r="AC374" s="6">
        <f>IF(OR($BJ374="",28&gt;設定!$B$3),"",IF(INDEX(原始資料!AE$2:AE$501,$BJ374)="","",INDEX(原始資料!AE$2:AE$501,$BJ374)))</f>
        <v/>
      </c>
      <c r="AD374" s="6">
        <f>IF(OR($BJ374="",29&gt;設定!$B$3),"",IF(INDEX(原始資料!AF$2:AF$501,$BJ374)="","",INDEX(原始資料!AF$2:AF$501,$BJ374)))</f>
        <v/>
      </c>
      <c r="AE374" s="6">
        <f>IF(OR($BJ374="",30&gt;設定!$B$3),"",IF(INDEX(原始資料!AG$2:AG$501,$BJ374)="","",INDEX(原始資料!AG$2:AG$501,$BJ374)))</f>
        <v/>
      </c>
      <c r="AF374" s="6">
        <f>IF(OR($BJ374="",31&gt;設定!$B$3),"",IF(INDEX(原始資料!AH$2:AH$501,$BJ374)="","",INDEX(原始資料!AH$2:AH$501,$BJ374)))</f>
        <v/>
      </c>
      <c r="AG374" s="6">
        <f>IF(OR($BJ374="",32&gt;設定!$B$3),"",IF(INDEX(原始資料!AI$2:AI$501,$BJ374)="","",INDEX(原始資料!AI$2:AI$501,$BJ374)))</f>
        <v/>
      </c>
      <c r="AH374" s="6">
        <f>IF(OR($BJ374="",33&gt;設定!$B$3),"",IF(INDEX(原始資料!AJ$2:AJ$501,$BJ374)="","",INDEX(原始資料!AJ$2:AJ$501,$BJ374)))</f>
        <v/>
      </c>
      <c r="AI374" s="6">
        <f>IF(OR($BJ374="",34&gt;設定!$B$3),"",IF(INDEX(原始資料!AK$2:AK$501,$BJ374)="","",INDEX(原始資料!AK$2:AK$501,$BJ374)))</f>
        <v/>
      </c>
      <c r="AJ374" s="6">
        <f>IF(OR($BJ374="",35&gt;設定!$B$3),"",IF(INDEX(原始資料!AL$2:AL$501,$BJ374)="","",INDEX(原始資料!AL$2:AL$501,$BJ374)))</f>
        <v/>
      </c>
      <c r="AK374" s="6">
        <f>IF(OR($BJ374="",36&gt;設定!$B$3),"",IF(INDEX(原始資料!AM$2:AM$501,$BJ374)="","",INDEX(原始資料!AM$2:AM$501,$BJ374)))</f>
        <v/>
      </c>
      <c r="AL374" s="6">
        <f>IF(OR($BJ374="",37&gt;設定!$B$3),"",IF(INDEX(原始資料!AN$2:AN$501,$BJ374)="","",INDEX(原始資料!AN$2:AN$501,$BJ374)))</f>
        <v/>
      </c>
      <c r="AM374" s="6">
        <f>IF(OR($BJ374="",38&gt;設定!$B$3),"",IF(INDEX(原始資料!AO$2:AO$501,$BJ374)="","",INDEX(原始資料!AO$2:AO$501,$BJ374)))</f>
        <v/>
      </c>
      <c r="AN374" s="6">
        <f>IF(OR($BJ374="",39&gt;設定!$B$3),"",IF(INDEX(原始資料!AP$2:AP$501,$BJ374)="","",INDEX(原始資料!AP$2:AP$501,$BJ374)))</f>
        <v/>
      </c>
      <c r="AO374" s="6">
        <f>IF(OR($BJ374="",40&gt;設定!$B$3),"",IF(INDEX(原始資料!AQ$2:AQ$501,$BJ374)="","",INDEX(原始資料!AQ$2:AQ$501,$BJ374)))</f>
        <v/>
      </c>
      <c r="AP374" s="6">
        <f>IF(OR($BJ374="",41&gt;設定!$B$3),"",IF(INDEX(原始資料!AR$2:AR$501,$BJ374)="","",INDEX(原始資料!AR$2:AR$501,$BJ374)))</f>
        <v/>
      </c>
      <c r="AQ374" s="6">
        <f>IF(OR($BJ374="",42&gt;設定!$B$3),"",IF(INDEX(原始資料!AS$2:AS$501,$BJ374)="","",INDEX(原始資料!AS$2:AS$501,$BJ374)))</f>
        <v/>
      </c>
      <c r="AR374" s="6">
        <f>IF(OR($BJ374="",43&gt;設定!$B$3),"",IF(INDEX(原始資料!AT$2:AT$501,$BJ374)="","",INDEX(原始資料!AT$2:AT$501,$BJ374)))</f>
        <v/>
      </c>
      <c r="AS374" s="6">
        <f>IF(OR($BJ374="",44&gt;設定!$B$3),"",IF(INDEX(原始資料!AU$2:AU$501,$BJ374)="","",INDEX(原始資料!AU$2:AU$501,$BJ374)))</f>
        <v/>
      </c>
      <c r="AT374" s="6">
        <f>IF(OR($BJ374="",45&gt;設定!$B$3),"",IF(INDEX(原始資料!AV$2:AV$501,$BJ374)="","",INDEX(原始資料!AV$2:AV$501,$BJ374)))</f>
        <v/>
      </c>
      <c r="AU374" s="6">
        <f>IF(OR($BJ374="",46&gt;設定!$B$3),"",IF(INDEX(原始資料!AW$2:AW$501,$BJ374)="","",INDEX(原始資料!AW$2:AW$501,$BJ374)))</f>
        <v/>
      </c>
      <c r="AV374" s="6">
        <f>IF(OR($BJ374="",47&gt;設定!$B$3),"",IF(INDEX(原始資料!AX$2:AX$501,$BJ374)="","",INDEX(原始資料!AX$2:AX$501,$BJ374)))</f>
        <v/>
      </c>
      <c r="AW374" s="6">
        <f>IF(OR($BJ374="",48&gt;設定!$B$3),"",IF(INDEX(原始資料!AY$2:AY$501,$BJ374)="","",INDEX(原始資料!AY$2:AY$501,$BJ374)))</f>
        <v/>
      </c>
      <c r="AX374" s="6">
        <f>IF(OR($BJ374="",49&gt;設定!$B$3),"",IF(INDEX(原始資料!AZ$2:AZ$501,$BJ374)="","",INDEX(原始資料!AZ$2:AZ$501,$BJ374)))</f>
        <v/>
      </c>
      <c r="AY374" s="6">
        <f>IF(OR($BJ374="",50&gt;設定!$B$3),"",IF(INDEX(原始資料!BA$2:BA$501,$BJ374)="","",INDEX(原始資料!BA$2:BA$501,$BJ374)))</f>
        <v/>
      </c>
      <c r="AZ374" s="6">
        <f>IF(OR($BJ374="",51&gt;設定!$B$3),"",IF(INDEX(原始資料!BB$2:BB$501,$BJ374)="","",INDEX(原始資料!BB$2:BB$501,$BJ374)))</f>
        <v/>
      </c>
      <c r="BA374" s="6">
        <f>IF(OR($BJ374="",52&gt;設定!$B$3),"",IF(INDEX(原始資料!BC$2:BC$501,$BJ374)="","",INDEX(原始資料!BC$2:BC$501,$BJ374)))</f>
        <v/>
      </c>
      <c r="BB374" s="6">
        <f>IF(OR($BJ374="",53&gt;設定!$B$3),"",IF(INDEX(原始資料!BD$2:BD$501,$BJ374)="","",INDEX(原始資料!BD$2:BD$501,$BJ374)))</f>
        <v/>
      </c>
      <c r="BC374" s="6">
        <f>IF(OR($BJ374="",54&gt;設定!$B$3),"",IF(INDEX(原始資料!BE$2:BE$501,$BJ374)="","",INDEX(原始資料!BE$2:BE$501,$BJ374)))</f>
        <v/>
      </c>
      <c r="BD374" s="6">
        <f>IF(OR($BJ374="",55&gt;設定!$B$3),"",IF(INDEX(原始資料!BF$2:BF$501,$BJ374)="","",INDEX(原始資料!BF$2:BF$501,$BJ374)))</f>
        <v/>
      </c>
      <c r="BE374" s="6">
        <f>IF(OR($BJ374="",56&gt;設定!$B$3),"",IF(INDEX(原始資料!BG$2:BG$501,$BJ374)="","",INDEX(原始資料!BG$2:BG$501,$BJ374)))</f>
        <v/>
      </c>
      <c r="BF374" s="6">
        <f>IF(OR($BJ374="",57&gt;設定!$B$3),"",IF(INDEX(原始資料!BH$2:BH$501,$BJ374)="","",INDEX(原始資料!BH$2:BH$501,$BJ374)))</f>
        <v/>
      </c>
      <c r="BG374" s="6">
        <f>IF(OR($BJ374="",58&gt;設定!$B$3),"",IF(INDEX(原始資料!BI$2:BI$501,$BJ374)="","",INDEX(原始資料!BI$2:BI$501,$BJ374)))</f>
        <v/>
      </c>
      <c r="BH374" s="6">
        <f>IF(OR($BJ374="",59&gt;設定!$B$3),"",IF(INDEX(原始資料!BJ$2:BJ$501,$BJ374)="","",INDEX(原始資料!BJ$2:BJ$501,$BJ374)))</f>
        <v/>
      </c>
      <c r="BI374" s="6">
        <f>IF(OR($BJ374="",60&gt;設定!$B$3),"",IF(INDEX(原始資料!BK$2:BK$501,$BJ374)="","",INDEX(原始資料!BK$2:BK$501,$BJ374)))</f>
        <v/>
      </c>
      <c r="BJ374" s="6">
        <f>IFERROR(MATCH(ROW()-1,判定!$H$2:$H$501,0),"")</f>
        <v/>
      </c>
    </row>
    <row r="375">
      <c r="A375" s="6">
        <f>IF($BJ375="","",INDEX(原始資料!$A$2:$A$501,$BJ375))</f>
        <v/>
      </c>
      <c r="B375" s="6">
        <f>IF(OR($BJ375="",1&gt;設定!$B$3),"",IF(INDEX(原始資料!D$2:D$501,$BJ375)="","",INDEX(原始資料!D$2:D$501,$BJ375)))</f>
        <v/>
      </c>
      <c r="C375" s="6">
        <f>IF(OR($BJ375="",2&gt;設定!$B$3),"",IF(INDEX(原始資料!E$2:E$501,$BJ375)="","",INDEX(原始資料!E$2:E$501,$BJ375)))</f>
        <v/>
      </c>
      <c r="D375" s="6">
        <f>IF(OR($BJ375="",3&gt;設定!$B$3),"",IF(INDEX(原始資料!F$2:F$501,$BJ375)="","",INDEX(原始資料!F$2:F$501,$BJ375)))</f>
        <v/>
      </c>
      <c r="E375" s="6">
        <f>IF(OR($BJ375="",4&gt;設定!$B$3),"",IF(INDEX(原始資料!G$2:G$501,$BJ375)="","",INDEX(原始資料!G$2:G$501,$BJ375)))</f>
        <v/>
      </c>
      <c r="F375" s="6">
        <f>IF(OR($BJ375="",5&gt;設定!$B$3),"",IF(INDEX(原始資料!H$2:H$501,$BJ375)="","",INDEX(原始資料!H$2:H$501,$BJ375)))</f>
        <v/>
      </c>
      <c r="G375" s="6">
        <f>IF(OR($BJ375="",6&gt;設定!$B$3),"",IF(INDEX(原始資料!I$2:I$501,$BJ375)="","",INDEX(原始資料!I$2:I$501,$BJ375)))</f>
        <v/>
      </c>
      <c r="H375" s="6">
        <f>IF(OR($BJ375="",7&gt;設定!$B$3),"",IF(INDEX(原始資料!J$2:J$501,$BJ375)="","",INDEX(原始資料!J$2:J$501,$BJ375)))</f>
        <v/>
      </c>
      <c r="I375" s="6">
        <f>IF(OR($BJ375="",8&gt;設定!$B$3),"",IF(INDEX(原始資料!K$2:K$501,$BJ375)="","",INDEX(原始資料!K$2:K$501,$BJ375)))</f>
        <v/>
      </c>
      <c r="J375" s="6">
        <f>IF(OR($BJ375="",9&gt;設定!$B$3),"",IF(INDEX(原始資料!L$2:L$501,$BJ375)="","",INDEX(原始資料!L$2:L$501,$BJ375)))</f>
        <v/>
      </c>
      <c r="K375" s="6">
        <f>IF(OR($BJ375="",10&gt;設定!$B$3),"",IF(INDEX(原始資料!M$2:M$501,$BJ375)="","",INDEX(原始資料!M$2:M$501,$BJ375)))</f>
        <v/>
      </c>
      <c r="L375" s="6">
        <f>IF(OR($BJ375="",11&gt;設定!$B$3),"",IF(INDEX(原始資料!N$2:N$501,$BJ375)="","",INDEX(原始資料!N$2:N$501,$BJ375)))</f>
        <v/>
      </c>
      <c r="M375" s="6">
        <f>IF(OR($BJ375="",12&gt;設定!$B$3),"",IF(INDEX(原始資料!O$2:O$501,$BJ375)="","",INDEX(原始資料!O$2:O$501,$BJ375)))</f>
        <v/>
      </c>
      <c r="N375" s="6">
        <f>IF(OR($BJ375="",13&gt;設定!$B$3),"",IF(INDEX(原始資料!P$2:P$501,$BJ375)="","",INDEX(原始資料!P$2:P$501,$BJ375)))</f>
        <v/>
      </c>
      <c r="O375" s="6">
        <f>IF(OR($BJ375="",14&gt;設定!$B$3),"",IF(INDEX(原始資料!Q$2:Q$501,$BJ375)="","",INDEX(原始資料!Q$2:Q$501,$BJ375)))</f>
        <v/>
      </c>
      <c r="P375" s="6">
        <f>IF(OR($BJ375="",15&gt;設定!$B$3),"",IF(INDEX(原始資料!R$2:R$501,$BJ375)="","",INDEX(原始資料!R$2:R$501,$BJ375)))</f>
        <v/>
      </c>
      <c r="Q375" s="6">
        <f>IF(OR($BJ375="",16&gt;設定!$B$3),"",IF(INDEX(原始資料!S$2:S$501,$BJ375)="","",INDEX(原始資料!S$2:S$501,$BJ375)))</f>
        <v/>
      </c>
      <c r="R375" s="6">
        <f>IF(OR($BJ375="",17&gt;設定!$B$3),"",IF(INDEX(原始資料!T$2:T$501,$BJ375)="","",INDEX(原始資料!T$2:T$501,$BJ375)))</f>
        <v/>
      </c>
      <c r="S375" s="6">
        <f>IF(OR($BJ375="",18&gt;設定!$B$3),"",IF(INDEX(原始資料!U$2:U$501,$BJ375)="","",INDEX(原始資料!U$2:U$501,$BJ375)))</f>
        <v/>
      </c>
      <c r="T375" s="6">
        <f>IF(OR($BJ375="",19&gt;設定!$B$3),"",IF(INDEX(原始資料!V$2:V$501,$BJ375)="","",INDEX(原始資料!V$2:V$501,$BJ375)))</f>
        <v/>
      </c>
      <c r="U375" s="6">
        <f>IF(OR($BJ375="",20&gt;設定!$B$3),"",IF(INDEX(原始資料!W$2:W$501,$BJ375)="","",INDEX(原始資料!W$2:W$501,$BJ375)))</f>
        <v/>
      </c>
      <c r="V375" s="6">
        <f>IF(OR($BJ375="",21&gt;設定!$B$3),"",IF(INDEX(原始資料!X$2:X$501,$BJ375)="","",INDEX(原始資料!X$2:X$501,$BJ375)))</f>
        <v/>
      </c>
      <c r="W375" s="6">
        <f>IF(OR($BJ375="",22&gt;設定!$B$3),"",IF(INDEX(原始資料!Y$2:Y$501,$BJ375)="","",INDEX(原始資料!Y$2:Y$501,$BJ375)))</f>
        <v/>
      </c>
      <c r="X375" s="6">
        <f>IF(OR($BJ375="",23&gt;設定!$B$3),"",IF(INDEX(原始資料!Z$2:Z$501,$BJ375)="","",INDEX(原始資料!Z$2:Z$501,$BJ375)))</f>
        <v/>
      </c>
      <c r="Y375" s="6">
        <f>IF(OR($BJ375="",24&gt;設定!$B$3),"",IF(INDEX(原始資料!AA$2:AA$501,$BJ375)="","",INDEX(原始資料!AA$2:AA$501,$BJ375)))</f>
        <v/>
      </c>
      <c r="Z375" s="6">
        <f>IF(OR($BJ375="",25&gt;設定!$B$3),"",IF(INDEX(原始資料!AB$2:AB$501,$BJ375)="","",INDEX(原始資料!AB$2:AB$501,$BJ375)))</f>
        <v/>
      </c>
      <c r="AA375" s="6">
        <f>IF(OR($BJ375="",26&gt;設定!$B$3),"",IF(INDEX(原始資料!AC$2:AC$501,$BJ375)="","",INDEX(原始資料!AC$2:AC$501,$BJ375)))</f>
        <v/>
      </c>
      <c r="AB375" s="6">
        <f>IF(OR($BJ375="",27&gt;設定!$B$3),"",IF(INDEX(原始資料!AD$2:AD$501,$BJ375)="","",INDEX(原始資料!AD$2:AD$501,$BJ375)))</f>
        <v/>
      </c>
      <c r="AC375" s="6">
        <f>IF(OR($BJ375="",28&gt;設定!$B$3),"",IF(INDEX(原始資料!AE$2:AE$501,$BJ375)="","",INDEX(原始資料!AE$2:AE$501,$BJ375)))</f>
        <v/>
      </c>
      <c r="AD375" s="6">
        <f>IF(OR($BJ375="",29&gt;設定!$B$3),"",IF(INDEX(原始資料!AF$2:AF$501,$BJ375)="","",INDEX(原始資料!AF$2:AF$501,$BJ375)))</f>
        <v/>
      </c>
      <c r="AE375" s="6">
        <f>IF(OR($BJ375="",30&gt;設定!$B$3),"",IF(INDEX(原始資料!AG$2:AG$501,$BJ375)="","",INDEX(原始資料!AG$2:AG$501,$BJ375)))</f>
        <v/>
      </c>
      <c r="AF375" s="6">
        <f>IF(OR($BJ375="",31&gt;設定!$B$3),"",IF(INDEX(原始資料!AH$2:AH$501,$BJ375)="","",INDEX(原始資料!AH$2:AH$501,$BJ375)))</f>
        <v/>
      </c>
      <c r="AG375" s="6">
        <f>IF(OR($BJ375="",32&gt;設定!$B$3),"",IF(INDEX(原始資料!AI$2:AI$501,$BJ375)="","",INDEX(原始資料!AI$2:AI$501,$BJ375)))</f>
        <v/>
      </c>
      <c r="AH375" s="6">
        <f>IF(OR($BJ375="",33&gt;設定!$B$3),"",IF(INDEX(原始資料!AJ$2:AJ$501,$BJ375)="","",INDEX(原始資料!AJ$2:AJ$501,$BJ375)))</f>
        <v/>
      </c>
      <c r="AI375" s="6">
        <f>IF(OR($BJ375="",34&gt;設定!$B$3),"",IF(INDEX(原始資料!AK$2:AK$501,$BJ375)="","",INDEX(原始資料!AK$2:AK$501,$BJ375)))</f>
        <v/>
      </c>
      <c r="AJ375" s="6">
        <f>IF(OR($BJ375="",35&gt;設定!$B$3),"",IF(INDEX(原始資料!AL$2:AL$501,$BJ375)="","",INDEX(原始資料!AL$2:AL$501,$BJ375)))</f>
        <v/>
      </c>
      <c r="AK375" s="6">
        <f>IF(OR($BJ375="",36&gt;設定!$B$3),"",IF(INDEX(原始資料!AM$2:AM$501,$BJ375)="","",INDEX(原始資料!AM$2:AM$501,$BJ375)))</f>
        <v/>
      </c>
      <c r="AL375" s="6">
        <f>IF(OR($BJ375="",37&gt;設定!$B$3),"",IF(INDEX(原始資料!AN$2:AN$501,$BJ375)="","",INDEX(原始資料!AN$2:AN$501,$BJ375)))</f>
        <v/>
      </c>
      <c r="AM375" s="6">
        <f>IF(OR($BJ375="",38&gt;設定!$B$3),"",IF(INDEX(原始資料!AO$2:AO$501,$BJ375)="","",INDEX(原始資料!AO$2:AO$501,$BJ375)))</f>
        <v/>
      </c>
      <c r="AN375" s="6">
        <f>IF(OR($BJ375="",39&gt;設定!$B$3),"",IF(INDEX(原始資料!AP$2:AP$501,$BJ375)="","",INDEX(原始資料!AP$2:AP$501,$BJ375)))</f>
        <v/>
      </c>
      <c r="AO375" s="6">
        <f>IF(OR($BJ375="",40&gt;設定!$B$3),"",IF(INDEX(原始資料!AQ$2:AQ$501,$BJ375)="","",INDEX(原始資料!AQ$2:AQ$501,$BJ375)))</f>
        <v/>
      </c>
      <c r="AP375" s="6">
        <f>IF(OR($BJ375="",41&gt;設定!$B$3),"",IF(INDEX(原始資料!AR$2:AR$501,$BJ375)="","",INDEX(原始資料!AR$2:AR$501,$BJ375)))</f>
        <v/>
      </c>
      <c r="AQ375" s="6">
        <f>IF(OR($BJ375="",42&gt;設定!$B$3),"",IF(INDEX(原始資料!AS$2:AS$501,$BJ375)="","",INDEX(原始資料!AS$2:AS$501,$BJ375)))</f>
        <v/>
      </c>
      <c r="AR375" s="6">
        <f>IF(OR($BJ375="",43&gt;設定!$B$3),"",IF(INDEX(原始資料!AT$2:AT$501,$BJ375)="","",INDEX(原始資料!AT$2:AT$501,$BJ375)))</f>
        <v/>
      </c>
      <c r="AS375" s="6">
        <f>IF(OR($BJ375="",44&gt;設定!$B$3),"",IF(INDEX(原始資料!AU$2:AU$501,$BJ375)="","",INDEX(原始資料!AU$2:AU$501,$BJ375)))</f>
        <v/>
      </c>
      <c r="AT375" s="6">
        <f>IF(OR($BJ375="",45&gt;設定!$B$3),"",IF(INDEX(原始資料!AV$2:AV$501,$BJ375)="","",INDEX(原始資料!AV$2:AV$501,$BJ375)))</f>
        <v/>
      </c>
      <c r="AU375" s="6">
        <f>IF(OR($BJ375="",46&gt;設定!$B$3),"",IF(INDEX(原始資料!AW$2:AW$501,$BJ375)="","",INDEX(原始資料!AW$2:AW$501,$BJ375)))</f>
        <v/>
      </c>
      <c r="AV375" s="6">
        <f>IF(OR($BJ375="",47&gt;設定!$B$3),"",IF(INDEX(原始資料!AX$2:AX$501,$BJ375)="","",INDEX(原始資料!AX$2:AX$501,$BJ375)))</f>
        <v/>
      </c>
      <c r="AW375" s="6">
        <f>IF(OR($BJ375="",48&gt;設定!$B$3),"",IF(INDEX(原始資料!AY$2:AY$501,$BJ375)="","",INDEX(原始資料!AY$2:AY$501,$BJ375)))</f>
        <v/>
      </c>
      <c r="AX375" s="6">
        <f>IF(OR($BJ375="",49&gt;設定!$B$3),"",IF(INDEX(原始資料!AZ$2:AZ$501,$BJ375)="","",INDEX(原始資料!AZ$2:AZ$501,$BJ375)))</f>
        <v/>
      </c>
      <c r="AY375" s="6">
        <f>IF(OR($BJ375="",50&gt;設定!$B$3),"",IF(INDEX(原始資料!BA$2:BA$501,$BJ375)="","",INDEX(原始資料!BA$2:BA$501,$BJ375)))</f>
        <v/>
      </c>
      <c r="AZ375" s="6">
        <f>IF(OR($BJ375="",51&gt;設定!$B$3),"",IF(INDEX(原始資料!BB$2:BB$501,$BJ375)="","",INDEX(原始資料!BB$2:BB$501,$BJ375)))</f>
        <v/>
      </c>
      <c r="BA375" s="6">
        <f>IF(OR($BJ375="",52&gt;設定!$B$3),"",IF(INDEX(原始資料!BC$2:BC$501,$BJ375)="","",INDEX(原始資料!BC$2:BC$501,$BJ375)))</f>
        <v/>
      </c>
      <c r="BB375" s="6">
        <f>IF(OR($BJ375="",53&gt;設定!$B$3),"",IF(INDEX(原始資料!BD$2:BD$501,$BJ375)="","",INDEX(原始資料!BD$2:BD$501,$BJ375)))</f>
        <v/>
      </c>
      <c r="BC375" s="6">
        <f>IF(OR($BJ375="",54&gt;設定!$B$3),"",IF(INDEX(原始資料!BE$2:BE$501,$BJ375)="","",INDEX(原始資料!BE$2:BE$501,$BJ375)))</f>
        <v/>
      </c>
      <c r="BD375" s="6">
        <f>IF(OR($BJ375="",55&gt;設定!$B$3),"",IF(INDEX(原始資料!BF$2:BF$501,$BJ375)="","",INDEX(原始資料!BF$2:BF$501,$BJ375)))</f>
        <v/>
      </c>
      <c r="BE375" s="6">
        <f>IF(OR($BJ375="",56&gt;設定!$B$3),"",IF(INDEX(原始資料!BG$2:BG$501,$BJ375)="","",INDEX(原始資料!BG$2:BG$501,$BJ375)))</f>
        <v/>
      </c>
      <c r="BF375" s="6">
        <f>IF(OR($BJ375="",57&gt;設定!$B$3),"",IF(INDEX(原始資料!BH$2:BH$501,$BJ375)="","",INDEX(原始資料!BH$2:BH$501,$BJ375)))</f>
        <v/>
      </c>
      <c r="BG375" s="6">
        <f>IF(OR($BJ375="",58&gt;設定!$B$3),"",IF(INDEX(原始資料!BI$2:BI$501,$BJ375)="","",INDEX(原始資料!BI$2:BI$501,$BJ375)))</f>
        <v/>
      </c>
      <c r="BH375" s="6">
        <f>IF(OR($BJ375="",59&gt;設定!$B$3),"",IF(INDEX(原始資料!BJ$2:BJ$501,$BJ375)="","",INDEX(原始資料!BJ$2:BJ$501,$BJ375)))</f>
        <v/>
      </c>
      <c r="BI375" s="6">
        <f>IF(OR($BJ375="",60&gt;設定!$B$3),"",IF(INDEX(原始資料!BK$2:BK$501,$BJ375)="","",INDEX(原始資料!BK$2:BK$501,$BJ375)))</f>
        <v/>
      </c>
      <c r="BJ375" s="6">
        <f>IFERROR(MATCH(ROW()-1,判定!$H$2:$H$501,0),"")</f>
        <v/>
      </c>
    </row>
    <row r="376">
      <c r="A376" s="6">
        <f>IF($BJ376="","",INDEX(原始資料!$A$2:$A$501,$BJ376))</f>
        <v/>
      </c>
      <c r="B376" s="6">
        <f>IF(OR($BJ376="",1&gt;設定!$B$3),"",IF(INDEX(原始資料!D$2:D$501,$BJ376)="","",INDEX(原始資料!D$2:D$501,$BJ376)))</f>
        <v/>
      </c>
      <c r="C376" s="6">
        <f>IF(OR($BJ376="",2&gt;設定!$B$3),"",IF(INDEX(原始資料!E$2:E$501,$BJ376)="","",INDEX(原始資料!E$2:E$501,$BJ376)))</f>
        <v/>
      </c>
      <c r="D376" s="6">
        <f>IF(OR($BJ376="",3&gt;設定!$B$3),"",IF(INDEX(原始資料!F$2:F$501,$BJ376)="","",INDEX(原始資料!F$2:F$501,$BJ376)))</f>
        <v/>
      </c>
      <c r="E376" s="6">
        <f>IF(OR($BJ376="",4&gt;設定!$B$3),"",IF(INDEX(原始資料!G$2:G$501,$BJ376)="","",INDEX(原始資料!G$2:G$501,$BJ376)))</f>
        <v/>
      </c>
      <c r="F376" s="6">
        <f>IF(OR($BJ376="",5&gt;設定!$B$3),"",IF(INDEX(原始資料!H$2:H$501,$BJ376)="","",INDEX(原始資料!H$2:H$501,$BJ376)))</f>
        <v/>
      </c>
      <c r="G376" s="6">
        <f>IF(OR($BJ376="",6&gt;設定!$B$3),"",IF(INDEX(原始資料!I$2:I$501,$BJ376)="","",INDEX(原始資料!I$2:I$501,$BJ376)))</f>
        <v/>
      </c>
      <c r="H376" s="6">
        <f>IF(OR($BJ376="",7&gt;設定!$B$3),"",IF(INDEX(原始資料!J$2:J$501,$BJ376)="","",INDEX(原始資料!J$2:J$501,$BJ376)))</f>
        <v/>
      </c>
      <c r="I376" s="6">
        <f>IF(OR($BJ376="",8&gt;設定!$B$3),"",IF(INDEX(原始資料!K$2:K$501,$BJ376)="","",INDEX(原始資料!K$2:K$501,$BJ376)))</f>
        <v/>
      </c>
      <c r="J376" s="6">
        <f>IF(OR($BJ376="",9&gt;設定!$B$3),"",IF(INDEX(原始資料!L$2:L$501,$BJ376)="","",INDEX(原始資料!L$2:L$501,$BJ376)))</f>
        <v/>
      </c>
      <c r="K376" s="6">
        <f>IF(OR($BJ376="",10&gt;設定!$B$3),"",IF(INDEX(原始資料!M$2:M$501,$BJ376)="","",INDEX(原始資料!M$2:M$501,$BJ376)))</f>
        <v/>
      </c>
      <c r="L376" s="6">
        <f>IF(OR($BJ376="",11&gt;設定!$B$3),"",IF(INDEX(原始資料!N$2:N$501,$BJ376)="","",INDEX(原始資料!N$2:N$501,$BJ376)))</f>
        <v/>
      </c>
      <c r="M376" s="6">
        <f>IF(OR($BJ376="",12&gt;設定!$B$3),"",IF(INDEX(原始資料!O$2:O$501,$BJ376)="","",INDEX(原始資料!O$2:O$501,$BJ376)))</f>
        <v/>
      </c>
      <c r="N376" s="6">
        <f>IF(OR($BJ376="",13&gt;設定!$B$3),"",IF(INDEX(原始資料!P$2:P$501,$BJ376)="","",INDEX(原始資料!P$2:P$501,$BJ376)))</f>
        <v/>
      </c>
      <c r="O376" s="6">
        <f>IF(OR($BJ376="",14&gt;設定!$B$3),"",IF(INDEX(原始資料!Q$2:Q$501,$BJ376)="","",INDEX(原始資料!Q$2:Q$501,$BJ376)))</f>
        <v/>
      </c>
      <c r="P376" s="6">
        <f>IF(OR($BJ376="",15&gt;設定!$B$3),"",IF(INDEX(原始資料!R$2:R$501,$BJ376)="","",INDEX(原始資料!R$2:R$501,$BJ376)))</f>
        <v/>
      </c>
      <c r="Q376" s="6">
        <f>IF(OR($BJ376="",16&gt;設定!$B$3),"",IF(INDEX(原始資料!S$2:S$501,$BJ376)="","",INDEX(原始資料!S$2:S$501,$BJ376)))</f>
        <v/>
      </c>
      <c r="R376" s="6">
        <f>IF(OR($BJ376="",17&gt;設定!$B$3),"",IF(INDEX(原始資料!T$2:T$501,$BJ376)="","",INDEX(原始資料!T$2:T$501,$BJ376)))</f>
        <v/>
      </c>
      <c r="S376" s="6">
        <f>IF(OR($BJ376="",18&gt;設定!$B$3),"",IF(INDEX(原始資料!U$2:U$501,$BJ376)="","",INDEX(原始資料!U$2:U$501,$BJ376)))</f>
        <v/>
      </c>
      <c r="T376" s="6">
        <f>IF(OR($BJ376="",19&gt;設定!$B$3),"",IF(INDEX(原始資料!V$2:V$501,$BJ376)="","",INDEX(原始資料!V$2:V$501,$BJ376)))</f>
        <v/>
      </c>
      <c r="U376" s="6">
        <f>IF(OR($BJ376="",20&gt;設定!$B$3),"",IF(INDEX(原始資料!W$2:W$501,$BJ376)="","",INDEX(原始資料!W$2:W$501,$BJ376)))</f>
        <v/>
      </c>
      <c r="V376" s="6">
        <f>IF(OR($BJ376="",21&gt;設定!$B$3),"",IF(INDEX(原始資料!X$2:X$501,$BJ376)="","",INDEX(原始資料!X$2:X$501,$BJ376)))</f>
        <v/>
      </c>
      <c r="W376" s="6">
        <f>IF(OR($BJ376="",22&gt;設定!$B$3),"",IF(INDEX(原始資料!Y$2:Y$501,$BJ376)="","",INDEX(原始資料!Y$2:Y$501,$BJ376)))</f>
        <v/>
      </c>
      <c r="X376" s="6">
        <f>IF(OR($BJ376="",23&gt;設定!$B$3),"",IF(INDEX(原始資料!Z$2:Z$501,$BJ376)="","",INDEX(原始資料!Z$2:Z$501,$BJ376)))</f>
        <v/>
      </c>
      <c r="Y376" s="6">
        <f>IF(OR($BJ376="",24&gt;設定!$B$3),"",IF(INDEX(原始資料!AA$2:AA$501,$BJ376)="","",INDEX(原始資料!AA$2:AA$501,$BJ376)))</f>
        <v/>
      </c>
      <c r="Z376" s="6">
        <f>IF(OR($BJ376="",25&gt;設定!$B$3),"",IF(INDEX(原始資料!AB$2:AB$501,$BJ376)="","",INDEX(原始資料!AB$2:AB$501,$BJ376)))</f>
        <v/>
      </c>
      <c r="AA376" s="6">
        <f>IF(OR($BJ376="",26&gt;設定!$B$3),"",IF(INDEX(原始資料!AC$2:AC$501,$BJ376)="","",INDEX(原始資料!AC$2:AC$501,$BJ376)))</f>
        <v/>
      </c>
      <c r="AB376" s="6">
        <f>IF(OR($BJ376="",27&gt;設定!$B$3),"",IF(INDEX(原始資料!AD$2:AD$501,$BJ376)="","",INDEX(原始資料!AD$2:AD$501,$BJ376)))</f>
        <v/>
      </c>
      <c r="AC376" s="6">
        <f>IF(OR($BJ376="",28&gt;設定!$B$3),"",IF(INDEX(原始資料!AE$2:AE$501,$BJ376)="","",INDEX(原始資料!AE$2:AE$501,$BJ376)))</f>
        <v/>
      </c>
      <c r="AD376" s="6">
        <f>IF(OR($BJ376="",29&gt;設定!$B$3),"",IF(INDEX(原始資料!AF$2:AF$501,$BJ376)="","",INDEX(原始資料!AF$2:AF$501,$BJ376)))</f>
        <v/>
      </c>
      <c r="AE376" s="6">
        <f>IF(OR($BJ376="",30&gt;設定!$B$3),"",IF(INDEX(原始資料!AG$2:AG$501,$BJ376)="","",INDEX(原始資料!AG$2:AG$501,$BJ376)))</f>
        <v/>
      </c>
      <c r="AF376" s="6">
        <f>IF(OR($BJ376="",31&gt;設定!$B$3),"",IF(INDEX(原始資料!AH$2:AH$501,$BJ376)="","",INDEX(原始資料!AH$2:AH$501,$BJ376)))</f>
        <v/>
      </c>
      <c r="AG376" s="6">
        <f>IF(OR($BJ376="",32&gt;設定!$B$3),"",IF(INDEX(原始資料!AI$2:AI$501,$BJ376)="","",INDEX(原始資料!AI$2:AI$501,$BJ376)))</f>
        <v/>
      </c>
      <c r="AH376" s="6">
        <f>IF(OR($BJ376="",33&gt;設定!$B$3),"",IF(INDEX(原始資料!AJ$2:AJ$501,$BJ376)="","",INDEX(原始資料!AJ$2:AJ$501,$BJ376)))</f>
        <v/>
      </c>
      <c r="AI376" s="6">
        <f>IF(OR($BJ376="",34&gt;設定!$B$3),"",IF(INDEX(原始資料!AK$2:AK$501,$BJ376)="","",INDEX(原始資料!AK$2:AK$501,$BJ376)))</f>
        <v/>
      </c>
      <c r="AJ376" s="6">
        <f>IF(OR($BJ376="",35&gt;設定!$B$3),"",IF(INDEX(原始資料!AL$2:AL$501,$BJ376)="","",INDEX(原始資料!AL$2:AL$501,$BJ376)))</f>
        <v/>
      </c>
      <c r="AK376" s="6">
        <f>IF(OR($BJ376="",36&gt;設定!$B$3),"",IF(INDEX(原始資料!AM$2:AM$501,$BJ376)="","",INDEX(原始資料!AM$2:AM$501,$BJ376)))</f>
        <v/>
      </c>
      <c r="AL376" s="6">
        <f>IF(OR($BJ376="",37&gt;設定!$B$3),"",IF(INDEX(原始資料!AN$2:AN$501,$BJ376)="","",INDEX(原始資料!AN$2:AN$501,$BJ376)))</f>
        <v/>
      </c>
      <c r="AM376" s="6">
        <f>IF(OR($BJ376="",38&gt;設定!$B$3),"",IF(INDEX(原始資料!AO$2:AO$501,$BJ376)="","",INDEX(原始資料!AO$2:AO$501,$BJ376)))</f>
        <v/>
      </c>
      <c r="AN376" s="6">
        <f>IF(OR($BJ376="",39&gt;設定!$B$3),"",IF(INDEX(原始資料!AP$2:AP$501,$BJ376)="","",INDEX(原始資料!AP$2:AP$501,$BJ376)))</f>
        <v/>
      </c>
      <c r="AO376" s="6">
        <f>IF(OR($BJ376="",40&gt;設定!$B$3),"",IF(INDEX(原始資料!AQ$2:AQ$501,$BJ376)="","",INDEX(原始資料!AQ$2:AQ$501,$BJ376)))</f>
        <v/>
      </c>
      <c r="AP376" s="6">
        <f>IF(OR($BJ376="",41&gt;設定!$B$3),"",IF(INDEX(原始資料!AR$2:AR$501,$BJ376)="","",INDEX(原始資料!AR$2:AR$501,$BJ376)))</f>
        <v/>
      </c>
      <c r="AQ376" s="6">
        <f>IF(OR($BJ376="",42&gt;設定!$B$3),"",IF(INDEX(原始資料!AS$2:AS$501,$BJ376)="","",INDEX(原始資料!AS$2:AS$501,$BJ376)))</f>
        <v/>
      </c>
      <c r="AR376" s="6">
        <f>IF(OR($BJ376="",43&gt;設定!$B$3),"",IF(INDEX(原始資料!AT$2:AT$501,$BJ376)="","",INDEX(原始資料!AT$2:AT$501,$BJ376)))</f>
        <v/>
      </c>
      <c r="AS376" s="6">
        <f>IF(OR($BJ376="",44&gt;設定!$B$3),"",IF(INDEX(原始資料!AU$2:AU$501,$BJ376)="","",INDEX(原始資料!AU$2:AU$501,$BJ376)))</f>
        <v/>
      </c>
      <c r="AT376" s="6">
        <f>IF(OR($BJ376="",45&gt;設定!$B$3),"",IF(INDEX(原始資料!AV$2:AV$501,$BJ376)="","",INDEX(原始資料!AV$2:AV$501,$BJ376)))</f>
        <v/>
      </c>
      <c r="AU376" s="6">
        <f>IF(OR($BJ376="",46&gt;設定!$B$3),"",IF(INDEX(原始資料!AW$2:AW$501,$BJ376)="","",INDEX(原始資料!AW$2:AW$501,$BJ376)))</f>
        <v/>
      </c>
      <c r="AV376" s="6">
        <f>IF(OR($BJ376="",47&gt;設定!$B$3),"",IF(INDEX(原始資料!AX$2:AX$501,$BJ376)="","",INDEX(原始資料!AX$2:AX$501,$BJ376)))</f>
        <v/>
      </c>
      <c r="AW376" s="6">
        <f>IF(OR($BJ376="",48&gt;設定!$B$3),"",IF(INDEX(原始資料!AY$2:AY$501,$BJ376)="","",INDEX(原始資料!AY$2:AY$501,$BJ376)))</f>
        <v/>
      </c>
      <c r="AX376" s="6">
        <f>IF(OR($BJ376="",49&gt;設定!$B$3),"",IF(INDEX(原始資料!AZ$2:AZ$501,$BJ376)="","",INDEX(原始資料!AZ$2:AZ$501,$BJ376)))</f>
        <v/>
      </c>
      <c r="AY376" s="6">
        <f>IF(OR($BJ376="",50&gt;設定!$B$3),"",IF(INDEX(原始資料!BA$2:BA$501,$BJ376)="","",INDEX(原始資料!BA$2:BA$501,$BJ376)))</f>
        <v/>
      </c>
      <c r="AZ376" s="6">
        <f>IF(OR($BJ376="",51&gt;設定!$B$3),"",IF(INDEX(原始資料!BB$2:BB$501,$BJ376)="","",INDEX(原始資料!BB$2:BB$501,$BJ376)))</f>
        <v/>
      </c>
      <c r="BA376" s="6">
        <f>IF(OR($BJ376="",52&gt;設定!$B$3),"",IF(INDEX(原始資料!BC$2:BC$501,$BJ376)="","",INDEX(原始資料!BC$2:BC$501,$BJ376)))</f>
        <v/>
      </c>
      <c r="BB376" s="6">
        <f>IF(OR($BJ376="",53&gt;設定!$B$3),"",IF(INDEX(原始資料!BD$2:BD$501,$BJ376)="","",INDEX(原始資料!BD$2:BD$501,$BJ376)))</f>
        <v/>
      </c>
      <c r="BC376" s="6">
        <f>IF(OR($BJ376="",54&gt;設定!$B$3),"",IF(INDEX(原始資料!BE$2:BE$501,$BJ376)="","",INDEX(原始資料!BE$2:BE$501,$BJ376)))</f>
        <v/>
      </c>
      <c r="BD376" s="6">
        <f>IF(OR($BJ376="",55&gt;設定!$B$3),"",IF(INDEX(原始資料!BF$2:BF$501,$BJ376)="","",INDEX(原始資料!BF$2:BF$501,$BJ376)))</f>
        <v/>
      </c>
      <c r="BE376" s="6">
        <f>IF(OR($BJ376="",56&gt;設定!$B$3),"",IF(INDEX(原始資料!BG$2:BG$501,$BJ376)="","",INDEX(原始資料!BG$2:BG$501,$BJ376)))</f>
        <v/>
      </c>
      <c r="BF376" s="6">
        <f>IF(OR($BJ376="",57&gt;設定!$B$3),"",IF(INDEX(原始資料!BH$2:BH$501,$BJ376)="","",INDEX(原始資料!BH$2:BH$501,$BJ376)))</f>
        <v/>
      </c>
      <c r="BG376" s="6">
        <f>IF(OR($BJ376="",58&gt;設定!$B$3),"",IF(INDEX(原始資料!BI$2:BI$501,$BJ376)="","",INDEX(原始資料!BI$2:BI$501,$BJ376)))</f>
        <v/>
      </c>
      <c r="BH376" s="6">
        <f>IF(OR($BJ376="",59&gt;設定!$B$3),"",IF(INDEX(原始資料!BJ$2:BJ$501,$BJ376)="","",INDEX(原始資料!BJ$2:BJ$501,$BJ376)))</f>
        <v/>
      </c>
      <c r="BI376" s="6">
        <f>IF(OR($BJ376="",60&gt;設定!$B$3),"",IF(INDEX(原始資料!BK$2:BK$501,$BJ376)="","",INDEX(原始資料!BK$2:BK$501,$BJ376)))</f>
        <v/>
      </c>
      <c r="BJ376" s="6">
        <f>IFERROR(MATCH(ROW()-1,判定!$H$2:$H$501,0),"")</f>
        <v/>
      </c>
    </row>
    <row r="377">
      <c r="A377" s="6">
        <f>IF($BJ377="","",INDEX(原始資料!$A$2:$A$501,$BJ377))</f>
        <v/>
      </c>
      <c r="B377" s="6">
        <f>IF(OR($BJ377="",1&gt;設定!$B$3),"",IF(INDEX(原始資料!D$2:D$501,$BJ377)="","",INDEX(原始資料!D$2:D$501,$BJ377)))</f>
        <v/>
      </c>
      <c r="C377" s="6">
        <f>IF(OR($BJ377="",2&gt;設定!$B$3),"",IF(INDEX(原始資料!E$2:E$501,$BJ377)="","",INDEX(原始資料!E$2:E$501,$BJ377)))</f>
        <v/>
      </c>
      <c r="D377" s="6">
        <f>IF(OR($BJ377="",3&gt;設定!$B$3),"",IF(INDEX(原始資料!F$2:F$501,$BJ377)="","",INDEX(原始資料!F$2:F$501,$BJ377)))</f>
        <v/>
      </c>
      <c r="E377" s="6">
        <f>IF(OR($BJ377="",4&gt;設定!$B$3),"",IF(INDEX(原始資料!G$2:G$501,$BJ377)="","",INDEX(原始資料!G$2:G$501,$BJ377)))</f>
        <v/>
      </c>
      <c r="F377" s="6">
        <f>IF(OR($BJ377="",5&gt;設定!$B$3),"",IF(INDEX(原始資料!H$2:H$501,$BJ377)="","",INDEX(原始資料!H$2:H$501,$BJ377)))</f>
        <v/>
      </c>
      <c r="G377" s="6">
        <f>IF(OR($BJ377="",6&gt;設定!$B$3),"",IF(INDEX(原始資料!I$2:I$501,$BJ377)="","",INDEX(原始資料!I$2:I$501,$BJ377)))</f>
        <v/>
      </c>
      <c r="H377" s="6">
        <f>IF(OR($BJ377="",7&gt;設定!$B$3),"",IF(INDEX(原始資料!J$2:J$501,$BJ377)="","",INDEX(原始資料!J$2:J$501,$BJ377)))</f>
        <v/>
      </c>
      <c r="I377" s="6">
        <f>IF(OR($BJ377="",8&gt;設定!$B$3),"",IF(INDEX(原始資料!K$2:K$501,$BJ377)="","",INDEX(原始資料!K$2:K$501,$BJ377)))</f>
        <v/>
      </c>
      <c r="J377" s="6">
        <f>IF(OR($BJ377="",9&gt;設定!$B$3),"",IF(INDEX(原始資料!L$2:L$501,$BJ377)="","",INDEX(原始資料!L$2:L$501,$BJ377)))</f>
        <v/>
      </c>
      <c r="K377" s="6">
        <f>IF(OR($BJ377="",10&gt;設定!$B$3),"",IF(INDEX(原始資料!M$2:M$501,$BJ377)="","",INDEX(原始資料!M$2:M$501,$BJ377)))</f>
        <v/>
      </c>
      <c r="L377" s="6">
        <f>IF(OR($BJ377="",11&gt;設定!$B$3),"",IF(INDEX(原始資料!N$2:N$501,$BJ377)="","",INDEX(原始資料!N$2:N$501,$BJ377)))</f>
        <v/>
      </c>
      <c r="M377" s="6">
        <f>IF(OR($BJ377="",12&gt;設定!$B$3),"",IF(INDEX(原始資料!O$2:O$501,$BJ377)="","",INDEX(原始資料!O$2:O$501,$BJ377)))</f>
        <v/>
      </c>
      <c r="N377" s="6">
        <f>IF(OR($BJ377="",13&gt;設定!$B$3),"",IF(INDEX(原始資料!P$2:P$501,$BJ377)="","",INDEX(原始資料!P$2:P$501,$BJ377)))</f>
        <v/>
      </c>
      <c r="O377" s="6">
        <f>IF(OR($BJ377="",14&gt;設定!$B$3),"",IF(INDEX(原始資料!Q$2:Q$501,$BJ377)="","",INDEX(原始資料!Q$2:Q$501,$BJ377)))</f>
        <v/>
      </c>
      <c r="P377" s="6">
        <f>IF(OR($BJ377="",15&gt;設定!$B$3),"",IF(INDEX(原始資料!R$2:R$501,$BJ377)="","",INDEX(原始資料!R$2:R$501,$BJ377)))</f>
        <v/>
      </c>
      <c r="Q377" s="6">
        <f>IF(OR($BJ377="",16&gt;設定!$B$3),"",IF(INDEX(原始資料!S$2:S$501,$BJ377)="","",INDEX(原始資料!S$2:S$501,$BJ377)))</f>
        <v/>
      </c>
      <c r="R377" s="6">
        <f>IF(OR($BJ377="",17&gt;設定!$B$3),"",IF(INDEX(原始資料!T$2:T$501,$BJ377)="","",INDEX(原始資料!T$2:T$501,$BJ377)))</f>
        <v/>
      </c>
      <c r="S377" s="6">
        <f>IF(OR($BJ377="",18&gt;設定!$B$3),"",IF(INDEX(原始資料!U$2:U$501,$BJ377)="","",INDEX(原始資料!U$2:U$501,$BJ377)))</f>
        <v/>
      </c>
      <c r="T377" s="6">
        <f>IF(OR($BJ377="",19&gt;設定!$B$3),"",IF(INDEX(原始資料!V$2:V$501,$BJ377)="","",INDEX(原始資料!V$2:V$501,$BJ377)))</f>
        <v/>
      </c>
      <c r="U377" s="6">
        <f>IF(OR($BJ377="",20&gt;設定!$B$3),"",IF(INDEX(原始資料!W$2:W$501,$BJ377)="","",INDEX(原始資料!W$2:W$501,$BJ377)))</f>
        <v/>
      </c>
      <c r="V377" s="6">
        <f>IF(OR($BJ377="",21&gt;設定!$B$3),"",IF(INDEX(原始資料!X$2:X$501,$BJ377)="","",INDEX(原始資料!X$2:X$501,$BJ377)))</f>
        <v/>
      </c>
      <c r="W377" s="6">
        <f>IF(OR($BJ377="",22&gt;設定!$B$3),"",IF(INDEX(原始資料!Y$2:Y$501,$BJ377)="","",INDEX(原始資料!Y$2:Y$501,$BJ377)))</f>
        <v/>
      </c>
      <c r="X377" s="6">
        <f>IF(OR($BJ377="",23&gt;設定!$B$3),"",IF(INDEX(原始資料!Z$2:Z$501,$BJ377)="","",INDEX(原始資料!Z$2:Z$501,$BJ377)))</f>
        <v/>
      </c>
      <c r="Y377" s="6">
        <f>IF(OR($BJ377="",24&gt;設定!$B$3),"",IF(INDEX(原始資料!AA$2:AA$501,$BJ377)="","",INDEX(原始資料!AA$2:AA$501,$BJ377)))</f>
        <v/>
      </c>
      <c r="Z377" s="6">
        <f>IF(OR($BJ377="",25&gt;設定!$B$3),"",IF(INDEX(原始資料!AB$2:AB$501,$BJ377)="","",INDEX(原始資料!AB$2:AB$501,$BJ377)))</f>
        <v/>
      </c>
      <c r="AA377" s="6">
        <f>IF(OR($BJ377="",26&gt;設定!$B$3),"",IF(INDEX(原始資料!AC$2:AC$501,$BJ377)="","",INDEX(原始資料!AC$2:AC$501,$BJ377)))</f>
        <v/>
      </c>
      <c r="AB377" s="6">
        <f>IF(OR($BJ377="",27&gt;設定!$B$3),"",IF(INDEX(原始資料!AD$2:AD$501,$BJ377)="","",INDEX(原始資料!AD$2:AD$501,$BJ377)))</f>
        <v/>
      </c>
      <c r="AC377" s="6">
        <f>IF(OR($BJ377="",28&gt;設定!$B$3),"",IF(INDEX(原始資料!AE$2:AE$501,$BJ377)="","",INDEX(原始資料!AE$2:AE$501,$BJ377)))</f>
        <v/>
      </c>
      <c r="AD377" s="6">
        <f>IF(OR($BJ377="",29&gt;設定!$B$3),"",IF(INDEX(原始資料!AF$2:AF$501,$BJ377)="","",INDEX(原始資料!AF$2:AF$501,$BJ377)))</f>
        <v/>
      </c>
      <c r="AE377" s="6">
        <f>IF(OR($BJ377="",30&gt;設定!$B$3),"",IF(INDEX(原始資料!AG$2:AG$501,$BJ377)="","",INDEX(原始資料!AG$2:AG$501,$BJ377)))</f>
        <v/>
      </c>
      <c r="AF377" s="6">
        <f>IF(OR($BJ377="",31&gt;設定!$B$3),"",IF(INDEX(原始資料!AH$2:AH$501,$BJ377)="","",INDEX(原始資料!AH$2:AH$501,$BJ377)))</f>
        <v/>
      </c>
      <c r="AG377" s="6">
        <f>IF(OR($BJ377="",32&gt;設定!$B$3),"",IF(INDEX(原始資料!AI$2:AI$501,$BJ377)="","",INDEX(原始資料!AI$2:AI$501,$BJ377)))</f>
        <v/>
      </c>
      <c r="AH377" s="6">
        <f>IF(OR($BJ377="",33&gt;設定!$B$3),"",IF(INDEX(原始資料!AJ$2:AJ$501,$BJ377)="","",INDEX(原始資料!AJ$2:AJ$501,$BJ377)))</f>
        <v/>
      </c>
      <c r="AI377" s="6">
        <f>IF(OR($BJ377="",34&gt;設定!$B$3),"",IF(INDEX(原始資料!AK$2:AK$501,$BJ377)="","",INDEX(原始資料!AK$2:AK$501,$BJ377)))</f>
        <v/>
      </c>
      <c r="AJ377" s="6">
        <f>IF(OR($BJ377="",35&gt;設定!$B$3),"",IF(INDEX(原始資料!AL$2:AL$501,$BJ377)="","",INDEX(原始資料!AL$2:AL$501,$BJ377)))</f>
        <v/>
      </c>
      <c r="AK377" s="6">
        <f>IF(OR($BJ377="",36&gt;設定!$B$3),"",IF(INDEX(原始資料!AM$2:AM$501,$BJ377)="","",INDEX(原始資料!AM$2:AM$501,$BJ377)))</f>
        <v/>
      </c>
      <c r="AL377" s="6">
        <f>IF(OR($BJ377="",37&gt;設定!$B$3),"",IF(INDEX(原始資料!AN$2:AN$501,$BJ377)="","",INDEX(原始資料!AN$2:AN$501,$BJ377)))</f>
        <v/>
      </c>
      <c r="AM377" s="6">
        <f>IF(OR($BJ377="",38&gt;設定!$B$3),"",IF(INDEX(原始資料!AO$2:AO$501,$BJ377)="","",INDEX(原始資料!AO$2:AO$501,$BJ377)))</f>
        <v/>
      </c>
      <c r="AN377" s="6">
        <f>IF(OR($BJ377="",39&gt;設定!$B$3),"",IF(INDEX(原始資料!AP$2:AP$501,$BJ377)="","",INDEX(原始資料!AP$2:AP$501,$BJ377)))</f>
        <v/>
      </c>
      <c r="AO377" s="6">
        <f>IF(OR($BJ377="",40&gt;設定!$B$3),"",IF(INDEX(原始資料!AQ$2:AQ$501,$BJ377)="","",INDEX(原始資料!AQ$2:AQ$501,$BJ377)))</f>
        <v/>
      </c>
      <c r="AP377" s="6">
        <f>IF(OR($BJ377="",41&gt;設定!$B$3),"",IF(INDEX(原始資料!AR$2:AR$501,$BJ377)="","",INDEX(原始資料!AR$2:AR$501,$BJ377)))</f>
        <v/>
      </c>
      <c r="AQ377" s="6">
        <f>IF(OR($BJ377="",42&gt;設定!$B$3),"",IF(INDEX(原始資料!AS$2:AS$501,$BJ377)="","",INDEX(原始資料!AS$2:AS$501,$BJ377)))</f>
        <v/>
      </c>
      <c r="AR377" s="6">
        <f>IF(OR($BJ377="",43&gt;設定!$B$3),"",IF(INDEX(原始資料!AT$2:AT$501,$BJ377)="","",INDEX(原始資料!AT$2:AT$501,$BJ377)))</f>
        <v/>
      </c>
      <c r="AS377" s="6">
        <f>IF(OR($BJ377="",44&gt;設定!$B$3),"",IF(INDEX(原始資料!AU$2:AU$501,$BJ377)="","",INDEX(原始資料!AU$2:AU$501,$BJ377)))</f>
        <v/>
      </c>
      <c r="AT377" s="6">
        <f>IF(OR($BJ377="",45&gt;設定!$B$3),"",IF(INDEX(原始資料!AV$2:AV$501,$BJ377)="","",INDEX(原始資料!AV$2:AV$501,$BJ377)))</f>
        <v/>
      </c>
      <c r="AU377" s="6">
        <f>IF(OR($BJ377="",46&gt;設定!$B$3),"",IF(INDEX(原始資料!AW$2:AW$501,$BJ377)="","",INDEX(原始資料!AW$2:AW$501,$BJ377)))</f>
        <v/>
      </c>
      <c r="AV377" s="6">
        <f>IF(OR($BJ377="",47&gt;設定!$B$3),"",IF(INDEX(原始資料!AX$2:AX$501,$BJ377)="","",INDEX(原始資料!AX$2:AX$501,$BJ377)))</f>
        <v/>
      </c>
      <c r="AW377" s="6">
        <f>IF(OR($BJ377="",48&gt;設定!$B$3),"",IF(INDEX(原始資料!AY$2:AY$501,$BJ377)="","",INDEX(原始資料!AY$2:AY$501,$BJ377)))</f>
        <v/>
      </c>
      <c r="AX377" s="6">
        <f>IF(OR($BJ377="",49&gt;設定!$B$3),"",IF(INDEX(原始資料!AZ$2:AZ$501,$BJ377)="","",INDEX(原始資料!AZ$2:AZ$501,$BJ377)))</f>
        <v/>
      </c>
      <c r="AY377" s="6">
        <f>IF(OR($BJ377="",50&gt;設定!$B$3),"",IF(INDEX(原始資料!BA$2:BA$501,$BJ377)="","",INDEX(原始資料!BA$2:BA$501,$BJ377)))</f>
        <v/>
      </c>
      <c r="AZ377" s="6">
        <f>IF(OR($BJ377="",51&gt;設定!$B$3),"",IF(INDEX(原始資料!BB$2:BB$501,$BJ377)="","",INDEX(原始資料!BB$2:BB$501,$BJ377)))</f>
        <v/>
      </c>
      <c r="BA377" s="6">
        <f>IF(OR($BJ377="",52&gt;設定!$B$3),"",IF(INDEX(原始資料!BC$2:BC$501,$BJ377)="","",INDEX(原始資料!BC$2:BC$501,$BJ377)))</f>
        <v/>
      </c>
      <c r="BB377" s="6">
        <f>IF(OR($BJ377="",53&gt;設定!$B$3),"",IF(INDEX(原始資料!BD$2:BD$501,$BJ377)="","",INDEX(原始資料!BD$2:BD$501,$BJ377)))</f>
        <v/>
      </c>
      <c r="BC377" s="6">
        <f>IF(OR($BJ377="",54&gt;設定!$B$3),"",IF(INDEX(原始資料!BE$2:BE$501,$BJ377)="","",INDEX(原始資料!BE$2:BE$501,$BJ377)))</f>
        <v/>
      </c>
      <c r="BD377" s="6">
        <f>IF(OR($BJ377="",55&gt;設定!$B$3),"",IF(INDEX(原始資料!BF$2:BF$501,$BJ377)="","",INDEX(原始資料!BF$2:BF$501,$BJ377)))</f>
        <v/>
      </c>
      <c r="BE377" s="6">
        <f>IF(OR($BJ377="",56&gt;設定!$B$3),"",IF(INDEX(原始資料!BG$2:BG$501,$BJ377)="","",INDEX(原始資料!BG$2:BG$501,$BJ377)))</f>
        <v/>
      </c>
      <c r="BF377" s="6">
        <f>IF(OR($BJ377="",57&gt;設定!$B$3),"",IF(INDEX(原始資料!BH$2:BH$501,$BJ377)="","",INDEX(原始資料!BH$2:BH$501,$BJ377)))</f>
        <v/>
      </c>
      <c r="BG377" s="6">
        <f>IF(OR($BJ377="",58&gt;設定!$B$3),"",IF(INDEX(原始資料!BI$2:BI$501,$BJ377)="","",INDEX(原始資料!BI$2:BI$501,$BJ377)))</f>
        <v/>
      </c>
      <c r="BH377" s="6">
        <f>IF(OR($BJ377="",59&gt;設定!$B$3),"",IF(INDEX(原始資料!BJ$2:BJ$501,$BJ377)="","",INDEX(原始資料!BJ$2:BJ$501,$BJ377)))</f>
        <v/>
      </c>
      <c r="BI377" s="6">
        <f>IF(OR($BJ377="",60&gt;設定!$B$3),"",IF(INDEX(原始資料!BK$2:BK$501,$BJ377)="","",INDEX(原始資料!BK$2:BK$501,$BJ377)))</f>
        <v/>
      </c>
      <c r="BJ377" s="6">
        <f>IFERROR(MATCH(ROW()-1,判定!$H$2:$H$501,0),"")</f>
        <v/>
      </c>
    </row>
    <row r="378">
      <c r="A378" s="6">
        <f>IF($BJ378="","",INDEX(原始資料!$A$2:$A$501,$BJ378))</f>
        <v/>
      </c>
      <c r="B378" s="6">
        <f>IF(OR($BJ378="",1&gt;設定!$B$3),"",IF(INDEX(原始資料!D$2:D$501,$BJ378)="","",INDEX(原始資料!D$2:D$501,$BJ378)))</f>
        <v/>
      </c>
      <c r="C378" s="6">
        <f>IF(OR($BJ378="",2&gt;設定!$B$3),"",IF(INDEX(原始資料!E$2:E$501,$BJ378)="","",INDEX(原始資料!E$2:E$501,$BJ378)))</f>
        <v/>
      </c>
      <c r="D378" s="6">
        <f>IF(OR($BJ378="",3&gt;設定!$B$3),"",IF(INDEX(原始資料!F$2:F$501,$BJ378)="","",INDEX(原始資料!F$2:F$501,$BJ378)))</f>
        <v/>
      </c>
      <c r="E378" s="6">
        <f>IF(OR($BJ378="",4&gt;設定!$B$3),"",IF(INDEX(原始資料!G$2:G$501,$BJ378)="","",INDEX(原始資料!G$2:G$501,$BJ378)))</f>
        <v/>
      </c>
      <c r="F378" s="6">
        <f>IF(OR($BJ378="",5&gt;設定!$B$3),"",IF(INDEX(原始資料!H$2:H$501,$BJ378)="","",INDEX(原始資料!H$2:H$501,$BJ378)))</f>
        <v/>
      </c>
      <c r="G378" s="6">
        <f>IF(OR($BJ378="",6&gt;設定!$B$3),"",IF(INDEX(原始資料!I$2:I$501,$BJ378)="","",INDEX(原始資料!I$2:I$501,$BJ378)))</f>
        <v/>
      </c>
      <c r="H378" s="6">
        <f>IF(OR($BJ378="",7&gt;設定!$B$3),"",IF(INDEX(原始資料!J$2:J$501,$BJ378)="","",INDEX(原始資料!J$2:J$501,$BJ378)))</f>
        <v/>
      </c>
      <c r="I378" s="6">
        <f>IF(OR($BJ378="",8&gt;設定!$B$3),"",IF(INDEX(原始資料!K$2:K$501,$BJ378)="","",INDEX(原始資料!K$2:K$501,$BJ378)))</f>
        <v/>
      </c>
      <c r="J378" s="6">
        <f>IF(OR($BJ378="",9&gt;設定!$B$3),"",IF(INDEX(原始資料!L$2:L$501,$BJ378)="","",INDEX(原始資料!L$2:L$501,$BJ378)))</f>
        <v/>
      </c>
      <c r="K378" s="6">
        <f>IF(OR($BJ378="",10&gt;設定!$B$3),"",IF(INDEX(原始資料!M$2:M$501,$BJ378)="","",INDEX(原始資料!M$2:M$501,$BJ378)))</f>
        <v/>
      </c>
      <c r="L378" s="6">
        <f>IF(OR($BJ378="",11&gt;設定!$B$3),"",IF(INDEX(原始資料!N$2:N$501,$BJ378)="","",INDEX(原始資料!N$2:N$501,$BJ378)))</f>
        <v/>
      </c>
      <c r="M378" s="6">
        <f>IF(OR($BJ378="",12&gt;設定!$B$3),"",IF(INDEX(原始資料!O$2:O$501,$BJ378)="","",INDEX(原始資料!O$2:O$501,$BJ378)))</f>
        <v/>
      </c>
      <c r="N378" s="6">
        <f>IF(OR($BJ378="",13&gt;設定!$B$3),"",IF(INDEX(原始資料!P$2:P$501,$BJ378)="","",INDEX(原始資料!P$2:P$501,$BJ378)))</f>
        <v/>
      </c>
      <c r="O378" s="6">
        <f>IF(OR($BJ378="",14&gt;設定!$B$3),"",IF(INDEX(原始資料!Q$2:Q$501,$BJ378)="","",INDEX(原始資料!Q$2:Q$501,$BJ378)))</f>
        <v/>
      </c>
      <c r="P378" s="6">
        <f>IF(OR($BJ378="",15&gt;設定!$B$3),"",IF(INDEX(原始資料!R$2:R$501,$BJ378)="","",INDEX(原始資料!R$2:R$501,$BJ378)))</f>
        <v/>
      </c>
      <c r="Q378" s="6">
        <f>IF(OR($BJ378="",16&gt;設定!$B$3),"",IF(INDEX(原始資料!S$2:S$501,$BJ378)="","",INDEX(原始資料!S$2:S$501,$BJ378)))</f>
        <v/>
      </c>
      <c r="R378" s="6">
        <f>IF(OR($BJ378="",17&gt;設定!$B$3),"",IF(INDEX(原始資料!T$2:T$501,$BJ378)="","",INDEX(原始資料!T$2:T$501,$BJ378)))</f>
        <v/>
      </c>
      <c r="S378" s="6">
        <f>IF(OR($BJ378="",18&gt;設定!$B$3),"",IF(INDEX(原始資料!U$2:U$501,$BJ378)="","",INDEX(原始資料!U$2:U$501,$BJ378)))</f>
        <v/>
      </c>
      <c r="T378" s="6">
        <f>IF(OR($BJ378="",19&gt;設定!$B$3),"",IF(INDEX(原始資料!V$2:V$501,$BJ378)="","",INDEX(原始資料!V$2:V$501,$BJ378)))</f>
        <v/>
      </c>
      <c r="U378" s="6">
        <f>IF(OR($BJ378="",20&gt;設定!$B$3),"",IF(INDEX(原始資料!W$2:W$501,$BJ378)="","",INDEX(原始資料!W$2:W$501,$BJ378)))</f>
        <v/>
      </c>
      <c r="V378" s="6">
        <f>IF(OR($BJ378="",21&gt;設定!$B$3),"",IF(INDEX(原始資料!X$2:X$501,$BJ378)="","",INDEX(原始資料!X$2:X$501,$BJ378)))</f>
        <v/>
      </c>
      <c r="W378" s="6">
        <f>IF(OR($BJ378="",22&gt;設定!$B$3),"",IF(INDEX(原始資料!Y$2:Y$501,$BJ378)="","",INDEX(原始資料!Y$2:Y$501,$BJ378)))</f>
        <v/>
      </c>
      <c r="X378" s="6">
        <f>IF(OR($BJ378="",23&gt;設定!$B$3),"",IF(INDEX(原始資料!Z$2:Z$501,$BJ378)="","",INDEX(原始資料!Z$2:Z$501,$BJ378)))</f>
        <v/>
      </c>
      <c r="Y378" s="6">
        <f>IF(OR($BJ378="",24&gt;設定!$B$3),"",IF(INDEX(原始資料!AA$2:AA$501,$BJ378)="","",INDEX(原始資料!AA$2:AA$501,$BJ378)))</f>
        <v/>
      </c>
      <c r="Z378" s="6">
        <f>IF(OR($BJ378="",25&gt;設定!$B$3),"",IF(INDEX(原始資料!AB$2:AB$501,$BJ378)="","",INDEX(原始資料!AB$2:AB$501,$BJ378)))</f>
        <v/>
      </c>
      <c r="AA378" s="6">
        <f>IF(OR($BJ378="",26&gt;設定!$B$3),"",IF(INDEX(原始資料!AC$2:AC$501,$BJ378)="","",INDEX(原始資料!AC$2:AC$501,$BJ378)))</f>
        <v/>
      </c>
      <c r="AB378" s="6">
        <f>IF(OR($BJ378="",27&gt;設定!$B$3),"",IF(INDEX(原始資料!AD$2:AD$501,$BJ378)="","",INDEX(原始資料!AD$2:AD$501,$BJ378)))</f>
        <v/>
      </c>
      <c r="AC378" s="6">
        <f>IF(OR($BJ378="",28&gt;設定!$B$3),"",IF(INDEX(原始資料!AE$2:AE$501,$BJ378)="","",INDEX(原始資料!AE$2:AE$501,$BJ378)))</f>
        <v/>
      </c>
      <c r="AD378" s="6">
        <f>IF(OR($BJ378="",29&gt;設定!$B$3),"",IF(INDEX(原始資料!AF$2:AF$501,$BJ378)="","",INDEX(原始資料!AF$2:AF$501,$BJ378)))</f>
        <v/>
      </c>
      <c r="AE378" s="6">
        <f>IF(OR($BJ378="",30&gt;設定!$B$3),"",IF(INDEX(原始資料!AG$2:AG$501,$BJ378)="","",INDEX(原始資料!AG$2:AG$501,$BJ378)))</f>
        <v/>
      </c>
      <c r="AF378" s="6">
        <f>IF(OR($BJ378="",31&gt;設定!$B$3),"",IF(INDEX(原始資料!AH$2:AH$501,$BJ378)="","",INDEX(原始資料!AH$2:AH$501,$BJ378)))</f>
        <v/>
      </c>
      <c r="AG378" s="6">
        <f>IF(OR($BJ378="",32&gt;設定!$B$3),"",IF(INDEX(原始資料!AI$2:AI$501,$BJ378)="","",INDEX(原始資料!AI$2:AI$501,$BJ378)))</f>
        <v/>
      </c>
      <c r="AH378" s="6">
        <f>IF(OR($BJ378="",33&gt;設定!$B$3),"",IF(INDEX(原始資料!AJ$2:AJ$501,$BJ378)="","",INDEX(原始資料!AJ$2:AJ$501,$BJ378)))</f>
        <v/>
      </c>
      <c r="AI378" s="6">
        <f>IF(OR($BJ378="",34&gt;設定!$B$3),"",IF(INDEX(原始資料!AK$2:AK$501,$BJ378)="","",INDEX(原始資料!AK$2:AK$501,$BJ378)))</f>
        <v/>
      </c>
      <c r="AJ378" s="6">
        <f>IF(OR($BJ378="",35&gt;設定!$B$3),"",IF(INDEX(原始資料!AL$2:AL$501,$BJ378)="","",INDEX(原始資料!AL$2:AL$501,$BJ378)))</f>
        <v/>
      </c>
      <c r="AK378" s="6">
        <f>IF(OR($BJ378="",36&gt;設定!$B$3),"",IF(INDEX(原始資料!AM$2:AM$501,$BJ378)="","",INDEX(原始資料!AM$2:AM$501,$BJ378)))</f>
        <v/>
      </c>
      <c r="AL378" s="6">
        <f>IF(OR($BJ378="",37&gt;設定!$B$3),"",IF(INDEX(原始資料!AN$2:AN$501,$BJ378)="","",INDEX(原始資料!AN$2:AN$501,$BJ378)))</f>
        <v/>
      </c>
      <c r="AM378" s="6">
        <f>IF(OR($BJ378="",38&gt;設定!$B$3),"",IF(INDEX(原始資料!AO$2:AO$501,$BJ378)="","",INDEX(原始資料!AO$2:AO$501,$BJ378)))</f>
        <v/>
      </c>
      <c r="AN378" s="6">
        <f>IF(OR($BJ378="",39&gt;設定!$B$3),"",IF(INDEX(原始資料!AP$2:AP$501,$BJ378)="","",INDEX(原始資料!AP$2:AP$501,$BJ378)))</f>
        <v/>
      </c>
      <c r="AO378" s="6">
        <f>IF(OR($BJ378="",40&gt;設定!$B$3),"",IF(INDEX(原始資料!AQ$2:AQ$501,$BJ378)="","",INDEX(原始資料!AQ$2:AQ$501,$BJ378)))</f>
        <v/>
      </c>
      <c r="AP378" s="6">
        <f>IF(OR($BJ378="",41&gt;設定!$B$3),"",IF(INDEX(原始資料!AR$2:AR$501,$BJ378)="","",INDEX(原始資料!AR$2:AR$501,$BJ378)))</f>
        <v/>
      </c>
      <c r="AQ378" s="6">
        <f>IF(OR($BJ378="",42&gt;設定!$B$3),"",IF(INDEX(原始資料!AS$2:AS$501,$BJ378)="","",INDEX(原始資料!AS$2:AS$501,$BJ378)))</f>
        <v/>
      </c>
      <c r="AR378" s="6">
        <f>IF(OR($BJ378="",43&gt;設定!$B$3),"",IF(INDEX(原始資料!AT$2:AT$501,$BJ378)="","",INDEX(原始資料!AT$2:AT$501,$BJ378)))</f>
        <v/>
      </c>
      <c r="AS378" s="6">
        <f>IF(OR($BJ378="",44&gt;設定!$B$3),"",IF(INDEX(原始資料!AU$2:AU$501,$BJ378)="","",INDEX(原始資料!AU$2:AU$501,$BJ378)))</f>
        <v/>
      </c>
      <c r="AT378" s="6">
        <f>IF(OR($BJ378="",45&gt;設定!$B$3),"",IF(INDEX(原始資料!AV$2:AV$501,$BJ378)="","",INDEX(原始資料!AV$2:AV$501,$BJ378)))</f>
        <v/>
      </c>
      <c r="AU378" s="6">
        <f>IF(OR($BJ378="",46&gt;設定!$B$3),"",IF(INDEX(原始資料!AW$2:AW$501,$BJ378)="","",INDEX(原始資料!AW$2:AW$501,$BJ378)))</f>
        <v/>
      </c>
      <c r="AV378" s="6">
        <f>IF(OR($BJ378="",47&gt;設定!$B$3),"",IF(INDEX(原始資料!AX$2:AX$501,$BJ378)="","",INDEX(原始資料!AX$2:AX$501,$BJ378)))</f>
        <v/>
      </c>
      <c r="AW378" s="6">
        <f>IF(OR($BJ378="",48&gt;設定!$B$3),"",IF(INDEX(原始資料!AY$2:AY$501,$BJ378)="","",INDEX(原始資料!AY$2:AY$501,$BJ378)))</f>
        <v/>
      </c>
      <c r="AX378" s="6">
        <f>IF(OR($BJ378="",49&gt;設定!$B$3),"",IF(INDEX(原始資料!AZ$2:AZ$501,$BJ378)="","",INDEX(原始資料!AZ$2:AZ$501,$BJ378)))</f>
        <v/>
      </c>
      <c r="AY378" s="6">
        <f>IF(OR($BJ378="",50&gt;設定!$B$3),"",IF(INDEX(原始資料!BA$2:BA$501,$BJ378)="","",INDEX(原始資料!BA$2:BA$501,$BJ378)))</f>
        <v/>
      </c>
      <c r="AZ378" s="6">
        <f>IF(OR($BJ378="",51&gt;設定!$B$3),"",IF(INDEX(原始資料!BB$2:BB$501,$BJ378)="","",INDEX(原始資料!BB$2:BB$501,$BJ378)))</f>
        <v/>
      </c>
      <c r="BA378" s="6">
        <f>IF(OR($BJ378="",52&gt;設定!$B$3),"",IF(INDEX(原始資料!BC$2:BC$501,$BJ378)="","",INDEX(原始資料!BC$2:BC$501,$BJ378)))</f>
        <v/>
      </c>
      <c r="BB378" s="6">
        <f>IF(OR($BJ378="",53&gt;設定!$B$3),"",IF(INDEX(原始資料!BD$2:BD$501,$BJ378)="","",INDEX(原始資料!BD$2:BD$501,$BJ378)))</f>
        <v/>
      </c>
      <c r="BC378" s="6">
        <f>IF(OR($BJ378="",54&gt;設定!$B$3),"",IF(INDEX(原始資料!BE$2:BE$501,$BJ378)="","",INDEX(原始資料!BE$2:BE$501,$BJ378)))</f>
        <v/>
      </c>
      <c r="BD378" s="6">
        <f>IF(OR($BJ378="",55&gt;設定!$B$3),"",IF(INDEX(原始資料!BF$2:BF$501,$BJ378)="","",INDEX(原始資料!BF$2:BF$501,$BJ378)))</f>
        <v/>
      </c>
      <c r="BE378" s="6">
        <f>IF(OR($BJ378="",56&gt;設定!$B$3),"",IF(INDEX(原始資料!BG$2:BG$501,$BJ378)="","",INDEX(原始資料!BG$2:BG$501,$BJ378)))</f>
        <v/>
      </c>
      <c r="BF378" s="6">
        <f>IF(OR($BJ378="",57&gt;設定!$B$3),"",IF(INDEX(原始資料!BH$2:BH$501,$BJ378)="","",INDEX(原始資料!BH$2:BH$501,$BJ378)))</f>
        <v/>
      </c>
      <c r="BG378" s="6">
        <f>IF(OR($BJ378="",58&gt;設定!$B$3),"",IF(INDEX(原始資料!BI$2:BI$501,$BJ378)="","",INDEX(原始資料!BI$2:BI$501,$BJ378)))</f>
        <v/>
      </c>
      <c r="BH378" s="6">
        <f>IF(OR($BJ378="",59&gt;設定!$B$3),"",IF(INDEX(原始資料!BJ$2:BJ$501,$BJ378)="","",INDEX(原始資料!BJ$2:BJ$501,$BJ378)))</f>
        <v/>
      </c>
      <c r="BI378" s="6">
        <f>IF(OR($BJ378="",60&gt;設定!$B$3),"",IF(INDEX(原始資料!BK$2:BK$501,$BJ378)="","",INDEX(原始資料!BK$2:BK$501,$BJ378)))</f>
        <v/>
      </c>
      <c r="BJ378" s="6">
        <f>IFERROR(MATCH(ROW()-1,判定!$H$2:$H$501,0),"")</f>
        <v/>
      </c>
    </row>
    <row r="379">
      <c r="A379" s="6">
        <f>IF($BJ379="","",INDEX(原始資料!$A$2:$A$501,$BJ379))</f>
        <v/>
      </c>
      <c r="B379" s="6">
        <f>IF(OR($BJ379="",1&gt;設定!$B$3),"",IF(INDEX(原始資料!D$2:D$501,$BJ379)="","",INDEX(原始資料!D$2:D$501,$BJ379)))</f>
        <v/>
      </c>
      <c r="C379" s="6">
        <f>IF(OR($BJ379="",2&gt;設定!$B$3),"",IF(INDEX(原始資料!E$2:E$501,$BJ379)="","",INDEX(原始資料!E$2:E$501,$BJ379)))</f>
        <v/>
      </c>
      <c r="D379" s="6">
        <f>IF(OR($BJ379="",3&gt;設定!$B$3),"",IF(INDEX(原始資料!F$2:F$501,$BJ379)="","",INDEX(原始資料!F$2:F$501,$BJ379)))</f>
        <v/>
      </c>
      <c r="E379" s="6">
        <f>IF(OR($BJ379="",4&gt;設定!$B$3),"",IF(INDEX(原始資料!G$2:G$501,$BJ379)="","",INDEX(原始資料!G$2:G$501,$BJ379)))</f>
        <v/>
      </c>
      <c r="F379" s="6">
        <f>IF(OR($BJ379="",5&gt;設定!$B$3),"",IF(INDEX(原始資料!H$2:H$501,$BJ379)="","",INDEX(原始資料!H$2:H$501,$BJ379)))</f>
        <v/>
      </c>
      <c r="G379" s="6">
        <f>IF(OR($BJ379="",6&gt;設定!$B$3),"",IF(INDEX(原始資料!I$2:I$501,$BJ379)="","",INDEX(原始資料!I$2:I$501,$BJ379)))</f>
        <v/>
      </c>
      <c r="H379" s="6">
        <f>IF(OR($BJ379="",7&gt;設定!$B$3),"",IF(INDEX(原始資料!J$2:J$501,$BJ379)="","",INDEX(原始資料!J$2:J$501,$BJ379)))</f>
        <v/>
      </c>
      <c r="I379" s="6">
        <f>IF(OR($BJ379="",8&gt;設定!$B$3),"",IF(INDEX(原始資料!K$2:K$501,$BJ379)="","",INDEX(原始資料!K$2:K$501,$BJ379)))</f>
        <v/>
      </c>
      <c r="J379" s="6">
        <f>IF(OR($BJ379="",9&gt;設定!$B$3),"",IF(INDEX(原始資料!L$2:L$501,$BJ379)="","",INDEX(原始資料!L$2:L$501,$BJ379)))</f>
        <v/>
      </c>
      <c r="K379" s="6">
        <f>IF(OR($BJ379="",10&gt;設定!$B$3),"",IF(INDEX(原始資料!M$2:M$501,$BJ379)="","",INDEX(原始資料!M$2:M$501,$BJ379)))</f>
        <v/>
      </c>
      <c r="L379" s="6">
        <f>IF(OR($BJ379="",11&gt;設定!$B$3),"",IF(INDEX(原始資料!N$2:N$501,$BJ379)="","",INDEX(原始資料!N$2:N$501,$BJ379)))</f>
        <v/>
      </c>
      <c r="M379" s="6">
        <f>IF(OR($BJ379="",12&gt;設定!$B$3),"",IF(INDEX(原始資料!O$2:O$501,$BJ379)="","",INDEX(原始資料!O$2:O$501,$BJ379)))</f>
        <v/>
      </c>
      <c r="N379" s="6">
        <f>IF(OR($BJ379="",13&gt;設定!$B$3),"",IF(INDEX(原始資料!P$2:P$501,$BJ379)="","",INDEX(原始資料!P$2:P$501,$BJ379)))</f>
        <v/>
      </c>
      <c r="O379" s="6">
        <f>IF(OR($BJ379="",14&gt;設定!$B$3),"",IF(INDEX(原始資料!Q$2:Q$501,$BJ379)="","",INDEX(原始資料!Q$2:Q$501,$BJ379)))</f>
        <v/>
      </c>
      <c r="P379" s="6">
        <f>IF(OR($BJ379="",15&gt;設定!$B$3),"",IF(INDEX(原始資料!R$2:R$501,$BJ379)="","",INDEX(原始資料!R$2:R$501,$BJ379)))</f>
        <v/>
      </c>
      <c r="Q379" s="6">
        <f>IF(OR($BJ379="",16&gt;設定!$B$3),"",IF(INDEX(原始資料!S$2:S$501,$BJ379)="","",INDEX(原始資料!S$2:S$501,$BJ379)))</f>
        <v/>
      </c>
      <c r="R379" s="6">
        <f>IF(OR($BJ379="",17&gt;設定!$B$3),"",IF(INDEX(原始資料!T$2:T$501,$BJ379)="","",INDEX(原始資料!T$2:T$501,$BJ379)))</f>
        <v/>
      </c>
      <c r="S379" s="6">
        <f>IF(OR($BJ379="",18&gt;設定!$B$3),"",IF(INDEX(原始資料!U$2:U$501,$BJ379)="","",INDEX(原始資料!U$2:U$501,$BJ379)))</f>
        <v/>
      </c>
      <c r="T379" s="6">
        <f>IF(OR($BJ379="",19&gt;設定!$B$3),"",IF(INDEX(原始資料!V$2:V$501,$BJ379)="","",INDEX(原始資料!V$2:V$501,$BJ379)))</f>
        <v/>
      </c>
      <c r="U379" s="6">
        <f>IF(OR($BJ379="",20&gt;設定!$B$3),"",IF(INDEX(原始資料!W$2:W$501,$BJ379)="","",INDEX(原始資料!W$2:W$501,$BJ379)))</f>
        <v/>
      </c>
      <c r="V379" s="6">
        <f>IF(OR($BJ379="",21&gt;設定!$B$3),"",IF(INDEX(原始資料!X$2:X$501,$BJ379)="","",INDEX(原始資料!X$2:X$501,$BJ379)))</f>
        <v/>
      </c>
      <c r="W379" s="6">
        <f>IF(OR($BJ379="",22&gt;設定!$B$3),"",IF(INDEX(原始資料!Y$2:Y$501,$BJ379)="","",INDEX(原始資料!Y$2:Y$501,$BJ379)))</f>
        <v/>
      </c>
      <c r="X379" s="6">
        <f>IF(OR($BJ379="",23&gt;設定!$B$3),"",IF(INDEX(原始資料!Z$2:Z$501,$BJ379)="","",INDEX(原始資料!Z$2:Z$501,$BJ379)))</f>
        <v/>
      </c>
      <c r="Y379" s="6">
        <f>IF(OR($BJ379="",24&gt;設定!$B$3),"",IF(INDEX(原始資料!AA$2:AA$501,$BJ379)="","",INDEX(原始資料!AA$2:AA$501,$BJ379)))</f>
        <v/>
      </c>
      <c r="Z379" s="6">
        <f>IF(OR($BJ379="",25&gt;設定!$B$3),"",IF(INDEX(原始資料!AB$2:AB$501,$BJ379)="","",INDEX(原始資料!AB$2:AB$501,$BJ379)))</f>
        <v/>
      </c>
      <c r="AA379" s="6">
        <f>IF(OR($BJ379="",26&gt;設定!$B$3),"",IF(INDEX(原始資料!AC$2:AC$501,$BJ379)="","",INDEX(原始資料!AC$2:AC$501,$BJ379)))</f>
        <v/>
      </c>
      <c r="AB379" s="6">
        <f>IF(OR($BJ379="",27&gt;設定!$B$3),"",IF(INDEX(原始資料!AD$2:AD$501,$BJ379)="","",INDEX(原始資料!AD$2:AD$501,$BJ379)))</f>
        <v/>
      </c>
      <c r="AC379" s="6">
        <f>IF(OR($BJ379="",28&gt;設定!$B$3),"",IF(INDEX(原始資料!AE$2:AE$501,$BJ379)="","",INDEX(原始資料!AE$2:AE$501,$BJ379)))</f>
        <v/>
      </c>
      <c r="AD379" s="6">
        <f>IF(OR($BJ379="",29&gt;設定!$B$3),"",IF(INDEX(原始資料!AF$2:AF$501,$BJ379)="","",INDEX(原始資料!AF$2:AF$501,$BJ379)))</f>
        <v/>
      </c>
      <c r="AE379" s="6">
        <f>IF(OR($BJ379="",30&gt;設定!$B$3),"",IF(INDEX(原始資料!AG$2:AG$501,$BJ379)="","",INDEX(原始資料!AG$2:AG$501,$BJ379)))</f>
        <v/>
      </c>
      <c r="AF379" s="6">
        <f>IF(OR($BJ379="",31&gt;設定!$B$3),"",IF(INDEX(原始資料!AH$2:AH$501,$BJ379)="","",INDEX(原始資料!AH$2:AH$501,$BJ379)))</f>
        <v/>
      </c>
      <c r="AG379" s="6">
        <f>IF(OR($BJ379="",32&gt;設定!$B$3),"",IF(INDEX(原始資料!AI$2:AI$501,$BJ379)="","",INDEX(原始資料!AI$2:AI$501,$BJ379)))</f>
        <v/>
      </c>
      <c r="AH379" s="6">
        <f>IF(OR($BJ379="",33&gt;設定!$B$3),"",IF(INDEX(原始資料!AJ$2:AJ$501,$BJ379)="","",INDEX(原始資料!AJ$2:AJ$501,$BJ379)))</f>
        <v/>
      </c>
      <c r="AI379" s="6">
        <f>IF(OR($BJ379="",34&gt;設定!$B$3),"",IF(INDEX(原始資料!AK$2:AK$501,$BJ379)="","",INDEX(原始資料!AK$2:AK$501,$BJ379)))</f>
        <v/>
      </c>
      <c r="AJ379" s="6">
        <f>IF(OR($BJ379="",35&gt;設定!$B$3),"",IF(INDEX(原始資料!AL$2:AL$501,$BJ379)="","",INDEX(原始資料!AL$2:AL$501,$BJ379)))</f>
        <v/>
      </c>
      <c r="AK379" s="6">
        <f>IF(OR($BJ379="",36&gt;設定!$B$3),"",IF(INDEX(原始資料!AM$2:AM$501,$BJ379)="","",INDEX(原始資料!AM$2:AM$501,$BJ379)))</f>
        <v/>
      </c>
      <c r="AL379" s="6">
        <f>IF(OR($BJ379="",37&gt;設定!$B$3),"",IF(INDEX(原始資料!AN$2:AN$501,$BJ379)="","",INDEX(原始資料!AN$2:AN$501,$BJ379)))</f>
        <v/>
      </c>
      <c r="AM379" s="6">
        <f>IF(OR($BJ379="",38&gt;設定!$B$3),"",IF(INDEX(原始資料!AO$2:AO$501,$BJ379)="","",INDEX(原始資料!AO$2:AO$501,$BJ379)))</f>
        <v/>
      </c>
      <c r="AN379" s="6">
        <f>IF(OR($BJ379="",39&gt;設定!$B$3),"",IF(INDEX(原始資料!AP$2:AP$501,$BJ379)="","",INDEX(原始資料!AP$2:AP$501,$BJ379)))</f>
        <v/>
      </c>
      <c r="AO379" s="6">
        <f>IF(OR($BJ379="",40&gt;設定!$B$3),"",IF(INDEX(原始資料!AQ$2:AQ$501,$BJ379)="","",INDEX(原始資料!AQ$2:AQ$501,$BJ379)))</f>
        <v/>
      </c>
      <c r="AP379" s="6">
        <f>IF(OR($BJ379="",41&gt;設定!$B$3),"",IF(INDEX(原始資料!AR$2:AR$501,$BJ379)="","",INDEX(原始資料!AR$2:AR$501,$BJ379)))</f>
        <v/>
      </c>
      <c r="AQ379" s="6">
        <f>IF(OR($BJ379="",42&gt;設定!$B$3),"",IF(INDEX(原始資料!AS$2:AS$501,$BJ379)="","",INDEX(原始資料!AS$2:AS$501,$BJ379)))</f>
        <v/>
      </c>
      <c r="AR379" s="6">
        <f>IF(OR($BJ379="",43&gt;設定!$B$3),"",IF(INDEX(原始資料!AT$2:AT$501,$BJ379)="","",INDEX(原始資料!AT$2:AT$501,$BJ379)))</f>
        <v/>
      </c>
      <c r="AS379" s="6">
        <f>IF(OR($BJ379="",44&gt;設定!$B$3),"",IF(INDEX(原始資料!AU$2:AU$501,$BJ379)="","",INDEX(原始資料!AU$2:AU$501,$BJ379)))</f>
        <v/>
      </c>
      <c r="AT379" s="6">
        <f>IF(OR($BJ379="",45&gt;設定!$B$3),"",IF(INDEX(原始資料!AV$2:AV$501,$BJ379)="","",INDEX(原始資料!AV$2:AV$501,$BJ379)))</f>
        <v/>
      </c>
      <c r="AU379" s="6">
        <f>IF(OR($BJ379="",46&gt;設定!$B$3),"",IF(INDEX(原始資料!AW$2:AW$501,$BJ379)="","",INDEX(原始資料!AW$2:AW$501,$BJ379)))</f>
        <v/>
      </c>
      <c r="AV379" s="6">
        <f>IF(OR($BJ379="",47&gt;設定!$B$3),"",IF(INDEX(原始資料!AX$2:AX$501,$BJ379)="","",INDEX(原始資料!AX$2:AX$501,$BJ379)))</f>
        <v/>
      </c>
      <c r="AW379" s="6">
        <f>IF(OR($BJ379="",48&gt;設定!$B$3),"",IF(INDEX(原始資料!AY$2:AY$501,$BJ379)="","",INDEX(原始資料!AY$2:AY$501,$BJ379)))</f>
        <v/>
      </c>
      <c r="AX379" s="6">
        <f>IF(OR($BJ379="",49&gt;設定!$B$3),"",IF(INDEX(原始資料!AZ$2:AZ$501,$BJ379)="","",INDEX(原始資料!AZ$2:AZ$501,$BJ379)))</f>
        <v/>
      </c>
      <c r="AY379" s="6">
        <f>IF(OR($BJ379="",50&gt;設定!$B$3),"",IF(INDEX(原始資料!BA$2:BA$501,$BJ379)="","",INDEX(原始資料!BA$2:BA$501,$BJ379)))</f>
        <v/>
      </c>
      <c r="AZ379" s="6">
        <f>IF(OR($BJ379="",51&gt;設定!$B$3),"",IF(INDEX(原始資料!BB$2:BB$501,$BJ379)="","",INDEX(原始資料!BB$2:BB$501,$BJ379)))</f>
        <v/>
      </c>
      <c r="BA379" s="6">
        <f>IF(OR($BJ379="",52&gt;設定!$B$3),"",IF(INDEX(原始資料!BC$2:BC$501,$BJ379)="","",INDEX(原始資料!BC$2:BC$501,$BJ379)))</f>
        <v/>
      </c>
      <c r="BB379" s="6">
        <f>IF(OR($BJ379="",53&gt;設定!$B$3),"",IF(INDEX(原始資料!BD$2:BD$501,$BJ379)="","",INDEX(原始資料!BD$2:BD$501,$BJ379)))</f>
        <v/>
      </c>
      <c r="BC379" s="6">
        <f>IF(OR($BJ379="",54&gt;設定!$B$3),"",IF(INDEX(原始資料!BE$2:BE$501,$BJ379)="","",INDEX(原始資料!BE$2:BE$501,$BJ379)))</f>
        <v/>
      </c>
      <c r="BD379" s="6">
        <f>IF(OR($BJ379="",55&gt;設定!$B$3),"",IF(INDEX(原始資料!BF$2:BF$501,$BJ379)="","",INDEX(原始資料!BF$2:BF$501,$BJ379)))</f>
        <v/>
      </c>
      <c r="BE379" s="6">
        <f>IF(OR($BJ379="",56&gt;設定!$B$3),"",IF(INDEX(原始資料!BG$2:BG$501,$BJ379)="","",INDEX(原始資料!BG$2:BG$501,$BJ379)))</f>
        <v/>
      </c>
      <c r="BF379" s="6">
        <f>IF(OR($BJ379="",57&gt;設定!$B$3),"",IF(INDEX(原始資料!BH$2:BH$501,$BJ379)="","",INDEX(原始資料!BH$2:BH$501,$BJ379)))</f>
        <v/>
      </c>
      <c r="BG379" s="6">
        <f>IF(OR($BJ379="",58&gt;設定!$B$3),"",IF(INDEX(原始資料!BI$2:BI$501,$BJ379)="","",INDEX(原始資料!BI$2:BI$501,$BJ379)))</f>
        <v/>
      </c>
      <c r="BH379" s="6">
        <f>IF(OR($BJ379="",59&gt;設定!$B$3),"",IF(INDEX(原始資料!BJ$2:BJ$501,$BJ379)="","",INDEX(原始資料!BJ$2:BJ$501,$BJ379)))</f>
        <v/>
      </c>
      <c r="BI379" s="6">
        <f>IF(OR($BJ379="",60&gt;設定!$B$3),"",IF(INDEX(原始資料!BK$2:BK$501,$BJ379)="","",INDEX(原始資料!BK$2:BK$501,$BJ379)))</f>
        <v/>
      </c>
      <c r="BJ379" s="6">
        <f>IFERROR(MATCH(ROW()-1,判定!$H$2:$H$501,0),"")</f>
        <v/>
      </c>
    </row>
    <row r="380">
      <c r="A380" s="6">
        <f>IF($BJ380="","",INDEX(原始資料!$A$2:$A$501,$BJ380))</f>
        <v/>
      </c>
      <c r="B380" s="6">
        <f>IF(OR($BJ380="",1&gt;設定!$B$3),"",IF(INDEX(原始資料!D$2:D$501,$BJ380)="","",INDEX(原始資料!D$2:D$501,$BJ380)))</f>
        <v/>
      </c>
      <c r="C380" s="6">
        <f>IF(OR($BJ380="",2&gt;設定!$B$3),"",IF(INDEX(原始資料!E$2:E$501,$BJ380)="","",INDEX(原始資料!E$2:E$501,$BJ380)))</f>
        <v/>
      </c>
      <c r="D380" s="6">
        <f>IF(OR($BJ380="",3&gt;設定!$B$3),"",IF(INDEX(原始資料!F$2:F$501,$BJ380)="","",INDEX(原始資料!F$2:F$501,$BJ380)))</f>
        <v/>
      </c>
      <c r="E380" s="6">
        <f>IF(OR($BJ380="",4&gt;設定!$B$3),"",IF(INDEX(原始資料!G$2:G$501,$BJ380)="","",INDEX(原始資料!G$2:G$501,$BJ380)))</f>
        <v/>
      </c>
      <c r="F380" s="6">
        <f>IF(OR($BJ380="",5&gt;設定!$B$3),"",IF(INDEX(原始資料!H$2:H$501,$BJ380)="","",INDEX(原始資料!H$2:H$501,$BJ380)))</f>
        <v/>
      </c>
      <c r="G380" s="6">
        <f>IF(OR($BJ380="",6&gt;設定!$B$3),"",IF(INDEX(原始資料!I$2:I$501,$BJ380)="","",INDEX(原始資料!I$2:I$501,$BJ380)))</f>
        <v/>
      </c>
      <c r="H380" s="6">
        <f>IF(OR($BJ380="",7&gt;設定!$B$3),"",IF(INDEX(原始資料!J$2:J$501,$BJ380)="","",INDEX(原始資料!J$2:J$501,$BJ380)))</f>
        <v/>
      </c>
      <c r="I380" s="6">
        <f>IF(OR($BJ380="",8&gt;設定!$B$3),"",IF(INDEX(原始資料!K$2:K$501,$BJ380)="","",INDEX(原始資料!K$2:K$501,$BJ380)))</f>
        <v/>
      </c>
      <c r="J380" s="6">
        <f>IF(OR($BJ380="",9&gt;設定!$B$3),"",IF(INDEX(原始資料!L$2:L$501,$BJ380)="","",INDEX(原始資料!L$2:L$501,$BJ380)))</f>
        <v/>
      </c>
      <c r="K380" s="6">
        <f>IF(OR($BJ380="",10&gt;設定!$B$3),"",IF(INDEX(原始資料!M$2:M$501,$BJ380)="","",INDEX(原始資料!M$2:M$501,$BJ380)))</f>
        <v/>
      </c>
      <c r="L380" s="6">
        <f>IF(OR($BJ380="",11&gt;設定!$B$3),"",IF(INDEX(原始資料!N$2:N$501,$BJ380)="","",INDEX(原始資料!N$2:N$501,$BJ380)))</f>
        <v/>
      </c>
      <c r="M380" s="6">
        <f>IF(OR($BJ380="",12&gt;設定!$B$3),"",IF(INDEX(原始資料!O$2:O$501,$BJ380)="","",INDEX(原始資料!O$2:O$501,$BJ380)))</f>
        <v/>
      </c>
      <c r="N380" s="6">
        <f>IF(OR($BJ380="",13&gt;設定!$B$3),"",IF(INDEX(原始資料!P$2:P$501,$BJ380)="","",INDEX(原始資料!P$2:P$501,$BJ380)))</f>
        <v/>
      </c>
      <c r="O380" s="6">
        <f>IF(OR($BJ380="",14&gt;設定!$B$3),"",IF(INDEX(原始資料!Q$2:Q$501,$BJ380)="","",INDEX(原始資料!Q$2:Q$501,$BJ380)))</f>
        <v/>
      </c>
      <c r="P380" s="6">
        <f>IF(OR($BJ380="",15&gt;設定!$B$3),"",IF(INDEX(原始資料!R$2:R$501,$BJ380)="","",INDEX(原始資料!R$2:R$501,$BJ380)))</f>
        <v/>
      </c>
      <c r="Q380" s="6">
        <f>IF(OR($BJ380="",16&gt;設定!$B$3),"",IF(INDEX(原始資料!S$2:S$501,$BJ380)="","",INDEX(原始資料!S$2:S$501,$BJ380)))</f>
        <v/>
      </c>
      <c r="R380" s="6">
        <f>IF(OR($BJ380="",17&gt;設定!$B$3),"",IF(INDEX(原始資料!T$2:T$501,$BJ380)="","",INDEX(原始資料!T$2:T$501,$BJ380)))</f>
        <v/>
      </c>
      <c r="S380" s="6">
        <f>IF(OR($BJ380="",18&gt;設定!$B$3),"",IF(INDEX(原始資料!U$2:U$501,$BJ380)="","",INDEX(原始資料!U$2:U$501,$BJ380)))</f>
        <v/>
      </c>
      <c r="T380" s="6">
        <f>IF(OR($BJ380="",19&gt;設定!$B$3),"",IF(INDEX(原始資料!V$2:V$501,$BJ380)="","",INDEX(原始資料!V$2:V$501,$BJ380)))</f>
        <v/>
      </c>
      <c r="U380" s="6">
        <f>IF(OR($BJ380="",20&gt;設定!$B$3),"",IF(INDEX(原始資料!W$2:W$501,$BJ380)="","",INDEX(原始資料!W$2:W$501,$BJ380)))</f>
        <v/>
      </c>
      <c r="V380" s="6">
        <f>IF(OR($BJ380="",21&gt;設定!$B$3),"",IF(INDEX(原始資料!X$2:X$501,$BJ380)="","",INDEX(原始資料!X$2:X$501,$BJ380)))</f>
        <v/>
      </c>
      <c r="W380" s="6">
        <f>IF(OR($BJ380="",22&gt;設定!$B$3),"",IF(INDEX(原始資料!Y$2:Y$501,$BJ380)="","",INDEX(原始資料!Y$2:Y$501,$BJ380)))</f>
        <v/>
      </c>
      <c r="X380" s="6">
        <f>IF(OR($BJ380="",23&gt;設定!$B$3),"",IF(INDEX(原始資料!Z$2:Z$501,$BJ380)="","",INDEX(原始資料!Z$2:Z$501,$BJ380)))</f>
        <v/>
      </c>
      <c r="Y380" s="6">
        <f>IF(OR($BJ380="",24&gt;設定!$B$3),"",IF(INDEX(原始資料!AA$2:AA$501,$BJ380)="","",INDEX(原始資料!AA$2:AA$501,$BJ380)))</f>
        <v/>
      </c>
      <c r="Z380" s="6">
        <f>IF(OR($BJ380="",25&gt;設定!$B$3),"",IF(INDEX(原始資料!AB$2:AB$501,$BJ380)="","",INDEX(原始資料!AB$2:AB$501,$BJ380)))</f>
        <v/>
      </c>
      <c r="AA380" s="6">
        <f>IF(OR($BJ380="",26&gt;設定!$B$3),"",IF(INDEX(原始資料!AC$2:AC$501,$BJ380)="","",INDEX(原始資料!AC$2:AC$501,$BJ380)))</f>
        <v/>
      </c>
      <c r="AB380" s="6">
        <f>IF(OR($BJ380="",27&gt;設定!$B$3),"",IF(INDEX(原始資料!AD$2:AD$501,$BJ380)="","",INDEX(原始資料!AD$2:AD$501,$BJ380)))</f>
        <v/>
      </c>
      <c r="AC380" s="6">
        <f>IF(OR($BJ380="",28&gt;設定!$B$3),"",IF(INDEX(原始資料!AE$2:AE$501,$BJ380)="","",INDEX(原始資料!AE$2:AE$501,$BJ380)))</f>
        <v/>
      </c>
      <c r="AD380" s="6">
        <f>IF(OR($BJ380="",29&gt;設定!$B$3),"",IF(INDEX(原始資料!AF$2:AF$501,$BJ380)="","",INDEX(原始資料!AF$2:AF$501,$BJ380)))</f>
        <v/>
      </c>
      <c r="AE380" s="6">
        <f>IF(OR($BJ380="",30&gt;設定!$B$3),"",IF(INDEX(原始資料!AG$2:AG$501,$BJ380)="","",INDEX(原始資料!AG$2:AG$501,$BJ380)))</f>
        <v/>
      </c>
      <c r="AF380" s="6">
        <f>IF(OR($BJ380="",31&gt;設定!$B$3),"",IF(INDEX(原始資料!AH$2:AH$501,$BJ380)="","",INDEX(原始資料!AH$2:AH$501,$BJ380)))</f>
        <v/>
      </c>
      <c r="AG380" s="6">
        <f>IF(OR($BJ380="",32&gt;設定!$B$3),"",IF(INDEX(原始資料!AI$2:AI$501,$BJ380)="","",INDEX(原始資料!AI$2:AI$501,$BJ380)))</f>
        <v/>
      </c>
      <c r="AH380" s="6">
        <f>IF(OR($BJ380="",33&gt;設定!$B$3),"",IF(INDEX(原始資料!AJ$2:AJ$501,$BJ380)="","",INDEX(原始資料!AJ$2:AJ$501,$BJ380)))</f>
        <v/>
      </c>
      <c r="AI380" s="6">
        <f>IF(OR($BJ380="",34&gt;設定!$B$3),"",IF(INDEX(原始資料!AK$2:AK$501,$BJ380)="","",INDEX(原始資料!AK$2:AK$501,$BJ380)))</f>
        <v/>
      </c>
      <c r="AJ380" s="6">
        <f>IF(OR($BJ380="",35&gt;設定!$B$3),"",IF(INDEX(原始資料!AL$2:AL$501,$BJ380)="","",INDEX(原始資料!AL$2:AL$501,$BJ380)))</f>
        <v/>
      </c>
      <c r="AK380" s="6">
        <f>IF(OR($BJ380="",36&gt;設定!$B$3),"",IF(INDEX(原始資料!AM$2:AM$501,$BJ380)="","",INDEX(原始資料!AM$2:AM$501,$BJ380)))</f>
        <v/>
      </c>
      <c r="AL380" s="6">
        <f>IF(OR($BJ380="",37&gt;設定!$B$3),"",IF(INDEX(原始資料!AN$2:AN$501,$BJ380)="","",INDEX(原始資料!AN$2:AN$501,$BJ380)))</f>
        <v/>
      </c>
      <c r="AM380" s="6">
        <f>IF(OR($BJ380="",38&gt;設定!$B$3),"",IF(INDEX(原始資料!AO$2:AO$501,$BJ380)="","",INDEX(原始資料!AO$2:AO$501,$BJ380)))</f>
        <v/>
      </c>
      <c r="AN380" s="6">
        <f>IF(OR($BJ380="",39&gt;設定!$B$3),"",IF(INDEX(原始資料!AP$2:AP$501,$BJ380)="","",INDEX(原始資料!AP$2:AP$501,$BJ380)))</f>
        <v/>
      </c>
      <c r="AO380" s="6">
        <f>IF(OR($BJ380="",40&gt;設定!$B$3),"",IF(INDEX(原始資料!AQ$2:AQ$501,$BJ380)="","",INDEX(原始資料!AQ$2:AQ$501,$BJ380)))</f>
        <v/>
      </c>
      <c r="AP380" s="6">
        <f>IF(OR($BJ380="",41&gt;設定!$B$3),"",IF(INDEX(原始資料!AR$2:AR$501,$BJ380)="","",INDEX(原始資料!AR$2:AR$501,$BJ380)))</f>
        <v/>
      </c>
      <c r="AQ380" s="6">
        <f>IF(OR($BJ380="",42&gt;設定!$B$3),"",IF(INDEX(原始資料!AS$2:AS$501,$BJ380)="","",INDEX(原始資料!AS$2:AS$501,$BJ380)))</f>
        <v/>
      </c>
      <c r="AR380" s="6">
        <f>IF(OR($BJ380="",43&gt;設定!$B$3),"",IF(INDEX(原始資料!AT$2:AT$501,$BJ380)="","",INDEX(原始資料!AT$2:AT$501,$BJ380)))</f>
        <v/>
      </c>
      <c r="AS380" s="6">
        <f>IF(OR($BJ380="",44&gt;設定!$B$3),"",IF(INDEX(原始資料!AU$2:AU$501,$BJ380)="","",INDEX(原始資料!AU$2:AU$501,$BJ380)))</f>
        <v/>
      </c>
      <c r="AT380" s="6">
        <f>IF(OR($BJ380="",45&gt;設定!$B$3),"",IF(INDEX(原始資料!AV$2:AV$501,$BJ380)="","",INDEX(原始資料!AV$2:AV$501,$BJ380)))</f>
        <v/>
      </c>
      <c r="AU380" s="6">
        <f>IF(OR($BJ380="",46&gt;設定!$B$3),"",IF(INDEX(原始資料!AW$2:AW$501,$BJ380)="","",INDEX(原始資料!AW$2:AW$501,$BJ380)))</f>
        <v/>
      </c>
      <c r="AV380" s="6">
        <f>IF(OR($BJ380="",47&gt;設定!$B$3),"",IF(INDEX(原始資料!AX$2:AX$501,$BJ380)="","",INDEX(原始資料!AX$2:AX$501,$BJ380)))</f>
        <v/>
      </c>
      <c r="AW380" s="6">
        <f>IF(OR($BJ380="",48&gt;設定!$B$3),"",IF(INDEX(原始資料!AY$2:AY$501,$BJ380)="","",INDEX(原始資料!AY$2:AY$501,$BJ380)))</f>
        <v/>
      </c>
      <c r="AX380" s="6">
        <f>IF(OR($BJ380="",49&gt;設定!$B$3),"",IF(INDEX(原始資料!AZ$2:AZ$501,$BJ380)="","",INDEX(原始資料!AZ$2:AZ$501,$BJ380)))</f>
        <v/>
      </c>
      <c r="AY380" s="6">
        <f>IF(OR($BJ380="",50&gt;設定!$B$3),"",IF(INDEX(原始資料!BA$2:BA$501,$BJ380)="","",INDEX(原始資料!BA$2:BA$501,$BJ380)))</f>
        <v/>
      </c>
      <c r="AZ380" s="6">
        <f>IF(OR($BJ380="",51&gt;設定!$B$3),"",IF(INDEX(原始資料!BB$2:BB$501,$BJ380)="","",INDEX(原始資料!BB$2:BB$501,$BJ380)))</f>
        <v/>
      </c>
      <c r="BA380" s="6">
        <f>IF(OR($BJ380="",52&gt;設定!$B$3),"",IF(INDEX(原始資料!BC$2:BC$501,$BJ380)="","",INDEX(原始資料!BC$2:BC$501,$BJ380)))</f>
        <v/>
      </c>
      <c r="BB380" s="6">
        <f>IF(OR($BJ380="",53&gt;設定!$B$3),"",IF(INDEX(原始資料!BD$2:BD$501,$BJ380)="","",INDEX(原始資料!BD$2:BD$501,$BJ380)))</f>
        <v/>
      </c>
      <c r="BC380" s="6">
        <f>IF(OR($BJ380="",54&gt;設定!$B$3),"",IF(INDEX(原始資料!BE$2:BE$501,$BJ380)="","",INDEX(原始資料!BE$2:BE$501,$BJ380)))</f>
        <v/>
      </c>
      <c r="BD380" s="6">
        <f>IF(OR($BJ380="",55&gt;設定!$B$3),"",IF(INDEX(原始資料!BF$2:BF$501,$BJ380)="","",INDEX(原始資料!BF$2:BF$501,$BJ380)))</f>
        <v/>
      </c>
      <c r="BE380" s="6">
        <f>IF(OR($BJ380="",56&gt;設定!$B$3),"",IF(INDEX(原始資料!BG$2:BG$501,$BJ380)="","",INDEX(原始資料!BG$2:BG$501,$BJ380)))</f>
        <v/>
      </c>
      <c r="BF380" s="6">
        <f>IF(OR($BJ380="",57&gt;設定!$B$3),"",IF(INDEX(原始資料!BH$2:BH$501,$BJ380)="","",INDEX(原始資料!BH$2:BH$501,$BJ380)))</f>
        <v/>
      </c>
      <c r="BG380" s="6">
        <f>IF(OR($BJ380="",58&gt;設定!$B$3),"",IF(INDEX(原始資料!BI$2:BI$501,$BJ380)="","",INDEX(原始資料!BI$2:BI$501,$BJ380)))</f>
        <v/>
      </c>
      <c r="BH380" s="6">
        <f>IF(OR($BJ380="",59&gt;設定!$B$3),"",IF(INDEX(原始資料!BJ$2:BJ$501,$BJ380)="","",INDEX(原始資料!BJ$2:BJ$501,$BJ380)))</f>
        <v/>
      </c>
      <c r="BI380" s="6">
        <f>IF(OR($BJ380="",60&gt;設定!$B$3),"",IF(INDEX(原始資料!BK$2:BK$501,$BJ380)="","",INDEX(原始資料!BK$2:BK$501,$BJ380)))</f>
        <v/>
      </c>
      <c r="BJ380" s="6">
        <f>IFERROR(MATCH(ROW()-1,判定!$H$2:$H$501,0),"")</f>
        <v/>
      </c>
    </row>
    <row r="381">
      <c r="A381" s="6">
        <f>IF($BJ381="","",INDEX(原始資料!$A$2:$A$501,$BJ381))</f>
        <v/>
      </c>
      <c r="B381" s="6">
        <f>IF(OR($BJ381="",1&gt;設定!$B$3),"",IF(INDEX(原始資料!D$2:D$501,$BJ381)="","",INDEX(原始資料!D$2:D$501,$BJ381)))</f>
        <v/>
      </c>
      <c r="C381" s="6">
        <f>IF(OR($BJ381="",2&gt;設定!$B$3),"",IF(INDEX(原始資料!E$2:E$501,$BJ381)="","",INDEX(原始資料!E$2:E$501,$BJ381)))</f>
        <v/>
      </c>
      <c r="D381" s="6">
        <f>IF(OR($BJ381="",3&gt;設定!$B$3),"",IF(INDEX(原始資料!F$2:F$501,$BJ381)="","",INDEX(原始資料!F$2:F$501,$BJ381)))</f>
        <v/>
      </c>
      <c r="E381" s="6">
        <f>IF(OR($BJ381="",4&gt;設定!$B$3),"",IF(INDEX(原始資料!G$2:G$501,$BJ381)="","",INDEX(原始資料!G$2:G$501,$BJ381)))</f>
        <v/>
      </c>
      <c r="F381" s="6">
        <f>IF(OR($BJ381="",5&gt;設定!$B$3),"",IF(INDEX(原始資料!H$2:H$501,$BJ381)="","",INDEX(原始資料!H$2:H$501,$BJ381)))</f>
        <v/>
      </c>
      <c r="G381" s="6">
        <f>IF(OR($BJ381="",6&gt;設定!$B$3),"",IF(INDEX(原始資料!I$2:I$501,$BJ381)="","",INDEX(原始資料!I$2:I$501,$BJ381)))</f>
        <v/>
      </c>
      <c r="H381" s="6">
        <f>IF(OR($BJ381="",7&gt;設定!$B$3),"",IF(INDEX(原始資料!J$2:J$501,$BJ381)="","",INDEX(原始資料!J$2:J$501,$BJ381)))</f>
        <v/>
      </c>
      <c r="I381" s="6">
        <f>IF(OR($BJ381="",8&gt;設定!$B$3),"",IF(INDEX(原始資料!K$2:K$501,$BJ381)="","",INDEX(原始資料!K$2:K$501,$BJ381)))</f>
        <v/>
      </c>
      <c r="J381" s="6">
        <f>IF(OR($BJ381="",9&gt;設定!$B$3),"",IF(INDEX(原始資料!L$2:L$501,$BJ381)="","",INDEX(原始資料!L$2:L$501,$BJ381)))</f>
        <v/>
      </c>
      <c r="K381" s="6">
        <f>IF(OR($BJ381="",10&gt;設定!$B$3),"",IF(INDEX(原始資料!M$2:M$501,$BJ381)="","",INDEX(原始資料!M$2:M$501,$BJ381)))</f>
        <v/>
      </c>
      <c r="L381" s="6">
        <f>IF(OR($BJ381="",11&gt;設定!$B$3),"",IF(INDEX(原始資料!N$2:N$501,$BJ381)="","",INDEX(原始資料!N$2:N$501,$BJ381)))</f>
        <v/>
      </c>
      <c r="M381" s="6">
        <f>IF(OR($BJ381="",12&gt;設定!$B$3),"",IF(INDEX(原始資料!O$2:O$501,$BJ381)="","",INDEX(原始資料!O$2:O$501,$BJ381)))</f>
        <v/>
      </c>
      <c r="N381" s="6">
        <f>IF(OR($BJ381="",13&gt;設定!$B$3),"",IF(INDEX(原始資料!P$2:P$501,$BJ381)="","",INDEX(原始資料!P$2:P$501,$BJ381)))</f>
        <v/>
      </c>
      <c r="O381" s="6">
        <f>IF(OR($BJ381="",14&gt;設定!$B$3),"",IF(INDEX(原始資料!Q$2:Q$501,$BJ381)="","",INDEX(原始資料!Q$2:Q$501,$BJ381)))</f>
        <v/>
      </c>
      <c r="P381" s="6">
        <f>IF(OR($BJ381="",15&gt;設定!$B$3),"",IF(INDEX(原始資料!R$2:R$501,$BJ381)="","",INDEX(原始資料!R$2:R$501,$BJ381)))</f>
        <v/>
      </c>
      <c r="Q381" s="6">
        <f>IF(OR($BJ381="",16&gt;設定!$B$3),"",IF(INDEX(原始資料!S$2:S$501,$BJ381)="","",INDEX(原始資料!S$2:S$501,$BJ381)))</f>
        <v/>
      </c>
      <c r="R381" s="6">
        <f>IF(OR($BJ381="",17&gt;設定!$B$3),"",IF(INDEX(原始資料!T$2:T$501,$BJ381)="","",INDEX(原始資料!T$2:T$501,$BJ381)))</f>
        <v/>
      </c>
      <c r="S381" s="6">
        <f>IF(OR($BJ381="",18&gt;設定!$B$3),"",IF(INDEX(原始資料!U$2:U$501,$BJ381)="","",INDEX(原始資料!U$2:U$501,$BJ381)))</f>
        <v/>
      </c>
      <c r="T381" s="6">
        <f>IF(OR($BJ381="",19&gt;設定!$B$3),"",IF(INDEX(原始資料!V$2:V$501,$BJ381)="","",INDEX(原始資料!V$2:V$501,$BJ381)))</f>
        <v/>
      </c>
      <c r="U381" s="6">
        <f>IF(OR($BJ381="",20&gt;設定!$B$3),"",IF(INDEX(原始資料!W$2:W$501,$BJ381)="","",INDEX(原始資料!W$2:W$501,$BJ381)))</f>
        <v/>
      </c>
      <c r="V381" s="6">
        <f>IF(OR($BJ381="",21&gt;設定!$B$3),"",IF(INDEX(原始資料!X$2:X$501,$BJ381)="","",INDEX(原始資料!X$2:X$501,$BJ381)))</f>
        <v/>
      </c>
      <c r="W381" s="6">
        <f>IF(OR($BJ381="",22&gt;設定!$B$3),"",IF(INDEX(原始資料!Y$2:Y$501,$BJ381)="","",INDEX(原始資料!Y$2:Y$501,$BJ381)))</f>
        <v/>
      </c>
      <c r="X381" s="6">
        <f>IF(OR($BJ381="",23&gt;設定!$B$3),"",IF(INDEX(原始資料!Z$2:Z$501,$BJ381)="","",INDEX(原始資料!Z$2:Z$501,$BJ381)))</f>
        <v/>
      </c>
      <c r="Y381" s="6">
        <f>IF(OR($BJ381="",24&gt;設定!$B$3),"",IF(INDEX(原始資料!AA$2:AA$501,$BJ381)="","",INDEX(原始資料!AA$2:AA$501,$BJ381)))</f>
        <v/>
      </c>
      <c r="Z381" s="6">
        <f>IF(OR($BJ381="",25&gt;設定!$B$3),"",IF(INDEX(原始資料!AB$2:AB$501,$BJ381)="","",INDEX(原始資料!AB$2:AB$501,$BJ381)))</f>
        <v/>
      </c>
      <c r="AA381" s="6">
        <f>IF(OR($BJ381="",26&gt;設定!$B$3),"",IF(INDEX(原始資料!AC$2:AC$501,$BJ381)="","",INDEX(原始資料!AC$2:AC$501,$BJ381)))</f>
        <v/>
      </c>
      <c r="AB381" s="6">
        <f>IF(OR($BJ381="",27&gt;設定!$B$3),"",IF(INDEX(原始資料!AD$2:AD$501,$BJ381)="","",INDEX(原始資料!AD$2:AD$501,$BJ381)))</f>
        <v/>
      </c>
      <c r="AC381" s="6">
        <f>IF(OR($BJ381="",28&gt;設定!$B$3),"",IF(INDEX(原始資料!AE$2:AE$501,$BJ381)="","",INDEX(原始資料!AE$2:AE$501,$BJ381)))</f>
        <v/>
      </c>
      <c r="AD381" s="6">
        <f>IF(OR($BJ381="",29&gt;設定!$B$3),"",IF(INDEX(原始資料!AF$2:AF$501,$BJ381)="","",INDEX(原始資料!AF$2:AF$501,$BJ381)))</f>
        <v/>
      </c>
      <c r="AE381" s="6">
        <f>IF(OR($BJ381="",30&gt;設定!$B$3),"",IF(INDEX(原始資料!AG$2:AG$501,$BJ381)="","",INDEX(原始資料!AG$2:AG$501,$BJ381)))</f>
        <v/>
      </c>
      <c r="AF381" s="6">
        <f>IF(OR($BJ381="",31&gt;設定!$B$3),"",IF(INDEX(原始資料!AH$2:AH$501,$BJ381)="","",INDEX(原始資料!AH$2:AH$501,$BJ381)))</f>
        <v/>
      </c>
      <c r="AG381" s="6">
        <f>IF(OR($BJ381="",32&gt;設定!$B$3),"",IF(INDEX(原始資料!AI$2:AI$501,$BJ381)="","",INDEX(原始資料!AI$2:AI$501,$BJ381)))</f>
        <v/>
      </c>
      <c r="AH381" s="6">
        <f>IF(OR($BJ381="",33&gt;設定!$B$3),"",IF(INDEX(原始資料!AJ$2:AJ$501,$BJ381)="","",INDEX(原始資料!AJ$2:AJ$501,$BJ381)))</f>
        <v/>
      </c>
      <c r="AI381" s="6">
        <f>IF(OR($BJ381="",34&gt;設定!$B$3),"",IF(INDEX(原始資料!AK$2:AK$501,$BJ381)="","",INDEX(原始資料!AK$2:AK$501,$BJ381)))</f>
        <v/>
      </c>
      <c r="AJ381" s="6">
        <f>IF(OR($BJ381="",35&gt;設定!$B$3),"",IF(INDEX(原始資料!AL$2:AL$501,$BJ381)="","",INDEX(原始資料!AL$2:AL$501,$BJ381)))</f>
        <v/>
      </c>
      <c r="AK381" s="6">
        <f>IF(OR($BJ381="",36&gt;設定!$B$3),"",IF(INDEX(原始資料!AM$2:AM$501,$BJ381)="","",INDEX(原始資料!AM$2:AM$501,$BJ381)))</f>
        <v/>
      </c>
      <c r="AL381" s="6">
        <f>IF(OR($BJ381="",37&gt;設定!$B$3),"",IF(INDEX(原始資料!AN$2:AN$501,$BJ381)="","",INDEX(原始資料!AN$2:AN$501,$BJ381)))</f>
        <v/>
      </c>
      <c r="AM381" s="6">
        <f>IF(OR($BJ381="",38&gt;設定!$B$3),"",IF(INDEX(原始資料!AO$2:AO$501,$BJ381)="","",INDEX(原始資料!AO$2:AO$501,$BJ381)))</f>
        <v/>
      </c>
      <c r="AN381" s="6">
        <f>IF(OR($BJ381="",39&gt;設定!$B$3),"",IF(INDEX(原始資料!AP$2:AP$501,$BJ381)="","",INDEX(原始資料!AP$2:AP$501,$BJ381)))</f>
        <v/>
      </c>
      <c r="AO381" s="6">
        <f>IF(OR($BJ381="",40&gt;設定!$B$3),"",IF(INDEX(原始資料!AQ$2:AQ$501,$BJ381)="","",INDEX(原始資料!AQ$2:AQ$501,$BJ381)))</f>
        <v/>
      </c>
      <c r="AP381" s="6">
        <f>IF(OR($BJ381="",41&gt;設定!$B$3),"",IF(INDEX(原始資料!AR$2:AR$501,$BJ381)="","",INDEX(原始資料!AR$2:AR$501,$BJ381)))</f>
        <v/>
      </c>
      <c r="AQ381" s="6">
        <f>IF(OR($BJ381="",42&gt;設定!$B$3),"",IF(INDEX(原始資料!AS$2:AS$501,$BJ381)="","",INDEX(原始資料!AS$2:AS$501,$BJ381)))</f>
        <v/>
      </c>
      <c r="AR381" s="6">
        <f>IF(OR($BJ381="",43&gt;設定!$B$3),"",IF(INDEX(原始資料!AT$2:AT$501,$BJ381)="","",INDEX(原始資料!AT$2:AT$501,$BJ381)))</f>
        <v/>
      </c>
      <c r="AS381" s="6">
        <f>IF(OR($BJ381="",44&gt;設定!$B$3),"",IF(INDEX(原始資料!AU$2:AU$501,$BJ381)="","",INDEX(原始資料!AU$2:AU$501,$BJ381)))</f>
        <v/>
      </c>
      <c r="AT381" s="6">
        <f>IF(OR($BJ381="",45&gt;設定!$B$3),"",IF(INDEX(原始資料!AV$2:AV$501,$BJ381)="","",INDEX(原始資料!AV$2:AV$501,$BJ381)))</f>
        <v/>
      </c>
      <c r="AU381" s="6">
        <f>IF(OR($BJ381="",46&gt;設定!$B$3),"",IF(INDEX(原始資料!AW$2:AW$501,$BJ381)="","",INDEX(原始資料!AW$2:AW$501,$BJ381)))</f>
        <v/>
      </c>
      <c r="AV381" s="6">
        <f>IF(OR($BJ381="",47&gt;設定!$B$3),"",IF(INDEX(原始資料!AX$2:AX$501,$BJ381)="","",INDEX(原始資料!AX$2:AX$501,$BJ381)))</f>
        <v/>
      </c>
      <c r="AW381" s="6">
        <f>IF(OR($BJ381="",48&gt;設定!$B$3),"",IF(INDEX(原始資料!AY$2:AY$501,$BJ381)="","",INDEX(原始資料!AY$2:AY$501,$BJ381)))</f>
        <v/>
      </c>
      <c r="AX381" s="6">
        <f>IF(OR($BJ381="",49&gt;設定!$B$3),"",IF(INDEX(原始資料!AZ$2:AZ$501,$BJ381)="","",INDEX(原始資料!AZ$2:AZ$501,$BJ381)))</f>
        <v/>
      </c>
      <c r="AY381" s="6">
        <f>IF(OR($BJ381="",50&gt;設定!$B$3),"",IF(INDEX(原始資料!BA$2:BA$501,$BJ381)="","",INDEX(原始資料!BA$2:BA$501,$BJ381)))</f>
        <v/>
      </c>
      <c r="AZ381" s="6">
        <f>IF(OR($BJ381="",51&gt;設定!$B$3),"",IF(INDEX(原始資料!BB$2:BB$501,$BJ381)="","",INDEX(原始資料!BB$2:BB$501,$BJ381)))</f>
        <v/>
      </c>
      <c r="BA381" s="6">
        <f>IF(OR($BJ381="",52&gt;設定!$B$3),"",IF(INDEX(原始資料!BC$2:BC$501,$BJ381)="","",INDEX(原始資料!BC$2:BC$501,$BJ381)))</f>
        <v/>
      </c>
      <c r="BB381" s="6">
        <f>IF(OR($BJ381="",53&gt;設定!$B$3),"",IF(INDEX(原始資料!BD$2:BD$501,$BJ381)="","",INDEX(原始資料!BD$2:BD$501,$BJ381)))</f>
        <v/>
      </c>
      <c r="BC381" s="6">
        <f>IF(OR($BJ381="",54&gt;設定!$B$3),"",IF(INDEX(原始資料!BE$2:BE$501,$BJ381)="","",INDEX(原始資料!BE$2:BE$501,$BJ381)))</f>
        <v/>
      </c>
      <c r="BD381" s="6">
        <f>IF(OR($BJ381="",55&gt;設定!$B$3),"",IF(INDEX(原始資料!BF$2:BF$501,$BJ381)="","",INDEX(原始資料!BF$2:BF$501,$BJ381)))</f>
        <v/>
      </c>
      <c r="BE381" s="6">
        <f>IF(OR($BJ381="",56&gt;設定!$B$3),"",IF(INDEX(原始資料!BG$2:BG$501,$BJ381)="","",INDEX(原始資料!BG$2:BG$501,$BJ381)))</f>
        <v/>
      </c>
      <c r="BF381" s="6">
        <f>IF(OR($BJ381="",57&gt;設定!$B$3),"",IF(INDEX(原始資料!BH$2:BH$501,$BJ381)="","",INDEX(原始資料!BH$2:BH$501,$BJ381)))</f>
        <v/>
      </c>
      <c r="BG381" s="6">
        <f>IF(OR($BJ381="",58&gt;設定!$B$3),"",IF(INDEX(原始資料!BI$2:BI$501,$BJ381)="","",INDEX(原始資料!BI$2:BI$501,$BJ381)))</f>
        <v/>
      </c>
      <c r="BH381" s="6">
        <f>IF(OR($BJ381="",59&gt;設定!$B$3),"",IF(INDEX(原始資料!BJ$2:BJ$501,$BJ381)="","",INDEX(原始資料!BJ$2:BJ$501,$BJ381)))</f>
        <v/>
      </c>
      <c r="BI381" s="6">
        <f>IF(OR($BJ381="",60&gt;設定!$B$3),"",IF(INDEX(原始資料!BK$2:BK$501,$BJ381)="","",INDEX(原始資料!BK$2:BK$501,$BJ381)))</f>
        <v/>
      </c>
      <c r="BJ381" s="6">
        <f>IFERROR(MATCH(ROW()-1,判定!$H$2:$H$501,0),"")</f>
        <v/>
      </c>
    </row>
    <row r="382">
      <c r="A382" s="6">
        <f>IF($BJ382="","",INDEX(原始資料!$A$2:$A$501,$BJ382))</f>
        <v/>
      </c>
      <c r="B382" s="6">
        <f>IF(OR($BJ382="",1&gt;設定!$B$3),"",IF(INDEX(原始資料!D$2:D$501,$BJ382)="","",INDEX(原始資料!D$2:D$501,$BJ382)))</f>
        <v/>
      </c>
      <c r="C382" s="6">
        <f>IF(OR($BJ382="",2&gt;設定!$B$3),"",IF(INDEX(原始資料!E$2:E$501,$BJ382)="","",INDEX(原始資料!E$2:E$501,$BJ382)))</f>
        <v/>
      </c>
      <c r="D382" s="6">
        <f>IF(OR($BJ382="",3&gt;設定!$B$3),"",IF(INDEX(原始資料!F$2:F$501,$BJ382)="","",INDEX(原始資料!F$2:F$501,$BJ382)))</f>
        <v/>
      </c>
      <c r="E382" s="6">
        <f>IF(OR($BJ382="",4&gt;設定!$B$3),"",IF(INDEX(原始資料!G$2:G$501,$BJ382)="","",INDEX(原始資料!G$2:G$501,$BJ382)))</f>
        <v/>
      </c>
      <c r="F382" s="6">
        <f>IF(OR($BJ382="",5&gt;設定!$B$3),"",IF(INDEX(原始資料!H$2:H$501,$BJ382)="","",INDEX(原始資料!H$2:H$501,$BJ382)))</f>
        <v/>
      </c>
      <c r="G382" s="6">
        <f>IF(OR($BJ382="",6&gt;設定!$B$3),"",IF(INDEX(原始資料!I$2:I$501,$BJ382)="","",INDEX(原始資料!I$2:I$501,$BJ382)))</f>
        <v/>
      </c>
      <c r="H382" s="6">
        <f>IF(OR($BJ382="",7&gt;設定!$B$3),"",IF(INDEX(原始資料!J$2:J$501,$BJ382)="","",INDEX(原始資料!J$2:J$501,$BJ382)))</f>
        <v/>
      </c>
      <c r="I382" s="6">
        <f>IF(OR($BJ382="",8&gt;設定!$B$3),"",IF(INDEX(原始資料!K$2:K$501,$BJ382)="","",INDEX(原始資料!K$2:K$501,$BJ382)))</f>
        <v/>
      </c>
      <c r="J382" s="6">
        <f>IF(OR($BJ382="",9&gt;設定!$B$3),"",IF(INDEX(原始資料!L$2:L$501,$BJ382)="","",INDEX(原始資料!L$2:L$501,$BJ382)))</f>
        <v/>
      </c>
      <c r="K382" s="6">
        <f>IF(OR($BJ382="",10&gt;設定!$B$3),"",IF(INDEX(原始資料!M$2:M$501,$BJ382)="","",INDEX(原始資料!M$2:M$501,$BJ382)))</f>
        <v/>
      </c>
      <c r="L382" s="6">
        <f>IF(OR($BJ382="",11&gt;設定!$B$3),"",IF(INDEX(原始資料!N$2:N$501,$BJ382)="","",INDEX(原始資料!N$2:N$501,$BJ382)))</f>
        <v/>
      </c>
      <c r="M382" s="6">
        <f>IF(OR($BJ382="",12&gt;設定!$B$3),"",IF(INDEX(原始資料!O$2:O$501,$BJ382)="","",INDEX(原始資料!O$2:O$501,$BJ382)))</f>
        <v/>
      </c>
      <c r="N382" s="6">
        <f>IF(OR($BJ382="",13&gt;設定!$B$3),"",IF(INDEX(原始資料!P$2:P$501,$BJ382)="","",INDEX(原始資料!P$2:P$501,$BJ382)))</f>
        <v/>
      </c>
      <c r="O382" s="6">
        <f>IF(OR($BJ382="",14&gt;設定!$B$3),"",IF(INDEX(原始資料!Q$2:Q$501,$BJ382)="","",INDEX(原始資料!Q$2:Q$501,$BJ382)))</f>
        <v/>
      </c>
      <c r="P382" s="6">
        <f>IF(OR($BJ382="",15&gt;設定!$B$3),"",IF(INDEX(原始資料!R$2:R$501,$BJ382)="","",INDEX(原始資料!R$2:R$501,$BJ382)))</f>
        <v/>
      </c>
      <c r="Q382" s="6">
        <f>IF(OR($BJ382="",16&gt;設定!$B$3),"",IF(INDEX(原始資料!S$2:S$501,$BJ382)="","",INDEX(原始資料!S$2:S$501,$BJ382)))</f>
        <v/>
      </c>
      <c r="R382" s="6">
        <f>IF(OR($BJ382="",17&gt;設定!$B$3),"",IF(INDEX(原始資料!T$2:T$501,$BJ382)="","",INDEX(原始資料!T$2:T$501,$BJ382)))</f>
        <v/>
      </c>
      <c r="S382" s="6">
        <f>IF(OR($BJ382="",18&gt;設定!$B$3),"",IF(INDEX(原始資料!U$2:U$501,$BJ382)="","",INDEX(原始資料!U$2:U$501,$BJ382)))</f>
        <v/>
      </c>
      <c r="T382" s="6">
        <f>IF(OR($BJ382="",19&gt;設定!$B$3),"",IF(INDEX(原始資料!V$2:V$501,$BJ382)="","",INDEX(原始資料!V$2:V$501,$BJ382)))</f>
        <v/>
      </c>
      <c r="U382" s="6">
        <f>IF(OR($BJ382="",20&gt;設定!$B$3),"",IF(INDEX(原始資料!W$2:W$501,$BJ382)="","",INDEX(原始資料!W$2:W$501,$BJ382)))</f>
        <v/>
      </c>
      <c r="V382" s="6">
        <f>IF(OR($BJ382="",21&gt;設定!$B$3),"",IF(INDEX(原始資料!X$2:X$501,$BJ382)="","",INDEX(原始資料!X$2:X$501,$BJ382)))</f>
        <v/>
      </c>
      <c r="W382" s="6">
        <f>IF(OR($BJ382="",22&gt;設定!$B$3),"",IF(INDEX(原始資料!Y$2:Y$501,$BJ382)="","",INDEX(原始資料!Y$2:Y$501,$BJ382)))</f>
        <v/>
      </c>
      <c r="X382" s="6">
        <f>IF(OR($BJ382="",23&gt;設定!$B$3),"",IF(INDEX(原始資料!Z$2:Z$501,$BJ382)="","",INDEX(原始資料!Z$2:Z$501,$BJ382)))</f>
        <v/>
      </c>
      <c r="Y382" s="6">
        <f>IF(OR($BJ382="",24&gt;設定!$B$3),"",IF(INDEX(原始資料!AA$2:AA$501,$BJ382)="","",INDEX(原始資料!AA$2:AA$501,$BJ382)))</f>
        <v/>
      </c>
      <c r="Z382" s="6">
        <f>IF(OR($BJ382="",25&gt;設定!$B$3),"",IF(INDEX(原始資料!AB$2:AB$501,$BJ382)="","",INDEX(原始資料!AB$2:AB$501,$BJ382)))</f>
        <v/>
      </c>
      <c r="AA382" s="6">
        <f>IF(OR($BJ382="",26&gt;設定!$B$3),"",IF(INDEX(原始資料!AC$2:AC$501,$BJ382)="","",INDEX(原始資料!AC$2:AC$501,$BJ382)))</f>
        <v/>
      </c>
      <c r="AB382" s="6">
        <f>IF(OR($BJ382="",27&gt;設定!$B$3),"",IF(INDEX(原始資料!AD$2:AD$501,$BJ382)="","",INDEX(原始資料!AD$2:AD$501,$BJ382)))</f>
        <v/>
      </c>
      <c r="AC382" s="6">
        <f>IF(OR($BJ382="",28&gt;設定!$B$3),"",IF(INDEX(原始資料!AE$2:AE$501,$BJ382)="","",INDEX(原始資料!AE$2:AE$501,$BJ382)))</f>
        <v/>
      </c>
      <c r="AD382" s="6">
        <f>IF(OR($BJ382="",29&gt;設定!$B$3),"",IF(INDEX(原始資料!AF$2:AF$501,$BJ382)="","",INDEX(原始資料!AF$2:AF$501,$BJ382)))</f>
        <v/>
      </c>
      <c r="AE382" s="6">
        <f>IF(OR($BJ382="",30&gt;設定!$B$3),"",IF(INDEX(原始資料!AG$2:AG$501,$BJ382)="","",INDEX(原始資料!AG$2:AG$501,$BJ382)))</f>
        <v/>
      </c>
      <c r="AF382" s="6">
        <f>IF(OR($BJ382="",31&gt;設定!$B$3),"",IF(INDEX(原始資料!AH$2:AH$501,$BJ382)="","",INDEX(原始資料!AH$2:AH$501,$BJ382)))</f>
        <v/>
      </c>
      <c r="AG382" s="6">
        <f>IF(OR($BJ382="",32&gt;設定!$B$3),"",IF(INDEX(原始資料!AI$2:AI$501,$BJ382)="","",INDEX(原始資料!AI$2:AI$501,$BJ382)))</f>
        <v/>
      </c>
      <c r="AH382" s="6">
        <f>IF(OR($BJ382="",33&gt;設定!$B$3),"",IF(INDEX(原始資料!AJ$2:AJ$501,$BJ382)="","",INDEX(原始資料!AJ$2:AJ$501,$BJ382)))</f>
        <v/>
      </c>
      <c r="AI382" s="6">
        <f>IF(OR($BJ382="",34&gt;設定!$B$3),"",IF(INDEX(原始資料!AK$2:AK$501,$BJ382)="","",INDEX(原始資料!AK$2:AK$501,$BJ382)))</f>
        <v/>
      </c>
      <c r="AJ382" s="6">
        <f>IF(OR($BJ382="",35&gt;設定!$B$3),"",IF(INDEX(原始資料!AL$2:AL$501,$BJ382)="","",INDEX(原始資料!AL$2:AL$501,$BJ382)))</f>
        <v/>
      </c>
      <c r="AK382" s="6">
        <f>IF(OR($BJ382="",36&gt;設定!$B$3),"",IF(INDEX(原始資料!AM$2:AM$501,$BJ382)="","",INDEX(原始資料!AM$2:AM$501,$BJ382)))</f>
        <v/>
      </c>
      <c r="AL382" s="6">
        <f>IF(OR($BJ382="",37&gt;設定!$B$3),"",IF(INDEX(原始資料!AN$2:AN$501,$BJ382)="","",INDEX(原始資料!AN$2:AN$501,$BJ382)))</f>
        <v/>
      </c>
      <c r="AM382" s="6">
        <f>IF(OR($BJ382="",38&gt;設定!$B$3),"",IF(INDEX(原始資料!AO$2:AO$501,$BJ382)="","",INDEX(原始資料!AO$2:AO$501,$BJ382)))</f>
        <v/>
      </c>
      <c r="AN382" s="6">
        <f>IF(OR($BJ382="",39&gt;設定!$B$3),"",IF(INDEX(原始資料!AP$2:AP$501,$BJ382)="","",INDEX(原始資料!AP$2:AP$501,$BJ382)))</f>
        <v/>
      </c>
      <c r="AO382" s="6">
        <f>IF(OR($BJ382="",40&gt;設定!$B$3),"",IF(INDEX(原始資料!AQ$2:AQ$501,$BJ382)="","",INDEX(原始資料!AQ$2:AQ$501,$BJ382)))</f>
        <v/>
      </c>
      <c r="AP382" s="6">
        <f>IF(OR($BJ382="",41&gt;設定!$B$3),"",IF(INDEX(原始資料!AR$2:AR$501,$BJ382)="","",INDEX(原始資料!AR$2:AR$501,$BJ382)))</f>
        <v/>
      </c>
      <c r="AQ382" s="6">
        <f>IF(OR($BJ382="",42&gt;設定!$B$3),"",IF(INDEX(原始資料!AS$2:AS$501,$BJ382)="","",INDEX(原始資料!AS$2:AS$501,$BJ382)))</f>
        <v/>
      </c>
      <c r="AR382" s="6">
        <f>IF(OR($BJ382="",43&gt;設定!$B$3),"",IF(INDEX(原始資料!AT$2:AT$501,$BJ382)="","",INDEX(原始資料!AT$2:AT$501,$BJ382)))</f>
        <v/>
      </c>
      <c r="AS382" s="6">
        <f>IF(OR($BJ382="",44&gt;設定!$B$3),"",IF(INDEX(原始資料!AU$2:AU$501,$BJ382)="","",INDEX(原始資料!AU$2:AU$501,$BJ382)))</f>
        <v/>
      </c>
      <c r="AT382" s="6">
        <f>IF(OR($BJ382="",45&gt;設定!$B$3),"",IF(INDEX(原始資料!AV$2:AV$501,$BJ382)="","",INDEX(原始資料!AV$2:AV$501,$BJ382)))</f>
        <v/>
      </c>
      <c r="AU382" s="6">
        <f>IF(OR($BJ382="",46&gt;設定!$B$3),"",IF(INDEX(原始資料!AW$2:AW$501,$BJ382)="","",INDEX(原始資料!AW$2:AW$501,$BJ382)))</f>
        <v/>
      </c>
      <c r="AV382" s="6">
        <f>IF(OR($BJ382="",47&gt;設定!$B$3),"",IF(INDEX(原始資料!AX$2:AX$501,$BJ382)="","",INDEX(原始資料!AX$2:AX$501,$BJ382)))</f>
        <v/>
      </c>
      <c r="AW382" s="6">
        <f>IF(OR($BJ382="",48&gt;設定!$B$3),"",IF(INDEX(原始資料!AY$2:AY$501,$BJ382)="","",INDEX(原始資料!AY$2:AY$501,$BJ382)))</f>
        <v/>
      </c>
      <c r="AX382" s="6">
        <f>IF(OR($BJ382="",49&gt;設定!$B$3),"",IF(INDEX(原始資料!AZ$2:AZ$501,$BJ382)="","",INDEX(原始資料!AZ$2:AZ$501,$BJ382)))</f>
        <v/>
      </c>
      <c r="AY382" s="6">
        <f>IF(OR($BJ382="",50&gt;設定!$B$3),"",IF(INDEX(原始資料!BA$2:BA$501,$BJ382)="","",INDEX(原始資料!BA$2:BA$501,$BJ382)))</f>
        <v/>
      </c>
      <c r="AZ382" s="6">
        <f>IF(OR($BJ382="",51&gt;設定!$B$3),"",IF(INDEX(原始資料!BB$2:BB$501,$BJ382)="","",INDEX(原始資料!BB$2:BB$501,$BJ382)))</f>
        <v/>
      </c>
      <c r="BA382" s="6">
        <f>IF(OR($BJ382="",52&gt;設定!$B$3),"",IF(INDEX(原始資料!BC$2:BC$501,$BJ382)="","",INDEX(原始資料!BC$2:BC$501,$BJ382)))</f>
        <v/>
      </c>
      <c r="BB382" s="6">
        <f>IF(OR($BJ382="",53&gt;設定!$B$3),"",IF(INDEX(原始資料!BD$2:BD$501,$BJ382)="","",INDEX(原始資料!BD$2:BD$501,$BJ382)))</f>
        <v/>
      </c>
      <c r="BC382" s="6">
        <f>IF(OR($BJ382="",54&gt;設定!$B$3),"",IF(INDEX(原始資料!BE$2:BE$501,$BJ382)="","",INDEX(原始資料!BE$2:BE$501,$BJ382)))</f>
        <v/>
      </c>
      <c r="BD382" s="6">
        <f>IF(OR($BJ382="",55&gt;設定!$B$3),"",IF(INDEX(原始資料!BF$2:BF$501,$BJ382)="","",INDEX(原始資料!BF$2:BF$501,$BJ382)))</f>
        <v/>
      </c>
      <c r="BE382" s="6">
        <f>IF(OR($BJ382="",56&gt;設定!$B$3),"",IF(INDEX(原始資料!BG$2:BG$501,$BJ382)="","",INDEX(原始資料!BG$2:BG$501,$BJ382)))</f>
        <v/>
      </c>
      <c r="BF382" s="6">
        <f>IF(OR($BJ382="",57&gt;設定!$B$3),"",IF(INDEX(原始資料!BH$2:BH$501,$BJ382)="","",INDEX(原始資料!BH$2:BH$501,$BJ382)))</f>
        <v/>
      </c>
      <c r="BG382" s="6">
        <f>IF(OR($BJ382="",58&gt;設定!$B$3),"",IF(INDEX(原始資料!BI$2:BI$501,$BJ382)="","",INDEX(原始資料!BI$2:BI$501,$BJ382)))</f>
        <v/>
      </c>
      <c r="BH382" s="6">
        <f>IF(OR($BJ382="",59&gt;設定!$B$3),"",IF(INDEX(原始資料!BJ$2:BJ$501,$BJ382)="","",INDEX(原始資料!BJ$2:BJ$501,$BJ382)))</f>
        <v/>
      </c>
      <c r="BI382" s="6">
        <f>IF(OR($BJ382="",60&gt;設定!$B$3),"",IF(INDEX(原始資料!BK$2:BK$501,$BJ382)="","",INDEX(原始資料!BK$2:BK$501,$BJ382)))</f>
        <v/>
      </c>
      <c r="BJ382" s="6">
        <f>IFERROR(MATCH(ROW()-1,判定!$H$2:$H$501,0),"")</f>
        <v/>
      </c>
    </row>
    <row r="383">
      <c r="A383" s="6">
        <f>IF($BJ383="","",INDEX(原始資料!$A$2:$A$501,$BJ383))</f>
        <v/>
      </c>
      <c r="B383" s="6">
        <f>IF(OR($BJ383="",1&gt;設定!$B$3),"",IF(INDEX(原始資料!D$2:D$501,$BJ383)="","",INDEX(原始資料!D$2:D$501,$BJ383)))</f>
        <v/>
      </c>
      <c r="C383" s="6">
        <f>IF(OR($BJ383="",2&gt;設定!$B$3),"",IF(INDEX(原始資料!E$2:E$501,$BJ383)="","",INDEX(原始資料!E$2:E$501,$BJ383)))</f>
        <v/>
      </c>
      <c r="D383" s="6">
        <f>IF(OR($BJ383="",3&gt;設定!$B$3),"",IF(INDEX(原始資料!F$2:F$501,$BJ383)="","",INDEX(原始資料!F$2:F$501,$BJ383)))</f>
        <v/>
      </c>
      <c r="E383" s="6">
        <f>IF(OR($BJ383="",4&gt;設定!$B$3),"",IF(INDEX(原始資料!G$2:G$501,$BJ383)="","",INDEX(原始資料!G$2:G$501,$BJ383)))</f>
        <v/>
      </c>
      <c r="F383" s="6">
        <f>IF(OR($BJ383="",5&gt;設定!$B$3),"",IF(INDEX(原始資料!H$2:H$501,$BJ383)="","",INDEX(原始資料!H$2:H$501,$BJ383)))</f>
        <v/>
      </c>
      <c r="G383" s="6">
        <f>IF(OR($BJ383="",6&gt;設定!$B$3),"",IF(INDEX(原始資料!I$2:I$501,$BJ383)="","",INDEX(原始資料!I$2:I$501,$BJ383)))</f>
        <v/>
      </c>
      <c r="H383" s="6">
        <f>IF(OR($BJ383="",7&gt;設定!$B$3),"",IF(INDEX(原始資料!J$2:J$501,$BJ383)="","",INDEX(原始資料!J$2:J$501,$BJ383)))</f>
        <v/>
      </c>
      <c r="I383" s="6">
        <f>IF(OR($BJ383="",8&gt;設定!$B$3),"",IF(INDEX(原始資料!K$2:K$501,$BJ383)="","",INDEX(原始資料!K$2:K$501,$BJ383)))</f>
        <v/>
      </c>
      <c r="J383" s="6">
        <f>IF(OR($BJ383="",9&gt;設定!$B$3),"",IF(INDEX(原始資料!L$2:L$501,$BJ383)="","",INDEX(原始資料!L$2:L$501,$BJ383)))</f>
        <v/>
      </c>
      <c r="K383" s="6">
        <f>IF(OR($BJ383="",10&gt;設定!$B$3),"",IF(INDEX(原始資料!M$2:M$501,$BJ383)="","",INDEX(原始資料!M$2:M$501,$BJ383)))</f>
        <v/>
      </c>
      <c r="L383" s="6">
        <f>IF(OR($BJ383="",11&gt;設定!$B$3),"",IF(INDEX(原始資料!N$2:N$501,$BJ383)="","",INDEX(原始資料!N$2:N$501,$BJ383)))</f>
        <v/>
      </c>
      <c r="M383" s="6">
        <f>IF(OR($BJ383="",12&gt;設定!$B$3),"",IF(INDEX(原始資料!O$2:O$501,$BJ383)="","",INDEX(原始資料!O$2:O$501,$BJ383)))</f>
        <v/>
      </c>
      <c r="N383" s="6">
        <f>IF(OR($BJ383="",13&gt;設定!$B$3),"",IF(INDEX(原始資料!P$2:P$501,$BJ383)="","",INDEX(原始資料!P$2:P$501,$BJ383)))</f>
        <v/>
      </c>
      <c r="O383" s="6">
        <f>IF(OR($BJ383="",14&gt;設定!$B$3),"",IF(INDEX(原始資料!Q$2:Q$501,$BJ383)="","",INDEX(原始資料!Q$2:Q$501,$BJ383)))</f>
        <v/>
      </c>
      <c r="P383" s="6">
        <f>IF(OR($BJ383="",15&gt;設定!$B$3),"",IF(INDEX(原始資料!R$2:R$501,$BJ383)="","",INDEX(原始資料!R$2:R$501,$BJ383)))</f>
        <v/>
      </c>
      <c r="Q383" s="6">
        <f>IF(OR($BJ383="",16&gt;設定!$B$3),"",IF(INDEX(原始資料!S$2:S$501,$BJ383)="","",INDEX(原始資料!S$2:S$501,$BJ383)))</f>
        <v/>
      </c>
      <c r="R383" s="6">
        <f>IF(OR($BJ383="",17&gt;設定!$B$3),"",IF(INDEX(原始資料!T$2:T$501,$BJ383)="","",INDEX(原始資料!T$2:T$501,$BJ383)))</f>
        <v/>
      </c>
      <c r="S383" s="6">
        <f>IF(OR($BJ383="",18&gt;設定!$B$3),"",IF(INDEX(原始資料!U$2:U$501,$BJ383)="","",INDEX(原始資料!U$2:U$501,$BJ383)))</f>
        <v/>
      </c>
      <c r="T383" s="6">
        <f>IF(OR($BJ383="",19&gt;設定!$B$3),"",IF(INDEX(原始資料!V$2:V$501,$BJ383)="","",INDEX(原始資料!V$2:V$501,$BJ383)))</f>
        <v/>
      </c>
      <c r="U383" s="6">
        <f>IF(OR($BJ383="",20&gt;設定!$B$3),"",IF(INDEX(原始資料!W$2:W$501,$BJ383)="","",INDEX(原始資料!W$2:W$501,$BJ383)))</f>
        <v/>
      </c>
      <c r="V383" s="6">
        <f>IF(OR($BJ383="",21&gt;設定!$B$3),"",IF(INDEX(原始資料!X$2:X$501,$BJ383)="","",INDEX(原始資料!X$2:X$501,$BJ383)))</f>
        <v/>
      </c>
      <c r="W383" s="6">
        <f>IF(OR($BJ383="",22&gt;設定!$B$3),"",IF(INDEX(原始資料!Y$2:Y$501,$BJ383)="","",INDEX(原始資料!Y$2:Y$501,$BJ383)))</f>
        <v/>
      </c>
      <c r="X383" s="6">
        <f>IF(OR($BJ383="",23&gt;設定!$B$3),"",IF(INDEX(原始資料!Z$2:Z$501,$BJ383)="","",INDEX(原始資料!Z$2:Z$501,$BJ383)))</f>
        <v/>
      </c>
      <c r="Y383" s="6">
        <f>IF(OR($BJ383="",24&gt;設定!$B$3),"",IF(INDEX(原始資料!AA$2:AA$501,$BJ383)="","",INDEX(原始資料!AA$2:AA$501,$BJ383)))</f>
        <v/>
      </c>
      <c r="Z383" s="6">
        <f>IF(OR($BJ383="",25&gt;設定!$B$3),"",IF(INDEX(原始資料!AB$2:AB$501,$BJ383)="","",INDEX(原始資料!AB$2:AB$501,$BJ383)))</f>
        <v/>
      </c>
      <c r="AA383" s="6">
        <f>IF(OR($BJ383="",26&gt;設定!$B$3),"",IF(INDEX(原始資料!AC$2:AC$501,$BJ383)="","",INDEX(原始資料!AC$2:AC$501,$BJ383)))</f>
        <v/>
      </c>
      <c r="AB383" s="6">
        <f>IF(OR($BJ383="",27&gt;設定!$B$3),"",IF(INDEX(原始資料!AD$2:AD$501,$BJ383)="","",INDEX(原始資料!AD$2:AD$501,$BJ383)))</f>
        <v/>
      </c>
      <c r="AC383" s="6">
        <f>IF(OR($BJ383="",28&gt;設定!$B$3),"",IF(INDEX(原始資料!AE$2:AE$501,$BJ383)="","",INDEX(原始資料!AE$2:AE$501,$BJ383)))</f>
        <v/>
      </c>
      <c r="AD383" s="6">
        <f>IF(OR($BJ383="",29&gt;設定!$B$3),"",IF(INDEX(原始資料!AF$2:AF$501,$BJ383)="","",INDEX(原始資料!AF$2:AF$501,$BJ383)))</f>
        <v/>
      </c>
      <c r="AE383" s="6">
        <f>IF(OR($BJ383="",30&gt;設定!$B$3),"",IF(INDEX(原始資料!AG$2:AG$501,$BJ383)="","",INDEX(原始資料!AG$2:AG$501,$BJ383)))</f>
        <v/>
      </c>
      <c r="AF383" s="6">
        <f>IF(OR($BJ383="",31&gt;設定!$B$3),"",IF(INDEX(原始資料!AH$2:AH$501,$BJ383)="","",INDEX(原始資料!AH$2:AH$501,$BJ383)))</f>
        <v/>
      </c>
      <c r="AG383" s="6">
        <f>IF(OR($BJ383="",32&gt;設定!$B$3),"",IF(INDEX(原始資料!AI$2:AI$501,$BJ383)="","",INDEX(原始資料!AI$2:AI$501,$BJ383)))</f>
        <v/>
      </c>
      <c r="AH383" s="6">
        <f>IF(OR($BJ383="",33&gt;設定!$B$3),"",IF(INDEX(原始資料!AJ$2:AJ$501,$BJ383)="","",INDEX(原始資料!AJ$2:AJ$501,$BJ383)))</f>
        <v/>
      </c>
      <c r="AI383" s="6">
        <f>IF(OR($BJ383="",34&gt;設定!$B$3),"",IF(INDEX(原始資料!AK$2:AK$501,$BJ383)="","",INDEX(原始資料!AK$2:AK$501,$BJ383)))</f>
        <v/>
      </c>
      <c r="AJ383" s="6">
        <f>IF(OR($BJ383="",35&gt;設定!$B$3),"",IF(INDEX(原始資料!AL$2:AL$501,$BJ383)="","",INDEX(原始資料!AL$2:AL$501,$BJ383)))</f>
        <v/>
      </c>
      <c r="AK383" s="6">
        <f>IF(OR($BJ383="",36&gt;設定!$B$3),"",IF(INDEX(原始資料!AM$2:AM$501,$BJ383)="","",INDEX(原始資料!AM$2:AM$501,$BJ383)))</f>
        <v/>
      </c>
      <c r="AL383" s="6">
        <f>IF(OR($BJ383="",37&gt;設定!$B$3),"",IF(INDEX(原始資料!AN$2:AN$501,$BJ383)="","",INDEX(原始資料!AN$2:AN$501,$BJ383)))</f>
        <v/>
      </c>
      <c r="AM383" s="6">
        <f>IF(OR($BJ383="",38&gt;設定!$B$3),"",IF(INDEX(原始資料!AO$2:AO$501,$BJ383)="","",INDEX(原始資料!AO$2:AO$501,$BJ383)))</f>
        <v/>
      </c>
      <c r="AN383" s="6">
        <f>IF(OR($BJ383="",39&gt;設定!$B$3),"",IF(INDEX(原始資料!AP$2:AP$501,$BJ383)="","",INDEX(原始資料!AP$2:AP$501,$BJ383)))</f>
        <v/>
      </c>
      <c r="AO383" s="6">
        <f>IF(OR($BJ383="",40&gt;設定!$B$3),"",IF(INDEX(原始資料!AQ$2:AQ$501,$BJ383)="","",INDEX(原始資料!AQ$2:AQ$501,$BJ383)))</f>
        <v/>
      </c>
      <c r="AP383" s="6">
        <f>IF(OR($BJ383="",41&gt;設定!$B$3),"",IF(INDEX(原始資料!AR$2:AR$501,$BJ383)="","",INDEX(原始資料!AR$2:AR$501,$BJ383)))</f>
        <v/>
      </c>
      <c r="AQ383" s="6">
        <f>IF(OR($BJ383="",42&gt;設定!$B$3),"",IF(INDEX(原始資料!AS$2:AS$501,$BJ383)="","",INDEX(原始資料!AS$2:AS$501,$BJ383)))</f>
        <v/>
      </c>
      <c r="AR383" s="6">
        <f>IF(OR($BJ383="",43&gt;設定!$B$3),"",IF(INDEX(原始資料!AT$2:AT$501,$BJ383)="","",INDEX(原始資料!AT$2:AT$501,$BJ383)))</f>
        <v/>
      </c>
      <c r="AS383" s="6">
        <f>IF(OR($BJ383="",44&gt;設定!$B$3),"",IF(INDEX(原始資料!AU$2:AU$501,$BJ383)="","",INDEX(原始資料!AU$2:AU$501,$BJ383)))</f>
        <v/>
      </c>
      <c r="AT383" s="6">
        <f>IF(OR($BJ383="",45&gt;設定!$B$3),"",IF(INDEX(原始資料!AV$2:AV$501,$BJ383)="","",INDEX(原始資料!AV$2:AV$501,$BJ383)))</f>
        <v/>
      </c>
      <c r="AU383" s="6">
        <f>IF(OR($BJ383="",46&gt;設定!$B$3),"",IF(INDEX(原始資料!AW$2:AW$501,$BJ383)="","",INDEX(原始資料!AW$2:AW$501,$BJ383)))</f>
        <v/>
      </c>
      <c r="AV383" s="6">
        <f>IF(OR($BJ383="",47&gt;設定!$B$3),"",IF(INDEX(原始資料!AX$2:AX$501,$BJ383)="","",INDEX(原始資料!AX$2:AX$501,$BJ383)))</f>
        <v/>
      </c>
      <c r="AW383" s="6">
        <f>IF(OR($BJ383="",48&gt;設定!$B$3),"",IF(INDEX(原始資料!AY$2:AY$501,$BJ383)="","",INDEX(原始資料!AY$2:AY$501,$BJ383)))</f>
        <v/>
      </c>
      <c r="AX383" s="6">
        <f>IF(OR($BJ383="",49&gt;設定!$B$3),"",IF(INDEX(原始資料!AZ$2:AZ$501,$BJ383)="","",INDEX(原始資料!AZ$2:AZ$501,$BJ383)))</f>
        <v/>
      </c>
      <c r="AY383" s="6">
        <f>IF(OR($BJ383="",50&gt;設定!$B$3),"",IF(INDEX(原始資料!BA$2:BA$501,$BJ383)="","",INDEX(原始資料!BA$2:BA$501,$BJ383)))</f>
        <v/>
      </c>
      <c r="AZ383" s="6">
        <f>IF(OR($BJ383="",51&gt;設定!$B$3),"",IF(INDEX(原始資料!BB$2:BB$501,$BJ383)="","",INDEX(原始資料!BB$2:BB$501,$BJ383)))</f>
        <v/>
      </c>
      <c r="BA383" s="6">
        <f>IF(OR($BJ383="",52&gt;設定!$B$3),"",IF(INDEX(原始資料!BC$2:BC$501,$BJ383)="","",INDEX(原始資料!BC$2:BC$501,$BJ383)))</f>
        <v/>
      </c>
      <c r="BB383" s="6">
        <f>IF(OR($BJ383="",53&gt;設定!$B$3),"",IF(INDEX(原始資料!BD$2:BD$501,$BJ383)="","",INDEX(原始資料!BD$2:BD$501,$BJ383)))</f>
        <v/>
      </c>
      <c r="BC383" s="6">
        <f>IF(OR($BJ383="",54&gt;設定!$B$3),"",IF(INDEX(原始資料!BE$2:BE$501,$BJ383)="","",INDEX(原始資料!BE$2:BE$501,$BJ383)))</f>
        <v/>
      </c>
      <c r="BD383" s="6">
        <f>IF(OR($BJ383="",55&gt;設定!$B$3),"",IF(INDEX(原始資料!BF$2:BF$501,$BJ383)="","",INDEX(原始資料!BF$2:BF$501,$BJ383)))</f>
        <v/>
      </c>
      <c r="BE383" s="6">
        <f>IF(OR($BJ383="",56&gt;設定!$B$3),"",IF(INDEX(原始資料!BG$2:BG$501,$BJ383)="","",INDEX(原始資料!BG$2:BG$501,$BJ383)))</f>
        <v/>
      </c>
      <c r="BF383" s="6">
        <f>IF(OR($BJ383="",57&gt;設定!$B$3),"",IF(INDEX(原始資料!BH$2:BH$501,$BJ383)="","",INDEX(原始資料!BH$2:BH$501,$BJ383)))</f>
        <v/>
      </c>
      <c r="BG383" s="6">
        <f>IF(OR($BJ383="",58&gt;設定!$B$3),"",IF(INDEX(原始資料!BI$2:BI$501,$BJ383)="","",INDEX(原始資料!BI$2:BI$501,$BJ383)))</f>
        <v/>
      </c>
      <c r="BH383" s="6">
        <f>IF(OR($BJ383="",59&gt;設定!$B$3),"",IF(INDEX(原始資料!BJ$2:BJ$501,$BJ383)="","",INDEX(原始資料!BJ$2:BJ$501,$BJ383)))</f>
        <v/>
      </c>
      <c r="BI383" s="6">
        <f>IF(OR($BJ383="",60&gt;設定!$B$3),"",IF(INDEX(原始資料!BK$2:BK$501,$BJ383)="","",INDEX(原始資料!BK$2:BK$501,$BJ383)))</f>
        <v/>
      </c>
      <c r="BJ383" s="6">
        <f>IFERROR(MATCH(ROW()-1,判定!$H$2:$H$501,0),"")</f>
        <v/>
      </c>
    </row>
    <row r="384">
      <c r="A384" s="6">
        <f>IF($BJ384="","",INDEX(原始資料!$A$2:$A$501,$BJ384))</f>
        <v/>
      </c>
      <c r="B384" s="6">
        <f>IF(OR($BJ384="",1&gt;設定!$B$3),"",IF(INDEX(原始資料!D$2:D$501,$BJ384)="","",INDEX(原始資料!D$2:D$501,$BJ384)))</f>
        <v/>
      </c>
      <c r="C384" s="6">
        <f>IF(OR($BJ384="",2&gt;設定!$B$3),"",IF(INDEX(原始資料!E$2:E$501,$BJ384)="","",INDEX(原始資料!E$2:E$501,$BJ384)))</f>
        <v/>
      </c>
      <c r="D384" s="6">
        <f>IF(OR($BJ384="",3&gt;設定!$B$3),"",IF(INDEX(原始資料!F$2:F$501,$BJ384)="","",INDEX(原始資料!F$2:F$501,$BJ384)))</f>
        <v/>
      </c>
      <c r="E384" s="6">
        <f>IF(OR($BJ384="",4&gt;設定!$B$3),"",IF(INDEX(原始資料!G$2:G$501,$BJ384)="","",INDEX(原始資料!G$2:G$501,$BJ384)))</f>
        <v/>
      </c>
      <c r="F384" s="6">
        <f>IF(OR($BJ384="",5&gt;設定!$B$3),"",IF(INDEX(原始資料!H$2:H$501,$BJ384)="","",INDEX(原始資料!H$2:H$501,$BJ384)))</f>
        <v/>
      </c>
      <c r="G384" s="6">
        <f>IF(OR($BJ384="",6&gt;設定!$B$3),"",IF(INDEX(原始資料!I$2:I$501,$BJ384)="","",INDEX(原始資料!I$2:I$501,$BJ384)))</f>
        <v/>
      </c>
      <c r="H384" s="6">
        <f>IF(OR($BJ384="",7&gt;設定!$B$3),"",IF(INDEX(原始資料!J$2:J$501,$BJ384)="","",INDEX(原始資料!J$2:J$501,$BJ384)))</f>
        <v/>
      </c>
      <c r="I384" s="6">
        <f>IF(OR($BJ384="",8&gt;設定!$B$3),"",IF(INDEX(原始資料!K$2:K$501,$BJ384)="","",INDEX(原始資料!K$2:K$501,$BJ384)))</f>
        <v/>
      </c>
      <c r="J384" s="6">
        <f>IF(OR($BJ384="",9&gt;設定!$B$3),"",IF(INDEX(原始資料!L$2:L$501,$BJ384)="","",INDEX(原始資料!L$2:L$501,$BJ384)))</f>
        <v/>
      </c>
      <c r="K384" s="6">
        <f>IF(OR($BJ384="",10&gt;設定!$B$3),"",IF(INDEX(原始資料!M$2:M$501,$BJ384)="","",INDEX(原始資料!M$2:M$501,$BJ384)))</f>
        <v/>
      </c>
      <c r="L384" s="6">
        <f>IF(OR($BJ384="",11&gt;設定!$B$3),"",IF(INDEX(原始資料!N$2:N$501,$BJ384)="","",INDEX(原始資料!N$2:N$501,$BJ384)))</f>
        <v/>
      </c>
      <c r="M384" s="6">
        <f>IF(OR($BJ384="",12&gt;設定!$B$3),"",IF(INDEX(原始資料!O$2:O$501,$BJ384)="","",INDEX(原始資料!O$2:O$501,$BJ384)))</f>
        <v/>
      </c>
      <c r="N384" s="6">
        <f>IF(OR($BJ384="",13&gt;設定!$B$3),"",IF(INDEX(原始資料!P$2:P$501,$BJ384)="","",INDEX(原始資料!P$2:P$501,$BJ384)))</f>
        <v/>
      </c>
      <c r="O384" s="6">
        <f>IF(OR($BJ384="",14&gt;設定!$B$3),"",IF(INDEX(原始資料!Q$2:Q$501,$BJ384)="","",INDEX(原始資料!Q$2:Q$501,$BJ384)))</f>
        <v/>
      </c>
      <c r="P384" s="6">
        <f>IF(OR($BJ384="",15&gt;設定!$B$3),"",IF(INDEX(原始資料!R$2:R$501,$BJ384)="","",INDEX(原始資料!R$2:R$501,$BJ384)))</f>
        <v/>
      </c>
      <c r="Q384" s="6">
        <f>IF(OR($BJ384="",16&gt;設定!$B$3),"",IF(INDEX(原始資料!S$2:S$501,$BJ384)="","",INDEX(原始資料!S$2:S$501,$BJ384)))</f>
        <v/>
      </c>
      <c r="R384" s="6">
        <f>IF(OR($BJ384="",17&gt;設定!$B$3),"",IF(INDEX(原始資料!T$2:T$501,$BJ384)="","",INDEX(原始資料!T$2:T$501,$BJ384)))</f>
        <v/>
      </c>
      <c r="S384" s="6">
        <f>IF(OR($BJ384="",18&gt;設定!$B$3),"",IF(INDEX(原始資料!U$2:U$501,$BJ384)="","",INDEX(原始資料!U$2:U$501,$BJ384)))</f>
        <v/>
      </c>
      <c r="T384" s="6">
        <f>IF(OR($BJ384="",19&gt;設定!$B$3),"",IF(INDEX(原始資料!V$2:V$501,$BJ384)="","",INDEX(原始資料!V$2:V$501,$BJ384)))</f>
        <v/>
      </c>
      <c r="U384" s="6">
        <f>IF(OR($BJ384="",20&gt;設定!$B$3),"",IF(INDEX(原始資料!W$2:W$501,$BJ384)="","",INDEX(原始資料!W$2:W$501,$BJ384)))</f>
        <v/>
      </c>
      <c r="V384" s="6">
        <f>IF(OR($BJ384="",21&gt;設定!$B$3),"",IF(INDEX(原始資料!X$2:X$501,$BJ384)="","",INDEX(原始資料!X$2:X$501,$BJ384)))</f>
        <v/>
      </c>
      <c r="W384" s="6">
        <f>IF(OR($BJ384="",22&gt;設定!$B$3),"",IF(INDEX(原始資料!Y$2:Y$501,$BJ384)="","",INDEX(原始資料!Y$2:Y$501,$BJ384)))</f>
        <v/>
      </c>
      <c r="X384" s="6">
        <f>IF(OR($BJ384="",23&gt;設定!$B$3),"",IF(INDEX(原始資料!Z$2:Z$501,$BJ384)="","",INDEX(原始資料!Z$2:Z$501,$BJ384)))</f>
        <v/>
      </c>
      <c r="Y384" s="6">
        <f>IF(OR($BJ384="",24&gt;設定!$B$3),"",IF(INDEX(原始資料!AA$2:AA$501,$BJ384)="","",INDEX(原始資料!AA$2:AA$501,$BJ384)))</f>
        <v/>
      </c>
      <c r="Z384" s="6">
        <f>IF(OR($BJ384="",25&gt;設定!$B$3),"",IF(INDEX(原始資料!AB$2:AB$501,$BJ384)="","",INDEX(原始資料!AB$2:AB$501,$BJ384)))</f>
        <v/>
      </c>
      <c r="AA384" s="6">
        <f>IF(OR($BJ384="",26&gt;設定!$B$3),"",IF(INDEX(原始資料!AC$2:AC$501,$BJ384)="","",INDEX(原始資料!AC$2:AC$501,$BJ384)))</f>
        <v/>
      </c>
      <c r="AB384" s="6">
        <f>IF(OR($BJ384="",27&gt;設定!$B$3),"",IF(INDEX(原始資料!AD$2:AD$501,$BJ384)="","",INDEX(原始資料!AD$2:AD$501,$BJ384)))</f>
        <v/>
      </c>
      <c r="AC384" s="6">
        <f>IF(OR($BJ384="",28&gt;設定!$B$3),"",IF(INDEX(原始資料!AE$2:AE$501,$BJ384)="","",INDEX(原始資料!AE$2:AE$501,$BJ384)))</f>
        <v/>
      </c>
      <c r="AD384" s="6">
        <f>IF(OR($BJ384="",29&gt;設定!$B$3),"",IF(INDEX(原始資料!AF$2:AF$501,$BJ384)="","",INDEX(原始資料!AF$2:AF$501,$BJ384)))</f>
        <v/>
      </c>
      <c r="AE384" s="6">
        <f>IF(OR($BJ384="",30&gt;設定!$B$3),"",IF(INDEX(原始資料!AG$2:AG$501,$BJ384)="","",INDEX(原始資料!AG$2:AG$501,$BJ384)))</f>
        <v/>
      </c>
      <c r="AF384" s="6">
        <f>IF(OR($BJ384="",31&gt;設定!$B$3),"",IF(INDEX(原始資料!AH$2:AH$501,$BJ384)="","",INDEX(原始資料!AH$2:AH$501,$BJ384)))</f>
        <v/>
      </c>
      <c r="AG384" s="6">
        <f>IF(OR($BJ384="",32&gt;設定!$B$3),"",IF(INDEX(原始資料!AI$2:AI$501,$BJ384)="","",INDEX(原始資料!AI$2:AI$501,$BJ384)))</f>
        <v/>
      </c>
      <c r="AH384" s="6">
        <f>IF(OR($BJ384="",33&gt;設定!$B$3),"",IF(INDEX(原始資料!AJ$2:AJ$501,$BJ384)="","",INDEX(原始資料!AJ$2:AJ$501,$BJ384)))</f>
        <v/>
      </c>
      <c r="AI384" s="6">
        <f>IF(OR($BJ384="",34&gt;設定!$B$3),"",IF(INDEX(原始資料!AK$2:AK$501,$BJ384)="","",INDEX(原始資料!AK$2:AK$501,$BJ384)))</f>
        <v/>
      </c>
      <c r="AJ384" s="6">
        <f>IF(OR($BJ384="",35&gt;設定!$B$3),"",IF(INDEX(原始資料!AL$2:AL$501,$BJ384)="","",INDEX(原始資料!AL$2:AL$501,$BJ384)))</f>
        <v/>
      </c>
      <c r="AK384" s="6">
        <f>IF(OR($BJ384="",36&gt;設定!$B$3),"",IF(INDEX(原始資料!AM$2:AM$501,$BJ384)="","",INDEX(原始資料!AM$2:AM$501,$BJ384)))</f>
        <v/>
      </c>
      <c r="AL384" s="6">
        <f>IF(OR($BJ384="",37&gt;設定!$B$3),"",IF(INDEX(原始資料!AN$2:AN$501,$BJ384)="","",INDEX(原始資料!AN$2:AN$501,$BJ384)))</f>
        <v/>
      </c>
      <c r="AM384" s="6">
        <f>IF(OR($BJ384="",38&gt;設定!$B$3),"",IF(INDEX(原始資料!AO$2:AO$501,$BJ384)="","",INDEX(原始資料!AO$2:AO$501,$BJ384)))</f>
        <v/>
      </c>
      <c r="AN384" s="6">
        <f>IF(OR($BJ384="",39&gt;設定!$B$3),"",IF(INDEX(原始資料!AP$2:AP$501,$BJ384)="","",INDEX(原始資料!AP$2:AP$501,$BJ384)))</f>
        <v/>
      </c>
      <c r="AO384" s="6">
        <f>IF(OR($BJ384="",40&gt;設定!$B$3),"",IF(INDEX(原始資料!AQ$2:AQ$501,$BJ384)="","",INDEX(原始資料!AQ$2:AQ$501,$BJ384)))</f>
        <v/>
      </c>
      <c r="AP384" s="6">
        <f>IF(OR($BJ384="",41&gt;設定!$B$3),"",IF(INDEX(原始資料!AR$2:AR$501,$BJ384)="","",INDEX(原始資料!AR$2:AR$501,$BJ384)))</f>
        <v/>
      </c>
      <c r="AQ384" s="6">
        <f>IF(OR($BJ384="",42&gt;設定!$B$3),"",IF(INDEX(原始資料!AS$2:AS$501,$BJ384)="","",INDEX(原始資料!AS$2:AS$501,$BJ384)))</f>
        <v/>
      </c>
      <c r="AR384" s="6">
        <f>IF(OR($BJ384="",43&gt;設定!$B$3),"",IF(INDEX(原始資料!AT$2:AT$501,$BJ384)="","",INDEX(原始資料!AT$2:AT$501,$BJ384)))</f>
        <v/>
      </c>
      <c r="AS384" s="6">
        <f>IF(OR($BJ384="",44&gt;設定!$B$3),"",IF(INDEX(原始資料!AU$2:AU$501,$BJ384)="","",INDEX(原始資料!AU$2:AU$501,$BJ384)))</f>
        <v/>
      </c>
      <c r="AT384" s="6">
        <f>IF(OR($BJ384="",45&gt;設定!$B$3),"",IF(INDEX(原始資料!AV$2:AV$501,$BJ384)="","",INDEX(原始資料!AV$2:AV$501,$BJ384)))</f>
        <v/>
      </c>
      <c r="AU384" s="6">
        <f>IF(OR($BJ384="",46&gt;設定!$B$3),"",IF(INDEX(原始資料!AW$2:AW$501,$BJ384)="","",INDEX(原始資料!AW$2:AW$501,$BJ384)))</f>
        <v/>
      </c>
      <c r="AV384" s="6">
        <f>IF(OR($BJ384="",47&gt;設定!$B$3),"",IF(INDEX(原始資料!AX$2:AX$501,$BJ384)="","",INDEX(原始資料!AX$2:AX$501,$BJ384)))</f>
        <v/>
      </c>
      <c r="AW384" s="6">
        <f>IF(OR($BJ384="",48&gt;設定!$B$3),"",IF(INDEX(原始資料!AY$2:AY$501,$BJ384)="","",INDEX(原始資料!AY$2:AY$501,$BJ384)))</f>
        <v/>
      </c>
      <c r="AX384" s="6">
        <f>IF(OR($BJ384="",49&gt;設定!$B$3),"",IF(INDEX(原始資料!AZ$2:AZ$501,$BJ384)="","",INDEX(原始資料!AZ$2:AZ$501,$BJ384)))</f>
        <v/>
      </c>
      <c r="AY384" s="6">
        <f>IF(OR($BJ384="",50&gt;設定!$B$3),"",IF(INDEX(原始資料!BA$2:BA$501,$BJ384)="","",INDEX(原始資料!BA$2:BA$501,$BJ384)))</f>
        <v/>
      </c>
      <c r="AZ384" s="6">
        <f>IF(OR($BJ384="",51&gt;設定!$B$3),"",IF(INDEX(原始資料!BB$2:BB$501,$BJ384)="","",INDEX(原始資料!BB$2:BB$501,$BJ384)))</f>
        <v/>
      </c>
      <c r="BA384" s="6">
        <f>IF(OR($BJ384="",52&gt;設定!$B$3),"",IF(INDEX(原始資料!BC$2:BC$501,$BJ384)="","",INDEX(原始資料!BC$2:BC$501,$BJ384)))</f>
        <v/>
      </c>
      <c r="BB384" s="6">
        <f>IF(OR($BJ384="",53&gt;設定!$B$3),"",IF(INDEX(原始資料!BD$2:BD$501,$BJ384)="","",INDEX(原始資料!BD$2:BD$501,$BJ384)))</f>
        <v/>
      </c>
      <c r="BC384" s="6">
        <f>IF(OR($BJ384="",54&gt;設定!$B$3),"",IF(INDEX(原始資料!BE$2:BE$501,$BJ384)="","",INDEX(原始資料!BE$2:BE$501,$BJ384)))</f>
        <v/>
      </c>
      <c r="BD384" s="6">
        <f>IF(OR($BJ384="",55&gt;設定!$B$3),"",IF(INDEX(原始資料!BF$2:BF$501,$BJ384)="","",INDEX(原始資料!BF$2:BF$501,$BJ384)))</f>
        <v/>
      </c>
      <c r="BE384" s="6">
        <f>IF(OR($BJ384="",56&gt;設定!$B$3),"",IF(INDEX(原始資料!BG$2:BG$501,$BJ384)="","",INDEX(原始資料!BG$2:BG$501,$BJ384)))</f>
        <v/>
      </c>
      <c r="BF384" s="6">
        <f>IF(OR($BJ384="",57&gt;設定!$B$3),"",IF(INDEX(原始資料!BH$2:BH$501,$BJ384)="","",INDEX(原始資料!BH$2:BH$501,$BJ384)))</f>
        <v/>
      </c>
      <c r="BG384" s="6">
        <f>IF(OR($BJ384="",58&gt;設定!$B$3),"",IF(INDEX(原始資料!BI$2:BI$501,$BJ384)="","",INDEX(原始資料!BI$2:BI$501,$BJ384)))</f>
        <v/>
      </c>
      <c r="BH384" s="6">
        <f>IF(OR($BJ384="",59&gt;設定!$B$3),"",IF(INDEX(原始資料!BJ$2:BJ$501,$BJ384)="","",INDEX(原始資料!BJ$2:BJ$501,$BJ384)))</f>
        <v/>
      </c>
      <c r="BI384" s="6">
        <f>IF(OR($BJ384="",60&gt;設定!$B$3),"",IF(INDEX(原始資料!BK$2:BK$501,$BJ384)="","",INDEX(原始資料!BK$2:BK$501,$BJ384)))</f>
        <v/>
      </c>
      <c r="BJ384" s="6">
        <f>IFERROR(MATCH(ROW()-1,判定!$H$2:$H$501,0),"")</f>
        <v/>
      </c>
    </row>
    <row r="385">
      <c r="A385" s="6">
        <f>IF($BJ385="","",INDEX(原始資料!$A$2:$A$501,$BJ385))</f>
        <v/>
      </c>
      <c r="B385" s="6">
        <f>IF(OR($BJ385="",1&gt;設定!$B$3),"",IF(INDEX(原始資料!D$2:D$501,$BJ385)="","",INDEX(原始資料!D$2:D$501,$BJ385)))</f>
        <v/>
      </c>
      <c r="C385" s="6">
        <f>IF(OR($BJ385="",2&gt;設定!$B$3),"",IF(INDEX(原始資料!E$2:E$501,$BJ385)="","",INDEX(原始資料!E$2:E$501,$BJ385)))</f>
        <v/>
      </c>
      <c r="D385" s="6">
        <f>IF(OR($BJ385="",3&gt;設定!$B$3),"",IF(INDEX(原始資料!F$2:F$501,$BJ385)="","",INDEX(原始資料!F$2:F$501,$BJ385)))</f>
        <v/>
      </c>
      <c r="E385" s="6">
        <f>IF(OR($BJ385="",4&gt;設定!$B$3),"",IF(INDEX(原始資料!G$2:G$501,$BJ385)="","",INDEX(原始資料!G$2:G$501,$BJ385)))</f>
        <v/>
      </c>
      <c r="F385" s="6">
        <f>IF(OR($BJ385="",5&gt;設定!$B$3),"",IF(INDEX(原始資料!H$2:H$501,$BJ385)="","",INDEX(原始資料!H$2:H$501,$BJ385)))</f>
        <v/>
      </c>
      <c r="G385" s="6">
        <f>IF(OR($BJ385="",6&gt;設定!$B$3),"",IF(INDEX(原始資料!I$2:I$501,$BJ385)="","",INDEX(原始資料!I$2:I$501,$BJ385)))</f>
        <v/>
      </c>
      <c r="H385" s="6">
        <f>IF(OR($BJ385="",7&gt;設定!$B$3),"",IF(INDEX(原始資料!J$2:J$501,$BJ385)="","",INDEX(原始資料!J$2:J$501,$BJ385)))</f>
        <v/>
      </c>
      <c r="I385" s="6">
        <f>IF(OR($BJ385="",8&gt;設定!$B$3),"",IF(INDEX(原始資料!K$2:K$501,$BJ385)="","",INDEX(原始資料!K$2:K$501,$BJ385)))</f>
        <v/>
      </c>
      <c r="J385" s="6">
        <f>IF(OR($BJ385="",9&gt;設定!$B$3),"",IF(INDEX(原始資料!L$2:L$501,$BJ385)="","",INDEX(原始資料!L$2:L$501,$BJ385)))</f>
        <v/>
      </c>
      <c r="K385" s="6">
        <f>IF(OR($BJ385="",10&gt;設定!$B$3),"",IF(INDEX(原始資料!M$2:M$501,$BJ385)="","",INDEX(原始資料!M$2:M$501,$BJ385)))</f>
        <v/>
      </c>
      <c r="L385" s="6">
        <f>IF(OR($BJ385="",11&gt;設定!$B$3),"",IF(INDEX(原始資料!N$2:N$501,$BJ385)="","",INDEX(原始資料!N$2:N$501,$BJ385)))</f>
        <v/>
      </c>
      <c r="M385" s="6">
        <f>IF(OR($BJ385="",12&gt;設定!$B$3),"",IF(INDEX(原始資料!O$2:O$501,$BJ385)="","",INDEX(原始資料!O$2:O$501,$BJ385)))</f>
        <v/>
      </c>
      <c r="N385" s="6">
        <f>IF(OR($BJ385="",13&gt;設定!$B$3),"",IF(INDEX(原始資料!P$2:P$501,$BJ385)="","",INDEX(原始資料!P$2:P$501,$BJ385)))</f>
        <v/>
      </c>
      <c r="O385" s="6">
        <f>IF(OR($BJ385="",14&gt;設定!$B$3),"",IF(INDEX(原始資料!Q$2:Q$501,$BJ385)="","",INDEX(原始資料!Q$2:Q$501,$BJ385)))</f>
        <v/>
      </c>
      <c r="P385" s="6">
        <f>IF(OR($BJ385="",15&gt;設定!$B$3),"",IF(INDEX(原始資料!R$2:R$501,$BJ385)="","",INDEX(原始資料!R$2:R$501,$BJ385)))</f>
        <v/>
      </c>
      <c r="Q385" s="6">
        <f>IF(OR($BJ385="",16&gt;設定!$B$3),"",IF(INDEX(原始資料!S$2:S$501,$BJ385)="","",INDEX(原始資料!S$2:S$501,$BJ385)))</f>
        <v/>
      </c>
      <c r="R385" s="6">
        <f>IF(OR($BJ385="",17&gt;設定!$B$3),"",IF(INDEX(原始資料!T$2:T$501,$BJ385)="","",INDEX(原始資料!T$2:T$501,$BJ385)))</f>
        <v/>
      </c>
      <c r="S385" s="6">
        <f>IF(OR($BJ385="",18&gt;設定!$B$3),"",IF(INDEX(原始資料!U$2:U$501,$BJ385)="","",INDEX(原始資料!U$2:U$501,$BJ385)))</f>
        <v/>
      </c>
      <c r="T385" s="6">
        <f>IF(OR($BJ385="",19&gt;設定!$B$3),"",IF(INDEX(原始資料!V$2:V$501,$BJ385)="","",INDEX(原始資料!V$2:V$501,$BJ385)))</f>
        <v/>
      </c>
      <c r="U385" s="6">
        <f>IF(OR($BJ385="",20&gt;設定!$B$3),"",IF(INDEX(原始資料!W$2:W$501,$BJ385)="","",INDEX(原始資料!W$2:W$501,$BJ385)))</f>
        <v/>
      </c>
      <c r="V385" s="6">
        <f>IF(OR($BJ385="",21&gt;設定!$B$3),"",IF(INDEX(原始資料!X$2:X$501,$BJ385)="","",INDEX(原始資料!X$2:X$501,$BJ385)))</f>
        <v/>
      </c>
      <c r="W385" s="6">
        <f>IF(OR($BJ385="",22&gt;設定!$B$3),"",IF(INDEX(原始資料!Y$2:Y$501,$BJ385)="","",INDEX(原始資料!Y$2:Y$501,$BJ385)))</f>
        <v/>
      </c>
      <c r="X385" s="6">
        <f>IF(OR($BJ385="",23&gt;設定!$B$3),"",IF(INDEX(原始資料!Z$2:Z$501,$BJ385)="","",INDEX(原始資料!Z$2:Z$501,$BJ385)))</f>
        <v/>
      </c>
      <c r="Y385" s="6">
        <f>IF(OR($BJ385="",24&gt;設定!$B$3),"",IF(INDEX(原始資料!AA$2:AA$501,$BJ385)="","",INDEX(原始資料!AA$2:AA$501,$BJ385)))</f>
        <v/>
      </c>
      <c r="Z385" s="6">
        <f>IF(OR($BJ385="",25&gt;設定!$B$3),"",IF(INDEX(原始資料!AB$2:AB$501,$BJ385)="","",INDEX(原始資料!AB$2:AB$501,$BJ385)))</f>
        <v/>
      </c>
      <c r="AA385" s="6">
        <f>IF(OR($BJ385="",26&gt;設定!$B$3),"",IF(INDEX(原始資料!AC$2:AC$501,$BJ385)="","",INDEX(原始資料!AC$2:AC$501,$BJ385)))</f>
        <v/>
      </c>
      <c r="AB385" s="6">
        <f>IF(OR($BJ385="",27&gt;設定!$B$3),"",IF(INDEX(原始資料!AD$2:AD$501,$BJ385)="","",INDEX(原始資料!AD$2:AD$501,$BJ385)))</f>
        <v/>
      </c>
      <c r="AC385" s="6">
        <f>IF(OR($BJ385="",28&gt;設定!$B$3),"",IF(INDEX(原始資料!AE$2:AE$501,$BJ385)="","",INDEX(原始資料!AE$2:AE$501,$BJ385)))</f>
        <v/>
      </c>
      <c r="AD385" s="6">
        <f>IF(OR($BJ385="",29&gt;設定!$B$3),"",IF(INDEX(原始資料!AF$2:AF$501,$BJ385)="","",INDEX(原始資料!AF$2:AF$501,$BJ385)))</f>
        <v/>
      </c>
      <c r="AE385" s="6">
        <f>IF(OR($BJ385="",30&gt;設定!$B$3),"",IF(INDEX(原始資料!AG$2:AG$501,$BJ385)="","",INDEX(原始資料!AG$2:AG$501,$BJ385)))</f>
        <v/>
      </c>
      <c r="AF385" s="6">
        <f>IF(OR($BJ385="",31&gt;設定!$B$3),"",IF(INDEX(原始資料!AH$2:AH$501,$BJ385)="","",INDEX(原始資料!AH$2:AH$501,$BJ385)))</f>
        <v/>
      </c>
      <c r="AG385" s="6">
        <f>IF(OR($BJ385="",32&gt;設定!$B$3),"",IF(INDEX(原始資料!AI$2:AI$501,$BJ385)="","",INDEX(原始資料!AI$2:AI$501,$BJ385)))</f>
        <v/>
      </c>
      <c r="AH385" s="6">
        <f>IF(OR($BJ385="",33&gt;設定!$B$3),"",IF(INDEX(原始資料!AJ$2:AJ$501,$BJ385)="","",INDEX(原始資料!AJ$2:AJ$501,$BJ385)))</f>
        <v/>
      </c>
      <c r="AI385" s="6">
        <f>IF(OR($BJ385="",34&gt;設定!$B$3),"",IF(INDEX(原始資料!AK$2:AK$501,$BJ385)="","",INDEX(原始資料!AK$2:AK$501,$BJ385)))</f>
        <v/>
      </c>
      <c r="AJ385" s="6">
        <f>IF(OR($BJ385="",35&gt;設定!$B$3),"",IF(INDEX(原始資料!AL$2:AL$501,$BJ385)="","",INDEX(原始資料!AL$2:AL$501,$BJ385)))</f>
        <v/>
      </c>
      <c r="AK385" s="6">
        <f>IF(OR($BJ385="",36&gt;設定!$B$3),"",IF(INDEX(原始資料!AM$2:AM$501,$BJ385)="","",INDEX(原始資料!AM$2:AM$501,$BJ385)))</f>
        <v/>
      </c>
      <c r="AL385" s="6">
        <f>IF(OR($BJ385="",37&gt;設定!$B$3),"",IF(INDEX(原始資料!AN$2:AN$501,$BJ385)="","",INDEX(原始資料!AN$2:AN$501,$BJ385)))</f>
        <v/>
      </c>
      <c r="AM385" s="6">
        <f>IF(OR($BJ385="",38&gt;設定!$B$3),"",IF(INDEX(原始資料!AO$2:AO$501,$BJ385)="","",INDEX(原始資料!AO$2:AO$501,$BJ385)))</f>
        <v/>
      </c>
      <c r="AN385" s="6">
        <f>IF(OR($BJ385="",39&gt;設定!$B$3),"",IF(INDEX(原始資料!AP$2:AP$501,$BJ385)="","",INDEX(原始資料!AP$2:AP$501,$BJ385)))</f>
        <v/>
      </c>
      <c r="AO385" s="6">
        <f>IF(OR($BJ385="",40&gt;設定!$B$3),"",IF(INDEX(原始資料!AQ$2:AQ$501,$BJ385)="","",INDEX(原始資料!AQ$2:AQ$501,$BJ385)))</f>
        <v/>
      </c>
      <c r="AP385" s="6">
        <f>IF(OR($BJ385="",41&gt;設定!$B$3),"",IF(INDEX(原始資料!AR$2:AR$501,$BJ385)="","",INDEX(原始資料!AR$2:AR$501,$BJ385)))</f>
        <v/>
      </c>
      <c r="AQ385" s="6">
        <f>IF(OR($BJ385="",42&gt;設定!$B$3),"",IF(INDEX(原始資料!AS$2:AS$501,$BJ385)="","",INDEX(原始資料!AS$2:AS$501,$BJ385)))</f>
        <v/>
      </c>
      <c r="AR385" s="6">
        <f>IF(OR($BJ385="",43&gt;設定!$B$3),"",IF(INDEX(原始資料!AT$2:AT$501,$BJ385)="","",INDEX(原始資料!AT$2:AT$501,$BJ385)))</f>
        <v/>
      </c>
      <c r="AS385" s="6">
        <f>IF(OR($BJ385="",44&gt;設定!$B$3),"",IF(INDEX(原始資料!AU$2:AU$501,$BJ385)="","",INDEX(原始資料!AU$2:AU$501,$BJ385)))</f>
        <v/>
      </c>
      <c r="AT385" s="6">
        <f>IF(OR($BJ385="",45&gt;設定!$B$3),"",IF(INDEX(原始資料!AV$2:AV$501,$BJ385)="","",INDEX(原始資料!AV$2:AV$501,$BJ385)))</f>
        <v/>
      </c>
      <c r="AU385" s="6">
        <f>IF(OR($BJ385="",46&gt;設定!$B$3),"",IF(INDEX(原始資料!AW$2:AW$501,$BJ385)="","",INDEX(原始資料!AW$2:AW$501,$BJ385)))</f>
        <v/>
      </c>
      <c r="AV385" s="6">
        <f>IF(OR($BJ385="",47&gt;設定!$B$3),"",IF(INDEX(原始資料!AX$2:AX$501,$BJ385)="","",INDEX(原始資料!AX$2:AX$501,$BJ385)))</f>
        <v/>
      </c>
      <c r="AW385" s="6">
        <f>IF(OR($BJ385="",48&gt;設定!$B$3),"",IF(INDEX(原始資料!AY$2:AY$501,$BJ385)="","",INDEX(原始資料!AY$2:AY$501,$BJ385)))</f>
        <v/>
      </c>
      <c r="AX385" s="6">
        <f>IF(OR($BJ385="",49&gt;設定!$B$3),"",IF(INDEX(原始資料!AZ$2:AZ$501,$BJ385)="","",INDEX(原始資料!AZ$2:AZ$501,$BJ385)))</f>
        <v/>
      </c>
      <c r="AY385" s="6">
        <f>IF(OR($BJ385="",50&gt;設定!$B$3),"",IF(INDEX(原始資料!BA$2:BA$501,$BJ385)="","",INDEX(原始資料!BA$2:BA$501,$BJ385)))</f>
        <v/>
      </c>
      <c r="AZ385" s="6">
        <f>IF(OR($BJ385="",51&gt;設定!$B$3),"",IF(INDEX(原始資料!BB$2:BB$501,$BJ385)="","",INDEX(原始資料!BB$2:BB$501,$BJ385)))</f>
        <v/>
      </c>
      <c r="BA385" s="6">
        <f>IF(OR($BJ385="",52&gt;設定!$B$3),"",IF(INDEX(原始資料!BC$2:BC$501,$BJ385)="","",INDEX(原始資料!BC$2:BC$501,$BJ385)))</f>
        <v/>
      </c>
      <c r="BB385" s="6">
        <f>IF(OR($BJ385="",53&gt;設定!$B$3),"",IF(INDEX(原始資料!BD$2:BD$501,$BJ385)="","",INDEX(原始資料!BD$2:BD$501,$BJ385)))</f>
        <v/>
      </c>
      <c r="BC385" s="6">
        <f>IF(OR($BJ385="",54&gt;設定!$B$3),"",IF(INDEX(原始資料!BE$2:BE$501,$BJ385)="","",INDEX(原始資料!BE$2:BE$501,$BJ385)))</f>
        <v/>
      </c>
      <c r="BD385" s="6">
        <f>IF(OR($BJ385="",55&gt;設定!$B$3),"",IF(INDEX(原始資料!BF$2:BF$501,$BJ385)="","",INDEX(原始資料!BF$2:BF$501,$BJ385)))</f>
        <v/>
      </c>
      <c r="BE385" s="6">
        <f>IF(OR($BJ385="",56&gt;設定!$B$3),"",IF(INDEX(原始資料!BG$2:BG$501,$BJ385)="","",INDEX(原始資料!BG$2:BG$501,$BJ385)))</f>
        <v/>
      </c>
      <c r="BF385" s="6">
        <f>IF(OR($BJ385="",57&gt;設定!$B$3),"",IF(INDEX(原始資料!BH$2:BH$501,$BJ385)="","",INDEX(原始資料!BH$2:BH$501,$BJ385)))</f>
        <v/>
      </c>
      <c r="BG385" s="6">
        <f>IF(OR($BJ385="",58&gt;設定!$B$3),"",IF(INDEX(原始資料!BI$2:BI$501,$BJ385)="","",INDEX(原始資料!BI$2:BI$501,$BJ385)))</f>
        <v/>
      </c>
      <c r="BH385" s="6">
        <f>IF(OR($BJ385="",59&gt;設定!$B$3),"",IF(INDEX(原始資料!BJ$2:BJ$501,$BJ385)="","",INDEX(原始資料!BJ$2:BJ$501,$BJ385)))</f>
        <v/>
      </c>
      <c r="BI385" s="6">
        <f>IF(OR($BJ385="",60&gt;設定!$B$3),"",IF(INDEX(原始資料!BK$2:BK$501,$BJ385)="","",INDEX(原始資料!BK$2:BK$501,$BJ385)))</f>
        <v/>
      </c>
      <c r="BJ385" s="6">
        <f>IFERROR(MATCH(ROW()-1,判定!$H$2:$H$501,0),"")</f>
        <v/>
      </c>
    </row>
    <row r="386">
      <c r="A386" s="6">
        <f>IF($BJ386="","",INDEX(原始資料!$A$2:$A$501,$BJ386))</f>
        <v/>
      </c>
      <c r="B386" s="6">
        <f>IF(OR($BJ386="",1&gt;設定!$B$3),"",IF(INDEX(原始資料!D$2:D$501,$BJ386)="","",INDEX(原始資料!D$2:D$501,$BJ386)))</f>
        <v/>
      </c>
      <c r="C386" s="6">
        <f>IF(OR($BJ386="",2&gt;設定!$B$3),"",IF(INDEX(原始資料!E$2:E$501,$BJ386)="","",INDEX(原始資料!E$2:E$501,$BJ386)))</f>
        <v/>
      </c>
      <c r="D386" s="6">
        <f>IF(OR($BJ386="",3&gt;設定!$B$3),"",IF(INDEX(原始資料!F$2:F$501,$BJ386)="","",INDEX(原始資料!F$2:F$501,$BJ386)))</f>
        <v/>
      </c>
      <c r="E386" s="6">
        <f>IF(OR($BJ386="",4&gt;設定!$B$3),"",IF(INDEX(原始資料!G$2:G$501,$BJ386)="","",INDEX(原始資料!G$2:G$501,$BJ386)))</f>
        <v/>
      </c>
      <c r="F386" s="6">
        <f>IF(OR($BJ386="",5&gt;設定!$B$3),"",IF(INDEX(原始資料!H$2:H$501,$BJ386)="","",INDEX(原始資料!H$2:H$501,$BJ386)))</f>
        <v/>
      </c>
      <c r="G386" s="6">
        <f>IF(OR($BJ386="",6&gt;設定!$B$3),"",IF(INDEX(原始資料!I$2:I$501,$BJ386)="","",INDEX(原始資料!I$2:I$501,$BJ386)))</f>
        <v/>
      </c>
      <c r="H386" s="6">
        <f>IF(OR($BJ386="",7&gt;設定!$B$3),"",IF(INDEX(原始資料!J$2:J$501,$BJ386)="","",INDEX(原始資料!J$2:J$501,$BJ386)))</f>
        <v/>
      </c>
      <c r="I386" s="6">
        <f>IF(OR($BJ386="",8&gt;設定!$B$3),"",IF(INDEX(原始資料!K$2:K$501,$BJ386)="","",INDEX(原始資料!K$2:K$501,$BJ386)))</f>
        <v/>
      </c>
      <c r="J386" s="6">
        <f>IF(OR($BJ386="",9&gt;設定!$B$3),"",IF(INDEX(原始資料!L$2:L$501,$BJ386)="","",INDEX(原始資料!L$2:L$501,$BJ386)))</f>
        <v/>
      </c>
      <c r="K386" s="6">
        <f>IF(OR($BJ386="",10&gt;設定!$B$3),"",IF(INDEX(原始資料!M$2:M$501,$BJ386)="","",INDEX(原始資料!M$2:M$501,$BJ386)))</f>
        <v/>
      </c>
      <c r="L386" s="6">
        <f>IF(OR($BJ386="",11&gt;設定!$B$3),"",IF(INDEX(原始資料!N$2:N$501,$BJ386)="","",INDEX(原始資料!N$2:N$501,$BJ386)))</f>
        <v/>
      </c>
      <c r="M386" s="6">
        <f>IF(OR($BJ386="",12&gt;設定!$B$3),"",IF(INDEX(原始資料!O$2:O$501,$BJ386)="","",INDEX(原始資料!O$2:O$501,$BJ386)))</f>
        <v/>
      </c>
      <c r="N386" s="6">
        <f>IF(OR($BJ386="",13&gt;設定!$B$3),"",IF(INDEX(原始資料!P$2:P$501,$BJ386)="","",INDEX(原始資料!P$2:P$501,$BJ386)))</f>
        <v/>
      </c>
      <c r="O386" s="6">
        <f>IF(OR($BJ386="",14&gt;設定!$B$3),"",IF(INDEX(原始資料!Q$2:Q$501,$BJ386)="","",INDEX(原始資料!Q$2:Q$501,$BJ386)))</f>
        <v/>
      </c>
      <c r="P386" s="6">
        <f>IF(OR($BJ386="",15&gt;設定!$B$3),"",IF(INDEX(原始資料!R$2:R$501,$BJ386)="","",INDEX(原始資料!R$2:R$501,$BJ386)))</f>
        <v/>
      </c>
      <c r="Q386" s="6">
        <f>IF(OR($BJ386="",16&gt;設定!$B$3),"",IF(INDEX(原始資料!S$2:S$501,$BJ386)="","",INDEX(原始資料!S$2:S$501,$BJ386)))</f>
        <v/>
      </c>
      <c r="R386" s="6">
        <f>IF(OR($BJ386="",17&gt;設定!$B$3),"",IF(INDEX(原始資料!T$2:T$501,$BJ386)="","",INDEX(原始資料!T$2:T$501,$BJ386)))</f>
        <v/>
      </c>
      <c r="S386" s="6">
        <f>IF(OR($BJ386="",18&gt;設定!$B$3),"",IF(INDEX(原始資料!U$2:U$501,$BJ386)="","",INDEX(原始資料!U$2:U$501,$BJ386)))</f>
        <v/>
      </c>
      <c r="T386" s="6">
        <f>IF(OR($BJ386="",19&gt;設定!$B$3),"",IF(INDEX(原始資料!V$2:V$501,$BJ386)="","",INDEX(原始資料!V$2:V$501,$BJ386)))</f>
        <v/>
      </c>
      <c r="U386" s="6">
        <f>IF(OR($BJ386="",20&gt;設定!$B$3),"",IF(INDEX(原始資料!W$2:W$501,$BJ386)="","",INDEX(原始資料!W$2:W$501,$BJ386)))</f>
        <v/>
      </c>
      <c r="V386" s="6">
        <f>IF(OR($BJ386="",21&gt;設定!$B$3),"",IF(INDEX(原始資料!X$2:X$501,$BJ386)="","",INDEX(原始資料!X$2:X$501,$BJ386)))</f>
        <v/>
      </c>
      <c r="W386" s="6">
        <f>IF(OR($BJ386="",22&gt;設定!$B$3),"",IF(INDEX(原始資料!Y$2:Y$501,$BJ386)="","",INDEX(原始資料!Y$2:Y$501,$BJ386)))</f>
        <v/>
      </c>
      <c r="X386" s="6">
        <f>IF(OR($BJ386="",23&gt;設定!$B$3),"",IF(INDEX(原始資料!Z$2:Z$501,$BJ386)="","",INDEX(原始資料!Z$2:Z$501,$BJ386)))</f>
        <v/>
      </c>
      <c r="Y386" s="6">
        <f>IF(OR($BJ386="",24&gt;設定!$B$3),"",IF(INDEX(原始資料!AA$2:AA$501,$BJ386)="","",INDEX(原始資料!AA$2:AA$501,$BJ386)))</f>
        <v/>
      </c>
      <c r="Z386" s="6">
        <f>IF(OR($BJ386="",25&gt;設定!$B$3),"",IF(INDEX(原始資料!AB$2:AB$501,$BJ386)="","",INDEX(原始資料!AB$2:AB$501,$BJ386)))</f>
        <v/>
      </c>
      <c r="AA386" s="6">
        <f>IF(OR($BJ386="",26&gt;設定!$B$3),"",IF(INDEX(原始資料!AC$2:AC$501,$BJ386)="","",INDEX(原始資料!AC$2:AC$501,$BJ386)))</f>
        <v/>
      </c>
      <c r="AB386" s="6">
        <f>IF(OR($BJ386="",27&gt;設定!$B$3),"",IF(INDEX(原始資料!AD$2:AD$501,$BJ386)="","",INDEX(原始資料!AD$2:AD$501,$BJ386)))</f>
        <v/>
      </c>
      <c r="AC386" s="6">
        <f>IF(OR($BJ386="",28&gt;設定!$B$3),"",IF(INDEX(原始資料!AE$2:AE$501,$BJ386)="","",INDEX(原始資料!AE$2:AE$501,$BJ386)))</f>
        <v/>
      </c>
      <c r="AD386" s="6">
        <f>IF(OR($BJ386="",29&gt;設定!$B$3),"",IF(INDEX(原始資料!AF$2:AF$501,$BJ386)="","",INDEX(原始資料!AF$2:AF$501,$BJ386)))</f>
        <v/>
      </c>
      <c r="AE386" s="6">
        <f>IF(OR($BJ386="",30&gt;設定!$B$3),"",IF(INDEX(原始資料!AG$2:AG$501,$BJ386)="","",INDEX(原始資料!AG$2:AG$501,$BJ386)))</f>
        <v/>
      </c>
      <c r="AF386" s="6">
        <f>IF(OR($BJ386="",31&gt;設定!$B$3),"",IF(INDEX(原始資料!AH$2:AH$501,$BJ386)="","",INDEX(原始資料!AH$2:AH$501,$BJ386)))</f>
        <v/>
      </c>
      <c r="AG386" s="6">
        <f>IF(OR($BJ386="",32&gt;設定!$B$3),"",IF(INDEX(原始資料!AI$2:AI$501,$BJ386)="","",INDEX(原始資料!AI$2:AI$501,$BJ386)))</f>
        <v/>
      </c>
      <c r="AH386" s="6">
        <f>IF(OR($BJ386="",33&gt;設定!$B$3),"",IF(INDEX(原始資料!AJ$2:AJ$501,$BJ386)="","",INDEX(原始資料!AJ$2:AJ$501,$BJ386)))</f>
        <v/>
      </c>
      <c r="AI386" s="6">
        <f>IF(OR($BJ386="",34&gt;設定!$B$3),"",IF(INDEX(原始資料!AK$2:AK$501,$BJ386)="","",INDEX(原始資料!AK$2:AK$501,$BJ386)))</f>
        <v/>
      </c>
      <c r="AJ386" s="6">
        <f>IF(OR($BJ386="",35&gt;設定!$B$3),"",IF(INDEX(原始資料!AL$2:AL$501,$BJ386)="","",INDEX(原始資料!AL$2:AL$501,$BJ386)))</f>
        <v/>
      </c>
      <c r="AK386" s="6">
        <f>IF(OR($BJ386="",36&gt;設定!$B$3),"",IF(INDEX(原始資料!AM$2:AM$501,$BJ386)="","",INDEX(原始資料!AM$2:AM$501,$BJ386)))</f>
        <v/>
      </c>
      <c r="AL386" s="6">
        <f>IF(OR($BJ386="",37&gt;設定!$B$3),"",IF(INDEX(原始資料!AN$2:AN$501,$BJ386)="","",INDEX(原始資料!AN$2:AN$501,$BJ386)))</f>
        <v/>
      </c>
      <c r="AM386" s="6">
        <f>IF(OR($BJ386="",38&gt;設定!$B$3),"",IF(INDEX(原始資料!AO$2:AO$501,$BJ386)="","",INDEX(原始資料!AO$2:AO$501,$BJ386)))</f>
        <v/>
      </c>
      <c r="AN386" s="6">
        <f>IF(OR($BJ386="",39&gt;設定!$B$3),"",IF(INDEX(原始資料!AP$2:AP$501,$BJ386)="","",INDEX(原始資料!AP$2:AP$501,$BJ386)))</f>
        <v/>
      </c>
      <c r="AO386" s="6">
        <f>IF(OR($BJ386="",40&gt;設定!$B$3),"",IF(INDEX(原始資料!AQ$2:AQ$501,$BJ386)="","",INDEX(原始資料!AQ$2:AQ$501,$BJ386)))</f>
        <v/>
      </c>
      <c r="AP386" s="6">
        <f>IF(OR($BJ386="",41&gt;設定!$B$3),"",IF(INDEX(原始資料!AR$2:AR$501,$BJ386)="","",INDEX(原始資料!AR$2:AR$501,$BJ386)))</f>
        <v/>
      </c>
      <c r="AQ386" s="6">
        <f>IF(OR($BJ386="",42&gt;設定!$B$3),"",IF(INDEX(原始資料!AS$2:AS$501,$BJ386)="","",INDEX(原始資料!AS$2:AS$501,$BJ386)))</f>
        <v/>
      </c>
      <c r="AR386" s="6">
        <f>IF(OR($BJ386="",43&gt;設定!$B$3),"",IF(INDEX(原始資料!AT$2:AT$501,$BJ386)="","",INDEX(原始資料!AT$2:AT$501,$BJ386)))</f>
        <v/>
      </c>
      <c r="AS386" s="6">
        <f>IF(OR($BJ386="",44&gt;設定!$B$3),"",IF(INDEX(原始資料!AU$2:AU$501,$BJ386)="","",INDEX(原始資料!AU$2:AU$501,$BJ386)))</f>
        <v/>
      </c>
      <c r="AT386" s="6">
        <f>IF(OR($BJ386="",45&gt;設定!$B$3),"",IF(INDEX(原始資料!AV$2:AV$501,$BJ386)="","",INDEX(原始資料!AV$2:AV$501,$BJ386)))</f>
        <v/>
      </c>
      <c r="AU386" s="6">
        <f>IF(OR($BJ386="",46&gt;設定!$B$3),"",IF(INDEX(原始資料!AW$2:AW$501,$BJ386)="","",INDEX(原始資料!AW$2:AW$501,$BJ386)))</f>
        <v/>
      </c>
      <c r="AV386" s="6">
        <f>IF(OR($BJ386="",47&gt;設定!$B$3),"",IF(INDEX(原始資料!AX$2:AX$501,$BJ386)="","",INDEX(原始資料!AX$2:AX$501,$BJ386)))</f>
        <v/>
      </c>
      <c r="AW386" s="6">
        <f>IF(OR($BJ386="",48&gt;設定!$B$3),"",IF(INDEX(原始資料!AY$2:AY$501,$BJ386)="","",INDEX(原始資料!AY$2:AY$501,$BJ386)))</f>
        <v/>
      </c>
      <c r="AX386" s="6">
        <f>IF(OR($BJ386="",49&gt;設定!$B$3),"",IF(INDEX(原始資料!AZ$2:AZ$501,$BJ386)="","",INDEX(原始資料!AZ$2:AZ$501,$BJ386)))</f>
        <v/>
      </c>
      <c r="AY386" s="6">
        <f>IF(OR($BJ386="",50&gt;設定!$B$3),"",IF(INDEX(原始資料!BA$2:BA$501,$BJ386)="","",INDEX(原始資料!BA$2:BA$501,$BJ386)))</f>
        <v/>
      </c>
      <c r="AZ386" s="6">
        <f>IF(OR($BJ386="",51&gt;設定!$B$3),"",IF(INDEX(原始資料!BB$2:BB$501,$BJ386)="","",INDEX(原始資料!BB$2:BB$501,$BJ386)))</f>
        <v/>
      </c>
      <c r="BA386" s="6">
        <f>IF(OR($BJ386="",52&gt;設定!$B$3),"",IF(INDEX(原始資料!BC$2:BC$501,$BJ386)="","",INDEX(原始資料!BC$2:BC$501,$BJ386)))</f>
        <v/>
      </c>
      <c r="BB386" s="6">
        <f>IF(OR($BJ386="",53&gt;設定!$B$3),"",IF(INDEX(原始資料!BD$2:BD$501,$BJ386)="","",INDEX(原始資料!BD$2:BD$501,$BJ386)))</f>
        <v/>
      </c>
      <c r="BC386" s="6">
        <f>IF(OR($BJ386="",54&gt;設定!$B$3),"",IF(INDEX(原始資料!BE$2:BE$501,$BJ386)="","",INDEX(原始資料!BE$2:BE$501,$BJ386)))</f>
        <v/>
      </c>
      <c r="BD386" s="6">
        <f>IF(OR($BJ386="",55&gt;設定!$B$3),"",IF(INDEX(原始資料!BF$2:BF$501,$BJ386)="","",INDEX(原始資料!BF$2:BF$501,$BJ386)))</f>
        <v/>
      </c>
      <c r="BE386" s="6">
        <f>IF(OR($BJ386="",56&gt;設定!$B$3),"",IF(INDEX(原始資料!BG$2:BG$501,$BJ386)="","",INDEX(原始資料!BG$2:BG$501,$BJ386)))</f>
        <v/>
      </c>
      <c r="BF386" s="6">
        <f>IF(OR($BJ386="",57&gt;設定!$B$3),"",IF(INDEX(原始資料!BH$2:BH$501,$BJ386)="","",INDEX(原始資料!BH$2:BH$501,$BJ386)))</f>
        <v/>
      </c>
      <c r="BG386" s="6">
        <f>IF(OR($BJ386="",58&gt;設定!$B$3),"",IF(INDEX(原始資料!BI$2:BI$501,$BJ386)="","",INDEX(原始資料!BI$2:BI$501,$BJ386)))</f>
        <v/>
      </c>
      <c r="BH386" s="6">
        <f>IF(OR($BJ386="",59&gt;設定!$B$3),"",IF(INDEX(原始資料!BJ$2:BJ$501,$BJ386)="","",INDEX(原始資料!BJ$2:BJ$501,$BJ386)))</f>
        <v/>
      </c>
      <c r="BI386" s="6">
        <f>IF(OR($BJ386="",60&gt;設定!$B$3),"",IF(INDEX(原始資料!BK$2:BK$501,$BJ386)="","",INDEX(原始資料!BK$2:BK$501,$BJ386)))</f>
        <v/>
      </c>
      <c r="BJ386" s="6">
        <f>IFERROR(MATCH(ROW()-1,判定!$H$2:$H$501,0),"")</f>
        <v/>
      </c>
    </row>
    <row r="387">
      <c r="A387" s="6">
        <f>IF($BJ387="","",INDEX(原始資料!$A$2:$A$501,$BJ387))</f>
        <v/>
      </c>
      <c r="B387" s="6">
        <f>IF(OR($BJ387="",1&gt;設定!$B$3),"",IF(INDEX(原始資料!D$2:D$501,$BJ387)="","",INDEX(原始資料!D$2:D$501,$BJ387)))</f>
        <v/>
      </c>
      <c r="C387" s="6">
        <f>IF(OR($BJ387="",2&gt;設定!$B$3),"",IF(INDEX(原始資料!E$2:E$501,$BJ387)="","",INDEX(原始資料!E$2:E$501,$BJ387)))</f>
        <v/>
      </c>
      <c r="D387" s="6">
        <f>IF(OR($BJ387="",3&gt;設定!$B$3),"",IF(INDEX(原始資料!F$2:F$501,$BJ387)="","",INDEX(原始資料!F$2:F$501,$BJ387)))</f>
        <v/>
      </c>
      <c r="E387" s="6">
        <f>IF(OR($BJ387="",4&gt;設定!$B$3),"",IF(INDEX(原始資料!G$2:G$501,$BJ387)="","",INDEX(原始資料!G$2:G$501,$BJ387)))</f>
        <v/>
      </c>
      <c r="F387" s="6">
        <f>IF(OR($BJ387="",5&gt;設定!$B$3),"",IF(INDEX(原始資料!H$2:H$501,$BJ387)="","",INDEX(原始資料!H$2:H$501,$BJ387)))</f>
        <v/>
      </c>
      <c r="G387" s="6">
        <f>IF(OR($BJ387="",6&gt;設定!$B$3),"",IF(INDEX(原始資料!I$2:I$501,$BJ387)="","",INDEX(原始資料!I$2:I$501,$BJ387)))</f>
        <v/>
      </c>
      <c r="H387" s="6">
        <f>IF(OR($BJ387="",7&gt;設定!$B$3),"",IF(INDEX(原始資料!J$2:J$501,$BJ387)="","",INDEX(原始資料!J$2:J$501,$BJ387)))</f>
        <v/>
      </c>
      <c r="I387" s="6">
        <f>IF(OR($BJ387="",8&gt;設定!$B$3),"",IF(INDEX(原始資料!K$2:K$501,$BJ387)="","",INDEX(原始資料!K$2:K$501,$BJ387)))</f>
        <v/>
      </c>
      <c r="J387" s="6">
        <f>IF(OR($BJ387="",9&gt;設定!$B$3),"",IF(INDEX(原始資料!L$2:L$501,$BJ387)="","",INDEX(原始資料!L$2:L$501,$BJ387)))</f>
        <v/>
      </c>
      <c r="K387" s="6">
        <f>IF(OR($BJ387="",10&gt;設定!$B$3),"",IF(INDEX(原始資料!M$2:M$501,$BJ387)="","",INDEX(原始資料!M$2:M$501,$BJ387)))</f>
        <v/>
      </c>
      <c r="L387" s="6">
        <f>IF(OR($BJ387="",11&gt;設定!$B$3),"",IF(INDEX(原始資料!N$2:N$501,$BJ387)="","",INDEX(原始資料!N$2:N$501,$BJ387)))</f>
        <v/>
      </c>
      <c r="M387" s="6">
        <f>IF(OR($BJ387="",12&gt;設定!$B$3),"",IF(INDEX(原始資料!O$2:O$501,$BJ387)="","",INDEX(原始資料!O$2:O$501,$BJ387)))</f>
        <v/>
      </c>
      <c r="N387" s="6">
        <f>IF(OR($BJ387="",13&gt;設定!$B$3),"",IF(INDEX(原始資料!P$2:P$501,$BJ387)="","",INDEX(原始資料!P$2:P$501,$BJ387)))</f>
        <v/>
      </c>
      <c r="O387" s="6">
        <f>IF(OR($BJ387="",14&gt;設定!$B$3),"",IF(INDEX(原始資料!Q$2:Q$501,$BJ387)="","",INDEX(原始資料!Q$2:Q$501,$BJ387)))</f>
        <v/>
      </c>
      <c r="P387" s="6">
        <f>IF(OR($BJ387="",15&gt;設定!$B$3),"",IF(INDEX(原始資料!R$2:R$501,$BJ387)="","",INDEX(原始資料!R$2:R$501,$BJ387)))</f>
        <v/>
      </c>
      <c r="Q387" s="6">
        <f>IF(OR($BJ387="",16&gt;設定!$B$3),"",IF(INDEX(原始資料!S$2:S$501,$BJ387)="","",INDEX(原始資料!S$2:S$501,$BJ387)))</f>
        <v/>
      </c>
      <c r="R387" s="6">
        <f>IF(OR($BJ387="",17&gt;設定!$B$3),"",IF(INDEX(原始資料!T$2:T$501,$BJ387)="","",INDEX(原始資料!T$2:T$501,$BJ387)))</f>
        <v/>
      </c>
      <c r="S387" s="6">
        <f>IF(OR($BJ387="",18&gt;設定!$B$3),"",IF(INDEX(原始資料!U$2:U$501,$BJ387)="","",INDEX(原始資料!U$2:U$501,$BJ387)))</f>
        <v/>
      </c>
      <c r="T387" s="6">
        <f>IF(OR($BJ387="",19&gt;設定!$B$3),"",IF(INDEX(原始資料!V$2:V$501,$BJ387)="","",INDEX(原始資料!V$2:V$501,$BJ387)))</f>
        <v/>
      </c>
      <c r="U387" s="6">
        <f>IF(OR($BJ387="",20&gt;設定!$B$3),"",IF(INDEX(原始資料!W$2:W$501,$BJ387)="","",INDEX(原始資料!W$2:W$501,$BJ387)))</f>
        <v/>
      </c>
      <c r="V387" s="6">
        <f>IF(OR($BJ387="",21&gt;設定!$B$3),"",IF(INDEX(原始資料!X$2:X$501,$BJ387)="","",INDEX(原始資料!X$2:X$501,$BJ387)))</f>
        <v/>
      </c>
      <c r="W387" s="6">
        <f>IF(OR($BJ387="",22&gt;設定!$B$3),"",IF(INDEX(原始資料!Y$2:Y$501,$BJ387)="","",INDEX(原始資料!Y$2:Y$501,$BJ387)))</f>
        <v/>
      </c>
      <c r="X387" s="6">
        <f>IF(OR($BJ387="",23&gt;設定!$B$3),"",IF(INDEX(原始資料!Z$2:Z$501,$BJ387)="","",INDEX(原始資料!Z$2:Z$501,$BJ387)))</f>
        <v/>
      </c>
      <c r="Y387" s="6">
        <f>IF(OR($BJ387="",24&gt;設定!$B$3),"",IF(INDEX(原始資料!AA$2:AA$501,$BJ387)="","",INDEX(原始資料!AA$2:AA$501,$BJ387)))</f>
        <v/>
      </c>
      <c r="Z387" s="6">
        <f>IF(OR($BJ387="",25&gt;設定!$B$3),"",IF(INDEX(原始資料!AB$2:AB$501,$BJ387)="","",INDEX(原始資料!AB$2:AB$501,$BJ387)))</f>
        <v/>
      </c>
      <c r="AA387" s="6">
        <f>IF(OR($BJ387="",26&gt;設定!$B$3),"",IF(INDEX(原始資料!AC$2:AC$501,$BJ387)="","",INDEX(原始資料!AC$2:AC$501,$BJ387)))</f>
        <v/>
      </c>
      <c r="AB387" s="6">
        <f>IF(OR($BJ387="",27&gt;設定!$B$3),"",IF(INDEX(原始資料!AD$2:AD$501,$BJ387)="","",INDEX(原始資料!AD$2:AD$501,$BJ387)))</f>
        <v/>
      </c>
      <c r="AC387" s="6">
        <f>IF(OR($BJ387="",28&gt;設定!$B$3),"",IF(INDEX(原始資料!AE$2:AE$501,$BJ387)="","",INDEX(原始資料!AE$2:AE$501,$BJ387)))</f>
        <v/>
      </c>
      <c r="AD387" s="6">
        <f>IF(OR($BJ387="",29&gt;設定!$B$3),"",IF(INDEX(原始資料!AF$2:AF$501,$BJ387)="","",INDEX(原始資料!AF$2:AF$501,$BJ387)))</f>
        <v/>
      </c>
      <c r="AE387" s="6">
        <f>IF(OR($BJ387="",30&gt;設定!$B$3),"",IF(INDEX(原始資料!AG$2:AG$501,$BJ387)="","",INDEX(原始資料!AG$2:AG$501,$BJ387)))</f>
        <v/>
      </c>
      <c r="AF387" s="6">
        <f>IF(OR($BJ387="",31&gt;設定!$B$3),"",IF(INDEX(原始資料!AH$2:AH$501,$BJ387)="","",INDEX(原始資料!AH$2:AH$501,$BJ387)))</f>
        <v/>
      </c>
      <c r="AG387" s="6">
        <f>IF(OR($BJ387="",32&gt;設定!$B$3),"",IF(INDEX(原始資料!AI$2:AI$501,$BJ387)="","",INDEX(原始資料!AI$2:AI$501,$BJ387)))</f>
        <v/>
      </c>
      <c r="AH387" s="6">
        <f>IF(OR($BJ387="",33&gt;設定!$B$3),"",IF(INDEX(原始資料!AJ$2:AJ$501,$BJ387)="","",INDEX(原始資料!AJ$2:AJ$501,$BJ387)))</f>
        <v/>
      </c>
      <c r="AI387" s="6">
        <f>IF(OR($BJ387="",34&gt;設定!$B$3),"",IF(INDEX(原始資料!AK$2:AK$501,$BJ387)="","",INDEX(原始資料!AK$2:AK$501,$BJ387)))</f>
        <v/>
      </c>
      <c r="AJ387" s="6">
        <f>IF(OR($BJ387="",35&gt;設定!$B$3),"",IF(INDEX(原始資料!AL$2:AL$501,$BJ387)="","",INDEX(原始資料!AL$2:AL$501,$BJ387)))</f>
        <v/>
      </c>
      <c r="AK387" s="6">
        <f>IF(OR($BJ387="",36&gt;設定!$B$3),"",IF(INDEX(原始資料!AM$2:AM$501,$BJ387)="","",INDEX(原始資料!AM$2:AM$501,$BJ387)))</f>
        <v/>
      </c>
      <c r="AL387" s="6">
        <f>IF(OR($BJ387="",37&gt;設定!$B$3),"",IF(INDEX(原始資料!AN$2:AN$501,$BJ387)="","",INDEX(原始資料!AN$2:AN$501,$BJ387)))</f>
        <v/>
      </c>
      <c r="AM387" s="6">
        <f>IF(OR($BJ387="",38&gt;設定!$B$3),"",IF(INDEX(原始資料!AO$2:AO$501,$BJ387)="","",INDEX(原始資料!AO$2:AO$501,$BJ387)))</f>
        <v/>
      </c>
      <c r="AN387" s="6">
        <f>IF(OR($BJ387="",39&gt;設定!$B$3),"",IF(INDEX(原始資料!AP$2:AP$501,$BJ387)="","",INDEX(原始資料!AP$2:AP$501,$BJ387)))</f>
        <v/>
      </c>
      <c r="AO387" s="6">
        <f>IF(OR($BJ387="",40&gt;設定!$B$3),"",IF(INDEX(原始資料!AQ$2:AQ$501,$BJ387)="","",INDEX(原始資料!AQ$2:AQ$501,$BJ387)))</f>
        <v/>
      </c>
      <c r="AP387" s="6">
        <f>IF(OR($BJ387="",41&gt;設定!$B$3),"",IF(INDEX(原始資料!AR$2:AR$501,$BJ387)="","",INDEX(原始資料!AR$2:AR$501,$BJ387)))</f>
        <v/>
      </c>
      <c r="AQ387" s="6">
        <f>IF(OR($BJ387="",42&gt;設定!$B$3),"",IF(INDEX(原始資料!AS$2:AS$501,$BJ387)="","",INDEX(原始資料!AS$2:AS$501,$BJ387)))</f>
        <v/>
      </c>
      <c r="AR387" s="6">
        <f>IF(OR($BJ387="",43&gt;設定!$B$3),"",IF(INDEX(原始資料!AT$2:AT$501,$BJ387)="","",INDEX(原始資料!AT$2:AT$501,$BJ387)))</f>
        <v/>
      </c>
      <c r="AS387" s="6">
        <f>IF(OR($BJ387="",44&gt;設定!$B$3),"",IF(INDEX(原始資料!AU$2:AU$501,$BJ387)="","",INDEX(原始資料!AU$2:AU$501,$BJ387)))</f>
        <v/>
      </c>
      <c r="AT387" s="6">
        <f>IF(OR($BJ387="",45&gt;設定!$B$3),"",IF(INDEX(原始資料!AV$2:AV$501,$BJ387)="","",INDEX(原始資料!AV$2:AV$501,$BJ387)))</f>
        <v/>
      </c>
      <c r="AU387" s="6">
        <f>IF(OR($BJ387="",46&gt;設定!$B$3),"",IF(INDEX(原始資料!AW$2:AW$501,$BJ387)="","",INDEX(原始資料!AW$2:AW$501,$BJ387)))</f>
        <v/>
      </c>
      <c r="AV387" s="6">
        <f>IF(OR($BJ387="",47&gt;設定!$B$3),"",IF(INDEX(原始資料!AX$2:AX$501,$BJ387)="","",INDEX(原始資料!AX$2:AX$501,$BJ387)))</f>
        <v/>
      </c>
      <c r="AW387" s="6">
        <f>IF(OR($BJ387="",48&gt;設定!$B$3),"",IF(INDEX(原始資料!AY$2:AY$501,$BJ387)="","",INDEX(原始資料!AY$2:AY$501,$BJ387)))</f>
        <v/>
      </c>
      <c r="AX387" s="6">
        <f>IF(OR($BJ387="",49&gt;設定!$B$3),"",IF(INDEX(原始資料!AZ$2:AZ$501,$BJ387)="","",INDEX(原始資料!AZ$2:AZ$501,$BJ387)))</f>
        <v/>
      </c>
      <c r="AY387" s="6">
        <f>IF(OR($BJ387="",50&gt;設定!$B$3),"",IF(INDEX(原始資料!BA$2:BA$501,$BJ387)="","",INDEX(原始資料!BA$2:BA$501,$BJ387)))</f>
        <v/>
      </c>
      <c r="AZ387" s="6">
        <f>IF(OR($BJ387="",51&gt;設定!$B$3),"",IF(INDEX(原始資料!BB$2:BB$501,$BJ387)="","",INDEX(原始資料!BB$2:BB$501,$BJ387)))</f>
        <v/>
      </c>
      <c r="BA387" s="6">
        <f>IF(OR($BJ387="",52&gt;設定!$B$3),"",IF(INDEX(原始資料!BC$2:BC$501,$BJ387)="","",INDEX(原始資料!BC$2:BC$501,$BJ387)))</f>
        <v/>
      </c>
      <c r="BB387" s="6">
        <f>IF(OR($BJ387="",53&gt;設定!$B$3),"",IF(INDEX(原始資料!BD$2:BD$501,$BJ387)="","",INDEX(原始資料!BD$2:BD$501,$BJ387)))</f>
        <v/>
      </c>
      <c r="BC387" s="6">
        <f>IF(OR($BJ387="",54&gt;設定!$B$3),"",IF(INDEX(原始資料!BE$2:BE$501,$BJ387)="","",INDEX(原始資料!BE$2:BE$501,$BJ387)))</f>
        <v/>
      </c>
      <c r="BD387" s="6">
        <f>IF(OR($BJ387="",55&gt;設定!$B$3),"",IF(INDEX(原始資料!BF$2:BF$501,$BJ387)="","",INDEX(原始資料!BF$2:BF$501,$BJ387)))</f>
        <v/>
      </c>
      <c r="BE387" s="6">
        <f>IF(OR($BJ387="",56&gt;設定!$B$3),"",IF(INDEX(原始資料!BG$2:BG$501,$BJ387)="","",INDEX(原始資料!BG$2:BG$501,$BJ387)))</f>
        <v/>
      </c>
      <c r="BF387" s="6">
        <f>IF(OR($BJ387="",57&gt;設定!$B$3),"",IF(INDEX(原始資料!BH$2:BH$501,$BJ387)="","",INDEX(原始資料!BH$2:BH$501,$BJ387)))</f>
        <v/>
      </c>
      <c r="BG387" s="6">
        <f>IF(OR($BJ387="",58&gt;設定!$B$3),"",IF(INDEX(原始資料!BI$2:BI$501,$BJ387)="","",INDEX(原始資料!BI$2:BI$501,$BJ387)))</f>
        <v/>
      </c>
      <c r="BH387" s="6">
        <f>IF(OR($BJ387="",59&gt;設定!$B$3),"",IF(INDEX(原始資料!BJ$2:BJ$501,$BJ387)="","",INDEX(原始資料!BJ$2:BJ$501,$BJ387)))</f>
        <v/>
      </c>
      <c r="BI387" s="6">
        <f>IF(OR($BJ387="",60&gt;設定!$B$3),"",IF(INDEX(原始資料!BK$2:BK$501,$BJ387)="","",INDEX(原始資料!BK$2:BK$501,$BJ387)))</f>
        <v/>
      </c>
      <c r="BJ387" s="6">
        <f>IFERROR(MATCH(ROW()-1,判定!$H$2:$H$501,0),"")</f>
        <v/>
      </c>
    </row>
    <row r="388">
      <c r="A388" s="6">
        <f>IF($BJ388="","",INDEX(原始資料!$A$2:$A$501,$BJ388))</f>
        <v/>
      </c>
      <c r="B388" s="6">
        <f>IF(OR($BJ388="",1&gt;設定!$B$3),"",IF(INDEX(原始資料!D$2:D$501,$BJ388)="","",INDEX(原始資料!D$2:D$501,$BJ388)))</f>
        <v/>
      </c>
      <c r="C388" s="6">
        <f>IF(OR($BJ388="",2&gt;設定!$B$3),"",IF(INDEX(原始資料!E$2:E$501,$BJ388)="","",INDEX(原始資料!E$2:E$501,$BJ388)))</f>
        <v/>
      </c>
      <c r="D388" s="6">
        <f>IF(OR($BJ388="",3&gt;設定!$B$3),"",IF(INDEX(原始資料!F$2:F$501,$BJ388)="","",INDEX(原始資料!F$2:F$501,$BJ388)))</f>
        <v/>
      </c>
      <c r="E388" s="6">
        <f>IF(OR($BJ388="",4&gt;設定!$B$3),"",IF(INDEX(原始資料!G$2:G$501,$BJ388)="","",INDEX(原始資料!G$2:G$501,$BJ388)))</f>
        <v/>
      </c>
      <c r="F388" s="6">
        <f>IF(OR($BJ388="",5&gt;設定!$B$3),"",IF(INDEX(原始資料!H$2:H$501,$BJ388)="","",INDEX(原始資料!H$2:H$501,$BJ388)))</f>
        <v/>
      </c>
      <c r="G388" s="6">
        <f>IF(OR($BJ388="",6&gt;設定!$B$3),"",IF(INDEX(原始資料!I$2:I$501,$BJ388)="","",INDEX(原始資料!I$2:I$501,$BJ388)))</f>
        <v/>
      </c>
      <c r="H388" s="6">
        <f>IF(OR($BJ388="",7&gt;設定!$B$3),"",IF(INDEX(原始資料!J$2:J$501,$BJ388)="","",INDEX(原始資料!J$2:J$501,$BJ388)))</f>
        <v/>
      </c>
      <c r="I388" s="6">
        <f>IF(OR($BJ388="",8&gt;設定!$B$3),"",IF(INDEX(原始資料!K$2:K$501,$BJ388)="","",INDEX(原始資料!K$2:K$501,$BJ388)))</f>
        <v/>
      </c>
      <c r="J388" s="6">
        <f>IF(OR($BJ388="",9&gt;設定!$B$3),"",IF(INDEX(原始資料!L$2:L$501,$BJ388)="","",INDEX(原始資料!L$2:L$501,$BJ388)))</f>
        <v/>
      </c>
      <c r="K388" s="6">
        <f>IF(OR($BJ388="",10&gt;設定!$B$3),"",IF(INDEX(原始資料!M$2:M$501,$BJ388)="","",INDEX(原始資料!M$2:M$501,$BJ388)))</f>
        <v/>
      </c>
      <c r="L388" s="6">
        <f>IF(OR($BJ388="",11&gt;設定!$B$3),"",IF(INDEX(原始資料!N$2:N$501,$BJ388)="","",INDEX(原始資料!N$2:N$501,$BJ388)))</f>
        <v/>
      </c>
      <c r="M388" s="6">
        <f>IF(OR($BJ388="",12&gt;設定!$B$3),"",IF(INDEX(原始資料!O$2:O$501,$BJ388)="","",INDEX(原始資料!O$2:O$501,$BJ388)))</f>
        <v/>
      </c>
      <c r="N388" s="6">
        <f>IF(OR($BJ388="",13&gt;設定!$B$3),"",IF(INDEX(原始資料!P$2:P$501,$BJ388)="","",INDEX(原始資料!P$2:P$501,$BJ388)))</f>
        <v/>
      </c>
      <c r="O388" s="6">
        <f>IF(OR($BJ388="",14&gt;設定!$B$3),"",IF(INDEX(原始資料!Q$2:Q$501,$BJ388)="","",INDEX(原始資料!Q$2:Q$501,$BJ388)))</f>
        <v/>
      </c>
      <c r="P388" s="6">
        <f>IF(OR($BJ388="",15&gt;設定!$B$3),"",IF(INDEX(原始資料!R$2:R$501,$BJ388)="","",INDEX(原始資料!R$2:R$501,$BJ388)))</f>
        <v/>
      </c>
      <c r="Q388" s="6">
        <f>IF(OR($BJ388="",16&gt;設定!$B$3),"",IF(INDEX(原始資料!S$2:S$501,$BJ388)="","",INDEX(原始資料!S$2:S$501,$BJ388)))</f>
        <v/>
      </c>
      <c r="R388" s="6">
        <f>IF(OR($BJ388="",17&gt;設定!$B$3),"",IF(INDEX(原始資料!T$2:T$501,$BJ388)="","",INDEX(原始資料!T$2:T$501,$BJ388)))</f>
        <v/>
      </c>
      <c r="S388" s="6">
        <f>IF(OR($BJ388="",18&gt;設定!$B$3),"",IF(INDEX(原始資料!U$2:U$501,$BJ388)="","",INDEX(原始資料!U$2:U$501,$BJ388)))</f>
        <v/>
      </c>
      <c r="T388" s="6">
        <f>IF(OR($BJ388="",19&gt;設定!$B$3),"",IF(INDEX(原始資料!V$2:V$501,$BJ388)="","",INDEX(原始資料!V$2:V$501,$BJ388)))</f>
        <v/>
      </c>
      <c r="U388" s="6">
        <f>IF(OR($BJ388="",20&gt;設定!$B$3),"",IF(INDEX(原始資料!W$2:W$501,$BJ388)="","",INDEX(原始資料!W$2:W$501,$BJ388)))</f>
        <v/>
      </c>
      <c r="V388" s="6">
        <f>IF(OR($BJ388="",21&gt;設定!$B$3),"",IF(INDEX(原始資料!X$2:X$501,$BJ388)="","",INDEX(原始資料!X$2:X$501,$BJ388)))</f>
        <v/>
      </c>
      <c r="W388" s="6">
        <f>IF(OR($BJ388="",22&gt;設定!$B$3),"",IF(INDEX(原始資料!Y$2:Y$501,$BJ388)="","",INDEX(原始資料!Y$2:Y$501,$BJ388)))</f>
        <v/>
      </c>
      <c r="X388" s="6">
        <f>IF(OR($BJ388="",23&gt;設定!$B$3),"",IF(INDEX(原始資料!Z$2:Z$501,$BJ388)="","",INDEX(原始資料!Z$2:Z$501,$BJ388)))</f>
        <v/>
      </c>
      <c r="Y388" s="6">
        <f>IF(OR($BJ388="",24&gt;設定!$B$3),"",IF(INDEX(原始資料!AA$2:AA$501,$BJ388)="","",INDEX(原始資料!AA$2:AA$501,$BJ388)))</f>
        <v/>
      </c>
      <c r="Z388" s="6">
        <f>IF(OR($BJ388="",25&gt;設定!$B$3),"",IF(INDEX(原始資料!AB$2:AB$501,$BJ388)="","",INDEX(原始資料!AB$2:AB$501,$BJ388)))</f>
        <v/>
      </c>
      <c r="AA388" s="6">
        <f>IF(OR($BJ388="",26&gt;設定!$B$3),"",IF(INDEX(原始資料!AC$2:AC$501,$BJ388)="","",INDEX(原始資料!AC$2:AC$501,$BJ388)))</f>
        <v/>
      </c>
      <c r="AB388" s="6">
        <f>IF(OR($BJ388="",27&gt;設定!$B$3),"",IF(INDEX(原始資料!AD$2:AD$501,$BJ388)="","",INDEX(原始資料!AD$2:AD$501,$BJ388)))</f>
        <v/>
      </c>
      <c r="AC388" s="6">
        <f>IF(OR($BJ388="",28&gt;設定!$B$3),"",IF(INDEX(原始資料!AE$2:AE$501,$BJ388)="","",INDEX(原始資料!AE$2:AE$501,$BJ388)))</f>
        <v/>
      </c>
      <c r="AD388" s="6">
        <f>IF(OR($BJ388="",29&gt;設定!$B$3),"",IF(INDEX(原始資料!AF$2:AF$501,$BJ388)="","",INDEX(原始資料!AF$2:AF$501,$BJ388)))</f>
        <v/>
      </c>
      <c r="AE388" s="6">
        <f>IF(OR($BJ388="",30&gt;設定!$B$3),"",IF(INDEX(原始資料!AG$2:AG$501,$BJ388)="","",INDEX(原始資料!AG$2:AG$501,$BJ388)))</f>
        <v/>
      </c>
      <c r="AF388" s="6">
        <f>IF(OR($BJ388="",31&gt;設定!$B$3),"",IF(INDEX(原始資料!AH$2:AH$501,$BJ388)="","",INDEX(原始資料!AH$2:AH$501,$BJ388)))</f>
        <v/>
      </c>
      <c r="AG388" s="6">
        <f>IF(OR($BJ388="",32&gt;設定!$B$3),"",IF(INDEX(原始資料!AI$2:AI$501,$BJ388)="","",INDEX(原始資料!AI$2:AI$501,$BJ388)))</f>
        <v/>
      </c>
      <c r="AH388" s="6">
        <f>IF(OR($BJ388="",33&gt;設定!$B$3),"",IF(INDEX(原始資料!AJ$2:AJ$501,$BJ388)="","",INDEX(原始資料!AJ$2:AJ$501,$BJ388)))</f>
        <v/>
      </c>
      <c r="AI388" s="6">
        <f>IF(OR($BJ388="",34&gt;設定!$B$3),"",IF(INDEX(原始資料!AK$2:AK$501,$BJ388)="","",INDEX(原始資料!AK$2:AK$501,$BJ388)))</f>
        <v/>
      </c>
      <c r="AJ388" s="6">
        <f>IF(OR($BJ388="",35&gt;設定!$B$3),"",IF(INDEX(原始資料!AL$2:AL$501,$BJ388)="","",INDEX(原始資料!AL$2:AL$501,$BJ388)))</f>
        <v/>
      </c>
      <c r="AK388" s="6">
        <f>IF(OR($BJ388="",36&gt;設定!$B$3),"",IF(INDEX(原始資料!AM$2:AM$501,$BJ388)="","",INDEX(原始資料!AM$2:AM$501,$BJ388)))</f>
        <v/>
      </c>
      <c r="AL388" s="6">
        <f>IF(OR($BJ388="",37&gt;設定!$B$3),"",IF(INDEX(原始資料!AN$2:AN$501,$BJ388)="","",INDEX(原始資料!AN$2:AN$501,$BJ388)))</f>
        <v/>
      </c>
      <c r="AM388" s="6">
        <f>IF(OR($BJ388="",38&gt;設定!$B$3),"",IF(INDEX(原始資料!AO$2:AO$501,$BJ388)="","",INDEX(原始資料!AO$2:AO$501,$BJ388)))</f>
        <v/>
      </c>
      <c r="AN388" s="6">
        <f>IF(OR($BJ388="",39&gt;設定!$B$3),"",IF(INDEX(原始資料!AP$2:AP$501,$BJ388)="","",INDEX(原始資料!AP$2:AP$501,$BJ388)))</f>
        <v/>
      </c>
      <c r="AO388" s="6">
        <f>IF(OR($BJ388="",40&gt;設定!$B$3),"",IF(INDEX(原始資料!AQ$2:AQ$501,$BJ388)="","",INDEX(原始資料!AQ$2:AQ$501,$BJ388)))</f>
        <v/>
      </c>
      <c r="AP388" s="6">
        <f>IF(OR($BJ388="",41&gt;設定!$B$3),"",IF(INDEX(原始資料!AR$2:AR$501,$BJ388)="","",INDEX(原始資料!AR$2:AR$501,$BJ388)))</f>
        <v/>
      </c>
      <c r="AQ388" s="6">
        <f>IF(OR($BJ388="",42&gt;設定!$B$3),"",IF(INDEX(原始資料!AS$2:AS$501,$BJ388)="","",INDEX(原始資料!AS$2:AS$501,$BJ388)))</f>
        <v/>
      </c>
      <c r="AR388" s="6">
        <f>IF(OR($BJ388="",43&gt;設定!$B$3),"",IF(INDEX(原始資料!AT$2:AT$501,$BJ388)="","",INDEX(原始資料!AT$2:AT$501,$BJ388)))</f>
        <v/>
      </c>
      <c r="AS388" s="6">
        <f>IF(OR($BJ388="",44&gt;設定!$B$3),"",IF(INDEX(原始資料!AU$2:AU$501,$BJ388)="","",INDEX(原始資料!AU$2:AU$501,$BJ388)))</f>
        <v/>
      </c>
      <c r="AT388" s="6">
        <f>IF(OR($BJ388="",45&gt;設定!$B$3),"",IF(INDEX(原始資料!AV$2:AV$501,$BJ388)="","",INDEX(原始資料!AV$2:AV$501,$BJ388)))</f>
        <v/>
      </c>
      <c r="AU388" s="6">
        <f>IF(OR($BJ388="",46&gt;設定!$B$3),"",IF(INDEX(原始資料!AW$2:AW$501,$BJ388)="","",INDEX(原始資料!AW$2:AW$501,$BJ388)))</f>
        <v/>
      </c>
      <c r="AV388" s="6">
        <f>IF(OR($BJ388="",47&gt;設定!$B$3),"",IF(INDEX(原始資料!AX$2:AX$501,$BJ388)="","",INDEX(原始資料!AX$2:AX$501,$BJ388)))</f>
        <v/>
      </c>
      <c r="AW388" s="6">
        <f>IF(OR($BJ388="",48&gt;設定!$B$3),"",IF(INDEX(原始資料!AY$2:AY$501,$BJ388)="","",INDEX(原始資料!AY$2:AY$501,$BJ388)))</f>
        <v/>
      </c>
      <c r="AX388" s="6">
        <f>IF(OR($BJ388="",49&gt;設定!$B$3),"",IF(INDEX(原始資料!AZ$2:AZ$501,$BJ388)="","",INDEX(原始資料!AZ$2:AZ$501,$BJ388)))</f>
        <v/>
      </c>
      <c r="AY388" s="6">
        <f>IF(OR($BJ388="",50&gt;設定!$B$3),"",IF(INDEX(原始資料!BA$2:BA$501,$BJ388)="","",INDEX(原始資料!BA$2:BA$501,$BJ388)))</f>
        <v/>
      </c>
      <c r="AZ388" s="6">
        <f>IF(OR($BJ388="",51&gt;設定!$B$3),"",IF(INDEX(原始資料!BB$2:BB$501,$BJ388)="","",INDEX(原始資料!BB$2:BB$501,$BJ388)))</f>
        <v/>
      </c>
      <c r="BA388" s="6">
        <f>IF(OR($BJ388="",52&gt;設定!$B$3),"",IF(INDEX(原始資料!BC$2:BC$501,$BJ388)="","",INDEX(原始資料!BC$2:BC$501,$BJ388)))</f>
        <v/>
      </c>
      <c r="BB388" s="6">
        <f>IF(OR($BJ388="",53&gt;設定!$B$3),"",IF(INDEX(原始資料!BD$2:BD$501,$BJ388)="","",INDEX(原始資料!BD$2:BD$501,$BJ388)))</f>
        <v/>
      </c>
      <c r="BC388" s="6">
        <f>IF(OR($BJ388="",54&gt;設定!$B$3),"",IF(INDEX(原始資料!BE$2:BE$501,$BJ388)="","",INDEX(原始資料!BE$2:BE$501,$BJ388)))</f>
        <v/>
      </c>
      <c r="BD388" s="6">
        <f>IF(OR($BJ388="",55&gt;設定!$B$3),"",IF(INDEX(原始資料!BF$2:BF$501,$BJ388)="","",INDEX(原始資料!BF$2:BF$501,$BJ388)))</f>
        <v/>
      </c>
      <c r="BE388" s="6">
        <f>IF(OR($BJ388="",56&gt;設定!$B$3),"",IF(INDEX(原始資料!BG$2:BG$501,$BJ388)="","",INDEX(原始資料!BG$2:BG$501,$BJ388)))</f>
        <v/>
      </c>
      <c r="BF388" s="6">
        <f>IF(OR($BJ388="",57&gt;設定!$B$3),"",IF(INDEX(原始資料!BH$2:BH$501,$BJ388)="","",INDEX(原始資料!BH$2:BH$501,$BJ388)))</f>
        <v/>
      </c>
      <c r="BG388" s="6">
        <f>IF(OR($BJ388="",58&gt;設定!$B$3),"",IF(INDEX(原始資料!BI$2:BI$501,$BJ388)="","",INDEX(原始資料!BI$2:BI$501,$BJ388)))</f>
        <v/>
      </c>
      <c r="BH388" s="6">
        <f>IF(OR($BJ388="",59&gt;設定!$B$3),"",IF(INDEX(原始資料!BJ$2:BJ$501,$BJ388)="","",INDEX(原始資料!BJ$2:BJ$501,$BJ388)))</f>
        <v/>
      </c>
      <c r="BI388" s="6">
        <f>IF(OR($BJ388="",60&gt;設定!$B$3),"",IF(INDEX(原始資料!BK$2:BK$501,$BJ388)="","",INDEX(原始資料!BK$2:BK$501,$BJ388)))</f>
        <v/>
      </c>
      <c r="BJ388" s="6">
        <f>IFERROR(MATCH(ROW()-1,判定!$H$2:$H$501,0),"")</f>
        <v/>
      </c>
    </row>
    <row r="389">
      <c r="A389" s="6">
        <f>IF($BJ389="","",INDEX(原始資料!$A$2:$A$501,$BJ389))</f>
        <v/>
      </c>
      <c r="B389" s="6">
        <f>IF(OR($BJ389="",1&gt;設定!$B$3),"",IF(INDEX(原始資料!D$2:D$501,$BJ389)="","",INDEX(原始資料!D$2:D$501,$BJ389)))</f>
        <v/>
      </c>
      <c r="C389" s="6">
        <f>IF(OR($BJ389="",2&gt;設定!$B$3),"",IF(INDEX(原始資料!E$2:E$501,$BJ389)="","",INDEX(原始資料!E$2:E$501,$BJ389)))</f>
        <v/>
      </c>
      <c r="D389" s="6">
        <f>IF(OR($BJ389="",3&gt;設定!$B$3),"",IF(INDEX(原始資料!F$2:F$501,$BJ389)="","",INDEX(原始資料!F$2:F$501,$BJ389)))</f>
        <v/>
      </c>
      <c r="E389" s="6">
        <f>IF(OR($BJ389="",4&gt;設定!$B$3),"",IF(INDEX(原始資料!G$2:G$501,$BJ389)="","",INDEX(原始資料!G$2:G$501,$BJ389)))</f>
        <v/>
      </c>
      <c r="F389" s="6">
        <f>IF(OR($BJ389="",5&gt;設定!$B$3),"",IF(INDEX(原始資料!H$2:H$501,$BJ389)="","",INDEX(原始資料!H$2:H$501,$BJ389)))</f>
        <v/>
      </c>
      <c r="G389" s="6">
        <f>IF(OR($BJ389="",6&gt;設定!$B$3),"",IF(INDEX(原始資料!I$2:I$501,$BJ389)="","",INDEX(原始資料!I$2:I$501,$BJ389)))</f>
        <v/>
      </c>
      <c r="H389" s="6">
        <f>IF(OR($BJ389="",7&gt;設定!$B$3),"",IF(INDEX(原始資料!J$2:J$501,$BJ389)="","",INDEX(原始資料!J$2:J$501,$BJ389)))</f>
        <v/>
      </c>
      <c r="I389" s="6">
        <f>IF(OR($BJ389="",8&gt;設定!$B$3),"",IF(INDEX(原始資料!K$2:K$501,$BJ389)="","",INDEX(原始資料!K$2:K$501,$BJ389)))</f>
        <v/>
      </c>
      <c r="J389" s="6">
        <f>IF(OR($BJ389="",9&gt;設定!$B$3),"",IF(INDEX(原始資料!L$2:L$501,$BJ389)="","",INDEX(原始資料!L$2:L$501,$BJ389)))</f>
        <v/>
      </c>
      <c r="K389" s="6">
        <f>IF(OR($BJ389="",10&gt;設定!$B$3),"",IF(INDEX(原始資料!M$2:M$501,$BJ389)="","",INDEX(原始資料!M$2:M$501,$BJ389)))</f>
        <v/>
      </c>
      <c r="L389" s="6">
        <f>IF(OR($BJ389="",11&gt;設定!$B$3),"",IF(INDEX(原始資料!N$2:N$501,$BJ389)="","",INDEX(原始資料!N$2:N$501,$BJ389)))</f>
        <v/>
      </c>
      <c r="M389" s="6">
        <f>IF(OR($BJ389="",12&gt;設定!$B$3),"",IF(INDEX(原始資料!O$2:O$501,$BJ389)="","",INDEX(原始資料!O$2:O$501,$BJ389)))</f>
        <v/>
      </c>
      <c r="N389" s="6">
        <f>IF(OR($BJ389="",13&gt;設定!$B$3),"",IF(INDEX(原始資料!P$2:P$501,$BJ389)="","",INDEX(原始資料!P$2:P$501,$BJ389)))</f>
        <v/>
      </c>
      <c r="O389" s="6">
        <f>IF(OR($BJ389="",14&gt;設定!$B$3),"",IF(INDEX(原始資料!Q$2:Q$501,$BJ389)="","",INDEX(原始資料!Q$2:Q$501,$BJ389)))</f>
        <v/>
      </c>
      <c r="P389" s="6">
        <f>IF(OR($BJ389="",15&gt;設定!$B$3),"",IF(INDEX(原始資料!R$2:R$501,$BJ389)="","",INDEX(原始資料!R$2:R$501,$BJ389)))</f>
        <v/>
      </c>
      <c r="Q389" s="6">
        <f>IF(OR($BJ389="",16&gt;設定!$B$3),"",IF(INDEX(原始資料!S$2:S$501,$BJ389)="","",INDEX(原始資料!S$2:S$501,$BJ389)))</f>
        <v/>
      </c>
      <c r="R389" s="6">
        <f>IF(OR($BJ389="",17&gt;設定!$B$3),"",IF(INDEX(原始資料!T$2:T$501,$BJ389)="","",INDEX(原始資料!T$2:T$501,$BJ389)))</f>
        <v/>
      </c>
      <c r="S389" s="6">
        <f>IF(OR($BJ389="",18&gt;設定!$B$3),"",IF(INDEX(原始資料!U$2:U$501,$BJ389)="","",INDEX(原始資料!U$2:U$501,$BJ389)))</f>
        <v/>
      </c>
      <c r="T389" s="6">
        <f>IF(OR($BJ389="",19&gt;設定!$B$3),"",IF(INDEX(原始資料!V$2:V$501,$BJ389)="","",INDEX(原始資料!V$2:V$501,$BJ389)))</f>
        <v/>
      </c>
      <c r="U389" s="6">
        <f>IF(OR($BJ389="",20&gt;設定!$B$3),"",IF(INDEX(原始資料!W$2:W$501,$BJ389)="","",INDEX(原始資料!W$2:W$501,$BJ389)))</f>
        <v/>
      </c>
      <c r="V389" s="6">
        <f>IF(OR($BJ389="",21&gt;設定!$B$3),"",IF(INDEX(原始資料!X$2:X$501,$BJ389)="","",INDEX(原始資料!X$2:X$501,$BJ389)))</f>
        <v/>
      </c>
      <c r="W389" s="6">
        <f>IF(OR($BJ389="",22&gt;設定!$B$3),"",IF(INDEX(原始資料!Y$2:Y$501,$BJ389)="","",INDEX(原始資料!Y$2:Y$501,$BJ389)))</f>
        <v/>
      </c>
      <c r="X389" s="6">
        <f>IF(OR($BJ389="",23&gt;設定!$B$3),"",IF(INDEX(原始資料!Z$2:Z$501,$BJ389)="","",INDEX(原始資料!Z$2:Z$501,$BJ389)))</f>
        <v/>
      </c>
      <c r="Y389" s="6">
        <f>IF(OR($BJ389="",24&gt;設定!$B$3),"",IF(INDEX(原始資料!AA$2:AA$501,$BJ389)="","",INDEX(原始資料!AA$2:AA$501,$BJ389)))</f>
        <v/>
      </c>
      <c r="Z389" s="6">
        <f>IF(OR($BJ389="",25&gt;設定!$B$3),"",IF(INDEX(原始資料!AB$2:AB$501,$BJ389)="","",INDEX(原始資料!AB$2:AB$501,$BJ389)))</f>
        <v/>
      </c>
      <c r="AA389" s="6">
        <f>IF(OR($BJ389="",26&gt;設定!$B$3),"",IF(INDEX(原始資料!AC$2:AC$501,$BJ389)="","",INDEX(原始資料!AC$2:AC$501,$BJ389)))</f>
        <v/>
      </c>
      <c r="AB389" s="6">
        <f>IF(OR($BJ389="",27&gt;設定!$B$3),"",IF(INDEX(原始資料!AD$2:AD$501,$BJ389)="","",INDEX(原始資料!AD$2:AD$501,$BJ389)))</f>
        <v/>
      </c>
      <c r="AC389" s="6">
        <f>IF(OR($BJ389="",28&gt;設定!$B$3),"",IF(INDEX(原始資料!AE$2:AE$501,$BJ389)="","",INDEX(原始資料!AE$2:AE$501,$BJ389)))</f>
        <v/>
      </c>
      <c r="AD389" s="6">
        <f>IF(OR($BJ389="",29&gt;設定!$B$3),"",IF(INDEX(原始資料!AF$2:AF$501,$BJ389)="","",INDEX(原始資料!AF$2:AF$501,$BJ389)))</f>
        <v/>
      </c>
      <c r="AE389" s="6">
        <f>IF(OR($BJ389="",30&gt;設定!$B$3),"",IF(INDEX(原始資料!AG$2:AG$501,$BJ389)="","",INDEX(原始資料!AG$2:AG$501,$BJ389)))</f>
        <v/>
      </c>
      <c r="AF389" s="6">
        <f>IF(OR($BJ389="",31&gt;設定!$B$3),"",IF(INDEX(原始資料!AH$2:AH$501,$BJ389)="","",INDEX(原始資料!AH$2:AH$501,$BJ389)))</f>
        <v/>
      </c>
      <c r="AG389" s="6">
        <f>IF(OR($BJ389="",32&gt;設定!$B$3),"",IF(INDEX(原始資料!AI$2:AI$501,$BJ389)="","",INDEX(原始資料!AI$2:AI$501,$BJ389)))</f>
        <v/>
      </c>
      <c r="AH389" s="6">
        <f>IF(OR($BJ389="",33&gt;設定!$B$3),"",IF(INDEX(原始資料!AJ$2:AJ$501,$BJ389)="","",INDEX(原始資料!AJ$2:AJ$501,$BJ389)))</f>
        <v/>
      </c>
      <c r="AI389" s="6">
        <f>IF(OR($BJ389="",34&gt;設定!$B$3),"",IF(INDEX(原始資料!AK$2:AK$501,$BJ389)="","",INDEX(原始資料!AK$2:AK$501,$BJ389)))</f>
        <v/>
      </c>
      <c r="AJ389" s="6">
        <f>IF(OR($BJ389="",35&gt;設定!$B$3),"",IF(INDEX(原始資料!AL$2:AL$501,$BJ389)="","",INDEX(原始資料!AL$2:AL$501,$BJ389)))</f>
        <v/>
      </c>
      <c r="AK389" s="6">
        <f>IF(OR($BJ389="",36&gt;設定!$B$3),"",IF(INDEX(原始資料!AM$2:AM$501,$BJ389)="","",INDEX(原始資料!AM$2:AM$501,$BJ389)))</f>
        <v/>
      </c>
      <c r="AL389" s="6">
        <f>IF(OR($BJ389="",37&gt;設定!$B$3),"",IF(INDEX(原始資料!AN$2:AN$501,$BJ389)="","",INDEX(原始資料!AN$2:AN$501,$BJ389)))</f>
        <v/>
      </c>
      <c r="AM389" s="6">
        <f>IF(OR($BJ389="",38&gt;設定!$B$3),"",IF(INDEX(原始資料!AO$2:AO$501,$BJ389)="","",INDEX(原始資料!AO$2:AO$501,$BJ389)))</f>
        <v/>
      </c>
      <c r="AN389" s="6">
        <f>IF(OR($BJ389="",39&gt;設定!$B$3),"",IF(INDEX(原始資料!AP$2:AP$501,$BJ389)="","",INDEX(原始資料!AP$2:AP$501,$BJ389)))</f>
        <v/>
      </c>
      <c r="AO389" s="6">
        <f>IF(OR($BJ389="",40&gt;設定!$B$3),"",IF(INDEX(原始資料!AQ$2:AQ$501,$BJ389)="","",INDEX(原始資料!AQ$2:AQ$501,$BJ389)))</f>
        <v/>
      </c>
      <c r="AP389" s="6">
        <f>IF(OR($BJ389="",41&gt;設定!$B$3),"",IF(INDEX(原始資料!AR$2:AR$501,$BJ389)="","",INDEX(原始資料!AR$2:AR$501,$BJ389)))</f>
        <v/>
      </c>
      <c r="AQ389" s="6">
        <f>IF(OR($BJ389="",42&gt;設定!$B$3),"",IF(INDEX(原始資料!AS$2:AS$501,$BJ389)="","",INDEX(原始資料!AS$2:AS$501,$BJ389)))</f>
        <v/>
      </c>
      <c r="AR389" s="6">
        <f>IF(OR($BJ389="",43&gt;設定!$B$3),"",IF(INDEX(原始資料!AT$2:AT$501,$BJ389)="","",INDEX(原始資料!AT$2:AT$501,$BJ389)))</f>
        <v/>
      </c>
      <c r="AS389" s="6">
        <f>IF(OR($BJ389="",44&gt;設定!$B$3),"",IF(INDEX(原始資料!AU$2:AU$501,$BJ389)="","",INDEX(原始資料!AU$2:AU$501,$BJ389)))</f>
        <v/>
      </c>
      <c r="AT389" s="6">
        <f>IF(OR($BJ389="",45&gt;設定!$B$3),"",IF(INDEX(原始資料!AV$2:AV$501,$BJ389)="","",INDEX(原始資料!AV$2:AV$501,$BJ389)))</f>
        <v/>
      </c>
      <c r="AU389" s="6">
        <f>IF(OR($BJ389="",46&gt;設定!$B$3),"",IF(INDEX(原始資料!AW$2:AW$501,$BJ389)="","",INDEX(原始資料!AW$2:AW$501,$BJ389)))</f>
        <v/>
      </c>
      <c r="AV389" s="6">
        <f>IF(OR($BJ389="",47&gt;設定!$B$3),"",IF(INDEX(原始資料!AX$2:AX$501,$BJ389)="","",INDEX(原始資料!AX$2:AX$501,$BJ389)))</f>
        <v/>
      </c>
      <c r="AW389" s="6">
        <f>IF(OR($BJ389="",48&gt;設定!$B$3),"",IF(INDEX(原始資料!AY$2:AY$501,$BJ389)="","",INDEX(原始資料!AY$2:AY$501,$BJ389)))</f>
        <v/>
      </c>
      <c r="AX389" s="6">
        <f>IF(OR($BJ389="",49&gt;設定!$B$3),"",IF(INDEX(原始資料!AZ$2:AZ$501,$BJ389)="","",INDEX(原始資料!AZ$2:AZ$501,$BJ389)))</f>
        <v/>
      </c>
      <c r="AY389" s="6">
        <f>IF(OR($BJ389="",50&gt;設定!$B$3),"",IF(INDEX(原始資料!BA$2:BA$501,$BJ389)="","",INDEX(原始資料!BA$2:BA$501,$BJ389)))</f>
        <v/>
      </c>
      <c r="AZ389" s="6">
        <f>IF(OR($BJ389="",51&gt;設定!$B$3),"",IF(INDEX(原始資料!BB$2:BB$501,$BJ389)="","",INDEX(原始資料!BB$2:BB$501,$BJ389)))</f>
        <v/>
      </c>
      <c r="BA389" s="6">
        <f>IF(OR($BJ389="",52&gt;設定!$B$3),"",IF(INDEX(原始資料!BC$2:BC$501,$BJ389)="","",INDEX(原始資料!BC$2:BC$501,$BJ389)))</f>
        <v/>
      </c>
      <c r="BB389" s="6">
        <f>IF(OR($BJ389="",53&gt;設定!$B$3),"",IF(INDEX(原始資料!BD$2:BD$501,$BJ389)="","",INDEX(原始資料!BD$2:BD$501,$BJ389)))</f>
        <v/>
      </c>
      <c r="BC389" s="6">
        <f>IF(OR($BJ389="",54&gt;設定!$B$3),"",IF(INDEX(原始資料!BE$2:BE$501,$BJ389)="","",INDEX(原始資料!BE$2:BE$501,$BJ389)))</f>
        <v/>
      </c>
      <c r="BD389" s="6">
        <f>IF(OR($BJ389="",55&gt;設定!$B$3),"",IF(INDEX(原始資料!BF$2:BF$501,$BJ389)="","",INDEX(原始資料!BF$2:BF$501,$BJ389)))</f>
        <v/>
      </c>
      <c r="BE389" s="6">
        <f>IF(OR($BJ389="",56&gt;設定!$B$3),"",IF(INDEX(原始資料!BG$2:BG$501,$BJ389)="","",INDEX(原始資料!BG$2:BG$501,$BJ389)))</f>
        <v/>
      </c>
      <c r="BF389" s="6">
        <f>IF(OR($BJ389="",57&gt;設定!$B$3),"",IF(INDEX(原始資料!BH$2:BH$501,$BJ389)="","",INDEX(原始資料!BH$2:BH$501,$BJ389)))</f>
        <v/>
      </c>
      <c r="BG389" s="6">
        <f>IF(OR($BJ389="",58&gt;設定!$B$3),"",IF(INDEX(原始資料!BI$2:BI$501,$BJ389)="","",INDEX(原始資料!BI$2:BI$501,$BJ389)))</f>
        <v/>
      </c>
      <c r="BH389" s="6">
        <f>IF(OR($BJ389="",59&gt;設定!$B$3),"",IF(INDEX(原始資料!BJ$2:BJ$501,$BJ389)="","",INDEX(原始資料!BJ$2:BJ$501,$BJ389)))</f>
        <v/>
      </c>
      <c r="BI389" s="6">
        <f>IF(OR($BJ389="",60&gt;設定!$B$3),"",IF(INDEX(原始資料!BK$2:BK$501,$BJ389)="","",INDEX(原始資料!BK$2:BK$501,$BJ389)))</f>
        <v/>
      </c>
      <c r="BJ389" s="6">
        <f>IFERROR(MATCH(ROW()-1,判定!$H$2:$H$501,0),"")</f>
        <v/>
      </c>
    </row>
    <row r="390">
      <c r="A390" s="6">
        <f>IF($BJ390="","",INDEX(原始資料!$A$2:$A$501,$BJ390))</f>
        <v/>
      </c>
      <c r="B390" s="6">
        <f>IF(OR($BJ390="",1&gt;設定!$B$3),"",IF(INDEX(原始資料!D$2:D$501,$BJ390)="","",INDEX(原始資料!D$2:D$501,$BJ390)))</f>
        <v/>
      </c>
      <c r="C390" s="6">
        <f>IF(OR($BJ390="",2&gt;設定!$B$3),"",IF(INDEX(原始資料!E$2:E$501,$BJ390)="","",INDEX(原始資料!E$2:E$501,$BJ390)))</f>
        <v/>
      </c>
      <c r="D390" s="6">
        <f>IF(OR($BJ390="",3&gt;設定!$B$3),"",IF(INDEX(原始資料!F$2:F$501,$BJ390)="","",INDEX(原始資料!F$2:F$501,$BJ390)))</f>
        <v/>
      </c>
      <c r="E390" s="6">
        <f>IF(OR($BJ390="",4&gt;設定!$B$3),"",IF(INDEX(原始資料!G$2:G$501,$BJ390)="","",INDEX(原始資料!G$2:G$501,$BJ390)))</f>
        <v/>
      </c>
      <c r="F390" s="6">
        <f>IF(OR($BJ390="",5&gt;設定!$B$3),"",IF(INDEX(原始資料!H$2:H$501,$BJ390)="","",INDEX(原始資料!H$2:H$501,$BJ390)))</f>
        <v/>
      </c>
      <c r="G390" s="6">
        <f>IF(OR($BJ390="",6&gt;設定!$B$3),"",IF(INDEX(原始資料!I$2:I$501,$BJ390)="","",INDEX(原始資料!I$2:I$501,$BJ390)))</f>
        <v/>
      </c>
      <c r="H390" s="6">
        <f>IF(OR($BJ390="",7&gt;設定!$B$3),"",IF(INDEX(原始資料!J$2:J$501,$BJ390)="","",INDEX(原始資料!J$2:J$501,$BJ390)))</f>
        <v/>
      </c>
      <c r="I390" s="6">
        <f>IF(OR($BJ390="",8&gt;設定!$B$3),"",IF(INDEX(原始資料!K$2:K$501,$BJ390)="","",INDEX(原始資料!K$2:K$501,$BJ390)))</f>
        <v/>
      </c>
      <c r="J390" s="6">
        <f>IF(OR($BJ390="",9&gt;設定!$B$3),"",IF(INDEX(原始資料!L$2:L$501,$BJ390)="","",INDEX(原始資料!L$2:L$501,$BJ390)))</f>
        <v/>
      </c>
      <c r="K390" s="6">
        <f>IF(OR($BJ390="",10&gt;設定!$B$3),"",IF(INDEX(原始資料!M$2:M$501,$BJ390)="","",INDEX(原始資料!M$2:M$501,$BJ390)))</f>
        <v/>
      </c>
      <c r="L390" s="6">
        <f>IF(OR($BJ390="",11&gt;設定!$B$3),"",IF(INDEX(原始資料!N$2:N$501,$BJ390)="","",INDEX(原始資料!N$2:N$501,$BJ390)))</f>
        <v/>
      </c>
      <c r="M390" s="6">
        <f>IF(OR($BJ390="",12&gt;設定!$B$3),"",IF(INDEX(原始資料!O$2:O$501,$BJ390)="","",INDEX(原始資料!O$2:O$501,$BJ390)))</f>
        <v/>
      </c>
      <c r="N390" s="6">
        <f>IF(OR($BJ390="",13&gt;設定!$B$3),"",IF(INDEX(原始資料!P$2:P$501,$BJ390)="","",INDEX(原始資料!P$2:P$501,$BJ390)))</f>
        <v/>
      </c>
      <c r="O390" s="6">
        <f>IF(OR($BJ390="",14&gt;設定!$B$3),"",IF(INDEX(原始資料!Q$2:Q$501,$BJ390)="","",INDEX(原始資料!Q$2:Q$501,$BJ390)))</f>
        <v/>
      </c>
      <c r="P390" s="6">
        <f>IF(OR($BJ390="",15&gt;設定!$B$3),"",IF(INDEX(原始資料!R$2:R$501,$BJ390)="","",INDEX(原始資料!R$2:R$501,$BJ390)))</f>
        <v/>
      </c>
      <c r="Q390" s="6">
        <f>IF(OR($BJ390="",16&gt;設定!$B$3),"",IF(INDEX(原始資料!S$2:S$501,$BJ390)="","",INDEX(原始資料!S$2:S$501,$BJ390)))</f>
        <v/>
      </c>
      <c r="R390" s="6">
        <f>IF(OR($BJ390="",17&gt;設定!$B$3),"",IF(INDEX(原始資料!T$2:T$501,$BJ390)="","",INDEX(原始資料!T$2:T$501,$BJ390)))</f>
        <v/>
      </c>
      <c r="S390" s="6">
        <f>IF(OR($BJ390="",18&gt;設定!$B$3),"",IF(INDEX(原始資料!U$2:U$501,$BJ390)="","",INDEX(原始資料!U$2:U$501,$BJ390)))</f>
        <v/>
      </c>
      <c r="T390" s="6">
        <f>IF(OR($BJ390="",19&gt;設定!$B$3),"",IF(INDEX(原始資料!V$2:V$501,$BJ390)="","",INDEX(原始資料!V$2:V$501,$BJ390)))</f>
        <v/>
      </c>
      <c r="U390" s="6">
        <f>IF(OR($BJ390="",20&gt;設定!$B$3),"",IF(INDEX(原始資料!W$2:W$501,$BJ390)="","",INDEX(原始資料!W$2:W$501,$BJ390)))</f>
        <v/>
      </c>
      <c r="V390" s="6">
        <f>IF(OR($BJ390="",21&gt;設定!$B$3),"",IF(INDEX(原始資料!X$2:X$501,$BJ390)="","",INDEX(原始資料!X$2:X$501,$BJ390)))</f>
        <v/>
      </c>
      <c r="W390" s="6">
        <f>IF(OR($BJ390="",22&gt;設定!$B$3),"",IF(INDEX(原始資料!Y$2:Y$501,$BJ390)="","",INDEX(原始資料!Y$2:Y$501,$BJ390)))</f>
        <v/>
      </c>
      <c r="X390" s="6">
        <f>IF(OR($BJ390="",23&gt;設定!$B$3),"",IF(INDEX(原始資料!Z$2:Z$501,$BJ390)="","",INDEX(原始資料!Z$2:Z$501,$BJ390)))</f>
        <v/>
      </c>
      <c r="Y390" s="6">
        <f>IF(OR($BJ390="",24&gt;設定!$B$3),"",IF(INDEX(原始資料!AA$2:AA$501,$BJ390)="","",INDEX(原始資料!AA$2:AA$501,$BJ390)))</f>
        <v/>
      </c>
      <c r="Z390" s="6">
        <f>IF(OR($BJ390="",25&gt;設定!$B$3),"",IF(INDEX(原始資料!AB$2:AB$501,$BJ390)="","",INDEX(原始資料!AB$2:AB$501,$BJ390)))</f>
        <v/>
      </c>
      <c r="AA390" s="6">
        <f>IF(OR($BJ390="",26&gt;設定!$B$3),"",IF(INDEX(原始資料!AC$2:AC$501,$BJ390)="","",INDEX(原始資料!AC$2:AC$501,$BJ390)))</f>
        <v/>
      </c>
      <c r="AB390" s="6">
        <f>IF(OR($BJ390="",27&gt;設定!$B$3),"",IF(INDEX(原始資料!AD$2:AD$501,$BJ390)="","",INDEX(原始資料!AD$2:AD$501,$BJ390)))</f>
        <v/>
      </c>
      <c r="AC390" s="6">
        <f>IF(OR($BJ390="",28&gt;設定!$B$3),"",IF(INDEX(原始資料!AE$2:AE$501,$BJ390)="","",INDEX(原始資料!AE$2:AE$501,$BJ390)))</f>
        <v/>
      </c>
      <c r="AD390" s="6">
        <f>IF(OR($BJ390="",29&gt;設定!$B$3),"",IF(INDEX(原始資料!AF$2:AF$501,$BJ390)="","",INDEX(原始資料!AF$2:AF$501,$BJ390)))</f>
        <v/>
      </c>
      <c r="AE390" s="6">
        <f>IF(OR($BJ390="",30&gt;設定!$B$3),"",IF(INDEX(原始資料!AG$2:AG$501,$BJ390)="","",INDEX(原始資料!AG$2:AG$501,$BJ390)))</f>
        <v/>
      </c>
      <c r="AF390" s="6">
        <f>IF(OR($BJ390="",31&gt;設定!$B$3),"",IF(INDEX(原始資料!AH$2:AH$501,$BJ390)="","",INDEX(原始資料!AH$2:AH$501,$BJ390)))</f>
        <v/>
      </c>
      <c r="AG390" s="6">
        <f>IF(OR($BJ390="",32&gt;設定!$B$3),"",IF(INDEX(原始資料!AI$2:AI$501,$BJ390)="","",INDEX(原始資料!AI$2:AI$501,$BJ390)))</f>
        <v/>
      </c>
      <c r="AH390" s="6">
        <f>IF(OR($BJ390="",33&gt;設定!$B$3),"",IF(INDEX(原始資料!AJ$2:AJ$501,$BJ390)="","",INDEX(原始資料!AJ$2:AJ$501,$BJ390)))</f>
        <v/>
      </c>
      <c r="AI390" s="6">
        <f>IF(OR($BJ390="",34&gt;設定!$B$3),"",IF(INDEX(原始資料!AK$2:AK$501,$BJ390)="","",INDEX(原始資料!AK$2:AK$501,$BJ390)))</f>
        <v/>
      </c>
      <c r="AJ390" s="6">
        <f>IF(OR($BJ390="",35&gt;設定!$B$3),"",IF(INDEX(原始資料!AL$2:AL$501,$BJ390)="","",INDEX(原始資料!AL$2:AL$501,$BJ390)))</f>
        <v/>
      </c>
      <c r="AK390" s="6">
        <f>IF(OR($BJ390="",36&gt;設定!$B$3),"",IF(INDEX(原始資料!AM$2:AM$501,$BJ390)="","",INDEX(原始資料!AM$2:AM$501,$BJ390)))</f>
        <v/>
      </c>
      <c r="AL390" s="6">
        <f>IF(OR($BJ390="",37&gt;設定!$B$3),"",IF(INDEX(原始資料!AN$2:AN$501,$BJ390)="","",INDEX(原始資料!AN$2:AN$501,$BJ390)))</f>
        <v/>
      </c>
      <c r="AM390" s="6">
        <f>IF(OR($BJ390="",38&gt;設定!$B$3),"",IF(INDEX(原始資料!AO$2:AO$501,$BJ390)="","",INDEX(原始資料!AO$2:AO$501,$BJ390)))</f>
        <v/>
      </c>
      <c r="AN390" s="6">
        <f>IF(OR($BJ390="",39&gt;設定!$B$3),"",IF(INDEX(原始資料!AP$2:AP$501,$BJ390)="","",INDEX(原始資料!AP$2:AP$501,$BJ390)))</f>
        <v/>
      </c>
      <c r="AO390" s="6">
        <f>IF(OR($BJ390="",40&gt;設定!$B$3),"",IF(INDEX(原始資料!AQ$2:AQ$501,$BJ390)="","",INDEX(原始資料!AQ$2:AQ$501,$BJ390)))</f>
        <v/>
      </c>
      <c r="AP390" s="6">
        <f>IF(OR($BJ390="",41&gt;設定!$B$3),"",IF(INDEX(原始資料!AR$2:AR$501,$BJ390)="","",INDEX(原始資料!AR$2:AR$501,$BJ390)))</f>
        <v/>
      </c>
      <c r="AQ390" s="6">
        <f>IF(OR($BJ390="",42&gt;設定!$B$3),"",IF(INDEX(原始資料!AS$2:AS$501,$BJ390)="","",INDEX(原始資料!AS$2:AS$501,$BJ390)))</f>
        <v/>
      </c>
      <c r="AR390" s="6">
        <f>IF(OR($BJ390="",43&gt;設定!$B$3),"",IF(INDEX(原始資料!AT$2:AT$501,$BJ390)="","",INDEX(原始資料!AT$2:AT$501,$BJ390)))</f>
        <v/>
      </c>
      <c r="AS390" s="6">
        <f>IF(OR($BJ390="",44&gt;設定!$B$3),"",IF(INDEX(原始資料!AU$2:AU$501,$BJ390)="","",INDEX(原始資料!AU$2:AU$501,$BJ390)))</f>
        <v/>
      </c>
      <c r="AT390" s="6">
        <f>IF(OR($BJ390="",45&gt;設定!$B$3),"",IF(INDEX(原始資料!AV$2:AV$501,$BJ390)="","",INDEX(原始資料!AV$2:AV$501,$BJ390)))</f>
        <v/>
      </c>
      <c r="AU390" s="6">
        <f>IF(OR($BJ390="",46&gt;設定!$B$3),"",IF(INDEX(原始資料!AW$2:AW$501,$BJ390)="","",INDEX(原始資料!AW$2:AW$501,$BJ390)))</f>
        <v/>
      </c>
      <c r="AV390" s="6">
        <f>IF(OR($BJ390="",47&gt;設定!$B$3),"",IF(INDEX(原始資料!AX$2:AX$501,$BJ390)="","",INDEX(原始資料!AX$2:AX$501,$BJ390)))</f>
        <v/>
      </c>
      <c r="AW390" s="6">
        <f>IF(OR($BJ390="",48&gt;設定!$B$3),"",IF(INDEX(原始資料!AY$2:AY$501,$BJ390)="","",INDEX(原始資料!AY$2:AY$501,$BJ390)))</f>
        <v/>
      </c>
      <c r="AX390" s="6">
        <f>IF(OR($BJ390="",49&gt;設定!$B$3),"",IF(INDEX(原始資料!AZ$2:AZ$501,$BJ390)="","",INDEX(原始資料!AZ$2:AZ$501,$BJ390)))</f>
        <v/>
      </c>
      <c r="AY390" s="6">
        <f>IF(OR($BJ390="",50&gt;設定!$B$3),"",IF(INDEX(原始資料!BA$2:BA$501,$BJ390)="","",INDEX(原始資料!BA$2:BA$501,$BJ390)))</f>
        <v/>
      </c>
      <c r="AZ390" s="6">
        <f>IF(OR($BJ390="",51&gt;設定!$B$3),"",IF(INDEX(原始資料!BB$2:BB$501,$BJ390)="","",INDEX(原始資料!BB$2:BB$501,$BJ390)))</f>
        <v/>
      </c>
      <c r="BA390" s="6">
        <f>IF(OR($BJ390="",52&gt;設定!$B$3),"",IF(INDEX(原始資料!BC$2:BC$501,$BJ390)="","",INDEX(原始資料!BC$2:BC$501,$BJ390)))</f>
        <v/>
      </c>
      <c r="BB390" s="6">
        <f>IF(OR($BJ390="",53&gt;設定!$B$3),"",IF(INDEX(原始資料!BD$2:BD$501,$BJ390)="","",INDEX(原始資料!BD$2:BD$501,$BJ390)))</f>
        <v/>
      </c>
      <c r="BC390" s="6">
        <f>IF(OR($BJ390="",54&gt;設定!$B$3),"",IF(INDEX(原始資料!BE$2:BE$501,$BJ390)="","",INDEX(原始資料!BE$2:BE$501,$BJ390)))</f>
        <v/>
      </c>
      <c r="BD390" s="6">
        <f>IF(OR($BJ390="",55&gt;設定!$B$3),"",IF(INDEX(原始資料!BF$2:BF$501,$BJ390)="","",INDEX(原始資料!BF$2:BF$501,$BJ390)))</f>
        <v/>
      </c>
      <c r="BE390" s="6">
        <f>IF(OR($BJ390="",56&gt;設定!$B$3),"",IF(INDEX(原始資料!BG$2:BG$501,$BJ390)="","",INDEX(原始資料!BG$2:BG$501,$BJ390)))</f>
        <v/>
      </c>
      <c r="BF390" s="6">
        <f>IF(OR($BJ390="",57&gt;設定!$B$3),"",IF(INDEX(原始資料!BH$2:BH$501,$BJ390)="","",INDEX(原始資料!BH$2:BH$501,$BJ390)))</f>
        <v/>
      </c>
      <c r="BG390" s="6">
        <f>IF(OR($BJ390="",58&gt;設定!$B$3),"",IF(INDEX(原始資料!BI$2:BI$501,$BJ390)="","",INDEX(原始資料!BI$2:BI$501,$BJ390)))</f>
        <v/>
      </c>
      <c r="BH390" s="6">
        <f>IF(OR($BJ390="",59&gt;設定!$B$3),"",IF(INDEX(原始資料!BJ$2:BJ$501,$BJ390)="","",INDEX(原始資料!BJ$2:BJ$501,$BJ390)))</f>
        <v/>
      </c>
      <c r="BI390" s="6">
        <f>IF(OR($BJ390="",60&gt;設定!$B$3),"",IF(INDEX(原始資料!BK$2:BK$501,$BJ390)="","",INDEX(原始資料!BK$2:BK$501,$BJ390)))</f>
        <v/>
      </c>
      <c r="BJ390" s="6">
        <f>IFERROR(MATCH(ROW()-1,判定!$H$2:$H$501,0),"")</f>
        <v/>
      </c>
    </row>
    <row r="391">
      <c r="A391" s="6">
        <f>IF($BJ391="","",INDEX(原始資料!$A$2:$A$501,$BJ391))</f>
        <v/>
      </c>
      <c r="B391" s="6">
        <f>IF(OR($BJ391="",1&gt;設定!$B$3),"",IF(INDEX(原始資料!D$2:D$501,$BJ391)="","",INDEX(原始資料!D$2:D$501,$BJ391)))</f>
        <v/>
      </c>
      <c r="C391" s="6">
        <f>IF(OR($BJ391="",2&gt;設定!$B$3),"",IF(INDEX(原始資料!E$2:E$501,$BJ391)="","",INDEX(原始資料!E$2:E$501,$BJ391)))</f>
        <v/>
      </c>
      <c r="D391" s="6">
        <f>IF(OR($BJ391="",3&gt;設定!$B$3),"",IF(INDEX(原始資料!F$2:F$501,$BJ391)="","",INDEX(原始資料!F$2:F$501,$BJ391)))</f>
        <v/>
      </c>
      <c r="E391" s="6">
        <f>IF(OR($BJ391="",4&gt;設定!$B$3),"",IF(INDEX(原始資料!G$2:G$501,$BJ391)="","",INDEX(原始資料!G$2:G$501,$BJ391)))</f>
        <v/>
      </c>
      <c r="F391" s="6">
        <f>IF(OR($BJ391="",5&gt;設定!$B$3),"",IF(INDEX(原始資料!H$2:H$501,$BJ391)="","",INDEX(原始資料!H$2:H$501,$BJ391)))</f>
        <v/>
      </c>
      <c r="G391" s="6">
        <f>IF(OR($BJ391="",6&gt;設定!$B$3),"",IF(INDEX(原始資料!I$2:I$501,$BJ391)="","",INDEX(原始資料!I$2:I$501,$BJ391)))</f>
        <v/>
      </c>
      <c r="H391" s="6">
        <f>IF(OR($BJ391="",7&gt;設定!$B$3),"",IF(INDEX(原始資料!J$2:J$501,$BJ391)="","",INDEX(原始資料!J$2:J$501,$BJ391)))</f>
        <v/>
      </c>
      <c r="I391" s="6">
        <f>IF(OR($BJ391="",8&gt;設定!$B$3),"",IF(INDEX(原始資料!K$2:K$501,$BJ391)="","",INDEX(原始資料!K$2:K$501,$BJ391)))</f>
        <v/>
      </c>
      <c r="J391" s="6">
        <f>IF(OR($BJ391="",9&gt;設定!$B$3),"",IF(INDEX(原始資料!L$2:L$501,$BJ391)="","",INDEX(原始資料!L$2:L$501,$BJ391)))</f>
        <v/>
      </c>
      <c r="K391" s="6">
        <f>IF(OR($BJ391="",10&gt;設定!$B$3),"",IF(INDEX(原始資料!M$2:M$501,$BJ391)="","",INDEX(原始資料!M$2:M$501,$BJ391)))</f>
        <v/>
      </c>
      <c r="L391" s="6">
        <f>IF(OR($BJ391="",11&gt;設定!$B$3),"",IF(INDEX(原始資料!N$2:N$501,$BJ391)="","",INDEX(原始資料!N$2:N$501,$BJ391)))</f>
        <v/>
      </c>
      <c r="M391" s="6">
        <f>IF(OR($BJ391="",12&gt;設定!$B$3),"",IF(INDEX(原始資料!O$2:O$501,$BJ391)="","",INDEX(原始資料!O$2:O$501,$BJ391)))</f>
        <v/>
      </c>
      <c r="N391" s="6">
        <f>IF(OR($BJ391="",13&gt;設定!$B$3),"",IF(INDEX(原始資料!P$2:P$501,$BJ391)="","",INDEX(原始資料!P$2:P$501,$BJ391)))</f>
        <v/>
      </c>
      <c r="O391" s="6">
        <f>IF(OR($BJ391="",14&gt;設定!$B$3),"",IF(INDEX(原始資料!Q$2:Q$501,$BJ391)="","",INDEX(原始資料!Q$2:Q$501,$BJ391)))</f>
        <v/>
      </c>
      <c r="P391" s="6">
        <f>IF(OR($BJ391="",15&gt;設定!$B$3),"",IF(INDEX(原始資料!R$2:R$501,$BJ391)="","",INDEX(原始資料!R$2:R$501,$BJ391)))</f>
        <v/>
      </c>
      <c r="Q391" s="6">
        <f>IF(OR($BJ391="",16&gt;設定!$B$3),"",IF(INDEX(原始資料!S$2:S$501,$BJ391)="","",INDEX(原始資料!S$2:S$501,$BJ391)))</f>
        <v/>
      </c>
      <c r="R391" s="6">
        <f>IF(OR($BJ391="",17&gt;設定!$B$3),"",IF(INDEX(原始資料!T$2:T$501,$BJ391)="","",INDEX(原始資料!T$2:T$501,$BJ391)))</f>
        <v/>
      </c>
      <c r="S391" s="6">
        <f>IF(OR($BJ391="",18&gt;設定!$B$3),"",IF(INDEX(原始資料!U$2:U$501,$BJ391)="","",INDEX(原始資料!U$2:U$501,$BJ391)))</f>
        <v/>
      </c>
      <c r="T391" s="6">
        <f>IF(OR($BJ391="",19&gt;設定!$B$3),"",IF(INDEX(原始資料!V$2:V$501,$BJ391)="","",INDEX(原始資料!V$2:V$501,$BJ391)))</f>
        <v/>
      </c>
      <c r="U391" s="6">
        <f>IF(OR($BJ391="",20&gt;設定!$B$3),"",IF(INDEX(原始資料!W$2:W$501,$BJ391)="","",INDEX(原始資料!W$2:W$501,$BJ391)))</f>
        <v/>
      </c>
      <c r="V391" s="6">
        <f>IF(OR($BJ391="",21&gt;設定!$B$3),"",IF(INDEX(原始資料!X$2:X$501,$BJ391)="","",INDEX(原始資料!X$2:X$501,$BJ391)))</f>
        <v/>
      </c>
      <c r="W391" s="6">
        <f>IF(OR($BJ391="",22&gt;設定!$B$3),"",IF(INDEX(原始資料!Y$2:Y$501,$BJ391)="","",INDEX(原始資料!Y$2:Y$501,$BJ391)))</f>
        <v/>
      </c>
      <c r="X391" s="6">
        <f>IF(OR($BJ391="",23&gt;設定!$B$3),"",IF(INDEX(原始資料!Z$2:Z$501,$BJ391)="","",INDEX(原始資料!Z$2:Z$501,$BJ391)))</f>
        <v/>
      </c>
      <c r="Y391" s="6">
        <f>IF(OR($BJ391="",24&gt;設定!$B$3),"",IF(INDEX(原始資料!AA$2:AA$501,$BJ391)="","",INDEX(原始資料!AA$2:AA$501,$BJ391)))</f>
        <v/>
      </c>
      <c r="Z391" s="6">
        <f>IF(OR($BJ391="",25&gt;設定!$B$3),"",IF(INDEX(原始資料!AB$2:AB$501,$BJ391)="","",INDEX(原始資料!AB$2:AB$501,$BJ391)))</f>
        <v/>
      </c>
      <c r="AA391" s="6">
        <f>IF(OR($BJ391="",26&gt;設定!$B$3),"",IF(INDEX(原始資料!AC$2:AC$501,$BJ391)="","",INDEX(原始資料!AC$2:AC$501,$BJ391)))</f>
        <v/>
      </c>
      <c r="AB391" s="6">
        <f>IF(OR($BJ391="",27&gt;設定!$B$3),"",IF(INDEX(原始資料!AD$2:AD$501,$BJ391)="","",INDEX(原始資料!AD$2:AD$501,$BJ391)))</f>
        <v/>
      </c>
      <c r="AC391" s="6">
        <f>IF(OR($BJ391="",28&gt;設定!$B$3),"",IF(INDEX(原始資料!AE$2:AE$501,$BJ391)="","",INDEX(原始資料!AE$2:AE$501,$BJ391)))</f>
        <v/>
      </c>
      <c r="AD391" s="6">
        <f>IF(OR($BJ391="",29&gt;設定!$B$3),"",IF(INDEX(原始資料!AF$2:AF$501,$BJ391)="","",INDEX(原始資料!AF$2:AF$501,$BJ391)))</f>
        <v/>
      </c>
      <c r="AE391" s="6">
        <f>IF(OR($BJ391="",30&gt;設定!$B$3),"",IF(INDEX(原始資料!AG$2:AG$501,$BJ391)="","",INDEX(原始資料!AG$2:AG$501,$BJ391)))</f>
        <v/>
      </c>
      <c r="AF391" s="6">
        <f>IF(OR($BJ391="",31&gt;設定!$B$3),"",IF(INDEX(原始資料!AH$2:AH$501,$BJ391)="","",INDEX(原始資料!AH$2:AH$501,$BJ391)))</f>
        <v/>
      </c>
      <c r="AG391" s="6">
        <f>IF(OR($BJ391="",32&gt;設定!$B$3),"",IF(INDEX(原始資料!AI$2:AI$501,$BJ391)="","",INDEX(原始資料!AI$2:AI$501,$BJ391)))</f>
        <v/>
      </c>
      <c r="AH391" s="6">
        <f>IF(OR($BJ391="",33&gt;設定!$B$3),"",IF(INDEX(原始資料!AJ$2:AJ$501,$BJ391)="","",INDEX(原始資料!AJ$2:AJ$501,$BJ391)))</f>
        <v/>
      </c>
      <c r="AI391" s="6">
        <f>IF(OR($BJ391="",34&gt;設定!$B$3),"",IF(INDEX(原始資料!AK$2:AK$501,$BJ391)="","",INDEX(原始資料!AK$2:AK$501,$BJ391)))</f>
        <v/>
      </c>
      <c r="AJ391" s="6">
        <f>IF(OR($BJ391="",35&gt;設定!$B$3),"",IF(INDEX(原始資料!AL$2:AL$501,$BJ391)="","",INDEX(原始資料!AL$2:AL$501,$BJ391)))</f>
        <v/>
      </c>
      <c r="AK391" s="6">
        <f>IF(OR($BJ391="",36&gt;設定!$B$3),"",IF(INDEX(原始資料!AM$2:AM$501,$BJ391)="","",INDEX(原始資料!AM$2:AM$501,$BJ391)))</f>
        <v/>
      </c>
      <c r="AL391" s="6">
        <f>IF(OR($BJ391="",37&gt;設定!$B$3),"",IF(INDEX(原始資料!AN$2:AN$501,$BJ391)="","",INDEX(原始資料!AN$2:AN$501,$BJ391)))</f>
        <v/>
      </c>
      <c r="AM391" s="6">
        <f>IF(OR($BJ391="",38&gt;設定!$B$3),"",IF(INDEX(原始資料!AO$2:AO$501,$BJ391)="","",INDEX(原始資料!AO$2:AO$501,$BJ391)))</f>
        <v/>
      </c>
      <c r="AN391" s="6">
        <f>IF(OR($BJ391="",39&gt;設定!$B$3),"",IF(INDEX(原始資料!AP$2:AP$501,$BJ391)="","",INDEX(原始資料!AP$2:AP$501,$BJ391)))</f>
        <v/>
      </c>
      <c r="AO391" s="6">
        <f>IF(OR($BJ391="",40&gt;設定!$B$3),"",IF(INDEX(原始資料!AQ$2:AQ$501,$BJ391)="","",INDEX(原始資料!AQ$2:AQ$501,$BJ391)))</f>
        <v/>
      </c>
      <c r="AP391" s="6">
        <f>IF(OR($BJ391="",41&gt;設定!$B$3),"",IF(INDEX(原始資料!AR$2:AR$501,$BJ391)="","",INDEX(原始資料!AR$2:AR$501,$BJ391)))</f>
        <v/>
      </c>
      <c r="AQ391" s="6">
        <f>IF(OR($BJ391="",42&gt;設定!$B$3),"",IF(INDEX(原始資料!AS$2:AS$501,$BJ391)="","",INDEX(原始資料!AS$2:AS$501,$BJ391)))</f>
        <v/>
      </c>
      <c r="AR391" s="6">
        <f>IF(OR($BJ391="",43&gt;設定!$B$3),"",IF(INDEX(原始資料!AT$2:AT$501,$BJ391)="","",INDEX(原始資料!AT$2:AT$501,$BJ391)))</f>
        <v/>
      </c>
      <c r="AS391" s="6">
        <f>IF(OR($BJ391="",44&gt;設定!$B$3),"",IF(INDEX(原始資料!AU$2:AU$501,$BJ391)="","",INDEX(原始資料!AU$2:AU$501,$BJ391)))</f>
        <v/>
      </c>
      <c r="AT391" s="6">
        <f>IF(OR($BJ391="",45&gt;設定!$B$3),"",IF(INDEX(原始資料!AV$2:AV$501,$BJ391)="","",INDEX(原始資料!AV$2:AV$501,$BJ391)))</f>
        <v/>
      </c>
      <c r="AU391" s="6">
        <f>IF(OR($BJ391="",46&gt;設定!$B$3),"",IF(INDEX(原始資料!AW$2:AW$501,$BJ391)="","",INDEX(原始資料!AW$2:AW$501,$BJ391)))</f>
        <v/>
      </c>
      <c r="AV391" s="6">
        <f>IF(OR($BJ391="",47&gt;設定!$B$3),"",IF(INDEX(原始資料!AX$2:AX$501,$BJ391)="","",INDEX(原始資料!AX$2:AX$501,$BJ391)))</f>
        <v/>
      </c>
      <c r="AW391" s="6">
        <f>IF(OR($BJ391="",48&gt;設定!$B$3),"",IF(INDEX(原始資料!AY$2:AY$501,$BJ391)="","",INDEX(原始資料!AY$2:AY$501,$BJ391)))</f>
        <v/>
      </c>
      <c r="AX391" s="6">
        <f>IF(OR($BJ391="",49&gt;設定!$B$3),"",IF(INDEX(原始資料!AZ$2:AZ$501,$BJ391)="","",INDEX(原始資料!AZ$2:AZ$501,$BJ391)))</f>
        <v/>
      </c>
      <c r="AY391" s="6">
        <f>IF(OR($BJ391="",50&gt;設定!$B$3),"",IF(INDEX(原始資料!BA$2:BA$501,$BJ391)="","",INDEX(原始資料!BA$2:BA$501,$BJ391)))</f>
        <v/>
      </c>
      <c r="AZ391" s="6">
        <f>IF(OR($BJ391="",51&gt;設定!$B$3),"",IF(INDEX(原始資料!BB$2:BB$501,$BJ391)="","",INDEX(原始資料!BB$2:BB$501,$BJ391)))</f>
        <v/>
      </c>
      <c r="BA391" s="6">
        <f>IF(OR($BJ391="",52&gt;設定!$B$3),"",IF(INDEX(原始資料!BC$2:BC$501,$BJ391)="","",INDEX(原始資料!BC$2:BC$501,$BJ391)))</f>
        <v/>
      </c>
      <c r="BB391" s="6">
        <f>IF(OR($BJ391="",53&gt;設定!$B$3),"",IF(INDEX(原始資料!BD$2:BD$501,$BJ391)="","",INDEX(原始資料!BD$2:BD$501,$BJ391)))</f>
        <v/>
      </c>
      <c r="BC391" s="6">
        <f>IF(OR($BJ391="",54&gt;設定!$B$3),"",IF(INDEX(原始資料!BE$2:BE$501,$BJ391)="","",INDEX(原始資料!BE$2:BE$501,$BJ391)))</f>
        <v/>
      </c>
      <c r="BD391" s="6">
        <f>IF(OR($BJ391="",55&gt;設定!$B$3),"",IF(INDEX(原始資料!BF$2:BF$501,$BJ391)="","",INDEX(原始資料!BF$2:BF$501,$BJ391)))</f>
        <v/>
      </c>
      <c r="BE391" s="6">
        <f>IF(OR($BJ391="",56&gt;設定!$B$3),"",IF(INDEX(原始資料!BG$2:BG$501,$BJ391)="","",INDEX(原始資料!BG$2:BG$501,$BJ391)))</f>
        <v/>
      </c>
      <c r="BF391" s="6">
        <f>IF(OR($BJ391="",57&gt;設定!$B$3),"",IF(INDEX(原始資料!BH$2:BH$501,$BJ391)="","",INDEX(原始資料!BH$2:BH$501,$BJ391)))</f>
        <v/>
      </c>
      <c r="BG391" s="6">
        <f>IF(OR($BJ391="",58&gt;設定!$B$3),"",IF(INDEX(原始資料!BI$2:BI$501,$BJ391)="","",INDEX(原始資料!BI$2:BI$501,$BJ391)))</f>
        <v/>
      </c>
      <c r="BH391" s="6">
        <f>IF(OR($BJ391="",59&gt;設定!$B$3),"",IF(INDEX(原始資料!BJ$2:BJ$501,$BJ391)="","",INDEX(原始資料!BJ$2:BJ$501,$BJ391)))</f>
        <v/>
      </c>
      <c r="BI391" s="6">
        <f>IF(OR($BJ391="",60&gt;設定!$B$3),"",IF(INDEX(原始資料!BK$2:BK$501,$BJ391)="","",INDEX(原始資料!BK$2:BK$501,$BJ391)))</f>
        <v/>
      </c>
      <c r="BJ391" s="6">
        <f>IFERROR(MATCH(ROW()-1,判定!$H$2:$H$501,0),"")</f>
        <v/>
      </c>
    </row>
    <row r="392">
      <c r="A392" s="6">
        <f>IF($BJ392="","",INDEX(原始資料!$A$2:$A$501,$BJ392))</f>
        <v/>
      </c>
      <c r="B392" s="6">
        <f>IF(OR($BJ392="",1&gt;設定!$B$3),"",IF(INDEX(原始資料!D$2:D$501,$BJ392)="","",INDEX(原始資料!D$2:D$501,$BJ392)))</f>
        <v/>
      </c>
      <c r="C392" s="6">
        <f>IF(OR($BJ392="",2&gt;設定!$B$3),"",IF(INDEX(原始資料!E$2:E$501,$BJ392)="","",INDEX(原始資料!E$2:E$501,$BJ392)))</f>
        <v/>
      </c>
      <c r="D392" s="6">
        <f>IF(OR($BJ392="",3&gt;設定!$B$3),"",IF(INDEX(原始資料!F$2:F$501,$BJ392)="","",INDEX(原始資料!F$2:F$501,$BJ392)))</f>
        <v/>
      </c>
      <c r="E392" s="6">
        <f>IF(OR($BJ392="",4&gt;設定!$B$3),"",IF(INDEX(原始資料!G$2:G$501,$BJ392)="","",INDEX(原始資料!G$2:G$501,$BJ392)))</f>
        <v/>
      </c>
      <c r="F392" s="6">
        <f>IF(OR($BJ392="",5&gt;設定!$B$3),"",IF(INDEX(原始資料!H$2:H$501,$BJ392)="","",INDEX(原始資料!H$2:H$501,$BJ392)))</f>
        <v/>
      </c>
      <c r="G392" s="6">
        <f>IF(OR($BJ392="",6&gt;設定!$B$3),"",IF(INDEX(原始資料!I$2:I$501,$BJ392)="","",INDEX(原始資料!I$2:I$501,$BJ392)))</f>
        <v/>
      </c>
      <c r="H392" s="6">
        <f>IF(OR($BJ392="",7&gt;設定!$B$3),"",IF(INDEX(原始資料!J$2:J$501,$BJ392)="","",INDEX(原始資料!J$2:J$501,$BJ392)))</f>
        <v/>
      </c>
      <c r="I392" s="6">
        <f>IF(OR($BJ392="",8&gt;設定!$B$3),"",IF(INDEX(原始資料!K$2:K$501,$BJ392)="","",INDEX(原始資料!K$2:K$501,$BJ392)))</f>
        <v/>
      </c>
      <c r="J392" s="6">
        <f>IF(OR($BJ392="",9&gt;設定!$B$3),"",IF(INDEX(原始資料!L$2:L$501,$BJ392)="","",INDEX(原始資料!L$2:L$501,$BJ392)))</f>
        <v/>
      </c>
      <c r="K392" s="6">
        <f>IF(OR($BJ392="",10&gt;設定!$B$3),"",IF(INDEX(原始資料!M$2:M$501,$BJ392)="","",INDEX(原始資料!M$2:M$501,$BJ392)))</f>
        <v/>
      </c>
      <c r="L392" s="6">
        <f>IF(OR($BJ392="",11&gt;設定!$B$3),"",IF(INDEX(原始資料!N$2:N$501,$BJ392)="","",INDEX(原始資料!N$2:N$501,$BJ392)))</f>
        <v/>
      </c>
      <c r="M392" s="6">
        <f>IF(OR($BJ392="",12&gt;設定!$B$3),"",IF(INDEX(原始資料!O$2:O$501,$BJ392)="","",INDEX(原始資料!O$2:O$501,$BJ392)))</f>
        <v/>
      </c>
      <c r="N392" s="6">
        <f>IF(OR($BJ392="",13&gt;設定!$B$3),"",IF(INDEX(原始資料!P$2:P$501,$BJ392)="","",INDEX(原始資料!P$2:P$501,$BJ392)))</f>
        <v/>
      </c>
      <c r="O392" s="6">
        <f>IF(OR($BJ392="",14&gt;設定!$B$3),"",IF(INDEX(原始資料!Q$2:Q$501,$BJ392)="","",INDEX(原始資料!Q$2:Q$501,$BJ392)))</f>
        <v/>
      </c>
      <c r="P392" s="6">
        <f>IF(OR($BJ392="",15&gt;設定!$B$3),"",IF(INDEX(原始資料!R$2:R$501,$BJ392)="","",INDEX(原始資料!R$2:R$501,$BJ392)))</f>
        <v/>
      </c>
      <c r="Q392" s="6">
        <f>IF(OR($BJ392="",16&gt;設定!$B$3),"",IF(INDEX(原始資料!S$2:S$501,$BJ392)="","",INDEX(原始資料!S$2:S$501,$BJ392)))</f>
        <v/>
      </c>
      <c r="R392" s="6">
        <f>IF(OR($BJ392="",17&gt;設定!$B$3),"",IF(INDEX(原始資料!T$2:T$501,$BJ392)="","",INDEX(原始資料!T$2:T$501,$BJ392)))</f>
        <v/>
      </c>
      <c r="S392" s="6">
        <f>IF(OR($BJ392="",18&gt;設定!$B$3),"",IF(INDEX(原始資料!U$2:U$501,$BJ392)="","",INDEX(原始資料!U$2:U$501,$BJ392)))</f>
        <v/>
      </c>
      <c r="T392" s="6">
        <f>IF(OR($BJ392="",19&gt;設定!$B$3),"",IF(INDEX(原始資料!V$2:V$501,$BJ392)="","",INDEX(原始資料!V$2:V$501,$BJ392)))</f>
        <v/>
      </c>
      <c r="U392" s="6">
        <f>IF(OR($BJ392="",20&gt;設定!$B$3),"",IF(INDEX(原始資料!W$2:W$501,$BJ392)="","",INDEX(原始資料!W$2:W$501,$BJ392)))</f>
        <v/>
      </c>
      <c r="V392" s="6">
        <f>IF(OR($BJ392="",21&gt;設定!$B$3),"",IF(INDEX(原始資料!X$2:X$501,$BJ392)="","",INDEX(原始資料!X$2:X$501,$BJ392)))</f>
        <v/>
      </c>
      <c r="W392" s="6">
        <f>IF(OR($BJ392="",22&gt;設定!$B$3),"",IF(INDEX(原始資料!Y$2:Y$501,$BJ392)="","",INDEX(原始資料!Y$2:Y$501,$BJ392)))</f>
        <v/>
      </c>
      <c r="X392" s="6">
        <f>IF(OR($BJ392="",23&gt;設定!$B$3),"",IF(INDEX(原始資料!Z$2:Z$501,$BJ392)="","",INDEX(原始資料!Z$2:Z$501,$BJ392)))</f>
        <v/>
      </c>
      <c r="Y392" s="6">
        <f>IF(OR($BJ392="",24&gt;設定!$B$3),"",IF(INDEX(原始資料!AA$2:AA$501,$BJ392)="","",INDEX(原始資料!AA$2:AA$501,$BJ392)))</f>
        <v/>
      </c>
      <c r="Z392" s="6">
        <f>IF(OR($BJ392="",25&gt;設定!$B$3),"",IF(INDEX(原始資料!AB$2:AB$501,$BJ392)="","",INDEX(原始資料!AB$2:AB$501,$BJ392)))</f>
        <v/>
      </c>
      <c r="AA392" s="6">
        <f>IF(OR($BJ392="",26&gt;設定!$B$3),"",IF(INDEX(原始資料!AC$2:AC$501,$BJ392)="","",INDEX(原始資料!AC$2:AC$501,$BJ392)))</f>
        <v/>
      </c>
      <c r="AB392" s="6">
        <f>IF(OR($BJ392="",27&gt;設定!$B$3),"",IF(INDEX(原始資料!AD$2:AD$501,$BJ392)="","",INDEX(原始資料!AD$2:AD$501,$BJ392)))</f>
        <v/>
      </c>
      <c r="AC392" s="6">
        <f>IF(OR($BJ392="",28&gt;設定!$B$3),"",IF(INDEX(原始資料!AE$2:AE$501,$BJ392)="","",INDEX(原始資料!AE$2:AE$501,$BJ392)))</f>
        <v/>
      </c>
      <c r="AD392" s="6">
        <f>IF(OR($BJ392="",29&gt;設定!$B$3),"",IF(INDEX(原始資料!AF$2:AF$501,$BJ392)="","",INDEX(原始資料!AF$2:AF$501,$BJ392)))</f>
        <v/>
      </c>
      <c r="AE392" s="6">
        <f>IF(OR($BJ392="",30&gt;設定!$B$3),"",IF(INDEX(原始資料!AG$2:AG$501,$BJ392)="","",INDEX(原始資料!AG$2:AG$501,$BJ392)))</f>
        <v/>
      </c>
      <c r="AF392" s="6">
        <f>IF(OR($BJ392="",31&gt;設定!$B$3),"",IF(INDEX(原始資料!AH$2:AH$501,$BJ392)="","",INDEX(原始資料!AH$2:AH$501,$BJ392)))</f>
        <v/>
      </c>
      <c r="AG392" s="6">
        <f>IF(OR($BJ392="",32&gt;設定!$B$3),"",IF(INDEX(原始資料!AI$2:AI$501,$BJ392)="","",INDEX(原始資料!AI$2:AI$501,$BJ392)))</f>
        <v/>
      </c>
      <c r="AH392" s="6">
        <f>IF(OR($BJ392="",33&gt;設定!$B$3),"",IF(INDEX(原始資料!AJ$2:AJ$501,$BJ392)="","",INDEX(原始資料!AJ$2:AJ$501,$BJ392)))</f>
        <v/>
      </c>
      <c r="AI392" s="6">
        <f>IF(OR($BJ392="",34&gt;設定!$B$3),"",IF(INDEX(原始資料!AK$2:AK$501,$BJ392)="","",INDEX(原始資料!AK$2:AK$501,$BJ392)))</f>
        <v/>
      </c>
      <c r="AJ392" s="6">
        <f>IF(OR($BJ392="",35&gt;設定!$B$3),"",IF(INDEX(原始資料!AL$2:AL$501,$BJ392)="","",INDEX(原始資料!AL$2:AL$501,$BJ392)))</f>
        <v/>
      </c>
      <c r="AK392" s="6">
        <f>IF(OR($BJ392="",36&gt;設定!$B$3),"",IF(INDEX(原始資料!AM$2:AM$501,$BJ392)="","",INDEX(原始資料!AM$2:AM$501,$BJ392)))</f>
        <v/>
      </c>
      <c r="AL392" s="6">
        <f>IF(OR($BJ392="",37&gt;設定!$B$3),"",IF(INDEX(原始資料!AN$2:AN$501,$BJ392)="","",INDEX(原始資料!AN$2:AN$501,$BJ392)))</f>
        <v/>
      </c>
      <c r="AM392" s="6">
        <f>IF(OR($BJ392="",38&gt;設定!$B$3),"",IF(INDEX(原始資料!AO$2:AO$501,$BJ392)="","",INDEX(原始資料!AO$2:AO$501,$BJ392)))</f>
        <v/>
      </c>
      <c r="AN392" s="6">
        <f>IF(OR($BJ392="",39&gt;設定!$B$3),"",IF(INDEX(原始資料!AP$2:AP$501,$BJ392)="","",INDEX(原始資料!AP$2:AP$501,$BJ392)))</f>
        <v/>
      </c>
      <c r="AO392" s="6">
        <f>IF(OR($BJ392="",40&gt;設定!$B$3),"",IF(INDEX(原始資料!AQ$2:AQ$501,$BJ392)="","",INDEX(原始資料!AQ$2:AQ$501,$BJ392)))</f>
        <v/>
      </c>
      <c r="AP392" s="6">
        <f>IF(OR($BJ392="",41&gt;設定!$B$3),"",IF(INDEX(原始資料!AR$2:AR$501,$BJ392)="","",INDEX(原始資料!AR$2:AR$501,$BJ392)))</f>
        <v/>
      </c>
      <c r="AQ392" s="6">
        <f>IF(OR($BJ392="",42&gt;設定!$B$3),"",IF(INDEX(原始資料!AS$2:AS$501,$BJ392)="","",INDEX(原始資料!AS$2:AS$501,$BJ392)))</f>
        <v/>
      </c>
      <c r="AR392" s="6">
        <f>IF(OR($BJ392="",43&gt;設定!$B$3),"",IF(INDEX(原始資料!AT$2:AT$501,$BJ392)="","",INDEX(原始資料!AT$2:AT$501,$BJ392)))</f>
        <v/>
      </c>
      <c r="AS392" s="6">
        <f>IF(OR($BJ392="",44&gt;設定!$B$3),"",IF(INDEX(原始資料!AU$2:AU$501,$BJ392)="","",INDEX(原始資料!AU$2:AU$501,$BJ392)))</f>
        <v/>
      </c>
      <c r="AT392" s="6">
        <f>IF(OR($BJ392="",45&gt;設定!$B$3),"",IF(INDEX(原始資料!AV$2:AV$501,$BJ392)="","",INDEX(原始資料!AV$2:AV$501,$BJ392)))</f>
        <v/>
      </c>
      <c r="AU392" s="6">
        <f>IF(OR($BJ392="",46&gt;設定!$B$3),"",IF(INDEX(原始資料!AW$2:AW$501,$BJ392)="","",INDEX(原始資料!AW$2:AW$501,$BJ392)))</f>
        <v/>
      </c>
      <c r="AV392" s="6">
        <f>IF(OR($BJ392="",47&gt;設定!$B$3),"",IF(INDEX(原始資料!AX$2:AX$501,$BJ392)="","",INDEX(原始資料!AX$2:AX$501,$BJ392)))</f>
        <v/>
      </c>
      <c r="AW392" s="6">
        <f>IF(OR($BJ392="",48&gt;設定!$B$3),"",IF(INDEX(原始資料!AY$2:AY$501,$BJ392)="","",INDEX(原始資料!AY$2:AY$501,$BJ392)))</f>
        <v/>
      </c>
      <c r="AX392" s="6">
        <f>IF(OR($BJ392="",49&gt;設定!$B$3),"",IF(INDEX(原始資料!AZ$2:AZ$501,$BJ392)="","",INDEX(原始資料!AZ$2:AZ$501,$BJ392)))</f>
        <v/>
      </c>
      <c r="AY392" s="6">
        <f>IF(OR($BJ392="",50&gt;設定!$B$3),"",IF(INDEX(原始資料!BA$2:BA$501,$BJ392)="","",INDEX(原始資料!BA$2:BA$501,$BJ392)))</f>
        <v/>
      </c>
      <c r="AZ392" s="6">
        <f>IF(OR($BJ392="",51&gt;設定!$B$3),"",IF(INDEX(原始資料!BB$2:BB$501,$BJ392)="","",INDEX(原始資料!BB$2:BB$501,$BJ392)))</f>
        <v/>
      </c>
      <c r="BA392" s="6">
        <f>IF(OR($BJ392="",52&gt;設定!$B$3),"",IF(INDEX(原始資料!BC$2:BC$501,$BJ392)="","",INDEX(原始資料!BC$2:BC$501,$BJ392)))</f>
        <v/>
      </c>
      <c r="BB392" s="6">
        <f>IF(OR($BJ392="",53&gt;設定!$B$3),"",IF(INDEX(原始資料!BD$2:BD$501,$BJ392)="","",INDEX(原始資料!BD$2:BD$501,$BJ392)))</f>
        <v/>
      </c>
      <c r="BC392" s="6">
        <f>IF(OR($BJ392="",54&gt;設定!$B$3),"",IF(INDEX(原始資料!BE$2:BE$501,$BJ392)="","",INDEX(原始資料!BE$2:BE$501,$BJ392)))</f>
        <v/>
      </c>
      <c r="BD392" s="6">
        <f>IF(OR($BJ392="",55&gt;設定!$B$3),"",IF(INDEX(原始資料!BF$2:BF$501,$BJ392)="","",INDEX(原始資料!BF$2:BF$501,$BJ392)))</f>
        <v/>
      </c>
      <c r="BE392" s="6">
        <f>IF(OR($BJ392="",56&gt;設定!$B$3),"",IF(INDEX(原始資料!BG$2:BG$501,$BJ392)="","",INDEX(原始資料!BG$2:BG$501,$BJ392)))</f>
        <v/>
      </c>
      <c r="BF392" s="6">
        <f>IF(OR($BJ392="",57&gt;設定!$B$3),"",IF(INDEX(原始資料!BH$2:BH$501,$BJ392)="","",INDEX(原始資料!BH$2:BH$501,$BJ392)))</f>
        <v/>
      </c>
      <c r="BG392" s="6">
        <f>IF(OR($BJ392="",58&gt;設定!$B$3),"",IF(INDEX(原始資料!BI$2:BI$501,$BJ392)="","",INDEX(原始資料!BI$2:BI$501,$BJ392)))</f>
        <v/>
      </c>
      <c r="BH392" s="6">
        <f>IF(OR($BJ392="",59&gt;設定!$B$3),"",IF(INDEX(原始資料!BJ$2:BJ$501,$BJ392)="","",INDEX(原始資料!BJ$2:BJ$501,$BJ392)))</f>
        <v/>
      </c>
      <c r="BI392" s="6">
        <f>IF(OR($BJ392="",60&gt;設定!$B$3),"",IF(INDEX(原始資料!BK$2:BK$501,$BJ392)="","",INDEX(原始資料!BK$2:BK$501,$BJ392)))</f>
        <v/>
      </c>
      <c r="BJ392" s="6">
        <f>IFERROR(MATCH(ROW()-1,判定!$H$2:$H$501,0),"")</f>
        <v/>
      </c>
    </row>
    <row r="393">
      <c r="A393" s="6">
        <f>IF($BJ393="","",INDEX(原始資料!$A$2:$A$501,$BJ393))</f>
        <v/>
      </c>
      <c r="B393" s="6">
        <f>IF(OR($BJ393="",1&gt;設定!$B$3),"",IF(INDEX(原始資料!D$2:D$501,$BJ393)="","",INDEX(原始資料!D$2:D$501,$BJ393)))</f>
        <v/>
      </c>
      <c r="C393" s="6">
        <f>IF(OR($BJ393="",2&gt;設定!$B$3),"",IF(INDEX(原始資料!E$2:E$501,$BJ393)="","",INDEX(原始資料!E$2:E$501,$BJ393)))</f>
        <v/>
      </c>
      <c r="D393" s="6">
        <f>IF(OR($BJ393="",3&gt;設定!$B$3),"",IF(INDEX(原始資料!F$2:F$501,$BJ393)="","",INDEX(原始資料!F$2:F$501,$BJ393)))</f>
        <v/>
      </c>
      <c r="E393" s="6">
        <f>IF(OR($BJ393="",4&gt;設定!$B$3),"",IF(INDEX(原始資料!G$2:G$501,$BJ393)="","",INDEX(原始資料!G$2:G$501,$BJ393)))</f>
        <v/>
      </c>
      <c r="F393" s="6">
        <f>IF(OR($BJ393="",5&gt;設定!$B$3),"",IF(INDEX(原始資料!H$2:H$501,$BJ393)="","",INDEX(原始資料!H$2:H$501,$BJ393)))</f>
        <v/>
      </c>
      <c r="G393" s="6">
        <f>IF(OR($BJ393="",6&gt;設定!$B$3),"",IF(INDEX(原始資料!I$2:I$501,$BJ393)="","",INDEX(原始資料!I$2:I$501,$BJ393)))</f>
        <v/>
      </c>
      <c r="H393" s="6">
        <f>IF(OR($BJ393="",7&gt;設定!$B$3),"",IF(INDEX(原始資料!J$2:J$501,$BJ393)="","",INDEX(原始資料!J$2:J$501,$BJ393)))</f>
        <v/>
      </c>
      <c r="I393" s="6">
        <f>IF(OR($BJ393="",8&gt;設定!$B$3),"",IF(INDEX(原始資料!K$2:K$501,$BJ393)="","",INDEX(原始資料!K$2:K$501,$BJ393)))</f>
        <v/>
      </c>
      <c r="J393" s="6">
        <f>IF(OR($BJ393="",9&gt;設定!$B$3),"",IF(INDEX(原始資料!L$2:L$501,$BJ393)="","",INDEX(原始資料!L$2:L$501,$BJ393)))</f>
        <v/>
      </c>
      <c r="K393" s="6">
        <f>IF(OR($BJ393="",10&gt;設定!$B$3),"",IF(INDEX(原始資料!M$2:M$501,$BJ393)="","",INDEX(原始資料!M$2:M$501,$BJ393)))</f>
        <v/>
      </c>
      <c r="L393" s="6">
        <f>IF(OR($BJ393="",11&gt;設定!$B$3),"",IF(INDEX(原始資料!N$2:N$501,$BJ393)="","",INDEX(原始資料!N$2:N$501,$BJ393)))</f>
        <v/>
      </c>
      <c r="M393" s="6">
        <f>IF(OR($BJ393="",12&gt;設定!$B$3),"",IF(INDEX(原始資料!O$2:O$501,$BJ393)="","",INDEX(原始資料!O$2:O$501,$BJ393)))</f>
        <v/>
      </c>
      <c r="N393" s="6">
        <f>IF(OR($BJ393="",13&gt;設定!$B$3),"",IF(INDEX(原始資料!P$2:P$501,$BJ393)="","",INDEX(原始資料!P$2:P$501,$BJ393)))</f>
        <v/>
      </c>
      <c r="O393" s="6">
        <f>IF(OR($BJ393="",14&gt;設定!$B$3),"",IF(INDEX(原始資料!Q$2:Q$501,$BJ393)="","",INDEX(原始資料!Q$2:Q$501,$BJ393)))</f>
        <v/>
      </c>
      <c r="P393" s="6">
        <f>IF(OR($BJ393="",15&gt;設定!$B$3),"",IF(INDEX(原始資料!R$2:R$501,$BJ393)="","",INDEX(原始資料!R$2:R$501,$BJ393)))</f>
        <v/>
      </c>
      <c r="Q393" s="6">
        <f>IF(OR($BJ393="",16&gt;設定!$B$3),"",IF(INDEX(原始資料!S$2:S$501,$BJ393)="","",INDEX(原始資料!S$2:S$501,$BJ393)))</f>
        <v/>
      </c>
      <c r="R393" s="6">
        <f>IF(OR($BJ393="",17&gt;設定!$B$3),"",IF(INDEX(原始資料!T$2:T$501,$BJ393)="","",INDEX(原始資料!T$2:T$501,$BJ393)))</f>
        <v/>
      </c>
      <c r="S393" s="6">
        <f>IF(OR($BJ393="",18&gt;設定!$B$3),"",IF(INDEX(原始資料!U$2:U$501,$BJ393)="","",INDEX(原始資料!U$2:U$501,$BJ393)))</f>
        <v/>
      </c>
      <c r="T393" s="6">
        <f>IF(OR($BJ393="",19&gt;設定!$B$3),"",IF(INDEX(原始資料!V$2:V$501,$BJ393)="","",INDEX(原始資料!V$2:V$501,$BJ393)))</f>
        <v/>
      </c>
      <c r="U393" s="6">
        <f>IF(OR($BJ393="",20&gt;設定!$B$3),"",IF(INDEX(原始資料!W$2:W$501,$BJ393)="","",INDEX(原始資料!W$2:W$501,$BJ393)))</f>
        <v/>
      </c>
      <c r="V393" s="6">
        <f>IF(OR($BJ393="",21&gt;設定!$B$3),"",IF(INDEX(原始資料!X$2:X$501,$BJ393)="","",INDEX(原始資料!X$2:X$501,$BJ393)))</f>
        <v/>
      </c>
      <c r="W393" s="6">
        <f>IF(OR($BJ393="",22&gt;設定!$B$3),"",IF(INDEX(原始資料!Y$2:Y$501,$BJ393)="","",INDEX(原始資料!Y$2:Y$501,$BJ393)))</f>
        <v/>
      </c>
      <c r="X393" s="6">
        <f>IF(OR($BJ393="",23&gt;設定!$B$3),"",IF(INDEX(原始資料!Z$2:Z$501,$BJ393)="","",INDEX(原始資料!Z$2:Z$501,$BJ393)))</f>
        <v/>
      </c>
      <c r="Y393" s="6">
        <f>IF(OR($BJ393="",24&gt;設定!$B$3),"",IF(INDEX(原始資料!AA$2:AA$501,$BJ393)="","",INDEX(原始資料!AA$2:AA$501,$BJ393)))</f>
        <v/>
      </c>
      <c r="Z393" s="6">
        <f>IF(OR($BJ393="",25&gt;設定!$B$3),"",IF(INDEX(原始資料!AB$2:AB$501,$BJ393)="","",INDEX(原始資料!AB$2:AB$501,$BJ393)))</f>
        <v/>
      </c>
      <c r="AA393" s="6">
        <f>IF(OR($BJ393="",26&gt;設定!$B$3),"",IF(INDEX(原始資料!AC$2:AC$501,$BJ393)="","",INDEX(原始資料!AC$2:AC$501,$BJ393)))</f>
        <v/>
      </c>
      <c r="AB393" s="6">
        <f>IF(OR($BJ393="",27&gt;設定!$B$3),"",IF(INDEX(原始資料!AD$2:AD$501,$BJ393)="","",INDEX(原始資料!AD$2:AD$501,$BJ393)))</f>
        <v/>
      </c>
      <c r="AC393" s="6">
        <f>IF(OR($BJ393="",28&gt;設定!$B$3),"",IF(INDEX(原始資料!AE$2:AE$501,$BJ393)="","",INDEX(原始資料!AE$2:AE$501,$BJ393)))</f>
        <v/>
      </c>
      <c r="AD393" s="6">
        <f>IF(OR($BJ393="",29&gt;設定!$B$3),"",IF(INDEX(原始資料!AF$2:AF$501,$BJ393)="","",INDEX(原始資料!AF$2:AF$501,$BJ393)))</f>
        <v/>
      </c>
      <c r="AE393" s="6">
        <f>IF(OR($BJ393="",30&gt;設定!$B$3),"",IF(INDEX(原始資料!AG$2:AG$501,$BJ393)="","",INDEX(原始資料!AG$2:AG$501,$BJ393)))</f>
        <v/>
      </c>
      <c r="AF393" s="6">
        <f>IF(OR($BJ393="",31&gt;設定!$B$3),"",IF(INDEX(原始資料!AH$2:AH$501,$BJ393)="","",INDEX(原始資料!AH$2:AH$501,$BJ393)))</f>
        <v/>
      </c>
      <c r="AG393" s="6">
        <f>IF(OR($BJ393="",32&gt;設定!$B$3),"",IF(INDEX(原始資料!AI$2:AI$501,$BJ393)="","",INDEX(原始資料!AI$2:AI$501,$BJ393)))</f>
        <v/>
      </c>
      <c r="AH393" s="6">
        <f>IF(OR($BJ393="",33&gt;設定!$B$3),"",IF(INDEX(原始資料!AJ$2:AJ$501,$BJ393)="","",INDEX(原始資料!AJ$2:AJ$501,$BJ393)))</f>
        <v/>
      </c>
      <c r="AI393" s="6">
        <f>IF(OR($BJ393="",34&gt;設定!$B$3),"",IF(INDEX(原始資料!AK$2:AK$501,$BJ393)="","",INDEX(原始資料!AK$2:AK$501,$BJ393)))</f>
        <v/>
      </c>
      <c r="AJ393" s="6">
        <f>IF(OR($BJ393="",35&gt;設定!$B$3),"",IF(INDEX(原始資料!AL$2:AL$501,$BJ393)="","",INDEX(原始資料!AL$2:AL$501,$BJ393)))</f>
        <v/>
      </c>
      <c r="AK393" s="6">
        <f>IF(OR($BJ393="",36&gt;設定!$B$3),"",IF(INDEX(原始資料!AM$2:AM$501,$BJ393)="","",INDEX(原始資料!AM$2:AM$501,$BJ393)))</f>
        <v/>
      </c>
      <c r="AL393" s="6">
        <f>IF(OR($BJ393="",37&gt;設定!$B$3),"",IF(INDEX(原始資料!AN$2:AN$501,$BJ393)="","",INDEX(原始資料!AN$2:AN$501,$BJ393)))</f>
        <v/>
      </c>
      <c r="AM393" s="6">
        <f>IF(OR($BJ393="",38&gt;設定!$B$3),"",IF(INDEX(原始資料!AO$2:AO$501,$BJ393)="","",INDEX(原始資料!AO$2:AO$501,$BJ393)))</f>
        <v/>
      </c>
      <c r="AN393" s="6">
        <f>IF(OR($BJ393="",39&gt;設定!$B$3),"",IF(INDEX(原始資料!AP$2:AP$501,$BJ393)="","",INDEX(原始資料!AP$2:AP$501,$BJ393)))</f>
        <v/>
      </c>
      <c r="AO393" s="6">
        <f>IF(OR($BJ393="",40&gt;設定!$B$3),"",IF(INDEX(原始資料!AQ$2:AQ$501,$BJ393)="","",INDEX(原始資料!AQ$2:AQ$501,$BJ393)))</f>
        <v/>
      </c>
      <c r="AP393" s="6">
        <f>IF(OR($BJ393="",41&gt;設定!$B$3),"",IF(INDEX(原始資料!AR$2:AR$501,$BJ393)="","",INDEX(原始資料!AR$2:AR$501,$BJ393)))</f>
        <v/>
      </c>
      <c r="AQ393" s="6">
        <f>IF(OR($BJ393="",42&gt;設定!$B$3),"",IF(INDEX(原始資料!AS$2:AS$501,$BJ393)="","",INDEX(原始資料!AS$2:AS$501,$BJ393)))</f>
        <v/>
      </c>
      <c r="AR393" s="6">
        <f>IF(OR($BJ393="",43&gt;設定!$B$3),"",IF(INDEX(原始資料!AT$2:AT$501,$BJ393)="","",INDEX(原始資料!AT$2:AT$501,$BJ393)))</f>
        <v/>
      </c>
      <c r="AS393" s="6">
        <f>IF(OR($BJ393="",44&gt;設定!$B$3),"",IF(INDEX(原始資料!AU$2:AU$501,$BJ393)="","",INDEX(原始資料!AU$2:AU$501,$BJ393)))</f>
        <v/>
      </c>
      <c r="AT393" s="6">
        <f>IF(OR($BJ393="",45&gt;設定!$B$3),"",IF(INDEX(原始資料!AV$2:AV$501,$BJ393)="","",INDEX(原始資料!AV$2:AV$501,$BJ393)))</f>
        <v/>
      </c>
      <c r="AU393" s="6">
        <f>IF(OR($BJ393="",46&gt;設定!$B$3),"",IF(INDEX(原始資料!AW$2:AW$501,$BJ393)="","",INDEX(原始資料!AW$2:AW$501,$BJ393)))</f>
        <v/>
      </c>
      <c r="AV393" s="6">
        <f>IF(OR($BJ393="",47&gt;設定!$B$3),"",IF(INDEX(原始資料!AX$2:AX$501,$BJ393)="","",INDEX(原始資料!AX$2:AX$501,$BJ393)))</f>
        <v/>
      </c>
      <c r="AW393" s="6">
        <f>IF(OR($BJ393="",48&gt;設定!$B$3),"",IF(INDEX(原始資料!AY$2:AY$501,$BJ393)="","",INDEX(原始資料!AY$2:AY$501,$BJ393)))</f>
        <v/>
      </c>
      <c r="AX393" s="6">
        <f>IF(OR($BJ393="",49&gt;設定!$B$3),"",IF(INDEX(原始資料!AZ$2:AZ$501,$BJ393)="","",INDEX(原始資料!AZ$2:AZ$501,$BJ393)))</f>
        <v/>
      </c>
      <c r="AY393" s="6">
        <f>IF(OR($BJ393="",50&gt;設定!$B$3),"",IF(INDEX(原始資料!BA$2:BA$501,$BJ393)="","",INDEX(原始資料!BA$2:BA$501,$BJ393)))</f>
        <v/>
      </c>
      <c r="AZ393" s="6">
        <f>IF(OR($BJ393="",51&gt;設定!$B$3),"",IF(INDEX(原始資料!BB$2:BB$501,$BJ393)="","",INDEX(原始資料!BB$2:BB$501,$BJ393)))</f>
        <v/>
      </c>
      <c r="BA393" s="6">
        <f>IF(OR($BJ393="",52&gt;設定!$B$3),"",IF(INDEX(原始資料!BC$2:BC$501,$BJ393)="","",INDEX(原始資料!BC$2:BC$501,$BJ393)))</f>
        <v/>
      </c>
      <c r="BB393" s="6">
        <f>IF(OR($BJ393="",53&gt;設定!$B$3),"",IF(INDEX(原始資料!BD$2:BD$501,$BJ393)="","",INDEX(原始資料!BD$2:BD$501,$BJ393)))</f>
        <v/>
      </c>
      <c r="BC393" s="6">
        <f>IF(OR($BJ393="",54&gt;設定!$B$3),"",IF(INDEX(原始資料!BE$2:BE$501,$BJ393)="","",INDEX(原始資料!BE$2:BE$501,$BJ393)))</f>
        <v/>
      </c>
      <c r="BD393" s="6">
        <f>IF(OR($BJ393="",55&gt;設定!$B$3),"",IF(INDEX(原始資料!BF$2:BF$501,$BJ393)="","",INDEX(原始資料!BF$2:BF$501,$BJ393)))</f>
        <v/>
      </c>
      <c r="BE393" s="6">
        <f>IF(OR($BJ393="",56&gt;設定!$B$3),"",IF(INDEX(原始資料!BG$2:BG$501,$BJ393)="","",INDEX(原始資料!BG$2:BG$501,$BJ393)))</f>
        <v/>
      </c>
      <c r="BF393" s="6">
        <f>IF(OR($BJ393="",57&gt;設定!$B$3),"",IF(INDEX(原始資料!BH$2:BH$501,$BJ393)="","",INDEX(原始資料!BH$2:BH$501,$BJ393)))</f>
        <v/>
      </c>
      <c r="BG393" s="6">
        <f>IF(OR($BJ393="",58&gt;設定!$B$3),"",IF(INDEX(原始資料!BI$2:BI$501,$BJ393)="","",INDEX(原始資料!BI$2:BI$501,$BJ393)))</f>
        <v/>
      </c>
      <c r="BH393" s="6">
        <f>IF(OR($BJ393="",59&gt;設定!$B$3),"",IF(INDEX(原始資料!BJ$2:BJ$501,$BJ393)="","",INDEX(原始資料!BJ$2:BJ$501,$BJ393)))</f>
        <v/>
      </c>
      <c r="BI393" s="6">
        <f>IF(OR($BJ393="",60&gt;設定!$B$3),"",IF(INDEX(原始資料!BK$2:BK$501,$BJ393)="","",INDEX(原始資料!BK$2:BK$501,$BJ393)))</f>
        <v/>
      </c>
      <c r="BJ393" s="6">
        <f>IFERROR(MATCH(ROW()-1,判定!$H$2:$H$501,0),"")</f>
        <v/>
      </c>
    </row>
    <row r="394">
      <c r="A394" s="6">
        <f>IF($BJ394="","",INDEX(原始資料!$A$2:$A$501,$BJ394))</f>
        <v/>
      </c>
      <c r="B394" s="6">
        <f>IF(OR($BJ394="",1&gt;設定!$B$3),"",IF(INDEX(原始資料!D$2:D$501,$BJ394)="","",INDEX(原始資料!D$2:D$501,$BJ394)))</f>
        <v/>
      </c>
      <c r="C394" s="6">
        <f>IF(OR($BJ394="",2&gt;設定!$B$3),"",IF(INDEX(原始資料!E$2:E$501,$BJ394)="","",INDEX(原始資料!E$2:E$501,$BJ394)))</f>
        <v/>
      </c>
      <c r="D394" s="6">
        <f>IF(OR($BJ394="",3&gt;設定!$B$3),"",IF(INDEX(原始資料!F$2:F$501,$BJ394)="","",INDEX(原始資料!F$2:F$501,$BJ394)))</f>
        <v/>
      </c>
      <c r="E394" s="6">
        <f>IF(OR($BJ394="",4&gt;設定!$B$3),"",IF(INDEX(原始資料!G$2:G$501,$BJ394)="","",INDEX(原始資料!G$2:G$501,$BJ394)))</f>
        <v/>
      </c>
      <c r="F394" s="6">
        <f>IF(OR($BJ394="",5&gt;設定!$B$3),"",IF(INDEX(原始資料!H$2:H$501,$BJ394)="","",INDEX(原始資料!H$2:H$501,$BJ394)))</f>
        <v/>
      </c>
      <c r="G394" s="6">
        <f>IF(OR($BJ394="",6&gt;設定!$B$3),"",IF(INDEX(原始資料!I$2:I$501,$BJ394)="","",INDEX(原始資料!I$2:I$501,$BJ394)))</f>
        <v/>
      </c>
      <c r="H394" s="6">
        <f>IF(OR($BJ394="",7&gt;設定!$B$3),"",IF(INDEX(原始資料!J$2:J$501,$BJ394)="","",INDEX(原始資料!J$2:J$501,$BJ394)))</f>
        <v/>
      </c>
      <c r="I394" s="6">
        <f>IF(OR($BJ394="",8&gt;設定!$B$3),"",IF(INDEX(原始資料!K$2:K$501,$BJ394)="","",INDEX(原始資料!K$2:K$501,$BJ394)))</f>
        <v/>
      </c>
      <c r="J394" s="6">
        <f>IF(OR($BJ394="",9&gt;設定!$B$3),"",IF(INDEX(原始資料!L$2:L$501,$BJ394)="","",INDEX(原始資料!L$2:L$501,$BJ394)))</f>
        <v/>
      </c>
      <c r="K394" s="6">
        <f>IF(OR($BJ394="",10&gt;設定!$B$3),"",IF(INDEX(原始資料!M$2:M$501,$BJ394)="","",INDEX(原始資料!M$2:M$501,$BJ394)))</f>
        <v/>
      </c>
      <c r="L394" s="6">
        <f>IF(OR($BJ394="",11&gt;設定!$B$3),"",IF(INDEX(原始資料!N$2:N$501,$BJ394)="","",INDEX(原始資料!N$2:N$501,$BJ394)))</f>
        <v/>
      </c>
      <c r="M394" s="6">
        <f>IF(OR($BJ394="",12&gt;設定!$B$3),"",IF(INDEX(原始資料!O$2:O$501,$BJ394)="","",INDEX(原始資料!O$2:O$501,$BJ394)))</f>
        <v/>
      </c>
      <c r="N394" s="6">
        <f>IF(OR($BJ394="",13&gt;設定!$B$3),"",IF(INDEX(原始資料!P$2:P$501,$BJ394)="","",INDEX(原始資料!P$2:P$501,$BJ394)))</f>
        <v/>
      </c>
      <c r="O394" s="6">
        <f>IF(OR($BJ394="",14&gt;設定!$B$3),"",IF(INDEX(原始資料!Q$2:Q$501,$BJ394)="","",INDEX(原始資料!Q$2:Q$501,$BJ394)))</f>
        <v/>
      </c>
      <c r="P394" s="6">
        <f>IF(OR($BJ394="",15&gt;設定!$B$3),"",IF(INDEX(原始資料!R$2:R$501,$BJ394)="","",INDEX(原始資料!R$2:R$501,$BJ394)))</f>
        <v/>
      </c>
      <c r="Q394" s="6">
        <f>IF(OR($BJ394="",16&gt;設定!$B$3),"",IF(INDEX(原始資料!S$2:S$501,$BJ394)="","",INDEX(原始資料!S$2:S$501,$BJ394)))</f>
        <v/>
      </c>
      <c r="R394" s="6">
        <f>IF(OR($BJ394="",17&gt;設定!$B$3),"",IF(INDEX(原始資料!T$2:T$501,$BJ394)="","",INDEX(原始資料!T$2:T$501,$BJ394)))</f>
        <v/>
      </c>
      <c r="S394" s="6">
        <f>IF(OR($BJ394="",18&gt;設定!$B$3),"",IF(INDEX(原始資料!U$2:U$501,$BJ394)="","",INDEX(原始資料!U$2:U$501,$BJ394)))</f>
        <v/>
      </c>
      <c r="T394" s="6">
        <f>IF(OR($BJ394="",19&gt;設定!$B$3),"",IF(INDEX(原始資料!V$2:V$501,$BJ394)="","",INDEX(原始資料!V$2:V$501,$BJ394)))</f>
        <v/>
      </c>
      <c r="U394" s="6">
        <f>IF(OR($BJ394="",20&gt;設定!$B$3),"",IF(INDEX(原始資料!W$2:W$501,$BJ394)="","",INDEX(原始資料!W$2:W$501,$BJ394)))</f>
        <v/>
      </c>
      <c r="V394" s="6">
        <f>IF(OR($BJ394="",21&gt;設定!$B$3),"",IF(INDEX(原始資料!X$2:X$501,$BJ394)="","",INDEX(原始資料!X$2:X$501,$BJ394)))</f>
        <v/>
      </c>
      <c r="W394" s="6">
        <f>IF(OR($BJ394="",22&gt;設定!$B$3),"",IF(INDEX(原始資料!Y$2:Y$501,$BJ394)="","",INDEX(原始資料!Y$2:Y$501,$BJ394)))</f>
        <v/>
      </c>
      <c r="X394" s="6">
        <f>IF(OR($BJ394="",23&gt;設定!$B$3),"",IF(INDEX(原始資料!Z$2:Z$501,$BJ394)="","",INDEX(原始資料!Z$2:Z$501,$BJ394)))</f>
        <v/>
      </c>
      <c r="Y394" s="6">
        <f>IF(OR($BJ394="",24&gt;設定!$B$3),"",IF(INDEX(原始資料!AA$2:AA$501,$BJ394)="","",INDEX(原始資料!AA$2:AA$501,$BJ394)))</f>
        <v/>
      </c>
      <c r="Z394" s="6">
        <f>IF(OR($BJ394="",25&gt;設定!$B$3),"",IF(INDEX(原始資料!AB$2:AB$501,$BJ394)="","",INDEX(原始資料!AB$2:AB$501,$BJ394)))</f>
        <v/>
      </c>
      <c r="AA394" s="6">
        <f>IF(OR($BJ394="",26&gt;設定!$B$3),"",IF(INDEX(原始資料!AC$2:AC$501,$BJ394)="","",INDEX(原始資料!AC$2:AC$501,$BJ394)))</f>
        <v/>
      </c>
      <c r="AB394" s="6">
        <f>IF(OR($BJ394="",27&gt;設定!$B$3),"",IF(INDEX(原始資料!AD$2:AD$501,$BJ394)="","",INDEX(原始資料!AD$2:AD$501,$BJ394)))</f>
        <v/>
      </c>
      <c r="AC394" s="6">
        <f>IF(OR($BJ394="",28&gt;設定!$B$3),"",IF(INDEX(原始資料!AE$2:AE$501,$BJ394)="","",INDEX(原始資料!AE$2:AE$501,$BJ394)))</f>
        <v/>
      </c>
      <c r="AD394" s="6">
        <f>IF(OR($BJ394="",29&gt;設定!$B$3),"",IF(INDEX(原始資料!AF$2:AF$501,$BJ394)="","",INDEX(原始資料!AF$2:AF$501,$BJ394)))</f>
        <v/>
      </c>
      <c r="AE394" s="6">
        <f>IF(OR($BJ394="",30&gt;設定!$B$3),"",IF(INDEX(原始資料!AG$2:AG$501,$BJ394)="","",INDEX(原始資料!AG$2:AG$501,$BJ394)))</f>
        <v/>
      </c>
      <c r="AF394" s="6">
        <f>IF(OR($BJ394="",31&gt;設定!$B$3),"",IF(INDEX(原始資料!AH$2:AH$501,$BJ394)="","",INDEX(原始資料!AH$2:AH$501,$BJ394)))</f>
        <v/>
      </c>
      <c r="AG394" s="6">
        <f>IF(OR($BJ394="",32&gt;設定!$B$3),"",IF(INDEX(原始資料!AI$2:AI$501,$BJ394)="","",INDEX(原始資料!AI$2:AI$501,$BJ394)))</f>
        <v/>
      </c>
      <c r="AH394" s="6">
        <f>IF(OR($BJ394="",33&gt;設定!$B$3),"",IF(INDEX(原始資料!AJ$2:AJ$501,$BJ394)="","",INDEX(原始資料!AJ$2:AJ$501,$BJ394)))</f>
        <v/>
      </c>
      <c r="AI394" s="6">
        <f>IF(OR($BJ394="",34&gt;設定!$B$3),"",IF(INDEX(原始資料!AK$2:AK$501,$BJ394)="","",INDEX(原始資料!AK$2:AK$501,$BJ394)))</f>
        <v/>
      </c>
      <c r="AJ394" s="6">
        <f>IF(OR($BJ394="",35&gt;設定!$B$3),"",IF(INDEX(原始資料!AL$2:AL$501,$BJ394)="","",INDEX(原始資料!AL$2:AL$501,$BJ394)))</f>
        <v/>
      </c>
      <c r="AK394" s="6">
        <f>IF(OR($BJ394="",36&gt;設定!$B$3),"",IF(INDEX(原始資料!AM$2:AM$501,$BJ394)="","",INDEX(原始資料!AM$2:AM$501,$BJ394)))</f>
        <v/>
      </c>
      <c r="AL394" s="6">
        <f>IF(OR($BJ394="",37&gt;設定!$B$3),"",IF(INDEX(原始資料!AN$2:AN$501,$BJ394)="","",INDEX(原始資料!AN$2:AN$501,$BJ394)))</f>
        <v/>
      </c>
      <c r="AM394" s="6">
        <f>IF(OR($BJ394="",38&gt;設定!$B$3),"",IF(INDEX(原始資料!AO$2:AO$501,$BJ394)="","",INDEX(原始資料!AO$2:AO$501,$BJ394)))</f>
        <v/>
      </c>
      <c r="AN394" s="6">
        <f>IF(OR($BJ394="",39&gt;設定!$B$3),"",IF(INDEX(原始資料!AP$2:AP$501,$BJ394)="","",INDEX(原始資料!AP$2:AP$501,$BJ394)))</f>
        <v/>
      </c>
      <c r="AO394" s="6">
        <f>IF(OR($BJ394="",40&gt;設定!$B$3),"",IF(INDEX(原始資料!AQ$2:AQ$501,$BJ394)="","",INDEX(原始資料!AQ$2:AQ$501,$BJ394)))</f>
        <v/>
      </c>
      <c r="AP394" s="6">
        <f>IF(OR($BJ394="",41&gt;設定!$B$3),"",IF(INDEX(原始資料!AR$2:AR$501,$BJ394)="","",INDEX(原始資料!AR$2:AR$501,$BJ394)))</f>
        <v/>
      </c>
      <c r="AQ394" s="6">
        <f>IF(OR($BJ394="",42&gt;設定!$B$3),"",IF(INDEX(原始資料!AS$2:AS$501,$BJ394)="","",INDEX(原始資料!AS$2:AS$501,$BJ394)))</f>
        <v/>
      </c>
      <c r="AR394" s="6">
        <f>IF(OR($BJ394="",43&gt;設定!$B$3),"",IF(INDEX(原始資料!AT$2:AT$501,$BJ394)="","",INDEX(原始資料!AT$2:AT$501,$BJ394)))</f>
        <v/>
      </c>
      <c r="AS394" s="6">
        <f>IF(OR($BJ394="",44&gt;設定!$B$3),"",IF(INDEX(原始資料!AU$2:AU$501,$BJ394)="","",INDEX(原始資料!AU$2:AU$501,$BJ394)))</f>
        <v/>
      </c>
      <c r="AT394" s="6">
        <f>IF(OR($BJ394="",45&gt;設定!$B$3),"",IF(INDEX(原始資料!AV$2:AV$501,$BJ394)="","",INDEX(原始資料!AV$2:AV$501,$BJ394)))</f>
        <v/>
      </c>
      <c r="AU394" s="6">
        <f>IF(OR($BJ394="",46&gt;設定!$B$3),"",IF(INDEX(原始資料!AW$2:AW$501,$BJ394)="","",INDEX(原始資料!AW$2:AW$501,$BJ394)))</f>
        <v/>
      </c>
      <c r="AV394" s="6">
        <f>IF(OR($BJ394="",47&gt;設定!$B$3),"",IF(INDEX(原始資料!AX$2:AX$501,$BJ394)="","",INDEX(原始資料!AX$2:AX$501,$BJ394)))</f>
        <v/>
      </c>
      <c r="AW394" s="6">
        <f>IF(OR($BJ394="",48&gt;設定!$B$3),"",IF(INDEX(原始資料!AY$2:AY$501,$BJ394)="","",INDEX(原始資料!AY$2:AY$501,$BJ394)))</f>
        <v/>
      </c>
      <c r="AX394" s="6">
        <f>IF(OR($BJ394="",49&gt;設定!$B$3),"",IF(INDEX(原始資料!AZ$2:AZ$501,$BJ394)="","",INDEX(原始資料!AZ$2:AZ$501,$BJ394)))</f>
        <v/>
      </c>
      <c r="AY394" s="6">
        <f>IF(OR($BJ394="",50&gt;設定!$B$3),"",IF(INDEX(原始資料!BA$2:BA$501,$BJ394)="","",INDEX(原始資料!BA$2:BA$501,$BJ394)))</f>
        <v/>
      </c>
      <c r="AZ394" s="6">
        <f>IF(OR($BJ394="",51&gt;設定!$B$3),"",IF(INDEX(原始資料!BB$2:BB$501,$BJ394)="","",INDEX(原始資料!BB$2:BB$501,$BJ394)))</f>
        <v/>
      </c>
      <c r="BA394" s="6">
        <f>IF(OR($BJ394="",52&gt;設定!$B$3),"",IF(INDEX(原始資料!BC$2:BC$501,$BJ394)="","",INDEX(原始資料!BC$2:BC$501,$BJ394)))</f>
        <v/>
      </c>
      <c r="BB394" s="6">
        <f>IF(OR($BJ394="",53&gt;設定!$B$3),"",IF(INDEX(原始資料!BD$2:BD$501,$BJ394)="","",INDEX(原始資料!BD$2:BD$501,$BJ394)))</f>
        <v/>
      </c>
      <c r="BC394" s="6">
        <f>IF(OR($BJ394="",54&gt;設定!$B$3),"",IF(INDEX(原始資料!BE$2:BE$501,$BJ394)="","",INDEX(原始資料!BE$2:BE$501,$BJ394)))</f>
        <v/>
      </c>
      <c r="BD394" s="6">
        <f>IF(OR($BJ394="",55&gt;設定!$B$3),"",IF(INDEX(原始資料!BF$2:BF$501,$BJ394)="","",INDEX(原始資料!BF$2:BF$501,$BJ394)))</f>
        <v/>
      </c>
      <c r="BE394" s="6">
        <f>IF(OR($BJ394="",56&gt;設定!$B$3),"",IF(INDEX(原始資料!BG$2:BG$501,$BJ394)="","",INDEX(原始資料!BG$2:BG$501,$BJ394)))</f>
        <v/>
      </c>
      <c r="BF394" s="6">
        <f>IF(OR($BJ394="",57&gt;設定!$B$3),"",IF(INDEX(原始資料!BH$2:BH$501,$BJ394)="","",INDEX(原始資料!BH$2:BH$501,$BJ394)))</f>
        <v/>
      </c>
      <c r="BG394" s="6">
        <f>IF(OR($BJ394="",58&gt;設定!$B$3),"",IF(INDEX(原始資料!BI$2:BI$501,$BJ394)="","",INDEX(原始資料!BI$2:BI$501,$BJ394)))</f>
        <v/>
      </c>
      <c r="BH394" s="6">
        <f>IF(OR($BJ394="",59&gt;設定!$B$3),"",IF(INDEX(原始資料!BJ$2:BJ$501,$BJ394)="","",INDEX(原始資料!BJ$2:BJ$501,$BJ394)))</f>
        <v/>
      </c>
      <c r="BI394" s="6">
        <f>IF(OR($BJ394="",60&gt;設定!$B$3),"",IF(INDEX(原始資料!BK$2:BK$501,$BJ394)="","",INDEX(原始資料!BK$2:BK$501,$BJ394)))</f>
        <v/>
      </c>
      <c r="BJ394" s="6">
        <f>IFERROR(MATCH(ROW()-1,判定!$H$2:$H$501,0),"")</f>
        <v/>
      </c>
    </row>
    <row r="395">
      <c r="A395" s="6">
        <f>IF($BJ395="","",INDEX(原始資料!$A$2:$A$501,$BJ395))</f>
        <v/>
      </c>
      <c r="B395" s="6">
        <f>IF(OR($BJ395="",1&gt;設定!$B$3),"",IF(INDEX(原始資料!D$2:D$501,$BJ395)="","",INDEX(原始資料!D$2:D$501,$BJ395)))</f>
        <v/>
      </c>
      <c r="C395" s="6">
        <f>IF(OR($BJ395="",2&gt;設定!$B$3),"",IF(INDEX(原始資料!E$2:E$501,$BJ395)="","",INDEX(原始資料!E$2:E$501,$BJ395)))</f>
        <v/>
      </c>
      <c r="D395" s="6">
        <f>IF(OR($BJ395="",3&gt;設定!$B$3),"",IF(INDEX(原始資料!F$2:F$501,$BJ395)="","",INDEX(原始資料!F$2:F$501,$BJ395)))</f>
        <v/>
      </c>
      <c r="E395" s="6">
        <f>IF(OR($BJ395="",4&gt;設定!$B$3),"",IF(INDEX(原始資料!G$2:G$501,$BJ395)="","",INDEX(原始資料!G$2:G$501,$BJ395)))</f>
        <v/>
      </c>
      <c r="F395" s="6">
        <f>IF(OR($BJ395="",5&gt;設定!$B$3),"",IF(INDEX(原始資料!H$2:H$501,$BJ395)="","",INDEX(原始資料!H$2:H$501,$BJ395)))</f>
        <v/>
      </c>
      <c r="G395" s="6">
        <f>IF(OR($BJ395="",6&gt;設定!$B$3),"",IF(INDEX(原始資料!I$2:I$501,$BJ395)="","",INDEX(原始資料!I$2:I$501,$BJ395)))</f>
        <v/>
      </c>
      <c r="H395" s="6">
        <f>IF(OR($BJ395="",7&gt;設定!$B$3),"",IF(INDEX(原始資料!J$2:J$501,$BJ395)="","",INDEX(原始資料!J$2:J$501,$BJ395)))</f>
        <v/>
      </c>
      <c r="I395" s="6">
        <f>IF(OR($BJ395="",8&gt;設定!$B$3),"",IF(INDEX(原始資料!K$2:K$501,$BJ395)="","",INDEX(原始資料!K$2:K$501,$BJ395)))</f>
        <v/>
      </c>
      <c r="J395" s="6">
        <f>IF(OR($BJ395="",9&gt;設定!$B$3),"",IF(INDEX(原始資料!L$2:L$501,$BJ395)="","",INDEX(原始資料!L$2:L$501,$BJ395)))</f>
        <v/>
      </c>
      <c r="K395" s="6">
        <f>IF(OR($BJ395="",10&gt;設定!$B$3),"",IF(INDEX(原始資料!M$2:M$501,$BJ395)="","",INDEX(原始資料!M$2:M$501,$BJ395)))</f>
        <v/>
      </c>
      <c r="L395" s="6">
        <f>IF(OR($BJ395="",11&gt;設定!$B$3),"",IF(INDEX(原始資料!N$2:N$501,$BJ395)="","",INDEX(原始資料!N$2:N$501,$BJ395)))</f>
        <v/>
      </c>
      <c r="M395" s="6">
        <f>IF(OR($BJ395="",12&gt;設定!$B$3),"",IF(INDEX(原始資料!O$2:O$501,$BJ395)="","",INDEX(原始資料!O$2:O$501,$BJ395)))</f>
        <v/>
      </c>
      <c r="N395" s="6">
        <f>IF(OR($BJ395="",13&gt;設定!$B$3),"",IF(INDEX(原始資料!P$2:P$501,$BJ395)="","",INDEX(原始資料!P$2:P$501,$BJ395)))</f>
        <v/>
      </c>
      <c r="O395" s="6">
        <f>IF(OR($BJ395="",14&gt;設定!$B$3),"",IF(INDEX(原始資料!Q$2:Q$501,$BJ395)="","",INDEX(原始資料!Q$2:Q$501,$BJ395)))</f>
        <v/>
      </c>
      <c r="P395" s="6">
        <f>IF(OR($BJ395="",15&gt;設定!$B$3),"",IF(INDEX(原始資料!R$2:R$501,$BJ395)="","",INDEX(原始資料!R$2:R$501,$BJ395)))</f>
        <v/>
      </c>
      <c r="Q395" s="6">
        <f>IF(OR($BJ395="",16&gt;設定!$B$3),"",IF(INDEX(原始資料!S$2:S$501,$BJ395)="","",INDEX(原始資料!S$2:S$501,$BJ395)))</f>
        <v/>
      </c>
      <c r="R395" s="6">
        <f>IF(OR($BJ395="",17&gt;設定!$B$3),"",IF(INDEX(原始資料!T$2:T$501,$BJ395)="","",INDEX(原始資料!T$2:T$501,$BJ395)))</f>
        <v/>
      </c>
      <c r="S395" s="6">
        <f>IF(OR($BJ395="",18&gt;設定!$B$3),"",IF(INDEX(原始資料!U$2:U$501,$BJ395)="","",INDEX(原始資料!U$2:U$501,$BJ395)))</f>
        <v/>
      </c>
      <c r="T395" s="6">
        <f>IF(OR($BJ395="",19&gt;設定!$B$3),"",IF(INDEX(原始資料!V$2:V$501,$BJ395)="","",INDEX(原始資料!V$2:V$501,$BJ395)))</f>
        <v/>
      </c>
      <c r="U395" s="6">
        <f>IF(OR($BJ395="",20&gt;設定!$B$3),"",IF(INDEX(原始資料!W$2:W$501,$BJ395)="","",INDEX(原始資料!W$2:W$501,$BJ395)))</f>
        <v/>
      </c>
      <c r="V395" s="6">
        <f>IF(OR($BJ395="",21&gt;設定!$B$3),"",IF(INDEX(原始資料!X$2:X$501,$BJ395)="","",INDEX(原始資料!X$2:X$501,$BJ395)))</f>
        <v/>
      </c>
      <c r="W395" s="6">
        <f>IF(OR($BJ395="",22&gt;設定!$B$3),"",IF(INDEX(原始資料!Y$2:Y$501,$BJ395)="","",INDEX(原始資料!Y$2:Y$501,$BJ395)))</f>
        <v/>
      </c>
      <c r="X395" s="6">
        <f>IF(OR($BJ395="",23&gt;設定!$B$3),"",IF(INDEX(原始資料!Z$2:Z$501,$BJ395)="","",INDEX(原始資料!Z$2:Z$501,$BJ395)))</f>
        <v/>
      </c>
      <c r="Y395" s="6">
        <f>IF(OR($BJ395="",24&gt;設定!$B$3),"",IF(INDEX(原始資料!AA$2:AA$501,$BJ395)="","",INDEX(原始資料!AA$2:AA$501,$BJ395)))</f>
        <v/>
      </c>
      <c r="Z395" s="6">
        <f>IF(OR($BJ395="",25&gt;設定!$B$3),"",IF(INDEX(原始資料!AB$2:AB$501,$BJ395)="","",INDEX(原始資料!AB$2:AB$501,$BJ395)))</f>
        <v/>
      </c>
      <c r="AA395" s="6">
        <f>IF(OR($BJ395="",26&gt;設定!$B$3),"",IF(INDEX(原始資料!AC$2:AC$501,$BJ395)="","",INDEX(原始資料!AC$2:AC$501,$BJ395)))</f>
        <v/>
      </c>
      <c r="AB395" s="6">
        <f>IF(OR($BJ395="",27&gt;設定!$B$3),"",IF(INDEX(原始資料!AD$2:AD$501,$BJ395)="","",INDEX(原始資料!AD$2:AD$501,$BJ395)))</f>
        <v/>
      </c>
      <c r="AC395" s="6">
        <f>IF(OR($BJ395="",28&gt;設定!$B$3),"",IF(INDEX(原始資料!AE$2:AE$501,$BJ395)="","",INDEX(原始資料!AE$2:AE$501,$BJ395)))</f>
        <v/>
      </c>
      <c r="AD395" s="6">
        <f>IF(OR($BJ395="",29&gt;設定!$B$3),"",IF(INDEX(原始資料!AF$2:AF$501,$BJ395)="","",INDEX(原始資料!AF$2:AF$501,$BJ395)))</f>
        <v/>
      </c>
      <c r="AE395" s="6">
        <f>IF(OR($BJ395="",30&gt;設定!$B$3),"",IF(INDEX(原始資料!AG$2:AG$501,$BJ395)="","",INDEX(原始資料!AG$2:AG$501,$BJ395)))</f>
        <v/>
      </c>
      <c r="AF395" s="6">
        <f>IF(OR($BJ395="",31&gt;設定!$B$3),"",IF(INDEX(原始資料!AH$2:AH$501,$BJ395)="","",INDEX(原始資料!AH$2:AH$501,$BJ395)))</f>
        <v/>
      </c>
      <c r="AG395" s="6">
        <f>IF(OR($BJ395="",32&gt;設定!$B$3),"",IF(INDEX(原始資料!AI$2:AI$501,$BJ395)="","",INDEX(原始資料!AI$2:AI$501,$BJ395)))</f>
        <v/>
      </c>
      <c r="AH395" s="6">
        <f>IF(OR($BJ395="",33&gt;設定!$B$3),"",IF(INDEX(原始資料!AJ$2:AJ$501,$BJ395)="","",INDEX(原始資料!AJ$2:AJ$501,$BJ395)))</f>
        <v/>
      </c>
      <c r="AI395" s="6">
        <f>IF(OR($BJ395="",34&gt;設定!$B$3),"",IF(INDEX(原始資料!AK$2:AK$501,$BJ395)="","",INDEX(原始資料!AK$2:AK$501,$BJ395)))</f>
        <v/>
      </c>
      <c r="AJ395" s="6">
        <f>IF(OR($BJ395="",35&gt;設定!$B$3),"",IF(INDEX(原始資料!AL$2:AL$501,$BJ395)="","",INDEX(原始資料!AL$2:AL$501,$BJ395)))</f>
        <v/>
      </c>
      <c r="AK395" s="6">
        <f>IF(OR($BJ395="",36&gt;設定!$B$3),"",IF(INDEX(原始資料!AM$2:AM$501,$BJ395)="","",INDEX(原始資料!AM$2:AM$501,$BJ395)))</f>
        <v/>
      </c>
      <c r="AL395" s="6">
        <f>IF(OR($BJ395="",37&gt;設定!$B$3),"",IF(INDEX(原始資料!AN$2:AN$501,$BJ395)="","",INDEX(原始資料!AN$2:AN$501,$BJ395)))</f>
        <v/>
      </c>
      <c r="AM395" s="6">
        <f>IF(OR($BJ395="",38&gt;設定!$B$3),"",IF(INDEX(原始資料!AO$2:AO$501,$BJ395)="","",INDEX(原始資料!AO$2:AO$501,$BJ395)))</f>
        <v/>
      </c>
      <c r="AN395" s="6">
        <f>IF(OR($BJ395="",39&gt;設定!$B$3),"",IF(INDEX(原始資料!AP$2:AP$501,$BJ395)="","",INDEX(原始資料!AP$2:AP$501,$BJ395)))</f>
        <v/>
      </c>
      <c r="AO395" s="6">
        <f>IF(OR($BJ395="",40&gt;設定!$B$3),"",IF(INDEX(原始資料!AQ$2:AQ$501,$BJ395)="","",INDEX(原始資料!AQ$2:AQ$501,$BJ395)))</f>
        <v/>
      </c>
      <c r="AP395" s="6">
        <f>IF(OR($BJ395="",41&gt;設定!$B$3),"",IF(INDEX(原始資料!AR$2:AR$501,$BJ395)="","",INDEX(原始資料!AR$2:AR$501,$BJ395)))</f>
        <v/>
      </c>
      <c r="AQ395" s="6">
        <f>IF(OR($BJ395="",42&gt;設定!$B$3),"",IF(INDEX(原始資料!AS$2:AS$501,$BJ395)="","",INDEX(原始資料!AS$2:AS$501,$BJ395)))</f>
        <v/>
      </c>
      <c r="AR395" s="6">
        <f>IF(OR($BJ395="",43&gt;設定!$B$3),"",IF(INDEX(原始資料!AT$2:AT$501,$BJ395)="","",INDEX(原始資料!AT$2:AT$501,$BJ395)))</f>
        <v/>
      </c>
      <c r="AS395" s="6">
        <f>IF(OR($BJ395="",44&gt;設定!$B$3),"",IF(INDEX(原始資料!AU$2:AU$501,$BJ395)="","",INDEX(原始資料!AU$2:AU$501,$BJ395)))</f>
        <v/>
      </c>
      <c r="AT395" s="6">
        <f>IF(OR($BJ395="",45&gt;設定!$B$3),"",IF(INDEX(原始資料!AV$2:AV$501,$BJ395)="","",INDEX(原始資料!AV$2:AV$501,$BJ395)))</f>
        <v/>
      </c>
      <c r="AU395" s="6">
        <f>IF(OR($BJ395="",46&gt;設定!$B$3),"",IF(INDEX(原始資料!AW$2:AW$501,$BJ395)="","",INDEX(原始資料!AW$2:AW$501,$BJ395)))</f>
        <v/>
      </c>
      <c r="AV395" s="6">
        <f>IF(OR($BJ395="",47&gt;設定!$B$3),"",IF(INDEX(原始資料!AX$2:AX$501,$BJ395)="","",INDEX(原始資料!AX$2:AX$501,$BJ395)))</f>
        <v/>
      </c>
      <c r="AW395" s="6">
        <f>IF(OR($BJ395="",48&gt;設定!$B$3),"",IF(INDEX(原始資料!AY$2:AY$501,$BJ395)="","",INDEX(原始資料!AY$2:AY$501,$BJ395)))</f>
        <v/>
      </c>
      <c r="AX395" s="6">
        <f>IF(OR($BJ395="",49&gt;設定!$B$3),"",IF(INDEX(原始資料!AZ$2:AZ$501,$BJ395)="","",INDEX(原始資料!AZ$2:AZ$501,$BJ395)))</f>
        <v/>
      </c>
      <c r="AY395" s="6">
        <f>IF(OR($BJ395="",50&gt;設定!$B$3),"",IF(INDEX(原始資料!BA$2:BA$501,$BJ395)="","",INDEX(原始資料!BA$2:BA$501,$BJ395)))</f>
        <v/>
      </c>
      <c r="AZ395" s="6">
        <f>IF(OR($BJ395="",51&gt;設定!$B$3),"",IF(INDEX(原始資料!BB$2:BB$501,$BJ395)="","",INDEX(原始資料!BB$2:BB$501,$BJ395)))</f>
        <v/>
      </c>
      <c r="BA395" s="6">
        <f>IF(OR($BJ395="",52&gt;設定!$B$3),"",IF(INDEX(原始資料!BC$2:BC$501,$BJ395)="","",INDEX(原始資料!BC$2:BC$501,$BJ395)))</f>
        <v/>
      </c>
      <c r="BB395" s="6">
        <f>IF(OR($BJ395="",53&gt;設定!$B$3),"",IF(INDEX(原始資料!BD$2:BD$501,$BJ395)="","",INDEX(原始資料!BD$2:BD$501,$BJ395)))</f>
        <v/>
      </c>
      <c r="BC395" s="6">
        <f>IF(OR($BJ395="",54&gt;設定!$B$3),"",IF(INDEX(原始資料!BE$2:BE$501,$BJ395)="","",INDEX(原始資料!BE$2:BE$501,$BJ395)))</f>
        <v/>
      </c>
      <c r="BD395" s="6">
        <f>IF(OR($BJ395="",55&gt;設定!$B$3),"",IF(INDEX(原始資料!BF$2:BF$501,$BJ395)="","",INDEX(原始資料!BF$2:BF$501,$BJ395)))</f>
        <v/>
      </c>
      <c r="BE395" s="6">
        <f>IF(OR($BJ395="",56&gt;設定!$B$3),"",IF(INDEX(原始資料!BG$2:BG$501,$BJ395)="","",INDEX(原始資料!BG$2:BG$501,$BJ395)))</f>
        <v/>
      </c>
      <c r="BF395" s="6">
        <f>IF(OR($BJ395="",57&gt;設定!$B$3),"",IF(INDEX(原始資料!BH$2:BH$501,$BJ395)="","",INDEX(原始資料!BH$2:BH$501,$BJ395)))</f>
        <v/>
      </c>
      <c r="BG395" s="6">
        <f>IF(OR($BJ395="",58&gt;設定!$B$3),"",IF(INDEX(原始資料!BI$2:BI$501,$BJ395)="","",INDEX(原始資料!BI$2:BI$501,$BJ395)))</f>
        <v/>
      </c>
      <c r="BH395" s="6">
        <f>IF(OR($BJ395="",59&gt;設定!$B$3),"",IF(INDEX(原始資料!BJ$2:BJ$501,$BJ395)="","",INDEX(原始資料!BJ$2:BJ$501,$BJ395)))</f>
        <v/>
      </c>
      <c r="BI395" s="6">
        <f>IF(OR($BJ395="",60&gt;設定!$B$3),"",IF(INDEX(原始資料!BK$2:BK$501,$BJ395)="","",INDEX(原始資料!BK$2:BK$501,$BJ395)))</f>
        <v/>
      </c>
      <c r="BJ395" s="6">
        <f>IFERROR(MATCH(ROW()-1,判定!$H$2:$H$501,0),"")</f>
        <v/>
      </c>
    </row>
    <row r="396">
      <c r="A396" s="6">
        <f>IF($BJ396="","",INDEX(原始資料!$A$2:$A$501,$BJ396))</f>
        <v/>
      </c>
      <c r="B396" s="6">
        <f>IF(OR($BJ396="",1&gt;設定!$B$3),"",IF(INDEX(原始資料!D$2:D$501,$BJ396)="","",INDEX(原始資料!D$2:D$501,$BJ396)))</f>
        <v/>
      </c>
      <c r="C396" s="6">
        <f>IF(OR($BJ396="",2&gt;設定!$B$3),"",IF(INDEX(原始資料!E$2:E$501,$BJ396)="","",INDEX(原始資料!E$2:E$501,$BJ396)))</f>
        <v/>
      </c>
      <c r="D396" s="6">
        <f>IF(OR($BJ396="",3&gt;設定!$B$3),"",IF(INDEX(原始資料!F$2:F$501,$BJ396)="","",INDEX(原始資料!F$2:F$501,$BJ396)))</f>
        <v/>
      </c>
      <c r="E396" s="6">
        <f>IF(OR($BJ396="",4&gt;設定!$B$3),"",IF(INDEX(原始資料!G$2:G$501,$BJ396)="","",INDEX(原始資料!G$2:G$501,$BJ396)))</f>
        <v/>
      </c>
      <c r="F396" s="6">
        <f>IF(OR($BJ396="",5&gt;設定!$B$3),"",IF(INDEX(原始資料!H$2:H$501,$BJ396)="","",INDEX(原始資料!H$2:H$501,$BJ396)))</f>
        <v/>
      </c>
      <c r="G396" s="6">
        <f>IF(OR($BJ396="",6&gt;設定!$B$3),"",IF(INDEX(原始資料!I$2:I$501,$BJ396)="","",INDEX(原始資料!I$2:I$501,$BJ396)))</f>
        <v/>
      </c>
      <c r="H396" s="6">
        <f>IF(OR($BJ396="",7&gt;設定!$B$3),"",IF(INDEX(原始資料!J$2:J$501,$BJ396)="","",INDEX(原始資料!J$2:J$501,$BJ396)))</f>
        <v/>
      </c>
      <c r="I396" s="6">
        <f>IF(OR($BJ396="",8&gt;設定!$B$3),"",IF(INDEX(原始資料!K$2:K$501,$BJ396)="","",INDEX(原始資料!K$2:K$501,$BJ396)))</f>
        <v/>
      </c>
      <c r="J396" s="6">
        <f>IF(OR($BJ396="",9&gt;設定!$B$3),"",IF(INDEX(原始資料!L$2:L$501,$BJ396)="","",INDEX(原始資料!L$2:L$501,$BJ396)))</f>
        <v/>
      </c>
      <c r="K396" s="6">
        <f>IF(OR($BJ396="",10&gt;設定!$B$3),"",IF(INDEX(原始資料!M$2:M$501,$BJ396)="","",INDEX(原始資料!M$2:M$501,$BJ396)))</f>
        <v/>
      </c>
      <c r="L396" s="6">
        <f>IF(OR($BJ396="",11&gt;設定!$B$3),"",IF(INDEX(原始資料!N$2:N$501,$BJ396)="","",INDEX(原始資料!N$2:N$501,$BJ396)))</f>
        <v/>
      </c>
      <c r="M396" s="6">
        <f>IF(OR($BJ396="",12&gt;設定!$B$3),"",IF(INDEX(原始資料!O$2:O$501,$BJ396)="","",INDEX(原始資料!O$2:O$501,$BJ396)))</f>
        <v/>
      </c>
      <c r="N396" s="6">
        <f>IF(OR($BJ396="",13&gt;設定!$B$3),"",IF(INDEX(原始資料!P$2:P$501,$BJ396)="","",INDEX(原始資料!P$2:P$501,$BJ396)))</f>
        <v/>
      </c>
      <c r="O396" s="6">
        <f>IF(OR($BJ396="",14&gt;設定!$B$3),"",IF(INDEX(原始資料!Q$2:Q$501,$BJ396)="","",INDEX(原始資料!Q$2:Q$501,$BJ396)))</f>
        <v/>
      </c>
      <c r="P396" s="6">
        <f>IF(OR($BJ396="",15&gt;設定!$B$3),"",IF(INDEX(原始資料!R$2:R$501,$BJ396)="","",INDEX(原始資料!R$2:R$501,$BJ396)))</f>
        <v/>
      </c>
      <c r="Q396" s="6">
        <f>IF(OR($BJ396="",16&gt;設定!$B$3),"",IF(INDEX(原始資料!S$2:S$501,$BJ396)="","",INDEX(原始資料!S$2:S$501,$BJ396)))</f>
        <v/>
      </c>
      <c r="R396" s="6">
        <f>IF(OR($BJ396="",17&gt;設定!$B$3),"",IF(INDEX(原始資料!T$2:T$501,$BJ396)="","",INDEX(原始資料!T$2:T$501,$BJ396)))</f>
        <v/>
      </c>
      <c r="S396" s="6">
        <f>IF(OR($BJ396="",18&gt;設定!$B$3),"",IF(INDEX(原始資料!U$2:U$501,$BJ396)="","",INDEX(原始資料!U$2:U$501,$BJ396)))</f>
        <v/>
      </c>
      <c r="T396" s="6">
        <f>IF(OR($BJ396="",19&gt;設定!$B$3),"",IF(INDEX(原始資料!V$2:V$501,$BJ396)="","",INDEX(原始資料!V$2:V$501,$BJ396)))</f>
        <v/>
      </c>
      <c r="U396" s="6">
        <f>IF(OR($BJ396="",20&gt;設定!$B$3),"",IF(INDEX(原始資料!W$2:W$501,$BJ396)="","",INDEX(原始資料!W$2:W$501,$BJ396)))</f>
        <v/>
      </c>
      <c r="V396" s="6">
        <f>IF(OR($BJ396="",21&gt;設定!$B$3),"",IF(INDEX(原始資料!X$2:X$501,$BJ396)="","",INDEX(原始資料!X$2:X$501,$BJ396)))</f>
        <v/>
      </c>
      <c r="W396" s="6">
        <f>IF(OR($BJ396="",22&gt;設定!$B$3),"",IF(INDEX(原始資料!Y$2:Y$501,$BJ396)="","",INDEX(原始資料!Y$2:Y$501,$BJ396)))</f>
        <v/>
      </c>
      <c r="X396" s="6">
        <f>IF(OR($BJ396="",23&gt;設定!$B$3),"",IF(INDEX(原始資料!Z$2:Z$501,$BJ396)="","",INDEX(原始資料!Z$2:Z$501,$BJ396)))</f>
        <v/>
      </c>
      <c r="Y396" s="6">
        <f>IF(OR($BJ396="",24&gt;設定!$B$3),"",IF(INDEX(原始資料!AA$2:AA$501,$BJ396)="","",INDEX(原始資料!AA$2:AA$501,$BJ396)))</f>
        <v/>
      </c>
      <c r="Z396" s="6">
        <f>IF(OR($BJ396="",25&gt;設定!$B$3),"",IF(INDEX(原始資料!AB$2:AB$501,$BJ396)="","",INDEX(原始資料!AB$2:AB$501,$BJ396)))</f>
        <v/>
      </c>
      <c r="AA396" s="6">
        <f>IF(OR($BJ396="",26&gt;設定!$B$3),"",IF(INDEX(原始資料!AC$2:AC$501,$BJ396)="","",INDEX(原始資料!AC$2:AC$501,$BJ396)))</f>
        <v/>
      </c>
      <c r="AB396" s="6">
        <f>IF(OR($BJ396="",27&gt;設定!$B$3),"",IF(INDEX(原始資料!AD$2:AD$501,$BJ396)="","",INDEX(原始資料!AD$2:AD$501,$BJ396)))</f>
        <v/>
      </c>
      <c r="AC396" s="6">
        <f>IF(OR($BJ396="",28&gt;設定!$B$3),"",IF(INDEX(原始資料!AE$2:AE$501,$BJ396)="","",INDEX(原始資料!AE$2:AE$501,$BJ396)))</f>
        <v/>
      </c>
      <c r="AD396" s="6">
        <f>IF(OR($BJ396="",29&gt;設定!$B$3),"",IF(INDEX(原始資料!AF$2:AF$501,$BJ396)="","",INDEX(原始資料!AF$2:AF$501,$BJ396)))</f>
        <v/>
      </c>
      <c r="AE396" s="6">
        <f>IF(OR($BJ396="",30&gt;設定!$B$3),"",IF(INDEX(原始資料!AG$2:AG$501,$BJ396)="","",INDEX(原始資料!AG$2:AG$501,$BJ396)))</f>
        <v/>
      </c>
      <c r="AF396" s="6">
        <f>IF(OR($BJ396="",31&gt;設定!$B$3),"",IF(INDEX(原始資料!AH$2:AH$501,$BJ396)="","",INDEX(原始資料!AH$2:AH$501,$BJ396)))</f>
        <v/>
      </c>
      <c r="AG396" s="6">
        <f>IF(OR($BJ396="",32&gt;設定!$B$3),"",IF(INDEX(原始資料!AI$2:AI$501,$BJ396)="","",INDEX(原始資料!AI$2:AI$501,$BJ396)))</f>
        <v/>
      </c>
      <c r="AH396" s="6">
        <f>IF(OR($BJ396="",33&gt;設定!$B$3),"",IF(INDEX(原始資料!AJ$2:AJ$501,$BJ396)="","",INDEX(原始資料!AJ$2:AJ$501,$BJ396)))</f>
        <v/>
      </c>
      <c r="AI396" s="6">
        <f>IF(OR($BJ396="",34&gt;設定!$B$3),"",IF(INDEX(原始資料!AK$2:AK$501,$BJ396)="","",INDEX(原始資料!AK$2:AK$501,$BJ396)))</f>
        <v/>
      </c>
      <c r="AJ396" s="6">
        <f>IF(OR($BJ396="",35&gt;設定!$B$3),"",IF(INDEX(原始資料!AL$2:AL$501,$BJ396)="","",INDEX(原始資料!AL$2:AL$501,$BJ396)))</f>
        <v/>
      </c>
      <c r="AK396" s="6">
        <f>IF(OR($BJ396="",36&gt;設定!$B$3),"",IF(INDEX(原始資料!AM$2:AM$501,$BJ396)="","",INDEX(原始資料!AM$2:AM$501,$BJ396)))</f>
        <v/>
      </c>
      <c r="AL396" s="6">
        <f>IF(OR($BJ396="",37&gt;設定!$B$3),"",IF(INDEX(原始資料!AN$2:AN$501,$BJ396)="","",INDEX(原始資料!AN$2:AN$501,$BJ396)))</f>
        <v/>
      </c>
      <c r="AM396" s="6">
        <f>IF(OR($BJ396="",38&gt;設定!$B$3),"",IF(INDEX(原始資料!AO$2:AO$501,$BJ396)="","",INDEX(原始資料!AO$2:AO$501,$BJ396)))</f>
        <v/>
      </c>
      <c r="AN396" s="6">
        <f>IF(OR($BJ396="",39&gt;設定!$B$3),"",IF(INDEX(原始資料!AP$2:AP$501,$BJ396)="","",INDEX(原始資料!AP$2:AP$501,$BJ396)))</f>
        <v/>
      </c>
      <c r="AO396" s="6">
        <f>IF(OR($BJ396="",40&gt;設定!$B$3),"",IF(INDEX(原始資料!AQ$2:AQ$501,$BJ396)="","",INDEX(原始資料!AQ$2:AQ$501,$BJ396)))</f>
        <v/>
      </c>
      <c r="AP396" s="6">
        <f>IF(OR($BJ396="",41&gt;設定!$B$3),"",IF(INDEX(原始資料!AR$2:AR$501,$BJ396)="","",INDEX(原始資料!AR$2:AR$501,$BJ396)))</f>
        <v/>
      </c>
      <c r="AQ396" s="6">
        <f>IF(OR($BJ396="",42&gt;設定!$B$3),"",IF(INDEX(原始資料!AS$2:AS$501,$BJ396)="","",INDEX(原始資料!AS$2:AS$501,$BJ396)))</f>
        <v/>
      </c>
      <c r="AR396" s="6">
        <f>IF(OR($BJ396="",43&gt;設定!$B$3),"",IF(INDEX(原始資料!AT$2:AT$501,$BJ396)="","",INDEX(原始資料!AT$2:AT$501,$BJ396)))</f>
        <v/>
      </c>
      <c r="AS396" s="6">
        <f>IF(OR($BJ396="",44&gt;設定!$B$3),"",IF(INDEX(原始資料!AU$2:AU$501,$BJ396)="","",INDEX(原始資料!AU$2:AU$501,$BJ396)))</f>
        <v/>
      </c>
      <c r="AT396" s="6">
        <f>IF(OR($BJ396="",45&gt;設定!$B$3),"",IF(INDEX(原始資料!AV$2:AV$501,$BJ396)="","",INDEX(原始資料!AV$2:AV$501,$BJ396)))</f>
        <v/>
      </c>
      <c r="AU396" s="6">
        <f>IF(OR($BJ396="",46&gt;設定!$B$3),"",IF(INDEX(原始資料!AW$2:AW$501,$BJ396)="","",INDEX(原始資料!AW$2:AW$501,$BJ396)))</f>
        <v/>
      </c>
      <c r="AV396" s="6">
        <f>IF(OR($BJ396="",47&gt;設定!$B$3),"",IF(INDEX(原始資料!AX$2:AX$501,$BJ396)="","",INDEX(原始資料!AX$2:AX$501,$BJ396)))</f>
        <v/>
      </c>
      <c r="AW396" s="6">
        <f>IF(OR($BJ396="",48&gt;設定!$B$3),"",IF(INDEX(原始資料!AY$2:AY$501,$BJ396)="","",INDEX(原始資料!AY$2:AY$501,$BJ396)))</f>
        <v/>
      </c>
      <c r="AX396" s="6">
        <f>IF(OR($BJ396="",49&gt;設定!$B$3),"",IF(INDEX(原始資料!AZ$2:AZ$501,$BJ396)="","",INDEX(原始資料!AZ$2:AZ$501,$BJ396)))</f>
        <v/>
      </c>
      <c r="AY396" s="6">
        <f>IF(OR($BJ396="",50&gt;設定!$B$3),"",IF(INDEX(原始資料!BA$2:BA$501,$BJ396)="","",INDEX(原始資料!BA$2:BA$501,$BJ396)))</f>
        <v/>
      </c>
      <c r="AZ396" s="6">
        <f>IF(OR($BJ396="",51&gt;設定!$B$3),"",IF(INDEX(原始資料!BB$2:BB$501,$BJ396)="","",INDEX(原始資料!BB$2:BB$501,$BJ396)))</f>
        <v/>
      </c>
      <c r="BA396" s="6">
        <f>IF(OR($BJ396="",52&gt;設定!$B$3),"",IF(INDEX(原始資料!BC$2:BC$501,$BJ396)="","",INDEX(原始資料!BC$2:BC$501,$BJ396)))</f>
        <v/>
      </c>
      <c r="BB396" s="6">
        <f>IF(OR($BJ396="",53&gt;設定!$B$3),"",IF(INDEX(原始資料!BD$2:BD$501,$BJ396)="","",INDEX(原始資料!BD$2:BD$501,$BJ396)))</f>
        <v/>
      </c>
      <c r="BC396" s="6">
        <f>IF(OR($BJ396="",54&gt;設定!$B$3),"",IF(INDEX(原始資料!BE$2:BE$501,$BJ396)="","",INDEX(原始資料!BE$2:BE$501,$BJ396)))</f>
        <v/>
      </c>
      <c r="BD396" s="6">
        <f>IF(OR($BJ396="",55&gt;設定!$B$3),"",IF(INDEX(原始資料!BF$2:BF$501,$BJ396)="","",INDEX(原始資料!BF$2:BF$501,$BJ396)))</f>
        <v/>
      </c>
      <c r="BE396" s="6">
        <f>IF(OR($BJ396="",56&gt;設定!$B$3),"",IF(INDEX(原始資料!BG$2:BG$501,$BJ396)="","",INDEX(原始資料!BG$2:BG$501,$BJ396)))</f>
        <v/>
      </c>
      <c r="BF396" s="6">
        <f>IF(OR($BJ396="",57&gt;設定!$B$3),"",IF(INDEX(原始資料!BH$2:BH$501,$BJ396)="","",INDEX(原始資料!BH$2:BH$501,$BJ396)))</f>
        <v/>
      </c>
      <c r="BG396" s="6">
        <f>IF(OR($BJ396="",58&gt;設定!$B$3),"",IF(INDEX(原始資料!BI$2:BI$501,$BJ396)="","",INDEX(原始資料!BI$2:BI$501,$BJ396)))</f>
        <v/>
      </c>
      <c r="BH396" s="6">
        <f>IF(OR($BJ396="",59&gt;設定!$B$3),"",IF(INDEX(原始資料!BJ$2:BJ$501,$BJ396)="","",INDEX(原始資料!BJ$2:BJ$501,$BJ396)))</f>
        <v/>
      </c>
      <c r="BI396" s="6">
        <f>IF(OR($BJ396="",60&gt;設定!$B$3),"",IF(INDEX(原始資料!BK$2:BK$501,$BJ396)="","",INDEX(原始資料!BK$2:BK$501,$BJ396)))</f>
        <v/>
      </c>
      <c r="BJ396" s="6">
        <f>IFERROR(MATCH(ROW()-1,判定!$H$2:$H$501,0),"")</f>
        <v/>
      </c>
    </row>
    <row r="397">
      <c r="A397" s="6">
        <f>IF($BJ397="","",INDEX(原始資料!$A$2:$A$501,$BJ397))</f>
        <v/>
      </c>
      <c r="B397" s="6">
        <f>IF(OR($BJ397="",1&gt;設定!$B$3),"",IF(INDEX(原始資料!D$2:D$501,$BJ397)="","",INDEX(原始資料!D$2:D$501,$BJ397)))</f>
        <v/>
      </c>
      <c r="C397" s="6">
        <f>IF(OR($BJ397="",2&gt;設定!$B$3),"",IF(INDEX(原始資料!E$2:E$501,$BJ397)="","",INDEX(原始資料!E$2:E$501,$BJ397)))</f>
        <v/>
      </c>
      <c r="D397" s="6">
        <f>IF(OR($BJ397="",3&gt;設定!$B$3),"",IF(INDEX(原始資料!F$2:F$501,$BJ397)="","",INDEX(原始資料!F$2:F$501,$BJ397)))</f>
        <v/>
      </c>
      <c r="E397" s="6">
        <f>IF(OR($BJ397="",4&gt;設定!$B$3),"",IF(INDEX(原始資料!G$2:G$501,$BJ397)="","",INDEX(原始資料!G$2:G$501,$BJ397)))</f>
        <v/>
      </c>
      <c r="F397" s="6">
        <f>IF(OR($BJ397="",5&gt;設定!$B$3),"",IF(INDEX(原始資料!H$2:H$501,$BJ397)="","",INDEX(原始資料!H$2:H$501,$BJ397)))</f>
        <v/>
      </c>
      <c r="G397" s="6">
        <f>IF(OR($BJ397="",6&gt;設定!$B$3),"",IF(INDEX(原始資料!I$2:I$501,$BJ397)="","",INDEX(原始資料!I$2:I$501,$BJ397)))</f>
        <v/>
      </c>
      <c r="H397" s="6">
        <f>IF(OR($BJ397="",7&gt;設定!$B$3),"",IF(INDEX(原始資料!J$2:J$501,$BJ397)="","",INDEX(原始資料!J$2:J$501,$BJ397)))</f>
        <v/>
      </c>
      <c r="I397" s="6">
        <f>IF(OR($BJ397="",8&gt;設定!$B$3),"",IF(INDEX(原始資料!K$2:K$501,$BJ397)="","",INDEX(原始資料!K$2:K$501,$BJ397)))</f>
        <v/>
      </c>
      <c r="J397" s="6">
        <f>IF(OR($BJ397="",9&gt;設定!$B$3),"",IF(INDEX(原始資料!L$2:L$501,$BJ397)="","",INDEX(原始資料!L$2:L$501,$BJ397)))</f>
        <v/>
      </c>
      <c r="K397" s="6">
        <f>IF(OR($BJ397="",10&gt;設定!$B$3),"",IF(INDEX(原始資料!M$2:M$501,$BJ397)="","",INDEX(原始資料!M$2:M$501,$BJ397)))</f>
        <v/>
      </c>
      <c r="L397" s="6">
        <f>IF(OR($BJ397="",11&gt;設定!$B$3),"",IF(INDEX(原始資料!N$2:N$501,$BJ397)="","",INDEX(原始資料!N$2:N$501,$BJ397)))</f>
        <v/>
      </c>
      <c r="M397" s="6">
        <f>IF(OR($BJ397="",12&gt;設定!$B$3),"",IF(INDEX(原始資料!O$2:O$501,$BJ397)="","",INDEX(原始資料!O$2:O$501,$BJ397)))</f>
        <v/>
      </c>
      <c r="N397" s="6">
        <f>IF(OR($BJ397="",13&gt;設定!$B$3),"",IF(INDEX(原始資料!P$2:P$501,$BJ397)="","",INDEX(原始資料!P$2:P$501,$BJ397)))</f>
        <v/>
      </c>
      <c r="O397" s="6">
        <f>IF(OR($BJ397="",14&gt;設定!$B$3),"",IF(INDEX(原始資料!Q$2:Q$501,$BJ397)="","",INDEX(原始資料!Q$2:Q$501,$BJ397)))</f>
        <v/>
      </c>
      <c r="P397" s="6">
        <f>IF(OR($BJ397="",15&gt;設定!$B$3),"",IF(INDEX(原始資料!R$2:R$501,$BJ397)="","",INDEX(原始資料!R$2:R$501,$BJ397)))</f>
        <v/>
      </c>
      <c r="Q397" s="6">
        <f>IF(OR($BJ397="",16&gt;設定!$B$3),"",IF(INDEX(原始資料!S$2:S$501,$BJ397)="","",INDEX(原始資料!S$2:S$501,$BJ397)))</f>
        <v/>
      </c>
      <c r="R397" s="6">
        <f>IF(OR($BJ397="",17&gt;設定!$B$3),"",IF(INDEX(原始資料!T$2:T$501,$BJ397)="","",INDEX(原始資料!T$2:T$501,$BJ397)))</f>
        <v/>
      </c>
      <c r="S397" s="6">
        <f>IF(OR($BJ397="",18&gt;設定!$B$3),"",IF(INDEX(原始資料!U$2:U$501,$BJ397)="","",INDEX(原始資料!U$2:U$501,$BJ397)))</f>
        <v/>
      </c>
      <c r="T397" s="6">
        <f>IF(OR($BJ397="",19&gt;設定!$B$3),"",IF(INDEX(原始資料!V$2:V$501,$BJ397)="","",INDEX(原始資料!V$2:V$501,$BJ397)))</f>
        <v/>
      </c>
      <c r="U397" s="6">
        <f>IF(OR($BJ397="",20&gt;設定!$B$3),"",IF(INDEX(原始資料!W$2:W$501,$BJ397)="","",INDEX(原始資料!W$2:W$501,$BJ397)))</f>
        <v/>
      </c>
      <c r="V397" s="6">
        <f>IF(OR($BJ397="",21&gt;設定!$B$3),"",IF(INDEX(原始資料!X$2:X$501,$BJ397)="","",INDEX(原始資料!X$2:X$501,$BJ397)))</f>
        <v/>
      </c>
      <c r="W397" s="6">
        <f>IF(OR($BJ397="",22&gt;設定!$B$3),"",IF(INDEX(原始資料!Y$2:Y$501,$BJ397)="","",INDEX(原始資料!Y$2:Y$501,$BJ397)))</f>
        <v/>
      </c>
      <c r="X397" s="6">
        <f>IF(OR($BJ397="",23&gt;設定!$B$3),"",IF(INDEX(原始資料!Z$2:Z$501,$BJ397)="","",INDEX(原始資料!Z$2:Z$501,$BJ397)))</f>
        <v/>
      </c>
      <c r="Y397" s="6">
        <f>IF(OR($BJ397="",24&gt;設定!$B$3),"",IF(INDEX(原始資料!AA$2:AA$501,$BJ397)="","",INDEX(原始資料!AA$2:AA$501,$BJ397)))</f>
        <v/>
      </c>
      <c r="Z397" s="6">
        <f>IF(OR($BJ397="",25&gt;設定!$B$3),"",IF(INDEX(原始資料!AB$2:AB$501,$BJ397)="","",INDEX(原始資料!AB$2:AB$501,$BJ397)))</f>
        <v/>
      </c>
      <c r="AA397" s="6">
        <f>IF(OR($BJ397="",26&gt;設定!$B$3),"",IF(INDEX(原始資料!AC$2:AC$501,$BJ397)="","",INDEX(原始資料!AC$2:AC$501,$BJ397)))</f>
        <v/>
      </c>
      <c r="AB397" s="6">
        <f>IF(OR($BJ397="",27&gt;設定!$B$3),"",IF(INDEX(原始資料!AD$2:AD$501,$BJ397)="","",INDEX(原始資料!AD$2:AD$501,$BJ397)))</f>
        <v/>
      </c>
      <c r="AC397" s="6">
        <f>IF(OR($BJ397="",28&gt;設定!$B$3),"",IF(INDEX(原始資料!AE$2:AE$501,$BJ397)="","",INDEX(原始資料!AE$2:AE$501,$BJ397)))</f>
        <v/>
      </c>
      <c r="AD397" s="6">
        <f>IF(OR($BJ397="",29&gt;設定!$B$3),"",IF(INDEX(原始資料!AF$2:AF$501,$BJ397)="","",INDEX(原始資料!AF$2:AF$501,$BJ397)))</f>
        <v/>
      </c>
      <c r="AE397" s="6">
        <f>IF(OR($BJ397="",30&gt;設定!$B$3),"",IF(INDEX(原始資料!AG$2:AG$501,$BJ397)="","",INDEX(原始資料!AG$2:AG$501,$BJ397)))</f>
        <v/>
      </c>
      <c r="AF397" s="6">
        <f>IF(OR($BJ397="",31&gt;設定!$B$3),"",IF(INDEX(原始資料!AH$2:AH$501,$BJ397)="","",INDEX(原始資料!AH$2:AH$501,$BJ397)))</f>
        <v/>
      </c>
      <c r="AG397" s="6">
        <f>IF(OR($BJ397="",32&gt;設定!$B$3),"",IF(INDEX(原始資料!AI$2:AI$501,$BJ397)="","",INDEX(原始資料!AI$2:AI$501,$BJ397)))</f>
        <v/>
      </c>
      <c r="AH397" s="6">
        <f>IF(OR($BJ397="",33&gt;設定!$B$3),"",IF(INDEX(原始資料!AJ$2:AJ$501,$BJ397)="","",INDEX(原始資料!AJ$2:AJ$501,$BJ397)))</f>
        <v/>
      </c>
      <c r="AI397" s="6">
        <f>IF(OR($BJ397="",34&gt;設定!$B$3),"",IF(INDEX(原始資料!AK$2:AK$501,$BJ397)="","",INDEX(原始資料!AK$2:AK$501,$BJ397)))</f>
        <v/>
      </c>
      <c r="AJ397" s="6">
        <f>IF(OR($BJ397="",35&gt;設定!$B$3),"",IF(INDEX(原始資料!AL$2:AL$501,$BJ397)="","",INDEX(原始資料!AL$2:AL$501,$BJ397)))</f>
        <v/>
      </c>
      <c r="AK397" s="6">
        <f>IF(OR($BJ397="",36&gt;設定!$B$3),"",IF(INDEX(原始資料!AM$2:AM$501,$BJ397)="","",INDEX(原始資料!AM$2:AM$501,$BJ397)))</f>
        <v/>
      </c>
      <c r="AL397" s="6">
        <f>IF(OR($BJ397="",37&gt;設定!$B$3),"",IF(INDEX(原始資料!AN$2:AN$501,$BJ397)="","",INDEX(原始資料!AN$2:AN$501,$BJ397)))</f>
        <v/>
      </c>
      <c r="AM397" s="6">
        <f>IF(OR($BJ397="",38&gt;設定!$B$3),"",IF(INDEX(原始資料!AO$2:AO$501,$BJ397)="","",INDEX(原始資料!AO$2:AO$501,$BJ397)))</f>
        <v/>
      </c>
      <c r="AN397" s="6">
        <f>IF(OR($BJ397="",39&gt;設定!$B$3),"",IF(INDEX(原始資料!AP$2:AP$501,$BJ397)="","",INDEX(原始資料!AP$2:AP$501,$BJ397)))</f>
        <v/>
      </c>
      <c r="AO397" s="6">
        <f>IF(OR($BJ397="",40&gt;設定!$B$3),"",IF(INDEX(原始資料!AQ$2:AQ$501,$BJ397)="","",INDEX(原始資料!AQ$2:AQ$501,$BJ397)))</f>
        <v/>
      </c>
      <c r="AP397" s="6">
        <f>IF(OR($BJ397="",41&gt;設定!$B$3),"",IF(INDEX(原始資料!AR$2:AR$501,$BJ397)="","",INDEX(原始資料!AR$2:AR$501,$BJ397)))</f>
        <v/>
      </c>
      <c r="AQ397" s="6">
        <f>IF(OR($BJ397="",42&gt;設定!$B$3),"",IF(INDEX(原始資料!AS$2:AS$501,$BJ397)="","",INDEX(原始資料!AS$2:AS$501,$BJ397)))</f>
        <v/>
      </c>
      <c r="AR397" s="6">
        <f>IF(OR($BJ397="",43&gt;設定!$B$3),"",IF(INDEX(原始資料!AT$2:AT$501,$BJ397)="","",INDEX(原始資料!AT$2:AT$501,$BJ397)))</f>
        <v/>
      </c>
      <c r="AS397" s="6">
        <f>IF(OR($BJ397="",44&gt;設定!$B$3),"",IF(INDEX(原始資料!AU$2:AU$501,$BJ397)="","",INDEX(原始資料!AU$2:AU$501,$BJ397)))</f>
        <v/>
      </c>
      <c r="AT397" s="6">
        <f>IF(OR($BJ397="",45&gt;設定!$B$3),"",IF(INDEX(原始資料!AV$2:AV$501,$BJ397)="","",INDEX(原始資料!AV$2:AV$501,$BJ397)))</f>
        <v/>
      </c>
      <c r="AU397" s="6">
        <f>IF(OR($BJ397="",46&gt;設定!$B$3),"",IF(INDEX(原始資料!AW$2:AW$501,$BJ397)="","",INDEX(原始資料!AW$2:AW$501,$BJ397)))</f>
        <v/>
      </c>
      <c r="AV397" s="6">
        <f>IF(OR($BJ397="",47&gt;設定!$B$3),"",IF(INDEX(原始資料!AX$2:AX$501,$BJ397)="","",INDEX(原始資料!AX$2:AX$501,$BJ397)))</f>
        <v/>
      </c>
      <c r="AW397" s="6">
        <f>IF(OR($BJ397="",48&gt;設定!$B$3),"",IF(INDEX(原始資料!AY$2:AY$501,$BJ397)="","",INDEX(原始資料!AY$2:AY$501,$BJ397)))</f>
        <v/>
      </c>
      <c r="AX397" s="6">
        <f>IF(OR($BJ397="",49&gt;設定!$B$3),"",IF(INDEX(原始資料!AZ$2:AZ$501,$BJ397)="","",INDEX(原始資料!AZ$2:AZ$501,$BJ397)))</f>
        <v/>
      </c>
      <c r="AY397" s="6">
        <f>IF(OR($BJ397="",50&gt;設定!$B$3),"",IF(INDEX(原始資料!BA$2:BA$501,$BJ397)="","",INDEX(原始資料!BA$2:BA$501,$BJ397)))</f>
        <v/>
      </c>
      <c r="AZ397" s="6">
        <f>IF(OR($BJ397="",51&gt;設定!$B$3),"",IF(INDEX(原始資料!BB$2:BB$501,$BJ397)="","",INDEX(原始資料!BB$2:BB$501,$BJ397)))</f>
        <v/>
      </c>
      <c r="BA397" s="6">
        <f>IF(OR($BJ397="",52&gt;設定!$B$3),"",IF(INDEX(原始資料!BC$2:BC$501,$BJ397)="","",INDEX(原始資料!BC$2:BC$501,$BJ397)))</f>
        <v/>
      </c>
      <c r="BB397" s="6">
        <f>IF(OR($BJ397="",53&gt;設定!$B$3),"",IF(INDEX(原始資料!BD$2:BD$501,$BJ397)="","",INDEX(原始資料!BD$2:BD$501,$BJ397)))</f>
        <v/>
      </c>
      <c r="BC397" s="6">
        <f>IF(OR($BJ397="",54&gt;設定!$B$3),"",IF(INDEX(原始資料!BE$2:BE$501,$BJ397)="","",INDEX(原始資料!BE$2:BE$501,$BJ397)))</f>
        <v/>
      </c>
      <c r="BD397" s="6">
        <f>IF(OR($BJ397="",55&gt;設定!$B$3),"",IF(INDEX(原始資料!BF$2:BF$501,$BJ397)="","",INDEX(原始資料!BF$2:BF$501,$BJ397)))</f>
        <v/>
      </c>
      <c r="BE397" s="6">
        <f>IF(OR($BJ397="",56&gt;設定!$B$3),"",IF(INDEX(原始資料!BG$2:BG$501,$BJ397)="","",INDEX(原始資料!BG$2:BG$501,$BJ397)))</f>
        <v/>
      </c>
      <c r="BF397" s="6">
        <f>IF(OR($BJ397="",57&gt;設定!$B$3),"",IF(INDEX(原始資料!BH$2:BH$501,$BJ397)="","",INDEX(原始資料!BH$2:BH$501,$BJ397)))</f>
        <v/>
      </c>
      <c r="BG397" s="6">
        <f>IF(OR($BJ397="",58&gt;設定!$B$3),"",IF(INDEX(原始資料!BI$2:BI$501,$BJ397)="","",INDEX(原始資料!BI$2:BI$501,$BJ397)))</f>
        <v/>
      </c>
      <c r="BH397" s="6">
        <f>IF(OR($BJ397="",59&gt;設定!$B$3),"",IF(INDEX(原始資料!BJ$2:BJ$501,$BJ397)="","",INDEX(原始資料!BJ$2:BJ$501,$BJ397)))</f>
        <v/>
      </c>
      <c r="BI397" s="6">
        <f>IF(OR($BJ397="",60&gt;設定!$B$3),"",IF(INDEX(原始資料!BK$2:BK$501,$BJ397)="","",INDEX(原始資料!BK$2:BK$501,$BJ397)))</f>
        <v/>
      </c>
      <c r="BJ397" s="6">
        <f>IFERROR(MATCH(ROW()-1,判定!$H$2:$H$501,0),"")</f>
        <v/>
      </c>
    </row>
    <row r="398">
      <c r="A398" s="6">
        <f>IF($BJ398="","",INDEX(原始資料!$A$2:$A$501,$BJ398))</f>
        <v/>
      </c>
      <c r="B398" s="6">
        <f>IF(OR($BJ398="",1&gt;設定!$B$3),"",IF(INDEX(原始資料!D$2:D$501,$BJ398)="","",INDEX(原始資料!D$2:D$501,$BJ398)))</f>
        <v/>
      </c>
      <c r="C398" s="6">
        <f>IF(OR($BJ398="",2&gt;設定!$B$3),"",IF(INDEX(原始資料!E$2:E$501,$BJ398)="","",INDEX(原始資料!E$2:E$501,$BJ398)))</f>
        <v/>
      </c>
      <c r="D398" s="6">
        <f>IF(OR($BJ398="",3&gt;設定!$B$3),"",IF(INDEX(原始資料!F$2:F$501,$BJ398)="","",INDEX(原始資料!F$2:F$501,$BJ398)))</f>
        <v/>
      </c>
      <c r="E398" s="6">
        <f>IF(OR($BJ398="",4&gt;設定!$B$3),"",IF(INDEX(原始資料!G$2:G$501,$BJ398)="","",INDEX(原始資料!G$2:G$501,$BJ398)))</f>
        <v/>
      </c>
      <c r="F398" s="6">
        <f>IF(OR($BJ398="",5&gt;設定!$B$3),"",IF(INDEX(原始資料!H$2:H$501,$BJ398)="","",INDEX(原始資料!H$2:H$501,$BJ398)))</f>
        <v/>
      </c>
      <c r="G398" s="6">
        <f>IF(OR($BJ398="",6&gt;設定!$B$3),"",IF(INDEX(原始資料!I$2:I$501,$BJ398)="","",INDEX(原始資料!I$2:I$501,$BJ398)))</f>
        <v/>
      </c>
      <c r="H398" s="6">
        <f>IF(OR($BJ398="",7&gt;設定!$B$3),"",IF(INDEX(原始資料!J$2:J$501,$BJ398)="","",INDEX(原始資料!J$2:J$501,$BJ398)))</f>
        <v/>
      </c>
      <c r="I398" s="6">
        <f>IF(OR($BJ398="",8&gt;設定!$B$3),"",IF(INDEX(原始資料!K$2:K$501,$BJ398)="","",INDEX(原始資料!K$2:K$501,$BJ398)))</f>
        <v/>
      </c>
      <c r="J398" s="6">
        <f>IF(OR($BJ398="",9&gt;設定!$B$3),"",IF(INDEX(原始資料!L$2:L$501,$BJ398)="","",INDEX(原始資料!L$2:L$501,$BJ398)))</f>
        <v/>
      </c>
      <c r="K398" s="6">
        <f>IF(OR($BJ398="",10&gt;設定!$B$3),"",IF(INDEX(原始資料!M$2:M$501,$BJ398)="","",INDEX(原始資料!M$2:M$501,$BJ398)))</f>
        <v/>
      </c>
      <c r="L398" s="6">
        <f>IF(OR($BJ398="",11&gt;設定!$B$3),"",IF(INDEX(原始資料!N$2:N$501,$BJ398)="","",INDEX(原始資料!N$2:N$501,$BJ398)))</f>
        <v/>
      </c>
      <c r="M398" s="6">
        <f>IF(OR($BJ398="",12&gt;設定!$B$3),"",IF(INDEX(原始資料!O$2:O$501,$BJ398)="","",INDEX(原始資料!O$2:O$501,$BJ398)))</f>
        <v/>
      </c>
      <c r="N398" s="6">
        <f>IF(OR($BJ398="",13&gt;設定!$B$3),"",IF(INDEX(原始資料!P$2:P$501,$BJ398)="","",INDEX(原始資料!P$2:P$501,$BJ398)))</f>
        <v/>
      </c>
      <c r="O398" s="6">
        <f>IF(OR($BJ398="",14&gt;設定!$B$3),"",IF(INDEX(原始資料!Q$2:Q$501,$BJ398)="","",INDEX(原始資料!Q$2:Q$501,$BJ398)))</f>
        <v/>
      </c>
      <c r="P398" s="6">
        <f>IF(OR($BJ398="",15&gt;設定!$B$3),"",IF(INDEX(原始資料!R$2:R$501,$BJ398)="","",INDEX(原始資料!R$2:R$501,$BJ398)))</f>
        <v/>
      </c>
      <c r="Q398" s="6">
        <f>IF(OR($BJ398="",16&gt;設定!$B$3),"",IF(INDEX(原始資料!S$2:S$501,$BJ398)="","",INDEX(原始資料!S$2:S$501,$BJ398)))</f>
        <v/>
      </c>
      <c r="R398" s="6">
        <f>IF(OR($BJ398="",17&gt;設定!$B$3),"",IF(INDEX(原始資料!T$2:T$501,$BJ398)="","",INDEX(原始資料!T$2:T$501,$BJ398)))</f>
        <v/>
      </c>
      <c r="S398" s="6">
        <f>IF(OR($BJ398="",18&gt;設定!$B$3),"",IF(INDEX(原始資料!U$2:U$501,$BJ398)="","",INDEX(原始資料!U$2:U$501,$BJ398)))</f>
        <v/>
      </c>
      <c r="T398" s="6">
        <f>IF(OR($BJ398="",19&gt;設定!$B$3),"",IF(INDEX(原始資料!V$2:V$501,$BJ398)="","",INDEX(原始資料!V$2:V$501,$BJ398)))</f>
        <v/>
      </c>
      <c r="U398" s="6">
        <f>IF(OR($BJ398="",20&gt;設定!$B$3),"",IF(INDEX(原始資料!W$2:W$501,$BJ398)="","",INDEX(原始資料!W$2:W$501,$BJ398)))</f>
        <v/>
      </c>
      <c r="V398" s="6">
        <f>IF(OR($BJ398="",21&gt;設定!$B$3),"",IF(INDEX(原始資料!X$2:X$501,$BJ398)="","",INDEX(原始資料!X$2:X$501,$BJ398)))</f>
        <v/>
      </c>
      <c r="W398" s="6">
        <f>IF(OR($BJ398="",22&gt;設定!$B$3),"",IF(INDEX(原始資料!Y$2:Y$501,$BJ398)="","",INDEX(原始資料!Y$2:Y$501,$BJ398)))</f>
        <v/>
      </c>
      <c r="X398" s="6">
        <f>IF(OR($BJ398="",23&gt;設定!$B$3),"",IF(INDEX(原始資料!Z$2:Z$501,$BJ398)="","",INDEX(原始資料!Z$2:Z$501,$BJ398)))</f>
        <v/>
      </c>
      <c r="Y398" s="6">
        <f>IF(OR($BJ398="",24&gt;設定!$B$3),"",IF(INDEX(原始資料!AA$2:AA$501,$BJ398)="","",INDEX(原始資料!AA$2:AA$501,$BJ398)))</f>
        <v/>
      </c>
      <c r="Z398" s="6">
        <f>IF(OR($BJ398="",25&gt;設定!$B$3),"",IF(INDEX(原始資料!AB$2:AB$501,$BJ398)="","",INDEX(原始資料!AB$2:AB$501,$BJ398)))</f>
        <v/>
      </c>
      <c r="AA398" s="6">
        <f>IF(OR($BJ398="",26&gt;設定!$B$3),"",IF(INDEX(原始資料!AC$2:AC$501,$BJ398)="","",INDEX(原始資料!AC$2:AC$501,$BJ398)))</f>
        <v/>
      </c>
      <c r="AB398" s="6">
        <f>IF(OR($BJ398="",27&gt;設定!$B$3),"",IF(INDEX(原始資料!AD$2:AD$501,$BJ398)="","",INDEX(原始資料!AD$2:AD$501,$BJ398)))</f>
        <v/>
      </c>
      <c r="AC398" s="6">
        <f>IF(OR($BJ398="",28&gt;設定!$B$3),"",IF(INDEX(原始資料!AE$2:AE$501,$BJ398)="","",INDEX(原始資料!AE$2:AE$501,$BJ398)))</f>
        <v/>
      </c>
      <c r="AD398" s="6">
        <f>IF(OR($BJ398="",29&gt;設定!$B$3),"",IF(INDEX(原始資料!AF$2:AF$501,$BJ398)="","",INDEX(原始資料!AF$2:AF$501,$BJ398)))</f>
        <v/>
      </c>
      <c r="AE398" s="6">
        <f>IF(OR($BJ398="",30&gt;設定!$B$3),"",IF(INDEX(原始資料!AG$2:AG$501,$BJ398)="","",INDEX(原始資料!AG$2:AG$501,$BJ398)))</f>
        <v/>
      </c>
      <c r="AF398" s="6">
        <f>IF(OR($BJ398="",31&gt;設定!$B$3),"",IF(INDEX(原始資料!AH$2:AH$501,$BJ398)="","",INDEX(原始資料!AH$2:AH$501,$BJ398)))</f>
        <v/>
      </c>
      <c r="AG398" s="6">
        <f>IF(OR($BJ398="",32&gt;設定!$B$3),"",IF(INDEX(原始資料!AI$2:AI$501,$BJ398)="","",INDEX(原始資料!AI$2:AI$501,$BJ398)))</f>
        <v/>
      </c>
      <c r="AH398" s="6">
        <f>IF(OR($BJ398="",33&gt;設定!$B$3),"",IF(INDEX(原始資料!AJ$2:AJ$501,$BJ398)="","",INDEX(原始資料!AJ$2:AJ$501,$BJ398)))</f>
        <v/>
      </c>
      <c r="AI398" s="6">
        <f>IF(OR($BJ398="",34&gt;設定!$B$3),"",IF(INDEX(原始資料!AK$2:AK$501,$BJ398)="","",INDEX(原始資料!AK$2:AK$501,$BJ398)))</f>
        <v/>
      </c>
      <c r="AJ398" s="6">
        <f>IF(OR($BJ398="",35&gt;設定!$B$3),"",IF(INDEX(原始資料!AL$2:AL$501,$BJ398)="","",INDEX(原始資料!AL$2:AL$501,$BJ398)))</f>
        <v/>
      </c>
      <c r="AK398" s="6">
        <f>IF(OR($BJ398="",36&gt;設定!$B$3),"",IF(INDEX(原始資料!AM$2:AM$501,$BJ398)="","",INDEX(原始資料!AM$2:AM$501,$BJ398)))</f>
        <v/>
      </c>
      <c r="AL398" s="6">
        <f>IF(OR($BJ398="",37&gt;設定!$B$3),"",IF(INDEX(原始資料!AN$2:AN$501,$BJ398)="","",INDEX(原始資料!AN$2:AN$501,$BJ398)))</f>
        <v/>
      </c>
      <c r="AM398" s="6">
        <f>IF(OR($BJ398="",38&gt;設定!$B$3),"",IF(INDEX(原始資料!AO$2:AO$501,$BJ398)="","",INDEX(原始資料!AO$2:AO$501,$BJ398)))</f>
        <v/>
      </c>
      <c r="AN398" s="6">
        <f>IF(OR($BJ398="",39&gt;設定!$B$3),"",IF(INDEX(原始資料!AP$2:AP$501,$BJ398)="","",INDEX(原始資料!AP$2:AP$501,$BJ398)))</f>
        <v/>
      </c>
      <c r="AO398" s="6">
        <f>IF(OR($BJ398="",40&gt;設定!$B$3),"",IF(INDEX(原始資料!AQ$2:AQ$501,$BJ398)="","",INDEX(原始資料!AQ$2:AQ$501,$BJ398)))</f>
        <v/>
      </c>
      <c r="AP398" s="6">
        <f>IF(OR($BJ398="",41&gt;設定!$B$3),"",IF(INDEX(原始資料!AR$2:AR$501,$BJ398)="","",INDEX(原始資料!AR$2:AR$501,$BJ398)))</f>
        <v/>
      </c>
      <c r="AQ398" s="6">
        <f>IF(OR($BJ398="",42&gt;設定!$B$3),"",IF(INDEX(原始資料!AS$2:AS$501,$BJ398)="","",INDEX(原始資料!AS$2:AS$501,$BJ398)))</f>
        <v/>
      </c>
      <c r="AR398" s="6">
        <f>IF(OR($BJ398="",43&gt;設定!$B$3),"",IF(INDEX(原始資料!AT$2:AT$501,$BJ398)="","",INDEX(原始資料!AT$2:AT$501,$BJ398)))</f>
        <v/>
      </c>
      <c r="AS398" s="6">
        <f>IF(OR($BJ398="",44&gt;設定!$B$3),"",IF(INDEX(原始資料!AU$2:AU$501,$BJ398)="","",INDEX(原始資料!AU$2:AU$501,$BJ398)))</f>
        <v/>
      </c>
      <c r="AT398" s="6">
        <f>IF(OR($BJ398="",45&gt;設定!$B$3),"",IF(INDEX(原始資料!AV$2:AV$501,$BJ398)="","",INDEX(原始資料!AV$2:AV$501,$BJ398)))</f>
        <v/>
      </c>
      <c r="AU398" s="6">
        <f>IF(OR($BJ398="",46&gt;設定!$B$3),"",IF(INDEX(原始資料!AW$2:AW$501,$BJ398)="","",INDEX(原始資料!AW$2:AW$501,$BJ398)))</f>
        <v/>
      </c>
      <c r="AV398" s="6">
        <f>IF(OR($BJ398="",47&gt;設定!$B$3),"",IF(INDEX(原始資料!AX$2:AX$501,$BJ398)="","",INDEX(原始資料!AX$2:AX$501,$BJ398)))</f>
        <v/>
      </c>
      <c r="AW398" s="6">
        <f>IF(OR($BJ398="",48&gt;設定!$B$3),"",IF(INDEX(原始資料!AY$2:AY$501,$BJ398)="","",INDEX(原始資料!AY$2:AY$501,$BJ398)))</f>
        <v/>
      </c>
      <c r="AX398" s="6">
        <f>IF(OR($BJ398="",49&gt;設定!$B$3),"",IF(INDEX(原始資料!AZ$2:AZ$501,$BJ398)="","",INDEX(原始資料!AZ$2:AZ$501,$BJ398)))</f>
        <v/>
      </c>
      <c r="AY398" s="6">
        <f>IF(OR($BJ398="",50&gt;設定!$B$3),"",IF(INDEX(原始資料!BA$2:BA$501,$BJ398)="","",INDEX(原始資料!BA$2:BA$501,$BJ398)))</f>
        <v/>
      </c>
      <c r="AZ398" s="6">
        <f>IF(OR($BJ398="",51&gt;設定!$B$3),"",IF(INDEX(原始資料!BB$2:BB$501,$BJ398)="","",INDEX(原始資料!BB$2:BB$501,$BJ398)))</f>
        <v/>
      </c>
      <c r="BA398" s="6">
        <f>IF(OR($BJ398="",52&gt;設定!$B$3),"",IF(INDEX(原始資料!BC$2:BC$501,$BJ398)="","",INDEX(原始資料!BC$2:BC$501,$BJ398)))</f>
        <v/>
      </c>
      <c r="BB398" s="6">
        <f>IF(OR($BJ398="",53&gt;設定!$B$3),"",IF(INDEX(原始資料!BD$2:BD$501,$BJ398)="","",INDEX(原始資料!BD$2:BD$501,$BJ398)))</f>
        <v/>
      </c>
      <c r="BC398" s="6">
        <f>IF(OR($BJ398="",54&gt;設定!$B$3),"",IF(INDEX(原始資料!BE$2:BE$501,$BJ398)="","",INDEX(原始資料!BE$2:BE$501,$BJ398)))</f>
        <v/>
      </c>
      <c r="BD398" s="6">
        <f>IF(OR($BJ398="",55&gt;設定!$B$3),"",IF(INDEX(原始資料!BF$2:BF$501,$BJ398)="","",INDEX(原始資料!BF$2:BF$501,$BJ398)))</f>
        <v/>
      </c>
      <c r="BE398" s="6">
        <f>IF(OR($BJ398="",56&gt;設定!$B$3),"",IF(INDEX(原始資料!BG$2:BG$501,$BJ398)="","",INDEX(原始資料!BG$2:BG$501,$BJ398)))</f>
        <v/>
      </c>
      <c r="BF398" s="6">
        <f>IF(OR($BJ398="",57&gt;設定!$B$3),"",IF(INDEX(原始資料!BH$2:BH$501,$BJ398)="","",INDEX(原始資料!BH$2:BH$501,$BJ398)))</f>
        <v/>
      </c>
      <c r="BG398" s="6">
        <f>IF(OR($BJ398="",58&gt;設定!$B$3),"",IF(INDEX(原始資料!BI$2:BI$501,$BJ398)="","",INDEX(原始資料!BI$2:BI$501,$BJ398)))</f>
        <v/>
      </c>
      <c r="BH398" s="6">
        <f>IF(OR($BJ398="",59&gt;設定!$B$3),"",IF(INDEX(原始資料!BJ$2:BJ$501,$BJ398)="","",INDEX(原始資料!BJ$2:BJ$501,$BJ398)))</f>
        <v/>
      </c>
      <c r="BI398" s="6">
        <f>IF(OR($BJ398="",60&gt;設定!$B$3),"",IF(INDEX(原始資料!BK$2:BK$501,$BJ398)="","",INDEX(原始資料!BK$2:BK$501,$BJ398)))</f>
        <v/>
      </c>
      <c r="BJ398" s="6">
        <f>IFERROR(MATCH(ROW()-1,判定!$H$2:$H$501,0),"")</f>
        <v/>
      </c>
    </row>
    <row r="399">
      <c r="A399" s="6">
        <f>IF($BJ399="","",INDEX(原始資料!$A$2:$A$501,$BJ399))</f>
        <v/>
      </c>
      <c r="B399" s="6">
        <f>IF(OR($BJ399="",1&gt;設定!$B$3),"",IF(INDEX(原始資料!D$2:D$501,$BJ399)="","",INDEX(原始資料!D$2:D$501,$BJ399)))</f>
        <v/>
      </c>
      <c r="C399" s="6">
        <f>IF(OR($BJ399="",2&gt;設定!$B$3),"",IF(INDEX(原始資料!E$2:E$501,$BJ399)="","",INDEX(原始資料!E$2:E$501,$BJ399)))</f>
        <v/>
      </c>
      <c r="D399" s="6">
        <f>IF(OR($BJ399="",3&gt;設定!$B$3),"",IF(INDEX(原始資料!F$2:F$501,$BJ399)="","",INDEX(原始資料!F$2:F$501,$BJ399)))</f>
        <v/>
      </c>
      <c r="E399" s="6">
        <f>IF(OR($BJ399="",4&gt;設定!$B$3),"",IF(INDEX(原始資料!G$2:G$501,$BJ399)="","",INDEX(原始資料!G$2:G$501,$BJ399)))</f>
        <v/>
      </c>
      <c r="F399" s="6">
        <f>IF(OR($BJ399="",5&gt;設定!$B$3),"",IF(INDEX(原始資料!H$2:H$501,$BJ399)="","",INDEX(原始資料!H$2:H$501,$BJ399)))</f>
        <v/>
      </c>
      <c r="G399" s="6">
        <f>IF(OR($BJ399="",6&gt;設定!$B$3),"",IF(INDEX(原始資料!I$2:I$501,$BJ399)="","",INDEX(原始資料!I$2:I$501,$BJ399)))</f>
        <v/>
      </c>
      <c r="H399" s="6">
        <f>IF(OR($BJ399="",7&gt;設定!$B$3),"",IF(INDEX(原始資料!J$2:J$501,$BJ399)="","",INDEX(原始資料!J$2:J$501,$BJ399)))</f>
        <v/>
      </c>
      <c r="I399" s="6">
        <f>IF(OR($BJ399="",8&gt;設定!$B$3),"",IF(INDEX(原始資料!K$2:K$501,$BJ399)="","",INDEX(原始資料!K$2:K$501,$BJ399)))</f>
        <v/>
      </c>
      <c r="J399" s="6">
        <f>IF(OR($BJ399="",9&gt;設定!$B$3),"",IF(INDEX(原始資料!L$2:L$501,$BJ399)="","",INDEX(原始資料!L$2:L$501,$BJ399)))</f>
        <v/>
      </c>
      <c r="K399" s="6">
        <f>IF(OR($BJ399="",10&gt;設定!$B$3),"",IF(INDEX(原始資料!M$2:M$501,$BJ399)="","",INDEX(原始資料!M$2:M$501,$BJ399)))</f>
        <v/>
      </c>
      <c r="L399" s="6">
        <f>IF(OR($BJ399="",11&gt;設定!$B$3),"",IF(INDEX(原始資料!N$2:N$501,$BJ399)="","",INDEX(原始資料!N$2:N$501,$BJ399)))</f>
        <v/>
      </c>
      <c r="M399" s="6">
        <f>IF(OR($BJ399="",12&gt;設定!$B$3),"",IF(INDEX(原始資料!O$2:O$501,$BJ399)="","",INDEX(原始資料!O$2:O$501,$BJ399)))</f>
        <v/>
      </c>
      <c r="N399" s="6">
        <f>IF(OR($BJ399="",13&gt;設定!$B$3),"",IF(INDEX(原始資料!P$2:P$501,$BJ399)="","",INDEX(原始資料!P$2:P$501,$BJ399)))</f>
        <v/>
      </c>
      <c r="O399" s="6">
        <f>IF(OR($BJ399="",14&gt;設定!$B$3),"",IF(INDEX(原始資料!Q$2:Q$501,$BJ399)="","",INDEX(原始資料!Q$2:Q$501,$BJ399)))</f>
        <v/>
      </c>
      <c r="P399" s="6">
        <f>IF(OR($BJ399="",15&gt;設定!$B$3),"",IF(INDEX(原始資料!R$2:R$501,$BJ399)="","",INDEX(原始資料!R$2:R$501,$BJ399)))</f>
        <v/>
      </c>
      <c r="Q399" s="6">
        <f>IF(OR($BJ399="",16&gt;設定!$B$3),"",IF(INDEX(原始資料!S$2:S$501,$BJ399)="","",INDEX(原始資料!S$2:S$501,$BJ399)))</f>
        <v/>
      </c>
      <c r="R399" s="6">
        <f>IF(OR($BJ399="",17&gt;設定!$B$3),"",IF(INDEX(原始資料!T$2:T$501,$BJ399)="","",INDEX(原始資料!T$2:T$501,$BJ399)))</f>
        <v/>
      </c>
      <c r="S399" s="6">
        <f>IF(OR($BJ399="",18&gt;設定!$B$3),"",IF(INDEX(原始資料!U$2:U$501,$BJ399)="","",INDEX(原始資料!U$2:U$501,$BJ399)))</f>
        <v/>
      </c>
      <c r="T399" s="6">
        <f>IF(OR($BJ399="",19&gt;設定!$B$3),"",IF(INDEX(原始資料!V$2:V$501,$BJ399)="","",INDEX(原始資料!V$2:V$501,$BJ399)))</f>
        <v/>
      </c>
      <c r="U399" s="6">
        <f>IF(OR($BJ399="",20&gt;設定!$B$3),"",IF(INDEX(原始資料!W$2:W$501,$BJ399)="","",INDEX(原始資料!W$2:W$501,$BJ399)))</f>
        <v/>
      </c>
      <c r="V399" s="6">
        <f>IF(OR($BJ399="",21&gt;設定!$B$3),"",IF(INDEX(原始資料!X$2:X$501,$BJ399)="","",INDEX(原始資料!X$2:X$501,$BJ399)))</f>
        <v/>
      </c>
      <c r="W399" s="6">
        <f>IF(OR($BJ399="",22&gt;設定!$B$3),"",IF(INDEX(原始資料!Y$2:Y$501,$BJ399)="","",INDEX(原始資料!Y$2:Y$501,$BJ399)))</f>
        <v/>
      </c>
      <c r="X399" s="6">
        <f>IF(OR($BJ399="",23&gt;設定!$B$3),"",IF(INDEX(原始資料!Z$2:Z$501,$BJ399)="","",INDEX(原始資料!Z$2:Z$501,$BJ399)))</f>
        <v/>
      </c>
      <c r="Y399" s="6">
        <f>IF(OR($BJ399="",24&gt;設定!$B$3),"",IF(INDEX(原始資料!AA$2:AA$501,$BJ399)="","",INDEX(原始資料!AA$2:AA$501,$BJ399)))</f>
        <v/>
      </c>
      <c r="Z399" s="6">
        <f>IF(OR($BJ399="",25&gt;設定!$B$3),"",IF(INDEX(原始資料!AB$2:AB$501,$BJ399)="","",INDEX(原始資料!AB$2:AB$501,$BJ399)))</f>
        <v/>
      </c>
      <c r="AA399" s="6">
        <f>IF(OR($BJ399="",26&gt;設定!$B$3),"",IF(INDEX(原始資料!AC$2:AC$501,$BJ399)="","",INDEX(原始資料!AC$2:AC$501,$BJ399)))</f>
        <v/>
      </c>
      <c r="AB399" s="6">
        <f>IF(OR($BJ399="",27&gt;設定!$B$3),"",IF(INDEX(原始資料!AD$2:AD$501,$BJ399)="","",INDEX(原始資料!AD$2:AD$501,$BJ399)))</f>
        <v/>
      </c>
      <c r="AC399" s="6">
        <f>IF(OR($BJ399="",28&gt;設定!$B$3),"",IF(INDEX(原始資料!AE$2:AE$501,$BJ399)="","",INDEX(原始資料!AE$2:AE$501,$BJ399)))</f>
        <v/>
      </c>
      <c r="AD399" s="6">
        <f>IF(OR($BJ399="",29&gt;設定!$B$3),"",IF(INDEX(原始資料!AF$2:AF$501,$BJ399)="","",INDEX(原始資料!AF$2:AF$501,$BJ399)))</f>
        <v/>
      </c>
      <c r="AE399" s="6">
        <f>IF(OR($BJ399="",30&gt;設定!$B$3),"",IF(INDEX(原始資料!AG$2:AG$501,$BJ399)="","",INDEX(原始資料!AG$2:AG$501,$BJ399)))</f>
        <v/>
      </c>
      <c r="AF399" s="6">
        <f>IF(OR($BJ399="",31&gt;設定!$B$3),"",IF(INDEX(原始資料!AH$2:AH$501,$BJ399)="","",INDEX(原始資料!AH$2:AH$501,$BJ399)))</f>
        <v/>
      </c>
      <c r="AG399" s="6">
        <f>IF(OR($BJ399="",32&gt;設定!$B$3),"",IF(INDEX(原始資料!AI$2:AI$501,$BJ399)="","",INDEX(原始資料!AI$2:AI$501,$BJ399)))</f>
        <v/>
      </c>
      <c r="AH399" s="6">
        <f>IF(OR($BJ399="",33&gt;設定!$B$3),"",IF(INDEX(原始資料!AJ$2:AJ$501,$BJ399)="","",INDEX(原始資料!AJ$2:AJ$501,$BJ399)))</f>
        <v/>
      </c>
      <c r="AI399" s="6">
        <f>IF(OR($BJ399="",34&gt;設定!$B$3),"",IF(INDEX(原始資料!AK$2:AK$501,$BJ399)="","",INDEX(原始資料!AK$2:AK$501,$BJ399)))</f>
        <v/>
      </c>
      <c r="AJ399" s="6">
        <f>IF(OR($BJ399="",35&gt;設定!$B$3),"",IF(INDEX(原始資料!AL$2:AL$501,$BJ399)="","",INDEX(原始資料!AL$2:AL$501,$BJ399)))</f>
        <v/>
      </c>
      <c r="AK399" s="6">
        <f>IF(OR($BJ399="",36&gt;設定!$B$3),"",IF(INDEX(原始資料!AM$2:AM$501,$BJ399)="","",INDEX(原始資料!AM$2:AM$501,$BJ399)))</f>
        <v/>
      </c>
      <c r="AL399" s="6">
        <f>IF(OR($BJ399="",37&gt;設定!$B$3),"",IF(INDEX(原始資料!AN$2:AN$501,$BJ399)="","",INDEX(原始資料!AN$2:AN$501,$BJ399)))</f>
        <v/>
      </c>
      <c r="AM399" s="6">
        <f>IF(OR($BJ399="",38&gt;設定!$B$3),"",IF(INDEX(原始資料!AO$2:AO$501,$BJ399)="","",INDEX(原始資料!AO$2:AO$501,$BJ399)))</f>
        <v/>
      </c>
      <c r="AN399" s="6">
        <f>IF(OR($BJ399="",39&gt;設定!$B$3),"",IF(INDEX(原始資料!AP$2:AP$501,$BJ399)="","",INDEX(原始資料!AP$2:AP$501,$BJ399)))</f>
        <v/>
      </c>
      <c r="AO399" s="6">
        <f>IF(OR($BJ399="",40&gt;設定!$B$3),"",IF(INDEX(原始資料!AQ$2:AQ$501,$BJ399)="","",INDEX(原始資料!AQ$2:AQ$501,$BJ399)))</f>
        <v/>
      </c>
      <c r="AP399" s="6">
        <f>IF(OR($BJ399="",41&gt;設定!$B$3),"",IF(INDEX(原始資料!AR$2:AR$501,$BJ399)="","",INDEX(原始資料!AR$2:AR$501,$BJ399)))</f>
        <v/>
      </c>
      <c r="AQ399" s="6">
        <f>IF(OR($BJ399="",42&gt;設定!$B$3),"",IF(INDEX(原始資料!AS$2:AS$501,$BJ399)="","",INDEX(原始資料!AS$2:AS$501,$BJ399)))</f>
        <v/>
      </c>
      <c r="AR399" s="6">
        <f>IF(OR($BJ399="",43&gt;設定!$B$3),"",IF(INDEX(原始資料!AT$2:AT$501,$BJ399)="","",INDEX(原始資料!AT$2:AT$501,$BJ399)))</f>
        <v/>
      </c>
      <c r="AS399" s="6">
        <f>IF(OR($BJ399="",44&gt;設定!$B$3),"",IF(INDEX(原始資料!AU$2:AU$501,$BJ399)="","",INDEX(原始資料!AU$2:AU$501,$BJ399)))</f>
        <v/>
      </c>
      <c r="AT399" s="6">
        <f>IF(OR($BJ399="",45&gt;設定!$B$3),"",IF(INDEX(原始資料!AV$2:AV$501,$BJ399)="","",INDEX(原始資料!AV$2:AV$501,$BJ399)))</f>
        <v/>
      </c>
      <c r="AU399" s="6">
        <f>IF(OR($BJ399="",46&gt;設定!$B$3),"",IF(INDEX(原始資料!AW$2:AW$501,$BJ399)="","",INDEX(原始資料!AW$2:AW$501,$BJ399)))</f>
        <v/>
      </c>
      <c r="AV399" s="6">
        <f>IF(OR($BJ399="",47&gt;設定!$B$3),"",IF(INDEX(原始資料!AX$2:AX$501,$BJ399)="","",INDEX(原始資料!AX$2:AX$501,$BJ399)))</f>
        <v/>
      </c>
      <c r="AW399" s="6">
        <f>IF(OR($BJ399="",48&gt;設定!$B$3),"",IF(INDEX(原始資料!AY$2:AY$501,$BJ399)="","",INDEX(原始資料!AY$2:AY$501,$BJ399)))</f>
        <v/>
      </c>
      <c r="AX399" s="6">
        <f>IF(OR($BJ399="",49&gt;設定!$B$3),"",IF(INDEX(原始資料!AZ$2:AZ$501,$BJ399)="","",INDEX(原始資料!AZ$2:AZ$501,$BJ399)))</f>
        <v/>
      </c>
      <c r="AY399" s="6">
        <f>IF(OR($BJ399="",50&gt;設定!$B$3),"",IF(INDEX(原始資料!BA$2:BA$501,$BJ399)="","",INDEX(原始資料!BA$2:BA$501,$BJ399)))</f>
        <v/>
      </c>
      <c r="AZ399" s="6">
        <f>IF(OR($BJ399="",51&gt;設定!$B$3),"",IF(INDEX(原始資料!BB$2:BB$501,$BJ399)="","",INDEX(原始資料!BB$2:BB$501,$BJ399)))</f>
        <v/>
      </c>
      <c r="BA399" s="6">
        <f>IF(OR($BJ399="",52&gt;設定!$B$3),"",IF(INDEX(原始資料!BC$2:BC$501,$BJ399)="","",INDEX(原始資料!BC$2:BC$501,$BJ399)))</f>
        <v/>
      </c>
      <c r="BB399" s="6">
        <f>IF(OR($BJ399="",53&gt;設定!$B$3),"",IF(INDEX(原始資料!BD$2:BD$501,$BJ399)="","",INDEX(原始資料!BD$2:BD$501,$BJ399)))</f>
        <v/>
      </c>
      <c r="BC399" s="6">
        <f>IF(OR($BJ399="",54&gt;設定!$B$3),"",IF(INDEX(原始資料!BE$2:BE$501,$BJ399)="","",INDEX(原始資料!BE$2:BE$501,$BJ399)))</f>
        <v/>
      </c>
      <c r="BD399" s="6">
        <f>IF(OR($BJ399="",55&gt;設定!$B$3),"",IF(INDEX(原始資料!BF$2:BF$501,$BJ399)="","",INDEX(原始資料!BF$2:BF$501,$BJ399)))</f>
        <v/>
      </c>
      <c r="BE399" s="6">
        <f>IF(OR($BJ399="",56&gt;設定!$B$3),"",IF(INDEX(原始資料!BG$2:BG$501,$BJ399)="","",INDEX(原始資料!BG$2:BG$501,$BJ399)))</f>
        <v/>
      </c>
      <c r="BF399" s="6">
        <f>IF(OR($BJ399="",57&gt;設定!$B$3),"",IF(INDEX(原始資料!BH$2:BH$501,$BJ399)="","",INDEX(原始資料!BH$2:BH$501,$BJ399)))</f>
        <v/>
      </c>
      <c r="BG399" s="6">
        <f>IF(OR($BJ399="",58&gt;設定!$B$3),"",IF(INDEX(原始資料!BI$2:BI$501,$BJ399)="","",INDEX(原始資料!BI$2:BI$501,$BJ399)))</f>
        <v/>
      </c>
      <c r="BH399" s="6">
        <f>IF(OR($BJ399="",59&gt;設定!$B$3),"",IF(INDEX(原始資料!BJ$2:BJ$501,$BJ399)="","",INDEX(原始資料!BJ$2:BJ$501,$BJ399)))</f>
        <v/>
      </c>
      <c r="BI399" s="6">
        <f>IF(OR($BJ399="",60&gt;設定!$B$3),"",IF(INDEX(原始資料!BK$2:BK$501,$BJ399)="","",INDEX(原始資料!BK$2:BK$501,$BJ399)))</f>
        <v/>
      </c>
      <c r="BJ399" s="6">
        <f>IFERROR(MATCH(ROW()-1,判定!$H$2:$H$501,0),"")</f>
        <v/>
      </c>
    </row>
    <row r="400">
      <c r="A400" s="6">
        <f>IF($BJ400="","",INDEX(原始資料!$A$2:$A$501,$BJ400))</f>
        <v/>
      </c>
      <c r="B400" s="6">
        <f>IF(OR($BJ400="",1&gt;設定!$B$3),"",IF(INDEX(原始資料!D$2:D$501,$BJ400)="","",INDEX(原始資料!D$2:D$501,$BJ400)))</f>
        <v/>
      </c>
      <c r="C400" s="6">
        <f>IF(OR($BJ400="",2&gt;設定!$B$3),"",IF(INDEX(原始資料!E$2:E$501,$BJ400)="","",INDEX(原始資料!E$2:E$501,$BJ400)))</f>
        <v/>
      </c>
      <c r="D400" s="6">
        <f>IF(OR($BJ400="",3&gt;設定!$B$3),"",IF(INDEX(原始資料!F$2:F$501,$BJ400)="","",INDEX(原始資料!F$2:F$501,$BJ400)))</f>
        <v/>
      </c>
      <c r="E400" s="6">
        <f>IF(OR($BJ400="",4&gt;設定!$B$3),"",IF(INDEX(原始資料!G$2:G$501,$BJ400)="","",INDEX(原始資料!G$2:G$501,$BJ400)))</f>
        <v/>
      </c>
      <c r="F400" s="6">
        <f>IF(OR($BJ400="",5&gt;設定!$B$3),"",IF(INDEX(原始資料!H$2:H$501,$BJ400)="","",INDEX(原始資料!H$2:H$501,$BJ400)))</f>
        <v/>
      </c>
      <c r="G400" s="6">
        <f>IF(OR($BJ400="",6&gt;設定!$B$3),"",IF(INDEX(原始資料!I$2:I$501,$BJ400)="","",INDEX(原始資料!I$2:I$501,$BJ400)))</f>
        <v/>
      </c>
      <c r="H400" s="6">
        <f>IF(OR($BJ400="",7&gt;設定!$B$3),"",IF(INDEX(原始資料!J$2:J$501,$BJ400)="","",INDEX(原始資料!J$2:J$501,$BJ400)))</f>
        <v/>
      </c>
      <c r="I400" s="6">
        <f>IF(OR($BJ400="",8&gt;設定!$B$3),"",IF(INDEX(原始資料!K$2:K$501,$BJ400)="","",INDEX(原始資料!K$2:K$501,$BJ400)))</f>
        <v/>
      </c>
      <c r="J400" s="6">
        <f>IF(OR($BJ400="",9&gt;設定!$B$3),"",IF(INDEX(原始資料!L$2:L$501,$BJ400)="","",INDEX(原始資料!L$2:L$501,$BJ400)))</f>
        <v/>
      </c>
      <c r="K400" s="6">
        <f>IF(OR($BJ400="",10&gt;設定!$B$3),"",IF(INDEX(原始資料!M$2:M$501,$BJ400)="","",INDEX(原始資料!M$2:M$501,$BJ400)))</f>
        <v/>
      </c>
      <c r="L400" s="6">
        <f>IF(OR($BJ400="",11&gt;設定!$B$3),"",IF(INDEX(原始資料!N$2:N$501,$BJ400)="","",INDEX(原始資料!N$2:N$501,$BJ400)))</f>
        <v/>
      </c>
      <c r="M400" s="6">
        <f>IF(OR($BJ400="",12&gt;設定!$B$3),"",IF(INDEX(原始資料!O$2:O$501,$BJ400)="","",INDEX(原始資料!O$2:O$501,$BJ400)))</f>
        <v/>
      </c>
      <c r="N400" s="6">
        <f>IF(OR($BJ400="",13&gt;設定!$B$3),"",IF(INDEX(原始資料!P$2:P$501,$BJ400)="","",INDEX(原始資料!P$2:P$501,$BJ400)))</f>
        <v/>
      </c>
      <c r="O400" s="6">
        <f>IF(OR($BJ400="",14&gt;設定!$B$3),"",IF(INDEX(原始資料!Q$2:Q$501,$BJ400)="","",INDEX(原始資料!Q$2:Q$501,$BJ400)))</f>
        <v/>
      </c>
      <c r="P400" s="6">
        <f>IF(OR($BJ400="",15&gt;設定!$B$3),"",IF(INDEX(原始資料!R$2:R$501,$BJ400)="","",INDEX(原始資料!R$2:R$501,$BJ400)))</f>
        <v/>
      </c>
      <c r="Q400" s="6">
        <f>IF(OR($BJ400="",16&gt;設定!$B$3),"",IF(INDEX(原始資料!S$2:S$501,$BJ400)="","",INDEX(原始資料!S$2:S$501,$BJ400)))</f>
        <v/>
      </c>
      <c r="R400" s="6">
        <f>IF(OR($BJ400="",17&gt;設定!$B$3),"",IF(INDEX(原始資料!T$2:T$501,$BJ400)="","",INDEX(原始資料!T$2:T$501,$BJ400)))</f>
        <v/>
      </c>
      <c r="S400" s="6">
        <f>IF(OR($BJ400="",18&gt;設定!$B$3),"",IF(INDEX(原始資料!U$2:U$501,$BJ400)="","",INDEX(原始資料!U$2:U$501,$BJ400)))</f>
        <v/>
      </c>
      <c r="T400" s="6">
        <f>IF(OR($BJ400="",19&gt;設定!$B$3),"",IF(INDEX(原始資料!V$2:V$501,$BJ400)="","",INDEX(原始資料!V$2:V$501,$BJ400)))</f>
        <v/>
      </c>
      <c r="U400" s="6">
        <f>IF(OR($BJ400="",20&gt;設定!$B$3),"",IF(INDEX(原始資料!W$2:W$501,$BJ400)="","",INDEX(原始資料!W$2:W$501,$BJ400)))</f>
        <v/>
      </c>
      <c r="V400" s="6">
        <f>IF(OR($BJ400="",21&gt;設定!$B$3),"",IF(INDEX(原始資料!X$2:X$501,$BJ400)="","",INDEX(原始資料!X$2:X$501,$BJ400)))</f>
        <v/>
      </c>
      <c r="W400" s="6">
        <f>IF(OR($BJ400="",22&gt;設定!$B$3),"",IF(INDEX(原始資料!Y$2:Y$501,$BJ400)="","",INDEX(原始資料!Y$2:Y$501,$BJ400)))</f>
        <v/>
      </c>
      <c r="X400" s="6">
        <f>IF(OR($BJ400="",23&gt;設定!$B$3),"",IF(INDEX(原始資料!Z$2:Z$501,$BJ400)="","",INDEX(原始資料!Z$2:Z$501,$BJ400)))</f>
        <v/>
      </c>
      <c r="Y400" s="6">
        <f>IF(OR($BJ400="",24&gt;設定!$B$3),"",IF(INDEX(原始資料!AA$2:AA$501,$BJ400)="","",INDEX(原始資料!AA$2:AA$501,$BJ400)))</f>
        <v/>
      </c>
      <c r="Z400" s="6">
        <f>IF(OR($BJ400="",25&gt;設定!$B$3),"",IF(INDEX(原始資料!AB$2:AB$501,$BJ400)="","",INDEX(原始資料!AB$2:AB$501,$BJ400)))</f>
        <v/>
      </c>
      <c r="AA400" s="6">
        <f>IF(OR($BJ400="",26&gt;設定!$B$3),"",IF(INDEX(原始資料!AC$2:AC$501,$BJ400)="","",INDEX(原始資料!AC$2:AC$501,$BJ400)))</f>
        <v/>
      </c>
      <c r="AB400" s="6">
        <f>IF(OR($BJ400="",27&gt;設定!$B$3),"",IF(INDEX(原始資料!AD$2:AD$501,$BJ400)="","",INDEX(原始資料!AD$2:AD$501,$BJ400)))</f>
        <v/>
      </c>
      <c r="AC400" s="6">
        <f>IF(OR($BJ400="",28&gt;設定!$B$3),"",IF(INDEX(原始資料!AE$2:AE$501,$BJ400)="","",INDEX(原始資料!AE$2:AE$501,$BJ400)))</f>
        <v/>
      </c>
      <c r="AD400" s="6">
        <f>IF(OR($BJ400="",29&gt;設定!$B$3),"",IF(INDEX(原始資料!AF$2:AF$501,$BJ400)="","",INDEX(原始資料!AF$2:AF$501,$BJ400)))</f>
        <v/>
      </c>
      <c r="AE400" s="6">
        <f>IF(OR($BJ400="",30&gt;設定!$B$3),"",IF(INDEX(原始資料!AG$2:AG$501,$BJ400)="","",INDEX(原始資料!AG$2:AG$501,$BJ400)))</f>
        <v/>
      </c>
      <c r="AF400" s="6">
        <f>IF(OR($BJ400="",31&gt;設定!$B$3),"",IF(INDEX(原始資料!AH$2:AH$501,$BJ400)="","",INDEX(原始資料!AH$2:AH$501,$BJ400)))</f>
        <v/>
      </c>
      <c r="AG400" s="6">
        <f>IF(OR($BJ400="",32&gt;設定!$B$3),"",IF(INDEX(原始資料!AI$2:AI$501,$BJ400)="","",INDEX(原始資料!AI$2:AI$501,$BJ400)))</f>
        <v/>
      </c>
      <c r="AH400" s="6">
        <f>IF(OR($BJ400="",33&gt;設定!$B$3),"",IF(INDEX(原始資料!AJ$2:AJ$501,$BJ400)="","",INDEX(原始資料!AJ$2:AJ$501,$BJ400)))</f>
        <v/>
      </c>
      <c r="AI400" s="6">
        <f>IF(OR($BJ400="",34&gt;設定!$B$3),"",IF(INDEX(原始資料!AK$2:AK$501,$BJ400)="","",INDEX(原始資料!AK$2:AK$501,$BJ400)))</f>
        <v/>
      </c>
      <c r="AJ400" s="6">
        <f>IF(OR($BJ400="",35&gt;設定!$B$3),"",IF(INDEX(原始資料!AL$2:AL$501,$BJ400)="","",INDEX(原始資料!AL$2:AL$501,$BJ400)))</f>
        <v/>
      </c>
      <c r="AK400" s="6">
        <f>IF(OR($BJ400="",36&gt;設定!$B$3),"",IF(INDEX(原始資料!AM$2:AM$501,$BJ400)="","",INDEX(原始資料!AM$2:AM$501,$BJ400)))</f>
        <v/>
      </c>
      <c r="AL400" s="6">
        <f>IF(OR($BJ400="",37&gt;設定!$B$3),"",IF(INDEX(原始資料!AN$2:AN$501,$BJ400)="","",INDEX(原始資料!AN$2:AN$501,$BJ400)))</f>
        <v/>
      </c>
      <c r="AM400" s="6">
        <f>IF(OR($BJ400="",38&gt;設定!$B$3),"",IF(INDEX(原始資料!AO$2:AO$501,$BJ400)="","",INDEX(原始資料!AO$2:AO$501,$BJ400)))</f>
        <v/>
      </c>
      <c r="AN400" s="6">
        <f>IF(OR($BJ400="",39&gt;設定!$B$3),"",IF(INDEX(原始資料!AP$2:AP$501,$BJ400)="","",INDEX(原始資料!AP$2:AP$501,$BJ400)))</f>
        <v/>
      </c>
      <c r="AO400" s="6">
        <f>IF(OR($BJ400="",40&gt;設定!$B$3),"",IF(INDEX(原始資料!AQ$2:AQ$501,$BJ400)="","",INDEX(原始資料!AQ$2:AQ$501,$BJ400)))</f>
        <v/>
      </c>
      <c r="AP400" s="6">
        <f>IF(OR($BJ400="",41&gt;設定!$B$3),"",IF(INDEX(原始資料!AR$2:AR$501,$BJ400)="","",INDEX(原始資料!AR$2:AR$501,$BJ400)))</f>
        <v/>
      </c>
      <c r="AQ400" s="6">
        <f>IF(OR($BJ400="",42&gt;設定!$B$3),"",IF(INDEX(原始資料!AS$2:AS$501,$BJ400)="","",INDEX(原始資料!AS$2:AS$501,$BJ400)))</f>
        <v/>
      </c>
      <c r="AR400" s="6">
        <f>IF(OR($BJ400="",43&gt;設定!$B$3),"",IF(INDEX(原始資料!AT$2:AT$501,$BJ400)="","",INDEX(原始資料!AT$2:AT$501,$BJ400)))</f>
        <v/>
      </c>
      <c r="AS400" s="6">
        <f>IF(OR($BJ400="",44&gt;設定!$B$3),"",IF(INDEX(原始資料!AU$2:AU$501,$BJ400)="","",INDEX(原始資料!AU$2:AU$501,$BJ400)))</f>
        <v/>
      </c>
      <c r="AT400" s="6">
        <f>IF(OR($BJ400="",45&gt;設定!$B$3),"",IF(INDEX(原始資料!AV$2:AV$501,$BJ400)="","",INDEX(原始資料!AV$2:AV$501,$BJ400)))</f>
        <v/>
      </c>
      <c r="AU400" s="6">
        <f>IF(OR($BJ400="",46&gt;設定!$B$3),"",IF(INDEX(原始資料!AW$2:AW$501,$BJ400)="","",INDEX(原始資料!AW$2:AW$501,$BJ400)))</f>
        <v/>
      </c>
      <c r="AV400" s="6">
        <f>IF(OR($BJ400="",47&gt;設定!$B$3),"",IF(INDEX(原始資料!AX$2:AX$501,$BJ400)="","",INDEX(原始資料!AX$2:AX$501,$BJ400)))</f>
        <v/>
      </c>
      <c r="AW400" s="6">
        <f>IF(OR($BJ400="",48&gt;設定!$B$3),"",IF(INDEX(原始資料!AY$2:AY$501,$BJ400)="","",INDEX(原始資料!AY$2:AY$501,$BJ400)))</f>
        <v/>
      </c>
      <c r="AX400" s="6">
        <f>IF(OR($BJ400="",49&gt;設定!$B$3),"",IF(INDEX(原始資料!AZ$2:AZ$501,$BJ400)="","",INDEX(原始資料!AZ$2:AZ$501,$BJ400)))</f>
        <v/>
      </c>
      <c r="AY400" s="6">
        <f>IF(OR($BJ400="",50&gt;設定!$B$3),"",IF(INDEX(原始資料!BA$2:BA$501,$BJ400)="","",INDEX(原始資料!BA$2:BA$501,$BJ400)))</f>
        <v/>
      </c>
      <c r="AZ400" s="6">
        <f>IF(OR($BJ400="",51&gt;設定!$B$3),"",IF(INDEX(原始資料!BB$2:BB$501,$BJ400)="","",INDEX(原始資料!BB$2:BB$501,$BJ400)))</f>
        <v/>
      </c>
      <c r="BA400" s="6">
        <f>IF(OR($BJ400="",52&gt;設定!$B$3),"",IF(INDEX(原始資料!BC$2:BC$501,$BJ400)="","",INDEX(原始資料!BC$2:BC$501,$BJ400)))</f>
        <v/>
      </c>
      <c r="BB400" s="6">
        <f>IF(OR($BJ400="",53&gt;設定!$B$3),"",IF(INDEX(原始資料!BD$2:BD$501,$BJ400)="","",INDEX(原始資料!BD$2:BD$501,$BJ400)))</f>
        <v/>
      </c>
      <c r="BC400" s="6">
        <f>IF(OR($BJ400="",54&gt;設定!$B$3),"",IF(INDEX(原始資料!BE$2:BE$501,$BJ400)="","",INDEX(原始資料!BE$2:BE$501,$BJ400)))</f>
        <v/>
      </c>
      <c r="BD400" s="6">
        <f>IF(OR($BJ400="",55&gt;設定!$B$3),"",IF(INDEX(原始資料!BF$2:BF$501,$BJ400)="","",INDEX(原始資料!BF$2:BF$501,$BJ400)))</f>
        <v/>
      </c>
      <c r="BE400" s="6">
        <f>IF(OR($BJ400="",56&gt;設定!$B$3),"",IF(INDEX(原始資料!BG$2:BG$501,$BJ400)="","",INDEX(原始資料!BG$2:BG$501,$BJ400)))</f>
        <v/>
      </c>
      <c r="BF400" s="6">
        <f>IF(OR($BJ400="",57&gt;設定!$B$3),"",IF(INDEX(原始資料!BH$2:BH$501,$BJ400)="","",INDEX(原始資料!BH$2:BH$501,$BJ400)))</f>
        <v/>
      </c>
      <c r="BG400" s="6">
        <f>IF(OR($BJ400="",58&gt;設定!$B$3),"",IF(INDEX(原始資料!BI$2:BI$501,$BJ400)="","",INDEX(原始資料!BI$2:BI$501,$BJ400)))</f>
        <v/>
      </c>
      <c r="BH400" s="6">
        <f>IF(OR($BJ400="",59&gt;設定!$B$3),"",IF(INDEX(原始資料!BJ$2:BJ$501,$BJ400)="","",INDEX(原始資料!BJ$2:BJ$501,$BJ400)))</f>
        <v/>
      </c>
      <c r="BI400" s="6">
        <f>IF(OR($BJ400="",60&gt;設定!$B$3),"",IF(INDEX(原始資料!BK$2:BK$501,$BJ400)="","",INDEX(原始資料!BK$2:BK$501,$BJ400)))</f>
        <v/>
      </c>
      <c r="BJ400" s="6">
        <f>IFERROR(MATCH(ROW()-1,判定!$H$2:$H$501,0),"")</f>
        <v/>
      </c>
    </row>
    <row r="401">
      <c r="A401" s="6">
        <f>IF($BJ401="","",INDEX(原始資料!$A$2:$A$501,$BJ401))</f>
        <v/>
      </c>
      <c r="B401" s="6">
        <f>IF(OR($BJ401="",1&gt;設定!$B$3),"",IF(INDEX(原始資料!D$2:D$501,$BJ401)="","",INDEX(原始資料!D$2:D$501,$BJ401)))</f>
        <v/>
      </c>
      <c r="C401" s="6">
        <f>IF(OR($BJ401="",2&gt;設定!$B$3),"",IF(INDEX(原始資料!E$2:E$501,$BJ401)="","",INDEX(原始資料!E$2:E$501,$BJ401)))</f>
        <v/>
      </c>
      <c r="D401" s="6">
        <f>IF(OR($BJ401="",3&gt;設定!$B$3),"",IF(INDEX(原始資料!F$2:F$501,$BJ401)="","",INDEX(原始資料!F$2:F$501,$BJ401)))</f>
        <v/>
      </c>
      <c r="E401" s="6">
        <f>IF(OR($BJ401="",4&gt;設定!$B$3),"",IF(INDEX(原始資料!G$2:G$501,$BJ401)="","",INDEX(原始資料!G$2:G$501,$BJ401)))</f>
        <v/>
      </c>
      <c r="F401" s="6">
        <f>IF(OR($BJ401="",5&gt;設定!$B$3),"",IF(INDEX(原始資料!H$2:H$501,$BJ401)="","",INDEX(原始資料!H$2:H$501,$BJ401)))</f>
        <v/>
      </c>
      <c r="G401" s="6">
        <f>IF(OR($BJ401="",6&gt;設定!$B$3),"",IF(INDEX(原始資料!I$2:I$501,$BJ401)="","",INDEX(原始資料!I$2:I$501,$BJ401)))</f>
        <v/>
      </c>
      <c r="H401" s="6">
        <f>IF(OR($BJ401="",7&gt;設定!$B$3),"",IF(INDEX(原始資料!J$2:J$501,$BJ401)="","",INDEX(原始資料!J$2:J$501,$BJ401)))</f>
        <v/>
      </c>
      <c r="I401" s="6">
        <f>IF(OR($BJ401="",8&gt;設定!$B$3),"",IF(INDEX(原始資料!K$2:K$501,$BJ401)="","",INDEX(原始資料!K$2:K$501,$BJ401)))</f>
        <v/>
      </c>
      <c r="J401" s="6">
        <f>IF(OR($BJ401="",9&gt;設定!$B$3),"",IF(INDEX(原始資料!L$2:L$501,$BJ401)="","",INDEX(原始資料!L$2:L$501,$BJ401)))</f>
        <v/>
      </c>
      <c r="K401" s="6">
        <f>IF(OR($BJ401="",10&gt;設定!$B$3),"",IF(INDEX(原始資料!M$2:M$501,$BJ401)="","",INDEX(原始資料!M$2:M$501,$BJ401)))</f>
        <v/>
      </c>
      <c r="L401" s="6">
        <f>IF(OR($BJ401="",11&gt;設定!$B$3),"",IF(INDEX(原始資料!N$2:N$501,$BJ401)="","",INDEX(原始資料!N$2:N$501,$BJ401)))</f>
        <v/>
      </c>
      <c r="M401" s="6">
        <f>IF(OR($BJ401="",12&gt;設定!$B$3),"",IF(INDEX(原始資料!O$2:O$501,$BJ401)="","",INDEX(原始資料!O$2:O$501,$BJ401)))</f>
        <v/>
      </c>
      <c r="N401" s="6">
        <f>IF(OR($BJ401="",13&gt;設定!$B$3),"",IF(INDEX(原始資料!P$2:P$501,$BJ401)="","",INDEX(原始資料!P$2:P$501,$BJ401)))</f>
        <v/>
      </c>
      <c r="O401" s="6">
        <f>IF(OR($BJ401="",14&gt;設定!$B$3),"",IF(INDEX(原始資料!Q$2:Q$501,$BJ401)="","",INDEX(原始資料!Q$2:Q$501,$BJ401)))</f>
        <v/>
      </c>
      <c r="P401" s="6">
        <f>IF(OR($BJ401="",15&gt;設定!$B$3),"",IF(INDEX(原始資料!R$2:R$501,$BJ401)="","",INDEX(原始資料!R$2:R$501,$BJ401)))</f>
        <v/>
      </c>
      <c r="Q401" s="6">
        <f>IF(OR($BJ401="",16&gt;設定!$B$3),"",IF(INDEX(原始資料!S$2:S$501,$BJ401)="","",INDEX(原始資料!S$2:S$501,$BJ401)))</f>
        <v/>
      </c>
      <c r="R401" s="6">
        <f>IF(OR($BJ401="",17&gt;設定!$B$3),"",IF(INDEX(原始資料!T$2:T$501,$BJ401)="","",INDEX(原始資料!T$2:T$501,$BJ401)))</f>
        <v/>
      </c>
      <c r="S401" s="6">
        <f>IF(OR($BJ401="",18&gt;設定!$B$3),"",IF(INDEX(原始資料!U$2:U$501,$BJ401)="","",INDEX(原始資料!U$2:U$501,$BJ401)))</f>
        <v/>
      </c>
      <c r="T401" s="6">
        <f>IF(OR($BJ401="",19&gt;設定!$B$3),"",IF(INDEX(原始資料!V$2:V$501,$BJ401)="","",INDEX(原始資料!V$2:V$501,$BJ401)))</f>
        <v/>
      </c>
      <c r="U401" s="6">
        <f>IF(OR($BJ401="",20&gt;設定!$B$3),"",IF(INDEX(原始資料!W$2:W$501,$BJ401)="","",INDEX(原始資料!W$2:W$501,$BJ401)))</f>
        <v/>
      </c>
      <c r="V401" s="6">
        <f>IF(OR($BJ401="",21&gt;設定!$B$3),"",IF(INDEX(原始資料!X$2:X$501,$BJ401)="","",INDEX(原始資料!X$2:X$501,$BJ401)))</f>
        <v/>
      </c>
      <c r="W401" s="6">
        <f>IF(OR($BJ401="",22&gt;設定!$B$3),"",IF(INDEX(原始資料!Y$2:Y$501,$BJ401)="","",INDEX(原始資料!Y$2:Y$501,$BJ401)))</f>
        <v/>
      </c>
      <c r="X401" s="6">
        <f>IF(OR($BJ401="",23&gt;設定!$B$3),"",IF(INDEX(原始資料!Z$2:Z$501,$BJ401)="","",INDEX(原始資料!Z$2:Z$501,$BJ401)))</f>
        <v/>
      </c>
      <c r="Y401" s="6">
        <f>IF(OR($BJ401="",24&gt;設定!$B$3),"",IF(INDEX(原始資料!AA$2:AA$501,$BJ401)="","",INDEX(原始資料!AA$2:AA$501,$BJ401)))</f>
        <v/>
      </c>
      <c r="Z401" s="6">
        <f>IF(OR($BJ401="",25&gt;設定!$B$3),"",IF(INDEX(原始資料!AB$2:AB$501,$BJ401)="","",INDEX(原始資料!AB$2:AB$501,$BJ401)))</f>
        <v/>
      </c>
      <c r="AA401" s="6">
        <f>IF(OR($BJ401="",26&gt;設定!$B$3),"",IF(INDEX(原始資料!AC$2:AC$501,$BJ401)="","",INDEX(原始資料!AC$2:AC$501,$BJ401)))</f>
        <v/>
      </c>
      <c r="AB401" s="6">
        <f>IF(OR($BJ401="",27&gt;設定!$B$3),"",IF(INDEX(原始資料!AD$2:AD$501,$BJ401)="","",INDEX(原始資料!AD$2:AD$501,$BJ401)))</f>
        <v/>
      </c>
      <c r="AC401" s="6">
        <f>IF(OR($BJ401="",28&gt;設定!$B$3),"",IF(INDEX(原始資料!AE$2:AE$501,$BJ401)="","",INDEX(原始資料!AE$2:AE$501,$BJ401)))</f>
        <v/>
      </c>
      <c r="AD401" s="6">
        <f>IF(OR($BJ401="",29&gt;設定!$B$3),"",IF(INDEX(原始資料!AF$2:AF$501,$BJ401)="","",INDEX(原始資料!AF$2:AF$501,$BJ401)))</f>
        <v/>
      </c>
      <c r="AE401" s="6">
        <f>IF(OR($BJ401="",30&gt;設定!$B$3),"",IF(INDEX(原始資料!AG$2:AG$501,$BJ401)="","",INDEX(原始資料!AG$2:AG$501,$BJ401)))</f>
        <v/>
      </c>
      <c r="AF401" s="6">
        <f>IF(OR($BJ401="",31&gt;設定!$B$3),"",IF(INDEX(原始資料!AH$2:AH$501,$BJ401)="","",INDEX(原始資料!AH$2:AH$501,$BJ401)))</f>
        <v/>
      </c>
      <c r="AG401" s="6">
        <f>IF(OR($BJ401="",32&gt;設定!$B$3),"",IF(INDEX(原始資料!AI$2:AI$501,$BJ401)="","",INDEX(原始資料!AI$2:AI$501,$BJ401)))</f>
        <v/>
      </c>
      <c r="AH401" s="6">
        <f>IF(OR($BJ401="",33&gt;設定!$B$3),"",IF(INDEX(原始資料!AJ$2:AJ$501,$BJ401)="","",INDEX(原始資料!AJ$2:AJ$501,$BJ401)))</f>
        <v/>
      </c>
      <c r="AI401" s="6">
        <f>IF(OR($BJ401="",34&gt;設定!$B$3),"",IF(INDEX(原始資料!AK$2:AK$501,$BJ401)="","",INDEX(原始資料!AK$2:AK$501,$BJ401)))</f>
        <v/>
      </c>
      <c r="AJ401" s="6">
        <f>IF(OR($BJ401="",35&gt;設定!$B$3),"",IF(INDEX(原始資料!AL$2:AL$501,$BJ401)="","",INDEX(原始資料!AL$2:AL$501,$BJ401)))</f>
        <v/>
      </c>
      <c r="AK401" s="6">
        <f>IF(OR($BJ401="",36&gt;設定!$B$3),"",IF(INDEX(原始資料!AM$2:AM$501,$BJ401)="","",INDEX(原始資料!AM$2:AM$501,$BJ401)))</f>
        <v/>
      </c>
      <c r="AL401" s="6">
        <f>IF(OR($BJ401="",37&gt;設定!$B$3),"",IF(INDEX(原始資料!AN$2:AN$501,$BJ401)="","",INDEX(原始資料!AN$2:AN$501,$BJ401)))</f>
        <v/>
      </c>
      <c r="AM401" s="6">
        <f>IF(OR($BJ401="",38&gt;設定!$B$3),"",IF(INDEX(原始資料!AO$2:AO$501,$BJ401)="","",INDEX(原始資料!AO$2:AO$501,$BJ401)))</f>
        <v/>
      </c>
      <c r="AN401" s="6">
        <f>IF(OR($BJ401="",39&gt;設定!$B$3),"",IF(INDEX(原始資料!AP$2:AP$501,$BJ401)="","",INDEX(原始資料!AP$2:AP$501,$BJ401)))</f>
        <v/>
      </c>
      <c r="AO401" s="6">
        <f>IF(OR($BJ401="",40&gt;設定!$B$3),"",IF(INDEX(原始資料!AQ$2:AQ$501,$BJ401)="","",INDEX(原始資料!AQ$2:AQ$501,$BJ401)))</f>
        <v/>
      </c>
      <c r="AP401" s="6">
        <f>IF(OR($BJ401="",41&gt;設定!$B$3),"",IF(INDEX(原始資料!AR$2:AR$501,$BJ401)="","",INDEX(原始資料!AR$2:AR$501,$BJ401)))</f>
        <v/>
      </c>
      <c r="AQ401" s="6">
        <f>IF(OR($BJ401="",42&gt;設定!$B$3),"",IF(INDEX(原始資料!AS$2:AS$501,$BJ401)="","",INDEX(原始資料!AS$2:AS$501,$BJ401)))</f>
        <v/>
      </c>
      <c r="AR401" s="6">
        <f>IF(OR($BJ401="",43&gt;設定!$B$3),"",IF(INDEX(原始資料!AT$2:AT$501,$BJ401)="","",INDEX(原始資料!AT$2:AT$501,$BJ401)))</f>
        <v/>
      </c>
      <c r="AS401" s="6">
        <f>IF(OR($BJ401="",44&gt;設定!$B$3),"",IF(INDEX(原始資料!AU$2:AU$501,$BJ401)="","",INDEX(原始資料!AU$2:AU$501,$BJ401)))</f>
        <v/>
      </c>
      <c r="AT401" s="6">
        <f>IF(OR($BJ401="",45&gt;設定!$B$3),"",IF(INDEX(原始資料!AV$2:AV$501,$BJ401)="","",INDEX(原始資料!AV$2:AV$501,$BJ401)))</f>
        <v/>
      </c>
      <c r="AU401" s="6">
        <f>IF(OR($BJ401="",46&gt;設定!$B$3),"",IF(INDEX(原始資料!AW$2:AW$501,$BJ401)="","",INDEX(原始資料!AW$2:AW$501,$BJ401)))</f>
        <v/>
      </c>
      <c r="AV401" s="6">
        <f>IF(OR($BJ401="",47&gt;設定!$B$3),"",IF(INDEX(原始資料!AX$2:AX$501,$BJ401)="","",INDEX(原始資料!AX$2:AX$501,$BJ401)))</f>
        <v/>
      </c>
      <c r="AW401" s="6">
        <f>IF(OR($BJ401="",48&gt;設定!$B$3),"",IF(INDEX(原始資料!AY$2:AY$501,$BJ401)="","",INDEX(原始資料!AY$2:AY$501,$BJ401)))</f>
        <v/>
      </c>
      <c r="AX401" s="6">
        <f>IF(OR($BJ401="",49&gt;設定!$B$3),"",IF(INDEX(原始資料!AZ$2:AZ$501,$BJ401)="","",INDEX(原始資料!AZ$2:AZ$501,$BJ401)))</f>
        <v/>
      </c>
      <c r="AY401" s="6">
        <f>IF(OR($BJ401="",50&gt;設定!$B$3),"",IF(INDEX(原始資料!BA$2:BA$501,$BJ401)="","",INDEX(原始資料!BA$2:BA$501,$BJ401)))</f>
        <v/>
      </c>
      <c r="AZ401" s="6">
        <f>IF(OR($BJ401="",51&gt;設定!$B$3),"",IF(INDEX(原始資料!BB$2:BB$501,$BJ401)="","",INDEX(原始資料!BB$2:BB$501,$BJ401)))</f>
        <v/>
      </c>
      <c r="BA401" s="6">
        <f>IF(OR($BJ401="",52&gt;設定!$B$3),"",IF(INDEX(原始資料!BC$2:BC$501,$BJ401)="","",INDEX(原始資料!BC$2:BC$501,$BJ401)))</f>
        <v/>
      </c>
      <c r="BB401" s="6">
        <f>IF(OR($BJ401="",53&gt;設定!$B$3),"",IF(INDEX(原始資料!BD$2:BD$501,$BJ401)="","",INDEX(原始資料!BD$2:BD$501,$BJ401)))</f>
        <v/>
      </c>
      <c r="BC401" s="6">
        <f>IF(OR($BJ401="",54&gt;設定!$B$3),"",IF(INDEX(原始資料!BE$2:BE$501,$BJ401)="","",INDEX(原始資料!BE$2:BE$501,$BJ401)))</f>
        <v/>
      </c>
      <c r="BD401" s="6">
        <f>IF(OR($BJ401="",55&gt;設定!$B$3),"",IF(INDEX(原始資料!BF$2:BF$501,$BJ401)="","",INDEX(原始資料!BF$2:BF$501,$BJ401)))</f>
        <v/>
      </c>
      <c r="BE401" s="6">
        <f>IF(OR($BJ401="",56&gt;設定!$B$3),"",IF(INDEX(原始資料!BG$2:BG$501,$BJ401)="","",INDEX(原始資料!BG$2:BG$501,$BJ401)))</f>
        <v/>
      </c>
      <c r="BF401" s="6">
        <f>IF(OR($BJ401="",57&gt;設定!$B$3),"",IF(INDEX(原始資料!BH$2:BH$501,$BJ401)="","",INDEX(原始資料!BH$2:BH$501,$BJ401)))</f>
        <v/>
      </c>
      <c r="BG401" s="6">
        <f>IF(OR($BJ401="",58&gt;設定!$B$3),"",IF(INDEX(原始資料!BI$2:BI$501,$BJ401)="","",INDEX(原始資料!BI$2:BI$501,$BJ401)))</f>
        <v/>
      </c>
      <c r="BH401" s="6">
        <f>IF(OR($BJ401="",59&gt;設定!$B$3),"",IF(INDEX(原始資料!BJ$2:BJ$501,$BJ401)="","",INDEX(原始資料!BJ$2:BJ$501,$BJ401)))</f>
        <v/>
      </c>
      <c r="BI401" s="6">
        <f>IF(OR($BJ401="",60&gt;設定!$B$3),"",IF(INDEX(原始資料!BK$2:BK$501,$BJ401)="","",INDEX(原始資料!BK$2:BK$501,$BJ401)))</f>
        <v/>
      </c>
      <c r="BJ401" s="6">
        <f>IFERROR(MATCH(ROW()-1,判定!$H$2:$H$501,0),"")</f>
        <v/>
      </c>
    </row>
    <row r="402">
      <c r="A402" s="6">
        <f>IF($BJ402="","",INDEX(原始資料!$A$2:$A$501,$BJ402))</f>
        <v/>
      </c>
      <c r="B402" s="6">
        <f>IF(OR($BJ402="",1&gt;設定!$B$3),"",IF(INDEX(原始資料!D$2:D$501,$BJ402)="","",INDEX(原始資料!D$2:D$501,$BJ402)))</f>
        <v/>
      </c>
      <c r="C402" s="6">
        <f>IF(OR($BJ402="",2&gt;設定!$B$3),"",IF(INDEX(原始資料!E$2:E$501,$BJ402)="","",INDEX(原始資料!E$2:E$501,$BJ402)))</f>
        <v/>
      </c>
      <c r="D402" s="6">
        <f>IF(OR($BJ402="",3&gt;設定!$B$3),"",IF(INDEX(原始資料!F$2:F$501,$BJ402)="","",INDEX(原始資料!F$2:F$501,$BJ402)))</f>
        <v/>
      </c>
      <c r="E402" s="6">
        <f>IF(OR($BJ402="",4&gt;設定!$B$3),"",IF(INDEX(原始資料!G$2:G$501,$BJ402)="","",INDEX(原始資料!G$2:G$501,$BJ402)))</f>
        <v/>
      </c>
      <c r="F402" s="6">
        <f>IF(OR($BJ402="",5&gt;設定!$B$3),"",IF(INDEX(原始資料!H$2:H$501,$BJ402)="","",INDEX(原始資料!H$2:H$501,$BJ402)))</f>
        <v/>
      </c>
      <c r="G402" s="6">
        <f>IF(OR($BJ402="",6&gt;設定!$B$3),"",IF(INDEX(原始資料!I$2:I$501,$BJ402)="","",INDEX(原始資料!I$2:I$501,$BJ402)))</f>
        <v/>
      </c>
      <c r="H402" s="6">
        <f>IF(OR($BJ402="",7&gt;設定!$B$3),"",IF(INDEX(原始資料!J$2:J$501,$BJ402)="","",INDEX(原始資料!J$2:J$501,$BJ402)))</f>
        <v/>
      </c>
      <c r="I402" s="6">
        <f>IF(OR($BJ402="",8&gt;設定!$B$3),"",IF(INDEX(原始資料!K$2:K$501,$BJ402)="","",INDEX(原始資料!K$2:K$501,$BJ402)))</f>
        <v/>
      </c>
      <c r="J402" s="6">
        <f>IF(OR($BJ402="",9&gt;設定!$B$3),"",IF(INDEX(原始資料!L$2:L$501,$BJ402)="","",INDEX(原始資料!L$2:L$501,$BJ402)))</f>
        <v/>
      </c>
      <c r="K402" s="6">
        <f>IF(OR($BJ402="",10&gt;設定!$B$3),"",IF(INDEX(原始資料!M$2:M$501,$BJ402)="","",INDEX(原始資料!M$2:M$501,$BJ402)))</f>
        <v/>
      </c>
      <c r="L402" s="6">
        <f>IF(OR($BJ402="",11&gt;設定!$B$3),"",IF(INDEX(原始資料!N$2:N$501,$BJ402)="","",INDEX(原始資料!N$2:N$501,$BJ402)))</f>
        <v/>
      </c>
      <c r="M402" s="6">
        <f>IF(OR($BJ402="",12&gt;設定!$B$3),"",IF(INDEX(原始資料!O$2:O$501,$BJ402)="","",INDEX(原始資料!O$2:O$501,$BJ402)))</f>
        <v/>
      </c>
      <c r="N402" s="6">
        <f>IF(OR($BJ402="",13&gt;設定!$B$3),"",IF(INDEX(原始資料!P$2:P$501,$BJ402)="","",INDEX(原始資料!P$2:P$501,$BJ402)))</f>
        <v/>
      </c>
      <c r="O402" s="6">
        <f>IF(OR($BJ402="",14&gt;設定!$B$3),"",IF(INDEX(原始資料!Q$2:Q$501,$BJ402)="","",INDEX(原始資料!Q$2:Q$501,$BJ402)))</f>
        <v/>
      </c>
      <c r="P402" s="6">
        <f>IF(OR($BJ402="",15&gt;設定!$B$3),"",IF(INDEX(原始資料!R$2:R$501,$BJ402)="","",INDEX(原始資料!R$2:R$501,$BJ402)))</f>
        <v/>
      </c>
      <c r="Q402" s="6">
        <f>IF(OR($BJ402="",16&gt;設定!$B$3),"",IF(INDEX(原始資料!S$2:S$501,$BJ402)="","",INDEX(原始資料!S$2:S$501,$BJ402)))</f>
        <v/>
      </c>
      <c r="R402" s="6">
        <f>IF(OR($BJ402="",17&gt;設定!$B$3),"",IF(INDEX(原始資料!T$2:T$501,$BJ402)="","",INDEX(原始資料!T$2:T$501,$BJ402)))</f>
        <v/>
      </c>
      <c r="S402" s="6">
        <f>IF(OR($BJ402="",18&gt;設定!$B$3),"",IF(INDEX(原始資料!U$2:U$501,$BJ402)="","",INDEX(原始資料!U$2:U$501,$BJ402)))</f>
        <v/>
      </c>
      <c r="T402" s="6">
        <f>IF(OR($BJ402="",19&gt;設定!$B$3),"",IF(INDEX(原始資料!V$2:V$501,$BJ402)="","",INDEX(原始資料!V$2:V$501,$BJ402)))</f>
        <v/>
      </c>
      <c r="U402" s="6">
        <f>IF(OR($BJ402="",20&gt;設定!$B$3),"",IF(INDEX(原始資料!W$2:W$501,$BJ402)="","",INDEX(原始資料!W$2:W$501,$BJ402)))</f>
        <v/>
      </c>
      <c r="V402" s="6">
        <f>IF(OR($BJ402="",21&gt;設定!$B$3),"",IF(INDEX(原始資料!X$2:X$501,$BJ402)="","",INDEX(原始資料!X$2:X$501,$BJ402)))</f>
        <v/>
      </c>
      <c r="W402" s="6">
        <f>IF(OR($BJ402="",22&gt;設定!$B$3),"",IF(INDEX(原始資料!Y$2:Y$501,$BJ402)="","",INDEX(原始資料!Y$2:Y$501,$BJ402)))</f>
        <v/>
      </c>
      <c r="X402" s="6">
        <f>IF(OR($BJ402="",23&gt;設定!$B$3),"",IF(INDEX(原始資料!Z$2:Z$501,$BJ402)="","",INDEX(原始資料!Z$2:Z$501,$BJ402)))</f>
        <v/>
      </c>
      <c r="Y402" s="6">
        <f>IF(OR($BJ402="",24&gt;設定!$B$3),"",IF(INDEX(原始資料!AA$2:AA$501,$BJ402)="","",INDEX(原始資料!AA$2:AA$501,$BJ402)))</f>
        <v/>
      </c>
      <c r="Z402" s="6">
        <f>IF(OR($BJ402="",25&gt;設定!$B$3),"",IF(INDEX(原始資料!AB$2:AB$501,$BJ402)="","",INDEX(原始資料!AB$2:AB$501,$BJ402)))</f>
        <v/>
      </c>
      <c r="AA402" s="6">
        <f>IF(OR($BJ402="",26&gt;設定!$B$3),"",IF(INDEX(原始資料!AC$2:AC$501,$BJ402)="","",INDEX(原始資料!AC$2:AC$501,$BJ402)))</f>
        <v/>
      </c>
      <c r="AB402" s="6">
        <f>IF(OR($BJ402="",27&gt;設定!$B$3),"",IF(INDEX(原始資料!AD$2:AD$501,$BJ402)="","",INDEX(原始資料!AD$2:AD$501,$BJ402)))</f>
        <v/>
      </c>
      <c r="AC402" s="6">
        <f>IF(OR($BJ402="",28&gt;設定!$B$3),"",IF(INDEX(原始資料!AE$2:AE$501,$BJ402)="","",INDEX(原始資料!AE$2:AE$501,$BJ402)))</f>
        <v/>
      </c>
      <c r="AD402" s="6">
        <f>IF(OR($BJ402="",29&gt;設定!$B$3),"",IF(INDEX(原始資料!AF$2:AF$501,$BJ402)="","",INDEX(原始資料!AF$2:AF$501,$BJ402)))</f>
        <v/>
      </c>
      <c r="AE402" s="6">
        <f>IF(OR($BJ402="",30&gt;設定!$B$3),"",IF(INDEX(原始資料!AG$2:AG$501,$BJ402)="","",INDEX(原始資料!AG$2:AG$501,$BJ402)))</f>
        <v/>
      </c>
      <c r="AF402" s="6">
        <f>IF(OR($BJ402="",31&gt;設定!$B$3),"",IF(INDEX(原始資料!AH$2:AH$501,$BJ402)="","",INDEX(原始資料!AH$2:AH$501,$BJ402)))</f>
        <v/>
      </c>
      <c r="AG402" s="6">
        <f>IF(OR($BJ402="",32&gt;設定!$B$3),"",IF(INDEX(原始資料!AI$2:AI$501,$BJ402)="","",INDEX(原始資料!AI$2:AI$501,$BJ402)))</f>
        <v/>
      </c>
      <c r="AH402" s="6">
        <f>IF(OR($BJ402="",33&gt;設定!$B$3),"",IF(INDEX(原始資料!AJ$2:AJ$501,$BJ402)="","",INDEX(原始資料!AJ$2:AJ$501,$BJ402)))</f>
        <v/>
      </c>
      <c r="AI402" s="6">
        <f>IF(OR($BJ402="",34&gt;設定!$B$3),"",IF(INDEX(原始資料!AK$2:AK$501,$BJ402)="","",INDEX(原始資料!AK$2:AK$501,$BJ402)))</f>
        <v/>
      </c>
      <c r="AJ402" s="6">
        <f>IF(OR($BJ402="",35&gt;設定!$B$3),"",IF(INDEX(原始資料!AL$2:AL$501,$BJ402)="","",INDEX(原始資料!AL$2:AL$501,$BJ402)))</f>
        <v/>
      </c>
      <c r="AK402" s="6">
        <f>IF(OR($BJ402="",36&gt;設定!$B$3),"",IF(INDEX(原始資料!AM$2:AM$501,$BJ402)="","",INDEX(原始資料!AM$2:AM$501,$BJ402)))</f>
        <v/>
      </c>
      <c r="AL402" s="6">
        <f>IF(OR($BJ402="",37&gt;設定!$B$3),"",IF(INDEX(原始資料!AN$2:AN$501,$BJ402)="","",INDEX(原始資料!AN$2:AN$501,$BJ402)))</f>
        <v/>
      </c>
      <c r="AM402" s="6">
        <f>IF(OR($BJ402="",38&gt;設定!$B$3),"",IF(INDEX(原始資料!AO$2:AO$501,$BJ402)="","",INDEX(原始資料!AO$2:AO$501,$BJ402)))</f>
        <v/>
      </c>
      <c r="AN402" s="6">
        <f>IF(OR($BJ402="",39&gt;設定!$B$3),"",IF(INDEX(原始資料!AP$2:AP$501,$BJ402)="","",INDEX(原始資料!AP$2:AP$501,$BJ402)))</f>
        <v/>
      </c>
      <c r="AO402" s="6">
        <f>IF(OR($BJ402="",40&gt;設定!$B$3),"",IF(INDEX(原始資料!AQ$2:AQ$501,$BJ402)="","",INDEX(原始資料!AQ$2:AQ$501,$BJ402)))</f>
        <v/>
      </c>
      <c r="AP402" s="6">
        <f>IF(OR($BJ402="",41&gt;設定!$B$3),"",IF(INDEX(原始資料!AR$2:AR$501,$BJ402)="","",INDEX(原始資料!AR$2:AR$501,$BJ402)))</f>
        <v/>
      </c>
      <c r="AQ402" s="6">
        <f>IF(OR($BJ402="",42&gt;設定!$B$3),"",IF(INDEX(原始資料!AS$2:AS$501,$BJ402)="","",INDEX(原始資料!AS$2:AS$501,$BJ402)))</f>
        <v/>
      </c>
      <c r="AR402" s="6">
        <f>IF(OR($BJ402="",43&gt;設定!$B$3),"",IF(INDEX(原始資料!AT$2:AT$501,$BJ402)="","",INDEX(原始資料!AT$2:AT$501,$BJ402)))</f>
        <v/>
      </c>
      <c r="AS402" s="6">
        <f>IF(OR($BJ402="",44&gt;設定!$B$3),"",IF(INDEX(原始資料!AU$2:AU$501,$BJ402)="","",INDEX(原始資料!AU$2:AU$501,$BJ402)))</f>
        <v/>
      </c>
      <c r="AT402" s="6">
        <f>IF(OR($BJ402="",45&gt;設定!$B$3),"",IF(INDEX(原始資料!AV$2:AV$501,$BJ402)="","",INDEX(原始資料!AV$2:AV$501,$BJ402)))</f>
        <v/>
      </c>
      <c r="AU402" s="6">
        <f>IF(OR($BJ402="",46&gt;設定!$B$3),"",IF(INDEX(原始資料!AW$2:AW$501,$BJ402)="","",INDEX(原始資料!AW$2:AW$501,$BJ402)))</f>
        <v/>
      </c>
      <c r="AV402" s="6">
        <f>IF(OR($BJ402="",47&gt;設定!$B$3),"",IF(INDEX(原始資料!AX$2:AX$501,$BJ402)="","",INDEX(原始資料!AX$2:AX$501,$BJ402)))</f>
        <v/>
      </c>
      <c r="AW402" s="6">
        <f>IF(OR($BJ402="",48&gt;設定!$B$3),"",IF(INDEX(原始資料!AY$2:AY$501,$BJ402)="","",INDEX(原始資料!AY$2:AY$501,$BJ402)))</f>
        <v/>
      </c>
      <c r="AX402" s="6">
        <f>IF(OR($BJ402="",49&gt;設定!$B$3),"",IF(INDEX(原始資料!AZ$2:AZ$501,$BJ402)="","",INDEX(原始資料!AZ$2:AZ$501,$BJ402)))</f>
        <v/>
      </c>
      <c r="AY402" s="6">
        <f>IF(OR($BJ402="",50&gt;設定!$B$3),"",IF(INDEX(原始資料!BA$2:BA$501,$BJ402)="","",INDEX(原始資料!BA$2:BA$501,$BJ402)))</f>
        <v/>
      </c>
      <c r="AZ402" s="6">
        <f>IF(OR($BJ402="",51&gt;設定!$B$3),"",IF(INDEX(原始資料!BB$2:BB$501,$BJ402)="","",INDEX(原始資料!BB$2:BB$501,$BJ402)))</f>
        <v/>
      </c>
      <c r="BA402" s="6">
        <f>IF(OR($BJ402="",52&gt;設定!$B$3),"",IF(INDEX(原始資料!BC$2:BC$501,$BJ402)="","",INDEX(原始資料!BC$2:BC$501,$BJ402)))</f>
        <v/>
      </c>
      <c r="BB402" s="6">
        <f>IF(OR($BJ402="",53&gt;設定!$B$3),"",IF(INDEX(原始資料!BD$2:BD$501,$BJ402)="","",INDEX(原始資料!BD$2:BD$501,$BJ402)))</f>
        <v/>
      </c>
      <c r="BC402" s="6">
        <f>IF(OR($BJ402="",54&gt;設定!$B$3),"",IF(INDEX(原始資料!BE$2:BE$501,$BJ402)="","",INDEX(原始資料!BE$2:BE$501,$BJ402)))</f>
        <v/>
      </c>
      <c r="BD402" s="6">
        <f>IF(OR($BJ402="",55&gt;設定!$B$3),"",IF(INDEX(原始資料!BF$2:BF$501,$BJ402)="","",INDEX(原始資料!BF$2:BF$501,$BJ402)))</f>
        <v/>
      </c>
      <c r="BE402" s="6">
        <f>IF(OR($BJ402="",56&gt;設定!$B$3),"",IF(INDEX(原始資料!BG$2:BG$501,$BJ402)="","",INDEX(原始資料!BG$2:BG$501,$BJ402)))</f>
        <v/>
      </c>
      <c r="BF402" s="6">
        <f>IF(OR($BJ402="",57&gt;設定!$B$3),"",IF(INDEX(原始資料!BH$2:BH$501,$BJ402)="","",INDEX(原始資料!BH$2:BH$501,$BJ402)))</f>
        <v/>
      </c>
      <c r="BG402" s="6">
        <f>IF(OR($BJ402="",58&gt;設定!$B$3),"",IF(INDEX(原始資料!BI$2:BI$501,$BJ402)="","",INDEX(原始資料!BI$2:BI$501,$BJ402)))</f>
        <v/>
      </c>
      <c r="BH402" s="6">
        <f>IF(OR($BJ402="",59&gt;設定!$B$3),"",IF(INDEX(原始資料!BJ$2:BJ$501,$BJ402)="","",INDEX(原始資料!BJ$2:BJ$501,$BJ402)))</f>
        <v/>
      </c>
      <c r="BI402" s="6">
        <f>IF(OR($BJ402="",60&gt;設定!$B$3),"",IF(INDEX(原始資料!BK$2:BK$501,$BJ402)="","",INDEX(原始資料!BK$2:BK$501,$BJ402)))</f>
        <v/>
      </c>
      <c r="BJ402" s="6">
        <f>IFERROR(MATCH(ROW()-1,判定!$H$2:$H$501,0),"")</f>
        <v/>
      </c>
    </row>
    <row r="403">
      <c r="A403" s="6">
        <f>IF($BJ403="","",INDEX(原始資料!$A$2:$A$501,$BJ403))</f>
        <v/>
      </c>
      <c r="B403" s="6">
        <f>IF(OR($BJ403="",1&gt;設定!$B$3),"",IF(INDEX(原始資料!D$2:D$501,$BJ403)="","",INDEX(原始資料!D$2:D$501,$BJ403)))</f>
        <v/>
      </c>
      <c r="C403" s="6">
        <f>IF(OR($BJ403="",2&gt;設定!$B$3),"",IF(INDEX(原始資料!E$2:E$501,$BJ403)="","",INDEX(原始資料!E$2:E$501,$BJ403)))</f>
        <v/>
      </c>
      <c r="D403" s="6">
        <f>IF(OR($BJ403="",3&gt;設定!$B$3),"",IF(INDEX(原始資料!F$2:F$501,$BJ403)="","",INDEX(原始資料!F$2:F$501,$BJ403)))</f>
        <v/>
      </c>
      <c r="E403" s="6">
        <f>IF(OR($BJ403="",4&gt;設定!$B$3),"",IF(INDEX(原始資料!G$2:G$501,$BJ403)="","",INDEX(原始資料!G$2:G$501,$BJ403)))</f>
        <v/>
      </c>
      <c r="F403" s="6">
        <f>IF(OR($BJ403="",5&gt;設定!$B$3),"",IF(INDEX(原始資料!H$2:H$501,$BJ403)="","",INDEX(原始資料!H$2:H$501,$BJ403)))</f>
        <v/>
      </c>
      <c r="G403" s="6">
        <f>IF(OR($BJ403="",6&gt;設定!$B$3),"",IF(INDEX(原始資料!I$2:I$501,$BJ403)="","",INDEX(原始資料!I$2:I$501,$BJ403)))</f>
        <v/>
      </c>
      <c r="H403" s="6">
        <f>IF(OR($BJ403="",7&gt;設定!$B$3),"",IF(INDEX(原始資料!J$2:J$501,$BJ403)="","",INDEX(原始資料!J$2:J$501,$BJ403)))</f>
        <v/>
      </c>
      <c r="I403" s="6">
        <f>IF(OR($BJ403="",8&gt;設定!$B$3),"",IF(INDEX(原始資料!K$2:K$501,$BJ403)="","",INDEX(原始資料!K$2:K$501,$BJ403)))</f>
        <v/>
      </c>
      <c r="J403" s="6">
        <f>IF(OR($BJ403="",9&gt;設定!$B$3),"",IF(INDEX(原始資料!L$2:L$501,$BJ403)="","",INDEX(原始資料!L$2:L$501,$BJ403)))</f>
        <v/>
      </c>
      <c r="K403" s="6">
        <f>IF(OR($BJ403="",10&gt;設定!$B$3),"",IF(INDEX(原始資料!M$2:M$501,$BJ403)="","",INDEX(原始資料!M$2:M$501,$BJ403)))</f>
        <v/>
      </c>
      <c r="L403" s="6">
        <f>IF(OR($BJ403="",11&gt;設定!$B$3),"",IF(INDEX(原始資料!N$2:N$501,$BJ403)="","",INDEX(原始資料!N$2:N$501,$BJ403)))</f>
        <v/>
      </c>
      <c r="M403" s="6">
        <f>IF(OR($BJ403="",12&gt;設定!$B$3),"",IF(INDEX(原始資料!O$2:O$501,$BJ403)="","",INDEX(原始資料!O$2:O$501,$BJ403)))</f>
        <v/>
      </c>
      <c r="N403" s="6">
        <f>IF(OR($BJ403="",13&gt;設定!$B$3),"",IF(INDEX(原始資料!P$2:P$501,$BJ403)="","",INDEX(原始資料!P$2:P$501,$BJ403)))</f>
        <v/>
      </c>
      <c r="O403" s="6">
        <f>IF(OR($BJ403="",14&gt;設定!$B$3),"",IF(INDEX(原始資料!Q$2:Q$501,$BJ403)="","",INDEX(原始資料!Q$2:Q$501,$BJ403)))</f>
        <v/>
      </c>
      <c r="P403" s="6">
        <f>IF(OR($BJ403="",15&gt;設定!$B$3),"",IF(INDEX(原始資料!R$2:R$501,$BJ403)="","",INDEX(原始資料!R$2:R$501,$BJ403)))</f>
        <v/>
      </c>
      <c r="Q403" s="6">
        <f>IF(OR($BJ403="",16&gt;設定!$B$3),"",IF(INDEX(原始資料!S$2:S$501,$BJ403)="","",INDEX(原始資料!S$2:S$501,$BJ403)))</f>
        <v/>
      </c>
      <c r="R403" s="6">
        <f>IF(OR($BJ403="",17&gt;設定!$B$3),"",IF(INDEX(原始資料!T$2:T$501,$BJ403)="","",INDEX(原始資料!T$2:T$501,$BJ403)))</f>
        <v/>
      </c>
      <c r="S403" s="6">
        <f>IF(OR($BJ403="",18&gt;設定!$B$3),"",IF(INDEX(原始資料!U$2:U$501,$BJ403)="","",INDEX(原始資料!U$2:U$501,$BJ403)))</f>
        <v/>
      </c>
      <c r="T403" s="6">
        <f>IF(OR($BJ403="",19&gt;設定!$B$3),"",IF(INDEX(原始資料!V$2:V$501,$BJ403)="","",INDEX(原始資料!V$2:V$501,$BJ403)))</f>
        <v/>
      </c>
      <c r="U403" s="6">
        <f>IF(OR($BJ403="",20&gt;設定!$B$3),"",IF(INDEX(原始資料!W$2:W$501,$BJ403)="","",INDEX(原始資料!W$2:W$501,$BJ403)))</f>
        <v/>
      </c>
      <c r="V403" s="6">
        <f>IF(OR($BJ403="",21&gt;設定!$B$3),"",IF(INDEX(原始資料!X$2:X$501,$BJ403)="","",INDEX(原始資料!X$2:X$501,$BJ403)))</f>
        <v/>
      </c>
      <c r="W403" s="6">
        <f>IF(OR($BJ403="",22&gt;設定!$B$3),"",IF(INDEX(原始資料!Y$2:Y$501,$BJ403)="","",INDEX(原始資料!Y$2:Y$501,$BJ403)))</f>
        <v/>
      </c>
      <c r="X403" s="6">
        <f>IF(OR($BJ403="",23&gt;設定!$B$3),"",IF(INDEX(原始資料!Z$2:Z$501,$BJ403)="","",INDEX(原始資料!Z$2:Z$501,$BJ403)))</f>
        <v/>
      </c>
      <c r="Y403" s="6">
        <f>IF(OR($BJ403="",24&gt;設定!$B$3),"",IF(INDEX(原始資料!AA$2:AA$501,$BJ403)="","",INDEX(原始資料!AA$2:AA$501,$BJ403)))</f>
        <v/>
      </c>
      <c r="Z403" s="6">
        <f>IF(OR($BJ403="",25&gt;設定!$B$3),"",IF(INDEX(原始資料!AB$2:AB$501,$BJ403)="","",INDEX(原始資料!AB$2:AB$501,$BJ403)))</f>
        <v/>
      </c>
      <c r="AA403" s="6">
        <f>IF(OR($BJ403="",26&gt;設定!$B$3),"",IF(INDEX(原始資料!AC$2:AC$501,$BJ403)="","",INDEX(原始資料!AC$2:AC$501,$BJ403)))</f>
        <v/>
      </c>
      <c r="AB403" s="6">
        <f>IF(OR($BJ403="",27&gt;設定!$B$3),"",IF(INDEX(原始資料!AD$2:AD$501,$BJ403)="","",INDEX(原始資料!AD$2:AD$501,$BJ403)))</f>
        <v/>
      </c>
      <c r="AC403" s="6">
        <f>IF(OR($BJ403="",28&gt;設定!$B$3),"",IF(INDEX(原始資料!AE$2:AE$501,$BJ403)="","",INDEX(原始資料!AE$2:AE$501,$BJ403)))</f>
        <v/>
      </c>
      <c r="AD403" s="6">
        <f>IF(OR($BJ403="",29&gt;設定!$B$3),"",IF(INDEX(原始資料!AF$2:AF$501,$BJ403)="","",INDEX(原始資料!AF$2:AF$501,$BJ403)))</f>
        <v/>
      </c>
      <c r="AE403" s="6">
        <f>IF(OR($BJ403="",30&gt;設定!$B$3),"",IF(INDEX(原始資料!AG$2:AG$501,$BJ403)="","",INDEX(原始資料!AG$2:AG$501,$BJ403)))</f>
        <v/>
      </c>
      <c r="AF403" s="6">
        <f>IF(OR($BJ403="",31&gt;設定!$B$3),"",IF(INDEX(原始資料!AH$2:AH$501,$BJ403)="","",INDEX(原始資料!AH$2:AH$501,$BJ403)))</f>
        <v/>
      </c>
      <c r="AG403" s="6">
        <f>IF(OR($BJ403="",32&gt;設定!$B$3),"",IF(INDEX(原始資料!AI$2:AI$501,$BJ403)="","",INDEX(原始資料!AI$2:AI$501,$BJ403)))</f>
        <v/>
      </c>
      <c r="AH403" s="6">
        <f>IF(OR($BJ403="",33&gt;設定!$B$3),"",IF(INDEX(原始資料!AJ$2:AJ$501,$BJ403)="","",INDEX(原始資料!AJ$2:AJ$501,$BJ403)))</f>
        <v/>
      </c>
      <c r="AI403" s="6">
        <f>IF(OR($BJ403="",34&gt;設定!$B$3),"",IF(INDEX(原始資料!AK$2:AK$501,$BJ403)="","",INDEX(原始資料!AK$2:AK$501,$BJ403)))</f>
        <v/>
      </c>
      <c r="AJ403" s="6">
        <f>IF(OR($BJ403="",35&gt;設定!$B$3),"",IF(INDEX(原始資料!AL$2:AL$501,$BJ403)="","",INDEX(原始資料!AL$2:AL$501,$BJ403)))</f>
        <v/>
      </c>
      <c r="AK403" s="6">
        <f>IF(OR($BJ403="",36&gt;設定!$B$3),"",IF(INDEX(原始資料!AM$2:AM$501,$BJ403)="","",INDEX(原始資料!AM$2:AM$501,$BJ403)))</f>
        <v/>
      </c>
      <c r="AL403" s="6">
        <f>IF(OR($BJ403="",37&gt;設定!$B$3),"",IF(INDEX(原始資料!AN$2:AN$501,$BJ403)="","",INDEX(原始資料!AN$2:AN$501,$BJ403)))</f>
        <v/>
      </c>
      <c r="AM403" s="6">
        <f>IF(OR($BJ403="",38&gt;設定!$B$3),"",IF(INDEX(原始資料!AO$2:AO$501,$BJ403)="","",INDEX(原始資料!AO$2:AO$501,$BJ403)))</f>
        <v/>
      </c>
      <c r="AN403" s="6">
        <f>IF(OR($BJ403="",39&gt;設定!$B$3),"",IF(INDEX(原始資料!AP$2:AP$501,$BJ403)="","",INDEX(原始資料!AP$2:AP$501,$BJ403)))</f>
        <v/>
      </c>
      <c r="AO403" s="6">
        <f>IF(OR($BJ403="",40&gt;設定!$B$3),"",IF(INDEX(原始資料!AQ$2:AQ$501,$BJ403)="","",INDEX(原始資料!AQ$2:AQ$501,$BJ403)))</f>
        <v/>
      </c>
      <c r="AP403" s="6">
        <f>IF(OR($BJ403="",41&gt;設定!$B$3),"",IF(INDEX(原始資料!AR$2:AR$501,$BJ403)="","",INDEX(原始資料!AR$2:AR$501,$BJ403)))</f>
        <v/>
      </c>
      <c r="AQ403" s="6">
        <f>IF(OR($BJ403="",42&gt;設定!$B$3),"",IF(INDEX(原始資料!AS$2:AS$501,$BJ403)="","",INDEX(原始資料!AS$2:AS$501,$BJ403)))</f>
        <v/>
      </c>
      <c r="AR403" s="6">
        <f>IF(OR($BJ403="",43&gt;設定!$B$3),"",IF(INDEX(原始資料!AT$2:AT$501,$BJ403)="","",INDEX(原始資料!AT$2:AT$501,$BJ403)))</f>
        <v/>
      </c>
      <c r="AS403" s="6">
        <f>IF(OR($BJ403="",44&gt;設定!$B$3),"",IF(INDEX(原始資料!AU$2:AU$501,$BJ403)="","",INDEX(原始資料!AU$2:AU$501,$BJ403)))</f>
        <v/>
      </c>
      <c r="AT403" s="6">
        <f>IF(OR($BJ403="",45&gt;設定!$B$3),"",IF(INDEX(原始資料!AV$2:AV$501,$BJ403)="","",INDEX(原始資料!AV$2:AV$501,$BJ403)))</f>
        <v/>
      </c>
      <c r="AU403" s="6">
        <f>IF(OR($BJ403="",46&gt;設定!$B$3),"",IF(INDEX(原始資料!AW$2:AW$501,$BJ403)="","",INDEX(原始資料!AW$2:AW$501,$BJ403)))</f>
        <v/>
      </c>
      <c r="AV403" s="6">
        <f>IF(OR($BJ403="",47&gt;設定!$B$3),"",IF(INDEX(原始資料!AX$2:AX$501,$BJ403)="","",INDEX(原始資料!AX$2:AX$501,$BJ403)))</f>
        <v/>
      </c>
      <c r="AW403" s="6">
        <f>IF(OR($BJ403="",48&gt;設定!$B$3),"",IF(INDEX(原始資料!AY$2:AY$501,$BJ403)="","",INDEX(原始資料!AY$2:AY$501,$BJ403)))</f>
        <v/>
      </c>
      <c r="AX403" s="6">
        <f>IF(OR($BJ403="",49&gt;設定!$B$3),"",IF(INDEX(原始資料!AZ$2:AZ$501,$BJ403)="","",INDEX(原始資料!AZ$2:AZ$501,$BJ403)))</f>
        <v/>
      </c>
      <c r="AY403" s="6">
        <f>IF(OR($BJ403="",50&gt;設定!$B$3),"",IF(INDEX(原始資料!BA$2:BA$501,$BJ403)="","",INDEX(原始資料!BA$2:BA$501,$BJ403)))</f>
        <v/>
      </c>
      <c r="AZ403" s="6">
        <f>IF(OR($BJ403="",51&gt;設定!$B$3),"",IF(INDEX(原始資料!BB$2:BB$501,$BJ403)="","",INDEX(原始資料!BB$2:BB$501,$BJ403)))</f>
        <v/>
      </c>
      <c r="BA403" s="6">
        <f>IF(OR($BJ403="",52&gt;設定!$B$3),"",IF(INDEX(原始資料!BC$2:BC$501,$BJ403)="","",INDEX(原始資料!BC$2:BC$501,$BJ403)))</f>
        <v/>
      </c>
      <c r="BB403" s="6">
        <f>IF(OR($BJ403="",53&gt;設定!$B$3),"",IF(INDEX(原始資料!BD$2:BD$501,$BJ403)="","",INDEX(原始資料!BD$2:BD$501,$BJ403)))</f>
        <v/>
      </c>
      <c r="BC403" s="6">
        <f>IF(OR($BJ403="",54&gt;設定!$B$3),"",IF(INDEX(原始資料!BE$2:BE$501,$BJ403)="","",INDEX(原始資料!BE$2:BE$501,$BJ403)))</f>
        <v/>
      </c>
      <c r="BD403" s="6">
        <f>IF(OR($BJ403="",55&gt;設定!$B$3),"",IF(INDEX(原始資料!BF$2:BF$501,$BJ403)="","",INDEX(原始資料!BF$2:BF$501,$BJ403)))</f>
        <v/>
      </c>
      <c r="BE403" s="6">
        <f>IF(OR($BJ403="",56&gt;設定!$B$3),"",IF(INDEX(原始資料!BG$2:BG$501,$BJ403)="","",INDEX(原始資料!BG$2:BG$501,$BJ403)))</f>
        <v/>
      </c>
      <c r="BF403" s="6">
        <f>IF(OR($BJ403="",57&gt;設定!$B$3),"",IF(INDEX(原始資料!BH$2:BH$501,$BJ403)="","",INDEX(原始資料!BH$2:BH$501,$BJ403)))</f>
        <v/>
      </c>
      <c r="BG403" s="6">
        <f>IF(OR($BJ403="",58&gt;設定!$B$3),"",IF(INDEX(原始資料!BI$2:BI$501,$BJ403)="","",INDEX(原始資料!BI$2:BI$501,$BJ403)))</f>
        <v/>
      </c>
      <c r="BH403" s="6">
        <f>IF(OR($BJ403="",59&gt;設定!$B$3),"",IF(INDEX(原始資料!BJ$2:BJ$501,$BJ403)="","",INDEX(原始資料!BJ$2:BJ$501,$BJ403)))</f>
        <v/>
      </c>
      <c r="BI403" s="6">
        <f>IF(OR($BJ403="",60&gt;設定!$B$3),"",IF(INDEX(原始資料!BK$2:BK$501,$BJ403)="","",INDEX(原始資料!BK$2:BK$501,$BJ403)))</f>
        <v/>
      </c>
      <c r="BJ403" s="6">
        <f>IFERROR(MATCH(ROW()-1,判定!$H$2:$H$501,0),"")</f>
        <v/>
      </c>
    </row>
    <row r="404">
      <c r="A404" s="6">
        <f>IF($BJ404="","",INDEX(原始資料!$A$2:$A$501,$BJ404))</f>
        <v/>
      </c>
      <c r="B404" s="6">
        <f>IF(OR($BJ404="",1&gt;設定!$B$3),"",IF(INDEX(原始資料!D$2:D$501,$BJ404)="","",INDEX(原始資料!D$2:D$501,$BJ404)))</f>
        <v/>
      </c>
      <c r="C404" s="6">
        <f>IF(OR($BJ404="",2&gt;設定!$B$3),"",IF(INDEX(原始資料!E$2:E$501,$BJ404)="","",INDEX(原始資料!E$2:E$501,$BJ404)))</f>
        <v/>
      </c>
      <c r="D404" s="6">
        <f>IF(OR($BJ404="",3&gt;設定!$B$3),"",IF(INDEX(原始資料!F$2:F$501,$BJ404)="","",INDEX(原始資料!F$2:F$501,$BJ404)))</f>
        <v/>
      </c>
      <c r="E404" s="6">
        <f>IF(OR($BJ404="",4&gt;設定!$B$3),"",IF(INDEX(原始資料!G$2:G$501,$BJ404)="","",INDEX(原始資料!G$2:G$501,$BJ404)))</f>
        <v/>
      </c>
      <c r="F404" s="6">
        <f>IF(OR($BJ404="",5&gt;設定!$B$3),"",IF(INDEX(原始資料!H$2:H$501,$BJ404)="","",INDEX(原始資料!H$2:H$501,$BJ404)))</f>
        <v/>
      </c>
      <c r="G404" s="6">
        <f>IF(OR($BJ404="",6&gt;設定!$B$3),"",IF(INDEX(原始資料!I$2:I$501,$BJ404)="","",INDEX(原始資料!I$2:I$501,$BJ404)))</f>
        <v/>
      </c>
      <c r="H404" s="6">
        <f>IF(OR($BJ404="",7&gt;設定!$B$3),"",IF(INDEX(原始資料!J$2:J$501,$BJ404)="","",INDEX(原始資料!J$2:J$501,$BJ404)))</f>
        <v/>
      </c>
      <c r="I404" s="6">
        <f>IF(OR($BJ404="",8&gt;設定!$B$3),"",IF(INDEX(原始資料!K$2:K$501,$BJ404)="","",INDEX(原始資料!K$2:K$501,$BJ404)))</f>
        <v/>
      </c>
      <c r="J404" s="6">
        <f>IF(OR($BJ404="",9&gt;設定!$B$3),"",IF(INDEX(原始資料!L$2:L$501,$BJ404)="","",INDEX(原始資料!L$2:L$501,$BJ404)))</f>
        <v/>
      </c>
      <c r="K404" s="6">
        <f>IF(OR($BJ404="",10&gt;設定!$B$3),"",IF(INDEX(原始資料!M$2:M$501,$BJ404)="","",INDEX(原始資料!M$2:M$501,$BJ404)))</f>
        <v/>
      </c>
      <c r="L404" s="6">
        <f>IF(OR($BJ404="",11&gt;設定!$B$3),"",IF(INDEX(原始資料!N$2:N$501,$BJ404)="","",INDEX(原始資料!N$2:N$501,$BJ404)))</f>
        <v/>
      </c>
      <c r="M404" s="6">
        <f>IF(OR($BJ404="",12&gt;設定!$B$3),"",IF(INDEX(原始資料!O$2:O$501,$BJ404)="","",INDEX(原始資料!O$2:O$501,$BJ404)))</f>
        <v/>
      </c>
      <c r="N404" s="6">
        <f>IF(OR($BJ404="",13&gt;設定!$B$3),"",IF(INDEX(原始資料!P$2:P$501,$BJ404)="","",INDEX(原始資料!P$2:P$501,$BJ404)))</f>
        <v/>
      </c>
      <c r="O404" s="6">
        <f>IF(OR($BJ404="",14&gt;設定!$B$3),"",IF(INDEX(原始資料!Q$2:Q$501,$BJ404)="","",INDEX(原始資料!Q$2:Q$501,$BJ404)))</f>
        <v/>
      </c>
      <c r="P404" s="6">
        <f>IF(OR($BJ404="",15&gt;設定!$B$3),"",IF(INDEX(原始資料!R$2:R$501,$BJ404)="","",INDEX(原始資料!R$2:R$501,$BJ404)))</f>
        <v/>
      </c>
      <c r="Q404" s="6">
        <f>IF(OR($BJ404="",16&gt;設定!$B$3),"",IF(INDEX(原始資料!S$2:S$501,$BJ404)="","",INDEX(原始資料!S$2:S$501,$BJ404)))</f>
        <v/>
      </c>
      <c r="R404" s="6">
        <f>IF(OR($BJ404="",17&gt;設定!$B$3),"",IF(INDEX(原始資料!T$2:T$501,$BJ404)="","",INDEX(原始資料!T$2:T$501,$BJ404)))</f>
        <v/>
      </c>
      <c r="S404" s="6">
        <f>IF(OR($BJ404="",18&gt;設定!$B$3),"",IF(INDEX(原始資料!U$2:U$501,$BJ404)="","",INDEX(原始資料!U$2:U$501,$BJ404)))</f>
        <v/>
      </c>
      <c r="T404" s="6">
        <f>IF(OR($BJ404="",19&gt;設定!$B$3),"",IF(INDEX(原始資料!V$2:V$501,$BJ404)="","",INDEX(原始資料!V$2:V$501,$BJ404)))</f>
        <v/>
      </c>
      <c r="U404" s="6">
        <f>IF(OR($BJ404="",20&gt;設定!$B$3),"",IF(INDEX(原始資料!W$2:W$501,$BJ404)="","",INDEX(原始資料!W$2:W$501,$BJ404)))</f>
        <v/>
      </c>
      <c r="V404" s="6">
        <f>IF(OR($BJ404="",21&gt;設定!$B$3),"",IF(INDEX(原始資料!X$2:X$501,$BJ404)="","",INDEX(原始資料!X$2:X$501,$BJ404)))</f>
        <v/>
      </c>
      <c r="W404" s="6">
        <f>IF(OR($BJ404="",22&gt;設定!$B$3),"",IF(INDEX(原始資料!Y$2:Y$501,$BJ404)="","",INDEX(原始資料!Y$2:Y$501,$BJ404)))</f>
        <v/>
      </c>
      <c r="X404" s="6">
        <f>IF(OR($BJ404="",23&gt;設定!$B$3),"",IF(INDEX(原始資料!Z$2:Z$501,$BJ404)="","",INDEX(原始資料!Z$2:Z$501,$BJ404)))</f>
        <v/>
      </c>
      <c r="Y404" s="6">
        <f>IF(OR($BJ404="",24&gt;設定!$B$3),"",IF(INDEX(原始資料!AA$2:AA$501,$BJ404)="","",INDEX(原始資料!AA$2:AA$501,$BJ404)))</f>
        <v/>
      </c>
      <c r="Z404" s="6">
        <f>IF(OR($BJ404="",25&gt;設定!$B$3),"",IF(INDEX(原始資料!AB$2:AB$501,$BJ404)="","",INDEX(原始資料!AB$2:AB$501,$BJ404)))</f>
        <v/>
      </c>
      <c r="AA404" s="6">
        <f>IF(OR($BJ404="",26&gt;設定!$B$3),"",IF(INDEX(原始資料!AC$2:AC$501,$BJ404)="","",INDEX(原始資料!AC$2:AC$501,$BJ404)))</f>
        <v/>
      </c>
      <c r="AB404" s="6">
        <f>IF(OR($BJ404="",27&gt;設定!$B$3),"",IF(INDEX(原始資料!AD$2:AD$501,$BJ404)="","",INDEX(原始資料!AD$2:AD$501,$BJ404)))</f>
        <v/>
      </c>
      <c r="AC404" s="6">
        <f>IF(OR($BJ404="",28&gt;設定!$B$3),"",IF(INDEX(原始資料!AE$2:AE$501,$BJ404)="","",INDEX(原始資料!AE$2:AE$501,$BJ404)))</f>
        <v/>
      </c>
      <c r="AD404" s="6">
        <f>IF(OR($BJ404="",29&gt;設定!$B$3),"",IF(INDEX(原始資料!AF$2:AF$501,$BJ404)="","",INDEX(原始資料!AF$2:AF$501,$BJ404)))</f>
        <v/>
      </c>
      <c r="AE404" s="6">
        <f>IF(OR($BJ404="",30&gt;設定!$B$3),"",IF(INDEX(原始資料!AG$2:AG$501,$BJ404)="","",INDEX(原始資料!AG$2:AG$501,$BJ404)))</f>
        <v/>
      </c>
      <c r="AF404" s="6">
        <f>IF(OR($BJ404="",31&gt;設定!$B$3),"",IF(INDEX(原始資料!AH$2:AH$501,$BJ404)="","",INDEX(原始資料!AH$2:AH$501,$BJ404)))</f>
        <v/>
      </c>
      <c r="AG404" s="6">
        <f>IF(OR($BJ404="",32&gt;設定!$B$3),"",IF(INDEX(原始資料!AI$2:AI$501,$BJ404)="","",INDEX(原始資料!AI$2:AI$501,$BJ404)))</f>
        <v/>
      </c>
      <c r="AH404" s="6">
        <f>IF(OR($BJ404="",33&gt;設定!$B$3),"",IF(INDEX(原始資料!AJ$2:AJ$501,$BJ404)="","",INDEX(原始資料!AJ$2:AJ$501,$BJ404)))</f>
        <v/>
      </c>
      <c r="AI404" s="6">
        <f>IF(OR($BJ404="",34&gt;設定!$B$3),"",IF(INDEX(原始資料!AK$2:AK$501,$BJ404)="","",INDEX(原始資料!AK$2:AK$501,$BJ404)))</f>
        <v/>
      </c>
      <c r="AJ404" s="6">
        <f>IF(OR($BJ404="",35&gt;設定!$B$3),"",IF(INDEX(原始資料!AL$2:AL$501,$BJ404)="","",INDEX(原始資料!AL$2:AL$501,$BJ404)))</f>
        <v/>
      </c>
      <c r="AK404" s="6">
        <f>IF(OR($BJ404="",36&gt;設定!$B$3),"",IF(INDEX(原始資料!AM$2:AM$501,$BJ404)="","",INDEX(原始資料!AM$2:AM$501,$BJ404)))</f>
        <v/>
      </c>
      <c r="AL404" s="6">
        <f>IF(OR($BJ404="",37&gt;設定!$B$3),"",IF(INDEX(原始資料!AN$2:AN$501,$BJ404)="","",INDEX(原始資料!AN$2:AN$501,$BJ404)))</f>
        <v/>
      </c>
      <c r="AM404" s="6">
        <f>IF(OR($BJ404="",38&gt;設定!$B$3),"",IF(INDEX(原始資料!AO$2:AO$501,$BJ404)="","",INDEX(原始資料!AO$2:AO$501,$BJ404)))</f>
        <v/>
      </c>
      <c r="AN404" s="6">
        <f>IF(OR($BJ404="",39&gt;設定!$B$3),"",IF(INDEX(原始資料!AP$2:AP$501,$BJ404)="","",INDEX(原始資料!AP$2:AP$501,$BJ404)))</f>
        <v/>
      </c>
      <c r="AO404" s="6">
        <f>IF(OR($BJ404="",40&gt;設定!$B$3),"",IF(INDEX(原始資料!AQ$2:AQ$501,$BJ404)="","",INDEX(原始資料!AQ$2:AQ$501,$BJ404)))</f>
        <v/>
      </c>
      <c r="AP404" s="6">
        <f>IF(OR($BJ404="",41&gt;設定!$B$3),"",IF(INDEX(原始資料!AR$2:AR$501,$BJ404)="","",INDEX(原始資料!AR$2:AR$501,$BJ404)))</f>
        <v/>
      </c>
      <c r="AQ404" s="6">
        <f>IF(OR($BJ404="",42&gt;設定!$B$3),"",IF(INDEX(原始資料!AS$2:AS$501,$BJ404)="","",INDEX(原始資料!AS$2:AS$501,$BJ404)))</f>
        <v/>
      </c>
      <c r="AR404" s="6">
        <f>IF(OR($BJ404="",43&gt;設定!$B$3),"",IF(INDEX(原始資料!AT$2:AT$501,$BJ404)="","",INDEX(原始資料!AT$2:AT$501,$BJ404)))</f>
        <v/>
      </c>
      <c r="AS404" s="6">
        <f>IF(OR($BJ404="",44&gt;設定!$B$3),"",IF(INDEX(原始資料!AU$2:AU$501,$BJ404)="","",INDEX(原始資料!AU$2:AU$501,$BJ404)))</f>
        <v/>
      </c>
      <c r="AT404" s="6">
        <f>IF(OR($BJ404="",45&gt;設定!$B$3),"",IF(INDEX(原始資料!AV$2:AV$501,$BJ404)="","",INDEX(原始資料!AV$2:AV$501,$BJ404)))</f>
        <v/>
      </c>
      <c r="AU404" s="6">
        <f>IF(OR($BJ404="",46&gt;設定!$B$3),"",IF(INDEX(原始資料!AW$2:AW$501,$BJ404)="","",INDEX(原始資料!AW$2:AW$501,$BJ404)))</f>
        <v/>
      </c>
      <c r="AV404" s="6">
        <f>IF(OR($BJ404="",47&gt;設定!$B$3),"",IF(INDEX(原始資料!AX$2:AX$501,$BJ404)="","",INDEX(原始資料!AX$2:AX$501,$BJ404)))</f>
        <v/>
      </c>
      <c r="AW404" s="6">
        <f>IF(OR($BJ404="",48&gt;設定!$B$3),"",IF(INDEX(原始資料!AY$2:AY$501,$BJ404)="","",INDEX(原始資料!AY$2:AY$501,$BJ404)))</f>
        <v/>
      </c>
      <c r="AX404" s="6">
        <f>IF(OR($BJ404="",49&gt;設定!$B$3),"",IF(INDEX(原始資料!AZ$2:AZ$501,$BJ404)="","",INDEX(原始資料!AZ$2:AZ$501,$BJ404)))</f>
        <v/>
      </c>
      <c r="AY404" s="6">
        <f>IF(OR($BJ404="",50&gt;設定!$B$3),"",IF(INDEX(原始資料!BA$2:BA$501,$BJ404)="","",INDEX(原始資料!BA$2:BA$501,$BJ404)))</f>
        <v/>
      </c>
      <c r="AZ404" s="6">
        <f>IF(OR($BJ404="",51&gt;設定!$B$3),"",IF(INDEX(原始資料!BB$2:BB$501,$BJ404)="","",INDEX(原始資料!BB$2:BB$501,$BJ404)))</f>
        <v/>
      </c>
      <c r="BA404" s="6">
        <f>IF(OR($BJ404="",52&gt;設定!$B$3),"",IF(INDEX(原始資料!BC$2:BC$501,$BJ404)="","",INDEX(原始資料!BC$2:BC$501,$BJ404)))</f>
        <v/>
      </c>
      <c r="BB404" s="6">
        <f>IF(OR($BJ404="",53&gt;設定!$B$3),"",IF(INDEX(原始資料!BD$2:BD$501,$BJ404)="","",INDEX(原始資料!BD$2:BD$501,$BJ404)))</f>
        <v/>
      </c>
      <c r="BC404" s="6">
        <f>IF(OR($BJ404="",54&gt;設定!$B$3),"",IF(INDEX(原始資料!BE$2:BE$501,$BJ404)="","",INDEX(原始資料!BE$2:BE$501,$BJ404)))</f>
        <v/>
      </c>
      <c r="BD404" s="6">
        <f>IF(OR($BJ404="",55&gt;設定!$B$3),"",IF(INDEX(原始資料!BF$2:BF$501,$BJ404)="","",INDEX(原始資料!BF$2:BF$501,$BJ404)))</f>
        <v/>
      </c>
      <c r="BE404" s="6">
        <f>IF(OR($BJ404="",56&gt;設定!$B$3),"",IF(INDEX(原始資料!BG$2:BG$501,$BJ404)="","",INDEX(原始資料!BG$2:BG$501,$BJ404)))</f>
        <v/>
      </c>
      <c r="BF404" s="6">
        <f>IF(OR($BJ404="",57&gt;設定!$B$3),"",IF(INDEX(原始資料!BH$2:BH$501,$BJ404)="","",INDEX(原始資料!BH$2:BH$501,$BJ404)))</f>
        <v/>
      </c>
      <c r="BG404" s="6">
        <f>IF(OR($BJ404="",58&gt;設定!$B$3),"",IF(INDEX(原始資料!BI$2:BI$501,$BJ404)="","",INDEX(原始資料!BI$2:BI$501,$BJ404)))</f>
        <v/>
      </c>
      <c r="BH404" s="6">
        <f>IF(OR($BJ404="",59&gt;設定!$B$3),"",IF(INDEX(原始資料!BJ$2:BJ$501,$BJ404)="","",INDEX(原始資料!BJ$2:BJ$501,$BJ404)))</f>
        <v/>
      </c>
      <c r="BI404" s="6">
        <f>IF(OR($BJ404="",60&gt;設定!$B$3),"",IF(INDEX(原始資料!BK$2:BK$501,$BJ404)="","",INDEX(原始資料!BK$2:BK$501,$BJ404)))</f>
        <v/>
      </c>
      <c r="BJ404" s="6">
        <f>IFERROR(MATCH(ROW()-1,判定!$H$2:$H$501,0),"")</f>
        <v/>
      </c>
    </row>
    <row r="405">
      <c r="A405" s="6">
        <f>IF($BJ405="","",INDEX(原始資料!$A$2:$A$501,$BJ405))</f>
        <v/>
      </c>
      <c r="B405" s="6">
        <f>IF(OR($BJ405="",1&gt;設定!$B$3),"",IF(INDEX(原始資料!D$2:D$501,$BJ405)="","",INDEX(原始資料!D$2:D$501,$BJ405)))</f>
        <v/>
      </c>
      <c r="C405" s="6">
        <f>IF(OR($BJ405="",2&gt;設定!$B$3),"",IF(INDEX(原始資料!E$2:E$501,$BJ405)="","",INDEX(原始資料!E$2:E$501,$BJ405)))</f>
        <v/>
      </c>
      <c r="D405" s="6">
        <f>IF(OR($BJ405="",3&gt;設定!$B$3),"",IF(INDEX(原始資料!F$2:F$501,$BJ405)="","",INDEX(原始資料!F$2:F$501,$BJ405)))</f>
        <v/>
      </c>
      <c r="E405" s="6">
        <f>IF(OR($BJ405="",4&gt;設定!$B$3),"",IF(INDEX(原始資料!G$2:G$501,$BJ405)="","",INDEX(原始資料!G$2:G$501,$BJ405)))</f>
        <v/>
      </c>
      <c r="F405" s="6">
        <f>IF(OR($BJ405="",5&gt;設定!$B$3),"",IF(INDEX(原始資料!H$2:H$501,$BJ405)="","",INDEX(原始資料!H$2:H$501,$BJ405)))</f>
        <v/>
      </c>
      <c r="G405" s="6">
        <f>IF(OR($BJ405="",6&gt;設定!$B$3),"",IF(INDEX(原始資料!I$2:I$501,$BJ405)="","",INDEX(原始資料!I$2:I$501,$BJ405)))</f>
        <v/>
      </c>
      <c r="H405" s="6">
        <f>IF(OR($BJ405="",7&gt;設定!$B$3),"",IF(INDEX(原始資料!J$2:J$501,$BJ405)="","",INDEX(原始資料!J$2:J$501,$BJ405)))</f>
        <v/>
      </c>
      <c r="I405" s="6">
        <f>IF(OR($BJ405="",8&gt;設定!$B$3),"",IF(INDEX(原始資料!K$2:K$501,$BJ405)="","",INDEX(原始資料!K$2:K$501,$BJ405)))</f>
        <v/>
      </c>
      <c r="J405" s="6">
        <f>IF(OR($BJ405="",9&gt;設定!$B$3),"",IF(INDEX(原始資料!L$2:L$501,$BJ405)="","",INDEX(原始資料!L$2:L$501,$BJ405)))</f>
        <v/>
      </c>
      <c r="K405" s="6">
        <f>IF(OR($BJ405="",10&gt;設定!$B$3),"",IF(INDEX(原始資料!M$2:M$501,$BJ405)="","",INDEX(原始資料!M$2:M$501,$BJ405)))</f>
        <v/>
      </c>
      <c r="L405" s="6">
        <f>IF(OR($BJ405="",11&gt;設定!$B$3),"",IF(INDEX(原始資料!N$2:N$501,$BJ405)="","",INDEX(原始資料!N$2:N$501,$BJ405)))</f>
        <v/>
      </c>
      <c r="M405" s="6">
        <f>IF(OR($BJ405="",12&gt;設定!$B$3),"",IF(INDEX(原始資料!O$2:O$501,$BJ405)="","",INDEX(原始資料!O$2:O$501,$BJ405)))</f>
        <v/>
      </c>
      <c r="N405" s="6">
        <f>IF(OR($BJ405="",13&gt;設定!$B$3),"",IF(INDEX(原始資料!P$2:P$501,$BJ405)="","",INDEX(原始資料!P$2:P$501,$BJ405)))</f>
        <v/>
      </c>
      <c r="O405" s="6">
        <f>IF(OR($BJ405="",14&gt;設定!$B$3),"",IF(INDEX(原始資料!Q$2:Q$501,$BJ405)="","",INDEX(原始資料!Q$2:Q$501,$BJ405)))</f>
        <v/>
      </c>
      <c r="P405" s="6">
        <f>IF(OR($BJ405="",15&gt;設定!$B$3),"",IF(INDEX(原始資料!R$2:R$501,$BJ405)="","",INDEX(原始資料!R$2:R$501,$BJ405)))</f>
        <v/>
      </c>
      <c r="Q405" s="6">
        <f>IF(OR($BJ405="",16&gt;設定!$B$3),"",IF(INDEX(原始資料!S$2:S$501,$BJ405)="","",INDEX(原始資料!S$2:S$501,$BJ405)))</f>
        <v/>
      </c>
      <c r="R405" s="6">
        <f>IF(OR($BJ405="",17&gt;設定!$B$3),"",IF(INDEX(原始資料!T$2:T$501,$BJ405)="","",INDEX(原始資料!T$2:T$501,$BJ405)))</f>
        <v/>
      </c>
      <c r="S405" s="6">
        <f>IF(OR($BJ405="",18&gt;設定!$B$3),"",IF(INDEX(原始資料!U$2:U$501,$BJ405)="","",INDEX(原始資料!U$2:U$501,$BJ405)))</f>
        <v/>
      </c>
      <c r="T405" s="6">
        <f>IF(OR($BJ405="",19&gt;設定!$B$3),"",IF(INDEX(原始資料!V$2:V$501,$BJ405)="","",INDEX(原始資料!V$2:V$501,$BJ405)))</f>
        <v/>
      </c>
      <c r="U405" s="6">
        <f>IF(OR($BJ405="",20&gt;設定!$B$3),"",IF(INDEX(原始資料!W$2:W$501,$BJ405)="","",INDEX(原始資料!W$2:W$501,$BJ405)))</f>
        <v/>
      </c>
      <c r="V405" s="6">
        <f>IF(OR($BJ405="",21&gt;設定!$B$3),"",IF(INDEX(原始資料!X$2:X$501,$BJ405)="","",INDEX(原始資料!X$2:X$501,$BJ405)))</f>
        <v/>
      </c>
      <c r="W405" s="6">
        <f>IF(OR($BJ405="",22&gt;設定!$B$3),"",IF(INDEX(原始資料!Y$2:Y$501,$BJ405)="","",INDEX(原始資料!Y$2:Y$501,$BJ405)))</f>
        <v/>
      </c>
      <c r="X405" s="6">
        <f>IF(OR($BJ405="",23&gt;設定!$B$3),"",IF(INDEX(原始資料!Z$2:Z$501,$BJ405)="","",INDEX(原始資料!Z$2:Z$501,$BJ405)))</f>
        <v/>
      </c>
      <c r="Y405" s="6">
        <f>IF(OR($BJ405="",24&gt;設定!$B$3),"",IF(INDEX(原始資料!AA$2:AA$501,$BJ405)="","",INDEX(原始資料!AA$2:AA$501,$BJ405)))</f>
        <v/>
      </c>
      <c r="Z405" s="6">
        <f>IF(OR($BJ405="",25&gt;設定!$B$3),"",IF(INDEX(原始資料!AB$2:AB$501,$BJ405)="","",INDEX(原始資料!AB$2:AB$501,$BJ405)))</f>
        <v/>
      </c>
      <c r="AA405" s="6">
        <f>IF(OR($BJ405="",26&gt;設定!$B$3),"",IF(INDEX(原始資料!AC$2:AC$501,$BJ405)="","",INDEX(原始資料!AC$2:AC$501,$BJ405)))</f>
        <v/>
      </c>
      <c r="AB405" s="6">
        <f>IF(OR($BJ405="",27&gt;設定!$B$3),"",IF(INDEX(原始資料!AD$2:AD$501,$BJ405)="","",INDEX(原始資料!AD$2:AD$501,$BJ405)))</f>
        <v/>
      </c>
      <c r="AC405" s="6">
        <f>IF(OR($BJ405="",28&gt;設定!$B$3),"",IF(INDEX(原始資料!AE$2:AE$501,$BJ405)="","",INDEX(原始資料!AE$2:AE$501,$BJ405)))</f>
        <v/>
      </c>
      <c r="AD405" s="6">
        <f>IF(OR($BJ405="",29&gt;設定!$B$3),"",IF(INDEX(原始資料!AF$2:AF$501,$BJ405)="","",INDEX(原始資料!AF$2:AF$501,$BJ405)))</f>
        <v/>
      </c>
      <c r="AE405" s="6">
        <f>IF(OR($BJ405="",30&gt;設定!$B$3),"",IF(INDEX(原始資料!AG$2:AG$501,$BJ405)="","",INDEX(原始資料!AG$2:AG$501,$BJ405)))</f>
        <v/>
      </c>
      <c r="AF405" s="6">
        <f>IF(OR($BJ405="",31&gt;設定!$B$3),"",IF(INDEX(原始資料!AH$2:AH$501,$BJ405)="","",INDEX(原始資料!AH$2:AH$501,$BJ405)))</f>
        <v/>
      </c>
      <c r="AG405" s="6">
        <f>IF(OR($BJ405="",32&gt;設定!$B$3),"",IF(INDEX(原始資料!AI$2:AI$501,$BJ405)="","",INDEX(原始資料!AI$2:AI$501,$BJ405)))</f>
        <v/>
      </c>
      <c r="AH405" s="6">
        <f>IF(OR($BJ405="",33&gt;設定!$B$3),"",IF(INDEX(原始資料!AJ$2:AJ$501,$BJ405)="","",INDEX(原始資料!AJ$2:AJ$501,$BJ405)))</f>
        <v/>
      </c>
      <c r="AI405" s="6">
        <f>IF(OR($BJ405="",34&gt;設定!$B$3),"",IF(INDEX(原始資料!AK$2:AK$501,$BJ405)="","",INDEX(原始資料!AK$2:AK$501,$BJ405)))</f>
        <v/>
      </c>
      <c r="AJ405" s="6">
        <f>IF(OR($BJ405="",35&gt;設定!$B$3),"",IF(INDEX(原始資料!AL$2:AL$501,$BJ405)="","",INDEX(原始資料!AL$2:AL$501,$BJ405)))</f>
        <v/>
      </c>
      <c r="AK405" s="6">
        <f>IF(OR($BJ405="",36&gt;設定!$B$3),"",IF(INDEX(原始資料!AM$2:AM$501,$BJ405)="","",INDEX(原始資料!AM$2:AM$501,$BJ405)))</f>
        <v/>
      </c>
      <c r="AL405" s="6">
        <f>IF(OR($BJ405="",37&gt;設定!$B$3),"",IF(INDEX(原始資料!AN$2:AN$501,$BJ405)="","",INDEX(原始資料!AN$2:AN$501,$BJ405)))</f>
        <v/>
      </c>
      <c r="AM405" s="6">
        <f>IF(OR($BJ405="",38&gt;設定!$B$3),"",IF(INDEX(原始資料!AO$2:AO$501,$BJ405)="","",INDEX(原始資料!AO$2:AO$501,$BJ405)))</f>
        <v/>
      </c>
      <c r="AN405" s="6">
        <f>IF(OR($BJ405="",39&gt;設定!$B$3),"",IF(INDEX(原始資料!AP$2:AP$501,$BJ405)="","",INDEX(原始資料!AP$2:AP$501,$BJ405)))</f>
        <v/>
      </c>
      <c r="AO405" s="6">
        <f>IF(OR($BJ405="",40&gt;設定!$B$3),"",IF(INDEX(原始資料!AQ$2:AQ$501,$BJ405)="","",INDEX(原始資料!AQ$2:AQ$501,$BJ405)))</f>
        <v/>
      </c>
      <c r="AP405" s="6">
        <f>IF(OR($BJ405="",41&gt;設定!$B$3),"",IF(INDEX(原始資料!AR$2:AR$501,$BJ405)="","",INDEX(原始資料!AR$2:AR$501,$BJ405)))</f>
        <v/>
      </c>
      <c r="AQ405" s="6">
        <f>IF(OR($BJ405="",42&gt;設定!$B$3),"",IF(INDEX(原始資料!AS$2:AS$501,$BJ405)="","",INDEX(原始資料!AS$2:AS$501,$BJ405)))</f>
        <v/>
      </c>
      <c r="AR405" s="6">
        <f>IF(OR($BJ405="",43&gt;設定!$B$3),"",IF(INDEX(原始資料!AT$2:AT$501,$BJ405)="","",INDEX(原始資料!AT$2:AT$501,$BJ405)))</f>
        <v/>
      </c>
      <c r="AS405" s="6">
        <f>IF(OR($BJ405="",44&gt;設定!$B$3),"",IF(INDEX(原始資料!AU$2:AU$501,$BJ405)="","",INDEX(原始資料!AU$2:AU$501,$BJ405)))</f>
        <v/>
      </c>
      <c r="AT405" s="6">
        <f>IF(OR($BJ405="",45&gt;設定!$B$3),"",IF(INDEX(原始資料!AV$2:AV$501,$BJ405)="","",INDEX(原始資料!AV$2:AV$501,$BJ405)))</f>
        <v/>
      </c>
      <c r="AU405" s="6">
        <f>IF(OR($BJ405="",46&gt;設定!$B$3),"",IF(INDEX(原始資料!AW$2:AW$501,$BJ405)="","",INDEX(原始資料!AW$2:AW$501,$BJ405)))</f>
        <v/>
      </c>
      <c r="AV405" s="6">
        <f>IF(OR($BJ405="",47&gt;設定!$B$3),"",IF(INDEX(原始資料!AX$2:AX$501,$BJ405)="","",INDEX(原始資料!AX$2:AX$501,$BJ405)))</f>
        <v/>
      </c>
      <c r="AW405" s="6">
        <f>IF(OR($BJ405="",48&gt;設定!$B$3),"",IF(INDEX(原始資料!AY$2:AY$501,$BJ405)="","",INDEX(原始資料!AY$2:AY$501,$BJ405)))</f>
        <v/>
      </c>
      <c r="AX405" s="6">
        <f>IF(OR($BJ405="",49&gt;設定!$B$3),"",IF(INDEX(原始資料!AZ$2:AZ$501,$BJ405)="","",INDEX(原始資料!AZ$2:AZ$501,$BJ405)))</f>
        <v/>
      </c>
      <c r="AY405" s="6">
        <f>IF(OR($BJ405="",50&gt;設定!$B$3),"",IF(INDEX(原始資料!BA$2:BA$501,$BJ405)="","",INDEX(原始資料!BA$2:BA$501,$BJ405)))</f>
        <v/>
      </c>
      <c r="AZ405" s="6">
        <f>IF(OR($BJ405="",51&gt;設定!$B$3),"",IF(INDEX(原始資料!BB$2:BB$501,$BJ405)="","",INDEX(原始資料!BB$2:BB$501,$BJ405)))</f>
        <v/>
      </c>
      <c r="BA405" s="6">
        <f>IF(OR($BJ405="",52&gt;設定!$B$3),"",IF(INDEX(原始資料!BC$2:BC$501,$BJ405)="","",INDEX(原始資料!BC$2:BC$501,$BJ405)))</f>
        <v/>
      </c>
      <c r="BB405" s="6">
        <f>IF(OR($BJ405="",53&gt;設定!$B$3),"",IF(INDEX(原始資料!BD$2:BD$501,$BJ405)="","",INDEX(原始資料!BD$2:BD$501,$BJ405)))</f>
        <v/>
      </c>
      <c r="BC405" s="6">
        <f>IF(OR($BJ405="",54&gt;設定!$B$3),"",IF(INDEX(原始資料!BE$2:BE$501,$BJ405)="","",INDEX(原始資料!BE$2:BE$501,$BJ405)))</f>
        <v/>
      </c>
      <c r="BD405" s="6">
        <f>IF(OR($BJ405="",55&gt;設定!$B$3),"",IF(INDEX(原始資料!BF$2:BF$501,$BJ405)="","",INDEX(原始資料!BF$2:BF$501,$BJ405)))</f>
        <v/>
      </c>
      <c r="BE405" s="6">
        <f>IF(OR($BJ405="",56&gt;設定!$B$3),"",IF(INDEX(原始資料!BG$2:BG$501,$BJ405)="","",INDEX(原始資料!BG$2:BG$501,$BJ405)))</f>
        <v/>
      </c>
      <c r="BF405" s="6">
        <f>IF(OR($BJ405="",57&gt;設定!$B$3),"",IF(INDEX(原始資料!BH$2:BH$501,$BJ405)="","",INDEX(原始資料!BH$2:BH$501,$BJ405)))</f>
        <v/>
      </c>
      <c r="BG405" s="6">
        <f>IF(OR($BJ405="",58&gt;設定!$B$3),"",IF(INDEX(原始資料!BI$2:BI$501,$BJ405)="","",INDEX(原始資料!BI$2:BI$501,$BJ405)))</f>
        <v/>
      </c>
      <c r="BH405" s="6">
        <f>IF(OR($BJ405="",59&gt;設定!$B$3),"",IF(INDEX(原始資料!BJ$2:BJ$501,$BJ405)="","",INDEX(原始資料!BJ$2:BJ$501,$BJ405)))</f>
        <v/>
      </c>
      <c r="BI405" s="6">
        <f>IF(OR($BJ405="",60&gt;設定!$B$3),"",IF(INDEX(原始資料!BK$2:BK$501,$BJ405)="","",INDEX(原始資料!BK$2:BK$501,$BJ405)))</f>
        <v/>
      </c>
      <c r="BJ405" s="6">
        <f>IFERROR(MATCH(ROW()-1,判定!$H$2:$H$501,0),"")</f>
        <v/>
      </c>
    </row>
    <row r="406">
      <c r="A406" s="6">
        <f>IF($BJ406="","",INDEX(原始資料!$A$2:$A$501,$BJ406))</f>
        <v/>
      </c>
      <c r="B406" s="6">
        <f>IF(OR($BJ406="",1&gt;設定!$B$3),"",IF(INDEX(原始資料!D$2:D$501,$BJ406)="","",INDEX(原始資料!D$2:D$501,$BJ406)))</f>
        <v/>
      </c>
      <c r="C406" s="6">
        <f>IF(OR($BJ406="",2&gt;設定!$B$3),"",IF(INDEX(原始資料!E$2:E$501,$BJ406)="","",INDEX(原始資料!E$2:E$501,$BJ406)))</f>
        <v/>
      </c>
      <c r="D406" s="6">
        <f>IF(OR($BJ406="",3&gt;設定!$B$3),"",IF(INDEX(原始資料!F$2:F$501,$BJ406)="","",INDEX(原始資料!F$2:F$501,$BJ406)))</f>
        <v/>
      </c>
      <c r="E406" s="6">
        <f>IF(OR($BJ406="",4&gt;設定!$B$3),"",IF(INDEX(原始資料!G$2:G$501,$BJ406)="","",INDEX(原始資料!G$2:G$501,$BJ406)))</f>
        <v/>
      </c>
      <c r="F406" s="6">
        <f>IF(OR($BJ406="",5&gt;設定!$B$3),"",IF(INDEX(原始資料!H$2:H$501,$BJ406)="","",INDEX(原始資料!H$2:H$501,$BJ406)))</f>
        <v/>
      </c>
      <c r="G406" s="6">
        <f>IF(OR($BJ406="",6&gt;設定!$B$3),"",IF(INDEX(原始資料!I$2:I$501,$BJ406)="","",INDEX(原始資料!I$2:I$501,$BJ406)))</f>
        <v/>
      </c>
      <c r="H406" s="6">
        <f>IF(OR($BJ406="",7&gt;設定!$B$3),"",IF(INDEX(原始資料!J$2:J$501,$BJ406)="","",INDEX(原始資料!J$2:J$501,$BJ406)))</f>
        <v/>
      </c>
      <c r="I406" s="6">
        <f>IF(OR($BJ406="",8&gt;設定!$B$3),"",IF(INDEX(原始資料!K$2:K$501,$BJ406)="","",INDEX(原始資料!K$2:K$501,$BJ406)))</f>
        <v/>
      </c>
      <c r="J406" s="6">
        <f>IF(OR($BJ406="",9&gt;設定!$B$3),"",IF(INDEX(原始資料!L$2:L$501,$BJ406)="","",INDEX(原始資料!L$2:L$501,$BJ406)))</f>
        <v/>
      </c>
      <c r="K406" s="6">
        <f>IF(OR($BJ406="",10&gt;設定!$B$3),"",IF(INDEX(原始資料!M$2:M$501,$BJ406)="","",INDEX(原始資料!M$2:M$501,$BJ406)))</f>
        <v/>
      </c>
      <c r="L406" s="6">
        <f>IF(OR($BJ406="",11&gt;設定!$B$3),"",IF(INDEX(原始資料!N$2:N$501,$BJ406)="","",INDEX(原始資料!N$2:N$501,$BJ406)))</f>
        <v/>
      </c>
      <c r="M406" s="6">
        <f>IF(OR($BJ406="",12&gt;設定!$B$3),"",IF(INDEX(原始資料!O$2:O$501,$BJ406)="","",INDEX(原始資料!O$2:O$501,$BJ406)))</f>
        <v/>
      </c>
      <c r="N406" s="6">
        <f>IF(OR($BJ406="",13&gt;設定!$B$3),"",IF(INDEX(原始資料!P$2:P$501,$BJ406)="","",INDEX(原始資料!P$2:P$501,$BJ406)))</f>
        <v/>
      </c>
      <c r="O406" s="6">
        <f>IF(OR($BJ406="",14&gt;設定!$B$3),"",IF(INDEX(原始資料!Q$2:Q$501,$BJ406)="","",INDEX(原始資料!Q$2:Q$501,$BJ406)))</f>
        <v/>
      </c>
      <c r="P406" s="6">
        <f>IF(OR($BJ406="",15&gt;設定!$B$3),"",IF(INDEX(原始資料!R$2:R$501,$BJ406)="","",INDEX(原始資料!R$2:R$501,$BJ406)))</f>
        <v/>
      </c>
      <c r="Q406" s="6">
        <f>IF(OR($BJ406="",16&gt;設定!$B$3),"",IF(INDEX(原始資料!S$2:S$501,$BJ406)="","",INDEX(原始資料!S$2:S$501,$BJ406)))</f>
        <v/>
      </c>
      <c r="R406" s="6">
        <f>IF(OR($BJ406="",17&gt;設定!$B$3),"",IF(INDEX(原始資料!T$2:T$501,$BJ406)="","",INDEX(原始資料!T$2:T$501,$BJ406)))</f>
        <v/>
      </c>
      <c r="S406" s="6">
        <f>IF(OR($BJ406="",18&gt;設定!$B$3),"",IF(INDEX(原始資料!U$2:U$501,$BJ406)="","",INDEX(原始資料!U$2:U$501,$BJ406)))</f>
        <v/>
      </c>
      <c r="T406" s="6">
        <f>IF(OR($BJ406="",19&gt;設定!$B$3),"",IF(INDEX(原始資料!V$2:V$501,$BJ406)="","",INDEX(原始資料!V$2:V$501,$BJ406)))</f>
        <v/>
      </c>
      <c r="U406" s="6">
        <f>IF(OR($BJ406="",20&gt;設定!$B$3),"",IF(INDEX(原始資料!W$2:W$501,$BJ406)="","",INDEX(原始資料!W$2:W$501,$BJ406)))</f>
        <v/>
      </c>
      <c r="V406" s="6">
        <f>IF(OR($BJ406="",21&gt;設定!$B$3),"",IF(INDEX(原始資料!X$2:X$501,$BJ406)="","",INDEX(原始資料!X$2:X$501,$BJ406)))</f>
        <v/>
      </c>
      <c r="W406" s="6">
        <f>IF(OR($BJ406="",22&gt;設定!$B$3),"",IF(INDEX(原始資料!Y$2:Y$501,$BJ406)="","",INDEX(原始資料!Y$2:Y$501,$BJ406)))</f>
        <v/>
      </c>
      <c r="X406" s="6">
        <f>IF(OR($BJ406="",23&gt;設定!$B$3),"",IF(INDEX(原始資料!Z$2:Z$501,$BJ406)="","",INDEX(原始資料!Z$2:Z$501,$BJ406)))</f>
        <v/>
      </c>
      <c r="Y406" s="6">
        <f>IF(OR($BJ406="",24&gt;設定!$B$3),"",IF(INDEX(原始資料!AA$2:AA$501,$BJ406)="","",INDEX(原始資料!AA$2:AA$501,$BJ406)))</f>
        <v/>
      </c>
      <c r="Z406" s="6">
        <f>IF(OR($BJ406="",25&gt;設定!$B$3),"",IF(INDEX(原始資料!AB$2:AB$501,$BJ406)="","",INDEX(原始資料!AB$2:AB$501,$BJ406)))</f>
        <v/>
      </c>
      <c r="AA406" s="6">
        <f>IF(OR($BJ406="",26&gt;設定!$B$3),"",IF(INDEX(原始資料!AC$2:AC$501,$BJ406)="","",INDEX(原始資料!AC$2:AC$501,$BJ406)))</f>
        <v/>
      </c>
      <c r="AB406" s="6">
        <f>IF(OR($BJ406="",27&gt;設定!$B$3),"",IF(INDEX(原始資料!AD$2:AD$501,$BJ406)="","",INDEX(原始資料!AD$2:AD$501,$BJ406)))</f>
        <v/>
      </c>
      <c r="AC406" s="6">
        <f>IF(OR($BJ406="",28&gt;設定!$B$3),"",IF(INDEX(原始資料!AE$2:AE$501,$BJ406)="","",INDEX(原始資料!AE$2:AE$501,$BJ406)))</f>
        <v/>
      </c>
      <c r="AD406" s="6">
        <f>IF(OR($BJ406="",29&gt;設定!$B$3),"",IF(INDEX(原始資料!AF$2:AF$501,$BJ406)="","",INDEX(原始資料!AF$2:AF$501,$BJ406)))</f>
        <v/>
      </c>
      <c r="AE406" s="6">
        <f>IF(OR($BJ406="",30&gt;設定!$B$3),"",IF(INDEX(原始資料!AG$2:AG$501,$BJ406)="","",INDEX(原始資料!AG$2:AG$501,$BJ406)))</f>
        <v/>
      </c>
      <c r="AF406" s="6">
        <f>IF(OR($BJ406="",31&gt;設定!$B$3),"",IF(INDEX(原始資料!AH$2:AH$501,$BJ406)="","",INDEX(原始資料!AH$2:AH$501,$BJ406)))</f>
        <v/>
      </c>
      <c r="AG406" s="6">
        <f>IF(OR($BJ406="",32&gt;設定!$B$3),"",IF(INDEX(原始資料!AI$2:AI$501,$BJ406)="","",INDEX(原始資料!AI$2:AI$501,$BJ406)))</f>
        <v/>
      </c>
      <c r="AH406" s="6">
        <f>IF(OR($BJ406="",33&gt;設定!$B$3),"",IF(INDEX(原始資料!AJ$2:AJ$501,$BJ406)="","",INDEX(原始資料!AJ$2:AJ$501,$BJ406)))</f>
        <v/>
      </c>
      <c r="AI406" s="6">
        <f>IF(OR($BJ406="",34&gt;設定!$B$3),"",IF(INDEX(原始資料!AK$2:AK$501,$BJ406)="","",INDEX(原始資料!AK$2:AK$501,$BJ406)))</f>
        <v/>
      </c>
      <c r="AJ406" s="6">
        <f>IF(OR($BJ406="",35&gt;設定!$B$3),"",IF(INDEX(原始資料!AL$2:AL$501,$BJ406)="","",INDEX(原始資料!AL$2:AL$501,$BJ406)))</f>
        <v/>
      </c>
      <c r="AK406" s="6">
        <f>IF(OR($BJ406="",36&gt;設定!$B$3),"",IF(INDEX(原始資料!AM$2:AM$501,$BJ406)="","",INDEX(原始資料!AM$2:AM$501,$BJ406)))</f>
        <v/>
      </c>
      <c r="AL406" s="6">
        <f>IF(OR($BJ406="",37&gt;設定!$B$3),"",IF(INDEX(原始資料!AN$2:AN$501,$BJ406)="","",INDEX(原始資料!AN$2:AN$501,$BJ406)))</f>
        <v/>
      </c>
      <c r="AM406" s="6">
        <f>IF(OR($BJ406="",38&gt;設定!$B$3),"",IF(INDEX(原始資料!AO$2:AO$501,$BJ406)="","",INDEX(原始資料!AO$2:AO$501,$BJ406)))</f>
        <v/>
      </c>
      <c r="AN406" s="6">
        <f>IF(OR($BJ406="",39&gt;設定!$B$3),"",IF(INDEX(原始資料!AP$2:AP$501,$BJ406)="","",INDEX(原始資料!AP$2:AP$501,$BJ406)))</f>
        <v/>
      </c>
      <c r="AO406" s="6">
        <f>IF(OR($BJ406="",40&gt;設定!$B$3),"",IF(INDEX(原始資料!AQ$2:AQ$501,$BJ406)="","",INDEX(原始資料!AQ$2:AQ$501,$BJ406)))</f>
        <v/>
      </c>
      <c r="AP406" s="6">
        <f>IF(OR($BJ406="",41&gt;設定!$B$3),"",IF(INDEX(原始資料!AR$2:AR$501,$BJ406)="","",INDEX(原始資料!AR$2:AR$501,$BJ406)))</f>
        <v/>
      </c>
      <c r="AQ406" s="6">
        <f>IF(OR($BJ406="",42&gt;設定!$B$3),"",IF(INDEX(原始資料!AS$2:AS$501,$BJ406)="","",INDEX(原始資料!AS$2:AS$501,$BJ406)))</f>
        <v/>
      </c>
      <c r="AR406" s="6">
        <f>IF(OR($BJ406="",43&gt;設定!$B$3),"",IF(INDEX(原始資料!AT$2:AT$501,$BJ406)="","",INDEX(原始資料!AT$2:AT$501,$BJ406)))</f>
        <v/>
      </c>
      <c r="AS406" s="6">
        <f>IF(OR($BJ406="",44&gt;設定!$B$3),"",IF(INDEX(原始資料!AU$2:AU$501,$BJ406)="","",INDEX(原始資料!AU$2:AU$501,$BJ406)))</f>
        <v/>
      </c>
      <c r="AT406" s="6">
        <f>IF(OR($BJ406="",45&gt;設定!$B$3),"",IF(INDEX(原始資料!AV$2:AV$501,$BJ406)="","",INDEX(原始資料!AV$2:AV$501,$BJ406)))</f>
        <v/>
      </c>
      <c r="AU406" s="6">
        <f>IF(OR($BJ406="",46&gt;設定!$B$3),"",IF(INDEX(原始資料!AW$2:AW$501,$BJ406)="","",INDEX(原始資料!AW$2:AW$501,$BJ406)))</f>
        <v/>
      </c>
      <c r="AV406" s="6">
        <f>IF(OR($BJ406="",47&gt;設定!$B$3),"",IF(INDEX(原始資料!AX$2:AX$501,$BJ406)="","",INDEX(原始資料!AX$2:AX$501,$BJ406)))</f>
        <v/>
      </c>
      <c r="AW406" s="6">
        <f>IF(OR($BJ406="",48&gt;設定!$B$3),"",IF(INDEX(原始資料!AY$2:AY$501,$BJ406)="","",INDEX(原始資料!AY$2:AY$501,$BJ406)))</f>
        <v/>
      </c>
      <c r="AX406" s="6">
        <f>IF(OR($BJ406="",49&gt;設定!$B$3),"",IF(INDEX(原始資料!AZ$2:AZ$501,$BJ406)="","",INDEX(原始資料!AZ$2:AZ$501,$BJ406)))</f>
        <v/>
      </c>
      <c r="AY406" s="6">
        <f>IF(OR($BJ406="",50&gt;設定!$B$3),"",IF(INDEX(原始資料!BA$2:BA$501,$BJ406)="","",INDEX(原始資料!BA$2:BA$501,$BJ406)))</f>
        <v/>
      </c>
      <c r="AZ406" s="6">
        <f>IF(OR($BJ406="",51&gt;設定!$B$3),"",IF(INDEX(原始資料!BB$2:BB$501,$BJ406)="","",INDEX(原始資料!BB$2:BB$501,$BJ406)))</f>
        <v/>
      </c>
      <c r="BA406" s="6">
        <f>IF(OR($BJ406="",52&gt;設定!$B$3),"",IF(INDEX(原始資料!BC$2:BC$501,$BJ406)="","",INDEX(原始資料!BC$2:BC$501,$BJ406)))</f>
        <v/>
      </c>
      <c r="BB406" s="6">
        <f>IF(OR($BJ406="",53&gt;設定!$B$3),"",IF(INDEX(原始資料!BD$2:BD$501,$BJ406)="","",INDEX(原始資料!BD$2:BD$501,$BJ406)))</f>
        <v/>
      </c>
      <c r="BC406" s="6">
        <f>IF(OR($BJ406="",54&gt;設定!$B$3),"",IF(INDEX(原始資料!BE$2:BE$501,$BJ406)="","",INDEX(原始資料!BE$2:BE$501,$BJ406)))</f>
        <v/>
      </c>
      <c r="BD406" s="6">
        <f>IF(OR($BJ406="",55&gt;設定!$B$3),"",IF(INDEX(原始資料!BF$2:BF$501,$BJ406)="","",INDEX(原始資料!BF$2:BF$501,$BJ406)))</f>
        <v/>
      </c>
      <c r="BE406" s="6">
        <f>IF(OR($BJ406="",56&gt;設定!$B$3),"",IF(INDEX(原始資料!BG$2:BG$501,$BJ406)="","",INDEX(原始資料!BG$2:BG$501,$BJ406)))</f>
        <v/>
      </c>
      <c r="BF406" s="6">
        <f>IF(OR($BJ406="",57&gt;設定!$B$3),"",IF(INDEX(原始資料!BH$2:BH$501,$BJ406)="","",INDEX(原始資料!BH$2:BH$501,$BJ406)))</f>
        <v/>
      </c>
      <c r="BG406" s="6">
        <f>IF(OR($BJ406="",58&gt;設定!$B$3),"",IF(INDEX(原始資料!BI$2:BI$501,$BJ406)="","",INDEX(原始資料!BI$2:BI$501,$BJ406)))</f>
        <v/>
      </c>
      <c r="BH406" s="6">
        <f>IF(OR($BJ406="",59&gt;設定!$B$3),"",IF(INDEX(原始資料!BJ$2:BJ$501,$BJ406)="","",INDEX(原始資料!BJ$2:BJ$501,$BJ406)))</f>
        <v/>
      </c>
      <c r="BI406" s="6">
        <f>IF(OR($BJ406="",60&gt;設定!$B$3),"",IF(INDEX(原始資料!BK$2:BK$501,$BJ406)="","",INDEX(原始資料!BK$2:BK$501,$BJ406)))</f>
        <v/>
      </c>
      <c r="BJ406" s="6">
        <f>IFERROR(MATCH(ROW()-1,判定!$H$2:$H$501,0),"")</f>
        <v/>
      </c>
    </row>
    <row r="407">
      <c r="A407" s="6">
        <f>IF($BJ407="","",INDEX(原始資料!$A$2:$A$501,$BJ407))</f>
        <v/>
      </c>
      <c r="B407" s="6">
        <f>IF(OR($BJ407="",1&gt;設定!$B$3),"",IF(INDEX(原始資料!D$2:D$501,$BJ407)="","",INDEX(原始資料!D$2:D$501,$BJ407)))</f>
        <v/>
      </c>
      <c r="C407" s="6">
        <f>IF(OR($BJ407="",2&gt;設定!$B$3),"",IF(INDEX(原始資料!E$2:E$501,$BJ407)="","",INDEX(原始資料!E$2:E$501,$BJ407)))</f>
        <v/>
      </c>
      <c r="D407" s="6">
        <f>IF(OR($BJ407="",3&gt;設定!$B$3),"",IF(INDEX(原始資料!F$2:F$501,$BJ407)="","",INDEX(原始資料!F$2:F$501,$BJ407)))</f>
        <v/>
      </c>
      <c r="E407" s="6">
        <f>IF(OR($BJ407="",4&gt;設定!$B$3),"",IF(INDEX(原始資料!G$2:G$501,$BJ407)="","",INDEX(原始資料!G$2:G$501,$BJ407)))</f>
        <v/>
      </c>
      <c r="F407" s="6">
        <f>IF(OR($BJ407="",5&gt;設定!$B$3),"",IF(INDEX(原始資料!H$2:H$501,$BJ407)="","",INDEX(原始資料!H$2:H$501,$BJ407)))</f>
        <v/>
      </c>
      <c r="G407" s="6">
        <f>IF(OR($BJ407="",6&gt;設定!$B$3),"",IF(INDEX(原始資料!I$2:I$501,$BJ407)="","",INDEX(原始資料!I$2:I$501,$BJ407)))</f>
        <v/>
      </c>
      <c r="H407" s="6">
        <f>IF(OR($BJ407="",7&gt;設定!$B$3),"",IF(INDEX(原始資料!J$2:J$501,$BJ407)="","",INDEX(原始資料!J$2:J$501,$BJ407)))</f>
        <v/>
      </c>
      <c r="I407" s="6">
        <f>IF(OR($BJ407="",8&gt;設定!$B$3),"",IF(INDEX(原始資料!K$2:K$501,$BJ407)="","",INDEX(原始資料!K$2:K$501,$BJ407)))</f>
        <v/>
      </c>
      <c r="J407" s="6">
        <f>IF(OR($BJ407="",9&gt;設定!$B$3),"",IF(INDEX(原始資料!L$2:L$501,$BJ407)="","",INDEX(原始資料!L$2:L$501,$BJ407)))</f>
        <v/>
      </c>
      <c r="K407" s="6">
        <f>IF(OR($BJ407="",10&gt;設定!$B$3),"",IF(INDEX(原始資料!M$2:M$501,$BJ407)="","",INDEX(原始資料!M$2:M$501,$BJ407)))</f>
        <v/>
      </c>
      <c r="L407" s="6">
        <f>IF(OR($BJ407="",11&gt;設定!$B$3),"",IF(INDEX(原始資料!N$2:N$501,$BJ407)="","",INDEX(原始資料!N$2:N$501,$BJ407)))</f>
        <v/>
      </c>
      <c r="M407" s="6">
        <f>IF(OR($BJ407="",12&gt;設定!$B$3),"",IF(INDEX(原始資料!O$2:O$501,$BJ407)="","",INDEX(原始資料!O$2:O$501,$BJ407)))</f>
        <v/>
      </c>
      <c r="N407" s="6">
        <f>IF(OR($BJ407="",13&gt;設定!$B$3),"",IF(INDEX(原始資料!P$2:P$501,$BJ407)="","",INDEX(原始資料!P$2:P$501,$BJ407)))</f>
        <v/>
      </c>
      <c r="O407" s="6">
        <f>IF(OR($BJ407="",14&gt;設定!$B$3),"",IF(INDEX(原始資料!Q$2:Q$501,$BJ407)="","",INDEX(原始資料!Q$2:Q$501,$BJ407)))</f>
        <v/>
      </c>
      <c r="P407" s="6">
        <f>IF(OR($BJ407="",15&gt;設定!$B$3),"",IF(INDEX(原始資料!R$2:R$501,$BJ407)="","",INDEX(原始資料!R$2:R$501,$BJ407)))</f>
        <v/>
      </c>
      <c r="Q407" s="6">
        <f>IF(OR($BJ407="",16&gt;設定!$B$3),"",IF(INDEX(原始資料!S$2:S$501,$BJ407)="","",INDEX(原始資料!S$2:S$501,$BJ407)))</f>
        <v/>
      </c>
      <c r="R407" s="6">
        <f>IF(OR($BJ407="",17&gt;設定!$B$3),"",IF(INDEX(原始資料!T$2:T$501,$BJ407)="","",INDEX(原始資料!T$2:T$501,$BJ407)))</f>
        <v/>
      </c>
      <c r="S407" s="6">
        <f>IF(OR($BJ407="",18&gt;設定!$B$3),"",IF(INDEX(原始資料!U$2:U$501,$BJ407)="","",INDEX(原始資料!U$2:U$501,$BJ407)))</f>
        <v/>
      </c>
      <c r="T407" s="6">
        <f>IF(OR($BJ407="",19&gt;設定!$B$3),"",IF(INDEX(原始資料!V$2:V$501,$BJ407)="","",INDEX(原始資料!V$2:V$501,$BJ407)))</f>
        <v/>
      </c>
      <c r="U407" s="6">
        <f>IF(OR($BJ407="",20&gt;設定!$B$3),"",IF(INDEX(原始資料!W$2:W$501,$BJ407)="","",INDEX(原始資料!W$2:W$501,$BJ407)))</f>
        <v/>
      </c>
      <c r="V407" s="6">
        <f>IF(OR($BJ407="",21&gt;設定!$B$3),"",IF(INDEX(原始資料!X$2:X$501,$BJ407)="","",INDEX(原始資料!X$2:X$501,$BJ407)))</f>
        <v/>
      </c>
      <c r="W407" s="6">
        <f>IF(OR($BJ407="",22&gt;設定!$B$3),"",IF(INDEX(原始資料!Y$2:Y$501,$BJ407)="","",INDEX(原始資料!Y$2:Y$501,$BJ407)))</f>
        <v/>
      </c>
      <c r="X407" s="6">
        <f>IF(OR($BJ407="",23&gt;設定!$B$3),"",IF(INDEX(原始資料!Z$2:Z$501,$BJ407)="","",INDEX(原始資料!Z$2:Z$501,$BJ407)))</f>
        <v/>
      </c>
      <c r="Y407" s="6">
        <f>IF(OR($BJ407="",24&gt;設定!$B$3),"",IF(INDEX(原始資料!AA$2:AA$501,$BJ407)="","",INDEX(原始資料!AA$2:AA$501,$BJ407)))</f>
        <v/>
      </c>
      <c r="Z407" s="6">
        <f>IF(OR($BJ407="",25&gt;設定!$B$3),"",IF(INDEX(原始資料!AB$2:AB$501,$BJ407)="","",INDEX(原始資料!AB$2:AB$501,$BJ407)))</f>
        <v/>
      </c>
      <c r="AA407" s="6">
        <f>IF(OR($BJ407="",26&gt;設定!$B$3),"",IF(INDEX(原始資料!AC$2:AC$501,$BJ407)="","",INDEX(原始資料!AC$2:AC$501,$BJ407)))</f>
        <v/>
      </c>
      <c r="AB407" s="6">
        <f>IF(OR($BJ407="",27&gt;設定!$B$3),"",IF(INDEX(原始資料!AD$2:AD$501,$BJ407)="","",INDEX(原始資料!AD$2:AD$501,$BJ407)))</f>
        <v/>
      </c>
      <c r="AC407" s="6">
        <f>IF(OR($BJ407="",28&gt;設定!$B$3),"",IF(INDEX(原始資料!AE$2:AE$501,$BJ407)="","",INDEX(原始資料!AE$2:AE$501,$BJ407)))</f>
        <v/>
      </c>
      <c r="AD407" s="6">
        <f>IF(OR($BJ407="",29&gt;設定!$B$3),"",IF(INDEX(原始資料!AF$2:AF$501,$BJ407)="","",INDEX(原始資料!AF$2:AF$501,$BJ407)))</f>
        <v/>
      </c>
      <c r="AE407" s="6">
        <f>IF(OR($BJ407="",30&gt;設定!$B$3),"",IF(INDEX(原始資料!AG$2:AG$501,$BJ407)="","",INDEX(原始資料!AG$2:AG$501,$BJ407)))</f>
        <v/>
      </c>
      <c r="AF407" s="6">
        <f>IF(OR($BJ407="",31&gt;設定!$B$3),"",IF(INDEX(原始資料!AH$2:AH$501,$BJ407)="","",INDEX(原始資料!AH$2:AH$501,$BJ407)))</f>
        <v/>
      </c>
      <c r="AG407" s="6">
        <f>IF(OR($BJ407="",32&gt;設定!$B$3),"",IF(INDEX(原始資料!AI$2:AI$501,$BJ407)="","",INDEX(原始資料!AI$2:AI$501,$BJ407)))</f>
        <v/>
      </c>
      <c r="AH407" s="6">
        <f>IF(OR($BJ407="",33&gt;設定!$B$3),"",IF(INDEX(原始資料!AJ$2:AJ$501,$BJ407)="","",INDEX(原始資料!AJ$2:AJ$501,$BJ407)))</f>
        <v/>
      </c>
      <c r="AI407" s="6">
        <f>IF(OR($BJ407="",34&gt;設定!$B$3),"",IF(INDEX(原始資料!AK$2:AK$501,$BJ407)="","",INDEX(原始資料!AK$2:AK$501,$BJ407)))</f>
        <v/>
      </c>
      <c r="AJ407" s="6">
        <f>IF(OR($BJ407="",35&gt;設定!$B$3),"",IF(INDEX(原始資料!AL$2:AL$501,$BJ407)="","",INDEX(原始資料!AL$2:AL$501,$BJ407)))</f>
        <v/>
      </c>
      <c r="AK407" s="6">
        <f>IF(OR($BJ407="",36&gt;設定!$B$3),"",IF(INDEX(原始資料!AM$2:AM$501,$BJ407)="","",INDEX(原始資料!AM$2:AM$501,$BJ407)))</f>
        <v/>
      </c>
      <c r="AL407" s="6">
        <f>IF(OR($BJ407="",37&gt;設定!$B$3),"",IF(INDEX(原始資料!AN$2:AN$501,$BJ407)="","",INDEX(原始資料!AN$2:AN$501,$BJ407)))</f>
        <v/>
      </c>
      <c r="AM407" s="6">
        <f>IF(OR($BJ407="",38&gt;設定!$B$3),"",IF(INDEX(原始資料!AO$2:AO$501,$BJ407)="","",INDEX(原始資料!AO$2:AO$501,$BJ407)))</f>
        <v/>
      </c>
      <c r="AN407" s="6">
        <f>IF(OR($BJ407="",39&gt;設定!$B$3),"",IF(INDEX(原始資料!AP$2:AP$501,$BJ407)="","",INDEX(原始資料!AP$2:AP$501,$BJ407)))</f>
        <v/>
      </c>
      <c r="AO407" s="6">
        <f>IF(OR($BJ407="",40&gt;設定!$B$3),"",IF(INDEX(原始資料!AQ$2:AQ$501,$BJ407)="","",INDEX(原始資料!AQ$2:AQ$501,$BJ407)))</f>
        <v/>
      </c>
      <c r="AP407" s="6">
        <f>IF(OR($BJ407="",41&gt;設定!$B$3),"",IF(INDEX(原始資料!AR$2:AR$501,$BJ407)="","",INDEX(原始資料!AR$2:AR$501,$BJ407)))</f>
        <v/>
      </c>
      <c r="AQ407" s="6">
        <f>IF(OR($BJ407="",42&gt;設定!$B$3),"",IF(INDEX(原始資料!AS$2:AS$501,$BJ407)="","",INDEX(原始資料!AS$2:AS$501,$BJ407)))</f>
        <v/>
      </c>
      <c r="AR407" s="6">
        <f>IF(OR($BJ407="",43&gt;設定!$B$3),"",IF(INDEX(原始資料!AT$2:AT$501,$BJ407)="","",INDEX(原始資料!AT$2:AT$501,$BJ407)))</f>
        <v/>
      </c>
      <c r="AS407" s="6">
        <f>IF(OR($BJ407="",44&gt;設定!$B$3),"",IF(INDEX(原始資料!AU$2:AU$501,$BJ407)="","",INDEX(原始資料!AU$2:AU$501,$BJ407)))</f>
        <v/>
      </c>
      <c r="AT407" s="6">
        <f>IF(OR($BJ407="",45&gt;設定!$B$3),"",IF(INDEX(原始資料!AV$2:AV$501,$BJ407)="","",INDEX(原始資料!AV$2:AV$501,$BJ407)))</f>
        <v/>
      </c>
      <c r="AU407" s="6">
        <f>IF(OR($BJ407="",46&gt;設定!$B$3),"",IF(INDEX(原始資料!AW$2:AW$501,$BJ407)="","",INDEX(原始資料!AW$2:AW$501,$BJ407)))</f>
        <v/>
      </c>
      <c r="AV407" s="6">
        <f>IF(OR($BJ407="",47&gt;設定!$B$3),"",IF(INDEX(原始資料!AX$2:AX$501,$BJ407)="","",INDEX(原始資料!AX$2:AX$501,$BJ407)))</f>
        <v/>
      </c>
      <c r="AW407" s="6">
        <f>IF(OR($BJ407="",48&gt;設定!$B$3),"",IF(INDEX(原始資料!AY$2:AY$501,$BJ407)="","",INDEX(原始資料!AY$2:AY$501,$BJ407)))</f>
        <v/>
      </c>
      <c r="AX407" s="6">
        <f>IF(OR($BJ407="",49&gt;設定!$B$3),"",IF(INDEX(原始資料!AZ$2:AZ$501,$BJ407)="","",INDEX(原始資料!AZ$2:AZ$501,$BJ407)))</f>
        <v/>
      </c>
      <c r="AY407" s="6">
        <f>IF(OR($BJ407="",50&gt;設定!$B$3),"",IF(INDEX(原始資料!BA$2:BA$501,$BJ407)="","",INDEX(原始資料!BA$2:BA$501,$BJ407)))</f>
        <v/>
      </c>
      <c r="AZ407" s="6">
        <f>IF(OR($BJ407="",51&gt;設定!$B$3),"",IF(INDEX(原始資料!BB$2:BB$501,$BJ407)="","",INDEX(原始資料!BB$2:BB$501,$BJ407)))</f>
        <v/>
      </c>
      <c r="BA407" s="6">
        <f>IF(OR($BJ407="",52&gt;設定!$B$3),"",IF(INDEX(原始資料!BC$2:BC$501,$BJ407)="","",INDEX(原始資料!BC$2:BC$501,$BJ407)))</f>
        <v/>
      </c>
      <c r="BB407" s="6">
        <f>IF(OR($BJ407="",53&gt;設定!$B$3),"",IF(INDEX(原始資料!BD$2:BD$501,$BJ407)="","",INDEX(原始資料!BD$2:BD$501,$BJ407)))</f>
        <v/>
      </c>
      <c r="BC407" s="6">
        <f>IF(OR($BJ407="",54&gt;設定!$B$3),"",IF(INDEX(原始資料!BE$2:BE$501,$BJ407)="","",INDEX(原始資料!BE$2:BE$501,$BJ407)))</f>
        <v/>
      </c>
      <c r="BD407" s="6">
        <f>IF(OR($BJ407="",55&gt;設定!$B$3),"",IF(INDEX(原始資料!BF$2:BF$501,$BJ407)="","",INDEX(原始資料!BF$2:BF$501,$BJ407)))</f>
        <v/>
      </c>
      <c r="BE407" s="6">
        <f>IF(OR($BJ407="",56&gt;設定!$B$3),"",IF(INDEX(原始資料!BG$2:BG$501,$BJ407)="","",INDEX(原始資料!BG$2:BG$501,$BJ407)))</f>
        <v/>
      </c>
      <c r="BF407" s="6">
        <f>IF(OR($BJ407="",57&gt;設定!$B$3),"",IF(INDEX(原始資料!BH$2:BH$501,$BJ407)="","",INDEX(原始資料!BH$2:BH$501,$BJ407)))</f>
        <v/>
      </c>
      <c r="BG407" s="6">
        <f>IF(OR($BJ407="",58&gt;設定!$B$3),"",IF(INDEX(原始資料!BI$2:BI$501,$BJ407)="","",INDEX(原始資料!BI$2:BI$501,$BJ407)))</f>
        <v/>
      </c>
      <c r="BH407" s="6">
        <f>IF(OR($BJ407="",59&gt;設定!$B$3),"",IF(INDEX(原始資料!BJ$2:BJ$501,$BJ407)="","",INDEX(原始資料!BJ$2:BJ$501,$BJ407)))</f>
        <v/>
      </c>
      <c r="BI407" s="6">
        <f>IF(OR($BJ407="",60&gt;設定!$B$3),"",IF(INDEX(原始資料!BK$2:BK$501,$BJ407)="","",INDEX(原始資料!BK$2:BK$501,$BJ407)))</f>
        <v/>
      </c>
      <c r="BJ407" s="6">
        <f>IFERROR(MATCH(ROW()-1,判定!$H$2:$H$501,0),"")</f>
        <v/>
      </c>
    </row>
    <row r="408">
      <c r="A408" s="6">
        <f>IF($BJ408="","",INDEX(原始資料!$A$2:$A$501,$BJ408))</f>
        <v/>
      </c>
      <c r="B408" s="6">
        <f>IF(OR($BJ408="",1&gt;設定!$B$3),"",IF(INDEX(原始資料!D$2:D$501,$BJ408)="","",INDEX(原始資料!D$2:D$501,$BJ408)))</f>
        <v/>
      </c>
      <c r="C408" s="6">
        <f>IF(OR($BJ408="",2&gt;設定!$B$3),"",IF(INDEX(原始資料!E$2:E$501,$BJ408)="","",INDEX(原始資料!E$2:E$501,$BJ408)))</f>
        <v/>
      </c>
      <c r="D408" s="6">
        <f>IF(OR($BJ408="",3&gt;設定!$B$3),"",IF(INDEX(原始資料!F$2:F$501,$BJ408)="","",INDEX(原始資料!F$2:F$501,$BJ408)))</f>
        <v/>
      </c>
      <c r="E408" s="6">
        <f>IF(OR($BJ408="",4&gt;設定!$B$3),"",IF(INDEX(原始資料!G$2:G$501,$BJ408)="","",INDEX(原始資料!G$2:G$501,$BJ408)))</f>
        <v/>
      </c>
      <c r="F408" s="6">
        <f>IF(OR($BJ408="",5&gt;設定!$B$3),"",IF(INDEX(原始資料!H$2:H$501,$BJ408)="","",INDEX(原始資料!H$2:H$501,$BJ408)))</f>
        <v/>
      </c>
      <c r="G408" s="6">
        <f>IF(OR($BJ408="",6&gt;設定!$B$3),"",IF(INDEX(原始資料!I$2:I$501,$BJ408)="","",INDEX(原始資料!I$2:I$501,$BJ408)))</f>
        <v/>
      </c>
      <c r="H408" s="6">
        <f>IF(OR($BJ408="",7&gt;設定!$B$3),"",IF(INDEX(原始資料!J$2:J$501,$BJ408)="","",INDEX(原始資料!J$2:J$501,$BJ408)))</f>
        <v/>
      </c>
      <c r="I408" s="6">
        <f>IF(OR($BJ408="",8&gt;設定!$B$3),"",IF(INDEX(原始資料!K$2:K$501,$BJ408)="","",INDEX(原始資料!K$2:K$501,$BJ408)))</f>
        <v/>
      </c>
      <c r="J408" s="6">
        <f>IF(OR($BJ408="",9&gt;設定!$B$3),"",IF(INDEX(原始資料!L$2:L$501,$BJ408)="","",INDEX(原始資料!L$2:L$501,$BJ408)))</f>
        <v/>
      </c>
      <c r="K408" s="6">
        <f>IF(OR($BJ408="",10&gt;設定!$B$3),"",IF(INDEX(原始資料!M$2:M$501,$BJ408)="","",INDEX(原始資料!M$2:M$501,$BJ408)))</f>
        <v/>
      </c>
      <c r="L408" s="6">
        <f>IF(OR($BJ408="",11&gt;設定!$B$3),"",IF(INDEX(原始資料!N$2:N$501,$BJ408)="","",INDEX(原始資料!N$2:N$501,$BJ408)))</f>
        <v/>
      </c>
      <c r="M408" s="6">
        <f>IF(OR($BJ408="",12&gt;設定!$B$3),"",IF(INDEX(原始資料!O$2:O$501,$BJ408)="","",INDEX(原始資料!O$2:O$501,$BJ408)))</f>
        <v/>
      </c>
      <c r="N408" s="6">
        <f>IF(OR($BJ408="",13&gt;設定!$B$3),"",IF(INDEX(原始資料!P$2:P$501,$BJ408)="","",INDEX(原始資料!P$2:P$501,$BJ408)))</f>
        <v/>
      </c>
      <c r="O408" s="6">
        <f>IF(OR($BJ408="",14&gt;設定!$B$3),"",IF(INDEX(原始資料!Q$2:Q$501,$BJ408)="","",INDEX(原始資料!Q$2:Q$501,$BJ408)))</f>
        <v/>
      </c>
      <c r="P408" s="6">
        <f>IF(OR($BJ408="",15&gt;設定!$B$3),"",IF(INDEX(原始資料!R$2:R$501,$BJ408)="","",INDEX(原始資料!R$2:R$501,$BJ408)))</f>
        <v/>
      </c>
      <c r="Q408" s="6">
        <f>IF(OR($BJ408="",16&gt;設定!$B$3),"",IF(INDEX(原始資料!S$2:S$501,$BJ408)="","",INDEX(原始資料!S$2:S$501,$BJ408)))</f>
        <v/>
      </c>
      <c r="R408" s="6">
        <f>IF(OR($BJ408="",17&gt;設定!$B$3),"",IF(INDEX(原始資料!T$2:T$501,$BJ408)="","",INDEX(原始資料!T$2:T$501,$BJ408)))</f>
        <v/>
      </c>
      <c r="S408" s="6">
        <f>IF(OR($BJ408="",18&gt;設定!$B$3),"",IF(INDEX(原始資料!U$2:U$501,$BJ408)="","",INDEX(原始資料!U$2:U$501,$BJ408)))</f>
        <v/>
      </c>
      <c r="T408" s="6">
        <f>IF(OR($BJ408="",19&gt;設定!$B$3),"",IF(INDEX(原始資料!V$2:V$501,$BJ408)="","",INDEX(原始資料!V$2:V$501,$BJ408)))</f>
        <v/>
      </c>
      <c r="U408" s="6">
        <f>IF(OR($BJ408="",20&gt;設定!$B$3),"",IF(INDEX(原始資料!W$2:W$501,$BJ408)="","",INDEX(原始資料!W$2:W$501,$BJ408)))</f>
        <v/>
      </c>
      <c r="V408" s="6">
        <f>IF(OR($BJ408="",21&gt;設定!$B$3),"",IF(INDEX(原始資料!X$2:X$501,$BJ408)="","",INDEX(原始資料!X$2:X$501,$BJ408)))</f>
        <v/>
      </c>
      <c r="W408" s="6">
        <f>IF(OR($BJ408="",22&gt;設定!$B$3),"",IF(INDEX(原始資料!Y$2:Y$501,$BJ408)="","",INDEX(原始資料!Y$2:Y$501,$BJ408)))</f>
        <v/>
      </c>
      <c r="X408" s="6">
        <f>IF(OR($BJ408="",23&gt;設定!$B$3),"",IF(INDEX(原始資料!Z$2:Z$501,$BJ408)="","",INDEX(原始資料!Z$2:Z$501,$BJ408)))</f>
        <v/>
      </c>
      <c r="Y408" s="6">
        <f>IF(OR($BJ408="",24&gt;設定!$B$3),"",IF(INDEX(原始資料!AA$2:AA$501,$BJ408)="","",INDEX(原始資料!AA$2:AA$501,$BJ408)))</f>
        <v/>
      </c>
      <c r="Z408" s="6">
        <f>IF(OR($BJ408="",25&gt;設定!$B$3),"",IF(INDEX(原始資料!AB$2:AB$501,$BJ408)="","",INDEX(原始資料!AB$2:AB$501,$BJ408)))</f>
        <v/>
      </c>
      <c r="AA408" s="6">
        <f>IF(OR($BJ408="",26&gt;設定!$B$3),"",IF(INDEX(原始資料!AC$2:AC$501,$BJ408)="","",INDEX(原始資料!AC$2:AC$501,$BJ408)))</f>
        <v/>
      </c>
      <c r="AB408" s="6">
        <f>IF(OR($BJ408="",27&gt;設定!$B$3),"",IF(INDEX(原始資料!AD$2:AD$501,$BJ408)="","",INDEX(原始資料!AD$2:AD$501,$BJ408)))</f>
        <v/>
      </c>
      <c r="AC408" s="6">
        <f>IF(OR($BJ408="",28&gt;設定!$B$3),"",IF(INDEX(原始資料!AE$2:AE$501,$BJ408)="","",INDEX(原始資料!AE$2:AE$501,$BJ408)))</f>
        <v/>
      </c>
      <c r="AD408" s="6">
        <f>IF(OR($BJ408="",29&gt;設定!$B$3),"",IF(INDEX(原始資料!AF$2:AF$501,$BJ408)="","",INDEX(原始資料!AF$2:AF$501,$BJ408)))</f>
        <v/>
      </c>
      <c r="AE408" s="6">
        <f>IF(OR($BJ408="",30&gt;設定!$B$3),"",IF(INDEX(原始資料!AG$2:AG$501,$BJ408)="","",INDEX(原始資料!AG$2:AG$501,$BJ408)))</f>
        <v/>
      </c>
      <c r="AF408" s="6">
        <f>IF(OR($BJ408="",31&gt;設定!$B$3),"",IF(INDEX(原始資料!AH$2:AH$501,$BJ408)="","",INDEX(原始資料!AH$2:AH$501,$BJ408)))</f>
        <v/>
      </c>
      <c r="AG408" s="6">
        <f>IF(OR($BJ408="",32&gt;設定!$B$3),"",IF(INDEX(原始資料!AI$2:AI$501,$BJ408)="","",INDEX(原始資料!AI$2:AI$501,$BJ408)))</f>
        <v/>
      </c>
      <c r="AH408" s="6">
        <f>IF(OR($BJ408="",33&gt;設定!$B$3),"",IF(INDEX(原始資料!AJ$2:AJ$501,$BJ408)="","",INDEX(原始資料!AJ$2:AJ$501,$BJ408)))</f>
        <v/>
      </c>
      <c r="AI408" s="6">
        <f>IF(OR($BJ408="",34&gt;設定!$B$3),"",IF(INDEX(原始資料!AK$2:AK$501,$BJ408)="","",INDEX(原始資料!AK$2:AK$501,$BJ408)))</f>
        <v/>
      </c>
      <c r="AJ408" s="6">
        <f>IF(OR($BJ408="",35&gt;設定!$B$3),"",IF(INDEX(原始資料!AL$2:AL$501,$BJ408)="","",INDEX(原始資料!AL$2:AL$501,$BJ408)))</f>
        <v/>
      </c>
      <c r="AK408" s="6">
        <f>IF(OR($BJ408="",36&gt;設定!$B$3),"",IF(INDEX(原始資料!AM$2:AM$501,$BJ408)="","",INDEX(原始資料!AM$2:AM$501,$BJ408)))</f>
        <v/>
      </c>
      <c r="AL408" s="6">
        <f>IF(OR($BJ408="",37&gt;設定!$B$3),"",IF(INDEX(原始資料!AN$2:AN$501,$BJ408)="","",INDEX(原始資料!AN$2:AN$501,$BJ408)))</f>
        <v/>
      </c>
      <c r="AM408" s="6">
        <f>IF(OR($BJ408="",38&gt;設定!$B$3),"",IF(INDEX(原始資料!AO$2:AO$501,$BJ408)="","",INDEX(原始資料!AO$2:AO$501,$BJ408)))</f>
        <v/>
      </c>
      <c r="AN408" s="6">
        <f>IF(OR($BJ408="",39&gt;設定!$B$3),"",IF(INDEX(原始資料!AP$2:AP$501,$BJ408)="","",INDEX(原始資料!AP$2:AP$501,$BJ408)))</f>
        <v/>
      </c>
      <c r="AO408" s="6">
        <f>IF(OR($BJ408="",40&gt;設定!$B$3),"",IF(INDEX(原始資料!AQ$2:AQ$501,$BJ408)="","",INDEX(原始資料!AQ$2:AQ$501,$BJ408)))</f>
        <v/>
      </c>
      <c r="AP408" s="6">
        <f>IF(OR($BJ408="",41&gt;設定!$B$3),"",IF(INDEX(原始資料!AR$2:AR$501,$BJ408)="","",INDEX(原始資料!AR$2:AR$501,$BJ408)))</f>
        <v/>
      </c>
      <c r="AQ408" s="6">
        <f>IF(OR($BJ408="",42&gt;設定!$B$3),"",IF(INDEX(原始資料!AS$2:AS$501,$BJ408)="","",INDEX(原始資料!AS$2:AS$501,$BJ408)))</f>
        <v/>
      </c>
      <c r="AR408" s="6">
        <f>IF(OR($BJ408="",43&gt;設定!$B$3),"",IF(INDEX(原始資料!AT$2:AT$501,$BJ408)="","",INDEX(原始資料!AT$2:AT$501,$BJ408)))</f>
        <v/>
      </c>
      <c r="AS408" s="6">
        <f>IF(OR($BJ408="",44&gt;設定!$B$3),"",IF(INDEX(原始資料!AU$2:AU$501,$BJ408)="","",INDEX(原始資料!AU$2:AU$501,$BJ408)))</f>
        <v/>
      </c>
      <c r="AT408" s="6">
        <f>IF(OR($BJ408="",45&gt;設定!$B$3),"",IF(INDEX(原始資料!AV$2:AV$501,$BJ408)="","",INDEX(原始資料!AV$2:AV$501,$BJ408)))</f>
        <v/>
      </c>
      <c r="AU408" s="6">
        <f>IF(OR($BJ408="",46&gt;設定!$B$3),"",IF(INDEX(原始資料!AW$2:AW$501,$BJ408)="","",INDEX(原始資料!AW$2:AW$501,$BJ408)))</f>
        <v/>
      </c>
      <c r="AV408" s="6">
        <f>IF(OR($BJ408="",47&gt;設定!$B$3),"",IF(INDEX(原始資料!AX$2:AX$501,$BJ408)="","",INDEX(原始資料!AX$2:AX$501,$BJ408)))</f>
        <v/>
      </c>
      <c r="AW408" s="6">
        <f>IF(OR($BJ408="",48&gt;設定!$B$3),"",IF(INDEX(原始資料!AY$2:AY$501,$BJ408)="","",INDEX(原始資料!AY$2:AY$501,$BJ408)))</f>
        <v/>
      </c>
      <c r="AX408" s="6">
        <f>IF(OR($BJ408="",49&gt;設定!$B$3),"",IF(INDEX(原始資料!AZ$2:AZ$501,$BJ408)="","",INDEX(原始資料!AZ$2:AZ$501,$BJ408)))</f>
        <v/>
      </c>
      <c r="AY408" s="6">
        <f>IF(OR($BJ408="",50&gt;設定!$B$3),"",IF(INDEX(原始資料!BA$2:BA$501,$BJ408)="","",INDEX(原始資料!BA$2:BA$501,$BJ408)))</f>
        <v/>
      </c>
      <c r="AZ408" s="6">
        <f>IF(OR($BJ408="",51&gt;設定!$B$3),"",IF(INDEX(原始資料!BB$2:BB$501,$BJ408)="","",INDEX(原始資料!BB$2:BB$501,$BJ408)))</f>
        <v/>
      </c>
      <c r="BA408" s="6">
        <f>IF(OR($BJ408="",52&gt;設定!$B$3),"",IF(INDEX(原始資料!BC$2:BC$501,$BJ408)="","",INDEX(原始資料!BC$2:BC$501,$BJ408)))</f>
        <v/>
      </c>
      <c r="BB408" s="6">
        <f>IF(OR($BJ408="",53&gt;設定!$B$3),"",IF(INDEX(原始資料!BD$2:BD$501,$BJ408)="","",INDEX(原始資料!BD$2:BD$501,$BJ408)))</f>
        <v/>
      </c>
      <c r="BC408" s="6">
        <f>IF(OR($BJ408="",54&gt;設定!$B$3),"",IF(INDEX(原始資料!BE$2:BE$501,$BJ408)="","",INDEX(原始資料!BE$2:BE$501,$BJ408)))</f>
        <v/>
      </c>
      <c r="BD408" s="6">
        <f>IF(OR($BJ408="",55&gt;設定!$B$3),"",IF(INDEX(原始資料!BF$2:BF$501,$BJ408)="","",INDEX(原始資料!BF$2:BF$501,$BJ408)))</f>
        <v/>
      </c>
      <c r="BE408" s="6">
        <f>IF(OR($BJ408="",56&gt;設定!$B$3),"",IF(INDEX(原始資料!BG$2:BG$501,$BJ408)="","",INDEX(原始資料!BG$2:BG$501,$BJ408)))</f>
        <v/>
      </c>
      <c r="BF408" s="6">
        <f>IF(OR($BJ408="",57&gt;設定!$B$3),"",IF(INDEX(原始資料!BH$2:BH$501,$BJ408)="","",INDEX(原始資料!BH$2:BH$501,$BJ408)))</f>
        <v/>
      </c>
      <c r="BG408" s="6">
        <f>IF(OR($BJ408="",58&gt;設定!$B$3),"",IF(INDEX(原始資料!BI$2:BI$501,$BJ408)="","",INDEX(原始資料!BI$2:BI$501,$BJ408)))</f>
        <v/>
      </c>
      <c r="BH408" s="6">
        <f>IF(OR($BJ408="",59&gt;設定!$B$3),"",IF(INDEX(原始資料!BJ$2:BJ$501,$BJ408)="","",INDEX(原始資料!BJ$2:BJ$501,$BJ408)))</f>
        <v/>
      </c>
      <c r="BI408" s="6">
        <f>IF(OR($BJ408="",60&gt;設定!$B$3),"",IF(INDEX(原始資料!BK$2:BK$501,$BJ408)="","",INDEX(原始資料!BK$2:BK$501,$BJ408)))</f>
        <v/>
      </c>
      <c r="BJ408" s="6">
        <f>IFERROR(MATCH(ROW()-1,判定!$H$2:$H$501,0),"")</f>
        <v/>
      </c>
    </row>
    <row r="409">
      <c r="A409" s="6">
        <f>IF($BJ409="","",INDEX(原始資料!$A$2:$A$501,$BJ409))</f>
        <v/>
      </c>
      <c r="B409" s="6">
        <f>IF(OR($BJ409="",1&gt;設定!$B$3),"",IF(INDEX(原始資料!D$2:D$501,$BJ409)="","",INDEX(原始資料!D$2:D$501,$BJ409)))</f>
        <v/>
      </c>
      <c r="C409" s="6">
        <f>IF(OR($BJ409="",2&gt;設定!$B$3),"",IF(INDEX(原始資料!E$2:E$501,$BJ409)="","",INDEX(原始資料!E$2:E$501,$BJ409)))</f>
        <v/>
      </c>
      <c r="D409" s="6">
        <f>IF(OR($BJ409="",3&gt;設定!$B$3),"",IF(INDEX(原始資料!F$2:F$501,$BJ409)="","",INDEX(原始資料!F$2:F$501,$BJ409)))</f>
        <v/>
      </c>
      <c r="E409" s="6">
        <f>IF(OR($BJ409="",4&gt;設定!$B$3),"",IF(INDEX(原始資料!G$2:G$501,$BJ409)="","",INDEX(原始資料!G$2:G$501,$BJ409)))</f>
        <v/>
      </c>
      <c r="F409" s="6">
        <f>IF(OR($BJ409="",5&gt;設定!$B$3),"",IF(INDEX(原始資料!H$2:H$501,$BJ409)="","",INDEX(原始資料!H$2:H$501,$BJ409)))</f>
        <v/>
      </c>
      <c r="G409" s="6">
        <f>IF(OR($BJ409="",6&gt;設定!$B$3),"",IF(INDEX(原始資料!I$2:I$501,$BJ409)="","",INDEX(原始資料!I$2:I$501,$BJ409)))</f>
        <v/>
      </c>
      <c r="H409" s="6">
        <f>IF(OR($BJ409="",7&gt;設定!$B$3),"",IF(INDEX(原始資料!J$2:J$501,$BJ409)="","",INDEX(原始資料!J$2:J$501,$BJ409)))</f>
        <v/>
      </c>
      <c r="I409" s="6">
        <f>IF(OR($BJ409="",8&gt;設定!$B$3),"",IF(INDEX(原始資料!K$2:K$501,$BJ409)="","",INDEX(原始資料!K$2:K$501,$BJ409)))</f>
        <v/>
      </c>
      <c r="J409" s="6">
        <f>IF(OR($BJ409="",9&gt;設定!$B$3),"",IF(INDEX(原始資料!L$2:L$501,$BJ409)="","",INDEX(原始資料!L$2:L$501,$BJ409)))</f>
        <v/>
      </c>
      <c r="K409" s="6">
        <f>IF(OR($BJ409="",10&gt;設定!$B$3),"",IF(INDEX(原始資料!M$2:M$501,$BJ409)="","",INDEX(原始資料!M$2:M$501,$BJ409)))</f>
        <v/>
      </c>
      <c r="L409" s="6">
        <f>IF(OR($BJ409="",11&gt;設定!$B$3),"",IF(INDEX(原始資料!N$2:N$501,$BJ409)="","",INDEX(原始資料!N$2:N$501,$BJ409)))</f>
        <v/>
      </c>
      <c r="M409" s="6">
        <f>IF(OR($BJ409="",12&gt;設定!$B$3),"",IF(INDEX(原始資料!O$2:O$501,$BJ409)="","",INDEX(原始資料!O$2:O$501,$BJ409)))</f>
        <v/>
      </c>
      <c r="N409" s="6">
        <f>IF(OR($BJ409="",13&gt;設定!$B$3),"",IF(INDEX(原始資料!P$2:P$501,$BJ409)="","",INDEX(原始資料!P$2:P$501,$BJ409)))</f>
        <v/>
      </c>
      <c r="O409" s="6">
        <f>IF(OR($BJ409="",14&gt;設定!$B$3),"",IF(INDEX(原始資料!Q$2:Q$501,$BJ409)="","",INDEX(原始資料!Q$2:Q$501,$BJ409)))</f>
        <v/>
      </c>
      <c r="P409" s="6">
        <f>IF(OR($BJ409="",15&gt;設定!$B$3),"",IF(INDEX(原始資料!R$2:R$501,$BJ409)="","",INDEX(原始資料!R$2:R$501,$BJ409)))</f>
        <v/>
      </c>
      <c r="Q409" s="6">
        <f>IF(OR($BJ409="",16&gt;設定!$B$3),"",IF(INDEX(原始資料!S$2:S$501,$BJ409)="","",INDEX(原始資料!S$2:S$501,$BJ409)))</f>
        <v/>
      </c>
      <c r="R409" s="6">
        <f>IF(OR($BJ409="",17&gt;設定!$B$3),"",IF(INDEX(原始資料!T$2:T$501,$BJ409)="","",INDEX(原始資料!T$2:T$501,$BJ409)))</f>
        <v/>
      </c>
      <c r="S409" s="6">
        <f>IF(OR($BJ409="",18&gt;設定!$B$3),"",IF(INDEX(原始資料!U$2:U$501,$BJ409)="","",INDEX(原始資料!U$2:U$501,$BJ409)))</f>
        <v/>
      </c>
      <c r="T409" s="6">
        <f>IF(OR($BJ409="",19&gt;設定!$B$3),"",IF(INDEX(原始資料!V$2:V$501,$BJ409)="","",INDEX(原始資料!V$2:V$501,$BJ409)))</f>
        <v/>
      </c>
      <c r="U409" s="6">
        <f>IF(OR($BJ409="",20&gt;設定!$B$3),"",IF(INDEX(原始資料!W$2:W$501,$BJ409)="","",INDEX(原始資料!W$2:W$501,$BJ409)))</f>
        <v/>
      </c>
      <c r="V409" s="6">
        <f>IF(OR($BJ409="",21&gt;設定!$B$3),"",IF(INDEX(原始資料!X$2:X$501,$BJ409)="","",INDEX(原始資料!X$2:X$501,$BJ409)))</f>
        <v/>
      </c>
      <c r="W409" s="6">
        <f>IF(OR($BJ409="",22&gt;設定!$B$3),"",IF(INDEX(原始資料!Y$2:Y$501,$BJ409)="","",INDEX(原始資料!Y$2:Y$501,$BJ409)))</f>
        <v/>
      </c>
      <c r="X409" s="6">
        <f>IF(OR($BJ409="",23&gt;設定!$B$3),"",IF(INDEX(原始資料!Z$2:Z$501,$BJ409)="","",INDEX(原始資料!Z$2:Z$501,$BJ409)))</f>
        <v/>
      </c>
      <c r="Y409" s="6">
        <f>IF(OR($BJ409="",24&gt;設定!$B$3),"",IF(INDEX(原始資料!AA$2:AA$501,$BJ409)="","",INDEX(原始資料!AA$2:AA$501,$BJ409)))</f>
        <v/>
      </c>
      <c r="Z409" s="6">
        <f>IF(OR($BJ409="",25&gt;設定!$B$3),"",IF(INDEX(原始資料!AB$2:AB$501,$BJ409)="","",INDEX(原始資料!AB$2:AB$501,$BJ409)))</f>
        <v/>
      </c>
      <c r="AA409" s="6">
        <f>IF(OR($BJ409="",26&gt;設定!$B$3),"",IF(INDEX(原始資料!AC$2:AC$501,$BJ409)="","",INDEX(原始資料!AC$2:AC$501,$BJ409)))</f>
        <v/>
      </c>
      <c r="AB409" s="6">
        <f>IF(OR($BJ409="",27&gt;設定!$B$3),"",IF(INDEX(原始資料!AD$2:AD$501,$BJ409)="","",INDEX(原始資料!AD$2:AD$501,$BJ409)))</f>
        <v/>
      </c>
      <c r="AC409" s="6">
        <f>IF(OR($BJ409="",28&gt;設定!$B$3),"",IF(INDEX(原始資料!AE$2:AE$501,$BJ409)="","",INDEX(原始資料!AE$2:AE$501,$BJ409)))</f>
        <v/>
      </c>
      <c r="AD409" s="6">
        <f>IF(OR($BJ409="",29&gt;設定!$B$3),"",IF(INDEX(原始資料!AF$2:AF$501,$BJ409)="","",INDEX(原始資料!AF$2:AF$501,$BJ409)))</f>
        <v/>
      </c>
      <c r="AE409" s="6">
        <f>IF(OR($BJ409="",30&gt;設定!$B$3),"",IF(INDEX(原始資料!AG$2:AG$501,$BJ409)="","",INDEX(原始資料!AG$2:AG$501,$BJ409)))</f>
        <v/>
      </c>
      <c r="AF409" s="6">
        <f>IF(OR($BJ409="",31&gt;設定!$B$3),"",IF(INDEX(原始資料!AH$2:AH$501,$BJ409)="","",INDEX(原始資料!AH$2:AH$501,$BJ409)))</f>
        <v/>
      </c>
      <c r="AG409" s="6">
        <f>IF(OR($BJ409="",32&gt;設定!$B$3),"",IF(INDEX(原始資料!AI$2:AI$501,$BJ409)="","",INDEX(原始資料!AI$2:AI$501,$BJ409)))</f>
        <v/>
      </c>
      <c r="AH409" s="6">
        <f>IF(OR($BJ409="",33&gt;設定!$B$3),"",IF(INDEX(原始資料!AJ$2:AJ$501,$BJ409)="","",INDEX(原始資料!AJ$2:AJ$501,$BJ409)))</f>
        <v/>
      </c>
      <c r="AI409" s="6">
        <f>IF(OR($BJ409="",34&gt;設定!$B$3),"",IF(INDEX(原始資料!AK$2:AK$501,$BJ409)="","",INDEX(原始資料!AK$2:AK$501,$BJ409)))</f>
        <v/>
      </c>
      <c r="AJ409" s="6">
        <f>IF(OR($BJ409="",35&gt;設定!$B$3),"",IF(INDEX(原始資料!AL$2:AL$501,$BJ409)="","",INDEX(原始資料!AL$2:AL$501,$BJ409)))</f>
        <v/>
      </c>
      <c r="AK409" s="6">
        <f>IF(OR($BJ409="",36&gt;設定!$B$3),"",IF(INDEX(原始資料!AM$2:AM$501,$BJ409)="","",INDEX(原始資料!AM$2:AM$501,$BJ409)))</f>
        <v/>
      </c>
      <c r="AL409" s="6">
        <f>IF(OR($BJ409="",37&gt;設定!$B$3),"",IF(INDEX(原始資料!AN$2:AN$501,$BJ409)="","",INDEX(原始資料!AN$2:AN$501,$BJ409)))</f>
        <v/>
      </c>
      <c r="AM409" s="6">
        <f>IF(OR($BJ409="",38&gt;設定!$B$3),"",IF(INDEX(原始資料!AO$2:AO$501,$BJ409)="","",INDEX(原始資料!AO$2:AO$501,$BJ409)))</f>
        <v/>
      </c>
      <c r="AN409" s="6">
        <f>IF(OR($BJ409="",39&gt;設定!$B$3),"",IF(INDEX(原始資料!AP$2:AP$501,$BJ409)="","",INDEX(原始資料!AP$2:AP$501,$BJ409)))</f>
        <v/>
      </c>
      <c r="AO409" s="6">
        <f>IF(OR($BJ409="",40&gt;設定!$B$3),"",IF(INDEX(原始資料!AQ$2:AQ$501,$BJ409)="","",INDEX(原始資料!AQ$2:AQ$501,$BJ409)))</f>
        <v/>
      </c>
      <c r="AP409" s="6">
        <f>IF(OR($BJ409="",41&gt;設定!$B$3),"",IF(INDEX(原始資料!AR$2:AR$501,$BJ409)="","",INDEX(原始資料!AR$2:AR$501,$BJ409)))</f>
        <v/>
      </c>
      <c r="AQ409" s="6">
        <f>IF(OR($BJ409="",42&gt;設定!$B$3),"",IF(INDEX(原始資料!AS$2:AS$501,$BJ409)="","",INDEX(原始資料!AS$2:AS$501,$BJ409)))</f>
        <v/>
      </c>
      <c r="AR409" s="6">
        <f>IF(OR($BJ409="",43&gt;設定!$B$3),"",IF(INDEX(原始資料!AT$2:AT$501,$BJ409)="","",INDEX(原始資料!AT$2:AT$501,$BJ409)))</f>
        <v/>
      </c>
      <c r="AS409" s="6">
        <f>IF(OR($BJ409="",44&gt;設定!$B$3),"",IF(INDEX(原始資料!AU$2:AU$501,$BJ409)="","",INDEX(原始資料!AU$2:AU$501,$BJ409)))</f>
        <v/>
      </c>
      <c r="AT409" s="6">
        <f>IF(OR($BJ409="",45&gt;設定!$B$3),"",IF(INDEX(原始資料!AV$2:AV$501,$BJ409)="","",INDEX(原始資料!AV$2:AV$501,$BJ409)))</f>
        <v/>
      </c>
      <c r="AU409" s="6">
        <f>IF(OR($BJ409="",46&gt;設定!$B$3),"",IF(INDEX(原始資料!AW$2:AW$501,$BJ409)="","",INDEX(原始資料!AW$2:AW$501,$BJ409)))</f>
        <v/>
      </c>
      <c r="AV409" s="6">
        <f>IF(OR($BJ409="",47&gt;設定!$B$3),"",IF(INDEX(原始資料!AX$2:AX$501,$BJ409)="","",INDEX(原始資料!AX$2:AX$501,$BJ409)))</f>
        <v/>
      </c>
      <c r="AW409" s="6">
        <f>IF(OR($BJ409="",48&gt;設定!$B$3),"",IF(INDEX(原始資料!AY$2:AY$501,$BJ409)="","",INDEX(原始資料!AY$2:AY$501,$BJ409)))</f>
        <v/>
      </c>
      <c r="AX409" s="6">
        <f>IF(OR($BJ409="",49&gt;設定!$B$3),"",IF(INDEX(原始資料!AZ$2:AZ$501,$BJ409)="","",INDEX(原始資料!AZ$2:AZ$501,$BJ409)))</f>
        <v/>
      </c>
      <c r="AY409" s="6">
        <f>IF(OR($BJ409="",50&gt;設定!$B$3),"",IF(INDEX(原始資料!BA$2:BA$501,$BJ409)="","",INDEX(原始資料!BA$2:BA$501,$BJ409)))</f>
        <v/>
      </c>
      <c r="AZ409" s="6">
        <f>IF(OR($BJ409="",51&gt;設定!$B$3),"",IF(INDEX(原始資料!BB$2:BB$501,$BJ409)="","",INDEX(原始資料!BB$2:BB$501,$BJ409)))</f>
        <v/>
      </c>
      <c r="BA409" s="6">
        <f>IF(OR($BJ409="",52&gt;設定!$B$3),"",IF(INDEX(原始資料!BC$2:BC$501,$BJ409)="","",INDEX(原始資料!BC$2:BC$501,$BJ409)))</f>
        <v/>
      </c>
      <c r="BB409" s="6">
        <f>IF(OR($BJ409="",53&gt;設定!$B$3),"",IF(INDEX(原始資料!BD$2:BD$501,$BJ409)="","",INDEX(原始資料!BD$2:BD$501,$BJ409)))</f>
        <v/>
      </c>
      <c r="BC409" s="6">
        <f>IF(OR($BJ409="",54&gt;設定!$B$3),"",IF(INDEX(原始資料!BE$2:BE$501,$BJ409)="","",INDEX(原始資料!BE$2:BE$501,$BJ409)))</f>
        <v/>
      </c>
      <c r="BD409" s="6">
        <f>IF(OR($BJ409="",55&gt;設定!$B$3),"",IF(INDEX(原始資料!BF$2:BF$501,$BJ409)="","",INDEX(原始資料!BF$2:BF$501,$BJ409)))</f>
        <v/>
      </c>
      <c r="BE409" s="6">
        <f>IF(OR($BJ409="",56&gt;設定!$B$3),"",IF(INDEX(原始資料!BG$2:BG$501,$BJ409)="","",INDEX(原始資料!BG$2:BG$501,$BJ409)))</f>
        <v/>
      </c>
      <c r="BF409" s="6">
        <f>IF(OR($BJ409="",57&gt;設定!$B$3),"",IF(INDEX(原始資料!BH$2:BH$501,$BJ409)="","",INDEX(原始資料!BH$2:BH$501,$BJ409)))</f>
        <v/>
      </c>
      <c r="BG409" s="6">
        <f>IF(OR($BJ409="",58&gt;設定!$B$3),"",IF(INDEX(原始資料!BI$2:BI$501,$BJ409)="","",INDEX(原始資料!BI$2:BI$501,$BJ409)))</f>
        <v/>
      </c>
      <c r="BH409" s="6">
        <f>IF(OR($BJ409="",59&gt;設定!$B$3),"",IF(INDEX(原始資料!BJ$2:BJ$501,$BJ409)="","",INDEX(原始資料!BJ$2:BJ$501,$BJ409)))</f>
        <v/>
      </c>
      <c r="BI409" s="6">
        <f>IF(OR($BJ409="",60&gt;設定!$B$3),"",IF(INDEX(原始資料!BK$2:BK$501,$BJ409)="","",INDEX(原始資料!BK$2:BK$501,$BJ409)))</f>
        <v/>
      </c>
      <c r="BJ409" s="6">
        <f>IFERROR(MATCH(ROW()-1,判定!$H$2:$H$501,0),"")</f>
        <v/>
      </c>
    </row>
    <row r="410">
      <c r="A410" s="6">
        <f>IF($BJ410="","",INDEX(原始資料!$A$2:$A$501,$BJ410))</f>
        <v/>
      </c>
      <c r="B410" s="6">
        <f>IF(OR($BJ410="",1&gt;設定!$B$3),"",IF(INDEX(原始資料!D$2:D$501,$BJ410)="","",INDEX(原始資料!D$2:D$501,$BJ410)))</f>
        <v/>
      </c>
      <c r="C410" s="6">
        <f>IF(OR($BJ410="",2&gt;設定!$B$3),"",IF(INDEX(原始資料!E$2:E$501,$BJ410)="","",INDEX(原始資料!E$2:E$501,$BJ410)))</f>
        <v/>
      </c>
      <c r="D410" s="6">
        <f>IF(OR($BJ410="",3&gt;設定!$B$3),"",IF(INDEX(原始資料!F$2:F$501,$BJ410)="","",INDEX(原始資料!F$2:F$501,$BJ410)))</f>
        <v/>
      </c>
      <c r="E410" s="6">
        <f>IF(OR($BJ410="",4&gt;設定!$B$3),"",IF(INDEX(原始資料!G$2:G$501,$BJ410)="","",INDEX(原始資料!G$2:G$501,$BJ410)))</f>
        <v/>
      </c>
      <c r="F410" s="6">
        <f>IF(OR($BJ410="",5&gt;設定!$B$3),"",IF(INDEX(原始資料!H$2:H$501,$BJ410)="","",INDEX(原始資料!H$2:H$501,$BJ410)))</f>
        <v/>
      </c>
      <c r="G410" s="6">
        <f>IF(OR($BJ410="",6&gt;設定!$B$3),"",IF(INDEX(原始資料!I$2:I$501,$BJ410)="","",INDEX(原始資料!I$2:I$501,$BJ410)))</f>
        <v/>
      </c>
      <c r="H410" s="6">
        <f>IF(OR($BJ410="",7&gt;設定!$B$3),"",IF(INDEX(原始資料!J$2:J$501,$BJ410)="","",INDEX(原始資料!J$2:J$501,$BJ410)))</f>
        <v/>
      </c>
      <c r="I410" s="6">
        <f>IF(OR($BJ410="",8&gt;設定!$B$3),"",IF(INDEX(原始資料!K$2:K$501,$BJ410)="","",INDEX(原始資料!K$2:K$501,$BJ410)))</f>
        <v/>
      </c>
      <c r="J410" s="6">
        <f>IF(OR($BJ410="",9&gt;設定!$B$3),"",IF(INDEX(原始資料!L$2:L$501,$BJ410)="","",INDEX(原始資料!L$2:L$501,$BJ410)))</f>
        <v/>
      </c>
      <c r="K410" s="6">
        <f>IF(OR($BJ410="",10&gt;設定!$B$3),"",IF(INDEX(原始資料!M$2:M$501,$BJ410)="","",INDEX(原始資料!M$2:M$501,$BJ410)))</f>
        <v/>
      </c>
      <c r="L410" s="6">
        <f>IF(OR($BJ410="",11&gt;設定!$B$3),"",IF(INDEX(原始資料!N$2:N$501,$BJ410)="","",INDEX(原始資料!N$2:N$501,$BJ410)))</f>
        <v/>
      </c>
      <c r="M410" s="6">
        <f>IF(OR($BJ410="",12&gt;設定!$B$3),"",IF(INDEX(原始資料!O$2:O$501,$BJ410)="","",INDEX(原始資料!O$2:O$501,$BJ410)))</f>
        <v/>
      </c>
      <c r="N410" s="6">
        <f>IF(OR($BJ410="",13&gt;設定!$B$3),"",IF(INDEX(原始資料!P$2:P$501,$BJ410)="","",INDEX(原始資料!P$2:P$501,$BJ410)))</f>
        <v/>
      </c>
      <c r="O410" s="6">
        <f>IF(OR($BJ410="",14&gt;設定!$B$3),"",IF(INDEX(原始資料!Q$2:Q$501,$BJ410)="","",INDEX(原始資料!Q$2:Q$501,$BJ410)))</f>
        <v/>
      </c>
      <c r="P410" s="6">
        <f>IF(OR($BJ410="",15&gt;設定!$B$3),"",IF(INDEX(原始資料!R$2:R$501,$BJ410)="","",INDEX(原始資料!R$2:R$501,$BJ410)))</f>
        <v/>
      </c>
      <c r="Q410" s="6">
        <f>IF(OR($BJ410="",16&gt;設定!$B$3),"",IF(INDEX(原始資料!S$2:S$501,$BJ410)="","",INDEX(原始資料!S$2:S$501,$BJ410)))</f>
        <v/>
      </c>
      <c r="R410" s="6">
        <f>IF(OR($BJ410="",17&gt;設定!$B$3),"",IF(INDEX(原始資料!T$2:T$501,$BJ410)="","",INDEX(原始資料!T$2:T$501,$BJ410)))</f>
        <v/>
      </c>
      <c r="S410" s="6">
        <f>IF(OR($BJ410="",18&gt;設定!$B$3),"",IF(INDEX(原始資料!U$2:U$501,$BJ410)="","",INDEX(原始資料!U$2:U$501,$BJ410)))</f>
        <v/>
      </c>
      <c r="T410" s="6">
        <f>IF(OR($BJ410="",19&gt;設定!$B$3),"",IF(INDEX(原始資料!V$2:V$501,$BJ410)="","",INDEX(原始資料!V$2:V$501,$BJ410)))</f>
        <v/>
      </c>
      <c r="U410" s="6">
        <f>IF(OR($BJ410="",20&gt;設定!$B$3),"",IF(INDEX(原始資料!W$2:W$501,$BJ410)="","",INDEX(原始資料!W$2:W$501,$BJ410)))</f>
        <v/>
      </c>
      <c r="V410" s="6">
        <f>IF(OR($BJ410="",21&gt;設定!$B$3),"",IF(INDEX(原始資料!X$2:X$501,$BJ410)="","",INDEX(原始資料!X$2:X$501,$BJ410)))</f>
        <v/>
      </c>
      <c r="W410" s="6">
        <f>IF(OR($BJ410="",22&gt;設定!$B$3),"",IF(INDEX(原始資料!Y$2:Y$501,$BJ410)="","",INDEX(原始資料!Y$2:Y$501,$BJ410)))</f>
        <v/>
      </c>
      <c r="X410" s="6">
        <f>IF(OR($BJ410="",23&gt;設定!$B$3),"",IF(INDEX(原始資料!Z$2:Z$501,$BJ410)="","",INDEX(原始資料!Z$2:Z$501,$BJ410)))</f>
        <v/>
      </c>
      <c r="Y410" s="6">
        <f>IF(OR($BJ410="",24&gt;設定!$B$3),"",IF(INDEX(原始資料!AA$2:AA$501,$BJ410)="","",INDEX(原始資料!AA$2:AA$501,$BJ410)))</f>
        <v/>
      </c>
      <c r="Z410" s="6">
        <f>IF(OR($BJ410="",25&gt;設定!$B$3),"",IF(INDEX(原始資料!AB$2:AB$501,$BJ410)="","",INDEX(原始資料!AB$2:AB$501,$BJ410)))</f>
        <v/>
      </c>
      <c r="AA410" s="6">
        <f>IF(OR($BJ410="",26&gt;設定!$B$3),"",IF(INDEX(原始資料!AC$2:AC$501,$BJ410)="","",INDEX(原始資料!AC$2:AC$501,$BJ410)))</f>
        <v/>
      </c>
      <c r="AB410" s="6">
        <f>IF(OR($BJ410="",27&gt;設定!$B$3),"",IF(INDEX(原始資料!AD$2:AD$501,$BJ410)="","",INDEX(原始資料!AD$2:AD$501,$BJ410)))</f>
        <v/>
      </c>
      <c r="AC410" s="6">
        <f>IF(OR($BJ410="",28&gt;設定!$B$3),"",IF(INDEX(原始資料!AE$2:AE$501,$BJ410)="","",INDEX(原始資料!AE$2:AE$501,$BJ410)))</f>
        <v/>
      </c>
      <c r="AD410" s="6">
        <f>IF(OR($BJ410="",29&gt;設定!$B$3),"",IF(INDEX(原始資料!AF$2:AF$501,$BJ410)="","",INDEX(原始資料!AF$2:AF$501,$BJ410)))</f>
        <v/>
      </c>
      <c r="AE410" s="6">
        <f>IF(OR($BJ410="",30&gt;設定!$B$3),"",IF(INDEX(原始資料!AG$2:AG$501,$BJ410)="","",INDEX(原始資料!AG$2:AG$501,$BJ410)))</f>
        <v/>
      </c>
      <c r="AF410" s="6">
        <f>IF(OR($BJ410="",31&gt;設定!$B$3),"",IF(INDEX(原始資料!AH$2:AH$501,$BJ410)="","",INDEX(原始資料!AH$2:AH$501,$BJ410)))</f>
        <v/>
      </c>
      <c r="AG410" s="6">
        <f>IF(OR($BJ410="",32&gt;設定!$B$3),"",IF(INDEX(原始資料!AI$2:AI$501,$BJ410)="","",INDEX(原始資料!AI$2:AI$501,$BJ410)))</f>
        <v/>
      </c>
      <c r="AH410" s="6">
        <f>IF(OR($BJ410="",33&gt;設定!$B$3),"",IF(INDEX(原始資料!AJ$2:AJ$501,$BJ410)="","",INDEX(原始資料!AJ$2:AJ$501,$BJ410)))</f>
        <v/>
      </c>
      <c r="AI410" s="6">
        <f>IF(OR($BJ410="",34&gt;設定!$B$3),"",IF(INDEX(原始資料!AK$2:AK$501,$BJ410)="","",INDEX(原始資料!AK$2:AK$501,$BJ410)))</f>
        <v/>
      </c>
      <c r="AJ410" s="6">
        <f>IF(OR($BJ410="",35&gt;設定!$B$3),"",IF(INDEX(原始資料!AL$2:AL$501,$BJ410)="","",INDEX(原始資料!AL$2:AL$501,$BJ410)))</f>
        <v/>
      </c>
      <c r="AK410" s="6">
        <f>IF(OR($BJ410="",36&gt;設定!$B$3),"",IF(INDEX(原始資料!AM$2:AM$501,$BJ410)="","",INDEX(原始資料!AM$2:AM$501,$BJ410)))</f>
        <v/>
      </c>
      <c r="AL410" s="6">
        <f>IF(OR($BJ410="",37&gt;設定!$B$3),"",IF(INDEX(原始資料!AN$2:AN$501,$BJ410)="","",INDEX(原始資料!AN$2:AN$501,$BJ410)))</f>
        <v/>
      </c>
      <c r="AM410" s="6">
        <f>IF(OR($BJ410="",38&gt;設定!$B$3),"",IF(INDEX(原始資料!AO$2:AO$501,$BJ410)="","",INDEX(原始資料!AO$2:AO$501,$BJ410)))</f>
        <v/>
      </c>
      <c r="AN410" s="6">
        <f>IF(OR($BJ410="",39&gt;設定!$B$3),"",IF(INDEX(原始資料!AP$2:AP$501,$BJ410)="","",INDEX(原始資料!AP$2:AP$501,$BJ410)))</f>
        <v/>
      </c>
      <c r="AO410" s="6">
        <f>IF(OR($BJ410="",40&gt;設定!$B$3),"",IF(INDEX(原始資料!AQ$2:AQ$501,$BJ410)="","",INDEX(原始資料!AQ$2:AQ$501,$BJ410)))</f>
        <v/>
      </c>
      <c r="AP410" s="6">
        <f>IF(OR($BJ410="",41&gt;設定!$B$3),"",IF(INDEX(原始資料!AR$2:AR$501,$BJ410)="","",INDEX(原始資料!AR$2:AR$501,$BJ410)))</f>
        <v/>
      </c>
      <c r="AQ410" s="6">
        <f>IF(OR($BJ410="",42&gt;設定!$B$3),"",IF(INDEX(原始資料!AS$2:AS$501,$BJ410)="","",INDEX(原始資料!AS$2:AS$501,$BJ410)))</f>
        <v/>
      </c>
      <c r="AR410" s="6">
        <f>IF(OR($BJ410="",43&gt;設定!$B$3),"",IF(INDEX(原始資料!AT$2:AT$501,$BJ410)="","",INDEX(原始資料!AT$2:AT$501,$BJ410)))</f>
        <v/>
      </c>
      <c r="AS410" s="6">
        <f>IF(OR($BJ410="",44&gt;設定!$B$3),"",IF(INDEX(原始資料!AU$2:AU$501,$BJ410)="","",INDEX(原始資料!AU$2:AU$501,$BJ410)))</f>
        <v/>
      </c>
      <c r="AT410" s="6">
        <f>IF(OR($BJ410="",45&gt;設定!$B$3),"",IF(INDEX(原始資料!AV$2:AV$501,$BJ410)="","",INDEX(原始資料!AV$2:AV$501,$BJ410)))</f>
        <v/>
      </c>
      <c r="AU410" s="6">
        <f>IF(OR($BJ410="",46&gt;設定!$B$3),"",IF(INDEX(原始資料!AW$2:AW$501,$BJ410)="","",INDEX(原始資料!AW$2:AW$501,$BJ410)))</f>
        <v/>
      </c>
      <c r="AV410" s="6">
        <f>IF(OR($BJ410="",47&gt;設定!$B$3),"",IF(INDEX(原始資料!AX$2:AX$501,$BJ410)="","",INDEX(原始資料!AX$2:AX$501,$BJ410)))</f>
        <v/>
      </c>
      <c r="AW410" s="6">
        <f>IF(OR($BJ410="",48&gt;設定!$B$3),"",IF(INDEX(原始資料!AY$2:AY$501,$BJ410)="","",INDEX(原始資料!AY$2:AY$501,$BJ410)))</f>
        <v/>
      </c>
      <c r="AX410" s="6">
        <f>IF(OR($BJ410="",49&gt;設定!$B$3),"",IF(INDEX(原始資料!AZ$2:AZ$501,$BJ410)="","",INDEX(原始資料!AZ$2:AZ$501,$BJ410)))</f>
        <v/>
      </c>
      <c r="AY410" s="6">
        <f>IF(OR($BJ410="",50&gt;設定!$B$3),"",IF(INDEX(原始資料!BA$2:BA$501,$BJ410)="","",INDEX(原始資料!BA$2:BA$501,$BJ410)))</f>
        <v/>
      </c>
      <c r="AZ410" s="6">
        <f>IF(OR($BJ410="",51&gt;設定!$B$3),"",IF(INDEX(原始資料!BB$2:BB$501,$BJ410)="","",INDEX(原始資料!BB$2:BB$501,$BJ410)))</f>
        <v/>
      </c>
      <c r="BA410" s="6">
        <f>IF(OR($BJ410="",52&gt;設定!$B$3),"",IF(INDEX(原始資料!BC$2:BC$501,$BJ410)="","",INDEX(原始資料!BC$2:BC$501,$BJ410)))</f>
        <v/>
      </c>
      <c r="BB410" s="6">
        <f>IF(OR($BJ410="",53&gt;設定!$B$3),"",IF(INDEX(原始資料!BD$2:BD$501,$BJ410)="","",INDEX(原始資料!BD$2:BD$501,$BJ410)))</f>
        <v/>
      </c>
      <c r="BC410" s="6">
        <f>IF(OR($BJ410="",54&gt;設定!$B$3),"",IF(INDEX(原始資料!BE$2:BE$501,$BJ410)="","",INDEX(原始資料!BE$2:BE$501,$BJ410)))</f>
        <v/>
      </c>
      <c r="BD410" s="6">
        <f>IF(OR($BJ410="",55&gt;設定!$B$3),"",IF(INDEX(原始資料!BF$2:BF$501,$BJ410)="","",INDEX(原始資料!BF$2:BF$501,$BJ410)))</f>
        <v/>
      </c>
      <c r="BE410" s="6">
        <f>IF(OR($BJ410="",56&gt;設定!$B$3),"",IF(INDEX(原始資料!BG$2:BG$501,$BJ410)="","",INDEX(原始資料!BG$2:BG$501,$BJ410)))</f>
        <v/>
      </c>
      <c r="BF410" s="6">
        <f>IF(OR($BJ410="",57&gt;設定!$B$3),"",IF(INDEX(原始資料!BH$2:BH$501,$BJ410)="","",INDEX(原始資料!BH$2:BH$501,$BJ410)))</f>
        <v/>
      </c>
      <c r="BG410" s="6">
        <f>IF(OR($BJ410="",58&gt;設定!$B$3),"",IF(INDEX(原始資料!BI$2:BI$501,$BJ410)="","",INDEX(原始資料!BI$2:BI$501,$BJ410)))</f>
        <v/>
      </c>
      <c r="BH410" s="6">
        <f>IF(OR($BJ410="",59&gt;設定!$B$3),"",IF(INDEX(原始資料!BJ$2:BJ$501,$BJ410)="","",INDEX(原始資料!BJ$2:BJ$501,$BJ410)))</f>
        <v/>
      </c>
      <c r="BI410" s="6">
        <f>IF(OR($BJ410="",60&gt;設定!$B$3),"",IF(INDEX(原始資料!BK$2:BK$501,$BJ410)="","",INDEX(原始資料!BK$2:BK$501,$BJ410)))</f>
        <v/>
      </c>
      <c r="BJ410" s="6">
        <f>IFERROR(MATCH(ROW()-1,判定!$H$2:$H$501,0),"")</f>
        <v/>
      </c>
    </row>
    <row r="411">
      <c r="A411" s="6">
        <f>IF($BJ411="","",INDEX(原始資料!$A$2:$A$501,$BJ411))</f>
        <v/>
      </c>
      <c r="B411" s="6">
        <f>IF(OR($BJ411="",1&gt;設定!$B$3),"",IF(INDEX(原始資料!D$2:D$501,$BJ411)="","",INDEX(原始資料!D$2:D$501,$BJ411)))</f>
        <v/>
      </c>
      <c r="C411" s="6">
        <f>IF(OR($BJ411="",2&gt;設定!$B$3),"",IF(INDEX(原始資料!E$2:E$501,$BJ411)="","",INDEX(原始資料!E$2:E$501,$BJ411)))</f>
        <v/>
      </c>
      <c r="D411" s="6">
        <f>IF(OR($BJ411="",3&gt;設定!$B$3),"",IF(INDEX(原始資料!F$2:F$501,$BJ411)="","",INDEX(原始資料!F$2:F$501,$BJ411)))</f>
        <v/>
      </c>
      <c r="E411" s="6">
        <f>IF(OR($BJ411="",4&gt;設定!$B$3),"",IF(INDEX(原始資料!G$2:G$501,$BJ411)="","",INDEX(原始資料!G$2:G$501,$BJ411)))</f>
        <v/>
      </c>
      <c r="F411" s="6">
        <f>IF(OR($BJ411="",5&gt;設定!$B$3),"",IF(INDEX(原始資料!H$2:H$501,$BJ411)="","",INDEX(原始資料!H$2:H$501,$BJ411)))</f>
        <v/>
      </c>
      <c r="G411" s="6">
        <f>IF(OR($BJ411="",6&gt;設定!$B$3),"",IF(INDEX(原始資料!I$2:I$501,$BJ411)="","",INDEX(原始資料!I$2:I$501,$BJ411)))</f>
        <v/>
      </c>
      <c r="H411" s="6">
        <f>IF(OR($BJ411="",7&gt;設定!$B$3),"",IF(INDEX(原始資料!J$2:J$501,$BJ411)="","",INDEX(原始資料!J$2:J$501,$BJ411)))</f>
        <v/>
      </c>
      <c r="I411" s="6">
        <f>IF(OR($BJ411="",8&gt;設定!$B$3),"",IF(INDEX(原始資料!K$2:K$501,$BJ411)="","",INDEX(原始資料!K$2:K$501,$BJ411)))</f>
        <v/>
      </c>
      <c r="J411" s="6">
        <f>IF(OR($BJ411="",9&gt;設定!$B$3),"",IF(INDEX(原始資料!L$2:L$501,$BJ411)="","",INDEX(原始資料!L$2:L$501,$BJ411)))</f>
        <v/>
      </c>
      <c r="K411" s="6">
        <f>IF(OR($BJ411="",10&gt;設定!$B$3),"",IF(INDEX(原始資料!M$2:M$501,$BJ411)="","",INDEX(原始資料!M$2:M$501,$BJ411)))</f>
        <v/>
      </c>
      <c r="L411" s="6">
        <f>IF(OR($BJ411="",11&gt;設定!$B$3),"",IF(INDEX(原始資料!N$2:N$501,$BJ411)="","",INDEX(原始資料!N$2:N$501,$BJ411)))</f>
        <v/>
      </c>
      <c r="M411" s="6">
        <f>IF(OR($BJ411="",12&gt;設定!$B$3),"",IF(INDEX(原始資料!O$2:O$501,$BJ411)="","",INDEX(原始資料!O$2:O$501,$BJ411)))</f>
        <v/>
      </c>
      <c r="N411" s="6">
        <f>IF(OR($BJ411="",13&gt;設定!$B$3),"",IF(INDEX(原始資料!P$2:P$501,$BJ411)="","",INDEX(原始資料!P$2:P$501,$BJ411)))</f>
        <v/>
      </c>
      <c r="O411" s="6">
        <f>IF(OR($BJ411="",14&gt;設定!$B$3),"",IF(INDEX(原始資料!Q$2:Q$501,$BJ411)="","",INDEX(原始資料!Q$2:Q$501,$BJ411)))</f>
        <v/>
      </c>
      <c r="P411" s="6">
        <f>IF(OR($BJ411="",15&gt;設定!$B$3),"",IF(INDEX(原始資料!R$2:R$501,$BJ411)="","",INDEX(原始資料!R$2:R$501,$BJ411)))</f>
        <v/>
      </c>
      <c r="Q411" s="6">
        <f>IF(OR($BJ411="",16&gt;設定!$B$3),"",IF(INDEX(原始資料!S$2:S$501,$BJ411)="","",INDEX(原始資料!S$2:S$501,$BJ411)))</f>
        <v/>
      </c>
      <c r="R411" s="6">
        <f>IF(OR($BJ411="",17&gt;設定!$B$3),"",IF(INDEX(原始資料!T$2:T$501,$BJ411)="","",INDEX(原始資料!T$2:T$501,$BJ411)))</f>
        <v/>
      </c>
      <c r="S411" s="6">
        <f>IF(OR($BJ411="",18&gt;設定!$B$3),"",IF(INDEX(原始資料!U$2:U$501,$BJ411)="","",INDEX(原始資料!U$2:U$501,$BJ411)))</f>
        <v/>
      </c>
      <c r="T411" s="6">
        <f>IF(OR($BJ411="",19&gt;設定!$B$3),"",IF(INDEX(原始資料!V$2:V$501,$BJ411)="","",INDEX(原始資料!V$2:V$501,$BJ411)))</f>
        <v/>
      </c>
      <c r="U411" s="6">
        <f>IF(OR($BJ411="",20&gt;設定!$B$3),"",IF(INDEX(原始資料!W$2:W$501,$BJ411)="","",INDEX(原始資料!W$2:W$501,$BJ411)))</f>
        <v/>
      </c>
      <c r="V411" s="6">
        <f>IF(OR($BJ411="",21&gt;設定!$B$3),"",IF(INDEX(原始資料!X$2:X$501,$BJ411)="","",INDEX(原始資料!X$2:X$501,$BJ411)))</f>
        <v/>
      </c>
      <c r="W411" s="6">
        <f>IF(OR($BJ411="",22&gt;設定!$B$3),"",IF(INDEX(原始資料!Y$2:Y$501,$BJ411)="","",INDEX(原始資料!Y$2:Y$501,$BJ411)))</f>
        <v/>
      </c>
      <c r="X411" s="6">
        <f>IF(OR($BJ411="",23&gt;設定!$B$3),"",IF(INDEX(原始資料!Z$2:Z$501,$BJ411)="","",INDEX(原始資料!Z$2:Z$501,$BJ411)))</f>
        <v/>
      </c>
      <c r="Y411" s="6">
        <f>IF(OR($BJ411="",24&gt;設定!$B$3),"",IF(INDEX(原始資料!AA$2:AA$501,$BJ411)="","",INDEX(原始資料!AA$2:AA$501,$BJ411)))</f>
        <v/>
      </c>
      <c r="Z411" s="6">
        <f>IF(OR($BJ411="",25&gt;設定!$B$3),"",IF(INDEX(原始資料!AB$2:AB$501,$BJ411)="","",INDEX(原始資料!AB$2:AB$501,$BJ411)))</f>
        <v/>
      </c>
      <c r="AA411" s="6">
        <f>IF(OR($BJ411="",26&gt;設定!$B$3),"",IF(INDEX(原始資料!AC$2:AC$501,$BJ411)="","",INDEX(原始資料!AC$2:AC$501,$BJ411)))</f>
        <v/>
      </c>
      <c r="AB411" s="6">
        <f>IF(OR($BJ411="",27&gt;設定!$B$3),"",IF(INDEX(原始資料!AD$2:AD$501,$BJ411)="","",INDEX(原始資料!AD$2:AD$501,$BJ411)))</f>
        <v/>
      </c>
      <c r="AC411" s="6">
        <f>IF(OR($BJ411="",28&gt;設定!$B$3),"",IF(INDEX(原始資料!AE$2:AE$501,$BJ411)="","",INDEX(原始資料!AE$2:AE$501,$BJ411)))</f>
        <v/>
      </c>
      <c r="AD411" s="6">
        <f>IF(OR($BJ411="",29&gt;設定!$B$3),"",IF(INDEX(原始資料!AF$2:AF$501,$BJ411)="","",INDEX(原始資料!AF$2:AF$501,$BJ411)))</f>
        <v/>
      </c>
      <c r="AE411" s="6">
        <f>IF(OR($BJ411="",30&gt;設定!$B$3),"",IF(INDEX(原始資料!AG$2:AG$501,$BJ411)="","",INDEX(原始資料!AG$2:AG$501,$BJ411)))</f>
        <v/>
      </c>
      <c r="AF411" s="6">
        <f>IF(OR($BJ411="",31&gt;設定!$B$3),"",IF(INDEX(原始資料!AH$2:AH$501,$BJ411)="","",INDEX(原始資料!AH$2:AH$501,$BJ411)))</f>
        <v/>
      </c>
      <c r="AG411" s="6">
        <f>IF(OR($BJ411="",32&gt;設定!$B$3),"",IF(INDEX(原始資料!AI$2:AI$501,$BJ411)="","",INDEX(原始資料!AI$2:AI$501,$BJ411)))</f>
        <v/>
      </c>
      <c r="AH411" s="6">
        <f>IF(OR($BJ411="",33&gt;設定!$B$3),"",IF(INDEX(原始資料!AJ$2:AJ$501,$BJ411)="","",INDEX(原始資料!AJ$2:AJ$501,$BJ411)))</f>
        <v/>
      </c>
      <c r="AI411" s="6">
        <f>IF(OR($BJ411="",34&gt;設定!$B$3),"",IF(INDEX(原始資料!AK$2:AK$501,$BJ411)="","",INDEX(原始資料!AK$2:AK$501,$BJ411)))</f>
        <v/>
      </c>
      <c r="AJ411" s="6">
        <f>IF(OR($BJ411="",35&gt;設定!$B$3),"",IF(INDEX(原始資料!AL$2:AL$501,$BJ411)="","",INDEX(原始資料!AL$2:AL$501,$BJ411)))</f>
        <v/>
      </c>
      <c r="AK411" s="6">
        <f>IF(OR($BJ411="",36&gt;設定!$B$3),"",IF(INDEX(原始資料!AM$2:AM$501,$BJ411)="","",INDEX(原始資料!AM$2:AM$501,$BJ411)))</f>
        <v/>
      </c>
      <c r="AL411" s="6">
        <f>IF(OR($BJ411="",37&gt;設定!$B$3),"",IF(INDEX(原始資料!AN$2:AN$501,$BJ411)="","",INDEX(原始資料!AN$2:AN$501,$BJ411)))</f>
        <v/>
      </c>
      <c r="AM411" s="6">
        <f>IF(OR($BJ411="",38&gt;設定!$B$3),"",IF(INDEX(原始資料!AO$2:AO$501,$BJ411)="","",INDEX(原始資料!AO$2:AO$501,$BJ411)))</f>
        <v/>
      </c>
      <c r="AN411" s="6">
        <f>IF(OR($BJ411="",39&gt;設定!$B$3),"",IF(INDEX(原始資料!AP$2:AP$501,$BJ411)="","",INDEX(原始資料!AP$2:AP$501,$BJ411)))</f>
        <v/>
      </c>
      <c r="AO411" s="6">
        <f>IF(OR($BJ411="",40&gt;設定!$B$3),"",IF(INDEX(原始資料!AQ$2:AQ$501,$BJ411)="","",INDEX(原始資料!AQ$2:AQ$501,$BJ411)))</f>
        <v/>
      </c>
      <c r="AP411" s="6">
        <f>IF(OR($BJ411="",41&gt;設定!$B$3),"",IF(INDEX(原始資料!AR$2:AR$501,$BJ411)="","",INDEX(原始資料!AR$2:AR$501,$BJ411)))</f>
        <v/>
      </c>
      <c r="AQ411" s="6">
        <f>IF(OR($BJ411="",42&gt;設定!$B$3),"",IF(INDEX(原始資料!AS$2:AS$501,$BJ411)="","",INDEX(原始資料!AS$2:AS$501,$BJ411)))</f>
        <v/>
      </c>
      <c r="AR411" s="6">
        <f>IF(OR($BJ411="",43&gt;設定!$B$3),"",IF(INDEX(原始資料!AT$2:AT$501,$BJ411)="","",INDEX(原始資料!AT$2:AT$501,$BJ411)))</f>
        <v/>
      </c>
      <c r="AS411" s="6">
        <f>IF(OR($BJ411="",44&gt;設定!$B$3),"",IF(INDEX(原始資料!AU$2:AU$501,$BJ411)="","",INDEX(原始資料!AU$2:AU$501,$BJ411)))</f>
        <v/>
      </c>
      <c r="AT411" s="6">
        <f>IF(OR($BJ411="",45&gt;設定!$B$3),"",IF(INDEX(原始資料!AV$2:AV$501,$BJ411)="","",INDEX(原始資料!AV$2:AV$501,$BJ411)))</f>
        <v/>
      </c>
      <c r="AU411" s="6">
        <f>IF(OR($BJ411="",46&gt;設定!$B$3),"",IF(INDEX(原始資料!AW$2:AW$501,$BJ411)="","",INDEX(原始資料!AW$2:AW$501,$BJ411)))</f>
        <v/>
      </c>
      <c r="AV411" s="6">
        <f>IF(OR($BJ411="",47&gt;設定!$B$3),"",IF(INDEX(原始資料!AX$2:AX$501,$BJ411)="","",INDEX(原始資料!AX$2:AX$501,$BJ411)))</f>
        <v/>
      </c>
      <c r="AW411" s="6">
        <f>IF(OR($BJ411="",48&gt;設定!$B$3),"",IF(INDEX(原始資料!AY$2:AY$501,$BJ411)="","",INDEX(原始資料!AY$2:AY$501,$BJ411)))</f>
        <v/>
      </c>
      <c r="AX411" s="6">
        <f>IF(OR($BJ411="",49&gt;設定!$B$3),"",IF(INDEX(原始資料!AZ$2:AZ$501,$BJ411)="","",INDEX(原始資料!AZ$2:AZ$501,$BJ411)))</f>
        <v/>
      </c>
      <c r="AY411" s="6">
        <f>IF(OR($BJ411="",50&gt;設定!$B$3),"",IF(INDEX(原始資料!BA$2:BA$501,$BJ411)="","",INDEX(原始資料!BA$2:BA$501,$BJ411)))</f>
        <v/>
      </c>
      <c r="AZ411" s="6">
        <f>IF(OR($BJ411="",51&gt;設定!$B$3),"",IF(INDEX(原始資料!BB$2:BB$501,$BJ411)="","",INDEX(原始資料!BB$2:BB$501,$BJ411)))</f>
        <v/>
      </c>
      <c r="BA411" s="6">
        <f>IF(OR($BJ411="",52&gt;設定!$B$3),"",IF(INDEX(原始資料!BC$2:BC$501,$BJ411)="","",INDEX(原始資料!BC$2:BC$501,$BJ411)))</f>
        <v/>
      </c>
      <c r="BB411" s="6">
        <f>IF(OR($BJ411="",53&gt;設定!$B$3),"",IF(INDEX(原始資料!BD$2:BD$501,$BJ411)="","",INDEX(原始資料!BD$2:BD$501,$BJ411)))</f>
        <v/>
      </c>
      <c r="BC411" s="6">
        <f>IF(OR($BJ411="",54&gt;設定!$B$3),"",IF(INDEX(原始資料!BE$2:BE$501,$BJ411)="","",INDEX(原始資料!BE$2:BE$501,$BJ411)))</f>
        <v/>
      </c>
      <c r="BD411" s="6">
        <f>IF(OR($BJ411="",55&gt;設定!$B$3),"",IF(INDEX(原始資料!BF$2:BF$501,$BJ411)="","",INDEX(原始資料!BF$2:BF$501,$BJ411)))</f>
        <v/>
      </c>
      <c r="BE411" s="6">
        <f>IF(OR($BJ411="",56&gt;設定!$B$3),"",IF(INDEX(原始資料!BG$2:BG$501,$BJ411)="","",INDEX(原始資料!BG$2:BG$501,$BJ411)))</f>
        <v/>
      </c>
      <c r="BF411" s="6">
        <f>IF(OR($BJ411="",57&gt;設定!$B$3),"",IF(INDEX(原始資料!BH$2:BH$501,$BJ411)="","",INDEX(原始資料!BH$2:BH$501,$BJ411)))</f>
        <v/>
      </c>
      <c r="BG411" s="6">
        <f>IF(OR($BJ411="",58&gt;設定!$B$3),"",IF(INDEX(原始資料!BI$2:BI$501,$BJ411)="","",INDEX(原始資料!BI$2:BI$501,$BJ411)))</f>
        <v/>
      </c>
      <c r="BH411" s="6">
        <f>IF(OR($BJ411="",59&gt;設定!$B$3),"",IF(INDEX(原始資料!BJ$2:BJ$501,$BJ411)="","",INDEX(原始資料!BJ$2:BJ$501,$BJ411)))</f>
        <v/>
      </c>
      <c r="BI411" s="6">
        <f>IF(OR($BJ411="",60&gt;設定!$B$3),"",IF(INDEX(原始資料!BK$2:BK$501,$BJ411)="","",INDEX(原始資料!BK$2:BK$501,$BJ411)))</f>
        <v/>
      </c>
      <c r="BJ411" s="6">
        <f>IFERROR(MATCH(ROW()-1,判定!$H$2:$H$501,0),"")</f>
        <v/>
      </c>
    </row>
    <row r="412">
      <c r="A412" s="6">
        <f>IF($BJ412="","",INDEX(原始資料!$A$2:$A$501,$BJ412))</f>
        <v/>
      </c>
      <c r="B412" s="6">
        <f>IF(OR($BJ412="",1&gt;設定!$B$3),"",IF(INDEX(原始資料!D$2:D$501,$BJ412)="","",INDEX(原始資料!D$2:D$501,$BJ412)))</f>
        <v/>
      </c>
      <c r="C412" s="6">
        <f>IF(OR($BJ412="",2&gt;設定!$B$3),"",IF(INDEX(原始資料!E$2:E$501,$BJ412)="","",INDEX(原始資料!E$2:E$501,$BJ412)))</f>
        <v/>
      </c>
      <c r="D412" s="6">
        <f>IF(OR($BJ412="",3&gt;設定!$B$3),"",IF(INDEX(原始資料!F$2:F$501,$BJ412)="","",INDEX(原始資料!F$2:F$501,$BJ412)))</f>
        <v/>
      </c>
      <c r="E412" s="6">
        <f>IF(OR($BJ412="",4&gt;設定!$B$3),"",IF(INDEX(原始資料!G$2:G$501,$BJ412)="","",INDEX(原始資料!G$2:G$501,$BJ412)))</f>
        <v/>
      </c>
      <c r="F412" s="6">
        <f>IF(OR($BJ412="",5&gt;設定!$B$3),"",IF(INDEX(原始資料!H$2:H$501,$BJ412)="","",INDEX(原始資料!H$2:H$501,$BJ412)))</f>
        <v/>
      </c>
      <c r="G412" s="6">
        <f>IF(OR($BJ412="",6&gt;設定!$B$3),"",IF(INDEX(原始資料!I$2:I$501,$BJ412)="","",INDEX(原始資料!I$2:I$501,$BJ412)))</f>
        <v/>
      </c>
      <c r="H412" s="6">
        <f>IF(OR($BJ412="",7&gt;設定!$B$3),"",IF(INDEX(原始資料!J$2:J$501,$BJ412)="","",INDEX(原始資料!J$2:J$501,$BJ412)))</f>
        <v/>
      </c>
      <c r="I412" s="6">
        <f>IF(OR($BJ412="",8&gt;設定!$B$3),"",IF(INDEX(原始資料!K$2:K$501,$BJ412)="","",INDEX(原始資料!K$2:K$501,$BJ412)))</f>
        <v/>
      </c>
      <c r="J412" s="6">
        <f>IF(OR($BJ412="",9&gt;設定!$B$3),"",IF(INDEX(原始資料!L$2:L$501,$BJ412)="","",INDEX(原始資料!L$2:L$501,$BJ412)))</f>
        <v/>
      </c>
      <c r="K412" s="6">
        <f>IF(OR($BJ412="",10&gt;設定!$B$3),"",IF(INDEX(原始資料!M$2:M$501,$BJ412)="","",INDEX(原始資料!M$2:M$501,$BJ412)))</f>
        <v/>
      </c>
      <c r="L412" s="6">
        <f>IF(OR($BJ412="",11&gt;設定!$B$3),"",IF(INDEX(原始資料!N$2:N$501,$BJ412)="","",INDEX(原始資料!N$2:N$501,$BJ412)))</f>
        <v/>
      </c>
      <c r="M412" s="6">
        <f>IF(OR($BJ412="",12&gt;設定!$B$3),"",IF(INDEX(原始資料!O$2:O$501,$BJ412)="","",INDEX(原始資料!O$2:O$501,$BJ412)))</f>
        <v/>
      </c>
      <c r="N412" s="6">
        <f>IF(OR($BJ412="",13&gt;設定!$B$3),"",IF(INDEX(原始資料!P$2:P$501,$BJ412)="","",INDEX(原始資料!P$2:P$501,$BJ412)))</f>
        <v/>
      </c>
      <c r="O412" s="6">
        <f>IF(OR($BJ412="",14&gt;設定!$B$3),"",IF(INDEX(原始資料!Q$2:Q$501,$BJ412)="","",INDEX(原始資料!Q$2:Q$501,$BJ412)))</f>
        <v/>
      </c>
      <c r="P412" s="6">
        <f>IF(OR($BJ412="",15&gt;設定!$B$3),"",IF(INDEX(原始資料!R$2:R$501,$BJ412)="","",INDEX(原始資料!R$2:R$501,$BJ412)))</f>
        <v/>
      </c>
      <c r="Q412" s="6">
        <f>IF(OR($BJ412="",16&gt;設定!$B$3),"",IF(INDEX(原始資料!S$2:S$501,$BJ412)="","",INDEX(原始資料!S$2:S$501,$BJ412)))</f>
        <v/>
      </c>
      <c r="R412" s="6">
        <f>IF(OR($BJ412="",17&gt;設定!$B$3),"",IF(INDEX(原始資料!T$2:T$501,$BJ412)="","",INDEX(原始資料!T$2:T$501,$BJ412)))</f>
        <v/>
      </c>
      <c r="S412" s="6">
        <f>IF(OR($BJ412="",18&gt;設定!$B$3),"",IF(INDEX(原始資料!U$2:U$501,$BJ412)="","",INDEX(原始資料!U$2:U$501,$BJ412)))</f>
        <v/>
      </c>
      <c r="T412" s="6">
        <f>IF(OR($BJ412="",19&gt;設定!$B$3),"",IF(INDEX(原始資料!V$2:V$501,$BJ412)="","",INDEX(原始資料!V$2:V$501,$BJ412)))</f>
        <v/>
      </c>
      <c r="U412" s="6">
        <f>IF(OR($BJ412="",20&gt;設定!$B$3),"",IF(INDEX(原始資料!W$2:W$501,$BJ412)="","",INDEX(原始資料!W$2:W$501,$BJ412)))</f>
        <v/>
      </c>
      <c r="V412" s="6">
        <f>IF(OR($BJ412="",21&gt;設定!$B$3),"",IF(INDEX(原始資料!X$2:X$501,$BJ412)="","",INDEX(原始資料!X$2:X$501,$BJ412)))</f>
        <v/>
      </c>
      <c r="W412" s="6">
        <f>IF(OR($BJ412="",22&gt;設定!$B$3),"",IF(INDEX(原始資料!Y$2:Y$501,$BJ412)="","",INDEX(原始資料!Y$2:Y$501,$BJ412)))</f>
        <v/>
      </c>
      <c r="X412" s="6">
        <f>IF(OR($BJ412="",23&gt;設定!$B$3),"",IF(INDEX(原始資料!Z$2:Z$501,$BJ412)="","",INDEX(原始資料!Z$2:Z$501,$BJ412)))</f>
        <v/>
      </c>
      <c r="Y412" s="6">
        <f>IF(OR($BJ412="",24&gt;設定!$B$3),"",IF(INDEX(原始資料!AA$2:AA$501,$BJ412)="","",INDEX(原始資料!AA$2:AA$501,$BJ412)))</f>
        <v/>
      </c>
      <c r="Z412" s="6">
        <f>IF(OR($BJ412="",25&gt;設定!$B$3),"",IF(INDEX(原始資料!AB$2:AB$501,$BJ412)="","",INDEX(原始資料!AB$2:AB$501,$BJ412)))</f>
        <v/>
      </c>
      <c r="AA412" s="6">
        <f>IF(OR($BJ412="",26&gt;設定!$B$3),"",IF(INDEX(原始資料!AC$2:AC$501,$BJ412)="","",INDEX(原始資料!AC$2:AC$501,$BJ412)))</f>
        <v/>
      </c>
      <c r="AB412" s="6">
        <f>IF(OR($BJ412="",27&gt;設定!$B$3),"",IF(INDEX(原始資料!AD$2:AD$501,$BJ412)="","",INDEX(原始資料!AD$2:AD$501,$BJ412)))</f>
        <v/>
      </c>
      <c r="AC412" s="6">
        <f>IF(OR($BJ412="",28&gt;設定!$B$3),"",IF(INDEX(原始資料!AE$2:AE$501,$BJ412)="","",INDEX(原始資料!AE$2:AE$501,$BJ412)))</f>
        <v/>
      </c>
      <c r="AD412" s="6">
        <f>IF(OR($BJ412="",29&gt;設定!$B$3),"",IF(INDEX(原始資料!AF$2:AF$501,$BJ412)="","",INDEX(原始資料!AF$2:AF$501,$BJ412)))</f>
        <v/>
      </c>
      <c r="AE412" s="6">
        <f>IF(OR($BJ412="",30&gt;設定!$B$3),"",IF(INDEX(原始資料!AG$2:AG$501,$BJ412)="","",INDEX(原始資料!AG$2:AG$501,$BJ412)))</f>
        <v/>
      </c>
      <c r="AF412" s="6">
        <f>IF(OR($BJ412="",31&gt;設定!$B$3),"",IF(INDEX(原始資料!AH$2:AH$501,$BJ412)="","",INDEX(原始資料!AH$2:AH$501,$BJ412)))</f>
        <v/>
      </c>
      <c r="AG412" s="6">
        <f>IF(OR($BJ412="",32&gt;設定!$B$3),"",IF(INDEX(原始資料!AI$2:AI$501,$BJ412)="","",INDEX(原始資料!AI$2:AI$501,$BJ412)))</f>
        <v/>
      </c>
      <c r="AH412" s="6">
        <f>IF(OR($BJ412="",33&gt;設定!$B$3),"",IF(INDEX(原始資料!AJ$2:AJ$501,$BJ412)="","",INDEX(原始資料!AJ$2:AJ$501,$BJ412)))</f>
        <v/>
      </c>
      <c r="AI412" s="6">
        <f>IF(OR($BJ412="",34&gt;設定!$B$3),"",IF(INDEX(原始資料!AK$2:AK$501,$BJ412)="","",INDEX(原始資料!AK$2:AK$501,$BJ412)))</f>
        <v/>
      </c>
      <c r="AJ412" s="6">
        <f>IF(OR($BJ412="",35&gt;設定!$B$3),"",IF(INDEX(原始資料!AL$2:AL$501,$BJ412)="","",INDEX(原始資料!AL$2:AL$501,$BJ412)))</f>
        <v/>
      </c>
      <c r="AK412" s="6">
        <f>IF(OR($BJ412="",36&gt;設定!$B$3),"",IF(INDEX(原始資料!AM$2:AM$501,$BJ412)="","",INDEX(原始資料!AM$2:AM$501,$BJ412)))</f>
        <v/>
      </c>
      <c r="AL412" s="6">
        <f>IF(OR($BJ412="",37&gt;設定!$B$3),"",IF(INDEX(原始資料!AN$2:AN$501,$BJ412)="","",INDEX(原始資料!AN$2:AN$501,$BJ412)))</f>
        <v/>
      </c>
      <c r="AM412" s="6">
        <f>IF(OR($BJ412="",38&gt;設定!$B$3),"",IF(INDEX(原始資料!AO$2:AO$501,$BJ412)="","",INDEX(原始資料!AO$2:AO$501,$BJ412)))</f>
        <v/>
      </c>
      <c r="AN412" s="6">
        <f>IF(OR($BJ412="",39&gt;設定!$B$3),"",IF(INDEX(原始資料!AP$2:AP$501,$BJ412)="","",INDEX(原始資料!AP$2:AP$501,$BJ412)))</f>
        <v/>
      </c>
      <c r="AO412" s="6">
        <f>IF(OR($BJ412="",40&gt;設定!$B$3),"",IF(INDEX(原始資料!AQ$2:AQ$501,$BJ412)="","",INDEX(原始資料!AQ$2:AQ$501,$BJ412)))</f>
        <v/>
      </c>
      <c r="AP412" s="6">
        <f>IF(OR($BJ412="",41&gt;設定!$B$3),"",IF(INDEX(原始資料!AR$2:AR$501,$BJ412)="","",INDEX(原始資料!AR$2:AR$501,$BJ412)))</f>
        <v/>
      </c>
      <c r="AQ412" s="6">
        <f>IF(OR($BJ412="",42&gt;設定!$B$3),"",IF(INDEX(原始資料!AS$2:AS$501,$BJ412)="","",INDEX(原始資料!AS$2:AS$501,$BJ412)))</f>
        <v/>
      </c>
      <c r="AR412" s="6">
        <f>IF(OR($BJ412="",43&gt;設定!$B$3),"",IF(INDEX(原始資料!AT$2:AT$501,$BJ412)="","",INDEX(原始資料!AT$2:AT$501,$BJ412)))</f>
        <v/>
      </c>
      <c r="AS412" s="6">
        <f>IF(OR($BJ412="",44&gt;設定!$B$3),"",IF(INDEX(原始資料!AU$2:AU$501,$BJ412)="","",INDEX(原始資料!AU$2:AU$501,$BJ412)))</f>
        <v/>
      </c>
      <c r="AT412" s="6">
        <f>IF(OR($BJ412="",45&gt;設定!$B$3),"",IF(INDEX(原始資料!AV$2:AV$501,$BJ412)="","",INDEX(原始資料!AV$2:AV$501,$BJ412)))</f>
        <v/>
      </c>
      <c r="AU412" s="6">
        <f>IF(OR($BJ412="",46&gt;設定!$B$3),"",IF(INDEX(原始資料!AW$2:AW$501,$BJ412)="","",INDEX(原始資料!AW$2:AW$501,$BJ412)))</f>
        <v/>
      </c>
      <c r="AV412" s="6">
        <f>IF(OR($BJ412="",47&gt;設定!$B$3),"",IF(INDEX(原始資料!AX$2:AX$501,$BJ412)="","",INDEX(原始資料!AX$2:AX$501,$BJ412)))</f>
        <v/>
      </c>
      <c r="AW412" s="6">
        <f>IF(OR($BJ412="",48&gt;設定!$B$3),"",IF(INDEX(原始資料!AY$2:AY$501,$BJ412)="","",INDEX(原始資料!AY$2:AY$501,$BJ412)))</f>
        <v/>
      </c>
      <c r="AX412" s="6">
        <f>IF(OR($BJ412="",49&gt;設定!$B$3),"",IF(INDEX(原始資料!AZ$2:AZ$501,$BJ412)="","",INDEX(原始資料!AZ$2:AZ$501,$BJ412)))</f>
        <v/>
      </c>
      <c r="AY412" s="6">
        <f>IF(OR($BJ412="",50&gt;設定!$B$3),"",IF(INDEX(原始資料!BA$2:BA$501,$BJ412)="","",INDEX(原始資料!BA$2:BA$501,$BJ412)))</f>
        <v/>
      </c>
      <c r="AZ412" s="6">
        <f>IF(OR($BJ412="",51&gt;設定!$B$3),"",IF(INDEX(原始資料!BB$2:BB$501,$BJ412)="","",INDEX(原始資料!BB$2:BB$501,$BJ412)))</f>
        <v/>
      </c>
      <c r="BA412" s="6">
        <f>IF(OR($BJ412="",52&gt;設定!$B$3),"",IF(INDEX(原始資料!BC$2:BC$501,$BJ412)="","",INDEX(原始資料!BC$2:BC$501,$BJ412)))</f>
        <v/>
      </c>
      <c r="BB412" s="6">
        <f>IF(OR($BJ412="",53&gt;設定!$B$3),"",IF(INDEX(原始資料!BD$2:BD$501,$BJ412)="","",INDEX(原始資料!BD$2:BD$501,$BJ412)))</f>
        <v/>
      </c>
      <c r="BC412" s="6">
        <f>IF(OR($BJ412="",54&gt;設定!$B$3),"",IF(INDEX(原始資料!BE$2:BE$501,$BJ412)="","",INDEX(原始資料!BE$2:BE$501,$BJ412)))</f>
        <v/>
      </c>
      <c r="BD412" s="6">
        <f>IF(OR($BJ412="",55&gt;設定!$B$3),"",IF(INDEX(原始資料!BF$2:BF$501,$BJ412)="","",INDEX(原始資料!BF$2:BF$501,$BJ412)))</f>
        <v/>
      </c>
      <c r="BE412" s="6">
        <f>IF(OR($BJ412="",56&gt;設定!$B$3),"",IF(INDEX(原始資料!BG$2:BG$501,$BJ412)="","",INDEX(原始資料!BG$2:BG$501,$BJ412)))</f>
        <v/>
      </c>
      <c r="BF412" s="6">
        <f>IF(OR($BJ412="",57&gt;設定!$B$3),"",IF(INDEX(原始資料!BH$2:BH$501,$BJ412)="","",INDEX(原始資料!BH$2:BH$501,$BJ412)))</f>
        <v/>
      </c>
      <c r="BG412" s="6">
        <f>IF(OR($BJ412="",58&gt;設定!$B$3),"",IF(INDEX(原始資料!BI$2:BI$501,$BJ412)="","",INDEX(原始資料!BI$2:BI$501,$BJ412)))</f>
        <v/>
      </c>
      <c r="BH412" s="6">
        <f>IF(OR($BJ412="",59&gt;設定!$B$3),"",IF(INDEX(原始資料!BJ$2:BJ$501,$BJ412)="","",INDEX(原始資料!BJ$2:BJ$501,$BJ412)))</f>
        <v/>
      </c>
      <c r="BI412" s="6">
        <f>IF(OR($BJ412="",60&gt;設定!$B$3),"",IF(INDEX(原始資料!BK$2:BK$501,$BJ412)="","",INDEX(原始資料!BK$2:BK$501,$BJ412)))</f>
        <v/>
      </c>
      <c r="BJ412" s="6">
        <f>IFERROR(MATCH(ROW()-1,判定!$H$2:$H$501,0),"")</f>
        <v/>
      </c>
    </row>
    <row r="413">
      <c r="A413" s="6">
        <f>IF($BJ413="","",INDEX(原始資料!$A$2:$A$501,$BJ413))</f>
        <v/>
      </c>
      <c r="B413" s="6">
        <f>IF(OR($BJ413="",1&gt;設定!$B$3),"",IF(INDEX(原始資料!D$2:D$501,$BJ413)="","",INDEX(原始資料!D$2:D$501,$BJ413)))</f>
        <v/>
      </c>
      <c r="C413" s="6">
        <f>IF(OR($BJ413="",2&gt;設定!$B$3),"",IF(INDEX(原始資料!E$2:E$501,$BJ413)="","",INDEX(原始資料!E$2:E$501,$BJ413)))</f>
        <v/>
      </c>
      <c r="D413" s="6">
        <f>IF(OR($BJ413="",3&gt;設定!$B$3),"",IF(INDEX(原始資料!F$2:F$501,$BJ413)="","",INDEX(原始資料!F$2:F$501,$BJ413)))</f>
        <v/>
      </c>
      <c r="E413" s="6">
        <f>IF(OR($BJ413="",4&gt;設定!$B$3),"",IF(INDEX(原始資料!G$2:G$501,$BJ413)="","",INDEX(原始資料!G$2:G$501,$BJ413)))</f>
        <v/>
      </c>
      <c r="F413" s="6">
        <f>IF(OR($BJ413="",5&gt;設定!$B$3),"",IF(INDEX(原始資料!H$2:H$501,$BJ413)="","",INDEX(原始資料!H$2:H$501,$BJ413)))</f>
        <v/>
      </c>
      <c r="G413" s="6">
        <f>IF(OR($BJ413="",6&gt;設定!$B$3),"",IF(INDEX(原始資料!I$2:I$501,$BJ413)="","",INDEX(原始資料!I$2:I$501,$BJ413)))</f>
        <v/>
      </c>
      <c r="H413" s="6">
        <f>IF(OR($BJ413="",7&gt;設定!$B$3),"",IF(INDEX(原始資料!J$2:J$501,$BJ413)="","",INDEX(原始資料!J$2:J$501,$BJ413)))</f>
        <v/>
      </c>
      <c r="I413" s="6">
        <f>IF(OR($BJ413="",8&gt;設定!$B$3),"",IF(INDEX(原始資料!K$2:K$501,$BJ413)="","",INDEX(原始資料!K$2:K$501,$BJ413)))</f>
        <v/>
      </c>
      <c r="J413" s="6">
        <f>IF(OR($BJ413="",9&gt;設定!$B$3),"",IF(INDEX(原始資料!L$2:L$501,$BJ413)="","",INDEX(原始資料!L$2:L$501,$BJ413)))</f>
        <v/>
      </c>
      <c r="K413" s="6">
        <f>IF(OR($BJ413="",10&gt;設定!$B$3),"",IF(INDEX(原始資料!M$2:M$501,$BJ413)="","",INDEX(原始資料!M$2:M$501,$BJ413)))</f>
        <v/>
      </c>
      <c r="L413" s="6">
        <f>IF(OR($BJ413="",11&gt;設定!$B$3),"",IF(INDEX(原始資料!N$2:N$501,$BJ413)="","",INDEX(原始資料!N$2:N$501,$BJ413)))</f>
        <v/>
      </c>
      <c r="M413" s="6">
        <f>IF(OR($BJ413="",12&gt;設定!$B$3),"",IF(INDEX(原始資料!O$2:O$501,$BJ413)="","",INDEX(原始資料!O$2:O$501,$BJ413)))</f>
        <v/>
      </c>
      <c r="N413" s="6">
        <f>IF(OR($BJ413="",13&gt;設定!$B$3),"",IF(INDEX(原始資料!P$2:P$501,$BJ413)="","",INDEX(原始資料!P$2:P$501,$BJ413)))</f>
        <v/>
      </c>
      <c r="O413" s="6">
        <f>IF(OR($BJ413="",14&gt;設定!$B$3),"",IF(INDEX(原始資料!Q$2:Q$501,$BJ413)="","",INDEX(原始資料!Q$2:Q$501,$BJ413)))</f>
        <v/>
      </c>
      <c r="P413" s="6">
        <f>IF(OR($BJ413="",15&gt;設定!$B$3),"",IF(INDEX(原始資料!R$2:R$501,$BJ413)="","",INDEX(原始資料!R$2:R$501,$BJ413)))</f>
        <v/>
      </c>
      <c r="Q413" s="6">
        <f>IF(OR($BJ413="",16&gt;設定!$B$3),"",IF(INDEX(原始資料!S$2:S$501,$BJ413)="","",INDEX(原始資料!S$2:S$501,$BJ413)))</f>
        <v/>
      </c>
      <c r="R413" s="6">
        <f>IF(OR($BJ413="",17&gt;設定!$B$3),"",IF(INDEX(原始資料!T$2:T$501,$BJ413)="","",INDEX(原始資料!T$2:T$501,$BJ413)))</f>
        <v/>
      </c>
      <c r="S413" s="6">
        <f>IF(OR($BJ413="",18&gt;設定!$B$3),"",IF(INDEX(原始資料!U$2:U$501,$BJ413)="","",INDEX(原始資料!U$2:U$501,$BJ413)))</f>
        <v/>
      </c>
      <c r="T413" s="6">
        <f>IF(OR($BJ413="",19&gt;設定!$B$3),"",IF(INDEX(原始資料!V$2:V$501,$BJ413)="","",INDEX(原始資料!V$2:V$501,$BJ413)))</f>
        <v/>
      </c>
      <c r="U413" s="6">
        <f>IF(OR($BJ413="",20&gt;設定!$B$3),"",IF(INDEX(原始資料!W$2:W$501,$BJ413)="","",INDEX(原始資料!W$2:W$501,$BJ413)))</f>
        <v/>
      </c>
      <c r="V413" s="6">
        <f>IF(OR($BJ413="",21&gt;設定!$B$3),"",IF(INDEX(原始資料!X$2:X$501,$BJ413)="","",INDEX(原始資料!X$2:X$501,$BJ413)))</f>
        <v/>
      </c>
      <c r="W413" s="6">
        <f>IF(OR($BJ413="",22&gt;設定!$B$3),"",IF(INDEX(原始資料!Y$2:Y$501,$BJ413)="","",INDEX(原始資料!Y$2:Y$501,$BJ413)))</f>
        <v/>
      </c>
      <c r="X413" s="6">
        <f>IF(OR($BJ413="",23&gt;設定!$B$3),"",IF(INDEX(原始資料!Z$2:Z$501,$BJ413)="","",INDEX(原始資料!Z$2:Z$501,$BJ413)))</f>
        <v/>
      </c>
      <c r="Y413" s="6">
        <f>IF(OR($BJ413="",24&gt;設定!$B$3),"",IF(INDEX(原始資料!AA$2:AA$501,$BJ413)="","",INDEX(原始資料!AA$2:AA$501,$BJ413)))</f>
        <v/>
      </c>
      <c r="Z413" s="6">
        <f>IF(OR($BJ413="",25&gt;設定!$B$3),"",IF(INDEX(原始資料!AB$2:AB$501,$BJ413)="","",INDEX(原始資料!AB$2:AB$501,$BJ413)))</f>
        <v/>
      </c>
      <c r="AA413" s="6">
        <f>IF(OR($BJ413="",26&gt;設定!$B$3),"",IF(INDEX(原始資料!AC$2:AC$501,$BJ413)="","",INDEX(原始資料!AC$2:AC$501,$BJ413)))</f>
        <v/>
      </c>
      <c r="AB413" s="6">
        <f>IF(OR($BJ413="",27&gt;設定!$B$3),"",IF(INDEX(原始資料!AD$2:AD$501,$BJ413)="","",INDEX(原始資料!AD$2:AD$501,$BJ413)))</f>
        <v/>
      </c>
      <c r="AC413" s="6">
        <f>IF(OR($BJ413="",28&gt;設定!$B$3),"",IF(INDEX(原始資料!AE$2:AE$501,$BJ413)="","",INDEX(原始資料!AE$2:AE$501,$BJ413)))</f>
        <v/>
      </c>
      <c r="AD413" s="6">
        <f>IF(OR($BJ413="",29&gt;設定!$B$3),"",IF(INDEX(原始資料!AF$2:AF$501,$BJ413)="","",INDEX(原始資料!AF$2:AF$501,$BJ413)))</f>
        <v/>
      </c>
      <c r="AE413" s="6">
        <f>IF(OR($BJ413="",30&gt;設定!$B$3),"",IF(INDEX(原始資料!AG$2:AG$501,$BJ413)="","",INDEX(原始資料!AG$2:AG$501,$BJ413)))</f>
        <v/>
      </c>
      <c r="AF413" s="6">
        <f>IF(OR($BJ413="",31&gt;設定!$B$3),"",IF(INDEX(原始資料!AH$2:AH$501,$BJ413)="","",INDEX(原始資料!AH$2:AH$501,$BJ413)))</f>
        <v/>
      </c>
      <c r="AG413" s="6">
        <f>IF(OR($BJ413="",32&gt;設定!$B$3),"",IF(INDEX(原始資料!AI$2:AI$501,$BJ413)="","",INDEX(原始資料!AI$2:AI$501,$BJ413)))</f>
        <v/>
      </c>
      <c r="AH413" s="6">
        <f>IF(OR($BJ413="",33&gt;設定!$B$3),"",IF(INDEX(原始資料!AJ$2:AJ$501,$BJ413)="","",INDEX(原始資料!AJ$2:AJ$501,$BJ413)))</f>
        <v/>
      </c>
      <c r="AI413" s="6">
        <f>IF(OR($BJ413="",34&gt;設定!$B$3),"",IF(INDEX(原始資料!AK$2:AK$501,$BJ413)="","",INDEX(原始資料!AK$2:AK$501,$BJ413)))</f>
        <v/>
      </c>
      <c r="AJ413" s="6">
        <f>IF(OR($BJ413="",35&gt;設定!$B$3),"",IF(INDEX(原始資料!AL$2:AL$501,$BJ413)="","",INDEX(原始資料!AL$2:AL$501,$BJ413)))</f>
        <v/>
      </c>
      <c r="AK413" s="6">
        <f>IF(OR($BJ413="",36&gt;設定!$B$3),"",IF(INDEX(原始資料!AM$2:AM$501,$BJ413)="","",INDEX(原始資料!AM$2:AM$501,$BJ413)))</f>
        <v/>
      </c>
      <c r="AL413" s="6">
        <f>IF(OR($BJ413="",37&gt;設定!$B$3),"",IF(INDEX(原始資料!AN$2:AN$501,$BJ413)="","",INDEX(原始資料!AN$2:AN$501,$BJ413)))</f>
        <v/>
      </c>
      <c r="AM413" s="6">
        <f>IF(OR($BJ413="",38&gt;設定!$B$3),"",IF(INDEX(原始資料!AO$2:AO$501,$BJ413)="","",INDEX(原始資料!AO$2:AO$501,$BJ413)))</f>
        <v/>
      </c>
      <c r="AN413" s="6">
        <f>IF(OR($BJ413="",39&gt;設定!$B$3),"",IF(INDEX(原始資料!AP$2:AP$501,$BJ413)="","",INDEX(原始資料!AP$2:AP$501,$BJ413)))</f>
        <v/>
      </c>
      <c r="AO413" s="6">
        <f>IF(OR($BJ413="",40&gt;設定!$B$3),"",IF(INDEX(原始資料!AQ$2:AQ$501,$BJ413)="","",INDEX(原始資料!AQ$2:AQ$501,$BJ413)))</f>
        <v/>
      </c>
      <c r="AP413" s="6">
        <f>IF(OR($BJ413="",41&gt;設定!$B$3),"",IF(INDEX(原始資料!AR$2:AR$501,$BJ413)="","",INDEX(原始資料!AR$2:AR$501,$BJ413)))</f>
        <v/>
      </c>
      <c r="AQ413" s="6">
        <f>IF(OR($BJ413="",42&gt;設定!$B$3),"",IF(INDEX(原始資料!AS$2:AS$501,$BJ413)="","",INDEX(原始資料!AS$2:AS$501,$BJ413)))</f>
        <v/>
      </c>
      <c r="AR413" s="6">
        <f>IF(OR($BJ413="",43&gt;設定!$B$3),"",IF(INDEX(原始資料!AT$2:AT$501,$BJ413)="","",INDEX(原始資料!AT$2:AT$501,$BJ413)))</f>
        <v/>
      </c>
      <c r="AS413" s="6">
        <f>IF(OR($BJ413="",44&gt;設定!$B$3),"",IF(INDEX(原始資料!AU$2:AU$501,$BJ413)="","",INDEX(原始資料!AU$2:AU$501,$BJ413)))</f>
        <v/>
      </c>
      <c r="AT413" s="6">
        <f>IF(OR($BJ413="",45&gt;設定!$B$3),"",IF(INDEX(原始資料!AV$2:AV$501,$BJ413)="","",INDEX(原始資料!AV$2:AV$501,$BJ413)))</f>
        <v/>
      </c>
      <c r="AU413" s="6">
        <f>IF(OR($BJ413="",46&gt;設定!$B$3),"",IF(INDEX(原始資料!AW$2:AW$501,$BJ413)="","",INDEX(原始資料!AW$2:AW$501,$BJ413)))</f>
        <v/>
      </c>
      <c r="AV413" s="6">
        <f>IF(OR($BJ413="",47&gt;設定!$B$3),"",IF(INDEX(原始資料!AX$2:AX$501,$BJ413)="","",INDEX(原始資料!AX$2:AX$501,$BJ413)))</f>
        <v/>
      </c>
      <c r="AW413" s="6">
        <f>IF(OR($BJ413="",48&gt;設定!$B$3),"",IF(INDEX(原始資料!AY$2:AY$501,$BJ413)="","",INDEX(原始資料!AY$2:AY$501,$BJ413)))</f>
        <v/>
      </c>
      <c r="AX413" s="6">
        <f>IF(OR($BJ413="",49&gt;設定!$B$3),"",IF(INDEX(原始資料!AZ$2:AZ$501,$BJ413)="","",INDEX(原始資料!AZ$2:AZ$501,$BJ413)))</f>
        <v/>
      </c>
      <c r="AY413" s="6">
        <f>IF(OR($BJ413="",50&gt;設定!$B$3),"",IF(INDEX(原始資料!BA$2:BA$501,$BJ413)="","",INDEX(原始資料!BA$2:BA$501,$BJ413)))</f>
        <v/>
      </c>
      <c r="AZ413" s="6">
        <f>IF(OR($BJ413="",51&gt;設定!$B$3),"",IF(INDEX(原始資料!BB$2:BB$501,$BJ413)="","",INDEX(原始資料!BB$2:BB$501,$BJ413)))</f>
        <v/>
      </c>
      <c r="BA413" s="6">
        <f>IF(OR($BJ413="",52&gt;設定!$B$3),"",IF(INDEX(原始資料!BC$2:BC$501,$BJ413)="","",INDEX(原始資料!BC$2:BC$501,$BJ413)))</f>
        <v/>
      </c>
      <c r="BB413" s="6">
        <f>IF(OR($BJ413="",53&gt;設定!$B$3),"",IF(INDEX(原始資料!BD$2:BD$501,$BJ413)="","",INDEX(原始資料!BD$2:BD$501,$BJ413)))</f>
        <v/>
      </c>
      <c r="BC413" s="6">
        <f>IF(OR($BJ413="",54&gt;設定!$B$3),"",IF(INDEX(原始資料!BE$2:BE$501,$BJ413)="","",INDEX(原始資料!BE$2:BE$501,$BJ413)))</f>
        <v/>
      </c>
      <c r="BD413" s="6">
        <f>IF(OR($BJ413="",55&gt;設定!$B$3),"",IF(INDEX(原始資料!BF$2:BF$501,$BJ413)="","",INDEX(原始資料!BF$2:BF$501,$BJ413)))</f>
        <v/>
      </c>
      <c r="BE413" s="6">
        <f>IF(OR($BJ413="",56&gt;設定!$B$3),"",IF(INDEX(原始資料!BG$2:BG$501,$BJ413)="","",INDEX(原始資料!BG$2:BG$501,$BJ413)))</f>
        <v/>
      </c>
      <c r="BF413" s="6">
        <f>IF(OR($BJ413="",57&gt;設定!$B$3),"",IF(INDEX(原始資料!BH$2:BH$501,$BJ413)="","",INDEX(原始資料!BH$2:BH$501,$BJ413)))</f>
        <v/>
      </c>
      <c r="BG413" s="6">
        <f>IF(OR($BJ413="",58&gt;設定!$B$3),"",IF(INDEX(原始資料!BI$2:BI$501,$BJ413)="","",INDEX(原始資料!BI$2:BI$501,$BJ413)))</f>
        <v/>
      </c>
      <c r="BH413" s="6">
        <f>IF(OR($BJ413="",59&gt;設定!$B$3),"",IF(INDEX(原始資料!BJ$2:BJ$501,$BJ413)="","",INDEX(原始資料!BJ$2:BJ$501,$BJ413)))</f>
        <v/>
      </c>
      <c r="BI413" s="6">
        <f>IF(OR($BJ413="",60&gt;設定!$B$3),"",IF(INDEX(原始資料!BK$2:BK$501,$BJ413)="","",INDEX(原始資料!BK$2:BK$501,$BJ413)))</f>
        <v/>
      </c>
      <c r="BJ413" s="6">
        <f>IFERROR(MATCH(ROW()-1,判定!$H$2:$H$501,0),"")</f>
        <v/>
      </c>
    </row>
    <row r="414">
      <c r="A414" s="6">
        <f>IF($BJ414="","",INDEX(原始資料!$A$2:$A$501,$BJ414))</f>
        <v/>
      </c>
      <c r="B414" s="6">
        <f>IF(OR($BJ414="",1&gt;設定!$B$3),"",IF(INDEX(原始資料!D$2:D$501,$BJ414)="","",INDEX(原始資料!D$2:D$501,$BJ414)))</f>
        <v/>
      </c>
      <c r="C414" s="6">
        <f>IF(OR($BJ414="",2&gt;設定!$B$3),"",IF(INDEX(原始資料!E$2:E$501,$BJ414)="","",INDEX(原始資料!E$2:E$501,$BJ414)))</f>
        <v/>
      </c>
      <c r="D414" s="6">
        <f>IF(OR($BJ414="",3&gt;設定!$B$3),"",IF(INDEX(原始資料!F$2:F$501,$BJ414)="","",INDEX(原始資料!F$2:F$501,$BJ414)))</f>
        <v/>
      </c>
      <c r="E414" s="6">
        <f>IF(OR($BJ414="",4&gt;設定!$B$3),"",IF(INDEX(原始資料!G$2:G$501,$BJ414)="","",INDEX(原始資料!G$2:G$501,$BJ414)))</f>
        <v/>
      </c>
      <c r="F414" s="6">
        <f>IF(OR($BJ414="",5&gt;設定!$B$3),"",IF(INDEX(原始資料!H$2:H$501,$BJ414)="","",INDEX(原始資料!H$2:H$501,$BJ414)))</f>
        <v/>
      </c>
      <c r="G414" s="6">
        <f>IF(OR($BJ414="",6&gt;設定!$B$3),"",IF(INDEX(原始資料!I$2:I$501,$BJ414)="","",INDEX(原始資料!I$2:I$501,$BJ414)))</f>
        <v/>
      </c>
      <c r="H414" s="6">
        <f>IF(OR($BJ414="",7&gt;設定!$B$3),"",IF(INDEX(原始資料!J$2:J$501,$BJ414)="","",INDEX(原始資料!J$2:J$501,$BJ414)))</f>
        <v/>
      </c>
      <c r="I414" s="6">
        <f>IF(OR($BJ414="",8&gt;設定!$B$3),"",IF(INDEX(原始資料!K$2:K$501,$BJ414)="","",INDEX(原始資料!K$2:K$501,$BJ414)))</f>
        <v/>
      </c>
      <c r="J414" s="6">
        <f>IF(OR($BJ414="",9&gt;設定!$B$3),"",IF(INDEX(原始資料!L$2:L$501,$BJ414)="","",INDEX(原始資料!L$2:L$501,$BJ414)))</f>
        <v/>
      </c>
      <c r="K414" s="6">
        <f>IF(OR($BJ414="",10&gt;設定!$B$3),"",IF(INDEX(原始資料!M$2:M$501,$BJ414)="","",INDEX(原始資料!M$2:M$501,$BJ414)))</f>
        <v/>
      </c>
      <c r="L414" s="6">
        <f>IF(OR($BJ414="",11&gt;設定!$B$3),"",IF(INDEX(原始資料!N$2:N$501,$BJ414)="","",INDEX(原始資料!N$2:N$501,$BJ414)))</f>
        <v/>
      </c>
      <c r="M414" s="6">
        <f>IF(OR($BJ414="",12&gt;設定!$B$3),"",IF(INDEX(原始資料!O$2:O$501,$BJ414)="","",INDEX(原始資料!O$2:O$501,$BJ414)))</f>
        <v/>
      </c>
      <c r="N414" s="6">
        <f>IF(OR($BJ414="",13&gt;設定!$B$3),"",IF(INDEX(原始資料!P$2:P$501,$BJ414)="","",INDEX(原始資料!P$2:P$501,$BJ414)))</f>
        <v/>
      </c>
      <c r="O414" s="6">
        <f>IF(OR($BJ414="",14&gt;設定!$B$3),"",IF(INDEX(原始資料!Q$2:Q$501,$BJ414)="","",INDEX(原始資料!Q$2:Q$501,$BJ414)))</f>
        <v/>
      </c>
      <c r="P414" s="6">
        <f>IF(OR($BJ414="",15&gt;設定!$B$3),"",IF(INDEX(原始資料!R$2:R$501,$BJ414)="","",INDEX(原始資料!R$2:R$501,$BJ414)))</f>
        <v/>
      </c>
      <c r="Q414" s="6">
        <f>IF(OR($BJ414="",16&gt;設定!$B$3),"",IF(INDEX(原始資料!S$2:S$501,$BJ414)="","",INDEX(原始資料!S$2:S$501,$BJ414)))</f>
        <v/>
      </c>
      <c r="R414" s="6">
        <f>IF(OR($BJ414="",17&gt;設定!$B$3),"",IF(INDEX(原始資料!T$2:T$501,$BJ414)="","",INDEX(原始資料!T$2:T$501,$BJ414)))</f>
        <v/>
      </c>
      <c r="S414" s="6">
        <f>IF(OR($BJ414="",18&gt;設定!$B$3),"",IF(INDEX(原始資料!U$2:U$501,$BJ414)="","",INDEX(原始資料!U$2:U$501,$BJ414)))</f>
        <v/>
      </c>
      <c r="T414" s="6">
        <f>IF(OR($BJ414="",19&gt;設定!$B$3),"",IF(INDEX(原始資料!V$2:V$501,$BJ414)="","",INDEX(原始資料!V$2:V$501,$BJ414)))</f>
        <v/>
      </c>
      <c r="U414" s="6">
        <f>IF(OR($BJ414="",20&gt;設定!$B$3),"",IF(INDEX(原始資料!W$2:W$501,$BJ414)="","",INDEX(原始資料!W$2:W$501,$BJ414)))</f>
        <v/>
      </c>
      <c r="V414" s="6">
        <f>IF(OR($BJ414="",21&gt;設定!$B$3),"",IF(INDEX(原始資料!X$2:X$501,$BJ414)="","",INDEX(原始資料!X$2:X$501,$BJ414)))</f>
        <v/>
      </c>
      <c r="W414" s="6">
        <f>IF(OR($BJ414="",22&gt;設定!$B$3),"",IF(INDEX(原始資料!Y$2:Y$501,$BJ414)="","",INDEX(原始資料!Y$2:Y$501,$BJ414)))</f>
        <v/>
      </c>
      <c r="X414" s="6">
        <f>IF(OR($BJ414="",23&gt;設定!$B$3),"",IF(INDEX(原始資料!Z$2:Z$501,$BJ414)="","",INDEX(原始資料!Z$2:Z$501,$BJ414)))</f>
        <v/>
      </c>
      <c r="Y414" s="6">
        <f>IF(OR($BJ414="",24&gt;設定!$B$3),"",IF(INDEX(原始資料!AA$2:AA$501,$BJ414)="","",INDEX(原始資料!AA$2:AA$501,$BJ414)))</f>
        <v/>
      </c>
      <c r="Z414" s="6">
        <f>IF(OR($BJ414="",25&gt;設定!$B$3),"",IF(INDEX(原始資料!AB$2:AB$501,$BJ414)="","",INDEX(原始資料!AB$2:AB$501,$BJ414)))</f>
        <v/>
      </c>
      <c r="AA414" s="6">
        <f>IF(OR($BJ414="",26&gt;設定!$B$3),"",IF(INDEX(原始資料!AC$2:AC$501,$BJ414)="","",INDEX(原始資料!AC$2:AC$501,$BJ414)))</f>
        <v/>
      </c>
      <c r="AB414" s="6">
        <f>IF(OR($BJ414="",27&gt;設定!$B$3),"",IF(INDEX(原始資料!AD$2:AD$501,$BJ414)="","",INDEX(原始資料!AD$2:AD$501,$BJ414)))</f>
        <v/>
      </c>
      <c r="AC414" s="6">
        <f>IF(OR($BJ414="",28&gt;設定!$B$3),"",IF(INDEX(原始資料!AE$2:AE$501,$BJ414)="","",INDEX(原始資料!AE$2:AE$501,$BJ414)))</f>
        <v/>
      </c>
      <c r="AD414" s="6">
        <f>IF(OR($BJ414="",29&gt;設定!$B$3),"",IF(INDEX(原始資料!AF$2:AF$501,$BJ414)="","",INDEX(原始資料!AF$2:AF$501,$BJ414)))</f>
        <v/>
      </c>
      <c r="AE414" s="6">
        <f>IF(OR($BJ414="",30&gt;設定!$B$3),"",IF(INDEX(原始資料!AG$2:AG$501,$BJ414)="","",INDEX(原始資料!AG$2:AG$501,$BJ414)))</f>
        <v/>
      </c>
      <c r="AF414" s="6">
        <f>IF(OR($BJ414="",31&gt;設定!$B$3),"",IF(INDEX(原始資料!AH$2:AH$501,$BJ414)="","",INDEX(原始資料!AH$2:AH$501,$BJ414)))</f>
        <v/>
      </c>
      <c r="AG414" s="6">
        <f>IF(OR($BJ414="",32&gt;設定!$B$3),"",IF(INDEX(原始資料!AI$2:AI$501,$BJ414)="","",INDEX(原始資料!AI$2:AI$501,$BJ414)))</f>
        <v/>
      </c>
      <c r="AH414" s="6">
        <f>IF(OR($BJ414="",33&gt;設定!$B$3),"",IF(INDEX(原始資料!AJ$2:AJ$501,$BJ414)="","",INDEX(原始資料!AJ$2:AJ$501,$BJ414)))</f>
        <v/>
      </c>
      <c r="AI414" s="6">
        <f>IF(OR($BJ414="",34&gt;設定!$B$3),"",IF(INDEX(原始資料!AK$2:AK$501,$BJ414)="","",INDEX(原始資料!AK$2:AK$501,$BJ414)))</f>
        <v/>
      </c>
      <c r="AJ414" s="6">
        <f>IF(OR($BJ414="",35&gt;設定!$B$3),"",IF(INDEX(原始資料!AL$2:AL$501,$BJ414)="","",INDEX(原始資料!AL$2:AL$501,$BJ414)))</f>
        <v/>
      </c>
      <c r="AK414" s="6">
        <f>IF(OR($BJ414="",36&gt;設定!$B$3),"",IF(INDEX(原始資料!AM$2:AM$501,$BJ414)="","",INDEX(原始資料!AM$2:AM$501,$BJ414)))</f>
        <v/>
      </c>
      <c r="AL414" s="6">
        <f>IF(OR($BJ414="",37&gt;設定!$B$3),"",IF(INDEX(原始資料!AN$2:AN$501,$BJ414)="","",INDEX(原始資料!AN$2:AN$501,$BJ414)))</f>
        <v/>
      </c>
      <c r="AM414" s="6">
        <f>IF(OR($BJ414="",38&gt;設定!$B$3),"",IF(INDEX(原始資料!AO$2:AO$501,$BJ414)="","",INDEX(原始資料!AO$2:AO$501,$BJ414)))</f>
        <v/>
      </c>
      <c r="AN414" s="6">
        <f>IF(OR($BJ414="",39&gt;設定!$B$3),"",IF(INDEX(原始資料!AP$2:AP$501,$BJ414)="","",INDEX(原始資料!AP$2:AP$501,$BJ414)))</f>
        <v/>
      </c>
      <c r="AO414" s="6">
        <f>IF(OR($BJ414="",40&gt;設定!$B$3),"",IF(INDEX(原始資料!AQ$2:AQ$501,$BJ414)="","",INDEX(原始資料!AQ$2:AQ$501,$BJ414)))</f>
        <v/>
      </c>
      <c r="AP414" s="6">
        <f>IF(OR($BJ414="",41&gt;設定!$B$3),"",IF(INDEX(原始資料!AR$2:AR$501,$BJ414)="","",INDEX(原始資料!AR$2:AR$501,$BJ414)))</f>
        <v/>
      </c>
      <c r="AQ414" s="6">
        <f>IF(OR($BJ414="",42&gt;設定!$B$3),"",IF(INDEX(原始資料!AS$2:AS$501,$BJ414)="","",INDEX(原始資料!AS$2:AS$501,$BJ414)))</f>
        <v/>
      </c>
      <c r="AR414" s="6">
        <f>IF(OR($BJ414="",43&gt;設定!$B$3),"",IF(INDEX(原始資料!AT$2:AT$501,$BJ414)="","",INDEX(原始資料!AT$2:AT$501,$BJ414)))</f>
        <v/>
      </c>
      <c r="AS414" s="6">
        <f>IF(OR($BJ414="",44&gt;設定!$B$3),"",IF(INDEX(原始資料!AU$2:AU$501,$BJ414)="","",INDEX(原始資料!AU$2:AU$501,$BJ414)))</f>
        <v/>
      </c>
      <c r="AT414" s="6">
        <f>IF(OR($BJ414="",45&gt;設定!$B$3),"",IF(INDEX(原始資料!AV$2:AV$501,$BJ414)="","",INDEX(原始資料!AV$2:AV$501,$BJ414)))</f>
        <v/>
      </c>
      <c r="AU414" s="6">
        <f>IF(OR($BJ414="",46&gt;設定!$B$3),"",IF(INDEX(原始資料!AW$2:AW$501,$BJ414)="","",INDEX(原始資料!AW$2:AW$501,$BJ414)))</f>
        <v/>
      </c>
      <c r="AV414" s="6">
        <f>IF(OR($BJ414="",47&gt;設定!$B$3),"",IF(INDEX(原始資料!AX$2:AX$501,$BJ414)="","",INDEX(原始資料!AX$2:AX$501,$BJ414)))</f>
        <v/>
      </c>
      <c r="AW414" s="6">
        <f>IF(OR($BJ414="",48&gt;設定!$B$3),"",IF(INDEX(原始資料!AY$2:AY$501,$BJ414)="","",INDEX(原始資料!AY$2:AY$501,$BJ414)))</f>
        <v/>
      </c>
      <c r="AX414" s="6">
        <f>IF(OR($BJ414="",49&gt;設定!$B$3),"",IF(INDEX(原始資料!AZ$2:AZ$501,$BJ414)="","",INDEX(原始資料!AZ$2:AZ$501,$BJ414)))</f>
        <v/>
      </c>
      <c r="AY414" s="6">
        <f>IF(OR($BJ414="",50&gt;設定!$B$3),"",IF(INDEX(原始資料!BA$2:BA$501,$BJ414)="","",INDEX(原始資料!BA$2:BA$501,$BJ414)))</f>
        <v/>
      </c>
      <c r="AZ414" s="6">
        <f>IF(OR($BJ414="",51&gt;設定!$B$3),"",IF(INDEX(原始資料!BB$2:BB$501,$BJ414)="","",INDEX(原始資料!BB$2:BB$501,$BJ414)))</f>
        <v/>
      </c>
      <c r="BA414" s="6">
        <f>IF(OR($BJ414="",52&gt;設定!$B$3),"",IF(INDEX(原始資料!BC$2:BC$501,$BJ414)="","",INDEX(原始資料!BC$2:BC$501,$BJ414)))</f>
        <v/>
      </c>
      <c r="BB414" s="6">
        <f>IF(OR($BJ414="",53&gt;設定!$B$3),"",IF(INDEX(原始資料!BD$2:BD$501,$BJ414)="","",INDEX(原始資料!BD$2:BD$501,$BJ414)))</f>
        <v/>
      </c>
      <c r="BC414" s="6">
        <f>IF(OR($BJ414="",54&gt;設定!$B$3),"",IF(INDEX(原始資料!BE$2:BE$501,$BJ414)="","",INDEX(原始資料!BE$2:BE$501,$BJ414)))</f>
        <v/>
      </c>
      <c r="BD414" s="6">
        <f>IF(OR($BJ414="",55&gt;設定!$B$3),"",IF(INDEX(原始資料!BF$2:BF$501,$BJ414)="","",INDEX(原始資料!BF$2:BF$501,$BJ414)))</f>
        <v/>
      </c>
      <c r="BE414" s="6">
        <f>IF(OR($BJ414="",56&gt;設定!$B$3),"",IF(INDEX(原始資料!BG$2:BG$501,$BJ414)="","",INDEX(原始資料!BG$2:BG$501,$BJ414)))</f>
        <v/>
      </c>
      <c r="BF414" s="6">
        <f>IF(OR($BJ414="",57&gt;設定!$B$3),"",IF(INDEX(原始資料!BH$2:BH$501,$BJ414)="","",INDEX(原始資料!BH$2:BH$501,$BJ414)))</f>
        <v/>
      </c>
      <c r="BG414" s="6">
        <f>IF(OR($BJ414="",58&gt;設定!$B$3),"",IF(INDEX(原始資料!BI$2:BI$501,$BJ414)="","",INDEX(原始資料!BI$2:BI$501,$BJ414)))</f>
        <v/>
      </c>
      <c r="BH414" s="6">
        <f>IF(OR($BJ414="",59&gt;設定!$B$3),"",IF(INDEX(原始資料!BJ$2:BJ$501,$BJ414)="","",INDEX(原始資料!BJ$2:BJ$501,$BJ414)))</f>
        <v/>
      </c>
      <c r="BI414" s="6">
        <f>IF(OR($BJ414="",60&gt;設定!$B$3),"",IF(INDEX(原始資料!BK$2:BK$501,$BJ414)="","",INDEX(原始資料!BK$2:BK$501,$BJ414)))</f>
        <v/>
      </c>
      <c r="BJ414" s="6">
        <f>IFERROR(MATCH(ROW()-1,判定!$H$2:$H$501,0),"")</f>
        <v/>
      </c>
    </row>
    <row r="415">
      <c r="A415" s="6">
        <f>IF($BJ415="","",INDEX(原始資料!$A$2:$A$501,$BJ415))</f>
        <v/>
      </c>
      <c r="B415" s="6">
        <f>IF(OR($BJ415="",1&gt;設定!$B$3),"",IF(INDEX(原始資料!D$2:D$501,$BJ415)="","",INDEX(原始資料!D$2:D$501,$BJ415)))</f>
        <v/>
      </c>
      <c r="C415" s="6">
        <f>IF(OR($BJ415="",2&gt;設定!$B$3),"",IF(INDEX(原始資料!E$2:E$501,$BJ415)="","",INDEX(原始資料!E$2:E$501,$BJ415)))</f>
        <v/>
      </c>
      <c r="D415" s="6">
        <f>IF(OR($BJ415="",3&gt;設定!$B$3),"",IF(INDEX(原始資料!F$2:F$501,$BJ415)="","",INDEX(原始資料!F$2:F$501,$BJ415)))</f>
        <v/>
      </c>
      <c r="E415" s="6">
        <f>IF(OR($BJ415="",4&gt;設定!$B$3),"",IF(INDEX(原始資料!G$2:G$501,$BJ415)="","",INDEX(原始資料!G$2:G$501,$BJ415)))</f>
        <v/>
      </c>
      <c r="F415" s="6">
        <f>IF(OR($BJ415="",5&gt;設定!$B$3),"",IF(INDEX(原始資料!H$2:H$501,$BJ415)="","",INDEX(原始資料!H$2:H$501,$BJ415)))</f>
        <v/>
      </c>
      <c r="G415" s="6">
        <f>IF(OR($BJ415="",6&gt;設定!$B$3),"",IF(INDEX(原始資料!I$2:I$501,$BJ415)="","",INDEX(原始資料!I$2:I$501,$BJ415)))</f>
        <v/>
      </c>
      <c r="H415" s="6">
        <f>IF(OR($BJ415="",7&gt;設定!$B$3),"",IF(INDEX(原始資料!J$2:J$501,$BJ415)="","",INDEX(原始資料!J$2:J$501,$BJ415)))</f>
        <v/>
      </c>
      <c r="I415" s="6">
        <f>IF(OR($BJ415="",8&gt;設定!$B$3),"",IF(INDEX(原始資料!K$2:K$501,$BJ415)="","",INDEX(原始資料!K$2:K$501,$BJ415)))</f>
        <v/>
      </c>
      <c r="J415" s="6">
        <f>IF(OR($BJ415="",9&gt;設定!$B$3),"",IF(INDEX(原始資料!L$2:L$501,$BJ415)="","",INDEX(原始資料!L$2:L$501,$BJ415)))</f>
        <v/>
      </c>
      <c r="K415" s="6">
        <f>IF(OR($BJ415="",10&gt;設定!$B$3),"",IF(INDEX(原始資料!M$2:M$501,$BJ415)="","",INDEX(原始資料!M$2:M$501,$BJ415)))</f>
        <v/>
      </c>
      <c r="L415" s="6">
        <f>IF(OR($BJ415="",11&gt;設定!$B$3),"",IF(INDEX(原始資料!N$2:N$501,$BJ415)="","",INDEX(原始資料!N$2:N$501,$BJ415)))</f>
        <v/>
      </c>
      <c r="M415" s="6">
        <f>IF(OR($BJ415="",12&gt;設定!$B$3),"",IF(INDEX(原始資料!O$2:O$501,$BJ415)="","",INDEX(原始資料!O$2:O$501,$BJ415)))</f>
        <v/>
      </c>
      <c r="N415" s="6">
        <f>IF(OR($BJ415="",13&gt;設定!$B$3),"",IF(INDEX(原始資料!P$2:P$501,$BJ415)="","",INDEX(原始資料!P$2:P$501,$BJ415)))</f>
        <v/>
      </c>
      <c r="O415" s="6">
        <f>IF(OR($BJ415="",14&gt;設定!$B$3),"",IF(INDEX(原始資料!Q$2:Q$501,$BJ415)="","",INDEX(原始資料!Q$2:Q$501,$BJ415)))</f>
        <v/>
      </c>
      <c r="P415" s="6">
        <f>IF(OR($BJ415="",15&gt;設定!$B$3),"",IF(INDEX(原始資料!R$2:R$501,$BJ415)="","",INDEX(原始資料!R$2:R$501,$BJ415)))</f>
        <v/>
      </c>
      <c r="Q415" s="6">
        <f>IF(OR($BJ415="",16&gt;設定!$B$3),"",IF(INDEX(原始資料!S$2:S$501,$BJ415)="","",INDEX(原始資料!S$2:S$501,$BJ415)))</f>
        <v/>
      </c>
      <c r="R415" s="6">
        <f>IF(OR($BJ415="",17&gt;設定!$B$3),"",IF(INDEX(原始資料!T$2:T$501,$BJ415)="","",INDEX(原始資料!T$2:T$501,$BJ415)))</f>
        <v/>
      </c>
      <c r="S415" s="6">
        <f>IF(OR($BJ415="",18&gt;設定!$B$3),"",IF(INDEX(原始資料!U$2:U$501,$BJ415)="","",INDEX(原始資料!U$2:U$501,$BJ415)))</f>
        <v/>
      </c>
      <c r="T415" s="6">
        <f>IF(OR($BJ415="",19&gt;設定!$B$3),"",IF(INDEX(原始資料!V$2:V$501,$BJ415)="","",INDEX(原始資料!V$2:V$501,$BJ415)))</f>
        <v/>
      </c>
      <c r="U415" s="6">
        <f>IF(OR($BJ415="",20&gt;設定!$B$3),"",IF(INDEX(原始資料!W$2:W$501,$BJ415)="","",INDEX(原始資料!W$2:W$501,$BJ415)))</f>
        <v/>
      </c>
      <c r="V415" s="6">
        <f>IF(OR($BJ415="",21&gt;設定!$B$3),"",IF(INDEX(原始資料!X$2:X$501,$BJ415)="","",INDEX(原始資料!X$2:X$501,$BJ415)))</f>
        <v/>
      </c>
      <c r="W415" s="6">
        <f>IF(OR($BJ415="",22&gt;設定!$B$3),"",IF(INDEX(原始資料!Y$2:Y$501,$BJ415)="","",INDEX(原始資料!Y$2:Y$501,$BJ415)))</f>
        <v/>
      </c>
      <c r="X415" s="6">
        <f>IF(OR($BJ415="",23&gt;設定!$B$3),"",IF(INDEX(原始資料!Z$2:Z$501,$BJ415)="","",INDEX(原始資料!Z$2:Z$501,$BJ415)))</f>
        <v/>
      </c>
      <c r="Y415" s="6">
        <f>IF(OR($BJ415="",24&gt;設定!$B$3),"",IF(INDEX(原始資料!AA$2:AA$501,$BJ415)="","",INDEX(原始資料!AA$2:AA$501,$BJ415)))</f>
        <v/>
      </c>
      <c r="Z415" s="6">
        <f>IF(OR($BJ415="",25&gt;設定!$B$3),"",IF(INDEX(原始資料!AB$2:AB$501,$BJ415)="","",INDEX(原始資料!AB$2:AB$501,$BJ415)))</f>
        <v/>
      </c>
      <c r="AA415" s="6">
        <f>IF(OR($BJ415="",26&gt;設定!$B$3),"",IF(INDEX(原始資料!AC$2:AC$501,$BJ415)="","",INDEX(原始資料!AC$2:AC$501,$BJ415)))</f>
        <v/>
      </c>
      <c r="AB415" s="6">
        <f>IF(OR($BJ415="",27&gt;設定!$B$3),"",IF(INDEX(原始資料!AD$2:AD$501,$BJ415)="","",INDEX(原始資料!AD$2:AD$501,$BJ415)))</f>
        <v/>
      </c>
      <c r="AC415" s="6">
        <f>IF(OR($BJ415="",28&gt;設定!$B$3),"",IF(INDEX(原始資料!AE$2:AE$501,$BJ415)="","",INDEX(原始資料!AE$2:AE$501,$BJ415)))</f>
        <v/>
      </c>
      <c r="AD415" s="6">
        <f>IF(OR($BJ415="",29&gt;設定!$B$3),"",IF(INDEX(原始資料!AF$2:AF$501,$BJ415)="","",INDEX(原始資料!AF$2:AF$501,$BJ415)))</f>
        <v/>
      </c>
      <c r="AE415" s="6">
        <f>IF(OR($BJ415="",30&gt;設定!$B$3),"",IF(INDEX(原始資料!AG$2:AG$501,$BJ415)="","",INDEX(原始資料!AG$2:AG$501,$BJ415)))</f>
        <v/>
      </c>
      <c r="AF415" s="6">
        <f>IF(OR($BJ415="",31&gt;設定!$B$3),"",IF(INDEX(原始資料!AH$2:AH$501,$BJ415)="","",INDEX(原始資料!AH$2:AH$501,$BJ415)))</f>
        <v/>
      </c>
      <c r="AG415" s="6">
        <f>IF(OR($BJ415="",32&gt;設定!$B$3),"",IF(INDEX(原始資料!AI$2:AI$501,$BJ415)="","",INDEX(原始資料!AI$2:AI$501,$BJ415)))</f>
        <v/>
      </c>
      <c r="AH415" s="6">
        <f>IF(OR($BJ415="",33&gt;設定!$B$3),"",IF(INDEX(原始資料!AJ$2:AJ$501,$BJ415)="","",INDEX(原始資料!AJ$2:AJ$501,$BJ415)))</f>
        <v/>
      </c>
      <c r="AI415" s="6">
        <f>IF(OR($BJ415="",34&gt;設定!$B$3),"",IF(INDEX(原始資料!AK$2:AK$501,$BJ415)="","",INDEX(原始資料!AK$2:AK$501,$BJ415)))</f>
        <v/>
      </c>
      <c r="AJ415" s="6">
        <f>IF(OR($BJ415="",35&gt;設定!$B$3),"",IF(INDEX(原始資料!AL$2:AL$501,$BJ415)="","",INDEX(原始資料!AL$2:AL$501,$BJ415)))</f>
        <v/>
      </c>
      <c r="AK415" s="6">
        <f>IF(OR($BJ415="",36&gt;設定!$B$3),"",IF(INDEX(原始資料!AM$2:AM$501,$BJ415)="","",INDEX(原始資料!AM$2:AM$501,$BJ415)))</f>
        <v/>
      </c>
      <c r="AL415" s="6">
        <f>IF(OR($BJ415="",37&gt;設定!$B$3),"",IF(INDEX(原始資料!AN$2:AN$501,$BJ415)="","",INDEX(原始資料!AN$2:AN$501,$BJ415)))</f>
        <v/>
      </c>
      <c r="AM415" s="6">
        <f>IF(OR($BJ415="",38&gt;設定!$B$3),"",IF(INDEX(原始資料!AO$2:AO$501,$BJ415)="","",INDEX(原始資料!AO$2:AO$501,$BJ415)))</f>
        <v/>
      </c>
      <c r="AN415" s="6">
        <f>IF(OR($BJ415="",39&gt;設定!$B$3),"",IF(INDEX(原始資料!AP$2:AP$501,$BJ415)="","",INDEX(原始資料!AP$2:AP$501,$BJ415)))</f>
        <v/>
      </c>
      <c r="AO415" s="6">
        <f>IF(OR($BJ415="",40&gt;設定!$B$3),"",IF(INDEX(原始資料!AQ$2:AQ$501,$BJ415)="","",INDEX(原始資料!AQ$2:AQ$501,$BJ415)))</f>
        <v/>
      </c>
      <c r="AP415" s="6">
        <f>IF(OR($BJ415="",41&gt;設定!$B$3),"",IF(INDEX(原始資料!AR$2:AR$501,$BJ415)="","",INDEX(原始資料!AR$2:AR$501,$BJ415)))</f>
        <v/>
      </c>
      <c r="AQ415" s="6">
        <f>IF(OR($BJ415="",42&gt;設定!$B$3),"",IF(INDEX(原始資料!AS$2:AS$501,$BJ415)="","",INDEX(原始資料!AS$2:AS$501,$BJ415)))</f>
        <v/>
      </c>
      <c r="AR415" s="6">
        <f>IF(OR($BJ415="",43&gt;設定!$B$3),"",IF(INDEX(原始資料!AT$2:AT$501,$BJ415)="","",INDEX(原始資料!AT$2:AT$501,$BJ415)))</f>
        <v/>
      </c>
      <c r="AS415" s="6">
        <f>IF(OR($BJ415="",44&gt;設定!$B$3),"",IF(INDEX(原始資料!AU$2:AU$501,$BJ415)="","",INDEX(原始資料!AU$2:AU$501,$BJ415)))</f>
        <v/>
      </c>
      <c r="AT415" s="6">
        <f>IF(OR($BJ415="",45&gt;設定!$B$3),"",IF(INDEX(原始資料!AV$2:AV$501,$BJ415)="","",INDEX(原始資料!AV$2:AV$501,$BJ415)))</f>
        <v/>
      </c>
      <c r="AU415" s="6">
        <f>IF(OR($BJ415="",46&gt;設定!$B$3),"",IF(INDEX(原始資料!AW$2:AW$501,$BJ415)="","",INDEX(原始資料!AW$2:AW$501,$BJ415)))</f>
        <v/>
      </c>
      <c r="AV415" s="6">
        <f>IF(OR($BJ415="",47&gt;設定!$B$3),"",IF(INDEX(原始資料!AX$2:AX$501,$BJ415)="","",INDEX(原始資料!AX$2:AX$501,$BJ415)))</f>
        <v/>
      </c>
      <c r="AW415" s="6">
        <f>IF(OR($BJ415="",48&gt;設定!$B$3),"",IF(INDEX(原始資料!AY$2:AY$501,$BJ415)="","",INDEX(原始資料!AY$2:AY$501,$BJ415)))</f>
        <v/>
      </c>
      <c r="AX415" s="6">
        <f>IF(OR($BJ415="",49&gt;設定!$B$3),"",IF(INDEX(原始資料!AZ$2:AZ$501,$BJ415)="","",INDEX(原始資料!AZ$2:AZ$501,$BJ415)))</f>
        <v/>
      </c>
      <c r="AY415" s="6">
        <f>IF(OR($BJ415="",50&gt;設定!$B$3),"",IF(INDEX(原始資料!BA$2:BA$501,$BJ415)="","",INDEX(原始資料!BA$2:BA$501,$BJ415)))</f>
        <v/>
      </c>
      <c r="AZ415" s="6">
        <f>IF(OR($BJ415="",51&gt;設定!$B$3),"",IF(INDEX(原始資料!BB$2:BB$501,$BJ415)="","",INDEX(原始資料!BB$2:BB$501,$BJ415)))</f>
        <v/>
      </c>
      <c r="BA415" s="6">
        <f>IF(OR($BJ415="",52&gt;設定!$B$3),"",IF(INDEX(原始資料!BC$2:BC$501,$BJ415)="","",INDEX(原始資料!BC$2:BC$501,$BJ415)))</f>
        <v/>
      </c>
      <c r="BB415" s="6">
        <f>IF(OR($BJ415="",53&gt;設定!$B$3),"",IF(INDEX(原始資料!BD$2:BD$501,$BJ415)="","",INDEX(原始資料!BD$2:BD$501,$BJ415)))</f>
        <v/>
      </c>
      <c r="BC415" s="6">
        <f>IF(OR($BJ415="",54&gt;設定!$B$3),"",IF(INDEX(原始資料!BE$2:BE$501,$BJ415)="","",INDEX(原始資料!BE$2:BE$501,$BJ415)))</f>
        <v/>
      </c>
      <c r="BD415" s="6">
        <f>IF(OR($BJ415="",55&gt;設定!$B$3),"",IF(INDEX(原始資料!BF$2:BF$501,$BJ415)="","",INDEX(原始資料!BF$2:BF$501,$BJ415)))</f>
        <v/>
      </c>
      <c r="BE415" s="6">
        <f>IF(OR($BJ415="",56&gt;設定!$B$3),"",IF(INDEX(原始資料!BG$2:BG$501,$BJ415)="","",INDEX(原始資料!BG$2:BG$501,$BJ415)))</f>
        <v/>
      </c>
      <c r="BF415" s="6">
        <f>IF(OR($BJ415="",57&gt;設定!$B$3),"",IF(INDEX(原始資料!BH$2:BH$501,$BJ415)="","",INDEX(原始資料!BH$2:BH$501,$BJ415)))</f>
        <v/>
      </c>
      <c r="BG415" s="6">
        <f>IF(OR($BJ415="",58&gt;設定!$B$3),"",IF(INDEX(原始資料!BI$2:BI$501,$BJ415)="","",INDEX(原始資料!BI$2:BI$501,$BJ415)))</f>
        <v/>
      </c>
      <c r="BH415" s="6">
        <f>IF(OR($BJ415="",59&gt;設定!$B$3),"",IF(INDEX(原始資料!BJ$2:BJ$501,$BJ415)="","",INDEX(原始資料!BJ$2:BJ$501,$BJ415)))</f>
        <v/>
      </c>
      <c r="BI415" s="6">
        <f>IF(OR($BJ415="",60&gt;設定!$B$3),"",IF(INDEX(原始資料!BK$2:BK$501,$BJ415)="","",INDEX(原始資料!BK$2:BK$501,$BJ415)))</f>
        <v/>
      </c>
      <c r="BJ415" s="6">
        <f>IFERROR(MATCH(ROW()-1,判定!$H$2:$H$501,0),"")</f>
        <v/>
      </c>
    </row>
    <row r="416">
      <c r="A416" s="6">
        <f>IF($BJ416="","",INDEX(原始資料!$A$2:$A$501,$BJ416))</f>
        <v/>
      </c>
      <c r="B416" s="6">
        <f>IF(OR($BJ416="",1&gt;設定!$B$3),"",IF(INDEX(原始資料!D$2:D$501,$BJ416)="","",INDEX(原始資料!D$2:D$501,$BJ416)))</f>
        <v/>
      </c>
      <c r="C416" s="6">
        <f>IF(OR($BJ416="",2&gt;設定!$B$3),"",IF(INDEX(原始資料!E$2:E$501,$BJ416)="","",INDEX(原始資料!E$2:E$501,$BJ416)))</f>
        <v/>
      </c>
      <c r="D416" s="6">
        <f>IF(OR($BJ416="",3&gt;設定!$B$3),"",IF(INDEX(原始資料!F$2:F$501,$BJ416)="","",INDEX(原始資料!F$2:F$501,$BJ416)))</f>
        <v/>
      </c>
      <c r="E416" s="6">
        <f>IF(OR($BJ416="",4&gt;設定!$B$3),"",IF(INDEX(原始資料!G$2:G$501,$BJ416)="","",INDEX(原始資料!G$2:G$501,$BJ416)))</f>
        <v/>
      </c>
      <c r="F416" s="6">
        <f>IF(OR($BJ416="",5&gt;設定!$B$3),"",IF(INDEX(原始資料!H$2:H$501,$BJ416)="","",INDEX(原始資料!H$2:H$501,$BJ416)))</f>
        <v/>
      </c>
      <c r="G416" s="6">
        <f>IF(OR($BJ416="",6&gt;設定!$B$3),"",IF(INDEX(原始資料!I$2:I$501,$BJ416)="","",INDEX(原始資料!I$2:I$501,$BJ416)))</f>
        <v/>
      </c>
      <c r="H416" s="6">
        <f>IF(OR($BJ416="",7&gt;設定!$B$3),"",IF(INDEX(原始資料!J$2:J$501,$BJ416)="","",INDEX(原始資料!J$2:J$501,$BJ416)))</f>
        <v/>
      </c>
      <c r="I416" s="6">
        <f>IF(OR($BJ416="",8&gt;設定!$B$3),"",IF(INDEX(原始資料!K$2:K$501,$BJ416)="","",INDEX(原始資料!K$2:K$501,$BJ416)))</f>
        <v/>
      </c>
      <c r="J416" s="6">
        <f>IF(OR($BJ416="",9&gt;設定!$B$3),"",IF(INDEX(原始資料!L$2:L$501,$BJ416)="","",INDEX(原始資料!L$2:L$501,$BJ416)))</f>
        <v/>
      </c>
      <c r="K416" s="6">
        <f>IF(OR($BJ416="",10&gt;設定!$B$3),"",IF(INDEX(原始資料!M$2:M$501,$BJ416)="","",INDEX(原始資料!M$2:M$501,$BJ416)))</f>
        <v/>
      </c>
      <c r="L416" s="6">
        <f>IF(OR($BJ416="",11&gt;設定!$B$3),"",IF(INDEX(原始資料!N$2:N$501,$BJ416)="","",INDEX(原始資料!N$2:N$501,$BJ416)))</f>
        <v/>
      </c>
      <c r="M416" s="6">
        <f>IF(OR($BJ416="",12&gt;設定!$B$3),"",IF(INDEX(原始資料!O$2:O$501,$BJ416)="","",INDEX(原始資料!O$2:O$501,$BJ416)))</f>
        <v/>
      </c>
      <c r="N416" s="6">
        <f>IF(OR($BJ416="",13&gt;設定!$B$3),"",IF(INDEX(原始資料!P$2:P$501,$BJ416)="","",INDEX(原始資料!P$2:P$501,$BJ416)))</f>
        <v/>
      </c>
      <c r="O416" s="6">
        <f>IF(OR($BJ416="",14&gt;設定!$B$3),"",IF(INDEX(原始資料!Q$2:Q$501,$BJ416)="","",INDEX(原始資料!Q$2:Q$501,$BJ416)))</f>
        <v/>
      </c>
      <c r="P416" s="6">
        <f>IF(OR($BJ416="",15&gt;設定!$B$3),"",IF(INDEX(原始資料!R$2:R$501,$BJ416)="","",INDEX(原始資料!R$2:R$501,$BJ416)))</f>
        <v/>
      </c>
      <c r="Q416" s="6">
        <f>IF(OR($BJ416="",16&gt;設定!$B$3),"",IF(INDEX(原始資料!S$2:S$501,$BJ416)="","",INDEX(原始資料!S$2:S$501,$BJ416)))</f>
        <v/>
      </c>
      <c r="R416" s="6">
        <f>IF(OR($BJ416="",17&gt;設定!$B$3),"",IF(INDEX(原始資料!T$2:T$501,$BJ416)="","",INDEX(原始資料!T$2:T$501,$BJ416)))</f>
        <v/>
      </c>
      <c r="S416" s="6">
        <f>IF(OR($BJ416="",18&gt;設定!$B$3),"",IF(INDEX(原始資料!U$2:U$501,$BJ416)="","",INDEX(原始資料!U$2:U$501,$BJ416)))</f>
        <v/>
      </c>
      <c r="T416" s="6">
        <f>IF(OR($BJ416="",19&gt;設定!$B$3),"",IF(INDEX(原始資料!V$2:V$501,$BJ416)="","",INDEX(原始資料!V$2:V$501,$BJ416)))</f>
        <v/>
      </c>
      <c r="U416" s="6">
        <f>IF(OR($BJ416="",20&gt;設定!$B$3),"",IF(INDEX(原始資料!W$2:W$501,$BJ416)="","",INDEX(原始資料!W$2:W$501,$BJ416)))</f>
        <v/>
      </c>
      <c r="V416" s="6">
        <f>IF(OR($BJ416="",21&gt;設定!$B$3),"",IF(INDEX(原始資料!X$2:X$501,$BJ416)="","",INDEX(原始資料!X$2:X$501,$BJ416)))</f>
        <v/>
      </c>
      <c r="W416" s="6">
        <f>IF(OR($BJ416="",22&gt;設定!$B$3),"",IF(INDEX(原始資料!Y$2:Y$501,$BJ416)="","",INDEX(原始資料!Y$2:Y$501,$BJ416)))</f>
        <v/>
      </c>
      <c r="X416" s="6">
        <f>IF(OR($BJ416="",23&gt;設定!$B$3),"",IF(INDEX(原始資料!Z$2:Z$501,$BJ416)="","",INDEX(原始資料!Z$2:Z$501,$BJ416)))</f>
        <v/>
      </c>
      <c r="Y416" s="6">
        <f>IF(OR($BJ416="",24&gt;設定!$B$3),"",IF(INDEX(原始資料!AA$2:AA$501,$BJ416)="","",INDEX(原始資料!AA$2:AA$501,$BJ416)))</f>
        <v/>
      </c>
      <c r="Z416" s="6">
        <f>IF(OR($BJ416="",25&gt;設定!$B$3),"",IF(INDEX(原始資料!AB$2:AB$501,$BJ416)="","",INDEX(原始資料!AB$2:AB$501,$BJ416)))</f>
        <v/>
      </c>
      <c r="AA416" s="6">
        <f>IF(OR($BJ416="",26&gt;設定!$B$3),"",IF(INDEX(原始資料!AC$2:AC$501,$BJ416)="","",INDEX(原始資料!AC$2:AC$501,$BJ416)))</f>
        <v/>
      </c>
      <c r="AB416" s="6">
        <f>IF(OR($BJ416="",27&gt;設定!$B$3),"",IF(INDEX(原始資料!AD$2:AD$501,$BJ416)="","",INDEX(原始資料!AD$2:AD$501,$BJ416)))</f>
        <v/>
      </c>
      <c r="AC416" s="6">
        <f>IF(OR($BJ416="",28&gt;設定!$B$3),"",IF(INDEX(原始資料!AE$2:AE$501,$BJ416)="","",INDEX(原始資料!AE$2:AE$501,$BJ416)))</f>
        <v/>
      </c>
      <c r="AD416" s="6">
        <f>IF(OR($BJ416="",29&gt;設定!$B$3),"",IF(INDEX(原始資料!AF$2:AF$501,$BJ416)="","",INDEX(原始資料!AF$2:AF$501,$BJ416)))</f>
        <v/>
      </c>
      <c r="AE416" s="6">
        <f>IF(OR($BJ416="",30&gt;設定!$B$3),"",IF(INDEX(原始資料!AG$2:AG$501,$BJ416)="","",INDEX(原始資料!AG$2:AG$501,$BJ416)))</f>
        <v/>
      </c>
      <c r="AF416" s="6">
        <f>IF(OR($BJ416="",31&gt;設定!$B$3),"",IF(INDEX(原始資料!AH$2:AH$501,$BJ416)="","",INDEX(原始資料!AH$2:AH$501,$BJ416)))</f>
        <v/>
      </c>
      <c r="AG416" s="6">
        <f>IF(OR($BJ416="",32&gt;設定!$B$3),"",IF(INDEX(原始資料!AI$2:AI$501,$BJ416)="","",INDEX(原始資料!AI$2:AI$501,$BJ416)))</f>
        <v/>
      </c>
      <c r="AH416" s="6">
        <f>IF(OR($BJ416="",33&gt;設定!$B$3),"",IF(INDEX(原始資料!AJ$2:AJ$501,$BJ416)="","",INDEX(原始資料!AJ$2:AJ$501,$BJ416)))</f>
        <v/>
      </c>
      <c r="AI416" s="6">
        <f>IF(OR($BJ416="",34&gt;設定!$B$3),"",IF(INDEX(原始資料!AK$2:AK$501,$BJ416)="","",INDEX(原始資料!AK$2:AK$501,$BJ416)))</f>
        <v/>
      </c>
      <c r="AJ416" s="6">
        <f>IF(OR($BJ416="",35&gt;設定!$B$3),"",IF(INDEX(原始資料!AL$2:AL$501,$BJ416)="","",INDEX(原始資料!AL$2:AL$501,$BJ416)))</f>
        <v/>
      </c>
      <c r="AK416" s="6">
        <f>IF(OR($BJ416="",36&gt;設定!$B$3),"",IF(INDEX(原始資料!AM$2:AM$501,$BJ416)="","",INDEX(原始資料!AM$2:AM$501,$BJ416)))</f>
        <v/>
      </c>
      <c r="AL416" s="6">
        <f>IF(OR($BJ416="",37&gt;設定!$B$3),"",IF(INDEX(原始資料!AN$2:AN$501,$BJ416)="","",INDEX(原始資料!AN$2:AN$501,$BJ416)))</f>
        <v/>
      </c>
      <c r="AM416" s="6">
        <f>IF(OR($BJ416="",38&gt;設定!$B$3),"",IF(INDEX(原始資料!AO$2:AO$501,$BJ416)="","",INDEX(原始資料!AO$2:AO$501,$BJ416)))</f>
        <v/>
      </c>
      <c r="AN416" s="6">
        <f>IF(OR($BJ416="",39&gt;設定!$B$3),"",IF(INDEX(原始資料!AP$2:AP$501,$BJ416)="","",INDEX(原始資料!AP$2:AP$501,$BJ416)))</f>
        <v/>
      </c>
      <c r="AO416" s="6">
        <f>IF(OR($BJ416="",40&gt;設定!$B$3),"",IF(INDEX(原始資料!AQ$2:AQ$501,$BJ416)="","",INDEX(原始資料!AQ$2:AQ$501,$BJ416)))</f>
        <v/>
      </c>
      <c r="AP416" s="6">
        <f>IF(OR($BJ416="",41&gt;設定!$B$3),"",IF(INDEX(原始資料!AR$2:AR$501,$BJ416)="","",INDEX(原始資料!AR$2:AR$501,$BJ416)))</f>
        <v/>
      </c>
      <c r="AQ416" s="6">
        <f>IF(OR($BJ416="",42&gt;設定!$B$3),"",IF(INDEX(原始資料!AS$2:AS$501,$BJ416)="","",INDEX(原始資料!AS$2:AS$501,$BJ416)))</f>
        <v/>
      </c>
      <c r="AR416" s="6">
        <f>IF(OR($BJ416="",43&gt;設定!$B$3),"",IF(INDEX(原始資料!AT$2:AT$501,$BJ416)="","",INDEX(原始資料!AT$2:AT$501,$BJ416)))</f>
        <v/>
      </c>
      <c r="AS416" s="6">
        <f>IF(OR($BJ416="",44&gt;設定!$B$3),"",IF(INDEX(原始資料!AU$2:AU$501,$BJ416)="","",INDEX(原始資料!AU$2:AU$501,$BJ416)))</f>
        <v/>
      </c>
      <c r="AT416" s="6">
        <f>IF(OR($BJ416="",45&gt;設定!$B$3),"",IF(INDEX(原始資料!AV$2:AV$501,$BJ416)="","",INDEX(原始資料!AV$2:AV$501,$BJ416)))</f>
        <v/>
      </c>
      <c r="AU416" s="6">
        <f>IF(OR($BJ416="",46&gt;設定!$B$3),"",IF(INDEX(原始資料!AW$2:AW$501,$BJ416)="","",INDEX(原始資料!AW$2:AW$501,$BJ416)))</f>
        <v/>
      </c>
      <c r="AV416" s="6">
        <f>IF(OR($BJ416="",47&gt;設定!$B$3),"",IF(INDEX(原始資料!AX$2:AX$501,$BJ416)="","",INDEX(原始資料!AX$2:AX$501,$BJ416)))</f>
        <v/>
      </c>
      <c r="AW416" s="6">
        <f>IF(OR($BJ416="",48&gt;設定!$B$3),"",IF(INDEX(原始資料!AY$2:AY$501,$BJ416)="","",INDEX(原始資料!AY$2:AY$501,$BJ416)))</f>
        <v/>
      </c>
      <c r="AX416" s="6">
        <f>IF(OR($BJ416="",49&gt;設定!$B$3),"",IF(INDEX(原始資料!AZ$2:AZ$501,$BJ416)="","",INDEX(原始資料!AZ$2:AZ$501,$BJ416)))</f>
        <v/>
      </c>
      <c r="AY416" s="6">
        <f>IF(OR($BJ416="",50&gt;設定!$B$3),"",IF(INDEX(原始資料!BA$2:BA$501,$BJ416)="","",INDEX(原始資料!BA$2:BA$501,$BJ416)))</f>
        <v/>
      </c>
      <c r="AZ416" s="6">
        <f>IF(OR($BJ416="",51&gt;設定!$B$3),"",IF(INDEX(原始資料!BB$2:BB$501,$BJ416)="","",INDEX(原始資料!BB$2:BB$501,$BJ416)))</f>
        <v/>
      </c>
      <c r="BA416" s="6">
        <f>IF(OR($BJ416="",52&gt;設定!$B$3),"",IF(INDEX(原始資料!BC$2:BC$501,$BJ416)="","",INDEX(原始資料!BC$2:BC$501,$BJ416)))</f>
        <v/>
      </c>
      <c r="BB416" s="6">
        <f>IF(OR($BJ416="",53&gt;設定!$B$3),"",IF(INDEX(原始資料!BD$2:BD$501,$BJ416)="","",INDEX(原始資料!BD$2:BD$501,$BJ416)))</f>
        <v/>
      </c>
      <c r="BC416" s="6">
        <f>IF(OR($BJ416="",54&gt;設定!$B$3),"",IF(INDEX(原始資料!BE$2:BE$501,$BJ416)="","",INDEX(原始資料!BE$2:BE$501,$BJ416)))</f>
        <v/>
      </c>
      <c r="BD416" s="6">
        <f>IF(OR($BJ416="",55&gt;設定!$B$3),"",IF(INDEX(原始資料!BF$2:BF$501,$BJ416)="","",INDEX(原始資料!BF$2:BF$501,$BJ416)))</f>
        <v/>
      </c>
      <c r="BE416" s="6">
        <f>IF(OR($BJ416="",56&gt;設定!$B$3),"",IF(INDEX(原始資料!BG$2:BG$501,$BJ416)="","",INDEX(原始資料!BG$2:BG$501,$BJ416)))</f>
        <v/>
      </c>
      <c r="BF416" s="6">
        <f>IF(OR($BJ416="",57&gt;設定!$B$3),"",IF(INDEX(原始資料!BH$2:BH$501,$BJ416)="","",INDEX(原始資料!BH$2:BH$501,$BJ416)))</f>
        <v/>
      </c>
      <c r="BG416" s="6">
        <f>IF(OR($BJ416="",58&gt;設定!$B$3),"",IF(INDEX(原始資料!BI$2:BI$501,$BJ416)="","",INDEX(原始資料!BI$2:BI$501,$BJ416)))</f>
        <v/>
      </c>
      <c r="BH416" s="6">
        <f>IF(OR($BJ416="",59&gt;設定!$B$3),"",IF(INDEX(原始資料!BJ$2:BJ$501,$BJ416)="","",INDEX(原始資料!BJ$2:BJ$501,$BJ416)))</f>
        <v/>
      </c>
      <c r="BI416" s="6">
        <f>IF(OR($BJ416="",60&gt;設定!$B$3),"",IF(INDEX(原始資料!BK$2:BK$501,$BJ416)="","",INDEX(原始資料!BK$2:BK$501,$BJ416)))</f>
        <v/>
      </c>
      <c r="BJ416" s="6">
        <f>IFERROR(MATCH(ROW()-1,判定!$H$2:$H$501,0),"")</f>
        <v/>
      </c>
    </row>
    <row r="417">
      <c r="A417" s="6">
        <f>IF($BJ417="","",INDEX(原始資料!$A$2:$A$501,$BJ417))</f>
        <v/>
      </c>
      <c r="B417" s="6">
        <f>IF(OR($BJ417="",1&gt;設定!$B$3),"",IF(INDEX(原始資料!D$2:D$501,$BJ417)="","",INDEX(原始資料!D$2:D$501,$BJ417)))</f>
        <v/>
      </c>
      <c r="C417" s="6">
        <f>IF(OR($BJ417="",2&gt;設定!$B$3),"",IF(INDEX(原始資料!E$2:E$501,$BJ417)="","",INDEX(原始資料!E$2:E$501,$BJ417)))</f>
        <v/>
      </c>
      <c r="D417" s="6">
        <f>IF(OR($BJ417="",3&gt;設定!$B$3),"",IF(INDEX(原始資料!F$2:F$501,$BJ417)="","",INDEX(原始資料!F$2:F$501,$BJ417)))</f>
        <v/>
      </c>
      <c r="E417" s="6">
        <f>IF(OR($BJ417="",4&gt;設定!$B$3),"",IF(INDEX(原始資料!G$2:G$501,$BJ417)="","",INDEX(原始資料!G$2:G$501,$BJ417)))</f>
        <v/>
      </c>
      <c r="F417" s="6">
        <f>IF(OR($BJ417="",5&gt;設定!$B$3),"",IF(INDEX(原始資料!H$2:H$501,$BJ417)="","",INDEX(原始資料!H$2:H$501,$BJ417)))</f>
        <v/>
      </c>
      <c r="G417" s="6">
        <f>IF(OR($BJ417="",6&gt;設定!$B$3),"",IF(INDEX(原始資料!I$2:I$501,$BJ417)="","",INDEX(原始資料!I$2:I$501,$BJ417)))</f>
        <v/>
      </c>
      <c r="H417" s="6">
        <f>IF(OR($BJ417="",7&gt;設定!$B$3),"",IF(INDEX(原始資料!J$2:J$501,$BJ417)="","",INDEX(原始資料!J$2:J$501,$BJ417)))</f>
        <v/>
      </c>
      <c r="I417" s="6">
        <f>IF(OR($BJ417="",8&gt;設定!$B$3),"",IF(INDEX(原始資料!K$2:K$501,$BJ417)="","",INDEX(原始資料!K$2:K$501,$BJ417)))</f>
        <v/>
      </c>
      <c r="J417" s="6">
        <f>IF(OR($BJ417="",9&gt;設定!$B$3),"",IF(INDEX(原始資料!L$2:L$501,$BJ417)="","",INDEX(原始資料!L$2:L$501,$BJ417)))</f>
        <v/>
      </c>
      <c r="K417" s="6">
        <f>IF(OR($BJ417="",10&gt;設定!$B$3),"",IF(INDEX(原始資料!M$2:M$501,$BJ417)="","",INDEX(原始資料!M$2:M$501,$BJ417)))</f>
        <v/>
      </c>
      <c r="L417" s="6">
        <f>IF(OR($BJ417="",11&gt;設定!$B$3),"",IF(INDEX(原始資料!N$2:N$501,$BJ417)="","",INDEX(原始資料!N$2:N$501,$BJ417)))</f>
        <v/>
      </c>
      <c r="M417" s="6">
        <f>IF(OR($BJ417="",12&gt;設定!$B$3),"",IF(INDEX(原始資料!O$2:O$501,$BJ417)="","",INDEX(原始資料!O$2:O$501,$BJ417)))</f>
        <v/>
      </c>
      <c r="N417" s="6">
        <f>IF(OR($BJ417="",13&gt;設定!$B$3),"",IF(INDEX(原始資料!P$2:P$501,$BJ417)="","",INDEX(原始資料!P$2:P$501,$BJ417)))</f>
        <v/>
      </c>
      <c r="O417" s="6">
        <f>IF(OR($BJ417="",14&gt;設定!$B$3),"",IF(INDEX(原始資料!Q$2:Q$501,$BJ417)="","",INDEX(原始資料!Q$2:Q$501,$BJ417)))</f>
        <v/>
      </c>
      <c r="P417" s="6">
        <f>IF(OR($BJ417="",15&gt;設定!$B$3),"",IF(INDEX(原始資料!R$2:R$501,$BJ417)="","",INDEX(原始資料!R$2:R$501,$BJ417)))</f>
        <v/>
      </c>
      <c r="Q417" s="6">
        <f>IF(OR($BJ417="",16&gt;設定!$B$3),"",IF(INDEX(原始資料!S$2:S$501,$BJ417)="","",INDEX(原始資料!S$2:S$501,$BJ417)))</f>
        <v/>
      </c>
      <c r="R417" s="6">
        <f>IF(OR($BJ417="",17&gt;設定!$B$3),"",IF(INDEX(原始資料!T$2:T$501,$BJ417)="","",INDEX(原始資料!T$2:T$501,$BJ417)))</f>
        <v/>
      </c>
      <c r="S417" s="6">
        <f>IF(OR($BJ417="",18&gt;設定!$B$3),"",IF(INDEX(原始資料!U$2:U$501,$BJ417)="","",INDEX(原始資料!U$2:U$501,$BJ417)))</f>
        <v/>
      </c>
      <c r="T417" s="6">
        <f>IF(OR($BJ417="",19&gt;設定!$B$3),"",IF(INDEX(原始資料!V$2:V$501,$BJ417)="","",INDEX(原始資料!V$2:V$501,$BJ417)))</f>
        <v/>
      </c>
      <c r="U417" s="6">
        <f>IF(OR($BJ417="",20&gt;設定!$B$3),"",IF(INDEX(原始資料!W$2:W$501,$BJ417)="","",INDEX(原始資料!W$2:W$501,$BJ417)))</f>
        <v/>
      </c>
      <c r="V417" s="6">
        <f>IF(OR($BJ417="",21&gt;設定!$B$3),"",IF(INDEX(原始資料!X$2:X$501,$BJ417)="","",INDEX(原始資料!X$2:X$501,$BJ417)))</f>
        <v/>
      </c>
      <c r="W417" s="6">
        <f>IF(OR($BJ417="",22&gt;設定!$B$3),"",IF(INDEX(原始資料!Y$2:Y$501,$BJ417)="","",INDEX(原始資料!Y$2:Y$501,$BJ417)))</f>
        <v/>
      </c>
      <c r="X417" s="6">
        <f>IF(OR($BJ417="",23&gt;設定!$B$3),"",IF(INDEX(原始資料!Z$2:Z$501,$BJ417)="","",INDEX(原始資料!Z$2:Z$501,$BJ417)))</f>
        <v/>
      </c>
      <c r="Y417" s="6">
        <f>IF(OR($BJ417="",24&gt;設定!$B$3),"",IF(INDEX(原始資料!AA$2:AA$501,$BJ417)="","",INDEX(原始資料!AA$2:AA$501,$BJ417)))</f>
        <v/>
      </c>
      <c r="Z417" s="6">
        <f>IF(OR($BJ417="",25&gt;設定!$B$3),"",IF(INDEX(原始資料!AB$2:AB$501,$BJ417)="","",INDEX(原始資料!AB$2:AB$501,$BJ417)))</f>
        <v/>
      </c>
      <c r="AA417" s="6">
        <f>IF(OR($BJ417="",26&gt;設定!$B$3),"",IF(INDEX(原始資料!AC$2:AC$501,$BJ417)="","",INDEX(原始資料!AC$2:AC$501,$BJ417)))</f>
        <v/>
      </c>
      <c r="AB417" s="6">
        <f>IF(OR($BJ417="",27&gt;設定!$B$3),"",IF(INDEX(原始資料!AD$2:AD$501,$BJ417)="","",INDEX(原始資料!AD$2:AD$501,$BJ417)))</f>
        <v/>
      </c>
      <c r="AC417" s="6">
        <f>IF(OR($BJ417="",28&gt;設定!$B$3),"",IF(INDEX(原始資料!AE$2:AE$501,$BJ417)="","",INDEX(原始資料!AE$2:AE$501,$BJ417)))</f>
        <v/>
      </c>
      <c r="AD417" s="6">
        <f>IF(OR($BJ417="",29&gt;設定!$B$3),"",IF(INDEX(原始資料!AF$2:AF$501,$BJ417)="","",INDEX(原始資料!AF$2:AF$501,$BJ417)))</f>
        <v/>
      </c>
      <c r="AE417" s="6">
        <f>IF(OR($BJ417="",30&gt;設定!$B$3),"",IF(INDEX(原始資料!AG$2:AG$501,$BJ417)="","",INDEX(原始資料!AG$2:AG$501,$BJ417)))</f>
        <v/>
      </c>
      <c r="AF417" s="6">
        <f>IF(OR($BJ417="",31&gt;設定!$B$3),"",IF(INDEX(原始資料!AH$2:AH$501,$BJ417)="","",INDEX(原始資料!AH$2:AH$501,$BJ417)))</f>
        <v/>
      </c>
      <c r="AG417" s="6">
        <f>IF(OR($BJ417="",32&gt;設定!$B$3),"",IF(INDEX(原始資料!AI$2:AI$501,$BJ417)="","",INDEX(原始資料!AI$2:AI$501,$BJ417)))</f>
        <v/>
      </c>
      <c r="AH417" s="6">
        <f>IF(OR($BJ417="",33&gt;設定!$B$3),"",IF(INDEX(原始資料!AJ$2:AJ$501,$BJ417)="","",INDEX(原始資料!AJ$2:AJ$501,$BJ417)))</f>
        <v/>
      </c>
      <c r="AI417" s="6">
        <f>IF(OR($BJ417="",34&gt;設定!$B$3),"",IF(INDEX(原始資料!AK$2:AK$501,$BJ417)="","",INDEX(原始資料!AK$2:AK$501,$BJ417)))</f>
        <v/>
      </c>
      <c r="AJ417" s="6">
        <f>IF(OR($BJ417="",35&gt;設定!$B$3),"",IF(INDEX(原始資料!AL$2:AL$501,$BJ417)="","",INDEX(原始資料!AL$2:AL$501,$BJ417)))</f>
        <v/>
      </c>
      <c r="AK417" s="6">
        <f>IF(OR($BJ417="",36&gt;設定!$B$3),"",IF(INDEX(原始資料!AM$2:AM$501,$BJ417)="","",INDEX(原始資料!AM$2:AM$501,$BJ417)))</f>
        <v/>
      </c>
      <c r="AL417" s="6">
        <f>IF(OR($BJ417="",37&gt;設定!$B$3),"",IF(INDEX(原始資料!AN$2:AN$501,$BJ417)="","",INDEX(原始資料!AN$2:AN$501,$BJ417)))</f>
        <v/>
      </c>
      <c r="AM417" s="6">
        <f>IF(OR($BJ417="",38&gt;設定!$B$3),"",IF(INDEX(原始資料!AO$2:AO$501,$BJ417)="","",INDEX(原始資料!AO$2:AO$501,$BJ417)))</f>
        <v/>
      </c>
      <c r="AN417" s="6">
        <f>IF(OR($BJ417="",39&gt;設定!$B$3),"",IF(INDEX(原始資料!AP$2:AP$501,$BJ417)="","",INDEX(原始資料!AP$2:AP$501,$BJ417)))</f>
        <v/>
      </c>
      <c r="AO417" s="6">
        <f>IF(OR($BJ417="",40&gt;設定!$B$3),"",IF(INDEX(原始資料!AQ$2:AQ$501,$BJ417)="","",INDEX(原始資料!AQ$2:AQ$501,$BJ417)))</f>
        <v/>
      </c>
      <c r="AP417" s="6">
        <f>IF(OR($BJ417="",41&gt;設定!$B$3),"",IF(INDEX(原始資料!AR$2:AR$501,$BJ417)="","",INDEX(原始資料!AR$2:AR$501,$BJ417)))</f>
        <v/>
      </c>
      <c r="AQ417" s="6">
        <f>IF(OR($BJ417="",42&gt;設定!$B$3),"",IF(INDEX(原始資料!AS$2:AS$501,$BJ417)="","",INDEX(原始資料!AS$2:AS$501,$BJ417)))</f>
        <v/>
      </c>
      <c r="AR417" s="6">
        <f>IF(OR($BJ417="",43&gt;設定!$B$3),"",IF(INDEX(原始資料!AT$2:AT$501,$BJ417)="","",INDEX(原始資料!AT$2:AT$501,$BJ417)))</f>
        <v/>
      </c>
      <c r="AS417" s="6">
        <f>IF(OR($BJ417="",44&gt;設定!$B$3),"",IF(INDEX(原始資料!AU$2:AU$501,$BJ417)="","",INDEX(原始資料!AU$2:AU$501,$BJ417)))</f>
        <v/>
      </c>
      <c r="AT417" s="6">
        <f>IF(OR($BJ417="",45&gt;設定!$B$3),"",IF(INDEX(原始資料!AV$2:AV$501,$BJ417)="","",INDEX(原始資料!AV$2:AV$501,$BJ417)))</f>
        <v/>
      </c>
      <c r="AU417" s="6">
        <f>IF(OR($BJ417="",46&gt;設定!$B$3),"",IF(INDEX(原始資料!AW$2:AW$501,$BJ417)="","",INDEX(原始資料!AW$2:AW$501,$BJ417)))</f>
        <v/>
      </c>
      <c r="AV417" s="6">
        <f>IF(OR($BJ417="",47&gt;設定!$B$3),"",IF(INDEX(原始資料!AX$2:AX$501,$BJ417)="","",INDEX(原始資料!AX$2:AX$501,$BJ417)))</f>
        <v/>
      </c>
      <c r="AW417" s="6">
        <f>IF(OR($BJ417="",48&gt;設定!$B$3),"",IF(INDEX(原始資料!AY$2:AY$501,$BJ417)="","",INDEX(原始資料!AY$2:AY$501,$BJ417)))</f>
        <v/>
      </c>
      <c r="AX417" s="6">
        <f>IF(OR($BJ417="",49&gt;設定!$B$3),"",IF(INDEX(原始資料!AZ$2:AZ$501,$BJ417)="","",INDEX(原始資料!AZ$2:AZ$501,$BJ417)))</f>
        <v/>
      </c>
      <c r="AY417" s="6">
        <f>IF(OR($BJ417="",50&gt;設定!$B$3),"",IF(INDEX(原始資料!BA$2:BA$501,$BJ417)="","",INDEX(原始資料!BA$2:BA$501,$BJ417)))</f>
        <v/>
      </c>
      <c r="AZ417" s="6">
        <f>IF(OR($BJ417="",51&gt;設定!$B$3),"",IF(INDEX(原始資料!BB$2:BB$501,$BJ417)="","",INDEX(原始資料!BB$2:BB$501,$BJ417)))</f>
        <v/>
      </c>
      <c r="BA417" s="6">
        <f>IF(OR($BJ417="",52&gt;設定!$B$3),"",IF(INDEX(原始資料!BC$2:BC$501,$BJ417)="","",INDEX(原始資料!BC$2:BC$501,$BJ417)))</f>
        <v/>
      </c>
      <c r="BB417" s="6">
        <f>IF(OR($BJ417="",53&gt;設定!$B$3),"",IF(INDEX(原始資料!BD$2:BD$501,$BJ417)="","",INDEX(原始資料!BD$2:BD$501,$BJ417)))</f>
        <v/>
      </c>
      <c r="BC417" s="6">
        <f>IF(OR($BJ417="",54&gt;設定!$B$3),"",IF(INDEX(原始資料!BE$2:BE$501,$BJ417)="","",INDEX(原始資料!BE$2:BE$501,$BJ417)))</f>
        <v/>
      </c>
      <c r="BD417" s="6">
        <f>IF(OR($BJ417="",55&gt;設定!$B$3),"",IF(INDEX(原始資料!BF$2:BF$501,$BJ417)="","",INDEX(原始資料!BF$2:BF$501,$BJ417)))</f>
        <v/>
      </c>
      <c r="BE417" s="6">
        <f>IF(OR($BJ417="",56&gt;設定!$B$3),"",IF(INDEX(原始資料!BG$2:BG$501,$BJ417)="","",INDEX(原始資料!BG$2:BG$501,$BJ417)))</f>
        <v/>
      </c>
      <c r="BF417" s="6">
        <f>IF(OR($BJ417="",57&gt;設定!$B$3),"",IF(INDEX(原始資料!BH$2:BH$501,$BJ417)="","",INDEX(原始資料!BH$2:BH$501,$BJ417)))</f>
        <v/>
      </c>
      <c r="BG417" s="6">
        <f>IF(OR($BJ417="",58&gt;設定!$B$3),"",IF(INDEX(原始資料!BI$2:BI$501,$BJ417)="","",INDEX(原始資料!BI$2:BI$501,$BJ417)))</f>
        <v/>
      </c>
      <c r="BH417" s="6">
        <f>IF(OR($BJ417="",59&gt;設定!$B$3),"",IF(INDEX(原始資料!BJ$2:BJ$501,$BJ417)="","",INDEX(原始資料!BJ$2:BJ$501,$BJ417)))</f>
        <v/>
      </c>
      <c r="BI417" s="6">
        <f>IF(OR($BJ417="",60&gt;設定!$B$3),"",IF(INDEX(原始資料!BK$2:BK$501,$BJ417)="","",INDEX(原始資料!BK$2:BK$501,$BJ417)))</f>
        <v/>
      </c>
      <c r="BJ417" s="6">
        <f>IFERROR(MATCH(ROW()-1,判定!$H$2:$H$501,0),"")</f>
        <v/>
      </c>
    </row>
    <row r="418">
      <c r="A418" s="6">
        <f>IF($BJ418="","",INDEX(原始資料!$A$2:$A$501,$BJ418))</f>
        <v/>
      </c>
      <c r="B418" s="6">
        <f>IF(OR($BJ418="",1&gt;設定!$B$3),"",IF(INDEX(原始資料!D$2:D$501,$BJ418)="","",INDEX(原始資料!D$2:D$501,$BJ418)))</f>
        <v/>
      </c>
      <c r="C418" s="6">
        <f>IF(OR($BJ418="",2&gt;設定!$B$3),"",IF(INDEX(原始資料!E$2:E$501,$BJ418)="","",INDEX(原始資料!E$2:E$501,$BJ418)))</f>
        <v/>
      </c>
      <c r="D418" s="6">
        <f>IF(OR($BJ418="",3&gt;設定!$B$3),"",IF(INDEX(原始資料!F$2:F$501,$BJ418)="","",INDEX(原始資料!F$2:F$501,$BJ418)))</f>
        <v/>
      </c>
      <c r="E418" s="6">
        <f>IF(OR($BJ418="",4&gt;設定!$B$3),"",IF(INDEX(原始資料!G$2:G$501,$BJ418)="","",INDEX(原始資料!G$2:G$501,$BJ418)))</f>
        <v/>
      </c>
      <c r="F418" s="6">
        <f>IF(OR($BJ418="",5&gt;設定!$B$3),"",IF(INDEX(原始資料!H$2:H$501,$BJ418)="","",INDEX(原始資料!H$2:H$501,$BJ418)))</f>
        <v/>
      </c>
      <c r="G418" s="6">
        <f>IF(OR($BJ418="",6&gt;設定!$B$3),"",IF(INDEX(原始資料!I$2:I$501,$BJ418)="","",INDEX(原始資料!I$2:I$501,$BJ418)))</f>
        <v/>
      </c>
      <c r="H418" s="6">
        <f>IF(OR($BJ418="",7&gt;設定!$B$3),"",IF(INDEX(原始資料!J$2:J$501,$BJ418)="","",INDEX(原始資料!J$2:J$501,$BJ418)))</f>
        <v/>
      </c>
      <c r="I418" s="6">
        <f>IF(OR($BJ418="",8&gt;設定!$B$3),"",IF(INDEX(原始資料!K$2:K$501,$BJ418)="","",INDEX(原始資料!K$2:K$501,$BJ418)))</f>
        <v/>
      </c>
      <c r="J418" s="6">
        <f>IF(OR($BJ418="",9&gt;設定!$B$3),"",IF(INDEX(原始資料!L$2:L$501,$BJ418)="","",INDEX(原始資料!L$2:L$501,$BJ418)))</f>
        <v/>
      </c>
      <c r="K418" s="6">
        <f>IF(OR($BJ418="",10&gt;設定!$B$3),"",IF(INDEX(原始資料!M$2:M$501,$BJ418)="","",INDEX(原始資料!M$2:M$501,$BJ418)))</f>
        <v/>
      </c>
      <c r="L418" s="6">
        <f>IF(OR($BJ418="",11&gt;設定!$B$3),"",IF(INDEX(原始資料!N$2:N$501,$BJ418)="","",INDEX(原始資料!N$2:N$501,$BJ418)))</f>
        <v/>
      </c>
      <c r="M418" s="6">
        <f>IF(OR($BJ418="",12&gt;設定!$B$3),"",IF(INDEX(原始資料!O$2:O$501,$BJ418)="","",INDEX(原始資料!O$2:O$501,$BJ418)))</f>
        <v/>
      </c>
      <c r="N418" s="6">
        <f>IF(OR($BJ418="",13&gt;設定!$B$3),"",IF(INDEX(原始資料!P$2:P$501,$BJ418)="","",INDEX(原始資料!P$2:P$501,$BJ418)))</f>
        <v/>
      </c>
      <c r="O418" s="6">
        <f>IF(OR($BJ418="",14&gt;設定!$B$3),"",IF(INDEX(原始資料!Q$2:Q$501,$BJ418)="","",INDEX(原始資料!Q$2:Q$501,$BJ418)))</f>
        <v/>
      </c>
      <c r="P418" s="6">
        <f>IF(OR($BJ418="",15&gt;設定!$B$3),"",IF(INDEX(原始資料!R$2:R$501,$BJ418)="","",INDEX(原始資料!R$2:R$501,$BJ418)))</f>
        <v/>
      </c>
      <c r="Q418" s="6">
        <f>IF(OR($BJ418="",16&gt;設定!$B$3),"",IF(INDEX(原始資料!S$2:S$501,$BJ418)="","",INDEX(原始資料!S$2:S$501,$BJ418)))</f>
        <v/>
      </c>
      <c r="R418" s="6">
        <f>IF(OR($BJ418="",17&gt;設定!$B$3),"",IF(INDEX(原始資料!T$2:T$501,$BJ418)="","",INDEX(原始資料!T$2:T$501,$BJ418)))</f>
        <v/>
      </c>
      <c r="S418" s="6">
        <f>IF(OR($BJ418="",18&gt;設定!$B$3),"",IF(INDEX(原始資料!U$2:U$501,$BJ418)="","",INDEX(原始資料!U$2:U$501,$BJ418)))</f>
        <v/>
      </c>
      <c r="T418" s="6">
        <f>IF(OR($BJ418="",19&gt;設定!$B$3),"",IF(INDEX(原始資料!V$2:V$501,$BJ418)="","",INDEX(原始資料!V$2:V$501,$BJ418)))</f>
        <v/>
      </c>
      <c r="U418" s="6">
        <f>IF(OR($BJ418="",20&gt;設定!$B$3),"",IF(INDEX(原始資料!W$2:W$501,$BJ418)="","",INDEX(原始資料!W$2:W$501,$BJ418)))</f>
        <v/>
      </c>
      <c r="V418" s="6">
        <f>IF(OR($BJ418="",21&gt;設定!$B$3),"",IF(INDEX(原始資料!X$2:X$501,$BJ418)="","",INDEX(原始資料!X$2:X$501,$BJ418)))</f>
        <v/>
      </c>
      <c r="W418" s="6">
        <f>IF(OR($BJ418="",22&gt;設定!$B$3),"",IF(INDEX(原始資料!Y$2:Y$501,$BJ418)="","",INDEX(原始資料!Y$2:Y$501,$BJ418)))</f>
        <v/>
      </c>
      <c r="X418" s="6">
        <f>IF(OR($BJ418="",23&gt;設定!$B$3),"",IF(INDEX(原始資料!Z$2:Z$501,$BJ418)="","",INDEX(原始資料!Z$2:Z$501,$BJ418)))</f>
        <v/>
      </c>
      <c r="Y418" s="6">
        <f>IF(OR($BJ418="",24&gt;設定!$B$3),"",IF(INDEX(原始資料!AA$2:AA$501,$BJ418)="","",INDEX(原始資料!AA$2:AA$501,$BJ418)))</f>
        <v/>
      </c>
      <c r="Z418" s="6">
        <f>IF(OR($BJ418="",25&gt;設定!$B$3),"",IF(INDEX(原始資料!AB$2:AB$501,$BJ418)="","",INDEX(原始資料!AB$2:AB$501,$BJ418)))</f>
        <v/>
      </c>
      <c r="AA418" s="6">
        <f>IF(OR($BJ418="",26&gt;設定!$B$3),"",IF(INDEX(原始資料!AC$2:AC$501,$BJ418)="","",INDEX(原始資料!AC$2:AC$501,$BJ418)))</f>
        <v/>
      </c>
      <c r="AB418" s="6">
        <f>IF(OR($BJ418="",27&gt;設定!$B$3),"",IF(INDEX(原始資料!AD$2:AD$501,$BJ418)="","",INDEX(原始資料!AD$2:AD$501,$BJ418)))</f>
        <v/>
      </c>
      <c r="AC418" s="6">
        <f>IF(OR($BJ418="",28&gt;設定!$B$3),"",IF(INDEX(原始資料!AE$2:AE$501,$BJ418)="","",INDEX(原始資料!AE$2:AE$501,$BJ418)))</f>
        <v/>
      </c>
      <c r="AD418" s="6">
        <f>IF(OR($BJ418="",29&gt;設定!$B$3),"",IF(INDEX(原始資料!AF$2:AF$501,$BJ418)="","",INDEX(原始資料!AF$2:AF$501,$BJ418)))</f>
        <v/>
      </c>
      <c r="AE418" s="6">
        <f>IF(OR($BJ418="",30&gt;設定!$B$3),"",IF(INDEX(原始資料!AG$2:AG$501,$BJ418)="","",INDEX(原始資料!AG$2:AG$501,$BJ418)))</f>
        <v/>
      </c>
      <c r="AF418" s="6">
        <f>IF(OR($BJ418="",31&gt;設定!$B$3),"",IF(INDEX(原始資料!AH$2:AH$501,$BJ418)="","",INDEX(原始資料!AH$2:AH$501,$BJ418)))</f>
        <v/>
      </c>
      <c r="AG418" s="6">
        <f>IF(OR($BJ418="",32&gt;設定!$B$3),"",IF(INDEX(原始資料!AI$2:AI$501,$BJ418)="","",INDEX(原始資料!AI$2:AI$501,$BJ418)))</f>
        <v/>
      </c>
      <c r="AH418" s="6">
        <f>IF(OR($BJ418="",33&gt;設定!$B$3),"",IF(INDEX(原始資料!AJ$2:AJ$501,$BJ418)="","",INDEX(原始資料!AJ$2:AJ$501,$BJ418)))</f>
        <v/>
      </c>
      <c r="AI418" s="6">
        <f>IF(OR($BJ418="",34&gt;設定!$B$3),"",IF(INDEX(原始資料!AK$2:AK$501,$BJ418)="","",INDEX(原始資料!AK$2:AK$501,$BJ418)))</f>
        <v/>
      </c>
      <c r="AJ418" s="6">
        <f>IF(OR($BJ418="",35&gt;設定!$B$3),"",IF(INDEX(原始資料!AL$2:AL$501,$BJ418)="","",INDEX(原始資料!AL$2:AL$501,$BJ418)))</f>
        <v/>
      </c>
      <c r="AK418" s="6">
        <f>IF(OR($BJ418="",36&gt;設定!$B$3),"",IF(INDEX(原始資料!AM$2:AM$501,$BJ418)="","",INDEX(原始資料!AM$2:AM$501,$BJ418)))</f>
        <v/>
      </c>
      <c r="AL418" s="6">
        <f>IF(OR($BJ418="",37&gt;設定!$B$3),"",IF(INDEX(原始資料!AN$2:AN$501,$BJ418)="","",INDEX(原始資料!AN$2:AN$501,$BJ418)))</f>
        <v/>
      </c>
      <c r="AM418" s="6">
        <f>IF(OR($BJ418="",38&gt;設定!$B$3),"",IF(INDEX(原始資料!AO$2:AO$501,$BJ418)="","",INDEX(原始資料!AO$2:AO$501,$BJ418)))</f>
        <v/>
      </c>
      <c r="AN418" s="6">
        <f>IF(OR($BJ418="",39&gt;設定!$B$3),"",IF(INDEX(原始資料!AP$2:AP$501,$BJ418)="","",INDEX(原始資料!AP$2:AP$501,$BJ418)))</f>
        <v/>
      </c>
      <c r="AO418" s="6">
        <f>IF(OR($BJ418="",40&gt;設定!$B$3),"",IF(INDEX(原始資料!AQ$2:AQ$501,$BJ418)="","",INDEX(原始資料!AQ$2:AQ$501,$BJ418)))</f>
        <v/>
      </c>
      <c r="AP418" s="6">
        <f>IF(OR($BJ418="",41&gt;設定!$B$3),"",IF(INDEX(原始資料!AR$2:AR$501,$BJ418)="","",INDEX(原始資料!AR$2:AR$501,$BJ418)))</f>
        <v/>
      </c>
      <c r="AQ418" s="6">
        <f>IF(OR($BJ418="",42&gt;設定!$B$3),"",IF(INDEX(原始資料!AS$2:AS$501,$BJ418)="","",INDEX(原始資料!AS$2:AS$501,$BJ418)))</f>
        <v/>
      </c>
      <c r="AR418" s="6">
        <f>IF(OR($BJ418="",43&gt;設定!$B$3),"",IF(INDEX(原始資料!AT$2:AT$501,$BJ418)="","",INDEX(原始資料!AT$2:AT$501,$BJ418)))</f>
        <v/>
      </c>
      <c r="AS418" s="6">
        <f>IF(OR($BJ418="",44&gt;設定!$B$3),"",IF(INDEX(原始資料!AU$2:AU$501,$BJ418)="","",INDEX(原始資料!AU$2:AU$501,$BJ418)))</f>
        <v/>
      </c>
      <c r="AT418" s="6">
        <f>IF(OR($BJ418="",45&gt;設定!$B$3),"",IF(INDEX(原始資料!AV$2:AV$501,$BJ418)="","",INDEX(原始資料!AV$2:AV$501,$BJ418)))</f>
        <v/>
      </c>
      <c r="AU418" s="6">
        <f>IF(OR($BJ418="",46&gt;設定!$B$3),"",IF(INDEX(原始資料!AW$2:AW$501,$BJ418)="","",INDEX(原始資料!AW$2:AW$501,$BJ418)))</f>
        <v/>
      </c>
      <c r="AV418" s="6">
        <f>IF(OR($BJ418="",47&gt;設定!$B$3),"",IF(INDEX(原始資料!AX$2:AX$501,$BJ418)="","",INDEX(原始資料!AX$2:AX$501,$BJ418)))</f>
        <v/>
      </c>
      <c r="AW418" s="6">
        <f>IF(OR($BJ418="",48&gt;設定!$B$3),"",IF(INDEX(原始資料!AY$2:AY$501,$BJ418)="","",INDEX(原始資料!AY$2:AY$501,$BJ418)))</f>
        <v/>
      </c>
      <c r="AX418" s="6">
        <f>IF(OR($BJ418="",49&gt;設定!$B$3),"",IF(INDEX(原始資料!AZ$2:AZ$501,$BJ418)="","",INDEX(原始資料!AZ$2:AZ$501,$BJ418)))</f>
        <v/>
      </c>
      <c r="AY418" s="6">
        <f>IF(OR($BJ418="",50&gt;設定!$B$3),"",IF(INDEX(原始資料!BA$2:BA$501,$BJ418)="","",INDEX(原始資料!BA$2:BA$501,$BJ418)))</f>
        <v/>
      </c>
      <c r="AZ418" s="6">
        <f>IF(OR($BJ418="",51&gt;設定!$B$3),"",IF(INDEX(原始資料!BB$2:BB$501,$BJ418)="","",INDEX(原始資料!BB$2:BB$501,$BJ418)))</f>
        <v/>
      </c>
      <c r="BA418" s="6">
        <f>IF(OR($BJ418="",52&gt;設定!$B$3),"",IF(INDEX(原始資料!BC$2:BC$501,$BJ418)="","",INDEX(原始資料!BC$2:BC$501,$BJ418)))</f>
        <v/>
      </c>
      <c r="BB418" s="6">
        <f>IF(OR($BJ418="",53&gt;設定!$B$3),"",IF(INDEX(原始資料!BD$2:BD$501,$BJ418)="","",INDEX(原始資料!BD$2:BD$501,$BJ418)))</f>
        <v/>
      </c>
      <c r="BC418" s="6">
        <f>IF(OR($BJ418="",54&gt;設定!$B$3),"",IF(INDEX(原始資料!BE$2:BE$501,$BJ418)="","",INDEX(原始資料!BE$2:BE$501,$BJ418)))</f>
        <v/>
      </c>
      <c r="BD418" s="6">
        <f>IF(OR($BJ418="",55&gt;設定!$B$3),"",IF(INDEX(原始資料!BF$2:BF$501,$BJ418)="","",INDEX(原始資料!BF$2:BF$501,$BJ418)))</f>
        <v/>
      </c>
      <c r="BE418" s="6">
        <f>IF(OR($BJ418="",56&gt;設定!$B$3),"",IF(INDEX(原始資料!BG$2:BG$501,$BJ418)="","",INDEX(原始資料!BG$2:BG$501,$BJ418)))</f>
        <v/>
      </c>
      <c r="BF418" s="6">
        <f>IF(OR($BJ418="",57&gt;設定!$B$3),"",IF(INDEX(原始資料!BH$2:BH$501,$BJ418)="","",INDEX(原始資料!BH$2:BH$501,$BJ418)))</f>
        <v/>
      </c>
      <c r="BG418" s="6">
        <f>IF(OR($BJ418="",58&gt;設定!$B$3),"",IF(INDEX(原始資料!BI$2:BI$501,$BJ418)="","",INDEX(原始資料!BI$2:BI$501,$BJ418)))</f>
        <v/>
      </c>
      <c r="BH418" s="6">
        <f>IF(OR($BJ418="",59&gt;設定!$B$3),"",IF(INDEX(原始資料!BJ$2:BJ$501,$BJ418)="","",INDEX(原始資料!BJ$2:BJ$501,$BJ418)))</f>
        <v/>
      </c>
      <c r="BI418" s="6">
        <f>IF(OR($BJ418="",60&gt;設定!$B$3),"",IF(INDEX(原始資料!BK$2:BK$501,$BJ418)="","",INDEX(原始資料!BK$2:BK$501,$BJ418)))</f>
        <v/>
      </c>
      <c r="BJ418" s="6">
        <f>IFERROR(MATCH(ROW()-1,判定!$H$2:$H$501,0),"")</f>
        <v/>
      </c>
    </row>
    <row r="419">
      <c r="A419" s="6">
        <f>IF($BJ419="","",INDEX(原始資料!$A$2:$A$501,$BJ419))</f>
        <v/>
      </c>
      <c r="B419" s="6">
        <f>IF(OR($BJ419="",1&gt;設定!$B$3),"",IF(INDEX(原始資料!D$2:D$501,$BJ419)="","",INDEX(原始資料!D$2:D$501,$BJ419)))</f>
        <v/>
      </c>
      <c r="C419" s="6">
        <f>IF(OR($BJ419="",2&gt;設定!$B$3),"",IF(INDEX(原始資料!E$2:E$501,$BJ419)="","",INDEX(原始資料!E$2:E$501,$BJ419)))</f>
        <v/>
      </c>
      <c r="D419" s="6">
        <f>IF(OR($BJ419="",3&gt;設定!$B$3),"",IF(INDEX(原始資料!F$2:F$501,$BJ419)="","",INDEX(原始資料!F$2:F$501,$BJ419)))</f>
        <v/>
      </c>
      <c r="E419" s="6">
        <f>IF(OR($BJ419="",4&gt;設定!$B$3),"",IF(INDEX(原始資料!G$2:G$501,$BJ419)="","",INDEX(原始資料!G$2:G$501,$BJ419)))</f>
        <v/>
      </c>
      <c r="F419" s="6">
        <f>IF(OR($BJ419="",5&gt;設定!$B$3),"",IF(INDEX(原始資料!H$2:H$501,$BJ419)="","",INDEX(原始資料!H$2:H$501,$BJ419)))</f>
        <v/>
      </c>
      <c r="G419" s="6">
        <f>IF(OR($BJ419="",6&gt;設定!$B$3),"",IF(INDEX(原始資料!I$2:I$501,$BJ419)="","",INDEX(原始資料!I$2:I$501,$BJ419)))</f>
        <v/>
      </c>
      <c r="H419" s="6">
        <f>IF(OR($BJ419="",7&gt;設定!$B$3),"",IF(INDEX(原始資料!J$2:J$501,$BJ419)="","",INDEX(原始資料!J$2:J$501,$BJ419)))</f>
        <v/>
      </c>
      <c r="I419" s="6">
        <f>IF(OR($BJ419="",8&gt;設定!$B$3),"",IF(INDEX(原始資料!K$2:K$501,$BJ419)="","",INDEX(原始資料!K$2:K$501,$BJ419)))</f>
        <v/>
      </c>
      <c r="J419" s="6">
        <f>IF(OR($BJ419="",9&gt;設定!$B$3),"",IF(INDEX(原始資料!L$2:L$501,$BJ419)="","",INDEX(原始資料!L$2:L$501,$BJ419)))</f>
        <v/>
      </c>
      <c r="K419" s="6">
        <f>IF(OR($BJ419="",10&gt;設定!$B$3),"",IF(INDEX(原始資料!M$2:M$501,$BJ419)="","",INDEX(原始資料!M$2:M$501,$BJ419)))</f>
        <v/>
      </c>
      <c r="L419" s="6">
        <f>IF(OR($BJ419="",11&gt;設定!$B$3),"",IF(INDEX(原始資料!N$2:N$501,$BJ419)="","",INDEX(原始資料!N$2:N$501,$BJ419)))</f>
        <v/>
      </c>
      <c r="M419" s="6">
        <f>IF(OR($BJ419="",12&gt;設定!$B$3),"",IF(INDEX(原始資料!O$2:O$501,$BJ419)="","",INDEX(原始資料!O$2:O$501,$BJ419)))</f>
        <v/>
      </c>
      <c r="N419" s="6">
        <f>IF(OR($BJ419="",13&gt;設定!$B$3),"",IF(INDEX(原始資料!P$2:P$501,$BJ419)="","",INDEX(原始資料!P$2:P$501,$BJ419)))</f>
        <v/>
      </c>
      <c r="O419" s="6">
        <f>IF(OR($BJ419="",14&gt;設定!$B$3),"",IF(INDEX(原始資料!Q$2:Q$501,$BJ419)="","",INDEX(原始資料!Q$2:Q$501,$BJ419)))</f>
        <v/>
      </c>
      <c r="P419" s="6">
        <f>IF(OR($BJ419="",15&gt;設定!$B$3),"",IF(INDEX(原始資料!R$2:R$501,$BJ419)="","",INDEX(原始資料!R$2:R$501,$BJ419)))</f>
        <v/>
      </c>
      <c r="Q419" s="6">
        <f>IF(OR($BJ419="",16&gt;設定!$B$3),"",IF(INDEX(原始資料!S$2:S$501,$BJ419)="","",INDEX(原始資料!S$2:S$501,$BJ419)))</f>
        <v/>
      </c>
      <c r="R419" s="6">
        <f>IF(OR($BJ419="",17&gt;設定!$B$3),"",IF(INDEX(原始資料!T$2:T$501,$BJ419)="","",INDEX(原始資料!T$2:T$501,$BJ419)))</f>
        <v/>
      </c>
      <c r="S419" s="6">
        <f>IF(OR($BJ419="",18&gt;設定!$B$3),"",IF(INDEX(原始資料!U$2:U$501,$BJ419)="","",INDEX(原始資料!U$2:U$501,$BJ419)))</f>
        <v/>
      </c>
      <c r="T419" s="6">
        <f>IF(OR($BJ419="",19&gt;設定!$B$3),"",IF(INDEX(原始資料!V$2:V$501,$BJ419)="","",INDEX(原始資料!V$2:V$501,$BJ419)))</f>
        <v/>
      </c>
      <c r="U419" s="6">
        <f>IF(OR($BJ419="",20&gt;設定!$B$3),"",IF(INDEX(原始資料!W$2:W$501,$BJ419)="","",INDEX(原始資料!W$2:W$501,$BJ419)))</f>
        <v/>
      </c>
      <c r="V419" s="6">
        <f>IF(OR($BJ419="",21&gt;設定!$B$3),"",IF(INDEX(原始資料!X$2:X$501,$BJ419)="","",INDEX(原始資料!X$2:X$501,$BJ419)))</f>
        <v/>
      </c>
      <c r="W419" s="6">
        <f>IF(OR($BJ419="",22&gt;設定!$B$3),"",IF(INDEX(原始資料!Y$2:Y$501,$BJ419)="","",INDEX(原始資料!Y$2:Y$501,$BJ419)))</f>
        <v/>
      </c>
      <c r="X419" s="6">
        <f>IF(OR($BJ419="",23&gt;設定!$B$3),"",IF(INDEX(原始資料!Z$2:Z$501,$BJ419)="","",INDEX(原始資料!Z$2:Z$501,$BJ419)))</f>
        <v/>
      </c>
      <c r="Y419" s="6">
        <f>IF(OR($BJ419="",24&gt;設定!$B$3),"",IF(INDEX(原始資料!AA$2:AA$501,$BJ419)="","",INDEX(原始資料!AA$2:AA$501,$BJ419)))</f>
        <v/>
      </c>
      <c r="Z419" s="6">
        <f>IF(OR($BJ419="",25&gt;設定!$B$3),"",IF(INDEX(原始資料!AB$2:AB$501,$BJ419)="","",INDEX(原始資料!AB$2:AB$501,$BJ419)))</f>
        <v/>
      </c>
      <c r="AA419" s="6">
        <f>IF(OR($BJ419="",26&gt;設定!$B$3),"",IF(INDEX(原始資料!AC$2:AC$501,$BJ419)="","",INDEX(原始資料!AC$2:AC$501,$BJ419)))</f>
        <v/>
      </c>
      <c r="AB419" s="6">
        <f>IF(OR($BJ419="",27&gt;設定!$B$3),"",IF(INDEX(原始資料!AD$2:AD$501,$BJ419)="","",INDEX(原始資料!AD$2:AD$501,$BJ419)))</f>
        <v/>
      </c>
      <c r="AC419" s="6">
        <f>IF(OR($BJ419="",28&gt;設定!$B$3),"",IF(INDEX(原始資料!AE$2:AE$501,$BJ419)="","",INDEX(原始資料!AE$2:AE$501,$BJ419)))</f>
        <v/>
      </c>
      <c r="AD419" s="6">
        <f>IF(OR($BJ419="",29&gt;設定!$B$3),"",IF(INDEX(原始資料!AF$2:AF$501,$BJ419)="","",INDEX(原始資料!AF$2:AF$501,$BJ419)))</f>
        <v/>
      </c>
      <c r="AE419" s="6">
        <f>IF(OR($BJ419="",30&gt;設定!$B$3),"",IF(INDEX(原始資料!AG$2:AG$501,$BJ419)="","",INDEX(原始資料!AG$2:AG$501,$BJ419)))</f>
        <v/>
      </c>
      <c r="AF419" s="6">
        <f>IF(OR($BJ419="",31&gt;設定!$B$3),"",IF(INDEX(原始資料!AH$2:AH$501,$BJ419)="","",INDEX(原始資料!AH$2:AH$501,$BJ419)))</f>
        <v/>
      </c>
      <c r="AG419" s="6">
        <f>IF(OR($BJ419="",32&gt;設定!$B$3),"",IF(INDEX(原始資料!AI$2:AI$501,$BJ419)="","",INDEX(原始資料!AI$2:AI$501,$BJ419)))</f>
        <v/>
      </c>
      <c r="AH419" s="6">
        <f>IF(OR($BJ419="",33&gt;設定!$B$3),"",IF(INDEX(原始資料!AJ$2:AJ$501,$BJ419)="","",INDEX(原始資料!AJ$2:AJ$501,$BJ419)))</f>
        <v/>
      </c>
      <c r="AI419" s="6">
        <f>IF(OR($BJ419="",34&gt;設定!$B$3),"",IF(INDEX(原始資料!AK$2:AK$501,$BJ419)="","",INDEX(原始資料!AK$2:AK$501,$BJ419)))</f>
        <v/>
      </c>
      <c r="AJ419" s="6">
        <f>IF(OR($BJ419="",35&gt;設定!$B$3),"",IF(INDEX(原始資料!AL$2:AL$501,$BJ419)="","",INDEX(原始資料!AL$2:AL$501,$BJ419)))</f>
        <v/>
      </c>
      <c r="AK419" s="6">
        <f>IF(OR($BJ419="",36&gt;設定!$B$3),"",IF(INDEX(原始資料!AM$2:AM$501,$BJ419)="","",INDEX(原始資料!AM$2:AM$501,$BJ419)))</f>
        <v/>
      </c>
      <c r="AL419" s="6">
        <f>IF(OR($BJ419="",37&gt;設定!$B$3),"",IF(INDEX(原始資料!AN$2:AN$501,$BJ419)="","",INDEX(原始資料!AN$2:AN$501,$BJ419)))</f>
        <v/>
      </c>
      <c r="AM419" s="6">
        <f>IF(OR($BJ419="",38&gt;設定!$B$3),"",IF(INDEX(原始資料!AO$2:AO$501,$BJ419)="","",INDEX(原始資料!AO$2:AO$501,$BJ419)))</f>
        <v/>
      </c>
      <c r="AN419" s="6">
        <f>IF(OR($BJ419="",39&gt;設定!$B$3),"",IF(INDEX(原始資料!AP$2:AP$501,$BJ419)="","",INDEX(原始資料!AP$2:AP$501,$BJ419)))</f>
        <v/>
      </c>
      <c r="AO419" s="6">
        <f>IF(OR($BJ419="",40&gt;設定!$B$3),"",IF(INDEX(原始資料!AQ$2:AQ$501,$BJ419)="","",INDEX(原始資料!AQ$2:AQ$501,$BJ419)))</f>
        <v/>
      </c>
      <c r="AP419" s="6">
        <f>IF(OR($BJ419="",41&gt;設定!$B$3),"",IF(INDEX(原始資料!AR$2:AR$501,$BJ419)="","",INDEX(原始資料!AR$2:AR$501,$BJ419)))</f>
        <v/>
      </c>
      <c r="AQ419" s="6">
        <f>IF(OR($BJ419="",42&gt;設定!$B$3),"",IF(INDEX(原始資料!AS$2:AS$501,$BJ419)="","",INDEX(原始資料!AS$2:AS$501,$BJ419)))</f>
        <v/>
      </c>
      <c r="AR419" s="6">
        <f>IF(OR($BJ419="",43&gt;設定!$B$3),"",IF(INDEX(原始資料!AT$2:AT$501,$BJ419)="","",INDEX(原始資料!AT$2:AT$501,$BJ419)))</f>
        <v/>
      </c>
      <c r="AS419" s="6">
        <f>IF(OR($BJ419="",44&gt;設定!$B$3),"",IF(INDEX(原始資料!AU$2:AU$501,$BJ419)="","",INDEX(原始資料!AU$2:AU$501,$BJ419)))</f>
        <v/>
      </c>
      <c r="AT419" s="6">
        <f>IF(OR($BJ419="",45&gt;設定!$B$3),"",IF(INDEX(原始資料!AV$2:AV$501,$BJ419)="","",INDEX(原始資料!AV$2:AV$501,$BJ419)))</f>
        <v/>
      </c>
      <c r="AU419" s="6">
        <f>IF(OR($BJ419="",46&gt;設定!$B$3),"",IF(INDEX(原始資料!AW$2:AW$501,$BJ419)="","",INDEX(原始資料!AW$2:AW$501,$BJ419)))</f>
        <v/>
      </c>
      <c r="AV419" s="6">
        <f>IF(OR($BJ419="",47&gt;設定!$B$3),"",IF(INDEX(原始資料!AX$2:AX$501,$BJ419)="","",INDEX(原始資料!AX$2:AX$501,$BJ419)))</f>
        <v/>
      </c>
      <c r="AW419" s="6">
        <f>IF(OR($BJ419="",48&gt;設定!$B$3),"",IF(INDEX(原始資料!AY$2:AY$501,$BJ419)="","",INDEX(原始資料!AY$2:AY$501,$BJ419)))</f>
        <v/>
      </c>
      <c r="AX419" s="6">
        <f>IF(OR($BJ419="",49&gt;設定!$B$3),"",IF(INDEX(原始資料!AZ$2:AZ$501,$BJ419)="","",INDEX(原始資料!AZ$2:AZ$501,$BJ419)))</f>
        <v/>
      </c>
      <c r="AY419" s="6">
        <f>IF(OR($BJ419="",50&gt;設定!$B$3),"",IF(INDEX(原始資料!BA$2:BA$501,$BJ419)="","",INDEX(原始資料!BA$2:BA$501,$BJ419)))</f>
        <v/>
      </c>
      <c r="AZ419" s="6">
        <f>IF(OR($BJ419="",51&gt;設定!$B$3),"",IF(INDEX(原始資料!BB$2:BB$501,$BJ419)="","",INDEX(原始資料!BB$2:BB$501,$BJ419)))</f>
        <v/>
      </c>
      <c r="BA419" s="6">
        <f>IF(OR($BJ419="",52&gt;設定!$B$3),"",IF(INDEX(原始資料!BC$2:BC$501,$BJ419)="","",INDEX(原始資料!BC$2:BC$501,$BJ419)))</f>
        <v/>
      </c>
      <c r="BB419" s="6">
        <f>IF(OR($BJ419="",53&gt;設定!$B$3),"",IF(INDEX(原始資料!BD$2:BD$501,$BJ419)="","",INDEX(原始資料!BD$2:BD$501,$BJ419)))</f>
        <v/>
      </c>
      <c r="BC419" s="6">
        <f>IF(OR($BJ419="",54&gt;設定!$B$3),"",IF(INDEX(原始資料!BE$2:BE$501,$BJ419)="","",INDEX(原始資料!BE$2:BE$501,$BJ419)))</f>
        <v/>
      </c>
      <c r="BD419" s="6">
        <f>IF(OR($BJ419="",55&gt;設定!$B$3),"",IF(INDEX(原始資料!BF$2:BF$501,$BJ419)="","",INDEX(原始資料!BF$2:BF$501,$BJ419)))</f>
        <v/>
      </c>
      <c r="BE419" s="6">
        <f>IF(OR($BJ419="",56&gt;設定!$B$3),"",IF(INDEX(原始資料!BG$2:BG$501,$BJ419)="","",INDEX(原始資料!BG$2:BG$501,$BJ419)))</f>
        <v/>
      </c>
      <c r="BF419" s="6">
        <f>IF(OR($BJ419="",57&gt;設定!$B$3),"",IF(INDEX(原始資料!BH$2:BH$501,$BJ419)="","",INDEX(原始資料!BH$2:BH$501,$BJ419)))</f>
        <v/>
      </c>
      <c r="BG419" s="6">
        <f>IF(OR($BJ419="",58&gt;設定!$B$3),"",IF(INDEX(原始資料!BI$2:BI$501,$BJ419)="","",INDEX(原始資料!BI$2:BI$501,$BJ419)))</f>
        <v/>
      </c>
      <c r="BH419" s="6">
        <f>IF(OR($BJ419="",59&gt;設定!$B$3),"",IF(INDEX(原始資料!BJ$2:BJ$501,$BJ419)="","",INDEX(原始資料!BJ$2:BJ$501,$BJ419)))</f>
        <v/>
      </c>
      <c r="BI419" s="6">
        <f>IF(OR($BJ419="",60&gt;設定!$B$3),"",IF(INDEX(原始資料!BK$2:BK$501,$BJ419)="","",INDEX(原始資料!BK$2:BK$501,$BJ419)))</f>
        <v/>
      </c>
      <c r="BJ419" s="6">
        <f>IFERROR(MATCH(ROW()-1,判定!$H$2:$H$501,0),"")</f>
        <v/>
      </c>
    </row>
    <row r="420">
      <c r="A420" s="6">
        <f>IF($BJ420="","",INDEX(原始資料!$A$2:$A$501,$BJ420))</f>
        <v/>
      </c>
      <c r="B420" s="6">
        <f>IF(OR($BJ420="",1&gt;設定!$B$3),"",IF(INDEX(原始資料!D$2:D$501,$BJ420)="","",INDEX(原始資料!D$2:D$501,$BJ420)))</f>
        <v/>
      </c>
      <c r="C420" s="6">
        <f>IF(OR($BJ420="",2&gt;設定!$B$3),"",IF(INDEX(原始資料!E$2:E$501,$BJ420)="","",INDEX(原始資料!E$2:E$501,$BJ420)))</f>
        <v/>
      </c>
      <c r="D420" s="6">
        <f>IF(OR($BJ420="",3&gt;設定!$B$3),"",IF(INDEX(原始資料!F$2:F$501,$BJ420)="","",INDEX(原始資料!F$2:F$501,$BJ420)))</f>
        <v/>
      </c>
      <c r="E420" s="6">
        <f>IF(OR($BJ420="",4&gt;設定!$B$3),"",IF(INDEX(原始資料!G$2:G$501,$BJ420)="","",INDEX(原始資料!G$2:G$501,$BJ420)))</f>
        <v/>
      </c>
      <c r="F420" s="6">
        <f>IF(OR($BJ420="",5&gt;設定!$B$3),"",IF(INDEX(原始資料!H$2:H$501,$BJ420)="","",INDEX(原始資料!H$2:H$501,$BJ420)))</f>
        <v/>
      </c>
      <c r="G420" s="6">
        <f>IF(OR($BJ420="",6&gt;設定!$B$3),"",IF(INDEX(原始資料!I$2:I$501,$BJ420)="","",INDEX(原始資料!I$2:I$501,$BJ420)))</f>
        <v/>
      </c>
      <c r="H420" s="6">
        <f>IF(OR($BJ420="",7&gt;設定!$B$3),"",IF(INDEX(原始資料!J$2:J$501,$BJ420)="","",INDEX(原始資料!J$2:J$501,$BJ420)))</f>
        <v/>
      </c>
      <c r="I420" s="6">
        <f>IF(OR($BJ420="",8&gt;設定!$B$3),"",IF(INDEX(原始資料!K$2:K$501,$BJ420)="","",INDEX(原始資料!K$2:K$501,$BJ420)))</f>
        <v/>
      </c>
      <c r="J420" s="6">
        <f>IF(OR($BJ420="",9&gt;設定!$B$3),"",IF(INDEX(原始資料!L$2:L$501,$BJ420)="","",INDEX(原始資料!L$2:L$501,$BJ420)))</f>
        <v/>
      </c>
      <c r="K420" s="6">
        <f>IF(OR($BJ420="",10&gt;設定!$B$3),"",IF(INDEX(原始資料!M$2:M$501,$BJ420)="","",INDEX(原始資料!M$2:M$501,$BJ420)))</f>
        <v/>
      </c>
      <c r="L420" s="6">
        <f>IF(OR($BJ420="",11&gt;設定!$B$3),"",IF(INDEX(原始資料!N$2:N$501,$BJ420)="","",INDEX(原始資料!N$2:N$501,$BJ420)))</f>
        <v/>
      </c>
      <c r="M420" s="6">
        <f>IF(OR($BJ420="",12&gt;設定!$B$3),"",IF(INDEX(原始資料!O$2:O$501,$BJ420)="","",INDEX(原始資料!O$2:O$501,$BJ420)))</f>
        <v/>
      </c>
      <c r="N420" s="6">
        <f>IF(OR($BJ420="",13&gt;設定!$B$3),"",IF(INDEX(原始資料!P$2:P$501,$BJ420)="","",INDEX(原始資料!P$2:P$501,$BJ420)))</f>
        <v/>
      </c>
      <c r="O420" s="6">
        <f>IF(OR($BJ420="",14&gt;設定!$B$3),"",IF(INDEX(原始資料!Q$2:Q$501,$BJ420)="","",INDEX(原始資料!Q$2:Q$501,$BJ420)))</f>
        <v/>
      </c>
      <c r="P420" s="6">
        <f>IF(OR($BJ420="",15&gt;設定!$B$3),"",IF(INDEX(原始資料!R$2:R$501,$BJ420)="","",INDEX(原始資料!R$2:R$501,$BJ420)))</f>
        <v/>
      </c>
      <c r="Q420" s="6">
        <f>IF(OR($BJ420="",16&gt;設定!$B$3),"",IF(INDEX(原始資料!S$2:S$501,$BJ420)="","",INDEX(原始資料!S$2:S$501,$BJ420)))</f>
        <v/>
      </c>
      <c r="R420" s="6">
        <f>IF(OR($BJ420="",17&gt;設定!$B$3),"",IF(INDEX(原始資料!T$2:T$501,$BJ420)="","",INDEX(原始資料!T$2:T$501,$BJ420)))</f>
        <v/>
      </c>
      <c r="S420" s="6">
        <f>IF(OR($BJ420="",18&gt;設定!$B$3),"",IF(INDEX(原始資料!U$2:U$501,$BJ420)="","",INDEX(原始資料!U$2:U$501,$BJ420)))</f>
        <v/>
      </c>
      <c r="T420" s="6">
        <f>IF(OR($BJ420="",19&gt;設定!$B$3),"",IF(INDEX(原始資料!V$2:V$501,$BJ420)="","",INDEX(原始資料!V$2:V$501,$BJ420)))</f>
        <v/>
      </c>
      <c r="U420" s="6">
        <f>IF(OR($BJ420="",20&gt;設定!$B$3),"",IF(INDEX(原始資料!W$2:W$501,$BJ420)="","",INDEX(原始資料!W$2:W$501,$BJ420)))</f>
        <v/>
      </c>
      <c r="V420" s="6">
        <f>IF(OR($BJ420="",21&gt;設定!$B$3),"",IF(INDEX(原始資料!X$2:X$501,$BJ420)="","",INDEX(原始資料!X$2:X$501,$BJ420)))</f>
        <v/>
      </c>
      <c r="W420" s="6">
        <f>IF(OR($BJ420="",22&gt;設定!$B$3),"",IF(INDEX(原始資料!Y$2:Y$501,$BJ420)="","",INDEX(原始資料!Y$2:Y$501,$BJ420)))</f>
        <v/>
      </c>
      <c r="X420" s="6">
        <f>IF(OR($BJ420="",23&gt;設定!$B$3),"",IF(INDEX(原始資料!Z$2:Z$501,$BJ420)="","",INDEX(原始資料!Z$2:Z$501,$BJ420)))</f>
        <v/>
      </c>
      <c r="Y420" s="6">
        <f>IF(OR($BJ420="",24&gt;設定!$B$3),"",IF(INDEX(原始資料!AA$2:AA$501,$BJ420)="","",INDEX(原始資料!AA$2:AA$501,$BJ420)))</f>
        <v/>
      </c>
      <c r="Z420" s="6">
        <f>IF(OR($BJ420="",25&gt;設定!$B$3),"",IF(INDEX(原始資料!AB$2:AB$501,$BJ420)="","",INDEX(原始資料!AB$2:AB$501,$BJ420)))</f>
        <v/>
      </c>
      <c r="AA420" s="6">
        <f>IF(OR($BJ420="",26&gt;設定!$B$3),"",IF(INDEX(原始資料!AC$2:AC$501,$BJ420)="","",INDEX(原始資料!AC$2:AC$501,$BJ420)))</f>
        <v/>
      </c>
      <c r="AB420" s="6">
        <f>IF(OR($BJ420="",27&gt;設定!$B$3),"",IF(INDEX(原始資料!AD$2:AD$501,$BJ420)="","",INDEX(原始資料!AD$2:AD$501,$BJ420)))</f>
        <v/>
      </c>
      <c r="AC420" s="6">
        <f>IF(OR($BJ420="",28&gt;設定!$B$3),"",IF(INDEX(原始資料!AE$2:AE$501,$BJ420)="","",INDEX(原始資料!AE$2:AE$501,$BJ420)))</f>
        <v/>
      </c>
      <c r="AD420" s="6">
        <f>IF(OR($BJ420="",29&gt;設定!$B$3),"",IF(INDEX(原始資料!AF$2:AF$501,$BJ420)="","",INDEX(原始資料!AF$2:AF$501,$BJ420)))</f>
        <v/>
      </c>
      <c r="AE420" s="6">
        <f>IF(OR($BJ420="",30&gt;設定!$B$3),"",IF(INDEX(原始資料!AG$2:AG$501,$BJ420)="","",INDEX(原始資料!AG$2:AG$501,$BJ420)))</f>
        <v/>
      </c>
      <c r="AF420" s="6">
        <f>IF(OR($BJ420="",31&gt;設定!$B$3),"",IF(INDEX(原始資料!AH$2:AH$501,$BJ420)="","",INDEX(原始資料!AH$2:AH$501,$BJ420)))</f>
        <v/>
      </c>
      <c r="AG420" s="6">
        <f>IF(OR($BJ420="",32&gt;設定!$B$3),"",IF(INDEX(原始資料!AI$2:AI$501,$BJ420)="","",INDEX(原始資料!AI$2:AI$501,$BJ420)))</f>
        <v/>
      </c>
      <c r="AH420" s="6">
        <f>IF(OR($BJ420="",33&gt;設定!$B$3),"",IF(INDEX(原始資料!AJ$2:AJ$501,$BJ420)="","",INDEX(原始資料!AJ$2:AJ$501,$BJ420)))</f>
        <v/>
      </c>
      <c r="AI420" s="6">
        <f>IF(OR($BJ420="",34&gt;設定!$B$3),"",IF(INDEX(原始資料!AK$2:AK$501,$BJ420)="","",INDEX(原始資料!AK$2:AK$501,$BJ420)))</f>
        <v/>
      </c>
      <c r="AJ420" s="6">
        <f>IF(OR($BJ420="",35&gt;設定!$B$3),"",IF(INDEX(原始資料!AL$2:AL$501,$BJ420)="","",INDEX(原始資料!AL$2:AL$501,$BJ420)))</f>
        <v/>
      </c>
      <c r="AK420" s="6">
        <f>IF(OR($BJ420="",36&gt;設定!$B$3),"",IF(INDEX(原始資料!AM$2:AM$501,$BJ420)="","",INDEX(原始資料!AM$2:AM$501,$BJ420)))</f>
        <v/>
      </c>
      <c r="AL420" s="6">
        <f>IF(OR($BJ420="",37&gt;設定!$B$3),"",IF(INDEX(原始資料!AN$2:AN$501,$BJ420)="","",INDEX(原始資料!AN$2:AN$501,$BJ420)))</f>
        <v/>
      </c>
      <c r="AM420" s="6">
        <f>IF(OR($BJ420="",38&gt;設定!$B$3),"",IF(INDEX(原始資料!AO$2:AO$501,$BJ420)="","",INDEX(原始資料!AO$2:AO$501,$BJ420)))</f>
        <v/>
      </c>
      <c r="AN420" s="6">
        <f>IF(OR($BJ420="",39&gt;設定!$B$3),"",IF(INDEX(原始資料!AP$2:AP$501,$BJ420)="","",INDEX(原始資料!AP$2:AP$501,$BJ420)))</f>
        <v/>
      </c>
      <c r="AO420" s="6">
        <f>IF(OR($BJ420="",40&gt;設定!$B$3),"",IF(INDEX(原始資料!AQ$2:AQ$501,$BJ420)="","",INDEX(原始資料!AQ$2:AQ$501,$BJ420)))</f>
        <v/>
      </c>
      <c r="AP420" s="6">
        <f>IF(OR($BJ420="",41&gt;設定!$B$3),"",IF(INDEX(原始資料!AR$2:AR$501,$BJ420)="","",INDEX(原始資料!AR$2:AR$501,$BJ420)))</f>
        <v/>
      </c>
      <c r="AQ420" s="6">
        <f>IF(OR($BJ420="",42&gt;設定!$B$3),"",IF(INDEX(原始資料!AS$2:AS$501,$BJ420)="","",INDEX(原始資料!AS$2:AS$501,$BJ420)))</f>
        <v/>
      </c>
      <c r="AR420" s="6">
        <f>IF(OR($BJ420="",43&gt;設定!$B$3),"",IF(INDEX(原始資料!AT$2:AT$501,$BJ420)="","",INDEX(原始資料!AT$2:AT$501,$BJ420)))</f>
        <v/>
      </c>
      <c r="AS420" s="6">
        <f>IF(OR($BJ420="",44&gt;設定!$B$3),"",IF(INDEX(原始資料!AU$2:AU$501,$BJ420)="","",INDEX(原始資料!AU$2:AU$501,$BJ420)))</f>
        <v/>
      </c>
      <c r="AT420" s="6">
        <f>IF(OR($BJ420="",45&gt;設定!$B$3),"",IF(INDEX(原始資料!AV$2:AV$501,$BJ420)="","",INDEX(原始資料!AV$2:AV$501,$BJ420)))</f>
        <v/>
      </c>
      <c r="AU420" s="6">
        <f>IF(OR($BJ420="",46&gt;設定!$B$3),"",IF(INDEX(原始資料!AW$2:AW$501,$BJ420)="","",INDEX(原始資料!AW$2:AW$501,$BJ420)))</f>
        <v/>
      </c>
      <c r="AV420" s="6">
        <f>IF(OR($BJ420="",47&gt;設定!$B$3),"",IF(INDEX(原始資料!AX$2:AX$501,$BJ420)="","",INDEX(原始資料!AX$2:AX$501,$BJ420)))</f>
        <v/>
      </c>
      <c r="AW420" s="6">
        <f>IF(OR($BJ420="",48&gt;設定!$B$3),"",IF(INDEX(原始資料!AY$2:AY$501,$BJ420)="","",INDEX(原始資料!AY$2:AY$501,$BJ420)))</f>
        <v/>
      </c>
      <c r="AX420" s="6">
        <f>IF(OR($BJ420="",49&gt;設定!$B$3),"",IF(INDEX(原始資料!AZ$2:AZ$501,$BJ420)="","",INDEX(原始資料!AZ$2:AZ$501,$BJ420)))</f>
        <v/>
      </c>
      <c r="AY420" s="6">
        <f>IF(OR($BJ420="",50&gt;設定!$B$3),"",IF(INDEX(原始資料!BA$2:BA$501,$BJ420)="","",INDEX(原始資料!BA$2:BA$501,$BJ420)))</f>
        <v/>
      </c>
      <c r="AZ420" s="6">
        <f>IF(OR($BJ420="",51&gt;設定!$B$3),"",IF(INDEX(原始資料!BB$2:BB$501,$BJ420)="","",INDEX(原始資料!BB$2:BB$501,$BJ420)))</f>
        <v/>
      </c>
      <c r="BA420" s="6">
        <f>IF(OR($BJ420="",52&gt;設定!$B$3),"",IF(INDEX(原始資料!BC$2:BC$501,$BJ420)="","",INDEX(原始資料!BC$2:BC$501,$BJ420)))</f>
        <v/>
      </c>
      <c r="BB420" s="6">
        <f>IF(OR($BJ420="",53&gt;設定!$B$3),"",IF(INDEX(原始資料!BD$2:BD$501,$BJ420)="","",INDEX(原始資料!BD$2:BD$501,$BJ420)))</f>
        <v/>
      </c>
      <c r="BC420" s="6">
        <f>IF(OR($BJ420="",54&gt;設定!$B$3),"",IF(INDEX(原始資料!BE$2:BE$501,$BJ420)="","",INDEX(原始資料!BE$2:BE$501,$BJ420)))</f>
        <v/>
      </c>
      <c r="BD420" s="6">
        <f>IF(OR($BJ420="",55&gt;設定!$B$3),"",IF(INDEX(原始資料!BF$2:BF$501,$BJ420)="","",INDEX(原始資料!BF$2:BF$501,$BJ420)))</f>
        <v/>
      </c>
      <c r="BE420" s="6">
        <f>IF(OR($BJ420="",56&gt;設定!$B$3),"",IF(INDEX(原始資料!BG$2:BG$501,$BJ420)="","",INDEX(原始資料!BG$2:BG$501,$BJ420)))</f>
        <v/>
      </c>
      <c r="BF420" s="6">
        <f>IF(OR($BJ420="",57&gt;設定!$B$3),"",IF(INDEX(原始資料!BH$2:BH$501,$BJ420)="","",INDEX(原始資料!BH$2:BH$501,$BJ420)))</f>
        <v/>
      </c>
      <c r="BG420" s="6">
        <f>IF(OR($BJ420="",58&gt;設定!$B$3),"",IF(INDEX(原始資料!BI$2:BI$501,$BJ420)="","",INDEX(原始資料!BI$2:BI$501,$BJ420)))</f>
        <v/>
      </c>
      <c r="BH420" s="6">
        <f>IF(OR($BJ420="",59&gt;設定!$B$3),"",IF(INDEX(原始資料!BJ$2:BJ$501,$BJ420)="","",INDEX(原始資料!BJ$2:BJ$501,$BJ420)))</f>
        <v/>
      </c>
      <c r="BI420" s="6">
        <f>IF(OR($BJ420="",60&gt;設定!$B$3),"",IF(INDEX(原始資料!BK$2:BK$501,$BJ420)="","",INDEX(原始資料!BK$2:BK$501,$BJ420)))</f>
        <v/>
      </c>
      <c r="BJ420" s="6">
        <f>IFERROR(MATCH(ROW()-1,判定!$H$2:$H$501,0),"")</f>
        <v/>
      </c>
    </row>
    <row r="421">
      <c r="A421" s="6">
        <f>IF($BJ421="","",INDEX(原始資料!$A$2:$A$501,$BJ421))</f>
        <v/>
      </c>
      <c r="B421" s="6">
        <f>IF(OR($BJ421="",1&gt;設定!$B$3),"",IF(INDEX(原始資料!D$2:D$501,$BJ421)="","",INDEX(原始資料!D$2:D$501,$BJ421)))</f>
        <v/>
      </c>
      <c r="C421" s="6">
        <f>IF(OR($BJ421="",2&gt;設定!$B$3),"",IF(INDEX(原始資料!E$2:E$501,$BJ421)="","",INDEX(原始資料!E$2:E$501,$BJ421)))</f>
        <v/>
      </c>
      <c r="D421" s="6">
        <f>IF(OR($BJ421="",3&gt;設定!$B$3),"",IF(INDEX(原始資料!F$2:F$501,$BJ421)="","",INDEX(原始資料!F$2:F$501,$BJ421)))</f>
        <v/>
      </c>
      <c r="E421" s="6">
        <f>IF(OR($BJ421="",4&gt;設定!$B$3),"",IF(INDEX(原始資料!G$2:G$501,$BJ421)="","",INDEX(原始資料!G$2:G$501,$BJ421)))</f>
        <v/>
      </c>
      <c r="F421" s="6">
        <f>IF(OR($BJ421="",5&gt;設定!$B$3),"",IF(INDEX(原始資料!H$2:H$501,$BJ421)="","",INDEX(原始資料!H$2:H$501,$BJ421)))</f>
        <v/>
      </c>
      <c r="G421" s="6">
        <f>IF(OR($BJ421="",6&gt;設定!$B$3),"",IF(INDEX(原始資料!I$2:I$501,$BJ421)="","",INDEX(原始資料!I$2:I$501,$BJ421)))</f>
        <v/>
      </c>
      <c r="H421" s="6">
        <f>IF(OR($BJ421="",7&gt;設定!$B$3),"",IF(INDEX(原始資料!J$2:J$501,$BJ421)="","",INDEX(原始資料!J$2:J$501,$BJ421)))</f>
        <v/>
      </c>
      <c r="I421" s="6">
        <f>IF(OR($BJ421="",8&gt;設定!$B$3),"",IF(INDEX(原始資料!K$2:K$501,$BJ421)="","",INDEX(原始資料!K$2:K$501,$BJ421)))</f>
        <v/>
      </c>
      <c r="J421" s="6">
        <f>IF(OR($BJ421="",9&gt;設定!$B$3),"",IF(INDEX(原始資料!L$2:L$501,$BJ421)="","",INDEX(原始資料!L$2:L$501,$BJ421)))</f>
        <v/>
      </c>
      <c r="K421" s="6">
        <f>IF(OR($BJ421="",10&gt;設定!$B$3),"",IF(INDEX(原始資料!M$2:M$501,$BJ421)="","",INDEX(原始資料!M$2:M$501,$BJ421)))</f>
        <v/>
      </c>
      <c r="L421" s="6">
        <f>IF(OR($BJ421="",11&gt;設定!$B$3),"",IF(INDEX(原始資料!N$2:N$501,$BJ421)="","",INDEX(原始資料!N$2:N$501,$BJ421)))</f>
        <v/>
      </c>
      <c r="M421" s="6">
        <f>IF(OR($BJ421="",12&gt;設定!$B$3),"",IF(INDEX(原始資料!O$2:O$501,$BJ421)="","",INDEX(原始資料!O$2:O$501,$BJ421)))</f>
        <v/>
      </c>
      <c r="N421" s="6">
        <f>IF(OR($BJ421="",13&gt;設定!$B$3),"",IF(INDEX(原始資料!P$2:P$501,$BJ421)="","",INDEX(原始資料!P$2:P$501,$BJ421)))</f>
        <v/>
      </c>
      <c r="O421" s="6">
        <f>IF(OR($BJ421="",14&gt;設定!$B$3),"",IF(INDEX(原始資料!Q$2:Q$501,$BJ421)="","",INDEX(原始資料!Q$2:Q$501,$BJ421)))</f>
        <v/>
      </c>
      <c r="P421" s="6">
        <f>IF(OR($BJ421="",15&gt;設定!$B$3),"",IF(INDEX(原始資料!R$2:R$501,$BJ421)="","",INDEX(原始資料!R$2:R$501,$BJ421)))</f>
        <v/>
      </c>
      <c r="Q421" s="6">
        <f>IF(OR($BJ421="",16&gt;設定!$B$3),"",IF(INDEX(原始資料!S$2:S$501,$BJ421)="","",INDEX(原始資料!S$2:S$501,$BJ421)))</f>
        <v/>
      </c>
      <c r="R421" s="6">
        <f>IF(OR($BJ421="",17&gt;設定!$B$3),"",IF(INDEX(原始資料!T$2:T$501,$BJ421)="","",INDEX(原始資料!T$2:T$501,$BJ421)))</f>
        <v/>
      </c>
      <c r="S421" s="6">
        <f>IF(OR($BJ421="",18&gt;設定!$B$3),"",IF(INDEX(原始資料!U$2:U$501,$BJ421)="","",INDEX(原始資料!U$2:U$501,$BJ421)))</f>
        <v/>
      </c>
      <c r="T421" s="6">
        <f>IF(OR($BJ421="",19&gt;設定!$B$3),"",IF(INDEX(原始資料!V$2:V$501,$BJ421)="","",INDEX(原始資料!V$2:V$501,$BJ421)))</f>
        <v/>
      </c>
      <c r="U421" s="6">
        <f>IF(OR($BJ421="",20&gt;設定!$B$3),"",IF(INDEX(原始資料!W$2:W$501,$BJ421)="","",INDEX(原始資料!W$2:W$501,$BJ421)))</f>
        <v/>
      </c>
      <c r="V421" s="6">
        <f>IF(OR($BJ421="",21&gt;設定!$B$3),"",IF(INDEX(原始資料!X$2:X$501,$BJ421)="","",INDEX(原始資料!X$2:X$501,$BJ421)))</f>
        <v/>
      </c>
      <c r="W421" s="6">
        <f>IF(OR($BJ421="",22&gt;設定!$B$3),"",IF(INDEX(原始資料!Y$2:Y$501,$BJ421)="","",INDEX(原始資料!Y$2:Y$501,$BJ421)))</f>
        <v/>
      </c>
      <c r="X421" s="6">
        <f>IF(OR($BJ421="",23&gt;設定!$B$3),"",IF(INDEX(原始資料!Z$2:Z$501,$BJ421)="","",INDEX(原始資料!Z$2:Z$501,$BJ421)))</f>
        <v/>
      </c>
      <c r="Y421" s="6">
        <f>IF(OR($BJ421="",24&gt;設定!$B$3),"",IF(INDEX(原始資料!AA$2:AA$501,$BJ421)="","",INDEX(原始資料!AA$2:AA$501,$BJ421)))</f>
        <v/>
      </c>
      <c r="Z421" s="6">
        <f>IF(OR($BJ421="",25&gt;設定!$B$3),"",IF(INDEX(原始資料!AB$2:AB$501,$BJ421)="","",INDEX(原始資料!AB$2:AB$501,$BJ421)))</f>
        <v/>
      </c>
      <c r="AA421" s="6">
        <f>IF(OR($BJ421="",26&gt;設定!$B$3),"",IF(INDEX(原始資料!AC$2:AC$501,$BJ421)="","",INDEX(原始資料!AC$2:AC$501,$BJ421)))</f>
        <v/>
      </c>
      <c r="AB421" s="6">
        <f>IF(OR($BJ421="",27&gt;設定!$B$3),"",IF(INDEX(原始資料!AD$2:AD$501,$BJ421)="","",INDEX(原始資料!AD$2:AD$501,$BJ421)))</f>
        <v/>
      </c>
      <c r="AC421" s="6">
        <f>IF(OR($BJ421="",28&gt;設定!$B$3),"",IF(INDEX(原始資料!AE$2:AE$501,$BJ421)="","",INDEX(原始資料!AE$2:AE$501,$BJ421)))</f>
        <v/>
      </c>
      <c r="AD421" s="6">
        <f>IF(OR($BJ421="",29&gt;設定!$B$3),"",IF(INDEX(原始資料!AF$2:AF$501,$BJ421)="","",INDEX(原始資料!AF$2:AF$501,$BJ421)))</f>
        <v/>
      </c>
      <c r="AE421" s="6">
        <f>IF(OR($BJ421="",30&gt;設定!$B$3),"",IF(INDEX(原始資料!AG$2:AG$501,$BJ421)="","",INDEX(原始資料!AG$2:AG$501,$BJ421)))</f>
        <v/>
      </c>
      <c r="AF421" s="6">
        <f>IF(OR($BJ421="",31&gt;設定!$B$3),"",IF(INDEX(原始資料!AH$2:AH$501,$BJ421)="","",INDEX(原始資料!AH$2:AH$501,$BJ421)))</f>
        <v/>
      </c>
      <c r="AG421" s="6">
        <f>IF(OR($BJ421="",32&gt;設定!$B$3),"",IF(INDEX(原始資料!AI$2:AI$501,$BJ421)="","",INDEX(原始資料!AI$2:AI$501,$BJ421)))</f>
        <v/>
      </c>
      <c r="AH421" s="6">
        <f>IF(OR($BJ421="",33&gt;設定!$B$3),"",IF(INDEX(原始資料!AJ$2:AJ$501,$BJ421)="","",INDEX(原始資料!AJ$2:AJ$501,$BJ421)))</f>
        <v/>
      </c>
      <c r="AI421" s="6">
        <f>IF(OR($BJ421="",34&gt;設定!$B$3),"",IF(INDEX(原始資料!AK$2:AK$501,$BJ421)="","",INDEX(原始資料!AK$2:AK$501,$BJ421)))</f>
        <v/>
      </c>
      <c r="AJ421" s="6">
        <f>IF(OR($BJ421="",35&gt;設定!$B$3),"",IF(INDEX(原始資料!AL$2:AL$501,$BJ421)="","",INDEX(原始資料!AL$2:AL$501,$BJ421)))</f>
        <v/>
      </c>
      <c r="AK421" s="6">
        <f>IF(OR($BJ421="",36&gt;設定!$B$3),"",IF(INDEX(原始資料!AM$2:AM$501,$BJ421)="","",INDEX(原始資料!AM$2:AM$501,$BJ421)))</f>
        <v/>
      </c>
      <c r="AL421" s="6">
        <f>IF(OR($BJ421="",37&gt;設定!$B$3),"",IF(INDEX(原始資料!AN$2:AN$501,$BJ421)="","",INDEX(原始資料!AN$2:AN$501,$BJ421)))</f>
        <v/>
      </c>
      <c r="AM421" s="6">
        <f>IF(OR($BJ421="",38&gt;設定!$B$3),"",IF(INDEX(原始資料!AO$2:AO$501,$BJ421)="","",INDEX(原始資料!AO$2:AO$501,$BJ421)))</f>
        <v/>
      </c>
      <c r="AN421" s="6">
        <f>IF(OR($BJ421="",39&gt;設定!$B$3),"",IF(INDEX(原始資料!AP$2:AP$501,$BJ421)="","",INDEX(原始資料!AP$2:AP$501,$BJ421)))</f>
        <v/>
      </c>
      <c r="AO421" s="6">
        <f>IF(OR($BJ421="",40&gt;設定!$B$3),"",IF(INDEX(原始資料!AQ$2:AQ$501,$BJ421)="","",INDEX(原始資料!AQ$2:AQ$501,$BJ421)))</f>
        <v/>
      </c>
      <c r="AP421" s="6">
        <f>IF(OR($BJ421="",41&gt;設定!$B$3),"",IF(INDEX(原始資料!AR$2:AR$501,$BJ421)="","",INDEX(原始資料!AR$2:AR$501,$BJ421)))</f>
        <v/>
      </c>
      <c r="AQ421" s="6">
        <f>IF(OR($BJ421="",42&gt;設定!$B$3),"",IF(INDEX(原始資料!AS$2:AS$501,$BJ421)="","",INDEX(原始資料!AS$2:AS$501,$BJ421)))</f>
        <v/>
      </c>
      <c r="AR421" s="6">
        <f>IF(OR($BJ421="",43&gt;設定!$B$3),"",IF(INDEX(原始資料!AT$2:AT$501,$BJ421)="","",INDEX(原始資料!AT$2:AT$501,$BJ421)))</f>
        <v/>
      </c>
      <c r="AS421" s="6">
        <f>IF(OR($BJ421="",44&gt;設定!$B$3),"",IF(INDEX(原始資料!AU$2:AU$501,$BJ421)="","",INDEX(原始資料!AU$2:AU$501,$BJ421)))</f>
        <v/>
      </c>
      <c r="AT421" s="6">
        <f>IF(OR($BJ421="",45&gt;設定!$B$3),"",IF(INDEX(原始資料!AV$2:AV$501,$BJ421)="","",INDEX(原始資料!AV$2:AV$501,$BJ421)))</f>
        <v/>
      </c>
      <c r="AU421" s="6">
        <f>IF(OR($BJ421="",46&gt;設定!$B$3),"",IF(INDEX(原始資料!AW$2:AW$501,$BJ421)="","",INDEX(原始資料!AW$2:AW$501,$BJ421)))</f>
        <v/>
      </c>
      <c r="AV421" s="6">
        <f>IF(OR($BJ421="",47&gt;設定!$B$3),"",IF(INDEX(原始資料!AX$2:AX$501,$BJ421)="","",INDEX(原始資料!AX$2:AX$501,$BJ421)))</f>
        <v/>
      </c>
      <c r="AW421" s="6">
        <f>IF(OR($BJ421="",48&gt;設定!$B$3),"",IF(INDEX(原始資料!AY$2:AY$501,$BJ421)="","",INDEX(原始資料!AY$2:AY$501,$BJ421)))</f>
        <v/>
      </c>
      <c r="AX421" s="6">
        <f>IF(OR($BJ421="",49&gt;設定!$B$3),"",IF(INDEX(原始資料!AZ$2:AZ$501,$BJ421)="","",INDEX(原始資料!AZ$2:AZ$501,$BJ421)))</f>
        <v/>
      </c>
      <c r="AY421" s="6">
        <f>IF(OR($BJ421="",50&gt;設定!$B$3),"",IF(INDEX(原始資料!BA$2:BA$501,$BJ421)="","",INDEX(原始資料!BA$2:BA$501,$BJ421)))</f>
        <v/>
      </c>
      <c r="AZ421" s="6">
        <f>IF(OR($BJ421="",51&gt;設定!$B$3),"",IF(INDEX(原始資料!BB$2:BB$501,$BJ421)="","",INDEX(原始資料!BB$2:BB$501,$BJ421)))</f>
        <v/>
      </c>
      <c r="BA421" s="6">
        <f>IF(OR($BJ421="",52&gt;設定!$B$3),"",IF(INDEX(原始資料!BC$2:BC$501,$BJ421)="","",INDEX(原始資料!BC$2:BC$501,$BJ421)))</f>
        <v/>
      </c>
      <c r="BB421" s="6">
        <f>IF(OR($BJ421="",53&gt;設定!$B$3),"",IF(INDEX(原始資料!BD$2:BD$501,$BJ421)="","",INDEX(原始資料!BD$2:BD$501,$BJ421)))</f>
        <v/>
      </c>
      <c r="BC421" s="6">
        <f>IF(OR($BJ421="",54&gt;設定!$B$3),"",IF(INDEX(原始資料!BE$2:BE$501,$BJ421)="","",INDEX(原始資料!BE$2:BE$501,$BJ421)))</f>
        <v/>
      </c>
      <c r="BD421" s="6">
        <f>IF(OR($BJ421="",55&gt;設定!$B$3),"",IF(INDEX(原始資料!BF$2:BF$501,$BJ421)="","",INDEX(原始資料!BF$2:BF$501,$BJ421)))</f>
        <v/>
      </c>
      <c r="BE421" s="6">
        <f>IF(OR($BJ421="",56&gt;設定!$B$3),"",IF(INDEX(原始資料!BG$2:BG$501,$BJ421)="","",INDEX(原始資料!BG$2:BG$501,$BJ421)))</f>
        <v/>
      </c>
      <c r="BF421" s="6">
        <f>IF(OR($BJ421="",57&gt;設定!$B$3),"",IF(INDEX(原始資料!BH$2:BH$501,$BJ421)="","",INDEX(原始資料!BH$2:BH$501,$BJ421)))</f>
        <v/>
      </c>
      <c r="BG421" s="6">
        <f>IF(OR($BJ421="",58&gt;設定!$B$3),"",IF(INDEX(原始資料!BI$2:BI$501,$BJ421)="","",INDEX(原始資料!BI$2:BI$501,$BJ421)))</f>
        <v/>
      </c>
      <c r="BH421" s="6">
        <f>IF(OR($BJ421="",59&gt;設定!$B$3),"",IF(INDEX(原始資料!BJ$2:BJ$501,$BJ421)="","",INDEX(原始資料!BJ$2:BJ$501,$BJ421)))</f>
        <v/>
      </c>
      <c r="BI421" s="6">
        <f>IF(OR($BJ421="",60&gt;設定!$B$3),"",IF(INDEX(原始資料!BK$2:BK$501,$BJ421)="","",INDEX(原始資料!BK$2:BK$501,$BJ421)))</f>
        <v/>
      </c>
      <c r="BJ421" s="6">
        <f>IFERROR(MATCH(ROW()-1,判定!$H$2:$H$501,0),"")</f>
        <v/>
      </c>
    </row>
    <row r="422">
      <c r="A422" s="6">
        <f>IF($BJ422="","",INDEX(原始資料!$A$2:$A$501,$BJ422))</f>
        <v/>
      </c>
      <c r="B422" s="6">
        <f>IF(OR($BJ422="",1&gt;設定!$B$3),"",IF(INDEX(原始資料!D$2:D$501,$BJ422)="","",INDEX(原始資料!D$2:D$501,$BJ422)))</f>
        <v/>
      </c>
      <c r="C422" s="6">
        <f>IF(OR($BJ422="",2&gt;設定!$B$3),"",IF(INDEX(原始資料!E$2:E$501,$BJ422)="","",INDEX(原始資料!E$2:E$501,$BJ422)))</f>
        <v/>
      </c>
      <c r="D422" s="6">
        <f>IF(OR($BJ422="",3&gt;設定!$B$3),"",IF(INDEX(原始資料!F$2:F$501,$BJ422)="","",INDEX(原始資料!F$2:F$501,$BJ422)))</f>
        <v/>
      </c>
      <c r="E422" s="6">
        <f>IF(OR($BJ422="",4&gt;設定!$B$3),"",IF(INDEX(原始資料!G$2:G$501,$BJ422)="","",INDEX(原始資料!G$2:G$501,$BJ422)))</f>
        <v/>
      </c>
      <c r="F422" s="6">
        <f>IF(OR($BJ422="",5&gt;設定!$B$3),"",IF(INDEX(原始資料!H$2:H$501,$BJ422)="","",INDEX(原始資料!H$2:H$501,$BJ422)))</f>
        <v/>
      </c>
      <c r="G422" s="6">
        <f>IF(OR($BJ422="",6&gt;設定!$B$3),"",IF(INDEX(原始資料!I$2:I$501,$BJ422)="","",INDEX(原始資料!I$2:I$501,$BJ422)))</f>
        <v/>
      </c>
      <c r="H422" s="6">
        <f>IF(OR($BJ422="",7&gt;設定!$B$3),"",IF(INDEX(原始資料!J$2:J$501,$BJ422)="","",INDEX(原始資料!J$2:J$501,$BJ422)))</f>
        <v/>
      </c>
      <c r="I422" s="6">
        <f>IF(OR($BJ422="",8&gt;設定!$B$3),"",IF(INDEX(原始資料!K$2:K$501,$BJ422)="","",INDEX(原始資料!K$2:K$501,$BJ422)))</f>
        <v/>
      </c>
      <c r="J422" s="6">
        <f>IF(OR($BJ422="",9&gt;設定!$B$3),"",IF(INDEX(原始資料!L$2:L$501,$BJ422)="","",INDEX(原始資料!L$2:L$501,$BJ422)))</f>
        <v/>
      </c>
      <c r="K422" s="6">
        <f>IF(OR($BJ422="",10&gt;設定!$B$3),"",IF(INDEX(原始資料!M$2:M$501,$BJ422)="","",INDEX(原始資料!M$2:M$501,$BJ422)))</f>
        <v/>
      </c>
      <c r="L422" s="6">
        <f>IF(OR($BJ422="",11&gt;設定!$B$3),"",IF(INDEX(原始資料!N$2:N$501,$BJ422)="","",INDEX(原始資料!N$2:N$501,$BJ422)))</f>
        <v/>
      </c>
      <c r="M422" s="6">
        <f>IF(OR($BJ422="",12&gt;設定!$B$3),"",IF(INDEX(原始資料!O$2:O$501,$BJ422)="","",INDEX(原始資料!O$2:O$501,$BJ422)))</f>
        <v/>
      </c>
      <c r="N422" s="6">
        <f>IF(OR($BJ422="",13&gt;設定!$B$3),"",IF(INDEX(原始資料!P$2:P$501,$BJ422)="","",INDEX(原始資料!P$2:P$501,$BJ422)))</f>
        <v/>
      </c>
      <c r="O422" s="6">
        <f>IF(OR($BJ422="",14&gt;設定!$B$3),"",IF(INDEX(原始資料!Q$2:Q$501,$BJ422)="","",INDEX(原始資料!Q$2:Q$501,$BJ422)))</f>
        <v/>
      </c>
      <c r="P422" s="6">
        <f>IF(OR($BJ422="",15&gt;設定!$B$3),"",IF(INDEX(原始資料!R$2:R$501,$BJ422)="","",INDEX(原始資料!R$2:R$501,$BJ422)))</f>
        <v/>
      </c>
      <c r="Q422" s="6">
        <f>IF(OR($BJ422="",16&gt;設定!$B$3),"",IF(INDEX(原始資料!S$2:S$501,$BJ422)="","",INDEX(原始資料!S$2:S$501,$BJ422)))</f>
        <v/>
      </c>
      <c r="R422" s="6">
        <f>IF(OR($BJ422="",17&gt;設定!$B$3),"",IF(INDEX(原始資料!T$2:T$501,$BJ422)="","",INDEX(原始資料!T$2:T$501,$BJ422)))</f>
        <v/>
      </c>
      <c r="S422" s="6">
        <f>IF(OR($BJ422="",18&gt;設定!$B$3),"",IF(INDEX(原始資料!U$2:U$501,$BJ422)="","",INDEX(原始資料!U$2:U$501,$BJ422)))</f>
        <v/>
      </c>
      <c r="T422" s="6">
        <f>IF(OR($BJ422="",19&gt;設定!$B$3),"",IF(INDEX(原始資料!V$2:V$501,$BJ422)="","",INDEX(原始資料!V$2:V$501,$BJ422)))</f>
        <v/>
      </c>
      <c r="U422" s="6">
        <f>IF(OR($BJ422="",20&gt;設定!$B$3),"",IF(INDEX(原始資料!W$2:W$501,$BJ422)="","",INDEX(原始資料!W$2:W$501,$BJ422)))</f>
        <v/>
      </c>
      <c r="V422" s="6">
        <f>IF(OR($BJ422="",21&gt;設定!$B$3),"",IF(INDEX(原始資料!X$2:X$501,$BJ422)="","",INDEX(原始資料!X$2:X$501,$BJ422)))</f>
        <v/>
      </c>
      <c r="W422" s="6">
        <f>IF(OR($BJ422="",22&gt;設定!$B$3),"",IF(INDEX(原始資料!Y$2:Y$501,$BJ422)="","",INDEX(原始資料!Y$2:Y$501,$BJ422)))</f>
        <v/>
      </c>
      <c r="X422" s="6">
        <f>IF(OR($BJ422="",23&gt;設定!$B$3),"",IF(INDEX(原始資料!Z$2:Z$501,$BJ422)="","",INDEX(原始資料!Z$2:Z$501,$BJ422)))</f>
        <v/>
      </c>
      <c r="Y422" s="6">
        <f>IF(OR($BJ422="",24&gt;設定!$B$3),"",IF(INDEX(原始資料!AA$2:AA$501,$BJ422)="","",INDEX(原始資料!AA$2:AA$501,$BJ422)))</f>
        <v/>
      </c>
      <c r="Z422" s="6">
        <f>IF(OR($BJ422="",25&gt;設定!$B$3),"",IF(INDEX(原始資料!AB$2:AB$501,$BJ422)="","",INDEX(原始資料!AB$2:AB$501,$BJ422)))</f>
        <v/>
      </c>
      <c r="AA422" s="6">
        <f>IF(OR($BJ422="",26&gt;設定!$B$3),"",IF(INDEX(原始資料!AC$2:AC$501,$BJ422)="","",INDEX(原始資料!AC$2:AC$501,$BJ422)))</f>
        <v/>
      </c>
      <c r="AB422" s="6">
        <f>IF(OR($BJ422="",27&gt;設定!$B$3),"",IF(INDEX(原始資料!AD$2:AD$501,$BJ422)="","",INDEX(原始資料!AD$2:AD$501,$BJ422)))</f>
        <v/>
      </c>
      <c r="AC422" s="6">
        <f>IF(OR($BJ422="",28&gt;設定!$B$3),"",IF(INDEX(原始資料!AE$2:AE$501,$BJ422)="","",INDEX(原始資料!AE$2:AE$501,$BJ422)))</f>
        <v/>
      </c>
      <c r="AD422" s="6">
        <f>IF(OR($BJ422="",29&gt;設定!$B$3),"",IF(INDEX(原始資料!AF$2:AF$501,$BJ422)="","",INDEX(原始資料!AF$2:AF$501,$BJ422)))</f>
        <v/>
      </c>
      <c r="AE422" s="6">
        <f>IF(OR($BJ422="",30&gt;設定!$B$3),"",IF(INDEX(原始資料!AG$2:AG$501,$BJ422)="","",INDEX(原始資料!AG$2:AG$501,$BJ422)))</f>
        <v/>
      </c>
      <c r="AF422" s="6">
        <f>IF(OR($BJ422="",31&gt;設定!$B$3),"",IF(INDEX(原始資料!AH$2:AH$501,$BJ422)="","",INDEX(原始資料!AH$2:AH$501,$BJ422)))</f>
        <v/>
      </c>
      <c r="AG422" s="6">
        <f>IF(OR($BJ422="",32&gt;設定!$B$3),"",IF(INDEX(原始資料!AI$2:AI$501,$BJ422)="","",INDEX(原始資料!AI$2:AI$501,$BJ422)))</f>
        <v/>
      </c>
      <c r="AH422" s="6">
        <f>IF(OR($BJ422="",33&gt;設定!$B$3),"",IF(INDEX(原始資料!AJ$2:AJ$501,$BJ422)="","",INDEX(原始資料!AJ$2:AJ$501,$BJ422)))</f>
        <v/>
      </c>
      <c r="AI422" s="6">
        <f>IF(OR($BJ422="",34&gt;設定!$B$3),"",IF(INDEX(原始資料!AK$2:AK$501,$BJ422)="","",INDEX(原始資料!AK$2:AK$501,$BJ422)))</f>
        <v/>
      </c>
      <c r="AJ422" s="6">
        <f>IF(OR($BJ422="",35&gt;設定!$B$3),"",IF(INDEX(原始資料!AL$2:AL$501,$BJ422)="","",INDEX(原始資料!AL$2:AL$501,$BJ422)))</f>
        <v/>
      </c>
      <c r="AK422" s="6">
        <f>IF(OR($BJ422="",36&gt;設定!$B$3),"",IF(INDEX(原始資料!AM$2:AM$501,$BJ422)="","",INDEX(原始資料!AM$2:AM$501,$BJ422)))</f>
        <v/>
      </c>
      <c r="AL422" s="6">
        <f>IF(OR($BJ422="",37&gt;設定!$B$3),"",IF(INDEX(原始資料!AN$2:AN$501,$BJ422)="","",INDEX(原始資料!AN$2:AN$501,$BJ422)))</f>
        <v/>
      </c>
      <c r="AM422" s="6">
        <f>IF(OR($BJ422="",38&gt;設定!$B$3),"",IF(INDEX(原始資料!AO$2:AO$501,$BJ422)="","",INDEX(原始資料!AO$2:AO$501,$BJ422)))</f>
        <v/>
      </c>
      <c r="AN422" s="6">
        <f>IF(OR($BJ422="",39&gt;設定!$B$3),"",IF(INDEX(原始資料!AP$2:AP$501,$BJ422)="","",INDEX(原始資料!AP$2:AP$501,$BJ422)))</f>
        <v/>
      </c>
      <c r="AO422" s="6">
        <f>IF(OR($BJ422="",40&gt;設定!$B$3),"",IF(INDEX(原始資料!AQ$2:AQ$501,$BJ422)="","",INDEX(原始資料!AQ$2:AQ$501,$BJ422)))</f>
        <v/>
      </c>
      <c r="AP422" s="6">
        <f>IF(OR($BJ422="",41&gt;設定!$B$3),"",IF(INDEX(原始資料!AR$2:AR$501,$BJ422)="","",INDEX(原始資料!AR$2:AR$501,$BJ422)))</f>
        <v/>
      </c>
      <c r="AQ422" s="6">
        <f>IF(OR($BJ422="",42&gt;設定!$B$3),"",IF(INDEX(原始資料!AS$2:AS$501,$BJ422)="","",INDEX(原始資料!AS$2:AS$501,$BJ422)))</f>
        <v/>
      </c>
      <c r="AR422" s="6">
        <f>IF(OR($BJ422="",43&gt;設定!$B$3),"",IF(INDEX(原始資料!AT$2:AT$501,$BJ422)="","",INDEX(原始資料!AT$2:AT$501,$BJ422)))</f>
        <v/>
      </c>
      <c r="AS422" s="6">
        <f>IF(OR($BJ422="",44&gt;設定!$B$3),"",IF(INDEX(原始資料!AU$2:AU$501,$BJ422)="","",INDEX(原始資料!AU$2:AU$501,$BJ422)))</f>
        <v/>
      </c>
      <c r="AT422" s="6">
        <f>IF(OR($BJ422="",45&gt;設定!$B$3),"",IF(INDEX(原始資料!AV$2:AV$501,$BJ422)="","",INDEX(原始資料!AV$2:AV$501,$BJ422)))</f>
        <v/>
      </c>
      <c r="AU422" s="6">
        <f>IF(OR($BJ422="",46&gt;設定!$B$3),"",IF(INDEX(原始資料!AW$2:AW$501,$BJ422)="","",INDEX(原始資料!AW$2:AW$501,$BJ422)))</f>
        <v/>
      </c>
      <c r="AV422" s="6">
        <f>IF(OR($BJ422="",47&gt;設定!$B$3),"",IF(INDEX(原始資料!AX$2:AX$501,$BJ422)="","",INDEX(原始資料!AX$2:AX$501,$BJ422)))</f>
        <v/>
      </c>
      <c r="AW422" s="6">
        <f>IF(OR($BJ422="",48&gt;設定!$B$3),"",IF(INDEX(原始資料!AY$2:AY$501,$BJ422)="","",INDEX(原始資料!AY$2:AY$501,$BJ422)))</f>
        <v/>
      </c>
      <c r="AX422" s="6">
        <f>IF(OR($BJ422="",49&gt;設定!$B$3),"",IF(INDEX(原始資料!AZ$2:AZ$501,$BJ422)="","",INDEX(原始資料!AZ$2:AZ$501,$BJ422)))</f>
        <v/>
      </c>
      <c r="AY422" s="6">
        <f>IF(OR($BJ422="",50&gt;設定!$B$3),"",IF(INDEX(原始資料!BA$2:BA$501,$BJ422)="","",INDEX(原始資料!BA$2:BA$501,$BJ422)))</f>
        <v/>
      </c>
      <c r="AZ422" s="6">
        <f>IF(OR($BJ422="",51&gt;設定!$B$3),"",IF(INDEX(原始資料!BB$2:BB$501,$BJ422)="","",INDEX(原始資料!BB$2:BB$501,$BJ422)))</f>
        <v/>
      </c>
      <c r="BA422" s="6">
        <f>IF(OR($BJ422="",52&gt;設定!$B$3),"",IF(INDEX(原始資料!BC$2:BC$501,$BJ422)="","",INDEX(原始資料!BC$2:BC$501,$BJ422)))</f>
        <v/>
      </c>
      <c r="BB422" s="6">
        <f>IF(OR($BJ422="",53&gt;設定!$B$3),"",IF(INDEX(原始資料!BD$2:BD$501,$BJ422)="","",INDEX(原始資料!BD$2:BD$501,$BJ422)))</f>
        <v/>
      </c>
      <c r="BC422" s="6">
        <f>IF(OR($BJ422="",54&gt;設定!$B$3),"",IF(INDEX(原始資料!BE$2:BE$501,$BJ422)="","",INDEX(原始資料!BE$2:BE$501,$BJ422)))</f>
        <v/>
      </c>
      <c r="BD422" s="6">
        <f>IF(OR($BJ422="",55&gt;設定!$B$3),"",IF(INDEX(原始資料!BF$2:BF$501,$BJ422)="","",INDEX(原始資料!BF$2:BF$501,$BJ422)))</f>
        <v/>
      </c>
      <c r="BE422" s="6">
        <f>IF(OR($BJ422="",56&gt;設定!$B$3),"",IF(INDEX(原始資料!BG$2:BG$501,$BJ422)="","",INDEX(原始資料!BG$2:BG$501,$BJ422)))</f>
        <v/>
      </c>
      <c r="BF422" s="6">
        <f>IF(OR($BJ422="",57&gt;設定!$B$3),"",IF(INDEX(原始資料!BH$2:BH$501,$BJ422)="","",INDEX(原始資料!BH$2:BH$501,$BJ422)))</f>
        <v/>
      </c>
      <c r="BG422" s="6">
        <f>IF(OR($BJ422="",58&gt;設定!$B$3),"",IF(INDEX(原始資料!BI$2:BI$501,$BJ422)="","",INDEX(原始資料!BI$2:BI$501,$BJ422)))</f>
        <v/>
      </c>
      <c r="BH422" s="6">
        <f>IF(OR($BJ422="",59&gt;設定!$B$3),"",IF(INDEX(原始資料!BJ$2:BJ$501,$BJ422)="","",INDEX(原始資料!BJ$2:BJ$501,$BJ422)))</f>
        <v/>
      </c>
      <c r="BI422" s="6">
        <f>IF(OR($BJ422="",60&gt;設定!$B$3),"",IF(INDEX(原始資料!BK$2:BK$501,$BJ422)="","",INDEX(原始資料!BK$2:BK$501,$BJ422)))</f>
        <v/>
      </c>
      <c r="BJ422" s="6">
        <f>IFERROR(MATCH(ROW()-1,判定!$H$2:$H$501,0),"")</f>
        <v/>
      </c>
    </row>
    <row r="423">
      <c r="A423" s="6">
        <f>IF($BJ423="","",INDEX(原始資料!$A$2:$A$501,$BJ423))</f>
        <v/>
      </c>
      <c r="B423" s="6">
        <f>IF(OR($BJ423="",1&gt;設定!$B$3),"",IF(INDEX(原始資料!D$2:D$501,$BJ423)="","",INDEX(原始資料!D$2:D$501,$BJ423)))</f>
        <v/>
      </c>
      <c r="C423" s="6">
        <f>IF(OR($BJ423="",2&gt;設定!$B$3),"",IF(INDEX(原始資料!E$2:E$501,$BJ423)="","",INDEX(原始資料!E$2:E$501,$BJ423)))</f>
        <v/>
      </c>
      <c r="D423" s="6">
        <f>IF(OR($BJ423="",3&gt;設定!$B$3),"",IF(INDEX(原始資料!F$2:F$501,$BJ423)="","",INDEX(原始資料!F$2:F$501,$BJ423)))</f>
        <v/>
      </c>
      <c r="E423" s="6">
        <f>IF(OR($BJ423="",4&gt;設定!$B$3),"",IF(INDEX(原始資料!G$2:G$501,$BJ423)="","",INDEX(原始資料!G$2:G$501,$BJ423)))</f>
        <v/>
      </c>
      <c r="F423" s="6">
        <f>IF(OR($BJ423="",5&gt;設定!$B$3),"",IF(INDEX(原始資料!H$2:H$501,$BJ423)="","",INDEX(原始資料!H$2:H$501,$BJ423)))</f>
        <v/>
      </c>
      <c r="G423" s="6">
        <f>IF(OR($BJ423="",6&gt;設定!$B$3),"",IF(INDEX(原始資料!I$2:I$501,$BJ423)="","",INDEX(原始資料!I$2:I$501,$BJ423)))</f>
        <v/>
      </c>
      <c r="H423" s="6">
        <f>IF(OR($BJ423="",7&gt;設定!$B$3),"",IF(INDEX(原始資料!J$2:J$501,$BJ423)="","",INDEX(原始資料!J$2:J$501,$BJ423)))</f>
        <v/>
      </c>
      <c r="I423" s="6">
        <f>IF(OR($BJ423="",8&gt;設定!$B$3),"",IF(INDEX(原始資料!K$2:K$501,$BJ423)="","",INDEX(原始資料!K$2:K$501,$BJ423)))</f>
        <v/>
      </c>
      <c r="J423" s="6">
        <f>IF(OR($BJ423="",9&gt;設定!$B$3),"",IF(INDEX(原始資料!L$2:L$501,$BJ423)="","",INDEX(原始資料!L$2:L$501,$BJ423)))</f>
        <v/>
      </c>
      <c r="K423" s="6">
        <f>IF(OR($BJ423="",10&gt;設定!$B$3),"",IF(INDEX(原始資料!M$2:M$501,$BJ423)="","",INDEX(原始資料!M$2:M$501,$BJ423)))</f>
        <v/>
      </c>
      <c r="L423" s="6">
        <f>IF(OR($BJ423="",11&gt;設定!$B$3),"",IF(INDEX(原始資料!N$2:N$501,$BJ423)="","",INDEX(原始資料!N$2:N$501,$BJ423)))</f>
        <v/>
      </c>
      <c r="M423" s="6">
        <f>IF(OR($BJ423="",12&gt;設定!$B$3),"",IF(INDEX(原始資料!O$2:O$501,$BJ423)="","",INDEX(原始資料!O$2:O$501,$BJ423)))</f>
        <v/>
      </c>
      <c r="N423" s="6">
        <f>IF(OR($BJ423="",13&gt;設定!$B$3),"",IF(INDEX(原始資料!P$2:P$501,$BJ423)="","",INDEX(原始資料!P$2:P$501,$BJ423)))</f>
        <v/>
      </c>
      <c r="O423" s="6">
        <f>IF(OR($BJ423="",14&gt;設定!$B$3),"",IF(INDEX(原始資料!Q$2:Q$501,$BJ423)="","",INDEX(原始資料!Q$2:Q$501,$BJ423)))</f>
        <v/>
      </c>
      <c r="P423" s="6">
        <f>IF(OR($BJ423="",15&gt;設定!$B$3),"",IF(INDEX(原始資料!R$2:R$501,$BJ423)="","",INDEX(原始資料!R$2:R$501,$BJ423)))</f>
        <v/>
      </c>
      <c r="Q423" s="6">
        <f>IF(OR($BJ423="",16&gt;設定!$B$3),"",IF(INDEX(原始資料!S$2:S$501,$BJ423)="","",INDEX(原始資料!S$2:S$501,$BJ423)))</f>
        <v/>
      </c>
      <c r="R423" s="6">
        <f>IF(OR($BJ423="",17&gt;設定!$B$3),"",IF(INDEX(原始資料!T$2:T$501,$BJ423)="","",INDEX(原始資料!T$2:T$501,$BJ423)))</f>
        <v/>
      </c>
      <c r="S423" s="6">
        <f>IF(OR($BJ423="",18&gt;設定!$B$3),"",IF(INDEX(原始資料!U$2:U$501,$BJ423)="","",INDEX(原始資料!U$2:U$501,$BJ423)))</f>
        <v/>
      </c>
      <c r="T423" s="6">
        <f>IF(OR($BJ423="",19&gt;設定!$B$3),"",IF(INDEX(原始資料!V$2:V$501,$BJ423)="","",INDEX(原始資料!V$2:V$501,$BJ423)))</f>
        <v/>
      </c>
      <c r="U423" s="6">
        <f>IF(OR($BJ423="",20&gt;設定!$B$3),"",IF(INDEX(原始資料!W$2:W$501,$BJ423)="","",INDEX(原始資料!W$2:W$501,$BJ423)))</f>
        <v/>
      </c>
      <c r="V423" s="6">
        <f>IF(OR($BJ423="",21&gt;設定!$B$3),"",IF(INDEX(原始資料!X$2:X$501,$BJ423)="","",INDEX(原始資料!X$2:X$501,$BJ423)))</f>
        <v/>
      </c>
      <c r="W423" s="6">
        <f>IF(OR($BJ423="",22&gt;設定!$B$3),"",IF(INDEX(原始資料!Y$2:Y$501,$BJ423)="","",INDEX(原始資料!Y$2:Y$501,$BJ423)))</f>
        <v/>
      </c>
      <c r="X423" s="6">
        <f>IF(OR($BJ423="",23&gt;設定!$B$3),"",IF(INDEX(原始資料!Z$2:Z$501,$BJ423)="","",INDEX(原始資料!Z$2:Z$501,$BJ423)))</f>
        <v/>
      </c>
      <c r="Y423" s="6">
        <f>IF(OR($BJ423="",24&gt;設定!$B$3),"",IF(INDEX(原始資料!AA$2:AA$501,$BJ423)="","",INDEX(原始資料!AA$2:AA$501,$BJ423)))</f>
        <v/>
      </c>
      <c r="Z423" s="6">
        <f>IF(OR($BJ423="",25&gt;設定!$B$3),"",IF(INDEX(原始資料!AB$2:AB$501,$BJ423)="","",INDEX(原始資料!AB$2:AB$501,$BJ423)))</f>
        <v/>
      </c>
      <c r="AA423" s="6">
        <f>IF(OR($BJ423="",26&gt;設定!$B$3),"",IF(INDEX(原始資料!AC$2:AC$501,$BJ423)="","",INDEX(原始資料!AC$2:AC$501,$BJ423)))</f>
        <v/>
      </c>
      <c r="AB423" s="6">
        <f>IF(OR($BJ423="",27&gt;設定!$B$3),"",IF(INDEX(原始資料!AD$2:AD$501,$BJ423)="","",INDEX(原始資料!AD$2:AD$501,$BJ423)))</f>
        <v/>
      </c>
      <c r="AC423" s="6">
        <f>IF(OR($BJ423="",28&gt;設定!$B$3),"",IF(INDEX(原始資料!AE$2:AE$501,$BJ423)="","",INDEX(原始資料!AE$2:AE$501,$BJ423)))</f>
        <v/>
      </c>
      <c r="AD423" s="6">
        <f>IF(OR($BJ423="",29&gt;設定!$B$3),"",IF(INDEX(原始資料!AF$2:AF$501,$BJ423)="","",INDEX(原始資料!AF$2:AF$501,$BJ423)))</f>
        <v/>
      </c>
      <c r="AE423" s="6">
        <f>IF(OR($BJ423="",30&gt;設定!$B$3),"",IF(INDEX(原始資料!AG$2:AG$501,$BJ423)="","",INDEX(原始資料!AG$2:AG$501,$BJ423)))</f>
        <v/>
      </c>
      <c r="AF423" s="6">
        <f>IF(OR($BJ423="",31&gt;設定!$B$3),"",IF(INDEX(原始資料!AH$2:AH$501,$BJ423)="","",INDEX(原始資料!AH$2:AH$501,$BJ423)))</f>
        <v/>
      </c>
      <c r="AG423" s="6">
        <f>IF(OR($BJ423="",32&gt;設定!$B$3),"",IF(INDEX(原始資料!AI$2:AI$501,$BJ423)="","",INDEX(原始資料!AI$2:AI$501,$BJ423)))</f>
        <v/>
      </c>
      <c r="AH423" s="6">
        <f>IF(OR($BJ423="",33&gt;設定!$B$3),"",IF(INDEX(原始資料!AJ$2:AJ$501,$BJ423)="","",INDEX(原始資料!AJ$2:AJ$501,$BJ423)))</f>
        <v/>
      </c>
      <c r="AI423" s="6">
        <f>IF(OR($BJ423="",34&gt;設定!$B$3),"",IF(INDEX(原始資料!AK$2:AK$501,$BJ423)="","",INDEX(原始資料!AK$2:AK$501,$BJ423)))</f>
        <v/>
      </c>
      <c r="AJ423" s="6">
        <f>IF(OR($BJ423="",35&gt;設定!$B$3),"",IF(INDEX(原始資料!AL$2:AL$501,$BJ423)="","",INDEX(原始資料!AL$2:AL$501,$BJ423)))</f>
        <v/>
      </c>
      <c r="AK423" s="6">
        <f>IF(OR($BJ423="",36&gt;設定!$B$3),"",IF(INDEX(原始資料!AM$2:AM$501,$BJ423)="","",INDEX(原始資料!AM$2:AM$501,$BJ423)))</f>
        <v/>
      </c>
      <c r="AL423" s="6">
        <f>IF(OR($BJ423="",37&gt;設定!$B$3),"",IF(INDEX(原始資料!AN$2:AN$501,$BJ423)="","",INDEX(原始資料!AN$2:AN$501,$BJ423)))</f>
        <v/>
      </c>
      <c r="AM423" s="6">
        <f>IF(OR($BJ423="",38&gt;設定!$B$3),"",IF(INDEX(原始資料!AO$2:AO$501,$BJ423)="","",INDEX(原始資料!AO$2:AO$501,$BJ423)))</f>
        <v/>
      </c>
      <c r="AN423" s="6">
        <f>IF(OR($BJ423="",39&gt;設定!$B$3),"",IF(INDEX(原始資料!AP$2:AP$501,$BJ423)="","",INDEX(原始資料!AP$2:AP$501,$BJ423)))</f>
        <v/>
      </c>
      <c r="AO423" s="6">
        <f>IF(OR($BJ423="",40&gt;設定!$B$3),"",IF(INDEX(原始資料!AQ$2:AQ$501,$BJ423)="","",INDEX(原始資料!AQ$2:AQ$501,$BJ423)))</f>
        <v/>
      </c>
      <c r="AP423" s="6">
        <f>IF(OR($BJ423="",41&gt;設定!$B$3),"",IF(INDEX(原始資料!AR$2:AR$501,$BJ423)="","",INDEX(原始資料!AR$2:AR$501,$BJ423)))</f>
        <v/>
      </c>
      <c r="AQ423" s="6">
        <f>IF(OR($BJ423="",42&gt;設定!$B$3),"",IF(INDEX(原始資料!AS$2:AS$501,$BJ423)="","",INDEX(原始資料!AS$2:AS$501,$BJ423)))</f>
        <v/>
      </c>
      <c r="AR423" s="6">
        <f>IF(OR($BJ423="",43&gt;設定!$B$3),"",IF(INDEX(原始資料!AT$2:AT$501,$BJ423)="","",INDEX(原始資料!AT$2:AT$501,$BJ423)))</f>
        <v/>
      </c>
      <c r="AS423" s="6">
        <f>IF(OR($BJ423="",44&gt;設定!$B$3),"",IF(INDEX(原始資料!AU$2:AU$501,$BJ423)="","",INDEX(原始資料!AU$2:AU$501,$BJ423)))</f>
        <v/>
      </c>
      <c r="AT423" s="6">
        <f>IF(OR($BJ423="",45&gt;設定!$B$3),"",IF(INDEX(原始資料!AV$2:AV$501,$BJ423)="","",INDEX(原始資料!AV$2:AV$501,$BJ423)))</f>
        <v/>
      </c>
      <c r="AU423" s="6">
        <f>IF(OR($BJ423="",46&gt;設定!$B$3),"",IF(INDEX(原始資料!AW$2:AW$501,$BJ423)="","",INDEX(原始資料!AW$2:AW$501,$BJ423)))</f>
        <v/>
      </c>
      <c r="AV423" s="6">
        <f>IF(OR($BJ423="",47&gt;設定!$B$3),"",IF(INDEX(原始資料!AX$2:AX$501,$BJ423)="","",INDEX(原始資料!AX$2:AX$501,$BJ423)))</f>
        <v/>
      </c>
      <c r="AW423" s="6">
        <f>IF(OR($BJ423="",48&gt;設定!$B$3),"",IF(INDEX(原始資料!AY$2:AY$501,$BJ423)="","",INDEX(原始資料!AY$2:AY$501,$BJ423)))</f>
        <v/>
      </c>
      <c r="AX423" s="6">
        <f>IF(OR($BJ423="",49&gt;設定!$B$3),"",IF(INDEX(原始資料!AZ$2:AZ$501,$BJ423)="","",INDEX(原始資料!AZ$2:AZ$501,$BJ423)))</f>
        <v/>
      </c>
      <c r="AY423" s="6">
        <f>IF(OR($BJ423="",50&gt;設定!$B$3),"",IF(INDEX(原始資料!BA$2:BA$501,$BJ423)="","",INDEX(原始資料!BA$2:BA$501,$BJ423)))</f>
        <v/>
      </c>
      <c r="AZ423" s="6">
        <f>IF(OR($BJ423="",51&gt;設定!$B$3),"",IF(INDEX(原始資料!BB$2:BB$501,$BJ423)="","",INDEX(原始資料!BB$2:BB$501,$BJ423)))</f>
        <v/>
      </c>
      <c r="BA423" s="6">
        <f>IF(OR($BJ423="",52&gt;設定!$B$3),"",IF(INDEX(原始資料!BC$2:BC$501,$BJ423)="","",INDEX(原始資料!BC$2:BC$501,$BJ423)))</f>
        <v/>
      </c>
      <c r="BB423" s="6">
        <f>IF(OR($BJ423="",53&gt;設定!$B$3),"",IF(INDEX(原始資料!BD$2:BD$501,$BJ423)="","",INDEX(原始資料!BD$2:BD$501,$BJ423)))</f>
        <v/>
      </c>
      <c r="BC423" s="6">
        <f>IF(OR($BJ423="",54&gt;設定!$B$3),"",IF(INDEX(原始資料!BE$2:BE$501,$BJ423)="","",INDEX(原始資料!BE$2:BE$501,$BJ423)))</f>
        <v/>
      </c>
      <c r="BD423" s="6">
        <f>IF(OR($BJ423="",55&gt;設定!$B$3),"",IF(INDEX(原始資料!BF$2:BF$501,$BJ423)="","",INDEX(原始資料!BF$2:BF$501,$BJ423)))</f>
        <v/>
      </c>
      <c r="BE423" s="6">
        <f>IF(OR($BJ423="",56&gt;設定!$B$3),"",IF(INDEX(原始資料!BG$2:BG$501,$BJ423)="","",INDEX(原始資料!BG$2:BG$501,$BJ423)))</f>
        <v/>
      </c>
      <c r="BF423" s="6">
        <f>IF(OR($BJ423="",57&gt;設定!$B$3),"",IF(INDEX(原始資料!BH$2:BH$501,$BJ423)="","",INDEX(原始資料!BH$2:BH$501,$BJ423)))</f>
        <v/>
      </c>
      <c r="BG423" s="6">
        <f>IF(OR($BJ423="",58&gt;設定!$B$3),"",IF(INDEX(原始資料!BI$2:BI$501,$BJ423)="","",INDEX(原始資料!BI$2:BI$501,$BJ423)))</f>
        <v/>
      </c>
      <c r="BH423" s="6">
        <f>IF(OR($BJ423="",59&gt;設定!$B$3),"",IF(INDEX(原始資料!BJ$2:BJ$501,$BJ423)="","",INDEX(原始資料!BJ$2:BJ$501,$BJ423)))</f>
        <v/>
      </c>
      <c r="BI423" s="6">
        <f>IF(OR($BJ423="",60&gt;設定!$B$3),"",IF(INDEX(原始資料!BK$2:BK$501,$BJ423)="","",INDEX(原始資料!BK$2:BK$501,$BJ423)))</f>
        <v/>
      </c>
      <c r="BJ423" s="6">
        <f>IFERROR(MATCH(ROW()-1,判定!$H$2:$H$501,0),"")</f>
        <v/>
      </c>
    </row>
    <row r="424">
      <c r="A424" s="6">
        <f>IF($BJ424="","",INDEX(原始資料!$A$2:$A$501,$BJ424))</f>
        <v/>
      </c>
      <c r="B424" s="6">
        <f>IF(OR($BJ424="",1&gt;設定!$B$3),"",IF(INDEX(原始資料!D$2:D$501,$BJ424)="","",INDEX(原始資料!D$2:D$501,$BJ424)))</f>
        <v/>
      </c>
      <c r="C424" s="6">
        <f>IF(OR($BJ424="",2&gt;設定!$B$3),"",IF(INDEX(原始資料!E$2:E$501,$BJ424)="","",INDEX(原始資料!E$2:E$501,$BJ424)))</f>
        <v/>
      </c>
      <c r="D424" s="6">
        <f>IF(OR($BJ424="",3&gt;設定!$B$3),"",IF(INDEX(原始資料!F$2:F$501,$BJ424)="","",INDEX(原始資料!F$2:F$501,$BJ424)))</f>
        <v/>
      </c>
      <c r="E424" s="6">
        <f>IF(OR($BJ424="",4&gt;設定!$B$3),"",IF(INDEX(原始資料!G$2:G$501,$BJ424)="","",INDEX(原始資料!G$2:G$501,$BJ424)))</f>
        <v/>
      </c>
      <c r="F424" s="6">
        <f>IF(OR($BJ424="",5&gt;設定!$B$3),"",IF(INDEX(原始資料!H$2:H$501,$BJ424)="","",INDEX(原始資料!H$2:H$501,$BJ424)))</f>
        <v/>
      </c>
      <c r="G424" s="6">
        <f>IF(OR($BJ424="",6&gt;設定!$B$3),"",IF(INDEX(原始資料!I$2:I$501,$BJ424)="","",INDEX(原始資料!I$2:I$501,$BJ424)))</f>
        <v/>
      </c>
      <c r="H424" s="6">
        <f>IF(OR($BJ424="",7&gt;設定!$B$3),"",IF(INDEX(原始資料!J$2:J$501,$BJ424)="","",INDEX(原始資料!J$2:J$501,$BJ424)))</f>
        <v/>
      </c>
      <c r="I424" s="6">
        <f>IF(OR($BJ424="",8&gt;設定!$B$3),"",IF(INDEX(原始資料!K$2:K$501,$BJ424)="","",INDEX(原始資料!K$2:K$501,$BJ424)))</f>
        <v/>
      </c>
      <c r="J424" s="6">
        <f>IF(OR($BJ424="",9&gt;設定!$B$3),"",IF(INDEX(原始資料!L$2:L$501,$BJ424)="","",INDEX(原始資料!L$2:L$501,$BJ424)))</f>
        <v/>
      </c>
      <c r="K424" s="6">
        <f>IF(OR($BJ424="",10&gt;設定!$B$3),"",IF(INDEX(原始資料!M$2:M$501,$BJ424)="","",INDEX(原始資料!M$2:M$501,$BJ424)))</f>
        <v/>
      </c>
      <c r="L424" s="6">
        <f>IF(OR($BJ424="",11&gt;設定!$B$3),"",IF(INDEX(原始資料!N$2:N$501,$BJ424)="","",INDEX(原始資料!N$2:N$501,$BJ424)))</f>
        <v/>
      </c>
      <c r="M424" s="6">
        <f>IF(OR($BJ424="",12&gt;設定!$B$3),"",IF(INDEX(原始資料!O$2:O$501,$BJ424)="","",INDEX(原始資料!O$2:O$501,$BJ424)))</f>
        <v/>
      </c>
      <c r="N424" s="6">
        <f>IF(OR($BJ424="",13&gt;設定!$B$3),"",IF(INDEX(原始資料!P$2:P$501,$BJ424)="","",INDEX(原始資料!P$2:P$501,$BJ424)))</f>
        <v/>
      </c>
      <c r="O424" s="6">
        <f>IF(OR($BJ424="",14&gt;設定!$B$3),"",IF(INDEX(原始資料!Q$2:Q$501,$BJ424)="","",INDEX(原始資料!Q$2:Q$501,$BJ424)))</f>
        <v/>
      </c>
      <c r="P424" s="6">
        <f>IF(OR($BJ424="",15&gt;設定!$B$3),"",IF(INDEX(原始資料!R$2:R$501,$BJ424)="","",INDEX(原始資料!R$2:R$501,$BJ424)))</f>
        <v/>
      </c>
      <c r="Q424" s="6">
        <f>IF(OR($BJ424="",16&gt;設定!$B$3),"",IF(INDEX(原始資料!S$2:S$501,$BJ424)="","",INDEX(原始資料!S$2:S$501,$BJ424)))</f>
        <v/>
      </c>
      <c r="R424" s="6">
        <f>IF(OR($BJ424="",17&gt;設定!$B$3),"",IF(INDEX(原始資料!T$2:T$501,$BJ424)="","",INDEX(原始資料!T$2:T$501,$BJ424)))</f>
        <v/>
      </c>
      <c r="S424" s="6">
        <f>IF(OR($BJ424="",18&gt;設定!$B$3),"",IF(INDEX(原始資料!U$2:U$501,$BJ424)="","",INDEX(原始資料!U$2:U$501,$BJ424)))</f>
        <v/>
      </c>
      <c r="T424" s="6">
        <f>IF(OR($BJ424="",19&gt;設定!$B$3),"",IF(INDEX(原始資料!V$2:V$501,$BJ424)="","",INDEX(原始資料!V$2:V$501,$BJ424)))</f>
        <v/>
      </c>
      <c r="U424" s="6">
        <f>IF(OR($BJ424="",20&gt;設定!$B$3),"",IF(INDEX(原始資料!W$2:W$501,$BJ424)="","",INDEX(原始資料!W$2:W$501,$BJ424)))</f>
        <v/>
      </c>
      <c r="V424" s="6">
        <f>IF(OR($BJ424="",21&gt;設定!$B$3),"",IF(INDEX(原始資料!X$2:X$501,$BJ424)="","",INDEX(原始資料!X$2:X$501,$BJ424)))</f>
        <v/>
      </c>
      <c r="W424" s="6">
        <f>IF(OR($BJ424="",22&gt;設定!$B$3),"",IF(INDEX(原始資料!Y$2:Y$501,$BJ424)="","",INDEX(原始資料!Y$2:Y$501,$BJ424)))</f>
        <v/>
      </c>
      <c r="X424" s="6">
        <f>IF(OR($BJ424="",23&gt;設定!$B$3),"",IF(INDEX(原始資料!Z$2:Z$501,$BJ424)="","",INDEX(原始資料!Z$2:Z$501,$BJ424)))</f>
        <v/>
      </c>
      <c r="Y424" s="6">
        <f>IF(OR($BJ424="",24&gt;設定!$B$3),"",IF(INDEX(原始資料!AA$2:AA$501,$BJ424)="","",INDEX(原始資料!AA$2:AA$501,$BJ424)))</f>
        <v/>
      </c>
      <c r="Z424" s="6">
        <f>IF(OR($BJ424="",25&gt;設定!$B$3),"",IF(INDEX(原始資料!AB$2:AB$501,$BJ424)="","",INDEX(原始資料!AB$2:AB$501,$BJ424)))</f>
        <v/>
      </c>
      <c r="AA424" s="6">
        <f>IF(OR($BJ424="",26&gt;設定!$B$3),"",IF(INDEX(原始資料!AC$2:AC$501,$BJ424)="","",INDEX(原始資料!AC$2:AC$501,$BJ424)))</f>
        <v/>
      </c>
      <c r="AB424" s="6">
        <f>IF(OR($BJ424="",27&gt;設定!$B$3),"",IF(INDEX(原始資料!AD$2:AD$501,$BJ424)="","",INDEX(原始資料!AD$2:AD$501,$BJ424)))</f>
        <v/>
      </c>
      <c r="AC424" s="6">
        <f>IF(OR($BJ424="",28&gt;設定!$B$3),"",IF(INDEX(原始資料!AE$2:AE$501,$BJ424)="","",INDEX(原始資料!AE$2:AE$501,$BJ424)))</f>
        <v/>
      </c>
      <c r="AD424" s="6">
        <f>IF(OR($BJ424="",29&gt;設定!$B$3),"",IF(INDEX(原始資料!AF$2:AF$501,$BJ424)="","",INDEX(原始資料!AF$2:AF$501,$BJ424)))</f>
        <v/>
      </c>
      <c r="AE424" s="6">
        <f>IF(OR($BJ424="",30&gt;設定!$B$3),"",IF(INDEX(原始資料!AG$2:AG$501,$BJ424)="","",INDEX(原始資料!AG$2:AG$501,$BJ424)))</f>
        <v/>
      </c>
      <c r="AF424" s="6">
        <f>IF(OR($BJ424="",31&gt;設定!$B$3),"",IF(INDEX(原始資料!AH$2:AH$501,$BJ424)="","",INDEX(原始資料!AH$2:AH$501,$BJ424)))</f>
        <v/>
      </c>
      <c r="AG424" s="6">
        <f>IF(OR($BJ424="",32&gt;設定!$B$3),"",IF(INDEX(原始資料!AI$2:AI$501,$BJ424)="","",INDEX(原始資料!AI$2:AI$501,$BJ424)))</f>
        <v/>
      </c>
      <c r="AH424" s="6">
        <f>IF(OR($BJ424="",33&gt;設定!$B$3),"",IF(INDEX(原始資料!AJ$2:AJ$501,$BJ424)="","",INDEX(原始資料!AJ$2:AJ$501,$BJ424)))</f>
        <v/>
      </c>
      <c r="AI424" s="6">
        <f>IF(OR($BJ424="",34&gt;設定!$B$3),"",IF(INDEX(原始資料!AK$2:AK$501,$BJ424)="","",INDEX(原始資料!AK$2:AK$501,$BJ424)))</f>
        <v/>
      </c>
      <c r="AJ424" s="6">
        <f>IF(OR($BJ424="",35&gt;設定!$B$3),"",IF(INDEX(原始資料!AL$2:AL$501,$BJ424)="","",INDEX(原始資料!AL$2:AL$501,$BJ424)))</f>
        <v/>
      </c>
      <c r="AK424" s="6">
        <f>IF(OR($BJ424="",36&gt;設定!$B$3),"",IF(INDEX(原始資料!AM$2:AM$501,$BJ424)="","",INDEX(原始資料!AM$2:AM$501,$BJ424)))</f>
        <v/>
      </c>
      <c r="AL424" s="6">
        <f>IF(OR($BJ424="",37&gt;設定!$B$3),"",IF(INDEX(原始資料!AN$2:AN$501,$BJ424)="","",INDEX(原始資料!AN$2:AN$501,$BJ424)))</f>
        <v/>
      </c>
      <c r="AM424" s="6">
        <f>IF(OR($BJ424="",38&gt;設定!$B$3),"",IF(INDEX(原始資料!AO$2:AO$501,$BJ424)="","",INDEX(原始資料!AO$2:AO$501,$BJ424)))</f>
        <v/>
      </c>
      <c r="AN424" s="6">
        <f>IF(OR($BJ424="",39&gt;設定!$B$3),"",IF(INDEX(原始資料!AP$2:AP$501,$BJ424)="","",INDEX(原始資料!AP$2:AP$501,$BJ424)))</f>
        <v/>
      </c>
      <c r="AO424" s="6">
        <f>IF(OR($BJ424="",40&gt;設定!$B$3),"",IF(INDEX(原始資料!AQ$2:AQ$501,$BJ424)="","",INDEX(原始資料!AQ$2:AQ$501,$BJ424)))</f>
        <v/>
      </c>
      <c r="AP424" s="6">
        <f>IF(OR($BJ424="",41&gt;設定!$B$3),"",IF(INDEX(原始資料!AR$2:AR$501,$BJ424)="","",INDEX(原始資料!AR$2:AR$501,$BJ424)))</f>
        <v/>
      </c>
      <c r="AQ424" s="6">
        <f>IF(OR($BJ424="",42&gt;設定!$B$3),"",IF(INDEX(原始資料!AS$2:AS$501,$BJ424)="","",INDEX(原始資料!AS$2:AS$501,$BJ424)))</f>
        <v/>
      </c>
      <c r="AR424" s="6">
        <f>IF(OR($BJ424="",43&gt;設定!$B$3),"",IF(INDEX(原始資料!AT$2:AT$501,$BJ424)="","",INDEX(原始資料!AT$2:AT$501,$BJ424)))</f>
        <v/>
      </c>
      <c r="AS424" s="6">
        <f>IF(OR($BJ424="",44&gt;設定!$B$3),"",IF(INDEX(原始資料!AU$2:AU$501,$BJ424)="","",INDEX(原始資料!AU$2:AU$501,$BJ424)))</f>
        <v/>
      </c>
      <c r="AT424" s="6">
        <f>IF(OR($BJ424="",45&gt;設定!$B$3),"",IF(INDEX(原始資料!AV$2:AV$501,$BJ424)="","",INDEX(原始資料!AV$2:AV$501,$BJ424)))</f>
        <v/>
      </c>
      <c r="AU424" s="6">
        <f>IF(OR($BJ424="",46&gt;設定!$B$3),"",IF(INDEX(原始資料!AW$2:AW$501,$BJ424)="","",INDEX(原始資料!AW$2:AW$501,$BJ424)))</f>
        <v/>
      </c>
      <c r="AV424" s="6">
        <f>IF(OR($BJ424="",47&gt;設定!$B$3),"",IF(INDEX(原始資料!AX$2:AX$501,$BJ424)="","",INDEX(原始資料!AX$2:AX$501,$BJ424)))</f>
        <v/>
      </c>
      <c r="AW424" s="6">
        <f>IF(OR($BJ424="",48&gt;設定!$B$3),"",IF(INDEX(原始資料!AY$2:AY$501,$BJ424)="","",INDEX(原始資料!AY$2:AY$501,$BJ424)))</f>
        <v/>
      </c>
      <c r="AX424" s="6">
        <f>IF(OR($BJ424="",49&gt;設定!$B$3),"",IF(INDEX(原始資料!AZ$2:AZ$501,$BJ424)="","",INDEX(原始資料!AZ$2:AZ$501,$BJ424)))</f>
        <v/>
      </c>
      <c r="AY424" s="6">
        <f>IF(OR($BJ424="",50&gt;設定!$B$3),"",IF(INDEX(原始資料!BA$2:BA$501,$BJ424)="","",INDEX(原始資料!BA$2:BA$501,$BJ424)))</f>
        <v/>
      </c>
      <c r="AZ424" s="6">
        <f>IF(OR($BJ424="",51&gt;設定!$B$3),"",IF(INDEX(原始資料!BB$2:BB$501,$BJ424)="","",INDEX(原始資料!BB$2:BB$501,$BJ424)))</f>
        <v/>
      </c>
      <c r="BA424" s="6">
        <f>IF(OR($BJ424="",52&gt;設定!$B$3),"",IF(INDEX(原始資料!BC$2:BC$501,$BJ424)="","",INDEX(原始資料!BC$2:BC$501,$BJ424)))</f>
        <v/>
      </c>
      <c r="BB424" s="6">
        <f>IF(OR($BJ424="",53&gt;設定!$B$3),"",IF(INDEX(原始資料!BD$2:BD$501,$BJ424)="","",INDEX(原始資料!BD$2:BD$501,$BJ424)))</f>
        <v/>
      </c>
      <c r="BC424" s="6">
        <f>IF(OR($BJ424="",54&gt;設定!$B$3),"",IF(INDEX(原始資料!BE$2:BE$501,$BJ424)="","",INDEX(原始資料!BE$2:BE$501,$BJ424)))</f>
        <v/>
      </c>
      <c r="BD424" s="6">
        <f>IF(OR($BJ424="",55&gt;設定!$B$3),"",IF(INDEX(原始資料!BF$2:BF$501,$BJ424)="","",INDEX(原始資料!BF$2:BF$501,$BJ424)))</f>
        <v/>
      </c>
      <c r="BE424" s="6">
        <f>IF(OR($BJ424="",56&gt;設定!$B$3),"",IF(INDEX(原始資料!BG$2:BG$501,$BJ424)="","",INDEX(原始資料!BG$2:BG$501,$BJ424)))</f>
        <v/>
      </c>
      <c r="BF424" s="6">
        <f>IF(OR($BJ424="",57&gt;設定!$B$3),"",IF(INDEX(原始資料!BH$2:BH$501,$BJ424)="","",INDEX(原始資料!BH$2:BH$501,$BJ424)))</f>
        <v/>
      </c>
      <c r="BG424" s="6">
        <f>IF(OR($BJ424="",58&gt;設定!$B$3),"",IF(INDEX(原始資料!BI$2:BI$501,$BJ424)="","",INDEX(原始資料!BI$2:BI$501,$BJ424)))</f>
        <v/>
      </c>
      <c r="BH424" s="6">
        <f>IF(OR($BJ424="",59&gt;設定!$B$3),"",IF(INDEX(原始資料!BJ$2:BJ$501,$BJ424)="","",INDEX(原始資料!BJ$2:BJ$501,$BJ424)))</f>
        <v/>
      </c>
      <c r="BI424" s="6">
        <f>IF(OR($BJ424="",60&gt;設定!$B$3),"",IF(INDEX(原始資料!BK$2:BK$501,$BJ424)="","",INDEX(原始資料!BK$2:BK$501,$BJ424)))</f>
        <v/>
      </c>
      <c r="BJ424" s="6">
        <f>IFERROR(MATCH(ROW()-1,判定!$H$2:$H$501,0),"")</f>
        <v/>
      </c>
    </row>
    <row r="425">
      <c r="A425" s="6">
        <f>IF($BJ425="","",INDEX(原始資料!$A$2:$A$501,$BJ425))</f>
        <v/>
      </c>
      <c r="B425" s="6">
        <f>IF(OR($BJ425="",1&gt;設定!$B$3),"",IF(INDEX(原始資料!D$2:D$501,$BJ425)="","",INDEX(原始資料!D$2:D$501,$BJ425)))</f>
        <v/>
      </c>
      <c r="C425" s="6">
        <f>IF(OR($BJ425="",2&gt;設定!$B$3),"",IF(INDEX(原始資料!E$2:E$501,$BJ425)="","",INDEX(原始資料!E$2:E$501,$BJ425)))</f>
        <v/>
      </c>
      <c r="D425" s="6">
        <f>IF(OR($BJ425="",3&gt;設定!$B$3),"",IF(INDEX(原始資料!F$2:F$501,$BJ425)="","",INDEX(原始資料!F$2:F$501,$BJ425)))</f>
        <v/>
      </c>
      <c r="E425" s="6">
        <f>IF(OR($BJ425="",4&gt;設定!$B$3),"",IF(INDEX(原始資料!G$2:G$501,$BJ425)="","",INDEX(原始資料!G$2:G$501,$BJ425)))</f>
        <v/>
      </c>
      <c r="F425" s="6">
        <f>IF(OR($BJ425="",5&gt;設定!$B$3),"",IF(INDEX(原始資料!H$2:H$501,$BJ425)="","",INDEX(原始資料!H$2:H$501,$BJ425)))</f>
        <v/>
      </c>
      <c r="G425" s="6">
        <f>IF(OR($BJ425="",6&gt;設定!$B$3),"",IF(INDEX(原始資料!I$2:I$501,$BJ425)="","",INDEX(原始資料!I$2:I$501,$BJ425)))</f>
        <v/>
      </c>
      <c r="H425" s="6">
        <f>IF(OR($BJ425="",7&gt;設定!$B$3),"",IF(INDEX(原始資料!J$2:J$501,$BJ425)="","",INDEX(原始資料!J$2:J$501,$BJ425)))</f>
        <v/>
      </c>
      <c r="I425" s="6">
        <f>IF(OR($BJ425="",8&gt;設定!$B$3),"",IF(INDEX(原始資料!K$2:K$501,$BJ425)="","",INDEX(原始資料!K$2:K$501,$BJ425)))</f>
        <v/>
      </c>
      <c r="J425" s="6">
        <f>IF(OR($BJ425="",9&gt;設定!$B$3),"",IF(INDEX(原始資料!L$2:L$501,$BJ425)="","",INDEX(原始資料!L$2:L$501,$BJ425)))</f>
        <v/>
      </c>
      <c r="K425" s="6">
        <f>IF(OR($BJ425="",10&gt;設定!$B$3),"",IF(INDEX(原始資料!M$2:M$501,$BJ425)="","",INDEX(原始資料!M$2:M$501,$BJ425)))</f>
        <v/>
      </c>
      <c r="L425" s="6">
        <f>IF(OR($BJ425="",11&gt;設定!$B$3),"",IF(INDEX(原始資料!N$2:N$501,$BJ425)="","",INDEX(原始資料!N$2:N$501,$BJ425)))</f>
        <v/>
      </c>
      <c r="M425" s="6">
        <f>IF(OR($BJ425="",12&gt;設定!$B$3),"",IF(INDEX(原始資料!O$2:O$501,$BJ425)="","",INDEX(原始資料!O$2:O$501,$BJ425)))</f>
        <v/>
      </c>
      <c r="N425" s="6">
        <f>IF(OR($BJ425="",13&gt;設定!$B$3),"",IF(INDEX(原始資料!P$2:P$501,$BJ425)="","",INDEX(原始資料!P$2:P$501,$BJ425)))</f>
        <v/>
      </c>
      <c r="O425" s="6">
        <f>IF(OR($BJ425="",14&gt;設定!$B$3),"",IF(INDEX(原始資料!Q$2:Q$501,$BJ425)="","",INDEX(原始資料!Q$2:Q$501,$BJ425)))</f>
        <v/>
      </c>
      <c r="P425" s="6">
        <f>IF(OR($BJ425="",15&gt;設定!$B$3),"",IF(INDEX(原始資料!R$2:R$501,$BJ425)="","",INDEX(原始資料!R$2:R$501,$BJ425)))</f>
        <v/>
      </c>
      <c r="Q425" s="6">
        <f>IF(OR($BJ425="",16&gt;設定!$B$3),"",IF(INDEX(原始資料!S$2:S$501,$BJ425)="","",INDEX(原始資料!S$2:S$501,$BJ425)))</f>
        <v/>
      </c>
      <c r="R425" s="6">
        <f>IF(OR($BJ425="",17&gt;設定!$B$3),"",IF(INDEX(原始資料!T$2:T$501,$BJ425)="","",INDEX(原始資料!T$2:T$501,$BJ425)))</f>
        <v/>
      </c>
      <c r="S425" s="6">
        <f>IF(OR($BJ425="",18&gt;設定!$B$3),"",IF(INDEX(原始資料!U$2:U$501,$BJ425)="","",INDEX(原始資料!U$2:U$501,$BJ425)))</f>
        <v/>
      </c>
      <c r="T425" s="6">
        <f>IF(OR($BJ425="",19&gt;設定!$B$3),"",IF(INDEX(原始資料!V$2:V$501,$BJ425)="","",INDEX(原始資料!V$2:V$501,$BJ425)))</f>
        <v/>
      </c>
      <c r="U425" s="6">
        <f>IF(OR($BJ425="",20&gt;設定!$B$3),"",IF(INDEX(原始資料!W$2:W$501,$BJ425)="","",INDEX(原始資料!W$2:W$501,$BJ425)))</f>
        <v/>
      </c>
      <c r="V425" s="6">
        <f>IF(OR($BJ425="",21&gt;設定!$B$3),"",IF(INDEX(原始資料!X$2:X$501,$BJ425)="","",INDEX(原始資料!X$2:X$501,$BJ425)))</f>
        <v/>
      </c>
      <c r="W425" s="6">
        <f>IF(OR($BJ425="",22&gt;設定!$B$3),"",IF(INDEX(原始資料!Y$2:Y$501,$BJ425)="","",INDEX(原始資料!Y$2:Y$501,$BJ425)))</f>
        <v/>
      </c>
      <c r="X425" s="6">
        <f>IF(OR($BJ425="",23&gt;設定!$B$3),"",IF(INDEX(原始資料!Z$2:Z$501,$BJ425)="","",INDEX(原始資料!Z$2:Z$501,$BJ425)))</f>
        <v/>
      </c>
      <c r="Y425" s="6">
        <f>IF(OR($BJ425="",24&gt;設定!$B$3),"",IF(INDEX(原始資料!AA$2:AA$501,$BJ425)="","",INDEX(原始資料!AA$2:AA$501,$BJ425)))</f>
        <v/>
      </c>
      <c r="Z425" s="6">
        <f>IF(OR($BJ425="",25&gt;設定!$B$3),"",IF(INDEX(原始資料!AB$2:AB$501,$BJ425)="","",INDEX(原始資料!AB$2:AB$501,$BJ425)))</f>
        <v/>
      </c>
      <c r="AA425" s="6">
        <f>IF(OR($BJ425="",26&gt;設定!$B$3),"",IF(INDEX(原始資料!AC$2:AC$501,$BJ425)="","",INDEX(原始資料!AC$2:AC$501,$BJ425)))</f>
        <v/>
      </c>
      <c r="AB425" s="6">
        <f>IF(OR($BJ425="",27&gt;設定!$B$3),"",IF(INDEX(原始資料!AD$2:AD$501,$BJ425)="","",INDEX(原始資料!AD$2:AD$501,$BJ425)))</f>
        <v/>
      </c>
      <c r="AC425" s="6">
        <f>IF(OR($BJ425="",28&gt;設定!$B$3),"",IF(INDEX(原始資料!AE$2:AE$501,$BJ425)="","",INDEX(原始資料!AE$2:AE$501,$BJ425)))</f>
        <v/>
      </c>
      <c r="AD425" s="6">
        <f>IF(OR($BJ425="",29&gt;設定!$B$3),"",IF(INDEX(原始資料!AF$2:AF$501,$BJ425)="","",INDEX(原始資料!AF$2:AF$501,$BJ425)))</f>
        <v/>
      </c>
      <c r="AE425" s="6">
        <f>IF(OR($BJ425="",30&gt;設定!$B$3),"",IF(INDEX(原始資料!AG$2:AG$501,$BJ425)="","",INDEX(原始資料!AG$2:AG$501,$BJ425)))</f>
        <v/>
      </c>
      <c r="AF425" s="6">
        <f>IF(OR($BJ425="",31&gt;設定!$B$3),"",IF(INDEX(原始資料!AH$2:AH$501,$BJ425)="","",INDEX(原始資料!AH$2:AH$501,$BJ425)))</f>
        <v/>
      </c>
      <c r="AG425" s="6">
        <f>IF(OR($BJ425="",32&gt;設定!$B$3),"",IF(INDEX(原始資料!AI$2:AI$501,$BJ425)="","",INDEX(原始資料!AI$2:AI$501,$BJ425)))</f>
        <v/>
      </c>
      <c r="AH425" s="6">
        <f>IF(OR($BJ425="",33&gt;設定!$B$3),"",IF(INDEX(原始資料!AJ$2:AJ$501,$BJ425)="","",INDEX(原始資料!AJ$2:AJ$501,$BJ425)))</f>
        <v/>
      </c>
      <c r="AI425" s="6">
        <f>IF(OR($BJ425="",34&gt;設定!$B$3),"",IF(INDEX(原始資料!AK$2:AK$501,$BJ425)="","",INDEX(原始資料!AK$2:AK$501,$BJ425)))</f>
        <v/>
      </c>
      <c r="AJ425" s="6">
        <f>IF(OR($BJ425="",35&gt;設定!$B$3),"",IF(INDEX(原始資料!AL$2:AL$501,$BJ425)="","",INDEX(原始資料!AL$2:AL$501,$BJ425)))</f>
        <v/>
      </c>
      <c r="AK425" s="6">
        <f>IF(OR($BJ425="",36&gt;設定!$B$3),"",IF(INDEX(原始資料!AM$2:AM$501,$BJ425)="","",INDEX(原始資料!AM$2:AM$501,$BJ425)))</f>
        <v/>
      </c>
      <c r="AL425" s="6">
        <f>IF(OR($BJ425="",37&gt;設定!$B$3),"",IF(INDEX(原始資料!AN$2:AN$501,$BJ425)="","",INDEX(原始資料!AN$2:AN$501,$BJ425)))</f>
        <v/>
      </c>
      <c r="AM425" s="6">
        <f>IF(OR($BJ425="",38&gt;設定!$B$3),"",IF(INDEX(原始資料!AO$2:AO$501,$BJ425)="","",INDEX(原始資料!AO$2:AO$501,$BJ425)))</f>
        <v/>
      </c>
      <c r="AN425" s="6">
        <f>IF(OR($BJ425="",39&gt;設定!$B$3),"",IF(INDEX(原始資料!AP$2:AP$501,$BJ425)="","",INDEX(原始資料!AP$2:AP$501,$BJ425)))</f>
        <v/>
      </c>
      <c r="AO425" s="6">
        <f>IF(OR($BJ425="",40&gt;設定!$B$3),"",IF(INDEX(原始資料!AQ$2:AQ$501,$BJ425)="","",INDEX(原始資料!AQ$2:AQ$501,$BJ425)))</f>
        <v/>
      </c>
      <c r="AP425" s="6">
        <f>IF(OR($BJ425="",41&gt;設定!$B$3),"",IF(INDEX(原始資料!AR$2:AR$501,$BJ425)="","",INDEX(原始資料!AR$2:AR$501,$BJ425)))</f>
        <v/>
      </c>
      <c r="AQ425" s="6">
        <f>IF(OR($BJ425="",42&gt;設定!$B$3),"",IF(INDEX(原始資料!AS$2:AS$501,$BJ425)="","",INDEX(原始資料!AS$2:AS$501,$BJ425)))</f>
        <v/>
      </c>
      <c r="AR425" s="6">
        <f>IF(OR($BJ425="",43&gt;設定!$B$3),"",IF(INDEX(原始資料!AT$2:AT$501,$BJ425)="","",INDEX(原始資料!AT$2:AT$501,$BJ425)))</f>
        <v/>
      </c>
      <c r="AS425" s="6">
        <f>IF(OR($BJ425="",44&gt;設定!$B$3),"",IF(INDEX(原始資料!AU$2:AU$501,$BJ425)="","",INDEX(原始資料!AU$2:AU$501,$BJ425)))</f>
        <v/>
      </c>
      <c r="AT425" s="6">
        <f>IF(OR($BJ425="",45&gt;設定!$B$3),"",IF(INDEX(原始資料!AV$2:AV$501,$BJ425)="","",INDEX(原始資料!AV$2:AV$501,$BJ425)))</f>
        <v/>
      </c>
      <c r="AU425" s="6">
        <f>IF(OR($BJ425="",46&gt;設定!$B$3),"",IF(INDEX(原始資料!AW$2:AW$501,$BJ425)="","",INDEX(原始資料!AW$2:AW$501,$BJ425)))</f>
        <v/>
      </c>
      <c r="AV425" s="6">
        <f>IF(OR($BJ425="",47&gt;設定!$B$3),"",IF(INDEX(原始資料!AX$2:AX$501,$BJ425)="","",INDEX(原始資料!AX$2:AX$501,$BJ425)))</f>
        <v/>
      </c>
      <c r="AW425" s="6">
        <f>IF(OR($BJ425="",48&gt;設定!$B$3),"",IF(INDEX(原始資料!AY$2:AY$501,$BJ425)="","",INDEX(原始資料!AY$2:AY$501,$BJ425)))</f>
        <v/>
      </c>
      <c r="AX425" s="6">
        <f>IF(OR($BJ425="",49&gt;設定!$B$3),"",IF(INDEX(原始資料!AZ$2:AZ$501,$BJ425)="","",INDEX(原始資料!AZ$2:AZ$501,$BJ425)))</f>
        <v/>
      </c>
      <c r="AY425" s="6">
        <f>IF(OR($BJ425="",50&gt;設定!$B$3),"",IF(INDEX(原始資料!BA$2:BA$501,$BJ425)="","",INDEX(原始資料!BA$2:BA$501,$BJ425)))</f>
        <v/>
      </c>
      <c r="AZ425" s="6">
        <f>IF(OR($BJ425="",51&gt;設定!$B$3),"",IF(INDEX(原始資料!BB$2:BB$501,$BJ425)="","",INDEX(原始資料!BB$2:BB$501,$BJ425)))</f>
        <v/>
      </c>
      <c r="BA425" s="6">
        <f>IF(OR($BJ425="",52&gt;設定!$B$3),"",IF(INDEX(原始資料!BC$2:BC$501,$BJ425)="","",INDEX(原始資料!BC$2:BC$501,$BJ425)))</f>
        <v/>
      </c>
      <c r="BB425" s="6">
        <f>IF(OR($BJ425="",53&gt;設定!$B$3),"",IF(INDEX(原始資料!BD$2:BD$501,$BJ425)="","",INDEX(原始資料!BD$2:BD$501,$BJ425)))</f>
        <v/>
      </c>
      <c r="BC425" s="6">
        <f>IF(OR($BJ425="",54&gt;設定!$B$3),"",IF(INDEX(原始資料!BE$2:BE$501,$BJ425)="","",INDEX(原始資料!BE$2:BE$501,$BJ425)))</f>
        <v/>
      </c>
      <c r="BD425" s="6">
        <f>IF(OR($BJ425="",55&gt;設定!$B$3),"",IF(INDEX(原始資料!BF$2:BF$501,$BJ425)="","",INDEX(原始資料!BF$2:BF$501,$BJ425)))</f>
        <v/>
      </c>
      <c r="BE425" s="6">
        <f>IF(OR($BJ425="",56&gt;設定!$B$3),"",IF(INDEX(原始資料!BG$2:BG$501,$BJ425)="","",INDEX(原始資料!BG$2:BG$501,$BJ425)))</f>
        <v/>
      </c>
      <c r="BF425" s="6">
        <f>IF(OR($BJ425="",57&gt;設定!$B$3),"",IF(INDEX(原始資料!BH$2:BH$501,$BJ425)="","",INDEX(原始資料!BH$2:BH$501,$BJ425)))</f>
        <v/>
      </c>
      <c r="BG425" s="6">
        <f>IF(OR($BJ425="",58&gt;設定!$B$3),"",IF(INDEX(原始資料!BI$2:BI$501,$BJ425)="","",INDEX(原始資料!BI$2:BI$501,$BJ425)))</f>
        <v/>
      </c>
      <c r="BH425" s="6">
        <f>IF(OR($BJ425="",59&gt;設定!$B$3),"",IF(INDEX(原始資料!BJ$2:BJ$501,$BJ425)="","",INDEX(原始資料!BJ$2:BJ$501,$BJ425)))</f>
        <v/>
      </c>
      <c r="BI425" s="6">
        <f>IF(OR($BJ425="",60&gt;設定!$B$3),"",IF(INDEX(原始資料!BK$2:BK$501,$BJ425)="","",INDEX(原始資料!BK$2:BK$501,$BJ425)))</f>
        <v/>
      </c>
      <c r="BJ425" s="6">
        <f>IFERROR(MATCH(ROW()-1,判定!$H$2:$H$501,0),"")</f>
        <v/>
      </c>
    </row>
    <row r="426">
      <c r="A426" s="6">
        <f>IF($BJ426="","",INDEX(原始資料!$A$2:$A$501,$BJ426))</f>
        <v/>
      </c>
      <c r="B426" s="6">
        <f>IF(OR($BJ426="",1&gt;設定!$B$3),"",IF(INDEX(原始資料!D$2:D$501,$BJ426)="","",INDEX(原始資料!D$2:D$501,$BJ426)))</f>
        <v/>
      </c>
      <c r="C426" s="6">
        <f>IF(OR($BJ426="",2&gt;設定!$B$3),"",IF(INDEX(原始資料!E$2:E$501,$BJ426)="","",INDEX(原始資料!E$2:E$501,$BJ426)))</f>
        <v/>
      </c>
      <c r="D426" s="6">
        <f>IF(OR($BJ426="",3&gt;設定!$B$3),"",IF(INDEX(原始資料!F$2:F$501,$BJ426)="","",INDEX(原始資料!F$2:F$501,$BJ426)))</f>
        <v/>
      </c>
      <c r="E426" s="6">
        <f>IF(OR($BJ426="",4&gt;設定!$B$3),"",IF(INDEX(原始資料!G$2:G$501,$BJ426)="","",INDEX(原始資料!G$2:G$501,$BJ426)))</f>
        <v/>
      </c>
      <c r="F426" s="6">
        <f>IF(OR($BJ426="",5&gt;設定!$B$3),"",IF(INDEX(原始資料!H$2:H$501,$BJ426)="","",INDEX(原始資料!H$2:H$501,$BJ426)))</f>
        <v/>
      </c>
      <c r="G426" s="6">
        <f>IF(OR($BJ426="",6&gt;設定!$B$3),"",IF(INDEX(原始資料!I$2:I$501,$BJ426)="","",INDEX(原始資料!I$2:I$501,$BJ426)))</f>
        <v/>
      </c>
      <c r="H426" s="6">
        <f>IF(OR($BJ426="",7&gt;設定!$B$3),"",IF(INDEX(原始資料!J$2:J$501,$BJ426)="","",INDEX(原始資料!J$2:J$501,$BJ426)))</f>
        <v/>
      </c>
      <c r="I426" s="6">
        <f>IF(OR($BJ426="",8&gt;設定!$B$3),"",IF(INDEX(原始資料!K$2:K$501,$BJ426)="","",INDEX(原始資料!K$2:K$501,$BJ426)))</f>
        <v/>
      </c>
      <c r="J426" s="6">
        <f>IF(OR($BJ426="",9&gt;設定!$B$3),"",IF(INDEX(原始資料!L$2:L$501,$BJ426)="","",INDEX(原始資料!L$2:L$501,$BJ426)))</f>
        <v/>
      </c>
      <c r="K426" s="6">
        <f>IF(OR($BJ426="",10&gt;設定!$B$3),"",IF(INDEX(原始資料!M$2:M$501,$BJ426)="","",INDEX(原始資料!M$2:M$501,$BJ426)))</f>
        <v/>
      </c>
      <c r="L426" s="6">
        <f>IF(OR($BJ426="",11&gt;設定!$B$3),"",IF(INDEX(原始資料!N$2:N$501,$BJ426)="","",INDEX(原始資料!N$2:N$501,$BJ426)))</f>
        <v/>
      </c>
      <c r="M426" s="6">
        <f>IF(OR($BJ426="",12&gt;設定!$B$3),"",IF(INDEX(原始資料!O$2:O$501,$BJ426)="","",INDEX(原始資料!O$2:O$501,$BJ426)))</f>
        <v/>
      </c>
      <c r="N426" s="6">
        <f>IF(OR($BJ426="",13&gt;設定!$B$3),"",IF(INDEX(原始資料!P$2:P$501,$BJ426)="","",INDEX(原始資料!P$2:P$501,$BJ426)))</f>
        <v/>
      </c>
      <c r="O426" s="6">
        <f>IF(OR($BJ426="",14&gt;設定!$B$3),"",IF(INDEX(原始資料!Q$2:Q$501,$BJ426)="","",INDEX(原始資料!Q$2:Q$501,$BJ426)))</f>
        <v/>
      </c>
      <c r="P426" s="6">
        <f>IF(OR($BJ426="",15&gt;設定!$B$3),"",IF(INDEX(原始資料!R$2:R$501,$BJ426)="","",INDEX(原始資料!R$2:R$501,$BJ426)))</f>
        <v/>
      </c>
      <c r="Q426" s="6">
        <f>IF(OR($BJ426="",16&gt;設定!$B$3),"",IF(INDEX(原始資料!S$2:S$501,$BJ426)="","",INDEX(原始資料!S$2:S$501,$BJ426)))</f>
        <v/>
      </c>
      <c r="R426" s="6">
        <f>IF(OR($BJ426="",17&gt;設定!$B$3),"",IF(INDEX(原始資料!T$2:T$501,$BJ426)="","",INDEX(原始資料!T$2:T$501,$BJ426)))</f>
        <v/>
      </c>
      <c r="S426" s="6">
        <f>IF(OR($BJ426="",18&gt;設定!$B$3),"",IF(INDEX(原始資料!U$2:U$501,$BJ426)="","",INDEX(原始資料!U$2:U$501,$BJ426)))</f>
        <v/>
      </c>
      <c r="T426" s="6">
        <f>IF(OR($BJ426="",19&gt;設定!$B$3),"",IF(INDEX(原始資料!V$2:V$501,$BJ426)="","",INDEX(原始資料!V$2:V$501,$BJ426)))</f>
        <v/>
      </c>
      <c r="U426" s="6">
        <f>IF(OR($BJ426="",20&gt;設定!$B$3),"",IF(INDEX(原始資料!W$2:W$501,$BJ426)="","",INDEX(原始資料!W$2:W$501,$BJ426)))</f>
        <v/>
      </c>
      <c r="V426" s="6">
        <f>IF(OR($BJ426="",21&gt;設定!$B$3),"",IF(INDEX(原始資料!X$2:X$501,$BJ426)="","",INDEX(原始資料!X$2:X$501,$BJ426)))</f>
        <v/>
      </c>
      <c r="W426" s="6">
        <f>IF(OR($BJ426="",22&gt;設定!$B$3),"",IF(INDEX(原始資料!Y$2:Y$501,$BJ426)="","",INDEX(原始資料!Y$2:Y$501,$BJ426)))</f>
        <v/>
      </c>
      <c r="X426" s="6">
        <f>IF(OR($BJ426="",23&gt;設定!$B$3),"",IF(INDEX(原始資料!Z$2:Z$501,$BJ426)="","",INDEX(原始資料!Z$2:Z$501,$BJ426)))</f>
        <v/>
      </c>
      <c r="Y426" s="6">
        <f>IF(OR($BJ426="",24&gt;設定!$B$3),"",IF(INDEX(原始資料!AA$2:AA$501,$BJ426)="","",INDEX(原始資料!AA$2:AA$501,$BJ426)))</f>
        <v/>
      </c>
      <c r="Z426" s="6">
        <f>IF(OR($BJ426="",25&gt;設定!$B$3),"",IF(INDEX(原始資料!AB$2:AB$501,$BJ426)="","",INDEX(原始資料!AB$2:AB$501,$BJ426)))</f>
        <v/>
      </c>
      <c r="AA426" s="6">
        <f>IF(OR($BJ426="",26&gt;設定!$B$3),"",IF(INDEX(原始資料!AC$2:AC$501,$BJ426)="","",INDEX(原始資料!AC$2:AC$501,$BJ426)))</f>
        <v/>
      </c>
      <c r="AB426" s="6">
        <f>IF(OR($BJ426="",27&gt;設定!$B$3),"",IF(INDEX(原始資料!AD$2:AD$501,$BJ426)="","",INDEX(原始資料!AD$2:AD$501,$BJ426)))</f>
        <v/>
      </c>
      <c r="AC426" s="6">
        <f>IF(OR($BJ426="",28&gt;設定!$B$3),"",IF(INDEX(原始資料!AE$2:AE$501,$BJ426)="","",INDEX(原始資料!AE$2:AE$501,$BJ426)))</f>
        <v/>
      </c>
      <c r="AD426" s="6">
        <f>IF(OR($BJ426="",29&gt;設定!$B$3),"",IF(INDEX(原始資料!AF$2:AF$501,$BJ426)="","",INDEX(原始資料!AF$2:AF$501,$BJ426)))</f>
        <v/>
      </c>
      <c r="AE426" s="6">
        <f>IF(OR($BJ426="",30&gt;設定!$B$3),"",IF(INDEX(原始資料!AG$2:AG$501,$BJ426)="","",INDEX(原始資料!AG$2:AG$501,$BJ426)))</f>
        <v/>
      </c>
      <c r="AF426" s="6">
        <f>IF(OR($BJ426="",31&gt;設定!$B$3),"",IF(INDEX(原始資料!AH$2:AH$501,$BJ426)="","",INDEX(原始資料!AH$2:AH$501,$BJ426)))</f>
        <v/>
      </c>
      <c r="AG426" s="6">
        <f>IF(OR($BJ426="",32&gt;設定!$B$3),"",IF(INDEX(原始資料!AI$2:AI$501,$BJ426)="","",INDEX(原始資料!AI$2:AI$501,$BJ426)))</f>
        <v/>
      </c>
      <c r="AH426" s="6">
        <f>IF(OR($BJ426="",33&gt;設定!$B$3),"",IF(INDEX(原始資料!AJ$2:AJ$501,$BJ426)="","",INDEX(原始資料!AJ$2:AJ$501,$BJ426)))</f>
        <v/>
      </c>
      <c r="AI426" s="6">
        <f>IF(OR($BJ426="",34&gt;設定!$B$3),"",IF(INDEX(原始資料!AK$2:AK$501,$BJ426)="","",INDEX(原始資料!AK$2:AK$501,$BJ426)))</f>
        <v/>
      </c>
      <c r="AJ426" s="6">
        <f>IF(OR($BJ426="",35&gt;設定!$B$3),"",IF(INDEX(原始資料!AL$2:AL$501,$BJ426)="","",INDEX(原始資料!AL$2:AL$501,$BJ426)))</f>
        <v/>
      </c>
      <c r="AK426" s="6">
        <f>IF(OR($BJ426="",36&gt;設定!$B$3),"",IF(INDEX(原始資料!AM$2:AM$501,$BJ426)="","",INDEX(原始資料!AM$2:AM$501,$BJ426)))</f>
        <v/>
      </c>
      <c r="AL426" s="6">
        <f>IF(OR($BJ426="",37&gt;設定!$B$3),"",IF(INDEX(原始資料!AN$2:AN$501,$BJ426)="","",INDEX(原始資料!AN$2:AN$501,$BJ426)))</f>
        <v/>
      </c>
      <c r="AM426" s="6">
        <f>IF(OR($BJ426="",38&gt;設定!$B$3),"",IF(INDEX(原始資料!AO$2:AO$501,$BJ426)="","",INDEX(原始資料!AO$2:AO$501,$BJ426)))</f>
        <v/>
      </c>
      <c r="AN426" s="6">
        <f>IF(OR($BJ426="",39&gt;設定!$B$3),"",IF(INDEX(原始資料!AP$2:AP$501,$BJ426)="","",INDEX(原始資料!AP$2:AP$501,$BJ426)))</f>
        <v/>
      </c>
      <c r="AO426" s="6">
        <f>IF(OR($BJ426="",40&gt;設定!$B$3),"",IF(INDEX(原始資料!AQ$2:AQ$501,$BJ426)="","",INDEX(原始資料!AQ$2:AQ$501,$BJ426)))</f>
        <v/>
      </c>
      <c r="AP426" s="6">
        <f>IF(OR($BJ426="",41&gt;設定!$B$3),"",IF(INDEX(原始資料!AR$2:AR$501,$BJ426)="","",INDEX(原始資料!AR$2:AR$501,$BJ426)))</f>
        <v/>
      </c>
      <c r="AQ426" s="6">
        <f>IF(OR($BJ426="",42&gt;設定!$B$3),"",IF(INDEX(原始資料!AS$2:AS$501,$BJ426)="","",INDEX(原始資料!AS$2:AS$501,$BJ426)))</f>
        <v/>
      </c>
      <c r="AR426" s="6">
        <f>IF(OR($BJ426="",43&gt;設定!$B$3),"",IF(INDEX(原始資料!AT$2:AT$501,$BJ426)="","",INDEX(原始資料!AT$2:AT$501,$BJ426)))</f>
        <v/>
      </c>
      <c r="AS426" s="6">
        <f>IF(OR($BJ426="",44&gt;設定!$B$3),"",IF(INDEX(原始資料!AU$2:AU$501,$BJ426)="","",INDEX(原始資料!AU$2:AU$501,$BJ426)))</f>
        <v/>
      </c>
      <c r="AT426" s="6">
        <f>IF(OR($BJ426="",45&gt;設定!$B$3),"",IF(INDEX(原始資料!AV$2:AV$501,$BJ426)="","",INDEX(原始資料!AV$2:AV$501,$BJ426)))</f>
        <v/>
      </c>
      <c r="AU426" s="6">
        <f>IF(OR($BJ426="",46&gt;設定!$B$3),"",IF(INDEX(原始資料!AW$2:AW$501,$BJ426)="","",INDEX(原始資料!AW$2:AW$501,$BJ426)))</f>
        <v/>
      </c>
      <c r="AV426" s="6">
        <f>IF(OR($BJ426="",47&gt;設定!$B$3),"",IF(INDEX(原始資料!AX$2:AX$501,$BJ426)="","",INDEX(原始資料!AX$2:AX$501,$BJ426)))</f>
        <v/>
      </c>
      <c r="AW426" s="6">
        <f>IF(OR($BJ426="",48&gt;設定!$B$3),"",IF(INDEX(原始資料!AY$2:AY$501,$BJ426)="","",INDEX(原始資料!AY$2:AY$501,$BJ426)))</f>
        <v/>
      </c>
      <c r="AX426" s="6">
        <f>IF(OR($BJ426="",49&gt;設定!$B$3),"",IF(INDEX(原始資料!AZ$2:AZ$501,$BJ426)="","",INDEX(原始資料!AZ$2:AZ$501,$BJ426)))</f>
        <v/>
      </c>
      <c r="AY426" s="6">
        <f>IF(OR($BJ426="",50&gt;設定!$B$3),"",IF(INDEX(原始資料!BA$2:BA$501,$BJ426)="","",INDEX(原始資料!BA$2:BA$501,$BJ426)))</f>
        <v/>
      </c>
      <c r="AZ426" s="6">
        <f>IF(OR($BJ426="",51&gt;設定!$B$3),"",IF(INDEX(原始資料!BB$2:BB$501,$BJ426)="","",INDEX(原始資料!BB$2:BB$501,$BJ426)))</f>
        <v/>
      </c>
      <c r="BA426" s="6">
        <f>IF(OR($BJ426="",52&gt;設定!$B$3),"",IF(INDEX(原始資料!BC$2:BC$501,$BJ426)="","",INDEX(原始資料!BC$2:BC$501,$BJ426)))</f>
        <v/>
      </c>
      <c r="BB426" s="6">
        <f>IF(OR($BJ426="",53&gt;設定!$B$3),"",IF(INDEX(原始資料!BD$2:BD$501,$BJ426)="","",INDEX(原始資料!BD$2:BD$501,$BJ426)))</f>
        <v/>
      </c>
      <c r="BC426" s="6">
        <f>IF(OR($BJ426="",54&gt;設定!$B$3),"",IF(INDEX(原始資料!BE$2:BE$501,$BJ426)="","",INDEX(原始資料!BE$2:BE$501,$BJ426)))</f>
        <v/>
      </c>
      <c r="BD426" s="6">
        <f>IF(OR($BJ426="",55&gt;設定!$B$3),"",IF(INDEX(原始資料!BF$2:BF$501,$BJ426)="","",INDEX(原始資料!BF$2:BF$501,$BJ426)))</f>
        <v/>
      </c>
      <c r="BE426" s="6">
        <f>IF(OR($BJ426="",56&gt;設定!$B$3),"",IF(INDEX(原始資料!BG$2:BG$501,$BJ426)="","",INDEX(原始資料!BG$2:BG$501,$BJ426)))</f>
        <v/>
      </c>
      <c r="BF426" s="6">
        <f>IF(OR($BJ426="",57&gt;設定!$B$3),"",IF(INDEX(原始資料!BH$2:BH$501,$BJ426)="","",INDEX(原始資料!BH$2:BH$501,$BJ426)))</f>
        <v/>
      </c>
      <c r="BG426" s="6">
        <f>IF(OR($BJ426="",58&gt;設定!$B$3),"",IF(INDEX(原始資料!BI$2:BI$501,$BJ426)="","",INDEX(原始資料!BI$2:BI$501,$BJ426)))</f>
        <v/>
      </c>
      <c r="BH426" s="6">
        <f>IF(OR($BJ426="",59&gt;設定!$B$3),"",IF(INDEX(原始資料!BJ$2:BJ$501,$BJ426)="","",INDEX(原始資料!BJ$2:BJ$501,$BJ426)))</f>
        <v/>
      </c>
      <c r="BI426" s="6">
        <f>IF(OR($BJ426="",60&gt;設定!$B$3),"",IF(INDEX(原始資料!BK$2:BK$501,$BJ426)="","",INDEX(原始資料!BK$2:BK$501,$BJ426)))</f>
        <v/>
      </c>
      <c r="BJ426" s="6">
        <f>IFERROR(MATCH(ROW()-1,判定!$H$2:$H$501,0),"")</f>
        <v/>
      </c>
    </row>
    <row r="427">
      <c r="A427" s="6">
        <f>IF($BJ427="","",INDEX(原始資料!$A$2:$A$501,$BJ427))</f>
        <v/>
      </c>
      <c r="B427" s="6">
        <f>IF(OR($BJ427="",1&gt;設定!$B$3),"",IF(INDEX(原始資料!D$2:D$501,$BJ427)="","",INDEX(原始資料!D$2:D$501,$BJ427)))</f>
        <v/>
      </c>
      <c r="C427" s="6">
        <f>IF(OR($BJ427="",2&gt;設定!$B$3),"",IF(INDEX(原始資料!E$2:E$501,$BJ427)="","",INDEX(原始資料!E$2:E$501,$BJ427)))</f>
        <v/>
      </c>
      <c r="D427" s="6">
        <f>IF(OR($BJ427="",3&gt;設定!$B$3),"",IF(INDEX(原始資料!F$2:F$501,$BJ427)="","",INDEX(原始資料!F$2:F$501,$BJ427)))</f>
        <v/>
      </c>
      <c r="E427" s="6">
        <f>IF(OR($BJ427="",4&gt;設定!$B$3),"",IF(INDEX(原始資料!G$2:G$501,$BJ427)="","",INDEX(原始資料!G$2:G$501,$BJ427)))</f>
        <v/>
      </c>
      <c r="F427" s="6">
        <f>IF(OR($BJ427="",5&gt;設定!$B$3),"",IF(INDEX(原始資料!H$2:H$501,$BJ427)="","",INDEX(原始資料!H$2:H$501,$BJ427)))</f>
        <v/>
      </c>
      <c r="G427" s="6">
        <f>IF(OR($BJ427="",6&gt;設定!$B$3),"",IF(INDEX(原始資料!I$2:I$501,$BJ427)="","",INDEX(原始資料!I$2:I$501,$BJ427)))</f>
        <v/>
      </c>
      <c r="H427" s="6">
        <f>IF(OR($BJ427="",7&gt;設定!$B$3),"",IF(INDEX(原始資料!J$2:J$501,$BJ427)="","",INDEX(原始資料!J$2:J$501,$BJ427)))</f>
        <v/>
      </c>
      <c r="I427" s="6">
        <f>IF(OR($BJ427="",8&gt;設定!$B$3),"",IF(INDEX(原始資料!K$2:K$501,$BJ427)="","",INDEX(原始資料!K$2:K$501,$BJ427)))</f>
        <v/>
      </c>
      <c r="J427" s="6">
        <f>IF(OR($BJ427="",9&gt;設定!$B$3),"",IF(INDEX(原始資料!L$2:L$501,$BJ427)="","",INDEX(原始資料!L$2:L$501,$BJ427)))</f>
        <v/>
      </c>
      <c r="K427" s="6">
        <f>IF(OR($BJ427="",10&gt;設定!$B$3),"",IF(INDEX(原始資料!M$2:M$501,$BJ427)="","",INDEX(原始資料!M$2:M$501,$BJ427)))</f>
        <v/>
      </c>
      <c r="L427" s="6">
        <f>IF(OR($BJ427="",11&gt;設定!$B$3),"",IF(INDEX(原始資料!N$2:N$501,$BJ427)="","",INDEX(原始資料!N$2:N$501,$BJ427)))</f>
        <v/>
      </c>
      <c r="M427" s="6">
        <f>IF(OR($BJ427="",12&gt;設定!$B$3),"",IF(INDEX(原始資料!O$2:O$501,$BJ427)="","",INDEX(原始資料!O$2:O$501,$BJ427)))</f>
        <v/>
      </c>
      <c r="N427" s="6">
        <f>IF(OR($BJ427="",13&gt;設定!$B$3),"",IF(INDEX(原始資料!P$2:P$501,$BJ427)="","",INDEX(原始資料!P$2:P$501,$BJ427)))</f>
        <v/>
      </c>
      <c r="O427" s="6">
        <f>IF(OR($BJ427="",14&gt;設定!$B$3),"",IF(INDEX(原始資料!Q$2:Q$501,$BJ427)="","",INDEX(原始資料!Q$2:Q$501,$BJ427)))</f>
        <v/>
      </c>
      <c r="P427" s="6">
        <f>IF(OR($BJ427="",15&gt;設定!$B$3),"",IF(INDEX(原始資料!R$2:R$501,$BJ427)="","",INDEX(原始資料!R$2:R$501,$BJ427)))</f>
        <v/>
      </c>
      <c r="Q427" s="6">
        <f>IF(OR($BJ427="",16&gt;設定!$B$3),"",IF(INDEX(原始資料!S$2:S$501,$BJ427)="","",INDEX(原始資料!S$2:S$501,$BJ427)))</f>
        <v/>
      </c>
      <c r="R427" s="6">
        <f>IF(OR($BJ427="",17&gt;設定!$B$3),"",IF(INDEX(原始資料!T$2:T$501,$BJ427)="","",INDEX(原始資料!T$2:T$501,$BJ427)))</f>
        <v/>
      </c>
      <c r="S427" s="6">
        <f>IF(OR($BJ427="",18&gt;設定!$B$3),"",IF(INDEX(原始資料!U$2:U$501,$BJ427)="","",INDEX(原始資料!U$2:U$501,$BJ427)))</f>
        <v/>
      </c>
      <c r="T427" s="6">
        <f>IF(OR($BJ427="",19&gt;設定!$B$3),"",IF(INDEX(原始資料!V$2:V$501,$BJ427)="","",INDEX(原始資料!V$2:V$501,$BJ427)))</f>
        <v/>
      </c>
      <c r="U427" s="6">
        <f>IF(OR($BJ427="",20&gt;設定!$B$3),"",IF(INDEX(原始資料!W$2:W$501,$BJ427)="","",INDEX(原始資料!W$2:W$501,$BJ427)))</f>
        <v/>
      </c>
      <c r="V427" s="6">
        <f>IF(OR($BJ427="",21&gt;設定!$B$3),"",IF(INDEX(原始資料!X$2:X$501,$BJ427)="","",INDEX(原始資料!X$2:X$501,$BJ427)))</f>
        <v/>
      </c>
      <c r="W427" s="6">
        <f>IF(OR($BJ427="",22&gt;設定!$B$3),"",IF(INDEX(原始資料!Y$2:Y$501,$BJ427)="","",INDEX(原始資料!Y$2:Y$501,$BJ427)))</f>
        <v/>
      </c>
      <c r="X427" s="6">
        <f>IF(OR($BJ427="",23&gt;設定!$B$3),"",IF(INDEX(原始資料!Z$2:Z$501,$BJ427)="","",INDEX(原始資料!Z$2:Z$501,$BJ427)))</f>
        <v/>
      </c>
      <c r="Y427" s="6">
        <f>IF(OR($BJ427="",24&gt;設定!$B$3),"",IF(INDEX(原始資料!AA$2:AA$501,$BJ427)="","",INDEX(原始資料!AA$2:AA$501,$BJ427)))</f>
        <v/>
      </c>
      <c r="Z427" s="6">
        <f>IF(OR($BJ427="",25&gt;設定!$B$3),"",IF(INDEX(原始資料!AB$2:AB$501,$BJ427)="","",INDEX(原始資料!AB$2:AB$501,$BJ427)))</f>
        <v/>
      </c>
      <c r="AA427" s="6">
        <f>IF(OR($BJ427="",26&gt;設定!$B$3),"",IF(INDEX(原始資料!AC$2:AC$501,$BJ427)="","",INDEX(原始資料!AC$2:AC$501,$BJ427)))</f>
        <v/>
      </c>
      <c r="AB427" s="6">
        <f>IF(OR($BJ427="",27&gt;設定!$B$3),"",IF(INDEX(原始資料!AD$2:AD$501,$BJ427)="","",INDEX(原始資料!AD$2:AD$501,$BJ427)))</f>
        <v/>
      </c>
      <c r="AC427" s="6">
        <f>IF(OR($BJ427="",28&gt;設定!$B$3),"",IF(INDEX(原始資料!AE$2:AE$501,$BJ427)="","",INDEX(原始資料!AE$2:AE$501,$BJ427)))</f>
        <v/>
      </c>
      <c r="AD427" s="6">
        <f>IF(OR($BJ427="",29&gt;設定!$B$3),"",IF(INDEX(原始資料!AF$2:AF$501,$BJ427)="","",INDEX(原始資料!AF$2:AF$501,$BJ427)))</f>
        <v/>
      </c>
      <c r="AE427" s="6">
        <f>IF(OR($BJ427="",30&gt;設定!$B$3),"",IF(INDEX(原始資料!AG$2:AG$501,$BJ427)="","",INDEX(原始資料!AG$2:AG$501,$BJ427)))</f>
        <v/>
      </c>
      <c r="AF427" s="6">
        <f>IF(OR($BJ427="",31&gt;設定!$B$3),"",IF(INDEX(原始資料!AH$2:AH$501,$BJ427)="","",INDEX(原始資料!AH$2:AH$501,$BJ427)))</f>
        <v/>
      </c>
      <c r="AG427" s="6">
        <f>IF(OR($BJ427="",32&gt;設定!$B$3),"",IF(INDEX(原始資料!AI$2:AI$501,$BJ427)="","",INDEX(原始資料!AI$2:AI$501,$BJ427)))</f>
        <v/>
      </c>
      <c r="AH427" s="6">
        <f>IF(OR($BJ427="",33&gt;設定!$B$3),"",IF(INDEX(原始資料!AJ$2:AJ$501,$BJ427)="","",INDEX(原始資料!AJ$2:AJ$501,$BJ427)))</f>
        <v/>
      </c>
      <c r="AI427" s="6">
        <f>IF(OR($BJ427="",34&gt;設定!$B$3),"",IF(INDEX(原始資料!AK$2:AK$501,$BJ427)="","",INDEX(原始資料!AK$2:AK$501,$BJ427)))</f>
        <v/>
      </c>
      <c r="AJ427" s="6">
        <f>IF(OR($BJ427="",35&gt;設定!$B$3),"",IF(INDEX(原始資料!AL$2:AL$501,$BJ427)="","",INDEX(原始資料!AL$2:AL$501,$BJ427)))</f>
        <v/>
      </c>
      <c r="AK427" s="6">
        <f>IF(OR($BJ427="",36&gt;設定!$B$3),"",IF(INDEX(原始資料!AM$2:AM$501,$BJ427)="","",INDEX(原始資料!AM$2:AM$501,$BJ427)))</f>
        <v/>
      </c>
      <c r="AL427" s="6">
        <f>IF(OR($BJ427="",37&gt;設定!$B$3),"",IF(INDEX(原始資料!AN$2:AN$501,$BJ427)="","",INDEX(原始資料!AN$2:AN$501,$BJ427)))</f>
        <v/>
      </c>
      <c r="AM427" s="6">
        <f>IF(OR($BJ427="",38&gt;設定!$B$3),"",IF(INDEX(原始資料!AO$2:AO$501,$BJ427)="","",INDEX(原始資料!AO$2:AO$501,$BJ427)))</f>
        <v/>
      </c>
      <c r="AN427" s="6">
        <f>IF(OR($BJ427="",39&gt;設定!$B$3),"",IF(INDEX(原始資料!AP$2:AP$501,$BJ427)="","",INDEX(原始資料!AP$2:AP$501,$BJ427)))</f>
        <v/>
      </c>
      <c r="AO427" s="6">
        <f>IF(OR($BJ427="",40&gt;設定!$B$3),"",IF(INDEX(原始資料!AQ$2:AQ$501,$BJ427)="","",INDEX(原始資料!AQ$2:AQ$501,$BJ427)))</f>
        <v/>
      </c>
      <c r="AP427" s="6">
        <f>IF(OR($BJ427="",41&gt;設定!$B$3),"",IF(INDEX(原始資料!AR$2:AR$501,$BJ427)="","",INDEX(原始資料!AR$2:AR$501,$BJ427)))</f>
        <v/>
      </c>
      <c r="AQ427" s="6">
        <f>IF(OR($BJ427="",42&gt;設定!$B$3),"",IF(INDEX(原始資料!AS$2:AS$501,$BJ427)="","",INDEX(原始資料!AS$2:AS$501,$BJ427)))</f>
        <v/>
      </c>
      <c r="AR427" s="6">
        <f>IF(OR($BJ427="",43&gt;設定!$B$3),"",IF(INDEX(原始資料!AT$2:AT$501,$BJ427)="","",INDEX(原始資料!AT$2:AT$501,$BJ427)))</f>
        <v/>
      </c>
      <c r="AS427" s="6">
        <f>IF(OR($BJ427="",44&gt;設定!$B$3),"",IF(INDEX(原始資料!AU$2:AU$501,$BJ427)="","",INDEX(原始資料!AU$2:AU$501,$BJ427)))</f>
        <v/>
      </c>
      <c r="AT427" s="6">
        <f>IF(OR($BJ427="",45&gt;設定!$B$3),"",IF(INDEX(原始資料!AV$2:AV$501,$BJ427)="","",INDEX(原始資料!AV$2:AV$501,$BJ427)))</f>
        <v/>
      </c>
      <c r="AU427" s="6">
        <f>IF(OR($BJ427="",46&gt;設定!$B$3),"",IF(INDEX(原始資料!AW$2:AW$501,$BJ427)="","",INDEX(原始資料!AW$2:AW$501,$BJ427)))</f>
        <v/>
      </c>
      <c r="AV427" s="6">
        <f>IF(OR($BJ427="",47&gt;設定!$B$3),"",IF(INDEX(原始資料!AX$2:AX$501,$BJ427)="","",INDEX(原始資料!AX$2:AX$501,$BJ427)))</f>
        <v/>
      </c>
      <c r="AW427" s="6">
        <f>IF(OR($BJ427="",48&gt;設定!$B$3),"",IF(INDEX(原始資料!AY$2:AY$501,$BJ427)="","",INDEX(原始資料!AY$2:AY$501,$BJ427)))</f>
        <v/>
      </c>
      <c r="AX427" s="6">
        <f>IF(OR($BJ427="",49&gt;設定!$B$3),"",IF(INDEX(原始資料!AZ$2:AZ$501,$BJ427)="","",INDEX(原始資料!AZ$2:AZ$501,$BJ427)))</f>
        <v/>
      </c>
      <c r="AY427" s="6">
        <f>IF(OR($BJ427="",50&gt;設定!$B$3),"",IF(INDEX(原始資料!BA$2:BA$501,$BJ427)="","",INDEX(原始資料!BA$2:BA$501,$BJ427)))</f>
        <v/>
      </c>
      <c r="AZ427" s="6">
        <f>IF(OR($BJ427="",51&gt;設定!$B$3),"",IF(INDEX(原始資料!BB$2:BB$501,$BJ427)="","",INDEX(原始資料!BB$2:BB$501,$BJ427)))</f>
        <v/>
      </c>
      <c r="BA427" s="6">
        <f>IF(OR($BJ427="",52&gt;設定!$B$3),"",IF(INDEX(原始資料!BC$2:BC$501,$BJ427)="","",INDEX(原始資料!BC$2:BC$501,$BJ427)))</f>
        <v/>
      </c>
      <c r="BB427" s="6">
        <f>IF(OR($BJ427="",53&gt;設定!$B$3),"",IF(INDEX(原始資料!BD$2:BD$501,$BJ427)="","",INDEX(原始資料!BD$2:BD$501,$BJ427)))</f>
        <v/>
      </c>
      <c r="BC427" s="6">
        <f>IF(OR($BJ427="",54&gt;設定!$B$3),"",IF(INDEX(原始資料!BE$2:BE$501,$BJ427)="","",INDEX(原始資料!BE$2:BE$501,$BJ427)))</f>
        <v/>
      </c>
      <c r="BD427" s="6">
        <f>IF(OR($BJ427="",55&gt;設定!$B$3),"",IF(INDEX(原始資料!BF$2:BF$501,$BJ427)="","",INDEX(原始資料!BF$2:BF$501,$BJ427)))</f>
        <v/>
      </c>
      <c r="BE427" s="6">
        <f>IF(OR($BJ427="",56&gt;設定!$B$3),"",IF(INDEX(原始資料!BG$2:BG$501,$BJ427)="","",INDEX(原始資料!BG$2:BG$501,$BJ427)))</f>
        <v/>
      </c>
      <c r="BF427" s="6">
        <f>IF(OR($BJ427="",57&gt;設定!$B$3),"",IF(INDEX(原始資料!BH$2:BH$501,$BJ427)="","",INDEX(原始資料!BH$2:BH$501,$BJ427)))</f>
        <v/>
      </c>
      <c r="BG427" s="6">
        <f>IF(OR($BJ427="",58&gt;設定!$B$3),"",IF(INDEX(原始資料!BI$2:BI$501,$BJ427)="","",INDEX(原始資料!BI$2:BI$501,$BJ427)))</f>
        <v/>
      </c>
      <c r="BH427" s="6">
        <f>IF(OR($BJ427="",59&gt;設定!$B$3),"",IF(INDEX(原始資料!BJ$2:BJ$501,$BJ427)="","",INDEX(原始資料!BJ$2:BJ$501,$BJ427)))</f>
        <v/>
      </c>
      <c r="BI427" s="6">
        <f>IF(OR($BJ427="",60&gt;設定!$B$3),"",IF(INDEX(原始資料!BK$2:BK$501,$BJ427)="","",INDEX(原始資料!BK$2:BK$501,$BJ427)))</f>
        <v/>
      </c>
      <c r="BJ427" s="6">
        <f>IFERROR(MATCH(ROW()-1,判定!$H$2:$H$501,0),"")</f>
        <v/>
      </c>
    </row>
    <row r="428">
      <c r="A428" s="6">
        <f>IF($BJ428="","",INDEX(原始資料!$A$2:$A$501,$BJ428))</f>
        <v/>
      </c>
      <c r="B428" s="6">
        <f>IF(OR($BJ428="",1&gt;設定!$B$3),"",IF(INDEX(原始資料!D$2:D$501,$BJ428)="","",INDEX(原始資料!D$2:D$501,$BJ428)))</f>
        <v/>
      </c>
      <c r="C428" s="6">
        <f>IF(OR($BJ428="",2&gt;設定!$B$3),"",IF(INDEX(原始資料!E$2:E$501,$BJ428)="","",INDEX(原始資料!E$2:E$501,$BJ428)))</f>
        <v/>
      </c>
      <c r="D428" s="6">
        <f>IF(OR($BJ428="",3&gt;設定!$B$3),"",IF(INDEX(原始資料!F$2:F$501,$BJ428)="","",INDEX(原始資料!F$2:F$501,$BJ428)))</f>
        <v/>
      </c>
      <c r="E428" s="6">
        <f>IF(OR($BJ428="",4&gt;設定!$B$3),"",IF(INDEX(原始資料!G$2:G$501,$BJ428)="","",INDEX(原始資料!G$2:G$501,$BJ428)))</f>
        <v/>
      </c>
      <c r="F428" s="6">
        <f>IF(OR($BJ428="",5&gt;設定!$B$3),"",IF(INDEX(原始資料!H$2:H$501,$BJ428)="","",INDEX(原始資料!H$2:H$501,$BJ428)))</f>
        <v/>
      </c>
      <c r="G428" s="6">
        <f>IF(OR($BJ428="",6&gt;設定!$B$3),"",IF(INDEX(原始資料!I$2:I$501,$BJ428)="","",INDEX(原始資料!I$2:I$501,$BJ428)))</f>
        <v/>
      </c>
      <c r="H428" s="6">
        <f>IF(OR($BJ428="",7&gt;設定!$B$3),"",IF(INDEX(原始資料!J$2:J$501,$BJ428)="","",INDEX(原始資料!J$2:J$501,$BJ428)))</f>
        <v/>
      </c>
      <c r="I428" s="6">
        <f>IF(OR($BJ428="",8&gt;設定!$B$3),"",IF(INDEX(原始資料!K$2:K$501,$BJ428)="","",INDEX(原始資料!K$2:K$501,$BJ428)))</f>
        <v/>
      </c>
      <c r="J428" s="6">
        <f>IF(OR($BJ428="",9&gt;設定!$B$3),"",IF(INDEX(原始資料!L$2:L$501,$BJ428)="","",INDEX(原始資料!L$2:L$501,$BJ428)))</f>
        <v/>
      </c>
      <c r="K428" s="6">
        <f>IF(OR($BJ428="",10&gt;設定!$B$3),"",IF(INDEX(原始資料!M$2:M$501,$BJ428)="","",INDEX(原始資料!M$2:M$501,$BJ428)))</f>
        <v/>
      </c>
      <c r="L428" s="6">
        <f>IF(OR($BJ428="",11&gt;設定!$B$3),"",IF(INDEX(原始資料!N$2:N$501,$BJ428)="","",INDEX(原始資料!N$2:N$501,$BJ428)))</f>
        <v/>
      </c>
      <c r="M428" s="6">
        <f>IF(OR($BJ428="",12&gt;設定!$B$3),"",IF(INDEX(原始資料!O$2:O$501,$BJ428)="","",INDEX(原始資料!O$2:O$501,$BJ428)))</f>
        <v/>
      </c>
      <c r="N428" s="6">
        <f>IF(OR($BJ428="",13&gt;設定!$B$3),"",IF(INDEX(原始資料!P$2:P$501,$BJ428)="","",INDEX(原始資料!P$2:P$501,$BJ428)))</f>
        <v/>
      </c>
      <c r="O428" s="6">
        <f>IF(OR($BJ428="",14&gt;設定!$B$3),"",IF(INDEX(原始資料!Q$2:Q$501,$BJ428)="","",INDEX(原始資料!Q$2:Q$501,$BJ428)))</f>
        <v/>
      </c>
      <c r="P428" s="6">
        <f>IF(OR($BJ428="",15&gt;設定!$B$3),"",IF(INDEX(原始資料!R$2:R$501,$BJ428)="","",INDEX(原始資料!R$2:R$501,$BJ428)))</f>
        <v/>
      </c>
      <c r="Q428" s="6">
        <f>IF(OR($BJ428="",16&gt;設定!$B$3),"",IF(INDEX(原始資料!S$2:S$501,$BJ428)="","",INDEX(原始資料!S$2:S$501,$BJ428)))</f>
        <v/>
      </c>
      <c r="R428" s="6">
        <f>IF(OR($BJ428="",17&gt;設定!$B$3),"",IF(INDEX(原始資料!T$2:T$501,$BJ428)="","",INDEX(原始資料!T$2:T$501,$BJ428)))</f>
        <v/>
      </c>
      <c r="S428" s="6">
        <f>IF(OR($BJ428="",18&gt;設定!$B$3),"",IF(INDEX(原始資料!U$2:U$501,$BJ428)="","",INDEX(原始資料!U$2:U$501,$BJ428)))</f>
        <v/>
      </c>
      <c r="T428" s="6">
        <f>IF(OR($BJ428="",19&gt;設定!$B$3),"",IF(INDEX(原始資料!V$2:V$501,$BJ428)="","",INDEX(原始資料!V$2:V$501,$BJ428)))</f>
        <v/>
      </c>
      <c r="U428" s="6">
        <f>IF(OR($BJ428="",20&gt;設定!$B$3),"",IF(INDEX(原始資料!W$2:W$501,$BJ428)="","",INDEX(原始資料!W$2:W$501,$BJ428)))</f>
        <v/>
      </c>
      <c r="V428" s="6">
        <f>IF(OR($BJ428="",21&gt;設定!$B$3),"",IF(INDEX(原始資料!X$2:X$501,$BJ428)="","",INDEX(原始資料!X$2:X$501,$BJ428)))</f>
        <v/>
      </c>
      <c r="W428" s="6">
        <f>IF(OR($BJ428="",22&gt;設定!$B$3),"",IF(INDEX(原始資料!Y$2:Y$501,$BJ428)="","",INDEX(原始資料!Y$2:Y$501,$BJ428)))</f>
        <v/>
      </c>
      <c r="X428" s="6">
        <f>IF(OR($BJ428="",23&gt;設定!$B$3),"",IF(INDEX(原始資料!Z$2:Z$501,$BJ428)="","",INDEX(原始資料!Z$2:Z$501,$BJ428)))</f>
        <v/>
      </c>
      <c r="Y428" s="6">
        <f>IF(OR($BJ428="",24&gt;設定!$B$3),"",IF(INDEX(原始資料!AA$2:AA$501,$BJ428)="","",INDEX(原始資料!AA$2:AA$501,$BJ428)))</f>
        <v/>
      </c>
      <c r="Z428" s="6">
        <f>IF(OR($BJ428="",25&gt;設定!$B$3),"",IF(INDEX(原始資料!AB$2:AB$501,$BJ428)="","",INDEX(原始資料!AB$2:AB$501,$BJ428)))</f>
        <v/>
      </c>
      <c r="AA428" s="6">
        <f>IF(OR($BJ428="",26&gt;設定!$B$3),"",IF(INDEX(原始資料!AC$2:AC$501,$BJ428)="","",INDEX(原始資料!AC$2:AC$501,$BJ428)))</f>
        <v/>
      </c>
      <c r="AB428" s="6">
        <f>IF(OR($BJ428="",27&gt;設定!$B$3),"",IF(INDEX(原始資料!AD$2:AD$501,$BJ428)="","",INDEX(原始資料!AD$2:AD$501,$BJ428)))</f>
        <v/>
      </c>
      <c r="AC428" s="6">
        <f>IF(OR($BJ428="",28&gt;設定!$B$3),"",IF(INDEX(原始資料!AE$2:AE$501,$BJ428)="","",INDEX(原始資料!AE$2:AE$501,$BJ428)))</f>
        <v/>
      </c>
      <c r="AD428" s="6">
        <f>IF(OR($BJ428="",29&gt;設定!$B$3),"",IF(INDEX(原始資料!AF$2:AF$501,$BJ428)="","",INDEX(原始資料!AF$2:AF$501,$BJ428)))</f>
        <v/>
      </c>
      <c r="AE428" s="6">
        <f>IF(OR($BJ428="",30&gt;設定!$B$3),"",IF(INDEX(原始資料!AG$2:AG$501,$BJ428)="","",INDEX(原始資料!AG$2:AG$501,$BJ428)))</f>
        <v/>
      </c>
      <c r="AF428" s="6">
        <f>IF(OR($BJ428="",31&gt;設定!$B$3),"",IF(INDEX(原始資料!AH$2:AH$501,$BJ428)="","",INDEX(原始資料!AH$2:AH$501,$BJ428)))</f>
        <v/>
      </c>
      <c r="AG428" s="6">
        <f>IF(OR($BJ428="",32&gt;設定!$B$3),"",IF(INDEX(原始資料!AI$2:AI$501,$BJ428)="","",INDEX(原始資料!AI$2:AI$501,$BJ428)))</f>
        <v/>
      </c>
      <c r="AH428" s="6">
        <f>IF(OR($BJ428="",33&gt;設定!$B$3),"",IF(INDEX(原始資料!AJ$2:AJ$501,$BJ428)="","",INDEX(原始資料!AJ$2:AJ$501,$BJ428)))</f>
        <v/>
      </c>
      <c r="AI428" s="6">
        <f>IF(OR($BJ428="",34&gt;設定!$B$3),"",IF(INDEX(原始資料!AK$2:AK$501,$BJ428)="","",INDEX(原始資料!AK$2:AK$501,$BJ428)))</f>
        <v/>
      </c>
      <c r="AJ428" s="6">
        <f>IF(OR($BJ428="",35&gt;設定!$B$3),"",IF(INDEX(原始資料!AL$2:AL$501,$BJ428)="","",INDEX(原始資料!AL$2:AL$501,$BJ428)))</f>
        <v/>
      </c>
      <c r="AK428" s="6">
        <f>IF(OR($BJ428="",36&gt;設定!$B$3),"",IF(INDEX(原始資料!AM$2:AM$501,$BJ428)="","",INDEX(原始資料!AM$2:AM$501,$BJ428)))</f>
        <v/>
      </c>
      <c r="AL428" s="6">
        <f>IF(OR($BJ428="",37&gt;設定!$B$3),"",IF(INDEX(原始資料!AN$2:AN$501,$BJ428)="","",INDEX(原始資料!AN$2:AN$501,$BJ428)))</f>
        <v/>
      </c>
      <c r="AM428" s="6">
        <f>IF(OR($BJ428="",38&gt;設定!$B$3),"",IF(INDEX(原始資料!AO$2:AO$501,$BJ428)="","",INDEX(原始資料!AO$2:AO$501,$BJ428)))</f>
        <v/>
      </c>
      <c r="AN428" s="6">
        <f>IF(OR($BJ428="",39&gt;設定!$B$3),"",IF(INDEX(原始資料!AP$2:AP$501,$BJ428)="","",INDEX(原始資料!AP$2:AP$501,$BJ428)))</f>
        <v/>
      </c>
      <c r="AO428" s="6">
        <f>IF(OR($BJ428="",40&gt;設定!$B$3),"",IF(INDEX(原始資料!AQ$2:AQ$501,$BJ428)="","",INDEX(原始資料!AQ$2:AQ$501,$BJ428)))</f>
        <v/>
      </c>
      <c r="AP428" s="6">
        <f>IF(OR($BJ428="",41&gt;設定!$B$3),"",IF(INDEX(原始資料!AR$2:AR$501,$BJ428)="","",INDEX(原始資料!AR$2:AR$501,$BJ428)))</f>
        <v/>
      </c>
      <c r="AQ428" s="6">
        <f>IF(OR($BJ428="",42&gt;設定!$B$3),"",IF(INDEX(原始資料!AS$2:AS$501,$BJ428)="","",INDEX(原始資料!AS$2:AS$501,$BJ428)))</f>
        <v/>
      </c>
      <c r="AR428" s="6">
        <f>IF(OR($BJ428="",43&gt;設定!$B$3),"",IF(INDEX(原始資料!AT$2:AT$501,$BJ428)="","",INDEX(原始資料!AT$2:AT$501,$BJ428)))</f>
        <v/>
      </c>
      <c r="AS428" s="6">
        <f>IF(OR($BJ428="",44&gt;設定!$B$3),"",IF(INDEX(原始資料!AU$2:AU$501,$BJ428)="","",INDEX(原始資料!AU$2:AU$501,$BJ428)))</f>
        <v/>
      </c>
      <c r="AT428" s="6">
        <f>IF(OR($BJ428="",45&gt;設定!$B$3),"",IF(INDEX(原始資料!AV$2:AV$501,$BJ428)="","",INDEX(原始資料!AV$2:AV$501,$BJ428)))</f>
        <v/>
      </c>
      <c r="AU428" s="6">
        <f>IF(OR($BJ428="",46&gt;設定!$B$3),"",IF(INDEX(原始資料!AW$2:AW$501,$BJ428)="","",INDEX(原始資料!AW$2:AW$501,$BJ428)))</f>
        <v/>
      </c>
      <c r="AV428" s="6">
        <f>IF(OR($BJ428="",47&gt;設定!$B$3),"",IF(INDEX(原始資料!AX$2:AX$501,$BJ428)="","",INDEX(原始資料!AX$2:AX$501,$BJ428)))</f>
        <v/>
      </c>
      <c r="AW428" s="6">
        <f>IF(OR($BJ428="",48&gt;設定!$B$3),"",IF(INDEX(原始資料!AY$2:AY$501,$BJ428)="","",INDEX(原始資料!AY$2:AY$501,$BJ428)))</f>
        <v/>
      </c>
      <c r="AX428" s="6">
        <f>IF(OR($BJ428="",49&gt;設定!$B$3),"",IF(INDEX(原始資料!AZ$2:AZ$501,$BJ428)="","",INDEX(原始資料!AZ$2:AZ$501,$BJ428)))</f>
        <v/>
      </c>
      <c r="AY428" s="6">
        <f>IF(OR($BJ428="",50&gt;設定!$B$3),"",IF(INDEX(原始資料!BA$2:BA$501,$BJ428)="","",INDEX(原始資料!BA$2:BA$501,$BJ428)))</f>
        <v/>
      </c>
      <c r="AZ428" s="6">
        <f>IF(OR($BJ428="",51&gt;設定!$B$3),"",IF(INDEX(原始資料!BB$2:BB$501,$BJ428)="","",INDEX(原始資料!BB$2:BB$501,$BJ428)))</f>
        <v/>
      </c>
      <c r="BA428" s="6">
        <f>IF(OR($BJ428="",52&gt;設定!$B$3),"",IF(INDEX(原始資料!BC$2:BC$501,$BJ428)="","",INDEX(原始資料!BC$2:BC$501,$BJ428)))</f>
        <v/>
      </c>
      <c r="BB428" s="6">
        <f>IF(OR($BJ428="",53&gt;設定!$B$3),"",IF(INDEX(原始資料!BD$2:BD$501,$BJ428)="","",INDEX(原始資料!BD$2:BD$501,$BJ428)))</f>
        <v/>
      </c>
      <c r="BC428" s="6">
        <f>IF(OR($BJ428="",54&gt;設定!$B$3),"",IF(INDEX(原始資料!BE$2:BE$501,$BJ428)="","",INDEX(原始資料!BE$2:BE$501,$BJ428)))</f>
        <v/>
      </c>
      <c r="BD428" s="6">
        <f>IF(OR($BJ428="",55&gt;設定!$B$3),"",IF(INDEX(原始資料!BF$2:BF$501,$BJ428)="","",INDEX(原始資料!BF$2:BF$501,$BJ428)))</f>
        <v/>
      </c>
      <c r="BE428" s="6">
        <f>IF(OR($BJ428="",56&gt;設定!$B$3),"",IF(INDEX(原始資料!BG$2:BG$501,$BJ428)="","",INDEX(原始資料!BG$2:BG$501,$BJ428)))</f>
        <v/>
      </c>
      <c r="BF428" s="6">
        <f>IF(OR($BJ428="",57&gt;設定!$B$3),"",IF(INDEX(原始資料!BH$2:BH$501,$BJ428)="","",INDEX(原始資料!BH$2:BH$501,$BJ428)))</f>
        <v/>
      </c>
      <c r="BG428" s="6">
        <f>IF(OR($BJ428="",58&gt;設定!$B$3),"",IF(INDEX(原始資料!BI$2:BI$501,$BJ428)="","",INDEX(原始資料!BI$2:BI$501,$BJ428)))</f>
        <v/>
      </c>
      <c r="BH428" s="6">
        <f>IF(OR($BJ428="",59&gt;設定!$B$3),"",IF(INDEX(原始資料!BJ$2:BJ$501,$BJ428)="","",INDEX(原始資料!BJ$2:BJ$501,$BJ428)))</f>
        <v/>
      </c>
      <c r="BI428" s="6">
        <f>IF(OR($BJ428="",60&gt;設定!$B$3),"",IF(INDEX(原始資料!BK$2:BK$501,$BJ428)="","",INDEX(原始資料!BK$2:BK$501,$BJ428)))</f>
        <v/>
      </c>
      <c r="BJ428" s="6">
        <f>IFERROR(MATCH(ROW()-1,判定!$H$2:$H$501,0),"")</f>
        <v/>
      </c>
    </row>
    <row r="429">
      <c r="A429" s="6">
        <f>IF($BJ429="","",INDEX(原始資料!$A$2:$A$501,$BJ429))</f>
        <v/>
      </c>
      <c r="B429" s="6">
        <f>IF(OR($BJ429="",1&gt;設定!$B$3),"",IF(INDEX(原始資料!D$2:D$501,$BJ429)="","",INDEX(原始資料!D$2:D$501,$BJ429)))</f>
        <v/>
      </c>
      <c r="C429" s="6">
        <f>IF(OR($BJ429="",2&gt;設定!$B$3),"",IF(INDEX(原始資料!E$2:E$501,$BJ429)="","",INDEX(原始資料!E$2:E$501,$BJ429)))</f>
        <v/>
      </c>
      <c r="D429" s="6">
        <f>IF(OR($BJ429="",3&gt;設定!$B$3),"",IF(INDEX(原始資料!F$2:F$501,$BJ429)="","",INDEX(原始資料!F$2:F$501,$BJ429)))</f>
        <v/>
      </c>
      <c r="E429" s="6">
        <f>IF(OR($BJ429="",4&gt;設定!$B$3),"",IF(INDEX(原始資料!G$2:G$501,$BJ429)="","",INDEX(原始資料!G$2:G$501,$BJ429)))</f>
        <v/>
      </c>
      <c r="F429" s="6">
        <f>IF(OR($BJ429="",5&gt;設定!$B$3),"",IF(INDEX(原始資料!H$2:H$501,$BJ429)="","",INDEX(原始資料!H$2:H$501,$BJ429)))</f>
        <v/>
      </c>
      <c r="G429" s="6">
        <f>IF(OR($BJ429="",6&gt;設定!$B$3),"",IF(INDEX(原始資料!I$2:I$501,$BJ429)="","",INDEX(原始資料!I$2:I$501,$BJ429)))</f>
        <v/>
      </c>
      <c r="H429" s="6">
        <f>IF(OR($BJ429="",7&gt;設定!$B$3),"",IF(INDEX(原始資料!J$2:J$501,$BJ429)="","",INDEX(原始資料!J$2:J$501,$BJ429)))</f>
        <v/>
      </c>
      <c r="I429" s="6">
        <f>IF(OR($BJ429="",8&gt;設定!$B$3),"",IF(INDEX(原始資料!K$2:K$501,$BJ429)="","",INDEX(原始資料!K$2:K$501,$BJ429)))</f>
        <v/>
      </c>
      <c r="J429" s="6">
        <f>IF(OR($BJ429="",9&gt;設定!$B$3),"",IF(INDEX(原始資料!L$2:L$501,$BJ429)="","",INDEX(原始資料!L$2:L$501,$BJ429)))</f>
        <v/>
      </c>
      <c r="K429" s="6">
        <f>IF(OR($BJ429="",10&gt;設定!$B$3),"",IF(INDEX(原始資料!M$2:M$501,$BJ429)="","",INDEX(原始資料!M$2:M$501,$BJ429)))</f>
        <v/>
      </c>
      <c r="L429" s="6">
        <f>IF(OR($BJ429="",11&gt;設定!$B$3),"",IF(INDEX(原始資料!N$2:N$501,$BJ429)="","",INDEX(原始資料!N$2:N$501,$BJ429)))</f>
        <v/>
      </c>
      <c r="M429" s="6">
        <f>IF(OR($BJ429="",12&gt;設定!$B$3),"",IF(INDEX(原始資料!O$2:O$501,$BJ429)="","",INDEX(原始資料!O$2:O$501,$BJ429)))</f>
        <v/>
      </c>
      <c r="N429" s="6">
        <f>IF(OR($BJ429="",13&gt;設定!$B$3),"",IF(INDEX(原始資料!P$2:P$501,$BJ429)="","",INDEX(原始資料!P$2:P$501,$BJ429)))</f>
        <v/>
      </c>
      <c r="O429" s="6">
        <f>IF(OR($BJ429="",14&gt;設定!$B$3),"",IF(INDEX(原始資料!Q$2:Q$501,$BJ429)="","",INDEX(原始資料!Q$2:Q$501,$BJ429)))</f>
        <v/>
      </c>
      <c r="P429" s="6">
        <f>IF(OR($BJ429="",15&gt;設定!$B$3),"",IF(INDEX(原始資料!R$2:R$501,$BJ429)="","",INDEX(原始資料!R$2:R$501,$BJ429)))</f>
        <v/>
      </c>
      <c r="Q429" s="6">
        <f>IF(OR($BJ429="",16&gt;設定!$B$3),"",IF(INDEX(原始資料!S$2:S$501,$BJ429)="","",INDEX(原始資料!S$2:S$501,$BJ429)))</f>
        <v/>
      </c>
      <c r="R429" s="6">
        <f>IF(OR($BJ429="",17&gt;設定!$B$3),"",IF(INDEX(原始資料!T$2:T$501,$BJ429)="","",INDEX(原始資料!T$2:T$501,$BJ429)))</f>
        <v/>
      </c>
      <c r="S429" s="6">
        <f>IF(OR($BJ429="",18&gt;設定!$B$3),"",IF(INDEX(原始資料!U$2:U$501,$BJ429)="","",INDEX(原始資料!U$2:U$501,$BJ429)))</f>
        <v/>
      </c>
      <c r="T429" s="6">
        <f>IF(OR($BJ429="",19&gt;設定!$B$3),"",IF(INDEX(原始資料!V$2:V$501,$BJ429)="","",INDEX(原始資料!V$2:V$501,$BJ429)))</f>
        <v/>
      </c>
      <c r="U429" s="6">
        <f>IF(OR($BJ429="",20&gt;設定!$B$3),"",IF(INDEX(原始資料!W$2:W$501,$BJ429)="","",INDEX(原始資料!W$2:W$501,$BJ429)))</f>
        <v/>
      </c>
      <c r="V429" s="6">
        <f>IF(OR($BJ429="",21&gt;設定!$B$3),"",IF(INDEX(原始資料!X$2:X$501,$BJ429)="","",INDEX(原始資料!X$2:X$501,$BJ429)))</f>
        <v/>
      </c>
      <c r="W429" s="6">
        <f>IF(OR($BJ429="",22&gt;設定!$B$3),"",IF(INDEX(原始資料!Y$2:Y$501,$BJ429)="","",INDEX(原始資料!Y$2:Y$501,$BJ429)))</f>
        <v/>
      </c>
      <c r="X429" s="6">
        <f>IF(OR($BJ429="",23&gt;設定!$B$3),"",IF(INDEX(原始資料!Z$2:Z$501,$BJ429)="","",INDEX(原始資料!Z$2:Z$501,$BJ429)))</f>
        <v/>
      </c>
      <c r="Y429" s="6">
        <f>IF(OR($BJ429="",24&gt;設定!$B$3),"",IF(INDEX(原始資料!AA$2:AA$501,$BJ429)="","",INDEX(原始資料!AA$2:AA$501,$BJ429)))</f>
        <v/>
      </c>
      <c r="Z429" s="6">
        <f>IF(OR($BJ429="",25&gt;設定!$B$3),"",IF(INDEX(原始資料!AB$2:AB$501,$BJ429)="","",INDEX(原始資料!AB$2:AB$501,$BJ429)))</f>
        <v/>
      </c>
      <c r="AA429" s="6">
        <f>IF(OR($BJ429="",26&gt;設定!$B$3),"",IF(INDEX(原始資料!AC$2:AC$501,$BJ429)="","",INDEX(原始資料!AC$2:AC$501,$BJ429)))</f>
        <v/>
      </c>
      <c r="AB429" s="6">
        <f>IF(OR($BJ429="",27&gt;設定!$B$3),"",IF(INDEX(原始資料!AD$2:AD$501,$BJ429)="","",INDEX(原始資料!AD$2:AD$501,$BJ429)))</f>
        <v/>
      </c>
      <c r="AC429" s="6">
        <f>IF(OR($BJ429="",28&gt;設定!$B$3),"",IF(INDEX(原始資料!AE$2:AE$501,$BJ429)="","",INDEX(原始資料!AE$2:AE$501,$BJ429)))</f>
        <v/>
      </c>
      <c r="AD429" s="6">
        <f>IF(OR($BJ429="",29&gt;設定!$B$3),"",IF(INDEX(原始資料!AF$2:AF$501,$BJ429)="","",INDEX(原始資料!AF$2:AF$501,$BJ429)))</f>
        <v/>
      </c>
      <c r="AE429" s="6">
        <f>IF(OR($BJ429="",30&gt;設定!$B$3),"",IF(INDEX(原始資料!AG$2:AG$501,$BJ429)="","",INDEX(原始資料!AG$2:AG$501,$BJ429)))</f>
        <v/>
      </c>
      <c r="AF429" s="6">
        <f>IF(OR($BJ429="",31&gt;設定!$B$3),"",IF(INDEX(原始資料!AH$2:AH$501,$BJ429)="","",INDEX(原始資料!AH$2:AH$501,$BJ429)))</f>
        <v/>
      </c>
      <c r="AG429" s="6">
        <f>IF(OR($BJ429="",32&gt;設定!$B$3),"",IF(INDEX(原始資料!AI$2:AI$501,$BJ429)="","",INDEX(原始資料!AI$2:AI$501,$BJ429)))</f>
        <v/>
      </c>
      <c r="AH429" s="6">
        <f>IF(OR($BJ429="",33&gt;設定!$B$3),"",IF(INDEX(原始資料!AJ$2:AJ$501,$BJ429)="","",INDEX(原始資料!AJ$2:AJ$501,$BJ429)))</f>
        <v/>
      </c>
      <c r="AI429" s="6">
        <f>IF(OR($BJ429="",34&gt;設定!$B$3),"",IF(INDEX(原始資料!AK$2:AK$501,$BJ429)="","",INDEX(原始資料!AK$2:AK$501,$BJ429)))</f>
        <v/>
      </c>
      <c r="AJ429" s="6">
        <f>IF(OR($BJ429="",35&gt;設定!$B$3),"",IF(INDEX(原始資料!AL$2:AL$501,$BJ429)="","",INDEX(原始資料!AL$2:AL$501,$BJ429)))</f>
        <v/>
      </c>
      <c r="AK429" s="6">
        <f>IF(OR($BJ429="",36&gt;設定!$B$3),"",IF(INDEX(原始資料!AM$2:AM$501,$BJ429)="","",INDEX(原始資料!AM$2:AM$501,$BJ429)))</f>
        <v/>
      </c>
      <c r="AL429" s="6">
        <f>IF(OR($BJ429="",37&gt;設定!$B$3),"",IF(INDEX(原始資料!AN$2:AN$501,$BJ429)="","",INDEX(原始資料!AN$2:AN$501,$BJ429)))</f>
        <v/>
      </c>
      <c r="AM429" s="6">
        <f>IF(OR($BJ429="",38&gt;設定!$B$3),"",IF(INDEX(原始資料!AO$2:AO$501,$BJ429)="","",INDEX(原始資料!AO$2:AO$501,$BJ429)))</f>
        <v/>
      </c>
      <c r="AN429" s="6">
        <f>IF(OR($BJ429="",39&gt;設定!$B$3),"",IF(INDEX(原始資料!AP$2:AP$501,$BJ429)="","",INDEX(原始資料!AP$2:AP$501,$BJ429)))</f>
        <v/>
      </c>
      <c r="AO429" s="6">
        <f>IF(OR($BJ429="",40&gt;設定!$B$3),"",IF(INDEX(原始資料!AQ$2:AQ$501,$BJ429)="","",INDEX(原始資料!AQ$2:AQ$501,$BJ429)))</f>
        <v/>
      </c>
      <c r="AP429" s="6">
        <f>IF(OR($BJ429="",41&gt;設定!$B$3),"",IF(INDEX(原始資料!AR$2:AR$501,$BJ429)="","",INDEX(原始資料!AR$2:AR$501,$BJ429)))</f>
        <v/>
      </c>
      <c r="AQ429" s="6">
        <f>IF(OR($BJ429="",42&gt;設定!$B$3),"",IF(INDEX(原始資料!AS$2:AS$501,$BJ429)="","",INDEX(原始資料!AS$2:AS$501,$BJ429)))</f>
        <v/>
      </c>
      <c r="AR429" s="6">
        <f>IF(OR($BJ429="",43&gt;設定!$B$3),"",IF(INDEX(原始資料!AT$2:AT$501,$BJ429)="","",INDEX(原始資料!AT$2:AT$501,$BJ429)))</f>
        <v/>
      </c>
      <c r="AS429" s="6">
        <f>IF(OR($BJ429="",44&gt;設定!$B$3),"",IF(INDEX(原始資料!AU$2:AU$501,$BJ429)="","",INDEX(原始資料!AU$2:AU$501,$BJ429)))</f>
        <v/>
      </c>
      <c r="AT429" s="6">
        <f>IF(OR($BJ429="",45&gt;設定!$B$3),"",IF(INDEX(原始資料!AV$2:AV$501,$BJ429)="","",INDEX(原始資料!AV$2:AV$501,$BJ429)))</f>
        <v/>
      </c>
      <c r="AU429" s="6">
        <f>IF(OR($BJ429="",46&gt;設定!$B$3),"",IF(INDEX(原始資料!AW$2:AW$501,$BJ429)="","",INDEX(原始資料!AW$2:AW$501,$BJ429)))</f>
        <v/>
      </c>
      <c r="AV429" s="6">
        <f>IF(OR($BJ429="",47&gt;設定!$B$3),"",IF(INDEX(原始資料!AX$2:AX$501,$BJ429)="","",INDEX(原始資料!AX$2:AX$501,$BJ429)))</f>
        <v/>
      </c>
      <c r="AW429" s="6">
        <f>IF(OR($BJ429="",48&gt;設定!$B$3),"",IF(INDEX(原始資料!AY$2:AY$501,$BJ429)="","",INDEX(原始資料!AY$2:AY$501,$BJ429)))</f>
        <v/>
      </c>
      <c r="AX429" s="6">
        <f>IF(OR($BJ429="",49&gt;設定!$B$3),"",IF(INDEX(原始資料!AZ$2:AZ$501,$BJ429)="","",INDEX(原始資料!AZ$2:AZ$501,$BJ429)))</f>
        <v/>
      </c>
      <c r="AY429" s="6">
        <f>IF(OR($BJ429="",50&gt;設定!$B$3),"",IF(INDEX(原始資料!BA$2:BA$501,$BJ429)="","",INDEX(原始資料!BA$2:BA$501,$BJ429)))</f>
        <v/>
      </c>
      <c r="AZ429" s="6">
        <f>IF(OR($BJ429="",51&gt;設定!$B$3),"",IF(INDEX(原始資料!BB$2:BB$501,$BJ429)="","",INDEX(原始資料!BB$2:BB$501,$BJ429)))</f>
        <v/>
      </c>
      <c r="BA429" s="6">
        <f>IF(OR($BJ429="",52&gt;設定!$B$3),"",IF(INDEX(原始資料!BC$2:BC$501,$BJ429)="","",INDEX(原始資料!BC$2:BC$501,$BJ429)))</f>
        <v/>
      </c>
      <c r="BB429" s="6">
        <f>IF(OR($BJ429="",53&gt;設定!$B$3),"",IF(INDEX(原始資料!BD$2:BD$501,$BJ429)="","",INDEX(原始資料!BD$2:BD$501,$BJ429)))</f>
        <v/>
      </c>
      <c r="BC429" s="6">
        <f>IF(OR($BJ429="",54&gt;設定!$B$3),"",IF(INDEX(原始資料!BE$2:BE$501,$BJ429)="","",INDEX(原始資料!BE$2:BE$501,$BJ429)))</f>
        <v/>
      </c>
      <c r="BD429" s="6">
        <f>IF(OR($BJ429="",55&gt;設定!$B$3),"",IF(INDEX(原始資料!BF$2:BF$501,$BJ429)="","",INDEX(原始資料!BF$2:BF$501,$BJ429)))</f>
        <v/>
      </c>
      <c r="BE429" s="6">
        <f>IF(OR($BJ429="",56&gt;設定!$B$3),"",IF(INDEX(原始資料!BG$2:BG$501,$BJ429)="","",INDEX(原始資料!BG$2:BG$501,$BJ429)))</f>
        <v/>
      </c>
      <c r="BF429" s="6">
        <f>IF(OR($BJ429="",57&gt;設定!$B$3),"",IF(INDEX(原始資料!BH$2:BH$501,$BJ429)="","",INDEX(原始資料!BH$2:BH$501,$BJ429)))</f>
        <v/>
      </c>
      <c r="BG429" s="6">
        <f>IF(OR($BJ429="",58&gt;設定!$B$3),"",IF(INDEX(原始資料!BI$2:BI$501,$BJ429)="","",INDEX(原始資料!BI$2:BI$501,$BJ429)))</f>
        <v/>
      </c>
      <c r="BH429" s="6">
        <f>IF(OR($BJ429="",59&gt;設定!$B$3),"",IF(INDEX(原始資料!BJ$2:BJ$501,$BJ429)="","",INDEX(原始資料!BJ$2:BJ$501,$BJ429)))</f>
        <v/>
      </c>
      <c r="BI429" s="6">
        <f>IF(OR($BJ429="",60&gt;設定!$B$3),"",IF(INDEX(原始資料!BK$2:BK$501,$BJ429)="","",INDEX(原始資料!BK$2:BK$501,$BJ429)))</f>
        <v/>
      </c>
      <c r="BJ429" s="6">
        <f>IFERROR(MATCH(ROW()-1,判定!$H$2:$H$501,0),"")</f>
        <v/>
      </c>
    </row>
    <row r="430">
      <c r="A430" s="6">
        <f>IF($BJ430="","",INDEX(原始資料!$A$2:$A$501,$BJ430))</f>
        <v/>
      </c>
      <c r="B430" s="6">
        <f>IF(OR($BJ430="",1&gt;設定!$B$3),"",IF(INDEX(原始資料!D$2:D$501,$BJ430)="","",INDEX(原始資料!D$2:D$501,$BJ430)))</f>
        <v/>
      </c>
      <c r="C430" s="6">
        <f>IF(OR($BJ430="",2&gt;設定!$B$3),"",IF(INDEX(原始資料!E$2:E$501,$BJ430)="","",INDEX(原始資料!E$2:E$501,$BJ430)))</f>
        <v/>
      </c>
      <c r="D430" s="6">
        <f>IF(OR($BJ430="",3&gt;設定!$B$3),"",IF(INDEX(原始資料!F$2:F$501,$BJ430)="","",INDEX(原始資料!F$2:F$501,$BJ430)))</f>
        <v/>
      </c>
      <c r="E430" s="6">
        <f>IF(OR($BJ430="",4&gt;設定!$B$3),"",IF(INDEX(原始資料!G$2:G$501,$BJ430)="","",INDEX(原始資料!G$2:G$501,$BJ430)))</f>
        <v/>
      </c>
      <c r="F430" s="6">
        <f>IF(OR($BJ430="",5&gt;設定!$B$3),"",IF(INDEX(原始資料!H$2:H$501,$BJ430)="","",INDEX(原始資料!H$2:H$501,$BJ430)))</f>
        <v/>
      </c>
      <c r="G430" s="6">
        <f>IF(OR($BJ430="",6&gt;設定!$B$3),"",IF(INDEX(原始資料!I$2:I$501,$BJ430)="","",INDEX(原始資料!I$2:I$501,$BJ430)))</f>
        <v/>
      </c>
      <c r="H430" s="6">
        <f>IF(OR($BJ430="",7&gt;設定!$B$3),"",IF(INDEX(原始資料!J$2:J$501,$BJ430)="","",INDEX(原始資料!J$2:J$501,$BJ430)))</f>
        <v/>
      </c>
      <c r="I430" s="6">
        <f>IF(OR($BJ430="",8&gt;設定!$B$3),"",IF(INDEX(原始資料!K$2:K$501,$BJ430)="","",INDEX(原始資料!K$2:K$501,$BJ430)))</f>
        <v/>
      </c>
      <c r="J430" s="6">
        <f>IF(OR($BJ430="",9&gt;設定!$B$3),"",IF(INDEX(原始資料!L$2:L$501,$BJ430)="","",INDEX(原始資料!L$2:L$501,$BJ430)))</f>
        <v/>
      </c>
      <c r="K430" s="6">
        <f>IF(OR($BJ430="",10&gt;設定!$B$3),"",IF(INDEX(原始資料!M$2:M$501,$BJ430)="","",INDEX(原始資料!M$2:M$501,$BJ430)))</f>
        <v/>
      </c>
      <c r="L430" s="6">
        <f>IF(OR($BJ430="",11&gt;設定!$B$3),"",IF(INDEX(原始資料!N$2:N$501,$BJ430)="","",INDEX(原始資料!N$2:N$501,$BJ430)))</f>
        <v/>
      </c>
      <c r="M430" s="6">
        <f>IF(OR($BJ430="",12&gt;設定!$B$3),"",IF(INDEX(原始資料!O$2:O$501,$BJ430)="","",INDEX(原始資料!O$2:O$501,$BJ430)))</f>
        <v/>
      </c>
      <c r="N430" s="6">
        <f>IF(OR($BJ430="",13&gt;設定!$B$3),"",IF(INDEX(原始資料!P$2:P$501,$BJ430)="","",INDEX(原始資料!P$2:P$501,$BJ430)))</f>
        <v/>
      </c>
      <c r="O430" s="6">
        <f>IF(OR($BJ430="",14&gt;設定!$B$3),"",IF(INDEX(原始資料!Q$2:Q$501,$BJ430)="","",INDEX(原始資料!Q$2:Q$501,$BJ430)))</f>
        <v/>
      </c>
      <c r="P430" s="6">
        <f>IF(OR($BJ430="",15&gt;設定!$B$3),"",IF(INDEX(原始資料!R$2:R$501,$BJ430)="","",INDEX(原始資料!R$2:R$501,$BJ430)))</f>
        <v/>
      </c>
      <c r="Q430" s="6">
        <f>IF(OR($BJ430="",16&gt;設定!$B$3),"",IF(INDEX(原始資料!S$2:S$501,$BJ430)="","",INDEX(原始資料!S$2:S$501,$BJ430)))</f>
        <v/>
      </c>
      <c r="R430" s="6">
        <f>IF(OR($BJ430="",17&gt;設定!$B$3),"",IF(INDEX(原始資料!T$2:T$501,$BJ430)="","",INDEX(原始資料!T$2:T$501,$BJ430)))</f>
        <v/>
      </c>
      <c r="S430" s="6">
        <f>IF(OR($BJ430="",18&gt;設定!$B$3),"",IF(INDEX(原始資料!U$2:U$501,$BJ430)="","",INDEX(原始資料!U$2:U$501,$BJ430)))</f>
        <v/>
      </c>
      <c r="T430" s="6">
        <f>IF(OR($BJ430="",19&gt;設定!$B$3),"",IF(INDEX(原始資料!V$2:V$501,$BJ430)="","",INDEX(原始資料!V$2:V$501,$BJ430)))</f>
        <v/>
      </c>
      <c r="U430" s="6">
        <f>IF(OR($BJ430="",20&gt;設定!$B$3),"",IF(INDEX(原始資料!W$2:W$501,$BJ430)="","",INDEX(原始資料!W$2:W$501,$BJ430)))</f>
        <v/>
      </c>
      <c r="V430" s="6">
        <f>IF(OR($BJ430="",21&gt;設定!$B$3),"",IF(INDEX(原始資料!X$2:X$501,$BJ430)="","",INDEX(原始資料!X$2:X$501,$BJ430)))</f>
        <v/>
      </c>
      <c r="W430" s="6">
        <f>IF(OR($BJ430="",22&gt;設定!$B$3),"",IF(INDEX(原始資料!Y$2:Y$501,$BJ430)="","",INDEX(原始資料!Y$2:Y$501,$BJ430)))</f>
        <v/>
      </c>
      <c r="X430" s="6">
        <f>IF(OR($BJ430="",23&gt;設定!$B$3),"",IF(INDEX(原始資料!Z$2:Z$501,$BJ430)="","",INDEX(原始資料!Z$2:Z$501,$BJ430)))</f>
        <v/>
      </c>
      <c r="Y430" s="6">
        <f>IF(OR($BJ430="",24&gt;設定!$B$3),"",IF(INDEX(原始資料!AA$2:AA$501,$BJ430)="","",INDEX(原始資料!AA$2:AA$501,$BJ430)))</f>
        <v/>
      </c>
      <c r="Z430" s="6">
        <f>IF(OR($BJ430="",25&gt;設定!$B$3),"",IF(INDEX(原始資料!AB$2:AB$501,$BJ430)="","",INDEX(原始資料!AB$2:AB$501,$BJ430)))</f>
        <v/>
      </c>
      <c r="AA430" s="6">
        <f>IF(OR($BJ430="",26&gt;設定!$B$3),"",IF(INDEX(原始資料!AC$2:AC$501,$BJ430)="","",INDEX(原始資料!AC$2:AC$501,$BJ430)))</f>
        <v/>
      </c>
      <c r="AB430" s="6">
        <f>IF(OR($BJ430="",27&gt;設定!$B$3),"",IF(INDEX(原始資料!AD$2:AD$501,$BJ430)="","",INDEX(原始資料!AD$2:AD$501,$BJ430)))</f>
        <v/>
      </c>
      <c r="AC430" s="6">
        <f>IF(OR($BJ430="",28&gt;設定!$B$3),"",IF(INDEX(原始資料!AE$2:AE$501,$BJ430)="","",INDEX(原始資料!AE$2:AE$501,$BJ430)))</f>
        <v/>
      </c>
      <c r="AD430" s="6">
        <f>IF(OR($BJ430="",29&gt;設定!$B$3),"",IF(INDEX(原始資料!AF$2:AF$501,$BJ430)="","",INDEX(原始資料!AF$2:AF$501,$BJ430)))</f>
        <v/>
      </c>
      <c r="AE430" s="6">
        <f>IF(OR($BJ430="",30&gt;設定!$B$3),"",IF(INDEX(原始資料!AG$2:AG$501,$BJ430)="","",INDEX(原始資料!AG$2:AG$501,$BJ430)))</f>
        <v/>
      </c>
      <c r="AF430" s="6">
        <f>IF(OR($BJ430="",31&gt;設定!$B$3),"",IF(INDEX(原始資料!AH$2:AH$501,$BJ430)="","",INDEX(原始資料!AH$2:AH$501,$BJ430)))</f>
        <v/>
      </c>
      <c r="AG430" s="6">
        <f>IF(OR($BJ430="",32&gt;設定!$B$3),"",IF(INDEX(原始資料!AI$2:AI$501,$BJ430)="","",INDEX(原始資料!AI$2:AI$501,$BJ430)))</f>
        <v/>
      </c>
      <c r="AH430" s="6">
        <f>IF(OR($BJ430="",33&gt;設定!$B$3),"",IF(INDEX(原始資料!AJ$2:AJ$501,$BJ430)="","",INDEX(原始資料!AJ$2:AJ$501,$BJ430)))</f>
        <v/>
      </c>
      <c r="AI430" s="6">
        <f>IF(OR($BJ430="",34&gt;設定!$B$3),"",IF(INDEX(原始資料!AK$2:AK$501,$BJ430)="","",INDEX(原始資料!AK$2:AK$501,$BJ430)))</f>
        <v/>
      </c>
      <c r="AJ430" s="6">
        <f>IF(OR($BJ430="",35&gt;設定!$B$3),"",IF(INDEX(原始資料!AL$2:AL$501,$BJ430)="","",INDEX(原始資料!AL$2:AL$501,$BJ430)))</f>
        <v/>
      </c>
      <c r="AK430" s="6">
        <f>IF(OR($BJ430="",36&gt;設定!$B$3),"",IF(INDEX(原始資料!AM$2:AM$501,$BJ430)="","",INDEX(原始資料!AM$2:AM$501,$BJ430)))</f>
        <v/>
      </c>
      <c r="AL430" s="6">
        <f>IF(OR($BJ430="",37&gt;設定!$B$3),"",IF(INDEX(原始資料!AN$2:AN$501,$BJ430)="","",INDEX(原始資料!AN$2:AN$501,$BJ430)))</f>
        <v/>
      </c>
      <c r="AM430" s="6">
        <f>IF(OR($BJ430="",38&gt;設定!$B$3),"",IF(INDEX(原始資料!AO$2:AO$501,$BJ430)="","",INDEX(原始資料!AO$2:AO$501,$BJ430)))</f>
        <v/>
      </c>
      <c r="AN430" s="6">
        <f>IF(OR($BJ430="",39&gt;設定!$B$3),"",IF(INDEX(原始資料!AP$2:AP$501,$BJ430)="","",INDEX(原始資料!AP$2:AP$501,$BJ430)))</f>
        <v/>
      </c>
      <c r="AO430" s="6">
        <f>IF(OR($BJ430="",40&gt;設定!$B$3),"",IF(INDEX(原始資料!AQ$2:AQ$501,$BJ430)="","",INDEX(原始資料!AQ$2:AQ$501,$BJ430)))</f>
        <v/>
      </c>
      <c r="AP430" s="6">
        <f>IF(OR($BJ430="",41&gt;設定!$B$3),"",IF(INDEX(原始資料!AR$2:AR$501,$BJ430)="","",INDEX(原始資料!AR$2:AR$501,$BJ430)))</f>
        <v/>
      </c>
      <c r="AQ430" s="6">
        <f>IF(OR($BJ430="",42&gt;設定!$B$3),"",IF(INDEX(原始資料!AS$2:AS$501,$BJ430)="","",INDEX(原始資料!AS$2:AS$501,$BJ430)))</f>
        <v/>
      </c>
      <c r="AR430" s="6">
        <f>IF(OR($BJ430="",43&gt;設定!$B$3),"",IF(INDEX(原始資料!AT$2:AT$501,$BJ430)="","",INDEX(原始資料!AT$2:AT$501,$BJ430)))</f>
        <v/>
      </c>
      <c r="AS430" s="6">
        <f>IF(OR($BJ430="",44&gt;設定!$B$3),"",IF(INDEX(原始資料!AU$2:AU$501,$BJ430)="","",INDEX(原始資料!AU$2:AU$501,$BJ430)))</f>
        <v/>
      </c>
      <c r="AT430" s="6">
        <f>IF(OR($BJ430="",45&gt;設定!$B$3),"",IF(INDEX(原始資料!AV$2:AV$501,$BJ430)="","",INDEX(原始資料!AV$2:AV$501,$BJ430)))</f>
        <v/>
      </c>
      <c r="AU430" s="6">
        <f>IF(OR($BJ430="",46&gt;設定!$B$3),"",IF(INDEX(原始資料!AW$2:AW$501,$BJ430)="","",INDEX(原始資料!AW$2:AW$501,$BJ430)))</f>
        <v/>
      </c>
      <c r="AV430" s="6">
        <f>IF(OR($BJ430="",47&gt;設定!$B$3),"",IF(INDEX(原始資料!AX$2:AX$501,$BJ430)="","",INDEX(原始資料!AX$2:AX$501,$BJ430)))</f>
        <v/>
      </c>
      <c r="AW430" s="6">
        <f>IF(OR($BJ430="",48&gt;設定!$B$3),"",IF(INDEX(原始資料!AY$2:AY$501,$BJ430)="","",INDEX(原始資料!AY$2:AY$501,$BJ430)))</f>
        <v/>
      </c>
      <c r="AX430" s="6">
        <f>IF(OR($BJ430="",49&gt;設定!$B$3),"",IF(INDEX(原始資料!AZ$2:AZ$501,$BJ430)="","",INDEX(原始資料!AZ$2:AZ$501,$BJ430)))</f>
        <v/>
      </c>
      <c r="AY430" s="6">
        <f>IF(OR($BJ430="",50&gt;設定!$B$3),"",IF(INDEX(原始資料!BA$2:BA$501,$BJ430)="","",INDEX(原始資料!BA$2:BA$501,$BJ430)))</f>
        <v/>
      </c>
      <c r="AZ430" s="6">
        <f>IF(OR($BJ430="",51&gt;設定!$B$3),"",IF(INDEX(原始資料!BB$2:BB$501,$BJ430)="","",INDEX(原始資料!BB$2:BB$501,$BJ430)))</f>
        <v/>
      </c>
      <c r="BA430" s="6">
        <f>IF(OR($BJ430="",52&gt;設定!$B$3),"",IF(INDEX(原始資料!BC$2:BC$501,$BJ430)="","",INDEX(原始資料!BC$2:BC$501,$BJ430)))</f>
        <v/>
      </c>
      <c r="BB430" s="6">
        <f>IF(OR($BJ430="",53&gt;設定!$B$3),"",IF(INDEX(原始資料!BD$2:BD$501,$BJ430)="","",INDEX(原始資料!BD$2:BD$501,$BJ430)))</f>
        <v/>
      </c>
      <c r="BC430" s="6">
        <f>IF(OR($BJ430="",54&gt;設定!$B$3),"",IF(INDEX(原始資料!BE$2:BE$501,$BJ430)="","",INDEX(原始資料!BE$2:BE$501,$BJ430)))</f>
        <v/>
      </c>
      <c r="BD430" s="6">
        <f>IF(OR($BJ430="",55&gt;設定!$B$3),"",IF(INDEX(原始資料!BF$2:BF$501,$BJ430)="","",INDEX(原始資料!BF$2:BF$501,$BJ430)))</f>
        <v/>
      </c>
      <c r="BE430" s="6">
        <f>IF(OR($BJ430="",56&gt;設定!$B$3),"",IF(INDEX(原始資料!BG$2:BG$501,$BJ430)="","",INDEX(原始資料!BG$2:BG$501,$BJ430)))</f>
        <v/>
      </c>
      <c r="BF430" s="6">
        <f>IF(OR($BJ430="",57&gt;設定!$B$3),"",IF(INDEX(原始資料!BH$2:BH$501,$BJ430)="","",INDEX(原始資料!BH$2:BH$501,$BJ430)))</f>
        <v/>
      </c>
      <c r="BG430" s="6">
        <f>IF(OR($BJ430="",58&gt;設定!$B$3),"",IF(INDEX(原始資料!BI$2:BI$501,$BJ430)="","",INDEX(原始資料!BI$2:BI$501,$BJ430)))</f>
        <v/>
      </c>
      <c r="BH430" s="6">
        <f>IF(OR($BJ430="",59&gt;設定!$B$3),"",IF(INDEX(原始資料!BJ$2:BJ$501,$BJ430)="","",INDEX(原始資料!BJ$2:BJ$501,$BJ430)))</f>
        <v/>
      </c>
      <c r="BI430" s="6">
        <f>IF(OR($BJ430="",60&gt;設定!$B$3),"",IF(INDEX(原始資料!BK$2:BK$501,$BJ430)="","",INDEX(原始資料!BK$2:BK$501,$BJ430)))</f>
        <v/>
      </c>
      <c r="BJ430" s="6">
        <f>IFERROR(MATCH(ROW()-1,判定!$H$2:$H$501,0),"")</f>
        <v/>
      </c>
    </row>
    <row r="431">
      <c r="A431" s="6">
        <f>IF($BJ431="","",INDEX(原始資料!$A$2:$A$501,$BJ431))</f>
        <v/>
      </c>
      <c r="B431" s="6">
        <f>IF(OR($BJ431="",1&gt;設定!$B$3),"",IF(INDEX(原始資料!D$2:D$501,$BJ431)="","",INDEX(原始資料!D$2:D$501,$BJ431)))</f>
        <v/>
      </c>
      <c r="C431" s="6">
        <f>IF(OR($BJ431="",2&gt;設定!$B$3),"",IF(INDEX(原始資料!E$2:E$501,$BJ431)="","",INDEX(原始資料!E$2:E$501,$BJ431)))</f>
        <v/>
      </c>
      <c r="D431" s="6">
        <f>IF(OR($BJ431="",3&gt;設定!$B$3),"",IF(INDEX(原始資料!F$2:F$501,$BJ431)="","",INDEX(原始資料!F$2:F$501,$BJ431)))</f>
        <v/>
      </c>
      <c r="E431" s="6">
        <f>IF(OR($BJ431="",4&gt;設定!$B$3),"",IF(INDEX(原始資料!G$2:G$501,$BJ431)="","",INDEX(原始資料!G$2:G$501,$BJ431)))</f>
        <v/>
      </c>
      <c r="F431" s="6">
        <f>IF(OR($BJ431="",5&gt;設定!$B$3),"",IF(INDEX(原始資料!H$2:H$501,$BJ431)="","",INDEX(原始資料!H$2:H$501,$BJ431)))</f>
        <v/>
      </c>
      <c r="G431" s="6">
        <f>IF(OR($BJ431="",6&gt;設定!$B$3),"",IF(INDEX(原始資料!I$2:I$501,$BJ431)="","",INDEX(原始資料!I$2:I$501,$BJ431)))</f>
        <v/>
      </c>
      <c r="H431" s="6">
        <f>IF(OR($BJ431="",7&gt;設定!$B$3),"",IF(INDEX(原始資料!J$2:J$501,$BJ431)="","",INDEX(原始資料!J$2:J$501,$BJ431)))</f>
        <v/>
      </c>
      <c r="I431" s="6">
        <f>IF(OR($BJ431="",8&gt;設定!$B$3),"",IF(INDEX(原始資料!K$2:K$501,$BJ431)="","",INDEX(原始資料!K$2:K$501,$BJ431)))</f>
        <v/>
      </c>
      <c r="J431" s="6">
        <f>IF(OR($BJ431="",9&gt;設定!$B$3),"",IF(INDEX(原始資料!L$2:L$501,$BJ431)="","",INDEX(原始資料!L$2:L$501,$BJ431)))</f>
        <v/>
      </c>
      <c r="K431" s="6">
        <f>IF(OR($BJ431="",10&gt;設定!$B$3),"",IF(INDEX(原始資料!M$2:M$501,$BJ431)="","",INDEX(原始資料!M$2:M$501,$BJ431)))</f>
        <v/>
      </c>
      <c r="L431" s="6">
        <f>IF(OR($BJ431="",11&gt;設定!$B$3),"",IF(INDEX(原始資料!N$2:N$501,$BJ431)="","",INDEX(原始資料!N$2:N$501,$BJ431)))</f>
        <v/>
      </c>
      <c r="M431" s="6">
        <f>IF(OR($BJ431="",12&gt;設定!$B$3),"",IF(INDEX(原始資料!O$2:O$501,$BJ431)="","",INDEX(原始資料!O$2:O$501,$BJ431)))</f>
        <v/>
      </c>
      <c r="N431" s="6">
        <f>IF(OR($BJ431="",13&gt;設定!$B$3),"",IF(INDEX(原始資料!P$2:P$501,$BJ431)="","",INDEX(原始資料!P$2:P$501,$BJ431)))</f>
        <v/>
      </c>
      <c r="O431" s="6">
        <f>IF(OR($BJ431="",14&gt;設定!$B$3),"",IF(INDEX(原始資料!Q$2:Q$501,$BJ431)="","",INDEX(原始資料!Q$2:Q$501,$BJ431)))</f>
        <v/>
      </c>
      <c r="P431" s="6">
        <f>IF(OR($BJ431="",15&gt;設定!$B$3),"",IF(INDEX(原始資料!R$2:R$501,$BJ431)="","",INDEX(原始資料!R$2:R$501,$BJ431)))</f>
        <v/>
      </c>
      <c r="Q431" s="6">
        <f>IF(OR($BJ431="",16&gt;設定!$B$3),"",IF(INDEX(原始資料!S$2:S$501,$BJ431)="","",INDEX(原始資料!S$2:S$501,$BJ431)))</f>
        <v/>
      </c>
      <c r="R431" s="6">
        <f>IF(OR($BJ431="",17&gt;設定!$B$3),"",IF(INDEX(原始資料!T$2:T$501,$BJ431)="","",INDEX(原始資料!T$2:T$501,$BJ431)))</f>
        <v/>
      </c>
      <c r="S431" s="6">
        <f>IF(OR($BJ431="",18&gt;設定!$B$3),"",IF(INDEX(原始資料!U$2:U$501,$BJ431)="","",INDEX(原始資料!U$2:U$501,$BJ431)))</f>
        <v/>
      </c>
      <c r="T431" s="6">
        <f>IF(OR($BJ431="",19&gt;設定!$B$3),"",IF(INDEX(原始資料!V$2:V$501,$BJ431)="","",INDEX(原始資料!V$2:V$501,$BJ431)))</f>
        <v/>
      </c>
      <c r="U431" s="6">
        <f>IF(OR($BJ431="",20&gt;設定!$B$3),"",IF(INDEX(原始資料!W$2:W$501,$BJ431)="","",INDEX(原始資料!W$2:W$501,$BJ431)))</f>
        <v/>
      </c>
      <c r="V431" s="6">
        <f>IF(OR($BJ431="",21&gt;設定!$B$3),"",IF(INDEX(原始資料!X$2:X$501,$BJ431)="","",INDEX(原始資料!X$2:X$501,$BJ431)))</f>
        <v/>
      </c>
      <c r="W431" s="6">
        <f>IF(OR($BJ431="",22&gt;設定!$B$3),"",IF(INDEX(原始資料!Y$2:Y$501,$BJ431)="","",INDEX(原始資料!Y$2:Y$501,$BJ431)))</f>
        <v/>
      </c>
      <c r="X431" s="6">
        <f>IF(OR($BJ431="",23&gt;設定!$B$3),"",IF(INDEX(原始資料!Z$2:Z$501,$BJ431)="","",INDEX(原始資料!Z$2:Z$501,$BJ431)))</f>
        <v/>
      </c>
      <c r="Y431" s="6">
        <f>IF(OR($BJ431="",24&gt;設定!$B$3),"",IF(INDEX(原始資料!AA$2:AA$501,$BJ431)="","",INDEX(原始資料!AA$2:AA$501,$BJ431)))</f>
        <v/>
      </c>
      <c r="Z431" s="6">
        <f>IF(OR($BJ431="",25&gt;設定!$B$3),"",IF(INDEX(原始資料!AB$2:AB$501,$BJ431)="","",INDEX(原始資料!AB$2:AB$501,$BJ431)))</f>
        <v/>
      </c>
      <c r="AA431" s="6">
        <f>IF(OR($BJ431="",26&gt;設定!$B$3),"",IF(INDEX(原始資料!AC$2:AC$501,$BJ431)="","",INDEX(原始資料!AC$2:AC$501,$BJ431)))</f>
        <v/>
      </c>
      <c r="AB431" s="6">
        <f>IF(OR($BJ431="",27&gt;設定!$B$3),"",IF(INDEX(原始資料!AD$2:AD$501,$BJ431)="","",INDEX(原始資料!AD$2:AD$501,$BJ431)))</f>
        <v/>
      </c>
      <c r="AC431" s="6">
        <f>IF(OR($BJ431="",28&gt;設定!$B$3),"",IF(INDEX(原始資料!AE$2:AE$501,$BJ431)="","",INDEX(原始資料!AE$2:AE$501,$BJ431)))</f>
        <v/>
      </c>
      <c r="AD431" s="6">
        <f>IF(OR($BJ431="",29&gt;設定!$B$3),"",IF(INDEX(原始資料!AF$2:AF$501,$BJ431)="","",INDEX(原始資料!AF$2:AF$501,$BJ431)))</f>
        <v/>
      </c>
      <c r="AE431" s="6">
        <f>IF(OR($BJ431="",30&gt;設定!$B$3),"",IF(INDEX(原始資料!AG$2:AG$501,$BJ431)="","",INDEX(原始資料!AG$2:AG$501,$BJ431)))</f>
        <v/>
      </c>
      <c r="AF431" s="6">
        <f>IF(OR($BJ431="",31&gt;設定!$B$3),"",IF(INDEX(原始資料!AH$2:AH$501,$BJ431)="","",INDEX(原始資料!AH$2:AH$501,$BJ431)))</f>
        <v/>
      </c>
      <c r="AG431" s="6">
        <f>IF(OR($BJ431="",32&gt;設定!$B$3),"",IF(INDEX(原始資料!AI$2:AI$501,$BJ431)="","",INDEX(原始資料!AI$2:AI$501,$BJ431)))</f>
        <v/>
      </c>
      <c r="AH431" s="6">
        <f>IF(OR($BJ431="",33&gt;設定!$B$3),"",IF(INDEX(原始資料!AJ$2:AJ$501,$BJ431)="","",INDEX(原始資料!AJ$2:AJ$501,$BJ431)))</f>
        <v/>
      </c>
      <c r="AI431" s="6">
        <f>IF(OR($BJ431="",34&gt;設定!$B$3),"",IF(INDEX(原始資料!AK$2:AK$501,$BJ431)="","",INDEX(原始資料!AK$2:AK$501,$BJ431)))</f>
        <v/>
      </c>
      <c r="AJ431" s="6">
        <f>IF(OR($BJ431="",35&gt;設定!$B$3),"",IF(INDEX(原始資料!AL$2:AL$501,$BJ431)="","",INDEX(原始資料!AL$2:AL$501,$BJ431)))</f>
        <v/>
      </c>
      <c r="AK431" s="6">
        <f>IF(OR($BJ431="",36&gt;設定!$B$3),"",IF(INDEX(原始資料!AM$2:AM$501,$BJ431)="","",INDEX(原始資料!AM$2:AM$501,$BJ431)))</f>
        <v/>
      </c>
      <c r="AL431" s="6">
        <f>IF(OR($BJ431="",37&gt;設定!$B$3),"",IF(INDEX(原始資料!AN$2:AN$501,$BJ431)="","",INDEX(原始資料!AN$2:AN$501,$BJ431)))</f>
        <v/>
      </c>
      <c r="AM431" s="6">
        <f>IF(OR($BJ431="",38&gt;設定!$B$3),"",IF(INDEX(原始資料!AO$2:AO$501,$BJ431)="","",INDEX(原始資料!AO$2:AO$501,$BJ431)))</f>
        <v/>
      </c>
      <c r="AN431" s="6">
        <f>IF(OR($BJ431="",39&gt;設定!$B$3),"",IF(INDEX(原始資料!AP$2:AP$501,$BJ431)="","",INDEX(原始資料!AP$2:AP$501,$BJ431)))</f>
        <v/>
      </c>
      <c r="AO431" s="6">
        <f>IF(OR($BJ431="",40&gt;設定!$B$3),"",IF(INDEX(原始資料!AQ$2:AQ$501,$BJ431)="","",INDEX(原始資料!AQ$2:AQ$501,$BJ431)))</f>
        <v/>
      </c>
      <c r="AP431" s="6">
        <f>IF(OR($BJ431="",41&gt;設定!$B$3),"",IF(INDEX(原始資料!AR$2:AR$501,$BJ431)="","",INDEX(原始資料!AR$2:AR$501,$BJ431)))</f>
        <v/>
      </c>
      <c r="AQ431" s="6">
        <f>IF(OR($BJ431="",42&gt;設定!$B$3),"",IF(INDEX(原始資料!AS$2:AS$501,$BJ431)="","",INDEX(原始資料!AS$2:AS$501,$BJ431)))</f>
        <v/>
      </c>
      <c r="AR431" s="6">
        <f>IF(OR($BJ431="",43&gt;設定!$B$3),"",IF(INDEX(原始資料!AT$2:AT$501,$BJ431)="","",INDEX(原始資料!AT$2:AT$501,$BJ431)))</f>
        <v/>
      </c>
      <c r="AS431" s="6">
        <f>IF(OR($BJ431="",44&gt;設定!$B$3),"",IF(INDEX(原始資料!AU$2:AU$501,$BJ431)="","",INDEX(原始資料!AU$2:AU$501,$BJ431)))</f>
        <v/>
      </c>
      <c r="AT431" s="6">
        <f>IF(OR($BJ431="",45&gt;設定!$B$3),"",IF(INDEX(原始資料!AV$2:AV$501,$BJ431)="","",INDEX(原始資料!AV$2:AV$501,$BJ431)))</f>
        <v/>
      </c>
      <c r="AU431" s="6">
        <f>IF(OR($BJ431="",46&gt;設定!$B$3),"",IF(INDEX(原始資料!AW$2:AW$501,$BJ431)="","",INDEX(原始資料!AW$2:AW$501,$BJ431)))</f>
        <v/>
      </c>
      <c r="AV431" s="6">
        <f>IF(OR($BJ431="",47&gt;設定!$B$3),"",IF(INDEX(原始資料!AX$2:AX$501,$BJ431)="","",INDEX(原始資料!AX$2:AX$501,$BJ431)))</f>
        <v/>
      </c>
      <c r="AW431" s="6">
        <f>IF(OR($BJ431="",48&gt;設定!$B$3),"",IF(INDEX(原始資料!AY$2:AY$501,$BJ431)="","",INDEX(原始資料!AY$2:AY$501,$BJ431)))</f>
        <v/>
      </c>
      <c r="AX431" s="6">
        <f>IF(OR($BJ431="",49&gt;設定!$B$3),"",IF(INDEX(原始資料!AZ$2:AZ$501,$BJ431)="","",INDEX(原始資料!AZ$2:AZ$501,$BJ431)))</f>
        <v/>
      </c>
      <c r="AY431" s="6">
        <f>IF(OR($BJ431="",50&gt;設定!$B$3),"",IF(INDEX(原始資料!BA$2:BA$501,$BJ431)="","",INDEX(原始資料!BA$2:BA$501,$BJ431)))</f>
        <v/>
      </c>
      <c r="AZ431" s="6">
        <f>IF(OR($BJ431="",51&gt;設定!$B$3),"",IF(INDEX(原始資料!BB$2:BB$501,$BJ431)="","",INDEX(原始資料!BB$2:BB$501,$BJ431)))</f>
        <v/>
      </c>
      <c r="BA431" s="6">
        <f>IF(OR($BJ431="",52&gt;設定!$B$3),"",IF(INDEX(原始資料!BC$2:BC$501,$BJ431)="","",INDEX(原始資料!BC$2:BC$501,$BJ431)))</f>
        <v/>
      </c>
      <c r="BB431" s="6">
        <f>IF(OR($BJ431="",53&gt;設定!$B$3),"",IF(INDEX(原始資料!BD$2:BD$501,$BJ431)="","",INDEX(原始資料!BD$2:BD$501,$BJ431)))</f>
        <v/>
      </c>
      <c r="BC431" s="6">
        <f>IF(OR($BJ431="",54&gt;設定!$B$3),"",IF(INDEX(原始資料!BE$2:BE$501,$BJ431)="","",INDEX(原始資料!BE$2:BE$501,$BJ431)))</f>
        <v/>
      </c>
      <c r="BD431" s="6">
        <f>IF(OR($BJ431="",55&gt;設定!$B$3),"",IF(INDEX(原始資料!BF$2:BF$501,$BJ431)="","",INDEX(原始資料!BF$2:BF$501,$BJ431)))</f>
        <v/>
      </c>
      <c r="BE431" s="6">
        <f>IF(OR($BJ431="",56&gt;設定!$B$3),"",IF(INDEX(原始資料!BG$2:BG$501,$BJ431)="","",INDEX(原始資料!BG$2:BG$501,$BJ431)))</f>
        <v/>
      </c>
      <c r="BF431" s="6">
        <f>IF(OR($BJ431="",57&gt;設定!$B$3),"",IF(INDEX(原始資料!BH$2:BH$501,$BJ431)="","",INDEX(原始資料!BH$2:BH$501,$BJ431)))</f>
        <v/>
      </c>
      <c r="BG431" s="6">
        <f>IF(OR($BJ431="",58&gt;設定!$B$3),"",IF(INDEX(原始資料!BI$2:BI$501,$BJ431)="","",INDEX(原始資料!BI$2:BI$501,$BJ431)))</f>
        <v/>
      </c>
      <c r="BH431" s="6">
        <f>IF(OR($BJ431="",59&gt;設定!$B$3),"",IF(INDEX(原始資料!BJ$2:BJ$501,$BJ431)="","",INDEX(原始資料!BJ$2:BJ$501,$BJ431)))</f>
        <v/>
      </c>
      <c r="BI431" s="6">
        <f>IF(OR($BJ431="",60&gt;設定!$B$3),"",IF(INDEX(原始資料!BK$2:BK$501,$BJ431)="","",INDEX(原始資料!BK$2:BK$501,$BJ431)))</f>
        <v/>
      </c>
      <c r="BJ431" s="6">
        <f>IFERROR(MATCH(ROW()-1,判定!$H$2:$H$501,0),"")</f>
        <v/>
      </c>
    </row>
    <row r="432">
      <c r="A432" s="6">
        <f>IF($BJ432="","",INDEX(原始資料!$A$2:$A$501,$BJ432))</f>
        <v/>
      </c>
      <c r="B432" s="6">
        <f>IF(OR($BJ432="",1&gt;設定!$B$3),"",IF(INDEX(原始資料!D$2:D$501,$BJ432)="","",INDEX(原始資料!D$2:D$501,$BJ432)))</f>
        <v/>
      </c>
      <c r="C432" s="6">
        <f>IF(OR($BJ432="",2&gt;設定!$B$3),"",IF(INDEX(原始資料!E$2:E$501,$BJ432)="","",INDEX(原始資料!E$2:E$501,$BJ432)))</f>
        <v/>
      </c>
      <c r="D432" s="6">
        <f>IF(OR($BJ432="",3&gt;設定!$B$3),"",IF(INDEX(原始資料!F$2:F$501,$BJ432)="","",INDEX(原始資料!F$2:F$501,$BJ432)))</f>
        <v/>
      </c>
      <c r="E432" s="6">
        <f>IF(OR($BJ432="",4&gt;設定!$B$3),"",IF(INDEX(原始資料!G$2:G$501,$BJ432)="","",INDEX(原始資料!G$2:G$501,$BJ432)))</f>
        <v/>
      </c>
      <c r="F432" s="6">
        <f>IF(OR($BJ432="",5&gt;設定!$B$3),"",IF(INDEX(原始資料!H$2:H$501,$BJ432)="","",INDEX(原始資料!H$2:H$501,$BJ432)))</f>
        <v/>
      </c>
      <c r="G432" s="6">
        <f>IF(OR($BJ432="",6&gt;設定!$B$3),"",IF(INDEX(原始資料!I$2:I$501,$BJ432)="","",INDEX(原始資料!I$2:I$501,$BJ432)))</f>
        <v/>
      </c>
      <c r="H432" s="6">
        <f>IF(OR($BJ432="",7&gt;設定!$B$3),"",IF(INDEX(原始資料!J$2:J$501,$BJ432)="","",INDEX(原始資料!J$2:J$501,$BJ432)))</f>
        <v/>
      </c>
      <c r="I432" s="6">
        <f>IF(OR($BJ432="",8&gt;設定!$B$3),"",IF(INDEX(原始資料!K$2:K$501,$BJ432)="","",INDEX(原始資料!K$2:K$501,$BJ432)))</f>
        <v/>
      </c>
      <c r="J432" s="6">
        <f>IF(OR($BJ432="",9&gt;設定!$B$3),"",IF(INDEX(原始資料!L$2:L$501,$BJ432)="","",INDEX(原始資料!L$2:L$501,$BJ432)))</f>
        <v/>
      </c>
      <c r="K432" s="6">
        <f>IF(OR($BJ432="",10&gt;設定!$B$3),"",IF(INDEX(原始資料!M$2:M$501,$BJ432)="","",INDEX(原始資料!M$2:M$501,$BJ432)))</f>
        <v/>
      </c>
      <c r="L432" s="6">
        <f>IF(OR($BJ432="",11&gt;設定!$B$3),"",IF(INDEX(原始資料!N$2:N$501,$BJ432)="","",INDEX(原始資料!N$2:N$501,$BJ432)))</f>
        <v/>
      </c>
      <c r="M432" s="6">
        <f>IF(OR($BJ432="",12&gt;設定!$B$3),"",IF(INDEX(原始資料!O$2:O$501,$BJ432)="","",INDEX(原始資料!O$2:O$501,$BJ432)))</f>
        <v/>
      </c>
      <c r="N432" s="6">
        <f>IF(OR($BJ432="",13&gt;設定!$B$3),"",IF(INDEX(原始資料!P$2:P$501,$BJ432)="","",INDEX(原始資料!P$2:P$501,$BJ432)))</f>
        <v/>
      </c>
      <c r="O432" s="6">
        <f>IF(OR($BJ432="",14&gt;設定!$B$3),"",IF(INDEX(原始資料!Q$2:Q$501,$BJ432)="","",INDEX(原始資料!Q$2:Q$501,$BJ432)))</f>
        <v/>
      </c>
      <c r="P432" s="6">
        <f>IF(OR($BJ432="",15&gt;設定!$B$3),"",IF(INDEX(原始資料!R$2:R$501,$BJ432)="","",INDEX(原始資料!R$2:R$501,$BJ432)))</f>
        <v/>
      </c>
      <c r="Q432" s="6">
        <f>IF(OR($BJ432="",16&gt;設定!$B$3),"",IF(INDEX(原始資料!S$2:S$501,$BJ432)="","",INDEX(原始資料!S$2:S$501,$BJ432)))</f>
        <v/>
      </c>
      <c r="R432" s="6">
        <f>IF(OR($BJ432="",17&gt;設定!$B$3),"",IF(INDEX(原始資料!T$2:T$501,$BJ432)="","",INDEX(原始資料!T$2:T$501,$BJ432)))</f>
        <v/>
      </c>
      <c r="S432" s="6">
        <f>IF(OR($BJ432="",18&gt;設定!$B$3),"",IF(INDEX(原始資料!U$2:U$501,$BJ432)="","",INDEX(原始資料!U$2:U$501,$BJ432)))</f>
        <v/>
      </c>
      <c r="T432" s="6">
        <f>IF(OR($BJ432="",19&gt;設定!$B$3),"",IF(INDEX(原始資料!V$2:V$501,$BJ432)="","",INDEX(原始資料!V$2:V$501,$BJ432)))</f>
        <v/>
      </c>
      <c r="U432" s="6">
        <f>IF(OR($BJ432="",20&gt;設定!$B$3),"",IF(INDEX(原始資料!W$2:W$501,$BJ432)="","",INDEX(原始資料!W$2:W$501,$BJ432)))</f>
        <v/>
      </c>
      <c r="V432" s="6">
        <f>IF(OR($BJ432="",21&gt;設定!$B$3),"",IF(INDEX(原始資料!X$2:X$501,$BJ432)="","",INDEX(原始資料!X$2:X$501,$BJ432)))</f>
        <v/>
      </c>
      <c r="W432" s="6">
        <f>IF(OR($BJ432="",22&gt;設定!$B$3),"",IF(INDEX(原始資料!Y$2:Y$501,$BJ432)="","",INDEX(原始資料!Y$2:Y$501,$BJ432)))</f>
        <v/>
      </c>
      <c r="X432" s="6">
        <f>IF(OR($BJ432="",23&gt;設定!$B$3),"",IF(INDEX(原始資料!Z$2:Z$501,$BJ432)="","",INDEX(原始資料!Z$2:Z$501,$BJ432)))</f>
        <v/>
      </c>
      <c r="Y432" s="6">
        <f>IF(OR($BJ432="",24&gt;設定!$B$3),"",IF(INDEX(原始資料!AA$2:AA$501,$BJ432)="","",INDEX(原始資料!AA$2:AA$501,$BJ432)))</f>
        <v/>
      </c>
      <c r="Z432" s="6">
        <f>IF(OR($BJ432="",25&gt;設定!$B$3),"",IF(INDEX(原始資料!AB$2:AB$501,$BJ432)="","",INDEX(原始資料!AB$2:AB$501,$BJ432)))</f>
        <v/>
      </c>
      <c r="AA432" s="6">
        <f>IF(OR($BJ432="",26&gt;設定!$B$3),"",IF(INDEX(原始資料!AC$2:AC$501,$BJ432)="","",INDEX(原始資料!AC$2:AC$501,$BJ432)))</f>
        <v/>
      </c>
      <c r="AB432" s="6">
        <f>IF(OR($BJ432="",27&gt;設定!$B$3),"",IF(INDEX(原始資料!AD$2:AD$501,$BJ432)="","",INDEX(原始資料!AD$2:AD$501,$BJ432)))</f>
        <v/>
      </c>
      <c r="AC432" s="6">
        <f>IF(OR($BJ432="",28&gt;設定!$B$3),"",IF(INDEX(原始資料!AE$2:AE$501,$BJ432)="","",INDEX(原始資料!AE$2:AE$501,$BJ432)))</f>
        <v/>
      </c>
      <c r="AD432" s="6">
        <f>IF(OR($BJ432="",29&gt;設定!$B$3),"",IF(INDEX(原始資料!AF$2:AF$501,$BJ432)="","",INDEX(原始資料!AF$2:AF$501,$BJ432)))</f>
        <v/>
      </c>
      <c r="AE432" s="6">
        <f>IF(OR($BJ432="",30&gt;設定!$B$3),"",IF(INDEX(原始資料!AG$2:AG$501,$BJ432)="","",INDEX(原始資料!AG$2:AG$501,$BJ432)))</f>
        <v/>
      </c>
      <c r="AF432" s="6">
        <f>IF(OR($BJ432="",31&gt;設定!$B$3),"",IF(INDEX(原始資料!AH$2:AH$501,$BJ432)="","",INDEX(原始資料!AH$2:AH$501,$BJ432)))</f>
        <v/>
      </c>
      <c r="AG432" s="6">
        <f>IF(OR($BJ432="",32&gt;設定!$B$3),"",IF(INDEX(原始資料!AI$2:AI$501,$BJ432)="","",INDEX(原始資料!AI$2:AI$501,$BJ432)))</f>
        <v/>
      </c>
      <c r="AH432" s="6">
        <f>IF(OR($BJ432="",33&gt;設定!$B$3),"",IF(INDEX(原始資料!AJ$2:AJ$501,$BJ432)="","",INDEX(原始資料!AJ$2:AJ$501,$BJ432)))</f>
        <v/>
      </c>
      <c r="AI432" s="6">
        <f>IF(OR($BJ432="",34&gt;設定!$B$3),"",IF(INDEX(原始資料!AK$2:AK$501,$BJ432)="","",INDEX(原始資料!AK$2:AK$501,$BJ432)))</f>
        <v/>
      </c>
      <c r="AJ432" s="6">
        <f>IF(OR($BJ432="",35&gt;設定!$B$3),"",IF(INDEX(原始資料!AL$2:AL$501,$BJ432)="","",INDEX(原始資料!AL$2:AL$501,$BJ432)))</f>
        <v/>
      </c>
      <c r="AK432" s="6">
        <f>IF(OR($BJ432="",36&gt;設定!$B$3),"",IF(INDEX(原始資料!AM$2:AM$501,$BJ432)="","",INDEX(原始資料!AM$2:AM$501,$BJ432)))</f>
        <v/>
      </c>
      <c r="AL432" s="6">
        <f>IF(OR($BJ432="",37&gt;設定!$B$3),"",IF(INDEX(原始資料!AN$2:AN$501,$BJ432)="","",INDEX(原始資料!AN$2:AN$501,$BJ432)))</f>
        <v/>
      </c>
      <c r="AM432" s="6">
        <f>IF(OR($BJ432="",38&gt;設定!$B$3),"",IF(INDEX(原始資料!AO$2:AO$501,$BJ432)="","",INDEX(原始資料!AO$2:AO$501,$BJ432)))</f>
        <v/>
      </c>
      <c r="AN432" s="6">
        <f>IF(OR($BJ432="",39&gt;設定!$B$3),"",IF(INDEX(原始資料!AP$2:AP$501,$BJ432)="","",INDEX(原始資料!AP$2:AP$501,$BJ432)))</f>
        <v/>
      </c>
      <c r="AO432" s="6">
        <f>IF(OR($BJ432="",40&gt;設定!$B$3),"",IF(INDEX(原始資料!AQ$2:AQ$501,$BJ432)="","",INDEX(原始資料!AQ$2:AQ$501,$BJ432)))</f>
        <v/>
      </c>
      <c r="AP432" s="6">
        <f>IF(OR($BJ432="",41&gt;設定!$B$3),"",IF(INDEX(原始資料!AR$2:AR$501,$BJ432)="","",INDEX(原始資料!AR$2:AR$501,$BJ432)))</f>
        <v/>
      </c>
      <c r="AQ432" s="6">
        <f>IF(OR($BJ432="",42&gt;設定!$B$3),"",IF(INDEX(原始資料!AS$2:AS$501,$BJ432)="","",INDEX(原始資料!AS$2:AS$501,$BJ432)))</f>
        <v/>
      </c>
      <c r="AR432" s="6">
        <f>IF(OR($BJ432="",43&gt;設定!$B$3),"",IF(INDEX(原始資料!AT$2:AT$501,$BJ432)="","",INDEX(原始資料!AT$2:AT$501,$BJ432)))</f>
        <v/>
      </c>
      <c r="AS432" s="6">
        <f>IF(OR($BJ432="",44&gt;設定!$B$3),"",IF(INDEX(原始資料!AU$2:AU$501,$BJ432)="","",INDEX(原始資料!AU$2:AU$501,$BJ432)))</f>
        <v/>
      </c>
      <c r="AT432" s="6">
        <f>IF(OR($BJ432="",45&gt;設定!$B$3),"",IF(INDEX(原始資料!AV$2:AV$501,$BJ432)="","",INDEX(原始資料!AV$2:AV$501,$BJ432)))</f>
        <v/>
      </c>
      <c r="AU432" s="6">
        <f>IF(OR($BJ432="",46&gt;設定!$B$3),"",IF(INDEX(原始資料!AW$2:AW$501,$BJ432)="","",INDEX(原始資料!AW$2:AW$501,$BJ432)))</f>
        <v/>
      </c>
      <c r="AV432" s="6">
        <f>IF(OR($BJ432="",47&gt;設定!$B$3),"",IF(INDEX(原始資料!AX$2:AX$501,$BJ432)="","",INDEX(原始資料!AX$2:AX$501,$BJ432)))</f>
        <v/>
      </c>
      <c r="AW432" s="6">
        <f>IF(OR($BJ432="",48&gt;設定!$B$3),"",IF(INDEX(原始資料!AY$2:AY$501,$BJ432)="","",INDEX(原始資料!AY$2:AY$501,$BJ432)))</f>
        <v/>
      </c>
      <c r="AX432" s="6">
        <f>IF(OR($BJ432="",49&gt;設定!$B$3),"",IF(INDEX(原始資料!AZ$2:AZ$501,$BJ432)="","",INDEX(原始資料!AZ$2:AZ$501,$BJ432)))</f>
        <v/>
      </c>
      <c r="AY432" s="6">
        <f>IF(OR($BJ432="",50&gt;設定!$B$3),"",IF(INDEX(原始資料!BA$2:BA$501,$BJ432)="","",INDEX(原始資料!BA$2:BA$501,$BJ432)))</f>
        <v/>
      </c>
      <c r="AZ432" s="6">
        <f>IF(OR($BJ432="",51&gt;設定!$B$3),"",IF(INDEX(原始資料!BB$2:BB$501,$BJ432)="","",INDEX(原始資料!BB$2:BB$501,$BJ432)))</f>
        <v/>
      </c>
      <c r="BA432" s="6">
        <f>IF(OR($BJ432="",52&gt;設定!$B$3),"",IF(INDEX(原始資料!BC$2:BC$501,$BJ432)="","",INDEX(原始資料!BC$2:BC$501,$BJ432)))</f>
        <v/>
      </c>
      <c r="BB432" s="6">
        <f>IF(OR($BJ432="",53&gt;設定!$B$3),"",IF(INDEX(原始資料!BD$2:BD$501,$BJ432)="","",INDEX(原始資料!BD$2:BD$501,$BJ432)))</f>
        <v/>
      </c>
      <c r="BC432" s="6">
        <f>IF(OR($BJ432="",54&gt;設定!$B$3),"",IF(INDEX(原始資料!BE$2:BE$501,$BJ432)="","",INDEX(原始資料!BE$2:BE$501,$BJ432)))</f>
        <v/>
      </c>
      <c r="BD432" s="6">
        <f>IF(OR($BJ432="",55&gt;設定!$B$3),"",IF(INDEX(原始資料!BF$2:BF$501,$BJ432)="","",INDEX(原始資料!BF$2:BF$501,$BJ432)))</f>
        <v/>
      </c>
      <c r="BE432" s="6">
        <f>IF(OR($BJ432="",56&gt;設定!$B$3),"",IF(INDEX(原始資料!BG$2:BG$501,$BJ432)="","",INDEX(原始資料!BG$2:BG$501,$BJ432)))</f>
        <v/>
      </c>
      <c r="BF432" s="6">
        <f>IF(OR($BJ432="",57&gt;設定!$B$3),"",IF(INDEX(原始資料!BH$2:BH$501,$BJ432)="","",INDEX(原始資料!BH$2:BH$501,$BJ432)))</f>
        <v/>
      </c>
      <c r="BG432" s="6">
        <f>IF(OR($BJ432="",58&gt;設定!$B$3),"",IF(INDEX(原始資料!BI$2:BI$501,$BJ432)="","",INDEX(原始資料!BI$2:BI$501,$BJ432)))</f>
        <v/>
      </c>
      <c r="BH432" s="6">
        <f>IF(OR($BJ432="",59&gt;設定!$B$3),"",IF(INDEX(原始資料!BJ$2:BJ$501,$BJ432)="","",INDEX(原始資料!BJ$2:BJ$501,$BJ432)))</f>
        <v/>
      </c>
      <c r="BI432" s="6">
        <f>IF(OR($BJ432="",60&gt;設定!$B$3),"",IF(INDEX(原始資料!BK$2:BK$501,$BJ432)="","",INDEX(原始資料!BK$2:BK$501,$BJ432)))</f>
        <v/>
      </c>
      <c r="BJ432" s="6">
        <f>IFERROR(MATCH(ROW()-1,判定!$H$2:$H$501,0),"")</f>
        <v/>
      </c>
    </row>
    <row r="433">
      <c r="A433" s="6">
        <f>IF($BJ433="","",INDEX(原始資料!$A$2:$A$501,$BJ433))</f>
        <v/>
      </c>
      <c r="B433" s="6">
        <f>IF(OR($BJ433="",1&gt;設定!$B$3),"",IF(INDEX(原始資料!D$2:D$501,$BJ433)="","",INDEX(原始資料!D$2:D$501,$BJ433)))</f>
        <v/>
      </c>
      <c r="C433" s="6">
        <f>IF(OR($BJ433="",2&gt;設定!$B$3),"",IF(INDEX(原始資料!E$2:E$501,$BJ433)="","",INDEX(原始資料!E$2:E$501,$BJ433)))</f>
        <v/>
      </c>
      <c r="D433" s="6">
        <f>IF(OR($BJ433="",3&gt;設定!$B$3),"",IF(INDEX(原始資料!F$2:F$501,$BJ433)="","",INDEX(原始資料!F$2:F$501,$BJ433)))</f>
        <v/>
      </c>
      <c r="E433" s="6">
        <f>IF(OR($BJ433="",4&gt;設定!$B$3),"",IF(INDEX(原始資料!G$2:G$501,$BJ433)="","",INDEX(原始資料!G$2:G$501,$BJ433)))</f>
        <v/>
      </c>
      <c r="F433" s="6">
        <f>IF(OR($BJ433="",5&gt;設定!$B$3),"",IF(INDEX(原始資料!H$2:H$501,$BJ433)="","",INDEX(原始資料!H$2:H$501,$BJ433)))</f>
        <v/>
      </c>
      <c r="G433" s="6">
        <f>IF(OR($BJ433="",6&gt;設定!$B$3),"",IF(INDEX(原始資料!I$2:I$501,$BJ433)="","",INDEX(原始資料!I$2:I$501,$BJ433)))</f>
        <v/>
      </c>
      <c r="H433" s="6">
        <f>IF(OR($BJ433="",7&gt;設定!$B$3),"",IF(INDEX(原始資料!J$2:J$501,$BJ433)="","",INDEX(原始資料!J$2:J$501,$BJ433)))</f>
        <v/>
      </c>
      <c r="I433" s="6">
        <f>IF(OR($BJ433="",8&gt;設定!$B$3),"",IF(INDEX(原始資料!K$2:K$501,$BJ433)="","",INDEX(原始資料!K$2:K$501,$BJ433)))</f>
        <v/>
      </c>
      <c r="J433" s="6">
        <f>IF(OR($BJ433="",9&gt;設定!$B$3),"",IF(INDEX(原始資料!L$2:L$501,$BJ433)="","",INDEX(原始資料!L$2:L$501,$BJ433)))</f>
        <v/>
      </c>
      <c r="K433" s="6">
        <f>IF(OR($BJ433="",10&gt;設定!$B$3),"",IF(INDEX(原始資料!M$2:M$501,$BJ433)="","",INDEX(原始資料!M$2:M$501,$BJ433)))</f>
        <v/>
      </c>
      <c r="L433" s="6">
        <f>IF(OR($BJ433="",11&gt;設定!$B$3),"",IF(INDEX(原始資料!N$2:N$501,$BJ433)="","",INDEX(原始資料!N$2:N$501,$BJ433)))</f>
        <v/>
      </c>
      <c r="M433" s="6">
        <f>IF(OR($BJ433="",12&gt;設定!$B$3),"",IF(INDEX(原始資料!O$2:O$501,$BJ433)="","",INDEX(原始資料!O$2:O$501,$BJ433)))</f>
        <v/>
      </c>
      <c r="N433" s="6">
        <f>IF(OR($BJ433="",13&gt;設定!$B$3),"",IF(INDEX(原始資料!P$2:P$501,$BJ433)="","",INDEX(原始資料!P$2:P$501,$BJ433)))</f>
        <v/>
      </c>
      <c r="O433" s="6">
        <f>IF(OR($BJ433="",14&gt;設定!$B$3),"",IF(INDEX(原始資料!Q$2:Q$501,$BJ433)="","",INDEX(原始資料!Q$2:Q$501,$BJ433)))</f>
        <v/>
      </c>
      <c r="P433" s="6">
        <f>IF(OR($BJ433="",15&gt;設定!$B$3),"",IF(INDEX(原始資料!R$2:R$501,$BJ433)="","",INDEX(原始資料!R$2:R$501,$BJ433)))</f>
        <v/>
      </c>
      <c r="Q433" s="6">
        <f>IF(OR($BJ433="",16&gt;設定!$B$3),"",IF(INDEX(原始資料!S$2:S$501,$BJ433)="","",INDEX(原始資料!S$2:S$501,$BJ433)))</f>
        <v/>
      </c>
      <c r="R433" s="6">
        <f>IF(OR($BJ433="",17&gt;設定!$B$3),"",IF(INDEX(原始資料!T$2:T$501,$BJ433)="","",INDEX(原始資料!T$2:T$501,$BJ433)))</f>
        <v/>
      </c>
      <c r="S433" s="6">
        <f>IF(OR($BJ433="",18&gt;設定!$B$3),"",IF(INDEX(原始資料!U$2:U$501,$BJ433)="","",INDEX(原始資料!U$2:U$501,$BJ433)))</f>
        <v/>
      </c>
      <c r="T433" s="6">
        <f>IF(OR($BJ433="",19&gt;設定!$B$3),"",IF(INDEX(原始資料!V$2:V$501,$BJ433)="","",INDEX(原始資料!V$2:V$501,$BJ433)))</f>
        <v/>
      </c>
      <c r="U433" s="6">
        <f>IF(OR($BJ433="",20&gt;設定!$B$3),"",IF(INDEX(原始資料!W$2:W$501,$BJ433)="","",INDEX(原始資料!W$2:W$501,$BJ433)))</f>
        <v/>
      </c>
      <c r="V433" s="6">
        <f>IF(OR($BJ433="",21&gt;設定!$B$3),"",IF(INDEX(原始資料!X$2:X$501,$BJ433)="","",INDEX(原始資料!X$2:X$501,$BJ433)))</f>
        <v/>
      </c>
      <c r="W433" s="6">
        <f>IF(OR($BJ433="",22&gt;設定!$B$3),"",IF(INDEX(原始資料!Y$2:Y$501,$BJ433)="","",INDEX(原始資料!Y$2:Y$501,$BJ433)))</f>
        <v/>
      </c>
      <c r="X433" s="6">
        <f>IF(OR($BJ433="",23&gt;設定!$B$3),"",IF(INDEX(原始資料!Z$2:Z$501,$BJ433)="","",INDEX(原始資料!Z$2:Z$501,$BJ433)))</f>
        <v/>
      </c>
      <c r="Y433" s="6">
        <f>IF(OR($BJ433="",24&gt;設定!$B$3),"",IF(INDEX(原始資料!AA$2:AA$501,$BJ433)="","",INDEX(原始資料!AA$2:AA$501,$BJ433)))</f>
        <v/>
      </c>
      <c r="Z433" s="6">
        <f>IF(OR($BJ433="",25&gt;設定!$B$3),"",IF(INDEX(原始資料!AB$2:AB$501,$BJ433)="","",INDEX(原始資料!AB$2:AB$501,$BJ433)))</f>
        <v/>
      </c>
      <c r="AA433" s="6">
        <f>IF(OR($BJ433="",26&gt;設定!$B$3),"",IF(INDEX(原始資料!AC$2:AC$501,$BJ433)="","",INDEX(原始資料!AC$2:AC$501,$BJ433)))</f>
        <v/>
      </c>
      <c r="AB433" s="6">
        <f>IF(OR($BJ433="",27&gt;設定!$B$3),"",IF(INDEX(原始資料!AD$2:AD$501,$BJ433)="","",INDEX(原始資料!AD$2:AD$501,$BJ433)))</f>
        <v/>
      </c>
      <c r="AC433" s="6">
        <f>IF(OR($BJ433="",28&gt;設定!$B$3),"",IF(INDEX(原始資料!AE$2:AE$501,$BJ433)="","",INDEX(原始資料!AE$2:AE$501,$BJ433)))</f>
        <v/>
      </c>
      <c r="AD433" s="6">
        <f>IF(OR($BJ433="",29&gt;設定!$B$3),"",IF(INDEX(原始資料!AF$2:AF$501,$BJ433)="","",INDEX(原始資料!AF$2:AF$501,$BJ433)))</f>
        <v/>
      </c>
      <c r="AE433" s="6">
        <f>IF(OR($BJ433="",30&gt;設定!$B$3),"",IF(INDEX(原始資料!AG$2:AG$501,$BJ433)="","",INDEX(原始資料!AG$2:AG$501,$BJ433)))</f>
        <v/>
      </c>
      <c r="AF433" s="6">
        <f>IF(OR($BJ433="",31&gt;設定!$B$3),"",IF(INDEX(原始資料!AH$2:AH$501,$BJ433)="","",INDEX(原始資料!AH$2:AH$501,$BJ433)))</f>
        <v/>
      </c>
      <c r="AG433" s="6">
        <f>IF(OR($BJ433="",32&gt;設定!$B$3),"",IF(INDEX(原始資料!AI$2:AI$501,$BJ433)="","",INDEX(原始資料!AI$2:AI$501,$BJ433)))</f>
        <v/>
      </c>
      <c r="AH433" s="6">
        <f>IF(OR($BJ433="",33&gt;設定!$B$3),"",IF(INDEX(原始資料!AJ$2:AJ$501,$BJ433)="","",INDEX(原始資料!AJ$2:AJ$501,$BJ433)))</f>
        <v/>
      </c>
      <c r="AI433" s="6">
        <f>IF(OR($BJ433="",34&gt;設定!$B$3),"",IF(INDEX(原始資料!AK$2:AK$501,$BJ433)="","",INDEX(原始資料!AK$2:AK$501,$BJ433)))</f>
        <v/>
      </c>
      <c r="AJ433" s="6">
        <f>IF(OR($BJ433="",35&gt;設定!$B$3),"",IF(INDEX(原始資料!AL$2:AL$501,$BJ433)="","",INDEX(原始資料!AL$2:AL$501,$BJ433)))</f>
        <v/>
      </c>
      <c r="AK433" s="6">
        <f>IF(OR($BJ433="",36&gt;設定!$B$3),"",IF(INDEX(原始資料!AM$2:AM$501,$BJ433)="","",INDEX(原始資料!AM$2:AM$501,$BJ433)))</f>
        <v/>
      </c>
      <c r="AL433" s="6">
        <f>IF(OR($BJ433="",37&gt;設定!$B$3),"",IF(INDEX(原始資料!AN$2:AN$501,$BJ433)="","",INDEX(原始資料!AN$2:AN$501,$BJ433)))</f>
        <v/>
      </c>
      <c r="AM433" s="6">
        <f>IF(OR($BJ433="",38&gt;設定!$B$3),"",IF(INDEX(原始資料!AO$2:AO$501,$BJ433)="","",INDEX(原始資料!AO$2:AO$501,$BJ433)))</f>
        <v/>
      </c>
      <c r="AN433" s="6">
        <f>IF(OR($BJ433="",39&gt;設定!$B$3),"",IF(INDEX(原始資料!AP$2:AP$501,$BJ433)="","",INDEX(原始資料!AP$2:AP$501,$BJ433)))</f>
        <v/>
      </c>
      <c r="AO433" s="6">
        <f>IF(OR($BJ433="",40&gt;設定!$B$3),"",IF(INDEX(原始資料!AQ$2:AQ$501,$BJ433)="","",INDEX(原始資料!AQ$2:AQ$501,$BJ433)))</f>
        <v/>
      </c>
      <c r="AP433" s="6">
        <f>IF(OR($BJ433="",41&gt;設定!$B$3),"",IF(INDEX(原始資料!AR$2:AR$501,$BJ433)="","",INDEX(原始資料!AR$2:AR$501,$BJ433)))</f>
        <v/>
      </c>
      <c r="AQ433" s="6">
        <f>IF(OR($BJ433="",42&gt;設定!$B$3),"",IF(INDEX(原始資料!AS$2:AS$501,$BJ433)="","",INDEX(原始資料!AS$2:AS$501,$BJ433)))</f>
        <v/>
      </c>
      <c r="AR433" s="6">
        <f>IF(OR($BJ433="",43&gt;設定!$B$3),"",IF(INDEX(原始資料!AT$2:AT$501,$BJ433)="","",INDEX(原始資料!AT$2:AT$501,$BJ433)))</f>
        <v/>
      </c>
      <c r="AS433" s="6">
        <f>IF(OR($BJ433="",44&gt;設定!$B$3),"",IF(INDEX(原始資料!AU$2:AU$501,$BJ433)="","",INDEX(原始資料!AU$2:AU$501,$BJ433)))</f>
        <v/>
      </c>
      <c r="AT433" s="6">
        <f>IF(OR($BJ433="",45&gt;設定!$B$3),"",IF(INDEX(原始資料!AV$2:AV$501,$BJ433)="","",INDEX(原始資料!AV$2:AV$501,$BJ433)))</f>
        <v/>
      </c>
      <c r="AU433" s="6">
        <f>IF(OR($BJ433="",46&gt;設定!$B$3),"",IF(INDEX(原始資料!AW$2:AW$501,$BJ433)="","",INDEX(原始資料!AW$2:AW$501,$BJ433)))</f>
        <v/>
      </c>
      <c r="AV433" s="6">
        <f>IF(OR($BJ433="",47&gt;設定!$B$3),"",IF(INDEX(原始資料!AX$2:AX$501,$BJ433)="","",INDEX(原始資料!AX$2:AX$501,$BJ433)))</f>
        <v/>
      </c>
      <c r="AW433" s="6">
        <f>IF(OR($BJ433="",48&gt;設定!$B$3),"",IF(INDEX(原始資料!AY$2:AY$501,$BJ433)="","",INDEX(原始資料!AY$2:AY$501,$BJ433)))</f>
        <v/>
      </c>
      <c r="AX433" s="6">
        <f>IF(OR($BJ433="",49&gt;設定!$B$3),"",IF(INDEX(原始資料!AZ$2:AZ$501,$BJ433)="","",INDEX(原始資料!AZ$2:AZ$501,$BJ433)))</f>
        <v/>
      </c>
      <c r="AY433" s="6">
        <f>IF(OR($BJ433="",50&gt;設定!$B$3),"",IF(INDEX(原始資料!BA$2:BA$501,$BJ433)="","",INDEX(原始資料!BA$2:BA$501,$BJ433)))</f>
        <v/>
      </c>
      <c r="AZ433" s="6">
        <f>IF(OR($BJ433="",51&gt;設定!$B$3),"",IF(INDEX(原始資料!BB$2:BB$501,$BJ433)="","",INDEX(原始資料!BB$2:BB$501,$BJ433)))</f>
        <v/>
      </c>
      <c r="BA433" s="6">
        <f>IF(OR($BJ433="",52&gt;設定!$B$3),"",IF(INDEX(原始資料!BC$2:BC$501,$BJ433)="","",INDEX(原始資料!BC$2:BC$501,$BJ433)))</f>
        <v/>
      </c>
      <c r="BB433" s="6">
        <f>IF(OR($BJ433="",53&gt;設定!$B$3),"",IF(INDEX(原始資料!BD$2:BD$501,$BJ433)="","",INDEX(原始資料!BD$2:BD$501,$BJ433)))</f>
        <v/>
      </c>
      <c r="BC433" s="6">
        <f>IF(OR($BJ433="",54&gt;設定!$B$3),"",IF(INDEX(原始資料!BE$2:BE$501,$BJ433)="","",INDEX(原始資料!BE$2:BE$501,$BJ433)))</f>
        <v/>
      </c>
      <c r="BD433" s="6">
        <f>IF(OR($BJ433="",55&gt;設定!$B$3),"",IF(INDEX(原始資料!BF$2:BF$501,$BJ433)="","",INDEX(原始資料!BF$2:BF$501,$BJ433)))</f>
        <v/>
      </c>
      <c r="BE433" s="6">
        <f>IF(OR($BJ433="",56&gt;設定!$B$3),"",IF(INDEX(原始資料!BG$2:BG$501,$BJ433)="","",INDEX(原始資料!BG$2:BG$501,$BJ433)))</f>
        <v/>
      </c>
      <c r="BF433" s="6">
        <f>IF(OR($BJ433="",57&gt;設定!$B$3),"",IF(INDEX(原始資料!BH$2:BH$501,$BJ433)="","",INDEX(原始資料!BH$2:BH$501,$BJ433)))</f>
        <v/>
      </c>
      <c r="BG433" s="6">
        <f>IF(OR($BJ433="",58&gt;設定!$B$3),"",IF(INDEX(原始資料!BI$2:BI$501,$BJ433)="","",INDEX(原始資料!BI$2:BI$501,$BJ433)))</f>
        <v/>
      </c>
      <c r="BH433" s="6">
        <f>IF(OR($BJ433="",59&gt;設定!$B$3),"",IF(INDEX(原始資料!BJ$2:BJ$501,$BJ433)="","",INDEX(原始資料!BJ$2:BJ$501,$BJ433)))</f>
        <v/>
      </c>
      <c r="BI433" s="6">
        <f>IF(OR($BJ433="",60&gt;設定!$B$3),"",IF(INDEX(原始資料!BK$2:BK$501,$BJ433)="","",INDEX(原始資料!BK$2:BK$501,$BJ433)))</f>
        <v/>
      </c>
      <c r="BJ433" s="6">
        <f>IFERROR(MATCH(ROW()-1,判定!$H$2:$H$501,0),"")</f>
        <v/>
      </c>
    </row>
    <row r="434">
      <c r="A434" s="6">
        <f>IF($BJ434="","",INDEX(原始資料!$A$2:$A$501,$BJ434))</f>
        <v/>
      </c>
      <c r="B434" s="6">
        <f>IF(OR($BJ434="",1&gt;設定!$B$3),"",IF(INDEX(原始資料!D$2:D$501,$BJ434)="","",INDEX(原始資料!D$2:D$501,$BJ434)))</f>
        <v/>
      </c>
      <c r="C434" s="6">
        <f>IF(OR($BJ434="",2&gt;設定!$B$3),"",IF(INDEX(原始資料!E$2:E$501,$BJ434)="","",INDEX(原始資料!E$2:E$501,$BJ434)))</f>
        <v/>
      </c>
      <c r="D434" s="6">
        <f>IF(OR($BJ434="",3&gt;設定!$B$3),"",IF(INDEX(原始資料!F$2:F$501,$BJ434)="","",INDEX(原始資料!F$2:F$501,$BJ434)))</f>
        <v/>
      </c>
      <c r="E434" s="6">
        <f>IF(OR($BJ434="",4&gt;設定!$B$3),"",IF(INDEX(原始資料!G$2:G$501,$BJ434)="","",INDEX(原始資料!G$2:G$501,$BJ434)))</f>
        <v/>
      </c>
      <c r="F434" s="6">
        <f>IF(OR($BJ434="",5&gt;設定!$B$3),"",IF(INDEX(原始資料!H$2:H$501,$BJ434)="","",INDEX(原始資料!H$2:H$501,$BJ434)))</f>
        <v/>
      </c>
      <c r="G434" s="6">
        <f>IF(OR($BJ434="",6&gt;設定!$B$3),"",IF(INDEX(原始資料!I$2:I$501,$BJ434)="","",INDEX(原始資料!I$2:I$501,$BJ434)))</f>
        <v/>
      </c>
      <c r="H434" s="6">
        <f>IF(OR($BJ434="",7&gt;設定!$B$3),"",IF(INDEX(原始資料!J$2:J$501,$BJ434)="","",INDEX(原始資料!J$2:J$501,$BJ434)))</f>
        <v/>
      </c>
      <c r="I434" s="6">
        <f>IF(OR($BJ434="",8&gt;設定!$B$3),"",IF(INDEX(原始資料!K$2:K$501,$BJ434)="","",INDEX(原始資料!K$2:K$501,$BJ434)))</f>
        <v/>
      </c>
      <c r="J434" s="6">
        <f>IF(OR($BJ434="",9&gt;設定!$B$3),"",IF(INDEX(原始資料!L$2:L$501,$BJ434)="","",INDEX(原始資料!L$2:L$501,$BJ434)))</f>
        <v/>
      </c>
      <c r="K434" s="6">
        <f>IF(OR($BJ434="",10&gt;設定!$B$3),"",IF(INDEX(原始資料!M$2:M$501,$BJ434)="","",INDEX(原始資料!M$2:M$501,$BJ434)))</f>
        <v/>
      </c>
      <c r="L434" s="6">
        <f>IF(OR($BJ434="",11&gt;設定!$B$3),"",IF(INDEX(原始資料!N$2:N$501,$BJ434)="","",INDEX(原始資料!N$2:N$501,$BJ434)))</f>
        <v/>
      </c>
      <c r="M434" s="6">
        <f>IF(OR($BJ434="",12&gt;設定!$B$3),"",IF(INDEX(原始資料!O$2:O$501,$BJ434)="","",INDEX(原始資料!O$2:O$501,$BJ434)))</f>
        <v/>
      </c>
      <c r="N434" s="6">
        <f>IF(OR($BJ434="",13&gt;設定!$B$3),"",IF(INDEX(原始資料!P$2:P$501,$BJ434)="","",INDEX(原始資料!P$2:P$501,$BJ434)))</f>
        <v/>
      </c>
      <c r="O434" s="6">
        <f>IF(OR($BJ434="",14&gt;設定!$B$3),"",IF(INDEX(原始資料!Q$2:Q$501,$BJ434)="","",INDEX(原始資料!Q$2:Q$501,$BJ434)))</f>
        <v/>
      </c>
      <c r="P434" s="6">
        <f>IF(OR($BJ434="",15&gt;設定!$B$3),"",IF(INDEX(原始資料!R$2:R$501,$BJ434)="","",INDEX(原始資料!R$2:R$501,$BJ434)))</f>
        <v/>
      </c>
      <c r="Q434" s="6">
        <f>IF(OR($BJ434="",16&gt;設定!$B$3),"",IF(INDEX(原始資料!S$2:S$501,$BJ434)="","",INDEX(原始資料!S$2:S$501,$BJ434)))</f>
        <v/>
      </c>
      <c r="R434" s="6">
        <f>IF(OR($BJ434="",17&gt;設定!$B$3),"",IF(INDEX(原始資料!T$2:T$501,$BJ434)="","",INDEX(原始資料!T$2:T$501,$BJ434)))</f>
        <v/>
      </c>
      <c r="S434" s="6">
        <f>IF(OR($BJ434="",18&gt;設定!$B$3),"",IF(INDEX(原始資料!U$2:U$501,$BJ434)="","",INDEX(原始資料!U$2:U$501,$BJ434)))</f>
        <v/>
      </c>
      <c r="T434" s="6">
        <f>IF(OR($BJ434="",19&gt;設定!$B$3),"",IF(INDEX(原始資料!V$2:V$501,$BJ434)="","",INDEX(原始資料!V$2:V$501,$BJ434)))</f>
        <v/>
      </c>
      <c r="U434" s="6">
        <f>IF(OR($BJ434="",20&gt;設定!$B$3),"",IF(INDEX(原始資料!W$2:W$501,$BJ434)="","",INDEX(原始資料!W$2:W$501,$BJ434)))</f>
        <v/>
      </c>
      <c r="V434" s="6">
        <f>IF(OR($BJ434="",21&gt;設定!$B$3),"",IF(INDEX(原始資料!X$2:X$501,$BJ434)="","",INDEX(原始資料!X$2:X$501,$BJ434)))</f>
        <v/>
      </c>
      <c r="W434" s="6">
        <f>IF(OR($BJ434="",22&gt;設定!$B$3),"",IF(INDEX(原始資料!Y$2:Y$501,$BJ434)="","",INDEX(原始資料!Y$2:Y$501,$BJ434)))</f>
        <v/>
      </c>
      <c r="X434" s="6">
        <f>IF(OR($BJ434="",23&gt;設定!$B$3),"",IF(INDEX(原始資料!Z$2:Z$501,$BJ434)="","",INDEX(原始資料!Z$2:Z$501,$BJ434)))</f>
        <v/>
      </c>
      <c r="Y434" s="6">
        <f>IF(OR($BJ434="",24&gt;設定!$B$3),"",IF(INDEX(原始資料!AA$2:AA$501,$BJ434)="","",INDEX(原始資料!AA$2:AA$501,$BJ434)))</f>
        <v/>
      </c>
      <c r="Z434" s="6">
        <f>IF(OR($BJ434="",25&gt;設定!$B$3),"",IF(INDEX(原始資料!AB$2:AB$501,$BJ434)="","",INDEX(原始資料!AB$2:AB$501,$BJ434)))</f>
        <v/>
      </c>
      <c r="AA434" s="6">
        <f>IF(OR($BJ434="",26&gt;設定!$B$3),"",IF(INDEX(原始資料!AC$2:AC$501,$BJ434)="","",INDEX(原始資料!AC$2:AC$501,$BJ434)))</f>
        <v/>
      </c>
      <c r="AB434" s="6">
        <f>IF(OR($BJ434="",27&gt;設定!$B$3),"",IF(INDEX(原始資料!AD$2:AD$501,$BJ434)="","",INDEX(原始資料!AD$2:AD$501,$BJ434)))</f>
        <v/>
      </c>
      <c r="AC434" s="6">
        <f>IF(OR($BJ434="",28&gt;設定!$B$3),"",IF(INDEX(原始資料!AE$2:AE$501,$BJ434)="","",INDEX(原始資料!AE$2:AE$501,$BJ434)))</f>
        <v/>
      </c>
      <c r="AD434" s="6">
        <f>IF(OR($BJ434="",29&gt;設定!$B$3),"",IF(INDEX(原始資料!AF$2:AF$501,$BJ434)="","",INDEX(原始資料!AF$2:AF$501,$BJ434)))</f>
        <v/>
      </c>
      <c r="AE434" s="6">
        <f>IF(OR($BJ434="",30&gt;設定!$B$3),"",IF(INDEX(原始資料!AG$2:AG$501,$BJ434)="","",INDEX(原始資料!AG$2:AG$501,$BJ434)))</f>
        <v/>
      </c>
      <c r="AF434" s="6">
        <f>IF(OR($BJ434="",31&gt;設定!$B$3),"",IF(INDEX(原始資料!AH$2:AH$501,$BJ434)="","",INDEX(原始資料!AH$2:AH$501,$BJ434)))</f>
        <v/>
      </c>
      <c r="AG434" s="6">
        <f>IF(OR($BJ434="",32&gt;設定!$B$3),"",IF(INDEX(原始資料!AI$2:AI$501,$BJ434)="","",INDEX(原始資料!AI$2:AI$501,$BJ434)))</f>
        <v/>
      </c>
      <c r="AH434" s="6">
        <f>IF(OR($BJ434="",33&gt;設定!$B$3),"",IF(INDEX(原始資料!AJ$2:AJ$501,$BJ434)="","",INDEX(原始資料!AJ$2:AJ$501,$BJ434)))</f>
        <v/>
      </c>
      <c r="AI434" s="6">
        <f>IF(OR($BJ434="",34&gt;設定!$B$3),"",IF(INDEX(原始資料!AK$2:AK$501,$BJ434)="","",INDEX(原始資料!AK$2:AK$501,$BJ434)))</f>
        <v/>
      </c>
      <c r="AJ434" s="6">
        <f>IF(OR($BJ434="",35&gt;設定!$B$3),"",IF(INDEX(原始資料!AL$2:AL$501,$BJ434)="","",INDEX(原始資料!AL$2:AL$501,$BJ434)))</f>
        <v/>
      </c>
      <c r="AK434" s="6">
        <f>IF(OR($BJ434="",36&gt;設定!$B$3),"",IF(INDEX(原始資料!AM$2:AM$501,$BJ434)="","",INDEX(原始資料!AM$2:AM$501,$BJ434)))</f>
        <v/>
      </c>
      <c r="AL434" s="6">
        <f>IF(OR($BJ434="",37&gt;設定!$B$3),"",IF(INDEX(原始資料!AN$2:AN$501,$BJ434)="","",INDEX(原始資料!AN$2:AN$501,$BJ434)))</f>
        <v/>
      </c>
      <c r="AM434" s="6">
        <f>IF(OR($BJ434="",38&gt;設定!$B$3),"",IF(INDEX(原始資料!AO$2:AO$501,$BJ434)="","",INDEX(原始資料!AO$2:AO$501,$BJ434)))</f>
        <v/>
      </c>
      <c r="AN434" s="6">
        <f>IF(OR($BJ434="",39&gt;設定!$B$3),"",IF(INDEX(原始資料!AP$2:AP$501,$BJ434)="","",INDEX(原始資料!AP$2:AP$501,$BJ434)))</f>
        <v/>
      </c>
      <c r="AO434" s="6">
        <f>IF(OR($BJ434="",40&gt;設定!$B$3),"",IF(INDEX(原始資料!AQ$2:AQ$501,$BJ434)="","",INDEX(原始資料!AQ$2:AQ$501,$BJ434)))</f>
        <v/>
      </c>
      <c r="AP434" s="6">
        <f>IF(OR($BJ434="",41&gt;設定!$B$3),"",IF(INDEX(原始資料!AR$2:AR$501,$BJ434)="","",INDEX(原始資料!AR$2:AR$501,$BJ434)))</f>
        <v/>
      </c>
      <c r="AQ434" s="6">
        <f>IF(OR($BJ434="",42&gt;設定!$B$3),"",IF(INDEX(原始資料!AS$2:AS$501,$BJ434)="","",INDEX(原始資料!AS$2:AS$501,$BJ434)))</f>
        <v/>
      </c>
      <c r="AR434" s="6">
        <f>IF(OR($BJ434="",43&gt;設定!$B$3),"",IF(INDEX(原始資料!AT$2:AT$501,$BJ434)="","",INDEX(原始資料!AT$2:AT$501,$BJ434)))</f>
        <v/>
      </c>
      <c r="AS434" s="6">
        <f>IF(OR($BJ434="",44&gt;設定!$B$3),"",IF(INDEX(原始資料!AU$2:AU$501,$BJ434)="","",INDEX(原始資料!AU$2:AU$501,$BJ434)))</f>
        <v/>
      </c>
      <c r="AT434" s="6">
        <f>IF(OR($BJ434="",45&gt;設定!$B$3),"",IF(INDEX(原始資料!AV$2:AV$501,$BJ434)="","",INDEX(原始資料!AV$2:AV$501,$BJ434)))</f>
        <v/>
      </c>
      <c r="AU434" s="6">
        <f>IF(OR($BJ434="",46&gt;設定!$B$3),"",IF(INDEX(原始資料!AW$2:AW$501,$BJ434)="","",INDEX(原始資料!AW$2:AW$501,$BJ434)))</f>
        <v/>
      </c>
      <c r="AV434" s="6">
        <f>IF(OR($BJ434="",47&gt;設定!$B$3),"",IF(INDEX(原始資料!AX$2:AX$501,$BJ434)="","",INDEX(原始資料!AX$2:AX$501,$BJ434)))</f>
        <v/>
      </c>
      <c r="AW434" s="6">
        <f>IF(OR($BJ434="",48&gt;設定!$B$3),"",IF(INDEX(原始資料!AY$2:AY$501,$BJ434)="","",INDEX(原始資料!AY$2:AY$501,$BJ434)))</f>
        <v/>
      </c>
      <c r="AX434" s="6">
        <f>IF(OR($BJ434="",49&gt;設定!$B$3),"",IF(INDEX(原始資料!AZ$2:AZ$501,$BJ434)="","",INDEX(原始資料!AZ$2:AZ$501,$BJ434)))</f>
        <v/>
      </c>
      <c r="AY434" s="6">
        <f>IF(OR($BJ434="",50&gt;設定!$B$3),"",IF(INDEX(原始資料!BA$2:BA$501,$BJ434)="","",INDEX(原始資料!BA$2:BA$501,$BJ434)))</f>
        <v/>
      </c>
      <c r="AZ434" s="6">
        <f>IF(OR($BJ434="",51&gt;設定!$B$3),"",IF(INDEX(原始資料!BB$2:BB$501,$BJ434)="","",INDEX(原始資料!BB$2:BB$501,$BJ434)))</f>
        <v/>
      </c>
      <c r="BA434" s="6">
        <f>IF(OR($BJ434="",52&gt;設定!$B$3),"",IF(INDEX(原始資料!BC$2:BC$501,$BJ434)="","",INDEX(原始資料!BC$2:BC$501,$BJ434)))</f>
        <v/>
      </c>
      <c r="BB434" s="6">
        <f>IF(OR($BJ434="",53&gt;設定!$B$3),"",IF(INDEX(原始資料!BD$2:BD$501,$BJ434)="","",INDEX(原始資料!BD$2:BD$501,$BJ434)))</f>
        <v/>
      </c>
      <c r="BC434" s="6">
        <f>IF(OR($BJ434="",54&gt;設定!$B$3),"",IF(INDEX(原始資料!BE$2:BE$501,$BJ434)="","",INDEX(原始資料!BE$2:BE$501,$BJ434)))</f>
        <v/>
      </c>
      <c r="BD434" s="6">
        <f>IF(OR($BJ434="",55&gt;設定!$B$3),"",IF(INDEX(原始資料!BF$2:BF$501,$BJ434)="","",INDEX(原始資料!BF$2:BF$501,$BJ434)))</f>
        <v/>
      </c>
      <c r="BE434" s="6">
        <f>IF(OR($BJ434="",56&gt;設定!$B$3),"",IF(INDEX(原始資料!BG$2:BG$501,$BJ434)="","",INDEX(原始資料!BG$2:BG$501,$BJ434)))</f>
        <v/>
      </c>
      <c r="BF434" s="6">
        <f>IF(OR($BJ434="",57&gt;設定!$B$3),"",IF(INDEX(原始資料!BH$2:BH$501,$BJ434)="","",INDEX(原始資料!BH$2:BH$501,$BJ434)))</f>
        <v/>
      </c>
      <c r="BG434" s="6">
        <f>IF(OR($BJ434="",58&gt;設定!$B$3),"",IF(INDEX(原始資料!BI$2:BI$501,$BJ434)="","",INDEX(原始資料!BI$2:BI$501,$BJ434)))</f>
        <v/>
      </c>
      <c r="BH434" s="6">
        <f>IF(OR($BJ434="",59&gt;設定!$B$3),"",IF(INDEX(原始資料!BJ$2:BJ$501,$BJ434)="","",INDEX(原始資料!BJ$2:BJ$501,$BJ434)))</f>
        <v/>
      </c>
      <c r="BI434" s="6">
        <f>IF(OR($BJ434="",60&gt;設定!$B$3),"",IF(INDEX(原始資料!BK$2:BK$501,$BJ434)="","",INDEX(原始資料!BK$2:BK$501,$BJ434)))</f>
        <v/>
      </c>
      <c r="BJ434" s="6">
        <f>IFERROR(MATCH(ROW()-1,判定!$H$2:$H$501,0),"")</f>
        <v/>
      </c>
    </row>
    <row r="435">
      <c r="A435" s="6">
        <f>IF($BJ435="","",INDEX(原始資料!$A$2:$A$501,$BJ435))</f>
        <v/>
      </c>
      <c r="B435" s="6">
        <f>IF(OR($BJ435="",1&gt;設定!$B$3),"",IF(INDEX(原始資料!D$2:D$501,$BJ435)="","",INDEX(原始資料!D$2:D$501,$BJ435)))</f>
        <v/>
      </c>
      <c r="C435" s="6">
        <f>IF(OR($BJ435="",2&gt;設定!$B$3),"",IF(INDEX(原始資料!E$2:E$501,$BJ435)="","",INDEX(原始資料!E$2:E$501,$BJ435)))</f>
        <v/>
      </c>
      <c r="D435" s="6">
        <f>IF(OR($BJ435="",3&gt;設定!$B$3),"",IF(INDEX(原始資料!F$2:F$501,$BJ435)="","",INDEX(原始資料!F$2:F$501,$BJ435)))</f>
        <v/>
      </c>
      <c r="E435" s="6">
        <f>IF(OR($BJ435="",4&gt;設定!$B$3),"",IF(INDEX(原始資料!G$2:G$501,$BJ435)="","",INDEX(原始資料!G$2:G$501,$BJ435)))</f>
        <v/>
      </c>
      <c r="F435" s="6">
        <f>IF(OR($BJ435="",5&gt;設定!$B$3),"",IF(INDEX(原始資料!H$2:H$501,$BJ435)="","",INDEX(原始資料!H$2:H$501,$BJ435)))</f>
        <v/>
      </c>
      <c r="G435" s="6">
        <f>IF(OR($BJ435="",6&gt;設定!$B$3),"",IF(INDEX(原始資料!I$2:I$501,$BJ435)="","",INDEX(原始資料!I$2:I$501,$BJ435)))</f>
        <v/>
      </c>
      <c r="H435" s="6">
        <f>IF(OR($BJ435="",7&gt;設定!$B$3),"",IF(INDEX(原始資料!J$2:J$501,$BJ435)="","",INDEX(原始資料!J$2:J$501,$BJ435)))</f>
        <v/>
      </c>
      <c r="I435" s="6">
        <f>IF(OR($BJ435="",8&gt;設定!$B$3),"",IF(INDEX(原始資料!K$2:K$501,$BJ435)="","",INDEX(原始資料!K$2:K$501,$BJ435)))</f>
        <v/>
      </c>
      <c r="J435" s="6">
        <f>IF(OR($BJ435="",9&gt;設定!$B$3),"",IF(INDEX(原始資料!L$2:L$501,$BJ435)="","",INDEX(原始資料!L$2:L$501,$BJ435)))</f>
        <v/>
      </c>
      <c r="K435" s="6">
        <f>IF(OR($BJ435="",10&gt;設定!$B$3),"",IF(INDEX(原始資料!M$2:M$501,$BJ435)="","",INDEX(原始資料!M$2:M$501,$BJ435)))</f>
        <v/>
      </c>
      <c r="L435" s="6">
        <f>IF(OR($BJ435="",11&gt;設定!$B$3),"",IF(INDEX(原始資料!N$2:N$501,$BJ435)="","",INDEX(原始資料!N$2:N$501,$BJ435)))</f>
        <v/>
      </c>
      <c r="M435" s="6">
        <f>IF(OR($BJ435="",12&gt;設定!$B$3),"",IF(INDEX(原始資料!O$2:O$501,$BJ435)="","",INDEX(原始資料!O$2:O$501,$BJ435)))</f>
        <v/>
      </c>
      <c r="N435" s="6">
        <f>IF(OR($BJ435="",13&gt;設定!$B$3),"",IF(INDEX(原始資料!P$2:P$501,$BJ435)="","",INDEX(原始資料!P$2:P$501,$BJ435)))</f>
        <v/>
      </c>
      <c r="O435" s="6">
        <f>IF(OR($BJ435="",14&gt;設定!$B$3),"",IF(INDEX(原始資料!Q$2:Q$501,$BJ435)="","",INDEX(原始資料!Q$2:Q$501,$BJ435)))</f>
        <v/>
      </c>
      <c r="P435" s="6">
        <f>IF(OR($BJ435="",15&gt;設定!$B$3),"",IF(INDEX(原始資料!R$2:R$501,$BJ435)="","",INDEX(原始資料!R$2:R$501,$BJ435)))</f>
        <v/>
      </c>
      <c r="Q435" s="6">
        <f>IF(OR($BJ435="",16&gt;設定!$B$3),"",IF(INDEX(原始資料!S$2:S$501,$BJ435)="","",INDEX(原始資料!S$2:S$501,$BJ435)))</f>
        <v/>
      </c>
      <c r="R435" s="6">
        <f>IF(OR($BJ435="",17&gt;設定!$B$3),"",IF(INDEX(原始資料!T$2:T$501,$BJ435)="","",INDEX(原始資料!T$2:T$501,$BJ435)))</f>
        <v/>
      </c>
      <c r="S435" s="6">
        <f>IF(OR($BJ435="",18&gt;設定!$B$3),"",IF(INDEX(原始資料!U$2:U$501,$BJ435)="","",INDEX(原始資料!U$2:U$501,$BJ435)))</f>
        <v/>
      </c>
      <c r="T435" s="6">
        <f>IF(OR($BJ435="",19&gt;設定!$B$3),"",IF(INDEX(原始資料!V$2:V$501,$BJ435)="","",INDEX(原始資料!V$2:V$501,$BJ435)))</f>
        <v/>
      </c>
      <c r="U435" s="6">
        <f>IF(OR($BJ435="",20&gt;設定!$B$3),"",IF(INDEX(原始資料!W$2:W$501,$BJ435)="","",INDEX(原始資料!W$2:W$501,$BJ435)))</f>
        <v/>
      </c>
      <c r="V435" s="6">
        <f>IF(OR($BJ435="",21&gt;設定!$B$3),"",IF(INDEX(原始資料!X$2:X$501,$BJ435)="","",INDEX(原始資料!X$2:X$501,$BJ435)))</f>
        <v/>
      </c>
      <c r="W435" s="6">
        <f>IF(OR($BJ435="",22&gt;設定!$B$3),"",IF(INDEX(原始資料!Y$2:Y$501,$BJ435)="","",INDEX(原始資料!Y$2:Y$501,$BJ435)))</f>
        <v/>
      </c>
      <c r="X435" s="6">
        <f>IF(OR($BJ435="",23&gt;設定!$B$3),"",IF(INDEX(原始資料!Z$2:Z$501,$BJ435)="","",INDEX(原始資料!Z$2:Z$501,$BJ435)))</f>
        <v/>
      </c>
      <c r="Y435" s="6">
        <f>IF(OR($BJ435="",24&gt;設定!$B$3),"",IF(INDEX(原始資料!AA$2:AA$501,$BJ435)="","",INDEX(原始資料!AA$2:AA$501,$BJ435)))</f>
        <v/>
      </c>
      <c r="Z435" s="6">
        <f>IF(OR($BJ435="",25&gt;設定!$B$3),"",IF(INDEX(原始資料!AB$2:AB$501,$BJ435)="","",INDEX(原始資料!AB$2:AB$501,$BJ435)))</f>
        <v/>
      </c>
      <c r="AA435" s="6">
        <f>IF(OR($BJ435="",26&gt;設定!$B$3),"",IF(INDEX(原始資料!AC$2:AC$501,$BJ435)="","",INDEX(原始資料!AC$2:AC$501,$BJ435)))</f>
        <v/>
      </c>
      <c r="AB435" s="6">
        <f>IF(OR($BJ435="",27&gt;設定!$B$3),"",IF(INDEX(原始資料!AD$2:AD$501,$BJ435)="","",INDEX(原始資料!AD$2:AD$501,$BJ435)))</f>
        <v/>
      </c>
      <c r="AC435" s="6">
        <f>IF(OR($BJ435="",28&gt;設定!$B$3),"",IF(INDEX(原始資料!AE$2:AE$501,$BJ435)="","",INDEX(原始資料!AE$2:AE$501,$BJ435)))</f>
        <v/>
      </c>
      <c r="AD435" s="6">
        <f>IF(OR($BJ435="",29&gt;設定!$B$3),"",IF(INDEX(原始資料!AF$2:AF$501,$BJ435)="","",INDEX(原始資料!AF$2:AF$501,$BJ435)))</f>
        <v/>
      </c>
      <c r="AE435" s="6">
        <f>IF(OR($BJ435="",30&gt;設定!$B$3),"",IF(INDEX(原始資料!AG$2:AG$501,$BJ435)="","",INDEX(原始資料!AG$2:AG$501,$BJ435)))</f>
        <v/>
      </c>
      <c r="AF435" s="6">
        <f>IF(OR($BJ435="",31&gt;設定!$B$3),"",IF(INDEX(原始資料!AH$2:AH$501,$BJ435)="","",INDEX(原始資料!AH$2:AH$501,$BJ435)))</f>
        <v/>
      </c>
      <c r="AG435" s="6">
        <f>IF(OR($BJ435="",32&gt;設定!$B$3),"",IF(INDEX(原始資料!AI$2:AI$501,$BJ435)="","",INDEX(原始資料!AI$2:AI$501,$BJ435)))</f>
        <v/>
      </c>
      <c r="AH435" s="6">
        <f>IF(OR($BJ435="",33&gt;設定!$B$3),"",IF(INDEX(原始資料!AJ$2:AJ$501,$BJ435)="","",INDEX(原始資料!AJ$2:AJ$501,$BJ435)))</f>
        <v/>
      </c>
      <c r="AI435" s="6">
        <f>IF(OR($BJ435="",34&gt;設定!$B$3),"",IF(INDEX(原始資料!AK$2:AK$501,$BJ435)="","",INDEX(原始資料!AK$2:AK$501,$BJ435)))</f>
        <v/>
      </c>
      <c r="AJ435" s="6">
        <f>IF(OR($BJ435="",35&gt;設定!$B$3),"",IF(INDEX(原始資料!AL$2:AL$501,$BJ435)="","",INDEX(原始資料!AL$2:AL$501,$BJ435)))</f>
        <v/>
      </c>
      <c r="AK435" s="6">
        <f>IF(OR($BJ435="",36&gt;設定!$B$3),"",IF(INDEX(原始資料!AM$2:AM$501,$BJ435)="","",INDEX(原始資料!AM$2:AM$501,$BJ435)))</f>
        <v/>
      </c>
      <c r="AL435" s="6">
        <f>IF(OR($BJ435="",37&gt;設定!$B$3),"",IF(INDEX(原始資料!AN$2:AN$501,$BJ435)="","",INDEX(原始資料!AN$2:AN$501,$BJ435)))</f>
        <v/>
      </c>
      <c r="AM435" s="6">
        <f>IF(OR($BJ435="",38&gt;設定!$B$3),"",IF(INDEX(原始資料!AO$2:AO$501,$BJ435)="","",INDEX(原始資料!AO$2:AO$501,$BJ435)))</f>
        <v/>
      </c>
      <c r="AN435" s="6">
        <f>IF(OR($BJ435="",39&gt;設定!$B$3),"",IF(INDEX(原始資料!AP$2:AP$501,$BJ435)="","",INDEX(原始資料!AP$2:AP$501,$BJ435)))</f>
        <v/>
      </c>
      <c r="AO435" s="6">
        <f>IF(OR($BJ435="",40&gt;設定!$B$3),"",IF(INDEX(原始資料!AQ$2:AQ$501,$BJ435)="","",INDEX(原始資料!AQ$2:AQ$501,$BJ435)))</f>
        <v/>
      </c>
      <c r="AP435" s="6">
        <f>IF(OR($BJ435="",41&gt;設定!$B$3),"",IF(INDEX(原始資料!AR$2:AR$501,$BJ435)="","",INDEX(原始資料!AR$2:AR$501,$BJ435)))</f>
        <v/>
      </c>
      <c r="AQ435" s="6">
        <f>IF(OR($BJ435="",42&gt;設定!$B$3),"",IF(INDEX(原始資料!AS$2:AS$501,$BJ435)="","",INDEX(原始資料!AS$2:AS$501,$BJ435)))</f>
        <v/>
      </c>
      <c r="AR435" s="6">
        <f>IF(OR($BJ435="",43&gt;設定!$B$3),"",IF(INDEX(原始資料!AT$2:AT$501,$BJ435)="","",INDEX(原始資料!AT$2:AT$501,$BJ435)))</f>
        <v/>
      </c>
      <c r="AS435" s="6">
        <f>IF(OR($BJ435="",44&gt;設定!$B$3),"",IF(INDEX(原始資料!AU$2:AU$501,$BJ435)="","",INDEX(原始資料!AU$2:AU$501,$BJ435)))</f>
        <v/>
      </c>
      <c r="AT435" s="6">
        <f>IF(OR($BJ435="",45&gt;設定!$B$3),"",IF(INDEX(原始資料!AV$2:AV$501,$BJ435)="","",INDEX(原始資料!AV$2:AV$501,$BJ435)))</f>
        <v/>
      </c>
      <c r="AU435" s="6">
        <f>IF(OR($BJ435="",46&gt;設定!$B$3),"",IF(INDEX(原始資料!AW$2:AW$501,$BJ435)="","",INDEX(原始資料!AW$2:AW$501,$BJ435)))</f>
        <v/>
      </c>
      <c r="AV435" s="6">
        <f>IF(OR($BJ435="",47&gt;設定!$B$3),"",IF(INDEX(原始資料!AX$2:AX$501,$BJ435)="","",INDEX(原始資料!AX$2:AX$501,$BJ435)))</f>
        <v/>
      </c>
      <c r="AW435" s="6">
        <f>IF(OR($BJ435="",48&gt;設定!$B$3),"",IF(INDEX(原始資料!AY$2:AY$501,$BJ435)="","",INDEX(原始資料!AY$2:AY$501,$BJ435)))</f>
        <v/>
      </c>
      <c r="AX435" s="6">
        <f>IF(OR($BJ435="",49&gt;設定!$B$3),"",IF(INDEX(原始資料!AZ$2:AZ$501,$BJ435)="","",INDEX(原始資料!AZ$2:AZ$501,$BJ435)))</f>
        <v/>
      </c>
      <c r="AY435" s="6">
        <f>IF(OR($BJ435="",50&gt;設定!$B$3),"",IF(INDEX(原始資料!BA$2:BA$501,$BJ435)="","",INDEX(原始資料!BA$2:BA$501,$BJ435)))</f>
        <v/>
      </c>
      <c r="AZ435" s="6">
        <f>IF(OR($BJ435="",51&gt;設定!$B$3),"",IF(INDEX(原始資料!BB$2:BB$501,$BJ435)="","",INDEX(原始資料!BB$2:BB$501,$BJ435)))</f>
        <v/>
      </c>
      <c r="BA435" s="6">
        <f>IF(OR($BJ435="",52&gt;設定!$B$3),"",IF(INDEX(原始資料!BC$2:BC$501,$BJ435)="","",INDEX(原始資料!BC$2:BC$501,$BJ435)))</f>
        <v/>
      </c>
      <c r="BB435" s="6">
        <f>IF(OR($BJ435="",53&gt;設定!$B$3),"",IF(INDEX(原始資料!BD$2:BD$501,$BJ435)="","",INDEX(原始資料!BD$2:BD$501,$BJ435)))</f>
        <v/>
      </c>
      <c r="BC435" s="6">
        <f>IF(OR($BJ435="",54&gt;設定!$B$3),"",IF(INDEX(原始資料!BE$2:BE$501,$BJ435)="","",INDEX(原始資料!BE$2:BE$501,$BJ435)))</f>
        <v/>
      </c>
      <c r="BD435" s="6">
        <f>IF(OR($BJ435="",55&gt;設定!$B$3),"",IF(INDEX(原始資料!BF$2:BF$501,$BJ435)="","",INDEX(原始資料!BF$2:BF$501,$BJ435)))</f>
        <v/>
      </c>
      <c r="BE435" s="6">
        <f>IF(OR($BJ435="",56&gt;設定!$B$3),"",IF(INDEX(原始資料!BG$2:BG$501,$BJ435)="","",INDEX(原始資料!BG$2:BG$501,$BJ435)))</f>
        <v/>
      </c>
      <c r="BF435" s="6">
        <f>IF(OR($BJ435="",57&gt;設定!$B$3),"",IF(INDEX(原始資料!BH$2:BH$501,$BJ435)="","",INDEX(原始資料!BH$2:BH$501,$BJ435)))</f>
        <v/>
      </c>
      <c r="BG435" s="6">
        <f>IF(OR($BJ435="",58&gt;設定!$B$3),"",IF(INDEX(原始資料!BI$2:BI$501,$BJ435)="","",INDEX(原始資料!BI$2:BI$501,$BJ435)))</f>
        <v/>
      </c>
      <c r="BH435" s="6">
        <f>IF(OR($BJ435="",59&gt;設定!$B$3),"",IF(INDEX(原始資料!BJ$2:BJ$501,$BJ435)="","",INDEX(原始資料!BJ$2:BJ$501,$BJ435)))</f>
        <v/>
      </c>
      <c r="BI435" s="6">
        <f>IF(OR($BJ435="",60&gt;設定!$B$3),"",IF(INDEX(原始資料!BK$2:BK$501,$BJ435)="","",INDEX(原始資料!BK$2:BK$501,$BJ435)))</f>
        <v/>
      </c>
      <c r="BJ435" s="6">
        <f>IFERROR(MATCH(ROW()-1,判定!$H$2:$H$501,0),"")</f>
        <v/>
      </c>
    </row>
    <row r="436">
      <c r="A436" s="6">
        <f>IF($BJ436="","",INDEX(原始資料!$A$2:$A$501,$BJ436))</f>
        <v/>
      </c>
      <c r="B436" s="6">
        <f>IF(OR($BJ436="",1&gt;設定!$B$3),"",IF(INDEX(原始資料!D$2:D$501,$BJ436)="","",INDEX(原始資料!D$2:D$501,$BJ436)))</f>
        <v/>
      </c>
      <c r="C436" s="6">
        <f>IF(OR($BJ436="",2&gt;設定!$B$3),"",IF(INDEX(原始資料!E$2:E$501,$BJ436)="","",INDEX(原始資料!E$2:E$501,$BJ436)))</f>
        <v/>
      </c>
      <c r="D436" s="6">
        <f>IF(OR($BJ436="",3&gt;設定!$B$3),"",IF(INDEX(原始資料!F$2:F$501,$BJ436)="","",INDEX(原始資料!F$2:F$501,$BJ436)))</f>
        <v/>
      </c>
      <c r="E436" s="6">
        <f>IF(OR($BJ436="",4&gt;設定!$B$3),"",IF(INDEX(原始資料!G$2:G$501,$BJ436)="","",INDEX(原始資料!G$2:G$501,$BJ436)))</f>
        <v/>
      </c>
      <c r="F436" s="6">
        <f>IF(OR($BJ436="",5&gt;設定!$B$3),"",IF(INDEX(原始資料!H$2:H$501,$BJ436)="","",INDEX(原始資料!H$2:H$501,$BJ436)))</f>
        <v/>
      </c>
      <c r="G436" s="6">
        <f>IF(OR($BJ436="",6&gt;設定!$B$3),"",IF(INDEX(原始資料!I$2:I$501,$BJ436)="","",INDEX(原始資料!I$2:I$501,$BJ436)))</f>
        <v/>
      </c>
      <c r="H436" s="6">
        <f>IF(OR($BJ436="",7&gt;設定!$B$3),"",IF(INDEX(原始資料!J$2:J$501,$BJ436)="","",INDEX(原始資料!J$2:J$501,$BJ436)))</f>
        <v/>
      </c>
      <c r="I436" s="6">
        <f>IF(OR($BJ436="",8&gt;設定!$B$3),"",IF(INDEX(原始資料!K$2:K$501,$BJ436)="","",INDEX(原始資料!K$2:K$501,$BJ436)))</f>
        <v/>
      </c>
      <c r="J436" s="6">
        <f>IF(OR($BJ436="",9&gt;設定!$B$3),"",IF(INDEX(原始資料!L$2:L$501,$BJ436)="","",INDEX(原始資料!L$2:L$501,$BJ436)))</f>
        <v/>
      </c>
      <c r="K436" s="6">
        <f>IF(OR($BJ436="",10&gt;設定!$B$3),"",IF(INDEX(原始資料!M$2:M$501,$BJ436)="","",INDEX(原始資料!M$2:M$501,$BJ436)))</f>
        <v/>
      </c>
      <c r="L436" s="6">
        <f>IF(OR($BJ436="",11&gt;設定!$B$3),"",IF(INDEX(原始資料!N$2:N$501,$BJ436)="","",INDEX(原始資料!N$2:N$501,$BJ436)))</f>
        <v/>
      </c>
      <c r="M436" s="6">
        <f>IF(OR($BJ436="",12&gt;設定!$B$3),"",IF(INDEX(原始資料!O$2:O$501,$BJ436)="","",INDEX(原始資料!O$2:O$501,$BJ436)))</f>
        <v/>
      </c>
      <c r="N436" s="6">
        <f>IF(OR($BJ436="",13&gt;設定!$B$3),"",IF(INDEX(原始資料!P$2:P$501,$BJ436)="","",INDEX(原始資料!P$2:P$501,$BJ436)))</f>
        <v/>
      </c>
      <c r="O436" s="6">
        <f>IF(OR($BJ436="",14&gt;設定!$B$3),"",IF(INDEX(原始資料!Q$2:Q$501,$BJ436)="","",INDEX(原始資料!Q$2:Q$501,$BJ436)))</f>
        <v/>
      </c>
      <c r="P436" s="6">
        <f>IF(OR($BJ436="",15&gt;設定!$B$3),"",IF(INDEX(原始資料!R$2:R$501,$BJ436)="","",INDEX(原始資料!R$2:R$501,$BJ436)))</f>
        <v/>
      </c>
      <c r="Q436" s="6">
        <f>IF(OR($BJ436="",16&gt;設定!$B$3),"",IF(INDEX(原始資料!S$2:S$501,$BJ436)="","",INDEX(原始資料!S$2:S$501,$BJ436)))</f>
        <v/>
      </c>
      <c r="R436" s="6">
        <f>IF(OR($BJ436="",17&gt;設定!$B$3),"",IF(INDEX(原始資料!T$2:T$501,$BJ436)="","",INDEX(原始資料!T$2:T$501,$BJ436)))</f>
        <v/>
      </c>
      <c r="S436" s="6">
        <f>IF(OR($BJ436="",18&gt;設定!$B$3),"",IF(INDEX(原始資料!U$2:U$501,$BJ436)="","",INDEX(原始資料!U$2:U$501,$BJ436)))</f>
        <v/>
      </c>
      <c r="T436" s="6">
        <f>IF(OR($BJ436="",19&gt;設定!$B$3),"",IF(INDEX(原始資料!V$2:V$501,$BJ436)="","",INDEX(原始資料!V$2:V$501,$BJ436)))</f>
        <v/>
      </c>
      <c r="U436" s="6">
        <f>IF(OR($BJ436="",20&gt;設定!$B$3),"",IF(INDEX(原始資料!W$2:W$501,$BJ436)="","",INDEX(原始資料!W$2:W$501,$BJ436)))</f>
        <v/>
      </c>
      <c r="V436" s="6">
        <f>IF(OR($BJ436="",21&gt;設定!$B$3),"",IF(INDEX(原始資料!X$2:X$501,$BJ436)="","",INDEX(原始資料!X$2:X$501,$BJ436)))</f>
        <v/>
      </c>
      <c r="W436" s="6">
        <f>IF(OR($BJ436="",22&gt;設定!$B$3),"",IF(INDEX(原始資料!Y$2:Y$501,$BJ436)="","",INDEX(原始資料!Y$2:Y$501,$BJ436)))</f>
        <v/>
      </c>
      <c r="X436" s="6">
        <f>IF(OR($BJ436="",23&gt;設定!$B$3),"",IF(INDEX(原始資料!Z$2:Z$501,$BJ436)="","",INDEX(原始資料!Z$2:Z$501,$BJ436)))</f>
        <v/>
      </c>
      <c r="Y436" s="6">
        <f>IF(OR($BJ436="",24&gt;設定!$B$3),"",IF(INDEX(原始資料!AA$2:AA$501,$BJ436)="","",INDEX(原始資料!AA$2:AA$501,$BJ436)))</f>
        <v/>
      </c>
      <c r="Z436" s="6">
        <f>IF(OR($BJ436="",25&gt;設定!$B$3),"",IF(INDEX(原始資料!AB$2:AB$501,$BJ436)="","",INDEX(原始資料!AB$2:AB$501,$BJ436)))</f>
        <v/>
      </c>
      <c r="AA436" s="6">
        <f>IF(OR($BJ436="",26&gt;設定!$B$3),"",IF(INDEX(原始資料!AC$2:AC$501,$BJ436)="","",INDEX(原始資料!AC$2:AC$501,$BJ436)))</f>
        <v/>
      </c>
      <c r="AB436" s="6">
        <f>IF(OR($BJ436="",27&gt;設定!$B$3),"",IF(INDEX(原始資料!AD$2:AD$501,$BJ436)="","",INDEX(原始資料!AD$2:AD$501,$BJ436)))</f>
        <v/>
      </c>
      <c r="AC436" s="6">
        <f>IF(OR($BJ436="",28&gt;設定!$B$3),"",IF(INDEX(原始資料!AE$2:AE$501,$BJ436)="","",INDEX(原始資料!AE$2:AE$501,$BJ436)))</f>
        <v/>
      </c>
      <c r="AD436" s="6">
        <f>IF(OR($BJ436="",29&gt;設定!$B$3),"",IF(INDEX(原始資料!AF$2:AF$501,$BJ436)="","",INDEX(原始資料!AF$2:AF$501,$BJ436)))</f>
        <v/>
      </c>
      <c r="AE436" s="6">
        <f>IF(OR($BJ436="",30&gt;設定!$B$3),"",IF(INDEX(原始資料!AG$2:AG$501,$BJ436)="","",INDEX(原始資料!AG$2:AG$501,$BJ436)))</f>
        <v/>
      </c>
      <c r="AF436" s="6">
        <f>IF(OR($BJ436="",31&gt;設定!$B$3),"",IF(INDEX(原始資料!AH$2:AH$501,$BJ436)="","",INDEX(原始資料!AH$2:AH$501,$BJ436)))</f>
        <v/>
      </c>
      <c r="AG436" s="6">
        <f>IF(OR($BJ436="",32&gt;設定!$B$3),"",IF(INDEX(原始資料!AI$2:AI$501,$BJ436)="","",INDEX(原始資料!AI$2:AI$501,$BJ436)))</f>
        <v/>
      </c>
      <c r="AH436" s="6">
        <f>IF(OR($BJ436="",33&gt;設定!$B$3),"",IF(INDEX(原始資料!AJ$2:AJ$501,$BJ436)="","",INDEX(原始資料!AJ$2:AJ$501,$BJ436)))</f>
        <v/>
      </c>
      <c r="AI436" s="6">
        <f>IF(OR($BJ436="",34&gt;設定!$B$3),"",IF(INDEX(原始資料!AK$2:AK$501,$BJ436)="","",INDEX(原始資料!AK$2:AK$501,$BJ436)))</f>
        <v/>
      </c>
      <c r="AJ436" s="6">
        <f>IF(OR($BJ436="",35&gt;設定!$B$3),"",IF(INDEX(原始資料!AL$2:AL$501,$BJ436)="","",INDEX(原始資料!AL$2:AL$501,$BJ436)))</f>
        <v/>
      </c>
      <c r="AK436" s="6">
        <f>IF(OR($BJ436="",36&gt;設定!$B$3),"",IF(INDEX(原始資料!AM$2:AM$501,$BJ436)="","",INDEX(原始資料!AM$2:AM$501,$BJ436)))</f>
        <v/>
      </c>
      <c r="AL436" s="6">
        <f>IF(OR($BJ436="",37&gt;設定!$B$3),"",IF(INDEX(原始資料!AN$2:AN$501,$BJ436)="","",INDEX(原始資料!AN$2:AN$501,$BJ436)))</f>
        <v/>
      </c>
      <c r="AM436" s="6">
        <f>IF(OR($BJ436="",38&gt;設定!$B$3),"",IF(INDEX(原始資料!AO$2:AO$501,$BJ436)="","",INDEX(原始資料!AO$2:AO$501,$BJ436)))</f>
        <v/>
      </c>
      <c r="AN436" s="6">
        <f>IF(OR($BJ436="",39&gt;設定!$B$3),"",IF(INDEX(原始資料!AP$2:AP$501,$BJ436)="","",INDEX(原始資料!AP$2:AP$501,$BJ436)))</f>
        <v/>
      </c>
      <c r="AO436" s="6">
        <f>IF(OR($BJ436="",40&gt;設定!$B$3),"",IF(INDEX(原始資料!AQ$2:AQ$501,$BJ436)="","",INDEX(原始資料!AQ$2:AQ$501,$BJ436)))</f>
        <v/>
      </c>
      <c r="AP436" s="6">
        <f>IF(OR($BJ436="",41&gt;設定!$B$3),"",IF(INDEX(原始資料!AR$2:AR$501,$BJ436)="","",INDEX(原始資料!AR$2:AR$501,$BJ436)))</f>
        <v/>
      </c>
      <c r="AQ436" s="6">
        <f>IF(OR($BJ436="",42&gt;設定!$B$3),"",IF(INDEX(原始資料!AS$2:AS$501,$BJ436)="","",INDEX(原始資料!AS$2:AS$501,$BJ436)))</f>
        <v/>
      </c>
      <c r="AR436" s="6">
        <f>IF(OR($BJ436="",43&gt;設定!$B$3),"",IF(INDEX(原始資料!AT$2:AT$501,$BJ436)="","",INDEX(原始資料!AT$2:AT$501,$BJ436)))</f>
        <v/>
      </c>
      <c r="AS436" s="6">
        <f>IF(OR($BJ436="",44&gt;設定!$B$3),"",IF(INDEX(原始資料!AU$2:AU$501,$BJ436)="","",INDEX(原始資料!AU$2:AU$501,$BJ436)))</f>
        <v/>
      </c>
      <c r="AT436" s="6">
        <f>IF(OR($BJ436="",45&gt;設定!$B$3),"",IF(INDEX(原始資料!AV$2:AV$501,$BJ436)="","",INDEX(原始資料!AV$2:AV$501,$BJ436)))</f>
        <v/>
      </c>
      <c r="AU436" s="6">
        <f>IF(OR($BJ436="",46&gt;設定!$B$3),"",IF(INDEX(原始資料!AW$2:AW$501,$BJ436)="","",INDEX(原始資料!AW$2:AW$501,$BJ436)))</f>
        <v/>
      </c>
      <c r="AV436" s="6">
        <f>IF(OR($BJ436="",47&gt;設定!$B$3),"",IF(INDEX(原始資料!AX$2:AX$501,$BJ436)="","",INDEX(原始資料!AX$2:AX$501,$BJ436)))</f>
        <v/>
      </c>
      <c r="AW436" s="6">
        <f>IF(OR($BJ436="",48&gt;設定!$B$3),"",IF(INDEX(原始資料!AY$2:AY$501,$BJ436)="","",INDEX(原始資料!AY$2:AY$501,$BJ436)))</f>
        <v/>
      </c>
      <c r="AX436" s="6">
        <f>IF(OR($BJ436="",49&gt;設定!$B$3),"",IF(INDEX(原始資料!AZ$2:AZ$501,$BJ436)="","",INDEX(原始資料!AZ$2:AZ$501,$BJ436)))</f>
        <v/>
      </c>
      <c r="AY436" s="6">
        <f>IF(OR($BJ436="",50&gt;設定!$B$3),"",IF(INDEX(原始資料!BA$2:BA$501,$BJ436)="","",INDEX(原始資料!BA$2:BA$501,$BJ436)))</f>
        <v/>
      </c>
      <c r="AZ436" s="6">
        <f>IF(OR($BJ436="",51&gt;設定!$B$3),"",IF(INDEX(原始資料!BB$2:BB$501,$BJ436)="","",INDEX(原始資料!BB$2:BB$501,$BJ436)))</f>
        <v/>
      </c>
      <c r="BA436" s="6">
        <f>IF(OR($BJ436="",52&gt;設定!$B$3),"",IF(INDEX(原始資料!BC$2:BC$501,$BJ436)="","",INDEX(原始資料!BC$2:BC$501,$BJ436)))</f>
        <v/>
      </c>
      <c r="BB436" s="6">
        <f>IF(OR($BJ436="",53&gt;設定!$B$3),"",IF(INDEX(原始資料!BD$2:BD$501,$BJ436)="","",INDEX(原始資料!BD$2:BD$501,$BJ436)))</f>
        <v/>
      </c>
      <c r="BC436" s="6">
        <f>IF(OR($BJ436="",54&gt;設定!$B$3),"",IF(INDEX(原始資料!BE$2:BE$501,$BJ436)="","",INDEX(原始資料!BE$2:BE$501,$BJ436)))</f>
        <v/>
      </c>
      <c r="BD436" s="6">
        <f>IF(OR($BJ436="",55&gt;設定!$B$3),"",IF(INDEX(原始資料!BF$2:BF$501,$BJ436)="","",INDEX(原始資料!BF$2:BF$501,$BJ436)))</f>
        <v/>
      </c>
      <c r="BE436" s="6">
        <f>IF(OR($BJ436="",56&gt;設定!$B$3),"",IF(INDEX(原始資料!BG$2:BG$501,$BJ436)="","",INDEX(原始資料!BG$2:BG$501,$BJ436)))</f>
        <v/>
      </c>
      <c r="BF436" s="6">
        <f>IF(OR($BJ436="",57&gt;設定!$B$3),"",IF(INDEX(原始資料!BH$2:BH$501,$BJ436)="","",INDEX(原始資料!BH$2:BH$501,$BJ436)))</f>
        <v/>
      </c>
      <c r="BG436" s="6">
        <f>IF(OR($BJ436="",58&gt;設定!$B$3),"",IF(INDEX(原始資料!BI$2:BI$501,$BJ436)="","",INDEX(原始資料!BI$2:BI$501,$BJ436)))</f>
        <v/>
      </c>
      <c r="BH436" s="6">
        <f>IF(OR($BJ436="",59&gt;設定!$B$3),"",IF(INDEX(原始資料!BJ$2:BJ$501,$BJ436)="","",INDEX(原始資料!BJ$2:BJ$501,$BJ436)))</f>
        <v/>
      </c>
      <c r="BI436" s="6">
        <f>IF(OR($BJ436="",60&gt;設定!$B$3),"",IF(INDEX(原始資料!BK$2:BK$501,$BJ436)="","",INDEX(原始資料!BK$2:BK$501,$BJ436)))</f>
        <v/>
      </c>
      <c r="BJ436" s="6">
        <f>IFERROR(MATCH(ROW()-1,判定!$H$2:$H$501,0),"")</f>
        <v/>
      </c>
    </row>
    <row r="437">
      <c r="A437" s="6">
        <f>IF($BJ437="","",INDEX(原始資料!$A$2:$A$501,$BJ437))</f>
        <v/>
      </c>
      <c r="B437" s="6">
        <f>IF(OR($BJ437="",1&gt;設定!$B$3),"",IF(INDEX(原始資料!D$2:D$501,$BJ437)="","",INDEX(原始資料!D$2:D$501,$BJ437)))</f>
        <v/>
      </c>
      <c r="C437" s="6">
        <f>IF(OR($BJ437="",2&gt;設定!$B$3),"",IF(INDEX(原始資料!E$2:E$501,$BJ437)="","",INDEX(原始資料!E$2:E$501,$BJ437)))</f>
        <v/>
      </c>
      <c r="D437" s="6">
        <f>IF(OR($BJ437="",3&gt;設定!$B$3),"",IF(INDEX(原始資料!F$2:F$501,$BJ437)="","",INDEX(原始資料!F$2:F$501,$BJ437)))</f>
        <v/>
      </c>
      <c r="E437" s="6">
        <f>IF(OR($BJ437="",4&gt;設定!$B$3),"",IF(INDEX(原始資料!G$2:G$501,$BJ437)="","",INDEX(原始資料!G$2:G$501,$BJ437)))</f>
        <v/>
      </c>
      <c r="F437" s="6">
        <f>IF(OR($BJ437="",5&gt;設定!$B$3),"",IF(INDEX(原始資料!H$2:H$501,$BJ437)="","",INDEX(原始資料!H$2:H$501,$BJ437)))</f>
        <v/>
      </c>
      <c r="G437" s="6">
        <f>IF(OR($BJ437="",6&gt;設定!$B$3),"",IF(INDEX(原始資料!I$2:I$501,$BJ437)="","",INDEX(原始資料!I$2:I$501,$BJ437)))</f>
        <v/>
      </c>
      <c r="H437" s="6">
        <f>IF(OR($BJ437="",7&gt;設定!$B$3),"",IF(INDEX(原始資料!J$2:J$501,$BJ437)="","",INDEX(原始資料!J$2:J$501,$BJ437)))</f>
        <v/>
      </c>
      <c r="I437" s="6">
        <f>IF(OR($BJ437="",8&gt;設定!$B$3),"",IF(INDEX(原始資料!K$2:K$501,$BJ437)="","",INDEX(原始資料!K$2:K$501,$BJ437)))</f>
        <v/>
      </c>
      <c r="J437" s="6">
        <f>IF(OR($BJ437="",9&gt;設定!$B$3),"",IF(INDEX(原始資料!L$2:L$501,$BJ437)="","",INDEX(原始資料!L$2:L$501,$BJ437)))</f>
        <v/>
      </c>
      <c r="K437" s="6">
        <f>IF(OR($BJ437="",10&gt;設定!$B$3),"",IF(INDEX(原始資料!M$2:M$501,$BJ437)="","",INDEX(原始資料!M$2:M$501,$BJ437)))</f>
        <v/>
      </c>
      <c r="L437" s="6">
        <f>IF(OR($BJ437="",11&gt;設定!$B$3),"",IF(INDEX(原始資料!N$2:N$501,$BJ437)="","",INDEX(原始資料!N$2:N$501,$BJ437)))</f>
        <v/>
      </c>
      <c r="M437" s="6">
        <f>IF(OR($BJ437="",12&gt;設定!$B$3),"",IF(INDEX(原始資料!O$2:O$501,$BJ437)="","",INDEX(原始資料!O$2:O$501,$BJ437)))</f>
        <v/>
      </c>
      <c r="N437" s="6">
        <f>IF(OR($BJ437="",13&gt;設定!$B$3),"",IF(INDEX(原始資料!P$2:P$501,$BJ437)="","",INDEX(原始資料!P$2:P$501,$BJ437)))</f>
        <v/>
      </c>
      <c r="O437" s="6">
        <f>IF(OR($BJ437="",14&gt;設定!$B$3),"",IF(INDEX(原始資料!Q$2:Q$501,$BJ437)="","",INDEX(原始資料!Q$2:Q$501,$BJ437)))</f>
        <v/>
      </c>
      <c r="P437" s="6">
        <f>IF(OR($BJ437="",15&gt;設定!$B$3),"",IF(INDEX(原始資料!R$2:R$501,$BJ437)="","",INDEX(原始資料!R$2:R$501,$BJ437)))</f>
        <v/>
      </c>
      <c r="Q437" s="6">
        <f>IF(OR($BJ437="",16&gt;設定!$B$3),"",IF(INDEX(原始資料!S$2:S$501,$BJ437)="","",INDEX(原始資料!S$2:S$501,$BJ437)))</f>
        <v/>
      </c>
      <c r="R437" s="6">
        <f>IF(OR($BJ437="",17&gt;設定!$B$3),"",IF(INDEX(原始資料!T$2:T$501,$BJ437)="","",INDEX(原始資料!T$2:T$501,$BJ437)))</f>
        <v/>
      </c>
      <c r="S437" s="6">
        <f>IF(OR($BJ437="",18&gt;設定!$B$3),"",IF(INDEX(原始資料!U$2:U$501,$BJ437)="","",INDEX(原始資料!U$2:U$501,$BJ437)))</f>
        <v/>
      </c>
      <c r="T437" s="6">
        <f>IF(OR($BJ437="",19&gt;設定!$B$3),"",IF(INDEX(原始資料!V$2:V$501,$BJ437)="","",INDEX(原始資料!V$2:V$501,$BJ437)))</f>
        <v/>
      </c>
      <c r="U437" s="6">
        <f>IF(OR($BJ437="",20&gt;設定!$B$3),"",IF(INDEX(原始資料!W$2:W$501,$BJ437)="","",INDEX(原始資料!W$2:W$501,$BJ437)))</f>
        <v/>
      </c>
      <c r="V437" s="6">
        <f>IF(OR($BJ437="",21&gt;設定!$B$3),"",IF(INDEX(原始資料!X$2:X$501,$BJ437)="","",INDEX(原始資料!X$2:X$501,$BJ437)))</f>
        <v/>
      </c>
      <c r="W437" s="6">
        <f>IF(OR($BJ437="",22&gt;設定!$B$3),"",IF(INDEX(原始資料!Y$2:Y$501,$BJ437)="","",INDEX(原始資料!Y$2:Y$501,$BJ437)))</f>
        <v/>
      </c>
      <c r="X437" s="6">
        <f>IF(OR($BJ437="",23&gt;設定!$B$3),"",IF(INDEX(原始資料!Z$2:Z$501,$BJ437)="","",INDEX(原始資料!Z$2:Z$501,$BJ437)))</f>
        <v/>
      </c>
      <c r="Y437" s="6">
        <f>IF(OR($BJ437="",24&gt;設定!$B$3),"",IF(INDEX(原始資料!AA$2:AA$501,$BJ437)="","",INDEX(原始資料!AA$2:AA$501,$BJ437)))</f>
        <v/>
      </c>
      <c r="Z437" s="6">
        <f>IF(OR($BJ437="",25&gt;設定!$B$3),"",IF(INDEX(原始資料!AB$2:AB$501,$BJ437)="","",INDEX(原始資料!AB$2:AB$501,$BJ437)))</f>
        <v/>
      </c>
      <c r="AA437" s="6">
        <f>IF(OR($BJ437="",26&gt;設定!$B$3),"",IF(INDEX(原始資料!AC$2:AC$501,$BJ437)="","",INDEX(原始資料!AC$2:AC$501,$BJ437)))</f>
        <v/>
      </c>
      <c r="AB437" s="6">
        <f>IF(OR($BJ437="",27&gt;設定!$B$3),"",IF(INDEX(原始資料!AD$2:AD$501,$BJ437)="","",INDEX(原始資料!AD$2:AD$501,$BJ437)))</f>
        <v/>
      </c>
      <c r="AC437" s="6">
        <f>IF(OR($BJ437="",28&gt;設定!$B$3),"",IF(INDEX(原始資料!AE$2:AE$501,$BJ437)="","",INDEX(原始資料!AE$2:AE$501,$BJ437)))</f>
        <v/>
      </c>
      <c r="AD437" s="6">
        <f>IF(OR($BJ437="",29&gt;設定!$B$3),"",IF(INDEX(原始資料!AF$2:AF$501,$BJ437)="","",INDEX(原始資料!AF$2:AF$501,$BJ437)))</f>
        <v/>
      </c>
      <c r="AE437" s="6">
        <f>IF(OR($BJ437="",30&gt;設定!$B$3),"",IF(INDEX(原始資料!AG$2:AG$501,$BJ437)="","",INDEX(原始資料!AG$2:AG$501,$BJ437)))</f>
        <v/>
      </c>
      <c r="AF437" s="6">
        <f>IF(OR($BJ437="",31&gt;設定!$B$3),"",IF(INDEX(原始資料!AH$2:AH$501,$BJ437)="","",INDEX(原始資料!AH$2:AH$501,$BJ437)))</f>
        <v/>
      </c>
      <c r="AG437" s="6">
        <f>IF(OR($BJ437="",32&gt;設定!$B$3),"",IF(INDEX(原始資料!AI$2:AI$501,$BJ437)="","",INDEX(原始資料!AI$2:AI$501,$BJ437)))</f>
        <v/>
      </c>
      <c r="AH437" s="6">
        <f>IF(OR($BJ437="",33&gt;設定!$B$3),"",IF(INDEX(原始資料!AJ$2:AJ$501,$BJ437)="","",INDEX(原始資料!AJ$2:AJ$501,$BJ437)))</f>
        <v/>
      </c>
      <c r="AI437" s="6">
        <f>IF(OR($BJ437="",34&gt;設定!$B$3),"",IF(INDEX(原始資料!AK$2:AK$501,$BJ437)="","",INDEX(原始資料!AK$2:AK$501,$BJ437)))</f>
        <v/>
      </c>
      <c r="AJ437" s="6">
        <f>IF(OR($BJ437="",35&gt;設定!$B$3),"",IF(INDEX(原始資料!AL$2:AL$501,$BJ437)="","",INDEX(原始資料!AL$2:AL$501,$BJ437)))</f>
        <v/>
      </c>
      <c r="AK437" s="6">
        <f>IF(OR($BJ437="",36&gt;設定!$B$3),"",IF(INDEX(原始資料!AM$2:AM$501,$BJ437)="","",INDEX(原始資料!AM$2:AM$501,$BJ437)))</f>
        <v/>
      </c>
      <c r="AL437" s="6">
        <f>IF(OR($BJ437="",37&gt;設定!$B$3),"",IF(INDEX(原始資料!AN$2:AN$501,$BJ437)="","",INDEX(原始資料!AN$2:AN$501,$BJ437)))</f>
        <v/>
      </c>
      <c r="AM437" s="6">
        <f>IF(OR($BJ437="",38&gt;設定!$B$3),"",IF(INDEX(原始資料!AO$2:AO$501,$BJ437)="","",INDEX(原始資料!AO$2:AO$501,$BJ437)))</f>
        <v/>
      </c>
      <c r="AN437" s="6">
        <f>IF(OR($BJ437="",39&gt;設定!$B$3),"",IF(INDEX(原始資料!AP$2:AP$501,$BJ437)="","",INDEX(原始資料!AP$2:AP$501,$BJ437)))</f>
        <v/>
      </c>
      <c r="AO437" s="6">
        <f>IF(OR($BJ437="",40&gt;設定!$B$3),"",IF(INDEX(原始資料!AQ$2:AQ$501,$BJ437)="","",INDEX(原始資料!AQ$2:AQ$501,$BJ437)))</f>
        <v/>
      </c>
      <c r="AP437" s="6">
        <f>IF(OR($BJ437="",41&gt;設定!$B$3),"",IF(INDEX(原始資料!AR$2:AR$501,$BJ437)="","",INDEX(原始資料!AR$2:AR$501,$BJ437)))</f>
        <v/>
      </c>
      <c r="AQ437" s="6">
        <f>IF(OR($BJ437="",42&gt;設定!$B$3),"",IF(INDEX(原始資料!AS$2:AS$501,$BJ437)="","",INDEX(原始資料!AS$2:AS$501,$BJ437)))</f>
        <v/>
      </c>
      <c r="AR437" s="6">
        <f>IF(OR($BJ437="",43&gt;設定!$B$3),"",IF(INDEX(原始資料!AT$2:AT$501,$BJ437)="","",INDEX(原始資料!AT$2:AT$501,$BJ437)))</f>
        <v/>
      </c>
      <c r="AS437" s="6">
        <f>IF(OR($BJ437="",44&gt;設定!$B$3),"",IF(INDEX(原始資料!AU$2:AU$501,$BJ437)="","",INDEX(原始資料!AU$2:AU$501,$BJ437)))</f>
        <v/>
      </c>
      <c r="AT437" s="6">
        <f>IF(OR($BJ437="",45&gt;設定!$B$3),"",IF(INDEX(原始資料!AV$2:AV$501,$BJ437)="","",INDEX(原始資料!AV$2:AV$501,$BJ437)))</f>
        <v/>
      </c>
      <c r="AU437" s="6">
        <f>IF(OR($BJ437="",46&gt;設定!$B$3),"",IF(INDEX(原始資料!AW$2:AW$501,$BJ437)="","",INDEX(原始資料!AW$2:AW$501,$BJ437)))</f>
        <v/>
      </c>
      <c r="AV437" s="6">
        <f>IF(OR($BJ437="",47&gt;設定!$B$3),"",IF(INDEX(原始資料!AX$2:AX$501,$BJ437)="","",INDEX(原始資料!AX$2:AX$501,$BJ437)))</f>
        <v/>
      </c>
      <c r="AW437" s="6">
        <f>IF(OR($BJ437="",48&gt;設定!$B$3),"",IF(INDEX(原始資料!AY$2:AY$501,$BJ437)="","",INDEX(原始資料!AY$2:AY$501,$BJ437)))</f>
        <v/>
      </c>
      <c r="AX437" s="6">
        <f>IF(OR($BJ437="",49&gt;設定!$B$3),"",IF(INDEX(原始資料!AZ$2:AZ$501,$BJ437)="","",INDEX(原始資料!AZ$2:AZ$501,$BJ437)))</f>
        <v/>
      </c>
      <c r="AY437" s="6">
        <f>IF(OR($BJ437="",50&gt;設定!$B$3),"",IF(INDEX(原始資料!BA$2:BA$501,$BJ437)="","",INDEX(原始資料!BA$2:BA$501,$BJ437)))</f>
        <v/>
      </c>
      <c r="AZ437" s="6">
        <f>IF(OR($BJ437="",51&gt;設定!$B$3),"",IF(INDEX(原始資料!BB$2:BB$501,$BJ437)="","",INDEX(原始資料!BB$2:BB$501,$BJ437)))</f>
        <v/>
      </c>
      <c r="BA437" s="6">
        <f>IF(OR($BJ437="",52&gt;設定!$B$3),"",IF(INDEX(原始資料!BC$2:BC$501,$BJ437)="","",INDEX(原始資料!BC$2:BC$501,$BJ437)))</f>
        <v/>
      </c>
      <c r="BB437" s="6">
        <f>IF(OR($BJ437="",53&gt;設定!$B$3),"",IF(INDEX(原始資料!BD$2:BD$501,$BJ437)="","",INDEX(原始資料!BD$2:BD$501,$BJ437)))</f>
        <v/>
      </c>
      <c r="BC437" s="6">
        <f>IF(OR($BJ437="",54&gt;設定!$B$3),"",IF(INDEX(原始資料!BE$2:BE$501,$BJ437)="","",INDEX(原始資料!BE$2:BE$501,$BJ437)))</f>
        <v/>
      </c>
      <c r="BD437" s="6">
        <f>IF(OR($BJ437="",55&gt;設定!$B$3),"",IF(INDEX(原始資料!BF$2:BF$501,$BJ437)="","",INDEX(原始資料!BF$2:BF$501,$BJ437)))</f>
        <v/>
      </c>
      <c r="BE437" s="6">
        <f>IF(OR($BJ437="",56&gt;設定!$B$3),"",IF(INDEX(原始資料!BG$2:BG$501,$BJ437)="","",INDEX(原始資料!BG$2:BG$501,$BJ437)))</f>
        <v/>
      </c>
      <c r="BF437" s="6">
        <f>IF(OR($BJ437="",57&gt;設定!$B$3),"",IF(INDEX(原始資料!BH$2:BH$501,$BJ437)="","",INDEX(原始資料!BH$2:BH$501,$BJ437)))</f>
        <v/>
      </c>
      <c r="BG437" s="6">
        <f>IF(OR($BJ437="",58&gt;設定!$B$3),"",IF(INDEX(原始資料!BI$2:BI$501,$BJ437)="","",INDEX(原始資料!BI$2:BI$501,$BJ437)))</f>
        <v/>
      </c>
      <c r="BH437" s="6">
        <f>IF(OR($BJ437="",59&gt;設定!$B$3),"",IF(INDEX(原始資料!BJ$2:BJ$501,$BJ437)="","",INDEX(原始資料!BJ$2:BJ$501,$BJ437)))</f>
        <v/>
      </c>
      <c r="BI437" s="6">
        <f>IF(OR($BJ437="",60&gt;設定!$B$3),"",IF(INDEX(原始資料!BK$2:BK$501,$BJ437)="","",INDEX(原始資料!BK$2:BK$501,$BJ437)))</f>
        <v/>
      </c>
      <c r="BJ437" s="6">
        <f>IFERROR(MATCH(ROW()-1,判定!$H$2:$H$501,0),"")</f>
        <v/>
      </c>
    </row>
    <row r="438">
      <c r="A438" s="6">
        <f>IF($BJ438="","",INDEX(原始資料!$A$2:$A$501,$BJ438))</f>
        <v/>
      </c>
      <c r="B438" s="6">
        <f>IF(OR($BJ438="",1&gt;設定!$B$3),"",IF(INDEX(原始資料!D$2:D$501,$BJ438)="","",INDEX(原始資料!D$2:D$501,$BJ438)))</f>
        <v/>
      </c>
      <c r="C438" s="6">
        <f>IF(OR($BJ438="",2&gt;設定!$B$3),"",IF(INDEX(原始資料!E$2:E$501,$BJ438)="","",INDEX(原始資料!E$2:E$501,$BJ438)))</f>
        <v/>
      </c>
      <c r="D438" s="6">
        <f>IF(OR($BJ438="",3&gt;設定!$B$3),"",IF(INDEX(原始資料!F$2:F$501,$BJ438)="","",INDEX(原始資料!F$2:F$501,$BJ438)))</f>
        <v/>
      </c>
      <c r="E438" s="6">
        <f>IF(OR($BJ438="",4&gt;設定!$B$3),"",IF(INDEX(原始資料!G$2:G$501,$BJ438)="","",INDEX(原始資料!G$2:G$501,$BJ438)))</f>
        <v/>
      </c>
      <c r="F438" s="6">
        <f>IF(OR($BJ438="",5&gt;設定!$B$3),"",IF(INDEX(原始資料!H$2:H$501,$BJ438)="","",INDEX(原始資料!H$2:H$501,$BJ438)))</f>
        <v/>
      </c>
      <c r="G438" s="6">
        <f>IF(OR($BJ438="",6&gt;設定!$B$3),"",IF(INDEX(原始資料!I$2:I$501,$BJ438)="","",INDEX(原始資料!I$2:I$501,$BJ438)))</f>
        <v/>
      </c>
      <c r="H438" s="6">
        <f>IF(OR($BJ438="",7&gt;設定!$B$3),"",IF(INDEX(原始資料!J$2:J$501,$BJ438)="","",INDEX(原始資料!J$2:J$501,$BJ438)))</f>
        <v/>
      </c>
      <c r="I438" s="6">
        <f>IF(OR($BJ438="",8&gt;設定!$B$3),"",IF(INDEX(原始資料!K$2:K$501,$BJ438)="","",INDEX(原始資料!K$2:K$501,$BJ438)))</f>
        <v/>
      </c>
      <c r="J438" s="6">
        <f>IF(OR($BJ438="",9&gt;設定!$B$3),"",IF(INDEX(原始資料!L$2:L$501,$BJ438)="","",INDEX(原始資料!L$2:L$501,$BJ438)))</f>
        <v/>
      </c>
      <c r="K438" s="6">
        <f>IF(OR($BJ438="",10&gt;設定!$B$3),"",IF(INDEX(原始資料!M$2:M$501,$BJ438)="","",INDEX(原始資料!M$2:M$501,$BJ438)))</f>
        <v/>
      </c>
      <c r="L438" s="6">
        <f>IF(OR($BJ438="",11&gt;設定!$B$3),"",IF(INDEX(原始資料!N$2:N$501,$BJ438)="","",INDEX(原始資料!N$2:N$501,$BJ438)))</f>
        <v/>
      </c>
      <c r="M438" s="6">
        <f>IF(OR($BJ438="",12&gt;設定!$B$3),"",IF(INDEX(原始資料!O$2:O$501,$BJ438)="","",INDEX(原始資料!O$2:O$501,$BJ438)))</f>
        <v/>
      </c>
      <c r="N438" s="6">
        <f>IF(OR($BJ438="",13&gt;設定!$B$3),"",IF(INDEX(原始資料!P$2:P$501,$BJ438)="","",INDEX(原始資料!P$2:P$501,$BJ438)))</f>
        <v/>
      </c>
      <c r="O438" s="6">
        <f>IF(OR($BJ438="",14&gt;設定!$B$3),"",IF(INDEX(原始資料!Q$2:Q$501,$BJ438)="","",INDEX(原始資料!Q$2:Q$501,$BJ438)))</f>
        <v/>
      </c>
      <c r="P438" s="6">
        <f>IF(OR($BJ438="",15&gt;設定!$B$3),"",IF(INDEX(原始資料!R$2:R$501,$BJ438)="","",INDEX(原始資料!R$2:R$501,$BJ438)))</f>
        <v/>
      </c>
      <c r="Q438" s="6">
        <f>IF(OR($BJ438="",16&gt;設定!$B$3),"",IF(INDEX(原始資料!S$2:S$501,$BJ438)="","",INDEX(原始資料!S$2:S$501,$BJ438)))</f>
        <v/>
      </c>
      <c r="R438" s="6">
        <f>IF(OR($BJ438="",17&gt;設定!$B$3),"",IF(INDEX(原始資料!T$2:T$501,$BJ438)="","",INDEX(原始資料!T$2:T$501,$BJ438)))</f>
        <v/>
      </c>
      <c r="S438" s="6">
        <f>IF(OR($BJ438="",18&gt;設定!$B$3),"",IF(INDEX(原始資料!U$2:U$501,$BJ438)="","",INDEX(原始資料!U$2:U$501,$BJ438)))</f>
        <v/>
      </c>
      <c r="T438" s="6">
        <f>IF(OR($BJ438="",19&gt;設定!$B$3),"",IF(INDEX(原始資料!V$2:V$501,$BJ438)="","",INDEX(原始資料!V$2:V$501,$BJ438)))</f>
        <v/>
      </c>
      <c r="U438" s="6">
        <f>IF(OR($BJ438="",20&gt;設定!$B$3),"",IF(INDEX(原始資料!W$2:W$501,$BJ438)="","",INDEX(原始資料!W$2:W$501,$BJ438)))</f>
        <v/>
      </c>
      <c r="V438" s="6">
        <f>IF(OR($BJ438="",21&gt;設定!$B$3),"",IF(INDEX(原始資料!X$2:X$501,$BJ438)="","",INDEX(原始資料!X$2:X$501,$BJ438)))</f>
        <v/>
      </c>
      <c r="W438" s="6">
        <f>IF(OR($BJ438="",22&gt;設定!$B$3),"",IF(INDEX(原始資料!Y$2:Y$501,$BJ438)="","",INDEX(原始資料!Y$2:Y$501,$BJ438)))</f>
        <v/>
      </c>
      <c r="X438" s="6">
        <f>IF(OR($BJ438="",23&gt;設定!$B$3),"",IF(INDEX(原始資料!Z$2:Z$501,$BJ438)="","",INDEX(原始資料!Z$2:Z$501,$BJ438)))</f>
        <v/>
      </c>
      <c r="Y438" s="6">
        <f>IF(OR($BJ438="",24&gt;設定!$B$3),"",IF(INDEX(原始資料!AA$2:AA$501,$BJ438)="","",INDEX(原始資料!AA$2:AA$501,$BJ438)))</f>
        <v/>
      </c>
      <c r="Z438" s="6">
        <f>IF(OR($BJ438="",25&gt;設定!$B$3),"",IF(INDEX(原始資料!AB$2:AB$501,$BJ438)="","",INDEX(原始資料!AB$2:AB$501,$BJ438)))</f>
        <v/>
      </c>
      <c r="AA438" s="6">
        <f>IF(OR($BJ438="",26&gt;設定!$B$3),"",IF(INDEX(原始資料!AC$2:AC$501,$BJ438)="","",INDEX(原始資料!AC$2:AC$501,$BJ438)))</f>
        <v/>
      </c>
      <c r="AB438" s="6">
        <f>IF(OR($BJ438="",27&gt;設定!$B$3),"",IF(INDEX(原始資料!AD$2:AD$501,$BJ438)="","",INDEX(原始資料!AD$2:AD$501,$BJ438)))</f>
        <v/>
      </c>
      <c r="AC438" s="6">
        <f>IF(OR($BJ438="",28&gt;設定!$B$3),"",IF(INDEX(原始資料!AE$2:AE$501,$BJ438)="","",INDEX(原始資料!AE$2:AE$501,$BJ438)))</f>
        <v/>
      </c>
      <c r="AD438" s="6">
        <f>IF(OR($BJ438="",29&gt;設定!$B$3),"",IF(INDEX(原始資料!AF$2:AF$501,$BJ438)="","",INDEX(原始資料!AF$2:AF$501,$BJ438)))</f>
        <v/>
      </c>
      <c r="AE438" s="6">
        <f>IF(OR($BJ438="",30&gt;設定!$B$3),"",IF(INDEX(原始資料!AG$2:AG$501,$BJ438)="","",INDEX(原始資料!AG$2:AG$501,$BJ438)))</f>
        <v/>
      </c>
      <c r="AF438" s="6">
        <f>IF(OR($BJ438="",31&gt;設定!$B$3),"",IF(INDEX(原始資料!AH$2:AH$501,$BJ438)="","",INDEX(原始資料!AH$2:AH$501,$BJ438)))</f>
        <v/>
      </c>
      <c r="AG438" s="6">
        <f>IF(OR($BJ438="",32&gt;設定!$B$3),"",IF(INDEX(原始資料!AI$2:AI$501,$BJ438)="","",INDEX(原始資料!AI$2:AI$501,$BJ438)))</f>
        <v/>
      </c>
      <c r="AH438" s="6">
        <f>IF(OR($BJ438="",33&gt;設定!$B$3),"",IF(INDEX(原始資料!AJ$2:AJ$501,$BJ438)="","",INDEX(原始資料!AJ$2:AJ$501,$BJ438)))</f>
        <v/>
      </c>
      <c r="AI438" s="6">
        <f>IF(OR($BJ438="",34&gt;設定!$B$3),"",IF(INDEX(原始資料!AK$2:AK$501,$BJ438)="","",INDEX(原始資料!AK$2:AK$501,$BJ438)))</f>
        <v/>
      </c>
      <c r="AJ438" s="6">
        <f>IF(OR($BJ438="",35&gt;設定!$B$3),"",IF(INDEX(原始資料!AL$2:AL$501,$BJ438)="","",INDEX(原始資料!AL$2:AL$501,$BJ438)))</f>
        <v/>
      </c>
      <c r="AK438" s="6">
        <f>IF(OR($BJ438="",36&gt;設定!$B$3),"",IF(INDEX(原始資料!AM$2:AM$501,$BJ438)="","",INDEX(原始資料!AM$2:AM$501,$BJ438)))</f>
        <v/>
      </c>
      <c r="AL438" s="6">
        <f>IF(OR($BJ438="",37&gt;設定!$B$3),"",IF(INDEX(原始資料!AN$2:AN$501,$BJ438)="","",INDEX(原始資料!AN$2:AN$501,$BJ438)))</f>
        <v/>
      </c>
      <c r="AM438" s="6">
        <f>IF(OR($BJ438="",38&gt;設定!$B$3),"",IF(INDEX(原始資料!AO$2:AO$501,$BJ438)="","",INDEX(原始資料!AO$2:AO$501,$BJ438)))</f>
        <v/>
      </c>
      <c r="AN438" s="6">
        <f>IF(OR($BJ438="",39&gt;設定!$B$3),"",IF(INDEX(原始資料!AP$2:AP$501,$BJ438)="","",INDEX(原始資料!AP$2:AP$501,$BJ438)))</f>
        <v/>
      </c>
      <c r="AO438" s="6">
        <f>IF(OR($BJ438="",40&gt;設定!$B$3),"",IF(INDEX(原始資料!AQ$2:AQ$501,$BJ438)="","",INDEX(原始資料!AQ$2:AQ$501,$BJ438)))</f>
        <v/>
      </c>
      <c r="AP438" s="6">
        <f>IF(OR($BJ438="",41&gt;設定!$B$3),"",IF(INDEX(原始資料!AR$2:AR$501,$BJ438)="","",INDEX(原始資料!AR$2:AR$501,$BJ438)))</f>
        <v/>
      </c>
      <c r="AQ438" s="6">
        <f>IF(OR($BJ438="",42&gt;設定!$B$3),"",IF(INDEX(原始資料!AS$2:AS$501,$BJ438)="","",INDEX(原始資料!AS$2:AS$501,$BJ438)))</f>
        <v/>
      </c>
      <c r="AR438" s="6">
        <f>IF(OR($BJ438="",43&gt;設定!$B$3),"",IF(INDEX(原始資料!AT$2:AT$501,$BJ438)="","",INDEX(原始資料!AT$2:AT$501,$BJ438)))</f>
        <v/>
      </c>
      <c r="AS438" s="6">
        <f>IF(OR($BJ438="",44&gt;設定!$B$3),"",IF(INDEX(原始資料!AU$2:AU$501,$BJ438)="","",INDEX(原始資料!AU$2:AU$501,$BJ438)))</f>
        <v/>
      </c>
      <c r="AT438" s="6">
        <f>IF(OR($BJ438="",45&gt;設定!$B$3),"",IF(INDEX(原始資料!AV$2:AV$501,$BJ438)="","",INDEX(原始資料!AV$2:AV$501,$BJ438)))</f>
        <v/>
      </c>
      <c r="AU438" s="6">
        <f>IF(OR($BJ438="",46&gt;設定!$B$3),"",IF(INDEX(原始資料!AW$2:AW$501,$BJ438)="","",INDEX(原始資料!AW$2:AW$501,$BJ438)))</f>
        <v/>
      </c>
      <c r="AV438" s="6">
        <f>IF(OR($BJ438="",47&gt;設定!$B$3),"",IF(INDEX(原始資料!AX$2:AX$501,$BJ438)="","",INDEX(原始資料!AX$2:AX$501,$BJ438)))</f>
        <v/>
      </c>
      <c r="AW438" s="6">
        <f>IF(OR($BJ438="",48&gt;設定!$B$3),"",IF(INDEX(原始資料!AY$2:AY$501,$BJ438)="","",INDEX(原始資料!AY$2:AY$501,$BJ438)))</f>
        <v/>
      </c>
      <c r="AX438" s="6">
        <f>IF(OR($BJ438="",49&gt;設定!$B$3),"",IF(INDEX(原始資料!AZ$2:AZ$501,$BJ438)="","",INDEX(原始資料!AZ$2:AZ$501,$BJ438)))</f>
        <v/>
      </c>
      <c r="AY438" s="6">
        <f>IF(OR($BJ438="",50&gt;設定!$B$3),"",IF(INDEX(原始資料!BA$2:BA$501,$BJ438)="","",INDEX(原始資料!BA$2:BA$501,$BJ438)))</f>
        <v/>
      </c>
      <c r="AZ438" s="6">
        <f>IF(OR($BJ438="",51&gt;設定!$B$3),"",IF(INDEX(原始資料!BB$2:BB$501,$BJ438)="","",INDEX(原始資料!BB$2:BB$501,$BJ438)))</f>
        <v/>
      </c>
      <c r="BA438" s="6">
        <f>IF(OR($BJ438="",52&gt;設定!$B$3),"",IF(INDEX(原始資料!BC$2:BC$501,$BJ438)="","",INDEX(原始資料!BC$2:BC$501,$BJ438)))</f>
        <v/>
      </c>
      <c r="BB438" s="6">
        <f>IF(OR($BJ438="",53&gt;設定!$B$3),"",IF(INDEX(原始資料!BD$2:BD$501,$BJ438)="","",INDEX(原始資料!BD$2:BD$501,$BJ438)))</f>
        <v/>
      </c>
      <c r="BC438" s="6">
        <f>IF(OR($BJ438="",54&gt;設定!$B$3),"",IF(INDEX(原始資料!BE$2:BE$501,$BJ438)="","",INDEX(原始資料!BE$2:BE$501,$BJ438)))</f>
        <v/>
      </c>
      <c r="BD438" s="6">
        <f>IF(OR($BJ438="",55&gt;設定!$B$3),"",IF(INDEX(原始資料!BF$2:BF$501,$BJ438)="","",INDEX(原始資料!BF$2:BF$501,$BJ438)))</f>
        <v/>
      </c>
      <c r="BE438" s="6">
        <f>IF(OR($BJ438="",56&gt;設定!$B$3),"",IF(INDEX(原始資料!BG$2:BG$501,$BJ438)="","",INDEX(原始資料!BG$2:BG$501,$BJ438)))</f>
        <v/>
      </c>
      <c r="BF438" s="6">
        <f>IF(OR($BJ438="",57&gt;設定!$B$3),"",IF(INDEX(原始資料!BH$2:BH$501,$BJ438)="","",INDEX(原始資料!BH$2:BH$501,$BJ438)))</f>
        <v/>
      </c>
      <c r="BG438" s="6">
        <f>IF(OR($BJ438="",58&gt;設定!$B$3),"",IF(INDEX(原始資料!BI$2:BI$501,$BJ438)="","",INDEX(原始資料!BI$2:BI$501,$BJ438)))</f>
        <v/>
      </c>
      <c r="BH438" s="6">
        <f>IF(OR($BJ438="",59&gt;設定!$B$3),"",IF(INDEX(原始資料!BJ$2:BJ$501,$BJ438)="","",INDEX(原始資料!BJ$2:BJ$501,$BJ438)))</f>
        <v/>
      </c>
      <c r="BI438" s="6">
        <f>IF(OR($BJ438="",60&gt;設定!$B$3),"",IF(INDEX(原始資料!BK$2:BK$501,$BJ438)="","",INDEX(原始資料!BK$2:BK$501,$BJ438)))</f>
        <v/>
      </c>
      <c r="BJ438" s="6">
        <f>IFERROR(MATCH(ROW()-1,判定!$H$2:$H$501,0),"")</f>
        <v/>
      </c>
    </row>
    <row r="439">
      <c r="A439" s="6">
        <f>IF($BJ439="","",INDEX(原始資料!$A$2:$A$501,$BJ439))</f>
        <v/>
      </c>
      <c r="B439" s="6">
        <f>IF(OR($BJ439="",1&gt;設定!$B$3),"",IF(INDEX(原始資料!D$2:D$501,$BJ439)="","",INDEX(原始資料!D$2:D$501,$BJ439)))</f>
        <v/>
      </c>
      <c r="C439" s="6">
        <f>IF(OR($BJ439="",2&gt;設定!$B$3),"",IF(INDEX(原始資料!E$2:E$501,$BJ439)="","",INDEX(原始資料!E$2:E$501,$BJ439)))</f>
        <v/>
      </c>
      <c r="D439" s="6">
        <f>IF(OR($BJ439="",3&gt;設定!$B$3),"",IF(INDEX(原始資料!F$2:F$501,$BJ439)="","",INDEX(原始資料!F$2:F$501,$BJ439)))</f>
        <v/>
      </c>
      <c r="E439" s="6">
        <f>IF(OR($BJ439="",4&gt;設定!$B$3),"",IF(INDEX(原始資料!G$2:G$501,$BJ439)="","",INDEX(原始資料!G$2:G$501,$BJ439)))</f>
        <v/>
      </c>
      <c r="F439" s="6">
        <f>IF(OR($BJ439="",5&gt;設定!$B$3),"",IF(INDEX(原始資料!H$2:H$501,$BJ439)="","",INDEX(原始資料!H$2:H$501,$BJ439)))</f>
        <v/>
      </c>
      <c r="G439" s="6">
        <f>IF(OR($BJ439="",6&gt;設定!$B$3),"",IF(INDEX(原始資料!I$2:I$501,$BJ439)="","",INDEX(原始資料!I$2:I$501,$BJ439)))</f>
        <v/>
      </c>
      <c r="H439" s="6">
        <f>IF(OR($BJ439="",7&gt;設定!$B$3),"",IF(INDEX(原始資料!J$2:J$501,$BJ439)="","",INDEX(原始資料!J$2:J$501,$BJ439)))</f>
        <v/>
      </c>
      <c r="I439" s="6">
        <f>IF(OR($BJ439="",8&gt;設定!$B$3),"",IF(INDEX(原始資料!K$2:K$501,$BJ439)="","",INDEX(原始資料!K$2:K$501,$BJ439)))</f>
        <v/>
      </c>
      <c r="J439" s="6">
        <f>IF(OR($BJ439="",9&gt;設定!$B$3),"",IF(INDEX(原始資料!L$2:L$501,$BJ439)="","",INDEX(原始資料!L$2:L$501,$BJ439)))</f>
        <v/>
      </c>
      <c r="K439" s="6">
        <f>IF(OR($BJ439="",10&gt;設定!$B$3),"",IF(INDEX(原始資料!M$2:M$501,$BJ439)="","",INDEX(原始資料!M$2:M$501,$BJ439)))</f>
        <v/>
      </c>
      <c r="L439" s="6">
        <f>IF(OR($BJ439="",11&gt;設定!$B$3),"",IF(INDEX(原始資料!N$2:N$501,$BJ439)="","",INDEX(原始資料!N$2:N$501,$BJ439)))</f>
        <v/>
      </c>
      <c r="M439" s="6">
        <f>IF(OR($BJ439="",12&gt;設定!$B$3),"",IF(INDEX(原始資料!O$2:O$501,$BJ439)="","",INDEX(原始資料!O$2:O$501,$BJ439)))</f>
        <v/>
      </c>
      <c r="N439" s="6">
        <f>IF(OR($BJ439="",13&gt;設定!$B$3),"",IF(INDEX(原始資料!P$2:P$501,$BJ439)="","",INDEX(原始資料!P$2:P$501,$BJ439)))</f>
        <v/>
      </c>
      <c r="O439" s="6">
        <f>IF(OR($BJ439="",14&gt;設定!$B$3),"",IF(INDEX(原始資料!Q$2:Q$501,$BJ439)="","",INDEX(原始資料!Q$2:Q$501,$BJ439)))</f>
        <v/>
      </c>
      <c r="P439" s="6">
        <f>IF(OR($BJ439="",15&gt;設定!$B$3),"",IF(INDEX(原始資料!R$2:R$501,$BJ439)="","",INDEX(原始資料!R$2:R$501,$BJ439)))</f>
        <v/>
      </c>
      <c r="Q439" s="6">
        <f>IF(OR($BJ439="",16&gt;設定!$B$3),"",IF(INDEX(原始資料!S$2:S$501,$BJ439)="","",INDEX(原始資料!S$2:S$501,$BJ439)))</f>
        <v/>
      </c>
      <c r="R439" s="6">
        <f>IF(OR($BJ439="",17&gt;設定!$B$3),"",IF(INDEX(原始資料!T$2:T$501,$BJ439)="","",INDEX(原始資料!T$2:T$501,$BJ439)))</f>
        <v/>
      </c>
      <c r="S439" s="6">
        <f>IF(OR($BJ439="",18&gt;設定!$B$3),"",IF(INDEX(原始資料!U$2:U$501,$BJ439)="","",INDEX(原始資料!U$2:U$501,$BJ439)))</f>
        <v/>
      </c>
      <c r="T439" s="6">
        <f>IF(OR($BJ439="",19&gt;設定!$B$3),"",IF(INDEX(原始資料!V$2:V$501,$BJ439)="","",INDEX(原始資料!V$2:V$501,$BJ439)))</f>
        <v/>
      </c>
      <c r="U439" s="6">
        <f>IF(OR($BJ439="",20&gt;設定!$B$3),"",IF(INDEX(原始資料!W$2:W$501,$BJ439)="","",INDEX(原始資料!W$2:W$501,$BJ439)))</f>
        <v/>
      </c>
      <c r="V439" s="6">
        <f>IF(OR($BJ439="",21&gt;設定!$B$3),"",IF(INDEX(原始資料!X$2:X$501,$BJ439)="","",INDEX(原始資料!X$2:X$501,$BJ439)))</f>
        <v/>
      </c>
      <c r="W439" s="6">
        <f>IF(OR($BJ439="",22&gt;設定!$B$3),"",IF(INDEX(原始資料!Y$2:Y$501,$BJ439)="","",INDEX(原始資料!Y$2:Y$501,$BJ439)))</f>
        <v/>
      </c>
      <c r="X439" s="6">
        <f>IF(OR($BJ439="",23&gt;設定!$B$3),"",IF(INDEX(原始資料!Z$2:Z$501,$BJ439)="","",INDEX(原始資料!Z$2:Z$501,$BJ439)))</f>
        <v/>
      </c>
      <c r="Y439" s="6">
        <f>IF(OR($BJ439="",24&gt;設定!$B$3),"",IF(INDEX(原始資料!AA$2:AA$501,$BJ439)="","",INDEX(原始資料!AA$2:AA$501,$BJ439)))</f>
        <v/>
      </c>
      <c r="Z439" s="6">
        <f>IF(OR($BJ439="",25&gt;設定!$B$3),"",IF(INDEX(原始資料!AB$2:AB$501,$BJ439)="","",INDEX(原始資料!AB$2:AB$501,$BJ439)))</f>
        <v/>
      </c>
      <c r="AA439" s="6">
        <f>IF(OR($BJ439="",26&gt;設定!$B$3),"",IF(INDEX(原始資料!AC$2:AC$501,$BJ439)="","",INDEX(原始資料!AC$2:AC$501,$BJ439)))</f>
        <v/>
      </c>
      <c r="AB439" s="6">
        <f>IF(OR($BJ439="",27&gt;設定!$B$3),"",IF(INDEX(原始資料!AD$2:AD$501,$BJ439)="","",INDEX(原始資料!AD$2:AD$501,$BJ439)))</f>
        <v/>
      </c>
      <c r="AC439" s="6">
        <f>IF(OR($BJ439="",28&gt;設定!$B$3),"",IF(INDEX(原始資料!AE$2:AE$501,$BJ439)="","",INDEX(原始資料!AE$2:AE$501,$BJ439)))</f>
        <v/>
      </c>
      <c r="AD439" s="6">
        <f>IF(OR($BJ439="",29&gt;設定!$B$3),"",IF(INDEX(原始資料!AF$2:AF$501,$BJ439)="","",INDEX(原始資料!AF$2:AF$501,$BJ439)))</f>
        <v/>
      </c>
      <c r="AE439" s="6">
        <f>IF(OR($BJ439="",30&gt;設定!$B$3),"",IF(INDEX(原始資料!AG$2:AG$501,$BJ439)="","",INDEX(原始資料!AG$2:AG$501,$BJ439)))</f>
        <v/>
      </c>
      <c r="AF439" s="6">
        <f>IF(OR($BJ439="",31&gt;設定!$B$3),"",IF(INDEX(原始資料!AH$2:AH$501,$BJ439)="","",INDEX(原始資料!AH$2:AH$501,$BJ439)))</f>
        <v/>
      </c>
      <c r="AG439" s="6">
        <f>IF(OR($BJ439="",32&gt;設定!$B$3),"",IF(INDEX(原始資料!AI$2:AI$501,$BJ439)="","",INDEX(原始資料!AI$2:AI$501,$BJ439)))</f>
        <v/>
      </c>
      <c r="AH439" s="6">
        <f>IF(OR($BJ439="",33&gt;設定!$B$3),"",IF(INDEX(原始資料!AJ$2:AJ$501,$BJ439)="","",INDEX(原始資料!AJ$2:AJ$501,$BJ439)))</f>
        <v/>
      </c>
      <c r="AI439" s="6">
        <f>IF(OR($BJ439="",34&gt;設定!$B$3),"",IF(INDEX(原始資料!AK$2:AK$501,$BJ439)="","",INDEX(原始資料!AK$2:AK$501,$BJ439)))</f>
        <v/>
      </c>
      <c r="AJ439" s="6">
        <f>IF(OR($BJ439="",35&gt;設定!$B$3),"",IF(INDEX(原始資料!AL$2:AL$501,$BJ439)="","",INDEX(原始資料!AL$2:AL$501,$BJ439)))</f>
        <v/>
      </c>
      <c r="AK439" s="6">
        <f>IF(OR($BJ439="",36&gt;設定!$B$3),"",IF(INDEX(原始資料!AM$2:AM$501,$BJ439)="","",INDEX(原始資料!AM$2:AM$501,$BJ439)))</f>
        <v/>
      </c>
      <c r="AL439" s="6">
        <f>IF(OR($BJ439="",37&gt;設定!$B$3),"",IF(INDEX(原始資料!AN$2:AN$501,$BJ439)="","",INDEX(原始資料!AN$2:AN$501,$BJ439)))</f>
        <v/>
      </c>
      <c r="AM439" s="6">
        <f>IF(OR($BJ439="",38&gt;設定!$B$3),"",IF(INDEX(原始資料!AO$2:AO$501,$BJ439)="","",INDEX(原始資料!AO$2:AO$501,$BJ439)))</f>
        <v/>
      </c>
      <c r="AN439" s="6">
        <f>IF(OR($BJ439="",39&gt;設定!$B$3),"",IF(INDEX(原始資料!AP$2:AP$501,$BJ439)="","",INDEX(原始資料!AP$2:AP$501,$BJ439)))</f>
        <v/>
      </c>
      <c r="AO439" s="6">
        <f>IF(OR($BJ439="",40&gt;設定!$B$3),"",IF(INDEX(原始資料!AQ$2:AQ$501,$BJ439)="","",INDEX(原始資料!AQ$2:AQ$501,$BJ439)))</f>
        <v/>
      </c>
      <c r="AP439" s="6">
        <f>IF(OR($BJ439="",41&gt;設定!$B$3),"",IF(INDEX(原始資料!AR$2:AR$501,$BJ439)="","",INDEX(原始資料!AR$2:AR$501,$BJ439)))</f>
        <v/>
      </c>
      <c r="AQ439" s="6">
        <f>IF(OR($BJ439="",42&gt;設定!$B$3),"",IF(INDEX(原始資料!AS$2:AS$501,$BJ439)="","",INDEX(原始資料!AS$2:AS$501,$BJ439)))</f>
        <v/>
      </c>
      <c r="AR439" s="6">
        <f>IF(OR($BJ439="",43&gt;設定!$B$3),"",IF(INDEX(原始資料!AT$2:AT$501,$BJ439)="","",INDEX(原始資料!AT$2:AT$501,$BJ439)))</f>
        <v/>
      </c>
      <c r="AS439" s="6">
        <f>IF(OR($BJ439="",44&gt;設定!$B$3),"",IF(INDEX(原始資料!AU$2:AU$501,$BJ439)="","",INDEX(原始資料!AU$2:AU$501,$BJ439)))</f>
        <v/>
      </c>
      <c r="AT439" s="6">
        <f>IF(OR($BJ439="",45&gt;設定!$B$3),"",IF(INDEX(原始資料!AV$2:AV$501,$BJ439)="","",INDEX(原始資料!AV$2:AV$501,$BJ439)))</f>
        <v/>
      </c>
      <c r="AU439" s="6">
        <f>IF(OR($BJ439="",46&gt;設定!$B$3),"",IF(INDEX(原始資料!AW$2:AW$501,$BJ439)="","",INDEX(原始資料!AW$2:AW$501,$BJ439)))</f>
        <v/>
      </c>
      <c r="AV439" s="6">
        <f>IF(OR($BJ439="",47&gt;設定!$B$3),"",IF(INDEX(原始資料!AX$2:AX$501,$BJ439)="","",INDEX(原始資料!AX$2:AX$501,$BJ439)))</f>
        <v/>
      </c>
      <c r="AW439" s="6">
        <f>IF(OR($BJ439="",48&gt;設定!$B$3),"",IF(INDEX(原始資料!AY$2:AY$501,$BJ439)="","",INDEX(原始資料!AY$2:AY$501,$BJ439)))</f>
        <v/>
      </c>
      <c r="AX439" s="6">
        <f>IF(OR($BJ439="",49&gt;設定!$B$3),"",IF(INDEX(原始資料!AZ$2:AZ$501,$BJ439)="","",INDEX(原始資料!AZ$2:AZ$501,$BJ439)))</f>
        <v/>
      </c>
      <c r="AY439" s="6">
        <f>IF(OR($BJ439="",50&gt;設定!$B$3),"",IF(INDEX(原始資料!BA$2:BA$501,$BJ439)="","",INDEX(原始資料!BA$2:BA$501,$BJ439)))</f>
        <v/>
      </c>
      <c r="AZ439" s="6">
        <f>IF(OR($BJ439="",51&gt;設定!$B$3),"",IF(INDEX(原始資料!BB$2:BB$501,$BJ439)="","",INDEX(原始資料!BB$2:BB$501,$BJ439)))</f>
        <v/>
      </c>
      <c r="BA439" s="6">
        <f>IF(OR($BJ439="",52&gt;設定!$B$3),"",IF(INDEX(原始資料!BC$2:BC$501,$BJ439)="","",INDEX(原始資料!BC$2:BC$501,$BJ439)))</f>
        <v/>
      </c>
      <c r="BB439" s="6">
        <f>IF(OR($BJ439="",53&gt;設定!$B$3),"",IF(INDEX(原始資料!BD$2:BD$501,$BJ439)="","",INDEX(原始資料!BD$2:BD$501,$BJ439)))</f>
        <v/>
      </c>
      <c r="BC439" s="6">
        <f>IF(OR($BJ439="",54&gt;設定!$B$3),"",IF(INDEX(原始資料!BE$2:BE$501,$BJ439)="","",INDEX(原始資料!BE$2:BE$501,$BJ439)))</f>
        <v/>
      </c>
      <c r="BD439" s="6">
        <f>IF(OR($BJ439="",55&gt;設定!$B$3),"",IF(INDEX(原始資料!BF$2:BF$501,$BJ439)="","",INDEX(原始資料!BF$2:BF$501,$BJ439)))</f>
        <v/>
      </c>
      <c r="BE439" s="6">
        <f>IF(OR($BJ439="",56&gt;設定!$B$3),"",IF(INDEX(原始資料!BG$2:BG$501,$BJ439)="","",INDEX(原始資料!BG$2:BG$501,$BJ439)))</f>
        <v/>
      </c>
      <c r="BF439" s="6">
        <f>IF(OR($BJ439="",57&gt;設定!$B$3),"",IF(INDEX(原始資料!BH$2:BH$501,$BJ439)="","",INDEX(原始資料!BH$2:BH$501,$BJ439)))</f>
        <v/>
      </c>
      <c r="BG439" s="6">
        <f>IF(OR($BJ439="",58&gt;設定!$B$3),"",IF(INDEX(原始資料!BI$2:BI$501,$BJ439)="","",INDEX(原始資料!BI$2:BI$501,$BJ439)))</f>
        <v/>
      </c>
      <c r="BH439" s="6">
        <f>IF(OR($BJ439="",59&gt;設定!$B$3),"",IF(INDEX(原始資料!BJ$2:BJ$501,$BJ439)="","",INDEX(原始資料!BJ$2:BJ$501,$BJ439)))</f>
        <v/>
      </c>
      <c r="BI439" s="6">
        <f>IF(OR($BJ439="",60&gt;設定!$B$3),"",IF(INDEX(原始資料!BK$2:BK$501,$BJ439)="","",INDEX(原始資料!BK$2:BK$501,$BJ439)))</f>
        <v/>
      </c>
      <c r="BJ439" s="6">
        <f>IFERROR(MATCH(ROW()-1,判定!$H$2:$H$501,0),"")</f>
        <v/>
      </c>
    </row>
    <row r="440">
      <c r="A440" s="6">
        <f>IF($BJ440="","",INDEX(原始資料!$A$2:$A$501,$BJ440))</f>
        <v/>
      </c>
      <c r="B440" s="6">
        <f>IF(OR($BJ440="",1&gt;設定!$B$3),"",IF(INDEX(原始資料!D$2:D$501,$BJ440)="","",INDEX(原始資料!D$2:D$501,$BJ440)))</f>
        <v/>
      </c>
      <c r="C440" s="6">
        <f>IF(OR($BJ440="",2&gt;設定!$B$3),"",IF(INDEX(原始資料!E$2:E$501,$BJ440)="","",INDEX(原始資料!E$2:E$501,$BJ440)))</f>
        <v/>
      </c>
      <c r="D440" s="6">
        <f>IF(OR($BJ440="",3&gt;設定!$B$3),"",IF(INDEX(原始資料!F$2:F$501,$BJ440)="","",INDEX(原始資料!F$2:F$501,$BJ440)))</f>
        <v/>
      </c>
      <c r="E440" s="6">
        <f>IF(OR($BJ440="",4&gt;設定!$B$3),"",IF(INDEX(原始資料!G$2:G$501,$BJ440)="","",INDEX(原始資料!G$2:G$501,$BJ440)))</f>
        <v/>
      </c>
      <c r="F440" s="6">
        <f>IF(OR($BJ440="",5&gt;設定!$B$3),"",IF(INDEX(原始資料!H$2:H$501,$BJ440)="","",INDEX(原始資料!H$2:H$501,$BJ440)))</f>
        <v/>
      </c>
      <c r="G440" s="6">
        <f>IF(OR($BJ440="",6&gt;設定!$B$3),"",IF(INDEX(原始資料!I$2:I$501,$BJ440)="","",INDEX(原始資料!I$2:I$501,$BJ440)))</f>
        <v/>
      </c>
      <c r="H440" s="6">
        <f>IF(OR($BJ440="",7&gt;設定!$B$3),"",IF(INDEX(原始資料!J$2:J$501,$BJ440)="","",INDEX(原始資料!J$2:J$501,$BJ440)))</f>
        <v/>
      </c>
      <c r="I440" s="6">
        <f>IF(OR($BJ440="",8&gt;設定!$B$3),"",IF(INDEX(原始資料!K$2:K$501,$BJ440)="","",INDEX(原始資料!K$2:K$501,$BJ440)))</f>
        <v/>
      </c>
      <c r="J440" s="6">
        <f>IF(OR($BJ440="",9&gt;設定!$B$3),"",IF(INDEX(原始資料!L$2:L$501,$BJ440)="","",INDEX(原始資料!L$2:L$501,$BJ440)))</f>
        <v/>
      </c>
      <c r="K440" s="6">
        <f>IF(OR($BJ440="",10&gt;設定!$B$3),"",IF(INDEX(原始資料!M$2:M$501,$BJ440)="","",INDEX(原始資料!M$2:M$501,$BJ440)))</f>
        <v/>
      </c>
      <c r="L440" s="6">
        <f>IF(OR($BJ440="",11&gt;設定!$B$3),"",IF(INDEX(原始資料!N$2:N$501,$BJ440)="","",INDEX(原始資料!N$2:N$501,$BJ440)))</f>
        <v/>
      </c>
      <c r="M440" s="6">
        <f>IF(OR($BJ440="",12&gt;設定!$B$3),"",IF(INDEX(原始資料!O$2:O$501,$BJ440)="","",INDEX(原始資料!O$2:O$501,$BJ440)))</f>
        <v/>
      </c>
      <c r="N440" s="6">
        <f>IF(OR($BJ440="",13&gt;設定!$B$3),"",IF(INDEX(原始資料!P$2:P$501,$BJ440)="","",INDEX(原始資料!P$2:P$501,$BJ440)))</f>
        <v/>
      </c>
      <c r="O440" s="6">
        <f>IF(OR($BJ440="",14&gt;設定!$B$3),"",IF(INDEX(原始資料!Q$2:Q$501,$BJ440)="","",INDEX(原始資料!Q$2:Q$501,$BJ440)))</f>
        <v/>
      </c>
      <c r="P440" s="6">
        <f>IF(OR($BJ440="",15&gt;設定!$B$3),"",IF(INDEX(原始資料!R$2:R$501,$BJ440)="","",INDEX(原始資料!R$2:R$501,$BJ440)))</f>
        <v/>
      </c>
      <c r="Q440" s="6">
        <f>IF(OR($BJ440="",16&gt;設定!$B$3),"",IF(INDEX(原始資料!S$2:S$501,$BJ440)="","",INDEX(原始資料!S$2:S$501,$BJ440)))</f>
        <v/>
      </c>
      <c r="R440" s="6">
        <f>IF(OR($BJ440="",17&gt;設定!$B$3),"",IF(INDEX(原始資料!T$2:T$501,$BJ440)="","",INDEX(原始資料!T$2:T$501,$BJ440)))</f>
        <v/>
      </c>
      <c r="S440" s="6">
        <f>IF(OR($BJ440="",18&gt;設定!$B$3),"",IF(INDEX(原始資料!U$2:U$501,$BJ440)="","",INDEX(原始資料!U$2:U$501,$BJ440)))</f>
        <v/>
      </c>
      <c r="T440" s="6">
        <f>IF(OR($BJ440="",19&gt;設定!$B$3),"",IF(INDEX(原始資料!V$2:V$501,$BJ440)="","",INDEX(原始資料!V$2:V$501,$BJ440)))</f>
        <v/>
      </c>
      <c r="U440" s="6">
        <f>IF(OR($BJ440="",20&gt;設定!$B$3),"",IF(INDEX(原始資料!W$2:W$501,$BJ440)="","",INDEX(原始資料!W$2:W$501,$BJ440)))</f>
        <v/>
      </c>
      <c r="V440" s="6">
        <f>IF(OR($BJ440="",21&gt;設定!$B$3),"",IF(INDEX(原始資料!X$2:X$501,$BJ440)="","",INDEX(原始資料!X$2:X$501,$BJ440)))</f>
        <v/>
      </c>
      <c r="W440" s="6">
        <f>IF(OR($BJ440="",22&gt;設定!$B$3),"",IF(INDEX(原始資料!Y$2:Y$501,$BJ440)="","",INDEX(原始資料!Y$2:Y$501,$BJ440)))</f>
        <v/>
      </c>
      <c r="X440" s="6">
        <f>IF(OR($BJ440="",23&gt;設定!$B$3),"",IF(INDEX(原始資料!Z$2:Z$501,$BJ440)="","",INDEX(原始資料!Z$2:Z$501,$BJ440)))</f>
        <v/>
      </c>
      <c r="Y440" s="6">
        <f>IF(OR($BJ440="",24&gt;設定!$B$3),"",IF(INDEX(原始資料!AA$2:AA$501,$BJ440)="","",INDEX(原始資料!AA$2:AA$501,$BJ440)))</f>
        <v/>
      </c>
      <c r="Z440" s="6">
        <f>IF(OR($BJ440="",25&gt;設定!$B$3),"",IF(INDEX(原始資料!AB$2:AB$501,$BJ440)="","",INDEX(原始資料!AB$2:AB$501,$BJ440)))</f>
        <v/>
      </c>
      <c r="AA440" s="6">
        <f>IF(OR($BJ440="",26&gt;設定!$B$3),"",IF(INDEX(原始資料!AC$2:AC$501,$BJ440)="","",INDEX(原始資料!AC$2:AC$501,$BJ440)))</f>
        <v/>
      </c>
      <c r="AB440" s="6">
        <f>IF(OR($BJ440="",27&gt;設定!$B$3),"",IF(INDEX(原始資料!AD$2:AD$501,$BJ440)="","",INDEX(原始資料!AD$2:AD$501,$BJ440)))</f>
        <v/>
      </c>
      <c r="AC440" s="6">
        <f>IF(OR($BJ440="",28&gt;設定!$B$3),"",IF(INDEX(原始資料!AE$2:AE$501,$BJ440)="","",INDEX(原始資料!AE$2:AE$501,$BJ440)))</f>
        <v/>
      </c>
      <c r="AD440" s="6">
        <f>IF(OR($BJ440="",29&gt;設定!$B$3),"",IF(INDEX(原始資料!AF$2:AF$501,$BJ440)="","",INDEX(原始資料!AF$2:AF$501,$BJ440)))</f>
        <v/>
      </c>
      <c r="AE440" s="6">
        <f>IF(OR($BJ440="",30&gt;設定!$B$3),"",IF(INDEX(原始資料!AG$2:AG$501,$BJ440)="","",INDEX(原始資料!AG$2:AG$501,$BJ440)))</f>
        <v/>
      </c>
      <c r="AF440" s="6">
        <f>IF(OR($BJ440="",31&gt;設定!$B$3),"",IF(INDEX(原始資料!AH$2:AH$501,$BJ440)="","",INDEX(原始資料!AH$2:AH$501,$BJ440)))</f>
        <v/>
      </c>
      <c r="AG440" s="6">
        <f>IF(OR($BJ440="",32&gt;設定!$B$3),"",IF(INDEX(原始資料!AI$2:AI$501,$BJ440)="","",INDEX(原始資料!AI$2:AI$501,$BJ440)))</f>
        <v/>
      </c>
      <c r="AH440" s="6">
        <f>IF(OR($BJ440="",33&gt;設定!$B$3),"",IF(INDEX(原始資料!AJ$2:AJ$501,$BJ440)="","",INDEX(原始資料!AJ$2:AJ$501,$BJ440)))</f>
        <v/>
      </c>
      <c r="AI440" s="6">
        <f>IF(OR($BJ440="",34&gt;設定!$B$3),"",IF(INDEX(原始資料!AK$2:AK$501,$BJ440)="","",INDEX(原始資料!AK$2:AK$501,$BJ440)))</f>
        <v/>
      </c>
      <c r="AJ440" s="6">
        <f>IF(OR($BJ440="",35&gt;設定!$B$3),"",IF(INDEX(原始資料!AL$2:AL$501,$BJ440)="","",INDEX(原始資料!AL$2:AL$501,$BJ440)))</f>
        <v/>
      </c>
      <c r="AK440" s="6">
        <f>IF(OR($BJ440="",36&gt;設定!$B$3),"",IF(INDEX(原始資料!AM$2:AM$501,$BJ440)="","",INDEX(原始資料!AM$2:AM$501,$BJ440)))</f>
        <v/>
      </c>
      <c r="AL440" s="6">
        <f>IF(OR($BJ440="",37&gt;設定!$B$3),"",IF(INDEX(原始資料!AN$2:AN$501,$BJ440)="","",INDEX(原始資料!AN$2:AN$501,$BJ440)))</f>
        <v/>
      </c>
      <c r="AM440" s="6">
        <f>IF(OR($BJ440="",38&gt;設定!$B$3),"",IF(INDEX(原始資料!AO$2:AO$501,$BJ440)="","",INDEX(原始資料!AO$2:AO$501,$BJ440)))</f>
        <v/>
      </c>
      <c r="AN440" s="6">
        <f>IF(OR($BJ440="",39&gt;設定!$B$3),"",IF(INDEX(原始資料!AP$2:AP$501,$BJ440)="","",INDEX(原始資料!AP$2:AP$501,$BJ440)))</f>
        <v/>
      </c>
      <c r="AO440" s="6">
        <f>IF(OR($BJ440="",40&gt;設定!$B$3),"",IF(INDEX(原始資料!AQ$2:AQ$501,$BJ440)="","",INDEX(原始資料!AQ$2:AQ$501,$BJ440)))</f>
        <v/>
      </c>
      <c r="AP440" s="6">
        <f>IF(OR($BJ440="",41&gt;設定!$B$3),"",IF(INDEX(原始資料!AR$2:AR$501,$BJ440)="","",INDEX(原始資料!AR$2:AR$501,$BJ440)))</f>
        <v/>
      </c>
      <c r="AQ440" s="6">
        <f>IF(OR($BJ440="",42&gt;設定!$B$3),"",IF(INDEX(原始資料!AS$2:AS$501,$BJ440)="","",INDEX(原始資料!AS$2:AS$501,$BJ440)))</f>
        <v/>
      </c>
      <c r="AR440" s="6">
        <f>IF(OR($BJ440="",43&gt;設定!$B$3),"",IF(INDEX(原始資料!AT$2:AT$501,$BJ440)="","",INDEX(原始資料!AT$2:AT$501,$BJ440)))</f>
        <v/>
      </c>
      <c r="AS440" s="6">
        <f>IF(OR($BJ440="",44&gt;設定!$B$3),"",IF(INDEX(原始資料!AU$2:AU$501,$BJ440)="","",INDEX(原始資料!AU$2:AU$501,$BJ440)))</f>
        <v/>
      </c>
      <c r="AT440" s="6">
        <f>IF(OR($BJ440="",45&gt;設定!$B$3),"",IF(INDEX(原始資料!AV$2:AV$501,$BJ440)="","",INDEX(原始資料!AV$2:AV$501,$BJ440)))</f>
        <v/>
      </c>
      <c r="AU440" s="6">
        <f>IF(OR($BJ440="",46&gt;設定!$B$3),"",IF(INDEX(原始資料!AW$2:AW$501,$BJ440)="","",INDEX(原始資料!AW$2:AW$501,$BJ440)))</f>
        <v/>
      </c>
      <c r="AV440" s="6">
        <f>IF(OR($BJ440="",47&gt;設定!$B$3),"",IF(INDEX(原始資料!AX$2:AX$501,$BJ440)="","",INDEX(原始資料!AX$2:AX$501,$BJ440)))</f>
        <v/>
      </c>
      <c r="AW440" s="6">
        <f>IF(OR($BJ440="",48&gt;設定!$B$3),"",IF(INDEX(原始資料!AY$2:AY$501,$BJ440)="","",INDEX(原始資料!AY$2:AY$501,$BJ440)))</f>
        <v/>
      </c>
      <c r="AX440" s="6">
        <f>IF(OR($BJ440="",49&gt;設定!$B$3),"",IF(INDEX(原始資料!AZ$2:AZ$501,$BJ440)="","",INDEX(原始資料!AZ$2:AZ$501,$BJ440)))</f>
        <v/>
      </c>
      <c r="AY440" s="6">
        <f>IF(OR($BJ440="",50&gt;設定!$B$3),"",IF(INDEX(原始資料!BA$2:BA$501,$BJ440)="","",INDEX(原始資料!BA$2:BA$501,$BJ440)))</f>
        <v/>
      </c>
      <c r="AZ440" s="6">
        <f>IF(OR($BJ440="",51&gt;設定!$B$3),"",IF(INDEX(原始資料!BB$2:BB$501,$BJ440)="","",INDEX(原始資料!BB$2:BB$501,$BJ440)))</f>
        <v/>
      </c>
      <c r="BA440" s="6">
        <f>IF(OR($BJ440="",52&gt;設定!$B$3),"",IF(INDEX(原始資料!BC$2:BC$501,$BJ440)="","",INDEX(原始資料!BC$2:BC$501,$BJ440)))</f>
        <v/>
      </c>
      <c r="BB440" s="6">
        <f>IF(OR($BJ440="",53&gt;設定!$B$3),"",IF(INDEX(原始資料!BD$2:BD$501,$BJ440)="","",INDEX(原始資料!BD$2:BD$501,$BJ440)))</f>
        <v/>
      </c>
      <c r="BC440" s="6">
        <f>IF(OR($BJ440="",54&gt;設定!$B$3),"",IF(INDEX(原始資料!BE$2:BE$501,$BJ440)="","",INDEX(原始資料!BE$2:BE$501,$BJ440)))</f>
        <v/>
      </c>
      <c r="BD440" s="6">
        <f>IF(OR($BJ440="",55&gt;設定!$B$3),"",IF(INDEX(原始資料!BF$2:BF$501,$BJ440)="","",INDEX(原始資料!BF$2:BF$501,$BJ440)))</f>
        <v/>
      </c>
      <c r="BE440" s="6">
        <f>IF(OR($BJ440="",56&gt;設定!$B$3),"",IF(INDEX(原始資料!BG$2:BG$501,$BJ440)="","",INDEX(原始資料!BG$2:BG$501,$BJ440)))</f>
        <v/>
      </c>
      <c r="BF440" s="6">
        <f>IF(OR($BJ440="",57&gt;設定!$B$3),"",IF(INDEX(原始資料!BH$2:BH$501,$BJ440)="","",INDEX(原始資料!BH$2:BH$501,$BJ440)))</f>
        <v/>
      </c>
      <c r="BG440" s="6">
        <f>IF(OR($BJ440="",58&gt;設定!$B$3),"",IF(INDEX(原始資料!BI$2:BI$501,$BJ440)="","",INDEX(原始資料!BI$2:BI$501,$BJ440)))</f>
        <v/>
      </c>
      <c r="BH440" s="6">
        <f>IF(OR($BJ440="",59&gt;設定!$B$3),"",IF(INDEX(原始資料!BJ$2:BJ$501,$BJ440)="","",INDEX(原始資料!BJ$2:BJ$501,$BJ440)))</f>
        <v/>
      </c>
      <c r="BI440" s="6">
        <f>IF(OR($BJ440="",60&gt;設定!$B$3),"",IF(INDEX(原始資料!BK$2:BK$501,$BJ440)="","",INDEX(原始資料!BK$2:BK$501,$BJ440)))</f>
        <v/>
      </c>
      <c r="BJ440" s="6">
        <f>IFERROR(MATCH(ROW()-1,判定!$H$2:$H$501,0),"")</f>
        <v/>
      </c>
    </row>
    <row r="441">
      <c r="A441" s="6">
        <f>IF($BJ441="","",INDEX(原始資料!$A$2:$A$501,$BJ441))</f>
        <v/>
      </c>
      <c r="B441" s="6">
        <f>IF(OR($BJ441="",1&gt;設定!$B$3),"",IF(INDEX(原始資料!D$2:D$501,$BJ441)="","",INDEX(原始資料!D$2:D$501,$BJ441)))</f>
        <v/>
      </c>
      <c r="C441" s="6">
        <f>IF(OR($BJ441="",2&gt;設定!$B$3),"",IF(INDEX(原始資料!E$2:E$501,$BJ441)="","",INDEX(原始資料!E$2:E$501,$BJ441)))</f>
        <v/>
      </c>
      <c r="D441" s="6">
        <f>IF(OR($BJ441="",3&gt;設定!$B$3),"",IF(INDEX(原始資料!F$2:F$501,$BJ441)="","",INDEX(原始資料!F$2:F$501,$BJ441)))</f>
        <v/>
      </c>
      <c r="E441" s="6">
        <f>IF(OR($BJ441="",4&gt;設定!$B$3),"",IF(INDEX(原始資料!G$2:G$501,$BJ441)="","",INDEX(原始資料!G$2:G$501,$BJ441)))</f>
        <v/>
      </c>
      <c r="F441" s="6">
        <f>IF(OR($BJ441="",5&gt;設定!$B$3),"",IF(INDEX(原始資料!H$2:H$501,$BJ441)="","",INDEX(原始資料!H$2:H$501,$BJ441)))</f>
        <v/>
      </c>
      <c r="G441" s="6">
        <f>IF(OR($BJ441="",6&gt;設定!$B$3),"",IF(INDEX(原始資料!I$2:I$501,$BJ441)="","",INDEX(原始資料!I$2:I$501,$BJ441)))</f>
        <v/>
      </c>
      <c r="H441" s="6">
        <f>IF(OR($BJ441="",7&gt;設定!$B$3),"",IF(INDEX(原始資料!J$2:J$501,$BJ441)="","",INDEX(原始資料!J$2:J$501,$BJ441)))</f>
        <v/>
      </c>
      <c r="I441" s="6">
        <f>IF(OR($BJ441="",8&gt;設定!$B$3),"",IF(INDEX(原始資料!K$2:K$501,$BJ441)="","",INDEX(原始資料!K$2:K$501,$BJ441)))</f>
        <v/>
      </c>
      <c r="J441" s="6">
        <f>IF(OR($BJ441="",9&gt;設定!$B$3),"",IF(INDEX(原始資料!L$2:L$501,$BJ441)="","",INDEX(原始資料!L$2:L$501,$BJ441)))</f>
        <v/>
      </c>
      <c r="K441" s="6">
        <f>IF(OR($BJ441="",10&gt;設定!$B$3),"",IF(INDEX(原始資料!M$2:M$501,$BJ441)="","",INDEX(原始資料!M$2:M$501,$BJ441)))</f>
        <v/>
      </c>
      <c r="L441" s="6">
        <f>IF(OR($BJ441="",11&gt;設定!$B$3),"",IF(INDEX(原始資料!N$2:N$501,$BJ441)="","",INDEX(原始資料!N$2:N$501,$BJ441)))</f>
        <v/>
      </c>
      <c r="M441" s="6">
        <f>IF(OR($BJ441="",12&gt;設定!$B$3),"",IF(INDEX(原始資料!O$2:O$501,$BJ441)="","",INDEX(原始資料!O$2:O$501,$BJ441)))</f>
        <v/>
      </c>
      <c r="N441" s="6">
        <f>IF(OR($BJ441="",13&gt;設定!$B$3),"",IF(INDEX(原始資料!P$2:P$501,$BJ441)="","",INDEX(原始資料!P$2:P$501,$BJ441)))</f>
        <v/>
      </c>
      <c r="O441" s="6">
        <f>IF(OR($BJ441="",14&gt;設定!$B$3),"",IF(INDEX(原始資料!Q$2:Q$501,$BJ441)="","",INDEX(原始資料!Q$2:Q$501,$BJ441)))</f>
        <v/>
      </c>
      <c r="P441" s="6">
        <f>IF(OR($BJ441="",15&gt;設定!$B$3),"",IF(INDEX(原始資料!R$2:R$501,$BJ441)="","",INDEX(原始資料!R$2:R$501,$BJ441)))</f>
        <v/>
      </c>
      <c r="Q441" s="6">
        <f>IF(OR($BJ441="",16&gt;設定!$B$3),"",IF(INDEX(原始資料!S$2:S$501,$BJ441)="","",INDEX(原始資料!S$2:S$501,$BJ441)))</f>
        <v/>
      </c>
      <c r="R441" s="6">
        <f>IF(OR($BJ441="",17&gt;設定!$B$3),"",IF(INDEX(原始資料!T$2:T$501,$BJ441)="","",INDEX(原始資料!T$2:T$501,$BJ441)))</f>
        <v/>
      </c>
      <c r="S441" s="6">
        <f>IF(OR($BJ441="",18&gt;設定!$B$3),"",IF(INDEX(原始資料!U$2:U$501,$BJ441)="","",INDEX(原始資料!U$2:U$501,$BJ441)))</f>
        <v/>
      </c>
      <c r="T441" s="6">
        <f>IF(OR($BJ441="",19&gt;設定!$B$3),"",IF(INDEX(原始資料!V$2:V$501,$BJ441)="","",INDEX(原始資料!V$2:V$501,$BJ441)))</f>
        <v/>
      </c>
      <c r="U441" s="6">
        <f>IF(OR($BJ441="",20&gt;設定!$B$3),"",IF(INDEX(原始資料!W$2:W$501,$BJ441)="","",INDEX(原始資料!W$2:W$501,$BJ441)))</f>
        <v/>
      </c>
      <c r="V441" s="6">
        <f>IF(OR($BJ441="",21&gt;設定!$B$3),"",IF(INDEX(原始資料!X$2:X$501,$BJ441)="","",INDEX(原始資料!X$2:X$501,$BJ441)))</f>
        <v/>
      </c>
      <c r="W441" s="6">
        <f>IF(OR($BJ441="",22&gt;設定!$B$3),"",IF(INDEX(原始資料!Y$2:Y$501,$BJ441)="","",INDEX(原始資料!Y$2:Y$501,$BJ441)))</f>
        <v/>
      </c>
      <c r="X441" s="6">
        <f>IF(OR($BJ441="",23&gt;設定!$B$3),"",IF(INDEX(原始資料!Z$2:Z$501,$BJ441)="","",INDEX(原始資料!Z$2:Z$501,$BJ441)))</f>
        <v/>
      </c>
      <c r="Y441" s="6">
        <f>IF(OR($BJ441="",24&gt;設定!$B$3),"",IF(INDEX(原始資料!AA$2:AA$501,$BJ441)="","",INDEX(原始資料!AA$2:AA$501,$BJ441)))</f>
        <v/>
      </c>
      <c r="Z441" s="6">
        <f>IF(OR($BJ441="",25&gt;設定!$B$3),"",IF(INDEX(原始資料!AB$2:AB$501,$BJ441)="","",INDEX(原始資料!AB$2:AB$501,$BJ441)))</f>
        <v/>
      </c>
      <c r="AA441" s="6">
        <f>IF(OR($BJ441="",26&gt;設定!$B$3),"",IF(INDEX(原始資料!AC$2:AC$501,$BJ441)="","",INDEX(原始資料!AC$2:AC$501,$BJ441)))</f>
        <v/>
      </c>
      <c r="AB441" s="6">
        <f>IF(OR($BJ441="",27&gt;設定!$B$3),"",IF(INDEX(原始資料!AD$2:AD$501,$BJ441)="","",INDEX(原始資料!AD$2:AD$501,$BJ441)))</f>
        <v/>
      </c>
      <c r="AC441" s="6">
        <f>IF(OR($BJ441="",28&gt;設定!$B$3),"",IF(INDEX(原始資料!AE$2:AE$501,$BJ441)="","",INDEX(原始資料!AE$2:AE$501,$BJ441)))</f>
        <v/>
      </c>
      <c r="AD441" s="6">
        <f>IF(OR($BJ441="",29&gt;設定!$B$3),"",IF(INDEX(原始資料!AF$2:AF$501,$BJ441)="","",INDEX(原始資料!AF$2:AF$501,$BJ441)))</f>
        <v/>
      </c>
      <c r="AE441" s="6">
        <f>IF(OR($BJ441="",30&gt;設定!$B$3),"",IF(INDEX(原始資料!AG$2:AG$501,$BJ441)="","",INDEX(原始資料!AG$2:AG$501,$BJ441)))</f>
        <v/>
      </c>
      <c r="AF441" s="6">
        <f>IF(OR($BJ441="",31&gt;設定!$B$3),"",IF(INDEX(原始資料!AH$2:AH$501,$BJ441)="","",INDEX(原始資料!AH$2:AH$501,$BJ441)))</f>
        <v/>
      </c>
      <c r="AG441" s="6">
        <f>IF(OR($BJ441="",32&gt;設定!$B$3),"",IF(INDEX(原始資料!AI$2:AI$501,$BJ441)="","",INDEX(原始資料!AI$2:AI$501,$BJ441)))</f>
        <v/>
      </c>
      <c r="AH441" s="6">
        <f>IF(OR($BJ441="",33&gt;設定!$B$3),"",IF(INDEX(原始資料!AJ$2:AJ$501,$BJ441)="","",INDEX(原始資料!AJ$2:AJ$501,$BJ441)))</f>
        <v/>
      </c>
      <c r="AI441" s="6">
        <f>IF(OR($BJ441="",34&gt;設定!$B$3),"",IF(INDEX(原始資料!AK$2:AK$501,$BJ441)="","",INDEX(原始資料!AK$2:AK$501,$BJ441)))</f>
        <v/>
      </c>
      <c r="AJ441" s="6">
        <f>IF(OR($BJ441="",35&gt;設定!$B$3),"",IF(INDEX(原始資料!AL$2:AL$501,$BJ441)="","",INDEX(原始資料!AL$2:AL$501,$BJ441)))</f>
        <v/>
      </c>
      <c r="AK441" s="6">
        <f>IF(OR($BJ441="",36&gt;設定!$B$3),"",IF(INDEX(原始資料!AM$2:AM$501,$BJ441)="","",INDEX(原始資料!AM$2:AM$501,$BJ441)))</f>
        <v/>
      </c>
      <c r="AL441" s="6">
        <f>IF(OR($BJ441="",37&gt;設定!$B$3),"",IF(INDEX(原始資料!AN$2:AN$501,$BJ441)="","",INDEX(原始資料!AN$2:AN$501,$BJ441)))</f>
        <v/>
      </c>
      <c r="AM441" s="6">
        <f>IF(OR($BJ441="",38&gt;設定!$B$3),"",IF(INDEX(原始資料!AO$2:AO$501,$BJ441)="","",INDEX(原始資料!AO$2:AO$501,$BJ441)))</f>
        <v/>
      </c>
      <c r="AN441" s="6">
        <f>IF(OR($BJ441="",39&gt;設定!$B$3),"",IF(INDEX(原始資料!AP$2:AP$501,$BJ441)="","",INDEX(原始資料!AP$2:AP$501,$BJ441)))</f>
        <v/>
      </c>
      <c r="AO441" s="6">
        <f>IF(OR($BJ441="",40&gt;設定!$B$3),"",IF(INDEX(原始資料!AQ$2:AQ$501,$BJ441)="","",INDEX(原始資料!AQ$2:AQ$501,$BJ441)))</f>
        <v/>
      </c>
      <c r="AP441" s="6">
        <f>IF(OR($BJ441="",41&gt;設定!$B$3),"",IF(INDEX(原始資料!AR$2:AR$501,$BJ441)="","",INDEX(原始資料!AR$2:AR$501,$BJ441)))</f>
        <v/>
      </c>
      <c r="AQ441" s="6">
        <f>IF(OR($BJ441="",42&gt;設定!$B$3),"",IF(INDEX(原始資料!AS$2:AS$501,$BJ441)="","",INDEX(原始資料!AS$2:AS$501,$BJ441)))</f>
        <v/>
      </c>
      <c r="AR441" s="6">
        <f>IF(OR($BJ441="",43&gt;設定!$B$3),"",IF(INDEX(原始資料!AT$2:AT$501,$BJ441)="","",INDEX(原始資料!AT$2:AT$501,$BJ441)))</f>
        <v/>
      </c>
      <c r="AS441" s="6">
        <f>IF(OR($BJ441="",44&gt;設定!$B$3),"",IF(INDEX(原始資料!AU$2:AU$501,$BJ441)="","",INDEX(原始資料!AU$2:AU$501,$BJ441)))</f>
        <v/>
      </c>
      <c r="AT441" s="6">
        <f>IF(OR($BJ441="",45&gt;設定!$B$3),"",IF(INDEX(原始資料!AV$2:AV$501,$BJ441)="","",INDEX(原始資料!AV$2:AV$501,$BJ441)))</f>
        <v/>
      </c>
      <c r="AU441" s="6">
        <f>IF(OR($BJ441="",46&gt;設定!$B$3),"",IF(INDEX(原始資料!AW$2:AW$501,$BJ441)="","",INDEX(原始資料!AW$2:AW$501,$BJ441)))</f>
        <v/>
      </c>
      <c r="AV441" s="6">
        <f>IF(OR($BJ441="",47&gt;設定!$B$3),"",IF(INDEX(原始資料!AX$2:AX$501,$BJ441)="","",INDEX(原始資料!AX$2:AX$501,$BJ441)))</f>
        <v/>
      </c>
      <c r="AW441" s="6">
        <f>IF(OR($BJ441="",48&gt;設定!$B$3),"",IF(INDEX(原始資料!AY$2:AY$501,$BJ441)="","",INDEX(原始資料!AY$2:AY$501,$BJ441)))</f>
        <v/>
      </c>
      <c r="AX441" s="6">
        <f>IF(OR($BJ441="",49&gt;設定!$B$3),"",IF(INDEX(原始資料!AZ$2:AZ$501,$BJ441)="","",INDEX(原始資料!AZ$2:AZ$501,$BJ441)))</f>
        <v/>
      </c>
      <c r="AY441" s="6">
        <f>IF(OR($BJ441="",50&gt;設定!$B$3),"",IF(INDEX(原始資料!BA$2:BA$501,$BJ441)="","",INDEX(原始資料!BA$2:BA$501,$BJ441)))</f>
        <v/>
      </c>
      <c r="AZ441" s="6">
        <f>IF(OR($BJ441="",51&gt;設定!$B$3),"",IF(INDEX(原始資料!BB$2:BB$501,$BJ441)="","",INDEX(原始資料!BB$2:BB$501,$BJ441)))</f>
        <v/>
      </c>
      <c r="BA441" s="6">
        <f>IF(OR($BJ441="",52&gt;設定!$B$3),"",IF(INDEX(原始資料!BC$2:BC$501,$BJ441)="","",INDEX(原始資料!BC$2:BC$501,$BJ441)))</f>
        <v/>
      </c>
      <c r="BB441" s="6">
        <f>IF(OR($BJ441="",53&gt;設定!$B$3),"",IF(INDEX(原始資料!BD$2:BD$501,$BJ441)="","",INDEX(原始資料!BD$2:BD$501,$BJ441)))</f>
        <v/>
      </c>
      <c r="BC441" s="6">
        <f>IF(OR($BJ441="",54&gt;設定!$B$3),"",IF(INDEX(原始資料!BE$2:BE$501,$BJ441)="","",INDEX(原始資料!BE$2:BE$501,$BJ441)))</f>
        <v/>
      </c>
      <c r="BD441" s="6">
        <f>IF(OR($BJ441="",55&gt;設定!$B$3),"",IF(INDEX(原始資料!BF$2:BF$501,$BJ441)="","",INDEX(原始資料!BF$2:BF$501,$BJ441)))</f>
        <v/>
      </c>
      <c r="BE441" s="6">
        <f>IF(OR($BJ441="",56&gt;設定!$B$3),"",IF(INDEX(原始資料!BG$2:BG$501,$BJ441)="","",INDEX(原始資料!BG$2:BG$501,$BJ441)))</f>
        <v/>
      </c>
      <c r="BF441" s="6">
        <f>IF(OR($BJ441="",57&gt;設定!$B$3),"",IF(INDEX(原始資料!BH$2:BH$501,$BJ441)="","",INDEX(原始資料!BH$2:BH$501,$BJ441)))</f>
        <v/>
      </c>
      <c r="BG441" s="6">
        <f>IF(OR($BJ441="",58&gt;設定!$B$3),"",IF(INDEX(原始資料!BI$2:BI$501,$BJ441)="","",INDEX(原始資料!BI$2:BI$501,$BJ441)))</f>
        <v/>
      </c>
      <c r="BH441" s="6">
        <f>IF(OR($BJ441="",59&gt;設定!$B$3),"",IF(INDEX(原始資料!BJ$2:BJ$501,$BJ441)="","",INDEX(原始資料!BJ$2:BJ$501,$BJ441)))</f>
        <v/>
      </c>
      <c r="BI441" s="6">
        <f>IF(OR($BJ441="",60&gt;設定!$B$3),"",IF(INDEX(原始資料!BK$2:BK$501,$BJ441)="","",INDEX(原始資料!BK$2:BK$501,$BJ441)))</f>
        <v/>
      </c>
      <c r="BJ441" s="6">
        <f>IFERROR(MATCH(ROW()-1,判定!$H$2:$H$501,0),"")</f>
        <v/>
      </c>
    </row>
    <row r="442">
      <c r="A442" s="6">
        <f>IF($BJ442="","",INDEX(原始資料!$A$2:$A$501,$BJ442))</f>
        <v/>
      </c>
      <c r="B442" s="6">
        <f>IF(OR($BJ442="",1&gt;設定!$B$3),"",IF(INDEX(原始資料!D$2:D$501,$BJ442)="","",INDEX(原始資料!D$2:D$501,$BJ442)))</f>
        <v/>
      </c>
      <c r="C442" s="6">
        <f>IF(OR($BJ442="",2&gt;設定!$B$3),"",IF(INDEX(原始資料!E$2:E$501,$BJ442)="","",INDEX(原始資料!E$2:E$501,$BJ442)))</f>
        <v/>
      </c>
      <c r="D442" s="6">
        <f>IF(OR($BJ442="",3&gt;設定!$B$3),"",IF(INDEX(原始資料!F$2:F$501,$BJ442)="","",INDEX(原始資料!F$2:F$501,$BJ442)))</f>
        <v/>
      </c>
      <c r="E442" s="6">
        <f>IF(OR($BJ442="",4&gt;設定!$B$3),"",IF(INDEX(原始資料!G$2:G$501,$BJ442)="","",INDEX(原始資料!G$2:G$501,$BJ442)))</f>
        <v/>
      </c>
      <c r="F442" s="6">
        <f>IF(OR($BJ442="",5&gt;設定!$B$3),"",IF(INDEX(原始資料!H$2:H$501,$BJ442)="","",INDEX(原始資料!H$2:H$501,$BJ442)))</f>
        <v/>
      </c>
      <c r="G442" s="6">
        <f>IF(OR($BJ442="",6&gt;設定!$B$3),"",IF(INDEX(原始資料!I$2:I$501,$BJ442)="","",INDEX(原始資料!I$2:I$501,$BJ442)))</f>
        <v/>
      </c>
      <c r="H442" s="6">
        <f>IF(OR($BJ442="",7&gt;設定!$B$3),"",IF(INDEX(原始資料!J$2:J$501,$BJ442)="","",INDEX(原始資料!J$2:J$501,$BJ442)))</f>
        <v/>
      </c>
      <c r="I442" s="6">
        <f>IF(OR($BJ442="",8&gt;設定!$B$3),"",IF(INDEX(原始資料!K$2:K$501,$BJ442)="","",INDEX(原始資料!K$2:K$501,$BJ442)))</f>
        <v/>
      </c>
      <c r="J442" s="6">
        <f>IF(OR($BJ442="",9&gt;設定!$B$3),"",IF(INDEX(原始資料!L$2:L$501,$BJ442)="","",INDEX(原始資料!L$2:L$501,$BJ442)))</f>
        <v/>
      </c>
      <c r="K442" s="6">
        <f>IF(OR($BJ442="",10&gt;設定!$B$3),"",IF(INDEX(原始資料!M$2:M$501,$BJ442)="","",INDEX(原始資料!M$2:M$501,$BJ442)))</f>
        <v/>
      </c>
      <c r="L442" s="6">
        <f>IF(OR($BJ442="",11&gt;設定!$B$3),"",IF(INDEX(原始資料!N$2:N$501,$BJ442)="","",INDEX(原始資料!N$2:N$501,$BJ442)))</f>
        <v/>
      </c>
      <c r="M442" s="6">
        <f>IF(OR($BJ442="",12&gt;設定!$B$3),"",IF(INDEX(原始資料!O$2:O$501,$BJ442)="","",INDEX(原始資料!O$2:O$501,$BJ442)))</f>
        <v/>
      </c>
      <c r="N442" s="6">
        <f>IF(OR($BJ442="",13&gt;設定!$B$3),"",IF(INDEX(原始資料!P$2:P$501,$BJ442)="","",INDEX(原始資料!P$2:P$501,$BJ442)))</f>
        <v/>
      </c>
      <c r="O442" s="6">
        <f>IF(OR($BJ442="",14&gt;設定!$B$3),"",IF(INDEX(原始資料!Q$2:Q$501,$BJ442)="","",INDEX(原始資料!Q$2:Q$501,$BJ442)))</f>
        <v/>
      </c>
      <c r="P442" s="6">
        <f>IF(OR($BJ442="",15&gt;設定!$B$3),"",IF(INDEX(原始資料!R$2:R$501,$BJ442)="","",INDEX(原始資料!R$2:R$501,$BJ442)))</f>
        <v/>
      </c>
      <c r="Q442" s="6">
        <f>IF(OR($BJ442="",16&gt;設定!$B$3),"",IF(INDEX(原始資料!S$2:S$501,$BJ442)="","",INDEX(原始資料!S$2:S$501,$BJ442)))</f>
        <v/>
      </c>
      <c r="R442" s="6">
        <f>IF(OR($BJ442="",17&gt;設定!$B$3),"",IF(INDEX(原始資料!T$2:T$501,$BJ442)="","",INDEX(原始資料!T$2:T$501,$BJ442)))</f>
        <v/>
      </c>
      <c r="S442" s="6">
        <f>IF(OR($BJ442="",18&gt;設定!$B$3),"",IF(INDEX(原始資料!U$2:U$501,$BJ442)="","",INDEX(原始資料!U$2:U$501,$BJ442)))</f>
        <v/>
      </c>
      <c r="T442" s="6">
        <f>IF(OR($BJ442="",19&gt;設定!$B$3),"",IF(INDEX(原始資料!V$2:V$501,$BJ442)="","",INDEX(原始資料!V$2:V$501,$BJ442)))</f>
        <v/>
      </c>
      <c r="U442" s="6">
        <f>IF(OR($BJ442="",20&gt;設定!$B$3),"",IF(INDEX(原始資料!W$2:W$501,$BJ442)="","",INDEX(原始資料!W$2:W$501,$BJ442)))</f>
        <v/>
      </c>
      <c r="V442" s="6">
        <f>IF(OR($BJ442="",21&gt;設定!$B$3),"",IF(INDEX(原始資料!X$2:X$501,$BJ442)="","",INDEX(原始資料!X$2:X$501,$BJ442)))</f>
        <v/>
      </c>
      <c r="W442" s="6">
        <f>IF(OR($BJ442="",22&gt;設定!$B$3),"",IF(INDEX(原始資料!Y$2:Y$501,$BJ442)="","",INDEX(原始資料!Y$2:Y$501,$BJ442)))</f>
        <v/>
      </c>
      <c r="X442" s="6">
        <f>IF(OR($BJ442="",23&gt;設定!$B$3),"",IF(INDEX(原始資料!Z$2:Z$501,$BJ442)="","",INDEX(原始資料!Z$2:Z$501,$BJ442)))</f>
        <v/>
      </c>
      <c r="Y442" s="6">
        <f>IF(OR($BJ442="",24&gt;設定!$B$3),"",IF(INDEX(原始資料!AA$2:AA$501,$BJ442)="","",INDEX(原始資料!AA$2:AA$501,$BJ442)))</f>
        <v/>
      </c>
      <c r="Z442" s="6">
        <f>IF(OR($BJ442="",25&gt;設定!$B$3),"",IF(INDEX(原始資料!AB$2:AB$501,$BJ442)="","",INDEX(原始資料!AB$2:AB$501,$BJ442)))</f>
        <v/>
      </c>
      <c r="AA442" s="6">
        <f>IF(OR($BJ442="",26&gt;設定!$B$3),"",IF(INDEX(原始資料!AC$2:AC$501,$BJ442)="","",INDEX(原始資料!AC$2:AC$501,$BJ442)))</f>
        <v/>
      </c>
      <c r="AB442" s="6">
        <f>IF(OR($BJ442="",27&gt;設定!$B$3),"",IF(INDEX(原始資料!AD$2:AD$501,$BJ442)="","",INDEX(原始資料!AD$2:AD$501,$BJ442)))</f>
        <v/>
      </c>
      <c r="AC442" s="6">
        <f>IF(OR($BJ442="",28&gt;設定!$B$3),"",IF(INDEX(原始資料!AE$2:AE$501,$BJ442)="","",INDEX(原始資料!AE$2:AE$501,$BJ442)))</f>
        <v/>
      </c>
      <c r="AD442" s="6">
        <f>IF(OR($BJ442="",29&gt;設定!$B$3),"",IF(INDEX(原始資料!AF$2:AF$501,$BJ442)="","",INDEX(原始資料!AF$2:AF$501,$BJ442)))</f>
        <v/>
      </c>
      <c r="AE442" s="6">
        <f>IF(OR($BJ442="",30&gt;設定!$B$3),"",IF(INDEX(原始資料!AG$2:AG$501,$BJ442)="","",INDEX(原始資料!AG$2:AG$501,$BJ442)))</f>
        <v/>
      </c>
      <c r="AF442" s="6">
        <f>IF(OR($BJ442="",31&gt;設定!$B$3),"",IF(INDEX(原始資料!AH$2:AH$501,$BJ442)="","",INDEX(原始資料!AH$2:AH$501,$BJ442)))</f>
        <v/>
      </c>
      <c r="AG442" s="6">
        <f>IF(OR($BJ442="",32&gt;設定!$B$3),"",IF(INDEX(原始資料!AI$2:AI$501,$BJ442)="","",INDEX(原始資料!AI$2:AI$501,$BJ442)))</f>
        <v/>
      </c>
      <c r="AH442" s="6">
        <f>IF(OR($BJ442="",33&gt;設定!$B$3),"",IF(INDEX(原始資料!AJ$2:AJ$501,$BJ442)="","",INDEX(原始資料!AJ$2:AJ$501,$BJ442)))</f>
        <v/>
      </c>
      <c r="AI442" s="6">
        <f>IF(OR($BJ442="",34&gt;設定!$B$3),"",IF(INDEX(原始資料!AK$2:AK$501,$BJ442)="","",INDEX(原始資料!AK$2:AK$501,$BJ442)))</f>
        <v/>
      </c>
      <c r="AJ442" s="6">
        <f>IF(OR($BJ442="",35&gt;設定!$B$3),"",IF(INDEX(原始資料!AL$2:AL$501,$BJ442)="","",INDEX(原始資料!AL$2:AL$501,$BJ442)))</f>
        <v/>
      </c>
      <c r="AK442" s="6">
        <f>IF(OR($BJ442="",36&gt;設定!$B$3),"",IF(INDEX(原始資料!AM$2:AM$501,$BJ442)="","",INDEX(原始資料!AM$2:AM$501,$BJ442)))</f>
        <v/>
      </c>
      <c r="AL442" s="6">
        <f>IF(OR($BJ442="",37&gt;設定!$B$3),"",IF(INDEX(原始資料!AN$2:AN$501,$BJ442)="","",INDEX(原始資料!AN$2:AN$501,$BJ442)))</f>
        <v/>
      </c>
      <c r="AM442" s="6">
        <f>IF(OR($BJ442="",38&gt;設定!$B$3),"",IF(INDEX(原始資料!AO$2:AO$501,$BJ442)="","",INDEX(原始資料!AO$2:AO$501,$BJ442)))</f>
        <v/>
      </c>
      <c r="AN442" s="6">
        <f>IF(OR($BJ442="",39&gt;設定!$B$3),"",IF(INDEX(原始資料!AP$2:AP$501,$BJ442)="","",INDEX(原始資料!AP$2:AP$501,$BJ442)))</f>
        <v/>
      </c>
      <c r="AO442" s="6">
        <f>IF(OR($BJ442="",40&gt;設定!$B$3),"",IF(INDEX(原始資料!AQ$2:AQ$501,$BJ442)="","",INDEX(原始資料!AQ$2:AQ$501,$BJ442)))</f>
        <v/>
      </c>
      <c r="AP442" s="6">
        <f>IF(OR($BJ442="",41&gt;設定!$B$3),"",IF(INDEX(原始資料!AR$2:AR$501,$BJ442)="","",INDEX(原始資料!AR$2:AR$501,$BJ442)))</f>
        <v/>
      </c>
      <c r="AQ442" s="6">
        <f>IF(OR($BJ442="",42&gt;設定!$B$3),"",IF(INDEX(原始資料!AS$2:AS$501,$BJ442)="","",INDEX(原始資料!AS$2:AS$501,$BJ442)))</f>
        <v/>
      </c>
      <c r="AR442" s="6">
        <f>IF(OR($BJ442="",43&gt;設定!$B$3),"",IF(INDEX(原始資料!AT$2:AT$501,$BJ442)="","",INDEX(原始資料!AT$2:AT$501,$BJ442)))</f>
        <v/>
      </c>
      <c r="AS442" s="6">
        <f>IF(OR($BJ442="",44&gt;設定!$B$3),"",IF(INDEX(原始資料!AU$2:AU$501,$BJ442)="","",INDEX(原始資料!AU$2:AU$501,$BJ442)))</f>
        <v/>
      </c>
      <c r="AT442" s="6">
        <f>IF(OR($BJ442="",45&gt;設定!$B$3),"",IF(INDEX(原始資料!AV$2:AV$501,$BJ442)="","",INDEX(原始資料!AV$2:AV$501,$BJ442)))</f>
        <v/>
      </c>
      <c r="AU442" s="6">
        <f>IF(OR($BJ442="",46&gt;設定!$B$3),"",IF(INDEX(原始資料!AW$2:AW$501,$BJ442)="","",INDEX(原始資料!AW$2:AW$501,$BJ442)))</f>
        <v/>
      </c>
      <c r="AV442" s="6">
        <f>IF(OR($BJ442="",47&gt;設定!$B$3),"",IF(INDEX(原始資料!AX$2:AX$501,$BJ442)="","",INDEX(原始資料!AX$2:AX$501,$BJ442)))</f>
        <v/>
      </c>
      <c r="AW442" s="6">
        <f>IF(OR($BJ442="",48&gt;設定!$B$3),"",IF(INDEX(原始資料!AY$2:AY$501,$BJ442)="","",INDEX(原始資料!AY$2:AY$501,$BJ442)))</f>
        <v/>
      </c>
      <c r="AX442" s="6">
        <f>IF(OR($BJ442="",49&gt;設定!$B$3),"",IF(INDEX(原始資料!AZ$2:AZ$501,$BJ442)="","",INDEX(原始資料!AZ$2:AZ$501,$BJ442)))</f>
        <v/>
      </c>
      <c r="AY442" s="6">
        <f>IF(OR($BJ442="",50&gt;設定!$B$3),"",IF(INDEX(原始資料!BA$2:BA$501,$BJ442)="","",INDEX(原始資料!BA$2:BA$501,$BJ442)))</f>
        <v/>
      </c>
      <c r="AZ442" s="6">
        <f>IF(OR($BJ442="",51&gt;設定!$B$3),"",IF(INDEX(原始資料!BB$2:BB$501,$BJ442)="","",INDEX(原始資料!BB$2:BB$501,$BJ442)))</f>
        <v/>
      </c>
      <c r="BA442" s="6">
        <f>IF(OR($BJ442="",52&gt;設定!$B$3),"",IF(INDEX(原始資料!BC$2:BC$501,$BJ442)="","",INDEX(原始資料!BC$2:BC$501,$BJ442)))</f>
        <v/>
      </c>
      <c r="BB442" s="6">
        <f>IF(OR($BJ442="",53&gt;設定!$B$3),"",IF(INDEX(原始資料!BD$2:BD$501,$BJ442)="","",INDEX(原始資料!BD$2:BD$501,$BJ442)))</f>
        <v/>
      </c>
      <c r="BC442" s="6">
        <f>IF(OR($BJ442="",54&gt;設定!$B$3),"",IF(INDEX(原始資料!BE$2:BE$501,$BJ442)="","",INDEX(原始資料!BE$2:BE$501,$BJ442)))</f>
        <v/>
      </c>
      <c r="BD442" s="6">
        <f>IF(OR($BJ442="",55&gt;設定!$B$3),"",IF(INDEX(原始資料!BF$2:BF$501,$BJ442)="","",INDEX(原始資料!BF$2:BF$501,$BJ442)))</f>
        <v/>
      </c>
      <c r="BE442" s="6">
        <f>IF(OR($BJ442="",56&gt;設定!$B$3),"",IF(INDEX(原始資料!BG$2:BG$501,$BJ442)="","",INDEX(原始資料!BG$2:BG$501,$BJ442)))</f>
        <v/>
      </c>
      <c r="BF442" s="6">
        <f>IF(OR($BJ442="",57&gt;設定!$B$3),"",IF(INDEX(原始資料!BH$2:BH$501,$BJ442)="","",INDEX(原始資料!BH$2:BH$501,$BJ442)))</f>
        <v/>
      </c>
      <c r="BG442" s="6">
        <f>IF(OR($BJ442="",58&gt;設定!$B$3),"",IF(INDEX(原始資料!BI$2:BI$501,$BJ442)="","",INDEX(原始資料!BI$2:BI$501,$BJ442)))</f>
        <v/>
      </c>
      <c r="BH442" s="6">
        <f>IF(OR($BJ442="",59&gt;設定!$B$3),"",IF(INDEX(原始資料!BJ$2:BJ$501,$BJ442)="","",INDEX(原始資料!BJ$2:BJ$501,$BJ442)))</f>
        <v/>
      </c>
      <c r="BI442" s="6">
        <f>IF(OR($BJ442="",60&gt;設定!$B$3),"",IF(INDEX(原始資料!BK$2:BK$501,$BJ442)="","",INDEX(原始資料!BK$2:BK$501,$BJ442)))</f>
        <v/>
      </c>
      <c r="BJ442" s="6">
        <f>IFERROR(MATCH(ROW()-1,判定!$H$2:$H$501,0),"")</f>
        <v/>
      </c>
    </row>
    <row r="443">
      <c r="A443" s="6">
        <f>IF($BJ443="","",INDEX(原始資料!$A$2:$A$501,$BJ443))</f>
        <v/>
      </c>
      <c r="B443" s="6">
        <f>IF(OR($BJ443="",1&gt;設定!$B$3),"",IF(INDEX(原始資料!D$2:D$501,$BJ443)="","",INDEX(原始資料!D$2:D$501,$BJ443)))</f>
        <v/>
      </c>
      <c r="C443" s="6">
        <f>IF(OR($BJ443="",2&gt;設定!$B$3),"",IF(INDEX(原始資料!E$2:E$501,$BJ443)="","",INDEX(原始資料!E$2:E$501,$BJ443)))</f>
        <v/>
      </c>
      <c r="D443" s="6">
        <f>IF(OR($BJ443="",3&gt;設定!$B$3),"",IF(INDEX(原始資料!F$2:F$501,$BJ443)="","",INDEX(原始資料!F$2:F$501,$BJ443)))</f>
        <v/>
      </c>
      <c r="E443" s="6">
        <f>IF(OR($BJ443="",4&gt;設定!$B$3),"",IF(INDEX(原始資料!G$2:G$501,$BJ443)="","",INDEX(原始資料!G$2:G$501,$BJ443)))</f>
        <v/>
      </c>
      <c r="F443" s="6">
        <f>IF(OR($BJ443="",5&gt;設定!$B$3),"",IF(INDEX(原始資料!H$2:H$501,$BJ443)="","",INDEX(原始資料!H$2:H$501,$BJ443)))</f>
        <v/>
      </c>
      <c r="G443" s="6">
        <f>IF(OR($BJ443="",6&gt;設定!$B$3),"",IF(INDEX(原始資料!I$2:I$501,$BJ443)="","",INDEX(原始資料!I$2:I$501,$BJ443)))</f>
        <v/>
      </c>
      <c r="H443" s="6">
        <f>IF(OR($BJ443="",7&gt;設定!$B$3),"",IF(INDEX(原始資料!J$2:J$501,$BJ443)="","",INDEX(原始資料!J$2:J$501,$BJ443)))</f>
        <v/>
      </c>
      <c r="I443" s="6">
        <f>IF(OR($BJ443="",8&gt;設定!$B$3),"",IF(INDEX(原始資料!K$2:K$501,$BJ443)="","",INDEX(原始資料!K$2:K$501,$BJ443)))</f>
        <v/>
      </c>
      <c r="J443" s="6">
        <f>IF(OR($BJ443="",9&gt;設定!$B$3),"",IF(INDEX(原始資料!L$2:L$501,$BJ443)="","",INDEX(原始資料!L$2:L$501,$BJ443)))</f>
        <v/>
      </c>
      <c r="K443" s="6">
        <f>IF(OR($BJ443="",10&gt;設定!$B$3),"",IF(INDEX(原始資料!M$2:M$501,$BJ443)="","",INDEX(原始資料!M$2:M$501,$BJ443)))</f>
        <v/>
      </c>
      <c r="L443" s="6">
        <f>IF(OR($BJ443="",11&gt;設定!$B$3),"",IF(INDEX(原始資料!N$2:N$501,$BJ443)="","",INDEX(原始資料!N$2:N$501,$BJ443)))</f>
        <v/>
      </c>
      <c r="M443" s="6">
        <f>IF(OR($BJ443="",12&gt;設定!$B$3),"",IF(INDEX(原始資料!O$2:O$501,$BJ443)="","",INDEX(原始資料!O$2:O$501,$BJ443)))</f>
        <v/>
      </c>
      <c r="N443" s="6">
        <f>IF(OR($BJ443="",13&gt;設定!$B$3),"",IF(INDEX(原始資料!P$2:P$501,$BJ443)="","",INDEX(原始資料!P$2:P$501,$BJ443)))</f>
        <v/>
      </c>
      <c r="O443" s="6">
        <f>IF(OR($BJ443="",14&gt;設定!$B$3),"",IF(INDEX(原始資料!Q$2:Q$501,$BJ443)="","",INDEX(原始資料!Q$2:Q$501,$BJ443)))</f>
        <v/>
      </c>
      <c r="P443" s="6">
        <f>IF(OR($BJ443="",15&gt;設定!$B$3),"",IF(INDEX(原始資料!R$2:R$501,$BJ443)="","",INDEX(原始資料!R$2:R$501,$BJ443)))</f>
        <v/>
      </c>
      <c r="Q443" s="6">
        <f>IF(OR($BJ443="",16&gt;設定!$B$3),"",IF(INDEX(原始資料!S$2:S$501,$BJ443)="","",INDEX(原始資料!S$2:S$501,$BJ443)))</f>
        <v/>
      </c>
      <c r="R443" s="6">
        <f>IF(OR($BJ443="",17&gt;設定!$B$3),"",IF(INDEX(原始資料!T$2:T$501,$BJ443)="","",INDEX(原始資料!T$2:T$501,$BJ443)))</f>
        <v/>
      </c>
      <c r="S443" s="6">
        <f>IF(OR($BJ443="",18&gt;設定!$B$3),"",IF(INDEX(原始資料!U$2:U$501,$BJ443)="","",INDEX(原始資料!U$2:U$501,$BJ443)))</f>
        <v/>
      </c>
      <c r="T443" s="6">
        <f>IF(OR($BJ443="",19&gt;設定!$B$3),"",IF(INDEX(原始資料!V$2:V$501,$BJ443)="","",INDEX(原始資料!V$2:V$501,$BJ443)))</f>
        <v/>
      </c>
      <c r="U443" s="6">
        <f>IF(OR($BJ443="",20&gt;設定!$B$3),"",IF(INDEX(原始資料!W$2:W$501,$BJ443)="","",INDEX(原始資料!W$2:W$501,$BJ443)))</f>
        <v/>
      </c>
      <c r="V443" s="6">
        <f>IF(OR($BJ443="",21&gt;設定!$B$3),"",IF(INDEX(原始資料!X$2:X$501,$BJ443)="","",INDEX(原始資料!X$2:X$501,$BJ443)))</f>
        <v/>
      </c>
      <c r="W443" s="6">
        <f>IF(OR($BJ443="",22&gt;設定!$B$3),"",IF(INDEX(原始資料!Y$2:Y$501,$BJ443)="","",INDEX(原始資料!Y$2:Y$501,$BJ443)))</f>
        <v/>
      </c>
      <c r="X443" s="6">
        <f>IF(OR($BJ443="",23&gt;設定!$B$3),"",IF(INDEX(原始資料!Z$2:Z$501,$BJ443)="","",INDEX(原始資料!Z$2:Z$501,$BJ443)))</f>
        <v/>
      </c>
      <c r="Y443" s="6">
        <f>IF(OR($BJ443="",24&gt;設定!$B$3),"",IF(INDEX(原始資料!AA$2:AA$501,$BJ443)="","",INDEX(原始資料!AA$2:AA$501,$BJ443)))</f>
        <v/>
      </c>
      <c r="Z443" s="6">
        <f>IF(OR($BJ443="",25&gt;設定!$B$3),"",IF(INDEX(原始資料!AB$2:AB$501,$BJ443)="","",INDEX(原始資料!AB$2:AB$501,$BJ443)))</f>
        <v/>
      </c>
      <c r="AA443" s="6">
        <f>IF(OR($BJ443="",26&gt;設定!$B$3),"",IF(INDEX(原始資料!AC$2:AC$501,$BJ443)="","",INDEX(原始資料!AC$2:AC$501,$BJ443)))</f>
        <v/>
      </c>
      <c r="AB443" s="6">
        <f>IF(OR($BJ443="",27&gt;設定!$B$3),"",IF(INDEX(原始資料!AD$2:AD$501,$BJ443)="","",INDEX(原始資料!AD$2:AD$501,$BJ443)))</f>
        <v/>
      </c>
      <c r="AC443" s="6">
        <f>IF(OR($BJ443="",28&gt;設定!$B$3),"",IF(INDEX(原始資料!AE$2:AE$501,$BJ443)="","",INDEX(原始資料!AE$2:AE$501,$BJ443)))</f>
        <v/>
      </c>
      <c r="AD443" s="6">
        <f>IF(OR($BJ443="",29&gt;設定!$B$3),"",IF(INDEX(原始資料!AF$2:AF$501,$BJ443)="","",INDEX(原始資料!AF$2:AF$501,$BJ443)))</f>
        <v/>
      </c>
      <c r="AE443" s="6">
        <f>IF(OR($BJ443="",30&gt;設定!$B$3),"",IF(INDEX(原始資料!AG$2:AG$501,$BJ443)="","",INDEX(原始資料!AG$2:AG$501,$BJ443)))</f>
        <v/>
      </c>
      <c r="AF443" s="6">
        <f>IF(OR($BJ443="",31&gt;設定!$B$3),"",IF(INDEX(原始資料!AH$2:AH$501,$BJ443)="","",INDEX(原始資料!AH$2:AH$501,$BJ443)))</f>
        <v/>
      </c>
      <c r="AG443" s="6">
        <f>IF(OR($BJ443="",32&gt;設定!$B$3),"",IF(INDEX(原始資料!AI$2:AI$501,$BJ443)="","",INDEX(原始資料!AI$2:AI$501,$BJ443)))</f>
        <v/>
      </c>
      <c r="AH443" s="6">
        <f>IF(OR($BJ443="",33&gt;設定!$B$3),"",IF(INDEX(原始資料!AJ$2:AJ$501,$BJ443)="","",INDEX(原始資料!AJ$2:AJ$501,$BJ443)))</f>
        <v/>
      </c>
      <c r="AI443" s="6">
        <f>IF(OR($BJ443="",34&gt;設定!$B$3),"",IF(INDEX(原始資料!AK$2:AK$501,$BJ443)="","",INDEX(原始資料!AK$2:AK$501,$BJ443)))</f>
        <v/>
      </c>
      <c r="AJ443" s="6">
        <f>IF(OR($BJ443="",35&gt;設定!$B$3),"",IF(INDEX(原始資料!AL$2:AL$501,$BJ443)="","",INDEX(原始資料!AL$2:AL$501,$BJ443)))</f>
        <v/>
      </c>
      <c r="AK443" s="6">
        <f>IF(OR($BJ443="",36&gt;設定!$B$3),"",IF(INDEX(原始資料!AM$2:AM$501,$BJ443)="","",INDEX(原始資料!AM$2:AM$501,$BJ443)))</f>
        <v/>
      </c>
      <c r="AL443" s="6">
        <f>IF(OR($BJ443="",37&gt;設定!$B$3),"",IF(INDEX(原始資料!AN$2:AN$501,$BJ443)="","",INDEX(原始資料!AN$2:AN$501,$BJ443)))</f>
        <v/>
      </c>
      <c r="AM443" s="6">
        <f>IF(OR($BJ443="",38&gt;設定!$B$3),"",IF(INDEX(原始資料!AO$2:AO$501,$BJ443)="","",INDEX(原始資料!AO$2:AO$501,$BJ443)))</f>
        <v/>
      </c>
      <c r="AN443" s="6">
        <f>IF(OR($BJ443="",39&gt;設定!$B$3),"",IF(INDEX(原始資料!AP$2:AP$501,$BJ443)="","",INDEX(原始資料!AP$2:AP$501,$BJ443)))</f>
        <v/>
      </c>
      <c r="AO443" s="6">
        <f>IF(OR($BJ443="",40&gt;設定!$B$3),"",IF(INDEX(原始資料!AQ$2:AQ$501,$BJ443)="","",INDEX(原始資料!AQ$2:AQ$501,$BJ443)))</f>
        <v/>
      </c>
      <c r="AP443" s="6">
        <f>IF(OR($BJ443="",41&gt;設定!$B$3),"",IF(INDEX(原始資料!AR$2:AR$501,$BJ443)="","",INDEX(原始資料!AR$2:AR$501,$BJ443)))</f>
        <v/>
      </c>
      <c r="AQ443" s="6">
        <f>IF(OR($BJ443="",42&gt;設定!$B$3),"",IF(INDEX(原始資料!AS$2:AS$501,$BJ443)="","",INDEX(原始資料!AS$2:AS$501,$BJ443)))</f>
        <v/>
      </c>
      <c r="AR443" s="6">
        <f>IF(OR($BJ443="",43&gt;設定!$B$3),"",IF(INDEX(原始資料!AT$2:AT$501,$BJ443)="","",INDEX(原始資料!AT$2:AT$501,$BJ443)))</f>
        <v/>
      </c>
      <c r="AS443" s="6">
        <f>IF(OR($BJ443="",44&gt;設定!$B$3),"",IF(INDEX(原始資料!AU$2:AU$501,$BJ443)="","",INDEX(原始資料!AU$2:AU$501,$BJ443)))</f>
        <v/>
      </c>
      <c r="AT443" s="6">
        <f>IF(OR($BJ443="",45&gt;設定!$B$3),"",IF(INDEX(原始資料!AV$2:AV$501,$BJ443)="","",INDEX(原始資料!AV$2:AV$501,$BJ443)))</f>
        <v/>
      </c>
      <c r="AU443" s="6">
        <f>IF(OR($BJ443="",46&gt;設定!$B$3),"",IF(INDEX(原始資料!AW$2:AW$501,$BJ443)="","",INDEX(原始資料!AW$2:AW$501,$BJ443)))</f>
        <v/>
      </c>
      <c r="AV443" s="6">
        <f>IF(OR($BJ443="",47&gt;設定!$B$3),"",IF(INDEX(原始資料!AX$2:AX$501,$BJ443)="","",INDEX(原始資料!AX$2:AX$501,$BJ443)))</f>
        <v/>
      </c>
      <c r="AW443" s="6">
        <f>IF(OR($BJ443="",48&gt;設定!$B$3),"",IF(INDEX(原始資料!AY$2:AY$501,$BJ443)="","",INDEX(原始資料!AY$2:AY$501,$BJ443)))</f>
        <v/>
      </c>
      <c r="AX443" s="6">
        <f>IF(OR($BJ443="",49&gt;設定!$B$3),"",IF(INDEX(原始資料!AZ$2:AZ$501,$BJ443)="","",INDEX(原始資料!AZ$2:AZ$501,$BJ443)))</f>
        <v/>
      </c>
      <c r="AY443" s="6">
        <f>IF(OR($BJ443="",50&gt;設定!$B$3),"",IF(INDEX(原始資料!BA$2:BA$501,$BJ443)="","",INDEX(原始資料!BA$2:BA$501,$BJ443)))</f>
        <v/>
      </c>
      <c r="AZ443" s="6">
        <f>IF(OR($BJ443="",51&gt;設定!$B$3),"",IF(INDEX(原始資料!BB$2:BB$501,$BJ443)="","",INDEX(原始資料!BB$2:BB$501,$BJ443)))</f>
        <v/>
      </c>
      <c r="BA443" s="6">
        <f>IF(OR($BJ443="",52&gt;設定!$B$3),"",IF(INDEX(原始資料!BC$2:BC$501,$BJ443)="","",INDEX(原始資料!BC$2:BC$501,$BJ443)))</f>
        <v/>
      </c>
      <c r="BB443" s="6">
        <f>IF(OR($BJ443="",53&gt;設定!$B$3),"",IF(INDEX(原始資料!BD$2:BD$501,$BJ443)="","",INDEX(原始資料!BD$2:BD$501,$BJ443)))</f>
        <v/>
      </c>
      <c r="BC443" s="6">
        <f>IF(OR($BJ443="",54&gt;設定!$B$3),"",IF(INDEX(原始資料!BE$2:BE$501,$BJ443)="","",INDEX(原始資料!BE$2:BE$501,$BJ443)))</f>
        <v/>
      </c>
      <c r="BD443" s="6">
        <f>IF(OR($BJ443="",55&gt;設定!$B$3),"",IF(INDEX(原始資料!BF$2:BF$501,$BJ443)="","",INDEX(原始資料!BF$2:BF$501,$BJ443)))</f>
        <v/>
      </c>
      <c r="BE443" s="6">
        <f>IF(OR($BJ443="",56&gt;設定!$B$3),"",IF(INDEX(原始資料!BG$2:BG$501,$BJ443)="","",INDEX(原始資料!BG$2:BG$501,$BJ443)))</f>
        <v/>
      </c>
      <c r="BF443" s="6">
        <f>IF(OR($BJ443="",57&gt;設定!$B$3),"",IF(INDEX(原始資料!BH$2:BH$501,$BJ443)="","",INDEX(原始資料!BH$2:BH$501,$BJ443)))</f>
        <v/>
      </c>
      <c r="BG443" s="6">
        <f>IF(OR($BJ443="",58&gt;設定!$B$3),"",IF(INDEX(原始資料!BI$2:BI$501,$BJ443)="","",INDEX(原始資料!BI$2:BI$501,$BJ443)))</f>
        <v/>
      </c>
      <c r="BH443" s="6">
        <f>IF(OR($BJ443="",59&gt;設定!$B$3),"",IF(INDEX(原始資料!BJ$2:BJ$501,$BJ443)="","",INDEX(原始資料!BJ$2:BJ$501,$BJ443)))</f>
        <v/>
      </c>
      <c r="BI443" s="6">
        <f>IF(OR($BJ443="",60&gt;設定!$B$3),"",IF(INDEX(原始資料!BK$2:BK$501,$BJ443)="","",INDEX(原始資料!BK$2:BK$501,$BJ443)))</f>
        <v/>
      </c>
      <c r="BJ443" s="6">
        <f>IFERROR(MATCH(ROW()-1,判定!$H$2:$H$501,0),"")</f>
        <v/>
      </c>
    </row>
    <row r="444">
      <c r="A444" s="6">
        <f>IF($BJ444="","",INDEX(原始資料!$A$2:$A$501,$BJ444))</f>
        <v/>
      </c>
      <c r="B444" s="6">
        <f>IF(OR($BJ444="",1&gt;設定!$B$3),"",IF(INDEX(原始資料!D$2:D$501,$BJ444)="","",INDEX(原始資料!D$2:D$501,$BJ444)))</f>
        <v/>
      </c>
      <c r="C444" s="6">
        <f>IF(OR($BJ444="",2&gt;設定!$B$3),"",IF(INDEX(原始資料!E$2:E$501,$BJ444)="","",INDEX(原始資料!E$2:E$501,$BJ444)))</f>
        <v/>
      </c>
      <c r="D444" s="6">
        <f>IF(OR($BJ444="",3&gt;設定!$B$3),"",IF(INDEX(原始資料!F$2:F$501,$BJ444)="","",INDEX(原始資料!F$2:F$501,$BJ444)))</f>
        <v/>
      </c>
      <c r="E444" s="6">
        <f>IF(OR($BJ444="",4&gt;設定!$B$3),"",IF(INDEX(原始資料!G$2:G$501,$BJ444)="","",INDEX(原始資料!G$2:G$501,$BJ444)))</f>
        <v/>
      </c>
      <c r="F444" s="6">
        <f>IF(OR($BJ444="",5&gt;設定!$B$3),"",IF(INDEX(原始資料!H$2:H$501,$BJ444)="","",INDEX(原始資料!H$2:H$501,$BJ444)))</f>
        <v/>
      </c>
      <c r="G444" s="6">
        <f>IF(OR($BJ444="",6&gt;設定!$B$3),"",IF(INDEX(原始資料!I$2:I$501,$BJ444)="","",INDEX(原始資料!I$2:I$501,$BJ444)))</f>
        <v/>
      </c>
      <c r="H444" s="6">
        <f>IF(OR($BJ444="",7&gt;設定!$B$3),"",IF(INDEX(原始資料!J$2:J$501,$BJ444)="","",INDEX(原始資料!J$2:J$501,$BJ444)))</f>
        <v/>
      </c>
      <c r="I444" s="6">
        <f>IF(OR($BJ444="",8&gt;設定!$B$3),"",IF(INDEX(原始資料!K$2:K$501,$BJ444)="","",INDEX(原始資料!K$2:K$501,$BJ444)))</f>
        <v/>
      </c>
      <c r="J444" s="6">
        <f>IF(OR($BJ444="",9&gt;設定!$B$3),"",IF(INDEX(原始資料!L$2:L$501,$BJ444)="","",INDEX(原始資料!L$2:L$501,$BJ444)))</f>
        <v/>
      </c>
      <c r="K444" s="6">
        <f>IF(OR($BJ444="",10&gt;設定!$B$3),"",IF(INDEX(原始資料!M$2:M$501,$BJ444)="","",INDEX(原始資料!M$2:M$501,$BJ444)))</f>
        <v/>
      </c>
      <c r="L444" s="6">
        <f>IF(OR($BJ444="",11&gt;設定!$B$3),"",IF(INDEX(原始資料!N$2:N$501,$BJ444)="","",INDEX(原始資料!N$2:N$501,$BJ444)))</f>
        <v/>
      </c>
      <c r="M444" s="6">
        <f>IF(OR($BJ444="",12&gt;設定!$B$3),"",IF(INDEX(原始資料!O$2:O$501,$BJ444)="","",INDEX(原始資料!O$2:O$501,$BJ444)))</f>
        <v/>
      </c>
      <c r="N444" s="6">
        <f>IF(OR($BJ444="",13&gt;設定!$B$3),"",IF(INDEX(原始資料!P$2:P$501,$BJ444)="","",INDEX(原始資料!P$2:P$501,$BJ444)))</f>
        <v/>
      </c>
      <c r="O444" s="6">
        <f>IF(OR($BJ444="",14&gt;設定!$B$3),"",IF(INDEX(原始資料!Q$2:Q$501,$BJ444)="","",INDEX(原始資料!Q$2:Q$501,$BJ444)))</f>
        <v/>
      </c>
      <c r="P444" s="6">
        <f>IF(OR($BJ444="",15&gt;設定!$B$3),"",IF(INDEX(原始資料!R$2:R$501,$BJ444)="","",INDEX(原始資料!R$2:R$501,$BJ444)))</f>
        <v/>
      </c>
      <c r="Q444" s="6">
        <f>IF(OR($BJ444="",16&gt;設定!$B$3),"",IF(INDEX(原始資料!S$2:S$501,$BJ444)="","",INDEX(原始資料!S$2:S$501,$BJ444)))</f>
        <v/>
      </c>
      <c r="R444" s="6">
        <f>IF(OR($BJ444="",17&gt;設定!$B$3),"",IF(INDEX(原始資料!T$2:T$501,$BJ444)="","",INDEX(原始資料!T$2:T$501,$BJ444)))</f>
        <v/>
      </c>
      <c r="S444" s="6">
        <f>IF(OR($BJ444="",18&gt;設定!$B$3),"",IF(INDEX(原始資料!U$2:U$501,$BJ444)="","",INDEX(原始資料!U$2:U$501,$BJ444)))</f>
        <v/>
      </c>
      <c r="T444" s="6">
        <f>IF(OR($BJ444="",19&gt;設定!$B$3),"",IF(INDEX(原始資料!V$2:V$501,$BJ444)="","",INDEX(原始資料!V$2:V$501,$BJ444)))</f>
        <v/>
      </c>
      <c r="U444" s="6">
        <f>IF(OR($BJ444="",20&gt;設定!$B$3),"",IF(INDEX(原始資料!W$2:W$501,$BJ444)="","",INDEX(原始資料!W$2:W$501,$BJ444)))</f>
        <v/>
      </c>
      <c r="V444" s="6">
        <f>IF(OR($BJ444="",21&gt;設定!$B$3),"",IF(INDEX(原始資料!X$2:X$501,$BJ444)="","",INDEX(原始資料!X$2:X$501,$BJ444)))</f>
        <v/>
      </c>
      <c r="W444" s="6">
        <f>IF(OR($BJ444="",22&gt;設定!$B$3),"",IF(INDEX(原始資料!Y$2:Y$501,$BJ444)="","",INDEX(原始資料!Y$2:Y$501,$BJ444)))</f>
        <v/>
      </c>
      <c r="X444" s="6">
        <f>IF(OR($BJ444="",23&gt;設定!$B$3),"",IF(INDEX(原始資料!Z$2:Z$501,$BJ444)="","",INDEX(原始資料!Z$2:Z$501,$BJ444)))</f>
        <v/>
      </c>
      <c r="Y444" s="6">
        <f>IF(OR($BJ444="",24&gt;設定!$B$3),"",IF(INDEX(原始資料!AA$2:AA$501,$BJ444)="","",INDEX(原始資料!AA$2:AA$501,$BJ444)))</f>
        <v/>
      </c>
      <c r="Z444" s="6">
        <f>IF(OR($BJ444="",25&gt;設定!$B$3),"",IF(INDEX(原始資料!AB$2:AB$501,$BJ444)="","",INDEX(原始資料!AB$2:AB$501,$BJ444)))</f>
        <v/>
      </c>
      <c r="AA444" s="6">
        <f>IF(OR($BJ444="",26&gt;設定!$B$3),"",IF(INDEX(原始資料!AC$2:AC$501,$BJ444)="","",INDEX(原始資料!AC$2:AC$501,$BJ444)))</f>
        <v/>
      </c>
      <c r="AB444" s="6">
        <f>IF(OR($BJ444="",27&gt;設定!$B$3),"",IF(INDEX(原始資料!AD$2:AD$501,$BJ444)="","",INDEX(原始資料!AD$2:AD$501,$BJ444)))</f>
        <v/>
      </c>
      <c r="AC444" s="6">
        <f>IF(OR($BJ444="",28&gt;設定!$B$3),"",IF(INDEX(原始資料!AE$2:AE$501,$BJ444)="","",INDEX(原始資料!AE$2:AE$501,$BJ444)))</f>
        <v/>
      </c>
      <c r="AD444" s="6">
        <f>IF(OR($BJ444="",29&gt;設定!$B$3),"",IF(INDEX(原始資料!AF$2:AF$501,$BJ444)="","",INDEX(原始資料!AF$2:AF$501,$BJ444)))</f>
        <v/>
      </c>
      <c r="AE444" s="6">
        <f>IF(OR($BJ444="",30&gt;設定!$B$3),"",IF(INDEX(原始資料!AG$2:AG$501,$BJ444)="","",INDEX(原始資料!AG$2:AG$501,$BJ444)))</f>
        <v/>
      </c>
      <c r="AF444" s="6">
        <f>IF(OR($BJ444="",31&gt;設定!$B$3),"",IF(INDEX(原始資料!AH$2:AH$501,$BJ444)="","",INDEX(原始資料!AH$2:AH$501,$BJ444)))</f>
        <v/>
      </c>
      <c r="AG444" s="6">
        <f>IF(OR($BJ444="",32&gt;設定!$B$3),"",IF(INDEX(原始資料!AI$2:AI$501,$BJ444)="","",INDEX(原始資料!AI$2:AI$501,$BJ444)))</f>
        <v/>
      </c>
      <c r="AH444" s="6">
        <f>IF(OR($BJ444="",33&gt;設定!$B$3),"",IF(INDEX(原始資料!AJ$2:AJ$501,$BJ444)="","",INDEX(原始資料!AJ$2:AJ$501,$BJ444)))</f>
        <v/>
      </c>
      <c r="AI444" s="6">
        <f>IF(OR($BJ444="",34&gt;設定!$B$3),"",IF(INDEX(原始資料!AK$2:AK$501,$BJ444)="","",INDEX(原始資料!AK$2:AK$501,$BJ444)))</f>
        <v/>
      </c>
      <c r="AJ444" s="6">
        <f>IF(OR($BJ444="",35&gt;設定!$B$3),"",IF(INDEX(原始資料!AL$2:AL$501,$BJ444)="","",INDEX(原始資料!AL$2:AL$501,$BJ444)))</f>
        <v/>
      </c>
      <c r="AK444" s="6">
        <f>IF(OR($BJ444="",36&gt;設定!$B$3),"",IF(INDEX(原始資料!AM$2:AM$501,$BJ444)="","",INDEX(原始資料!AM$2:AM$501,$BJ444)))</f>
        <v/>
      </c>
      <c r="AL444" s="6">
        <f>IF(OR($BJ444="",37&gt;設定!$B$3),"",IF(INDEX(原始資料!AN$2:AN$501,$BJ444)="","",INDEX(原始資料!AN$2:AN$501,$BJ444)))</f>
        <v/>
      </c>
      <c r="AM444" s="6">
        <f>IF(OR($BJ444="",38&gt;設定!$B$3),"",IF(INDEX(原始資料!AO$2:AO$501,$BJ444)="","",INDEX(原始資料!AO$2:AO$501,$BJ444)))</f>
        <v/>
      </c>
      <c r="AN444" s="6">
        <f>IF(OR($BJ444="",39&gt;設定!$B$3),"",IF(INDEX(原始資料!AP$2:AP$501,$BJ444)="","",INDEX(原始資料!AP$2:AP$501,$BJ444)))</f>
        <v/>
      </c>
      <c r="AO444" s="6">
        <f>IF(OR($BJ444="",40&gt;設定!$B$3),"",IF(INDEX(原始資料!AQ$2:AQ$501,$BJ444)="","",INDEX(原始資料!AQ$2:AQ$501,$BJ444)))</f>
        <v/>
      </c>
      <c r="AP444" s="6">
        <f>IF(OR($BJ444="",41&gt;設定!$B$3),"",IF(INDEX(原始資料!AR$2:AR$501,$BJ444)="","",INDEX(原始資料!AR$2:AR$501,$BJ444)))</f>
        <v/>
      </c>
      <c r="AQ444" s="6">
        <f>IF(OR($BJ444="",42&gt;設定!$B$3),"",IF(INDEX(原始資料!AS$2:AS$501,$BJ444)="","",INDEX(原始資料!AS$2:AS$501,$BJ444)))</f>
        <v/>
      </c>
      <c r="AR444" s="6">
        <f>IF(OR($BJ444="",43&gt;設定!$B$3),"",IF(INDEX(原始資料!AT$2:AT$501,$BJ444)="","",INDEX(原始資料!AT$2:AT$501,$BJ444)))</f>
        <v/>
      </c>
      <c r="AS444" s="6">
        <f>IF(OR($BJ444="",44&gt;設定!$B$3),"",IF(INDEX(原始資料!AU$2:AU$501,$BJ444)="","",INDEX(原始資料!AU$2:AU$501,$BJ444)))</f>
        <v/>
      </c>
      <c r="AT444" s="6">
        <f>IF(OR($BJ444="",45&gt;設定!$B$3),"",IF(INDEX(原始資料!AV$2:AV$501,$BJ444)="","",INDEX(原始資料!AV$2:AV$501,$BJ444)))</f>
        <v/>
      </c>
      <c r="AU444" s="6">
        <f>IF(OR($BJ444="",46&gt;設定!$B$3),"",IF(INDEX(原始資料!AW$2:AW$501,$BJ444)="","",INDEX(原始資料!AW$2:AW$501,$BJ444)))</f>
        <v/>
      </c>
      <c r="AV444" s="6">
        <f>IF(OR($BJ444="",47&gt;設定!$B$3),"",IF(INDEX(原始資料!AX$2:AX$501,$BJ444)="","",INDEX(原始資料!AX$2:AX$501,$BJ444)))</f>
        <v/>
      </c>
      <c r="AW444" s="6">
        <f>IF(OR($BJ444="",48&gt;設定!$B$3),"",IF(INDEX(原始資料!AY$2:AY$501,$BJ444)="","",INDEX(原始資料!AY$2:AY$501,$BJ444)))</f>
        <v/>
      </c>
      <c r="AX444" s="6">
        <f>IF(OR($BJ444="",49&gt;設定!$B$3),"",IF(INDEX(原始資料!AZ$2:AZ$501,$BJ444)="","",INDEX(原始資料!AZ$2:AZ$501,$BJ444)))</f>
        <v/>
      </c>
      <c r="AY444" s="6">
        <f>IF(OR($BJ444="",50&gt;設定!$B$3),"",IF(INDEX(原始資料!BA$2:BA$501,$BJ444)="","",INDEX(原始資料!BA$2:BA$501,$BJ444)))</f>
        <v/>
      </c>
      <c r="AZ444" s="6">
        <f>IF(OR($BJ444="",51&gt;設定!$B$3),"",IF(INDEX(原始資料!BB$2:BB$501,$BJ444)="","",INDEX(原始資料!BB$2:BB$501,$BJ444)))</f>
        <v/>
      </c>
      <c r="BA444" s="6">
        <f>IF(OR($BJ444="",52&gt;設定!$B$3),"",IF(INDEX(原始資料!BC$2:BC$501,$BJ444)="","",INDEX(原始資料!BC$2:BC$501,$BJ444)))</f>
        <v/>
      </c>
      <c r="BB444" s="6">
        <f>IF(OR($BJ444="",53&gt;設定!$B$3),"",IF(INDEX(原始資料!BD$2:BD$501,$BJ444)="","",INDEX(原始資料!BD$2:BD$501,$BJ444)))</f>
        <v/>
      </c>
      <c r="BC444" s="6">
        <f>IF(OR($BJ444="",54&gt;設定!$B$3),"",IF(INDEX(原始資料!BE$2:BE$501,$BJ444)="","",INDEX(原始資料!BE$2:BE$501,$BJ444)))</f>
        <v/>
      </c>
      <c r="BD444" s="6">
        <f>IF(OR($BJ444="",55&gt;設定!$B$3),"",IF(INDEX(原始資料!BF$2:BF$501,$BJ444)="","",INDEX(原始資料!BF$2:BF$501,$BJ444)))</f>
        <v/>
      </c>
      <c r="BE444" s="6">
        <f>IF(OR($BJ444="",56&gt;設定!$B$3),"",IF(INDEX(原始資料!BG$2:BG$501,$BJ444)="","",INDEX(原始資料!BG$2:BG$501,$BJ444)))</f>
        <v/>
      </c>
      <c r="BF444" s="6">
        <f>IF(OR($BJ444="",57&gt;設定!$B$3),"",IF(INDEX(原始資料!BH$2:BH$501,$BJ444)="","",INDEX(原始資料!BH$2:BH$501,$BJ444)))</f>
        <v/>
      </c>
      <c r="BG444" s="6">
        <f>IF(OR($BJ444="",58&gt;設定!$B$3),"",IF(INDEX(原始資料!BI$2:BI$501,$BJ444)="","",INDEX(原始資料!BI$2:BI$501,$BJ444)))</f>
        <v/>
      </c>
      <c r="BH444" s="6">
        <f>IF(OR($BJ444="",59&gt;設定!$B$3),"",IF(INDEX(原始資料!BJ$2:BJ$501,$BJ444)="","",INDEX(原始資料!BJ$2:BJ$501,$BJ444)))</f>
        <v/>
      </c>
      <c r="BI444" s="6">
        <f>IF(OR($BJ444="",60&gt;設定!$B$3),"",IF(INDEX(原始資料!BK$2:BK$501,$BJ444)="","",INDEX(原始資料!BK$2:BK$501,$BJ444)))</f>
        <v/>
      </c>
      <c r="BJ444" s="6">
        <f>IFERROR(MATCH(ROW()-1,判定!$H$2:$H$501,0),"")</f>
        <v/>
      </c>
    </row>
    <row r="445">
      <c r="A445" s="6">
        <f>IF($BJ445="","",INDEX(原始資料!$A$2:$A$501,$BJ445))</f>
        <v/>
      </c>
      <c r="B445" s="6">
        <f>IF(OR($BJ445="",1&gt;設定!$B$3),"",IF(INDEX(原始資料!D$2:D$501,$BJ445)="","",INDEX(原始資料!D$2:D$501,$BJ445)))</f>
        <v/>
      </c>
      <c r="C445" s="6">
        <f>IF(OR($BJ445="",2&gt;設定!$B$3),"",IF(INDEX(原始資料!E$2:E$501,$BJ445)="","",INDEX(原始資料!E$2:E$501,$BJ445)))</f>
        <v/>
      </c>
      <c r="D445" s="6">
        <f>IF(OR($BJ445="",3&gt;設定!$B$3),"",IF(INDEX(原始資料!F$2:F$501,$BJ445)="","",INDEX(原始資料!F$2:F$501,$BJ445)))</f>
        <v/>
      </c>
      <c r="E445" s="6">
        <f>IF(OR($BJ445="",4&gt;設定!$B$3),"",IF(INDEX(原始資料!G$2:G$501,$BJ445)="","",INDEX(原始資料!G$2:G$501,$BJ445)))</f>
        <v/>
      </c>
      <c r="F445" s="6">
        <f>IF(OR($BJ445="",5&gt;設定!$B$3),"",IF(INDEX(原始資料!H$2:H$501,$BJ445)="","",INDEX(原始資料!H$2:H$501,$BJ445)))</f>
        <v/>
      </c>
      <c r="G445" s="6">
        <f>IF(OR($BJ445="",6&gt;設定!$B$3),"",IF(INDEX(原始資料!I$2:I$501,$BJ445)="","",INDEX(原始資料!I$2:I$501,$BJ445)))</f>
        <v/>
      </c>
      <c r="H445" s="6">
        <f>IF(OR($BJ445="",7&gt;設定!$B$3),"",IF(INDEX(原始資料!J$2:J$501,$BJ445)="","",INDEX(原始資料!J$2:J$501,$BJ445)))</f>
        <v/>
      </c>
      <c r="I445" s="6">
        <f>IF(OR($BJ445="",8&gt;設定!$B$3),"",IF(INDEX(原始資料!K$2:K$501,$BJ445)="","",INDEX(原始資料!K$2:K$501,$BJ445)))</f>
        <v/>
      </c>
      <c r="J445" s="6">
        <f>IF(OR($BJ445="",9&gt;設定!$B$3),"",IF(INDEX(原始資料!L$2:L$501,$BJ445)="","",INDEX(原始資料!L$2:L$501,$BJ445)))</f>
        <v/>
      </c>
      <c r="K445" s="6">
        <f>IF(OR($BJ445="",10&gt;設定!$B$3),"",IF(INDEX(原始資料!M$2:M$501,$BJ445)="","",INDEX(原始資料!M$2:M$501,$BJ445)))</f>
        <v/>
      </c>
      <c r="L445" s="6">
        <f>IF(OR($BJ445="",11&gt;設定!$B$3),"",IF(INDEX(原始資料!N$2:N$501,$BJ445)="","",INDEX(原始資料!N$2:N$501,$BJ445)))</f>
        <v/>
      </c>
      <c r="M445" s="6">
        <f>IF(OR($BJ445="",12&gt;設定!$B$3),"",IF(INDEX(原始資料!O$2:O$501,$BJ445)="","",INDEX(原始資料!O$2:O$501,$BJ445)))</f>
        <v/>
      </c>
      <c r="N445" s="6">
        <f>IF(OR($BJ445="",13&gt;設定!$B$3),"",IF(INDEX(原始資料!P$2:P$501,$BJ445)="","",INDEX(原始資料!P$2:P$501,$BJ445)))</f>
        <v/>
      </c>
      <c r="O445" s="6">
        <f>IF(OR($BJ445="",14&gt;設定!$B$3),"",IF(INDEX(原始資料!Q$2:Q$501,$BJ445)="","",INDEX(原始資料!Q$2:Q$501,$BJ445)))</f>
        <v/>
      </c>
      <c r="P445" s="6">
        <f>IF(OR($BJ445="",15&gt;設定!$B$3),"",IF(INDEX(原始資料!R$2:R$501,$BJ445)="","",INDEX(原始資料!R$2:R$501,$BJ445)))</f>
        <v/>
      </c>
      <c r="Q445" s="6">
        <f>IF(OR($BJ445="",16&gt;設定!$B$3),"",IF(INDEX(原始資料!S$2:S$501,$BJ445)="","",INDEX(原始資料!S$2:S$501,$BJ445)))</f>
        <v/>
      </c>
      <c r="R445" s="6">
        <f>IF(OR($BJ445="",17&gt;設定!$B$3),"",IF(INDEX(原始資料!T$2:T$501,$BJ445)="","",INDEX(原始資料!T$2:T$501,$BJ445)))</f>
        <v/>
      </c>
      <c r="S445" s="6">
        <f>IF(OR($BJ445="",18&gt;設定!$B$3),"",IF(INDEX(原始資料!U$2:U$501,$BJ445)="","",INDEX(原始資料!U$2:U$501,$BJ445)))</f>
        <v/>
      </c>
      <c r="T445" s="6">
        <f>IF(OR($BJ445="",19&gt;設定!$B$3),"",IF(INDEX(原始資料!V$2:V$501,$BJ445)="","",INDEX(原始資料!V$2:V$501,$BJ445)))</f>
        <v/>
      </c>
      <c r="U445" s="6">
        <f>IF(OR($BJ445="",20&gt;設定!$B$3),"",IF(INDEX(原始資料!W$2:W$501,$BJ445)="","",INDEX(原始資料!W$2:W$501,$BJ445)))</f>
        <v/>
      </c>
      <c r="V445" s="6">
        <f>IF(OR($BJ445="",21&gt;設定!$B$3),"",IF(INDEX(原始資料!X$2:X$501,$BJ445)="","",INDEX(原始資料!X$2:X$501,$BJ445)))</f>
        <v/>
      </c>
      <c r="W445" s="6">
        <f>IF(OR($BJ445="",22&gt;設定!$B$3),"",IF(INDEX(原始資料!Y$2:Y$501,$BJ445)="","",INDEX(原始資料!Y$2:Y$501,$BJ445)))</f>
        <v/>
      </c>
      <c r="X445" s="6">
        <f>IF(OR($BJ445="",23&gt;設定!$B$3),"",IF(INDEX(原始資料!Z$2:Z$501,$BJ445)="","",INDEX(原始資料!Z$2:Z$501,$BJ445)))</f>
        <v/>
      </c>
      <c r="Y445" s="6">
        <f>IF(OR($BJ445="",24&gt;設定!$B$3),"",IF(INDEX(原始資料!AA$2:AA$501,$BJ445)="","",INDEX(原始資料!AA$2:AA$501,$BJ445)))</f>
        <v/>
      </c>
      <c r="Z445" s="6">
        <f>IF(OR($BJ445="",25&gt;設定!$B$3),"",IF(INDEX(原始資料!AB$2:AB$501,$BJ445)="","",INDEX(原始資料!AB$2:AB$501,$BJ445)))</f>
        <v/>
      </c>
      <c r="AA445" s="6">
        <f>IF(OR($BJ445="",26&gt;設定!$B$3),"",IF(INDEX(原始資料!AC$2:AC$501,$BJ445)="","",INDEX(原始資料!AC$2:AC$501,$BJ445)))</f>
        <v/>
      </c>
      <c r="AB445" s="6">
        <f>IF(OR($BJ445="",27&gt;設定!$B$3),"",IF(INDEX(原始資料!AD$2:AD$501,$BJ445)="","",INDEX(原始資料!AD$2:AD$501,$BJ445)))</f>
        <v/>
      </c>
      <c r="AC445" s="6">
        <f>IF(OR($BJ445="",28&gt;設定!$B$3),"",IF(INDEX(原始資料!AE$2:AE$501,$BJ445)="","",INDEX(原始資料!AE$2:AE$501,$BJ445)))</f>
        <v/>
      </c>
      <c r="AD445" s="6">
        <f>IF(OR($BJ445="",29&gt;設定!$B$3),"",IF(INDEX(原始資料!AF$2:AF$501,$BJ445)="","",INDEX(原始資料!AF$2:AF$501,$BJ445)))</f>
        <v/>
      </c>
      <c r="AE445" s="6">
        <f>IF(OR($BJ445="",30&gt;設定!$B$3),"",IF(INDEX(原始資料!AG$2:AG$501,$BJ445)="","",INDEX(原始資料!AG$2:AG$501,$BJ445)))</f>
        <v/>
      </c>
      <c r="AF445" s="6">
        <f>IF(OR($BJ445="",31&gt;設定!$B$3),"",IF(INDEX(原始資料!AH$2:AH$501,$BJ445)="","",INDEX(原始資料!AH$2:AH$501,$BJ445)))</f>
        <v/>
      </c>
      <c r="AG445" s="6">
        <f>IF(OR($BJ445="",32&gt;設定!$B$3),"",IF(INDEX(原始資料!AI$2:AI$501,$BJ445)="","",INDEX(原始資料!AI$2:AI$501,$BJ445)))</f>
        <v/>
      </c>
      <c r="AH445" s="6">
        <f>IF(OR($BJ445="",33&gt;設定!$B$3),"",IF(INDEX(原始資料!AJ$2:AJ$501,$BJ445)="","",INDEX(原始資料!AJ$2:AJ$501,$BJ445)))</f>
        <v/>
      </c>
      <c r="AI445" s="6">
        <f>IF(OR($BJ445="",34&gt;設定!$B$3),"",IF(INDEX(原始資料!AK$2:AK$501,$BJ445)="","",INDEX(原始資料!AK$2:AK$501,$BJ445)))</f>
        <v/>
      </c>
      <c r="AJ445" s="6">
        <f>IF(OR($BJ445="",35&gt;設定!$B$3),"",IF(INDEX(原始資料!AL$2:AL$501,$BJ445)="","",INDEX(原始資料!AL$2:AL$501,$BJ445)))</f>
        <v/>
      </c>
      <c r="AK445" s="6">
        <f>IF(OR($BJ445="",36&gt;設定!$B$3),"",IF(INDEX(原始資料!AM$2:AM$501,$BJ445)="","",INDEX(原始資料!AM$2:AM$501,$BJ445)))</f>
        <v/>
      </c>
      <c r="AL445" s="6">
        <f>IF(OR($BJ445="",37&gt;設定!$B$3),"",IF(INDEX(原始資料!AN$2:AN$501,$BJ445)="","",INDEX(原始資料!AN$2:AN$501,$BJ445)))</f>
        <v/>
      </c>
      <c r="AM445" s="6">
        <f>IF(OR($BJ445="",38&gt;設定!$B$3),"",IF(INDEX(原始資料!AO$2:AO$501,$BJ445)="","",INDEX(原始資料!AO$2:AO$501,$BJ445)))</f>
        <v/>
      </c>
      <c r="AN445" s="6">
        <f>IF(OR($BJ445="",39&gt;設定!$B$3),"",IF(INDEX(原始資料!AP$2:AP$501,$BJ445)="","",INDEX(原始資料!AP$2:AP$501,$BJ445)))</f>
        <v/>
      </c>
      <c r="AO445" s="6">
        <f>IF(OR($BJ445="",40&gt;設定!$B$3),"",IF(INDEX(原始資料!AQ$2:AQ$501,$BJ445)="","",INDEX(原始資料!AQ$2:AQ$501,$BJ445)))</f>
        <v/>
      </c>
      <c r="AP445" s="6">
        <f>IF(OR($BJ445="",41&gt;設定!$B$3),"",IF(INDEX(原始資料!AR$2:AR$501,$BJ445)="","",INDEX(原始資料!AR$2:AR$501,$BJ445)))</f>
        <v/>
      </c>
      <c r="AQ445" s="6">
        <f>IF(OR($BJ445="",42&gt;設定!$B$3),"",IF(INDEX(原始資料!AS$2:AS$501,$BJ445)="","",INDEX(原始資料!AS$2:AS$501,$BJ445)))</f>
        <v/>
      </c>
      <c r="AR445" s="6">
        <f>IF(OR($BJ445="",43&gt;設定!$B$3),"",IF(INDEX(原始資料!AT$2:AT$501,$BJ445)="","",INDEX(原始資料!AT$2:AT$501,$BJ445)))</f>
        <v/>
      </c>
      <c r="AS445" s="6">
        <f>IF(OR($BJ445="",44&gt;設定!$B$3),"",IF(INDEX(原始資料!AU$2:AU$501,$BJ445)="","",INDEX(原始資料!AU$2:AU$501,$BJ445)))</f>
        <v/>
      </c>
      <c r="AT445" s="6">
        <f>IF(OR($BJ445="",45&gt;設定!$B$3),"",IF(INDEX(原始資料!AV$2:AV$501,$BJ445)="","",INDEX(原始資料!AV$2:AV$501,$BJ445)))</f>
        <v/>
      </c>
      <c r="AU445" s="6">
        <f>IF(OR($BJ445="",46&gt;設定!$B$3),"",IF(INDEX(原始資料!AW$2:AW$501,$BJ445)="","",INDEX(原始資料!AW$2:AW$501,$BJ445)))</f>
        <v/>
      </c>
      <c r="AV445" s="6">
        <f>IF(OR($BJ445="",47&gt;設定!$B$3),"",IF(INDEX(原始資料!AX$2:AX$501,$BJ445)="","",INDEX(原始資料!AX$2:AX$501,$BJ445)))</f>
        <v/>
      </c>
      <c r="AW445" s="6">
        <f>IF(OR($BJ445="",48&gt;設定!$B$3),"",IF(INDEX(原始資料!AY$2:AY$501,$BJ445)="","",INDEX(原始資料!AY$2:AY$501,$BJ445)))</f>
        <v/>
      </c>
      <c r="AX445" s="6">
        <f>IF(OR($BJ445="",49&gt;設定!$B$3),"",IF(INDEX(原始資料!AZ$2:AZ$501,$BJ445)="","",INDEX(原始資料!AZ$2:AZ$501,$BJ445)))</f>
        <v/>
      </c>
      <c r="AY445" s="6">
        <f>IF(OR($BJ445="",50&gt;設定!$B$3),"",IF(INDEX(原始資料!BA$2:BA$501,$BJ445)="","",INDEX(原始資料!BA$2:BA$501,$BJ445)))</f>
        <v/>
      </c>
      <c r="AZ445" s="6">
        <f>IF(OR($BJ445="",51&gt;設定!$B$3),"",IF(INDEX(原始資料!BB$2:BB$501,$BJ445)="","",INDEX(原始資料!BB$2:BB$501,$BJ445)))</f>
        <v/>
      </c>
      <c r="BA445" s="6">
        <f>IF(OR($BJ445="",52&gt;設定!$B$3),"",IF(INDEX(原始資料!BC$2:BC$501,$BJ445)="","",INDEX(原始資料!BC$2:BC$501,$BJ445)))</f>
        <v/>
      </c>
      <c r="BB445" s="6">
        <f>IF(OR($BJ445="",53&gt;設定!$B$3),"",IF(INDEX(原始資料!BD$2:BD$501,$BJ445)="","",INDEX(原始資料!BD$2:BD$501,$BJ445)))</f>
        <v/>
      </c>
      <c r="BC445" s="6">
        <f>IF(OR($BJ445="",54&gt;設定!$B$3),"",IF(INDEX(原始資料!BE$2:BE$501,$BJ445)="","",INDEX(原始資料!BE$2:BE$501,$BJ445)))</f>
        <v/>
      </c>
      <c r="BD445" s="6">
        <f>IF(OR($BJ445="",55&gt;設定!$B$3),"",IF(INDEX(原始資料!BF$2:BF$501,$BJ445)="","",INDEX(原始資料!BF$2:BF$501,$BJ445)))</f>
        <v/>
      </c>
      <c r="BE445" s="6">
        <f>IF(OR($BJ445="",56&gt;設定!$B$3),"",IF(INDEX(原始資料!BG$2:BG$501,$BJ445)="","",INDEX(原始資料!BG$2:BG$501,$BJ445)))</f>
        <v/>
      </c>
      <c r="BF445" s="6">
        <f>IF(OR($BJ445="",57&gt;設定!$B$3),"",IF(INDEX(原始資料!BH$2:BH$501,$BJ445)="","",INDEX(原始資料!BH$2:BH$501,$BJ445)))</f>
        <v/>
      </c>
      <c r="BG445" s="6">
        <f>IF(OR($BJ445="",58&gt;設定!$B$3),"",IF(INDEX(原始資料!BI$2:BI$501,$BJ445)="","",INDEX(原始資料!BI$2:BI$501,$BJ445)))</f>
        <v/>
      </c>
      <c r="BH445" s="6">
        <f>IF(OR($BJ445="",59&gt;設定!$B$3),"",IF(INDEX(原始資料!BJ$2:BJ$501,$BJ445)="","",INDEX(原始資料!BJ$2:BJ$501,$BJ445)))</f>
        <v/>
      </c>
      <c r="BI445" s="6">
        <f>IF(OR($BJ445="",60&gt;設定!$B$3),"",IF(INDEX(原始資料!BK$2:BK$501,$BJ445)="","",INDEX(原始資料!BK$2:BK$501,$BJ445)))</f>
        <v/>
      </c>
      <c r="BJ445" s="6">
        <f>IFERROR(MATCH(ROW()-1,判定!$H$2:$H$501,0),"")</f>
        <v/>
      </c>
    </row>
    <row r="446">
      <c r="A446" s="6">
        <f>IF($BJ446="","",INDEX(原始資料!$A$2:$A$501,$BJ446))</f>
        <v/>
      </c>
      <c r="B446" s="6">
        <f>IF(OR($BJ446="",1&gt;設定!$B$3),"",IF(INDEX(原始資料!D$2:D$501,$BJ446)="","",INDEX(原始資料!D$2:D$501,$BJ446)))</f>
        <v/>
      </c>
      <c r="C446" s="6">
        <f>IF(OR($BJ446="",2&gt;設定!$B$3),"",IF(INDEX(原始資料!E$2:E$501,$BJ446)="","",INDEX(原始資料!E$2:E$501,$BJ446)))</f>
        <v/>
      </c>
      <c r="D446" s="6">
        <f>IF(OR($BJ446="",3&gt;設定!$B$3),"",IF(INDEX(原始資料!F$2:F$501,$BJ446)="","",INDEX(原始資料!F$2:F$501,$BJ446)))</f>
        <v/>
      </c>
      <c r="E446" s="6">
        <f>IF(OR($BJ446="",4&gt;設定!$B$3),"",IF(INDEX(原始資料!G$2:G$501,$BJ446)="","",INDEX(原始資料!G$2:G$501,$BJ446)))</f>
        <v/>
      </c>
      <c r="F446" s="6">
        <f>IF(OR($BJ446="",5&gt;設定!$B$3),"",IF(INDEX(原始資料!H$2:H$501,$BJ446)="","",INDEX(原始資料!H$2:H$501,$BJ446)))</f>
        <v/>
      </c>
      <c r="G446" s="6">
        <f>IF(OR($BJ446="",6&gt;設定!$B$3),"",IF(INDEX(原始資料!I$2:I$501,$BJ446)="","",INDEX(原始資料!I$2:I$501,$BJ446)))</f>
        <v/>
      </c>
      <c r="H446" s="6">
        <f>IF(OR($BJ446="",7&gt;設定!$B$3),"",IF(INDEX(原始資料!J$2:J$501,$BJ446)="","",INDEX(原始資料!J$2:J$501,$BJ446)))</f>
        <v/>
      </c>
      <c r="I446" s="6">
        <f>IF(OR($BJ446="",8&gt;設定!$B$3),"",IF(INDEX(原始資料!K$2:K$501,$BJ446)="","",INDEX(原始資料!K$2:K$501,$BJ446)))</f>
        <v/>
      </c>
      <c r="J446" s="6">
        <f>IF(OR($BJ446="",9&gt;設定!$B$3),"",IF(INDEX(原始資料!L$2:L$501,$BJ446)="","",INDEX(原始資料!L$2:L$501,$BJ446)))</f>
        <v/>
      </c>
      <c r="K446" s="6">
        <f>IF(OR($BJ446="",10&gt;設定!$B$3),"",IF(INDEX(原始資料!M$2:M$501,$BJ446)="","",INDEX(原始資料!M$2:M$501,$BJ446)))</f>
        <v/>
      </c>
      <c r="L446" s="6">
        <f>IF(OR($BJ446="",11&gt;設定!$B$3),"",IF(INDEX(原始資料!N$2:N$501,$BJ446)="","",INDEX(原始資料!N$2:N$501,$BJ446)))</f>
        <v/>
      </c>
      <c r="M446" s="6">
        <f>IF(OR($BJ446="",12&gt;設定!$B$3),"",IF(INDEX(原始資料!O$2:O$501,$BJ446)="","",INDEX(原始資料!O$2:O$501,$BJ446)))</f>
        <v/>
      </c>
      <c r="N446" s="6">
        <f>IF(OR($BJ446="",13&gt;設定!$B$3),"",IF(INDEX(原始資料!P$2:P$501,$BJ446)="","",INDEX(原始資料!P$2:P$501,$BJ446)))</f>
        <v/>
      </c>
      <c r="O446" s="6">
        <f>IF(OR($BJ446="",14&gt;設定!$B$3),"",IF(INDEX(原始資料!Q$2:Q$501,$BJ446)="","",INDEX(原始資料!Q$2:Q$501,$BJ446)))</f>
        <v/>
      </c>
      <c r="P446" s="6">
        <f>IF(OR($BJ446="",15&gt;設定!$B$3),"",IF(INDEX(原始資料!R$2:R$501,$BJ446)="","",INDEX(原始資料!R$2:R$501,$BJ446)))</f>
        <v/>
      </c>
      <c r="Q446" s="6">
        <f>IF(OR($BJ446="",16&gt;設定!$B$3),"",IF(INDEX(原始資料!S$2:S$501,$BJ446)="","",INDEX(原始資料!S$2:S$501,$BJ446)))</f>
        <v/>
      </c>
      <c r="R446" s="6">
        <f>IF(OR($BJ446="",17&gt;設定!$B$3),"",IF(INDEX(原始資料!T$2:T$501,$BJ446)="","",INDEX(原始資料!T$2:T$501,$BJ446)))</f>
        <v/>
      </c>
      <c r="S446" s="6">
        <f>IF(OR($BJ446="",18&gt;設定!$B$3),"",IF(INDEX(原始資料!U$2:U$501,$BJ446)="","",INDEX(原始資料!U$2:U$501,$BJ446)))</f>
        <v/>
      </c>
      <c r="T446" s="6">
        <f>IF(OR($BJ446="",19&gt;設定!$B$3),"",IF(INDEX(原始資料!V$2:V$501,$BJ446)="","",INDEX(原始資料!V$2:V$501,$BJ446)))</f>
        <v/>
      </c>
      <c r="U446" s="6">
        <f>IF(OR($BJ446="",20&gt;設定!$B$3),"",IF(INDEX(原始資料!W$2:W$501,$BJ446)="","",INDEX(原始資料!W$2:W$501,$BJ446)))</f>
        <v/>
      </c>
      <c r="V446" s="6">
        <f>IF(OR($BJ446="",21&gt;設定!$B$3),"",IF(INDEX(原始資料!X$2:X$501,$BJ446)="","",INDEX(原始資料!X$2:X$501,$BJ446)))</f>
        <v/>
      </c>
      <c r="W446" s="6">
        <f>IF(OR($BJ446="",22&gt;設定!$B$3),"",IF(INDEX(原始資料!Y$2:Y$501,$BJ446)="","",INDEX(原始資料!Y$2:Y$501,$BJ446)))</f>
        <v/>
      </c>
      <c r="X446" s="6">
        <f>IF(OR($BJ446="",23&gt;設定!$B$3),"",IF(INDEX(原始資料!Z$2:Z$501,$BJ446)="","",INDEX(原始資料!Z$2:Z$501,$BJ446)))</f>
        <v/>
      </c>
      <c r="Y446" s="6">
        <f>IF(OR($BJ446="",24&gt;設定!$B$3),"",IF(INDEX(原始資料!AA$2:AA$501,$BJ446)="","",INDEX(原始資料!AA$2:AA$501,$BJ446)))</f>
        <v/>
      </c>
      <c r="Z446" s="6">
        <f>IF(OR($BJ446="",25&gt;設定!$B$3),"",IF(INDEX(原始資料!AB$2:AB$501,$BJ446)="","",INDEX(原始資料!AB$2:AB$501,$BJ446)))</f>
        <v/>
      </c>
      <c r="AA446" s="6">
        <f>IF(OR($BJ446="",26&gt;設定!$B$3),"",IF(INDEX(原始資料!AC$2:AC$501,$BJ446)="","",INDEX(原始資料!AC$2:AC$501,$BJ446)))</f>
        <v/>
      </c>
      <c r="AB446" s="6">
        <f>IF(OR($BJ446="",27&gt;設定!$B$3),"",IF(INDEX(原始資料!AD$2:AD$501,$BJ446)="","",INDEX(原始資料!AD$2:AD$501,$BJ446)))</f>
        <v/>
      </c>
      <c r="AC446" s="6">
        <f>IF(OR($BJ446="",28&gt;設定!$B$3),"",IF(INDEX(原始資料!AE$2:AE$501,$BJ446)="","",INDEX(原始資料!AE$2:AE$501,$BJ446)))</f>
        <v/>
      </c>
      <c r="AD446" s="6">
        <f>IF(OR($BJ446="",29&gt;設定!$B$3),"",IF(INDEX(原始資料!AF$2:AF$501,$BJ446)="","",INDEX(原始資料!AF$2:AF$501,$BJ446)))</f>
        <v/>
      </c>
      <c r="AE446" s="6">
        <f>IF(OR($BJ446="",30&gt;設定!$B$3),"",IF(INDEX(原始資料!AG$2:AG$501,$BJ446)="","",INDEX(原始資料!AG$2:AG$501,$BJ446)))</f>
        <v/>
      </c>
      <c r="AF446" s="6">
        <f>IF(OR($BJ446="",31&gt;設定!$B$3),"",IF(INDEX(原始資料!AH$2:AH$501,$BJ446)="","",INDEX(原始資料!AH$2:AH$501,$BJ446)))</f>
        <v/>
      </c>
      <c r="AG446" s="6">
        <f>IF(OR($BJ446="",32&gt;設定!$B$3),"",IF(INDEX(原始資料!AI$2:AI$501,$BJ446)="","",INDEX(原始資料!AI$2:AI$501,$BJ446)))</f>
        <v/>
      </c>
      <c r="AH446" s="6">
        <f>IF(OR($BJ446="",33&gt;設定!$B$3),"",IF(INDEX(原始資料!AJ$2:AJ$501,$BJ446)="","",INDEX(原始資料!AJ$2:AJ$501,$BJ446)))</f>
        <v/>
      </c>
      <c r="AI446" s="6">
        <f>IF(OR($BJ446="",34&gt;設定!$B$3),"",IF(INDEX(原始資料!AK$2:AK$501,$BJ446)="","",INDEX(原始資料!AK$2:AK$501,$BJ446)))</f>
        <v/>
      </c>
      <c r="AJ446" s="6">
        <f>IF(OR($BJ446="",35&gt;設定!$B$3),"",IF(INDEX(原始資料!AL$2:AL$501,$BJ446)="","",INDEX(原始資料!AL$2:AL$501,$BJ446)))</f>
        <v/>
      </c>
      <c r="AK446" s="6">
        <f>IF(OR($BJ446="",36&gt;設定!$B$3),"",IF(INDEX(原始資料!AM$2:AM$501,$BJ446)="","",INDEX(原始資料!AM$2:AM$501,$BJ446)))</f>
        <v/>
      </c>
      <c r="AL446" s="6">
        <f>IF(OR($BJ446="",37&gt;設定!$B$3),"",IF(INDEX(原始資料!AN$2:AN$501,$BJ446)="","",INDEX(原始資料!AN$2:AN$501,$BJ446)))</f>
        <v/>
      </c>
      <c r="AM446" s="6">
        <f>IF(OR($BJ446="",38&gt;設定!$B$3),"",IF(INDEX(原始資料!AO$2:AO$501,$BJ446)="","",INDEX(原始資料!AO$2:AO$501,$BJ446)))</f>
        <v/>
      </c>
      <c r="AN446" s="6">
        <f>IF(OR($BJ446="",39&gt;設定!$B$3),"",IF(INDEX(原始資料!AP$2:AP$501,$BJ446)="","",INDEX(原始資料!AP$2:AP$501,$BJ446)))</f>
        <v/>
      </c>
      <c r="AO446" s="6">
        <f>IF(OR($BJ446="",40&gt;設定!$B$3),"",IF(INDEX(原始資料!AQ$2:AQ$501,$BJ446)="","",INDEX(原始資料!AQ$2:AQ$501,$BJ446)))</f>
        <v/>
      </c>
      <c r="AP446" s="6">
        <f>IF(OR($BJ446="",41&gt;設定!$B$3),"",IF(INDEX(原始資料!AR$2:AR$501,$BJ446)="","",INDEX(原始資料!AR$2:AR$501,$BJ446)))</f>
        <v/>
      </c>
      <c r="AQ446" s="6">
        <f>IF(OR($BJ446="",42&gt;設定!$B$3),"",IF(INDEX(原始資料!AS$2:AS$501,$BJ446)="","",INDEX(原始資料!AS$2:AS$501,$BJ446)))</f>
        <v/>
      </c>
      <c r="AR446" s="6">
        <f>IF(OR($BJ446="",43&gt;設定!$B$3),"",IF(INDEX(原始資料!AT$2:AT$501,$BJ446)="","",INDEX(原始資料!AT$2:AT$501,$BJ446)))</f>
        <v/>
      </c>
      <c r="AS446" s="6">
        <f>IF(OR($BJ446="",44&gt;設定!$B$3),"",IF(INDEX(原始資料!AU$2:AU$501,$BJ446)="","",INDEX(原始資料!AU$2:AU$501,$BJ446)))</f>
        <v/>
      </c>
      <c r="AT446" s="6">
        <f>IF(OR($BJ446="",45&gt;設定!$B$3),"",IF(INDEX(原始資料!AV$2:AV$501,$BJ446)="","",INDEX(原始資料!AV$2:AV$501,$BJ446)))</f>
        <v/>
      </c>
      <c r="AU446" s="6">
        <f>IF(OR($BJ446="",46&gt;設定!$B$3),"",IF(INDEX(原始資料!AW$2:AW$501,$BJ446)="","",INDEX(原始資料!AW$2:AW$501,$BJ446)))</f>
        <v/>
      </c>
      <c r="AV446" s="6">
        <f>IF(OR($BJ446="",47&gt;設定!$B$3),"",IF(INDEX(原始資料!AX$2:AX$501,$BJ446)="","",INDEX(原始資料!AX$2:AX$501,$BJ446)))</f>
        <v/>
      </c>
      <c r="AW446" s="6">
        <f>IF(OR($BJ446="",48&gt;設定!$B$3),"",IF(INDEX(原始資料!AY$2:AY$501,$BJ446)="","",INDEX(原始資料!AY$2:AY$501,$BJ446)))</f>
        <v/>
      </c>
      <c r="AX446" s="6">
        <f>IF(OR($BJ446="",49&gt;設定!$B$3),"",IF(INDEX(原始資料!AZ$2:AZ$501,$BJ446)="","",INDEX(原始資料!AZ$2:AZ$501,$BJ446)))</f>
        <v/>
      </c>
      <c r="AY446" s="6">
        <f>IF(OR($BJ446="",50&gt;設定!$B$3),"",IF(INDEX(原始資料!BA$2:BA$501,$BJ446)="","",INDEX(原始資料!BA$2:BA$501,$BJ446)))</f>
        <v/>
      </c>
      <c r="AZ446" s="6">
        <f>IF(OR($BJ446="",51&gt;設定!$B$3),"",IF(INDEX(原始資料!BB$2:BB$501,$BJ446)="","",INDEX(原始資料!BB$2:BB$501,$BJ446)))</f>
        <v/>
      </c>
      <c r="BA446" s="6">
        <f>IF(OR($BJ446="",52&gt;設定!$B$3),"",IF(INDEX(原始資料!BC$2:BC$501,$BJ446)="","",INDEX(原始資料!BC$2:BC$501,$BJ446)))</f>
        <v/>
      </c>
      <c r="BB446" s="6">
        <f>IF(OR($BJ446="",53&gt;設定!$B$3),"",IF(INDEX(原始資料!BD$2:BD$501,$BJ446)="","",INDEX(原始資料!BD$2:BD$501,$BJ446)))</f>
        <v/>
      </c>
      <c r="BC446" s="6">
        <f>IF(OR($BJ446="",54&gt;設定!$B$3),"",IF(INDEX(原始資料!BE$2:BE$501,$BJ446)="","",INDEX(原始資料!BE$2:BE$501,$BJ446)))</f>
        <v/>
      </c>
      <c r="BD446" s="6">
        <f>IF(OR($BJ446="",55&gt;設定!$B$3),"",IF(INDEX(原始資料!BF$2:BF$501,$BJ446)="","",INDEX(原始資料!BF$2:BF$501,$BJ446)))</f>
        <v/>
      </c>
      <c r="BE446" s="6">
        <f>IF(OR($BJ446="",56&gt;設定!$B$3),"",IF(INDEX(原始資料!BG$2:BG$501,$BJ446)="","",INDEX(原始資料!BG$2:BG$501,$BJ446)))</f>
        <v/>
      </c>
      <c r="BF446" s="6">
        <f>IF(OR($BJ446="",57&gt;設定!$B$3),"",IF(INDEX(原始資料!BH$2:BH$501,$BJ446)="","",INDEX(原始資料!BH$2:BH$501,$BJ446)))</f>
        <v/>
      </c>
      <c r="BG446" s="6">
        <f>IF(OR($BJ446="",58&gt;設定!$B$3),"",IF(INDEX(原始資料!BI$2:BI$501,$BJ446)="","",INDEX(原始資料!BI$2:BI$501,$BJ446)))</f>
        <v/>
      </c>
      <c r="BH446" s="6">
        <f>IF(OR($BJ446="",59&gt;設定!$B$3),"",IF(INDEX(原始資料!BJ$2:BJ$501,$BJ446)="","",INDEX(原始資料!BJ$2:BJ$501,$BJ446)))</f>
        <v/>
      </c>
      <c r="BI446" s="6">
        <f>IF(OR($BJ446="",60&gt;設定!$B$3),"",IF(INDEX(原始資料!BK$2:BK$501,$BJ446)="","",INDEX(原始資料!BK$2:BK$501,$BJ446)))</f>
        <v/>
      </c>
      <c r="BJ446" s="6">
        <f>IFERROR(MATCH(ROW()-1,判定!$H$2:$H$501,0),"")</f>
        <v/>
      </c>
    </row>
    <row r="447">
      <c r="A447" s="6">
        <f>IF($BJ447="","",INDEX(原始資料!$A$2:$A$501,$BJ447))</f>
        <v/>
      </c>
      <c r="B447" s="6">
        <f>IF(OR($BJ447="",1&gt;設定!$B$3),"",IF(INDEX(原始資料!D$2:D$501,$BJ447)="","",INDEX(原始資料!D$2:D$501,$BJ447)))</f>
        <v/>
      </c>
      <c r="C447" s="6">
        <f>IF(OR($BJ447="",2&gt;設定!$B$3),"",IF(INDEX(原始資料!E$2:E$501,$BJ447)="","",INDEX(原始資料!E$2:E$501,$BJ447)))</f>
        <v/>
      </c>
      <c r="D447" s="6">
        <f>IF(OR($BJ447="",3&gt;設定!$B$3),"",IF(INDEX(原始資料!F$2:F$501,$BJ447)="","",INDEX(原始資料!F$2:F$501,$BJ447)))</f>
        <v/>
      </c>
      <c r="E447" s="6">
        <f>IF(OR($BJ447="",4&gt;設定!$B$3),"",IF(INDEX(原始資料!G$2:G$501,$BJ447)="","",INDEX(原始資料!G$2:G$501,$BJ447)))</f>
        <v/>
      </c>
      <c r="F447" s="6">
        <f>IF(OR($BJ447="",5&gt;設定!$B$3),"",IF(INDEX(原始資料!H$2:H$501,$BJ447)="","",INDEX(原始資料!H$2:H$501,$BJ447)))</f>
        <v/>
      </c>
      <c r="G447" s="6">
        <f>IF(OR($BJ447="",6&gt;設定!$B$3),"",IF(INDEX(原始資料!I$2:I$501,$BJ447)="","",INDEX(原始資料!I$2:I$501,$BJ447)))</f>
        <v/>
      </c>
      <c r="H447" s="6">
        <f>IF(OR($BJ447="",7&gt;設定!$B$3),"",IF(INDEX(原始資料!J$2:J$501,$BJ447)="","",INDEX(原始資料!J$2:J$501,$BJ447)))</f>
        <v/>
      </c>
      <c r="I447" s="6">
        <f>IF(OR($BJ447="",8&gt;設定!$B$3),"",IF(INDEX(原始資料!K$2:K$501,$BJ447)="","",INDEX(原始資料!K$2:K$501,$BJ447)))</f>
        <v/>
      </c>
      <c r="J447" s="6">
        <f>IF(OR($BJ447="",9&gt;設定!$B$3),"",IF(INDEX(原始資料!L$2:L$501,$BJ447)="","",INDEX(原始資料!L$2:L$501,$BJ447)))</f>
        <v/>
      </c>
      <c r="K447" s="6">
        <f>IF(OR($BJ447="",10&gt;設定!$B$3),"",IF(INDEX(原始資料!M$2:M$501,$BJ447)="","",INDEX(原始資料!M$2:M$501,$BJ447)))</f>
        <v/>
      </c>
      <c r="L447" s="6">
        <f>IF(OR($BJ447="",11&gt;設定!$B$3),"",IF(INDEX(原始資料!N$2:N$501,$BJ447)="","",INDEX(原始資料!N$2:N$501,$BJ447)))</f>
        <v/>
      </c>
      <c r="M447" s="6">
        <f>IF(OR($BJ447="",12&gt;設定!$B$3),"",IF(INDEX(原始資料!O$2:O$501,$BJ447)="","",INDEX(原始資料!O$2:O$501,$BJ447)))</f>
        <v/>
      </c>
      <c r="N447" s="6">
        <f>IF(OR($BJ447="",13&gt;設定!$B$3),"",IF(INDEX(原始資料!P$2:P$501,$BJ447)="","",INDEX(原始資料!P$2:P$501,$BJ447)))</f>
        <v/>
      </c>
      <c r="O447" s="6">
        <f>IF(OR($BJ447="",14&gt;設定!$B$3),"",IF(INDEX(原始資料!Q$2:Q$501,$BJ447)="","",INDEX(原始資料!Q$2:Q$501,$BJ447)))</f>
        <v/>
      </c>
      <c r="P447" s="6">
        <f>IF(OR($BJ447="",15&gt;設定!$B$3),"",IF(INDEX(原始資料!R$2:R$501,$BJ447)="","",INDEX(原始資料!R$2:R$501,$BJ447)))</f>
        <v/>
      </c>
      <c r="Q447" s="6">
        <f>IF(OR($BJ447="",16&gt;設定!$B$3),"",IF(INDEX(原始資料!S$2:S$501,$BJ447)="","",INDEX(原始資料!S$2:S$501,$BJ447)))</f>
        <v/>
      </c>
      <c r="R447" s="6">
        <f>IF(OR($BJ447="",17&gt;設定!$B$3),"",IF(INDEX(原始資料!T$2:T$501,$BJ447)="","",INDEX(原始資料!T$2:T$501,$BJ447)))</f>
        <v/>
      </c>
      <c r="S447" s="6">
        <f>IF(OR($BJ447="",18&gt;設定!$B$3),"",IF(INDEX(原始資料!U$2:U$501,$BJ447)="","",INDEX(原始資料!U$2:U$501,$BJ447)))</f>
        <v/>
      </c>
      <c r="T447" s="6">
        <f>IF(OR($BJ447="",19&gt;設定!$B$3),"",IF(INDEX(原始資料!V$2:V$501,$BJ447)="","",INDEX(原始資料!V$2:V$501,$BJ447)))</f>
        <v/>
      </c>
      <c r="U447" s="6">
        <f>IF(OR($BJ447="",20&gt;設定!$B$3),"",IF(INDEX(原始資料!W$2:W$501,$BJ447)="","",INDEX(原始資料!W$2:W$501,$BJ447)))</f>
        <v/>
      </c>
      <c r="V447" s="6">
        <f>IF(OR($BJ447="",21&gt;設定!$B$3),"",IF(INDEX(原始資料!X$2:X$501,$BJ447)="","",INDEX(原始資料!X$2:X$501,$BJ447)))</f>
        <v/>
      </c>
      <c r="W447" s="6">
        <f>IF(OR($BJ447="",22&gt;設定!$B$3),"",IF(INDEX(原始資料!Y$2:Y$501,$BJ447)="","",INDEX(原始資料!Y$2:Y$501,$BJ447)))</f>
        <v/>
      </c>
      <c r="X447" s="6">
        <f>IF(OR($BJ447="",23&gt;設定!$B$3),"",IF(INDEX(原始資料!Z$2:Z$501,$BJ447)="","",INDEX(原始資料!Z$2:Z$501,$BJ447)))</f>
        <v/>
      </c>
      <c r="Y447" s="6">
        <f>IF(OR($BJ447="",24&gt;設定!$B$3),"",IF(INDEX(原始資料!AA$2:AA$501,$BJ447)="","",INDEX(原始資料!AA$2:AA$501,$BJ447)))</f>
        <v/>
      </c>
      <c r="Z447" s="6">
        <f>IF(OR($BJ447="",25&gt;設定!$B$3),"",IF(INDEX(原始資料!AB$2:AB$501,$BJ447)="","",INDEX(原始資料!AB$2:AB$501,$BJ447)))</f>
        <v/>
      </c>
      <c r="AA447" s="6">
        <f>IF(OR($BJ447="",26&gt;設定!$B$3),"",IF(INDEX(原始資料!AC$2:AC$501,$BJ447)="","",INDEX(原始資料!AC$2:AC$501,$BJ447)))</f>
        <v/>
      </c>
      <c r="AB447" s="6">
        <f>IF(OR($BJ447="",27&gt;設定!$B$3),"",IF(INDEX(原始資料!AD$2:AD$501,$BJ447)="","",INDEX(原始資料!AD$2:AD$501,$BJ447)))</f>
        <v/>
      </c>
      <c r="AC447" s="6">
        <f>IF(OR($BJ447="",28&gt;設定!$B$3),"",IF(INDEX(原始資料!AE$2:AE$501,$BJ447)="","",INDEX(原始資料!AE$2:AE$501,$BJ447)))</f>
        <v/>
      </c>
      <c r="AD447" s="6">
        <f>IF(OR($BJ447="",29&gt;設定!$B$3),"",IF(INDEX(原始資料!AF$2:AF$501,$BJ447)="","",INDEX(原始資料!AF$2:AF$501,$BJ447)))</f>
        <v/>
      </c>
      <c r="AE447" s="6">
        <f>IF(OR($BJ447="",30&gt;設定!$B$3),"",IF(INDEX(原始資料!AG$2:AG$501,$BJ447)="","",INDEX(原始資料!AG$2:AG$501,$BJ447)))</f>
        <v/>
      </c>
      <c r="AF447" s="6">
        <f>IF(OR($BJ447="",31&gt;設定!$B$3),"",IF(INDEX(原始資料!AH$2:AH$501,$BJ447)="","",INDEX(原始資料!AH$2:AH$501,$BJ447)))</f>
        <v/>
      </c>
      <c r="AG447" s="6">
        <f>IF(OR($BJ447="",32&gt;設定!$B$3),"",IF(INDEX(原始資料!AI$2:AI$501,$BJ447)="","",INDEX(原始資料!AI$2:AI$501,$BJ447)))</f>
        <v/>
      </c>
      <c r="AH447" s="6">
        <f>IF(OR($BJ447="",33&gt;設定!$B$3),"",IF(INDEX(原始資料!AJ$2:AJ$501,$BJ447)="","",INDEX(原始資料!AJ$2:AJ$501,$BJ447)))</f>
        <v/>
      </c>
      <c r="AI447" s="6">
        <f>IF(OR($BJ447="",34&gt;設定!$B$3),"",IF(INDEX(原始資料!AK$2:AK$501,$BJ447)="","",INDEX(原始資料!AK$2:AK$501,$BJ447)))</f>
        <v/>
      </c>
      <c r="AJ447" s="6">
        <f>IF(OR($BJ447="",35&gt;設定!$B$3),"",IF(INDEX(原始資料!AL$2:AL$501,$BJ447)="","",INDEX(原始資料!AL$2:AL$501,$BJ447)))</f>
        <v/>
      </c>
      <c r="AK447" s="6">
        <f>IF(OR($BJ447="",36&gt;設定!$B$3),"",IF(INDEX(原始資料!AM$2:AM$501,$BJ447)="","",INDEX(原始資料!AM$2:AM$501,$BJ447)))</f>
        <v/>
      </c>
      <c r="AL447" s="6">
        <f>IF(OR($BJ447="",37&gt;設定!$B$3),"",IF(INDEX(原始資料!AN$2:AN$501,$BJ447)="","",INDEX(原始資料!AN$2:AN$501,$BJ447)))</f>
        <v/>
      </c>
      <c r="AM447" s="6">
        <f>IF(OR($BJ447="",38&gt;設定!$B$3),"",IF(INDEX(原始資料!AO$2:AO$501,$BJ447)="","",INDEX(原始資料!AO$2:AO$501,$BJ447)))</f>
        <v/>
      </c>
      <c r="AN447" s="6">
        <f>IF(OR($BJ447="",39&gt;設定!$B$3),"",IF(INDEX(原始資料!AP$2:AP$501,$BJ447)="","",INDEX(原始資料!AP$2:AP$501,$BJ447)))</f>
        <v/>
      </c>
      <c r="AO447" s="6">
        <f>IF(OR($BJ447="",40&gt;設定!$B$3),"",IF(INDEX(原始資料!AQ$2:AQ$501,$BJ447)="","",INDEX(原始資料!AQ$2:AQ$501,$BJ447)))</f>
        <v/>
      </c>
      <c r="AP447" s="6">
        <f>IF(OR($BJ447="",41&gt;設定!$B$3),"",IF(INDEX(原始資料!AR$2:AR$501,$BJ447)="","",INDEX(原始資料!AR$2:AR$501,$BJ447)))</f>
        <v/>
      </c>
      <c r="AQ447" s="6">
        <f>IF(OR($BJ447="",42&gt;設定!$B$3),"",IF(INDEX(原始資料!AS$2:AS$501,$BJ447)="","",INDEX(原始資料!AS$2:AS$501,$BJ447)))</f>
        <v/>
      </c>
      <c r="AR447" s="6">
        <f>IF(OR($BJ447="",43&gt;設定!$B$3),"",IF(INDEX(原始資料!AT$2:AT$501,$BJ447)="","",INDEX(原始資料!AT$2:AT$501,$BJ447)))</f>
        <v/>
      </c>
      <c r="AS447" s="6">
        <f>IF(OR($BJ447="",44&gt;設定!$B$3),"",IF(INDEX(原始資料!AU$2:AU$501,$BJ447)="","",INDEX(原始資料!AU$2:AU$501,$BJ447)))</f>
        <v/>
      </c>
      <c r="AT447" s="6">
        <f>IF(OR($BJ447="",45&gt;設定!$B$3),"",IF(INDEX(原始資料!AV$2:AV$501,$BJ447)="","",INDEX(原始資料!AV$2:AV$501,$BJ447)))</f>
        <v/>
      </c>
      <c r="AU447" s="6">
        <f>IF(OR($BJ447="",46&gt;設定!$B$3),"",IF(INDEX(原始資料!AW$2:AW$501,$BJ447)="","",INDEX(原始資料!AW$2:AW$501,$BJ447)))</f>
        <v/>
      </c>
      <c r="AV447" s="6">
        <f>IF(OR($BJ447="",47&gt;設定!$B$3),"",IF(INDEX(原始資料!AX$2:AX$501,$BJ447)="","",INDEX(原始資料!AX$2:AX$501,$BJ447)))</f>
        <v/>
      </c>
      <c r="AW447" s="6">
        <f>IF(OR($BJ447="",48&gt;設定!$B$3),"",IF(INDEX(原始資料!AY$2:AY$501,$BJ447)="","",INDEX(原始資料!AY$2:AY$501,$BJ447)))</f>
        <v/>
      </c>
      <c r="AX447" s="6">
        <f>IF(OR($BJ447="",49&gt;設定!$B$3),"",IF(INDEX(原始資料!AZ$2:AZ$501,$BJ447)="","",INDEX(原始資料!AZ$2:AZ$501,$BJ447)))</f>
        <v/>
      </c>
      <c r="AY447" s="6">
        <f>IF(OR($BJ447="",50&gt;設定!$B$3),"",IF(INDEX(原始資料!BA$2:BA$501,$BJ447)="","",INDEX(原始資料!BA$2:BA$501,$BJ447)))</f>
        <v/>
      </c>
      <c r="AZ447" s="6">
        <f>IF(OR($BJ447="",51&gt;設定!$B$3),"",IF(INDEX(原始資料!BB$2:BB$501,$BJ447)="","",INDEX(原始資料!BB$2:BB$501,$BJ447)))</f>
        <v/>
      </c>
      <c r="BA447" s="6">
        <f>IF(OR($BJ447="",52&gt;設定!$B$3),"",IF(INDEX(原始資料!BC$2:BC$501,$BJ447)="","",INDEX(原始資料!BC$2:BC$501,$BJ447)))</f>
        <v/>
      </c>
      <c r="BB447" s="6">
        <f>IF(OR($BJ447="",53&gt;設定!$B$3),"",IF(INDEX(原始資料!BD$2:BD$501,$BJ447)="","",INDEX(原始資料!BD$2:BD$501,$BJ447)))</f>
        <v/>
      </c>
      <c r="BC447" s="6">
        <f>IF(OR($BJ447="",54&gt;設定!$B$3),"",IF(INDEX(原始資料!BE$2:BE$501,$BJ447)="","",INDEX(原始資料!BE$2:BE$501,$BJ447)))</f>
        <v/>
      </c>
      <c r="BD447" s="6">
        <f>IF(OR($BJ447="",55&gt;設定!$B$3),"",IF(INDEX(原始資料!BF$2:BF$501,$BJ447)="","",INDEX(原始資料!BF$2:BF$501,$BJ447)))</f>
        <v/>
      </c>
      <c r="BE447" s="6">
        <f>IF(OR($BJ447="",56&gt;設定!$B$3),"",IF(INDEX(原始資料!BG$2:BG$501,$BJ447)="","",INDEX(原始資料!BG$2:BG$501,$BJ447)))</f>
        <v/>
      </c>
      <c r="BF447" s="6">
        <f>IF(OR($BJ447="",57&gt;設定!$B$3),"",IF(INDEX(原始資料!BH$2:BH$501,$BJ447)="","",INDEX(原始資料!BH$2:BH$501,$BJ447)))</f>
        <v/>
      </c>
      <c r="BG447" s="6">
        <f>IF(OR($BJ447="",58&gt;設定!$B$3),"",IF(INDEX(原始資料!BI$2:BI$501,$BJ447)="","",INDEX(原始資料!BI$2:BI$501,$BJ447)))</f>
        <v/>
      </c>
      <c r="BH447" s="6">
        <f>IF(OR($BJ447="",59&gt;設定!$B$3),"",IF(INDEX(原始資料!BJ$2:BJ$501,$BJ447)="","",INDEX(原始資料!BJ$2:BJ$501,$BJ447)))</f>
        <v/>
      </c>
      <c r="BI447" s="6">
        <f>IF(OR($BJ447="",60&gt;設定!$B$3),"",IF(INDEX(原始資料!BK$2:BK$501,$BJ447)="","",INDEX(原始資料!BK$2:BK$501,$BJ447)))</f>
        <v/>
      </c>
      <c r="BJ447" s="6">
        <f>IFERROR(MATCH(ROW()-1,判定!$H$2:$H$501,0),"")</f>
        <v/>
      </c>
    </row>
    <row r="448">
      <c r="A448" s="6">
        <f>IF($BJ448="","",INDEX(原始資料!$A$2:$A$501,$BJ448))</f>
        <v/>
      </c>
      <c r="B448" s="6">
        <f>IF(OR($BJ448="",1&gt;設定!$B$3),"",IF(INDEX(原始資料!D$2:D$501,$BJ448)="","",INDEX(原始資料!D$2:D$501,$BJ448)))</f>
        <v/>
      </c>
      <c r="C448" s="6">
        <f>IF(OR($BJ448="",2&gt;設定!$B$3),"",IF(INDEX(原始資料!E$2:E$501,$BJ448)="","",INDEX(原始資料!E$2:E$501,$BJ448)))</f>
        <v/>
      </c>
      <c r="D448" s="6">
        <f>IF(OR($BJ448="",3&gt;設定!$B$3),"",IF(INDEX(原始資料!F$2:F$501,$BJ448)="","",INDEX(原始資料!F$2:F$501,$BJ448)))</f>
        <v/>
      </c>
      <c r="E448" s="6">
        <f>IF(OR($BJ448="",4&gt;設定!$B$3),"",IF(INDEX(原始資料!G$2:G$501,$BJ448)="","",INDEX(原始資料!G$2:G$501,$BJ448)))</f>
        <v/>
      </c>
      <c r="F448" s="6">
        <f>IF(OR($BJ448="",5&gt;設定!$B$3),"",IF(INDEX(原始資料!H$2:H$501,$BJ448)="","",INDEX(原始資料!H$2:H$501,$BJ448)))</f>
        <v/>
      </c>
      <c r="G448" s="6">
        <f>IF(OR($BJ448="",6&gt;設定!$B$3),"",IF(INDEX(原始資料!I$2:I$501,$BJ448)="","",INDEX(原始資料!I$2:I$501,$BJ448)))</f>
        <v/>
      </c>
      <c r="H448" s="6">
        <f>IF(OR($BJ448="",7&gt;設定!$B$3),"",IF(INDEX(原始資料!J$2:J$501,$BJ448)="","",INDEX(原始資料!J$2:J$501,$BJ448)))</f>
        <v/>
      </c>
      <c r="I448" s="6">
        <f>IF(OR($BJ448="",8&gt;設定!$B$3),"",IF(INDEX(原始資料!K$2:K$501,$BJ448)="","",INDEX(原始資料!K$2:K$501,$BJ448)))</f>
        <v/>
      </c>
      <c r="J448" s="6">
        <f>IF(OR($BJ448="",9&gt;設定!$B$3),"",IF(INDEX(原始資料!L$2:L$501,$BJ448)="","",INDEX(原始資料!L$2:L$501,$BJ448)))</f>
        <v/>
      </c>
      <c r="K448" s="6">
        <f>IF(OR($BJ448="",10&gt;設定!$B$3),"",IF(INDEX(原始資料!M$2:M$501,$BJ448)="","",INDEX(原始資料!M$2:M$501,$BJ448)))</f>
        <v/>
      </c>
      <c r="L448" s="6">
        <f>IF(OR($BJ448="",11&gt;設定!$B$3),"",IF(INDEX(原始資料!N$2:N$501,$BJ448)="","",INDEX(原始資料!N$2:N$501,$BJ448)))</f>
        <v/>
      </c>
      <c r="M448" s="6">
        <f>IF(OR($BJ448="",12&gt;設定!$B$3),"",IF(INDEX(原始資料!O$2:O$501,$BJ448)="","",INDEX(原始資料!O$2:O$501,$BJ448)))</f>
        <v/>
      </c>
      <c r="N448" s="6">
        <f>IF(OR($BJ448="",13&gt;設定!$B$3),"",IF(INDEX(原始資料!P$2:P$501,$BJ448)="","",INDEX(原始資料!P$2:P$501,$BJ448)))</f>
        <v/>
      </c>
      <c r="O448" s="6">
        <f>IF(OR($BJ448="",14&gt;設定!$B$3),"",IF(INDEX(原始資料!Q$2:Q$501,$BJ448)="","",INDEX(原始資料!Q$2:Q$501,$BJ448)))</f>
        <v/>
      </c>
      <c r="P448" s="6">
        <f>IF(OR($BJ448="",15&gt;設定!$B$3),"",IF(INDEX(原始資料!R$2:R$501,$BJ448)="","",INDEX(原始資料!R$2:R$501,$BJ448)))</f>
        <v/>
      </c>
      <c r="Q448" s="6">
        <f>IF(OR($BJ448="",16&gt;設定!$B$3),"",IF(INDEX(原始資料!S$2:S$501,$BJ448)="","",INDEX(原始資料!S$2:S$501,$BJ448)))</f>
        <v/>
      </c>
      <c r="R448" s="6">
        <f>IF(OR($BJ448="",17&gt;設定!$B$3),"",IF(INDEX(原始資料!T$2:T$501,$BJ448)="","",INDEX(原始資料!T$2:T$501,$BJ448)))</f>
        <v/>
      </c>
      <c r="S448" s="6">
        <f>IF(OR($BJ448="",18&gt;設定!$B$3),"",IF(INDEX(原始資料!U$2:U$501,$BJ448)="","",INDEX(原始資料!U$2:U$501,$BJ448)))</f>
        <v/>
      </c>
      <c r="T448" s="6">
        <f>IF(OR($BJ448="",19&gt;設定!$B$3),"",IF(INDEX(原始資料!V$2:V$501,$BJ448)="","",INDEX(原始資料!V$2:V$501,$BJ448)))</f>
        <v/>
      </c>
      <c r="U448" s="6">
        <f>IF(OR($BJ448="",20&gt;設定!$B$3),"",IF(INDEX(原始資料!W$2:W$501,$BJ448)="","",INDEX(原始資料!W$2:W$501,$BJ448)))</f>
        <v/>
      </c>
      <c r="V448" s="6">
        <f>IF(OR($BJ448="",21&gt;設定!$B$3),"",IF(INDEX(原始資料!X$2:X$501,$BJ448)="","",INDEX(原始資料!X$2:X$501,$BJ448)))</f>
        <v/>
      </c>
      <c r="W448" s="6">
        <f>IF(OR($BJ448="",22&gt;設定!$B$3),"",IF(INDEX(原始資料!Y$2:Y$501,$BJ448)="","",INDEX(原始資料!Y$2:Y$501,$BJ448)))</f>
        <v/>
      </c>
      <c r="X448" s="6">
        <f>IF(OR($BJ448="",23&gt;設定!$B$3),"",IF(INDEX(原始資料!Z$2:Z$501,$BJ448)="","",INDEX(原始資料!Z$2:Z$501,$BJ448)))</f>
        <v/>
      </c>
      <c r="Y448" s="6">
        <f>IF(OR($BJ448="",24&gt;設定!$B$3),"",IF(INDEX(原始資料!AA$2:AA$501,$BJ448)="","",INDEX(原始資料!AA$2:AA$501,$BJ448)))</f>
        <v/>
      </c>
      <c r="Z448" s="6">
        <f>IF(OR($BJ448="",25&gt;設定!$B$3),"",IF(INDEX(原始資料!AB$2:AB$501,$BJ448)="","",INDEX(原始資料!AB$2:AB$501,$BJ448)))</f>
        <v/>
      </c>
      <c r="AA448" s="6">
        <f>IF(OR($BJ448="",26&gt;設定!$B$3),"",IF(INDEX(原始資料!AC$2:AC$501,$BJ448)="","",INDEX(原始資料!AC$2:AC$501,$BJ448)))</f>
        <v/>
      </c>
      <c r="AB448" s="6">
        <f>IF(OR($BJ448="",27&gt;設定!$B$3),"",IF(INDEX(原始資料!AD$2:AD$501,$BJ448)="","",INDEX(原始資料!AD$2:AD$501,$BJ448)))</f>
        <v/>
      </c>
      <c r="AC448" s="6">
        <f>IF(OR($BJ448="",28&gt;設定!$B$3),"",IF(INDEX(原始資料!AE$2:AE$501,$BJ448)="","",INDEX(原始資料!AE$2:AE$501,$BJ448)))</f>
        <v/>
      </c>
      <c r="AD448" s="6">
        <f>IF(OR($BJ448="",29&gt;設定!$B$3),"",IF(INDEX(原始資料!AF$2:AF$501,$BJ448)="","",INDEX(原始資料!AF$2:AF$501,$BJ448)))</f>
        <v/>
      </c>
      <c r="AE448" s="6">
        <f>IF(OR($BJ448="",30&gt;設定!$B$3),"",IF(INDEX(原始資料!AG$2:AG$501,$BJ448)="","",INDEX(原始資料!AG$2:AG$501,$BJ448)))</f>
        <v/>
      </c>
      <c r="AF448" s="6">
        <f>IF(OR($BJ448="",31&gt;設定!$B$3),"",IF(INDEX(原始資料!AH$2:AH$501,$BJ448)="","",INDEX(原始資料!AH$2:AH$501,$BJ448)))</f>
        <v/>
      </c>
      <c r="AG448" s="6">
        <f>IF(OR($BJ448="",32&gt;設定!$B$3),"",IF(INDEX(原始資料!AI$2:AI$501,$BJ448)="","",INDEX(原始資料!AI$2:AI$501,$BJ448)))</f>
        <v/>
      </c>
      <c r="AH448" s="6">
        <f>IF(OR($BJ448="",33&gt;設定!$B$3),"",IF(INDEX(原始資料!AJ$2:AJ$501,$BJ448)="","",INDEX(原始資料!AJ$2:AJ$501,$BJ448)))</f>
        <v/>
      </c>
      <c r="AI448" s="6">
        <f>IF(OR($BJ448="",34&gt;設定!$B$3),"",IF(INDEX(原始資料!AK$2:AK$501,$BJ448)="","",INDEX(原始資料!AK$2:AK$501,$BJ448)))</f>
        <v/>
      </c>
      <c r="AJ448" s="6">
        <f>IF(OR($BJ448="",35&gt;設定!$B$3),"",IF(INDEX(原始資料!AL$2:AL$501,$BJ448)="","",INDEX(原始資料!AL$2:AL$501,$BJ448)))</f>
        <v/>
      </c>
      <c r="AK448" s="6">
        <f>IF(OR($BJ448="",36&gt;設定!$B$3),"",IF(INDEX(原始資料!AM$2:AM$501,$BJ448)="","",INDEX(原始資料!AM$2:AM$501,$BJ448)))</f>
        <v/>
      </c>
      <c r="AL448" s="6">
        <f>IF(OR($BJ448="",37&gt;設定!$B$3),"",IF(INDEX(原始資料!AN$2:AN$501,$BJ448)="","",INDEX(原始資料!AN$2:AN$501,$BJ448)))</f>
        <v/>
      </c>
      <c r="AM448" s="6">
        <f>IF(OR($BJ448="",38&gt;設定!$B$3),"",IF(INDEX(原始資料!AO$2:AO$501,$BJ448)="","",INDEX(原始資料!AO$2:AO$501,$BJ448)))</f>
        <v/>
      </c>
      <c r="AN448" s="6">
        <f>IF(OR($BJ448="",39&gt;設定!$B$3),"",IF(INDEX(原始資料!AP$2:AP$501,$BJ448)="","",INDEX(原始資料!AP$2:AP$501,$BJ448)))</f>
        <v/>
      </c>
      <c r="AO448" s="6">
        <f>IF(OR($BJ448="",40&gt;設定!$B$3),"",IF(INDEX(原始資料!AQ$2:AQ$501,$BJ448)="","",INDEX(原始資料!AQ$2:AQ$501,$BJ448)))</f>
        <v/>
      </c>
      <c r="AP448" s="6">
        <f>IF(OR($BJ448="",41&gt;設定!$B$3),"",IF(INDEX(原始資料!AR$2:AR$501,$BJ448)="","",INDEX(原始資料!AR$2:AR$501,$BJ448)))</f>
        <v/>
      </c>
      <c r="AQ448" s="6">
        <f>IF(OR($BJ448="",42&gt;設定!$B$3),"",IF(INDEX(原始資料!AS$2:AS$501,$BJ448)="","",INDEX(原始資料!AS$2:AS$501,$BJ448)))</f>
        <v/>
      </c>
      <c r="AR448" s="6">
        <f>IF(OR($BJ448="",43&gt;設定!$B$3),"",IF(INDEX(原始資料!AT$2:AT$501,$BJ448)="","",INDEX(原始資料!AT$2:AT$501,$BJ448)))</f>
        <v/>
      </c>
      <c r="AS448" s="6">
        <f>IF(OR($BJ448="",44&gt;設定!$B$3),"",IF(INDEX(原始資料!AU$2:AU$501,$BJ448)="","",INDEX(原始資料!AU$2:AU$501,$BJ448)))</f>
        <v/>
      </c>
      <c r="AT448" s="6">
        <f>IF(OR($BJ448="",45&gt;設定!$B$3),"",IF(INDEX(原始資料!AV$2:AV$501,$BJ448)="","",INDEX(原始資料!AV$2:AV$501,$BJ448)))</f>
        <v/>
      </c>
      <c r="AU448" s="6">
        <f>IF(OR($BJ448="",46&gt;設定!$B$3),"",IF(INDEX(原始資料!AW$2:AW$501,$BJ448)="","",INDEX(原始資料!AW$2:AW$501,$BJ448)))</f>
        <v/>
      </c>
      <c r="AV448" s="6">
        <f>IF(OR($BJ448="",47&gt;設定!$B$3),"",IF(INDEX(原始資料!AX$2:AX$501,$BJ448)="","",INDEX(原始資料!AX$2:AX$501,$BJ448)))</f>
        <v/>
      </c>
      <c r="AW448" s="6">
        <f>IF(OR($BJ448="",48&gt;設定!$B$3),"",IF(INDEX(原始資料!AY$2:AY$501,$BJ448)="","",INDEX(原始資料!AY$2:AY$501,$BJ448)))</f>
        <v/>
      </c>
      <c r="AX448" s="6">
        <f>IF(OR($BJ448="",49&gt;設定!$B$3),"",IF(INDEX(原始資料!AZ$2:AZ$501,$BJ448)="","",INDEX(原始資料!AZ$2:AZ$501,$BJ448)))</f>
        <v/>
      </c>
      <c r="AY448" s="6">
        <f>IF(OR($BJ448="",50&gt;設定!$B$3),"",IF(INDEX(原始資料!BA$2:BA$501,$BJ448)="","",INDEX(原始資料!BA$2:BA$501,$BJ448)))</f>
        <v/>
      </c>
      <c r="AZ448" s="6">
        <f>IF(OR($BJ448="",51&gt;設定!$B$3),"",IF(INDEX(原始資料!BB$2:BB$501,$BJ448)="","",INDEX(原始資料!BB$2:BB$501,$BJ448)))</f>
        <v/>
      </c>
      <c r="BA448" s="6">
        <f>IF(OR($BJ448="",52&gt;設定!$B$3),"",IF(INDEX(原始資料!BC$2:BC$501,$BJ448)="","",INDEX(原始資料!BC$2:BC$501,$BJ448)))</f>
        <v/>
      </c>
      <c r="BB448" s="6">
        <f>IF(OR($BJ448="",53&gt;設定!$B$3),"",IF(INDEX(原始資料!BD$2:BD$501,$BJ448)="","",INDEX(原始資料!BD$2:BD$501,$BJ448)))</f>
        <v/>
      </c>
      <c r="BC448" s="6">
        <f>IF(OR($BJ448="",54&gt;設定!$B$3),"",IF(INDEX(原始資料!BE$2:BE$501,$BJ448)="","",INDEX(原始資料!BE$2:BE$501,$BJ448)))</f>
        <v/>
      </c>
      <c r="BD448" s="6">
        <f>IF(OR($BJ448="",55&gt;設定!$B$3),"",IF(INDEX(原始資料!BF$2:BF$501,$BJ448)="","",INDEX(原始資料!BF$2:BF$501,$BJ448)))</f>
        <v/>
      </c>
      <c r="BE448" s="6">
        <f>IF(OR($BJ448="",56&gt;設定!$B$3),"",IF(INDEX(原始資料!BG$2:BG$501,$BJ448)="","",INDEX(原始資料!BG$2:BG$501,$BJ448)))</f>
        <v/>
      </c>
      <c r="BF448" s="6">
        <f>IF(OR($BJ448="",57&gt;設定!$B$3),"",IF(INDEX(原始資料!BH$2:BH$501,$BJ448)="","",INDEX(原始資料!BH$2:BH$501,$BJ448)))</f>
        <v/>
      </c>
      <c r="BG448" s="6">
        <f>IF(OR($BJ448="",58&gt;設定!$B$3),"",IF(INDEX(原始資料!BI$2:BI$501,$BJ448)="","",INDEX(原始資料!BI$2:BI$501,$BJ448)))</f>
        <v/>
      </c>
      <c r="BH448" s="6">
        <f>IF(OR($BJ448="",59&gt;設定!$B$3),"",IF(INDEX(原始資料!BJ$2:BJ$501,$BJ448)="","",INDEX(原始資料!BJ$2:BJ$501,$BJ448)))</f>
        <v/>
      </c>
      <c r="BI448" s="6">
        <f>IF(OR($BJ448="",60&gt;設定!$B$3),"",IF(INDEX(原始資料!BK$2:BK$501,$BJ448)="","",INDEX(原始資料!BK$2:BK$501,$BJ448)))</f>
        <v/>
      </c>
      <c r="BJ448" s="6">
        <f>IFERROR(MATCH(ROW()-1,判定!$H$2:$H$501,0),"")</f>
        <v/>
      </c>
    </row>
    <row r="449">
      <c r="A449" s="6">
        <f>IF($BJ449="","",INDEX(原始資料!$A$2:$A$501,$BJ449))</f>
        <v/>
      </c>
      <c r="B449" s="6">
        <f>IF(OR($BJ449="",1&gt;設定!$B$3),"",IF(INDEX(原始資料!D$2:D$501,$BJ449)="","",INDEX(原始資料!D$2:D$501,$BJ449)))</f>
        <v/>
      </c>
      <c r="C449" s="6">
        <f>IF(OR($BJ449="",2&gt;設定!$B$3),"",IF(INDEX(原始資料!E$2:E$501,$BJ449)="","",INDEX(原始資料!E$2:E$501,$BJ449)))</f>
        <v/>
      </c>
      <c r="D449" s="6">
        <f>IF(OR($BJ449="",3&gt;設定!$B$3),"",IF(INDEX(原始資料!F$2:F$501,$BJ449)="","",INDEX(原始資料!F$2:F$501,$BJ449)))</f>
        <v/>
      </c>
      <c r="E449" s="6">
        <f>IF(OR($BJ449="",4&gt;設定!$B$3),"",IF(INDEX(原始資料!G$2:G$501,$BJ449)="","",INDEX(原始資料!G$2:G$501,$BJ449)))</f>
        <v/>
      </c>
      <c r="F449" s="6">
        <f>IF(OR($BJ449="",5&gt;設定!$B$3),"",IF(INDEX(原始資料!H$2:H$501,$BJ449)="","",INDEX(原始資料!H$2:H$501,$BJ449)))</f>
        <v/>
      </c>
      <c r="G449" s="6">
        <f>IF(OR($BJ449="",6&gt;設定!$B$3),"",IF(INDEX(原始資料!I$2:I$501,$BJ449)="","",INDEX(原始資料!I$2:I$501,$BJ449)))</f>
        <v/>
      </c>
      <c r="H449" s="6">
        <f>IF(OR($BJ449="",7&gt;設定!$B$3),"",IF(INDEX(原始資料!J$2:J$501,$BJ449)="","",INDEX(原始資料!J$2:J$501,$BJ449)))</f>
        <v/>
      </c>
      <c r="I449" s="6">
        <f>IF(OR($BJ449="",8&gt;設定!$B$3),"",IF(INDEX(原始資料!K$2:K$501,$BJ449)="","",INDEX(原始資料!K$2:K$501,$BJ449)))</f>
        <v/>
      </c>
      <c r="J449" s="6">
        <f>IF(OR($BJ449="",9&gt;設定!$B$3),"",IF(INDEX(原始資料!L$2:L$501,$BJ449)="","",INDEX(原始資料!L$2:L$501,$BJ449)))</f>
        <v/>
      </c>
      <c r="K449" s="6">
        <f>IF(OR($BJ449="",10&gt;設定!$B$3),"",IF(INDEX(原始資料!M$2:M$501,$BJ449)="","",INDEX(原始資料!M$2:M$501,$BJ449)))</f>
        <v/>
      </c>
      <c r="L449" s="6">
        <f>IF(OR($BJ449="",11&gt;設定!$B$3),"",IF(INDEX(原始資料!N$2:N$501,$BJ449)="","",INDEX(原始資料!N$2:N$501,$BJ449)))</f>
        <v/>
      </c>
      <c r="M449" s="6">
        <f>IF(OR($BJ449="",12&gt;設定!$B$3),"",IF(INDEX(原始資料!O$2:O$501,$BJ449)="","",INDEX(原始資料!O$2:O$501,$BJ449)))</f>
        <v/>
      </c>
      <c r="N449" s="6">
        <f>IF(OR($BJ449="",13&gt;設定!$B$3),"",IF(INDEX(原始資料!P$2:P$501,$BJ449)="","",INDEX(原始資料!P$2:P$501,$BJ449)))</f>
        <v/>
      </c>
      <c r="O449" s="6">
        <f>IF(OR($BJ449="",14&gt;設定!$B$3),"",IF(INDEX(原始資料!Q$2:Q$501,$BJ449)="","",INDEX(原始資料!Q$2:Q$501,$BJ449)))</f>
        <v/>
      </c>
      <c r="P449" s="6">
        <f>IF(OR($BJ449="",15&gt;設定!$B$3),"",IF(INDEX(原始資料!R$2:R$501,$BJ449)="","",INDEX(原始資料!R$2:R$501,$BJ449)))</f>
        <v/>
      </c>
      <c r="Q449" s="6">
        <f>IF(OR($BJ449="",16&gt;設定!$B$3),"",IF(INDEX(原始資料!S$2:S$501,$BJ449)="","",INDEX(原始資料!S$2:S$501,$BJ449)))</f>
        <v/>
      </c>
      <c r="R449" s="6">
        <f>IF(OR($BJ449="",17&gt;設定!$B$3),"",IF(INDEX(原始資料!T$2:T$501,$BJ449)="","",INDEX(原始資料!T$2:T$501,$BJ449)))</f>
        <v/>
      </c>
      <c r="S449" s="6">
        <f>IF(OR($BJ449="",18&gt;設定!$B$3),"",IF(INDEX(原始資料!U$2:U$501,$BJ449)="","",INDEX(原始資料!U$2:U$501,$BJ449)))</f>
        <v/>
      </c>
      <c r="T449" s="6">
        <f>IF(OR($BJ449="",19&gt;設定!$B$3),"",IF(INDEX(原始資料!V$2:V$501,$BJ449)="","",INDEX(原始資料!V$2:V$501,$BJ449)))</f>
        <v/>
      </c>
      <c r="U449" s="6">
        <f>IF(OR($BJ449="",20&gt;設定!$B$3),"",IF(INDEX(原始資料!W$2:W$501,$BJ449)="","",INDEX(原始資料!W$2:W$501,$BJ449)))</f>
        <v/>
      </c>
      <c r="V449" s="6">
        <f>IF(OR($BJ449="",21&gt;設定!$B$3),"",IF(INDEX(原始資料!X$2:X$501,$BJ449)="","",INDEX(原始資料!X$2:X$501,$BJ449)))</f>
        <v/>
      </c>
      <c r="W449" s="6">
        <f>IF(OR($BJ449="",22&gt;設定!$B$3),"",IF(INDEX(原始資料!Y$2:Y$501,$BJ449)="","",INDEX(原始資料!Y$2:Y$501,$BJ449)))</f>
        <v/>
      </c>
      <c r="X449" s="6">
        <f>IF(OR($BJ449="",23&gt;設定!$B$3),"",IF(INDEX(原始資料!Z$2:Z$501,$BJ449)="","",INDEX(原始資料!Z$2:Z$501,$BJ449)))</f>
        <v/>
      </c>
      <c r="Y449" s="6">
        <f>IF(OR($BJ449="",24&gt;設定!$B$3),"",IF(INDEX(原始資料!AA$2:AA$501,$BJ449)="","",INDEX(原始資料!AA$2:AA$501,$BJ449)))</f>
        <v/>
      </c>
      <c r="Z449" s="6">
        <f>IF(OR($BJ449="",25&gt;設定!$B$3),"",IF(INDEX(原始資料!AB$2:AB$501,$BJ449)="","",INDEX(原始資料!AB$2:AB$501,$BJ449)))</f>
        <v/>
      </c>
      <c r="AA449" s="6">
        <f>IF(OR($BJ449="",26&gt;設定!$B$3),"",IF(INDEX(原始資料!AC$2:AC$501,$BJ449)="","",INDEX(原始資料!AC$2:AC$501,$BJ449)))</f>
        <v/>
      </c>
      <c r="AB449" s="6">
        <f>IF(OR($BJ449="",27&gt;設定!$B$3),"",IF(INDEX(原始資料!AD$2:AD$501,$BJ449)="","",INDEX(原始資料!AD$2:AD$501,$BJ449)))</f>
        <v/>
      </c>
      <c r="AC449" s="6">
        <f>IF(OR($BJ449="",28&gt;設定!$B$3),"",IF(INDEX(原始資料!AE$2:AE$501,$BJ449)="","",INDEX(原始資料!AE$2:AE$501,$BJ449)))</f>
        <v/>
      </c>
      <c r="AD449" s="6">
        <f>IF(OR($BJ449="",29&gt;設定!$B$3),"",IF(INDEX(原始資料!AF$2:AF$501,$BJ449)="","",INDEX(原始資料!AF$2:AF$501,$BJ449)))</f>
        <v/>
      </c>
      <c r="AE449" s="6">
        <f>IF(OR($BJ449="",30&gt;設定!$B$3),"",IF(INDEX(原始資料!AG$2:AG$501,$BJ449)="","",INDEX(原始資料!AG$2:AG$501,$BJ449)))</f>
        <v/>
      </c>
      <c r="AF449" s="6">
        <f>IF(OR($BJ449="",31&gt;設定!$B$3),"",IF(INDEX(原始資料!AH$2:AH$501,$BJ449)="","",INDEX(原始資料!AH$2:AH$501,$BJ449)))</f>
        <v/>
      </c>
      <c r="AG449" s="6">
        <f>IF(OR($BJ449="",32&gt;設定!$B$3),"",IF(INDEX(原始資料!AI$2:AI$501,$BJ449)="","",INDEX(原始資料!AI$2:AI$501,$BJ449)))</f>
        <v/>
      </c>
      <c r="AH449" s="6">
        <f>IF(OR($BJ449="",33&gt;設定!$B$3),"",IF(INDEX(原始資料!AJ$2:AJ$501,$BJ449)="","",INDEX(原始資料!AJ$2:AJ$501,$BJ449)))</f>
        <v/>
      </c>
      <c r="AI449" s="6">
        <f>IF(OR($BJ449="",34&gt;設定!$B$3),"",IF(INDEX(原始資料!AK$2:AK$501,$BJ449)="","",INDEX(原始資料!AK$2:AK$501,$BJ449)))</f>
        <v/>
      </c>
      <c r="AJ449" s="6">
        <f>IF(OR($BJ449="",35&gt;設定!$B$3),"",IF(INDEX(原始資料!AL$2:AL$501,$BJ449)="","",INDEX(原始資料!AL$2:AL$501,$BJ449)))</f>
        <v/>
      </c>
      <c r="AK449" s="6">
        <f>IF(OR($BJ449="",36&gt;設定!$B$3),"",IF(INDEX(原始資料!AM$2:AM$501,$BJ449)="","",INDEX(原始資料!AM$2:AM$501,$BJ449)))</f>
        <v/>
      </c>
      <c r="AL449" s="6">
        <f>IF(OR($BJ449="",37&gt;設定!$B$3),"",IF(INDEX(原始資料!AN$2:AN$501,$BJ449)="","",INDEX(原始資料!AN$2:AN$501,$BJ449)))</f>
        <v/>
      </c>
      <c r="AM449" s="6">
        <f>IF(OR($BJ449="",38&gt;設定!$B$3),"",IF(INDEX(原始資料!AO$2:AO$501,$BJ449)="","",INDEX(原始資料!AO$2:AO$501,$BJ449)))</f>
        <v/>
      </c>
      <c r="AN449" s="6">
        <f>IF(OR($BJ449="",39&gt;設定!$B$3),"",IF(INDEX(原始資料!AP$2:AP$501,$BJ449)="","",INDEX(原始資料!AP$2:AP$501,$BJ449)))</f>
        <v/>
      </c>
      <c r="AO449" s="6">
        <f>IF(OR($BJ449="",40&gt;設定!$B$3),"",IF(INDEX(原始資料!AQ$2:AQ$501,$BJ449)="","",INDEX(原始資料!AQ$2:AQ$501,$BJ449)))</f>
        <v/>
      </c>
      <c r="AP449" s="6">
        <f>IF(OR($BJ449="",41&gt;設定!$B$3),"",IF(INDEX(原始資料!AR$2:AR$501,$BJ449)="","",INDEX(原始資料!AR$2:AR$501,$BJ449)))</f>
        <v/>
      </c>
      <c r="AQ449" s="6">
        <f>IF(OR($BJ449="",42&gt;設定!$B$3),"",IF(INDEX(原始資料!AS$2:AS$501,$BJ449)="","",INDEX(原始資料!AS$2:AS$501,$BJ449)))</f>
        <v/>
      </c>
      <c r="AR449" s="6">
        <f>IF(OR($BJ449="",43&gt;設定!$B$3),"",IF(INDEX(原始資料!AT$2:AT$501,$BJ449)="","",INDEX(原始資料!AT$2:AT$501,$BJ449)))</f>
        <v/>
      </c>
      <c r="AS449" s="6">
        <f>IF(OR($BJ449="",44&gt;設定!$B$3),"",IF(INDEX(原始資料!AU$2:AU$501,$BJ449)="","",INDEX(原始資料!AU$2:AU$501,$BJ449)))</f>
        <v/>
      </c>
      <c r="AT449" s="6">
        <f>IF(OR($BJ449="",45&gt;設定!$B$3),"",IF(INDEX(原始資料!AV$2:AV$501,$BJ449)="","",INDEX(原始資料!AV$2:AV$501,$BJ449)))</f>
        <v/>
      </c>
      <c r="AU449" s="6">
        <f>IF(OR($BJ449="",46&gt;設定!$B$3),"",IF(INDEX(原始資料!AW$2:AW$501,$BJ449)="","",INDEX(原始資料!AW$2:AW$501,$BJ449)))</f>
        <v/>
      </c>
      <c r="AV449" s="6">
        <f>IF(OR($BJ449="",47&gt;設定!$B$3),"",IF(INDEX(原始資料!AX$2:AX$501,$BJ449)="","",INDEX(原始資料!AX$2:AX$501,$BJ449)))</f>
        <v/>
      </c>
      <c r="AW449" s="6">
        <f>IF(OR($BJ449="",48&gt;設定!$B$3),"",IF(INDEX(原始資料!AY$2:AY$501,$BJ449)="","",INDEX(原始資料!AY$2:AY$501,$BJ449)))</f>
        <v/>
      </c>
      <c r="AX449" s="6">
        <f>IF(OR($BJ449="",49&gt;設定!$B$3),"",IF(INDEX(原始資料!AZ$2:AZ$501,$BJ449)="","",INDEX(原始資料!AZ$2:AZ$501,$BJ449)))</f>
        <v/>
      </c>
      <c r="AY449" s="6">
        <f>IF(OR($BJ449="",50&gt;設定!$B$3),"",IF(INDEX(原始資料!BA$2:BA$501,$BJ449)="","",INDEX(原始資料!BA$2:BA$501,$BJ449)))</f>
        <v/>
      </c>
      <c r="AZ449" s="6">
        <f>IF(OR($BJ449="",51&gt;設定!$B$3),"",IF(INDEX(原始資料!BB$2:BB$501,$BJ449)="","",INDEX(原始資料!BB$2:BB$501,$BJ449)))</f>
        <v/>
      </c>
      <c r="BA449" s="6">
        <f>IF(OR($BJ449="",52&gt;設定!$B$3),"",IF(INDEX(原始資料!BC$2:BC$501,$BJ449)="","",INDEX(原始資料!BC$2:BC$501,$BJ449)))</f>
        <v/>
      </c>
      <c r="BB449" s="6">
        <f>IF(OR($BJ449="",53&gt;設定!$B$3),"",IF(INDEX(原始資料!BD$2:BD$501,$BJ449)="","",INDEX(原始資料!BD$2:BD$501,$BJ449)))</f>
        <v/>
      </c>
      <c r="BC449" s="6">
        <f>IF(OR($BJ449="",54&gt;設定!$B$3),"",IF(INDEX(原始資料!BE$2:BE$501,$BJ449)="","",INDEX(原始資料!BE$2:BE$501,$BJ449)))</f>
        <v/>
      </c>
      <c r="BD449" s="6">
        <f>IF(OR($BJ449="",55&gt;設定!$B$3),"",IF(INDEX(原始資料!BF$2:BF$501,$BJ449)="","",INDEX(原始資料!BF$2:BF$501,$BJ449)))</f>
        <v/>
      </c>
      <c r="BE449" s="6">
        <f>IF(OR($BJ449="",56&gt;設定!$B$3),"",IF(INDEX(原始資料!BG$2:BG$501,$BJ449)="","",INDEX(原始資料!BG$2:BG$501,$BJ449)))</f>
        <v/>
      </c>
      <c r="BF449" s="6">
        <f>IF(OR($BJ449="",57&gt;設定!$B$3),"",IF(INDEX(原始資料!BH$2:BH$501,$BJ449)="","",INDEX(原始資料!BH$2:BH$501,$BJ449)))</f>
        <v/>
      </c>
      <c r="BG449" s="6">
        <f>IF(OR($BJ449="",58&gt;設定!$B$3),"",IF(INDEX(原始資料!BI$2:BI$501,$BJ449)="","",INDEX(原始資料!BI$2:BI$501,$BJ449)))</f>
        <v/>
      </c>
      <c r="BH449" s="6">
        <f>IF(OR($BJ449="",59&gt;設定!$B$3),"",IF(INDEX(原始資料!BJ$2:BJ$501,$BJ449)="","",INDEX(原始資料!BJ$2:BJ$501,$BJ449)))</f>
        <v/>
      </c>
      <c r="BI449" s="6">
        <f>IF(OR($BJ449="",60&gt;設定!$B$3),"",IF(INDEX(原始資料!BK$2:BK$501,$BJ449)="","",INDEX(原始資料!BK$2:BK$501,$BJ449)))</f>
        <v/>
      </c>
      <c r="BJ449" s="6">
        <f>IFERROR(MATCH(ROW()-1,判定!$H$2:$H$501,0),"")</f>
        <v/>
      </c>
    </row>
    <row r="450">
      <c r="A450" s="6">
        <f>IF($BJ450="","",INDEX(原始資料!$A$2:$A$501,$BJ450))</f>
        <v/>
      </c>
      <c r="B450" s="6">
        <f>IF(OR($BJ450="",1&gt;設定!$B$3),"",IF(INDEX(原始資料!D$2:D$501,$BJ450)="","",INDEX(原始資料!D$2:D$501,$BJ450)))</f>
        <v/>
      </c>
      <c r="C450" s="6">
        <f>IF(OR($BJ450="",2&gt;設定!$B$3),"",IF(INDEX(原始資料!E$2:E$501,$BJ450)="","",INDEX(原始資料!E$2:E$501,$BJ450)))</f>
        <v/>
      </c>
      <c r="D450" s="6">
        <f>IF(OR($BJ450="",3&gt;設定!$B$3),"",IF(INDEX(原始資料!F$2:F$501,$BJ450)="","",INDEX(原始資料!F$2:F$501,$BJ450)))</f>
        <v/>
      </c>
      <c r="E450" s="6">
        <f>IF(OR($BJ450="",4&gt;設定!$B$3),"",IF(INDEX(原始資料!G$2:G$501,$BJ450)="","",INDEX(原始資料!G$2:G$501,$BJ450)))</f>
        <v/>
      </c>
      <c r="F450" s="6">
        <f>IF(OR($BJ450="",5&gt;設定!$B$3),"",IF(INDEX(原始資料!H$2:H$501,$BJ450)="","",INDEX(原始資料!H$2:H$501,$BJ450)))</f>
        <v/>
      </c>
      <c r="G450" s="6">
        <f>IF(OR($BJ450="",6&gt;設定!$B$3),"",IF(INDEX(原始資料!I$2:I$501,$BJ450)="","",INDEX(原始資料!I$2:I$501,$BJ450)))</f>
        <v/>
      </c>
      <c r="H450" s="6">
        <f>IF(OR($BJ450="",7&gt;設定!$B$3),"",IF(INDEX(原始資料!J$2:J$501,$BJ450)="","",INDEX(原始資料!J$2:J$501,$BJ450)))</f>
        <v/>
      </c>
      <c r="I450" s="6">
        <f>IF(OR($BJ450="",8&gt;設定!$B$3),"",IF(INDEX(原始資料!K$2:K$501,$BJ450)="","",INDEX(原始資料!K$2:K$501,$BJ450)))</f>
        <v/>
      </c>
      <c r="J450" s="6">
        <f>IF(OR($BJ450="",9&gt;設定!$B$3),"",IF(INDEX(原始資料!L$2:L$501,$BJ450)="","",INDEX(原始資料!L$2:L$501,$BJ450)))</f>
        <v/>
      </c>
      <c r="K450" s="6">
        <f>IF(OR($BJ450="",10&gt;設定!$B$3),"",IF(INDEX(原始資料!M$2:M$501,$BJ450)="","",INDEX(原始資料!M$2:M$501,$BJ450)))</f>
        <v/>
      </c>
      <c r="L450" s="6">
        <f>IF(OR($BJ450="",11&gt;設定!$B$3),"",IF(INDEX(原始資料!N$2:N$501,$BJ450)="","",INDEX(原始資料!N$2:N$501,$BJ450)))</f>
        <v/>
      </c>
      <c r="M450" s="6">
        <f>IF(OR($BJ450="",12&gt;設定!$B$3),"",IF(INDEX(原始資料!O$2:O$501,$BJ450)="","",INDEX(原始資料!O$2:O$501,$BJ450)))</f>
        <v/>
      </c>
      <c r="N450" s="6">
        <f>IF(OR($BJ450="",13&gt;設定!$B$3),"",IF(INDEX(原始資料!P$2:P$501,$BJ450)="","",INDEX(原始資料!P$2:P$501,$BJ450)))</f>
        <v/>
      </c>
      <c r="O450" s="6">
        <f>IF(OR($BJ450="",14&gt;設定!$B$3),"",IF(INDEX(原始資料!Q$2:Q$501,$BJ450)="","",INDEX(原始資料!Q$2:Q$501,$BJ450)))</f>
        <v/>
      </c>
      <c r="P450" s="6">
        <f>IF(OR($BJ450="",15&gt;設定!$B$3),"",IF(INDEX(原始資料!R$2:R$501,$BJ450)="","",INDEX(原始資料!R$2:R$501,$BJ450)))</f>
        <v/>
      </c>
      <c r="Q450" s="6">
        <f>IF(OR($BJ450="",16&gt;設定!$B$3),"",IF(INDEX(原始資料!S$2:S$501,$BJ450)="","",INDEX(原始資料!S$2:S$501,$BJ450)))</f>
        <v/>
      </c>
      <c r="R450" s="6">
        <f>IF(OR($BJ450="",17&gt;設定!$B$3),"",IF(INDEX(原始資料!T$2:T$501,$BJ450)="","",INDEX(原始資料!T$2:T$501,$BJ450)))</f>
        <v/>
      </c>
      <c r="S450" s="6">
        <f>IF(OR($BJ450="",18&gt;設定!$B$3),"",IF(INDEX(原始資料!U$2:U$501,$BJ450)="","",INDEX(原始資料!U$2:U$501,$BJ450)))</f>
        <v/>
      </c>
      <c r="T450" s="6">
        <f>IF(OR($BJ450="",19&gt;設定!$B$3),"",IF(INDEX(原始資料!V$2:V$501,$BJ450)="","",INDEX(原始資料!V$2:V$501,$BJ450)))</f>
        <v/>
      </c>
      <c r="U450" s="6">
        <f>IF(OR($BJ450="",20&gt;設定!$B$3),"",IF(INDEX(原始資料!W$2:W$501,$BJ450)="","",INDEX(原始資料!W$2:W$501,$BJ450)))</f>
        <v/>
      </c>
      <c r="V450" s="6">
        <f>IF(OR($BJ450="",21&gt;設定!$B$3),"",IF(INDEX(原始資料!X$2:X$501,$BJ450)="","",INDEX(原始資料!X$2:X$501,$BJ450)))</f>
        <v/>
      </c>
      <c r="W450" s="6">
        <f>IF(OR($BJ450="",22&gt;設定!$B$3),"",IF(INDEX(原始資料!Y$2:Y$501,$BJ450)="","",INDEX(原始資料!Y$2:Y$501,$BJ450)))</f>
        <v/>
      </c>
      <c r="X450" s="6">
        <f>IF(OR($BJ450="",23&gt;設定!$B$3),"",IF(INDEX(原始資料!Z$2:Z$501,$BJ450)="","",INDEX(原始資料!Z$2:Z$501,$BJ450)))</f>
        <v/>
      </c>
      <c r="Y450" s="6">
        <f>IF(OR($BJ450="",24&gt;設定!$B$3),"",IF(INDEX(原始資料!AA$2:AA$501,$BJ450)="","",INDEX(原始資料!AA$2:AA$501,$BJ450)))</f>
        <v/>
      </c>
      <c r="Z450" s="6">
        <f>IF(OR($BJ450="",25&gt;設定!$B$3),"",IF(INDEX(原始資料!AB$2:AB$501,$BJ450)="","",INDEX(原始資料!AB$2:AB$501,$BJ450)))</f>
        <v/>
      </c>
      <c r="AA450" s="6">
        <f>IF(OR($BJ450="",26&gt;設定!$B$3),"",IF(INDEX(原始資料!AC$2:AC$501,$BJ450)="","",INDEX(原始資料!AC$2:AC$501,$BJ450)))</f>
        <v/>
      </c>
      <c r="AB450" s="6">
        <f>IF(OR($BJ450="",27&gt;設定!$B$3),"",IF(INDEX(原始資料!AD$2:AD$501,$BJ450)="","",INDEX(原始資料!AD$2:AD$501,$BJ450)))</f>
        <v/>
      </c>
      <c r="AC450" s="6">
        <f>IF(OR($BJ450="",28&gt;設定!$B$3),"",IF(INDEX(原始資料!AE$2:AE$501,$BJ450)="","",INDEX(原始資料!AE$2:AE$501,$BJ450)))</f>
        <v/>
      </c>
      <c r="AD450" s="6">
        <f>IF(OR($BJ450="",29&gt;設定!$B$3),"",IF(INDEX(原始資料!AF$2:AF$501,$BJ450)="","",INDEX(原始資料!AF$2:AF$501,$BJ450)))</f>
        <v/>
      </c>
      <c r="AE450" s="6">
        <f>IF(OR($BJ450="",30&gt;設定!$B$3),"",IF(INDEX(原始資料!AG$2:AG$501,$BJ450)="","",INDEX(原始資料!AG$2:AG$501,$BJ450)))</f>
        <v/>
      </c>
      <c r="AF450" s="6">
        <f>IF(OR($BJ450="",31&gt;設定!$B$3),"",IF(INDEX(原始資料!AH$2:AH$501,$BJ450)="","",INDEX(原始資料!AH$2:AH$501,$BJ450)))</f>
        <v/>
      </c>
      <c r="AG450" s="6">
        <f>IF(OR($BJ450="",32&gt;設定!$B$3),"",IF(INDEX(原始資料!AI$2:AI$501,$BJ450)="","",INDEX(原始資料!AI$2:AI$501,$BJ450)))</f>
        <v/>
      </c>
      <c r="AH450" s="6">
        <f>IF(OR($BJ450="",33&gt;設定!$B$3),"",IF(INDEX(原始資料!AJ$2:AJ$501,$BJ450)="","",INDEX(原始資料!AJ$2:AJ$501,$BJ450)))</f>
        <v/>
      </c>
      <c r="AI450" s="6">
        <f>IF(OR($BJ450="",34&gt;設定!$B$3),"",IF(INDEX(原始資料!AK$2:AK$501,$BJ450)="","",INDEX(原始資料!AK$2:AK$501,$BJ450)))</f>
        <v/>
      </c>
      <c r="AJ450" s="6">
        <f>IF(OR($BJ450="",35&gt;設定!$B$3),"",IF(INDEX(原始資料!AL$2:AL$501,$BJ450)="","",INDEX(原始資料!AL$2:AL$501,$BJ450)))</f>
        <v/>
      </c>
      <c r="AK450" s="6">
        <f>IF(OR($BJ450="",36&gt;設定!$B$3),"",IF(INDEX(原始資料!AM$2:AM$501,$BJ450)="","",INDEX(原始資料!AM$2:AM$501,$BJ450)))</f>
        <v/>
      </c>
      <c r="AL450" s="6">
        <f>IF(OR($BJ450="",37&gt;設定!$B$3),"",IF(INDEX(原始資料!AN$2:AN$501,$BJ450)="","",INDEX(原始資料!AN$2:AN$501,$BJ450)))</f>
        <v/>
      </c>
      <c r="AM450" s="6">
        <f>IF(OR($BJ450="",38&gt;設定!$B$3),"",IF(INDEX(原始資料!AO$2:AO$501,$BJ450)="","",INDEX(原始資料!AO$2:AO$501,$BJ450)))</f>
        <v/>
      </c>
      <c r="AN450" s="6">
        <f>IF(OR($BJ450="",39&gt;設定!$B$3),"",IF(INDEX(原始資料!AP$2:AP$501,$BJ450)="","",INDEX(原始資料!AP$2:AP$501,$BJ450)))</f>
        <v/>
      </c>
      <c r="AO450" s="6">
        <f>IF(OR($BJ450="",40&gt;設定!$B$3),"",IF(INDEX(原始資料!AQ$2:AQ$501,$BJ450)="","",INDEX(原始資料!AQ$2:AQ$501,$BJ450)))</f>
        <v/>
      </c>
      <c r="AP450" s="6">
        <f>IF(OR($BJ450="",41&gt;設定!$B$3),"",IF(INDEX(原始資料!AR$2:AR$501,$BJ450)="","",INDEX(原始資料!AR$2:AR$501,$BJ450)))</f>
        <v/>
      </c>
      <c r="AQ450" s="6">
        <f>IF(OR($BJ450="",42&gt;設定!$B$3),"",IF(INDEX(原始資料!AS$2:AS$501,$BJ450)="","",INDEX(原始資料!AS$2:AS$501,$BJ450)))</f>
        <v/>
      </c>
      <c r="AR450" s="6">
        <f>IF(OR($BJ450="",43&gt;設定!$B$3),"",IF(INDEX(原始資料!AT$2:AT$501,$BJ450)="","",INDEX(原始資料!AT$2:AT$501,$BJ450)))</f>
        <v/>
      </c>
      <c r="AS450" s="6">
        <f>IF(OR($BJ450="",44&gt;設定!$B$3),"",IF(INDEX(原始資料!AU$2:AU$501,$BJ450)="","",INDEX(原始資料!AU$2:AU$501,$BJ450)))</f>
        <v/>
      </c>
      <c r="AT450" s="6">
        <f>IF(OR($BJ450="",45&gt;設定!$B$3),"",IF(INDEX(原始資料!AV$2:AV$501,$BJ450)="","",INDEX(原始資料!AV$2:AV$501,$BJ450)))</f>
        <v/>
      </c>
      <c r="AU450" s="6">
        <f>IF(OR($BJ450="",46&gt;設定!$B$3),"",IF(INDEX(原始資料!AW$2:AW$501,$BJ450)="","",INDEX(原始資料!AW$2:AW$501,$BJ450)))</f>
        <v/>
      </c>
      <c r="AV450" s="6">
        <f>IF(OR($BJ450="",47&gt;設定!$B$3),"",IF(INDEX(原始資料!AX$2:AX$501,$BJ450)="","",INDEX(原始資料!AX$2:AX$501,$BJ450)))</f>
        <v/>
      </c>
      <c r="AW450" s="6">
        <f>IF(OR($BJ450="",48&gt;設定!$B$3),"",IF(INDEX(原始資料!AY$2:AY$501,$BJ450)="","",INDEX(原始資料!AY$2:AY$501,$BJ450)))</f>
        <v/>
      </c>
      <c r="AX450" s="6">
        <f>IF(OR($BJ450="",49&gt;設定!$B$3),"",IF(INDEX(原始資料!AZ$2:AZ$501,$BJ450)="","",INDEX(原始資料!AZ$2:AZ$501,$BJ450)))</f>
        <v/>
      </c>
      <c r="AY450" s="6">
        <f>IF(OR($BJ450="",50&gt;設定!$B$3),"",IF(INDEX(原始資料!BA$2:BA$501,$BJ450)="","",INDEX(原始資料!BA$2:BA$501,$BJ450)))</f>
        <v/>
      </c>
      <c r="AZ450" s="6">
        <f>IF(OR($BJ450="",51&gt;設定!$B$3),"",IF(INDEX(原始資料!BB$2:BB$501,$BJ450)="","",INDEX(原始資料!BB$2:BB$501,$BJ450)))</f>
        <v/>
      </c>
      <c r="BA450" s="6">
        <f>IF(OR($BJ450="",52&gt;設定!$B$3),"",IF(INDEX(原始資料!BC$2:BC$501,$BJ450)="","",INDEX(原始資料!BC$2:BC$501,$BJ450)))</f>
        <v/>
      </c>
      <c r="BB450" s="6">
        <f>IF(OR($BJ450="",53&gt;設定!$B$3),"",IF(INDEX(原始資料!BD$2:BD$501,$BJ450)="","",INDEX(原始資料!BD$2:BD$501,$BJ450)))</f>
        <v/>
      </c>
      <c r="BC450" s="6">
        <f>IF(OR($BJ450="",54&gt;設定!$B$3),"",IF(INDEX(原始資料!BE$2:BE$501,$BJ450)="","",INDEX(原始資料!BE$2:BE$501,$BJ450)))</f>
        <v/>
      </c>
      <c r="BD450" s="6">
        <f>IF(OR($BJ450="",55&gt;設定!$B$3),"",IF(INDEX(原始資料!BF$2:BF$501,$BJ450)="","",INDEX(原始資料!BF$2:BF$501,$BJ450)))</f>
        <v/>
      </c>
      <c r="BE450" s="6">
        <f>IF(OR($BJ450="",56&gt;設定!$B$3),"",IF(INDEX(原始資料!BG$2:BG$501,$BJ450)="","",INDEX(原始資料!BG$2:BG$501,$BJ450)))</f>
        <v/>
      </c>
      <c r="BF450" s="6">
        <f>IF(OR($BJ450="",57&gt;設定!$B$3),"",IF(INDEX(原始資料!BH$2:BH$501,$BJ450)="","",INDEX(原始資料!BH$2:BH$501,$BJ450)))</f>
        <v/>
      </c>
      <c r="BG450" s="6">
        <f>IF(OR($BJ450="",58&gt;設定!$B$3),"",IF(INDEX(原始資料!BI$2:BI$501,$BJ450)="","",INDEX(原始資料!BI$2:BI$501,$BJ450)))</f>
        <v/>
      </c>
      <c r="BH450" s="6">
        <f>IF(OR($BJ450="",59&gt;設定!$B$3),"",IF(INDEX(原始資料!BJ$2:BJ$501,$BJ450)="","",INDEX(原始資料!BJ$2:BJ$501,$BJ450)))</f>
        <v/>
      </c>
      <c r="BI450" s="6">
        <f>IF(OR($BJ450="",60&gt;設定!$B$3),"",IF(INDEX(原始資料!BK$2:BK$501,$BJ450)="","",INDEX(原始資料!BK$2:BK$501,$BJ450)))</f>
        <v/>
      </c>
      <c r="BJ450" s="6">
        <f>IFERROR(MATCH(ROW()-1,判定!$H$2:$H$501,0),"")</f>
        <v/>
      </c>
    </row>
    <row r="451">
      <c r="A451" s="6">
        <f>IF($BJ451="","",INDEX(原始資料!$A$2:$A$501,$BJ451))</f>
        <v/>
      </c>
      <c r="B451" s="6">
        <f>IF(OR($BJ451="",1&gt;設定!$B$3),"",IF(INDEX(原始資料!D$2:D$501,$BJ451)="","",INDEX(原始資料!D$2:D$501,$BJ451)))</f>
        <v/>
      </c>
      <c r="C451" s="6">
        <f>IF(OR($BJ451="",2&gt;設定!$B$3),"",IF(INDEX(原始資料!E$2:E$501,$BJ451)="","",INDEX(原始資料!E$2:E$501,$BJ451)))</f>
        <v/>
      </c>
      <c r="D451" s="6">
        <f>IF(OR($BJ451="",3&gt;設定!$B$3),"",IF(INDEX(原始資料!F$2:F$501,$BJ451)="","",INDEX(原始資料!F$2:F$501,$BJ451)))</f>
        <v/>
      </c>
      <c r="E451" s="6">
        <f>IF(OR($BJ451="",4&gt;設定!$B$3),"",IF(INDEX(原始資料!G$2:G$501,$BJ451)="","",INDEX(原始資料!G$2:G$501,$BJ451)))</f>
        <v/>
      </c>
      <c r="F451" s="6">
        <f>IF(OR($BJ451="",5&gt;設定!$B$3),"",IF(INDEX(原始資料!H$2:H$501,$BJ451)="","",INDEX(原始資料!H$2:H$501,$BJ451)))</f>
        <v/>
      </c>
      <c r="G451" s="6">
        <f>IF(OR($BJ451="",6&gt;設定!$B$3),"",IF(INDEX(原始資料!I$2:I$501,$BJ451)="","",INDEX(原始資料!I$2:I$501,$BJ451)))</f>
        <v/>
      </c>
      <c r="H451" s="6">
        <f>IF(OR($BJ451="",7&gt;設定!$B$3),"",IF(INDEX(原始資料!J$2:J$501,$BJ451)="","",INDEX(原始資料!J$2:J$501,$BJ451)))</f>
        <v/>
      </c>
      <c r="I451" s="6">
        <f>IF(OR($BJ451="",8&gt;設定!$B$3),"",IF(INDEX(原始資料!K$2:K$501,$BJ451)="","",INDEX(原始資料!K$2:K$501,$BJ451)))</f>
        <v/>
      </c>
      <c r="J451" s="6">
        <f>IF(OR($BJ451="",9&gt;設定!$B$3),"",IF(INDEX(原始資料!L$2:L$501,$BJ451)="","",INDEX(原始資料!L$2:L$501,$BJ451)))</f>
        <v/>
      </c>
      <c r="K451" s="6">
        <f>IF(OR($BJ451="",10&gt;設定!$B$3),"",IF(INDEX(原始資料!M$2:M$501,$BJ451)="","",INDEX(原始資料!M$2:M$501,$BJ451)))</f>
        <v/>
      </c>
      <c r="L451" s="6">
        <f>IF(OR($BJ451="",11&gt;設定!$B$3),"",IF(INDEX(原始資料!N$2:N$501,$BJ451)="","",INDEX(原始資料!N$2:N$501,$BJ451)))</f>
        <v/>
      </c>
      <c r="M451" s="6">
        <f>IF(OR($BJ451="",12&gt;設定!$B$3),"",IF(INDEX(原始資料!O$2:O$501,$BJ451)="","",INDEX(原始資料!O$2:O$501,$BJ451)))</f>
        <v/>
      </c>
      <c r="N451" s="6">
        <f>IF(OR($BJ451="",13&gt;設定!$B$3),"",IF(INDEX(原始資料!P$2:P$501,$BJ451)="","",INDEX(原始資料!P$2:P$501,$BJ451)))</f>
        <v/>
      </c>
      <c r="O451" s="6">
        <f>IF(OR($BJ451="",14&gt;設定!$B$3),"",IF(INDEX(原始資料!Q$2:Q$501,$BJ451)="","",INDEX(原始資料!Q$2:Q$501,$BJ451)))</f>
        <v/>
      </c>
      <c r="P451" s="6">
        <f>IF(OR($BJ451="",15&gt;設定!$B$3),"",IF(INDEX(原始資料!R$2:R$501,$BJ451)="","",INDEX(原始資料!R$2:R$501,$BJ451)))</f>
        <v/>
      </c>
      <c r="Q451" s="6">
        <f>IF(OR($BJ451="",16&gt;設定!$B$3),"",IF(INDEX(原始資料!S$2:S$501,$BJ451)="","",INDEX(原始資料!S$2:S$501,$BJ451)))</f>
        <v/>
      </c>
      <c r="R451" s="6">
        <f>IF(OR($BJ451="",17&gt;設定!$B$3),"",IF(INDEX(原始資料!T$2:T$501,$BJ451)="","",INDEX(原始資料!T$2:T$501,$BJ451)))</f>
        <v/>
      </c>
      <c r="S451" s="6">
        <f>IF(OR($BJ451="",18&gt;設定!$B$3),"",IF(INDEX(原始資料!U$2:U$501,$BJ451)="","",INDEX(原始資料!U$2:U$501,$BJ451)))</f>
        <v/>
      </c>
      <c r="T451" s="6">
        <f>IF(OR($BJ451="",19&gt;設定!$B$3),"",IF(INDEX(原始資料!V$2:V$501,$BJ451)="","",INDEX(原始資料!V$2:V$501,$BJ451)))</f>
        <v/>
      </c>
      <c r="U451" s="6">
        <f>IF(OR($BJ451="",20&gt;設定!$B$3),"",IF(INDEX(原始資料!W$2:W$501,$BJ451)="","",INDEX(原始資料!W$2:W$501,$BJ451)))</f>
        <v/>
      </c>
      <c r="V451" s="6">
        <f>IF(OR($BJ451="",21&gt;設定!$B$3),"",IF(INDEX(原始資料!X$2:X$501,$BJ451)="","",INDEX(原始資料!X$2:X$501,$BJ451)))</f>
        <v/>
      </c>
      <c r="W451" s="6">
        <f>IF(OR($BJ451="",22&gt;設定!$B$3),"",IF(INDEX(原始資料!Y$2:Y$501,$BJ451)="","",INDEX(原始資料!Y$2:Y$501,$BJ451)))</f>
        <v/>
      </c>
      <c r="X451" s="6">
        <f>IF(OR($BJ451="",23&gt;設定!$B$3),"",IF(INDEX(原始資料!Z$2:Z$501,$BJ451)="","",INDEX(原始資料!Z$2:Z$501,$BJ451)))</f>
        <v/>
      </c>
      <c r="Y451" s="6">
        <f>IF(OR($BJ451="",24&gt;設定!$B$3),"",IF(INDEX(原始資料!AA$2:AA$501,$BJ451)="","",INDEX(原始資料!AA$2:AA$501,$BJ451)))</f>
        <v/>
      </c>
      <c r="Z451" s="6">
        <f>IF(OR($BJ451="",25&gt;設定!$B$3),"",IF(INDEX(原始資料!AB$2:AB$501,$BJ451)="","",INDEX(原始資料!AB$2:AB$501,$BJ451)))</f>
        <v/>
      </c>
      <c r="AA451" s="6">
        <f>IF(OR($BJ451="",26&gt;設定!$B$3),"",IF(INDEX(原始資料!AC$2:AC$501,$BJ451)="","",INDEX(原始資料!AC$2:AC$501,$BJ451)))</f>
        <v/>
      </c>
      <c r="AB451" s="6">
        <f>IF(OR($BJ451="",27&gt;設定!$B$3),"",IF(INDEX(原始資料!AD$2:AD$501,$BJ451)="","",INDEX(原始資料!AD$2:AD$501,$BJ451)))</f>
        <v/>
      </c>
      <c r="AC451" s="6">
        <f>IF(OR($BJ451="",28&gt;設定!$B$3),"",IF(INDEX(原始資料!AE$2:AE$501,$BJ451)="","",INDEX(原始資料!AE$2:AE$501,$BJ451)))</f>
        <v/>
      </c>
      <c r="AD451" s="6">
        <f>IF(OR($BJ451="",29&gt;設定!$B$3),"",IF(INDEX(原始資料!AF$2:AF$501,$BJ451)="","",INDEX(原始資料!AF$2:AF$501,$BJ451)))</f>
        <v/>
      </c>
      <c r="AE451" s="6">
        <f>IF(OR($BJ451="",30&gt;設定!$B$3),"",IF(INDEX(原始資料!AG$2:AG$501,$BJ451)="","",INDEX(原始資料!AG$2:AG$501,$BJ451)))</f>
        <v/>
      </c>
      <c r="AF451" s="6">
        <f>IF(OR($BJ451="",31&gt;設定!$B$3),"",IF(INDEX(原始資料!AH$2:AH$501,$BJ451)="","",INDEX(原始資料!AH$2:AH$501,$BJ451)))</f>
        <v/>
      </c>
      <c r="AG451" s="6">
        <f>IF(OR($BJ451="",32&gt;設定!$B$3),"",IF(INDEX(原始資料!AI$2:AI$501,$BJ451)="","",INDEX(原始資料!AI$2:AI$501,$BJ451)))</f>
        <v/>
      </c>
      <c r="AH451" s="6">
        <f>IF(OR($BJ451="",33&gt;設定!$B$3),"",IF(INDEX(原始資料!AJ$2:AJ$501,$BJ451)="","",INDEX(原始資料!AJ$2:AJ$501,$BJ451)))</f>
        <v/>
      </c>
      <c r="AI451" s="6">
        <f>IF(OR($BJ451="",34&gt;設定!$B$3),"",IF(INDEX(原始資料!AK$2:AK$501,$BJ451)="","",INDEX(原始資料!AK$2:AK$501,$BJ451)))</f>
        <v/>
      </c>
      <c r="AJ451" s="6">
        <f>IF(OR($BJ451="",35&gt;設定!$B$3),"",IF(INDEX(原始資料!AL$2:AL$501,$BJ451)="","",INDEX(原始資料!AL$2:AL$501,$BJ451)))</f>
        <v/>
      </c>
      <c r="AK451" s="6">
        <f>IF(OR($BJ451="",36&gt;設定!$B$3),"",IF(INDEX(原始資料!AM$2:AM$501,$BJ451)="","",INDEX(原始資料!AM$2:AM$501,$BJ451)))</f>
        <v/>
      </c>
      <c r="AL451" s="6">
        <f>IF(OR($BJ451="",37&gt;設定!$B$3),"",IF(INDEX(原始資料!AN$2:AN$501,$BJ451)="","",INDEX(原始資料!AN$2:AN$501,$BJ451)))</f>
        <v/>
      </c>
      <c r="AM451" s="6">
        <f>IF(OR($BJ451="",38&gt;設定!$B$3),"",IF(INDEX(原始資料!AO$2:AO$501,$BJ451)="","",INDEX(原始資料!AO$2:AO$501,$BJ451)))</f>
        <v/>
      </c>
      <c r="AN451" s="6">
        <f>IF(OR($BJ451="",39&gt;設定!$B$3),"",IF(INDEX(原始資料!AP$2:AP$501,$BJ451)="","",INDEX(原始資料!AP$2:AP$501,$BJ451)))</f>
        <v/>
      </c>
      <c r="AO451" s="6">
        <f>IF(OR($BJ451="",40&gt;設定!$B$3),"",IF(INDEX(原始資料!AQ$2:AQ$501,$BJ451)="","",INDEX(原始資料!AQ$2:AQ$501,$BJ451)))</f>
        <v/>
      </c>
      <c r="AP451" s="6">
        <f>IF(OR($BJ451="",41&gt;設定!$B$3),"",IF(INDEX(原始資料!AR$2:AR$501,$BJ451)="","",INDEX(原始資料!AR$2:AR$501,$BJ451)))</f>
        <v/>
      </c>
      <c r="AQ451" s="6">
        <f>IF(OR($BJ451="",42&gt;設定!$B$3),"",IF(INDEX(原始資料!AS$2:AS$501,$BJ451)="","",INDEX(原始資料!AS$2:AS$501,$BJ451)))</f>
        <v/>
      </c>
      <c r="AR451" s="6">
        <f>IF(OR($BJ451="",43&gt;設定!$B$3),"",IF(INDEX(原始資料!AT$2:AT$501,$BJ451)="","",INDEX(原始資料!AT$2:AT$501,$BJ451)))</f>
        <v/>
      </c>
      <c r="AS451" s="6">
        <f>IF(OR($BJ451="",44&gt;設定!$B$3),"",IF(INDEX(原始資料!AU$2:AU$501,$BJ451)="","",INDEX(原始資料!AU$2:AU$501,$BJ451)))</f>
        <v/>
      </c>
      <c r="AT451" s="6">
        <f>IF(OR($BJ451="",45&gt;設定!$B$3),"",IF(INDEX(原始資料!AV$2:AV$501,$BJ451)="","",INDEX(原始資料!AV$2:AV$501,$BJ451)))</f>
        <v/>
      </c>
      <c r="AU451" s="6">
        <f>IF(OR($BJ451="",46&gt;設定!$B$3),"",IF(INDEX(原始資料!AW$2:AW$501,$BJ451)="","",INDEX(原始資料!AW$2:AW$501,$BJ451)))</f>
        <v/>
      </c>
      <c r="AV451" s="6">
        <f>IF(OR($BJ451="",47&gt;設定!$B$3),"",IF(INDEX(原始資料!AX$2:AX$501,$BJ451)="","",INDEX(原始資料!AX$2:AX$501,$BJ451)))</f>
        <v/>
      </c>
      <c r="AW451" s="6">
        <f>IF(OR($BJ451="",48&gt;設定!$B$3),"",IF(INDEX(原始資料!AY$2:AY$501,$BJ451)="","",INDEX(原始資料!AY$2:AY$501,$BJ451)))</f>
        <v/>
      </c>
      <c r="AX451" s="6">
        <f>IF(OR($BJ451="",49&gt;設定!$B$3),"",IF(INDEX(原始資料!AZ$2:AZ$501,$BJ451)="","",INDEX(原始資料!AZ$2:AZ$501,$BJ451)))</f>
        <v/>
      </c>
      <c r="AY451" s="6">
        <f>IF(OR($BJ451="",50&gt;設定!$B$3),"",IF(INDEX(原始資料!BA$2:BA$501,$BJ451)="","",INDEX(原始資料!BA$2:BA$501,$BJ451)))</f>
        <v/>
      </c>
      <c r="AZ451" s="6">
        <f>IF(OR($BJ451="",51&gt;設定!$B$3),"",IF(INDEX(原始資料!BB$2:BB$501,$BJ451)="","",INDEX(原始資料!BB$2:BB$501,$BJ451)))</f>
        <v/>
      </c>
      <c r="BA451" s="6">
        <f>IF(OR($BJ451="",52&gt;設定!$B$3),"",IF(INDEX(原始資料!BC$2:BC$501,$BJ451)="","",INDEX(原始資料!BC$2:BC$501,$BJ451)))</f>
        <v/>
      </c>
      <c r="BB451" s="6">
        <f>IF(OR($BJ451="",53&gt;設定!$B$3),"",IF(INDEX(原始資料!BD$2:BD$501,$BJ451)="","",INDEX(原始資料!BD$2:BD$501,$BJ451)))</f>
        <v/>
      </c>
      <c r="BC451" s="6">
        <f>IF(OR($BJ451="",54&gt;設定!$B$3),"",IF(INDEX(原始資料!BE$2:BE$501,$BJ451)="","",INDEX(原始資料!BE$2:BE$501,$BJ451)))</f>
        <v/>
      </c>
      <c r="BD451" s="6">
        <f>IF(OR($BJ451="",55&gt;設定!$B$3),"",IF(INDEX(原始資料!BF$2:BF$501,$BJ451)="","",INDEX(原始資料!BF$2:BF$501,$BJ451)))</f>
        <v/>
      </c>
      <c r="BE451" s="6">
        <f>IF(OR($BJ451="",56&gt;設定!$B$3),"",IF(INDEX(原始資料!BG$2:BG$501,$BJ451)="","",INDEX(原始資料!BG$2:BG$501,$BJ451)))</f>
        <v/>
      </c>
      <c r="BF451" s="6">
        <f>IF(OR($BJ451="",57&gt;設定!$B$3),"",IF(INDEX(原始資料!BH$2:BH$501,$BJ451)="","",INDEX(原始資料!BH$2:BH$501,$BJ451)))</f>
        <v/>
      </c>
      <c r="BG451" s="6">
        <f>IF(OR($BJ451="",58&gt;設定!$B$3),"",IF(INDEX(原始資料!BI$2:BI$501,$BJ451)="","",INDEX(原始資料!BI$2:BI$501,$BJ451)))</f>
        <v/>
      </c>
      <c r="BH451" s="6">
        <f>IF(OR($BJ451="",59&gt;設定!$B$3),"",IF(INDEX(原始資料!BJ$2:BJ$501,$BJ451)="","",INDEX(原始資料!BJ$2:BJ$501,$BJ451)))</f>
        <v/>
      </c>
      <c r="BI451" s="6">
        <f>IF(OR($BJ451="",60&gt;設定!$B$3),"",IF(INDEX(原始資料!BK$2:BK$501,$BJ451)="","",INDEX(原始資料!BK$2:BK$501,$BJ451)))</f>
        <v/>
      </c>
      <c r="BJ451" s="6">
        <f>IFERROR(MATCH(ROW()-1,判定!$H$2:$H$501,0),"")</f>
        <v/>
      </c>
    </row>
    <row r="452">
      <c r="A452" s="6">
        <f>IF($BJ452="","",INDEX(原始資料!$A$2:$A$501,$BJ452))</f>
        <v/>
      </c>
      <c r="B452" s="6">
        <f>IF(OR($BJ452="",1&gt;設定!$B$3),"",IF(INDEX(原始資料!D$2:D$501,$BJ452)="","",INDEX(原始資料!D$2:D$501,$BJ452)))</f>
        <v/>
      </c>
      <c r="C452" s="6">
        <f>IF(OR($BJ452="",2&gt;設定!$B$3),"",IF(INDEX(原始資料!E$2:E$501,$BJ452)="","",INDEX(原始資料!E$2:E$501,$BJ452)))</f>
        <v/>
      </c>
      <c r="D452" s="6">
        <f>IF(OR($BJ452="",3&gt;設定!$B$3),"",IF(INDEX(原始資料!F$2:F$501,$BJ452)="","",INDEX(原始資料!F$2:F$501,$BJ452)))</f>
        <v/>
      </c>
      <c r="E452" s="6">
        <f>IF(OR($BJ452="",4&gt;設定!$B$3),"",IF(INDEX(原始資料!G$2:G$501,$BJ452)="","",INDEX(原始資料!G$2:G$501,$BJ452)))</f>
        <v/>
      </c>
      <c r="F452" s="6">
        <f>IF(OR($BJ452="",5&gt;設定!$B$3),"",IF(INDEX(原始資料!H$2:H$501,$BJ452)="","",INDEX(原始資料!H$2:H$501,$BJ452)))</f>
        <v/>
      </c>
      <c r="G452" s="6">
        <f>IF(OR($BJ452="",6&gt;設定!$B$3),"",IF(INDEX(原始資料!I$2:I$501,$BJ452)="","",INDEX(原始資料!I$2:I$501,$BJ452)))</f>
        <v/>
      </c>
      <c r="H452" s="6">
        <f>IF(OR($BJ452="",7&gt;設定!$B$3),"",IF(INDEX(原始資料!J$2:J$501,$BJ452)="","",INDEX(原始資料!J$2:J$501,$BJ452)))</f>
        <v/>
      </c>
      <c r="I452" s="6">
        <f>IF(OR($BJ452="",8&gt;設定!$B$3),"",IF(INDEX(原始資料!K$2:K$501,$BJ452)="","",INDEX(原始資料!K$2:K$501,$BJ452)))</f>
        <v/>
      </c>
      <c r="J452" s="6">
        <f>IF(OR($BJ452="",9&gt;設定!$B$3),"",IF(INDEX(原始資料!L$2:L$501,$BJ452)="","",INDEX(原始資料!L$2:L$501,$BJ452)))</f>
        <v/>
      </c>
      <c r="K452" s="6">
        <f>IF(OR($BJ452="",10&gt;設定!$B$3),"",IF(INDEX(原始資料!M$2:M$501,$BJ452)="","",INDEX(原始資料!M$2:M$501,$BJ452)))</f>
        <v/>
      </c>
      <c r="L452" s="6">
        <f>IF(OR($BJ452="",11&gt;設定!$B$3),"",IF(INDEX(原始資料!N$2:N$501,$BJ452)="","",INDEX(原始資料!N$2:N$501,$BJ452)))</f>
        <v/>
      </c>
      <c r="M452" s="6">
        <f>IF(OR($BJ452="",12&gt;設定!$B$3),"",IF(INDEX(原始資料!O$2:O$501,$BJ452)="","",INDEX(原始資料!O$2:O$501,$BJ452)))</f>
        <v/>
      </c>
      <c r="N452" s="6">
        <f>IF(OR($BJ452="",13&gt;設定!$B$3),"",IF(INDEX(原始資料!P$2:P$501,$BJ452)="","",INDEX(原始資料!P$2:P$501,$BJ452)))</f>
        <v/>
      </c>
      <c r="O452" s="6">
        <f>IF(OR($BJ452="",14&gt;設定!$B$3),"",IF(INDEX(原始資料!Q$2:Q$501,$BJ452)="","",INDEX(原始資料!Q$2:Q$501,$BJ452)))</f>
        <v/>
      </c>
      <c r="P452" s="6">
        <f>IF(OR($BJ452="",15&gt;設定!$B$3),"",IF(INDEX(原始資料!R$2:R$501,$BJ452)="","",INDEX(原始資料!R$2:R$501,$BJ452)))</f>
        <v/>
      </c>
      <c r="Q452" s="6">
        <f>IF(OR($BJ452="",16&gt;設定!$B$3),"",IF(INDEX(原始資料!S$2:S$501,$BJ452)="","",INDEX(原始資料!S$2:S$501,$BJ452)))</f>
        <v/>
      </c>
      <c r="R452" s="6">
        <f>IF(OR($BJ452="",17&gt;設定!$B$3),"",IF(INDEX(原始資料!T$2:T$501,$BJ452)="","",INDEX(原始資料!T$2:T$501,$BJ452)))</f>
        <v/>
      </c>
      <c r="S452" s="6">
        <f>IF(OR($BJ452="",18&gt;設定!$B$3),"",IF(INDEX(原始資料!U$2:U$501,$BJ452)="","",INDEX(原始資料!U$2:U$501,$BJ452)))</f>
        <v/>
      </c>
      <c r="T452" s="6">
        <f>IF(OR($BJ452="",19&gt;設定!$B$3),"",IF(INDEX(原始資料!V$2:V$501,$BJ452)="","",INDEX(原始資料!V$2:V$501,$BJ452)))</f>
        <v/>
      </c>
      <c r="U452" s="6">
        <f>IF(OR($BJ452="",20&gt;設定!$B$3),"",IF(INDEX(原始資料!W$2:W$501,$BJ452)="","",INDEX(原始資料!W$2:W$501,$BJ452)))</f>
        <v/>
      </c>
      <c r="V452" s="6">
        <f>IF(OR($BJ452="",21&gt;設定!$B$3),"",IF(INDEX(原始資料!X$2:X$501,$BJ452)="","",INDEX(原始資料!X$2:X$501,$BJ452)))</f>
        <v/>
      </c>
      <c r="W452" s="6">
        <f>IF(OR($BJ452="",22&gt;設定!$B$3),"",IF(INDEX(原始資料!Y$2:Y$501,$BJ452)="","",INDEX(原始資料!Y$2:Y$501,$BJ452)))</f>
        <v/>
      </c>
      <c r="X452" s="6">
        <f>IF(OR($BJ452="",23&gt;設定!$B$3),"",IF(INDEX(原始資料!Z$2:Z$501,$BJ452)="","",INDEX(原始資料!Z$2:Z$501,$BJ452)))</f>
        <v/>
      </c>
      <c r="Y452" s="6">
        <f>IF(OR($BJ452="",24&gt;設定!$B$3),"",IF(INDEX(原始資料!AA$2:AA$501,$BJ452)="","",INDEX(原始資料!AA$2:AA$501,$BJ452)))</f>
        <v/>
      </c>
      <c r="Z452" s="6">
        <f>IF(OR($BJ452="",25&gt;設定!$B$3),"",IF(INDEX(原始資料!AB$2:AB$501,$BJ452)="","",INDEX(原始資料!AB$2:AB$501,$BJ452)))</f>
        <v/>
      </c>
      <c r="AA452" s="6">
        <f>IF(OR($BJ452="",26&gt;設定!$B$3),"",IF(INDEX(原始資料!AC$2:AC$501,$BJ452)="","",INDEX(原始資料!AC$2:AC$501,$BJ452)))</f>
        <v/>
      </c>
      <c r="AB452" s="6">
        <f>IF(OR($BJ452="",27&gt;設定!$B$3),"",IF(INDEX(原始資料!AD$2:AD$501,$BJ452)="","",INDEX(原始資料!AD$2:AD$501,$BJ452)))</f>
        <v/>
      </c>
      <c r="AC452" s="6">
        <f>IF(OR($BJ452="",28&gt;設定!$B$3),"",IF(INDEX(原始資料!AE$2:AE$501,$BJ452)="","",INDEX(原始資料!AE$2:AE$501,$BJ452)))</f>
        <v/>
      </c>
      <c r="AD452" s="6">
        <f>IF(OR($BJ452="",29&gt;設定!$B$3),"",IF(INDEX(原始資料!AF$2:AF$501,$BJ452)="","",INDEX(原始資料!AF$2:AF$501,$BJ452)))</f>
        <v/>
      </c>
      <c r="AE452" s="6">
        <f>IF(OR($BJ452="",30&gt;設定!$B$3),"",IF(INDEX(原始資料!AG$2:AG$501,$BJ452)="","",INDEX(原始資料!AG$2:AG$501,$BJ452)))</f>
        <v/>
      </c>
      <c r="AF452" s="6">
        <f>IF(OR($BJ452="",31&gt;設定!$B$3),"",IF(INDEX(原始資料!AH$2:AH$501,$BJ452)="","",INDEX(原始資料!AH$2:AH$501,$BJ452)))</f>
        <v/>
      </c>
      <c r="AG452" s="6">
        <f>IF(OR($BJ452="",32&gt;設定!$B$3),"",IF(INDEX(原始資料!AI$2:AI$501,$BJ452)="","",INDEX(原始資料!AI$2:AI$501,$BJ452)))</f>
        <v/>
      </c>
      <c r="AH452" s="6">
        <f>IF(OR($BJ452="",33&gt;設定!$B$3),"",IF(INDEX(原始資料!AJ$2:AJ$501,$BJ452)="","",INDEX(原始資料!AJ$2:AJ$501,$BJ452)))</f>
        <v/>
      </c>
      <c r="AI452" s="6">
        <f>IF(OR($BJ452="",34&gt;設定!$B$3),"",IF(INDEX(原始資料!AK$2:AK$501,$BJ452)="","",INDEX(原始資料!AK$2:AK$501,$BJ452)))</f>
        <v/>
      </c>
      <c r="AJ452" s="6">
        <f>IF(OR($BJ452="",35&gt;設定!$B$3),"",IF(INDEX(原始資料!AL$2:AL$501,$BJ452)="","",INDEX(原始資料!AL$2:AL$501,$BJ452)))</f>
        <v/>
      </c>
      <c r="AK452" s="6">
        <f>IF(OR($BJ452="",36&gt;設定!$B$3),"",IF(INDEX(原始資料!AM$2:AM$501,$BJ452)="","",INDEX(原始資料!AM$2:AM$501,$BJ452)))</f>
        <v/>
      </c>
      <c r="AL452" s="6">
        <f>IF(OR($BJ452="",37&gt;設定!$B$3),"",IF(INDEX(原始資料!AN$2:AN$501,$BJ452)="","",INDEX(原始資料!AN$2:AN$501,$BJ452)))</f>
        <v/>
      </c>
      <c r="AM452" s="6">
        <f>IF(OR($BJ452="",38&gt;設定!$B$3),"",IF(INDEX(原始資料!AO$2:AO$501,$BJ452)="","",INDEX(原始資料!AO$2:AO$501,$BJ452)))</f>
        <v/>
      </c>
      <c r="AN452" s="6">
        <f>IF(OR($BJ452="",39&gt;設定!$B$3),"",IF(INDEX(原始資料!AP$2:AP$501,$BJ452)="","",INDEX(原始資料!AP$2:AP$501,$BJ452)))</f>
        <v/>
      </c>
      <c r="AO452" s="6">
        <f>IF(OR($BJ452="",40&gt;設定!$B$3),"",IF(INDEX(原始資料!AQ$2:AQ$501,$BJ452)="","",INDEX(原始資料!AQ$2:AQ$501,$BJ452)))</f>
        <v/>
      </c>
      <c r="AP452" s="6">
        <f>IF(OR($BJ452="",41&gt;設定!$B$3),"",IF(INDEX(原始資料!AR$2:AR$501,$BJ452)="","",INDEX(原始資料!AR$2:AR$501,$BJ452)))</f>
        <v/>
      </c>
      <c r="AQ452" s="6">
        <f>IF(OR($BJ452="",42&gt;設定!$B$3),"",IF(INDEX(原始資料!AS$2:AS$501,$BJ452)="","",INDEX(原始資料!AS$2:AS$501,$BJ452)))</f>
        <v/>
      </c>
      <c r="AR452" s="6">
        <f>IF(OR($BJ452="",43&gt;設定!$B$3),"",IF(INDEX(原始資料!AT$2:AT$501,$BJ452)="","",INDEX(原始資料!AT$2:AT$501,$BJ452)))</f>
        <v/>
      </c>
      <c r="AS452" s="6">
        <f>IF(OR($BJ452="",44&gt;設定!$B$3),"",IF(INDEX(原始資料!AU$2:AU$501,$BJ452)="","",INDEX(原始資料!AU$2:AU$501,$BJ452)))</f>
        <v/>
      </c>
      <c r="AT452" s="6">
        <f>IF(OR($BJ452="",45&gt;設定!$B$3),"",IF(INDEX(原始資料!AV$2:AV$501,$BJ452)="","",INDEX(原始資料!AV$2:AV$501,$BJ452)))</f>
        <v/>
      </c>
      <c r="AU452" s="6">
        <f>IF(OR($BJ452="",46&gt;設定!$B$3),"",IF(INDEX(原始資料!AW$2:AW$501,$BJ452)="","",INDEX(原始資料!AW$2:AW$501,$BJ452)))</f>
        <v/>
      </c>
      <c r="AV452" s="6">
        <f>IF(OR($BJ452="",47&gt;設定!$B$3),"",IF(INDEX(原始資料!AX$2:AX$501,$BJ452)="","",INDEX(原始資料!AX$2:AX$501,$BJ452)))</f>
        <v/>
      </c>
      <c r="AW452" s="6">
        <f>IF(OR($BJ452="",48&gt;設定!$B$3),"",IF(INDEX(原始資料!AY$2:AY$501,$BJ452)="","",INDEX(原始資料!AY$2:AY$501,$BJ452)))</f>
        <v/>
      </c>
      <c r="AX452" s="6">
        <f>IF(OR($BJ452="",49&gt;設定!$B$3),"",IF(INDEX(原始資料!AZ$2:AZ$501,$BJ452)="","",INDEX(原始資料!AZ$2:AZ$501,$BJ452)))</f>
        <v/>
      </c>
      <c r="AY452" s="6">
        <f>IF(OR($BJ452="",50&gt;設定!$B$3),"",IF(INDEX(原始資料!BA$2:BA$501,$BJ452)="","",INDEX(原始資料!BA$2:BA$501,$BJ452)))</f>
        <v/>
      </c>
      <c r="AZ452" s="6">
        <f>IF(OR($BJ452="",51&gt;設定!$B$3),"",IF(INDEX(原始資料!BB$2:BB$501,$BJ452)="","",INDEX(原始資料!BB$2:BB$501,$BJ452)))</f>
        <v/>
      </c>
      <c r="BA452" s="6">
        <f>IF(OR($BJ452="",52&gt;設定!$B$3),"",IF(INDEX(原始資料!BC$2:BC$501,$BJ452)="","",INDEX(原始資料!BC$2:BC$501,$BJ452)))</f>
        <v/>
      </c>
      <c r="BB452" s="6">
        <f>IF(OR($BJ452="",53&gt;設定!$B$3),"",IF(INDEX(原始資料!BD$2:BD$501,$BJ452)="","",INDEX(原始資料!BD$2:BD$501,$BJ452)))</f>
        <v/>
      </c>
      <c r="BC452" s="6">
        <f>IF(OR($BJ452="",54&gt;設定!$B$3),"",IF(INDEX(原始資料!BE$2:BE$501,$BJ452)="","",INDEX(原始資料!BE$2:BE$501,$BJ452)))</f>
        <v/>
      </c>
      <c r="BD452" s="6">
        <f>IF(OR($BJ452="",55&gt;設定!$B$3),"",IF(INDEX(原始資料!BF$2:BF$501,$BJ452)="","",INDEX(原始資料!BF$2:BF$501,$BJ452)))</f>
        <v/>
      </c>
      <c r="BE452" s="6">
        <f>IF(OR($BJ452="",56&gt;設定!$B$3),"",IF(INDEX(原始資料!BG$2:BG$501,$BJ452)="","",INDEX(原始資料!BG$2:BG$501,$BJ452)))</f>
        <v/>
      </c>
      <c r="BF452" s="6">
        <f>IF(OR($BJ452="",57&gt;設定!$B$3),"",IF(INDEX(原始資料!BH$2:BH$501,$BJ452)="","",INDEX(原始資料!BH$2:BH$501,$BJ452)))</f>
        <v/>
      </c>
      <c r="BG452" s="6">
        <f>IF(OR($BJ452="",58&gt;設定!$B$3),"",IF(INDEX(原始資料!BI$2:BI$501,$BJ452)="","",INDEX(原始資料!BI$2:BI$501,$BJ452)))</f>
        <v/>
      </c>
      <c r="BH452" s="6">
        <f>IF(OR($BJ452="",59&gt;設定!$B$3),"",IF(INDEX(原始資料!BJ$2:BJ$501,$BJ452)="","",INDEX(原始資料!BJ$2:BJ$501,$BJ452)))</f>
        <v/>
      </c>
      <c r="BI452" s="6">
        <f>IF(OR($BJ452="",60&gt;設定!$B$3),"",IF(INDEX(原始資料!BK$2:BK$501,$BJ452)="","",INDEX(原始資料!BK$2:BK$501,$BJ452)))</f>
        <v/>
      </c>
      <c r="BJ452" s="6">
        <f>IFERROR(MATCH(ROW()-1,判定!$H$2:$H$501,0),"")</f>
        <v/>
      </c>
    </row>
    <row r="453">
      <c r="A453" s="6">
        <f>IF($BJ453="","",INDEX(原始資料!$A$2:$A$501,$BJ453))</f>
        <v/>
      </c>
      <c r="B453" s="6">
        <f>IF(OR($BJ453="",1&gt;設定!$B$3),"",IF(INDEX(原始資料!D$2:D$501,$BJ453)="","",INDEX(原始資料!D$2:D$501,$BJ453)))</f>
        <v/>
      </c>
      <c r="C453" s="6">
        <f>IF(OR($BJ453="",2&gt;設定!$B$3),"",IF(INDEX(原始資料!E$2:E$501,$BJ453)="","",INDEX(原始資料!E$2:E$501,$BJ453)))</f>
        <v/>
      </c>
      <c r="D453" s="6">
        <f>IF(OR($BJ453="",3&gt;設定!$B$3),"",IF(INDEX(原始資料!F$2:F$501,$BJ453)="","",INDEX(原始資料!F$2:F$501,$BJ453)))</f>
        <v/>
      </c>
      <c r="E453" s="6">
        <f>IF(OR($BJ453="",4&gt;設定!$B$3),"",IF(INDEX(原始資料!G$2:G$501,$BJ453)="","",INDEX(原始資料!G$2:G$501,$BJ453)))</f>
        <v/>
      </c>
      <c r="F453" s="6">
        <f>IF(OR($BJ453="",5&gt;設定!$B$3),"",IF(INDEX(原始資料!H$2:H$501,$BJ453)="","",INDEX(原始資料!H$2:H$501,$BJ453)))</f>
        <v/>
      </c>
      <c r="G453" s="6">
        <f>IF(OR($BJ453="",6&gt;設定!$B$3),"",IF(INDEX(原始資料!I$2:I$501,$BJ453)="","",INDEX(原始資料!I$2:I$501,$BJ453)))</f>
        <v/>
      </c>
      <c r="H453" s="6">
        <f>IF(OR($BJ453="",7&gt;設定!$B$3),"",IF(INDEX(原始資料!J$2:J$501,$BJ453)="","",INDEX(原始資料!J$2:J$501,$BJ453)))</f>
        <v/>
      </c>
      <c r="I453" s="6">
        <f>IF(OR($BJ453="",8&gt;設定!$B$3),"",IF(INDEX(原始資料!K$2:K$501,$BJ453)="","",INDEX(原始資料!K$2:K$501,$BJ453)))</f>
        <v/>
      </c>
      <c r="J453" s="6">
        <f>IF(OR($BJ453="",9&gt;設定!$B$3),"",IF(INDEX(原始資料!L$2:L$501,$BJ453)="","",INDEX(原始資料!L$2:L$501,$BJ453)))</f>
        <v/>
      </c>
      <c r="K453" s="6">
        <f>IF(OR($BJ453="",10&gt;設定!$B$3),"",IF(INDEX(原始資料!M$2:M$501,$BJ453)="","",INDEX(原始資料!M$2:M$501,$BJ453)))</f>
        <v/>
      </c>
      <c r="L453" s="6">
        <f>IF(OR($BJ453="",11&gt;設定!$B$3),"",IF(INDEX(原始資料!N$2:N$501,$BJ453)="","",INDEX(原始資料!N$2:N$501,$BJ453)))</f>
        <v/>
      </c>
      <c r="M453" s="6">
        <f>IF(OR($BJ453="",12&gt;設定!$B$3),"",IF(INDEX(原始資料!O$2:O$501,$BJ453)="","",INDEX(原始資料!O$2:O$501,$BJ453)))</f>
        <v/>
      </c>
      <c r="N453" s="6">
        <f>IF(OR($BJ453="",13&gt;設定!$B$3),"",IF(INDEX(原始資料!P$2:P$501,$BJ453)="","",INDEX(原始資料!P$2:P$501,$BJ453)))</f>
        <v/>
      </c>
      <c r="O453" s="6">
        <f>IF(OR($BJ453="",14&gt;設定!$B$3),"",IF(INDEX(原始資料!Q$2:Q$501,$BJ453)="","",INDEX(原始資料!Q$2:Q$501,$BJ453)))</f>
        <v/>
      </c>
      <c r="P453" s="6">
        <f>IF(OR($BJ453="",15&gt;設定!$B$3),"",IF(INDEX(原始資料!R$2:R$501,$BJ453)="","",INDEX(原始資料!R$2:R$501,$BJ453)))</f>
        <v/>
      </c>
      <c r="Q453" s="6">
        <f>IF(OR($BJ453="",16&gt;設定!$B$3),"",IF(INDEX(原始資料!S$2:S$501,$BJ453)="","",INDEX(原始資料!S$2:S$501,$BJ453)))</f>
        <v/>
      </c>
      <c r="R453" s="6">
        <f>IF(OR($BJ453="",17&gt;設定!$B$3),"",IF(INDEX(原始資料!T$2:T$501,$BJ453)="","",INDEX(原始資料!T$2:T$501,$BJ453)))</f>
        <v/>
      </c>
      <c r="S453" s="6">
        <f>IF(OR($BJ453="",18&gt;設定!$B$3),"",IF(INDEX(原始資料!U$2:U$501,$BJ453)="","",INDEX(原始資料!U$2:U$501,$BJ453)))</f>
        <v/>
      </c>
      <c r="T453" s="6">
        <f>IF(OR($BJ453="",19&gt;設定!$B$3),"",IF(INDEX(原始資料!V$2:V$501,$BJ453)="","",INDEX(原始資料!V$2:V$501,$BJ453)))</f>
        <v/>
      </c>
      <c r="U453" s="6">
        <f>IF(OR($BJ453="",20&gt;設定!$B$3),"",IF(INDEX(原始資料!W$2:W$501,$BJ453)="","",INDEX(原始資料!W$2:W$501,$BJ453)))</f>
        <v/>
      </c>
      <c r="V453" s="6">
        <f>IF(OR($BJ453="",21&gt;設定!$B$3),"",IF(INDEX(原始資料!X$2:X$501,$BJ453)="","",INDEX(原始資料!X$2:X$501,$BJ453)))</f>
        <v/>
      </c>
      <c r="W453" s="6">
        <f>IF(OR($BJ453="",22&gt;設定!$B$3),"",IF(INDEX(原始資料!Y$2:Y$501,$BJ453)="","",INDEX(原始資料!Y$2:Y$501,$BJ453)))</f>
        <v/>
      </c>
      <c r="X453" s="6">
        <f>IF(OR($BJ453="",23&gt;設定!$B$3),"",IF(INDEX(原始資料!Z$2:Z$501,$BJ453)="","",INDEX(原始資料!Z$2:Z$501,$BJ453)))</f>
        <v/>
      </c>
      <c r="Y453" s="6">
        <f>IF(OR($BJ453="",24&gt;設定!$B$3),"",IF(INDEX(原始資料!AA$2:AA$501,$BJ453)="","",INDEX(原始資料!AA$2:AA$501,$BJ453)))</f>
        <v/>
      </c>
      <c r="Z453" s="6">
        <f>IF(OR($BJ453="",25&gt;設定!$B$3),"",IF(INDEX(原始資料!AB$2:AB$501,$BJ453)="","",INDEX(原始資料!AB$2:AB$501,$BJ453)))</f>
        <v/>
      </c>
      <c r="AA453" s="6">
        <f>IF(OR($BJ453="",26&gt;設定!$B$3),"",IF(INDEX(原始資料!AC$2:AC$501,$BJ453)="","",INDEX(原始資料!AC$2:AC$501,$BJ453)))</f>
        <v/>
      </c>
      <c r="AB453" s="6">
        <f>IF(OR($BJ453="",27&gt;設定!$B$3),"",IF(INDEX(原始資料!AD$2:AD$501,$BJ453)="","",INDEX(原始資料!AD$2:AD$501,$BJ453)))</f>
        <v/>
      </c>
      <c r="AC453" s="6">
        <f>IF(OR($BJ453="",28&gt;設定!$B$3),"",IF(INDEX(原始資料!AE$2:AE$501,$BJ453)="","",INDEX(原始資料!AE$2:AE$501,$BJ453)))</f>
        <v/>
      </c>
      <c r="AD453" s="6">
        <f>IF(OR($BJ453="",29&gt;設定!$B$3),"",IF(INDEX(原始資料!AF$2:AF$501,$BJ453)="","",INDEX(原始資料!AF$2:AF$501,$BJ453)))</f>
        <v/>
      </c>
      <c r="AE453" s="6">
        <f>IF(OR($BJ453="",30&gt;設定!$B$3),"",IF(INDEX(原始資料!AG$2:AG$501,$BJ453)="","",INDEX(原始資料!AG$2:AG$501,$BJ453)))</f>
        <v/>
      </c>
      <c r="AF453" s="6">
        <f>IF(OR($BJ453="",31&gt;設定!$B$3),"",IF(INDEX(原始資料!AH$2:AH$501,$BJ453)="","",INDEX(原始資料!AH$2:AH$501,$BJ453)))</f>
        <v/>
      </c>
      <c r="AG453" s="6">
        <f>IF(OR($BJ453="",32&gt;設定!$B$3),"",IF(INDEX(原始資料!AI$2:AI$501,$BJ453)="","",INDEX(原始資料!AI$2:AI$501,$BJ453)))</f>
        <v/>
      </c>
      <c r="AH453" s="6">
        <f>IF(OR($BJ453="",33&gt;設定!$B$3),"",IF(INDEX(原始資料!AJ$2:AJ$501,$BJ453)="","",INDEX(原始資料!AJ$2:AJ$501,$BJ453)))</f>
        <v/>
      </c>
      <c r="AI453" s="6">
        <f>IF(OR($BJ453="",34&gt;設定!$B$3),"",IF(INDEX(原始資料!AK$2:AK$501,$BJ453)="","",INDEX(原始資料!AK$2:AK$501,$BJ453)))</f>
        <v/>
      </c>
      <c r="AJ453" s="6">
        <f>IF(OR($BJ453="",35&gt;設定!$B$3),"",IF(INDEX(原始資料!AL$2:AL$501,$BJ453)="","",INDEX(原始資料!AL$2:AL$501,$BJ453)))</f>
        <v/>
      </c>
      <c r="AK453" s="6">
        <f>IF(OR($BJ453="",36&gt;設定!$B$3),"",IF(INDEX(原始資料!AM$2:AM$501,$BJ453)="","",INDEX(原始資料!AM$2:AM$501,$BJ453)))</f>
        <v/>
      </c>
      <c r="AL453" s="6">
        <f>IF(OR($BJ453="",37&gt;設定!$B$3),"",IF(INDEX(原始資料!AN$2:AN$501,$BJ453)="","",INDEX(原始資料!AN$2:AN$501,$BJ453)))</f>
        <v/>
      </c>
      <c r="AM453" s="6">
        <f>IF(OR($BJ453="",38&gt;設定!$B$3),"",IF(INDEX(原始資料!AO$2:AO$501,$BJ453)="","",INDEX(原始資料!AO$2:AO$501,$BJ453)))</f>
        <v/>
      </c>
      <c r="AN453" s="6">
        <f>IF(OR($BJ453="",39&gt;設定!$B$3),"",IF(INDEX(原始資料!AP$2:AP$501,$BJ453)="","",INDEX(原始資料!AP$2:AP$501,$BJ453)))</f>
        <v/>
      </c>
      <c r="AO453" s="6">
        <f>IF(OR($BJ453="",40&gt;設定!$B$3),"",IF(INDEX(原始資料!AQ$2:AQ$501,$BJ453)="","",INDEX(原始資料!AQ$2:AQ$501,$BJ453)))</f>
        <v/>
      </c>
      <c r="AP453" s="6">
        <f>IF(OR($BJ453="",41&gt;設定!$B$3),"",IF(INDEX(原始資料!AR$2:AR$501,$BJ453)="","",INDEX(原始資料!AR$2:AR$501,$BJ453)))</f>
        <v/>
      </c>
      <c r="AQ453" s="6">
        <f>IF(OR($BJ453="",42&gt;設定!$B$3),"",IF(INDEX(原始資料!AS$2:AS$501,$BJ453)="","",INDEX(原始資料!AS$2:AS$501,$BJ453)))</f>
        <v/>
      </c>
      <c r="AR453" s="6">
        <f>IF(OR($BJ453="",43&gt;設定!$B$3),"",IF(INDEX(原始資料!AT$2:AT$501,$BJ453)="","",INDEX(原始資料!AT$2:AT$501,$BJ453)))</f>
        <v/>
      </c>
      <c r="AS453" s="6">
        <f>IF(OR($BJ453="",44&gt;設定!$B$3),"",IF(INDEX(原始資料!AU$2:AU$501,$BJ453)="","",INDEX(原始資料!AU$2:AU$501,$BJ453)))</f>
        <v/>
      </c>
      <c r="AT453" s="6">
        <f>IF(OR($BJ453="",45&gt;設定!$B$3),"",IF(INDEX(原始資料!AV$2:AV$501,$BJ453)="","",INDEX(原始資料!AV$2:AV$501,$BJ453)))</f>
        <v/>
      </c>
      <c r="AU453" s="6">
        <f>IF(OR($BJ453="",46&gt;設定!$B$3),"",IF(INDEX(原始資料!AW$2:AW$501,$BJ453)="","",INDEX(原始資料!AW$2:AW$501,$BJ453)))</f>
        <v/>
      </c>
      <c r="AV453" s="6">
        <f>IF(OR($BJ453="",47&gt;設定!$B$3),"",IF(INDEX(原始資料!AX$2:AX$501,$BJ453)="","",INDEX(原始資料!AX$2:AX$501,$BJ453)))</f>
        <v/>
      </c>
      <c r="AW453" s="6">
        <f>IF(OR($BJ453="",48&gt;設定!$B$3),"",IF(INDEX(原始資料!AY$2:AY$501,$BJ453)="","",INDEX(原始資料!AY$2:AY$501,$BJ453)))</f>
        <v/>
      </c>
      <c r="AX453" s="6">
        <f>IF(OR($BJ453="",49&gt;設定!$B$3),"",IF(INDEX(原始資料!AZ$2:AZ$501,$BJ453)="","",INDEX(原始資料!AZ$2:AZ$501,$BJ453)))</f>
        <v/>
      </c>
      <c r="AY453" s="6">
        <f>IF(OR($BJ453="",50&gt;設定!$B$3),"",IF(INDEX(原始資料!BA$2:BA$501,$BJ453)="","",INDEX(原始資料!BA$2:BA$501,$BJ453)))</f>
        <v/>
      </c>
      <c r="AZ453" s="6">
        <f>IF(OR($BJ453="",51&gt;設定!$B$3),"",IF(INDEX(原始資料!BB$2:BB$501,$BJ453)="","",INDEX(原始資料!BB$2:BB$501,$BJ453)))</f>
        <v/>
      </c>
      <c r="BA453" s="6">
        <f>IF(OR($BJ453="",52&gt;設定!$B$3),"",IF(INDEX(原始資料!BC$2:BC$501,$BJ453)="","",INDEX(原始資料!BC$2:BC$501,$BJ453)))</f>
        <v/>
      </c>
      <c r="BB453" s="6">
        <f>IF(OR($BJ453="",53&gt;設定!$B$3),"",IF(INDEX(原始資料!BD$2:BD$501,$BJ453)="","",INDEX(原始資料!BD$2:BD$501,$BJ453)))</f>
        <v/>
      </c>
      <c r="BC453" s="6">
        <f>IF(OR($BJ453="",54&gt;設定!$B$3),"",IF(INDEX(原始資料!BE$2:BE$501,$BJ453)="","",INDEX(原始資料!BE$2:BE$501,$BJ453)))</f>
        <v/>
      </c>
      <c r="BD453" s="6">
        <f>IF(OR($BJ453="",55&gt;設定!$B$3),"",IF(INDEX(原始資料!BF$2:BF$501,$BJ453)="","",INDEX(原始資料!BF$2:BF$501,$BJ453)))</f>
        <v/>
      </c>
      <c r="BE453" s="6">
        <f>IF(OR($BJ453="",56&gt;設定!$B$3),"",IF(INDEX(原始資料!BG$2:BG$501,$BJ453)="","",INDEX(原始資料!BG$2:BG$501,$BJ453)))</f>
        <v/>
      </c>
      <c r="BF453" s="6">
        <f>IF(OR($BJ453="",57&gt;設定!$B$3),"",IF(INDEX(原始資料!BH$2:BH$501,$BJ453)="","",INDEX(原始資料!BH$2:BH$501,$BJ453)))</f>
        <v/>
      </c>
      <c r="BG453" s="6">
        <f>IF(OR($BJ453="",58&gt;設定!$B$3),"",IF(INDEX(原始資料!BI$2:BI$501,$BJ453)="","",INDEX(原始資料!BI$2:BI$501,$BJ453)))</f>
        <v/>
      </c>
      <c r="BH453" s="6">
        <f>IF(OR($BJ453="",59&gt;設定!$B$3),"",IF(INDEX(原始資料!BJ$2:BJ$501,$BJ453)="","",INDEX(原始資料!BJ$2:BJ$501,$BJ453)))</f>
        <v/>
      </c>
      <c r="BI453" s="6">
        <f>IF(OR($BJ453="",60&gt;設定!$B$3),"",IF(INDEX(原始資料!BK$2:BK$501,$BJ453)="","",INDEX(原始資料!BK$2:BK$501,$BJ453)))</f>
        <v/>
      </c>
      <c r="BJ453" s="6">
        <f>IFERROR(MATCH(ROW()-1,判定!$H$2:$H$501,0),"")</f>
        <v/>
      </c>
    </row>
    <row r="454">
      <c r="A454" s="6">
        <f>IF($BJ454="","",INDEX(原始資料!$A$2:$A$501,$BJ454))</f>
        <v/>
      </c>
      <c r="B454" s="6">
        <f>IF(OR($BJ454="",1&gt;設定!$B$3),"",IF(INDEX(原始資料!D$2:D$501,$BJ454)="","",INDEX(原始資料!D$2:D$501,$BJ454)))</f>
        <v/>
      </c>
      <c r="C454" s="6">
        <f>IF(OR($BJ454="",2&gt;設定!$B$3),"",IF(INDEX(原始資料!E$2:E$501,$BJ454)="","",INDEX(原始資料!E$2:E$501,$BJ454)))</f>
        <v/>
      </c>
      <c r="D454" s="6">
        <f>IF(OR($BJ454="",3&gt;設定!$B$3),"",IF(INDEX(原始資料!F$2:F$501,$BJ454)="","",INDEX(原始資料!F$2:F$501,$BJ454)))</f>
        <v/>
      </c>
      <c r="E454" s="6">
        <f>IF(OR($BJ454="",4&gt;設定!$B$3),"",IF(INDEX(原始資料!G$2:G$501,$BJ454)="","",INDEX(原始資料!G$2:G$501,$BJ454)))</f>
        <v/>
      </c>
      <c r="F454" s="6">
        <f>IF(OR($BJ454="",5&gt;設定!$B$3),"",IF(INDEX(原始資料!H$2:H$501,$BJ454)="","",INDEX(原始資料!H$2:H$501,$BJ454)))</f>
        <v/>
      </c>
      <c r="G454" s="6">
        <f>IF(OR($BJ454="",6&gt;設定!$B$3),"",IF(INDEX(原始資料!I$2:I$501,$BJ454)="","",INDEX(原始資料!I$2:I$501,$BJ454)))</f>
        <v/>
      </c>
      <c r="H454" s="6">
        <f>IF(OR($BJ454="",7&gt;設定!$B$3),"",IF(INDEX(原始資料!J$2:J$501,$BJ454)="","",INDEX(原始資料!J$2:J$501,$BJ454)))</f>
        <v/>
      </c>
      <c r="I454" s="6">
        <f>IF(OR($BJ454="",8&gt;設定!$B$3),"",IF(INDEX(原始資料!K$2:K$501,$BJ454)="","",INDEX(原始資料!K$2:K$501,$BJ454)))</f>
        <v/>
      </c>
      <c r="J454" s="6">
        <f>IF(OR($BJ454="",9&gt;設定!$B$3),"",IF(INDEX(原始資料!L$2:L$501,$BJ454)="","",INDEX(原始資料!L$2:L$501,$BJ454)))</f>
        <v/>
      </c>
      <c r="K454" s="6">
        <f>IF(OR($BJ454="",10&gt;設定!$B$3),"",IF(INDEX(原始資料!M$2:M$501,$BJ454)="","",INDEX(原始資料!M$2:M$501,$BJ454)))</f>
        <v/>
      </c>
      <c r="L454" s="6">
        <f>IF(OR($BJ454="",11&gt;設定!$B$3),"",IF(INDEX(原始資料!N$2:N$501,$BJ454)="","",INDEX(原始資料!N$2:N$501,$BJ454)))</f>
        <v/>
      </c>
      <c r="M454" s="6">
        <f>IF(OR($BJ454="",12&gt;設定!$B$3),"",IF(INDEX(原始資料!O$2:O$501,$BJ454)="","",INDEX(原始資料!O$2:O$501,$BJ454)))</f>
        <v/>
      </c>
      <c r="N454" s="6">
        <f>IF(OR($BJ454="",13&gt;設定!$B$3),"",IF(INDEX(原始資料!P$2:P$501,$BJ454)="","",INDEX(原始資料!P$2:P$501,$BJ454)))</f>
        <v/>
      </c>
      <c r="O454" s="6">
        <f>IF(OR($BJ454="",14&gt;設定!$B$3),"",IF(INDEX(原始資料!Q$2:Q$501,$BJ454)="","",INDEX(原始資料!Q$2:Q$501,$BJ454)))</f>
        <v/>
      </c>
      <c r="P454" s="6">
        <f>IF(OR($BJ454="",15&gt;設定!$B$3),"",IF(INDEX(原始資料!R$2:R$501,$BJ454)="","",INDEX(原始資料!R$2:R$501,$BJ454)))</f>
        <v/>
      </c>
      <c r="Q454" s="6">
        <f>IF(OR($BJ454="",16&gt;設定!$B$3),"",IF(INDEX(原始資料!S$2:S$501,$BJ454)="","",INDEX(原始資料!S$2:S$501,$BJ454)))</f>
        <v/>
      </c>
      <c r="R454" s="6">
        <f>IF(OR($BJ454="",17&gt;設定!$B$3),"",IF(INDEX(原始資料!T$2:T$501,$BJ454)="","",INDEX(原始資料!T$2:T$501,$BJ454)))</f>
        <v/>
      </c>
      <c r="S454" s="6">
        <f>IF(OR($BJ454="",18&gt;設定!$B$3),"",IF(INDEX(原始資料!U$2:U$501,$BJ454)="","",INDEX(原始資料!U$2:U$501,$BJ454)))</f>
        <v/>
      </c>
      <c r="T454" s="6">
        <f>IF(OR($BJ454="",19&gt;設定!$B$3),"",IF(INDEX(原始資料!V$2:V$501,$BJ454)="","",INDEX(原始資料!V$2:V$501,$BJ454)))</f>
        <v/>
      </c>
      <c r="U454" s="6">
        <f>IF(OR($BJ454="",20&gt;設定!$B$3),"",IF(INDEX(原始資料!W$2:W$501,$BJ454)="","",INDEX(原始資料!W$2:W$501,$BJ454)))</f>
        <v/>
      </c>
      <c r="V454" s="6">
        <f>IF(OR($BJ454="",21&gt;設定!$B$3),"",IF(INDEX(原始資料!X$2:X$501,$BJ454)="","",INDEX(原始資料!X$2:X$501,$BJ454)))</f>
        <v/>
      </c>
      <c r="W454" s="6">
        <f>IF(OR($BJ454="",22&gt;設定!$B$3),"",IF(INDEX(原始資料!Y$2:Y$501,$BJ454)="","",INDEX(原始資料!Y$2:Y$501,$BJ454)))</f>
        <v/>
      </c>
      <c r="X454" s="6">
        <f>IF(OR($BJ454="",23&gt;設定!$B$3),"",IF(INDEX(原始資料!Z$2:Z$501,$BJ454)="","",INDEX(原始資料!Z$2:Z$501,$BJ454)))</f>
        <v/>
      </c>
      <c r="Y454" s="6">
        <f>IF(OR($BJ454="",24&gt;設定!$B$3),"",IF(INDEX(原始資料!AA$2:AA$501,$BJ454)="","",INDEX(原始資料!AA$2:AA$501,$BJ454)))</f>
        <v/>
      </c>
      <c r="Z454" s="6">
        <f>IF(OR($BJ454="",25&gt;設定!$B$3),"",IF(INDEX(原始資料!AB$2:AB$501,$BJ454)="","",INDEX(原始資料!AB$2:AB$501,$BJ454)))</f>
        <v/>
      </c>
      <c r="AA454" s="6">
        <f>IF(OR($BJ454="",26&gt;設定!$B$3),"",IF(INDEX(原始資料!AC$2:AC$501,$BJ454)="","",INDEX(原始資料!AC$2:AC$501,$BJ454)))</f>
        <v/>
      </c>
      <c r="AB454" s="6">
        <f>IF(OR($BJ454="",27&gt;設定!$B$3),"",IF(INDEX(原始資料!AD$2:AD$501,$BJ454)="","",INDEX(原始資料!AD$2:AD$501,$BJ454)))</f>
        <v/>
      </c>
      <c r="AC454" s="6">
        <f>IF(OR($BJ454="",28&gt;設定!$B$3),"",IF(INDEX(原始資料!AE$2:AE$501,$BJ454)="","",INDEX(原始資料!AE$2:AE$501,$BJ454)))</f>
        <v/>
      </c>
      <c r="AD454" s="6">
        <f>IF(OR($BJ454="",29&gt;設定!$B$3),"",IF(INDEX(原始資料!AF$2:AF$501,$BJ454)="","",INDEX(原始資料!AF$2:AF$501,$BJ454)))</f>
        <v/>
      </c>
      <c r="AE454" s="6">
        <f>IF(OR($BJ454="",30&gt;設定!$B$3),"",IF(INDEX(原始資料!AG$2:AG$501,$BJ454)="","",INDEX(原始資料!AG$2:AG$501,$BJ454)))</f>
        <v/>
      </c>
      <c r="AF454" s="6">
        <f>IF(OR($BJ454="",31&gt;設定!$B$3),"",IF(INDEX(原始資料!AH$2:AH$501,$BJ454)="","",INDEX(原始資料!AH$2:AH$501,$BJ454)))</f>
        <v/>
      </c>
      <c r="AG454" s="6">
        <f>IF(OR($BJ454="",32&gt;設定!$B$3),"",IF(INDEX(原始資料!AI$2:AI$501,$BJ454)="","",INDEX(原始資料!AI$2:AI$501,$BJ454)))</f>
        <v/>
      </c>
      <c r="AH454" s="6">
        <f>IF(OR($BJ454="",33&gt;設定!$B$3),"",IF(INDEX(原始資料!AJ$2:AJ$501,$BJ454)="","",INDEX(原始資料!AJ$2:AJ$501,$BJ454)))</f>
        <v/>
      </c>
      <c r="AI454" s="6">
        <f>IF(OR($BJ454="",34&gt;設定!$B$3),"",IF(INDEX(原始資料!AK$2:AK$501,$BJ454)="","",INDEX(原始資料!AK$2:AK$501,$BJ454)))</f>
        <v/>
      </c>
      <c r="AJ454" s="6">
        <f>IF(OR($BJ454="",35&gt;設定!$B$3),"",IF(INDEX(原始資料!AL$2:AL$501,$BJ454)="","",INDEX(原始資料!AL$2:AL$501,$BJ454)))</f>
        <v/>
      </c>
      <c r="AK454" s="6">
        <f>IF(OR($BJ454="",36&gt;設定!$B$3),"",IF(INDEX(原始資料!AM$2:AM$501,$BJ454)="","",INDEX(原始資料!AM$2:AM$501,$BJ454)))</f>
        <v/>
      </c>
      <c r="AL454" s="6">
        <f>IF(OR($BJ454="",37&gt;設定!$B$3),"",IF(INDEX(原始資料!AN$2:AN$501,$BJ454)="","",INDEX(原始資料!AN$2:AN$501,$BJ454)))</f>
        <v/>
      </c>
      <c r="AM454" s="6">
        <f>IF(OR($BJ454="",38&gt;設定!$B$3),"",IF(INDEX(原始資料!AO$2:AO$501,$BJ454)="","",INDEX(原始資料!AO$2:AO$501,$BJ454)))</f>
        <v/>
      </c>
      <c r="AN454" s="6">
        <f>IF(OR($BJ454="",39&gt;設定!$B$3),"",IF(INDEX(原始資料!AP$2:AP$501,$BJ454)="","",INDEX(原始資料!AP$2:AP$501,$BJ454)))</f>
        <v/>
      </c>
      <c r="AO454" s="6">
        <f>IF(OR($BJ454="",40&gt;設定!$B$3),"",IF(INDEX(原始資料!AQ$2:AQ$501,$BJ454)="","",INDEX(原始資料!AQ$2:AQ$501,$BJ454)))</f>
        <v/>
      </c>
      <c r="AP454" s="6">
        <f>IF(OR($BJ454="",41&gt;設定!$B$3),"",IF(INDEX(原始資料!AR$2:AR$501,$BJ454)="","",INDEX(原始資料!AR$2:AR$501,$BJ454)))</f>
        <v/>
      </c>
      <c r="AQ454" s="6">
        <f>IF(OR($BJ454="",42&gt;設定!$B$3),"",IF(INDEX(原始資料!AS$2:AS$501,$BJ454)="","",INDEX(原始資料!AS$2:AS$501,$BJ454)))</f>
        <v/>
      </c>
      <c r="AR454" s="6">
        <f>IF(OR($BJ454="",43&gt;設定!$B$3),"",IF(INDEX(原始資料!AT$2:AT$501,$BJ454)="","",INDEX(原始資料!AT$2:AT$501,$BJ454)))</f>
        <v/>
      </c>
      <c r="AS454" s="6">
        <f>IF(OR($BJ454="",44&gt;設定!$B$3),"",IF(INDEX(原始資料!AU$2:AU$501,$BJ454)="","",INDEX(原始資料!AU$2:AU$501,$BJ454)))</f>
        <v/>
      </c>
      <c r="AT454" s="6">
        <f>IF(OR($BJ454="",45&gt;設定!$B$3),"",IF(INDEX(原始資料!AV$2:AV$501,$BJ454)="","",INDEX(原始資料!AV$2:AV$501,$BJ454)))</f>
        <v/>
      </c>
      <c r="AU454" s="6">
        <f>IF(OR($BJ454="",46&gt;設定!$B$3),"",IF(INDEX(原始資料!AW$2:AW$501,$BJ454)="","",INDEX(原始資料!AW$2:AW$501,$BJ454)))</f>
        <v/>
      </c>
      <c r="AV454" s="6">
        <f>IF(OR($BJ454="",47&gt;設定!$B$3),"",IF(INDEX(原始資料!AX$2:AX$501,$BJ454)="","",INDEX(原始資料!AX$2:AX$501,$BJ454)))</f>
        <v/>
      </c>
      <c r="AW454" s="6">
        <f>IF(OR($BJ454="",48&gt;設定!$B$3),"",IF(INDEX(原始資料!AY$2:AY$501,$BJ454)="","",INDEX(原始資料!AY$2:AY$501,$BJ454)))</f>
        <v/>
      </c>
      <c r="AX454" s="6">
        <f>IF(OR($BJ454="",49&gt;設定!$B$3),"",IF(INDEX(原始資料!AZ$2:AZ$501,$BJ454)="","",INDEX(原始資料!AZ$2:AZ$501,$BJ454)))</f>
        <v/>
      </c>
      <c r="AY454" s="6">
        <f>IF(OR($BJ454="",50&gt;設定!$B$3),"",IF(INDEX(原始資料!BA$2:BA$501,$BJ454)="","",INDEX(原始資料!BA$2:BA$501,$BJ454)))</f>
        <v/>
      </c>
      <c r="AZ454" s="6">
        <f>IF(OR($BJ454="",51&gt;設定!$B$3),"",IF(INDEX(原始資料!BB$2:BB$501,$BJ454)="","",INDEX(原始資料!BB$2:BB$501,$BJ454)))</f>
        <v/>
      </c>
      <c r="BA454" s="6">
        <f>IF(OR($BJ454="",52&gt;設定!$B$3),"",IF(INDEX(原始資料!BC$2:BC$501,$BJ454)="","",INDEX(原始資料!BC$2:BC$501,$BJ454)))</f>
        <v/>
      </c>
      <c r="BB454" s="6">
        <f>IF(OR($BJ454="",53&gt;設定!$B$3),"",IF(INDEX(原始資料!BD$2:BD$501,$BJ454)="","",INDEX(原始資料!BD$2:BD$501,$BJ454)))</f>
        <v/>
      </c>
      <c r="BC454" s="6">
        <f>IF(OR($BJ454="",54&gt;設定!$B$3),"",IF(INDEX(原始資料!BE$2:BE$501,$BJ454)="","",INDEX(原始資料!BE$2:BE$501,$BJ454)))</f>
        <v/>
      </c>
      <c r="BD454" s="6">
        <f>IF(OR($BJ454="",55&gt;設定!$B$3),"",IF(INDEX(原始資料!BF$2:BF$501,$BJ454)="","",INDEX(原始資料!BF$2:BF$501,$BJ454)))</f>
        <v/>
      </c>
      <c r="BE454" s="6">
        <f>IF(OR($BJ454="",56&gt;設定!$B$3),"",IF(INDEX(原始資料!BG$2:BG$501,$BJ454)="","",INDEX(原始資料!BG$2:BG$501,$BJ454)))</f>
        <v/>
      </c>
      <c r="BF454" s="6">
        <f>IF(OR($BJ454="",57&gt;設定!$B$3),"",IF(INDEX(原始資料!BH$2:BH$501,$BJ454)="","",INDEX(原始資料!BH$2:BH$501,$BJ454)))</f>
        <v/>
      </c>
      <c r="BG454" s="6">
        <f>IF(OR($BJ454="",58&gt;設定!$B$3),"",IF(INDEX(原始資料!BI$2:BI$501,$BJ454)="","",INDEX(原始資料!BI$2:BI$501,$BJ454)))</f>
        <v/>
      </c>
      <c r="BH454" s="6">
        <f>IF(OR($BJ454="",59&gt;設定!$B$3),"",IF(INDEX(原始資料!BJ$2:BJ$501,$BJ454)="","",INDEX(原始資料!BJ$2:BJ$501,$BJ454)))</f>
        <v/>
      </c>
      <c r="BI454" s="6">
        <f>IF(OR($BJ454="",60&gt;設定!$B$3),"",IF(INDEX(原始資料!BK$2:BK$501,$BJ454)="","",INDEX(原始資料!BK$2:BK$501,$BJ454)))</f>
        <v/>
      </c>
      <c r="BJ454" s="6">
        <f>IFERROR(MATCH(ROW()-1,判定!$H$2:$H$501,0),"")</f>
        <v/>
      </c>
    </row>
    <row r="455">
      <c r="A455" s="6">
        <f>IF($BJ455="","",INDEX(原始資料!$A$2:$A$501,$BJ455))</f>
        <v/>
      </c>
      <c r="B455" s="6">
        <f>IF(OR($BJ455="",1&gt;設定!$B$3),"",IF(INDEX(原始資料!D$2:D$501,$BJ455)="","",INDEX(原始資料!D$2:D$501,$BJ455)))</f>
        <v/>
      </c>
      <c r="C455" s="6">
        <f>IF(OR($BJ455="",2&gt;設定!$B$3),"",IF(INDEX(原始資料!E$2:E$501,$BJ455)="","",INDEX(原始資料!E$2:E$501,$BJ455)))</f>
        <v/>
      </c>
      <c r="D455" s="6">
        <f>IF(OR($BJ455="",3&gt;設定!$B$3),"",IF(INDEX(原始資料!F$2:F$501,$BJ455)="","",INDEX(原始資料!F$2:F$501,$BJ455)))</f>
        <v/>
      </c>
      <c r="E455" s="6">
        <f>IF(OR($BJ455="",4&gt;設定!$B$3),"",IF(INDEX(原始資料!G$2:G$501,$BJ455)="","",INDEX(原始資料!G$2:G$501,$BJ455)))</f>
        <v/>
      </c>
      <c r="F455" s="6">
        <f>IF(OR($BJ455="",5&gt;設定!$B$3),"",IF(INDEX(原始資料!H$2:H$501,$BJ455)="","",INDEX(原始資料!H$2:H$501,$BJ455)))</f>
        <v/>
      </c>
      <c r="G455" s="6">
        <f>IF(OR($BJ455="",6&gt;設定!$B$3),"",IF(INDEX(原始資料!I$2:I$501,$BJ455)="","",INDEX(原始資料!I$2:I$501,$BJ455)))</f>
        <v/>
      </c>
      <c r="H455" s="6">
        <f>IF(OR($BJ455="",7&gt;設定!$B$3),"",IF(INDEX(原始資料!J$2:J$501,$BJ455)="","",INDEX(原始資料!J$2:J$501,$BJ455)))</f>
        <v/>
      </c>
      <c r="I455" s="6">
        <f>IF(OR($BJ455="",8&gt;設定!$B$3),"",IF(INDEX(原始資料!K$2:K$501,$BJ455)="","",INDEX(原始資料!K$2:K$501,$BJ455)))</f>
        <v/>
      </c>
      <c r="J455" s="6">
        <f>IF(OR($BJ455="",9&gt;設定!$B$3),"",IF(INDEX(原始資料!L$2:L$501,$BJ455)="","",INDEX(原始資料!L$2:L$501,$BJ455)))</f>
        <v/>
      </c>
      <c r="K455" s="6">
        <f>IF(OR($BJ455="",10&gt;設定!$B$3),"",IF(INDEX(原始資料!M$2:M$501,$BJ455)="","",INDEX(原始資料!M$2:M$501,$BJ455)))</f>
        <v/>
      </c>
      <c r="L455" s="6">
        <f>IF(OR($BJ455="",11&gt;設定!$B$3),"",IF(INDEX(原始資料!N$2:N$501,$BJ455)="","",INDEX(原始資料!N$2:N$501,$BJ455)))</f>
        <v/>
      </c>
      <c r="M455" s="6">
        <f>IF(OR($BJ455="",12&gt;設定!$B$3),"",IF(INDEX(原始資料!O$2:O$501,$BJ455)="","",INDEX(原始資料!O$2:O$501,$BJ455)))</f>
        <v/>
      </c>
      <c r="N455" s="6">
        <f>IF(OR($BJ455="",13&gt;設定!$B$3),"",IF(INDEX(原始資料!P$2:P$501,$BJ455)="","",INDEX(原始資料!P$2:P$501,$BJ455)))</f>
        <v/>
      </c>
      <c r="O455" s="6">
        <f>IF(OR($BJ455="",14&gt;設定!$B$3),"",IF(INDEX(原始資料!Q$2:Q$501,$BJ455)="","",INDEX(原始資料!Q$2:Q$501,$BJ455)))</f>
        <v/>
      </c>
      <c r="P455" s="6">
        <f>IF(OR($BJ455="",15&gt;設定!$B$3),"",IF(INDEX(原始資料!R$2:R$501,$BJ455)="","",INDEX(原始資料!R$2:R$501,$BJ455)))</f>
        <v/>
      </c>
      <c r="Q455" s="6">
        <f>IF(OR($BJ455="",16&gt;設定!$B$3),"",IF(INDEX(原始資料!S$2:S$501,$BJ455)="","",INDEX(原始資料!S$2:S$501,$BJ455)))</f>
        <v/>
      </c>
      <c r="R455" s="6">
        <f>IF(OR($BJ455="",17&gt;設定!$B$3),"",IF(INDEX(原始資料!T$2:T$501,$BJ455)="","",INDEX(原始資料!T$2:T$501,$BJ455)))</f>
        <v/>
      </c>
      <c r="S455" s="6">
        <f>IF(OR($BJ455="",18&gt;設定!$B$3),"",IF(INDEX(原始資料!U$2:U$501,$BJ455)="","",INDEX(原始資料!U$2:U$501,$BJ455)))</f>
        <v/>
      </c>
      <c r="T455" s="6">
        <f>IF(OR($BJ455="",19&gt;設定!$B$3),"",IF(INDEX(原始資料!V$2:V$501,$BJ455)="","",INDEX(原始資料!V$2:V$501,$BJ455)))</f>
        <v/>
      </c>
      <c r="U455" s="6">
        <f>IF(OR($BJ455="",20&gt;設定!$B$3),"",IF(INDEX(原始資料!W$2:W$501,$BJ455)="","",INDEX(原始資料!W$2:W$501,$BJ455)))</f>
        <v/>
      </c>
      <c r="V455" s="6">
        <f>IF(OR($BJ455="",21&gt;設定!$B$3),"",IF(INDEX(原始資料!X$2:X$501,$BJ455)="","",INDEX(原始資料!X$2:X$501,$BJ455)))</f>
        <v/>
      </c>
      <c r="W455" s="6">
        <f>IF(OR($BJ455="",22&gt;設定!$B$3),"",IF(INDEX(原始資料!Y$2:Y$501,$BJ455)="","",INDEX(原始資料!Y$2:Y$501,$BJ455)))</f>
        <v/>
      </c>
      <c r="X455" s="6">
        <f>IF(OR($BJ455="",23&gt;設定!$B$3),"",IF(INDEX(原始資料!Z$2:Z$501,$BJ455)="","",INDEX(原始資料!Z$2:Z$501,$BJ455)))</f>
        <v/>
      </c>
      <c r="Y455" s="6">
        <f>IF(OR($BJ455="",24&gt;設定!$B$3),"",IF(INDEX(原始資料!AA$2:AA$501,$BJ455)="","",INDEX(原始資料!AA$2:AA$501,$BJ455)))</f>
        <v/>
      </c>
      <c r="Z455" s="6">
        <f>IF(OR($BJ455="",25&gt;設定!$B$3),"",IF(INDEX(原始資料!AB$2:AB$501,$BJ455)="","",INDEX(原始資料!AB$2:AB$501,$BJ455)))</f>
        <v/>
      </c>
      <c r="AA455" s="6">
        <f>IF(OR($BJ455="",26&gt;設定!$B$3),"",IF(INDEX(原始資料!AC$2:AC$501,$BJ455)="","",INDEX(原始資料!AC$2:AC$501,$BJ455)))</f>
        <v/>
      </c>
      <c r="AB455" s="6">
        <f>IF(OR($BJ455="",27&gt;設定!$B$3),"",IF(INDEX(原始資料!AD$2:AD$501,$BJ455)="","",INDEX(原始資料!AD$2:AD$501,$BJ455)))</f>
        <v/>
      </c>
      <c r="AC455" s="6">
        <f>IF(OR($BJ455="",28&gt;設定!$B$3),"",IF(INDEX(原始資料!AE$2:AE$501,$BJ455)="","",INDEX(原始資料!AE$2:AE$501,$BJ455)))</f>
        <v/>
      </c>
      <c r="AD455" s="6">
        <f>IF(OR($BJ455="",29&gt;設定!$B$3),"",IF(INDEX(原始資料!AF$2:AF$501,$BJ455)="","",INDEX(原始資料!AF$2:AF$501,$BJ455)))</f>
        <v/>
      </c>
      <c r="AE455" s="6">
        <f>IF(OR($BJ455="",30&gt;設定!$B$3),"",IF(INDEX(原始資料!AG$2:AG$501,$BJ455)="","",INDEX(原始資料!AG$2:AG$501,$BJ455)))</f>
        <v/>
      </c>
      <c r="AF455" s="6">
        <f>IF(OR($BJ455="",31&gt;設定!$B$3),"",IF(INDEX(原始資料!AH$2:AH$501,$BJ455)="","",INDEX(原始資料!AH$2:AH$501,$BJ455)))</f>
        <v/>
      </c>
      <c r="AG455" s="6">
        <f>IF(OR($BJ455="",32&gt;設定!$B$3),"",IF(INDEX(原始資料!AI$2:AI$501,$BJ455)="","",INDEX(原始資料!AI$2:AI$501,$BJ455)))</f>
        <v/>
      </c>
      <c r="AH455" s="6">
        <f>IF(OR($BJ455="",33&gt;設定!$B$3),"",IF(INDEX(原始資料!AJ$2:AJ$501,$BJ455)="","",INDEX(原始資料!AJ$2:AJ$501,$BJ455)))</f>
        <v/>
      </c>
      <c r="AI455" s="6">
        <f>IF(OR($BJ455="",34&gt;設定!$B$3),"",IF(INDEX(原始資料!AK$2:AK$501,$BJ455)="","",INDEX(原始資料!AK$2:AK$501,$BJ455)))</f>
        <v/>
      </c>
      <c r="AJ455" s="6">
        <f>IF(OR($BJ455="",35&gt;設定!$B$3),"",IF(INDEX(原始資料!AL$2:AL$501,$BJ455)="","",INDEX(原始資料!AL$2:AL$501,$BJ455)))</f>
        <v/>
      </c>
      <c r="AK455" s="6">
        <f>IF(OR($BJ455="",36&gt;設定!$B$3),"",IF(INDEX(原始資料!AM$2:AM$501,$BJ455)="","",INDEX(原始資料!AM$2:AM$501,$BJ455)))</f>
        <v/>
      </c>
      <c r="AL455" s="6">
        <f>IF(OR($BJ455="",37&gt;設定!$B$3),"",IF(INDEX(原始資料!AN$2:AN$501,$BJ455)="","",INDEX(原始資料!AN$2:AN$501,$BJ455)))</f>
        <v/>
      </c>
      <c r="AM455" s="6">
        <f>IF(OR($BJ455="",38&gt;設定!$B$3),"",IF(INDEX(原始資料!AO$2:AO$501,$BJ455)="","",INDEX(原始資料!AO$2:AO$501,$BJ455)))</f>
        <v/>
      </c>
      <c r="AN455" s="6">
        <f>IF(OR($BJ455="",39&gt;設定!$B$3),"",IF(INDEX(原始資料!AP$2:AP$501,$BJ455)="","",INDEX(原始資料!AP$2:AP$501,$BJ455)))</f>
        <v/>
      </c>
      <c r="AO455" s="6">
        <f>IF(OR($BJ455="",40&gt;設定!$B$3),"",IF(INDEX(原始資料!AQ$2:AQ$501,$BJ455)="","",INDEX(原始資料!AQ$2:AQ$501,$BJ455)))</f>
        <v/>
      </c>
      <c r="AP455" s="6">
        <f>IF(OR($BJ455="",41&gt;設定!$B$3),"",IF(INDEX(原始資料!AR$2:AR$501,$BJ455)="","",INDEX(原始資料!AR$2:AR$501,$BJ455)))</f>
        <v/>
      </c>
      <c r="AQ455" s="6">
        <f>IF(OR($BJ455="",42&gt;設定!$B$3),"",IF(INDEX(原始資料!AS$2:AS$501,$BJ455)="","",INDEX(原始資料!AS$2:AS$501,$BJ455)))</f>
        <v/>
      </c>
      <c r="AR455" s="6">
        <f>IF(OR($BJ455="",43&gt;設定!$B$3),"",IF(INDEX(原始資料!AT$2:AT$501,$BJ455)="","",INDEX(原始資料!AT$2:AT$501,$BJ455)))</f>
        <v/>
      </c>
      <c r="AS455" s="6">
        <f>IF(OR($BJ455="",44&gt;設定!$B$3),"",IF(INDEX(原始資料!AU$2:AU$501,$BJ455)="","",INDEX(原始資料!AU$2:AU$501,$BJ455)))</f>
        <v/>
      </c>
      <c r="AT455" s="6">
        <f>IF(OR($BJ455="",45&gt;設定!$B$3),"",IF(INDEX(原始資料!AV$2:AV$501,$BJ455)="","",INDEX(原始資料!AV$2:AV$501,$BJ455)))</f>
        <v/>
      </c>
      <c r="AU455" s="6">
        <f>IF(OR($BJ455="",46&gt;設定!$B$3),"",IF(INDEX(原始資料!AW$2:AW$501,$BJ455)="","",INDEX(原始資料!AW$2:AW$501,$BJ455)))</f>
        <v/>
      </c>
      <c r="AV455" s="6">
        <f>IF(OR($BJ455="",47&gt;設定!$B$3),"",IF(INDEX(原始資料!AX$2:AX$501,$BJ455)="","",INDEX(原始資料!AX$2:AX$501,$BJ455)))</f>
        <v/>
      </c>
      <c r="AW455" s="6">
        <f>IF(OR($BJ455="",48&gt;設定!$B$3),"",IF(INDEX(原始資料!AY$2:AY$501,$BJ455)="","",INDEX(原始資料!AY$2:AY$501,$BJ455)))</f>
        <v/>
      </c>
      <c r="AX455" s="6">
        <f>IF(OR($BJ455="",49&gt;設定!$B$3),"",IF(INDEX(原始資料!AZ$2:AZ$501,$BJ455)="","",INDEX(原始資料!AZ$2:AZ$501,$BJ455)))</f>
        <v/>
      </c>
      <c r="AY455" s="6">
        <f>IF(OR($BJ455="",50&gt;設定!$B$3),"",IF(INDEX(原始資料!BA$2:BA$501,$BJ455)="","",INDEX(原始資料!BA$2:BA$501,$BJ455)))</f>
        <v/>
      </c>
      <c r="AZ455" s="6">
        <f>IF(OR($BJ455="",51&gt;設定!$B$3),"",IF(INDEX(原始資料!BB$2:BB$501,$BJ455)="","",INDEX(原始資料!BB$2:BB$501,$BJ455)))</f>
        <v/>
      </c>
      <c r="BA455" s="6">
        <f>IF(OR($BJ455="",52&gt;設定!$B$3),"",IF(INDEX(原始資料!BC$2:BC$501,$BJ455)="","",INDEX(原始資料!BC$2:BC$501,$BJ455)))</f>
        <v/>
      </c>
      <c r="BB455" s="6">
        <f>IF(OR($BJ455="",53&gt;設定!$B$3),"",IF(INDEX(原始資料!BD$2:BD$501,$BJ455)="","",INDEX(原始資料!BD$2:BD$501,$BJ455)))</f>
        <v/>
      </c>
      <c r="BC455" s="6">
        <f>IF(OR($BJ455="",54&gt;設定!$B$3),"",IF(INDEX(原始資料!BE$2:BE$501,$BJ455)="","",INDEX(原始資料!BE$2:BE$501,$BJ455)))</f>
        <v/>
      </c>
      <c r="BD455" s="6">
        <f>IF(OR($BJ455="",55&gt;設定!$B$3),"",IF(INDEX(原始資料!BF$2:BF$501,$BJ455)="","",INDEX(原始資料!BF$2:BF$501,$BJ455)))</f>
        <v/>
      </c>
      <c r="BE455" s="6">
        <f>IF(OR($BJ455="",56&gt;設定!$B$3),"",IF(INDEX(原始資料!BG$2:BG$501,$BJ455)="","",INDEX(原始資料!BG$2:BG$501,$BJ455)))</f>
        <v/>
      </c>
      <c r="BF455" s="6">
        <f>IF(OR($BJ455="",57&gt;設定!$B$3),"",IF(INDEX(原始資料!BH$2:BH$501,$BJ455)="","",INDEX(原始資料!BH$2:BH$501,$BJ455)))</f>
        <v/>
      </c>
      <c r="BG455" s="6">
        <f>IF(OR($BJ455="",58&gt;設定!$B$3),"",IF(INDEX(原始資料!BI$2:BI$501,$BJ455)="","",INDEX(原始資料!BI$2:BI$501,$BJ455)))</f>
        <v/>
      </c>
      <c r="BH455" s="6">
        <f>IF(OR($BJ455="",59&gt;設定!$B$3),"",IF(INDEX(原始資料!BJ$2:BJ$501,$BJ455)="","",INDEX(原始資料!BJ$2:BJ$501,$BJ455)))</f>
        <v/>
      </c>
      <c r="BI455" s="6">
        <f>IF(OR($BJ455="",60&gt;設定!$B$3),"",IF(INDEX(原始資料!BK$2:BK$501,$BJ455)="","",INDEX(原始資料!BK$2:BK$501,$BJ455)))</f>
        <v/>
      </c>
      <c r="BJ455" s="6">
        <f>IFERROR(MATCH(ROW()-1,判定!$H$2:$H$501,0),"")</f>
        <v/>
      </c>
    </row>
    <row r="456">
      <c r="A456" s="6">
        <f>IF($BJ456="","",INDEX(原始資料!$A$2:$A$501,$BJ456))</f>
        <v/>
      </c>
      <c r="B456" s="6">
        <f>IF(OR($BJ456="",1&gt;設定!$B$3),"",IF(INDEX(原始資料!D$2:D$501,$BJ456)="","",INDEX(原始資料!D$2:D$501,$BJ456)))</f>
        <v/>
      </c>
      <c r="C456" s="6">
        <f>IF(OR($BJ456="",2&gt;設定!$B$3),"",IF(INDEX(原始資料!E$2:E$501,$BJ456)="","",INDEX(原始資料!E$2:E$501,$BJ456)))</f>
        <v/>
      </c>
      <c r="D456" s="6">
        <f>IF(OR($BJ456="",3&gt;設定!$B$3),"",IF(INDEX(原始資料!F$2:F$501,$BJ456)="","",INDEX(原始資料!F$2:F$501,$BJ456)))</f>
        <v/>
      </c>
      <c r="E456" s="6">
        <f>IF(OR($BJ456="",4&gt;設定!$B$3),"",IF(INDEX(原始資料!G$2:G$501,$BJ456)="","",INDEX(原始資料!G$2:G$501,$BJ456)))</f>
        <v/>
      </c>
      <c r="F456" s="6">
        <f>IF(OR($BJ456="",5&gt;設定!$B$3),"",IF(INDEX(原始資料!H$2:H$501,$BJ456)="","",INDEX(原始資料!H$2:H$501,$BJ456)))</f>
        <v/>
      </c>
      <c r="G456" s="6">
        <f>IF(OR($BJ456="",6&gt;設定!$B$3),"",IF(INDEX(原始資料!I$2:I$501,$BJ456)="","",INDEX(原始資料!I$2:I$501,$BJ456)))</f>
        <v/>
      </c>
      <c r="H456" s="6">
        <f>IF(OR($BJ456="",7&gt;設定!$B$3),"",IF(INDEX(原始資料!J$2:J$501,$BJ456)="","",INDEX(原始資料!J$2:J$501,$BJ456)))</f>
        <v/>
      </c>
      <c r="I456" s="6">
        <f>IF(OR($BJ456="",8&gt;設定!$B$3),"",IF(INDEX(原始資料!K$2:K$501,$BJ456)="","",INDEX(原始資料!K$2:K$501,$BJ456)))</f>
        <v/>
      </c>
      <c r="J456" s="6">
        <f>IF(OR($BJ456="",9&gt;設定!$B$3),"",IF(INDEX(原始資料!L$2:L$501,$BJ456)="","",INDEX(原始資料!L$2:L$501,$BJ456)))</f>
        <v/>
      </c>
      <c r="K456" s="6">
        <f>IF(OR($BJ456="",10&gt;設定!$B$3),"",IF(INDEX(原始資料!M$2:M$501,$BJ456)="","",INDEX(原始資料!M$2:M$501,$BJ456)))</f>
        <v/>
      </c>
      <c r="L456" s="6">
        <f>IF(OR($BJ456="",11&gt;設定!$B$3),"",IF(INDEX(原始資料!N$2:N$501,$BJ456)="","",INDEX(原始資料!N$2:N$501,$BJ456)))</f>
        <v/>
      </c>
      <c r="M456" s="6">
        <f>IF(OR($BJ456="",12&gt;設定!$B$3),"",IF(INDEX(原始資料!O$2:O$501,$BJ456)="","",INDEX(原始資料!O$2:O$501,$BJ456)))</f>
        <v/>
      </c>
      <c r="N456" s="6">
        <f>IF(OR($BJ456="",13&gt;設定!$B$3),"",IF(INDEX(原始資料!P$2:P$501,$BJ456)="","",INDEX(原始資料!P$2:P$501,$BJ456)))</f>
        <v/>
      </c>
      <c r="O456" s="6">
        <f>IF(OR($BJ456="",14&gt;設定!$B$3),"",IF(INDEX(原始資料!Q$2:Q$501,$BJ456)="","",INDEX(原始資料!Q$2:Q$501,$BJ456)))</f>
        <v/>
      </c>
      <c r="P456" s="6">
        <f>IF(OR($BJ456="",15&gt;設定!$B$3),"",IF(INDEX(原始資料!R$2:R$501,$BJ456)="","",INDEX(原始資料!R$2:R$501,$BJ456)))</f>
        <v/>
      </c>
      <c r="Q456" s="6">
        <f>IF(OR($BJ456="",16&gt;設定!$B$3),"",IF(INDEX(原始資料!S$2:S$501,$BJ456)="","",INDEX(原始資料!S$2:S$501,$BJ456)))</f>
        <v/>
      </c>
      <c r="R456" s="6">
        <f>IF(OR($BJ456="",17&gt;設定!$B$3),"",IF(INDEX(原始資料!T$2:T$501,$BJ456)="","",INDEX(原始資料!T$2:T$501,$BJ456)))</f>
        <v/>
      </c>
      <c r="S456" s="6">
        <f>IF(OR($BJ456="",18&gt;設定!$B$3),"",IF(INDEX(原始資料!U$2:U$501,$BJ456)="","",INDEX(原始資料!U$2:U$501,$BJ456)))</f>
        <v/>
      </c>
      <c r="T456" s="6">
        <f>IF(OR($BJ456="",19&gt;設定!$B$3),"",IF(INDEX(原始資料!V$2:V$501,$BJ456)="","",INDEX(原始資料!V$2:V$501,$BJ456)))</f>
        <v/>
      </c>
      <c r="U456" s="6">
        <f>IF(OR($BJ456="",20&gt;設定!$B$3),"",IF(INDEX(原始資料!W$2:W$501,$BJ456)="","",INDEX(原始資料!W$2:W$501,$BJ456)))</f>
        <v/>
      </c>
      <c r="V456" s="6">
        <f>IF(OR($BJ456="",21&gt;設定!$B$3),"",IF(INDEX(原始資料!X$2:X$501,$BJ456)="","",INDEX(原始資料!X$2:X$501,$BJ456)))</f>
        <v/>
      </c>
      <c r="W456" s="6">
        <f>IF(OR($BJ456="",22&gt;設定!$B$3),"",IF(INDEX(原始資料!Y$2:Y$501,$BJ456)="","",INDEX(原始資料!Y$2:Y$501,$BJ456)))</f>
        <v/>
      </c>
      <c r="X456" s="6">
        <f>IF(OR($BJ456="",23&gt;設定!$B$3),"",IF(INDEX(原始資料!Z$2:Z$501,$BJ456)="","",INDEX(原始資料!Z$2:Z$501,$BJ456)))</f>
        <v/>
      </c>
      <c r="Y456" s="6">
        <f>IF(OR($BJ456="",24&gt;設定!$B$3),"",IF(INDEX(原始資料!AA$2:AA$501,$BJ456)="","",INDEX(原始資料!AA$2:AA$501,$BJ456)))</f>
        <v/>
      </c>
      <c r="Z456" s="6">
        <f>IF(OR($BJ456="",25&gt;設定!$B$3),"",IF(INDEX(原始資料!AB$2:AB$501,$BJ456)="","",INDEX(原始資料!AB$2:AB$501,$BJ456)))</f>
        <v/>
      </c>
      <c r="AA456" s="6">
        <f>IF(OR($BJ456="",26&gt;設定!$B$3),"",IF(INDEX(原始資料!AC$2:AC$501,$BJ456)="","",INDEX(原始資料!AC$2:AC$501,$BJ456)))</f>
        <v/>
      </c>
      <c r="AB456" s="6">
        <f>IF(OR($BJ456="",27&gt;設定!$B$3),"",IF(INDEX(原始資料!AD$2:AD$501,$BJ456)="","",INDEX(原始資料!AD$2:AD$501,$BJ456)))</f>
        <v/>
      </c>
      <c r="AC456" s="6">
        <f>IF(OR($BJ456="",28&gt;設定!$B$3),"",IF(INDEX(原始資料!AE$2:AE$501,$BJ456)="","",INDEX(原始資料!AE$2:AE$501,$BJ456)))</f>
        <v/>
      </c>
      <c r="AD456" s="6">
        <f>IF(OR($BJ456="",29&gt;設定!$B$3),"",IF(INDEX(原始資料!AF$2:AF$501,$BJ456)="","",INDEX(原始資料!AF$2:AF$501,$BJ456)))</f>
        <v/>
      </c>
      <c r="AE456" s="6">
        <f>IF(OR($BJ456="",30&gt;設定!$B$3),"",IF(INDEX(原始資料!AG$2:AG$501,$BJ456)="","",INDEX(原始資料!AG$2:AG$501,$BJ456)))</f>
        <v/>
      </c>
      <c r="AF456" s="6">
        <f>IF(OR($BJ456="",31&gt;設定!$B$3),"",IF(INDEX(原始資料!AH$2:AH$501,$BJ456)="","",INDEX(原始資料!AH$2:AH$501,$BJ456)))</f>
        <v/>
      </c>
      <c r="AG456" s="6">
        <f>IF(OR($BJ456="",32&gt;設定!$B$3),"",IF(INDEX(原始資料!AI$2:AI$501,$BJ456)="","",INDEX(原始資料!AI$2:AI$501,$BJ456)))</f>
        <v/>
      </c>
      <c r="AH456" s="6">
        <f>IF(OR($BJ456="",33&gt;設定!$B$3),"",IF(INDEX(原始資料!AJ$2:AJ$501,$BJ456)="","",INDEX(原始資料!AJ$2:AJ$501,$BJ456)))</f>
        <v/>
      </c>
      <c r="AI456" s="6">
        <f>IF(OR($BJ456="",34&gt;設定!$B$3),"",IF(INDEX(原始資料!AK$2:AK$501,$BJ456)="","",INDEX(原始資料!AK$2:AK$501,$BJ456)))</f>
        <v/>
      </c>
      <c r="AJ456" s="6">
        <f>IF(OR($BJ456="",35&gt;設定!$B$3),"",IF(INDEX(原始資料!AL$2:AL$501,$BJ456)="","",INDEX(原始資料!AL$2:AL$501,$BJ456)))</f>
        <v/>
      </c>
      <c r="AK456" s="6">
        <f>IF(OR($BJ456="",36&gt;設定!$B$3),"",IF(INDEX(原始資料!AM$2:AM$501,$BJ456)="","",INDEX(原始資料!AM$2:AM$501,$BJ456)))</f>
        <v/>
      </c>
      <c r="AL456" s="6">
        <f>IF(OR($BJ456="",37&gt;設定!$B$3),"",IF(INDEX(原始資料!AN$2:AN$501,$BJ456)="","",INDEX(原始資料!AN$2:AN$501,$BJ456)))</f>
        <v/>
      </c>
      <c r="AM456" s="6">
        <f>IF(OR($BJ456="",38&gt;設定!$B$3),"",IF(INDEX(原始資料!AO$2:AO$501,$BJ456)="","",INDEX(原始資料!AO$2:AO$501,$BJ456)))</f>
        <v/>
      </c>
      <c r="AN456" s="6">
        <f>IF(OR($BJ456="",39&gt;設定!$B$3),"",IF(INDEX(原始資料!AP$2:AP$501,$BJ456)="","",INDEX(原始資料!AP$2:AP$501,$BJ456)))</f>
        <v/>
      </c>
      <c r="AO456" s="6">
        <f>IF(OR($BJ456="",40&gt;設定!$B$3),"",IF(INDEX(原始資料!AQ$2:AQ$501,$BJ456)="","",INDEX(原始資料!AQ$2:AQ$501,$BJ456)))</f>
        <v/>
      </c>
      <c r="AP456" s="6">
        <f>IF(OR($BJ456="",41&gt;設定!$B$3),"",IF(INDEX(原始資料!AR$2:AR$501,$BJ456)="","",INDEX(原始資料!AR$2:AR$501,$BJ456)))</f>
        <v/>
      </c>
      <c r="AQ456" s="6">
        <f>IF(OR($BJ456="",42&gt;設定!$B$3),"",IF(INDEX(原始資料!AS$2:AS$501,$BJ456)="","",INDEX(原始資料!AS$2:AS$501,$BJ456)))</f>
        <v/>
      </c>
      <c r="AR456" s="6">
        <f>IF(OR($BJ456="",43&gt;設定!$B$3),"",IF(INDEX(原始資料!AT$2:AT$501,$BJ456)="","",INDEX(原始資料!AT$2:AT$501,$BJ456)))</f>
        <v/>
      </c>
      <c r="AS456" s="6">
        <f>IF(OR($BJ456="",44&gt;設定!$B$3),"",IF(INDEX(原始資料!AU$2:AU$501,$BJ456)="","",INDEX(原始資料!AU$2:AU$501,$BJ456)))</f>
        <v/>
      </c>
      <c r="AT456" s="6">
        <f>IF(OR($BJ456="",45&gt;設定!$B$3),"",IF(INDEX(原始資料!AV$2:AV$501,$BJ456)="","",INDEX(原始資料!AV$2:AV$501,$BJ456)))</f>
        <v/>
      </c>
      <c r="AU456" s="6">
        <f>IF(OR($BJ456="",46&gt;設定!$B$3),"",IF(INDEX(原始資料!AW$2:AW$501,$BJ456)="","",INDEX(原始資料!AW$2:AW$501,$BJ456)))</f>
        <v/>
      </c>
      <c r="AV456" s="6">
        <f>IF(OR($BJ456="",47&gt;設定!$B$3),"",IF(INDEX(原始資料!AX$2:AX$501,$BJ456)="","",INDEX(原始資料!AX$2:AX$501,$BJ456)))</f>
        <v/>
      </c>
      <c r="AW456" s="6">
        <f>IF(OR($BJ456="",48&gt;設定!$B$3),"",IF(INDEX(原始資料!AY$2:AY$501,$BJ456)="","",INDEX(原始資料!AY$2:AY$501,$BJ456)))</f>
        <v/>
      </c>
      <c r="AX456" s="6">
        <f>IF(OR($BJ456="",49&gt;設定!$B$3),"",IF(INDEX(原始資料!AZ$2:AZ$501,$BJ456)="","",INDEX(原始資料!AZ$2:AZ$501,$BJ456)))</f>
        <v/>
      </c>
      <c r="AY456" s="6">
        <f>IF(OR($BJ456="",50&gt;設定!$B$3),"",IF(INDEX(原始資料!BA$2:BA$501,$BJ456)="","",INDEX(原始資料!BA$2:BA$501,$BJ456)))</f>
        <v/>
      </c>
      <c r="AZ456" s="6">
        <f>IF(OR($BJ456="",51&gt;設定!$B$3),"",IF(INDEX(原始資料!BB$2:BB$501,$BJ456)="","",INDEX(原始資料!BB$2:BB$501,$BJ456)))</f>
        <v/>
      </c>
      <c r="BA456" s="6">
        <f>IF(OR($BJ456="",52&gt;設定!$B$3),"",IF(INDEX(原始資料!BC$2:BC$501,$BJ456)="","",INDEX(原始資料!BC$2:BC$501,$BJ456)))</f>
        <v/>
      </c>
      <c r="BB456" s="6">
        <f>IF(OR($BJ456="",53&gt;設定!$B$3),"",IF(INDEX(原始資料!BD$2:BD$501,$BJ456)="","",INDEX(原始資料!BD$2:BD$501,$BJ456)))</f>
        <v/>
      </c>
      <c r="BC456" s="6">
        <f>IF(OR($BJ456="",54&gt;設定!$B$3),"",IF(INDEX(原始資料!BE$2:BE$501,$BJ456)="","",INDEX(原始資料!BE$2:BE$501,$BJ456)))</f>
        <v/>
      </c>
      <c r="BD456" s="6">
        <f>IF(OR($BJ456="",55&gt;設定!$B$3),"",IF(INDEX(原始資料!BF$2:BF$501,$BJ456)="","",INDEX(原始資料!BF$2:BF$501,$BJ456)))</f>
        <v/>
      </c>
      <c r="BE456" s="6">
        <f>IF(OR($BJ456="",56&gt;設定!$B$3),"",IF(INDEX(原始資料!BG$2:BG$501,$BJ456)="","",INDEX(原始資料!BG$2:BG$501,$BJ456)))</f>
        <v/>
      </c>
      <c r="BF456" s="6">
        <f>IF(OR($BJ456="",57&gt;設定!$B$3),"",IF(INDEX(原始資料!BH$2:BH$501,$BJ456)="","",INDEX(原始資料!BH$2:BH$501,$BJ456)))</f>
        <v/>
      </c>
      <c r="BG456" s="6">
        <f>IF(OR($BJ456="",58&gt;設定!$B$3),"",IF(INDEX(原始資料!BI$2:BI$501,$BJ456)="","",INDEX(原始資料!BI$2:BI$501,$BJ456)))</f>
        <v/>
      </c>
      <c r="BH456" s="6">
        <f>IF(OR($BJ456="",59&gt;設定!$B$3),"",IF(INDEX(原始資料!BJ$2:BJ$501,$BJ456)="","",INDEX(原始資料!BJ$2:BJ$501,$BJ456)))</f>
        <v/>
      </c>
      <c r="BI456" s="6">
        <f>IF(OR($BJ456="",60&gt;設定!$B$3),"",IF(INDEX(原始資料!BK$2:BK$501,$BJ456)="","",INDEX(原始資料!BK$2:BK$501,$BJ456)))</f>
        <v/>
      </c>
      <c r="BJ456" s="6">
        <f>IFERROR(MATCH(ROW()-1,判定!$H$2:$H$501,0),"")</f>
        <v/>
      </c>
    </row>
    <row r="457">
      <c r="A457" s="6">
        <f>IF($BJ457="","",INDEX(原始資料!$A$2:$A$501,$BJ457))</f>
        <v/>
      </c>
      <c r="B457" s="6">
        <f>IF(OR($BJ457="",1&gt;設定!$B$3),"",IF(INDEX(原始資料!D$2:D$501,$BJ457)="","",INDEX(原始資料!D$2:D$501,$BJ457)))</f>
        <v/>
      </c>
      <c r="C457" s="6">
        <f>IF(OR($BJ457="",2&gt;設定!$B$3),"",IF(INDEX(原始資料!E$2:E$501,$BJ457)="","",INDEX(原始資料!E$2:E$501,$BJ457)))</f>
        <v/>
      </c>
      <c r="D457" s="6">
        <f>IF(OR($BJ457="",3&gt;設定!$B$3),"",IF(INDEX(原始資料!F$2:F$501,$BJ457)="","",INDEX(原始資料!F$2:F$501,$BJ457)))</f>
        <v/>
      </c>
      <c r="E457" s="6">
        <f>IF(OR($BJ457="",4&gt;設定!$B$3),"",IF(INDEX(原始資料!G$2:G$501,$BJ457)="","",INDEX(原始資料!G$2:G$501,$BJ457)))</f>
        <v/>
      </c>
      <c r="F457" s="6">
        <f>IF(OR($BJ457="",5&gt;設定!$B$3),"",IF(INDEX(原始資料!H$2:H$501,$BJ457)="","",INDEX(原始資料!H$2:H$501,$BJ457)))</f>
        <v/>
      </c>
      <c r="G457" s="6">
        <f>IF(OR($BJ457="",6&gt;設定!$B$3),"",IF(INDEX(原始資料!I$2:I$501,$BJ457)="","",INDEX(原始資料!I$2:I$501,$BJ457)))</f>
        <v/>
      </c>
      <c r="H457" s="6">
        <f>IF(OR($BJ457="",7&gt;設定!$B$3),"",IF(INDEX(原始資料!J$2:J$501,$BJ457)="","",INDEX(原始資料!J$2:J$501,$BJ457)))</f>
        <v/>
      </c>
      <c r="I457" s="6">
        <f>IF(OR($BJ457="",8&gt;設定!$B$3),"",IF(INDEX(原始資料!K$2:K$501,$BJ457)="","",INDEX(原始資料!K$2:K$501,$BJ457)))</f>
        <v/>
      </c>
      <c r="J457" s="6">
        <f>IF(OR($BJ457="",9&gt;設定!$B$3),"",IF(INDEX(原始資料!L$2:L$501,$BJ457)="","",INDEX(原始資料!L$2:L$501,$BJ457)))</f>
        <v/>
      </c>
      <c r="K457" s="6">
        <f>IF(OR($BJ457="",10&gt;設定!$B$3),"",IF(INDEX(原始資料!M$2:M$501,$BJ457)="","",INDEX(原始資料!M$2:M$501,$BJ457)))</f>
        <v/>
      </c>
      <c r="L457" s="6">
        <f>IF(OR($BJ457="",11&gt;設定!$B$3),"",IF(INDEX(原始資料!N$2:N$501,$BJ457)="","",INDEX(原始資料!N$2:N$501,$BJ457)))</f>
        <v/>
      </c>
      <c r="M457" s="6">
        <f>IF(OR($BJ457="",12&gt;設定!$B$3),"",IF(INDEX(原始資料!O$2:O$501,$BJ457)="","",INDEX(原始資料!O$2:O$501,$BJ457)))</f>
        <v/>
      </c>
      <c r="N457" s="6">
        <f>IF(OR($BJ457="",13&gt;設定!$B$3),"",IF(INDEX(原始資料!P$2:P$501,$BJ457)="","",INDEX(原始資料!P$2:P$501,$BJ457)))</f>
        <v/>
      </c>
      <c r="O457" s="6">
        <f>IF(OR($BJ457="",14&gt;設定!$B$3),"",IF(INDEX(原始資料!Q$2:Q$501,$BJ457)="","",INDEX(原始資料!Q$2:Q$501,$BJ457)))</f>
        <v/>
      </c>
      <c r="P457" s="6">
        <f>IF(OR($BJ457="",15&gt;設定!$B$3),"",IF(INDEX(原始資料!R$2:R$501,$BJ457)="","",INDEX(原始資料!R$2:R$501,$BJ457)))</f>
        <v/>
      </c>
      <c r="Q457" s="6">
        <f>IF(OR($BJ457="",16&gt;設定!$B$3),"",IF(INDEX(原始資料!S$2:S$501,$BJ457)="","",INDEX(原始資料!S$2:S$501,$BJ457)))</f>
        <v/>
      </c>
      <c r="R457" s="6">
        <f>IF(OR($BJ457="",17&gt;設定!$B$3),"",IF(INDEX(原始資料!T$2:T$501,$BJ457)="","",INDEX(原始資料!T$2:T$501,$BJ457)))</f>
        <v/>
      </c>
      <c r="S457" s="6">
        <f>IF(OR($BJ457="",18&gt;設定!$B$3),"",IF(INDEX(原始資料!U$2:U$501,$BJ457)="","",INDEX(原始資料!U$2:U$501,$BJ457)))</f>
        <v/>
      </c>
      <c r="T457" s="6">
        <f>IF(OR($BJ457="",19&gt;設定!$B$3),"",IF(INDEX(原始資料!V$2:V$501,$BJ457)="","",INDEX(原始資料!V$2:V$501,$BJ457)))</f>
        <v/>
      </c>
      <c r="U457" s="6">
        <f>IF(OR($BJ457="",20&gt;設定!$B$3),"",IF(INDEX(原始資料!W$2:W$501,$BJ457)="","",INDEX(原始資料!W$2:W$501,$BJ457)))</f>
        <v/>
      </c>
      <c r="V457" s="6">
        <f>IF(OR($BJ457="",21&gt;設定!$B$3),"",IF(INDEX(原始資料!X$2:X$501,$BJ457)="","",INDEX(原始資料!X$2:X$501,$BJ457)))</f>
        <v/>
      </c>
      <c r="W457" s="6">
        <f>IF(OR($BJ457="",22&gt;設定!$B$3),"",IF(INDEX(原始資料!Y$2:Y$501,$BJ457)="","",INDEX(原始資料!Y$2:Y$501,$BJ457)))</f>
        <v/>
      </c>
      <c r="X457" s="6">
        <f>IF(OR($BJ457="",23&gt;設定!$B$3),"",IF(INDEX(原始資料!Z$2:Z$501,$BJ457)="","",INDEX(原始資料!Z$2:Z$501,$BJ457)))</f>
        <v/>
      </c>
      <c r="Y457" s="6">
        <f>IF(OR($BJ457="",24&gt;設定!$B$3),"",IF(INDEX(原始資料!AA$2:AA$501,$BJ457)="","",INDEX(原始資料!AA$2:AA$501,$BJ457)))</f>
        <v/>
      </c>
      <c r="Z457" s="6">
        <f>IF(OR($BJ457="",25&gt;設定!$B$3),"",IF(INDEX(原始資料!AB$2:AB$501,$BJ457)="","",INDEX(原始資料!AB$2:AB$501,$BJ457)))</f>
        <v/>
      </c>
      <c r="AA457" s="6">
        <f>IF(OR($BJ457="",26&gt;設定!$B$3),"",IF(INDEX(原始資料!AC$2:AC$501,$BJ457)="","",INDEX(原始資料!AC$2:AC$501,$BJ457)))</f>
        <v/>
      </c>
      <c r="AB457" s="6">
        <f>IF(OR($BJ457="",27&gt;設定!$B$3),"",IF(INDEX(原始資料!AD$2:AD$501,$BJ457)="","",INDEX(原始資料!AD$2:AD$501,$BJ457)))</f>
        <v/>
      </c>
      <c r="AC457" s="6">
        <f>IF(OR($BJ457="",28&gt;設定!$B$3),"",IF(INDEX(原始資料!AE$2:AE$501,$BJ457)="","",INDEX(原始資料!AE$2:AE$501,$BJ457)))</f>
        <v/>
      </c>
      <c r="AD457" s="6">
        <f>IF(OR($BJ457="",29&gt;設定!$B$3),"",IF(INDEX(原始資料!AF$2:AF$501,$BJ457)="","",INDEX(原始資料!AF$2:AF$501,$BJ457)))</f>
        <v/>
      </c>
      <c r="AE457" s="6">
        <f>IF(OR($BJ457="",30&gt;設定!$B$3),"",IF(INDEX(原始資料!AG$2:AG$501,$BJ457)="","",INDEX(原始資料!AG$2:AG$501,$BJ457)))</f>
        <v/>
      </c>
      <c r="AF457" s="6">
        <f>IF(OR($BJ457="",31&gt;設定!$B$3),"",IF(INDEX(原始資料!AH$2:AH$501,$BJ457)="","",INDEX(原始資料!AH$2:AH$501,$BJ457)))</f>
        <v/>
      </c>
      <c r="AG457" s="6">
        <f>IF(OR($BJ457="",32&gt;設定!$B$3),"",IF(INDEX(原始資料!AI$2:AI$501,$BJ457)="","",INDEX(原始資料!AI$2:AI$501,$BJ457)))</f>
        <v/>
      </c>
      <c r="AH457" s="6">
        <f>IF(OR($BJ457="",33&gt;設定!$B$3),"",IF(INDEX(原始資料!AJ$2:AJ$501,$BJ457)="","",INDEX(原始資料!AJ$2:AJ$501,$BJ457)))</f>
        <v/>
      </c>
      <c r="AI457" s="6">
        <f>IF(OR($BJ457="",34&gt;設定!$B$3),"",IF(INDEX(原始資料!AK$2:AK$501,$BJ457)="","",INDEX(原始資料!AK$2:AK$501,$BJ457)))</f>
        <v/>
      </c>
      <c r="AJ457" s="6">
        <f>IF(OR($BJ457="",35&gt;設定!$B$3),"",IF(INDEX(原始資料!AL$2:AL$501,$BJ457)="","",INDEX(原始資料!AL$2:AL$501,$BJ457)))</f>
        <v/>
      </c>
      <c r="AK457" s="6">
        <f>IF(OR($BJ457="",36&gt;設定!$B$3),"",IF(INDEX(原始資料!AM$2:AM$501,$BJ457)="","",INDEX(原始資料!AM$2:AM$501,$BJ457)))</f>
        <v/>
      </c>
      <c r="AL457" s="6">
        <f>IF(OR($BJ457="",37&gt;設定!$B$3),"",IF(INDEX(原始資料!AN$2:AN$501,$BJ457)="","",INDEX(原始資料!AN$2:AN$501,$BJ457)))</f>
        <v/>
      </c>
      <c r="AM457" s="6">
        <f>IF(OR($BJ457="",38&gt;設定!$B$3),"",IF(INDEX(原始資料!AO$2:AO$501,$BJ457)="","",INDEX(原始資料!AO$2:AO$501,$BJ457)))</f>
        <v/>
      </c>
      <c r="AN457" s="6">
        <f>IF(OR($BJ457="",39&gt;設定!$B$3),"",IF(INDEX(原始資料!AP$2:AP$501,$BJ457)="","",INDEX(原始資料!AP$2:AP$501,$BJ457)))</f>
        <v/>
      </c>
      <c r="AO457" s="6">
        <f>IF(OR($BJ457="",40&gt;設定!$B$3),"",IF(INDEX(原始資料!AQ$2:AQ$501,$BJ457)="","",INDEX(原始資料!AQ$2:AQ$501,$BJ457)))</f>
        <v/>
      </c>
      <c r="AP457" s="6">
        <f>IF(OR($BJ457="",41&gt;設定!$B$3),"",IF(INDEX(原始資料!AR$2:AR$501,$BJ457)="","",INDEX(原始資料!AR$2:AR$501,$BJ457)))</f>
        <v/>
      </c>
      <c r="AQ457" s="6">
        <f>IF(OR($BJ457="",42&gt;設定!$B$3),"",IF(INDEX(原始資料!AS$2:AS$501,$BJ457)="","",INDEX(原始資料!AS$2:AS$501,$BJ457)))</f>
        <v/>
      </c>
      <c r="AR457" s="6">
        <f>IF(OR($BJ457="",43&gt;設定!$B$3),"",IF(INDEX(原始資料!AT$2:AT$501,$BJ457)="","",INDEX(原始資料!AT$2:AT$501,$BJ457)))</f>
        <v/>
      </c>
      <c r="AS457" s="6">
        <f>IF(OR($BJ457="",44&gt;設定!$B$3),"",IF(INDEX(原始資料!AU$2:AU$501,$BJ457)="","",INDEX(原始資料!AU$2:AU$501,$BJ457)))</f>
        <v/>
      </c>
      <c r="AT457" s="6">
        <f>IF(OR($BJ457="",45&gt;設定!$B$3),"",IF(INDEX(原始資料!AV$2:AV$501,$BJ457)="","",INDEX(原始資料!AV$2:AV$501,$BJ457)))</f>
        <v/>
      </c>
      <c r="AU457" s="6">
        <f>IF(OR($BJ457="",46&gt;設定!$B$3),"",IF(INDEX(原始資料!AW$2:AW$501,$BJ457)="","",INDEX(原始資料!AW$2:AW$501,$BJ457)))</f>
        <v/>
      </c>
      <c r="AV457" s="6">
        <f>IF(OR($BJ457="",47&gt;設定!$B$3),"",IF(INDEX(原始資料!AX$2:AX$501,$BJ457)="","",INDEX(原始資料!AX$2:AX$501,$BJ457)))</f>
        <v/>
      </c>
      <c r="AW457" s="6">
        <f>IF(OR($BJ457="",48&gt;設定!$B$3),"",IF(INDEX(原始資料!AY$2:AY$501,$BJ457)="","",INDEX(原始資料!AY$2:AY$501,$BJ457)))</f>
        <v/>
      </c>
      <c r="AX457" s="6">
        <f>IF(OR($BJ457="",49&gt;設定!$B$3),"",IF(INDEX(原始資料!AZ$2:AZ$501,$BJ457)="","",INDEX(原始資料!AZ$2:AZ$501,$BJ457)))</f>
        <v/>
      </c>
      <c r="AY457" s="6">
        <f>IF(OR($BJ457="",50&gt;設定!$B$3),"",IF(INDEX(原始資料!BA$2:BA$501,$BJ457)="","",INDEX(原始資料!BA$2:BA$501,$BJ457)))</f>
        <v/>
      </c>
      <c r="AZ457" s="6">
        <f>IF(OR($BJ457="",51&gt;設定!$B$3),"",IF(INDEX(原始資料!BB$2:BB$501,$BJ457)="","",INDEX(原始資料!BB$2:BB$501,$BJ457)))</f>
        <v/>
      </c>
      <c r="BA457" s="6">
        <f>IF(OR($BJ457="",52&gt;設定!$B$3),"",IF(INDEX(原始資料!BC$2:BC$501,$BJ457)="","",INDEX(原始資料!BC$2:BC$501,$BJ457)))</f>
        <v/>
      </c>
      <c r="BB457" s="6">
        <f>IF(OR($BJ457="",53&gt;設定!$B$3),"",IF(INDEX(原始資料!BD$2:BD$501,$BJ457)="","",INDEX(原始資料!BD$2:BD$501,$BJ457)))</f>
        <v/>
      </c>
      <c r="BC457" s="6">
        <f>IF(OR($BJ457="",54&gt;設定!$B$3),"",IF(INDEX(原始資料!BE$2:BE$501,$BJ457)="","",INDEX(原始資料!BE$2:BE$501,$BJ457)))</f>
        <v/>
      </c>
      <c r="BD457" s="6">
        <f>IF(OR($BJ457="",55&gt;設定!$B$3),"",IF(INDEX(原始資料!BF$2:BF$501,$BJ457)="","",INDEX(原始資料!BF$2:BF$501,$BJ457)))</f>
        <v/>
      </c>
      <c r="BE457" s="6">
        <f>IF(OR($BJ457="",56&gt;設定!$B$3),"",IF(INDEX(原始資料!BG$2:BG$501,$BJ457)="","",INDEX(原始資料!BG$2:BG$501,$BJ457)))</f>
        <v/>
      </c>
      <c r="BF457" s="6">
        <f>IF(OR($BJ457="",57&gt;設定!$B$3),"",IF(INDEX(原始資料!BH$2:BH$501,$BJ457)="","",INDEX(原始資料!BH$2:BH$501,$BJ457)))</f>
        <v/>
      </c>
      <c r="BG457" s="6">
        <f>IF(OR($BJ457="",58&gt;設定!$B$3),"",IF(INDEX(原始資料!BI$2:BI$501,$BJ457)="","",INDEX(原始資料!BI$2:BI$501,$BJ457)))</f>
        <v/>
      </c>
      <c r="BH457" s="6">
        <f>IF(OR($BJ457="",59&gt;設定!$B$3),"",IF(INDEX(原始資料!BJ$2:BJ$501,$BJ457)="","",INDEX(原始資料!BJ$2:BJ$501,$BJ457)))</f>
        <v/>
      </c>
      <c r="BI457" s="6">
        <f>IF(OR($BJ457="",60&gt;設定!$B$3),"",IF(INDEX(原始資料!BK$2:BK$501,$BJ457)="","",INDEX(原始資料!BK$2:BK$501,$BJ457)))</f>
        <v/>
      </c>
      <c r="BJ457" s="6">
        <f>IFERROR(MATCH(ROW()-1,判定!$H$2:$H$501,0),"")</f>
        <v/>
      </c>
    </row>
    <row r="458">
      <c r="A458" s="6">
        <f>IF($BJ458="","",INDEX(原始資料!$A$2:$A$501,$BJ458))</f>
        <v/>
      </c>
      <c r="B458" s="6">
        <f>IF(OR($BJ458="",1&gt;設定!$B$3),"",IF(INDEX(原始資料!D$2:D$501,$BJ458)="","",INDEX(原始資料!D$2:D$501,$BJ458)))</f>
        <v/>
      </c>
      <c r="C458" s="6">
        <f>IF(OR($BJ458="",2&gt;設定!$B$3),"",IF(INDEX(原始資料!E$2:E$501,$BJ458)="","",INDEX(原始資料!E$2:E$501,$BJ458)))</f>
        <v/>
      </c>
      <c r="D458" s="6">
        <f>IF(OR($BJ458="",3&gt;設定!$B$3),"",IF(INDEX(原始資料!F$2:F$501,$BJ458)="","",INDEX(原始資料!F$2:F$501,$BJ458)))</f>
        <v/>
      </c>
      <c r="E458" s="6">
        <f>IF(OR($BJ458="",4&gt;設定!$B$3),"",IF(INDEX(原始資料!G$2:G$501,$BJ458)="","",INDEX(原始資料!G$2:G$501,$BJ458)))</f>
        <v/>
      </c>
      <c r="F458" s="6">
        <f>IF(OR($BJ458="",5&gt;設定!$B$3),"",IF(INDEX(原始資料!H$2:H$501,$BJ458)="","",INDEX(原始資料!H$2:H$501,$BJ458)))</f>
        <v/>
      </c>
      <c r="G458" s="6">
        <f>IF(OR($BJ458="",6&gt;設定!$B$3),"",IF(INDEX(原始資料!I$2:I$501,$BJ458)="","",INDEX(原始資料!I$2:I$501,$BJ458)))</f>
        <v/>
      </c>
      <c r="H458" s="6">
        <f>IF(OR($BJ458="",7&gt;設定!$B$3),"",IF(INDEX(原始資料!J$2:J$501,$BJ458)="","",INDEX(原始資料!J$2:J$501,$BJ458)))</f>
        <v/>
      </c>
      <c r="I458" s="6">
        <f>IF(OR($BJ458="",8&gt;設定!$B$3),"",IF(INDEX(原始資料!K$2:K$501,$BJ458)="","",INDEX(原始資料!K$2:K$501,$BJ458)))</f>
        <v/>
      </c>
      <c r="J458" s="6">
        <f>IF(OR($BJ458="",9&gt;設定!$B$3),"",IF(INDEX(原始資料!L$2:L$501,$BJ458)="","",INDEX(原始資料!L$2:L$501,$BJ458)))</f>
        <v/>
      </c>
      <c r="K458" s="6">
        <f>IF(OR($BJ458="",10&gt;設定!$B$3),"",IF(INDEX(原始資料!M$2:M$501,$BJ458)="","",INDEX(原始資料!M$2:M$501,$BJ458)))</f>
        <v/>
      </c>
      <c r="L458" s="6">
        <f>IF(OR($BJ458="",11&gt;設定!$B$3),"",IF(INDEX(原始資料!N$2:N$501,$BJ458)="","",INDEX(原始資料!N$2:N$501,$BJ458)))</f>
        <v/>
      </c>
      <c r="M458" s="6">
        <f>IF(OR($BJ458="",12&gt;設定!$B$3),"",IF(INDEX(原始資料!O$2:O$501,$BJ458)="","",INDEX(原始資料!O$2:O$501,$BJ458)))</f>
        <v/>
      </c>
      <c r="N458" s="6">
        <f>IF(OR($BJ458="",13&gt;設定!$B$3),"",IF(INDEX(原始資料!P$2:P$501,$BJ458)="","",INDEX(原始資料!P$2:P$501,$BJ458)))</f>
        <v/>
      </c>
      <c r="O458" s="6">
        <f>IF(OR($BJ458="",14&gt;設定!$B$3),"",IF(INDEX(原始資料!Q$2:Q$501,$BJ458)="","",INDEX(原始資料!Q$2:Q$501,$BJ458)))</f>
        <v/>
      </c>
      <c r="P458" s="6">
        <f>IF(OR($BJ458="",15&gt;設定!$B$3),"",IF(INDEX(原始資料!R$2:R$501,$BJ458)="","",INDEX(原始資料!R$2:R$501,$BJ458)))</f>
        <v/>
      </c>
      <c r="Q458" s="6">
        <f>IF(OR($BJ458="",16&gt;設定!$B$3),"",IF(INDEX(原始資料!S$2:S$501,$BJ458)="","",INDEX(原始資料!S$2:S$501,$BJ458)))</f>
        <v/>
      </c>
      <c r="R458" s="6">
        <f>IF(OR($BJ458="",17&gt;設定!$B$3),"",IF(INDEX(原始資料!T$2:T$501,$BJ458)="","",INDEX(原始資料!T$2:T$501,$BJ458)))</f>
        <v/>
      </c>
      <c r="S458" s="6">
        <f>IF(OR($BJ458="",18&gt;設定!$B$3),"",IF(INDEX(原始資料!U$2:U$501,$BJ458)="","",INDEX(原始資料!U$2:U$501,$BJ458)))</f>
        <v/>
      </c>
      <c r="T458" s="6">
        <f>IF(OR($BJ458="",19&gt;設定!$B$3),"",IF(INDEX(原始資料!V$2:V$501,$BJ458)="","",INDEX(原始資料!V$2:V$501,$BJ458)))</f>
        <v/>
      </c>
      <c r="U458" s="6">
        <f>IF(OR($BJ458="",20&gt;設定!$B$3),"",IF(INDEX(原始資料!W$2:W$501,$BJ458)="","",INDEX(原始資料!W$2:W$501,$BJ458)))</f>
        <v/>
      </c>
      <c r="V458" s="6">
        <f>IF(OR($BJ458="",21&gt;設定!$B$3),"",IF(INDEX(原始資料!X$2:X$501,$BJ458)="","",INDEX(原始資料!X$2:X$501,$BJ458)))</f>
        <v/>
      </c>
      <c r="W458" s="6">
        <f>IF(OR($BJ458="",22&gt;設定!$B$3),"",IF(INDEX(原始資料!Y$2:Y$501,$BJ458)="","",INDEX(原始資料!Y$2:Y$501,$BJ458)))</f>
        <v/>
      </c>
      <c r="X458" s="6">
        <f>IF(OR($BJ458="",23&gt;設定!$B$3),"",IF(INDEX(原始資料!Z$2:Z$501,$BJ458)="","",INDEX(原始資料!Z$2:Z$501,$BJ458)))</f>
        <v/>
      </c>
      <c r="Y458" s="6">
        <f>IF(OR($BJ458="",24&gt;設定!$B$3),"",IF(INDEX(原始資料!AA$2:AA$501,$BJ458)="","",INDEX(原始資料!AA$2:AA$501,$BJ458)))</f>
        <v/>
      </c>
      <c r="Z458" s="6">
        <f>IF(OR($BJ458="",25&gt;設定!$B$3),"",IF(INDEX(原始資料!AB$2:AB$501,$BJ458)="","",INDEX(原始資料!AB$2:AB$501,$BJ458)))</f>
        <v/>
      </c>
      <c r="AA458" s="6">
        <f>IF(OR($BJ458="",26&gt;設定!$B$3),"",IF(INDEX(原始資料!AC$2:AC$501,$BJ458)="","",INDEX(原始資料!AC$2:AC$501,$BJ458)))</f>
        <v/>
      </c>
      <c r="AB458" s="6">
        <f>IF(OR($BJ458="",27&gt;設定!$B$3),"",IF(INDEX(原始資料!AD$2:AD$501,$BJ458)="","",INDEX(原始資料!AD$2:AD$501,$BJ458)))</f>
        <v/>
      </c>
      <c r="AC458" s="6">
        <f>IF(OR($BJ458="",28&gt;設定!$B$3),"",IF(INDEX(原始資料!AE$2:AE$501,$BJ458)="","",INDEX(原始資料!AE$2:AE$501,$BJ458)))</f>
        <v/>
      </c>
      <c r="AD458" s="6">
        <f>IF(OR($BJ458="",29&gt;設定!$B$3),"",IF(INDEX(原始資料!AF$2:AF$501,$BJ458)="","",INDEX(原始資料!AF$2:AF$501,$BJ458)))</f>
        <v/>
      </c>
      <c r="AE458" s="6">
        <f>IF(OR($BJ458="",30&gt;設定!$B$3),"",IF(INDEX(原始資料!AG$2:AG$501,$BJ458)="","",INDEX(原始資料!AG$2:AG$501,$BJ458)))</f>
        <v/>
      </c>
      <c r="AF458" s="6">
        <f>IF(OR($BJ458="",31&gt;設定!$B$3),"",IF(INDEX(原始資料!AH$2:AH$501,$BJ458)="","",INDEX(原始資料!AH$2:AH$501,$BJ458)))</f>
        <v/>
      </c>
      <c r="AG458" s="6">
        <f>IF(OR($BJ458="",32&gt;設定!$B$3),"",IF(INDEX(原始資料!AI$2:AI$501,$BJ458)="","",INDEX(原始資料!AI$2:AI$501,$BJ458)))</f>
        <v/>
      </c>
      <c r="AH458" s="6">
        <f>IF(OR($BJ458="",33&gt;設定!$B$3),"",IF(INDEX(原始資料!AJ$2:AJ$501,$BJ458)="","",INDEX(原始資料!AJ$2:AJ$501,$BJ458)))</f>
        <v/>
      </c>
      <c r="AI458" s="6">
        <f>IF(OR($BJ458="",34&gt;設定!$B$3),"",IF(INDEX(原始資料!AK$2:AK$501,$BJ458)="","",INDEX(原始資料!AK$2:AK$501,$BJ458)))</f>
        <v/>
      </c>
      <c r="AJ458" s="6">
        <f>IF(OR($BJ458="",35&gt;設定!$B$3),"",IF(INDEX(原始資料!AL$2:AL$501,$BJ458)="","",INDEX(原始資料!AL$2:AL$501,$BJ458)))</f>
        <v/>
      </c>
      <c r="AK458" s="6">
        <f>IF(OR($BJ458="",36&gt;設定!$B$3),"",IF(INDEX(原始資料!AM$2:AM$501,$BJ458)="","",INDEX(原始資料!AM$2:AM$501,$BJ458)))</f>
        <v/>
      </c>
      <c r="AL458" s="6">
        <f>IF(OR($BJ458="",37&gt;設定!$B$3),"",IF(INDEX(原始資料!AN$2:AN$501,$BJ458)="","",INDEX(原始資料!AN$2:AN$501,$BJ458)))</f>
        <v/>
      </c>
      <c r="AM458" s="6">
        <f>IF(OR($BJ458="",38&gt;設定!$B$3),"",IF(INDEX(原始資料!AO$2:AO$501,$BJ458)="","",INDEX(原始資料!AO$2:AO$501,$BJ458)))</f>
        <v/>
      </c>
      <c r="AN458" s="6">
        <f>IF(OR($BJ458="",39&gt;設定!$B$3),"",IF(INDEX(原始資料!AP$2:AP$501,$BJ458)="","",INDEX(原始資料!AP$2:AP$501,$BJ458)))</f>
        <v/>
      </c>
      <c r="AO458" s="6">
        <f>IF(OR($BJ458="",40&gt;設定!$B$3),"",IF(INDEX(原始資料!AQ$2:AQ$501,$BJ458)="","",INDEX(原始資料!AQ$2:AQ$501,$BJ458)))</f>
        <v/>
      </c>
      <c r="AP458" s="6">
        <f>IF(OR($BJ458="",41&gt;設定!$B$3),"",IF(INDEX(原始資料!AR$2:AR$501,$BJ458)="","",INDEX(原始資料!AR$2:AR$501,$BJ458)))</f>
        <v/>
      </c>
      <c r="AQ458" s="6">
        <f>IF(OR($BJ458="",42&gt;設定!$B$3),"",IF(INDEX(原始資料!AS$2:AS$501,$BJ458)="","",INDEX(原始資料!AS$2:AS$501,$BJ458)))</f>
        <v/>
      </c>
      <c r="AR458" s="6">
        <f>IF(OR($BJ458="",43&gt;設定!$B$3),"",IF(INDEX(原始資料!AT$2:AT$501,$BJ458)="","",INDEX(原始資料!AT$2:AT$501,$BJ458)))</f>
        <v/>
      </c>
      <c r="AS458" s="6">
        <f>IF(OR($BJ458="",44&gt;設定!$B$3),"",IF(INDEX(原始資料!AU$2:AU$501,$BJ458)="","",INDEX(原始資料!AU$2:AU$501,$BJ458)))</f>
        <v/>
      </c>
      <c r="AT458" s="6">
        <f>IF(OR($BJ458="",45&gt;設定!$B$3),"",IF(INDEX(原始資料!AV$2:AV$501,$BJ458)="","",INDEX(原始資料!AV$2:AV$501,$BJ458)))</f>
        <v/>
      </c>
      <c r="AU458" s="6">
        <f>IF(OR($BJ458="",46&gt;設定!$B$3),"",IF(INDEX(原始資料!AW$2:AW$501,$BJ458)="","",INDEX(原始資料!AW$2:AW$501,$BJ458)))</f>
        <v/>
      </c>
      <c r="AV458" s="6">
        <f>IF(OR($BJ458="",47&gt;設定!$B$3),"",IF(INDEX(原始資料!AX$2:AX$501,$BJ458)="","",INDEX(原始資料!AX$2:AX$501,$BJ458)))</f>
        <v/>
      </c>
      <c r="AW458" s="6">
        <f>IF(OR($BJ458="",48&gt;設定!$B$3),"",IF(INDEX(原始資料!AY$2:AY$501,$BJ458)="","",INDEX(原始資料!AY$2:AY$501,$BJ458)))</f>
        <v/>
      </c>
      <c r="AX458" s="6">
        <f>IF(OR($BJ458="",49&gt;設定!$B$3),"",IF(INDEX(原始資料!AZ$2:AZ$501,$BJ458)="","",INDEX(原始資料!AZ$2:AZ$501,$BJ458)))</f>
        <v/>
      </c>
      <c r="AY458" s="6">
        <f>IF(OR($BJ458="",50&gt;設定!$B$3),"",IF(INDEX(原始資料!BA$2:BA$501,$BJ458)="","",INDEX(原始資料!BA$2:BA$501,$BJ458)))</f>
        <v/>
      </c>
      <c r="AZ458" s="6">
        <f>IF(OR($BJ458="",51&gt;設定!$B$3),"",IF(INDEX(原始資料!BB$2:BB$501,$BJ458)="","",INDEX(原始資料!BB$2:BB$501,$BJ458)))</f>
        <v/>
      </c>
      <c r="BA458" s="6">
        <f>IF(OR($BJ458="",52&gt;設定!$B$3),"",IF(INDEX(原始資料!BC$2:BC$501,$BJ458)="","",INDEX(原始資料!BC$2:BC$501,$BJ458)))</f>
        <v/>
      </c>
      <c r="BB458" s="6">
        <f>IF(OR($BJ458="",53&gt;設定!$B$3),"",IF(INDEX(原始資料!BD$2:BD$501,$BJ458)="","",INDEX(原始資料!BD$2:BD$501,$BJ458)))</f>
        <v/>
      </c>
      <c r="BC458" s="6">
        <f>IF(OR($BJ458="",54&gt;設定!$B$3),"",IF(INDEX(原始資料!BE$2:BE$501,$BJ458)="","",INDEX(原始資料!BE$2:BE$501,$BJ458)))</f>
        <v/>
      </c>
      <c r="BD458" s="6">
        <f>IF(OR($BJ458="",55&gt;設定!$B$3),"",IF(INDEX(原始資料!BF$2:BF$501,$BJ458)="","",INDEX(原始資料!BF$2:BF$501,$BJ458)))</f>
        <v/>
      </c>
      <c r="BE458" s="6">
        <f>IF(OR($BJ458="",56&gt;設定!$B$3),"",IF(INDEX(原始資料!BG$2:BG$501,$BJ458)="","",INDEX(原始資料!BG$2:BG$501,$BJ458)))</f>
        <v/>
      </c>
      <c r="BF458" s="6">
        <f>IF(OR($BJ458="",57&gt;設定!$B$3),"",IF(INDEX(原始資料!BH$2:BH$501,$BJ458)="","",INDEX(原始資料!BH$2:BH$501,$BJ458)))</f>
        <v/>
      </c>
      <c r="BG458" s="6">
        <f>IF(OR($BJ458="",58&gt;設定!$B$3),"",IF(INDEX(原始資料!BI$2:BI$501,$BJ458)="","",INDEX(原始資料!BI$2:BI$501,$BJ458)))</f>
        <v/>
      </c>
      <c r="BH458" s="6">
        <f>IF(OR($BJ458="",59&gt;設定!$B$3),"",IF(INDEX(原始資料!BJ$2:BJ$501,$BJ458)="","",INDEX(原始資料!BJ$2:BJ$501,$BJ458)))</f>
        <v/>
      </c>
      <c r="BI458" s="6">
        <f>IF(OR($BJ458="",60&gt;設定!$B$3),"",IF(INDEX(原始資料!BK$2:BK$501,$BJ458)="","",INDEX(原始資料!BK$2:BK$501,$BJ458)))</f>
        <v/>
      </c>
      <c r="BJ458" s="6">
        <f>IFERROR(MATCH(ROW()-1,判定!$H$2:$H$501,0),"")</f>
        <v/>
      </c>
    </row>
    <row r="459">
      <c r="A459" s="6">
        <f>IF($BJ459="","",INDEX(原始資料!$A$2:$A$501,$BJ459))</f>
        <v/>
      </c>
      <c r="B459" s="6">
        <f>IF(OR($BJ459="",1&gt;設定!$B$3),"",IF(INDEX(原始資料!D$2:D$501,$BJ459)="","",INDEX(原始資料!D$2:D$501,$BJ459)))</f>
        <v/>
      </c>
      <c r="C459" s="6">
        <f>IF(OR($BJ459="",2&gt;設定!$B$3),"",IF(INDEX(原始資料!E$2:E$501,$BJ459)="","",INDEX(原始資料!E$2:E$501,$BJ459)))</f>
        <v/>
      </c>
      <c r="D459" s="6">
        <f>IF(OR($BJ459="",3&gt;設定!$B$3),"",IF(INDEX(原始資料!F$2:F$501,$BJ459)="","",INDEX(原始資料!F$2:F$501,$BJ459)))</f>
        <v/>
      </c>
      <c r="E459" s="6">
        <f>IF(OR($BJ459="",4&gt;設定!$B$3),"",IF(INDEX(原始資料!G$2:G$501,$BJ459)="","",INDEX(原始資料!G$2:G$501,$BJ459)))</f>
        <v/>
      </c>
      <c r="F459" s="6">
        <f>IF(OR($BJ459="",5&gt;設定!$B$3),"",IF(INDEX(原始資料!H$2:H$501,$BJ459)="","",INDEX(原始資料!H$2:H$501,$BJ459)))</f>
        <v/>
      </c>
      <c r="G459" s="6">
        <f>IF(OR($BJ459="",6&gt;設定!$B$3),"",IF(INDEX(原始資料!I$2:I$501,$BJ459)="","",INDEX(原始資料!I$2:I$501,$BJ459)))</f>
        <v/>
      </c>
      <c r="H459" s="6">
        <f>IF(OR($BJ459="",7&gt;設定!$B$3),"",IF(INDEX(原始資料!J$2:J$501,$BJ459)="","",INDEX(原始資料!J$2:J$501,$BJ459)))</f>
        <v/>
      </c>
      <c r="I459" s="6">
        <f>IF(OR($BJ459="",8&gt;設定!$B$3),"",IF(INDEX(原始資料!K$2:K$501,$BJ459)="","",INDEX(原始資料!K$2:K$501,$BJ459)))</f>
        <v/>
      </c>
      <c r="J459" s="6">
        <f>IF(OR($BJ459="",9&gt;設定!$B$3),"",IF(INDEX(原始資料!L$2:L$501,$BJ459)="","",INDEX(原始資料!L$2:L$501,$BJ459)))</f>
        <v/>
      </c>
      <c r="K459" s="6">
        <f>IF(OR($BJ459="",10&gt;設定!$B$3),"",IF(INDEX(原始資料!M$2:M$501,$BJ459)="","",INDEX(原始資料!M$2:M$501,$BJ459)))</f>
        <v/>
      </c>
      <c r="L459" s="6">
        <f>IF(OR($BJ459="",11&gt;設定!$B$3),"",IF(INDEX(原始資料!N$2:N$501,$BJ459)="","",INDEX(原始資料!N$2:N$501,$BJ459)))</f>
        <v/>
      </c>
      <c r="M459" s="6">
        <f>IF(OR($BJ459="",12&gt;設定!$B$3),"",IF(INDEX(原始資料!O$2:O$501,$BJ459)="","",INDEX(原始資料!O$2:O$501,$BJ459)))</f>
        <v/>
      </c>
      <c r="N459" s="6">
        <f>IF(OR($BJ459="",13&gt;設定!$B$3),"",IF(INDEX(原始資料!P$2:P$501,$BJ459)="","",INDEX(原始資料!P$2:P$501,$BJ459)))</f>
        <v/>
      </c>
      <c r="O459" s="6">
        <f>IF(OR($BJ459="",14&gt;設定!$B$3),"",IF(INDEX(原始資料!Q$2:Q$501,$BJ459)="","",INDEX(原始資料!Q$2:Q$501,$BJ459)))</f>
        <v/>
      </c>
      <c r="P459" s="6">
        <f>IF(OR($BJ459="",15&gt;設定!$B$3),"",IF(INDEX(原始資料!R$2:R$501,$BJ459)="","",INDEX(原始資料!R$2:R$501,$BJ459)))</f>
        <v/>
      </c>
      <c r="Q459" s="6">
        <f>IF(OR($BJ459="",16&gt;設定!$B$3),"",IF(INDEX(原始資料!S$2:S$501,$BJ459)="","",INDEX(原始資料!S$2:S$501,$BJ459)))</f>
        <v/>
      </c>
      <c r="R459" s="6">
        <f>IF(OR($BJ459="",17&gt;設定!$B$3),"",IF(INDEX(原始資料!T$2:T$501,$BJ459)="","",INDEX(原始資料!T$2:T$501,$BJ459)))</f>
        <v/>
      </c>
      <c r="S459" s="6">
        <f>IF(OR($BJ459="",18&gt;設定!$B$3),"",IF(INDEX(原始資料!U$2:U$501,$BJ459)="","",INDEX(原始資料!U$2:U$501,$BJ459)))</f>
        <v/>
      </c>
      <c r="T459" s="6">
        <f>IF(OR($BJ459="",19&gt;設定!$B$3),"",IF(INDEX(原始資料!V$2:V$501,$BJ459)="","",INDEX(原始資料!V$2:V$501,$BJ459)))</f>
        <v/>
      </c>
      <c r="U459" s="6">
        <f>IF(OR($BJ459="",20&gt;設定!$B$3),"",IF(INDEX(原始資料!W$2:W$501,$BJ459)="","",INDEX(原始資料!W$2:W$501,$BJ459)))</f>
        <v/>
      </c>
      <c r="V459" s="6">
        <f>IF(OR($BJ459="",21&gt;設定!$B$3),"",IF(INDEX(原始資料!X$2:X$501,$BJ459)="","",INDEX(原始資料!X$2:X$501,$BJ459)))</f>
        <v/>
      </c>
      <c r="W459" s="6">
        <f>IF(OR($BJ459="",22&gt;設定!$B$3),"",IF(INDEX(原始資料!Y$2:Y$501,$BJ459)="","",INDEX(原始資料!Y$2:Y$501,$BJ459)))</f>
        <v/>
      </c>
      <c r="X459" s="6">
        <f>IF(OR($BJ459="",23&gt;設定!$B$3),"",IF(INDEX(原始資料!Z$2:Z$501,$BJ459)="","",INDEX(原始資料!Z$2:Z$501,$BJ459)))</f>
        <v/>
      </c>
      <c r="Y459" s="6">
        <f>IF(OR($BJ459="",24&gt;設定!$B$3),"",IF(INDEX(原始資料!AA$2:AA$501,$BJ459)="","",INDEX(原始資料!AA$2:AA$501,$BJ459)))</f>
        <v/>
      </c>
      <c r="Z459" s="6">
        <f>IF(OR($BJ459="",25&gt;設定!$B$3),"",IF(INDEX(原始資料!AB$2:AB$501,$BJ459)="","",INDEX(原始資料!AB$2:AB$501,$BJ459)))</f>
        <v/>
      </c>
      <c r="AA459" s="6">
        <f>IF(OR($BJ459="",26&gt;設定!$B$3),"",IF(INDEX(原始資料!AC$2:AC$501,$BJ459)="","",INDEX(原始資料!AC$2:AC$501,$BJ459)))</f>
        <v/>
      </c>
      <c r="AB459" s="6">
        <f>IF(OR($BJ459="",27&gt;設定!$B$3),"",IF(INDEX(原始資料!AD$2:AD$501,$BJ459)="","",INDEX(原始資料!AD$2:AD$501,$BJ459)))</f>
        <v/>
      </c>
      <c r="AC459" s="6">
        <f>IF(OR($BJ459="",28&gt;設定!$B$3),"",IF(INDEX(原始資料!AE$2:AE$501,$BJ459)="","",INDEX(原始資料!AE$2:AE$501,$BJ459)))</f>
        <v/>
      </c>
      <c r="AD459" s="6">
        <f>IF(OR($BJ459="",29&gt;設定!$B$3),"",IF(INDEX(原始資料!AF$2:AF$501,$BJ459)="","",INDEX(原始資料!AF$2:AF$501,$BJ459)))</f>
        <v/>
      </c>
      <c r="AE459" s="6">
        <f>IF(OR($BJ459="",30&gt;設定!$B$3),"",IF(INDEX(原始資料!AG$2:AG$501,$BJ459)="","",INDEX(原始資料!AG$2:AG$501,$BJ459)))</f>
        <v/>
      </c>
      <c r="AF459" s="6">
        <f>IF(OR($BJ459="",31&gt;設定!$B$3),"",IF(INDEX(原始資料!AH$2:AH$501,$BJ459)="","",INDEX(原始資料!AH$2:AH$501,$BJ459)))</f>
        <v/>
      </c>
      <c r="AG459" s="6">
        <f>IF(OR($BJ459="",32&gt;設定!$B$3),"",IF(INDEX(原始資料!AI$2:AI$501,$BJ459)="","",INDEX(原始資料!AI$2:AI$501,$BJ459)))</f>
        <v/>
      </c>
      <c r="AH459" s="6">
        <f>IF(OR($BJ459="",33&gt;設定!$B$3),"",IF(INDEX(原始資料!AJ$2:AJ$501,$BJ459)="","",INDEX(原始資料!AJ$2:AJ$501,$BJ459)))</f>
        <v/>
      </c>
      <c r="AI459" s="6">
        <f>IF(OR($BJ459="",34&gt;設定!$B$3),"",IF(INDEX(原始資料!AK$2:AK$501,$BJ459)="","",INDEX(原始資料!AK$2:AK$501,$BJ459)))</f>
        <v/>
      </c>
      <c r="AJ459" s="6">
        <f>IF(OR($BJ459="",35&gt;設定!$B$3),"",IF(INDEX(原始資料!AL$2:AL$501,$BJ459)="","",INDEX(原始資料!AL$2:AL$501,$BJ459)))</f>
        <v/>
      </c>
      <c r="AK459" s="6">
        <f>IF(OR($BJ459="",36&gt;設定!$B$3),"",IF(INDEX(原始資料!AM$2:AM$501,$BJ459)="","",INDEX(原始資料!AM$2:AM$501,$BJ459)))</f>
        <v/>
      </c>
      <c r="AL459" s="6">
        <f>IF(OR($BJ459="",37&gt;設定!$B$3),"",IF(INDEX(原始資料!AN$2:AN$501,$BJ459)="","",INDEX(原始資料!AN$2:AN$501,$BJ459)))</f>
        <v/>
      </c>
      <c r="AM459" s="6">
        <f>IF(OR($BJ459="",38&gt;設定!$B$3),"",IF(INDEX(原始資料!AO$2:AO$501,$BJ459)="","",INDEX(原始資料!AO$2:AO$501,$BJ459)))</f>
        <v/>
      </c>
      <c r="AN459" s="6">
        <f>IF(OR($BJ459="",39&gt;設定!$B$3),"",IF(INDEX(原始資料!AP$2:AP$501,$BJ459)="","",INDEX(原始資料!AP$2:AP$501,$BJ459)))</f>
        <v/>
      </c>
      <c r="AO459" s="6">
        <f>IF(OR($BJ459="",40&gt;設定!$B$3),"",IF(INDEX(原始資料!AQ$2:AQ$501,$BJ459)="","",INDEX(原始資料!AQ$2:AQ$501,$BJ459)))</f>
        <v/>
      </c>
      <c r="AP459" s="6">
        <f>IF(OR($BJ459="",41&gt;設定!$B$3),"",IF(INDEX(原始資料!AR$2:AR$501,$BJ459)="","",INDEX(原始資料!AR$2:AR$501,$BJ459)))</f>
        <v/>
      </c>
      <c r="AQ459" s="6">
        <f>IF(OR($BJ459="",42&gt;設定!$B$3),"",IF(INDEX(原始資料!AS$2:AS$501,$BJ459)="","",INDEX(原始資料!AS$2:AS$501,$BJ459)))</f>
        <v/>
      </c>
      <c r="AR459" s="6">
        <f>IF(OR($BJ459="",43&gt;設定!$B$3),"",IF(INDEX(原始資料!AT$2:AT$501,$BJ459)="","",INDEX(原始資料!AT$2:AT$501,$BJ459)))</f>
        <v/>
      </c>
      <c r="AS459" s="6">
        <f>IF(OR($BJ459="",44&gt;設定!$B$3),"",IF(INDEX(原始資料!AU$2:AU$501,$BJ459)="","",INDEX(原始資料!AU$2:AU$501,$BJ459)))</f>
        <v/>
      </c>
      <c r="AT459" s="6">
        <f>IF(OR($BJ459="",45&gt;設定!$B$3),"",IF(INDEX(原始資料!AV$2:AV$501,$BJ459)="","",INDEX(原始資料!AV$2:AV$501,$BJ459)))</f>
        <v/>
      </c>
      <c r="AU459" s="6">
        <f>IF(OR($BJ459="",46&gt;設定!$B$3),"",IF(INDEX(原始資料!AW$2:AW$501,$BJ459)="","",INDEX(原始資料!AW$2:AW$501,$BJ459)))</f>
        <v/>
      </c>
      <c r="AV459" s="6">
        <f>IF(OR($BJ459="",47&gt;設定!$B$3),"",IF(INDEX(原始資料!AX$2:AX$501,$BJ459)="","",INDEX(原始資料!AX$2:AX$501,$BJ459)))</f>
        <v/>
      </c>
      <c r="AW459" s="6">
        <f>IF(OR($BJ459="",48&gt;設定!$B$3),"",IF(INDEX(原始資料!AY$2:AY$501,$BJ459)="","",INDEX(原始資料!AY$2:AY$501,$BJ459)))</f>
        <v/>
      </c>
      <c r="AX459" s="6">
        <f>IF(OR($BJ459="",49&gt;設定!$B$3),"",IF(INDEX(原始資料!AZ$2:AZ$501,$BJ459)="","",INDEX(原始資料!AZ$2:AZ$501,$BJ459)))</f>
        <v/>
      </c>
      <c r="AY459" s="6">
        <f>IF(OR($BJ459="",50&gt;設定!$B$3),"",IF(INDEX(原始資料!BA$2:BA$501,$BJ459)="","",INDEX(原始資料!BA$2:BA$501,$BJ459)))</f>
        <v/>
      </c>
      <c r="AZ459" s="6">
        <f>IF(OR($BJ459="",51&gt;設定!$B$3),"",IF(INDEX(原始資料!BB$2:BB$501,$BJ459)="","",INDEX(原始資料!BB$2:BB$501,$BJ459)))</f>
        <v/>
      </c>
      <c r="BA459" s="6">
        <f>IF(OR($BJ459="",52&gt;設定!$B$3),"",IF(INDEX(原始資料!BC$2:BC$501,$BJ459)="","",INDEX(原始資料!BC$2:BC$501,$BJ459)))</f>
        <v/>
      </c>
      <c r="BB459" s="6">
        <f>IF(OR($BJ459="",53&gt;設定!$B$3),"",IF(INDEX(原始資料!BD$2:BD$501,$BJ459)="","",INDEX(原始資料!BD$2:BD$501,$BJ459)))</f>
        <v/>
      </c>
      <c r="BC459" s="6">
        <f>IF(OR($BJ459="",54&gt;設定!$B$3),"",IF(INDEX(原始資料!BE$2:BE$501,$BJ459)="","",INDEX(原始資料!BE$2:BE$501,$BJ459)))</f>
        <v/>
      </c>
      <c r="BD459" s="6">
        <f>IF(OR($BJ459="",55&gt;設定!$B$3),"",IF(INDEX(原始資料!BF$2:BF$501,$BJ459)="","",INDEX(原始資料!BF$2:BF$501,$BJ459)))</f>
        <v/>
      </c>
      <c r="BE459" s="6">
        <f>IF(OR($BJ459="",56&gt;設定!$B$3),"",IF(INDEX(原始資料!BG$2:BG$501,$BJ459)="","",INDEX(原始資料!BG$2:BG$501,$BJ459)))</f>
        <v/>
      </c>
      <c r="BF459" s="6">
        <f>IF(OR($BJ459="",57&gt;設定!$B$3),"",IF(INDEX(原始資料!BH$2:BH$501,$BJ459)="","",INDEX(原始資料!BH$2:BH$501,$BJ459)))</f>
        <v/>
      </c>
      <c r="BG459" s="6">
        <f>IF(OR($BJ459="",58&gt;設定!$B$3),"",IF(INDEX(原始資料!BI$2:BI$501,$BJ459)="","",INDEX(原始資料!BI$2:BI$501,$BJ459)))</f>
        <v/>
      </c>
      <c r="BH459" s="6">
        <f>IF(OR($BJ459="",59&gt;設定!$B$3),"",IF(INDEX(原始資料!BJ$2:BJ$501,$BJ459)="","",INDEX(原始資料!BJ$2:BJ$501,$BJ459)))</f>
        <v/>
      </c>
      <c r="BI459" s="6">
        <f>IF(OR($BJ459="",60&gt;設定!$B$3),"",IF(INDEX(原始資料!BK$2:BK$501,$BJ459)="","",INDEX(原始資料!BK$2:BK$501,$BJ459)))</f>
        <v/>
      </c>
      <c r="BJ459" s="6">
        <f>IFERROR(MATCH(ROW()-1,判定!$H$2:$H$501,0),"")</f>
        <v/>
      </c>
    </row>
    <row r="460">
      <c r="A460" s="6">
        <f>IF($BJ460="","",INDEX(原始資料!$A$2:$A$501,$BJ460))</f>
        <v/>
      </c>
      <c r="B460" s="6">
        <f>IF(OR($BJ460="",1&gt;設定!$B$3),"",IF(INDEX(原始資料!D$2:D$501,$BJ460)="","",INDEX(原始資料!D$2:D$501,$BJ460)))</f>
        <v/>
      </c>
      <c r="C460" s="6">
        <f>IF(OR($BJ460="",2&gt;設定!$B$3),"",IF(INDEX(原始資料!E$2:E$501,$BJ460)="","",INDEX(原始資料!E$2:E$501,$BJ460)))</f>
        <v/>
      </c>
      <c r="D460" s="6">
        <f>IF(OR($BJ460="",3&gt;設定!$B$3),"",IF(INDEX(原始資料!F$2:F$501,$BJ460)="","",INDEX(原始資料!F$2:F$501,$BJ460)))</f>
        <v/>
      </c>
      <c r="E460" s="6">
        <f>IF(OR($BJ460="",4&gt;設定!$B$3),"",IF(INDEX(原始資料!G$2:G$501,$BJ460)="","",INDEX(原始資料!G$2:G$501,$BJ460)))</f>
        <v/>
      </c>
      <c r="F460" s="6">
        <f>IF(OR($BJ460="",5&gt;設定!$B$3),"",IF(INDEX(原始資料!H$2:H$501,$BJ460)="","",INDEX(原始資料!H$2:H$501,$BJ460)))</f>
        <v/>
      </c>
      <c r="G460" s="6">
        <f>IF(OR($BJ460="",6&gt;設定!$B$3),"",IF(INDEX(原始資料!I$2:I$501,$BJ460)="","",INDEX(原始資料!I$2:I$501,$BJ460)))</f>
        <v/>
      </c>
      <c r="H460" s="6">
        <f>IF(OR($BJ460="",7&gt;設定!$B$3),"",IF(INDEX(原始資料!J$2:J$501,$BJ460)="","",INDEX(原始資料!J$2:J$501,$BJ460)))</f>
        <v/>
      </c>
      <c r="I460" s="6">
        <f>IF(OR($BJ460="",8&gt;設定!$B$3),"",IF(INDEX(原始資料!K$2:K$501,$BJ460)="","",INDEX(原始資料!K$2:K$501,$BJ460)))</f>
        <v/>
      </c>
      <c r="J460" s="6">
        <f>IF(OR($BJ460="",9&gt;設定!$B$3),"",IF(INDEX(原始資料!L$2:L$501,$BJ460)="","",INDEX(原始資料!L$2:L$501,$BJ460)))</f>
        <v/>
      </c>
      <c r="K460" s="6">
        <f>IF(OR($BJ460="",10&gt;設定!$B$3),"",IF(INDEX(原始資料!M$2:M$501,$BJ460)="","",INDEX(原始資料!M$2:M$501,$BJ460)))</f>
        <v/>
      </c>
      <c r="L460" s="6">
        <f>IF(OR($BJ460="",11&gt;設定!$B$3),"",IF(INDEX(原始資料!N$2:N$501,$BJ460)="","",INDEX(原始資料!N$2:N$501,$BJ460)))</f>
        <v/>
      </c>
      <c r="M460" s="6">
        <f>IF(OR($BJ460="",12&gt;設定!$B$3),"",IF(INDEX(原始資料!O$2:O$501,$BJ460)="","",INDEX(原始資料!O$2:O$501,$BJ460)))</f>
        <v/>
      </c>
      <c r="N460" s="6">
        <f>IF(OR($BJ460="",13&gt;設定!$B$3),"",IF(INDEX(原始資料!P$2:P$501,$BJ460)="","",INDEX(原始資料!P$2:P$501,$BJ460)))</f>
        <v/>
      </c>
      <c r="O460" s="6">
        <f>IF(OR($BJ460="",14&gt;設定!$B$3),"",IF(INDEX(原始資料!Q$2:Q$501,$BJ460)="","",INDEX(原始資料!Q$2:Q$501,$BJ460)))</f>
        <v/>
      </c>
      <c r="P460" s="6">
        <f>IF(OR($BJ460="",15&gt;設定!$B$3),"",IF(INDEX(原始資料!R$2:R$501,$BJ460)="","",INDEX(原始資料!R$2:R$501,$BJ460)))</f>
        <v/>
      </c>
      <c r="Q460" s="6">
        <f>IF(OR($BJ460="",16&gt;設定!$B$3),"",IF(INDEX(原始資料!S$2:S$501,$BJ460)="","",INDEX(原始資料!S$2:S$501,$BJ460)))</f>
        <v/>
      </c>
      <c r="R460" s="6">
        <f>IF(OR($BJ460="",17&gt;設定!$B$3),"",IF(INDEX(原始資料!T$2:T$501,$BJ460)="","",INDEX(原始資料!T$2:T$501,$BJ460)))</f>
        <v/>
      </c>
      <c r="S460" s="6">
        <f>IF(OR($BJ460="",18&gt;設定!$B$3),"",IF(INDEX(原始資料!U$2:U$501,$BJ460)="","",INDEX(原始資料!U$2:U$501,$BJ460)))</f>
        <v/>
      </c>
      <c r="T460" s="6">
        <f>IF(OR($BJ460="",19&gt;設定!$B$3),"",IF(INDEX(原始資料!V$2:V$501,$BJ460)="","",INDEX(原始資料!V$2:V$501,$BJ460)))</f>
        <v/>
      </c>
      <c r="U460" s="6">
        <f>IF(OR($BJ460="",20&gt;設定!$B$3),"",IF(INDEX(原始資料!W$2:W$501,$BJ460)="","",INDEX(原始資料!W$2:W$501,$BJ460)))</f>
        <v/>
      </c>
      <c r="V460" s="6">
        <f>IF(OR($BJ460="",21&gt;設定!$B$3),"",IF(INDEX(原始資料!X$2:X$501,$BJ460)="","",INDEX(原始資料!X$2:X$501,$BJ460)))</f>
        <v/>
      </c>
      <c r="W460" s="6">
        <f>IF(OR($BJ460="",22&gt;設定!$B$3),"",IF(INDEX(原始資料!Y$2:Y$501,$BJ460)="","",INDEX(原始資料!Y$2:Y$501,$BJ460)))</f>
        <v/>
      </c>
      <c r="X460" s="6">
        <f>IF(OR($BJ460="",23&gt;設定!$B$3),"",IF(INDEX(原始資料!Z$2:Z$501,$BJ460)="","",INDEX(原始資料!Z$2:Z$501,$BJ460)))</f>
        <v/>
      </c>
      <c r="Y460" s="6">
        <f>IF(OR($BJ460="",24&gt;設定!$B$3),"",IF(INDEX(原始資料!AA$2:AA$501,$BJ460)="","",INDEX(原始資料!AA$2:AA$501,$BJ460)))</f>
        <v/>
      </c>
      <c r="Z460" s="6">
        <f>IF(OR($BJ460="",25&gt;設定!$B$3),"",IF(INDEX(原始資料!AB$2:AB$501,$BJ460)="","",INDEX(原始資料!AB$2:AB$501,$BJ460)))</f>
        <v/>
      </c>
      <c r="AA460" s="6">
        <f>IF(OR($BJ460="",26&gt;設定!$B$3),"",IF(INDEX(原始資料!AC$2:AC$501,$BJ460)="","",INDEX(原始資料!AC$2:AC$501,$BJ460)))</f>
        <v/>
      </c>
      <c r="AB460" s="6">
        <f>IF(OR($BJ460="",27&gt;設定!$B$3),"",IF(INDEX(原始資料!AD$2:AD$501,$BJ460)="","",INDEX(原始資料!AD$2:AD$501,$BJ460)))</f>
        <v/>
      </c>
      <c r="AC460" s="6">
        <f>IF(OR($BJ460="",28&gt;設定!$B$3),"",IF(INDEX(原始資料!AE$2:AE$501,$BJ460)="","",INDEX(原始資料!AE$2:AE$501,$BJ460)))</f>
        <v/>
      </c>
      <c r="AD460" s="6">
        <f>IF(OR($BJ460="",29&gt;設定!$B$3),"",IF(INDEX(原始資料!AF$2:AF$501,$BJ460)="","",INDEX(原始資料!AF$2:AF$501,$BJ460)))</f>
        <v/>
      </c>
      <c r="AE460" s="6">
        <f>IF(OR($BJ460="",30&gt;設定!$B$3),"",IF(INDEX(原始資料!AG$2:AG$501,$BJ460)="","",INDEX(原始資料!AG$2:AG$501,$BJ460)))</f>
        <v/>
      </c>
      <c r="AF460" s="6">
        <f>IF(OR($BJ460="",31&gt;設定!$B$3),"",IF(INDEX(原始資料!AH$2:AH$501,$BJ460)="","",INDEX(原始資料!AH$2:AH$501,$BJ460)))</f>
        <v/>
      </c>
      <c r="AG460" s="6">
        <f>IF(OR($BJ460="",32&gt;設定!$B$3),"",IF(INDEX(原始資料!AI$2:AI$501,$BJ460)="","",INDEX(原始資料!AI$2:AI$501,$BJ460)))</f>
        <v/>
      </c>
      <c r="AH460" s="6">
        <f>IF(OR($BJ460="",33&gt;設定!$B$3),"",IF(INDEX(原始資料!AJ$2:AJ$501,$BJ460)="","",INDEX(原始資料!AJ$2:AJ$501,$BJ460)))</f>
        <v/>
      </c>
      <c r="AI460" s="6">
        <f>IF(OR($BJ460="",34&gt;設定!$B$3),"",IF(INDEX(原始資料!AK$2:AK$501,$BJ460)="","",INDEX(原始資料!AK$2:AK$501,$BJ460)))</f>
        <v/>
      </c>
      <c r="AJ460" s="6">
        <f>IF(OR($BJ460="",35&gt;設定!$B$3),"",IF(INDEX(原始資料!AL$2:AL$501,$BJ460)="","",INDEX(原始資料!AL$2:AL$501,$BJ460)))</f>
        <v/>
      </c>
      <c r="AK460" s="6">
        <f>IF(OR($BJ460="",36&gt;設定!$B$3),"",IF(INDEX(原始資料!AM$2:AM$501,$BJ460)="","",INDEX(原始資料!AM$2:AM$501,$BJ460)))</f>
        <v/>
      </c>
      <c r="AL460" s="6">
        <f>IF(OR($BJ460="",37&gt;設定!$B$3),"",IF(INDEX(原始資料!AN$2:AN$501,$BJ460)="","",INDEX(原始資料!AN$2:AN$501,$BJ460)))</f>
        <v/>
      </c>
      <c r="AM460" s="6">
        <f>IF(OR($BJ460="",38&gt;設定!$B$3),"",IF(INDEX(原始資料!AO$2:AO$501,$BJ460)="","",INDEX(原始資料!AO$2:AO$501,$BJ460)))</f>
        <v/>
      </c>
      <c r="AN460" s="6">
        <f>IF(OR($BJ460="",39&gt;設定!$B$3),"",IF(INDEX(原始資料!AP$2:AP$501,$BJ460)="","",INDEX(原始資料!AP$2:AP$501,$BJ460)))</f>
        <v/>
      </c>
      <c r="AO460" s="6">
        <f>IF(OR($BJ460="",40&gt;設定!$B$3),"",IF(INDEX(原始資料!AQ$2:AQ$501,$BJ460)="","",INDEX(原始資料!AQ$2:AQ$501,$BJ460)))</f>
        <v/>
      </c>
      <c r="AP460" s="6">
        <f>IF(OR($BJ460="",41&gt;設定!$B$3),"",IF(INDEX(原始資料!AR$2:AR$501,$BJ460)="","",INDEX(原始資料!AR$2:AR$501,$BJ460)))</f>
        <v/>
      </c>
      <c r="AQ460" s="6">
        <f>IF(OR($BJ460="",42&gt;設定!$B$3),"",IF(INDEX(原始資料!AS$2:AS$501,$BJ460)="","",INDEX(原始資料!AS$2:AS$501,$BJ460)))</f>
        <v/>
      </c>
      <c r="AR460" s="6">
        <f>IF(OR($BJ460="",43&gt;設定!$B$3),"",IF(INDEX(原始資料!AT$2:AT$501,$BJ460)="","",INDEX(原始資料!AT$2:AT$501,$BJ460)))</f>
        <v/>
      </c>
      <c r="AS460" s="6">
        <f>IF(OR($BJ460="",44&gt;設定!$B$3),"",IF(INDEX(原始資料!AU$2:AU$501,$BJ460)="","",INDEX(原始資料!AU$2:AU$501,$BJ460)))</f>
        <v/>
      </c>
      <c r="AT460" s="6">
        <f>IF(OR($BJ460="",45&gt;設定!$B$3),"",IF(INDEX(原始資料!AV$2:AV$501,$BJ460)="","",INDEX(原始資料!AV$2:AV$501,$BJ460)))</f>
        <v/>
      </c>
      <c r="AU460" s="6">
        <f>IF(OR($BJ460="",46&gt;設定!$B$3),"",IF(INDEX(原始資料!AW$2:AW$501,$BJ460)="","",INDEX(原始資料!AW$2:AW$501,$BJ460)))</f>
        <v/>
      </c>
      <c r="AV460" s="6">
        <f>IF(OR($BJ460="",47&gt;設定!$B$3),"",IF(INDEX(原始資料!AX$2:AX$501,$BJ460)="","",INDEX(原始資料!AX$2:AX$501,$BJ460)))</f>
        <v/>
      </c>
      <c r="AW460" s="6">
        <f>IF(OR($BJ460="",48&gt;設定!$B$3),"",IF(INDEX(原始資料!AY$2:AY$501,$BJ460)="","",INDEX(原始資料!AY$2:AY$501,$BJ460)))</f>
        <v/>
      </c>
      <c r="AX460" s="6">
        <f>IF(OR($BJ460="",49&gt;設定!$B$3),"",IF(INDEX(原始資料!AZ$2:AZ$501,$BJ460)="","",INDEX(原始資料!AZ$2:AZ$501,$BJ460)))</f>
        <v/>
      </c>
      <c r="AY460" s="6">
        <f>IF(OR($BJ460="",50&gt;設定!$B$3),"",IF(INDEX(原始資料!BA$2:BA$501,$BJ460)="","",INDEX(原始資料!BA$2:BA$501,$BJ460)))</f>
        <v/>
      </c>
      <c r="AZ460" s="6">
        <f>IF(OR($BJ460="",51&gt;設定!$B$3),"",IF(INDEX(原始資料!BB$2:BB$501,$BJ460)="","",INDEX(原始資料!BB$2:BB$501,$BJ460)))</f>
        <v/>
      </c>
      <c r="BA460" s="6">
        <f>IF(OR($BJ460="",52&gt;設定!$B$3),"",IF(INDEX(原始資料!BC$2:BC$501,$BJ460)="","",INDEX(原始資料!BC$2:BC$501,$BJ460)))</f>
        <v/>
      </c>
      <c r="BB460" s="6">
        <f>IF(OR($BJ460="",53&gt;設定!$B$3),"",IF(INDEX(原始資料!BD$2:BD$501,$BJ460)="","",INDEX(原始資料!BD$2:BD$501,$BJ460)))</f>
        <v/>
      </c>
      <c r="BC460" s="6">
        <f>IF(OR($BJ460="",54&gt;設定!$B$3),"",IF(INDEX(原始資料!BE$2:BE$501,$BJ460)="","",INDEX(原始資料!BE$2:BE$501,$BJ460)))</f>
        <v/>
      </c>
      <c r="BD460" s="6">
        <f>IF(OR($BJ460="",55&gt;設定!$B$3),"",IF(INDEX(原始資料!BF$2:BF$501,$BJ460)="","",INDEX(原始資料!BF$2:BF$501,$BJ460)))</f>
        <v/>
      </c>
      <c r="BE460" s="6">
        <f>IF(OR($BJ460="",56&gt;設定!$B$3),"",IF(INDEX(原始資料!BG$2:BG$501,$BJ460)="","",INDEX(原始資料!BG$2:BG$501,$BJ460)))</f>
        <v/>
      </c>
      <c r="BF460" s="6">
        <f>IF(OR($BJ460="",57&gt;設定!$B$3),"",IF(INDEX(原始資料!BH$2:BH$501,$BJ460)="","",INDEX(原始資料!BH$2:BH$501,$BJ460)))</f>
        <v/>
      </c>
      <c r="BG460" s="6">
        <f>IF(OR($BJ460="",58&gt;設定!$B$3),"",IF(INDEX(原始資料!BI$2:BI$501,$BJ460)="","",INDEX(原始資料!BI$2:BI$501,$BJ460)))</f>
        <v/>
      </c>
      <c r="BH460" s="6">
        <f>IF(OR($BJ460="",59&gt;設定!$B$3),"",IF(INDEX(原始資料!BJ$2:BJ$501,$BJ460)="","",INDEX(原始資料!BJ$2:BJ$501,$BJ460)))</f>
        <v/>
      </c>
      <c r="BI460" s="6">
        <f>IF(OR($BJ460="",60&gt;設定!$B$3),"",IF(INDEX(原始資料!BK$2:BK$501,$BJ460)="","",INDEX(原始資料!BK$2:BK$501,$BJ460)))</f>
        <v/>
      </c>
      <c r="BJ460" s="6">
        <f>IFERROR(MATCH(ROW()-1,判定!$H$2:$H$501,0),"")</f>
        <v/>
      </c>
    </row>
    <row r="461">
      <c r="A461" s="6">
        <f>IF($BJ461="","",INDEX(原始資料!$A$2:$A$501,$BJ461))</f>
        <v/>
      </c>
      <c r="B461" s="6">
        <f>IF(OR($BJ461="",1&gt;設定!$B$3),"",IF(INDEX(原始資料!D$2:D$501,$BJ461)="","",INDEX(原始資料!D$2:D$501,$BJ461)))</f>
        <v/>
      </c>
      <c r="C461" s="6">
        <f>IF(OR($BJ461="",2&gt;設定!$B$3),"",IF(INDEX(原始資料!E$2:E$501,$BJ461)="","",INDEX(原始資料!E$2:E$501,$BJ461)))</f>
        <v/>
      </c>
      <c r="D461" s="6">
        <f>IF(OR($BJ461="",3&gt;設定!$B$3),"",IF(INDEX(原始資料!F$2:F$501,$BJ461)="","",INDEX(原始資料!F$2:F$501,$BJ461)))</f>
        <v/>
      </c>
      <c r="E461" s="6">
        <f>IF(OR($BJ461="",4&gt;設定!$B$3),"",IF(INDEX(原始資料!G$2:G$501,$BJ461)="","",INDEX(原始資料!G$2:G$501,$BJ461)))</f>
        <v/>
      </c>
      <c r="F461" s="6">
        <f>IF(OR($BJ461="",5&gt;設定!$B$3),"",IF(INDEX(原始資料!H$2:H$501,$BJ461)="","",INDEX(原始資料!H$2:H$501,$BJ461)))</f>
        <v/>
      </c>
      <c r="G461" s="6">
        <f>IF(OR($BJ461="",6&gt;設定!$B$3),"",IF(INDEX(原始資料!I$2:I$501,$BJ461)="","",INDEX(原始資料!I$2:I$501,$BJ461)))</f>
        <v/>
      </c>
      <c r="H461" s="6">
        <f>IF(OR($BJ461="",7&gt;設定!$B$3),"",IF(INDEX(原始資料!J$2:J$501,$BJ461)="","",INDEX(原始資料!J$2:J$501,$BJ461)))</f>
        <v/>
      </c>
      <c r="I461" s="6">
        <f>IF(OR($BJ461="",8&gt;設定!$B$3),"",IF(INDEX(原始資料!K$2:K$501,$BJ461)="","",INDEX(原始資料!K$2:K$501,$BJ461)))</f>
        <v/>
      </c>
      <c r="J461" s="6">
        <f>IF(OR($BJ461="",9&gt;設定!$B$3),"",IF(INDEX(原始資料!L$2:L$501,$BJ461)="","",INDEX(原始資料!L$2:L$501,$BJ461)))</f>
        <v/>
      </c>
      <c r="K461" s="6">
        <f>IF(OR($BJ461="",10&gt;設定!$B$3),"",IF(INDEX(原始資料!M$2:M$501,$BJ461)="","",INDEX(原始資料!M$2:M$501,$BJ461)))</f>
        <v/>
      </c>
      <c r="L461" s="6">
        <f>IF(OR($BJ461="",11&gt;設定!$B$3),"",IF(INDEX(原始資料!N$2:N$501,$BJ461)="","",INDEX(原始資料!N$2:N$501,$BJ461)))</f>
        <v/>
      </c>
      <c r="M461" s="6">
        <f>IF(OR($BJ461="",12&gt;設定!$B$3),"",IF(INDEX(原始資料!O$2:O$501,$BJ461)="","",INDEX(原始資料!O$2:O$501,$BJ461)))</f>
        <v/>
      </c>
      <c r="N461" s="6">
        <f>IF(OR($BJ461="",13&gt;設定!$B$3),"",IF(INDEX(原始資料!P$2:P$501,$BJ461)="","",INDEX(原始資料!P$2:P$501,$BJ461)))</f>
        <v/>
      </c>
      <c r="O461" s="6">
        <f>IF(OR($BJ461="",14&gt;設定!$B$3),"",IF(INDEX(原始資料!Q$2:Q$501,$BJ461)="","",INDEX(原始資料!Q$2:Q$501,$BJ461)))</f>
        <v/>
      </c>
      <c r="P461" s="6">
        <f>IF(OR($BJ461="",15&gt;設定!$B$3),"",IF(INDEX(原始資料!R$2:R$501,$BJ461)="","",INDEX(原始資料!R$2:R$501,$BJ461)))</f>
        <v/>
      </c>
      <c r="Q461" s="6">
        <f>IF(OR($BJ461="",16&gt;設定!$B$3),"",IF(INDEX(原始資料!S$2:S$501,$BJ461)="","",INDEX(原始資料!S$2:S$501,$BJ461)))</f>
        <v/>
      </c>
      <c r="R461" s="6">
        <f>IF(OR($BJ461="",17&gt;設定!$B$3),"",IF(INDEX(原始資料!T$2:T$501,$BJ461)="","",INDEX(原始資料!T$2:T$501,$BJ461)))</f>
        <v/>
      </c>
      <c r="S461" s="6">
        <f>IF(OR($BJ461="",18&gt;設定!$B$3),"",IF(INDEX(原始資料!U$2:U$501,$BJ461)="","",INDEX(原始資料!U$2:U$501,$BJ461)))</f>
        <v/>
      </c>
      <c r="T461" s="6">
        <f>IF(OR($BJ461="",19&gt;設定!$B$3),"",IF(INDEX(原始資料!V$2:V$501,$BJ461)="","",INDEX(原始資料!V$2:V$501,$BJ461)))</f>
        <v/>
      </c>
      <c r="U461" s="6">
        <f>IF(OR($BJ461="",20&gt;設定!$B$3),"",IF(INDEX(原始資料!W$2:W$501,$BJ461)="","",INDEX(原始資料!W$2:W$501,$BJ461)))</f>
        <v/>
      </c>
      <c r="V461" s="6">
        <f>IF(OR($BJ461="",21&gt;設定!$B$3),"",IF(INDEX(原始資料!X$2:X$501,$BJ461)="","",INDEX(原始資料!X$2:X$501,$BJ461)))</f>
        <v/>
      </c>
      <c r="W461" s="6">
        <f>IF(OR($BJ461="",22&gt;設定!$B$3),"",IF(INDEX(原始資料!Y$2:Y$501,$BJ461)="","",INDEX(原始資料!Y$2:Y$501,$BJ461)))</f>
        <v/>
      </c>
      <c r="X461" s="6">
        <f>IF(OR($BJ461="",23&gt;設定!$B$3),"",IF(INDEX(原始資料!Z$2:Z$501,$BJ461)="","",INDEX(原始資料!Z$2:Z$501,$BJ461)))</f>
        <v/>
      </c>
      <c r="Y461" s="6">
        <f>IF(OR($BJ461="",24&gt;設定!$B$3),"",IF(INDEX(原始資料!AA$2:AA$501,$BJ461)="","",INDEX(原始資料!AA$2:AA$501,$BJ461)))</f>
        <v/>
      </c>
      <c r="Z461" s="6">
        <f>IF(OR($BJ461="",25&gt;設定!$B$3),"",IF(INDEX(原始資料!AB$2:AB$501,$BJ461)="","",INDEX(原始資料!AB$2:AB$501,$BJ461)))</f>
        <v/>
      </c>
      <c r="AA461" s="6">
        <f>IF(OR($BJ461="",26&gt;設定!$B$3),"",IF(INDEX(原始資料!AC$2:AC$501,$BJ461)="","",INDEX(原始資料!AC$2:AC$501,$BJ461)))</f>
        <v/>
      </c>
      <c r="AB461" s="6">
        <f>IF(OR($BJ461="",27&gt;設定!$B$3),"",IF(INDEX(原始資料!AD$2:AD$501,$BJ461)="","",INDEX(原始資料!AD$2:AD$501,$BJ461)))</f>
        <v/>
      </c>
      <c r="AC461" s="6">
        <f>IF(OR($BJ461="",28&gt;設定!$B$3),"",IF(INDEX(原始資料!AE$2:AE$501,$BJ461)="","",INDEX(原始資料!AE$2:AE$501,$BJ461)))</f>
        <v/>
      </c>
      <c r="AD461" s="6">
        <f>IF(OR($BJ461="",29&gt;設定!$B$3),"",IF(INDEX(原始資料!AF$2:AF$501,$BJ461)="","",INDEX(原始資料!AF$2:AF$501,$BJ461)))</f>
        <v/>
      </c>
      <c r="AE461" s="6">
        <f>IF(OR($BJ461="",30&gt;設定!$B$3),"",IF(INDEX(原始資料!AG$2:AG$501,$BJ461)="","",INDEX(原始資料!AG$2:AG$501,$BJ461)))</f>
        <v/>
      </c>
      <c r="AF461" s="6">
        <f>IF(OR($BJ461="",31&gt;設定!$B$3),"",IF(INDEX(原始資料!AH$2:AH$501,$BJ461)="","",INDEX(原始資料!AH$2:AH$501,$BJ461)))</f>
        <v/>
      </c>
      <c r="AG461" s="6">
        <f>IF(OR($BJ461="",32&gt;設定!$B$3),"",IF(INDEX(原始資料!AI$2:AI$501,$BJ461)="","",INDEX(原始資料!AI$2:AI$501,$BJ461)))</f>
        <v/>
      </c>
      <c r="AH461" s="6">
        <f>IF(OR($BJ461="",33&gt;設定!$B$3),"",IF(INDEX(原始資料!AJ$2:AJ$501,$BJ461)="","",INDEX(原始資料!AJ$2:AJ$501,$BJ461)))</f>
        <v/>
      </c>
      <c r="AI461" s="6">
        <f>IF(OR($BJ461="",34&gt;設定!$B$3),"",IF(INDEX(原始資料!AK$2:AK$501,$BJ461)="","",INDEX(原始資料!AK$2:AK$501,$BJ461)))</f>
        <v/>
      </c>
      <c r="AJ461" s="6">
        <f>IF(OR($BJ461="",35&gt;設定!$B$3),"",IF(INDEX(原始資料!AL$2:AL$501,$BJ461)="","",INDEX(原始資料!AL$2:AL$501,$BJ461)))</f>
        <v/>
      </c>
      <c r="AK461" s="6">
        <f>IF(OR($BJ461="",36&gt;設定!$B$3),"",IF(INDEX(原始資料!AM$2:AM$501,$BJ461)="","",INDEX(原始資料!AM$2:AM$501,$BJ461)))</f>
        <v/>
      </c>
      <c r="AL461" s="6">
        <f>IF(OR($BJ461="",37&gt;設定!$B$3),"",IF(INDEX(原始資料!AN$2:AN$501,$BJ461)="","",INDEX(原始資料!AN$2:AN$501,$BJ461)))</f>
        <v/>
      </c>
      <c r="AM461" s="6">
        <f>IF(OR($BJ461="",38&gt;設定!$B$3),"",IF(INDEX(原始資料!AO$2:AO$501,$BJ461)="","",INDEX(原始資料!AO$2:AO$501,$BJ461)))</f>
        <v/>
      </c>
      <c r="AN461" s="6">
        <f>IF(OR($BJ461="",39&gt;設定!$B$3),"",IF(INDEX(原始資料!AP$2:AP$501,$BJ461)="","",INDEX(原始資料!AP$2:AP$501,$BJ461)))</f>
        <v/>
      </c>
      <c r="AO461" s="6">
        <f>IF(OR($BJ461="",40&gt;設定!$B$3),"",IF(INDEX(原始資料!AQ$2:AQ$501,$BJ461)="","",INDEX(原始資料!AQ$2:AQ$501,$BJ461)))</f>
        <v/>
      </c>
      <c r="AP461" s="6">
        <f>IF(OR($BJ461="",41&gt;設定!$B$3),"",IF(INDEX(原始資料!AR$2:AR$501,$BJ461)="","",INDEX(原始資料!AR$2:AR$501,$BJ461)))</f>
        <v/>
      </c>
      <c r="AQ461" s="6">
        <f>IF(OR($BJ461="",42&gt;設定!$B$3),"",IF(INDEX(原始資料!AS$2:AS$501,$BJ461)="","",INDEX(原始資料!AS$2:AS$501,$BJ461)))</f>
        <v/>
      </c>
      <c r="AR461" s="6">
        <f>IF(OR($BJ461="",43&gt;設定!$B$3),"",IF(INDEX(原始資料!AT$2:AT$501,$BJ461)="","",INDEX(原始資料!AT$2:AT$501,$BJ461)))</f>
        <v/>
      </c>
      <c r="AS461" s="6">
        <f>IF(OR($BJ461="",44&gt;設定!$B$3),"",IF(INDEX(原始資料!AU$2:AU$501,$BJ461)="","",INDEX(原始資料!AU$2:AU$501,$BJ461)))</f>
        <v/>
      </c>
      <c r="AT461" s="6">
        <f>IF(OR($BJ461="",45&gt;設定!$B$3),"",IF(INDEX(原始資料!AV$2:AV$501,$BJ461)="","",INDEX(原始資料!AV$2:AV$501,$BJ461)))</f>
        <v/>
      </c>
      <c r="AU461" s="6">
        <f>IF(OR($BJ461="",46&gt;設定!$B$3),"",IF(INDEX(原始資料!AW$2:AW$501,$BJ461)="","",INDEX(原始資料!AW$2:AW$501,$BJ461)))</f>
        <v/>
      </c>
      <c r="AV461" s="6">
        <f>IF(OR($BJ461="",47&gt;設定!$B$3),"",IF(INDEX(原始資料!AX$2:AX$501,$BJ461)="","",INDEX(原始資料!AX$2:AX$501,$BJ461)))</f>
        <v/>
      </c>
      <c r="AW461" s="6">
        <f>IF(OR($BJ461="",48&gt;設定!$B$3),"",IF(INDEX(原始資料!AY$2:AY$501,$BJ461)="","",INDEX(原始資料!AY$2:AY$501,$BJ461)))</f>
        <v/>
      </c>
      <c r="AX461" s="6">
        <f>IF(OR($BJ461="",49&gt;設定!$B$3),"",IF(INDEX(原始資料!AZ$2:AZ$501,$BJ461)="","",INDEX(原始資料!AZ$2:AZ$501,$BJ461)))</f>
        <v/>
      </c>
      <c r="AY461" s="6">
        <f>IF(OR($BJ461="",50&gt;設定!$B$3),"",IF(INDEX(原始資料!BA$2:BA$501,$BJ461)="","",INDEX(原始資料!BA$2:BA$501,$BJ461)))</f>
        <v/>
      </c>
      <c r="AZ461" s="6">
        <f>IF(OR($BJ461="",51&gt;設定!$B$3),"",IF(INDEX(原始資料!BB$2:BB$501,$BJ461)="","",INDEX(原始資料!BB$2:BB$501,$BJ461)))</f>
        <v/>
      </c>
      <c r="BA461" s="6">
        <f>IF(OR($BJ461="",52&gt;設定!$B$3),"",IF(INDEX(原始資料!BC$2:BC$501,$BJ461)="","",INDEX(原始資料!BC$2:BC$501,$BJ461)))</f>
        <v/>
      </c>
      <c r="BB461" s="6">
        <f>IF(OR($BJ461="",53&gt;設定!$B$3),"",IF(INDEX(原始資料!BD$2:BD$501,$BJ461)="","",INDEX(原始資料!BD$2:BD$501,$BJ461)))</f>
        <v/>
      </c>
      <c r="BC461" s="6">
        <f>IF(OR($BJ461="",54&gt;設定!$B$3),"",IF(INDEX(原始資料!BE$2:BE$501,$BJ461)="","",INDEX(原始資料!BE$2:BE$501,$BJ461)))</f>
        <v/>
      </c>
      <c r="BD461" s="6">
        <f>IF(OR($BJ461="",55&gt;設定!$B$3),"",IF(INDEX(原始資料!BF$2:BF$501,$BJ461)="","",INDEX(原始資料!BF$2:BF$501,$BJ461)))</f>
        <v/>
      </c>
      <c r="BE461" s="6">
        <f>IF(OR($BJ461="",56&gt;設定!$B$3),"",IF(INDEX(原始資料!BG$2:BG$501,$BJ461)="","",INDEX(原始資料!BG$2:BG$501,$BJ461)))</f>
        <v/>
      </c>
      <c r="BF461" s="6">
        <f>IF(OR($BJ461="",57&gt;設定!$B$3),"",IF(INDEX(原始資料!BH$2:BH$501,$BJ461)="","",INDEX(原始資料!BH$2:BH$501,$BJ461)))</f>
        <v/>
      </c>
      <c r="BG461" s="6">
        <f>IF(OR($BJ461="",58&gt;設定!$B$3),"",IF(INDEX(原始資料!BI$2:BI$501,$BJ461)="","",INDEX(原始資料!BI$2:BI$501,$BJ461)))</f>
        <v/>
      </c>
      <c r="BH461" s="6">
        <f>IF(OR($BJ461="",59&gt;設定!$B$3),"",IF(INDEX(原始資料!BJ$2:BJ$501,$BJ461)="","",INDEX(原始資料!BJ$2:BJ$501,$BJ461)))</f>
        <v/>
      </c>
      <c r="BI461" s="6">
        <f>IF(OR($BJ461="",60&gt;設定!$B$3),"",IF(INDEX(原始資料!BK$2:BK$501,$BJ461)="","",INDEX(原始資料!BK$2:BK$501,$BJ461)))</f>
        <v/>
      </c>
      <c r="BJ461" s="6">
        <f>IFERROR(MATCH(ROW()-1,判定!$H$2:$H$501,0),"")</f>
        <v/>
      </c>
    </row>
    <row r="462">
      <c r="A462" s="6">
        <f>IF($BJ462="","",INDEX(原始資料!$A$2:$A$501,$BJ462))</f>
        <v/>
      </c>
      <c r="B462" s="6">
        <f>IF(OR($BJ462="",1&gt;設定!$B$3),"",IF(INDEX(原始資料!D$2:D$501,$BJ462)="","",INDEX(原始資料!D$2:D$501,$BJ462)))</f>
        <v/>
      </c>
      <c r="C462" s="6">
        <f>IF(OR($BJ462="",2&gt;設定!$B$3),"",IF(INDEX(原始資料!E$2:E$501,$BJ462)="","",INDEX(原始資料!E$2:E$501,$BJ462)))</f>
        <v/>
      </c>
      <c r="D462" s="6">
        <f>IF(OR($BJ462="",3&gt;設定!$B$3),"",IF(INDEX(原始資料!F$2:F$501,$BJ462)="","",INDEX(原始資料!F$2:F$501,$BJ462)))</f>
        <v/>
      </c>
      <c r="E462" s="6">
        <f>IF(OR($BJ462="",4&gt;設定!$B$3),"",IF(INDEX(原始資料!G$2:G$501,$BJ462)="","",INDEX(原始資料!G$2:G$501,$BJ462)))</f>
        <v/>
      </c>
      <c r="F462" s="6">
        <f>IF(OR($BJ462="",5&gt;設定!$B$3),"",IF(INDEX(原始資料!H$2:H$501,$BJ462)="","",INDEX(原始資料!H$2:H$501,$BJ462)))</f>
        <v/>
      </c>
      <c r="G462" s="6">
        <f>IF(OR($BJ462="",6&gt;設定!$B$3),"",IF(INDEX(原始資料!I$2:I$501,$BJ462)="","",INDEX(原始資料!I$2:I$501,$BJ462)))</f>
        <v/>
      </c>
      <c r="H462" s="6">
        <f>IF(OR($BJ462="",7&gt;設定!$B$3),"",IF(INDEX(原始資料!J$2:J$501,$BJ462)="","",INDEX(原始資料!J$2:J$501,$BJ462)))</f>
        <v/>
      </c>
      <c r="I462" s="6">
        <f>IF(OR($BJ462="",8&gt;設定!$B$3),"",IF(INDEX(原始資料!K$2:K$501,$BJ462)="","",INDEX(原始資料!K$2:K$501,$BJ462)))</f>
        <v/>
      </c>
      <c r="J462" s="6">
        <f>IF(OR($BJ462="",9&gt;設定!$B$3),"",IF(INDEX(原始資料!L$2:L$501,$BJ462)="","",INDEX(原始資料!L$2:L$501,$BJ462)))</f>
        <v/>
      </c>
      <c r="K462" s="6">
        <f>IF(OR($BJ462="",10&gt;設定!$B$3),"",IF(INDEX(原始資料!M$2:M$501,$BJ462)="","",INDEX(原始資料!M$2:M$501,$BJ462)))</f>
        <v/>
      </c>
      <c r="L462" s="6">
        <f>IF(OR($BJ462="",11&gt;設定!$B$3),"",IF(INDEX(原始資料!N$2:N$501,$BJ462)="","",INDEX(原始資料!N$2:N$501,$BJ462)))</f>
        <v/>
      </c>
      <c r="M462" s="6">
        <f>IF(OR($BJ462="",12&gt;設定!$B$3),"",IF(INDEX(原始資料!O$2:O$501,$BJ462)="","",INDEX(原始資料!O$2:O$501,$BJ462)))</f>
        <v/>
      </c>
      <c r="N462" s="6">
        <f>IF(OR($BJ462="",13&gt;設定!$B$3),"",IF(INDEX(原始資料!P$2:P$501,$BJ462)="","",INDEX(原始資料!P$2:P$501,$BJ462)))</f>
        <v/>
      </c>
      <c r="O462" s="6">
        <f>IF(OR($BJ462="",14&gt;設定!$B$3),"",IF(INDEX(原始資料!Q$2:Q$501,$BJ462)="","",INDEX(原始資料!Q$2:Q$501,$BJ462)))</f>
        <v/>
      </c>
      <c r="P462" s="6">
        <f>IF(OR($BJ462="",15&gt;設定!$B$3),"",IF(INDEX(原始資料!R$2:R$501,$BJ462)="","",INDEX(原始資料!R$2:R$501,$BJ462)))</f>
        <v/>
      </c>
      <c r="Q462" s="6">
        <f>IF(OR($BJ462="",16&gt;設定!$B$3),"",IF(INDEX(原始資料!S$2:S$501,$BJ462)="","",INDEX(原始資料!S$2:S$501,$BJ462)))</f>
        <v/>
      </c>
      <c r="R462" s="6">
        <f>IF(OR($BJ462="",17&gt;設定!$B$3),"",IF(INDEX(原始資料!T$2:T$501,$BJ462)="","",INDEX(原始資料!T$2:T$501,$BJ462)))</f>
        <v/>
      </c>
      <c r="S462" s="6">
        <f>IF(OR($BJ462="",18&gt;設定!$B$3),"",IF(INDEX(原始資料!U$2:U$501,$BJ462)="","",INDEX(原始資料!U$2:U$501,$BJ462)))</f>
        <v/>
      </c>
      <c r="T462" s="6">
        <f>IF(OR($BJ462="",19&gt;設定!$B$3),"",IF(INDEX(原始資料!V$2:V$501,$BJ462)="","",INDEX(原始資料!V$2:V$501,$BJ462)))</f>
        <v/>
      </c>
      <c r="U462" s="6">
        <f>IF(OR($BJ462="",20&gt;設定!$B$3),"",IF(INDEX(原始資料!W$2:W$501,$BJ462)="","",INDEX(原始資料!W$2:W$501,$BJ462)))</f>
        <v/>
      </c>
      <c r="V462" s="6">
        <f>IF(OR($BJ462="",21&gt;設定!$B$3),"",IF(INDEX(原始資料!X$2:X$501,$BJ462)="","",INDEX(原始資料!X$2:X$501,$BJ462)))</f>
        <v/>
      </c>
      <c r="W462" s="6">
        <f>IF(OR($BJ462="",22&gt;設定!$B$3),"",IF(INDEX(原始資料!Y$2:Y$501,$BJ462)="","",INDEX(原始資料!Y$2:Y$501,$BJ462)))</f>
        <v/>
      </c>
      <c r="X462" s="6">
        <f>IF(OR($BJ462="",23&gt;設定!$B$3),"",IF(INDEX(原始資料!Z$2:Z$501,$BJ462)="","",INDEX(原始資料!Z$2:Z$501,$BJ462)))</f>
        <v/>
      </c>
      <c r="Y462" s="6">
        <f>IF(OR($BJ462="",24&gt;設定!$B$3),"",IF(INDEX(原始資料!AA$2:AA$501,$BJ462)="","",INDEX(原始資料!AA$2:AA$501,$BJ462)))</f>
        <v/>
      </c>
      <c r="Z462" s="6">
        <f>IF(OR($BJ462="",25&gt;設定!$B$3),"",IF(INDEX(原始資料!AB$2:AB$501,$BJ462)="","",INDEX(原始資料!AB$2:AB$501,$BJ462)))</f>
        <v/>
      </c>
      <c r="AA462" s="6">
        <f>IF(OR($BJ462="",26&gt;設定!$B$3),"",IF(INDEX(原始資料!AC$2:AC$501,$BJ462)="","",INDEX(原始資料!AC$2:AC$501,$BJ462)))</f>
        <v/>
      </c>
      <c r="AB462" s="6">
        <f>IF(OR($BJ462="",27&gt;設定!$B$3),"",IF(INDEX(原始資料!AD$2:AD$501,$BJ462)="","",INDEX(原始資料!AD$2:AD$501,$BJ462)))</f>
        <v/>
      </c>
      <c r="AC462" s="6">
        <f>IF(OR($BJ462="",28&gt;設定!$B$3),"",IF(INDEX(原始資料!AE$2:AE$501,$BJ462)="","",INDEX(原始資料!AE$2:AE$501,$BJ462)))</f>
        <v/>
      </c>
      <c r="AD462" s="6">
        <f>IF(OR($BJ462="",29&gt;設定!$B$3),"",IF(INDEX(原始資料!AF$2:AF$501,$BJ462)="","",INDEX(原始資料!AF$2:AF$501,$BJ462)))</f>
        <v/>
      </c>
      <c r="AE462" s="6">
        <f>IF(OR($BJ462="",30&gt;設定!$B$3),"",IF(INDEX(原始資料!AG$2:AG$501,$BJ462)="","",INDEX(原始資料!AG$2:AG$501,$BJ462)))</f>
        <v/>
      </c>
      <c r="AF462" s="6">
        <f>IF(OR($BJ462="",31&gt;設定!$B$3),"",IF(INDEX(原始資料!AH$2:AH$501,$BJ462)="","",INDEX(原始資料!AH$2:AH$501,$BJ462)))</f>
        <v/>
      </c>
      <c r="AG462" s="6">
        <f>IF(OR($BJ462="",32&gt;設定!$B$3),"",IF(INDEX(原始資料!AI$2:AI$501,$BJ462)="","",INDEX(原始資料!AI$2:AI$501,$BJ462)))</f>
        <v/>
      </c>
      <c r="AH462" s="6">
        <f>IF(OR($BJ462="",33&gt;設定!$B$3),"",IF(INDEX(原始資料!AJ$2:AJ$501,$BJ462)="","",INDEX(原始資料!AJ$2:AJ$501,$BJ462)))</f>
        <v/>
      </c>
      <c r="AI462" s="6">
        <f>IF(OR($BJ462="",34&gt;設定!$B$3),"",IF(INDEX(原始資料!AK$2:AK$501,$BJ462)="","",INDEX(原始資料!AK$2:AK$501,$BJ462)))</f>
        <v/>
      </c>
      <c r="AJ462" s="6">
        <f>IF(OR($BJ462="",35&gt;設定!$B$3),"",IF(INDEX(原始資料!AL$2:AL$501,$BJ462)="","",INDEX(原始資料!AL$2:AL$501,$BJ462)))</f>
        <v/>
      </c>
      <c r="AK462" s="6">
        <f>IF(OR($BJ462="",36&gt;設定!$B$3),"",IF(INDEX(原始資料!AM$2:AM$501,$BJ462)="","",INDEX(原始資料!AM$2:AM$501,$BJ462)))</f>
        <v/>
      </c>
      <c r="AL462" s="6">
        <f>IF(OR($BJ462="",37&gt;設定!$B$3),"",IF(INDEX(原始資料!AN$2:AN$501,$BJ462)="","",INDEX(原始資料!AN$2:AN$501,$BJ462)))</f>
        <v/>
      </c>
      <c r="AM462" s="6">
        <f>IF(OR($BJ462="",38&gt;設定!$B$3),"",IF(INDEX(原始資料!AO$2:AO$501,$BJ462)="","",INDEX(原始資料!AO$2:AO$501,$BJ462)))</f>
        <v/>
      </c>
      <c r="AN462" s="6">
        <f>IF(OR($BJ462="",39&gt;設定!$B$3),"",IF(INDEX(原始資料!AP$2:AP$501,$BJ462)="","",INDEX(原始資料!AP$2:AP$501,$BJ462)))</f>
        <v/>
      </c>
      <c r="AO462" s="6">
        <f>IF(OR($BJ462="",40&gt;設定!$B$3),"",IF(INDEX(原始資料!AQ$2:AQ$501,$BJ462)="","",INDEX(原始資料!AQ$2:AQ$501,$BJ462)))</f>
        <v/>
      </c>
      <c r="AP462" s="6">
        <f>IF(OR($BJ462="",41&gt;設定!$B$3),"",IF(INDEX(原始資料!AR$2:AR$501,$BJ462)="","",INDEX(原始資料!AR$2:AR$501,$BJ462)))</f>
        <v/>
      </c>
      <c r="AQ462" s="6">
        <f>IF(OR($BJ462="",42&gt;設定!$B$3),"",IF(INDEX(原始資料!AS$2:AS$501,$BJ462)="","",INDEX(原始資料!AS$2:AS$501,$BJ462)))</f>
        <v/>
      </c>
      <c r="AR462" s="6">
        <f>IF(OR($BJ462="",43&gt;設定!$B$3),"",IF(INDEX(原始資料!AT$2:AT$501,$BJ462)="","",INDEX(原始資料!AT$2:AT$501,$BJ462)))</f>
        <v/>
      </c>
      <c r="AS462" s="6">
        <f>IF(OR($BJ462="",44&gt;設定!$B$3),"",IF(INDEX(原始資料!AU$2:AU$501,$BJ462)="","",INDEX(原始資料!AU$2:AU$501,$BJ462)))</f>
        <v/>
      </c>
      <c r="AT462" s="6">
        <f>IF(OR($BJ462="",45&gt;設定!$B$3),"",IF(INDEX(原始資料!AV$2:AV$501,$BJ462)="","",INDEX(原始資料!AV$2:AV$501,$BJ462)))</f>
        <v/>
      </c>
      <c r="AU462" s="6">
        <f>IF(OR($BJ462="",46&gt;設定!$B$3),"",IF(INDEX(原始資料!AW$2:AW$501,$BJ462)="","",INDEX(原始資料!AW$2:AW$501,$BJ462)))</f>
        <v/>
      </c>
      <c r="AV462" s="6">
        <f>IF(OR($BJ462="",47&gt;設定!$B$3),"",IF(INDEX(原始資料!AX$2:AX$501,$BJ462)="","",INDEX(原始資料!AX$2:AX$501,$BJ462)))</f>
        <v/>
      </c>
      <c r="AW462" s="6">
        <f>IF(OR($BJ462="",48&gt;設定!$B$3),"",IF(INDEX(原始資料!AY$2:AY$501,$BJ462)="","",INDEX(原始資料!AY$2:AY$501,$BJ462)))</f>
        <v/>
      </c>
      <c r="AX462" s="6">
        <f>IF(OR($BJ462="",49&gt;設定!$B$3),"",IF(INDEX(原始資料!AZ$2:AZ$501,$BJ462)="","",INDEX(原始資料!AZ$2:AZ$501,$BJ462)))</f>
        <v/>
      </c>
      <c r="AY462" s="6">
        <f>IF(OR($BJ462="",50&gt;設定!$B$3),"",IF(INDEX(原始資料!BA$2:BA$501,$BJ462)="","",INDEX(原始資料!BA$2:BA$501,$BJ462)))</f>
        <v/>
      </c>
      <c r="AZ462" s="6">
        <f>IF(OR($BJ462="",51&gt;設定!$B$3),"",IF(INDEX(原始資料!BB$2:BB$501,$BJ462)="","",INDEX(原始資料!BB$2:BB$501,$BJ462)))</f>
        <v/>
      </c>
      <c r="BA462" s="6">
        <f>IF(OR($BJ462="",52&gt;設定!$B$3),"",IF(INDEX(原始資料!BC$2:BC$501,$BJ462)="","",INDEX(原始資料!BC$2:BC$501,$BJ462)))</f>
        <v/>
      </c>
      <c r="BB462" s="6">
        <f>IF(OR($BJ462="",53&gt;設定!$B$3),"",IF(INDEX(原始資料!BD$2:BD$501,$BJ462)="","",INDEX(原始資料!BD$2:BD$501,$BJ462)))</f>
        <v/>
      </c>
      <c r="BC462" s="6">
        <f>IF(OR($BJ462="",54&gt;設定!$B$3),"",IF(INDEX(原始資料!BE$2:BE$501,$BJ462)="","",INDEX(原始資料!BE$2:BE$501,$BJ462)))</f>
        <v/>
      </c>
      <c r="BD462" s="6">
        <f>IF(OR($BJ462="",55&gt;設定!$B$3),"",IF(INDEX(原始資料!BF$2:BF$501,$BJ462)="","",INDEX(原始資料!BF$2:BF$501,$BJ462)))</f>
        <v/>
      </c>
      <c r="BE462" s="6">
        <f>IF(OR($BJ462="",56&gt;設定!$B$3),"",IF(INDEX(原始資料!BG$2:BG$501,$BJ462)="","",INDEX(原始資料!BG$2:BG$501,$BJ462)))</f>
        <v/>
      </c>
      <c r="BF462" s="6">
        <f>IF(OR($BJ462="",57&gt;設定!$B$3),"",IF(INDEX(原始資料!BH$2:BH$501,$BJ462)="","",INDEX(原始資料!BH$2:BH$501,$BJ462)))</f>
        <v/>
      </c>
      <c r="BG462" s="6">
        <f>IF(OR($BJ462="",58&gt;設定!$B$3),"",IF(INDEX(原始資料!BI$2:BI$501,$BJ462)="","",INDEX(原始資料!BI$2:BI$501,$BJ462)))</f>
        <v/>
      </c>
      <c r="BH462" s="6">
        <f>IF(OR($BJ462="",59&gt;設定!$B$3),"",IF(INDEX(原始資料!BJ$2:BJ$501,$BJ462)="","",INDEX(原始資料!BJ$2:BJ$501,$BJ462)))</f>
        <v/>
      </c>
      <c r="BI462" s="6">
        <f>IF(OR($BJ462="",60&gt;設定!$B$3),"",IF(INDEX(原始資料!BK$2:BK$501,$BJ462)="","",INDEX(原始資料!BK$2:BK$501,$BJ462)))</f>
        <v/>
      </c>
      <c r="BJ462" s="6">
        <f>IFERROR(MATCH(ROW()-1,判定!$H$2:$H$501,0),"")</f>
        <v/>
      </c>
    </row>
    <row r="463">
      <c r="A463" s="6">
        <f>IF($BJ463="","",INDEX(原始資料!$A$2:$A$501,$BJ463))</f>
        <v/>
      </c>
      <c r="B463" s="6">
        <f>IF(OR($BJ463="",1&gt;設定!$B$3),"",IF(INDEX(原始資料!D$2:D$501,$BJ463)="","",INDEX(原始資料!D$2:D$501,$BJ463)))</f>
        <v/>
      </c>
      <c r="C463" s="6">
        <f>IF(OR($BJ463="",2&gt;設定!$B$3),"",IF(INDEX(原始資料!E$2:E$501,$BJ463)="","",INDEX(原始資料!E$2:E$501,$BJ463)))</f>
        <v/>
      </c>
      <c r="D463" s="6">
        <f>IF(OR($BJ463="",3&gt;設定!$B$3),"",IF(INDEX(原始資料!F$2:F$501,$BJ463)="","",INDEX(原始資料!F$2:F$501,$BJ463)))</f>
        <v/>
      </c>
      <c r="E463" s="6">
        <f>IF(OR($BJ463="",4&gt;設定!$B$3),"",IF(INDEX(原始資料!G$2:G$501,$BJ463)="","",INDEX(原始資料!G$2:G$501,$BJ463)))</f>
        <v/>
      </c>
      <c r="F463" s="6">
        <f>IF(OR($BJ463="",5&gt;設定!$B$3),"",IF(INDEX(原始資料!H$2:H$501,$BJ463)="","",INDEX(原始資料!H$2:H$501,$BJ463)))</f>
        <v/>
      </c>
      <c r="G463" s="6">
        <f>IF(OR($BJ463="",6&gt;設定!$B$3),"",IF(INDEX(原始資料!I$2:I$501,$BJ463)="","",INDEX(原始資料!I$2:I$501,$BJ463)))</f>
        <v/>
      </c>
      <c r="H463" s="6">
        <f>IF(OR($BJ463="",7&gt;設定!$B$3),"",IF(INDEX(原始資料!J$2:J$501,$BJ463)="","",INDEX(原始資料!J$2:J$501,$BJ463)))</f>
        <v/>
      </c>
      <c r="I463" s="6">
        <f>IF(OR($BJ463="",8&gt;設定!$B$3),"",IF(INDEX(原始資料!K$2:K$501,$BJ463)="","",INDEX(原始資料!K$2:K$501,$BJ463)))</f>
        <v/>
      </c>
      <c r="J463" s="6">
        <f>IF(OR($BJ463="",9&gt;設定!$B$3),"",IF(INDEX(原始資料!L$2:L$501,$BJ463)="","",INDEX(原始資料!L$2:L$501,$BJ463)))</f>
        <v/>
      </c>
      <c r="K463" s="6">
        <f>IF(OR($BJ463="",10&gt;設定!$B$3),"",IF(INDEX(原始資料!M$2:M$501,$BJ463)="","",INDEX(原始資料!M$2:M$501,$BJ463)))</f>
        <v/>
      </c>
      <c r="L463" s="6">
        <f>IF(OR($BJ463="",11&gt;設定!$B$3),"",IF(INDEX(原始資料!N$2:N$501,$BJ463)="","",INDEX(原始資料!N$2:N$501,$BJ463)))</f>
        <v/>
      </c>
      <c r="M463" s="6">
        <f>IF(OR($BJ463="",12&gt;設定!$B$3),"",IF(INDEX(原始資料!O$2:O$501,$BJ463)="","",INDEX(原始資料!O$2:O$501,$BJ463)))</f>
        <v/>
      </c>
      <c r="N463" s="6">
        <f>IF(OR($BJ463="",13&gt;設定!$B$3),"",IF(INDEX(原始資料!P$2:P$501,$BJ463)="","",INDEX(原始資料!P$2:P$501,$BJ463)))</f>
        <v/>
      </c>
      <c r="O463" s="6">
        <f>IF(OR($BJ463="",14&gt;設定!$B$3),"",IF(INDEX(原始資料!Q$2:Q$501,$BJ463)="","",INDEX(原始資料!Q$2:Q$501,$BJ463)))</f>
        <v/>
      </c>
      <c r="P463" s="6">
        <f>IF(OR($BJ463="",15&gt;設定!$B$3),"",IF(INDEX(原始資料!R$2:R$501,$BJ463)="","",INDEX(原始資料!R$2:R$501,$BJ463)))</f>
        <v/>
      </c>
      <c r="Q463" s="6">
        <f>IF(OR($BJ463="",16&gt;設定!$B$3),"",IF(INDEX(原始資料!S$2:S$501,$BJ463)="","",INDEX(原始資料!S$2:S$501,$BJ463)))</f>
        <v/>
      </c>
      <c r="R463" s="6">
        <f>IF(OR($BJ463="",17&gt;設定!$B$3),"",IF(INDEX(原始資料!T$2:T$501,$BJ463)="","",INDEX(原始資料!T$2:T$501,$BJ463)))</f>
        <v/>
      </c>
      <c r="S463" s="6">
        <f>IF(OR($BJ463="",18&gt;設定!$B$3),"",IF(INDEX(原始資料!U$2:U$501,$BJ463)="","",INDEX(原始資料!U$2:U$501,$BJ463)))</f>
        <v/>
      </c>
      <c r="T463" s="6">
        <f>IF(OR($BJ463="",19&gt;設定!$B$3),"",IF(INDEX(原始資料!V$2:V$501,$BJ463)="","",INDEX(原始資料!V$2:V$501,$BJ463)))</f>
        <v/>
      </c>
      <c r="U463" s="6">
        <f>IF(OR($BJ463="",20&gt;設定!$B$3),"",IF(INDEX(原始資料!W$2:W$501,$BJ463)="","",INDEX(原始資料!W$2:W$501,$BJ463)))</f>
        <v/>
      </c>
      <c r="V463" s="6">
        <f>IF(OR($BJ463="",21&gt;設定!$B$3),"",IF(INDEX(原始資料!X$2:X$501,$BJ463)="","",INDEX(原始資料!X$2:X$501,$BJ463)))</f>
        <v/>
      </c>
      <c r="W463" s="6">
        <f>IF(OR($BJ463="",22&gt;設定!$B$3),"",IF(INDEX(原始資料!Y$2:Y$501,$BJ463)="","",INDEX(原始資料!Y$2:Y$501,$BJ463)))</f>
        <v/>
      </c>
      <c r="X463" s="6">
        <f>IF(OR($BJ463="",23&gt;設定!$B$3),"",IF(INDEX(原始資料!Z$2:Z$501,$BJ463)="","",INDEX(原始資料!Z$2:Z$501,$BJ463)))</f>
        <v/>
      </c>
      <c r="Y463" s="6">
        <f>IF(OR($BJ463="",24&gt;設定!$B$3),"",IF(INDEX(原始資料!AA$2:AA$501,$BJ463)="","",INDEX(原始資料!AA$2:AA$501,$BJ463)))</f>
        <v/>
      </c>
      <c r="Z463" s="6">
        <f>IF(OR($BJ463="",25&gt;設定!$B$3),"",IF(INDEX(原始資料!AB$2:AB$501,$BJ463)="","",INDEX(原始資料!AB$2:AB$501,$BJ463)))</f>
        <v/>
      </c>
      <c r="AA463" s="6">
        <f>IF(OR($BJ463="",26&gt;設定!$B$3),"",IF(INDEX(原始資料!AC$2:AC$501,$BJ463)="","",INDEX(原始資料!AC$2:AC$501,$BJ463)))</f>
        <v/>
      </c>
      <c r="AB463" s="6">
        <f>IF(OR($BJ463="",27&gt;設定!$B$3),"",IF(INDEX(原始資料!AD$2:AD$501,$BJ463)="","",INDEX(原始資料!AD$2:AD$501,$BJ463)))</f>
        <v/>
      </c>
      <c r="AC463" s="6">
        <f>IF(OR($BJ463="",28&gt;設定!$B$3),"",IF(INDEX(原始資料!AE$2:AE$501,$BJ463)="","",INDEX(原始資料!AE$2:AE$501,$BJ463)))</f>
        <v/>
      </c>
      <c r="AD463" s="6">
        <f>IF(OR($BJ463="",29&gt;設定!$B$3),"",IF(INDEX(原始資料!AF$2:AF$501,$BJ463)="","",INDEX(原始資料!AF$2:AF$501,$BJ463)))</f>
        <v/>
      </c>
      <c r="AE463" s="6">
        <f>IF(OR($BJ463="",30&gt;設定!$B$3),"",IF(INDEX(原始資料!AG$2:AG$501,$BJ463)="","",INDEX(原始資料!AG$2:AG$501,$BJ463)))</f>
        <v/>
      </c>
      <c r="AF463" s="6">
        <f>IF(OR($BJ463="",31&gt;設定!$B$3),"",IF(INDEX(原始資料!AH$2:AH$501,$BJ463)="","",INDEX(原始資料!AH$2:AH$501,$BJ463)))</f>
        <v/>
      </c>
      <c r="AG463" s="6">
        <f>IF(OR($BJ463="",32&gt;設定!$B$3),"",IF(INDEX(原始資料!AI$2:AI$501,$BJ463)="","",INDEX(原始資料!AI$2:AI$501,$BJ463)))</f>
        <v/>
      </c>
      <c r="AH463" s="6">
        <f>IF(OR($BJ463="",33&gt;設定!$B$3),"",IF(INDEX(原始資料!AJ$2:AJ$501,$BJ463)="","",INDEX(原始資料!AJ$2:AJ$501,$BJ463)))</f>
        <v/>
      </c>
      <c r="AI463" s="6">
        <f>IF(OR($BJ463="",34&gt;設定!$B$3),"",IF(INDEX(原始資料!AK$2:AK$501,$BJ463)="","",INDEX(原始資料!AK$2:AK$501,$BJ463)))</f>
        <v/>
      </c>
      <c r="AJ463" s="6">
        <f>IF(OR($BJ463="",35&gt;設定!$B$3),"",IF(INDEX(原始資料!AL$2:AL$501,$BJ463)="","",INDEX(原始資料!AL$2:AL$501,$BJ463)))</f>
        <v/>
      </c>
      <c r="AK463" s="6">
        <f>IF(OR($BJ463="",36&gt;設定!$B$3),"",IF(INDEX(原始資料!AM$2:AM$501,$BJ463)="","",INDEX(原始資料!AM$2:AM$501,$BJ463)))</f>
        <v/>
      </c>
      <c r="AL463" s="6">
        <f>IF(OR($BJ463="",37&gt;設定!$B$3),"",IF(INDEX(原始資料!AN$2:AN$501,$BJ463)="","",INDEX(原始資料!AN$2:AN$501,$BJ463)))</f>
        <v/>
      </c>
      <c r="AM463" s="6">
        <f>IF(OR($BJ463="",38&gt;設定!$B$3),"",IF(INDEX(原始資料!AO$2:AO$501,$BJ463)="","",INDEX(原始資料!AO$2:AO$501,$BJ463)))</f>
        <v/>
      </c>
      <c r="AN463" s="6">
        <f>IF(OR($BJ463="",39&gt;設定!$B$3),"",IF(INDEX(原始資料!AP$2:AP$501,$BJ463)="","",INDEX(原始資料!AP$2:AP$501,$BJ463)))</f>
        <v/>
      </c>
      <c r="AO463" s="6">
        <f>IF(OR($BJ463="",40&gt;設定!$B$3),"",IF(INDEX(原始資料!AQ$2:AQ$501,$BJ463)="","",INDEX(原始資料!AQ$2:AQ$501,$BJ463)))</f>
        <v/>
      </c>
      <c r="AP463" s="6">
        <f>IF(OR($BJ463="",41&gt;設定!$B$3),"",IF(INDEX(原始資料!AR$2:AR$501,$BJ463)="","",INDEX(原始資料!AR$2:AR$501,$BJ463)))</f>
        <v/>
      </c>
      <c r="AQ463" s="6">
        <f>IF(OR($BJ463="",42&gt;設定!$B$3),"",IF(INDEX(原始資料!AS$2:AS$501,$BJ463)="","",INDEX(原始資料!AS$2:AS$501,$BJ463)))</f>
        <v/>
      </c>
      <c r="AR463" s="6">
        <f>IF(OR($BJ463="",43&gt;設定!$B$3),"",IF(INDEX(原始資料!AT$2:AT$501,$BJ463)="","",INDEX(原始資料!AT$2:AT$501,$BJ463)))</f>
        <v/>
      </c>
      <c r="AS463" s="6">
        <f>IF(OR($BJ463="",44&gt;設定!$B$3),"",IF(INDEX(原始資料!AU$2:AU$501,$BJ463)="","",INDEX(原始資料!AU$2:AU$501,$BJ463)))</f>
        <v/>
      </c>
      <c r="AT463" s="6">
        <f>IF(OR($BJ463="",45&gt;設定!$B$3),"",IF(INDEX(原始資料!AV$2:AV$501,$BJ463)="","",INDEX(原始資料!AV$2:AV$501,$BJ463)))</f>
        <v/>
      </c>
      <c r="AU463" s="6">
        <f>IF(OR($BJ463="",46&gt;設定!$B$3),"",IF(INDEX(原始資料!AW$2:AW$501,$BJ463)="","",INDEX(原始資料!AW$2:AW$501,$BJ463)))</f>
        <v/>
      </c>
      <c r="AV463" s="6">
        <f>IF(OR($BJ463="",47&gt;設定!$B$3),"",IF(INDEX(原始資料!AX$2:AX$501,$BJ463)="","",INDEX(原始資料!AX$2:AX$501,$BJ463)))</f>
        <v/>
      </c>
      <c r="AW463" s="6">
        <f>IF(OR($BJ463="",48&gt;設定!$B$3),"",IF(INDEX(原始資料!AY$2:AY$501,$BJ463)="","",INDEX(原始資料!AY$2:AY$501,$BJ463)))</f>
        <v/>
      </c>
      <c r="AX463" s="6">
        <f>IF(OR($BJ463="",49&gt;設定!$B$3),"",IF(INDEX(原始資料!AZ$2:AZ$501,$BJ463)="","",INDEX(原始資料!AZ$2:AZ$501,$BJ463)))</f>
        <v/>
      </c>
      <c r="AY463" s="6">
        <f>IF(OR($BJ463="",50&gt;設定!$B$3),"",IF(INDEX(原始資料!BA$2:BA$501,$BJ463)="","",INDEX(原始資料!BA$2:BA$501,$BJ463)))</f>
        <v/>
      </c>
      <c r="AZ463" s="6">
        <f>IF(OR($BJ463="",51&gt;設定!$B$3),"",IF(INDEX(原始資料!BB$2:BB$501,$BJ463)="","",INDEX(原始資料!BB$2:BB$501,$BJ463)))</f>
        <v/>
      </c>
      <c r="BA463" s="6">
        <f>IF(OR($BJ463="",52&gt;設定!$B$3),"",IF(INDEX(原始資料!BC$2:BC$501,$BJ463)="","",INDEX(原始資料!BC$2:BC$501,$BJ463)))</f>
        <v/>
      </c>
      <c r="BB463" s="6">
        <f>IF(OR($BJ463="",53&gt;設定!$B$3),"",IF(INDEX(原始資料!BD$2:BD$501,$BJ463)="","",INDEX(原始資料!BD$2:BD$501,$BJ463)))</f>
        <v/>
      </c>
      <c r="BC463" s="6">
        <f>IF(OR($BJ463="",54&gt;設定!$B$3),"",IF(INDEX(原始資料!BE$2:BE$501,$BJ463)="","",INDEX(原始資料!BE$2:BE$501,$BJ463)))</f>
        <v/>
      </c>
      <c r="BD463" s="6">
        <f>IF(OR($BJ463="",55&gt;設定!$B$3),"",IF(INDEX(原始資料!BF$2:BF$501,$BJ463)="","",INDEX(原始資料!BF$2:BF$501,$BJ463)))</f>
        <v/>
      </c>
      <c r="BE463" s="6">
        <f>IF(OR($BJ463="",56&gt;設定!$B$3),"",IF(INDEX(原始資料!BG$2:BG$501,$BJ463)="","",INDEX(原始資料!BG$2:BG$501,$BJ463)))</f>
        <v/>
      </c>
      <c r="BF463" s="6">
        <f>IF(OR($BJ463="",57&gt;設定!$B$3),"",IF(INDEX(原始資料!BH$2:BH$501,$BJ463)="","",INDEX(原始資料!BH$2:BH$501,$BJ463)))</f>
        <v/>
      </c>
      <c r="BG463" s="6">
        <f>IF(OR($BJ463="",58&gt;設定!$B$3),"",IF(INDEX(原始資料!BI$2:BI$501,$BJ463)="","",INDEX(原始資料!BI$2:BI$501,$BJ463)))</f>
        <v/>
      </c>
      <c r="BH463" s="6">
        <f>IF(OR($BJ463="",59&gt;設定!$B$3),"",IF(INDEX(原始資料!BJ$2:BJ$501,$BJ463)="","",INDEX(原始資料!BJ$2:BJ$501,$BJ463)))</f>
        <v/>
      </c>
      <c r="BI463" s="6">
        <f>IF(OR($BJ463="",60&gt;設定!$B$3),"",IF(INDEX(原始資料!BK$2:BK$501,$BJ463)="","",INDEX(原始資料!BK$2:BK$501,$BJ463)))</f>
        <v/>
      </c>
      <c r="BJ463" s="6">
        <f>IFERROR(MATCH(ROW()-1,判定!$H$2:$H$501,0),"")</f>
        <v/>
      </c>
    </row>
    <row r="464">
      <c r="A464" s="6">
        <f>IF($BJ464="","",INDEX(原始資料!$A$2:$A$501,$BJ464))</f>
        <v/>
      </c>
      <c r="B464" s="6">
        <f>IF(OR($BJ464="",1&gt;設定!$B$3),"",IF(INDEX(原始資料!D$2:D$501,$BJ464)="","",INDEX(原始資料!D$2:D$501,$BJ464)))</f>
        <v/>
      </c>
      <c r="C464" s="6">
        <f>IF(OR($BJ464="",2&gt;設定!$B$3),"",IF(INDEX(原始資料!E$2:E$501,$BJ464)="","",INDEX(原始資料!E$2:E$501,$BJ464)))</f>
        <v/>
      </c>
      <c r="D464" s="6">
        <f>IF(OR($BJ464="",3&gt;設定!$B$3),"",IF(INDEX(原始資料!F$2:F$501,$BJ464)="","",INDEX(原始資料!F$2:F$501,$BJ464)))</f>
        <v/>
      </c>
      <c r="E464" s="6">
        <f>IF(OR($BJ464="",4&gt;設定!$B$3),"",IF(INDEX(原始資料!G$2:G$501,$BJ464)="","",INDEX(原始資料!G$2:G$501,$BJ464)))</f>
        <v/>
      </c>
      <c r="F464" s="6">
        <f>IF(OR($BJ464="",5&gt;設定!$B$3),"",IF(INDEX(原始資料!H$2:H$501,$BJ464)="","",INDEX(原始資料!H$2:H$501,$BJ464)))</f>
        <v/>
      </c>
      <c r="G464" s="6">
        <f>IF(OR($BJ464="",6&gt;設定!$B$3),"",IF(INDEX(原始資料!I$2:I$501,$BJ464)="","",INDEX(原始資料!I$2:I$501,$BJ464)))</f>
        <v/>
      </c>
      <c r="H464" s="6">
        <f>IF(OR($BJ464="",7&gt;設定!$B$3),"",IF(INDEX(原始資料!J$2:J$501,$BJ464)="","",INDEX(原始資料!J$2:J$501,$BJ464)))</f>
        <v/>
      </c>
      <c r="I464" s="6">
        <f>IF(OR($BJ464="",8&gt;設定!$B$3),"",IF(INDEX(原始資料!K$2:K$501,$BJ464)="","",INDEX(原始資料!K$2:K$501,$BJ464)))</f>
        <v/>
      </c>
      <c r="J464" s="6">
        <f>IF(OR($BJ464="",9&gt;設定!$B$3),"",IF(INDEX(原始資料!L$2:L$501,$BJ464)="","",INDEX(原始資料!L$2:L$501,$BJ464)))</f>
        <v/>
      </c>
      <c r="K464" s="6">
        <f>IF(OR($BJ464="",10&gt;設定!$B$3),"",IF(INDEX(原始資料!M$2:M$501,$BJ464)="","",INDEX(原始資料!M$2:M$501,$BJ464)))</f>
        <v/>
      </c>
      <c r="L464" s="6">
        <f>IF(OR($BJ464="",11&gt;設定!$B$3),"",IF(INDEX(原始資料!N$2:N$501,$BJ464)="","",INDEX(原始資料!N$2:N$501,$BJ464)))</f>
        <v/>
      </c>
      <c r="M464" s="6">
        <f>IF(OR($BJ464="",12&gt;設定!$B$3),"",IF(INDEX(原始資料!O$2:O$501,$BJ464)="","",INDEX(原始資料!O$2:O$501,$BJ464)))</f>
        <v/>
      </c>
      <c r="N464" s="6">
        <f>IF(OR($BJ464="",13&gt;設定!$B$3),"",IF(INDEX(原始資料!P$2:P$501,$BJ464)="","",INDEX(原始資料!P$2:P$501,$BJ464)))</f>
        <v/>
      </c>
      <c r="O464" s="6">
        <f>IF(OR($BJ464="",14&gt;設定!$B$3),"",IF(INDEX(原始資料!Q$2:Q$501,$BJ464)="","",INDEX(原始資料!Q$2:Q$501,$BJ464)))</f>
        <v/>
      </c>
      <c r="P464" s="6">
        <f>IF(OR($BJ464="",15&gt;設定!$B$3),"",IF(INDEX(原始資料!R$2:R$501,$BJ464)="","",INDEX(原始資料!R$2:R$501,$BJ464)))</f>
        <v/>
      </c>
      <c r="Q464" s="6">
        <f>IF(OR($BJ464="",16&gt;設定!$B$3),"",IF(INDEX(原始資料!S$2:S$501,$BJ464)="","",INDEX(原始資料!S$2:S$501,$BJ464)))</f>
        <v/>
      </c>
      <c r="R464" s="6">
        <f>IF(OR($BJ464="",17&gt;設定!$B$3),"",IF(INDEX(原始資料!T$2:T$501,$BJ464)="","",INDEX(原始資料!T$2:T$501,$BJ464)))</f>
        <v/>
      </c>
      <c r="S464" s="6">
        <f>IF(OR($BJ464="",18&gt;設定!$B$3),"",IF(INDEX(原始資料!U$2:U$501,$BJ464)="","",INDEX(原始資料!U$2:U$501,$BJ464)))</f>
        <v/>
      </c>
      <c r="T464" s="6">
        <f>IF(OR($BJ464="",19&gt;設定!$B$3),"",IF(INDEX(原始資料!V$2:V$501,$BJ464)="","",INDEX(原始資料!V$2:V$501,$BJ464)))</f>
        <v/>
      </c>
      <c r="U464" s="6">
        <f>IF(OR($BJ464="",20&gt;設定!$B$3),"",IF(INDEX(原始資料!W$2:W$501,$BJ464)="","",INDEX(原始資料!W$2:W$501,$BJ464)))</f>
        <v/>
      </c>
      <c r="V464" s="6">
        <f>IF(OR($BJ464="",21&gt;設定!$B$3),"",IF(INDEX(原始資料!X$2:X$501,$BJ464)="","",INDEX(原始資料!X$2:X$501,$BJ464)))</f>
        <v/>
      </c>
      <c r="W464" s="6">
        <f>IF(OR($BJ464="",22&gt;設定!$B$3),"",IF(INDEX(原始資料!Y$2:Y$501,$BJ464)="","",INDEX(原始資料!Y$2:Y$501,$BJ464)))</f>
        <v/>
      </c>
      <c r="X464" s="6">
        <f>IF(OR($BJ464="",23&gt;設定!$B$3),"",IF(INDEX(原始資料!Z$2:Z$501,$BJ464)="","",INDEX(原始資料!Z$2:Z$501,$BJ464)))</f>
        <v/>
      </c>
      <c r="Y464" s="6">
        <f>IF(OR($BJ464="",24&gt;設定!$B$3),"",IF(INDEX(原始資料!AA$2:AA$501,$BJ464)="","",INDEX(原始資料!AA$2:AA$501,$BJ464)))</f>
        <v/>
      </c>
      <c r="Z464" s="6">
        <f>IF(OR($BJ464="",25&gt;設定!$B$3),"",IF(INDEX(原始資料!AB$2:AB$501,$BJ464)="","",INDEX(原始資料!AB$2:AB$501,$BJ464)))</f>
        <v/>
      </c>
      <c r="AA464" s="6">
        <f>IF(OR($BJ464="",26&gt;設定!$B$3),"",IF(INDEX(原始資料!AC$2:AC$501,$BJ464)="","",INDEX(原始資料!AC$2:AC$501,$BJ464)))</f>
        <v/>
      </c>
      <c r="AB464" s="6">
        <f>IF(OR($BJ464="",27&gt;設定!$B$3),"",IF(INDEX(原始資料!AD$2:AD$501,$BJ464)="","",INDEX(原始資料!AD$2:AD$501,$BJ464)))</f>
        <v/>
      </c>
      <c r="AC464" s="6">
        <f>IF(OR($BJ464="",28&gt;設定!$B$3),"",IF(INDEX(原始資料!AE$2:AE$501,$BJ464)="","",INDEX(原始資料!AE$2:AE$501,$BJ464)))</f>
        <v/>
      </c>
      <c r="AD464" s="6">
        <f>IF(OR($BJ464="",29&gt;設定!$B$3),"",IF(INDEX(原始資料!AF$2:AF$501,$BJ464)="","",INDEX(原始資料!AF$2:AF$501,$BJ464)))</f>
        <v/>
      </c>
      <c r="AE464" s="6">
        <f>IF(OR($BJ464="",30&gt;設定!$B$3),"",IF(INDEX(原始資料!AG$2:AG$501,$BJ464)="","",INDEX(原始資料!AG$2:AG$501,$BJ464)))</f>
        <v/>
      </c>
      <c r="AF464" s="6">
        <f>IF(OR($BJ464="",31&gt;設定!$B$3),"",IF(INDEX(原始資料!AH$2:AH$501,$BJ464)="","",INDEX(原始資料!AH$2:AH$501,$BJ464)))</f>
        <v/>
      </c>
      <c r="AG464" s="6">
        <f>IF(OR($BJ464="",32&gt;設定!$B$3),"",IF(INDEX(原始資料!AI$2:AI$501,$BJ464)="","",INDEX(原始資料!AI$2:AI$501,$BJ464)))</f>
        <v/>
      </c>
      <c r="AH464" s="6">
        <f>IF(OR($BJ464="",33&gt;設定!$B$3),"",IF(INDEX(原始資料!AJ$2:AJ$501,$BJ464)="","",INDEX(原始資料!AJ$2:AJ$501,$BJ464)))</f>
        <v/>
      </c>
      <c r="AI464" s="6">
        <f>IF(OR($BJ464="",34&gt;設定!$B$3),"",IF(INDEX(原始資料!AK$2:AK$501,$BJ464)="","",INDEX(原始資料!AK$2:AK$501,$BJ464)))</f>
        <v/>
      </c>
      <c r="AJ464" s="6">
        <f>IF(OR($BJ464="",35&gt;設定!$B$3),"",IF(INDEX(原始資料!AL$2:AL$501,$BJ464)="","",INDEX(原始資料!AL$2:AL$501,$BJ464)))</f>
        <v/>
      </c>
      <c r="AK464" s="6">
        <f>IF(OR($BJ464="",36&gt;設定!$B$3),"",IF(INDEX(原始資料!AM$2:AM$501,$BJ464)="","",INDEX(原始資料!AM$2:AM$501,$BJ464)))</f>
        <v/>
      </c>
      <c r="AL464" s="6">
        <f>IF(OR($BJ464="",37&gt;設定!$B$3),"",IF(INDEX(原始資料!AN$2:AN$501,$BJ464)="","",INDEX(原始資料!AN$2:AN$501,$BJ464)))</f>
        <v/>
      </c>
      <c r="AM464" s="6">
        <f>IF(OR($BJ464="",38&gt;設定!$B$3),"",IF(INDEX(原始資料!AO$2:AO$501,$BJ464)="","",INDEX(原始資料!AO$2:AO$501,$BJ464)))</f>
        <v/>
      </c>
      <c r="AN464" s="6">
        <f>IF(OR($BJ464="",39&gt;設定!$B$3),"",IF(INDEX(原始資料!AP$2:AP$501,$BJ464)="","",INDEX(原始資料!AP$2:AP$501,$BJ464)))</f>
        <v/>
      </c>
      <c r="AO464" s="6">
        <f>IF(OR($BJ464="",40&gt;設定!$B$3),"",IF(INDEX(原始資料!AQ$2:AQ$501,$BJ464)="","",INDEX(原始資料!AQ$2:AQ$501,$BJ464)))</f>
        <v/>
      </c>
      <c r="AP464" s="6">
        <f>IF(OR($BJ464="",41&gt;設定!$B$3),"",IF(INDEX(原始資料!AR$2:AR$501,$BJ464)="","",INDEX(原始資料!AR$2:AR$501,$BJ464)))</f>
        <v/>
      </c>
      <c r="AQ464" s="6">
        <f>IF(OR($BJ464="",42&gt;設定!$B$3),"",IF(INDEX(原始資料!AS$2:AS$501,$BJ464)="","",INDEX(原始資料!AS$2:AS$501,$BJ464)))</f>
        <v/>
      </c>
      <c r="AR464" s="6">
        <f>IF(OR($BJ464="",43&gt;設定!$B$3),"",IF(INDEX(原始資料!AT$2:AT$501,$BJ464)="","",INDEX(原始資料!AT$2:AT$501,$BJ464)))</f>
        <v/>
      </c>
      <c r="AS464" s="6">
        <f>IF(OR($BJ464="",44&gt;設定!$B$3),"",IF(INDEX(原始資料!AU$2:AU$501,$BJ464)="","",INDEX(原始資料!AU$2:AU$501,$BJ464)))</f>
        <v/>
      </c>
      <c r="AT464" s="6">
        <f>IF(OR($BJ464="",45&gt;設定!$B$3),"",IF(INDEX(原始資料!AV$2:AV$501,$BJ464)="","",INDEX(原始資料!AV$2:AV$501,$BJ464)))</f>
        <v/>
      </c>
      <c r="AU464" s="6">
        <f>IF(OR($BJ464="",46&gt;設定!$B$3),"",IF(INDEX(原始資料!AW$2:AW$501,$BJ464)="","",INDEX(原始資料!AW$2:AW$501,$BJ464)))</f>
        <v/>
      </c>
      <c r="AV464" s="6">
        <f>IF(OR($BJ464="",47&gt;設定!$B$3),"",IF(INDEX(原始資料!AX$2:AX$501,$BJ464)="","",INDEX(原始資料!AX$2:AX$501,$BJ464)))</f>
        <v/>
      </c>
      <c r="AW464" s="6">
        <f>IF(OR($BJ464="",48&gt;設定!$B$3),"",IF(INDEX(原始資料!AY$2:AY$501,$BJ464)="","",INDEX(原始資料!AY$2:AY$501,$BJ464)))</f>
        <v/>
      </c>
      <c r="AX464" s="6">
        <f>IF(OR($BJ464="",49&gt;設定!$B$3),"",IF(INDEX(原始資料!AZ$2:AZ$501,$BJ464)="","",INDEX(原始資料!AZ$2:AZ$501,$BJ464)))</f>
        <v/>
      </c>
      <c r="AY464" s="6">
        <f>IF(OR($BJ464="",50&gt;設定!$B$3),"",IF(INDEX(原始資料!BA$2:BA$501,$BJ464)="","",INDEX(原始資料!BA$2:BA$501,$BJ464)))</f>
        <v/>
      </c>
      <c r="AZ464" s="6">
        <f>IF(OR($BJ464="",51&gt;設定!$B$3),"",IF(INDEX(原始資料!BB$2:BB$501,$BJ464)="","",INDEX(原始資料!BB$2:BB$501,$BJ464)))</f>
        <v/>
      </c>
      <c r="BA464" s="6">
        <f>IF(OR($BJ464="",52&gt;設定!$B$3),"",IF(INDEX(原始資料!BC$2:BC$501,$BJ464)="","",INDEX(原始資料!BC$2:BC$501,$BJ464)))</f>
        <v/>
      </c>
      <c r="BB464" s="6">
        <f>IF(OR($BJ464="",53&gt;設定!$B$3),"",IF(INDEX(原始資料!BD$2:BD$501,$BJ464)="","",INDEX(原始資料!BD$2:BD$501,$BJ464)))</f>
        <v/>
      </c>
      <c r="BC464" s="6">
        <f>IF(OR($BJ464="",54&gt;設定!$B$3),"",IF(INDEX(原始資料!BE$2:BE$501,$BJ464)="","",INDEX(原始資料!BE$2:BE$501,$BJ464)))</f>
        <v/>
      </c>
      <c r="BD464" s="6">
        <f>IF(OR($BJ464="",55&gt;設定!$B$3),"",IF(INDEX(原始資料!BF$2:BF$501,$BJ464)="","",INDEX(原始資料!BF$2:BF$501,$BJ464)))</f>
        <v/>
      </c>
      <c r="BE464" s="6">
        <f>IF(OR($BJ464="",56&gt;設定!$B$3),"",IF(INDEX(原始資料!BG$2:BG$501,$BJ464)="","",INDEX(原始資料!BG$2:BG$501,$BJ464)))</f>
        <v/>
      </c>
      <c r="BF464" s="6">
        <f>IF(OR($BJ464="",57&gt;設定!$B$3),"",IF(INDEX(原始資料!BH$2:BH$501,$BJ464)="","",INDEX(原始資料!BH$2:BH$501,$BJ464)))</f>
        <v/>
      </c>
      <c r="BG464" s="6">
        <f>IF(OR($BJ464="",58&gt;設定!$B$3),"",IF(INDEX(原始資料!BI$2:BI$501,$BJ464)="","",INDEX(原始資料!BI$2:BI$501,$BJ464)))</f>
        <v/>
      </c>
      <c r="BH464" s="6">
        <f>IF(OR($BJ464="",59&gt;設定!$B$3),"",IF(INDEX(原始資料!BJ$2:BJ$501,$BJ464)="","",INDEX(原始資料!BJ$2:BJ$501,$BJ464)))</f>
        <v/>
      </c>
      <c r="BI464" s="6">
        <f>IF(OR($BJ464="",60&gt;設定!$B$3),"",IF(INDEX(原始資料!BK$2:BK$501,$BJ464)="","",INDEX(原始資料!BK$2:BK$501,$BJ464)))</f>
        <v/>
      </c>
      <c r="BJ464" s="6">
        <f>IFERROR(MATCH(ROW()-1,判定!$H$2:$H$501,0),"")</f>
        <v/>
      </c>
    </row>
    <row r="465">
      <c r="A465" s="6">
        <f>IF($BJ465="","",INDEX(原始資料!$A$2:$A$501,$BJ465))</f>
        <v/>
      </c>
      <c r="B465" s="6">
        <f>IF(OR($BJ465="",1&gt;設定!$B$3),"",IF(INDEX(原始資料!D$2:D$501,$BJ465)="","",INDEX(原始資料!D$2:D$501,$BJ465)))</f>
        <v/>
      </c>
      <c r="C465" s="6">
        <f>IF(OR($BJ465="",2&gt;設定!$B$3),"",IF(INDEX(原始資料!E$2:E$501,$BJ465)="","",INDEX(原始資料!E$2:E$501,$BJ465)))</f>
        <v/>
      </c>
      <c r="D465" s="6">
        <f>IF(OR($BJ465="",3&gt;設定!$B$3),"",IF(INDEX(原始資料!F$2:F$501,$BJ465)="","",INDEX(原始資料!F$2:F$501,$BJ465)))</f>
        <v/>
      </c>
      <c r="E465" s="6">
        <f>IF(OR($BJ465="",4&gt;設定!$B$3),"",IF(INDEX(原始資料!G$2:G$501,$BJ465)="","",INDEX(原始資料!G$2:G$501,$BJ465)))</f>
        <v/>
      </c>
      <c r="F465" s="6">
        <f>IF(OR($BJ465="",5&gt;設定!$B$3),"",IF(INDEX(原始資料!H$2:H$501,$BJ465)="","",INDEX(原始資料!H$2:H$501,$BJ465)))</f>
        <v/>
      </c>
      <c r="G465" s="6">
        <f>IF(OR($BJ465="",6&gt;設定!$B$3),"",IF(INDEX(原始資料!I$2:I$501,$BJ465)="","",INDEX(原始資料!I$2:I$501,$BJ465)))</f>
        <v/>
      </c>
      <c r="H465" s="6">
        <f>IF(OR($BJ465="",7&gt;設定!$B$3),"",IF(INDEX(原始資料!J$2:J$501,$BJ465)="","",INDEX(原始資料!J$2:J$501,$BJ465)))</f>
        <v/>
      </c>
      <c r="I465" s="6">
        <f>IF(OR($BJ465="",8&gt;設定!$B$3),"",IF(INDEX(原始資料!K$2:K$501,$BJ465)="","",INDEX(原始資料!K$2:K$501,$BJ465)))</f>
        <v/>
      </c>
      <c r="J465" s="6">
        <f>IF(OR($BJ465="",9&gt;設定!$B$3),"",IF(INDEX(原始資料!L$2:L$501,$BJ465)="","",INDEX(原始資料!L$2:L$501,$BJ465)))</f>
        <v/>
      </c>
      <c r="K465" s="6">
        <f>IF(OR($BJ465="",10&gt;設定!$B$3),"",IF(INDEX(原始資料!M$2:M$501,$BJ465)="","",INDEX(原始資料!M$2:M$501,$BJ465)))</f>
        <v/>
      </c>
      <c r="L465" s="6">
        <f>IF(OR($BJ465="",11&gt;設定!$B$3),"",IF(INDEX(原始資料!N$2:N$501,$BJ465)="","",INDEX(原始資料!N$2:N$501,$BJ465)))</f>
        <v/>
      </c>
      <c r="M465" s="6">
        <f>IF(OR($BJ465="",12&gt;設定!$B$3),"",IF(INDEX(原始資料!O$2:O$501,$BJ465)="","",INDEX(原始資料!O$2:O$501,$BJ465)))</f>
        <v/>
      </c>
      <c r="N465" s="6">
        <f>IF(OR($BJ465="",13&gt;設定!$B$3),"",IF(INDEX(原始資料!P$2:P$501,$BJ465)="","",INDEX(原始資料!P$2:P$501,$BJ465)))</f>
        <v/>
      </c>
      <c r="O465" s="6">
        <f>IF(OR($BJ465="",14&gt;設定!$B$3),"",IF(INDEX(原始資料!Q$2:Q$501,$BJ465)="","",INDEX(原始資料!Q$2:Q$501,$BJ465)))</f>
        <v/>
      </c>
      <c r="P465" s="6">
        <f>IF(OR($BJ465="",15&gt;設定!$B$3),"",IF(INDEX(原始資料!R$2:R$501,$BJ465)="","",INDEX(原始資料!R$2:R$501,$BJ465)))</f>
        <v/>
      </c>
      <c r="Q465" s="6">
        <f>IF(OR($BJ465="",16&gt;設定!$B$3),"",IF(INDEX(原始資料!S$2:S$501,$BJ465)="","",INDEX(原始資料!S$2:S$501,$BJ465)))</f>
        <v/>
      </c>
      <c r="R465" s="6">
        <f>IF(OR($BJ465="",17&gt;設定!$B$3),"",IF(INDEX(原始資料!T$2:T$501,$BJ465)="","",INDEX(原始資料!T$2:T$501,$BJ465)))</f>
        <v/>
      </c>
      <c r="S465" s="6">
        <f>IF(OR($BJ465="",18&gt;設定!$B$3),"",IF(INDEX(原始資料!U$2:U$501,$BJ465)="","",INDEX(原始資料!U$2:U$501,$BJ465)))</f>
        <v/>
      </c>
      <c r="T465" s="6">
        <f>IF(OR($BJ465="",19&gt;設定!$B$3),"",IF(INDEX(原始資料!V$2:V$501,$BJ465)="","",INDEX(原始資料!V$2:V$501,$BJ465)))</f>
        <v/>
      </c>
      <c r="U465" s="6">
        <f>IF(OR($BJ465="",20&gt;設定!$B$3),"",IF(INDEX(原始資料!W$2:W$501,$BJ465)="","",INDEX(原始資料!W$2:W$501,$BJ465)))</f>
        <v/>
      </c>
      <c r="V465" s="6">
        <f>IF(OR($BJ465="",21&gt;設定!$B$3),"",IF(INDEX(原始資料!X$2:X$501,$BJ465)="","",INDEX(原始資料!X$2:X$501,$BJ465)))</f>
        <v/>
      </c>
      <c r="W465" s="6">
        <f>IF(OR($BJ465="",22&gt;設定!$B$3),"",IF(INDEX(原始資料!Y$2:Y$501,$BJ465)="","",INDEX(原始資料!Y$2:Y$501,$BJ465)))</f>
        <v/>
      </c>
      <c r="X465" s="6">
        <f>IF(OR($BJ465="",23&gt;設定!$B$3),"",IF(INDEX(原始資料!Z$2:Z$501,$BJ465)="","",INDEX(原始資料!Z$2:Z$501,$BJ465)))</f>
        <v/>
      </c>
      <c r="Y465" s="6">
        <f>IF(OR($BJ465="",24&gt;設定!$B$3),"",IF(INDEX(原始資料!AA$2:AA$501,$BJ465)="","",INDEX(原始資料!AA$2:AA$501,$BJ465)))</f>
        <v/>
      </c>
      <c r="Z465" s="6">
        <f>IF(OR($BJ465="",25&gt;設定!$B$3),"",IF(INDEX(原始資料!AB$2:AB$501,$BJ465)="","",INDEX(原始資料!AB$2:AB$501,$BJ465)))</f>
        <v/>
      </c>
      <c r="AA465" s="6">
        <f>IF(OR($BJ465="",26&gt;設定!$B$3),"",IF(INDEX(原始資料!AC$2:AC$501,$BJ465)="","",INDEX(原始資料!AC$2:AC$501,$BJ465)))</f>
        <v/>
      </c>
      <c r="AB465" s="6">
        <f>IF(OR($BJ465="",27&gt;設定!$B$3),"",IF(INDEX(原始資料!AD$2:AD$501,$BJ465)="","",INDEX(原始資料!AD$2:AD$501,$BJ465)))</f>
        <v/>
      </c>
      <c r="AC465" s="6">
        <f>IF(OR($BJ465="",28&gt;設定!$B$3),"",IF(INDEX(原始資料!AE$2:AE$501,$BJ465)="","",INDEX(原始資料!AE$2:AE$501,$BJ465)))</f>
        <v/>
      </c>
      <c r="AD465" s="6">
        <f>IF(OR($BJ465="",29&gt;設定!$B$3),"",IF(INDEX(原始資料!AF$2:AF$501,$BJ465)="","",INDEX(原始資料!AF$2:AF$501,$BJ465)))</f>
        <v/>
      </c>
      <c r="AE465" s="6">
        <f>IF(OR($BJ465="",30&gt;設定!$B$3),"",IF(INDEX(原始資料!AG$2:AG$501,$BJ465)="","",INDEX(原始資料!AG$2:AG$501,$BJ465)))</f>
        <v/>
      </c>
      <c r="AF465" s="6">
        <f>IF(OR($BJ465="",31&gt;設定!$B$3),"",IF(INDEX(原始資料!AH$2:AH$501,$BJ465)="","",INDEX(原始資料!AH$2:AH$501,$BJ465)))</f>
        <v/>
      </c>
      <c r="AG465" s="6">
        <f>IF(OR($BJ465="",32&gt;設定!$B$3),"",IF(INDEX(原始資料!AI$2:AI$501,$BJ465)="","",INDEX(原始資料!AI$2:AI$501,$BJ465)))</f>
        <v/>
      </c>
      <c r="AH465" s="6">
        <f>IF(OR($BJ465="",33&gt;設定!$B$3),"",IF(INDEX(原始資料!AJ$2:AJ$501,$BJ465)="","",INDEX(原始資料!AJ$2:AJ$501,$BJ465)))</f>
        <v/>
      </c>
      <c r="AI465" s="6">
        <f>IF(OR($BJ465="",34&gt;設定!$B$3),"",IF(INDEX(原始資料!AK$2:AK$501,$BJ465)="","",INDEX(原始資料!AK$2:AK$501,$BJ465)))</f>
        <v/>
      </c>
      <c r="AJ465" s="6">
        <f>IF(OR($BJ465="",35&gt;設定!$B$3),"",IF(INDEX(原始資料!AL$2:AL$501,$BJ465)="","",INDEX(原始資料!AL$2:AL$501,$BJ465)))</f>
        <v/>
      </c>
      <c r="AK465" s="6">
        <f>IF(OR($BJ465="",36&gt;設定!$B$3),"",IF(INDEX(原始資料!AM$2:AM$501,$BJ465)="","",INDEX(原始資料!AM$2:AM$501,$BJ465)))</f>
        <v/>
      </c>
      <c r="AL465" s="6">
        <f>IF(OR($BJ465="",37&gt;設定!$B$3),"",IF(INDEX(原始資料!AN$2:AN$501,$BJ465)="","",INDEX(原始資料!AN$2:AN$501,$BJ465)))</f>
        <v/>
      </c>
      <c r="AM465" s="6">
        <f>IF(OR($BJ465="",38&gt;設定!$B$3),"",IF(INDEX(原始資料!AO$2:AO$501,$BJ465)="","",INDEX(原始資料!AO$2:AO$501,$BJ465)))</f>
        <v/>
      </c>
      <c r="AN465" s="6">
        <f>IF(OR($BJ465="",39&gt;設定!$B$3),"",IF(INDEX(原始資料!AP$2:AP$501,$BJ465)="","",INDEX(原始資料!AP$2:AP$501,$BJ465)))</f>
        <v/>
      </c>
      <c r="AO465" s="6">
        <f>IF(OR($BJ465="",40&gt;設定!$B$3),"",IF(INDEX(原始資料!AQ$2:AQ$501,$BJ465)="","",INDEX(原始資料!AQ$2:AQ$501,$BJ465)))</f>
        <v/>
      </c>
      <c r="AP465" s="6">
        <f>IF(OR($BJ465="",41&gt;設定!$B$3),"",IF(INDEX(原始資料!AR$2:AR$501,$BJ465)="","",INDEX(原始資料!AR$2:AR$501,$BJ465)))</f>
        <v/>
      </c>
      <c r="AQ465" s="6">
        <f>IF(OR($BJ465="",42&gt;設定!$B$3),"",IF(INDEX(原始資料!AS$2:AS$501,$BJ465)="","",INDEX(原始資料!AS$2:AS$501,$BJ465)))</f>
        <v/>
      </c>
      <c r="AR465" s="6">
        <f>IF(OR($BJ465="",43&gt;設定!$B$3),"",IF(INDEX(原始資料!AT$2:AT$501,$BJ465)="","",INDEX(原始資料!AT$2:AT$501,$BJ465)))</f>
        <v/>
      </c>
      <c r="AS465" s="6">
        <f>IF(OR($BJ465="",44&gt;設定!$B$3),"",IF(INDEX(原始資料!AU$2:AU$501,$BJ465)="","",INDEX(原始資料!AU$2:AU$501,$BJ465)))</f>
        <v/>
      </c>
      <c r="AT465" s="6">
        <f>IF(OR($BJ465="",45&gt;設定!$B$3),"",IF(INDEX(原始資料!AV$2:AV$501,$BJ465)="","",INDEX(原始資料!AV$2:AV$501,$BJ465)))</f>
        <v/>
      </c>
      <c r="AU465" s="6">
        <f>IF(OR($BJ465="",46&gt;設定!$B$3),"",IF(INDEX(原始資料!AW$2:AW$501,$BJ465)="","",INDEX(原始資料!AW$2:AW$501,$BJ465)))</f>
        <v/>
      </c>
      <c r="AV465" s="6">
        <f>IF(OR($BJ465="",47&gt;設定!$B$3),"",IF(INDEX(原始資料!AX$2:AX$501,$BJ465)="","",INDEX(原始資料!AX$2:AX$501,$BJ465)))</f>
        <v/>
      </c>
      <c r="AW465" s="6">
        <f>IF(OR($BJ465="",48&gt;設定!$B$3),"",IF(INDEX(原始資料!AY$2:AY$501,$BJ465)="","",INDEX(原始資料!AY$2:AY$501,$BJ465)))</f>
        <v/>
      </c>
      <c r="AX465" s="6">
        <f>IF(OR($BJ465="",49&gt;設定!$B$3),"",IF(INDEX(原始資料!AZ$2:AZ$501,$BJ465)="","",INDEX(原始資料!AZ$2:AZ$501,$BJ465)))</f>
        <v/>
      </c>
      <c r="AY465" s="6">
        <f>IF(OR($BJ465="",50&gt;設定!$B$3),"",IF(INDEX(原始資料!BA$2:BA$501,$BJ465)="","",INDEX(原始資料!BA$2:BA$501,$BJ465)))</f>
        <v/>
      </c>
      <c r="AZ465" s="6">
        <f>IF(OR($BJ465="",51&gt;設定!$B$3),"",IF(INDEX(原始資料!BB$2:BB$501,$BJ465)="","",INDEX(原始資料!BB$2:BB$501,$BJ465)))</f>
        <v/>
      </c>
      <c r="BA465" s="6">
        <f>IF(OR($BJ465="",52&gt;設定!$B$3),"",IF(INDEX(原始資料!BC$2:BC$501,$BJ465)="","",INDEX(原始資料!BC$2:BC$501,$BJ465)))</f>
        <v/>
      </c>
      <c r="BB465" s="6">
        <f>IF(OR($BJ465="",53&gt;設定!$B$3),"",IF(INDEX(原始資料!BD$2:BD$501,$BJ465)="","",INDEX(原始資料!BD$2:BD$501,$BJ465)))</f>
        <v/>
      </c>
      <c r="BC465" s="6">
        <f>IF(OR($BJ465="",54&gt;設定!$B$3),"",IF(INDEX(原始資料!BE$2:BE$501,$BJ465)="","",INDEX(原始資料!BE$2:BE$501,$BJ465)))</f>
        <v/>
      </c>
      <c r="BD465" s="6">
        <f>IF(OR($BJ465="",55&gt;設定!$B$3),"",IF(INDEX(原始資料!BF$2:BF$501,$BJ465)="","",INDEX(原始資料!BF$2:BF$501,$BJ465)))</f>
        <v/>
      </c>
      <c r="BE465" s="6">
        <f>IF(OR($BJ465="",56&gt;設定!$B$3),"",IF(INDEX(原始資料!BG$2:BG$501,$BJ465)="","",INDEX(原始資料!BG$2:BG$501,$BJ465)))</f>
        <v/>
      </c>
      <c r="BF465" s="6">
        <f>IF(OR($BJ465="",57&gt;設定!$B$3),"",IF(INDEX(原始資料!BH$2:BH$501,$BJ465)="","",INDEX(原始資料!BH$2:BH$501,$BJ465)))</f>
        <v/>
      </c>
      <c r="BG465" s="6">
        <f>IF(OR($BJ465="",58&gt;設定!$B$3),"",IF(INDEX(原始資料!BI$2:BI$501,$BJ465)="","",INDEX(原始資料!BI$2:BI$501,$BJ465)))</f>
        <v/>
      </c>
      <c r="BH465" s="6">
        <f>IF(OR($BJ465="",59&gt;設定!$B$3),"",IF(INDEX(原始資料!BJ$2:BJ$501,$BJ465)="","",INDEX(原始資料!BJ$2:BJ$501,$BJ465)))</f>
        <v/>
      </c>
      <c r="BI465" s="6">
        <f>IF(OR($BJ465="",60&gt;設定!$B$3),"",IF(INDEX(原始資料!BK$2:BK$501,$BJ465)="","",INDEX(原始資料!BK$2:BK$501,$BJ465)))</f>
        <v/>
      </c>
      <c r="BJ465" s="6">
        <f>IFERROR(MATCH(ROW()-1,判定!$H$2:$H$501,0),"")</f>
        <v/>
      </c>
    </row>
    <row r="466">
      <c r="A466" s="6">
        <f>IF($BJ466="","",INDEX(原始資料!$A$2:$A$501,$BJ466))</f>
        <v/>
      </c>
      <c r="B466" s="6">
        <f>IF(OR($BJ466="",1&gt;設定!$B$3),"",IF(INDEX(原始資料!D$2:D$501,$BJ466)="","",INDEX(原始資料!D$2:D$501,$BJ466)))</f>
        <v/>
      </c>
      <c r="C466" s="6">
        <f>IF(OR($BJ466="",2&gt;設定!$B$3),"",IF(INDEX(原始資料!E$2:E$501,$BJ466)="","",INDEX(原始資料!E$2:E$501,$BJ466)))</f>
        <v/>
      </c>
      <c r="D466" s="6">
        <f>IF(OR($BJ466="",3&gt;設定!$B$3),"",IF(INDEX(原始資料!F$2:F$501,$BJ466)="","",INDEX(原始資料!F$2:F$501,$BJ466)))</f>
        <v/>
      </c>
      <c r="E466" s="6">
        <f>IF(OR($BJ466="",4&gt;設定!$B$3),"",IF(INDEX(原始資料!G$2:G$501,$BJ466)="","",INDEX(原始資料!G$2:G$501,$BJ466)))</f>
        <v/>
      </c>
      <c r="F466" s="6">
        <f>IF(OR($BJ466="",5&gt;設定!$B$3),"",IF(INDEX(原始資料!H$2:H$501,$BJ466)="","",INDEX(原始資料!H$2:H$501,$BJ466)))</f>
        <v/>
      </c>
      <c r="G466" s="6">
        <f>IF(OR($BJ466="",6&gt;設定!$B$3),"",IF(INDEX(原始資料!I$2:I$501,$BJ466)="","",INDEX(原始資料!I$2:I$501,$BJ466)))</f>
        <v/>
      </c>
      <c r="H466" s="6">
        <f>IF(OR($BJ466="",7&gt;設定!$B$3),"",IF(INDEX(原始資料!J$2:J$501,$BJ466)="","",INDEX(原始資料!J$2:J$501,$BJ466)))</f>
        <v/>
      </c>
      <c r="I466" s="6">
        <f>IF(OR($BJ466="",8&gt;設定!$B$3),"",IF(INDEX(原始資料!K$2:K$501,$BJ466)="","",INDEX(原始資料!K$2:K$501,$BJ466)))</f>
        <v/>
      </c>
      <c r="J466" s="6">
        <f>IF(OR($BJ466="",9&gt;設定!$B$3),"",IF(INDEX(原始資料!L$2:L$501,$BJ466)="","",INDEX(原始資料!L$2:L$501,$BJ466)))</f>
        <v/>
      </c>
      <c r="K466" s="6">
        <f>IF(OR($BJ466="",10&gt;設定!$B$3),"",IF(INDEX(原始資料!M$2:M$501,$BJ466)="","",INDEX(原始資料!M$2:M$501,$BJ466)))</f>
        <v/>
      </c>
      <c r="L466" s="6">
        <f>IF(OR($BJ466="",11&gt;設定!$B$3),"",IF(INDEX(原始資料!N$2:N$501,$BJ466)="","",INDEX(原始資料!N$2:N$501,$BJ466)))</f>
        <v/>
      </c>
      <c r="M466" s="6">
        <f>IF(OR($BJ466="",12&gt;設定!$B$3),"",IF(INDEX(原始資料!O$2:O$501,$BJ466)="","",INDEX(原始資料!O$2:O$501,$BJ466)))</f>
        <v/>
      </c>
      <c r="N466" s="6">
        <f>IF(OR($BJ466="",13&gt;設定!$B$3),"",IF(INDEX(原始資料!P$2:P$501,$BJ466)="","",INDEX(原始資料!P$2:P$501,$BJ466)))</f>
        <v/>
      </c>
      <c r="O466" s="6">
        <f>IF(OR($BJ466="",14&gt;設定!$B$3),"",IF(INDEX(原始資料!Q$2:Q$501,$BJ466)="","",INDEX(原始資料!Q$2:Q$501,$BJ466)))</f>
        <v/>
      </c>
      <c r="P466" s="6">
        <f>IF(OR($BJ466="",15&gt;設定!$B$3),"",IF(INDEX(原始資料!R$2:R$501,$BJ466)="","",INDEX(原始資料!R$2:R$501,$BJ466)))</f>
        <v/>
      </c>
      <c r="Q466" s="6">
        <f>IF(OR($BJ466="",16&gt;設定!$B$3),"",IF(INDEX(原始資料!S$2:S$501,$BJ466)="","",INDEX(原始資料!S$2:S$501,$BJ466)))</f>
        <v/>
      </c>
      <c r="R466" s="6">
        <f>IF(OR($BJ466="",17&gt;設定!$B$3),"",IF(INDEX(原始資料!T$2:T$501,$BJ466)="","",INDEX(原始資料!T$2:T$501,$BJ466)))</f>
        <v/>
      </c>
      <c r="S466" s="6">
        <f>IF(OR($BJ466="",18&gt;設定!$B$3),"",IF(INDEX(原始資料!U$2:U$501,$BJ466)="","",INDEX(原始資料!U$2:U$501,$BJ466)))</f>
        <v/>
      </c>
      <c r="T466" s="6">
        <f>IF(OR($BJ466="",19&gt;設定!$B$3),"",IF(INDEX(原始資料!V$2:V$501,$BJ466)="","",INDEX(原始資料!V$2:V$501,$BJ466)))</f>
        <v/>
      </c>
      <c r="U466" s="6">
        <f>IF(OR($BJ466="",20&gt;設定!$B$3),"",IF(INDEX(原始資料!W$2:W$501,$BJ466)="","",INDEX(原始資料!W$2:W$501,$BJ466)))</f>
        <v/>
      </c>
      <c r="V466" s="6">
        <f>IF(OR($BJ466="",21&gt;設定!$B$3),"",IF(INDEX(原始資料!X$2:X$501,$BJ466)="","",INDEX(原始資料!X$2:X$501,$BJ466)))</f>
        <v/>
      </c>
      <c r="W466" s="6">
        <f>IF(OR($BJ466="",22&gt;設定!$B$3),"",IF(INDEX(原始資料!Y$2:Y$501,$BJ466)="","",INDEX(原始資料!Y$2:Y$501,$BJ466)))</f>
        <v/>
      </c>
      <c r="X466" s="6">
        <f>IF(OR($BJ466="",23&gt;設定!$B$3),"",IF(INDEX(原始資料!Z$2:Z$501,$BJ466)="","",INDEX(原始資料!Z$2:Z$501,$BJ466)))</f>
        <v/>
      </c>
      <c r="Y466" s="6">
        <f>IF(OR($BJ466="",24&gt;設定!$B$3),"",IF(INDEX(原始資料!AA$2:AA$501,$BJ466)="","",INDEX(原始資料!AA$2:AA$501,$BJ466)))</f>
        <v/>
      </c>
      <c r="Z466" s="6">
        <f>IF(OR($BJ466="",25&gt;設定!$B$3),"",IF(INDEX(原始資料!AB$2:AB$501,$BJ466)="","",INDEX(原始資料!AB$2:AB$501,$BJ466)))</f>
        <v/>
      </c>
      <c r="AA466" s="6">
        <f>IF(OR($BJ466="",26&gt;設定!$B$3),"",IF(INDEX(原始資料!AC$2:AC$501,$BJ466)="","",INDEX(原始資料!AC$2:AC$501,$BJ466)))</f>
        <v/>
      </c>
      <c r="AB466" s="6">
        <f>IF(OR($BJ466="",27&gt;設定!$B$3),"",IF(INDEX(原始資料!AD$2:AD$501,$BJ466)="","",INDEX(原始資料!AD$2:AD$501,$BJ466)))</f>
        <v/>
      </c>
      <c r="AC466" s="6">
        <f>IF(OR($BJ466="",28&gt;設定!$B$3),"",IF(INDEX(原始資料!AE$2:AE$501,$BJ466)="","",INDEX(原始資料!AE$2:AE$501,$BJ466)))</f>
        <v/>
      </c>
      <c r="AD466" s="6">
        <f>IF(OR($BJ466="",29&gt;設定!$B$3),"",IF(INDEX(原始資料!AF$2:AF$501,$BJ466)="","",INDEX(原始資料!AF$2:AF$501,$BJ466)))</f>
        <v/>
      </c>
      <c r="AE466" s="6">
        <f>IF(OR($BJ466="",30&gt;設定!$B$3),"",IF(INDEX(原始資料!AG$2:AG$501,$BJ466)="","",INDEX(原始資料!AG$2:AG$501,$BJ466)))</f>
        <v/>
      </c>
      <c r="AF466" s="6">
        <f>IF(OR($BJ466="",31&gt;設定!$B$3),"",IF(INDEX(原始資料!AH$2:AH$501,$BJ466)="","",INDEX(原始資料!AH$2:AH$501,$BJ466)))</f>
        <v/>
      </c>
      <c r="AG466" s="6">
        <f>IF(OR($BJ466="",32&gt;設定!$B$3),"",IF(INDEX(原始資料!AI$2:AI$501,$BJ466)="","",INDEX(原始資料!AI$2:AI$501,$BJ466)))</f>
        <v/>
      </c>
      <c r="AH466" s="6">
        <f>IF(OR($BJ466="",33&gt;設定!$B$3),"",IF(INDEX(原始資料!AJ$2:AJ$501,$BJ466)="","",INDEX(原始資料!AJ$2:AJ$501,$BJ466)))</f>
        <v/>
      </c>
      <c r="AI466" s="6">
        <f>IF(OR($BJ466="",34&gt;設定!$B$3),"",IF(INDEX(原始資料!AK$2:AK$501,$BJ466)="","",INDEX(原始資料!AK$2:AK$501,$BJ466)))</f>
        <v/>
      </c>
      <c r="AJ466" s="6">
        <f>IF(OR($BJ466="",35&gt;設定!$B$3),"",IF(INDEX(原始資料!AL$2:AL$501,$BJ466)="","",INDEX(原始資料!AL$2:AL$501,$BJ466)))</f>
        <v/>
      </c>
      <c r="AK466" s="6">
        <f>IF(OR($BJ466="",36&gt;設定!$B$3),"",IF(INDEX(原始資料!AM$2:AM$501,$BJ466)="","",INDEX(原始資料!AM$2:AM$501,$BJ466)))</f>
        <v/>
      </c>
      <c r="AL466" s="6">
        <f>IF(OR($BJ466="",37&gt;設定!$B$3),"",IF(INDEX(原始資料!AN$2:AN$501,$BJ466)="","",INDEX(原始資料!AN$2:AN$501,$BJ466)))</f>
        <v/>
      </c>
      <c r="AM466" s="6">
        <f>IF(OR($BJ466="",38&gt;設定!$B$3),"",IF(INDEX(原始資料!AO$2:AO$501,$BJ466)="","",INDEX(原始資料!AO$2:AO$501,$BJ466)))</f>
        <v/>
      </c>
      <c r="AN466" s="6">
        <f>IF(OR($BJ466="",39&gt;設定!$B$3),"",IF(INDEX(原始資料!AP$2:AP$501,$BJ466)="","",INDEX(原始資料!AP$2:AP$501,$BJ466)))</f>
        <v/>
      </c>
      <c r="AO466" s="6">
        <f>IF(OR($BJ466="",40&gt;設定!$B$3),"",IF(INDEX(原始資料!AQ$2:AQ$501,$BJ466)="","",INDEX(原始資料!AQ$2:AQ$501,$BJ466)))</f>
        <v/>
      </c>
      <c r="AP466" s="6">
        <f>IF(OR($BJ466="",41&gt;設定!$B$3),"",IF(INDEX(原始資料!AR$2:AR$501,$BJ466)="","",INDEX(原始資料!AR$2:AR$501,$BJ466)))</f>
        <v/>
      </c>
      <c r="AQ466" s="6">
        <f>IF(OR($BJ466="",42&gt;設定!$B$3),"",IF(INDEX(原始資料!AS$2:AS$501,$BJ466)="","",INDEX(原始資料!AS$2:AS$501,$BJ466)))</f>
        <v/>
      </c>
      <c r="AR466" s="6">
        <f>IF(OR($BJ466="",43&gt;設定!$B$3),"",IF(INDEX(原始資料!AT$2:AT$501,$BJ466)="","",INDEX(原始資料!AT$2:AT$501,$BJ466)))</f>
        <v/>
      </c>
      <c r="AS466" s="6">
        <f>IF(OR($BJ466="",44&gt;設定!$B$3),"",IF(INDEX(原始資料!AU$2:AU$501,$BJ466)="","",INDEX(原始資料!AU$2:AU$501,$BJ466)))</f>
        <v/>
      </c>
      <c r="AT466" s="6">
        <f>IF(OR($BJ466="",45&gt;設定!$B$3),"",IF(INDEX(原始資料!AV$2:AV$501,$BJ466)="","",INDEX(原始資料!AV$2:AV$501,$BJ466)))</f>
        <v/>
      </c>
      <c r="AU466" s="6">
        <f>IF(OR($BJ466="",46&gt;設定!$B$3),"",IF(INDEX(原始資料!AW$2:AW$501,$BJ466)="","",INDEX(原始資料!AW$2:AW$501,$BJ466)))</f>
        <v/>
      </c>
      <c r="AV466" s="6">
        <f>IF(OR($BJ466="",47&gt;設定!$B$3),"",IF(INDEX(原始資料!AX$2:AX$501,$BJ466)="","",INDEX(原始資料!AX$2:AX$501,$BJ466)))</f>
        <v/>
      </c>
      <c r="AW466" s="6">
        <f>IF(OR($BJ466="",48&gt;設定!$B$3),"",IF(INDEX(原始資料!AY$2:AY$501,$BJ466)="","",INDEX(原始資料!AY$2:AY$501,$BJ466)))</f>
        <v/>
      </c>
      <c r="AX466" s="6">
        <f>IF(OR($BJ466="",49&gt;設定!$B$3),"",IF(INDEX(原始資料!AZ$2:AZ$501,$BJ466)="","",INDEX(原始資料!AZ$2:AZ$501,$BJ466)))</f>
        <v/>
      </c>
      <c r="AY466" s="6">
        <f>IF(OR($BJ466="",50&gt;設定!$B$3),"",IF(INDEX(原始資料!BA$2:BA$501,$BJ466)="","",INDEX(原始資料!BA$2:BA$501,$BJ466)))</f>
        <v/>
      </c>
      <c r="AZ466" s="6">
        <f>IF(OR($BJ466="",51&gt;設定!$B$3),"",IF(INDEX(原始資料!BB$2:BB$501,$BJ466)="","",INDEX(原始資料!BB$2:BB$501,$BJ466)))</f>
        <v/>
      </c>
      <c r="BA466" s="6">
        <f>IF(OR($BJ466="",52&gt;設定!$B$3),"",IF(INDEX(原始資料!BC$2:BC$501,$BJ466)="","",INDEX(原始資料!BC$2:BC$501,$BJ466)))</f>
        <v/>
      </c>
      <c r="BB466" s="6">
        <f>IF(OR($BJ466="",53&gt;設定!$B$3),"",IF(INDEX(原始資料!BD$2:BD$501,$BJ466)="","",INDEX(原始資料!BD$2:BD$501,$BJ466)))</f>
        <v/>
      </c>
      <c r="BC466" s="6">
        <f>IF(OR($BJ466="",54&gt;設定!$B$3),"",IF(INDEX(原始資料!BE$2:BE$501,$BJ466)="","",INDEX(原始資料!BE$2:BE$501,$BJ466)))</f>
        <v/>
      </c>
      <c r="BD466" s="6">
        <f>IF(OR($BJ466="",55&gt;設定!$B$3),"",IF(INDEX(原始資料!BF$2:BF$501,$BJ466)="","",INDEX(原始資料!BF$2:BF$501,$BJ466)))</f>
        <v/>
      </c>
      <c r="BE466" s="6">
        <f>IF(OR($BJ466="",56&gt;設定!$B$3),"",IF(INDEX(原始資料!BG$2:BG$501,$BJ466)="","",INDEX(原始資料!BG$2:BG$501,$BJ466)))</f>
        <v/>
      </c>
      <c r="BF466" s="6">
        <f>IF(OR($BJ466="",57&gt;設定!$B$3),"",IF(INDEX(原始資料!BH$2:BH$501,$BJ466)="","",INDEX(原始資料!BH$2:BH$501,$BJ466)))</f>
        <v/>
      </c>
      <c r="BG466" s="6">
        <f>IF(OR($BJ466="",58&gt;設定!$B$3),"",IF(INDEX(原始資料!BI$2:BI$501,$BJ466)="","",INDEX(原始資料!BI$2:BI$501,$BJ466)))</f>
        <v/>
      </c>
      <c r="BH466" s="6">
        <f>IF(OR($BJ466="",59&gt;設定!$B$3),"",IF(INDEX(原始資料!BJ$2:BJ$501,$BJ466)="","",INDEX(原始資料!BJ$2:BJ$501,$BJ466)))</f>
        <v/>
      </c>
      <c r="BI466" s="6">
        <f>IF(OR($BJ466="",60&gt;設定!$B$3),"",IF(INDEX(原始資料!BK$2:BK$501,$BJ466)="","",INDEX(原始資料!BK$2:BK$501,$BJ466)))</f>
        <v/>
      </c>
      <c r="BJ466" s="6">
        <f>IFERROR(MATCH(ROW()-1,判定!$H$2:$H$501,0),"")</f>
        <v/>
      </c>
    </row>
    <row r="467">
      <c r="A467" s="6">
        <f>IF($BJ467="","",INDEX(原始資料!$A$2:$A$501,$BJ467))</f>
        <v/>
      </c>
      <c r="B467" s="6">
        <f>IF(OR($BJ467="",1&gt;設定!$B$3),"",IF(INDEX(原始資料!D$2:D$501,$BJ467)="","",INDEX(原始資料!D$2:D$501,$BJ467)))</f>
        <v/>
      </c>
      <c r="C467" s="6">
        <f>IF(OR($BJ467="",2&gt;設定!$B$3),"",IF(INDEX(原始資料!E$2:E$501,$BJ467)="","",INDEX(原始資料!E$2:E$501,$BJ467)))</f>
        <v/>
      </c>
      <c r="D467" s="6">
        <f>IF(OR($BJ467="",3&gt;設定!$B$3),"",IF(INDEX(原始資料!F$2:F$501,$BJ467)="","",INDEX(原始資料!F$2:F$501,$BJ467)))</f>
        <v/>
      </c>
      <c r="E467" s="6">
        <f>IF(OR($BJ467="",4&gt;設定!$B$3),"",IF(INDEX(原始資料!G$2:G$501,$BJ467)="","",INDEX(原始資料!G$2:G$501,$BJ467)))</f>
        <v/>
      </c>
      <c r="F467" s="6">
        <f>IF(OR($BJ467="",5&gt;設定!$B$3),"",IF(INDEX(原始資料!H$2:H$501,$BJ467)="","",INDEX(原始資料!H$2:H$501,$BJ467)))</f>
        <v/>
      </c>
      <c r="G467" s="6">
        <f>IF(OR($BJ467="",6&gt;設定!$B$3),"",IF(INDEX(原始資料!I$2:I$501,$BJ467)="","",INDEX(原始資料!I$2:I$501,$BJ467)))</f>
        <v/>
      </c>
      <c r="H467" s="6">
        <f>IF(OR($BJ467="",7&gt;設定!$B$3),"",IF(INDEX(原始資料!J$2:J$501,$BJ467)="","",INDEX(原始資料!J$2:J$501,$BJ467)))</f>
        <v/>
      </c>
      <c r="I467" s="6">
        <f>IF(OR($BJ467="",8&gt;設定!$B$3),"",IF(INDEX(原始資料!K$2:K$501,$BJ467)="","",INDEX(原始資料!K$2:K$501,$BJ467)))</f>
        <v/>
      </c>
      <c r="J467" s="6">
        <f>IF(OR($BJ467="",9&gt;設定!$B$3),"",IF(INDEX(原始資料!L$2:L$501,$BJ467)="","",INDEX(原始資料!L$2:L$501,$BJ467)))</f>
        <v/>
      </c>
      <c r="K467" s="6">
        <f>IF(OR($BJ467="",10&gt;設定!$B$3),"",IF(INDEX(原始資料!M$2:M$501,$BJ467)="","",INDEX(原始資料!M$2:M$501,$BJ467)))</f>
        <v/>
      </c>
      <c r="L467" s="6">
        <f>IF(OR($BJ467="",11&gt;設定!$B$3),"",IF(INDEX(原始資料!N$2:N$501,$BJ467)="","",INDEX(原始資料!N$2:N$501,$BJ467)))</f>
        <v/>
      </c>
      <c r="M467" s="6">
        <f>IF(OR($BJ467="",12&gt;設定!$B$3),"",IF(INDEX(原始資料!O$2:O$501,$BJ467)="","",INDEX(原始資料!O$2:O$501,$BJ467)))</f>
        <v/>
      </c>
      <c r="N467" s="6">
        <f>IF(OR($BJ467="",13&gt;設定!$B$3),"",IF(INDEX(原始資料!P$2:P$501,$BJ467)="","",INDEX(原始資料!P$2:P$501,$BJ467)))</f>
        <v/>
      </c>
      <c r="O467" s="6">
        <f>IF(OR($BJ467="",14&gt;設定!$B$3),"",IF(INDEX(原始資料!Q$2:Q$501,$BJ467)="","",INDEX(原始資料!Q$2:Q$501,$BJ467)))</f>
        <v/>
      </c>
      <c r="P467" s="6">
        <f>IF(OR($BJ467="",15&gt;設定!$B$3),"",IF(INDEX(原始資料!R$2:R$501,$BJ467)="","",INDEX(原始資料!R$2:R$501,$BJ467)))</f>
        <v/>
      </c>
      <c r="Q467" s="6">
        <f>IF(OR($BJ467="",16&gt;設定!$B$3),"",IF(INDEX(原始資料!S$2:S$501,$BJ467)="","",INDEX(原始資料!S$2:S$501,$BJ467)))</f>
        <v/>
      </c>
      <c r="R467" s="6">
        <f>IF(OR($BJ467="",17&gt;設定!$B$3),"",IF(INDEX(原始資料!T$2:T$501,$BJ467)="","",INDEX(原始資料!T$2:T$501,$BJ467)))</f>
        <v/>
      </c>
      <c r="S467" s="6">
        <f>IF(OR($BJ467="",18&gt;設定!$B$3),"",IF(INDEX(原始資料!U$2:U$501,$BJ467)="","",INDEX(原始資料!U$2:U$501,$BJ467)))</f>
        <v/>
      </c>
      <c r="T467" s="6">
        <f>IF(OR($BJ467="",19&gt;設定!$B$3),"",IF(INDEX(原始資料!V$2:V$501,$BJ467)="","",INDEX(原始資料!V$2:V$501,$BJ467)))</f>
        <v/>
      </c>
      <c r="U467" s="6">
        <f>IF(OR($BJ467="",20&gt;設定!$B$3),"",IF(INDEX(原始資料!W$2:W$501,$BJ467)="","",INDEX(原始資料!W$2:W$501,$BJ467)))</f>
        <v/>
      </c>
      <c r="V467" s="6">
        <f>IF(OR($BJ467="",21&gt;設定!$B$3),"",IF(INDEX(原始資料!X$2:X$501,$BJ467)="","",INDEX(原始資料!X$2:X$501,$BJ467)))</f>
        <v/>
      </c>
      <c r="W467" s="6">
        <f>IF(OR($BJ467="",22&gt;設定!$B$3),"",IF(INDEX(原始資料!Y$2:Y$501,$BJ467)="","",INDEX(原始資料!Y$2:Y$501,$BJ467)))</f>
        <v/>
      </c>
      <c r="X467" s="6">
        <f>IF(OR($BJ467="",23&gt;設定!$B$3),"",IF(INDEX(原始資料!Z$2:Z$501,$BJ467)="","",INDEX(原始資料!Z$2:Z$501,$BJ467)))</f>
        <v/>
      </c>
      <c r="Y467" s="6">
        <f>IF(OR($BJ467="",24&gt;設定!$B$3),"",IF(INDEX(原始資料!AA$2:AA$501,$BJ467)="","",INDEX(原始資料!AA$2:AA$501,$BJ467)))</f>
        <v/>
      </c>
      <c r="Z467" s="6">
        <f>IF(OR($BJ467="",25&gt;設定!$B$3),"",IF(INDEX(原始資料!AB$2:AB$501,$BJ467)="","",INDEX(原始資料!AB$2:AB$501,$BJ467)))</f>
        <v/>
      </c>
      <c r="AA467" s="6">
        <f>IF(OR($BJ467="",26&gt;設定!$B$3),"",IF(INDEX(原始資料!AC$2:AC$501,$BJ467)="","",INDEX(原始資料!AC$2:AC$501,$BJ467)))</f>
        <v/>
      </c>
      <c r="AB467" s="6">
        <f>IF(OR($BJ467="",27&gt;設定!$B$3),"",IF(INDEX(原始資料!AD$2:AD$501,$BJ467)="","",INDEX(原始資料!AD$2:AD$501,$BJ467)))</f>
        <v/>
      </c>
      <c r="AC467" s="6">
        <f>IF(OR($BJ467="",28&gt;設定!$B$3),"",IF(INDEX(原始資料!AE$2:AE$501,$BJ467)="","",INDEX(原始資料!AE$2:AE$501,$BJ467)))</f>
        <v/>
      </c>
      <c r="AD467" s="6">
        <f>IF(OR($BJ467="",29&gt;設定!$B$3),"",IF(INDEX(原始資料!AF$2:AF$501,$BJ467)="","",INDEX(原始資料!AF$2:AF$501,$BJ467)))</f>
        <v/>
      </c>
      <c r="AE467" s="6">
        <f>IF(OR($BJ467="",30&gt;設定!$B$3),"",IF(INDEX(原始資料!AG$2:AG$501,$BJ467)="","",INDEX(原始資料!AG$2:AG$501,$BJ467)))</f>
        <v/>
      </c>
      <c r="AF467" s="6">
        <f>IF(OR($BJ467="",31&gt;設定!$B$3),"",IF(INDEX(原始資料!AH$2:AH$501,$BJ467)="","",INDEX(原始資料!AH$2:AH$501,$BJ467)))</f>
        <v/>
      </c>
      <c r="AG467" s="6">
        <f>IF(OR($BJ467="",32&gt;設定!$B$3),"",IF(INDEX(原始資料!AI$2:AI$501,$BJ467)="","",INDEX(原始資料!AI$2:AI$501,$BJ467)))</f>
        <v/>
      </c>
      <c r="AH467" s="6">
        <f>IF(OR($BJ467="",33&gt;設定!$B$3),"",IF(INDEX(原始資料!AJ$2:AJ$501,$BJ467)="","",INDEX(原始資料!AJ$2:AJ$501,$BJ467)))</f>
        <v/>
      </c>
      <c r="AI467" s="6">
        <f>IF(OR($BJ467="",34&gt;設定!$B$3),"",IF(INDEX(原始資料!AK$2:AK$501,$BJ467)="","",INDEX(原始資料!AK$2:AK$501,$BJ467)))</f>
        <v/>
      </c>
      <c r="AJ467" s="6">
        <f>IF(OR($BJ467="",35&gt;設定!$B$3),"",IF(INDEX(原始資料!AL$2:AL$501,$BJ467)="","",INDEX(原始資料!AL$2:AL$501,$BJ467)))</f>
        <v/>
      </c>
      <c r="AK467" s="6">
        <f>IF(OR($BJ467="",36&gt;設定!$B$3),"",IF(INDEX(原始資料!AM$2:AM$501,$BJ467)="","",INDEX(原始資料!AM$2:AM$501,$BJ467)))</f>
        <v/>
      </c>
      <c r="AL467" s="6">
        <f>IF(OR($BJ467="",37&gt;設定!$B$3),"",IF(INDEX(原始資料!AN$2:AN$501,$BJ467)="","",INDEX(原始資料!AN$2:AN$501,$BJ467)))</f>
        <v/>
      </c>
      <c r="AM467" s="6">
        <f>IF(OR($BJ467="",38&gt;設定!$B$3),"",IF(INDEX(原始資料!AO$2:AO$501,$BJ467)="","",INDEX(原始資料!AO$2:AO$501,$BJ467)))</f>
        <v/>
      </c>
      <c r="AN467" s="6">
        <f>IF(OR($BJ467="",39&gt;設定!$B$3),"",IF(INDEX(原始資料!AP$2:AP$501,$BJ467)="","",INDEX(原始資料!AP$2:AP$501,$BJ467)))</f>
        <v/>
      </c>
      <c r="AO467" s="6">
        <f>IF(OR($BJ467="",40&gt;設定!$B$3),"",IF(INDEX(原始資料!AQ$2:AQ$501,$BJ467)="","",INDEX(原始資料!AQ$2:AQ$501,$BJ467)))</f>
        <v/>
      </c>
      <c r="AP467" s="6">
        <f>IF(OR($BJ467="",41&gt;設定!$B$3),"",IF(INDEX(原始資料!AR$2:AR$501,$BJ467)="","",INDEX(原始資料!AR$2:AR$501,$BJ467)))</f>
        <v/>
      </c>
      <c r="AQ467" s="6">
        <f>IF(OR($BJ467="",42&gt;設定!$B$3),"",IF(INDEX(原始資料!AS$2:AS$501,$BJ467)="","",INDEX(原始資料!AS$2:AS$501,$BJ467)))</f>
        <v/>
      </c>
      <c r="AR467" s="6">
        <f>IF(OR($BJ467="",43&gt;設定!$B$3),"",IF(INDEX(原始資料!AT$2:AT$501,$BJ467)="","",INDEX(原始資料!AT$2:AT$501,$BJ467)))</f>
        <v/>
      </c>
      <c r="AS467" s="6">
        <f>IF(OR($BJ467="",44&gt;設定!$B$3),"",IF(INDEX(原始資料!AU$2:AU$501,$BJ467)="","",INDEX(原始資料!AU$2:AU$501,$BJ467)))</f>
        <v/>
      </c>
      <c r="AT467" s="6">
        <f>IF(OR($BJ467="",45&gt;設定!$B$3),"",IF(INDEX(原始資料!AV$2:AV$501,$BJ467)="","",INDEX(原始資料!AV$2:AV$501,$BJ467)))</f>
        <v/>
      </c>
      <c r="AU467" s="6">
        <f>IF(OR($BJ467="",46&gt;設定!$B$3),"",IF(INDEX(原始資料!AW$2:AW$501,$BJ467)="","",INDEX(原始資料!AW$2:AW$501,$BJ467)))</f>
        <v/>
      </c>
      <c r="AV467" s="6">
        <f>IF(OR($BJ467="",47&gt;設定!$B$3),"",IF(INDEX(原始資料!AX$2:AX$501,$BJ467)="","",INDEX(原始資料!AX$2:AX$501,$BJ467)))</f>
        <v/>
      </c>
      <c r="AW467" s="6">
        <f>IF(OR($BJ467="",48&gt;設定!$B$3),"",IF(INDEX(原始資料!AY$2:AY$501,$BJ467)="","",INDEX(原始資料!AY$2:AY$501,$BJ467)))</f>
        <v/>
      </c>
      <c r="AX467" s="6">
        <f>IF(OR($BJ467="",49&gt;設定!$B$3),"",IF(INDEX(原始資料!AZ$2:AZ$501,$BJ467)="","",INDEX(原始資料!AZ$2:AZ$501,$BJ467)))</f>
        <v/>
      </c>
      <c r="AY467" s="6">
        <f>IF(OR($BJ467="",50&gt;設定!$B$3),"",IF(INDEX(原始資料!BA$2:BA$501,$BJ467)="","",INDEX(原始資料!BA$2:BA$501,$BJ467)))</f>
        <v/>
      </c>
      <c r="AZ467" s="6">
        <f>IF(OR($BJ467="",51&gt;設定!$B$3),"",IF(INDEX(原始資料!BB$2:BB$501,$BJ467)="","",INDEX(原始資料!BB$2:BB$501,$BJ467)))</f>
        <v/>
      </c>
      <c r="BA467" s="6">
        <f>IF(OR($BJ467="",52&gt;設定!$B$3),"",IF(INDEX(原始資料!BC$2:BC$501,$BJ467)="","",INDEX(原始資料!BC$2:BC$501,$BJ467)))</f>
        <v/>
      </c>
      <c r="BB467" s="6">
        <f>IF(OR($BJ467="",53&gt;設定!$B$3),"",IF(INDEX(原始資料!BD$2:BD$501,$BJ467)="","",INDEX(原始資料!BD$2:BD$501,$BJ467)))</f>
        <v/>
      </c>
      <c r="BC467" s="6">
        <f>IF(OR($BJ467="",54&gt;設定!$B$3),"",IF(INDEX(原始資料!BE$2:BE$501,$BJ467)="","",INDEX(原始資料!BE$2:BE$501,$BJ467)))</f>
        <v/>
      </c>
      <c r="BD467" s="6">
        <f>IF(OR($BJ467="",55&gt;設定!$B$3),"",IF(INDEX(原始資料!BF$2:BF$501,$BJ467)="","",INDEX(原始資料!BF$2:BF$501,$BJ467)))</f>
        <v/>
      </c>
      <c r="BE467" s="6">
        <f>IF(OR($BJ467="",56&gt;設定!$B$3),"",IF(INDEX(原始資料!BG$2:BG$501,$BJ467)="","",INDEX(原始資料!BG$2:BG$501,$BJ467)))</f>
        <v/>
      </c>
      <c r="BF467" s="6">
        <f>IF(OR($BJ467="",57&gt;設定!$B$3),"",IF(INDEX(原始資料!BH$2:BH$501,$BJ467)="","",INDEX(原始資料!BH$2:BH$501,$BJ467)))</f>
        <v/>
      </c>
      <c r="BG467" s="6">
        <f>IF(OR($BJ467="",58&gt;設定!$B$3),"",IF(INDEX(原始資料!BI$2:BI$501,$BJ467)="","",INDEX(原始資料!BI$2:BI$501,$BJ467)))</f>
        <v/>
      </c>
      <c r="BH467" s="6">
        <f>IF(OR($BJ467="",59&gt;設定!$B$3),"",IF(INDEX(原始資料!BJ$2:BJ$501,$BJ467)="","",INDEX(原始資料!BJ$2:BJ$501,$BJ467)))</f>
        <v/>
      </c>
      <c r="BI467" s="6">
        <f>IF(OR($BJ467="",60&gt;設定!$B$3),"",IF(INDEX(原始資料!BK$2:BK$501,$BJ467)="","",INDEX(原始資料!BK$2:BK$501,$BJ467)))</f>
        <v/>
      </c>
      <c r="BJ467" s="6">
        <f>IFERROR(MATCH(ROW()-1,判定!$H$2:$H$501,0),"")</f>
        <v/>
      </c>
    </row>
    <row r="468">
      <c r="A468" s="6">
        <f>IF($BJ468="","",INDEX(原始資料!$A$2:$A$501,$BJ468))</f>
        <v/>
      </c>
      <c r="B468" s="6">
        <f>IF(OR($BJ468="",1&gt;設定!$B$3),"",IF(INDEX(原始資料!D$2:D$501,$BJ468)="","",INDEX(原始資料!D$2:D$501,$BJ468)))</f>
        <v/>
      </c>
      <c r="C468" s="6">
        <f>IF(OR($BJ468="",2&gt;設定!$B$3),"",IF(INDEX(原始資料!E$2:E$501,$BJ468)="","",INDEX(原始資料!E$2:E$501,$BJ468)))</f>
        <v/>
      </c>
      <c r="D468" s="6">
        <f>IF(OR($BJ468="",3&gt;設定!$B$3),"",IF(INDEX(原始資料!F$2:F$501,$BJ468)="","",INDEX(原始資料!F$2:F$501,$BJ468)))</f>
        <v/>
      </c>
      <c r="E468" s="6">
        <f>IF(OR($BJ468="",4&gt;設定!$B$3),"",IF(INDEX(原始資料!G$2:G$501,$BJ468)="","",INDEX(原始資料!G$2:G$501,$BJ468)))</f>
        <v/>
      </c>
      <c r="F468" s="6">
        <f>IF(OR($BJ468="",5&gt;設定!$B$3),"",IF(INDEX(原始資料!H$2:H$501,$BJ468)="","",INDEX(原始資料!H$2:H$501,$BJ468)))</f>
        <v/>
      </c>
      <c r="G468" s="6">
        <f>IF(OR($BJ468="",6&gt;設定!$B$3),"",IF(INDEX(原始資料!I$2:I$501,$BJ468)="","",INDEX(原始資料!I$2:I$501,$BJ468)))</f>
        <v/>
      </c>
      <c r="H468" s="6">
        <f>IF(OR($BJ468="",7&gt;設定!$B$3),"",IF(INDEX(原始資料!J$2:J$501,$BJ468)="","",INDEX(原始資料!J$2:J$501,$BJ468)))</f>
        <v/>
      </c>
      <c r="I468" s="6">
        <f>IF(OR($BJ468="",8&gt;設定!$B$3),"",IF(INDEX(原始資料!K$2:K$501,$BJ468)="","",INDEX(原始資料!K$2:K$501,$BJ468)))</f>
        <v/>
      </c>
      <c r="J468" s="6">
        <f>IF(OR($BJ468="",9&gt;設定!$B$3),"",IF(INDEX(原始資料!L$2:L$501,$BJ468)="","",INDEX(原始資料!L$2:L$501,$BJ468)))</f>
        <v/>
      </c>
      <c r="K468" s="6">
        <f>IF(OR($BJ468="",10&gt;設定!$B$3),"",IF(INDEX(原始資料!M$2:M$501,$BJ468)="","",INDEX(原始資料!M$2:M$501,$BJ468)))</f>
        <v/>
      </c>
      <c r="L468" s="6">
        <f>IF(OR($BJ468="",11&gt;設定!$B$3),"",IF(INDEX(原始資料!N$2:N$501,$BJ468)="","",INDEX(原始資料!N$2:N$501,$BJ468)))</f>
        <v/>
      </c>
      <c r="M468" s="6">
        <f>IF(OR($BJ468="",12&gt;設定!$B$3),"",IF(INDEX(原始資料!O$2:O$501,$BJ468)="","",INDEX(原始資料!O$2:O$501,$BJ468)))</f>
        <v/>
      </c>
      <c r="N468" s="6">
        <f>IF(OR($BJ468="",13&gt;設定!$B$3),"",IF(INDEX(原始資料!P$2:P$501,$BJ468)="","",INDEX(原始資料!P$2:P$501,$BJ468)))</f>
        <v/>
      </c>
      <c r="O468" s="6">
        <f>IF(OR($BJ468="",14&gt;設定!$B$3),"",IF(INDEX(原始資料!Q$2:Q$501,$BJ468)="","",INDEX(原始資料!Q$2:Q$501,$BJ468)))</f>
        <v/>
      </c>
      <c r="P468" s="6">
        <f>IF(OR($BJ468="",15&gt;設定!$B$3),"",IF(INDEX(原始資料!R$2:R$501,$BJ468)="","",INDEX(原始資料!R$2:R$501,$BJ468)))</f>
        <v/>
      </c>
      <c r="Q468" s="6">
        <f>IF(OR($BJ468="",16&gt;設定!$B$3),"",IF(INDEX(原始資料!S$2:S$501,$BJ468)="","",INDEX(原始資料!S$2:S$501,$BJ468)))</f>
        <v/>
      </c>
      <c r="R468" s="6">
        <f>IF(OR($BJ468="",17&gt;設定!$B$3),"",IF(INDEX(原始資料!T$2:T$501,$BJ468)="","",INDEX(原始資料!T$2:T$501,$BJ468)))</f>
        <v/>
      </c>
      <c r="S468" s="6">
        <f>IF(OR($BJ468="",18&gt;設定!$B$3),"",IF(INDEX(原始資料!U$2:U$501,$BJ468)="","",INDEX(原始資料!U$2:U$501,$BJ468)))</f>
        <v/>
      </c>
      <c r="T468" s="6">
        <f>IF(OR($BJ468="",19&gt;設定!$B$3),"",IF(INDEX(原始資料!V$2:V$501,$BJ468)="","",INDEX(原始資料!V$2:V$501,$BJ468)))</f>
        <v/>
      </c>
      <c r="U468" s="6">
        <f>IF(OR($BJ468="",20&gt;設定!$B$3),"",IF(INDEX(原始資料!W$2:W$501,$BJ468)="","",INDEX(原始資料!W$2:W$501,$BJ468)))</f>
        <v/>
      </c>
      <c r="V468" s="6">
        <f>IF(OR($BJ468="",21&gt;設定!$B$3),"",IF(INDEX(原始資料!X$2:X$501,$BJ468)="","",INDEX(原始資料!X$2:X$501,$BJ468)))</f>
        <v/>
      </c>
      <c r="W468" s="6">
        <f>IF(OR($BJ468="",22&gt;設定!$B$3),"",IF(INDEX(原始資料!Y$2:Y$501,$BJ468)="","",INDEX(原始資料!Y$2:Y$501,$BJ468)))</f>
        <v/>
      </c>
      <c r="X468" s="6">
        <f>IF(OR($BJ468="",23&gt;設定!$B$3),"",IF(INDEX(原始資料!Z$2:Z$501,$BJ468)="","",INDEX(原始資料!Z$2:Z$501,$BJ468)))</f>
        <v/>
      </c>
      <c r="Y468" s="6">
        <f>IF(OR($BJ468="",24&gt;設定!$B$3),"",IF(INDEX(原始資料!AA$2:AA$501,$BJ468)="","",INDEX(原始資料!AA$2:AA$501,$BJ468)))</f>
        <v/>
      </c>
      <c r="Z468" s="6">
        <f>IF(OR($BJ468="",25&gt;設定!$B$3),"",IF(INDEX(原始資料!AB$2:AB$501,$BJ468)="","",INDEX(原始資料!AB$2:AB$501,$BJ468)))</f>
        <v/>
      </c>
      <c r="AA468" s="6">
        <f>IF(OR($BJ468="",26&gt;設定!$B$3),"",IF(INDEX(原始資料!AC$2:AC$501,$BJ468)="","",INDEX(原始資料!AC$2:AC$501,$BJ468)))</f>
        <v/>
      </c>
      <c r="AB468" s="6">
        <f>IF(OR($BJ468="",27&gt;設定!$B$3),"",IF(INDEX(原始資料!AD$2:AD$501,$BJ468)="","",INDEX(原始資料!AD$2:AD$501,$BJ468)))</f>
        <v/>
      </c>
      <c r="AC468" s="6">
        <f>IF(OR($BJ468="",28&gt;設定!$B$3),"",IF(INDEX(原始資料!AE$2:AE$501,$BJ468)="","",INDEX(原始資料!AE$2:AE$501,$BJ468)))</f>
        <v/>
      </c>
      <c r="AD468" s="6">
        <f>IF(OR($BJ468="",29&gt;設定!$B$3),"",IF(INDEX(原始資料!AF$2:AF$501,$BJ468)="","",INDEX(原始資料!AF$2:AF$501,$BJ468)))</f>
        <v/>
      </c>
      <c r="AE468" s="6">
        <f>IF(OR($BJ468="",30&gt;設定!$B$3),"",IF(INDEX(原始資料!AG$2:AG$501,$BJ468)="","",INDEX(原始資料!AG$2:AG$501,$BJ468)))</f>
        <v/>
      </c>
      <c r="AF468" s="6">
        <f>IF(OR($BJ468="",31&gt;設定!$B$3),"",IF(INDEX(原始資料!AH$2:AH$501,$BJ468)="","",INDEX(原始資料!AH$2:AH$501,$BJ468)))</f>
        <v/>
      </c>
      <c r="AG468" s="6">
        <f>IF(OR($BJ468="",32&gt;設定!$B$3),"",IF(INDEX(原始資料!AI$2:AI$501,$BJ468)="","",INDEX(原始資料!AI$2:AI$501,$BJ468)))</f>
        <v/>
      </c>
      <c r="AH468" s="6">
        <f>IF(OR($BJ468="",33&gt;設定!$B$3),"",IF(INDEX(原始資料!AJ$2:AJ$501,$BJ468)="","",INDEX(原始資料!AJ$2:AJ$501,$BJ468)))</f>
        <v/>
      </c>
      <c r="AI468" s="6">
        <f>IF(OR($BJ468="",34&gt;設定!$B$3),"",IF(INDEX(原始資料!AK$2:AK$501,$BJ468)="","",INDEX(原始資料!AK$2:AK$501,$BJ468)))</f>
        <v/>
      </c>
      <c r="AJ468" s="6">
        <f>IF(OR($BJ468="",35&gt;設定!$B$3),"",IF(INDEX(原始資料!AL$2:AL$501,$BJ468)="","",INDEX(原始資料!AL$2:AL$501,$BJ468)))</f>
        <v/>
      </c>
      <c r="AK468" s="6">
        <f>IF(OR($BJ468="",36&gt;設定!$B$3),"",IF(INDEX(原始資料!AM$2:AM$501,$BJ468)="","",INDEX(原始資料!AM$2:AM$501,$BJ468)))</f>
        <v/>
      </c>
      <c r="AL468" s="6">
        <f>IF(OR($BJ468="",37&gt;設定!$B$3),"",IF(INDEX(原始資料!AN$2:AN$501,$BJ468)="","",INDEX(原始資料!AN$2:AN$501,$BJ468)))</f>
        <v/>
      </c>
      <c r="AM468" s="6">
        <f>IF(OR($BJ468="",38&gt;設定!$B$3),"",IF(INDEX(原始資料!AO$2:AO$501,$BJ468)="","",INDEX(原始資料!AO$2:AO$501,$BJ468)))</f>
        <v/>
      </c>
      <c r="AN468" s="6">
        <f>IF(OR($BJ468="",39&gt;設定!$B$3),"",IF(INDEX(原始資料!AP$2:AP$501,$BJ468)="","",INDEX(原始資料!AP$2:AP$501,$BJ468)))</f>
        <v/>
      </c>
      <c r="AO468" s="6">
        <f>IF(OR($BJ468="",40&gt;設定!$B$3),"",IF(INDEX(原始資料!AQ$2:AQ$501,$BJ468)="","",INDEX(原始資料!AQ$2:AQ$501,$BJ468)))</f>
        <v/>
      </c>
      <c r="AP468" s="6">
        <f>IF(OR($BJ468="",41&gt;設定!$B$3),"",IF(INDEX(原始資料!AR$2:AR$501,$BJ468)="","",INDEX(原始資料!AR$2:AR$501,$BJ468)))</f>
        <v/>
      </c>
      <c r="AQ468" s="6">
        <f>IF(OR($BJ468="",42&gt;設定!$B$3),"",IF(INDEX(原始資料!AS$2:AS$501,$BJ468)="","",INDEX(原始資料!AS$2:AS$501,$BJ468)))</f>
        <v/>
      </c>
      <c r="AR468" s="6">
        <f>IF(OR($BJ468="",43&gt;設定!$B$3),"",IF(INDEX(原始資料!AT$2:AT$501,$BJ468)="","",INDEX(原始資料!AT$2:AT$501,$BJ468)))</f>
        <v/>
      </c>
      <c r="AS468" s="6">
        <f>IF(OR($BJ468="",44&gt;設定!$B$3),"",IF(INDEX(原始資料!AU$2:AU$501,$BJ468)="","",INDEX(原始資料!AU$2:AU$501,$BJ468)))</f>
        <v/>
      </c>
      <c r="AT468" s="6">
        <f>IF(OR($BJ468="",45&gt;設定!$B$3),"",IF(INDEX(原始資料!AV$2:AV$501,$BJ468)="","",INDEX(原始資料!AV$2:AV$501,$BJ468)))</f>
        <v/>
      </c>
      <c r="AU468" s="6">
        <f>IF(OR($BJ468="",46&gt;設定!$B$3),"",IF(INDEX(原始資料!AW$2:AW$501,$BJ468)="","",INDEX(原始資料!AW$2:AW$501,$BJ468)))</f>
        <v/>
      </c>
      <c r="AV468" s="6">
        <f>IF(OR($BJ468="",47&gt;設定!$B$3),"",IF(INDEX(原始資料!AX$2:AX$501,$BJ468)="","",INDEX(原始資料!AX$2:AX$501,$BJ468)))</f>
        <v/>
      </c>
      <c r="AW468" s="6">
        <f>IF(OR($BJ468="",48&gt;設定!$B$3),"",IF(INDEX(原始資料!AY$2:AY$501,$BJ468)="","",INDEX(原始資料!AY$2:AY$501,$BJ468)))</f>
        <v/>
      </c>
      <c r="AX468" s="6">
        <f>IF(OR($BJ468="",49&gt;設定!$B$3),"",IF(INDEX(原始資料!AZ$2:AZ$501,$BJ468)="","",INDEX(原始資料!AZ$2:AZ$501,$BJ468)))</f>
        <v/>
      </c>
      <c r="AY468" s="6">
        <f>IF(OR($BJ468="",50&gt;設定!$B$3),"",IF(INDEX(原始資料!BA$2:BA$501,$BJ468)="","",INDEX(原始資料!BA$2:BA$501,$BJ468)))</f>
        <v/>
      </c>
      <c r="AZ468" s="6">
        <f>IF(OR($BJ468="",51&gt;設定!$B$3),"",IF(INDEX(原始資料!BB$2:BB$501,$BJ468)="","",INDEX(原始資料!BB$2:BB$501,$BJ468)))</f>
        <v/>
      </c>
      <c r="BA468" s="6">
        <f>IF(OR($BJ468="",52&gt;設定!$B$3),"",IF(INDEX(原始資料!BC$2:BC$501,$BJ468)="","",INDEX(原始資料!BC$2:BC$501,$BJ468)))</f>
        <v/>
      </c>
      <c r="BB468" s="6">
        <f>IF(OR($BJ468="",53&gt;設定!$B$3),"",IF(INDEX(原始資料!BD$2:BD$501,$BJ468)="","",INDEX(原始資料!BD$2:BD$501,$BJ468)))</f>
        <v/>
      </c>
      <c r="BC468" s="6">
        <f>IF(OR($BJ468="",54&gt;設定!$B$3),"",IF(INDEX(原始資料!BE$2:BE$501,$BJ468)="","",INDEX(原始資料!BE$2:BE$501,$BJ468)))</f>
        <v/>
      </c>
      <c r="BD468" s="6">
        <f>IF(OR($BJ468="",55&gt;設定!$B$3),"",IF(INDEX(原始資料!BF$2:BF$501,$BJ468)="","",INDEX(原始資料!BF$2:BF$501,$BJ468)))</f>
        <v/>
      </c>
      <c r="BE468" s="6">
        <f>IF(OR($BJ468="",56&gt;設定!$B$3),"",IF(INDEX(原始資料!BG$2:BG$501,$BJ468)="","",INDEX(原始資料!BG$2:BG$501,$BJ468)))</f>
        <v/>
      </c>
      <c r="BF468" s="6">
        <f>IF(OR($BJ468="",57&gt;設定!$B$3),"",IF(INDEX(原始資料!BH$2:BH$501,$BJ468)="","",INDEX(原始資料!BH$2:BH$501,$BJ468)))</f>
        <v/>
      </c>
      <c r="BG468" s="6">
        <f>IF(OR($BJ468="",58&gt;設定!$B$3),"",IF(INDEX(原始資料!BI$2:BI$501,$BJ468)="","",INDEX(原始資料!BI$2:BI$501,$BJ468)))</f>
        <v/>
      </c>
      <c r="BH468" s="6">
        <f>IF(OR($BJ468="",59&gt;設定!$B$3),"",IF(INDEX(原始資料!BJ$2:BJ$501,$BJ468)="","",INDEX(原始資料!BJ$2:BJ$501,$BJ468)))</f>
        <v/>
      </c>
      <c r="BI468" s="6">
        <f>IF(OR($BJ468="",60&gt;設定!$B$3),"",IF(INDEX(原始資料!BK$2:BK$501,$BJ468)="","",INDEX(原始資料!BK$2:BK$501,$BJ468)))</f>
        <v/>
      </c>
      <c r="BJ468" s="6">
        <f>IFERROR(MATCH(ROW()-1,判定!$H$2:$H$501,0),"")</f>
        <v/>
      </c>
    </row>
    <row r="469">
      <c r="A469" s="6">
        <f>IF($BJ469="","",INDEX(原始資料!$A$2:$A$501,$BJ469))</f>
        <v/>
      </c>
      <c r="B469" s="6">
        <f>IF(OR($BJ469="",1&gt;設定!$B$3),"",IF(INDEX(原始資料!D$2:D$501,$BJ469)="","",INDEX(原始資料!D$2:D$501,$BJ469)))</f>
        <v/>
      </c>
      <c r="C469" s="6">
        <f>IF(OR($BJ469="",2&gt;設定!$B$3),"",IF(INDEX(原始資料!E$2:E$501,$BJ469)="","",INDEX(原始資料!E$2:E$501,$BJ469)))</f>
        <v/>
      </c>
      <c r="D469" s="6">
        <f>IF(OR($BJ469="",3&gt;設定!$B$3),"",IF(INDEX(原始資料!F$2:F$501,$BJ469)="","",INDEX(原始資料!F$2:F$501,$BJ469)))</f>
        <v/>
      </c>
      <c r="E469" s="6">
        <f>IF(OR($BJ469="",4&gt;設定!$B$3),"",IF(INDEX(原始資料!G$2:G$501,$BJ469)="","",INDEX(原始資料!G$2:G$501,$BJ469)))</f>
        <v/>
      </c>
      <c r="F469" s="6">
        <f>IF(OR($BJ469="",5&gt;設定!$B$3),"",IF(INDEX(原始資料!H$2:H$501,$BJ469)="","",INDEX(原始資料!H$2:H$501,$BJ469)))</f>
        <v/>
      </c>
      <c r="G469" s="6">
        <f>IF(OR($BJ469="",6&gt;設定!$B$3),"",IF(INDEX(原始資料!I$2:I$501,$BJ469)="","",INDEX(原始資料!I$2:I$501,$BJ469)))</f>
        <v/>
      </c>
      <c r="H469" s="6">
        <f>IF(OR($BJ469="",7&gt;設定!$B$3),"",IF(INDEX(原始資料!J$2:J$501,$BJ469)="","",INDEX(原始資料!J$2:J$501,$BJ469)))</f>
        <v/>
      </c>
      <c r="I469" s="6">
        <f>IF(OR($BJ469="",8&gt;設定!$B$3),"",IF(INDEX(原始資料!K$2:K$501,$BJ469)="","",INDEX(原始資料!K$2:K$501,$BJ469)))</f>
        <v/>
      </c>
      <c r="J469" s="6">
        <f>IF(OR($BJ469="",9&gt;設定!$B$3),"",IF(INDEX(原始資料!L$2:L$501,$BJ469)="","",INDEX(原始資料!L$2:L$501,$BJ469)))</f>
        <v/>
      </c>
      <c r="K469" s="6">
        <f>IF(OR($BJ469="",10&gt;設定!$B$3),"",IF(INDEX(原始資料!M$2:M$501,$BJ469)="","",INDEX(原始資料!M$2:M$501,$BJ469)))</f>
        <v/>
      </c>
      <c r="L469" s="6">
        <f>IF(OR($BJ469="",11&gt;設定!$B$3),"",IF(INDEX(原始資料!N$2:N$501,$BJ469)="","",INDEX(原始資料!N$2:N$501,$BJ469)))</f>
        <v/>
      </c>
      <c r="M469" s="6">
        <f>IF(OR($BJ469="",12&gt;設定!$B$3),"",IF(INDEX(原始資料!O$2:O$501,$BJ469)="","",INDEX(原始資料!O$2:O$501,$BJ469)))</f>
        <v/>
      </c>
      <c r="N469" s="6">
        <f>IF(OR($BJ469="",13&gt;設定!$B$3),"",IF(INDEX(原始資料!P$2:P$501,$BJ469)="","",INDEX(原始資料!P$2:P$501,$BJ469)))</f>
        <v/>
      </c>
      <c r="O469" s="6">
        <f>IF(OR($BJ469="",14&gt;設定!$B$3),"",IF(INDEX(原始資料!Q$2:Q$501,$BJ469)="","",INDEX(原始資料!Q$2:Q$501,$BJ469)))</f>
        <v/>
      </c>
      <c r="P469" s="6">
        <f>IF(OR($BJ469="",15&gt;設定!$B$3),"",IF(INDEX(原始資料!R$2:R$501,$BJ469)="","",INDEX(原始資料!R$2:R$501,$BJ469)))</f>
        <v/>
      </c>
      <c r="Q469" s="6">
        <f>IF(OR($BJ469="",16&gt;設定!$B$3),"",IF(INDEX(原始資料!S$2:S$501,$BJ469)="","",INDEX(原始資料!S$2:S$501,$BJ469)))</f>
        <v/>
      </c>
      <c r="R469" s="6">
        <f>IF(OR($BJ469="",17&gt;設定!$B$3),"",IF(INDEX(原始資料!T$2:T$501,$BJ469)="","",INDEX(原始資料!T$2:T$501,$BJ469)))</f>
        <v/>
      </c>
      <c r="S469" s="6">
        <f>IF(OR($BJ469="",18&gt;設定!$B$3),"",IF(INDEX(原始資料!U$2:U$501,$BJ469)="","",INDEX(原始資料!U$2:U$501,$BJ469)))</f>
        <v/>
      </c>
      <c r="T469" s="6">
        <f>IF(OR($BJ469="",19&gt;設定!$B$3),"",IF(INDEX(原始資料!V$2:V$501,$BJ469)="","",INDEX(原始資料!V$2:V$501,$BJ469)))</f>
        <v/>
      </c>
      <c r="U469" s="6">
        <f>IF(OR($BJ469="",20&gt;設定!$B$3),"",IF(INDEX(原始資料!W$2:W$501,$BJ469)="","",INDEX(原始資料!W$2:W$501,$BJ469)))</f>
        <v/>
      </c>
      <c r="V469" s="6">
        <f>IF(OR($BJ469="",21&gt;設定!$B$3),"",IF(INDEX(原始資料!X$2:X$501,$BJ469)="","",INDEX(原始資料!X$2:X$501,$BJ469)))</f>
        <v/>
      </c>
      <c r="W469" s="6">
        <f>IF(OR($BJ469="",22&gt;設定!$B$3),"",IF(INDEX(原始資料!Y$2:Y$501,$BJ469)="","",INDEX(原始資料!Y$2:Y$501,$BJ469)))</f>
        <v/>
      </c>
      <c r="X469" s="6">
        <f>IF(OR($BJ469="",23&gt;設定!$B$3),"",IF(INDEX(原始資料!Z$2:Z$501,$BJ469)="","",INDEX(原始資料!Z$2:Z$501,$BJ469)))</f>
        <v/>
      </c>
      <c r="Y469" s="6">
        <f>IF(OR($BJ469="",24&gt;設定!$B$3),"",IF(INDEX(原始資料!AA$2:AA$501,$BJ469)="","",INDEX(原始資料!AA$2:AA$501,$BJ469)))</f>
        <v/>
      </c>
      <c r="Z469" s="6">
        <f>IF(OR($BJ469="",25&gt;設定!$B$3),"",IF(INDEX(原始資料!AB$2:AB$501,$BJ469)="","",INDEX(原始資料!AB$2:AB$501,$BJ469)))</f>
        <v/>
      </c>
      <c r="AA469" s="6">
        <f>IF(OR($BJ469="",26&gt;設定!$B$3),"",IF(INDEX(原始資料!AC$2:AC$501,$BJ469)="","",INDEX(原始資料!AC$2:AC$501,$BJ469)))</f>
        <v/>
      </c>
      <c r="AB469" s="6">
        <f>IF(OR($BJ469="",27&gt;設定!$B$3),"",IF(INDEX(原始資料!AD$2:AD$501,$BJ469)="","",INDEX(原始資料!AD$2:AD$501,$BJ469)))</f>
        <v/>
      </c>
      <c r="AC469" s="6">
        <f>IF(OR($BJ469="",28&gt;設定!$B$3),"",IF(INDEX(原始資料!AE$2:AE$501,$BJ469)="","",INDEX(原始資料!AE$2:AE$501,$BJ469)))</f>
        <v/>
      </c>
      <c r="AD469" s="6">
        <f>IF(OR($BJ469="",29&gt;設定!$B$3),"",IF(INDEX(原始資料!AF$2:AF$501,$BJ469)="","",INDEX(原始資料!AF$2:AF$501,$BJ469)))</f>
        <v/>
      </c>
      <c r="AE469" s="6">
        <f>IF(OR($BJ469="",30&gt;設定!$B$3),"",IF(INDEX(原始資料!AG$2:AG$501,$BJ469)="","",INDEX(原始資料!AG$2:AG$501,$BJ469)))</f>
        <v/>
      </c>
      <c r="AF469" s="6">
        <f>IF(OR($BJ469="",31&gt;設定!$B$3),"",IF(INDEX(原始資料!AH$2:AH$501,$BJ469)="","",INDEX(原始資料!AH$2:AH$501,$BJ469)))</f>
        <v/>
      </c>
      <c r="AG469" s="6">
        <f>IF(OR($BJ469="",32&gt;設定!$B$3),"",IF(INDEX(原始資料!AI$2:AI$501,$BJ469)="","",INDEX(原始資料!AI$2:AI$501,$BJ469)))</f>
        <v/>
      </c>
      <c r="AH469" s="6">
        <f>IF(OR($BJ469="",33&gt;設定!$B$3),"",IF(INDEX(原始資料!AJ$2:AJ$501,$BJ469)="","",INDEX(原始資料!AJ$2:AJ$501,$BJ469)))</f>
        <v/>
      </c>
      <c r="AI469" s="6">
        <f>IF(OR($BJ469="",34&gt;設定!$B$3),"",IF(INDEX(原始資料!AK$2:AK$501,$BJ469)="","",INDEX(原始資料!AK$2:AK$501,$BJ469)))</f>
        <v/>
      </c>
      <c r="AJ469" s="6">
        <f>IF(OR($BJ469="",35&gt;設定!$B$3),"",IF(INDEX(原始資料!AL$2:AL$501,$BJ469)="","",INDEX(原始資料!AL$2:AL$501,$BJ469)))</f>
        <v/>
      </c>
      <c r="AK469" s="6">
        <f>IF(OR($BJ469="",36&gt;設定!$B$3),"",IF(INDEX(原始資料!AM$2:AM$501,$BJ469)="","",INDEX(原始資料!AM$2:AM$501,$BJ469)))</f>
        <v/>
      </c>
      <c r="AL469" s="6">
        <f>IF(OR($BJ469="",37&gt;設定!$B$3),"",IF(INDEX(原始資料!AN$2:AN$501,$BJ469)="","",INDEX(原始資料!AN$2:AN$501,$BJ469)))</f>
        <v/>
      </c>
      <c r="AM469" s="6">
        <f>IF(OR($BJ469="",38&gt;設定!$B$3),"",IF(INDEX(原始資料!AO$2:AO$501,$BJ469)="","",INDEX(原始資料!AO$2:AO$501,$BJ469)))</f>
        <v/>
      </c>
      <c r="AN469" s="6">
        <f>IF(OR($BJ469="",39&gt;設定!$B$3),"",IF(INDEX(原始資料!AP$2:AP$501,$BJ469)="","",INDEX(原始資料!AP$2:AP$501,$BJ469)))</f>
        <v/>
      </c>
      <c r="AO469" s="6">
        <f>IF(OR($BJ469="",40&gt;設定!$B$3),"",IF(INDEX(原始資料!AQ$2:AQ$501,$BJ469)="","",INDEX(原始資料!AQ$2:AQ$501,$BJ469)))</f>
        <v/>
      </c>
      <c r="AP469" s="6">
        <f>IF(OR($BJ469="",41&gt;設定!$B$3),"",IF(INDEX(原始資料!AR$2:AR$501,$BJ469)="","",INDEX(原始資料!AR$2:AR$501,$BJ469)))</f>
        <v/>
      </c>
      <c r="AQ469" s="6">
        <f>IF(OR($BJ469="",42&gt;設定!$B$3),"",IF(INDEX(原始資料!AS$2:AS$501,$BJ469)="","",INDEX(原始資料!AS$2:AS$501,$BJ469)))</f>
        <v/>
      </c>
      <c r="AR469" s="6">
        <f>IF(OR($BJ469="",43&gt;設定!$B$3),"",IF(INDEX(原始資料!AT$2:AT$501,$BJ469)="","",INDEX(原始資料!AT$2:AT$501,$BJ469)))</f>
        <v/>
      </c>
      <c r="AS469" s="6">
        <f>IF(OR($BJ469="",44&gt;設定!$B$3),"",IF(INDEX(原始資料!AU$2:AU$501,$BJ469)="","",INDEX(原始資料!AU$2:AU$501,$BJ469)))</f>
        <v/>
      </c>
      <c r="AT469" s="6">
        <f>IF(OR($BJ469="",45&gt;設定!$B$3),"",IF(INDEX(原始資料!AV$2:AV$501,$BJ469)="","",INDEX(原始資料!AV$2:AV$501,$BJ469)))</f>
        <v/>
      </c>
      <c r="AU469" s="6">
        <f>IF(OR($BJ469="",46&gt;設定!$B$3),"",IF(INDEX(原始資料!AW$2:AW$501,$BJ469)="","",INDEX(原始資料!AW$2:AW$501,$BJ469)))</f>
        <v/>
      </c>
      <c r="AV469" s="6">
        <f>IF(OR($BJ469="",47&gt;設定!$B$3),"",IF(INDEX(原始資料!AX$2:AX$501,$BJ469)="","",INDEX(原始資料!AX$2:AX$501,$BJ469)))</f>
        <v/>
      </c>
      <c r="AW469" s="6">
        <f>IF(OR($BJ469="",48&gt;設定!$B$3),"",IF(INDEX(原始資料!AY$2:AY$501,$BJ469)="","",INDEX(原始資料!AY$2:AY$501,$BJ469)))</f>
        <v/>
      </c>
      <c r="AX469" s="6">
        <f>IF(OR($BJ469="",49&gt;設定!$B$3),"",IF(INDEX(原始資料!AZ$2:AZ$501,$BJ469)="","",INDEX(原始資料!AZ$2:AZ$501,$BJ469)))</f>
        <v/>
      </c>
      <c r="AY469" s="6">
        <f>IF(OR($BJ469="",50&gt;設定!$B$3),"",IF(INDEX(原始資料!BA$2:BA$501,$BJ469)="","",INDEX(原始資料!BA$2:BA$501,$BJ469)))</f>
        <v/>
      </c>
      <c r="AZ469" s="6">
        <f>IF(OR($BJ469="",51&gt;設定!$B$3),"",IF(INDEX(原始資料!BB$2:BB$501,$BJ469)="","",INDEX(原始資料!BB$2:BB$501,$BJ469)))</f>
        <v/>
      </c>
      <c r="BA469" s="6">
        <f>IF(OR($BJ469="",52&gt;設定!$B$3),"",IF(INDEX(原始資料!BC$2:BC$501,$BJ469)="","",INDEX(原始資料!BC$2:BC$501,$BJ469)))</f>
        <v/>
      </c>
      <c r="BB469" s="6">
        <f>IF(OR($BJ469="",53&gt;設定!$B$3),"",IF(INDEX(原始資料!BD$2:BD$501,$BJ469)="","",INDEX(原始資料!BD$2:BD$501,$BJ469)))</f>
        <v/>
      </c>
      <c r="BC469" s="6">
        <f>IF(OR($BJ469="",54&gt;設定!$B$3),"",IF(INDEX(原始資料!BE$2:BE$501,$BJ469)="","",INDEX(原始資料!BE$2:BE$501,$BJ469)))</f>
        <v/>
      </c>
      <c r="BD469" s="6">
        <f>IF(OR($BJ469="",55&gt;設定!$B$3),"",IF(INDEX(原始資料!BF$2:BF$501,$BJ469)="","",INDEX(原始資料!BF$2:BF$501,$BJ469)))</f>
        <v/>
      </c>
      <c r="BE469" s="6">
        <f>IF(OR($BJ469="",56&gt;設定!$B$3),"",IF(INDEX(原始資料!BG$2:BG$501,$BJ469)="","",INDEX(原始資料!BG$2:BG$501,$BJ469)))</f>
        <v/>
      </c>
      <c r="BF469" s="6">
        <f>IF(OR($BJ469="",57&gt;設定!$B$3),"",IF(INDEX(原始資料!BH$2:BH$501,$BJ469)="","",INDEX(原始資料!BH$2:BH$501,$BJ469)))</f>
        <v/>
      </c>
      <c r="BG469" s="6">
        <f>IF(OR($BJ469="",58&gt;設定!$B$3),"",IF(INDEX(原始資料!BI$2:BI$501,$BJ469)="","",INDEX(原始資料!BI$2:BI$501,$BJ469)))</f>
        <v/>
      </c>
      <c r="BH469" s="6">
        <f>IF(OR($BJ469="",59&gt;設定!$B$3),"",IF(INDEX(原始資料!BJ$2:BJ$501,$BJ469)="","",INDEX(原始資料!BJ$2:BJ$501,$BJ469)))</f>
        <v/>
      </c>
      <c r="BI469" s="6">
        <f>IF(OR($BJ469="",60&gt;設定!$B$3),"",IF(INDEX(原始資料!BK$2:BK$501,$BJ469)="","",INDEX(原始資料!BK$2:BK$501,$BJ469)))</f>
        <v/>
      </c>
      <c r="BJ469" s="6">
        <f>IFERROR(MATCH(ROW()-1,判定!$H$2:$H$501,0),"")</f>
        <v/>
      </c>
    </row>
    <row r="470">
      <c r="A470" s="6">
        <f>IF($BJ470="","",INDEX(原始資料!$A$2:$A$501,$BJ470))</f>
        <v/>
      </c>
      <c r="B470" s="6">
        <f>IF(OR($BJ470="",1&gt;設定!$B$3),"",IF(INDEX(原始資料!D$2:D$501,$BJ470)="","",INDEX(原始資料!D$2:D$501,$BJ470)))</f>
        <v/>
      </c>
      <c r="C470" s="6">
        <f>IF(OR($BJ470="",2&gt;設定!$B$3),"",IF(INDEX(原始資料!E$2:E$501,$BJ470)="","",INDEX(原始資料!E$2:E$501,$BJ470)))</f>
        <v/>
      </c>
      <c r="D470" s="6">
        <f>IF(OR($BJ470="",3&gt;設定!$B$3),"",IF(INDEX(原始資料!F$2:F$501,$BJ470)="","",INDEX(原始資料!F$2:F$501,$BJ470)))</f>
        <v/>
      </c>
      <c r="E470" s="6">
        <f>IF(OR($BJ470="",4&gt;設定!$B$3),"",IF(INDEX(原始資料!G$2:G$501,$BJ470)="","",INDEX(原始資料!G$2:G$501,$BJ470)))</f>
        <v/>
      </c>
      <c r="F470" s="6">
        <f>IF(OR($BJ470="",5&gt;設定!$B$3),"",IF(INDEX(原始資料!H$2:H$501,$BJ470)="","",INDEX(原始資料!H$2:H$501,$BJ470)))</f>
        <v/>
      </c>
      <c r="G470" s="6">
        <f>IF(OR($BJ470="",6&gt;設定!$B$3),"",IF(INDEX(原始資料!I$2:I$501,$BJ470)="","",INDEX(原始資料!I$2:I$501,$BJ470)))</f>
        <v/>
      </c>
      <c r="H470" s="6">
        <f>IF(OR($BJ470="",7&gt;設定!$B$3),"",IF(INDEX(原始資料!J$2:J$501,$BJ470)="","",INDEX(原始資料!J$2:J$501,$BJ470)))</f>
        <v/>
      </c>
      <c r="I470" s="6">
        <f>IF(OR($BJ470="",8&gt;設定!$B$3),"",IF(INDEX(原始資料!K$2:K$501,$BJ470)="","",INDEX(原始資料!K$2:K$501,$BJ470)))</f>
        <v/>
      </c>
      <c r="J470" s="6">
        <f>IF(OR($BJ470="",9&gt;設定!$B$3),"",IF(INDEX(原始資料!L$2:L$501,$BJ470)="","",INDEX(原始資料!L$2:L$501,$BJ470)))</f>
        <v/>
      </c>
      <c r="K470" s="6">
        <f>IF(OR($BJ470="",10&gt;設定!$B$3),"",IF(INDEX(原始資料!M$2:M$501,$BJ470)="","",INDEX(原始資料!M$2:M$501,$BJ470)))</f>
        <v/>
      </c>
      <c r="L470" s="6">
        <f>IF(OR($BJ470="",11&gt;設定!$B$3),"",IF(INDEX(原始資料!N$2:N$501,$BJ470)="","",INDEX(原始資料!N$2:N$501,$BJ470)))</f>
        <v/>
      </c>
      <c r="M470" s="6">
        <f>IF(OR($BJ470="",12&gt;設定!$B$3),"",IF(INDEX(原始資料!O$2:O$501,$BJ470)="","",INDEX(原始資料!O$2:O$501,$BJ470)))</f>
        <v/>
      </c>
      <c r="N470" s="6">
        <f>IF(OR($BJ470="",13&gt;設定!$B$3),"",IF(INDEX(原始資料!P$2:P$501,$BJ470)="","",INDEX(原始資料!P$2:P$501,$BJ470)))</f>
        <v/>
      </c>
      <c r="O470" s="6">
        <f>IF(OR($BJ470="",14&gt;設定!$B$3),"",IF(INDEX(原始資料!Q$2:Q$501,$BJ470)="","",INDEX(原始資料!Q$2:Q$501,$BJ470)))</f>
        <v/>
      </c>
      <c r="P470" s="6">
        <f>IF(OR($BJ470="",15&gt;設定!$B$3),"",IF(INDEX(原始資料!R$2:R$501,$BJ470)="","",INDEX(原始資料!R$2:R$501,$BJ470)))</f>
        <v/>
      </c>
      <c r="Q470" s="6">
        <f>IF(OR($BJ470="",16&gt;設定!$B$3),"",IF(INDEX(原始資料!S$2:S$501,$BJ470)="","",INDEX(原始資料!S$2:S$501,$BJ470)))</f>
        <v/>
      </c>
      <c r="R470" s="6">
        <f>IF(OR($BJ470="",17&gt;設定!$B$3),"",IF(INDEX(原始資料!T$2:T$501,$BJ470)="","",INDEX(原始資料!T$2:T$501,$BJ470)))</f>
        <v/>
      </c>
      <c r="S470" s="6">
        <f>IF(OR($BJ470="",18&gt;設定!$B$3),"",IF(INDEX(原始資料!U$2:U$501,$BJ470)="","",INDEX(原始資料!U$2:U$501,$BJ470)))</f>
        <v/>
      </c>
      <c r="T470" s="6">
        <f>IF(OR($BJ470="",19&gt;設定!$B$3),"",IF(INDEX(原始資料!V$2:V$501,$BJ470)="","",INDEX(原始資料!V$2:V$501,$BJ470)))</f>
        <v/>
      </c>
      <c r="U470" s="6">
        <f>IF(OR($BJ470="",20&gt;設定!$B$3),"",IF(INDEX(原始資料!W$2:W$501,$BJ470)="","",INDEX(原始資料!W$2:W$501,$BJ470)))</f>
        <v/>
      </c>
      <c r="V470" s="6">
        <f>IF(OR($BJ470="",21&gt;設定!$B$3),"",IF(INDEX(原始資料!X$2:X$501,$BJ470)="","",INDEX(原始資料!X$2:X$501,$BJ470)))</f>
        <v/>
      </c>
      <c r="W470" s="6">
        <f>IF(OR($BJ470="",22&gt;設定!$B$3),"",IF(INDEX(原始資料!Y$2:Y$501,$BJ470)="","",INDEX(原始資料!Y$2:Y$501,$BJ470)))</f>
        <v/>
      </c>
      <c r="X470" s="6">
        <f>IF(OR($BJ470="",23&gt;設定!$B$3),"",IF(INDEX(原始資料!Z$2:Z$501,$BJ470)="","",INDEX(原始資料!Z$2:Z$501,$BJ470)))</f>
        <v/>
      </c>
      <c r="Y470" s="6">
        <f>IF(OR($BJ470="",24&gt;設定!$B$3),"",IF(INDEX(原始資料!AA$2:AA$501,$BJ470)="","",INDEX(原始資料!AA$2:AA$501,$BJ470)))</f>
        <v/>
      </c>
      <c r="Z470" s="6">
        <f>IF(OR($BJ470="",25&gt;設定!$B$3),"",IF(INDEX(原始資料!AB$2:AB$501,$BJ470)="","",INDEX(原始資料!AB$2:AB$501,$BJ470)))</f>
        <v/>
      </c>
      <c r="AA470" s="6">
        <f>IF(OR($BJ470="",26&gt;設定!$B$3),"",IF(INDEX(原始資料!AC$2:AC$501,$BJ470)="","",INDEX(原始資料!AC$2:AC$501,$BJ470)))</f>
        <v/>
      </c>
      <c r="AB470" s="6">
        <f>IF(OR($BJ470="",27&gt;設定!$B$3),"",IF(INDEX(原始資料!AD$2:AD$501,$BJ470)="","",INDEX(原始資料!AD$2:AD$501,$BJ470)))</f>
        <v/>
      </c>
      <c r="AC470" s="6">
        <f>IF(OR($BJ470="",28&gt;設定!$B$3),"",IF(INDEX(原始資料!AE$2:AE$501,$BJ470)="","",INDEX(原始資料!AE$2:AE$501,$BJ470)))</f>
        <v/>
      </c>
      <c r="AD470" s="6">
        <f>IF(OR($BJ470="",29&gt;設定!$B$3),"",IF(INDEX(原始資料!AF$2:AF$501,$BJ470)="","",INDEX(原始資料!AF$2:AF$501,$BJ470)))</f>
        <v/>
      </c>
      <c r="AE470" s="6">
        <f>IF(OR($BJ470="",30&gt;設定!$B$3),"",IF(INDEX(原始資料!AG$2:AG$501,$BJ470)="","",INDEX(原始資料!AG$2:AG$501,$BJ470)))</f>
        <v/>
      </c>
      <c r="AF470" s="6">
        <f>IF(OR($BJ470="",31&gt;設定!$B$3),"",IF(INDEX(原始資料!AH$2:AH$501,$BJ470)="","",INDEX(原始資料!AH$2:AH$501,$BJ470)))</f>
        <v/>
      </c>
      <c r="AG470" s="6">
        <f>IF(OR($BJ470="",32&gt;設定!$B$3),"",IF(INDEX(原始資料!AI$2:AI$501,$BJ470)="","",INDEX(原始資料!AI$2:AI$501,$BJ470)))</f>
        <v/>
      </c>
      <c r="AH470" s="6">
        <f>IF(OR($BJ470="",33&gt;設定!$B$3),"",IF(INDEX(原始資料!AJ$2:AJ$501,$BJ470)="","",INDEX(原始資料!AJ$2:AJ$501,$BJ470)))</f>
        <v/>
      </c>
      <c r="AI470" s="6">
        <f>IF(OR($BJ470="",34&gt;設定!$B$3),"",IF(INDEX(原始資料!AK$2:AK$501,$BJ470)="","",INDEX(原始資料!AK$2:AK$501,$BJ470)))</f>
        <v/>
      </c>
      <c r="AJ470" s="6">
        <f>IF(OR($BJ470="",35&gt;設定!$B$3),"",IF(INDEX(原始資料!AL$2:AL$501,$BJ470)="","",INDEX(原始資料!AL$2:AL$501,$BJ470)))</f>
        <v/>
      </c>
      <c r="AK470" s="6">
        <f>IF(OR($BJ470="",36&gt;設定!$B$3),"",IF(INDEX(原始資料!AM$2:AM$501,$BJ470)="","",INDEX(原始資料!AM$2:AM$501,$BJ470)))</f>
        <v/>
      </c>
      <c r="AL470" s="6">
        <f>IF(OR($BJ470="",37&gt;設定!$B$3),"",IF(INDEX(原始資料!AN$2:AN$501,$BJ470)="","",INDEX(原始資料!AN$2:AN$501,$BJ470)))</f>
        <v/>
      </c>
      <c r="AM470" s="6">
        <f>IF(OR($BJ470="",38&gt;設定!$B$3),"",IF(INDEX(原始資料!AO$2:AO$501,$BJ470)="","",INDEX(原始資料!AO$2:AO$501,$BJ470)))</f>
        <v/>
      </c>
      <c r="AN470" s="6">
        <f>IF(OR($BJ470="",39&gt;設定!$B$3),"",IF(INDEX(原始資料!AP$2:AP$501,$BJ470)="","",INDEX(原始資料!AP$2:AP$501,$BJ470)))</f>
        <v/>
      </c>
      <c r="AO470" s="6">
        <f>IF(OR($BJ470="",40&gt;設定!$B$3),"",IF(INDEX(原始資料!AQ$2:AQ$501,$BJ470)="","",INDEX(原始資料!AQ$2:AQ$501,$BJ470)))</f>
        <v/>
      </c>
      <c r="AP470" s="6">
        <f>IF(OR($BJ470="",41&gt;設定!$B$3),"",IF(INDEX(原始資料!AR$2:AR$501,$BJ470)="","",INDEX(原始資料!AR$2:AR$501,$BJ470)))</f>
        <v/>
      </c>
      <c r="AQ470" s="6">
        <f>IF(OR($BJ470="",42&gt;設定!$B$3),"",IF(INDEX(原始資料!AS$2:AS$501,$BJ470)="","",INDEX(原始資料!AS$2:AS$501,$BJ470)))</f>
        <v/>
      </c>
      <c r="AR470" s="6">
        <f>IF(OR($BJ470="",43&gt;設定!$B$3),"",IF(INDEX(原始資料!AT$2:AT$501,$BJ470)="","",INDEX(原始資料!AT$2:AT$501,$BJ470)))</f>
        <v/>
      </c>
      <c r="AS470" s="6">
        <f>IF(OR($BJ470="",44&gt;設定!$B$3),"",IF(INDEX(原始資料!AU$2:AU$501,$BJ470)="","",INDEX(原始資料!AU$2:AU$501,$BJ470)))</f>
        <v/>
      </c>
      <c r="AT470" s="6">
        <f>IF(OR($BJ470="",45&gt;設定!$B$3),"",IF(INDEX(原始資料!AV$2:AV$501,$BJ470)="","",INDEX(原始資料!AV$2:AV$501,$BJ470)))</f>
        <v/>
      </c>
      <c r="AU470" s="6">
        <f>IF(OR($BJ470="",46&gt;設定!$B$3),"",IF(INDEX(原始資料!AW$2:AW$501,$BJ470)="","",INDEX(原始資料!AW$2:AW$501,$BJ470)))</f>
        <v/>
      </c>
      <c r="AV470" s="6">
        <f>IF(OR($BJ470="",47&gt;設定!$B$3),"",IF(INDEX(原始資料!AX$2:AX$501,$BJ470)="","",INDEX(原始資料!AX$2:AX$501,$BJ470)))</f>
        <v/>
      </c>
      <c r="AW470" s="6">
        <f>IF(OR($BJ470="",48&gt;設定!$B$3),"",IF(INDEX(原始資料!AY$2:AY$501,$BJ470)="","",INDEX(原始資料!AY$2:AY$501,$BJ470)))</f>
        <v/>
      </c>
      <c r="AX470" s="6">
        <f>IF(OR($BJ470="",49&gt;設定!$B$3),"",IF(INDEX(原始資料!AZ$2:AZ$501,$BJ470)="","",INDEX(原始資料!AZ$2:AZ$501,$BJ470)))</f>
        <v/>
      </c>
      <c r="AY470" s="6">
        <f>IF(OR($BJ470="",50&gt;設定!$B$3),"",IF(INDEX(原始資料!BA$2:BA$501,$BJ470)="","",INDEX(原始資料!BA$2:BA$501,$BJ470)))</f>
        <v/>
      </c>
      <c r="AZ470" s="6">
        <f>IF(OR($BJ470="",51&gt;設定!$B$3),"",IF(INDEX(原始資料!BB$2:BB$501,$BJ470)="","",INDEX(原始資料!BB$2:BB$501,$BJ470)))</f>
        <v/>
      </c>
      <c r="BA470" s="6">
        <f>IF(OR($BJ470="",52&gt;設定!$B$3),"",IF(INDEX(原始資料!BC$2:BC$501,$BJ470)="","",INDEX(原始資料!BC$2:BC$501,$BJ470)))</f>
        <v/>
      </c>
      <c r="BB470" s="6">
        <f>IF(OR($BJ470="",53&gt;設定!$B$3),"",IF(INDEX(原始資料!BD$2:BD$501,$BJ470)="","",INDEX(原始資料!BD$2:BD$501,$BJ470)))</f>
        <v/>
      </c>
      <c r="BC470" s="6">
        <f>IF(OR($BJ470="",54&gt;設定!$B$3),"",IF(INDEX(原始資料!BE$2:BE$501,$BJ470)="","",INDEX(原始資料!BE$2:BE$501,$BJ470)))</f>
        <v/>
      </c>
      <c r="BD470" s="6">
        <f>IF(OR($BJ470="",55&gt;設定!$B$3),"",IF(INDEX(原始資料!BF$2:BF$501,$BJ470)="","",INDEX(原始資料!BF$2:BF$501,$BJ470)))</f>
        <v/>
      </c>
      <c r="BE470" s="6">
        <f>IF(OR($BJ470="",56&gt;設定!$B$3),"",IF(INDEX(原始資料!BG$2:BG$501,$BJ470)="","",INDEX(原始資料!BG$2:BG$501,$BJ470)))</f>
        <v/>
      </c>
      <c r="BF470" s="6">
        <f>IF(OR($BJ470="",57&gt;設定!$B$3),"",IF(INDEX(原始資料!BH$2:BH$501,$BJ470)="","",INDEX(原始資料!BH$2:BH$501,$BJ470)))</f>
        <v/>
      </c>
      <c r="BG470" s="6">
        <f>IF(OR($BJ470="",58&gt;設定!$B$3),"",IF(INDEX(原始資料!BI$2:BI$501,$BJ470)="","",INDEX(原始資料!BI$2:BI$501,$BJ470)))</f>
        <v/>
      </c>
      <c r="BH470" s="6">
        <f>IF(OR($BJ470="",59&gt;設定!$B$3),"",IF(INDEX(原始資料!BJ$2:BJ$501,$BJ470)="","",INDEX(原始資料!BJ$2:BJ$501,$BJ470)))</f>
        <v/>
      </c>
      <c r="BI470" s="6">
        <f>IF(OR($BJ470="",60&gt;設定!$B$3),"",IF(INDEX(原始資料!BK$2:BK$501,$BJ470)="","",INDEX(原始資料!BK$2:BK$501,$BJ470)))</f>
        <v/>
      </c>
      <c r="BJ470" s="6">
        <f>IFERROR(MATCH(ROW()-1,判定!$H$2:$H$501,0),"")</f>
        <v/>
      </c>
    </row>
    <row r="471">
      <c r="A471" s="6">
        <f>IF($BJ471="","",INDEX(原始資料!$A$2:$A$501,$BJ471))</f>
        <v/>
      </c>
      <c r="B471" s="6">
        <f>IF(OR($BJ471="",1&gt;設定!$B$3),"",IF(INDEX(原始資料!D$2:D$501,$BJ471)="","",INDEX(原始資料!D$2:D$501,$BJ471)))</f>
        <v/>
      </c>
      <c r="C471" s="6">
        <f>IF(OR($BJ471="",2&gt;設定!$B$3),"",IF(INDEX(原始資料!E$2:E$501,$BJ471)="","",INDEX(原始資料!E$2:E$501,$BJ471)))</f>
        <v/>
      </c>
      <c r="D471" s="6">
        <f>IF(OR($BJ471="",3&gt;設定!$B$3),"",IF(INDEX(原始資料!F$2:F$501,$BJ471)="","",INDEX(原始資料!F$2:F$501,$BJ471)))</f>
        <v/>
      </c>
      <c r="E471" s="6">
        <f>IF(OR($BJ471="",4&gt;設定!$B$3),"",IF(INDEX(原始資料!G$2:G$501,$BJ471)="","",INDEX(原始資料!G$2:G$501,$BJ471)))</f>
        <v/>
      </c>
      <c r="F471" s="6">
        <f>IF(OR($BJ471="",5&gt;設定!$B$3),"",IF(INDEX(原始資料!H$2:H$501,$BJ471)="","",INDEX(原始資料!H$2:H$501,$BJ471)))</f>
        <v/>
      </c>
      <c r="G471" s="6">
        <f>IF(OR($BJ471="",6&gt;設定!$B$3),"",IF(INDEX(原始資料!I$2:I$501,$BJ471)="","",INDEX(原始資料!I$2:I$501,$BJ471)))</f>
        <v/>
      </c>
      <c r="H471" s="6">
        <f>IF(OR($BJ471="",7&gt;設定!$B$3),"",IF(INDEX(原始資料!J$2:J$501,$BJ471)="","",INDEX(原始資料!J$2:J$501,$BJ471)))</f>
        <v/>
      </c>
      <c r="I471" s="6">
        <f>IF(OR($BJ471="",8&gt;設定!$B$3),"",IF(INDEX(原始資料!K$2:K$501,$BJ471)="","",INDEX(原始資料!K$2:K$501,$BJ471)))</f>
        <v/>
      </c>
      <c r="J471" s="6">
        <f>IF(OR($BJ471="",9&gt;設定!$B$3),"",IF(INDEX(原始資料!L$2:L$501,$BJ471)="","",INDEX(原始資料!L$2:L$501,$BJ471)))</f>
        <v/>
      </c>
      <c r="K471" s="6">
        <f>IF(OR($BJ471="",10&gt;設定!$B$3),"",IF(INDEX(原始資料!M$2:M$501,$BJ471)="","",INDEX(原始資料!M$2:M$501,$BJ471)))</f>
        <v/>
      </c>
      <c r="L471" s="6">
        <f>IF(OR($BJ471="",11&gt;設定!$B$3),"",IF(INDEX(原始資料!N$2:N$501,$BJ471)="","",INDEX(原始資料!N$2:N$501,$BJ471)))</f>
        <v/>
      </c>
      <c r="M471" s="6">
        <f>IF(OR($BJ471="",12&gt;設定!$B$3),"",IF(INDEX(原始資料!O$2:O$501,$BJ471)="","",INDEX(原始資料!O$2:O$501,$BJ471)))</f>
        <v/>
      </c>
      <c r="N471" s="6">
        <f>IF(OR($BJ471="",13&gt;設定!$B$3),"",IF(INDEX(原始資料!P$2:P$501,$BJ471)="","",INDEX(原始資料!P$2:P$501,$BJ471)))</f>
        <v/>
      </c>
      <c r="O471" s="6">
        <f>IF(OR($BJ471="",14&gt;設定!$B$3),"",IF(INDEX(原始資料!Q$2:Q$501,$BJ471)="","",INDEX(原始資料!Q$2:Q$501,$BJ471)))</f>
        <v/>
      </c>
      <c r="P471" s="6">
        <f>IF(OR($BJ471="",15&gt;設定!$B$3),"",IF(INDEX(原始資料!R$2:R$501,$BJ471)="","",INDEX(原始資料!R$2:R$501,$BJ471)))</f>
        <v/>
      </c>
      <c r="Q471" s="6">
        <f>IF(OR($BJ471="",16&gt;設定!$B$3),"",IF(INDEX(原始資料!S$2:S$501,$BJ471)="","",INDEX(原始資料!S$2:S$501,$BJ471)))</f>
        <v/>
      </c>
      <c r="R471" s="6">
        <f>IF(OR($BJ471="",17&gt;設定!$B$3),"",IF(INDEX(原始資料!T$2:T$501,$BJ471)="","",INDEX(原始資料!T$2:T$501,$BJ471)))</f>
        <v/>
      </c>
      <c r="S471" s="6">
        <f>IF(OR($BJ471="",18&gt;設定!$B$3),"",IF(INDEX(原始資料!U$2:U$501,$BJ471)="","",INDEX(原始資料!U$2:U$501,$BJ471)))</f>
        <v/>
      </c>
      <c r="T471" s="6">
        <f>IF(OR($BJ471="",19&gt;設定!$B$3),"",IF(INDEX(原始資料!V$2:V$501,$BJ471)="","",INDEX(原始資料!V$2:V$501,$BJ471)))</f>
        <v/>
      </c>
      <c r="U471" s="6">
        <f>IF(OR($BJ471="",20&gt;設定!$B$3),"",IF(INDEX(原始資料!W$2:W$501,$BJ471)="","",INDEX(原始資料!W$2:W$501,$BJ471)))</f>
        <v/>
      </c>
      <c r="V471" s="6">
        <f>IF(OR($BJ471="",21&gt;設定!$B$3),"",IF(INDEX(原始資料!X$2:X$501,$BJ471)="","",INDEX(原始資料!X$2:X$501,$BJ471)))</f>
        <v/>
      </c>
      <c r="W471" s="6">
        <f>IF(OR($BJ471="",22&gt;設定!$B$3),"",IF(INDEX(原始資料!Y$2:Y$501,$BJ471)="","",INDEX(原始資料!Y$2:Y$501,$BJ471)))</f>
        <v/>
      </c>
      <c r="X471" s="6">
        <f>IF(OR($BJ471="",23&gt;設定!$B$3),"",IF(INDEX(原始資料!Z$2:Z$501,$BJ471)="","",INDEX(原始資料!Z$2:Z$501,$BJ471)))</f>
        <v/>
      </c>
      <c r="Y471" s="6">
        <f>IF(OR($BJ471="",24&gt;設定!$B$3),"",IF(INDEX(原始資料!AA$2:AA$501,$BJ471)="","",INDEX(原始資料!AA$2:AA$501,$BJ471)))</f>
        <v/>
      </c>
      <c r="Z471" s="6">
        <f>IF(OR($BJ471="",25&gt;設定!$B$3),"",IF(INDEX(原始資料!AB$2:AB$501,$BJ471)="","",INDEX(原始資料!AB$2:AB$501,$BJ471)))</f>
        <v/>
      </c>
      <c r="AA471" s="6">
        <f>IF(OR($BJ471="",26&gt;設定!$B$3),"",IF(INDEX(原始資料!AC$2:AC$501,$BJ471)="","",INDEX(原始資料!AC$2:AC$501,$BJ471)))</f>
        <v/>
      </c>
      <c r="AB471" s="6">
        <f>IF(OR($BJ471="",27&gt;設定!$B$3),"",IF(INDEX(原始資料!AD$2:AD$501,$BJ471)="","",INDEX(原始資料!AD$2:AD$501,$BJ471)))</f>
        <v/>
      </c>
      <c r="AC471" s="6">
        <f>IF(OR($BJ471="",28&gt;設定!$B$3),"",IF(INDEX(原始資料!AE$2:AE$501,$BJ471)="","",INDEX(原始資料!AE$2:AE$501,$BJ471)))</f>
        <v/>
      </c>
      <c r="AD471" s="6">
        <f>IF(OR($BJ471="",29&gt;設定!$B$3),"",IF(INDEX(原始資料!AF$2:AF$501,$BJ471)="","",INDEX(原始資料!AF$2:AF$501,$BJ471)))</f>
        <v/>
      </c>
      <c r="AE471" s="6">
        <f>IF(OR($BJ471="",30&gt;設定!$B$3),"",IF(INDEX(原始資料!AG$2:AG$501,$BJ471)="","",INDEX(原始資料!AG$2:AG$501,$BJ471)))</f>
        <v/>
      </c>
      <c r="AF471" s="6">
        <f>IF(OR($BJ471="",31&gt;設定!$B$3),"",IF(INDEX(原始資料!AH$2:AH$501,$BJ471)="","",INDEX(原始資料!AH$2:AH$501,$BJ471)))</f>
        <v/>
      </c>
      <c r="AG471" s="6">
        <f>IF(OR($BJ471="",32&gt;設定!$B$3),"",IF(INDEX(原始資料!AI$2:AI$501,$BJ471)="","",INDEX(原始資料!AI$2:AI$501,$BJ471)))</f>
        <v/>
      </c>
      <c r="AH471" s="6">
        <f>IF(OR($BJ471="",33&gt;設定!$B$3),"",IF(INDEX(原始資料!AJ$2:AJ$501,$BJ471)="","",INDEX(原始資料!AJ$2:AJ$501,$BJ471)))</f>
        <v/>
      </c>
      <c r="AI471" s="6">
        <f>IF(OR($BJ471="",34&gt;設定!$B$3),"",IF(INDEX(原始資料!AK$2:AK$501,$BJ471)="","",INDEX(原始資料!AK$2:AK$501,$BJ471)))</f>
        <v/>
      </c>
      <c r="AJ471" s="6">
        <f>IF(OR($BJ471="",35&gt;設定!$B$3),"",IF(INDEX(原始資料!AL$2:AL$501,$BJ471)="","",INDEX(原始資料!AL$2:AL$501,$BJ471)))</f>
        <v/>
      </c>
      <c r="AK471" s="6">
        <f>IF(OR($BJ471="",36&gt;設定!$B$3),"",IF(INDEX(原始資料!AM$2:AM$501,$BJ471)="","",INDEX(原始資料!AM$2:AM$501,$BJ471)))</f>
        <v/>
      </c>
      <c r="AL471" s="6">
        <f>IF(OR($BJ471="",37&gt;設定!$B$3),"",IF(INDEX(原始資料!AN$2:AN$501,$BJ471)="","",INDEX(原始資料!AN$2:AN$501,$BJ471)))</f>
        <v/>
      </c>
      <c r="AM471" s="6">
        <f>IF(OR($BJ471="",38&gt;設定!$B$3),"",IF(INDEX(原始資料!AO$2:AO$501,$BJ471)="","",INDEX(原始資料!AO$2:AO$501,$BJ471)))</f>
        <v/>
      </c>
      <c r="AN471" s="6">
        <f>IF(OR($BJ471="",39&gt;設定!$B$3),"",IF(INDEX(原始資料!AP$2:AP$501,$BJ471)="","",INDEX(原始資料!AP$2:AP$501,$BJ471)))</f>
        <v/>
      </c>
      <c r="AO471" s="6">
        <f>IF(OR($BJ471="",40&gt;設定!$B$3),"",IF(INDEX(原始資料!AQ$2:AQ$501,$BJ471)="","",INDEX(原始資料!AQ$2:AQ$501,$BJ471)))</f>
        <v/>
      </c>
      <c r="AP471" s="6">
        <f>IF(OR($BJ471="",41&gt;設定!$B$3),"",IF(INDEX(原始資料!AR$2:AR$501,$BJ471)="","",INDEX(原始資料!AR$2:AR$501,$BJ471)))</f>
        <v/>
      </c>
      <c r="AQ471" s="6">
        <f>IF(OR($BJ471="",42&gt;設定!$B$3),"",IF(INDEX(原始資料!AS$2:AS$501,$BJ471)="","",INDEX(原始資料!AS$2:AS$501,$BJ471)))</f>
        <v/>
      </c>
      <c r="AR471" s="6">
        <f>IF(OR($BJ471="",43&gt;設定!$B$3),"",IF(INDEX(原始資料!AT$2:AT$501,$BJ471)="","",INDEX(原始資料!AT$2:AT$501,$BJ471)))</f>
        <v/>
      </c>
      <c r="AS471" s="6">
        <f>IF(OR($BJ471="",44&gt;設定!$B$3),"",IF(INDEX(原始資料!AU$2:AU$501,$BJ471)="","",INDEX(原始資料!AU$2:AU$501,$BJ471)))</f>
        <v/>
      </c>
      <c r="AT471" s="6">
        <f>IF(OR($BJ471="",45&gt;設定!$B$3),"",IF(INDEX(原始資料!AV$2:AV$501,$BJ471)="","",INDEX(原始資料!AV$2:AV$501,$BJ471)))</f>
        <v/>
      </c>
      <c r="AU471" s="6">
        <f>IF(OR($BJ471="",46&gt;設定!$B$3),"",IF(INDEX(原始資料!AW$2:AW$501,$BJ471)="","",INDEX(原始資料!AW$2:AW$501,$BJ471)))</f>
        <v/>
      </c>
      <c r="AV471" s="6">
        <f>IF(OR($BJ471="",47&gt;設定!$B$3),"",IF(INDEX(原始資料!AX$2:AX$501,$BJ471)="","",INDEX(原始資料!AX$2:AX$501,$BJ471)))</f>
        <v/>
      </c>
      <c r="AW471" s="6">
        <f>IF(OR($BJ471="",48&gt;設定!$B$3),"",IF(INDEX(原始資料!AY$2:AY$501,$BJ471)="","",INDEX(原始資料!AY$2:AY$501,$BJ471)))</f>
        <v/>
      </c>
      <c r="AX471" s="6">
        <f>IF(OR($BJ471="",49&gt;設定!$B$3),"",IF(INDEX(原始資料!AZ$2:AZ$501,$BJ471)="","",INDEX(原始資料!AZ$2:AZ$501,$BJ471)))</f>
        <v/>
      </c>
      <c r="AY471" s="6">
        <f>IF(OR($BJ471="",50&gt;設定!$B$3),"",IF(INDEX(原始資料!BA$2:BA$501,$BJ471)="","",INDEX(原始資料!BA$2:BA$501,$BJ471)))</f>
        <v/>
      </c>
      <c r="AZ471" s="6">
        <f>IF(OR($BJ471="",51&gt;設定!$B$3),"",IF(INDEX(原始資料!BB$2:BB$501,$BJ471)="","",INDEX(原始資料!BB$2:BB$501,$BJ471)))</f>
        <v/>
      </c>
      <c r="BA471" s="6">
        <f>IF(OR($BJ471="",52&gt;設定!$B$3),"",IF(INDEX(原始資料!BC$2:BC$501,$BJ471)="","",INDEX(原始資料!BC$2:BC$501,$BJ471)))</f>
        <v/>
      </c>
      <c r="BB471" s="6">
        <f>IF(OR($BJ471="",53&gt;設定!$B$3),"",IF(INDEX(原始資料!BD$2:BD$501,$BJ471)="","",INDEX(原始資料!BD$2:BD$501,$BJ471)))</f>
        <v/>
      </c>
      <c r="BC471" s="6">
        <f>IF(OR($BJ471="",54&gt;設定!$B$3),"",IF(INDEX(原始資料!BE$2:BE$501,$BJ471)="","",INDEX(原始資料!BE$2:BE$501,$BJ471)))</f>
        <v/>
      </c>
      <c r="BD471" s="6">
        <f>IF(OR($BJ471="",55&gt;設定!$B$3),"",IF(INDEX(原始資料!BF$2:BF$501,$BJ471)="","",INDEX(原始資料!BF$2:BF$501,$BJ471)))</f>
        <v/>
      </c>
      <c r="BE471" s="6">
        <f>IF(OR($BJ471="",56&gt;設定!$B$3),"",IF(INDEX(原始資料!BG$2:BG$501,$BJ471)="","",INDEX(原始資料!BG$2:BG$501,$BJ471)))</f>
        <v/>
      </c>
      <c r="BF471" s="6">
        <f>IF(OR($BJ471="",57&gt;設定!$B$3),"",IF(INDEX(原始資料!BH$2:BH$501,$BJ471)="","",INDEX(原始資料!BH$2:BH$501,$BJ471)))</f>
        <v/>
      </c>
      <c r="BG471" s="6">
        <f>IF(OR($BJ471="",58&gt;設定!$B$3),"",IF(INDEX(原始資料!BI$2:BI$501,$BJ471)="","",INDEX(原始資料!BI$2:BI$501,$BJ471)))</f>
        <v/>
      </c>
      <c r="BH471" s="6">
        <f>IF(OR($BJ471="",59&gt;設定!$B$3),"",IF(INDEX(原始資料!BJ$2:BJ$501,$BJ471)="","",INDEX(原始資料!BJ$2:BJ$501,$BJ471)))</f>
        <v/>
      </c>
      <c r="BI471" s="6">
        <f>IF(OR($BJ471="",60&gt;設定!$B$3),"",IF(INDEX(原始資料!BK$2:BK$501,$BJ471)="","",INDEX(原始資料!BK$2:BK$501,$BJ471)))</f>
        <v/>
      </c>
      <c r="BJ471" s="6">
        <f>IFERROR(MATCH(ROW()-1,判定!$H$2:$H$501,0),"")</f>
        <v/>
      </c>
    </row>
    <row r="472">
      <c r="A472" s="6">
        <f>IF($BJ472="","",INDEX(原始資料!$A$2:$A$501,$BJ472))</f>
        <v/>
      </c>
      <c r="B472" s="6">
        <f>IF(OR($BJ472="",1&gt;設定!$B$3),"",IF(INDEX(原始資料!D$2:D$501,$BJ472)="","",INDEX(原始資料!D$2:D$501,$BJ472)))</f>
        <v/>
      </c>
      <c r="C472" s="6">
        <f>IF(OR($BJ472="",2&gt;設定!$B$3),"",IF(INDEX(原始資料!E$2:E$501,$BJ472)="","",INDEX(原始資料!E$2:E$501,$BJ472)))</f>
        <v/>
      </c>
      <c r="D472" s="6">
        <f>IF(OR($BJ472="",3&gt;設定!$B$3),"",IF(INDEX(原始資料!F$2:F$501,$BJ472)="","",INDEX(原始資料!F$2:F$501,$BJ472)))</f>
        <v/>
      </c>
      <c r="E472" s="6">
        <f>IF(OR($BJ472="",4&gt;設定!$B$3),"",IF(INDEX(原始資料!G$2:G$501,$BJ472)="","",INDEX(原始資料!G$2:G$501,$BJ472)))</f>
        <v/>
      </c>
      <c r="F472" s="6">
        <f>IF(OR($BJ472="",5&gt;設定!$B$3),"",IF(INDEX(原始資料!H$2:H$501,$BJ472)="","",INDEX(原始資料!H$2:H$501,$BJ472)))</f>
        <v/>
      </c>
      <c r="G472" s="6">
        <f>IF(OR($BJ472="",6&gt;設定!$B$3),"",IF(INDEX(原始資料!I$2:I$501,$BJ472)="","",INDEX(原始資料!I$2:I$501,$BJ472)))</f>
        <v/>
      </c>
      <c r="H472" s="6">
        <f>IF(OR($BJ472="",7&gt;設定!$B$3),"",IF(INDEX(原始資料!J$2:J$501,$BJ472)="","",INDEX(原始資料!J$2:J$501,$BJ472)))</f>
        <v/>
      </c>
      <c r="I472" s="6">
        <f>IF(OR($BJ472="",8&gt;設定!$B$3),"",IF(INDEX(原始資料!K$2:K$501,$BJ472)="","",INDEX(原始資料!K$2:K$501,$BJ472)))</f>
        <v/>
      </c>
      <c r="J472" s="6">
        <f>IF(OR($BJ472="",9&gt;設定!$B$3),"",IF(INDEX(原始資料!L$2:L$501,$BJ472)="","",INDEX(原始資料!L$2:L$501,$BJ472)))</f>
        <v/>
      </c>
      <c r="K472" s="6">
        <f>IF(OR($BJ472="",10&gt;設定!$B$3),"",IF(INDEX(原始資料!M$2:M$501,$BJ472)="","",INDEX(原始資料!M$2:M$501,$BJ472)))</f>
        <v/>
      </c>
      <c r="L472" s="6">
        <f>IF(OR($BJ472="",11&gt;設定!$B$3),"",IF(INDEX(原始資料!N$2:N$501,$BJ472)="","",INDEX(原始資料!N$2:N$501,$BJ472)))</f>
        <v/>
      </c>
      <c r="M472" s="6">
        <f>IF(OR($BJ472="",12&gt;設定!$B$3),"",IF(INDEX(原始資料!O$2:O$501,$BJ472)="","",INDEX(原始資料!O$2:O$501,$BJ472)))</f>
        <v/>
      </c>
      <c r="N472" s="6">
        <f>IF(OR($BJ472="",13&gt;設定!$B$3),"",IF(INDEX(原始資料!P$2:P$501,$BJ472)="","",INDEX(原始資料!P$2:P$501,$BJ472)))</f>
        <v/>
      </c>
      <c r="O472" s="6">
        <f>IF(OR($BJ472="",14&gt;設定!$B$3),"",IF(INDEX(原始資料!Q$2:Q$501,$BJ472)="","",INDEX(原始資料!Q$2:Q$501,$BJ472)))</f>
        <v/>
      </c>
      <c r="P472" s="6">
        <f>IF(OR($BJ472="",15&gt;設定!$B$3),"",IF(INDEX(原始資料!R$2:R$501,$BJ472)="","",INDEX(原始資料!R$2:R$501,$BJ472)))</f>
        <v/>
      </c>
      <c r="Q472" s="6">
        <f>IF(OR($BJ472="",16&gt;設定!$B$3),"",IF(INDEX(原始資料!S$2:S$501,$BJ472)="","",INDEX(原始資料!S$2:S$501,$BJ472)))</f>
        <v/>
      </c>
      <c r="R472" s="6">
        <f>IF(OR($BJ472="",17&gt;設定!$B$3),"",IF(INDEX(原始資料!T$2:T$501,$BJ472)="","",INDEX(原始資料!T$2:T$501,$BJ472)))</f>
        <v/>
      </c>
      <c r="S472" s="6">
        <f>IF(OR($BJ472="",18&gt;設定!$B$3),"",IF(INDEX(原始資料!U$2:U$501,$BJ472)="","",INDEX(原始資料!U$2:U$501,$BJ472)))</f>
        <v/>
      </c>
      <c r="T472" s="6">
        <f>IF(OR($BJ472="",19&gt;設定!$B$3),"",IF(INDEX(原始資料!V$2:V$501,$BJ472)="","",INDEX(原始資料!V$2:V$501,$BJ472)))</f>
        <v/>
      </c>
      <c r="U472" s="6">
        <f>IF(OR($BJ472="",20&gt;設定!$B$3),"",IF(INDEX(原始資料!W$2:W$501,$BJ472)="","",INDEX(原始資料!W$2:W$501,$BJ472)))</f>
        <v/>
      </c>
      <c r="V472" s="6">
        <f>IF(OR($BJ472="",21&gt;設定!$B$3),"",IF(INDEX(原始資料!X$2:X$501,$BJ472)="","",INDEX(原始資料!X$2:X$501,$BJ472)))</f>
        <v/>
      </c>
      <c r="W472" s="6">
        <f>IF(OR($BJ472="",22&gt;設定!$B$3),"",IF(INDEX(原始資料!Y$2:Y$501,$BJ472)="","",INDEX(原始資料!Y$2:Y$501,$BJ472)))</f>
        <v/>
      </c>
      <c r="X472" s="6">
        <f>IF(OR($BJ472="",23&gt;設定!$B$3),"",IF(INDEX(原始資料!Z$2:Z$501,$BJ472)="","",INDEX(原始資料!Z$2:Z$501,$BJ472)))</f>
        <v/>
      </c>
      <c r="Y472" s="6">
        <f>IF(OR($BJ472="",24&gt;設定!$B$3),"",IF(INDEX(原始資料!AA$2:AA$501,$BJ472)="","",INDEX(原始資料!AA$2:AA$501,$BJ472)))</f>
        <v/>
      </c>
      <c r="Z472" s="6">
        <f>IF(OR($BJ472="",25&gt;設定!$B$3),"",IF(INDEX(原始資料!AB$2:AB$501,$BJ472)="","",INDEX(原始資料!AB$2:AB$501,$BJ472)))</f>
        <v/>
      </c>
      <c r="AA472" s="6">
        <f>IF(OR($BJ472="",26&gt;設定!$B$3),"",IF(INDEX(原始資料!AC$2:AC$501,$BJ472)="","",INDEX(原始資料!AC$2:AC$501,$BJ472)))</f>
        <v/>
      </c>
      <c r="AB472" s="6">
        <f>IF(OR($BJ472="",27&gt;設定!$B$3),"",IF(INDEX(原始資料!AD$2:AD$501,$BJ472)="","",INDEX(原始資料!AD$2:AD$501,$BJ472)))</f>
        <v/>
      </c>
      <c r="AC472" s="6">
        <f>IF(OR($BJ472="",28&gt;設定!$B$3),"",IF(INDEX(原始資料!AE$2:AE$501,$BJ472)="","",INDEX(原始資料!AE$2:AE$501,$BJ472)))</f>
        <v/>
      </c>
      <c r="AD472" s="6">
        <f>IF(OR($BJ472="",29&gt;設定!$B$3),"",IF(INDEX(原始資料!AF$2:AF$501,$BJ472)="","",INDEX(原始資料!AF$2:AF$501,$BJ472)))</f>
        <v/>
      </c>
      <c r="AE472" s="6">
        <f>IF(OR($BJ472="",30&gt;設定!$B$3),"",IF(INDEX(原始資料!AG$2:AG$501,$BJ472)="","",INDEX(原始資料!AG$2:AG$501,$BJ472)))</f>
        <v/>
      </c>
      <c r="AF472" s="6">
        <f>IF(OR($BJ472="",31&gt;設定!$B$3),"",IF(INDEX(原始資料!AH$2:AH$501,$BJ472)="","",INDEX(原始資料!AH$2:AH$501,$BJ472)))</f>
        <v/>
      </c>
      <c r="AG472" s="6">
        <f>IF(OR($BJ472="",32&gt;設定!$B$3),"",IF(INDEX(原始資料!AI$2:AI$501,$BJ472)="","",INDEX(原始資料!AI$2:AI$501,$BJ472)))</f>
        <v/>
      </c>
      <c r="AH472" s="6">
        <f>IF(OR($BJ472="",33&gt;設定!$B$3),"",IF(INDEX(原始資料!AJ$2:AJ$501,$BJ472)="","",INDEX(原始資料!AJ$2:AJ$501,$BJ472)))</f>
        <v/>
      </c>
      <c r="AI472" s="6">
        <f>IF(OR($BJ472="",34&gt;設定!$B$3),"",IF(INDEX(原始資料!AK$2:AK$501,$BJ472)="","",INDEX(原始資料!AK$2:AK$501,$BJ472)))</f>
        <v/>
      </c>
      <c r="AJ472" s="6">
        <f>IF(OR($BJ472="",35&gt;設定!$B$3),"",IF(INDEX(原始資料!AL$2:AL$501,$BJ472)="","",INDEX(原始資料!AL$2:AL$501,$BJ472)))</f>
        <v/>
      </c>
      <c r="AK472" s="6">
        <f>IF(OR($BJ472="",36&gt;設定!$B$3),"",IF(INDEX(原始資料!AM$2:AM$501,$BJ472)="","",INDEX(原始資料!AM$2:AM$501,$BJ472)))</f>
        <v/>
      </c>
      <c r="AL472" s="6">
        <f>IF(OR($BJ472="",37&gt;設定!$B$3),"",IF(INDEX(原始資料!AN$2:AN$501,$BJ472)="","",INDEX(原始資料!AN$2:AN$501,$BJ472)))</f>
        <v/>
      </c>
      <c r="AM472" s="6">
        <f>IF(OR($BJ472="",38&gt;設定!$B$3),"",IF(INDEX(原始資料!AO$2:AO$501,$BJ472)="","",INDEX(原始資料!AO$2:AO$501,$BJ472)))</f>
        <v/>
      </c>
      <c r="AN472" s="6">
        <f>IF(OR($BJ472="",39&gt;設定!$B$3),"",IF(INDEX(原始資料!AP$2:AP$501,$BJ472)="","",INDEX(原始資料!AP$2:AP$501,$BJ472)))</f>
        <v/>
      </c>
      <c r="AO472" s="6">
        <f>IF(OR($BJ472="",40&gt;設定!$B$3),"",IF(INDEX(原始資料!AQ$2:AQ$501,$BJ472)="","",INDEX(原始資料!AQ$2:AQ$501,$BJ472)))</f>
        <v/>
      </c>
      <c r="AP472" s="6">
        <f>IF(OR($BJ472="",41&gt;設定!$B$3),"",IF(INDEX(原始資料!AR$2:AR$501,$BJ472)="","",INDEX(原始資料!AR$2:AR$501,$BJ472)))</f>
        <v/>
      </c>
      <c r="AQ472" s="6">
        <f>IF(OR($BJ472="",42&gt;設定!$B$3),"",IF(INDEX(原始資料!AS$2:AS$501,$BJ472)="","",INDEX(原始資料!AS$2:AS$501,$BJ472)))</f>
        <v/>
      </c>
      <c r="AR472" s="6">
        <f>IF(OR($BJ472="",43&gt;設定!$B$3),"",IF(INDEX(原始資料!AT$2:AT$501,$BJ472)="","",INDEX(原始資料!AT$2:AT$501,$BJ472)))</f>
        <v/>
      </c>
      <c r="AS472" s="6">
        <f>IF(OR($BJ472="",44&gt;設定!$B$3),"",IF(INDEX(原始資料!AU$2:AU$501,$BJ472)="","",INDEX(原始資料!AU$2:AU$501,$BJ472)))</f>
        <v/>
      </c>
      <c r="AT472" s="6">
        <f>IF(OR($BJ472="",45&gt;設定!$B$3),"",IF(INDEX(原始資料!AV$2:AV$501,$BJ472)="","",INDEX(原始資料!AV$2:AV$501,$BJ472)))</f>
        <v/>
      </c>
      <c r="AU472" s="6">
        <f>IF(OR($BJ472="",46&gt;設定!$B$3),"",IF(INDEX(原始資料!AW$2:AW$501,$BJ472)="","",INDEX(原始資料!AW$2:AW$501,$BJ472)))</f>
        <v/>
      </c>
      <c r="AV472" s="6">
        <f>IF(OR($BJ472="",47&gt;設定!$B$3),"",IF(INDEX(原始資料!AX$2:AX$501,$BJ472)="","",INDEX(原始資料!AX$2:AX$501,$BJ472)))</f>
        <v/>
      </c>
      <c r="AW472" s="6">
        <f>IF(OR($BJ472="",48&gt;設定!$B$3),"",IF(INDEX(原始資料!AY$2:AY$501,$BJ472)="","",INDEX(原始資料!AY$2:AY$501,$BJ472)))</f>
        <v/>
      </c>
      <c r="AX472" s="6">
        <f>IF(OR($BJ472="",49&gt;設定!$B$3),"",IF(INDEX(原始資料!AZ$2:AZ$501,$BJ472)="","",INDEX(原始資料!AZ$2:AZ$501,$BJ472)))</f>
        <v/>
      </c>
      <c r="AY472" s="6">
        <f>IF(OR($BJ472="",50&gt;設定!$B$3),"",IF(INDEX(原始資料!BA$2:BA$501,$BJ472)="","",INDEX(原始資料!BA$2:BA$501,$BJ472)))</f>
        <v/>
      </c>
      <c r="AZ472" s="6">
        <f>IF(OR($BJ472="",51&gt;設定!$B$3),"",IF(INDEX(原始資料!BB$2:BB$501,$BJ472)="","",INDEX(原始資料!BB$2:BB$501,$BJ472)))</f>
        <v/>
      </c>
      <c r="BA472" s="6">
        <f>IF(OR($BJ472="",52&gt;設定!$B$3),"",IF(INDEX(原始資料!BC$2:BC$501,$BJ472)="","",INDEX(原始資料!BC$2:BC$501,$BJ472)))</f>
        <v/>
      </c>
      <c r="BB472" s="6">
        <f>IF(OR($BJ472="",53&gt;設定!$B$3),"",IF(INDEX(原始資料!BD$2:BD$501,$BJ472)="","",INDEX(原始資料!BD$2:BD$501,$BJ472)))</f>
        <v/>
      </c>
      <c r="BC472" s="6">
        <f>IF(OR($BJ472="",54&gt;設定!$B$3),"",IF(INDEX(原始資料!BE$2:BE$501,$BJ472)="","",INDEX(原始資料!BE$2:BE$501,$BJ472)))</f>
        <v/>
      </c>
      <c r="BD472" s="6">
        <f>IF(OR($BJ472="",55&gt;設定!$B$3),"",IF(INDEX(原始資料!BF$2:BF$501,$BJ472)="","",INDEX(原始資料!BF$2:BF$501,$BJ472)))</f>
        <v/>
      </c>
      <c r="BE472" s="6">
        <f>IF(OR($BJ472="",56&gt;設定!$B$3),"",IF(INDEX(原始資料!BG$2:BG$501,$BJ472)="","",INDEX(原始資料!BG$2:BG$501,$BJ472)))</f>
        <v/>
      </c>
      <c r="BF472" s="6">
        <f>IF(OR($BJ472="",57&gt;設定!$B$3),"",IF(INDEX(原始資料!BH$2:BH$501,$BJ472)="","",INDEX(原始資料!BH$2:BH$501,$BJ472)))</f>
        <v/>
      </c>
      <c r="BG472" s="6">
        <f>IF(OR($BJ472="",58&gt;設定!$B$3),"",IF(INDEX(原始資料!BI$2:BI$501,$BJ472)="","",INDEX(原始資料!BI$2:BI$501,$BJ472)))</f>
        <v/>
      </c>
      <c r="BH472" s="6">
        <f>IF(OR($BJ472="",59&gt;設定!$B$3),"",IF(INDEX(原始資料!BJ$2:BJ$501,$BJ472)="","",INDEX(原始資料!BJ$2:BJ$501,$BJ472)))</f>
        <v/>
      </c>
      <c r="BI472" s="6">
        <f>IF(OR($BJ472="",60&gt;設定!$B$3),"",IF(INDEX(原始資料!BK$2:BK$501,$BJ472)="","",INDEX(原始資料!BK$2:BK$501,$BJ472)))</f>
        <v/>
      </c>
      <c r="BJ472" s="6">
        <f>IFERROR(MATCH(ROW()-1,判定!$H$2:$H$501,0),"")</f>
        <v/>
      </c>
    </row>
    <row r="473">
      <c r="A473" s="6">
        <f>IF($BJ473="","",INDEX(原始資料!$A$2:$A$501,$BJ473))</f>
        <v/>
      </c>
      <c r="B473" s="6">
        <f>IF(OR($BJ473="",1&gt;設定!$B$3),"",IF(INDEX(原始資料!D$2:D$501,$BJ473)="","",INDEX(原始資料!D$2:D$501,$BJ473)))</f>
        <v/>
      </c>
      <c r="C473" s="6">
        <f>IF(OR($BJ473="",2&gt;設定!$B$3),"",IF(INDEX(原始資料!E$2:E$501,$BJ473)="","",INDEX(原始資料!E$2:E$501,$BJ473)))</f>
        <v/>
      </c>
      <c r="D473" s="6">
        <f>IF(OR($BJ473="",3&gt;設定!$B$3),"",IF(INDEX(原始資料!F$2:F$501,$BJ473)="","",INDEX(原始資料!F$2:F$501,$BJ473)))</f>
        <v/>
      </c>
      <c r="E473" s="6">
        <f>IF(OR($BJ473="",4&gt;設定!$B$3),"",IF(INDEX(原始資料!G$2:G$501,$BJ473)="","",INDEX(原始資料!G$2:G$501,$BJ473)))</f>
        <v/>
      </c>
      <c r="F473" s="6">
        <f>IF(OR($BJ473="",5&gt;設定!$B$3),"",IF(INDEX(原始資料!H$2:H$501,$BJ473)="","",INDEX(原始資料!H$2:H$501,$BJ473)))</f>
        <v/>
      </c>
      <c r="G473" s="6">
        <f>IF(OR($BJ473="",6&gt;設定!$B$3),"",IF(INDEX(原始資料!I$2:I$501,$BJ473)="","",INDEX(原始資料!I$2:I$501,$BJ473)))</f>
        <v/>
      </c>
      <c r="H473" s="6">
        <f>IF(OR($BJ473="",7&gt;設定!$B$3),"",IF(INDEX(原始資料!J$2:J$501,$BJ473)="","",INDEX(原始資料!J$2:J$501,$BJ473)))</f>
        <v/>
      </c>
      <c r="I473" s="6">
        <f>IF(OR($BJ473="",8&gt;設定!$B$3),"",IF(INDEX(原始資料!K$2:K$501,$BJ473)="","",INDEX(原始資料!K$2:K$501,$BJ473)))</f>
        <v/>
      </c>
      <c r="J473" s="6">
        <f>IF(OR($BJ473="",9&gt;設定!$B$3),"",IF(INDEX(原始資料!L$2:L$501,$BJ473)="","",INDEX(原始資料!L$2:L$501,$BJ473)))</f>
        <v/>
      </c>
      <c r="K473" s="6">
        <f>IF(OR($BJ473="",10&gt;設定!$B$3),"",IF(INDEX(原始資料!M$2:M$501,$BJ473)="","",INDEX(原始資料!M$2:M$501,$BJ473)))</f>
        <v/>
      </c>
      <c r="L473" s="6">
        <f>IF(OR($BJ473="",11&gt;設定!$B$3),"",IF(INDEX(原始資料!N$2:N$501,$BJ473)="","",INDEX(原始資料!N$2:N$501,$BJ473)))</f>
        <v/>
      </c>
      <c r="M473" s="6">
        <f>IF(OR($BJ473="",12&gt;設定!$B$3),"",IF(INDEX(原始資料!O$2:O$501,$BJ473)="","",INDEX(原始資料!O$2:O$501,$BJ473)))</f>
        <v/>
      </c>
      <c r="N473" s="6">
        <f>IF(OR($BJ473="",13&gt;設定!$B$3),"",IF(INDEX(原始資料!P$2:P$501,$BJ473)="","",INDEX(原始資料!P$2:P$501,$BJ473)))</f>
        <v/>
      </c>
      <c r="O473" s="6">
        <f>IF(OR($BJ473="",14&gt;設定!$B$3),"",IF(INDEX(原始資料!Q$2:Q$501,$BJ473)="","",INDEX(原始資料!Q$2:Q$501,$BJ473)))</f>
        <v/>
      </c>
      <c r="P473" s="6">
        <f>IF(OR($BJ473="",15&gt;設定!$B$3),"",IF(INDEX(原始資料!R$2:R$501,$BJ473)="","",INDEX(原始資料!R$2:R$501,$BJ473)))</f>
        <v/>
      </c>
      <c r="Q473" s="6">
        <f>IF(OR($BJ473="",16&gt;設定!$B$3),"",IF(INDEX(原始資料!S$2:S$501,$BJ473)="","",INDEX(原始資料!S$2:S$501,$BJ473)))</f>
        <v/>
      </c>
      <c r="R473" s="6">
        <f>IF(OR($BJ473="",17&gt;設定!$B$3),"",IF(INDEX(原始資料!T$2:T$501,$BJ473)="","",INDEX(原始資料!T$2:T$501,$BJ473)))</f>
        <v/>
      </c>
      <c r="S473" s="6">
        <f>IF(OR($BJ473="",18&gt;設定!$B$3),"",IF(INDEX(原始資料!U$2:U$501,$BJ473)="","",INDEX(原始資料!U$2:U$501,$BJ473)))</f>
        <v/>
      </c>
      <c r="T473" s="6">
        <f>IF(OR($BJ473="",19&gt;設定!$B$3),"",IF(INDEX(原始資料!V$2:V$501,$BJ473)="","",INDEX(原始資料!V$2:V$501,$BJ473)))</f>
        <v/>
      </c>
      <c r="U473" s="6">
        <f>IF(OR($BJ473="",20&gt;設定!$B$3),"",IF(INDEX(原始資料!W$2:W$501,$BJ473)="","",INDEX(原始資料!W$2:W$501,$BJ473)))</f>
        <v/>
      </c>
      <c r="V473" s="6">
        <f>IF(OR($BJ473="",21&gt;設定!$B$3),"",IF(INDEX(原始資料!X$2:X$501,$BJ473)="","",INDEX(原始資料!X$2:X$501,$BJ473)))</f>
        <v/>
      </c>
      <c r="W473" s="6">
        <f>IF(OR($BJ473="",22&gt;設定!$B$3),"",IF(INDEX(原始資料!Y$2:Y$501,$BJ473)="","",INDEX(原始資料!Y$2:Y$501,$BJ473)))</f>
        <v/>
      </c>
      <c r="X473" s="6">
        <f>IF(OR($BJ473="",23&gt;設定!$B$3),"",IF(INDEX(原始資料!Z$2:Z$501,$BJ473)="","",INDEX(原始資料!Z$2:Z$501,$BJ473)))</f>
        <v/>
      </c>
      <c r="Y473" s="6">
        <f>IF(OR($BJ473="",24&gt;設定!$B$3),"",IF(INDEX(原始資料!AA$2:AA$501,$BJ473)="","",INDEX(原始資料!AA$2:AA$501,$BJ473)))</f>
        <v/>
      </c>
      <c r="Z473" s="6">
        <f>IF(OR($BJ473="",25&gt;設定!$B$3),"",IF(INDEX(原始資料!AB$2:AB$501,$BJ473)="","",INDEX(原始資料!AB$2:AB$501,$BJ473)))</f>
        <v/>
      </c>
      <c r="AA473" s="6">
        <f>IF(OR($BJ473="",26&gt;設定!$B$3),"",IF(INDEX(原始資料!AC$2:AC$501,$BJ473)="","",INDEX(原始資料!AC$2:AC$501,$BJ473)))</f>
        <v/>
      </c>
      <c r="AB473" s="6">
        <f>IF(OR($BJ473="",27&gt;設定!$B$3),"",IF(INDEX(原始資料!AD$2:AD$501,$BJ473)="","",INDEX(原始資料!AD$2:AD$501,$BJ473)))</f>
        <v/>
      </c>
      <c r="AC473" s="6">
        <f>IF(OR($BJ473="",28&gt;設定!$B$3),"",IF(INDEX(原始資料!AE$2:AE$501,$BJ473)="","",INDEX(原始資料!AE$2:AE$501,$BJ473)))</f>
        <v/>
      </c>
      <c r="AD473" s="6">
        <f>IF(OR($BJ473="",29&gt;設定!$B$3),"",IF(INDEX(原始資料!AF$2:AF$501,$BJ473)="","",INDEX(原始資料!AF$2:AF$501,$BJ473)))</f>
        <v/>
      </c>
      <c r="AE473" s="6">
        <f>IF(OR($BJ473="",30&gt;設定!$B$3),"",IF(INDEX(原始資料!AG$2:AG$501,$BJ473)="","",INDEX(原始資料!AG$2:AG$501,$BJ473)))</f>
        <v/>
      </c>
      <c r="AF473" s="6">
        <f>IF(OR($BJ473="",31&gt;設定!$B$3),"",IF(INDEX(原始資料!AH$2:AH$501,$BJ473)="","",INDEX(原始資料!AH$2:AH$501,$BJ473)))</f>
        <v/>
      </c>
      <c r="AG473" s="6">
        <f>IF(OR($BJ473="",32&gt;設定!$B$3),"",IF(INDEX(原始資料!AI$2:AI$501,$BJ473)="","",INDEX(原始資料!AI$2:AI$501,$BJ473)))</f>
        <v/>
      </c>
      <c r="AH473" s="6">
        <f>IF(OR($BJ473="",33&gt;設定!$B$3),"",IF(INDEX(原始資料!AJ$2:AJ$501,$BJ473)="","",INDEX(原始資料!AJ$2:AJ$501,$BJ473)))</f>
        <v/>
      </c>
      <c r="AI473" s="6">
        <f>IF(OR($BJ473="",34&gt;設定!$B$3),"",IF(INDEX(原始資料!AK$2:AK$501,$BJ473)="","",INDEX(原始資料!AK$2:AK$501,$BJ473)))</f>
        <v/>
      </c>
      <c r="AJ473" s="6">
        <f>IF(OR($BJ473="",35&gt;設定!$B$3),"",IF(INDEX(原始資料!AL$2:AL$501,$BJ473)="","",INDEX(原始資料!AL$2:AL$501,$BJ473)))</f>
        <v/>
      </c>
      <c r="AK473" s="6">
        <f>IF(OR($BJ473="",36&gt;設定!$B$3),"",IF(INDEX(原始資料!AM$2:AM$501,$BJ473)="","",INDEX(原始資料!AM$2:AM$501,$BJ473)))</f>
        <v/>
      </c>
      <c r="AL473" s="6">
        <f>IF(OR($BJ473="",37&gt;設定!$B$3),"",IF(INDEX(原始資料!AN$2:AN$501,$BJ473)="","",INDEX(原始資料!AN$2:AN$501,$BJ473)))</f>
        <v/>
      </c>
      <c r="AM473" s="6">
        <f>IF(OR($BJ473="",38&gt;設定!$B$3),"",IF(INDEX(原始資料!AO$2:AO$501,$BJ473)="","",INDEX(原始資料!AO$2:AO$501,$BJ473)))</f>
        <v/>
      </c>
      <c r="AN473" s="6">
        <f>IF(OR($BJ473="",39&gt;設定!$B$3),"",IF(INDEX(原始資料!AP$2:AP$501,$BJ473)="","",INDEX(原始資料!AP$2:AP$501,$BJ473)))</f>
        <v/>
      </c>
      <c r="AO473" s="6">
        <f>IF(OR($BJ473="",40&gt;設定!$B$3),"",IF(INDEX(原始資料!AQ$2:AQ$501,$BJ473)="","",INDEX(原始資料!AQ$2:AQ$501,$BJ473)))</f>
        <v/>
      </c>
      <c r="AP473" s="6">
        <f>IF(OR($BJ473="",41&gt;設定!$B$3),"",IF(INDEX(原始資料!AR$2:AR$501,$BJ473)="","",INDEX(原始資料!AR$2:AR$501,$BJ473)))</f>
        <v/>
      </c>
      <c r="AQ473" s="6">
        <f>IF(OR($BJ473="",42&gt;設定!$B$3),"",IF(INDEX(原始資料!AS$2:AS$501,$BJ473)="","",INDEX(原始資料!AS$2:AS$501,$BJ473)))</f>
        <v/>
      </c>
      <c r="AR473" s="6">
        <f>IF(OR($BJ473="",43&gt;設定!$B$3),"",IF(INDEX(原始資料!AT$2:AT$501,$BJ473)="","",INDEX(原始資料!AT$2:AT$501,$BJ473)))</f>
        <v/>
      </c>
      <c r="AS473" s="6">
        <f>IF(OR($BJ473="",44&gt;設定!$B$3),"",IF(INDEX(原始資料!AU$2:AU$501,$BJ473)="","",INDEX(原始資料!AU$2:AU$501,$BJ473)))</f>
        <v/>
      </c>
      <c r="AT473" s="6">
        <f>IF(OR($BJ473="",45&gt;設定!$B$3),"",IF(INDEX(原始資料!AV$2:AV$501,$BJ473)="","",INDEX(原始資料!AV$2:AV$501,$BJ473)))</f>
        <v/>
      </c>
      <c r="AU473" s="6">
        <f>IF(OR($BJ473="",46&gt;設定!$B$3),"",IF(INDEX(原始資料!AW$2:AW$501,$BJ473)="","",INDEX(原始資料!AW$2:AW$501,$BJ473)))</f>
        <v/>
      </c>
      <c r="AV473" s="6">
        <f>IF(OR($BJ473="",47&gt;設定!$B$3),"",IF(INDEX(原始資料!AX$2:AX$501,$BJ473)="","",INDEX(原始資料!AX$2:AX$501,$BJ473)))</f>
        <v/>
      </c>
      <c r="AW473" s="6">
        <f>IF(OR($BJ473="",48&gt;設定!$B$3),"",IF(INDEX(原始資料!AY$2:AY$501,$BJ473)="","",INDEX(原始資料!AY$2:AY$501,$BJ473)))</f>
        <v/>
      </c>
      <c r="AX473" s="6">
        <f>IF(OR($BJ473="",49&gt;設定!$B$3),"",IF(INDEX(原始資料!AZ$2:AZ$501,$BJ473)="","",INDEX(原始資料!AZ$2:AZ$501,$BJ473)))</f>
        <v/>
      </c>
      <c r="AY473" s="6">
        <f>IF(OR($BJ473="",50&gt;設定!$B$3),"",IF(INDEX(原始資料!BA$2:BA$501,$BJ473)="","",INDEX(原始資料!BA$2:BA$501,$BJ473)))</f>
        <v/>
      </c>
      <c r="AZ473" s="6">
        <f>IF(OR($BJ473="",51&gt;設定!$B$3),"",IF(INDEX(原始資料!BB$2:BB$501,$BJ473)="","",INDEX(原始資料!BB$2:BB$501,$BJ473)))</f>
        <v/>
      </c>
      <c r="BA473" s="6">
        <f>IF(OR($BJ473="",52&gt;設定!$B$3),"",IF(INDEX(原始資料!BC$2:BC$501,$BJ473)="","",INDEX(原始資料!BC$2:BC$501,$BJ473)))</f>
        <v/>
      </c>
      <c r="BB473" s="6">
        <f>IF(OR($BJ473="",53&gt;設定!$B$3),"",IF(INDEX(原始資料!BD$2:BD$501,$BJ473)="","",INDEX(原始資料!BD$2:BD$501,$BJ473)))</f>
        <v/>
      </c>
      <c r="BC473" s="6">
        <f>IF(OR($BJ473="",54&gt;設定!$B$3),"",IF(INDEX(原始資料!BE$2:BE$501,$BJ473)="","",INDEX(原始資料!BE$2:BE$501,$BJ473)))</f>
        <v/>
      </c>
      <c r="BD473" s="6">
        <f>IF(OR($BJ473="",55&gt;設定!$B$3),"",IF(INDEX(原始資料!BF$2:BF$501,$BJ473)="","",INDEX(原始資料!BF$2:BF$501,$BJ473)))</f>
        <v/>
      </c>
      <c r="BE473" s="6">
        <f>IF(OR($BJ473="",56&gt;設定!$B$3),"",IF(INDEX(原始資料!BG$2:BG$501,$BJ473)="","",INDEX(原始資料!BG$2:BG$501,$BJ473)))</f>
        <v/>
      </c>
      <c r="BF473" s="6">
        <f>IF(OR($BJ473="",57&gt;設定!$B$3),"",IF(INDEX(原始資料!BH$2:BH$501,$BJ473)="","",INDEX(原始資料!BH$2:BH$501,$BJ473)))</f>
        <v/>
      </c>
      <c r="BG473" s="6">
        <f>IF(OR($BJ473="",58&gt;設定!$B$3),"",IF(INDEX(原始資料!BI$2:BI$501,$BJ473)="","",INDEX(原始資料!BI$2:BI$501,$BJ473)))</f>
        <v/>
      </c>
      <c r="BH473" s="6">
        <f>IF(OR($BJ473="",59&gt;設定!$B$3),"",IF(INDEX(原始資料!BJ$2:BJ$501,$BJ473)="","",INDEX(原始資料!BJ$2:BJ$501,$BJ473)))</f>
        <v/>
      </c>
      <c r="BI473" s="6">
        <f>IF(OR($BJ473="",60&gt;設定!$B$3),"",IF(INDEX(原始資料!BK$2:BK$501,$BJ473)="","",INDEX(原始資料!BK$2:BK$501,$BJ473)))</f>
        <v/>
      </c>
      <c r="BJ473" s="6">
        <f>IFERROR(MATCH(ROW()-1,判定!$H$2:$H$501,0),"")</f>
        <v/>
      </c>
    </row>
    <row r="474">
      <c r="A474" s="6">
        <f>IF($BJ474="","",INDEX(原始資料!$A$2:$A$501,$BJ474))</f>
        <v/>
      </c>
      <c r="B474" s="6">
        <f>IF(OR($BJ474="",1&gt;設定!$B$3),"",IF(INDEX(原始資料!D$2:D$501,$BJ474)="","",INDEX(原始資料!D$2:D$501,$BJ474)))</f>
        <v/>
      </c>
      <c r="C474" s="6">
        <f>IF(OR($BJ474="",2&gt;設定!$B$3),"",IF(INDEX(原始資料!E$2:E$501,$BJ474)="","",INDEX(原始資料!E$2:E$501,$BJ474)))</f>
        <v/>
      </c>
      <c r="D474" s="6">
        <f>IF(OR($BJ474="",3&gt;設定!$B$3),"",IF(INDEX(原始資料!F$2:F$501,$BJ474)="","",INDEX(原始資料!F$2:F$501,$BJ474)))</f>
        <v/>
      </c>
      <c r="E474" s="6">
        <f>IF(OR($BJ474="",4&gt;設定!$B$3),"",IF(INDEX(原始資料!G$2:G$501,$BJ474)="","",INDEX(原始資料!G$2:G$501,$BJ474)))</f>
        <v/>
      </c>
      <c r="F474" s="6">
        <f>IF(OR($BJ474="",5&gt;設定!$B$3),"",IF(INDEX(原始資料!H$2:H$501,$BJ474)="","",INDEX(原始資料!H$2:H$501,$BJ474)))</f>
        <v/>
      </c>
      <c r="G474" s="6">
        <f>IF(OR($BJ474="",6&gt;設定!$B$3),"",IF(INDEX(原始資料!I$2:I$501,$BJ474)="","",INDEX(原始資料!I$2:I$501,$BJ474)))</f>
        <v/>
      </c>
      <c r="H474" s="6">
        <f>IF(OR($BJ474="",7&gt;設定!$B$3),"",IF(INDEX(原始資料!J$2:J$501,$BJ474)="","",INDEX(原始資料!J$2:J$501,$BJ474)))</f>
        <v/>
      </c>
      <c r="I474" s="6">
        <f>IF(OR($BJ474="",8&gt;設定!$B$3),"",IF(INDEX(原始資料!K$2:K$501,$BJ474)="","",INDEX(原始資料!K$2:K$501,$BJ474)))</f>
        <v/>
      </c>
      <c r="J474" s="6">
        <f>IF(OR($BJ474="",9&gt;設定!$B$3),"",IF(INDEX(原始資料!L$2:L$501,$BJ474)="","",INDEX(原始資料!L$2:L$501,$BJ474)))</f>
        <v/>
      </c>
      <c r="K474" s="6">
        <f>IF(OR($BJ474="",10&gt;設定!$B$3),"",IF(INDEX(原始資料!M$2:M$501,$BJ474)="","",INDEX(原始資料!M$2:M$501,$BJ474)))</f>
        <v/>
      </c>
      <c r="L474" s="6">
        <f>IF(OR($BJ474="",11&gt;設定!$B$3),"",IF(INDEX(原始資料!N$2:N$501,$BJ474)="","",INDEX(原始資料!N$2:N$501,$BJ474)))</f>
        <v/>
      </c>
      <c r="M474" s="6">
        <f>IF(OR($BJ474="",12&gt;設定!$B$3),"",IF(INDEX(原始資料!O$2:O$501,$BJ474)="","",INDEX(原始資料!O$2:O$501,$BJ474)))</f>
        <v/>
      </c>
      <c r="N474" s="6">
        <f>IF(OR($BJ474="",13&gt;設定!$B$3),"",IF(INDEX(原始資料!P$2:P$501,$BJ474)="","",INDEX(原始資料!P$2:P$501,$BJ474)))</f>
        <v/>
      </c>
      <c r="O474" s="6">
        <f>IF(OR($BJ474="",14&gt;設定!$B$3),"",IF(INDEX(原始資料!Q$2:Q$501,$BJ474)="","",INDEX(原始資料!Q$2:Q$501,$BJ474)))</f>
        <v/>
      </c>
      <c r="P474" s="6">
        <f>IF(OR($BJ474="",15&gt;設定!$B$3),"",IF(INDEX(原始資料!R$2:R$501,$BJ474)="","",INDEX(原始資料!R$2:R$501,$BJ474)))</f>
        <v/>
      </c>
      <c r="Q474" s="6">
        <f>IF(OR($BJ474="",16&gt;設定!$B$3),"",IF(INDEX(原始資料!S$2:S$501,$BJ474)="","",INDEX(原始資料!S$2:S$501,$BJ474)))</f>
        <v/>
      </c>
      <c r="R474" s="6">
        <f>IF(OR($BJ474="",17&gt;設定!$B$3),"",IF(INDEX(原始資料!T$2:T$501,$BJ474)="","",INDEX(原始資料!T$2:T$501,$BJ474)))</f>
        <v/>
      </c>
      <c r="S474" s="6">
        <f>IF(OR($BJ474="",18&gt;設定!$B$3),"",IF(INDEX(原始資料!U$2:U$501,$BJ474)="","",INDEX(原始資料!U$2:U$501,$BJ474)))</f>
        <v/>
      </c>
      <c r="T474" s="6">
        <f>IF(OR($BJ474="",19&gt;設定!$B$3),"",IF(INDEX(原始資料!V$2:V$501,$BJ474)="","",INDEX(原始資料!V$2:V$501,$BJ474)))</f>
        <v/>
      </c>
      <c r="U474" s="6">
        <f>IF(OR($BJ474="",20&gt;設定!$B$3),"",IF(INDEX(原始資料!W$2:W$501,$BJ474)="","",INDEX(原始資料!W$2:W$501,$BJ474)))</f>
        <v/>
      </c>
      <c r="V474" s="6">
        <f>IF(OR($BJ474="",21&gt;設定!$B$3),"",IF(INDEX(原始資料!X$2:X$501,$BJ474)="","",INDEX(原始資料!X$2:X$501,$BJ474)))</f>
        <v/>
      </c>
      <c r="W474" s="6">
        <f>IF(OR($BJ474="",22&gt;設定!$B$3),"",IF(INDEX(原始資料!Y$2:Y$501,$BJ474)="","",INDEX(原始資料!Y$2:Y$501,$BJ474)))</f>
        <v/>
      </c>
      <c r="X474" s="6">
        <f>IF(OR($BJ474="",23&gt;設定!$B$3),"",IF(INDEX(原始資料!Z$2:Z$501,$BJ474)="","",INDEX(原始資料!Z$2:Z$501,$BJ474)))</f>
        <v/>
      </c>
      <c r="Y474" s="6">
        <f>IF(OR($BJ474="",24&gt;設定!$B$3),"",IF(INDEX(原始資料!AA$2:AA$501,$BJ474)="","",INDEX(原始資料!AA$2:AA$501,$BJ474)))</f>
        <v/>
      </c>
      <c r="Z474" s="6">
        <f>IF(OR($BJ474="",25&gt;設定!$B$3),"",IF(INDEX(原始資料!AB$2:AB$501,$BJ474)="","",INDEX(原始資料!AB$2:AB$501,$BJ474)))</f>
        <v/>
      </c>
      <c r="AA474" s="6">
        <f>IF(OR($BJ474="",26&gt;設定!$B$3),"",IF(INDEX(原始資料!AC$2:AC$501,$BJ474)="","",INDEX(原始資料!AC$2:AC$501,$BJ474)))</f>
        <v/>
      </c>
      <c r="AB474" s="6">
        <f>IF(OR($BJ474="",27&gt;設定!$B$3),"",IF(INDEX(原始資料!AD$2:AD$501,$BJ474)="","",INDEX(原始資料!AD$2:AD$501,$BJ474)))</f>
        <v/>
      </c>
      <c r="AC474" s="6">
        <f>IF(OR($BJ474="",28&gt;設定!$B$3),"",IF(INDEX(原始資料!AE$2:AE$501,$BJ474)="","",INDEX(原始資料!AE$2:AE$501,$BJ474)))</f>
        <v/>
      </c>
      <c r="AD474" s="6">
        <f>IF(OR($BJ474="",29&gt;設定!$B$3),"",IF(INDEX(原始資料!AF$2:AF$501,$BJ474)="","",INDEX(原始資料!AF$2:AF$501,$BJ474)))</f>
        <v/>
      </c>
      <c r="AE474" s="6">
        <f>IF(OR($BJ474="",30&gt;設定!$B$3),"",IF(INDEX(原始資料!AG$2:AG$501,$BJ474)="","",INDEX(原始資料!AG$2:AG$501,$BJ474)))</f>
        <v/>
      </c>
      <c r="AF474" s="6">
        <f>IF(OR($BJ474="",31&gt;設定!$B$3),"",IF(INDEX(原始資料!AH$2:AH$501,$BJ474)="","",INDEX(原始資料!AH$2:AH$501,$BJ474)))</f>
        <v/>
      </c>
      <c r="AG474" s="6">
        <f>IF(OR($BJ474="",32&gt;設定!$B$3),"",IF(INDEX(原始資料!AI$2:AI$501,$BJ474)="","",INDEX(原始資料!AI$2:AI$501,$BJ474)))</f>
        <v/>
      </c>
      <c r="AH474" s="6">
        <f>IF(OR($BJ474="",33&gt;設定!$B$3),"",IF(INDEX(原始資料!AJ$2:AJ$501,$BJ474)="","",INDEX(原始資料!AJ$2:AJ$501,$BJ474)))</f>
        <v/>
      </c>
      <c r="AI474" s="6">
        <f>IF(OR($BJ474="",34&gt;設定!$B$3),"",IF(INDEX(原始資料!AK$2:AK$501,$BJ474)="","",INDEX(原始資料!AK$2:AK$501,$BJ474)))</f>
        <v/>
      </c>
      <c r="AJ474" s="6">
        <f>IF(OR($BJ474="",35&gt;設定!$B$3),"",IF(INDEX(原始資料!AL$2:AL$501,$BJ474)="","",INDEX(原始資料!AL$2:AL$501,$BJ474)))</f>
        <v/>
      </c>
      <c r="AK474" s="6">
        <f>IF(OR($BJ474="",36&gt;設定!$B$3),"",IF(INDEX(原始資料!AM$2:AM$501,$BJ474)="","",INDEX(原始資料!AM$2:AM$501,$BJ474)))</f>
        <v/>
      </c>
      <c r="AL474" s="6">
        <f>IF(OR($BJ474="",37&gt;設定!$B$3),"",IF(INDEX(原始資料!AN$2:AN$501,$BJ474)="","",INDEX(原始資料!AN$2:AN$501,$BJ474)))</f>
        <v/>
      </c>
      <c r="AM474" s="6">
        <f>IF(OR($BJ474="",38&gt;設定!$B$3),"",IF(INDEX(原始資料!AO$2:AO$501,$BJ474)="","",INDEX(原始資料!AO$2:AO$501,$BJ474)))</f>
        <v/>
      </c>
      <c r="AN474" s="6">
        <f>IF(OR($BJ474="",39&gt;設定!$B$3),"",IF(INDEX(原始資料!AP$2:AP$501,$BJ474)="","",INDEX(原始資料!AP$2:AP$501,$BJ474)))</f>
        <v/>
      </c>
      <c r="AO474" s="6">
        <f>IF(OR($BJ474="",40&gt;設定!$B$3),"",IF(INDEX(原始資料!AQ$2:AQ$501,$BJ474)="","",INDEX(原始資料!AQ$2:AQ$501,$BJ474)))</f>
        <v/>
      </c>
      <c r="AP474" s="6">
        <f>IF(OR($BJ474="",41&gt;設定!$B$3),"",IF(INDEX(原始資料!AR$2:AR$501,$BJ474)="","",INDEX(原始資料!AR$2:AR$501,$BJ474)))</f>
        <v/>
      </c>
      <c r="AQ474" s="6">
        <f>IF(OR($BJ474="",42&gt;設定!$B$3),"",IF(INDEX(原始資料!AS$2:AS$501,$BJ474)="","",INDEX(原始資料!AS$2:AS$501,$BJ474)))</f>
        <v/>
      </c>
      <c r="AR474" s="6">
        <f>IF(OR($BJ474="",43&gt;設定!$B$3),"",IF(INDEX(原始資料!AT$2:AT$501,$BJ474)="","",INDEX(原始資料!AT$2:AT$501,$BJ474)))</f>
        <v/>
      </c>
      <c r="AS474" s="6">
        <f>IF(OR($BJ474="",44&gt;設定!$B$3),"",IF(INDEX(原始資料!AU$2:AU$501,$BJ474)="","",INDEX(原始資料!AU$2:AU$501,$BJ474)))</f>
        <v/>
      </c>
      <c r="AT474" s="6">
        <f>IF(OR($BJ474="",45&gt;設定!$B$3),"",IF(INDEX(原始資料!AV$2:AV$501,$BJ474)="","",INDEX(原始資料!AV$2:AV$501,$BJ474)))</f>
        <v/>
      </c>
      <c r="AU474" s="6">
        <f>IF(OR($BJ474="",46&gt;設定!$B$3),"",IF(INDEX(原始資料!AW$2:AW$501,$BJ474)="","",INDEX(原始資料!AW$2:AW$501,$BJ474)))</f>
        <v/>
      </c>
      <c r="AV474" s="6">
        <f>IF(OR($BJ474="",47&gt;設定!$B$3),"",IF(INDEX(原始資料!AX$2:AX$501,$BJ474)="","",INDEX(原始資料!AX$2:AX$501,$BJ474)))</f>
        <v/>
      </c>
      <c r="AW474" s="6">
        <f>IF(OR($BJ474="",48&gt;設定!$B$3),"",IF(INDEX(原始資料!AY$2:AY$501,$BJ474)="","",INDEX(原始資料!AY$2:AY$501,$BJ474)))</f>
        <v/>
      </c>
      <c r="AX474" s="6">
        <f>IF(OR($BJ474="",49&gt;設定!$B$3),"",IF(INDEX(原始資料!AZ$2:AZ$501,$BJ474)="","",INDEX(原始資料!AZ$2:AZ$501,$BJ474)))</f>
        <v/>
      </c>
      <c r="AY474" s="6">
        <f>IF(OR($BJ474="",50&gt;設定!$B$3),"",IF(INDEX(原始資料!BA$2:BA$501,$BJ474)="","",INDEX(原始資料!BA$2:BA$501,$BJ474)))</f>
        <v/>
      </c>
      <c r="AZ474" s="6">
        <f>IF(OR($BJ474="",51&gt;設定!$B$3),"",IF(INDEX(原始資料!BB$2:BB$501,$BJ474)="","",INDEX(原始資料!BB$2:BB$501,$BJ474)))</f>
        <v/>
      </c>
      <c r="BA474" s="6">
        <f>IF(OR($BJ474="",52&gt;設定!$B$3),"",IF(INDEX(原始資料!BC$2:BC$501,$BJ474)="","",INDEX(原始資料!BC$2:BC$501,$BJ474)))</f>
        <v/>
      </c>
      <c r="BB474" s="6">
        <f>IF(OR($BJ474="",53&gt;設定!$B$3),"",IF(INDEX(原始資料!BD$2:BD$501,$BJ474)="","",INDEX(原始資料!BD$2:BD$501,$BJ474)))</f>
        <v/>
      </c>
      <c r="BC474" s="6">
        <f>IF(OR($BJ474="",54&gt;設定!$B$3),"",IF(INDEX(原始資料!BE$2:BE$501,$BJ474)="","",INDEX(原始資料!BE$2:BE$501,$BJ474)))</f>
        <v/>
      </c>
      <c r="BD474" s="6">
        <f>IF(OR($BJ474="",55&gt;設定!$B$3),"",IF(INDEX(原始資料!BF$2:BF$501,$BJ474)="","",INDEX(原始資料!BF$2:BF$501,$BJ474)))</f>
        <v/>
      </c>
      <c r="BE474" s="6">
        <f>IF(OR($BJ474="",56&gt;設定!$B$3),"",IF(INDEX(原始資料!BG$2:BG$501,$BJ474)="","",INDEX(原始資料!BG$2:BG$501,$BJ474)))</f>
        <v/>
      </c>
      <c r="BF474" s="6">
        <f>IF(OR($BJ474="",57&gt;設定!$B$3),"",IF(INDEX(原始資料!BH$2:BH$501,$BJ474)="","",INDEX(原始資料!BH$2:BH$501,$BJ474)))</f>
        <v/>
      </c>
      <c r="BG474" s="6">
        <f>IF(OR($BJ474="",58&gt;設定!$B$3),"",IF(INDEX(原始資料!BI$2:BI$501,$BJ474)="","",INDEX(原始資料!BI$2:BI$501,$BJ474)))</f>
        <v/>
      </c>
      <c r="BH474" s="6">
        <f>IF(OR($BJ474="",59&gt;設定!$B$3),"",IF(INDEX(原始資料!BJ$2:BJ$501,$BJ474)="","",INDEX(原始資料!BJ$2:BJ$501,$BJ474)))</f>
        <v/>
      </c>
      <c r="BI474" s="6">
        <f>IF(OR($BJ474="",60&gt;設定!$B$3),"",IF(INDEX(原始資料!BK$2:BK$501,$BJ474)="","",INDEX(原始資料!BK$2:BK$501,$BJ474)))</f>
        <v/>
      </c>
      <c r="BJ474" s="6">
        <f>IFERROR(MATCH(ROW()-1,判定!$H$2:$H$501,0),"")</f>
        <v/>
      </c>
    </row>
    <row r="475">
      <c r="A475" s="6">
        <f>IF($BJ475="","",INDEX(原始資料!$A$2:$A$501,$BJ475))</f>
        <v/>
      </c>
      <c r="B475" s="6">
        <f>IF(OR($BJ475="",1&gt;設定!$B$3),"",IF(INDEX(原始資料!D$2:D$501,$BJ475)="","",INDEX(原始資料!D$2:D$501,$BJ475)))</f>
        <v/>
      </c>
      <c r="C475" s="6">
        <f>IF(OR($BJ475="",2&gt;設定!$B$3),"",IF(INDEX(原始資料!E$2:E$501,$BJ475)="","",INDEX(原始資料!E$2:E$501,$BJ475)))</f>
        <v/>
      </c>
      <c r="D475" s="6">
        <f>IF(OR($BJ475="",3&gt;設定!$B$3),"",IF(INDEX(原始資料!F$2:F$501,$BJ475)="","",INDEX(原始資料!F$2:F$501,$BJ475)))</f>
        <v/>
      </c>
      <c r="E475" s="6">
        <f>IF(OR($BJ475="",4&gt;設定!$B$3),"",IF(INDEX(原始資料!G$2:G$501,$BJ475)="","",INDEX(原始資料!G$2:G$501,$BJ475)))</f>
        <v/>
      </c>
      <c r="F475" s="6">
        <f>IF(OR($BJ475="",5&gt;設定!$B$3),"",IF(INDEX(原始資料!H$2:H$501,$BJ475)="","",INDEX(原始資料!H$2:H$501,$BJ475)))</f>
        <v/>
      </c>
      <c r="G475" s="6">
        <f>IF(OR($BJ475="",6&gt;設定!$B$3),"",IF(INDEX(原始資料!I$2:I$501,$BJ475)="","",INDEX(原始資料!I$2:I$501,$BJ475)))</f>
        <v/>
      </c>
      <c r="H475" s="6">
        <f>IF(OR($BJ475="",7&gt;設定!$B$3),"",IF(INDEX(原始資料!J$2:J$501,$BJ475)="","",INDEX(原始資料!J$2:J$501,$BJ475)))</f>
        <v/>
      </c>
      <c r="I475" s="6">
        <f>IF(OR($BJ475="",8&gt;設定!$B$3),"",IF(INDEX(原始資料!K$2:K$501,$BJ475)="","",INDEX(原始資料!K$2:K$501,$BJ475)))</f>
        <v/>
      </c>
      <c r="J475" s="6">
        <f>IF(OR($BJ475="",9&gt;設定!$B$3),"",IF(INDEX(原始資料!L$2:L$501,$BJ475)="","",INDEX(原始資料!L$2:L$501,$BJ475)))</f>
        <v/>
      </c>
      <c r="K475" s="6">
        <f>IF(OR($BJ475="",10&gt;設定!$B$3),"",IF(INDEX(原始資料!M$2:M$501,$BJ475)="","",INDEX(原始資料!M$2:M$501,$BJ475)))</f>
        <v/>
      </c>
      <c r="L475" s="6">
        <f>IF(OR($BJ475="",11&gt;設定!$B$3),"",IF(INDEX(原始資料!N$2:N$501,$BJ475)="","",INDEX(原始資料!N$2:N$501,$BJ475)))</f>
        <v/>
      </c>
      <c r="M475" s="6">
        <f>IF(OR($BJ475="",12&gt;設定!$B$3),"",IF(INDEX(原始資料!O$2:O$501,$BJ475)="","",INDEX(原始資料!O$2:O$501,$BJ475)))</f>
        <v/>
      </c>
      <c r="N475" s="6">
        <f>IF(OR($BJ475="",13&gt;設定!$B$3),"",IF(INDEX(原始資料!P$2:P$501,$BJ475)="","",INDEX(原始資料!P$2:P$501,$BJ475)))</f>
        <v/>
      </c>
      <c r="O475" s="6">
        <f>IF(OR($BJ475="",14&gt;設定!$B$3),"",IF(INDEX(原始資料!Q$2:Q$501,$BJ475)="","",INDEX(原始資料!Q$2:Q$501,$BJ475)))</f>
        <v/>
      </c>
      <c r="P475" s="6">
        <f>IF(OR($BJ475="",15&gt;設定!$B$3),"",IF(INDEX(原始資料!R$2:R$501,$BJ475)="","",INDEX(原始資料!R$2:R$501,$BJ475)))</f>
        <v/>
      </c>
      <c r="Q475" s="6">
        <f>IF(OR($BJ475="",16&gt;設定!$B$3),"",IF(INDEX(原始資料!S$2:S$501,$BJ475)="","",INDEX(原始資料!S$2:S$501,$BJ475)))</f>
        <v/>
      </c>
      <c r="R475" s="6">
        <f>IF(OR($BJ475="",17&gt;設定!$B$3),"",IF(INDEX(原始資料!T$2:T$501,$BJ475)="","",INDEX(原始資料!T$2:T$501,$BJ475)))</f>
        <v/>
      </c>
      <c r="S475" s="6">
        <f>IF(OR($BJ475="",18&gt;設定!$B$3),"",IF(INDEX(原始資料!U$2:U$501,$BJ475)="","",INDEX(原始資料!U$2:U$501,$BJ475)))</f>
        <v/>
      </c>
      <c r="T475" s="6">
        <f>IF(OR($BJ475="",19&gt;設定!$B$3),"",IF(INDEX(原始資料!V$2:V$501,$BJ475)="","",INDEX(原始資料!V$2:V$501,$BJ475)))</f>
        <v/>
      </c>
      <c r="U475" s="6">
        <f>IF(OR($BJ475="",20&gt;設定!$B$3),"",IF(INDEX(原始資料!W$2:W$501,$BJ475)="","",INDEX(原始資料!W$2:W$501,$BJ475)))</f>
        <v/>
      </c>
      <c r="V475" s="6">
        <f>IF(OR($BJ475="",21&gt;設定!$B$3),"",IF(INDEX(原始資料!X$2:X$501,$BJ475)="","",INDEX(原始資料!X$2:X$501,$BJ475)))</f>
        <v/>
      </c>
      <c r="W475" s="6">
        <f>IF(OR($BJ475="",22&gt;設定!$B$3),"",IF(INDEX(原始資料!Y$2:Y$501,$BJ475)="","",INDEX(原始資料!Y$2:Y$501,$BJ475)))</f>
        <v/>
      </c>
      <c r="X475" s="6">
        <f>IF(OR($BJ475="",23&gt;設定!$B$3),"",IF(INDEX(原始資料!Z$2:Z$501,$BJ475)="","",INDEX(原始資料!Z$2:Z$501,$BJ475)))</f>
        <v/>
      </c>
      <c r="Y475" s="6">
        <f>IF(OR($BJ475="",24&gt;設定!$B$3),"",IF(INDEX(原始資料!AA$2:AA$501,$BJ475)="","",INDEX(原始資料!AA$2:AA$501,$BJ475)))</f>
        <v/>
      </c>
      <c r="Z475" s="6">
        <f>IF(OR($BJ475="",25&gt;設定!$B$3),"",IF(INDEX(原始資料!AB$2:AB$501,$BJ475)="","",INDEX(原始資料!AB$2:AB$501,$BJ475)))</f>
        <v/>
      </c>
      <c r="AA475" s="6">
        <f>IF(OR($BJ475="",26&gt;設定!$B$3),"",IF(INDEX(原始資料!AC$2:AC$501,$BJ475)="","",INDEX(原始資料!AC$2:AC$501,$BJ475)))</f>
        <v/>
      </c>
      <c r="AB475" s="6">
        <f>IF(OR($BJ475="",27&gt;設定!$B$3),"",IF(INDEX(原始資料!AD$2:AD$501,$BJ475)="","",INDEX(原始資料!AD$2:AD$501,$BJ475)))</f>
        <v/>
      </c>
      <c r="AC475" s="6">
        <f>IF(OR($BJ475="",28&gt;設定!$B$3),"",IF(INDEX(原始資料!AE$2:AE$501,$BJ475)="","",INDEX(原始資料!AE$2:AE$501,$BJ475)))</f>
        <v/>
      </c>
      <c r="AD475" s="6">
        <f>IF(OR($BJ475="",29&gt;設定!$B$3),"",IF(INDEX(原始資料!AF$2:AF$501,$BJ475)="","",INDEX(原始資料!AF$2:AF$501,$BJ475)))</f>
        <v/>
      </c>
      <c r="AE475" s="6">
        <f>IF(OR($BJ475="",30&gt;設定!$B$3),"",IF(INDEX(原始資料!AG$2:AG$501,$BJ475)="","",INDEX(原始資料!AG$2:AG$501,$BJ475)))</f>
        <v/>
      </c>
      <c r="AF475" s="6">
        <f>IF(OR($BJ475="",31&gt;設定!$B$3),"",IF(INDEX(原始資料!AH$2:AH$501,$BJ475)="","",INDEX(原始資料!AH$2:AH$501,$BJ475)))</f>
        <v/>
      </c>
      <c r="AG475" s="6">
        <f>IF(OR($BJ475="",32&gt;設定!$B$3),"",IF(INDEX(原始資料!AI$2:AI$501,$BJ475)="","",INDEX(原始資料!AI$2:AI$501,$BJ475)))</f>
        <v/>
      </c>
      <c r="AH475" s="6">
        <f>IF(OR($BJ475="",33&gt;設定!$B$3),"",IF(INDEX(原始資料!AJ$2:AJ$501,$BJ475)="","",INDEX(原始資料!AJ$2:AJ$501,$BJ475)))</f>
        <v/>
      </c>
      <c r="AI475" s="6">
        <f>IF(OR($BJ475="",34&gt;設定!$B$3),"",IF(INDEX(原始資料!AK$2:AK$501,$BJ475)="","",INDEX(原始資料!AK$2:AK$501,$BJ475)))</f>
        <v/>
      </c>
      <c r="AJ475" s="6">
        <f>IF(OR($BJ475="",35&gt;設定!$B$3),"",IF(INDEX(原始資料!AL$2:AL$501,$BJ475)="","",INDEX(原始資料!AL$2:AL$501,$BJ475)))</f>
        <v/>
      </c>
      <c r="AK475" s="6">
        <f>IF(OR($BJ475="",36&gt;設定!$B$3),"",IF(INDEX(原始資料!AM$2:AM$501,$BJ475)="","",INDEX(原始資料!AM$2:AM$501,$BJ475)))</f>
        <v/>
      </c>
      <c r="AL475" s="6">
        <f>IF(OR($BJ475="",37&gt;設定!$B$3),"",IF(INDEX(原始資料!AN$2:AN$501,$BJ475)="","",INDEX(原始資料!AN$2:AN$501,$BJ475)))</f>
        <v/>
      </c>
      <c r="AM475" s="6">
        <f>IF(OR($BJ475="",38&gt;設定!$B$3),"",IF(INDEX(原始資料!AO$2:AO$501,$BJ475)="","",INDEX(原始資料!AO$2:AO$501,$BJ475)))</f>
        <v/>
      </c>
      <c r="AN475" s="6">
        <f>IF(OR($BJ475="",39&gt;設定!$B$3),"",IF(INDEX(原始資料!AP$2:AP$501,$BJ475)="","",INDEX(原始資料!AP$2:AP$501,$BJ475)))</f>
        <v/>
      </c>
      <c r="AO475" s="6">
        <f>IF(OR($BJ475="",40&gt;設定!$B$3),"",IF(INDEX(原始資料!AQ$2:AQ$501,$BJ475)="","",INDEX(原始資料!AQ$2:AQ$501,$BJ475)))</f>
        <v/>
      </c>
      <c r="AP475" s="6">
        <f>IF(OR($BJ475="",41&gt;設定!$B$3),"",IF(INDEX(原始資料!AR$2:AR$501,$BJ475)="","",INDEX(原始資料!AR$2:AR$501,$BJ475)))</f>
        <v/>
      </c>
      <c r="AQ475" s="6">
        <f>IF(OR($BJ475="",42&gt;設定!$B$3),"",IF(INDEX(原始資料!AS$2:AS$501,$BJ475)="","",INDEX(原始資料!AS$2:AS$501,$BJ475)))</f>
        <v/>
      </c>
      <c r="AR475" s="6">
        <f>IF(OR($BJ475="",43&gt;設定!$B$3),"",IF(INDEX(原始資料!AT$2:AT$501,$BJ475)="","",INDEX(原始資料!AT$2:AT$501,$BJ475)))</f>
        <v/>
      </c>
      <c r="AS475" s="6">
        <f>IF(OR($BJ475="",44&gt;設定!$B$3),"",IF(INDEX(原始資料!AU$2:AU$501,$BJ475)="","",INDEX(原始資料!AU$2:AU$501,$BJ475)))</f>
        <v/>
      </c>
      <c r="AT475" s="6">
        <f>IF(OR($BJ475="",45&gt;設定!$B$3),"",IF(INDEX(原始資料!AV$2:AV$501,$BJ475)="","",INDEX(原始資料!AV$2:AV$501,$BJ475)))</f>
        <v/>
      </c>
      <c r="AU475" s="6">
        <f>IF(OR($BJ475="",46&gt;設定!$B$3),"",IF(INDEX(原始資料!AW$2:AW$501,$BJ475)="","",INDEX(原始資料!AW$2:AW$501,$BJ475)))</f>
        <v/>
      </c>
      <c r="AV475" s="6">
        <f>IF(OR($BJ475="",47&gt;設定!$B$3),"",IF(INDEX(原始資料!AX$2:AX$501,$BJ475)="","",INDEX(原始資料!AX$2:AX$501,$BJ475)))</f>
        <v/>
      </c>
      <c r="AW475" s="6">
        <f>IF(OR($BJ475="",48&gt;設定!$B$3),"",IF(INDEX(原始資料!AY$2:AY$501,$BJ475)="","",INDEX(原始資料!AY$2:AY$501,$BJ475)))</f>
        <v/>
      </c>
      <c r="AX475" s="6">
        <f>IF(OR($BJ475="",49&gt;設定!$B$3),"",IF(INDEX(原始資料!AZ$2:AZ$501,$BJ475)="","",INDEX(原始資料!AZ$2:AZ$501,$BJ475)))</f>
        <v/>
      </c>
      <c r="AY475" s="6">
        <f>IF(OR($BJ475="",50&gt;設定!$B$3),"",IF(INDEX(原始資料!BA$2:BA$501,$BJ475)="","",INDEX(原始資料!BA$2:BA$501,$BJ475)))</f>
        <v/>
      </c>
      <c r="AZ475" s="6">
        <f>IF(OR($BJ475="",51&gt;設定!$B$3),"",IF(INDEX(原始資料!BB$2:BB$501,$BJ475)="","",INDEX(原始資料!BB$2:BB$501,$BJ475)))</f>
        <v/>
      </c>
      <c r="BA475" s="6">
        <f>IF(OR($BJ475="",52&gt;設定!$B$3),"",IF(INDEX(原始資料!BC$2:BC$501,$BJ475)="","",INDEX(原始資料!BC$2:BC$501,$BJ475)))</f>
        <v/>
      </c>
      <c r="BB475" s="6">
        <f>IF(OR($BJ475="",53&gt;設定!$B$3),"",IF(INDEX(原始資料!BD$2:BD$501,$BJ475)="","",INDEX(原始資料!BD$2:BD$501,$BJ475)))</f>
        <v/>
      </c>
      <c r="BC475" s="6">
        <f>IF(OR($BJ475="",54&gt;設定!$B$3),"",IF(INDEX(原始資料!BE$2:BE$501,$BJ475)="","",INDEX(原始資料!BE$2:BE$501,$BJ475)))</f>
        <v/>
      </c>
      <c r="BD475" s="6">
        <f>IF(OR($BJ475="",55&gt;設定!$B$3),"",IF(INDEX(原始資料!BF$2:BF$501,$BJ475)="","",INDEX(原始資料!BF$2:BF$501,$BJ475)))</f>
        <v/>
      </c>
      <c r="BE475" s="6">
        <f>IF(OR($BJ475="",56&gt;設定!$B$3),"",IF(INDEX(原始資料!BG$2:BG$501,$BJ475)="","",INDEX(原始資料!BG$2:BG$501,$BJ475)))</f>
        <v/>
      </c>
      <c r="BF475" s="6">
        <f>IF(OR($BJ475="",57&gt;設定!$B$3),"",IF(INDEX(原始資料!BH$2:BH$501,$BJ475)="","",INDEX(原始資料!BH$2:BH$501,$BJ475)))</f>
        <v/>
      </c>
      <c r="BG475" s="6">
        <f>IF(OR($BJ475="",58&gt;設定!$B$3),"",IF(INDEX(原始資料!BI$2:BI$501,$BJ475)="","",INDEX(原始資料!BI$2:BI$501,$BJ475)))</f>
        <v/>
      </c>
      <c r="BH475" s="6">
        <f>IF(OR($BJ475="",59&gt;設定!$B$3),"",IF(INDEX(原始資料!BJ$2:BJ$501,$BJ475)="","",INDEX(原始資料!BJ$2:BJ$501,$BJ475)))</f>
        <v/>
      </c>
      <c r="BI475" s="6">
        <f>IF(OR($BJ475="",60&gt;設定!$B$3),"",IF(INDEX(原始資料!BK$2:BK$501,$BJ475)="","",INDEX(原始資料!BK$2:BK$501,$BJ475)))</f>
        <v/>
      </c>
      <c r="BJ475" s="6">
        <f>IFERROR(MATCH(ROW()-1,判定!$H$2:$H$501,0),"")</f>
        <v/>
      </c>
    </row>
    <row r="476">
      <c r="A476" s="6">
        <f>IF($BJ476="","",INDEX(原始資料!$A$2:$A$501,$BJ476))</f>
        <v/>
      </c>
      <c r="B476" s="6">
        <f>IF(OR($BJ476="",1&gt;設定!$B$3),"",IF(INDEX(原始資料!D$2:D$501,$BJ476)="","",INDEX(原始資料!D$2:D$501,$BJ476)))</f>
        <v/>
      </c>
      <c r="C476" s="6">
        <f>IF(OR($BJ476="",2&gt;設定!$B$3),"",IF(INDEX(原始資料!E$2:E$501,$BJ476)="","",INDEX(原始資料!E$2:E$501,$BJ476)))</f>
        <v/>
      </c>
      <c r="D476" s="6">
        <f>IF(OR($BJ476="",3&gt;設定!$B$3),"",IF(INDEX(原始資料!F$2:F$501,$BJ476)="","",INDEX(原始資料!F$2:F$501,$BJ476)))</f>
        <v/>
      </c>
      <c r="E476" s="6">
        <f>IF(OR($BJ476="",4&gt;設定!$B$3),"",IF(INDEX(原始資料!G$2:G$501,$BJ476)="","",INDEX(原始資料!G$2:G$501,$BJ476)))</f>
        <v/>
      </c>
      <c r="F476" s="6">
        <f>IF(OR($BJ476="",5&gt;設定!$B$3),"",IF(INDEX(原始資料!H$2:H$501,$BJ476)="","",INDEX(原始資料!H$2:H$501,$BJ476)))</f>
        <v/>
      </c>
      <c r="G476" s="6">
        <f>IF(OR($BJ476="",6&gt;設定!$B$3),"",IF(INDEX(原始資料!I$2:I$501,$BJ476)="","",INDEX(原始資料!I$2:I$501,$BJ476)))</f>
        <v/>
      </c>
      <c r="H476" s="6">
        <f>IF(OR($BJ476="",7&gt;設定!$B$3),"",IF(INDEX(原始資料!J$2:J$501,$BJ476)="","",INDEX(原始資料!J$2:J$501,$BJ476)))</f>
        <v/>
      </c>
      <c r="I476" s="6">
        <f>IF(OR($BJ476="",8&gt;設定!$B$3),"",IF(INDEX(原始資料!K$2:K$501,$BJ476)="","",INDEX(原始資料!K$2:K$501,$BJ476)))</f>
        <v/>
      </c>
      <c r="J476" s="6">
        <f>IF(OR($BJ476="",9&gt;設定!$B$3),"",IF(INDEX(原始資料!L$2:L$501,$BJ476)="","",INDEX(原始資料!L$2:L$501,$BJ476)))</f>
        <v/>
      </c>
      <c r="K476" s="6">
        <f>IF(OR($BJ476="",10&gt;設定!$B$3),"",IF(INDEX(原始資料!M$2:M$501,$BJ476)="","",INDEX(原始資料!M$2:M$501,$BJ476)))</f>
        <v/>
      </c>
      <c r="L476" s="6">
        <f>IF(OR($BJ476="",11&gt;設定!$B$3),"",IF(INDEX(原始資料!N$2:N$501,$BJ476)="","",INDEX(原始資料!N$2:N$501,$BJ476)))</f>
        <v/>
      </c>
      <c r="M476" s="6">
        <f>IF(OR($BJ476="",12&gt;設定!$B$3),"",IF(INDEX(原始資料!O$2:O$501,$BJ476)="","",INDEX(原始資料!O$2:O$501,$BJ476)))</f>
        <v/>
      </c>
      <c r="N476" s="6">
        <f>IF(OR($BJ476="",13&gt;設定!$B$3),"",IF(INDEX(原始資料!P$2:P$501,$BJ476)="","",INDEX(原始資料!P$2:P$501,$BJ476)))</f>
        <v/>
      </c>
      <c r="O476" s="6">
        <f>IF(OR($BJ476="",14&gt;設定!$B$3),"",IF(INDEX(原始資料!Q$2:Q$501,$BJ476)="","",INDEX(原始資料!Q$2:Q$501,$BJ476)))</f>
        <v/>
      </c>
      <c r="P476" s="6">
        <f>IF(OR($BJ476="",15&gt;設定!$B$3),"",IF(INDEX(原始資料!R$2:R$501,$BJ476)="","",INDEX(原始資料!R$2:R$501,$BJ476)))</f>
        <v/>
      </c>
      <c r="Q476" s="6">
        <f>IF(OR($BJ476="",16&gt;設定!$B$3),"",IF(INDEX(原始資料!S$2:S$501,$BJ476)="","",INDEX(原始資料!S$2:S$501,$BJ476)))</f>
        <v/>
      </c>
      <c r="R476" s="6">
        <f>IF(OR($BJ476="",17&gt;設定!$B$3),"",IF(INDEX(原始資料!T$2:T$501,$BJ476)="","",INDEX(原始資料!T$2:T$501,$BJ476)))</f>
        <v/>
      </c>
      <c r="S476" s="6">
        <f>IF(OR($BJ476="",18&gt;設定!$B$3),"",IF(INDEX(原始資料!U$2:U$501,$BJ476)="","",INDEX(原始資料!U$2:U$501,$BJ476)))</f>
        <v/>
      </c>
      <c r="T476" s="6">
        <f>IF(OR($BJ476="",19&gt;設定!$B$3),"",IF(INDEX(原始資料!V$2:V$501,$BJ476)="","",INDEX(原始資料!V$2:V$501,$BJ476)))</f>
        <v/>
      </c>
      <c r="U476" s="6">
        <f>IF(OR($BJ476="",20&gt;設定!$B$3),"",IF(INDEX(原始資料!W$2:W$501,$BJ476)="","",INDEX(原始資料!W$2:W$501,$BJ476)))</f>
        <v/>
      </c>
      <c r="V476" s="6">
        <f>IF(OR($BJ476="",21&gt;設定!$B$3),"",IF(INDEX(原始資料!X$2:X$501,$BJ476)="","",INDEX(原始資料!X$2:X$501,$BJ476)))</f>
        <v/>
      </c>
      <c r="W476" s="6">
        <f>IF(OR($BJ476="",22&gt;設定!$B$3),"",IF(INDEX(原始資料!Y$2:Y$501,$BJ476)="","",INDEX(原始資料!Y$2:Y$501,$BJ476)))</f>
        <v/>
      </c>
      <c r="X476" s="6">
        <f>IF(OR($BJ476="",23&gt;設定!$B$3),"",IF(INDEX(原始資料!Z$2:Z$501,$BJ476)="","",INDEX(原始資料!Z$2:Z$501,$BJ476)))</f>
        <v/>
      </c>
      <c r="Y476" s="6">
        <f>IF(OR($BJ476="",24&gt;設定!$B$3),"",IF(INDEX(原始資料!AA$2:AA$501,$BJ476)="","",INDEX(原始資料!AA$2:AA$501,$BJ476)))</f>
        <v/>
      </c>
      <c r="Z476" s="6">
        <f>IF(OR($BJ476="",25&gt;設定!$B$3),"",IF(INDEX(原始資料!AB$2:AB$501,$BJ476)="","",INDEX(原始資料!AB$2:AB$501,$BJ476)))</f>
        <v/>
      </c>
      <c r="AA476" s="6">
        <f>IF(OR($BJ476="",26&gt;設定!$B$3),"",IF(INDEX(原始資料!AC$2:AC$501,$BJ476)="","",INDEX(原始資料!AC$2:AC$501,$BJ476)))</f>
        <v/>
      </c>
      <c r="AB476" s="6">
        <f>IF(OR($BJ476="",27&gt;設定!$B$3),"",IF(INDEX(原始資料!AD$2:AD$501,$BJ476)="","",INDEX(原始資料!AD$2:AD$501,$BJ476)))</f>
        <v/>
      </c>
      <c r="AC476" s="6">
        <f>IF(OR($BJ476="",28&gt;設定!$B$3),"",IF(INDEX(原始資料!AE$2:AE$501,$BJ476)="","",INDEX(原始資料!AE$2:AE$501,$BJ476)))</f>
        <v/>
      </c>
      <c r="AD476" s="6">
        <f>IF(OR($BJ476="",29&gt;設定!$B$3),"",IF(INDEX(原始資料!AF$2:AF$501,$BJ476)="","",INDEX(原始資料!AF$2:AF$501,$BJ476)))</f>
        <v/>
      </c>
      <c r="AE476" s="6">
        <f>IF(OR($BJ476="",30&gt;設定!$B$3),"",IF(INDEX(原始資料!AG$2:AG$501,$BJ476)="","",INDEX(原始資料!AG$2:AG$501,$BJ476)))</f>
        <v/>
      </c>
      <c r="AF476" s="6">
        <f>IF(OR($BJ476="",31&gt;設定!$B$3),"",IF(INDEX(原始資料!AH$2:AH$501,$BJ476)="","",INDEX(原始資料!AH$2:AH$501,$BJ476)))</f>
        <v/>
      </c>
      <c r="AG476" s="6">
        <f>IF(OR($BJ476="",32&gt;設定!$B$3),"",IF(INDEX(原始資料!AI$2:AI$501,$BJ476)="","",INDEX(原始資料!AI$2:AI$501,$BJ476)))</f>
        <v/>
      </c>
      <c r="AH476" s="6">
        <f>IF(OR($BJ476="",33&gt;設定!$B$3),"",IF(INDEX(原始資料!AJ$2:AJ$501,$BJ476)="","",INDEX(原始資料!AJ$2:AJ$501,$BJ476)))</f>
        <v/>
      </c>
      <c r="AI476" s="6">
        <f>IF(OR($BJ476="",34&gt;設定!$B$3),"",IF(INDEX(原始資料!AK$2:AK$501,$BJ476)="","",INDEX(原始資料!AK$2:AK$501,$BJ476)))</f>
        <v/>
      </c>
      <c r="AJ476" s="6">
        <f>IF(OR($BJ476="",35&gt;設定!$B$3),"",IF(INDEX(原始資料!AL$2:AL$501,$BJ476)="","",INDEX(原始資料!AL$2:AL$501,$BJ476)))</f>
        <v/>
      </c>
      <c r="AK476" s="6">
        <f>IF(OR($BJ476="",36&gt;設定!$B$3),"",IF(INDEX(原始資料!AM$2:AM$501,$BJ476)="","",INDEX(原始資料!AM$2:AM$501,$BJ476)))</f>
        <v/>
      </c>
      <c r="AL476" s="6">
        <f>IF(OR($BJ476="",37&gt;設定!$B$3),"",IF(INDEX(原始資料!AN$2:AN$501,$BJ476)="","",INDEX(原始資料!AN$2:AN$501,$BJ476)))</f>
        <v/>
      </c>
      <c r="AM476" s="6">
        <f>IF(OR($BJ476="",38&gt;設定!$B$3),"",IF(INDEX(原始資料!AO$2:AO$501,$BJ476)="","",INDEX(原始資料!AO$2:AO$501,$BJ476)))</f>
        <v/>
      </c>
      <c r="AN476" s="6">
        <f>IF(OR($BJ476="",39&gt;設定!$B$3),"",IF(INDEX(原始資料!AP$2:AP$501,$BJ476)="","",INDEX(原始資料!AP$2:AP$501,$BJ476)))</f>
        <v/>
      </c>
      <c r="AO476" s="6">
        <f>IF(OR($BJ476="",40&gt;設定!$B$3),"",IF(INDEX(原始資料!AQ$2:AQ$501,$BJ476)="","",INDEX(原始資料!AQ$2:AQ$501,$BJ476)))</f>
        <v/>
      </c>
      <c r="AP476" s="6">
        <f>IF(OR($BJ476="",41&gt;設定!$B$3),"",IF(INDEX(原始資料!AR$2:AR$501,$BJ476)="","",INDEX(原始資料!AR$2:AR$501,$BJ476)))</f>
        <v/>
      </c>
      <c r="AQ476" s="6">
        <f>IF(OR($BJ476="",42&gt;設定!$B$3),"",IF(INDEX(原始資料!AS$2:AS$501,$BJ476)="","",INDEX(原始資料!AS$2:AS$501,$BJ476)))</f>
        <v/>
      </c>
      <c r="AR476" s="6">
        <f>IF(OR($BJ476="",43&gt;設定!$B$3),"",IF(INDEX(原始資料!AT$2:AT$501,$BJ476)="","",INDEX(原始資料!AT$2:AT$501,$BJ476)))</f>
        <v/>
      </c>
      <c r="AS476" s="6">
        <f>IF(OR($BJ476="",44&gt;設定!$B$3),"",IF(INDEX(原始資料!AU$2:AU$501,$BJ476)="","",INDEX(原始資料!AU$2:AU$501,$BJ476)))</f>
        <v/>
      </c>
      <c r="AT476" s="6">
        <f>IF(OR($BJ476="",45&gt;設定!$B$3),"",IF(INDEX(原始資料!AV$2:AV$501,$BJ476)="","",INDEX(原始資料!AV$2:AV$501,$BJ476)))</f>
        <v/>
      </c>
      <c r="AU476" s="6">
        <f>IF(OR($BJ476="",46&gt;設定!$B$3),"",IF(INDEX(原始資料!AW$2:AW$501,$BJ476)="","",INDEX(原始資料!AW$2:AW$501,$BJ476)))</f>
        <v/>
      </c>
      <c r="AV476" s="6">
        <f>IF(OR($BJ476="",47&gt;設定!$B$3),"",IF(INDEX(原始資料!AX$2:AX$501,$BJ476)="","",INDEX(原始資料!AX$2:AX$501,$BJ476)))</f>
        <v/>
      </c>
      <c r="AW476" s="6">
        <f>IF(OR($BJ476="",48&gt;設定!$B$3),"",IF(INDEX(原始資料!AY$2:AY$501,$BJ476)="","",INDEX(原始資料!AY$2:AY$501,$BJ476)))</f>
        <v/>
      </c>
      <c r="AX476" s="6">
        <f>IF(OR($BJ476="",49&gt;設定!$B$3),"",IF(INDEX(原始資料!AZ$2:AZ$501,$BJ476)="","",INDEX(原始資料!AZ$2:AZ$501,$BJ476)))</f>
        <v/>
      </c>
      <c r="AY476" s="6">
        <f>IF(OR($BJ476="",50&gt;設定!$B$3),"",IF(INDEX(原始資料!BA$2:BA$501,$BJ476)="","",INDEX(原始資料!BA$2:BA$501,$BJ476)))</f>
        <v/>
      </c>
      <c r="AZ476" s="6">
        <f>IF(OR($BJ476="",51&gt;設定!$B$3),"",IF(INDEX(原始資料!BB$2:BB$501,$BJ476)="","",INDEX(原始資料!BB$2:BB$501,$BJ476)))</f>
        <v/>
      </c>
      <c r="BA476" s="6">
        <f>IF(OR($BJ476="",52&gt;設定!$B$3),"",IF(INDEX(原始資料!BC$2:BC$501,$BJ476)="","",INDEX(原始資料!BC$2:BC$501,$BJ476)))</f>
        <v/>
      </c>
      <c r="BB476" s="6">
        <f>IF(OR($BJ476="",53&gt;設定!$B$3),"",IF(INDEX(原始資料!BD$2:BD$501,$BJ476)="","",INDEX(原始資料!BD$2:BD$501,$BJ476)))</f>
        <v/>
      </c>
      <c r="BC476" s="6">
        <f>IF(OR($BJ476="",54&gt;設定!$B$3),"",IF(INDEX(原始資料!BE$2:BE$501,$BJ476)="","",INDEX(原始資料!BE$2:BE$501,$BJ476)))</f>
        <v/>
      </c>
      <c r="BD476" s="6">
        <f>IF(OR($BJ476="",55&gt;設定!$B$3),"",IF(INDEX(原始資料!BF$2:BF$501,$BJ476)="","",INDEX(原始資料!BF$2:BF$501,$BJ476)))</f>
        <v/>
      </c>
      <c r="BE476" s="6">
        <f>IF(OR($BJ476="",56&gt;設定!$B$3),"",IF(INDEX(原始資料!BG$2:BG$501,$BJ476)="","",INDEX(原始資料!BG$2:BG$501,$BJ476)))</f>
        <v/>
      </c>
      <c r="BF476" s="6">
        <f>IF(OR($BJ476="",57&gt;設定!$B$3),"",IF(INDEX(原始資料!BH$2:BH$501,$BJ476)="","",INDEX(原始資料!BH$2:BH$501,$BJ476)))</f>
        <v/>
      </c>
      <c r="BG476" s="6">
        <f>IF(OR($BJ476="",58&gt;設定!$B$3),"",IF(INDEX(原始資料!BI$2:BI$501,$BJ476)="","",INDEX(原始資料!BI$2:BI$501,$BJ476)))</f>
        <v/>
      </c>
      <c r="BH476" s="6">
        <f>IF(OR($BJ476="",59&gt;設定!$B$3),"",IF(INDEX(原始資料!BJ$2:BJ$501,$BJ476)="","",INDEX(原始資料!BJ$2:BJ$501,$BJ476)))</f>
        <v/>
      </c>
      <c r="BI476" s="6">
        <f>IF(OR($BJ476="",60&gt;設定!$B$3),"",IF(INDEX(原始資料!BK$2:BK$501,$BJ476)="","",INDEX(原始資料!BK$2:BK$501,$BJ476)))</f>
        <v/>
      </c>
      <c r="BJ476" s="6">
        <f>IFERROR(MATCH(ROW()-1,判定!$H$2:$H$501,0),"")</f>
        <v/>
      </c>
    </row>
    <row r="477">
      <c r="A477" s="6">
        <f>IF($BJ477="","",INDEX(原始資料!$A$2:$A$501,$BJ477))</f>
        <v/>
      </c>
      <c r="B477" s="6">
        <f>IF(OR($BJ477="",1&gt;設定!$B$3),"",IF(INDEX(原始資料!D$2:D$501,$BJ477)="","",INDEX(原始資料!D$2:D$501,$BJ477)))</f>
        <v/>
      </c>
      <c r="C477" s="6">
        <f>IF(OR($BJ477="",2&gt;設定!$B$3),"",IF(INDEX(原始資料!E$2:E$501,$BJ477)="","",INDEX(原始資料!E$2:E$501,$BJ477)))</f>
        <v/>
      </c>
      <c r="D477" s="6">
        <f>IF(OR($BJ477="",3&gt;設定!$B$3),"",IF(INDEX(原始資料!F$2:F$501,$BJ477)="","",INDEX(原始資料!F$2:F$501,$BJ477)))</f>
        <v/>
      </c>
      <c r="E477" s="6">
        <f>IF(OR($BJ477="",4&gt;設定!$B$3),"",IF(INDEX(原始資料!G$2:G$501,$BJ477)="","",INDEX(原始資料!G$2:G$501,$BJ477)))</f>
        <v/>
      </c>
      <c r="F477" s="6">
        <f>IF(OR($BJ477="",5&gt;設定!$B$3),"",IF(INDEX(原始資料!H$2:H$501,$BJ477)="","",INDEX(原始資料!H$2:H$501,$BJ477)))</f>
        <v/>
      </c>
      <c r="G477" s="6">
        <f>IF(OR($BJ477="",6&gt;設定!$B$3),"",IF(INDEX(原始資料!I$2:I$501,$BJ477)="","",INDEX(原始資料!I$2:I$501,$BJ477)))</f>
        <v/>
      </c>
      <c r="H477" s="6">
        <f>IF(OR($BJ477="",7&gt;設定!$B$3),"",IF(INDEX(原始資料!J$2:J$501,$BJ477)="","",INDEX(原始資料!J$2:J$501,$BJ477)))</f>
        <v/>
      </c>
      <c r="I477" s="6">
        <f>IF(OR($BJ477="",8&gt;設定!$B$3),"",IF(INDEX(原始資料!K$2:K$501,$BJ477)="","",INDEX(原始資料!K$2:K$501,$BJ477)))</f>
        <v/>
      </c>
      <c r="J477" s="6">
        <f>IF(OR($BJ477="",9&gt;設定!$B$3),"",IF(INDEX(原始資料!L$2:L$501,$BJ477)="","",INDEX(原始資料!L$2:L$501,$BJ477)))</f>
        <v/>
      </c>
      <c r="K477" s="6">
        <f>IF(OR($BJ477="",10&gt;設定!$B$3),"",IF(INDEX(原始資料!M$2:M$501,$BJ477)="","",INDEX(原始資料!M$2:M$501,$BJ477)))</f>
        <v/>
      </c>
      <c r="L477" s="6">
        <f>IF(OR($BJ477="",11&gt;設定!$B$3),"",IF(INDEX(原始資料!N$2:N$501,$BJ477)="","",INDEX(原始資料!N$2:N$501,$BJ477)))</f>
        <v/>
      </c>
      <c r="M477" s="6">
        <f>IF(OR($BJ477="",12&gt;設定!$B$3),"",IF(INDEX(原始資料!O$2:O$501,$BJ477)="","",INDEX(原始資料!O$2:O$501,$BJ477)))</f>
        <v/>
      </c>
      <c r="N477" s="6">
        <f>IF(OR($BJ477="",13&gt;設定!$B$3),"",IF(INDEX(原始資料!P$2:P$501,$BJ477)="","",INDEX(原始資料!P$2:P$501,$BJ477)))</f>
        <v/>
      </c>
      <c r="O477" s="6">
        <f>IF(OR($BJ477="",14&gt;設定!$B$3),"",IF(INDEX(原始資料!Q$2:Q$501,$BJ477)="","",INDEX(原始資料!Q$2:Q$501,$BJ477)))</f>
        <v/>
      </c>
      <c r="P477" s="6">
        <f>IF(OR($BJ477="",15&gt;設定!$B$3),"",IF(INDEX(原始資料!R$2:R$501,$BJ477)="","",INDEX(原始資料!R$2:R$501,$BJ477)))</f>
        <v/>
      </c>
      <c r="Q477" s="6">
        <f>IF(OR($BJ477="",16&gt;設定!$B$3),"",IF(INDEX(原始資料!S$2:S$501,$BJ477)="","",INDEX(原始資料!S$2:S$501,$BJ477)))</f>
        <v/>
      </c>
      <c r="R477" s="6">
        <f>IF(OR($BJ477="",17&gt;設定!$B$3),"",IF(INDEX(原始資料!T$2:T$501,$BJ477)="","",INDEX(原始資料!T$2:T$501,$BJ477)))</f>
        <v/>
      </c>
      <c r="S477" s="6">
        <f>IF(OR($BJ477="",18&gt;設定!$B$3),"",IF(INDEX(原始資料!U$2:U$501,$BJ477)="","",INDEX(原始資料!U$2:U$501,$BJ477)))</f>
        <v/>
      </c>
      <c r="T477" s="6">
        <f>IF(OR($BJ477="",19&gt;設定!$B$3),"",IF(INDEX(原始資料!V$2:V$501,$BJ477)="","",INDEX(原始資料!V$2:V$501,$BJ477)))</f>
        <v/>
      </c>
      <c r="U477" s="6">
        <f>IF(OR($BJ477="",20&gt;設定!$B$3),"",IF(INDEX(原始資料!W$2:W$501,$BJ477)="","",INDEX(原始資料!W$2:W$501,$BJ477)))</f>
        <v/>
      </c>
      <c r="V477" s="6">
        <f>IF(OR($BJ477="",21&gt;設定!$B$3),"",IF(INDEX(原始資料!X$2:X$501,$BJ477)="","",INDEX(原始資料!X$2:X$501,$BJ477)))</f>
        <v/>
      </c>
      <c r="W477" s="6">
        <f>IF(OR($BJ477="",22&gt;設定!$B$3),"",IF(INDEX(原始資料!Y$2:Y$501,$BJ477)="","",INDEX(原始資料!Y$2:Y$501,$BJ477)))</f>
        <v/>
      </c>
      <c r="X477" s="6">
        <f>IF(OR($BJ477="",23&gt;設定!$B$3),"",IF(INDEX(原始資料!Z$2:Z$501,$BJ477)="","",INDEX(原始資料!Z$2:Z$501,$BJ477)))</f>
        <v/>
      </c>
      <c r="Y477" s="6">
        <f>IF(OR($BJ477="",24&gt;設定!$B$3),"",IF(INDEX(原始資料!AA$2:AA$501,$BJ477)="","",INDEX(原始資料!AA$2:AA$501,$BJ477)))</f>
        <v/>
      </c>
      <c r="Z477" s="6">
        <f>IF(OR($BJ477="",25&gt;設定!$B$3),"",IF(INDEX(原始資料!AB$2:AB$501,$BJ477)="","",INDEX(原始資料!AB$2:AB$501,$BJ477)))</f>
        <v/>
      </c>
      <c r="AA477" s="6">
        <f>IF(OR($BJ477="",26&gt;設定!$B$3),"",IF(INDEX(原始資料!AC$2:AC$501,$BJ477)="","",INDEX(原始資料!AC$2:AC$501,$BJ477)))</f>
        <v/>
      </c>
      <c r="AB477" s="6">
        <f>IF(OR($BJ477="",27&gt;設定!$B$3),"",IF(INDEX(原始資料!AD$2:AD$501,$BJ477)="","",INDEX(原始資料!AD$2:AD$501,$BJ477)))</f>
        <v/>
      </c>
      <c r="AC477" s="6">
        <f>IF(OR($BJ477="",28&gt;設定!$B$3),"",IF(INDEX(原始資料!AE$2:AE$501,$BJ477)="","",INDEX(原始資料!AE$2:AE$501,$BJ477)))</f>
        <v/>
      </c>
      <c r="AD477" s="6">
        <f>IF(OR($BJ477="",29&gt;設定!$B$3),"",IF(INDEX(原始資料!AF$2:AF$501,$BJ477)="","",INDEX(原始資料!AF$2:AF$501,$BJ477)))</f>
        <v/>
      </c>
      <c r="AE477" s="6">
        <f>IF(OR($BJ477="",30&gt;設定!$B$3),"",IF(INDEX(原始資料!AG$2:AG$501,$BJ477)="","",INDEX(原始資料!AG$2:AG$501,$BJ477)))</f>
        <v/>
      </c>
      <c r="AF477" s="6">
        <f>IF(OR($BJ477="",31&gt;設定!$B$3),"",IF(INDEX(原始資料!AH$2:AH$501,$BJ477)="","",INDEX(原始資料!AH$2:AH$501,$BJ477)))</f>
        <v/>
      </c>
      <c r="AG477" s="6">
        <f>IF(OR($BJ477="",32&gt;設定!$B$3),"",IF(INDEX(原始資料!AI$2:AI$501,$BJ477)="","",INDEX(原始資料!AI$2:AI$501,$BJ477)))</f>
        <v/>
      </c>
      <c r="AH477" s="6">
        <f>IF(OR($BJ477="",33&gt;設定!$B$3),"",IF(INDEX(原始資料!AJ$2:AJ$501,$BJ477)="","",INDEX(原始資料!AJ$2:AJ$501,$BJ477)))</f>
        <v/>
      </c>
      <c r="AI477" s="6">
        <f>IF(OR($BJ477="",34&gt;設定!$B$3),"",IF(INDEX(原始資料!AK$2:AK$501,$BJ477)="","",INDEX(原始資料!AK$2:AK$501,$BJ477)))</f>
        <v/>
      </c>
      <c r="AJ477" s="6">
        <f>IF(OR($BJ477="",35&gt;設定!$B$3),"",IF(INDEX(原始資料!AL$2:AL$501,$BJ477)="","",INDEX(原始資料!AL$2:AL$501,$BJ477)))</f>
        <v/>
      </c>
      <c r="AK477" s="6">
        <f>IF(OR($BJ477="",36&gt;設定!$B$3),"",IF(INDEX(原始資料!AM$2:AM$501,$BJ477)="","",INDEX(原始資料!AM$2:AM$501,$BJ477)))</f>
        <v/>
      </c>
      <c r="AL477" s="6">
        <f>IF(OR($BJ477="",37&gt;設定!$B$3),"",IF(INDEX(原始資料!AN$2:AN$501,$BJ477)="","",INDEX(原始資料!AN$2:AN$501,$BJ477)))</f>
        <v/>
      </c>
      <c r="AM477" s="6">
        <f>IF(OR($BJ477="",38&gt;設定!$B$3),"",IF(INDEX(原始資料!AO$2:AO$501,$BJ477)="","",INDEX(原始資料!AO$2:AO$501,$BJ477)))</f>
        <v/>
      </c>
      <c r="AN477" s="6">
        <f>IF(OR($BJ477="",39&gt;設定!$B$3),"",IF(INDEX(原始資料!AP$2:AP$501,$BJ477)="","",INDEX(原始資料!AP$2:AP$501,$BJ477)))</f>
        <v/>
      </c>
      <c r="AO477" s="6">
        <f>IF(OR($BJ477="",40&gt;設定!$B$3),"",IF(INDEX(原始資料!AQ$2:AQ$501,$BJ477)="","",INDEX(原始資料!AQ$2:AQ$501,$BJ477)))</f>
        <v/>
      </c>
      <c r="AP477" s="6">
        <f>IF(OR($BJ477="",41&gt;設定!$B$3),"",IF(INDEX(原始資料!AR$2:AR$501,$BJ477)="","",INDEX(原始資料!AR$2:AR$501,$BJ477)))</f>
        <v/>
      </c>
      <c r="AQ477" s="6">
        <f>IF(OR($BJ477="",42&gt;設定!$B$3),"",IF(INDEX(原始資料!AS$2:AS$501,$BJ477)="","",INDEX(原始資料!AS$2:AS$501,$BJ477)))</f>
        <v/>
      </c>
      <c r="AR477" s="6">
        <f>IF(OR($BJ477="",43&gt;設定!$B$3),"",IF(INDEX(原始資料!AT$2:AT$501,$BJ477)="","",INDEX(原始資料!AT$2:AT$501,$BJ477)))</f>
        <v/>
      </c>
      <c r="AS477" s="6">
        <f>IF(OR($BJ477="",44&gt;設定!$B$3),"",IF(INDEX(原始資料!AU$2:AU$501,$BJ477)="","",INDEX(原始資料!AU$2:AU$501,$BJ477)))</f>
        <v/>
      </c>
      <c r="AT477" s="6">
        <f>IF(OR($BJ477="",45&gt;設定!$B$3),"",IF(INDEX(原始資料!AV$2:AV$501,$BJ477)="","",INDEX(原始資料!AV$2:AV$501,$BJ477)))</f>
        <v/>
      </c>
      <c r="AU477" s="6">
        <f>IF(OR($BJ477="",46&gt;設定!$B$3),"",IF(INDEX(原始資料!AW$2:AW$501,$BJ477)="","",INDEX(原始資料!AW$2:AW$501,$BJ477)))</f>
        <v/>
      </c>
      <c r="AV477" s="6">
        <f>IF(OR($BJ477="",47&gt;設定!$B$3),"",IF(INDEX(原始資料!AX$2:AX$501,$BJ477)="","",INDEX(原始資料!AX$2:AX$501,$BJ477)))</f>
        <v/>
      </c>
      <c r="AW477" s="6">
        <f>IF(OR($BJ477="",48&gt;設定!$B$3),"",IF(INDEX(原始資料!AY$2:AY$501,$BJ477)="","",INDEX(原始資料!AY$2:AY$501,$BJ477)))</f>
        <v/>
      </c>
      <c r="AX477" s="6">
        <f>IF(OR($BJ477="",49&gt;設定!$B$3),"",IF(INDEX(原始資料!AZ$2:AZ$501,$BJ477)="","",INDEX(原始資料!AZ$2:AZ$501,$BJ477)))</f>
        <v/>
      </c>
      <c r="AY477" s="6">
        <f>IF(OR($BJ477="",50&gt;設定!$B$3),"",IF(INDEX(原始資料!BA$2:BA$501,$BJ477)="","",INDEX(原始資料!BA$2:BA$501,$BJ477)))</f>
        <v/>
      </c>
      <c r="AZ477" s="6">
        <f>IF(OR($BJ477="",51&gt;設定!$B$3),"",IF(INDEX(原始資料!BB$2:BB$501,$BJ477)="","",INDEX(原始資料!BB$2:BB$501,$BJ477)))</f>
        <v/>
      </c>
      <c r="BA477" s="6">
        <f>IF(OR($BJ477="",52&gt;設定!$B$3),"",IF(INDEX(原始資料!BC$2:BC$501,$BJ477)="","",INDEX(原始資料!BC$2:BC$501,$BJ477)))</f>
        <v/>
      </c>
      <c r="BB477" s="6">
        <f>IF(OR($BJ477="",53&gt;設定!$B$3),"",IF(INDEX(原始資料!BD$2:BD$501,$BJ477)="","",INDEX(原始資料!BD$2:BD$501,$BJ477)))</f>
        <v/>
      </c>
      <c r="BC477" s="6">
        <f>IF(OR($BJ477="",54&gt;設定!$B$3),"",IF(INDEX(原始資料!BE$2:BE$501,$BJ477)="","",INDEX(原始資料!BE$2:BE$501,$BJ477)))</f>
        <v/>
      </c>
      <c r="BD477" s="6">
        <f>IF(OR($BJ477="",55&gt;設定!$B$3),"",IF(INDEX(原始資料!BF$2:BF$501,$BJ477)="","",INDEX(原始資料!BF$2:BF$501,$BJ477)))</f>
        <v/>
      </c>
      <c r="BE477" s="6">
        <f>IF(OR($BJ477="",56&gt;設定!$B$3),"",IF(INDEX(原始資料!BG$2:BG$501,$BJ477)="","",INDEX(原始資料!BG$2:BG$501,$BJ477)))</f>
        <v/>
      </c>
      <c r="BF477" s="6">
        <f>IF(OR($BJ477="",57&gt;設定!$B$3),"",IF(INDEX(原始資料!BH$2:BH$501,$BJ477)="","",INDEX(原始資料!BH$2:BH$501,$BJ477)))</f>
        <v/>
      </c>
      <c r="BG477" s="6">
        <f>IF(OR($BJ477="",58&gt;設定!$B$3),"",IF(INDEX(原始資料!BI$2:BI$501,$BJ477)="","",INDEX(原始資料!BI$2:BI$501,$BJ477)))</f>
        <v/>
      </c>
      <c r="BH477" s="6">
        <f>IF(OR($BJ477="",59&gt;設定!$B$3),"",IF(INDEX(原始資料!BJ$2:BJ$501,$BJ477)="","",INDEX(原始資料!BJ$2:BJ$501,$BJ477)))</f>
        <v/>
      </c>
      <c r="BI477" s="6">
        <f>IF(OR($BJ477="",60&gt;設定!$B$3),"",IF(INDEX(原始資料!BK$2:BK$501,$BJ477)="","",INDEX(原始資料!BK$2:BK$501,$BJ477)))</f>
        <v/>
      </c>
      <c r="BJ477" s="6">
        <f>IFERROR(MATCH(ROW()-1,判定!$H$2:$H$501,0),"")</f>
        <v/>
      </c>
    </row>
    <row r="478">
      <c r="A478" s="6">
        <f>IF($BJ478="","",INDEX(原始資料!$A$2:$A$501,$BJ478))</f>
        <v/>
      </c>
      <c r="B478" s="6">
        <f>IF(OR($BJ478="",1&gt;設定!$B$3),"",IF(INDEX(原始資料!D$2:D$501,$BJ478)="","",INDEX(原始資料!D$2:D$501,$BJ478)))</f>
        <v/>
      </c>
      <c r="C478" s="6">
        <f>IF(OR($BJ478="",2&gt;設定!$B$3),"",IF(INDEX(原始資料!E$2:E$501,$BJ478)="","",INDEX(原始資料!E$2:E$501,$BJ478)))</f>
        <v/>
      </c>
      <c r="D478" s="6">
        <f>IF(OR($BJ478="",3&gt;設定!$B$3),"",IF(INDEX(原始資料!F$2:F$501,$BJ478)="","",INDEX(原始資料!F$2:F$501,$BJ478)))</f>
        <v/>
      </c>
      <c r="E478" s="6">
        <f>IF(OR($BJ478="",4&gt;設定!$B$3),"",IF(INDEX(原始資料!G$2:G$501,$BJ478)="","",INDEX(原始資料!G$2:G$501,$BJ478)))</f>
        <v/>
      </c>
      <c r="F478" s="6">
        <f>IF(OR($BJ478="",5&gt;設定!$B$3),"",IF(INDEX(原始資料!H$2:H$501,$BJ478)="","",INDEX(原始資料!H$2:H$501,$BJ478)))</f>
        <v/>
      </c>
      <c r="G478" s="6">
        <f>IF(OR($BJ478="",6&gt;設定!$B$3),"",IF(INDEX(原始資料!I$2:I$501,$BJ478)="","",INDEX(原始資料!I$2:I$501,$BJ478)))</f>
        <v/>
      </c>
      <c r="H478" s="6">
        <f>IF(OR($BJ478="",7&gt;設定!$B$3),"",IF(INDEX(原始資料!J$2:J$501,$BJ478)="","",INDEX(原始資料!J$2:J$501,$BJ478)))</f>
        <v/>
      </c>
      <c r="I478" s="6">
        <f>IF(OR($BJ478="",8&gt;設定!$B$3),"",IF(INDEX(原始資料!K$2:K$501,$BJ478)="","",INDEX(原始資料!K$2:K$501,$BJ478)))</f>
        <v/>
      </c>
      <c r="J478" s="6">
        <f>IF(OR($BJ478="",9&gt;設定!$B$3),"",IF(INDEX(原始資料!L$2:L$501,$BJ478)="","",INDEX(原始資料!L$2:L$501,$BJ478)))</f>
        <v/>
      </c>
      <c r="K478" s="6">
        <f>IF(OR($BJ478="",10&gt;設定!$B$3),"",IF(INDEX(原始資料!M$2:M$501,$BJ478)="","",INDEX(原始資料!M$2:M$501,$BJ478)))</f>
        <v/>
      </c>
      <c r="L478" s="6">
        <f>IF(OR($BJ478="",11&gt;設定!$B$3),"",IF(INDEX(原始資料!N$2:N$501,$BJ478)="","",INDEX(原始資料!N$2:N$501,$BJ478)))</f>
        <v/>
      </c>
      <c r="M478" s="6">
        <f>IF(OR($BJ478="",12&gt;設定!$B$3),"",IF(INDEX(原始資料!O$2:O$501,$BJ478)="","",INDEX(原始資料!O$2:O$501,$BJ478)))</f>
        <v/>
      </c>
      <c r="N478" s="6">
        <f>IF(OR($BJ478="",13&gt;設定!$B$3),"",IF(INDEX(原始資料!P$2:P$501,$BJ478)="","",INDEX(原始資料!P$2:P$501,$BJ478)))</f>
        <v/>
      </c>
      <c r="O478" s="6">
        <f>IF(OR($BJ478="",14&gt;設定!$B$3),"",IF(INDEX(原始資料!Q$2:Q$501,$BJ478)="","",INDEX(原始資料!Q$2:Q$501,$BJ478)))</f>
        <v/>
      </c>
      <c r="P478" s="6">
        <f>IF(OR($BJ478="",15&gt;設定!$B$3),"",IF(INDEX(原始資料!R$2:R$501,$BJ478)="","",INDEX(原始資料!R$2:R$501,$BJ478)))</f>
        <v/>
      </c>
      <c r="Q478" s="6">
        <f>IF(OR($BJ478="",16&gt;設定!$B$3),"",IF(INDEX(原始資料!S$2:S$501,$BJ478)="","",INDEX(原始資料!S$2:S$501,$BJ478)))</f>
        <v/>
      </c>
      <c r="R478" s="6">
        <f>IF(OR($BJ478="",17&gt;設定!$B$3),"",IF(INDEX(原始資料!T$2:T$501,$BJ478)="","",INDEX(原始資料!T$2:T$501,$BJ478)))</f>
        <v/>
      </c>
      <c r="S478" s="6">
        <f>IF(OR($BJ478="",18&gt;設定!$B$3),"",IF(INDEX(原始資料!U$2:U$501,$BJ478)="","",INDEX(原始資料!U$2:U$501,$BJ478)))</f>
        <v/>
      </c>
      <c r="T478" s="6">
        <f>IF(OR($BJ478="",19&gt;設定!$B$3),"",IF(INDEX(原始資料!V$2:V$501,$BJ478)="","",INDEX(原始資料!V$2:V$501,$BJ478)))</f>
        <v/>
      </c>
      <c r="U478" s="6">
        <f>IF(OR($BJ478="",20&gt;設定!$B$3),"",IF(INDEX(原始資料!W$2:W$501,$BJ478)="","",INDEX(原始資料!W$2:W$501,$BJ478)))</f>
        <v/>
      </c>
      <c r="V478" s="6">
        <f>IF(OR($BJ478="",21&gt;設定!$B$3),"",IF(INDEX(原始資料!X$2:X$501,$BJ478)="","",INDEX(原始資料!X$2:X$501,$BJ478)))</f>
        <v/>
      </c>
      <c r="W478" s="6">
        <f>IF(OR($BJ478="",22&gt;設定!$B$3),"",IF(INDEX(原始資料!Y$2:Y$501,$BJ478)="","",INDEX(原始資料!Y$2:Y$501,$BJ478)))</f>
        <v/>
      </c>
      <c r="X478" s="6">
        <f>IF(OR($BJ478="",23&gt;設定!$B$3),"",IF(INDEX(原始資料!Z$2:Z$501,$BJ478)="","",INDEX(原始資料!Z$2:Z$501,$BJ478)))</f>
        <v/>
      </c>
      <c r="Y478" s="6">
        <f>IF(OR($BJ478="",24&gt;設定!$B$3),"",IF(INDEX(原始資料!AA$2:AA$501,$BJ478)="","",INDEX(原始資料!AA$2:AA$501,$BJ478)))</f>
        <v/>
      </c>
      <c r="Z478" s="6">
        <f>IF(OR($BJ478="",25&gt;設定!$B$3),"",IF(INDEX(原始資料!AB$2:AB$501,$BJ478)="","",INDEX(原始資料!AB$2:AB$501,$BJ478)))</f>
        <v/>
      </c>
      <c r="AA478" s="6">
        <f>IF(OR($BJ478="",26&gt;設定!$B$3),"",IF(INDEX(原始資料!AC$2:AC$501,$BJ478)="","",INDEX(原始資料!AC$2:AC$501,$BJ478)))</f>
        <v/>
      </c>
      <c r="AB478" s="6">
        <f>IF(OR($BJ478="",27&gt;設定!$B$3),"",IF(INDEX(原始資料!AD$2:AD$501,$BJ478)="","",INDEX(原始資料!AD$2:AD$501,$BJ478)))</f>
        <v/>
      </c>
      <c r="AC478" s="6">
        <f>IF(OR($BJ478="",28&gt;設定!$B$3),"",IF(INDEX(原始資料!AE$2:AE$501,$BJ478)="","",INDEX(原始資料!AE$2:AE$501,$BJ478)))</f>
        <v/>
      </c>
      <c r="AD478" s="6">
        <f>IF(OR($BJ478="",29&gt;設定!$B$3),"",IF(INDEX(原始資料!AF$2:AF$501,$BJ478)="","",INDEX(原始資料!AF$2:AF$501,$BJ478)))</f>
        <v/>
      </c>
      <c r="AE478" s="6">
        <f>IF(OR($BJ478="",30&gt;設定!$B$3),"",IF(INDEX(原始資料!AG$2:AG$501,$BJ478)="","",INDEX(原始資料!AG$2:AG$501,$BJ478)))</f>
        <v/>
      </c>
      <c r="AF478" s="6">
        <f>IF(OR($BJ478="",31&gt;設定!$B$3),"",IF(INDEX(原始資料!AH$2:AH$501,$BJ478)="","",INDEX(原始資料!AH$2:AH$501,$BJ478)))</f>
        <v/>
      </c>
      <c r="AG478" s="6">
        <f>IF(OR($BJ478="",32&gt;設定!$B$3),"",IF(INDEX(原始資料!AI$2:AI$501,$BJ478)="","",INDEX(原始資料!AI$2:AI$501,$BJ478)))</f>
        <v/>
      </c>
      <c r="AH478" s="6">
        <f>IF(OR($BJ478="",33&gt;設定!$B$3),"",IF(INDEX(原始資料!AJ$2:AJ$501,$BJ478)="","",INDEX(原始資料!AJ$2:AJ$501,$BJ478)))</f>
        <v/>
      </c>
      <c r="AI478" s="6">
        <f>IF(OR($BJ478="",34&gt;設定!$B$3),"",IF(INDEX(原始資料!AK$2:AK$501,$BJ478)="","",INDEX(原始資料!AK$2:AK$501,$BJ478)))</f>
        <v/>
      </c>
      <c r="AJ478" s="6">
        <f>IF(OR($BJ478="",35&gt;設定!$B$3),"",IF(INDEX(原始資料!AL$2:AL$501,$BJ478)="","",INDEX(原始資料!AL$2:AL$501,$BJ478)))</f>
        <v/>
      </c>
      <c r="AK478" s="6">
        <f>IF(OR($BJ478="",36&gt;設定!$B$3),"",IF(INDEX(原始資料!AM$2:AM$501,$BJ478)="","",INDEX(原始資料!AM$2:AM$501,$BJ478)))</f>
        <v/>
      </c>
      <c r="AL478" s="6">
        <f>IF(OR($BJ478="",37&gt;設定!$B$3),"",IF(INDEX(原始資料!AN$2:AN$501,$BJ478)="","",INDEX(原始資料!AN$2:AN$501,$BJ478)))</f>
        <v/>
      </c>
      <c r="AM478" s="6">
        <f>IF(OR($BJ478="",38&gt;設定!$B$3),"",IF(INDEX(原始資料!AO$2:AO$501,$BJ478)="","",INDEX(原始資料!AO$2:AO$501,$BJ478)))</f>
        <v/>
      </c>
      <c r="AN478" s="6">
        <f>IF(OR($BJ478="",39&gt;設定!$B$3),"",IF(INDEX(原始資料!AP$2:AP$501,$BJ478)="","",INDEX(原始資料!AP$2:AP$501,$BJ478)))</f>
        <v/>
      </c>
      <c r="AO478" s="6">
        <f>IF(OR($BJ478="",40&gt;設定!$B$3),"",IF(INDEX(原始資料!AQ$2:AQ$501,$BJ478)="","",INDEX(原始資料!AQ$2:AQ$501,$BJ478)))</f>
        <v/>
      </c>
      <c r="AP478" s="6">
        <f>IF(OR($BJ478="",41&gt;設定!$B$3),"",IF(INDEX(原始資料!AR$2:AR$501,$BJ478)="","",INDEX(原始資料!AR$2:AR$501,$BJ478)))</f>
        <v/>
      </c>
      <c r="AQ478" s="6">
        <f>IF(OR($BJ478="",42&gt;設定!$B$3),"",IF(INDEX(原始資料!AS$2:AS$501,$BJ478)="","",INDEX(原始資料!AS$2:AS$501,$BJ478)))</f>
        <v/>
      </c>
      <c r="AR478" s="6">
        <f>IF(OR($BJ478="",43&gt;設定!$B$3),"",IF(INDEX(原始資料!AT$2:AT$501,$BJ478)="","",INDEX(原始資料!AT$2:AT$501,$BJ478)))</f>
        <v/>
      </c>
      <c r="AS478" s="6">
        <f>IF(OR($BJ478="",44&gt;設定!$B$3),"",IF(INDEX(原始資料!AU$2:AU$501,$BJ478)="","",INDEX(原始資料!AU$2:AU$501,$BJ478)))</f>
        <v/>
      </c>
      <c r="AT478" s="6">
        <f>IF(OR($BJ478="",45&gt;設定!$B$3),"",IF(INDEX(原始資料!AV$2:AV$501,$BJ478)="","",INDEX(原始資料!AV$2:AV$501,$BJ478)))</f>
        <v/>
      </c>
      <c r="AU478" s="6">
        <f>IF(OR($BJ478="",46&gt;設定!$B$3),"",IF(INDEX(原始資料!AW$2:AW$501,$BJ478)="","",INDEX(原始資料!AW$2:AW$501,$BJ478)))</f>
        <v/>
      </c>
      <c r="AV478" s="6">
        <f>IF(OR($BJ478="",47&gt;設定!$B$3),"",IF(INDEX(原始資料!AX$2:AX$501,$BJ478)="","",INDEX(原始資料!AX$2:AX$501,$BJ478)))</f>
        <v/>
      </c>
      <c r="AW478" s="6">
        <f>IF(OR($BJ478="",48&gt;設定!$B$3),"",IF(INDEX(原始資料!AY$2:AY$501,$BJ478)="","",INDEX(原始資料!AY$2:AY$501,$BJ478)))</f>
        <v/>
      </c>
      <c r="AX478" s="6">
        <f>IF(OR($BJ478="",49&gt;設定!$B$3),"",IF(INDEX(原始資料!AZ$2:AZ$501,$BJ478)="","",INDEX(原始資料!AZ$2:AZ$501,$BJ478)))</f>
        <v/>
      </c>
      <c r="AY478" s="6">
        <f>IF(OR($BJ478="",50&gt;設定!$B$3),"",IF(INDEX(原始資料!BA$2:BA$501,$BJ478)="","",INDEX(原始資料!BA$2:BA$501,$BJ478)))</f>
        <v/>
      </c>
      <c r="AZ478" s="6">
        <f>IF(OR($BJ478="",51&gt;設定!$B$3),"",IF(INDEX(原始資料!BB$2:BB$501,$BJ478)="","",INDEX(原始資料!BB$2:BB$501,$BJ478)))</f>
        <v/>
      </c>
      <c r="BA478" s="6">
        <f>IF(OR($BJ478="",52&gt;設定!$B$3),"",IF(INDEX(原始資料!BC$2:BC$501,$BJ478)="","",INDEX(原始資料!BC$2:BC$501,$BJ478)))</f>
        <v/>
      </c>
      <c r="BB478" s="6">
        <f>IF(OR($BJ478="",53&gt;設定!$B$3),"",IF(INDEX(原始資料!BD$2:BD$501,$BJ478)="","",INDEX(原始資料!BD$2:BD$501,$BJ478)))</f>
        <v/>
      </c>
      <c r="BC478" s="6">
        <f>IF(OR($BJ478="",54&gt;設定!$B$3),"",IF(INDEX(原始資料!BE$2:BE$501,$BJ478)="","",INDEX(原始資料!BE$2:BE$501,$BJ478)))</f>
        <v/>
      </c>
      <c r="BD478" s="6">
        <f>IF(OR($BJ478="",55&gt;設定!$B$3),"",IF(INDEX(原始資料!BF$2:BF$501,$BJ478)="","",INDEX(原始資料!BF$2:BF$501,$BJ478)))</f>
        <v/>
      </c>
      <c r="BE478" s="6">
        <f>IF(OR($BJ478="",56&gt;設定!$B$3),"",IF(INDEX(原始資料!BG$2:BG$501,$BJ478)="","",INDEX(原始資料!BG$2:BG$501,$BJ478)))</f>
        <v/>
      </c>
      <c r="BF478" s="6">
        <f>IF(OR($BJ478="",57&gt;設定!$B$3),"",IF(INDEX(原始資料!BH$2:BH$501,$BJ478)="","",INDEX(原始資料!BH$2:BH$501,$BJ478)))</f>
        <v/>
      </c>
      <c r="BG478" s="6">
        <f>IF(OR($BJ478="",58&gt;設定!$B$3),"",IF(INDEX(原始資料!BI$2:BI$501,$BJ478)="","",INDEX(原始資料!BI$2:BI$501,$BJ478)))</f>
        <v/>
      </c>
      <c r="BH478" s="6">
        <f>IF(OR($BJ478="",59&gt;設定!$B$3),"",IF(INDEX(原始資料!BJ$2:BJ$501,$BJ478)="","",INDEX(原始資料!BJ$2:BJ$501,$BJ478)))</f>
        <v/>
      </c>
      <c r="BI478" s="6">
        <f>IF(OR($BJ478="",60&gt;設定!$B$3),"",IF(INDEX(原始資料!BK$2:BK$501,$BJ478)="","",INDEX(原始資料!BK$2:BK$501,$BJ478)))</f>
        <v/>
      </c>
      <c r="BJ478" s="6">
        <f>IFERROR(MATCH(ROW()-1,判定!$H$2:$H$501,0),"")</f>
        <v/>
      </c>
    </row>
    <row r="479">
      <c r="A479" s="6">
        <f>IF($BJ479="","",INDEX(原始資料!$A$2:$A$501,$BJ479))</f>
        <v/>
      </c>
      <c r="B479" s="6">
        <f>IF(OR($BJ479="",1&gt;設定!$B$3),"",IF(INDEX(原始資料!D$2:D$501,$BJ479)="","",INDEX(原始資料!D$2:D$501,$BJ479)))</f>
        <v/>
      </c>
      <c r="C479" s="6">
        <f>IF(OR($BJ479="",2&gt;設定!$B$3),"",IF(INDEX(原始資料!E$2:E$501,$BJ479)="","",INDEX(原始資料!E$2:E$501,$BJ479)))</f>
        <v/>
      </c>
      <c r="D479" s="6">
        <f>IF(OR($BJ479="",3&gt;設定!$B$3),"",IF(INDEX(原始資料!F$2:F$501,$BJ479)="","",INDEX(原始資料!F$2:F$501,$BJ479)))</f>
        <v/>
      </c>
      <c r="E479" s="6">
        <f>IF(OR($BJ479="",4&gt;設定!$B$3),"",IF(INDEX(原始資料!G$2:G$501,$BJ479)="","",INDEX(原始資料!G$2:G$501,$BJ479)))</f>
        <v/>
      </c>
      <c r="F479" s="6">
        <f>IF(OR($BJ479="",5&gt;設定!$B$3),"",IF(INDEX(原始資料!H$2:H$501,$BJ479)="","",INDEX(原始資料!H$2:H$501,$BJ479)))</f>
        <v/>
      </c>
      <c r="G479" s="6">
        <f>IF(OR($BJ479="",6&gt;設定!$B$3),"",IF(INDEX(原始資料!I$2:I$501,$BJ479)="","",INDEX(原始資料!I$2:I$501,$BJ479)))</f>
        <v/>
      </c>
      <c r="H479" s="6">
        <f>IF(OR($BJ479="",7&gt;設定!$B$3),"",IF(INDEX(原始資料!J$2:J$501,$BJ479)="","",INDEX(原始資料!J$2:J$501,$BJ479)))</f>
        <v/>
      </c>
      <c r="I479" s="6">
        <f>IF(OR($BJ479="",8&gt;設定!$B$3),"",IF(INDEX(原始資料!K$2:K$501,$BJ479)="","",INDEX(原始資料!K$2:K$501,$BJ479)))</f>
        <v/>
      </c>
      <c r="J479" s="6">
        <f>IF(OR($BJ479="",9&gt;設定!$B$3),"",IF(INDEX(原始資料!L$2:L$501,$BJ479)="","",INDEX(原始資料!L$2:L$501,$BJ479)))</f>
        <v/>
      </c>
      <c r="K479" s="6">
        <f>IF(OR($BJ479="",10&gt;設定!$B$3),"",IF(INDEX(原始資料!M$2:M$501,$BJ479)="","",INDEX(原始資料!M$2:M$501,$BJ479)))</f>
        <v/>
      </c>
      <c r="L479" s="6">
        <f>IF(OR($BJ479="",11&gt;設定!$B$3),"",IF(INDEX(原始資料!N$2:N$501,$BJ479)="","",INDEX(原始資料!N$2:N$501,$BJ479)))</f>
        <v/>
      </c>
      <c r="M479" s="6">
        <f>IF(OR($BJ479="",12&gt;設定!$B$3),"",IF(INDEX(原始資料!O$2:O$501,$BJ479)="","",INDEX(原始資料!O$2:O$501,$BJ479)))</f>
        <v/>
      </c>
      <c r="N479" s="6">
        <f>IF(OR($BJ479="",13&gt;設定!$B$3),"",IF(INDEX(原始資料!P$2:P$501,$BJ479)="","",INDEX(原始資料!P$2:P$501,$BJ479)))</f>
        <v/>
      </c>
      <c r="O479" s="6">
        <f>IF(OR($BJ479="",14&gt;設定!$B$3),"",IF(INDEX(原始資料!Q$2:Q$501,$BJ479)="","",INDEX(原始資料!Q$2:Q$501,$BJ479)))</f>
        <v/>
      </c>
      <c r="P479" s="6">
        <f>IF(OR($BJ479="",15&gt;設定!$B$3),"",IF(INDEX(原始資料!R$2:R$501,$BJ479)="","",INDEX(原始資料!R$2:R$501,$BJ479)))</f>
        <v/>
      </c>
      <c r="Q479" s="6">
        <f>IF(OR($BJ479="",16&gt;設定!$B$3),"",IF(INDEX(原始資料!S$2:S$501,$BJ479)="","",INDEX(原始資料!S$2:S$501,$BJ479)))</f>
        <v/>
      </c>
      <c r="R479" s="6">
        <f>IF(OR($BJ479="",17&gt;設定!$B$3),"",IF(INDEX(原始資料!T$2:T$501,$BJ479)="","",INDEX(原始資料!T$2:T$501,$BJ479)))</f>
        <v/>
      </c>
      <c r="S479" s="6">
        <f>IF(OR($BJ479="",18&gt;設定!$B$3),"",IF(INDEX(原始資料!U$2:U$501,$BJ479)="","",INDEX(原始資料!U$2:U$501,$BJ479)))</f>
        <v/>
      </c>
      <c r="T479" s="6">
        <f>IF(OR($BJ479="",19&gt;設定!$B$3),"",IF(INDEX(原始資料!V$2:V$501,$BJ479)="","",INDEX(原始資料!V$2:V$501,$BJ479)))</f>
        <v/>
      </c>
      <c r="U479" s="6">
        <f>IF(OR($BJ479="",20&gt;設定!$B$3),"",IF(INDEX(原始資料!W$2:W$501,$BJ479)="","",INDEX(原始資料!W$2:W$501,$BJ479)))</f>
        <v/>
      </c>
      <c r="V479" s="6">
        <f>IF(OR($BJ479="",21&gt;設定!$B$3),"",IF(INDEX(原始資料!X$2:X$501,$BJ479)="","",INDEX(原始資料!X$2:X$501,$BJ479)))</f>
        <v/>
      </c>
      <c r="W479" s="6">
        <f>IF(OR($BJ479="",22&gt;設定!$B$3),"",IF(INDEX(原始資料!Y$2:Y$501,$BJ479)="","",INDEX(原始資料!Y$2:Y$501,$BJ479)))</f>
        <v/>
      </c>
      <c r="X479" s="6">
        <f>IF(OR($BJ479="",23&gt;設定!$B$3),"",IF(INDEX(原始資料!Z$2:Z$501,$BJ479)="","",INDEX(原始資料!Z$2:Z$501,$BJ479)))</f>
        <v/>
      </c>
      <c r="Y479" s="6">
        <f>IF(OR($BJ479="",24&gt;設定!$B$3),"",IF(INDEX(原始資料!AA$2:AA$501,$BJ479)="","",INDEX(原始資料!AA$2:AA$501,$BJ479)))</f>
        <v/>
      </c>
      <c r="Z479" s="6">
        <f>IF(OR($BJ479="",25&gt;設定!$B$3),"",IF(INDEX(原始資料!AB$2:AB$501,$BJ479)="","",INDEX(原始資料!AB$2:AB$501,$BJ479)))</f>
        <v/>
      </c>
      <c r="AA479" s="6">
        <f>IF(OR($BJ479="",26&gt;設定!$B$3),"",IF(INDEX(原始資料!AC$2:AC$501,$BJ479)="","",INDEX(原始資料!AC$2:AC$501,$BJ479)))</f>
        <v/>
      </c>
      <c r="AB479" s="6">
        <f>IF(OR($BJ479="",27&gt;設定!$B$3),"",IF(INDEX(原始資料!AD$2:AD$501,$BJ479)="","",INDEX(原始資料!AD$2:AD$501,$BJ479)))</f>
        <v/>
      </c>
      <c r="AC479" s="6">
        <f>IF(OR($BJ479="",28&gt;設定!$B$3),"",IF(INDEX(原始資料!AE$2:AE$501,$BJ479)="","",INDEX(原始資料!AE$2:AE$501,$BJ479)))</f>
        <v/>
      </c>
      <c r="AD479" s="6">
        <f>IF(OR($BJ479="",29&gt;設定!$B$3),"",IF(INDEX(原始資料!AF$2:AF$501,$BJ479)="","",INDEX(原始資料!AF$2:AF$501,$BJ479)))</f>
        <v/>
      </c>
      <c r="AE479" s="6">
        <f>IF(OR($BJ479="",30&gt;設定!$B$3),"",IF(INDEX(原始資料!AG$2:AG$501,$BJ479)="","",INDEX(原始資料!AG$2:AG$501,$BJ479)))</f>
        <v/>
      </c>
      <c r="AF479" s="6">
        <f>IF(OR($BJ479="",31&gt;設定!$B$3),"",IF(INDEX(原始資料!AH$2:AH$501,$BJ479)="","",INDEX(原始資料!AH$2:AH$501,$BJ479)))</f>
        <v/>
      </c>
      <c r="AG479" s="6">
        <f>IF(OR($BJ479="",32&gt;設定!$B$3),"",IF(INDEX(原始資料!AI$2:AI$501,$BJ479)="","",INDEX(原始資料!AI$2:AI$501,$BJ479)))</f>
        <v/>
      </c>
      <c r="AH479" s="6">
        <f>IF(OR($BJ479="",33&gt;設定!$B$3),"",IF(INDEX(原始資料!AJ$2:AJ$501,$BJ479)="","",INDEX(原始資料!AJ$2:AJ$501,$BJ479)))</f>
        <v/>
      </c>
      <c r="AI479" s="6">
        <f>IF(OR($BJ479="",34&gt;設定!$B$3),"",IF(INDEX(原始資料!AK$2:AK$501,$BJ479)="","",INDEX(原始資料!AK$2:AK$501,$BJ479)))</f>
        <v/>
      </c>
      <c r="AJ479" s="6">
        <f>IF(OR($BJ479="",35&gt;設定!$B$3),"",IF(INDEX(原始資料!AL$2:AL$501,$BJ479)="","",INDEX(原始資料!AL$2:AL$501,$BJ479)))</f>
        <v/>
      </c>
      <c r="AK479" s="6">
        <f>IF(OR($BJ479="",36&gt;設定!$B$3),"",IF(INDEX(原始資料!AM$2:AM$501,$BJ479)="","",INDEX(原始資料!AM$2:AM$501,$BJ479)))</f>
        <v/>
      </c>
      <c r="AL479" s="6">
        <f>IF(OR($BJ479="",37&gt;設定!$B$3),"",IF(INDEX(原始資料!AN$2:AN$501,$BJ479)="","",INDEX(原始資料!AN$2:AN$501,$BJ479)))</f>
        <v/>
      </c>
      <c r="AM479" s="6">
        <f>IF(OR($BJ479="",38&gt;設定!$B$3),"",IF(INDEX(原始資料!AO$2:AO$501,$BJ479)="","",INDEX(原始資料!AO$2:AO$501,$BJ479)))</f>
        <v/>
      </c>
      <c r="AN479" s="6">
        <f>IF(OR($BJ479="",39&gt;設定!$B$3),"",IF(INDEX(原始資料!AP$2:AP$501,$BJ479)="","",INDEX(原始資料!AP$2:AP$501,$BJ479)))</f>
        <v/>
      </c>
      <c r="AO479" s="6">
        <f>IF(OR($BJ479="",40&gt;設定!$B$3),"",IF(INDEX(原始資料!AQ$2:AQ$501,$BJ479)="","",INDEX(原始資料!AQ$2:AQ$501,$BJ479)))</f>
        <v/>
      </c>
      <c r="AP479" s="6">
        <f>IF(OR($BJ479="",41&gt;設定!$B$3),"",IF(INDEX(原始資料!AR$2:AR$501,$BJ479)="","",INDEX(原始資料!AR$2:AR$501,$BJ479)))</f>
        <v/>
      </c>
      <c r="AQ479" s="6">
        <f>IF(OR($BJ479="",42&gt;設定!$B$3),"",IF(INDEX(原始資料!AS$2:AS$501,$BJ479)="","",INDEX(原始資料!AS$2:AS$501,$BJ479)))</f>
        <v/>
      </c>
      <c r="AR479" s="6">
        <f>IF(OR($BJ479="",43&gt;設定!$B$3),"",IF(INDEX(原始資料!AT$2:AT$501,$BJ479)="","",INDEX(原始資料!AT$2:AT$501,$BJ479)))</f>
        <v/>
      </c>
      <c r="AS479" s="6">
        <f>IF(OR($BJ479="",44&gt;設定!$B$3),"",IF(INDEX(原始資料!AU$2:AU$501,$BJ479)="","",INDEX(原始資料!AU$2:AU$501,$BJ479)))</f>
        <v/>
      </c>
      <c r="AT479" s="6">
        <f>IF(OR($BJ479="",45&gt;設定!$B$3),"",IF(INDEX(原始資料!AV$2:AV$501,$BJ479)="","",INDEX(原始資料!AV$2:AV$501,$BJ479)))</f>
        <v/>
      </c>
      <c r="AU479" s="6">
        <f>IF(OR($BJ479="",46&gt;設定!$B$3),"",IF(INDEX(原始資料!AW$2:AW$501,$BJ479)="","",INDEX(原始資料!AW$2:AW$501,$BJ479)))</f>
        <v/>
      </c>
      <c r="AV479" s="6">
        <f>IF(OR($BJ479="",47&gt;設定!$B$3),"",IF(INDEX(原始資料!AX$2:AX$501,$BJ479)="","",INDEX(原始資料!AX$2:AX$501,$BJ479)))</f>
        <v/>
      </c>
      <c r="AW479" s="6">
        <f>IF(OR($BJ479="",48&gt;設定!$B$3),"",IF(INDEX(原始資料!AY$2:AY$501,$BJ479)="","",INDEX(原始資料!AY$2:AY$501,$BJ479)))</f>
        <v/>
      </c>
      <c r="AX479" s="6">
        <f>IF(OR($BJ479="",49&gt;設定!$B$3),"",IF(INDEX(原始資料!AZ$2:AZ$501,$BJ479)="","",INDEX(原始資料!AZ$2:AZ$501,$BJ479)))</f>
        <v/>
      </c>
      <c r="AY479" s="6">
        <f>IF(OR($BJ479="",50&gt;設定!$B$3),"",IF(INDEX(原始資料!BA$2:BA$501,$BJ479)="","",INDEX(原始資料!BA$2:BA$501,$BJ479)))</f>
        <v/>
      </c>
      <c r="AZ479" s="6">
        <f>IF(OR($BJ479="",51&gt;設定!$B$3),"",IF(INDEX(原始資料!BB$2:BB$501,$BJ479)="","",INDEX(原始資料!BB$2:BB$501,$BJ479)))</f>
        <v/>
      </c>
      <c r="BA479" s="6">
        <f>IF(OR($BJ479="",52&gt;設定!$B$3),"",IF(INDEX(原始資料!BC$2:BC$501,$BJ479)="","",INDEX(原始資料!BC$2:BC$501,$BJ479)))</f>
        <v/>
      </c>
      <c r="BB479" s="6">
        <f>IF(OR($BJ479="",53&gt;設定!$B$3),"",IF(INDEX(原始資料!BD$2:BD$501,$BJ479)="","",INDEX(原始資料!BD$2:BD$501,$BJ479)))</f>
        <v/>
      </c>
      <c r="BC479" s="6">
        <f>IF(OR($BJ479="",54&gt;設定!$B$3),"",IF(INDEX(原始資料!BE$2:BE$501,$BJ479)="","",INDEX(原始資料!BE$2:BE$501,$BJ479)))</f>
        <v/>
      </c>
      <c r="BD479" s="6">
        <f>IF(OR($BJ479="",55&gt;設定!$B$3),"",IF(INDEX(原始資料!BF$2:BF$501,$BJ479)="","",INDEX(原始資料!BF$2:BF$501,$BJ479)))</f>
        <v/>
      </c>
      <c r="BE479" s="6">
        <f>IF(OR($BJ479="",56&gt;設定!$B$3),"",IF(INDEX(原始資料!BG$2:BG$501,$BJ479)="","",INDEX(原始資料!BG$2:BG$501,$BJ479)))</f>
        <v/>
      </c>
      <c r="BF479" s="6">
        <f>IF(OR($BJ479="",57&gt;設定!$B$3),"",IF(INDEX(原始資料!BH$2:BH$501,$BJ479)="","",INDEX(原始資料!BH$2:BH$501,$BJ479)))</f>
        <v/>
      </c>
      <c r="BG479" s="6">
        <f>IF(OR($BJ479="",58&gt;設定!$B$3),"",IF(INDEX(原始資料!BI$2:BI$501,$BJ479)="","",INDEX(原始資料!BI$2:BI$501,$BJ479)))</f>
        <v/>
      </c>
      <c r="BH479" s="6">
        <f>IF(OR($BJ479="",59&gt;設定!$B$3),"",IF(INDEX(原始資料!BJ$2:BJ$501,$BJ479)="","",INDEX(原始資料!BJ$2:BJ$501,$BJ479)))</f>
        <v/>
      </c>
      <c r="BI479" s="6">
        <f>IF(OR($BJ479="",60&gt;設定!$B$3),"",IF(INDEX(原始資料!BK$2:BK$501,$BJ479)="","",INDEX(原始資料!BK$2:BK$501,$BJ479)))</f>
        <v/>
      </c>
      <c r="BJ479" s="6">
        <f>IFERROR(MATCH(ROW()-1,判定!$H$2:$H$501,0),"")</f>
        <v/>
      </c>
    </row>
    <row r="480">
      <c r="A480" s="6">
        <f>IF($BJ480="","",INDEX(原始資料!$A$2:$A$501,$BJ480))</f>
        <v/>
      </c>
      <c r="B480" s="6">
        <f>IF(OR($BJ480="",1&gt;設定!$B$3),"",IF(INDEX(原始資料!D$2:D$501,$BJ480)="","",INDEX(原始資料!D$2:D$501,$BJ480)))</f>
        <v/>
      </c>
      <c r="C480" s="6">
        <f>IF(OR($BJ480="",2&gt;設定!$B$3),"",IF(INDEX(原始資料!E$2:E$501,$BJ480)="","",INDEX(原始資料!E$2:E$501,$BJ480)))</f>
        <v/>
      </c>
      <c r="D480" s="6">
        <f>IF(OR($BJ480="",3&gt;設定!$B$3),"",IF(INDEX(原始資料!F$2:F$501,$BJ480)="","",INDEX(原始資料!F$2:F$501,$BJ480)))</f>
        <v/>
      </c>
      <c r="E480" s="6">
        <f>IF(OR($BJ480="",4&gt;設定!$B$3),"",IF(INDEX(原始資料!G$2:G$501,$BJ480)="","",INDEX(原始資料!G$2:G$501,$BJ480)))</f>
        <v/>
      </c>
      <c r="F480" s="6">
        <f>IF(OR($BJ480="",5&gt;設定!$B$3),"",IF(INDEX(原始資料!H$2:H$501,$BJ480)="","",INDEX(原始資料!H$2:H$501,$BJ480)))</f>
        <v/>
      </c>
      <c r="G480" s="6">
        <f>IF(OR($BJ480="",6&gt;設定!$B$3),"",IF(INDEX(原始資料!I$2:I$501,$BJ480)="","",INDEX(原始資料!I$2:I$501,$BJ480)))</f>
        <v/>
      </c>
      <c r="H480" s="6">
        <f>IF(OR($BJ480="",7&gt;設定!$B$3),"",IF(INDEX(原始資料!J$2:J$501,$BJ480)="","",INDEX(原始資料!J$2:J$501,$BJ480)))</f>
        <v/>
      </c>
      <c r="I480" s="6">
        <f>IF(OR($BJ480="",8&gt;設定!$B$3),"",IF(INDEX(原始資料!K$2:K$501,$BJ480)="","",INDEX(原始資料!K$2:K$501,$BJ480)))</f>
        <v/>
      </c>
      <c r="J480" s="6">
        <f>IF(OR($BJ480="",9&gt;設定!$B$3),"",IF(INDEX(原始資料!L$2:L$501,$BJ480)="","",INDEX(原始資料!L$2:L$501,$BJ480)))</f>
        <v/>
      </c>
      <c r="K480" s="6">
        <f>IF(OR($BJ480="",10&gt;設定!$B$3),"",IF(INDEX(原始資料!M$2:M$501,$BJ480)="","",INDEX(原始資料!M$2:M$501,$BJ480)))</f>
        <v/>
      </c>
      <c r="L480" s="6">
        <f>IF(OR($BJ480="",11&gt;設定!$B$3),"",IF(INDEX(原始資料!N$2:N$501,$BJ480)="","",INDEX(原始資料!N$2:N$501,$BJ480)))</f>
        <v/>
      </c>
      <c r="M480" s="6">
        <f>IF(OR($BJ480="",12&gt;設定!$B$3),"",IF(INDEX(原始資料!O$2:O$501,$BJ480)="","",INDEX(原始資料!O$2:O$501,$BJ480)))</f>
        <v/>
      </c>
      <c r="N480" s="6">
        <f>IF(OR($BJ480="",13&gt;設定!$B$3),"",IF(INDEX(原始資料!P$2:P$501,$BJ480)="","",INDEX(原始資料!P$2:P$501,$BJ480)))</f>
        <v/>
      </c>
      <c r="O480" s="6">
        <f>IF(OR($BJ480="",14&gt;設定!$B$3),"",IF(INDEX(原始資料!Q$2:Q$501,$BJ480)="","",INDEX(原始資料!Q$2:Q$501,$BJ480)))</f>
        <v/>
      </c>
      <c r="P480" s="6">
        <f>IF(OR($BJ480="",15&gt;設定!$B$3),"",IF(INDEX(原始資料!R$2:R$501,$BJ480)="","",INDEX(原始資料!R$2:R$501,$BJ480)))</f>
        <v/>
      </c>
      <c r="Q480" s="6">
        <f>IF(OR($BJ480="",16&gt;設定!$B$3),"",IF(INDEX(原始資料!S$2:S$501,$BJ480)="","",INDEX(原始資料!S$2:S$501,$BJ480)))</f>
        <v/>
      </c>
      <c r="R480" s="6">
        <f>IF(OR($BJ480="",17&gt;設定!$B$3),"",IF(INDEX(原始資料!T$2:T$501,$BJ480)="","",INDEX(原始資料!T$2:T$501,$BJ480)))</f>
        <v/>
      </c>
      <c r="S480" s="6">
        <f>IF(OR($BJ480="",18&gt;設定!$B$3),"",IF(INDEX(原始資料!U$2:U$501,$BJ480)="","",INDEX(原始資料!U$2:U$501,$BJ480)))</f>
        <v/>
      </c>
      <c r="T480" s="6">
        <f>IF(OR($BJ480="",19&gt;設定!$B$3),"",IF(INDEX(原始資料!V$2:V$501,$BJ480)="","",INDEX(原始資料!V$2:V$501,$BJ480)))</f>
        <v/>
      </c>
      <c r="U480" s="6">
        <f>IF(OR($BJ480="",20&gt;設定!$B$3),"",IF(INDEX(原始資料!W$2:W$501,$BJ480)="","",INDEX(原始資料!W$2:W$501,$BJ480)))</f>
        <v/>
      </c>
      <c r="V480" s="6">
        <f>IF(OR($BJ480="",21&gt;設定!$B$3),"",IF(INDEX(原始資料!X$2:X$501,$BJ480)="","",INDEX(原始資料!X$2:X$501,$BJ480)))</f>
        <v/>
      </c>
      <c r="W480" s="6">
        <f>IF(OR($BJ480="",22&gt;設定!$B$3),"",IF(INDEX(原始資料!Y$2:Y$501,$BJ480)="","",INDEX(原始資料!Y$2:Y$501,$BJ480)))</f>
        <v/>
      </c>
      <c r="X480" s="6">
        <f>IF(OR($BJ480="",23&gt;設定!$B$3),"",IF(INDEX(原始資料!Z$2:Z$501,$BJ480)="","",INDEX(原始資料!Z$2:Z$501,$BJ480)))</f>
        <v/>
      </c>
      <c r="Y480" s="6">
        <f>IF(OR($BJ480="",24&gt;設定!$B$3),"",IF(INDEX(原始資料!AA$2:AA$501,$BJ480)="","",INDEX(原始資料!AA$2:AA$501,$BJ480)))</f>
        <v/>
      </c>
      <c r="Z480" s="6">
        <f>IF(OR($BJ480="",25&gt;設定!$B$3),"",IF(INDEX(原始資料!AB$2:AB$501,$BJ480)="","",INDEX(原始資料!AB$2:AB$501,$BJ480)))</f>
        <v/>
      </c>
      <c r="AA480" s="6">
        <f>IF(OR($BJ480="",26&gt;設定!$B$3),"",IF(INDEX(原始資料!AC$2:AC$501,$BJ480)="","",INDEX(原始資料!AC$2:AC$501,$BJ480)))</f>
        <v/>
      </c>
      <c r="AB480" s="6">
        <f>IF(OR($BJ480="",27&gt;設定!$B$3),"",IF(INDEX(原始資料!AD$2:AD$501,$BJ480)="","",INDEX(原始資料!AD$2:AD$501,$BJ480)))</f>
        <v/>
      </c>
      <c r="AC480" s="6">
        <f>IF(OR($BJ480="",28&gt;設定!$B$3),"",IF(INDEX(原始資料!AE$2:AE$501,$BJ480)="","",INDEX(原始資料!AE$2:AE$501,$BJ480)))</f>
        <v/>
      </c>
      <c r="AD480" s="6">
        <f>IF(OR($BJ480="",29&gt;設定!$B$3),"",IF(INDEX(原始資料!AF$2:AF$501,$BJ480)="","",INDEX(原始資料!AF$2:AF$501,$BJ480)))</f>
        <v/>
      </c>
      <c r="AE480" s="6">
        <f>IF(OR($BJ480="",30&gt;設定!$B$3),"",IF(INDEX(原始資料!AG$2:AG$501,$BJ480)="","",INDEX(原始資料!AG$2:AG$501,$BJ480)))</f>
        <v/>
      </c>
      <c r="AF480" s="6">
        <f>IF(OR($BJ480="",31&gt;設定!$B$3),"",IF(INDEX(原始資料!AH$2:AH$501,$BJ480)="","",INDEX(原始資料!AH$2:AH$501,$BJ480)))</f>
        <v/>
      </c>
      <c r="AG480" s="6">
        <f>IF(OR($BJ480="",32&gt;設定!$B$3),"",IF(INDEX(原始資料!AI$2:AI$501,$BJ480)="","",INDEX(原始資料!AI$2:AI$501,$BJ480)))</f>
        <v/>
      </c>
      <c r="AH480" s="6">
        <f>IF(OR($BJ480="",33&gt;設定!$B$3),"",IF(INDEX(原始資料!AJ$2:AJ$501,$BJ480)="","",INDEX(原始資料!AJ$2:AJ$501,$BJ480)))</f>
        <v/>
      </c>
      <c r="AI480" s="6">
        <f>IF(OR($BJ480="",34&gt;設定!$B$3),"",IF(INDEX(原始資料!AK$2:AK$501,$BJ480)="","",INDEX(原始資料!AK$2:AK$501,$BJ480)))</f>
        <v/>
      </c>
      <c r="AJ480" s="6">
        <f>IF(OR($BJ480="",35&gt;設定!$B$3),"",IF(INDEX(原始資料!AL$2:AL$501,$BJ480)="","",INDEX(原始資料!AL$2:AL$501,$BJ480)))</f>
        <v/>
      </c>
      <c r="AK480" s="6">
        <f>IF(OR($BJ480="",36&gt;設定!$B$3),"",IF(INDEX(原始資料!AM$2:AM$501,$BJ480)="","",INDEX(原始資料!AM$2:AM$501,$BJ480)))</f>
        <v/>
      </c>
      <c r="AL480" s="6">
        <f>IF(OR($BJ480="",37&gt;設定!$B$3),"",IF(INDEX(原始資料!AN$2:AN$501,$BJ480)="","",INDEX(原始資料!AN$2:AN$501,$BJ480)))</f>
        <v/>
      </c>
      <c r="AM480" s="6">
        <f>IF(OR($BJ480="",38&gt;設定!$B$3),"",IF(INDEX(原始資料!AO$2:AO$501,$BJ480)="","",INDEX(原始資料!AO$2:AO$501,$BJ480)))</f>
        <v/>
      </c>
      <c r="AN480" s="6">
        <f>IF(OR($BJ480="",39&gt;設定!$B$3),"",IF(INDEX(原始資料!AP$2:AP$501,$BJ480)="","",INDEX(原始資料!AP$2:AP$501,$BJ480)))</f>
        <v/>
      </c>
      <c r="AO480" s="6">
        <f>IF(OR($BJ480="",40&gt;設定!$B$3),"",IF(INDEX(原始資料!AQ$2:AQ$501,$BJ480)="","",INDEX(原始資料!AQ$2:AQ$501,$BJ480)))</f>
        <v/>
      </c>
      <c r="AP480" s="6">
        <f>IF(OR($BJ480="",41&gt;設定!$B$3),"",IF(INDEX(原始資料!AR$2:AR$501,$BJ480)="","",INDEX(原始資料!AR$2:AR$501,$BJ480)))</f>
        <v/>
      </c>
      <c r="AQ480" s="6">
        <f>IF(OR($BJ480="",42&gt;設定!$B$3),"",IF(INDEX(原始資料!AS$2:AS$501,$BJ480)="","",INDEX(原始資料!AS$2:AS$501,$BJ480)))</f>
        <v/>
      </c>
      <c r="AR480" s="6">
        <f>IF(OR($BJ480="",43&gt;設定!$B$3),"",IF(INDEX(原始資料!AT$2:AT$501,$BJ480)="","",INDEX(原始資料!AT$2:AT$501,$BJ480)))</f>
        <v/>
      </c>
      <c r="AS480" s="6">
        <f>IF(OR($BJ480="",44&gt;設定!$B$3),"",IF(INDEX(原始資料!AU$2:AU$501,$BJ480)="","",INDEX(原始資料!AU$2:AU$501,$BJ480)))</f>
        <v/>
      </c>
      <c r="AT480" s="6">
        <f>IF(OR($BJ480="",45&gt;設定!$B$3),"",IF(INDEX(原始資料!AV$2:AV$501,$BJ480)="","",INDEX(原始資料!AV$2:AV$501,$BJ480)))</f>
        <v/>
      </c>
      <c r="AU480" s="6">
        <f>IF(OR($BJ480="",46&gt;設定!$B$3),"",IF(INDEX(原始資料!AW$2:AW$501,$BJ480)="","",INDEX(原始資料!AW$2:AW$501,$BJ480)))</f>
        <v/>
      </c>
      <c r="AV480" s="6">
        <f>IF(OR($BJ480="",47&gt;設定!$B$3),"",IF(INDEX(原始資料!AX$2:AX$501,$BJ480)="","",INDEX(原始資料!AX$2:AX$501,$BJ480)))</f>
        <v/>
      </c>
      <c r="AW480" s="6">
        <f>IF(OR($BJ480="",48&gt;設定!$B$3),"",IF(INDEX(原始資料!AY$2:AY$501,$BJ480)="","",INDEX(原始資料!AY$2:AY$501,$BJ480)))</f>
        <v/>
      </c>
      <c r="AX480" s="6">
        <f>IF(OR($BJ480="",49&gt;設定!$B$3),"",IF(INDEX(原始資料!AZ$2:AZ$501,$BJ480)="","",INDEX(原始資料!AZ$2:AZ$501,$BJ480)))</f>
        <v/>
      </c>
      <c r="AY480" s="6">
        <f>IF(OR($BJ480="",50&gt;設定!$B$3),"",IF(INDEX(原始資料!BA$2:BA$501,$BJ480)="","",INDEX(原始資料!BA$2:BA$501,$BJ480)))</f>
        <v/>
      </c>
      <c r="AZ480" s="6">
        <f>IF(OR($BJ480="",51&gt;設定!$B$3),"",IF(INDEX(原始資料!BB$2:BB$501,$BJ480)="","",INDEX(原始資料!BB$2:BB$501,$BJ480)))</f>
        <v/>
      </c>
      <c r="BA480" s="6">
        <f>IF(OR($BJ480="",52&gt;設定!$B$3),"",IF(INDEX(原始資料!BC$2:BC$501,$BJ480)="","",INDEX(原始資料!BC$2:BC$501,$BJ480)))</f>
        <v/>
      </c>
      <c r="BB480" s="6">
        <f>IF(OR($BJ480="",53&gt;設定!$B$3),"",IF(INDEX(原始資料!BD$2:BD$501,$BJ480)="","",INDEX(原始資料!BD$2:BD$501,$BJ480)))</f>
        <v/>
      </c>
      <c r="BC480" s="6">
        <f>IF(OR($BJ480="",54&gt;設定!$B$3),"",IF(INDEX(原始資料!BE$2:BE$501,$BJ480)="","",INDEX(原始資料!BE$2:BE$501,$BJ480)))</f>
        <v/>
      </c>
      <c r="BD480" s="6">
        <f>IF(OR($BJ480="",55&gt;設定!$B$3),"",IF(INDEX(原始資料!BF$2:BF$501,$BJ480)="","",INDEX(原始資料!BF$2:BF$501,$BJ480)))</f>
        <v/>
      </c>
      <c r="BE480" s="6">
        <f>IF(OR($BJ480="",56&gt;設定!$B$3),"",IF(INDEX(原始資料!BG$2:BG$501,$BJ480)="","",INDEX(原始資料!BG$2:BG$501,$BJ480)))</f>
        <v/>
      </c>
      <c r="BF480" s="6">
        <f>IF(OR($BJ480="",57&gt;設定!$B$3),"",IF(INDEX(原始資料!BH$2:BH$501,$BJ480)="","",INDEX(原始資料!BH$2:BH$501,$BJ480)))</f>
        <v/>
      </c>
      <c r="BG480" s="6">
        <f>IF(OR($BJ480="",58&gt;設定!$B$3),"",IF(INDEX(原始資料!BI$2:BI$501,$BJ480)="","",INDEX(原始資料!BI$2:BI$501,$BJ480)))</f>
        <v/>
      </c>
      <c r="BH480" s="6">
        <f>IF(OR($BJ480="",59&gt;設定!$B$3),"",IF(INDEX(原始資料!BJ$2:BJ$501,$BJ480)="","",INDEX(原始資料!BJ$2:BJ$501,$BJ480)))</f>
        <v/>
      </c>
      <c r="BI480" s="6">
        <f>IF(OR($BJ480="",60&gt;設定!$B$3),"",IF(INDEX(原始資料!BK$2:BK$501,$BJ480)="","",INDEX(原始資料!BK$2:BK$501,$BJ480)))</f>
        <v/>
      </c>
      <c r="BJ480" s="6">
        <f>IFERROR(MATCH(ROW()-1,判定!$H$2:$H$501,0),"")</f>
        <v/>
      </c>
    </row>
    <row r="481">
      <c r="A481" s="6">
        <f>IF($BJ481="","",INDEX(原始資料!$A$2:$A$501,$BJ481))</f>
        <v/>
      </c>
      <c r="B481" s="6">
        <f>IF(OR($BJ481="",1&gt;設定!$B$3),"",IF(INDEX(原始資料!D$2:D$501,$BJ481)="","",INDEX(原始資料!D$2:D$501,$BJ481)))</f>
        <v/>
      </c>
      <c r="C481" s="6">
        <f>IF(OR($BJ481="",2&gt;設定!$B$3),"",IF(INDEX(原始資料!E$2:E$501,$BJ481)="","",INDEX(原始資料!E$2:E$501,$BJ481)))</f>
        <v/>
      </c>
      <c r="D481" s="6">
        <f>IF(OR($BJ481="",3&gt;設定!$B$3),"",IF(INDEX(原始資料!F$2:F$501,$BJ481)="","",INDEX(原始資料!F$2:F$501,$BJ481)))</f>
        <v/>
      </c>
      <c r="E481" s="6">
        <f>IF(OR($BJ481="",4&gt;設定!$B$3),"",IF(INDEX(原始資料!G$2:G$501,$BJ481)="","",INDEX(原始資料!G$2:G$501,$BJ481)))</f>
        <v/>
      </c>
      <c r="F481" s="6">
        <f>IF(OR($BJ481="",5&gt;設定!$B$3),"",IF(INDEX(原始資料!H$2:H$501,$BJ481)="","",INDEX(原始資料!H$2:H$501,$BJ481)))</f>
        <v/>
      </c>
      <c r="G481" s="6">
        <f>IF(OR($BJ481="",6&gt;設定!$B$3),"",IF(INDEX(原始資料!I$2:I$501,$BJ481)="","",INDEX(原始資料!I$2:I$501,$BJ481)))</f>
        <v/>
      </c>
      <c r="H481" s="6">
        <f>IF(OR($BJ481="",7&gt;設定!$B$3),"",IF(INDEX(原始資料!J$2:J$501,$BJ481)="","",INDEX(原始資料!J$2:J$501,$BJ481)))</f>
        <v/>
      </c>
      <c r="I481" s="6">
        <f>IF(OR($BJ481="",8&gt;設定!$B$3),"",IF(INDEX(原始資料!K$2:K$501,$BJ481)="","",INDEX(原始資料!K$2:K$501,$BJ481)))</f>
        <v/>
      </c>
      <c r="J481" s="6">
        <f>IF(OR($BJ481="",9&gt;設定!$B$3),"",IF(INDEX(原始資料!L$2:L$501,$BJ481)="","",INDEX(原始資料!L$2:L$501,$BJ481)))</f>
        <v/>
      </c>
      <c r="K481" s="6">
        <f>IF(OR($BJ481="",10&gt;設定!$B$3),"",IF(INDEX(原始資料!M$2:M$501,$BJ481)="","",INDEX(原始資料!M$2:M$501,$BJ481)))</f>
        <v/>
      </c>
      <c r="L481" s="6">
        <f>IF(OR($BJ481="",11&gt;設定!$B$3),"",IF(INDEX(原始資料!N$2:N$501,$BJ481)="","",INDEX(原始資料!N$2:N$501,$BJ481)))</f>
        <v/>
      </c>
      <c r="M481" s="6">
        <f>IF(OR($BJ481="",12&gt;設定!$B$3),"",IF(INDEX(原始資料!O$2:O$501,$BJ481)="","",INDEX(原始資料!O$2:O$501,$BJ481)))</f>
        <v/>
      </c>
      <c r="N481" s="6">
        <f>IF(OR($BJ481="",13&gt;設定!$B$3),"",IF(INDEX(原始資料!P$2:P$501,$BJ481)="","",INDEX(原始資料!P$2:P$501,$BJ481)))</f>
        <v/>
      </c>
      <c r="O481" s="6">
        <f>IF(OR($BJ481="",14&gt;設定!$B$3),"",IF(INDEX(原始資料!Q$2:Q$501,$BJ481)="","",INDEX(原始資料!Q$2:Q$501,$BJ481)))</f>
        <v/>
      </c>
      <c r="P481" s="6">
        <f>IF(OR($BJ481="",15&gt;設定!$B$3),"",IF(INDEX(原始資料!R$2:R$501,$BJ481)="","",INDEX(原始資料!R$2:R$501,$BJ481)))</f>
        <v/>
      </c>
      <c r="Q481" s="6">
        <f>IF(OR($BJ481="",16&gt;設定!$B$3),"",IF(INDEX(原始資料!S$2:S$501,$BJ481)="","",INDEX(原始資料!S$2:S$501,$BJ481)))</f>
        <v/>
      </c>
      <c r="R481" s="6">
        <f>IF(OR($BJ481="",17&gt;設定!$B$3),"",IF(INDEX(原始資料!T$2:T$501,$BJ481)="","",INDEX(原始資料!T$2:T$501,$BJ481)))</f>
        <v/>
      </c>
      <c r="S481" s="6">
        <f>IF(OR($BJ481="",18&gt;設定!$B$3),"",IF(INDEX(原始資料!U$2:U$501,$BJ481)="","",INDEX(原始資料!U$2:U$501,$BJ481)))</f>
        <v/>
      </c>
      <c r="T481" s="6">
        <f>IF(OR($BJ481="",19&gt;設定!$B$3),"",IF(INDEX(原始資料!V$2:V$501,$BJ481)="","",INDEX(原始資料!V$2:V$501,$BJ481)))</f>
        <v/>
      </c>
      <c r="U481" s="6">
        <f>IF(OR($BJ481="",20&gt;設定!$B$3),"",IF(INDEX(原始資料!W$2:W$501,$BJ481)="","",INDEX(原始資料!W$2:W$501,$BJ481)))</f>
        <v/>
      </c>
      <c r="V481" s="6">
        <f>IF(OR($BJ481="",21&gt;設定!$B$3),"",IF(INDEX(原始資料!X$2:X$501,$BJ481)="","",INDEX(原始資料!X$2:X$501,$BJ481)))</f>
        <v/>
      </c>
      <c r="W481" s="6">
        <f>IF(OR($BJ481="",22&gt;設定!$B$3),"",IF(INDEX(原始資料!Y$2:Y$501,$BJ481)="","",INDEX(原始資料!Y$2:Y$501,$BJ481)))</f>
        <v/>
      </c>
      <c r="X481" s="6">
        <f>IF(OR($BJ481="",23&gt;設定!$B$3),"",IF(INDEX(原始資料!Z$2:Z$501,$BJ481)="","",INDEX(原始資料!Z$2:Z$501,$BJ481)))</f>
        <v/>
      </c>
      <c r="Y481" s="6">
        <f>IF(OR($BJ481="",24&gt;設定!$B$3),"",IF(INDEX(原始資料!AA$2:AA$501,$BJ481)="","",INDEX(原始資料!AA$2:AA$501,$BJ481)))</f>
        <v/>
      </c>
      <c r="Z481" s="6">
        <f>IF(OR($BJ481="",25&gt;設定!$B$3),"",IF(INDEX(原始資料!AB$2:AB$501,$BJ481)="","",INDEX(原始資料!AB$2:AB$501,$BJ481)))</f>
        <v/>
      </c>
      <c r="AA481" s="6">
        <f>IF(OR($BJ481="",26&gt;設定!$B$3),"",IF(INDEX(原始資料!AC$2:AC$501,$BJ481)="","",INDEX(原始資料!AC$2:AC$501,$BJ481)))</f>
        <v/>
      </c>
      <c r="AB481" s="6">
        <f>IF(OR($BJ481="",27&gt;設定!$B$3),"",IF(INDEX(原始資料!AD$2:AD$501,$BJ481)="","",INDEX(原始資料!AD$2:AD$501,$BJ481)))</f>
        <v/>
      </c>
      <c r="AC481" s="6">
        <f>IF(OR($BJ481="",28&gt;設定!$B$3),"",IF(INDEX(原始資料!AE$2:AE$501,$BJ481)="","",INDEX(原始資料!AE$2:AE$501,$BJ481)))</f>
        <v/>
      </c>
      <c r="AD481" s="6">
        <f>IF(OR($BJ481="",29&gt;設定!$B$3),"",IF(INDEX(原始資料!AF$2:AF$501,$BJ481)="","",INDEX(原始資料!AF$2:AF$501,$BJ481)))</f>
        <v/>
      </c>
      <c r="AE481" s="6">
        <f>IF(OR($BJ481="",30&gt;設定!$B$3),"",IF(INDEX(原始資料!AG$2:AG$501,$BJ481)="","",INDEX(原始資料!AG$2:AG$501,$BJ481)))</f>
        <v/>
      </c>
      <c r="AF481" s="6">
        <f>IF(OR($BJ481="",31&gt;設定!$B$3),"",IF(INDEX(原始資料!AH$2:AH$501,$BJ481)="","",INDEX(原始資料!AH$2:AH$501,$BJ481)))</f>
        <v/>
      </c>
      <c r="AG481" s="6">
        <f>IF(OR($BJ481="",32&gt;設定!$B$3),"",IF(INDEX(原始資料!AI$2:AI$501,$BJ481)="","",INDEX(原始資料!AI$2:AI$501,$BJ481)))</f>
        <v/>
      </c>
      <c r="AH481" s="6">
        <f>IF(OR($BJ481="",33&gt;設定!$B$3),"",IF(INDEX(原始資料!AJ$2:AJ$501,$BJ481)="","",INDEX(原始資料!AJ$2:AJ$501,$BJ481)))</f>
        <v/>
      </c>
      <c r="AI481" s="6">
        <f>IF(OR($BJ481="",34&gt;設定!$B$3),"",IF(INDEX(原始資料!AK$2:AK$501,$BJ481)="","",INDEX(原始資料!AK$2:AK$501,$BJ481)))</f>
        <v/>
      </c>
      <c r="AJ481" s="6">
        <f>IF(OR($BJ481="",35&gt;設定!$B$3),"",IF(INDEX(原始資料!AL$2:AL$501,$BJ481)="","",INDEX(原始資料!AL$2:AL$501,$BJ481)))</f>
        <v/>
      </c>
      <c r="AK481" s="6">
        <f>IF(OR($BJ481="",36&gt;設定!$B$3),"",IF(INDEX(原始資料!AM$2:AM$501,$BJ481)="","",INDEX(原始資料!AM$2:AM$501,$BJ481)))</f>
        <v/>
      </c>
      <c r="AL481" s="6">
        <f>IF(OR($BJ481="",37&gt;設定!$B$3),"",IF(INDEX(原始資料!AN$2:AN$501,$BJ481)="","",INDEX(原始資料!AN$2:AN$501,$BJ481)))</f>
        <v/>
      </c>
      <c r="AM481" s="6">
        <f>IF(OR($BJ481="",38&gt;設定!$B$3),"",IF(INDEX(原始資料!AO$2:AO$501,$BJ481)="","",INDEX(原始資料!AO$2:AO$501,$BJ481)))</f>
        <v/>
      </c>
      <c r="AN481" s="6">
        <f>IF(OR($BJ481="",39&gt;設定!$B$3),"",IF(INDEX(原始資料!AP$2:AP$501,$BJ481)="","",INDEX(原始資料!AP$2:AP$501,$BJ481)))</f>
        <v/>
      </c>
      <c r="AO481" s="6">
        <f>IF(OR($BJ481="",40&gt;設定!$B$3),"",IF(INDEX(原始資料!AQ$2:AQ$501,$BJ481)="","",INDEX(原始資料!AQ$2:AQ$501,$BJ481)))</f>
        <v/>
      </c>
      <c r="AP481" s="6">
        <f>IF(OR($BJ481="",41&gt;設定!$B$3),"",IF(INDEX(原始資料!AR$2:AR$501,$BJ481)="","",INDEX(原始資料!AR$2:AR$501,$BJ481)))</f>
        <v/>
      </c>
      <c r="AQ481" s="6">
        <f>IF(OR($BJ481="",42&gt;設定!$B$3),"",IF(INDEX(原始資料!AS$2:AS$501,$BJ481)="","",INDEX(原始資料!AS$2:AS$501,$BJ481)))</f>
        <v/>
      </c>
      <c r="AR481" s="6">
        <f>IF(OR($BJ481="",43&gt;設定!$B$3),"",IF(INDEX(原始資料!AT$2:AT$501,$BJ481)="","",INDEX(原始資料!AT$2:AT$501,$BJ481)))</f>
        <v/>
      </c>
      <c r="AS481" s="6">
        <f>IF(OR($BJ481="",44&gt;設定!$B$3),"",IF(INDEX(原始資料!AU$2:AU$501,$BJ481)="","",INDEX(原始資料!AU$2:AU$501,$BJ481)))</f>
        <v/>
      </c>
      <c r="AT481" s="6">
        <f>IF(OR($BJ481="",45&gt;設定!$B$3),"",IF(INDEX(原始資料!AV$2:AV$501,$BJ481)="","",INDEX(原始資料!AV$2:AV$501,$BJ481)))</f>
        <v/>
      </c>
      <c r="AU481" s="6">
        <f>IF(OR($BJ481="",46&gt;設定!$B$3),"",IF(INDEX(原始資料!AW$2:AW$501,$BJ481)="","",INDEX(原始資料!AW$2:AW$501,$BJ481)))</f>
        <v/>
      </c>
      <c r="AV481" s="6">
        <f>IF(OR($BJ481="",47&gt;設定!$B$3),"",IF(INDEX(原始資料!AX$2:AX$501,$BJ481)="","",INDEX(原始資料!AX$2:AX$501,$BJ481)))</f>
        <v/>
      </c>
      <c r="AW481" s="6">
        <f>IF(OR($BJ481="",48&gt;設定!$B$3),"",IF(INDEX(原始資料!AY$2:AY$501,$BJ481)="","",INDEX(原始資料!AY$2:AY$501,$BJ481)))</f>
        <v/>
      </c>
      <c r="AX481" s="6">
        <f>IF(OR($BJ481="",49&gt;設定!$B$3),"",IF(INDEX(原始資料!AZ$2:AZ$501,$BJ481)="","",INDEX(原始資料!AZ$2:AZ$501,$BJ481)))</f>
        <v/>
      </c>
      <c r="AY481" s="6">
        <f>IF(OR($BJ481="",50&gt;設定!$B$3),"",IF(INDEX(原始資料!BA$2:BA$501,$BJ481)="","",INDEX(原始資料!BA$2:BA$501,$BJ481)))</f>
        <v/>
      </c>
      <c r="AZ481" s="6">
        <f>IF(OR($BJ481="",51&gt;設定!$B$3),"",IF(INDEX(原始資料!BB$2:BB$501,$BJ481)="","",INDEX(原始資料!BB$2:BB$501,$BJ481)))</f>
        <v/>
      </c>
      <c r="BA481" s="6">
        <f>IF(OR($BJ481="",52&gt;設定!$B$3),"",IF(INDEX(原始資料!BC$2:BC$501,$BJ481)="","",INDEX(原始資料!BC$2:BC$501,$BJ481)))</f>
        <v/>
      </c>
      <c r="BB481" s="6">
        <f>IF(OR($BJ481="",53&gt;設定!$B$3),"",IF(INDEX(原始資料!BD$2:BD$501,$BJ481)="","",INDEX(原始資料!BD$2:BD$501,$BJ481)))</f>
        <v/>
      </c>
      <c r="BC481" s="6">
        <f>IF(OR($BJ481="",54&gt;設定!$B$3),"",IF(INDEX(原始資料!BE$2:BE$501,$BJ481)="","",INDEX(原始資料!BE$2:BE$501,$BJ481)))</f>
        <v/>
      </c>
      <c r="BD481" s="6">
        <f>IF(OR($BJ481="",55&gt;設定!$B$3),"",IF(INDEX(原始資料!BF$2:BF$501,$BJ481)="","",INDEX(原始資料!BF$2:BF$501,$BJ481)))</f>
        <v/>
      </c>
      <c r="BE481" s="6">
        <f>IF(OR($BJ481="",56&gt;設定!$B$3),"",IF(INDEX(原始資料!BG$2:BG$501,$BJ481)="","",INDEX(原始資料!BG$2:BG$501,$BJ481)))</f>
        <v/>
      </c>
      <c r="BF481" s="6">
        <f>IF(OR($BJ481="",57&gt;設定!$B$3),"",IF(INDEX(原始資料!BH$2:BH$501,$BJ481)="","",INDEX(原始資料!BH$2:BH$501,$BJ481)))</f>
        <v/>
      </c>
      <c r="BG481" s="6">
        <f>IF(OR($BJ481="",58&gt;設定!$B$3),"",IF(INDEX(原始資料!BI$2:BI$501,$BJ481)="","",INDEX(原始資料!BI$2:BI$501,$BJ481)))</f>
        <v/>
      </c>
      <c r="BH481" s="6">
        <f>IF(OR($BJ481="",59&gt;設定!$B$3),"",IF(INDEX(原始資料!BJ$2:BJ$501,$BJ481)="","",INDEX(原始資料!BJ$2:BJ$501,$BJ481)))</f>
        <v/>
      </c>
      <c r="BI481" s="6">
        <f>IF(OR($BJ481="",60&gt;設定!$B$3),"",IF(INDEX(原始資料!BK$2:BK$501,$BJ481)="","",INDEX(原始資料!BK$2:BK$501,$BJ481)))</f>
        <v/>
      </c>
      <c r="BJ481" s="6">
        <f>IFERROR(MATCH(ROW()-1,判定!$H$2:$H$501,0),"")</f>
        <v/>
      </c>
    </row>
    <row r="482">
      <c r="A482" s="6">
        <f>IF($BJ482="","",INDEX(原始資料!$A$2:$A$501,$BJ482))</f>
        <v/>
      </c>
      <c r="B482" s="6">
        <f>IF(OR($BJ482="",1&gt;設定!$B$3),"",IF(INDEX(原始資料!D$2:D$501,$BJ482)="","",INDEX(原始資料!D$2:D$501,$BJ482)))</f>
        <v/>
      </c>
      <c r="C482" s="6">
        <f>IF(OR($BJ482="",2&gt;設定!$B$3),"",IF(INDEX(原始資料!E$2:E$501,$BJ482)="","",INDEX(原始資料!E$2:E$501,$BJ482)))</f>
        <v/>
      </c>
      <c r="D482" s="6">
        <f>IF(OR($BJ482="",3&gt;設定!$B$3),"",IF(INDEX(原始資料!F$2:F$501,$BJ482)="","",INDEX(原始資料!F$2:F$501,$BJ482)))</f>
        <v/>
      </c>
      <c r="E482" s="6">
        <f>IF(OR($BJ482="",4&gt;設定!$B$3),"",IF(INDEX(原始資料!G$2:G$501,$BJ482)="","",INDEX(原始資料!G$2:G$501,$BJ482)))</f>
        <v/>
      </c>
      <c r="F482" s="6">
        <f>IF(OR($BJ482="",5&gt;設定!$B$3),"",IF(INDEX(原始資料!H$2:H$501,$BJ482)="","",INDEX(原始資料!H$2:H$501,$BJ482)))</f>
        <v/>
      </c>
      <c r="G482" s="6">
        <f>IF(OR($BJ482="",6&gt;設定!$B$3),"",IF(INDEX(原始資料!I$2:I$501,$BJ482)="","",INDEX(原始資料!I$2:I$501,$BJ482)))</f>
        <v/>
      </c>
      <c r="H482" s="6">
        <f>IF(OR($BJ482="",7&gt;設定!$B$3),"",IF(INDEX(原始資料!J$2:J$501,$BJ482)="","",INDEX(原始資料!J$2:J$501,$BJ482)))</f>
        <v/>
      </c>
      <c r="I482" s="6">
        <f>IF(OR($BJ482="",8&gt;設定!$B$3),"",IF(INDEX(原始資料!K$2:K$501,$BJ482)="","",INDEX(原始資料!K$2:K$501,$BJ482)))</f>
        <v/>
      </c>
      <c r="J482" s="6">
        <f>IF(OR($BJ482="",9&gt;設定!$B$3),"",IF(INDEX(原始資料!L$2:L$501,$BJ482)="","",INDEX(原始資料!L$2:L$501,$BJ482)))</f>
        <v/>
      </c>
      <c r="K482" s="6">
        <f>IF(OR($BJ482="",10&gt;設定!$B$3),"",IF(INDEX(原始資料!M$2:M$501,$BJ482)="","",INDEX(原始資料!M$2:M$501,$BJ482)))</f>
        <v/>
      </c>
      <c r="L482" s="6">
        <f>IF(OR($BJ482="",11&gt;設定!$B$3),"",IF(INDEX(原始資料!N$2:N$501,$BJ482)="","",INDEX(原始資料!N$2:N$501,$BJ482)))</f>
        <v/>
      </c>
      <c r="M482" s="6">
        <f>IF(OR($BJ482="",12&gt;設定!$B$3),"",IF(INDEX(原始資料!O$2:O$501,$BJ482)="","",INDEX(原始資料!O$2:O$501,$BJ482)))</f>
        <v/>
      </c>
      <c r="N482" s="6">
        <f>IF(OR($BJ482="",13&gt;設定!$B$3),"",IF(INDEX(原始資料!P$2:P$501,$BJ482)="","",INDEX(原始資料!P$2:P$501,$BJ482)))</f>
        <v/>
      </c>
      <c r="O482" s="6">
        <f>IF(OR($BJ482="",14&gt;設定!$B$3),"",IF(INDEX(原始資料!Q$2:Q$501,$BJ482)="","",INDEX(原始資料!Q$2:Q$501,$BJ482)))</f>
        <v/>
      </c>
      <c r="P482" s="6">
        <f>IF(OR($BJ482="",15&gt;設定!$B$3),"",IF(INDEX(原始資料!R$2:R$501,$BJ482)="","",INDEX(原始資料!R$2:R$501,$BJ482)))</f>
        <v/>
      </c>
      <c r="Q482" s="6">
        <f>IF(OR($BJ482="",16&gt;設定!$B$3),"",IF(INDEX(原始資料!S$2:S$501,$BJ482)="","",INDEX(原始資料!S$2:S$501,$BJ482)))</f>
        <v/>
      </c>
      <c r="R482" s="6">
        <f>IF(OR($BJ482="",17&gt;設定!$B$3),"",IF(INDEX(原始資料!T$2:T$501,$BJ482)="","",INDEX(原始資料!T$2:T$501,$BJ482)))</f>
        <v/>
      </c>
      <c r="S482" s="6">
        <f>IF(OR($BJ482="",18&gt;設定!$B$3),"",IF(INDEX(原始資料!U$2:U$501,$BJ482)="","",INDEX(原始資料!U$2:U$501,$BJ482)))</f>
        <v/>
      </c>
      <c r="T482" s="6">
        <f>IF(OR($BJ482="",19&gt;設定!$B$3),"",IF(INDEX(原始資料!V$2:V$501,$BJ482)="","",INDEX(原始資料!V$2:V$501,$BJ482)))</f>
        <v/>
      </c>
      <c r="U482" s="6">
        <f>IF(OR($BJ482="",20&gt;設定!$B$3),"",IF(INDEX(原始資料!W$2:W$501,$BJ482)="","",INDEX(原始資料!W$2:W$501,$BJ482)))</f>
        <v/>
      </c>
      <c r="V482" s="6">
        <f>IF(OR($BJ482="",21&gt;設定!$B$3),"",IF(INDEX(原始資料!X$2:X$501,$BJ482)="","",INDEX(原始資料!X$2:X$501,$BJ482)))</f>
        <v/>
      </c>
      <c r="W482" s="6">
        <f>IF(OR($BJ482="",22&gt;設定!$B$3),"",IF(INDEX(原始資料!Y$2:Y$501,$BJ482)="","",INDEX(原始資料!Y$2:Y$501,$BJ482)))</f>
        <v/>
      </c>
      <c r="X482" s="6">
        <f>IF(OR($BJ482="",23&gt;設定!$B$3),"",IF(INDEX(原始資料!Z$2:Z$501,$BJ482)="","",INDEX(原始資料!Z$2:Z$501,$BJ482)))</f>
        <v/>
      </c>
      <c r="Y482" s="6">
        <f>IF(OR($BJ482="",24&gt;設定!$B$3),"",IF(INDEX(原始資料!AA$2:AA$501,$BJ482)="","",INDEX(原始資料!AA$2:AA$501,$BJ482)))</f>
        <v/>
      </c>
      <c r="Z482" s="6">
        <f>IF(OR($BJ482="",25&gt;設定!$B$3),"",IF(INDEX(原始資料!AB$2:AB$501,$BJ482)="","",INDEX(原始資料!AB$2:AB$501,$BJ482)))</f>
        <v/>
      </c>
      <c r="AA482" s="6">
        <f>IF(OR($BJ482="",26&gt;設定!$B$3),"",IF(INDEX(原始資料!AC$2:AC$501,$BJ482)="","",INDEX(原始資料!AC$2:AC$501,$BJ482)))</f>
        <v/>
      </c>
      <c r="AB482" s="6">
        <f>IF(OR($BJ482="",27&gt;設定!$B$3),"",IF(INDEX(原始資料!AD$2:AD$501,$BJ482)="","",INDEX(原始資料!AD$2:AD$501,$BJ482)))</f>
        <v/>
      </c>
      <c r="AC482" s="6">
        <f>IF(OR($BJ482="",28&gt;設定!$B$3),"",IF(INDEX(原始資料!AE$2:AE$501,$BJ482)="","",INDEX(原始資料!AE$2:AE$501,$BJ482)))</f>
        <v/>
      </c>
      <c r="AD482" s="6">
        <f>IF(OR($BJ482="",29&gt;設定!$B$3),"",IF(INDEX(原始資料!AF$2:AF$501,$BJ482)="","",INDEX(原始資料!AF$2:AF$501,$BJ482)))</f>
        <v/>
      </c>
      <c r="AE482" s="6">
        <f>IF(OR($BJ482="",30&gt;設定!$B$3),"",IF(INDEX(原始資料!AG$2:AG$501,$BJ482)="","",INDEX(原始資料!AG$2:AG$501,$BJ482)))</f>
        <v/>
      </c>
      <c r="AF482" s="6">
        <f>IF(OR($BJ482="",31&gt;設定!$B$3),"",IF(INDEX(原始資料!AH$2:AH$501,$BJ482)="","",INDEX(原始資料!AH$2:AH$501,$BJ482)))</f>
        <v/>
      </c>
      <c r="AG482" s="6">
        <f>IF(OR($BJ482="",32&gt;設定!$B$3),"",IF(INDEX(原始資料!AI$2:AI$501,$BJ482)="","",INDEX(原始資料!AI$2:AI$501,$BJ482)))</f>
        <v/>
      </c>
      <c r="AH482" s="6">
        <f>IF(OR($BJ482="",33&gt;設定!$B$3),"",IF(INDEX(原始資料!AJ$2:AJ$501,$BJ482)="","",INDEX(原始資料!AJ$2:AJ$501,$BJ482)))</f>
        <v/>
      </c>
      <c r="AI482" s="6">
        <f>IF(OR($BJ482="",34&gt;設定!$B$3),"",IF(INDEX(原始資料!AK$2:AK$501,$BJ482)="","",INDEX(原始資料!AK$2:AK$501,$BJ482)))</f>
        <v/>
      </c>
      <c r="AJ482" s="6">
        <f>IF(OR($BJ482="",35&gt;設定!$B$3),"",IF(INDEX(原始資料!AL$2:AL$501,$BJ482)="","",INDEX(原始資料!AL$2:AL$501,$BJ482)))</f>
        <v/>
      </c>
      <c r="AK482" s="6">
        <f>IF(OR($BJ482="",36&gt;設定!$B$3),"",IF(INDEX(原始資料!AM$2:AM$501,$BJ482)="","",INDEX(原始資料!AM$2:AM$501,$BJ482)))</f>
        <v/>
      </c>
      <c r="AL482" s="6">
        <f>IF(OR($BJ482="",37&gt;設定!$B$3),"",IF(INDEX(原始資料!AN$2:AN$501,$BJ482)="","",INDEX(原始資料!AN$2:AN$501,$BJ482)))</f>
        <v/>
      </c>
      <c r="AM482" s="6">
        <f>IF(OR($BJ482="",38&gt;設定!$B$3),"",IF(INDEX(原始資料!AO$2:AO$501,$BJ482)="","",INDEX(原始資料!AO$2:AO$501,$BJ482)))</f>
        <v/>
      </c>
      <c r="AN482" s="6">
        <f>IF(OR($BJ482="",39&gt;設定!$B$3),"",IF(INDEX(原始資料!AP$2:AP$501,$BJ482)="","",INDEX(原始資料!AP$2:AP$501,$BJ482)))</f>
        <v/>
      </c>
      <c r="AO482" s="6">
        <f>IF(OR($BJ482="",40&gt;設定!$B$3),"",IF(INDEX(原始資料!AQ$2:AQ$501,$BJ482)="","",INDEX(原始資料!AQ$2:AQ$501,$BJ482)))</f>
        <v/>
      </c>
      <c r="AP482" s="6">
        <f>IF(OR($BJ482="",41&gt;設定!$B$3),"",IF(INDEX(原始資料!AR$2:AR$501,$BJ482)="","",INDEX(原始資料!AR$2:AR$501,$BJ482)))</f>
        <v/>
      </c>
      <c r="AQ482" s="6">
        <f>IF(OR($BJ482="",42&gt;設定!$B$3),"",IF(INDEX(原始資料!AS$2:AS$501,$BJ482)="","",INDEX(原始資料!AS$2:AS$501,$BJ482)))</f>
        <v/>
      </c>
      <c r="AR482" s="6">
        <f>IF(OR($BJ482="",43&gt;設定!$B$3),"",IF(INDEX(原始資料!AT$2:AT$501,$BJ482)="","",INDEX(原始資料!AT$2:AT$501,$BJ482)))</f>
        <v/>
      </c>
      <c r="AS482" s="6">
        <f>IF(OR($BJ482="",44&gt;設定!$B$3),"",IF(INDEX(原始資料!AU$2:AU$501,$BJ482)="","",INDEX(原始資料!AU$2:AU$501,$BJ482)))</f>
        <v/>
      </c>
      <c r="AT482" s="6">
        <f>IF(OR($BJ482="",45&gt;設定!$B$3),"",IF(INDEX(原始資料!AV$2:AV$501,$BJ482)="","",INDEX(原始資料!AV$2:AV$501,$BJ482)))</f>
        <v/>
      </c>
      <c r="AU482" s="6">
        <f>IF(OR($BJ482="",46&gt;設定!$B$3),"",IF(INDEX(原始資料!AW$2:AW$501,$BJ482)="","",INDEX(原始資料!AW$2:AW$501,$BJ482)))</f>
        <v/>
      </c>
      <c r="AV482" s="6">
        <f>IF(OR($BJ482="",47&gt;設定!$B$3),"",IF(INDEX(原始資料!AX$2:AX$501,$BJ482)="","",INDEX(原始資料!AX$2:AX$501,$BJ482)))</f>
        <v/>
      </c>
      <c r="AW482" s="6">
        <f>IF(OR($BJ482="",48&gt;設定!$B$3),"",IF(INDEX(原始資料!AY$2:AY$501,$BJ482)="","",INDEX(原始資料!AY$2:AY$501,$BJ482)))</f>
        <v/>
      </c>
      <c r="AX482" s="6">
        <f>IF(OR($BJ482="",49&gt;設定!$B$3),"",IF(INDEX(原始資料!AZ$2:AZ$501,$BJ482)="","",INDEX(原始資料!AZ$2:AZ$501,$BJ482)))</f>
        <v/>
      </c>
      <c r="AY482" s="6">
        <f>IF(OR($BJ482="",50&gt;設定!$B$3),"",IF(INDEX(原始資料!BA$2:BA$501,$BJ482)="","",INDEX(原始資料!BA$2:BA$501,$BJ482)))</f>
        <v/>
      </c>
      <c r="AZ482" s="6">
        <f>IF(OR($BJ482="",51&gt;設定!$B$3),"",IF(INDEX(原始資料!BB$2:BB$501,$BJ482)="","",INDEX(原始資料!BB$2:BB$501,$BJ482)))</f>
        <v/>
      </c>
      <c r="BA482" s="6">
        <f>IF(OR($BJ482="",52&gt;設定!$B$3),"",IF(INDEX(原始資料!BC$2:BC$501,$BJ482)="","",INDEX(原始資料!BC$2:BC$501,$BJ482)))</f>
        <v/>
      </c>
      <c r="BB482" s="6">
        <f>IF(OR($BJ482="",53&gt;設定!$B$3),"",IF(INDEX(原始資料!BD$2:BD$501,$BJ482)="","",INDEX(原始資料!BD$2:BD$501,$BJ482)))</f>
        <v/>
      </c>
      <c r="BC482" s="6">
        <f>IF(OR($BJ482="",54&gt;設定!$B$3),"",IF(INDEX(原始資料!BE$2:BE$501,$BJ482)="","",INDEX(原始資料!BE$2:BE$501,$BJ482)))</f>
        <v/>
      </c>
      <c r="BD482" s="6">
        <f>IF(OR($BJ482="",55&gt;設定!$B$3),"",IF(INDEX(原始資料!BF$2:BF$501,$BJ482)="","",INDEX(原始資料!BF$2:BF$501,$BJ482)))</f>
        <v/>
      </c>
      <c r="BE482" s="6">
        <f>IF(OR($BJ482="",56&gt;設定!$B$3),"",IF(INDEX(原始資料!BG$2:BG$501,$BJ482)="","",INDEX(原始資料!BG$2:BG$501,$BJ482)))</f>
        <v/>
      </c>
      <c r="BF482" s="6">
        <f>IF(OR($BJ482="",57&gt;設定!$B$3),"",IF(INDEX(原始資料!BH$2:BH$501,$BJ482)="","",INDEX(原始資料!BH$2:BH$501,$BJ482)))</f>
        <v/>
      </c>
      <c r="BG482" s="6">
        <f>IF(OR($BJ482="",58&gt;設定!$B$3),"",IF(INDEX(原始資料!BI$2:BI$501,$BJ482)="","",INDEX(原始資料!BI$2:BI$501,$BJ482)))</f>
        <v/>
      </c>
      <c r="BH482" s="6">
        <f>IF(OR($BJ482="",59&gt;設定!$B$3),"",IF(INDEX(原始資料!BJ$2:BJ$501,$BJ482)="","",INDEX(原始資料!BJ$2:BJ$501,$BJ482)))</f>
        <v/>
      </c>
      <c r="BI482" s="6">
        <f>IF(OR($BJ482="",60&gt;設定!$B$3),"",IF(INDEX(原始資料!BK$2:BK$501,$BJ482)="","",INDEX(原始資料!BK$2:BK$501,$BJ482)))</f>
        <v/>
      </c>
      <c r="BJ482" s="6">
        <f>IFERROR(MATCH(ROW()-1,判定!$H$2:$H$501,0),"")</f>
        <v/>
      </c>
    </row>
    <row r="483">
      <c r="A483" s="6">
        <f>IF($BJ483="","",INDEX(原始資料!$A$2:$A$501,$BJ483))</f>
        <v/>
      </c>
      <c r="B483" s="6">
        <f>IF(OR($BJ483="",1&gt;設定!$B$3),"",IF(INDEX(原始資料!D$2:D$501,$BJ483)="","",INDEX(原始資料!D$2:D$501,$BJ483)))</f>
        <v/>
      </c>
      <c r="C483" s="6">
        <f>IF(OR($BJ483="",2&gt;設定!$B$3),"",IF(INDEX(原始資料!E$2:E$501,$BJ483)="","",INDEX(原始資料!E$2:E$501,$BJ483)))</f>
        <v/>
      </c>
      <c r="D483" s="6">
        <f>IF(OR($BJ483="",3&gt;設定!$B$3),"",IF(INDEX(原始資料!F$2:F$501,$BJ483)="","",INDEX(原始資料!F$2:F$501,$BJ483)))</f>
        <v/>
      </c>
      <c r="E483" s="6">
        <f>IF(OR($BJ483="",4&gt;設定!$B$3),"",IF(INDEX(原始資料!G$2:G$501,$BJ483)="","",INDEX(原始資料!G$2:G$501,$BJ483)))</f>
        <v/>
      </c>
      <c r="F483" s="6">
        <f>IF(OR($BJ483="",5&gt;設定!$B$3),"",IF(INDEX(原始資料!H$2:H$501,$BJ483)="","",INDEX(原始資料!H$2:H$501,$BJ483)))</f>
        <v/>
      </c>
      <c r="G483" s="6">
        <f>IF(OR($BJ483="",6&gt;設定!$B$3),"",IF(INDEX(原始資料!I$2:I$501,$BJ483)="","",INDEX(原始資料!I$2:I$501,$BJ483)))</f>
        <v/>
      </c>
      <c r="H483" s="6">
        <f>IF(OR($BJ483="",7&gt;設定!$B$3),"",IF(INDEX(原始資料!J$2:J$501,$BJ483)="","",INDEX(原始資料!J$2:J$501,$BJ483)))</f>
        <v/>
      </c>
      <c r="I483" s="6">
        <f>IF(OR($BJ483="",8&gt;設定!$B$3),"",IF(INDEX(原始資料!K$2:K$501,$BJ483)="","",INDEX(原始資料!K$2:K$501,$BJ483)))</f>
        <v/>
      </c>
      <c r="J483" s="6">
        <f>IF(OR($BJ483="",9&gt;設定!$B$3),"",IF(INDEX(原始資料!L$2:L$501,$BJ483)="","",INDEX(原始資料!L$2:L$501,$BJ483)))</f>
        <v/>
      </c>
      <c r="K483" s="6">
        <f>IF(OR($BJ483="",10&gt;設定!$B$3),"",IF(INDEX(原始資料!M$2:M$501,$BJ483)="","",INDEX(原始資料!M$2:M$501,$BJ483)))</f>
        <v/>
      </c>
      <c r="L483" s="6">
        <f>IF(OR($BJ483="",11&gt;設定!$B$3),"",IF(INDEX(原始資料!N$2:N$501,$BJ483)="","",INDEX(原始資料!N$2:N$501,$BJ483)))</f>
        <v/>
      </c>
      <c r="M483" s="6">
        <f>IF(OR($BJ483="",12&gt;設定!$B$3),"",IF(INDEX(原始資料!O$2:O$501,$BJ483)="","",INDEX(原始資料!O$2:O$501,$BJ483)))</f>
        <v/>
      </c>
      <c r="N483" s="6">
        <f>IF(OR($BJ483="",13&gt;設定!$B$3),"",IF(INDEX(原始資料!P$2:P$501,$BJ483)="","",INDEX(原始資料!P$2:P$501,$BJ483)))</f>
        <v/>
      </c>
      <c r="O483" s="6">
        <f>IF(OR($BJ483="",14&gt;設定!$B$3),"",IF(INDEX(原始資料!Q$2:Q$501,$BJ483)="","",INDEX(原始資料!Q$2:Q$501,$BJ483)))</f>
        <v/>
      </c>
      <c r="P483" s="6">
        <f>IF(OR($BJ483="",15&gt;設定!$B$3),"",IF(INDEX(原始資料!R$2:R$501,$BJ483)="","",INDEX(原始資料!R$2:R$501,$BJ483)))</f>
        <v/>
      </c>
      <c r="Q483" s="6">
        <f>IF(OR($BJ483="",16&gt;設定!$B$3),"",IF(INDEX(原始資料!S$2:S$501,$BJ483)="","",INDEX(原始資料!S$2:S$501,$BJ483)))</f>
        <v/>
      </c>
      <c r="R483" s="6">
        <f>IF(OR($BJ483="",17&gt;設定!$B$3),"",IF(INDEX(原始資料!T$2:T$501,$BJ483)="","",INDEX(原始資料!T$2:T$501,$BJ483)))</f>
        <v/>
      </c>
      <c r="S483" s="6">
        <f>IF(OR($BJ483="",18&gt;設定!$B$3),"",IF(INDEX(原始資料!U$2:U$501,$BJ483)="","",INDEX(原始資料!U$2:U$501,$BJ483)))</f>
        <v/>
      </c>
      <c r="T483" s="6">
        <f>IF(OR($BJ483="",19&gt;設定!$B$3),"",IF(INDEX(原始資料!V$2:V$501,$BJ483)="","",INDEX(原始資料!V$2:V$501,$BJ483)))</f>
        <v/>
      </c>
      <c r="U483" s="6">
        <f>IF(OR($BJ483="",20&gt;設定!$B$3),"",IF(INDEX(原始資料!W$2:W$501,$BJ483)="","",INDEX(原始資料!W$2:W$501,$BJ483)))</f>
        <v/>
      </c>
      <c r="V483" s="6">
        <f>IF(OR($BJ483="",21&gt;設定!$B$3),"",IF(INDEX(原始資料!X$2:X$501,$BJ483)="","",INDEX(原始資料!X$2:X$501,$BJ483)))</f>
        <v/>
      </c>
      <c r="W483" s="6">
        <f>IF(OR($BJ483="",22&gt;設定!$B$3),"",IF(INDEX(原始資料!Y$2:Y$501,$BJ483)="","",INDEX(原始資料!Y$2:Y$501,$BJ483)))</f>
        <v/>
      </c>
      <c r="X483" s="6">
        <f>IF(OR($BJ483="",23&gt;設定!$B$3),"",IF(INDEX(原始資料!Z$2:Z$501,$BJ483)="","",INDEX(原始資料!Z$2:Z$501,$BJ483)))</f>
        <v/>
      </c>
      <c r="Y483" s="6">
        <f>IF(OR($BJ483="",24&gt;設定!$B$3),"",IF(INDEX(原始資料!AA$2:AA$501,$BJ483)="","",INDEX(原始資料!AA$2:AA$501,$BJ483)))</f>
        <v/>
      </c>
      <c r="Z483" s="6">
        <f>IF(OR($BJ483="",25&gt;設定!$B$3),"",IF(INDEX(原始資料!AB$2:AB$501,$BJ483)="","",INDEX(原始資料!AB$2:AB$501,$BJ483)))</f>
        <v/>
      </c>
      <c r="AA483" s="6">
        <f>IF(OR($BJ483="",26&gt;設定!$B$3),"",IF(INDEX(原始資料!AC$2:AC$501,$BJ483)="","",INDEX(原始資料!AC$2:AC$501,$BJ483)))</f>
        <v/>
      </c>
      <c r="AB483" s="6">
        <f>IF(OR($BJ483="",27&gt;設定!$B$3),"",IF(INDEX(原始資料!AD$2:AD$501,$BJ483)="","",INDEX(原始資料!AD$2:AD$501,$BJ483)))</f>
        <v/>
      </c>
      <c r="AC483" s="6">
        <f>IF(OR($BJ483="",28&gt;設定!$B$3),"",IF(INDEX(原始資料!AE$2:AE$501,$BJ483)="","",INDEX(原始資料!AE$2:AE$501,$BJ483)))</f>
        <v/>
      </c>
      <c r="AD483" s="6">
        <f>IF(OR($BJ483="",29&gt;設定!$B$3),"",IF(INDEX(原始資料!AF$2:AF$501,$BJ483)="","",INDEX(原始資料!AF$2:AF$501,$BJ483)))</f>
        <v/>
      </c>
      <c r="AE483" s="6">
        <f>IF(OR($BJ483="",30&gt;設定!$B$3),"",IF(INDEX(原始資料!AG$2:AG$501,$BJ483)="","",INDEX(原始資料!AG$2:AG$501,$BJ483)))</f>
        <v/>
      </c>
      <c r="AF483" s="6">
        <f>IF(OR($BJ483="",31&gt;設定!$B$3),"",IF(INDEX(原始資料!AH$2:AH$501,$BJ483)="","",INDEX(原始資料!AH$2:AH$501,$BJ483)))</f>
        <v/>
      </c>
      <c r="AG483" s="6">
        <f>IF(OR($BJ483="",32&gt;設定!$B$3),"",IF(INDEX(原始資料!AI$2:AI$501,$BJ483)="","",INDEX(原始資料!AI$2:AI$501,$BJ483)))</f>
        <v/>
      </c>
      <c r="AH483" s="6">
        <f>IF(OR($BJ483="",33&gt;設定!$B$3),"",IF(INDEX(原始資料!AJ$2:AJ$501,$BJ483)="","",INDEX(原始資料!AJ$2:AJ$501,$BJ483)))</f>
        <v/>
      </c>
      <c r="AI483" s="6">
        <f>IF(OR($BJ483="",34&gt;設定!$B$3),"",IF(INDEX(原始資料!AK$2:AK$501,$BJ483)="","",INDEX(原始資料!AK$2:AK$501,$BJ483)))</f>
        <v/>
      </c>
      <c r="AJ483" s="6">
        <f>IF(OR($BJ483="",35&gt;設定!$B$3),"",IF(INDEX(原始資料!AL$2:AL$501,$BJ483)="","",INDEX(原始資料!AL$2:AL$501,$BJ483)))</f>
        <v/>
      </c>
      <c r="AK483" s="6">
        <f>IF(OR($BJ483="",36&gt;設定!$B$3),"",IF(INDEX(原始資料!AM$2:AM$501,$BJ483)="","",INDEX(原始資料!AM$2:AM$501,$BJ483)))</f>
        <v/>
      </c>
      <c r="AL483" s="6">
        <f>IF(OR($BJ483="",37&gt;設定!$B$3),"",IF(INDEX(原始資料!AN$2:AN$501,$BJ483)="","",INDEX(原始資料!AN$2:AN$501,$BJ483)))</f>
        <v/>
      </c>
      <c r="AM483" s="6">
        <f>IF(OR($BJ483="",38&gt;設定!$B$3),"",IF(INDEX(原始資料!AO$2:AO$501,$BJ483)="","",INDEX(原始資料!AO$2:AO$501,$BJ483)))</f>
        <v/>
      </c>
      <c r="AN483" s="6">
        <f>IF(OR($BJ483="",39&gt;設定!$B$3),"",IF(INDEX(原始資料!AP$2:AP$501,$BJ483)="","",INDEX(原始資料!AP$2:AP$501,$BJ483)))</f>
        <v/>
      </c>
      <c r="AO483" s="6">
        <f>IF(OR($BJ483="",40&gt;設定!$B$3),"",IF(INDEX(原始資料!AQ$2:AQ$501,$BJ483)="","",INDEX(原始資料!AQ$2:AQ$501,$BJ483)))</f>
        <v/>
      </c>
      <c r="AP483" s="6">
        <f>IF(OR($BJ483="",41&gt;設定!$B$3),"",IF(INDEX(原始資料!AR$2:AR$501,$BJ483)="","",INDEX(原始資料!AR$2:AR$501,$BJ483)))</f>
        <v/>
      </c>
      <c r="AQ483" s="6">
        <f>IF(OR($BJ483="",42&gt;設定!$B$3),"",IF(INDEX(原始資料!AS$2:AS$501,$BJ483)="","",INDEX(原始資料!AS$2:AS$501,$BJ483)))</f>
        <v/>
      </c>
      <c r="AR483" s="6">
        <f>IF(OR($BJ483="",43&gt;設定!$B$3),"",IF(INDEX(原始資料!AT$2:AT$501,$BJ483)="","",INDEX(原始資料!AT$2:AT$501,$BJ483)))</f>
        <v/>
      </c>
      <c r="AS483" s="6">
        <f>IF(OR($BJ483="",44&gt;設定!$B$3),"",IF(INDEX(原始資料!AU$2:AU$501,$BJ483)="","",INDEX(原始資料!AU$2:AU$501,$BJ483)))</f>
        <v/>
      </c>
      <c r="AT483" s="6">
        <f>IF(OR($BJ483="",45&gt;設定!$B$3),"",IF(INDEX(原始資料!AV$2:AV$501,$BJ483)="","",INDEX(原始資料!AV$2:AV$501,$BJ483)))</f>
        <v/>
      </c>
      <c r="AU483" s="6">
        <f>IF(OR($BJ483="",46&gt;設定!$B$3),"",IF(INDEX(原始資料!AW$2:AW$501,$BJ483)="","",INDEX(原始資料!AW$2:AW$501,$BJ483)))</f>
        <v/>
      </c>
      <c r="AV483" s="6">
        <f>IF(OR($BJ483="",47&gt;設定!$B$3),"",IF(INDEX(原始資料!AX$2:AX$501,$BJ483)="","",INDEX(原始資料!AX$2:AX$501,$BJ483)))</f>
        <v/>
      </c>
      <c r="AW483" s="6">
        <f>IF(OR($BJ483="",48&gt;設定!$B$3),"",IF(INDEX(原始資料!AY$2:AY$501,$BJ483)="","",INDEX(原始資料!AY$2:AY$501,$BJ483)))</f>
        <v/>
      </c>
      <c r="AX483" s="6">
        <f>IF(OR($BJ483="",49&gt;設定!$B$3),"",IF(INDEX(原始資料!AZ$2:AZ$501,$BJ483)="","",INDEX(原始資料!AZ$2:AZ$501,$BJ483)))</f>
        <v/>
      </c>
      <c r="AY483" s="6">
        <f>IF(OR($BJ483="",50&gt;設定!$B$3),"",IF(INDEX(原始資料!BA$2:BA$501,$BJ483)="","",INDEX(原始資料!BA$2:BA$501,$BJ483)))</f>
        <v/>
      </c>
      <c r="AZ483" s="6">
        <f>IF(OR($BJ483="",51&gt;設定!$B$3),"",IF(INDEX(原始資料!BB$2:BB$501,$BJ483)="","",INDEX(原始資料!BB$2:BB$501,$BJ483)))</f>
        <v/>
      </c>
      <c r="BA483" s="6">
        <f>IF(OR($BJ483="",52&gt;設定!$B$3),"",IF(INDEX(原始資料!BC$2:BC$501,$BJ483)="","",INDEX(原始資料!BC$2:BC$501,$BJ483)))</f>
        <v/>
      </c>
      <c r="BB483" s="6">
        <f>IF(OR($BJ483="",53&gt;設定!$B$3),"",IF(INDEX(原始資料!BD$2:BD$501,$BJ483)="","",INDEX(原始資料!BD$2:BD$501,$BJ483)))</f>
        <v/>
      </c>
      <c r="BC483" s="6">
        <f>IF(OR($BJ483="",54&gt;設定!$B$3),"",IF(INDEX(原始資料!BE$2:BE$501,$BJ483)="","",INDEX(原始資料!BE$2:BE$501,$BJ483)))</f>
        <v/>
      </c>
      <c r="BD483" s="6">
        <f>IF(OR($BJ483="",55&gt;設定!$B$3),"",IF(INDEX(原始資料!BF$2:BF$501,$BJ483)="","",INDEX(原始資料!BF$2:BF$501,$BJ483)))</f>
        <v/>
      </c>
      <c r="BE483" s="6">
        <f>IF(OR($BJ483="",56&gt;設定!$B$3),"",IF(INDEX(原始資料!BG$2:BG$501,$BJ483)="","",INDEX(原始資料!BG$2:BG$501,$BJ483)))</f>
        <v/>
      </c>
      <c r="BF483" s="6">
        <f>IF(OR($BJ483="",57&gt;設定!$B$3),"",IF(INDEX(原始資料!BH$2:BH$501,$BJ483)="","",INDEX(原始資料!BH$2:BH$501,$BJ483)))</f>
        <v/>
      </c>
      <c r="BG483" s="6">
        <f>IF(OR($BJ483="",58&gt;設定!$B$3),"",IF(INDEX(原始資料!BI$2:BI$501,$BJ483)="","",INDEX(原始資料!BI$2:BI$501,$BJ483)))</f>
        <v/>
      </c>
      <c r="BH483" s="6">
        <f>IF(OR($BJ483="",59&gt;設定!$B$3),"",IF(INDEX(原始資料!BJ$2:BJ$501,$BJ483)="","",INDEX(原始資料!BJ$2:BJ$501,$BJ483)))</f>
        <v/>
      </c>
      <c r="BI483" s="6">
        <f>IF(OR($BJ483="",60&gt;設定!$B$3),"",IF(INDEX(原始資料!BK$2:BK$501,$BJ483)="","",INDEX(原始資料!BK$2:BK$501,$BJ483)))</f>
        <v/>
      </c>
      <c r="BJ483" s="6">
        <f>IFERROR(MATCH(ROW()-1,判定!$H$2:$H$501,0),"")</f>
        <v/>
      </c>
    </row>
    <row r="484">
      <c r="A484" s="6">
        <f>IF($BJ484="","",INDEX(原始資料!$A$2:$A$501,$BJ484))</f>
        <v/>
      </c>
      <c r="B484" s="6">
        <f>IF(OR($BJ484="",1&gt;設定!$B$3),"",IF(INDEX(原始資料!D$2:D$501,$BJ484)="","",INDEX(原始資料!D$2:D$501,$BJ484)))</f>
        <v/>
      </c>
      <c r="C484" s="6">
        <f>IF(OR($BJ484="",2&gt;設定!$B$3),"",IF(INDEX(原始資料!E$2:E$501,$BJ484)="","",INDEX(原始資料!E$2:E$501,$BJ484)))</f>
        <v/>
      </c>
      <c r="D484" s="6">
        <f>IF(OR($BJ484="",3&gt;設定!$B$3),"",IF(INDEX(原始資料!F$2:F$501,$BJ484)="","",INDEX(原始資料!F$2:F$501,$BJ484)))</f>
        <v/>
      </c>
      <c r="E484" s="6">
        <f>IF(OR($BJ484="",4&gt;設定!$B$3),"",IF(INDEX(原始資料!G$2:G$501,$BJ484)="","",INDEX(原始資料!G$2:G$501,$BJ484)))</f>
        <v/>
      </c>
      <c r="F484" s="6">
        <f>IF(OR($BJ484="",5&gt;設定!$B$3),"",IF(INDEX(原始資料!H$2:H$501,$BJ484)="","",INDEX(原始資料!H$2:H$501,$BJ484)))</f>
        <v/>
      </c>
      <c r="G484" s="6">
        <f>IF(OR($BJ484="",6&gt;設定!$B$3),"",IF(INDEX(原始資料!I$2:I$501,$BJ484)="","",INDEX(原始資料!I$2:I$501,$BJ484)))</f>
        <v/>
      </c>
      <c r="H484" s="6">
        <f>IF(OR($BJ484="",7&gt;設定!$B$3),"",IF(INDEX(原始資料!J$2:J$501,$BJ484)="","",INDEX(原始資料!J$2:J$501,$BJ484)))</f>
        <v/>
      </c>
      <c r="I484" s="6">
        <f>IF(OR($BJ484="",8&gt;設定!$B$3),"",IF(INDEX(原始資料!K$2:K$501,$BJ484)="","",INDEX(原始資料!K$2:K$501,$BJ484)))</f>
        <v/>
      </c>
      <c r="J484" s="6">
        <f>IF(OR($BJ484="",9&gt;設定!$B$3),"",IF(INDEX(原始資料!L$2:L$501,$BJ484)="","",INDEX(原始資料!L$2:L$501,$BJ484)))</f>
        <v/>
      </c>
      <c r="K484" s="6">
        <f>IF(OR($BJ484="",10&gt;設定!$B$3),"",IF(INDEX(原始資料!M$2:M$501,$BJ484)="","",INDEX(原始資料!M$2:M$501,$BJ484)))</f>
        <v/>
      </c>
      <c r="L484" s="6">
        <f>IF(OR($BJ484="",11&gt;設定!$B$3),"",IF(INDEX(原始資料!N$2:N$501,$BJ484)="","",INDEX(原始資料!N$2:N$501,$BJ484)))</f>
        <v/>
      </c>
      <c r="M484" s="6">
        <f>IF(OR($BJ484="",12&gt;設定!$B$3),"",IF(INDEX(原始資料!O$2:O$501,$BJ484)="","",INDEX(原始資料!O$2:O$501,$BJ484)))</f>
        <v/>
      </c>
      <c r="N484" s="6">
        <f>IF(OR($BJ484="",13&gt;設定!$B$3),"",IF(INDEX(原始資料!P$2:P$501,$BJ484)="","",INDEX(原始資料!P$2:P$501,$BJ484)))</f>
        <v/>
      </c>
      <c r="O484" s="6">
        <f>IF(OR($BJ484="",14&gt;設定!$B$3),"",IF(INDEX(原始資料!Q$2:Q$501,$BJ484)="","",INDEX(原始資料!Q$2:Q$501,$BJ484)))</f>
        <v/>
      </c>
      <c r="P484" s="6">
        <f>IF(OR($BJ484="",15&gt;設定!$B$3),"",IF(INDEX(原始資料!R$2:R$501,$BJ484)="","",INDEX(原始資料!R$2:R$501,$BJ484)))</f>
        <v/>
      </c>
      <c r="Q484" s="6">
        <f>IF(OR($BJ484="",16&gt;設定!$B$3),"",IF(INDEX(原始資料!S$2:S$501,$BJ484)="","",INDEX(原始資料!S$2:S$501,$BJ484)))</f>
        <v/>
      </c>
      <c r="R484" s="6">
        <f>IF(OR($BJ484="",17&gt;設定!$B$3),"",IF(INDEX(原始資料!T$2:T$501,$BJ484)="","",INDEX(原始資料!T$2:T$501,$BJ484)))</f>
        <v/>
      </c>
      <c r="S484" s="6">
        <f>IF(OR($BJ484="",18&gt;設定!$B$3),"",IF(INDEX(原始資料!U$2:U$501,$BJ484)="","",INDEX(原始資料!U$2:U$501,$BJ484)))</f>
        <v/>
      </c>
      <c r="T484" s="6">
        <f>IF(OR($BJ484="",19&gt;設定!$B$3),"",IF(INDEX(原始資料!V$2:V$501,$BJ484)="","",INDEX(原始資料!V$2:V$501,$BJ484)))</f>
        <v/>
      </c>
      <c r="U484" s="6">
        <f>IF(OR($BJ484="",20&gt;設定!$B$3),"",IF(INDEX(原始資料!W$2:W$501,$BJ484)="","",INDEX(原始資料!W$2:W$501,$BJ484)))</f>
        <v/>
      </c>
      <c r="V484" s="6">
        <f>IF(OR($BJ484="",21&gt;設定!$B$3),"",IF(INDEX(原始資料!X$2:X$501,$BJ484)="","",INDEX(原始資料!X$2:X$501,$BJ484)))</f>
        <v/>
      </c>
      <c r="W484" s="6">
        <f>IF(OR($BJ484="",22&gt;設定!$B$3),"",IF(INDEX(原始資料!Y$2:Y$501,$BJ484)="","",INDEX(原始資料!Y$2:Y$501,$BJ484)))</f>
        <v/>
      </c>
      <c r="X484" s="6">
        <f>IF(OR($BJ484="",23&gt;設定!$B$3),"",IF(INDEX(原始資料!Z$2:Z$501,$BJ484)="","",INDEX(原始資料!Z$2:Z$501,$BJ484)))</f>
        <v/>
      </c>
      <c r="Y484" s="6">
        <f>IF(OR($BJ484="",24&gt;設定!$B$3),"",IF(INDEX(原始資料!AA$2:AA$501,$BJ484)="","",INDEX(原始資料!AA$2:AA$501,$BJ484)))</f>
        <v/>
      </c>
      <c r="Z484" s="6">
        <f>IF(OR($BJ484="",25&gt;設定!$B$3),"",IF(INDEX(原始資料!AB$2:AB$501,$BJ484)="","",INDEX(原始資料!AB$2:AB$501,$BJ484)))</f>
        <v/>
      </c>
      <c r="AA484" s="6">
        <f>IF(OR($BJ484="",26&gt;設定!$B$3),"",IF(INDEX(原始資料!AC$2:AC$501,$BJ484)="","",INDEX(原始資料!AC$2:AC$501,$BJ484)))</f>
        <v/>
      </c>
      <c r="AB484" s="6">
        <f>IF(OR($BJ484="",27&gt;設定!$B$3),"",IF(INDEX(原始資料!AD$2:AD$501,$BJ484)="","",INDEX(原始資料!AD$2:AD$501,$BJ484)))</f>
        <v/>
      </c>
      <c r="AC484" s="6">
        <f>IF(OR($BJ484="",28&gt;設定!$B$3),"",IF(INDEX(原始資料!AE$2:AE$501,$BJ484)="","",INDEX(原始資料!AE$2:AE$501,$BJ484)))</f>
        <v/>
      </c>
      <c r="AD484" s="6">
        <f>IF(OR($BJ484="",29&gt;設定!$B$3),"",IF(INDEX(原始資料!AF$2:AF$501,$BJ484)="","",INDEX(原始資料!AF$2:AF$501,$BJ484)))</f>
        <v/>
      </c>
      <c r="AE484" s="6">
        <f>IF(OR($BJ484="",30&gt;設定!$B$3),"",IF(INDEX(原始資料!AG$2:AG$501,$BJ484)="","",INDEX(原始資料!AG$2:AG$501,$BJ484)))</f>
        <v/>
      </c>
      <c r="AF484" s="6">
        <f>IF(OR($BJ484="",31&gt;設定!$B$3),"",IF(INDEX(原始資料!AH$2:AH$501,$BJ484)="","",INDEX(原始資料!AH$2:AH$501,$BJ484)))</f>
        <v/>
      </c>
      <c r="AG484" s="6">
        <f>IF(OR($BJ484="",32&gt;設定!$B$3),"",IF(INDEX(原始資料!AI$2:AI$501,$BJ484)="","",INDEX(原始資料!AI$2:AI$501,$BJ484)))</f>
        <v/>
      </c>
      <c r="AH484" s="6">
        <f>IF(OR($BJ484="",33&gt;設定!$B$3),"",IF(INDEX(原始資料!AJ$2:AJ$501,$BJ484)="","",INDEX(原始資料!AJ$2:AJ$501,$BJ484)))</f>
        <v/>
      </c>
      <c r="AI484" s="6">
        <f>IF(OR($BJ484="",34&gt;設定!$B$3),"",IF(INDEX(原始資料!AK$2:AK$501,$BJ484)="","",INDEX(原始資料!AK$2:AK$501,$BJ484)))</f>
        <v/>
      </c>
      <c r="AJ484" s="6">
        <f>IF(OR($BJ484="",35&gt;設定!$B$3),"",IF(INDEX(原始資料!AL$2:AL$501,$BJ484)="","",INDEX(原始資料!AL$2:AL$501,$BJ484)))</f>
        <v/>
      </c>
      <c r="AK484" s="6">
        <f>IF(OR($BJ484="",36&gt;設定!$B$3),"",IF(INDEX(原始資料!AM$2:AM$501,$BJ484)="","",INDEX(原始資料!AM$2:AM$501,$BJ484)))</f>
        <v/>
      </c>
      <c r="AL484" s="6">
        <f>IF(OR($BJ484="",37&gt;設定!$B$3),"",IF(INDEX(原始資料!AN$2:AN$501,$BJ484)="","",INDEX(原始資料!AN$2:AN$501,$BJ484)))</f>
        <v/>
      </c>
      <c r="AM484" s="6">
        <f>IF(OR($BJ484="",38&gt;設定!$B$3),"",IF(INDEX(原始資料!AO$2:AO$501,$BJ484)="","",INDEX(原始資料!AO$2:AO$501,$BJ484)))</f>
        <v/>
      </c>
      <c r="AN484" s="6">
        <f>IF(OR($BJ484="",39&gt;設定!$B$3),"",IF(INDEX(原始資料!AP$2:AP$501,$BJ484)="","",INDEX(原始資料!AP$2:AP$501,$BJ484)))</f>
        <v/>
      </c>
      <c r="AO484" s="6">
        <f>IF(OR($BJ484="",40&gt;設定!$B$3),"",IF(INDEX(原始資料!AQ$2:AQ$501,$BJ484)="","",INDEX(原始資料!AQ$2:AQ$501,$BJ484)))</f>
        <v/>
      </c>
      <c r="AP484" s="6">
        <f>IF(OR($BJ484="",41&gt;設定!$B$3),"",IF(INDEX(原始資料!AR$2:AR$501,$BJ484)="","",INDEX(原始資料!AR$2:AR$501,$BJ484)))</f>
        <v/>
      </c>
      <c r="AQ484" s="6">
        <f>IF(OR($BJ484="",42&gt;設定!$B$3),"",IF(INDEX(原始資料!AS$2:AS$501,$BJ484)="","",INDEX(原始資料!AS$2:AS$501,$BJ484)))</f>
        <v/>
      </c>
      <c r="AR484" s="6">
        <f>IF(OR($BJ484="",43&gt;設定!$B$3),"",IF(INDEX(原始資料!AT$2:AT$501,$BJ484)="","",INDEX(原始資料!AT$2:AT$501,$BJ484)))</f>
        <v/>
      </c>
      <c r="AS484" s="6">
        <f>IF(OR($BJ484="",44&gt;設定!$B$3),"",IF(INDEX(原始資料!AU$2:AU$501,$BJ484)="","",INDEX(原始資料!AU$2:AU$501,$BJ484)))</f>
        <v/>
      </c>
      <c r="AT484" s="6">
        <f>IF(OR($BJ484="",45&gt;設定!$B$3),"",IF(INDEX(原始資料!AV$2:AV$501,$BJ484)="","",INDEX(原始資料!AV$2:AV$501,$BJ484)))</f>
        <v/>
      </c>
      <c r="AU484" s="6">
        <f>IF(OR($BJ484="",46&gt;設定!$B$3),"",IF(INDEX(原始資料!AW$2:AW$501,$BJ484)="","",INDEX(原始資料!AW$2:AW$501,$BJ484)))</f>
        <v/>
      </c>
      <c r="AV484" s="6">
        <f>IF(OR($BJ484="",47&gt;設定!$B$3),"",IF(INDEX(原始資料!AX$2:AX$501,$BJ484)="","",INDEX(原始資料!AX$2:AX$501,$BJ484)))</f>
        <v/>
      </c>
      <c r="AW484" s="6">
        <f>IF(OR($BJ484="",48&gt;設定!$B$3),"",IF(INDEX(原始資料!AY$2:AY$501,$BJ484)="","",INDEX(原始資料!AY$2:AY$501,$BJ484)))</f>
        <v/>
      </c>
      <c r="AX484" s="6">
        <f>IF(OR($BJ484="",49&gt;設定!$B$3),"",IF(INDEX(原始資料!AZ$2:AZ$501,$BJ484)="","",INDEX(原始資料!AZ$2:AZ$501,$BJ484)))</f>
        <v/>
      </c>
      <c r="AY484" s="6">
        <f>IF(OR($BJ484="",50&gt;設定!$B$3),"",IF(INDEX(原始資料!BA$2:BA$501,$BJ484)="","",INDEX(原始資料!BA$2:BA$501,$BJ484)))</f>
        <v/>
      </c>
      <c r="AZ484" s="6">
        <f>IF(OR($BJ484="",51&gt;設定!$B$3),"",IF(INDEX(原始資料!BB$2:BB$501,$BJ484)="","",INDEX(原始資料!BB$2:BB$501,$BJ484)))</f>
        <v/>
      </c>
      <c r="BA484" s="6">
        <f>IF(OR($BJ484="",52&gt;設定!$B$3),"",IF(INDEX(原始資料!BC$2:BC$501,$BJ484)="","",INDEX(原始資料!BC$2:BC$501,$BJ484)))</f>
        <v/>
      </c>
      <c r="BB484" s="6">
        <f>IF(OR($BJ484="",53&gt;設定!$B$3),"",IF(INDEX(原始資料!BD$2:BD$501,$BJ484)="","",INDEX(原始資料!BD$2:BD$501,$BJ484)))</f>
        <v/>
      </c>
      <c r="BC484" s="6">
        <f>IF(OR($BJ484="",54&gt;設定!$B$3),"",IF(INDEX(原始資料!BE$2:BE$501,$BJ484)="","",INDEX(原始資料!BE$2:BE$501,$BJ484)))</f>
        <v/>
      </c>
      <c r="BD484" s="6">
        <f>IF(OR($BJ484="",55&gt;設定!$B$3),"",IF(INDEX(原始資料!BF$2:BF$501,$BJ484)="","",INDEX(原始資料!BF$2:BF$501,$BJ484)))</f>
        <v/>
      </c>
      <c r="BE484" s="6">
        <f>IF(OR($BJ484="",56&gt;設定!$B$3),"",IF(INDEX(原始資料!BG$2:BG$501,$BJ484)="","",INDEX(原始資料!BG$2:BG$501,$BJ484)))</f>
        <v/>
      </c>
      <c r="BF484" s="6">
        <f>IF(OR($BJ484="",57&gt;設定!$B$3),"",IF(INDEX(原始資料!BH$2:BH$501,$BJ484)="","",INDEX(原始資料!BH$2:BH$501,$BJ484)))</f>
        <v/>
      </c>
      <c r="BG484" s="6">
        <f>IF(OR($BJ484="",58&gt;設定!$B$3),"",IF(INDEX(原始資料!BI$2:BI$501,$BJ484)="","",INDEX(原始資料!BI$2:BI$501,$BJ484)))</f>
        <v/>
      </c>
      <c r="BH484" s="6">
        <f>IF(OR($BJ484="",59&gt;設定!$B$3),"",IF(INDEX(原始資料!BJ$2:BJ$501,$BJ484)="","",INDEX(原始資料!BJ$2:BJ$501,$BJ484)))</f>
        <v/>
      </c>
      <c r="BI484" s="6">
        <f>IF(OR($BJ484="",60&gt;設定!$B$3),"",IF(INDEX(原始資料!BK$2:BK$501,$BJ484)="","",INDEX(原始資料!BK$2:BK$501,$BJ484)))</f>
        <v/>
      </c>
      <c r="BJ484" s="6">
        <f>IFERROR(MATCH(ROW()-1,判定!$H$2:$H$501,0),"")</f>
        <v/>
      </c>
    </row>
    <row r="485">
      <c r="A485" s="6">
        <f>IF($BJ485="","",INDEX(原始資料!$A$2:$A$501,$BJ485))</f>
        <v/>
      </c>
      <c r="B485" s="6">
        <f>IF(OR($BJ485="",1&gt;設定!$B$3),"",IF(INDEX(原始資料!D$2:D$501,$BJ485)="","",INDEX(原始資料!D$2:D$501,$BJ485)))</f>
        <v/>
      </c>
      <c r="C485" s="6">
        <f>IF(OR($BJ485="",2&gt;設定!$B$3),"",IF(INDEX(原始資料!E$2:E$501,$BJ485)="","",INDEX(原始資料!E$2:E$501,$BJ485)))</f>
        <v/>
      </c>
      <c r="D485" s="6">
        <f>IF(OR($BJ485="",3&gt;設定!$B$3),"",IF(INDEX(原始資料!F$2:F$501,$BJ485)="","",INDEX(原始資料!F$2:F$501,$BJ485)))</f>
        <v/>
      </c>
      <c r="E485" s="6">
        <f>IF(OR($BJ485="",4&gt;設定!$B$3),"",IF(INDEX(原始資料!G$2:G$501,$BJ485)="","",INDEX(原始資料!G$2:G$501,$BJ485)))</f>
        <v/>
      </c>
      <c r="F485" s="6">
        <f>IF(OR($BJ485="",5&gt;設定!$B$3),"",IF(INDEX(原始資料!H$2:H$501,$BJ485)="","",INDEX(原始資料!H$2:H$501,$BJ485)))</f>
        <v/>
      </c>
      <c r="G485" s="6">
        <f>IF(OR($BJ485="",6&gt;設定!$B$3),"",IF(INDEX(原始資料!I$2:I$501,$BJ485)="","",INDEX(原始資料!I$2:I$501,$BJ485)))</f>
        <v/>
      </c>
      <c r="H485" s="6">
        <f>IF(OR($BJ485="",7&gt;設定!$B$3),"",IF(INDEX(原始資料!J$2:J$501,$BJ485)="","",INDEX(原始資料!J$2:J$501,$BJ485)))</f>
        <v/>
      </c>
      <c r="I485" s="6">
        <f>IF(OR($BJ485="",8&gt;設定!$B$3),"",IF(INDEX(原始資料!K$2:K$501,$BJ485)="","",INDEX(原始資料!K$2:K$501,$BJ485)))</f>
        <v/>
      </c>
      <c r="J485" s="6">
        <f>IF(OR($BJ485="",9&gt;設定!$B$3),"",IF(INDEX(原始資料!L$2:L$501,$BJ485)="","",INDEX(原始資料!L$2:L$501,$BJ485)))</f>
        <v/>
      </c>
      <c r="K485" s="6">
        <f>IF(OR($BJ485="",10&gt;設定!$B$3),"",IF(INDEX(原始資料!M$2:M$501,$BJ485)="","",INDEX(原始資料!M$2:M$501,$BJ485)))</f>
        <v/>
      </c>
      <c r="L485" s="6">
        <f>IF(OR($BJ485="",11&gt;設定!$B$3),"",IF(INDEX(原始資料!N$2:N$501,$BJ485)="","",INDEX(原始資料!N$2:N$501,$BJ485)))</f>
        <v/>
      </c>
      <c r="M485" s="6">
        <f>IF(OR($BJ485="",12&gt;設定!$B$3),"",IF(INDEX(原始資料!O$2:O$501,$BJ485)="","",INDEX(原始資料!O$2:O$501,$BJ485)))</f>
        <v/>
      </c>
      <c r="N485" s="6">
        <f>IF(OR($BJ485="",13&gt;設定!$B$3),"",IF(INDEX(原始資料!P$2:P$501,$BJ485)="","",INDEX(原始資料!P$2:P$501,$BJ485)))</f>
        <v/>
      </c>
      <c r="O485" s="6">
        <f>IF(OR($BJ485="",14&gt;設定!$B$3),"",IF(INDEX(原始資料!Q$2:Q$501,$BJ485)="","",INDEX(原始資料!Q$2:Q$501,$BJ485)))</f>
        <v/>
      </c>
      <c r="P485" s="6">
        <f>IF(OR($BJ485="",15&gt;設定!$B$3),"",IF(INDEX(原始資料!R$2:R$501,$BJ485)="","",INDEX(原始資料!R$2:R$501,$BJ485)))</f>
        <v/>
      </c>
      <c r="Q485" s="6">
        <f>IF(OR($BJ485="",16&gt;設定!$B$3),"",IF(INDEX(原始資料!S$2:S$501,$BJ485)="","",INDEX(原始資料!S$2:S$501,$BJ485)))</f>
        <v/>
      </c>
      <c r="R485" s="6">
        <f>IF(OR($BJ485="",17&gt;設定!$B$3),"",IF(INDEX(原始資料!T$2:T$501,$BJ485)="","",INDEX(原始資料!T$2:T$501,$BJ485)))</f>
        <v/>
      </c>
      <c r="S485" s="6">
        <f>IF(OR($BJ485="",18&gt;設定!$B$3),"",IF(INDEX(原始資料!U$2:U$501,$BJ485)="","",INDEX(原始資料!U$2:U$501,$BJ485)))</f>
        <v/>
      </c>
      <c r="T485" s="6">
        <f>IF(OR($BJ485="",19&gt;設定!$B$3),"",IF(INDEX(原始資料!V$2:V$501,$BJ485)="","",INDEX(原始資料!V$2:V$501,$BJ485)))</f>
        <v/>
      </c>
      <c r="U485" s="6">
        <f>IF(OR($BJ485="",20&gt;設定!$B$3),"",IF(INDEX(原始資料!W$2:W$501,$BJ485)="","",INDEX(原始資料!W$2:W$501,$BJ485)))</f>
        <v/>
      </c>
      <c r="V485" s="6">
        <f>IF(OR($BJ485="",21&gt;設定!$B$3),"",IF(INDEX(原始資料!X$2:X$501,$BJ485)="","",INDEX(原始資料!X$2:X$501,$BJ485)))</f>
        <v/>
      </c>
      <c r="W485" s="6">
        <f>IF(OR($BJ485="",22&gt;設定!$B$3),"",IF(INDEX(原始資料!Y$2:Y$501,$BJ485)="","",INDEX(原始資料!Y$2:Y$501,$BJ485)))</f>
        <v/>
      </c>
      <c r="X485" s="6">
        <f>IF(OR($BJ485="",23&gt;設定!$B$3),"",IF(INDEX(原始資料!Z$2:Z$501,$BJ485)="","",INDEX(原始資料!Z$2:Z$501,$BJ485)))</f>
        <v/>
      </c>
      <c r="Y485" s="6">
        <f>IF(OR($BJ485="",24&gt;設定!$B$3),"",IF(INDEX(原始資料!AA$2:AA$501,$BJ485)="","",INDEX(原始資料!AA$2:AA$501,$BJ485)))</f>
        <v/>
      </c>
      <c r="Z485" s="6">
        <f>IF(OR($BJ485="",25&gt;設定!$B$3),"",IF(INDEX(原始資料!AB$2:AB$501,$BJ485)="","",INDEX(原始資料!AB$2:AB$501,$BJ485)))</f>
        <v/>
      </c>
      <c r="AA485" s="6">
        <f>IF(OR($BJ485="",26&gt;設定!$B$3),"",IF(INDEX(原始資料!AC$2:AC$501,$BJ485)="","",INDEX(原始資料!AC$2:AC$501,$BJ485)))</f>
        <v/>
      </c>
      <c r="AB485" s="6">
        <f>IF(OR($BJ485="",27&gt;設定!$B$3),"",IF(INDEX(原始資料!AD$2:AD$501,$BJ485)="","",INDEX(原始資料!AD$2:AD$501,$BJ485)))</f>
        <v/>
      </c>
      <c r="AC485" s="6">
        <f>IF(OR($BJ485="",28&gt;設定!$B$3),"",IF(INDEX(原始資料!AE$2:AE$501,$BJ485)="","",INDEX(原始資料!AE$2:AE$501,$BJ485)))</f>
        <v/>
      </c>
      <c r="AD485" s="6">
        <f>IF(OR($BJ485="",29&gt;設定!$B$3),"",IF(INDEX(原始資料!AF$2:AF$501,$BJ485)="","",INDEX(原始資料!AF$2:AF$501,$BJ485)))</f>
        <v/>
      </c>
      <c r="AE485" s="6">
        <f>IF(OR($BJ485="",30&gt;設定!$B$3),"",IF(INDEX(原始資料!AG$2:AG$501,$BJ485)="","",INDEX(原始資料!AG$2:AG$501,$BJ485)))</f>
        <v/>
      </c>
      <c r="AF485" s="6">
        <f>IF(OR($BJ485="",31&gt;設定!$B$3),"",IF(INDEX(原始資料!AH$2:AH$501,$BJ485)="","",INDEX(原始資料!AH$2:AH$501,$BJ485)))</f>
        <v/>
      </c>
      <c r="AG485" s="6">
        <f>IF(OR($BJ485="",32&gt;設定!$B$3),"",IF(INDEX(原始資料!AI$2:AI$501,$BJ485)="","",INDEX(原始資料!AI$2:AI$501,$BJ485)))</f>
        <v/>
      </c>
      <c r="AH485" s="6">
        <f>IF(OR($BJ485="",33&gt;設定!$B$3),"",IF(INDEX(原始資料!AJ$2:AJ$501,$BJ485)="","",INDEX(原始資料!AJ$2:AJ$501,$BJ485)))</f>
        <v/>
      </c>
      <c r="AI485" s="6">
        <f>IF(OR($BJ485="",34&gt;設定!$B$3),"",IF(INDEX(原始資料!AK$2:AK$501,$BJ485)="","",INDEX(原始資料!AK$2:AK$501,$BJ485)))</f>
        <v/>
      </c>
      <c r="AJ485" s="6">
        <f>IF(OR($BJ485="",35&gt;設定!$B$3),"",IF(INDEX(原始資料!AL$2:AL$501,$BJ485)="","",INDEX(原始資料!AL$2:AL$501,$BJ485)))</f>
        <v/>
      </c>
      <c r="AK485" s="6">
        <f>IF(OR($BJ485="",36&gt;設定!$B$3),"",IF(INDEX(原始資料!AM$2:AM$501,$BJ485)="","",INDEX(原始資料!AM$2:AM$501,$BJ485)))</f>
        <v/>
      </c>
      <c r="AL485" s="6">
        <f>IF(OR($BJ485="",37&gt;設定!$B$3),"",IF(INDEX(原始資料!AN$2:AN$501,$BJ485)="","",INDEX(原始資料!AN$2:AN$501,$BJ485)))</f>
        <v/>
      </c>
      <c r="AM485" s="6">
        <f>IF(OR($BJ485="",38&gt;設定!$B$3),"",IF(INDEX(原始資料!AO$2:AO$501,$BJ485)="","",INDEX(原始資料!AO$2:AO$501,$BJ485)))</f>
        <v/>
      </c>
      <c r="AN485" s="6">
        <f>IF(OR($BJ485="",39&gt;設定!$B$3),"",IF(INDEX(原始資料!AP$2:AP$501,$BJ485)="","",INDEX(原始資料!AP$2:AP$501,$BJ485)))</f>
        <v/>
      </c>
      <c r="AO485" s="6">
        <f>IF(OR($BJ485="",40&gt;設定!$B$3),"",IF(INDEX(原始資料!AQ$2:AQ$501,$BJ485)="","",INDEX(原始資料!AQ$2:AQ$501,$BJ485)))</f>
        <v/>
      </c>
      <c r="AP485" s="6">
        <f>IF(OR($BJ485="",41&gt;設定!$B$3),"",IF(INDEX(原始資料!AR$2:AR$501,$BJ485)="","",INDEX(原始資料!AR$2:AR$501,$BJ485)))</f>
        <v/>
      </c>
      <c r="AQ485" s="6">
        <f>IF(OR($BJ485="",42&gt;設定!$B$3),"",IF(INDEX(原始資料!AS$2:AS$501,$BJ485)="","",INDEX(原始資料!AS$2:AS$501,$BJ485)))</f>
        <v/>
      </c>
      <c r="AR485" s="6">
        <f>IF(OR($BJ485="",43&gt;設定!$B$3),"",IF(INDEX(原始資料!AT$2:AT$501,$BJ485)="","",INDEX(原始資料!AT$2:AT$501,$BJ485)))</f>
        <v/>
      </c>
      <c r="AS485" s="6">
        <f>IF(OR($BJ485="",44&gt;設定!$B$3),"",IF(INDEX(原始資料!AU$2:AU$501,$BJ485)="","",INDEX(原始資料!AU$2:AU$501,$BJ485)))</f>
        <v/>
      </c>
      <c r="AT485" s="6">
        <f>IF(OR($BJ485="",45&gt;設定!$B$3),"",IF(INDEX(原始資料!AV$2:AV$501,$BJ485)="","",INDEX(原始資料!AV$2:AV$501,$BJ485)))</f>
        <v/>
      </c>
      <c r="AU485" s="6">
        <f>IF(OR($BJ485="",46&gt;設定!$B$3),"",IF(INDEX(原始資料!AW$2:AW$501,$BJ485)="","",INDEX(原始資料!AW$2:AW$501,$BJ485)))</f>
        <v/>
      </c>
      <c r="AV485" s="6">
        <f>IF(OR($BJ485="",47&gt;設定!$B$3),"",IF(INDEX(原始資料!AX$2:AX$501,$BJ485)="","",INDEX(原始資料!AX$2:AX$501,$BJ485)))</f>
        <v/>
      </c>
      <c r="AW485" s="6">
        <f>IF(OR($BJ485="",48&gt;設定!$B$3),"",IF(INDEX(原始資料!AY$2:AY$501,$BJ485)="","",INDEX(原始資料!AY$2:AY$501,$BJ485)))</f>
        <v/>
      </c>
      <c r="AX485" s="6">
        <f>IF(OR($BJ485="",49&gt;設定!$B$3),"",IF(INDEX(原始資料!AZ$2:AZ$501,$BJ485)="","",INDEX(原始資料!AZ$2:AZ$501,$BJ485)))</f>
        <v/>
      </c>
      <c r="AY485" s="6">
        <f>IF(OR($BJ485="",50&gt;設定!$B$3),"",IF(INDEX(原始資料!BA$2:BA$501,$BJ485)="","",INDEX(原始資料!BA$2:BA$501,$BJ485)))</f>
        <v/>
      </c>
      <c r="AZ485" s="6">
        <f>IF(OR($BJ485="",51&gt;設定!$B$3),"",IF(INDEX(原始資料!BB$2:BB$501,$BJ485)="","",INDEX(原始資料!BB$2:BB$501,$BJ485)))</f>
        <v/>
      </c>
      <c r="BA485" s="6">
        <f>IF(OR($BJ485="",52&gt;設定!$B$3),"",IF(INDEX(原始資料!BC$2:BC$501,$BJ485)="","",INDEX(原始資料!BC$2:BC$501,$BJ485)))</f>
        <v/>
      </c>
      <c r="BB485" s="6">
        <f>IF(OR($BJ485="",53&gt;設定!$B$3),"",IF(INDEX(原始資料!BD$2:BD$501,$BJ485)="","",INDEX(原始資料!BD$2:BD$501,$BJ485)))</f>
        <v/>
      </c>
      <c r="BC485" s="6">
        <f>IF(OR($BJ485="",54&gt;設定!$B$3),"",IF(INDEX(原始資料!BE$2:BE$501,$BJ485)="","",INDEX(原始資料!BE$2:BE$501,$BJ485)))</f>
        <v/>
      </c>
      <c r="BD485" s="6">
        <f>IF(OR($BJ485="",55&gt;設定!$B$3),"",IF(INDEX(原始資料!BF$2:BF$501,$BJ485)="","",INDEX(原始資料!BF$2:BF$501,$BJ485)))</f>
        <v/>
      </c>
      <c r="BE485" s="6">
        <f>IF(OR($BJ485="",56&gt;設定!$B$3),"",IF(INDEX(原始資料!BG$2:BG$501,$BJ485)="","",INDEX(原始資料!BG$2:BG$501,$BJ485)))</f>
        <v/>
      </c>
      <c r="BF485" s="6">
        <f>IF(OR($BJ485="",57&gt;設定!$B$3),"",IF(INDEX(原始資料!BH$2:BH$501,$BJ485)="","",INDEX(原始資料!BH$2:BH$501,$BJ485)))</f>
        <v/>
      </c>
      <c r="BG485" s="6">
        <f>IF(OR($BJ485="",58&gt;設定!$B$3),"",IF(INDEX(原始資料!BI$2:BI$501,$BJ485)="","",INDEX(原始資料!BI$2:BI$501,$BJ485)))</f>
        <v/>
      </c>
      <c r="BH485" s="6">
        <f>IF(OR($BJ485="",59&gt;設定!$B$3),"",IF(INDEX(原始資料!BJ$2:BJ$501,$BJ485)="","",INDEX(原始資料!BJ$2:BJ$501,$BJ485)))</f>
        <v/>
      </c>
      <c r="BI485" s="6">
        <f>IF(OR($BJ485="",60&gt;設定!$B$3),"",IF(INDEX(原始資料!BK$2:BK$501,$BJ485)="","",INDEX(原始資料!BK$2:BK$501,$BJ485)))</f>
        <v/>
      </c>
      <c r="BJ485" s="6">
        <f>IFERROR(MATCH(ROW()-1,判定!$H$2:$H$501,0),"")</f>
        <v/>
      </c>
    </row>
    <row r="486">
      <c r="A486" s="6">
        <f>IF($BJ486="","",INDEX(原始資料!$A$2:$A$501,$BJ486))</f>
        <v/>
      </c>
      <c r="B486" s="6">
        <f>IF(OR($BJ486="",1&gt;設定!$B$3),"",IF(INDEX(原始資料!D$2:D$501,$BJ486)="","",INDEX(原始資料!D$2:D$501,$BJ486)))</f>
        <v/>
      </c>
      <c r="C486" s="6">
        <f>IF(OR($BJ486="",2&gt;設定!$B$3),"",IF(INDEX(原始資料!E$2:E$501,$BJ486)="","",INDEX(原始資料!E$2:E$501,$BJ486)))</f>
        <v/>
      </c>
      <c r="D486" s="6">
        <f>IF(OR($BJ486="",3&gt;設定!$B$3),"",IF(INDEX(原始資料!F$2:F$501,$BJ486)="","",INDEX(原始資料!F$2:F$501,$BJ486)))</f>
        <v/>
      </c>
      <c r="E486" s="6">
        <f>IF(OR($BJ486="",4&gt;設定!$B$3),"",IF(INDEX(原始資料!G$2:G$501,$BJ486)="","",INDEX(原始資料!G$2:G$501,$BJ486)))</f>
        <v/>
      </c>
      <c r="F486" s="6">
        <f>IF(OR($BJ486="",5&gt;設定!$B$3),"",IF(INDEX(原始資料!H$2:H$501,$BJ486)="","",INDEX(原始資料!H$2:H$501,$BJ486)))</f>
        <v/>
      </c>
      <c r="G486" s="6">
        <f>IF(OR($BJ486="",6&gt;設定!$B$3),"",IF(INDEX(原始資料!I$2:I$501,$BJ486)="","",INDEX(原始資料!I$2:I$501,$BJ486)))</f>
        <v/>
      </c>
      <c r="H486" s="6">
        <f>IF(OR($BJ486="",7&gt;設定!$B$3),"",IF(INDEX(原始資料!J$2:J$501,$BJ486)="","",INDEX(原始資料!J$2:J$501,$BJ486)))</f>
        <v/>
      </c>
      <c r="I486" s="6">
        <f>IF(OR($BJ486="",8&gt;設定!$B$3),"",IF(INDEX(原始資料!K$2:K$501,$BJ486)="","",INDEX(原始資料!K$2:K$501,$BJ486)))</f>
        <v/>
      </c>
      <c r="J486" s="6">
        <f>IF(OR($BJ486="",9&gt;設定!$B$3),"",IF(INDEX(原始資料!L$2:L$501,$BJ486)="","",INDEX(原始資料!L$2:L$501,$BJ486)))</f>
        <v/>
      </c>
      <c r="K486" s="6">
        <f>IF(OR($BJ486="",10&gt;設定!$B$3),"",IF(INDEX(原始資料!M$2:M$501,$BJ486)="","",INDEX(原始資料!M$2:M$501,$BJ486)))</f>
        <v/>
      </c>
      <c r="L486" s="6">
        <f>IF(OR($BJ486="",11&gt;設定!$B$3),"",IF(INDEX(原始資料!N$2:N$501,$BJ486)="","",INDEX(原始資料!N$2:N$501,$BJ486)))</f>
        <v/>
      </c>
      <c r="M486" s="6">
        <f>IF(OR($BJ486="",12&gt;設定!$B$3),"",IF(INDEX(原始資料!O$2:O$501,$BJ486)="","",INDEX(原始資料!O$2:O$501,$BJ486)))</f>
        <v/>
      </c>
      <c r="N486" s="6">
        <f>IF(OR($BJ486="",13&gt;設定!$B$3),"",IF(INDEX(原始資料!P$2:P$501,$BJ486)="","",INDEX(原始資料!P$2:P$501,$BJ486)))</f>
        <v/>
      </c>
      <c r="O486" s="6">
        <f>IF(OR($BJ486="",14&gt;設定!$B$3),"",IF(INDEX(原始資料!Q$2:Q$501,$BJ486)="","",INDEX(原始資料!Q$2:Q$501,$BJ486)))</f>
        <v/>
      </c>
      <c r="P486" s="6">
        <f>IF(OR($BJ486="",15&gt;設定!$B$3),"",IF(INDEX(原始資料!R$2:R$501,$BJ486)="","",INDEX(原始資料!R$2:R$501,$BJ486)))</f>
        <v/>
      </c>
      <c r="Q486" s="6">
        <f>IF(OR($BJ486="",16&gt;設定!$B$3),"",IF(INDEX(原始資料!S$2:S$501,$BJ486)="","",INDEX(原始資料!S$2:S$501,$BJ486)))</f>
        <v/>
      </c>
      <c r="R486" s="6">
        <f>IF(OR($BJ486="",17&gt;設定!$B$3),"",IF(INDEX(原始資料!T$2:T$501,$BJ486)="","",INDEX(原始資料!T$2:T$501,$BJ486)))</f>
        <v/>
      </c>
      <c r="S486" s="6">
        <f>IF(OR($BJ486="",18&gt;設定!$B$3),"",IF(INDEX(原始資料!U$2:U$501,$BJ486)="","",INDEX(原始資料!U$2:U$501,$BJ486)))</f>
        <v/>
      </c>
      <c r="T486" s="6">
        <f>IF(OR($BJ486="",19&gt;設定!$B$3),"",IF(INDEX(原始資料!V$2:V$501,$BJ486)="","",INDEX(原始資料!V$2:V$501,$BJ486)))</f>
        <v/>
      </c>
      <c r="U486" s="6">
        <f>IF(OR($BJ486="",20&gt;設定!$B$3),"",IF(INDEX(原始資料!W$2:W$501,$BJ486)="","",INDEX(原始資料!W$2:W$501,$BJ486)))</f>
        <v/>
      </c>
      <c r="V486" s="6">
        <f>IF(OR($BJ486="",21&gt;設定!$B$3),"",IF(INDEX(原始資料!X$2:X$501,$BJ486)="","",INDEX(原始資料!X$2:X$501,$BJ486)))</f>
        <v/>
      </c>
      <c r="W486" s="6">
        <f>IF(OR($BJ486="",22&gt;設定!$B$3),"",IF(INDEX(原始資料!Y$2:Y$501,$BJ486)="","",INDEX(原始資料!Y$2:Y$501,$BJ486)))</f>
        <v/>
      </c>
      <c r="X486" s="6">
        <f>IF(OR($BJ486="",23&gt;設定!$B$3),"",IF(INDEX(原始資料!Z$2:Z$501,$BJ486)="","",INDEX(原始資料!Z$2:Z$501,$BJ486)))</f>
        <v/>
      </c>
      <c r="Y486" s="6">
        <f>IF(OR($BJ486="",24&gt;設定!$B$3),"",IF(INDEX(原始資料!AA$2:AA$501,$BJ486)="","",INDEX(原始資料!AA$2:AA$501,$BJ486)))</f>
        <v/>
      </c>
      <c r="Z486" s="6">
        <f>IF(OR($BJ486="",25&gt;設定!$B$3),"",IF(INDEX(原始資料!AB$2:AB$501,$BJ486)="","",INDEX(原始資料!AB$2:AB$501,$BJ486)))</f>
        <v/>
      </c>
      <c r="AA486" s="6">
        <f>IF(OR($BJ486="",26&gt;設定!$B$3),"",IF(INDEX(原始資料!AC$2:AC$501,$BJ486)="","",INDEX(原始資料!AC$2:AC$501,$BJ486)))</f>
        <v/>
      </c>
      <c r="AB486" s="6">
        <f>IF(OR($BJ486="",27&gt;設定!$B$3),"",IF(INDEX(原始資料!AD$2:AD$501,$BJ486)="","",INDEX(原始資料!AD$2:AD$501,$BJ486)))</f>
        <v/>
      </c>
      <c r="AC486" s="6">
        <f>IF(OR($BJ486="",28&gt;設定!$B$3),"",IF(INDEX(原始資料!AE$2:AE$501,$BJ486)="","",INDEX(原始資料!AE$2:AE$501,$BJ486)))</f>
        <v/>
      </c>
      <c r="AD486" s="6">
        <f>IF(OR($BJ486="",29&gt;設定!$B$3),"",IF(INDEX(原始資料!AF$2:AF$501,$BJ486)="","",INDEX(原始資料!AF$2:AF$501,$BJ486)))</f>
        <v/>
      </c>
      <c r="AE486" s="6">
        <f>IF(OR($BJ486="",30&gt;設定!$B$3),"",IF(INDEX(原始資料!AG$2:AG$501,$BJ486)="","",INDEX(原始資料!AG$2:AG$501,$BJ486)))</f>
        <v/>
      </c>
      <c r="AF486" s="6">
        <f>IF(OR($BJ486="",31&gt;設定!$B$3),"",IF(INDEX(原始資料!AH$2:AH$501,$BJ486)="","",INDEX(原始資料!AH$2:AH$501,$BJ486)))</f>
        <v/>
      </c>
      <c r="AG486" s="6">
        <f>IF(OR($BJ486="",32&gt;設定!$B$3),"",IF(INDEX(原始資料!AI$2:AI$501,$BJ486)="","",INDEX(原始資料!AI$2:AI$501,$BJ486)))</f>
        <v/>
      </c>
      <c r="AH486" s="6">
        <f>IF(OR($BJ486="",33&gt;設定!$B$3),"",IF(INDEX(原始資料!AJ$2:AJ$501,$BJ486)="","",INDEX(原始資料!AJ$2:AJ$501,$BJ486)))</f>
        <v/>
      </c>
      <c r="AI486" s="6">
        <f>IF(OR($BJ486="",34&gt;設定!$B$3),"",IF(INDEX(原始資料!AK$2:AK$501,$BJ486)="","",INDEX(原始資料!AK$2:AK$501,$BJ486)))</f>
        <v/>
      </c>
      <c r="AJ486" s="6">
        <f>IF(OR($BJ486="",35&gt;設定!$B$3),"",IF(INDEX(原始資料!AL$2:AL$501,$BJ486)="","",INDEX(原始資料!AL$2:AL$501,$BJ486)))</f>
        <v/>
      </c>
      <c r="AK486" s="6">
        <f>IF(OR($BJ486="",36&gt;設定!$B$3),"",IF(INDEX(原始資料!AM$2:AM$501,$BJ486)="","",INDEX(原始資料!AM$2:AM$501,$BJ486)))</f>
        <v/>
      </c>
      <c r="AL486" s="6">
        <f>IF(OR($BJ486="",37&gt;設定!$B$3),"",IF(INDEX(原始資料!AN$2:AN$501,$BJ486)="","",INDEX(原始資料!AN$2:AN$501,$BJ486)))</f>
        <v/>
      </c>
      <c r="AM486" s="6">
        <f>IF(OR($BJ486="",38&gt;設定!$B$3),"",IF(INDEX(原始資料!AO$2:AO$501,$BJ486)="","",INDEX(原始資料!AO$2:AO$501,$BJ486)))</f>
        <v/>
      </c>
      <c r="AN486" s="6">
        <f>IF(OR($BJ486="",39&gt;設定!$B$3),"",IF(INDEX(原始資料!AP$2:AP$501,$BJ486)="","",INDEX(原始資料!AP$2:AP$501,$BJ486)))</f>
        <v/>
      </c>
      <c r="AO486" s="6">
        <f>IF(OR($BJ486="",40&gt;設定!$B$3),"",IF(INDEX(原始資料!AQ$2:AQ$501,$BJ486)="","",INDEX(原始資料!AQ$2:AQ$501,$BJ486)))</f>
        <v/>
      </c>
      <c r="AP486" s="6">
        <f>IF(OR($BJ486="",41&gt;設定!$B$3),"",IF(INDEX(原始資料!AR$2:AR$501,$BJ486)="","",INDEX(原始資料!AR$2:AR$501,$BJ486)))</f>
        <v/>
      </c>
      <c r="AQ486" s="6">
        <f>IF(OR($BJ486="",42&gt;設定!$B$3),"",IF(INDEX(原始資料!AS$2:AS$501,$BJ486)="","",INDEX(原始資料!AS$2:AS$501,$BJ486)))</f>
        <v/>
      </c>
      <c r="AR486" s="6">
        <f>IF(OR($BJ486="",43&gt;設定!$B$3),"",IF(INDEX(原始資料!AT$2:AT$501,$BJ486)="","",INDEX(原始資料!AT$2:AT$501,$BJ486)))</f>
        <v/>
      </c>
      <c r="AS486" s="6">
        <f>IF(OR($BJ486="",44&gt;設定!$B$3),"",IF(INDEX(原始資料!AU$2:AU$501,$BJ486)="","",INDEX(原始資料!AU$2:AU$501,$BJ486)))</f>
        <v/>
      </c>
      <c r="AT486" s="6">
        <f>IF(OR($BJ486="",45&gt;設定!$B$3),"",IF(INDEX(原始資料!AV$2:AV$501,$BJ486)="","",INDEX(原始資料!AV$2:AV$501,$BJ486)))</f>
        <v/>
      </c>
      <c r="AU486" s="6">
        <f>IF(OR($BJ486="",46&gt;設定!$B$3),"",IF(INDEX(原始資料!AW$2:AW$501,$BJ486)="","",INDEX(原始資料!AW$2:AW$501,$BJ486)))</f>
        <v/>
      </c>
      <c r="AV486" s="6">
        <f>IF(OR($BJ486="",47&gt;設定!$B$3),"",IF(INDEX(原始資料!AX$2:AX$501,$BJ486)="","",INDEX(原始資料!AX$2:AX$501,$BJ486)))</f>
        <v/>
      </c>
      <c r="AW486" s="6">
        <f>IF(OR($BJ486="",48&gt;設定!$B$3),"",IF(INDEX(原始資料!AY$2:AY$501,$BJ486)="","",INDEX(原始資料!AY$2:AY$501,$BJ486)))</f>
        <v/>
      </c>
      <c r="AX486" s="6">
        <f>IF(OR($BJ486="",49&gt;設定!$B$3),"",IF(INDEX(原始資料!AZ$2:AZ$501,$BJ486)="","",INDEX(原始資料!AZ$2:AZ$501,$BJ486)))</f>
        <v/>
      </c>
      <c r="AY486" s="6">
        <f>IF(OR($BJ486="",50&gt;設定!$B$3),"",IF(INDEX(原始資料!BA$2:BA$501,$BJ486)="","",INDEX(原始資料!BA$2:BA$501,$BJ486)))</f>
        <v/>
      </c>
      <c r="AZ486" s="6">
        <f>IF(OR($BJ486="",51&gt;設定!$B$3),"",IF(INDEX(原始資料!BB$2:BB$501,$BJ486)="","",INDEX(原始資料!BB$2:BB$501,$BJ486)))</f>
        <v/>
      </c>
      <c r="BA486" s="6">
        <f>IF(OR($BJ486="",52&gt;設定!$B$3),"",IF(INDEX(原始資料!BC$2:BC$501,$BJ486)="","",INDEX(原始資料!BC$2:BC$501,$BJ486)))</f>
        <v/>
      </c>
      <c r="BB486" s="6">
        <f>IF(OR($BJ486="",53&gt;設定!$B$3),"",IF(INDEX(原始資料!BD$2:BD$501,$BJ486)="","",INDEX(原始資料!BD$2:BD$501,$BJ486)))</f>
        <v/>
      </c>
      <c r="BC486" s="6">
        <f>IF(OR($BJ486="",54&gt;設定!$B$3),"",IF(INDEX(原始資料!BE$2:BE$501,$BJ486)="","",INDEX(原始資料!BE$2:BE$501,$BJ486)))</f>
        <v/>
      </c>
      <c r="BD486" s="6">
        <f>IF(OR($BJ486="",55&gt;設定!$B$3),"",IF(INDEX(原始資料!BF$2:BF$501,$BJ486)="","",INDEX(原始資料!BF$2:BF$501,$BJ486)))</f>
        <v/>
      </c>
      <c r="BE486" s="6">
        <f>IF(OR($BJ486="",56&gt;設定!$B$3),"",IF(INDEX(原始資料!BG$2:BG$501,$BJ486)="","",INDEX(原始資料!BG$2:BG$501,$BJ486)))</f>
        <v/>
      </c>
      <c r="BF486" s="6">
        <f>IF(OR($BJ486="",57&gt;設定!$B$3),"",IF(INDEX(原始資料!BH$2:BH$501,$BJ486)="","",INDEX(原始資料!BH$2:BH$501,$BJ486)))</f>
        <v/>
      </c>
      <c r="BG486" s="6">
        <f>IF(OR($BJ486="",58&gt;設定!$B$3),"",IF(INDEX(原始資料!BI$2:BI$501,$BJ486)="","",INDEX(原始資料!BI$2:BI$501,$BJ486)))</f>
        <v/>
      </c>
      <c r="BH486" s="6">
        <f>IF(OR($BJ486="",59&gt;設定!$B$3),"",IF(INDEX(原始資料!BJ$2:BJ$501,$BJ486)="","",INDEX(原始資料!BJ$2:BJ$501,$BJ486)))</f>
        <v/>
      </c>
      <c r="BI486" s="6">
        <f>IF(OR($BJ486="",60&gt;設定!$B$3),"",IF(INDEX(原始資料!BK$2:BK$501,$BJ486)="","",INDEX(原始資料!BK$2:BK$501,$BJ486)))</f>
        <v/>
      </c>
      <c r="BJ486" s="6">
        <f>IFERROR(MATCH(ROW()-1,判定!$H$2:$H$501,0),"")</f>
        <v/>
      </c>
    </row>
    <row r="487">
      <c r="A487" s="6">
        <f>IF($BJ487="","",INDEX(原始資料!$A$2:$A$501,$BJ487))</f>
        <v/>
      </c>
      <c r="B487" s="6">
        <f>IF(OR($BJ487="",1&gt;設定!$B$3),"",IF(INDEX(原始資料!D$2:D$501,$BJ487)="","",INDEX(原始資料!D$2:D$501,$BJ487)))</f>
        <v/>
      </c>
      <c r="C487" s="6">
        <f>IF(OR($BJ487="",2&gt;設定!$B$3),"",IF(INDEX(原始資料!E$2:E$501,$BJ487)="","",INDEX(原始資料!E$2:E$501,$BJ487)))</f>
        <v/>
      </c>
      <c r="D487" s="6">
        <f>IF(OR($BJ487="",3&gt;設定!$B$3),"",IF(INDEX(原始資料!F$2:F$501,$BJ487)="","",INDEX(原始資料!F$2:F$501,$BJ487)))</f>
        <v/>
      </c>
      <c r="E487" s="6">
        <f>IF(OR($BJ487="",4&gt;設定!$B$3),"",IF(INDEX(原始資料!G$2:G$501,$BJ487)="","",INDEX(原始資料!G$2:G$501,$BJ487)))</f>
        <v/>
      </c>
      <c r="F487" s="6">
        <f>IF(OR($BJ487="",5&gt;設定!$B$3),"",IF(INDEX(原始資料!H$2:H$501,$BJ487)="","",INDEX(原始資料!H$2:H$501,$BJ487)))</f>
        <v/>
      </c>
      <c r="G487" s="6">
        <f>IF(OR($BJ487="",6&gt;設定!$B$3),"",IF(INDEX(原始資料!I$2:I$501,$BJ487)="","",INDEX(原始資料!I$2:I$501,$BJ487)))</f>
        <v/>
      </c>
      <c r="H487" s="6">
        <f>IF(OR($BJ487="",7&gt;設定!$B$3),"",IF(INDEX(原始資料!J$2:J$501,$BJ487)="","",INDEX(原始資料!J$2:J$501,$BJ487)))</f>
        <v/>
      </c>
      <c r="I487" s="6">
        <f>IF(OR($BJ487="",8&gt;設定!$B$3),"",IF(INDEX(原始資料!K$2:K$501,$BJ487)="","",INDEX(原始資料!K$2:K$501,$BJ487)))</f>
        <v/>
      </c>
      <c r="J487" s="6">
        <f>IF(OR($BJ487="",9&gt;設定!$B$3),"",IF(INDEX(原始資料!L$2:L$501,$BJ487)="","",INDEX(原始資料!L$2:L$501,$BJ487)))</f>
        <v/>
      </c>
      <c r="K487" s="6">
        <f>IF(OR($BJ487="",10&gt;設定!$B$3),"",IF(INDEX(原始資料!M$2:M$501,$BJ487)="","",INDEX(原始資料!M$2:M$501,$BJ487)))</f>
        <v/>
      </c>
      <c r="L487" s="6">
        <f>IF(OR($BJ487="",11&gt;設定!$B$3),"",IF(INDEX(原始資料!N$2:N$501,$BJ487)="","",INDEX(原始資料!N$2:N$501,$BJ487)))</f>
        <v/>
      </c>
      <c r="M487" s="6">
        <f>IF(OR($BJ487="",12&gt;設定!$B$3),"",IF(INDEX(原始資料!O$2:O$501,$BJ487)="","",INDEX(原始資料!O$2:O$501,$BJ487)))</f>
        <v/>
      </c>
      <c r="N487" s="6">
        <f>IF(OR($BJ487="",13&gt;設定!$B$3),"",IF(INDEX(原始資料!P$2:P$501,$BJ487)="","",INDEX(原始資料!P$2:P$501,$BJ487)))</f>
        <v/>
      </c>
      <c r="O487" s="6">
        <f>IF(OR($BJ487="",14&gt;設定!$B$3),"",IF(INDEX(原始資料!Q$2:Q$501,$BJ487)="","",INDEX(原始資料!Q$2:Q$501,$BJ487)))</f>
        <v/>
      </c>
      <c r="P487" s="6">
        <f>IF(OR($BJ487="",15&gt;設定!$B$3),"",IF(INDEX(原始資料!R$2:R$501,$BJ487)="","",INDEX(原始資料!R$2:R$501,$BJ487)))</f>
        <v/>
      </c>
      <c r="Q487" s="6">
        <f>IF(OR($BJ487="",16&gt;設定!$B$3),"",IF(INDEX(原始資料!S$2:S$501,$BJ487)="","",INDEX(原始資料!S$2:S$501,$BJ487)))</f>
        <v/>
      </c>
      <c r="R487" s="6">
        <f>IF(OR($BJ487="",17&gt;設定!$B$3),"",IF(INDEX(原始資料!T$2:T$501,$BJ487)="","",INDEX(原始資料!T$2:T$501,$BJ487)))</f>
        <v/>
      </c>
      <c r="S487" s="6">
        <f>IF(OR($BJ487="",18&gt;設定!$B$3),"",IF(INDEX(原始資料!U$2:U$501,$BJ487)="","",INDEX(原始資料!U$2:U$501,$BJ487)))</f>
        <v/>
      </c>
      <c r="T487" s="6">
        <f>IF(OR($BJ487="",19&gt;設定!$B$3),"",IF(INDEX(原始資料!V$2:V$501,$BJ487)="","",INDEX(原始資料!V$2:V$501,$BJ487)))</f>
        <v/>
      </c>
      <c r="U487" s="6">
        <f>IF(OR($BJ487="",20&gt;設定!$B$3),"",IF(INDEX(原始資料!W$2:W$501,$BJ487)="","",INDEX(原始資料!W$2:W$501,$BJ487)))</f>
        <v/>
      </c>
      <c r="V487" s="6">
        <f>IF(OR($BJ487="",21&gt;設定!$B$3),"",IF(INDEX(原始資料!X$2:X$501,$BJ487)="","",INDEX(原始資料!X$2:X$501,$BJ487)))</f>
        <v/>
      </c>
      <c r="W487" s="6">
        <f>IF(OR($BJ487="",22&gt;設定!$B$3),"",IF(INDEX(原始資料!Y$2:Y$501,$BJ487)="","",INDEX(原始資料!Y$2:Y$501,$BJ487)))</f>
        <v/>
      </c>
      <c r="X487" s="6">
        <f>IF(OR($BJ487="",23&gt;設定!$B$3),"",IF(INDEX(原始資料!Z$2:Z$501,$BJ487)="","",INDEX(原始資料!Z$2:Z$501,$BJ487)))</f>
        <v/>
      </c>
      <c r="Y487" s="6">
        <f>IF(OR($BJ487="",24&gt;設定!$B$3),"",IF(INDEX(原始資料!AA$2:AA$501,$BJ487)="","",INDEX(原始資料!AA$2:AA$501,$BJ487)))</f>
        <v/>
      </c>
      <c r="Z487" s="6">
        <f>IF(OR($BJ487="",25&gt;設定!$B$3),"",IF(INDEX(原始資料!AB$2:AB$501,$BJ487)="","",INDEX(原始資料!AB$2:AB$501,$BJ487)))</f>
        <v/>
      </c>
      <c r="AA487" s="6">
        <f>IF(OR($BJ487="",26&gt;設定!$B$3),"",IF(INDEX(原始資料!AC$2:AC$501,$BJ487)="","",INDEX(原始資料!AC$2:AC$501,$BJ487)))</f>
        <v/>
      </c>
      <c r="AB487" s="6">
        <f>IF(OR($BJ487="",27&gt;設定!$B$3),"",IF(INDEX(原始資料!AD$2:AD$501,$BJ487)="","",INDEX(原始資料!AD$2:AD$501,$BJ487)))</f>
        <v/>
      </c>
      <c r="AC487" s="6">
        <f>IF(OR($BJ487="",28&gt;設定!$B$3),"",IF(INDEX(原始資料!AE$2:AE$501,$BJ487)="","",INDEX(原始資料!AE$2:AE$501,$BJ487)))</f>
        <v/>
      </c>
      <c r="AD487" s="6">
        <f>IF(OR($BJ487="",29&gt;設定!$B$3),"",IF(INDEX(原始資料!AF$2:AF$501,$BJ487)="","",INDEX(原始資料!AF$2:AF$501,$BJ487)))</f>
        <v/>
      </c>
      <c r="AE487" s="6">
        <f>IF(OR($BJ487="",30&gt;設定!$B$3),"",IF(INDEX(原始資料!AG$2:AG$501,$BJ487)="","",INDEX(原始資料!AG$2:AG$501,$BJ487)))</f>
        <v/>
      </c>
      <c r="AF487" s="6">
        <f>IF(OR($BJ487="",31&gt;設定!$B$3),"",IF(INDEX(原始資料!AH$2:AH$501,$BJ487)="","",INDEX(原始資料!AH$2:AH$501,$BJ487)))</f>
        <v/>
      </c>
      <c r="AG487" s="6">
        <f>IF(OR($BJ487="",32&gt;設定!$B$3),"",IF(INDEX(原始資料!AI$2:AI$501,$BJ487)="","",INDEX(原始資料!AI$2:AI$501,$BJ487)))</f>
        <v/>
      </c>
      <c r="AH487" s="6">
        <f>IF(OR($BJ487="",33&gt;設定!$B$3),"",IF(INDEX(原始資料!AJ$2:AJ$501,$BJ487)="","",INDEX(原始資料!AJ$2:AJ$501,$BJ487)))</f>
        <v/>
      </c>
      <c r="AI487" s="6">
        <f>IF(OR($BJ487="",34&gt;設定!$B$3),"",IF(INDEX(原始資料!AK$2:AK$501,$BJ487)="","",INDEX(原始資料!AK$2:AK$501,$BJ487)))</f>
        <v/>
      </c>
      <c r="AJ487" s="6">
        <f>IF(OR($BJ487="",35&gt;設定!$B$3),"",IF(INDEX(原始資料!AL$2:AL$501,$BJ487)="","",INDEX(原始資料!AL$2:AL$501,$BJ487)))</f>
        <v/>
      </c>
      <c r="AK487" s="6">
        <f>IF(OR($BJ487="",36&gt;設定!$B$3),"",IF(INDEX(原始資料!AM$2:AM$501,$BJ487)="","",INDEX(原始資料!AM$2:AM$501,$BJ487)))</f>
        <v/>
      </c>
      <c r="AL487" s="6">
        <f>IF(OR($BJ487="",37&gt;設定!$B$3),"",IF(INDEX(原始資料!AN$2:AN$501,$BJ487)="","",INDEX(原始資料!AN$2:AN$501,$BJ487)))</f>
        <v/>
      </c>
      <c r="AM487" s="6">
        <f>IF(OR($BJ487="",38&gt;設定!$B$3),"",IF(INDEX(原始資料!AO$2:AO$501,$BJ487)="","",INDEX(原始資料!AO$2:AO$501,$BJ487)))</f>
        <v/>
      </c>
      <c r="AN487" s="6">
        <f>IF(OR($BJ487="",39&gt;設定!$B$3),"",IF(INDEX(原始資料!AP$2:AP$501,$BJ487)="","",INDEX(原始資料!AP$2:AP$501,$BJ487)))</f>
        <v/>
      </c>
      <c r="AO487" s="6">
        <f>IF(OR($BJ487="",40&gt;設定!$B$3),"",IF(INDEX(原始資料!AQ$2:AQ$501,$BJ487)="","",INDEX(原始資料!AQ$2:AQ$501,$BJ487)))</f>
        <v/>
      </c>
      <c r="AP487" s="6">
        <f>IF(OR($BJ487="",41&gt;設定!$B$3),"",IF(INDEX(原始資料!AR$2:AR$501,$BJ487)="","",INDEX(原始資料!AR$2:AR$501,$BJ487)))</f>
        <v/>
      </c>
      <c r="AQ487" s="6">
        <f>IF(OR($BJ487="",42&gt;設定!$B$3),"",IF(INDEX(原始資料!AS$2:AS$501,$BJ487)="","",INDEX(原始資料!AS$2:AS$501,$BJ487)))</f>
        <v/>
      </c>
      <c r="AR487" s="6">
        <f>IF(OR($BJ487="",43&gt;設定!$B$3),"",IF(INDEX(原始資料!AT$2:AT$501,$BJ487)="","",INDEX(原始資料!AT$2:AT$501,$BJ487)))</f>
        <v/>
      </c>
      <c r="AS487" s="6">
        <f>IF(OR($BJ487="",44&gt;設定!$B$3),"",IF(INDEX(原始資料!AU$2:AU$501,$BJ487)="","",INDEX(原始資料!AU$2:AU$501,$BJ487)))</f>
        <v/>
      </c>
      <c r="AT487" s="6">
        <f>IF(OR($BJ487="",45&gt;設定!$B$3),"",IF(INDEX(原始資料!AV$2:AV$501,$BJ487)="","",INDEX(原始資料!AV$2:AV$501,$BJ487)))</f>
        <v/>
      </c>
      <c r="AU487" s="6">
        <f>IF(OR($BJ487="",46&gt;設定!$B$3),"",IF(INDEX(原始資料!AW$2:AW$501,$BJ487)="","",INDEX(原始資料!AW$2:AW$501,$BJ487)))</f>
        <v/>
      </c>
      <c r="AV487" s="6">
        <f>IF(OR($BJ487="",47&gt;設定!$B$3),"",IF(INDEX(原始資料!AX$2:AX$501,$BJ487)="","",INDEX(原始資料!AX$2:AX$501,$BJ487)))</f>
        <v/>
      </c>
      <c r="AW487" s="6">
        <f>IF(OR($BJ487="",48&gt;設定!$B$3),"",IF(INDEX(原始資料!AY$2:AY$501,$BJ487)="","",INDEX(原始資料!AY$2:AY$501,$BJ487)))</f>
        <v/>
      </c>
      <c r="AX487" s="6">
        <f>IF(OR($BJ487="",49&gt;設定!$B$3),"",IF(INDEX(原始資料!AZ$2:AZ$501,$BJ487)="","",INDEX(原始資料!AZ$2:AZ$501,$BJ487)))</f>
        <v/>
      </c>
      <c r="AY487" s="6">
        <f>IF(OR($BJ487="",50&gt;設定!$B$3),"",IF(INDEX(原始資料!BA$2:BA$501,$BJ487)="","",INDEX(原始資料!BA$2:BA$501,$BJ487)))</f>
        <v/>
      </c>
      <c r="AZ487" s="6">
        <f>IF(OR($BJ487="",51&gt;設定!$B$3),"",IF(INDEX(原始資料!BB$2:BB$501,$BJ487)="","",INDEX(原始資料!BB$2:BB$501,$BJ487)))</f>
        <v/>
      </c>
      <c r="BA487" s="6">
        <f>IF(OR($BJ487="",52&gt;設定!$B$3),"",IF(INDEX(原始資料!BC$2:BC$501,$BJ487)="","",INDEX(原始資料!BC$2:BC$501,$BJ487)))</f>
        <v/>
      </c>
      <c r="BB487" s="6">
        <f>IF(OR($BJ487="",53&gt;設定!$B$3),"",IF(INDEX(原始資料!BD$2:BD$501,$BJ487)="","",INDEX(原始資料!BD$2:BD$501,$BJ487)))</f>
        <v/>
      </c>
      <c r="BC487" s="6">
        <f>IF(OR($BJ487="",54&gt;設定!$B$3),"",IF(INDEX(原始資料!BE$2:BE$501,$BJ487)="","",INDEX(原始資料!BE$2:BE$501,$BJ487)))</f>
        <v/>
      </c>
      <c r="BD487" s="6">
        <f>IF(OR($BJ487="",55&gt;設定!$B$3),"",IF(INDEX(原始資料!BF$2:BF$501,$BJ487)="","",INDEX(原始資料!BF$2:BF$501,$BJ487)))</f>
        <v/>
      </c>
      <c r="BE487" s="6">
        <f>IF(OR($BJ487="",56&gt;設定!$B$3),"",IF(INDEX(原始資料!BG$2:BG$501,$BJ487)="","",INDEX(原始資料!BG$2:BG$501,$BJ487)))</f>
        <v/>
      </c>
      <c r="BF487" s="6">
        <f>IF(OR($BJ487="",57&gt;設定!$B$3),"",IF(INDEX(原始資料!BH$2:BH$501,$BJ487)="","",INDEX(原始資料!BH$2:BH$501,$BJ487)))</f>
        <v/>
      </c>
      <c r="BG487" s="6">
        <f>IF(OR($BJ487="",58&gt;設定!$B$3),"",IF(INDEX(原始資料!BI$2:BI$501,$BJ487)="","",INDEX(原始資料!BI$2:BI$501,$BJ487)))</f>
        <v/>
      </c>
      <c r="BH487" s="6">
        <f>IF(OR($BJ487="",59&gt;設定!$B$3),"",IF(INDEX(原始資料!BJ$2:BJ$501,$BJ487)="","",INDEX(原始資料!BJ$2:BJ$501,$BJ487)))</f>
        <v/>
      </c>
      <c r="BI487" s="6">
        <f>IF(OR($BJ487="",60&gt;設定!$B$3),"",IF(INDEX(原始資料!BK$2:BK$501,$BJ487)="","",INDEX(原始資料!BK$2:BK$501,$BJ487)))</f>
        <v/>
      </c>
      <c r="BJ487" s="6">
        <f>IFERROR(MATCH(ROW()-1,判定!$H$2:$H$501,0),"")</f>
        <v/>
      </c>
    </row>
    <row r="488">
      <c r="A488" s="6">
        <f>IF($BJ488="","",INDEX(原始資料!$A$2:$A$501,$BJ488))</f>
        <v/>
      </c>
      <c r="B488" s="6">
        <f>IF(OR($BJ488="",1&gt;設定!$B$3),"",IF(INDEX(原始資料!D$2:D$501,$BJ488)="","",INDEX(原始資料!D$2:D$501,$BJ488)))</f>
        <v/>
      </c>
      <c r="C488" s="6">
        <f>IF(OR($BJ488="",2&gt;設定!$B$3),"",IF(INDEX(原始資料!E$2:E$501,$BJ488)="","",INDEX(原始資料!E$2:E$501,$BJ488)))</f>
        <v/>
      </c>
      <c r="D488" s="6">
        <f>IF(OR($BJ488="",3&gt;設定!$B$3),"",IF(INDEX(原始資料!F$2:F$501,$BJ488)="","",INDEX(原始資料!F$2:F$501,$BJ488)))</f>
        <v/>
      </c>
      <c r="E488" s="6">
        <f>IF(OR($BJ488="",4&gt;設定!$B$3),"",IF(INDEX(原始資料!G$2:G$501,$BJ488)="","",INDEX(原始資料!G$2:G$501,$BJ488)))</f>
        <v/>
      </c>
      <c r="F488" s="6">
        <f>IF(OR($BJ488="",5&gt;設定!$B$3),"",IF(INDEX(原始資料!H$2:H$501,$BJ488)="","",INDEX(原始資料!H$2:H$501,$BJ488)))</f>
        <v/>
      </c>
      <c r="G488" s="6">
        <f>IF(OR($BJ488="",6&gt;設定!$B$3),"",IF(INDEX(原始資料!I$2:I$501,$BJ488)="","",INDEX(原始資料!I$2:I$501,$BJ488)))</f>
        <v/>
      </c>
      <c r="H488" s="6">
        <f>IF(OR($BJ488="",7&gt;設定!$B$3),"",IF(INDEX(原始資料!J$2:J$501,$BJ488)="","",INDEX(原始資料!J$2:J$501,$BJ488)))</f>
        <v/>
      </c>
      <c r="I488" s="6">
        <f>IF(OR($BJ488="",8&gt;設定!$B$3),"",IF(INDEX(原始資料!K$2:K$501,$BJ488)="","",INDEX(原始資料!K$2:K$501,$BJ488)))</f>
        <v/>
      </c>
      <c r="J488" s="6">
        <f>IF(OR($BJ488="",9&gt;設定!$B$3),"",IF(INDEX(原始資料!L$2:L$501,$BJ488)="","",INDEX(原始資料!L$2:L$501,$BJ488)))</f>
        <v/>
      </c>
      <c r="K488" s="6">
        <f>IF(OR($BJ488="",10&gt;設定!$B$3),"",IF(INDEX(原始資料!M$2:M$501,$BJ488)="","",INDEX(原始資料!M$2:M$501,$BJ488)))</f>
        <v/>
      </c>
      <c r="L488" s="6">
        <f>IF(OR($BJ488="",11&gt;設定!$B$3),"",IF(INDEX(原始資料!N$2:N$501,$BJ488)="","",INDEX(原始資料!N$2:N$501,$BJ488)))</f>
        <v/>
      </c>
      <c r="M488" s="6">
        <f>IF(OR($BJ488="",12&gt;設定!$B$3),"",IF(INDEX(原始資料!O$2:O$501,$BJ488)="","",INDEX(原始資料!O$2:O$501,$BJ488)))</f>
        <v/>
      </c>
      <c r="N488" s="6">
        <f>IF(OR($BJ488="",13&gt;設定!$B$3),"",IF(INDEX(原始資料!P$2:P$501,$BJ488)="","",INDEX(原始資料!P$2:P$501,$BJ488)))</f>
        <v/>
      </c>
      <c r="O488" s="6">
        <f>IF(OR($BJ488="",14&gt;設定!$B$3),"",IF(INDEX(原始資料!Q$2:Q$501,$BJ488)="","",INDEX(原始資料!Q$2:Q$501,$BJ488)))</f>
        <v/>
      </c>
      <c r="P488" s="6">
        <f>IF(OR($BJ488="",15&gt;設定!$B$3),"",IF(INDEX(原始資料!R$2:R$501,$BJ488)="","",INDEX(原始資料!R$2:R$501,$BJ488)))</f>
        <v/>
      </c>
      <c r="Q488" s="6">
        <f>IF(OR($BJ488="",16&gt;設定!$B$3),"",IF(INDEX(原始資料!S$2:S$501,$BJ488)="","",INDEX(原始資料!S$2:S$501,$BJ488)))</f>
        <v/>
      </c>
      <c r="R488" s="6">
        <f>IF(OR($BJ488="",17&gt;設定!$B$3),"",IF(INDEX(原始資料!T$2:T$501,$BJ488)="","",INDEX(原始資料!T$2:T$501,$BJ488)))</f>
        <v/>
      </c>
      <c r="S488" s="6">
        <f>IF(OR($BJ488="",18&gt;設定!$B$3),"",IF(INDEX(原始資料!U$2:U$501,$BJ488)="","",INDEX(原始資料!U$2:U$501,$BJ488)))</f>
        <v/>
      </c>
      <c r="T488" s="6">
        <f>IF(OR($BJ488="",19&gt;設定!$B$3),"",IF(INDEX(原始資料!V$2:V$501,$BJ488)="","",INDEX(原始資料!V$2:V$501,$BJ488)))</f>
        <v/>
      </c>
      <c r="U488" s="6">
        <f>IF(OR($BJ488="",20&gt;設定!$B$3),"",IF(INDEX(原始資料!W$2:W$501,$BJ488)="","",INDEX(原始資料!W$2:W$501,$BJ488)))</f>
        <v/>
      </c>
      <c r="V488" s="6">
        <f>IF(OR($BJ488="",21&gt;設定!$B$3),"",IF(INDEX(原始資料!X$2:X$501,$BJ488)="","",INDEX(原始資料!X$2:X$501,$BJ488)))</f>
        <v/>
      </c>
      <c r="W488" s="6">
        <f>IF(OR($BJ488="",22&gt;設定!$B$3),"",IF(INDEX(原始資料!Y$2:Y$501,$BJ488)="","",INDEX(原始資料!Y$2:Y$501,$BJ488)))</f>
        <v/>
      </c>
      <c r="X488" s="6">
        <f>IF(OR($BJ488="",23&gt;設定!$B$3),"",IF(INDEX(原始資料!Z$2:Z$501,$BJ488)="","",INDEX(原始資料!Z$2:Z$501,$BJ488)))</f>
        <v/>
      </c>
      <c r="Y488" s="6">
        <f>IF(OR($BJ488="",24&gt;設定!$B$3),"",IF(INDEX(原始資料!AA$2:AA$501,$BJ488)="","",INDEX(原始資料!AA$2:AA$501,$BJ488)))</f>
        <v/>
      </c>
      <c r="Z488" s="6">
        <f>IF(OR($BJ488="",25&gt;設定!$B$3),"",IF(INDEX(原始資料!AB$2:AB$501,$BJ488)="","",INDEX(原始資料!AB$2:AB$501,$BJ488)))</f>
        <v/>
      </c>
      <c r="AA488" s="6">
        <f>IF(OR($BJ488="",26&gt;設定!$B$3),"",IF(INDEX(原始資料!AC$2:AC$501,$BJ488)="","",INDEX(原始資料!AC$2:AC$501,$BJ488)))</f>
        <v/>
      </c>
      <c r="AB488" s="6">
        <f>IF(OR($BJ488="",27&gt;設定!$B$3),"",IF(INDEX(原始資料!AD$2:AD$501,$BJ488)="","",INDEX(原始資料!AD$2:AD$501,$BJ488)))</f>
        <v/>
      </c>
      <c r="AC488" s="6">
        <f>IF(OR($BJ488="",28&gt;設定!$B$3),"",IF(INDEX(原始資料!AE$2:AE$501,$BJ488)="","",INDEX(原始資料!AE$2:AE$501,$BJ488)))</f>
        <v/>
      </c>
      <c r="AD488" s="6">
        <f>IF(OR($BJ488="",29&gt;設定!$B$3),"",IF(INDEX(原始資料!AF$2:AF$501,$BJ488)="","",INDEX(原始資料!AF$2:AF$501,$BJ488)))</f>
        <v/>
      </c>
      <c r="AE488" s="6">
        <f>IF(OR($BJ488="",30&gt;設定!$B$3),"",IF(INDEX(原始資料!AG$2:AG$501,$BJ488)="","",INDEX(原始資料!AG$2:AG$501,$BJ488)))</f>
        <v/>
      </c>
      <c r="AF488" s="6">
        <f>IF(OR($BJ488="",31&gt;設定!$B$3),"",IF(INDEX(原始資料!AH$2:AH$501,$BJ488)="","",INDEX(原始資料!AH$2:AH$501,$BJ488)))</f>
        <v/>
      </c>
      <c r="AG488" s="6">
        <f>IF(OR($BJ488="",32&gt;設定!$B$3),"",IF(INDEX(原始資料!AI$2:AI$501,$BJ488)="","",INDEX(原始資料!AI$2:AI$501,$BJ488)))</f>
        <v/>
      </c>
      <c r="AH488" s="6">
        <f>IF(OR($BJ488="",33&gt;設定!$B$3),"",IF(INDEX(原始資料!AJ$2:AJ$501,$BJ488)="","",INDEX(原始資料!AJ$2:AJ$501,$BJ488)))</f>
        <v/>
      </c>
      <c r="AI488" s="6">
        <f>IF(OR($BJ488="",34&gt;設定!$B$3),"",IF(INDEX(原始資料!AK$2:AK$501,$BJ488)="","",INDEX(原始資料!AK$2:AK$501,$BJ488)))</f>
        <v/>
      </c>
      <c r="AJ488" s="6">
        <f>IF(OR($BJ488="",35&gt;設定!$B$3),"",IF(INDEX(原始資料!AL$2:AL$501,$BJ488)="","",INDEX(原始資料!AL$2:AL$501,$BJ488)))</f>
        <v/>
      </c>
      <c r="AK488" s="6">
        <f>IF(OR($BJ488="",36&gt;設定!$B$3),"",IF(INDEX(原始資料!AM$2:AM$501,$BJ488)="","",INDEX(原始資料!AM$2:AM$501,$BJ488)))</f>
        <v/>
      </c>
      <c r="AL488" s="6">
        <f>IF(OR($BJ488="",37&gt;設定!$B$3),"",IF(INDEX(原始資料!AN$2:AN$501,$BJ488)="","",INDEX(原始資料!AN$2:AN$501,$BJ488)))</f>
        <v/>
      </c>
      <c r="AM488" s="6">
        <f>IF(OR($BJ488="",38&gt;設定!$B$3),"",IF(INDEX(原始資料!AO$2:AO$501,$BJ488)="","",INDEX(原始資料!AO$2:AO$501,$BJ488)))</f>
        <v/>
      </c>
      <c r="AN488" s="6">
        <f>IF(OR($BJ488="",39&gt;設定!$B$3),"",IF(INDEX(原始資料!AP$2:AP$501,$BJ488)="","",INDEX(原始資料!AP$2:AP$501,$BJ488)))</f>
        <v/>
      </c>
      <c r="AO488" s="6">
        <f>IF(OR($BJ488="",40&gt;設定!$B$3),"",IF(INDEX(原始資料!AQ$2:AQ$501,$BJ488)="","",INDEX(原始資料!AQ$2:AQ$501,$BJ488)))</f>
        <v/>
      </c>
      <c r="AP488" s="6">
        <f>IF(OR($BJ488="",41&gt;設定!$B$3),"",IF(INDEX(原始資料!AR$2:AR$501,$BJ488)="","",INDEX(原始資料!AR$2:AR$501,$BJ488)))</f>
        <v/>
      </c>
      <c r="AQ488" s="6">
        <f>IF(OR($BJ488="",42&gt;設定!$B$3),"",IF(INDEX(原始資料!AS$2:AS$501,$BJ488)="","",INDEX(原始資料!AS$2:AS$501,$BJ488)))</f>
        <v/>
      </c>
      <c r="AR488" s="6">
        <f>IF(OR($BJ488="",43&gt;設定!$B$3),"",IF(INDEX(原始資料!AT$2:AT$501,$BJ488)="","",INDEX(原始資料!AT$2:AT$501,$BJ488)))</f>
        <v/>
      </c>
      <c r="AS488" s="6">
        <f>IF(OR($BJ488="",44&gt;設定!$B$3),"",IF(INDEX(原始資料!AU$2:AU$501,$BJ488)="","",INDEX(原始資料!AU$2:AU$501,$BJ488)))</f>
        <v/>
      </c>
      <c r="AT488" s="6">
        <f>IF(OR($BJ488="",45&gt;設定!$B$3),"",IF(INDEX(原始資料!AV$2:AV$501,$BJ488)="","",INDEX(原始資料!AV$2:AV$501,$BJ488)))</f>
        <v/>
      </c>
      <c r="AU488" s="6">
        <f>IF(OR($BJ488="",46&gt;設定!$B$3),"",IF(INDEX(原始資料!AW$2:AW$501,$BJ488)="","",INDEX(原始資料!AW$2:AW$501,$BJ488)))</f>
        <v/>
      </c>
      <c r="AV488" s="6">
        <f>IF(OR($BJ488="",47&gt;設定!$B$3),"",IF(INDEX(原始資料!AX$2:AX$501,$BJ488)="","",INDEX(原始資料!AX$2:AX$501,$BJ488)))</f>
        <v/>
      </c>
      <c r="AW488" s="6">
        <f>IF(OR($BJ488="",48&gt;設定!$B$3),"",IF(INDEX(原始資料!AY$2:AY$501,$BJ488)="","",INDEX(原始資料!AY$2:AY$501,$BJ488)))</f>
        <v/>
      </c>
      <c r="AX488" s="6">
        <f>IF(OR($BJ488="",49&gt;設定!$B$3),"",IF(INDEX(原始資料!AZ$2:AZ$501,$BJ488)="","",INDEX(原始資料!AZ$2:AZ$501,$BJ488)))</f>
        <v/>
      </c>
      <c r="AY488" s="6">
        <f>IF(OR($BJ488="",50&gt;設定!$B$3),"",IF(INDEX(原始資料!BA$2:BA$501,$BJ488)="","",INDEX(原始資料!BA$2:BA$501,$BJ488)))</f>
        <v/>
      </c>
      <c r="AZ488" s="6">
        <f>IF(OR($BJ488="",51&gt;設定!$B$3),"",IF(INDEX(原始資料!BB$2:BB$501,$BJ488)="","",INDEX(原始資料!BB$2:BB$501,$BJ488)))</f>
        <v/>
      </c>
      <c r="BA488" s="6">
        <f>IF(OR($BJ488="",52&gt;設定!$B$3),"",IF(INDEX(原始資料!BC$2:BC$501,$BJ488)="","",INDEX(原始資料!BC$2:BC$501,$BJ488)))</f>
        <v/>
      </c>
      <c r="BB488" s="6">
        <f>IF(OR($BJ488="",53&gt;設定!$B$3),"",IF(INDEX(原始資料!BD$2:BD$501,$BJ488)="","",INDEX(原始資料!BD$2:BD$501,$BJ488)))</f>
        <v/>
      </c>
      <c r="BC488" s="6">
        <f>IF(OR($BJ488="",54&gt;設定!$B$3),"",IF(INDEX(原始資料!BE$2:BE$501,$BJ488)="","",INDEX(原始資料!BE$2:BE$501,$BJ488)))</f>
        <v/>
      </c>
      <c r="BD488" s="6">
        <f>IF(OR($BJ488="",55&gt;設定!$B$3),"",IF(INDEX(原始資料!BF$2:BF$501,$BJ488)="","",INDEX(原始資料!BF$2:BF$501,$BJ488)))</f>
        <v/>
      </c>
      <c r="BE488" s="6">
        <f>IF(OR($BJ488="",56&gt;設定!$B$3),"",IF(INDEX(原始資料!BG$2:BG$501,$BJ488)="","",INDEX(原始資料!BG$2:BG$501,$BJ488)))</f>
        <v/>
      </c>
      <c r="BF488" s="6">
        <f>IF(OR($BJ488="",57&gt;設定!$B$3),"",IF(INDEX(原始資料!BH$2:BH$501,$BJ488)="","",INDEX(原始資料!BH$2:BH$501,$BJ488)))</f>
        <v/>
      </c>
      <c r="BG488" s="6">
        <f>IF(OR($BJ488="",58&gt;設定!$B$3),"",IF(INDEX(原始資料!BI$2:BI$501,$BJ488)="","",INDEX(原始資料!BI$2:BI$501,$BJ488)))</f>
        <v/>
      </c>
      <c r="BH488" s="6">
        <f>IF(OR($BJ488="",59&gt;設定!$B$3),"",IF(INDEX(原始資料!BJ$2:BJ$501,$BJ488)="","",INDEX(原始資料!BJ$2:BJ$501,$BJ488)))</f>
        <v/>
      </c>
      <c r="BI488" s="6">
        <f>IF(OR($BJ488="",60&gt;設定!$B$3),"",IF(INDEX(原始資料!BK$2:BK$501,$BJ488)="","",INDEX(原始資料!BK$2:BK$501,$BJ488)))</f>
        <v/>
      </c>
      <c r="BJ488" s="6">
        <f>IFERROR(MATCH(ROW()-1,判定!$H$2:$H$501,0),"")</f>
        <v/>
      </c>
    </row>
    <row r="489">
      <c r="A489" s="6">
        <f>IF($BJ489="","",INDEX(原始資料!$A$2:$A$501,$BJ489))</f>
        <v/>
      </c>
      <c r="B489" s="6">
        <f>IF(OR($BJ489="",1&gt;設定!$B$3),"",IF(INDEX(原始資料!D$2:D$501,$BJ489)="","",INDEX(原始資料!D$2:D$501,$BJ489)))</f>
        <v/>
      </c>
      <c r="C489" s="6">
        <f>IF(OR($BJ489="",2&gt;設定!$B$3),"",IF(INDEX(原始資料!E$2:E$501,$BJ489)="","",INDEX(原始資料!E$2:E$501,$BJ489)))</f>
        <v/>
      </c>
      <c r="D489" s="6">
        <f>IF(OR($BJ489="",3&gt;設定!$B$3),"",IF(INDEX(原始資料!F$2:F$501,$BJ489)="","",INDEX(原始資料!F$2:F$501,$BJ489)))</f>
        <v/>
      </c>
      <c r="E489" s="6">
        <f>IF(OR($BJ489="",4&gt;設定!$B$3),"",IF(INDEX(原始資料!G$2:G$501,$BJ489)="","",INDEX(原始資料!G$2:G$501,$BJ489)))</f>
        <v/>
      </c>
      <c r="F489" s="6">
        <f>IF(OR($BJ489="",5&gt;設定!$B$3),"",IF(INDEX(原始資料!H$2:H$501,$BJ489)="","",INDEX(原始資料!H$2:H$501,$BJ489)))</f>
        <v/>
      </c>
      <c r="G489" s="6">
        <f>IF(OR($BJ489="",6&gt;設定!$B$3),"",IF(INDEX(原始資料!I$2:I$501,$BJ489)="","",INDEX(原始資料!I$2:I$501,$BJ489)))</f>
        <v/>
      </c>
      <c r="H489" s="6">
        <f>IF(OR($BJ489="",7&gt;設定!$B$3),"",IF(INDEX(原始資料!J$2:J$501,$BJ489)="","",INDEX(原始資料!J$2:J$501,$BJ489)))</f>
        <v/>
      </c>
      <c r="I489" s="6">
        <f>IF(OR($BJ489="",8&gt;設定!$B$3),"",IF(INDEX(原始資料!K$2:K$501,$BJ489)="","",INDEX(原始資料!K$2:K$501,$BJ489)))</f>
        <v/>
      </c>
      <c r="J489" s="6">
        <f>IF(OR($BJ489="",9&gt;設定!$B$3),"",IF(INDEX(原始資料!L$2:L$501,$BJ489)="","",INDEX(原始資料!L$2:L$501,$BJ489)))</f>
        <v/>
      </c>
      <c r="K489" s="6">
        <f>IF(OR($BJ489="",10&gt;設定!$B$3),"",IF(INDEX(原始資料!M$2:M$501,$BJ489)="","",INDEX(原始資料!M$2:M$501,$BJ489)))</f>
        <v/>
      </c>
      <c r="L489" s="6">
        <f>IF(OR($BJ489="",11&gt;設定!$B$3),"",IF(INDEX(原始資料!N$2:N$501,$BJ489)="","",INDEX(原始資料!N$2:N$501,$BJ489)))</f>
        <v/>
      </c>
      <c r="M489" s="6">
        <f>IF(OR($BJ489="",12&gt;設定!$B$3),"",IF(INDEX(原始資料!O$2:O$501,$BJ489)="","",INDEX(原始資料!O$2:O$501,$BJ489)))</f>
        <v/>
      </c>
      <c r="N489" s="6">
        <f>IF(OR($BJ489="",13&gt;設定!$B$3),"",IF(INDEX(原始資料!P$2:P$501,$BJ489)="","",INDEX(原始資料!P$2:P$501,$BJ489)))</f>
        <v/>
      </c>
      <c r="O489" s="6">
        <f>IF(OR($BJ489="",14&gt;設定!$B$3),"",IF(INDEX(原始資料!Q$2:Q$501,$BJ489)="","",INDEX(原始資料!Q$2:Q$501,$BJ489)))</f>
        <v/>
      </c>
      <c r="P489" s="6">
        <f>IF(OR($BJ489="",15&gt;設定!$B$3),"",IF(INDEX(原始資料!R$2:R$501,$BJ489)="","",INDEX(原始資料!R$2:R$501,$BJ489)))</f>
        <v/>
      </c>
      <c r="Q489" s="6">
        <f>IF(OR($BJ489="",16&gt;設定!$B$3),"",IF(INDEX(原始資料!S$2:S$501,$BJ489)="","",INDEX(原始資料!S$2:S$501,$BJ489)))</f>
        <v/>
      </c>
      <c r="R489" s="6">
        <f>IF(OR($BJ489="",17&gt;設定!$B$3),"",IF(INDEX(原始資料!T$2:T$501,$BJ489)="","",INDEX(原始資料!T$2:T$501,$BJ489)))</f>
        <v/>
      </c>
      <c r="S489" s="6">
        <f>IF(OR($BJ489="",18&gt;設定!$B$3),"",IF(INDEX(原始資料!U$2:U$501,$BJ489)="","",INDEX(原始資料!U$2:U$501,$BJ489)))</f>
        <v/>
      </c>
      <c r="T489" s="6">
        <f>IF(OR($BJ489="",19&gt;設定!$B$3),"",IF(INDEX(原始資料!V$2:V$501,$BJ489)="","",INDEX(原始資料!V$2:V$501,$BJ489)))</f>
        <v/>
      </c>
      <c r="U489" s="6">
        <f>IF(OR($BJ489="",20&gt;設定!$B$3),"",IF(INDEX(原始資料!W$2:W$501,$BJ489)="","",INDEX(原始資料!W$2:W$501,$BJ489)))</f>
        <v/>
      </c>
      <c r="V489" s="6">
        <f>IF(OR($BJ489="",21&gt;設定!$B$3),"",IF(INDEX(原始資料!X$2:X$501,$BJ489)="","",INDEX(原始資料!X$2:X$501,$BJ489)))</f>
        <v/>
      </c>
      <c r="W489" s="6">
        <f>IF(OR($BJ489="",22&gt;設定!$B$3),"",IF(INDEX(原始資料!Y$2:Y$501,$BJ489)="","",INDEX(原始資料!Y$2:Y$501,$BJ489)))</f>
        <v/>
      </c>
      <c r="X489" s="6">
        <f>IF(OR($BJ489="",23&gt;設定!$B$3),"",IF(INDEX(原始資料!Z$2:Z$501,$BJ489)="","",INDEX(原始資料!Z$2:Z$501,$BJ489)))</f>
        <v/>
      </c>
      <c r="Y489" s="6">
        <f>IF(OR($BJ489="",24&gt;設定!$B$3),"",IF(INDEX(原始資料!AA$2:AA$501,$BJ489)="","",INDEX(原始資料!AA$2:AA$501,$BJ489)))</f>
        <v/>
      </c>
      <c r="Z489" s="6">
        <f>IF(OR($BJ489="",25&gt;設定!$B$3),"",IF(INDEX(原始資料!AB$2:AB$501,$BJ489)="","",INDEX(原始資料!AB$2:AB$501,$BJ489)))</f>
        <v/>
      </c>
      <c r="AA489" s="6">
        <f>IF(OR($BJ489="",26&gt;設定!$B$3),"",IF(INDEX(原始資料!AC$2:AC$501,$BJ489)="","",INDEX(原始資料!AC$2:AC$501,$BJ489)))</f>
        <v/>
      </c>
      <c r="AB489" s="6">
        <f>IF(OR($BJ489="",27&gt;設定!$B$3),"",IF(INDEX(原始資料!AD$2:AD$501,$BJ489)="","",INDEX(原始資料!AD$2:AD$501,$BJ489)))</f>
        <v/>
      </c>
      <c r="AC489" s="6">
        <f>IF(OR($BJ489="",28&gt;設定!$B$3),"",IF(INDEX(原始資料!AE$2:AE$501,$BJ489)="","",INDEX(原始資料!AE$2:AE$501,$BJ489)))</f>
        <v/>
      </c>
      <c r="AD489" s="6">
        <f>IF(OR($BJ489="",29&gt;設定!$B$3),"",IF(INDEX(原始資料!AF$2:AF$501,$BJ489)="","",INDEX(原始資料!AF$2:AF$501,$BJ489)))</f>
        <v/>
      </c>
      <c r="AE489" s="6">
        <f>IF(OR($BJ489="",30&gt;設定!$B$3),"",IF(INDEX(原始資料!AG$2:AG$501,$BJ489)="","",INDEX(原始資料!AG$2:AG$501,$BJ489)))</f>
        <v/>
      </c>
      <c r="AF489" s="6">
        <f>IF(OR($BJ489="",31&gt;設定!$B$3),"",IF(INDEX(原始資料!AH$2:AH$501,$BJ489)="","",INDEX(原始資料!AH$2:AH$501,$BJ489)))</f>
        <v/>
      </c>
      <c r="AG489" s="6">
        <f>IF(OR($BJ489="",32&gt;設定!$B$3),"",IF(INDEX(原始資料!AI$2:AI$501,$BJ489)="","",INDEX(原始資料!AI$2:AI$501,$BJ489)))</f>
        <v/>
      </c>
      <c r="AH489" s="6">
        <f>IF(OR($BJ489="",33&gt;設定!$B$3),"",IF(INDEX(原始資料!AJ$2:AJ$501,$BJ489)="","",INDEX(原始資料!AJ$2:AJ$501,$BJ489)))</f>
        <v/>
      </c>
      <c r="AI489" s="6">
        <f>IF(OR($BJ489="",34&gt;設定!$B$3),"",IF(INDEX(原始資料!AK$2:AK$501,$BJ489)="","",INDEX(原始資料!AK$2:AK$501,$BJ489)))</f>
        <v/>
      </c>
      <c r="AJ489" s="6">
        <f>IF(OR($BJ489="",35&gt;設定!$B$3),"",IF(INDEX(原始資料!AL$2:AL$501,$BJ489)="","",INDEX(原始資料!AL$2:AL$501,$BJ489)))</f>
        <v/>
      </c>
      <c r="AK489" s="6">
        <f>IF(OR($BJ489="",36&gt;設定!$B$3),"",IF(INDEX(原始資料!AM$2:AM$501,$BJ489)="","",INDEX(原始資料!AM$2:AM$501,$BJ489)))</f>
        <v/>
      </c>
      <c r="AL489" s="6">
        <f>IF(OR($BJ489="",37&gt;設定!$B$3),"",IF(INDEX(原始資料!AN$2:AN$501,$BJ489)="","",INDEX(原始資料!AN$2:AN$501,$BJ489)))</f>
        <v/>
      </c>
      <c r="AM489" s="6">
        <f>IF(OR($BJ489="",38&gt;設定!$B$3),"",IF(INDEX(原始資料!AO$2:AO$501,$BJ489)="","",INDEX(原始資料!AO$2:AO$501,$BJ489)))</f>
        <v/>
      </c>
      <c r="AN489" s="6">
        <f>IF(OR($BJ489="",39&gt;設定!$B$3),"",IF(INDEX(原始資料!AP$2:AP$501,$BJ489)="","",INDEX(原始資料!AP$2:AP$501,$BJ489)))</f>
        <v/>
      </c>
      <c r="AO489" s="6">
        <f>IF(OR($BJ489="",40&gt;設定!$B$3),"",IF(INDEX(原始資料!AQ$2:AQ$501,$BJ489)="","",INDEX(原始資料!AQ$2:AQ$501,$BJ489)))</f>
        <v/>
      </c>
      <c r="AP489" s="6">
        <f>IF(OR($BJ489="",41&gt;設定!$B$3),"",IF(INDEX(原始資料!AR$2:AR$501,$BJ489)="","",INDEX(原始資料!AR$2:AR$501,$BJ489)))</f>
        <v/>
      </c>
      <c r="AQ489" s="6">
        <f>IF(OR($BJ489="",42&gt;設定!$B$3),"",IF(INDEX(原始資料!AS$2:AS$501,$BJ489)="","",INDEX(原始資料!AS$2:AS$501,$BJ489)))</f>
        <v/>
      </c>
      <c r="AR489" s="6">
        <f>IF(OR($BJ489="",43&gt;設定!$B$3),"",IF(INDEX(原始資料!AT$2:AT$501,$BJ489)="","",INDEX(原始資料!AT$2:AT$501,$BJ489)))</f>
        <v/>
      </c>
      <c r="AS489" s="6">
        <f>IF(OR($BJ489="",44&gt;設定!$B$3),"",IF(INDEX(原始資料!AU$2:AU$501,$BJ489)="","",INDEX(原始資料!AU$2:AU$501,$BJ489)))</f>
        <v/>
      </c>
      <c r="AT489" s="6">
        <f>IF(OR($BJ489="",45&gt;設定!$B$3),"",IF(INDEX(原始資料!AV$2:AV$501,$BJ489)="","",INDEX(原始資料!AV$2:AV$501,$BJ489)))</f>
        <v/>
      </c>
      <c r="AU489" s="6">
        <f>IF(OR($BJ489="",46&gt;設定!$B$3),"",IF(INDEX(原始資料!AW$2:AW$501,$BJ489)="","",INDEX(原始資料!AW$2:AW$501,$BJ489)))</f>
        <v/>
      </c>
      <c r="AV489" s="6">
        <f>IF(OR($BJ489="",47&gt;設定!$B$3),"",IF(INDEX(原始資料!AX$2:AX$501,$BJ489)="","",INDEX(原始資料!AX$2:AX$501,$BJ489)))</f>
        <v/>
      </c>
      <c r="AW489" s="6">
        <f>IF(OR($BJ489="",48&gt;設定!$B$3),"",IF(INDEX(原始資料!AY$2:AY$501,$BJ489)="","",INDEX(原始資料!AY$2:AY$501,$BJ489)))</f>
        <v/>
      </c>
      <c r="AX489" s="6">
        <f>IF(OR($BJ489="",49&gt;設定!$B$3),"",IF(INDEX(原始資料!AZ$2:AZ$501,$BJ489)="","",INDEX(原始資料!AZ$2:AZ$501,$BJ489)))</f>
        <v/>
      </c>
      <c r="AY489" s="6">
        <f>IF(OR($BJ489="",50&gt;設定!$B$3),"",IF(INDEX(原始資料!BA$2:BA$501,$BJ489)="","",INDEX(原始資料!BA$2:BA$501,$BJ489)))</f>
        <v/>
      </c>
      <c r="AZ489" s="6">
        <f>IF(OR($BJ489="",51&gt;設定!$B$3),"",IF(INDEX(原始資料!BB$2:BB$501,$BJ489)="","",INDEX(原始資料!BB$2:BB$501,$BJ489)))</f>
        <v/>
      </c>
      <c r="BA489" s="6">
        <f>IF(OR($BJ489="",52&gt;設定!$B$3),"",IF(INDEX(原始資料!BC$2:BC$501,$BJ489)="","",INDEX(原始資料!BC$2:BC$501,$BJ489)))</f>
        <v/>
      </c>
      <c r="BB489" s="6">
        <f>IF(OR($BJ489="",53&gt;設定!$B$3),"",IF(INDEX(原始資料!BD$2:BD$501,$BJ489)="","",INDEX(原始資料!BD$2:BD$501,$BJ489)))</f>
        <v/>
      </c>
      <c r="BC489" s="6">
        <f>IF(OR($BJ489="",54&gt;設定!$B$3),"",IF(INDEX(原始資料!BE$2:BE$501,$BJ489)="","",INDEX(原始資料!BE$2:BE$501,$BJ489)))</f>
        <v/>
      </c>
      <c r="BD489" s="6">
        <f>IF(OR($BJ489="",55&gt;設定!$B$3),"",IF(INDEX(原始資料!BF$2:BF$501,$BJ489)="","",INDEX(原始資料!BF$2:BF$501,$BJ489)))</f>
        <v/>
      </c>
      <c r="BE489" s="6">
        <f>IF(OR($BJ489="",56&gt;設定!$B$3),"",IF(INDEX(原始資料!BG$2:BG$501,$BJ489)="","",INDEX(原始資料!BG$2:BG$501,$BJ489)))</f>
        <v/>
      </c>
      <c r="BF489" s="6">
        <f>IF(OR($BJ489="",57&gt;設定!$B$3),"",IF(INDEX(原始資料!BH$2:BH$501,$BJ489)="","",INDEX(原始資料!BH$2:BH$501,$BJ489)))</f>
        <v/>
      </c>
      <c r="BG489" s="6">
        <f>IF(OR($BJ489="",58&gt;設定!$B$3),"",IF(INDEX(原始資料!BI$2:BI$501,$BJ489)="","",INDEX(原始資料!BI$2:BI$501,$BJ489)))</f>
        <v/>
      </c>
      <c r="BH489" s="6">
        <f>IF(OR($BJ489="",59&gt;設定!$B$3),"",IF(INDEX(原始資料!BJ$2:BJ$501,$BJ489)="","",INDEX(原始資料!BJ$2:BJ$501,$BJ489)))</f>
        <v/>
      </c>
      <c r="BI489" s="6">
        <f>IF(OR($BJ489="",60&gt;設定!$B$3),"",IF(INDEX(原始資料!BK$2:BK$501,$BJ489)="","",INDEX(原始資料!BK$2:BK$501,$BJ489)))</f>
        <v/>
      </c>
      <c r="BJ489" s="6">
        <f>IFERROR(MATCH(ROW()-1,判定!$H$2:$H$501,0),"")</f>
        <v/>
      </c>
    </row>
    <row r="490">
      <c r="A490" s="6">
        <f>IF($BJ490="","",INDEX(原始資料!$A$2:$A$501,$BJ490))</f>
        <v/>
      </c>
      <c r="B490" s="6">
        <f>IF(OR($BJ490="",1&gt;設定!$B$3),"",IF(INDEX(原始資料!D$2:D$501,$BJ490)="","",INDEX(原始資料!D$2:D$501,$BJ490)))</f>
        <v/>
      </c>
      <c r="C490" s="6">
        <f>IF(OR($BJ490="",2&gt;設定!$B$3),"",IF(INDEX(原始資料!E$2:E$501,$BJ490)="","",INDEX(原始資料!E$2:E$501,$BJ490)))</f>
        <v/>
      </c>
      <c r="D490" s="6">
        <f>IF(OR($BJ490="",3&gt;設定!$B$3),"",IF(INDEX(原始資料!F$2:F$501,$BJ490)="","",INDEX(原始資料!F$2:F$501,$BJ490)))</f>
        <v/>
      </c>
      <c r="E490" s="6">
        <f>IF(OR($BJ490="",4&gt;設定!$B$3),"",IF(INDEX(原始資料!G$2:G$501,$BJ490)="","",INDEX(原始資料!G$2:G$501,$BJ490)))</f>
        <v/>
      </c>
      <c r="F490" s="6">
        <f>IF(OR($BJ490="",5&gt;設定!$B$3),"",IF(INDEX(原始資料!H$2:H$501,$BJ490)="","",INDEX(原始資料!H$2:H$501,$BJ490)))</f>
        <v/>
      </c>
      <c r="G490" s="6">
        <f>IF(OR($BJ490="",6&gt;設定!$B$3),"",IF(INDEX(原始資料!I$2:I$501,$BJ490)="","",INDEX(原始資料!I$2:I$501,$BJ490)))</f>
        <v/>
      </c>
      <c r="H490" s="6">
        <f>IF(OR($BJ490="",7&gt;設定!$B$3),"",IF(INDEX(原始資料!J$2:J$501,$BJ490)="","",INDEX(原始資料!J$2:J$501,$BJ490)))</f>
        <v/>
      </c>
      <c r="I490" s="6">
        <f>IF(OR($BJ490="",8&gt;設定!$B$3),"",IF(INDEX(原始資料!K$2:K$501,$BJ490)="","",INDEX(原始資料!K$2:K$501,$BJ490)))</f>
        <v/>
      </c>
      <c r="J490" s="6">
        <f>IF(OR($BJ490="",9&gt;設定!$B$3),"",IF(INDEX(原始資料!L$2:L$501,$BJ490)="","",INDEX(原始資料!L$2:L$501,$BJ490)))</f>
        <v/>
      </c>
      <c r="K490" s="6">
        <f>IF(OR($BJ490="",10&gt;設定!$B$3),"",IF(INDEX(原始資料!M$2:M$501,$BJ490)="","",INDEX(原始資料!M$2:M$501,$BJ490)))</f>
        <v/>
      </c>
      <c r="L490" s="6">
        <f>IF(OR($BJ490="",11&gt;設定!$B$3),"",IF(INDEX(原始資料!N$2:N$501,$BJ490)="","",INDEX(原始資料!N$2:N$501,$BJ490)))</f>
        <v/>
      </c>
      <c r="M490" s="6">
        <f>IF(OR($BJ490="",12&gt;設定!$B$3),"",IF(INDEX(原始資料!O$2:O$501,$BJ490)="","",INDEX(原始資料!O$2:O$501,$BJ490)))</f>
        <v/>
      </c>
      <c r="N490" s="6">
        <f>IF(OR($BJ490="",13&gt;設定!$B$3),"",IF(INDEX(原始資料!P$2:P$501,$BJ490)="","",INDEX(原始資料!P$2:P$501,$BJ490)))</f>
        <v/>
      </c>
      <c r="O490" s="6">
        <f>IF(OR($BJ490="",14&gt;設定!$B$3),"",IF(INDEX(原始資料!Q$2:Q$501,$BJ490)="","",INDEX(原始資料!Q$2:Q$501,$BJ490)))</f>
        <v/>
      </c>
      <c r="P490" s="6">
        <f>IF(OR($BJ490="",15&gt;設定!$B$3),"",IF(INDEX(原始資料!R$2:R$501,$BJ490)="","",INDEX(原始資料!R$2:R$501,$BJ490)))</f>
        <v/>
      </c>
      <c r="Q490" s="6">
        <f>IF(OR($BJ490="",16&gt;設定!$B$3),"",IF(INDEX(原始資料!S$2:S$501,$BJ490)="","",INDEX(原始資料!S$2:S$501,$BJ490)))</f>
        <v/>
      </c>
      <c r="R490" s="6">
        <f>IF(OR($BJ490="",17&gt;設定!$B$3),"",IF(INDEX(原始資料!T$2:T$501,$BJ490)="","",INDEX(原始資料!T$2:T$501,$BJ490)))</f>
        <v/>
      </c>
      <c r="S490" s="6">
        <f>IF(OR($BJ490="",18&gt;設定!$B$3),"",IF(INDEX(原始資料!U$2:U$501,$BJ490)="","",INDEX(原始資料!U$2:U$501,$BJ490)))</f>
        <v/>
      </c>
      <c r="T490" s="6">
        <f>IF(OR($BJ490="",19&gt;設定!$B$3),"",IF(INDEX(原始資料!V$2:V$501,$BJ490)="","",INDEX(原始資料!V$2:V$501,$BJ490)))</f>
        <v/>
      </c>
      <c r="U490" s="6">
        <f>IF(OR($BJ490="",20&gt;設定!$B$3),"",IF(INDEX(原始資料!W$2:W$501,$BJ490)="","",INDEX(原始資料!W$2:W$501,$BJ490)))</f>
        <v/>
      </c>
      <c r="V490" s="6">
        <f>IF(OR($BJ490="",21&gt;設定!$B$3),"",IF(INDEX(原始資料!X$2:X$501,$BJ490)="","",INDEX(原始資料!X$2:X$501,$BJ490)))</f>
        <v/>
      </c>
      <c r="W490" s="6">
        <f>IF(OR($BJ490="",22&gt;設定!$B$3),"",IF(INDEX(原始資料!Y$2:Y$501,$BJ490)="","",INDEX(原始資料!Y$2:Y$501,$BJ490)))</f>
        <v/>
      </c>
      <c r="X490" s="6">
        <f>IF(OR($BJ490="",23&gt;設定!$B$3),"",IF(INDEX(原始資料!Z$2:Z$501,$BJ490)="","",INDEX(原始資料!Z$2:Z$501,$BJ490)))</f>
        <v/>
      </c>
      <c r="Y490" s="6">
        <f>IF(OR($BJ490="",24&gt;設定!$B$3),"",IF(INDEX(原始資料!AA$2:AA$501,$BJ490)="","",INDEX(原始資料!AA$2:AA$501,$BJ490)))</f>
        <v/>
      </c>
      <c r="Z490" s="6">
        <f>IF(OR($BJ490="",25&gt;設定!$B$3),"",IF(INDEX(原始資料!AB$2:AB$501,$BJ490)="","",INDEX(原始資料!AB$2:AB$501,$BJ490)))</f>
        <v/>
      </c>
      <c r="AA490" s="6">
        <f>IF(OR($BJ490="",26&gt;設定!$B$3),"",IF(INDEX(原始資料!AC$2:AC$501,$BJ490)="","",INDEX(原始資料!AC$2:AC$501,$BJ490)))</f>
        <v/>
      </c>
      <c r="AB490" s="6">
        <f>IF(OR($BJ490="",27&gt;設定!$B$3),"",IF(INDEX(原始資料!AD$2:AD$501,$BJ490)="","",INDEX(原始資料!AD$2:AD$501,$BJ490)))</f>
        <v/>
      </c>
      <c r="AC490" s="6">
        <f>IF(OR($BJ490="",28&gt;設定!$B$3),"",IF(INDEX(原始資料!AE$2:AE$501,$BJ490)="","",INDEX(原始資料!AE$2:AE$501,$BJ490)))</f>
        <v/>
      </c>
      <c r="AD490" s="6">
        <f>IF(OR($BJ490="",29&gt;設定!$B$3),"",IF(INDEX(原始資料!AF$2:AF$501,$BJ490)="","",INDEX(原始資料!AF$2:AF$501,$BJ490)))</f>
        <v/>
      </c>
      <c r="AE490" s="6">
        <f>IF(OR($BJ490="",30&gt;設定!$B$3),"",IF(INDEX(原始資料!AG$2:AG$501,$BJ490)="","",INDEX(原始資料!AG$2:AG$501,$BJ490)))</f>
        <v/>
      </c>
      <c r="AF490" s="6">
        <f>IF(OR($BJ490="",31&gt;設定!$B$3),"",IF(INDEX(原始資料!AH$2:AH$501,$BJ490)="","",INDEX(原始資料!AH$2:AH$501,$BJ490)))</f>
        <v/>
      </c>
      <c r="AG490" s="6">
        <f>IF(OR($BJ490="",32&gt;設定!$B$3),"",IF(INDEX(原始資料!AI$2:AI$501,$BJ490)="","",INDEX(原始資料!AI$2:AI$501,$BJ490)))</f>
        <v/>
      </c>
      <c r="AH490" s="6">
        <f>IF(OR($BJ490="",33&gt;設定!$B$3),"",IF(INDEX(原始資料!AJ$2:AJ$501,$BJ490)="","",INDEX(原始資料!AJ$2:AJ$501,$BJ490)))</f>
        <v/>
      </c>
      <c r="AI490" s="6">
        <f>IF(OR($BJ490="",34&gt;設定!$B$3),"",IF(INDEX(原始資料!AK$2:AK$501,$BJ490)="","",INDEX(原始資料!AK$2:AK$501,$BJ490)))</f>
        <v/>
      </c>
      <c r="AJ490" s="6">
        <f>IF(OR($BJ490="",35&gt;設定!$B$3),"",IF(INDEX(原始資料!AL$2:AL$501,$BJ490)="","",INDEX(原始資料!AL$2:AL$501,$BJ490)))</f>
        <v/>
      </c>
      <c r="AK490" s="6">
        <f>IF(OR($BJ490="",36&gt;設定!$B$3),"",IF(INDEX(原始資料!AM$2:AM$501,$BJ490)="","",INDEX(原始資料!AM$2:AM$501,$BJ490)))</f>
        <v/>
      </c>
      <c r="AL490" s="6">
        <f>IF(OR($BJ490="",37&gt;設定!$B$3),"",IF(INDEX(原始資料!AN$2:AN$501,$BJ490)="","",INDEX(原始資料!AN$2:AN$501,$BJ490)))</f>
        <v/>
      </c>
      <c r="AM490" s="6">
        <f>IF(OR($BJ490="",38&gt;設定!$B$3),"",IF(INDEX(原始資料!AO$2:AO$501,$BJ490)="","",INDEX(原始資料!AO$2:AO$501,$BJ490)))</f>
        <v/>
      </c>
      <c r="AN490" s="6">
        <f>IF(OR($BJ490="",39&gt;設定!$B$3),"",IF(INDEX(原始資料!AP$2:AP$501,$BJ490)="","",INDEX(原始資料!AP$2:AP$501,$BJ490)))</f>
        <v/>
      </c>
      <c r="AO490" s="6">
        <f>IF(OR($BJ490="",40&gt;設定!$B$3),"",IF(INDEX(原始資料!AQ$2:AQ$501,$BJ490)="","",INDEX(原始資料!AQ$2:AQ$501,$BJ490)))</f>
        <v/>
      </c>
      <c r="AP490" s="6">
        <f>IF(OR($BJ490="",41&gt;設定!$B$3),"",IF(INDEX(原始資料!AR$2:AR$501,$BJ490)="","",INDEX(原始資料!AR$2:AR$501,$BJ490)))</f>
        <v/>
      </c>
      <c r="AQ490" s="6">
        <f>IF(OR($BJ490="",42&gt;設定!$B$3),"",IF(INDEX(原始資料!AS$2:AS$501,$BJ490)="","",INDEX(原始資料!AS$2:AS$501,$BJ490)))</f>
        <v/>
      </c>
      <c r="AR490" s="6">
        <f>IF(OR($BJ490="",43&gt;設定!$B$3),"",IF(INDEX(原始資料!AT$2:AT$501,$BJ490)="","",INDEX(原始資料!AT$2:AT$501,$BJ490)))</f>
        <v/>
      </c>
      <c r="AS490" s="6">
        <f>IF(OR($BJ490="",44&gt;設定!$B$3),"",IF(INDEX(原始資料!AU$2:AU$501,$BJ490)="","",INDEX(原始資料!AU$2:AU$501,$BJ490)))</f>
        <v/>
      </c>
      <c r="AT490" s="6">
        <f>IF(OR($BJ490="",45&gt;設定!$B$3),"",IF(INDEX(原始資料!AV$2:AV$501,$BJ490)="","",INDEX(原始資料!AV$2:AV$501,$BJ490)))</f>
        <v/>
      </c>
      <c r="AU490" s="6">
        <f>IF(OR($BJ490="",46&gt;設定!$B$3),"",IF(INDEX(原始資料!AW$2:AW$501,$BJ490)="","",INDEX(原始資料!AW$2:AW$501,$BJ490)))</f>
        <v/>
      </c>
      <c r="AV490" s="6">
        <f>IF(OR($BJ490="",47&gt;設定!$B$3),"",IF(INDEX(原始資料!AX$2:AX$501,$BJ490)="","",INDEX(原始資料!AX$2:AX$501,$BJ490)))</f>
        <v/>
      </c>
      <c r="AW490" s="6">
        <f>IF(OR($BJ490="",48&gt;設定!$B$3),"",IF(INDEX(原始資料!AY$2:AY$501,$BJ490)="","",INDEX(原始資料!AY$2:AY$501,$BJ490)))</f>
        <v/>
      </c>
      <c r="AX490" s="6">
        <f>IF(OR($BJ490="",49&gt;設定!$B$3),"",IF(INDEX(原始資料!AZ$2:AZ$501,$BJ490)="","",INDEX(原始資料!AZ$2:AZ$501,$BJ490)))</f>
        <v/>
      </c>
      <c r="AY490" s="6">
        <f>IF(OR($BJ490="",50&gt;設定!$B$3),"",IF(INDEX(原始資料!BA$2:BA$501,$BJ490)="","",INDEX(原始資料!BA$2:BA$501,$BJ490)))</f>
        <v/>
      </c>
      <c r="AZ490" s="6">
        <f>IF(OR($BJ490="",51&gt;設定!$B$3),"",IF(INDEX(原始資料!BB$2:BB$501,$BJ490)="","",INDEX(原始資料!BB$2:BB$501,$BJ490)))</f>
        <v/>
      </c>
      <c r="BA490" s="6">
        <f>IF(OR($BJ490="",52&gt;設定!$B$3),"",IF(INDEX(原始資料!BC$2:BC$501,$BJ490)="","",INDEX(原始資料!BC$2:BC$501,$BJ490)))</f>
        <v/>
      </c>
      <c r="BB490" s="6">
        <f>IF(OR($BJ490="",53&gt;設定!$B$3),"",IF(INDEX(原始資料!BD$2:BD$501,$BJ490)="","",INDEX(原始資料!BD$2:BD$501,$BJ490)))</f>
        <v/>
      </c>
      <c r="BC490" s="6">
        <f>IF(OR($BJ490="",54&gt;設定!$B$3),"",IF(INDEX(原始資料!BE$2:BE$501,$BJ490)="","",INDEX(原始資料!BE$2:BE$501,$BJ490)))</f>
        <v/>
      </c>
      <c r="BD490" s="6">
        <f>IF(OR($BJ490="",55&gt;設定!$B$3),"",IF(INDEX(原始資料!BF$2:BF$501,$BJ490)="","",INDEX(原始資料!BF$2:BF$501,$BJ490)))</f>
        <v/>
      </c>
      <c r="BE490" s="6">
        <f>IF(OR($BJ490="",56&gt;設定!$B$3),"",IF(INDEX(原始資料!BG$2:BG$501,$BJ490)="","",INDEX(原始資料!BG$2:BG$501,$BJ490)))</f>
        <v/>
      </c>
      <c r="BF490" s="6">
        <f>IF(OR($BJ490="",57&gt;設定!$B$3),"",IF(INDEX(原始資料!BH$2:BH$501,$BJ490)="","",INDEX(原始資料!BH$2:BH$501,$BJ490)))</f>
        <v/>
      </c>
      <c r="BG490" s="6">
        <f>IF(OR($BJ490="",58&gt;設定!$B$3),"",IF(INDEX(原始資料!BI$2:BI$501,$BJ490)="","",INDEX(原始資料!BI$2:BI$501,$BJ490)))</f>
        <v/>
      </c>
      <c r="BH490" s="6">
        <f>IF(OR($BJ490="",59&gt;設定!$B$3),"",IF(INDEX(原始資料!BJ$2:BJ$501,$BJ490)="","",INDEX(原始資料!BJ$2:BJ$501,$BJ490)))</f>
        <v/>
      </c>
      <c r="BI490" s="6">
        <f>IF(OR($BJ490="",60&gt;設定!$B$3),"",IF(INDEX(原始資料!BK$2:BK$501,$BJ490)="","",INDEX(原始資料!BK$2:BK$501,$BJ490)))</f>
        <v/>
      </c>
      <c r="BJ490" s="6">
        <f>IFERROR(MATCH(ROW()-1,判定!$H$2:$H$501,0),"")</f>
        <v/>
      </c>
    </row>
    <row r="491">
      <c r="A491" s="6">
        <f>IF($BJ491="","",INDEX(原始資料!$A$2:$A$501,$BJ491))</f>
        <v/>
      </c>
      <c r="B491" s="6">
        <f>IF(OR($BJ491="",1&gt;設定!$B$3),"",IF(INDEX(原始資料!D$2:D$501,$BJ491)="","",INDEX(原始資料!D$2:D$501,$BJ491)))</f>
        <v/>
      </c>
      <c r="C491" s="6">
        <f>IF(OR($BJ491="",2&gt;設定!$B$3),"",IF(INDEX(原始資料!E$2:E$501,$BJ491)="","",INDEX(原始資料!E$2:E$501,$BJ491)))</f>
        <v/>
      </c>
      <c r="D491" s="6">
        <f>IF(OR($BJ491="",3&gt;設定!$B$3),"",IF(INDEX(原始資料!F$2:F$501,$BJ491)="","",INDEX(原始資料!F$2:F$501,$BJ491)))</f>
        <v/>
      </c>
      <c r="E491" s="6">
        <f>IF(OR($BJ491="",4&gt;設定!$B$3),"",IF(INDEX(原始資料!G$2:G$501,$BJ491)="","",INDEX(原始資料!G$2:G$501,$BJ491)))</f>
        <v/>
      </c>
      <c r="F491" s="6">
        <f>IF(OR($BJ491="",5&gt;設定!$B$3),"",IF(INDEX(原始資料!H$2:H$501,$BJ491)="","",INDEX(原始資料!H$2:H$501,$BJ491)))</f>
        <v/>
      </c>
      <c r="G491" s="6">
        <f>IF(OR($BJ491="",6&gt;設定!$B$3),"",IF(INDEX(原始資料!I$2:I$501,$BJ491)="","",INDEX(原始資料!I$2:I$501,$BJ491)))</f>
        <v/>
      </c>
      <c r="H491" s="6">
        <f>IF(OR($BJ491="",7&gt;設定!$B$3),"",IF(INDEX(原始資料!J$2:J$501,$BJ491)="","",INDEX(原始資料!J$2:J$501,$BJ491)))</f>
        <v/>
      </c>
      <c r="I491" s="6">
        <f>IF(OR($BJ491="",8&gt;設定!$B$3),"",IF(INDEX(原始資料!K$2:K$501,$BJ491)="","",INDEX(原始資料!K$2:K$501,$BJ491)))</f>
        <v/>
      </c>
      <c r="J491" s="6">
        <f>IF(OR($BJ491="",9&gt;設定!$B$3),"",IF(INDEX(原始資料!L$2:L$501,$BJ491)="","",INDEX(原始資料!L$2:L$501,$BJ491)))</f>
        <v/>
      </c>
      <c r="K491" s="6">
        <f>IF(OR($BJ491="",10&gt;設定!$B$3),"",IF(INDEX(原始資料!M$2:M$501,$BJ491)="","",INDEX(原始資料!M$2:M$501,$BJ491)))</f>
        <v/>
      </c>
      <c r="L491" s="6">
        <f>IF(OR($BJ491="",11&gt;設定!$B$3),"",IF(INDEX(原始資料!N$2:N$501,$BJ491)="","",INDEX(原始資料!N$2:N$501,$BJ491)))</f>
        <v/>
      </c>
      <c r="M491" s="6">
        <f>IF(OR($BJ491="",12&gt;設定!$B$3),"",IF(INDEX(原始資料!O$2:O$501,$BJ491)="","",INDEX(原始資料!O$2:O$501,$BJ491)))</f>
        <v/>
      </c>
      <c r="N491" s="6">
        <f>IF(OR($BJ491="",13&gt;設定!$B$3),"",IF(INDEX(原始資料!P$2:P$501,$BJ491)="","",INDEX(原始資料!P$2:P$501,$BJ491)))</f>
        <v/>
      </c>
      <c r="O491" s="6">
        <f>IF(OR($BJ491="",14&gt;設定!$B$3),"",IF(INDEX(原始資料!Q$2:Q$501,$BJ491)="","",INDEX(原始資料!Q$2:Q$501,$BJ491)))</f>
        <v/>
      </c>
      <c r="P491" s="6">
        <f>IF(OR($BJ491="",15&gt;設定!$B$3),"",IF(INDEX(原始資料!R$2:R$501,$BJ491)="","",INDEX(原始資料!R$2:R$501,$BJ491)))</f>
        <v/>
      </c>
      <c r="Q491" s="6">
        <f>IF(OR($BJ491="",16&gt;設定!$B$3),"",IF(INDEX(原始資料!S$2:S$501,$BJ491)="","",INDEX(原始資料!S$2:S$501,$BJ491)))</f>
        <v/>
      </c>
      <c r="R491" s="6">
        <f>IF(OR($BJ491="",17&gt;設定!$B$3),"",IF(INDEX(原始資料!T$2:T$501,$BJ491)="","",INDEX(原始資料!T$2:T$501,$BJ491)))</f>
        <v/>
      </c>
      <c r="S491" s="6">
        <f>IF(OR($BJ491="",18&gt;設定!$B$3),"",IF(INDEX(原始資料!U$2:U$501,$BJ491)="","",INDEX(原始資料!U$2:U$501,$BJ491)))</f>
        <v/>
      </c>
      <c r="T491" s="6">
        <f>IF(OR($BJ491="",19&gt;設定!$B$3),"",IF(INDEX(原始資料!V$2:V$501,$BJ491)="","",INDEX(原始資料!V$2:V$501,$BJ491)))</f>
        <v/>
      </c>
      <c r="U491" s="6">
        <f>IF(OR($BJ491="",20&gt;設定!$B$3),"",IF(INDEX(原始資料!W$2:W$501,$BJ491)="","",INDEX(原始資料!W$2:W$501,$BJ491)))</f>
        <v/>
      </c>
      <c r="V491" s="6">
        <f>IF(OR($BJ491="",21&gt;設定!$B$3),"",IF(INDEX(原始資料!X$2:X$501,$BJ491)="","",INDEX(原始資料!X$2:X$501,$BJ491)))</f>
        <v/>
      </c>
      <c r="W491" s="6">
        <f>IF(OR($BJ491="",22&gt;設定!$B$3),"",IF(INDEX(原始資料!Y$2:Y$501,$BJ491)="","",INDEX(原始資料!Y$2:Y$501,$BJ491)))</f>
        <v/>
      </c>
      <c r="X491" s="6">
        <f>IF(OR($BJ491="",23&gt;設定!$B$3),"",IF(INDEX(原始資料!Z$2:Z$501,$BJ491)="","",INDEX(原始資料!Z$2:Z$501,$BJ491)))</f>
        <v/>
      </c>
      <c r="Y491" s="6">
        <f>IF(OR($BJ491="",24&gt;設定!$B$3),"",IF(INDEX(原始資料!AA$2:AA$501,$BJ491)="","",INDEX(原始資料!AA$2:AA$501,$BJ491)))</f>
        <v/>
      </c>
      <c r="Z491" s="6">
        <f>IF(OR($BJ491="",25&gt;設定!$B$3),"",IF(INDEX(原始資料!AB$2:AB$501,$BJ491)="","",INDEX(原始資料!AB$2:AB$501,$BJ491)))</f>
        <v/>
      </c>
      <c r="AA491" s="6">
        <f>IF(OR($BJ491="",26&gt;設定!$B$3),"",IF(INDEX(原始資料!AC$2:AC$501,$BJ491)="","",INDEX(原始資料!AC$2:AC$501,$BJ491)))</f>
        <v/>
      </c>
      <c r="AB491" s="6">
        <f>IF(OR($BJ491="",27&gt;設定!$B$3),"",IF(INDEX(原始資料!AD$2:AD$501,$BJ491)="","",INDEX(原始資料!AD$2:AD$501,$BJ491)))</f>
        <v/>
      </c>
      <c r="AC491" s="6">
        <f>IF(OR($BJ491="",28&gt;設定!$B$3),"",IF(INDEX(原始資料!AE$2:AE$501,$BJ491)="","",INDEX(原始資料!AE$2:AE$501,$BJ491)))</f>
        <v/>
      </c>
      <c r="AD491" s="6">
        <f>IF(OR($BJ491="",29&gt;設定!$B$3),"",IF(INDEX(原始資料!AF$2:AF$501,$BJ491)="","",INDEX(原始資料!AF$2:AF$501,$BJ491)))</f>
        <v/>
      </c>
      <c r="AE491" s="6">
        <f>IF(OR($BJ491="",30&gt;設定!$B$3),"",IF(INDEX(原始資料!AG$2:AG$501,$BJ491)="","",INDEX(原始資料!AG$2:AG$501,$BJ491)))</f>
        <v/>
      </c>
      <c r="AF491" s="6">
        <f>IF(OR($BJ491="",31&gt;設定!$B$3),"",IF(INDEX(原始資料!AH$2:AH$501,$BJ491)="","",INDEX(原始資料!AH$2:AH$501,$BJ491)))</f>
        <v/>
      </c>
      <c r="AG491" s="6">
        <f>IF(OR($BJ491="",32&gt;設定!$B$3),"",IF(INDEX(原始資料!AI$2:AI$501,$BJ491)="","",INDEX(原始資料!AI$2:AI$501,$BJ491)))</f>
        <v/>
      </c>
      <c r="AH491" s="6">
        <f>IF(OR($BJ491="",33&gt;設定!$B$3),"",IF(INDEX(原始資料!AJ$2:AJ$501,$BJ491)="","",INDEX(原始資料!AJ$2:AJ$501,$BJ491)))</f>
        <v/>
      </c>
      <c r="AI491" s="6">
        <f>IF(OR($BJ491="",34&gt;設定!$B$3),"",IF(INDEX(原始資料!AK$2:AK$501,$BJ491)="","",INDEX(原始資料!AK$2:AK$501,$BJ491)))</f>
        <v/>
      </c>
      <c r="AJ491" s="6">
        <f>IF(OR($BJ491="",35&gt;設定!$B$3),"",IF(INDEX(原始資料!AL$2:AL$501,$BJ491)="","",INDEX(原始資料!AL$2:AL$501,$BJ491)))</f>
        <v/>
      </c>
      <c r="AK491" s="6">
        <f>IF(OR($BJ491="",36&gt;設定!$B$3),"",IF(INDEX(原始資料!AM$2:AM$501,$BJ491)="","",INDEX(原始資料!AM$2:AM$501,$BJ491)))</f>
        <v/>
      </c>
      <c r="AL491" s="6">
        <f>IF(OR($BJ491="",37&gt;設定!$B$3),"",IF(INDEX(原始資料!AN$2:AN$501,$BJ491)="","",INDEX(原始資料!AN$2:AN$501,$BJ491)))</f>
        <v/>
      </c>
      <c r="AM491" s="6">
        <f>IF(OR($BJ491="",38&gt;設定!$B$3),"",IF(INDEX(原始資料!AO$2:AO$501,$BJ491)="","",INDEX(原始資料!AO$2:AO$501,$BJ491)))</f>
        <v/>
      </c>
      <c r="AN491" s="6">
        <f>IF(OR($BJ491="",39&gt;設定!$B$3),"",IF(INDEX(原始資料!AP$2:AP$501,$BJ491)="","",INDEX(原始資料!AP$2:AP$501,$BJ491)))</f>
        <v/>
      </c>
      <c r="AO491" s="6">
        <f>IF(OR($BJ491="",40&gt;設定!$B$3),"",IF(INDEX(原始資料!AQ$2:AQ$501,$BJ491)="","",INDEX(原始資料!AQ$2:AQ$501,$BJ491)))</f>
        <v/>
      </c>
      <c r="AP491" s="6">
        <f>IF(OR($BJ491="",41&gt;設定!$B$3),"",IF(INDEX(原始資料!AR$2:AR$501,$BJ491)="","",INDEX(原始資料!AR$2:AR$501,$BJ491)))</f>
        <v/>
      </c>
      <c r="AQ491" s="6">
        <f>IF(OR($BJ491="",42&gt;設定!$B$3),"",IF(INDEX(原始資料!AS$2:AS$501,$BJ491)="","",INDEX(原始資料!AS$2:AS$501,$BJ491)))</f>
        <v/>
      </c>
      <c r="AR491" s="6">
        <f>IF(OR($BJ491="",43&gt;設定!$B$3),"",IF(INDEX(原始資料!AT$2:AT$501,$BJ491)="","",INDEX(原始資料!AT$2:AT$501,$BJ491)))</f>
        <v/>
      </c>
      <c r="AS491" s="6">
        <f>IF(OR($BJ491="",44&gt;設定!$B$3),"",IF(INDEX(原始資料!AU$2:AU$501,$BJ491)="","",INDEX(原始資料!AU$2:AU$501,$BJ491)))</f>
        <v/>
      </c>
      <c r="AT491" s="6">
        <f>IF(OR($BJ491="",45&gt;設定!$B$3),"",IF(INDEX(原始資料!AV$2:AV$501,$BJ491)="","",INDEX(原始資料!AV$2:AV$501,$BJ491)))</f>
        <v/>
      </c>
      <c r="AU491" s="6">
        <f>IF(OR($BJ491="",46&gt;設定!$B$3),"",IF(INDEX(原始資料!AW$2:AW$501,$BJ491)="","",INDEX(原始資料!AW$2:AW$501,$BJ491)))</f>
        <v/>
      </c>
      <c r="AV491" s="6">
        <f>IF(OR($BJ491="",47&gt;設定!$B$3),"",IF(INDEX(原始資料!AX$2:AX$501,$BJ491)="","",INDEX(原始資料!AX$2:AX$501,$BJ491)))</f>
        <v/>
      </c>
      <c r="AW491" s="6">
        <f>IF(OR($BJ491="",48&gt;設定!$B$3),"",IF(INDEX(原始資料!AY$2:AY$501,$BJ491)="","",INDEX(原始資料!AY$2:AY$501,$BJ491)))</f>
        <v/>
      </c>
      <c r="AX491" s="6">
        <f>IF(OR($BJ491="",49&gt;設定!$B$3),"",IF(INDEX(原始資料!AZ$2:AZ$501,$BJ491)="","",INDEX(原始資料!AZ$2:AZ$501,$BJ491)))</f>
        <v/>
      </c>
      <c r="AY491" s="6">
        <f>IF(OR($BJ491="",50&gt;設定!$B$3),"",IF(INDEX(原始資料!BA$2:BA$501,$BJ491)="","",INDEX(原始資料!BA$2:BA$501,$BJ491)))</f>
        <v/>
      </c>
      <c r="AZ491" s="6">
        <f>IF(OR($BJ491="",51&gt;設定!$B$3),"",IF(INDEX(原始資料!BB$2:BB$501,$BJ491)="","",INDEX(原始資料!BB$2:BB$501,$BJ491)))</f>
        <v/>
      </c>
      <c r="BA491" s="6">
        <f>IF(OR($BJ491="",52&gt;設定!$B$3),"",IF(INDEX(原始資料!BC$2:BC$501,$BJ491)="","",INDEX(原始資料!BC$2:BC$501,$BJ491)))</f>
        <v/>
      </c>
      <c r="BB491" s="6">
        <f>IF(OR($BJ491="",53&gt;設定!$B$3),"",IF(INDEX(原始資料!BD$2:BD$501,$BJ491)="","",INDEX(原始資料!BD$2:BD$501,$BJ491)))</f>
        <v/>
      </c>
      <c r="BC491" s="6">
        <f>IF(OR($BJ491="",54&gt;設定!$B$3),"",IF(INDEX(原始資料!BE$2:BE$501,$BJ491)="","",INDEX(原始資料!BE$2:BE$501,$BJ491)))</f>
        <v/>
      </c>
      <c r="BD491" s="6">
        <f>IF(OR($BJ491="",55&gt;設定!$B$3),"",IF(INDEX(原始資料!BF$2:BF$501,$BJ491)="","",INDEX(原始資料!BF$2:BF$501,$BJ491)))</f>
        <v/>
      </c>
      <c r="BE491" s="6">
        <f>IF(OR($BJ491="",56&gt;設定!$B$3),"",IF(INDEX(原始資料!BG$2:BG$501,$BJ491)="","",INDEX(原始資料!BG$2:BG$501,$BJ491)))</f>
        <v/>
      </c>
      <c r="BF491" s="6">
        <f>IF(OR($BJ491="",57&gt;設定!$B$3),"",IF(INDEX(原始資料!BH$2:BH$501,$BJ491)="","",INDEX(原始資料!BH$2:BH$501,$BJ491)))</f>
        <v/>
      </c>
      <c r="BG491" s="6">
        <f>IF(OR($BJ491="",58&gt;設定!$B$3),"",IF(INDEX(原始資料!BI$2:BI$501,$BJ491)="","",INDEX(原始資料!BI$2:BI$501,$BJ491)))</f>
        <v/>
      </c>
      <c r="BH491" s="6">
        <f>IF(OR($BJ491="",59&gt;設定!$B$3),"",IF(INDEX(原始資料!BJ$2:BJ$501,$BJ491)="","",INDEX(原始資料!BJ$2:BJ$501,$BJ491)))</f>
        <v/>
      </c>
      <c r="BI491" s="6">
        <f>IF(OR($BJ491="",60&gt;設定!$B$3),"",IF(INDEX(原始資料!BK$2:BK$501,$BJ491)="","",INDEX(原始資料!BK$2:BK$501,$BJ491)))</f>
        <v/>
      </c>
      <c r="BJ491" s="6">
        <f>IFERROR(MATCH(ROW()-1,判定!$H$2:$H$501,0),"")</f>
        <v/>
      </c>
    </row>
    <row r="492">
      <c r="A492" s="6">
        <f>IF($BJ492="","",INDEX(原始資料!$A$2:$A$501,$BJ492))</f>
        <v/>
      </c>
      <c r="B492" s="6">
        <f>IF(OR($BJ492="",1&gt;設定!$B$3),"",IF(INDEX(原始資料!D$2:D$501,$BJ492)="","",INDEX(原始資料!D$2:D$501,$BJ492)))</f>
        <v/>
      </c>
      <c r="C492" s="6">
        <f>IF(OR($BJ492="",2&gt;設定!$B$3),"",IF(INDEX(原始資料!E$2:E$501,$BJ492)="","",INDEX(原始資料!E$2:E$501,$BJ492)))</f>
        <v/>
      </c>
      <c r="D492" s="6">
        <f>IF(OR($BJ492="",3&gt;設定!$B$3),"",IF(INDEX(原始資料!F$2:F$501,$BJ492)="","",INDEX(原始資料!F$2:F$501,$BJ492)))</f>
        <v/>
      </c>
      <c r="E492" s="6">
        <f>IF(OR($BJ492="",4&gt;設定!$B$3),"",IF(INDEX(原始資料!G$2:G$501,$BJ492)="","",INDEX(原始資料!G$2:G$501,$BJ492)))</f>
        <v/>
      </c>
      <c r="F492" s="6">
        <f>IF(OR($BJ492="",5&gt;設定!$B$3),"",IF(INDEX(原始資料!H$2:H$501,$BJ492)="","",INDEX(原始資料!H$2:H$501,$BJ492)))</f>
        <v/>
      </c>
      <c r="G492" s="6">
        <f>IF(OR($BJ492="",6&gt;設定!$B$3),"",IF(INDEX(原始資料!I$2:I$501,$BJ492)="","",INDEX(原始資料!I$2:I$501,$BJ492)))</f>
        <v/>
      </c>
      <c r="H492" s="6">
        <f>IF(OR($BJ492="",7&gt;設定!$B$3),"",IF(INDEX(原始資料!J$2:J$501,$BJ492)="","",INDEX(原始資料!J$2:J$501,$BJ492)))</f>
        <v/>
      </c>
      <c r="I492" s="6">
        <f>IF(OR($BJ492="",8&gt;設定!$B$3),"",IF(INDEX(原始資料!K$2:K$501,$BJ492)="","",INDEX(原始資料!K$2:K$501,$BJ492)))</f>
        <v/>
      </c>
      <c r="J492" s="6">
        <f>IF(OR($BJ492="",9&gt;設定!$B$3),"",IF(INDEX(原始資料!L$2:L$501,$BJ492)="","",INDEX(原始資料!L$2:L$501,$BJ492)))</f>
        <v/>
      </c>
      <c r="K492" s="6">
        <f>IF(OR($BJ492="",10&gt;設定!$B$3),"",IF(INDEX(原始資料!M$2:M$501,$BJ492)="","",INDEX(原始資料!M$2:M$501,$BJ492)))</f>
        <v/>
      </c>
      <c r="L492" s="6">
        <f>IF(OR($BJ492="",11&gt;設定!$B$3),"",IF(INDEX(原始資料!N$2:N$501,$BJ492)="","",INDEX(原始資料!N$2:N$501,$BJ492)))</f>
        <v/>
      </c>
      <c r="M492" s="6">
        <f>IF(OR($BJ492="",12&gt;設定!$B$3),"",IF(INDEX(原始資料!O$2:O$501,$BJ492)="","",INDEX(原始資料!O$2:O$501,$BJ492)))</f>
        <v/>
      </c>
      <c r="N492" s="6">
        <f>IF(OR($BJ492="",13&gt;設定!$B$3),"",IF(INDEX(原始資料!P$2:P$501,$BJ492)="","",INDEX(原始資料!P$2:P$501,$BJ492)))</f>
        <v/>
      </c>
      <c r="O492" s="6">
        <f>IF(OR($BJ492="",14&gt;設定!$B$3),"",IF(INDEX(原始資料!Q$2:Q$501,$BJ492)="","",INDEX(原始資料!Q$2:Q$501,$BJ492)))</f>
        <v/>
      </c>
      <c r="P492" s="6">
        <f>IF(OR($BJ492="",15&gt;設定!$B$3),"",IF(INDEX(原始資料!R$2:R$501,$BJ492)="","",INDEX(原始資料!R$2:R$501,$BJ492)))</f>
        <v/>
      </c>
      <c r="Q492" s="6">
        <f>IF(OR($BJ492="",16&gt;設定!$B$3),"",IF(INDEX(原始資料!S$2:S$501,$BJ492)="","",INDEX(原始資料!S$2:S$501,$BJ492)))</f>
        <v/>
      </c>
      <c r="R492" s="6">
        <f>IF(OR($BJ492="",17&gt;設定!$B$3),"",IF(INDEX(原始資料!T$2:T$501,$BJ492)="","",INDEX(原始資料!T$2:T$501,$BJ492)))</f>
        <v/>
      </c>
      <c r="S492" s="6">
        <f>IF(OR($BJ492="",18&gt;設定!$B$3),"",IF(INDEX(原始資料!U$2:U$501,$BJ492)="","",INDEX(原始資料!U$2:U$501,$BJ492)))</f>
        <v/>
      </c>
      <c r="T492" s="6">
        <f>IF(OR($BJ492="",19&gt;設定!$B$3),"",IF(INDEX(原始資料!V$2:V$501,$BJ492)="","",INDEX(原始資料!V$2:V$501,$BJ492)))</f>
        <v/>
      </c>
      <c r="U492" s="6">
        <f>IF(OR($BJ492="",20&gt;設定!$B$3),"",IF(INDEX(原始資料!W$2:W$501,$BJ492)="","",INDEX(原始資料!W$2:W$501,$BJ492)))</f>
        <v/>
      </c>
      <c r="V492" s="6">
        <f>IF(OR($BJ492="",21&gt;設定!$B$3),"",IF(INDEX(原始資料!X$2:X$501,$BJ492)="","",INDEX(原始資料!X$2:X$501,$BJ492)))</f>
        <v/>
      </c>
      <c r="W492" s="6">
        <f>IF(OR($BJ492="",22&gt;設定!$B$3),"",IF(INDEX(原始資料!Y$2:Y$501,$BJ492)="","",INDEX(原始資料!Y$2:Y$501,$BJ492)))</f>
        <v/>
      </c>
      <c r="X492" s="6">
        <f>IF(OR($BJ492="",23&gt;設定!$B$3),"",IF(INDEX(原始資料!Z$2:Z$501,$BJ492)="","",INDEX(原始資料!Z$2:Z$501,$BJ492)))</f>
        <v/>
      </c>
      <c r="Y492" s="6">
        <f>IF(OR($BJ492="",24&gt;設定!$B$3),"",IF(INDEX(原始資料!AA$2:AA$501,$BJ492)="","",INDEX(原始資料!AA$2:AA$501,$BJ492)))</f>
        <v/>
      </c>
      <c r="Z492" s="6">
        <f>IF(OR($BJ492="",25&gt;設定!$B$3),"",IF(INDEX(原始資料!AB$2:AB$501,$BJ492)="","",INDEX(原始資料!AB$2:AB$501,$BJ492)))</f>
        <v/>
      </c>
      <c r="AA492" s="6">
        <f>IF(OR($BJ492="",26&gt;設定!$B$3),"",IF(INDEX(原始資料!AC$2:AC$501,$BJ492)="","",INDEX(原始資料!AC$2:AC$501,$BJ492)))</f>
        <v/>
      </c>
      <c r="AB492" s="6">
        <f>IF(OR($BJ492="",27&gt;設定!$B$3),"",IF(INDEX(原始資料!AD$2:AD$501,$BJ492)="","",INDEX(原始資料!AD$2:AD$501,$BJ492)))</f>
        <v/>
      </c>
      <c r="AC492" s="6">
        <f>IF(OR($BJ492="",28&gt;設定!$B$3),"",IF(INDEX(原始資料!AE$2:AE$501,$BJ492)="","",INDEX(原始資料!AE$2:AE$501,$BJ492)))</f>
        <v/>
      </c>
      <c r="AD492" s="6">
        <f>IF(OR($BJ492="",29&gt;設定!$B$3),"",IF(INDEX(原始資料!AF$2:AF$501,$BJ492)="","",INDEX(原始資料!AF$2:AF$501,$BJ492)))</f>
        <v/>
      </c>
      <c r="AE492" s="6">
        <f>IF(OR($BJ492="",30&gt;設定!$B$3),"",IF(INDEX(原始資料!AG$2:AG$501,$BJ492)="","",INDEX(原始資料!AG$2:AG$501,$BJ492)))</f>
        <v/>
      </c>
      <c r="AF492" s="6">
        <f>IF(OR($BJ492="",31&gt;設定!$B$3),"",IF(INDEX(原始資料!AH$2:AH$501,$BJ492)="","",INDEX(原始資料!AH$2:AH$501,$BJ492)))</f>
        <v/>
      </c>
      <c r="AG492" s="6">
        <f>IF(OR($BJ492="",32&gt;設定!$B$3),"",IF(INDEX(原始資料!AI$2:AI$501,$BJ492)="","",INDEX(原始資料!AI$2:AI$501,$BJ492)))</f>
        <v/>
      </c>
      <c r="AH492" s="6">
        <f>IF(OR($BJ492="",33&gt;設定!$B$3),"",IF(INDEX(原始資料!AJ$2:AJ$501,$BJ492)="","",INDEX(原始資料!AJ$2:AJ$501,$BJ492)))</f>
        <v/>
      </c>
      <c r="AI492" s="6">
        <f>IF(OR($BJ492="",34&gt;設定!$B$3),"",IF(INDEX(原始資料!AK$2:AK$501,$BJ492)="","",INDEX(原始資料!AK$2:AK$501,$BJ492)))</f>
        <v/>
      </c>
      <c r="AJ492" s="6">
        <f>IF(OR($BJ492="",35&gt;設定!$B$3),"",IF(INDEX(原始資料!AL$2:AL$501,$BJ492)="","",INDEX(原始資料!AL$2:AL$501,$BJ492)))</f>
        <v/>
      </c>
      <c r="AK492" s="6">
        <f>IF(OR($BJ492="",36&gt;設定!$B$3),"",IF(INDEX(原始資料!AM$2:AM$501,$BJ492)="","",INDEX(原始資料!AM$2:AM$501,$BJ492)))</f>
        <v/>
      </c>
      <c r="AL492" s="6">
        <f>IF(OR($BJ492="",37&gt;設定!$B$3),"",IF(INDEX(原始資料!AN$2:AN$501,$BJ492)="","",INDEX(原始資料!AN$2:AN$501,$BJ492)))</f>
        <v/>
      </c>
      <c r="AM492" s="6">
        <f>IF(OR($BJ492="",38&gt;設定!$B$3),"",IF(INDEX(原始資料!AO$2:AO$501,$BJ492)="","",INDEX(原始資料!AO$2:AO$501,$BJ492)))</f>
        <v/>
      </c>
      <c r="AN492" s="6">
        <f>IF(OR($BJ492="",39&gt;設定!$B$3),"",IF(INDEX(原始資料!AP$2:AP$501,$BJ492)="","",INDEX(原始資料!AP$2:AP$501,$BJ492)))</f>
        <v/>
      </c>
      <c r="AO492" s="6">
        <f>IF(OR($BJ492="",40&gt;設定!$B$3),"",IF(INDEX(原始資料!AQ$2:AQ$501,$BJ492)="","",INDEX(原始資料!AQ$2:AQ$501,$BJ492)))</f>
        <v/>
      </c>
      <c r="AP492" s="6">
        <f>IF(OR($BJ492="",41&gt;設定!$B$3),"",IF(INDEX(原始資料!AR$2:AR$501,$BJ492)="","",INDEX(原始資料!AR$2:AR$501,$BJ492)))</f>
        <v/>
      </c>
      <c r="AQ492" s="6">
        <f>IF(OR($BJ492="",42&gt;設定!$B$3),"",IF(INDEX(原始資料!AS$2:AS$501,$BJ492)="","",INDEX(原始資料!AS$2:AS$501,$BJ492)))</f>
        <v/>
      </c>
      <c r="AR492" s="6">
        <f>IF(OR($BJ492="",43&gt;設定!$B$3),"",IF(INDEX(原始資料!AT$2:AT$501,$BJ492)="","",INDEX(原始資料!AT$2:AT$501,$BJ492)))</f>
        <v/>
      </c>
      <c r="AS492" s="6">
        <f>IF(OR($BJ492="",44&gt;設定!$B$3),"",IF(INDEX(原始資料!AU$2:AU$501,$BJ492)="","",INDEX(原始資料!AU$2:AU$501,$BJ492)))</f>
        <v/>
      </c>
      <c r="AT492" s="6">
        <f>IF(OR($BJ492="",45&gt;設定!$B$3),"",IF(INDEX(原始資料!AV$2:AV$501,$BJ492)="","",INDEX(原始資料!AV$2:AV$501,$BJ492)))</f>
        <v/>
      </c>
      <c r="AU492" s="6">
        <f>IF(OR($BJ492="",46&gt;設定!$B$3),"",IF(INDEX(原始資料!AW$2:AW$501,$BJ492)="","",INDEX(原始資料!AW$2:AW$501,$BJ492)))</f>
        <v/>
      </c>
      <c r="AV492" s="6">
        <f>IF(OR($BJ492="",47&gt;設定!$B$3),"",IF(INDEX(原始資料!AX$2:AX$501,$BJ492)="","",INDEX(原始資料!AX$2:AX$501,$BJ492)))</f>
        <v/>
      </c>
      <c r="AW492" s="6">
        <f>IF(OR($BJ492="",48&gt;設定!$B$3),"",IF(INDEX(原始資料!AY$2:AY$501,$BJ492)="","",INDEX(原始資料!AY$2:AY$501,$BJ492)))</f>
        <v/>
      </c>
      <c r="AX492" s="6">
        <f>IF(OR($BJ492="",49&gt;設定!$B$3),"",IF(INDEX(原始資料!AZ$2:AZ$501,$BJ492)="","",INDEX(原始資料!AZ$2:AZ$501,$BJ492)))</f>
        <v/>
      </c>
      <c r="AY492" s="6">
        <f>IF(OR($BJ492="",50&gt;設定!$B$3),"",IF(INDEX(原始資料!BA$2:BA$501,$BJ492)="","",INDEX(原始資料!BA$2:BA$501,$BJ492)))</f>
        <v/>
      </c>
      <c r="AZ492" s="6">
        <f>IF(OR($BJ492="",51&gt;設定!$B$3),"",IF(INDEX(原始資料!BB$2:BB$501,$BJ492)="","",INDEX(原始資料!BB$2:BB$501,$BJ492)))</f>
        <v/>
      </c>
      <c r="BA492" s="6">
        <f>IF(OR($BJ492="",52&gt;設定!$B$3),"",IF(INDEX(原始資料!BC$2:BC$501,$BJ492)="","",INDEX(原始資料!BC$2:BC$501,$BJ492)))</f>
        <v/>
      </c>
      <c r="BB492" s="6">
        <f>IF(OR($BJ492="",53&gt;設定!$B$3),"",IF(INDEX(原始資料!BD$2:BD$501,$BJ492)="","",INDEX(原始資料!BD$2:BD$501,$BJ492)))</f>
        <v/>
      </c>
      <c r="BC492" s="6">
        <f>IF(OR($BJ492="",54&gt;設定!$B$3),"",IF(INDEX(原始資料!BE$2:BE$501,$BJ492)="","",INDEX(原始資料!BE$2:BE$501,$BJ492)))</f>
        <v/>
      </c>
      <c r="BD492" s="6">
        <f>IF(OR($BJ492="",55&gt;設定!$B$3),"",IF(INDEX(原始資料!BF$2:BF$501,$BJ492)="","",INDEX(原始資料!BF$2:BF$501,$BJ492)))</f>
        <v/>
      </c>
      <c r="BE492" s="6">
        <f>IF(OR($BJ492="",56&gt;設定!$B$3),"",IF(INDEX(原始資料!BG$2:BG$501,$BJ492)="","",INDEX(原始資料!BG$2:BG$501,$BJ492)))</f>
        <v/>
      </c>
      <c r="BF492" s="6">
        <f>IF(OR($BJ492="",57&gt;設定!$B$3),"",IF(INDEX(原始資料!BH$2:BH$501,$BJ492)="","",INDEX(原始資料!BH$2:BH$501,$BJ492)))</f>
        <v/>
      </c>
      <c r="BG492" s="6">
        <f>IF(OR($BJ492="",58&gt;設定!$B$3),"",IF(INDEX(原始資料!BI$2:BI$501,$BJ492)="","",INDEX(原始資料!BI$2:BI$501,$BJ492)))</f>
        <v/>
      </c>
      <c r="BH492" s="6">
        <f>IF(OR($BJ492="",59&gt;設定!$B$3),"",IF(INDEX(原始資料!BJ$2:BJ$501,$BJ492)="","",INDEX(原始資料!BJ$2:BJ$501,$BJ492)))</f>
        <v/>
      </c>
      <c r="BI492" s="6">
        <f>IF(OR($BJ492="",60&gt;設定!$B$3),"",IF(INDEX(原始資料!BK$2:BK$501,$BJ492)="","",INDEX(原始資料!BK$2:BK$501,$BJ492)))</f>
        <v/>
      </c>
      <c r="BJ492" s="6">
        <f>IFERROR(MATCH(ROW()-1,判定!$H$2:$H$501,0),"")</f>
        <v/>
      </c>
    </row>
    <row r="493">
      <c r="A493" s="6">
        <f>IF($BJ493="","",INDEX(原始資料!$A$2:$A$501,$BJ493))</f>
        <v/>
      </c>
      <c r="B493" s="6">
        <f>IF(OR($BJ493="",1&gt;設定!$B$3),"",IF(INDEX(原始資料!D$2:D$501,$BJ493)="","",INDEX(原始資料!D$2:D$501,$BJ493)))</f>
        <v/>
      </c>
      <c r="C493" s="6">
        <f>IF(OR($BJ493="",2&gt;設定!$B$3),"",IF(INDEX(原始資料!E$2:E$501,$BJ493)="","",INDEX(原始資料!E$2:E$501,$BJ493)))</f>
        <v/>
      </c>
      <c r="D493" s="6">
        <f>IF(OR($BJ493="",3&gt;設定!$B$3),"",IF(INDEX(原始資料!F$2:F$501,$BJ493)="","",INDEX(原始資料!F$2:F$501,$BJ493)))</f>
        <v/>
      </c>
      <c r="E493" s="6">
        <f>IF(OR($BJ493="",4&gt;設定!$B$3),"",IF(INDEX(原始資料!G$2:G$501,$BJ493)="","",INDEX(原始資料!G$2:G$501,$BJ493)))</f>
        <v/>
      </c>
      <c r="F493" s="6">
        <f>IF(OR($BJ493="",5&gt;設定!$B$3),"",IF(INDEX(原始資料!H$2:H$501,$BJ493)="","",INDEX(原始資料!H$2:H$501,$BJ493)))</f>
        <v/>
      </c>
      <c r="G493" s="6">
        <f>IF(OR($BJ493="",6&gt;設定!$B$3),"",IF(INDEX(原始資料!I$2:I$501,$BJ493)="","",INDEX(原始資料!I$2:I$501,$BJ493)))</f>
        <v/>
      </c>
      <c r="H493" s="6">
        <f>IF(OR($BJ493="",7&gt;設定!$B$3),"",IF(INDEX(原始資料!J$2:J$501,$BJ493)="","",INDEX(原始資料!J$2:J$501,$BJ493)))</f>
        <v/>
      </c>
      <c r="I493" s="6">
        <f>IF(OR($BJ493="",8&gt;設定!$B$3),"",IF(INDEX(原始資料!K$2:K$501,$BJ493)="","",INDEX(原始資料!K$2:K$501,$BJ493)))</f>
        <v/>
      </c>
      <c r="J493" s="6">
        <f>IF(OR($BJ493="",9&gt;設定!$B$3),"",IF(INDEX(原始資料!L$2:L$501,$BJ493)="","",INDEX(原始資料!L$2:L$501,$BJ493)))</f>
        <v/>
      </c>
      <c r="K493" s="6">
        <f>IF(OR($BJ493="",10&gt;設定!$B$3),"",IF(INDEX(原始資料!M$2:M$501,$BJ493)="","",INDEX(原始資料!M$2:M$501,$BJ493)))</f>
        <v/>
      </c>
      <c r="L493" s="6">
        <f>IF(OR($BJ493="",11&gt;設定!$B$3),"",IF(INDEX(原始資料!N$2:N$501,$BJ493)="","",INDEX(原始資料!N$2:N$501,$BJ493)))</f>
        <v/>
      </c>
      <c r="M493" s="6">
        <f>IF(OR($BJ493="",12&gt;設定!$B$3),"",IF(INDEX(原始資料!O$2:O$501,$BJ493)="","",INDEX(原始資料!O$2:O$501,$BJ493)))</f>
        <v/>
      </c>
      <c r="N493" s="6">
        <f>IF(OR($BJ493="",13&gt;設定!$B$3),"",IF(INDEX(原始資料!P$2:P$501,$BJ493)="","",INDEX(原始資料!P$2:P$501,$BJ493)))</f>
        <v/>
      </c>
      <c r="O493" s="6">
        <f>IF(OR($BJ493="",14&gt;設定!$B$3),"",IF(INDEX(原始資料!Q$2:Q$501,$BJ493)="","",INDEX(原始資料!Q$2:Q$501,$BJ493)))</f>
        <v/>
      </c>
      <c r="P493" s="6">
        <f>IF(OR($BJ493="",15&gt;設定!$B$3),"",IF(INDEX(原始資料!R$2:R$501,$BJ493)="","",INDEX(原始資料!R$2:R$501,$BJ493)))</f>
        <v/>
      </c>
      <c r="Q493" s="6">
        <f>IF(OR($BJ493="",16&gt;設定!$B$3),"",IF(INDEX(原始資料!S$2:S$501,$BJ493)="","",INDEX(原始資料!S$2:S$501,$BJ493)))</f>
        <v/>
      </c>
      <c r="R493" s="6">
        <f>IF(OR($BJ493="",17&gt;設定!$B$3),"",IF(INDEX(原始資料!T$2:T$501,$BJ493)="","",INDEX(原始資料!T$2:T$501,$BJ493)))</f>
        <v/>
      </c>
      <c r="S493" s="6">
        <f>IF(OR($BJ493="",18&gt;設定!$B$3),"",IF(INDEX(原始資料!U$2:U$501,$BJ493)="","",INDEX(原始資料!U$2:U$501,$BJ493)))</f>
        <v/>
      </c>
      <c r="T493" s="6">
        <f>IF(OR($BJ493="",19&gt;設定!$B$3),"",IF(INDEX(原始資料!V$2:V$501,$BJ493)="","",INDEX(原始資料!V$2:V$501,$BJ493)))</f>
        <v/>
      </c>
      <c r="U493" s="6">
        <f>IF(OR($BJ493="",20&gt;設定!$B$3),"",IF(INDEX(原始資料!W$2:W$501,$BJ493)="","",INDEX(原始資料!W$2:W$501,$BJ493)))</f>
        <v/>
      </c>
      <c r="V493" s="6">
        <f>IF(OR($BJ493="",21&gt;設定!$B$3),"",IF(INDEX(原始資料!X$2:X$501,$BJ493)="","",INDEX(原始資料!X$2:X$501,$BJ493)))</f>
        <v/>
      </c>
      <c r="W493" s="6">
        <f>IF(OR($BJ493="",22&gt;設定!$B$3),"",IF(INDEX(原始資料!Y$2:Y$501,$BJ493)="","",INDEX(原始資料!Y$2:Y$501,$BJ493)))</f>
        <v/>
      </c>
      <c r="X493" s="6">
        <f>IF(OR($BJ493="",23&gt;設定!$B$3),"",IF(INDEX(原始資料!Z$2:Z$501,$BJ493)="","",INDEX(原始資料!Z$2:Z$501,$BJ493)))</f>
        <v/>
      </c>
      <c r="Y493" s="6">
        <f>IF(OR($BJ493="",24&gt;設定!$B$3),"",IF(INDEX(原始資料!AA$2:AA$501,$BJ493)="","",INDEX(原始資料!AA$2:AA$501,$BJ493)))</f>
        <v/>
      </c>
      <c r="Z493" s="6">
        <f>IF(OR($BJ493="",25&gt;設定!$B$3),"",IF(INDEX(原始資料!AB$2:AB$501,$BJ493)="","",INDEX(原始資料!AB$2:AB$501,$BJ493)))</f>
        <v/>
      </c>
      <c r="AA493" s="6">
        <f>IF(OR($BJ493="",26&gt;設定!$B$3),"",IF(INDEX(原始資料!AC$2:AC$501,$BJ493)="","",INDEX(原始資料!AC$2:AC$501,$BJ493)))</f>
        <v/>
      </c>
      <c r="AB493" s="6">
        <f>IF(OR($BJ493="",27&gt;設定!$B$3),"",IF(INDEX(原始資料!AD$2:AD$501,$BJ493)="","",INDEX(原始資料!AD$2:AD$501,$BJ493)))</f>
        <v/>
      </c>
      <c r="AC493" s="6">
        <f>IF(OR($BJ493="",28&gt;設定!$B$3),"",IF(INDEX(原始資料!AE$2:AE$501,$BJ493)="","",INDEX(原始資料!AE$2:AE$501,$BJ493)))</f>
        <v/>
      </c>
      <c r="AD493" s="6">
        <f>IF(OR($BJ493="",29&gt;設定!$B$3),"",IF(INDEX(原始資料!AF$2:AF$501,$BJ493)="","",INDEX(原始資料!AF$2:AF$501,$BJ493)))</f>
        <v/>
      </c>
      <c r="AE493" s="6">
        <f>IF(OR($BJ493="",30&gt;設定!$B$3),"",IF(INDEX(原始資料!AG$2:AG$501,$BJ493)="","",INDEX(原始資料!AG$2:AG$501,$BJ493)))</f>
        <v/>
      </c>
      <c r="AF493" s="6">
        <f>IF(OR($BJ493="",31&gt;設定!$B$3),"",IF(INDEX(原始資料!AH$2:AH$501,$BJ493)="","",INDEX(原始資料!AH$2:AH$501,$BJ493)))</f>
        <v/>
      </c>
      <c r="AG493" s="6">
        <f>IF(OR($BJ493="",32&gt;設定!$B$3),"",IF(INDEX(原始資料!AI$2:AI$501,$BJ493)="","",INDEX(原始資料!AI$2:AI$501,$BJ493)))</f>
        <v/>
      </c>
      <c r="AH493" s="6">
        <f>IF(OR($BJ493="",33&gt;設定!$B$3),"",IF(INDEX(原始資料!AJ$2:AJ$501,$BJ493)="","",INDEX(原始資料!AJ$2:AJ$501,$BJ493)))</f>
        <v/>
      </c>
      <c r="AI493" s="6">
        <f>IF(OR($BJ493="",34&gt;設定!$B$3),"",IF(INDEX(原始資料!AK$2:AK$501,$BJ493)="","",INDEX(原始資料!AK$2:AK$501,$BJ493)))</f>
        <v/>
      </c>
      <c r="AJ493" s="6">
        <f>IF(OR($BJ493="",35&gt;設定!$B$3),"",IF(INDEX(原始資料!AL$2:AL$501,$BJ493)="","",INDEX(原始資料!AL$2:AL$501,$BJ493)))</f>
        <v/>
      </c>
      <c r="AK493" s="6">
        <f>IF(OR($BJ493="",36&gt;設定!$B$3),"",IF(INDEX(原始資料!AM$2:AM$501,$BJ493)="","",INDEX(原始資料!AM$2:AM$501,$BJ493)))</f>
        <v/>
      </c>
      <c r="AL493" s="6">
        <f>IF(OR($BJ493="",37&gt;設定!$B$3),"",IF(INDEX(原始資料!AN$2:AN$501,$BJ493)="","",INDEX(原始資料!AN$2:AN$501,$BJ493)))</f>
        <v/>
      </c>
      <c r="AM493" s="6">
        <f>IF(OR($BJ493="",38&gt;設定!$B$3),"",IF(INDEX(原始資料!AO$2:AO$501,$BJ493)="","",INDEX(原始資料!AO$2:AO$501,$BJ493)))</f>
        <v/>
      </c>
      <c r="AN493" s="6">
        <f>IF(OR($BJ493="",39&gt;設定!$B$3),"",IF(INDEX(原始資料!AP$2:AP$501,$BJ493)="","",INDEX(原始資料!AP$2:AP$501,$BJ493)))</f>
        <v/>
      </c>
      <c r="AO493" s="6">
        <f>IF(OR($BJ493="",40&gt;設定!$B$3),"",IF(INDEX(原始資料!AQ$2:AQ$501,$BJ493)="","",INDEX(原始資料!AQ$2:AQ$501,$BJ493)))</f>
        <v/>
      </c>
      <c r="AP493" s="6">
        <f>IF(OR($BJ493="",41&gt;設定!$B$3),"",IF(INDEX(原始資料!AR$2:AR$501,$BJ493)="","",INDEX(原始資料!AR$2:AR$501,$BJ493)))</f>
        <v/>
      </c>
      <c r="AQ493" s="6">
        <f>IF(OR($BJ493="",42&gt;設定!$B$3),"",IF(INDEX(原始資料!AS$2:AS$501,$BJ493)="","",INDEX(原始資料!AS$2:AS$501,$BJ493)))</f>
        <v/>
      </c>
      <c r="AR493" s="6">
        <f>IF(OR($BJ493="",43&gt;設定!$B$3),"",IF(INDEX(原始資料!AT$2:AT$501,$BJ493)="","",INDEX(原始資料!AT$2:AT$501,$BJ493)))</f>
        <v/>
      </c>
      <c r="AS493" s="6">
        <f>IF(OR($BJ493="",44&gt;設定!$B$3),"",IF(INDEX(原始資料!AU$2:AU$501,$BJ493)="","",INDEX(原始資料!AU$2:AU$501,$BJ493)))</f>
        <v/>
      </c>
      <c r="AT493" s="6">
        <f>IF(OR($BJ493="",45&gt;設定!$B$3),"",IF(INDEX(原始資料!AV$2:AV$501,$BJ493)="","",INDEX(原始資料!AV$2:AV$501,$BJ493)))</f>
        <v/>
      </c>
      <c r="AU493" s="6">
        <f>IF(OR($BJ493="",46&gt;設定!$B$3),"",IF(INDEX(原始資料!AW$2:AW$501,$BJ493)="","",INDEX(原始資料!AW$2:AW$501,$BJ493)))</f>
        <v/>
      </c>
      <c r="AV493" s="6">
        <f>IF(OR($BJ493="",47&gt;設定!$B$3),"",IF(INDEX(原始資料!AX$2:AX$501,$BJ493)="","",INDEX(原始資料!AX$2:AX$501,$BJ493)))</f>
        <v/>
      </c>
      <c r="AW493" s="6">
        <f>IF(OR($BJ493="",48&gt;設定!$B$3),"",IF(INDEX(原始資料!AY$2:AY$501,$BJ493)="","",INDEX(原始資料!AY$2:AY$501,$BJ493)))</f>
        <v/>
      </c>
      <c r="AX493" s="6">
        <f>IF(OR($BJ493="",49&gt;設定!$B$3),"",IF(INDEX(原始資料!AZ$2:AZ$501,$BJ493)="","",INDEX(原始資料!AZ$2:AZ$501,$BJ493)))</f>
        <v/>
      </c>
      <c r="AY493" s="6">
        <f>IF(OR($BJ493="",50&gt;設定!$B$3),"",IF(INDEX(原始資料!BA$2:BA$501,$BJ493)="","",INDEX(原始資料!BA$2:BA$501,$BJ493)))</f>
        <v/>
      </c>
      <c r="AZ493" s="6">
        <f>IF(OR($BJ493="",51&gt;設定!$B$3),"",IF(INDEX(原始資料!BB$2:BB$501,$BJ493)="","",INDEX(原始資料!BB$2:BB$501,$BJ493)))</f>
        <v/>
      </c>
      <c r="BA493" s="6">
        <f>IF(OR($BJ493="",52&gt;設定!$B$3),"",IF(INDEX(原始資料!BC$2:BC$501,$BJ493)="","",INDEX(原始資料!BC$2:BC$501,$BJ493)))</f>
        <v/>
      </c>
      <c r="BB493" s="6">
        <f>IF(OR($BJ493="",53&gt;設定!$B$3),"",IF(INDEX(原始資料!BD$2:BD$501,$BJ493)="","",INDEX(原始資料!BD$2:BD$501,$BJ493)))</f>
        <v/>
      </c>
      <c r="BC493" s="6">
        <f>IF(OR($BJ493="",54&gt;設定!$B$3),"",IF(INDEX(原始資料!BE$2:BE$501,$BJ493)="","",INDEX(原始資料!BE$2:BE$501,$BJ493)))</f>
        <v/>
      </c>
      <c r="BD493" s="6">
        <f>IF(OR($BJ493="",55&gt;設定!$B$3),"",IF(INDEX(原始資料!BF$2:BF$501,$BJ493)="","",INDEX(原始資料!BF$2:BF$501,$BJ493)))</f>
        <v/>
      </c>
      <c r="BE493" s="6">
        <f>IF(OR($BJ493="",56&gt;設定!$B$3),"",IF(INDEX(原始資料!BG$2:BG$501,$BJ493)="","",INDEX(原始資料!BG$2:BG$501,$BJ493)))</f>
        <v/>
      </c>
      <c r="BF493" s="6">
        <f>IF(OR($BJ493="",57&gt;設定!$B$3),"",IF(INDEX(原始資料!BH$2:BH$501,$BJ493)="","",INDEX(原始資料!BH$2:BH$501,$BJ493)))</f>
        <v/>
      </c>
      <c r="BG493" s="6">
        <f>IF(OR($BJ493="",58&gt;設定!$B$3),"",IF(INDEX(原始資料!BI$2:BI$501,$BJ493)="","",INDEX(原始資料!BI$2:BI$501,$BJ493)))</f>
        <v/>
      </c>
      <c r="BH493" s="6">
        <f>IF(OR($BJ493="",59&gt;設定!$B$3),"",IF(INDEX(原始資料!BJ$2:BJ$501,$BJ493)="","",INDEX(原始資料!BJ$2:BJ$501,$BJ493)))</f>
        <v/>
      </c>
      <c r="BI493" s="6">
        <f>IF(OR($BJ493="",60&gt;設定!$B$3),"",IF(INDEX(原始資料!BK$2:BK$501,$BJ493)="","",INDEX(原始資料!BK$2:BK$501,$BJ493)))</f>
        <v/>
      </c>
      <c r="BJ493" s="6">
        <f>IFERROR(MATCH(ROW()-1,判定!$H$2:$H$501,0),"")</f>
        <v/>
      </c>
    </row>
    <row r="494">
      <c r="A494" s="6">
        <f>IF($BJ494="","",INDEX(原始資料!$A$2:$A$501,$BJ494))</f>
        <v/>
      </c>
      <c r="B494" s="6">
        <f>IF(OR($BJ494="",1&gt;設定!$B$3),"",IF(INDEX(原始資料!D$2:D$501,$BJ494)="","",INDEX(原始資料!D$2:D$501,$BJ494)))</f>
        <v/>
      </c>
      <c r="C494" s="6">
        <f>IF(OR($BJ494="",2&gt;設定!$B$3),"",IF(INDEX(原始資料!E$2:E$501,$BJ494)="","",INDEX(原始資料!E$2:E$501,$BJ494)))</f>
        <v/>
      </c>
      <c r="D494" s="6">
        <f>IF(OR($BJ494="",3&gt;設定!$B$3),"",IF(INDEX(原始資料!F$2:F$501,$BJ494)="","",INDEX(原始資料!F$2:F$501,$BJ494)))</f>
        <v/>
      </c>
      <c r="E494" s="6">
        <f>IF(OR($BJ494="",4&gt;設定!$B$3),"",IF(INDEX(原始資料!G$2:G$501,$BJ494)="","",INDEX(原始資料!G$2:G$501,$BJ494)))</f>
        <v/>
      </c>
      <c r="F494" s="6">
        <f>IF(OR($BJ494="",5&gt;設定!$B$3),"",IF(INDEX(原始資料!H$2:H$501,$BJ494)="","",INDEX(原始資料!H$2:H$501,$BJ494)))</f>
        <v/>
      </c>
      <c r="G494" s="6">
        <f>IF(OR($BJ494="",6&gt;設定!$B$3),"",IF(INDEX(原始資料!I$2:I$501,$BJ494)="","",INDEX(原始資料!I$2:I$501,$BJ494)))</f>
        <v/>
      </c>
      <c r="H494" s="6">
        <f>IF(OR($BJ494="",7&gt;設定!$B$3),"",IF(INDEX(原始資料!J$2:J$501,$BJ494)="","",INDEX(原始資料!J$2:J$501,$BJ494)))</f>
        <v/>
      </c>
      <c r="I494" s="6">
        <f>IF(OR($BJ494="",8&gt;設定!$B$3),"",IF(INDEX(原始資料!K$2:K$501,$BJ494)="","",INDEX(原始資料!K$2:K$501,$BJ494)))</f>
        <v/>
      </c>
      <c r="J494" s="6">
        <f>IF(OR($BJ494="",9&gt;設定!$B$3),"",IF(INDEX(原始資料!L$2:L$501,$BJ494)="","",INDEX(原始資料!L$2:L$501,$BJ494)))</f>
        <v/>
      </c>
      <c r="K494" s="6">
        <f>IF(OR($BJ494="",10&gt;設定!$B$3),"",IF(INDEX(原始資料!M$2:M$501,$BJ494)="","",INDEX(原始資料!M$2:M$501,$BJ494)))</f>
        <v/>
      </c>
      <c r="L494" s="6">
        <f>IF(OR($BJ494="",11&gt;設定!$B$3),"",IF(INDEX(原始資料!N$2:N$501,$BJ494)="","",INDEX(原始資料!N$2:N$501,$BJ494)))</f>
        <v/>
      </c>
      <c r="M494" s="6">
        <f>IF(OR($BJ494="",12&gt;設定!$B$3),"",IF(INDEX(原始資料!O$2:O$501,$BJ494)="","",INDEX(原始資料!O$2:O$501,$BJ494)))</f>
        <v/>
      </c>
      <c r="N494" s="6">
        <f>IF(OR($BJ494="",13&gt;設定!$B$3),"",IF(INDEX(原始資料!P$2:P$501,$BJ494)="","",INDEX(原始資料!P$2:P$501,$BJ494)))</f>
        <v/>
      </c>
      <c r="O494" s="6">
        <f>IF(OR($BJ494="",14&gt;設定!$B$3),"",IF(INDEX(原始資料!Q$2:Q$501,$BJ494)="","",INDEX(原始資料!Q$2:Q$501,$BJ494)))</f>
        <v/>
      </c>
      <c r="P494" s="6">
        <f>IF(OR($BJ494="",15&gt;設定!$B$3),"",IF(INDEX(原始資料!R$2:R$501,$BJ494)="","",INDEX(原始資料!R$2:R$501,$BJ494)))</f>
        <v/>
      </c>
      <c r="Q494" s="6">
        <f>IF(OR($BJ494="",16&gt;設定!$B$3),"",IF(INDEX(原始資料!S$2:S$501,$BJ494)="","",INDEX(原始資料!S$2:S$501,$BJ494)))</f>
        <v/>
      </c>
      <c r="R494" s="6">
        <f>IF(OR($BJ494="",17&gt;設定!$B$3),"",IF(INDEX(原始資料!T$2:T$501,$BJ494)="","",INDEX(原始資料!T$2:T$501,$BJ494)))</f>
        <v/>
      </c>
      <c r="S494" s="6">
        <f>IF(OR($BJ494="",18&gt;設定!$B$3),"",IF(INDEX(原始資料!U$2:U$501,$BJ494)="","",INDEX(原始資料!U$2:U$501,$BJ494)))</f>
        <v/>
      </c>
      <c r="T494" s="6">
        <f>IF(OR($BJ494="",19&gt;設定!$B$3),"",IF(INDEX(原始資料!V$2:V$501,$BJ494)="","",INDEX(原始資料!V$2:V$501,$BJ494)))</f>
        <v/>
      </c>
      <c r="U494" s="6">
        <f>IF(OR($BJ494="",20&gt;設定!$B$3),"",IF(INDEX(原始資料!W$2:W$501,$BJ494)="","",INDEX(原始資料!W$2:W$501,$BJ494)))</f>
        <v/>
      </c>
      <c r="V494" s="6">
        <f>IF(OR($BJ494="",21&gt;設定!$B$3),"",IF(INDEX(原始資料!X$2:X$501,$BJ494)="","",INDEX(原始資料!X$2:X$501,$BJ494)))</f>
        <v/>
      </c>
      <c r="W494" s="6">
        <f>IF(OR($BJ494="",22&gt;設定!$B$3),"",IF(INDEX(原始資料!Y$2:Y$501,$BJ494)="","",INDEX(原始資料!Y$2:Y$501,$BJ494)))</f>
        <v/>
      </c>
      <c r="X494" s="6">
        <f>IF(OR($BJ494="",23&gt;設定!$B$3),"",IF(INDEX(原始資料!Z$2:Z$501,$BJ494)="","",INDEX(原始資料!Z$2:Z$501,$BJ494)))</f>
        <v/>
      </c>
      <c r="Y494" s="6">
        <f>IF(OR($BJ494="",24&gt;設定!$B$3),"",IF(INDEX(原始資料!AA$2:AA$501,$BJ494)="","",INDEX(原始資料!AA$2:AA$501,$BJ494)))</f>
        <v/>
      </c>
      <c r="Z494" s="6">
        <f>IF(OR($BJ494="",25&gt;設定!$B$3),"",IF(INDEX(原始資料!AB$2:AB$501,$BJ494)="","",INDEX(原始資料!AB$2:AB$501,$BJ494)))</f>
        <v/>
      </c>
      <c r="AA494" s="6">
        <f>IF(OR($BJ494="",26&gt;設定!$B$3),"",IF(INDEX(原始資料!AC$2:AC$501,$BJ494)="","",INDEX(原始資料!AC$2:AC$501,$BJ494)))</f>
        <v/>
      </c>
      <c r="AB494" s="6">
        <f>IF(OR($BJ494="",27&gt;設定!$B$3),"",IF(INDEX(原始資料!AD$2:AD$501,$BJ494)="","",INDEX(原始資料!AD$2:AD$501,$BJ494)))</f>
        <v/>
      </c>
      <c r="AC494" s="6">
        <f>IF(OR($BJ494="",28&gt;設定!$B$3),"",IF(INDEX(原始資料!AE$2:AE$501,$BJ494)="","",INDEX(原始資料!AE$2:AE$501,$BJ494)))</f>
        <v/>
      </c>
      <c r="AD494" s="6">
        <f>IF(OR($BJ494="",29&gt;設定!$B$3),"",IF(INDEX(原始資料!AF$2:AF$501,$BJ494)="","",INDEX(原始資料!AF$2:AF$501,$BJ494)))</f>
        <v/>
      </c>
      <c r="AE494" s="6">
        <f>IF(OR($BJ494="",30&gt;設定!$B$3),"",IF(INDEX(原始資料!AG$2:AG$501,$BJ494)="","",INDEX(原始資料!AG$2:AG$501,$BJ494)))</f>
        <v/>
      </c>
      <c r="AF494" s="6">
        <f>IF(OR($BJ494="",31&gt;設定!$B$3),"",IF(INDEX(原始資料!AH$2:AH$501,$BJ494)="","",INDEX(原始資料!AH$2:AH$501,$BJ494)))</f>
        <v/>
      </c>
      <c r="AG494" s="6">
        <f>IF(OR($BJ494="",32&gt;設定!$B$3),"",IF(INDEX(原始資料!AI$2:AI$501,$BJ494)="","",INDEX(原始資料!AI$2:AI$501,$BJ494)))</f>
        <v/>
      </c>
      <c r="AH494" s="6">
        <f>IF(OR($BJ494="",33&gt;設定!$B$3),"",IF(INDEX(原始資料!AJ$2:AJ$501,$BJ494)="","",INDEX(原始資料!AJ$2:AJ$501,$BJ494)))</f>
        <v/>
      </c>
      <c r="AI494" s="6">
        <f>IF(OR($BJ494="",34&gt;設定!$B$3),"",IF(INDEX(原始資料!AK$2:AK$501,$BJ494)="","",INDEX(原始資料!AK$2:AK$501,$BJ494)))</f>
        <v/>
      </c>
      <c r="AJ494" s="6">
        <f>IF(OR($BJ494="",35&gt;設定!$B$3),"",IF(INDEX(原始資料!AL$2:AL$501,$BJ494)="","",INDEX(原始資料!AL$2:AL$501,$BJ494)))</f>
        <v/>
      </c>
      <c r="AK494" s="6">
        <f>IF(OR($BJ494="",36&gt;設定!$B$3),"",IF(INDEX(原始資料!AM$2:AM$501,$BJ494)="","",INDEX(原始資料!AM$2:AM$501,$BJ494)))</f>
        <v/>
      </c>
      <c r="AL494" s="6">
        <f>IF(OR($BJ494="",37&gt;設定!$B$3),"",IF(INDEX(原始資料!AN$2:AN$501,$BJ494)="","",INDEX(原始資料!AN$2:AN$501,$BJ494)))</f>
        <v/>
      </c>
      <c r="AM494" s="6">
        <f>IF(OR($BJ494="",38&gt;設定!$B$3),"",IF(INDEX(原始資料!AO$2:AO$501,$BJ494)="","",INDEX(原始資料!AO$2:AO$501,$BJ494)))</f>
        <v/>
      </c>
      <c r="AN494" s="6">
        <f>IF(OR($BJ494="",39&gt;設定!$B$3),"",IF(INDEX(原始資料!AP$2:AP$501,$BJ494)="","",INDEX(原始資料!AP$2:AP$501,$BJ494)))</f>
        <v/>
      </c>
      <c r="AO494" s="6">
        <f>IF(OR($BJ494="",40&gt;設定!$B$3),"",IF(INDEX(原始資料!AQ$2:AQ$501,$BJ494)="","",INDEX(原始資料!AQ$2:AQ$501,$BJ494)))</f>
        <v/>
      </c>
      <c r="AP494" s="6">
        <f>IF(OR($BJ494="",41&gt;設定!$B$3),"",IF(INDEX(原始資料!AR$2:AR$501,$BJ494)="","",INDEX(原始資料!AR$2:AR$501,$BJ494)))</f>
        <v/>
      </c>
      <c r="AQ494" s="6">
        <f>IF(OR($BJ494="",42&gt;設定!$B$3),"",IF(INDEX(原始資料!AS$2:AS$501,$BJ494)="","",INDEX(原始資料!AS$2:AS$501,$BJ494)))</f>
        <v/>
      </c>
      <c r="AR494" s="6">
        <f>IF(OR($BJ494="",43&gt;設定!$B$3),"",IF(INDEX(原始資料!AT$2:AT$501,$BJ494)="","",INDEX(原始資料!AT$2:AT$501,$BJ494)))</f>
        <v/>
      </c>
      <c r="AS494" s="6">
        <f>IF(OR($BJ494="",44&gt;設定!$B$3),"",IF(INDEX(原始資料!AU$2:AU$501,$BJ494)="","",INDEX(原始資料!AU$2:AU$501,$BJ494)))</f>
        <v/>
      </c>
      <c r="AT494" s="6">
        <f>IF(OR($BJ494="",45&gt;設定!$B$3),"",IF(INDEX(原始資料!AV$2:AV$501,$BJ494)="","",INDEX(原始資料!AV$2:AV$501,$BJ494)))</f>
        <v/>
      </c>
      <c r="AU494" s="6">
        <f>IF(OR($BJ494="",46&gt;設定!$B$3),"",IF(INDEX(原始資料!AW$2:AW$501,$BJ494)="","",INDEX(原始資料!AW$2:AW$501,$BJ494)))</f>
        <v/>
      </c>
      <c r="AV494" s="6">
        <f>IF(OR($BJ494="",47&gt;設定!$B$3),"",IF(INDEX(原始資料!AX$2:AX$501,$BJ494)="","",INDEX(原始資料!AX$2:AX$501,$BJ494)))</f>
        <v/>
      </c>
      <c r="AW494" s="6">
        <f>IF(OR($BJ494="",48&gt;設定!$B$3),"",IF(INDEX(原始資料!AY$2:AY$501,$BJ494)="","",INDEX(原始資料!AY$2:AY$501,$BJ494)))</f>
        <v/>
      </c>
      <c r="AX494" s="6">
        <f>IF(OR($BJ494="",49&gt;設定!$B$3),"",IF(INDEX(原始資料!AZ$2:AZ$501,$BJ494)="","",INDEX(原始資料!AZ$2:AZ$501,$BJ494)))</f>
        <v/>
      </c>
      <c r="AY494" s="6">
        <f>IF(OR($BJ494="",50&gt;設定!$B$3),"",IF(INDEX(原始資料!BA$2:BA$501,$BJ494)="","",INDEX(原始資料!BA$2:BA$501,$BJ494)))</f>
        <v/>
      </c>
      <c r="AZ494" s="6">
        <f>IF(OR($BJ494="",51&gt;設定!$B$3),"",IF(INDEX(原始資料!BB$2:BB$501,$BJ494)="","",INDEX(原始資料!BB$2:BB$501,$BJ494)))</f>
        <v/>
      </c>
      <c r="BA494" s="6">
        <f>IF(OR($BJ494="",52&gt;設定!$B$3),"",IF(INDEX(原始資料!BC$2:BC$501,$BJ494)="","",INDEX(原始資料!BC$2:BC$501,$BJ494)))</f>
        <v/>
      </c>
      <c r="BB494" s="6">
        <f>IF(OR($BJ494="",53&gt;設定!$B$3),"",IF(INDEX(原始資料!BD$2:BD$501,$BJ494)="","",INDEX(原始資料!BD$2:BD$501,$BJ494)))</f>
        <v/>
      </c>
      <c r="BC494" s="6">
        <f>IF(OR($BJ494="",54&gt;設定!$B$3),"",IF(INDEX(原始資料!BE$2:BE$501,$BJ494)="","",INDEX(原始資料!BE$2:BE$501,$BJ494)))</f>
        <v/>
      </c>
      <c r="BD494" s="6">
        <f>IF(OR($BJ494="",55&gt;設定!$B$3),"",IF(INDEX(原始資料!BF$2:BF$501,$BJ494)="","",INDEX(原始資料!BF$2:BF$501,$BJ494)))</f>
        <v/>
      </c>
      <c r="BE494" s="6">
        <f>IF(OR($BJ494="",56&gt;設定!$B$3),"",IF(INDEX(原始資料!BG$2:BG$501,$BJ494)="","",INDEX(原始資料!BG$2:BG$501,$BJ494)))</f>
        <v/>
      </c>
      <c r="BF494" s="6">
        <f>IF(OR($BJ494="",57&gt;設定!$B$3),"",IF(INDEX(原始資料!BH$2:BH$501,$BJ494)="","",INDEX(原始資料!BH$2:BH$501,$BJ494)))</f>
        <v/>
      </c>
      <c r="BG494" s="6">
        <f>IF(OR($BJ494="",58&gt;設定!$B$3),"",IF(INDEX(原始資料!BI$2:BI$501,$BJ494)="","",INDEX(原始資料!BI$2:BI$501,$BJ494)))</f>
        <v/>
      </c>
      <c r="BH494" s="6">
        <f>IF(OR($BJ494="",59&gt;設定!$B$3),"",IF(INDEX(原始資料!BJ$2:BJ$501,$BJ494)="","",INDEX(原始資料!BJ$2:BJ$501,$BJ494)))</f>
        <v/>
      </c>
      <c r="BI494" s="6">
        <f>IF(OR($BJ494="",60&gt;設定!$B$3),"",IF(INDEX(原始資料!BK$2:BK$501,$BJ494)="","",INDEX(原始資料!BK$2:BK$501,$BJ494)))</f>
        <v/>
      </c>
      <c r="BJ494" s="6">
        <f>IFERROR(MATCH(ROW()-1,判定!$H$2:$H$501,0),"")</f>
        <v/>
      </c>
    </row>
    <row r="495">
      <c r="A495" s="6">
        <f>IF($BJ495="","",INDEX(原始資料!$A$2:$A$501,$BJ495))</f>
        <v/>
      </c>
      <c r="B495" s="6">
        <f>IF(OR($BJ495="",1&gt;設定!$B$3),"",IF(INDEX(原始資料!D$2:D$501,$BJ495)="","",INDEX(原始資料!D$2:D$501,$BJ495)))</f>
        <v/>
      </c>
      <c r="C495" s="6">
        <f>IF(OR($BJ495="",2&gt;設定!$B$3),"",IF(INDEX(原始資料!E$2:E$501,$BJ495)="","",INDEX(原始資料!E$2:E$501,$BJ495)))</f>
        <v/>
      </c>
      <c r="D495" s="6">
        <f>IF(OR($BJ495="",3&gt;設定!$B$3),"",IF(INDEX(原始資料!F$2:F$501,$BJ495)="","",INDEX(原始資料!F$2:F$501,$BJ495)))</f>
        <v/>
      </c>
      <c r="E495" s="6">
        <f>IF(OR($BJ495="",4&gt;設定!$B$3),"",IF(INDEX(原始資料!G$2:G$501,$BJ495)="","",INDEX(原始資料!G$2:G$501,$BJ495)))</f>
        <v/>
      </c>
      <c r="F495" s="6">
        <f>IF(OR($BJ495="",5&gt;設定!$B$3),"",IF(INDEX(原始資料!H$2:H$501,$BJ495)="","",INDEX(原始資料!H$2:H$501,$BJ495)))</f>
        <v/>
      </c>
      <c r="G495" s="6">
        <f>IF(OR($BJ495="",6&gt;設定!$B$3),"",IF(INDEX(原始資料!I$2:I$501,$BJ495)="","",INDEX(原始資料!I$2:I$501,$BJ495)))</f>
        <v/>
      </c>
      <c r="H495" s="6">
        <f>IF(OR($BJ495="",7&gt;設定!$B$3),"",IF(INDEX(原始資料!J$2:J$501,$BJ495)="","",INDEX(原始資料!J$2:J$501,$BJ495)))</f>
        <v/>
      </c>
      <c r="I495" s="6">
        <f>IF(OR($BJ495="",8&gt;設定!$B$3),"",IF(INDEX(原始資料!K$2:K$501,$BJ495)="","",INDEX(原始資料!K$2:K$501,$BJ495)))</f>
        <v/>
      </c>
      <c r="J495" s="6">
        <f>IF(OR($BJ495="",9&gt;設定!$B$3),"",IF(INDEX(原始資料!L$2:L$501,$BJ495)="","",INDEX(原始資料!L$2:L$501,$BJ495)))</f>
        <v/>
      </c>
      <c r="K495" s="6">
        <f>IF(OR($BJ495="",10&gt;設定!$B$3),"",IF(INDEX(原始資料!M$2:M$501,$BJ495)="","",INDEX(原始資料!M$2:M$501,$BJ495)))</f>
        <v/>
      </c>
      <c r="L495" s="6">
        <f>IF(OR($BJ495="",11&gt;設定!$B$3),"",IF(INDEX(原始資料!N$2:N$501,$BJ495)="","",INDEX(原始資料!N$2:N$501,$BJ495)))</f>
        <v/>
      </c>
      <c r="M495" s="6">
        <f>IF(OR($BJ495="",12&gt;設定!$B$3),"",IF(INDEX(原始資料!O$2:O$501,$BJ495)="","",INDEX(原始資料!O$2:O$501,$BJ495)))</f>
        <v/>
      </c>
      <c r="N495" s="6">
        <f>IF(OR($BJ495="",13&gt;設定!$B$3),"",IF(INDEX(原始資料!P$2:P$501,$BJ495)="","",INDEX(原始資料!P$2:P$501,$BJ495)))</f>
        <v/>
      </c>
      <c r="O495" s="6">
        <f>IF(OR($BJ495="",14&gt;設定!$B$3),"",IF(INDEX(原始資料!Q$2:Q$501,$BJ495)="","",INDEX(原始資料!Q$2:Q$501,$BJ495)))</f>
        <v/>
      </c>
      <c r="P495" s="6">
        <f>IF(OR($BJ495="",15&gt;設定!$B$3),"",IF(INDEX(原始資料!R$2:R$501,$BJ495)="","",INDEX(原始資料!R$2:R$501,$BJ495)))</f>
        <v/>
      </c>
      <c r="Q495" s="6">
        <f>IF(OR($BJ495="",16&gt;設定!$B$3),"",IF(INDEX(原始資料!S$2:S$501,$BJ495)="","",INDEX(原始資料!S$2:S$501,$BJ495)))</f>
        <v/>
      </c>
      <c r="R495" s="6">
        <f>IF(OR($BJ495="",17&gt;設定!$B$3),"",IF(INDEX(原始資料!T$2:T$501,$BJ495)="","",INDEX(原始資料!T$2:T$501,$BJ495)))</f>
        <v/>
      </c>
      <c r="S495" s="6">
        <f>IF(OR($BJ495="",18&gt;設定!$B$3),"",IF(INDEX(原始資料!U$2:U$501,$BJ495)="","",INDEX(原始資料!U$2:U$501,$BJ495)))</f>
        <v/>
      </c>
      <c r="T495" s="6">
        <f>IF(OR($BJ495="",19&gt;設定!$B$3),"",IF(INDEX(原始資料!V$2:V$501,$BJ495)="","",INDEX(原始資料!V$2:V$501,$BJ495)))</f>
        <v/>
      </c>
      <c r="U495" s="6">
        <f>IF(OR($BJ495="",20&gt;設定!$B$3),"",IF(INDEX(原始資料!W$2:W$501,$BJ495)="","",INDEX(原始資料!W$2:W$501,$BJ495)))</f>
        <v/>
      </c>
      <c r="V495" s="6">
        <f>IF(OR($BJ495="",21&gt;設定!$B$3),"",IF(INDEX(原始資料!X$2:X$501,$BJ495)="","",INDEX(原始資料!X$2:X$501,$BJ495)))</f>
        <v/>
      </c>
      <c r="W495" s="6">
        <f>IF(OR($BJ495="",22&gt;設定!$B$3),"",IF(INDEX(原始資料!Y$2:Y$501,$BJ495)="","",INDEX(原始資料!Y$2:Y$501,$BJ495)))</f>
        <v/>
      </c>
      <c r="X495" s="6">
        <f>IF(OR($BJ495="",23&gt;設定!$B$3),"",IF(INDEX(原始資料!Z$2:Z$501,$BJ495)="","",INDEX(原始資料!Z$2:Z$501,$BJ495)))</f>
        <v/>
      </c>
      <c r="Y495" s="6">
        <f>IF(OR($BJ495="",24&gt;設定!$B$3),"",IF(INDEX(原始資料!AA$2:AA$501,$BJ495)="","",INDEX(原始資料!AA$2:AA$501,$BJ495)))</f>
        <v/>
      </c>
      <c r="Z495" s="6">
        <f>IF(OR($BJ495="",25&gt;設定!$B$3),"",IF(INDEX(原始資料!AB$2:AB$501,$BJ495)="","",INDEX(原始資料!AB$2:AB$501,$BJ495)))</f>
        <v/>
      </c>
      <c r="AA495" s="6">
        <f>IF(OR($BJ495="",26&gt;設定!$B$3),"",IF(INDEX(原始資料!AC$2:AC$501,$BJ495)="","",INDEX(原始資料!AC$2:AC$501,$BJ495)))</f>
        <v/>
      </c>
      <c r="AB495" s="6">
        <f>IF(OR($BJ495="",27&gt;設定!$B$3),"",IF(INDEX(原始資料!AD$2:AD$501,$BJ495)="","",INDEX(原始資料!AD$2:AD$501,$BJ495)))</f>
        <v/>
      </c>
      <c r="AC495" s="6">
        <f>IF(OR($BJ495="",28&gt;設定!$B$3),"",IF(INDEX(原始資料!AE$2:AE$501,$BJ495)="","",INDEX(原始資料!AE$2:AE$501,$BJ495)))</f>
        <v/>
      </c>
      <c r="AD495" s="6">
        <f>IF(OR($BJ495="",29&gt;設定!$B$3),"",IF(INDEX(原始資料!AF$2:AF$501,$BJ495)="","",INDEX(原始資料!AF$2:AF$501,$BJ495)))</f>
        <v/>
      </c>
      <c r="AE495" s="6">
        <f>IF(OR($BJ495="",30&gt;設定!$B$3),"",IF(INDEX(原始資料!AG$2:AG$501,$BJ495)="","",INDEX(原始資料!AG$2:AG$501,$BJ495)))</f>
        <v/>
      </c>
      <c r="AF495" s="6">
        <f>IF(OR($BJ495="",31&gt;設定!$B$3),"",IF(INDEX(原始資料!AH$2:AH$501,$BJ495)="","",INDEX(原始資料!AH$2:AH$501,$BJ495)))</f>
        <v/>
      </c>
      <c r="AG495" s="6">
        <f>IF(OR($BJ495="",32&gt;設定!$B$3),"",IF(INDEX(原始資料!AI$2:AI$501,$BJ495)="","",INDEX(原始資料!AI$2:AI$501,$BJ495)))</f>
        <v/>
      </c>
      <c r="AH495" s="6">
        <f>IF(OR($BJ495="",33&gt;設定!$B$3),"",IF(INDEX(原始資料!AJ$2:AJ$501,$BJ495)="","",INDEX(原始資料!AJ$2:AJ$501,$BJ495)))</f>
        <v/>
      </c>
      <c r="AI495" s="6">
        <f>IF(OR($BJ495="",34&gt;設定!$B$3),"",IF(INDEX(原始資料!AK$2:AK$501,$BJ495)="","",INDEX(原始資料!AK$2:AK$501,$BJ495)))</f>
        <v/>
      </c>
      <c r="AJ495" s="6">
        <f>IF(OR($BJ495="",35&gt;設定!$B$3),"",IF(INDEX(原始資料!AL$2:AL$501,$BJ495)="","",INDEX(原始資料!AL$2:AL$501,$BJ495)))</f>
        <v/>
      </c>
      <c r="AK495" s="6">
        <f>IF(OR($BJ495="",36&gt;設定!$B$3),"",IF(INDEX(原始資料!AM$2:AM$501,$BJ495)="","",INDEX(原始資料!AM$2:AM$501,$BJ495)))</f>
        <v/>
      </c>
      <c r="AL495" s="6">
        <f>IF(OR($BJ495="",37&gt;設定!$B$3),"",IF(INDEX(原始資料!AN$2:AN$501,$BJ495)="","",INDEX(原始資料!AN$2:AN$501,$BJ495)))</f>
        <v/>
      </c>
      <c r="AM495" s="6">
        <f>IF(OR($BJ495="",38&gt;設定!$B$3),"",IF(INDEX(原始資料!AO$2:AO$501,$BJ495)="","",INDEX(原始資料!AO$2:AO$501,$BJ495)))</f>
        <v/>
      </c>
      <c r="AN495" s="6">
        <f>IF(OR($BJ495="",39&gt;設定!$B$3),"",IF(INDEX(原始資料!AP$2:AP$501,$BJ495)="","",INDEX(原始資料!AP$2:AP$501,$BJ495)))</f>
        <v/>
      </c>
      <c r="AO495" s="6">
        <f>IF(OR($BJ495="",40&gt;設定!$B$3),"",IF(INDEX(原始資料!AQ$2:AQ$501,$BJ495)="","",INDEX(原始資料!AQ$2:AQ$501,$BJ495)))</f>
        <v/>
      </c>
      <c r="AP495" s="6">
        <f>IF(OR($BJ495="",41&gt;設定!$B$3),"",IF(INDEX(原始資料!AR$2:AR$501,$BJ495)="","",INDEX(原始資料!AR$2:AR$501,$BJ495)))</f>
        <v/>
      </c>
      <c r="AQ495" s="6">
        <f>IF(OR($BJ495="",42&gt;設定!$B$3),"",IF(INDEX(原始資料!AS$2:AS$501,$BJ495)="","",INDEX(原始資料!AS$2:AS$501,$BJ495)))</f>
        <v/>
      </c>
      <c r="AR495" s="6">
        <f>IF(OR($BJ495="",43&gt;設定!$B$3),"",IF(INDEX(原始資料!AT$2:AT$501,$BJ495)="","",INDEX(原始資料!AT$2:AT$501,$BJ495)))</f>
        <v/>
      </c>
      <c r="AS495" s="6">
        <f>IF(OR($BJ495="",44&gt;設定!$B$3),"",IF(INDEX(原始資料!AU$2:AU$501,$BJ495)="","",INDEX(原始資料!AU$2:AU$501,$BJ495)))</f>
        <v/>
      </c>
      <c r="AT495" s="6">
        <f>IF(OR($BJ495="",45&gt;設定!$B$3),"",IF(INDEX(原始資料!AV$2:AV$501,$BJ495)="","",INDEX(原始資料!AV$2:AV$501,$BJ495)))</f>
        <v/>
      </c>
      <c r="AU495" s="6">
        <f>IF(OR($BJ495="",46&gt;設定!$B$3),"",IF(INDEX(原始資料!AW$2:AW$501,$BJ495)="","",INDEX(原始資料!AW$2:AW$501,$BJ495)))</f>
        <v/>
      </c>
      <c r="AV495" s="6">
        <f>IF(OR($BJ495="",47&gt;設定!$B$3),"",IF(INDEX(原始資料!AX$2:AX$501,$BJ495)="","",INDEX(原始資料!AX$2:AX$501,$BJ495)))</f>
        <v/>
      </c>
      <c r="AW495" s="6">
        <f>IF(OR($BJ495="",48&gt;設定!$B$3),"",IF(INDEX(原始資料!AY$2:AY$501,$BJ495)="","",INDEX(原始資料!AY$2:AY$501,$BJ495)))</f>
        <v/>
      </c>
      <c r="AX495" s="6">
        <f>IF(OR($BJ495="",49&gt;設定!$B$3),"",IF(INDEX(原始資料!AZ$2:AZ$501,$BJ495)="","",INDEX(原始資料!AZ$2:AZ$501,$BJ495)))</f>
        <v/>
      </c>
      <c r="AY495" s="6">
        <f>IF(OR($BJ495="",50&gt;設定!$B$3),"",IF(INDEX(原始資料!BA$2:BA$501,$BJ495)="","",INDEX(原始資料!BA$2:BA$501,$BJ495)))</f>
        <v/>
      </c>
      <c r="AZ495" s="6">
        <f>IF(OR($BJ495="",51&gt;設定!$B$3),"",IF(INDEX(原始資料!BB$2:BB$501,$BJ495)="","",INDEX(原始資料!BB$2:BB$501,$BJ495)))</f>
        <v/>
      </c>
      <c r="BA495" s="6">
        <f>IF(OR($BJ495="",52&gt;設定!$B$3),"",IF(INDEX(原始資料!BC$2:BC$501,$BJ495)="","",INDEX(原始資料!BC$2:BC$501,$BJ495)))</f>
        <v/>
      </c>
      <c r="BB495" s="6">
        <f>IF(OR($BJ495="",53&gt;設定!$B$3),"",IF(INDEX(原始資料!BD$2:BD$501,$BJ495)="","",INDEX(原始資料!BD$2:BD$501,$BJ495)))</f>
        <v/>
      </c>
      <c r="BC495" s="6">
        <f>IF(OR($BJ495="",54&gt;設定!$B$3),"",IF(INDEX(原始資料!BE$2:BE$501,$BJ495)="","",INDEX(原始資料!BE$2:BE$501,$BJ495)))</f>
        <v/>
      </c>
      <c r="BD495" s="6">
        <f>IF(OR($BJ495="",55&gt;設定!$B$3),"",IF(INDEX(原始資料!BF$2:BF$501,$BJ495)="","",INDEX(原始資料!BF$2:BF$501,$BJ495)))</f>
        <v/>
      </c>
      <c r="BE495" s="6">
        <f>IF(OR($BJ495="",56&gt;設定!$B$3),"",IF(INDEX(原始資料!BG$2:BG$501,$BJ495)="","",INDEX(原始資料!BG$2:BG$501,$BJ495)))</f>
        <v/>
      </c>
      <c r="BF495" s="6">
        <f>IF(OR($BJ495="",57&gt;設定!$B$3),"",IF(INDEX(原始資料!BH$2:BH$501,$BJ495)="","",INDEX(原始資料!BH$2:BH$501,$BJ495)))</f>
        <v/>
      </c>
      <c r="BG495" s="6">
        <f>IF(OR($BJ495="",58&gt;設定!$B$3),"",IF(INDEX(原始資料!BI$2:BI$501,$BJ495)="","",INDEX(原始資料!BI$2:BI$501,$BJ495)))</f>
        <v/>
      </c>
      <c r="BH495" s="6">
        <f>IF(OR($BJ495="",59&gt;設定!$B$3),"",IF(INDEX(原始資料!BJ$2:BJ$501,$BJ495)="","",INDEX(原始資料!BJ$2:BJ$501,$BJ495)))</f>
        <v/>
      </c>
      <c r="BI495" s="6">
        <f>IF(OR($BJ495="",60&gt;設定!$B$3),"",IF(INDEX(原始資料!BK$2:BK$501,$BJ495)="","",INDEX(原始資料!BK$2:BK$501,$BJ495)))</f>
        <v/>
      </c>
      <c r="BJ495" s="6">
        <f>IFERROR(MATCH(ROW()-1,判定!$H$2:$H$501,0),"")</f>
        <v/>
      </c>
    </row>
    <row r="496">
      <c r="A496" s="6">
        <f>IF($BJ496="","",INDEX(原始資料!$A$2:$A$501,$BJ496))</f>
        <v/>
      </c>
      <c r="B496" s="6">
        <f>IF(OR($BJ496="",1&gt;設定!$B$3),"",IF(INDEX(原始資料!D$2:D$501,$BJ496)="","",INDEX(原始資料!D$2:D$501,$BJ496)))</f>
        <v/>
      </c>
      <c r="C496" s="6">
        <f>IF(OR($BJ496="",2&gt;設定!$B$3),"",IF(INDEX(原始資料!E$2:E$501,$BJ496)="","",INDEX(原始資料!E$2:E$501,$BJ496)))</f>
        <v/>
      </c>
      <c r="D496" s="6">
        <f>IF(OR($BJ496="",3&gt;設定!$B$3),"",IF(INDEX(原始資料!F$2:F$501,$BJ496)="","",INDEX(原始資料!F$2:F$501,$BJ496)))</f>
        <v/>
      </c>
      <c r="E496" s="6">
        <f>IF(OR($BJ496="",4&gt;設定!$B$3),"",IF(INDEX(原始資料!G$2:G$501,$BJ496)="","",INDEX(原始資料!G$2:G$501,$BJ496)))</f>
        <v/>
      </c>
      <c r="F496" s="6">
        <f>IF(OR($BJ496="",5&gt;設定!$B$3),"",IF(INDEX(原始資料!H$2:H$501,$BJ496)="","",INDEX(原始資料!H$2:H$501,$BJ496)))</f>
        <v/>
      </c>
      <c r="G496" s="6">
        <f>IF(OR($BJ496="",6&gt;設定!$B$3),"",IF(INDEX(原始資料!I$2:I$501,$BJ496)="","",INDEX(原始資料!I$2:I$501,$BJ496)))</f>
        <v/>
      </c>
      <c r="H496" s="6">
        <f>IF(OR($BJ496="",7&gt;設定!$B$3),"",IF(INDEX(原始資料!J$2:J$501,$BJ496)="","",INDEX(原始資料!J$2:J$501,$BJ496)))</f>
        <v/>
      </c>
      <c r="I496" s="6">
        <f>IF(OR($BJ496="",8&gt;設定!$B$3),"",IF(INDEX(原始資料!K$2:K$501,$BJ496)="","",INDEX(原始資料!K$2:K$501,$BJ496)))</f>
        <v/>
      </c>
      <c r="J496" s="6">
        <f>IF(OR($BJ496="",9&gt;設定!$B$3),"",IF(INDEX(原始資料!L$2:L$501,$BJ496)="","",INDEX(原始資料!L$2:L$501,$BJ496)))</f>
        <v/>
      </c>
      <c r="K496" s="6">
        <f>IF(OR($BJ496="",10&gt;設定!$B$3),"",IF(INDEX(原始資料!M$2:M$501,$BJ496)="","",INDEX(原始資料!M$2:M$501,$BJ496)))</f>
        <v/>
      </c>
      <c r="L496" s="6">
        <f>IF(OR($BJ496="",11&gt;設定!$B$3),"",IF(INDEX(原始資料!N$2:N$501,$BJ496)="","",INDEX(原始資料!N$2:N$501,$BJ496)))</f>
        <v/>
      </c>
      <c r="M496" s="6">
        <f>IF(OR($BJ496="",12&gt;設定!$B$3),"",IF(INDEX(原始資料!O$2:O$501,$BJ496)="","",INDEX(原始資料!O$2:O$501,$BJ496)))</f>
        <v/>
      </c>
      <c r="N496" s="6">
        <f>IF(OR($BJ496="",13&gt;設定!$B$3),"",IF(INDEX(原始資料!P$2:P$501,$BJ496)="","",INDEX(原始資料!P$2:P$501,$BJ496)))</f>
        <v/>
      </c>
      <c r="O496" s="6">
        <f>IF(OR($BJ496="",14&gt;設定!$B$3),"",IF(INDEX(原始資料!Q$2:Q$501,$BJ496)="","",INDEX(原始資料!Q$2:Q$501,$BJ496)))</f>
        <v/>
      </c>
      <c r="P496" s="6">
        <f>IF(OR($BJ496="",15&gt;設定!$B$3),"",IF(INDEX(原始資料!R$2:R$501,$BJ496)="","",INDEX(原始資料!R$2:R$501,$BJ496)))</f>
        <v/>
      </c>
      <c r="Q496" s="6">
        <f>IF(OR($BJ496="",16&gt;設定!$B$3),"",IF(INDEX(原始資料!S$2:S$501,$BJ496)="","",INDEX(原始資料!S$2:S$501,$BJ496)))</f>
        <v/>
      </c>
      <c r="R496" s="6">
        <f>IF(OR($BJ496="",17&gt;設定!$B$3),"",IF(INDEX(原始資料!T$2:T$501,$BJ496)="","",INDEX(原始資料!T$2:T$501,$BJ496)))</f>
        <v/>
      </c>
      <c r="S496" s="6">
        <f>IF(OR($BJ496="",18&gt;設定!$B$3),"",IF(INDEX(原始資料!U$2:U$501,$BJ496)="","",INDEX(原始資料!U$2:U$501,$BJ496)))</f>
        <v/>
      </c>
      <c r="T496" s="6">
        <f>IF(OR($BJ496="",19&gt;設定!$B$3),"",IF(INDEX(原始資料!V$2:V$501,$BJ496)="","",INDEX(原始資料!V$2:V$501,$BJ496)))</f>
        <v/>
      </c>
      <c r="U496" s="6">
        <f>IF(OR($BJ496="",20&gt;設定!$B$3),"",IF(INDEX(原始資料!W$2:W$501,$BJ496)="","",INDEX(原始資料!W$2:W$501,$BJ496)))</f>
        <v/>
      </c>
      <c r="V496" s="6">
        <f>IF(OR($BJ496="",21&gt;設定!$B$3),"",IF(INDEX(原始資料!X$2:X$501,$BJ496)="","",INDEX(原始資料!X$2:X$501,$BJ496)))</f>
        <v/>
      </c>
      <c r="W496" s="6">
        <f>IF(OR($BJ496="",22&gt;設定!$B$3),"",IF(INDEX(原始資料!Y$2:Y$501,$BJ496)="","",INDEX(原始資料!Y$2:Y$501,$BJ496)))</f>
        <v/>
      </c>
      <c r="X496" s="6">
        <f>IF(OR($BJ496="",23&gt;設定!$B$3),"",IF(INDEX(原始資料!Z$2:Z$501,$BJ496)="","",INDEX(原始資料!Z$2:Z$501,$BJ496)))</f>
        <v/>
      </c>
      <c r="Y496" s="6">
        <f>IF(OR($BJ496="",24&gt;設定!$B$3),"",IF(INDEX(原始資料!AA$2:AA$501,$BJ496)="","",INDEX(原始資料!AA$2:AA$501,$BJ496)))</f>
        <v/>
      </c>
      <c r="Z496" s="6">
        <f>IF(OR($BJ496="",25&gt;設定!$B$3),"",IF(INDEX(原始資料!AB$2:AB$501,$BJ496)="","",INDEX(原始資料!AB$2:AB$501,$BJ496)))</f>
        <v/>
      </c>
      <c r="AA496" s="6">
        <f>IF(OR($BJ496="",26&gt;設定!$B$3),"",IF(INDEX(原始資料!AC$2:AC$501,$BJ496)="","",INDEX(原始資料!AC$2:AC$501,$BJ496)))</f>
        <v/>
      </c>
      <c r="AB496" s="6">
        <f>IF(OR($BJ496="",27&gt;設定!$B$3),"",IF(INDEX(原始資料!AD$2:AD$501,$BJ496)="","",INDEX(原始資料!AD$2:AD$501,$BJ496)))</f>
        <v/>
      </c>
      <c r="AC496" s="6">
        <f>IF(OR($BJ496="",28&gt;設定!$B$3),"",IF(INDEX(原始資料!AE$2:AE$501,$BJ496)="","",INDEX(原始資料!AE$2:AE$501,$BJ496)))</f>
        <v/>
      </c>
      <c r="AD496" s="6">
        <f>IF(OR($BJ496="",29&gt;設定!$B$3),"",IF(INDEX(原始資料!AF$2:AF$501,$BJ496)="","",INDEX(原始資料!AF$2:AF$501,$BJ496)))</f>
        <v/>
      </c>
      <c r="AE496" s="6">
        <f>IF(OR($BJ496="",30&gt;設定!$B$3),"",IF(INDEX(原始資料!AG$2:AG$501,$BJ496)="","",INDEX(原始資料!AG$2:AG$501,$BJ496)))</f>
        <v/>
      </c>
      <c r="AF496" s="6">
        <f>IF(OR($BJ496="",31&gt;設定!$B$3),"",IF(INDEX(原始資料!AH$2:AH$501,$BJ496)="","",INDEX(原始資料!AH$2:AH$501,$BJ496)))</f>
        <v/>
      </c>
      <c r="AG496" s="6">
        <f>IF(OR($BJ496="",32&gt;設定!$B$3),"",IF(INDEX(原始資料!AI$2:AI$501,$BJ496)="","",INDEX(原始資料!AI$2:AI$501,$BJ496)))</f>
        <v/>
      </c>
      <c r="AH496" s="6">
        <f>IF(OR($BJ496="",33&gt;設定!$B$3),"",IF(INDEX(原始資料!AJ$2:AJ$501,$BJ496)="","",INDEX(原始資料!AJ$2:AJ$501,$BJ496)))</f>
        <v/>
      </c>
      <c r="AI496" s="6">
        <f>IF(OR($BJ496="",34&gt;設定!$B$3),"",IF(INDEX(原始資料!AK$2:AK$501,$BJ496)="","",INDEX(原始資料!AK$2:AK$501,$BJ496)))</f>
        <v/>
      </c>
      <c r="AJ496" s="6">
        <f>IF(OR($BJ496="",35&gt;設定!$B$3),"",IF(INDEX(原始資料!AL$2:AL$501,$BJ496)="","",INDEX(原始資料!AL$2:AL$501,$BJ496)))</f>
        <v/>
      </c>
      <c r="AK496" s="6">
        <f>IF(OR($BJ496="",36&gt;設定!$B$3),"",IF(INDEX(原始資料!AM$2:AM$501,$BJ496)="","",INDEX(原始資料!AM$2:AM$501,$BJ496)))</f>
        <v/>
      </c>
      <c r="AL496" s="6">
        <f>IF(OR($BJ496="",37&gt;設定!$B$3),"",IF(INDEX(原始資料!AN$2:AN$501,$BJ496)="","",INDEX(原始資料!AN$2:AN$501,$BJ496)))</f>
        <v/>
      </c>
      <c r="AM496" s="6">
        <f>IF(OR($BJ496="",38&gt;設定!$B$3),"",IF(INDEX(原始資料!AO$2:AO$501,$BJ496)="","",INDEX(原始資料!AO$2:AO$501,$BJ496)))</f>
        <v/>
      </c>
      <c r="AN496" s="6">
        <f>IF(OR($BJ496="",39&gt;設定!$B$3),"",IF(INDEX(原始資料!AP$2:AP$501,$BJ496)="","",INDEX(原始資料!AP$2:AP$501,$BJ496)))</f>
        <v/>
      </c>
      <c r="AO496" s="6">
        <f>IF(OR($BJ496="",40&gt;設定!$B$3),"",IF(INDEX(原始資料!AQ$2:AQ$501,$BJ496)="","",INDEX(原始資料!AQ$2:AQ$501,$BJ496)))</f>
        <v/>
      </c>
      <c r="AP496" s="6">
        <f>IF(OR($BJ496="",41&gt;設定!$B$3),"",IF(INDEX(原始資料!AR$2:AR$501,$BJ496)="","",INDEX(原始資料!AR$2:AR$501,$BJ496)))</f>
        <v/>
      </c>
      <c r="AQ496" s="6">
        <f>IF(OR($BJ496="",42&gt;設定!$B$3),"",IF(INDEX(原始資料!AS$2:AS$501,$BJ496)="","",INDEX(原始資料!AS$2:AS$501,$BJ496)))</f>
        <v/>
      </c>
      <c r="AR496" s="6">
        <f>IF(OR($BJ496="",43&gt;設定!$B$3),"",IF(INDEX(原始資料!AT$2:AT$501,$BJ496)="","",INDEX(原始資料!AT$2:AT$501,$BJ496)))</f>
        <v/>
      </c>
      <c r="AS496" s="6">
        <f>IF(OR($BJ496="",44&gt;設定!$B$3),"",IF(INDEX(原始資料!AU$2:AU$501,$BJ496)="","",INDEX(原始資料!AU$2:AU$501,$BJ496)))</f>
        <v/>
      </c>
      <c r="AT496" s="6">
        <f>IF(OR($BJ496="",45&gt;設定!$B$3),"",IF(INDEX(原始資料!AV$2:AV$501,$BJ496)="","",INDEX(原始資料!AV$2:AV$501,$BJ496)))</f>
        <v/>
      </c>
      <c r="AU496" s="6">
        <f>IF(OR($BJ496="",46&gt;設定!$B$3),"",IF(INDEX(原始資料!AW$2:AW$501,$BJ496)="","",INDEX(原始資料!AW$2:AW$501,$BJ496)))</f>
        <v/>
      </c>
      <c r="AV496" s="6">
        <f>IF(OR($BJ496="",47&gt;設定!$B$3),"",IF(INDEX(原始資料!AX$2:AX$501,$BJ496)="","",INDEX(原始資料!AX$2:AX$501,$BJ496)))</f>
        <v/>
      </c>
      <c r="AW496" s="6">
        <f>IF(OR($BJ496="",48&gt;設定!$B$3),"",IF(INDEX(原始資料!AY$2:AY$501,$BJ496)="","",INDEX(原始資料!AY$2:AY$501,$BJ496)))</f>
        <v/>
      </c>
      <c r="AX496" s="6">
        <f>IF(OR($BJ496="",49&gt;設定!$B$3),"",IF(INDEX(原始資料!AZ$2:AZ$501,$BJ496)="","",INDEX(原始資料!AZ$2:AZ$501,$BJ496)))</f>
        <v/>
      </c>
      <c r="AY496" s="6">
        <f>IF(OR($BJ496="",50&gt;設定!$B$3),"",IF(INDEX(原始資料!BA$2:BA$501,$BJ496)="","",INDEX(原始資料!BA$2:BA$501,$BJ496)))</f>
        <v/>
      </c>
      <c r="AZ496" s="6">
        <f>IF(OR($BJ496="",51&gt;設定!$B$3),"",IF(INDEX(原始資料!BB$2:BB$501,$BJ496)="","",INDEX(原始資料!BB$2:BB$501,$BJ496)))</f>
        <v/>
      </c>
      <c r="BA496" s="6">
        <f>IF(OR($BJ496="",52&gt;設定!$B$3),"",IF(INDEX(原始資料!BC$2:BC$501,$BJ496)="","",INDEX(原始資料!BC$2:BC$501,$BJ496)))</f>
        <v/>
      </c>
      <c r="BB496" s="6">
        <f>IF(OR($BJ496="",53&gt;設定!$B$3),"",IF(INDEX(原始資料!BD$2:BD$501,$BJ496)="","",INDEX(原始資料!BD$2:BD$501,$BJ496)))</f>
        <v/>
      </c>
      <c r="BC496" s="6">
        <f>IF(OR($BJ496="",54&gt;設定!$B$3),"",IF(INDEX(原始資料!BE$2:BE$501,$BJ496)="","",INDEX(原始資料!BE$2:BE$501,$BJ496)))</f>
        <v/>
      </c>
      <c r="BD496" s="6">
        <f>IF(OR($BJ496="",55&gt;設定!$B$3),"",IF(INDEX(原始資料!BF$2:BF$501,$BJ496)="","",INDEX(原始資料!BF$2:BF$501,$BJ496)))</f>
        <v/>
      </c>
      <c r="BE496" s="6">
        <f>IF(OR($BJ496="",56&gt;設定!$B$3),"",IF(INDEX(原始資料!BG$2:BG$501,$BJ496)="","",INDEX(原始資料!BG$2:BG$501,$BJ496)))</f>
        <v/>
      </c>
      <c r="BF496" s="6">
        <f>IF(OR($BJ496="",57&gt;設定!$B$3),"",IF(INDEX(原始資料!BH$2:BH$501,$BJ496)="","",INDEX(原始資料!BH$2:BH$501,$BJ496)))</f>
        <v/>
      </c>
      <c r="BG496" s="6">
        <f>IF(OR($BJ496="",58&gt;設定!$B$3),"",IF(INDEX(原始資料!BI$2:BI$501,$BJ496)="","",INDEX(原始資料!BI$2:BI$501,$BJ496)))</f>
        <v/>
      </c>
      <c r="BH496" s="6">
        <f>IF(OR($BJ496="",59&gt;設定!$B$3),"",IF(INDEX(原始資料!BJ$2:BJ$501,$BJ496)="","",INDEX(原始資料!BJ$2:BJ$501,$BJ496)))</f>
        <v/>
      </c>
      <c r="BI496" s="6">
        <f>IF(OR($BJ496="",60&gt;設定!$B$3),"",IF(INDEX(原始資料!BK$2:BK$501,$BJ496)="","",INDEX(原始資料!BK$2:BK$501,$BJ496)))</f>
        <v/>
      </c>
      <c r="BJ496" s="6">
        <f>IFERROR(MATCH(ROW()-1,判定!$H$2:$H$501,0),"")</f>
        <v/>
      </c>
    </row>
    <row r="497">
      <c r="A497" s="6">
        <f>IF($BJ497="","",INDEX(原始資料!$A$2:$A$501,$BJ497))</f>
        <v/>
      </c>
      <c r="B497" s="6">
        <f>IF(OR($BJ497="",1&gt;設定!$B$3),"",IF(INDEX(原始資料!D$2:D$501,$BJ497)="","",INDEX(原始資料!D$2:D$501,$BJ497)))</f>
        <v/>
      </c>
      <c r="C497" s="6">
        <f>IF(OR($BJ497="",2&gt;設定!$B$3),"",IF(INDEX(原始資料!E$2:E$501,$BJ497)="","",INDEX(原始資料!E$2:E$501,$BJ497)))</f>
        <v/>
      </c>
      <c r="D497" s="6">
        <f>IF(OR($BJ497="",3&gt;設定!$B$3),"",IF(INDEX(原始資料!F$2:F$501,$BJ497)="","",INDEX(原始資料!F$2:F$501,$BJ497)))</f>
        <v/>
      </c>
      <c r="E497" s="6">
        <f>IF(OR($BJ497="",4&gt;設定!$B$3),"",IF(INDEX(原始資料!G$2:G$501,$BJ497)="","",INDEX(原始資料!G$2:G$501,$BJ497)))</f>
        <v/>
      </c>
      <c r="F497" s="6">
        <f>IF(OR($BJ497="",5&gt;設定!$B$3),"",IF(INDEX(原始資料!H$2:H$501,$BJ497)="","",INDEX(原始資料!H$2:H$501,$BJ497)))</f>
        <v/>
      </c>
      <c r="G497" s="6">
        <f>IF(OR($BJ497="",6&gt;設定!$B$3),"",IF(INDEX(原始資料!I$2:I$501,$BJ497)="","",INDEX(原始資料!I$2:I$501,$BJ497)))</f>
        <v/>
      </c>
      <c r="H497" s="6">
        <f>IF(OR($BJ497="",7&gt;設定!$B$3),"",IF(INDEX(原始資料!J$2:J$501,$BJ497)="","",INDEX(原始資料!J$2:J$501,$BJ497)))</f>
        <v/>
      </c>
      <c r="I497" s="6">
        <f>IF(OR($BJ497="",8&gt;設定!$B$3),"",IF(INDEX(原始資料!K$2:K$501,$BJ497)="","",INDEX(原始資料!K$2:K$501,$BJ497)))</f>
        <v/>
      </c>
      <c r="J497" s="6">
        <f>IF(OR($BJ497="",9&gt;設定!$B$3),"",IF(INDEX(原始資料!L$2:L$501,$BJ497)="","",INDEX(原始資料!L$2:L$501,$BJ497)))</f>
        <v/>
      </c>
      <c r="K497" s="6">
        <f>IF(OR($BJ497="",10&gt;設定!$B$3),"",IF(INDEX(原始資料!M$2:M$501,$BJ497)="","",INDEX(原始資料!M$2:M$501,$BJ497)))</f>
        <v/>
      </c>
      <c r="L497" s="6">
        <f>IF(OR($BJ497="",11&gt;設定!$B$3),"",IF(INDEX(原始資料!N$2:N$501,$BJ497)="","",INDEX(原始資料!N$2:N$501,$BJ497)))</f>
        <v/>
      </c>
      <c r="M497" s="6">
        <f>IF(OR($BJ497="",12&gt;設定!$B$3),"",IF(INDEX(原始資料!O$2:O$501,$BJ497)="","",INDEX(原始資料!O$2:O$501,$BJ497)))</f>
        <v/>
      </c>
      <c r="N497" s="6">
        <f>IF(OR($BJ497="",13&gt;設定!$B$3),"",IF(INDEX(原始資料!P$2:P$501,$BJ497)="","",INDEX(原始資料!P$2:P$501,$BJ497)))</f>
        <v/>
      </c>
      <c r="O497" s="6">
        <f>IF(OR($BJ497="",14&gt;設定!$B$3),"",IF(INDEX(原始資料!Q$2:Q$501,$BJ497)="","",INDEX(原始資料!Q$2:Q$501,$BJ497)))</f>
        <v/>
      </c>
      <c r="P497" s="6">
        <f>IF(OR($BJ497="",15&gt;設定!$B$3),"",IF(INDEX(原始資料!R$2:R$501,$BJ497)="","",INDEX(原始資料!R$2:R$501,$BJ497)))</f>
        <v/>
      </c>
      <c r="Q497" s="6">
        <f>IF(OR($BJ497="",16&gt;設定!$B$3),"",IF(INDEX(原始資料!S$2:S$501,$BJ497)="","",INDEX(原始資料!S$2:S$501,$BJ497)))</f>
        <v/>
      </c>
      <c r="R497" s="6">
        <f>IF(OR($BJ497="",17&gt;設定!$B$3),"",IF(INDEX(原始資料!T$2:T$501,$BJ497)="","",INDEX(原始資料!T$2:T$501,$BJ497)))</f>
        <v/>
      </c>
      <c r="S497" s="6">
        <f>IF(OR($BJ497="",18&gt;設定!$B$3),"",IF(INDEX(原始資料!U$2:U$501,$BJ497)="","",INDEX(原始資料!U$2:U$501,$BJ497)))</f>
        <v/>
      </c>
      <c r="T497" s="6">
        <f>IF(OR($BJ497="",19&gt;設定!$B$3),"",IF(INDEX(原始資料!V$2:V$501,$BJ497)="","",INDEX(原始資料!V$2:V$501,$BJ497)))</f>
        <v/>
      </c>
      <c r="U497" s="6">
        <f>IF(OR($BJ497="",20&gt;設定!$B$3),"",IF(INDEX(原始資料!W$2:W$501,$BJ497)="","",INDEX(原始資料!W$2:W$501,$BJ497)))</f>
        <v/>
      </c>
      <c r="V497" s="6">
        <f>IF(OR($BJ497="",21&gt;設定!$B$3),"",IF(INDEX(原始資料!X$2:X$501,$BJ497)="","",INDEX(原始資料!X$2:X$501,$BJ497)))</f>
        <v/>
      </c>
      <c r="W497" s="6">
        <f>IF(OR($BJ497="",22&gt;設定!$B$3),"",IF(INDEX(原始資料!Y$2:Y$501,$BJ497)="","",INDEX(原始資料!Y$2:Y$501,$BJ497)))</f>
        <v/>
      </c>
      <c r="X497" s="6">
        <f>IF(OR($BJ497="",23&gt;設定!$B$3),"",IF(INDEX(原始資料!Z$2:Z$501,$BJ497)="","",INDEX(原始資料!Z$2:Z$501,$BJ497)))</f>
        <v/>
      </c>
      <c r="Y497" s="6">
        <f>IF(OR($BJ497="",24&gt;設定!$B$3),"",IF(INDEX(原始資料!AA$2:AA$501,$BJ497)="","",INDEX(原始資料!AA$2:AA$501,$BJ497)))</f>
        <v/>
      </c>
      <c r="Z497" s="6">
        <f>IF(OR($BJ497="",25&gt;設定!$B$3),"",IF(INDEX(原始資料!AB$2:AB$501,$BJ497)="","",INDEX(原始資料!AB$2:AB$501,$BJ497)))</f>
        <v/>
      </c>
      <c r="AA497" s="6">
        <f>IF(OR($BJ497="",26&gt;設定!$B$3),"",IF(INDEX(原始資料!AC$2:AC$501,$BJ497)="","",INDEX(原始資料!AC$2:AC$501,$BJ497)))</f>
        <v/>
      </c>
      <c r="AB497" s="6">
        <f>IF(OR($BJ497="",27&gt;設定!$B$3),"",IF(INDEX(原始資料!AD$2:AD$501,$BJ497)="","",INDEX(原始資料!AD$2:AD$501,$BJ497)))</f>
        <v/>
      </c>
      <c r="AC497" s="6">
        <f>IF(OR($BJ497="",28&gt;設定!$B$3),"",IF(INDEX(原始資料!AE$2:AE$501,$BJ497)="","",INDEX(原始資料!AE$2:AE$501,$BJ497)))</f>
        <v/>
      </c>
      <c r="AD497" s="6">
        <f>IF(OR($BJ497="",29&gt;設定!$B$3),"",IF(INDEX(原始資料!AF$2:AF$501,$BJ497)="","",INDEX(原始資料!AF$2:AF$501,$BJ497)))</f>
        <v/>
      </c>
      <c r="AE497" s="6">
        <f>IF(OR($BJ497="",30&gt;設定!$B$3),"",IF(INDEX(原始資料!AG$2:AG$501,$BJ497)="","",INDEX(原始資料!AG$2:AG$501,$BJ497)))</f>
        <v/>
      </c>
      <c r="AF497" s="6">
        <f>IF(OR($BJ497="",31&gt;設定!$B$3),"",IF(INDEX(原始資料!AH$2:AH$501,$BJ497)="","",INDEX(原始資料!AH$2:AH$501,$BJ497)))</f>
        <v/>
      </c>
      <c r="AG497" s="6">
        <f>IF(OR($BJ497="",32&gt;設定!$B$3),"",IF(INDEX(原始資料!AI$2:AI$501,$BJ497)="","",INDEX(原始資料!AI$2:AI$501,$BJ497)))</f>
        <v/>
      </c>
      <c r="AH497" s="6">
        <f>IF(OR($BJ497="",33&gt;設定!$B$3),"",IF(INDEX(原始資料!AJ$2:AJ$501,$BJ497)="","",INDEX(原始資料!AJ$2:AJ$501,$BJ497)))</f>
        <v/>
      </c>
      <c r="AI497" s="6">
        <f>IF(OR($BJ497="",34&gt;設定!$B$3),"",IF(INDEX(原始資料!AK$2:AK$501,$BJ497)="","",INDEX(原始資料!AK$2:AK$501,$BJ497)))</f>
        <v/>
      </c>
      <c r="AJ497" s="6">
        <f>IF(OR($BJ497="",35&gt;設定!$B$3),"",IF(INDEX(原始資料!AL$2:AL$501,$BJ497)="","",INDEX(原始資料!AL$2:AL$501,$BJ497)))</f>
        <v/>
      </c>
      <c r="AK497" s="6">
        <f>IF(OR($BJ497="",36&gt;設定!$B$3),"",IF(INDEX(原始資料!AM$2:AM$501,$BJ497)="","",INDEX(原始資料!AM$2:AM$501,$BJ497)))</f>
        <v/>
      </c>
      <c r="AL497" s="6">
        <f>IF(OR($BJ497="",37&gt;設定!$B$3),"",IF(INDEX(原始資料!AN$2:AN$501,$BJ497)="","",INDEX(原始資料!AN$2:AN$501,$BJ497)))</f>
        <v/>
      </c>
      <c r="AM497" s="6">
        <f>IF(OR($BJ497="",38&gt;設定!$B$3),"",IF(INDEX(原始資料!AO$2:AO$501,$BJ497)="","",INDEX(原始資料!AO$2:AO$501,$BJ497)))</f>
        <v/>
      </c>
      <c r="AN497" s="6">
        <f>IF(OR($BJ497="",39&gt;設定!$B$3),"",IF(INDEX(原始資料!AP$2:AP$501,$BJ497)="","",INDEX(原始資料!AP$2:AP$501,$BJ497)))</f>
        <v/>
      </c>
      <c r="AO497" s="6">
        <f>IF(OR($BJ497="",40&gt;設定!$B$3),"",IF(INDEX(原始資料!AQ$2:AQ$501,$BJ497)="","",INDEX(原始資料!AQ$2:AQ$501,$BJ497)))</f>
        <v/>
      </c>
      <c r="AP497" s="6">
        <f>IF(OR($BJ497="",41&gt;設定!$B$3),"",IF(INDEX(原始資料!AR$2:AR$501,$BJ497)="","",INDEX(原始資料!AR$2:AR$501,$BJ497)))</f>
        <v/>
      </c>
      <c r="AQ497" s="6">
        <f>IF(OR($BJ497="",42&gt;設定!$B$3),"",IF(INDEX(原始資料!AS$2:AS$501,$BJ497)="","",INDEX(原始資料!AS$2:AS$501,$BJ497)))</f>
        <v/>
      </c>
      <c r="AR497" s="6">
        <f>IF(OR($BJ497="",43&gt;設定!$B$3),"",IF(INDEX(原始資料!AT$2:AT$501,$BJ497)="","",INDEX(原始資料!AT$2:AT$501,$BJ497)))</f>
        <v/>
      </c>
      <c r="AS497" s="6">
        <f>IF(OR($BJ497="",44&gt;設定!$B$3),"",IF(INDEX(原始資料!AU$2:AU$501,$BJ497)="","",INDEX(原始資料!AU$2:AU$501,$BJ497)))</f>
        <v/>
      </c>
      <c r="AT497" s="6">
        <f>IF(OR($BJ497="",45&gt;設定!$B$3),"",IF(INDEX(原始資料!AV$2:AV$501,$BJ497)="","",INDEX(原始資料!AV$2:AV$501,$BJ497)))</f>
        <v/>
      </c>
      <c r="AU497" s="6">
        <f>IF(OR($BJ497="",46&gt;設定!$B$3),"",IF(INDEX(原始資料!AW$2:AW$501,$BJ497)="","",INDEX(原始資料!AW$2:AW$501,$BJ497)))</f>
        <v/>
      </c>
      <c r="AV497" s="6">
        <f>IF(OR($BJ497="",47&gt;設定!$B$3),"",IF(INDEX(原始資料!AX$2:AX$501,$BJ497)="","",INDEX(原始資料!AX$2:AX$501,$BJ497)))</f>
        <v/>
      </c>
      <c r="AW497" s="6">
        <f>IF(OR($BJ497="",48&gt;設定!$B$3),"",IF(INDEX(原始資料!AY$2:AY$501,$BJ497)="","",INDEX(原始資料!AY$2:AY$501,$BJ497)))</f>
        <v/>
      </c>
      <c r="AX497" s="6">
        <f>IF(OR($BJ497="",49&gt;設定!$B$3),"",IF(INDEX(原始資料!AZ$2:AZ$501,$BJ497)="","",INDEX(原始資料!AZ$2:AZ$501,$BJ497)))</f>
        <v/>
      </c>
      <c r="AY497" s="6">
        <f>IF(OR($BJ497="",50&gt;設定!$B$3),"",IF(INDEX(原始資料!BA$2:BA$501,$BJ497)="","",INDEX(原始資料!BA$2:BA$501,$BJ497)))</f>
        <v/>
      </c>
      <c r="AZ497" s="6">
        <f>IF(OR($BJ497="",51&gt;設定!$B$3),"",IF(INDEX(原始資料!BB$2:BB$501,$BJ497)="","",INDEX(原始資料!BB$2:BB$501,$BJ497)))</f>
        <v/>
      </c>
      <c r="BA497" s="6">
        <f>IF(OR($BJ497="",52&gt;設定!$B$3),"",IF(INDEX(原始資料!BC$2:BC$501,$BJ497)="","",INDEX(原始資料!BC$2:BC$501,$BJ497)))</f>
        <v/>
      </c>
      <c r="BB497" s="6">
        <f>IF(OR($BJ497="",53&gt;設定!$B$3),"",IF(INDEX(原始資料!BD$2:BD$501,$BJ497)="","",INDEX(原始資料!BD$2:BD$501,$BJ497)))</f>
        <v/>
      </c>
      <c r="BC497" s="6">
        <f>IF(OR($BJ497="",54&gt;設定!$B$3),"",IF(INDEX(原始資料!BE$2:BE$501,$BJ497)="","",INDEX(原始資料!BE$2:BE$501,$BJ497)))</f>
        <v/>
      </c>
      <c r="BD497" s="6">
        <f>IF(OR($BJ497="",55&gt;設定!$B$3),"",IF(INDEX(原始資料!BF$2:BF$501,$BJ497)="","",INDEX(原始資料!BF$2:BF$501,$BJ497)))</f>
        <v/>
      </c>
      <c r="BE497" s="6">
        <f>IF(OR($BJ497="",56&gt;設定!$B$3),"",IF(INDEX(原始資料!BG$2:BG$501,$BJ497)="","",INDEX(原始資料!BG$2:BG$501,$BJ497)))</f>
        <v/>
      </c>
      <c r="BF497" s="6">
        <f>IF(OR($BJ497="",57&gt;設定!$B$3),"",IF(INDEX(原始資料!BH$2:BH$501,$BJ497)="","",INDEX(原始資料!BH$2:BH$501,$BJ497)))</f>
        <v/>
      </c>
      <c r="BG497" s="6">
        <f>IF(OR($BJ497="",58&gt;設定!$B$3),"",IF(INDEX(原始資料!BI$2:BI$501,$BJ497)="","",INDEX(原始資料!BI$2:BI$501,$BJ497)))</f>
        <v/>
      </c>
      <c r="BH497" s="6">
        <f>IF(OR($BJ497="",59&gt;設定!$B$3),"",IF(INDEX(原始資料!BJ$2:BJ$501,$BJ497)="","",INDEX(原始資料!BJ$2:BJ$501,$BJ497)))</f>
        <v/>
      </c>
      <c r="BI497" s="6">
        <f>IF(OR($BJ497="",60&gt;設定!$B$3),"",IF(INDEX(原始資料!BK$2:BK$501,$BJ497)="","",INDEX(原始資料!BK$2:BK$501,$BJ497)))</f>
        <v/>
      </c>
      <c r="BJ497" s="6">
        <f>IFERROR(MATCH(ROW()-1,判定!$H$2:$H$501,0),"")</f>
        <v/>
      </c>
    </row>
    <row r="498">
      <c r="A498" s="6">
        <f>IF($BJ498="","",INDEX(原始資料!$A$2:$A$501,$BJ498))</f>
        <v/>
      </c>
      <c r="B498" s="6">
        <f>IF(OR($BJ498="",1&gt;設定!$B$3),"",IF(INDEX(原始資料!D$2:D$501,$BJ498)="","",INDEX(原始資料!D$2:D$501,$BJ498)))</f>
        <v/>
      </c>
      <c r="C498" s="6">
        <f>IF(OR($BJ498="",2&gt;設定!$B$3),"",IF(INDEX(原始資料!E$2:E$501,$BJ498)="","",INDEX(原始資料!E$2:E$501,$BJ498)))</f>
        <v/>
      </c>
      <c r="D498" s="6">
        <f>IF(OR($BJ498="",3&gt;設定!$B$3),"",IF(INDEX(原始資料!F$2:F$501,$BJ498)="","",INDEX(原始資料!F$2:F$501,$BJ498)))</f>
        <v/>
      </c>
      <c r="E498" s="6">
        <f>IF(OR($BJ498="",4&gt;設定!$B$3),"",IF(INDEX(原始資料!G$2:G$501,$BJ498)="","",INDEX(原始資料!G$2:G$501,$BJ498)))</f>
        <v/>
      </c>
      <c r="F498" s="6">
        <f>IF(OR($BJ498="",5&gt;設定!$B$3),"",IF(INDEX(原始資料!H$2:H$501,$BJ498)="","",INDEX(原始資料!H$2:H$501,$BJ498)))</f>
        <v/>
      </c>
      <c r="G498" s="6">
        <f>IF(OR($BJ498="",6&gt;設定!$B$3),"",IF(INDEX(原始資料!I$2:I$501,$BJ498)="","",INDEX(原始資料!I$2:I$501,$BJ498)))</f>
        <v/>
      </c>
      <c r="H498" s="6">
        <f>IF(OR($BJ498="",7&gt;設定!$B$3),"",IF(INDEX(原始資料!J$2:J$501,$BJ498)="","",INDEX(原始資料!J$2:J$501,$BJ498)))</f>
        <v/>
      </c>
      <c r="I498" s="6">
        <f>IF(OR($BJ498="",8&gt;設定!$B$3),"",IF(INDEX(原始資料!K$2:K$501,$BJ498)="","",INDEX(原始資料!K$2:K$501,$BJ498)))</f>
        <v/>
      </c>
      <c r="J498" s="6">
        <f>IF(OR($BJ498="",9&gt;設定!$B$3),"",IF(INDEX(原始資料!L$2:L$501,$BJ498)="","",INDEX(原始資料!L$2:L$501,$BJ498)))</f>
        <v/>
      </c>
      <c r="K498" s="6">
        <f>IF(OR($BJ498="",10&gt;設定!$B$3),"",IF(INDEX(原始資料!M$2:M$501,$BJ498)="","",INDEX(原始資料!M$2:M$501,$BJ498)))</f>
        <v/>
      </c>
      <c r="L498" s="6">
        <f>IF(OR($BJ498="",11&gt;設定!$B$3),"",IF(INDEX(原始資料!N$2:N$501,$BJ498)="","",INDEX(原始資料!N$2:N$501,$BJ498)))</f>
        <v/>
      </c>
      <c r="M498" s="6">
        <f>IF(OR($BJ498="",12&gt;設定!$B$3),"",IF(INDEX(原始資料!O$2:O$501,$BJ498)="","",INDEX(原始資料!O$2:O$501,$BJ498)))</f>
        <v/>
      </c>
      <c r="N498" s="6">
        <f>IF(OR($BJ498="",13&gt;設定!$B$3),"",IF(INDEX(原始資料!P$2:P$501,$BJ498)="","",INDEX(原始資料!P$2:P$501,$BJ498)))</f>
        <v/>
      </c>
      <c r="O498" s="6">
        <f>IF(OR($BJ498="",14&gt;設定!$B$3),"",IF(INDEX(原始資料!Q$2:Q$501,$BJ498)="","",INDEX(原始資料!Q$2:Q$501,$BJ498)))</f>
        <v/>
      </c>
      <c r="P498" s="6">
        <f>IF(OR($BJ498="",15&gt;設定!$B$3),"",IF(INDEX(原始資料!R$2:R$501,$BJ498)="","",INDEX(原始資料!R$2:R$501,$BJ498)))</f>
        <v/>
      </c>
      <c r="Q498" s="6">
        <f>IF(OR($BJ498="",16&gt;設定!$B$3),"",IF(INDEX(原始資料!S$2:S$501,$BJ498)="","",INDEX(原始資料!S$2:S$501,$BJ498)))</f>
        <v/>
      </c>
      <c r="R498" s="6">
        <f>IF(OR($BJ498="",17&gt;設定!$B$3),"",IF(INDEX(原始資料!T$2:T$501,$BJ498)="","",INDEX(原始資料!T$2:T$501,$BJ498)))</f>
        <v/>
      </c>
      <c r="S498" s="6">
        <f>IF(OR($BJ498="",18&gt;設定!$B$3),"",IF(INDEX(原始資料!U$2:U$501,$BJ498)="","",INDEX(原始資料!U$2:U$501,$BJ498)))</f>
        <v/>
      </c>
      <c r="T498" s="6">
        <f>IF(OR($BJ498="",19&gt;設定!$B$3),"",IF(INDEX(原始資料!V$2:V$501,$BJ498)="","",INDEX(原始資料!V$2:V$501,$BJ498)))</f>
        <v/>
      </c>
      <c r="U498" s="6">
        <f>IF(OR($BJ498="",20&gt;設定!$B$3),"",IF(INDEX(原始資料!W$2:W$501,$BJ498)="","",INDEX(原始資料!W$2:W$501,$BJ498)))</f>
        <v/>
      </c>
      <c r="V498" s="6">
        <f>IF(OR($BJ498="",21&gt;設定!$B$3),"",IF(INDEX(原始資料!X$2:X$501,$BJ498)="","",INDEX(原始資料!X$2:X$501,$BJ498)))</f>
        <v/>
      </c>
      <c r="W498" s="6">
        <f>IF(OR($BJ498="",22&gt;設定!$B$3),"",IF(INDEX(原始資料!Y$2:Y$501,$BJ498)="","",INDEX(原始資料!Y$2:Y$501,$BJ498)))</f>
        <v/>
      </c>
      <c r="X498" s="6">
        <f>IF(OR($BJ498="",23&gt;設定!$B$3),"",IF(INDEX(原始資料!Z$2:Z$501,$BJ498)="","",INDEX(原始資料!Z$2:Z$501,$BJ498)))</f>
        <v/>
      </c>
      <c r="Y498" s="6">
        <f>IF(OR($BJ498="",24&gt;設定!$B$3),"",IF(INDEX(原始資料!AA$2:AA$501,$BJ498)="","",INDEX(原始資料!AA$2:AA$501,$BJ498)))</f>
        <v/>
      </c>
      <c r="Z498" s="6">
        <f>IF(OR($BJ498="",25&gt;設定!$B$3),"",IF(INDEX(原始資料!AB$2:AB$501,$BJ498)="","",INDEX(原始資料!AB$2:AB$501,$BJ498)))</f>
        <v/>
      </c>
      <c r="AA498" s="6">
        <f>IF(OR($BJ498="",26&gt;設定!$B$3),"",IF(INDEX(原始資料!AC$2:AC$501,$BJ498)="","",INDEX(原始資料!AC$2:AC$501,$BJ498)))</f>
        <v/>
      </c>
      <c r="AB498" s="6">
        <f>IF(OR($BJ498="",27&gt;設定!$B$3),"",IF(INDEX(原始資料!AD$2:AD$501,$BJ498)="","",INDEX(原始資料!AD$2:AD$501,$BJ498)))</f>
        <v/>
      </c>
      <c r="AC498" s="6">
        <f>IF(OR($BJ498="",28&gt;設定!$B$3),"",IF(INDEX(原始資料!AE$2:AE$501,$BJ498)="","",INDEX(原始資料!AE$2:AE$501,$BJ498)))</f>
        <v/>
      </c>
      <c r="AD498" s="6">
        <f>IF(OR($BJ498="",29&gt;設定!$B$3),"",IF(INDEX(原始資料!AF$2:AF$501,$BJ498)="","",INDEX(原始資料!AF$2:AF$501,$BJ498)))</f>
        <v/>
      </c>
      <c r="AE498" s="6">
        <f>IF(OR($BJ498="",30&gt;設定!$B$3),"",IF(INDEX(原始資料!AG$2:AG$501,$BJ498)="","",INDEX(原始資料!AG$2:AG$501,$BJ498)))</f>
        <v/>
      </c>
      <c r="AF498" s="6">
        <f>IF(OR($BJ498="",31&gt;設定!$B$3),"",IF(INDEX(原始資料!AH$2:AH$501,$BJ498)="","",INDEX(原始資料!AH$2:AH$501,$BJ498)))</f>
        <v/>
      </c>
      <c r="AG498" s="6">
        <f>IF(OR($BJ498="",32&gt;設定!$B$3),"",IF(INDEX(原始資料!AI$2:AI$501,$BJ498)="","",INDEX(原始資料!AI$2:AI$501,$BJ498)))</f>
        <v/>
      </c>
      <c r="AH498" s="6">
        <f>IF(OR($BJ498="",33&gt;設定!$B$3),"",IF(INDEX(原始資料!AJ$2:AJ$501,$BJ498)="","",INDEX(原始資料!AJ$2:AJ$501,$BJ498)))</f>
        <v/>
      </c>
      <c r="AI498" s="6">
        <f>IF(OR($BJ498="",34&gt;設定!$B$3),"",IF(INDEX(原始資料!AK$2:AK$501,$BJ498)="","",INDEX(原始資料!AK$2:AK$501,$BJ498)))</f>
        <v/>
      </c>
      <c r="AJ498" s="6">
        <f>IF(OR($BJ498="",35&gt;設定!$B$3),"",IF(INDEX(原始資料!AL$2:AL$501,$BJ498)="","",INDEX(原始資料!AL$2:AL$501,$BJ498)))</f>
        <v/>
      </c>
      <c r="AK498" s="6">
        <f>IF(OR($BJ498="",36&gt;設定!$B$3),"",IF(INDEX(原始資料!AM$2:AM$501,$BJ498)="","",INDEX(原始資料!AM$2:AM$501,$BJ498)))</f>
        <v/>
      </c>
      <c r="AL498" s="6">
        <f>IF(OR($BJ498="",37&gt;設定!$B$3),"",IF(INDEX(原始資料!AN$2:AN$501,$BJ498)="","",INDEX(原始資料!AN$2:AN$501,$BJ498)))</f>
        <v/>
      </c>
      <c r="AM498" s="6">
        <f>IF(OR($BJ498="",38&gt;設定!$B$3),"",IF(INDEX(原始資料!AO$2:AO$501,$BJ498)="","",INDEX(原始資料!AO$2:AO$501,$BJ498)))</f>
        <v/>
      </c>
      <c r="AN498" s="6">
        <f>IF(OR($BJ498="",39&gt;設定!$B$3),"",IF(INDEX(原始資料!AP$2:AP$501,$BJ498)="","",INDEX(原始資料!AP$2:AP$501,$BJ498)))</f>
        <v/>
      </c>
      <c r="AO498" s="6">
        <f>IF(OR($BJ498="",40&gt;設定!$B$3),"",IF(INDEX(原始資料!AQ$2:AQ$501,$BJ498)="","",INDEX(原始資料!AQ$2:AQ$501,$BJ498)))</f>
        <v/>
      </c>
      <c r="AP498" s="6">
        <f>IF(OR($BJ498="",41&gt;設定!$B$3),"",IF(INDEX(原始資料!AR$2:AR$501,$BJ498)="","",INDEX(原始資料!AR$2:AR$501,$BJ498)))</f>
        <v/>
      </c>
      <c r="AQ498" s="6">
        <f>IF(OR($BJ498="",42&gt;設定!$B$3),"",IF(INDEX(原始資料!AS$2:AS$501,$BJ498)="","",INDEX(原始資料!AS$2:AS$501,$BJ498)))</f>
        <v/>
      </c>
      <c r="AR498" s="6">
        <f>IF(OR($BJ498="",43&gt;設定!$B$3),"",IF(INDEX(原始資料!AT$2:AT$501,$BJ498)="","",INDEX(原始資料!AT$2:AT$501,$BJ498)))</f>
        <v/>
      </c>
      <c r="AS498" s="6">
        <f>IF(OR($BJ498="",44&gt;設定!$B$3),"",IF(INDEX(原始資料!AU$2:AU$501,$BJ498)="","",INDEX(原始資料!AU$2:AU$501,$BJ498)))</f>
        <v/>
      </c>
      <c r="AT498" s="6">
        <f>IF(OR($BJ498="",45&gt;設定!$B$3),"",IF(INDEX(原始資料!AV$2:AV$501,$BJ498)="","",INDEX(原始資料!AV$2:AV$501,$BJ498)))</f>
        <v/>
      </c>
      <c r="AU498" s="6">
        <f>IF(OR($BJ498="",46&gt;設定!$B$3),"",IF(INDEX(原始資料!AW$2:AW$501,$BJ498)="","",INDEX(原始資料!AW$2:AW$501,$BJ498)))</f>
        <v/>
      </c>
      <c r="AV498" s="6">
        <f>IF(OR($BJ498="",47&gt;設定!$B$3),"",IF(INDEX(原始資料!AX$2:AX$501,$BJ498)="","",INDEX(原始資料!AX$2:AX$501,$BJ498)))</f>
        <v/>
      </c>
      <c r="AW498" s="6">
        <f>IF(OR($BJ498="",48&gt;設定!$B$3),"",IF(INDEX(原始資料!AY$2:AY$501,$BJ498)="","",INDEX(原始資料!AY$2:AY$501,$BJ498)))</f>
        <v/>
      </c>
      <c r="AX498" s="6">
        <f>IF(OR($BJ498="",49&gt;設定!$B$3),"",IF(INDEX(原始資料!AZ$2:AZ$501,$BJ498)="","",INDEX(原始資料!AZ$2:AZ$501,$BJ498)))</f>
        <v/>
      </c>
      <c r="AY498" s="6">
        <f>IF(OR($BJ498="",50&gt;設定!$B$3),"",IF(INDEX(原始資料!BA$2:BA$501,$BJ498)="","",INDEX(原始資料!BA$2:BA$501,$BJ498)))</f>
        <v/>
      </c>
      <c r="AZ498" s="6">
        <f>IF(OR($BJ498="",51&gt;設定!$B$3),"",IF(INDEX(原始資料!BB$2:BB$501,$BJ498)="","",INDEX(原始資料!BB$2:BB$501,$BJ498)))</f>
        <v/>
      </c>
      <c r="BA498" s="6">
        <f>IF(OR($BJ498="",52&gt;設定!$B$3),"",IF(INDEX(原始資料!BC$2:BC$501,$BJ498)="","",INDEX(原始資料!BC$2:BC$501,$BJ498)))</f>
        <v/>
      </c>
      <c r="BB498" s="6">
        <f>IF(OR($BJ498="",53&gt;設定!$B$3),"",IF(INDEX(原始資料!BD$2:BD$501,$BJ498)="","",INDEX(原始資料!BD$2:BD$501,$BJ498)))</f>
        <v/>
      </c>
      <c r="BC498" s="6">
        <f>IF(OR($BJ498="",54&gt;設定!$B$3),"",IF(INDEX(原始資料!BE$2:BE$501,$BJ498)="","",INDEX(原始資料!BE$2:BE$501,$BJ498)))</f>
        <v/>
      </c>
      <c r="BD498" s="6">
        <f>IF(OR($BJ498="",55&gt;設定!$B$3),"",IF(INDEX(原始資料!BF$2:BF$501,$BJ498)="","",INDEX(原始資料!BF$2:BF$501,$BJ498)))</f>
        <v/>
      </c>
      <c r="BE498" s="6">
        <f>IF(OR($BJ498="",56&gt;設定!$B$3),"",IF(INDEX(原始資料!BG$2:BG$501,$BJ498)="","",INDEX(原始資料!BG$2:BG$501,$BJ498)))</f>
        <v/>
      </c>
      <c r="BF498" s="6">
        <f>IF(OR($BJ498="",57&gt;設定!$B$3),"",IF(INDEX(原始資料!BH$2:BH$501,$BJ498)="","",INDEX(原始資料!BH$2:BH$501,$BJ498)))</f>
        <v/>
      </c>
      <c r="BG498" s="6">
        <f>IF(OR($BJ498="",58&gt;設定!$B$3),"",IF(INDEX(原始資料!BI$2:BI$501,$BJ498)="","",INDEX(原始資料!BI$2:BI$501,$BJ498)))</f>
        <v/>
      </c>
      <c r="BH498" s="6">
        <f>IF(OR($BJ498="",59&gt;設定!$B$3),"",IF(INDEX(原始資料!BJ$2:BJ$501,$BJ498)="","",INDEX(原始資料!BJ$2:BJ$501,$BJ498)))</f>
        <v/>
      </c>
      <c r="BI498" s="6">
        <f>IF(OR($BJ498="",60&gt;設定!$B$3),"",IF(INDEX(原始資料!BK$2:BK$501,$BJ498)="","",INDEX(原始資料!BK$2:BK$501,$BJ498)))</f>
        <v/>
      </c>
      <c r="BJ498" s="6">
        <f>IFERROR(MATCH(ROW()-1,判定!$H$2:$H$501,0),"")</f>
        <v/>
      </c>
    </row>
    <row r="499">
      <c r="A499" s="6">
        <f>IF($BJ499="","",INDEX(原始資料!$A$2:$A$501,$BJ499))</f>
        <v/>
      </c>
      <c r="B499" s="6">
        <f>IF(OR($BJ499="",1&gt;設定!$B$3),"",IF(INDEX(原始資料!D$2:D$501,$BJ499)="","",INDEX(原始資料!D$2:D$501,$BJ499)))</f>
        <v/>
      </c>
      <c r="C499" s="6">
        <f>IF(OR($BJ499="",2&gt;設定!$B$3),"",IF(INDEX(原始資料!E$2:E$501,$BJ499)="","",INDEX(原始資料!E$2:E$501,$BJ499)))</f>
        <v/>
      </c>
      <c r="D499" s="6">
        <f>IF(OR($BJ499="",3&gt;設定!$B$3),"",IF(INDEX(原始資料!F$2:F$501,$BJ499)="","",INDEX(原始資料!F$2:F$501,$BJ499)))</f>
        <v/>
      </c>
      <c r="E499" s="6">
        <f>IF(OR($BJ499="",4&gt;設定!$B$3),"",IF(INDEX(原始資料!G$2:G$501,$BJ499)="","",INDEX(原始資料!G$2:G$501,$BJ499)))</f>
        <v/>
      </c>
      <c r="F499" s="6">
        <f>IF(OR($BJ499="",5&gt;設定!$B$3),"",IF(INDEX(原始資料!H$2:H$501,$BJ499)="","",INDEX(原始資料!H$2:H$501,$BJ499)))</f>
        <v/>
      </c>
      <c r="G499" s="6">
        <f>IF(OR($BJ499="",6&gt;設定!$B$3),"",IF(INDEX(原始資料!I$2:I$501,$BJ499)="","",INDEX(原始資料!I$2:I$501,$BJ499)))</f>
        <v/>
      </c>
      <c r="H499" s="6">
        <f>IF(OR($BJ499="",7&gt;設定!$B$3),"",IF(INDEX(原始資料!J$2:J$501,$BJ499)="","",INDEX(原始資料!J$2:J$501,$BJ499)))</f>
        <v/>
      </c>
      <c r="I499" s="6">
        <f>IF(OR($BJ499="",8&gt;設定!$B$3),"",IF(INDEX(原始資料!K$2:K$501,$BJ499)="","",INDEX(原始資料!K$2:K$501,$BJ499)))</f>
        <v/>
      </c>
      <c r="J499" s="6">
        <f>IF(OR($BJ499="",9&gt;設定!$B$3),"",IF(INDEX(原始資料!L$2:L$501,$BJ499)="","",INDEX(原始資料!L$2:L$501,$BJ499)))</f>
        <v/>
      </c>
      <c r="K499" s="6">
        <f>IF(OR($BJ499="",10&gt;設定!$B$3),"",IF(INDEX(原始資料!M$2:M$501,$BJ499)="","",INDEX(原始資料!M$2:M$501,$BJ499)))</f>
        <v/>
      </c>
      <c r="L499" s="6">
        <f>IF(OR($BJ499="",11&gt;設定!$B$3),"",IF(INDEX(原始資料!N$2:N$501,$BJ499)="","",INDEX(原始資料!N$2:N$501,$BJ499)))</f>
        <v/>
      </c>
      <c r="M499" s="6">
        <f>IF(OR($BJ499="",12&gt;設定!$B$3),"",IF(INDEX(原始資料!O$2:O$501,$BJ499)="","",INDEX(原始資料!O$2:O$501,$BJ499)))</f>
        <v/>
      </c>
      <c r="N499" s="6">
        <f>IF(OR($BJ499="",13&gt;設定!$B$3),"",IF(INDEX(原始資料!P$2:P$501,$BJ499)="","",INDEX(原始資料!P$2:P$501,$BJ499)))</f>
        <v/>
      </c>
      <c r="O499" s="6">
        <f>IF(OR($BJ499="",14&gt;設定!$B$3),"",IF(INDEX(原始資料!Q$2:Q$501,$BJ499)="","",INDEX(原始資料!Q$2:Q$501,$BJ499)))</f>
        <v/>
      </c>
      <c r="P499" s="6">
        <f>IF(OR($BJ499="",15&gt;設定!$B$3),"",IF(INDEX(原始資料!R$2:R$501,$BJ499)="","",INDEX(原始資料!R$2:R$501,$BJ499)))</f>
        <v/>
      </c>
      <c r="Q499" s="6">
        <f>IF(OR($BJ499="",16&gt;設定!$B$3),"",IF(INDEX(原始資料!S$2:S$501,$BJ499)="","",INDEX(原始資料!S$2:S$501,$BJ499)))</f>
        <v/>
      </c>
      <c r="R499" s="6">
        <f>IF(OR($BJ499="",17&gt;設定!$B$3),"",IF(INDEX(原始資料!T$2:T$501,$BJ499)="","",INDEX(原始資料!T$2:T$501,$BJ499)))</f>
        <v/>
      </c>
      <c r="S499" s="6">
        <f>IF(OR($BJ499="",18&gt;設定!$B$3),"",IF(INDEX(原始資料!U$2:U$501,$BJ499)="","",INDEX(原始資料!U$2:U$501,$BJ499)))</f>
        <v/>
      </c>
      <c r="T499" s="6">
        <f>IF(OR($BJ499="",19&gt;設定!$B$3),"",IF(INDEX(原始資料!V$2:V$501,$BJ499)="","",INDEX(原始資料!V$2:V$501,$BJ499)))</f>
        <v/>
      </c>
      <c r="U499" s="6">
        <f>IF(OR($BJ499="",20&gt;設定!$B$3),"",IF(INDEX(原始資料!W$2:W$501,$BJ499)="","",INDEX(原始資料!W$2:W$501,$BJ499)))</f>
        <v/>
      </c>
      <c r="V499" s="6">
        <f>IF(OR($BJ499="",21&gt;設定!$B$3),"",IF(INDEX(原始資料!X$2:X$501,$BJ499)="","",INDEX(原始資料!X$2:X$501,$BJ499)))</f>
        <v/>
      </c>
      <c r="W499" s="6">
        <f>IF(OR($BJ499="",22&gt;設定!$B$3),"",IF(INDEX(原始資料!Y$2:Y$501,$BJ499)="","",INDEX(原始資料!Y$2:Y$501,$BJ499)))</f>
        <v/>
      </c>
      <c r="X499" s="6">
        <f>IF(OR($BJ499="",23&gt;設定!$B$3),"",IF(INDEX(原始資料!Z$2:Z$501,$BJ499)="","",INDEX(原始資料!Z$2:Z$501,$BJ499)))</f>
        <v/>
      </c>
      <c r="Y499" s="6">
        <f>IF(OR($BJ499="",24&gt;設定!$B$3),"",IF(INDEX(原始資料!AA$2:AA$501,$BJ499)="","",INDEX(原始資料!AA$2:AA$501,$BJ499)))</f>
        <v/>
      </c>
      <c r="Z499" s="6">
        <f>IF(OR($BJ499="",25&gt;設定!$B$3),"",IF(INDEX(原始資料!AB$2:AB$501,$BJ499)="","",INDEX(原始資料!AB$2:AB$501,$BJ499)))</f>
        <v/>
      </c>
      <c r="AA499" s="6">
        <f>IF(OR($BJ499="",26&gt;設定!$B$3),"",IF(INDEX(原始資料!AC$2:AC$501,$BJ499)="","",INDEX(原始資料!AC$2:AC$501,$BJ499)))</f>
        <v/>
      </c>
      <c r="AB499" s="6">
        <f>IF(OR($BJ499="",27&gt;設定!$B$3),"",IF(INDEX(原始資料!AD$2:AD$501,$BJ499)="","",INDEX(原始資料!AD$2:AD$501,$BJ499)))</f>
        <v/>
      </c>
      <c r="AC499" s="6">
        <f>IF(OR($BJ499="",28&gt;設定!$B$3),"",IF(INDEX(原始資料!AE$2:AE$501,$BJ499)="","",INDEX(原始資料!AE$2:AE$501,$BJ499)))</f>
        <v/>
      </c>
      <c r="AD499" s="6">
        <f>IF(OR($BJ499="",29&gt;設定!$B$3),"",IF(INDEX(原始資料!AF$2:AF$501,$BJ499)="","",INDEX(原始資料!AF$2:AF$501,$BJ499)))</f>
        <v/>
      </c>
      <c r="AE499" s="6">
        <f>IF(OR($BJ499="",30&gt;設定!$B$3),"",IF(INDEX(原始資料!AG$2:AG$501,$BJ499)="","",INDEX(原始資料!AG$2:AG$501,$BJ499)))</f>
        <v/>
      </c>
      <c r="AF499" s="6">
        <f>IF(OR($BJ499="",31&gt;設定!$B$3),"",IF(INDEX(原始資料!AH$2:AH$501,$BJ499)="","",INDEX(原始資料!AH$2:AH$501,$BJ499)))</f>
        <v/>
      </c>
      <c r="AG499" s="6">
        <f>IF(OR($BJ499="",32&gt;設定!$B$3),"",IF(INDEX(原始資料!AI$2:AI$501,$BJ499)="","",INDEX(原始資料!AI$2:AI$501,$BJ499)))</f>
        <v/>
      </c>
      <c r="AH499" s="6">
        <f>IF(OR($BJ499="",33&gt;設定!$B$3),"",IF(INDEX(原始資料!AJ$2:AJ$501,$BJ499)="","",INDEX(原始資料!AJ$2:AJ$501,$BJ499)))</f>
        <v/>
      </c>
      <c r="AI499" s="6">
        <f>IF(OR($BJ499="",34&gt;設定!$B$3),"",IF(INDEX(原始資料!AK$2:AK$501,$BJ499)="","",INDEX(原始資料!AK$2:AK$501,$BJ499)))</f>
        <v/>
      </c>
      <c r="AJ499" s="6">
        <f>IF(OR($BJ499="",35&gt;設定!$B$3),"",IF(INDEX(原始資料!AL$2:AL$501,$BJ499)="","",INDEX(原始資料!AL$2:AL$501,$BJ499)))</f>
        <v/>
      </c>
      <c r="AK499" s="6">
        <f>IF(OR($BJ499="",36&gt;設定!$B$3),"",IF(INDEX(原始資料!AM$2:AM$501,$BJ499)="","",INDEX(原始資料!AM$2:AM$501,$BJ499)))</f>
        <v/>
      </c>
      <c r="AL499" s="6">
        <f>IF(OR($BJ499="",37&gt;設定!$B$3),"",IF(INDEX(原始資料!AN$2:AN$501,$BJ499)="","",INDEX(原始資料!AN$2:AN$501,$BJ499)))</f>
        <v/>
      </c>
      <c r="AM499" s="6">
        <f>IF(OR($BJ499="",38&gt;設定!$B$3),"",IF(INDEX(原始資料!AO$2:AO$501,$BJ499)="","",INDEX(原始資料!AO$2:AO$501,$BJ499)))</f>
        <v/>
      </c>
      <c r="AN499" s="6">
        <f>IF(OR($BJ499="",39&gt;設定!$B$3),"",IF(INDEX(原始資料!AP$2:AP$501,$BJ499)="","",INDEX(原始資料!AP$2:AP$501,$BJ499)))</f>
        <v/>
      </c>
      <c r="AO499" s="6">
        <f>IF(OR($BJ499="",40&gt;設定!$B$3),"",IF(INDEX(原始資料!AQ$2:AQ$501,$BJ499)="","",INDEX(原始資料!AQ$2:AQ$501,$BJ499)))</f>
        <v/>
      </c>
      <c r="AP499" s="6">
        <f>IF(OR($BJ499="",41&gt;設定!$B$3),"",IF(INDEX(原始資料!AR$2:AR$501,$BJ499)="","",INDEX(原始資料!AR$2:AR$501,$BJ499)))</f>
        <v/>
      </c>
      <c r="AQ499" s="6">
        <f>IF(OR($BJ499="",42&gt;設定!$B$3),"",IF(INDEX(原始資料!AS$2:AS$501,$BJ499)="","",INDEX(原始資料!AS$2:AS$501,$BJ499)))</f>
        <v/>
      </c>
      <c r="AR499" s="6">
        <f>IF(OR($BJ499="",43&gt;設定!$B$3),"",IF(INDEX(原始資料!AT$2:AT$501,$BJ499)="","",INDEX(原始資料!AT$2:AT$501,$BJ499)))</f>
        <v/>
      </c>
      <c r="AS499" s="6">
        <f>IF(OR($BJ499="",44&gt;設定!$B$3),"",IF(INDEX(原始資料!AU$2:AU$501,$BJ499)="","",INDEX(原始資料!AU$2:AU$501,$BJ499)))</f>
        <v/>
      </c>
      <c r="AT499" s="6">
        <f>IF(OR($BJ499="",45&gt;設定!$B$3),"",IF(INDEX(原始資料!AV$2:AV$501,$BJ499)="","",INDEX(原始資料!AV$2:AV$501,$BJ499)))</f>
        <v/>
      </c>
      <c r="AU499" s="6">
        <f>IF(OR($BJ499="",46&gt;設定!$B$3),"",IF(INDEX(原始資料!AW$2:AW$501,$BJ499)="","",INDEX(原始資料!AW$2:AW$501,$BJ499)))</f>
        <v/>
      </c>
      <c r="AV499" s="6">
        <f>IF(OR($BJ499="",47&gt;設定!$B$3),"",IF(INDEX(原始資料!AX$2:AX$501,$BJ499)="","",INDEX(原始資料!AX$2:AX$501,$BJ499)))</f>
        <v/>
      </c>
      <c r="AW499" s="6">
        <f>IF(OR($BJ499="",48&gt;設定!$B$3),"",IF(INDEX(原始資料!AY$2:AY$501,$BJ499)="","",INDEX(原始資料!AY$2:AY$501,$BJ499)))</f>
        <v/>
      </c>
      <c r="AX499" s="6">
        <f>IF(OR($BJ499="",49&gt;設定!$B$3),"",IF(INDEX(原始資料!AZ$2:AZ$501,$BJ499)="","",INDEX(原始資料!AZ$2:AZ$501,$BJ499)))</f>
        <v/>
      </c>
      <c r="AY499" s="6">
        <f>IF(OR($BJ499="",50&gt;設定!$B$3),"",IF(INDEX(原始資料!BA$2:BA$501,$BJ499)="","",INDEX(原始資料!BA$2:BA$501,$BJ499)))</f>
        <v/>
      </c>
      <c r="AZ499" s="6">
        <f>IF(OR($BJ499="",51&gt;設定!$B$3),"",IF(INDEX(原始資料!BB$2:BB$501,$BJ499)="","",INDEX(原始資料!BB$2:BB$501,$BJ499)))</f>
        <v/>
      </c>
      <c r="BA499" s="6">
        <f>IF(OR($BJ499="",52&gt;設定!$B$3),"",IF(INDEX(原始資料!BC$2:BC$501,$BJ499)="","",INDEX(原始資料!BC$2:BC$501,$BJ499)))</f>
        <v/>
      </c>
      <c r="BB499" s="6">
        <f>IF(OR($BJ499="",53&gt;設定!$B$3),"",IF(INDEX(原始資料!BD$2:BD$501,$BJ499)="","",INDEX(原始資料!BD$2:BD$501,$BJ499)))</f>
        <v/>
      </c>
      <c r="BC499" s="6">
        <f>IF(OR($BJ499="",54&gt;設定!$B$3),"",IF(INDEX(原始資料!BE$2:BE$501,$BJ499)="","",INDEX(原始資料!BE$2:BE$501,$BJ499)))</f>
        <v/>
      </c>
      <c r="BD499" s="6">
        <f>IF(OR($BJ499="",55&gt;設定!$B$3),"",IF(INDEX(原始資料!BF$2:BF$501,$BJ499)="","",INDEX(原始資料!BF$2:BF$501,$BJ499)))</f>
        <v/>
      </c>
      <c r="BE499" s="6">
        <f>IF(OR($BJ499="",56&gt;設定!$B$3),"",IF(INDEX(原始資料!BG$2:BG$501,$BJ499)="","",INDEX(原始資料!BG$2:BG$501,$BJ499)))</f>
        <v/>
      </c>
      <c r="BF499" s="6">
        <f>IF(OR($BJ499="",57&gt;設定!$B$3),"",IF(INDEX(原始資料!BH$2:BH$501,$BJ499)="","",INDEX(原始資料!BH$2:BH$501,$BJ499)))</f>
        <v/>
      </c>
      <c r="BG499" s="6">
        <f>IF(OR($BJ499="",58&gt;設定!$B$3),"",IF(INDEX(原始資料!BI$2:BI$501,$BJ499)="","",INDEX(原始資料!BI$2:BI$501,$BJ499)))</f>
        <v/>
      </c>
      <c r="BH499" s="6">
        <f>IF(OR($BJ499="",59&gt;設定!$B$3),"",IF(INDEX(原始資料!BJ$2:BJ$501,$BJ499)="","",INDEX(原始資料!BJ$2:BJ$501,$BJ499)))</f>
        <v/>
      </c>
      <c r="BI499" s="6">
        <f>IF(OR($BJ499="",60&gt;設定!$B$3),"",IF(INDEX(原始資料!BK$2:BK$501,$BJ499)="","",INDEX(原始資料!BK$2:BK$501,$BJ499)))</f>
        <v/>
      </c>
      <c r="BJ499" s="6">
        <f>IFERROR(MATCH(ROW()-1,判定!$H$2:$H$501,0),"")</f>
        <v/>
      </c>
    </row>
    <row r="500">
      <c r="A500" s="6">
        <f>IF($BJ500="","",INDEX(原始資料!$A$2:$A$501,$BJ500))</f>
        <v/>
      </c>
      <c r="B500" s="6">
        <f>IF(OR($BJ500="",1&gt;設定!$B$3),"",IF(INDEX(原始資料!D$2:D$501,$BJ500)="","",INDEX(原始資料!D$2:D$501,$BJ500)))</f>
        <v/>
      </c>
      <c r="C500" s="6">
        <f>IF(OR($BJ500="",2&gt;設定!$B$3),"",IF(INDEX(原始資料!E$2:E$501,$BJ500)="","",INDEX(原始資料!E$2:E$501,$BJ500)))</f>
        <v/>
      </c>
      <c r="D500" s="6">
        <f>IF(OR($BJ500="",3&gt;設定!$B$3),"",IF(INDEX(原始資料!F$2:F$501,$BJ500)="","",INDEX(原始資料!F$2:F$501,$BJ500)))</f>
        <v/>
      </c>
      <c r="E500" s="6">
        <f>IF(OR($BJ500="",4&gt;設定!$B$3),"",IF(INDEX(原始資料!G$2:G$501,$BJ500)="","",INDEX(原始資料!G$2:G$501,$BJ500)))</f>
        <v/>
      </c>
      <c r="F500" s="6">
        <f>IF(OR($BJ500="",5&gt;設定!$B$3),"",IF(INDEX(原始資料!H$2:H$501,$BJ500)="","",INDEX(原始資料!H$2:H$501,$BJ500)))</f>
        <v/>
      </c>
      <c r="G500" s="6">
        <f>IF(OR($BJ500="",6&gt;設定!$B$3),"",IF(INDEX(原始資料!I$2:I$501,$BJ500)="","",INDEX(原始資料!I$2:I$501,$BJ500)))</f>
        <v/>
      </c>
      <c r="H500" s="6">
        <f>IF(OR($BJ500="",7&gt;設定!$B$3),"",IF(INDEX(原始資料!J$2:J$501,$BJ500)="","",INDEX(原始資料!J$2:J$501,$BJ500)))</f>
        <v/>
      </c>
      <c r="I500" s="6">
        <f>IF(OR($BJ500="",8&gt;設定!$B$3),"",IF(INDEX(原始資料!K$2:K$501,$BJ500)="","",INDEX(原始資料!K$2:K$501,$BJ500)))</f>
        <v/>
      </c>
      <c r="J500" s="6">
        <f>IF(OR($BJ500="",9&gt;設定!$B$3),"",IF(INDEX(原始資料!L$2:L$501,$BJ500)="","",INDEX(原始資料!L$2:L$501,$BJ500)))</f>
        <v/>
      </c>
      <c r="K500" s="6">
        <f>IF(OR($BJ500="",10&gt;設定!$B$3),"",IF(INDEX(原始資料!M$2:M$501,$BJ500)="","",INDEX(原始資料!M$2:M$501,$BJ500)))</f>
        <v/>
      </c>
      <c r="L500" s="6">
        <f>IF(OR($BJ500="",11&gt;設定!$B$3),"",IF(INDEX(原始資料!N$2:N$501,$BJ500)="","",INDEX(原始資料!N$2:N$501,$BJ500)))</f>
        <v/>
      </c>
      <c r="M500" s="6">
        <f>IF(OR($BJ500="",12&gt;設定!$B$3),"",IF(INDEX(原始資料!O$2:O$501,$BJ500)="","",INDEX(原始資料!O$2:O$501,$BJ500)))</f>
        <v/>
      </c>
      <c r="N500" s="6">
        <f>IF(OR($BJ500="",13&gt;設定!$B$3),"",IF(INDEX(原始資料!P$2:P$501,$BJ500)="","",INDEX(原始資料!P$2:P$501,$BJ500)))</f>
        <v/>
      </c>
      <c r="O500" s="6">
        <f>IF(OR($BJ500="",14&gt;設定!$B$3),"",IF(INDEX(原始資料!Q$2:Q$501,$BJ500)="","",INDEX(原始資料!Q$2:Q$501,$BJ500)))</f>
        <v/>
      </c>
      <c r="P500" s="6">
        <f>IF(OR($BJ500="",15&gt;設定!$B$3),"",IF(INDEX(原始資料!R$2:R$501,$BJ500)="","",INDEX(原始資料!R$2:R$501,$BJ500)))</f>
        <v/>
      </c>
      <c r="Q500" s="6">
        <f>IF(OR($BJ500="",16&gt;設定!$B$3),"",IF(INDEX(原始資料!S$2:S$501,$BJ500)="","",INDEX(原始資料!S$2:S$501,$BJ500)))</f>
        <v/>
      </c>
      <c r="R500" s="6">
        <f>IF(OR($BJ500="",17&gt;設定!$B$3),"",IF(INDEX(原始資料!T$2:T$501,$BJ500)="","",INDEX(原始資料!T$2:T$501,$BJ500)))</f>
        <v/>
      </c>
      <c r="S500" s="6">
        <f>IF(OR($BJ500="",18&gt;設定!$B$3),"",IF(INDEX(原始資料!U$2:U$501,$BJ500)="","",INDEX(原始資料!U$2:U$501,$BJ500)))</f>
        <v/>
      </c>
      <c r="T500" s="6">
        <f>IF(OR($BJ500="",19&gt;設定!$B$3),"",IF(INDEX(原始資料!V$2:V$501,$BJ500)="","",INDEX(原始資料!V$2:V$501,$BJ500)))</f>
        <v/>
      </c>
      <c r="U500" s="6">
        <f>IF(OR($BJ500="",20&gt;設定!$B$3),"",IF(INDEX(原始資料!W$2:W$501,$BJ500)="","",INDEX(原始資料!W$2:W$501,$BJ500)))</f>
        <v/>
      </c>
      <c r="V500" s="6">
        <f>IF(OR($BJ500="",21&gt;設定!$B$3),"",IF(INDEX(原始資料!X$2:X$501,$BJ500)="","",INDEX(原始資料!X$2:X$501,$BJ500)))</f>
        <v/>
      </c>
      <c r="W500" s="6">
        <f>IF(OR($BJ500="",22&gt;設定!$B$3),"",IF(INDEX(原始資料!Y$2:Y$501,$BJ500)="","",INDEX(原始資料!Y$2:Y$501,$BJ500)))</f>
        <v/>
      </c>
      <c r="X500" s="6">
        <f>IF(OR($BJ500="",23&gt;設定!$B$3),"",IF(INDEX(原始資料!Z$2:Z$501,$BJ500)="","",INDEX(原始資料!Z$2:Z$501,$BJ500)))</f>
        <v/>
      </c>
      <c r="Y500" s="6">
        <f>IF(OR($BJ500="",24&gt;設定!$B$3),"",IF(INDEX(原始資料!AA$2:AA$501,$BJ500)="","",INDEX(原始資料!AA$2:AA$501,$BJ500)))</f>
        <v/>
      </c>
      <c r="Z500" s="6">
        <f>IF(OR($BJ500="",25&gt;設定!$B$3),"",IF(INDEX(原始資料!AB$2:AB$501,$BJ500)="","",INDEX(原始資料!AB$2:AB$501,$BJ500)))</f>
        <v/>
      </c>
      <c r="AA500" s="6">
        <f>IF(OR($BJ500="",26&gt;設定!$B$3),"",IF(INDEX(原始資料!AC$2:AC$501,$BJ500)="","",INDEX(原始資料!AC$2:AC$501,$BJ500)))</f>
        <v/>
      </c>
      <c r="AB500" s="6">
        <f>IF(OR($BJ500="",27&gt;設定!$B$3),"",IF(INDEX(原始資料!AD$2:AD$501,$BJ500)="","",INDEX(原始資料!AD$2:AD$501,$BJ500)))</f>
        <v/>
      </c>
      <c r="AC500" s="6">
        <f>IF(OR($BJ500="",28&gt;設定!$B$3),"",IF(INDEX(原始資料!AE$2:AE$501,$BJ500)="","",INDEX(原始資料!AE$2:AE$501,$BJ500)))</f>
        <v/>
      </c>
      <c r="AD500" s="6">
        <f>IF(OR($BJ500="",29&gt;設定!$B$3),"",IF(INDEX(原始資料!AF$2:AF$501,$BJ500)="","",INDEX(原始資料!AF$2:AF$501,$BJ500)))</f>
        <v/>
      </c>
      <c r="AE500" s="6">
        <f>IF(OR($BJ500="",30&gt;設定!$B$3),"",IF(INDEX(原始資料!AG$2:AG$501,$BJ500)="","",INDEX(原始資料!AG$2:AG$501,$BJ500)))</f>
        <v/>
      </c>
      <c r="AF500" s="6">
        <f>IF(OR($BJ500="",31&gt;設定!$B$3),"",IF(INDEX(原始資料!AH$2:AH$501,$BJ500)="","",INDEX(原始資料!AH$2:AH$501,$BJ500)))</f>
        <v/>
      </c>
      <c r="AG500" s="6">
        <f>IF(OR($BJ500="",32&gt;設定!$B$3),"",IF(INDEX(原始資料!AI$2:AI$501,$BJ500)="","",INDEX(原始資料!AI$2:AI$501,$BJ500)))</f>
        <v/>
      </c>
      <c r="AH500" s="6">
        <f>IF(OR($BJ500="",33&gt;設定!$B$3),"",IF(INDEX(原始資料!AJ$2:AJ$501,$BJ500)="","",INDEX(原始資料!AJ$2:AJ$501,$BJ500)))</f>
        <v/>
      </c>
      <c r="AI500" s="6">
        <f>IF(OR($BJ500="",34&gt;設定!$B$3),"",IF(INDEX(原始資料!AK$2:AK$501,$BJ500)="","",INDEX(原始資料!AK$2:AK$501,$BJ500)))</f>
        <v/>
      </c>
      <c r="AJ500" s="6">
        <f>IF(OR($BJ500="",35&gt;設定!$B$3),"",IF(INDEX(原始資料!AL$2:AL$501,$BJ500)="","",INDEX(原始資料!AL$2:AL$501,$BJ500)))</f>
        <v/>
      </c>
      <c r="AK500" s="6">
        <f>IF(OR($BJ500="",36&gt;設定!$B$3),"",IF(INDEX(原始資料!AM$2:AM$501,$BJ500)="","",INDEX(原始資料!AM$2:AM$501,$BJ500)))</f>
        <v/>
      </c>
      <c r="AL500" s="6">
        <f>IF(OR($BJ500="",37&gt;設定!$B$3),"",IF(INDEX(原始資料!AN$2:AN$501,$BJ500)="","",INDEX(原始資料!AN$2:AN$501,$BJ500)))</f>
        <v/>
      </c>
      <c r="AM500" s="6">
        <f>IF(OR($BJ500="",38&gt;設定!$B$3),"",IF(INDEX(原始資料!AO$2:AO$501,$BJ500)="","",INDEX(原始資料!AO$2:AO$501,$BJ500)))</f>
        <v/>
      </c>
      <c r="AN500" s="6">
        <f>IF(OR($BJ500="",39&gt;設定!$B$3),"",IF(INDEX(原始資料!AP$2:AP$501,$BJ500)="","",INDEX(原始資料!AP$2:AP$501,$BJ500)))</f>
        <v/>
      </c>
      <c r="AO500" s="6">
        <f>IF(OR($BJ500="",40&gt;設定!$B$3),"",IF(INDEX(原始資料!AQ$2:AQ$501,$BJ500)="","",INDEX(原始資料!AQ$2:AQ$501,$BJ500)))</f>
        <v/>
      </c>
      <c r="AP500" s="6">
        <f>IF(OR($BJ500="",41&gt;設定!$B$3),"",IF(INDEX(原始資料!AR$2:AR$501,$BJ500)="","",INDEX(原始資料!AR$2:AR$501,$BJ500)))</f>
        <v/>
      </c>
      <c r="AQ500" s="6">
        <f>IF(OR($BJ500="",42&gt;設定!$B$3),"",IF(INDEX(原始資料!AS$2:AS$501,$BJ500)="","",INDEX(原始資料!AS$2:AS$501,$BJ500)))</f>
        <v/>
      </c>
      <c r="AR500" s="6">
        <f>IF(OR($BJ500="",43&gt;設定!$B$3),"",IF(INDEX(原始資料!AT$2:AT$501,$BJ500)="","",INDEX(原始資料!AT$2:AT$501,$BJ500)))</f>
        <v/>
      </c>
      <c r="AS500" s="6">
        <f>IF(OR($BJ500="",44&gt;設定!$B$3),"",IF(INDEX(原始資料!AU$2:AU$501,$BJ500)="","",INDEX(原始資料!AU$2:AU$501,$BJ500)))</f>
        <v/>
      </c>
      <c r="AT500" s="6">
        <f>IF(OR($BJ500="",45&gt;設定!$B$3),"",IF(INDEX(原始資料!AV$2:AV$501,$BJ500)="","",INDEX(原始資料!AV$2:AV$501,$BJ500)))</f>
        <v/>
      </c>
      <c r="AU500" s="6">
        <f>IF(OR($BJ500="",46&gt;設定!$B$3),"",IF(INDEX(原始資料!AW$2:AW$501,$BJ500)="","",INDEX(原始資料!AW$2:AW$501,$BJ500)))</f>
        <v/>
      </c>
      <c r="AV500" s="6">
        <f>IF(OR($BJ500="",47&gt;設定!$B$3),"",IF(INDEX(原始資料!AX$2:AX$501,$BJ500)="","",INDEX(原始資料!AX$2:AX$501,$BJ500)))</f>
        <v/>
      </c>
      <c r="AW500" s="6">
        <f>IF(OR($BJ500="",48&gt;設定!$B$3),"",IF(INDEX(原始資料!AY$2:AY$501,$BJ500)="","",INDEX(原始資料!AY$2:AY$501,$BJ500)))</f>
        <v/>
      </c>
      <c r="AX500" s="6">
        <f>IF(OR($BJ500="",49&gt;設定!$B$3),"",IF(INDEX(原始資料!AZ$2:AZ$501,$BJ500)="","",INDEX(原始資料!AZ$2:AZ$501,$BJ500)))</f>
        <v/>
      </c>
      <c r="AY500" s="6">
        <f>IF(OR($BJ500="",50&gt;設定!$B$3),"",IF(INDEX(原始資料!BA$2:BA$501,$BJ500)="","",INDEX(原始資料!BA$2:BA$501,$BJ500)))</f>
        <v/>
      </c>
      <c r="AZ500" s="6">
        <f>IF(OR($BJ500="",51&gt;設定!$B$3),"",IF(INDEX(原始資料!BB$2:BB$501,$BJ500)="","",INDEX(原始資料!BB$2:BB$501,$BJ500)))</f>
        <v/>
      </c>
      <c r="BA500" s="6">
        <f>IF(OR($BJ500="",52&gt;設定!$B$3),"",IF(INDEX(原始資料!BC$2:BC$501,$BJ500)="","",INDEX(原始資料!BC$2:BC$501,$BJ500)))</f>
        <v/>
      </c>
      <c r="BB500" s="6">
        <f>IF(OR($BJ500="",53&gt;設定!$B$3),"",IF(INDEX(原始資料!BD$2:BD$501,$BJ500)="","",INDEX(原始資料!BD$2:BD$501,$BJ500)))</f>
        <v/>
      </c>
      <c r="BC500" s="6">
        <f>IF(OR($BJ500="",54&gt;設定!$B$3),"",IF(INDEX(原始資料!BE$2:BE$501,$BJ500)="","",INDEX(原始資料!BE$2:BE$501,$BJ500)))</f>
        <v/>
      </c>
      <c r="BD500" s="6">
        <f>IF(OR($BJ500="",55&gt;設定!$B$3),"",IF(INDEX(原始資料!BF$2:BF$501,$BJ500)="","",INDEX(原始資料!BF$2:BF$501,$BJ500)))</f>
        <v/>
      </c>
      <c r="BE500" s="6">
        <f>IF(OR($BJ500="",56&gt;設定!$B$3),"",IF(INDEX(原始資料!BG$2:BG$501,$BJ500)="","",INDEX(原始資料!BG$2:BG$501,$BJ500)))</f>
        <v/>
      </c>
      <c r="BF500" s="6">
        <f>IF(OR($BJ500="",57&gt;設定!$B$3),"",IF(INDEX(原始資料!BH$2:BH$501,$BJ500)="","",INDEX(原始資料!BH$2:BH$501,$BJ500)))</f>
        <v/>
      </c>
      <c r="BG500" s="6">
        <f>IF(OR($BJ500="",58&gt;設定!$B$3),"",IF(INDEX(原始資料!BI$2:BI$501,$BJ500)="","",INDEX(原始資料!BI$2:BI$501,$BJ500)))</f>
        <v/>
      </c>
      <c r="BH500" s="6">
        <f>IF(OR($BJ500="",59&gt;設定!$B$3),"",IF(INDEX(原始資料!BJ$2:BJ$501,$BJ500)="","",INDEX(原始資料!BJ$2:BJ$501,$BJ500)))</f>
        <v/>
      </c>
      <c r="BI500" s="6">
        <f>IF(OR($BJ500="",60&gt;設定!$B$3),"",IF(INDEX(原始資料!BK$2:BK$501,$BJ500)="","",INDEX(原始資料!BK$2:BK$501,$BJ500)))</f>
        <v/>
      </c>
      <c r="BJ500" s="6">
        <f>IFERROR(MATCH(ROW()-1,判定!$H$2:$H$501,0),"")</f>
        <v/>
      </c>
    </row>
    <row r="501">
      <c r="A501" s="6">
        <f>IF($BJ501="","",INDEX(原始資料!$A$2:$A$501,$BJ501))</f>
        <v/>
      </c>
      <c r="B501" s="6">
        <f>IF(OR($BJ501="",1&gt;設定!$B$3),"",IF(INDEX(原始資料!D$2:D$501,$BJ501)="","",INDEX(原始資料!D$2:D$501,$BJ501)))</f>
        <v/>
      </c>
      <c r="C501" s="6">
        <f>IF(OR($BJ501="",2&gt;設定!$B$3),"",IF(INDEX(原始資料!E$2:E$501,$BJ501)="","",INDEX(原始資料!E$2:E$501,$BJ501)))</f>
        <v/>
      </c>
      <c r="D501" s="6">
        <f>IF(OR($BJ501="",3&gt;設定!$B$3),"",IF(INDEX(原始資料!F$2:F$501,$BJ501)="","",INDEX(原始資料!F$2:F$501,$BJ501)))</f>
        <v/>
      </c>
      <c r="E501" s="6">
        <f>IF(OR($BJ501="",4&gt;設定!$B$3),"",IF(INDEX(原始資料!G$2:G$501,$BJ501)="","",INDEX(原始資料!G$2:G$501,$BJ501)))</f>
        <v/>
      </c>
      <c r="F501" s="6">
        <f>IF(OR($BJ501="",5&gt;設定!$B$3),"",IF(INDEX(原始資料!H$2:H$501,$BJ501)="","",INDEX(原始資料!H$2:H$501,$BJ501)))</f>
        <v/>
      </c>
      <c r="G501" s="6">
        <f>IF(OR($BJ501="",6&gt;設定!$B$3),"",IF(INDEX(原始資料!I$2:I$501,$BJ501)="","",INDEX(原始資料!I$2:I$501,$BJ501)))</f>
        <v/>
      </c>
      <c r="H501" s="6">
        <f>IF(OR($BJ501="",7&gt;設定!$B$3),"",IF(INDEX(原始資料!J$2:J$501,$BJ501)="","",INDEX(原始資料!J$2:J$501,$BJ501)))</f>
        <v/>
      </c>
      <c r="I501" s="6">
        <f>IF(OR($BJ501="",8&gt;設定!$B$3),"",IF(INDEX(原始資料!K$2:K$501,$BJ501)="","",INDEX(原始資料!K$2:K$501,$BJ501)))</f>
        <v/>
      </c>
      <c r="J501" s="6">
        <f>IF(OR($BJ501="",9&gt;設定!$B$3),"",IF(INDEX(原始資料!L$2:L$501,$BJ501)="","",INDEX(原始資料!L$2:L$501,$BJ501)))</f>
        <v/>
      </c>
      <c r="K501" s="6">
        <f>IF(OR($BJ501="",10&gt;設定!$B$3),"",IF(INDEX(原始資料!M$2:M$501,$BJ501)="","",INDEX(原始資料!M$2:M$501,$BJ501)))</f>
        <v/>
      </c>
      <c r="L501" s="6">
        <f>IF(OR($BJ501="",11&gt;設定!$B$3),"",IF(INDEX(原始資料!N$2:N$501,$BJ501)="","",INDEX(原始資料!N$2:N$501,$BJ501)))</f>
        <v/>
      </c>
      <c r="M501" s="6">
        <f>IF(OR($BJ501="",12&gt;設定!$B$3),"",IF(INDEX(原始資料!O$2:O$501,$BJ501)="","",INDEX(原始資料!O$2:O$501,$BJ501)))</f>
        <v/>
      </c>
      <c r="N501" s="6">
        <f>IF(OR($BJ501="",13&gt;設定!$B$3),"",IF(INDEX(原始資料!P$2:P$501,$BJ501)="","",INDEX(原始資料!P$2:P$501,$BJ501)))</f>
        <v/>
      </c>
      <c r="O501" s="6">
        <f>IF(OR($BJ501="",14&gt;設定!$B$3),"",IF(INDEX(原始資料!Q$2:Q$501,$BJ501)="","",INDEX(原始資料!Q$2:Q$501,$BJ501)))</f>
        <v/>
      </c>
      <c r="P501" s="6">
        <f>IF(OR($BJ501="",15&gt;設定!$B$3),"",IF(INDEX(原始資料!R$2:R$501,$BJ501)="","",INDEX(原始資料!R$2:R$501,$BJ501)))</f>
        <v/>
      </c>
      <c r="Q501" s="6">
        <f>IF(OR($BJ501="",16&gt;設定!$B$3),"",IF(INDEX(原始資料!S$2:S$501,$BJ501)="","",INDEX(原始資料!S$2:S$501,$BJ501)))</f>
        <v/>
      </c>
      <c r="R501" s="6">
        <f>IF(OR($BJ501="",17&gt;設定!$B$3),"",IF(INDEX(原始資料!T$2:T$501,$BJ501)="","",INDEX(原始資料!T$2:T$501,$BJ501)))</f>
        <v/>
      </c>
      <c r="S501" s="6">
        <f>IF(OR($BJ501="",18&gt;設定!$B$3),"",IF(INDEX(原始資料!U$2:U$501,$BJ501)="","",INDEX(原始資料!U$2:U$501,$BJ501)))</f>
        <v/>
      </c>
      <c r="T501" s="6">
        <f>IF(OR($BJ501="",19&gt;設定!$B$3),"",IF(INDEX(原始資料!V$2:V$501,$BJ501)="","",INDEX(原始資料!V$2:V$501,$BJ501)))</f>
        <v/>
      </c>
      <c r="U501" s="6">
        <f>IF(OR($BJ501="",20&gt;設定!$B$3),"",IF(INDEX(原始資料!W$2:W$501,$BJ501)="","",INDEX(原始資料!W$2:W$501,$BJ501)))</f>
        <v/>
      </c>
      <c r="V501" s="6">
        <f>IF(OR($BJ501="",21&gt;設定!$B$3),"",IF(INDEX(原始資料!X$2:X$501,$BJ501)="","",INDEX(原始資料!X$2:X$501,$BJ501)))</f>
        <v/>
      </c>
      <c r="W501" s="6">
        <f>IF(OR($BJ501="",22&gt;設定!$B$3),"",IF(INDEX(原始資料!Y$2:Y$501,$BJ501)="","",INDEX(原始資料!Y$2:Y$501,$BJ501)))</f>
        <v/>
      </c>
      <c r="X501" s="6">
        <f>IF(OR($BJ501="",23&gt;設定!$B$3),"",IF(INDEX(原始資料!Z$2:Z$501,$BJ501)="","",INDEX(原始資料!Z$2:Z$501,$BJ501)))</f>
        <v/>
      </c>
      <c r="Y501" s="6">
        <f>IF(OR($BJ501="",24&gt;設定!$B$3),"",IF(INDEX(原始資料!AA$2:AA$501,$BJ501)="","",INDEX(原始資料!AA$2:AA$501,$BJ501)))</f>
        <v/>
      </c>
      <c r="Z501" s="6">
        <f>IF(OR($BJ501="",25&gt;設定!$B$3),"",IF(INDEX(原始資料!AB$2:AB$501,$BJ501)="","",INDEX(原始資料!AB$2:AB$501,$BJ501)))</f>
        <v/>
      </c>
      <c r="AA501" s="6">
        <f>IF(OR($BJ501="",26&gt;設定!$B$3),"",IF(INDEX(原始資料!AC$2:AC$501,$BJ501)="","",INDEX(原始資料!AC$2:AC$501,$BJ501)))</f>
        <v/>
      </c>
      <c r="AB501" s="6">
        <f>IF(OR($BJ501="",27&gt;設定!$B$3),"",IF(INDEX(原始資料!AD$2:AD$501,$BJ501)="","",INDEX(原始資料!AD$2:AD$501,$BJ501)))</f>
        <v/>
      </c>
      <c r="AC501" s="6">
        <f>IF(OR($BJ501="",28&gt;設定!$B$3),"",IF(INDEX(原始資料!AE$2:AE$501,$BJ501)="","",INDEX(原始資料!AE$2:AE$501,$BJ501)))</f>
        <v/>
      </c>
      <c r="AD501" s="6">
        <f>IF(OR($BJ501="",29&gt;設定!$B$3),"",IF(INDEX(原始資料!AF$2:AF$501,$BJ501)="","",INDEX(原始資料!AF$2:AF$501,$BJ501)))</f>
        <v/>
      </c>
      <c r="AE501" s="6">
        <f>IF(OR($BJ501="",30&gt;設定!$B$3),"",IF(INDEX(原始資料!AG$2:AG$501,$BJ501)="","",INDEX(原始資料!AG$2:AG$501,$BJ501)))</f>
        <v/>
      </c>
      <c r="AF501" s="6">
        <f>IF(OR($BJ501="",31&gt;設定!$B$3),"",IF(INDEX(原始資料!AH$2:AH$501,$BJ501)="","",INDEX(原始資料!AH$2:AH$501,$BJ501)))</f>
        <v/>
      </c>
      <c r="AG501" s="6">
        <f>IF(OR($BJ501="",32&gt;設定!$B$3),"",IF(INDEX(原始資料!AI$2:AI$501,$BJ501)="","",INDEX(原始資料!AI$2:AI$501,$BJ501)))</f>
        <v/>
      </c>
      <c r="AH501" s="6">
        <f>IF(OR($BJ501="",33&gt;設定!$B$3),"",IF(INDEX(原始資料!AJ$2:AJ$501,$BJ501)="","",INDEX(原始資料!AJ$2:AJ$501,$BJ501)))</f>
        <v/>
      </c>
      <c r="AI501" s="6">
        <f>IF(OR($BJ501="",34&gt;設定!$B$3),"",IF(INDEX(原始資料!AK$2:AK$501,$BJ501)="","",INDEX(原始資料!AK$2:AK$501,$BJ501)))</f>
        <v/>
      </c>
      <c r="AJ501" s="6">
        <f>IF(OR($BJ501="",35&gt;設定!$B$3),"",IF(INDEX(原始資料!AL$2:AL$501,$BJ501)="","",INDEX(原始資料!AL$2:AL$501,$BJ501)))</f>
        <v/>
      </c>
      <c r="AK501" s="6">
        <f>IF(OR($BJ501="",36&gt;設定!$B$3),"",IF(INDEX(原始資料!AM$2:AM$501,$BJ501)="","",INDEX(原始資料!AM$2:AM$501,$BJ501)))</f>
        <v/>
      </c>
      <c r="AL501" s="6">
        <f>IF(OR($BJ501="",37&gt;設定!$B$3),"",IF(INDEX(原始資料!AN$2:AN$501,$BJ501)="","",INDEX(原始資料!AN$2:AN$501,$BJ501)))</f>
        <v/>
      </c>
      <c r="AM501" s="6">
        <f>IF(OR($BJ501="",38&gt;設定!$B$3),"",IF(INDEX(原始資料!AO$2:AO$501,$BJ501)="","",INDEX(原始資料!AO$2:AO$501,$BJ501)))</f>
        <v/>
      </c>
      <c r="AN501" s="6">
        <f>IF(OR($BJ501="",39&gt;設定!$B$3),"",IF(INDEX(原始資料!AP$2:AP$501,$BJ501)="","",INDEX(原始資料!AP$2:AP$501,$BJ501)))</f>
        <v/>
      </c>
      <c r="AO501" s="6">
        <f>IF(OR($BJ501="",40&gt;設定!$B$3),"",IF(INDEX(原始資料!AQ$2:AQ$501,$BJ501)="","",INDEX(原始資料!AQ$2:AQ$501,$BJ501)))</f>
        <v/>
      </c>
      <c r="AP501" s="6">
        <f>IF(OR($BJ501="",41&gt;設定!$B$3),"",IF(INDEX(原始資料!AR$2:AR$501,$BJ501)="","",INDEX(原始資料!AR$2:AR$501,$BJ501)))</f>
        <v/>
      </c>
      <c r="AQ501" s="6">
        <f>IF(OR($BJ501="",42&gt;設定!$B$3),"",IF(INDEX(原始資料!AS$2:AS$501,$BJ501)="","",INDEX(原始資料!AS$2:AS$501,$BJ501)))</f>
        <v/>
      </c>
      <c r="AR501" s="6">
        <f>IF(OR($BJ501="",43&gt;設定!$B$3),"",IF(INDEX(原始資料!AT$2:AT$501,$BJ501)="","",INDEX(原始資料!AT$2:AT$501,$BJ501)))</f>
        <v/>
      </c>
      <c r="AS501" s="6">
        <f>IF(OR($BJ501="",44&gt;設定!$B$3),"",IF(INDEX(原始資料!AU$2:AU$501,$BJ501)="","",INDEX(原始資料!AU$2:AU$501,$BJ501)))</f>
        <v/>
      </c>
      <c r="AT501" s="6">
        <f>IF(OR($BJ501="",45&gt;設定!$B$3),"",IF(INDEX(原始資料!AV$2:AV$501,$BJ501)="","",INDEX(原始資料!AV$2:AV$501,$BJ501)))</f>
        <v/>
      </c>
      <c r="AU501" s="6">
        <f>IF(OR($BJ501="",46&gt;設定!$B$3),"",IF(INDEX(原始資料!AW$2:AW$501,$BJ501)="","",INDEX(原始資料!AW$2:AW$501,$BJ501)))</f>
        <v/>
      </c>
      <c r="AV501" s="6">
        <f>IF(OR($BJ501="",47&gt;設定!$B$3),"",IF(INDEX(原始資料!AX$2:AX$501,$BJ501)="","",INDEX(原始資料!AX$2:AX$501,$BJ501)))</f>
        <v/>
      </c>
      <c r="AW501" s="6">
        <f>IF(OR($BJ501="",48&gt;設定!$B$3),"",IF(INDEX(原始資料!AY$2:AY$501,$BJ501)="","",INDEX(原始資料!AY$2:AY$501,$BJ501)))</f>
        <v/>
      </c>
      <c r="AX501" s="6">
        <f>IF(OR($BJ501="",49&gt;設定!$B$3),"",IF(INDEX(原始資料!AZ$2:AZ$501,$BJ501)="","",INDEX(原始資料!AZ$2:AZ$501,$BJ501)))</f>
        <v/>
      </c>
      <c r="AY501" s="6">
        <f>IF(OR($BJ501="",50&gt;設定!$B$3),"",IF(INDEX(原始資料!BA$2:BA$501,$BJ501)="","",INDEX(原始資料!BA$2:BA$501,$BJ501)))</f>
        <v/>
      </c>
      <c r="AZ501" s="6">
        <f>IF(OR($BJ501="",51&gt;設定!$B$3),"",IF(INDEX(原始資料!BB$2:BB$501,$BJ501)="","",INDEX(原始資料!BB$2:BB$501,$BJ501)))</f>
        <v/>
      </c>
      <c r="BA501" s="6">
        <f>IF(OR($BJ501="",52&gt;設定!$B$3),"",IF(INDEX(原始資料!BC$2:BC$501,$BJ501)="","",INDEX(原始資料!BC$2:BC$501,$BJ501)))</f>
        <v/>
      </c>
      <c r="BB501" s="6">
        <f>IF(OR($BJ501="",53&gt;設定!$B$3),"",IF(INDEX(原始資料!BD$2:BD$501,$BJ501)="","",INDEX(原始資料!BD$2:BD$501,$BJ501)))</f>
        <v/>
      </c>
      <c r="BC501" s="6">
        <f>IF(OR($BJ501="",54&gt;設定!$B$3),"",IF(INDEX(原始資料!BE$2:BE$501,$BJ501)="","",INDEX(原始資料!BE$2:BE$501,$BJ501)))</f>
        <v/>
      </c>
      <c r="BD501" s="6">
        <f>IF(OR($BJ501="",55&gt;設定!$B$3),"",IF(INDEX(原始資料!BF$2:BF$501,$BJ501)="","",INDEX(原始資料!BF$2:BF$501,$BJ501)))</f>
        <v/>
      </c>
      <c r="BE501" s="6">
        <f>IF(OR($BJ501="",56&gt;設定!$B$3),"",IF(INDEX(原始資料!BG$2:BG$501,$BJ501)="","",INDEX(原始資料!BG$2:BG$501,$BJ501)))</f>
        <v/>
      </c>
      <c r="BF501" s="6">
        <f>IF(OR($BJ501="",57&gt;設定!$B$3),"",IF(INDEX(原始資料!BH$2:BH$501,$BJ501)="","",INDEX(原始資料!BH$2:BH$501,$BJ501)))</f>
        <v/>
      </c>
      <c r="BG501" s="6">
        <f>IF(OR($BJ501="",58&gt;設定!$B$3),"",IF(INDEX(原始資料!BI$2:BI$501,$BJ501)="","",INDEX(原始資料!BI$2:BI$501,$BJ501)))</f>
        <v/>
      </c>
      <c r="BH501" s="6">
        <f>IF(OR($BJ501="",59&gt;設定!$B$3),"",IF(INDEX(原始資料!BJ$2:BJ$501,$BJ501)="","",INDEX(原始資料!BJ$2:BJ$501,$BJ501)))</f>
        <v/>
      </c>
      <c r="BI501" s="6">
        <f>IF(OR($BJ501="",60&gt;設定!$B$3),"",IF(INDEX(原始資料!BK$2:BK$501,$BJ501)="","",INDEX(原始資料!BK$2:BK$501,$BJ501)))</f>
        <v/>
      </c>
      <c r="BJ501" s="6">
        <f>IFERROR(MATCH(ROW()-1,判定!$H$2:$H$501,0),"")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2026-10-23T03:16:30Z</dcterms:created>
  <dcterms:modified xmlns:dcterms="http://purl.org/dc/terms/" xmlns:xsi="http://www.w3.org/2001/XMLSchema-instance" xsi:type="dcterms:W3CDTF">2026-10-23T03:16:32Z</dcterms:modified>
</cp:coreProperties>
</file>